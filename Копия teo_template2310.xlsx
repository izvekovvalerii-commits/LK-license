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omments1.xml" ContentType="application/vnd.openxmlformats-officedocument.spreadsheetml.comments+xml"/>
  <Override PartName="/xl/customProperty8.bin" ContentType="application/vnd.openxmlformats-officedocument.spreadsheetml.customProperty"/>
  <Override PartName="/xl/customProperty9.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30"/>
  <workbookPr showInkAnnotation="0" codeName="ThisWorkbook"/>
  <mc:AlternateContent xmlns:mc="http://schemas.openxmlformats.org/markup-compatibility/2006">
    <mc:Choice Requires="x15">
      <x15ac:absPath xmlns:x15ac="http://schemas.microsoft.com/office/spreadsheetml/2010/11/ac" url="/Users/valeriy.izvekov/Documents/Чижик_Портал ИК/"/>
    </mc:Choice>
  </mc:AlternateContent>
  <xr:revisionPtr revIDLastSave="0" documentId="13_ncr:1_{BB298E6E-69BD-E245-A9B3-E0672091A044}" xr6:coauthVersionLast="47" xr6:coauthVersionMax="47" xr10:uidLastSave="{00000000-0000-0000-0000-000000000000}"/>
  <bookViews>
    <workbookView xWindow="0" yWindow="760" windowWidth="29040" windowHeight="17260" tabRatio="854" activeTab="1" xr2:uid="{00000000-000D-0000-FFFF-FFFF00000000}"/>
  </bookViews>
  <sheets>
    <sheet name="Инструкция" sheetId="32" r:id="rId1"/>
    <sheet name="Свод" sheetId="22" r:id="rId2"/>
    <sheet name="Как есть" sheetId="10" r:id="rId3"/>
    <sheet name="Как будет" sheetId="31" r:id="rId4"/>
    <sheet name="Доп.расчеты" sheetId="24" state="hidden" r:id="rId5"/>
    <sheet name="Support&gt;&gt;&gt;" sheetId="33" state="veryHidden" r:id="rId6"/>
    <sheet name="WACC_monthly" sheetId="34" r:id="rId7"/>
    <sheet name="Приложение " sheetId="35" state="veryHidden" r:id="rId8"/>
    <sheet name="Бюджет" sheetId="28" state="veryHidden" r:id="rId9"/>
    <sheet name="Приложения" sheetId="27" r:id="rId10"/>
    <sheet name="КПЭ" sheetId="19" state="veryHidden" r:id="rId11"/>
    <sheet name="Справочник" sheetId="23" state="hidden" r:id="rId12"/>
  </sheets>
  <externalReferences>
    <externalReference r:id="rId13"/>
    <externalReference r:id="rId14"/>
    <externalReference r:id="rId15"/>
  </externalReferences>
  <definedNames>
    <definedName name="_xlnm._FilterDatabase" localSheetId="11" hidden="1">Справочник!$A$2:$A$27</definedName>
    <definedName name="Себестоимость" localSheetId="0">[1]Справочник!$C$3:$C$6</definedName>
    <definedName name="Себестоимость">Справочник!$C$3:$C$6</definedName>
    <definedName name="Capex_группы_СПП" localSheetId="0">[1]Справочник!$A$3:$A$26</definedName>
    <definedName name="Capex_группы_СПП">Справочник!$A$3:$A$25</definedName>
    <definedName name="ID" localSheetId="8" hidden="1">"c7195b84-4f27-4bbd-ae70-51c6aae6be48"</definedName>
    <definedName name="ID" localSheetId="4" hidden="1">"c3e0e747-c936-4b07-a3e7-4e02a03323a2"</definedName>
    <definedName name="ID" localSheetId="0" hidden="1">"e4fdfad7-ee61-4b55-aecf-746a49d854f5"</definedName>
    <definedName name="ID" localSheetId="3" hidden="1">"92d23ca5-0a18-44c4-92bb-62ebe4e9beac"</definedName>
    <definedName name="ID" localSheetId="2" hidden="1">"92d23ca5-0a18-44c4-92bb-62ebe4e9beac"</definedName>
    <definedName name="ID" localSheetId="10" hidden="1">"b2777972-b695-4f6d-8f13-27989835f6aa"</definedName>
    <definedName name="ID" localSheetId="9" hidden="1">"a99db5ed-97cc-4a96-84ff-c2eb2506cdbb"</definedName>
    <definedName name="ID" localSheetId="1" hidden="1">"4abca322-64d7-4686-ba68-53d309b4c3a3"</definedName>
    <definedName name="ID" localSheetId="11" hidden="1">"f8c532cd-163a-40a2-bb9e-f488232500eb"</definedName>
    <definedName name="ID" localSheetId="6" hidden="1">"a99db5ed-97cc-4a96-84ff-c2eb2506cdbb"</definedName>
    <definedName name="Language">[2]Outputs!$AU$1</definedName>
    <definedName name="OPEX_группы_СПП" localSheetId="0">[1]Справочник!$B$3:$B$15</definedName>
    <definedName name="OPEX_группы_СПП">Справочник!$B$3:$B$15</definedName>
    <definedName name="OPEX_PL">Справочник!$D$3:$D$15</definedName>
    <definedName name="SAPBEXrevision" hidden="1">44</definedName>
    <definedName name="SAPBEXsysID" hidden="1">"BI0"</definedName>
    <definedName name="SAPBEXwbID" hidden="1">"4P04FHGJX20GISVKIPKJMA3OM"</definedName>
    <definedName name="SAPCrosstab1">#REF!</definedName>
    <definedName name="SAPFdd1">#REF!</definedName>
    <definedName name="SAPFdd10">#REF!</definedName>
    <definedName name="SAPFdd11">#REF!</definedName>
    <definedName name="SAPFdd12">#REF!</definedName>
    <definedName name="SAPFdd13">#REF!</definedName>
    <definedName name="SAPFdd14">#REF!</definedName>
    <definedName name="SAPFdd15">#REF!</definedName>
    <definedName name="SAPFdd16">#REF!</definedName>
    <definedName name="SAPFdd17">#REF!</definedName>
    <definedName name="SAPFdd18">#REF!</definedName>
    <definedName name="SAPFdd2">#REF!</definedName>
    <definedName name="SAPFdd29">#REF!</definedName>
    <definedName name="SAPFdd3">#REF!</definedName>
    <definedName name="SAPFdd30">#REF!</definedName>
    <definedName name="SAPFdd31">#REF!</definedName>
    <definedName name="SAPFdd32">#REF!</definedName>
    <definedName name="SAPFdd33">#REF!</definedName>
    <definedName name="SAPFdd34">#REF!</definedName>
    <definedName name="SAPFdd35">#REF!</definedName>
    <definedName name="SAPFdd36">#REF!</definedName>
    <definedName name="SAPFdd37">#REF!</definedName>
    <definedName name="SAPFdd38">#REF!</definedName>
    <definedName name="SAPFdd39">#REF!</definedName>
    <definedName name="SAPFdd4">#REF!</definedName>
    <definedName name="SAPFdd40">#REF!</definedName>
    <definedName name="SAPFdd41">#REF!</definedName>
    <definedName name="SAPFdd5">#REF!</definedName>
    <definedName name="SAPFdd6">#REF!</definedName>
    <definedName name="SAPFdd7">#REF!</definedName>
    <definedName name="SAPFdd8">#REF!</definedName>
    <definedName name="SAPFdd9">#REF!</definedName>
    <definedName name="WORKBOOK_SAPBEXq0001" comment="DP_4">"DP_4"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27" l="1"/>
  <c r="D20" i="27" s="1"/>
  <c r="C5" i="27"/>
  <c r="C4" i="27"/>
  <c r="G2" i="27"/>
  <c r="H2" i="27" s="1"/>
  <c r="G1" i="27"/>
  <c r="DR2" i="34"/>
  <c r="DF2" i="34"/>
  <c r="CT2" i="34"/>
  <c r="E16" i="31"/>
  <c r="C6" i="27" l="1"/>
  <c r="C7" i="27" s="1"/>
  <c r="D18" i="27"/>
  <c r="D19" i="27"/>
  <c r="D21" i="27" s="1"/>
  <c r="D22" i="27" s="1"/>
  <c r="G91" i="31"/>
  <c r="C91" i="31"/>
  <c r="GT81" i="31"/>
  <c r="GS81" i="31"/>
  <c r="GR81" i="31"/>
  <c r="GQ81" i="31"/>
  <c r="GP81" i="31"/>
  <c r="GO81" i="31"/>
  <c r="GN81" i="31"/>
  <c r="GM81" i="31"/>
  <c r="GL81" i="31"/>
  <c r="GK81" i="31"/>
  <c r="GJ81" i="31"/>
  <c r="GI81" i="31"/>
  <c r="GH81" i="31"/>
  <c r="GG81" i="31"/>
  <c r="GF81" i="31"/>
  <c r="GE81" i="31"/>
  <c r="GD81" i="31"/>
  <c r="GC81" i="31"/>
  <c r="GB81" i="31"/>
  <c r="GA81" i="31"/>
  <c r="FZ81" i="31"/>
  <c r="FY81" i="31"/>
  <c r="FX81" i="31"/>
  <c r="FW81" i="31"/>
  <c r="FV81" i="31"/>
  <c r="FU81" i="31"/>
  <c r="FT81" i="31"/>
  <c r="FS81" i="31"/>
  <c r="FR81" i="31"/>
  <c r="FQ81" i="31"/>
  <c r="FP81" i="31"/>
  <c r="FO81" i="31"/>
  <c r="FN81" i="31"/>
  <c r="FM81" i="31"/>
  <c r="FL81" i="31"/>
  <c r="FK81" i="31"/>
  <c r="FJ81" i="31"/>
  <c r="FI81" i="31"/>
  <c r="FH81" i="31"/>
  <c r="FG81" i="31"/>
  <c r="FF81" i="31"/>
  <c r="FE81" i="31"/>
  <c r="FD81" i="31"/>
  <c r="FC81" i="31"/>
  <c r="FB81" i="31"/>
  <c r="FA81" i="31"/>
  <c r="EZ81" i="31"/>
  <c r="EY81" i="31"/>
  <c r="EX81" i="31"/>
  <c r="EW81" i="31"/>
  <c r="EV81" i="31"/>
  <c r="EU81" i="31"/>
  <c r="ET81" i="31"/>
  <c r="ES81" i="31"/>
  <c r="ER81" i="31"/>
  <c r="EQ81" i="31"/>
  <c r="EP81" i="31"/>
  <c r="EO81" i="31"/>
  <c r="EN81" i="31"/>
  <c r="EM81" i="31"/>
  <c r="EL81" i="31"/>
  <c r="EK81" i="31"/>
  <c r="EJ81" i="31"/>
  <c r="EI81" i="31"/>
  <c r="EH81" i="31"/>
  <c r="EG81" i="31"/>
  <c r="EF81" i="31"/>
  <c r="EE81" i="31"/>
  <c r="ED81" i="31"/>
  <c r="EC81" i="31"/>
  <c r="EB81" i="31"/>
  <c r="EA81" i="31"/>
  <c r="DZ81" i="31"/>
  <c r="DY81" i="31"/>
  <c r="DX81" i="31"/>
  <c r="DW81" i="31"/>
  <c r="DV81" i="31"/>
  <c r="DU81" i="31"/>
  <c r="DT81" i="31"/>
  <c r="DS81" i="31"/>
  <c r="DR81" i="31"/>
  <c r="DQ81" i="31"/>
  <c r="DP81" i="31"/>
  <c r="DO81" i="31"/>
  <c r="DN81" i="31"/>
  <c r="DM81" i="31"/>
  <c r="DL81" i="31"/>
  <c r="DK81" i="31"/>
  <c r="DJ81" i="31"/>
  <c r="DI81" i="31"/>
  <c r="DH81" i="31"/>
  <c r="DG81" i="31"/>
  <c r="DF81" i="31"/>
  <c r="DE81" i="31"/>
  <c r="DD81" i="31"/>
  <c r="DC81" i="31"/>
  <c r="DB81" i="31"/>
  <c r="DA81" i="31"/>
  <c r="CZ81" i="31"/>
  <c r="CY81" i="31"/>
  <c r="CX81" i="31"/>
  <c r="CW81" i="31"/>
  <c r="CV81" i="31"/>
  <c r="CU81" i="31"/>
  <c r="CT81" i="31"/>
  <c r="CS81" i="31"/>
  <c r="CR81" i="31"/>
  <c r="CQ81" i="31"/>
  <c r="CP81" i="31"/>
  <c r="CO81" i="31"/>
  <c r="CN81" i="31"/>
  <c r="CM81" i="31"/>
  <c r="CL81" i="31"/>
  <c r="CK81" i="31"/>
  <c r="CJ81" i="31"/>
  <c r="CI81" i="31"/>
  <c r="CH81" i="31"/>
  <c r="CG81" i="31"/>
  <c r="CF81" i="31"/>
  <c r="CE81" i="31"/>
  <c r="CD81" i="31"/>
  <c r="CC81" i="31"/>
  <c r="CB81" i="31"/>
  <c r="CA81" i="31"/>
  <c r="BZ81" i="31"/>
  <c r="BY81" i="31"/>
  <c r="BX81" i="31"/>
  <c r="BW81" i="31"/>
  <c r="BV81" i="31"/>
  <c r="BU81" i="31"/>
  <c r="BT81" i="31"/>
  <c r="BS81" i="31"/>
  <c r="BR81" i="31"/>
  <c r="BQ81" i="31"/>
  <c r="BP81" i="31"/>
  <c r="BO81" i="31"/>
  <c r="BN81" i="31"/>
  <c r="BM81" i="31"/>
  <c r="BL81" i="31"/>
  <c r="BK81" i="31"/>
  <c r="BJ81" i="31"/>
  <c r="BI81" i="31"/>
  <c r="BH81" i="31"/>
  <c r="BG81" i="31"/>
  <c r="BF81" i="31"/>
  <c r="BE81" i="31"/>
  <c r="BD81" i="31"/>
  <c r="BC81" i="31"/>
  <c r="BB81" i="31"/>
  <c r="BA81" i="31"/>
  <c r="AZ81" i="31"/>
  <c r="AY81" i="31"/>
  <c r="AX81" i="31"/>
  <c r="AW81" i="31"/>
  <c r="AV81" i="31"/>
  <c r="AU81" i="31"/>
  <c r="AT81" i="31"/>
  <c r="AS81" i="31"/>
  <c r="AR81" i="31"/>
  <c r="AQ81" i="31"/>
  <c r="AP81" i="31"/>
  <c r="AO81" i="31"/>
  <c r="AN81" i="31"/>
  <c r="AM81" i="31"/>
  <c r="AL81" i="31"/>
  <c r="AK81" i="31"/>
  <c r="AJ81" i="31"/>
  <c r="AI81" i="31"/>
  <c r="AH81" i="31"/>
  <c r="AG81" i="31"/>
  <c r="AF81" i="31"/>
  <c r="AE81" i="31"/>
  <c r="AD81" i="31"/>
  <c r="AC81" i="31"/>
  <c r="AB81" i="31"/>
  <c r="AA81" i="31"/>
  <c r="Z81" i="31"/>
  <c r="Y81" i="31"/>
  <c r="X81" i="31"/>
  <c r="W81" i="31"/>
  <c r="V81" i="31"/>
  <c r="U81" i="31"/>
  <c r="T81" i="31"/>
  <c r="S81" i="31"/>
  <c r="R81" i="31"/>
  <c r="Q81" i="31"/>
  <c r="P81" i="31"/>
  <c r="O81" i="31"/>
  <c r="N81" i="31"/>
  <c r="M81" i="31"/>
  <c r="L81" i="31"/>
  <c r="K81" i="31"/>
  <c r="J81" i="31"/>
  <c r="I81" i="31"/>
  <c r="H81" i="31"/>
  <c r="G81" i="31"/>
  <c r="F81" i="31"/>
  <c r="E81" i="31"/>
  <c r="D81" i="31"/>
  <c r="C81" i="31"/>
  <c r="GT72" i="31"/>
  <c r="GS72" i="31"/>
  <c r="GR72" i="31"/>
  <c r="GQ72" i="31"/>
  <c r="GP72" i="31"/>
  <c r="GO72" i="31"/>
  <c r="GN72" i="31"/>
  <c r="GM72" i="31"/>
  <c r="GL72" i="31"/>
  <c r="GK72" i="31"/>
  <c r="GJ72" i="31"/>
  <c r="GI72" i="31"/>
  <c r="GH72" i="31"/>
  <c r="GG72" i="31"/>
  <c r="GF72" i="31"/>
  <c r="GE72" i="31"/>
  <c r="GD72" i="31"/>
  <c r="GC72" i="31"/>
  <c r="GB72" i="31"/>
  <c r="GA72" i="31"/>
  <c r="FZ72" i="31"/>
  <c r="FY72" i="31"/>
  <c r="FX72" i="31"/>
  <c r="FW72" i="31"/>
  <c r="FV72" i="31"/>
  <c r="FU72" i="31"/>
  <c r="FT72" i="31"/>
  <c r="FS72" i="31"/>
  <c r="FR72" i="31"/>
  <c r="FQ72" i="31"/>
  <c r="FP72" i="31"/>
  <c r="FO72" i="31"/>
  <c r="FN72" i="31"/>
  <c r="FM72" i="31"/>
  <c r="FL72" i="31"/>
  <c r="FK72" i="31"/>
  <c r="FJ72" i="31"/>
  <c r="FI72" i="31"/>
  <c r="FH72" i="31"/>
  <c r="FG72" i="31"/>
  <c r="FF72" i="31"/>
  <c r="FE72" i="31"/>
  <c r="FD72" i="31"/>
  <c r="FC72" i="31"/>
  <c r="FB72" i="31"/>
  <c r="FA72" i="31"/>
  <c r="EZ72" i="31"/>
  <c r="EY72" i="31"/>
  <c r="EX72" i="31"/>
  <c r="EW72" i="31"/>
  <c r="EV72" i="31"/>
  <c r="EU72" i="31"/>
  <c r="ET72" i="31"/>
  <c r="ES72" i="31"/>
  <c r="ER72" i="31"/>
  <c r="EQ72" i="31"/>
  <c r="EP72" i="31"/>
  <c r="EO72" i="31"/>
  <c r="EN72" i="31"/>
  <c r="EM72" i="31"/>
  <c r="EL72" i="31"/>
  <c r="EK72" i="31"/>
  <c r="EJ72" i="31"/>
  <c r="EI72" i="31"/>
  <c r="EH72" i="31"/>
  <c r="EG72" i="31"/>
  <c r="EF72" i="31"/>
  <c r="EE72" i="31"/>
  <c r="ED72" i="31"/>
  <c r="EC72" i="31"/>
  <c r="EB72" i="31"/>
  <c r="EA72" i="31"/>
  <c r="DZ72" i="31"/>
  <c r="DY72" i="31"/>
  <c r="DX72" i="31"/>
  <c r="DW72" i="31"/>
  <c r="DV72" i="31"/>
  <c r="DU72" i="31"/>
  <c r="DT72" i="31"/>
  <c r="DS72" i="31"/>
  <c r="DR72" i="31"/>
  <c r="DQ72" i="31"/>
  <c r="DP72" i="31"/>
  <c r="DO72" i="31"/>
  <c r="DN72" i="31"/>
  <c r="DM72" i="31"/>
  <c r="DL72" i="31"/>
  <c r="DK72" i="31"/>
  <c r="DJ72" i="31"/>
  <c r="DI72" i="31"/>
  <c r="DH72" i="31"/>
  <c r="DG72" i="31"/>
  <c r="DF72" i="31"/>
  <c r="DE72" i="31"/>
  <c r="DD72" i="31"/>
  <c r="DC72" i="31"/>
  <c r="DB72" i="31"/>
  <c r="DA72" i="31"/>
  <c r="CZ72" i="31"/>
  <c r="CY72" i="31"/>
  <c r="CX72" i="31"/>
  <c r="CW72" i="31"/>
  <c r="CV72" i="31"/>
  <c r="CU72" i="31"/>
  <c r="CT72" i="31"/>
  <c r="CS72" i="31"/>
  <c r="CR72" i="31"/>
  <c r="CQ72" i="31"/>
  <c r="CP72" i="31"/>
  <c r="CO72" i="31"/>
  <c r="CN72" i="31"/>
  <c r="CM72" i="31"/>
  <c r="CL72" i="31"/>
  <c r="CK72" i="31"/>
  <c r="CJ72" i="31"/>
  <c r="CI72" i="31"/>
  <c r="CH72" i="31"/>
  <c r="CG72" i="31"/>
  <c r="CF72" i="31"/>
  <c r="CE72" i="31"/>
  <c r="CD72" i="31"/>
  <c r="CC72" i="31"/>
  <c r="CB72" i="31"/>
  <c r="CA72" i="31"/>
  <c r="BZ72" i="31"/>
  <c r="BY72" i="31"/>
  <c r="BX72" i="31"/>
  <c r="BW72" i="31"/>
  <c r="BV72" i="31"/>
  <c r="BU72" i="31"/>
  <c r="BT72" i="31"/>
  <c r="BS72" i="31"/>
  <c r="BR72" i="31"/>
  <c r="BQ72" i="31"/>
  <c r="BP72" i="31"/>
  <c r="BO72" i="31"/>
  <c r="BN72" i="31"/>
  <c r="BM72" i="31"/>
  <c r="BL72" i="31"/>
  <c r="BK72" i="31"/>
  <c r="BJ72" i="31"/>
  <c r="BI72" i="31"/>
  <c r="BH72" i="31"/>
  <c r="BG72" i="31"/>
  <c r="BF72" i="31"/>
  <c r="BE72" i="31"/>
  <c r="BD72" i="31"/>
  <c r="BC72" i="31"/>
  <c r="BB72" i="31"/>
  <c r="BA72" i="31"/>
  <c r="AZ72" i="31"/>
  <c r="AY72" i="31"/>
  <c r="AX72" i="31"/>
  <c r="AW72" i="31"/>
  <c r="AV72" i="31"/>
  <c r="AU72" i="31"/>
  <c r="AT72" i="31"/>
  <c r="AS72" i="31"/>
  <c r="AR72" i="31"/>
  <c r="AQ72" i="31"/>
  <c r="AP72" i="31"/>
  <c r="AO72" i="31"/>
  <c r="AN72" i="31"/>
  <c r="AM72" i="31"/>
  <c r="AL72" i="31"/>
  <c r="AK72" i="31"/>
  <c r="AJ72" i="31"/>
  <c r="AI72" i="31"/>
  <c r="AH72" i="31"/>
  <c r="AG72" i="31"/>
  <c r="AF72" i="31"/>
  <c r="AE72" i="31"/>
  <c r="AD72" i="31"/>
  <c r="AC72" i="31"/>
  <c r="AB72" i="31"/>
  <c r="AA72" i="31"/>
  <c r="Z72" i="31"/>
  <c r="Y72" i="31"/>
  <c r="X72" i="31"/>
  <c r="W72" i="31"/>
  <c r="V72" i="31"/>
  <c r="U72" i="31"/>
  <c r="T72" i="31"/>
  <c r="S72" i="31"/>
  <c r="R72" i="31"/>
  <c r="Q72" i="31"/>
  <c r="P72" i="31"/>
  <c r="O72" i="31"/>
  <c r="N72" i="31"/>
  <c r="M72" i="31"/>
  <c r="L72" i="31"/>
  <c r="K72" i="31"/>
  <c r="J72" i="31"/>
  <c r="I72" i="31"/>
  <c r="H72" i="31"/>
  <c r="G72" i="31"/>
  <c r="F72" i="31"/>
  <c r="C72" i="31"/>
  <c r="GT62" i="31"/>
  <c r="GS62" i="31"/>
  <c r="GR62" i="31"/>
  <c r="GQ62" i="31"/>
  <c r="GP62" i="31"/>
  <c r="GO62" i="31"/>
  <c r="GN62" i="31"/>
  <c r="GM62" i="31"/>
  <c r="GL62" i="31"/>
  <c r="GK62" i="31"/>
  <c r="GJ62" i="31"/>
  <c r="GI62" i="31"/>
  <c r="GH62" i="31"/>
  <c r="GG62" i="31"/>
  <c r="GF62" i="31"/>
  <c r="GE62" i="31"/>
  <c r="GD62" i="31"/>
  <c r="GC62" i="31"/>
  <c r="GB62" i="31"/>
  <c r="GA62" i="31"/>
  <c r="FZ62" i="31"/>
  <c r="FY62" i="31"/>
  <c r="FX62" i="31"/>
  <c r="FW62" i="31"/>
  <c r="FV62" i="31"/>
  <c r="FU62" i="31"/>
  <c r="FT62" i="31"/>
  <c r="FS62" i="31"/>
  <c r="FR62" i="31"/>
  <c r="FQ62" i="31"/>
  <c r="FP62" i="31"/>
  <c r="FO62" i="31"/>
  <c r="FN62" i="31"/>
  <c r="FM62" i="31"/>
  <c r="FL62" i="31"/>
  <c r="FK62" i="31"/>
  <c r="FJ62" i="31"/>
  <c r="FI62" i="31"/>
  <c r="FH62" i="31"/>
  <c r="FG62" i="31"/>
  <c r="FF62" i="31"/>
  <c r="FE62" i="31"/>
  <c r="FD62" i="31"/>
  <c r="FC62" i="31"/>
  <c r="FB62" i="31"/>
  <c r="FA62" i="31"/>
  <c r="EZ62" i="31"/>
  <c r="EY62" i="31"/>
  <c r="EX62" i="31"/>
  <c r="EW62" i="31"/>
  <c r="EV62" i="31"/>
  <c r="EU62" i="31"/>
  <c r="ET62" i="31"/>
  <c r="ES62" i="31"/>
  <c r="ER62" i="31"/>
  <c r="EQ62" i="31"/>
  <c r="EP62" i="31"/>
  <c r="EO62" i="31"/>
  <c r="EN62" i="31"/>
  <c r="EM62" i="31"/>
  <c r="EL62" i="31"/>
  <c r="EK62" i="31"/>
  <c r="EJ62" i="31"/>
  <c r="EI62" i="31"/>
  <c r="EH62" i="31"/>
  <c r="EG62" i="31"/>
  <c r="EF62" i="31"/>
  <c r="EE62" i="31"/>
  <c r="ED62" i="31"/>
  <c r="EC62" i="31"/>
  <c r="EB62" i="31"/>
  <c r="EA62" i="31"/>
  <c r="DZ62" i="31"/>
  <c r="DY62" i="31"/>
  <c r="DX62" i="31"/>
  <c r="DW62" i="31"/>
  <c r="DV62" i="31"/>
  <c r="DU62" i="31"/>
  <c r="DT62" i="31"/>
  <c r="DS62" i="31"/>
  <c r="DR62" i="31"/>
  <c r="DQ62" i="31"/>
  <c r="DP62" i="31"/>
  <c r="DO62" i="31"/>
  <c r="DN62" i="31"/>
  <c r="DM62" i="31"/>
  <c r="DL62" i="31"/>
  <c r="DK62" i="31"/>
  <c r="DJ62" i="31"/>
  <c r="DI62" i="31"/>
  <c r="DH62" i="31"/>
  <c r="DG62" i="31"/>
  <c r="DF62" i="31"/>
  <c r="DE62" i="31"/>
  <c r="DD62" i="31"/>
  <c r="DC62" i="31"/>
  <c r="DB62" i="31"/>
  <c r="DA62" i="31"/>
  <c r="CZ62" i="31"/>
  <c r="CY62" i="31"/>
  <c r="CX62" i="31"/>
  <c r="CW62" i="31"/>
  <c r="CV62" i="31"/>
  <c r="CU62" i="31"/>
  <c r="CT62" i="31"/>
  <c r="CS62" i="31"/>
  <c r="CR62" i="31"/>
  <c r="CQ62" i="31"/>
  <c r="CP62" i="31"/>
  <c r="CO62" i="31"/>
  <c r="CN62" i="31"/>
  <c r="CM62" i="31"/>
  <c r="CL62" i="31"/>
  <c r="CK62" i="31"/>
  <c r="CJ62" i="31"/>
  <c r="CI62" i="31"/>
  <c r="CH62" i="31"/>
  <c r="CG62" i="31"/>
  <c r="CF62" i="31"/>
  <c r="CE62" i="31"/>
  <c r="CD62" i="31"/>
  <c r="CC62" i="31"/>
  <c r="CB62" i="31"/>
  <c r="CA62" i="31"/>
  <c r="BZ62" i="31"/>
  <c r="BY62" i="31"/>
  <c r="BX62" i="31"/>
  <c r="BW62" i="31"/>
  <c r="BV62" i="31"/>
  <c r="BU62" i="31"/>
  <c r="BT62" i="31"/>
  <c r="BS62" i="31"/>
  <c r="BR62" i="31"/>
  <c r="BQ62" i="31"/>
  <c r="BP62" i="31"/>
  <c r="BO62" i="31"/>
  <c r="BN62" i="31"/>
  <c r="BM62" i="31"/>
  <c r="BL62" i="31"/>
  <c r="BK62" i="31"/>
  <c r="BJ62" i="31"/>
  <c r="BI62" i="31"/>
  <c r="BH62" i="31"/>
  <c r="BG62" i="31"/>
  <c r="BF62" i="31"/>
  <c r="BE62" i="31"/>
  <c r="BD62" i="31"/>
  <c r="BC62" i="31"/>
  <c r="BB62" i="31"/>
  <c r="BA62" i="31"/>
  <c r="AZ62" i="31"/>
  <c r="AY62" i="31"/>
  <c r="AX62" i="31"/>
  <c r="AW62" i="31"/>
  <c r="AV62" i="31"/>
  <c r="AU62" i="31"/>
  <c r="AT62" i="31"/>
  <c r="AS62" i="31"/>
  <c r="AR62" i="31"/>
  <c r="AQ62" i="31"/>
  <c r="AP62" i="31"/>
  <c r="AO62" i="31"/>
  <c r="AN62" i="31"/>
  <c r="AM62" i="31"/>
  <c r="AL62" i="31"/>
  <c r="AK62" i="31"/>
  <c r="AJ62" i="31"/>
  <c r="AI62" i="31"/>
  <c r="AH62" i="31"/>
  <c r="AG62" i="31"/>
  <c r="AF62" i="31"/>
  <c r="AE62" i="31"/>
  <c r="AD62" i="31"/>
  <c r="AC62" i="31"/>
  <c r="AB62" i="31"/>
  <c r="AA62" i="31"/>
  <c r="Z62" i="31"/>
  <c r="Y62" i="31"/>
  <c r="X62" i="31"/>
  <c r="W62" i="31"/>
  <c r="V62" i="31"/>
  <c r="U62" i="31"/>
  <c r="T62" i="31"/>
  <c r="S62" i="31"/>
  <c r="R62" i="31"/>
  <c r="Q62" i="31"/>
  <c r="P62" i="31"/>
  <c r="O62" i="31"/>
  <c r="N62" i="31"/>
  <c r="M62" i="31"/>
  <c r="L62" i="31"/>
  <c r="K62" i="31"/>
  <c r="J62" i="31"/>
  <c r="I62" i="31"/>
  <c r="H62" i="31"/>
  <c r="G62" i="31"/>
  <c r="F62" i="31"/>
  <c r="E62" i="31"/>
  <c r="D62" i="31"/>
  <c r="C62" i="31"/>
  <c r="GT53" i="31"/>
  <c r="GS53" i="31"/>
  <c r="GR53" i="31"/>
  <c r="GQ53" i="31"/>
  <c r="GP53" i="31"/>
  <c r="GO53" i="31"/>
  <c r="GN53" i="31"/>
  <c r="GM53" i="31"/>
  <c r="GL53" i="31"/>
  <c r="GK53" i="31"/>
  <c r="GJ53" i="31"/>
  <c r="GI53" i="31"/>
  <c r="GH53" i="31"/>
  <c r="GG53" i="31"/>
  <c r="GF53" i="31"/>
  <c r="GE53" i="31"/>
  <c r="GD53" i="31"/>
  <c r="GC53" i="31"/>
  <c r="GB53" i="31"/>
  <c r="GA53" i="31"/>
  <c r="FZ53" i="31"/>
  <c r="FY53" i="31"/>
  <c r="FX53" i="31"/>
  <c r="FW53" i="31"/>
  <c r="FV53" i="31"/>
  <c r="FU53" i="31"/>
  <c r="FT53" i="31"/>
  <c r="FS53" i="31"/>
  <c r="FR53" i="31"/>
  <c r="FQ53" i="31"/>
  <c r="FP53" i="31"/>
  <c r="FO53" i="31"/>
  <c r="FN53" i="31"/>
  <c r="FM53" i="31"/>
  <c r="FL53" i="31"/>
  <c r="FK53" i="31"/>
  <c r="FJ53" i="31"/>
  <c r="FI53" i="31"/>
  <c r="FH53" i="31"/>
  <c r="FG53" i="31"/>
  <c r="FF53" i="31"/>
  <c r="FE53" i="31"/>
  <c r="FD53" i="31"/>
  <c r="FC53" i="31"/>
  <c r="FB53" i="31"/>
  <c r="FA53" i="31"/>
  <c r="EZ53" i="31"/>
  <c r="EY53" i="31"/>
  <c r="EX53" i="31"/>
  <c r="EW53" i="31"/>
  <c r="EV53" i="31"/>
  <c r="EU53" i="31"/>
  <c r="ET53" i="31"/>
  <c r="ES53" i="31"/>
  <c r="ER53" i="31"/>
  <c r="EQ53" i="31"/>
  <c r="EP53" i="31"/>
  <c r="EO53" i="31"/>
  <c r="EN53" i="31"/>
  <c r="EM53" i="31"/>
  <c r="EL53" i="31"/>
  <c r="EK53" i="31"/>
  <c r="EJ53" i="31"/>
  <c r="EI53" i="31"/>
  <c r="EH53" i="31"/>
  <c r="EG53" i="31"/>
  <c r="EF53" i="31"/>
  <c r="EE53" i="31"/>
  <c r="ED53" i="31"/>
  <c r="EC53" i="31"/>
  <c r="EB53" i="31"/>
  <c r="EA53" i="31"/>
  <c r="DZ53" i="31"/>
  <c r="DY53" i="31"/>
  <c r="DX53" i="31"/>
  <c r="DW53" i="31"/>
  <c r="DV53" i="31"/>
  <c r="DU53" i="31"/>
  <c r="DT53" i="31"/>
  <c r="DS53" i="31"/>
  <c r="DR53" i="31"/>
  <c r="DQ53" i="31"/>
  <c r="DP53" i="31"/>
  <c r="DO53" i="31"/>
  <c r="DN53" i="31"/>
  <c r="DM53" i="31"/>
  <c r="DL53" i="31"/>
  <c r="DK53" i="31"/>
  <c r="DJ53" i="31"/>
  <c r="DI53" i="31"/>
  <c r="DH53" i="31"/>
  <c r="DG53" i="31"/>
  <c r="DF53" i="31"/>
  <c r="DE53" i="31"/>
  <c r="DD53" i="31"/>
  <c r="DC53" i="31"/>
  <c r="DB53" i="31"/>
  <c r="DA53" i="31"/>
  <c r="CZ53" i="31"/>
  <c r="CY53" i="31"/>
  <c r="CX53" i="31"/>
  <c r="CW53" i="31"/>
  <c r="CV53" i="31"/>
  <c r="CU53" i="31"/>
  <c r="CT53" i="31"/>
  <c r="CS53" i="31"/>
  <c r="CR53" i="31"/>
  <c r="CQ53" i="31"/>
  <c r="CP53" i="31"/>
  <c r="CO53" i="31"/>
  <c r="CN53" i="31"/>
  <c r="CM53" i="31"/>
  <c r="CL53" i="31"/>
  <c r="CK53" i="31"/>
  <c r="CJ53" i="31"/>
  <c r="CI53" i="31"/>
  <c r="CH53" i="31"/>
  <c r="CG53" i="31"/>
  <c r="CF53" i="31"/>
  <c r="CE53" i="31"/>
  <c r="CD53" i="31"/>
  <c r="CC53" i="31"/>
  <c r="CB53" i="31"/>
  <c r="CA53" i="31"/>
  <c r="BZ53" i="31"/>
  <c r="BY53" i="31"/>
  <c r="BX53" i="31"/>
  <c r="BW53" i="31"/>
  <c r="BV53" i="31"/>
  <c r="BU53" i="31"/>
  <c r="BT53" i="31"/>
  <c r="BS53" i="31"/>
  <c r="BR53" i="31"/>
  <c r="BQ53" i="31"/>
  <c r="BP53" i="31"/>
  <c r="BO53" i="31"/>
  <c r="BN53" i="31"/>
  <c r="BM53" i="31"/>
  <c r="BL53" i="31"/>
  <c r="BK53" i="31"/>
  <c r="BJ53" i="31"/>
  <c r="BI53" i="31"/>
  <c r="BH53" i="31"/>
  <c r="BG53" i="31"/>
  <c r="BF53" i="31"/>
  <c r="BE53" i="31"/>
  <c r="BD53" i="31"/>
  <c r="BC53" i="31"/>
  <c r="BB53" i="31"/>
  <c r="BA53" i="31"/>
  <c r="AZ53" i="31"/>
  <c r="AY53" i="31"/>
  <c r="AX53" i="31"/>
  <c r="AW53" i="31"/>
  <c r="AV53" i="31"/>
  <c r="AU53" i="31"/>
  <c r="AT53" i="31"/>
  <c r="AS53" i="31"/>
  <c r="AR53" i="31"/>
  <c r="AQ53" i="31"/>
  <c r="AP53" i="31"/>
  <c r="AO53" i="31"/>
  <c r="AN53" i="31"/>
  <c r="AM53" i="31"/>
  <c r="AL53" i="31"/>
  <c r="AK53" i="31"/>
  <c r="AJ53" i="31"/>
  <c r="AI53" i="31"/>
  <c r="AH53" i="31"/>
  <c r="AG53" i="31"/>
  <c r="AF53" i="31"/>
  <c r="AE53" i="31"/>
  <c r="AD53" i="31"/>
  <c r="AC53" i="31"/>
  <c r="AB53" i="31"/>
  <c r="AA53" i="31"/>
  <c r="Z53" i="31"/>
  <c r="Y53" i="31"/>
  <c r="X53" i="31"/>
  <c r="W53" i="31"/>
  <c r="V53" i="31"/>
  <c r="U53" i="31"/>
  <c r="T53" i="31"/>
  <c r="S53" i="31"/>
  <c r="R53" i="31"/>
  <c r="Q53" i="31"/>
  <c r="P53" i="31"/>
  <c r="O53" i="31"/>
  <c r="N53" i="31"/>
  <c r="M53" i="31"/>
  <c r="L53" i="31"/>
  <c r="K53" i="31"/>
  <c r="J53" i="31"/>
  <c r="I53" i="31"/>
  <c r="H53" i="31"/>
  <c r="G53" i="31"/>
  <c r="F53" i="31"/>
  <c r="E53" i="31"/>
  <c r="D53" i="31"/>
  <c r="C53" i="31"/>
  <c r="GT44" i="31"/>
  <c r="GS44" i="31"/>
  <c r="GR44" i="31"/>
  <c r="GQ44" i="31"/>
  <c r="GP44" i="31"/>
  <c r="GO44" i="31"/>
  <c r="GN44" i="31"/>
  <c r="GM44" i="31"/>
  <c r="GL44" i="31"/>
  <c r="GK44" i="31"/>
  <c r="GJ44" i="31"/>
  <c r="GI44" i="31"/>
  <c r="GH44" i="31"/>
  <c r="GG44" i="31"/>
  <c r="GF44" i="31"/>
  <c r="GE44" i="31"/>
  <c r="GD44" i="31"/>
  <c r="GC44" i="31"/>
  <c r="GB44" i="31"/>
  <c r="GA44" i="31"/>
  <c r="FZ44" i="31"/>
  <c r="FY44" i="31"/>
  <c r="FX44" i="31"/>
  <c r="FW44" i="31"/>
  <c r="FV44" i="31"/>
  <c r="FU44" i="31"/>
  <c r="FT44" i="31"/>
  <c r="FS44" i="31"/>
  <c r="FR44" i="31"/>
  <c r="FQ44" i="31"/>
  <c r="FP44" i="31"/>
  <c r="FO44" i="31"/>
  <c r="FN44" i="31"/>
  <c r="FM44" i="31"/>
  <c r="FL44" i="31"/>
  <c r="FK44" i="31"/>
  <c r="FJ44" i="31"/>
  <c r="FI44" i="31"/>
  <c r="FH44" i="31"/>
  <c r="FG44" i="31"/>
  <c r="FF44" i="31"/>
  <c r="FE44" i="31"/>
  <c r="FD44" i="31"/>
  <c r="FC44" i="31"/>
  <c r="FB44" i="31"/>
  <c r="FA44" i="31"/>
  <c r="EZ44" i="31"/>
  <c r="EY44" i="31"/>
  <c r="EX44" i="31"/>
  <c r="EW44" i="31"/>
  <c r="EV44" i="31"/>
  <c r="EU44" i="31"/>
  <c r="ET44" i="31"/>
  <c r="ES44" i="31"/>
  <c r="ER44" i="31"/>
  <c r="EQ44" i="31"/>
  <c r="EP44" i="31"/>
  <c r="EO44" i="31"/>
  <c r="EN44" i="31"/>
  <c r="EM44" i="31"/>
  <c r="EL44" i="31"/>
  <c r="EK44" i="31"/>
  <c r="EJ44" i="31"/>
  <c r="EI44" i="31"/>
  <c r="EH44" i="31"/>
  <c r="EG44" i="31"/>
  <c r="EF44" i="31"/>
  <c r="EE44" i="31"/>
  <c r="ED44" i="31"/>
  <c r="EC44" i="31"/>
  <c r="EB44" i="31"/>
  <c r="EA44" i="31"/>
  <c r="DZ44" i="31"/>
  <c r="DY44" i="31"/>
  <c r="DX44" i="31"/>
  <c r="DW44" i="31"/>
  <c r="DV44" i="31"/>
  <c r="DU44" i="31"/>
  <c r="DT44" i="31"/>
  <c r="DS44" i="31"/>
  <c r="DR44" i="31"/>
  <c r="DQ44" i="31"/>
  <c r="DP44" i="31"/>
  <c r="DO44" i="31"/>
  <c r="DN44" i="31"/>
  <c r="DM44" i="31"/>
  <c r="DL44" i="31"/>
  <c r="DK44" i="31"/>
  <c r="DJ44" i="31"/>
  <c r="DI44" i="31"/>
  <c r="DH44" i="31"/>
  <c r="DG44" i="31"/>
  <c r="DF44" i="31"/>
  <c r="DE44" i="31"/>
  <c r="DD44" i="31"/>
  <c r="DC44" i="31"/>
  <c r="DB44" i="31"/>
  <c r="DA44" i="31"/>
  <c r="CZ44" i="31"/>
  <c r="CY44" i="31"/>
  <c r="CX44" i="31"/>
  <c r="CW44" i="31"/>
  <c r="CV44" i="31"/>
  <c r="CU44" i="31"/>
  <c r="CT44" i="31"/>
  <c r="CS44" i="31"/>
  <c r="CR44" i="31"/>
  <c r="CQ44" i="31"/>
  <c r="CP44" i="31"/>
  <c r="CO44" i="31"/>
  <c r="CN44" i="31"/>
  <c r="CM44" i="31"/>
  <c r="CL44" i="31"/>
  <c r="CK44" i="31"/>
  <c r="CJ44" i="31"/>
  <c r="CI44" i="31"/>
  <c r="CH44" i="31"/>
  <c r="CG44" i="31"/>
  <c r="CF44" i="31"/>
  <c r="CE44" i="31"/>
  <c r="CD44" i="31"/>
  <c r="CC44" i="31"/>
  <c r="CB44" i="31"/>
  <c r="CA44" i="31"/>
  <c r="BZ44" i="31"/>
  <c r="BY44" i="31"/>
  <c r="BX44" i="31"/>
  <c r="BW44" i="31"/>
  <c r="BV44" i="31"/>
  <c r="BU44" i="31"/>
  <c r="BT44" i="31"/>
  <c r="BS44" i="31"/>
  <c r="BR44" i="31"/>
  <c r="BQ44" i="31"/>
  <c r="BP44" i="31"/>
  <c r="BO44" i="31"/>
  <c r="BN44" i="31"/>
  <c r="BM44" i="31"/>
  <c r="BL44" i="31"/>
  <c r="BK44" i="31"/>
  <c r="BJ44" i="31"/>
  <c r="BI44" i="31"/>
  <c r="BH44" i="31"/>
  <c r="BG44" i="31"/>
  <c r="BF44" i="31"/>
  <c r="BE44" i="31"/>
  <c r="BD44" i="31"/>
  <c r="BC44" i="31"/>
  <c r="BB44" i="31"/>
  <c r="BA44" i="31"/>
  <c r="AZ44" i="31"/>
  <c r="AY44" i="31"/>
  <c r="AX44" i="31"/>
  <c r="AW44" i="31"/>
  <c r="AV44" i="31"/>
  <c r="AU44" i="31"/>
  <c r="AT44" i="31"/>
  <c r="AS44" i="31"/>
  <c r="AR44" i="31"/>
  <c r="AQ44" i="31"/>
  <c r="AP44" i="31"/>
  <c r="AO44" i="31"/>
  <c r="AN44" i="31"/>
  <c r="AM44" i="31"/>
  <c r="AL44" i="31"/>
  <c r="AK44" i="31"/>
  <c r="AJ44" i="31"/>
  <c r="AI44" i="31"/>
  <c r="AH44" i="31"/>
  <c r="AG44" i="31"/>
  <c r="AF44" i="31"/>
  <c r="AE44" i="31"/>
  <c r="AD44" i="31"/>
  <c r="AC44" i="31"/>
  <c r="AB44" i="31"/>
  <c r="AA44" i="31"/>
  <c r="Z44" i="31"/>
  <c r="Y44" i="31"/>
  <c r="X44" i="31"/>
  <c r="W44" i="31"/>
  <c r="V44" i="31"/>
  <c r="U44" i="31"/>
  <c r="T44" i="31"/>
  <c r="S44" i="31"/>
  <c r="R44" i="31"/>
  <c r="Q44" i="31"/>
  <c r="P44" i="31"/>
  <c r="O44" i="31"/>
  <c r="N44" i="31"/>
  <c r="M44" i="31"/>
  <c r="L44" i="31"/>
  <c r="K44" i="31"/>
  <c r="J44" i="31"/>
  <c r="I44" i="31"/>
  <c r="H44" i="31"/>
  <c r="G44" i="31"/>
  <c r="F44" i="31"/>
  <c r="E44" i="31"/>
  <c r="D44" i="31"/>
  <c r="C44" i="31"/>
  <c r="G34" i="31"/>
  <c r="C34" i="31"/>
  <c r="D34" i="31"/>
  <c r="GT25" i="31"/>
  <c r="GS25" i="31"/>
  <c r="GR25" i="31"/>
  <c r="GQ25" i="31"/>
  <c r="GP25" i="31"/>
  <c r="GO25" i="31"/>
  <c r="GN25" i="31"/>
  <c r="GM25" i="31"/>
  <c r="GL25" i="31"/>
  <c r="GK25" i="31"/>
  <c r="GJ25" i="31"/>
  <c r="GI25" i="31"/>
  <c r="GH25" i="31"/>
  <c r="GG25" i="31"/>
  <c r="GF25" i="31"/>
  <c r="GE25" i="31"/>
  <c r="GD25" i="31"/>
  <c r="GC25" i="31"/>
  <c r="GB25" i="31"/>
  <c r="GA25" i="31"/>
  <c r="FZ25" i="31"/>
  <c r="FY25" i="31"/>
  <c r="FX25" i="31"/>
  <c r="FW25" i="31"/>
  <c r="FV25" i="31"/>
  <c r="FU25" i="31"/>
  <c r="FT25" i="31"/>
  <c r="FS25" i="31"/>
  <c r="FR25" i="31"/>
  <c r="FQ25" i="31"/>
  <c r="FP25" i="31"/>
  <c r="FO25" i="31"/>
  <c r="FN25" i="31"/>
  <c r="FM25" i="31"/>
  <c r="FL25" i="31"/>
  <c r="FK25" i="31"/>
  <c r="FJ25" i="31"/>
  <c r="FI25" i="31"/>
  <c r="FH25" i="31"/>
  <c r="FG25" i="31"/>
  <c r="FF25" i="31"/>
  <c r="FE25" i="31"/>
  <c r="FD25" i="31"/>
  <c r="FC25" i="31"/>
  <c r="FB25" i="31"/>
  <c r="FA25" i="31"/>
  <c r="EZ25" i="31"/>
  <c r="EY25" i="31"/>
  <c r="EX25" i="31"/>
  <c r="EW25" i="31"/>
  <c r="EV25" i="31"/>
  <c r="EU25" i="31"/>
  <c r="ET25" i="31"/>
  <c r="ES25" i="31"/>
  <c r="ER25" i="31"/>
  <c r="EQ25" i="31"/>
  <c r="EP25" i="31"/>
  <c r="EO25" i="31"/>
  <c r="EN25" i="31"/>
  <c r="EM25" i="31"/>
  <c r="EL25" i="31"/>
  <c r="EK25" i="31"/>
  <c r="EJ25" i="31"/>
  <c r="EI25" i="31"/>
  <c r="EH25" i="31"/>
  <c r="EG25" i="31"/>
  <c r="EF25" i="31"/>
  <c r="EE25" i="31"/>
  <c r="ED25" i="31"/>
  <c r="EC25" i="31"/>
  <c r="EB25" i="31"/>
  <c r="EA25" i="31"/>
  <c r="DZ25" i="31"/>
  <c r="DY25" i="31"/>
  <c r="DX25" i="31"/>
  <c r="DW25" i="31"/>
  <c r="DV25" i="31"/>
  <c r="DU25" i="31"/>
  <c r="DT25" i="31"/>
  <c r="DS25" i="31"/>
  <c r="DR25" i="31"/>
  <c r="DQ25" i="31"/>
  <c r="DP25" i="31"/>
  <c r="DO25" i="31"/>
  <c r="DN25" i="31"/>
  <c r="DM25" i="31"/>
  <c r="DL25" i="31"/>
  <c r="DK25" i="31"/>
  <c r="DJ25" i="31"/>
  <c r="DI25" i="31"/>
  <c r="DH25" i="31"/>
  <c r="DG25" i="31"/>
  <c r="DF25" i="31"/>
  <c r="DE25" i="31"/>
  <c r="DD25" i="31"/>
  <c r="DC25" i="31"/>
  <c r="DB25" i="31"/>
  <c r="DA25" i="31"/>
  <c r="CZ25" i="31"/>
  <c r="CY25" i="31"/>
  <c r="CX25" i="31"/>
  <c r="CW25" i="31"/>
  <c r="CV25" i="31"/>
  <c r="CU25" i="31"/>
  <c r="CT25" i="31"/>
  <c r="CS25" i="31"/>
  <c r="CR25" i="31"/>
  <c r="CQ25" i="31"/>
  <c r="CP25" i="31"/>
  <c r="CO25" i="31"/>
  <c r="CN25" i="31"/>
  <c r="CM25" i="31"/>
  <c r="CL25" i="31"/>
  <c r="CK25" i="31"/>
  <c r="CJ25" i="31"/>
  <c r="CI25" i="31"/>
  <c r="CH25" i="31"/>
  <c r="CG25" i="31"/>
  <c r="CF25" i="31"/>
  <c r="CE25" i="31"/>
  <c r="CD25" i="31"/>
  <c r="CC25" i="31"/>
  <c r="CB25" i="31"/>
  <c r="CA25" i="31"/>
  <c r="BZ25" i="31"/>
  <c r="BY25" i="31"/>
  <c r="BX25" i="31"/>
  <c r="BW25" i="31"/>
  <c r="BV25" i="31"/>
  <c r="BU25" i="31"/>
  <c r="BT25" i="31"/>
  <c r="BS25" i="31"/>
  <c r="BR25" i="31"/>
  <c r="BQ25" i="31"/>
  <c r="BP25" i="31"/>
  <c r="BO25" i="31"/>
  <c r="BN25" i="31"/>
  <c r="BM25" i="31"/>
  <c r="BL25" i="31"/>
  <c r="BK25" i="31"/>
  <c r="BJ25" i="31"/>
  <c r="BI25" i="31"/>
  <c r="BH25" i="31"/>
  <c r="BG25" i="31"/>
  <c r="BF25" i="31"/>
  <c r="BE25" i="31"/>
  <c r="BD25" i="31"/>
  <c r="BC25" i="31"/>
  <c r="BB25" i="31"/>
  <c r="BA25" i="31"/>
  <c r="AZ25" i="31"/>
  <c r="AY25" i="31"/>
  <c r="AX25" i="31"/>
  <c r="AW25" i="31"/>
  <c r="AV25" i="31"/>
  <c r="AU25" i="31"/>
  <c r="AT25" i="31"/>
  <c r="AS25" i="31"/>
  <c r="AR25" i="31"/>
  <c r="AQ25" i="31"/>
  <c r="AP25" i="31"/>
  <c r="AO25" i="31"/>
  <c r="AN25" i="31"/>
  <c r="AM25" i="31"/>
  <c r="AL25" i="31"/>
  <c r="AK25" i="31"/>
  <c r="AJ25" i="31"/>
  <c r="AI25" i="31"/>
  <c r="AH25" i="31"/>
  <c r="AG25" i="31"/>
  <c r="AF25" i="31"/>
  <c r="AE25" i="31"/>
  <c r="AD25" i="31"/>
  <c r="AC25" i="31"/>
  <c r="AB25" i="31"/>
  <c r="AA25" i="31"/>
  <c r="Z25" i="31"/>
  <c r="Y25" i="31"/>
  <c r="X25" i="31"/>
  <c r="W25" i="31"/>
  <c r="V25" i="31"/>
  <c r="U25" i="31"/>
  <c r="T25" i="31"/>
  <c r="S25" i="31"/>
  <c r="R25" i="31"/>
  <c r="Q25" i="31"/>
  <c r="P25" i="31"/>
  <c r="O25" i="31"/>
  <c r="N25" i="31"/>
  <c r="M25" i="31"/>
  <c r="L25" i="31"/>
  <c r="K25" i="31"/>
  <c r="J25" i="31"/>
  <c r="I25" i="31"/>
  <c r="H25" i="31"/>
  <c r="G25" i="31"/>
  <c r="F25" i="31"/>
  <c r="E25" i="31"/>
  <c r="D25" i="31"/>
  <c r="C25" i="31"/>
  <c r="GT16" i="31"/>
  <c r="GS16" i="31"/>
  <c r="GR16" i="31"/>
  <c r="GQ16" i="31"/>
  <c r="GP16" i="31"/>
  <c r="GO16" i="31"/>
  <c r="GN16" i="31"/>
  <c r="GM16" i="31"/>
  <c r="GL16" i="31"/>
  <c r="GK16" i="31"/>
  <c r="GJ16" i="31"/>
  <c r="GI16" i="31"/>
  <c r="GH16" i="31"/>
  <c r="GG16" i="31"/>
  <c r="GF16" i="31"/>
  <c r="GE16" i="31"/>
  <c r="GD16" i="31"/>
  <c r="GC16" i="31"/>
  <c r="GB16" i="31"/>
  <c r="GA16" i="31"/>
  <c r="FZ16" i="31"/>
  <c r="FY16" i="31"/>
  <c r="FX16" i="31"/>
  <c r="FW16" i="31"/>
  <c r="FV16" i="31"/>
  <c r="FU16" i="31"/>
  <c r="FT16" i="31"/>
  <c r="FS16" i="31"/>
  <c r="FR16" i="31"/>
  <c r="FQ16" i="31"/>
  <c r="FP16" i="31"/>
  <c r="FO16" i="31"/>
  <c r="FN16" i="31"/>
  <c r="FM16" i="31"/>
  <c r="FL16" i="31"/>
  <c r="FK16" i="31"/>
  <c r="FJ16" i="31"/>
  <c r="FI16" i="31"/>
  <c r="FH16" i="31"/>
  <c r="FG16" i="31"/>
  <c r="FF16" i="31"/>
  <c r="FE16" i="31"/>
  <c r="FD16" i="31"/>
  <c r="FC16" i="31"/>
  <c r="FB16" i="31"/>
  <c r="FA16" i="31"/>
  <c r="EZ16" i="31"/>
  <c r="EY16" i="31"/>
  <c r="EX16" i="31"/>
  <c r="EW16" i="31"/>
  <c r="EV16" i="31"/>
  <c r="EU16" i="31"/>
  <c r="ET16" i="31"/>
  <c r="ES16" i="31"/>
  <c r="ER16" i="31"/>
  <c r="EQ16" i="31"/>
  <c r="EP16" i="31"/>
  <c r="EO16" i="31"/>
  <c r="EN16" i="31"/>
  <c r="EM16" i="31"/>
  <c r="EL16" i="31"/>
  <c r="EK16" i="31"/>
  <c r="EJ16" i="31"/>
  <c r="EI16" i="31"/>
  <c r="EH16" i="31"/>
  <c r="EG16" i="31"/>
  <c r="EF16" i="31"/>
  <c r="EE16" i="31"/>
  <c r="ED16" i="31"/>
  <c r="EC16" i="31"/>
  <c r="EB16" i="31"/>
  <c r="EA16" i="31"/>
  <c r="DZ16" i="31"/>
  <c r="DY16" i="31"/>
  <c r="DX16" i="31"/>
  <c r="DW16" i="31"/>
  <c r="DV16" i="31"/>
  <c r="DU16" i="31"/>
  <c r="DT16" i="31"/>
  <c r="DS16" i="31"/>
  <c r="DR16" i="31"/>
  <c r="DQ16" i="31"/>
  <c r="DP16" i="31"/>
  <c r="DO16" i="31"/>
  <c r="DN16" i="31"/>
  <c r="DM16" i="31"/>
  <c r="DL16" i="31"/>
  <c r="DK16" i="31"/>
  <c r="DJ16" i="31"/>
  <c r="DI16" i="31"/>
  <c r="DH16" i="31"/>
  <c r="DG16" i="31"/>
  <c r="DF16" i="31"/>
  <c r="DE16" i="31"/>
  <c r="DD16" i="31"/>
  <c r="DC16" i="31"/>
  <c r="DB16" i="31"/>
  <c r="DA16" i="31"/>
  <c r="CZ16" i="31"/>
  <c r="CY16" i="31"/>
  <c r="CX16" i="31"/>
  <c r="CW16" i="31"/>
  <c r="CV16" i="31"/>
  <c r="CU16" i="31"/>
  <c r="CT16" i="31"/>
  <c r="CS16" i="31"/>
  <c r="CR16" i="31"/>
  <c r="CQ16" i="31"/>
  <c r="CP16" i="31"/>
  <c r="CO16" i="31"/>
  <c r="CN16" i="31"/>
  <c r="CM16" i="31"/>
  <c r="CL16" i="31"/>
  <c r="CK16" i="31"/>
  <c r="CJ16" i="31"/>
  <c r="CI16" i="31"/>
  <c r="CH16" i="31"/>
  <c r="CG16" i="31"/>
  <c r="CF16" i="31"/>
  <c r="CE16" i="31"/>
  <c r="CD16" i="31"/>
  <c r="CC16" i="31"/>
  <c r="CB16" i="31"/>
  <c r="CA16" i="31"/>
  <c r="BZ16" i="31"/>
  <c r="BY16" i="31"/>
  <c r="BX16" i="31"/>
  <c r="BW16" i="31"/>
  <c r="BV16" i="31"/>
  <c r="BU16" i="31"/>
  <c r="BT16" i="31"/>
  <c r="BS16" i="31"/>
  <c r="BR16" i="31"/>
  <c r="BQ16" i="31"/>
  <c r="BP16" i="31"/>
  <c r="BO16" i="31"/>
  <c r="BN16" i="31"/>
  <c r="BM16" i="31"/>
  <c r="BL16" i="31"/>
  <c r="BK16" i="31"/>
  <c r="BJ16" i="31"/>
  <c r="BI16" i="31"/>
  <c r="BH16" i="31"/>
  <c r="BG16" i="31"/>
  <c r="BF16" i="31"/>
  <c r="BE16" i="31"/>
  <c r="BD16" i="31"/>
  <c r="BC16" i="31"/>
  <c r="BB16" i="31"/>
  <c r="BA16" i="31"/>
  <c r="AZ16" i="31"/>
  <c r="AY16" i="31"/>
  <c r="AX16" i="31"/>
  <c r="AW16" i="31"/>
  <c r="AV16" i="31"/>
  <c r="AU16" i="31"/>
  <c r="AT16" i="31"/>
  <c r="AS16" i="31"/>
  <c r="AR16" i="31"/>
  <c r="AQ16" i="31"/>
  <c r="AP16" i="31"/>
  <c r="AO16" i="31"/>
  <c r="AN16" i="31"/>
  <c r="AM16" i="31"/>
  <c r="AL16" i="31"/>
  <c r="AK16" i="31"/>
  <c r="AJ16" i="31"/>
  <c r="AI16" i="31"/>
  <c r="AH16" i="31"/>
  <c r="AG16" i="31"/>
  <c r="AF16" i="31"/>
  <c r="AE16" i="31"/>
  <c r="AD16" i="31"/>
  <c r="AC16" i="31"/>
  <c r="AB16" i="31"/>
  <c r="AA16" i="31"/>
  <c r="Z16" i="31"/>
  <c r="Y16" i="31"/>
  <c r="X16" i="31"/>
  <c r="W16" i="31"/>
  <c r="V16" i="31"/>
  <c r="U16" i="31"/>
  <c r="T16" i="31"/>
  <c r="S16" i="31"/>
  <c r="R16" i="31"/>
  <c r="Q16" i="31"/>
  <c r="P16" i="31"/>
  <c r="O16" i="31"/>
  <c r="N16" i="31"/>
  <c r="M16" i="31"/>
  <c r="L16" i="31"/>
  <c r="K16" i="31"/>
  <c r="J16" i="31"/>
  <c r="I16" i="31"/>
  <c r="H16" i="31"/>
  <c r="G16" i="31"/>
  <c r="F16" i="31"/>
  <c r="D16" i="31"/>
  <c r="C16" i="31"/>
  <c r="B307" i="24" s="1"/>
  <c r="E34" i="31"/>
  <c r="AB32" i="27" l="1"/>
  <c r="AB33" i="27" s="1"/>
  <c r="AB35" i="27" s="1"/>
  <c r="AJ90" i="31" s="1"/>
  <c r="AL32" i="27"/>
  <c r="AL33" i="27" s="1"/>
  <c r="AL35" i="27" s="1"/>
  <c r="AT90" i="31" s="1"/>
  <c r="AV32" i="27"/>
  <c r="AV33" i="27" s="1"/>
  <c r="AV35" i="27" s="1"/>
  <c r="BD90" i="31" s="1"/>
  <c r="BF32" i="27"/>
  <c r="BF33" i="27" s="1"/>
  <c r="BF35" i="27" s="1"/>
  <c r="AM32" i="27"/>
  <c r="AM33" i="27" s="1"/>
  <c r="AM35" i="27" s="1"/>
  <c r="AU90" i="31" s="1"/>
  <c r="AW32" i="27"/>
  <c r="AW33" i="27" s="1"/>
  <c r="AW35" i="27" s="1"/>
  <c r="BE90" i="31" s="1"/>
  <c r="BG32" i="27"/>
  <c r="BG33" i="27" s="1"/>
  <c r="BG35" i="27" s="1"/>
  <c r="T32" i="27"/>
  <c r="T33" i="27" s="1"/>
  <c r="T35" i="27" s="1"/>
  <c r="AB90" i="31" s="1"/>
  <c r="AN32" i="27"/>
  <c r="AN33" i="27" s="1"/>
  <c r="AN35" i="27" s="1"/>
  <c r="AV90" i="31" s="1"/>
  <c r="BH32" i="27"/>
  <c r="BH33" i="27" s="1"/>
  <c r="BH35" i="27" s="1"/>
  <c r="U32" i="27"/>
  <c r="U33" i="27" s="1"/>
  <c r="U35" i="27" s="1"/>
  <c r="AC90" i="31" s="1"/>
  <c r="AO32" i="27"/>
  <c r="AO33" i="27" s="1"/>
  <c r="AO35" i="27" s="1"/>
  <c r="AW90" i="31" s="1"/>
  <c r="BI32" i="27"/>
  <c r="BI33" i="27" s="1"/>
  <c r="BI35" i="27" s="1"/>
  <c r="AF32" i="27"/>
  <c r="AF33" i="27" s="1"/>
  <c r="AF35" i="27" s="1"/>
  <c r="AN90" i="31" s="1"/>
  <c r="AZ32" i="27"/>
  <c r="AZ33" i="27" s="1"/>
  <c r="AZ35" i="27" s="1"/>
  <c r="BH90" i="31" s="1"/>
  <c r="AG32" i="27"/>
  <c r="AG33" i="27" s="1"/>
  <c r="AG35" i="27" s="1"/>
  <c r="AO90" i="31" s="1"/>
  <c r="BK32" i="27"/>
  <c r="BK33" i="27" s="1"/>
  <c r="BK35" i="27" s="1"/>
  <c r="AH32" i="27"/>
  <c r="AH33" i="27" s="1"/>
  <c r="AH35" i="27" s="1"/>
  <c r="AP90" i="31" s="1"/>
  <c r="BL32" i="27"/>
  <c r="BL33" i="27" s="1"/>
  <c r="BL35" i="27" s="1"/>
  <c r="AC32" i="27"/>
  <c r="AC33" i="27" s="1"/>
  <c r="AC35" i="27" s="1"/>
  <c r="AK90" i="31" s="1"/>
  <c r="AD32" i="27"/>
  <c r="AD33" i="27" s="1"/>
  <c r="AD35" i="27" s="1"/>
  <c r="AL90" i="31" s="1"/>
  <c r="AX32" i="27"/>
  <c r="AX33" i="27" s="1"/>
  <c r="AX35" i="27" s="1"/>
  <c r="BF90" i="31" s="1"/>
  <c r="AE32" i="27"/>
  <c r="AE33" i="27" s="1"/>
  <c r="AE35" i="27" s="1"/>
  <c r="AM90" i="31" s="1"/>
  <c r="AY32" i="27"/>
  <c r="AY33" i="27" s="1"/>
  <c r="AY35" i="27" s="1"/>
  <c r="BG90" i="31" s="1"/>
  <c r="V32" i="27"/>
  <c r="V33" i="27" s="1"/>
  <c r="V35" i="27" s="1"/>
  <c r="AD90" i="31" s="1"/>
  <c r="AP32" i="27"/>
  <c r="AP33" i="27" s="1"/>
  <c r="AP35" i="27" s="1"/>
  <c r="AX90" i="31" s="1"/>
  <c r="BJ32" i="27"/>
  <c r="BJ33" i="27" s="1"/>
  <c r="BJ35" i="27" s="1"/>
  <c r="W32" i="27"/>
  <c r="W33" i="27" s="1"/>
  <c r="W35" i="27" s="1"/>
  <c r="AE90" i="31" s="1"/>
  <c r="AQ32" i="27"/>
  <c r="AQ33" i="27" s="1"/>
  <c r="AQ35" i="27" s="1"/>
  <c r="AY90" i="31" s="1"/>
  <c r="BB32" i="27"/>
  <c r="BB33" i="27" s="1"/>
  <c r="BB35" i="27" s="1"/>
  <c r="BJ90" i="31" s="1"/>
  <c r="AA32" i="27"/>
  <c r="AA33" i="27" s="1"/>
  <c r="AA35" i="27" s="1"/>
  <c r="AI90" i="31" s="1"/>
  <c r="AK32" i="27"/>
  <c r="AK33" i="27" s="1"/>
  <c r="AK35" i="27" s="1"/>
  <c r="AS90" i="31" s="1"/>
  <c r="AU32" i="27"/>
  <c r="AU33" i="27" s="1"/>
  <c r="AU35" i="27" s="1"/>
  <c r="BC90" i="31" s="1"/>
  <c r="X32" i="27"/>
  <c r="X33" i="27" s="1"/>
  <c r="X35" i="27" s="1"/>
  <c r="AF90" i="31" s="1"/>
  <c r="Y32" i="27"/>
  <c r="Y33" i="27" s="1"/>
  <c r="Y35" i="27" s="1"/>
  <c r="AG90" i="31" s="1"/>
  <c r="AS32" i="27"/>
  <c r="AS33" i="27" s="1"/>
  <c r="AS35" i="27" s="1"/>
  <c r="BA90" i="31" s="1"/>
  <c r="BM32" i="27"/>
  <c r="BM33" i="27" s="1"/>
  <c r="BM35" i="27" s="1"/>
  <c r="AJ32" i="27"/>
  <c r="AJ33" i="27" s="1"/>
  <c r="AJ35" i="27" s="1"/>
  <c r="AR90" i="31" s="1"/>
  <c r="BD32" i="27"/>
  <c r="BD33" i="27" s="1"/>
  <c r="BD35" i="27" s="1"/>
  <c r="BE32" i="27"/>
  <c r="BE33" i="27" s="1"/>
  <c r="BE35" i="27" s="1"/>
  <c r="BA32" i="27"/>
  <c r="BA33" i="27" s="1"/>
  <c r="BA35" i="27" s="1"/>
  <c r="BI90" i="31" s="1"/>
  <c r="AR32" i="27"/>
  <c r="AR33" i="27" s="1"/>
  <c r="AR35" i="27" s="1"/>
  <c r="AZ90" i="31" s="1"/>
  <c r="AI32" i="27"/>
  <c r="AI33" i="27" s="1"/>
  <c r="AI35" i="27" s="1"/>
  <c r="AQ90" i="31" s="1"/>
  <c r="BC32" i="27"/>
  <c r="BC33" i="27" s="1"/>
  <c r="BC35" i="27" s="1"/>
  <c r="Z32" i="27"/>
  <c r="Z33" i="27" s="1"/>
  <c r="Z35" i="27" s="1"/>
  <c r="AH90" i="31" s="1"/>
  <c r="AT32" i="27"/>
  <c r="AT33" i="27" s="1"/>
  <c r="AT35" i="27" s="1"/>
  <c r="BB90" i="31" s="1"/>
  <c r="BN32" i="27"/>
  <c r="BN33" i="27" s="1"/>
  <c r="BN35" i="27" s="1"/>
  <c r="S32" i="27"/>
  <c r="S33" i="27" s="1"/>
  <c r="S35" i="27" s="1"/>
  <c r="AA90" i="31" s="1"/>
  <c r="N32" i="27"/>
  <c r="N33" i="27" s="1"/>
  <c r="N35" i="27" s="1"/>
  <c r="V90" i="31" s="1"/>
  <c r="L32" i="27"/>
  <c r="L33" i="27" s="1"/>
  <c r="L35" i="27" s="1"/>
  <c r="T90" i="31" s="1"/>
  <c r="K32" i="27"/>
  <c r="K33" i="27" s="1"/>
  <c r="K35" i="27" s="1"/>
  <c r="S90" i="31" s="1"/>
  <c r="R32" i="27"/>
  <c r="R33" i="27" s="1"/>
  <c r="R35" i="27" s="1"/>
  <c r="Z90" i="31" s="1"/>
  <c r="G32" i="27"/>
  <c r="G33" i="27" s="1"/>
  <c r="G35" i="27" s="1"/>
  <c r="O90" i="31" s="1"/>
  <c r="P32" i="27"/>
  <c r="P33" i="27" s="1"/>
  <c r="P35" i="27" s="1"/>
  <c r="X90" i="31" s="1"/>
  <c r="O32" i="27"/>
  <c r="O33" i="27" s="1"/>
  <c r="O35" i="27" s="1"/>
  <c r="W90" i="31" s="1"/>
  <c r="M32" i="27"/>
  <c r="M33" i="27" s="1"/>
  <c r="M35" i="27" s="1"/>
  <c r="U90" i="31" s="1"/>
  <c r="H32" i="27"/>
  <c r="H33" i="27" s="1"/>
  <c r="H35" i="27" s="1"/>
  <c r="P90" i="31" s="1"/>
  <c r="Q32" i="27"/>
  <c r="Q33" i="27" s="1"/>
  <c r="Q35" i="27" s="1"/>
  <c r="Y90" i="31" s="1"/>
  <c r="I32" i="27"/>
  <c r="I33" i="27" s="1"/>
  <c r="I35" i="27" s="1"/>
  <c r="Q90" i="31" s="1"/>
  <c r="J32" i="27"/>
  <c r="J33" i="27" s="1"/>
  <c r="J35" i="27" s="1"/>
  <c r="R90" i="31" s="1"/>
  <c r="D81" i="10"/>
  <c r="H81" i="10" l="1"/>
  <c r="C81" i="10"/>
  <c r="E81" i="10"/>
  <c r="F72" i="10"/>
  <c r="C72" i="10"/>
  <c r="C100" i="10"/>
  <c r="GT81" i="10"/>
  <c r="GS81" i="10"/>
  <c r="GR81" i="10"/>
  <c r="GQ81" i="10"/>
  <c r="GP81" i="10"/>
  <c r="GO81" i="10"/>
  <c r="GN81" i="10"/>
  <c r="GM81" i="10"/>
  <c r="GL81" i="10"/>
  <c r="GK81" i="10"/>
  <c r="GJ81" i="10"/>
  <c r="GI81" i="10"/>
  <c r="GH81" i="10"/>
  <c r="GG81" i="10"/>
  <c r="GF81" i="10"/>
  <c r="GE81" i="10"/>
  <c r="GD81" i="10"/>
  <c r="GC81" i="10"/>
  <c r="GB81" i="10"/>
  <c r="GA81" i="10"/>
  <c r="FZ81" i="10"/>
  <c r="FY81" i="10"/>
  <c r="FX81" i="10"/>
  <c r="FW81" i="10"/>
  <c r="FV81" i="10"/>
  <c r="FU81" i="10"/>
  <c r="FT81" i="10"/>
  <c r="FS81" i="10"/>
  <c r="FR81" i="10"/>
  <c r="FQ81" i="10"/>
  <c r="FP81" i="10"/>
  <c r="FO81" i="10"/>
  <c r="FN81" i="10"/>
  <c r="FM81" i="10"/>
  <c r="FL81" i="10"/>
  <c r="FK81" i="10"/>
  <c r="FJ81" i="10"/>
  <c r="FI81" i="10"/>
  <c r="FH81" i="10"/>
  <c r="FG81" i="10"/>
  <c r="FF81" i="10"/>
  <c r="FE81" i="10"/>
  <c r="FD81" i="10"/>
  <c r="FC81" i="10"/>
  <c r="FB81" i="10"/>
  <c r="FA81" i="10"/>
  <c r="EZ81" i="10"/>
  <c r="EY81" i="10"/>
  <c r="EX81" i="10"/>
  <c r="EW81" i="10"/>
  <c r="EV81" i="10"/>
  <c r="EU81" i="10"/>
  <c r="ET81" i="10"/>
  <c r="ES81" i="10"/>
  <c r="ER81" i="10"/>
  <c r="EQ81" i="10"/>
  <c r="EP81" i="10"/>
  <c r="EO81" i="10"/>
  <c r="EN81" i="10"/>
  <c r="EM81" i="10"/>
  <c r="EL81" i="10"/>
  <c r="EK81" i="10"/>
  <c r="EJ81" i="10"/>
  <c r="EI81" i="10"/>
  <c r="EH81" i="10"/>
  <c r="EG81" i="10"/>
  <c r="EF81" i="10"/>
  <c r="EE81" i="10"/>
  <c r="ED81" i="10"/>
  <c r="EC81" i="10"/>
  <c r="EB81" i="10"/>
  <c r="EA81" i="10"/>
  <c r="DZ81" i="10"/>
  <c r="DY81" i="10"/>
  <c r="DX81" i="10"/>
  <c r="DW81" i="10"/>
  <c r="DV81" i="10"/>
  <c r="DU81" i="10"/>
  <c r="DT81" i="10"/>
  <c r="DS81" i="10"/>
  <c r="DR81" i="10"/>
  <c r="DQ81" i="10"/>
  <c r="DP81" i="10"/>
  <c r="DO81" i="10"/>
  <c r="DN81" i="10"/>
  <c r="DM81" i="10"/>
  <c r="DL81" i="10"/>
  <c r="DK81" i="10"/>
  <c r="DJ81" i="10"/>
  <c r="DI81" i="10"/>
  <c r="DH81" i="10"/>
  <c r="DG81" i="10"/>
  <c r="DF81" i="10"/>
  <c r="DE81" i="10"/>
  <c r="DD81" i="10"/>
  <c r="DC81" i="10"/>
  <c r="DB81" i="10"/>
  <c r="DA81" i="10"/>
  <c r="CZ81" i="10"/>
  <c r="CY81" i="10"/>
  <c r="CX81" i="10"/>
  <c r="CW81" i="10"/>
  <c r="CV81" i="10"/>
  <c r="CU81" i="10"/>
  <c r="CT81" i="10"/>
  <c r="CS81" i="10"/>
  <c r="CR81" i="10"/>
  <c r="CQ81" i="10"/>
  <c r="CP81" i="10"/>
  <c r="CO81" i="10"/>
  <c r="CN81" i="10"/>
  <c r="CM81" i="10"/>
  <c r="CL81" i="10"/>
  <c r="CK81" i="10"/>
  <c r="CJ81" i="10"/>
  <c r="CI81" i="10"/>
  <c r="CH81" i="10"/>
  <c r="CG81" i="10"/>
  <c r="CF81" i="10"/>
  <c r="CE81" i="10"/>
  <c r="CD81" i="10"/>
  <c r="CC81" i="10"/>
  <c r="CB81" i="10"/>
  <c r="CA81" i="10"/>
  <c r="BZ81" i="10"/>
  <c r="BY81" i="10"/>
  <c r="BX81" i="10"/>
  <c r="BW81" i="10"/>
  <c r="BV81" i="10"/>
  <c r="BU81" i="10"/>
  <c r="BT81" i="10"/>
  <c r="BS81" i="10"/>
  <c r="BR81" i="10"/>
  <c r="BQ81" i="10"/>
  <c r="BP81" i="10"/>
  <c r="BO81" i="10"/>
  <c r="BN81" i="10"/>
  <c r="BM81" i="10"/>
  <c r="BL81" i="10"/>
  <c r="BK81" i="10"/>
  <c r="BJ81" i="10"/>
  <c r="BI81" i="10"/>
  <c r="BH81" i="10"/>
  <c r="BG81" i="10"/>
  <c r="BF81" i="10"/>
  <c r="BE81" i="10"/>
  <c r="BD81" i="10"/>
  <c r="BC81" i="10"/>
  <c r="BB81" i="10"/>
  <c r="BA81" i="10"/>
  <c r="AZ81" i="10"/>
  <c r="AY81" i="10"/>
  <c r="AX81" i="10"/>
  <c r="AW81" i="10"/>
  <c r="AV81" i="10"/>
  <c r="AU81" i="10"/>
  <c r="AT81" i="10"/>
  <c r="AS81" i="10"/>
  <c r="AR81" i="10"/>
  <c r="AQ81" i="10"/>
  <c r="AP81" i="10"/>
  <c r="AO81" i="10"/>
  <c r="AN81" i="10"/>
  <c r="AM81" i="10"/>
  <c r="AL81" i="10"/>
  <c r="AK81" i="10"/>
  <c r="AJ81" i="10"/>
  <c r="AI81" i="10"/>
  <c r="AH81" i="10"/>
  <c r="AG81" i="10"/>
  <c r="AF81" i="10"/>
  <c r="AE81" i="10"/>
  <c r="AD81" i="10"/>
  <c r="AC81" i="10"/>
  <c r="AB81" i="10"/>
  <c r="AA81" i="10"/>
  <c r="Z81" i="10"/>
  <c r="Y81" i="10"/>
  <c r="X81" i="10"/>
  <c r="W81" i="10"/>
  <c r="V81" i="10"/>
  <c r="U81" i="10"/>
  <c r="T81" i="10"/>
  <c r="S81" i="10"/>
  <c r="R81" i="10"/>
  <c r="Q81" i="10"/>
  <c r="P81" i="10"/>
  <c r="O81" i="10"/>
  <c r="N81" i="10"/>
  <c r="M81" i="10"/>
  <c r="L81" i="10"/>
  <c r="K81" i="10"/>
  <c r="J81" i="10"/>
  <c r="I81" i="10"/>
  <c r="G81" i="10"/>
  <c r="F81" i="10"/>
  <c r="GT305" i="24" l="1"/>
  <c r="GS305" i="24"/>
  <c r="GR305" i="24"/>
  <c r="GQ305" i="24"/>
  <c r="GP305" i="24"/>
  <c r="GO305" i="24"/>
  <c r="GN305" i="24"/>
  <c r="GM305" i="24"/>
  <c r="GL305" i="24"/>
  <c r="GK305" i="24"/>
  <c r="GJ305" i="24"/>
  <c r="GI305" i="24"/>
  <c r="GH305" i="24"/>
  <c r="GG305" i="24"/>
  <c r="GF305" i="24"/>
  <c r="GE305" i="24"/>
  <c r="GD305" i="24"/>
  <c r="GC305" i="24"/>
  <c r="GB305" i="24"/>
  <c r="GA305" i="24"/>
  <c r="FZ305" i="24"/>
  <c r="FY305" i="24"/>
  <c r="FX305" i="24"/>
  <c r="FW305" i="24"/>
  <c r="FV305" i="24"/>
  <c r="FU305" i="24"/>
  <c r="FT305" i="24"/>
  <c r="FS305" i="24"/>
  <c r="FR305" i="24"/>
  <c r="FQ305" i="24"/>
  <c r="FP305" i="24"/>
  <c r="FO305" i="24"/>
  <c r="FN305" i="24"/>
  <c r="FM305" i="24"/>
  <c r="FL305" i="24"/>
  <c r="FK305" i="24"/>
  <c r="FJ305" i="24"/>
  <c r="FI305" i="24"/>
  <c r="FH305" i="24"/>
  <c r="FG305" i="24"/>
  <c r="FF305" i="24"/>
  <c r="FE305" i="24"/>
  <c r="FD305" i="24"/>
  <c r="FC305" i="24"/>
  <c r="FB305" i="24"/>
  <c r="FA305" i="24"/>
  <c r="EZ305" i="24"/>
  <c r="EY305" i="24"/>
  <c r="EX305" i="24"/>
  <c r="EW305" i="24"/>
  <c r="EV305" i="24"/>
  <c r="EU305" i="24"/>
  <c r="ET305" i="24"/>
  <c r="ES305" i="24"/>
  <c r="ER305" i="24"/>
  <c r="EQ305" i="24"/>
  <c r="EP305" i="24"/>
  <c r="EO305" i="24"/>
  <c r="EN305" i="24"/>
  <c r="EM305" i="24"/>
  <c r="EL305" i="24"/>
  <c r="EK305" i="24"/>
  <c r="EJ305" i="24"/>
  <c r="EI305" i="24"/>
  <c r="EH305" i="24"/>
  <c r="EG305" i="24"/>
  <c r="EF305" i="24"/>
  <c r="EE305" i="24"/>
  <c r="ED305" i="24"/>
  <c r="EC305" i="24"/>
  <c r="EB305" i="24"/>
  <c r="EA305" i="24"/>
  <c r="DZ305" i="24"/>
  <c r="DY305" i="24"/>
  <c r="DX305" i="24"/>
  <c r="DW305" i="24"/>
  <c r="DV305" i="24"/>
  <c r="DU305" i="24"/>
  <c r="DT305" i="24"/>
  <c r="DS305" i="24"/>
  <c r="DR305" i="24"/>
  <c r="DQ305" i="24"/>
  <c r="DP305" i="24"/>
  <c r="DO305" i="24"/>
  <c r="DN305" i="24"/>
  <c r="DM305" i="24"/>
  <c r="DL305" i="24"/>
  <c r="DK305" i="24"/>
  <c r="DJ305" i="24"/>
  <c r="DI305" i="24"/>
  <c r="DH305" i="24"/>
  <c r="DG305" i="24"/>
  <c r="DF305" i="24"/>
  <c r="DE305" i="24"/>
  <c r="DD305" i="24"/>
  <c r="DC305" i="24"/>
  <c r="DB305" i="24"/>
  <c r="DA305" i="24"/>
  <c r="CZ305" i="24"/>
  <c r="CY305" i="24"/>
  <c r="CX305" i="24"/>
  <c r="CW305" i="24"/>
  <c r="CV305" i="24"/>
  <c r="CU305" i="24"/>
  <c r="CT305" i="24"/>
  <c r="CS305" i="24"/>
  <c r="CR305" i="24"/>
  <c r="CQ305" i="24"/>
  <c r="CP305" i="24"/>
  <c r="CO305" i="24"/>
  <c r="CN305" i="24"/>
  <c r="CM305" i="24"/>
  <c r="CL305" i="24"/>
  <c r="CK305" i="24"/>
  <c r="CJ305" i="24"/>
  <c r="CI305" i="24"/>
  <c r="CH305" i="24"/>
  <c r="CG305" i="24"/>
  <c r="CF305" i="24"/>
  <c r="CE305" i="24"/>
  <c r="CD305" i="24"/>
  <c r="CC305" i="24"/>
  <c r="CB305" i="24"/>
  <c r="CA305" i="24"/>
  <c r="BZ305" i="24"/>
  <c r="BY305" i="24"/>
  <c r="BX305" i="24"/>
  <c r="BW305" i="24"/>
  <c r="BV305" i="24"/>
  <c r="BU305" i="24"/>
  <c r="BT305" i="24"/>
  <c r="BS305" i="24"/>
  <c r="BR305" i="24"/>
  <c r="BQ305" i="24"/>
  <c r="BP305" i="24"/>
  <c r="BO305" i="24"/>
  <c r="BN305" i="24"/>
  <c r="BM305" i="24"/>
  <c r="BL305" i="24"/>
  <c r="BK305" i="24"/>
  <c r="BJ305" i="24"/>
  <c r="BI305" i="24"/>
  <c r="BH305" i="24"/>
  <c r="BG305" i="24"/>
  <c r="BF305" i="24"/>
  <c r="BE305" i="24"/>
  <c r="BD305" i="24"/>
  <c r="BC305" i="24"/>
  <c r="BB305" i="24"/>
  <c r="BA305" i="24"/>
  <c r="AZ305" i="24"/>
  <c r="AY305" i="24"/>
  <c r="AX305" i="24"/>
  <c r="AW305" i="24"/>
  <c r="AV305" i="24"/>
  <c r="AU305" i="24"/>
  <c r="AT305" i="24"/>
  <c r="AS305" i="24"/>
  <c r="AR305" i="24"/>
  <c r="AQ305" i="24"/>
  <c r="AP305" i="24"/>
  <c r="AO305" i="24"/>
  <c r="AN305" i="24"/>
  <c r="AM305" i="24"/>
  <c r="AL305" i="24"/>
  <c r="AK305" i="24"/>
  <c r="AJ305" i="24"/>
  <c r="AI305" i="24"/>
  <c r="AH305" i="24"/>
  <c r="AG305" i="24"/>
  <c r="AF305" i="24"/>
  <c r="AE305" i="24"/>
  <c r="AD305" i="24"/>
  <c r="AC305" i="24"/>
  <c r="AB305" i="24"/>
  <c r="AA305" i="24"/>
  <c r="Z305" i="24"/>
  <c r="Y305" i="24"/>
  <c r="X305" i="24"/>
  <c r="W305" i="24"/>
  <c r="V305" i="24"/>
  <c r="U305" i="24"/>
  <c r="T305" i="24"/>
  <c r="S305" i="24"/>
  <c r="R305" i="24"/>
  <c r="Q305" i="24"/>
  <c r="P305" i="24"/>
  <c r="O305" i="24"/>
  <c r="N305" i="24"/>
  <c r="M305" i="24"/>
  <c r="L305" i="24"/>
  <c r="K305" i="24"/>
  <c r="J305" i="24"/>
  <c r="I305" i="24"/>
  <c r="H305" i="24"/>
  <c r="G305" i="24"/>
  <c r="F305" i="24"/>
  <c r="E305" i="24"/>
  <c r="D305" i="24"/>
  <c r="C305" i="24"/>
  <c r="GT304" i="24"/>
  <c r="E304" i="24"/>
  <c r="L34" i="31"/>
  <c r="H34" i="31"/>
  <c r="G286" i="24"/>
  <c r="C286" i="24"/>
  <c r="J307" i="24"/>
  <c r="G307" i="24"/>
  <c r="AB100" i="10"/>
  <c r="AJ100" i="10"/>
  <c r="C91" i="10"/>
  <c r="K72" i="10"/>
  <c r="G72" i="10"/>
  <c r="GR62" i="10"/>
  <c r="E62" i="10"/>
  <c r="C62" i="10"/>
  <c r="GS53" i="10"/>
  <c r="K53" i="10"/>
  <c r="I53" i="10"/>
  <c r="F53" i="10"/>
  <c r="C53" i="10"/>
  <c r="Q44" i="10"/>
  <c r="O44" i="10"/>
  <c r="K44" i="10"/>
  <c r="I44" i="10"/>
  <c r="F44" i="10"/>
  <c r="C44" i="10"/>
  <c r="K34" i="10"/>
  <c r="H34" i="10"/>
  <c r="F34" i="10"/>
  <c r="C34" i="10"/>
  <c r="GS25" i="10"/>
  <c r="N25" i="10"/>
  <c r="J25" i="10"/>
  <c r="G25" i="10"/>
  <c r="E25" i="10"/>
  <c r="C25" i="10"/>
  <c r="GS16" i="10"/>
  <c r="I16" i="10"/>
  <c r="F16" i="10"/>
  <c r="E16" i="10"/>
  <c r="D16" i="10"/>
  <c r="C16" i="10"/>
  <c r="B304" i="24" s="1"/>
  <c r="GT308" i="24"/>
  <c r="GT307" i="24"/>
  <c r="GS307" i="24"/>
  <c r="GR307" i="24"/>
  <c r="GQ307" i="24"/>
  <c r="GP307" i="24"/>
  <c r="GO307" i="24"/>
  <c r="GN307" i="24"/>
  <c r="GM307" i="24"/>
  <c r="GL307" i="24"/>
  <c r="GK307" i="24"/>
  <c r="GJ307" i="24"/>
  <c r="GI307" i="24"/>
  <c r="GH307" i="24"/>
  <c r="GG307" i="24"/>
  <c r="GF307" i="24"/>
  <c r="GE307" i="24"/>
  <c r="GD307" i="24"/>
  <c r="GC307" i="24"/>
  <c r="GB307" i="24"/>
  <c r="GA307" i="24"/>
  <c r="FZ307" i="24"/>
  <c r="FY307" i="24"/>
  <c r="FX307" i="24"/>
  <c r="FW307" i="24"/>
  <c r="FV307" i="24"/>
  <c r="FU307" i="24"/>
  <c r="FT307" i="24"/>
  <c r="FS307" i="24"/>
  <c r="FR307" i="24"/>
  <c r="FQ307" i="24"/>
  <c r="FP307" i="24"/>
  <c r="FO307" i="24"/>
  <c r="FN307" i="24"/>
  <c r="FM307" i="24"/>
  <c r="FL307" i="24"/>
  <c r="FK307" i="24"/>
  <c r="FJ307" i="24"/>
  <c r="FI307" i="24"/>
  <c r="FH307" i="24"/>
  <c r="FG307" i="24"/>
  <c r="FF307" i="24"/>
  <c r="FE307" i="24"/>
  <c r="FD307" i="24"/>
  <c r="FC307" i="24"/>
  <c r="FB307" i="24"/>
  <c r="FA307" i="24"/>
  <c r="EZ307" i="24"/>
  <c r="EY307" i="24"/>
  <c r="EX307" i="24"/>
  <c r="EW307" i="24"/>
  <c r="EV307" i="24"/>
  <c r="EU307" i="24"/>
  <c r="ET307" i="24"/>
  <c r="ES307" i="24"/>
  <c r="ER307" i="24"/>
  <c r="EQ307" i="24"/>
  <c r="EP307" i="24"/>
  <c r="EO307" i="24"/>
  <c r="EN307" i="24"/>
  <c r="EM307" i="24"/>
  <c r="EL307" i="24"/>
  <c r="EK307" i="24"/>
  <c r="EJ307" i="24"/>
  <c r="EI307" i="24"/>
  <c r="EH307" i="24"/>
  <c r="EG307" i="24"/>
  <c r="EF307" i="24"/>
  <c r="EE307" i="24"/>
  <c r="ED307" i="24"/>
  <c r="EC307" i="24"/>
  <c r="EB307" i="24"/>
  <c r="EA307" i="24"/>
  <c r="DZ307" i="24"/>
  <c r="DY307" i="24"/>
  <c r="DX307" i="24"/>
  <c r="DW307" i="24"/>
  <c r="DV307" i="24"/>
  <c r="DU307" i="24"/>
  <c r="DT307" i="24"/>
  <c r="DS307" i="24"/>
  <c r="DR307" i="24"/>
  <c r="DQ307" i="24"/>
  <c r="DP307" i="24"/>
  <c r="DO307" i="24"/>
  <c r="DN307" i="24"/>
  <c r="DM307" i="24"/>
  <c r="DL307" i="24"/>
  <c r="DK307" i="24"/>
  <c r="DJ307" i="24"/>
  <c r="DI307" i="24"/>
  <c r="DH307" i="24"/>
  <c r="DG307" i="24"/>
  <c r="DF307" i="24"/>
  <c r="DE307" i="24"/>
  <c r="DD307" i="24"/>
  <c r="DC307" i="24"/>
  <c r="DB307" i="24"/>
  <c r="DA307" i="24"/>
  <c r="CZ307" i="24"/>
  <c r="CY307" i="24"/>
  <c r="CX307" i="24"/>
  <c r="CW307" i="24"/>
  <c r="CV307" i="24"/>
  <c r="CU307" i="24"/>
  <c r="CT307" i="24"/>
  <c r="CS307" i="24"/>
  <c r="CR307" i="24"/>
  <c r="CQ307" i="24"/>
  <c r="CP307" i="24"/>
  <c r="CO307" i="24"/>
  <c r="CN307" i="24"/>
  <c r="CM307" i="24"/>
  <c r="CL307" i="24"/>
  <c r="CK307" i="24"/>
  <c r="CJ307" i="24"/>
  <c r="CI307" i="24"/>
  <c r="CH307" i="24"/>
  <c r="CG307" i="24"/>
  <c r="CF307" i="24"/>
  <c r="CE307" i="24"/>
  <c r="CD307" i="24"/>
  <c r="CC307" i="24"/>
  <c r="CB307" i="24"/>
  <c r="CA307" i="24"/>
  <c r="BZ307" i="24"/>
  <c r="BY307" i="24"/>
  <c r="BX307" i="24"/>
  <c r="BW307" i="24"/>
  <c r="BV307" i="24"/>
  <c r="BU307" i="24"/>
  <c r="BT307" i="24"/>
  <c r="BS307" i="24"/>
  <c r="BR307" i="24"/>
  <c r="BQ307" i="24"/>
  <c r="BP307" i="24"/>
  <c r="BO307" i="24"/>
  <c r="BN307" i="24"/>
  <c r="BM307" i="24"/>
  <c r="BL307" i="24"/>
  <c r="BK307" i="24"/>
  <c r="BJ307" i="24"/>
  <c r="BI307" i="24"/>
  <c r="BH307" i="24"/>
  <c r="BG307" i="24"/>
  <c r="BF307" i="24"/>
  <c r="BE307" i="24"/>
  <c r="BD307" i="24"/>
  <c r="BC307" i="24"/>
  <c r="BB307" i="24"/>
  <c r="BA307" i="24"/>
  <c r="AZ307" i="24"/>
  <c r="AY307" i="24"/>
  <c r="AX307" i="24"/>
  <c r="AW307" i="24"/>
  <c r="AV307" i="24"/>
  <c r="AU307" i="24"/>
  <c r="AT307" i="24"/>
  <c r="AS307" i="24"/>
  <c r="AR307" i="24"/>
  <c r="AQ307" i="24"/>
  <c r="AP307" i="24"/>
  <c r="AO307" i="24"/>
  <c r="AN307" i="24"/>
  <c r="AM307" i="24"/>
  <c r="AL307" i="24"/>
  <c r="AK307" i="24"/>
  <c r="AJ307" i="24"/>
  <c r="AI307" i="24"/>
  <c r="AH307" i="24"/>
  <c r="AG307" i="24"/>
  <c r="AF307" i="24"/>
  <c r="AE307" i="24"/>
  <c r="AD307" i="24"/>
  <c r="AC307" i="24"/>
  <c r="AB307" i="24"/>
  <c r="AA307" i="24"/>
  <c r="Z307" i="24"/>
  <c r="Y307" i="24"/>
  <c r="X307" i="24"/>
  <c r="W307" i="24"/>
  <c r="V307" i="24"/>
  <c r="U307" i="24"/>
  <c r="T307" i="24"/>
  <c r="S307" i="24"/>
  <c r="R307" i="24"/>
  <c r="Q307" i="24"/>
  <c r="P307" i="24"/>
  <c r="O307" i="24"/>
  <c r="N307" i="24"/>
  <c r="M307" i="24"/>
  <c r="B305" i="24"/>
  <c r="GT286" i="24"/>
  <c r="GT285" i="24"/>
  <c r="GT220" i="24"/>
  <c r="GS220" i="24"/>
  <c r="GR220" i="24"/>
  <c r="GQ220" i="24"/>
  <c r="GP220" i="24"/>
  <c r="GO220" i="24"/>
  <c r="GN220" i="24"/>
  <c r="GM220" i="24"/>
  <c r="GL220" i="24"/>
  <c r="GK220" i="24"/>
  <c r="GJ220" i="24"/>
  <c r="GI220" i="24"/>
  <c r="GH220" i="24"/>
  <c r="GG220" i="24"/>
  <c r="GF220" i="24"/>
  <c r="GE220" i="24"/>
  <c r="GD220" i="24"/>
  <c r="GC220" i="24"/>
  <c r="GB220" i="24"/>
  <c r="GA220" i="24"/>
  <c r="FZ220" i="24"/>
  <c r="FY220" i="24"/>
  <c r="FX220" i="24"/>
  <c r="FW220" i="24"/>
  <c r="FV220" i="24"/>
  <c r="FU220" i="24"/>
  <c r="FT220" i="24"/>
  <c r="FS220" i="24"/>
  <c r="FR220" i="24"/>
  <c r="FQ220" i="24"/>
  <c r="FP220" i="24"/>
  <c r="FO220" i="24"/>
  <c r="FN220" i="24"/>
  <c r="FM220" i="24"/>
  <c r="FL220" i="24"/>
  <c r="FK220" i="24"/>
  <c r="FJ220" i="24"/>
  <c r="FI220" i="24"/>
  <c r="FH220" i="24"/>
  <c r="FG220" i="24"/>
  <c r="FF220" i="24"/>
  <c r="FE220" i="24"/>
  <c r="FD220" i="24"/>
  <c r="FC220" i="24"/>
  <c r="FB220" i="24"/>
  <c r="FA220" i="24"/>
  <c r="EZ220" i="24"/>
  <c r="EY220" i="24"/>
  <c r="EX220" i="24"/>
  <c r="EW220" i="24"/>
  <c r="EV220" i="24"/>
  <c r="EU220" i="24"/>
  <c r="ET220" i="24"/>
  <c r="ES220" i="24"/>
  <c r="ER220" i="24"/>
  <c r="EQ220" i="24"/>
  <c r="EP220" i="24"/>
  <c r="EO220" i="24"/>
  <c r="EN220" i="24"/>
  <c r="EM220" i="24"/>
  <c r="EL220" i="24"/>
  <c r="EK220" i="24"/>
  <c r="EJ220" i="24"/>
  <c r="EI220" i="24"/>
  <c r="EH220" i="24"/>
  <c r="EG220" i="24"/>
  <c r="EF220" i="24"/>
  <c r="EE220" i="24"/>
  <c r="ED220" i="24"/>
  <c r="EC220" i="24"/>
  <c r="EB220" i="24"/>
  <c r="EA220" i="24"/>
  <c r="DZ220" i="24"/>
  <c r="DY220" i="24"/>
  <c r="DX220" i="24"/>
  <c r="DW220" i="24"/>
  <c r="DV220" i="24"/>
  <c r="DU220" i="24"/>
  <c r="DT220" i="24"/>
  <c r="DS220" i="24"/>
  <c r="DR220" i="24"/>
  <c r="DQ220" i="24"/>
  <c r="DP220" i="24"/>
  <c r="DO220" i="24"/>
  <c r="DN220" i="24"/>
  <c r="DM220" i="24"/>
  <c r="DL220" i="24"/>
  <c r="DK220" i="24"/>
  <c r="DJ220" i="24"/>
  <c r="DI220" i="24"/>
  <c r="DH220" i="24"/>
  <c r="DG220" i="24"/>
  <c r="DF220" i="24"/>
  <c r="DE220" i="24"/>
  <c r="DD220" i="24"/>
  <c r="DC220" i="24"/>
  <c r="DB220" i="24"/>
  <c r="DA220" i="24"/>
  <c r="CZ220" i="24"/>
  <c r="CY220" i="24"/>
  <c r="CX220" i="24"/>
  <c r="CW220" i="24"/>
  <c r="CV220" i="24"/>
  <c r="CU220" i="24"/>
  <c r="CT220" i="24"/>
  <c r="CS220" i="24"/>
  <c r="CR220" i="24"/>
  <c r="CQ220" i="24"/>
  <c r="CP220" i="24"/>
  <c r="CO220" i="24"/>
  <c r="CN220" i="24"/>
  <c r="CM220" i="24"/>
  <c r="CL220" i="24"/>
  <c r="CK220" i="24"/>
  <c r="CJ220" i="24"/>
  <c r="CI220" i="24"/>
  <c r="CH220" i="24"/>
  <c r="CG220" i="24"/>
  <c r="CF220" i="24"/>
  <c r="CE220" i="24"/>
  <c r="CD220" i="24"/>
  <c r="CC220" i="24"/>
  <c r="CB220" i="24"/>
  <c r="CA220" i="24"/>
  <c r="BZ220" i="24"/>
  <c r="BY220" i="24"/>
  <c r="BX220" i="24"/>
  <c r="BW220" i="24"/>
  <c r="BV220" i="24"/>
  <c r="BU220" i="24"/>
  <c r="BT220" i="24"/>
  <c r="BS220" i="24"/>
  <c r="BR220" i="24"/>
  <c r="BQ220" i="24"/>
  <c r="BP220" i="24"/>
  <c r="BO220" i="24"/>
  <c r="BN220" i="24"/>
  <c r="BM220" i="24"/>
  <c r="BL220" i="24"/>
  <c r="BK220" i="24"/>
  <c r="BJ220" i="24"/>
  <c r="BI220" i="24"/>
  <c r="BH220" i="24"/>
  <c r="BG220" i="24"/>
  <c r="BF220" i="24"/>
  <c r="BE220" i="24"/>
  <c r="BD220" i="24"/>
  <c r="BC220" i="24"/>
  <c r="BB220" i="24"/>
  <c r="BA220" i="24"/>
  <c r="AZ220" i="24"/>
  <c r="AY220" i="24"/>
  <c r="AX220" i="24"/>
  <c r="AW220" i="24"/>
  <c r="AV220" i="24"/>
  <c r="AU220" i="24"/>
  <c r="AT220" i="24"/>
  <c r="AS220" i="24"/>
  <c r="AR220" i="24"/>
  <c r="AQ220" i="24"/>
  <c r="AP220" i="24"/>
  <c r="AO220" i="24"/>
  <c r="AN220" i="24"/>
  <c r="AM220" i="24"/>
  <c r="AL220" i="24"/>
  <c r="AK220" i="24"/>
  <c r="AJ220" i="24"/>
  <c r="AI220" i="24"/>
  <c r="AH220" i="24"/>
  <c r="AG220" i="24"/>
  <c r="AF220" i="24"/>
  <c r="AE220" i="24"/>
  <c r="AD220" i="24"/>
  <c r="AC220" i="24"/>
  <c r="AB220" i="24"/>
  <c r="AA220" i="24"/>
  <c r="Z220" i="24"/>
  <c r="Y220" i="24"/>
  <c r="X220" i="24"/>
  <c r="W220" i="24"/>
  <c r="V220" i="24"/>
  <c r="U220" i="24"/>
  <c r="T220" i="24"/>
  <c r="S220" i="24"/>
  <c r="R220" i="24"/>
  <c r="Q220" i="24"/>
  <c r="P220" i="24"/>
  <c r="O220" i="24"/>
  <c r="N220" i="24"/>
  <c r="M220" i="24"/>
  <c r="L220" i="24"/>
  <c r="K220" i="24"/>
  <c r="J220" i="24"/>
  <c r="I220" i="24"/>
  <c r="H220" i="24"/>
  <c r="G220" i="24"/>
  <c r="F220" i="24"/>
  <c r="E220" i="24"/>
  <c r="D220" i="24"/>
  <c r="C220" i="24"/>
  <c r="B220" i="24"/>
  <c r="GT219" i="24"/>
  <c r="GS219" i="24"/>
  <c r="GR219" i="24"/>
  <c r="GQ219" i="24"/>
  <c r="GP219" i="24"/>
  <c r="GO219" i="24"/>
  <c r="GN219" i="24"/>
  <c r="GM219" i="24"/>
  <c r="GL219" i="24"/>
  <c r="GK219" i="24"/>
  <c r="GJ219" i="24"/>
  <c r="GI219" i="24"/>
  <c r="GH219" i="24"/>
  <c r="GG219" i="24"/>
  <c r="GF219" i="24"/>
  <c r="GE219" i="24"/>
  <c r="GD219" i="24"/>
  <c r="GC219" i="24"/>
  <c r="GB219" i="24"/>
  <c r="GA219" i="24"/>
  <c r="FZ219" i="24"/>
  <c r="FY219" i="24"/>
  <c r="FX219" i="24"/>
  <c r="FW219" i="24"/>
  <c r="FV219" i="24"/>
  <c r="FU219" i="24"/>
  <c r="FT219" i="24"/>
  <c r="FS219" i="24"/>
  <c r="FR219" i="24"/>
  <c r="FQ219" i="24"/>
  <c r="FP219" i="24"/>
  <c r="FO219" i="24"/>
  <c r="FN219" i="24"/>
  <c r="FM219" i="24"/>
  <c r="FL219" i="24"/>
  <c r="FK219" i="24"/>
  <c r="FJ219" i="24"/>
  <c r="FI219" i="24"/>
  <c r="FH219" i="24"/>
  <c r="FG219" i="24"/>
  <c r="FF219" i="24"/>
  <c r="FE219" i="24"/>
  <c r="FD219" i="24"/>
  <c r="FC219" i="24"/>
  <c r="FB219" i="24"/>
  <c r="FA219" i="24"/>
  <c r="EZ219" i="24"/>
  <c r="EY219" i="24"/>
  <c r="EX219" i="24"/>
  <c r="EW219" i="24"/>
  <c r="EV219" i="24"/>
  <c r="EU219" i="24"/>
  <c r="ET219" i="24"/>
  <c r="ES219" i="24"/>
  <c r="ER219" i="24"/>
  <c r="EQ219" i="24"/>
  <c r="EP219" i="24"/>
  <c r="EO219" i="24"/>
  <c r="EN219" i="24"/>
  <c r="EM219" i="24"/>
  <c r="EL219" i="24"/>
  <c r="EK219" i="24"/>
  <c r="EJ219" i="24"/>
  <c r="EI219" i="24"/>
  <c r="EH219" i="24"/>
  <c r="EG219" i="24"/>
  <c r="EF219" i="24"/>
  <c r="EE219" i="24"/>
  <c r="ED219" i="24"/>
  <c r="EC219" i="24"/>
  <c r="EB219" i="24"/>
  <c r="EA219" i="24"/>
  <c r="DZ219" i="24"/>
  <c r="DY219" i="24"/>
  <c r="DX219" i="24"/>
  <c r="DW219" i="24"/>
  <c r="DV219" i="24"/>
  <c r="DU219" i="24"/>
  <c r="DT219" i="24"/>
  <c r="DS219" i="24"/>
  <c r="DR219" i="24"/>
  <c r="DQ219" i="24"/>
  <c r="DP219" i="24"/>
  <c r="DO219" i="24"/>
  <c r="DN219" i="24"/>
  <c r="DM219" i="24"/>
  <c r="DL219" i="24"/>
  <c r="DK219" i="24"/>
  <c r="DJ219" i="24"/>
  <c r="DI219" i="24"/>
  <c r="DH219" i="24"/>
  <c r="DG219" i="24"/>
  <c r="DF219" i="24"/>
  <c r="DE219" i="24"/>
  <c r="DD219" i="24"/>
  <c r="DC219" i="24"/>
  <c r="DB219" i="24"/>
  <c r="DA219" i="24"/>
  <c r="CZ219" i="24"/>
  <c r="CY219" i="24"/>
  <c r="CX219" i="24"/>
  <c r="CW219" i="24"/>
  <c r="CV219" i="24"/>
  <c r="CU219" i="24"/>
  <c r="CT219" i="24"/>
  <c r="CS219" i="24"/>
  <c r="CR219" i="24"/>
  <c r="CQ219" i="24"/>
  <c r="CP219" i="24"/>
  <c r="CO219" i="24"/>
  <c r="CN219" i="24"/>
  <c r="CM219" i="24"/>
  <c r="CL219" i="24"/>
  <c r="CK219" i="24"/>
  <c r="CJ219" i="24"/>
  <c r="CI219" i="24"/>
  <c r="CH219" i="24"/>
  <c r="CG219" i="24"/>
  <c r="CF219" i="24"/>
  <c r="CE219" i="24"/>
  <c r="CD219" i="24"/>
  <c r="CC219" i="24"/>
  <c r="CB219" i="24"/>
  <c r="CA219" i="24"/>
  <c r="BZ219" i="24"/>
  <c r="BY219" i="24"/>
  <c r="BX219" i="24"/>
  <c r="BW219" i="24"/>
  <c r="BV219" i="24"/>
  <c r="BU219" i="24"/>
  <c r="BT219" i="24"/>
  <c r="BS219" i="24"/>
  <c r="BR219" i="24"/>
  <c r="BQ219" i="24"/>
  <c r="BP219" i="24"/>
  <c r="BO219" i="24"/>
  <c r="BN219" i="24"/>
  <c r="BM219" i="24"/>
  <c r="BL219" i="24"/>
  <c r="BK219" i="24"/>
  <c r="BJ219" i="24"/>
  <c r="BI219" i="24"/>
  <c r="BH219" i="24"/>
  <c r="BG219" i="24"/>
  <c r="BF219" i="24"/>
  <c r="BE219" i="24"/>
  <c r="BD219" i="24"/>
  <c r="BC219" i="24"/>
  <c r="BB219" i="24"/>
  <c r="BA219" i="24"/>
  <c r="AZ219" i="24"/>
  <c r="AY219" i="24"/>
  <c r="AX219" i="24"/>
  <c r="AW219" i="24"/>
  <c r="AV219" i="24"/>
  <c r="AU219" i="24"/>
  <c r="AT219" i="24"/>
  <c r="AS219" i="24"/>
  <c r="AR219" i="24"/>
  <c r="AQ219" i="24"/>
  <c r="AP219" i="24"/>
  <c r="AO219" i="24"/>
  <c r="AN219" i="24"/>
  <c r="AM219" i="24"/>
  <c r="AL219" i="24"/>
  <c r="AK219" i="24"/>
  <c r="AJ219" i="24"/>
  <c r="AI219" i="24"/>
  <c r="AH219" i="24"/>
  <c r="AG219" i="24"/>
  <c r="AF219" i="24"/>
  <c r="AE219" i="24"/>
  <c r="AD219" i="24"/>
  <c r="AC219" i="24"/>
  <c r="AB219" i="24"/>
  <c r="AA219" i="24"/>
  <c r="Z219" i="24"/>
  <c r="Y219" i="24"/>
  <c r="X219" i="24"/>
  <c r="W219" i="24"/>
  <c r="V219" i="24"/>
  <c r="U219" i="24"/>
  <c r="T219" i="24"/>
  <c r="S219" i="24"/>
  <c r="R219" i="24"/>
  <c r="Q219" i="24"/>
  <c r="P219" i="24"/>
  <c r="O219" i="24"/>
  <c r="N219" i="24"/>
  <c r="M219" i="24"/>
  <c r="L219" i="24"/>
  <c r="K219" i="24"/>
  <c r="J219" i="24"/>
  <c r="I219" i="24"/>
  <c r="H219" i="24"/>
  <c r="G219" i="24"/>
  <c r="F219" i="24"/>
  <c r="E219" i="24"/>
  <c r="D219" i="24"/>
  <c r="C219" i="24"/>
  <c r="B219" i="24"/>
  <c r="GT218" i="24"/>
  <c r="GS218" i="24"/>
  <c r="GR218" i="24"/>
  <c r="GQ218" i="24"/>
  <c r="GP218" i="24"/>
  <c r="GO218" i="24"/>
  <c r="GN218" i="24"/>
  <c r="GM218" i="24"/>
  <c r="GL218" i="24"/>
  <c r="GK218" i="24"/>
  <c r="GJ218" i="24"/>
  <c r="GI218" i="24"/>
  <c r="GH218" i="24"/>
  <c r="GG218" i="24"/>
  <c r="GF218" i="24"/>
  <c r="GE218" i="24"/>
  <c r="GD218" i="24"/>
  <c r="GC218" i="24"/>
  <c r="GB218" i="24"/>
  <c r="GA218" i="24"/>
  <c r="FZ218" i="24"/>
  <c r="FY218" i="24"/>
  <c r="FX218" i="24"/>
  <c r="FW218" i="24"/>
  <c r="FV218" i="24"/>
  <c r="FU218" i="24"/>
  <c r="FT218" i="24"/>
  <c r="FS218" i="24"/>
  <c r="FR218" i="24"/>
  <c r="FQ218" i="24"/>
  <c r="FP218" i="24"/>
  <c r="FO218" i="24"/>
  <c r="FN218" i="24"/>
  <c r="FM218" i="24"/>
  <c r="FL218" i="24"/>
  <c r="FK218" i="24"/>
  <c r="FJ218" i="24"/>
  <c r="FI218" i="24"/>
  <c r="FH218" i="24"/>
  <c r="FG218" i="24"/>
  <c r="FF218" i="24"/>
  <c r="FE218" i="24"/>
  <c r="FD218" i="24"/>
  <c r="FC218" i="24"/>
  <c r="FB218" i="24"/>
  <c r="FA218" i="24"/>
  <c r="EZ218" i="24"/>
  <c r="EY218" i="24"/>
  <c r="EX218" i="24"/>
  <c r="EW218" i="24"/>
  <c r="EV218" i="24"/>
  <c r="EU218" i="24"/>
  <c r="ET218" i="24"/>
  <c r="ES218" i="24"/>
  <c r="ER218" i="24"/>
  <c r="EQ218" i="24"/>
  <c r="EP218" i="24"/>
  <c r="EO218" i="24"/>
  <c r="EN218" i="24"/>
  <c r="EM218" i="24"/>
  <c r="EL218" i="24"/>
  <c r="EK218" i="24"/>
  <c r="EJ218" i="24"/>
  <c r="EI218" i="24"/>
  <c r="EH218" i="24"/>
  <c r="EG218" i="24"/>
  <c r="EF218" i="24"/>
  <c r="EE218" i="24"/>
  <c r="ED218" i="24"/>
  <c r="EC218" i="24"/>
  <c r="EB218" i="24"/>
  <c r="EA218" i="24"/>
  <c r="DZ218" i="24"/>
  <c r="DY218" i="24"/>
  <c r="DX218" i="24"/>
  <c r="DW218" i="24"/>
  <c r="DV218" i="24"/>
  <c r="DU218" i="24"/>
  <c r="DT218" i="24"/>
  <c r="DS218" i="24"/>
  <c r="DR218" i="24"/>
  <c r="DQ218" i="24"/>
  <c r="DP218" i="24"/>
  <c r="DO218" i="24"/>
  <c r="DN218" i="24"/>
  <c r="DM218" i="24"/>
  <c r="DL218" i="24"/>
  <c r="DK218" i="24"/>
  <c r="DJ218" i="24"/>
  <c r="DI218" i="24"/>
  <c r="DH218" i="24"/>
  <c r="DG218" i="24"/>
  <c r="DF218" i="24"/>
  <c r="DE218" i="24"/>
  <c r="DD218" i="24"/>
  <c r="DC218" i="24"/>
  <c r="DB218" i="24"/>
  <c r="DA218" i="24"/>
  <c r="CZ218" i="24"/>
  <c r="CY218" i="24"/>
  <c r="CX218" i="24"/>
  <c r="CW218" i="24"/>
  <c r="CV218" i="24"/>
  <c r="CU218" i="24"/>
  <c r="CT218" i="24"/>
  <c r="CS218" i="24"/>
  <c r="CR218" i="24"/>
  <c r="CQ218" i="24"/>
  <c r="CP218" i="24"/>
  <c r="CO218" i="24"/>
  <c r="CN218" i="24"/>
  <c r="CM218" i="24"/>
  <c r="CL218" i="24"/>
  <c r="CK218" i="24"/>
  <c r="CJ218" i="24"/>
  <c r="CI218" i="24"/>
  <c r="CH218" i="24"/>
  <c r="CG218" i="24"/>
  <c r="CF218" i="24"/>
  <c r="CE218" i="24"/>
  <c r="CD218" i="24"/>
  <c r="CC218" i="24"/>
  <c r="CB218" i="24"/>
  <c r="CA218" i="24"/>
  <c r="BZ218" i="24"/>
  <c r="BY218" i="24"/>
  <c r="BX218" i="24"/>
  <c r="BW218" i="24"/>
  <c r="BV218" i="24"/>
  <c r="BU218" i="24"/>
  <c r="BT218" i="24"/>
  <c r="BS218" i="24"/>
  <c r="BR218" i="24"/>
  <c r="BQ218" i="24"/>
  <c r="BP218" i="24"/>
  <c r="BO218" i="24"/>
  <c r="BN218" i="24"/>
  <c r="BM218" i="24"/>
  <c r="BL218" i="24"/>
  <c r="BK218" i="24"/>
  <c r="BJ218" i="24"/>
  <c r="BI218" i="24"/>
  <c r="BH218" i="24"/>
  <c r="BG218" i="24"/>
  <c r="BF218" i="24"/>
  <c r="BE218" i="24"/>
  <c r="BD218" i="24"/>
  <c r="BC218" i="24"/>
  <c r="BB218" i="24"/>
  <c r="BA218" i="24"/>
  <c r="AZ218" i="24"/>
  <c r="AY218" i="24"/>
  <c r="AX218" i="24"/>
  <c r="AW218" i="24"/>
  <c r="AV218" i="24"/>
  <c r="AU218" i="24"/>
  <c r="AT218" i="24"/>
  <c r="AS218" i="24"/>
  <c r="AR218" i="24"/>
  <c r="AQ218" i="24"/>
  <c r="AP218" i="24"/>
  <c r="AO218" i="24"/>
  <c r="AN218" i="24"/>
  <c r="AM218" i="24"/>
  <c r="AL218" i="24"/>
  <c r="AK218" i="24"/>
  <c r="AJ218" i="24"/>
  <c r="AI218" i="24"/>
  <c r="AH218" i="24"/>
  <c r="AG218" i="24"/>
  <c r="AF218" i="24"/>
  <c r="AE218" i="24"/>
  <c r="AD218" i="24"/>
  <c r="AC218" i="24"/>
  <c r="AB218" i="24"/>
  <c r="AA218" i="24"/>
  <c r="Z218" i="24"/>
  <c r="Y218" i="24"/>
  <c r="X218" i="24"/>
  <c r="W218" i="24"/>
  <c r="V218" i="24"/>
  <c r="U218" i="24"/>
  <c r="T218" i="24"/>
  <c r="S218" i="24"/>
  <c r="R218" i="24"/>
  <c r="Q218" i="24"/>
  <c r="P218" i="24"/>
  <c r="O218" i="24"/>
  <c r="N218" i="24"/>
  <c r="M218" i="24"/>
  <c r="L218" i="24"/>
  <c r="K218" i="24"/>
  <c r="J218" i="24"/>
  <c r="I218" i="24"/>
  <c r="H218" i="24"/>
  <c r="G218" i="24"/>
  <c r="F218" i="24"/>
  <c r="E218" i="24"/>
  <c r="D218" i="24"/>
  <c r="C218" i="24"/>
  <c r="B218" i="24"/>
  <c r="GT107" i="24"/>
  <c r="GS107" i="24"/>
  <c r="GR107" i="24"/>
  <c r="GQ107" i="24"/>
  <c r="GP107" i="24"/>
  <c r="GO107" i="24"/>
  <c r="GN107" i="24"/>
  <c r="GM107" i="24"/>
  <c r="GL107" i="24"/>
  <c r="GK107" i="24"/>
  <c r="GJ107" i="24"/>
  <c r="GI107" i="24"/>
  <c r="GH107" i="24"/>
  <c r="GG107" i="24"/>
  <c r="GF107" i="24"/>
  <c r="GE107" i="24"/>
  <c r="GD107" i="24"/>
  <c r="GC107" i="24"/>
  <c r="GB107" i="24"/>
  <c r="GA107" i="24"/>
  <c r="FZ107" i="24"/>
  <c r="FY107" i="24"/>
  <c r="FX107" i="24"/>
  <c r="FW107" i="24"/>
  <c r="FV107" i="24"/>
  <c r="FU107" i="24"/>
  <c r="FT107" i="24"/>
  <c r="FS107" i="24"/>
  <c r="FR107" i="24"/>
  <c r="FQ107" i="24"/>
  <c r="FP107" i="24"/>
  <c r="FO107" i="24"/>
  <c r="FN107" i="24"/>
  <c r="FM107" i="24"/>
  <c r="FL107" i="24"/>
  <c r="FK107" i="24"/>
  <c r="FJ107" i="24"/>
  <c r="FI107" i="24"/>
  <c r="FH107" i="24"/>
  <c r="FG107" i="24"/>
  <c r="FF107" i="24"/>
  <c r="FE107" i="24"/>
  <c r="FD107" i="24"/>
  <c r="FC107" i="24"/>
  <c r="FB107" i="24"/>
  <c r="FA107" i="24"/>
  <c r="EZ107" i="24"/>
  <c r="EY107" i="24"/>
  <c r="EX107" i="24"/>
  <c r="EW107" i="24"/>
  <c r="EV107" i="24"/>
  <c r="EU107" i="24"/>
  <c r="ET107" i="24"/>
  <c r="ES107" i="24"/>
  <c r="ER107" i="24"/>
  <c r="EQ107" i="24"/>
  <c r="EP107" i="24"/>
  <c r="EO107" i="24"/>
  <c r="EN107" i="24"/>
  <c r="EM107" i="24"/>
  <c r="EL107" i="24"/>
  <c r="EK107" i="24"/>
  <c r="EJ107" i="24"/>
  <c r="EI107" i="24"/>
  <c r="EH107" i="24"/>
  <c r="EG107" i="24"/>
  <c r="EF107" i="24"/>
  <c r="EE107" i="24"/>
  <c r="ED107" i="24"/>
  <c r="EC107" i="24"/>
  <c r="EB107" i="24"/>
  <c r="EA107" i="24"/>
  <c r="DZ107" i="24"/>
  <c r="DY107" i="24"/>
  <c r="DX107" i="24"/>
  <c r="DW107" i="24"/>
  <c r="DV107" i="24"/>
  <c r="DU107" i="24"/>
  <c r="DT107" i="24"/>
  <c r="DS107" i="24"/>
  <c r="DR107" i="24"/>
  <c r="DQ107" i="24"/>
  <c r="DP107" i="24"/>
  <c r="DO107" i="24"/>
  <c r="DN107" i="24"/>
  <c r="DM107" i="24"/>
  <c r="DL107" i="24"/>
  <c r="DK107" i="24"/>
  <c r="DJ107" i="24"/>
  <c r="DI107" i="24"/>
  <c r="DH107" i="24"/>
  <c r="DG107" i="24"/>
  <c r="DF107" i="24"/>
  <c r="DE107" i="24"/>
  <c r="DD107" i="24"/>
  <c r="DC107" i="24"/>
  <c r="DB107" i="24"/>
  <c r="DA107" i="24"/>
  <c r="CZ107" i="24"/>
  <c r="CY107" i="24"/>
  <c r="CX107" i="24"/>
  <c r="CW107" i="24"/>
  <c r="CV107" i="24"/>
  <c r="CU107" i="24"/>
  <c r="CT107" i="24"/>
  <c r="CS107" i="24"/>
  <c r="CR107" i="24"/>
  <c r="CQ107" i="24"/>
  <c r="CP107" i="24"/>
  <c r="CO107" i="24"/>
  <c r="CN107" i="24"/>
  <c r="CM107" i="24"/>
  <c r="CL107" i="24"/>
  <c r="CK107" i="24"/>
  <c r="CJ107" i="24"/>
  <c r="CI107" i="24"/>
  <c r="CH107" i="24"/>
  <c r="CG107" i="24"/>
  <c r="CF107" i="24"/>
  <c r="CE107" i="24"/>
  <c r="CD107" i="24"/>
  <c r="CC107" i="24"/>
  <c r="CB107" i="24"/>
  <c r="CA107" i="24"/>
  <c r="BZ107" i="24"/>
  <c r="BY107" i="24"/>
  <c r="BX107" i="24"/>
  <c r="BW107" i="24"/>
  <c r="BV107" i="24"/>
  <c r="BU107" i="24"/>
  <c r="BT107" i="24"/>
  <c r="BS107" i="24"/>
  <c r="BR107" i="24"/>
  <c r="BQ107" i="24"/>
  <c r="BP107" i="24"/>
  <c r="BO107" i="24"/>
  <c r="BN107" i="24"/>
  <c r="BM107" i="24"/>
  <c r="BL107" i="24"/>
  <c r="BK107" i="24"/>
  <c r="BJ107" i="24"/>
  <c r="BI107" i="24"/>
  <c r="BH107" i="24"/>
  <c r="BG107" i="24"/>
  <c r="BF107" i="24"/>
  <c r="BE107" i="24"/>
  <c r="BD107" i="24"/>
  <c r="BC107" i="24"/>
  <c r="BB107" i="24"/>
  <c r="BA107" i="24"/>
  <c r="AZ107" i="24"/>
  <c r="AY107" i="24"/>
  <c r="AX107" i="24"/>
  <c r="AW107" i="24"/>
  <c r="AV107" i="24"/>
  <c r="AU107" i="24"/>
  <c r="AT107" i="24"/>
  <c r="AS107" i="24"/>
  <c r="AR107" i="24"/>
  <c r="AQ107" i="24"/>
  <c r="AP107" i="24"/>
  <c r="AO107" i="24"/>
  <c r="AN107" i="24"/>
  <c r="AM107" i="24"/>
  <c r="AL107" i="24"/>
  <c r="AK107" i="24"/>
  <c r="AJ107" i="24"/>
  <c r="AI107" i="24"/>
  <c r="AH107" i="24"/>
  <c r="AG107" i="24"/>
  <c r="AF107" i="24"/>
  <c r="AE107" i="24"/>
  <c r="AD107" i="24"/>
  <c r="AC107" i="24"/>
  <c r="AB107" i="24"/>
  <c r="AA107" i="24"/>
  <c r="Z107" i="24"/>
  <c r="Y107" i="24"/>
  <c r="X107" i="24"/>
  <c r="W107" i="24"/>
  <c r="V107" i="24"/>
  <c r="U107" i="24"/>
  <c r="T107" i="24"/>
  <c r="S107" i="24"/>
  <c r="R107" i="24"/>
  <c r="Q107" i="24"/>
  <c r="P107" i="24"/>
  <c r="O107" i="24"/>
  <c r="N107" i="24"/>
  <c r="M107" i="24"/>
  <c r="L107" i="24"/>
  <c r="K107" i="24"/>
  <c r="J107" i="24"/>
  <c r="I107" i="24"/>
  <c r="H107" i="24"/>
  <c r="G107" i="24"/>
  <c r="F107" i="24"/>
  <c r="E107" i="24"/>
  <c r="D107" i="24"/>
  <c r="C107" i="24"/>
  <c r="B107" i="24"/>
  <c r="GT106" i="24"/>
  <c r="GS106" i="24"/>
  <c r="GR106" i="24"/>
  <c r="GQ106" i="24"/>
  <c r="GP106" i="24"/>
  <c r="GO106" i="24"/>
  <c r="GN106" i="24"/>
  <c r="GM106" i="24"/>
  <c r="GL106" i="24"/>
  <c r="GK106" i="24"/>
  <c r="GJ106" i="24"/>
  <c r="GI106" i="24"/>
  <c r="GH106" i="24"/>
  <c r="GG106" i="24"/>
  <c r="GF106" i="24"/>
  <c r="GE106" i="24"/>
  <c r="GD106" i="24"/>
  <c r="GC106" i="24"/>
  <c r="GB106" i="24"/>
  <c r="GA106" i="24"/>
  <c r="FZ106" i="24"/>
  <c r="FY106" i="24"/>
  <c r="FX106" i="24"/>
  <c r="FW106" i="24"/>
  <c r="FV106" i="24"/>
  <c r="FU106" i="24"/>
  <c r="FT106" i="24"/>
  <c r="FS106" i="24"/>
  <c r="FR106" i="24"/>
  <c r="FQ106" i="24"/>
  <c r="FP106" i="24"/>
  <c r="FO106" i="24"/>
  <c r="FN106" i="24"/>
  <c r="FM106" i="24"/>
  <c r="FL106" i="24"/>
  <c r="FK106" i="24"/>
  <c r="FJ106" i="24"/>
  <c r="FI106" i="24"/>
  <c r="FH106" i="24"/>
  <c r="FG106" i="24"/>
  <c r="FF106" i="24"/>
  <c r="FE106" i="24"/>
  <c r="FD106" i="24"/>
  <c r="FC106" i="24"/>
  <c r="FB106" i="24"/>
  <c r="FA106" i="24"/>
  <c r="EZ106" i="24"/>
  <c r="EY106" i="24"/>
  <c r="EX106" i="24"/>
  <c r="EW106" i="24"/>
  <c r="EV106" i="24"/>
  <c r="EU106" i="24"/>
  <c r="ET106" i="24"/>
  <c r="ES106" i="24"/>
  <c r="ER106" i="24"/>
  <c r="EQ106" i="24"/>
  <c r="EP106" i="24"/>
  <c r="EO106" i="24"/>
  <c r="EN106" i="24"/>
  <c r="EM106" i="24"/>
  <c r="EL106" i="24"/>
  <c r="EK106" i="24"/>
  <c r="EJ106" i="24"/>
  <c r="EI106" i="24"/>
  <c r="EH106" i="24"/>
  <c r="EG106" i="24"/>
  <c r="EF106" i="24"/>
  <c r="EE106" i="24"/>
  <c r="ED106" i="24"/>
  <c r="EC106" i="24"/>
  <c r="EB106" i="24"/>
  <c r="EA106" i="24"/>
  <c r="DZ106" i="24"/>
  <c r="DY106" i="24"/>
  <c r="DX106" i="24"/>
  <c r="DW106" i="24"/>
  <c r="DV106" i="24"/>
  <c r="DU106" i="24"/>
  <c r="DT106" i="24"/>
  <c r="DS106" i="24"/>
  <c r="DR106" i="24"/>
  <c r="DQ106" i="24"/>
  <c r="DP106" i="24"/>
  <c r="DO106" i="24"/>
  <c r="DN106" i="24"/>
  <c r="DM106" i="24"/>
  <c r="DL106" i="24"/>
  <c r="DK106" i="24"/>
  <c r="DJ106" i="24"/>
  <c r="DI106" i="24"/>
  <c r="DH106" i="24"/>
  <c r="DG106" i="24"/>
  <c r="DF106" i="24"/>
  <c r="DE106" i="24"/>
  <c r="DD106" i="24"/>
  <c r="DC106" i="24"/>
  <c r="DB106" i="24"/>
  <c r="DA106" i="24"/>
  <c r="CZ106" i="24"/>
  <c r="CY106" i="24"/>
  <c r="CX106" i="24"/>
  <c r="CW106" i="24"/>
  <c r="CV106" i="24"/>
  <c r="CU106" i="24"/>
  <c r="CT106" i="24"/>
  <c r="CS106" i="24"/>
  <c r="CR106" i="24"/>
  <c r="CQ106" i="24"/>
  <c r="CP106" i="24"/>
  <c r="CO106" i="24"/>
  <c r="CN106" i="24"/>
  <c r="CM106" i="24"/>
  <c r="CL106" i="24"/>
  <c r="CK106" i="24"/>
  <c r="CJ106" i="24"/>
  <c r="CI106" i="24"/>
  <c r="CH106" i="24"/>
  <c r="CG106" i="24"/>
  <c r="CF106" i="24"/>
  <c r="CE106" i="24"/>
  <c r="CD106" i="24"/>
  <c r="CC106" i="24"/>
  <c r="CB106" i="24"/>
  <c r="CA106" i="24"/>
  <c r="BZ106" i="24"/>
  <c r="BY106" i="24"/>
  <c r="BX106" i="24"/>
  <c r="BW106" i="24"/>
  <c r="BV106" i="24"/>
  <c r="BU106" i="24"/>
  <c r="BT106" i="24"/>
  <c r="BS106" i="24"/>
  <c r="BR106" i="24"/>
  <c r="BQ106" i="24"/>
  <c r="BP106" i="24"/>
  <c r="BO106" i="24"/>
  <c r="BN106" i="24"/>
  <c r="BM106" i="24"/>
  <c r="BL106" i="24"/>
  <c r="BK106" i="24"/>
  <c r="BJ106" i="24"/>
  <c r="BI106" i="24"/>
  <c r="BH106" i="24"/>
  <c r="BG106" i="24"/>
  <c r="BF106" i="24"/>
  <c r="BE106" i="24"/>
  <c r="BD106" i="24"/>
  <c r="BC106" i="24"/>
  <c r="BB106" i="24"/>
  <c r="BA106" i="24"/>
  <c r="AZ106" i="24"/>
  <c r="AY106" i="24"/>
  <c r="AX106" i="24"/>
  <c r="AW106" i="24"/>
  <c r="AV106" i="24"/>
  <c r="AU106" i="24"/>
  <c r="AT106" i="24"/>
  <c r="AS106" i="24"/>
  <c r="AR106" i="24"/>
  <c r="AQ106" i="24"/>
  <c r="AP106" i="24"/>
  <c r="AO106" i="24"/>
  <c r="AN106" i="24"/>
  <c r="AM106" i="24"/>
  <c r="AL106" i="24"/>
  <c r="AK106" i="24"/>
  <c r="AJ106" i="24"/>
  <c r="AI106" i="24"/>
  <c r="AH106" i="24"/>
  <c r="AG106" i="24"/>
  <c r="AF106" i="24"/>
  <c r="AE106" i="24"/>
  <c r="AD106" i="24"/>
  <c r="AC106" i="24"/>
  <c r="AB106" i="24"/>
  <c r="AA106" i="24"/>
  <c r="Z106" i="24"/>
  <c r="Y106" i="24"/>
  <c r="X106" i="24"/>
  <c r="W106" i="24"/>
  <c r="V106" i="24"/>
  <c r="U106" i="24"/>
  <c r="T106" i="24"/>
  <c r="S106" i="24"/>
  <c r="R106" i="24"/>
  <c r="Q106" i="24"/>
  <c r="P106" i="24"/>
  <c r="O106" i="24"/>
  <c r="N106" i="24"/>
  <c r="M106" i="24"/>
  <c r="L106" i="24"/>
  <c r="K106" i="24"/>
  <c r="J106" i="24"/>
  <c r="I106" i="24"/>
  <c r="H106" i="24"/>
  <c r="G106" i="24"/>
  <c r="F106" i="24"/>
  <c r="E106" i="24"/>
  <c r="D106" i="24"/>
  <c r="C106" i="24"/>
  <c r="B106" i="24"/>
  <c r="GT105" i="24"/>
  <c r="GS105" i="24"/>
  <c r="GR105" i="24"/>
  <c r="GQ105" i="24"/>
  <c r="GP105" i="24"/>
  <c r="GO105" i="24"/>
  <c r="GN105" i="24"/>
  <c r="GM105" i="24"/>
  <c r="GL105" i="24"/>
  <c r="GK105" i="24"/>
  <c r="GJ105" i="24"/>
  <c r="GI105" i="24"/>
  <c r="GH105" i="24"/>
  <c r="GG105" i="24"/>
  <c r="GF105" i="24"/>
  <c r="GE105" i="24"/>
  <c r="GD105" i="24"/>
  <c r="GC105" i="24"/>
  <c r="GB105" i="24"/>
  <c r="GA105" i="24"/>
  <c r="FZ105" i="24"/>
  <c r="FY105" i="24"/>
  <c r="FX105" i="24"/>
  <c r="FW105" i="24"/>
  <c r="FV105" i="24"/>
  <c r="FU105" i="24"/>
  <c r="FT105" i="24"/>
  <c r="FS105" i="24"/>
  <c r="FR105" i="24"/>
  <c r="FQ105" i="24"/>
  <c r="FP105" i="24"/>
  <c r="FO105" i="24"/>
  <c r="FN105" i="24"/>
  <c r="FM105" i="24"/>
  <c r="FL105" i="24"/>
  <c r="FK105" i="24"/>
  <c r="FJ105" i="24"/>
  <c r="FI105" i="24"/>
  <c r="FH105" i="24"/>
  <c r="FG105" i="24"/>
  <c r="FF105" i="24"/>
  <c r="FE105" i="24"/>
  <c r="FD105" i="24"/>
  <c r="FC105" i="24"/>
  <c r="FB105" i="24"/>
  <c r="FA105" i="24"/>
  <c r="EZ105" i="24"/>
  <c r="EY105" i="24"/>
  <c r="EX105" i="24"/>
  <c r="EW105" i="24"/>
  <c r="EV105" i="24"/>
  <c r="EU105" i="24"/>
  <c r="ET105" i="24"/>
  <c r="ES105" i="24"/>
  <c r="ER105" i="24"/>
  <c r="EQ105" i="24"/>
  <c r="EP105" i="24"/>
  <c r="EO105" i="24"/>
  <c r="EN105" i="24"/>
  <c r="EM105" i="24"/>
  <c r="EL105" i="24"/>
  <c r="EK105" i="24"/>
  <c r="EJ105" i="24"/>
  <c r="EI105" i="24"/>
  <c r="EH105" i="24"/>
  <c r="EG105" i="24"/>
  <c r="EF105" i="24"/>
  <c r="EE105" i="24"/>
  <c r="ED105" i="24"/>
  <c r="EC105" i="24"/>
  <c r="EB105" i="24"/>
  <c r="EA105" i="24"/>
  <c r="DZ105" i="24"/>
  <c r="DY105" i="24"/>
  <c r="DX105" i="24"/>
  <c r="DW105" i="24"/>
  <c r="DV105" i="24"/>
  <c r="DU105" i="24"/>
  <c r="DT105" i="24"/>
  <c r="DS105" i="24"/>
  <c r="DR105" i="24"/>
  <c r="DQ105" i="24"/>
  <c r="DP105" i="24"/>
  <c r="DO105" i="24"/>
  <c r="DN105" i="24"/>
  <c r="DM105" i="24"/>
  <c r="DL105" i="24"/>
  <c r="DK105" i="24"/>
  <c r="DJ105" i="24"/>
  <c r="DI105" i="24"/>
  <c r="DH105" i="24"/>
  <c r="DG105" i="24"/>
  <c r="DF105" i="24"/>
  <c r="DE105" i="24"/>
  <c r="DD105" i="24"/>
  <c r="DC105" i="24"/>
  <c r="DB105" i="24"/>
  <c r="DA105" i="24"/>
  <c r="CZ105" i="24"/>
  <c r="CY105" i="24"/>
  <c r="CX105" i="24"/>
  <c r="CW105" i="24"/>
  <c r="CV105" i="24"/>
  <c r="CU105" i="24"/>
  <c r="CT105" i="24"/>
  <c r="CS105" i="24"/>
  <c r="CR105" i="24"/>
  <c r="CQ105" i="24"/>
  <c r="CP105" i="24"/>
  <c r="CO105" i="24"/>
  <c r="CN105" i="24"/>
  <c r="CM105" i="24"/>
  <c r="CL105" i="24"/>
  <c r="CK105" i="24"/>
  <c r="CJ105" i="24"/>
  <c r="CI105" i="24"/>
  <c r="CH105" i="24"/>
  <c r="CG105" i="24"/>
  <c r="CF105" i="24"/>
  <c r="CE105" i="24"/>
  <c r="CD105" i="24"/>
  <c r="CC105" i="24"/>
  <c r="CB105" i="24"/>
  <c r="CA105" i="24"/>
  <c r="BZ105" i="24"/>
  <c r="BY105" i="24"/>
  <c r="BX105" i="24"/>
  <c r="BW105" i="24"/>
  <c r="BV105" i="24"/>
  <c r="BU105" i="24"/>
  <c r="BT105" i="24"/>
  <c r="BS105" i="24"/>
  <c r="BR105" i="24"/>
  <c r="BQ105" i="24"/>
  <c r="BP105" i="24"/>
  <c r="BO105" i="24"/>
  <c r="BN105" i="24"/>
  <c r="BM105" i="24"/>
  <c r="BL105" i="24"/>
  <c r="BK105" i="24"/>
  <c r="BJ105" i="24"/>
  <c r="BI105" i="24"/>
  <c r="BH105" i="24"/>
  <c r="BG105" i="24"/>
  <c r="BF105" i="24"/>
  <c r="BE105" i="24"/>
  <c r="BD105" i="24"/>
  <c r="BC105" i="24"/>
  <c r="BB105" i="24"/>
  <c r="BA105" i="24"/>
  <c r="AZ105" i="24"/>
  <c r="AY105" i="24"/>
  <c r="AX105" i="24"/>
  <c r="AW105" i="24"/>
  <c r="AV105" i="24"/>
  <c r="AU105" i="24"/>
  <c r="AT105" i="24"/>
  <c r="AS105" i="24"/>
  <c r="AR105" i="24"/>
  <c r="AQ105" i="24"/>
  <c r="AP105" i="24"/>
  <c r="AO105" i="24"/>
  <c r="AN105" i="24"/>
  <c r="AM105" i="24"/>
  <c r="AL105" i="24"/>
  <c r="AK105" i="24"/>
  <c r="AJ105" i="24"/>
  <c r="AI105" i="24"/>
  <c r="AH105" i="24"/>
  <c r="AG105" i="24"/>
  <c r="AF105" i="24"/>
  <c r="AE105" i="24"/>
  <c r="AD105" i="24"/>
  <c r="AC105" i="24"/>
  <c r="AB105" i="24"/>
  <c r="AA105" i="24"/>
  <c r="Z105" i="24"/>
  <c r="Y105" i="24"/>
  <c r="X105" i="24"/>
  <c r="W105" i="24"/>
  <c r="V105" i="24"/>
  <c r="U105" i="24"/>
  <c r="T105" i="24"/>
  <c r="S105" i="24"/>
  <c r="R105" i="24"/>
  <c r="Q105" i="24"/>
  <c r="P105" i="24"/>
  <c r="O105" i="24"/>
  <c r="N105" i="24"/>
  <c r="M105" i="24"/>
  <c r="L105" i="24"/>
  <c r="K105" i="24"/>
  <c r="J105" i="24"/>
  <c r="I105" i="24"/>
  <c r="H105" i="24"/>
  <c r="G105" i="24"/>
  <c r="F105" i="24"/>
  <c r="E105" i="24"/>
  <c r="D105" i="24"/>
  <c r="C105" i="24"/>
  <c r="B105" i="24"/>
  <c r="GT78" i="24"/>
  <c r="GS78" i="24"/>
  <c r="GR78" i="24"/>
  <c r="GQ78" i="24"/>
  <c r="GP78" i="24"/>
  <c r="GO78" i="24"/>
  <c r="GN78" i="24"/>
  <c r="GM78" i="24"/>
  <c r="GL78" i="24"/>
  <c r="GK78" i="24"/>
  <c r="GJ78" i="24"/>
  <c r="GI78" i="24"/>
  <c r="GH78" i="24"/>
  <c r="GG78" i="24"/>
  <c r="GF78" i="24"/>
  <c r="GE78" i="24"/>
  <c r="GD78" i="24"/>
  <c r="GC78" i="24"/>
  <c r="GB78" i="24"/>
  <c r="GA78" i="24"/>
  <c r="FZ78" i="24"/>
  <c r="FY78" i="24"/>
  <c r="FX78" i="24"/>
  <c r="FW78" i="24"/>
  <c r="FV78" i="24"/>
  <c r="FU78" i="24"/>
  <c r="FT78" i="24"/>
  <c r="FS78" i="24"/>
  <c r="FR78" i="24"/>
  <c r="FQ78" i="24"/>
  <c r="FP78" i="24"/>
  <c r="FO78" i="24"/>
  <c r="FN78" i="24"/>
  <c r="FM78" i="24"/>
  <c r="FL78" i="24"/>
  <c r="FK78" i="24"/>
  <c r="FJ78" i="24"/>
  <c r="FI78" i="24"/>
  <c r="FH78" i="24"/>
  <c r="FG78" i="24"/>
  <c r="FF78" i="24"/>
  <c r="FE78" i="24"/>
  <c r="FD78" i="24"/>
  <c r="FC78" i="24"/>
  <c r="FB78" i="24"/>
  <c r="FA78" i="24"/>
  <c r="EZ78" i="24"/>
  <c r="EY78" i="24"/>
  <c r="EX78" i="24"/>
  <c r="EW78" i="24"/>
  <c r="EV78" i="24"/>
  <c r="EU78" i="24"/>
  <c r="ET78" i="24"/>
  <c r="ES78" i="24"/>
  <c r="ER78" i="24"/>
  <c r="EQ78" i="24"/>
  <c r="EP78" i="24"/>
  <c r="EO78" i="24"/>
  <c r="EN78" i="24"/>
  <c r="EM78" i="24"/>
  <c r="EL78" i="24"/>
  <c r="EK78" i="24"/>
  <c r="EJ78" i="24"/>
  <c r="EI78" i="24"/>
  <c r="EH78" i="24"/>
  <c r="EG78" i="24"/>
  <c r="EF78" i="24"/>
  <c r="EE78" i="24"/>
  <c r="ED78" i="24"/>
  <c r="EC78" i="24"/>
  <c r="EB78" i="24"/>
  <c r="EA78" i="24"/>
  <c r="DZ78" i="24"/>
  <c r="DY78" i="24"/>
  <c r="DX78" i="24"/>
  <c r="DW78" i="24"/>
  <c r="DV78" i="24"/>
  <c r="DU78" i="24"/>
  <c r="DT78" i="24"/>
  <c r="DS78" i="24"/>
  <c r="DR78" i="24"/>
  <c r="DQ78" i="24"/>
  <c r="DP78" i="24"/>
  <c r="DO78" i="24"/>
  <c r="DN78" i="24"/>
  <c r="DM78" i="24"/>
  <c r="DL78" i="24"/>
  <c r="DK78" i="24"/>
  <c r="DJ78" i="24"/>
  <c r="DI78" i="24"/>
  <c r="DH78" i="24"/>
  <c r="DG78" i="24"/>
  <c r="DF78" i="24"/>
  <c r="DE78" i="24"/>
  <c r="DD78" i="24"/>
  <c r="DC78" i="24"/>
  <c r="DB78" i="24"/>
  <c r="DA78" i="24"/>
  <c r="CZ78" i="24"/>
  <c r="CY78" i="24"/>
  <c r="CX78" i="24"/>
  <c r="CW78" i="24"/>
  <c r="CV78" i="24"/>
  <c r="CU78" i="24"/>
  <c r="CT78" i="24"/>
  <c r="CS78" i="24"/>
  <c r="CR78" i="24"/>
  <c r="CQ78" i="24"/>
  <c r="CP78" i="24"/>
  <c r="CO78" i="24"/>
  <c r="CN78" i="24"/>
  <c r="CM78" i="24"/>
  <c r="CL78" i="24"/>
  <c r="CK78" i="24"/>
  <c r="CJ78" i="24"/>
  <c r="CI78" i="24"/>
  <c r="CH78" i="24"/>
  <c r="CG78" i="24"/>
  <c r="CF78" i="24"/>
  <c r="CE78" i="24"/>
  <c r="CD78" i="24"/>
  <c r="CC78" i="24"/>
  <c r="CB78" i="24"/>
  <c r="CA78" i="24"/>
  <c r="BZ78" i="24"/>
  <c r="BY78" i="24"/>
  <c r="BX78" i="24"/>
  <c r="BW78" i="24"/>
  <c r="BV78" i="24"/>
  <c r="BU78" i="24"/>
  <c r="BT78" i="24"/>
  <c r="BS78" i="24"/>
  <c r="BR78" i="24"/>
  <c r="BQ78" i="24"/>
  <c r="BP78" i="24"/>
  <c r="BO78" i="24"/>
  <c r="BN78" i="24"/>
  <c r="BM78" i="24"/>
  <c r="BL78" i="24"/>
  <c r="BK78" i="24"/>
  <c r="BJ78" i="24"/>
  <c r="BI78" i="24"/>
  <c r="BH78" i="24"/>
  <c r="BG78" i="24"/>
  <c r="BF78" i="24"/>
  <c r="BE78" i="24"/>
  <c r="BD78" i="24"/>
  <c r="BC78" i="24"/>
  <c r="BB78" i="24"/>
  <c r="BA78" i="24"/>
  <c r="AZ78" i="24"/>
  <c r="AY78" i="24"/>
  <c r="AX78" i="24"/>
  <c r="AW78" i="24"/>
  <c r="AV78" i="24"/>
  <c r="AU78" i="24"/>
  <c r="AT78" i="24"/>
  <c r="AS78" i="24"/>
  <c r="AR78" i="24"/>
  <c r="AQ78" i="24"/>
  <c r="AP78" i="24"/>
  <c r="AO78" i="24"/>
  <c r="AN78" i="24"/>
  <c r="AM78" i="24"/>
  <c r="AL78" i="24"/>
  <c r="AK78" i="24"/>
  <c r="AJ78" i="24"/>
  <c r="AI78" i="24"/>
  <c r="AH78" i="24"/>
  <c r="AG78" i="24"/>
  <c r="AF78" i="24"/>
  <c r="AE78" i="24"/>
  <c r="AD78" i="24"/>
  <c r="AC78" i="24"/>
  <c r="AB78" i="24"/>
  <c r="AA78" i="24"/>
  <c r="Z78" i="24"/>
  <c r="Y78" i="24"/>
  <c r="X78" i="24"/>
  <c r="W78" i="24"/>
  <c r="V78" i="24"/>
  <c r="U78" i="24"/>
  <c r="T78" i="24"/>
  <c r="S78" i="24"/>
  <c r="R78" i="24"/>
  <c r="Q78" i="24"/>
  <c r="P78" i="24"/>
  <c r="O78" i="24"/>
  <c r="N78" i="24"/>
  <c r="M78" i="24"/>
  <c r="L78" i="24"/>
  <c r="K78" i="24"/>
  <c r="J78" i="24"/>
  <c r="I78" i="24"/>
  <c r="H78" i="24"/>
  <c r="G78" i="24"/>
  <c r="F78" i="24"/>
  <c r="E78" i="24"/>
  <c r="D78" i="24"/>
  <c r="C78" i="24"/>
  <c r="B78" i="24"/>
  <c r="GT77" i="24"/>
  <c r="GS77" i="24"/>
  <c r="GR77" i="24"/>
  <c r="GQ77" i="24"/>
  <c r="GP77" i="24"/>
  <c r="GO77" i="24"/>
  <c r="GN77" i="24"/>
  <c r="GM77" i="24"/>
  <c r="GL77" i="24"/>
  <c r="GK77" i="24"/>
  <c r="GJ77" i="24"/>
  <c r="GI77" i="24"/>
  <c r="GH77" i="24"/>
  <c r="GG77" i="24"/>
  <c r="GF77" i="24"/>
  <c r="GE77" i="24"/>
  <c r="GD77" i="24"/>
  <c r="GC77" i="24"/>
  <c r="GB77" i="24"/>
  <c r="GA77" i="24"/>
  <c r="FZ77" i="24"/>
  <c r="FY77" i="24"/>
  <c r="FX77" i="24"/>
  <c r="FW77" i="24"/>
  <c r="FV77" i="24"/>
  <c r="FU77" i="24"/>
  <c r="FT77" i="24"/>
  <c r="FS77" i="24"/>
  <c r="FR77" i="24"/>
  <c r="FQ77" i="24"/>
  <c r="FP77" i="24"/>
  <c r="FO77" i="24"/>
  <c r="FN77" i="24"/>
  <c r="FM77" i="24"/>
  <c r="FL77" i="24"/>
  <c r="FK77" i="24"/>
  <c r="FJ77" i="24"/>
  <c r="FI77" i="24"/>
  <c r="FH77" i="24"/>
  <c r="FG77" i="24"/>
  <c r="FF77" i="24"/>
  <c r="FE77" i="24"/>
  <c r="FD77" i="24"/>
  <c r="FC77" i="24"/>
  <c r="FB77" i="24"/>
  <c r="FA77" i="24"/>
  <c r="EZ77" i="24"/>
  <c r="EY77" i="24"/>
  <c r="EX77" i="24"/>
  <c r="EW77" i="24"/>
  <c r="EV77" i="24"/>
  <c r="EU77" i="24"/>
  <c r="ET77" i="24"/>
  <c r="ES77" i="24"/>
  <c r="ER77" i="24"/>
  <c r="EQ77" i="24"/>
  <c r="EP77" i="24"/>
  <c r="EO77" i="24"/>
  <c r="EN77" i="24"/>
  <c r="EM77" i="24"/>
  <c r="EL77" i="24"/>
  <c r="EK77" i="24"/>
  <c r="EJ77" i="24"/>
  <c r="EI77" i="24"/>
  <c r="EH77" i="24"/>
  <c r="EG77" i="24"/>
  <c r="EF77" i="24"/>
  <c r="EE77" i="24"/>
  <c r="ED77" i="24"/>
  <c r="EC77" i="24"/>
  <c r="EB77" i="24"/>
  <c r="EA77" i="24"/>
  <c r="DZ77" i="24"/>
  <c r="DY77" i="24"/>
  <c r="DX77" i="24"/>
  <c r="DW77" i="24"/>
  <c r="DV77" i="24"/>
  <c r="DU77" i="24"/>
  <c r="DT77" i="24"/>
  <c r="DS77" i="24"/>
  <c r="DR77" i="24"/>
  <c r="DQ77" i="24"/>
  <c r="DP77" i="24"/>
  <c r="DO77" i="24"/>
  <c r="DN77" i="24"/>
  <c r="DM77" i="24"/>
  <c r="DL77" i="24"/>
  <c r="DK77" i="24"/>
  <c r="DJ77" i="24"/>
  <c r="DI77" i="24"/>
  <c r="DH77" i="24"/>
  <c r="DG77" i="24"/>
  <c r="DF77" i="24"/>
  <c r="DE77" i="24"/>
  <c r="DD77" i="24"/>
  <c r="DC77" i="24"/>
  <c r="DB77" i="24"/>
  <c r="DA77" i="24"/>
  <c r="CZ77" i="24"/>
  <c r="CY77" i="24"/>
  <c r="CX77" i="24"/>
  <c r="CW77" i="24"/>
  <c r="CV77" i="24"/>
  <c r="CU77" i="24"/>
  <c r="CT77" i="24"/>
  <c r="CS77" i="24"/>
  <c r="CR77" i="24"/>
  <c r="CQ77" i="24"/>
  <c r="CP77" i="24"/>
  <c r="CO77" i="24"/>
  <c r="CN77" i="24"/>
  <c r="CM77" i="24"/>
  <c r="CL77" i="24"/>
  <c r="CK77" i="24"/>
  <c r="CJ77" i="24"/>
  <c r="CI77" i="24"/>
  <c r="CH77" i="24"/>
  <c r="CG77" i="24"/>
  <c r="CF77" i="24"/>
  <c r="CE77" i="24"/>
  <c r="CD77" i="24"/>
  <c r="CC77" i="24"/>
  <c r="CB77" i="24"/>
  <c r="CA77" i="24"/>
  <c r="BZ77" i="24"/>
  <c r="BY77" i="24"/>
  <c r="BX77" i="24"/>
  <c r="BW77" i="24"/>
  <c r="BV77" i="24"/>
  <c r="BU77" i="24"/>
  <c r="BT77" i="24"/>
  <c r="BS77" i="24"/>
  <c r="BR77" i="24"/>
  <c r="BQ77" i="24"/>
  <c r="BP77" i="24"/>
  <c r="BO77" i="24"/>
  <c r="BN77" i="24"/>
  <c r="BM77" i="24"/>
  <c r="BL77" i="24"/>
  <c r="BK77" i="24"/>
  <c r="BJ77" i="24"/>
  <c r="BI77" i="24"/>
  <c r="BH77" i="24"/>
  <c r="BG77" i="24"/>
  <c r="BF77" i="24"/>
  <c r="BE77" i="24"/>
  <c r="BD77" i="24"/>
  <c r="BC77" i="24"/>
  <c r="BB77" i="24"/>
  <c r="BA77" i="24"/>
  <c r="AZ77" i="24"/>
  <c r="AY77" i="24"/>
  <c r="AX77" i="24"/>
  <c r="AW77" i="24"/>
  <c r="AV77" i="24"/>
  <c r="AU77" i="24"/>
  <c r="AT77" i="24"/>
  <c r="AS77" i="24"/>
  <c r="AR77" i="24"/>
  <c r="AQ77" i="24"/>
  <c r="AP77" i="24"/>
  <c r="AO77" i="24"/>
  <c r="AN77" i="24"/>
  <c r="AM77" i="24"/>
  <c r="AL77" i="24"/>
  <c r="AK77" i="24"/>
  <c r="AJ77" i="24"/>
  <c r="AI77" i="24"/>
  <c r="AH77" i="24"/>
  <c r="AG77" i="24"/>
  <c r="AF77" i="24"/>
  <c r="AE77" i="24"/>
  <c r="AD77" i="24"/>
  <c r="AC77" i="24"/>
  <c r="AB77" i="24"/>
  <c r="AA77" i="24"/>
  <c r="Z77" i="24"/>
  <c r="Y77" i="24"/>
  <c r="X77" i="24"/>
  <c r="W77" i="24"/>
  <c r="V77" i="24"/>
  <c r="U77" i="24"/>
  <c r="T77" i="24"/>
  <c r="S77" i="24"/>
  <c r="R77" i="24"/>
  <c r="Q77" i="24"/>
  <c r="P77" i="24"/>
  <c r="O77" i="24"/>
  <c r="N77" i="24"/>
  <c r="M77" i="24"/>
  <c r="L77" i="24"/>
  <c r="K77" i="24"/>
  <c r="J77" i="24"/>
  <c r="I77" i="24"/>
  <c r="H77" i="24"/>
  <c r="G77" i="24"/>
  <c r="F77" i="24"/>
  <c r="E77" i="24"/>
  <c r="D77" i="24"/>
  <c r="C77" i="24"/>
  <c r="B77" i="24"/>
  <c r="GT76" i="24"/>
  <c r="GS76" i="24"/>
  <c r="GR76" i="24"/>
  <c r="GQ76" i="24"/>
  <c r="GP76" i="24"/>
  <c r="GO76" i="24"/>
  <c r="GN76" i="24"/>
  <c r="GM76" i="24"/>
  <c r="GL76" i="24"/>
  <c r="GK76" i="24"/>
  <c r="GJ76" i="24"/>
  <c r="GI76" i="24"/>
  <c r="GH76" i="24"/>
  <c r="GG76" i="24"/>
  <c r="GF76" i="24"/>
  <c r="GE76" i="24"/>
  <c r="GD76" i="24"/>
  <c r="GC76" i="24"/>
  <c r="GB76" i="24"/>
  <c r="GA76" i="24"/>
  <c r="FZ76" i="24"/>
  <c r="FY76" i="24"/>
  <c r="FX76" i="24"/>
  <c r="FW76" i="24"/>
  <c r="FV76" i="24"/>
  <c r="FU76" i="24"/>
  <c r="FT76" i="24"/>
  <c r="FS76" i="24"/>
  <c r="FR76" i="24"/>
  <c r="FQ76" i="24"/>
  <c r="FP76" i="24"/>
  <c r="FO76" i="24"/>
  <c r="FN76" i="24"/>
  <c r="FM76" i="24"/>
  <c r="FL76" i="24"/>
  <c r="FK76" i="24"/>
  <c r="FJ76" i="24"/>
  <c r="FI76" i="24"/>
  <c r="FH76" i="24"/>
  <c r="FG76" i="24"/>
  <c r="FF76" i="24"/>
  <c r="FE76" i="24"/>
  <c r="FD76" i="24"/>
  <c r="FC76" i="24"/>
  <c r="FB76" i="24"/>
  <c r="FA76" i="24"/>
  <c r="EZ76" i="24"/>
  <c r="EY76" i="24"/>
  <c r="EX76" i="24"/>
  <c r="EW76" i="24"/>
  <c r="EV76" i="24"/>
  <c r="EU76" i="24"/>
  <c r="ET76" i="24"/>
  <c r="ES76" i="24"/>
  <c r="ER76" i="24"/>
  <c r="EQ76" i="24"/>
  <c r="EP76" i="24"/>
  <c r="EO76" i="24"/>
  <c r="EN76" i="24"/>
  <c r="EM76" i="24"/>
  <c r="EL76" i="24"/>
  <c r="EK76" i="24"/>
  <c r="EJ76" i="24"/>
  <c r="EI76" i="24"/>
  <c r="EH76" i="24"/>
  <c r="EG76" i="24"/>
  <c r="EF76" i="24"/>
  <c r="EE76" i="24"/>
  <c r="ED76" i="24"/>
  <c r="EC76" i="24"/>
  <c r="EB76" i="24"/>
  <c r="EA76" i="24"/>
  <c r="DZ76" i="24"/>
  <c r="DY76" i="24"/>
  <c r="DX76" i="24"/>
  <c r="DW76" i="24"/>
  <c r="DV76" i="24"/>
  <c r="DU76" i="24"/>
  <c r="DT76" i="24"/>
  <c r="DS76" i="24"/>
  <c r="DR76" i="24"/>
  <c r="DQ76" i="24"/>
  <c r="DP76" i="24"/>
  <c r="DO76" i="24"/>
  <c r="DN76" i="24"/>
  <c r="DM76" i="24"/>
  <c r="DL76" i="24"/>
  <c r="DK76" i="24"/>
  <c r="DJ76" i="24"/>
  <c r="DI76" i="24"/>
  <c r="DH76" i="24"/>
  <c r="DG76" i="24"/>
  <c r="DF76" i="24"/>
  <c r="DE76" i="24"/>
  <c r="DD76" i="24"/>
  <c r="DC76" i="24"/>
  <c r="DB76" i="24"/>
  <c r="DA76" i="24"/>
  <c r="CZ76" i="24"/>
  <c r="CY76" i="24"/>
  <c r="CX76" i="24"/>
  <c r="CW76" i="24"/>
  <c r="CV76" i="24"/>
  <c r="CU76" i="24"/>
  <c r="CT76" i="24"/>
  <c r="CS76" i="24"/>
  <c r="CR76" i="24"/>
  <c r="CQ76" i="24"/>
  <c r="CP76" i="24"/>
  <c r="CO76" i="24"/>
  <c r="CN76" i="24"/>
  <c r="CM76" i="24"/>
  <c r="CL76" i="24"/>
  <c r="CK76" i="24"/>
  <c r="CJ76" i="24"/>
  <c r="CI76" i="24"/>
  <c r="CH76" i="24"/>
  <c r="CG76" i="24"/>
  <c r="CF76" i="24"/>
  <c r="CE76" i="24"/>
  <c r="CD76" i="24"/>
  <c r="CC76" i="24"/>
  <c r="CB76" i="24"/>
  <c r="CA76" i="24"/>
  <c r="BZ76" i="24"/>
  <c r="BY76" i="24"/>
  <c r="BX76" i="24"/>
  <c r="BW76" i="24"/>
  <c r="BV76" i="24"/>
  <c r="BU76" i="24"/>
  <c r="BT76" i="24"/>
  <c r="BS76" i="24"/>
  <c r="BR76" i="24"/>
  <c r="BQ76" i="24"/>
  <c r="BP76" i="24"/>
  <c r="BO76" i="24"/>
  <c r="BN76" i="24"/>
  <c r="BM76" i="24"/>
  <c r="BL76" i="24"/>
  <c r="BK76" i="24"/>
  <c r="BJ76" i="24"/>
  <c r="BI76" i="24"/>
  <c r="BH76" i="24"/>
  <c r="BG76" i="24"/>
  <c r="BF76" i="24"/>
  <c r="BE76" i="24"/>
  <c r="BD76" i="24"/>
  <c r="BC76" i="24"/>
  <c r="BB76" i="24"/>
  <c r="BA76" i="24"/>
  <c r="AZ76" i="24"/>
  <c r="AY76" i="24"/>
  <c r="AX76" i="24"/>
  <c r="AW76" i="24"/>
  <c r="AV76" i="24"/>
  <c r="AU76" i="24"/>
  <c r="AT76" i="24"/>
  <c r="AS76" i="24"/>
  <c r="AR76" i="24"/>
  <c r="AQ76" i="24"/>
  <c r="AP76" i="24"/>
  <c r="AO76" i="24"/>
  <c r="AN76" i="24"/>
  <c r="AM76" i="24"/>
  <c r="AL76" i="24"/>
  <c r="AK76" i="24"/>
  <c r="AJ76" i="24"/>
  <c r="AI76" i="24"/>
  <c r="AH76" i="24"/>
  <c r="AG76" i="24"/>
  <c r="AF76" i="24"/>
  <c r="AE76" i="24"/>
  <c r="AD76" i="24"/>
  <c r="AC76" i="24"/>
  <c r="AB76" i="24"/>
  <c r="AA76" i="24"/>
  <c r="Z76" i="24"/>
  <c r="Y76" i="24"/>
  <c r="X76" i="24"/>
  <c r="W76" i="24"/>
  <c r="V76" i="24"/>
  <c r="U76" i="24"/>
  <c r="T76" i="24"/>
  <c r="S76" i="24"/>
  <c r="R76" i="24"/>
  <c r="Q76" i="24"/>
  <c r="P76" i="24"/>
  <c r="O76" i="24"/>
  <c r="N76" i="24"/>
  <c r="M76" i="24"/>
  <c r="L76" i="24"/>
  <c r="K76" i="24"/>
  <c r="J76" i="24"/>
  <c r="I76" i="24"/>
  <c r="H76" i="24"/>
  <c r="G76" i="24"/>
  <c r="F76" i="24"/>
  <c r="E76" i="24"/>
  <c r="D76" i="24"/>
  <c r="C76" i="24"/>
  <c r="B76" i="24"/>
  <c r="B303" i="24" l="1"/>
  <c r="J308" i="24"/>
  <c r="J286" i="24"/>
  <c r="C308" i="24"/>
  <c r="G308" i="24"/>
  <c r="B285" i="24"/>
  <c r="GT266" i="24"/>
  <c r="GS266" i="24"/>
  <c r="GR266" i="24"/>
  <c r="GQ266" i="24"/>
  <c r="GP266" i="24"/>
  <c r="GO266" i="24"/>
  <c r="GN266" i="24"/>
  <c r="GM266" i="24"/>
  <c r="GL266" i="24"/>
  <c r="GK266" i="24"/>
  <c r="GJ266" i="24"/>
  <c r="GI266" i="24"/>
  <c r="GH266" i="24"/>
  <c r="GG266" i="24"/>
  <c r="GF266" i="24"/>
  <c r="GE266" i="24"/>
  <c r="GD266" i="24"/>
  <c r="GC266" i="24"/>
  <c r="GB266" i="24"/>
  <c r="GA266" i="24"/>
  <c r="FZ266" i="24"/>
  <c r="FY266" i="24"/>
  <c r="FX266" i="24"/>
  <c r="FW266" i="24"/>
  <c r="FV266" i="24"/>
  <c r="FU266" i="24"/>
  <c r="FT266" i="24"/>
  <c r="FS266" i="24"/>
  <c r="FR266" i="24"/>
  <c r="FQ266" i="24"/>
  <c r="FP266" i="24"/>
  <c r="FO266" i="24"/>
  <c r="FN266" i="24"/>
  <c r="FM266" i="24"/>
  <c r="FL266" i="24"/>
  <c r="FK266" i="24"/>
  <c r="FJ266" i="24"/>
  <c r="FI266" i="24"/>
  <c r="FH266" i="24"/>
  <c r="FG266" i="24"/>
  <c r="FF266" i="24"/>
  <c r="FE266" i="24"/>
  <c r="FD266" i="24"/>
  <c r="FC266" i="24"/>
  <c r="FB266" i="24"/>
  <c r="FA266" i="24"/>
  <c r="EZ266" i="24"/>
  <c r="EY266" i="24"/>
  <c r="EX266" i="24"/>
  <c r="EW266" i="24"/>
  <c r="EV266" i="24"/>
  <c r="EU266" i="24"/>
  <c r="ET266" i="24"/>
  <c r="ES266" i="24"/>
  <c r="ER266" i="24"/>
  <c r="EQ266" i="24"/>
  <c r="EP266" i="24"/>
  <c r="EO266" i="24"/>
  <c r="EN266" i="24"/>
  <c r="EM266" i="24"/>
  <c r="EL266" i="24"/>
  <c r="EK266" i="24"/>
  <c r="EJ266" i="24"/>
  <c r="EI266" i="24"/>
  <c r="EH266" i="24"/>
  <c r="EG266" i="24"/>
  <c r="EF266" i="24"/>
  <c r="EE266" i="24"/>
  <c r="ED266" i="24"/>
  <c r="EC266" i="24"/>
  <c r="EB266" i="24"/>
  <c r="EA266" i="24"/>
  <c r="DZ266" i="24"/>
  <c r="DY266" i="24"/>
  <c r="DX266" i="24"/>
  <c r="DW266" i="24"/>
  <c r="DV266" i="24"/>
  <c r="DU266" i="24"/>
  <c r="DT266" i="24"/>
  <c r="DS266" i="24"/>
  <c r="DR266" i="24"/>
  <c r="DQ266" i="24"/>
  <c r="DP266" i="24"/>
  <c r="DO266" i="24"/>
  <c r="DN266" i="24"/>
  <c r="DM266" i="24"/>
  <c r="DL266" i="24"/>
  <c r="DK266" i="24"/>
  <c r="DJ266" i="24"/>
  <c r="DI266" i="24"/>
  <c r="DH266" i="24"/>
  <c r="DG266" i="24"/>
  <c r="DF266" i="24"/>
  <c r="DE266" i="24"/>
  <c r="DD266" i="24"/>
  <c r="DC266" i="24"/>
  <c r="DB266" i="24"/>
  <c r="DA266" i="24"/>
  <c r="CZ266" i="24"/>
  <c r="CY266" i="24"/>
  <c r="CX266" i="24"/>
  <c r="CW266" i="24"/>
  <c r="CV266" i="24"/>
  <c r="CU266" i="24"/>
  <c r="CT266" i="24"/>
  <c r="CS266" i="24"/>
  <c r="CR266" i="24"/>
  <c r="CQ266" i="24"/>
  <c r="CP266" i="24"/>
  <c r="CO266" i="24"/>
  <c r="CN266" i="24"/>
  <c r="CM266" i="24"/>
  <c r="CL266" i="24"/>
  <c r="CK266" i="24"/>
  <c r="CJ266" i="24"/>
  <c r="CI266" i="24"/>
  <c r="CH266" i="24"/>
  <c r="CG266" i="24"/>
  <c r="CF266" i="24"/>
  <c r="CE266" i="24"/>
  <c r="CD266" i="24"/>
  <c r="CC266" i="24"/>
  <c r="CB266" i="24"/>
  <c r="CA266" i="24"/>
  <c r="BZ266" i="24"/>
  <c r="BY266" i="24"/>
  <c r="BX266" i="24"/>
  <c r="BW266" i="24"/>
  <c r="BV266" i="24"/>
  <c r="BU266" i="24"/>
  <c r="BT266" i="24"/>
  <c r="BS266" i="24"/>
  <c r="BR266" i="24"/>
  <c r="BQ266" i="24"/>
  <c r="BP266" i="24"/>
  <c r="BO266" i="24"/>
  <c r="BN266" i="24"/>
  <c r="BM266" i="24"/>
  <c r="BL266" i="24"/>
  <c r="BK266" i="24"/>
  <c r="BJ266" i="24"/>
  <c r="BI266" i="24"/>
  <c r="BH266" i="24"/>
  <c r="BG266" i="24"/>
  <c r="BF266" i="24"/>
  <c r="BE266" i="24"/>
  <c r="BD266" i="24"/>
  <c r="BC266" i="24"/>
  <c r="BB266" i="24"/>
  <c r="BA266" i="24"/>
  <c r="AZ266" i="24"/>
  <c r="AY266" i="24"/>
  <c r="AX266" i="24"/>
  <c r="AW266" i="24"/>
  <c r="AV266" i="24"/>
  <c r="AU266" i="24"/>
  <c r="AT266" i="24"/>
  <c r="AS266" i="24"/>
  <c r="AR266" i="24"/>
  <c r="AQ266" i="24"/>
  <c r="AP266" i="24"/>
  <c r="AO266" i="24"/>
  <c r="AN266" i="24"/>
  <c r="AM266" i="24"/>
  <c r="AL266" i="24"/>
  <c r="AK266" i="24"/>
  <c r="AJ266" i="24"/>
  <c r="AI266" i="24"/>
  <c r="AH266" i="24"/>
  <c r="AG266" i="24"/>
  <c r="AF266" i="24"/>
  <c r="AE266" i="24"/>
  <c r="AD266" i="24"/>
  <c r="AC266" i="24"/>
  <c r="AB266" i="24"/>
  <c r="AA266" i="24"/>
  <c r="Z266" i="24"/>
  <c r="Y266" i="24"/>
  <c r="X266" i="24"/>
  <c r="W266" i="24"/>
  <c r="V266" i="24"/>
  <c r="U266" i="24"/>
  <c r="T266" i="24"/>
  <c r="S266" i="24"/>
  <c r="R266" i="24"/>
  <c r="Q266" i="24"/>
  <c r="P266" i="24"/>
  <c r="O266" i="24"/>
  <c r="N266" i="24"/>
  <c r="M266" i="24"/>
  <c r="L266" i="24"/>
  <c r="K266" i="24"/>
  <c r="J266" i="24"/>
  <c r="I266" i="24"/>
  <c r="H266" i="24"/>
  <c r="G266" i="24"/>
  <c r="F266" i="24"/>
  <c r="E266" i="24"/>
  <c r="D266" i="24"/>
  <c r="C266" i="24"/>
  <c r="B266" i="24"/>
  <c r="GT265" i="24"/>
  <c r="GS265" i="24"/>
  <c r="GR265" i="24"/>
  <c r="GQ265" i="24"/>
  <c r="GP265" i="24"/>
  <c r="GO265" i="24"/>
  <c r="GN265" i="24"/>
  <c r="GM265" i="24"/>
  <c r="GL265" i="24"/>
  <c r="GK265" i="24"/>
  <c r="GJ265" i="24"/>
  <c r="GI265" i="24"/>
  <c r="GH265" i="24"/>
  <c r="GG265" i="24"/>
  <c r="GF265" i="24"/>
  <c r="GE265" i="24"/>
  <c r="GD265" i="24"/>
  <c r="GC265" i="24"/>
  <c r="GB265" i="24"/>
  <c r="GA265" i="24"/>
  <c r="FZ265" i="24"/>
  <c r="FY265" i="24"/>
  <c r="FX265" i="24"/>
  <c r="FW265" i="24"/>
  <c r="FV265" i="24"/>
  <c r="FU265" i="24"/>
  <c r="FT265" i="24"/>
  <c r="FS265" i="24"/>
  <c r="FR265" i="24"/>
  <c r="FQ265" i="24"/>
  <c r="FP265" i="24"/>
  <c r="FO265" i="24"/>
  <c r="FN265" i="24"/>
  <c r="FM265" i="24"/>
  <c r="FL265" i="24"/>
  <c r="FK265" i="24"/>
  <c r="FJ265" i="24"/>
  <c r="FI265" i="24"/>
  <c r="FH265" i="24"/>
  <c r="FG265" i="24"/>
  <c r="FF265" i="24"/>
  <c r="FE265" i="24"/>
  <c r="FD265" i="24"/>
  <c r="FC265" i="24"/>
  <c r="FB265" i="24"/>
  <c r="FA265" i="24"/>
  <c r="EZ265" i="24"/>
  <c r="EY265" i="24"/>
  <c r="EX265" i="24"/>
  <c r="EW265" i="24"/>
  <c r="EV265" i="24"/>
  <c r="EU265" i="24"/>
  <c r="ET265" i="24"/>
  <c r="ES265" i="24"/>
  <c r="ER265" i="24"/>
  <c r="EQ265" i="24"/>
  <c r="EP265" i="24"/>
  <c r="EO265" i="24"/>
  <c r="EN265" i="24"/>
  <c r="EM265" i="24"/>
  <c r="EL265" i="24"/>
  <c r="EK265" i="24"/>
  <c r="EJ265" i="24"/>
  <c r="EI265" i="24"/>
  <c r="EH265" i="24"/>
  <c r="EG265" i="24"/>
  <c r="EF265" i="24"/>
  <c r="EE265" i="24"/>
  <c r="ED265" i="24"/>
  <c r="EC265" i="24"/>
  <c r="EB265" i="24"/>
  <c r="EA265" i="24"/>
  <c r="DZ265" i="24"/>
  <c r="DY265" i="24"/>
  <c r="DX265" i="24"/>
  <c r="DW265" i="24"/>
  <c r="DV265" i="24"/>
  <c r="DU265" i="24"/>
  <c r="DT265" i="24"/>
  <c r="DS265" i="24"/>
  <c r="DR265" i="24"/>
  <c r="DQ265" i="24"/>
  <c r="DP265" i="24"/>
  <c r="DO265" i="24"/>
  <c r="DN265" i="24"/>
  <c r="DM265" i="24"/>
  <c r="DL265" i="24"/>
  <c r="DK265" i="24"/>
  <c r="DJ265" i="24"/>
  <c r="DI265" i="24"/>
  <c r="DH265" i="24"/>
  <c r="DG265" i="24"/>
  <c r="DF265" i="24"/>
  <c r="DE265" i="24"/>
  <c r="DD265" i="24"/>
  <c r="DC265" i="24"/>
  <c r="DB265" i="24"/>
  <c r="DA265" i="24"/>
  <c r="CZ265" i="24"/>
  <c r="CY265" i="24"/>
  <c r="CX265" i="24"/>
  <c r="CW265" i="24"/>
  <c r="CV265" i="24"/>
  <c r="CU265" i="24"/>
  <c r="CT265" i="24"/>
  <c r="CS265" i="24"/>
  <c r="CR265" i="24"/>
  <c r="CQ265" i="24"/>
  <c r="CP265" i="24"/>
  <c r="CO265" i="24"/>
  <c r="CN265" i="24"/>
  <c r="CM265" i="24"/>
  <c r="CL265" i="24"/>
  <c r="CK265" i="24"/>
  <c r="CJ265" i="24"/>
  <c r="CI265" i="24"/>
  <c r="CH265" i="24"/>
  <c r="CG265" i="24"/>
  <c r="CF265" i="24"/>
  <c r="CE265" i="24"/>
  <c r="CD265" i="24"/>
  <c r="CC265" i="24"/>
  <c r="CB265" i="24"/>
  <c r="CA265" i="24"/>
  <c r="BZ265" i="24"/>
  <c r="BY265" i="24"/>
  <c r="BX265" i="24"/>
  <c r="BW265" i="24"/>
  <c r="BV265" i="24"/>
  <c r="BU265" i="24"/>
  <c r="BT265" i="24"/>
  <c r="BS265" i="24"/>
  <c r="BR265" i="24"/>
  <c r="BQ265" i="24"/>
  <c r="BP265" i="24"/>
  <c r="BO265" i="24"/>
  <c r="BN265" i="24"/>
  <c r="BM265" i="24"/>
  <c r="BL265" i="24"/>
  <c r="BK265" i="24"/>
  <c r="BJ265" i="24"/>
  <c r="BI265" i="24"/>
  <c r="BH265" i="24"/>
  <c r="BG265" i="24"/>
  <c r="BF265" i="24"/>
  <c r="BE265" i="24"/>
  <c r="BD265" i="24"/>
  <c r="BC265" i="24"/>
  <c r="BB265" i="24"/>
  <c r="BA265" i="24"/>
  <c r="AZ265" i="24"/>
  <c r="AY265" i="24"/>
  <c r="AX265" i="24"/>
  <c r="AW265" i="24"/>
  <c r="AV265" i="24"/>
  <c r="AU265" i="24"/>
  <c r="AT265" i="24"/>
  <c r="AS265" i="24"/>
  <c r="AR265" i="24"/>
  <c r="AQ265" i="24"/>
  <c r="AP265" i="24"/>
  <c r="AO265" i="24"/>
  <c r="AN265" i="24"/>
  <c r="AM265" i="24"/>
  <c r="AL265" i="24"/>
  <c r="AK265" i="24"/>
  <c r="AJ265" i="24"/>
  <c r="AI265" i="24"/>
  <c r="AH265" i="24"/>
  <c r="AG265" i="24"/>
  <c r="AF265" i="24"/>
  <c r="AE265" i="24"/>
  <c r="AD265" i="24"/>
  <c r="AC265" i="24"/>
  <c r="AB265" i="24"/>
  <c r="AA265" i="24"/>
  <c r="Z265" i="24"/>
  <c r="Y265" i="24"/>
  <c r="X265" i="24"/>
  <c r="W265" i="24"/>
  <c r="V265" i="24"/>
  <c r="U265" i="24"/>
  <c r="T265" i="24"/>
  <c r="S265" i="24"/>
  <c r="R265" i="24"/>
  <c r="Q265" i="24"/>
  <c r="P265" i="24"/>
  <c r="O265" i="24"/>
  <c r="N265" i="24"/>
  <c r="M265" i="24"/>
  <c r="L265" i="24"/>
  <c r="K265" i="24"/>
  <c r="J265" i="24"/>
  <c r="I265" i="24"/>
  <c r="H265" i="24"/>
  <c r="G265" i="24"/>
  <c r="F265" i="24"/>
  <c r="E265" i="24"/>
  <c r="D265" i="24"/>
  <c r="C265" i="24"/>
  <c r="B265" i="24"/>
  <c r="GT264" i="24"/>
  <c r="GS264" i="24"/>
  <c r="GR264" i="24"/>
  <c r="GQ264" i="24"/>
  <c r="GP264" i="24"/>
  <c r="GO264" i="24"/>
  <c r="GN264" i="24"/>
  <c r="GM264" i="24"/>
  <c r="GL264" i="24"/>
  <c r="GK264" i="24"/>
  <c r="GJ264" i="24"/>
  <c r="GI264" i="24"/>
  <c r="GH264" i="24"/>
  <c r="GG264" i="24"/>
  <c r="GF264" i="24"/>
  <c r="GE264" i="24"/>
  <c r="GD264" i="24"/>
  <c r="GC264" i="24"/>
  <c r="GB264" i="24"/>
  <c r="GA264" i="24"/>
  <c r="FZ264" i="24"/>
  <c r="FY264" i="24"/>
  <c r="FX264" i="24"/>
  <c r="FW264" i="24"/>
  <c r="FV264" i="24"/>
  <c r="FU264" i="24"/>
  <c r="FT264" i="24"/>
  <c r="FS264" i="24"/>
  <c r="FR264" i="24"/>
  <c r="FQ264" i="24"/>
  <c r="FP264" i="24"/>
  <c r="FO264" i="24"/>
  <c r="FN264" i="24"/>
  <c r="FM264" i="24"/>
  <c r="FL264" i="24"/>
  <c r="FK264" i="24"/>
  <c r="FJ264" i="24"/>
  <c r="FI264" i="24"/>
  <c r="FH264" i="24"/>
  <c r="FG264" i="24"/>
  <c r="FF264" i="24"/>
  <c r="FE264" i="24"/>
  <c r="FD264" i="24"/>
  <c r="FC264" i="24"/>
  <c r="FB264" i="24"/>
  <c r="FA264" i="24"/>
  <c r="EZ264" i="24"/>
  <c r="EY264" i="24"/>
  <c r="EX264" i="24"/>
  <c r="EW264" i="24"/>
  <c r="EV264" i="24"/>
  <c r="EU264" i="24"/>
  <c r="ET264" i="24"/>
  <c r="ES264" i="24"/>
  <c r="ER264" i="24"/>
  <c r="EQ264" i="24"/>
  <c r="EP264" i="24"/>
  <c r="EO264" i="24"/>
  <c r="EN264" i="24"/>
  <c r="EM264" i="24"/>
  <c r="EL264" i="24"/>
  <c r="EK264" i="24"/>
  <c r="EJ264" i="24"/>
  <c r="EI264" i="24"/>
  <c r="EH264" i="24"/>
  <c r="EG264" i="24"/>
  <c r="EF264" i="24"/>
  <c r="EE264" i="24"/>
  <c r="ED264" i="24"/>
  <c r="EC264" i="24"/>
  <c r="EB264" i="24"/>
  <c r="EA264" i="24"/>
  <c r="DZ264" i="24"/>
  <c r="DY264" i="24"/>
  <c r="DX264" i="24"/>
  <c r="DW264" i="24"/>
  <c r="DV264" i="24"/>
  <c r="DU264" i="24"/>
  <c r="DT264" i="24"/>
  <c r="DS264" i="24"/>
  <c r="DR264" i="24"/>
  <c r="DQ264" i="24"/>
  <c r="DP264" i="24"/>
  <c r="DO264" i="24"/>
  <c r="DN264" i="24"/>
  <c r="DM264" i="24"/>
  <c r="DL264" i="24"/>
  <c r="DK264" i="24"/>
  <c r="DJ264" i="24"/>
  <c r="DI264" i="24"/>
  <c r="DH264" i="24"/>
  <c r="DG264" i="24"/>
  <c r="DF264" i="24"/>
  <c r="DE264" i="24"/>
  <c r="DD264" i="24"/>
  <c r="DC264" i="24"/>
  <c r="DB264" i="24"/>
  <c r="DA264" i="24"/>
  <c r="CZ264" i="24"/>
  <c r="CY264" i="24"/>
  <c r="CX264" i="24"/>
  <c r="CW264" i="24"/>
  <c r="CV264" i="24"/>
  <c r="CU264" i="24"/>
  <c r="CT264" i="24"/>
  <c r="CS264" i="24"/>
  <c r="CR264" i="24"/>
  <c r="CQ264" i="24"/>
  <c r="CP264" i="24"/>
  <c r="CO264" i="24"/>
  <c r="CN264" i="24"/>
  <c r="CM264" i="24"/>
  <c r="CL264" i="24"/>
  <c r="CK264" i="24"/>
  <c r="CJ264" i="24"/>
  <c r="CI264" i="24"/>
  <c r="CH264" i="24"/>
  <c r="CG264" i="24"/>
  <c r="CF264" i="24"/>
  <c r="CE264" i="24"/>
  <c r="CD264" i="24"/>
  <c r="CC264" i="24"/>
  <c r="CB264" i="24"/>
  <c r="CA264" i="24"/>
  <c r="BZ264" i="24"/>
  <c r="BY264" i="24"/>
  <c r="BX264" i="24"/>
  <c r="BW264" i="24"/>
  <c r="BV264" i="24"/>
  <c r="BU264" i="24"/>
  <c r="BT264" i="24"/>
  <c r="BS264" i="24"/>
  <c r="BR264" i="24"/>
  <c r="BQ264" i="24"/>
  <c r="BP264" i="24"/>
  <c r="BO264" i="24"/>
  <c r="BN264" i="24"/>
  <c r="BM264" i="24"/>
  <c r="BL264" i="24"/>
  <c r="BK264" i="24"/>
  <c r="BJ264" i="24"/>
  <c r="BI264" i="24"/>
  <c r="BH264" i="24"/>
  <c r="BG264" i="24"/>
  <c r="BF264" i="24"/>
  <c r="BE264" i="24"/>
  <c r="BD264" i="24"/>
  <c r="BC264" i="24"/>
  <c r="BB264" i="24"/>
  <c r="BA264" i="24"/>
  <c r="AZ264" i="24"/>
  <c r="AY264" i="24"/>
  <c r="AX264" i="24"/>
  <c r="AW264" i="24"/>
  <c r="AV264" i="24"/>
  <c r="AU264" i="24"/>
  <c r="AT264" i="24"/>
  <c r="AS264" i="24"/>
  <c r="AR264" i="24"/>
  <c r="AQ264" i="24"/>
  <c r="AP264" i="24"/>
  <c r="AO264" i="24"/>
  <c r="AN264" i="24"/>
  <c r="AM264" i="24"/>
  <c r="AL264" i="24"/>
  <c r="AK264" i="24"/>
  <c r="AJ264" i="24"/>
  <c r="AI264" i="24"/>
  <c r="AH264" i="24"/>
  <c r="AG264" i="24"/>
  <c r="AF264" i="24"/>
  <c r="AE264" i="24"/>
  <c r="AD264" i="24"/>
  <c r="AC264" i="24"/>
  <c r="AB264" i="24"/>
  <c r="AA264" i="24"/>
  <c r="Z264" i="24"/>
  <c r="Y264" i="24"/>
  <c r="X264" i="24"/>
  <c r="W264" i="24"/>
  <c r="V264" i="24"/>
  <c r="U264" i="24"/>
  <c r="T264" i="24"/>
  <c r="S264" i="24"/>
  <c r="R264" i="24"/>
  <c r="Q264" i="24"/>
  <c r="P264" i="24"/>
  <c r="O264" i="24"/>
  <c r="N264" i="24"/>
  <c r="M264" i="24"/>
  <c r="L264" i="24"/>
  <c r="K264" i="24"/>
  <c r="J264" i="24"/>
  <c r="I264" i="24"/>
  <c r="H264" i="24"/>
  <c r="G264" i="24"/>
  <c r="F264" i="24"/>
  <c r="E264" i="24"/>
  <c r="D264" i="24"/>
  <c r="C264" i="24"/>
  <c r="B264" i="24"/>
  <c r="GT34" i="31"/>
  <c r="GS34" i="31"/>
  <c r="GR34" i="31"/>
  <c r="GQ34" i="31"/>
  <c r="GP34" i="31"/>
  <c r="GO34" i="31"/>
  <c r="GN34" i="31"/>
  <c r="GM34" i="31"/>
  <c r="GL34" i="31"/>
  <c r="GK34" i="31"/>
  <c r="GJ34" i="31"/>
  <c r="GI34" i="31"/>
  <c r="GH34" i="31"/>
  <c r="GG34" i="31"/>
  <c r="GF34" i="31"/>
  <c r="GE34" i="31"/>
  <c r="GD34" i="31"/>
  <c r="GC34" i="31"/>
  <c r="GB34" i="31"/>
  <c r="GA34" i="31"/>
  <c r="FZ34" i="31"/>
  <c r="FY34" i="31"/>
  <c r="FX34" i="31"/>
  <c r="FW34" i="31"/>
  <c r="FV34" i="31"/>
  <c r="FU34" i="31"/>
  <c r="FT34" i="31"/>
  <c r="FS34" i="31"/>
  <c r="FR34" i="31"/>
  <c r="FQ34" i="31"/>
  <c r="FP34" i="31"/>
  <c r="FO34" i="31"/>
  <c r="FN34" i="31"/>
  <c r="FM34" i="31"/>
  <c r="FL34" i="31"/>
  <c r="FK34" i="31"/>
  <c r="FJ34" i="31"/>
  <c r="FI34" i="31"/>
  <c r="FH34" i="31"/>
  <c r="FG34" i="31"/>
  <c r="FF34" i="31"/>
  <c r="FE34" i="31"/>
  <c r="FD34" i="31"/>
  <c r="FC34" i="31"/>
  <c r="FB34" i="31"/>
  <c r="FA34" i="31"/>
  <c r="EZ34" i="31"/>
  <c r="EY34" i="31"/>
  <c r="EX34" i="31"/>
  <c r="EW34" i="31"/>
  <c r="EV34" i="31"/>
  <c r="EU34" i="31"/>
  <c r="ET34" i="31"/>
  <c r="ES34" i="31"/>
  <c r="ER34" i="31"/>
  <c r="EQ34" i="31"/>
  <c r="EP34" i="31"/>
  <c r="EO34" i="31"/>
  <c r="EN34" i="31"/>
  <c r="EM34" i="31"/>
  <c r="EL34" i="31"/>
  <c r="EK34" i="31"/>
  <c r="EJ34" i="31"/>
  <c r="EI34" i="31"/>
  <c r="EH34" i="31"/>
  <c r="EG34" i="31"/>
  <c r="EF34" i="31"/>
  <c r="EE34" i="31"/>
  <c r="ED34" i="31"/>
  <c r="EC34" i="31"/>
  <c r="EB34" i="31"/>
  <c r="EA34" i="31"/>
  <c r="DZ34" i="31"/>
  <c r="DY34" i="31"/>
  <c r="DX34" i="31"/>
  <c r="DW34" i="31"/>
  <c r="DV34" i="31"/>
  <c r="DU34" i="31"/>
  <c r="DT34" i="31"/>
  <c r="DS34" i="31"/>
  <c r="DR34" i="31"/>
  <c r="DQ34" i="31"/>
  <c r="DP34" i="31"/>
  <c r="DO34" i="31"/>
  <c r="DN34" i="31"/>
  <c r="DM34" i="31"/>
  <c r="DL34" i="31"/>
  <c r="DK34" i="31"/>
  <c r="DJ34" i="31"/>
  <c r="DI34" i="31"/>
  <c r="DH34" i="31"/>
  <c r="DG34" i="31"/>
  <c r="DF34" i="31"/>
  <c r="DE34" i="31"/>
  <c r="DD34" i="31"/>
  <c r="DC34" i="31"/>
  <c r="DB34" i="31"/>
  <c r="DA34" i="31"/>
  <c r="CZ34" i="31"/>
  <c r="CY34" i="31"/>
  <c r="CX34" i="31"/>
  <c r="CW34" i="31"/>
  <c r="CV34" i="31"/>
  <c r="CU34" i="31"/>
  <c r="CT34" i="31"/>
  <c r="CS34" i="31"/>
  <c r="CR34" i="31"/>
  <c r="CQ34" i="31"/>
  <c r="CP34" i="31"/>
  <c r="CO34" i="31"/>
  <c r="CN34" i="31"/>
  <c r="CM34" i="31"/>
  <c r="CL34" i="31"/>
  <c r="CK34" i="31"/>
  <c r="CJ34" i="31"/>
  <c r="CI34" i="31"/>
  <c r="CH34" i="31"/>
  <c r="CG34" i="31"/>
  <c r="CF34" i="31"/>
  <c r="CE34" i="31"/>
  <c r="CD34" i="31"/>
  <c r="CC34" i="31"/>
  <c r="CB34" i="31"/>
  <c r="CA34" i="31"/>
  <c r="BZ34" i="31"/>
  <c r="BY34" i="31"/>
  <c r="BX34" i="31"/>
  <c r="BW34" i="31"/>
  <c r="BV34" i="31"/>
  <c r="BU34" i="31"/>
  <c r="BT34" i="31"/>
  <c r="BS34" i="31"/>
  <c r="BR34" i="31"/>
  <c r="BQ34" i="31"/>
  <c r="BP34" i="31"/>
  <c r="BO34" i="31"/>
  <c r="BN34" i="31"/>
  <c r="BM34" i="31"/>
  <c r="BL34" i="31"/>
  <c r="BK34" i="31"/>
  <c r="BJ34" i="31"/>
  <c r="BI34" i="31"/>
  <c r="BH34" i="31"/>
  <c r="BG34" i="31"/>
  <c r="BF34" i="31"/>
  <c r="BE34" i="31"/>
  <c r="BD34" i="31"/>
  <c r="BC34" i="31"/>
  <c r="BB34" i="31"/>
  <c r="BA34" i="31"/>
  <c r="AZ34" i="31"/>
  <c r="AY34" i="31"/>
  <c r="AX34" i="31"/>
  <c r="AW34" i="31"/>
  <c r="AV34" i="31"/>
  <c r="AU34" i="31"/>
  <c r="AT34" i="31"/>
  <c r="AS34" i="31"/>
  <c r="AR34" i="31"/>
  <c r="AQ34" i="31"/>
  <c r="AP34" i="31"/>
  <c r="AO34" i="31"/>
  <c r="AN34" i="31"/>
  <c r="AM34" i="31"/>
  <c r="AL34" i="31"/>
  <c r="AK34" i="31"/>
  <c r="AJ34" i="31"/>
  <c r="AI34" i="31"/>
  <c r="AH34" i="31"/>
  <c r="AG34" i="31"/>
  <c r="AF34" i="31"/>
  <c r="AE34" i="31"/>
  <c r="AD34" i="31"/>
  <c r="AC34" i="31"/>
  <c r="AB34" i="31"/>
  <c r="AA34" i="31"/>
  <c r="Z34" i="31"/>
  <c r="Y34" i="31"/>
  <c r="X34" i="31"/>
  <c r="W34" i="31"/>
  <c r="V34" i="31"/>
  <c r="U34" i="31"/>
  <c r="T34" i="31"/>
  <c r="S34" i="31"/>
  <c r="R34" i="31"/>
  <c r="Q34" i="31"/>
  <c r="P34" i="31"/>
  <c r="O34" i="31"/>
  <c r="N34" i="31"/>
  <c r="M34" i="31"/>
  <c r="K34" i="31"/>
  <c r="J34" i="31"/>
  <c r="I34" i="31"/>
  <c r="F34" i="31"/>
  <c r="GS286" i="24"/>
  <c r="F286" i="24"/>
  <c r="L307" i="24"/>
  <c r="K307" i="24"/>
  <c r="I307" i="24"/>
  <c r="H307" i="24"/>
  <c r="F307" i="24"/>
  <c r="E307" i="24"/>
  <c r="GT72" i="10"/>
  <c r="GS72" i="10"/>
  <c r="GR72" i="10"/>
  <c r="GQ72" i="10"/>
  <c r="GP72" i="10"/>
  <c r="GO72" i="10"/>
  <c r="GN72" i="10"/>
  <c r="GM72" i="10"/>
  <c r="GL72" i="10"/>
  <c r="GK72" i="10"/>
  <c r="GJ72" i="10"/>
  <c r="GI72" i="10"/>
  <c r="GH72" i="10"/>
  <c r="GG72" i="10"/>
  <c r="GF72" i="10"/>
  <c r="GE72" i="10"/>
  <c r="GD72" i="10"/>
  <c r="GC72" i="10"/>
  <c r="GB72" i="10"/>
  <c r="GA72" i="10"/>
  <c r="FZ72" i="10"/>
  <c r="FY72" i="10"/>
  <c r="FX72" i="10"/>
  <c r="FW72" i="10"/>
  <c r="FV72" i="10"/>
  <c r="FU72" i="10"/>
  <c r="FT72" i="10"/>
  <c r="FS72" i="10"/>
  <c r="FR72" i="10"/>
  <c r="FQ72" i="10"/>
  <c r="FP72" i="10"/>
  <c r="FO72" i="10"/>
  <c r="FN72" i="10"/>
  <c r="FM72" i="10"/>
  <c r="FL72" i="10"/>
  <c r="FK72" i="10"/>
  <c r="FJ72" i="10"/>
  <c r="FI72" i="10"/>
  <c r="FH72" i="10"/>
  <c r="FG72" i="10"/>
  <c r="FF72" i="10"/>
  <c r="FE72" i="10"/>
  <c r="FD72" i="10"/>
  <c r="FC72" i="10"/>
  <c r="FB72" i="10"/>
  <c r="FA72" i="10"/>
  <c r="EZ72" i="10"/>
  <c r="EY72" i="10"/>
  <c r="EX72" i="10"/>
  <c r="EW72" i="10"/>
  <c r="EV72" i="10"/>
  <c r="EU72" i="10"/>
  <c r="ET72" i="10"/>
  <c r="ES72" i="10"/>
  <c r="ER72" i="10"/>
  <c r="EQ72" i="10"/>
  <c r="EP72" i="10"/>
  <c r="EO72" i="10"/>
  <c r="EN72" i="10"/>
  <c r="EM72" i="10"/>
  <c r="EL72" i="10"/>
  <c r="EK72" i="10"/>
  <c r="EJ72" i="10"/>
  <c r="EI72" i="10"/>
  <c r="EH72" i="10"/>
  <c r="EG72" i="10"/>
  <c r="EF72" i="10"/>
  <c r="EE72" i="10"/>
  <c r="ED72" i="10"/>
  <c r="EC72" i="10"/>
  <c r="EB72" i="10"/>
  <c r="EA72" i="10"/>
  <c r="DZ72" i="10"/>
  <c r="DY72" i="10"/>
  <c r="DX72" i="10"/>
  <c r="DW72" i="10"/>
  <c r="DV72" i="10"/>
  <c r="DU72" i="10"/>
  <c r="DT72" i="10"/>
  <c r="DS72" i="10"/>
  <c r="DR72" i="10"/>
  <c r="DQ72" i="10"/>
  <c r="DP72" i="10"/>
  <c r="DO72" i="10"/>
  <c r="DN72" i="10"/>
  <c r="DM72" i="10"/>
  <c r="DL72" i="10"/>
  <c r="DK72" i="10"/>
  <c r="DJ72" i="10"/>
  <c r="DI72" i="10"/>
  <c r="DH72" i="10"/>
  <c r="DG72" i="10"/>
  <c r="DF72" i="10"/>
  <c r="DE72" i="10"/>
  <c r="DD72" i="10"/>
  <c r="DC72" i="10"/>
  <c r="DB72" i="10"/>
  <c r="DA72" i="10"/>
  <c r="CZ72" i="10"/>
  <c r="CY72" i="10"/>
  <c r="CX72" i="10"/>
  <c r="CW72" i="10"/>
  <c r="CV72" i="10"/>
  <c r="CU72" i="10"/>
  <c r="CT72" i="10"/>
  <c r="CS72" i="10"/>
  <c r="CR72" i="10"/>
  <c r="CQ72" i="10"/>
  <c r="CP72" i="10"/>
  <c r="CO72" i="10"/>
  <c r="CN72" i="10"/>
  <c r="CM72" i="10"/>
  <c r="CL72" i="10"/>
  <c r="CK72" i="10"/>
  <c r="CJ72" i="10"/>
  <c r="CI72" i="10"/>
  <c r="CH72" i="10"/>
  <c r="CG72" i="10"/>
  <c r="CF72" i="10"/>
  <c r="CE72" i="10"/>
  <c r="CD72" i="10"/>
  <c r="CC72" i="10"/>
  <c r="CB72" i="10"/>
  <c r="CA72" i="10"/>
  <c r="BZ72" i="10"/>
  <c r="BY72" i="10"/>
  <c r="BX72" i="10"/>
  <c r="BW72" i="10"/>
  <c r="BV72" i="10"/>
  <c r="BU72" i="10"/>
  <c r="BT72" i="10"/>
  <c r="BS72" i="10"/>
  <c r="BR72" i="10"/>
  <c r="BQ72" i="10"/>
  <c r="BP72" i="10"/>
  <c r="BO72" i="10"/>
  <c r="BN72" i="10"/>
  <c r="BM72" i="10"/>
  <c r="BL72" i="10"/>
  <c r="BK72" i="10"/>
  <c r="BJ72" i="10"/>
  <c r="BI72" i="10"/>
  <c r="BH72" i="10"/>
  <c r="BG72" i="10"/>
  <c r="BF72" i="10"/>
  <c r="BE72" i="10"/>
  <c r="BD72" i="10"/>
  <c r="BC72" i="10"/>
  <c r="BB72" i="10"/>
  <c r="BA72" i="10"/>
  <c r="AZ72" i="10"/>
  <c r="AY72" i="10"/>
  <c r="AX72" i="10"/>
  <c r="AW72" i="10"/>
  <c r="AV72" i="10"/>
  <c r="AU72" i="10"/>
  <c r="AT72" i="10"/>
  <c r="AS72" i="10"/>
  <c r="AR72" i="10"/>
  <c r="AQ72" i="10"/>
  <c r="AP72" i="10"/>
  <c r="AO72" i="10"/>
  <c r="AN72" i="10"/>
  <c r="AM72" i="10"/>
  <c r="AL72" i="10"/>
  <c r="AK72" i="10"/>
  <c r="AJ72" i="10"/>
  <c r="AI72" i="10"/>
  <c r="AH72" i="10"/>
  <c r="AG72" i="10"/>
  <c r="AF72" i="10"/>
  <c r="AE72" i="10"/>
  <c r="AD72" i="10"/>
  <c r="AC72" i="10"/>
  <c r="AB72" i="10"/>
  <c r="AA72" i="10"/>
  <c r="Z72" i="10"/>
  <c r="Y72" i="10"/>
  <c r="X72" i="10"/>
  <c r="W72" i="10"/>
  <c r="V72" i="10"/>
  <c r="U72" i="10"/>
  <c r="T72" i="10"/>
  <c r="S72" i="10"/>
  <c r="R72" i="10"/>
  <c r="Q72" i="10"/>
  <c r="P72" i="10"/>
  <c r="O72" i="10"/>
  <c r="N72" i="10"/>
  <c r="M72" i="10"/>
  <c r="L72" i="10"/>
  <c r="J72" i="10"/>
  <c r="I72" i="10"/>
  <c r="H304" i="24" s="1"/>
  <c r="H72" i="10"/>
  <c r="E72" i="10"/>
  <c r="D72" i="10"/>
  <c r="GT62" i="10"/>
  <c r="GS62" i="10"/>
  <c r="GQ62" i="10"/>
  <c r="GP62" i="10"/>
  <c r="GO62" i="10"/>
  <c r="GN62" i="10"/>
  <c r="GM62" i="10"/>
  <c r="GL62" i="10"/>
  <c r="GK62" i="10"/>
  <c r="GJ62" i="10"/>
  <c r="GI62" i="10"/>
  <c r="GH62" i="10"/>
  <c r="GG62" i="10"/>
  <c r="GF62" i="10"/>
  <c r="GE62" i="10"/>
  <c r="GD62" i="10"/>
  <c r="GC62" i="10"/>
  <c r="GB62" i="10"/>
  <c r="GA62" i="10"/>
  <c r="FZ62" i="10"/>
  <c r="FY62" i="10"/>
  <c r="FX62" i="10"/>
  <c r="FW62" i="10"/>
  <c r="FV62" i="10"/>
  <c r="FU62" i="10"/>
  <c r="FT62" i="10"/>
  <c r="FS62" i="10"/>
  <c r="FR62" i="10"/>
  <c r="FQ62" i="10"/>
  <c r="FP62" i="10"/>
  <c r="FO62" i="10"/>
  <c r="FN62" i="10"/>
  <c r="FM62" i="10"/>
  <c r="FL62" i="10"/>
  <c r="FK62" i="10"/>
  <c r="FJ62" i="10"/>
  <c r="FI62" i="10"/>
  <c r="FH62" i="10"/>
  <c r="FG62" i="10"/>
  <c r="FF62" i="10"/>
  <c r="FE62" i="10"/>
  <c r="FD62" i="10"/>
  <c r="FC62" i="10"/>
  <c r="FB62" i="10"/>
  <c r="FA62" i="10"/>
  <c r="EZ62" i="10"/>
  <c r="EY62" i="10"/>
  <c r="EX62" i="10"/>
  <c r="EW62" i="10"/>
  <c r="EV62" i="10"/>
  <c r="EU62" i="10"/>
  <c r="ET62" i="10"/>
  <c r="ES62" i="10"/>
  <c r="ER62" i="10"/>
  <c r="EQ62" i="10"/>
  <c r="EP62" i="10"/>
  <c r="EO62" i="10"/>
  <c r="EN62" i="10"/>
  <c r="EM62" i="10"/>
  <c r="EL62" i="10"/>
  <c r="EK62" i="10"/>
  <c r="EJ62" i="10"/>
  <c r="EI62" i="10"/>
  <c r="EH62" i="10"/>
  <c r="EG62" i="10"/>
  <c r="EF62" i="10"/>
  <c r="EE62" i="10"/>
  <c r="ED62" i="10"/>
  <c r="EC62" i="10"/>
  <c r="EB62" i="10"/>
  <c r="EA62" i="10"/>
  <c r="DZ62" i="10"/>
  <c r="DY62" i="10"/>
  <c r="DX62" i="10"/>
  <c r="DW62" i="10"/>
  <c r="DV62" i="10"/>
  <c r="DU62" i="10"/>
  <c r="DT62" i="10"/>
  <c r="DS62" i="10"/>
  <c r="DR62" i="10"/>
  <c r="DQ62" i="10"/>
  <c r="DP62" i="10"/>
  <c r="DO62" i="10"/>
  <c r="DN62" i="10"/>
  <c r="DM62" i="10"/>
  <c r="DL62" i="10"/>
  <c r="DK62" i="10"/>
  <c r="DJ62" i="10"/>
  <c r="DI62" i="10"/>
  <c r="DH62" i="10"/>
  <c r="DG62" i="10"/>
  <c r="DF62" i="10"/>
  <c r="DE62" i="10"/>
  <c r="DD62" i="10"/>
  <c r="DC62" i="10"/>
  <c r="DB62" i="10"/>
  <c r="DA62" i="10"/>
  <c r="CZ62" i="10"/>
  <c r="CY62" i="10"/>
  <c r="CX62" i="10"/>
  <c r="CW62" i="10"/>
  <c r="CV62" i="10"/>
  <c r="CU62" i="10"/>
  <c r="CT62" i="10"/>
  <c r="CS62" i="10"/>
  <c r="CR62" i="10"/>
  <c r="CQ62" i="10"/>
  <c r="CP62" i="10"/>
  <c r="CO62" i="10"/>
  <c r="CN62" i="10"/>
  <c r="CM62" i="10"/>
  <c r="CL62" i="10"/>
  <c r="CK62" i="10"/>
  <c r="CJ62" i="10"/>
  <c r="CI62" i="10"/>
  <c r="CH62" i="10"/>
  <c r="CG62" i="10"/>
  <c r="CF62" i="10"/>
  <c r="CE62" i="10"/>
  <c r="CD62" i="10"/>
  <c r="CC62" i="10"/>
  <c r="CB62" i="10"/>
  <c r="CA62" i="10"/>
  <c r="BZ62" i="10"/>
  <c r="BY62" i="10"/>
  <c r="BX62" i="10"/>
  <c r="BW62" i="10"/>
  <c r="BV62" i="10"/>
  <c r="BU62" i="10"/>
  <c r="BT62" i="10"/>
  <c r="BS62" i="10"/>
  <c r="BR62" i="10"/>
  <c r="BQ62" i="10"/>
  <c r="BP62" i="10"/>
  <c r="BO62" i="10"/>
  <c r="BN62" i="10"/>
  <c r="BM62" i="10"/>
  <c r="BL62" i="10"/>
  <c r="BK62" i="10"/>
  <c r="BJ62" i="10"/>
  <c r="BI62" i="10"/>
  <c r="BH62" i="10"/>
  <c r="BG62" i="10"/>
  <c r="BF62" i="10"/>
  <c r="BE62" i="10"/>
  <c r="BD62" i="10"/>
  <c r="BC62" i="10"/>
  <c r="BB62" i="10"/>
  <c r="BA62" i="10"/>
  <c r="AZ62" i="10"/>
  <c r="AY62" i="10"/>
  <c r="AX62" i="10"/>
  <c r="AW62" i="10"/>
  <c r="AV62" i="10"/>
  <c r="AU62" i="10"/>
  <c r="AT62" i="10"/>
  <c r="AS62" i="10"/>
  <c r="AR62" i="10"/>
  <c r="AQ62" i="10"/>
  <c r="AP62" i="10"/>
  <c r="AO62" i="10"/>
  <c r="AN62" i="10"/>
  <c r="AM62" i="10"/>
  <c r="AL62" i="10"/>
  <c r="AK62" i="10"/>
  <c r="AJ62" i="10"/>
  <c r="AI62" i="10"/>
  <c r="AH62" i="10"/>
  <c r="AG62" i="10"/>
  <c r="AF62" i="10"/>
  <c r="AE62" i="10"/>
  <c r="AD62" i="10"/>
  <c r="AC62" i="10"/>
  <c r="AB62" i="10"/>
  <c r="AA62" i="10"/>
  <c r="Z62" i="10"/>
  <c r="Y62" i="10"/>
  <c r="X62" i="10"/>
  <c r="W62" i="10"/>
  <c r="V62" i="10"/>
  <c r="U62" i="10"/>
  <c r="T62" i="10"/>
  <c r="S62" i="10"/>
  <c r="R62" i="10"/>
  <c r="Q62" i="10"/>
  <c r="P62" i="10"/>
  <c r="O62" i="10"/>
  <c r="N62" i="10"/>
  <c r="M62" i="10"/>
  <c r="L62" i="10"/>
  <c r="K62" i="10"/>
  <c r="J62" i="10"/>
  <c r="I62" i="10"/>
  <c r="H62" i="10"/>
  <c r="G62" i="10"/>
  <c r="F62" i="10"/>
  <c r="D62" i="10"/>
  <c r="GT53" i="10"/>
  <c r="GR53" i="10"/>
  <c r="GQ53" i="10"/>
  <c r="GP53" i="10"/>
  <c r="GO53" i="10"/>
  <c r="GN53" i="10"/>
  <c r="GM53" i="10"/>
  <c r="GL53" i="10"/>
  <c r="GK53" i="10"/>
  <c r="GJ53" i="10"/>
  <c r="GI53" i="10"/>
  <c r="GH53" i="10"/>
  <c r="GG53" i="10"/>
  <c r="GF53" i="10"/>
  <c r="GE53" i="10"/>
  <c r="GD53" i="10"/>
  <c r="GC53" i="10"/>
  <c r="GB53" i="10"/>
  <c r="GA53" i="10"/>
  <c r="FZ53" i="10"/>
  <c r="FY53" i="10"/>
  <c r="FX53" i="10"/>
  <c r="FW53" i="10"/>
  <c r="FV53" i="10"/>
  <c r="FU53" i="10"/>
  <c r="FT53" i="10"/>
  <c r="FS53" i="10"/>
  <c r="FR53" i="10"/>
  <c r="FQ53" i="10"/>
  <c r="FP53" i="10"/>
  <c r="FO53" i="10"/>
  <c r="FN53" i="10"/>
  <c r="FM53" i="10"/>
  <c r="FL53" i="10"/>
  <c r="FK53" i="10"/>
  <c r="FJ53" i="10"/>
  <c r="FI53" i="10"/>
  <c r="FH53" i="10"/>
  <c r="FG53" i="10"/>
  <c r="FF53" i="10"/>
  <c r="FE53" i="10"/>
  <c r="FD53" i="10"/>
  <c r="FC53" i="10"/>
  <c r="FB53" i="10"/>
  <c r="FA53" i="10"/>
  <c r="EZ53" i="10"/>
  <c r="EY53" i="10"/>
  <c r="EX53" i="10"/>
  <c r="EW53" i="10"/>
  <c r="EV53" i="10"/>
  <c r="EU53" i="10"/>
  <c r="ET53" i="10"/>
  <c r="ES53" i="10"/>
  <c r="ER53" i="10"/>
  <c r="EQ53" i="10"/>
  <c r="EP53" i="10"/>
  <c r="EO53" i="10"/>
  <c r="EN53" i="10"/>
  <c r="EM53" i="10"/>
  <c r="EL53" i="10"/>
  <c r="EK53" i="10"/>
  <c r="EJ53" i="10"/>
  <c r="EI53" i="10"/>
  <c r="EH53" i="10"/>
  <c r="EG53" i="10"/>
  <c r="EF53" i="10"/>
  <c r="EE53" i="10"/>
  <c r="ED53" i="10"/>
  <c r="EC53" i="10"/>
  <c r="EB53" i="10"/>
  <c r="EA53" i="10"/>
  <c r="DZ53" i="10"/>
  <c r="DY53" i="10"/>
  <c r="DX53" i="10"/>
  <c r="DW53" i="10"/>
  <c r="DV53" i="10"/>
  <c r="DU53" i="10"/>
  <c r="DT53" i="10"/>
  <c r="DS53" i="10"/>
  <c r="DR53" i="10"/>
  <c r="DQ53" i="10"/>
  <c r="DP53" i="10"/>
  <c r="DO53" i="10"/>
  <c r="DN53" i="10"/>
  <c r="DM53" i="10"/>
  <c r="DL53" i="10"/>
  <c r="DK53" i="10"/>
  <c r="DJ53" i="10"/>
  <c r="DI53" i="10"/>
  <c r="DH53" i="10"/>
  <c r="DG53" i="10"/>
  <c r="DF53" i="10"/>
  <c r="DE53" i="10"/>
  <c r="DD53" i="10"/>
  <c r="DC53" i="10"/>
  <c r="DB53" i="10"/>
  <c r="DA53" i="10"/>
  <c r="CZ53" i="10"/>
  <c r="CY53" i="10"/>
  <c r="CX53" i="10"/>
  <c r="CW53" i="10"/>
  <c r="CV53" i="10"/>
  <c r="CU53" i="10"/>
  <c r="CT53" i="10"/>
  <c r="CS53" i="10"/>
  <c r="CR53" i="10"/>
  <c r="CQ53" i="10"/>
  <c r="CP53" i="10"/>
  <c r="CO53" i="10"/>
  <c r="CN53" i="10"/>
  <c r="CM53" i="10"/>
  <c r="CL53" i="10"/>
  <c r="CK53" i="10"/>
  <c r="CJ53" i="10"/>
  <c r="CI53" i="10"/>
  <c r="CH53" i="10"/>
  <c r="CG53" i="10"/>
  <c r="CF53" i="10"/>
  <c r="CE53" i="10"/>
  <c r="CD53" i="10"/>
  <c r="CC53" i="10"/>
  <c r="CB53" i="10"/>
  <c r="CA53" i="10"/>
  <c r="BZ53" i="10"/>
  <c r="BY53" i="10"/>
  <c r="BX53" i="10"/>
  <c r="BW53" i="10"/>
  <c r="BV53" i="10"/>
  <c r="BU53" i="10"/>
  <c r="BT53" i="10"/>
  <c r="BS53" i="10"/>
  <c r="BR53" i="10"/>
  <c r="BQ53" i="10"/>
  <c r="BP53" i="10"/>
  <c r="BO53" i="10"/>
  <c r="BN53" i="10"/>
  <c r="BM53" i="10"/>
  <c r="BL53" i="10"/>
  <c r="BK53" i="10"/>
  <c r="BJ53" i="10"/>
  <c r="BI53" i="10"/>
  <c r="BH53" i="10"/>
  <c r="BG53" i="10"/>
  <c r="BF53" i="10"/>
  <c r="BE53" i="10"/>
  <c r="BD53" i="10"/>
  <c r="BC53" i="10"/>
  <c r="BB53" i="10"/>
  <c r="BA53" i="10"/>
  <c r="AZ53" i="10"/>
  <c r="AY53" i="10"/>
  <c r="AX53" i="10"/>
  <c r="AW53" i="10"/>
  <c r="AV53" i="10"/>
  <c r="AU53" i="10"/>
  <c r="AT53" i="10"/>
  <c r="AS53" i="10"/>
  <c r="AR53" i="10"/>
  <c r="AQ53" i="10"/>
  <c r="AP53" i="10"/>
  <c r="AO53" i="10"/>
  <c r="AN53" i="10"/>
  <c r="AM53" i="10"/>
  <c r="AL53" i="10"/>
  <c r="AK53" i="10"/>
  <c r="AJ53" i="10"/>
  <c r="AI53" i="10"/>
  <c r="AH53" i="10"/>
  <c r="AG53" i="10"/>
  <c r="AF53" i="10"/>
  <c r="AE53" i="10"/>
  <c r="AD53" i="10"/>
  <c r="AC53" i="10"/>
  <c r="AB53" i="10"/>
  <c r="AA53" i="10"/>
  <c r="Z53" i="10"/>
  <c r="Y53" i="10"/>
  <c r="X53" i="10"/>
  <c r="W53" i="10"/>
  <c r="V53" i="10"/>
  <c r="U53" i="10"/>
  <c r="T53" i="10"/>
  <c r="S53" i="10"/>
  <c r="R53" i="10"/>
  <c r="Q53" i="10"/>
  <c r="P53" i="10"/>
  <c r="O53" i="10"/>
  <c r="N53" i="10"/>
  <c r="M53" i="10"/>
  <c r="L53" i="10"/>
  <c r="J53" i="10"/>
  <c r="H53" i="10"/>
  <c r="G53" i="10"/>
  <c r="E53" i="10"/>
  <c r="D53" i="10"/>
  <c r="E44" i="10"/>
  <c r="D304" i="24" s="1"/>
  <c r="GT44" i="10"/>
  <c r="GS44" i="10"/>
  <c r="GR44" i="10"/>
  <c r="GQ44" i="10"/>
  <c r="GP44" i="10"/>
  <c r="GO44" i="10"/>
  <c r="GN44" i="10"/>
  <c r="GM44" i="10"/>
  <c r="GL44" i="10"/>
  <c r="GK44" i="10"/>
  <c r="GJ44" i="10"/>
  <c r="GI44" i="10"/>
  <c r="GH44" i="10"/>
  <c r="GG44" i="10"/>
  <c r="GF44" i="10"/>
  <c r="GE44" i="10"/>
  <c r="GD44" i="10"/>
  <c r="GC44" i="10"/>
  <c r="GB44" i="10"/>
  <c r="GA44" i="10"/>
  <c r="FZ44" i="10"/>
  <c r="FY44" i="10"/>
  <c r="FX44" i="10"/>
  <c r="FW44" i="10"/>
  <c r="FV44" i="10"/>
  <c r="FU44" i="10"/>
  <c r="FT44" i="10"/>
  <c r="FS44" i="10"/>
  <c r="FR44" i="10"/>
  <c r="FQ44" i="10"/>
  <c r="FP44" i="10"/>
  <c r="FO44" i="10"/>
  <c r="FN44" i="10"/>
  <c r="FM44" i="10"/>
  <c r="FL44" i="10"/>
  <c r="FK44" i="10"/>
  <c r="FJ44" i="10"/>
  <c r="FI44" i="10"/>
  <c r="FH44" i="10"/>
  <c r="FG44" i="10"/>
  <c r="FF44" i="10"/>
  <c r="FE44" i="10"/>
  <c r="FD44" i="10"/>
  <c r="FC44" i="10"/>
  <c r="FB44" i="10"/>
  <c r="FA44" i="10"/>
  <c r="EZ44" i="10"/>
  <c r="EY44" i="10"/>
  <c r="EX44" i="10"/>
  <c r="EW44" i="10"/>
  <c r="EV44" i="10"/>
  <c r="EU44" i="10"/>
  <c r="ET44" i="10"/>
  <c r="ES44" i="10"/>
  <c r="ER44" i="10"/>
  <c r="EQ44" i="10"/>
  <c r="EP44" i="10"/>
  <c r="EO44" i="10"/>
  <c r="EN44" i="10"/>
  <c r="EM44" i="10"/>
  <c r="EL44" i="10"/>
  <c r="EK44" i="10"/>
  <c r="EJ44" i="10"/>
  <c r="EI44" i="10"/>
  <c r="EH44" i="10"/>
  <c r="EG44" i="10"/>
  <c r="EF44" i="10"/>
  <c r="EE44" i="10"/>
  <c r="ED44" i="10"/>
  <c r="EC44" i="10"/>
  <c r="EB44" i="10"/>
  <c r="EA44" i="10"/>
  <c r="DZ44" i="10"/>
  <c r="DY44" i="10"/>
  <c r="DX44" i="10"/>
  <c r="DW44" i="10"/>
  <c r="DV44" i="10"/>
  <c r="DU44" i="10"/>
  <c r="DT44" i="10"/>
  <c r="DS44" i="10"/>
  <c r="DR44" i="10"/>
  <c r="DQ44" i="10"/>
  <c r="DP44" i="10"/>
  <c r="DO44" i="10"/>
  <c r="DN44" i="10"/>
  <c r="DM44" i="10"/>
  <c r="DL44" i="10"/>
  <c r="DK44" i="10"/>
  <c r="DJ44" i="10"/>
  <c r="DI44" i="10"/>
  <c r="DH44" i="10"/>
  <c r="DG44" i="10"/>
  <c r="DF44" i="10"/>
  <c r="DE44" i="10"/>
  <c r="DD44" i="10"/>
  <c r="DC44" i="10"/>
  <c r="DB44" i="10"/>
  <c r="DA44" i="10"/>
  <c r="CZ44" i="10"/>
  <c r="CY44" i="10"/>
  <c r="CX44" i="10"/>
  <c r="CW44" i="10"/>
  <c r="CV44" i="10"/>
  <c r="CU44" i="10"/>
  <c r="CT44" i="10"/>
  <c r="CS44" i="10"/>
  <c r="CR44" i="10"/>
  <c r="CQ44" i="10"/>
  <c r="CP44" i="10"/>
  <c r="CO44" i="10"/>
  <c r="CN44" i="10"/>
  <c r="CM44" i="10"/>
  <c r="CL44" i="10"/>
  <c r="CK44" i="10"/>
  <c r="CJ44" i="10"/>
  <c r="CI44" i="10"/>
  <c r="CH44" i="10"/>
  <c r="CG44" i="10"/>
  <c r="CF44" i="10"/>
  <c r="CE44" i="10"/>
  <c r="CD44" i="10"/>
  <c r="CC44" i="10"/>
  <c r="CB44" i="10"/>
  <c r="CA44" i="10"/>
  <c r="BZ44" i="10"/>
  <c r="BY44" i="10"/>
  <c r="BX44" i="10"/>
  <c r="BW44" i="10"/>
  <c r="BV44" i="10"/>
  <c r="BU44" i="10"/>
  <c r="BT44" i="10"/>
  <c r="BS44" i="10"/>
  <c r="BR44" i="10"/>
  <c r="BQ44" i="10"/>
  <c r="BP44" i="10"/>
  <c r="BO44" i="10"/>
  <c r="BN44" i="10"/>
  <c r="BM44" i="10"/>
  <c r="BL44" i="10"/>
  <c r="BK44" i="10"/>
  <c r="BJ44" i="10"/>
  <c r="BI44" i="10"/>
  <c r="BH44" i="10"/>
  <c r="BG44" i="10"/>
  <c r="BF44" i="10"/>
  <c r="BE44" i="10"/>
  <c r="BD44" i="10"/>
  <c r="BC44" i="10"/>
  <c r="BB44" i="10"/>
  <c r="BA44" i="10"/>
  <c r="AZ44" i="10"/>
  <c r="AY44" i="10"/>
  <c r="AX44" i="10"/>
  <c r="AW44" i="10"/>
  <c r="AV44" i="10"/>
  <c r="AU44" i="10"/>
  <c r="AT44" i="10"/>
  <c r="AS44" i="10"/>
  <c r="AR44" i="10"/>
  <c r="AQ44" i="10"/>
  <c r="AP44" i="10"/>
  <c r="AO44" i="10"/>
  <c r="AN44" i="10"/>
  <c r="AM44" i="10"/>
  <c r="AL44" i="10"/>
  <c r="AK44" i="10"/>
  <c r="AJ44" i="10"/>
  <c r="AI44" i="10"/>
  <c r="AH44" i="10"/>
  <c r="AG44" i="10"/>
  <c r="AF44" i="10"/>
  <c r="AE44" i="10"/>
  <c r="AD44" i="10"/>
  <c r="AC44" i="10"/>
  <c r="AB44" i="10"/>
  <c r="AA44" i="10"/>
  <c r="Z44" i="10"/>
  <c r="Y44" i="10"/>
  <c r="X44" i="10"/>
  <c r="W44" i="10"/>
  <c r="V44" i="10"/>
  <c r="U44" i="10"/>
  <c r="T44" i="10"/>
  <c r="S44" i="10"/>
  <c r="R44" i="10"/>
  <c r="P44" i="10"/>
  <c r="N44" i="10"/>
  <c r="M44" i="10"/>
  <c r="L44" i="10"/>
  <c r="J44" i="10"/>
  <c r="H44" i="10"/>
  <c r="G44" i="10"/>
  <c r="D44" i="10"/>
  <c r="C304" i="24" s="1"/>
  <c r="GT16" i="10"/>
  <c r="GR16" i="10"/>
  <c r="GQ304" i="24" s="1"/>
  <c r="GQ16" i="10"/>
  <c r="GP304" i="24" s="1"/>
  <c r="GP16" i="10"/>
  <c r="GO304" i="24" s="1"/>
  <c r="GO16" i="10"/>
  <c r="GN16" i="10"/>
  <c r="GM16" i="10"/>
  <c r="GL16" i="10"/>
  <c r="GK304" i="24" s="1"/>
  <c r="GK16" i="10"/>
  <c r="GJ16" i="10"/>
  <c r="GI304" i="24" s="1"/>
  <c r="GI16" i="10"/>
  <c r="GH16" i="10"/>
  <c r="GG16" i="10"/>
  <c r="GF16" i="10"/>
  <c r="GE16" i="10"/>
  <c r="GD16" i="10"/>
  <c r="GC16" i="10"/>
  <c r="GB16" i="10"/>
  <c r="GA304" i="24" s="1"/>
  <c r="GA16" i="10"/>
  <c r="FZ304" i="24" s="1"/>
  <c r="FZ16" i="10"/>
  <c r="FY304" i="24" s="1"/>
  <c r="FY16" i="10"/>
  <c r="FX16" i="10"/>
  <c r="FW16" i="10"/>
  <c r="FV16" i="10"/>
  <c r="FU304" i="24" s="1"/>
  <c r="FU16" i="10"/>
  <c r="FT16" i="10"/>
  <c r="FS304" i="24" s="1"/>
  <c r="FS16" i="10"/>
  <c r="FR16" i="10"/>
  <c r="FQ16" i="10"/>
  <c r="FP16" i="10"/>
  <c r="FO16" i="10"/>
  <c r="FN16" i="10"/>
  <c r="FM16" i="10"/>
  <c r="FL16" i="10"/>
  <c r="FK304" i="24" s="1"/>
  <c r="FK16" i="10"/>
  <c r="FJ304" i="24" s="1"/>
  <c r="FJ16" i="10"/>
  <c r="FI304" i="24" s="1"/>
  <c r="FI16" i="10"/>
  <c r="FH16" i="10"/>
  <c r="FG16" i="10"/>
  <c r="FF16" i="10"/>
  <c r="FE304" i="24" s="1"/>
  <c r="FE16" i="10"/>
  <c r="FD16" i="10"/>
  <c r="FC304" i="24" s="1"/>
  <c r="FC16" i="10"/>
  <c r="FB16" i="10"/>
  <c r="FA16" i="10"/>
  <c r="EZ16" i="10"/>
  <c r="EY16" i="10"/>
  <c r="EX16" i="10"/>
  <c r="EW16" i="10"/>
  <c r="EV16" i="10"/>
  <c r="EU304" i="24" s="1"/>
  <c r="EU16" i="10"/>
  <c r="ET304" i="24" s="1"/>
  <c r="ET16" i="10"/>
  <c r="ES304" i="24" s="1"/>
  <c r="ES16" i="10"/>
  <c r="ER16" i="10"/>
  <c r="EQ16" i="10"/>
  <c r="EP16" i="10"/>
  <c r="EO304" i="24" s="1"/>
  <c r="EO16" i="10"/>
  <c r="EN16" i="10"/>
  <c r="EM304" i="24" s="1"/>
  <c r="EM16" i="10"/>
  <c r="EL16" i="10"/>
  <c r="EK16" i="10"/>
  <c r="EJ16" i="10"/>
  <c r="EI16" i="10"/>
  <c r="EH16" i="10"/>
  <c r="EG16" i="10"/>
  <c r="EF16" i="10"/>
  <c r="EE304" i="24" s="1"/>
  <c r="EE16" i="10"/>
  <c r="ED304" i="24" s="1"/>
  <c r="ED16" i="10"/>
  <c r="EC304" i="24" s="1"/>
  <c r="EC16" i="10"/>
  <c r="EB16" i="10"/>
  <c r="EA16" i="10"/>
  <c r="DZ16" i="10"/>
  <c r="DY304" i="24" s="1"/>
  <c r="DY16" i="10"/>
  <c r="DX16" i="10"/>
  <c r="DW304" i="24" s="1"/>
  <c r="DW16" i="10"/>
  <c r="DV16" i="10"/>
  <c r="DU16" i="10"/>
  <c r="DT16" i="10"/>
  <c r="DS16" i="10"/>
  <c r="DR16" i="10"/>
  <c r="DQ16" i="10"/>
  <c r="DP16" i="10"/>
  <c r="DO304" i="24" s="1"/>
  <c r="DO16" i="10"/>
  <c r="DN304" i="24" s="1"/>
  <c r="DN16" i="10"/>
  <c r="DM304" i="24" s="1"/>
  <c r="DM16" i="10"/>
  <c r="DL16" i="10"/>
  <c r="DK16" i="10"/>
  <c r="DJ16" i="10"/>
  <c r="DI304" i="24" s="1"/>
  <c r="DI16" i="10"/>
  <c r="DH16" i="10"/>
  <c r="DG304" i="24" s="1"/>
  <c r="DG16" i="10"/>
  <c r="DF16" i="10"/>
  <c r="DE16" i="10"/>
  <c r="DD16" i="10"/>
  <c r="DC16" i="10"/>
  <c r="DB16" i="10"/>
  <c r="DA16" i="10"/>
  <c r="CZ16" i="10"/>
  <c r="CY304" i="24" s="1"/>
  <c r="CY16" i="10"/>
  <c r="CX304" i="24" s="1"/>
  <c r="CX16" i="10"/>
  <c r="CW304" i="24" s="1"/>
  <c r="CW16" i="10"/>
  <c r="CV16" i="10"/>
  <c r="CU16" i="10"/>
  <c r="CT16" i="10"/>
  <c r="CS304" i="24" s="1"/>
  <c r="CS16" i="10"/>
  <c r="CR16" i="10"/>
  <c r="CQ304" i="24" s="1"/>
  <c r="CQ16" i="10"/>
  <c r="CP16" i="10"/>
  <c r="CO16" i="10"/>
  <c r="CN16" i="10"/>
  <c r="CM16" i="10"/>
  <c r="CL16" i="10"/>
  <c r="CK16" i="10"/>
  <c r="CJ16" i="10"/>
  <c r="CI304" i="24" s="1"/>
  <c r="CI16" i="10"/>
  <c r="CH304" i="24" s="1"/>
  <c r="CH16" i="10"/>
  <c r="CG304" i="24" s="1"/>
  <c r="CG16" i="10"/>
  <c r="CF16" i="10"/>
  <c r="CE16" i="10"/>
  <c r="CD16" i="10"/>
  <c r="CC304" i="24" s="1"/>
  <c r="CC16" i="10"/>
  <c r="CB16" i="10"/>
  <c r="CA304" i="24" s="1"/>
  <c r="CA16" i="10"/>
  <c r="BZ16" i="10"/>
  <c r="BY16" i="10"/>
  <c r="BX16" i="10"/>
  <c r="BW16" i="10"/>
  <c r="BV16" i="10"/>
  <c r="BU16" i="10"/>
  <c r="BT16" i="10"/>
  <c r="BS304" i="24" s="1"/>
  <c r="BS16" i="10"/>
  <c r="BR304" i="24" s="1"/>
  <c r="BR16" i="10"/>
  <c r="BQ304" i="24" s="1"/>
  <c r="BQ16" i="10"/>
  <c r="BP16" i="10"/>
  <c r="BO16" i="10"/>
  <c r="BN16" i="10"/>
  <c r="BM304" i="24" s="1"/>
  <c r="BM16" i="10"/>
  <c r="BL16" i="10"/>
  <c r="BK304" i="24" s="1"/>
  <c r="BK16" i="10"/>
  <c r="BJ16" i="10"/>
  <c r="BI16" i="10"/>
  <c r="BH16" i="10"/>
  <c r="BG16" i="10"/>
  <c r="BF16" i="10"/>
  <c r="BE16" i="10"/>
  <c r="BD16" i="10"/>
  <c r="BC304" i="24" s="1"/>
  <c r="BC16" i="10"/>
  <c r="BB304" i="24" s="1"/>
  <c r="BB16" i="10"/>
  <c r="BA304" i="24" s="1"/>
  <c r="BA16" i="10"/>
  <c r="AZ16" i="10"/>
  <c r="AY16" i="10"/>
  <c r="AX16" i="10"/>
  <c r="AW304" i="24" s="1"/>
  <c r="AW16" i="10"/>
  <c r="AV16" i="10"/>
  <c r="AU304" i="24" s="1"/>
  <c r="AU16" i="10"/>
  <c r="AT16" i="10"/>
  <c r="AS16" i="10"/>
  <c r="AR16" i="10"/>
  <c r="AQ16" i="10"/>
  <c r="AP16" i="10"/>
  <c r="AO16" i="10"/>
  <c r="AN16" i="10"/>
  <c r="AM304" i="24" s="1"/>
  <c r="AM16" i="10"/>
  <c r="AL304" i="24" s="1"/>
  <c r="AL16" i="10"/>
  <c r="AK304" i="24" s="1"/>
  <c r="AK16" i="10"/>
  <c r="AJ16" i="10"/>
  <c r="AI16" i="10"/>
  <c r="AH16" i="10"/>
  <c r="AG304" i="24" s="1"/>
  <c r="AG16" i="10"/>
  <c r="AF16" i="10"/>
  <c r="AE304" i="24" s="1"/>
  <c r="AE16" i="10"/>
  <c r="AD16" i="10"/>
  <c r="AC16" i="10"/>
  <c r="AB16" i="10"/>
  <c r="AA16" i="10"/>
  <c r="Z16" i="10"/>
  <c r="Y16" i="10"/>
  <c r="X16" i="10"/>
  <c r="W304" i="24" s="1"/>
  <c r="W16" i="10"/>
  <c r="V304" i="24" s="1"/>
  <c r="V16" i="10"/>
  <c r="U304" i="24" s="1"/>
  <c r="U16" i="10"/>
  <c r="T16" i="10"/>
  <c r="S16" i="10"/>
  <c r="R16" i="10"/>
  <c r="Q304" i="24" s="1"/>
  <c r="Q16" i="10"/>
  <c r="P16" i="10"/>
  <c r="O304" i="24" s="1"/>
  <c r="O16" i="10"/>
  <c r="N16" i="10"/>
  <c r="M16" i="10"/>
  <c r="L16" i="10"/>
  <c r="K16" i="10"/>
  <c r="J304" i="24" s="1"/>
  <c r="J16" i="10"/>
  <c r="H16" i="10"/>
  <c r="G16" i="10"/>
  <c r="F304" i="24" s="1"/>
  <c r="GT25" i="10"/>
  <c r="GR25" i="10"/>
  <c r="GQ25" i="10"/>
  <c r="GP25" i="10"/>
  <c r="GO25" i="10"/>
  <c r="GN25" i="10"/>
  <c r="GM25" i="10"/>
  <c r="GL25" i="10"/>
  <c r="GK25" i="10"/>
  <c r="GJ25" i="10"/>
  <c r="GI25" i="10"/>
  <c r="GH25" i="10"/>
  <c r="GG25" i="10"/>
  <c r="GF25" i="10"/>
  <c r="GE25" i="10"/>
  <c r="GD25" i="10"/>
  <c r="GC25" i="10"/>
  <c r="GB25" i="10"/>
  <c r="GA25" i="10"/>
  <c r="FZ25" i="10"/>
  <c r="FY25" i="10"/>
  <c r="FX25" i="10"/>
  <c r="FW25" i="10"/>
  <c r="FV25" i="10"/>
  <c r="FU25" i="10"/>
  <c r="FT25" i="10"/>
  <c r="FS25" i="10"/>
  <c r="FR25" i="10"/>
  <c r="FQ25" i="10"/>
  <c r="FP25" i="10"/>
  <c r="FO25" i="10"/>
  <c r="FN25" i="10"/>
  <c r="FM25" i="10"/>
  <c r="FL25" i="10"/>
  <c r="FK25" i="10"/>
  <c r="FJ25" i="10"/>
  <c r="FI25" i="10"/>
  <c r="FH25" i="10"/>
  <c r="FG25" i="10"/>
  <c r="FF25" i="10"/>
  <c r="FE25" i="10"/>
  <c r="FD25" i="10"/>
  <c r="FC25" i="10"/>
  <c r="FB25" i="10"/>
  <c r="FA25" i="10"/>
  <c r="EZ25" i="10"/>
  <c r="EY25" i="10"/>
  <c r="EX25" i="10"/>
  <c r="EW25" i="10"/>
  <c r="EV25" i="10"/>
  <c r="EU25" i="10"/>
  <c r="ET25" i="10"/>
  <c r="ES25" i="10"/>
  <c r="ER25" i="10"/>
  <c r="EQ25" i="10"/>
  <c r="EP25" i="10"/>
  <c r="EO25" i="10"/>
  <c r="EN25" i="10"/>
  <c r="EM25" i="10"/>
  <c r="EL25" i="10"/>
  <c r="EK25" i="10"/>
  <c r="EJ25" i="10"/>
  <c r="EI25" i="10"/>
  <c r="EH25" i="10"/>
  <c r="EG25" i="10"/>
  <c r="EF25" i="10"/>
  <c r="EE25" i="10"/>
  <c r="ED25" i="10"/>
  <c r="EC25" i="10"/>
  <c r="EB25" i="10"/>
  <c r="EA25" i="10"/>
  <c r="DZ25" i="10"/>
  <c r="DY25" i="10"/>
  <c r="DX25" i="10"/>
  <c r="DW25" i="10"/>
  <c r="DV25" i="10"/>
  <c r="DU25" i="10"/>
  <c r="DT25" i="10"/>
  <c r="DS25" i="10"/>
  <c r="DR25" i="10"/>
  <c r="DQ25" i="10"/>
  <c r="DP25" i="10"/>
  <c r="DO25" i="10"/>
  <c r="DN25" i="10"/>
  <c r="DM25" i="10"/>
  <c r="DL25" i="10"/>
  <c r="DK25" i="10"/>
  <c r="DJ25" i="10"/>
  <c r="DI25" i="10"/>
  <c r="DH25" i="10"/>
  <c r="DG25" i="10"/>
  <c r="DF25" i="10"/>
  <c r="DE25" i="10"/>
  <c r="DD25" i="10"/>
  <c r="DC25" i="10"/>
  <c r="DB25" i="10"/>
  <c r="DA25" i="10"/>
  <c r="CZ25" i="10"/>
  <c r="CY25" i="10"/>
  <c r="CX25" i="10"/>
  <c r="CW25" i="10"/>
  <c r="CV25" i="10"/>
  <c r="CU25" i="10"/>
  <c r="CT25" i="10"/>
  <c r="CS25" i="10"/>
  <c r="CR25" i="10"/>
  <c r="CQ25" i="10"/>
  <c r="CP25" i="10"/>
  <c r="CO25" i="10"/>
  <c r="CN25" i="10"/>
  <c r="CM25" i="10"/>
  <c r="CL25" i="10"/>
  <c r="CK25" i="10"/>
  <c r="CJ25" i="10"/>
  <c r="CI25" i="10"/>
  <c r="CH25" i="10"/>
  <c r="CG25" i="10"/>
  <c r="CF25" i="10"/>
  <c r="CE25" i="10"/>
  <c r="CD25" i="10"/>
  <c r="CC25" i="10"/>
  <c r="CB25" i="10"/>
  <c r="CA25" i="10"/>
  <c r="BZ25" i="10"/>
  <c r="BY25" i="10"/>
  <c r="BX25" i="10"/>
  <c r="BW25" i="10"/>
  <c r="BV25" i="10"/>
  <c r="BU25" i="10"/>
  <c r="BT25" i="10"/>
  <c r="BS25" i="10"/>
  <c r="BR25" i="10"/>
  <c r="BQ25" i="10"/>
  <c r="BP25" i="10"/>
  <c r="BO25" i="10"/>
  <c r="BN25" i="10"/>
  <c r="BM25" i="10"/>
  <c r="BL25" i="10"/>
  <c r="BK25" i="10"/>
  <c r="BJ25" i="10"/>
  <c r="BI25" i="10"/>
  <c r="BH25" i="10"/>
  <c r="BG25" i="10"/>
  <c r="BF25" i="10"/>
  <c r="BE25" i="10"/>
  <c r="BD25" i="10"/>
  <c r="BC25" i="10"/>
  <c r="BB25" i="10"/>
  <c r="BA25" i="10"/>
  <c r="AZ25" i="10"/>
  <c r="AY25" i="10"/>
  <c r="AX25" i="10"/>
  <c r="AW25" i="10"/>
  <c r="AV25" i="10"/>
  <c r="AU25" i="10"/>
  <c r="AT25" i="10"/>
  <c r="AS25" i="10"/>
  <c r="AR25" i="10"/>
  <c r="AQ25" i="10"/>
  <c r="AP25" i="10"/>
  <c r="AO25" i="10"/>
  <c r="AN25" i="10"/>
  <c r="AM25" i="10"/>
  <c r="AL25" i="10"/>
  <c r="AK25" i="10"/>
  <c r="AJ25" i="10"/>
  <c r="AI25" i="10"/>
  <c r="AH25" i="10"/>
  <c r="AG25" i="10"/>
  <c r="AF25" i="10"/>
  <c r="AE25" i="10"/>
  <c r="AD25" i="10"/>
  <c r="AC25" i="10"/>
  <c r="AB25" i="10"/>
  <c r="AA25" i="10"/>
  <c r="Z25" i="10"/>
  <c r="Y25" i="10"/>
  <c r="X25" i="10"/>
  <c r="W25" i="10"/>
  <c r="V25" i="10"/>
  <c r="U25" i="10"/>
  <c r="T25" i="10"/>
  <c r="S25" i="10"/>
  <c r="R25" i="10"/>
  <c r="Q25" i="10"/>
  <c r="P25" i="10"/>
  <c r="O25" i="10"/>
  <c r="M25" i="10"/>
  <c r="L25" i="10"/>
  <c r="K25" i="10"/>
  <c r="I25" i="10"/>
  <c r="H25" i="10"/>
  <c r="F25" i="10"/>
  <c r="D25" i="10"/>
  <c r="CZ304" i="24" l="1"/>
  <c r="DQ304" i="24"/>
  <c r="Z304" i="24"/>
  <c r="DR304" i="24"/>
  <c r="AQ304" i="24"/>
  <c r="FO304" i="24"/>
  <c r="L304" i="24"/>
  <c r="AB304" i="24"/>
  <c r="AR304" i="24"/>
  <c r="BH304" i="24"/>
  <c r="BX304" i="24"/>
  <c r="CN304" i="24"/>
  <c r="DD304" i="24"/>
  <c r="DT304" i="24"/>
  <c r="EJ304" i="24"/>
  <c r="EZ304" i="24"/>
  <c r="FP304" i="24"/>
  <c r="GF304" i="24"/>
  <c r="BT304" i="24"/>
  <c r="GB304" i="24"/>
  <c r="DA304" i="24"/>
  <c r="DB304" i="24"/>
  <c r="G304" i="24"/>
  <c r="GS304" i="24"/>
  <c r="GR304" i="24"/>
  <c r="CK304" i="24"/>
  <c r="AP304" i="24"/>
  <c r="EX304" i="24"/>
  <c r="DS304" i="24"/>
  <c r="BY304" i="24"/>
  <c r="FQ304" i="24"/>
  <c r="N304" i="24"/>
  <c r="AD304" i="24"/>
  <c r="AT304" i="24"/>
  <c r="BJ304" i="24"/>
  <c r="BZ304" i="24"/>
  <c r="CP304" i="24"/>
  <c r="DF304" i="24"/>
  <c r="DV304" i="24"/>
  <c r="EL304" i="24"/>
  <c r="FB304" i="24"/>
  <c r="FR304" i="24"/>
  <c r="GH304" i="24"/>
  <c r="AN304" i="24"/>
  <c r="EV304" i="24"/>
  <c r="AO304" i="24"/>
  <c r="EW304" i="24"/>
  <c r="BV304" i="24"/>
  <c r="AA304" i="24"/>
  <c r="DC304" i="24"/>
  <c r="AC304" i="24"/>
  <c r="DU304" i="24"/>
  <c r="P304" i="24"/>
  <c r="AF304" i="24"/>
  <c r="AV304" i="24"/>
  <c r="BL304" i="24"/>
  <c r="CB304" i="24"/>
  <c r="CR304" i="24"/>
  <c r="DH304" i="24"/>
  <c r="DX304" i="24"/>
  <c r="EN304" i="24"/>
  <c r="FD304" i="24"/>
  <c r="FT304" i="24"/>
  <c r="GJ304" i="24"/>
  <c r="BD304" i="24"/>
  <c r="FL304" i="24"/>
  <c r="Y304" i="24"/>
  <c r="FM304" i="24"/>
  <c r="FN304" i="24"/>
  <c r="BG304" i="24"/>
  <c r="EI304" i="24"/>
  <c r="CO304" i="24"/>
  <c r="GG304" i="24"/>
  <c r="DP304" i="24"/>
  <c r="BE304" i="24"/>
  <c r="CL304" i="24"/>
  <c r="K304" i="24"/>
  <c r="M304" i="24"/>
  <c r="DE304" i="24"/>
  <c r="AH304" i="24"/>
  <c r="CD304" i="24"/>
  <c r="FV304" i="24"/>
  <c r="X304" i="24"/>
  <c r="EF304" i="24"/>
  <c r="BU304" i="24"/>
  <c r="GC304" i="24"/>
  <c r="BF304" i="24"/>
  <c r="GD304" i="24"/>
  <c r="CM304" i="24"/>
  <c r="EY304" i="24"/>
  <c r="AS304" i="24"/>
  <c r="FA304" i="24"/>
  <c r="BN304" i="24"/>
  <c r="DJ304" i="24"/>
  <c r="EP304" i="24"/>
  <c r="GL304" i="24"/>
  <c r="AI304" i="24"/>
  <c r="AY304" i="24"/>
  <c r="CU304" i="24"/>
  <c r="EQ304" i="24"/>
  <c r="FW304" i="24"/>
  <c r="CJ304" i="24"/>
  <c r="I304" i="24"/>
  <c r="EG304" i="24"/>
  <c r="EH304" i="24"/>
  <c r="BW304" i="24"/>
  <c r="GE304" i="24"/>
  <c r="BI304" i="24"/>
  <c r="EK304" i="24"/>
  <c r="R304" i="24"/>
  <c r="AX304" i="24"/>
  <c r="CT304" i="24"/>
  <c r="DZ304" i="24"/>
  <c r="FF304" i="24"/>
  <c r="S304" i="24"/>
  <c r="BO304" i="24"/>
  <c r="CE304" i="24"/>
  <c r="DK304" i="24"/>
  <c r="EA304" i="24"/>
  <c r="FG304" i="24"/>
  <c r="GM304" i="24"/>
  <c r="T304" i="24"/>
  <c r="AJ304" i="24"/>
  <c r="AZ304" i="24"/>
  <c r="BP304" i="24"/>
  <c r="CF304" i="24"/>
  <c r="CV304" i="24"/>
  <c r="DL304" i="24"/>
  <c r="EB304" i="24"/>
  <c r="ER304" i="24"/>
  <c r="FH304" i="24"/>
  <c r="FX304" i="24"/>
  <c r="GN304" i="24"/>
  <c r="AA308" i="24"/>
  <c r="AA286" i="24"/>
  <c r="AM308" i="24"/>
  <c r="AM286" i="24"/>
  <c r="AY308" i="24"/>
  <c r="AY286" i="24"/>
  <c r="BK308" i="24"/>
  <c r="BK286" i="24"/>
  <c r="BW308" i="24"/>
  <c r="BW286" i="24"/>
  <c r="CI308" i="24"/>
  <c r="CI286" i="24"/>
  <c r="CU308" i="24"/>
  <c r="CU286" i="24"/>
  <c r="DG308" i="24"/>
  <c r="DG286" i="24"/>
  <c r="DS308" i="24"/>
  <c r="DS286" i="24"/>
  <c r="EE308" i="24"/>
  <c r="EE286" i="24"/>
  <c r="EQ308" i="24"/>
  <c r="EQ286" i="24"/>
  <c r="FC308" i="24"/>
  <c r="FC286" i="24"/>
  <c r="FO308" i="24"/>
  <c r="FO286" i="24"/>
  <c r="GA308" i="24"/>
  <c r="GA286" i="24"/>
  <c r="GM308" i="24"/>
  <c r="GM286" i="24"/>
  <c r="AB308" i="24"/>
  <c r="AB286" i="24"/>
  <c r="AN308" i="24"/>
  <c r="AN286" i="24"/>
  <c r="AZ308" i="24"/>
  <c r="AZ286" i="24"/>
  <c r="BL308" i="24"/>
  <c r="BL286" i="24"/>
  <c r="BX308" i="24"/>
  <c r="BX286" i="24"/>
  <c r="CJ308" i="24"/>
  <c r="CJ286" i="24"/>
  <c r="CV308" i="24"/>
  <c r="CV286" i="24"/>
  <c r="DH308" i="24"/>
  <c r="DH286" i="24"/>
  <c r="DT308" i="24"/>
  <c r="DT286" i="24"/>
  <c r="EF308" i="24"/>
  <c r="EF286" i="24"/>
  <c r="ER308" i="24"/>
  <c r="ER286" i="24"/>
  <c r="FD308" i="24"/>
  <c r="FD286" i="24"/>
  <c r="FP308" i="24"/>
  <c r="FP286" i="24"/>
  <c r="GB308" i="24"/>
  <c r="GB286" i="24"/>
  <c r="GN308" i="24"/>
  <c r="GN286" i="24"/>
  <c r="AC286" i="24"/>
  <c r="AC308" i="24"/>
  <c r="AO308" i="24"/>
  <c r="AO286" i="24"/>
  <c r="BA286" i="24"/>
  <c r="BA308" i="24"/>
  <c r="BM308" i="24"/>
  <c r="BM286" i="24"/>
  <c r="BY286" i="24"/>
  <c r="BY308" i="24"/>
  <c r="CK308" i="24"/>
  <c r="CK286" i="24"/>
  <c r="CW286" i="24"/>
  <c r="CW308" i="24"/>
  <c r="DI308" i="24"/>
  <c r="DI286" i="24"/>
  <c r="DU308" i="24"/>
  <c r="DU286" i="24"/>
  <c r="EG286" i="24"/>
  <c r="EG308" i="24"/>
  <c r="ES308" i="24"/>
  <c r="ES286" i="24"/>
  <c r="FE286" i="24"/>
  <c r="FE308" i="24"/>
  <c r="FQ308" i="24"/>
  <c r="FQ286" i="24"/>
  <c r="GC308" i="24"/>
  <c r="GC286" i="24"/>
  <c r="GO308" i="24"/>
  <c r="GO286" i="24"/>
  <c r="AD308" i="24"/>
  <c r="AD286" i="24"/>
  <c r="AP308" i="24"/>
  <c r="AP286" i="24"/>
  <c r="BB286" i="24"/>
  <c r="BB308" i="24"/>
  <c r="BN308" i="24"/>
  <c r="BN286" i="24"/>
  <c r="BZ308" i="24"/>
  <c r="BZ286" i="24"/>
  <c r="CL308" i="24"/>
  <c r="CL286" i="24"/>
  <c r="CX308" i="24"/>
  <c r="CX286" i="24"/>
  <c r="DJ286" i="24"/>
  <c r="DJ308" i="24"/>
  <c r="DV308" i="24"/>
  <c r="DV286" i="24"/>
  <c r="EH308" i="24"/>
  <c r="EH286" i="24"/>
  <c r="ET286" i="24"/>
  <c r="ET308" i="24"/>
  <c r="FF286" i="24"/>
  <c r="FF308" i="24"/>
  <c r="FR286" i="24"/>
  <c r="FR308" i="24"/>
  <c r="GD308" i="24"/>
  <c r="GD286" i="24"/>
  <c r="GP286" i="24"/>
  <c r="GP308" i="24"/>
  <c r="AE308" i="24"/>
  <c r="AE286" i="24"/>
  <c r="AQ308" i="24"/>
  <c r="AQ286" i="24"/>
  <c r="BC308" i="24"/>
  <c r="BC286" i="24"/>
  <c r="BO308" i="24"/>
  <c r="BO286" i="24"/>
  <c r="CA308" i="24"/>
  <c r="CA286" i="24"/>
  <c r="CM308" i="24"/>
  <c r="CM286" i="24"/>
  <c r="CY308" i="24"/>
  <c r="CY286" i="24"/>
  <c r="DK308" i="24"/>
  <c r="DK286" i="24"/>
  <c r="DW308" i="24"/>
  <c r="DW286" i="24"/>
  <c r="EI308" i="24"/>
  <c r="EI286" i="24"/>
  <c r="EU308" i="24"/>
  <c r="EU286" i="24"/>
  <c r="FG308" i="24"/>
  <c r="FG286" i="24"/>
  <c r="FS308" i="24"/>
  <c r="FS286" i="24"/>
  <c r="GE308" i="24"/>
  <c r="GE286" i="24"/>
  <c r="GQ308" i="24"/>
  <c r="GQ286" i="24"/>
  <c r="AF308" i="24"/>
  <c r="AF286" i="24"/>
  <c r="AR308" i="24"/>
  <c r="AR286" i="24"/>
  <c r="BD308" i="24"/>
  <c r="BD286" i="24"/>
  <c r="BP308" i="24"/>
  <c r="BP286" i="24"/>
  <c r="CB308" i="24"/>
  <c r="CB286" i="24"/>
  <c r="CN308" i="24"/>
  <c r="CN286" i="24"/>
  <c r="CZ308" i="24"/>
  <c r="CZ286" i="24"/>
  <c r="DL308" i="24"/>
  <c r="DL286" i="24"/>
  <c r="DX308" i="24"/>
  <c r="DX286" i="24"/>
  <c r="EJ308" i="24"/>
  <c r="EJ286" i="24"/>
  <c r="EV308" i="24"/>
  <c r="EV286" i="24"/>
  <c r="FH308" i="24"/>
  <c r="FH286" i="24"/>
  <c r="FT308" i="24"/>
  <c r="FT286" i="24"/>
  <c r="GF308" i="24"/>
  <c r="GF286" i="24"/>
  <c r="GR308" i="24"/>
  <c r="GR286" i="24"/>
  <c r="U308" i="24"/>
  <c r="U286" i="24"/>
  <c r="AG308" i="24"/>
  <c r="AG286" i="24"/>
  <c r="AS308" i="24"/>
  <c r="AS286" i="24"/>
  <c r="BE308" i="24"/>
  <c r="BE286" i="24"/>
  <c r="BQ308" i="24"/>
  <c r="BQ286" i="24"/>
  <c r="CC308" i="24"/>
  <c r="CC286" i="24"/>
  <c r="CO308" i="24"/>
  <c r="CO286" i="24"/>
  <c r="DA308" i="24"/>
  <c r="DA286" i="24"/>
  <c r="DM308" i="24"/>
  <c r="DM286" i="24"/>
  <c r="DY308" i="24"/>
  <c r="DY286" i="24"/>
  <c r="EK308" i="24"/>
  <c r="EK286" i="24"/>
  <c r="EW308" i="24"/>
  <c r="EW286" i="24"/>
  <c r="FI308" i="24"/>
  <c r="FI286" i="24"/>
  <c r="FU308" i="24"/>
  <c r="FU286" i="24"/>
  <c r="GG308" i="24"/>
  <c r="GG286" i="24"/>
  <c r="V308" i="24"/>
  <c r="V286" i="24"/>
  <c r="AH308" i="24"/>
  <c r="AH286" i="24"/>
  <c r="AT308" i="24"/>
  <c r="AT286" i="24"/>
  <c r="BF308" i="24"/>
  <c r="BF286" i="24"/>
  <c r="BR308" i="24"/>
  <c r="BR286" i="24"/>
  <c r="CD308" i="24"/>
  <c r="CD286" i="24"/>
  <c r="CP308" i="24"/>
  <c r="CP286" i="24"/>
  <c r="DB308" i="24"/>
  <c r="DB286" i="24"/>
  <c r="DN308" i="24"/>
  <c r="DN286" i="24"/>
  <c r="DZ308" i="24"/>
  <c r="DZ286" i="24"/>
  <c r="EL308" i="24"/>
  <c r="EL286" i="24"/>
  <c r="EX308" i="24"/>
  <c r="EX286" i="24"/>
  <c r="FJ308" i="24"/>
  <c r="FJ286" i="24"/>
  <c r="FV308" i="24"/>
  <c r="FV286" i="24"/>
  <c r="GH308" i="24"/>
  <c r="GH286" i="24"/>
  <c r="GS308" i="24"/>
  <c r="W308" i="24"/>
  <c r="W286" i="24"/>
  <c r="AI308" i="24"/>
  <c r="AI286" i="24"/>
  <c r="AU308" i="24"/>
  <c r="AU286" i="24"/>
  <c r="BG308" i="24"/>
  <c r="BG286" i="24"/>
  <c r="BS308" i="24"/>
  <c r="BS286" i="24"/>
  <c r="CE308" i="24"/>
  <c r="CE286" i="24"/>
  <c r="CQ308" i="24"/>
  <c r="CQ286" i="24"/>
  <c r="DC308" i="24"/>
  <c r="DC286" i="24"/>
  <c r="DO308" i="24"/>
  <c r="DO286" i="24"/>
  <c r="EA308" i="24"/>
  <c r="EA286" i="24"/>
  <c r="EM308" i="24"/>
  <c r="EM286" i="24"/>
  <c r="EY308" i="24"/>
  <c r="EY286" i="24"/>
  <c r="FK308" i="24"/>
  <c r="FK286" i="24"/>
  <c r="FW308" i="24"/>
  <c r="FW286" i="24"/>
  <c r="GI308" i="24"/>
  <c r="GI286" i="24"/>
  <c r="X308" i="24"/>
  <c r="X286" i="24"/>
  <c r="AJ308" i="24"/>
  <c r="AJ286" i="24"/>
  <c r="AV308" i="24"/>
  <c r="AV286" i="24"/>
  <c r="BH308" i="24"/>
  <c r="BH286" i="24"/>
  <c r="BT308" i="24"/>
  <c r="BT286" i="24"/>
  <c r="CF308" i="24"/>
  <c r="CF286" i="24"/>
  <c r="CR308" i="24"/>
  <c r="CR286" i="24"/>
  <c r="DD308" i="24"/>
  <c r="DD286" i="24"/>
  <c r="DP308" i="24"/>
  <c r="DP286" i="24"/>
  <c r="EB308" i="24"/>
  <c r="EB286" i="24"/>
  <c r="EN308" i="24"/>
  <c r="EN286" i="24"/>
  <c r="EZ308" i="24"/>
  <c r="EZ286" i="24"/>
  <c r="FL308" i="24"/>
  <c r="FL286" i="24"/>
  <c r="FX308" i="24"/>
  <c r="FX286" i="24"/>
  <c r="GJ308" i="24"/>
  <c r="GJ286" i="24"/>
  <c r="Y308" i="24"/>
  <c r="Y286" i="24"/>
  <c r="AK308" i="24"/>
  <c r="AK286" i="24"/>
  <c r="AW308" i="24"/>
  <c r="AW286" i="24"/>
  <c r="BI308" i="24"/>
  <c r="BI286" i="24"/>
  <c r="BU308" i="24"/>
  <c r="BU286" i="24"/>
  <c r="CG308" i="24"/>
  <c r="CG286" i="24"/>
  <c r="CS308" i="24"/>
  <c r="CS286" i="24"/>
  <c r="DE308" i="24"/>
  <c r="DE286" i="24"/>
  <c r="DQ308" i="24"/>
  <c r="DQ286" i="24"/>
  <c r="EC308" i="24"/>
  <c r="EC286" i="24"/>
  <c r="EO308" i="24"/>
  <c r="EO286" i="24"/>
  <c r="FA308" i="24"/>
  <c r="FA286" i="24"/>
  <c r="FM308" i="24"/>
  <c r="FM286" i="24"/>
  <c r="FY308" i="24"/>
  <c r="FY286" i="24"/>
  <c r="GK308" i="24"/>
  <c r="GK286" i="24"/>
  <c r="Z308" i="24"/>
  <c r="Z286" i="24"/>
  <c r="AL308" i="24"/>
  <c r="AL286" i="24"/>
  <c r="AX308" i="24"/>
  <c r="AX286" i="24"/>
  <c r="BJ308" i="24"/>
  <c r="BJ286" i="24"/>
  <c r="BV308" i="24"/>
  <c r="BV286" i="24"/>
  <c r="CH308" i="24"/>
  <c r="CH286" i="24"/>
  <c r="CT308" i="24"/>
  <c r="CT286" i="24"/>
  <c r="DF308" i="24"/>
  <c r="DF286" i="24"/>
  <c r="DR308" i="24"/>
  <c r="DR286" i="24"/>
  <c r="ED308" i="24"/>
  <c r="ED286" i="24"/>
  <c r="EP308" i="24"/>
  <c r="EP286" i="24"/>
  <c r="FB308" i="24"/>
  <c r="FB286" i="24"/>
  <c r="FN308" i="24"/>
  <c r="FN286" i="24"/>
  <c r="FZ308" i="24"/>
  <c r="FZ286" i="24"/>
  <c r="GL308" i="24"/>
  <c r="GL286" i="24"/>
  <c r="C285" i="24"/>
  <c r="S308" i="24"/>
  <c r="S286" i="24"/>
  <c r="T286" i="24"/>
  <c r="T308" i="24"/>
  <c r="Q308" i="24"/>
  <c r="Q286" i="24"/>
  <c r="O286" i="24"/>
  <c r="O308" i="24"/>
  <c r="P286" i="24"/>
  <c r="P308" i="24"/>
  <c r="R286" i="24"/>
  <c r="R308" i="24"/>
  <c r="N286" i="24"/>
  <c r="N308" i="24"/>
  <c r="M286" i="24"/>
  <c r="M308" i="24"/>
  <c r="K308" i="24"/>
  <c r="K286" i="24"/>
  <c r="L308" i="24"/>
  <c r="L286" i="24"/>
  <c r="D286" i="24"/>
  <c r="D308" i="24"/>
  <c r="E286" i="24"/>
  <c r="E308" i="24"/>
  <c r="H308" i="24"/>
  <c r="H286" i="24"/>
  <c r="I308" i="24"/>
  <c r="I286" i="24"/>
  <c r="F308" i="24"/>
  <c r="B308" i="24"/>
  <c r="B286" i="24"/>
  <c r="B284" i="24"/>
  <c r="D285" i="24"/>
  <c r="H285" i="24"/>
  <c r="E285" i="24"/>
  <c r="AC285" i="24"/>
  <c r="CK285" i="24"/>
  <c r="DU285" i="24"/>
  <c r="FQ285" i="24"/>
  <c r="GO285" i="24"/>
  <c r="S285" i="24"/>
  <c r="T285" i="24"/>
  <c r="AR285" i="24"/>
  <c r="CB285" i="24"/>
  <c r="CZ285" i="24"/>
  <c r="EJ285" i="24"/>
  <c r="FT285" i="24"/>
  <c r="GS285" i="24"/>
  <c r="GR285" i="24"/>
  <c r="L285" i="24"/>
  <c r="X285" i="24"/>
  <c r="AJ285" i="24"/>
  <c r="AV285" i="24"/>
  <c r="BH285" i="24"/>
  <c r="BT285" i="24"/>
  <c r="CF285" i="24"/>
  <c r="CR285" i="24"/>
  <c r="DD285" i="24"/>
  <c r="DP285" i="24"/>
  <c r="EB285" i="24"/>
  <c r="EN285" i="24"/>
  <c r="EZ285" i="24"/>
  <c r="FL285" i="24"/>
  <c r="FX285" i="24"/>
  <c r="GJ285" i="24"/>
  <c r="Q285" i="24"/>
  <c r="FE285" i="24"/>
  <c r="AQ285" i="24"/>
  <c r="M285" i="24"/>
  <c r="Y285" i="24"/>
  <c r="AK285" i="24"/>
  <c r="AW285" i="24"/>
  <c r="BI285" i="24"/>
  <c r="BU285" i="24"/>
  <c r="CG285" i="24"/>
  <c r="CS285" i="24"/>
  <c r="DE285" i="24"/>
  <c r="DQ285" i="24"/>
  <c r="EC285" i="24"/>
  <c r="EO285" i="24"/>
  <c r="FA285" i="24"/>
  <c r="FM285" i="24"/>
  <c r="FY285" i="24"/>
  <c r="GK285" i="24"/>
  <c r="BY285" i="24"/>
  <c r="N285" i="24"/>
  <c r="Z285" i="24"/>
  <c r="AL285" i="24"/>
  <c r="AX285" i="24"/>
  <c r="BJ285" i="24"/>
  <c r="BV285" i="24"/>
  <c r="CH285" i="24"/>
  <c r="CT285" i="24"/>
  <c r="DF285" i="24"/>
  <c r="DR285" i="24"/>
  <c r="ED285" i="24"/>
  <c r="EP285" i="24"/>
  <c r="FB285" i="24"/>
  <c r="FN285" i="24"/>
  <c r="FZ285" i="24"/>
  <c r="GL285" i="24"/>
  <c r="BA285" i="24"/>
  <c r="O285" i="24"/>
  <c r="AA285" i="24"/>
  <c r="AM285" i="24"/>
  <c r="AY285" i="24"/>
  <c r="BK285" i="24"/>
  <c r="BW285" i="24"/>
  <c r="CI285" i="24"/>
  <c r="CU285" i="24"/>
  <c r="DG285" i="24"/>
  <c r="DS285" i="24"/>
  <c r="EE285" i="24"/>
  <c r="EQ285" i="24"/>
  <c r="FC285" i="24"/>
  <c r="FO285" i="24"/>
  <c r="GA285" i="24"/>
  <c r="GM285" i="24"/>
  <c r="P285" i="24"/>
  <c r="AB285" i="24"/>
  <c r="AN285" i="24"/>
  <c r="AZ285" i="24"/>
  <c r="BL285" i="24"/>
  <c r="BX285" i="24"/>
  <c r="CJ285" i="24"/>
  <c r="CV285" i="24"/>
  <c r="DH285" i="24"/>
  <c r="DT285" i="24"/>
  <c r="EF285" i="24"/>
  <c r="ER285" i="24"/>
  <c r="FD285" i="24"/>
  <c r="FP285" i="24"/>
  <c r="GB285" i="24"/>
  <c r="GN285" i="24"/>
  <c r="BM285" i="24"/>
  <c r="DI285" i="24"/>
  <c r="GC285" i="24"/>
  <c r="R285" i="24"/>
  <c r="AD285" i="24"/>
  <c r="AP285" i="24"/>
  <c r="BB285" i="24"/>
  <c r="BN285" i="24"/>
  <c r="BZ285" i="24"/>
  <c r="CL285" i="24"/>
  <c r="CX285" i="24"/>
  <c r="DJ285" i="24"/>
  <c r="DV285" i="24"/>
  <c r="EH285" i="24"/>
  <c r="ET285" i="24"/>
  <c r="FF285" i="24"/>
  <c r="FR285" i="24"/>
  <c r="GD285" i="24"/>
  <c r="GP285" i="24"/>
  <c r="G285" i="24"/>
  <c r="ES285" i="24"/>
  <c r="BC285" i="24"/>
  <c r="BO285" i="24"/>
  <c r="CA285" i="24"/>
  <c r="CM285" i="24"/>
  <c r="CY285" i="24"/>
  <c r="DK285" i="24"/>
  <c r="DW285" i="24"/>
  <c r="EI285" i="24"/>
  <c r="EU285" i="24"/>
  <c r="FG285" i="24"/>
  <c r="FS285" i="24"/>
  <c r="GE285" i="24"/>
  <c r="GQ285" i="24"/>
  <c r="F285" i="24"/>
  <c r="DL285" i="24"/>
  <c r="EG285" i="24"/>
  <c r="BD285" i="24"/>
  <c r="EV285" i="24"/>
  <c r="I285" i="24"/>
  <c r="U285" i="24"/>
  <c r="AG285" i="24"/>
  <c r="AS285" i="24"/>
  <c r="BE285" i="24"/>
  <c r="BQ285" i="24"/>
  <c r="CC285" i="24"/>
  <c r="CO285" i="24"/>
  <c r="DA285" i="24"/>
  <c r="DM285" i="24"/>
  <c r="DY285" i="24"/>
  <c r="EK285" i="24"/>
  <c r="EW285" i="24"/>
  <c r="FI285" i="24"/>
  <c r="FU285" i="24"/>
  <c r="GG285" i="24"/>
  <c r="CW285" i="24"/>
  <c r="AE285" i="24"/>
  <c r="AF285" i="24"/>
  <c r="BP285" i="24"/>
  <c r="CN285" i="24"/>
  <c r="DX285" i="24"/>
  <c r="FH285" i="24"/>
  <c r="GF285" i="24"/>
  <c r="J285" i="24"/>
  <c r="V285" i="24"/>
  <c r="AH285" i="24"/>
  <c r="AT285" i="24"/>
  <c r="BF285" i="24"/>
  <c r="BR285" i="24"/>
  <c r="CD285" i="24"/>
  <c r="CP285" i="24"/>
  <c r="DB285" i="24"/>
  <c r="DN285" i="24"/>
  <c r="DZ285" i="24"/>
  <c r="EL285" i="24"/>
  <c r="EX285" i="24"/>
  <c r="FJ285" i="24"/>
  <c r="FV285" i="24"/>
  <c r="GH285" i="24"/>
  <c r="AO285" i="24"/>
  <c r="K285" i="24"/>
  <c r="W285" i="24"/>
  <c r="AI285" i="24"/>
  <c r="AU285" i="24"/>
  <c r="BG285" i="24"/>
  <c r="BS285" i="24"/>
  <c r="CE285" i="24"/>
  <c r="CQ285" i="24"/>
  <c r="DC285" i="24"/>
  <c r="DO285" i="24"/>
  <c r="EA285" i="24"/>
  <c r="EM285" i="24"/>
  <c r="EY285" i="24"/>
  <c r="FK285" i="24"/>
  <c r="FW285" i="24"/>
  <c r="GI285" i="24"/>
  <c r="E72" i="31"/>
  <c r="D307" i="24" s="1"/>
  <c r="B306" i="24"/>
  <c r="GT306" i="24"/>
  <c r="GS306" i="24"/>
  <c r="GR306" i="24"/>
  <c r="GQ306" i="24"/>
  <c r="GP306" i="24"/>
  <c r="GO306" i="24"/>
  <c r="GN306" i="24"/>
  <c r="GM306" i="24"/>
  <c r="GL306" i="24"/>
  <c r="GK306" i="24"/>
  <c r="GJ306" i="24"/>
  <c r="GI306" i="24"/>
  <c r="GH306" i="24"/>
  <c r="GG306" i="24"/>
  <c r="GF306" i="24"/>
  <c r="GE306" i="24"/>
  <c r="GD306" i="24"/>
  <c r="GC306" i="24"/>
  <c r="GB306" i="24"/>
  <c r="GA306" i="24"/>
  <c r="FZ306" i="24"/>
  <c r="FY306" i="24"/>
  <c r="FX306" i="24"/>
  <c r="FW306" i="24"/>
  <c r="FV306" i="24"/>
  <c r="FU306" i="24"/>
  <c r="FT306" i="24"/>
  <c r="FS306" i="24"/>
  <c r="FR306" i="24"/>
  <c r="FQ306" i="24"/>
  <c r="FP306" i="24"/>
  <c r="FO306" i="24"/>
  <c r="FN306" i="24"/>
  <c r="FM306" i="24"/>
  <c r="FL306" i="24"/>
  <c r="FK306" i="24"/>
  <c r="FJ306" i="24"/>
  <c r="FI306" i="24"/>
  <c r="FH306" i="24"/>
  <c r="FG306" i="24"/>
  <c r="FF306" i="24"/>
  <c r="FE306" i="24"/>
  <c r="FD306" i="24"/>
  <c r="FC306" i="24"/>
  <c r="FB306" i="24"/>
  <c r="FA306" i="24"/>
  <c r="EZ306" i="24"/>
  <c r="EY306" i="24"/>
  <c r="EX306" i="24"/>
  <c r="EW306" i="24"/>
  <c r="EV306" i="24"/>
  <c r="EU306" i="24"/>
  <c r="ET306" i="24"/>
  <c r="ES306" i="24"/>
  <c r="ER306" i="24"/>
  <c r="EQ306" i="24"/>
  <c r="EP306" i="24"/>
  <c r="EO306" i="24"/>
  <c r="EN306" i="24"/>
  <c r="EM306" i="24"/>
  <c r="EL306" i="24"/>
  <c r="EK306" i="24"/>
  <c r="EJ306" i="24"/>
  <c r="EI306" i="24"/>
  <c r="EH306" i="24"/>
  <c r="EG306" i="24"/>
  <c r="EF306" i="24"/>
  <c r="EE306" i="24"/>
  <c r="ED306" i="24"/>
  <c r="EC306" i="24"/>
  <c r="EB306" i="24"/>
  <c r="EA306" i="24"/>
  <c r="DZ306" i="24"/>
  <c r="DY306" i="24"/>
  <c r="DX306" i="24"/>
  <c r="DW306" i="24"/>
  <c r="DV306" i="24"/>
  <c r="DU306" i="24"/>
  <c r="DT306" i="24"/>
  <c r="DS306" i="24"/>
  <c r="DR306" i="24"/>
  <c r="DQ306" i="24"/>
  <c r="DP306" i="24"/>
  <c r="DO306" i="24"/>
  <c r="DN306" i="24"/>
  <c r="DM306" i="24"/>
  <c r="DL306" i="24"/>
  <c r="DK306" i="24"/>
  <c r="DJ306" i="24"/>
  <c r="DI306" i="24"/>
  <c r="DH306" i="24"/>
  <c r="DG306" i="24"/>
  <c r="DF306" i="24"/>
  <c r="DE306" i="24"/>
  <c r="DD306" i="24"/>
  <c r="DC306" i="24"/>
  <c r="DB306" i="24"/>
  <c r="DA306" i="24"/>
  <c r="CZ306" i="24"/>
  <c r="CY306" i="24"/>
  <c r="CX306" i="24"/>
  <c r="CW306" i="24"/>
  <c r="CV306" i="24"/>
  <c r="CU306" i="24"/>
  <c r="CT306" i="24"/>
  <c r="CS306" i="24"/>
  <c r="CR306" i="24"/>
  <c r="CQ306" i="24"/>
  <c r="CP306" i="24"/>
  <c r="CO306" i="24"/>
  <c r="CN306" i="24"/>
  <c r="CM306" i="24"/>
  <c r="CL306" i="24"/>
  <c r="CK306" i="24"/>
  <c r="CJ306" i="24"/>
  <c r="CI306" i="24"/>
  <c r="CH306" i="24"/>
  <c r="CG306" i="24"/>
  <c r="CF306" i="24"/>
  <c r="CE306" i="24"/>
  <c r="CD306" i="24"/>
  <c r="CC306" i="24"/>
  <c r="CB306" i="24"/>
  <c r="CA306" i="24"/>
  <c r="BZ306" i="24"/>
  <c r="BY306" i="24"/>
  <c r="BX306" i="24"/>
  <c r="BW306" i="24"/>
  <c r="BV306" i="24"/>
  <c r="BU306" i="24"/>
  <c r="BT306" i="24"/>
  <c r="BS306" i="24"/>
  <c r="BR306" i="24"/>
  <c r="BQ306" i="24"/>
  <c r="BP306" i="24"/>
  <c r="BO306" i="24"/>
  <c r="BN306" i="24"/>
  <c r="BM306" i="24"/>
  <c r="BL306" i="24"/>
  <c r="BK306" i="24"/>
  <c r="BJ306" i="24"/>
  <c r="BI306" i="24"/>
  <c r="BH306" i="24"/>
  <c r="BG306" i="24"/>
  <c r="BF306" i="24"/>
  <c r="BE306" i="24"/>
  <c r="BD306" i="24"/>
  <c r="BC306" i="24"/>
  <c r="BB306" i="24"/>
  <c r="BA306" i="24"/>
  <c r="AZ306" i="24"/>
  <c r="AY306" i="24"/>
  <c r="AX306" i="24"/>
  <c r="AW306" i="24"/>
  <c r="AV306" i="24"/>
  <c r="AU306" i="24"/>
  <c r="AT306" i="24"/>
  <c r="AS306" i="24"/>
  <c r="AR306" i="24"/>
  <c r="AQ306" i="24"/>
  <c r="AP306" i="24"/>
  <c r="AO306" i="24"/>
  <c r="AN306" i="24"/>
  <c r="AM306" i="24"/>
  <c r="AL306" i="24"/>
  <c r="AK306" i="24"/>
  <c r="AJ306" i="24"/>
  <c r="AI306" i="24"/>
  <c r="AH306" i="24"/>
  <c r="AG306" i="24"/>
  <c r="AF306" i="24"/>
  <c r="AE306" i="24"/>
  <c r="AD306" i="24"/>
  <c r="AC306" i="24"/>
  <c r="AB306" i="24"/>
  <c r="AA306" i="24"/>
  <c r="Z306" i="24"/>
  <c r="Y306" i="24"/>
  <c r="X306" i="24"/>
  <c r="W306" i="24"/>
  <c r="V306" i="24"/>
  <c r="U306" i="24"/>
  <c r="T306" i="24"/>
  <c r="S306" i="24"/>
  <c r="R306" i="24"/>
  <c r="Q306" i="24"/>
  <c r="P306" i="24"/>
  <c r="O306" i="24"/>
  <c r="N306" i="24"/>
  <c r="M306" i="24"/>
  <c r="L306" i="24"/>
  <c r="K306" i="24"/>
  <c r="J306" i="24"/>
  <c r="I306" i="24"/>
  <c r="H306" i="24"/>
  <c r="G306" i="24"/>
  <c r="F306" i="24"/>
  <c r="E306" i="24"/>
  <c r="D306" i="24"/>
  <c r="GT303" i="24"/>
  <c r="GT284" i="24"/>
  <c r="D72" i="31"/>
  <c r="G91" i="10"/>
  <c r="E91" i="10"/>
  <c r="F91" i="10"/>
  <c r="E91" i="31"/>
  <c r="C306" i="24" l="1"/>
  <c r="C307" i="24"/>
  <c r="A102" i="31"/>
  <c r="GT111" i="31" l="1"/>
  <c r="GS111" i="31"/>
  <c r="GR111" i="31"/>
  <c r="GQ111" i="31"/>
  <c r="GP111" i="31"/>
  <c r="GO111" i="31"/>
  <c r="GN111" i="31"/>
  <c r="GM111" i="31"/>
  <c r="GL111" i="31"/>
  <c r="GK111" i="31"/>
  <c r="GJ111" i="31"/>
  <c r="GI111" i="31"/>
  <c r="GH111" i="31"/>
  <c r="GG111" i="31"/>
  <c r="GF111" i="31"/>
  <c r="GE111" i="31"/>
  <c r="GD111" i="31"/>
  <c r="GC111" i="31"/>
  <c r="GB111" i="31"/>
  <c r="GA111" i="31"/>
  <c r="FZ111" i="31"/>
  <c r="FY111" i="31"/>
  <c r="FX111" i="31"/>
  <c r="FW111" i="31"/>
  <c r="FV111" i="31"/>
  <c r="FU111" i="31"/>
  <c r="FT111" i="31"/>
  <c r="FS111" i="31"/>
  <c r="FR111" i="31"/>
  <c r="FQ111" i="31"/>
  <c r="FP111" i="31"/>
  <c r="FO111" i="31"/>
  <c r="FN111" i="31"/>
  <c r="FM111" i="31"/>
  <c r="FL111" i="31"/>
  <c r="FK111" i="31"/>
  <c r="FJ111" i="31"/>
  <c r="FI111" i="31"/>
  <c r="FH111" i="31"/>
  <c r="FG111" i="31"/>
  <c r="FF111" i="31"/>
  <c r="FE111" i="31"/>
  <c r="FD111" i="31"/>
  <c r="FC111" i="31"/>
  <c r="FB111" i="31"/>
  <c r="FA111" i="31"/>
  <c r="EZ111" i="31"/>
  <c r="EY111" i="31"/>
  <c r="EX111" i="31"/>
  <c r="EW111" i="31"/>
  <c r="EV111" i="31"/>
  <c r="EU111" i="31"/>
  <c r="ET111" i="31"/>
  <c r="ES111" i="31"/>
  <c r="ER111" i="31"/>
  <c r="EQ111" i="31"/>
  <c r="EP111" i="31"/>
  <c r="EO111" i="31"/>
  <c r="EN111" i="31"/>
  <c r="EM111" i="31"/>
  <c r="EL111" i="31"/>
  <c r="EK111" i="31"/>
  <c r="EJ111" i="31"/>
  <c r="EI111" i="31"/>
  <c r="EH111" i="31"/>
  <c r="EG111" i="31"/>
  <c r="EF111" i="31"/>
  <c r="EE111" i="31"/>
  <c r="ED111" i="31"/>
  <c r="EC111" i="31"/>
  <c r="EB111" i="31"/>
  <c r="EA111" i="31"/>
  <c r="DZ111" i="31"/>
  <c r="DY111" i="31"/>
  <c r="DX111" i="31"/>
  <c r="DW111" i="31"/>
  <c r="DV111" i="31"/>
  <c r="DU111" i="31"/>
  <c r="DT111" i="31"/>
  <c r="DS111" i="31"/>
  <c r="DR111" i="31"/>
  <c r="DQ111" i="31"/>
  <c r="DP111" i="31"/>
  <c r="DO111" i="31"/>
  <c r="DN111" i="31"/>
  <c r="DM111" i="31"/>
  <c r="DL111" i="31"/>
  <c r="DK111" i="31"/>
  <c r="DJ111" i="31"/>
  <c r="DI111" i="31"/>
  <c r="DH111" i="31"/>
  <c r="DG111" i="31"/>
  <c r="DF111" i="31"/>
  <c r="DE111" i="31"/>
  <c r="DD111" i="31"/>
  <c r="DC111" i="31"/>
  <c r="DB111" i="31"/>
  <c r="DA111" i="31"/>
  <c r="CZ111" i="31"/>
  <c r="CY111" i="31"/>
  <c r="CX111" i="31"/>
  <c r="CW111" i="31"/>
  <c r="CV111" i="31"/>
  <c r="CU111" i="31"/>
  <c r="CT111" i="31"/>
  <c r="CS111" i="31"/>
  <c r="CR111" i="31"/>
  <c r="CQ111" i="31"/>
  <c r="CP111" i="31"/>
  <c r="CO111" i="31"/>
  <c r="CN111" i="31"/>
  <c r="CM111" i="31"/>
  <c r="CL111" i="31"/>
  <c r="CK111" i="31"/>
  <c r="CJ111" i="31"/>
  <c r="CI111" i="31"/>
  <c r="CH111" i="31"/>
  <c r="CG111" i="31"/>
  <c r="CF111" i="31"/>
  <c r="CE111" i="31"/>
  <c r="CD111" i="31"/>
  <c r="CC111" i="31"/>
  <c r="CB111" i="31"/>
  <c r="CA111" i="31"/>
  <c r="BZ111" i="31"/>
  <c r="BY111" i="31"/>
  <c r="BX111" i="31"/>
  <c r="BW111" i="31"/>
  <c r="BV111" i="31"/>
  <c r="BU111" i="31"/>
  <c r="BT111" i="31"/>
  <c r="BS111" i="31"/>
  <c r="BR111" i="31"/>
  <c r="BQ111" i="31"/>
  <c r="BP111" i="31"/>
  <c r="BO111" i="31"/>
  <c r="BN111" i="31"/>
  <c r="BM111" i="31"/>
  <c r="BL111" i="31"/>
  <c r="BK111" i="31"/>
  <c r="BJ111" i="31"/>
  <c r="BI111" i="31"/>
  <c r="BH111" i="31"/>
  <c r="BG111" i="31"/>
  <c r="BF111" i="31"/>
  <c r="BE111" i="31"/>
  <c r="BD111" i="31"/>
  <c r="BC111" i="31"/>
  <c r="BB111" i="31"/>
  <c r="BA111" i="31"/>
  <c r="AZ111" i="31"/>
  <c r="AY111" i="31"/>
  <c r="AX111" i="31"/>
  <c r="AW111" i="31"/>
  <c r="AV111" i="31"/>
  <c r="AU111" i="31"/>
  <c r="AT111" i="31"/>
  <c r="AS111" i="31"/>
  <c r="AR111" i="31"/>
  <c r="AQ111" i="31"/>
  <c r="AP111" i="31"/>
  <c r="AO111" i="31"/>
  <c r="AN111" i="31"/>
  <c r="AM111" i="31"/>
  <c r="AL111" i="31"/>
  <c r="AK111" i="31"/>
  <c r="AJ111" i="31"/>
  <c r="AI111" i="31"/>
  <c r="AH111" i="31"/>
  <c r="AG111" i="31"/>
  <c r="AF111" i="31"/>
  <c r="AE111" i="31"/>
  <c r="AD111" i="31"/>
  <c r="AC111" i="31"/>
  <c r="AB111" i="31"/>
  <c r="AA111" i="31"/>
  <c r="Z111" i="31"/>
  <c r="Y111" i="31"/>
  <c r="X111" i="31"/>
  <c r="W111" i="31"/>
  <c r="V111" i="31"/>
  <c r="U111" i="31"/>
  <c r="T111" i="31"/>
  <c r="S111" i="31"/>
  <c r="R111" i="31"/>
  <c r="Q111" i="31"/>
  <c r="P111" i="31"/>
  <c r="O111" i="31"/>
  <c r="N111" i="31"/>
  <c r="M111" i="31"/>
  <c r="L111" i="31"/>
  <c r="K111" i="31"/>
  <c r="J111" i="31"/>
  <c r="I111" i="31"/>
  <c r="H111" i="31"/>
  <c r="G111" i="31"/>
  <c r="F111" i="31"/>
  <c r="E111" i="31"/>
  <c r="D111" i="31"/>
  <c r="C111" i="31"/>
  <c r="CD2" i="34"/>
  <c r="CE2" i="34" s="1"/>
  <c r="CF2" i="34" s="1"/>
  <c r="CI2" i="34" s="1"/>
  <c r="CJ2" i="34" s="1"/>
  <c r="CK2" i="34" s="1"/>
  <c r="CL2" i="34" s="1"/>
  <c r="CM2" i="34" s="1"/>
  <c r="CN2" i="34" s="1"/>
  <c r="CO2" i="34" s="1"/>
  <c r="CP2" i="34" s="1"/>
  <c r="CR2" i="34" s="1"/>
  <c r="CS2" i="34" s="1"/>
  <c r="CU2" i="34" s="1"/>
  <c r="CV2" i="34" s="1"/>
  <c r="CW2" i="34" s="1"/>
  <c r="CX2" i="34" s="1"/>
  <c r="CY2" i="34" s="1"/>
  <c r="CZ2" i="34" s="1"/>
  <c r="DA2" i="34" s="1"/>
  <c r="DB2" i="34" s="1"/>
  <c r="DC2" i="34" s="1"/>
  <c r="DD2" i="34" s="1"/>
  <c r="DE2" i="34" s="1"/>
  <c r="DG2" i="34" s="1"/>
  <c r="DH2" i="34" s="1"/>
  <c r="DI2" i="34" s="1"/>
  <c r="DJ2" i="34" s="1"/>
  <c r="DK2" i="34" s="1"/>
  <c r="DL2" i="34" s="1"/>
  <c r="DM2" i="34" s="1"/>
  <c r="DN2" i="34" s="1"/>
  <c r="DO2" i="34" s="1"/>
  <c r="DP2" i="34" s="1"/>
  <c r="DQ2" i="34" s="1"/>
  <c r="DS2" i="34" s="1"/>
  <c r="DT2" i="34" s="1"/>
  <c r="DU2" i="34" s="1"/>
  <c r="DV2" i="34" s="1"/>
  <c r="DW2" i="34" s="1"/>
  <c r="DX2" i="34" s="1"/>
  <c r="DY2" i="34" s="1"/>
  <c r="DZ2" i="34" s="1"/>
  <c r="EA2" i="34" s="1"/>
  <c r="EB2" i="34" s="1"/>
  <c r="EC2" i="34" s="1"/>
  <c r="ED2" i="34" s="1"/>
  <c r="EE2" i="34" s="1"/>
  <c r="EF2" i="34" s="1"/>
  <c r="EG2" i="34" s="1"/>
  <c r="EH2" i="34" s="1"/>
  <c r="EI2" i="34" s="1"/>
  <c r="EJ2" i="34" s="1"/>
  <c r="EK2" i="34" s="1"/>
  <c r="EL2" i="34" s="1"/>
  <c r="EM2" i="34" s="1"/>
  <c r="EN2" i="34" s="1"/>
  <c r="EO2" i="34" s="1"/>
  <c r="EP2" i="34" s="1"/>
  <c r="EQ2" i="34" s="1"/>
  <c r="ER2" i="34" s="1"/>
  <c r="ES2" i="34" s="1"/>
  <c r="ET2" i="34" s="1"/>
  <c r="EU2" i="34" s="1"/>
  <c r="EV2" i="34" s="1"/>
  <c r="EW2" i="34" s="1"/>
  <c r="EX2" i="34" s="1"/>
  <c r="EY2" i="34" s="1"/>
  <c r="EZ2" i="34" s="1"/>
  <c r="FA2" i="34" s="1"/>
  <c r="FB2" i="34" s="1"/>
  <c r="FC2" i="34" s="1"/>
  <c r="FD2" i="34" s="1"/>
  <c r="FE2" i="34" s="1"/>
  <c r="FF2" i="34" s="1"/>
  <c r="FG2" i="34" s="1"/>
  <c r="FH2" i="34" s="1"/>
  <c r="FI2" i="34" s="1"/>
  <c r="FJ2" i="34" s="1"/>
  <c r="FK2" i="34" s="1"/>
  <c r="FL2" i="34" s="1"/>
  <c r="FM2" i="34" s="1"/>
  <c r="FN2" i="34" s="1"/>
  <c r="FO2" i="34" s="1"/>
  <c r="FP2" i="34" s="1"/>
  <c r="FQ2" i="34" s="1"/>
  <c r="FR2" i="34" s="1"/>
  <c r="FS2" i="34" s="1"/>
  <c r="FT2" i="34" s="1"/>
  <c r="FU2" i="34" s="1"/>
  <c r="FV2" i="34" s="1"/>
  <c r="FW2" i="34" s="1"/>
  <c r="FX2" i="34" s="1"/>
  <c r="FY2" i="34" s="1"/>
  <c r="FZ2" i="34" s="1"/>
  <c r="GA2" i="34" s="1"/>
  <c r="GB2" i="34" s="1"/>
  <c r="GC2" i="34" s="1"/>
  <c r="GD2" i="34" s="1"/>
  <c r="GE2" i="34" s="1"/>
  <c r="GF2" i="34" s="1"/>
  <c r="GG2" i="34" s="1"/>
  <c r="GH2" i="34" s="1"/>
  <c r="GI2" i="34" s="1"/>
  <c r="GJ2" i="34" s="1"/>
  <c r="GK2" i="34" s="1"/>
  <c r="GL2" i="34" s="1"/>
  <c r="GM2" i="34" s="1"/>
  <c r="GN2" i="34" s="1"/>
  <c r="GO2" i="34" s="1"/>
  <c r="GP2" i="34" s="1"/>
  <c r="GQ2" i="34" s="1"/>
  <c r="GR2" i="34" s="1"/>
  <c r="GS2" i="34" s="1"/>
  <c r="GT2" i="34" s="1"/>
  <c r="GU2" i="34" s="1"/>
  <c r="GV2" i="34" s="1"/>
  <c r="GW2" i="34" s="1"/>
  <c r="GX2" i="34" s="1"/>
  <c r="GY2" i="34" s="1"/>
  <c r="GZ2" i="34" s="1"/>
  <c r="HA2" i="34" s="1"/>
  <c r="HB2" i="34" s="1"/>
  <c r="HC2" i="34" s="1"/>
  <c r="HD2" i="34" s="1"/>
  <c r="HE2" i="34" s="1"/>
  <c r="HF2" i="34" s="1"/>
  <c r="HG2" i="34" s="1"/>
  <c r="HH2" i="34" s="1"/>
  <c r="HI2" i="34" s="1"/>
  <c r="HJ2" i="34" s="1"/>
  <c r="HK2" i="34" s="1"/>
  <c r="HL2" i="34" s="1"/>
  <c r="HM2" i="34" s="1"/>
  <c r="HN2" i="34" s="1"/>
  <c r="HO2" i="34" s="1"/>
  <c r="HP2" i="34" s="1"/>
  <c r="HQ2" i="34" s="1"/>
  <c r="HR2" i="34" s="1"/>
  <c r="HS2" i="34" s="1"/>
  <c r="HT2" i="34" s="1"/>
  <c r="HU2" i="34" s="1"/>
  <c r="HV2" i="34" s="1"/>
  <c r="BT2" i="34"/>
  <c r="BU2" i="34" s="1"/>
  <c r="BV2" i="34" s="1"/>
  <c r="BW2" i="34" s="1"/>
  <c r="BX2" i="34" s="1"/>
  <c r="BY2" i="34" s="1"/>
  <c r="BZ2" i="34" s="1"/>
  <c r="CA2" i="34" s="1"/>
  <c r="CB2" i="34" s="1"/>
  <c r="BO2" i="34"/>
  <c r="BP2" i="34" s="1"/>
  <c r="BQ2" i="34" s="1"/>
  <c r="BR2" i="34" s="1"/>
  <c r="BH2" i="34"/>
  <c r="BI2" i="34" s="1"/>
  <c r="BJ2" i="34" s="1"/>
  <c r="BK2" i="34" s="1"/>
  <c r="BL2" i="34" s="1"/>
  <c r="BM2" i="34" s="1"/>
  <c r="BD2" i="34"/>
  <c r="BE2" i="34" s="1"/>
  <c r="BF2" i="34" s="1"/>
  <c r="BG2" i="34" s="1"/>
  <c r="BB2" i="34"/>
  <c r="BC2" i="34" s="1"/>
  <c r="BA2" i="34"/>
  <c r="AZ2" i="34"/>
  <c r="AY2" i="34"/>
  <c r="AM2" i="34"/>
  <c r="AN2" i="34" s="1"/>
  <c r="AO2" i="34" s="1"/>
  <c r="AP2" i="34" s="1"/>
  <c r="AQ2" i="34" s="1"/>
  <c r="AR2" i="34" s="1"/>
  <c r="AS2" i="34" s="1"/>
  <c r="AT2" i="34" s="1"/>
  <c r="AU2" i="34" s="1"/>
  <c r="AV2" i="34" s="1"/>
  <c r="AW2" i="34" s="1"/>
  <c r="AX2" i="34" s="1"/>
  <c r="AJ2" i="34"/>
  <c r="AK2" i="34" s="1"/>
  <c r="AL2" i="34" s="1"/>
  <c r="AC2" i="34"/>
  <c r="AD2" i="34" s="1"/>
  <c r="AE2" i="34" s="1"/>
  <c r="AF2" i="34" s="1"/>
  <c r="AG2" i="34" s="1"/>
  <c r="AH2" i="34" s="1"/>
  <c r="AI2" i="34" s="1"/>
  <c r="W2" i="34"/>
  <c r="X2" i="34" s="1"/>
  <c r="Y2" i="34" s="1"/>
  <c r="Z2" i="34" s="1"/>
  <c r="AA2" i="34" s="1"/>
  <c r="AB2" i="34" s="1"/>
  <c r="O2" i="34"/>
  <c r="P2" i="34" s="1"/>
  <c r="Q2" i="34" s="1"/>
  <c r="R2" i="34" s="1"/>
  <c r="S2" i="34" s="1"/>
  <c r="T2" i="34" s="1"/>
  <c r="U2" i="34" s="1"/>
  <c r="V2" i="34" s="1"/>
  <c r="M2" i="34"/>
  <c r="N2" i="34" s="1"/>
  <c r="G2" i="34"/>
  <c r="H2" i="34" s="1"/>
  <c r="I2" i="34" s="1"/>
  <c r="J2" i="34" s="1"/>
  <c r="K2" i="34" s="1"/>
  <c r="L2" i="34" s="1"/>
  <c r="B2" i="34"/>
  <c r="C2" i="34" s="1"/>
  <c r="D2" i="34" s="1"/>
  <c r="E2" i="34" s="1"/>
  <c r="F2" i="34" s="1"/>
  <c r="C1" i="34"/>
  <c r="D1" i="34" s="1"/>
  <c r="E1" i="34" s="1"/>
  <c r="F1" i="34" s="1"/>
  <c r="G1" i="34" s="1"/>
  <c r="H1" i="34" s="1"/>
  <c r="I1" i="34" s="1"/>
  <c r="J1" i="34" s="1"/>
  <c r="K1" i="34" s="1"/>
  <c r="L1" i="34" s="1"/>
  <c r="M1" i="34" s="1"/>
  <c r="N1" i="34" s="1"/>
  <c r="O1" i="34" s="1"/>
  <c r="P1" i="34" s="1"/>
  <c r="Q1" i="34" s="1"/>
  <c r="R1" i="34" s="1"/>
  <c r="S1" i="34" s="1"/>
  <c r="T1" i="34" s="1"/>
  <c r="U1" i="34" s="1"/>
  <c r="V1" i="34" s="1"/>
  <c r="W1" i="34" s="1"/>
  <c r="X1" i="34" s="1"/>
  <c r="Y1" i="34" s="1"/>
  <c r="Z1" i="34" s="1"/>
  <c r="AA1" i="34" s="1"/>
  <c r="AB1" i="34" s="1"/>
  <c r="AC1" i="34" s="1"/>
  <c r="AD1" i="34" s="1"/>
  <c r="AE1" i="34" s="1"/>
  <c r="AF1" i="34" s="1"/>
  <c r="AG1" i="34" s="1"/>
  <c r="AH1" i="34" s="1"/>
  <c r="AI1" i="34" s="1"/>
  <c r="AJ1" i="34" s="1"/>
  <c r="AK1" i="34" s="1"/>
  <c r="AL1" i="34" s="1"/>
  <c r="AM1" i="34" s="1"/>
  <c r="AN1" i="34" s="1"/>
  <c r="AO1" i="34" s="1"/>
  <c r="AP1" i="34" s="1"/>
  <c r="AQ1" i="34" s="1"/>
  <c r="AR1" i="34" s="1"/>
  <c r="AS1" i="34" s="1"/>
  <c r="AT1" i="34" s="1"/>
  <c r="AU1" i="34" s="1"/>
  <c r="AV1" i="34" s="1"/>
  <c r="AW1" i="34" s="1"/>
  <c r="AX1" i="34" s="1"/>
  <c r="AY1" i="34" s="1"/>
  <c r="AZ1" i="34" s="1"/>
  <c r="BA1" i="34" s="1"/>
  <c r="BB1" i="34" s="1"/>
  <c r="BC1" i="34" s="1"/>
  <c r="BD1" i="34" s="1"/>
  <c r="BE1" i="34" s="1"/>
  <c r="BF1" i="34" s="1"/>
  <c r="BG1" i="34" s="1"/>
  <c r="BH1" i="34" s="1"/>
  <c r="BI1" i="34" s="1"/>
  <c r="BJ1" i="34" s="1"/>
  <c r="BK1" i="34" s="1"/>
  <c r="BL1" i="34" s="1"/>
  <c r="BM1" i="34" s="1"/>
  <c r="BN1" i="34" s="1"/>
  <c r="BO1" i="34" s="1"/>
  <c r="BP1" i="34" s="1"/>
  <c r="BQ1" i="34" s="1"/>
  <c r="BR1" i="34" s="1"/>
  <c r="BS1" i="34" s="1"/>
  <c r="BT1" i="34" s="1"/>
  <c r="BU1" i="34" s="1"/>
  <c r="BV1" i="34" s="1"/>
  <c r="BW1" i="34" s="1"/>
  <c r="BX1" i="34" s="1"/>
  <c r="BY1" i="34" s="1"/>
  <c r="BZ1" i="34" s="1"/>
  <c r="CA1" i="34" s="1"/>
  <c r="CB1" i="34" s="1"/>
  <c r="CC1" i="34" s="1"/>
  <c r="CD1" i="34" s="1"/>
  <c r="CE1" i="34" s="1"/>
  <c r="CF1" i="34" s="1"/>
  <c r="CG1" i="34" s="1"/>
  <c r="CH1" i="34" s="1"/>
  <c r="CI1" i="34" s="1"/>
  <c r="CJ1" i="34" s="1"/>
  <c r="CK1" i="34" s="1"/>
  <c r="CL1" i="34" s="1"/>
  <c r="CM1" i="34" s="1"/>
  <c r="CN1" i="34" s="1"/>
  <c r="CO1" i="34" s="1"/>
  <c r="CP1" i="34" s="1"/>
  <c r="CQ1" i="34" s="1"/>
  <c r="CR1" i="34" s="1"/>
  <c r="CS1" i="34" s="1"/>
  <c r="CT1" i="34" s="1"/>
  <c r="CU1" i="34" s="1"/>
  <c r="CV1" i="34" s="1"/>
  <c r="CW1" i="34" s="1"/>
  <c r="CX1" i="34" s="1"/>
  <c r="CY1" i="34" s="1"/>
  <c r="CZ1" i="34" s="1"/>
  <c r="DA1" i="34" s="1"/>
  <c r="DB1" i="34" s="1"/>
  <c r="DC1" i="34" s="1"/>
  <c r="DD1" i="34" s="1"/>
  <c r="DE1" i="34" s="1"/>
  <c r="DF1" i="34" s="1"/>
  <c r="DG1" i="34" s="1"/>
  <c r="DH1" i="34" s="1"/>
  <c r="DI1" i="34" s="1"/>
  <c r="DJ1" i="34" s="1"/>
  <c r="DK1" i="34" s="1"/>
  <c r="DL1" i="34" s="1"/>
  <c r="DM1" i="34" s="1"/>
  <c r="DN1" i="34" s="1"/>
  <c r="DO1" i="34" s="1"/>
  <c r="DP1" i="34" s="1"/>
  <c r="DQ1" i="34" s="1"/>
  <c r="DR1" i="34" s="1"/>
  <c r="DS1" i="34" s="1"/>
  <c r="DT1" i="34" s="1"/>
  <c r="DU1" i="34" s="1"/>
  <c r="DV1" i="34" s="1"/>
  <c r="DW1" i="34" s="1"/>
  <c r="DX1" i="34" s="1"/>
  <c r="DY1" i="34" s="1"/>
  <c r="DZ1" i="34" s="1"/>
  <c r="EA1" i="34" s="1"/>
  <c r="EB1" i="34" s="1"/>
  <c r="EC1" i="34" s="1"/>
  <c r="ED1" i="34" s="1"/>
  <c r="EE1" i="34" s="1"/>
  <c r="EF1" i="34" s="1"/>
  <c r="EG1" i="34" s="1"/>
  <c r="EH1" i="34" s="1"/>
  <c r="EI1" i="34" s="1"/>
  <c r="EJ1" i="34" s="1"/>
  <c r="EK1" i="34" s="1"/>
  <c r="EL1" i="34" s="1"/>
  <c r="EM1" i="34" s="1"/>
  <c r="EN1" i="34" s="1"/>
  <c r="EO1" i="34" s="1"/>
  <c r="EP1" i="34" s="1"/>
  <c r="EQ1" i="34" s="1"/>
  <c r="ER1" i="34" s="1"/>
  <c r="ES1" i="34" s="1"/>
  <c r="ET1" i="34" s="1"/>
  <c r="EU1" i="34" s="1"/>
  <c r="EV1" i="34" s="1"/>
  <c r="EW1" i="34" s="1"/>
  <c r="EX1" i="34" s="1"/>
  <c r="EY1" i="34" s="1"/>
  <c r="EZ1" i="34" s="1"/>
  <c r="FA1" i="34" s="1"/>
  <c r="FB1" i="34" s="1"/>
  <c r="FC1" i="34" s="1"/>
  <c r="FD1" i="34" s="1"/>
  <c r="FE1" i="34" s="1"/>
  <c r="FF1" i="34" s="1"/>
  <c r="FG1" i="34" s="1"/>
  <c r="FH1" i="34" s="1"/>
  <c r="FI1" i="34" s="1"/>
  <c r="FJ1" i="34" s="1"/>
  <c r="FK1" i="34" s="1"/>
  <c r="FL1" i="34" s="1"/>
  <c r="FM1" i="34" s="1"/>
  <c r="FN1" i="34" s="1"/>
  <c r="FO1" i="34" s="1"/>
  <c r="FP1" i="34" s="1"/>
  <c r="FQ1" i="34" s="1"/>
  <c r="FR1" i="34" s="1"/>
  <c r="FS1" i="34" s="1"/>
  <c r="FT1" i="34" s="1"/>
  <c r="FU1" i="34" s="1"/>
  <c r="FV1" i="34" s="1"/>
  <c r="FW1" i="34" s="1"/>
  <c r="FX1" i="34" s="1"/>
  <c r="FY1" i="34" s="1"/>
  <c r="FZ1" i="34" s="1"/>
  <c r="GA1" i="34" s="1"/>
  <c r="GB1" i="34" s="1"/>
  <c r="GC1" i="34" s="1"/>
  <c r="GD1" i="34" s="1"/>
  <c r="GE1" i="34" s="1"/>
  <c r="GF1" i="34" s="1"/>
  <c r="GG1" i="34" s="1"/>
  <c r="GH1" i="34" s="1"/>
  <c r="GI1" i="34" s="1"/>
  <c r="GJ1" i="34" s="1"/>
  <c r="GK1" i="34" s="1"/>
  <c r="GL1" i="34" s="1"/>
  <c r="GM1" i="34" s="1"/>
  <c r="GN1" i="34" s="1"/>
  <c r="GO1" i="34" s="1"/>
  <c r="GP1" i="34" s="1"/>
  <c r="GQ1" i="34" s="1"/>
  <c r="GR1" i="34" s="1"/>
  <c r="GS1" i="34" s="1"/>
  <c r="GT1" i="34" s="1"/>
  <c r="GU1" i="34" s="1"/>
  <c r="GV1" i="34" s="1"/>
  <c r="GW1" i="34" s="1"/>
  <c r="GX1" i="34" s="1"/>
  <c r="GY1" i="34" s="1"/>
  <c r="GZ1" i="34" s="1"/>
  <c r="HA1" i="34" s="1"/>
  <c r="HB1" i="34" s="1"/>
  <c r="HC1" i="34" s="1"/>
  <c r="HD1" i="34" s="1"/>
  <c r="HE1" i="34" s="1"/>
  <c r="HF1" i="34" s="1"/>
  <c r="HG1" i="34" s="1"/>
  <c r="HH1" i="34" s="1"/>
  <c r="HI1" i="34" s="1"/>
  <c r="HJ1" i="34" s="1"/>
  <c r="HK1" i="34" s="1"/>
  <c r="HL1" i="34" s="1"/>
  <c r="HM1" i="34" s="1"/>
  <c r="HN1" i="34" s="1"/>
  <c r="HO1" i="34" s="1"/>
  <c r="HP1" i="34" s="1"/>
  <c r="HQ1" i="34" s="1"/>
  <c r="HR1" i="34" s="1"/>
  <c r="HS1" i="34" s="1"/>
  <c r="HT1" i="34" s="1"/>
  <c r="HU1" i="34" s="1"/>
  <c r="HV1" i="34" s="1"/>
  <c r="F244" i="24" l="1"/>
  <c r="D97" i="31" l="1"/>
  <c r="E97" i="31"/>
  <c r="E96" i="31" s="1"/>
  <c r="F97" i="31"/>
  <c r="G97" i="31"/>
  <c r="H97" i="31"/>
  <c r="I97" i="31"/>
  <c r="J97" i="31"/>
  <c r="K97" i="31"/>
  <c r="L97" i="31"/>
  <c r="M97" i="31"/>
  <c r="N97" i="31"/>
  <c r="O97" i="31"/>
  <c r="P97" i="31"/>
  <c r="Q97" i="31"/>
  <c r="R97" i="31"/>
  <c r="S97" i="31"/>
  <c r="T97" i="31"/>
  <c r="U97" i="31"/>
  <c r="V97" i="31"/>
  <c r="W97" i="31"/>
  <c r="X97" i="31"/>
  <c r="Y97" i="31"/>
  <c r="Z97" i="31"/>
  <c r="AA97" i="31"/>
  <c r="AB97" i="31"/>
  <c r="AC97" i="31"/>
  <c r="AD97" i="31"/>
  <c r="AE97" i="31"/>
  <c r="AF97" i="31"/>
  <c r="AG97" i="31"/>
  <c r="AH97" i="31"/>
  <c r="AI97" i="31"/>
  <c r="AJ97" i="31"/>
  <c r="AK97" i="31"/>
  <c r="AL97" i="31"/>
  <c r="AM97" i="31"/>
  <c r="AN97" i="31"/>
  <c r="AO97" i="31"/>
  <c r="AP97" i="31"/>
  <c r="AQ97" i="31"/>
  <c r="AR97" i="31"/>
  <c r="AS97" i="31"/>
  <c r="AT97" i="31"/>
  <c r="AU97" i="31"/>
  <c r="AV97" i="31"/>
  <c r="AW97" i="31"/>
  <c r="AX97" i="31"/>
  <c r="AY97" i="31"/>
  <c r="AZ97" i="31"/>
  <c r="BA97" i="31"/>
  <c r="BB97" i="31"/>
  <c r="BC97" i="31"/>
  <c r="BD97" i="31"/>
  <c r="BE97" i="31"/>
  <c r="BF97" i="31"/>
  <c r="BG97" i="31"/>
  <c r="BH97" i="31"/>
  <c r="BI97" i="31"/>
  <c r="BJ97" i="31"/>
  <c r="BK97" i="31"/>
  <c r="BL97" i="31"/>
  <c r="BM97" i="31"/>
  <c r="BN97" i="31"/>
  <c r="BO97" i="31"/>
  <c r="BP97" i="31"/>
  <c r="BQ97" i="31"/>
  <c r="BR97" i="31"/>
  <c r="BS97" i="31"/>
  <c r="BT97" i="31"/>
  <c r="BU97" i="31"/>
  <c r="BV97" i="31"/>
  <c r="BW97" i="31"/>
  <c r="BX97" i="31"/>
  <c r="BY97" i="31"/>
  <c r="BZ97" i="31"/>
  <c r="CA97" i="31"/>
  <c r="CB97" i="31"/>
  <c r="CC97" i="31"/>
  <c r="CD97" i="31"/>
  <c r="CE97" i="31"/>
  <c r="CF97" i="31"/>
  <c r="CG97" i="31"/>
  <c r="CH97" i="31"/>
  <c r="CI97" i="31"/>
  <c r="CJ97" i="31"/>
  <c r="CK97" i="31"/>
  <c r="CL97" i="31"/>
  <c r="CM97" i="31"/>
  <c r="CN97" i="31"/>
  <c r="CO97" i="31"/>
  <c r="CP97" i="31"/>
  <c r="CQ97" i="31"/>
  <c r="CR97" i="31"/>
  <c r="CS97" i="31"/>
  <c r="CT97" i="31"/>
  <c r="CU97" i="31"/>
  <c r="CV97" i="31"/>
  <c r="CW97" i="31"/>
  <c r="CX97" i="31"/>
  <c r="CY97" i="31"/>
  <c r="CZ97" i="31"/>
  <c r="DA97" i="31"/>
  <c r="DB97" i="31"/>
  <c r="DC97" i="31"/>
  <c r="DD97" i="31"/>
  <c r="DE97" i="31"/>
  <c r="DF97" i="31"/>
  <c r="DG97" i="31"/>
  <c r="DH97" i="31"/>
  <c r="DI97" i="31"/>
  <c r="DJ97" i="31"/>
  <c r="DK97" i="31"/>
  <c r="DL97" i="31"/>
  <c r="DM97" i="31"/>
  <c r="DN97" i="31"/>
  <c r="DO97" i="31"/>
  <c r="DP97" i="31"/>
  <c r="DQ97" i="31"/>
  <c r="DR97" i="31"/>
  <c r="DS97" i="31"/>
  <c r="DT97" i="31"/>
  <c r="DU97" i="31"/>
  <c r="DV97" i="31"/>
  <c r="DW97" i="31"/>
  <c r="DX97" i="31"/>
  <c r="DY97" i="31"/>
  <c r="DZ97" i="31"/>
  <c r="EA97" i="31"/>
  <c r="EB97" i="31"/>
  <c r="EC97" i="31"/>
  <c r="ED97" i="31"/>
  <c r="EE97" i="31"/>
  <c r="EF97" i="31"/>
  <c r="EG97" i="31"/>
  <c r="EH97" i="31"/>
  <c r="EI97" i="31"/>
  <c r="EJ97" i="31"/>
  <c r="EK97" i="31"/>
  <c r="EL97" i="31"/>
  <c r="EM97" i="31"/>
  <c r="EN97" i="31"/>
  <c r="EO97" i="31"/>
  <c r="EP97" i="31"/>
  <c r="EQ97" i="31"/>
  <c r="ER97" i="31"/>
  <c r="ES97" i="31"/>
  <c r="ET97" i="31"/>
  <c r="EU97" i="31"/>
  <c r="EV97" i="31"/>
  <c r="EW97" i="31"/>
  <c r="EX97" i="31"/>
  <c r="EY97" i="31"/>
  <c r="EZ97" i="31"/>
  <c r="FA97" i="31"/>
  <c r="FB97" i="31"/>
  <c r="FC97" i="31"/>
  <c r="FD97" i="31"/>
  <c r="FE97" i="31"/>
  <c r="FF97" i="31"/>
  <c r="FG97" i="31"/>
  <c r="FH97" i="31"/>
  <c r="FI97" i="31"/>
  <c r="FJ97" i="31"/>
  <c r="FK97" i="31"/>
  <c r="FL97" i="31"/>
  <c r="FM97" i="31"/>
  <c r="FN97" i="31"/>
  <c r="FO97" i="31"/>
  <c r="FP97" i="31"/>
  <c r="FQ97" i="31"/>
  <c r="FR97" i="31"/>
  <c r="FS97" i="31"/>
  <c r="FT97" i="31"/>
  <c r="FU97" i="31"/>
  <c r="FV97" i="31"/>
  <c r="FW97" i="31"/>
  <c r="FX97" i="31"/>
  <c r="FY97" i="31"/>
  <c r="FZ97" i="31"/>
  <c r="GA97" i="31"/>
  <c r="GB97" i="31"/>
  <c r="GC97" i="31"/>
  <c r="GD97" i="31"/>
  <c r="GE97" i="31"/>
  <c r="GF97" i="31"/>
  <c r="GG97" i="31"/>
  <c r="GH97" i="31"/>
  <c r="GI97" i="31"/>
  <c r="GJ97" i="31"/>
  <c r="GK97" i="31"/>
  <c r="GL97" i="31"/>
  <c r="GM97" i="31"/>
  <c r="GN97" i="31"/>
  <c r="GO97" i="31"/>
  <c r="GP97" i="31"/>
  <c r="GQ97" i="31"/>
  <c r="GR97" i="31"/>
  <c r="GS97" i="31"/>
  <c r="GT97" i="31"/>
  <c r="C97" i="31"/>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I97" i="10"/>
  <c r="AJ97" i="10"/>
  <c r="AK97" i="10"/>
  <c r="AL97" i="10"/>
  <c r="AM97" i="10"/>
  <c r="AN97" i="10"/>
  <c r="AO97" i="10"/>
  <c r="AP97" i="10"/>
  <c r="AQ97" i="10"/>
  <c r="AR97" i="10"/>
  <c r="AS97" i="10"/>
  <c r="AT97" i="10"/>
  <c r="AU97" i="10"/>
  <c r="AV97" i="10"/>
  <c r="AW97" i="10"/>
  <c r="AX97" i="10"/>
  <c r="AY97" i="10"/>
  <c r="AZ97" i="10"/>
  <c r="BA97" i="10"/>
  <c r="BB97" i="10"/>
  <c r="BC97" i="10"/>
  <c r="BD97" i="10"/>
  <c r="BE97" i="10"/>
  <c r="BF97" i="10"/>
  <c r="BG97" i="10"/>
  <c r="BH97" i="10"/>
  <c r="BI97" i="10"/>
  <c r="BJ97" i="10"/>
  <c r="BK97" i="10"/>
  <c r="BL97" i="10"/>
  <c r="BM97" i="10"/>
  <c r="BN97" i="10"/>
  <c r="BO97" i="10"/>
  <c r="BP97" i="10"/>
  <c r="BQ97" i="10"/>
  <c r="BR97" i="10"/>
  <c r="BS97" i="10"/>
  <c r="BT97" i="10"/>
  <c r="BU97" i="10"/>
  <c r="BV97" i="10"/>
  <c r="BW97" i="10"/>
  <c r="BX97" i="10"/>
  <c r="BY97" i="10"/>
  <c r="BZ97" i="10"/>
  <c r="CA97" i="10"/>
  <c r="CB97" i="10"/>
  <c r="CC97" i="10"/>
  <c r="CD97" i="10"/>
  <c r="CE97" i="10"/>
  <c r="CF97" i="10"/>
  <c r="CG97" i="10"/>
  <c r="CH97" i="10"/>
  <c r="CI97" i="10"/>
  <c r="CJ97" i="10"/>
  <c r="CK97" i="10"/>
  <c r="CL97" i="10"/>
  <c r="CM97" i="10"/>
  <c r="CN97" i="10"/>
  <c r="CO97" i="10"/>
  <c r="CP97" i="10"/>
  <c r="CQ97" i="10"/>
  <c r="CR97" i="10"/>
  <c r="CS97" i="10"/>
  <c r="CT97" i="10"/>
  <c r="CU97" i="10"/>
  <c r="CV97" i="10"/>
  <c r="CW97" i="10"/>
  <c r="CX97" i="10"/>
  <c r="CY97" i="10"/>
  <c r="CZ97" i="10"/>
  <c r="DA97" i="10"/>
  <c r="DB97" i="10"/>
  <c r="DC97" i="10"/>
  <c r="DD97" i="10"/>
  <c r="DE97" i="10"/>
  <c r="DF97" i="10"/>
  <c r="DG97" i="10"/>
  <c r="DH97" i="10"/>
  <c r="DI97" i="10"/>
  <c r="DJ97" i="10"/>
  <c r="DK97" i="10"/>
  <c r="DL97" i="10"/>
  <c r="DM97" i="10"/>
  <c r="DN97" i="10"/>
  <c r="DO97" i="10"/>
  <c r="DP97" i="10"/>
  <c r="DQ97" i="10"/>
  <c r="DR97" i="10"/>
  <c r="DS97" i="10"/>
  <c r="DT97" i="10"/>
  <c r="DU97" i="10"/>
  <c r="DV97" i="10"/>
  <c r="DW97" i="10"/>
  <c r="DX97" i="10"/>
  <c r="DY97" i="10"/>
  <c r="DZ97" i="10"/>
  <c r="EA97" i="10"/>
  <c r="EB97" i="10"/>
  <c r="EC97" i="10"/>
  <c r="ED97" i="10"/>
  <c r="EE97" i="10"/>
  <c r="EF97" i="10"/>
  <c r="EG97" i="10"/>
  <c r="EH97" i="10"/>
  <c r="EI97" i="10"/>
  <c r="EJ97" i="10"/>
  <c r="EK97" i="10"/>
  <c r="EL97" i="10"/>
  <c r="EM97" i="10"/>
  <c r="EN97" i="10"/>
  <c r="EO97" i="10"/>
  <c r="EP97" i="10"/>
  <c r="EQ97" i="10"/>
  <c r="ER97" i="10"/>
  <c r="ES97" i="10"/>
  <c r="ET97" i="10"/>
  <c r="EU97" i="10"/>
  <c r="EV97" i="10"/>
  <c r="EW97" i="10"/>
  <c r="EX97" i="10"/>
  <c r="EY97" i="10"/>
  <c r="EZ97" i="10"/>
  <c r="FA97" i="10"/>
  <c r="FB97" i="10"/>
  <c r="FC97" i="10"/>
  <c r="FD97" i="10"/>
  <c r="FE97" i="10"/>
  <c r="FF97" i="10"/>
  <c r="FG97" i="10"/>
  <c r="FH97" i="10"/>
  <c r="FI97" i="10"/>
  <c r="FJ97" i="10"/>
  <c r="FK97" i="10"/>
  <c r="FL97" i="10"/>
  <c r="FM97" i="10"/>
  <c r="FN97" i="10"/>
  <c r="FO97" i="10"/>
  <c r="FP97" i="10"/>
  <c r="FQ97" i="10"/>
  <c r="FR97" i="10"/>
  <c r="FS97" i="10"/>
  <c r="FT97" i="10"/>
  <c r="FU97" i="10"/>
  <c r="FV97" i="10"/>
  <c r="FW97" i="10"/>
  <c r="FX97" i="10"/>
  <c r="FY97" i="10"/>
  <c r="FZ97" i="10"/>
  <c r="GA97" i="10"/>
  <c r="GB97" i="10"/>
  <c r="GC97" i="10"/>
  <c r="GD97" i="10"/>
  <c r="GE97" i="10"/>
  <c r="GF97" i="10"/>
  <c r="GG97" i="10"/>
  <c r="GH97" i="10"/>
  <c r="GI97" i="10"/>
  <c r="GJ97" i="10"/>
  <c r="GK97" i="10"/>
  <c r="GL97" i="10"/>
  <c r="GM97" i="10"/>
  <c r="GN97" i="10"/>
  <c r="GO97" i="10"/>
  <c r="GP97" i="10"/>
  <c r="GQ97" i="10"/>
  <c r="GR97" i="10"/>
  <c r="GS97" i="10"/>
  <c r="GT97" i="10"/>
  <c r="C97" i="10"/>
  <c r="D100" i="10" l="1"/>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C100" i="10"/>
  <c r="AD100" i="10"/>
  <c r="AE100" i="10"/>
  <c r="AF100" i="10"/>
  <c r="AG100" i="10"/>
  <c r="AH100" i="10"/>
  <c r="AI100" i="10"/>
  <c r="AK100" i="10"/>
  <c r="AL100" i="10"/>
  <c r="AM100" i="10"/>
  <c r="AN100" i="10"/>
  <c r="AO100" i="10"/>
  <c r="AP100" i="10"/>
  <c r="AQ100" i="10"/>
  <c r="AR100" i="10"/>
  <c r="AS100" i="10"/>
  <c r="AT100" i="10"/>
  <c r="AU100" i="10"/>
  <c r="AV100" i="10"/>
  <c r="AW100" i="10"/>
  <c r="AX100" i="10"/>
  <c r="AY100" i="10"/>
  <c r="AZ100" i="10"/>
  <c r="BA100" i="10"/>
  <c r="BB100" i="10"/>
  <c r="BC100" i="10"/>
  <c r="BD100" i="10"/>
  <c r="BE100" i="10"/>
  <c r="BF100" i="10"/>
  <c r="BG100" i="10"/>
  <c r="BH100" i="10"/>
  <c r="BI100" i="10"/>
  <c r="BJ100" i="10"/>
  <c r="BK100" i="10"/>
  <c r="BL100" i="10"/>
  <c r="BM100" i="10"/>
  <c r="BN100" i="10"/>
  <c r="BO100" i="10"/>
  <c r="BP100" i="10"/>
  <c r="BQ100" i="10"/>
  <c r="BR100" i="10"/>
  <c r="BS100" i="10"/>
  <c r="BT100" i="10"/>
  <c r="BU100" i="10"/>
  <c r="BV100" i="10"/>
  <c r="BW100" i="10"/>
  <c r="BX100" i="10"/>
  <c r="BY100" i="10"/>
  <c r="BZ100" i="10"/>
  <c r="CA100" i="10"/>
  <c r="CB100" i="10"/>
  <c r="CC100" i="10"/>
  <c r="CD100" i="10"/>
  <c r="CE100" i="10"/>
  <c r="CF100" i="10"/>
  <c r="CG100" i="10"/>
  <c r="CH100" i="10"/>
  <c r="CI100" i="10"/>
  <c r="CJ100" i="10"/>
  <c r="CK100" i="10"/>
  <c r="CL100" i="10"/>
  <c r="CM100" i="10"/>
  <c r="CN100" i="10"/>
  <c r="CO100" i="10"/>
  <c r="CP100" i="10"/>
  <c r="CQ100" i="10"/>
  <c r="CR100" i="10"/>
  <c r="CS100" i="10"/>
  <c r="CT100" i="10"/>
  <c r="CU100" i="10"/>
  <c r="CV100" i="10"/>
  <c r="CW100" i="10"/>
  <c r="CX100" i="10"/>
  <c r="CY100" i="10"/>
  <c r="CZ100" i="10"/>
  <c r="DA100" i="10"/>
  <c r="DB100" i="10"/>
  <c r="DC100" i="10"/>
  <c r="DD100" i="10"/>
  <c r="DE100" i="10"/>
  <c r="DF100" i="10"/>
  <c r="DG100" i="10"/>
  <c r="DH100" i="10"/>
  <c r="DI100" i="10"/>
  <c r="DJ100" i="10"/>
  <c r="DK100" i="10"/>
  <c r="DL100" i="10"/>
  <c r="DM100" i="10"/>
  <c r="DN100" i="10"/>
  <c r="DO100" i="10"/>
  <c r="DP100" i="10"/>
  <c r="DQ100" i="10"/>
  <c r="DR100" i="10"/>
  <c r="DS100" i="10"/>
  <c r="DT100" i="10"/>
  <c r="DU100" i="10"/>
  <c r="DV100" i="10"/>
  <c r="DW100" i="10"/>
  <c r="DX100" i="10"/>
  <c r="DY100" i="10"/>
  <c r="DZ100" i="10"/>
  <c r="EA100" i="10"/>
  <c r="EB100" i="10"/>
  <c r="EC100" i="10"/>
  <c r="ED100" i="10"/>
  <c r="EE100" i="10"/>
  <c r="EF100" i="10"/>
  <c r="EG100" i="10"/>
  <c r="EH100" i="10"/>
  <c r="EI100" i="10"/>
  <c r="EJ100" i="10"/>
  <c r="EK100" i="10"/>
  <c r="EL100" i="10"/>
  <c r="EM100" i="10"/>
  <c r="EN100" i="10"/>
  <c r="EO100" i="10"/>
  <c r="EP100" i="10"/>
  <c r="EQ100" i="10"/>
  <c r="ER100" i="10"/>
  <c r="ES100" i="10"/>
  <c r="ET100" i="10"/>
  <c r="EU100" i="10"/>
  <c r="EV100" i="10"/>
  <c r="EW100" i="10"/>
  <c r="EX100" i="10"/>
  <c r="EY100" i="10"/>
  <c r="EZ100" i="10"/>
  <c r="FA100" i="10"/>
  <c r="FB100" i="10"/>
  <c r="FC100" i="10"/>
  <c r="FD100" i="10"/>
  <c r="FE100" i="10"/>
  <c r="FF100" i="10"/>
  <c r="FG100" i="10"/>
  <c r="FH100" i="10"/>
  <c r="FI100" i="10"/>
  <c r="FJ100" i="10"/>
  <c r="FK100" i="10"/>
  <c r="FL100" i="10"/>
  <c r="FM100" i="10"/>
  <c r="FN100" i="10"/>
  <c r="FO100" i="10"/>
  <c r="FP100" i="10"/>
  <c r="FQ100" i="10"/>
  <c r="FR100" i="10"/>
  <c r="FS100" i="10"/>
  <c r="FT100" i="10"/>
  <c r="FU100" i="10"/>
  <c r="FV100" i="10"/>
  <c r="FW100" i="10"/>
  <c r="FX100" i="10"/>
  <c r="FY100" i="10"/>
  <c r="FZ100" i="10"/>
  <c r="GA100" i="10"/>
  <c r="GB100" i="10"/>
  <c r="GC100" i="10"/>
  <c r="GD100" i="10"/>
  <c r="GE100" i="10"/>
  <c r="GF100" i="10"/>
  <c r="GG100" i="10"/>
  <c r="GH100" i="10"/>
  <c r="GI100" i="10"/>
  <c r="GJ100" i="10"/>
  <c r="GK100" i="10"/>
  <c r="GL100" i="10"/>
  <c r="GM100" i="10"/>
  <c r="GN100" i="10"/>
  <c r="GO100" i="10"/>
  <c r="GP100" i="10"/>
  <c r="GQ100" i="10"/>
  <c r="GR100" i="10"/>
  <c r="GS100" i="10"/>
  <c r="GT100" i="10"/>
  <c r="AT14" i="28" l="1"/>
  <c r="AS14" i="28"/>
  <c r="AR14" i="28"/>
  <c r="AQ14" i="28"/>
  <c r="AP14" i="28"/>
  <c r="AO14" i="28"/>
  <c r="AN14" i="28"/>
  <c r="AM14" i="28"/>
  <c r="AL14" i="28"/>
  <c r="AL5" i="28" s="1"/>
  <c r="AK14" i="28"/>
  <c r="AJ14" i="28"/>
  <c r="AI14" i="28"/>
  <c r="AG14" i="28"/>
  <c r="AF14" i="28"/>
  <c r="AE14" i="28"/>
  <c r="AE5" i="28" s="1"/>
  <c r="AD14" i="28"/>
  <c r="AC14" i="28"/>
  <c r="AB14" i="28"/>
  <c r="AA14" i="28"/>
  <c r="Z14" i="28"/>
  <c r="Y14" i="28"/>
  <c r="X14" i="28"/>
  <c r="W14" i="28"/>
  <c r="V14" i="28"/>
  <c r="AT7" i="28"/>
  <c r="AT5" i="28" s="1"/>
  <c r="AS7" i="28"/>
  <c r="AS5" i="28" s="1"/>
  <c r="AR7" i="28"/>
  <c r="AQ7" i="28"/>
  <c r="AP7" i="28"/>
  <c r="AP5" i="28" s="1"/>
  <c r="AO7" i="28"/>
  <c r="AN7" i="28"/>
  <c r="AN5" i="28" s="1"/>
  <c r="AM7" i="28"/>
  <c r="AM5" i="28" s="1"/>
  <c r="AL7" i="28"/>
  <c r="AK7" i="28"/>
  <c r="AJ7" i="28"/>
  <c r="AI7" i="28"/>
  <c r="W7" i="28"/>
  <c r="X7" i="28"/>
  <c r="X5" i="28" s="1"/>
  <c r="Y7" i="28"/>
  <c r="Z7" i="28"/>
  <c r="AA7" i="28"/>
  <c r="AB7" i="28"/>
  <c r="AC7" i="28"/>
  <c r="AC5" i="28" s="1"/>
  <c r="AD7" i="28"/>
  <c r="AE7" i="28"/>
  <c r="AF7" i="28"/>
  <c r="AF5" i="28" s="1"/>
  <c r="AG7" i="28"/>
  <c r="AG5" i="28" s="1"/>
  <c r="V7" i="28"/>
  <c r="V5" i="28" s="1"/>
  <c r="AH17" i="28"/>
  <c r="AH16" i="28"/>
  <c r="AH15" i="28"/>
  <c r="AH11" i="28"/>
  <c r="AH10" i="28"/>
  <c r="AH9" i="28"/>
  <c r="AH8" i="28"/>
  <c r="U17" i="28"/>
  <c r="U16" i="28"/>
  <c r="U15" i="28"/>
  <c r="U11" i="28"/>
  <c r="U10" i="28"/>
  <c r="U9" i="28"/>
  <c r="U8" i="28"/>
  <c r="Y5" i="28" l="1"/>
  <c r="W5" i="28"/>
  <c r="AJ5" i="28"/>
  <c r="AK5" i="28"/>
  <c r="AH14" i="28"/>
  <c r="AH7" i="28"/>
  <c r="Z5" i="28"/>
  <c r="AA5" i="28"/>
  <c r="AD5" i="28"/>
  <c r="AQ5" i="28"/>
  <c r="AR5" i="28"/>
  <c r="AB5" i="28"/>
  <c r="AI5" i="28"/>
  <c r="AO5" i="28"/>
  <c r="U14" i="28"/>
  <c r="U7" i="28"/>
  <c r="T7" i="28" s="1"/>
  <c r="T17" i="28"/>
  <c r="T16" i="28"/>
  <c r="T15" i="28"/>
  <c r="T11" i="28"/>
  <c r="T10" i="28"/>
  <c r="T9" i="28"/>
  <c r="T8" i="28"/>
  <c r="U5" i="28" l="1"/>
  <c r="T14" i="28"/>
  <c r="AH5" i="28"/>
  <c r="T5" i="28" s="1"/>
  <c r="K3" i="28"/>
  <c r="L3" i="28" s="1"/>
  <c r="H13" i="28"/>
  <c r="I13" i="28" s="1"/>
  <c r="H14" i="28"/>
  <c r="I14" i="28" s="1"/>
  <c r="H12" i="28"/>
  <c r="I12" i="28" s="1"/>
  <c r="H7" i="28"/>
  <c r="I7" i="28" s="1"/>
  <c r="H8" i="28"/>
  <c r="I8" i="28" s="1"/>
  <c r="H9" i="28"/>
  <c r="I9" i="28" s="1"/>
  <c r="H6" i="28"/>
  <c r="I6" i="28" s="1"/>
  <c r="A13" i="28"/>
  <c r="B13" i="28" s="1"/>
  <c r="S16" i="28" s="1"/>
  <c r="A14" i="28"/>
  <c r="B14" i="28" s="1"/>
  <c r="S17" i="28" s="1"/>
  <c r="A12" i="28"/>
  <c r="B12" i="28" s="1"/>
  <c r="S15" i="28" s="1"/>
  <c r="A7" i="28"/>
  <c r="B7" i="28" s="1"/>
  <c r="S9" i="28" s="1"/>
  <c r="A8" i="28"/>
  <c r="B8" i="28" s="1"/>
  <c r="S10" i="28" s="1"/>
  <c r="A9" i="28"/>
  <c r="B9" i="28" s="1"/>
  <c r="S11" i="28" s="1"/>
  <c r="A6" i="28"/>
  <c r="B6" i="28" s="1"/>
  <c r="S8" i="28" s="1"/>
  <c r="M3" i="28" l="1"/>
  <c r="N3" i="28" l="1"/>
  <c r="A95" i="31"/>
  <c r="A94" i="31"/>
  <c r="A93" i="31"/>
  <c r="A92" i="31"/>
  <c r="O3" i="28" l="1"/>
  <c r="A101" i="31"/>
  <c r="C100" i="31" l="1"/>
  <c r="H100" i="31"/>
  <c r="P3" i="28"/>
  <c r="A103" i="31"/>
  <c r="A104" i="31"/>
  <c r="A105" i="31"/>
  <c r="A106" i="31"/>
  <c r="A107" i="31"/>
  <c r="A108" i="31"/>
  <c r="GO100" i="31" l="1"/>
  <c r="EX100" i="31"/>
  <c r="BC100" i="31"/>
  <c r="EG100" i="31"/>
  <c r="DK100" i="31"/>
  <c r="I100" i="31"/>
  <c r="FT100" i="31"/>
  <c r="Z100" i="31"/>
  <c r="D100" i="31"/>
  <c r="GJ100" i="31"/>
  <c r="EU100" i="31"/>
  <c r="AV100" i="31"/>
  <c r="ET100" i="31"/>
  <c r="GM100" i="31"/>
  <c r="CE100" i="31"/>
  <c r="CH100" i="31"/>
  <c r="EF100" i="31"/>
  <c r="V100" i="31"/>
  <c r="CL100" i="31"/>
  <c r="DO100" i="31"/>
  <c r="GF100" i="31"/>
  <c r="EP100" i="31"/>
  <c r="CD100" i="31"/>
  <c r="R100" i="31"/>
  <c r="CS100" i="31"/>
  <c r="FW100" i="31"/>
  <c r="FL100" i="31"/>
  <c r="AN100" i="31"/>
  <c r="GC100" i="31"/>
  <c r="DH100" i="31"/>
  <c r="DG100" i="31"/>
  <c r="AU100" i="31"/>
  <c r="AY100" i="31"/>
  <c r="EV100" i="31"/>
  <c r="EE100" i="31"/>
  <c r="EL100" i="31"/>
  <c r="BZ100" i="31"/>
  <c r="N100" i="31"/>
  <c r="FY100" i="31"/>
  <c r="CG100" i="31"/>
  <c r="U100" i="31"/>
  <c r="K100" i="31"/>
  <c r="FX100" i="31"/>
  <c r="DL100" i="31"/>
  <c r="AZ100" i="31"/>
  <c r="DT100" i="31"/>
  <c r="EH100" i="31"/>
  <c r="BV100" i="31"/>
  <c r="J100" i="31"/>
  <c r="BM100" i="31"/>
  <c r="DS100" i="31"/>
  <c r="EN100" i="31"/>
  <c r="AF100" i="31"/>
  <c r="EW100" i="31"/>
  <c r="CB100" i="31"/>
  <c r="CY100" i="31"/>
  <c r="AM100" i="31"/>
  <c r="GK100" i="31"/>
  <c r="DX100" i="31"/>
  <c r="GP100" i="31"/>
  <c r="ED100" i="31"/>
  <c r="BR100" i="31"/>
  <c r="F100" i="31"/>
  <c r="FI100" i="31"/>
  <c r="BY100" i="31"/>
  <c r="M100" i="31"/>
  <c r="GG100" i="31"/>
  <c r="FP100" i="31"/>
  <c r="DD100" i="31"/>
  <c r="AR100" i="31"/>
  <c r="BH100" i="31"/>
  <c r="GL100" i="31"/>
  <c r="DZ100" i="31"/>
  <c r="BN100" i="31"/>
  <c r="AW100" i="31"/>
  <c r="BO100" i="31"/>
  <c r="DP100" i="31"/>
  <c r="X100" i="31"/>
  <c r="DQ100" i="31"/>
  <c r="GI100" i="31"/>
  <c r="CQ100" i="31"/>
  <c r="AE100" i="31"/>
  <c r="FE100" i="31"/>
  <c r="CZ100" i="31"/>
  <c r="GH100" i="31"/>
  <c r="DV100" i="31"/>
  <c r="BJ100" i="31"/>
  <c r="FG100" i="31"/>
  <c r="ES100" i="31"/>
  <c r="BQ100" i="31"/>
  <c r="E100" i="31"/>
  <c r="E109" i="31" s="1"/>
  <c r="FQ100" i="31"/>
  <c r="FH100" i="31"/>
  <c r="CV100" i="31"/>
  <c r="AJ100" i="31"/>
  <c r="AC100" i="31"/>
  <c r="GT100" i="31"/>
  <c r="DR100" i="31"/>
  <c r="BF100" i="31"/>
  <c r="EQ100" i="31"/>
  <c r="AO100" i="31"/>
  <c r="FU100" i="31"/>
  <c r="CR100" i="31"/>
  <c r="P100" i="31"/>
  <c r="CK100" i="31"/>
  <c r="FS100" i="31"/>
  <c r="CI100" i="31"/>
  <c r="W100" i="31"/>
  <c r="DY100" i="31"/>
  <c r="CJ100" i="31"/>
  <c r="FZ100" i="31"/>
  <c r="DN100" i="31"/>
  <c r="BB100" i="31"/>
  <c r="DC100" i="31"/>
  <c r="EC100" i="31"/>
  <c r="BI100" i="31"/>
  <c r="EY100" i="31"/>
  <c r="FA100" i="31"/>
  <c r="EZ100" i="31"/>
  <c r="CN100" i="31"/>
  <c r="AB100" i="31"/>
  <c r="CO100" i="31"/>
  <c r="EA100" i="31"/>
  <c r="GD100" i="31"/>
  <c r="FV100" i="31"/>
  <c r="DJ100" i="31"/>
  <c r="AX100" i="31"/>
  <c r="CM100" i="31"/>
  <c r="AG100" i="31"/>
  <c r="EO100" i="31"/>
  <c r="BT100" i="31"/>
  <c r="BE100" i="31"/>
  <c r="FC100" i="31"/>
  <c r="CA100" i="31"/>
  <c r="O100" i="31"/>
  <c r="DA100" i="31"/>
  <c r="GQ100" i="31"/>
  <c r="FR100" i="31"/>
  <c r="DF100" i="31"/>
  <c r="AT100" i="31"/>
  <c r="BW100" i="31"/>
  <c r="DM100" i="31"/>
  <c r="BA100" i="31"/>
  <c r="CU100" i="31"/>
  <c r="EK100" i="31"/>
  <c r="ER100" i="31"/>
  <c r="CF100" i="31"/>
  <c r="T100" i="31"/>
  <c r="AA100" i="31"/>
  <c r="FN100" i="31"/>
  <c r="DB100" i="31"/>
  <c r="AP100" i="31"/>
  <c r="GS100" i="31"/>
  <c r="Y100" i="31"/>
  <c r="DI100" i="31"/>
  <c r="BL100" i="31"/>
  <c r="GE100" i="31"/>
  <c r="GB100" i="31"/>
  <c r="EM100" i="31"/>
  <c r="BS100" i="31"/>
  <c r="G100" i="31"/>
  <c r="CC100" i="31"/>
  <c r="GA100" i="31"/>
  <c r="FJ100" i="31"/>
  <c r="CX100" i="31"/>
  <c r="AL100" i="31"/>
  <c r="AQ100" i="31"/>
  <c r="DE100" i="31"/>
  <c r="AS100" i="31"/>
  <c r="BG100" i="31"/>
  <c r="DU100" i="31"/>
  <c r="EJ100" i="31"/>
  <c r="BX100" i="31"/>
  <c r="L100" i="31"/>
  <c r="FF100" i="31"/>
  <c r="CT100" i="31"/>
  <c r="AH100" i="31"/>
  <c r="FM100" i="31"/>
  <c r="Q100" i="31"/>
  <c r="BU100" i="31"/>
  <c r="BD100" i="31"/>
  <c r="EI100" i="31"/>
  <c r="FD100" i="31"/>
  <c r="DW100" i="31"/>
  <c r="BK100" i="31"/>
  <c r="FO100" i="31"/>
  <c r="GR100" i="31"/>
  <c r="FK100" i="31"/>
  <c r="FB100" i="31"/>
  <c r="CP100" i="31"/>
  <c r="AD100" i="31"/>
  <c r="S100" i="31"/>
  <c r="CW100" i="31"/>
  <c r="AK100" i="31"/>
  <c r="AI100" i="31"/>
  <c r="GN100" i="31"/>
  <c r="EB100" i="31"/>
  <c r="BP100" i="31"/>
  <c r="C47" i="24"/>
  <c r="D47" i="24"/>
  <c r="E47" i="24"/>
  <c r="F47" i="24"/>
  <c r="G47" i="24"/>
  <c r="H47" i="24"/>
  <c r="I47" i="24"/>
  <c r="J47" i="24"/>
  <c r="K47" i="24"/>
  <c r="L47" i="24"/>
  <c r="M47" i="24"/>
  <c r="N47" i="24"/>
  <c r="O47" i="24"/>
  <c r="P47" i="24"/>
  <c r="Q47" i="24"/>
  <c r="R47" i="24"/>
  <c r="S47" i="24"/>
  <c r="T47" i="24"/>
  <c r="U47" i="24"/>
  <c r="V47" i="24"/>
  <c r="W47" i="24"/>
  <c r="X47" i="24"/>
  <c r="Y47" i="24"/>
  <c r="Z47" i="24"/>
  <c r="AA47" i="24"/>
  <c r="AB47" i="24"/>
  <c r="AC47" i="24"/>
  <c r="AD47" i="24"/>
  <c r="AE47" i="24"/>
  <c r="AF47" i="24"/>
  <c r="AG47" i="24"/>
  <c r="AH47" i="24"/>
  <c r="AI47" i="24"/>
  <c r="AJ47" i="24"/>
  <c r="AK47" i="24"/>
  <c r="AL47" i="24"/>
  <c r="AM47" i="24"/>
  <c r="AN47" i="24"/>
  <c r="AO47" i="24"/>
  <c r="AP47" i="24"/>
  <c r="AQ47" i="24"/>
  <c r="AR47" i="24"/>
  <c r="AS47" i="24"/>
  <c r="AT47" i="24"/>
  <c r="AU47" i="24"/>
  <c r="AV47" i="24"/>
  <c r="AW47" i="24"/>
  <c r="AX47" i="24"/>
  <c r="AY47" i="24"/>
  <c r="AZ47" i="24"/>
  <c r="BA47" i="24"/>
  <c r="BB47" i="24"/>
  <c r="BC47" i="24"/>
  <c r="BD47" i="24"/>
  <c r="BE47" i="24"/>
  <c r="BF47" i="24"/>
  <c r="BG47" i="24"/>
  <c r="BH47" i="24"/>
  <c r="BI47" i="24"/>
  <c r="BJ47" i="24"/>
  <c r="BK47" i="24"/>
  <c r="BL47" i="24"/>
  <c r="BM47" i="24"/>
  <c r="BN47" i="24"/>
  <c r="BO47" i="24"/>
  <c r="BP47" i="24"/>
  <c r="BQ47" i="24"/>
  <c r="BR47" i="24"/>
  <c r="BS47" i="24"/>
  <c r="BT47" i="24"/>
  <c r="BU47" i="24"/>
  <c r="BV47" i="24"/>
  <c r="BW47" i="24"/>
  <c r="BX47" i="24"/>
  <c r="BY47" i="24"/>
  <c r="BZ47" i="24"/>
  <c r="CA47" i="24"/>
  <c r="CB47" i="24"/>
  <c r="CC47" i="24"/>
  <c r="CD47" i="24"/>
  <c r="CE47" i="24"/>
  <c r="CF47" i="24"/>
  <c r="CG47" i="24"/>
  <c r="CH47" i="24"/>
  <c r="CI47" i="24"/>
  <c r="CJ47" i="24"/>
  <c r="CK47" i="24"/>
  <c r="CL47" i="24"/>
  <c r="CM47" i="24"/>
  <c r="CN47" i="24"/>
  <c r="CO47" i="24"/>
  <c r="CP47" i="24"/>
  <c r="CQ47" i="24"/>
  <c r="CR47" i="24"/>
  <c r="CS47" i="24"/>
  <c r="CT47" i="24"/>
  <c r="CU47" i="24"/>
  <c r="CV47" i="24"/>
  <c r="CW47" i="24"/>
  <c r="CX47" i="24"/>
  <c r="CY47" i="24"/>
  <c r="CZ47" i="24"/>
  <c r="DA47" i="24"/>
  <c r="DB47" i="24"/>
  <c r="DC47" i="24"/>
  <c r="DD47" i="24"/>
  <c r="DE47" i="24"/>
  <c r="DF47" i="24"/>
  <c r="DG47" i="24"/>
  <c r="DH47" i="24"/>
  <c r="DI47" i="24"/>
  <c r="DJ47" i="24"/>
  <c r="DK47" i="24"/>
  <c r="DL47" i="24"/>
  <c r="DM47" i="24"/>
  <c r="DN47" i="24"/>
  <c r="DO47" i="24"/>
  <c r="DP47" i="24"/>
  <c r="DQ47" i="24"/>
  <c r="DR47" i="24"/>
  <c r="DS47" i="24"/>
  <c r="DT47" i="24"/>
  <c r="DU47" i="24"/>
  <c r="DV47" i="24"/>
  <c r="DW47" i="24"/>
  <c r="DX47" i="24"/>
  <c r="DY47" i="24"/>
  <c r="DZ47" i="24"/>
  <c r="EA47" i="24"/>
  <c r="EB47" i="24"/>
  <c r="EC47" i="24"/>
  <c r="ED47" i="24"/>
  <c r="EE47" i="24"/>
  <c r="EF47" i="24"/>
  <c r="EG47" i="24"/>
  <c r="EH47" i="24"/>
  <c r="EI47" i="24"/>
  <c r="EJ47" i="24"/>
  <c r="EK47" i="24"/>
  <c r="EL47" i="24"/>
  <c r="EM47" i="24"/>
  <c r="EN47" i="24"/>
  <c r="EO47" i="24"/>
  <c r="EP47" i="24"/>
  <c r="EQ47" i="24"/>
  <c r="ER47" i="24"/>
  <c r="ES47" i="24"/>
  <c r="ET47" i="24"/>
  <c r="EU47" i="24"/>
  <c r="EV47" i="24"/>
  <c r="EW47" i="24"/>
  <c r="EX47" i="24"/>
  <c r="EY47" i="24"/>
  <c r="EZ47" i="24"/>
  <c r="FA47" i="24"/>
  <c r="FB47" i="24"/>
  <c r="FC47" i="24"/>
  <c r="FD47" i="24"/>
  <c r="FE47" i="24"/>
  <c r="FF47" i="24"/>
  <c r="FG47" i="24"/>
  <c r="FH47" i="24"/>
  <c r="FI47" i="24"/>
  <c r="FJ47" i="24"/>
  <c r="FK47" i="24"/>
  <c r="FL47" i="24"/>
  <c r="FM47" i="24"/>
  <c r="FN47" i="24"/>
  <c r="FO47" i="24"/>
  <c r="FP47" i="24"/>
  <c r="FQ47" i="24"/>
  <c r="FR47" i="24"/>
  <c r="FS47" i="24"/>
  <c r="FT47" i="24"/>
  <c r="FU47" i="24"/>
  <c r="FV47" i="24"/>
  <c r="FW47" i="24"/>
  <c r="FX47" i="24"/>
  <c r="FY47" i="24"/>
  <c r="FZ47" i="24"/>
  <c r="GA47" i="24"/>
  <c r="GB47" i="24"/>
  <c r="GC47" i="24"/>
  <c r="GD47" i="24"/>
  <c r="GE47" i="24"/>
  <c r="GF47" i="24"/>
  <c r="GG47" i="24"/>
  <c r="GH47" i="24"/>
  <c r="GI47" i="24"/>
  <c r="GJ47" i="24"/>
  <c r="GK47" i="24"/>
  <c r="GL47" i="24"/>
  <c r="GM47" i="24"/>
  <c r="GN47" i="24"/>
  <c r="GO47" i="24"/>
  <c r="GP47" i="24"/>
  <c r="GQ47" i="24"/>
  <c r="GR47" i="24"/>
  <c r="GS47" i="24"/>
  <c r="GT47" i="24"/>
  <c r="B47" i="24"/>
  <c r="D31" i="24"/>
  <c r="E31" i="24"/>
  <c r="F31" i="24"/>
  <c r="G31" i="24"/>
  <c r="H31" i="24"/>
  <c r="I31" i="24"/>
  <c r="J31" i="24"/>
  <c r="K31" i="24"/>
  <c r="L31" i="24"/>
  <c r="M31" i="24"/>
  <c r="N31" i="24"/>
  <c r="O31" i="24"/>
  <c r="P31" i="24"/>
  <c r="Q31" i="24"/>
  <c r="R31" i="24"/>
  <c r="S31" i="24"/>
  <c r="T31" i="24"/>
  <c r="U31" i="24"/>
  <c r="V31" i="24"/>
  <c r="W31" i="24"/>
  <c r="X31" i="24"/>
  <c r="Y31" i="24"/>
  <c r="Z31" i="24"/>
  <c r="AA31" i="24"/>
  <c r="AB31" i="24"/>
  <c r="AC31" i="24"/>
  <c r="AD31" i="24"/>
  <c r="AE31" i="24"/>
  <c r="AF31" i="24"/>
  <c r="AG31" i="24"/>
  <c r="AH31" i="24"/>
  <c r="AI31" i="24"/>
  <c r="AJ31" i="24"/>
  <c r="AK31" i="24"/>
  <c r="AL31" i="24"/>
  <c r="AM31" i="24"/>
  <c r="AN31" i="24"/>
  <c r="AO31" i="24"/>
  <c r="AP31" i="24"/>
  <c r="AQ31" i="24"/>
  <c r="AR31" i="24"/>
  <c r="AS31" i="24"/>
  <c r="AT31" i="24"/>
  <c r="AU31" i="24"/>
  <c r="AV31" i="24"/>
  <c r="AW31" i="24"/>
  <c r="AX31" i="24"/>
  <c r="AY31" i="24"/>
  <c r="AZ31" i="24"/>
  <c r="BA31" i="24"/>
  <c r="BB31" i="24"/>
  <c r="BC31" i="24"/>
  <c r="BD31" i="24"/>
  <c r="BE31" i="24"/>
  <c r="BF31" i="24"/>
  <c r="BG31" i="24"/>
  <c r="BH31" i="24"/>
  <c r="BI31" i="24"/>
  <c r="BJ31" i="24"/>
  <c r="BK31" i="24"/>
  <c r="BL31" i="24"/>
  <c r="BM31" i="24"/>
  <c r="BN31" i="24"/>
  <c r="BO31" i="24"/>
  <c r="BP31" i="24"/>
  <c r="BQ31" i="24"/>
  <c r="BR31" i="24"/>
  <c r="BS31" i="24"/>
  <c r="BT31" i="24"/>
  <c r="BU31" i="24"/>
  <c r="BV31" i="24"/>
  <c r="BW31" i="24"/>
  <c r="BX31" i="24"/>
  <c r="BY31" i="24"/>
  <c r="BZ31" i="24"/>
  <c r="CA31" i="24"/>
  <c r="CB31" i="24"/>
  <c r="CC31" i="24"/>
  <c r="CD31" i="24"/>
  <c r="CE31" i="24"/>
  <c r="CF31" i="24"/>
  <c r="CG31" i="24"/>
  <c r="CH31" i="24"/>
  <c r="CI31" i="24"/>
  <c r="CJ31" i="24"/>
  <c r="CK31" i="24"/>
  <c r="CL31" i="24"/>
  <c r="CM31" i="24"/>
  <c r="CN31" i="24"/>
  <c r="CO31" i="24"/>
  <c r="CP31" i="24"/>
  <c r="CQ31" i="24"/>
  <c r="CR31" i="24"/>
  <c r="CS31" i="24"/>
  <c r="CT31" i="24"/>
  <c r="CU31" i="24"/>
  <c r="CV31" i="24"/>
  <c r="CW31" i="24"/>
  <c r="CX31" i="24"/>
  <c r="CY31" i="24"/>
  <c r="CZ31" i="24"/>
  <c r="DA31" i="24"/>
  <c r="DB31" i="24"/>
  <c r="DC31" i="24"/>
  <c r="DD31" i="24"/>
  <c r="DE31" i="24"/>
  <c r="DF31" i="24"/>
  <c r="DG31" i="24"/>
  <c r="DH31" i="24"/>
  <c r="DI31" i="24"/>
  <c r="DJ31" i="24"/>
  <c r="DK31" i="24"/>
  <c r="DL31" i="24"/>
  <c r="DM31" i="24"/>
  <c r="DN31" i="24"/>
  <c r="DO31" i="24"/>
  <c r="DP31" i="24"/>
  <c r="DQ31" i="24"/>
  <c r="DR31" i="24"/>
  <c r="DS31" i="24"/>
  <c r="DT31" i="24"/>
  <c r="DU31" i="24"/>
  <c r="DV31" i="24"/>
  <c r="DW31" i="24"/>
  <c r="DX31" i="24"/>
  <c r="DY31" i="24"/>
  <c r="DZ31" i="24"/>
  <c r="EA31" i="24"/>
  <c r="EB31" i="24"/>
  <c r="EC31" i="24"/>
  <c r="ED31" i="24"/>
  <c r="EE31" i="24"/>
  <c r="EF31" i="24"/>
  <c r="EG31" i="24"/>
  <c r="EH31" i="24"/>
  <c r="EI31" i="24"/>
  <c r="EJ31" i="24"/>
  <c r="EK31" i="24"/>
  <c r="EL31" i="24"/>
  <c r="EM31" i="24"/>
  <c r="EN31" i="24"/>
  <c r="EO31" i="24"/>
  <c r="EP31" i="24"/>
  <c r="EQ31" i="24"/>
  <c r="ER31" i="24"/>
  <c r="ES31" i="24"/>
  <c r="ET31" i="24"/>
  <c r="EU31" i="24"/>
  <c r="EV31" i="24"/>
  <c r="EW31" i="24"/>
  <c r="EX31" i="24"/>
  <c r="EY31" i="24"/>
  <c r="EZ31" i="24"/>
  <c r="FA31" i="24"/>
  <c r="FB31" i="24"/>
  <c r="FC31" i="24"/>
  <c r="FD31" i="24"/>
  <c r="FE31" i="24"/>
  <c r="FF31" i="24"/>
  <c r="FG31" i="24"/>
  <c r="FH31" i="24"/>
  <c r="FI31" i="24"/>
  <c r="FJ31" i="24"/>
  <c r="FK31" i="24"/>
  <c r="FL31" i="24"/>
  <c r="FM31" i="24"/>
  <c r="FN31" i="24"/>
  <c r="FO31" i="24"/>
  <c r="FP31" i="24"/>
  <c r="FQ31" i="24"/>
  <c r="FR31" i="24"/>
  <c r="FS31" i="24"/>
  <c r="FT31" i="24"/>
  <c r="FU31" i="24"/>
  <c r="FV31" i="24"/>
  <c r="FW31" i="24"/>
  <c r="FX31" i="24"/>
  <c r="FY31" i="24"/>
  <c r="FZ31" i="24"/>
  <c r="GA31" i="24"/>
  <c r="GB31" i="24"/>
  <c r="GC31" i="24"/>
  <c r="GD31" i="24"/>
  <c r="GE31" i="24"/>
  <c r="GF31" i="24"/>
  <c r="GG31" i="24"/>
  <c r="GH31" i="24"/>
  <c r="GI31" i="24"/>
  <c r="GJ31" i="24"/>
  <c r="GK31" i="24"/>
  <c r="GL31" i="24"/>
  <c r="GM31" i="24"/>
  <c r="GN31" i="24"/>
  <c r="GO31" i="24"/>
  <c r="GP31" i="24"/>
  <c r="GQ31" i="24"/>
  <c r="GR31" i="24"/>
  <c r="GS31" i="24"/>
  <c r="GT31" i="24"/>
  <c r="C31" i="24"/>
  <c r="B31" i="24"/>
  <c r="C35" i="24" l="1"/>
  <c r="D35" i="24"/>
  <c r="E35" i="24"/>
  <c r="F35" i="24"/>
  <c r="G35" i="24"/>
  <c r="H35" i="24"/>
  <c r="I35" i="24"/>
  <c r="J35" i="24"/>
  <c r="K35" i="24"/>
  <c r="L35" i="24"/>
  <c r="M35" i="24"/>
  <c r="N35" i="24"/>
  <c r="O35" i="24"/>
  <c r="P35" i="24"/>
  <c r="Q35" i="24"/>
  <c r="R35" i="24"/>
  <c r="S35" i="24"/>
  <c r="T35" i="24"/>
  <c r="U35" i="24"/>
  <c r="V35" i="24"/>
  <c r="W35" i="24"/>
  <c r="X35" i="24"/>
  <c r="Y35" i="24"/>
  <c r="Z35" i="24"/>
  <c r="AA35" i="24"/>
  <c r="AB35" i="24"/>
  <c r="AC35" i="24"/>
  <c r="AD35" i="24"/>
  <c r="AE35" i="24"/>
  <c r="AF35" i="24"/>
  <c r="AG35" i="24"/>
  <c r="AH35" i="24"/>
  <c r="AI35" i="24"/>
  <c r="AJ35" i="24"/>
  <c r="AK35" i="24"/>
  <c r="AL35" i="24"/>
  <c r="AM35" i="24"/>
  <c r="AN35" i="24"/>
  <c r="AO35" i="24"/>
  <c r="AP35" i="24"/>
  <c r="AQ35" i="24"/>
  <c r="AR35" i="24"/>
  <c r="AS35" i="24"/>
  <c r="AT35" i="24"/>
  <c r="AU35" i="24"/>
  <c r="AV35" i="24"/>
  <c r="AW35" i="24"/>
  <c r="AX35" i="24"/>
  <c r="AY35" i="24"/>
  <c r="AZ35" i="24"/>
  <c r="BA35" i="24"/>
  <c r="BB35" i="24"/>
  <c r="BC35" i="24"/>
  <c r="BD35" i="24"/>
  <c r="BE35" i="24"/>
  <c r="BF35" i="24"/>
  <c r="BG35" i="24"/>
  <c r="BH35" i="24"/>
  <c r="BI35" i="24"/>
  <c r="BJ35" i="24"/>
  <c r="BK35" i="24"/>
  <c r="BL35" i="24"/>
  <c r="BM35" i="24"/>
  <c r="BN35" i="24"/>
  <c r="BO35" i="24"/>
  <c r="BP35" i="24"/>
  <c r="BQ35" i="24"/>
  <c r="BR35" i="24"/>
  <c r="BS35" i="24"/>
  <c r="BT35" i="24"/>
  <c r="BU35" i="24"/>
  <c r="BV35" i="24"/>
  <c r="BW35" i="24"/>
  <c r="BX35" i="24"/>
  <c r="BY35" i="24"/>
  <c r="BZ35" i="24"/>
  <c r="CA35" i="24"/>
  <c r="CB35" i="24"/>
  <c r="CC35" i="24"/>
  <c r="CD35" i="24"/>
  <c r="CE35" i="24"/>
  <c r="CF35" i="24"/>
  <c r="CG35" i="24"/>
  <c r="CH35" i="24"/>
  <c r="CI35" i="24"/>
  <c r="CJ35" i="24"/>
  <c r="CK35" i="24"/>
  <c r="CL35" i="24"/>
  <c r="CM35" i="24"/>
  <c r="CN35" i="24"/>
  <c r="CO35" i="24"/>
  <c r="CP35" i="24"/>
  <c r="CQ35" i="24"/>
  <c r="CR35" i="24"/>
  <c r="CS35" i="24"/>
  <c r="CT35" i="24"/>
  <c r="CU35" i="24"/>
  <c r="CV35" i="24"/>
  <c r="CW35" i="24"/>
  <c r="CX35" i="24"/>
  <c r="CY35" i="24"/>
  <c r="CZ35" i="24"/>
  <c r="DA35" i="24"/>
  <c r="DB35" i="24"/>
  <c r="DC35" i="24"/>
  <c r="DD35" i="24"/>
  <c r="DE35" i="24"/>
  <c r="DF35" i="24"/>
  <c r="DG35" i="24"/>
  <c r="DH35" i="24"/>
  <c r="DI35" i="24"/>
  <c r="DJ35" i="24"/>
  <c r="DK35" i="24"/>
  <c r="DL35" i="24"/>
  <c r="DM35" i="24"/>
  <c r="DN35" i="24"/>
  <c r="DO35" i="24"/>
  <c r="DP35" i="24"/>
  <c r="DQ35" i="24"/>
  <c r="DR35" i="24"/>
  <c r="DS35" i="24"/>
  <c r="DT35" i="24"/>
  <c r="DU35" i="24"/>
  <c r="DV35" i="24"/>
  <c r="DW35" i="24"/>
  <c r="DX35" i="24"/>
  <c r="DY35" i="24"/>
  <c r="DZ35" i="24"/>
  <c r="EA35" i="24"/>
  <c r="EB35" i="24"/>
  <c r="EC35" i="24"/>
  <c r="ED35" i="24"/>
  <c r="EE35" i="24"/>
  <c r="EF35" i="24"/>
  <c r="EG35" i="24"/>
  <c r="EH35" i="24"/>
  <c r="EI35" i="24"/>
  <c r="EJ35" i="24"/>
  <c r="EK35" i="24"/>
  <c r="EL35" i="24"/>
  <c r="EM35" i="24"/>
  <c r="EN35" i="24"/>
  <c r="EO35" i="24"/>
  <c r="EP35" i="24"/>
  <c r="EQ35" i="24"/>
  <c r="ER35" i="24"/>
  <c r="ES35" i="24"/>
  <c r="ET35" i="24"/>
  <c r="EU35" i="24"/>
  <c r="EV35" i="24"/>
  <c r="EW35" i="24"/>
  <c r="EX35" i="24"/>
  <c r="EY35" i="24"/>
  <c r="EZ35" i="24"/>
  <c r="FA35" i="24"/>
  <c r="FB35" i="24"/>
  <c r="FC35" i="24"/>
  <c r="FD35" i="24"/>
  <c r="FE35" i="24"/>
  <c r="FF35" i="24"/>
  <c r="FG35" i="24"/>
  <c r="FH35" i="24"/>
  <c r="FI35" i="24"/>
  <c r="FJ35" i="24"/>
  <c r="FK35" i="24"/>
  <c r="FL35" i="24"/>
  <c r="FM35" i="24"/>
  <c r="FN35" i="24"/>
  <c r="FO35" i="24"/>
  <c r="FP35" i="24"/>
  <c r="FQ35" i="24"/>
  <c r="FR35" i="24"/>
  <c r="FS35" i="24"/>
  <c r="FT35" i="24"/>
  <c r="FU35" i="24"/>
  <c r="FV35" i="24"/>
  <c r="FW35" i="24"/>
  <c r="FX35" i="24"/>
  <c r="FY35" i="24"/>
  <c r="FZ35" i="24"/>
  <c r="GA35" i="24"/>
  <c r="GB35" i="24"/>
  <c r="GC35" i="24"/>
  <c r="GD35" i="24"/>
  <c r="GE35" i="24"/>
  <c r="GF35" i="24"/>
  <c r="GG35" i="24"/>
  <c r="GH35" i="24"/>
  <c r="GI35" i="24"/>
  <c r="GJ35" i="24"/>
  <c r="GK35" i="24"/>
  <c r="GL35" i="24"/>
  <c r="GM35" i="24"/>
  <c r="GN35" i="24"/>
  <c r="GO35" i="24"/>
  <c r="GP35" i="24"/>
  <c r="GQ35" i="24"/>
  <c r="GR35" i="24"/>
  <c r="GS35" i="24"/>
  <c r="GT35" i="24"/>
  <c r="C36" i="24"/>
  <c r="D36" i="24"/>
  <c r="E36" i="24"/>
  <c r="F36" i="24"/>
  <c r="G36" i="24"/>
  <c r="H36" i="24"/>
  <c r="I36" i="24"/>
  <c r="J36" i="24"/>
  <c r="K36" i="24"/>
  <c r="L36" i="24"/>
  <c r="M36" i="24"/>
  <c r="N36" i="24"/>
  <c r="O36" i="24"/>
  <c r="P36" i="24"/>
  <c r="Q36" i="24"/>
  <c r="R36" i="24"/>
  <c r="S36" i="24"/>
  <c r="T36" i="24"/>
  <c r="U36" i="24"/>
  <c r="V36" i="24"/>
  <c r="W36" i="24"/>
  <c r="X36" i="24"/>
  <c r="Y36" i="24"/>
  <c r="Z36" i="24"/>
  <c r="AA36" i="24"/>
  <c r="AB36" i="24"/>
  <c r="AC36" i="24"/>
  <c r="AD36" i="24"/>
  <c r="AE36" i="24"/>
  <c r="AF36" i="24"/>
  <c r="AG36" i="24"/>
  <c r="AH36" i="24"/>
  <c r="AI36" i="24"/>
  <c r="AJ36" i="24"/>
  <c r="AK36" i="24"/>
  <c r="AL36" i="24"/>
  <c r="AM36" i="24"/>
  <c r="AN36" i="24"/>
  <c r="AO36" i="24"/>
  <c r="AP36" i="24"/>
  <c r="AQ36" i="24"/>
  <c r="AR36" i="24"/>
  <c r="AS36" i="24"/>
  <c r="AT36" i="24"/>
  <c r="AU36" i="24"/>
  <c r="AV36" i="24"/>
  <c r="AW36" i="24"/>
  <c r="AX36" i="24"/>
  <c r="AY36" i="24"/>
  <c r="AZ36" i="24"/>
  <c r="BA36" i="24"/>
  <c r="BB36" i="24"/>
  <c r="BC36" i="24"/>
  <c r="BD36" i="24"/>
  <c r="BE36" i="24"/>
  <c r="BF36" i="24"/>
  <c r="BG36" i="24"/>
  <c r="BH36" i="24"/>
  <c r="BI36" i="24"/>
  <c r="BJ36" i="24"/>
  <c r="BK36" i="24"/>
  <c r="BL36" i="24"/>
  <c r="BM36" i="24"/>
  <c r="BN36" i="24"/>
  <c r="BO36" i="24"/>
  <c r="BP36" i="24"/>
  <c r="BQ36" i="24"/>
  <c r="BR36" i="24"/>
  <c r="BS36" i="24"/>
  <c r="BT36" i="24"/>
  <c r="BU36" i="24"/>
  <c r="BV36" i="24"/>
  <c r="BW36" i="24"/>
  <c r="BX36" i="24"/>
  <c r="BY36" i="24"/>
  <c r="BZ36" i="24"/>
  <c r="CA36" i="24"/>
  <c r="CB36" i="24"/>
  <c r="CC36" i="24"/>
  <c r="CD36" i="24"/>
  <c r="CE36" i="24"/>
  <c r="CF36" i="24"/>
  <c r="CG36" i="24"/>
  <c r="CH36" i="24"/>
  <c r="CI36" i="24"/>
  <c r="CJ36" i="24"/>
  <c r="CK36" i="24"/>
  <c r="CL36" i="24"/>
  <c r="CM36" i="24"/>
  <c r="CN36" i="24"/>
  <c r="CO36" i="24"/>
  <c r="CP36" i="24"/>
  <c r="CQ36" i="24"/>
  <c r="CR36" i="24"/>
  <c r="CS36" i="24"/>
  <c r="CT36" i="24"/>
  <c r="CU36" i="24"/>
  <c r="CV36" i="24"/>
  <c r="CW36" i="24"/>
  <c r="CX36" i="24"/>
  <c r="CY36" i="24"/>
  <c r="CZ36" i="24"/>
  <c r="DA36" i="24"/>
  <c r="DB36" i="24"/>
  <c r="DC36" i="24"/>
  <c r="DD36" i="24"/>
  <c r="DE36" i="24"/>
  <c r="DF36" i="24"/>
  <c r="DG36" i="24"/>
  <c r="DH36" i="24"/>
  <c r="DI36" i="24"/>
  <c r="DJ36" i="24"/>
  <c r="DK36" i="24"/>
  <c r="DL36" i="24"/>
  <c r="DM36" i="24"/>
  <c r="DN36" i="24"/>
  <c r="DO36" i="24"/>
  <c r="DP36" i="24"/>
  <c r="DQ36" i="24"/>
  <c r="DR36" i="24"/>
  <c r="DS36" i="24"/>
  <c r="DT36" i="24"/>
  <c r="DU36" i="24"/>
  <c r="DV36" i="24"/>
  <c r="DW36" i="24"/>
  <c r="DX36" i="24"/>
  <c r="DY36" i="24"/>
  <c r="DZ36" i="24"/>
  <c r="EA36" i="24"/>
  <c r="EB36" i="24"/>
  <c r="EC36" i="24"/>
  <c r="ED36" i="24"/>
  <c r="EE36" i="24"/>
  <c r="EF36" i="24"/>
  <c r="EG36" i="24"/>
  <c r="EH36" i="24"/>
  <c r="EI36" i="24"/>
  <c r="EJ36" i="24"/>
  <c r="EK36" i="24"/>
  <c r="EL36" i="24"/>
  <c r="EM36" i="24"/>
  <c r="EN36" i="24"/>
  <c r="EO36" i="24"/>
  <c r="EP36" i="24"/>
  <c r="EQ36" i="24"/>
  <c r="ER36" i="24"/>
  <c r="ES36" i="24"/>
  <c r="ET36" i="24"/>
  <c r="EU36" i="24"/>
  <c r="EV36" i="24"/>
  <c r="EW36" i="24"/>
  <c r="EX36" i="24"/>
  <c r="EY36" i="24"/>
  <c r="EZ36" i="24"/>
  <c r="FA36" i="24"/>
  <c r="FB36" i="24"/>
  <c r="FC36" i="24"/>
  <c r="FD36" i="24"/>
  <c r="FE36" i="24"/>
  <c r="FF36" i="24"/>
  <c r="FG36" i="24"/>
  <c r="FH36" i="24"/>
  <c r="FI36" i="24"/>
  <c r="FJ36" i="24"/>
  <c r="FK36" i="24"/>
  <c r="FL36" i="24"/>
  <c r="FM36" i="24"/>
  <c r="FN36" i="24"/>
  <c r="FO36" i="24"/>
  <c r="FP36" i="24"/>
  <c r="FQ36" i="24"/>
  <c r="FR36" i="24"/>
  <c r="FS36" i="24"/>
  <c r="FT36" i="24"/>
  <c r="FU36" i="24"/>
  <c r="FV36" i="24"/>
  <c r="FW36" i="24"/>
  <c r="FX36" i="24"/>
  <c r="FY36" i="24"/>
  <c r="FZ36" i="24"/>
  <c r="GA36" i="24"/>
  <c r="GB36" i="24"/>
  <c r="GC36" i="24"/>
  <c r="GD36" i="24"/>
  <c r="GE36" i="24"/>
  <c r="GF36" i="24"/>
  <c r="GG36" i="24"/>
  <c r="GH36" i="24"/>
  <c r="GI36" i="24"/>
  <c r="GJ36" i="24"/>
  <c r="GK36" i="24"/>
  <c r="GL36" i="24"/>
  <c r="GM36" i="24"/>
  <c r="GN36" i="24"/>
  <c r="GO36" i="24"/>
  <c r="GP36" i="24"/>
  <c r="GQ36" i="24"/>
  <c r="GR36" i="24"/>
  <c r="GS36" i="24"/>
  <c r="GT36" i="24"/>
  <c r="C37" i="24"/>
  <c r="D37" i="24"/>
  <c r="E37" i="24"/>
  <c r="F37" i="24"/>
  <c r="G37" i="24"/>
  <c r="H37" i="24"/>
  <c r="I37" i="24"/>
  <c r="J37" i="24"/>
  <c r="K37" i="24"/>
  <c r="L37" i="24"/>
  <c r="M37" i="24"/>
  <c r="N37" i="24"/>
  <c r="O37" i="24"/>
  <c r="P37" i="24"/>
  <c r="Q37" i="24"/>
  <c r="R37" i="24"/>
  <c r="S37" i="24"/>
  <c r="T37" i="24"/>
  <c r="U37" i="24"/>
  <c r="V37" i="24"/>
  <c r="W37" i="24"/>
  <c r="X37" i="24"/>
  <c r="Y37" i="24"/>
  <c r="Z37" i="24"/>
  <c r="AA37" i="24"/>
  <c r="AB37" i="24"/>
  <c r="AC37" i="24"/>
  <c r="AD37" i="24"/>
  <c r="AE37" i="24"/>
  <c r="AF37" i="24"/>
  <c r="AG37" i="24"/>
  <c r="AH37" i="24"/>
  <c r="AI37" i="24"/>
  <c r="AJ37" i="24"/>
  <c r="AK37" i="24"/>
  <c r="AL37" i="24"/>
  <c r="AM37" i="24"/>
  <c r="AN37" i="24"/>
  <c r="AO37" i="24"/>
  <c r="AP37" i="24"/>
  <c r="AQ37" i="24"/>
  <c r="AR37" i="24"/>
  <c r="AS37" i="24"/>
  <c r="AT37" i="24"/>
  <c r="AU37" i="24"/>
  <c r="AV37" i="24"/>
  <c r="AW37" i="24"/>
  <c r="AX37" i="24"/>
  <c r="AY37" i="24"/>
  <c r="AZ37" i="24"/>
  <c r="BA37" i="24"/>
  <c r="BB37" i="24"/>
  <c r="BC37" i="24"/>
  <c r="BD37" i="24"/>
  <c r="BE37" i="24"/>
  <c r="BF37" i="24"/>
  <c r="BG37" i="24"/>
  <c r="BH37" i="24"/>
  <c r="BI37" i="24"/>
  <c r="BJ37" i="24"/>
  <c r="BK37" i="24"/>
  <c r="BL37" i="24"/>
  <c r="BM37" i="24"/>
  <c r="BN37" i="24"/>
  <c r="BO37" i="24"/>
  <c r="BP37" i="24"/>
  <c r="BQ37" i="24"/>
  <c r="BR37" i="24"/>
  <c r="BS37" i="24"/>
  <c r="BT37" i="24"/>
  <c r="BU37" i="24"/>
  <c r="BV37" i="24"/>
  <c r="BW37" i="24"/>
  <c r="BX37" i="24"/>
  <c r="BY37" i="24"/>
  <c r="BZ37" i="24"/>
  <c r="CA37" i="24"/>
  <c r="CB37" i="24"/>
  <c r="CC37" i="24"/>
  <c r="CD37" i="24"/>
  <c r="CE37" i="24"/>
  <c r="CF37" i="24"/>
  <c r="CG37" i="24"/>
  <c r="CH37" i="24"/>
  <c r="CI37" i="24"/>
  <c r="CJ37" i="24"/>
  <c r="CK37" i="24"/>
  <c r="CL37" i="24"/>
  <c r="CM37" i="24"/>
  <c r="CN37" i="24"/>
  <c r="CO37" i="24"/>
  <c r="CP37" i="24"/>
  <c r="CQ37" i="24"/>
  <c r="CR37" i="24"/>
  <c r="CS37" i="24"/>
  <c r="CT37" i="24"/>
  <c r="CU37" i="24"/>
  <c r="CV37" i="24"/>
  <c r="CW37" i="24"/>
  <c r="CX37" i="24"/>
  <c r="CY37" i="24"/>
  <c r="CZ37" i="24"/>
  <c r="DA37" i="24"/>
  <c r="DB37" i="24"/>
  <c r="DC37" i="24"/>
  <c r="DD37" i="24"/>
  <c r="DE37" i="24"/>
  <c r="DF37" i="24"/>
  <c r="DG37" i="24"/>
  <c r="DH37" i="24"/>
  <c r="DI37" i="24"/>
  <c r="DJ37" i="24"/>
  <c r="DK37" i="24"/>
  <c r="DL37" i="24"/>
  <c r="DM37" i="24"/>
  <c r="DN37" i="24"/>
  <c r="DO37" i="24"/>
  <c r="DP37" i="24"/>
  <c r="DQ37" i="24"/>
  <c r="DR37" i="24"/>
  <c r="DS37" i="24"/>
  <c r="DT37" i="24"/>
  <c r="DU37" i="24"/>
  <c r="DV37" i="24"/>
  <c r="DW37" i="24"/>
  <c r="DX37" i="24"/>
  <c r="DY37" i="24"/>
  <c r="DZ37" i="24"/>
  <c r="EA37" i="24"/>
  <c r="EB37" i="24"/>
  <c r="EC37" i="24"/>
  <c r="ED37" i="24"/>
  <c r="EE37" i="24"/>
  <c r="EF37" i="24"/>
  <c r="EG37" i="24"/>
  <c r="EH37" i="24"/>
  <c r="EI37" i="24"/>
  <c r="EJ37" i="24"/>
  <c r="EK37" i="24"/>
  <c r="EL37" i="24"/>
  <c r="EM37" i="24"/>
  <c r="EN37" i="24"/>
  <c r="EO37" i="24"/>
  <c r="EP37" i="24"/>
  <c r="EQ37" i="24"/>
  <c r="ER37" i="24"/>
  <c r="ES37" i="24"/>
  <c r="ET37" i="24"/>
  <c r="EU37" i="24"/>
  <c r="EV37" i="24"/>
  <c r="EW37" i="24"/>
  <c r="EX37" i="24"/>
  <c r="EY37" i="24"/>
  <c r="EZ37" i="24"/>
  <c r="FA37" i="24"/>
  <c r="FB37" i="24"/>
  <c r="FC37" i="24"/>
  <c r="FD37" i="24"/>
  <c r="FE37" i="24"/>
  <c r="FF37" i="24"/>
  <c r="FG37" i="24"/>
  <c r="FH37" i="24"/>
  <c r="FI37" i="24"/>
  <c r="FJ37" i="24"/>
  <c r="FK37" i="24"/>
  <c r="FL37" i="24"/>
  <c r="FM37" i="24"/>
  <c r="FN37" i="24"/>
  <c r="FO37" i="24"/>
  <c r="FP37" i="24"/>
  <c r="FQ37" i="24"/>
  <c r="FR37" i="24"/>
  <c r="FS37" i="24"/>
  <c r="FT37" i="24"/>
  <c r="FU37" i="24"/>
  <c r="FV37" i="24"/>
  <c r="FW37" i="24"/>
  <c r="FX37" i="24"/>
  <c r="FY37" i="24"/>
  <c r="FZ37" i="24"/>
  <c r="GA37" i="24"/>
  <c r="GB37" i="24"/>
  <c r="GC37" i="24"/>
  <c r="GD37" i="24"/>
  <c r="GE37" i="24"/>
  <c r="GF37" i="24"/>
  <c r="GG37" i="24"/>
  <c r="GH37" i="24"/>
  <c r="GI37" i="24"/>
  <c r="GJ37" i="24"/>
  <c r="GK37" i="24"/>
  <c r="GL37" i="24"/>
  <c r="GM37" i="24"/>
  <c r="GN37" i="24"/>
  <c r="GO37" i="24"/>
  <c r="GP37" i="24"/>
  <c r="GQ37" i="24"/>
  <c r="GR37" i="24"/>
  <c r="GS37" i="24"/>
  <c r="GT37" i="24"/>
  <c r="C38" i="24"/>
  <c r="D38" i="24"/>
  <c r="E38" i="24"/>
  <c r="F38" i="24"/>
  <c r="G38" i="24"/>
  <c r="H38" i="24"/>
  <c r="I38" i="24"/>
  <c r="J38" i="24"/>
  <c r="K38" i="24"/>
  <c r="L38" i="24"/>
  <c r="M38" i="24"/>
  <c r="N38" i="24"/>
  <c r="O38" i="24"/>
  <c r="P38" i="24"/>
  <c r="Q38" i="24"/>
  <c r="R38" i="24"/>
  <c r="S38" i="24"/>
  <c r="T38" i="24"/>
  <c r="U38" i="24"/>
  <c r="V38" i="24"/>
  <c r="W38" i="24"/>
  <c r="X38" i="24"/>
  <c r="Y38" i="24"/>
  <c r="Z38" i="24"/>
  <c r="AA38" i="24"/>
  <c r="AB38" i="24"/>
  <c r="AC38" i="24"/>
  <c r="AD38" i="24"/>
  <c r="AE38" i="24"/>
  <c r="AF38" i="24"/>
  <c r="AG38" i="24"/>
  <c r="AH38" i="24"/>
  <c r="AI38" i="24"/>
  <c r="AJ38" i="24"/>
  <c r="AK38" i="24"/>
  <c r="AL38" i="24"/>
  <c r="AM38" i="24"/>
  <c r="AN38" i="24"/>
  <c r="AO38" i="24"/>
  <c r="AP38" i="24"/>
  <c r="AQ38" i="24"/>
  <c r="AR38" i="24"/>
  <c r="AS38" i="24"/>
  <c r="AT38" i="24"/>
  <c r="AU38" i="24"/>
  <c r="AV38" i="24"/>
  <c r="AW38" i="24"/>
  <c r="AX38" i="24"/>
  <c r="AY38" i="24"/>
  <c r="AZ38" i="24"/>
  <c r="BA38" i="24"/>
  <c r="BB38" i="24"/>
  <c r="BC38" i="24"/>
  <c r="BD38" i="24"/>
  <c r="BE38" i="24"/>
  <c r="BF38" i="24"/>
  <c r="BG38" i="24"/>
  <c r="BH38" i="24"/>
  <c r="BI38" i="24"/>
  <c r="BJ38" i="24"/>
  <c r="BK38" i="24"/>
  <c r="BL38" i="24"/>
  <c r="BM38" i="24"/>
  <c r="BN38" i="24"/>
  <c r="BO38" i="24"/>
  <c r="BP38" i="24"/>
  <c r="BQ38" i="24"/>
  <c r="BR38" i="24"/>
  <c r="BS38" i="24"/>
  <c r="BT38" i="24"/>
  <c r="BU38" i="24"/>
  <c r="BV38" i="24"/>
  <c r="BW38" i="24"/>
  <c r="BX38" i="24"/>
  <c r="BY38" i="24"/>
  <c r="BZ38" i="24"/>
  <c r="CA38" i="24"/>
  <c r="CB38" i="24"/>
  <c r="CC38" i="24"/>
  <c r="CD38" i="24"/>
  <c r="CE38" i="24"/>
  <c r="CF38" i="24"/>
  <c r="CG38" i="24"/>
  <c r="CH38" i="24"/>
  <c r="CI38" i="24"/>
  <c r="CJ38" i="24"/>
  <c r="CK38" i="24"/>
  <c r="CL38" i="24"/>
  <c r="CM38" i="24"/>
  <c r="CN38" i="24"/>
  <c r="CO38" i="24"/>
  <c r="CP38" i="24"/>
  <c r="CQ38" i="24"/>
  <c r="CR38" i="24"/>
  <c r="CS38" i="24"/>
  <c r="CT38" i="24"/>
  <c r="CU38" i="24"/>
  <c r="CV38" i="24"/>
  <c r="CW38" i="24"/>
  <c r="CX38" i="24"/>
  <c r="CY38" i="24"/>
  <c r="CZ38" i="24"/>
  <c r="DA38" i="24"/>
  <c r="DB38" i="24"/>
  <c r="DC38" i="24"/>
  <c r="DD38" i="24"/>
  <c r="DE38" i="24"/>
  <c r="DF38" i="24"/>
  <c r="DG38" i="24"/>
  <c r="DH38" i="24"/>
  <c r="DI38" i="24"/>
  <c r="DJ38" i="24"/>
  <c r="DK38" i="24"/>
  <c r="DL38" i="24"/>
  <c r="DM38" i="24"/>
  <c r="DN38" i="24"/>
  <c r="DO38" i="24"/>
  <c r="DP38" i="24"/>
  <c r="DQ38" i="24"/>
  <c r="DR38" i="24"/>
  <c r="DS38" i="24"/>
  <c r="DT38" i="24"/>
  <c r="DU38" i="24"/>
  <c r="DV38" i="24"/>
  <c r="DW38" i="24"/>
  <c r="DX38" i="24"/>
  <c r="DY38" i="24"/>
  <c r="DZ38" i="24"/>
  <c r="EA38" i="24"/>
  <c r="EB38" i="24"/>
  <c r="EC38" i="24"/>
  <c r="ED38" i="24"/>
  <c r="EE38" i="24"/>
  <c r="EF38" i="24"/>
  <c r="EG38" i="24"/>
  <c r="EH38" i="24"/>
  <c r="EI38" i="24"/>
  <c r="EJ38" i="24"/>
  <c r="EK38" i="24"/>
  <c r="EL38" i="24"/>
  <c r="EM38" i="24"/>
  <c r="EN38" i="24"/>
  <c r="EO38" i="24"/>
  <c r="EP38" i="24"/>
  <c r="EQ38" i="24"/>
  <c r="ER38" i="24"/>
  <c r="ES38" i="24"/>
  <c r="ET38" i="24"/>
  <c r="EU38" i="24"/>
  <c r="EV38" i="24"/>
  <c r="EW38" i="24"/>
  <c r="EX38" i="24"/>
  <c r="EY38" i="24"/>
  <c r="EZ38" i="24"/>
  <c r="FA38" i="24"/>
  <c r="FB38" i="24"/>
  <c r="FC38" i="24"/>
  <c r="FD38" i="24"/>
  <c r="FE38" i="24"/>
  <c r="FF38" i="24"/>
  <c r="FG38" i="24"/>
  <c r="FH38" i="24"/>
  <c r="FI38" i="24"/>
  <c r="FJ38" i="24"/>
  <c r="FK38" i="24"/>
  <c r="FL38" i="24"/>
  <c r="FM38" i="24"/>
  <c r="FN38" i="24"/>
  <c r="FO38" i="24"/>
  <c r="FP38" i="24"/>
  <c r="FQ38" i="24"/>
  <c r="FR38" i="24"/>
  <c r="FS38" i="24"/>
  <c r="FT38" i="24"/>
  <c r="FU38" i="24"/>
  <c r="FV38" i="24"/>
  <c r="FW38" i="24"/>
  <c r="FX38" i="24"/>
  <c r="FY38" i="24"/>
  <c r="FZ38" i="24"/>
  <c r="GA38" i="24"/>
  <c r="GB38" i="24"/>
  <c r="GC38" i="24"/>
  <c r="GD38" i="24"/>
  <c r="GE38" i="24"/>
  <c r="GF38" i="24"/>
  <c r="GG38" i="24"/>
  <c r="GH38" i="24"/>
  <c r="GI38" i="24"/>
  <c r="GJ38" i="24"/>
  <c r="GK38" i="24"/>
  <c r="GL38" i="24"/>
  <c r="GM38" i="24"/>
  <c r="GN38" i="24"/>
  <c r="GO38" i="24"/>
  <c r="GP38" i="24"/>
  <c r="GQ38" i="24"/>
  <c r="GR38" i="24"/>
  <c r="GS38" i="24"/>
  <c r="GT38" i="24"/>
  <c r="C39" i="24"/>
  <c r="D39" i="24"/>
  <c r="E39" i="24"/>
  <c r="F39" i="24"/>
  <c r="G39" i="24"/>
  <c r="H39" i="24"/>
  <c r="I39" i="24"/>
  <c r="J39" i="24"/>
  <c r="K39" i="24"/>
  <c r="L39" i="24"/>
  <c r="M39" i="24"/>
  <c r="N39" i="24"/>
  <c r="O39" i="24"/>
  <c r="P39" i="24"/>
  <c r="Q39" i="24"/>
  <c r="R39" i="24"/>
  <c r="S39" i="24"/>
  <c r="T39" i="24"/>
  <c r="U39" i="24"/>
  <c r="V39" i="24"/>
  <c r="W39" i="24"/>
  <c r="X39" i="24"/>
  <c r="Y39" i="24"/>
  <c r="Z39" i="24"/>
  <c r="AA39" i="24"/>
  <c r="AB39" i="24"/>
  <c r="AC39" i="24"/>
  <c r="AD39" i="24"/>
  <c r="AE39" i="24"/>
  <c r="AF39" i="24"/>
  <c r="AG39" i="24"/>
  <c r="AH39" i="24"/>
  <c r="AI39" i="24"/>
  <c r="AJ39" i="24"/>
  <c r="AK39" i="24"/>
  <c r="AL39" i="24"/>
  <c r="AM39" i="24"/>
  <c r="AN39" i="24"/>
  <c r="AO39" i="24"/>
  <c r="AP39" i="24"/>
  <c r="AQ39" i="24"/>
  <c r="AR39" i="24"/>
  <c r="AS39" i="24"/>
  <c r="AT39" i="24"/>
  <c r="AU39" i="24"/>
  <c r="AV39" i="24"/>
  <c r="AW39" i="24"/>
  <c r="AX39" i="24"/>
  <c r="AY39" i="24"/>
  <c r="AZ39" i="24"/>
  <c r="BA39" i="24"/>
  <c r="BB39" i="24"/>
  <c r="BC39" i="24"/>
  <c r="BD39" i="24"/>
  <c r="BE39" i="24"/>
  <c r="BF39" i="24"/>
  <c r="BG39" i="24"/>
  <c r="BH39" i="24"/>
  <c r="BI39" i="24"/>
  <c r="BJ39" i="24"/>
  <c r="BK39" i="24"/>
  <c r="BL39" i="24"/>
  <c r="BM39" i="24"/>
  <c r="BN39" i="24"/>
  <c r="BO39" i="24"/>
  <c r="BP39" i="24"/>
  <c r="BQ39" i="24"/>
  <c r="BR39" i="24"/>
  <c r="BS39" i="24"/>
  <c r="BT39" i="24"/>
  <c r="BU39" i="24"/>
  <c r="BV39" i="24"/>
  <c r="BW39" i="24"/>
  <c r="BX39" i="24"/>
  <c r="BY39" i="24"/>
  <c r="BZ39" i="24"/>
  <c r="CA39" i="24"/>
  <c r="CB39" i="24"/>
  <c r="CC39" i="24"/>
  <c r="CD39" i="24"/>
  <c r="CE39" i="24"/>
  <c r="CF39" i="24"/>
  <c r="CG39" i="24"/>
  <c r="CH39" i="24"/>
  <c r="CI39" i="24"/>
  <c r="CJ39" i="24"/>
  <c r="CK39" i="24"/>
  <c r="CL39" i="24"/>
  <c r="CM39" i="24"/>
  <c r="CN39" i="24"/>
  <c r="CO39" i="24"/>
  <c r="CP39" i="24"/>
  <c r="CQ39" i="24"/>
  <c r="CR39" i="24"/>
  <c r="CS39" i="24"/>
  <c r="CT39" i="24"/>
  <c r="CU39" i="24"/>
  <c r="CV39" i="24"/>
  <c r="CW39" i="24"/>
  <c r="CX39" i="24"/>
  <c r="CY39" i="24"/>
  <c r="CZ39" i="24"/>
  <c r="DA39" i="24"/>
  <c r="DB39" i="24"/>
  <c r="DC39" i="24"/>
  <c r="DD39" i="24"/>
  <c r="DE39" i="24"/>
  <c r="DF39" i="24"/>
  <c r="DG39" i="24"/>
  <c r="DH39" i="24"/>
  <c r="DI39" i="24"/>
  <c r="DJ39" i="24"/>
  <c r="DK39" i="24"/>
  <c r="DL39" i="24"/>
  <c r="DM39" i="24"/>
  <c r="DN39" i="24"/>
  <c r="DO39" i="24"/>
  <c r="DP39" i="24"/>
  <c r="DQ39" i="24"/>
  <c r="DR39" i="24"/>
  <c r="DS39" i="24"/>
  <c r="DT39" i="24"/>
  <c r="DU39" i="24"/>
  <c r="DV39" i="24"/>
  <c r="DW39" i="24"/>
  <c r="DX39" i="24"/>
  <c r="DY39" i="24"/>
  <c r="DZ39" i="24"/>
  <c r="EA39" i="24"/>
  <c r="EB39" i="24"/>
  <c r="EC39" i="24"/>
  <c r="ED39" i="24"/>
  <c r="EE39" i="24"/>
  <c r="EF39" i="24"/>
  <c r="EG39" i="24"/>
  <c r="EH39" i="24"/>
  <c r="EI39" i="24"/>
  <c r="EJ39" i="24"/>
  <c r="EK39" i="24"/>
  <c r="EL39" i="24"/>
  <c r="EM39" i="24"/>
  <c r="EN39" i="24"/>
  <c r="EO39" i="24"/>
  <c r="EP39" i="24"/>
  <c r="EQ39" i="24"/>
  <c r="ER39" i="24"/>
  <c r="ES39" i="24"/>
  <c r="ET39" i="24"/>
  <c r="EU39" i="24"/>
  <c r="EV39" i="24"/>
  <c r="EW39" i="24"/>
  <c r="EX39" i="24"/>
  <c r="EY39" i="24"/>
  <c r="EZ39" i="24"/>
  <c r="FA39" i="24"/>
  <c r="FB39" i="24"/>
  <c r="FC39" i="24"/>
  <c r="FD39" i="24"/>
  <c r="FE39" i="24"/>
  <c r="FF39" i="24"/>
  <c r="FG39" i="24"/>
  <c r="FH39" i="24"/>
  <c r="FI39" i="24"/>
  <c r="FJ39" i="24"/>
  <c r="FK39" i="24"/>
  <c r="FL39" i="24"/>
  <c r="FM39" i="24"/>
  <c r="FN39" i="24"/>
  <c r="FO39" i="24"/>
  <c r="FP39" i="24"/>
  <c r="FQ39" i="24"/>
  <c r="FR39" i="24"/>
  <c r="FS39" i="24"/>
  <c r="FT39" i="24"/>
  <c r="FU39" i="24"/>
  <c r="FV39" i="24"/>
  <c r="FW39" i="24"/>
  <c r="FX39" i="24"/>
  <c r="FY39" i="24"/>
  <c r="FZ39" i="24"/>
  <c r="GA39" i="24"/>
  <c r="GB39" i="24"/>
  <c r="GC39" i="24"/>
  <c r="GD39" i="24"/>
  <c r="GE39" i="24"/>
  <c r="GF39" i="24"/>
  <c r="GG39" i="24"/>
  <c r="GH39" i="24"/>
  <c r="GI39" i="24"/>
  <c r="GJ39" i="24"/>
  <c r="GK39" i="24"/>
  <c r="GL39" i="24"/>
  <c r="GM39" i="24"/>
  <c r="GN39" i="24"/>
  <c r="GO39" i="24"/>
  <c r="GP39" i="24"/>
  <c r="GQ39" i="24"/>
  <c r="GR39" i="24"/>
  <c r="GS39" i="24"/>
  <c r="GT39" i="24"/>
  <c r="C40" i="24"/>
  <c r="D40" i="24"/>
  <c r="E40" i="24"/>
  <c r="F40" i="24"/>
  <c r="G40" i="24"/>
  <c r="H40" i="24"/>
  <c r="I40" i="24"/>
  <c r="J40" i="24"/>
  <c r="K40" i="24"/>
  <c r="L40" i="24"/>
  <c r="M40" i="24"/>
  <c r="N40" i="24"/>
  <c r="O40" i="24"/>
  <c r="P40" i="24"/>
  <c r="Q40" i="24"/>
  <c r="R40" i="24"/>
  <c r="S40" i="24"/>
  <c r="T40" i="24"/>
  <c r="U40" i="24"/>
  <c r="V40" i="24"/>
  <c r="W40" i="24"/>
  <c r="X40" i="24"/>
  <c r="Y40" i="24"/>
  <c r="Z40" i="24"/>
  <c r="AA40" i="24"/>
  <c r="AB40" i="24"/>
  <c r="AC40" i="24"/>
  <c r="AD40" i="24"/>
  <c r="AE40" i="24"/>
  <c r="AF40" i="24"/>
  <c r="AG40" i="24"/>
  <c r="AH40" i="24"/>
  <c r="AI40" i="24"/>
  <c r="AJ40" i="24"/>
  <c r="AK40" i="24"/>
  <c r="AL40" i="24"/>
  <c r="AM40" i="24"/>
  <c r="AN40" i="24"/>
  <c r="AO40" i="24"/>
  <c r="AP40" i="24"/>
  <c r="AQ40" i="24"/>
  <c r="AR40" i="24"/>
  <c r="AS40" i="24"/>
  <c r="AT40" i="24"/>
  <c r="AU40" i="24"/>
  <c r="AV40" i="24"/>
  <c r="AW40" i="24"/>
  <c r="AX40" i="24"/>
  <c r="AY40" i="24"/>
  <c r="AZ40" i="24"/>
  <c r="BA40" i="24"/>
  <c r="BB40" i="24"/>
  <c r="BC40" i="24"/>
  <c r="BD40" i="24"/>
  <c r="BE40" i="24"/>
  <c r="BF40" i="24"/>
  <c r="BG40" i="24"/>
  <c r="BH40" i="24"/>
  <c r="BI40" i="24"/>
  <c r="BJ40" i="24"/>
  <c r="BK40" i="24"/>
  <c r="BL40" i="24"/>
  <c r="BM40" i="24"/>
  <c r="BN40" i="24"/>
  <c r="BO40" i="24"/>
  <c r="BP40" i="24"/>
  <c r="BQ40" i="24"/>
  <c r="BR40" i="24"/>
  <c r="BS40" i="24"/>
  <c r="BT40" i="24"/>
  <c r="BU40" i="24"/>
  <c r="BV40" i="24"/>
  <c r="BW40" i="24"/>
  <c r="BX40" i="24"/>
  <c r="BY40" i="24"/>
  <c r="BZ40" i="24"/>
  <c r="CA40" i="24"/>
  <c r="CB40" i="24"/>
  <c r="CC40" i="24"/>
  <c r="CD40" i="24"/>
  <c r="CE40" i="24"/>
  <c r="CF40" i="24"/>
  <c r="CG40" i="24"/>
  <c r="CH40" i="24"/>
  <c r="CI40" i="24"/>
  <c r="CJ40" i="24"/>
  <c r="CK40" i="24"/>
  <c r="CL40" i="24"/>
  <c r="CM40" i="24"/>
  <c r="CN40" i="24"/>
  <c r="CO40" i="24"/>
  <c r="CP40" i="24"/>
  <c r="CQ40" i="24"/>
  <c r="CR40" i="24"/>
  <c r="CS40" i="24"/>
  <c r="CT40" i="24"/>
  <c r="CU40" i="24"/>
  <c r="CV40" i="24"/>
  <c r="CW40" i="24"/>
  <c r="CX40" i="24"/>
  <c r="CY40" i="24"/>
  <c r="CZ40" i="24"/>
  <c r="DA40" i="24"/>
  <c r="DB40" i="24"/>
  <c r="DC40" i="24"/>
  <c r="DD40" i="24"/>
  <c r="DE40" i="24"/>
  <c r="DF40" i="24"/>
  <c r="DG40" i="24"/>
  <c r="DH40" i="24"/>
  <c r="DI40" i="24"/>
  <c r="DJ40" i="24"/>
  <c r="DK40" i="24"/>
  <c r="DL40" i="24"/>
  <c r="DM40" i="24"/>
  <c r="DN40" i="24"/>
  <c r="DO40" i="24"/>
  <c r="DP40" i="24"/>
  <c r="DQ40" i="24"/>
  <c r="DR40" i="24"/>
  <c r="DS40" i="24"/>
  <c r="DT40" i="24"/>
  <c r="DU40" i="24"/>
  <c r="DV40" i="24"/>
  <c r="DW40" i="24"/>
  <c r="DX40" i="24"/>
  <c r="DY40" i="24"/>
  <c r="DZ40" i="24"/>
  <c r="EA40" i="24"/>
  <c r="EB40" i="24"/>
  <c r="EC40" i="24"/>
  <c r="ED40" i="24"/>
  <c r="EE40" i="24"/>
  <c r="EF40" i="24"/>
  <c r="EG40" i="24"/>
  <c r="EH40" i="24"/>
  <c r="EI40" i="24"/>
  <c r="EJ40" i="24"/>
  <c r="EK40" i="24"/>
  <c r="EL40" i="24"/>
  <c r="EM40" i="24"/>
  <c r="EN40" i="24"/>
  <c r="EO40" i="24"/>
  <c r="EP40" i="24"/>
  <c r="EQ40" i="24"/>
  <c r="ER40" i="24"/>
  <c r="ES40" i="24"/>
  <c r="ET40" i="24"/>
  <c r="EU40" i="24"/>
  <c r="EV40" i="24"/>
  <c r="EW40" i="24"/>
  <c r="EX40" i="24"/>
  <c r="EY40" i="24"/>
  <c r="EZ40" i="24"/>
  <c r="FA40" i="24"/>
  <c r="FB40" i="24"/>
  <c r="FC40" i="24"/>
  <c r="FD40" i="24"/>
  <c r="FE40" i="24"/>
  <c r="FF40" i="24"/>
  <c r="FG40" i="24"/>
  <c r="FH40" i="24"/>
  <c r="FI40" i="24"/>
  <c r="FJ40" i="24"/>
  <c r="FK40" i="24"/>
  <c r="FL40" i="24"/>
  <c r="FM40" i="24"/>
  <c r="FN40" i="24"/>
  <c r="FO40" i="24"/>
  <c r="FP40" i="24"/>
  <c r="FQ40" i="24"/>
  <c r="FR40" i="24"/>
  <c r="FS40" i="24"/>
  <c r="FT40" i="24"/>
  <c r="FU40" i="24"/>
  <c r="FV40" i="24"/>
  <c r="FW40" i="24"/>
  <c r="FX40" i="24"/>
  <c r="FY40" i="24"/>
  <c r="FZ40" i="24"/>
  <c r="GA40" i="24"/>
  <c r="GB40" i="24"/>
  <c r="GC40" i="24"/>
  <c r="GD40" i="24"/>
  <c r="GE40" i="24"/>
  <c r="GF40" i="24"/>
  <c r="GG40" i="24"/>
  <c r="GH40" i="24"/>
  <c r="GI40" i="24"/>
  <c r="GJ40" i="24"/>
  <c r="GK40" i="24"/>
  <c r="GL40" i="24"/>
  <c r="GM40" i="24"/>
  <c r="GN40" i="24"/>
  <c r="GO40" i="24"/>
  <c r="GP40" i="24"/>
  <c r="GQ40" i="24"/>
  <c r="GR40" i="24"/>
  <c r="GS40" i="24"/>
  <c r="GT40" i="24"/>
  <c r="C41" i="24"/>
  <c r="D41" i="24"/>
  <c r="E41" i="24"/>
  <c r="F41" i="24"/>
  <c r="G41" i="24"/>
  <c r="H41" i="24"/>
  <c r="I41" i="24"/>
  <c r="J41" i="24"/>
  <c r="K41" i="24"/>
  <c r="L41" i="24"/>
  <c r="M41" i="24"/>
  <c r="N41" i="24"/>
  <c r="O41" i="24"/>
  <c r="P41" i="24"/>
  <c r="Q41" i="24"/>
  <c r="R41" i="24"/>
  <c r="S41" i="24"/>
  <c r="T41" i="24"/>
  <c r="U41" i="24"/>
  <c r="V41" i="24"/>
  <c r="W41" i="24"/>
  <c r="X41" i="24"/>
  <c r="Y41" i="24"/>
  <c r="Z41" i="24"/>
  <c r="AA41" i="24"/>
  <c r="AB41" i="24"/>
  <c r="AC41" i="24"/>
  <c r="AD41" i="24"/>
  <c r="AE41" i="24"/>
  <c r="AF41" i="24"/>
  <c r="AG41" i="24"/>
  <c r="AH41" i="24"/>
  <c r="AI41" i="24"/>
  <c r="AJ41" i="24"/>
  <c r="AK41" i="24"/>
  <c r="AL41" i="24"/>
  <c r="AM41" i="24"/>
  <c r="AN41" i="24"/>
  <c r="AO41" i="24"/>
  <c r="AP41" i="24"/>
  <c r="AQ41" i="24"/>
  <c r="AR41" i="24"/>
  <c r="AS41" i="24"/>
  <c r="AT41" i="24"/>
  <c r="AU41" i="24"/>
  <c r="AV41" i="24"/>
  <c r="AW41" i="24"/>
  <c r="AX41" i="24"/>
  <c r="AY41" i="24"/>
  <c r="AZ41" i="24"/>
  <c r="BA41" i="24"/>
  <c r="BB41" i="24"/>
  <c r="BC41" i="24"/>
  <c r="BD41" i="24"/>
  <c r="BE41" i="24"/>
  <c r="BF41" i="24"/>
  <c r="BG41" i="24"/>
  <c r="BH41" i="24"/>
  <c r="BI41" i="24"/>
  <c r="BJ41" i="24"/>
  <c r="BK41" i="24"/>
  <c r="BL41" i="24"/>
  <c r="BM41" i="24"/>
  <c r="BN41" i="24"/>
  <c r="BO41" i="24"/>
  <c r="BP41" i="24"/>
  <c r="BQ41" i="24"/>
  <c r="BR41" i="24"/>
  <c r="BS41" i="24"/>
  <c r="BT41" i="24"/>
  <c r="BU41" i="24"/>
  <c r="BV41" i="24"/>
  <c r="BW41" i="24"/>
  <c r="BX41" i="24"/>
  <c r="BY41" i="24"/>
  <c r="BZ41" i="24"/>
  <c r="CA41" i="24"/>
  <c r="CB41" i="24"/>
  <c r="CC41" i="24"/>
  <c r="CD41" i="24"/>
  <c r="CE41" i="24"/>
  <c r="CF41" i="24"/>
  <c r="CG41" i="24"/>
  <c r="CH41" i="24"/>
  <c r="CI41" i="24"/>
  <c r="CJ41" i="24"/>
  <c r="CK41" i="24"/>
  <c r="CL41" i="24"/>
  <c r="CM41" i="24"/>
  <c r="CN41" i="24"/>
  <c r="CO41" i="24"/>
  <c r="CP41" i="24"/>
  <c r="CQ41" i="24"/>
  <c r="CR41" i="24"/>
  <c r="CS41" i="24"/>
  <c r="CT41" i="24"/>
  <c r="CU41" i="24"/>
  <c r="CV41" i="24"/>
  <c r="CW41" i="24"/>
  <c r="CX41" i="24"/>
  <c r="CY41" i="24"/>
  <c r="CZ41" i="24"/>
  <c r="DA41" i="24"/>
  <c r="DB41" i="24"/>
  <c r="DC41" i="24"/>
  <c r="DD41" i="24"/>
  <c r="DE41" i="24"/>
  <c r="DF41" i="24"/>
  <c r="DG41" i="24"/>
  <c r="DH41" i="24"/>
  <c r="DI41" i="24"/>
  <c r="DJ41" i="24"/>
  <c r="DK41" i="24"/>
  <c r="DL41" i="24"/>
  <c r="DM41" i="24"/>
  <c r="DN41" i="24"/>
  <c r="DO41" i="24"/>
  <c r="DP41" i="24"/>
  <c r="DQ41" i="24"/>
  <c r="DR41" i="24"/>
  <c r="DS41" i="24"/>
  <c r="DT41" i="24"/>
  <c r="DU41" i="24"/>
  <c r="DV41" i="24"/>
  <c r="DW41" i="24"/>
  <c r="DX41" i="24"/>
  <c r="DY41" i="24"/>
  <c r="DZ41" i="24"/>
  <c r="EA41" i="24"/>
  <c r="EB41" i="24"/>
  <c r="EC41" i="24"/>
  <c r="ED41" i="24"/>
  <c r="EE41" i="24"/>
  <c r="EF41" i="24"/>
  <c r="EG41" i="24"/>
  <c r="EH41" i="24"/>
  <c r="EI41" i="24"/>
  <c r="EJ41" i="24"/>
  <c r="EK41" i="24"/>
  <c r="EL41" i="24"/>
  <c r="EM41" i="24"/>
  <c r="EN41" i="24"/>
  <c r="EO41" i="24"/>
  <c r="EP41" i="24"/>
  <c r="EQ41" i="24"/>
  <c r="ER41" i="24"/>
  <c r="ES41" i="24"/>
  <c r="ET41" i="24"/>
  <c r="EU41" i="24"/>
  <c r="EV41" i="24"/>
  <c r="EW41" i="24"/>
  <c r="EX41" i="24"/>
  <c r="EY41" i="24"/>
  <c r="EZ41" i="24"/>
  <c r="FA41" i="24"/>
  <c r="FB41" i="24"/>
  <c r="FC41" i="24"/>
  <c r="FD41" i="24"/>
  <c r="FE41" i="24"/>
  <c r="FF41" i="24"/>
  <c r="FG41" i="24"/>
  <c r="FH41" i="24"/>
  <c r="FI41" i="24"/>
  <c r="FJ41" i="24"/>
  <c r="FK41" i="24"/>
  <c r="FL41" i="24"/>
  <c r="FM41" i="24"/>
  <c r="FN41" i="24"/>
  <c r="FO41" i="24"/>
  <c r="FP41" i="24"/>
  <c r="FQ41" i="24"/>
  <c r="FR41" i="24"/>
  <c r="FS41" i="24"/>
  <c r="FT41" i="24"/>
  <c r="FU41" i="24"/>
  <c r="FV41" i="24"/>
  <c r="FW41" i="24"/>
  <c r="FX41" i="24"/>
  <c r="FY41" i="24"/>
  <c r="FZ41" i="24"/>
  <c r="GA41" i="24"/>
  <c r="GB41" i="24"/>
  <c r="GC41" i="24"/>
  <c r="GD41" i="24"/>
  <c r="GE41" i="24"/>
  <c r="GF41" i="24"/>
  <c r="GG41" i="24"/>
  <c r="GH41" i="24"/>
  <c r="GI41" i="24"/>
  <c r="GJ41" i="24"/>
  <c r="GK41" i="24"/>
  <c r="GL41" i="24"/>
  <c r="GM41" i="24"/>
  <c r="GN41" i="24"/>
  <c r="GO41" i="24"/>
  <c r="GP41" i="24"/>
  <c r="GQ41" i="24"/>
  <c r="GR41" i="24"/>
  <c r="GS41" i="24"/>
  <c r="GT41" i="24"/>
  <c r="C42" i="24"/>
  <c r="D42" i="24"/>
  <c r="E42" i="24"/>
  <c r="F42" i="24"/>
  <c r="G42" i="24"/>
  <c r="H42" i="24"/>
  <c r="I42" i="24"/>
  <c r="J42" i="24"/>
  <c r="K42" i="24"/>
  <c r="L42" i="24"/>
  <c r="M42" i="24"/>
  <c r="N42" i="24"/>
  <c r="O42" i="24"/>
  <c r="P42" i="24"/>
  <c r="Q42" i="24"/>
  <c r="R42" i="24"/>
  <c r="S42" i="24"/>
  <c r="T42" i="24"/>
  <c r="U42" i="24"/>
  <c r="V42" i="24"/>
  <c r="W42" i="24"/>
  <c r="X42" i="24"/>
  <c r="Y42" i="24"/>
  <c r="Z42" i="24"/>
  <c r="AA42" i="24"/>
  <c r="AB42" i="24"/>
  <c r="AC42" i="24"/>
  <c r="AD42" i="24"/>
  <c r="AE42" i="24"/>
  <c r="AF42" i="24"/>
  <c r="AG42" i="24"/>
  <c r="AH42" i="24"/>
  <c r="AI42" i="24"/>
  <c r="AJ42" i="24"/>
  <c r="AK42" i="24"/>
  <c r="AL42" i="24"/>
  <c r="AM42" i="24"/>
  <c r="AN42" i="24"/>
  <c r="AO42" i="24"/>
  <c r="AP42" i="24"/>
  <c r="AQ42" i="24"/>
  <c r="AR42" i="24"/>
  <c r="AS42" i="24"/>
  <c r="AT42" i="24"/>
  <c r="AU42" i="24"/>
  <c r="AV42" i="24"/>
  <c r="AW42" i="24"/>
  <c r="AX42" i="24"/>
  <c r="AY42" i="24"/>
  <c r="AZ42" i="24"/>
  <c r="BA42" i="24"/>
  <c r="BB42" i="24"/>
  <c r="BC42" i="24"/>
  <c r="BD42" i="24"/>
  <c r="BE42" i="24"/>
  <c r="BF42" i="24"/>
  <c r="BG42" i="24"/>
  <c r="BH42" i="24"/>
  <c r="BI42" i="24"/>
  <c r="BJ42" i="24"/>
  <c r="BK42" i="24"/>
  <c r="BL42" i="24"/>
  <c r="BM42" i="24"/>
  <c r="BN42" i="24"/>
  <c r="BO42" i="24"/>
  <c r="BP42" i="24"/>
  <c r="BQ42" i="24"/>
  <c r="BR42" i="24"/>
  <c r="BS42" i="24"/>
  <c r="BT42" i="24"/>
  <c r="BU42" i="24"/>
  <c r="BV42" i="24"/>
  <c r="BW42" i="24"/>
  <c r="BX42" i="24"/>
  <c r="BY42" i="24"/>
  <c r="BZ42" i="24"/>
  <c r="CA42" i="24"/>
  <c r="CB42" i="24"/>
  <c r="CC42" i="24"/>
  <c r="CD42" i="24"/>
  <c r="CE42" i="24"/>
  <c r="CF42" i="24"/>
  <c r="CG42" i="24"/>
  <c r="CH42" i="24"/>
  <c r="CI42" i="24"/>
  <c r="CJ42" i="24"/>
  <c r="CK42" i="24"/>
  <c r="CL42" i="24"/>
  <c r="CM42" i="24"/>
  <c r="CN42" i="24"/>
  <c r="CO42" i="24"/>
  <c r="CP42" i="24"/>
  <c r="CQ42" i="24"/>
  <c r="CR42" i="24"/>
  <c r="CS42" i="24"/>
  <c r="CT42" i="24"/>
  <c r="CU42" i="24"/>
  <c r="CV42" i="24"/>
  <c r="CW42" i="24"/>
  <c r="CX42" i="24"/>
  <c r="CY42" i="24"/>
  <c r="CZ42" i="24"/>
  <c r="DA42" i="24"/>
  <c r="DB42" i="24"/>
  <c r="DC42" i="24"/>
  <c r="DD42" i="24"/>
  <c r="DE42" i="24"/>
  <c r="DF42" i="24"/>
  <c r="DG42" i="24"/>
  <c r="DH42" i="24"/>
  <c r="DI42" i="24"/>
  <c r="DJ42" i="24"/>
  <c r="DK42" i="24"/>
  <c r="DL42" i="24"/>
  <c r="DM42" i="24"/>
  <c r="DN42" i="24"/>
  <c r="DO42" i="24"/>
  <c r="DP42" i="24"/>
  <c r="DQ42" i="24"/>
  <c r="DR42" i="24"/>
  <c r="DS42" i="24"/>
  <c r="DT42" i="24"/>
  <c r="DU42" i="24"/>
  <c r="DV42" i="24"/>
  <c r="DW42" i="24"/>
  <c r="DX42" i="24"/>
  <c r="DY42" i="24"/>
  <c r="DZ42" i="24"/>
  <c r="EA42" i="24"/>
  <c r="EB42" i="24"/>
  <c r="EC42" i="24"/>
  <c r="ED42" i="24"/>
  <c r="EE42" i="24"/>
  <c r="EF42" i="24"/>
  <c r="EG42" i="24"/>
  <c r="EH42" i="24"/>
  <c r="EI42" i="24"/>
  <c r="EJ42" i="24"/>
  <c r="EK42" i="24"/>
  <c r="EL42" i="24"/>
  <c r="EM42" i="24"/>
  <c r="EN42" i="24"/>
  <c r="EO42" i="24"/>
  <c r="EP42" i="24"/>
  <c r="EQ42" i="24"/>
  <c r="ER42" i="24"/>
  <c r="ES42" i="24"/>
  <c r="ET42" i="24"/>
  <c r="EU42" i="24"/>
  <c r="EV42" i="24"/>
  <c r="EW42" i="24"/>
  <c r="EX42" i="24"/>
  <c r="EY42" i="24"/>
  <c r="EZ42" i="24"/>
  <c r="FA42" i="24"/>
  <c r="FB42" i="24"/>
  <c r="FC42" i="24"/>
  <c r="FD42" i="24"/>
  <c r="FE42" i="24"/>
  <c r="FF42" i="24"/>
  <c r="FG42" i="24"/>
  <c r="FH42" i="24"/>
  <c r="FI42" i="24"/>
  <c r="FJ42" i="24"/>
  <c r="FK42" i="24"/>
  <c r="FL42" i="24"/>
  <c r="FM42" i="24"/>
  <c r="FN42" i="24"/>
  <c r="FO42" i="24"/>
  <c r="FP42" i="24"/>
  <c r="FQ42" i="24"/>
  <c r="FR42" i="24"/>
  <c r="FS42" i="24"/>
  <c r="FT42" i="24"/>
  <c r="FU42" i="24"/>
  <c r="FV42" i="24"/>
  <c r="FW42" i="24"/>
  <c r="FX42" i="24"/>
  <c r="FY42" i="24"/>
  <c r="FZ42" i="24"/>
  <c r="GA42" i="24"/>
  <c r="GB42" i="24"/>
  <c r="GC42" i="24"/>
  <c r="GD42" i="24"/>
  <c r="GE42" i="24"/>
  <c r="GF42" i="24"/>
  <c r="GG42" i="24"/>
  <c r="GH42" i="24"/>
  <c r="GI42" i="24"/>
  <c r="GJ42" i="24"/>
  <c r="GK42" i="24"/>
  <c r="GL42" i="24"/>
  <c r="GM42" i="24"/>
  <c r="GN42" i="24"/>
  <c r="GO42" i="24"/>
  <c r="GP42" i="24"/>
  <c r="GQ42" i="24"/>
  <c r="GR42" i="24"/>
  <c r="GS42" i="24"/>
  <c r="GT42" i="24"/>
  <c r="C43" i="24"/>
  <c r="D43" i="24"/>
  <c r="E43" i="24"/>
  <c r="F43" i="24"/>
  <c r="G43" i="24"/>
  <c r="H43" i="24"/>
  <c r="I43" i="24"/>
  <c r="J43" i="24"/>
  <c r="K43" i="24"/>
  <c r="L43" i="24"/>
  <c r="M43" i="24"/>
  <c r="N43" i="24"/>
  <c r="O43" i="24"/>
  <c r="P43" i="24"/>
  <c r="Q43" i="24"/>
  <c r="R43" i="24"/>
  <c r="S43" i="24"/>
  <c r="T43" i="24"/>
  <c r="U43" i="24"/>
  <c r="V43" i="24"/>
  <c r="W43" i="24"/>
  <c r="X43" i="24"/>
  <c r="Y43" i="24"/>
  <c r="Z43" i="24"/>
  <c r="AA43" i="24"/>
  <c r="AB43" i="24"/>
  <c r="AC43" i="24"/>
  <c r="AD43" i="24"/>
  <c r="AE43" i="24"/>
  <c r="AF43" i="24"/>
  <c r="AG43" i="24"/>
  <c r="AH43" i="24"/>
  <c r="AI43" i="24"/>
  <c r="AJ43" i="24"/>
  <c r="AK43" i="24"/>
  <c r="AL43" i="24"/>
  <c r="AM43" i="24"/>
  <c r="AN43" i="24"/>
  <c r="AO43" i="24"/>
  <c r="AP43" i="24"/>
  <c r="AQ43" i="24"/>
  <c r="AR43" i="24"/>
  <c r="AS43" i="24"/>
  <c r="AT43" i="24"/>
  <c r="AU43" i="24"/>
  <c r="AV43" i="24"/>
  <c r="AW43" i="24"/>
  <c r="AX43" i="24"/>
  <c r="AY43" i="24"/>
  <c r="AZ43" i="24"/>
  <c r="BA43" i="24"/>
  <c r="BB43" i="24"/>
  <c r="BC43" i="24"/>
  <c r="BD43" i="24"/>
  <c r="BE43" i="24"/>
  <c r="BF43" i="24"/>
  <c r="BG43" i="24"/>
  <c r="BH43" i="24"/>
  <c r="BI43" i="24"/>
  <c r="BJ43" i="24"/>
  <c r="BK43" i="24"/>
  <c r="BL43" i="24"/>
  <c r="BM43" i="24"/>
  <c r="BN43" i="24"/>
  <c r="BO43" i="24"/>
  <c r="BP43" i="24"/>
  <c r="BQ43" i="24"/>
  <c r="BR43" i="24"/>
  <c r="BS43" i="24"/>
  <c r="BT43" i="24"/>
  <c r="BU43" i="24"/>
  <c r="BV43" i="24"/>
  <c r="BW43" i="24"/>
  <c r="BX43" i="24"/>
  <c r="BY43" i="24"/>
  <c r="BZ43" i="24"/>
  <c r="CA43" i="24"/>
  <c r="CB43" i="24"/>
  <c r="CC43" i="24"/>
  <c r="CD43" i="24"/>
  <c r="CE43" i="24"/>
  <c r="CF43" i="24"/>
  <c r="CG43" i="24"/>
  <c r="CH43" i="24"/>
  <c r="CI43" i="24"/>
  <c r="CJ43" i="24"/>
  <c r="CK43" i="24"/>
  <c r="CL43" i="24"/>
  <c r="CM43" i="24"/>
  <c r="CN43" i="24"/>
  <c r="CO43" i="24"/>
  <c r="CP43" i="24"/>
  <c r="CQ43" i="24"/>
  <c r="CR43" i="24"/>
  <c r="CS43" i="24"/>
  <c r="CT43" i="24"/>
  <c r="CU43" i="24"/>
  <c r="CV43" i="24"/>
  <c r="CW43" i="24"/>
  <c r="CX43" i="24"/>
  <c r="CY43" i="24"/>
  <c r="CZ43" i="24"/>
  <c r="DA43" i="24"/>
  <c r="DB43" i="24"/>
  <c r="DC43" i="24"/>
  <c r="DD43" i="24"/>
  <c r="DE43" i="24"/>
  <c r="DF43" i="24"/>
  <c r="DG43" i="24"/>
  <c r="DH43" i="24"/>
  <c r="DI43" i="24"/>
  <c r="DJ43" i="24"/>
  <c r="DK43" i="24"/>
  <c r="DL43" i="24"/>
  <c r="DM43" i="24"/>
  <c r="DN43" i="24"/>
  <c r="DO43" i="24"/>
  <c r="DP43" i="24"/>
  <c r="DQ43" i="24"/>
  <c r="DR43" i="24"/>
  <c r="DS43" i="24"/>
  <c r="DT43" i="24"/>
  <c r="DU43" i="24"/>
  <c r="DV43" i="24"/>
  <c r="DW43" i="24"/>
  <c r="DX43" i="24"/>
  <c r="DY43" i="24"/>
  <c r="DZ43" i="24"/>
  <c r="EA43" i="24"/>
  <c r="EB43" i="24"/>
  <c r="EC43" i="24"/>
  <c r="ED43" i="24"/>
  <c r="EE43" i="24"/>
  <c r="EF43" i="24"/>
  <c r="EG43" i="24"/>
  <c r="EH43" i="24"/>
  <c r="EI43" i="24"/>
  <c r="EJ43" i="24"/>
  <c r="EK43" i="24"/>
  <c r="EL43" i="24"/>
  <c r="EM43" i="24"/>
  <c r="EN43" i="24"/>
  <c r="EO43" i="24"/>
  <c r="EP43" i="24"/>
  <c r="EQ43" i="24"/>
  <c r="ER43" i="24"/>
  <c r="ES43" i="24"/>
  <c r="ET43" i="24"/>
  <c r="EU43" i="24"/>
  <c r="EV43" i="24"/>
  <c r="EW43" i="24"/>
  <c r="EX43" i="24"/>
  <c r="EY43" i="24"/>
  <c r="EZ43" i="24"/>
  <c r="FA43" i="24"/>
  <c r="FB43" i="24"/>
  <c r="FC43" i="24"/>
  <c r="FD43" i="24"/>
  <c r="FE43" i="24"/>
  <c r="FF43" i="24"/>
  <c r="FG43" i="24"/>
  <c r="FH43" i="24"/>
  <c r="FI43" i="24"/>
  <c r="FJ43" i="24"/>
  <c r="FK43" i="24"/>
  <c r="FL43" i="24"/>
  <c r="FM43" i="24"/>
  <c r="FN43" i="24"/>
  <c r="FO43" i="24"/>
  <c r="FP43" i="24"/>
  <c r="FQ43" i="24"/>
  <c r="FR43" i="24"/>
  <c r="FS43" i="24"/>
  <c r="FT43" i="24"/>
  <c r="FU43" i="24"/>
  <c r="FV43" i="24"/>
  <c r="FW43" i="24"/>
  <c r="FX43" i="24"/>
  <c r="FY43" i="24"/>
  <c r="FZ43" i="24"/>
  <c r="GA43" i="24"/>
  <c r="GB43" i="24"/>
  <c r="GC43" i="24"/>
  <c r="GD43" i="24"/>
  <c r="GE43" i="24"/>
  <c r="GF43" i="24"/>
  <c r="GG43" i="24"/>
  <c r="GH43" i="24"/>
  <c r="GI43" i="24"/>
  <c r="GJ43" i="24"/>
  <c r="GK43" i="24"/>
  <c r="GL43" i="24"/>
  <c r="GM43" i="24"/>
  <c r="GN43" i="24"/>
  <c r="GO43" i="24"/>
  <c r="GP43" i="24"/>
  <c r="GQ43" i="24"/>
  <c r="GR43" i="24"/>
  <c r="GS43" i="24"/>
  <c r="GT43" i="24"/>
  <c r="C44" i="24"/>
  <c r="D44" i="24"/>
  <c r="E44" i="24"/>
  <c r="F44" i="24"/>
  <c r="G44" i="24"/>
  <c r="H44" i="24"/>
  <c r="I44" i="24"/>
  <c r="J44" i="24"/>
  <c r="K44" i="24"/>
  <c r="L44" i="24"/>
  <c r="M44" i="24"/>
  <c r="N44" i="24"/>
  <c r="O44" i="24"/>
  <c r="P44" i="24"/>
  <c r="Q44" i="24"/>
  <c r="R44" i="24"/>
  <c r="S44" i="24"/>
  <c r="T44" i="24"/>
  <c r="U44" i="24"/>
  <c r="V44" i="24"/>
  <c r="W44" i="24"/>
  <c r="X44" i="24"/>
  <c r="Y44" i="24"/>
  <c r="Z44" i="24"/>
  <c r="AA44" i="24"/>
  <c r="AB44" i="24"/>
  <c r="AC44" i="24"/>
  <c r="AD44" i="24"/>
  <c r="AE44" i="24"/>
  <c r="AF44" i="24"/>
  <c r="AG44" i="24"/>
  <c r="AH44" i="24"/>
  <c r="AI44" i="24"/>
  <c r="AJ44" i="24"/>
  <c r="AK44" i="24"/>
  <c r="AL44" i="24"/>
  <c r="AM44" i="24"/>
  <c r="AN44" i="24"/>
  <c r="AO44" i="24"/>
  <c r="AP44" i="24"/>
  <c r="AQ44" i="24"/>
  <c r="AR44" i="24"/>
  <c r="AS44" i="24"/>
  <c r="AT44" i="24"/>
  <c r="AU44" i="24"/>
  <c r="AV44" i="24"/>
  <c r="AW44" i="24"/>
  <c r="AX44" i="24"/>
  <c r="AY44" i="24"/>
  <c r="AZ44" i="24"/>
  <c r="BA44" i="24"/>
  <c r="BB44" i="24"/>
  <c r="BC44" i="24"/>
  <c r="BD44" i="24"/>
  <c r="BE44" i="24"/>
  <c r="BF44" i="24"/>
  <c r="BG44" i="24"/>
  <c r="BH44" i="24"/>
  <c r="BI44" i="24"/>
  <c r="BJ44" i="24"/>
  <c r="BK44" i="24"/>
  <c r="BL44" i="24"/>
  <c r="BM44" i="24"/>
  <c r="BN44" i="24"/>
  <c r="BO44" i="24"/>
  <c r="BP44" i="24"/>
  <c r="BQ44" i="24"/>
  <c r="BR44" i="24"/>
  <c r="BS44" i="24"/>
  <c r="BT44" i="24"/>
  <c r="BU44" i="24"/>
  <c r="BV44" i="24"/>
  <c r="BW44" i="24"/>
  <c r="BX44" i="24"/>
  <c r="BY44" i="24"/>
  <c r="BZ44" i="24"/>
  <c r="CA44" i="24"/>
  <c r="CB44" i="24"/>
  <c r="CC44" i="24"/>
  <c r="CD44" i="24"/>
  <c r="CE44" i="24"/>
  <c r="CF44" i="24"/>
  <c r="CG44" i="24"/>
  <c r="CH44" i="24"/>
  <c r="CI44" i="24"/>
  <c r="CJ44" i="24"/>
  <c r="CK44" i="24"/>
  <c r="CL44" i="24"/>
  <c r="CM44" i="24"/>
  <c r="CN44" i="24"/>
  <c r="CO44" i="24"/>
  <c r="CP44" i="24"/>
  <c r="CQ44" i="24"/>
  <c r="CR44" i="24"/>
  <c r="CS44" i="24"/>
  <c r="CT44" i="24"/>
  <c r="CU44" i="24"/>
  <c r="CV44" i="24"/>
  <c r="CW44" i="24"/>
  <c r="CX44" i="24"/>
  <c r="CY44" i="24"/>
  <c r="CZ44" i="24"/>
  <c r="DA44" i="24"/>
  <c r="DB44" i="24"/>
  <c r="DC44" i="24"/>
  <c r="DD44" i="24"/>
  <c r="DE44" i="24"/>
  <c r="DF44" i="24"/>
  <c r="DG44" i="24"/>
  <c r="DH44" i="24"/>
  <c r="DI44" i="24"/>
  <c r="DJ44" i="24"/>
  <c r="DK44" i="24"/>
  <c r="DL44" i="24"/>
  <c r="DM44" i="24"/>
  <c r="DN44" i="24"/>
  <c r="DO44" i="24"/>
  <c r="DP44" i="24"/>
  <c r="DQ44" i="24"/>
  <c r="DR44" i="24"/>
  <c r="DS44" i="24"/>
  <c r="DT44" i="24"/>
  <c r="DU44" i="24"/>
  <c r="DV44" i="24"/>
  <c r="DW44" i="24"/>
  <c r="DX44" i="24"/>
  <c r="DY44" i="24"/>
  <c r="DZ44" i="24"/>
  <c r="EA44" i="24"/>
  <c r="EB44" i="24"/>
  <c r="EC44" i="24"/>
  <c r="ED44" i="24"/>
  <c r="EE44" i="24"/>
  <c r="EF44" i="24"/>
  <c r="EG44" i="24"/>
  <c r="EH44" i="24"/>
  <c r="EI44" i="24"/>
  <c r="EJ44" i="24"/>
  <c r="EK44" i="24"/>
  <c r="EL44" i="24"/>
  <c r="EM44" i="24"/>
  <c r="EN44" i="24"/>
  <c r="EO44" i="24"/>
  <c r="EP44" i="24"/>
  <c r="EQ44" i="24"/>
  <c r="ER44" i="24"/>
  <c r="ES44" i="24"/>
  <c r="ET44" i="24"/>
  <c r="EU44" i="24"/>
  <c r="EV44" i="24"/>
  <c r="EW44" i="24"/>
  <c r="EX44" i="24"/>
  <c r="EY44" i="24"/>
  <c r="EZ44" i="24"/>
  <c r="FA44" i="24"/>
  <c r="FB44" i="24"/>
  <c r="FC44" i="24"/>
  <c r="FD44" i="24"/>
  <c r="FE44" i="24"/>
  <c r="FF44" i="24"/>
  <c r="FG44" i="24"/>
  <c r="FH44" i="24"/>
  <c r="FI44" i="24"/>
  <c r="FJ44" i="24"/>
  <c r="FK44" i="24"/>
  <c r="FL44" i="24"/>
  <c r="FM44" i="24"/>
  <c r="FN44" i="24"/>
  <c r="FO44" i="24"/>
  <c r="FP44" i="24"/>
  <c r="FQ44" i="24"/>
  <c r="FR44" i="24"/>
  <c r="FS44" i="24"/>
  <c r="FT44" i="24"/>
  <c r="FU44" i="24"/>
  <c r="FV44" i="24"/>
  <c r="FW44" i="24"/>
  <c r="FX44" i="24"/>
  <c r="FY44" i="24"/>
  <c r="FZ44" i="24"/>
  <c r="GA44" i="24"/>
  <c r="GB44" i="24"/>
  <c r="GC44" i="24"/>
  <c r="GD44" i="24"/>
  <c r="GE44" i="24"/>
  <c r="GF44" i="24"/>
  <c r="GG44" i="24"/>
  <c r="GH44" i="24"/>
  <c r="GI44" i="24"/>
  <c r="GJ44" i="24"/>
  <c r="GK44" i="24"/>
  <c r="GL44" i="24"/>
  <c r="GM44" i="24"/>
  <c r="GN44" i="24"/>
  <c r="GO44" i="24"/>
  <c r="GP44" i="24"/>
  <c r="GQ44" i="24"/>
  <c r="GR44" i="24"/>
  <c r="GS44" i="24"/>
  <c r="GT44" i="24"/>
  <c r="C45" i="24"/>
  <c r="D45" i="24"/>
  <c r="E45" i="24"/>
  <c r="F45" i="24"/>
  <c r="G45" i="24"/>
  <c r="H45" i="24"/>
  <c r="I45" i="24"/>
  <c r="J45" i="24"/>
  <c r="K45" i="24"/>
  <c r="L45" i="24"/>
  <c r="M45" i="24"/>
  <c r="N45" i="24"/>
  <c r="O45" i="24"/>
  <c r="P45" i="24"/>
  <c r="Q45" i="24"/>
  <c r="R45" i="24"/>
  <c r="S45" i="24"/>
  <c r="T45" i="24"/>
  <c r="U45" i="24"/>
  <c r="V45" i="24"/>
  <c r="W45" i="24"/>
  <c r="X45" i="24"/>
  <c r="Y45" i="24"/>
  <c r="Z45" i="24"/>
  <c r="AA45" i="24"/>
  <c r="AB45" i="24"/>
  <c r="AC45" i="24"/>
  <c r="AD45" i="24"/>
  <c r="AE45" i="24"/>
  <c r="AF45" i="24"/>
  <c r="AG45" i="24"/>
  <c r="AH45" i="24"/>
  <c r="AI45" i="24"/>
  <c r="AJ45" i="24"/>
  <c r="AK45" i="24"/>
  <c r="AL45" i="24"/>
  <c r="AM45" i="24"/>
  <c r="AN45" i="24"/>
  <c r="AO45" i="24"/>
  <c r="AP45" i="24"/>
  <c r="AQ45" i="24"/>
  <c r="AR45" i="24"/>
  <c r="AS45" i="24"/>
  <c r="AT45" i="24"/>
  <c r="AU45" i="24"/>
  <c r="AV45" i="24"/>
  <c r="AW45" i="24"/>
  <c r="AX45" i="24"/>
  <c r="AY45" i="24"/>
  <c r="AZ45" i="24"/>
  <c r="BA45" i="24"/>
  <c r="BB45" i="24"/>
  <c r="BC45" i="24"/>
  <c r="BD45" i="24"/>
  <c r="BE45" i="24"/>
  <c r="BF45" i="24"/>
  <c r="BG45" i="24"/>
  <c r="BH45" i="24"/>
  <c r="BI45" i="24"/>
  <c r="BJ45" i="24"/>
  <c r="BK45" i="24"/>
  <c r="BL45" i="24"/>
  <c r="BM45" i="24"/>
  <c r="BN45" i="24"/>
  <c r="BO45" i="24"/>
  <c r="BP45" i="24"/>
  <c r="BQ45" i="24"/>
  <c r="BR45" i="24"/>
  <c r="BS45" i="24"/>
  <c r="BT45" i="24"/>
  <c r="BU45" i="24"/>
  <c r="BV45" i="24"/>
  <c r="BW45" i="24"/>
  <c r="BX45" i="24"/>
  <c r="BY45" i="24"/>
  <c r="BZ45" i="24"/>
  <c r="CA45" i="24"/>
  <c r="CB45" i="24"/>
  <c r="CC45" i="24"/>
  <c r="CD45" i="24"/>
  <c r="CE45" i="24"/>
  <c r="CF45" i="24"/>
  <c r="CG45" i="24"/>
  <c r="CH45" i="24"/>
  <c r="CI45" i="24"/>
  <c r="CJ45" i="24"/>
  <c r="CK45" i="24"/>
  <c r="CL45" i="24"/>
  <c r="CM45" i="24"/>
  <c r="CN45" i="24"/>
  <c r="CO45" i="24"/>
  <c r="CP45" i="24"/>
  <c r="CQ45" i="24"/>
  <c r="CR45" i="24"/>
  <c r="CS45" i="24"/>
  <c r="CT45" i="24"/>
  <c r="CU45" i="24"/>
  <c r="CV45" i="24"/>
  <c r="CW45" i="24"/>
  <c r="CX45" i="24"/>
  <c r="CY45" i="24"/>
  <c r="CZ45" i="24"/>
  <c r="DA45" i="24"/>
  <c r="DB45" i="24"/>
  <c r="DC45" i="24"/>
  <c r="DD45" i="24"/>
  <c r="DE45" i="24"/>
  <c r="DF45" i="24"/>
  <c r="DG45" i="24"/>
  <c r="DH45" i="24"/>
  <c r="DI45" i="24"/>
  <c r="DJ45" i="24"/>
  <c r="DK45" i="24"/>
  <c r="DL45" i="24"/>
  <c r="DM45" i="24"/>
  <c r="DN45" i="24"/>
  <c r="DO45" i="24"/>
  <c r="DP45" i="24"/>
  <c r="DQ45" i="24"/>
  <c r="DR45" i="24"/>
  <c r="DS45" i="24"/>
  <c r="DT45" i="24"/>
  <c r="DU45" i="24"/>
  <c r="DV45" i="24"/>
  <c r="DW45" i="24"/>
  <c r="DX45" i="24"/>
  <c r="DY45" i="24"/>
  <c r="DZ45" i="24"/>
  <c r="EA45" i="24"/>
  <c r="EB45" i="24"/>
  <c r="EC45" i="24"/>
  <c r="ED45" i="24"/>
  <c r="EE45" i="24"/>
  <c r="EF45" i="24"/>
  <c r="EG45" i="24"/>
  <c r="EH45" i="24"/>
  <c r="EI45" i="24"/>
  <c r="EJ45" i="24"/>
  <c r="EK45" i="24"/>
  <c r="EL45" i="24"/>
  <c r="EM45" i="24"/>
  <c r="EN45" i="24"/>
  <c r="EO45" i="24"/>
  <c r="EP45" i="24"/>
  <c r="EQ45" i="24"/>
  <c r="ER45" i="24"/>
  <c r="ES45" i="24"/>
  <c r="ET45" i="24"/>
  <c r="EU45" i="24"/>
  <c r="EV45" i="24"/>
  <c r="EW45" i="24"/>
  <c r="EX45" i="24"/>
  <c r="EY45" i="24"/>
  <c r="EZ45" i="24"/>
  <c r="FA45" i="24"/>
  <c r="FB45" i="24"/>
  <c r="FC45" i="24"/>
  <c r="FD45" i="24"/>
  <c r="FE45" i="24"/>
  <c r="FF45" i="24"/>
  <c r="FG45" i="24"/>
  <c r="FH45" i="24"/>
  <c r="FI45" i="24"/>
  <c r="FJ45" i="24"/>
  <c r="FK45" i="24"/>
  <c r="FL45" i="24"/>
  <c r="FM45" i="24"/>
  <c r="FN45" i="24"/>
  <c r="FO45" i="24"/>
  <c r="FP45" i="24"/>
  <c r="FQ45" i="24"/>
  <c r="FR45" i="24"/>
  <c r="FS45" i="24"/>
  <c r="FT45" i="24"/>
  <c r="FU45" i="24"/>
  <c r="FV45" i="24"/>
  <c r="FW45" i="24"/>
  <c r="FX45" i="24"/>
  <c r="FY45" i="24"/>
  <c r="FZ45" i="24"/>
  <c r="GA45" i="24"/>
  <c r="GB45" i="24"/>
  <c r="GC45" i="24"/>
  <c r="GD45" i="24"/>
  <c r="GE45" i="24"/>
  <c r="GF45" i="24"/>
  <c r="GG45" i="24"/>
  <c r="GH45" i="24"/>
  <c r="GI45" i="24"/>
  <c r="GJ45" i="24"/>
  <c r="GK45" i="24"/>
  <c r="GL45" i="24"/>
  <c r="GM45" i="24"/>
  <c r="GN45" i="24"/>
  <c r="GO45" i="24"/>
  <c r="GP45" i="24"/>
  <c r="GQ45" i="24"/>
  <c r="GR45" i="24"/>
  <c r="GS45" i="24"/>
  <c r="GT45" i="24"/>
  <c r="C46" i="24"/>
  <c r="D46" i="24"/>
  <c r="E46" i="24"/>
  <c r="F46" i="24"/>
  <c r="G46" i="24"/>
  <c r="H46" i="24"/>
  <c r="I46" i="24"/>
  <c r="J46" i="24"/>
  <c r="K46" i="24"/>
  <c r="L46" i="24"/>
  <c r="M46" i="24"/>
  <c r="N46" i="24"/>
  <c r="O46" i="24"/>
  <c r="P46" i="24"/>
  <c r="Q46" i="24"/>
  <c r="R46" i="24"/>
  <c r="S46" i="24"/>
  <c r="T46" i="24"/>
  <c r="U46" i="24"/>
  <c r="V46" i="24"/>
  <c r="W46" i="24"/>
  <c r="X46" i="24"/>
  <c r="Y46" i="24"/>
  <c r="Z46" i="24"/>
  <c r="AA46" i="24"/>
  <c r="AB46" i="24"/>
  <c r="AC46" i="24"/>
  <c r="AD46" i="24"/>
  <c r="AE46" i="24"/>
  <c r="AF46" i="24"/>
  <c r="AG46" i="24"/>
  <c r="AH46" i="24"/>
  <c r="AI46" i="24"/>
  <c r="AJ46" i="24"/>
  <c r="AK46" i="24"/>
  <c r="AL46" i="24"/>
  <c r="AM46" i="24"/>
  <c r="AN46" i="24"/>
  <c r="AO46" i="24"/>
  <c r="AP46" i="24"/>
  <c r="AQ46" i="24"/>
  <c r="AR46" i="24"/>
  <c r="AS46" i="24"/>
  <c r="AT46" i="24"/>
  <c r="AU46" i="24"/>
  <c r="AV46" i="24"/>
  <c r="AW46" i="24"/>
  <c r="AX46" i="24"/>
  <c r="AY46" i="24"/>
  <c r="AZ46" i="24"/>
  <c r="BA46" i="24"/>
  <c r="BB46" i="24"/>
  <c r="BC46" i="24"/>
  <c r="BD46" i="24"/>
  <c r="BE46" i="24"/>
  <c r="BF46" i="24"/>
  <c r="BG46" i="24"/>
  <c r="BH46" i="24"/>
  <c r="BI46" i="24"/>
  <c r="BJ46" i="24"/>
  <c r="BK46" i="24"/>
  <c r="BL46" i="24"/>
  <c r="BM46" i="24"/>
  <c r="BN46" i="24"/>
  <c r="BO46" i="24"/>
  <c r="BP46" i="24"/>
  <c r="BQ46" i="24"/>
  <c r="BR46" i="24"/>
  <c r="BS46" i="24"/>
  <c r="BT46" i="24"/>
  <c r="BU46" i="24"/>
  <c r="BV46" i="24"/>
  <c r="BW46" i="24"/>
  <c r="BX46" i="24"/>
  <c r="BY46" i="24"/>
  <c r="BZ46" i="24"/>
  <c r="CA46" i="24"/>
  <c r="CB46" i="24"/>
  <c r="CC46" i="24"/>
  <c r="CD46" i="24"/>
  <c r="CE46" i="24"/>
  <c r="CF46" i="24"/>
  <c r="CG46" i="24"/>
  <c r="CH46" i="24"/>
  <c r="CI46" i="24"/>
  <c r="CJ46" i="24"/>
  <c r="CK46" i="24"/>
  <c r="CL46" i="24"/>
  <c r="CM46" i="24"/>
  <c r="CN46" i="24"/>
  <c r="CO46" i="24"/>
  <c r="CP46" i="24"/>
  <c r="CQ46" i="24"/>
  <c r="CR46" i="24"/>
  <c r="CS46" i="24"/>
  <c r="CT46" i="24"/>
  <c r="CU46" i="24"/>
  <c r="CV46" i="24"/>
  <c r="CW46" i="24"/>
  <c r="CX46" i="24"/>
  <c r="CY46" i="24"/>
  <c r="CZ46" i="24"/>
  <c r="DA46" i="24"/>
  <c r="DB46" i="24"/>
  <c r="DC46" i="24"/>
  <c r="DD46" i="24"/>
  <c r="DE46" i="24"/>
  <c r="DF46" i="24"/>
  <c r="DG46" i="24"/>
  <c r="DH46" i="24"/>
  <c r="DI46" i="24"/>
  <c r="DJ46" i="24"/>
  <c r="DK46" i="24"/>
  <c r="DL46" i="24"/>
  <c r="DM46" i="24"/>
  <c r="DN46" i="24"/>
  <c r="DO46" i="24"/>
  <c r="DP46" i="24"/>
  <c r="DQ46" i="24"/>
  <c r="DR46" i="24"/>
  <c r="DS46" i="24"/>
  <c r="DT46" i="24"/>
  <c r="DU46" i="24"/>
  <c r="DV46" i="24"/>
  <c r="DW46" i="24"/>
  <c r="DX46" i="24"/>
  <c r="DY46" i="24"/>
  <c r="DZ46" i="24"/>
  <c r="EA46" i="24"/>
  <c r="EB46" i="24"/>
  <c r="EC46" i="24"/>
  <c r="ED46" i="24"/>
  <c r="EE46" i="24"/>
  <c r="EF46" i="24"/>
  <c r="EG46" i="24"/>
  <c r="EH46" i="24"/>
  <c r="EI46" i="24"/>
  <c r="EJ46" i="24"/>
  <c r="EK46" i="24"/>
  <c r="EL46" i="24"/>
  <c r="EM46" i="24"/>
  <c r="EN46" i="24"/>
  <c r="EO46" i="24"/>
  <c r="EP46" i="24"/>
  <c r="EQ46" i="24"/>
  <c r="ER46" i="24"/>
  <c r="ES46" i="24"/>
  <c r="ET46" i="24"/>
  <c r="EU46" i="24"/>
  <c r="EV46" i="24"/>
  <c r="EW46" i="24"/>
  <c r="EX46" i="24"/>
  <c r="EY46" i="24"/>
  <c r="EZ46" i="24"/>
  <c r="FA46" i="24"/>
  <c r="FB46" i="24"/>
  <c r="FC46" i="24"/>
  <c r="FD46" i="24"/>
  <c r="FE46" i="24"/>
  <c r="FF46" i="24"/>
  <c r="FG46" i="24"/>
  <c r="FH46" i="24"/>
  <c r="FI46" i="24"/>
  <c r="FJ46" i="24"/>
  <c r="FK46" i="24"/>
  <c r="FL46" i="24"/>
  <c r="FM46" i="24"/>
  <c r="FN46" i="24"/>
  <c r="FO46" i="24"/>
  <c r="FP46" i="24"/>
  <c r="FQ46" i="24"/>
  <c r="FR46" i="24"/>
  <c r="FS46" i="24"/>
  <c r="FT46" i="24"/>
  <c r="FU46" i="24"/>
  <c r="FV46" i="24"/>
  <c r="FW46" i="24"/>
  <c r="FX46" i="24"/>
  <c r="FY46" i="24"/>
  <c r="FZ46" i="24"/>
  <c r="GA46" i="24"/>
  <c r="GB46" i="24"/>
  <c r="GC46" i="24"/>
  <c r="GD46" i="24"/>
  <c r="GE46" i="24"/>
  <c r="GF46" i="24"/>
  <c r="GG46" i="24"/>
  <c r="GH46" i="24"/>
  <c r="GI46" i="24"/>
  <c r="GJ46" i="24"/>
  <c r="GK46" i="24"/>
  <c r="GL46" i="24"/>
  <c r="GM46" i="24"/>
  <c r="GN46" i="24"/>
  <c r="GO46" i="24"/>
  <c r="GP46" i="24"/>
  <c r="GQ46" i="24"/>
  <c r="GR46" i="24"/>
  <c r="GS46" i="24"/>
  <c r="GT46" i="24"/>
  <c r="B46" i="24"/>
  <c r="B45" i="24"/>
  <c r="B44" i="24"/>
  <c r="B43" i="24"/>
  <c r="B42" i="24"/>
  <c r="B41" i="24"/>
  <c r="B40" i="24"/>
  <c r="B39" i="24"/>
  <c r="B38" i="24"/>
  <c r="B37" i="24"/>
  <c r="B36" i="24"/>
  <c r="B35" i="24"/>
  <c r="C19" i="24"/>
  <c r="D19" i="24"/>
  <c r="E19" i="24"/>
  <c r="F19" i="24"/>
  <c r="G19" i="24"/>
  <c r="H19" i="24"/>
  <c r="I19" i="24"/>
  <c r="J19" i="24"/>
  <c r="K19" i="24"/>
  <c r="L19" i="24"/>
  <c r="M19" i="24"/>
  <c r="N19" i="24"/>
  <c r="O19" i="24"/>
  <c r="P19" i="24"/>
  <c r="Q19" i="24"/>
  <c r="R19" i="24"/>
  <c r="S19" i="24"/>
  <c r="T19" i="24"/>
  <c r="U19" i="24"/>
  <c r="V19" i="24"/>
  <c r="W19" i="24"/>
  <c r="X19" i="24"/>
  <c r="Y19" i="24"/>
  <c r="Z19" i="24"/>
  <c r="AA19" i="24"/>
  <c r="AB19" i="24"/>
  <c r="AC19" i="24"/>
  <c r="AD19" i="24"/>
  <c r="AE19" i="24"/>
  <c r="AF19" i="24"/>
  <c r="AG19" i="24"/>
  <c r="AH19" i="24"/>
  <c r="AI19" i="24"/>
  <c r="AJ19" i="24"/>
  <c r="AK19" i="24"/>
  <c r="AL19" i="24"/>
  <c r="AM19" i="24"/>
  <c r="AN19" i="24"/>
  <c r="AO19" i="24"/>
  <c r="AP19" i="24"/>
  <c r="AQ19" i="24"/>
  <c r="AR19" i="24"/>
  <c r="AS19" i="24"/>
  <c r="AT19" i="24"/>
  <c r="AU19" i="24"/>
  <c r="AV19" i="24"/>
  <c r="AW19" i="24"/>
  <c r="AX19" i="24"/>
  <c r="AY19" i="24"/>
  <c r="AZ19" i="24"/>
  <c r="BA19" i="24"/>
  <c r="BB19" i="24"/>
  <c r="BC19" i="24"/>
  <c r="BD19" i="24"/>
  <c r="BE19" i="24"/>
  <c r="BF19" i="24"/>
  <c r="BG19" i="24"/>
  <c r="BH19" i="24"/>
  <c r="BI19" i="24"/>
  <c r="BJ19" i="24"/>
  <c r="BK19" i="24"/>
  <c r="BL19" i="24"/>
  <c r="BM19" i="24"/>
  <c r="BN19" i="24"/>
  <c r="BO19" i="24"/>
  <c r="BP19" i="24"/>
  <c r="BQ19" i="24"/>
  <c r="BR19" i="24"/>
  <c r="BS19" i="24"/>
  <c r="BT19" i="24"/>
  <c r="BU19" i="24"/>
  <c r="BV19" i="24"/>
  <c r="BW19" i="24"/>
  <c r="BX19" i="24"/>
  <c r="BY19" i="24"/>
  <c r="BZ19" i="24"/>
  <c r="CA19" i="24"/>
  <c r="CB19" i="24"/>
  <c r="CC19" i="24"/>
  <c r="CD19" i="24"/>
  <c r="CE19" i="24"/>
  <c r="CF19" i="24"/>
  <c r="CG19" i="24"/>
  <c r="CH19" i="24"/>
  <c r="CI19" i="24"/>
  <c r="CJ19" i="24"/>
  <c r="CK19" i="24"/>
  <c r="CL19" i="24"/>
  <c r="CM19" i="24"/>
  <c r="CN19" i="24"/>
  <c r="CO19" i="24"/>
  <c r="CP19" i="24"/>
  <c r="CQ19" i="24"/>
  <c r="CR19" i="24"/>
  <c r="CS19" i="24"/>
  <c r="CT19" i="24"/>
  <c r="CU19" i="24"/>
  <c r="CV19" i="24"/>
  <c r="CW19" i="24"/>
  <c r="CX19" i="24"/>
  <c r="CY19" i="24"/>
  <c r="CZ19" i="24"/>
  <c r="DA19" i="24"/>
  <c r="DB19" i="24"/>
  <c r="DC19" i="24"/>
  <c r="DD19" i="24"/>
  <c r="DE19" i="24"/>
  <c r="DF19" i="24"/>
  <c r="DG19" i="24"/>
  <c r="DH19" i="24"/>
  <c r="DI19" i="24"/>
  <c r="DJ19" i="24"/>
  <c r="DK19" i="24"/>
  <c r="DL19" i="24"/>
  <c r="DM19" i="24"/>
  <c r="DN19" i="24"/>
  <c r="DO19" i="24"/>
  <c r="DP19" i="24"/>
  <c r="DQ19" i="24"/>
  <c r="DR19" i="24"/>
  <c r="DS19" i="24"/>
  <c r="DT19" i="24"/>
  <c r="DU19" i="24"/>
  <c r="DV19" i="24"/>
  <c r="DW19" i="24"/>
  <c r="DX19" i="24"/>
  <c r="DY19" i="24"/>
  <c r="DZ19" i="24"/>
  <c r="EA19" i="24"/>
  <c r="EB19" i="24"/>
  <c r="EC19" i="24"/>
  <c r="ED19" i="24"/>
  <c r="EE19" i="24"/>
  <c r="EF19" i="24"/>
  <c r="EG19" i="24"/>
  <c r="EH19" i="24"/>
  <c r="EI19" i="24"/>
  <c r="EJ19" i="24"/>
  <c r="EK19" i="24"/>
  <c r="EL19" i="24"/>
  <c r="EM19" i="24"/>
  <c r="EN19" i="24"/>
  <c r="EO19" i="24"/>
  <c r="EP19" i="24"/>
  <c r="EQ19" i="24"/>
  <c r="ER19" i="24"/>
  <c r="ES19" i="24"/>
  <c r="ET19" i="24"/>
  <c r="EU19" i="24"/>
  <c r="EV19" i="24"/>
  <c r="EW19" i="24"/>
  <c r="EX19" i="24"/>
  <c r="EY19" i="24"/>
  <c r="EZ19" i="24"/>
  <c r="FA19" i="24"/>
  <c r="FB19" i="24"/>
  <c r="FC19" i="24"/>
  <c r="FD19" i="24"/>
  <c r="FE19" i="24"/>
  <c r="FF19" i="24"/>
  <c r="FG19" i="24"/>
  <c r="FH19" i="24"/>
  <c r="FI19" i="24"/>
  <c r="FJ19" i="24"/>
  <c r="FK19" i="24"/>
  <c r="FL19" i="24"/>
  <c r="FM19" i="24"/>
  <c r="FN19" i="24"/>
  <c r="FO19" i="24"/>
  <c r="FP19" i="24"/>
  <c r="FQ19" i="24"/>
  <c r="FR19" i="24"/>
  <c r="FS19" i="24"/>
  <c r="FT19" i="24"/>
  <c r="FU19" i="24"/>
  <c r="FV19" i="24"/>
  <c r="FW19" i="24"/>
  <c r="FX19" i="24"/>
  <c r="FY19" i="24"/>
  <c r="FZ19" i="24"/>
  <c r="GA19" i="24"/>
  <c r="GB19" i="24"/>
  <c r="GC19" i="24"/>
  <c r="GD19" i="24"/>
  <c r="GE19" i="24"/>
  <c r="GF19" i="24"/>
  <c r="GG19" i="24"/>
  <c r="GH19" i="24"/>
  <c r="GI19" i="24"/>
  <c r="GJ19" i="24"/>
  <c r="GK19" i="24"/>
  <c r="GL19" i="24"/>
  <c r="GM19" i="24"/>
  <c r="GN19" i="24"/>
  <c r="GO19" i="24"/>
  <c r="GP19" i="24"/>
  <c r="GQ19" i="24"/>
  <c r="GR19" i="24"/>
  <c r="GS19" i="24"/>
  <c r="GT19" i="24"/>
  <c r="C20" i="24"/>
  <c r="D20" i="24"/>
  <c r="E20" i="24"/>
  <c r="F20" i="24"/>
  <c r="G20" i="24"/>
  <c r="H20" i="24"/>
  <c r="I20" i="24"/>
  <c r="J20" i="24"/>
  <c r="K20" i="24"/>
  <c r="L20" i="24"/>
  <c r="M20" i="24"/>
  <c r="N20" i="24"/>
  <c r="O20" i="24"/>
  <c r="P20" i="24"/>
  <c r="Q20" i="24"/>
  <c r="R20" i="24"/>
  <c r="S20" i="24"/>
  <c r="T20" i="24"/>
  <c r="U20" i="24"/>
  <c r="V20" i="24"/>
  <c r="W20" i="24"/>
  <c r="X20" i="24"/>
  <c r="Y20" i="24"/>
  <c r="Z20" i="24"/>
  <c r="AA20" i="24"/>
  <c r="AB20" i="24"/>
  <c r="AC20" i="24"/>
  <c r="AD20" i="24"/>
  <c r="AE20" i="24"/>
  <c r="AF20" i="24"/>
  <c r="AG20" i="24"/>
  <c r="AH20" i="24"/>
  <c r="AI20" i="24"/>
  <c r="AJ20" i="24"/>
  <c r="AK20" i="24"/>
  <c r="AL20" i="24"/>
  <c r="AM20" i="24"/>
  <c r="AN20" i="24"/>
  <c r="AO20" i="24"/>
  <c r="AP20" i="24"/>
  <c r="AQ20" i="24"/>
  <c r="AR20" i="24"/>
  <c r="AS20" i="24"/>
  <c r="AT20" i="24"/>
  <c r="AU20" i="24"/>
  <c r="AV20" i="24"/>
  <c r="AW20" i="24"/>
  <c r="AX20" i="24"/>
  <c r="AY20" i="24"/>
  <c r="AZ20" i="24"/>
  <c r="BA20" i="24"/>
  <c r="BB20" i="24"/>
  <c r="BC20" i="24"/>
  <c r="BD20" i="24"/>
  <c r="BE20" i="24"/>
  <c r="BF20" i="24"/>
  <c r="BG20" i="24"/>
  <c r="BH20" i="24"/>
  <c r="BI20" i="24"/>
  <c r="BJ20" i="24"/>
  <c r="BK20" i="24"/>
  <c r="BL20" i="24"/>
  <c r="BM20" i="24"/>
  <c r="BN20" i="24"/>
  <c r="BO20" i="24"/>
  <c r="BP20" i="24"/>
  <c r="BQ20" i="24"/>
  <c r="BR20" i="24"/>
  <c r="BS20" i="24"/>
  <c r="BT20" i="24"/>
  <c r="BU20" i="24"/>
  <c r="BV20" i="24"/>
  <c r="BW20" i="24"/>
  <c r="BX20" i="24"/>
  <c r="BY20" i="24"/>
  <c r="BZ20" i="24"/>
  <c r="CA20" i="24"/>
  <c r="CB20" i="24"/>
  <c r="CC20" i="24"/>
  <c r="CD20" i="24"/>
  <c r="CE20" i="24"/>
  <c r="CF20" i="24"/>
  <c r="CG20" i="24"/>
  <c r="CH20" i="24"/>
  <c r="CI20" i="24"/>
  <c r="CJ20" i="24"/>
  <c r="CK20" i="24"/>
  <c r="CL20" i="24"/>
  <c r="CM20" i="24"/>
  <c r="CN20" i="24"/>
  <c r="CO20" i="24"/>
  <c r="CP20" i="24"/>
  <c r="CQ20" i="24"/>
  <c r="CR20" i="24"/>
  <c r="CS20" i="24"/>
  <c r="CT20" i="24"/>
  <c r="CU20" i="24"/>
  <c r="CV20" i="24"/>
  <c r="CW20" i="24"/>
  <c r="CX20" i="24"/>
  <c r="CY20" i="24"/>
  <c r="CZ20" i="24"/>
  <c r="DA20" i="24"/>
  <c r="DB20" i="24"/>
  <c r="DC20" i="24"/>
  <c r="DD20" i="24"/>
  <c r="DE20" i="24"/>
  <c r="DF20" i="24"/>
  <c r="DG20" i="24"/>
  <c r="DH20" i="24"/>
  <c r="DI20" i="24"/>
  <c r="DJ20" i="24"/>
  <c r="DK20" i="24"/>
  <c r="DL20" i="24"/>
  <c r="DM20" i="24"/>
  <c r="DN20" i="24"/>
  <c r="DO20" i="24"/>
  <c r="DP20" i="24"/>
  <c r="DQ20" i="24"/>
  <c r="DR20" i="24"/>
  <c r="DS20" i="24"/>
  <c r="DT20" i="24"/>
  <c r="DU20" i="24"/>
  <c r="DV20" i="24"/>
  <c r="DW20" i="24"/>
  <c r="DX20" i="24"/>
  <c r="DY20" i="24"/>
  <c r="DZ20" i="24"/>
  <c r="EA20" i="24"/>
  <c r="EB20" i="24"/>
  <c r="EC20" i="24"/>
  <c r="ED20" i="24"/>
  <c r="EE20" i="24"/>
  <c r="EF20" i="24"/>
  <c r="EG20" i="24"/>
  <c r="EH20" i="24"/>
  <c r="EI20" i="24"/>
  <c r="EJ20" i="24"/>
  <c r="EK20" i="24"/>
  <c r="EL20" i="24"/>
  <c r="EM20" i="24"/>
  <c r="EN20" i="24"/>
  <c r="EO20" i="24"/>
  <c r="EP20" i="24"/>
  <c r="EQ20" i="24"/>
  <c r="ER20" i="24"/>
  <c r="ES20" i="24"/>
  <c r="ET20" i="24"/>
  <c r="EU20" i="24"/>
  <c r="EV20" i="24"/>
  <c r="EW20" i="24"/>
  <c r="EX20" i="24"/>
  <c r="EY20" i="24"/>
  <c r="EZ20" i="24"/>
  <c r="FA20" i="24"/>
  <c r="FB20" i="24"/>
  <c r="FC20" i="24"/>
  <c r="FD20" i="24"/>
  <c r="FE20" i="24"/>
  <c r="FF20" i="24"/>
  <c r="FG20" i="24"/>
  <c r="FH20" i="24"/>
  <c r="FI20" i="24"/>
  <c r="FJ20" i="24"/>
  <c r="FK20" i="24"/>
  <c r="FL20" i="24"/>
  <c r="FM20" i="24"/>
  <c r="FN20" i="24"/>
  <c r="FO20" i="24"/>
  <c r="FP20" i="24"/>
  <c r="FQ20" i="24"/>
  <c r="FR20" i="24"/>
  <c r="FS20" i="24"/>
  <c r="FT20" i="24"/>
  <c r="FU20" i="24"/>
  <c r="FV20" i="24"/>
  <c r="FW20" i="24"/>
  <c r="FX20" i="24"/>
  <c r="FY20" i="24"/>
  <c r="FZ20" i="24"/>
  <c r="GA20" i="24"/>
  <c r="GB20" i="24"/>
  <c r="GC20" i="24"/>
  <c r="GD20" i="24"/>
  <c r="GE20" i="24"/>
  <c r="GF20" i="24"/>
  <c r="GG20" i="24"/>
  <c r="GH20" i="24"/>
  <c r="GI20" i="24"/>
  <c r="GJ20" i="24"/>
  <c r="GK20" i="24"/>
  <c r="GL20" i="24"/>
  <c r="GM20" i="24"/>
  <c r="GN20" i="24"/>
  <c r="GO20" i="24"/>
  <c r="GP20" i="24"/>
  <c r="GQ20" i="24"/>
  <c r="GR20" i="24"/>
  <c r="GS20" i="24"/>
  <c r="GT20" i="24"/>
  <c r="C21" i="24"/>
  <c r="D21" i="24"/>
  <c r="E21" i="24"/>
  <c r="F21" i="24"/>
  <c r="G21" i="24"/>
  <c r="H21" i="24"/>
  <c r="I21" i="24"/>
  <c r="J21" i="24"/>
  <c r="K21" i="24"/>
  <c r="L21" i="24"/>
  <c r="M21" i="24"/>
  <c r="N21" i="24"/>
  <c r="O21" i="24"/>
  <c r="P21" i="24"/>
  <c r="Q21" i="24"/>
  <c r="R21" i="24"/>
  <c r="S21" i="24"/>
  <c r="T21" i="24"/>
  <c r="U21" i="24"/>
  <c r="V21" i="24"/>
  <c r="W21" i="24"/>
  <c r="X21" i="24"/>
  <c r="Y21" i="24"/>
  <c r="Z21" i="24"/>
  <c r="AA21" i="24"/>
  <c r="AB21" i="24"/>
  <c r="AC21" i="24"/>
  <c r="AD21" i="24"/>
  <c r="AE21" i="24"/>
  <c r="AF21" i="24"/>
  <c r="AG21" i="24"/>
  <c r="AH21" i="24"/>
  <c r="AI21" i="24"/>
  <c r="AJ21" i="24"/>
  <c r="AK21" i="24"/>
  <c r="AL21" i="24"/>
  <c r="AM21" i="24"/>
  <c r="AN21" i="24"/>
  <c r="AO21" i="24"/>
  <c r="AP21" i="24"/>
  <c r="AQ21" i="24"/>
  <c r="AR21" i="24"/>
  <c r="AS21" i="24"/>
  <c r="AT21" i="24"/>
  <c r="AU21" i="24"/>
  <c r="AV21" i="24"/>
  <c r="AW21" i="24"/>
  <c r="AX21" i="24"/>
  <c r="AY21" i="24"/>
  <c r="AZ21" i="24"/>
  <c r="BA21" i="24"/>
  <c r="BB21" i="24"/>
  <c r="BC21" i="24"/>
  <c r="BD21" i="24"/>
  <c r="BE21" i="24"/>
  <c r="BF21" i="24"/>
  <c r="BG21" i="24"/>
  <c r="BH21" i="24"/>
  <c r="BI21" i="24"/>
  <c r="BJ21" i="24"/>
  <c r="BK21" i="24"/>
  <c r="BL21" i="24"/>
  <c r="BM21" i="24"/>
  <c r="BN21" i="24"/>
  <c r="BO21" i="24"/>
  <c r="BP21" i="24"/>
  <c r="BQ21" i="24"/>
  <c r="BR21" i="24"/>
  <c r="BS21" i="24"/>
  <c r="BT21" i="24"/>
  <c r="BU21" i="24"/>
  <c r="BV21" i="24"/>
  <c r="BW21" i="24"/>
  <c r="BX21" i="24"/>
  <c r="BY21" i="24"/>
  <c r="BZ21" i="24"/>
  <c r="CA21" i="24"/>
  <c r="CB21" i="24"/>
  <c r="CC21" i="24"/>
  <c r="CD21" i="24"/>
  <c r="CE21" i="24"/>
  <c r="CF21" i="24"/>
  <c r="CG21" i="24"/>
  <c r="CH21" i="24"/>
  <c r="CI21" i="24"/>
  <c r="CJ21" i="24"/>
  <c r="CK21" i="24"/>
  <c r="CL21" i="24"/>
  <c r="CM21" i="24"/>
  <c r="CN21" i="24"/>
  <c r="CO21" i="24"/>
  <c r="CP21" i="24"/>
  <c r="CQ21" i="24"/>
  <c r="CR21" i="24"/>
  <c r="CS21" i="24"/>
  <c r="CT21" i="24"/>
  <c r="CU21" i="24"/>
  <c r="CV21" i="24"/>
  <c r="CW21" i="24"/>
  <c r="CX21" i="24"/>
  <c r="CY21" i="24"/>
  <c r="CZ21" i="24"/>
  <c r="DA21" i="24"/>
  <c r="DB21" i="24"/>
  <c r="DC21" i="24"/>
  <c r="DD21" i="24"/>
  <c r="DE21" i="24"/>
  <c r="DF21" i="24"/>
  <c r="DG21" i="24"/>
  <c r="DH21" i="24"/>
  <c r="DI21" i="24"/>
  <c r="DJ21" i="24"/>
  <c r="DK21" i="24"/>
  <c r="DL21" i="24"/>
  <c r="DM21" i="24"/>
  <c r="DN21" i="24"/>
  <c r="DO21" i="24"/>
  <c r="DP21" i="24"/>
  <c r="DQ21" i="24"/>
  <c r="DR21" i="24"/>
  <c r="DS21" i="24"/>
  <c r="DT21" i="24"/>
  <c r="DU21" i="24"/>
  <c r="DV21" i="24"/>
  <c r="DW21" i="24"/>
  <c r="DX21" i="24"/>
  <c r="DY21" i="24"/>
  <c r="DZ21" i="24"/>
  <c r="EA21" i="24"/>
  <c r="EB21" i="24"/>
  <c r="EC21" i="24"/>
  <c r="ED21" i="24"/>
  <c r="EE21" i="24"/>
  <c r="EF21" i="24"/>
  <c r="EG21" i="24"/>
  <c r="EH21" i="24"/>
  <c r="EI21" i="24"/>
  <c r="EJ21" i="24"/>
  <c r="EK21" i="24"/>
  <c r="EL21" i="24"/>
  <c r="EM21" i="24"/>
  <c r="EN21" i="24"/>
  <c r="EO21" i="24"/>
  <c r="EP21" i="24"/>
  <c r="EQ21" i="24"/>
  <c r="ER21" i="24"/>
  <c r="ES21" i="24"/>
  <c r="ET21" i="24"/>
  <c r="EU21" i="24"/>
  <c r="EV21" i="24"/>
  <c r="EW21" i="24"/>
  <c r="EX21" i="24"/>
  <c r="EY21" i="24"/>
  <c r="EZ21" i="24"/>
  <c r="FA21" i="24"/>
  <c r="FB21" i="24"/>
  <c r="FC21" i="24"/>
  <c r="FD21" i="24"/>
  <c r="FE21" i="24"/>
  <c r="FF21" i="24"/>
  <c r="FG21" i="24"/>
  <c r="FH21" i="24"/>
  <c r="FI21" i="24"/>
  <c r="FJ21" i="24"/>
  <c r="FK21" i="24"/>
  <c r="FL21" i="24"/>
  <c r="FM21" i="24"/>
  <c r="FN21" i="24"/>
  <c r="FO21" i="24"/>
  <c r="FP21" i="24"/>
  <c r="FQ21" i="24"/>
  <c r="FR21" i="24"/>
  <c r="FS21" i="24"/>
  <c r="FT21" i="24"/>
  <c r="FU21" i="24"/>
  <c r="FV21" i="24"/>
  <c r="FW21" i="24"/>
  <c r="FX21" i="24"/>
  <c r="FY21" i="24"/>
  <c r="FZ21" i="24"/>
  <c r="GA21" i="24"/>
  <c r="GB21" i="24"/>
  <c r="GC21" i="24"/>
  <c r="GD21" i="24"/>
  <c r="GE21" i="24"/>
  <c r="GF21" i="24"/>
  <c r="GG21" i="24"/>
  <c r="GH21" i="24"/>
  <c r="GI21" i="24"/>
  <c r="GJ21" i="24"/>
  <c r="GK21" i="24"/>
  <c r="GL21" i="24"/>
  <c r="GM21" i="24"/>
  <c r="GN21" i="24"/>
  <c r="GO21" i="24"/>
  <c r="GP21" i="24"/>
  <c r="GQ21" i="24"/>
  <c r="GR21" i="24"/>
  <c r="GS21" i="24"/>
  <c r="GT21" i="24"/>
  <c r="C22" i="24"/>
  <c r="D22" i="24"/>
  <c r="E22" i="24"/>
  <c r="F22" i="24"/>
  <c r="G22" i="24"/>
  <c r="H22" i="24"/>
  <c r="I22" i="24"/>
  <c r="J22" i="24"/>
  <c r="K22" i="24"/>
  <c r="L22" i="24"/>
  <c r="M22" i="24"/>
  <c r="N22" i="24"/>
  <c r="O22" i="24"/>
  <c r="P22" i="24"/>
  <c r="Q22" i="24"/>
  <c r="R22" i="24"/>
  <c r="S22" i="24"/>
  <c r="T22" i="24"/>
  <c r="U22" i="24"/>
  <c r="V22" i="24"/>
  <c r="W22" i="24"/>
  <c r="X22" i="24"/>
  <c r="Y22" i="24"/>
  <c r="Z22" i="24"/>
  <c r="AA22" i="24"/>
  <c r="AB22" i="24"/>
  <c r="AC22" i="24"/>
  <c r="AD22" i="24"/>
  <c r="AE22" i="24"/>
  <c r="AF22" i="24"/>
  <c r="AG22" i="24"/>
  <c r="AH22" i="24"/>
  <c r="AI22" i="24"/>
  <c r="AJ22" i="24"/>
  <c r="AK22" i="24"/>
  <c r="AL22" i="24"/>
  <c r="AM22" i="24"/>
  <c r="AN22" i="24"/>
  <c r="AO22" i="24"/>
  <c r="AP22" i="24"/>
  <c r="AQ22" i="24"/>
  <c r="AR22" i="24"/>
  <c r="AS22" i="24"/>
  <c r="AT22" i="24"/>
  <c r="AU22" i="24"/>
  <c r="AV22" i="24"/>
  <c r="AW22" i="24"/>
  <c r="AX22" i="24"/>
  <c r="AY22" i="24"/>
  <c r="AZ22" i="24"/>
  <c r="BA22" i="24"/>
  <c r="BB22" i="24"/>
  <c r="BC22" i="24"/>
  <c r="BD22" i="24"/>
  <c r="BE22" i="24"/>
  <c r="BF22" i="24"/>
  <c r="BG22" i="24"/>
  <c r="BH22" i="24"/>
  <c r="BI22" i="24"/>
  <c r="BJ22" i="24"/>
  <c r="BK22" i="24"/>
  <c r="BL22" i="24"/>
  <c r="BM22" i="24"/>
  <c r="BN22" i="24"/>
  <c r="BO22" i="24"/>
  <c r="BP22" i="24"/>
  <c r="BQ22" i="24"/>
  <c r="BR22" i="24"/>
  <c r="BS22" i="24"/>
  <c r="BT22" i="24"/>
  <c r="BU22" i="24"/>
  <c r="BV22" i="24"/>
  <c r="BW22" i="24"/>
  <c r="BX22" i="24"/>
  <c r="BY22" i="24"/>
  <c r="BZ22" i="24"/>
  <c r="CA22" i="24"/>
  <c r="CB22" i="24"/>
  <c r="CC22" i="24"/>
  <c r="CD22" i="24"/>
  <c r="CE22" i="24"/>
  <c r="CF22" i="24"/>
  <c r="CG22" i="24"/>
  <c r="CH22" i="24"/>
  <c r="CI22" i="24"/>
  <c r="CJ22" i="24"/>
  <c r="CK22" i="24"/>
  <c r="CL22" i="24"/>
  <c r="CM22" i="24"/>
  <c r="CN22" i="24"/>
  <c r="CO22" i="24"/>
  <c r="CP22" i="24"/>
  <c r="CQ22" i="24"/>
  <c r="CR22" i="24"/>
  <c r="CS22" i="24"/>
  <c r="CT22" i="24"/>
  <c r="CU22" i="24"/>
  <c r="CV22" i="24"/>
  <c r="CW22" i="24"/>
  <c r="CX22" i="24"/>
  <c r="CY22" i="24"/>
  <c r="CZ22" i="24"/>
  <c r="DA22" i="24"/>
  <c r="DB22" i="24"/>
  <c r="DC22" i="24"/>
  <c r="DD22" i="24"/>
  <c r="DE22" i="24"/>
  <c r="DF22" i="24"/>
  <c r="DG22" i="24"/>
  <c r="DH22" i="24"/>
  <c r="DI22" i="24"/>
  <c r="DJ22" i="24"/>
  <c r="DK22" i="24"/>
  <c r="DL22" i="24"/>
  <c r="DM22" i="24"/>
  <c r="DN22" i="24"/>
  <c r="DO22" i="24"/>
  <c r="DP22" i="24"/>
  <c r="DQ22" i="24"/>
  <c r="DR22" i="24"/>
  <c r="DS22" i="24"/>
  <c r="DT22" i="24"/>
  <c r="DU22" i="24"/>
  <c r="DV22" i="24"/>
  <c r="DW22" i="24"/>
  <c r="DX22" i="24"/>
  <c r="DY22" i="24"/>
  <c r="DZ22" i="24"/>
  <c r="EA22" i="24"/>
  <c r="EB22" i="24"/>
  <c r="EC22" i="24"/>
  <c r="ED22" i="24"/>
  <c r="EE22" i="24"/>
  <c r="EF22" i="24"/>
  <c r="EG22" i="24"/>
  <c r="EH22" i="24"/>
  <c r="EI22" i="24"/>
  <c r="EJ22" i="24"/>
  <c r="EK22" i="24"/>
  <c r="EL22" i="24"/>
  <c r="EM22" i="24"/>
  <c r="EN22" i="24"/>
  <c r="EO22" i="24"/>
  <c r="EP22" i="24"/>
  <c r="EQ22" i="24"/>
  <c r="ER22" i="24"/>
  <c r="ES22" i="24"/>
  <c r="ET22" i="24"/>
  <c r="EU22" i="24"/>
  <c r="EV22" i="24"/>
  <c r="EW22" i="24"/>
  <c r="EX22" i="24"/>
  <c r="EY22" i="24"/>
  <c r="EZ22" i="24"/>
  <c r="FA22" i="24"/>
  <c r="FB22" i="24"/>
  <c r="FC22" i="24"/>
  <c r="FD22" i="24"/>
  <c r="FE22" i="24"/>
  <c r="FF22" i="24"/>
  <c r="FG22" i="24"/>
  <c r="FH22" i="24"/>
  <c r="FI22" i="24"/>
  <c r="FJ22" i="24"/>
  <c r="FK22" i="24"/>
  <c r="FL22" i="24"/>
  <c r="FM22" i="24"/>
  <c r="FN22" i="24"/>
  <c r="FO22" i="24"/>
  <c r="FP22" i="24"/>
  <c r="FQ22" i="24"/>
  <c r="FR22" i="24"/>
  <c r="FS22" i="24"/>
  <c r="FT22" i="24"/>
  <c r="FU22" i="24"/>
  <c r="FV22" i="24"/>
  <c r="FW22" i="24"/>
  <c r="FX22" i="24"/>
  <c r="FY22" i="24"/>
  <c r="FZ22" i="24"/>
  <c r="GA22" i="24"/>
  <c r="GB22" i="24"/>
  <c r="GC22" i="24"/>
  <c r="GD22" i="24"/>
  <c r="GE22" i="24"/>
  <c r="GF22" i="24"/>
  <c r="GG22" i="24"/>
  <c r="GH22" i="24"/>
  <c r="GI22" i="24"/>
  <c r="GJ22" i="24"/>
  <c r="GK22" i="24"/>
  <c r="GL22" i="24"/>
  <c r="GM22" i="24"/>
  <c r="GN22" i="24"/>
  <c r="GO22" i="24"/>
  <c r="GP22" i="24"/>
  <c r="GQ22" i="24"/>
  <c r="GR22" i="24"/>
  <c r="GS22" i="24"/>
  <c r="GT22" i="24"/>
  <c r="C23" i="24"/>
  <c r="D23" i="24"/>
  <c r="E23" i="24"/>
  <c r="F23" i="24"/>
  <c r="G23" i="24"/>
  <c r="H23" i="24"/>
  <c r="I23" i="24"/>
  <c r="J23" i="24"/>
  <c r="K23" i="24"/>
  <c r="L23" i="24"/>
  <c r="M23" i="24"/>
  <c r="N23" i="24"/>
  <c r="O23" i="24"/>
  <c r="P23" i="24"/>
  <c r="Q23" i="24"/>
  <c r="R23" i="24"/>
  <c r="S23" i="24"/>
  <c r="T23" i="24"/>
  <c r="U23" i="24"/>
  <c r="V23" i="24"/>
  <c r="W23" i="24"/>
  <c r="X23" i="24"/>
  <c r="Y23" i="24"/>
  <c r="Z23" i="24"/>
  <c r="AA23" i="24"/>
  <c r="AB23" i="24"/>
  <c r="AC23" i="24"/>
  <c r="AD23" i="24"/>
  <c r="AE23" i="24"/>
  <c r="AF23" i="24"/>
  <c r="AG23" i="24"/>
  <c r="AH23" i="24"/>
  <c r="AI23" i="24"/>
  <c r="AJ23" i="24"/>
  <c r="AK23" i="24"/>
  <c r="AL23" i="24"/>
  <c r="AM23" i="24"/>
  <c r="AN23" i="24"/>
  <c r="AO23" i="24"/>
  <c r="AP23" i="24"/>
  <c r="AQ23" i="24"/>
  <c r="AR23" i="24"/>
  <c r="AS23" i="24"/>
  <c r="AT23" i="24"/>
  <c r="AU23" i="24"/>
  <c r="AV23" i="24"/>
  <c r="AW23" i="24"/>
  <c r="AX23" i="24"/>
  <c r="AY23" i="24"/>
  <c r="AZ23" i="24"/>
  <c r="BA23" i="24"/>
  <c r="BB23" i="24"/>
  <c r="BC23" i="24"/>
  <c r="BD23" i="24"/>
  <c r="BE23" i="24"/>
  <c r="BF23" i="24"/>
  <c r="BG23" i="24"/>
  <c r="BH23" i="24"/>
  <c r="BI23" i="24"/>
  <c r="BJ23" i="24"/>
  <c r="BK23" i="24"/>
  <c r="BL23" i="24"/>
  <c r="BM23" i="24"/>
  <c r="BN23" i="24"/>
  <c r="BO23" i="24"/>
  <c r="BP23" i="24"/>
  <c r="BQ23" i="24"/>
  <c r="BR23" i="24"/>
  <c r="BS23" i="24"/>
  <c r="BT23" i="24"/>
  <c r="BU23" i="24"/>
  <c r="BV23" i="24"/>
  <c r="BW23" i="24"/>
  <c r="BX23" i="24"/>
  <c r="BY23" i="24"/>
  <c r="BZ23" i="24"/>
  <c r="CA23" i="24"/>
  <c r="CB23" i="24"/>
  <c r="CC23" i="24"/>
  <c r="CD23" i="24"/>
  <c r="CE23" i="24"/>
  <c r="CF23" i="24"/>
  <c r="CG23" i="24"/>
  <c r="CH23" i="24"/>
  <c r="CI23" i="24"/>
  <c r="CJ23" i="24"/>
  <c r="CK23" i="24"/>
  <c r="CL23" i="24"/>
  <c r="CM23" i="24"/>
  <c r="CN23" i="24"/>
  <c r="CO23" i="24"/>
  <c r="CP23" i="24"/>
  <c r="CQ23" i="24"/>
  <c r="CR23" i="24"/>
  <c r="CS23" i="24"/>
  <c r="CT23" i="24"/>
  <c r="CU23" i="24"/>
  <c r="CV23" i="24"/>
  <c r="CW23" i="24"/>
  <c r="CX23" i="24"/>
  <c r="CY23" i="24"/>
  <c r="CZ23" i="24"/>
  <c r="DA23" i="24"/>
  <c r="DB23" i="24"/>
  <c r="DC23" i="24"/>
  <c r="DD23" i="24"/>
  <c r="DE23" i="24"/>
  <c r="DF23" i="24"/>
  <c r="DG23" i="24"/>
  <c r="DH23" i="24"/>
  <c r="DI23" i="24"/>
  <c r="DJ23" i="24"/>
  <c r="DK23" i="24"/>
  <c r="DL23" i="24"/>
  <c r="DM23" i="24"/>
  <c r="DN23" i="24"/>
  <c r="DO23" i="24"/>
  <c r="DP23" i="24"/>
  <c r="DQ23" i="24"/>
  <c r="DR23" i="24"/>
  <c r="DS23" i="24"/>
  <c r="DT23" i="24"/>
  <c r="DU23" i="24"/>
  <c r="DV23" i="24"/>
  <c r="DW23" i="24"/>
  <c r="DX23" i="24"/>
  <c r="DY23" i="24"/>
  <c r="DZ23" i="24"/>
  <c r="EA23" i="24"/>
  <c r="EB23" i="24"/>
  <c r="EC23" i="24"/>
  <c r="ED23" i="24"/>
  <c r="EE23" i="24"/>
  <c r="EF23" i="24"/>
  <c r="EG23" i="24"/>
  <c r="EH23" i="24"/>
  <c r="EI23" i="24"/>
  <c r="EJ23" i="24"/>
  <c r="EK23" i="24"/>
  <c r="EL23" i="24"/>
  <c r="EM23" i="24"/>
  <c r="EN23" i="24"/>
  <c r="EO23" i="24"/>
  <c r="EP23" i="24"/>
  <c r="EQ23" i="24"/>
  <c r="ER23" i="24"/>
  <c r="ES23" i="24"/>
  <c r="ET23" i="24"/>
  <c r="EU23" i="24"/>
  <c r="EV23" i="24"/>
  <c r="EW23" i="24"/>
  <c r="EX23" i="24"/>
  <c r="EY23" i="24"/>
  <c r="EZ23" i="24"/>
  <c r="FA23" i="24"/>
  <c r="FB23" i="24"/>
  <c r="FC23" i="24"/>
  <c r="FD23" i="24"/>
  <c r="FE23" i="24"/>
  <c r="FF23" i="24"/>
  <c r="FG23" i="24"/>
  <c r="FH23" i="24"/>
  <c r="FI23" i="24"/>
  <c r="FJ23" i="24"/>
  <c r="FK23" i="24"/>
  <c r="FL23" i="24"/>
  <c r="FM23" i="24"/>
  <c r="FN23" i="24"/>
  <c r="FO23" i="24"/>
  <c r="FP23" i="24"/>
  <c r="FQ23" i="24"/>
  <c r="FR23" i="24"/>
  <c r="FS23" i="24"/>
  <c r="FT23" i="24"/>
  <c r="FU23" i="24"/>
  <c r="FV23" i="24"/>
  <c r="FW23" i="24"/>
  <c r="FX23" i="24"/>
  <c r="FY23" i="24"/>
  <c r="FZ23" i="24"/>
  <c r="GA23" i="24"/>
  <c r="GB23" i="24"/>
  <c r="GC23" i="24"/>
  <c r="GD23" i="24"/>
  <c r="GE23" i="24"/>
  <c r="GF23" i="24"/>
  <c r="GG23" i="24"/>
  <c r="GH23" i="24"/>
  <c r="GI23" i="24"/>
  <c r="GJ23" i="24"/>
  <c r="GK23" i="24"/>
  <c r="GL23" i="24"/>
  <c r="GM23" i="24"/>
  <c r="GN23" i="24"/>
  <c r="GO23" i="24"/>
  <c r="GP23" i="24"/>
  <c r="GQ23" i="24"/>
  <c r="GR23" i="24"/>
  <c r="GS23" i="24"/>
  <c r="GT23" i="24"/>
  <c r="C24" i="24"/>
  <c r="D24" i="24"/>
  <c r="E24" i="24"/>
  <c r="F24" i="24"/>
  <c r="G24" i="24"/>
  <c r="H24" i="24"/>
  <c r="I24" i="24"/>
  <c r="J24" i="24"/>
  <c r="K24" i="24"/>
  <c r="L24" i="24"/>
  <c r="M24" i="24"/>
  <c r="N24" i="24"/>
  <c r="O24" i="24"/>
  <c r="P24" i="24"/>
  <c r="Q24" i="24"/>
  <c r="R24" i="24"/>
  <c r="S24" i="24"/>
  <c r="T24" i="24"/>
  <c r="U24" i="24"/>
  <c r="V24" i="24"/>
  <c r="W24" i="24"/>
  <c r="X24" i="24"/>
  <c r="Y24" i="24"/>
  <c r="Z24" i="24"/>
  <c r="AA24" i="24"/>
  <c r="AB24" i="24"/>
  <c r="AC24" i="24"/>
  <c r="AD24" i="24"/>
  <c r="AE24" i="24"/>
  <c r="AF24" i="24"/>
  <c r="AG24" i="24"/>
  <c r="AH24" i="24"/>
  <c r="AI24" i="24"/>
  <c r="AJ24" i="24"/>
  <c r="AK24" i="24"/>
  <c r="AL24" i="24"/>
  <c r="AM24" i="24"/>
  <c r="AN24" i="24"/>
  <c r="AO24" i="24"/>
  <c r="AP24" i="24"/>
  <c r="AQ24" i="24"/>
  <c r="AR24" i="24"/>
  <c r="AS24" i="24"/>
  <c r="AT24" i="24"/>
  <c r="AU24" i="24"/>
  <c r="AV24" i="24"/>
  <c r="AW24" i="24"/>
  <c r="AX24" i="24"/>
  <c r="AY24" i="24"/>
  <c r="AZ24" i="24"/>
  <c r="BA24" i="24"/>
  <c r="BB24" i="24"/>
  <c r="BC24" i="24"/>
  <c r="BD24" i="24"/>
  <c r="BE24" i="24"/>
  <c r="BF24" i="24"/>
  <c r="BG24" i="24"/>
  <c r="BH24" i="24"/>
  <c r="BI24" i="24"/>
  <c r="BJ24" i="24"/>
  <c r="BK24" i="24"/>
  <c r="BL24" i="24"/>
  <c r="BM24" i="24"/>
  <c r="BN24" i="24"/>
  <c r="BO24" i="24"/>
  <c r="BP24" i="24"/>
  <c r="BQ24" i="24"/>
  <c r="BR24" i="24"/>
  <c r="BS24" i="24"/>
  <c r="BT24" i="24"/>
  <c r="BU24" i="24"/>
  <c r="BV24" i="24"/>
  <c r="BW24" i="24"/>
  <c r="BX24" i="24"/>
  <c r="BY24" i="24"/>
  <c r="BZ24" i="24"/>
  <c r="CA24" i="24"/>
  <c r="CB24" i="24"/>
  <c r="CC24" i="24"/>
  <c r="CD24" i="24"/>
  <c r="CE24" i="24"/>
  <c r="CF24" i="24"/>
  <c r="CG24" i="24"/>
  <c r="CH24" i="24"/>
  <c r="CI24" i="24"/>
  <c r="CJ24" i="24"/>
  <c r="CK24" i="24"/>
  <c r="CL24" i="24"/>
  <c r="CM24" i="24"/>
  <c r="CN24" i="24"/>
  <c r="CO24" i="24"/>
  <c r="CP24" i="24"/>
  <c r="CQ24" i="24"/>
  <c r="CR24" i="24"/>
  <c r="CS24" i="24"/>
  <c r="CT24" i="24"/>
  <c r="CU24" i="24"/>
  <c r="CV24" i="24"/>
  <c r="CW24" i="24"/>
  <c r="CX24" i="24"/>
  <c r="CY24" i="24"/>
  <c r="CZ24" i="24"/>
  <c r="DA24" i="24"/>
  <c r="DB24" i="24"/>
  <c r="DC24" i="24"/>
  <c r="DD24" i="24"/>
  <c r="DE24" i="24"/>
  <c r="DF24" i="24"/>
  <c r="DG24" i="24"/>
  <c r="DH24" i="24"/>
  <c r="DI24" i="24"/>
  <c r="DJ24" i="24"/>
  <c r="DK24" i="24"/>
  <c r="DL24" i="24"/>
  <c r="DM24" i="24"/>
  <c r="DN24" i="24"/>
  <c r="DO24" i="24"/>
  <c r="DP24" i="24"/>
  <c r="DQ24" i="24"/>
  <c r="DR24" i="24"/>
  <c r="DS24" i="24"/>
  <c r="DT24" i="24"/>
  <c r="DU24" i="24"/>
  <c r="DV24" i="24"/>
  <c r="DW24" i="24"/>
  <c r="DX24" i="24"/>
  <c r="DY24" i="24"/>
  <c r="DZ24" i="24"/>
  <c r="EA24" i="24"/>
  <c r="EB24" i="24"/>
  <c r="EC24" i="24"/>
  <c r="ED24" i="24"/>
  <c r="EE24" i="24"/>
  <c r="EF24" i="24"/>
  <c r="EG24" i="24"/>
  <c r="EH24" i="24"/>
  <c r="EI24" i="24"/>
  <c r="EJ24" i="24"/>
  <c r="EK24" i="24"/>
  <c r="EL24" i="24"/>
  <c r="EM24" i="24"/>
  <c r="EN24" i="24"/>
  <c r="EO24" i="24"/>
  <c r="EP24" i="24"/>
  <c r="EQ24" i="24"/>
  <c r="ER24" i="24"/>
  <c r="ES24" i="24"/>
  <c r="ET24" i="24"/>
  <c r="EU24" i="24"/>
  <c r="EV24" i="24"/>
  <c r="EW24" i="24"/>
  <c r="EX24" i="24"/>
  <c r="EY24" i="24"/>
  <c r="EZ24" i="24"/>
  <c r="FA24" i="24"/>
  <c r="FB24" i="24"/>
  <c r="FC24" i="24"/>
  <c r="FD24" i="24"/>
  <c r="FE24" i="24"/>
  <c r="FF24" i="24"/>
  <c r="FG24" i="24"/>
  <c r="FH24" i="24"/>
  <c r="FI24" i="24"/>
  <c r="FJ24" i="24"/>
  <c r="FK24" i="24"/>
  <c r="FL24" i="24"/>
  <c r="FM24" i="24"/>
  <c r="FN24" i="24"/>
  <c r="FO24" i="24"/>
  <c r="FP24" i="24"/>
  <c r="FQ24" i="24"/>
  <c r="FR24" i="24"/>
  <c r="FS24" i="24"/>
  <c r="FT24" i="24"/>
  <c r="FU24" i="24"/>
  <c r="FV24" i="24"/>
  <c r="FW24" i="24"/>
  <c r="FX24" i="24"/>
  <c r="FY24" i="24"/>
  <c r="FZ24" i="24"/>
  <c r="GA24" i="24"/>
  <c r="GB24" i="24"/>
  <c r="GC24" i="24"/>
  <c r="GD24" i="24"/>
  <c r="GE24" i="24"/>
  <c r="GF24" i="24"/>
  <c r="GG24" i="24"/>
  <c r="GH24" i="24"/>
  <c r="GI24" i="24"/>
  <c r="GJ24" i="24"/>
  <c r="GK24" i="24"/>
  <c r="GL24" i="24"/>
  <c r="GM24" i="24"/>
  <c r="GN24" i="24"/>
  <c r="GO24" i="24"/>
  <c r="GP24" i="24"/>
  <c r="GQ24" i="24"/>
  <c r="GR24" i="24"/>
  <c r="GS24" i="24"/>
  <c r="GT24" i="24"/>
  <c r="C25" i="24"/>
  <c r="D25" i="24"/>
  <c r="E25" i="24"/>
  <c r="F25" i="24"/>
  <c r="G25" i="24"/>
  <c r="H25" i="24"/>
  <c r="I25" i="24"/>
  <c r="J25" i="24"/>
  <c r="K25" i="24"/>
  <c r="L25" i="24"/>
  <c r="M25" i="24"/>
  <c r="N25" i="24"/>
  <c r="O25" i="24"/>
  <c r="P25" i="24"/>
  <c r="Q25" i="24"/>
  <c r="R25" i="24"/>
  <c r="S25" i="24"/>
  <c r="T25" i="24"/>
  <c r="U25" i="24"/>
  <c r="V25" i="24"/>
  <c r="W25" i="24"/>
  <c r="X25" i="24"/>
  <c r="Y25" i="24"/>
  <c r="Z25" i="24"/>
  <c r="AA25" i="24"/>
  <c r="AB25" i="24"/>
  <c r="AC25" i="24"/>
  <c r="AD25" i="24"/>
  <c r="AE25" i="24"/>
  <c r="AF25" i="24"/>
  <c r="AG25" i="24"/>
  <c r="AH25" i="24"/>
  <c r="AI25" i="24"/>
  <c r="AJ25" i="24"/>
  <c r="AK25" i="24"/>
  <c r="AL25" i="24"/>
  <c r="AM25" i="24"/>
  <c r="AN25" i="24"/>
  <c r="AO25" i="24"/>
  <c r="AP25" i="24"/>
  <c r="AQ25" i="24"/>
  <c r="AR25" i="24"/>
  <c r="AS25" i="24"/>
  <c r="AT25" i="24"/>
  <c r="AU25" i="24"/>
  <c r="AV25" i="24"/>
  <c r="AW25" i="24"/>
  <c r="AX25" i="24"/>
  <c r="AY25" i="24"/>
  <c r="AZ25" i="24"/>
  <c r="BA25" i="24"/>
  <c r="BB25" i="24"/>
  <c r="BC25" i="24"/>
  <c r="BD25" i="24"/>
  <c r="BE25" i="24"/>
  <c r="BF25" i="24"/>
  <c r="BG25" i="24"/>
  <c r="BH25" i="24"/>
  <c r="BI25" i="24"/>
  <c r="BJ25" i="24"/>
  <c r="BK25" i="24"/>
  <c r="BL25" i="24"/>
  <c r="BM25" i="24"/>
  <c r="BN25" i="24"/>
  <c r="BO25" i="24"/>
  <c r="BP25" i="24"/>
  <c r="BQ25" i="24"/>
  <c r="BR25" i="24"/>
  <c r="BS25" i="24"/>
  <c r="BT25" i="24"/>
  <c r="BU25" i="24"/>
  <c r="BV25" i="24"/>
  <c r="BW25" i="24"/>
  <c r="BX25" i="24"/>
  <c r="BY25" i="24"/>
  <c r="BZ25" i="24"/>
  <c r="CA25" i="24"/>
  <c r="CB25" i="24"/>
  <c r="CC25" i="24"/>
  <c r="CD25" i="24"/>
  <c r="CE25" i="24"/>
  <c r="CF25" i="24"/>
  <c r="CG25" i="24"/>
  <c r="CH25" i="24"/>
  <c r="CI25" i="24"/>
  <c r="CJ25" i="24"/>
  <c r="CK25" i="24"/>
  <c r="CL25" i="24"/>
  <c r="CM25" i="24"/>
  <c r="CN25" i="24"/>
  <c r="CO25" i="24"/>
  <c r="CP25" i="24"/>
  <c r="CQ25" i="24"/>
  <c r="CR25" i="24"/>
  <c r="CS25" i="24"/>
  <c r="CT25" i="24"/>
  <c r="CU25" i="24"/>
  <c r="CV25" i="24"/>
  <c r="CW25" i="24"/>
  <c r="CX25" i="24"/>
  <c r="CY25" i="24"/>
  <c r="CZ25" i="24"/>
  <c r="DA25" i="24"/>
  <c r="DB25" i="24"/>
  <c r="DC25" i="24"/>
  <c r="DD25" i="24"/>
  <c r="DE25" i="24"/>
  <c r="DF25" i="24"/>
  <c r="DG25" i="24"/>
  <c r="DH25" i="24"/>
  <c r="DI25" i="24"/>
  <c r="DJ25" i="24"/>
  <c r="DK25" i="24"/>
  <c r="DL25" i="24"/>
  <c r="DM25" i="24"/>
  <c r="DN25" i="24"/>
  <c r="DO25" i="24"/>
  <c r="DP25" i="24"/>
  <c r="DQ25" i="24"/>
  <c r="DR25" i="24"/>
  <c r="DS25" i="24"/>
  <c r="DT25" i="24"/>
  <c r="DU25" i="24"/>
  <c r="DV25" i="24"/>
  <c r="DW25" i="24"/>
  <c r="DX25" i="24"/>
  <c r="DY25" i="24"/>
  <c r="DZ25" i="24"/>
  <c r="EA25" i="24"/>
  <c r="EB25" i="24"/>
  <c r="EC25" i="24"/>
  <c r="ED25" i="24"/>
  <c r="EE25" i="24"/>
  <c r="EF25" i="24"/>
  <c r="EG25" i="24"/>
  <c r="EH25" i="24"/>
  <c r="EI25" i="24"/>
  <c r="EJ25" i="24"/>
  <c r="EK25" i="24"/>
  <c r="EL25" i="24"/>
  <c r="EM25" i="24"/>
  <c r="EN25" i="24"/>
  <c r="EO25" i="24"/>
  <c r="EP25" i="24"/>
  <c r="EQ25" i="24"/>
  <c r="ER25" i="24"/>
  <c r="ES25" i="24"/>
  <c r="ET25" i="24"/>
  <c r="EU25" i="24"/>
  <c r="EV25" i="24"/>
  <c r="EW25" i="24"/>
  <c r="EX25" i="24"/>
  <c r="EY25" i="24"/>
  <c r="EZ25" i="24"/>
  <c r="FA25" i="24"/>
  <c r="FB25" i="24"/>
  <c r="FC25" i="24"/>
  <c r="FD25" i="24"/>
  <c r="FE25" i="24"/>
  <c r="FF25" i="24"/>
  <c r="FG25" i="24"/>
  <c r="FH25" i="24"/>
  <c r="FI25" i="24"/>
  <c r="FJ25" i="24"/>
  <c r="FK25" i="24"/>
  <c r="FL25" i="24"/>
  <c r="FM25" i="24"/>
  <c r="FN25" i="24"/>
  <c r="FO25" i="24"/>
  <c r="FP25" i="24"/>
  <c r="FQ25" i="24"/>
  <c r="FR25" i="24"/>
  <c r="FS25" i="24"/>
  <c r="FT25" i="24"/>
  <c r="FU25" i="24"/>
  <c r="FV25" i="24"/>
  <c r="FW25" i="24"/>
  <c r="FX25" i="24"/>
  <c r="FY25" i="24"/>
  <c r="FZ25" i="24"/>
  <c r="GA25" i="24"/>
  <c r="GB25" i="24"/>
  <c r="GC25" i="24"/>
  <c r="GD25" i="24"/>
  <c r="GE25" i="24"/>
  <c r="GF25" i="24"/>
  <c r="GG25" i="24"/>
  <c r="GH25" i="24"/>
  <c r="GI25" i="24"/>
  <c r="GJ25" i="24"/>
  <c r="GK25" i="24"/>
  <c r="GL25" i="24"/>
  <c r="GM25" i="24"/>
  <c r="GN25" i="24"/>
  <c r="GO25" i="24"/>
  <c r="GP25" i="24"/>
  <c r="GQ25" i="24"/>
  <c r="GR25" i="24"/>
  <c r="GS25" i="24"/>
  <c r="GT25" i="24"/>
  <c r="C26" i="24"/>
  <c r="D26" i="24"/>
  <c r="E26" i="24"/>
  <c r="F26" i="24"/>
  <c r="G26" i="24"/>
  <c r="H26" i="24"/>
  <c r="I26" i="24"/>
  <c r="J26" i="24"/>
  <c r="K26" i="24"/>
  <c r="L26" i="24"/>
  <c r="M26" i="24"/>
  <c r="N26" i="24"/>
  <c r="O26" i="24"/>
  <c r="P26" i="24"/>
  <c r="Q26" i="24"/>
  <c r="R26" i="24"/>
  <c r="S26" i="24"/>
  <c r="T26" i="24"/>
  <c r="U26" i="24"/>
  <c r="V26" i="24"/>
  <c r="W26" i="24"/>
  <c r="X26" i="24"/>
  <c r="Y26" i="24"/>
  <c r="Z26" i="24"/>
  <c r="AA26" i="24"/>
  <c r="AB26" i="24"/>
  <c r="AC26" i="24"/>
  <c r="AD26" i="24"/>
  <c r="AE26" i="24"/>
  <c r="AF26" i="24"/>
  <c r="AG26" i="24"/>
  <c r="AH26" i="24"/>
  <c r="AI26" i="24"/>
  <c r="AJ26" i="24"/>
  <c r="AK26" i="24"/>
  <c r="AL26" i="24"/>
  <c r="AM26" i="24"/>
  <c r="AN26" i="24"/>
  <c r="AO26" i="24"/>
  <c r="AP26" i="24"/>
  <c r="AQ26" i="24"/>
  <c r="AR26" i="24"/>
  <c r="AS26" i="24"/>
  <c r="AT26" i="24"/>
  <c r="AU26" i="24"/>
  <c r="AV26" i="24"/>
  <c r="AW26" i="24"/>
  <c r="AX26" i="24"/>
  <c r="AY26" i="24"/>
  <c r="AZ26" i="24"/>
  <c r="BA26" i="24"/>
  <c r="BB26" i="24"/>
  <c r="BC26" i="24"/>
  <c r="BD26" i="24"/>
  <c r="BE26" i="24"/>
  <c r="BF26" i="24"/>
  <c r="BG26" i="24"/>
  <c r="BH26" i="24"/>
  <c r="BI26" i="24"/>
  <c r="BJ26" i="24"/>
  <c r="BK26" i="24"/>
  <c r="BL26" i="24"/>
  <c r="BM26" i="24"/>
  <c r="BN26" i="24"/>
  <c r="BO26" i="24"/>
  <c r="BP26" i="24"/>
  <c r="BQ26" i="24"/>
  <c r="BR26" i="24"/>
  <c r="BS26" i="24"/>
  <c r="BT26" i="24"/>
  <c r="BU26" i="24"/>
  <c r="BV26" i="24"/>
  <c r="BW26" i="24"/>
  <c r="BX26" i="24"/>
  <c r="BY26" i="24"/>
  <c r="BZ26" i="24"/>
  <c r="CA26" i="24"/>
  <c r="CB26" i="24"/>
  <c r="CC26" i="24"/>
  <c r="CD26" i="24"/>
  <c r="CE26" i="24"/>
  <c r="CF26" i="24"/>
  <c r="CG26" i="24"/>
  <c r="CH26" i="24"/>
  <c r="CI26" i="24"/>
  <c r="CJ26" i="24"/>
  <c r="CK26" i="24"/>
  <c r="CL26" i="24"/>
  <c r="CM26" i="24"/>
  <c r="CN26" i="24"/>
  <c r="CO26" i="24"/>
  <c r="CP26" i="24"/>
  <c r="CQ26" i="24"/>
  <c r="CR26" i="24"/>
  <c r="CS26" i="24"/>
  <c r="CT26" i="24"/>
  <c r="CU26" i="24"/>
  <c r="CV26" i="24"/>
  <c r="CW26" i="24"/>
  <c r="CX26" i="24"/>
  <c r="CY26" i="24"/>
  <c r="CZ26" i="24"/>
  <c r="DA26" i="24"/>
  <c r="DB26" i="24"/>
  <c r="DC26" i="24"/>
  <c r="DD26" i="24"/>
  <c r="DE26" i="24"/>
  <c r="DF26" i="24"/>
  <c r="DG26" i="24"/>
  <c r="DH26" i="24"/>
  <c r="DI26" i="24"/>
  <c r="DJ26" i="24"/>
  <c r="DK26" i="24"/>
  <c r="DL26" i="24"/>
  <c r="DM26" i="24"/>
  <c r="DN26" i="24"/>
  <c r="DO26" i="24"/>
  <c r="DP26" i="24"/>
  <c r="DQ26" i="24"/>
  <c r="DR26" i="24"/>
  <c r="DS26" i="24"/>
  <c r="DT26" i="24"/>
  <c r="DU26" i="24"/>
  <c r="DV26" i="24"/>
  <c r="DW26" i="24"/>
  <c r="DX26" i="24"/>
  <c r="DY26" i="24"/>
  <c r="DZ26" i="24"/>
  <c r="EA26" i="24"/>
  <c r="EB26" i="24"/>
  <c r="EC26" i="24"/>
  <c r="ED26" i="24"/>
  <c r="EE26" i="24"/>
  <c r="EF26" i="24"/>
  <c r="EG26" i="24"/>
  <c r="EH26" i="24"/>
  <c r="EI26" i="24"/>
  <c r="EJ26" i="24"/>
  <c r="EK26" i="24"/>
  <c r="EL26" i="24"/>
  <c r="EM26" i="24"/>
  <c r="EN26" i="24"/>
  <c r="EO26" i="24"/>
  <c r="EP26" i="24"/>
  <c r="EQ26" i="24"/>
  <c r="ER26" i="24"/>
  <c r="ES26" i="24"/>
  <c r="ET26" i="24"/>
  <c r="EU26" i="24"/>
  <c r="EV26" i="24"/>
  <c r="EW26" i="24"/>
  <c r="EX26" i="24"/>
  <c r="EY26" i="24"/>
  <c r="EZ26" i="24"/>
  <c r="FA26" i="24"/>
  <c r="FB26" i="24"/>
  <c r="FC26" i="24"/>
  <c r="FD26" i="24"/>
  <c r="FE26" i="24"/>
  <c r="FF26" i="24"/>
  <c r="FG26" i="24"/>
  <c r="FH26" i="24"/>
  <c r="FI26" i="24"/>
  <c r="FJ26" i="24"/>
  <c r="FK26" i="24"/>
  <c r="FL26" i="24"/>
  <c r="FM26" i="24"/>
  <c r="FN26" i="24"/>
  <c r="FO26" i="24"/>
  <c r="FP26" i="24"/>
  <c r="FQ26" i="24"/>
  <c r="FR26" i="24"/>
  <c r="FS26" i="24"/>
  <c r="FT26" i="24"/>
  <c r="FU26" i="24"/>
  <c r="FV26" i="24"/>
  <c r="FW26" i="24"/>
  <c r="FX26" i="24"/>
  <c r="FY26" i="24"/>
  <c r="FZ26" i="24"/>
  <c r="GA26" i="24"/>
  <c r="GB26" i="24"/>
  <c r="GC26" i="24"/>
  <c r="GD26" i="24"/>
  <c r="GE26" i="24"/>
  <c r="GF26" i="24"/>
  <c r="GG26" i="24"/>
  <c r="GH26" i="24"/>
  <c r="GI26" i="24"/>
  <c r="GJ26" i="24"/>
  <c r="GK26" i="24"/>
  <c r="GL26" i="24"/>
  <c r="GM26" i="24"/>
  <c r="GN26" i="24"/>
  <c r="GO26" i="24"/>
  <c r="GP26" i="24"/>
  <c r="GQ26" i="24"/>
  <c r="GR26" i="24"/>
  <c r="GS26" i="24"/>
  <c r="GT26" i="24"/>
  <c r="C27" i="24"/>
  <c r="D27" i="24"/>
  <c r="E27" i="24"/>
  <c r="F27" i="24"/>
  <c r="G27" i="24"/>
  <c r="H27" i="24"/>
  <c r="I27" i="24"/>
  <c r="J27" i="24"/>
  <c r="K27" i="24"/>
  <c r="L27" i="24"/>
  <c r="M27" i="24"/>
  <c r="N27" i="24"/>
  <c r="O27" i="24"/>
  <c r="P27" i="24"/>
  <c r="Q27" i="24"/>
  <c r="R27" i="24"/>
  <c r="S27" i="24"/>
  <c r="T27" i="24"/>
  <c r="U27" i="24"/>
  <c r="V27" i="24"/>
  <c r="W27" i="24"/>
  <c r="X27" i="24"/>
  <c r="Y27" i="24"/>
  <c r="Z27" i="24"/>
  <c r="AA27" i="24"/>
  <c r="AB27" i="24"/>
  <c r="AC27" i="24"/>
  <c r="AD27" i="24"/>
  <c r="AE27" i="24"/>
  <c r="AF27" i="24"/>
  <c r="AG27" i="24"/>
  <c r="AH27" i="24"/>
  <c r="AI27" i="24"/>
  <c r="AJ27" i="24"/>
  <c r="AK27" i="24"/>
  <c r="AL27" i="24"/>
  <c r="AM27" i="24"/>
  <c r="AN27" i="24"/>
  <c r="AO27" i="24"/>
  <c r="AP27" i="24"/>
  <c r="AQ27" i="24"/>
  <c r="AR27" i="24"/>
  <c r="AS27" i="24"/>
  <c r="AT27" i="24"/>
  <c r="AU27" i="24"/>
  <c r="AV27" i="24"/>
  <c r="AW27" i="24"/>
  <c r="AX27" i="24"/>
  <c r="AY27" i="24"/>
  <c r="AZ27" i="24"/>
  <c r="BA27" i="24"/>
  <c r="BB27" i="24"/>
  <c r="BC27" i="24"/>
  <c r="BD27" i="24"/>
  <c r="BE27" i="24"/>
  <c r="BF27" i="24"/>
  <c r="BG27" i="24"/>
  <c r="BH27" i="24"/>
  <c r="BI27" i="24"/>
  <c r="BJ27" i="24"/>
  <c r="BK27" i="24"/>
  <c r="BL27" i="24"/>
  <c r="BM27" i="24"/>
  <c r="BN27" i="24"/>
  <c r="BO27" i="24"/>
  <c r="BP27" i="24"/>
  <c r="BQ27" i="24"/>
  <c r="BR27" i="24"/>
  <c r="BS27" i="24"/>
  <c r="BT27" i="24"/>
  <c r="BU27" i="24"/>
  <c r="BV27" i="24"/>
  <c r="BW27" i="24"/>
  <c r="BX27" i="24"/>
  <c r="BY27" i="24"/>
  <c r="BZ27" i="24"/>
  <c r="CA27" i="24"/>
  <c r="CB27" i="24"/>
  <c r="CC27" i="24"/>
  <c r="CD27" i="24"/>
  <c r="CE27" i="24"/>
  <c r="CF27" i="24"/>
  <c r="CG27" i="24"/>
  <c r="CH27" i="24"/>
  <c r="CI27" i="24"/>
  <c r="CJ27" i="24"/>
  <c r="CK27" i="24"/>
  <c r="CL27" i="24"/>
  <c r="CM27" i="24"/>
  <c r="CN27" i="24"/>
  <c r="CO27" i="24"/>
  <c r="CP27" i="24"/>
  <c r="CQ27" i="24"/>
  <c r="CR27" i="24"/>
  <c r="CS27" i="24"/>
  <c r="CT27" i="24"/>
  <c r="CU27" i="24"/>
  <c r="CV27" i="24"/>
  <c r="CW27" i="24"/>
  <c r="CX27" i="24"/>
  <c r="CY27" i="24"/>
  <c r="CZ27" i="24"/>
  <c r="DA27" i="24"/>
  <c r="DB27" i="24"/>
  <c r="DC27" i="24"/>
  <c r="DD27" i="24"/>
  <c r="DE27" i="24"/>
  <c r="DF27" i="24"/>
  <c r="DG27" i="24"/>
  <c r="DH27" i="24"/>
  <c r="DI27" i="24"/>
  <c r="DJ27" i="24"/>
  <c r="DK27" i="24"/>
  <c r="DL27" i="24"/>
  <c r="DM27" i="24"/>
  <c r="DN27" i="24"/>
  <c r="DO27" i="24"/>
  <c r="DP27" i="24"/>
  <c r="DQ27" i="24"/>
  <c r="DR27" i="24"/>
  <c r="DS27" i="24"/>
  <c r="DT27" i="24"/>
  <c r="DU27" i="24"/>
  <c r="DV27" i="24"/>
  <c r="DW27" i="24"/>
  <c r="DX27" i="24"/>
  <c r="DY27" i="24"/>
  <c r="DZ27" i="24"/>
  <c r="EA27" i="24"/>
  <c r="EB27" i="24"/>
  <c r="EC27" i="24"/>
  <c r="ED27" i="24"/>
  <c r="EE27" i="24"/>
  <c r="EF27" i="24"/>
  <c r="EG27" i="24"/>
  <c r="EH27" i="24"/>
  <c r="EI27" i="24"/>
  <c r="EJ27" i="24"/>
  <c r="EK27" i="24"/>
  <c r="EL27" i="24"/>
  <c r="EM27" i="24"/>
  <c r="EN27" i="24"/>
  <c r="EO27" i="24"/>
  <c r="EP27" i="24"/>
  <c r="EQ27" i="24"/>
  <c r="ER27" i="24"/>
  <c r="ES27" i="24"/>
  <c r="ET27" i="24"/>
  <c r="EU27" i="24"/>
  <c r="EV27" i="24"/>
  <c r="EW27" i="24"/>
  <c r="EX27" i="24"/>
  <c r="EY27" i="24"/>
  <c r="EZ27" i="24"/>
  <c r="FA27" i="24"/>
  <c r="FB27" i="24"/>
  <c r="FC27" i="24"/>
  <c r="FD27" i="24"/>
  <c r="FE27" i="24"/>
  <c r="FF27" i="24"/>
  <c r="FG27" i="24"/>
  <c r="FH27" i="24"/>
  <c r="FI27" i="24"/>
  <c r="FJ27" i="24"/>
  <c r="FK27" i="24"/>
  <c r="FL27" i="24"/>
  <c r="FM27" i="24"/>
  <c r="FN27" i="24"/>
  <c r="FO27" i="24"/>
  <c r="FP27" i="24"/>
  <c r="FQ27" i="24"/>
  <c r="FR27" i="24"/>
  <c r="FS27" i="24"/>
  <c r="FT27" i="24"/>
  <c r="FU27" i="24"/>
  <c r="FV27" i="24"/>
  <c r="FW27" i="24"/>
  <c r="FX27" i="24"/>
  <c r="FY27" i="24"/>
  <c r="FZ27" i="24"/>
  <c r="GA27" i="24"/>
  <c r="GB27" i="24"/>
  <c r="GC27" i="24"/>
  <c r="GD27" i="24"/>
  <c r="GE27" i="24"/>
  <c r="GF27" i="24"/>
  <c r="GG27" i="24"/>
  <c r="GH27" i="24"/>
  <c r="GI27" i="24"/>
  <c r="GJ27" i="24"/>
  <c r="GK27" i="24"/>
  <c r="GL27" i="24"/>
  <c r="GM27" i="24"/>
  <c r="GN27" i="24"/>
  <c r="GO27" i="24"/>
  <c r="GP27" i="24"/>
  <c r="GQ27" i="24"/>
  <c r="GR27" i="24"/>
  <c r="GS27" i="24"/>
  <c r="GT27" i="24"/>
  <c r="C28" i="24"/>
  <c r="D28" i="24"/>
  <c r="E28" i="24"/>
  <c r="F28" i="24"/>
  <c r="G28" i="24"/>
  <c r="H28" i="24"/>
  <c r="I28" i="24"/>
  <c r="J28" i="24"/>
  <c r="K28" i="24"/>
  <c r="L28" i="24"/>
  <c r="M28" i="24"/>
  <c r="N28" i="24"/>
  <c r="O28" i="24"/>
  <c r="P28" i="24"/>
  <c r="Q28" i="24"/>
  <c r="R28" i="24"/>
  <c r="S28" i="24"/>
  <c r="T28" i="24"/>
  <c r="U28" i="24"/>
  <c r="V28" i="24"/>
  <c r="W28" i="24"/>
  <c r="X28" i="24"/>
  <c r="Y28" i="24"/>
  <c r="Z28" i="24"/>
  <c r="AA28" i="24"/>
  <c r="AB28" i="24"/>
  <c r="AC28" i="24"/>
  <c r="AD28" i="24"/>
  <c r="AE28" i="24"/>
  <c r="AF28" i="24"/>
  <c r="AG28" i="24"/>
  <c r="AH28" i="24"/>
  <c r="AI28" i="24"/>
  <c r="AJ28" i="24"/>
  <c r="AK28" i="24"/>
  <c r="AL28" i="24"/>
  <c r="AM28" i="24"/>
  <c r="AN28" i="24"/>
  <c r="AO28" i="24"/>
  <c r="AP28" i="24"/>
  <c r="AQ28" i="24"/>
  <c r="AR28" i="24"/>
  <c r="AS28" i="24"/>
  <c r="AT28" i="24"/>
  <c r="AU28" i="24"/>
  <c r="AV28" i="24"/>
  <c r="AW28" i="24"/>
  <c r="AX28" i="24"/>
  <c r="AY28" i="24"/>
  <c r="AZ28" i="24"/>
  <c r="BA28" i="24"/>
  <c r="BB28" i="24"/>
  <c r="BC28" i="24"/>
  <c r="BD28" i="24"/>
  <c r="BE28" i="24"/>
  <c r="BF28" i="24"/>
  <c r="BG28" i="24"/>
  <c r="BH28" i="24"/>
  <c r="BI28" i="24"/>
  <c r="BJ28" i="24"/>
  <c r="BK28" i="24"/>
  <c r="BL28" i="24"/>
  <c r="BM28" i="24"/>
  <c r="BN28" i="24"/>
  <c r="BO28" i="24"/>
  <c r="BP28" i="24"/>
  <c r="BQ28" i="24"/>
  <c r="BR28" i="24"/>
  <c r="BS28" i="24"/>
  <c r="BT28" i="24"/>
  <c r="BU28" i="24"/>
  <c r="BV28" i="24"/>
  <c r="BW28" i="24"/>
  <c r="BX28" i="24"/>
  <c r="BY28" i="24"/>
  <c r="BZ28" i="24"/>
  <c r="CA28" i="24"/>
  <c r="CB28" i="24"/>
  <c r="CC28" i="24"/>
  <c r="CD28" i="24"/>
  <c r="CE28" i="24"/>
  <c r="CF28" i="24"/>
  <c r="CG28" i="24"/>
  <c r="CH28" i="24"/>
  <c r="CI28" i="24"/>
  <c r="CJ28" i="24"/>
  <c r="CK28" i="24"/>
  <c r="CL28" i="24"/>
  <c r="CM28" i="24"/>
  <c r="CN28" i="24"/>
  <c r="CO28" i="24"/>
  <c r="CP28" i="24"/>
  <c r="CQ28" i="24"/>
  <c r="CR28" i="24"/>
  <c r="CS28" i="24"/>
  <c r="CT28" i="24"/>
  <c r="CU28" i="24"/>
  <c r="CV28" i="24"/>
  <c r="CW28" i="24"/>
  <c r="CX28" i="24"/>
  <c r="CY28" i="24"/>
  <c r="CZ28" i="24"/>
  <c r="DA28" i="24"/>
  <c r="DB28" i="24"/>
  <c r="DC28" i="24"/>
  <c r="DD28" i="24"/>
  <c r="DE28" i="24"/>
  <c r="DF28" i="24"/>
  <c r="DG28" i="24"/>
  <c r="DH28" i="24"/>
  <c r="DI28" i="24"/>
  <c r="DJ28" i="24"/>
  <c r="DK28" i="24"/>
  <c r="DL28" i="24"/>
  <c r="DM28" i="24"/>
  <c r="DN28" i="24"/>
  <c r="DO28" i="24"/>
  <c r="DP28" i="24"/>
  <c r="DQ28" i="24"/>
  <c r="DR28" i="24"/>
  <c r="DS28" i="24"/>
  <c r="DT28" i="24"/>
  <c r="DU28" i="24"/>
  <c r="DV28" i="24"/>
  <c r="DW28" i="24"/>
  <c r="DX28" i="24"/>
  <c r="DY28" i="24"/>
  <c r="DZ28" i="24"/>
  <c r="EA28" i="24"/>
  <c r="EB28" i="24"/>
  <c r="EC28" i="24"/>
  <c r="ED28" i="24"/>
  <c r="EE28" i="24"/>
  <c r="EF28" i="24"/>
  <c r="EG28" i="24"/>
  <c r="EH28" i="24"/>
  <c r="EI28" i="24"/>
  <c r="EJ28" i="24"/>
  <c r="EK28" i="24"/>
  <c r="EL28" i="24"/>
  <c r="EM28" i="24"/>
  <c r="EN28" i="24"/>
  <c r="EO28" i="24"/>
  <c r="EP28" i="24"/>
  <c r="EQ28" i="24"/>
  <c r="ER28" i="24"/>
  <c r="ES28" i="24"/>
  <c r="ET28" i="24"/>
  <c r="EU28" i="24"/>
  <c r="EV28" i="24"/>
  <c r="EW28" i="24"/>
  <c r="EX28" i="24"/>
  <c r="EY28" i="24"/>
  <c r="EZ28" i="24"/>
  <c r="FA28" i="24"/>
  <c r="FB28" i="24"/>
  <c r="FC28" i="24"/>
  <c r="FD28" i="24"/>
  <c r="FE28" i="24"/>
  <c r="FF28" i="24"/>
  <c r="FG28" i="24"/>
  <c r="FH28" i="24"/>
  <c r="FI28" i="24"/>
  <c r="FJ28" i="24"/>
  <c r="FK28" i="24"/>
  <c r="FL28" i="24"/>
  <c r="FM28" i="24"/>
  <c r="FN28" i="24"/>
  <c r="FO28" i="24"/>
  <c r="FP28" i="24"/>
  <c r="FQ28" i="24"/>
  <c r="FR28" i="24"/>
  <c r="FS28" i="24"/>
  <c r="FT28" i="24"/>
  <c r="FU28" i="24"/>
  <c r="FV28" i="24"/>
  <c r="FW28" i="24"/>
  <c r="FX28" i="24"/>
  <c r="FY28" i="24"/>
  <c r="FZ28" i="24"/>
  <c r="GA28" i="24"/>
  <c r="GB28" i="24"/>
  <c r="GC28" i="24"/>
  <c r="GD28" i="24"/>
  <c r="GE28" i="24"/>
  <c r="GF28" i="24"/>
  <c r="GG28" i="24"/>
  <c r="GH28" i="24"/>
  <c r="GI28" i="24"/>
  <c r="GJ28" i="24"/>
  <c r="GK28" i="24"/>
  <c r="GL28" i="24"/>
  <c r="GM28" i="24"/>
  <c r="GN28" i="24"/>
  <c r="GO28" i="24"/>
  <c r="GP28" i="24"/>
  <c r="GQ28" i="24"/>
  <c r="GR28" i="24"/>
  <c r="GS28" i="24"/>
  <c r="GT28" i="24"/>
  <c r="C29" i="24"/>
  <c r="D29" i="24"/>
  <c r="E29" i="24"/>
  <c r="F29" i="24"/>
  <c r="G29" i="24"/>
  <c r="H29" i="24"/>
  <c r="I29" i="24"/>
  <c r="J29" i="24"/>
  <c r="K29" i="24"/>
  <c r="L29" i="24"/>
  <c r="M29" i="24"/>
  <c r="N29" i="24"/>
  <c r="O29" i="24"/>
  <c r="P29" i="24"/>
  <c r="Q29" i="24"/>
  <c r="R29" i="24"/>
  <c r="S29" i="24"/>
  <c r="T29" i="24"/>
  <c r="U29" i="24"/>
  <c r="V29" i="24"/>
  <c r="W29" i="24"/>
  <c r="X29" i="24"/>
  <c r="Y29" i="24"/>
  <c r="Z29" i="24"/>
  <c r="AA29" i="24"/>
  <c r="AB29" i="24"/>
  <c r="AC29" i="24"/>
  <c r="AD29" i="24"/>
  <c r="AE29" i="24"/>
  <c r="AF29" i="24"/>
  <c r="AG29" i="24"/>
  <c r="AH29" i="24"/>
  <c r="AI29" i="24"/>
  <c r="AJ29" i="24"/>
  <c r="AK29" i="24"/>
  <c r="AL29" i="24"/>
  <c r="AM29" i="24"/>
  <c r="AN29" i="24"/>
  <c r="AO29" i="24"/>
  <c r="AP29" i="24"/>
  <c r="AQ29" i="24"/>
  <c r="AR29" i="24"/>
  <c r="AS29" i="24"/>
  <c r="AT29" i="24"/>
  <c r="AU29" i="24"/>
  <c r="AV29" i="24"/>
  <c r="AW29" i="24"/>
  <c r="AX29" i="24"/>
  <c r="AY29" i="24"/>
  <c r="AZ29" i="24"/>
  <c r="BA29" i="24"/>
  <c r="BB29" i="24"/>
  <c r="BC29" i="24"/>
  <c r="BD29" i="24"/>
  <c r="BE29" i="24"/>
  <c r="BF29" i="24"/>
  <c r="BG29" i="24"/>
  <c r="BH29" i="24"/>
  <c r="BI29" i="24"/>
  <c r="BJ29" i="24"/>
  <c r="BK29" i="24"/>
  <c r="BL29" i="24"/>
  <c r="BM29" i="24"/>
  <c r="BN29" i="24"/>
  <c r="BO29" i="24"/>
  <c r="BP29" i="24"/>
  <c r="BQ29" i="24"/>
  <c r="BR29" i="24"/>
  <c r="BS29" i="24"/>
  <c r="BT29" i="24"/>
  <c r="BU29" i="24"/>
  <c r="BV29" i="24"/>
  <c r="BW29" i="24"/>
  <c r="BX29" i="24"/>
  <c r="BY29" i="24"/>
  <c r="BZ29" i="24"/>
  <c r="CA29" i="24"/>
  <c r="CB29" i="24"/>
  <c r="CC29" i="24"/>
  <c r="CD29" i="24"/>
  <c r="CE29" i="24"/>
  <c r="CF29" i="24"/>
  <c r="CG29" i="24"/>
  <c r="CH29" i="24"/>
  <c r="CI29" i="24"/>
  <c r="CJ29" i="24"/>
  <c r="CK29" i="24"/>
  <c r="CL29" i="24"/>
  <c r="CM29" i="24"/>
  <c r="CN29" i="24"/>
  <c r="CO29" i="24"/>
  <c r="CP29" i="24"/>
  <c r="CQ29" i="24"/>
  <c r="CR29" i="24"/>
  <c r="CS29" i="24"/>
  <c r="CT29" i="24"/>
  <c r="CU29" i="24"/>
  <c r="CV29" i="24"/>
  <c r="CW29" i="24"/>
  <c r="CX29" i="24"/>
  <c r="CY29" i="24"/>
  <c r="CZ29" i="24"/>
  <c r="DA29" i="24"/>
  <c r="DB29" i="24"/>
  <c r="DC29" i="24"/>
  <c r="DD29" i="24"/>
  <c r="DE29" i="24"/>
  <c r="DF29" i="24"/>
  <c r="DG29" i="24"/>
  <c r="DH29" i="24"/>
  <c r="DI29" i="24"/>
  <c r="DJ29" i="24"/>
  <c r="DK29" i="24"/>
  <c r="DL29" i="24"/>
  <c r="DM29" i="24"/>
  <c r="DN29" i="24"/>
  <c r="DO29" i="24"/>
  <c r="DP29" i="24"/>
  <c r="DQ29" i="24"/>
  <c r="DR29" i="24"/>
  <c r="DS29" i="24"/>
  <c r="DT29" i="24"/>
  <c r="DU29" i="24"/>
  <c r="DV29" i="24"/>
  <c r="DW29" i="24"/>
  <c r="DX29" i="24"/>
  <c r="DY29" i="24"/>
  <c r="DZ29" i="24"/>
  <c r="EA29" i="24"/>
  <c r="EB29" i="24"/>
  <c r="EC29" i="24"/>
  <c r="ED29" i="24"/>
  <c r="EE29" i="24"/>
  <c r="EF29" i="24"/>
  <c r="EG29" i="24"/>
  <c r="EH29" i="24"/>
  <c r="EI29" i="24"/>
  <c r="EJ29" i="24"/>
  <c r="EK29" i="24"/>
  <c r="EL29" i="24"/>
  <c r="EM29" i="24"/>
  <c r="EN29" i="24"/>
  <c r="EO29" i="24"/>
  <c r="EP29" i="24"/>
  <c r="EQ29" i="24"/>
  <c r="ER29" i="24"/>
  <c r="ES29" i="24"/>
  <c r="ET29" i="24"/>
  <c r="EU29" i="24"/>
  <c r="EV29" i="24"/>
  <c r="EW29" i="24"/>
  <c r="EX29" i="24"/>
  <c r="EY29" i="24"/>
  <c r="EZ29" i="24"/>
  <c r="FA29" i="24"/>
  <c r="FB29" i="24"/>
  <c r="FC29" i="24"/>
  <c r="FD29" i="24"/>
  <c r="FE29" i="24"/>
  <c r="FF29" i="24"/>
  <c r="FG29" i="24"/>
  <c r="FH29" i="24"/>
  <c r="FI29" i="24"/>
  <c r="FJ29" i="24"/>
  <c r="FK29" i="24"/>
  <c r="FL29" i="24"/>
  <c r="FM29" i="24"/>
  <c r="FN29" i="24"/>
  <c r="FO29" i="24"/>
  <c r="FP29" i="24"/>
  <c r="FQ29" i="24"/>
  <c r="FR29" i="24"/>
  <c r="FS29" i="24"/>
  <c r="FT29" i="24"/>
  <c r="FU29" i="24"/>
  <c r="FV29" i="24"/>
  <c r="FW29" i="24"/>
  <c r="FX29" i="24"/>
  <c r="FY29" i="24"/>
  <c r="FZ29" i="24"/>
  <c r="GA29" i="24"/>
  <c r="GB29" i="24"/>
  <c r="GC29" i="24"/>
  <c r="GD29" i="24"/>
  <c r="GE29" i="24"/>
  <c r="GF29" i="24"/>
  <c r="GG29" i="24"/>
  <c r="GH29" i="24"/>
  <c r="GI29" i="24"/>
  <c r="GJ29" i="24"/>
  <c r="GK29" i="24"/>
  <c r="GL29" i="24"/>
  <c r="GM29" i="24"/>
  <c r="GN29" i="24"/>
  <c r="GO29" i="24"/>
  <c r="GP29" i="24"/>
  <c r="GQ29" i="24"/>
  <c r="GR29" i="24"/>
  <c r="GS29" i="24"/>
  <c r="GT29" i="24"/>
  <c r="C30" i="24"/>
  <c r="D30" i="24"/>
  <c r="E30" i="24"/>
  <c r="F30" i="24"/>
  <c r="G30" i="24"/>
  <c r="H30" i="24"/>
  <c r="I30" i="24"/>
  <c r="J30" i="24"/>
  <c r="K30" i="24"/>
  <c r="L30" i="24"/>
  <c r="M30" i="24"/>
  <c r="N30" i="24"/>
  <c r="O30" i="24"/>
  <c r="P30" i="24"/>
  <c r="Q30" i="24"/>
  <c r="R30" i="24"/>
  <c r="S30" i="24"/>
  <c r="T30" i="24"/>
  <c r="U30" i="24"/>
  <c r="V30" i="24"/>
  <c r="W30" i="24"/>
  <c r="X30" i="24"/>
  <c r="Y30" i="24"/>
  <c r="Z30" i="24"/>
  <c r="AA30" i="24"/>
  <c r="AB30" i="24"/>
  <c r="AC30" i="24"/>
  <c r="AD30" i="24"/>
  <c r="AE30" i="24"/>
  <c r="AF30" i="24"/>
  <c r="AG30" i="24"/>
  <c r="AH30" i="24"/>
  <c r="AI30" i="24"/>
  <c r="AJ30" i="24"/>
  <c r="AK30" i="24"/>
  <c r="AL30" i="24"/>
  <c r="AM30" i="24"/>
  <c r="AN30" i="24"/>
  <c r="AO30" i="24"/>
  <c r="AP30" i="24"/>
  <c r="AQ30" i="24"/>
  <c r="AR30" i="24"/>
  <c r="AS30" i="24"/>
  <c r="AT30" i="24"/>
  <c r="AU30" i="24"/>
  <c r="AV30" i="24"/>
  <c r="AW30" i="24"/>
  <c r="AX30" i="24"/>
  <c r="AY30" i="24"/>
  <c r="AZ30" i="24"/>
  <c r="BA30" i="24"/>
  <c r="BB30" i="24"/>
  <c r="BC30" i="24"/>
  <c r="BD30" i="24"/>
  <c r="BE30" i="24"/>
  <c r="BF30" i="24"/>
  <c r="BG30" i="24"/>
  <c r="BH30" i="24"/>
  <c r="BI30" i="24"/>
  <c r="BJ30" i="24"/>
  <c r="BK30" i="24"/>
  <c r="BL30" i="24"/>
  <c r="BM30" i="24"/>
  <c r="BN30" i="24"/>
  <c r="BO30" i="24"/>
  <c r="BP30" i="24"/>
  <c r="BQ30" i="24"/>
  <c r="BR30" i="24"/>
  <c r="BS30" i="24"/>
  <c r="BT30" i="24"/>
  <c r="BU30" i="24"/>
  <c r="BV30" i="24"/>
  <c r="BW30" i="24"/>
  <c r="BX30" i="24"/>
  <c r="BY30" i="24"/>
  <c r="BZ30" i="24"/>
  <c r="CA30" i="24"/>
  <c r="CB30" i="24"/>
  <c r="CC30" i="24"/>
  <c r="CD30" i="24"/>
  <c r="CE30" i="24"/>
  <c r="CF30" i="24"/>
  <c r="CG30" i="24"/>
  <c r="CH30" i="24"/>
  <c r="CI30" i="24"/>
  <c r="CJ30" i="24"/>
  <c r="CK30" i="24"/>
  <c r="CL30" i="24"/>
  <c r="CM30" i="24"/>
  <c r="CN30" i="24"/>
  <c r="CO30" i="24"/>
  <c r="CP30" i="24"/>
  <c r="CQ30" i="24"/>
  <c r="CR30" i="24"/>
  <c r="CS30" i="24"/>
  <c r="CT30" i="24"/>
  <c r="CU30" i="24"/>
  <c r="CV30" i="24"/>
  <c r="CW30" i="24"/>
  <c r="CX30" i="24"/>
  <c r="CY30" i="24"/>
  <c r="CZ30" i="24"/>
  <c r="DA30" i="24"/>
  <c r="DB30" i="24"/>
  <c r="DC30" i="24"/>
  <c r="DD30" i="24"/>
  <c r="DE30" i="24"/>
  <c r="DF30" i="24"/>
  <c r="DG30" i="24"/>
  <c r="DH30" i="24"/>
  <c r="DI30" i="24"/>
  <c r="DJ30" i="24"/>
  <c r="DK30" i="24"/>
  <c r="DL30" i="24"/>
  <c r="DM30" i="24"/>
  <c r="DN30" i="24"/>
  <c r="DO30" i="24"/>
  <c r="DP30" i="24"/>
  <c r="DQ30" i="24"/>
  <c r="DR30" i="24"/>
  <c r="DS30" i="24"/>
  <c r="DT30" i="24"/>
  <c r="DU30" i="24"/>
  <c r="DV30" i="24"/>
  <c r="DW30" i="24"/>
  <c r="DX30" i="24"/>
  <c r="DY30" i="24"/>
  <c r="DZ30" i="24"/>
  <c r="EA30" i="24"/>
  <c r="EB30" i="24"/>
  <c r="EC30" i="24"/>
  <c r="ED30" i="24"/>
  <c r="EE30" i="24"/>
  <c r="EF30" i="24"/>
  <c r="EG30" i="24"/>
  <c r="EH30" i="24"/>
  <c r="EI30" i="24"/>
  <c r="EJ30" i="24"/>
  <c r="EK30" i="24"/>
  <c r="EL30" i="24"/>
  <c r="EM30" i="24"/>
  <c r="EN30" i="24"/>
  <c r="EO30" i="24"/>
  <c r="EP30" i="24"/>
  <c r="EQ30" i="24"/>
  <c r="ER30" i="24"/>
  <c r="ES30" i="24"/>
  <c r="ET30" i="24"/>
  <c r="EU30" i="24"/>
  <c r="EV30" i="24"/>
  <c r="EW30" i="24"/>
  <c r="EX30" i="24"/>
  <c r="EY30" i="24"/>
  <c r="EZ30" i="24"/>
  <c r="FA30" i="24"/>
  <c r="FB30" i="24"/>
  <c r="FC30" i="24"/>
  <c r="FD30" i="24"/>
  <c r="FE30" i="24"/>
  <c r="FF30" i="24"/>
  <c r="FG30" i="24"/>
  <c r="FH30" i="24"/>
  <c r="FI30" i="24"/>
  <c r="FJ30" i="24"/>
  <c r="FK30" i="24"/>
  <c r="FL30" i="24"/>
  <c r="FM30" i="24"/>
  <c r="FN30" i="24"/>
  <c r="FO30" i="24"/>
  <c r="FP30" i="24"/>
  <c r="FQ30" i="24"/>
  <c r="FR30" i="24"/>
  <c r="FS30" i="24"/>
  <c r="FT30" i="24"/>
  <c r="FU30" i="24"/>
  <c r="FV30" i="24"/>
  <c r="FW30" i="24"/>
  <c r="FX30" i="24"/>
  <c r="FY30" i="24"/>
  <c r="FZ30" i="24"/>
  <c r="GA30" i="24"/>
  <c r="GB30" i="24"/>
  <c r="GC30" i="24"/>
  <c r="GD30" i="24"/>
  <c r="GE30" i="24"/>
  <c r="GF30" i="24"/>
  <c r="GG30" i="24"/>
  <c r="GH30" i="24"/>
  <c r="GI30" i="24"/>
  <c r="GJ30" i="24"/>
  <c r="GK30" i="24"/>
  <c r="GL30" i="24"/>
  <c r="GM30" i="24"/>
  <c r="GN30" i="24"/>
  <c r="GO30" i="24"/>
  <c r="GP30" i="24"/>
  <c r="GQ30" i="24"/>
  <c r="GR30" i="24"/>
  <c r="GS30" i="24"/>
  <c r="GT30" i="24"/>
  <c r="B30" i="24"/>
  <c r="B29" i="24"/>
  <c r="B28" i="24"/>
  <c r="B27" i="24"/>
  <c r="B26" i="24"/>
  <c r="B25" i="24"/>
  <c r="B24" i="24"/>
  <c r="B23" i="24"/>
  <c r="B22" i="24"/>
  <c r="B21" i="24"/>
  <c r="B20" i="24"/>
  <c r="B19" i="24"/>
  <c r="D1" i="31" l="1"/>
  <c r="C1" i="31"/>
  <c r="GT280" i="24" l="1"/>
  <c r="GS280" i="24"/>
  <c r="GR280" i="24"/>
  <c r="GQ280" i="24"/>
  <c r="GP280" i="24"/>
  <c r="GO280" i="24"/>
  <c r="GN280" i="24"/>
  <c r="GM280" i="24"/>
  <c r="GL280" i="24"/>
  <c r="GK280" i="24"/>
  <c r="GJ280" i="24"/>
  <c r="GI280" i="24"/>
  <c r="GH280" i="24"/>
  <c r="GG280" i="24"/>
  <c r="GF280" i="24"/>
  <c r="GE280" i="24"/>
  <c r="GD280" i="24"/>
  <c r="GC280" i="24"/>
  <c r="GB280" i="24"/>
  <c r="GA280" i="24"/>
  <c r="FZ280" i="24"/>
  <c r="FY280" i="24"/>
  <c r="FX280" i="24"/>
  <c r="FW280" i="24"/>
  <c r="FV280" i="24"/>
  <c r="FU280" i="24"/>
  <c r="FT280" i="24"/>
  <c r="FS280" i="24"/>
  <c r="FR280" i="24"/>
  <c r="FQ280" i="24"/>
  <c r="FP280" i="24"/>
  <c r="FO280" i="24"/>
  <c r="FN280" i="24"/>
  <c r="FM280" i="24"/>
  <c r="FL280" i="24"/>
  <c r="FK280" i="24"/>
  <c r="FJ280" i="24"/>
  <c r="FI280" i="24"/>
  <c r="FH280" i="24"/>
  <c r="FG280" i="24"/>
  <c r="FF280" i="24"/>
  <c r="FE280" i="24"/>
  <c r="FD280" i="24"/>
  <c r="FC280" i="24"/>
  <c r="FB280" i="24"/>
  <c r="FA280" i="24"/>
  <c r="EZ280" i="24"/>
  <c r="EY280" i="24"/>
  <c r="EX280" i="24"/>
  <c r="EW280" i="24"/>
  <c r="EV280" i="24"/>
  <c r="EU280" i="24"/>
  <c r="ET280" i="24"/>
  <c r="ES280" i="24"/>
  <c r="ER280" i="24"/>
  <c r="EQ280" i="24"/>
  <c r="EP280" i="24"/>
  <c r="EO280" i="24"/>
  <c r="EN280" i="24"/>
  <c r="EM280" i="24"/>
  <c r="EL280" i="24"/>
  <c r="EK280" i="24"/>
  <c r="EJ280" i="24"/>
  <c r="EI280" i="24"/>
  <c r="EH280" i="24"/>
  <c r="EG280" i="24"/>
  <c r="EF280" i="24"/>
  <c r="EE280" i="24"/>
  <c r="ED280" i="24"/>
  <c r="EC280" i="24"/>
  <c r="EB280" i="24"/>
  <c r="EA280" i="24"/>
  <c r="DZ280" i="24"/>
  <c r="DY280" i="24"/>
  <c r="DX280" i="24"/>
  <c r="DW280" i="24"/>
  <c r="DV280" i="24"/>
  <c r="DU280" i="24"/>
  <c r="DT280" i="24"/>
  <c r="DS280" i="24"/>
  <c r="DR280" i="24"/>
  <c r="DQ280" i="24"/>
  <c r="DP280" i="24"/>
  <c r="DO280" i="24"/>
  <c r="DN280" i="24"/>
  <c r="DM280" i="24"/>
  <c r="DL280" i="24"/>
  <c r="DK280" i="24"/>
  <c r="DJ280" i="24"/>
  <c r="DI280" i="24"/>
  <c r="DH280" i="24"/>
  <c r="DG280" i="24"/>
  <c r="DF280" i="24"/>
  <c r="DE280" i="24"/>
  <c r="DD280" i="24"/>
  <c r="DC280" i="24"/>
  <c r="DB280" i="24"/>
  <c r="DA280" i="24"/>
  <c r="CZ280" i="24"/>
  <c r="CY280" i="24"/>
  <c r="CX280" i="24"/>
  <c r="CW280" i="24"/>
  <c r="CV280" i="24"/>
  <c r="CU280" i="24"/>
  <c r="CT280" i="24"/>
  <c r="CS280" i="24"/>
  <c r="CR280" i="24"/>
  <c r="CQ280" i="24"/>
  <c r="CP280" i="24"/>
  <c r="CO280" i="24"/>
  <c r="CN280" i="24"/>
  <c r="CM280" i="24"/>
  <c r="CL280" i="24"/>
  <c r="CK280" i="24"/>
  <c r="CJ280" i="24"/>
  <c r="CI280" i="24"/>
  <c r="CH280" i="24"/>
  <c r="CG280" i="24"/>
  <c r="CF280" i="24"/>
  <c r="CE280" i="24"/>
  <c r="CD280" i="24"/>
  <c r="CC280" i="24"/>
  <c r="CB280" i="24"/>
  <c r="CA280" i="24"/>
  <c r="BZ280" i="24"/>
  <c r="BY280" i="24"/>
  <c r="BX280" i="24"/>
  <c r="BW280" i="24"/>
  <c r="BV280" i="24"/>
  <c r="BU280" i="24"/>
  <c r="BT280" i="24"/>
  <c r="BS280" i="24"/>
  <c r="BR280" i="24"/>
  <c r="BQ280" i="24"/>
  <c r="BP280" i="24"/>
  <c r="BO280" i="24"/>
  <c r="BN280" i="24"/>
  <c r="BM280" i="24"/>
  <c r="BL280" i="24"/>
  <c r="BK280" i="24"/>
  <c r="BJ280" i="24"/>
  <c r="BI280" i="24"/>
  <c r="BH280" i="24"/>
  <c r="BG280" i="24"/>
  <c r="BF280" i="24"/>
  <c r="BE280" i="24"/>
  <c r="BD280" i="24"/>
  <c r="BC280" i="24"/>
  <c r="BB280" i="24"/>
  <c r="BA280" i="24"/>
  <c r="AZ280" i="24"/>
  <c r="AY280" i="24"/>
  <c r="AX280" i="24"/>
  <c r="AW280" i="24"/>
  <c r="AV280" i="24"/>
  <c r="AU280" i="24"/>
  <c r="AT280" i="24"/>
  <c r="AS280" i="24"/>
  <c r="AR280" i="24"/>
  <c r="AQ280" i="24"/>
  <c r="AP280" i="24"/>
  <c r="AO280" i="24"/>
  <c r="AN280" i="24"/>
  <c r="AM280" i="24"/>
  <c r="AL280" i="24"/>
  <c r="AK280" i="24"/>
  <c r="AJ280" i="24"/>
  <c r="AI280" i="24"/>
  <c r="AH280" i="24"/>
  <c r="AG280" i="24"/>
  <c r="AF280" i="24"/>
  <c r="AE280" i="24"/>
  <c r="AD280" i="24"/>
  <c r="AC280" i="24"/>
  <c r="AB280" i="24"/>
  <c r="AA280" i="24"/>
  <c r="Z280" i="24"/>
  <c r="Y280" i="24"/>
  <c r="X280" i="24"/>
  <c r="W280" i="24"/>
  <c r="V280" i="24"/>
  <c r="U280" i="24"/>
  <c r="T280" i="24"/>
  <c r="S280" i="24"/>
  <c r="R280" i="24"/>
  <c r="Q280" i="24"/>
  <c r="P280" i="24"/>
  <c r="O280" i="24"/>
  <c r="N280" i="24"/>
  <c r="M280" i="24"/>
  <c r="L280" i="24"/>
  <c r="K280" i="24"/>
  <c r="J280" i="24"/>
  <c r="I280" i="24"/>
  <c r="H280" i="24"/>
  <c r="G280" i="24"/>
  <c r="F280" i="24"/>
  <c r="E280" i="24"/>
  <c r="D280" i="24"/>
  <c r="C280" i="24"/>
  <c r="B280" i="24"/>
  <c r="GT279" i="24"/>
  <c r="GS279" i="24"/>
  <c r="GR279" i="24"/>
  <c r="GQ279" i="24"/>
  <c r="GP279" i="24"/>
  <c r="GO279" i="24"/>
  <c r="GN279" i="24"/>
  <c r="GM279" i="24"/>
  <c r="GL279" i="24"/>
  <c r="GK279" i="24"/>
  <c r="GJ279" i="24"/>
  <c r="GI279" i="24"/>
  <c r="GH279" i="24"/>
  <c r="GG279" i="24"/>
  <c r="GF279" i="24"/>
  <c r="GE279" i="24"/>
  <c r="GD279" i="24"/>
  <c r="GC279" i="24"/>
  <c r="GB279" i="24"/>
  <c r="GA279" i="24"/>
  <c r="FZ279" i="24"/>
  <c r="FY279" i="24"/>
  <c r="FX279" i="24"/>
  <c r="FW279" i="24"/>
  <c r="FV279" i="24"/>
  <c r="FU279" i="24"/>
  <c r="FT279" i="24"/>
  <c r="FS279" i="24"/>
  <c r="FR279" i="24"/>
  <c r="FQ279" i="24"/>
  <c r="FP279" i="24"/>
  <c r="FO279" i="24"/>
  <c r="FN279" i="24"/>
  <c r="FM279" i="24"/>
  <c r="FL279" i="24"/>
  <c r="FK279" i="24"/>
  <c r="FJ279" i="24"/>
  <c r="FI279" i="24"/>
  <c r="FH279" i="24"/>
  <c r="FG279" i="24"/>
  <c r="FF279" i="24"/>
  <c r="FE279" i="24"/>
  <c r="FD279" i="24"/>
  <c r="FC279" i="24"/>
  <c r="FB279" i="24"/>
  <c r="FA279" i="24"/>
  <c r="EZ279" i="24"/>
  <c r="EY279" i="24"/>
  <c r="EX279" i="24"/>
  <c r="EW279" i="24"/>
  <c r="EV279" i="24"/>
  <c r="EU279" i="24"/>
  <c r="ET279" i="24"/>
  <c r="ES279" i="24"/>
  <c r="ER279" i="24"/>
  <c r="EQ279" i="24"/>
  <c r="EP279" i="24"/>
  <c r="EO279" i="24"/>
  <c r="EN279" i="24"/>
  <c r="EM279" i="24"/>
  <c r="EL279" i="24"/>
  <c r="EK279" i="24"/>
  <c r="EJ279" i="24"/>
  <c r="EI279" i="24"/>
  <c r="EH279" i="24"/>
  <c r="EG279" i="24"/>
  <c r="EF279" i="24"/>
  <c r="EE279" i="24"/>
  <c r="ED279" i="24"/>
  <c r="EC279" i="24"/>
  <c r="EB279" i="24"/>
  <c r="EA279" i="24"/>
  <c r="DZ279" i="24"/>
  <c r="DY279" i="24"/>
  <c r="DX279" i="24"/>
  <c r="DW279" i="24"/>
  <c r="DV279" i="24"/>
  <c r="DU279" i="24"/>
  <c r="DT279" i="24"/>
  <c r="DS279" i="24"/>
  <c r="DR279" i="24"/>
  <c r="DQ279" i="24"/>
  <c r="DP279" i="24"/>
  <c r="DO279" i="24"/>
  <c r="DN279" i="24"/>
  <c r="DM279" i="24"/>
  <c r="DL279" i="24"/>
  <c r="DK279" i="24"/>
  <c r="DJ279" i="24"/>
  <c r="DI279" i="24"/>
  <c r="DH279" i="24"/>
  <c r="DG279" i="24"/>
  <c r="DF279" i="24"/>
  <c r="DE279" i="24"/>
  <c r="DD279" i="24"/>
  <c r="DC279" i="24"/>
  <c r="DB279" i="24"/>
  <c r="DA279" i="24"/>
  <c r="CZ279" i="24"/>
  <c r="CY279" i="24"/>
  <c r="CX279" i="24"/>
  <c r="CW279" i="24"/>
  <c r="CV279" i="24"/>
  <c r="CU279" i="24"/>
  <c r="CT279" i="24"/>
  <c r="CS279" i="24"/>
  <c r="CR279" i="24"/>
  <c r="CQ279" i="24"/>
  <c r="CP279" i="24"/>
  <c r="CO279" i="24"/>
  <c r="CN279" i="24"/>
  <c r="CM279" i="24"/>
  <c r="CL279" i="24"/>
  <c r="CK279" i="24"/>
  <c r="CJ279" i="24"/>
  <c r="CI279" i="24"/>
  <c r="CH279" i="24"/>
  <c r="CG279" i="24"/>
  <c r="CF279" i="24"/>
  <c r="CE279" i="24"/>
  <c r="CD279" i="24"/>
  <c r="CC279" i="24"/>
  <c r="CB279" i="24"/>
  <c r="CA279" i="24"/>
  <c r="BZ279" i="24"/>
  <c r="BY279" i="24"/>
  <c r="BX279" i="24"/>
  <c r="BW279" i="24"/>
  <c r="BV279" i="24"/>
  <c r="BU279" i="24"/>
  <c r="BT279" i="24"/>
  <c r="BS279" i="24"/>
  <c r="BR279" i="24"/>
  <c r="BQ279" i="24"/>
  <c r="BP279" i="24"/>
  <c r="BO279" i="24"/>
  <c r="BN279" i="24"/>
  <c r="BM279" i="24"/>
  <c r="BL279" i="24"/>
  <c r="BK279" i="24"/>
  <c r="BJ279" i="24"/>
  <c r="BI279" i="24"/>
  <c r="BH279" i="24"/>
  <c r="BG279" i="24"/>
  <c r="BF279" i="24"/>
  <c r="BE279" i="24"/>
  <c r="BD279" i="24"/>
  <c r="BC279" i="24"/>
  <c r="BB279" i="24"/>
  <c r="BA279" i="24"/>
  <c r="AZ279" i="24"/>
  <c r="AY279" i="24"/>
  <c r="AX279" i="24"/>
  <c r="AW279" i="24"/>
  <c r="AV279" i="24"/>
  <c r="AU279" i="24"/>
  <c r="AT279" i="24"/>
  <c r="AS279" i="24"/>
  <c r="AR279" i="24"/>
  <c r="AQ279" i="24"/>
  <c r="AP279" i="24"/>
  <c r="AO279" i="24"/>
  <c r="AN279" i="24"/>
  <c r="AM279" i="24"/>
  <c r="AL279" i="24"/>
  <c r="AK279" i="24"/>
  <c r="AJ279" i="24"/>
  <c r="AI279" i="24"/>
  <c r="AH279" i="24"/>
  <c r="AG279" i="24"/>
  <c r="AF279" i="24"/>
  <c r="AE279" i="24"/>
  <c r="AD279" i="24"/>
  <c r="AC279" i="24"/>
  <c r="AB279" i="24"/>
  <c r="AA279" i="24"/>
  <c r="Z279" i="24"/>
  <c r="Y279" i="24"/>
  <c r="X279" i="24"/>
  <c r="W279" i="24"/>
  <c r="V279" i="24"/>
  <c r="U279" i="24"/>
  <c r="T279" i="24"/>
  <c r="S279" i="24"/>
  <c r="R279" i="24"/>
  <c r="Q279" i="24"/>
  <c r="P279" i="24"/>
  <c r="O279" i="24"/>
  <c r="N279" i="24"/>
  <c r="M279" i="24"/>
  <c r="L279" i="24"/>
  <c r="K279" i="24"/>
  <c r="J279" i="24"/>
  <c r="I279" i="24"/>
  <c r="H279" i="24"/>
  <c r="G279" i="24"/>
  <c r="F279" i="24"/>
  <c r="E279" i="24"/>
  <c r="D279" i="24"/>
  <c r="C279" i="24"/>
  <c r="B279" i="24"/>
  <c r="GT278" i="24"/>
  <c r="GS278" i="24"/>
  <c r="GR278" i="24"/>
  <c r="GQ278" i="24"/>
  <c r="GP278" i="24"/>
  <c r="GO278" i="24"/>
  <c r="GN278" i="24"/>
  <c r="GM278" i="24"/>
  <c r="GL278" i="24"/>
  <c r="GK278" i="24"/>
  <c r="GJ278" i="24"/>
  <c r="GI278" i="24"/>
  <c r="GH278" i="24"/>
  <c r="GG278" i="24"/>
  <c r="GF278" i="24"/>
  <c r="GE278" i="24"/>
  <c r="GD278" i="24"/>
  <c r="GC278" i="24"/>
  <c r="GB278" i="24"/>
  <c r="GA278" i="24"/>
  <c r="FZ278" i="24"/>
  <c r="FY278" i="24"/>
  <c r="FX278" i="24"/>
  <c r="FW278" i="24"/>
  <c r="FV278" i="24"/>
  <c r="FU278" i="24"/>
  <c r="FT278" i="24"/>
  <c r="FS278" i="24"/>
  <c r="FR278" i="24"/>
  <c r="FQ278" i="24"/>
  <c r="FP278" i="24"/>
  <c r="FO278" i="24"/>
  <c r="FN278" i="24"/>
  <c r="FM278" i="24"/>
  <c r="FL278" i="24"/>
  <c r="FK278" i="24"/>
  <c r="FJ278" i="24"/>
  <c r="FI278" i="24"/>
  <c r="FH278" i="24"/>
  <c r="FG278" i="24"/>
  <c r="FF278" i="24"/>
  <c r="FE278" i="24"/>
  <c r="FD278" i="24"/>
  <c r="FC278" i="24"/>
  <c r="FB278" i="24"/>
  <c r="FA278" i="24"/>
  <c r="EZ278" i="24"/>
  <c r="EY278" i="24"/>
  <c r="EX278" i="24"/>
  <c r="EW278" i="24"/>
  <c r="EV278" i="24"/>
  <c r="EU278" i="24"/>
  <c r="ET278" i="24"/>
  <c r="ES278" i="24"/>
  <c r="ER278" i="24"/>
  <c r="EQ278" i="24"/>
  <c r="EP278" i="24"/>
  <c r="EO278" i="24"/>
  <c r="EN278" i="24"/>
  <c r="EM278" i="24"/>
  <c r="EL278" i="24"/>
  <c r="EK278" i="24"/>
  <c r="EJ278" i="24"/>
  <c r="EI278" i="24"/>
  <c r="EH278" i="24"/>
  <c r="EG278" i="24"/>
  <c r="EF278" i="24"/>
  <c r="EE278" i="24"/>
  <c r="ED278" i="24"/>
  <c r="EC278" i="24"/>
  <c r="EB278" i="24"/>
  <c r="EA278" i="24"/>
  <c r="DZ278" i="24"/>
  <c r="DY278" i="24"/>
  <c r="DX278" i="24"/>
  <c r="DW278" i="24"/>
  <c r="DV278" i="24"/>
  <c r="DU278" i="24"/>
  <c r="DT278" i="24"/>
  <c r="DS278" i="24"/>
  <c r="DR278" i="24"/>
  <c r="DQ278" i="24"/>
  <c r="DP278" i="24"/>
  <c r="DO278" i="24"/>
  <c r="DN278" i="24"/>
  <c r="DM278" i="24"/>
  <c r="DL278" i="24"/>
  <c r="DK278" i="24"/>
  <c r="DJ278" i="24"/>
  <c r="DI278" i="24"/>
  <c r="DH278" i="24"/>
  <c r="DG278" i="24"/>
  <c r="DF278" i="24"/>
  <c r="DE278" i="24"/>
  <c r="DD278" i="24"/>
  <c r="DC278" i="24"/>
  <c r="DB278" i="24"/>
  <c r="DA278" i="24"/>
  <c r="CZ278" i="24"/>
  <c r="CY278" i="24"/>
  <c r="CX278" i="24"/>
  <c r="CW278" i="24"/>
  <c r="CV278" i="24"/>
  <c r="CU278" i="24"/>
  <c r="CT278" i="24"/>
  <c r="CS278" i="24"/>
  <c r="CR278" i="24"/>
  <c r="CQ278" i="24"/>
  <c r="CP278" i="24"/>
  <c r="CO278" i="24"/>
  <c r="CN278" i="24"/>
  <c r="CM278" i="24"/>
  <c r="CL278" i="24"/>
  <c r="CK278" i="24"/>
  <c r="CJ278" i="24"/>
  <c r="CI278" i="24"/>
  <c r="CH278" i="24"/>
  <c r="CG278" i="24"/>
  <c r="CF278" i="24"/>
  <c r="CE278" i="24"/>
  <c r="CD278" i="24"/>
  <c r="CC278" i="24"/>
  <c r="CB278" i="24"/>
  <c r="CA278" i="24"/>
  <c r="BZ278" i="24"/>
  <c r="BY278" i="24"/>
  <c r="BX278" i="24"/>
  <c r="BW278" i="24"/>
  <c r="BV278" i="24"/>
  <c r="BU278" i="24"/>
  <c r="BT278" i="24"/>
  <c r="BS278" i="24"/>
  <c r="BR278" i="24"/>
  <c r="BQ278" i="24"/>
  <c r="BP278" i="24"/>
  <c r="BO278" i="24"/>
  <c r="BN278" i="24"/>
  <c r="BM278" i="24"/>
  <c r="BL278" i="24"/>
  <c r="BK278" i="24"/>
  <c r="BJ278" i="24"/>
  <c r="BI278" i="24"/>
  <c r="BH278" i="24"/>
  <c r="BG278" i="24"/>
  <c r="BF278" i="24"/>
  <c r="BE278" i="24"/>
  <c r="BD278" i="24"/>
  <c r="BC278" i="24"/>
  <c r="BB278" i="24"/>
  <c r="BA278" i="24"/>
  <c r="AZ278" i="24"/>
  <c r="AY278" i="24"/>
  <c r="AX278" i="24"/>
  <c r="AW278" i="24"/>
  <c r="AV278" i="24"/>
  <c r="AU278" i="24"/>
  <c r="AT278" i="24"/>
  <c r="AS278" i="24"/>
  <c r="AR278" i="24"/>
  <c r="AQ278" i="24"/>
  <c r="AP278" i="24"/>
  <c r="AO278" i="24"/>
  <c r="AN278" i="24"/>
  <c r="AM278" i="24"/>
  <c r="AL278" i="24"/>
  <c r="AK278" i="24"/>
  <c r="AJ278" i="24"/>
  <c r="AI278" i="24"/>
  <c r="AH278" i="24"/>
  <c r="AG278" i="24"/>
  <c r="AF278" i="24"/>
  <c r="AE278" i="24"/>
  <c r="AD278" i="24"/>
  <c r="AC278" i="24"/>
  <c r="AB278" i="24"/>
  <c r="AA278" i="24"/>
  <c r="Z278" i="24"/>
  <c r="Y278" i="24"/>
  <c r="X278" i="24"/>
  <c r="W278" i="24"/>
  <c r="V278" i="24"/>
  <c r="U278" i="24"/>
  <c r="T278" i="24"/>
  <c r="S278" i="24"/>
  <c r="R278" i="24"/>
  <c r="Q278" i="24"/>
  <c r="P278" i="24"/>
  <c r="O278" i="24"/>
  <c r="N278" i="24"/>
  <c r="M278" i="24"/>
  <c r="L278" i="24"/>
  <c r="K278" i="24"/>
  <c r="J278" i="24"/>
  <c r="I278" i="24"/>
  <c r="H278" i="24"/>
  <c r="G278" i="24"/>
  <c r="F278" i="24"/>
  <c r="E278" i="24"/>
  <c r="D278" i="24"/>
  <c r="C278" i="24"/>
  <c r="B278" i="24"/>
  <c r="GT277" i="24"/>
  <c r="GS277" i="24"/>
  <c r="GR277" i="24"/>
  <c r="GQ277" i="24"/>
  <c r="GP277" i="24"/>
  <c r="GO277" i="24"/>
  <c r="GN277" i="24"/>
  <c r="GM277" i="24"/>
  <c r="GL277" i="24"/>
  <c r="GK277" i="24"/>
  <c r="GJ277" i="24"/>
  <c r="GI277" i="24"/>
  <c r="GH277" i="24"/>
  <c r="GG277" i="24"/>
  <c r="GF277" i="24"/>
  <c r="GE277" i="24"/>
  <c r="GD277" i="24"/>
  <c r="GC277" i="24"/>
  <c r="GB277" i="24"/>
  <c r="GA277" i="24"/>
  <c r="FZ277" i="24"/>
  <c r="FY277" i="24"/>
  <c r="FX277" i="24"/>
  <c r="FW277" i="24"/>
  <c r="FV277" i="24"/>
  <c r="FU277" i="24"/>
  <c r="FT277" i="24"/>
  <c r="FS277" i="24"/>
  <c r="FR277" i="24"/>
  <c r="FQ277" i="24"/>
  <c r="FP277" i="24"/>
  <c r="FO277" i="24"/>
  <c r="FN277" i="24"/>
  <c r="FM277" i="24"/>
  <c r="FL277" i="24"/>
  <c r="FK277" i="24"/>
  <c r="FJ277" i="24"/>
  <c r="FI277" i="24"/>
  <c r="FH277" i="24"/>
  <c r="FG277" i="24"/>
  <c r="FF277" i="24"/>
  <c r="FE277" i="24"/>
  <c r="FD277" i="24"/>
  <c r="FC277" i="24"/>
  <c r="FB277" i="24"/>
  <c r="FA277" i="24"/>
  <c r="EZ277" i="24"/>
  <c r="EY277" i="24"/>
  <c r="EX277" i="24"/>
  <c r="EW277" i="24"/>
  <c r="EV277" i="24"/>
  <c r="EU277" i="24"/>
  <c r="ET277" i="24"/>
  <c r="ES277" i="24"/>
  <c r="ER277" i="24"/>
  <c r="EQ277" i="24"/>
  <c r="EP277" i="24"/>
  <c r="EO277" i="24"/>
  <c r="EN277" i="24"/>
  <c r="EM277" i="24"/>
  <c r="EL277" i="24"/>
  <c r="EK277" i="24"/>
  <c r="EJ277" i="24"/>
  <c r="EI277" i="24"/>
  <c r="EH277" i="24"/>
  <c r="EG277" i="24"/>
  <c r="EF277" i="24"/>
  <c r="EE277" i="24"/>
  <c r="ED277" i="24"/>
  <c r="EC277" i="24"/>
  <c r="EB277" i="24"/>
  <c r="EA277" i="24"/>
  <c r="DZ277" i="24"/>
  <c r="DY277" i="24"/>
  <c r="DX277" i="24"/>
  <c r="DW277" i="24"/>
  <c r="DV277" i="24"/>
  <c r="DU277" i="24"/>
  <c r="DT277" i="24"/>
  <c r="DS277" i="24"/>
  <c r="DR277" i="24"/>
  <c r="DQ277" i="24"/>
  <c r="DP277" i="24"/>
  <c r="DO277" i="24"/>
  <c r="DN277" i="24"/>
  <c r="DM277" i="24"/>
  <c r="DL277" i="24"/>
  <c r="DK277" i="24"/>
  <c r="DJ277" i="24"/>
  <c r="DI277" i="24"/>
  <c r="DH277" i="24"/>
  <c r="DG277" i="24"/>
  <c r="DF277" i="24"/>
  <c r="DE277" i="24"/>
  <c r="DD277" i="24"/>
  <c r="DC277" i="24"/>
  <c r="DB277" i="24"/>
  <c r="DA277" i="24"/>
  <c r="CZ277" i="24"/>
  <c r="CY277" i="24"/>
  <c r="CX277" i="24"/>
  <c r="CW277" i="24"/>
  <c r="CV277" i="24"/>
  <c r="CU277" i="24"/>
  <c r="CT277" i="24"/>
  <c r="CS277" i="24"/>
  <c r="CR277" i="24"/>
  <c r="CQ277" i="24"/>
  <c r="CP277" i="24"/>
  <c r="CO277" i="24"/>
  <c r="CN277" i="24"/>
  <c r="CM277" i="24"/>
  <c r="CL277" i="24"/>
  <c r="CK277" i="24"/>
  <c r="CJ277" i="24"/>
  <c r="CI277" i="24"/>
  <c r="CH277" i="24"/>
  <c r="CG277" i="24"/>
  <c r="CF277" i="24"/>
  <c r="CE277" i="24"/>
  <c r="CD277" i="24"/>
  <c r="CC277" i="24"/>
  <c r="CB277" i="24"/>
  <c r="CA277" i="24"/>
  <c r="BZ277" i="24"/>
  <c r="BY277" i="24"/>
  <c r="BX277" i="24"/>
  <c r="BW277" i="24"/>
  <c r="BV277" i="24"/>
  <c r="BU277" i="24"/>
  <c r="BT277" i="24"/>
  <c r="BS277" i="24"/>
  <c r="BR277" i="24"/>
  <c r="BQ277" i="24"/>
  <c r="BP277" i="24"/>
  <c r="BO277" i="24"/>
  <c r="BN277" i="24"/>
  <c r="BM277" i="24"/>
  <c r="BL277" i="24"/>
  <c r="BK277" i="24"/>
  <c r="BJ277" i="24"/>
  <c r="BI277" i="24"/>
  <c r="BH277" i="24"/>
  <c r="BG277" i="24"/>
  <c r="BF277" i="24"/>
  <c r="BE277" i="24"/>
  <c r="BD277" i="24"/>
  <c r="BC277" i="24"/>
  <c r="BB277" i="24"/>
  <c r="BA277" i="24"/>
  <c r="AZ277" i="24"/>
  <c r="AY277" i="24"/>
  <c r="AX277" i="24"/>
  <c r="AW277" i="24"/>
  <c r="AV277" i="24"/>
  <c r="AU277" i="24"/>
  <c r="AT277" i="24"/>
  <c r="AS277" i="24"/>
  <c r="AR277" i="24"/>
  <c r="AQ277" i="24"/>
  <c r="AP277" i="24"/>
  <c r="AO277" i="24"/>
  <c r="AN277" i="24"/>
  <c r="AM277" i="24"/>
  <c r="AL277" i="24"/>
  <c r="AK277" i="24"/>
  <c r="AJ277" i="24"/>
  <c r="AI277" i="24"/>
  <c r="AH277" i="24"/>
  <c r="AG277" i="24"/>
  <c r="AF277" i="24"/>
  <c r="AE277" i="24"/>
  <c r="AD277" i="24"/>
  <c r="AC277" i="24"/>
  <c r="AB277" i="24"/>
  <c r="AA277" i="24"/>
  <c r="Z277" i="24"/>
  <c r="Y277" i="24"/>
  <c r="X277" i="24"/>
  <c r="W277" i="24"/>
  <c r="V277" i="24"/>
  <c r="U277" i="24"/>
  <c r="T277" i="24"/>
  <c r="S277" i="24"/>
  <c r="R277" i="24"/>
  <c r="Q277" i="24"/>
  <c r="P277" i="24"/>
  <c r="O277" i="24"/>
  <c r="N277" i="24"/>
  <c r="M277" i="24"/>
  <c r="L277" i="24"/>
  <c r="K277" i="24"/>
  <c r="J277" i="24"/>
  <c r="I277" i="24"/>
  <c r="H277" i="24"/>
  <c r="G277" i="24"/>
  <c r="F277" i="24"/>
  <c r="E277" i="24"/>
  <c r="D277" i="24"/>
  <c r="C277" i="24"/>
  <c r="B277" i="24"/>
  <c r="GT276" i="24"/>
  <c r="GS276" i="24"/>
  <c r="GR276" i="24"/>
  <c r="GQ276" i="24"/>
  <c r="GP276" i="24"/>
  <c r="GO276" i="24"/>
  <c r="GN276" i="24"/>
  <c r="GM276" i="24"/>
  <c r="GL276" i="24"/>
  <c r="GK276" i="24"/>
  <c r="GJ276" i="24"/>
  <c r="GI276" i="24"/>
  <c r="GH276" i="24"/>
  <c r="GG276" i="24"/>
  <c r="GF276" i="24"/>
  <c r="GE276" i="24"/>
  <c r="GD276" i="24"/>
  <c r="GC276" i="24"/>
  <c r="GB276" i="24"/>
  <c r="GA276" i="24"/>
  <c r="FZ276" i="24"/>
  <c r="FY276" i="24"/>
  <c r="FX276" i="24"/>
  <c r="FW276" i="24"/>
  <c r="FV276" i="24"/>
  <c r="FU276" i="24"/>
  <c r="FT276" i="24"/>
  <c r="FS276" i="24"/>
  <c r="FR276" i="24"/>
  <c r="FQ276" i="24"/>
  <c r="FP276" i="24"/>
  <c r="FO276" i="24"/>
  <c r="FN276" i="24"/>
  <c r="FM276" i="24"/>
  <c r="FL276" i="24"/>
  <c r="FK276" i="24"/>
  <c r="FJ276" i="24"/>
  <c r="FI276" i="24"/>
  <c r="FH276" i="24"/>
  <c r="FG276" i="24"/>
  <c r="FF276" i="24"/>
  <c r="FE276" i="24"/>
  <c r="FD276" i="24"/>
  <c r="FC276" i="24"/>
  <c r="FB276" i="24"/>
  <c r="FA276" i="24"/>
  <c r="EZ276" i="24"/>
  <c r="EY276" i="24"/>
  <c r="EX276" i="24"/>
  <c r="EW276" i="24"/>
  <c r="EV276" i="24"/>
  <c r="EU276" i="24"/>
  <c r="ET276" i="24"/>
  <c r="ES276" i="24"/>
  <c r="ER276" i="24"/>
  <c r="EQ276" i="24"/>
  <c r="EP276" i="24"/>
  <c r="EO276" i="24"/>
  <c r="EN276" i="24"/>
  <c r="EM276" i="24"/>
  <c r="EL276" i="24"/>
  <c r="EK276" i="24"/>
  <c r="EJ276" i="24"/>
  <c r="EI276" i="24"/>
  <c r="EH276" i="24"/>
  <c r="EG276" i="24"/>
  <c r="EF276" i="24"/>
  <c r="EE276" i="24"/>
  <c r="ED276" i="24"/>
  <c r="EC276" i="24"/>
  <c r="EB276" i="24"/>
  <c r="EA276" i="24"/>
  <c r="DZ276" i="24"/>
  <c r="DY276" i="24"/>
  <c r="DX276" i="24"/>
  <c r="DW276" i="24"/>
  <c r="DV276" i="24"/>
  <c r="DU276" i="24"/>
  <c r="DT276" i="24"/>
  <c r="DS276" i="24"/>
  <c r="DR276" i="24"/>
  <c r="DQ276" i="24"/>
  <c r="DP276" i="24"/>
  <c r="DO276" i="24"/>
  <c r="DN276" i="24"/>
  <c r="DM276" i="24"/>
  <c r="DL276" i="24"/>
  <c r="DK276" i="24"/>
  <c r="DJ276" i="24"/>
  <c r="DI276" i="24"/>
  <c r="DH276" i="24"/>
  <c r="DG276" i="24"/>
  <c r="DF276" i="24"/>
  <c r="DE276" i="24"/>
  <c r="DD276" i="24"/>
  <c r="DC276" i="24"/>
  <c r="DB276" i="24"/>
  <c r="DA276" i="24"/>
  <c r="CZ276" i="24"/>
  <c r="CY276" i="24"/>
  <c r="CX276" i="24"/>
  <c r="CW276" i="24"/>
  <c r="CV276" i="24"/>
  <c r="CU276" i="24"/>
  <c r="CT276" i="24"/>
  <c r="CS276" i="24"/>
  <c r="CR276" i="24"/>
  <c r="CQ276" i="24"/>
  <c r="CP276" i="24"/>
  <c r="CO276" i="24"/>
  <c r="CN276" i="24"/>
  <c r="CM276" i="24"/>
  <c r="CL276" i="24"/>
  <c r="CK276" i="24"/>
  <c r="CJ276" i="24"/>
  <c r="CI276" i="24"/>
  <c r="CH276" i="24"/>
  <c r="CG276" i="24"/>
  <c r="CF276" i="24"/>
  <c r="CE276" i="24"/>
  <c r="CD276" i="24"/>
  <c r="CC276" i="24"/>
  <c r="CB276" i="24"/>
  <c r="CA276" i="24"/>
  <c r="BZ276" i="24"/>
  <c r="BY276" i="24"/>
  <c r="BX276" i="24"/>
  <c r="BW276" i="24"/>
  <c r="BV276" i="24"/>
  <c r="BU276" i="24"/>
  <c r="BT276" i="24"/>
  <c r="BS276" i="24"/>
  <c r="BR276" i="24"/>
  <c r="BQ276" i="24"/>
  <c r="BP276" i="24"/>
  <c r="BO276" i="24"/>
  <c r="BN276" i="24"/>
  <c r="BM276" i="24"/>
  <c r="BL276" i="24"/>
  <c r="BK276" i="24"/>
  <c r="BJ276" i="24"/>
  <c r="BI276" i="24"/>
  <c r="BH276" i="24"/>
  <c r="BG276" i="24"/>
  <c r="BF276" i="24"/>
  <c r="BE276" i="24"/>
  <c r="BD276" i="24"/>
  <c r="BC276" i="24"/>
  <c r="BB276" i="24"/>
  <c r="BA276" i="24"/>
  <c r="AZ276" i="24"/>
  <c r="AY276" i="24"/>
  <c r="AX276" i="24"/>
  <c r="AW276" i="24"/>
  <c r="AV276" i="24"/>
  <c r="AU276" i="24"/>
  <c r="AT276" i="24"/>
  <c r="AS276" i="24"/>
  <c r="AR276" i="24"/>
  <c r="AQ276" i="24"/>
  <c r="AP276" i="24"/>
  <c r="AO276" i="24"/>
  <c r="AN276" i="24"/>
  <c r="AM276" i="24"/>
  <c r="AL276" i="24"/>
  <c r="AK276" i="24"/>
  <c r="AJ276" i="24"/>
  <c r="AI276" i="24"/>
  <c r="AH276" i="24"/>
  <c r="AG276" i="24"/>
  <c r="AF276" i="24"/>
  <c r="AE276" i="24"/>
  <c r="AD276" i="24"/>
  <c r="AC276" i="24"/>
  <c r="AB276" i="24"/>
  <c r="AA276" i="24"/>
  <c r="Z276" i="24"/>
  <c r="Y276" i="24"/>
  <c r="X276" i="24"/>
  <c r="W276" i="24"/>
  <c r="V276" i="24"/>
  <c r="U276" i="24"/>
  <c r="T276" i="24"/>
  <c r="S276" i="24"/>
  <c r="R276" i="24"/>
  <c r="Q276" i="24"/>
  <c r="P276" i="24"/>
  <c r="O276" i="24"/>
  <c r="N276" i="24"/>
  <c r="M276" i="24"/>
  <c r="L276" i="24"/>
  <c r="K276" i="24"/>
  <c r="J276" i="24"/>
  <c r="I276" i="24"/>
  <c r="H276" i="24"/>
  <c r="G276" i="24"/>
  <c r="F276" i="24"/>
  <c r="E276" i="24"/>
  <c r="D276" i="24"/>
  <c r="C276" i="24"/>
  <c r="B276" i="24"/>
  <c r="GT275" i="24"/>
  <c r="GS275" i="24"/>
  <c r="GR275" i="24"/>
  <c r="GQ275" i="24"/>
  <c r="GP275" i="24"/>
  <c r="GO275" i="24"/>
  <c r="GN275" i="24"/>
  <c r="GM275" i="24"/>
  <c r="GL275" i="24"/>
  <c r="GK275" i="24"/>
  <c r="GJ275" i="24"/>
  <c r="GI275" i="24"/>
  <c r="GH275" i="24"/>
  <c r="GG275" i="24"/>
  <c r="GF275" i="24"/>
  <c r="GE275" i="24"/>
  <c r="GD275" i="24"/>
  <c r="GC275" i="24"/>
  <c r="GB275" i="24"/>
  <c r="GA275" i="24"/>
  <c r="FZ275" i="24"/>
  <c r="FY275" i="24"/>
  <c r="FX275" i="24"/>
  <c r="FW275" i="24"/>
  <c r="FV275" i="24"/>
  <c r="FU275" i="24"/>
  <c r="FT275" i="24"/>
  <c r="FS275" i="24"/>
  <c r="FR275" i="24"/>
  <c r="FQ275" i="24"/>
  <c r="FP275" i="24"/>
  <c r="FO275" i="24"/>
  <c r="FN275" i="24"/>
  <c r="FM275" i="24"/>
  <c r="FL275" i="24"/>
  <c r="FK275" i="24"/>
  <c r="FJ275" i="24"/>
  <c r="FI275" i="24"/>
  <c r="FH275" i="24"/>
  <c r="FG275" i="24"/>
  <c r="FF275" i="24"/>
  <c r="FE275" i="24"/>
  <c r="FD275" i="24"/>
  <c r="FC275" i="24"/>
  <c r="FB275" i="24"/>
  <c r="FA275" i="24"/>
  <c r="EZ275" i="24"/>
  <c r="EY275" i="24"/>
  <c r="EX275" i="24"/>
  <c r="EW275" i="24"/>
  <c r="EV275" i="24"/>
  <c r="EU275" i="24"/>
  <c r="ET275" i="24"/>
  <c r="ES275" i="24"/>
  <c r="ER275" i="24"/>
  <c r="EQ275" i="24"/>
  <c r="EP275" i="24"/>
  <c r="EO275" i="24"/>
  <c r="EN275" i="24"/>
  <c r="EM275" i="24"/>
  <c r="EL275" i="24"/>
  <c r="EK275" i="24"/>
  <c r="EJ275" i="24"/>
  <c r="EI275" i="24"/>
  <c r="EH275" i="24"/>
  <c r="EG275" i="24"/>
  <c r="EF275" i="24"/>
  <c r="EE275" i="24"/>
  <c r="ED275" i="24"/>
  <c r="EC275" i="24"/>
  <c r="EB275" i="24"/>
  <c r="EA275" i="24"/>
  <c r="DZ275" i="24"/>
  <c r="DY275" i="24"/>
  <c r="DX275" i="24"/>
  <c r="DW275" i="24"/>
  <c r="DV275" i="24"/>
  <c r="DU275" i="24"/>
  <c r="DT275" i="24"/>
  <c r="DS275" i="24"/>
  <c r="DR275" i="24"/>
  <c r="DQ275" i="24"/>
  <c r="DP275" i="24"/>
  <c r="DO275" i="24"/>
  <c r="DN275" i="24"/>
  <c r="DM275" i="24"/>
  <c r="DL275" i="24"/>
  <c r="DK275" i="24"/>
  <c r="DJ275" i="24"/>
  <c r="DI275" i="24"/>
  <c r="DH275" i="24"/>
  <c r="DG275" i="24"/>
  <c r="DF275" i="24"/>
  <c r="DE275" i="24"/>
  <c r="DD275" i="24"/>
  <c r="DC275" i="24"/>
  <c r="DB275" i="24"/>
  <c r="DA275" i="24"/>
  <c r="CZ275" i="24"/>
  <c r="CY275" i="24"/>
  <c r="CX275" i="24"/>
  <c r="CW275" i="24"/>
  <c r="CV275" i="24"/>
  <c r="CU275" i="24"/>
  <c r="CT275" i="24"/>
  <c r="CS275" i="24"/>
  <c r="CR275" i="24"/>
  <c r="CQ275" i="24"/>
  <c r="CP275" i="24"/>
  <c r="CO275" i="24"/>
  <c r="CN275" i="24"/>
  <c r="CM275" i="24"/>
  <c r="CL275" i="24"/>
  <c r="CK275" i="24"/>
  <c r="CJ275" i="24"/>
  <c r="CI275" i="24"/>
  <c r="CH275" i="24"/>
  <c r="CG275" i="24"/>
  <c r="CF275" i="24"/>
  <c r="CE275" i="24"/>
  <c r="CD275" i="24"/>
  <c r="CC275" i="24"/>
  <c r="CB275" i="24"/>
  <c r="CA275" i="24"/>
  <c r="BZ275" i="24"/>
  <c r="BY275" i="24"/>
  <c r="BX275" i="24"/>
  <c r="BW275" i="24"/>
  <c r="BV275" i="24"/>
  <c r="BU275" i="24"/>
  <c r="BT275" i="24"/>
  <c r="BS275" i="24"/>
  <c r="BR275" i="24"/>
  <c r="BQ275" i="24"/>
  <c r="BP275" i="24"/>
  <c r="BO275" i="24"/>
  <c r="BN275" i="24"/>
  <c r="BM275" i="24"/>
  <c r="BL275" i="24"/>
  <c r="BK275" i="24"/>
  <c r="BJ275" i="24"/>
  <c r="BI275" i="24"/>
  <c r="BH275" i="24"/>
  <c r="BG275" i="24"/>
  <c r="BF275" i="24"/>
  <c r="BE275" i="24"/>
  <c r="BD275" i="24"/>
  <c r="BC275" i="24"/>
  <c r="BB275" i="24"/>
  <c r="BA275" i="24"/>
  <c r="AZ275" i="24"/>
  <c r="AY275" i="24"/>
  <c r="AX275" i="24"/>
  <c r="AW275" i="24"/>
  <c r="AV275" i="24"/>
  <c r="AU275" i="24"/>
  <c r="AT275" i="24"/>
  <c r="AS275" i="24"/>
  <c r="AR275" i="24"/>
  <c r="AQ275" i="24"/>
  <c r="AP275" i="24"/>
  <c r="AO275" i="24"/>
  <c r="AN275" i="24"/>
  <c r="AM275" i="24"/>
  <c r="AL275" i="24"/>
  <c r="AK275" i="24"/>
  <c r="AJ275" i="24"/>
  <c r="AI275" i="24"/>
  <c r="AH275" i="24"/>
  <c r="AG275" i="24"/>
  <c r="AF275" i="24"/>
  <c r="AE275" i="24"/>
  <c r="AD275" i="24"/>
  <c r="AC275" i="24"/>
  <c r="AB275" i="24"/>
  <c r="AA275" i="24"/>
  <c r="Z275" i="24"/>
  <c r="Y275" i="24"/>
  <c r="X275" i="24"/>
  <c r="W275" i="24"/>
  <c r="V275" i="24"/>
  <c r="U275" i="24"/>
  <c r="T275" i="24"/>
  <c r="S275" i="24"/>
  <c r="R275" i="24"/>
  <c r="Q275" i="24"/>
  <c r="P275" i="24"/>
  <c r="O275" i="24"/>
  <c r="N275" i="24"/>
  <c r="M275" i="24"/>
  <c r="L275" i="24"/>
  <c r="K275" i="24"/>
  <c r="J275" i="24"/>
  <c r="I275" i="24"/>
  <c r="H275" i="24"/>
  <c r="G275" i="24"/>
  <c r="F275" i="24"/>
  <c r="E275" i="24"/>
  <c r="D275" i="24"/>
  <c r="C275" i="24"/>
  <c r="B275" i="24"/>
  <c r="GT274" i="24"/>
  <c r="GS274" i="24"/>
  <c r="GR274" i="24"/>
  <c r="GQ274" i="24"/>
  <c r="GP274" i="24"/>
  <c r="GO274" i="24"/>
  <c r="GN274" i="24"/>
  <c r="GM274" i="24"/>
  <c r="GL274" i="24"/>
  <c r="GK274" i="24"/>
  <c r="GJ274" i="24"/>
  <c r="GI274" i="24"/>
  <c r="GH274" i="24"/>
  <c r="GG274" i="24"/>
  <c r="GF274" i="24"/>
  <c r="GE274" i="24"/>
  <c r="GD274" i="24"/>
  <c r="GC274" i="24"/>
  <c r="GB274" i="24"/>
  <c r="GA274" i="24"/>
  <c r="FZ274" i="24"/>
  <c r="FY274" i="24"/>
  <c r="FX274" i="24"/>
  <c r="FW274" i="24"/>
  <c r="FV274" i="24"/>
  <c r="FU274" i="24"/>
  <c r="FT274" i="24"/>
  <c r="FS274" i="24"/>
  <c r="FR274" i="24"/>
  <c r="FQ274" i="24"/>
  <c r="FP274" i="24"/>
  <c r="FO274" i="24"/>
  <c r="FN274" i="24"/>
  <c r="FM274" i="24"/>
  <c r="FL274" i="24"/>
  <c r="FK274" i="24"/>
  <c r="FJ274" i="24"/>
  <c r="FI274" i="24"/>
  <c r="FH274" i="24"/>
  <c r="FG274" i="24"/>
  <c r="FF274" i="24"/>
  <c r="FE274" i="24"/>
  <c r="FD274" i="24"/>
  <c r="FC274" i="24"/>
  <c r="FB274" i="24"/>
  <c r="FA274" i="24"/>
  <c r="EZ274" i="24"/>
  <c r="EY274" i="24"/>
  <c r="EX274" i="24"/>
  <c r="EW274" i="24"/>
  <c r="EV274" i="24"/>
  <c r="EU274" i="24"/>
  <c r="ET274" i="24"/>
  <c r="ES274" i="24"/>
  <c r="ER274" i="24"/>
  <c r="EQ274" i="24"/>
  <c r="EP274" i="24"/>
  <c r="EO274" i="24"/>
  <c r="EN274" i="24"/>
  <c r="EM274" i="24"/>
  <c r="EL274" i="24"/>
  <c r="EK274" i="24"/>
  <c r="EJ274" i="24"/>
  <c r="EI274" i="24"/>
  <c r="EH274" i="24"/>
  <c r="EG274" i="24"/>
  <c r="EF274" i="24"/>
  <c r="EE274" i="24"/>
  <c r="ED274" i="24"/>
  <c r="EC274" i="24"/>
  <c r="EB274" i="24"/>
  <c r="EA274" i="24"/>
  <c r="DZ274" i="24"/>
  <c r="DY274" i="24"/>
  <c r="DX274" i="24"/>
  <c r="DW274" i="24"/>
  <c r="DV274" i="24"/>
  <c r="DU274" i="24"/>
  <c r="DT274" i="24"/>
  <c r="DS274" i="24"/>
  <c r="DR274" i="24"/>
  <c r="DQ274" i="24"/>
  <c r="DP274" i="24"/>
  <c r="DO274" i="24"/>
  <c r="DN274" i="24"/>
  <c r="DM274" i="24"/>
  <c r="DL274" i="24"/>
  <c r="DK274" i="24"/>
  <c r="DJ274" i="24"/>
  <c r="DI274" i="24"/>
  <c r="DH274" i="24"/>
  <c r="DG274" i="24"/>
  <c r="DF274" i="24"/>
  <c r="DE274" i="24"/>
  <c r="DD274" i="24"/>
  <c r="DC274" i="24"/>
  <c r="DB274" i="24"/>
  <c r="DA274" i="24"/>
  <c r="CZ274" i="24"/>
  <c r="CY274" i="24"/>
  <c r="CX274" i="24"/>
  <c r="CW274" i="24"/>
  <c r="CV274" i="24"/>
  <c r="CU274" i="24"/>
  <c r="CT274" i="24"/>
  <c r="CS274" i="24"/>
  <c r="CR274" i="24"/>
  <c r="CQ274" i="24"/>
  <c r="CP274" i="24"/>
  <c r="CO274" i="24"/>
  <c r="CN274" i="24"/>
  <c r="CM274" i="24"/>
  <c r="CL274" i="24"/>
  <c r="CK274" i="24"/>
  <c r="CJ274" i="24"/>
  <c r="CI274" i="24"/>
  <c r="CH274" i="24"/>
  <c r="CG274" i="24"/>
  <c r="CF274" i="24"/>
  <c r="CE274" i="24"/>
  <c r="CD274" i="24"/>
  <c r="CC274" i="24"/>
  <c r="CB274" i="24"/>
  <c r="CA274" i="24"/>
  <c r="BZ274" i="24"/>
  <c r="BY274" i="24"/>
  <c r="BX274" i="24"/>
  <c r="BW274" i="24"/>
  <c r="BV274" i="24"/>
  <c r="BU274" i="24"/>
  <c r="BT274" i="24"/>
  <c r="BS274" i="24"/>
  <c r="BR274" i="24"/>
  <c r="BQ274" i="24"/>
  <c r="BP274" i="24"/>
  <c r="BO274" i="24"/>
  <c r="BN274" i="24"/>
  <c r="BM274" i="24"/>
  <c r="BL274" i="24"/>
  <c r="BK274" i="24"/>
  <c r="BJ274" i="24"/>
  <c r="BI274" i="24"/>
  <c r="BH274" i="24"/>
  <c r="BG274" i="24"/>
  <c r="BF274" i="24"/>
  <c r="BE274" i="24"/>
  <c r="BD274" i="24"/>
  <c r="BC274" i="24"/>
  <c r="BB274" i="24"/>
  <c r="BA274" i="24"/>
  <c r="AZ274" i="24"/>
  <c r="AY274" i="24"/>
  <c r="AX274" i="24"/>
  <c r="AW274" i="24"/>
  <c r="AV274" i="24"/>
  <c r="AU274" i="24"/>
  <c r="AT274" i="24"/>
  <c r="AS274" i="24"/>
  <c r="AR274" i="24"/>
  <c r="AQ274" i="24"/>
  <c r="AP274" i="24"/>
  <c r="AO274" i="24"/>
  <c r="AN274" i="24"/>
  <c r="AM274" i="24"/>
  <c r="AL274" i="24"/>
  <c r="AK274" i="24"/>
  <c r="AJ274" i="24"/>
  <c r="AI274" i="24"/>
  <c r="AH274" i="24"/>
  <c r="AG274" i="24"/>
  <c r="AF274" i="24"/>
  <c r="AE274" i="24"/>
  <c r="AD274" i="24"/>
  <c r="AC274" i="24"/>
  <c r="AB274" i="24"/>
  <c r="AA274" i="24"/>
  <c r="Z274" i="24"/>
  <c r="Y274" i="24"/>
  <c r="X274" i="24"/>
  <c r="W274" i="24"/>
  <c r="V274" i="24"/>
  <c r="U274" i="24"/>
  <c r="T274" i="24"/>
  <c r="S274" i="24"/>
  <c r="R274" i="24"/>
  <c r="Q274" i="24"/>
  <c r="P274" i="24"/>
  <c r="O274" i="24"/>
  <c r="N274" i="24"/>
  <c r="M274" i="24"/>
  <c r="L274" i="24"/>
  <c r="K274" i="24"/>
  <c r="J274" i="24"/>
  <c r="I274" i="24"/>
  <c r="H274" i="24"/>
  <c r="G274" i="24"/>
  <c r="F274" i="24"/>
  <c r="E274" i="24"/>
  <c r="D274" i="24"/>
  <c r="C274" i="24"/>
  <c r="B274" i="24"/>
  <c r="GT273" i="24"/>
  <c r="GS273" i="24"/>
  <c r="GR273" i="24"/>
  <c r="GQ273" i="24"/>
  <c r="GP273" i="24"/>
  <c r="GO273" i="24"/>
  <c r="GN273" i="24"/>
  <c r="GM273" i="24"/>
  <c r="GL273" i="24"/>
  <c r="GK273" i="24"/>
  <c r="GJ273" i="24"/>
  <c r="GI273" i="24"/>
  <c r="GH273" i="24"/>
  <c r="GG273" i="24"/>
  <c r="GF273" i="24"/>
  <c r="GE273" i="24"/>
  <c r="GD273" i="24"/>
  <c r="GC273" i="24"/>
  <c r="GB273" i="24"/>
  <c r="GA273" i="24"/>
  <c r="FZ273" i="24"/>
  <c r="FY273" i="24"/>
  <c r="FX273" i="24"/>
  <c r="FW273" i="24"/>
  <c r="FV273" i="24"/>
  <c r="FU273" i="24"/>
  <c r="FT273" i="24"/>
  <c r="FS273" i="24"/>
  <c r="FR273" i="24"/>
  <c r="FQ273" i="24"/>
  <c r="FP273" i="24"/>
  <c r="FO273" i="24"/>
  <c r="FN273" i="24"/>
  <c r="FM273" i="24"/>
  <c r="FL273" i="24"/>
  <c r="FK273" i="24"/>
  <c r="FJ273" i="24"/>
  <c r="FI273" i="24"/>
  <c r="FH273" i="24"/>
  <c r="FG273" i="24"/>
  <c r="FF273" i="24"/>
  <c r="FE273" i="24"/>
  <c r="FD273" i="24"/>
  <c r="FC273" i="24"/>
  <c r="FB273" i="24"/>
  <c r="FA273" i="24"/>
  <c r="EZ273" i="24"/>
  <c r="EY273" i="24"/>
  <c r="EX273" i="24"/>
  <c r="EW273" i="24"/>
  <c r="EV273" i="24"/>
  <c r="EU273" i="24"/>
  <c r="ET273" i="24"/>
  <c r="ES273" i="24"/>
  <c r="ER273" i="24"/>
  <c r="EQ273" i="24"/>
  <c r="EP273" i="24"/>
  <c r="EO273" i="24"/>
  <c r="EN273" i="24"/>
  <c r="EM273" i="24"/>
  <c r="EL273" i="24"/>
  <c r="EK273" i="24"/>
  <c r="EJ273" i="24"/>
  <c r="EI273" i="24"/>
  <c r="EH273" i="24"/>
  <c r="EG273" i="24"/>
  <c r="EF273" i="24"/>
  <c r="EE273" i="24"/>
  <c r="ED273" i="24"/>
  <c r="EC273" i="24"/>
  <c r="EB273" i="24"/>
  <c r="EA273" i="24"/>
  <c r="DZ273" i="24"/>
  <c r="DY273" i="24"/>
  <c r="DX273" i="24"/>
  <c r="DW273" i="24"/>
  <c r="DV273" i="24"/>
  <c r="DU273" i="24"/>
  <c r="DT273" i="24"/>
  <c r="DS273" i="24"/>
  <c r="DR273" i="24"/>
  <c r="DQ273" i="24"/>
  <c r="DP273" i="24"/>
  <c r="DO273" i="24"/>
  <c r="DN273" i="24"/>
  <c r="DM273" i="24"/>
  <c r="DL273" i="24"/>
  <c r="DK273" i="24"/>
  <c r="DJ273" i="24"/>
  <c r="DI273" i="24"/>
  <c r="DH273" i="24"/>
  <c r="DG273" i="24"/>
  <c r="DF273" i="24"/>
  <c r="DE273" i="24"/>
  <c r="DD273" i="24"/>
  <c r="DC273" i="24"/>
  <c r="DB273" i="24"/>
  <c r="DA273" i="24"/>
  <c r="CZ273" i="24"/>
  <c r="CY273" i="24"/>
  <c r="CX273" i="24"/>
  <c r="CW273" i="24"/>
  <c r="CV273" i="24"/>
  <c r="CU273" i="24"/>
  <c r="CT273" i="24"/>
  <c r="CS273" i="24"/>
  <c r="CR273" i="24"/>
  <c r="CQ273" i="24"/>
  <c r="CP273" i="24"/>
  <c r="CO273" i="24"/>
  <c r="CN273" i="24"/>
  <c r="CM273" i="24"/>
  <c r="CL273" i="24"/>
  <c r="CK273" i="24"/>
  <c r="CJ273" i="24"/>
  <c r="CI273" i="24"/>
  <c r="CH273" i="24"/>
  <c r="CG273" i="24"/>
  <c r="CF273" i="24"/>
  <c r="CE273" i="24"/>
  <c r="CD273" i="24"/>
  <c r="CC273" i="24"/>
  <c r="CB273" i="24"/>
  <c r="CA273" i="24"/>
  <c r="BZ273" i="24"/>
  <c r="BY273" i="24"/>
  <c r="BX273" i="24"/>
  <c r="BW273" i="24"/>
  <c r="BV273" i="24"/>
  <c r="BU273" i="24"/>
  <c r="BT273" i="24"/>
  <c r="BS273" i="24"/>
  <c r="BR273" i="24"/>
  <c r="BQ273" i="24"/>
  <c r="BP273" i="24"/>
  <c r="BO273" i="24"/>
  <c r="BN273" i="24"/>
  <c r="BM273" i="24"/>
  <c r="BL273" i="24"/>
  <c r="BK273" i="24"/>
  <c r="BJ273" i="24"/>
  <c r="BI273" i="24"/>
  <c r="BH273" i="24"/>
  <c r="BG273" i="24"/>
  <c r="BF273" i="24"/>
  <c r="BE273" i="24"/>
  <c r="BD273" i="24"/>
  <c r="BC273" i="24"/>
  <c r="BB273" i="24"/>
  <c r="BA273" i="24"/>
  <c r="AZ273" i="24"/>
  <c r="AY273" i="24"/>
  <c r="AX273" i="24"/>
  <c r="AW273" i="24"/>
  <c r="AV273" i="24"/>
  <c r="AU273" i="24"/>
  <c r="AT273" i="24"/>
  <c r="AS273" i="24"/>
  <c r="AR273" i="24"/>
  <c r="AQ273" i="24"/>
  <c r="AP273" i="24"/>
  <c r="AO273" i="24"/>
  <c r="AN273" i="24"/>
  <c r="AM273" i="24"/>
  <c r="AL273" i="24"/>
  <c r="AK273" i="24"/>
  <c r="AJ273" i="24"/>
  <c r="AI273" i="24"/>
  <c r="AH273" i="24"/>
  <c r="AG273" i="24"/>
  <c r="AF273" i="24"/>
  <c r="AE273" i="24"/>
  <c r="AD273" i="24"/>
  <c r="AC273" i="24"/>
  <c r="AB273" i="24"/>
  <c r="AA273" i="24"/>
  <c r="Z273" i="24"/>
  <c r="Y273" i="24"/>
  <c r="X273" i="24"/>
  <c r="W273" i="24"/>
  <c r="V273" i="24"/>
  <c r="U273" i="24"/>
  <c r="T273" i="24"/>
  <c r="S273" i="24"/>
  <c r="R273" i="24"/>
  <c r="Q273" i="24"/>
  <c r="P273" i="24"/>
  <c r="O273" i="24"/>
  <c r="N273" i="24"/>
  <c r="M273" i="24"/>
  <c r="L273" i="24"/>
  <c r="K273" i="24"/>
  <c r="J273" i="24"/>
  <c r="I273" i="24"/>
  <c r="H273" i="24"/>
  <c r="G273" i="24"/>
  <c r="F273" i="24"/>
  <c r="E273" i="24"/>
  <c r="D273" i="24"/>
  <c r="C273" i="24"/>
  <c r="B273" i="24"/>
  <c r="GT272" i="24"/>
  <c r="GS272" i="24"/>
  <c r="GR272" i="24"/>
  <c r="GQ272" i="24"/>
  <c r="GP272" i="24"/>
  <c r="GO272" i="24"/>
  <c r="GN272" i="24"/>
  <c r="GM272" i="24"/>
  <c r="GL272" i="24"/>
  <c r="GK272" i="24"/>
  <c r="GJ272" i="24"/>
  <c r="GI272" i="24"/>
  <c r="GH272" i="24"/>
  <c r="GG272" i="24"/>
  <c r="GF272" i="24"/>
  <c r="GE272" i="24"/>
  <c r="GD272" i="24"/>
  <c r="GC272" i="24"/>
  <c r="GB272" i="24"/>
  <c r="GA272" i="24"/>
  <c r="FZ272" i="24"/>
  <c r="FY272" i="24"/>
  <c r="FX272" i="24"/>
  <c r="FW272" i="24"/>
  <c r="FV272" i="24"/>
  <c r="FU272" i="24"/>
  <c r="FT272" i="24"/>
  <c r="FS272" i="24"/>
  <c r="FR272" i="24"/>
  <c r="FQ272" i="24"/>
  <c r="FP272" i="24"/>
  <c r="FO272" i="24"/>
  <c r="FN272" i="24"/>
  <c r="FM272" i="24"/>
  <c r="FL272" i="24"/>
  <c r="FK272" i="24"/>
  <c r="FJ272" i="24"/>
  <c r="FI272" i="24"/>
  <c r="FH272" i="24"/>
  <c r="FG272" i="24"/>
  <c r="FF272" i="24"/>
  <c r="FE272" i="24"/>
  <c r="FD272" i="24"/>
  <c r="FC272" i="24"/>
  <c r="FB272" i="24"/>
  <c r="FA272" i="24"/>
  <c r="EZ272" i="24"/>
  <c r="EY272" i="24"/>
  <c r="EX272" i="24"/>
  <c r="EW272" i="24"/>
  <c r="EV272" i="24"/>
  <c r="EU272" i="24"/>
  <c r="ET272" i="24"/>
  <c r="ES272" i="24"/>
  <c r="ER272" i="24"/>
  <c r="EQ272" i="24"/>
  <c r="EP272" i="24"/>
  <c r="EO272" i="24"/>
  <c r="EN272" i="24"/>
  <c r="EM272" i="24"/>
  <c r="EL272" i="24"/>
  <c r="EK272" i="24"/>
  <c r="EJ272" i="24"/>
  <c r="EI272" i="24"/>
  <c r="EH272" i="24"/>
  <c r="EG272" i="24"/>
  <c r="EF272" i="24"/>
  <c r="EE272" i="24"/>
  <c r="ED272" i="24"/>
  <c r="EC272" i="24"/>
  <c r="EB272" i="24"/>
  <c r="EA272" i="24"/>
  <c r="DZ272" i="24"/>
  <c r="DY272" i="24"/>
  <c r="DX272" i="24"/>
  <c r="DW272" i="24"/>
  <c r="DV272" i="24"/>
  <c r="DU272" i="24"/>
  <c r="DT272" i="24"/>
  <c r="DS272" i="24"/>
  <c r="DR272" i="24"/>
  <c r="DQ272" i="24"/>
  <c r="DP272" i="24"/>
  <c r="DO272" i="24"/>
  <c r="DN272" i="24"/>
  <c r="DM272" i="24"/>
  <c r="DL272" i="24"/>
  <c r="DK272" i="24"/>
  <c r="DJ272" i="24"/>
  <c r="DI272" i="24"/>
  <c r="DH272" i="24"/>
  <c r="DG272" i="24"/>
  <c r="DF272" i="24"/>
  <c r="DE272" i="24"/>
  <c r="DD272" i="24"/>
  <c r="DC272" i="24"/>
  <c r="DB272" i="24"/>
  <c r="DA272" i="24"/>
  <c r="CZ272" i="24"/>
  <c r="CY272" i="24"/>
  <c r="CX272" i="24"/>
  <c r="CW272" i="24"/>
  <c r="CV272" i="24"/>
  <c r="CU272" i="24"/>
  <c r="CT272" i="24"/>
  <c r="CS272" i="24"/>
  <c r="CR272" i="24"/>
  <c r="CQ272" i="24"/>
  <c r="CP272" i="24"/>
  <c r="CO272" i="24"/>
  <c r="CN272" i="24"/>
  <c r="CM272" i="24"/>
  <c r="CL272" i="24"/>
  <c r="CK272" i="24"/>
  <c r="CJ272" i="24"/>
  <c r="CI272" i="24"/>
  <c r="CH272" i="24"/>
  <c r="CG272" i="24"/>
  <c r="CF272" i="24"/>
  <c r="CE272" i="24"/>
  <c r="CD272" i="24"/>
  <c r="CC272" i="24"/>
  <c r="CB272" i="24"/>
  <c r="CA272" i="24"/>
  <c r="BZ272" i="24"/>
  <c r="BY272" i="24"/>
  <c r="BX272" i="24"/>
  <c r="BW272" i="24"/>
  <c r="BV272" i="24"/>
  <c r="BU272" i="24"/>
  <c r="BT272" i="24"/>
  <c r="BS272" i="24"/>
  <c r="BR272" i="24"/>
  <c r="BQ272" i="24"/>
  <c r="BP272" i="24"/>
  <c r="BO272" i="24"/>
  <c r="BN272" i="24"/>
  <c r="BM272" i="24"/>
  <c r="BL272" i="24"/>
  <c r="BK272" i="24"/>
  <c r="BJ272" i="24"/>
  <c r="BI272" i="24"/>
  <c r="BH272" i="24"/>
  <c r="BG272" i="24"/>
  <c r="BF272" i="24"/>
  <c r="BE272" i="24"/>
  <c r="BD272" i="24"/>
  <c r="BC272" i="24"/>
  <c r="BB272" i="24"/>
  <c r="BA272" i="24"/>
  <c r="AZ272" i="24"/>
  <c r="AY272" i="24"/>
  <c r="AX272" i="24"/>
  <c r="AW272" i="24"/>
  <c r="AV272" i="24"/>
  <c r="AU272" i="24"/>
  <c r="AT272" i="24"/>
  <c r="AS272" i="24"/>
  <c r="AR272" i="24"/>
  <c r="AQ272" i="24"/>
  <c r="AP272" i="24"/>
  <c r="AO272" i="24"/>
  <c r="AN272" i="24"/>
  <c r="AM272" i="24"/>
  <c r="AL272" i="24"/>
  <c r="AK272" i="24"/>
  <c r="AJ272" i="24"/>
  <c r="AI272" i="24"/>
  <c r="AH272" i="24"/>
  <c r="AG272" i="24"/>
  <c r="AF272" i="24"/>
  <c r="AE272" i="24"/>
  <c r="AD272" i="24"/>
  <c r="AC272" i="24"/>
  <c r="AB272" i="24"/>
  <c r="AA272" i="24"/>
  <c r="Z272" i="24"/>
  <c r="Y272" i="24"/>
  <c r="X272" i="24"/>
  <c r="W272" i="24"/>
  <c r="V272" i="24"/>
  <c r="U272" i="24"/>
  <c r="T272" i="24"/>
  <c r="S272" i="24"/>
  <c r="R272" i="24"/>
  <c r="Q272" i="24"/>
  <c r="P272" i="24"/>
  <c r="O272" i="24"/>
  <c r="N272" i="24"/>
  <c r="M272" i="24"/>
  <c r="L272" i="24"/>
  <c r="K272" i="24"/>
  <c r="J272" i="24"/>
  <c r="I272" i="24"/>
  <c r="H272" i="24"/>
  <c r="G272" i="24"/>
  <c r="F272" i="24"/>
  <c r="E272" i="24"/>
  <c r="D272" i="24"/>
  <c r="C272" i="24"/>
  <c r="B272" i="24"/>
  <c r="GT271" i="24"/>
  <c r="GS271" i="24"/>
  <c r="GR271" i="24"/>
  <c r="GQ271" i="24"/>
  <c r="GP271" i="24"/>
  <c r="GO271" i="24"/>
  <c r="GN271" i="24"/>
  <c r="GM271" i="24"/>
  <c r="GL271" i="24"/>
  <c r="GK271" i="24"/>
  <c r="GJ271" i="24"/>
  <c r="GI271" i="24"/>
  <c r="GH271" i="24"/>
  <c r="GG271" i="24"/>
  <c r="GF271" i="24"/>
  <c r="GE271" i="24"/>
  <c r="GD271" i="24"/>
  <c r="GC271" i="24"/>
  <c r="GB271" i="24"/>
  <c r="GA271" i="24"/>
  <c r="FZ271" i="24"/>
  <c r="FY271" i="24"/>
  <c r="FX271" i="24"/>
  <c r="FW271" i="24"/>
  <c r="FV271" i="24"/>
  <c r="FU271" i="24"/>
  <c r="FT271" i="24"/>
  <c r="FS271" i="24"/>
  <c r="FR271" i="24"/>
  <c r="FQ271" i="24"/>
  <c r="FP271" i="24"/>
  <c r="FO271" i="24"/>
  <c r="FN271" i="24"/>
  <c r="FM271" i="24"/>
  <c r="FL271" i="24"/>
  <c r="FK271" i="24"/>
  <c r="FJ271" i="24"/>
  <c r="FI271" i="24"/>
  <c r="FH271" i="24"/>
  <c r="FG271" i="24"/>
  <c r="FF271" i="24"/>
  <c r="FE271" i="24"/>
  <c r="FD271" i="24"/>
  <c r="FC271" i="24"/>
  <c r="FB271" i="24"/>
  <c r="FA271" i="24"/>
  <c r="EZ271" i="24"/>
  <c r="EY271" i="24"/>
  <c r="EX271" i="24"/>
  <c r="EW271" i="24"/>
  <c r="EV271" i="24"/>
  <c r="EU271" i="24"/>
  <c r="ET271" i="24"/>
  <c r="ES271" i="24"/>
  <c r="ER271" i="24"/>
  <c r="EQ271" i="24"/>
  <c r="EP271" i="24"/>
  <c r="EO271" i="24"/>
  <c r="EN271" i="24"/>
  <c r="EM271" i="24"/>
  <c r="EL271" i="24"/>
  <c r="EK271" i="24"/>
  <c r="EJ271" i="24"/>
  <c r="EI271" i="24"/>
  <c r="EH271" i="24"/>
  <c r="EG271" i="24"/>
  <c r="EF271" i="24"/>
  <c r="EE271" i="24"/>
  <c r="ED271" i="24"/>
  <c r="EC271" i="24"/>
  <c r="EB271" i="24"/>
  <c r="EA271" i="24"/>
  <c r="DZ271" i="24"/>
  <c r="DY271" i="24"/>
  <c r="DX271" i="24"/>
  <c r="DW271" i="24"/>
  <c r="DV271" i="24"/>
  <c r="DU271" i="24"/>
  <c r="DT271" i="24"/>
  <c r="DS271" i="24"/>
  <c r="DR271" i="24"/>
  <c r="DQ271" i="24"/>
  <c r="DP271" i="24"/>
  <c r="DO271" i="24"/>
  <c r="DN271" i="24"/>
  <c r="DM271" i="24"/>
  <c r="DL271" i="24"/>
  <c r="DK271" i="24"/>
  <c r="DJ271" i="24"/>
  <c r="DI271" i="24"/>
  <c r="DH271" i="24"/>
  <c r="DG271" i="24"/>
  <c r="DF271" i="24"/>
  <c r="DE271" i="24"/>
  <c r="DD271" i="24"/>
  <c r="DC271" i="24"/>
  <c r="DB271" i="24"/>
  <c r="DA271" i="24"/>
  <c r="CZ271" i="24"/>
  <c r="CY271" i="24"/>
  <c r="CX271" i="24"/>
  <c r="CW271" i="24"/>
  <c r="CV271" i="24"/>
  <c r="CU271" i="24"/>
  <c r="CT271" i="24"/>
  <c r="CS271" i="24"/>
  <c r="CR271" i="24"/>
  <c r="CQ271" i="24"/>
  <c r="CP271" i="24"/>
  <c r="CO271" i="24"/>
  <c r="CN271" i="24"/>
  <c r="CM271" i="24"/>
  <c r="CL271" i="24"/>
  <c r="CK271" i="24"/>
  <c r="CJ271" i="24"/>
  <c r="CI271" i="24"/>
  <c r="CH271" i="24"/>
  <c r="CG271" i="24"/>
  <c r="CF271" i="24"/>
  <c r="CE271" i="24"/>
  <c r="CD271" i="24"/>
  <c r="CC271" i="24"/>
  <c r="CB271" i="24"/>
  <c r="CA271" i="24"/>
  <c r="BZ271" i="24"/>
  <c r="BY271" i="24"/>
  <c r="BX271" i="24"/>
  <c r="BW271" i="24"/>
  <c r="BV271" i="24"/>
  <c r="BU271" i="24"/>
  <c r="BT271" i="24"/>
  <c r="BS271" i="24"/>
  <c r="BR271" i="24"/>
  <c r="BQ271" i="24"/>
  <c r="BP271" i="24"/>
  <c r="BO271" i="24"/>
  <c r="BN271" i="24"/>
  <c r="BM271" i="24"/>
  <c r="BL271" i="24"/>
  <c r="BK271" i="24"/>
  <c r="BJ271" i="24"/>
  <c r="BI271" i="24"/>
  <c r="BH271" i="24"/>
  <c r="BG271" i="24"/>
  <c r="BF271" i="24"/>
  <c r="BE271" i="24"/>
  <c r="BD271" i="24"/>
  <c r="BC271" i="24"/>
  <c r="BB271" i="24"/>
  <c r="BA271" i="24"/>
  <c r="AZ271" i="24"/>
  <c r="AY271" i="24"/>
  <c r="AX271" i="24"/>
  <c r="AW271" i="24"/>
  <c r="AV271" i="24"/>
  <c r="AU271" i="24"/>
  <c r="AT271" i="24"/>
  <c r="AS271" i="24"/>
  <c r="AR271" i="24"/>
  <c r="AQ271" i="24"/>
  <c r="AP271" i="24"/>
  <c r="AO271" i="24"/>
  <c r="AN271" i="24"/>
  <c r="AM271" i="24"/>
  <c r="AL271" i="24"/>
  <c r="AK271" i="24"/>
  <c r="AJ271" i="24"/>
  <c r="AI271" i="24"/>
  <c r="AH271" i="24"/>
  <c r="AG271" i="24"/>
  <c r="AF271" i="24"/>
  <c r="AE271" i="24"/>
  <c r="AD271" i="24"/>
  <c r="AC271" i="24"/>
  <c r="AB271" i="24"/>
  <c r="AA271" i="24"/>
  <c r="Z271" i="24"/>
  <c r="Y271" i="24"/>
  <c r="X271" i="24"/>
  <c r="W271" i="24"/>
  <c r="V271" i="24"/>
  <c r="U271" i="24"/>
  <c r="T271" i="24"/>
  <c r="S271" i="24"/>
  <c r="R271" i="24"/>
  <c r="Q271" i="24"/>
  <c r="P271" i="24"/>
  <c r="O271" i="24"/>
  <c r="N271" i="24"/>
  <c r="M271" i="24"/>
  <c r="L271" i="24"/>
  <c r="K271" i="24"/>
  <c r="J271" i="24"/>
  <c r="I271" i="24"/>
  <c r="H271" i="24"/>
  <c r="G271" i="24"/>
  <c r="F271" i="24"/>
  <c r="E271" i="24"/>
  <c r="D271" i="24"/>
  <c r="C271" i="24"/>
  <c r="B271" i="24"/>
  <c r="GT270" i="24"/>
  <c r="GS270" i="24"/>
  <c r="GR270" i="24"/>
  <c r="GQ270" i="24"/>
  <c r="GP270" i="24"/>
  <c r="GO270" i="24"/>
  <c r="GN270" i="24"/>
  <c r="GM270" i="24"/>
  <c r="GL270" i="24"/>
  <c r="GK270" i="24"/>
  <c r="GJ270" i="24"/>
  <c r="GI270" i="24"/>
  <c r="GH270" i="24"/>
  <c r="GG270" i="24"/>
  <c r="GF270" i="24"/>
  <c r="GE270" i="24"/>
  <c r="GD270" i="24"/>
  <c r="GC270" i="24"/>
  <c r="GB270" i="24"/>
  <c r="GA270" i="24"/>
  <c r="FZ270" i="24"/>
  <c r="FY270" i="24"/>
  <c r="FX270" i="24"/>
  <c r="FW270" i="24"/>
  <c r="FV270" i="24"/>
  <c r="FU270" i="24"/>
  <c r="FT270" i="24"/>
  <c r="FS270" i="24"/>
  <c r="FR270" i="24"/>
  <c r="FQ270" i="24"/>
  <c r="FP270" i="24"/>
  <c r="FO270" i="24"/>
  <c r="FN270" i="24"/>
  <c r="FM270" i="24"/>
  <c r="FL270" i="24"/>
  <c r="FK270" i="24"/>
  <c r="FJ270" i="24"/>
  <c r="FI270" i="24"/>
  <c r="FH270" i="24"/>
  <c r="FG270" i="24"/>
  <c r="FF270" i="24"/>
  <c r="FE270" i="24"/>
  <c r="FD270" i="24"/>
  <c r="FC270" i="24"/>
  <c r="FB270" i="24"/>
  <c r="FA270" i="24"/>
  <c r="EZ270" i="24"/>
  <c r="EY270" i="24"/>
  <c r="EX270" i="24"/>
  <c r="EW270" i="24"/>
  <c r="EV270" i="24"/>
  <c r="EU270" i="24"/>
  <c r="ET270" i="24"/>
  <c r="ES270" i="24"/>
  <c r="ER270" i="24"/>
  <c r="EQ270" i="24"/>
  <c r="EP270" i="24"/>
  <c r="EO270" i="24"/>
  <c r="EN270" i="24"/>
  <c r="EM270" i="24"/>
  <c r="EL270" i="24"/>
  <c r="EK270" i="24"/>
  <c r="EJ270" i="24"/>
  <c r="EI270" i="24"/>
  <c r="EH270" i="24"/>
  <c r="EG270" i="24"/>
  <c r="EF270" i="24"/>
  <c r="EE270" i="24"/>
  <c r="ED270" i="24"/>
  <c r="EC270" i="24"/>
  <c r="EB270" i="24"/>
  <c r="EA270" i="24"/>
  <c r="DZ270" i="24"/>
  <c r="DY270" i="24"/>
  <c r="DX270" i="24"/>
  <c r="DW270" i="24"/>
  <c r="DV270" i="24"/>
  <c r="DU270" i="24"/>
  <c r="DT270" i="24"/>
  <c r="DS270" i="24"/>
  <c r="DR270" i="24"/>
  <c r="DQ270" i="24"/>
  <c r="DP270" i="24"/>
  <c r="DO270" i="24"/>
  <c r="DN270" i="24"/>
  <c r="DM270" i="24"/>
  <c r="DL270" i="24"/>
  <c r="DK270" i="24"/>
  <c r="DJ270" i="24"/>
  <c r="DI270" i="24"/>
  <c r="DH270" i="24"/>
  <c r="DG270" i="24"/>
  <c r="DF270" i="24"/>
  <c r="DE270" i="24"/>
  <c r="DD270" i="24"/>
  <c r="DC270" i="24"/>
  <c r="DB270" i="24"/>
  <c r="DA270" i="24"/>
  <c r="CZ270" i="24"/>
  <c r="CY270" i="24"/>
  <c r="CX270" i="24"/>
  <c r="CW270" i="24"/>
  <c r="CV270" i="24"/>
  <c r="CU270" i="24"/>
  <c r="CT270" i="24"/>
  <c r="CS270" i="24"/>
  <c r="CR270" i="24"/>
  <c r="CQ270" i="24"/>
  <c r="CP270" i="24"/>
  <c r="CO270" i="24"/>
  <c r="CN270" i="24"/>
  <c r="CM270" i="24"/>
  <c r="CL270" i="24"/>
  <c r="CK270" i="24"/>
  <c r="CJ270" i="24"/>
  <c r="CI270" i="24"/>
  <c r="CH270" i="24"/>
  <c r="CG270" i="24"/>
  <c r="CF270" i="24"/>
  <c r="CE270" i="24"/>
  <c r="CD270" i="24"/>
  <c r="CC270" i="24"/>
  <c r="CB270" i="24"/>
  <c r="CA270" i="24"/>
  <c r="BZ270" i="24"/>
  <c r="BY270" i="24"/>
  <c r="BX270" i="24"/>
  <c r="BW270" i="24"/>
  <c r="BV270" i="24"/>
  <c r="BU270" i="24"/>
  <c r="BT270" i="24"/>
  <c r="BS270" i="24"/>
  <c r="BR270" i="24"/>
  <c r="BQ270" i="24"/>
  <c r="BP270" i="24"/>
  <c r="BO270" i="24"/>
  <c r="BN270" i="24"/>
  <c r="BM270" i="24"/>
  <c r="BL270" i="24"/>
  <c r="BK270" i="24"/>
  <c r="BJ270" i="24"/>
  <c r="BI270" i="24"/>
  <c r="BH270" i="24"/>
  <c r="BG270" i="24"/>
  <c r="BF270" i="24"/>
  <c r="BE270" i="24"/>
  <c r="BD270" i="24"/>
  <c r="BC270" i="24"/>
  <c r="BB270" i="24"/>
  <c r="BA270" i="24"/>
  <c r="AZ270" i="24"/>
  <c r="AY270" i="24"/>
  <c r="AX270" i="24"/>
  <c r="AW270" i="24"/>
  <c r="AV270" i="24"/>
  <c r="AU270" i="24"/>
  <c r="AT270" i="24"/>
  <c r="AS270" i="24"/>
  <c r="AR270" i="24"/>
  <c r="AQ270" i="24"/>
  <c r="AP270" i="24"/>
  <c r="AO270" i="24"/>
  <c r="AN270" i="24"/>
  <c r="AM270" i="24"/>
  <c r="AL270" i="24"/>
  <c r="AK270" i="24"/>
  <c r="AJ270" i="24"/>
  <c r="AI270" i="24"/>
  <c r="AH270" i="24"/>
  <c r="AG270" i="24"/>
  <c r="AF270" i="24"/>
  <c r="AE270" i="24"/>
  <c r="AD270" i="24"/>
  <c r="AC270" i="24"/>
  <c r="AB270" i="24"/>
  <c r="AA270" i="24"/>
  <c r="Z270" i="24"/>
  <c r="Y270" i="24"/>
  <c r="X270" i="24"/>
  <c r="W270" i="24"/>
  <c r="V270" i="24"/>
  <c r="U270" i="24"/>
  <c r="T270" i="24"/>
  <c r="S270" i="24"/>
  <c r="R270" i="24"/>
  <c r="Q270" i="24"/>
  <c r="P270" i="24"/>
  <c r="O270" i="24"/>
  <c r="N270" i="24"/>
  <c r="M270" i="24"/>
  <c r="L270" i="24"/>
  <c r="K270" i="24"/>
  <c r="J270" i="24"/>
  <c r="I270" i="24"/>
  <c r="H270" i="24"/>
  <c r="G270" i="24"/>
  <c r="F270" i="24"/>
  <c r="E270" i="24"/>
  <c r="D270" i="24"/>
  <c r="C270" i="24"/>
  <c r="B270" i="24"/>
  <c r="GT269" i="24"/>
  <c r="GS269" i="24"/>
  <c r="GR269" i="24"/>
  <c r="GQ269" i="24"/>
  <c r="GP269" i="24"/>
  <c r="GO269" i="24"/>
  <c r="GN269" i="24"/>
  <c r="GM269" i="24"/>
  <c r="GL269" i="24"/>
  <c r="GK269" i="24"/>
  <c r="GJ269" i="24"/>
  <c r="GI269" i="24"/>
  <c r="GH269" i="24"/>
  <c r="GG269" i="24"/>
  <c r="GF269" i="24"/>
  <c r="GE269" i="24"/>
  <c r="GD269" i="24"/>
  <c r="GC269" i="24"/>
  <c r="GB269" i="24"/>
  <c r="GA269" i="24"/>
  <c r="FZ269" i="24"/>
  <c r="FY269" i="24"/>
  <c r="FX269" i="24"/>
  <c r="FW269" i="24"/>
  <c r="FV269" i="24"/>
  <c r="FU269" i="24"/>
  <c r="FT269" i="24"/>
  <c r="FS269" i="24"/>
  <c r="FR269" i="24"/>
  <c r="FQ269" i="24"/>
  <c r="FP269" i="24"/>
  <c r="FO269" i="24"/>
  <c r="FN269" i="24"/>
  <c r="FM269" i="24"/>
  <c r="FL269" i="24"/>
  <c r="FK269" i="24"/>
  <c r="FJ269" i="24"/>
  <c r="FI269" i="24"/>
  <c r="FH269" i="24"/>
  <c r="FG269" i="24"/>
  <c r="FF269" i="24"/>
  <c r="FE269" i="24"/>
  <c r="FD269" i="24"/>
  <c r="FC269" i="24"/>
  <c r="FB269" i="24"/>
  <c r="FA269" i="24"/>
  <c r="EZ269" i="24"/>
  <c r="EY269" i="24"/>
  <c r="EX269" i="24"/>
  <c r="EW269" i="24"/>
  <c r="EV269" i="24"/>
  <c r="EU269" i="24"/>
  <c r="ET269" i="24"/>
  <c r="ES269" i="24"/>
  <c r="ER269" i="24"/>
  <c r="EQ269" i="24"/>
  <c r="EP269" i="24"/>
  <c r="EO269" i="24"/>
  <c r="EN269" i="24"/>
  <c r="EM269" i="24"/>
  <c r="EL269" i="24"/>
  <c r="EK269" i="24"/>
  <c r="EJ269" i="24"/>
  <c r="EI269" i="24"/>
  <c r="EH269" i="24"/>
  <c r="EG269" i="24"/>
  <c r="EF269" i="24"/>
  <c r="EE269" i="24"/>
  <c r="ED269" i="24"/>
  <c r="EC269" i="24"/>
  <c r="EB269" i="24"/>
  <c r="EA269" i="24"/>
  <c r="DZ269" i="24"/>
  <c r="DY269" i="24"/>
  <c r="DX269" i="24"/>
  <c r="DW269" i="24"/>
  <c r="DV269" i="24"/>
  <c r="DU269" i="24"/>
  <c r="DT269" i="24"/>
  <c r="DS269" i="24"/>
  <c r="DR269" i="24"/>
  <c r="DQ269" i="24"/>
  <c r="DP269" i="24"/>
  <c r="DO269" i="24"/>
  <c r="DN269" i="24"/>
  <c r="DM269" i="24"/>
  <c r="DL269" i="24"/>
  <c r="DK269" i="24"/>
  <c r="DJ269" i="24"/>
  <c r="DI269" i="24"/>
  <c r="DH269" i="24"/>
  <c r="DG269" i="24"/>
  <c r="DF269" i="24"/>
  <c r="DE269" i="24"/>
  <c r="DD269" i="24"/>
  <c r="DC269" i="24"/>
  <c r="DB269" i="24"/>
  <c r="DA269" i="24"/>
  <c r="CZ269" i="24"/>
  <c r="CY269" i="24"/>
  <c r="CX269" i="24"/>
  <c r="CW269" i="24"/>
  <c r="CV269" i="24"/>
  <c r="CU269" i="24"/>
  <c r="CT269" i="24"/>
  <c r="CS269" i="24"/>
  <c r="CR269" i="24"/>
  <c r="CQ269" i="24"/>
  <c r="CP269" i="24"/>
  <c r="CO269" i="24"/>
  <c r="CN269" i="24"/>
  <c r="CM269" i="24"/>
  <c r="CL269" i="24"/>
  <c r="CK269" i="24"/>
  <c r="CJ269" i="24"/>
  <c r="CI269" i="24"/>
  <c r="CH269" i="24"/>
  <c r="CG269" i="24"/>
  <c r="CF269" i="24"/>
  <c r="CE269" i="24"/>
  <c r="CD269" i="24"/>
  <c r="CC269" i="24"/>
  <c r="CB269" i="24"/>
  <c r="CA269" i="24"/>
  <c r="BZ269" i="24"/>
  <c r="BY269" i="24"/>
  <c r="BX269" i="24"/>
  <c r="BW269" i="24"/>
  <c r="BV269" i="24"/>
  <c r="BU269" i="24"/>
  <c r="BT269" i="24"/>
  <c r="BS269" i="24"/>
  <c r="BR269" i="24"/>
  <c r="BQ269" i="24"/>
  <c r="BP269" i="24"/>
  <c r="BO269" i="24"/>
  <c r="BN269" i="24"/>
  <c r="BM269" i="24"/>
  <c r="BL269" i="24"/>
  <c r="BK269" i="24"/>
  <c r="BJ269" i="24"/>
  <c r="BI269" i="24"/>
  <c r="BH269" i="24"/>
  <c r="BG269" i="24"/>
  <c r="BF269" i="24"/>
  <c r="BE269" i="24"/>
  <c r="BD269" i="24"/>
  <c r="BC269" i="24"/>
  <c r="BB269" i="24"/>
  <c r="BA269" i="24"/>
  <c r="AZ269" i="24"/>
  <c r="AY269" i="24"/>
  <c r="AX269" i="24"/>
  <c r="AW269" i="24"/>
  <c r="AV269" i="24"/>
  <c r="AU269" i="24"/>
  <c r="AT269" i="24"/>
  <c r="AS269" i="24"/>
  <c r="AR269" i="24"/>
  <c r="AQ269" i="24"/>
  <c r="AP269" i="24"/>
  <c r="AO269" i="24"/>
  <c r="AN269" i="24"/>
  <c r="AM269" i="24"/>
  <c r="AL269" i="24"/>
  <c r="AK269" i="24"/>
  <c r="AJ269" i="24"/>
  <c r="AI269" i="24"/>
  <c r="AH269" i="24"/>
  <c r="AG269" i="24"/>
  <c r="AF269" i="24"/>
  <c r="AE269" i="24"/>
  <c r="AD269" i="24"/>
  <c r="AC269" i="24"/>
  <c r="AB269" i="24"/>
  <c r="AA269" i="24"/>
  <c r="Z269" i="24"/>
  <c r="Y269" i="24"/>
  <c r="X269" i="24"/>
  <c r="W269" i="24"/>
  <c r="V269" i="24"/>
  <c r="U269" i="24"/>
  <c r="T269" i="24"/>
  <c r="S269" i="24"/>
  <c r="R269" i="24"/>
  <c r="Q269" i="24"/>
  <c r="P269" i="24"/>
  <c r="O269" i="24"/>
  <c r="N269" i="24"/>
  <c r="M269" i="24"/>
  <c r="L269" i="24"/>
  <c r="K269" i="24"/>
  <c r="J269" i="24"/>
  <c r="I269" i="24"/>
  <c r="H269" i="24"/>
  <c r="G269" i="24"/>
  <c r="F269" i="24"/>
  <c r="E269" i="24"/>
  <c r="D269" i="24"/>
  <c r="C269" i="24"/>
  <c r="B269" i="24"/>
  <c r="GT268" i="24"/>
  <c r="GS268" i="24"/>
  <c r="GR268" i="24"/>
  <c r="GQ268" i="24"/>
  <c r="GP268" i="24"/>
  <c r="GO268" i="24"/>
  <c r="GN268" i="24"/>
  <c r="GM268" i="24"/>
  <c r="GL268" i="24"/>
  <c r="GK268" i="24"/>
  <c r="GJ268" i="24"/>
  <c r="GI268" i="24"/>
  <c r="GH268" i="24"/>
  <c r="GG268" i="24"/>
  <c r="GF268" i="24"/>
  <c r="GE268" i="24"/>
  <c r="GD268" i="24"/>
  <c r="GC268" i="24"/>
  <c r="GB268" i="24"/>
  <c r="GA268" i="24"/>
  <c r="FZ268" i="24"/>
  <c r="FY268" i="24"/>
  <c r="FX268" i="24"/>
  <c r="FW268" i="24"/>
  <c r="FV268" i="24"/>
  <c r="FU268" i="24"/>
  <c r="FT268" i="24"/>
  <c r="FS268" i="24"/>
  <c r="FR268" i="24"/>
  <c r="FQ268" i="24"/>
  <c r="FP268" i="24"/>
  <c r="FO268" i="24"/>
  <c r="FN268" i="24"/>
  <c r="FM268" i="24"/>
  <c r="FL268" i="24"/>
  <c r="FK268" i="24"/>
  <c r="FJ268" i="24"/>
  <c r="FI268" i="24"/>
  <c r="FH268" i="24"/>
  <c r="FG268" i="24"/>
  <c r="FF268" i="24"/>
  <c r="FE268" i="24"/>
  <c r="FD268" i="24"/>
  <c r="FC268" i="24"/>
  <c r="FB268" i="24"/>
  <c r="FA268" i="24"/>
  <c r="EZ268" i="24"/>
  <c r="EY268" i="24"/>
  <c r="EX268" i="24"/>
  <c r="EW268" i="24"/>
  <c r="EV268" i="24"/>
  <c r="EU268" i="24"/>
  <c r="ET268" i="24"/>
  <c r="ES268" i="24"/>
  <c r="ER268" i="24"/>
  <c r="EQ268" i="24"/>
  <c r="EP268" i="24"/>
  <c r="EO268" i="24"/>
  <c r="EN268" i="24"/>
  <c r="EM268" i="24"/>
  <c r="EL268" i="24"/>
  <c r="EK268" i="24"/>
  <c r="EJ268" i="24"/>
  <c r="EI268" i="24"/>
  <c r="EH268" i="24"/>
  <c r="EG268" i="24"/>
  <c r="EF268" i="24"/>
  <c r="EE268" i="24"/>
  <c r="ED268" i="24"/>
  <c r="EC268" i="24"/>
  <c r="EB268" i="24"/>
  <c r="EA268" i="24"/>
  <c r="DZ268" i="24"/>
  <c r="DY268" i="24"/>
  <c r="DX268" i="24"/>
  <c r="DW268" i="24"/>
  <c r="DV268" i="24"/>
  <c r="DU268" i="24"/>
  <c r="DT268" i="24"/>
  <c r="DS268" i="24"/>
  <c r="DR268" i="24"/>
  <c r="DQ268" i="24"/>
  <c r="DP268" i="24"/>
  <c r="DO268" i="24"/>
  <c r="DN268" i="24"/>
  <c r="DM268" i="24"/>
  <c r="DL268" i="24"/>
  <c r="DK268" i="24"/>
  <c r="DJ268" i="24"/>
  <c r="DI268" i="24"/>
  <c r="DH268" i="24"/>
  <c r="DG268" i="24"/>
  <c r="DF268" i="24"/>
  <c r="DE268" i="24"/>
  <c r="DD268" i="24"/>
  <c r="DC268" i="24"/>
  <c r="DB268" i="24"/>
  <c r="DA268" i="24"/>
  <c r="CZ268" i="24"/>
  <c r="CY268" i="24"/>
  <c r="CX268" i="24"/>
  <c r="CW268" i="24"/>
  <c r="CV268" i="24"/>
  <c r="CU268" i="24"/>
  <c r="CT268" i="24"/>
  <c r="CS268" i="24"/>
  <c r="CR268" i="24"/>
  <c r="CQ268" i="24"/>
  <c r="CP268" i="24"/>
  <c r="CO268" i="24"/>
  <c r="CN268" i="24"/>
  <c r="CM268" i="24"/>
  <c r="CL268" i="24"/>
  <c r="CK268" i="24"/>
  <c r="CJ268" i="24"/>
  <c r="CI268" i="24"/>
  <c r="CH268" i="24"/>
  <c r="CG268" i="24"/>
  <c r="CF268" i="24"/>
  <c r="CE268" i="24"/>
  <c r="CD268" i="24"/>
  <c r="CC268" i="24"/>
  <c r="CB268" i="24"/>
  <c r="CA268" i="24"/>
  <c r="BZ268" i="24"/>
  <c r="BY268" i="24"/>
  <c r="BX268" i="24"/>
  <c r="BW268" i="24"/>
  <c r="BV268" i="24"/>
  <c r="BU268" i="24"/>
  <c r="BT268" i="24"/>
  <c r="BS268" i="24"/>
  <c r="BR268" i="24"/>
  <c r="BQ268" i="24"/>
  <c r="BP268" i="24"/>
  <c r="BO268" i="24"/>
  <c r="BN268" i="24"/>
  <c r="BM268" i="24"/>
  <c r="BL268" i="24"/>
  <c r="BK268" i="24"/>
  <c r="BJ268" i="24"/>
  <c r="BI268" i="24"/>
  <c r="BH268" i="24"/>
  <c r="BG268" i="24"/>
  <c r="BF268" i="24"/>
  <c r="BE268" i="24"/>
  <c r="BD268" i="24"/>
  <c r="BC268" i="24"/>
  <c r="BB268" i="24"/>
  <c r="BA268" i="24"/>
  <c r="AZ268" i="24"/>
  <c r="AY268" i="24"/>
  <c r="AX268" i="24"/>
  <c r="AW268" i="24"/>
  <c r="AV268" i="24"/>
  <c r="AU268" i="24"/>
  <c r="AT268" i="24"/>
  <c r="AS268" i="24"/>
  <c r="AR268" i="24"/>
  <c r="AQ268" i="24"/>
  <c r="AP268" i="24"/>
  <c r="AO268" i="24"/>
  <c r="AN268" i="24"/>
  <c r="AM268" i="24"/>
  <c r="AL268" i="24"/>
  <c r="AK268" i="24"/>
  <c r="AJ268" i="24"/>
  <c r="AI268" i="24"/>
  <c r="AH268" i="24"/>
  <c r="AG268" i="24"/>
  <c r="AF268" i="24"/>
  <c r="AE268" i="24"/>
  <c r="AD268" i="24"/>
  <c r="AC268" i="24"/>
  <c r="AB268" i="24"/>
  <c r="AA268" i="24"/>
  <c r="Z268" i="24"/>
  <c r="Y268" i="24"/>
  <c r="X268" i="24"/>
  <c r="W268" i="24"/>
  <c r="V268" i="24"/>
  <c r="U268" i="24"/>
  <c r="T268" i="24"/>
  <c r="S268" i="24"/>
  <c r="R268" i="24"/>
  <c r="Q268" i="24"/>
  <c r="P268" i="24"/>
  <c r="O268" i="24"/>
  <c r="N268" i="24"/>
  <c r="M268" i="24"/>
  <c r="L268" i="24"/>
  <c r="K268" i="24"/>
  <c r="J268" i="24"/>
  <c r="I268" i="24"/>
  <c r="H268" i="24"/>
  <c r="G268" i="24"/>
  <c r="F268" i="24"/>
  <c r="E268" i="24"/>
  <c r="D268" i="24"/>
  <c r="C268" i="24"/>
  <c r="B268" i="24"/>
  <c r="GT262" i="24"/>
  <c r="GS262" i="24"/>
  <c r="GR262" i="24"/>
  <c r="GQ262" i="24"/>
  <c r="GP262" i="24"/>
  <c r="GO262" i="24"/>
  <c r="GN262" i="24"/>
  <c r="GM262" i="24"/>
  <c r="GL262" i="24"/>
  <c r="GK262" i="24"/>
  <c r="GJ262" i="24"/>
  <c r="GI262" i="24"/>
  <c r="GH262" i="24"/>
  <c r="GG262" i="24"/>
  <c r="GF262" i="24"/>
  <c r="GE262" i="24"/>
  <c r="GD262" i="24"/>
  <c r="GC262" i="24"/>
  <c r="GB262" i="24"/>
  <c r="GA262" i="24"/>
  <c r="FZ262" i="24"/>
  <c r="FY262" i="24"/>
  <c r="FX262" i="24"/>
  <c r="FW262" i="24"/>
  <c r="FV262" i="24"/>
  <c r="FU262" i="24"/>
  <c r="FT262" i="24"/>
  <c r="FS262" i="24"/>
  <c r="FR262" i="24"/>
  <c r="FQ262" i="24"/>
  <c r="FP262" i="24"/>
  <c r="FO262" i="24"/>
  <c r="FN262" i="24"/>
  <c r="FM262" i="24"/>
  <c r="FL262" i="24"/>
  <c r="FK262" i="24"/>
  <c r="FJ262" i="24"/>
  <c r="FI262" i="24"/>
  <c r="FH262" i="24"/>
  <c r="FG262" i="24"/>
  <c r="FF262" i="24"/>
  <c r="FE262" i="24"/>
  <c r="FD262" i="24"/>
  <c r="FC262" i="24"/>
  <c r="FB262" i="24"/>
  <c r="FA262" i="24"/>
  <c r="EZ262" i="24"/>
  <c r="EY262" i="24"/>
  <c r="EX262" i="24"/>
  <c r="EW262" i="24"/>
  <c r="EV262" i="24"/>
  <c r="EU262" i="24"/>
  <c r="ET262" i="24"/>
  <c r="ES262" i="24"/>
  <c r="ER262" i="24"/>
  <c r="EQ262" i="24"/>
  <c r="EP262" i="24"/>
  <c r="EO262" i="24"/>
  <c r="EN262" i="24"/>
  <c r="EM262" i="24"/>
  <c r="EL262" i="24"/>
  <c r="EK262" i="24"/>
  <c r="EJ262" i="24"/>
  <c r="EI262" i="24"/>
  <c r="EH262" i="24"/>
  <c r="EG262" i="24"/>
  <c r="EF262" i="24"/>
  <c r="EE262" i="24"/>
  <c r="ED262" i="24"/>
  <c r="EC262" i="24"/>
  <c r="EB262" i="24"/>
  <c r="EA262" i="24"/>
  <c r="DZ262" i="24"/>
  <c r="DY262" i="24"/>
  <c r="DX262" i="24"/>
  <c r="DW262" i="24"/>
  <c r="DV262" i="24"/>
  <c r="DU262" i="24"/>
  <c r="DT262" i="24"/>
  <c r="DS262" i="24"/>
  <c r="DR262" i="24"/>
  <c r="DQ262" i="24"/>
  <c r="DP262" i="24"/>
  <c r="DO262" i="24"/>
  <c r="DN262" i="24"/>
  <c r="DM262" i="24"/>
  <c r="DL262" i="24"/>
  <c r="DK262" i="24"/>
  <c r="DJ262" i="24"/>
  <c r="DI262" i="24"/>
  <c r="DH262" i="24"/>
  <c r="DG262" i="24"/>
  <c r="DF262" i="24"/>
  <c r="DE262" i="24"/>
  <c r="DD262" i="24"/>
  <c r="DC262" i="24"/>
  <c r="DB262" i="24"/>
  <c r="DA262" i="24"/>
  <c r="CZ262" i="24"/>
  <c r="CY262" i="24"/>
  <c r="CX262" i="24"/>
  <c r="CW262" i="24"/>
  <c r="CV262" i="24"/>
  <c r="CU262" i="24"/>
  <c r="CT262" i="24"/>
  <c r="CS262" i="24"/>
  <c r="CR262" i="24"/>
  <c r="CQ262" i="24"/>
  <c r="CP262" i="24"/>
  <c r="CO262" i="24"/>
  <c r="CN262" i="24"/>
  <c r="CM262" i="24"/>
  <c r="CL262" i="24"/>
  <c r="CK262" i="24"/>
  <c r="CJ262" i="24"/>
  <c r="CI262" i="24"/>
  <c r="CH262" i="24"/>
  <c r="CG262" i="24"/>
  <c r="CF262" i="24"/>
  <c r="CE262" i="24"/>
  <c r="CD262" i="24"/>
  <c r="CC262" i="24"/>
  <c r="CB262" i="24"/>
  <c r="CA262" i="24"/>
  <c r="BZ262" i="24"/>
  <c r="BY262" i="24"/>
  <c r="BX262" i="24"/>
  <c r="BW262" i="24"/>
  <c r="BV262" i="24"/>
  <c r="BU262" i="24"/>
  <c r="BT262" i="24"/>
  <c r="BS262" i="24"/>
  <c r="BR262" i="24"/>
  <c r="BQ262" i="24"/>
  <c r="BP262" i="24"/>
  <c r="BO262" i="24"/>
  <c r="BN262" i="24"/>
  <c r="BM262" i="24"/>
  <c r="BL262" i="24"/>
  <c r="BK262" i="24"/>
  <c r="BJ262" i="24"/>
  <c r="BI262" i="24"/>
  <c r="BH262" i="24"/>
  <c r="BG262" i="24"/>
  <c r="BF262" i="24"/>
  <c r="BE262" i="24"/>
  <c r="BD262" i="24"/>
  <c r="BC262" i="24"/>
  <c r="BB262" i="24"/>
  <c r="BA262" i="24"/>
  <c r="AZ262" i="24"/>
  <c r="AY262" i="24"/>
  <c r="AX262" i="24"/>
  <c r="AW262" i="24"/>
  <c r="AV262" i="24"/>
  <c r="AU262" i="24"/>
  <c r="AT262" i="24"/>
  <c r="AS262" i="24"/>
  <c r="AR262" i="24"/>
  <c r="AQ262" i="24"/>
  <c r="AP262" i="24"/>
  <c r="AO262" i="24"/>
  <c r="AN262" i="24"/>
  <c r="AM262" i="24"/>
  <c r="AL262" i="24"/>
  <c r="AK262" i="24"/>
  <c r="AJ262" i="24"/>
  <c r="AI262" i="24"/>
  <c r="AH262" i="24"/>
  <c r="AG262" i="24"/>
  <c r="AF262" i="24"/>
  <c r="AE262" i="24"/>
  <c r="AD262" i="24"/>
  <c r="AC262" i="24"/>
  <c r="AB262" i="24"/>
  <c r="AA262" i="24"/>
  <c r="Z262" i="24"/>
  <c r="Y262" i="24"/>
  <c r="X262" i="24"/>
  <c r="W262" i="24"/>
  <c r="V262" i="24"/>
  <c r="U262" i="24"/>
  <c r="T262" i="24"/>
  <c r="S262" i="24"/>
  <c r="R262" i="24"/>
  <c r="Q262" i="24"/>
  <c r="P262" i="24"/>
  <c r="O262" i="24"/>
  <c r="N262" i="24"/>
  <c r="M262" i="24"/>
  <c r="L262" i="24"/>
  <c r="K262" i="24"/>
  <c r="J262" i="24"/>
  <c r="I262" i="24"/>
  <c r="H262" i="24"/>
  <c r="G262" i="24"/>
  <c r="F262" i="24"/>
  <c r="E262" i="24"/>
  <c r="D262" i="24"/>
  <c r="C262" i="24"/>
  <c r="B262" i="24"/>
  <c r="GT261" i="24"/>
  <c r="GS261" i="24"/>
  <c r="GR261" i="24"/>
  <c r="GQ261" i="24"/>
  <c r="GP261" i="24"/>
  <c r="GO261" i="24"/>
  <c r="GN261" i="24"/>
  <c r="GM261" i="24"/>
  <c r="GL261" i="24"/>
  <c r="GK261" i="24"/>
  <c r="GJ261" i="24"/>
  <c r="GI261" i="24"/>
  <c r="GH261" i="24"/>
  <c r="GG261" i="24"/>
  <c r="GF261" i="24"/>
  <c r="GE261" i="24"/>
  <c r="GD261" i="24"/>
  <c r="GC261" i="24"/>
  <c r="GB261" i="24"/>
  <c r="GA261" i="24"/>
  <c r="FZ261" i="24"/>
  <c r="FY261" i="24"/>
  <c r="FX261" i="24"/>
  <c r="FW261" i="24"/>
  <c r="FV261" i="24"/>
  <c r="FU261" i="24"/>
  <c r="FT261" i="24"/>
  <c r="FS261" i="24"/>
  <c r="FR261" i="24"/>
  <c r="FQ261" i="24"/>
  <c r="FP261" i="24"/>
  <c r="FO261" i="24"/>
  <c r="FN261" i="24"/>
  <c r="FM261" i="24"/>
  <c r="FL261" i="24"/>
  <c r="FK261" i="24"/>
  <c r="FJ261" i="24"/>
  <c r="FI261" i="24"/>
  <c r="FH261" i="24"/>
  <c r="FG261" i="24"/>
  <c r="FF261" i="24"/>
  <c r="FE261" i="24"/>
  <c r="FD261" i="24"/>
  <c r="FC261" i="24"/>
  <c r="FB261" i="24"/>
  <c r="FA261" i="24"/>
  <c r="EZ261" i="24"/>
  <c r="EY261" i="24"/>
  <c r="EX261" i="24"/>
  <c r="EW261" i="24"/>
  <c r="EV261" i="24"/>
  <c r="EU261" i="24"/>
  <c r="ET261" i="24"/>
  <c r="ES261" i="24"/>
  <c r="ER261" i="24"/>
  <c r="EQ261" i="24"/>
  <c r="EP261" i="24"/>
  <c r="EO261" i="24"/>
  <c r="EN261" i="24"/>
  <c r="EM261" i="24"/>
  <c r="EL261" i="24"/>
  <c r="EK261" i="24"/>
  <c r="EJ261" i="24"/>
  <c r="EI261" i="24"/>
  <c r="EH261" i="24"/>
  <c r="EG261" i="24"/>
  <c r="EF261" i="24"/>
  <c r="EE261" i="24"/>
  <c r="ED261" i="24"/>
  <c r="EC261" i="24"/>
  <c r="EB261" i="24"/>
  <c r="EA261" i="24"/>
  <c r="DZ261" i="24"/>
  <c r="DY261" i="24"/>
  <c r="DX261" i="24"/>
  <c r="DW261" i="24"/>
  <c r="DV261" i="24"/>
  <c r="DU261" i="24"/>
  <c r="DT261" i="24"/>
  <c r="DS261" i="24"/>
  <c r="DR261" i="24"/>
  <c r="DQ261" i="24"/>
  <c r="DP261" i="24"/>
  <c r="DO261" i="24"/>
  <c r="DN261" i="24"/>
  <c r="DM261" i="24"/>
  <c r="DL261" i="24"/>
  <c r="DK261" i="24"/>
  <c r="DJ261" i="24"/>
  <c r="DI261" i="24"/>
  <c r="DH261" i="24"/>
  <c r="DG261" i="24"/>
  <c r="DF261" i="24"/>
  <c r="DE261" i="24"/>
  <c r="DD261" i="24"/>
  <c r="DC261" i="24"/>
  <c r="DB261" i="24"/>
  <c r="DA261" i="24"/>
  <c r="CZ261" i="24"/>
  <c r="CY261" i="24"/>
  <c r="CX261" i="24"/>
  <c r="CW261" i="24"/>
  <c r="CV261" i="24"/>
  <c r="CU261" i="24"/>
  <c r="CT261" i="24"/>
  <c r="CS261" i="24"/>
  <c r="CR261" i="24"/>
  <c r="CQ261" i="24"/>
  <c r="CP261" i="24"/>
  <c r="CO261" i="24"/>
  <c r="CN261" i="24"/>
  <c r="CM261" i="24"/>
  <c r="CL261" i="24"/>
  <c r="CK261" i="24"/>
  <c r="CJ261" i="24"/>
  <c r="CI261" i="24"/>
  <c r="CH261" i="24"/>
  <c r="CG261" i="24"/>
  <c r="CF261" i="24"/>
  <c r="CE261" i="24"/>
  <c r="CD261" i="24"/>
  <c r="CC261" i="24"/>
  <c r="CB261" i="24"/>
  <c r="CA261" i="24"/>
  <c r="BZ261" i="24"/>
  <c r="BY261" i="24"/>
  <c r="BX261" i="24"/>
  <c r="BW261" i="24"/>
  <c r="BV261" i="24"/>
  <c r="BU261" i="24"/>
  <c r="BT261" i="24"/>
  <c r="BS261" i="24"/>
  <c r="BR261" i="24"/>
  <c r="BQ261" i="24"/>
  <c r="BP261" i="24"/>
  <c r="BO261" i="24"/>
  <c r="BN261" i="24"/>
  <c r="BM261" i="24"/>
  <c r="BL261" i="24"/>
  <c r="BK261" i="24"/>
  <c r="BJ261" i="24"/>
  <c r="BI261" i="24"/>
  <c r="BH261" i="24"/>
  <c r="BG261" i="24"/>
  <c r="BF261" i="24"/>
  <c r="BE261" i="24"/>
  <c r="BD261" i="24"/>
  <c r="BC261" i="24"/>
  <c r="BB261" i="24"/>
  <c r="BA261" i="24"/>
  <c r="AZ261" i="24"/>
  <c r="AY261" i="24"/>
  <c r="AX261" i="24"/>
  <c r="AW261" i="24"/>
  <c r="AV261" i="24"/>
  <c r="AU261" i="24"/>
  <c r="AT261" i="24"/>
  <c r="AS261" i="24"/>
  <c r="AR261" i="24"/>
  <c r="AQ261" i="24"/>
  <c r="AP261" i="24"/>
  <c r="AO261" i="24"/>
  <c r="AN261" i="24"/>
  <c r="AM261" i="24"/>
  <c r="AL261" i="24"/>
  <c r="AK261" i="24"/>
  <c r="AJ261" i="24"/>
  <c r="AI261" i="24"/>
  <c r="AH261" i="24"/>
  <c r="AG261" i="24"/>
  <c r="AF261" i="24"/>
  <c r="AE261" i="24"/>
  <c r="AD261" i="24"/>
  <c r="AC261" i="24"/>
  <c r="AB261" i="24"/>
  <c r="AA261" i="24"/>
  <c r="Z261" i="24"/>
  <c r="Y261" i="24"/>
  <c r="X261" i="24"/>
  <c r="W261" i="24"/>
  <c r="V261" i="24"/>
  <c r="U261" i="24"/>
  <c r="T261" i="24"/>
  <c r="S261" i="24"/>
  <c r="R261" i="24"/>
  <c r="Q261" i="24"/>
  <c r="P261" i="24"/>
  <c r="O261" i="24"/>
  <c r="N261" i="24"/>
  <c r="M261" i="24"/>
  <c r="L261" i="24"/>
  <c r="K261" i="24"/>
  <c r="J261" i="24"/>
  <c r="I261" i="24"/>
  <c r="H261" i="24"/>
  <c r="G261" i="24"/>
  <c r="F261" i="24"/>
  <c r="E261" i="24"/>
  <c r="D261" i="24"/>
  <c r="C261" i="24"/>
  <c r="B261" i="24"/>
  <c r="GT260" i="24"/>
  <c r="GS260" i="24"/>
  <c r="GR260" i="24"/>
  <c r="GQ260" i="24"/>
  <c r="GP260" i="24"/>
  <c r="GO260" i="24"/>
  <c r="GN260" i="24"/>
  <c r="GM260" i="24"/>
  <c r="GL260" i="24"/>
  <c r="GK260" i="24"/>
  <c r="GJ260" i="24"/>
  <c r="GI260" i="24"/>
  <c r="GH260" i="24"/>
  <c r="GG260" i="24"/>
  <c r="GF260" i="24"/>
  <c r="GE260" i="24"/>
  <c r="GD260" i="24"/>
  <c r="GC260" i="24"/>
  <c r="GB260" i="24"/>
  <c r="GA260" i="24"/>
  <c r="FZ260" i="24"/>
  <c r="FY260" i="24"/>
  <c r="FX260" i="24"/>
  <c r="FW260" i="24"/>
  <c r="FV260" i="24"/>
  <c r="FU260" i="24"/>
  <c r="FT260" i="24"/>
  <c r="FS260" i="24"/>
  <c r="FR260" i="24"/>
  <c r="FQ260" i="24"/>
  <c r="FP260" i="24"/>
  <c r="FO260" i="24"/>
  <c r="FN260" i="24"/>
  <c r="FM260" i="24"/>
  <c r="FL260" i="24"/>
  <c r="FK260" i="24"/>
  <c r="FJ260" i="24"/>
  <c r="FI260" i="24"/>
  <c r="FH260" i="24"/>
  <c r="FG260" i="24"/>
  <c r="FF260" i="24"/>
  <c r="FE260" i="24"/>
  <c r="FD260" i="24"/>
  <c r="FC260" i="24"/>
  <c r="FB260" i="24"/>
  <c r="FA260" i="24"/>
  <c r="EZ260" i="24"/>
  <c r="EY260" i="24"/>
  <c r="EX260" i="24"/>
  <c r="EW260" i="24"/>
  <c r="EV260" i="24"/>
  <c r="EU260" i="24"/>
  <c r="ET260" i="24"/>
  <c r="ES260" i="24"/>
  <c r="ER260" i="24"/>
  <c r="EQ260" i="24"/>
  <c r="EP260" i="24"/>
  <c r="EO260" i="24"/>
  <c r="EN260" i="24"/>
  <c r="EM260" i="24"/>
  <c r="EL260" i="24"/>
  <c r="EK260" i="24"/>
  <c r="EJ260" i="24"/>
  <c r="EI260" i="24"/>
  <c r="EH260" i="24"/>
  <c r="EG260" i="24"/>
  <c r="EF260" i="24"/>
  <c r="EE260" i="24"/>
  <c r="ED260" i="24"/>
  <c r="EC260" i="24"/>
  <c r="EB260" i="24"/>
  <c r="EA260" i="24"/>
  <c r="DZ260" i="24"/>
  <c r="DY260" i="24"/>
  <c r="DX260" i="24"/>
  <c r="DW260" i="24"/>
  <c r="DV260" i="24"/>
  <c r="DU260" i="24"/>
  <c r="DT260" i="24"/>
  <c r="DS260" i="24"/>
  <c r="DR260" i="24"/>
  <c r="DQ260" i="24"/>
  <c r="DP260" i="24"/>
  <c r="DO260" i="24"/>
  <c r="DN260" i="24"/>
  <c r="DM260" i="24"/>
  <c r="DL260" i="24"/>
  <c r="DK260" i="24"/>
  <c r="DJ260" i="24"/>
  <c r="DI260" i="24"/>
  <c r="DH260" i="24"/>
  <c r="DG260" i="24"/>
  <c r="DF260" i="24"/>
  <c r="DE260" i="24"/>
  <c r="DD260" i="24"/>
  <c r="DC260" i="24"/>
  <c r="DB260" i="24"/>
  <c r="DA260" i="24"/>
  <c r="CZ260" i="24"/>
  <c r="CY260" i="24"/>
  <c r="CX260" i="24"/>
  <c r="CW260" i="24"/>
  <c r="CV260" i="24"/>
  <c r="CU260" i="24"/>
  <c r="CT260" i="24"/>
  <c r="CS260" i="24"/>
  <c r="CR260" i="24"/>
  <c r="CQ260" i="24"/>
  <c r="CP260" i="24"/>
  <c r="CO260" i="24"/>
  <c r="CN260" i="24"/>
  <c r="CM260" i="24"/>
  <c r="CL260" i="24"/>
  <c r="CK260" i="24"/>
  <c r="CJ260" i="24"/>
  <c r="CI260" i="24"/>
  <c r="CH260" i="24"/>
  <c r="CG260" i="24"/>
  <c r="CF260" i="24"/>
  <c r="CE260" i="24"/>
  <c r="CD260" i="24"/>
  <c r="CC260" i="24"/>
  <c r="CB260" i="24"/>
  <c r="CA260" i="24"/>
  <c r="BZ260" i="24"/>
  <c r="BY260" i="24"/>
  <c r="BX260" i="24"/>
  <c r="BW260" i="24"/>
  <c r="BV260" i="24"/>
  <c r="BU260" i="24"/>
  <c r="BT260" i="24"/>
  <c r="BS260" i="24"/>
  <c r="BR260" i="24"/>
  <c r="BQ260" i="24"/>
  <c r="BP260" i="24"/>
  <c r="BO260" i="24"/>
  <c r="BN260" i="24"/>
  <c r="BM260" i="24"/>
  <c r="BL260" i="24"/>
  <c r="BK260" i="24"/>
  <c r="BJ260" i="24"/>
  <c r="BI260" i="24"/>
  <c r="BH260" i="24"/>
  <c r="BG260" i="24"/>
  <c r="BF260" i="24"/>
  <c r="BE260" i="24"/>
  <c r="BD260" i="24"/>
  <c r="BC260" i="24"/>
  <c r="BB260" i="24"/>
  <c r="BA260" i="24"/>
  <c r="AZ260" i="24"/>
  <c r="AY260" i="24"/>
  <c r="AX260" i="24"/>
  <c r="AW260" i="24"/>
  <c r="AV260" i="24"/>
  <c r="AU260" i="24"/>
  <c r="AT260" i="24"/>
  <c r="AS260" i="24"/>
  <c r="AR260" i="24"/>
  <c r="AQ260" i="24"/>
  <c r="AP260" i="24"/>
  <c r="AO260" i="24"/>
  <c r="AN260" i="24"/>
  <c r="AM260" i="24"/>
  <c r="AL260" i="24"/>
  <c r="AK260" i="24"/>
  <c r="AJ260" i="24"/>
  <c r="AI260" i="24"/>
  <c r="AH260" i="24"/>
  <c r="AG260" i="24"/>
  <c r="AF260" i="24"/>
  <c r="AE260" i="24"/>
  <c r="AD260" i="24"/>
  <c r="AC260" i="24"/>
  <c r="AB260" i="24"/>
  <c r="AA260" i="24"/>
  <c r="Z260" i="24"/>
  <c r="Y260" i="24"/>
  <c r="X260" i="24"/>
  <c r="W260" i="24"/>
  <c r="V260" i="24"/>
  <c r="U260" i="24"/>
  <c r="T260" i="24"/>
  <c r="S260" i="24"/>
  <c r="R260" i="24"/>
  <c r="Q260" i="24"/>
  <c r="P260" i="24"/>
  <c r="O260" i="24"/>
  <c r="N260" i="24"/>
  <c r="M260" i="24"/>
  <c r="L260" i="24"/>
  <c r="K260" i="24"/>
  <c r="J260" i="24"/>
  <c r="I260" i="24"/>
  <c r="H260" i="24"/>
  <c r="G260" i="24"/>
  <c r="F260" i="24"/>
  <c r="E260" i="24"/>
  <c r="D260" i="24"/>
  <c r="C260" i="24"/>
  <c r="B260" i="24"/>
  <c r="GT259" i="24"/>
  <c r="GS259" i="24"/>
  <c r="GR259" i="24"/>
  <c r="GQ259" i="24"/>
  <c r="GP259" i="24"/>
  <c r="GO259" i="24"/>
  <c r="GN259" i="24"/>
  <c r="GM259" i="24"/>
  <c r="GL259" i="24"/>
  <c r="GK259" i="24"/>
  <c r="GJ259" i="24"/>
  <c r="GI259" i="24"/>
  <c r="GH259" i="24"/>
  <c r="GG259" i="24"/>
  <c r="GF259" i="24"/>
  <c r="GE259" i="24"/>
  <c r="GD259" i="24"/>
  <c r="GC259" i="24"/>
  <c r="GB259" i="24"/>
  <c r="GA259" i="24"/>
  <c r="FZ259" i="24"/>
  <c r="FY259" i="24"/>
  <c r="FX259" i="24"/>
  <c r="FW259" i="24"/>
  <c r="FV259" i="24"/>
  <c r="FU259" i="24"/>
  <c r="FT259" i="24"/>
  <c r="FS259" i="24"/>
  <c r="FR259" i="24"/>
  <c r="FQ259" i="24"/>
  <c r="FP259" i="24"/>
  <c r="FO259" i="24"/>
  <c r="FN259" i="24"/>
  <c r="FM259" i="24"/>
  <c r="FL259" i="24"/>
  <c r="FK259" i="24"/>
  <c r="FJ259" i="24"/>
  <c r="FI259" i="24"/>
  <c r="FH259" i="24"/>
  <c r="FG259" i="24"/>
  <c r="FF259" i="24"/>
  <c r="FE259" i="24"/>
  <c r="FD259" i="24"/>
  <c r="FC259" i="24"/>
  <c r="FB259" i="24"/>
  <c r="FA259" i="24"/>
  <c r="EZ259" i="24"/>
  <c r="EY259" i="24"/>
  <c r="EX259" i="24"/>
  <c r="EW259" i="24"/>
  <c r="EV259" i="24"/>
  <c r="EU259" i="24"/>
  <c r="ET259" i="24"/>
  <c r="ES259" i="24"/>
  <c r="ER259" i="24"/>
  <c r="EQ259" i="24"/>
  <c r="EP259" i="24"/>
  <c r="EO259" i="24"/>
  <c r="EN259" i="24"/>
  <c r="EM259" i="24"/>
  <c r="EL259" i="24"/>
  <c r="EK259" i="24"/>
  <c r="EJ259" i="24"/>
  <c r="EI259" i="24"/>
  <c r="EH259" i="24"/>
  <c r="EG259" i="24"/>
  <c r="EF259" i="24"/>
  <c r="EE259" i="24"/>
  <c r="ED259" i="24"/>
  <c r="EC259" i="24"/>
  <c r="EB259" i="24"/>
  <c r="EA259" i="24"/>
  <c r="DZ259" i="24"/>
  <c r="DY259" i="24"/>
  <c r="DX259" i="24"/>
  <c r="DW259" i="24"/>
  <c r="DV259" i="24"/>
  <c r="DU259" i="24"/>
  <c r="DT259" i="24"/>
  <c r="DS259" i="24"/>
  <c r="DR259" i="24"/>
  <c r="DQ259" i="24"/>
  <c r="DP259" i="24"/>
  <c r="DO259" i="24"/>
  <c r="DN259" i="24"/>
  <c r="DM259" i="24"/>
  <c r="DL259" i="24"/>
  <c r="DK259" i="24"/>
  <c r="DJ259" i="24"/>
  <c r="DI259" i="24"/>
  <c r="DH259" i="24"/>
  <c r="DG259" i="24"/>
  <c r="DF259" i="24"/>
  <c r="DE259" i="24"/>
  <c r="DD259" i="24"/>
  <c r="DC259" i="24"/>
  <c r="DB259" i="24"/>
  <c r="DA259" i="24"/>
  <c r="CZ259" i="24"/>
  <c r="CY259" i="24"/>
  <c r="CX259" i="24"/>
  <c r="CW259" i="24"/>
  <c r="CV259" i="24"/>
  <c r="CU259" i="24"/>
  <c r="CT259" i="24"/>
  <c r="CS259" i="24"/>
  <c r="CR259" i="24"/>
  <c r="CQ259" i="24"/>
  <c r="CP259" i="24"/>
  <c r="CO259" i="24"/>
  <c r="CN259" i="24"/>
  <c r="CM259" i="24"/>
  <c r="CL259" i="24"/>
  <c r="CK259" i="24"/>
  <c r="CJ259" i="24"/>
  <c r="CI259" i="24"/>
  <c r="CH259" i="24"/>
  <c r="CG259" i="24"/>
  <c r="CF259" i="24"/>
  <c r="CE259" i="24"/>
  <c r="CD259" i="24"/>
  <c r="CC259" i="24"/>
  <c r="CB259" i="24"/>
  <c r="CA259" i="24"/>
  <c r="BZ259" i="24"/>
  <c r="BY259" i="24"/>
  <c r="BX259" i="24"/>
  <c r="BW259" i="24"/>
  <c r="BV259" i="24"/>
  <c r="BU259" i="24"/>
  <c r="BT259" i="24"/>
  <c r="BS259" i="24"/>
  <c r="BR259" i="24"/>
  <c r="BQ259" i="24"/>
  <c r="BP259" i="24"/>
  <c r="BO259" i="24"/>
  <c r="BN259" i="24"/>
  <c r="BM259" i="24"/>
  <c r="BL259" i="24"/>
  <c r="BK259" i="24"/>
  <c r="BJ259" i="24"/>
  <c r="BI259" i="24"/>
  <c r="BH259" i="24"/>
  <c r="BG259" i="24"/>
  <c r="BF259" i="24"/>
  <c r="BE259" i="24"/>
  <c r="BD259" i="24"/>
  <c r="BC259" i="24"/>
  <c r="BB259" i="24"/>
  <c r="BA259" i="24"/>
  <c r="AZ259" i="24"/>
  <c r="AY259" i="24"/>
  <c r="AX259" i="24"/>
  <c r="AW259" i="24"/>
  <c r="AV259" i="24"/>
  <c r="AU259" i="24"/>
  <c r="AT259" i="24"/>
  <c r="AS259" i="24"/>
  <c r="AR259" i="24"/>
  <c r="AQ259" i="24"/>
  <c r="AP259" i="24"/>
  <c r="AO259" i="24"/>
  <c r="AN259" i="24"/>
  <c r="AM259" i="24"/>
  <c r="AL259" i="24"/>
  <c r="AK259" i="24"/>
  <c r="AJ259" i="24"/>
  <c r="AI259" i="24"/>
  <c r="AH259" i="24"/>
  <c r="AG259" i="24"/>
  <c r="AF259" i="24"/>
  <c r="AE259" i="24"/>
  <c r="AD259" i="24"/>
  <c r="AC259" i="24"/>
  <c r="AB259" i="24"/>
  <c r="AA259" i="24"/>
  <c r="Z259" i="24"/>
  <c r="Y259" i="24"/>
  <c r="X259" i="24"/>
  <c r="W259" i="24"/>
  <c r="V259" i="24"/>
  <c r="U259" i="24"/>
  <c r="T259" i="24"/>
  <c r="S259" i="24"/>
  <c r="R259" i="24"/>
  <c r="Q259" i="24"/>
  <c r="P259" i="24"/>
  <c r="O259" i="24"/>
  <c r="N259" i="24"/>
  <c r="M259" i="24"/>
  <c r="L259" i="24"/>
  <c r="K259" i="24"/>
  <c r="J259" i="24"/>
  <c r="I259" i="24"/>
  <c r="H259" i="24"/>
  <c r="G259" i="24"/>
  <c r="F259" i="24"/>
  <c r="E259" i="24"/>
  <c r="D259" i="24"/>
  <c r="C259" i="24"/>
  <c r="B259" i="24"/>
  <c r="GT258" i="24"/>
  <c r="GS258" i="24"/>
  <c r="GR258" i="24"/>
  <c r="GQ258" i="24"/>
  <c r="GP258" i="24"/>
  <c r="GO258" i="24"/>
  <c r="GN258" i="24"/>
  <c r="GM258" i="24"/>
  <c r="GL258" i="24"/>
  <c r="GK258" i="24"/>
  <c r="GJ258" i="24"/>
  <c r="GI258" i="24"/>
  <c r="GH258" i="24"/>
  <c r="GG258" i="24"/>
  <c r="GF258" i="24"/>
  <c r="GE258" i="24"/>
  <c r="GD258" i="24"/>
  <c r="GC258" i="24"/>
  <c r="GB258" i="24"/>
  <c r="GA258" i="24"/>
  <c r="FZ258" i="24"/>
  <c r="FY258" i="24"/>
  <c r="FX258" i="24"/>
  <c r="FW258" i="24"/>
  <c r="FV258" i="24"/>
  <c r="FU258" i="24"/>
  <c r="FT258" i="24"/>
  <c r="FS258" i="24"/>
  <c r="FR258" i="24"/>
  <c r="FQ258" i="24"/>
  <c r="FP258" i="24"/>
  <c r="FO258" i="24"/>
  <c r="FN258" i="24"/>
  <c r="FM258" i="24"/>
  <c r="FL258" i="24"/>
  <c r="FK258" i="24"/>
  <c r="FJ258" i="24"/>
  <c r="FI258" i="24"/>
  <c r="FH258" i="24"/>
  <c r="FG258" i="24"/>
  <c r="FF258" i="24"/>
  <c r="FE258" i="24"/>
  <c r="FD258" i="24"/>
  <c r="FC258" i="24"/>
  <c r="FB258" i="24"/>
  <c r="FA258" i="24"/>
  <c r="EZ258" i="24"/>
  <c r="EY258" i="24"/>
  <c r="EX258" i="24"/>
  <c r="EW258" i="24"/>
  <c r="EV258" i="24"/>
  <c r="EU258" i="24"/>
  <c r="ET258" i="24"/>
  <c r="ES258" i="24"/>
  <c r="ER258" i="24"/>
  <c r="EQ258" i="24"/>
  <c r="EP258" i="24"/>
  <c r="EO258" i="24"/>
  <c r="EN258" i="24"/>
  <c r="EM258" i="24"/>
  <c r="EL258" i="24"/>
  <c r="EK258" i="24"/>
  <c r="EJ258" i="24"/>
  <c r="EI258" i="24"/>
  <c r="EH258" i="24"/>
  <c r="EG258" i="24"/>
  <c r="EF258" i="24"/>
  <c r="EE258" i="24"/>
  <c r="ED258" i="24"/>
  <c r="EC258" i="24"/>
  <c r="EB258" i="24"/>
  <c r="EA258" i="24"/>
  <c r="DZ258" i="24"/>
  <c r="DY258" i="24"/>
  <c r="DX258" i="24"/>
  <c r="DW258" i="24"/>
  <c r="DV258" i="24"/>
  <c r="DU258" i="24"/>
  <c r="DT258" i="24"/>
  <c r="DS258" i="24"/>
  <c r="DR258" i="24"/>
  <c r="DQ258" i="24"/>
  <c r="DP258" i="24"/>
  <c r="DO258" i="24"/>
  <c r="DN258" i="24"/>
  <c r="DM258" i="24"/>
  <c r="DL258" i="24"/>
  <c r="DK258" i="24"/>
  <c r="DJ258" i="24"/>
  <c r="DI258" i="24"/>
  <c r="DH258" i="24"/>
  <c r="DG258" i="24"/>
  <c r="DF258" i="24"/>
  <c r="DE258" i="24"/>
  <c r="DD258" i="24"/>
  <c r="DC258" i="24"/>
  <c r="DB258" i="24"/>
  <c r="DA258" i="24"/>
  <c r="CZ258" i="24"/>
  <c r="CY258" i="24"/>
  <c r="CX258" i="24"/>
  <c r="CW258" i="24"/>
  <c r="CV258" i="24"/>
  <c r="CU258" i="24"/>
  <c r="CT258" i="24"/>
  <c r="CS258" i="24"/>
  <c r="CR258" i="24"/>
  <c r="CQ258" i="24"/>
  <c r="CP258" i="24"/>
  <c r="CO258" i="24"/>
  <c r="CN258" i="24"/>
  <c r="CM258" i="24"/>
  <c r="CL258" i="24"/>
  <c r="CK258" i="24"/>
  <c r="CJ258" i="24"/>
  <c r="CI258" i="24"/>
  <c r="CH258" i="24"/>
  <c r="CG258" i="24"/>
  <c r="CF258" i="24"/>
  <c r="CE258" i="24"/>
  <c r="CD258" i="24"/>
  <c r="CC258" i="24"/>
  <c r="CB258" i="24"/>
  <c r="CA258" i="24"/>
  <c r="BZ258" i="24"/>
  <c r="BY258" i="24"/>
  <c r="BX258" i="24"/>
  <c r="BW258" i="24"/>
  <c r="BV258" i="24"/>
  <c r="BU258" i="24"/>
  <c r="BT258" i="24"/>
  <c r="BS258" i="24"/>
  <c r="BR258" i="24"/>
  <c r="BQ258" i="24"/>
  <c r="BP258" i="24"/>
  <c r="BO258" i="24"/>
  <c r="BN258" i="24"/>
  <c r="BM258" i="24"/>
  <c r="BL258" i="24"/>
  <c r="BK258" i="24"/>
  <c r="BJ258" i="24"/>
  <c r="BI258" i="24"/>
  <c r="BH258" i="24"/>
  <c r="BG258" i="24"/>
  <c r="BF258" i="24"/>
  <c r="BE258" i="24"/>
  <c r="BD258" i="24"/>
  <c r="BC258" i="24"/>
  <c r="BB258" i="24"/>
  <c r="BA258" i="24"/>
  <c r="AZ258" i="24"/>
  <c r="AY258" i="24"/>
  <c r="AX258" i="24"/>
  <c r="AW258" i="24"/>
  <c r="AV258" i="24"/>
  <c r="AU258" i="24"/>
  <c r="AT258" i="24"/>
  <c r="AS258" i="24"/>
  <c r="AR258" i="24"/>
  <c r="AQ258" i="24"/>
  <c r="AP258" i="24"/>
  <c r="AO258" i="24"/>
  <c r="AN258" i="24"/>
  <c r="AM258" i="24"/>
  <c r="AL258" i="24"/>
  <c r="AK258" i="24"/>
  <c r="AJ258" i="24"/>
  <c r="AI258" i="24"/>
  <c r="AH258" i="24"/>
  <c r="AG258" i="24"/>
  <c r="AF258" i="24"/>
  <c r="AE258" i="24"/>
  <c r="AD258" i="24"/>
  <c r="AC258" i="24"/>
  <c r="AB258" i="24"/>
  <c r="AA258" i="24"/>
  <c r="Z258" i="24"/>
  <c r="Y258" i="24"/>
  <c r="X258" i="24"/>
  <c r="W258" i="24"/>
  <c r="V258" i="24"/>
  <c r="U258" i="24"/>
  <c r="T258" i="24"/>
  <c r="S258" i="24"/>
  <c r="R258" i="24"/>
  <c r="Q258" i="24"/>
  <c r="P258" i="24"/>
  <c r="O258" i="24"/>
  <c r="N258" i="24"/>
  <c r="M258" i="24"/>
  <c r="L258" i="24"/>
  <c r="K258" i="24"/>
  <c r="J258" i="24"/>
  <c r="I258" i="24"/>
  <c r="H258" i="24"/>
  <c r="G258" i="24"/>
  <c r="F258" i="24"/>
  <c r="E258" i="24"/>
  <c r="D258" i="24"/>
  <c r="C258" i="24"/>
  <c r="B258" i="24"/>
  <c r="GT257" i="24"/>
  <c r="GS257" i="24"/>
  <c r="GR257" i="24"/>
  <c r="GQ257" i="24"/>
  <c r="GP257" i="24"/>
  <c r="GO257" i="24"/>
  <c r="GN257" i="24"/>
  <c r="GM257" i="24"/>
  <c r="GL257" i="24"/>
  <c r="GK257" i="24"/>
  <c r="GJ257" i="24"/>
  <c r="GI257" i="24"/>
  <c r="GH257" i="24"/>
  <c r="GG257" i="24"/>
  <c r="GF257" i="24"/>
  <c r="GE257" i="24"/>
  <c r="GD257" i="24"/>
  <c r="GC257" i="24"/>
  <c r="GB257" i="24"/>
  <c r="GA257" i="24"/>
  <c r="FZ257" i="24"/>
  <c r="FY257" i="24"/>
  <c r="FX257" i="24"/>
  <c r="FW257" i="24"/>
  <c r="FV257" i="24"/>
  <c r="FU257" i="24"/>
  <c r="FT257" i="24"/>
  <c r="FS257" i="24"/>
  <c r="FR257" i="24"/>
  <c r="FQ257" i="24"/>
  <c r="FP257" i="24"/>
  <c r="FO257" i="24"/>
  <c r="FN257" i="24"/>
  <c r="FM257" i="24"/>
  <c r="FL257" i="24"/>
  <c r="FK257" i="24"/>
  <c r="FJ257" i="24"/>
  <c r="FI257" i="24"/>
  <c r="FH257" i="24"/>
  <c r="FG257" i="24"/>
  <c r="FF257" i="24"/>
  <c r="FE257" i="24"/>
  <c r="FD257" i="24"/>
  <c r="FC257" i="24"/>
  <c r="FB257" i="24"/>
  <c r="FA257" i="24"/>
  <c r="EZ257" i="24"/>
  <c r="EY257" i="24"/>
  <c r="EX257" i="24"/>
  <c r="EW257" i="24"/>
  <c r="EV257" i="24"/>
  <c r="EU257" i="24"/>
  <c r="ET257" i="24"/>
  <c r="ES257" i="24"/>
  <c r="ER257" i="24"/>
  <c r="EQ257" i="24"/>
  <c r="EP257" i="24"/>
  <c r="EO257" i="24"/>
  <c r="EN257" i="24"/>
  <c r="EM257" i="24"/>
  <c r="EL257" i="24"/>
  <c r="EK257" i="24"/>
  <c r="EJ257" i="24"/>
  <c r="EI257" i="24"/>
  <c r="EH257" i="24"/>
  <c r="EG257" i="24"/>
  <c r="EF257" i="24"/>
  <c r="EE257" i="24"/>
  <c r="ED257" i="24"/>
  <c r="EC257" i="24"/>
  <c r="EB257" i="24"/>
  <c r="EA257" i="24"/>
  <c r="DZ257" i="24"/>
  <c r="DY257" i="24"/>
  <c r="DX257" i="24"/>
  <c r="DW257" i="24"/>
  <c r="DV257" i="24"/>
  <c r="DU257" i="24"/>
  <c r="DT257" i="24"/>
  <c r="DS257" i="24"/>
  <c r="DR257" i="24"/>
  <c r="DQ257" i="24"/>
  <c r="DP257" i="24"/>
  <c r="DO257" i="24"/>
  <c r="DN257" i="24"/>
  <c r="DM257" i="24"/>
  <c r="DL257" i="24"/>
  <c r="DK257" i="24"/>
  <c r="DJ257" i="24"/>
  <c r="DI257" i="24"/>
  <c r="DH257" i="24"/>
  <c r="DG257" i="24"/>
  <c r="DF257" i="24"/>
  <c r="DE257" i="24"/>
  <c r="DD257" i="24"/>
  <c r="DC257" i="24"/>
  <c r="DB257" i="24"/>
  <c r="DA257" i="24"/>
  <c r="CZ257" i="24"/>
  <c r="CY257" i="24"/>
  <c r="CX257" i="24"/>
  <c r="CW257" i="24"/>
  <c r="CV257" i="24"/>
  <c r="CU257" i="24"/>
  <c r="CT257" i="24"/>
  <c r="CS257" i="24"/>
  <c r="CR257" i="24"/>
  <c r="CQ257" i="24"/>
  <c r="CP257" i="24"/>
  <c r="CO257" i="24"/>
  <c r="CN257" i="24"/>
  <c r="CM257" i="24"/>
  <c r="CL257" i="24"/>
  <c r="CK257" i="24"/>
  <c r="CJ257" i="24"/>
  <c r="CI257" i="24"/>
  <c r="CH257" i="24"/>
  <c r="CG257" i="24"/>
  <c r="CF257" i="24"/>
  <c r="CE257" i="24"/>
  <c r="CD257" i="24"/>
  <c r="CC257" i="24"/>
  <c r="CB257" i="24"/>
  <c r="CA257" i="24"/>
  <c r="BZ257" i="24"/>
  <c r="BY257" i="24"/>
  <c r="BX257" i="24"/>
  <c r="BW257" i="24"/>
  <c r="BV257" i="24"/>
  <c r="BU257" i="24"/>
  <c r="BT257" i="24"/>
  <c r="BS257" i="24"/>
  <c r="BR257" i="24"/>
  <c r="BQ257" i="24"/>
  <c r="BP257" i="24"/>
  <c r="BO257" i="24"/>
  <c r="BN257" i="24"/>
  <c r="BM257" i="24"/>
  <c r="BL257" i="24"/>
  <c r="BK257" i="24"/>
  <c r="BJ257" i="24"/>
  <c r="BI257" i="24"/>
  <c r="BH257" i="24"/>
  <c r="BG257" i="24"/>
  <c r="BF257" i="24"/>
  <c r="BE257" i="24"/>
  <c r="BD257" i="24"/>
  <c r="BC257" i="24"/>
  <c r="BB257" i="24"/>
  <c r="BA257" i="24"/>
  <c r="AZ257" i="24"/>
  <c r="AY257" i="24"/>
  <c r="AX257" i="24"/>
  <c r="AW257" i="24"/>
  <c r="AV257" i="24"/>
  <c r="AU257" i="24"/>
  <c r="AT257" i="24"/>
  <c r="AS257" i="24"/>
  <c r="AR257" i="24"/>
  <c r="AQ257" i="24"/>
  <c r="AP257" i="24"/>
  <c r="AO257" i="24"/>
  <c r="AN257" i="24"/>
  <c r="AM257" i="24"/>
  <c r="AL257" i="24"/>
  <c r="AK257" i="24"/>
  <c r="AJ257" i="24"/>
  <c r="AI257" i="24"/>
  <c r="AH257" i="24"/>
  <c r="AG257" i="24"/>
  <c r="AF257" i="24"/>
  <c r="AE257" i="24"/>
  <c r="AD257" i="24"/>
  <c r="AC257" i="24"/>
  <c r="AB257" i="24"/>
  <c r="AA257" i="24"/>
  <c r="Z257" i="24"/>
  <c r="Y257" i="24"/>
  <c r="X257" i="24"/>
  <c r="W257" i="24"/>
  <c r="V257" i="24"/>
  <c r="U257" i="24"/>
  <c r="T257" i="24"/>
  <c r="S257" i="24"/>
  <c r="R257" i="24"/>
  <c r="Q257" i="24"/>
  <c r="P257" i="24"/>
  <c r="O257" i="24"/>
  <c r="N257" i="24"/>
  <c r="M257" i="24"/>
  <c r="L257" i="24"/>
  <c r="K257" i="24"/>
  <c r="J257" i="24"/>
  <c r="I257" i="24"/>
  <c r="H257" i="24"/>
  <c r="G257" i="24"/>
  <c r="F257" i="24"/>
  <c r="E257" i="24"/>
  <c r="D257" i="24"/>
  <c r="C257" i="24"/>
  <c r="B257" i="24"/>
  <c r="GT256" i="24"/>
  <c r="GS256" i="24"/>
  <c r="GR256" i="24"/>
  <c r="GQ256" i="24"/>
  <c r="GP256" i="24"/>
  <c r="GO256" i="24"/>
  <c r="GN256" i="24"/>
  <c r="GM256" i="24"/>
  <c r="GL256" i="24"/>
  <c r="GK256" i="24"/>
  <c r="GJ256" i="24"/>
  <c r="GI256" i="24"/>
  <c r="GH256" i="24"/>
  <c r="GG256" i="24"/>
  <c r="GF256" i="24"/>
  <c r="GE256" i="24"/>
  <c r="GD256" i="24"/>
  <c r="GC256" i="24"/>
  <c r="GB256" i="24"/>
  <c r="GA256" i="24"/>
  <c r="FZ256" i="24"/>
  <c r="FY256" i="24"/>
  <c r="FX256" i="24"/>
  <c r="FW256" i="24"/>
  <c r="FV256" i="24"/>
  <c r="FU256" i="24"/>
  <c r="FT256" i="24"/>
  <c r="FS256" i="24"/>
  <c r="FR256" i="24"/>
  <c r="FQ256" i="24"/>
  <c r="FP256" i="24"/>
  <c r="FO256" i="24"/>
  <c r="FN256" i="24"/>
  <c r="FM256" i="24"/>
  <c r="FL256" i="24"/>
  <c r="FK256" i="24"/>
  <c r="FJ256" i="24"/>
  <c r="FI256" i="24"/>
  <c r="FH256" i="24"/>
  <c r="FG256" i="24"/>
  <c r="FF256" i="24"/>
  <c r="FE256" i="24"/>
  <c r="FD256" i="24"/>
  <c r="FC256" i="24"/>
  <c r="FB256" i="24"/>
  <c r="FA256" i="24"/>
  <c r="EZ256" i="24"/>
  <c r="EY256" i="24"/>
  <c r="EX256" i="24"/>
  <c r="EW256" i="24"/>
  <c r="EV256" i="24"/>
  <c r="EU256" i="24"/>
  <c r="ET256" i="24"/>
  <c r="ES256" i="24"/>
  <c r="ER256" i="24"/>
  <c r="EQ256" i="24"/>
  <c r="EP256" i="24"/>
  <c r="EO256" i="24"/>
  <c r="EN256" i="24"/>
  <c r="EM256" i="24"/>
  <c r="EL256" i="24"/>
  <c r="EK256" i="24"/>
  <c r="EJ256" i="24"/>
  <c r="EI256" i="24"/>
  <c r="EH256" i="24"/>
  <c r="EG256" i="24"/>
  <c r="EF256" i="24"/>
  <c r="EE256" i="24"/>
  <c r="ED256" i="24"/>
  <c r="EC256" i="24"/>
  <c r="EB256" i="24"/>
  <c r="EA256" i="24"/>
  <c r="DZ256" i="24"/>
  <c r="DY256" i="24"/>
  <c r="DX256" i="24"/>
  <c r="DW256" i="24"/>
  <c r="DV256" i="24"/>
  <c r="DU256" i="24"/>
  <c r="DT256" i="24"/>
  <c r="DS256" i="24"/>
  <c r="DR256" i="24"/>
  <c r="DQ256" i="24"/>
  <c r="DP256" i="24"/>
  <c r="DO256" i="24"/>
  <c r="DN256" i="24"/>
  <c r="DM256" i="24"/>
  <c r="DL256" i="24"/>
  <c r="DK256" i="24"/>
  <c r="DJ256" i="24"/>
  <c r="DI256" i="24"/>
  <c r="DH256" i="24"/>
  <c r="DG256" i="24"/>
  <c r="DF256" i="24"/>
  <c r="DE256" i="24"/>
  <c r="DD256" i="24"/>
  <c r="DC256" i="24"/>
  <c r="DB256" i="24"/>
  <c r="DA256" i="24"/>
  <c r="CZ256" i="24"/>
  <c r="CY256" i="24"/>
  <c r="CX256" i="24"/>
  <c r="CW256" i="24"/>
  <c r="CV256" i="24"/>
  <c r="CU256" i="24"/>
  <c r="CT256" i="24"/>
  <c r="CS256" i="24"/>
  <c r="CR256" i="24"/>
  <c r="CQ256" i="24"/>
  <c r="CP256" i="24"/>
  <c r="CO256" i="24"/>
  <c r="CN256" i="24"/>
  <c r="CM256" i="24"/>
  <c r="CL256" i="24"/>
  <c r="CK256" i="24"/>
  <c r="CJ256" i="24"/>
  <c r="CI256" i="24"/>
  <c r="CH256" i="24"/>
  <c r="CG256" i="24"/>
  <c r="CF256" i="24"/>
  <c r="CE256" i="24"/>
  <c r="CD256" i="24"/>
  <c r="CC256" i="24"/>
  <c r="CB256" i="24"/>
  <c r="CA256" i="24"/>
  <c r="BZ256" i="24"/>
  <c r="BY256" i="24"/>
  <c r="BX256" i="24"/>
  <c r="BW256" i="24"/>
  <c r="BV256" i="24"/>
  <c r="BU256" i="24"/>
  <c r="BT256" i="24"/>
  <c r="BS256" i="24"/>
  <c r="BR256" i="24"/>
  <c r="BQ256" i="24"/>
  <c r="BP256" i="24"/>
  <c r="BO256" i="24"/>
  <c r="BN256" i="24"/>
  <c r="BM256" i="24"/>
  <c r="BL256" i="24"/>
  <c r="BK256" i="24"/>
  <c r="BJ256" i="24"/>
  <c r="BI256" i="24"/>
  <c r="BH256" i="24"/>
  <c r="BG256" i="24"/>
  <c r="BF256" i="24"/>
  <c r="BE256" i="24"/>
  <c r="BD256" i="24"/>
  <c r="BC256" i="24"/>
  <c r="BB256" i="24"/>
  <c r="BA256" i="24"/>
  <c r="AZ256" i="24"/>
  <c r="AY256" i="24"/>
  <c r="AX256" i="24"/>
  <c r="AW256" i="24"/>
  <c r="AV256" i="24"/>
  <c r="AU256" i="24"/>
  <c r="AT256" i="24"/>
  <c r="AS256" i="24"/>
  <c r="AR256" i="24"/>
  <c r="AQ256" i="24"/>
  <c r="AP256" i="24"/>
  <c r="AO256" i="24"/>
  <c r="AN256" i="24"/>
  <c r="AM256" i="24"/>
  <c r="AL256" i="24"/>
  <c r="AK256" i="24"/>
  <c r="AJ256" i="24"/>
  <c r="AI256" i="24"/>
  <c r="AH256" i="24"/>
  <c r="AG256" i="24"/>
  <c r="AF256" i="24"/>
  <c r="AE256" i="24"/>
  <c r="AD256" i="24"/>
  <c r="AC256" i="24"/>
  <c r="AB256" i="24"/>
  <c r="AA256" i="24"/>
  <c r="Z256" i="24"/>
  <c r="Y256" i="24"/>
  <c r="X256" i="24"/>
  <c r="W256" i="24"/>
  <c r="V256" i="24"/>
  <c r="U256" i="24"/>
  <c r="T256" i="24"/>
  <c r="S256" i="24"/>
  <c r="R256" i="24"/>
  <c r="Q256" i="24"/>
  <c r="P256" i="24"/>
  <c r="O256" i="24"/>
  <c r="N256" i="24"/>
  <c r="M256" i="24"/>
  <c r="L256" i="24"/>
  <c r="K256" i="24"/>
  <c r="J256" i="24"/>
  <c r="I256" i="24"/>
  <c r="H256" i="24"/>
  <c r="G256" i="24"/>
  <c r="F256" i="24"/>
  <c r="E256" i="24"/>
  <c r="D256" i="24"/>
  <c r="C256" i="24"/>
  <c r="B256" i="24"/>
  <c r="GT255" i="24"/>
  <c r="GS255" i="24"/>
  <c r="GR255" i="24"/>
  <c r="GQ255" i="24"/>
  <c r="GP255" i="24"/>
  <c r="GO255" i="24"/>
  <c r="GN255" i="24"/>
  <c r="GM255" i="24"/>
  <c r="GL255" i="24"/>
  <c r="GK255" i="24"/>
  <c r="GJ255" i="24"/>
  <c r="GI255" i="24"/>
  <c r="GH255" i="24"/>
  <c r="GG255" i="24"/>
  <c r="GF255" i="24"/>
  <c r="GE255" i="24"/>
  <c r="GD255" i="24"/>
  <c r="GC255" i="24"/>
  <c r="GB255" i="24"/>
  <c r="GA255" i="24"/>
  <c r="FZ255" i="24"/>
  <c r="FY255" i="24"/>
  <c r="FX255" i="24"/>
  <c r="FW255" i="24"/>
  <c r="FV255" i="24"/>
  <c r="FU255" i="24"/>
  <c r="FT255" i="24"/>
  <c r="FS255" i="24"/>
  <c r="FR255" i="24"/>
  <c r="FQ255" i="24"/>
  <c r="FP255" i="24"/>
  <c r="FO255" i="24"/>
  <c r="FN255" i="24"/>
  <c r="FM255" i="24"/>
  <c r="FL255" i="24"/>
  <c r="FK255" i="24"/>
  <c r="FJ255" i="24"/>
  <c r="FI255" i="24"/>
  <c r="FH255" i="24"/>
  <c r="FG255" i="24"/>
  <c r="FF255" i="24"/>
  <c r="FE255" i="24"/>
  <c r="FD255" i="24"/>
  <c r="FC255" i="24"/>
  <c r="FB255" i="24"/>
  <c r="FA255" i="24"/>
  <c r="EZ255" i="24"/>
  <c r="EY255" i="24"/>
  <c r="EX255" i="24"/>
  <c r="EW255" i="24"/>
  <c r="EV255" i="24"/>
  <c r="EU255" i="24"/>
  <c r="ET255" i="24"/>
  <c r="ES255" i="24"/>
  <c r="ER255" i="24"/>
  <c r="EQ255" i="24"/>
  <c r="EP255" i="24"/>
  <c r="EO255" i="24"/>
  <c r="EN255" i="24"/>
  <c r="EM255" i="24"/>
  <c r="EL255" i="24"/>
  <c r="EK255" i="24"/>
  <c r="EJ255" i="24"/>
  <c r="EI255" i="24"/>
  <c r="EH255" i="24"/>
  <c r="EG255" i="24"/>
  <c r="EF255" i="24"/>
  <c r="EE255" i="24"/>
  <c r="ED255" i="24"/>
  <c r="EC255" i="24"/>
  <c r="EB255" i="24"/>
  <c r="EA255" i="24"/>
  <c r="DZ255" i="24"/>
  <c r="DY255" i="24"/>
  <c r="DX255" i="24"/>
  <c r="DW255" i="24"/>
  <c r="DV255" i="24"/>
  <c r="DU255" i="24"/>
  <c r="DT255" i="24"/>
  <c r="DS255" i="24"/>
  <c r="DR255" i="24"/>
  <c r="DQ255" i="24"/>
  <c r="DP255" i="24"/>
  <c r="DO255" i="24"/>
  <c r="DN255" i="24"/>
  <c r="DM255" i="24"/>
  <c r="DL255" i="24"/>
  <c r="DK255" i="24"/>
  <c r="DJ255" i="24"/>
  <c r="DI255" i="24"/>
  <c r="DH255" i="24"/>
  <c r="DG255" i="24"/>
  <c r="DF255" i="24"/>
  <c r="DE255" i="24"/>
  <c r="DD255" i="24"/>
  <c r="DC255" i="24"/>
  <c r="DB255" i="24"/>
  <c r="DA255" i="24"/>
  <c r="CZ255" i="24"/>
  <c r="CY255" i="24"/>
  <c r="CX255" i="24"/>
  <c r="CW255" i="24"/>
  <c r="CV255" i="24"/>
  <c r="CU255" i="24"/>
  <c r="CT255" i="24"/>
  <c r="CS255" i="24"/>
  <c r="CR255" i="24"/>
  <c r="CQ255" i="24"/>
  <c r="CP255" i="24"/>
  <c r="CO255" i="24"/>
  <c r="CN255" i="24"/>
  <c r="CM255" i="24"/>
  <c r="CL255" i="24"/>
  <c r="CK255" i="24"/>
  <c r="CJ255" i="24"/>
  <c r="CI255" i="24"/>
  <c r="CH255" i="24"/>
  <c r="CG255" i="24"/>
  <c r="CF255" i="24"/>
  <c r="CE255" i="24"/>
  <c r="CD255" i="24"/>
  <c r="CC255" i="24"/>
  <c r="CB255" i="24"/>
  <c r="CA255" i="24"/>
  <c r="BZ255" i="24"/>
  <c r="BY255" i="24"/>
  <c r="BX255" i="24"/>
  <c r="BW255" i="24"/>
  <c r="BV255" i="24"/>
  <c r="BU255" i="24"/>
  <c r="BT255" i="24"/>
  <c r="BS255" i="24"/>
  <c r="BR255" i="24"/>
  <c r="BQ255" i="24"/>
  <c r="BP255" i="24"/>
  <c r="BO255" i="24"/>
  <c r="BN255" i="24"/>
  <c r="BM255" i="24"/>
  <c r="BL255" i="24"/>
  <c r="BK255" i="24"/>
  <c r="BJ255" i="24"/>
  <c r="BI255" i="24"/>
  <c r="BH255" i="24"/>
  <c r="BG255" i="24"/>
  <c r="BF255" i="24"/>
  <c r="BE255" i="24"/>
  <c r="BD255" i="24"/>
  <c r="BC255" i="24"/>
  <c r="BB255" i="24"/>
  <c r="BA255" i="24"/>
  <c r="AZ255" i="24"/>
  <c r="AY255" i="24"/>
  <c r="AX255" i="24"/>
  <c r="AW255" i="24"/>
  <c r="AV255" i="24"/>
  <c r="AU255" i="24"/>
  <c r="AT255" i="24"/>
  <c r="AS255" i="24"/>
  <c r="AR255" i="24"/>
  <c r="AQ255" i="24"/>
  <c r="AP255" i="24"/>
  <c r="AO255" i="24"/>
  <c r="AN255" i="24"/>
  <c r="AM255" i="24"/>
  <c r="AL255" i="24"/>
  <c r="AK255" i="24"/>
  <c r="AJ255" i="24"/>
  <c r="AI255" i="24"/>
  <c r="AH255" i="24"/>
  <c r="AG255" i="24"/>
  <c r="AF255" i="24"/>
  <c r="AE255" i="24"/>
  <c r="AD255" i="24"/>
  <c r="AC255" i="24"/>
  <c r="AB255" i="24"/>
  <c r="AA255" i="24"/>
  <c r="Z255" i="24"/>
  <c r="Y255" i="24"/>
  <c r="X255" i="24"/>
  <c r="W255" i="24"/>
  <c r="V255" i="24"/>
  <c r="U255" i="24"/>
  <c r="T255" i="24"/>
  <c r="S255" i="24"/>
  <c r="R255" i="24"/>
  <c r="Q255" i="24"/>
  <c r="P255" i="24"/>
  <c r="O255" i="24"/>
  <c r="N255" i="24"/>
  <c r="M255" i="24"/>
  <c r="L255" i="24"/>
  <c r="K255" i="24"/>
  <c r="J255" i="24"/>
  <c r="I255" i="24"/>
  <c r="H255" i="24"/>
  <c r="G255" i="24"/>
  <c r="F255" i="24"/>
  <c r="E255" i="24"/>
  <c r="D255" i="24"/>
  <c r="C255" i="24"/>
  <c r="B255" i="24"/>
  <c r="GT254" i="24"/>
  <c r="GS254" i="24"/>
  <c r="GR254" i="24"/>
  <c r="GQ254" i="24"/>
  <c r="GP254" i="24"/>
  <c r="GO254" i="24"/>
  <c r="GN254" i="24"/>
  <c r="GM254" i="24"/>
  <c r="GL254" i="24"/>
  <c r="GK254" i="24"/>
  <c r="GJ254" i="24"/>
  <c r="GI254" i="24"/>
  <c r="GH254" i="24"/>
  <c r="GG254" i="24"/>
  <c r="GF254" i="24"/>
  <c r="GE254" i="24"/>
  <c r="GD254" i="24"/>
  <c r="GC254" i="24"/>
  <c r="GB254" i="24"/>
  <c r="GA254" i="24"/>
  <c r="FZ254" i="24"/>
  <c r="FY254" i="24"/>
  <c r="FX254" i="24"/>
  <c r="FW254" i="24"/>
  <c r="FV254" i="24"/>
  <c r="FU254" i="24"/>
  <c r="FT254" i="24"/>
  <c r="FS254" i="24"/>
  <c r="FR254" i="24"/>
  <c r="FQ254" i="24"/>
  <c r="FP254" i="24"/>
  <c r="FO254" i="24"/>
  <c r="FN254" i="24"/>
  <c r="FM254" i="24"/>
  <c r="FL254" i="24"/>
  <c r="FK254" i="24"/>
  <c r="FJ254" i="24"/>
  <c r="FI254" i="24"/>
  <c r="FH254" i="24"/>
  <c r="FG254" i="24"/>
  <c r="FF254" i="24"/>
  <c r="FE254" i="24"/>
  <c r="FD254" i="24"/>
  <c r="FC254" i="24"/>
  <c r="FB254" i="24"/>
  <c r="FA254" i="24"/>
  <c r="EZ254" i="24"/>
  <c r="EY254" i="24"/>
  <c r="EX254" i="24"/>
  <c r="EW254" i="24"/>
  <c r="EV254" i="24"/>
  <c r="EU254" i="24"/>
  <c r="ET254" i="24"/>
  <c r="ES254" i="24"/>
  <c r="ER254" i="24"/>
  <c r="EQ254" i="24"/>
  <c r="EP254" i="24"/>
  <c r="EO254" i="24"/>
  <c r="EN254" i="24"/>
  <c r="EM254" i="24"/>
  <c r="EL254" i="24"/>
  <c r="EK254" i="24"/>
  <c r="EJ254" i="24"/>
  <c r="EI254" i="24"/>
  <c r="EH254" i="24"/>
  <c r="EG254" i="24"/>
  <c r="EF254" i="24"/>
  <c r="EE254" i="24"/>
  <c r="ED254" i="24"/>
  <c r="EC254" i="24"/>
  <c r="EB254" i="24"/>
  <c r="EA254" i="24"/>
  <c r="DZ254" i="24"/>
  <c r="DY254" i="24"/>
  <c r="DX254" i="24"/>
  <c r="DW254" i="24"/>
  <c r="DV254" i="24"/>
  <c r="DU254" i="24"/>
  <c r="DT254" i="24"/>
  <c r="DS254" i="24"/>
  <c r="DR254" i="24"/>
  <c r="DQ254" i="24"/>
  <c r="DP254" i="24"/>
  <c r="DO254" i="24"/>
  <c r="DN254" i="24"/>
  <c r="DM254" i="24"/>
  <c r="DL254" i="24"/>
  <c r="DK254" i="24"/>
  <c r="DJ254" i="24"/>
  <c r="DI254" i="24"/>
  <c r="DH254" i="24"/>
  <c r="DG254" i="24"/>
  <c r="DF254" i="24"/>
  <c r="DE254" i="24"/>
  <c r="DD254" i="24"/>
  <c r="DC254" i="24"/>
  <c r="DB254" i="24"/>
  <c r="DA254" i="24"/>
  <c r="CZ254" i="24"/>
  <c r="CY254" i="24"/>
  <c r="CX254" i="24"/>
  <c r="CW254" i="24"/>
  <c r="CV254" i="24"/>
  <c r="CU254" i="24"/>
  <c r="CT254" i="24"/>
  <c r="CS254" i="24"/>
  <c r="CR254" i="24"/>
  <c r="CQ254" i="24"/>
  <c r="CP254" i="24"/>
  <c r="CO254" i="24"/>
  <c r="CN254" i="24"/>
  <c r="CM254" i="24"/>
  <c r="CL254" i="24"/>
  <c r="CK254" i="24"/>
  <c r="CJ254" i="24"/>
  <c r="CI254" i="24"/>
  <c r="CH254" i="24"/>
  <c r="CG254" i="24"/>
  <c r="CF254" i="24"/>
  <c r="CE254" i="24"/>
  <c r="CD254" i="24"/>
  <c r="CC254" i="24"/>
  <c r="CB254" i="24"/>
  <c r="CA254" i="24"/>
  <c r="BZ254" i="24"/>
  <c r="BY254" i="24"/>
  <c r="BX254" i="24"/>
  <c r="BW254" i="24"/>
  <c r="BV254" i="24"/>
  <c r="BU254" i="24"/>
  <c r="BT254" i="24"/>
  <c r="BS254" i="24"/>
  <c r="BR254" i="24"/>
  <c r="BQ254" i="24"/>
  <c r="BP254" i="24"/>
  <c r="BO254" i="24"/>
  <c r="BN254" i="24"/>
  <c r="BM254" i="24"/>
  <c r="BL254" i="24"/>
  <c r="BK254" i="24"/>
  <c r="BJ254" i="24"/>
  <c r="BI254" i="24"/>
  <c r="BH254" i="24"/>
  <c r="BG254" i="24"/>
  <c r="BF254" i="24"/>
  <c r="BE254" i="24"/>
  <c r="BD254" i="24"/>
  <c r="BC254" i="24"/>
  <c r="BB254" i="24"/>
  <c r="BA254" i="24"/>
  <c r="AZ254" i="24"/>
  <c r="AY254" i="24"/>
  <c r="AX254" i="24"/>
  <c r="AW254" i="24"/>
  <c r="AV254" i="24"/>
  <c r="AU254" i="24"/>
  <c r="AT254" i="24"/>
  <c r="AS254" i="24"/>
  <c r="AR254" i="24"/>
  <c r="AQ254" i="24"/>
  <c r="AP254" i="24"/>
  <c r="AO254" i="24"/>
  <c r="AN254" i="24"/>
  <c r="AM254" i="24"/>
  <c r="AL254" i="24"/>
  <c r="AK254" i="24"/>
  <c r="AJ254" i="24"/>
  <c r="AI254" i="24"/>
  <c r="AH254" i="24"/>
  <c r="AG254" i="24"/>
  <c r="AF254" i="24"/>
  <c r="AE254" i="24"/>
  <c r="AD254" i="24"/>
  <c r="AC254" i="24"/>
  <c r="AB254" i="24"/>
  <c r="AA254" i="24"/>
  <c r="Z254" i="24"/>
  <c r="Y254" i="24"/>
  <c r="X254" i="24"/>
  <c r="W254" i="24"/>
  <c r="V254" i="24"/>
  <c r="U254" i="24"/>
  <c r="T254" i="24"/>
  <c r="S254" i="24"/>
  <c r="R254" i="24"/>
  <c r="Q254" i="24"/>
  <c r="P254" i="24"/>
  <c r="O254" i="24"/>
  <c r="N254" i="24"/>
  <c r="M254" i="24"/>
  <c r="L254" i="24"/>
  <c r="K254" i="24"/>
  <c r="J254" i="24"/>
  <c r="I254" i="24"/>
  <c r="H254" i="24"/>
  <c r="G254" i="24"/>
  <c r="F254" i="24"/>
  <c r="E254" i="24"/>
  <c r="D254" i="24"/>
  <c r="C254" i="24"/>
  <c r="B254" i="24"/>
  <c r="GT253" i="24"/>
  <c r="GS253" i="24"/>
  <c r="GR253" i="24"/>
  <c r="GQ253" i="24"/>
  <c r="GP253" i="24"/>
  <c r="GO253" i="24"/>
  <c r="GN253" i="24"/>
  <c r="GM253" i="24"/>
  <c r="GL253" i="24"/>
  <c r="GK253" i="24"/>
  <c r="GJ253" i="24"/>
  <c r="GI253" i="24"/>
  <c r="GH253" i="24"/>
  <c r="GG253" i="24"/>
  <c r="GF253" i="24"/>
  <c r="GE253" i="24"/>
  <c r="GD253" i="24"/>
  <c r="GC253" i="24"/>
  <c r="GB253" i="24"/>
  <c r="GA253" i="24"/>
  <c r="FZ253" i="24"/>
  <c r="FY253" i="24"/>
  <c r="FX253" i="24"/>
  <c r="FW253" i="24"/>
  <c r="FV253" i="24"/>
  <c r="FU253" i="24"/>
  <c r="FT253" i="24"/>
  <c r="FS253" i="24"/>
  <c r="FR253" i="24"/>
  <c r="FQ253" i="24"/>
  <c r="FP253" i="24"/>
  <c r="FO253" i="24"/>
  <c r="FN253" i="24"/>
  <c r="FM253" i="24"/>
  <c r="FL253" i="24"/>
  <c r="FK253" i="24"/>
  <c r="FJ253" i="24"/>
  <c r="FI253" i="24"/>
  <c r="FH253" i="24"/>
  <c r="FG253" i="24"/>
  <c r="FF253" i="24"/>
  <c r="FE253" i="24"/>
  <c r="FD253" i="24"/>
  <c r="FC253" i="24"/>
  <c r="FB253" i="24"/>
  <c r="FA253" i="24"/>
  <c r="EZ253" i="24"/>
  <c r="EY253" i="24"/>
  <c r="EX253" i="24"/>
  <c r="EW253" i="24"/>
  <c r="EV253" i="24"/>
  <c r="EU253" i="24"/>
  <c r="ET253" i="24"/>
  <c r="ES253" i="24"/>
  <c r="ER253" i="24"/>
  <c r="EQ253" i="24"/>
  <c r="EP253" i="24"/>
  <c r="EO253" i="24"/>
  <c r="EN253" i="24"/>
  <c r="EM253" i="24"/>
  <c r="EL253" i="24"/>
  <c r="EK253" i="24"/>
  <c r="EJ253" i="24"/>
  <c r="EI253" i="24"/>
  <c r="EH253" i="24"/>
  <c r="EG253" i="24"/>
  <c r="EF253" i="24"/>
  <c r="EE253" i="24"/>
  <c r="ED253" i="24"/>
  <c r="EC253" i="24"/>
  <c r="EB253" i="24"/>
  <c r="EA253" i="24"/>
  <c r="DZ253" i="24"/>
  <c r="DY253" i="24"/>
  <c r="DX253" i="24"/>
  <c r="DW253" i="24"/>
  <c r="DV253" i="24"/>
  <c r="DU253" i="24"/>
  <c r="DT253" i="24"/>
  <c r="DS253" i="24"/>
  <c r="DR253" i="24"/>
  <c r="DQ253" i="24"/>
  <c r="DP253" i="24"/>
  <c r="DO253" i="24"/>
  <c r="DN253" i="24"/>
  <c r="DM253" i="24"/>
  <c r="DL253" i="24"/>
  <c r="DK253" i="24"/>
  <c r="DJ253" i="24"/>
  <c r="DI253" i="24"/>
  <c r="DH253" i="24"/>
  <c r="DG253" i="24"/>
  <c r="DF253" i="24"/>
  <c r="DE253" i="24"/>
  <c r="DD253" i="24"/>
  <c r="DC253" i="24"/>
  <c r="DB253" i="24"/>
  <c r="DA253" i="24"/>
  <c r="CZ253" i="24"/>
  <c r="CY253" i="24"/>
  <c r="CX253" i="24"/>
  <c r="CW253" i="24"/>
  <c r="CV253" i="24"/>
  <c r="CU253" i="24"/>
  <c r="CT253" i="24"/>
  <c r="CS253" i="24"/>
  <c r="CR253" i="24"/>
  <c r="CQ253" i="24"/>
  <c r="CP253" i="24"/>
  <c r="CO253" i="24"/>
  <c r="CN253" i="24"/>
  <c r="CM253" i="24"/>
  <c r="CL253" i="24"/>
  <c r="CK253" i="24"/>
  <c r="CJ253" i="24"/>
  <c r="CI253" i="24"/>
  <c r="CH253" i="24"/>
  <c r="CG253" i="24"/>
  <c r="CF253" i="24"/>
  <c r="CE253" i="24"/>
  <c r="CD253" i="24"/>
  <c r="CC253" i="24"/>
  <c r="CB253" i="24"/>
  <c r="CA253" i="24"/>
  <c r="BZ253" i="24"/>
  <c r="BY253" i="24"/>
  <c r="BX253" i="24"/>
  <c r="BW253" i="24"/>
  <c r="BV253" i="24"/>
  <c r="BU253" i="24"/>
  <c r="BT253" i="24"/>
  <c r="BS253" i="24"/>
  <c r="BR253" i="24"/>
  <c r="BQ253" i="24"/>
  <c r="BP253" i="24"/>
  <c r="BO253" i="24"/>
  <c r="BN253" i="24"/>
  <c r="BM253" i="24"/>
  <c r="BL253" i="24"/>
  <c r="BK253" i="24"/>
  <c r="BJ253" i="24"/>
  <c r="BI253" i="24"/>
  <c r="BH253" i="24"/>
  <c r="BG253" i="24"/>
  <c r="BF253" i="24"/>
  <c r="BE253" i="24"/>
  <c r="BD253" i="24"/>
  <c r="BC253" i="24"/>
  <c r="BB253" i="24"/>
  <c r="BA253" i="24"/>
  <c r="AZ253" i="24"/>
  <c r="AY253" i="24"/>
  <c r="AX253" i="24"/>
  <c r="AW253" i="24"/>
  <c r="AV253" i="24"/>
  <c r="AU253" i="24"/>
  <c r="AT253" i="24"/>
  <c r="AS253" i="24"/>
  <c r="AR253" i="24"/>
  <c r="AQ253" i="24"/>
  <c r="AP253" i="24"/>
  <c r="AO253" i="24"/>
  <c r="AN253" i="24"/>
  <c r="AM253" i="24"/>
  <c r="AL253" i="24"/>
  <c r="AK253" i="24"/>
  <c r="AJ253" i="24"/>
  <c r="AI253" i="24"/>
  <c r="AH253" i="24"/>
  <c r="AG253" i="24"/>
  <c r="AF253" i="24"/>
  <c r="AE253" i="24"/>
  <c r="AD253" i="24"/>
  <c r="AC253" i="24"/>
  <c r="AB253" i="24"/>
  <c r="AA253" i="24"/>
  <c r="Z253" i="24"/>
  <c r="Y253" i="24"/>
  <c r="X253" i="24"/>
  <c r="W253" i="24"/>
  <c r="V253" i="24"/>
  <c r="U253" i="24"/>
  <c r="T253" i="24"/>
  <c r="S253" i="24"/>
  <c r="R253" i="24"/>
  <c r="Q253" i="24"/>
  <c r="P253" i="24"/>
  <c r="O253" i="24"/>
  <c r="N253" i="24"/>
  <c r="M253" i="24"/>
  <c r="L253" i="24"/>
  <c r="K253" i="24"/>
  <c r="J253" i="24"/>
  <c r="I253" i="24"/>
  <c r="H253" i="24"/>
  <c r="G253" i="24"/>
  <c r="F253" i="24"/>
  <c r="E253" i="24"/>
  <c r="D253" i="24"/>
  <c r="C253" i="24"/>
  <c r="B253" i="24"/>
  <c r="GT252" i="24"/>
  <c r="GS252" i="24"/>
  <c r="GR252" i="24"/>
  <c r="GQ252" i="24"/>
  <c r="GP252" i="24"/>
  <c r="GO252" i="24"/>
  <c r="GN252" i="24"/>
  <c r="GM252" i="24"/>
  <c r="GL252" i="24"/>
  <c r="GK252" i="24"/>
  <c r="GJ252" i="24"/>
  <c r="GI252" i="24"/>
  <c r="GH252" i="24"/>
  <c r="GG252" i="24"/>
  <c r="GF252" i="24"/>
  <c r="GE252" i="24"/>
  <c r="GD252" i="24"/>
  <c r="GC252" i="24"/>
  <c r="GB252" i="24"/>
  <c r="GA252" i="24"/>
  <c r="FZ252" i="24"/>
  <c r="FY252" i="24"/>
  <c r="FX252" i="24"/>
  <c r="FW252" i="24"/>
  <c r="FV252" i="24"/>
  <c r="FU252" i="24"/>
  <c r="FT252" i="24"/>
  <c r="FS252" i="24"/>
  <c r="FR252" i="24"/>
  <c r="FQ252" i="24"/>
  <c r="FP252" i="24"/>
  <c r="FO252" i="24"/>
  <c r="FN252" i="24"/>
  <c r="FM252" i="24"/>
  <c r="FL252" i="24"/>
  <c r="FK252" i="24"/>
  <c r="FJ252" i="24"/>
  <c r="FI252" i="24"/>
  <c r="FH252" i="24"/>
  <c r="FG252" i="24"/>
  <c r="FF252" i="24"/>
  <c r="FE252" i="24"/>
  <c r="FD252" i="24"/>
  <c r="FC252" i="24"/>
  <c r="FB252" i="24"/>
  <c r="FA252" i="24"/>
  <c r="EZ252" i="24"/>
  <c r="EY252" i="24"/>
  <c r="EX252" i="24"/>
  <c r="EW252" i="24"/>
  <c r="EV252" i="24"/>
  <c r="EU252" i="24"/>
  <c r="ET252" i="24"/>
  <c r="ES252" i="24"/>
  <c r="ER252" i="24"/>
  <c r="EQ252" i="24"/>
  <c r="EP252" i="24"/>
  <c r="EO252" i="24"/>
  <c r="EN252" i="24"/>
  <c r="EM252" i="24"/>
  <c r="EL252" i="24"/>
  <c r="EK252" i="24"/>
  <c r="EJ252" i="24"/>
  <c r="EI252" i="24"/>
  <c r="EH252" i="24"/>
  <c r="EG252" i="24"/>
  <c r="EF252" i="24"/>
  <c r="EE252" i="24"/>
  <c r="ED252" i="24"/>
  <c r="EC252" i="24"/>
  <c r="EB252" i="24"/>
  <c r="EA252" i="24"/>
  <c r="DZ252" i="24"/>
  <c r="DY252" i="24"/>
  <c r="DX252" i="24"/>
  <c r="DW252" i="24"/>
  <c r="DV252" i="24"/>
  <c r="DU252" i="24"/>
  <c r="DT252" i="24"/>
  <c r="DS252" i="24"/>
  <c r="DR252" i="24"/>
  <c r="DQ252" i="24"/>
  <c r="DP252" i="24"/>
  <c r="DO252" i="24"/>
  <c r="DN252" i="24"/>
  <c r="DM252" i="24"/>
  <c r="DL252" i="24"/>
  <c r="DK252" i="24"/>
  <c r="DJ252" i="24"/>
  <c r="DI252" i="24"/>
  <c r="DH252" i="24"/>
  <c r="DG252" i="24"/>
  <c r="DF252" i="24"/>
  <c r="DE252" i="24"/>
  <c r="DD252" i="24"/>
  <c r="DC252" i="24"/>
  <c r="DB252" i="24"/>
  <c r="DA252" i="24"/>
  <c r="CZ252" i="24"/>
  <c r="CY252" i="24"/>
  <c r="CX252" i="24"/>
  <c r="CW252" i="24"/>
  <c r="CV252" i="24"/>
  <c r="CU252" i="24"/>
  <c r="CT252" i="24"/>
  <c r="CS252" i="24"/>
  <c r="CR252" i="24"/>
  <c r="CQ252" i="24"/>
  <c r="CP252" i="24"/>
  <c r="CO252" i="24"/>
  <c r="CN252" i="24"/>
  <c r="CM252" i="24"/>
  <c r="CL252" i="24"/>
  <c r="CK252" i="24"/>
  <c r="CJ252" i="24"/>
  <c r="CI252" i="24"/>
  <c r="CH252" i="24"/>
  <c r="CG252" i="24"/>
  <c r="CF252" i="24"/>
  <c r="CE252" i="24"/>
  <c r="CD252" i="24"/>
  <c r="CC252" i="24"/>
  <c r="CB252" i="24"/>
  <c r="CA252" i="24"/>
  <c r="BZ252" i="24"/>
  <c r="BY252" i="24"/>
  <c r="BX252" i="24"/>
  <c r="BW252" i="24"/>
  <c r="BV252" i="24"/>
  <c r="BU252" i="24"/>
  <c r="BT252" i="24"/>
  <c r="BS252" i="24"/>
  <c r="BR252" i="24"/>
  <c r="BQ252" i="24"/>
  <c r="BP252" i="24"/>
  <c r="BO252" i="24"/>
  <c r="BN252" i="24"/>
  <c r="BM252" i="24"/>
  <c r="BL252" i="24"/>
  <c r="BK252" i="24"/>
  <c r="BJ252" i="24"/>
  <c r="BI252" i="24"/>
  <c r="BH252" i="24"/>
  <c r="BG252" i="24"/>
  <c r="BF252" i="24"/>
  <c r="BE252" i="24"/>
  <c r="BD252" i="24"/>
  <c r="BC252" i="24"/>
  <c r="BB252" i="24"/>
  <c r="BA252" i="24"/>
  <c r="AZ252" i="24"/>
  <c r="AY252" i="24"/>
  <c r="AX252" i="24"/>
  <c r="AW252" i="24"/>
  <c r="AV252" i="24"/>
  <c r="AU252" i="24"/>
  <c r="AT252" i="24"/>
  <c r="AS252" i="24"/>
  <c r="AR252" i="24"/>
  <c r="AQ252" i="24"/>
  <c r="AP252" i="24"/>
  <c r="AO252" i="24"/>
  <c r="AN252" i="24"/>
  <c r="AM252" i="24"/>
  <c r="AL252" i="24"/>
  <c r="AK252" i="24"/>
  <c r="AJ252" i="24"/>
  <c r="AI252" i="24"/>
  <c r="AH252" i="24"/>
  <c r="AG252" i="24"/>
  <c r="AF252" i="24"/>
  <c r="AE252" i="24"/>
  <c r="AD252" i="24"/>
  <c r="AC252" i="24"/>
  <c r="AB252" i="24"/>
  <c r="AA252" i="24"/>
  <c r="Z252" i="24"/>
  <c r="Y252" i="24"/>
  <c r="X252" i="24"/>
  <c r="W252" i="24"/>
  <c r="V252" i="24"/>
  <c r="U252" i="24"/>
  <c r="T252" i="24"/>
  <c r="S252" i="24"/>
  <c r="R252" i="24"/>
  <c r="Q252" i="24"/>
  <c r="P252" i="24"/>
  <c r="O252" i="24"/>
  <c r="N252" i="24"/>
  <c r="M252" i="24"/>
  <c r="L252" i="24"/>
  <c r="K252" i="24"/>
  <c r="J252" i="24"/>
  <c r="I252" i="24"/>
  <c r="H252" i="24"/>
  <c r="G252" i="24"/>
  <c r="F252" i="24"/>
  <c r="E252" i="24"/>
  <c r="D252" i="24"/>
  <c r="C252" i="24"/>
  <c r="B252" i="24"/>
  <c r="GT251" i="24"/>
  <c r="GS251" i="24"/>
  <c r="GR251" i="24"/>
  <c r="GQ251" i="24"/>
  <c r="GP251" i="24"/>
  <c r="GO251" i="24"/>
  <c r="GN251" i="24"/>
  <c r="GM251" i="24"/>
  <c r="GL251" i="24"/>
  <c r="GK251" i="24"/>
  <c r="GJ251" i="24"/>
  <c r="GI251" i="24"/>
  <c r="GH251" i="24"/>
  <c r="GG251" i="24"/>
  <c r="GF251" i="24"/>
  <c r="GE251" i="24"/>
  <c r="GD251" i="24"/>
  <c r="GC251" i="24"/>
  <c r="GB251" i="24"/>
  <c r="GA251" i="24"/>
  <c r="FZ251" i="24"/>
  <c r="FY251" i="24"/>
  <c r="FX251" i="24"/>
  <c r="FW251" i="24"/>
  <c r="FV251" i="24"/>
  <c r="FU251" i="24"/>
  <c r="FT251" i="24"/>
  <c r="FS251" i="24"/>
  <c r="FR251" i="24"/>
  <c r="FQ251" i="24"/>
  <c r="FP251" i="24"/>
  <c r="FO251" i="24"/>
  <c r="FN251" i="24"/>
  <c r="FM251" i="24"/>
  <c r="FL251" i="24"/>
  <c r="FK251" i="24"/>
  <c r="FJ251" i="24"/>
  <c r="FI251" i="24"/>
  <c r="FH251" i="24"/>
  <c r="FG251" i="24"/>
  <c r="FF251" i="24"/>
  <c r="FE251" i="24"/>
  <c r="FD251" i="24"/>
  <c r="FC251" i="24"/>
  <c r="FB251" i="24"/>
  <c r="FA251" i="24"/>
  <c r="EZ251" i="24"/>
  <c r="EY251" i="24"/>
  <c r="EX251" i="24"/>
  <c r="EW251" i="24"/>
  <c r="EV251" i="24"/>
  <c r="EU251" i="24"/>
  <c r="ET251" i="24"/>
  <c r="ES251" i="24"/>
  <c r="ER251" i="24"/>
  <c r="EQ251" i="24"/>
  <c r="EP251" i="24"/>
  <c r="EO251" i="24"/>
  <c r="EN251" i="24"/>
  <c r="EM251" i="24"/>
  <c r="EL251" i="24"/>
  <c r="EK251" i="24"/>
  <c r="EJ251" i="24"/>
  <c r="EI251" i="24"/>
  <c r="EH251" i="24"/>
  <c r="EG251" i="24"/>
  <c r="EF251" i="24"/>
  <c r="EE251" i="24"/>
  <c r="ED251" i="24"/>
  <c r="EC251" i="24"/>
  <c r="EB251" i="24"/>
  <c r="EA251" i="24"/>
  <c r="DZ251" i="24"/>
  <c r="DY251" i="24"/>
  <c r="DX251" i="24"/>
  <c r="DW251" i="24"/>
  <c r="DV251" i="24"/>
  <c r="DU251" i="24"/>
  <c r="DT251" i="24"/>
  <c r="DS251" i="24"/>
  <c r="DR251" i="24"/>
  <c r="DQ251" i="24"/>
  <c r="DP251" i="24"/>
  <c r="DO251" i="24"/>
  <c r="DN251" i="24"/>
  <c r="DM251" i="24"/>
  <c r="DL251" i="24"/>
  <c r="DK251" i="24"/>
  <c r="DJ251" i="24"/>
  <c r="DI251" i="24"/>
  <c r="DH251" i="24"/>
  <c r="DG251" i="24"/>
  <c r="DF251" i="24"/>
  <c r="DE251" i="24"/>
  <c r="DD251" i="24"/>
  <c r="DC251" i="24"/>
  <c r="DB251" i="24"/>
  <c r="DA251" i="24"/>
  <c r="CZ251" i="24"/>
  <c r="CY251" i="24"/>
  <c r="CX251" i="24"/>
  <c r="CW251" i="24"/>
  <c r="CV251" i="24"/>
  <c r="CU251" i="24"/>
  <c r="CT251" i="24"/>
  <c r="CS251" i="24"/>
  <c r="CR251" i="24"/>
  <c r="CQ251" i="24"/>
  <c r="CP251" i="24"/>
  <c r="CO251" i="24"/>
  <c r="CN251" i="24"/>
  <c r="CM251" i="24"/>
  <c r="CL251" i="24"/>
  <c r="CK251" i="24"/>
  <c r="CJ251" i="24"/>
  <c r="CI251" i="24"/>
  <c r="CH251" i="24"/>
  <c r="CG251" i="24"/>
  <c r="CF251" i="24"/>
  <c r="CE251" i="24"/>
  <c r="CD251" i="24"/>
  <c r="CC251" i="24"/>
  <c r="CB251" i="24"/>
  <c r="CA251" i="24"/>
  <c r="BZ251" i="24"/>
  <c r="BY251" i="24"/>
  <c r="BX251" i="24"/>
  <c r="BW251" i="24"/>
  <c r="BV251" i="24"/>
  <c r="BU251" i="24"/>
  <c r="BT251" i="24"/>
  <c r="BS251" i="24"/>
  <c r="BR251" i="24"/>
  <c r="BQ251" i="24"/>
  <c r="BP251" i="24"/>
  <c r="BO251" i="24"/>
  <c r="BN251" i="24"/>
  <c r="BM251" i="24"/>
  <c r="BL251" i="24"/>
  <c r="BK251" i="24"/>
  <c r="BJ251" i="24"/>
  <c r="BI251" i="24"/>
  <c r="BH251" i="24"/>
  <c r="BG251" i="24"/>
  <c r="BF251" i="24"/>
  <c r="BE251" i="24"/>
  <c r="BD251" i="24"/>
  <c r="BC251" i="24"/>
  <c r="BB251" i="24"/>
  <c r="BA251" i="24"/>
  <c r="AZ251" i="24"/>
  <c r="AY251" i="24"/>
  <c r="AX251" i="24"/>
  <c r="AW251" i="24"/>
  <c r="AV251" i="24"/>
  <c r="AU251" i="24"/>
  <c r="AT251" i="24"/>
  <c r="AS251" i="24"/>
  <c r="AR251" i="24"/>
  <c r="AQ251" i="24"/>
  <c r="AP251" i="24"/>
  <c r="AO251" i="24"/>
  <c r="AN251" i="24"/>
  <c r="AM251" i="24"/>
  <c r="AL251" i="24"/>
  <c r="AK251" i="24"/>
  <c r="AJ251" i="24"/>
  <c r="AI251" i="24"/>
  <c r="AH251" i="24"/>
  <c r="AG251" i="24"/>
  <c r="AF251" i="24"/>
  <c r="AE251" i="24"/>
  <c r="AD251" i="24"/>
  <c r="AC251" i="24"/>
  <c r="AB251" i="24"/>
  <c r="AA251" i="24"/>
  <c r="Z251" i="24"/>
  <c r="Y251" i="24"/>
  <c r="X251" i="24"/>
  <c r="W251" i="24"/>
  <c r="V251" i="24"/>
  <c r="U251" i="24"/>
  <c r="T251" i="24"/>
  <c r="S251" i="24"/>
  <c r="R251" i="24"/>
  <c r="Q251" i="24"/>
  <c r="P251" i="24"/>
  <c r="O251" i="24"/>
  <c r="N251" i="24"/>
  <c r="M251" i="24"/>
  <c r="L251" i="24"/>
  <c r="K251" i="24"/>
  <c r="J251" i="24"/>
  <c r="I251" i="24"/>
  <c r="H251" i="24"/>
  <c r="G251" i="24"/>
  <c r="F251" i="24"/>
  <c r="E251" i="24"/>
  <c r="D251" i="24"/>
  <c r="C251" i="24"/>
  <c r="B251" i="24"/>
  <c r="GT250" i="24"/>
  <c r="GS250" i="24"/>
  <c r="GR250" i="24"/>
  <c r="GQ250" i="24"/>
  <c r="GP250" i="24"/>
  <c r="GO250" i="24"/>
  <c r="GN250" i="24"/>
  <c r="GM250" i="24"/>
  <c r="GL250" i="24"/>
  <c r="GK250" i="24"/>
  <c r="GJ250" i="24"/>
  <c r="GI250" i="24"/>
  <c r="GH250" i="24"/>
  <c r="GG250" i="24"/>
  <c r="GF250" i="24"/>
  <c r="GE250" i="24"/>
  <c r="GD250" i="24"/>
  <c r="GC250" i="24"/>
  <c r="GB250" i="24"/>
  <c r="GA250" i="24"/>
  <c r="FZ250" i="24"/>
  <c r="FY250" i="24"/>
  <c r="FX250" i="24"/>
  <c r="FW250" i="24"/>
  <c r="FV250" i="24"/>
  <c r="FU250" i="24"/>
  <c r="FT250" i="24"/>
  <c r="FS250" i="24"/>
  <c r="FR250" i="24"/>
  <c r="FQ250" i="24"/>
  <c r="FP250" i="24"/>
  <c r="FO250" i="24"/>
  <c r="FN250" i="24"/>
  <c r="FM250" i="24"/>
  <c r="FL250" i="24"/>
  <c r="FK250" i="24"/>
  <c r="FJ250" i="24"/>
  <c r="FI250" i="24"/>
  <c r="FH250" i="24"/>
  <c r="FG250" i="24"/>
  <c r="FF250" i="24"/>
  <c r="FE250" i="24"/>
  <c r="FD250" i="24"/>
  <c r="FC250" i="24"/>
  <c r="FB250" i="24"/>
  <c r="FA250" i="24"/>
  <c r="EZ250" i="24"/>
  <c r="EY250" i="24"/>
  <c r="EX250" i="24"/>
  <c r="EW250" i="24"/>
  <c r="EV250" i="24"/>
  <c r="EU250" i="24"/>
  <c r="ET250" i="24"/>
  <c r="ES250" i="24"/>
  <c r="ER250" i="24"/>
  <c r="EQ250" i="24"/>
  <c r="EP250" i="24"/>
  <c r="EO250" i="24"/>
  <c r="EN250" i="24"/>
  <c r="EM250" i="24"/>
  <c r="EL250" i="24"/>
  <c r="EK250" i="24"/>
  <c r="EJ250" i="24"/>
  <c r="EI250" i="24"/>
  <c r="EH250" i="24"/>
  <c r="EG250" i="24"/>
  <c r="EF250" i="24"/>
  <c r="EE250" i="24"/>
  <c r="ED250" i="24"/>
  <c r="EC250" i="24"/>
  <c r="EB250" i="24"/>
  <c r="EA250" i="24"/>
  <c r="DZ250" i="24"/>
  <c r="DY250" i="24"/>
  <c r="DX250" i="24"/>
  <c r="DW250" i="24"/>
  <c r="DV250" i="24"/>
  <c r="DU250" i="24"/>
  <c r="DT250" i="24"/>
  <c r="DS250" i="24"/>
  <c r="DR250" i="24"/>
  <c r="DQ250" i="24"/>
  <c r="DP250" i="24"/>
  <c r="DO250" i="24"/>
  <c r="DN250" i="24"/>
  <c r="DM250" i="24"/>
  <c r="DL250" i="24"/>
  <c r="DK250" i="24"/>
  <c r="DJ250" i="24"/>
  <c r="DI250" i="24"/>
  <c r="DH250" i="24"/>
  <c r="DG250" i="24"/>
  <c r="DF250" i="24"/>
  <c r="DE250" i="24"/>
  <c r="DD250" i="24"/>
  <c r="DC250" i="24"/>
  <c r="DB250" i="24"/>
  <c r="DA250" i="24"/>
  <c r="CZ250" i="24"/>
  <c r="CY250" i="24"/>
  <c r="CX250" i="24"/>
  <c r="CW250" i="24"/>
  <c r="CV250" i="24"/>
  <c r="CU250" i="24"/>
  <c r="CT250" i="24"/>
  <c r="CS250" i="24"/>
  <c r="CR250" i="24"/>
  <c r="CQ250" i="24"/>
  <c r="CP250" i="24"/>
  <c r="CO250" i="24"/>
  <c r="CN250" i="24"/>
  <c r="CM250" i="24"/>
  <c r="CL250" i="24"/>
  <c r="CK250" i="24"/>
  <c r="CJ250" i="24"/>
  <c r="CI250" i="24"/>
  <c r="CH250" i="24"/>
  <c r="CG250" i="24"/>
  <c r="CF250" i="24"/>
  <c r="CE250" i="24"/>
  <c r="CD250" i="24"/>
  <c r="CC250" i="24"/>
  <c r="CB250" i="24"/>
  <c r="CA250" i="24"/>
  <c r="BZ250" i="24"/>
  <c r="BY250" i="24"/>
  <c r="BX250" i="24"/>
  <c r="BW250" i="24"/>
  <c r="BV250" i="24"/>
  <c r="BU250" i="24"/>
  <c r="BT250" i="24"/>
  <c r="BS250" i="24"/>
  <c r="BR250" i="24"/>
  <c r="BQ250" i="24"/>
  <c r="BP250" i="24"/>
  <c r="BO250" i="24"/>
  <c r="BN250" i="24"/>
  <c r="BM250" i="24"/>
  <c r="BL250" i="24"/>
  <c r="BK250" i="24"/>
  <c r="BJ250" i="24"/>
  <c r="BI250" i="24"/>
  <c r="BH250" i="24"/>
  <c r="BG250" i="24"/>
  <c r="BF250" i="24"/>
  <c r="BE250" i="24"/>
  <c r="BD250" i="24"/>
  <c r="BC250" i="24"/>
  <c r="BB250" i="24"/>
  <c r="BA250" i="24"/>
  <c r="AZ250" i="24"/>
  <c r="AY250" i="24"/>
  <c r="AX250" i="24"/>
  <c r="AW250" i="24"/>
  <c r="AV250" i="24"/>
  <c r="AU250" i="24"/>
  <c r="AT250" i="24"/>
  <c r="AS250" i="24"/>
  <c r="AR250" i="24"/>
  <c r="AQ250" i="24"/>
  <c r="AP250" i="24"/>
  <c r="AO250" i="24"/>
  <c r="AN250" i="24"/>
  <c r="AM250" i="24"/>
  <c r="AL250" i="24"/>
  <c r="AK250" i="24"/>
  <c r="AJ250" i="24"/>
  <c r="AI250" i="24"/>
  <c r="AH250" i="24"/>
  <c r="AG250" i="24"/>
  <c r="AF250" i="24"/>
  <c r="AE250" i="24"/>
  <c r="AD250" i="24"/>
  <c r="AC250" i="24"/>
  <c r="AB250" i="24"/>
  <c r="AA250" i="24"/>
  <c r="Z250" i="24"/>
  <c r="Y250" i="24"/>
  <c r="X250" i="24"/>
  <c r="W250" i="24"/>
  <c r="V250" i="24"/>
  <c r="U250" i="24"/>
  <c r="T250" i="24"/>
  <c r="S250" i="24"/>
  <c r="R250" i="24"/>
  <c r="Q250" i="24"/>
  <c r="P250" i="24"/>
  <c r="O250" i="24"/>
  <c r="N250" i="24"/>
  <c r="M250" i="24"/>
  <c r="L250" i="24"/>
  <c r="K250" i="24"/>
  <c r="J250" i="24"/>
  <c r="I250" i="24"/>
  <c r="H250" i="24"/>
  <c r="G250" i="24"/>
  <c r="F250" i="24"/>
  <c r="E250" i="24"/>
  <c r="D250" i="24"/>
  <c r="C250" i="24"/>
  <c r="B250" i="24"/>
  <c r="GT249" i="24"/>
  <c r="GS249" i="24"/>
  <c r="GR249" i="24"/>
  <c r="GQ249" i="24"/>
  <c r="GP249" i="24"/>
  <c r="GO249" i="24"/>
  <c r="GN249" i="24"/>
  <c r="GM249" i="24"/>
  <c r="GL249" i="24"/>
  <c r="GK249" i="24"/>
  <c r="GJ249" i="24"/>
  <c r="GI249" i="24"/>
  <c r="GH249" i="24"/>
  <c r="GG249" i="24"/>
  <c r="GF249" i="24"/>
  <c r="GE249" i="24"/>
  <c r="GD249" i="24"/>
  <c r="GC249" i="24"/>
  <c r="GB249" i="24"/>
  <c r="GA249" i="24"/>
  <c r="FZ249" i="24"/>
  <c r="FY249" i="24"/>
  <c r="FX249" i="24"/>
  <c r="FW249" i="24"/>
  <c r="FV249" i="24"/>
  <c r="FU249" i="24"/>
  <c r="FT249" i="24"/>
  <c r="FS249" i="24"/>
  <c r="FR249" i="24"/>
  <c r="FQ249" i="24"/>
  <c r="FP249" i="24"/>
  <c r="FO249" i="24"/>
  <c r="FN249" i="24"/>
  <c r="FM249" i="24"/>
  <c r="FL249" i="24"/>
  <c r="FK249" i="24"/>
  <c r="FJ249" i="24"/>
  <c r="FI249" i="24"/>
  <c r="FH249" i="24"/>
  <c r="FG249" i="24"/>
  <c r="FF249" i="24"/>
  <c r="FE249" i="24"/>
  <c r="FD249" i="24"/>
  <c r="FC249" i="24"/>
  <c r="FB249" i="24"/>
  <c r="FA249" i="24"/>
  <c r="EZ249" i="24"/>
  <c r="EY249" i="24"/>
  <c r="EX249" i="24"/>
  <c r="EW249" i="24"/>
  <c r="EV249" i="24"/>
  <c r="EU249" i="24"/>
  <c r="ET249" i="24"/>
  <c r="ES249" i="24"/>
  <c r="ER249" i="24"/>
  <c r="EQ249" i="24"/>
  <c r="EP249" i="24"/>
  <c r="EO249" i="24"/>
  <c r="EN249" i="24"/>
  <c r="EM249" i="24"/>
  <c r="EL249" i="24"/>
  <c r="EK249" i="24"/>
  <c r="EJ249" i="24"/>
  <c r="EI249" i="24"/>
  <c r="EH249" i="24"/>
  <c r="EG249" i="24"/>
  <c r="EF249" i="24"/>
  <c r="EE249" i="24"/>
  <c r="ED249" i="24"/>
  <c r="EC249" i="24"/>
  <c r="EB249" i="24"/>
  <c r="EA249" i="24"/>
  <c r="DZ249" i="24"/>
  <c r="DY249" i="24"/>
  <c r="DX249" i="24"/>
  <c r="DW249" i="24"/>
  <c r="DV249" i="24"/>
  <c r="DU249" i="24"/>
  <c r="DT249" i="24"/>
  <c r="DS249" i="24"/>
  <c r="DR249" i="24"/>
  <c r="DQ249" i="24"/>
  <c r="DP249" i="24"/>
  <c r="DO249" i="24"/>
  <c r="DN249" i="24"/>
  <c r="DM249" i="24"/>
  <c r="DL249" i="24"/>
  <c r="DK249" i="24"/>
  <c r="DJ249" i="24"/>
  <c r="DI249" i="24"/>
  <c r="DH249" i="24"/>
  <c r="DG249" i="24"/>
  <c r="DF249" i="24"/>
  <c r="DE249" i="24"/>
  <c r="DD249" i="24"/>
  <c r="DC249" i="24"/>
  <c r="DB249" i="24"/>
  <c r="DA249" i="24"/>
  <c r="CZ249" i="24"/>
  <c r="CY249" i="24"/>
  <c r="CX249" i="24"/>
  <c r="CW249" i="24"/>
  <c r="CV249" i="24"/>
  <c r="CU249" i="24"/>
  <c r="CT249" i="24"/>
  <c r="CS249" i="24"/>
  <c r="CR249" i="24"/>
  <c r="CQ249" i="24"/>
  <c r="CP249" i="24"/>
  <c r="CO249" i="24"/>
  <c r="CN249" i="24"/>
  <c r="CM249" i="24"/>
  <c r="CL249" i="24"/>
  <c r="CK249" i="24"/>
  <c r="CJ249" i="24"/>
  <c r="CI249" i="24"/>
  <c r="CH249" i="24"/>
  <c r="CG249" i="24"/>
  <c r="CF249" i="24"/>
  <c r="CE249" i="24"/>
  <c r="CD249" i="24"/>
  <c r="CC249" i="24"/>
  <c r="CB249" i="24"/>
  <c r="CA249" i="24"/>
  <c r="BZ249" i="24"/>
  <c r="BY249" i="24"/>
  <c r="BX249" i="24"/>
  <c r="BW249" i="24"/>
  <c r="BV249" i="24"/>
  <c r="BU249" i="24"/>
  <c r="BT249" i="24"/>
  <c r="BS249" i="24"/>
  <c r="BR249" i="24"/>
  <c r="BQ249" i="24"/>
  <c r="BP249" i="24"/>
  <c r="BO249" i="24"/>
  <c r="BN249" i="24"/>
  <c r="BM249" i="24"/>
  <c r="BL249" i="24"/>
  <c r="BK249" i="24"/>
  <c r="BJ249" i="24"/>
  <c r="BI249" i="24"/>
  <c r="BH249" i="24"/>
  <c r="BG249" i="24"/>
  <c r="BF249" i="24"/>
  <c r="BE249" i="24"/>
  <c r="BD249" i="24"/>
  <c r="BC249" i="24"/>
  <c r="BB249" i="24"/>
  <c r="BA249" i="24"/>
  <c r="AZ249" i="24"/>
  <c r="AY249" i="24"/>
  <c r="AX249" i="24"/>
  <c r="AW249" i="24"/>
  <c r="AV249" i="24"/>
  <c r="AU249" i="24"/>
  <c r="AT249" i="24"/>
  <c r="AS249" i="24"/>
  <c r="AR249" i="24"/>
  <c r="AQ249" i="24"/>
  <c r="AP249" i="24"/>
  <c r="AO249" i="24"/>
  <c r="AN249" i="24"/>
  <c r="AM249" i="24"/>
  <c r="AL249" i="24"/>
  <c r="AK249" i="24"/>
  <c r="AJ249" i="24"/>
  <c r="AI249" i="24"/>
  <c r="AH249" i="24"/>
  <c r="AG249" i="24"/>
  <c r="AF249" i="24"/>
  <c r="AE249" i="24"/>
  <c r="AD249" i="24"/>
  <c r="AC249" i="24"/>
  <c r="AB249" i="24"/>
  <c r="AA249" i="24"/>
  <c r="Z249" i="24"/>
  <c r="Y249" i="24"/>
  <c r="X249" i="24"/>
  <c r="W249" i="24"/>
  <c r="V249" i="24"/>
  <c r="U249" i="24"/>
  <c r="T249" i="24"/>
  <c r="S249" i="24"/>
  <c r="R249" i="24"/>
  <c r="Q249" i="24"/>
  <c r="P249" i="24"/>
  <c r="O249" i="24"/>
  <c r="N249" i="24"/>
  <c r="M249" i="24"/>
  <c r="L249" i="24"/>
  <c r="K249" i="24"/>
  <c r="J249" i="24"/>
  <c r="I249" i="24"/>
  <c r="H249" i="24"/>
  <c r="G249" i="24"/>
  <c r="F249" i="24"/>
  <c r="E249" i="24"/>
  <c r="D249" i="24"/>
  <c r="C249" i="24"/>
  <c r="B249" i="24"/>
  <c r="GT248" i="24"/>
  <c r="GS248" i="24"/>
  <c r="GR248" i="24"/>
  <c r="GQ248" i="24"/>
  <c r="GP248" i="24"/>
  <c r="GO248" i="24"/>
  <c r="GN248" i="24"/>
  <c r="GM248" i="24"/>
  <c r="GL248" i="24"/>
  <c r="GK248" i="24"/>
  <c r="GJ248" i="24"/>
  <c r="GI248" i="24"/>
  <c r="GH248" i="24"/>
  <c r="GG248" i="24"/>
  <c r="GF248" i="24"/>
  <c r="GE248" i="24"/>
  <c r="GD248" i="24"/>
  <c r="GC248" i="24"/>
  <c r="GB248" i="24"/>
  <c r="GA248" i="24"/>
  <c r="FZ248" i="24"/>
  <c r="FY248" i="24"/>
  <c r="FX248" i="24"/>
  <c r="FW248" i="24"/>
  <c r="FV248" i="24"/>
  <c r="FU248" i="24"/>
  <c r="FT248" i="24"/>
  <c r="FS248" i="24"/>
  <c r="FR248" i="24"/>
  <c r="FQ248" i="24"/>
  <c r="FP248" i="24"/>
  <c r="FO248" i="24"/>
  <c r="FN248" i="24"/>
  <c r="FM248" i="24"/>
  <c r="FL248" i="24"/>
  <c r="FK248" i="24"/>
  <c r="FJ248" i="24"/>
  <c r="FI248" i="24"/>
  <c r="FH248" i="24"/>
  <c r="FG248" i="24"/>
  <c r="FF248" i="24"/>
  <c r="FE248" i="24"/>
  <c r="FD248" i="24"/>
  <c r="FC248" i="24"/>
  <c r="FB248" i="24"/>
  <c r="FA248" i="24"/>
  <c r="EZ248" i="24"/>
  <c r="EY248" i="24"/>
  <c r="EX248" i="24"/>
  <c r="EW248" i="24"/>
  <c r="EV248" i="24"/>
  <c r="EU248" i="24"/>
  <c r="ET248" i="24"/>
  <c r="ES248" i="24"/>
  <c r="ER248" i="24"/>
  <c r="EQ248" i="24"/>
  <c r="EP248" i="24"/>
  <c r="EO248" i="24"/>
  <c r="EN248" i="24"/>
  <c r="EM248" i="24"/>
  <c r="EL248" i="24"/>
  <c r="EK248" i="24"/>
  <c r="EJ248" i="24"/>
  <c r="EI248" i="24"/>
  <c r="EH248" i="24"/>
  <c r="EG248" i="24"/>
  <c r="EF248" i="24"/>
  <c r="EE248" i="24"/>
  <c r="ED248" i="24"/>
  <c r="EC248" i="24"/>
  <c r="EB248" i="24"/>
  <c r="EA248" i="24"/>
  <c r="DZ248" i="24"/>
  <c r="DY248" i="24"/>
  <c r="DX248" i="24"/>
  <c r="DW248" i="24"/>
  <c r="DV248" i="24"/>
  <c r="DU248" i="24"/>
  <c r="DT248" i="24"/>
  <c r="DS248" i="24"/>
  <c r="DR248" i="24"/>
  <c r="DQ248" i="24"/>
  <c r="DP248" i="24"/>
  <c r="DO248" i="24"/>
  <c r="DN248" i="24"/>
  <c r="DM248" i="24"/>
  <c r="DL248" i="24"/>
  <c r="DK248" i="24"/>
  <c r="DJ248" i="24"/>
  <c r="DI248" i="24"/>
  <c r="DH248" i="24"/>
  <c r="DG248" i="24"/>
  <c r="DF248" i="24"/>
  <c r="DE248" i="24"/>
  <c r="DD248" i="24"/>
  <c r="DC248" i="24"/>
  <c r="DB248" i="24"/>
  <c r="DA248" i="24"/>
  <c r="CZ248" i="24"/>
  <c r="CY248" i="24"/>
  <c r="CX248" i="24"/>
  <c r="CW248" i="24"/>
  <c r="CV248" i="24"/>
  <c r="CU248" i="24"/>
  <c r="CT248" i="24"/>
  <c r="CS248" i="24"/>
  <c r="CR248" i="24"/>
  <c r="CQ248" i="24"/>
  <c r="CP248" i="24"/>
  <c r="CO248" i="24"/>
  <c r="CN248" i="24"/>
  <c r="CM248" i="24"/>
  <c r="CL248" i="24"/>
  <c r="CK248" i="24"/>
  <c r="CJ248" i="24"/>
  <c r="CI248" i="24"/>
  <c r="CH248" i="24"/>
  <c r="CG248" i="24"/>
  <c r="CF248" i="24"/>
  <c r="CE248" i="24"/>
  <c r="CD248" i="24"/>
  <c r="CC248" i="24"/>
  <c r="CB248" i="24"/>
  <c r="CA248" i="24"/>
  <c r="BZ248" i="24"/>
  <c r="BY248" i="24"/>
  <c r="BX248" i="24"/>
  <c r="BW248" i="24"/>
  <c r="BV248" i="24"/>
  <c r="BU248" i="24"/>
  <c r="BT248" i="24"/>
  <c r="BS248" i="24"/>
  <c r="BR248" i="24"/>
  <c r="BQ248" i="24"/>
  <c r="BP248" i="24"/>
  <c r="BO248" i="24"/>
  <c r="BN248" i="24"/>
  <c r="BM248" i="24"/>
  <c r="BL248" i="24"/>
  <c r="BK248" i="24"/>
  <c r="BJ248" i="24"/>
  <c r="BI248" i="24"/>
  <c r="BH248" i="24"/>
  <c r="BG248" i="24"/>
  <c r="BF248" i="24"/>
  <c r="BE248" i="24"/>
  <c r="BD248" i="24"/>
  <c r="BC248" i="24"/>
  <c r="BB248" i="24"/>
  <c r="BA248" i="24"/>
  <c r="AZ248" i="24"/>
  <c r="AY248" i="24"/>
  <c r="AX248" i="24"/>
  <c r="AW248" i="24"/>
  <c r="AV248" i="24"/>
  <c r="AU248" i="24"/>
  <c r="AT248" i="24"/>
  <c r="AS248" i="24"/>
  <c r="AR248" i="24"/>
  <c r="AQ248" i="24"/>
  <c r="AP248" i="24"/>
  <c r="AO248" i="24"/>
  <c r="AN248" i="24"/>
  <c r="AM248" i="24"/>
  <c r="AL248" i="24"/>
  <c r="AK248" i="24"/>
  <c r="AJ248" i="24"/>
  <c r="AI248" i="24"/>
  <c r="AH248" i="24"/>
  <c r="AG248" i="24"/>
  <c r="AF248" i="24"/>
  <c r="AE248" i="24"/>
  <c r="AD248" i="24"/>
  <c r="AC248" i="24"/>
  <c r="AB248" i="24"/>
  <c r="AA248" i="24"/>
  <c r="Z248" i="24"/>
  <c r="Y248" i="24"/>
  <c r="X248" i="24"/>
  <c r="W248" i="24"/>
  <c r="V248" i="24"/>
  <c r="U248" i="24"/>
  <c r="T248" i="24"/>
  <c r="S248" i="24"/>
  <c r="R248" i="24"/>
  <c r="Q248" i="24"/>
  <c r="P248" i="24"/>
  <c r="O248" i="24"/>
  <c r="N248" i="24"/>
  <c r="M248" i="24"/>
  <c r="L248" i="24"/>
  <c r="K248" i="24"/>
  <c r="J248" i="24"/>
  <c r="I248" i="24"/>
  <c r="H248" i="24"/>
  <c r="G248" i="24"/>
  <c r="F248" i="24"/>
  <c r="E248" i="24"/>
  <c r="D248" i="24"/>
  <c r="C248" i="24"/>
  <c r="B248" i="24"/>
  <c r="GT247" i="24"/>
  <c r="GS247" i="24"/>
  <c r="GR247" i="24"/>
  <c r="GQ247" i="24"/>
  <c r="GP247" i="24"/>
  <c r="GO247" i="24"/>
  <c r="GN247" i="24"/>
  <c r="GM247" i="24"/>
  <c r="GL247" i="24"/>
  <c r="GK247" i="24"/>
  <c r="GJ247" i="24"/>
  <c r="GI247" i="24"/>
  <c r="GH247" i="24"/>
  <c r="GG247" i="24"/>
  <c r="GF247" i="24"/>
  <c r="GE247" i="24"/>
  <c r="GD247" i="24"/>
  <c r="GC247" i="24"/>
  <c r="GB247" i="24"/>
  <c r="GA247" i="24"/>
  <c r="FZ247" i="24"/>
  <c r="FY247" i="24"/>
  <c r="FX247" i="24"/>
  <c r="FW247" i="24"/>
  <c r="FV247" i="24"/>
  <c r="FU247" i="24"/>
  <c r="FT247" i="24"/>
  <c r="FS247" i="24"/>
  <c r="FR247" i="24"/>
  <c r="FQ247" i="24"/>
  <c r="FP247" i="24"/>
  <c r="FO247" i="24"/>
  <c r="FN247" i="24"/>
  <c r="FM247" i="24"/>
  <c r="FL247" i="24"/>
  <c r="FK247" i="24"/>
  <c r="FJ247" i="24"/>
  <c r="FI247" i="24"/>
  <c r="FH247" i="24"/>
  <c r="FG247" i="24"/>
  <c r="FF247" i="24"/>
  <c r="FE247" i="24"/>
  <c r="FD247" i="24"/>
  <c r="FC247" i="24"/>
  <c r="FB247" i="24"/>
  <c r="FA247" i="24"/>
  <c r="EZ247" i="24"/>
  <c r="EY247" i="24"/>
  <c r="EX247" i="24"/>
  <c r="EW247" i="24"/>
  <c r="EV247" i="24"/>
  <c r="EU247" i="24"/>
  <c r="ET247" i="24"/>
  <c r="ES247" i="24"/>
  <c r="ER247" i="24"/>
  <c r="EQ247" i="24"/>
  <c r="EP247" i="24"/>
  <c r="EO247" i="24"/>
  <c r="EN247" i="24"/>
  <c r="EM247" i="24"/>
  <c r="EL247" i="24"/>
  <c r="EK247" i="24"/>
  <c r="EJ247" i="24"/>
  <c r="EI247" i="24"/>
  <c r="EH247" i="24"/>
  <c r="EG247" i="24"/>
  <c r="EF247" i="24"/>
  <c r="EE247" i="24"/>
  <c r="ED247" i="24"/>
  <c r="EC247" i="24"/>
  <c r="EB247" i="24"/>
  <c r="EA247" i="24"/>
  <c r="DZ247" i="24"/>
  <c r="DY247" i="24"/>
  <c r="DX247" i="24"/>
  <c r="DW247" i="24"/>
  <c r="DV247" i="24"/>
  <c r="DU247" i="24"/>
  <c r="DT247" i="24"/>
  <c r="DS247" i="24"/>
  <c r="DR247" i="24"/>
  <c r="DQ247" i="24"/>
  <c r="DP247" i="24"/>
  <c r="DO247" i="24"/>
  <c r="DN247" i="24"/>
  <c r="DM247" i="24"/>
  <c r="DL247" i="24"/>
  <c r="DK247" i="24"/>
  <c r="DJ247" i="24"/>
  <c r="DI247" i="24"/>
  <c r="DH247" i="24"/>
  <c r="DG247" i="24"/>
  <c r="DF247" i="24"/>
  <c r="DE247" i="24"/>
  <c r="DD247" i="24"/>
  <c r="DC247" i="24"/>
  <c r="DB247" i="24"/>
  <c r="DA247" i="24"/>
  <c r="CZ247" i="24"/>
  <c r="CY247" i="24"/>
  <c r="CX247" i="24"/>
  <c r="CW247" i="24"/>
  <c r="CV247" i="24"/>
  <c r="CU247" i="24"/>
  <c r="CT247" i="24"/>
  <c r="CS247" i="24"/>
  <c r="CR247" i="24"/>
  <c r="CQ247" i="24"/>
  <c r="CP247" i="24"/>
  <c r="CO247" i="24"/>
  <c r="CN247" i="24"/>
  <c r="CM247" i="24"/>
  <c r="CL247" i="24"/>
  <c r="CK247" i="24"/>
  <c r="CJ247" i="24"/>
  <c r="CI247" i="24"/>
  <c r="CH247" i="24"/>
  <c r="CG247" i="24"/>
  <c r="CF247" i="24"/>
  <c r="CE247" i="24"/>
  <c r="CD247" i="24"/>
  <c r="CC247" i="24"/>
  <c r="CB247" i="24"/>
  <c r="CA247" i="24"/>
  <c r="BZ247" i="24"/>
  <c r="BY247" i="24"/>
  <c r="BX247" i="24"/>
  <c r="BW247" i="24"/>
  <c r="BV247" i="24"/>
  <c r="BU247" i="24"/>
  <c r="BT247" i="24"/>
  <c r="BS247" i="24"/>
  <c r="BR247" i="24"/>
  <c r="BQ247" i="24"/>
  <c r="BP247" i="24"/>
  <c r="BO247" i="24"/>
  <c r="BN247" i="24"/>
  <c r="BM247" i="24"/>
  <c r="BL247" i="24"/>
  <c r="BK247" i="24"/>
  <c r="BJ247" i="24"/>
  <c r="BI247" i="24"/>
  <c r="BH247" i="24"/>
  <c r="BG247" i="24"/>
  <c r="BF247" i="24"/>
  <c r="BE247" i="24"/>
  <c r="BD247" i="24"/>
  <c r="BC247" i="24"/>
  <c r="BB247" i="24"/>
  <c r="BA247" i="24"/>
  <c r="AZ247" i="24"/>
  <c r="AY247" i="24"/>
  <c r="AX247" i="24"/>
  <c r="AW247" i="24"/>
  <c r="AV247" i="24"/>
  <c r="AU247" i="24"/>
  <c r="AT247" i="24"/>
  <c r="AS247" i="24"/>
  <c r="AR247" i="24"/>
  <c r="AQ247" i="24"/>
  <c r="AP247" i="24"/>
  <c r="AO247" i="24"/>
  <c r="AN247" i="24"/>
  <c r="AM247" i="24"/>
  <c r="AL247" i="24"/>
  <c r="AK247" i="24"/>
  <c r="AJ247" i="24"/>
  <c r="AI247" i="24"/>
  <c r="AH247" i="24"/>
  <c r="AG247" i="24"/>
  <c r="AF247" i="24"/>
  <c r="AE247" i="24"/>
  <c r="AD247" i="24"/>
  <c r="AC247" i="24"/>
  <c r="AB247" i="24"/>
  <c r="AA247" i="24"/>
  <c r="Z247" i="24"/>
  <c r="Y247" i="24"/>
  <c r="X247" i="24"/>
  <c r="W247" i="24"/>
  <c r="V247" i="24"/>
  <c r="U247" i="24"/>
  <c r="T247" i="24"/>
  <c r="S247" i="24"/>
  <c r="R247" i="24"/>
  <c r="Q247" i="24"/>
  <c r="P247" i="24"/>
  <c r="O247" i="24"/>
  <c r="N247" i="24"/>
  <c r="M247" i="24"/>
  <c r="L247" i="24"/>
  <c r="K247" i="24"/>
  <c r="J247" i="24"/>
  <c r="I247" i="24"/>
  <c r="H247" i="24"/>
  <c r="G247" i="24"/>
  <c r="F247" i="24"/>
  <c r="E247" i="24"/>
  <c r="D247" i="24"/>
  <c r="C247" i="24"/>
  <c r="B247" i="24"/>
  <c r="GT246" i="24"/>
  <c r="GS246" i="24"/>
  <c r="GR246" i="24"/>
  <c r="GQ246" i="24"/>
  <c r="GP246" i="24"/>
  <c r="GO246" i="24"/>
  <c r="GN246" i="24"/>
  <c r="GM246" i="24"/>
  <c r="GL246" i="24"/>
  <c r="GK246" i="24"/>
  <c r="GJ246" i="24"/>
  <c r="GI246" i="24"/>
  <c r="GH246" i="24"/>
  <c r="GG246" i="24"/>
  <c r="GF246" i="24"/>
  <c r="GE246" i="24"/>
  <c r="GD246" i="24"/>
  <c r="GC246" i="24"/>
  <c r="GB246" i="24"/>
  <c r="GA246" i="24"/>
  <c r="FZ246" i="24"/>
  <c r="FY246" i="24"/>
  <c r="FX246" i="24"/>
  <c r="FW246" i="24"/>
  <c r="FV246" i="24"/>
  <c r="FU246" i="24"/>
  <c r="FT246" i="24"/>
  <c r="FS246" i="24"/>
  <c r="FR246" i="24"/>
  <c r="FQ246" i="24"/>
  <c r="FP246" i="24"/>
  <c r="FO246" i="24"/>
  <c r="FN246" i="24"/>
  <c r="FM246" i="24"/>
  <c r="FL246" i="24"/>
  <c r="FK246" i="24"/>
  <c r="FJ246" i="24"/>
  <c r="FI246" i="24"/>
  <c r="FH246" i="24"/>
  <c r="FG246" i="24"/>
  <c r="FF246" i="24"/>
  <c r="FE246" i="24"/>
  <c r="FD246" i="24"/>
  <c r="FC246" i="24"/>
  <c r="FB246" i="24"/>
  <c r="FA246" i="24"/>
  <c r="EZ246" i="24"/>
  <c r="EY246" i="24"/>
  <c r="EX246" i="24"/>
  <c r="EW246" i="24"/>
  <c r="EV246" i="24"/>
  <c r="EU246" i="24"/>
  <c r="ET246" i="24"/>
  <c r="ES246" i="24"/>
  <c r="ER246" i="24"/>
  <c r="EQ246" i="24"/>
  <c r="EP246" i="24"/>
  <c r="EO246" i="24"/>
  <c r="EN246" i="24"/>
  <c r="EM246" i="24"/>
  <c r="EL246" i="24"/>
  <c r="EK246" i="24"/>
  <c r="EJ246" i="24"/>
  <c r="EI246" i="24"/>
  <c r="EH246" i="24"/>
  <c r="EG246" i="24"/>
  <c r="EF246" i="24"/>
  <c r="EE246" i="24"/>
  <c r="ED246" i="24"/>
  <c r="EC246" i="24"/>
  <c r="EB246" i="24"/>
  <c r="EA246" i="24"/>
  <c r="DZ246" i="24"/>
  <c r="DY246" i="24"/>
  <c r="DX246" i="24"/>
  <c r="DW246" i="24"/>
  <c r="DV246" i="24"/>
  <c r="DU246" i="24"/>
  <c r="DT246" i="24"/>
  <c r="DS246" i="24"/>
  <c r="DR246" i="24"/>
  <c r="DQ246" i="24"/>
  <c r="DP246" i="24"/>
  <c r="DO246" i="24"/>
  <c r="DN246" i="24"/>
  <c r="DM246" i="24"/>
  <c r="DL246" i="24"/>
  <c r="DK246" i="24"/>
  <c r="DJ246" i="24"/>
  <c r="DI246" i="24"/>
  <c r="DH246" i="24"/>
  <c r="DG246" i="24"/>
  <c r="DF246" i="24"/>
  <c r="DE246" i="24"/>
  <c r="DD246" i="24"/>
  <c r="DC246" i="24"/>
  <c r="DB246" i="24"/>
  <c r="DA246" i="24"/>
  <c r="CZ246" i="24"/>
  <c r="CY246" i="24"/>
  <c r="CX246" i="24"/>
  <c r="CW246" i="24"/>
  <c r="CV246" i="24"/>
  <c r="CU246" i="24"/>
  <c r="CT246" i="24"/>
  <c r="CS246" i="24"/>
  <c r="CR246" i="24"/>
  <c r="CQ246" i="24"/>
  <c r="CP246" i="24"/>
  <c r="CO246" i="24"/>
  <c r="CN246" i="24"/>
  <c r="CM246" i="24"/>
  <c r="CL246" i="24"/>
  <c r="CK246" i="24"/>
  <c r="CJ246" i="24"/>
  <c r="CI246" i="24"/>
  <c r="CH246" i="24"/>
  <c r="CG246" i="24"/>
  <c r="CF246" i="24"/>
  <c r="CE246" i="24"/>
  <c r="CD246" i="24"/>
  <c r="CC246" i="24"/>
  <c r="CB246" i="24"/>
  <c r="CA246" i="24"/>
  <c r="BZ246" i="24"/>
  <c r="BY246" i="24"/>
  <c r="BX246" i="24"/>
  <c r="BW246" i="24"/>
  <c r="BV246" i="24"/>
  <c r="BU246" i="24"/>
  <c r="BT246" i="24"/>
  <c r="BS246" i="24"/>
  <c r="BR246" i="24"/>
  <c r="BQ246" i="24"/>
  <c r="BP246" i="24"/>
  <c r="BO246" i="24"/>
  <c r="BN246" i="24"/>
  <c r="BM246" i="24"/>
  <c r="BL246" i="24"/>
  <c r="BK246" i="24"/>
  <c r="BJ246" i="24"/>
  <c r="BI246" i="24"/>
  <c r="BH246" i="24"/>
  <c r="BG246" i="24"/>
  <c r="BF246" i="24"/>
  <c r="BE246" i="24"/>
  <c r="BD246" i="24"/>
  <c r="BC246" i="24"/>
  <c r="BB246" i="24"/>
  <c r="BA246" i="24"/>
  <c r="AZ246" i="24"/>
  <c r="AY246" i="24"/>
  <c r="AX246" i="24"/>
  <c r="AW246" i="24"/>
  <c r="AV246" i="24"/>
  <c r="AU246" i="24"/>
  <c r="AT246" i="24"/>
  <c r="AS246" i="24"/>
  <c r="AR246" i="24"/>
  <c r="AQ246" i="24"/>
  <c r="AP246" i="24"/>
  <c r="AO246" i="24"/>
  <c r="AN246" i="24"/>
  <c r="AM246" i="24"/>
  <c r="AL246" i="24"/>
  <c r="AK246" i="24"/>
  <c r="AJ246" i="24"/>
  <c r="AI246" i="24"/>
  <c r="AH246" i="24"/>
  <c r="AG246" i="24"/>
  <c r="AF246" i="24"/>
  <c r="AE246" i="24"/>
  <c r="AD246" i="24"/>
  <c r="AC246" i="24"/>
  <c r="AB246" i="24"/>
  <c r="AA246" i="24"/>
  <c r="Z246" i="24"/>
  <c r="Y246" i="24"/>
  <c r="X246" i="24"/>
  <c r="W246" i="24"/>
  <c r="V246" i="24"/>
  <c r="U246" i="24"/>
  <c r="T246" i="24"/>
  <c r="S246" i="24"/>
  <c r="R246" i="24"/>
  <c r="Q246" i="24"/>
  <c r="P246" i="24"/>
  <c r="O246" i="24"/>
  <c r="N246" i="24"/>
  <c r="M246" i="24"/>
  <c r="L246" i="24"/>
  <c r="K246" i="24"/>
  <c r="J246" i="24"/>
  <c r="I246" i="24"/>
  <c r="H246" i="24"/>
  <c r="G246" i="24"/>
  <c r="F246" i="24"/>
  <c r="E246" i="24"/>
  <c r="D246" i="24"/>
  <c r="C246" i="24"/>
  <c r="B246" i="24"/>
  <c r="GT245" i="24"/>
  <c r="GS245" i="24"/>
  <c r="GR245" i="24"/>
  <c r="GQ245" i="24"/>
  <c r="GP245" i="24"/>
  <c r="GO245" i="24"/>
  <c r="GN245" i="24"/>
  <c r="GM245" i="24"/>
  <c r="GL245" i="24"/>
  <c r="GK245" i="24"/>
  <c r="GJ245" i="24"/>
  <c r="GI245" i="24"/>
  <c r="GH245" i="24"/>
  <c r="GG245" i="24"/>
  <c r="GF245" i="24"/>
  <c r="GE245" i="24"/>
  <c r="GD245" i="24"/>
  <c r="GC245" i="24"/>
  <c r="GB245" i="24"/>
  <c r="GA245" i="24"/>
  <c r="FZ245" i="24"/>
  <c r="FY245" i="24"/>
  <c r="FX245" i="24"/>
  <c r="FW245" i="24"/>
  <c r="FV245" i="24"/>
  <c r="FU245" i="24"/>
  <c r="FT245" i="24"/>
  <c r="FS245" i="24"/>
  <c r="FR245" i="24"/>
  <c r="FQ245" i="24"/>
  <c r="FP245" i="24"/>
  <c r="FO245" i="24"/>
  <c r="FN245" i="24"/>
  <c r="FM245" i="24"/>
  <c r="FL245" i="24"/>
  <c r="FK245" i="24"/>
  <c r="FJ245" i="24"/>
  <c r="FI245" i="24"/>
  <c r="FH245" i="24"/>
  <c r="FG245" i="24"/>
  <c r="FF245" i="24"/>
  <c r="FE245" i="24"/>
  <c r="FD245" i="24"/>
  <c r="FC245" i="24"/>
  <c r="FB245" i="24"/>
  <c r="FA245" i="24"/>
  <c r="EZ245" i="24"/>
  <c r="EY245" i="24"/>
  <c r="EX245" i="24"/>
  <c r="EW245" i="24"/>
  <c r="EV245" i="24"/>
  <c r="EU245" i="24"/>
  <c r="ET245" i="24"/>
  <c r="ES245" i="24"/>
  <c r="ER245" i="24"/>
  <c r="EQ245" i="24"/>
  <c r="EP245" i="24"/>
  <c r="EO245" i="24"/>
  <c r="EN245" i="24"/>
  <c r="EM245" i="24"/>
  <c r="EL245" i="24"/>
  <c r="EK245" i="24"/>
  <c r="EJ245" i="24"/>
  <c r="EI245" i="24"/>
  <c r="EH245" i="24"/>
  <c r="EG245" i="24"/>
  <c r="EF245" i="24"/>
  <c r="EE245" i="24"/>
  <c r="ED245" i="24"/>
  <c r="EC245" i="24"/>
  <c r="EB245" i="24"/>
  <c r="EA245" i="24"/>
  <c r="DZ245" i="24"/>
  <c r="DY245" i="24"/>
  <c r="DX245" i="24"/>
  <c r="DW245" i="24"/>
  <c r="DV245" i="24"/>
  <c r="DU245" i="24"/>
  <c r="DT245" i="24"/>
  <c r="DS245" i="24"/>
  <c r="DR245" i="24"/>
  <c r="DQ245" i="24"/>
  <c r="DP245" i="24"/>
  <c r="DO245" i="24"/>
  <c r="DN245" i="24"/>
  <c r="DM245" i="24"/>
  <c r="DL245" i="24"/>
  <c r="DK245" i="24"/>
  <c r="DJ245" i="24"/>
  <c r="DI245" i="24"/>
  <c r="DH245" i="24"/>
  <c r="DG245" i="24"/>
  <c r="DF245" i="24"/>
  <c r="DE245" i="24"/>
  <c r="DD245" i="24"/>
  <c r="DC245" i="24"/>
  <c r="DB245" i="24"/>
  <c r="DA245" i="24"/>
  <c r="CZ245" i="24"/>
  <c r="CY245" i="24"/>
  <c r="CX245" i="24"/>
  <c r="CW245" i="24"/>
  <c r="CV245" i="24"/>
  <c r="CU245" i="24"/>
  <c r="CT245" i="24"/>
  <c r="CS245" i="24"/>
  <c r="CR245" i="24"/>
  <c r="CQ245" i="24"/>
  <c r="CP245" i="24"/>
  <c r="CO245" i="24"/>
  <c r="CN245" i="24"/>
  <c r="CM245" i="24"/>
  <c r="CL245" i="24"/>
  <c r="CK245" i="24"/>
  <c r="CJ245" i="24"/>
  <c r="CI245" i="24"/>
  <c r="CH245" i="24"/>
  <c r="CG245" i="24"/>
  <c r="CF245" i="24"/>
  <c r="CE245" i="24"/>
  <c r="CD245" i="24"/>
  <c r="CC245" i="24"/>
  <c r="CB245" i="24"/>
  <c r="CA245" i="24"/>
  <c r="BZ245" i="24"/>
  <c r="BY245" i="24"/>
  <c r="BX245" i="24"/>
  <c r="BW245" i="24"/>
  <c r="BV245" i="24"/>
  <c r="BU245" i="24"/>
  <c r="BT245" i="24"/>
  <c r="BS245" i="24"/>
  <c r="BR245" i="24"/>
  <c r="BQ245" i="24"/>
  <c r="BP245" i="24"/>
  <c r="BO245" i="24"/>
  <c r="BN245" i="24"/>
  <c r="BM245" i="24"/>
  <c r="BL245" i="24"/>
  <c r="BK245" i="24"/>
  <c r="BJ245" i="24"/>
  <c r="BI245" i="24"/>
  <c r="BH245" i="24"/>
  <c r="BG245" i="24"/>
  <c r="BF245" i="24"/>
  <c r="BE245" i="24"/>
  <c r="BD245" i="24"/>
  <c r="BC245" i="24"/>
  <c r="BB245" i="24"/>
  <c r="BA245" i="24"/>
  <c r="AZ245" i="24"/>
  <c r="AY245" i="24"/>
  <c r="AX245" i="24"/>
  <c r="AW245" i="24"/>
  <c r="AV245" i="24"/>
  <c r="AU245" i="24"/>
  <c r="AT245" i="24"/>
  <c r="AS245" i="24"/>
  <c r="AR245" i="24"/>
  <c r="AQ245" i="24"/>
  <c r="AP245" i="24"/>
  <c r="AO245" i="24"/>
  <c r="AN245" i="24"/>
  <c r="AM245" i="24"/>
  <c r="AL245" i="24"/>
  <c r="AK245" i="24"/>
  <c r="AJ245" i="24"/>
  <c r="AI245" i="24"/>
  <c r="AH245" i="24"/>
  <c r="AG245" i="24"/>
  <c r="AF245" i="24"/>
  <c r="AE245" i="24"/>
  <c r="AD245" i="24"/>
  <c r="AC245" i="24"/>
  <c r="AB245" i="24"/>
  <c r="AA245" i="24"/>
  <c r="Z245" i="24"/>
  <c r="Y245" i="24"/>
  <c r="X245" i="24"/>
  <c r="W245" i="24"/>
  <c r="V245" i="24"/>
  <c r="U245" i="24"/>
  <c r="T245" i="24"/>
  <c r="S245" i="24"/>
  <c r="R245" i="24"/>
  <c r="Q245" i="24"/>
  <c r="P245" i="24"/>
  <c r="O245" i="24"/>
  <c r="N245" i="24"/>
  <c r="M245" i="24"/>
  <c r="L245" i="24"/>
  <c r="K245" i="24"/>
  <c r="J245" i="24"/>
  <c r="I245" i="24"/>
  <c r="H245" i="24"/>
  <c r="G245" i="24"/>
  <c r="F245" i="24"/>
  <c r="E245" i="24"/>
  <c r="D245" i="24"/>
  <c r="C245" i="24"/>
  <c r="B245" i="24"/>
  <c r="GT244" i="24"/>
  <c r="GS244" i="24"/>
  <c r="GR244" i="24"/>
  <c r="GQ244" i="24"/>
  <c r="GP244" i="24"/>
  <c r="GO244" i="24"/>
  <c r="GN244" i="24"/>
  <c r="GM244" i="24"/>
  <c r="GL244" i="24"/>
  <c r="GK244" i="24"/>
  <c r="GJ244" i="24"/>
  <c r="GI244" i="24"/>
  <c r="GH244" i="24"/>
  <c r="GG244" i="24"/>
  <c r="GF244" i="24"/>
  <c r="GE244" i="24"/>
  <c r="GD244" i="24"/>
  <c r="GC244" i="24"/>
  <c r="GB244" i="24"/>
  <c r="GA244" i="24"/>
  <c r="FZ244" i="24"/>
  <c r="FY244" i="24"/>
  <c r="FX244" i="24"/>
  <c r="FW244" i="24"/>
  <c r="FV244" i="24"/>
  <c r="FU244" i="24"/>
  <c r="FT244" i="24"/>
  <c r="FS244" i="24"/>
  <c r="FR244" i="24"/>
  <c r="FQ244" i="24"/>
  <c r="FP244" i="24"/>
  <c r="FO244" i="24"/>
  <c r="FN244" i="24"/>
  <c r="FM244" i="24"/>
  <c r="FL244" i="24"/>
  <c r="FK244" i="24"/>
  <c r="FJ244" i="24"/>
  <c r="FI244" i="24"/>
  <c r="FH244" i="24"/>
  <c r="FG244" i="24"/>
  <c r="FF244" i="24"/>
  <c r="FE244" i="24"/>
  <c r="FD244" i="24"/>
  <c r="FC244" i="24"/>
  <c r="FB244" i="24"/>
  <c r="FA244" i="24"/>
  <c r="EZ244" i="24"/>
  <c r="EY244" i="24"/>
  <c r="EX244" i="24"/>
  <c r="EW244" i="24"/>
  <c r="EV244" i="24"/>
  <c r="EU244" i="24"/>
  <c r="ET244" i="24"/>
  <c r="ES244" i="24"/>
  <c r="ER244" i="24"/>
  <c r="EQ244" i="24"/>
  <c r="EP244" i="24"/>
  <c r="EO244" i="24"/>
  <c r="EN244" i="24"/>
  <c r="EM244" i="24"/>
  <c r="EL244" i="24"/>
  <c r="EK244" i="24"/>
  <c r="EJ244" i="24"/>
  <c r="EI244" i="24"/>
  <c r="EH244" i="24"/>
  <c r="EG244" i="24"/>
  <c r="EF244" i="24"/>
  <c r="EE244" i="24"/>
  <c r="ED244" i="24"/>
  <c r="EC244" i="24"/>
  <c r="EB244" i="24"/>
  <c r="EA244" i="24"/>
  <c r="DZ244" i="24"/>
  <c r="DY244" i="24"/>
  <c r="DX244" i="24"/>
  <c r="DW244" i="24"/>
  <c r="DV244" i="24"/>
  <c r="DU244" i="24"/>
  <c r="DT244" i="24"/>
  <c r="DS244" i="24"/>
  <c r="DR244" i="24"/>
  <c r="DQ244" i="24"/>
  <c r="DP244" i="24"/>
  <c r="DO244" i="24"/>
  <c r="DN244" i="24"/>
  <c r="DM244" i="24"/>
  <c r="DL244" i="24"/>
  <c r="DK244" i="24"/>
  <c r="DJ244" i="24"/>
  <c r="DI244" i="24"/>
  <c r="DH244" i="24"/>
  <c r="DG244" i="24"/>
  <c r="DF244" i="24"/>
  <c r="DE244" i="24"/>
  <c r="DD244" i="24"/>
  <c r="DC244" i="24"/>
  <c r="DB244" i="24"/>
  <c r="DA244" i="24"/>
  <c r="CZ244" i="24"/>
  <c r="CY244" i="24"/>
  <c r="CX244" i="24"/>
  <c r="CW244" i="24"/>
  <c r="CV244" i="24"/>
  <c r="CU244" i="24"/>
  <c r="CT244" i="24"/>
  <c r="CS244" i="24"/>
  <c r="CR244" i="24"/>
  <c r="CQ244" i="24"/>
  <c r="CP244" i="24"/>
  <c r="CO244" i="24"/>
  <c r="CN244" i="24"/>
  <c r="CM244" i="24"/>
  <c r="CL244" i="24"/>
  <c r="CK244" i="24"/>
  <c r="CJ244" i="24"/>
  <c r="CI244" i="24"/>
  <c r="CH244" i="24"/>
  <c r="CG244" i="24"/>
  <c r="CF244" i="24"/>
  <c r="CE244" i="24"/>
  <c r="CD244" i="24"/>
  <c r="CC244" i="24"/>
  <c r="CB244" i="24"/>
  <c r="CA244" i="24"/>
  <c r="BZ244" i="24"/>
  <c r="BY244" i="24"/>
  <c r="BX244" i="24"/>
  <c r="BW244" i="24"/>
  <c r="BV244" i="24"/>
  <c r="BU244" i="24"/>
  <c r="BT244" i="24"/>
  <c r="BS244" i="24"/>
  <c r="BR244" i="24"/>
  <c r="BQ244" i="24"/>
  <c r="BP244" i="24"/>
  <c r="BO244" i="24"/>
  <c r="BN244" i="24"/>
  <c r="BM244" i="24"/>
  <c r="BL244" i="24"/>
  <c r="BK244" i="24"/>
  <c r="BJ244" i="24"/>
  <c r="BI244" i="24"/>
  <c r="BH244" i="24"/>
  <c r="BG244" i="24"/>
  <c r="BF244" i="24"/>
  <c r="BE244" i="24"/>
  <c r="BD244" i="24"/>
  <c r="BC244" i="24"/>
  <c r="BB244" i="24"/>
  <c r="BA244" i="24"/>
  <c r="AZ244" i="24"/>
  <c r="AY244" i="24"/>
  <c r="AX244" i="24"/>
  <c r="AW244" i="24"/>
  <c r="AV244" i="24"/>
  <c r="AU244" i="24"/>
  <c r="AT244" i="24"/>
  <c r="AS244" i="24"/>
  <c r="AR244" i="24"/>
  <c r="AQ244" i="24"/>
  <c r="AP244" i="24"/>
  <c r="AO244" i="24"/>
  <c r="AN244" i="24"/>
  <c r="AM244" i="24"/>
  <c r="AL244" i="24"/>
  <c r="AK244" i="24"/>
  <c r="AJ244" i="24"/>
  <c r="AI244" i="24"/>
  <c r="AH244" i="24"/>
  <c r="AG244" i="24"/>
  <c r="AF244" i="24"/>
  <c r="AE244" i="24"/>
  <c r="AD244" i="24"/>
  <c r="AC244" i="24"/>
  <c r="AB244" i="24"/>
  <c r="AA244" i="24"/>
  <c r="Z244" i="24"/>
  <c r="Y244" i="24"/>
  <c r="X244" i="24"/>
  <c r="W244" i="24"/>
  <c r="V244" i="24"/>
  <c r="U244" i="24"/>
  <c r="T244" i="24"/>
  <c r="S244" i="24"/>
  <c r="R244" i="24"/>
  <c r="Q244" i="24"/>
  <c r="P244" i="24"/>
  <c r="O244" i="24"/>
  <c r="N244" i="24"/>
  <c r="M244" i="24"/>
  <c r="L244" i="24"/>
  <c r="K244" i="24"/>
  <c r="J244" i="24"/>
  <c r="I244" i="24"/>
  <c r="H244" i="24"/>
  <c r="G244" i="24"/>
  <c r="E244" i="24"/>
  <c r="D244" i="24"/>
  <c r="C244" i="24"/>
  <c r="B244" i="24"/>
  <c r="GT243" i="24"/>
  <c r="GS243" i="24"/>
  <c r="GR243" i="24"/>
  <c r="GQ243" i="24"/>
  <c r="GP243" i="24"/>
  <c r="GO243" i="24"/>
  <c r="GN243" i="24"/>
  <c r="GM243" i="24"/>
  <c r="GL243" i="24"/>
  <c r="GK243" i="24"/>
  <c r="GJ243" i="24"/>
  <c r="GI243" i="24"/>
  <c r="GH243" i="24"/>
  <c r="GG243" i="24"/>
  <c r="GF243" i="24"/>
  <c r="GE243" i="24"/>
  <c r="GD243" i="24"/>
  <c r="GC243" i="24"/>
  <c r="GB243" i="24"/>
  <c r="GA243" i="24"/>
  <c r="FZ243" i="24"/>
  <c r="FY243" i="24"/>
  <c r="FX243" i="24"/>
  <c r="FW243" i="24"/>
  <c r="FV243" i="24"/>
  <c r="FU243" i="24"/>
  <c r="FT243" i="24"/>
  <c r="FS243" i="24"/>
  <c r="FR243" i="24"/>
  <c r="FQ243" i="24"/>
  <c r="FP243" i="24"/>
  <c r="FO243" i="24"/>
  <c r="FN243" i="24"/>
  <c r="FM243" i="24"/>
  <c r="FL243" i="24"/>
  <c r="FK243" i="24"/>
  <c r="FJ243" i="24"/>
  <c r="FI243" i="24"/>
  <c r="FH243" i="24"/>
  <c r="FG243" i="24"/>
  <c r="FF243" i="24"/>
  <c r="FE243" i="24"/>
  <c r="FD243" i="24"/>
  <c r="FC243" i="24"/>
  <c r="FB243" i="24"/>
  <c r="FA243" i="24"/>
  <c r="EZ243" i="24"/>
  <c r="EY243" i="24"/>
  <c r="EX243" i="24"/>
  <c r="EW243" i="24"/>
  <c r="EV243" i="24"/>
  <c r="EU243" i="24"/>
  <c r="ET243" i="24"/>
  <c r="ES243" i="24"/>
  <c r="ER243" i="24"/>
  <c r="EQ243" i="24"/>
  <c r="EP243" i="24"/>
  <c r="EO243" i="24"/>
  <c r="EN243" i="24"/>
  <c r="EM243" i="24"/>
  <c r="EL243" i="24"/>
  <c r="EK243" i="24"/>
  <c r="EJ243" i="24"/>
  <c r="EI243" i="24"/>
  <c r="EH243" i="24"/>
  <c r="EG243" i="24"/>
  <c r="EF243" i="24"/>
  <c r="EE243" i="24"/>
  <c r="ED243" i="24"/>
  <c r="EC243" i="24"/>
  <c r="EB243" i="24"/>
  <c r="EA243" i="24"/>
  <c r="DZ243" i="24"/>
  <c r="DY243" i="24"/>
  <c r="DX243" i="24"/>
  <c r="DW243" i="24"/>
  <c r="DV243" i="24"/>
  <c r="DU243" i="24"/>
  <c r="DT243" i="24"/>
  <c r="DS243" i="24"/>
  <c r="DR243" i="24"/>
  <c r="DQ243" i="24"/>
  <c r="DP243" i="24"/>
  <c r="DO243" i="24"/>
  <c r="DN243" i="24"/>
  <c r="DM243" i="24"/>
  <c r="DL243" i="24"/>
  <c r="DK243" i="24"/>
  <c r="DJ243" i="24"/>
  <c r="DI243" i="24"/>
  <c r="DH243" i="24"/>
  <c r="DG243" i="24"/>
  <c r="DF243" i="24"/>
  <c r="DE243" i="24"/>
  <c r="DD243" i="24"/>
  <c r="DC243" i="24"/>
  <c r="DB243" i="24"/>
  <c r="DA243" i="24"/>
  <c r="CZ243" i="24"/>
  <c r="CY243" i="24"/>
  <c r="CX243" i="24"/>
  <c r="CW243" i="24"/>
  <c r="CV243" i="24"/>
  <c r="CU243" i="24"/>
  <c r="CT243" i="24"/>
  <c r="CS243" i="24"/>
  <c r="CR243" i="24"/>
  <c r="CQ243" i="24"/>
  <c r="CP243" i="24"/>
  <c r="CO243" i="24"/>
  <c r="CN243" i="24"/>
  <c r="CM243" i="24"/>
  <c r="CL243" i="24"/>
  <c r="CK243" i="24"/>
  <c r="CJ243" i="24"/>
  <c r="CI243" i="24"/>
  <c r="CH243" i="24"/>
  <c r="CG243" i="24"/>
  <c r="CF243" i="24"/>
  <c r="CE243" i="24"/>
  <c r="CD243" i="24"/>
  <c r="CC243" i="24"/>
  <c r="CB243" i="24"/>
  <c r="CA243" i="24"/>
  <c r="BZ243" i="24"/>
  <c r="BY243" i="24"/>
  <c r="BX243" i="24"/>
  <c r="BW243" i="24"/>
  <c r="BV243" i="24"/>
  <c r="BU243" i="24"/>
  <c r="BT243" i="24"/>
  <c r="BS243" i="24"/>
  <c r="BR243" i="24"/>
  <c r="BQ243" i="24"/>
  <c r="BP243" i="24"/>
  <c r="BO243" i="24"/>
  <c r="BN243" i="24"/>
  <c r="BM243" i="24"/>
  <c r="BL243" i="24"/>
  <c r="BK243" i="24"/>
  <c r="BJ243" i="24"/>
  <c r="BI243" i="24"/>
  <c r="BH243" i="24"/>
  <c r="BG243" i="24"/>
  <c r="BF243" i="24"/>
  <c r="BE243" i="24"/>
  <c r="BD243" i="24"/>
  <c r="BC243" i="24"/>
  <c r="BB243" i="24"/>
  <c r="BA243" i="24"/>
  <c r="AZ243" i="24"/>
  <c r="AY243" i="24"/>
  <c r="AX243" i="24"/>
  <c r="AW243" i="24"/>
  <c r="AV243" i="24"/>
  <c r="AU243" i="24"/>
  <c r="AT243" i="24"/>
  <c r="AS243" i="24"/>
  <c r="AR243" i="24"/>
  <c r="AQ243" i="24"/>
  <c r="AP243" i="24"/>
  <c r="AO243" i="24"/>
  <c r="AN243" i="24"/>
  <c r="AM243" i="24"/>
  <c r="AL243" i="24"/>
  <c r="AK243" i="24"/>
  <c r="AJ243" i="24"/>
  <c r="AI243" i="24"/>
  <c r="AH243" i="24"/>
  <c r="AG243" i="24"/>
  <c r="AF243" i="24"/>
  <c r="AE243" i="24"/>
  <c r="AD243" i="24"/>
  <c r="AC243" i="24"/>
  <c r="AB243" i="24"/>
  <c r="AA243" i="24"/>
  <c r="Z243" i="24"/>
  <c r="Y243" i="24"/>
  <c r="X243" i="24"/>
  <c r="W243" i="24"/>
  <c r="V243" i="24"/>
  <c r="U243" i="24"/>
  <c r="T243" i="24"/>
  <c r="S243" i="24"/>
  <c r="R243" i="24"/>
  <c r="Q243" i="24"/>
  <c r="P243" i="24"/>
  <c r="O243" i="24"/>
  <c r="N243" i="24"/>
  <c r="M243" i="24"/>
  <c r="L243" i="24"/>
  <c r="K243" i="24"/>
  <c r="J243" i="24"/>
  <c r="I243" i="24"/>
  <c r="H243" i="24"/>
  <c r="G243" i="24"/>
  <c r="F243" i="24"/>
  <c r="E243" i="24"/>
  <c r="D243" i="24"/>
  <c r="C243" i="24"/>
  <c r="B243" i="24"/>
  <c r="GT242" i="24"/>
  <c r="GS242" i="24"/>
  <c r="GR242" i="24"/>
  <c r="GQ242" i="24"/>
  <c r="GP242" i="24"/>
  <c r="GO242" i="24"/>
  <c r="GN242" i="24"/>
  <c r="GM242" i="24"/>
  <c r="GL242" i="24"/>
  <c r="GK242" i="24"/>
  <c r="GJ242" i="24"/>
  <c r="GI242" i="24"/>
  <c r="GH242" i="24"/>
  <c r="GG242" i="24"/>
  <c r="GF242" i="24"/>
  <c r="GE242" i="24"/>
  <c r="GD242" i="24"/>
  <c r="GC242" i="24"/>
  <c r="GB242" i="24"/>
  <c r="GA242" i="24"/>
  <c r="FZ242" i="24"/>
  <c r="FY242" i="24"/>
  <c r="FX242" i="24"/>
  <c r="FW242" i="24"/>
  <c r="FV242" i="24"/>
  <c r="FU242" i="24"/>
  <c r="FT242" i="24"/>
  <c r="FS242" i="24"/>
  <c r="FR242" i="24"/>
  <c r="FQ242" i="24"/>
  <c r="FP242" i="24"/>
  <c r="FO242" i="24"/>
  <c r="FN242" i="24"/>
  <c r="FM242" i="24"/>
  <c r="FL242" i="24"/>
  <c r="FK242" i="24"/>
  <c r="FJ242" i="24"/>
  <c r="FI242" i="24"/>
  <c r="FH242" i="24"/>
  <c r="FG242" i="24"/>
  <c r="FF242" i="24"/>
  <c r="FE242" i="24"/>
  <c r="FD242" i="24"/>
  <c r="FC242" i="24"/>
  <c r="FB242" i="24"/>
  <c r="FA242" i="24"/>
  <c r="EZ242" i="24"/>
  <c r="EY242" i="24"/>
  <c r="EX242" i="24"/>
  <c r="EW242" i="24"/>
  <c r="EV242" i="24"/>
  <c r="EU242" i="24"/>
  <c r="ET242" i="24"/>
  <c r="ES242" i="24"/>
  <c r="ER242" i="24"/>
  <c r="EQ242" i="24"/>
  <c r="EP242" i="24"/>
  <c r="EO242" i="24"/>
  <c r="EN242" i="24"/>
  <c r="EM242" i="24"/>
  <c r="EL242" i="24"/>
  <c r="EK242" i="24"/>
  <c r="EJ242" i="24"/>
  <c r="EI242" i="24"/>
  <c r="EH242" i="24"/>
  <c r="EG242" i="24"/>
  <c r="EF242" i="24"/>
  <c r="EE242" i="24"/>
  <c r="ED242" i="24"/>
  <c r="EC242" i="24"/>
  <c r="EB242" i="24"/>
  <c r="EA242" i="24"/>
  <c r="DZ242" i="24"/>
  <c r="DY242" i="24"/>
  <c r="DX242" i="24"/>
  <c r="DW242" i="24"/>
  <c r="DV242" i="24"/>
  <c r="DU242" i="24"/>
  <c r="DT242" i="24"/>
  <c r="DS242" i="24"/>
  <c r="DR242" i="24"/>
  <c r="DQ242" i="24"/>
  <c r="DP242" i="24"/>
  <c r="DO242" i="24"/>
  <c r="DN242" i="24"/>
  <c r="DM242" i="24"/>
  <c r="DL242" i="24"/>
  <c r="DK242" i="24"/>
  <c r="DJ242" i="24"/>
  <c r="DI242" i="24"/>
  <c r="DH242" i="24"/>
  <c r="DG242" i="24"/>
  <c r="DF242" i="24"/>
  <c r="DE242" i="24"/>
  <c r="DD242" i="24"/>
  <c r="DC242" i="24"/>
  <c r="DB242" i="24"/>
  <c r="DA242" i="24"/>
  <c r="CZ242" i="24"/>
  <c r="CY242" i="24"/>
  <c r="CX242" i="24"/>
  <c r="CW242" i="24"/>
  <c r="CV242" i="24"/>
  <c r="CU242" i="24"/>
  <c r="CT242" i="24"/>
  <c r="CS242" i="24"/>
  <c r="CR242" i="24"/>
  <c r="CQ242" i="24"/>
  <c r="CP242" i="24"/>
  <c r="CO242" i="24"/>
  <c r="CN242" i="24"/>
  <c r="CM242" i="24"/>
  <c r="CL242" i="24"/>
  <c r="CK242" i="24"/>
  <c r="CJ242" i="24"/>
  <c r="CI242" i="24"/>
  <c r="CH242" i="24"/>
  <c r="CG242" i="24"/>
  <c r="CF242" i="24"/>
  <c r="CE242" i="24"/>
  <c r="CD242" i="24"/>
  <c r="CC242" i="24"/>
  <c r="CB242" i="24"/>
  <c r="CA242" i="24"/>
  <c r="BZ242" i="24"/>
  <c r="BY242" i="24"/>
  <c r="BX242" i="24"/>
  <c r="BW242" i="24"/>
  <c r="BV242" i="24"/>
  <c r="BU242" i="24"/>
  <c r="BT242" i="24"/>
  <c r="BS242" i="24"/>
  <c r="BR242" i="24"/>
  <c r="BQ242" i="24"/>
  <c r="BP242" i="24"/>
  <c r="BO242" i="24"/>
  <c r="BN242" i="24"/>
  <c r="BM242" i="24"/>
  <c r="BL242" i="24"/>
  <c r="BK242" i="24"/>
  <c r="BJ242" i="24"/>
  <c r="BI242" i="24"/>
  <c r="BH242" i="24"/>
  <c r="BG242" i="24"/>
  <c r="BF242" i="24"/>
  <c r="BE242" i="24"/>
  <c r="BD242" i="24"/>
  <c r="BC242" i="24"/>
  <c r="BB242" i="24"/>
  <c r="BA242" i="24"/>
  <c r="AZ242" i="24"/>
  <c r="AY242" i="24"/>
  <c r="AX242" i="24"/>
  <c r="AW242" i="24"/>
  <c r="AV242" i="24"/>
  <c r="AU242" i="24"/>
  <c r="AT242" i="24"/>
  <c r="AS242" i="24"/>
  <c r="AR242" i="24"/>
  <c r="AQ242" i="24"/>
  <c r="AP242" i="24"/>
  <c r="AO242" i="24"/>
  <c r="AN242" i="24"/>
  <c r="AM242" i="24"/>
  <c r="AL242" i="24"/>
  <c r="AK242" i="24"/>
  <c r="AJ242" i="24"/>
  <c r="AI242" i="24"/>
  <c r="AH242" i="24"/>
  <c r="AG242" i="24"/>
  <c r="AF242" i="24"/>
  <c r="AE242" i="24"/>
  <c r="AD242" i="24"/>
  <c r="AC242" i="24"/>
  <c r="AB242" i="24"/>
  <c r="AA242" i="24"/>
  <c r="Z242" i="24"/>
  <c r="Y242" i="24"/>
  <c r="X242" i="24"/>
  <c r="W242" i="24"/>
  <c r="V242" i="24"/>
  <c r="U242" i="24"/>
  <c r="T242" i="24"/>
  <c r="S242" i="24"/>
  <c r="R242" i="24"/>
  <c r="Q242" i="24"/>
  <c r="P242" i="24"/>
  <c r="O242" i="24"/>
  <c r="N242" i="24"/>
  <c r="M242" i="24"/>
  <c r="L242" i="24"/>
  <c r="K242" i="24"/>
  <c r="J242" i="24"/>
  <c r="I242" i="24"/>
  <c r="H242" i="24"/>
  <c r="G242" i="24"/>
  <c r="F242" i="24"/>
  <c r="E242" i="24"/>
  <c r="D242" i="24"/>
  <c r="C242" i="24"/>
  <c r="B242" i="24"/>
  <c r="GT241" i="24"/>
  <c r="GS241" i="24"/>
  <c r="GR241" i="24"/>
  <c r="GQ241" i="24"/>
  <c r="GP241" i="24"/>
  <c r="GO241" i="24"/>
  <c r="GN241" i="24"/>
  <c r="GM241" i="24"/>
  <c r="GL241" i="24"/>
  <c r="GK241" i="24"/>
  <c r="GJ241" i="24"/>
  <c r="GI241" i="24"/>
  <c r="GH241" i="24"/>
  <c r="GG241" i="24"/>
  <c r="GF241" i="24"/>
  <c r="GE241" i="24"/>
  <c r="GD241" i="24"/>
  <c r="GC241" i="24"/>
  <c r="GB241" i="24"/>
  <c r="GA241" i="24"/>
  <c r="FZ241" i="24"/>
  <c r="FY241" i="24"/>
  <c r="FX241" i="24"/>
  <c r="FW241" i="24"/>
  <c r="FV241" i="24"/>
  <c r="FU241" i="24"/>
  <c r="FT241" i="24"/>
  <c r="FS241" i="24"/>
  <c r="FR241" i="24"/>
  <c r="FQ241" i="24"/>
  <c r="FP241" i="24"/>
  <c r="FO241" i="24"/>
  <c r="FN241" i="24"/>
  <c r="FM241" i="24"/>
  <c r="FL241" i="24"/>
  <c r="FK241" i="24"/>
  <c r="FJ241" i="24"/>
  <c r="FI241" i="24"/>
  <c r="FH241" i="24"/>
  <c r="FG241" i="24"/>
  <c r="FF241" i="24"/>
  <c r="FE241" i="24"/>
  <c r="FD241" i="24"/>
  <c r="FC241" i="24"/>
  <c r="FB241" i="24"/>
  <c r="FA241" i="24"/>
  <c r="EZ241" i="24"/>
  <c r="EY241" i="24"/>
  <c r="EX241" i="24"/>
  <c r="EW241" i="24"/>
  <c r="EV241" i="24"/>
  <c r="EU241" i="24"/>
  <c r="ET241" i="24"/>
  <c r="ES241" i="24"/>
  <c r="ER241" i="24"/>
  <c r="EQ241" i="24"/>
  <c r="EP241" i="24"/>
  <c r="EO241" i="24"/>
  <c r="EN241" i="24"/>
  <c r="EM241" i="24"/>
  <c r="EL241" i="24"/>
  <c r="EK241" i="24"/>
  <c r="EJ241" i="24"/>
  <c r="EI241" i="24"/>
  <c r="EH241" i="24"/>
  <c r="EG241" i="24"/>
  <c r="EF241" i="24"/>
  <c r="EE241" i="24"/>
  <c r="ED241" i="24"/>
  <c r="EC241" i="24"/>
  <c r="EB241" i="24"/>
  <c r="EA241" i="24"/>
  <c r="DZ241" i="24"/>
  <c r="DY241" i="24"/>
  <c r="DX241" i="24"/>
  <c r="DW241" i="24"/>
  <c r="DV241" i="24"/>
  <c r="DU241" i="24"/>
  <c r="DT241" i="24"/>
  <c r="DS241" i="24"/>
  <c r="DR241" i="24"/>
  <c r="DQ241" i="24"/>
  <c r="DP241" i="24"/>
  <c r="DO241" i="24"/>
  <c r="DN241" i="24"/>
  <c r="DM241" i="24"/>
  <c r="DL241" i="24"/>
  <c r="DK241" i="24"/>
  <c r="DJ241" i="24"/>
  <c r="DI241" i="24"/>
  <c r="DH241" i="24"/>
  <c r="DG241" i="24"/>
  <c r="DF241" i="24"/>
  <c r="DE241" i="24"/>
  <c r="DD241" i="24"/>
  <c r="DC241" i="24"/>
  <c r="DB241" i="24"/>
  <c r="DA241" i="24"/>
  <c r="CZ241" i="24"/>
  <c r="CY241" i="24"/>
  <c r="CX241" i="24"/>
  <c r="CW241" i="24"/>
  <c r="CV241" i="24"/>
  <c r="CU241" i="24"/>
  <c r="CT241" i="24"/>
  <c r="CS241" i="24"/>
  <c r="CR241" i="24"/>
  <c r="CQ241" i="24"/>
  <c r="CP241" i="24"/>
  <c r="CO241" i="24"/>
  <c r="CN241" i="24"/>
  <c r="CM241" i="24"/>
  <c r="CL241" i="24"/>
  <c r="CK241" i="24"/>
  <c r="CJ241" i="24"/>
  <c r="CI241" i="24"/>
  <c r="CH241" i="24"/>
  <c r="CG241" i="24"/>
  <c r="CF241" i="24"/>
  <c r="CE241" i="24"/>
  <c r="CD241" i="24"/>
  <c r="CC241" i="24"/>
  <c r="CB241" i="24"/>
  <c r="CA241" i="24"/>
  <c r="BZ241" i="24"/>
  <c r="BY241" i="24"/>
  <c r="BX241" i="24"/>
  <c r="BW241" i="24"/>
  <c r="BV241" i="24"/>
  <c r="BU241" i="24"/>
  <c r="BT241" i="24"/>
  <c r="BS241" i="24"/>
  <c r="BR241" i="24"/>
  <c r="BQ241" i="24"/>
  <c r="BP241" i="24"/>
  <c r="BO241" i="24"/>
  <c r="BN241" i="24"/>
  <c r="BM241" i="24"/>
  <c r="BL241" i="24"/>
  <c r="BK241" i="24"/>
  <c r="BJ241" i="24"/>
  <c r="BI241" i="24"/>
  <c r="BH241" i="24"/>
  <c r="BG241" i="24"/>
  <c r="BF241" i="24"/>
  <c r="BE241" i="24"/>
  <c r="BD241" i="24"/>
  <c r="BC241" i="24"/>
  <c r="BB241" i="24"/>
  <c r="BA241" i="24"/>
  <c r="AZ241" i="24"/>
  <c r="AY241" i="24"/>
  <c r="AX241" i="24"/>
  <c r="AW241" i="24"/>
  <c r="AV241" i="24"/>
  <c r="AU241" i="24"/>
  <c r="AT241" i="24"/>
  <c r="AS241" i="24"/>
  <c r="AR241" i="24"/>
  <c r="AQ241" i="24"/>
  <c r="AP241" i="24"/>
  <c r="AO241" i="24"/>
  <c r="AN241" i="24"/>
  <c r="AM241" i="24"/>
  <c r="AL241" i="24"/>
  <c r="AK241" i="24"/>
  <c r="AJ241" i="24"/>
  <c r="AI241" i="24"/>
  <c r="AH241" i="24"/>
  <c r="AG241" i="24"/>
  <c r="AF241" i="24"/>
  <c r="AE241" i="24"/>
  <c r="AD241" i="24"/>
  <c r="AC241" i="24"/>
  <c r="AB241" i="24"/>
  <c r="AA241" i="24"/>
  <c r="Z241" i="24"/>
  <c r="Y241" i="24"/>
  <c r="X241" i="24"/>
  <c r="W241" i="24"/>
  <c r="V241" i="24"/>
  <c r="U241" i="24"/>
  <c r="T241" i="24"/>
  <c r="S241" i="24"/>
  <c r="R241" i="24"/>
  <c r="Q241" i="24"/>
  <c r="P241" i="24"/>
  <c r="O241" i="24"/>
  <c r="N241" i="24"/>
  <c r="M241" i="24"/>
  <c r="L241" i="24"/>
  <c r="K241" i="24"/>
  <c r="J241" i="24"/>
  <c r="I241" i="24"/>
  <c r="H241" i="24"/>
  <c r="G241" i="24"/>
  <c r="F241" i="24"/>
  <c r="E241" i="24"/>
  <c r="D241" i="24"/>
  <c r="C241" i="24"/>
  <c r="B241" i="24"/>
  <c r="GT240" i="24"/>
  <c r="GS240" i="24"/>
  <c r="GR240" i="24"/>
  <c r="GQ240" i="24"/>
  <c r="GP240" i="24"/>
  <c r="GO240" i="24"/>
  <c r="GN240" i="24"/>
  <c r="GM240" i="24"/>
  <c r="GL240" i="24"/>
  <c r="GK240" i="24"/>
  <c r="GJ240" i="24"/>
  <c r="GI240" i="24"/>
  <c r="GH240" i="24"/>
  <c r="GG240" i="24"/>
  <c r="GF240" i="24"/>
  <c r="GE240" i="24"/>
  <c r="GD240" i="24"/>
  <c r="GC240" i="24"/>
  <c r="GB240" i="24"/>
  <c r="GA240" i="24"/>
  <c r="FZ240" i="24"/>
  <c r="FY240" i="24"/>
  <c r="FX240" i="24"/>
  <c r="FW240" i="24"/>
  <c r="FV240" i="24"/>
  <c r="FU240" i="24"/>
  <c r="FT240" i="24"/>
  <c r="FS240" i="24"/>
  <c r="FR240" i="24"/>
  <c r="FQ240" i="24"/>
  <c r="FP240" i="24"/>
  <c r="FO240" i="24"/>
  <c r="FN240" i="24"/>
  <c r="FM240" i="24"/>
  <c r="FL240" i="24"/>
  <c r="FK240" i="24"/>
  <c r="FJ240" i="24"/>
  <c r="FI240" i="24"/>
  <c r="FH240" i="24"/>
  <c r="FG240" i="24"/>
  <c r="FF240" i="24"/>
  <c r="FE240" i="24"/>
  <c r="FD240" i="24"/>
  <c r="FC240" i="24"/>
  <c r="FB240" i="24"/>
  <c r="FA240" i="24"/>
  <c r="EZ240" i="24"/>
  <c r="EY240" i="24"/>
  <c r="EX240" i="24"/>
  <c r="EW240" i="24"/>
  <c r="EV240" i="24"/>
  <c r="EU240" i="24"/>
  <c r="ET240" i="24"/>
  <c r="ES240" i="24"/>
  <c r="ER240" i="24"/>
  <c r="EQ240" i="24"/>
  <c r="EP240" i="24"/>
  <c r="EO240" i="24"/>
  <c r="EN240" i="24"/>
  <c r="EM240" i="24"/>
  <c r="EL240" i="24"/>
  <c r="EK240" i="24"/>
  <c r="EJ240" i="24"/>
  <c r="EI240" i="24"/>
  <c r="EH240" i="24"/>
  <c r="EG240" i="24"/>
  <c r="EF240" i="24"/>
  <c r="EE240" i="24"/>
  <c r="ED240" i="24"/>
  <c r="EC240" i="24"/>
  <c r="EB240" i="24"/>
  <c r="EA240" i="24"/>
  <c r="DZ240" i="24"/>
  <c r="DY240" i="24"/>
  <c r="DX240" i="24"/>
  <c r="DW240" i="24"/>
  <c r="DV240" i="24"/>
  <c r="DU240" i="24"/>
  <c r="DT240" i="24"/>
  <c r="DS240" i="24"/>
  <c r="DR240" i="24"/>
  <c r="DQ240" i="24"/>
  <c r="DP240" i="24"/>
  <c r="DO240" i="24"/>
  <c r="DN240" i="24"/>
  <c r="DM240" i="24"/>
  <c r="DL240" i="24"/>
  <c r="DK240" i="24"/>
  <c r="DJ240" i="24"/>
  <c r="DI240" i="24"/>
  <c r="DH240" i="24"/>
  <c r="DG240" i="24"/>
  <c r="DF240" i="24"/>
  <c r="DE240" i="24"/>
  <c r="DD240" i="24"/>
  <c r="DC240" i="24"/>
  <c r="DB240" i="24"/>
  <c r="DA240" i="24"/>
  <c r="CZ240" i="24"/>
  <c r="CY240" i="24"/>
  <c r="CX240" i="24"/>
  <c r="CW240" i="24"/>
  <c r="CV240" i="24"/>
  <c r="CU240" i="24"/>
  <c r="CT240" i="24"/>
  <c r="CS240" i="24"/>
  <c r="CR240" i="24"/>
  <c r="CQ240" i="24"/>
  <c r="CP240" i="24"/>
  <c r="CO240" i="24"/>
  <c r="CN240" i="24"/>
  <c r="CM240" i="24"/>
  <c r="CL240" i="24"/>
  <c r="CK240" i="24"/>
  <c r="CJ240" i="24"/>
  <c r="CI240" i="24"/>
  <c r="CH240" i="24"/>
  <c r="CG240" i="24"/>
  <c r="CF240" i="24"/>
  <c r="CE240" i="24"/>
  <c r="CD240" i="24"/>
  <c r="CC240" i="24"/>
  <c r="CB240" i="24"/>
  <c r="CA240" i="24"/>
  <c r="BZ240" i="24"/>
  <c r="BY240" i="24"/>
  <c r="BX240" i="24"/>
  <c r="BW240" i="24"/>
  <c r="BV240" i="24"/>
  <c r="BU240" i="24"/>
  <c r="BT240" i="24"/>
  <c r="BS240" i="24"/>
  <c r="BR240" i="24"/>
  <c r="BQ240" i="24"/>
  <c r="BP240" i="24"/>
  <c r="BO240" i="24"/>
  <c r="BN240" i="24"/>
  <c r="BM240" i="24"/>
  <c r="BL240" i="24"/>
  <c r="BK240" i="24"/>
  <c r="BJ240" i="24"/>
  <c r="BI240" i="24"/>
  <c r="BH240" i="24"/>
  <c r="BG240" i="24"/>
  <c r="BF240" i="24"/>
  <c r="BE240" i="24"/>
  <c r="BD240" i="24"/>
  <c r="BC240" i="24"/>
  <c r="BB240" i="24"/>
  <c r="BA240" i="24"/>
  <c r="AZ240" i="24"/>
  <c r="AY240" i="24"/>
  <c r="AX240" i="24"/>
  <c r="AW240" i="24"/>
  <c r="AV240" i="24"/>
  <c r="AU240" i="24"/>
  <c r="AT240" i="24"/>
  <c r="AS240" i="24"/>
  <c r="AR240" i="24"/>
  <c r="AQ240" i="24"/>
  <c r="AP240" i="24"/>
  <c r="AO240" i="24"/>
  <c r="AN240" i="24"/>
  <c r="AM240" i="24"/>
  <c r="AL240" i="24"/>
  <c r="AK240" i="24"/>
  <c r="AJ240" i="24"/>
  <c r="AI240" i="24"/>
  <c r="AH240" i="24"/>
  <c r="AG240" i="24"/>
  <c r="AF240" i="24"/>
  <c r="AE240" i="24"/>
  <c r="AD240" i="24"/>
  <c r="AC240" i="24"/>
  <c r="AB240" i="24"/>
  <c r="AA240" i="24"/>
  <c r="Z240" i="24"/>
  <c r="Y240" i="24"/>
  <c r="X240" i="24"/>
  <c r="W240" i="24"/>
  <c r="V240" i="24"/>
  <c r="U240" i="24"/>
  <c r="T240" i="24"/>
  <c r="S240" i="24"/>
  <c r="R240" i="24"/>
  <c r="Q240" i="24"/>
  <c r="P240" i="24"/>
  <c r="O240" i="24"/>
  <c r="N240" i="24"/>
  <c r="M240" i="24"/>
  <c r="L240" i="24"/>
  <c r="K240" i="24"/>
  <c r="J240" i="24"/>
  <c r="I240" i="24"/>
  <c r="H240" i="24"/>
  <c r="G240" i="24"/>
  <c r="F240" i="24"/>
  <c r="E240" i="24"/>
  <c r="D240" i="24"/>
  <c r="C240" i="24"/>
  <c r="B240" i="24"/>
  <c r="GT239" i="24"/>
  <c r="GS239" i="24"/>
  <c r="GR239" i="24"/>
  <c r="GQ239" i="24"/>
  <c r="GP239" i="24"/>
  <c r="GO239" i="24"/>
  <c r="GN239" i="24"/>
  <c r="GM239" i="24"/>
  <c r="GL239" i="24"/>
  <c r="GK239" i="24"/>
  <c r="GJ239" i="24"/>
  <c r="GI239" i="24"/>
  <c r="GH239" i="24"/>
  <c r="GG239" i="24"/>
  <c r="GF239" i="24"/>
  <c r="GE239" i="24"/>
  <c r="GD239" i="24"/>
  <c r="GC239" i="24"/>
  <c r="GB239" i="24"/>
  <c r="GA239" i="24"/>
  <c r="FZ239" i="24"/>
  <c r="FY239" i="24"/>
  <c r="FX239" i="24"/>
  <c r="FW239" i="24"/>
  <c r="FV239" i="24"/>
  <c r="FU239" i="24"/>
  <c r="FT239" i="24"/>
  <c r="FS239" i="24"/>
  <c r="FR239" i="24"/>
  <c r="FQ239" i="24"/>
  <c r="FP239" i="24"/>
  <c r="FO239" i="24"/>
  <c r="FN239" i="24"/>
  <c r="FM239" i="24"/>
  <c r="FL239" i="24"/>
  <c r="FK239" i="24"/>
  <c r="FJ239" i="24"/>
  <c r="FI239" i="24"/>
  <c r="FH239" i="24"/>
  <c r="FG239" i="24"/>
  <c r="FF239" i="24"/>
  <c r="FE239" i="24"/>
  <c r="FD239" i="24"/>
  <c r="FC239" i="24"/>
  <c r="FB239" i="24"/>
  <c r="FA239" i="24"/>
  <c r="EZ239" i="24"/>
  <c r="EY239" i="24"/>
  <c r="EX239" i="24"/>
  <c r="EW239" i="24"/>
  <c r="EV239" i="24"/>
  <c r="EU239" i="24"/>
  <c r="ET239" i="24"/>
  <c r="ES239" i="24"/>
  <c r="ER239" i="24"/>
  <c r="EQ239" i="24"/>
  <c r="EP239" i="24"/>
  <c r="EO239" i="24"/>
  <c r="EN239" i="24"/>
  <c r="EM239" i="24"/>
  <c r="EL239" i="24"/>
  <c r="EK239" i="24"/>
  <c r="EJ239" i="24"/>
  <c r="EI239" i="24"/>
  <c r="EH239" i="24"/>
  <c r="EG239" i="24"/>
  <c r="EF239" i="24"/>
  <c r="EE239" i="24"/>
  <c r="ED239" i="24"/>
  <c r="EC239" i="24"/>
  <c r="EB239" i="24"/>
  <c r="EA239" i="24"/>
  <c r="DZ239" i="24"/>
  <c r="DY239" i="24"/>
  <c r="DX239" i="24"/>
  <c r="DW239" i="24"/>
  <c r="DV239" i="24"/>
  <c r="DU239" i="24"/>
  <c r="DT239" i="24"/>
  <c r="DS239" i="24"/>
  <c r="DR239" i="24"/>
  <c r="DQ239" i="24"/>
  <c r="DP239" i="24"/>
  <c r="DO239" i="24"/>
  <c r="DN239" i="24"/>
  <c r="DM239" i="24"/>
  <c r="DL239" i="24"/>
  <c r="DK239" i="24"/>
  <c r="DJ239" i="24"/>
  <c r="DI239" i="24"/>
  <c r="DH239" i="24"/>
  <c r="DG239" i="24"/>
  <c r="DF239" i="24"/>
  <c r="DE239" i="24"/>
  <c r="DD239" i="24"/>
  <c r="DC239" i="24"/>
  <c r="DB239" i="24"/>
  <c r="DA239" i="24"/>
  <c r="CZ239" i="24"/>
  <c r="CY239" i="24"/>
  <c r="CX239" i="24"/>
  <c r="CW239" i="24"/>
  <c r="CV239" i="24"/>
  <c r="CU239" i="24"/>
  <c r="CT239" i="24"/>
  <c r="CS239" i="24"/>
  <c r="CR239" i="24"/>
  <c r="CQ239" i="24"/>
  <c r="CP239" i="24"/>
  <c r="CO239" i="24"/>
  <c r="CN239" i="24"/>
  <c r="CM239" i="24"/>
  <c r="CL239" i="24"/>
  <c r="CK239" i="24"/>
  <c r="CJ239" i="24"/>
  <c r="CI239" i="24"/>
  <c r="CH239" i="24"/>
  <c r="CG239" i="24"/>
  <c r="CF239" i="24"/>
  <c r="CE239" i="24"/>
  <c r="CD239" i="24"/>
  <c r="CC239" i="24"/>
  <c r="CB239" i="24"/>
  <c r="CA239" i="24"/>
  <c r="BZ239" i="24"/>
  <c r="BY239" i="24"/>
  <c r="BX239" i="24"/>
  <c r="BW239" i="24"/>
  <c r="BV239" i="24"/>
  <c r="BU239" i="24"/>
  <c r="BT239" i="24"/>
  <c r="BS239" i="24"/>
  <c r="BR239" i="24"/>
  <c r="BQ239" i="24"/>
  <c r="BP239" i="24"/>
  <c r="BO239" i="24"/>
  <c r="BN239" i="24"/>
  <c r="BM239" i="24"/>
  <c r="BL239" i="24"/>
  <c r="BK239" i="24"/>
  <c r="BJ239" i="24"/>
  <c r="BI239" i="24"/>
  <c r="BH239" i="24"/>
  <c r="BG239" i="24"/>
  <c r="BF239" i="24"/>
  <c r="BE239" i="24"/>
  <c r="BD239" i="24"/>
  <c r="BC239" i="24"/>
  <c r="BB239" i="24"/>
  <c r="BA239" i="24"/>
  <c r="AZ239" i="24"/>
  <c r="AY239" i="24"/>
  <c r="AX239" i="24"/>
  <c r="AW239" i="24"/>
  <c r="AV239" i="24"/>
  <c r="AU239" i="24"/>
  <c r="AT239" i="24"/>
  <c r="AS239" i="24"/>
  <c r="AR239" i="24"/>
  <c r="AQ239" i="24"/>
  <c r="AP239" i="24"/>
  <c r="AO239" i="24"/>
  <c r="AN239" i="24"/>
  <c r="AM239" i="24"/>
  <c r="AL239" i="24"/>
  <c r="AK239" i="24"/>
  <c r="AJ239" i="24"/>
  <c r="AI239" i="24"/>
  <c r="AH239" i="24"/>
  <c r="AG239" i="24"/>
  <c r="AF239" i="24"/>
  <c r="AE239" i="24"/>
  <c r="AD239" i="24"/>
  <c r="AC239" i="24"/>
  <c r="AB239" i="24"/>
  <c r="AA239" i="24"/>
  <c r="Z239" i="24"/>
  <c r="Y239" i="24"/>
  <c r="X239" i="24"/>
  <c r="W239" i="24"/>
  <c r="V239" i="24"/>
  <c r="U239" i="24"/>
  <c r="T239" i="24"/>
  <c r="S239" i="24"/>
  <c r="R239" i="24"/>
  <c r="Q239" i="24"/>
  <c r="P239" i="24"/>
  <c r="O239" i="24"/>
  <c r="N239" i="24"/>
  <c r="M239" i="24"/>
  <c r="L239" i="24"/>
  <c r="K239" i="24"/>
  <c r="J239" i="24"/>
  <c r="I239" i="24"/>
  <c r="H239" i="24"/>
  <c r="G239" i="24"/>
  <c r="F239" i="24"/>
  <c r="E239" i="24"/>
  <c r="D239" i="24"/>
  <c r="C239" i="24"/>
  <c r="B239" i="24"/>
  <c r="GT234" i="24"/>
  <c r="GS234" i="24"/>
  <c r="GR234" i="24"/>
  <c r="GQ234" i="24"/>
  <c r="GP234" i="24"/>
  <c r="GO234" i="24"/>
  <c r="GN234" i="24"/>
  <c r="GM234" i="24"/>
  <c r="GL234" i="24"/>
  <c r="GK234" i="24"/>
  <c r="GJ234" i="24"/>
  <c r="GI234" i="24"/>
  <c r="GH234" i="24"/>
  <c r="GG234" i="24"/>
  <c r="GF234" i="24"/>
  <c r="GE234" i="24"/>
  <c r="GD234" i="24"/>
  <c r="GC234" i="24"/>
  <c r="GB234" i="24"/>
  <c r="GA234" i="24"/>
  <c r="FZ234" i="24"/>
  <c r="FY234" i="24"/>
  <c r="FX234" i="24"/>
  <c r="FW234" i="24"/>
  <c r="FV234" i="24"/>
  <c r="FU234" i="24"/>
  <c r="FT234" i="24"/>
  <c r="FS234" i="24"/>
  <c r="FR234" i="24"/>
  <c r="FQ234" i="24"/>
  <c r="FP234" i="24"/>
  <c r="FO234" i="24"/>
  <c r="FN234" i="24"/>
  <c r="FM234" i="24"/>
  <c r="FL234" i="24"/>
  <c r="FK234" i="24"/>
  <c r="FJ234" i="24"/>
  <c r="FI234" i="24"/>
  <c r="FH234" i="24"/>
  <c r="FG234" i="24"/>
  <c r="FF234" i="24"/>
  <c r="FE234" i="24"/>
  <c r="FD234" i="24"/>
  <c r="FC234" i="24"/>
  <c r="FB234" i="24"/>
  <c r="FA234" i="24"/>
  <c r="EZ234" i="24"/>
  <c r="EY234" i="24"/>
  <c r="EX234" i="24"/>
  <c r="EW234" i="24"/>
  <c r="EV234" i="24"/>
  <c r="EU234" i="24"/>
  <c r="ET234" i="24"/>
  <c r="ES234" i="24"/>
  <c r="ER234" i="24"/>
  <c r="EQ234" i="24"/>
  <c r="EP234" i="24"/>
  <c r="EO234" i="24"/>
  <c r="EN234" i="24"/>
  <c r="EM234" i="24"/>
  <c r="EL234" i="24"/>
  <c r="EK234" i="24"/>
  <c r="EJ234" i="24"/>
  <c r="EI234" i="24"/>
  <c r="EH234" i="24"/>
  <c r="EG234" i="24"/>
  <c r="EF234" i="24"/>
  <c r="EE234" i="24"/>
  <c r="ED234" i="24"/>
  <c r="EC234" i="24"/>
  <c r="EB234" i="24"/>
  <c r="EA234" i="24"/>
  <c r="DZ234" i="24"/>
  <c r="DY234" i="24"/>
  <c r="DX234" i="24"/>
  <c r="DW234" i="24"/>
  <c r="DV234" i="24"/>
  <c r="DU234" i="24"/>
  <c r="DT234" i="24"/>
  <c r="DS234" i="24"/>
  <c r="DR234" i="24"/>
  <c r="DQ234" i="24"/>
  <c r="DP234" i="24"/>
  <c r="DO234" i="24"/>
  <c r="DN234" i="24"/>
  <c r="DM234" i="24"/>
  <c r="DL234" i="24"/>
  <c r="DK234" i="24"/>
  <c r="DJ234" i="24"/>
  <c r="DI234" i="24"/>
  <c r="DH234" i="24"/>
  <c r="DG234" i="24"/>
  <c r="DF234" i="24"/>
  <c r="DE234" i="24"/>
  <c r="DD234" i="24"/>
  <c r="DC234" i="24"/>
  <c r="DB234" i="24"/>
  <c r="DA234" i="24"/>
  <c r="CZ234" i="24"/>
  <c r="CY234" i="24"/>
  <c r="CX234" i="24"/>
  <c r="CW234" i="24"/>
  <c r="CV234" i="24"/>
  <c r="CU234" i="24"/>
  <c r="CT234" i="24"/>
  <c r="CS234" i="24"/>
  <c r="CR234" i="24"/>
  <c r="CQ234" i="24"/>
  <c r="CP234" i="24"/>
  <c r="CO234" i="24"/>
  <c r="CN234" i="24"/>
  <c r="CM234" i="24"/>
  <c r="CL234" i="24"/>
  <c r="CK234" i="24"/>
  <c r="CJ234" i="24"/>
  <c r="CI234" i="24"/>
  <c r="CH234" i="24"/>
  <c r="CG234" i="24"/>
  <c r="CF234" i="24"/>
  <c r="CE234" i="24"/>
  <c r="CD234" i="24"/>
  <c r="CC234" i="24"/>
  <c r="CB234" i="24"/>
  <c r="CA234" i="24"/>
  <c r="BZ234" i="24"/>
  <c r="BY234" i="24"/>
  <c r="BX234" i="24"/>
  <c r="BW234" i="24"/>
  <c r="BV234" i="24"/>
  <c r="BU234" i="24"/>
  <c r="BT234" i="24"/>
  <c r="BS234" i="24"/>
  <c r="BR234" i="24"/>
  <c r="BQ234" i="24"/>
  <c r="BP234" i="24"/>
  <c r="BO234" i="24"/>
  <c r="BN234" i="24"/>
  <c r="BM234" i="24"/>
  <c r="BL234" i="24"/>
  <c r="BK234" i="24"/>
  <c r="BJ234" i="24"/>
  <c r="BI234" i="24"/>
  <c r="BH234" i="24"/>
  <c r="BG234" i="24"/>
  <c r="BF234" i="24"/>
  <c r="BE234" i="24"/>
  <c r="BD234" i="24"/>
  <c r="BC234" i="24"/>
  <c r="BB234" i="24"/>
  <c r="BA234" i="24"/>
  <c r="AZ234" i="24"/>
  <c r="AY234" i="24"/>
  <c r="AX234" i="24"/>
  <c r="AW234" i="24"/>
  <c r="AV234" i="24"/>
  <c r="AU234" i="24"/>
  <c r="AT234" i="24"/>
  <c r="AS234" i="24"/>
  <c r="AR234" i="24"/>
  <c r="AQ234" i="24"/>
  <c r="AP234" i="24"/>
  <c r="AO234" i="24"/>
  <c r="AN234" i="24"/>
  <c r="AM234" i="24"/>
  <c r="AL234" i="24"/>
  <c r="AK234" i="24"/>
  <c r="AJ234" i="24"/>
  <c r="AI234" i="24"/>
  <c r="AH234" i="24"/>
  <c r="AG234" i="24"/>
  <c r="AF234" i="24"/>
  <c r="AE234" i="24"/>
  <c r="AD234" i="24"/>
  <c r="AC234" i="24"/>
  <c r="AB234" i="24"/>
  <c r="AA234" i="24"/>
  <c r="Z234" i="24"/>
  <c r="Y234" i="24"/>
  <c r="X234" i="24"/>
  <c r="W234" i="24"/>
  <c r="V234" i="24"/>
  <c r="U234" i="24"/>
  <c r="T234" i="24"/>
  <c r="S234" i="24"/>
  <c r="R234" i="24"/>
  <c r="Q234" i="24"/>
  <c r="P234" i="24"/>
  <c r="O234" i="24"/>
  <c r="N234" i="24"/>
  <c r="M234" i="24"/>
  <c r="L234" i="24"/>
  <c r="K234" i="24"/>
  <c r="J234" i="24"/>
  <c r="I234" i="24"/>
  <c r="H234" i="24"/>
  <c r="G234" i="24"/>
  <c r="F234" i="24"/>
  <c r="E234" i="24"/>
  <c r="D234" i="24"/>
  <c r="C234" i="24"/>
  <c r="B234" i="24"/>
  <c r="GT233" i="24"/>
  <c r="GS233" i="24"/>
  <c r="GR233" i="24"/>
  <c r="GQ233" i="24"/>
  <c r="GP233" i="24"/>
  <c r="GO233" i="24"/>
  <c r="GN233" i="24"/>
  <c r="GM233" i="24"/>
  <c r="GL233" i="24"/>
  <c r="GK233" i="24"/>
  <c r="GJ233" i="24"/>
  <c r="GI233" i="24"/>
  <c r="GH233" i="24"/>
  <c r="GG233" i="24"/>
  <c r="GF233" i="24"/>
  <c r="GE233" i="24"/>
  <c r="GD233" i="24"/>
  <c r="GC233" i="24"/>
  <c r="GB233" i="24"/>
  <c r="GA233" i="24"/>
  <c r="FZ233" i="24"/>
  <c r="FY233" i="24"/>
  <c r="FX233" i="24"/>
  <c r="FW233" i="24"/>
  <c r="FV233" i="24"/>
  <c r="FU233" i="24"/>
  <c r="FT233" i="24"/>
  <c r="FS233" i="24"/>
  <c r="FR233" i="24"/>
  <c r="FQ233" i="24"/>
  <c r="FP233" i="24"/>
  <c r="FO233" i="24"/>
  <c r="FN233" i="24"/>
  <c r="FM233" i="24"/>
  <c r="FL233" i="24"/>
  <c r="FK233" i="24"/>
  <c r="FJ233" i="24"/>
  <c r="FI233" i="24"/>
  <c r="FH233" i="24"/>
  <c r="FG233" i="24"/>
  <c r="FF233" i="24"/>
  <c r="FE233" i="24"/>
  <c r="FD233" i="24"/>
  <c r="FC233" i="24"/>
  <c r="FB233" i="24"/>
  <c r="FA233" i="24"/>
  <c r="EZ233" i="24"/>
  <c r="EY233" i="24"/>
  <c r="EX233" i="24"/>
  <c r="EW233" i="24"/>
  <c r="EV233" i="24"/>
  <c r="EU233" i="24"/>
  <c r="ET233" i="24"/>
  <c r="ES233" i="24"/>
  <c r="ER233" i="24"/>
  <c r="EQ233" i="24"/>
  <c r="EP233" i="24"/>
  <c r="EO233" i="24"/>
  <c r="EN233" i="24"/>
  <c r="EM233" i="24"/>
  <c r="EL233" i="24"/>
  <c r="EK233" i="24"/>
  <c r="EJ233" i="24"/>
  <c r="EI233" i="24"/>
  <c r="EH233" i="24"/>
  <c r="EG233" i="24"/>
  <c r="EF233" i="24"/>
  <c r="EE233" i="24"/>
  <c r="ED233" i="24"/>
  <c r="EC233" i="24"/>
  <c r="EB233" i="24"/>
  <c r="EA233" i="24"/>
  <c r="DZ233" i="24"/>
  <c r="DY233" i="24"/>
  <c r="DX233" i="24"/>
  <c r="DW233" i="24"/>
  <c r="DV233" i="24"/>
  <c r="DU233" i="24"/>
  <c r="DT233" i="24"/>
  <c r="DS233" i="24"/>
  <c r="DR233" i="24"/>
  <c r="DQ233" i="24"/>
  <c r="DP233" i="24"/>
  <c r="DO233" i="24"/>
  <c r="DN233" i="24"/>
  <c r="DM233" i="24"/>
  <c r="DL233" i="24"/>
  <c r="DK233" i="24"/>
  <c r="DJ233" i="24"/>
  <c r="DI233" i="24"/>
  <c r="DH233" i="24"/>
  <c r="DG233" i="24"/>
  <c r="DF233" i="24"/>
  <c r="DE233" i="24"/>
  <c r="DD233" i="24"/>
  <c r="DC233" i="24"/>
  <c r="DB233" i="24"/>
  <c r="DA233" i="24"/>
  <c r="CZ233" i="24"/>
  <c r="CY233" i="24"/>
  <c r="CX233" i="24"/>
  <c r="CW233" i="24"/>
  <c r="CV233" i="24"/>
  <c r="CU233" i="24"/>
  <c r="CT233" i="24"/>
  <c r="CS233" i="24"/>
  <c r="CR233" i="24"/>
  <c r="CQ233" i="24"/>
  <c r="CP233" i="24"/>
  <c r="CO233" i="24"/>
  <c r="CN233" i="24"/>
  <c r="CM233" i="24"/>
  <c r="CL233" i="24"/>
  <c r="CK233" i="24"/>
  <c r="CJ233" i="24"/>
  <c r="CI233" i="24"/>
  <c r="CH233" i="24"/>
  <c r="CG233" i="24"/>
  <c r="CF233" i="24"/>
  <c r="CE233" i="24"/>
  <c r="CD233" i="24"/>
  <c r="CC233" i="24"/>
  <c r="CB233" i="24"/>
  <c r="CA233" i="24"/>
  <c r="BZ233" i="24"/>
  <c r="BY233" i="24"/>
  <c r="BX233" i="24"/>
  <c r="BW233" i="24"/>
  <c r="BV233" i="24"/>
  <c r="BU233" i="24"/>
  <c r="BT233" i="24"/>
  <c r="BS233" i="24"/>
  <c r="BR233" i="24"/>
  <c r="BQ233" i="24"/>
  <c r="BP233" i="24"/>
  <c r="BO233" i="24"/>
  <c r="BN233" i="24"/>
  <c r="BM233" i="24"/>
  <c r="BL233" i="24"/>
  <c r="BK233" i="24"/>
  <c r="BJ233" i="24"/>
  <c r="BI233" i="24"/>
  <c r="BH233" i="24"/>
  <c r="BG233" i="24"/>
  <c r="BF233" i="24"/>
  <c r="BE233" i="24"/>
  <c r="BD233" i="24"/>
  <c r="BC233" i="24"/>
  <c r="BB233" i="24"/>
  <c r="BA233" i="24"/>
  <c r="AZ233" i="24"/>
  <c r="AY233" i="24"/>
  <c r="AX233" i="24"/>
  <c r="AW233" i="24"/>
  <c r="AV233" i="24"/>
  <c r="AU233" i="24"/>
  <c r="AT233" i="24"/>
  <c r="AS233" i="24"/>
  <c r="AR233" i="24"/>
  <c r="AQ233" i="24"/>
  <c r="AP233" i="24"/>
  <c r="AO233" i="24"/>
  <c r="AN233" i="24"/>
  <c r="AM233" i="24"/>
  <c r="AL233" i="24"/>
  <c r="AK233" i="24"/>
  <c r="AJ233" i="24"/>
  <c r="AI233" i="24"/>
  <c r="AH233" i="24"/>
  <c r="AG233" i="24"/>
  <c r="AF233" i="24"/>
  <c r="AE233" i="24"/>
  <c r="AD233" i="24"/>
  <c r="AC233" i="24"/>
  <c r="AB233" i="24"/>
  <c r="AA233" i="24"/>
  <c r="Z233" i="24"/>
  <c r="Y233" i="24"/>
  <c r="X233" i="24"/>
  <c r="W233" i="24"/>
  <c r="V233" i="24"/>
  <c r="U233" i="24"/>
  <c r="T233" i="24"/>
  <c r="S233" i="24"/>
  <c r="R233" i="24"/>
  <c r="Q233" i="24"/>
  <c r="P233" i="24"/>
  <c r="O233" i="24"/>
  <c r="N233" i="24"/>
  <c r="M233" i="24"/>
  <c r="L233" i="24"/>
  <c r="K233" i="24"/>
  <c r="J233" i="24"/>
  <c r="I233" i="24"/>
  <c r="H233" i="24"/>
  <c r="G233" i="24"/>
  <c r="F233" i="24"/>
  <c r="E233" i="24"/>
  <c r="D233" i="24"/>
  <c r="C233" i="24"/>
  <c r="B233" i="24"/>
  <c r="GT232" i="24"/>
  <c r="GS232" i="24"/>
  <c r="GR232" i="24"/>
  <c r="GQ232" i="24"/>
  <c r="GP232" i="24"/>
  <c r="GO232" i="24"/>
  <c r="GN232" i="24"/>
  <c r="GM232" i="24"/>
  <c r="GL232" i="24"/>
  <c r="GK232" i="24"/>
  <c r="GJ232" i="24"/>
  <c r="GI232" i="24"/>
  <c r="GH232" i="24"/>
  <c r="GG232" i="24"/>
  <c r="GF232" i="24"/>
  <c r="GE232" i="24"/>
  <c r="GD232" i="24"/>
  <c r="GC232" i="24"/>
  <c r="GB232" i="24"/>
  <c r="GA232" i="24"/>
  <c r="FZ232" i="24"/>
  <c r="FY232" i="24"/>
  <c r="FX232" i="24"/>
  <c r="FW232" i="24"/>
  <c r="FV232" i="24"/>
  <c r="FU232" i="24"/>
  <c r="FT232" i="24"/>
  <c r="FS232" i="24"/>
  <c r="FR232" i="24"/>
  <c r="FQ232" i="24"/>
  <c r="FP232" i="24"/>
  <c r="FO232" i="24"/>
  <c r="FN232" i="24"/>
  <c r="FM232" i="24"/>
  <c r="FL232" i="24"/>
  <c r="FK232" i="24"/>
  <c r="FJ232" i="24"/>
  <c r="FI232" i="24"/>
  <c r="FH232" i="24"/>
  <c r="FG232" i="24"/>
  <c r="FF232" i="24"/>
  <c r="FE232" i="24"/>
  <c r="FD232" i="24"/>
  <c r="FC232" i="24"/>
  <c r="FB232" i="24"/>
  <c r="FA232" i="24"/>
  <c r="EZ232" i="24"/>
  <c r="EY232" i="24"/>
  <c r="EX232" i="24"/>
  <c r="EW232" i="24"/>
  <c r="EV232" i="24"/>
  <c r="EU232" i="24"/>
  <c r="ET232" i="24"/>
  <c r="ES232" i="24"/>
  <c r="ER232" i="24"/>
  <c r="EQ232" i="24"/>
  <c r="EP232" i="24"/>
  <c r="EO232" i="24"/>
  <c r="EN232" i="24"/>
  <c r="EM232" i="24"/>
  <c r="EL232" i="24"/>
  <c r="EK232" i="24"/>
  <c r="EJ232" i="24"/>
  <c r="EI232" i="24"/>
  <c r="EH232" i="24"/>
  <c r="EG232" i="24"/>
  <c r="EF232" i="24"/>
  <c r="EE232" i="24"/>
  <c r="ED232" i="24"/>
  <c r="EC232" i="24"/>
  <c r="EB232" i="24"/>
  <c r="EA232" i="24"/>
  <c r="DZ232" i="24"/>
  <c r="DY232" i="24"/>
  <c r="DX232" i="24"/>
  <c r="DW232" i="24"/>
  <c r="DV232" i="24"/>
  <c r="DU232" i="24"/>
  <c r="DT232" i="24"/>
  <c r="DS232" i="24"/>
  <c r="DR232" i="24"/>
  <c r="DQ232" i="24"/>
  <c r="DP232" i="24"/>
  <c r="DO232" i="24"/>
  <c r="DN232" i="24"/>
  <c r="DM232" i="24"/>
  <c r="DL232" i="24"/>
  <c r="DK232" i="24"/>
  <c r="DJ232" i="24"/>
  <c r="DI232" i="24"/>
  <c r="DH232" i="24"/>
  <c r="DG232" i="24"/>
  <c r="DF232" i="24"/>
  <c r="DE232" i="24"/>
  <c r="DD232" i="24"/>
  <c r="DC232" i="24"/>
  <c r="DB232" i="24"/>
  <c r="DA232" i="24"/>
  <c r="CZ232" i="24"/>
  <c r="CY232" i="24"/>
  <c r="CX232" i="24"/>
  <c r="CW232" i="24"/>
  <c r="CV232" i="24"/>
  <c r="CU232" i="24"/>
  <c r="CT232" i="24"/>
  <c r="CS232" i="24"/>
  <c r="CR232" i="24"/>
  <c r="CQ232" i="24"/>
  <c r="CP232" i="24"/>
  <c r="CO232" i="24"/>
  <c r="CN232" i="24"/>
  <c r="CM232" i="24"/>
  <c r="CL232" i="24"/>
  <c r="CK232" i="24"/>
  <c r="CJ232" i="24"/>
  <c r="CI232" i="24"/>
  <c r="CH232" i="24"/>
  <c r="CG232" i="24"/>
  <c r="CF232" i="24"/>
  <c r="CE232" i="24"/>
  <c r="CD232" i="24"/>
  <c r="CC232" i="24"/>
  <c r="CB232" i="24"/>
  <c r="CA232" i="24"/>
  <c r="BZ232" i="24"/>
  <c r="BY232" i="24"/>
  <c r="BX232" i="24"/>
  <c r="BW232" i="24"/>
  <c r="BV232" i="24"/>
  <c r="BU232" i="24"/>
  <c r="BT232" i="24"/>
  <c r="BS232" i="24"/>
  <c r="BR232" i="24"/>
  <c r="BQ232" i="24"/>
  <c r="BP232" i="24"/>
  <c r="BO232" i="24"/>
  <c r="BN232" i="24"/>
  <c r="BM232" i="24"/>
  <c r="BL232" i="24"/>
  <c r="BK232" i="24"/>
  <c r="BJ232" i="24"/>
  <c r="BI232" i="24"/>
  <c r="BH232" i="24"/>
  <c r="BG232" i="24"/>
  <c r="BF232" i="24"/>
  <c r="BE232" i="24"/>
  <c r="BD232" i="24"/>
  <c r="BC232" i="24"/>
  <c r="BB232" i="24"/>
  <c r="BA232" i="24"/>
  <c r="AZ232" i="24"/>
  <c r="AY232" i="24"/>
  <c r="AX232" i="24"/>
  <c r="AW232" i="24"/>
  <c r="AV232" i="24"/>
  <c r="AU232" i="24"/>
  <c r="AT232" i="24"/>
  <c r="AS232" i="24"/>
  <c r="AR232" i="24"/>
  <c r="AQ232" i="24"/>
  <c r="AP232" i="24"/>
  <c r="AO232" i="24"/>
  <c r="AN232" i="24"/>
  <c r="AM232" i="24"/>
  <c r="AL232" i="24"/>
  <c r="AK232" i="24"/>
  <c r="AJ232" i="24"/>
  <c r="AI232" i="24"/>
  <c r="AH232" i="24"/>
  <c r="AG232" i="24"/>
  <c r="AF232" i="24"/>
  <c r="AE232" i="24"/>
  <c r="AD232" i="24"/>
  <c r="AC232" i="24"/>
  <c r="AB232" i="24"/>
  <c r="AA232" i="24"/>
  <c r="Z232" i="24"/>
  <c r="Y232" i="24"/>
  <c r="X232" i="24"/>
  <c r="W232" i="24"/>
  <c r="V232" i="24"/>
  <c r="U232" i="24"/>
  <c r="T232" i="24"/>
  <c r="S232" i="24"/>
  <c r="R232" i="24"/>
  <c r="Q232" i="24"/>
  <c r="P232" i="24"/>
  <c r="O232" i="24"/>
  <c r="N232" i="24"/>
  <c r="M232" i="24"/>
  <c r="L232" i="24"/>
  <c r="K232" i="24"/>
  <c r="J232" i="24"/>
  <c r="I232" i="24"/>
  <c r="H232" i="24"/>
  <c r="G232" i="24"/>
  <c r="F232" i="24"/>
  <c r="E232" i="24"/>
  <c r="D232" i="24"/>
  <c r="C232" i="24"/>
  <c r="B232" i="24"/>
  <c r="GT231" i="24"/>
  <c r="GS231" i="24"/>
  <c r="GR231" i="24"/>
  <c r="GQ231" i="24"/>
  <c r="GP231" i="24"/>
  <c r="GO231" i="24"/>
  <c r="GN231" i="24"/>
  <c r="GM231" i="24"/>
  <c r="GL231" i="24"/>
  <c r="GK231" i="24"/>
  <c r="GJ231" i="24"/>
  <c r="GI231" i="24"/>
  <c r="GH231" i="24"/>
  <c r="GG231" i="24"/>
  <c r="GF231" i="24"/>
  <c r="GE231" i="24"/>
  <c r="GD231" i="24"/>
  <c r="GC231" i="24"/>
  <c r="GB231" i="24"/>
  <c r="GA231" i="24"/>
  <c r="FZ231" i="24"/>
  <c r="FY231" i="24"/>
  <c r="FX231" i="24"/>
  <c r="FW231" i="24"/>
  <c r="FV231" i="24"/>
  <c r="FU231" i="24"/>
  <c r="FT231" i="24"/>
  <c r="FS231" i="24"/>
  <c r="FR231" i="24"/>
  <c r="FQ231" i="24"/>
  <c r="FP231" i="24"/>
  <c r="FO231" i="24"/>
  <c r="FN231" i="24"/>
  <c r="FM231" i="24"/>
  <c r="FL231" i="24"/>
  <c r="FK231" i="24"/>
  <c r="FJ231" i="24"/>
  <c r="FI231" i="24"/>
  <c r="FH231" i="24"/>
  <c r="FG231" i="24"/>
  <c r="FF231" i="24"/>
  <c r="FE231" i="24"/>
  <c r="FD231" i="24"/>
  <c r="FC231" i="24"/>
  <c r="FB231" i="24"/>
  <c r="FA231" i="24"/>
  <c r="EZ231" i="24"/>
  <c r="EY231" i="24"/>
  <c r="EX231" i="24"/>
  <c r="EW231" i="24"/>
  <c r="EV231" i="24"/>
  <c r="EU231" i="24"/>
  <c r="ET231" i="24"/>
  <c r="ES231" i="24"/>
  <c r="ER231" i="24"/>
  <c r="EQ231" i="24"/>
  <c r="EP231" i="24"/>
  <c r="EO231" i="24"/>
  <c r="EN231" i="24"/>
  <c r="EM231" i="24"/>
  <c r="EL231" i="24"/>
  <c r="EK231" i="24"/>
  <c r="EJ231" i="24"/>
  <c r="EI231" i="24"/>
  <c r="EH231" i="24"/>
  <c r="EG231" i="24"/>
  <c r="EF231" i="24"/>
  <c r="EE231" i="24"/>
  <c r="ED231" i="24"/>
  <c r="EC231" i="24"/>
  <c r="EB231" i="24"/>
  <c r="EA231" i="24"/>
  <c r="DZ231" i="24"/>
  <c r="DY231" i="24"/>
  <c r="DX231" i="24"/>
  <c r="DW231" i="24"/>
  <c r="DV231" i="24"/>
  <c r="DU231" i="24"/>
  <c r="DT231" i="24"/>
  <c r="DS231" i="24"/>
  <c r="DR231" i="24"/>
  <c r="DQ231" i="24"/>
  <c r="DP231" i="24"/>
  <c r="DO231" i="24"/>
  <c r="DN231" i="24"/>
  <c r="DM231" i="24"/>
  <c r="DL231" i="24"/>
  <c r="DK231" i="24"/>
  <c r="DJ231" i="24"/>
  <c r="DI231" i="24"/>
  <c r="DH231" i="24"/>
  <c r="DG231" i="24"/>
  <c r="DF231" i="24"/>
  <c r="DE231" i="24"/>
  <c r="DD231" i="24"/>
  <c r="DC231" i="24"/>
  <c r="DB231" i="24"/>
  <c r="DA231" i="24"/>
  <c r="CZ231" i="24"/>
  <c r="CY231" i="24"/>
  <c r="CX231" i="24"/>
  <c r="CW231" i="24"/>
  <c r="CV231" i="24"/>
  <c r="CU231" i="24"/>
  <c r="CT231" i="24"/>
  <c r="CS231" i="24"/>
  <c r="CR231" i="24"/>
  <c r="CQ231" i="24"/>
  <c r="CP231" i="24"/>
  <c r="CO231" i="24"/>
  <c r="CN231" i="24"/>
  <c r="CM231" i="24"/>
  <c r="CL231" i="24"/>
  <c r="CK231" i="24"/>
  <c r="CJ231" i="24"/>
  <c r="CI231" i="24"/>
  <c r="CH231" i="24"/>
  <c r="CG231" i="24"/>
  <c r="CF231" i="24"/>
  <c r="CE231" i="24"/>
  <c r="CD231" i="24"/>
  <c r="CC231" i="24"/>
  <c r="CB231" i="24"/>
  <c r="CA231" i="24"/>
  <c r="BZ231" i="24"/>
  <c r="BY231" i="24"/>
  <c r="BX231" i="24"/>
  <c r="BW231" i="24"/>
  <c r="BV231" i="24"/>
  <c r="BU231" i="24"/>
  <c r="BT231" i="24"/>
  <c r="BS231" i="24"/>
  <c r="BR231" i="24"/>
  <c r="BQ231" i="24"/>
  <c r="BP231" i="24"/>
  <c r="BO231" i="24"/>
  <c r="BN231" i="24"/>
  <c r="BM231" i="24"/>
  <c r="BL231" i="24"/>
  <c r="BK231" i="24"/>
  <c r="BJ231" i="24"/>
  <c r="BI231" i="24"/>
  <c r="BH231" i="24"/>
  <c r="BG231" i="24"/>
  <c r="BF231" i="24"/>
  <c r="BE231" i="24"/>
  <c r="BD231" i="24"/>
  <c r="BC231" i="24"/>
  <c r="BB231" i="24"/>
  <c r="BA231" i="24"/>
  <c r="AZ231" i="24"/>
  <c r="AY231" i="24"/>
  <c r="AX231" i="24"/>
  <c r="AW231" i="24"/>
  <c r="AV231" i="24"/>
  <c r="AU231" i="24"/>
  <c r="AT231" i="24"/>
  <c r="AS231" i="24"/>
  <c r="AR231" i="24"/>
  <c r="AQ231" i="24"/>
  <c r="AP231" i="24"/>
  <c r="AO231" i="24"/>
  <c r="AN231" i="24"/>
  <c r="AM231" i="24"/>
  <c r="AL231" i="24"/>
  <c r="AK231" i="24"/>
  <c r="AJ231" i="24"/>
  <c r="AI231" i="24"/>
  <c r="AH231" i="24"/>
  <c r="AG231" i="24"/>
  <c r="AF231" i="24"/>
  <c r="AE231" i="24"/>
  <c r="AD231" i="24"/>
  <c r="AC231" i="24"/>
  <c r="AB231" i="24"/>
  <c r="AA231" i="24"/>
  <c r="Z231" i="24"/>
  <c r="Y231" i="24"/>
  <c r="X231" i="24"/>
  <c r="W231" i="24"/>
  <c r="V231" i="24"/>
  <c r="U231" i="24"/>
  <c r="T231" i="24"/>
  <c r="S231" i="24"/>
  <c r="R231" i="24"/>
  <c r="Q231" i="24"/>
  <c r="P231" i="24"/>
  <c r="O231" i="24"/>
  <c r="N231" i="24"/>
  <c r="M231" i="24"/>
  <c r="L231" i="24"/>
  <c r="K231" i="24"/>
  <c r="J231" i="24"/>
  <c r="I231" i="24"/>
  <c r="H231" i="24"/>
  <c r="G231" i="24"/>
  <c r="F231" i="24"/>
  <c r="E231" i="24"/>
  <c r="D231" i="24"/>
  <c r="C231" i="24"/>
  <c r="B231" i="24"/>
  <c r="GT230" i="24"/>
  <c r="GS230" i="24"/>
  <c r="GR230" i="24"/>
  <c r="GQ230" i="24"/>
  <c r="GP230" i="24"/>
  <c r="GO230" i="24"/>
  <c r="GN230" i="24"/>
  <c r="GM230" i="24"/>
  <c r="GL230" i="24"/>
  <c r="GK230" i="24"/>
  <c r="GJ230" i="24"/>
  <c r="GI230" i="24"/>
  <c r="GH230" i="24"/>
  <c r="GG230" i="24"/>
  <c r="GF230" i="24"/>
  <c r="GE230" i="24"/>
  <c r="GD230" i="24"/>
  <c r="GC230" i="24"/>
  <c r="GB230" i="24"/>
  <c r="GA230" i="24"/>
  <c r="FZ230" i="24"/>
  <c r="FY230" i="24"/>
  <c r="FX230" i="24"/>
  <c r="FW230" i="24"/>
  <c r="FV230" i="24"/>
  <c r="FU230" i="24"/>
  <c r="FT230" i="24"/>
  <c r="FS230" i="24"/>
  <c r="FR230" i="24"/>
  <c r="FQ230" i="24"/>
  <c r="FP230" i="24"/>
  <c r="FO230" i="24"/>
  <c r="FN230" i="24"/>
  <c r="FM230" i="24"/>
  <c r="FL230" i="24"/>
  <c r="FK230" i="24"/>
  <c r="FJ230" i="24"/>
  <c r="FI230" i="24"/>
  <c r="FH230" i="24"/>
  <c r="FG230" i="24"/>
  <c r="FF230" i="24"/>
  <c r="FE230" i="24"/>
  <c r="FD230" i="24"/>
  <c r="FC230" i="24"/>
  <c r="FB230" i="24"/>
  <c r="FA230" i="24"/>
  <c r="EZ230" i="24"/>
  <c r="EY230" i="24"/>
  <c r="EX230" i="24"/>
  <c r="EW230" i="24"/>
  <c r="EV230" i="24"/>
  <c r="EU230" i="24"/>
  <c r="ET230" i="24"/>
  <c r="ES230" i="24"/>
  <c r="ER230" i="24"/>
  <c r="EQ230" i="24"/>
  <c r="EP230" i="24"/>
  <c r="EO230" i="24"/>
  <c r="EN230" i="24"/>
  <c r="EM230" i="24"/>
  <c r="EL230" i="24"/>
  <c r="EK230" i="24"/>
  <c r="EJ230" i="24"/>
  <c r="EI230" i="24"/>
  <c r="EH230" i="24"/>
  <c r="EG230" i="24"/>
  <c r="EF230" i="24"/>
  <c r="EE230" i="24"/>
  <c r="ED230" i="24"/>
  <c r="EC230" i="24"/>
  <c r="EB230" i="24"/>
  <c r="EA230" i="24"/>
  <c r="DZ230" i="24"/>
  <c r="DY230" i="24"/>
  <c r="DX230" i="24"/>
  <c r="DW230" i="24"/>
  <c r="DV230" i="24"/>
  <c r="DU230" i="24"/>
  <c r="DT230" i="24"/>
  <c r="DS230" i="24"/>
  <c r="DR230" i="24"/>
  <c r="DQ230" i="24"/>
  <c r="DP230" i="24"/>
  <c r="DO230" i="24"/>
  <c r="DN230" i="24"/>
  <c r="DM230" i="24"/>
  <c r="DL230" i="24"/>
  <c r="DK230" i="24"/>
  <c r="DJ230" i="24"/>
  <c r="DI230" i="24"/>
  <c r="DH230" i="24"/>
  <c r="DG230" i="24"/>
  <c r="DF230" i="24"/>
  <c r="DE230" i="24"/>
  <c r="DD230" i="24"/>
  <c r="DC230" i="24"/>
  <c r="DB230" i="24"/>
  <c r="DA230" i="24"/>
  <c r="CZ230" i="24"/>
  <c r="CY230" i="24"/>
  <c r="CX230" i="24"/>
  <c r="CW230" i="24"/>
  <c r="CV230" i="24"/>
  <c r="CU230" i="24"/>
  <c r="CT230" i="24"/>
  <c r="CS230" i="24"/>
  <c r="CR230" i="24"/>
  <c r="CQ230" i="24"/>
  <c r="CP230" i="24"/>
  <c r="CO230" i="24"/>
  <c r="CN230" i="24"/>
  <c r="CM230" i="24"/>
  <c r="CL230" i="24"/>
  <c r="CK230" i="24"/>
  <c r="CJ230" i="24"/>
  <c r="CI230" i="24"/>
  <c r="CH230" i="24"/>
  <c r="CG230" i="24"/>
  <c r="CF230" i="24"/>
  <c r="CE230" i="24"/>
  <c r="CD230" i="24"/>
  <c r="CC230" i="24"/>
  <c r="CB230" i="24"/>
  <c r="CA230" i="24"/>
  <c r="BZ230" i="24"/>
  <c r="BY230" i="24"/>
  <c r="BX230" i="24"/>
  <c r="BW230" i="24"/>
  <c r="BV230" i="24"/>
  <c r="BU230" i="24"/>
  <c r="BT230" i="24"/>
  <c r="BS230" i="24"/>
  <c r="BR230" i="24"/>
  <c r="BQ230" i="24"/>
  <c r="BP230" i="24"/>
  <c r="BO230" i="24"/>
  <c r="BN230" i="24"/>
  <c r="BM230" i="24"/>
  <c r="BL230" i="24"/>
  <c r="BK230" i="24"/>
  <c r="BJ230" i="24"/>
  <c r="BI230" i="24"/>
  <c r="BH230" i="24"/>
  <c r="BG230" i="24"/>
  <c r="BF230" i="24"/>
  <c r="BE230" i="24"/>
  <c r="BD230" i="24"/>
  <c r="BC230" i="24"/>
  <c r="BB230" i="24"/>
  <c r="BA230" i="24"/>
  <c r="AZ230" i="24"/>
  <c r="AY230" i="24"/>
  <c r="AX230" i="24"/>
  <c r="AW230" i="24"/>
  <c r="AV230" i="24"/>
  <c r="AU230" i="24"/>
  <c r="AT230" i="24"/>
  <c r="AS230" i="24"/>
  <c r="AR230" i="24"/>
  <c r="AQ230" i="24"/>
  <c r="AP230" i="24"/>
  <c r="AO230" i="24"/>
  <c r="AN230" i="24"/>
  <c r="AM230" i="24"/>
  <c r="AL230" i="24"/>
  <c r="AK230" i="24"/>
  <c r="AJ230" i="24"/>
  <c r="AI230" i="24"/>
  <c r="AH230" i="24"/>
  <c r="AG230" i="24"/>
  <c r="AF230" i="24"/>
  <c r="AE230" i="24"/>
  <c r="AD230" i="24"/>
  <c r="AC230" i="24"/>
  <c r="AB230" i="24"/>
  <c r="AA230" i="24"/>
  <c r="Z230" i="24"/>
  <c r="Y230" i="24"/>
  <c r="X230" i="24"/>
  <c r="W230" i="24"/>
  <c r="V230" i="24"/>
  <c r="U230" i="24"/>
  <c r="T230" i="24"/>
  <c r="S230" i="24"/>
  <c r="R230" i="24"/>
  <c r="Q230" i="24"/>
  <c r="P230" i="24"/>
  <c r="O230" i="24"/>
  <c r="N230" i="24"/>
  <c r="M230" i="24"/>
  <c r="L230" i="24"/>
  <c r="K230" i="24"/>
  <c r="J230" i="24"/>
  <c r="I230" i="24"/>
  <c r="H230" i="24"/>
  <c r="G230" i="24"/>
  <c r="F230" i="24"/>
  <c r="E230" i="24"/>
  <c r="D230" i="24"/>
  <c r="C230" i="24"/>
  <c r="B230" i="24"/>
  <c r="GT229" i="24"/>
  <c r="GS229" i="24"/>
  <c r="GR229" i="24"/>
  <c r="GQ229" i="24"/>
  <c r="GP229" i="24"/>
  <c r="GO229" i="24"/>
  <c r="GN229" i="24"/>
  <c r="GM229" i="24"/>
  <c r="GL229" i="24"/>
  <c r="GK229" i="24"/>
  <c r="GJ229" i="24"/>
  <c r="GI229" i="24"/>
  <c r="GH229" i="24"/>
  <c r="GG229" i="24"/>
  <c r="GF229" i="24"/>
  <c r="GE229" i="24"/>
  <c r="GD229" i="24"/>
  <c r="GC229" i="24"/>
  <c r="GB229" i="24"/>
  <c r="GA229" i="24"/>
  <c r="FZ229" i="24"/>
  <c r="FY229" i="24"/>
  <c r="FX229" i="24"/>
  <c r="FW229" i="24"/>
  <c r="FV229" i="24"/>
  <c r="FU229" i="24"/>
  <c r="FT229" i="24"/>
  <c r="FS229" i="24"/>
  <c r="FR229" i="24"/>
  <c r="FQ229" i="24"/>
  <c r="FP229" i="24"/>
  <c r="FO229" i="24"/>
  <c r="FN229" i="24"/>
  <c r="FM229" i="24"/>
  <c r="FL229" i="24"/>
  <c r="FK229" i="24"/>
  <c r="FJ229" i="24"/>
  <c r="FI229" i="24"/>
  <c r="FH229" i="24"/>
  <c r="FG229" i="24"/>
  <c r="FF229" i="24"/>
  <c r="FE229" i="24"/>
  <c r="FD229" i="24"/>
  <c r="FC229" i="24"/>
  <c r="FB229" i="24"/>
  <c r="FA229" i="24"/>
  <c r="EZ229" i="24"/>
  <c r="EY229" i="24"/>
  <c r="EX229" i="24"/>
  <c r="EW229" i="24"/>
  <c r="EV229" i="24"/>
  <c r="EU229" i="24"/>
  <c r="ET229" i="24"/>
  <c r="ES229" i="24"/>
  <c r="ER229" i="24"/>
  <c r="EQ229" i="24"/>
  <c r="EP229" i="24"/>
  <c r="EO229" i="24"/>
  <c r="EN229" i="24"/>
  <c r="EM229" i="24"/>
  <c r="EL229" i="24"/>
  <c r="EK229" i="24"/>
  <c r="EJ229" i="24"/>
  <c r="EI229" i="24"/>
  <c r="EH229" i="24"/>
  <c r="EG229" i="24"/>
  <c r="EF229" i="24"/>
  <c r="EE229" i="24"/>
  <c r="ED229" i="24"/>
  <c r="EC229" i="24"/>
  <c r="EB229" i="24"/>
  <c r="EA229" i="24"/>
  <c r="DZ229" i="24"/>
  <c r="DY229" i="24"/>
  <c r="DX229" i="24"/>
  <c r="DW229" i="24"/>
  <c r="DV229" i="24"/>
  <c r="DU229" i="24"/>
  <c r="DT229" i="24"/>
  <c r="DS229" i="24"/>
  <c r="DR229" i="24"/>
  <c r="DQ229" i="24"/>
  <c r="DP229" i="24"/>
  <c r="DO229" i="24"/>
  <c r="DN229" i="24"/>
  <c r="DM229" i="24"/>
  <c r="DL229" i="24"/>
  <c r="DK229" i="24"/>
  <c r="DJ229" i="24"/>
  <c r="DI229" i="24"/>
  <c r="DH229" i="24"/>
  <c r="DG229" i="24"/>
  <c r="DF229" i="24"/>
  <c r="DE229" i="24"/>
  <c r="DD229" i="24"/>
  <c r="DC229" i="24"/>
  <c r="DB229" i="24"/>
  <c r="DA229" i="24"/>
  <c r="CZ229" i="24"/>
  <c r="CY229" i="24"/>
  <c r="CX229" i="24"/>
  <c r="CW229" i="24"/>
  <c r="CV229" i="24"/>
  <c r="CU229" i="24"/>
  <c r="CT229" i="24"/>
  <c r="CS229" i="24"/>
  <c r="CR229" i="24"/>
  <c r="CQ229" i="24"/>
  <c r="CP229" i="24"/>
  <c r="CO229" i="24"/>
  <c r="CN229" i="24"/>
  <c r="CM229" i="24"/>
  <c r="CL229" i="24"/>
  <c r="CK229" i="24"/>
  <c r="CJ229" i="24"/>
  <c r="CI229" i="24"/>
  <c r="CH229" i="24"/>
  <c r="CG229" i="24"/>
  <c r="CF229" i="24"/>
  <c r="CE229" i="24"/>
  <c r="CD229" i="24"/>
  <c r="CC229" i="24"/>
  <c r="CB229" i="24"/>
  <c r="CA229" i="24"/>
  <c r="BZ229" i="24"/>
  <c r="BY229" i="24"/>
  <c r="BX229" i="24"/>
  <c r="BW229" i="24"/>
  <c r="BV229" i="24"/>
  <c r="BU229" i="24"/>
  <c r="BT229" i="24"/>
  <c r="BS229" i="24"/>
  <c r="BR229" i="24"/>
  <c r="BQ229" i="24"/>
  <c r="BP229" i="24"/>
  <c r="BO229" i="24"/>
  <c r="BN229" i="24"/>
  <c r="BM229" i="24"/>
  <c r="BL229" i="24"/>
  <c r="BK229" i="24"/>
  <c r="BJ229" i="24"/>
  <c r="BI229" i="24"/>
  <c r="BH229" i="24"/>
  <c r="BG229" i="24"/>
  <c r="BF229" i="24"/>
  <c r="BE229" i="24"/>
  <c r="BD229" i="24"/>
  <c r="BC229" i="24"/>
  <c r="BB229" i="24"/>
  <c r="BA229" i="24"/>
  <c r="AZ229" i="24"/>
  <c r="AY229" i="24"/>
  <c r="AX229" i="24"/>
  <c r="AW229" i="24"/>
  <c r="AV229" i="24"/>
  <c r="AU229" i="24"/>
  <c r="AT229" i="24"/>
  <c r="AS229" i="24"/>
  <c r="AR229" i="24"/>
  <c r="AQ229" i="24"/>
  <c r="AP229" i="24"/>
  <c r="AO229" i="24"/>
  <c r="AN229" i="24"/>
  <c r="AM229" i="24"/>
  <c r="AL229" i="24"/>
  <c r="AK229" i="24"/>
  <c r="AJ229" i="24"/>
  <c r="AI229" i="24"/>
  <c r="AH229" i="24"/>
  <c r="AG229" i="24"/>
  <c r="AF229" i="24"/>
  <c r="AE229" i="24"/>
  <c r="AD229" i="24"/>
  <c r="AC229" i="24"/>
  <c r="AB229" i="24"/>
  <c r="AA229" i="24"/>
  <c r="Z229" i="24"/>
  <c r="Y229" i="24"/>
  <c r="X229" i="24"/>
  <c r="W229" i="24"/>
  <c r="V229" i="24"/>
  <c r="U229" i="24"/>
  <c r="T229" i="24"/>
  <c r="S229" i="24"/>
  <c r="R229" i="24"/>
  <c r="Q229" i="24"/>
  <c r="P229" i="24"/>
  <c r="O229" i="24"/>
  <c r="N229" i="24"/>
  <c r="M229" i="24"/>
  <c r="L229" i="24"/>
  <c r="K229" i="24"/>
  <c r="J229" i="24"/>
  <c r="I229" i="24"/>
  <c r="H229" i="24"/>
  <c r="G229" i="24"/>
  <c r="F229" i="24"/>
  <c r="E229" i="24"/>
  <c r="D229" i="24"/>
  <c r="C229" i="24"/>
  <c r="B229" i="24"/>
  <c r="GT228" i="24"/>
  <c r="GS228" i="24"/>
  <c r="GR228" i="24"/>
  <c r="GQ228" i="24"/>
  <c r="GP228" i="24"/>
  <c r="GO228" i="24"/>
  <c r="GN228" i="24"/>
  <c r="GM228" i="24"/>
  <c r="GL228" i="24"/>
  <c r="GK228" i="24"/>
  <c r="GJ228" i="24"/>
  <c r="GI228" i="24"/>
  <c r="GH228" i="24"/>
  <c r="GG228" i="24"/>
  <c r="GF228" i="24"/>
  <c r="GE228" i="24"/>
  <c r="GD228" i="24"/>
  <c r="GC228" i="24"/>
  <c r="GB228" i="24"/>
  <c r="GA228" i="24"/>
  <c r="FZ228" i="24"/>
  <c r="FY228" i="24"/>
  <c r="FX228" i="24"/>
  <c r="FW228" i="24"/>
  <c r="FV228" i="24"/>
  <c r="FU228" i="24"/>
  <c r="FT228" i="24"/>
  <c r="FS228" i="24"/>
  <c r="FR228" i="24"/>
  <c r="FQ228" i="24"/>
  <c r="FP228" i="24"/>
  <c r="FO228" i="24"/>
  <c r="FN228" i="24"/>
  <c r="FM228" i="24"/>
  <c r="FL228" i="24"/>
  <c r="FK228" i="24"/>
  <c r="FJ228" i="24"/>
  <c r="FI228" i="24"/>
  <c r="FH228" i="24"/>
  <c r="FG228" i="24"/>
  <c r="FF228" i="24"/>
  <c r="FE228" i="24"/>
  <c r="FD228" i="24"/>
  <c r="FC228" i="24"/>
  <c r="FB228" i="24"/>
  <c r="FA228" i="24"/>
  <c r="EZ228" i="24"/>
  <c r="EY228" i="24"/>
  <c r="EX228" i="24"/>
  <c r="EW228" i="24"/>
  <c r="EV228" i="24"/>
  <c r="EU228" i="24"/>
  <c r="ET228" i="24"/>
  <c r="ES228" i="24"/>
  <c r="ER228" i="24"/>
  <c r="EQ228" i="24"/>
  <c r="EP228" i="24"/>
  <c r="EO228" i="24"/>
  <c r="EN228" i="24"/>
  <c r="EM228" i="24"/>
  <c r="EL228" i="24"/>
  <c r="EK228" i="24"/>
  <c r="EJ228" i="24"/>
  <c r="EI228" i="24"/>
  <c r="EH228" i="24"/>
  <c r="EG228" i="24"/>
  <c r="EF228" i="24"/>
  <c r="EE228" i="24"/>
  <c r="ED228" i="24"/>
  <c r="EC228" i="24"/>
  <c r="EB228" i="24"/>
  <c r="EA228" i="24"/>
  <c r="DZ228" i="24"/>
  <c r="DY228" i="24"/>
  <c r="DX228" i="24"/>
  <c r="DW228" i="24"/>
  <c r="DV228" i="24"/>
  <c r="DU228" i="24"/>
  <c r="DT228" i="24"/>
  <c r="DS228" i="24"/>
  <c r="DR228" i="24"/>
  <c r="DQ228" i="24"/>
  <c r="DP228" i="24"/>
  <c r="DO228" i="24"/>
  <c r="DN228" i="24"/>
  <c r="DM228" i="24"/>
  <c r="DL228" i="24"/>
  <c r="DK228" i="24"/>
  <c r="DJ228" i="24"/>
  <c r="DI228" i="24"/>
  <c r="DH228" i="24"/>
  <c r="DG228" i="24"/>
  <c r="DF228" i="24"/>
  <c r="DE228" i="24"/>
  <c r="DD228" i="24"/>
  <c r="DC228" i="24"/>
  <c r="DB228" i="24"/>
  <c r="DA228" i="24"/>
  <c r="CZ228" i="24"/>
  <c r="CY228" i="24"/>
  <c r="CX228" i="24"/>
  <c r="CW228" i="24"/>
  <c r="CV228" i="24"/>
  <c r="CU228" i="24"/>
  <c r="CT228" i="24"/>
  <c r="CS228" i="24"/>
  <c r="CR228" i="24"/>
  <c r="CQ228" i="24"/>
  <c r="CP228" i="24"/>
  <c r="CO228" i="24"/>
  <c r="CN228" i="24"/>
  <c r="CM228" i="24"/>
  <c r="CL228" i="24"/>
  <c r="CK228" i="24"/>
  <c r="CJ228" i="24"/>
  <c r="CI228" i="24"/>
  <c r="CH228" i="24"/>
  <c r="CG228" i="24"/>
  <c r="CF228" i="24"/>
  <c r="CE228" i="24"/>
  <c r="CD228" i="24"/>
  <c r="CC228" i="24"/>
  <c r="CB228" i="24"/>
  <c r="CA228" i="24"/>
  <c r="BZ228" i="24"/>
  <c r="BY228" i="24"/>
  <c r="BX228" i="24"/>
  <c r="BW228" i="24"/>
  <c r="BV228" i="24"/>
  <c r="BU228" i="24"/>
  <c r="BT228" i="24"/>
  <c r="BS228" i="24"/>
  <c r="BR228" i="24"/>
  <c r="BQ228" i="24"/>
  <c r="BP228" i="24"/>
  <c r="BO228" i="24"/>
  <c r="BN228" i="24"/>
  <c r="BM228" i="24"/>
  <c r="BL228" i="24"/>
  <c r="BK228" i="24"/>
  <c r="BJ228" i="24"/>
  <c r="BI228" i="24"/>
  <c r="BH228" i="24"/>
  <c r="BG228" i="24"/>
  <c r="BF228" i="24"/>
  <c r="BE228" i="24"/>
  <c r="BD228" i="24"/>
  <c r="BC228" i="24"/>
  <c r="BB228" i="24"/>
  <c r="BA228" i="24"/>
  <c r="AZ228" i="24"/>
  <c r="AY228" i="24"/>
  <c r="AX228" i="24"/>
  <c r="AW228" i="24"/>
  <c r="AV228" i="24"/>
  <c r="AU228" i="24"/>
  <c r="AT228" i="24"/>
  <c r="AS228" i="24"/>
  <c r="AR228" i="24"/>
  <c r="AQ228" i="24"/>
  <c r="AP228" i="24"/>
  <c r="AO228" i="24"/>
  <c r="AN228" i="24"/>
  <c r="AM228" i="24"/>
  <c r="AL228" i="24"/>
  <c r="AK228" i="24"/>
  <c r="AJ228" i="24"/>
  <c r="AI228" i="24"/>
  <c r="AH228" i="24"/>
  <c r="AG228" i="24"/>
  <c r="AF228" i="24"/>
  <c r="AE228" i="24"/>
  <c r="AD228" i="24"/>
  <c r="AC228" i="24"/>
  <c r="AB228" i="24"/>
  <c r="AA228" i="24"/>
  <c r="Z228" i="24"/>
  <c r="Y228" i="24"/>
  <c r="X228" i="24"/>
  <c r="W228" i="24"/>
  <c r="V228" i="24"/>
  <c r="U228" i="24"/>
  <c r="T228" i="24"/>
  <c r="S228" i="24"/>
  <c r="R228" i="24"/>
  <c r="Q228" i="24"/>
  <c r="P228" i="24"/>
  <c r="O228" i="24"/>
  <c r="N228" i="24"/>
  <c r="M228" i="24"/>
  <c r="L228" i="24"/>
  <c r="K228" i="24"/>
  <c r="J228" i="24"/>
  <c r="I228" i="24"/>
  <c r="H228" i="24"/>
  <c r="G228" i="24"/>
  <c r="F228" i="24"/>
  <c r="E228" i="24"/>
  <c r="D228" i="24"/>
  <c r="C228" i="24"/>
  <c r="B228" i="24"/>
  <c r="GT227" i="24"/>
  <c r="GS227" i="24"/>
  <c r="GR227" i="24"/>
  <c r="GQ227" i="24"/>
  <c r="GP227" i="24"/>
  <c r="GO227" i="24"/>
  <c r="GN227" i="24"/>
  <c r="GM227" i="24"/>
  <c r="GL227" i="24"/>
  <c r="GK227" i="24"/>
  <c r="GJ227" i="24"/>
  <c r="GI227" i="24"/>
  <c r="GH227" i="24"/>
  <c r="GG227" i="24"/>
  <c r="GF227" i="24"/>
  <c r="GE227" i="24"/>
  <c r="GD227" i="24"/>
  <c r="GC227" i="24"/>
  <c r="GB227" i="24"/>
  <c r="GA227" i="24"/>
  <c r="FZ227" i="24"/>
  <c r="FY227" i="24"/>
  <c r="FX227" i="24"/>
  <c r="FW227" i="24"/>
  <c r="FV227" i="24"/>
  <c r="FU227" i="24"/>
  <c r="FT227" i="24"/>
  <c r="FS227" i="24"/>
  <c r="FR227" i="24"/>
  <c r="FQ227" i="24"/>
  <c r="FP227" i="24"/>
  <c r="FO227" i="24"/>
  <c r="FN227" i="24"/>
  <c r="FM227" i="24"/>
  <c r="FL227" i="24"/>
  <c r="FK227" i="24"/>
  <c r="FJ227" i="24"/>
  <c r="FI227" i="24"/>
  <c r="FH227" i="24"/>
  <c r="FG227" i="24"/>
  <c r="FF227" i="24"/>
  <c r="FE227" i="24"/>
  <c r="FD227" i="24"/>
  <c r="FC227" i="24"/>
  <c r="FB227" i="24"/>
  <c r="FA227" i="24"/>
  <c r="EZ227" i="24"/>
  <c r="EY227" i="24"/>
  <c r="EX227" i="24"/>
  <c r="EW227" i="24"/>
  <c r="EV227" i="24"/>
  <c r="EU227" i="24"/>
  <c r="ET227" i="24"/>
  <c r="ES227" i="24"/>
  <c r="ER227" i="24"/>
  <c r="EQ227" i="24"/>
  <c r="EP227" i="24"/>
  <c r="EO227" i="24"/>
  <c r="EN227" i="24"/>
  <c r="EM227" i="24"/>
  <c r="EL227" i="24"/>
  <c r="EK227" i="24"/>
  <c r="EJ227" i="24"/>
  <c r="EI227" i="24"/>
  <c r="EH227" i="24"/>
  <c r="EG227" i="24"/>
  <c r="EF227" i="24"/>
  <c r="EE227" i="24"/>
  <c r="ED227" i="24"/>
  <c r="EC227" i="24"/>
  <c r="EB227" i="24"/>
  <c r="EA227" i="24"/>
  <c r="DZ227" i="24"/>
  <c r="DY227" i="24"/>
  <c r="DX227" i="24"/>
  <c r="DW227" i="24"/>
  <c r="DV227" i="24"/>
  <c r="DU227" i="24"/>
  <c r="DT227" i="24"/>
  <c r="DS227" i="24"/>
  <c r="DR227" i="24"/>
  <c r="DQ227" i="24"/>
  <c r="DP227" i="24"/>
  <c r="DO227" i="24"/>
  <c r="DN227" i="24"/>
  <c r="DM227" i="24"/>
  <c r="DL227" i="24"/>
  <c r="DK227" i="24"/>
  <c r="DJ227" i="24"/>
  <c r="DI227" i="24"/>
  <c r="DH227" i="24"/>
  <c r="DG227" i="24"/>
  <c r="DF227" i="24"/>
  <c r="DE227" i="24"/>
  <c r="DD227" i="24"/>
  <c r="DC227" i="24"/>
  <c r="DB227" i="24"/>
  <c r="DA227" i="24"/>
  <c r="CZ227" i="24"/>
  <c r="CY227" i="24"/>
  <c r="CX227" i="24"/>
  <c r="CW227" i="24"/>
  <c r="CV227" i="24"/>
  <c r="CU227" i="24"/>
  <c r="CT227" i="24"/>
  <c r="CS227" i="24"/>
  <c r="CR227" i="24"/>
  <c r="CQ227" i="24"/>
  <c r="CP227" i="24"/>
  <c r="CO227" i="24"/>
  <c r="CN227" i="24"/>
  <c r="CM227" i="24"/>
  <c r="CL227" i="24"/>
  <c r="CK227" i="24"/>
  <c r="CJ227" i="24"/>
  <c r="CI227" i="24"/>
  <c r="CH227" i="24"/>
  <c r="CG227" i="24"/>
  <c r="CF227" i="24"/>
  <c r="CE227" i="24"/>
  <c r="CD227" i="24"/>
  <c r="CC227" i="24"/>
  <c r="CB227" i="24"/>
  <c r="CA227" i="24"/>
  <c r="BZ227" i="24"/>
  <c r="BY227" i="24"/>
  <c r="BX227" i="24"/>
  <c r="BW227" i="24"/>
  <c r="BV227" i="24"/>
  <c r="BU227" i="24"/>
  <c r="BT227" i="24"/>
  <c r="BS227" i="24"/>
  <c r="BR227" i="24"/>
  <c r="BQ227" i="24"/>
  <c r="BP227" i="24"/>
  <c r="BO227" i="24"/>
  <c r="BN227" i="24"/>
  <c r="BM227" i="24"/>
  <c r="BL227" i="24"/>
  <c r="BK227" i="24"/>
  <c r="BJ227" i="24"/>
  <c r="BI227" i="24"/>
  <c r="BH227" i="24"/>
  <c r="BG227" i="24"/>
  <c r="BF227" i="24"/>
  <c r="BE227" i="24"/>
  <c r="BD227" i="24"/>
  <c r="BC227" i="24"/>
  <c r="BB227" i="24"/>
  <c r="BA227" i="24"/>
  <c r="AZ227" i="24"/>
  <c r="AY227" i="24"/>
  <c r="AX227" i="24"/>
  <c r="AW227" i="24"/>
  <c r="AV227" i="24"/>
  <c r="AU227" i="24"/>
  <c r="AT227" i="24"/>
  <c r="AS227" i="24"/>
  <c r="AR227" i="24"/>
  <c r="AQ227" i="24"/>
  <c r="AP227" i="24"/>
  <c r="AO227" i="24"/>
  <c r="AN227" i="24"/>
  <c r="AM227" i="24"/>
  <c r="AL227" i="24"/>
  <c r="AK227" i="24"/>
  <c r="AJ227" i="24"/>
  <c r="AI227" i="24"/>
  <c r="AH227" i="24"/>
  <c r="AG227" i="24"/>
  <c r="AF227" i="24"/>
  <c r="AE227" i="24"/>
  <c r="AD227" i="24"/>
  <c r="AC227" i="24"/>
  <c r="AB227" i="24"/>
  <c r="AA227" i="24"/>
  <c r="Z227" i="24"/>
  <c r="Y227" i="24"/>
  <c r="X227" i="24"/>
  <c r="W227" i="24"/>
  <c r="V227" i="24"/>
  <c r="U227" i="24"/>
  <c r="T227" i="24"/>
  <c r="S227" i="24"/>
  <c r="R227" i="24"/>
  <c r="Q227" i="24"/>
  <c r="P227" i="24"/>
  <c r="O227" i="24"/>
  <c r="N227" i="24"/>
  <c r="M227" i="24"/>
  <c r="L227" i="24"/>
  <c r="K227" i="24"/>
  <c r="J227" i="24"/>
  <c r="I227" i="24"/>
  <c r="H227" i="24"/>
  <c r="G227" i="24"/>
  <c r="F227" i="24"/>
  <c r="E227" i="24"/>
  <c r="D227" i="24"/>
  <c r="C227" i="24"/>
  <c r="B227" i="24"/>
  <c r="GT226" i="24"/>
  <c r="GS226" i="24"/>
  <c r="GR226" i="24"/>
  <c r="GQ226" i="24"/>
  <c r="GP226" i="24"/>
  <c r="GO226" i="24"/>
  <c r="GN226" i="24"/>
  <c r="GM226" i="24"/>
  <c r="GL226" i="24"/>
  <c r="GK226" i="24"/>
  <c r="GJ226" i="24"/>
  <c r="GI226" i="24"/>
  <c r="GH226" i="24"/>
  <c r="GG226" i="24"/>
  <c r="GF226" i="24"/>
  <c r="GE226" i="24"/>
  <c r="GD226" i="24"/>
  <c r="GC226" i="24"/>
  <c r="GB226" i="24"/>
  <c r="GA226" i="24"/>
  <c r="FZ226" i="24"/>
  <c r="FY226" i="24"/>
  <c r="FX226" i="24"/>
  <c r="FW226" i="24"/>
  <c r="FV226" i="24"/>
  <c r="FU226" i="24"/>
  <c r="FT226" i="24"/>
  <c r="FS226" i="24"/>
  <c r="FR226" i="24"/>
  <c r="FQ226" i="24"/>
  <c r="FP226" i="24"/>
  <c r="FO226" i="24"/>
  <c r="FN226" i="24"/>
  <c r="FM226" i="24"/>
  <c r="FL226" i="24"/>
  <c r="FK226" i="24"/>
  <c r="FJ226" i="24"/>
  <c r="FI226" i="24"/>
  <c r="FH226" i="24"/>
  <c r="FG226" i="24"/>
  <c r="FF226" i="24"/>
  <c r="FE226" i="24"/>
  <c r="FD226" i="24"/>
  <c r="FC226" i="24"/>
  <c r="FB226" i="24"/>
  <c r="FA226" i="24"/>
  <c r="EZ226" i="24"/>
  <c r="EY226" i="24"/>
  <c r="EX226" i="24"/>
  <c r="EW226" i="24"/>
  <c r="EV226" i="24"/>
  <c r="EU226" i="24"/>
  <c r="ET226" i="24"/>
  <c r="ES226" i="24"/>
  <c r="ER226" i="24"/>
  <c r="EQ226" i="24"/>
  <c r="EP226" i="24"/>
  <c r="EO226" i="24"/>
  <c r="EN226" i="24"/>
  <c r="EM226" i="24"/>
  <c r="EL226" i="24"/>
  <c r="EK226" i="24"/>
  <c r="EJ226" i="24"/>
  <c r="EI226" i="24"/>
  <c r="EH226" i="24"/>
  <c r="EG226" i="24"/>
  <c r="EF226" i="24"/>
  <c r="EE226" i="24"/>
  <c r="ED226" i="24"/>
  <c r="EC226" i="24"/>
  <c r="EB226" i="24"/>
  <c r="EA226" i="24"/>
  <c r="DZ226" i="24"/>
  <c r="DY226" i="24"/>
  <c r="DX226" i="24"/>
  <c r="DW226" i="24"/>
  <c r="DV226" i="24"/>
  <c r="DU226" i="24"/>
  <c r="DT226" i="24"/>
  <c r="DS226" i="24"/>
  <c r="DR226" i="24"/>
  <c r="DQ226" i="24"/>
  <c r="DP226" i="24"/>
  <c r="DO226" i="24"/>
  <c r="DN226" i="24"/>
  <c r="DM226" i="24"/>
  <c r="DL226" i="24"/>
  <c r="DK226" i="24"/>
  <c r="DJ226" i="24"/>
  <c r="DI226" i="24"/>
  <c r="DH226" i="24"/>
  <c r="DG226" i="24"/>
  <c r="DF226" i="24"/>
  <c r="DE226" i="24"/>
  <c r="DD226" i="24"/>
  <c r="DC226" i="24"/>
  <c r="DB226" i="24"/>
  <c r="DA226" i="24"/>
  <c r="CZ226" i="24"/>
  <c r="CY226" i="24"/>
  <c r="CX226" i="24"/>
  <c r="CW226" i="24"/>
  <c r="CV226" i="24"/>
  <c r="CU226" i="24"/>
  <c r="CT226" i="24"/>
  <c r="CS226" i="24"/>
  <c r="CR226" i="24"/>
  <c r="CQ226" i="24"/>
  <c r="CP226" i="24"/>
  <c r="CO226" i="24"/>
  <c r="CN226" i="24"/>
  <c r="CM226" i="24"/>
  <c r="CL226" i="24"/>
  <c r="CK226" i="24"/>
  <c r="CJ226" i="24"/>
  <c r="CI226" i="24"/>
  <c r="CH226" i="24"/>
  <c r="CG226" i="24"/>
  <c r="CF226" i="24"/>
  <c r="CE226" i="24"/>
  <c r="CD226" i="24"/>
  <c r="CC226" i="24"/>
  <c r="CB226" i="24"/>
  <c r="CA226" i="24"/>
  <c r="BZ226" i="24"/>
  <c r="BY226" i="24"/>
  <c r="BX226" i="24"/>
  <c r="BW226" i="24"/>
  <c r="BV226" i="24"/>
  <c r="BU226" i="24"/>
  <c r="BT226" i="24"/>
  <c r="BS226" i="24"/>
  <c r="BR226" i="24"/>
  <c r="BQ226" i="24"/>
  <c r="BP226" i="24"/>
  <c r="BO226" i="24"/>
  <c r="BN226" i="24"/>
  <c r="BM226" i="24"/>
  <c r="BL226" i="24"/>
  <c r="BK226" i="24"/>
  <c r="BJ226" i="24"/>
  <c r="BI226" i="24"/>
  <c r="BH226" i="24"/>
  <c r="BG226" i="24"/>
  <c r="BF226" i="24"/>
  <c r="BE226" i="24"/>
  <c r="BD226" i="24"/>
  <c r="BC226" i="24"/>
  <c r="BB226" i="24"/>
  <c r="BA226" i="24"/>
  <c r="AZ226" i="24"/>
  <c r="AY226" i="24"/>
  <c r="AX226" i="24"/>
  <c r="AW226" i="24"/>
  <c r="AV226" i="24"/>
  <c r="AU226" i="24"/>
  <c r="AT226" i="24"/>
  <c r="AS226" i="24"/>
  <c r="AR226" i="24"/>
  <c r="AQ226" i="24"/>
  <c r="AP226" i="24"/>
  <c r="AO226" i="24"/>
  <c r="AN226" i="24"/>
  <c r="AM226" i="24"/>
  <c r="AL226" i="24"/>
  <c r="AK226" i="24"/>
  <c r="AJ226" i="24"/>
  <c r="AI226" i="24"/>
  <c r="AH226" i="24"/>
  <c r="AG226" i="24"/>
  <c r="AF226" i="24"/>
  <c r="AE226" i="24"/>
  <c r="AD226" i="24"/>
  <c r="AC226" i="24"/>
  <c r="AB226" i="24"/>
  <c r="AA226" i="24"/>
  <c r="Z226" i="24"/>
  <c r="Y226" i="24"/>
  <c r="X226" i="24"/>
  <c r="W226" i="24"/>
  <c r="V226" i="24"/>
  <c r="U226" i="24"/>
  <c r="T226" i="24"/>
  <c r="S226" i="24"/>
  <c r="R226" i="24"/>
  <c r="Q226" i="24"/>
  <c r="P226" i="24"/>
  <c r="O226" i="24"/>
  <c r="N226" i="24"/>
  <c r="M226" i="24"/>
  <c r="L226" i="24"/>
  <c r="K226" i="24"/>
  <c r="J226" i="24"/>
  <c r="I226" i="24"/>
  <c r="H226" i="24"/>
  <c r="G226" i="24"/>
  <c r="F226" i="24"/>
  <c r="E226" i="24"/>
  <c r="D226" i="24"/>
  <c r="C226" i="24"/>
  <c r="B226" i="24"/>
  <c r="GT225" i="24"/>
  <c r="GS225" i="24"/>
  <c r="GR225" i="24"/>
  <c r="GQ225" i="24"/>
  <c r="GP225" i="24"/>
  <c r="GO225" i="24"/>
  <c r="GN225" i="24"/>
  <c r="GM225" i="24"/>
  <c r="GL225" i="24"/>
  <c r="GK225" i="24"/>
  <c r="GJ225" i="24"/>
  <c r="GI225" i="24"/>
  <c r="GH225" i="24"/>
  <c r="GG225" i="24"/>
  <c r="GF225" i="24"/>
  <c r="GE225" i="24"/>
  <c r="GD225" i="24"/>
  <c r="GC225" i="24"/>
  <c r="GB225" i="24"/>
  <c r="GA225" i="24"/>
  <c r="FZ225" i="24"/>
  <c r="FY225" i="24"/>
  <c r="FX225" i="24"/>
  <c r="FW225" i="24"/>
  <c r="FV225" i="24"/>
  <c r="FU225" i="24"/>
  <c r="FT225" i="24"/>
  <c r="FS225" i="24"/>
  <c r="FR225" i="24"/>
  <c r="FQ225" i="24"/>
  <c r="FP225" i="24"/>
  <c r="FO225" i="24"/>
  <c r="FN225" i="24"/>
  <c r="FM225" i="24"/>
  <c r="FL225" i="24"/>
  <c r="FK225" i="24"/>
  <c r="FJ225" i="24"/>
  <c r="FI225" i="24"/>
  <c r="FH225" i="24"/>
  <c r="FG225" i="24"/>
  <c r="FF225" i="24"/>
  <c r="FE225" i="24"/>
  <c r="FD225" i="24"/>
  <c r="FC225" i="24"/>
  <c r="FB225" i="24"/>
  <c r="FA225" i="24"/>
  <c r="EZ225" i="24"/>
  <c r="EY225" i="24"/>
  <c r="EX225" i="24"/>
  <c r="EW225" i="24"/>
  <c r="EV225" i="24"/>
  <c r="EU225" i="24"/>
  <c r="ET225" i="24"/>
  <c r="ES225" i="24"/>
  <c r="ER225" i="24"/>
  <c r="EQ225" i="24"/>
  <c r="EP225" i="24"/>
  <c r="EO225" i="24"/>
  <c r="EN225" i="24"/>
  <c r="EM225" i="24"/>
  <c r="EL225" i="24"/>
  <c r="EK225" i="24"/>
  <c r="EJ225" i="24"/>
  <c r="EI225" i="24"/>
  <c r="EH225" i="24"/>
  <c r="EG225" i="24"/>
  <c r="EF225" i="24"/>
  <c r="EE225" i="24"/>
  <c r="ED225" i="24"/>
  <c r="EC225" i="24"/>
  <c r="EB225" i="24"/>
  <c r="EA225" i="24"/>
  <c r="DZ225" i="24"/>
  <c r="DY225" i="24"/>
  <c r="DX225" i="24"/>
  <c r="DW225" i="24"/>
  <c r="DV225" i="24"/>
  <c r="DU225" i="24"/>
  <c r="DT225" i="24"/>
  <c r="DS225" i="24"/>
  <c r="DR225" i="24"/>
  <c r="DQ225" i="24"/>
  <c r="DP225" i="24"/>
  <c r="DO225" i="24"/>
  <c r="DN225" i="24"/>
  <c r="DM225" i="24"/>
  <c r="DL225" i="24"/>
  <c r="DK225" i="24"/>
  <c r="DJ225" i="24"/>
  <c r="DI225" i="24"/>
  <c r="DH225" i="24"/>
  <c r="DG225" i="24"/>
  <c r="DF225" i="24"/>
  <c r="DE225" i="24"/>
  <c r="DD225" i="24"/>
  <c r="DC225" i="24"/>
  <c r="DB225" i="24"/>
  <c r="DA225" i="24"/>
  <c r="CZ225" i="24"/>
  <c r="CY225" i="24"/>
  <c r="CX225" i="24"/>
  <c r="CW225" i="24"/>
  <c r="CV225" i="24"/>
  <c r="CU225" i="24"/>
  <c r="CT225" i="24"/>
  <c r="CS225" i="24"/>
  <c r="CR225" i="24"/>
  <c r="CQ225" i="24"/>
  <c r="CP225" i="24"/>
  <c r="CO225" i="24"/>
  <c r="CN225" i="24"/>
  <c r="CM225" i="24"/>
  <c r="CL225" i="24"/>
  <c r="CK225" i="24"/>
  <c r="CJ225" i="24"/>
  <c r="CI225" i="24"/>
  <c r="CH225" i="24"/>
  <c r="CG225" i="24"/>
  <c r="CF225" i="24"/>
  <c r="CE225" i="24"/>
  <c r="CD225" i="24"/>
  <c r="CC225" i="24"/>
  <c r="CB225" i="24"/>
  <c r="CA225" i="24"/>
  <c r="BZ225" i="24"/>
  <c r="BY225" i="24"/>
  <c r="BX225" i="24"/>
  <c r="BW225" i="24"/>
  <c r="BV225" i="24"/>
  <c r="BU225" i="24"/>
  <c r="BT225" i="24"/>
  <c r="BS225" i="24"/>
  <c r="BR225" i="24"/>
  <c r="BQ225" i="24"/>
  <c r="BP225" i="24"/>
  <c r="BO225" i="24"/>
  <c r="BN225" i="24"/>
  <c r="BM225" i="24"/>
  <c r="BL225" i="24"/>
  <c r="BK225" i="24"/>
  <c r="BJ225" i="24"/>
  <c r="BI225" i="24"/>
  <c r="BH225" i="24"/>
  <c r="BG225" i="24"/>
  <c r="BF225" i="24"/>
  <c r="BE225" i="24"/>
  <c r="BD225" i="24"/>
  <c r="BC225" i="24"/>
  <c r="BB225" i="24"/>
  <c r="BA225" i="24"/>
  <c r="AZ225" i="24"/>
  <c r="AY225" i="24"/>
  <c r="AX225" i="24"/>
  <c r="AW225" i="24"/>
  <c r="AV225" i="24"/>
  <c r="AU225" i="24"/>
  <c r="AT225" i="24"/>
  <c r="AS225" i="24"/>
  <c r="AR225" i="24"/>
  <c r="AQ225" i="24"/>
  <c r="AP225" i="24"/>
  <c r="AO225" i="24"/>
  <c r="AN225" i="24"/>
  <c r="AM225" i="24"/>
  <c r="AL225" i="24"/>
  <c r="AK225" i="24"/>
  <c r="AJ225" i="24"/>
  <c r="AI225" i="24"/>
  <c r="AH225" i="24"/>
  <c r="AG225" i="24"/>
  <c r="AF225" i="24"/>
  <c r="AE225" i="24"/>
  <c r="AD225" i="24"/>
  <c r="AC225" i="24"/>
  <c r="AB225" i="24"/>
  <c r="AA225" i="24"/>
  <c r="Z225" i="24"/>
  <c r="Y225" i="24"/>
  <c r="X225" i="24"/>
  <c r="W225" i="24"/>
  <c r="V225" i="24"/>
  <c r="U225" i="24"/>
  <c r="T225" i="24"/>
  <c r="S225" i="24"/>
  <c r="R225" i="24"/>
  <c r="Q225" i="24"/>
  <c r="P225" i="24"/>
  <c r="O225" i="24"/>
  <c r="N225" i="24"/>
  <c r="M225" i="24"/>
  <c r="L225" i="24"/>
  <c r="K225" i="24"/>
  <c r="J225" i="24"/>
  <c r="I225" i="24"/>
  <c r="H225" i="24"/>
  <c r="G225" i="24"/>
  <c r="F225" i="24"/>
  <c r="E225" i="24"/>
  <c r="D225" i="24"/>
  <c r="C225" i="24"/>
  <c r="B225" i="24"/>
  <c r="GT224" i="24"/>
  <c r="GS224" i="24"/>
  <c r="GR224" i="24"/>
  <c r="GQ224" i="24"/>
  <c r="GP224" i="24"/>
  <c r="GO224" i="24"/>
  <c r="GN224" i="24"/>
  <c r="GM224" i="24"/>
  <c r="GL224" i="24"/>
  <c r="GK224" i="24"/>
  <c r="GJ224" i="24"/>
  <c r="GI224" i="24"/>
  <c r="GH224" i="24"/>
  <c r="GG224" i="24"/>
  <c r="GF224" i="24"/>
  <c r="GE224" i="24"/>
  <c r="GD224" i="24"/>
  <c r="GC224" i="24"/>
  <c r="GB224" i="24"/>
  <c r="GA224" i="24"/>
  <c r="FZ224" i="24"/>
  <c r="FY224" i="24"/>
  <c r="FX224" i="24"/>
  <c r="FW224" i="24"/>
  <c r="FV224" i="24"/>
  <c r="FU224" i="24"/>
  <c r="FT224" i="24"/>
  <c r="FS224" i="24"/>
  <c r="FR224" i="24"/>
  <c r="FQ224" i="24"/>
  <c r="FP224" i="24"/>
  <c r="FO224" i="24"/>
  <c r="FN224" i="24"/>
  <c r="FM224" i="24"/>
  <c r="FL224" i="24"/>
  <c r="FK224" i="24"/>
  <c r="FJ224" i="24"/>
  <c r="FI224" i="24"/>
  <c r="FH224" i="24"/>
  <c r="FG224" i="24"/>
  <c r="FF224" i="24"/>
  <c r="FE224" i="24"/>
  <c r="FD224" i="24"/>
  <c r="FC224" i="24"/>
  <c r="FB224" i="24"/>
  <c r="FA224" i="24"/>
  <c r="EZ224" i="24"/>
  <c r="EY224" i="24"/>
  <c r="EX224" i="24"/>
  <c r="EW224" i="24"/>
  <c r="EV224" i="24"/>
  <c r="EU224" i="24"/>
  <c r="ET224" i="24"/>
  <c r="ES224" i="24"/>
  <c r="ER224" i="24"/>
  <c r="EQ224" i="24"/>
  <c r="EP224" i="24"/>
  <c r="EO224" i="24"/>
  <c r="EN224" i="24"/>
  <c r="EM224" i="24"/>
  <c r="EL224" i="24"/>
  <c r="EK224" i="24"/>
  <c r="EJ224" i="24"/>
  <c r="EI224" i="24"/>
  <c r="EH224" i="24"/>
  <c r="EG224" i="24"/>
  <c r="EF224" i="24"/>
  <c r="EE224" i="24"/>
  <c r="ED224" i="24"/>
  <c r="EC224" i="24"/>
  <c r="EB224" i="24"/>
  <c r="EA224" i="24"/>
  <c r="DZ224" i="24"/>
  <c r="DY224" i="24"/>
  <c r="DX224" i="24"/>
  <c r="DW224" i="24"/>
  <c r="DV224" i="24"/>
  <c r="DU224" i="24"/>
  <c r="DT224" i="24"/>
  <c r="DS224" i="24"/>
  <c r="DR224" i="24"/>
  <c r="DQ224" i="24"/>
  <c r="DP224" i="24"/>
  <c r="DO224" i="24"/>
  <c r="DN224" i="24"/>
  <c r="DM224" i="24"/>
  <c r="DL224" i="24"/>
  <c r="DK224" i="24"/>
  <c r="DJ224" i="24"/>
  <c r="DI224" i="24"/>
  <c r="DH224" i="24"/>
  <c r="DG224" i="24"/>
  <c r="DF224" i="24"/>
  <c r="DE224" i="24"/>
  <c r="DD224" i="24"/>
  <c r="DC224" i="24"/>
  <c r="DB224" i="24"/>
  <c r="DA224" i="24"/>
  <c r="CZ224" i="24"/>
  <c r="CY224" i="24"/>
  <c r="CX224" i="24"/>
  <c r="CW224" i="24"/>
  <c r="CV224" i="24"/>
  <c r="CU224" i="24"/>
  <c r="CT224" i="24"/>
  <c r="CS224" i="24"/>
  <c r="CR224" i="24"/>
  <c r="CQ224" i="24"/>
  <c r="CP224" i="24"/>
  <c r="CO224" i="24"/>
  <c r="CN224" i="24"/>
  <c r="CM224" i="24"/>
  <c r="CL224" i="24"/>
  <c r="CK224" i="24"/>
  <c r="CJ224" i="24"/>
  <c r="CI224" i="24"/>
  <c r="CH224" i="24"/>
  <c r="CG224" i="24"/>
  <c r="CF224" i="24"/>
  <c r="CE224" i="24"/>
  <c r="CD224" i="24"/>
  <c r="CC224" i="24"/>
  <c r="CB224" i="24"/>
  <c r="CA224" i="24"/>
  <c r="BZ224" i="24"/>
  <c r="BY224" i="24"/>
  <c r="BX224" i="24"/>
  <c r="BW224" i="24"/>
  <c r="BV224" i="24"/>
  <c r="BU224" i="24"/>
  <c r="BT224" i="24"/>
  <c r="BS224" i="24"/>
  <c r="BR224" i="24"/>
  <c r="BQ224" i="24"/>
  <c r="BP224" i="24"/>
  <c r="BO224" i="24"/>
  <c r="BN224" i="24"/>
  <c r="BM224" i="24"/>
  <c r="BL224" i="24"/>
  <c r="BK224" i="24"/>
  <c r="BJ224" i="24"/>
  <c r="BI224" i="24"/>
  <c r="BH224" i="24"/>
  <c r="BG224" i="24"/>
  <c r="BF224" i="24"/>
  <c r="BE224" i="24"/>
  <c r="BD224" i="24"/>
  <c r="BC224" i="24"/>
  <c r="BB224" i="24"/>
  <c r="BA224" i="24"/>
  <c r="AZ224" i="24"/>
  <c r="AY224" i="24"/>
  <c r="AX224" i="24"/>
  <c r="AW224" i="24"/>
  <c r="AV224" i="24"/>
  <c r="AU224" i="24"/>
  <c r="AT224" i="24"/>
  <c r="AS224" i="24"/>
  <c r="AR224" i="24"/>
  <c r="AQ224" i="24"/>
  <c r="AP224" i="24"/>
  <c r="AO224" i="24"/>
  <c r="AN224" i="24"/>
  <c r="AM224" i="24"/>
  <c r="AL224" i="24"/>
  <c r="AK224" i="24"/>
  <c r="AJ224" i="24"/>
  <c r="AI224" i="24"/>
  <c r="AH224" i="24"/>
  <c r="AG224" i="24"/>
  <c r="AF224" i="24"/>
  <c r="AE224" i="24"/>
  <c r="AD224" i="24"/>
  <c r="AC224" i="24"/>
  <c r="AB224" i="24"/>
  <c r="AA224" i="24"/>
  <c r="Z224" i="24"/>
  <c r="Y224" i="24"/>
  <c r="X224" i="24"/>
  <c r="W224" i="24"/>
  <c r="V224" i="24"/>
  <c r="U224" i="24"/>
  <c r="T224" i="24"/>
  <c r="S224" i="24"/>
  <c r="R224" i="24"/>
  <c r="Q224" i="24"/>
  <c r="P224" i="24"/>
  <c r="O224" i="24"/>
  <c r="N224" i="24"/>
  <c r="M224" i="24"/>
  <c r="L224" i="24"/>
  <c r="K224" i="24"/>
  <c r="J224" i="24"/>
  <c r="I224" i="24"/>
  <c r="H224" i="24"/>
  <c r="G224" i="24"/>
  <c r="F224" i="24"/>
  <c r="E224" i="24"/>
  <c r="D224" i="24"/>
  <c r="C224" i="24"/>
  <c r="B224" i="24"/>
  <c r="GT223" i="24"/>
  <c r="GS223" i="24"/>
  <c r="GR223" i="24"/>
  <c r="GQ223" i="24"/>
  <c r="GP223" i="24"/>
  <c r="GO223" i="24"/>
  <c r="GN223" i="24"/>
  <c r="GM223" i="24"/>
  <c r="GL223" i="24"/>
  <c r="GK223" i="24"/>
  <c r="GJ223" i="24"/>
  <c r="GI223" i="24"/>
  <c r="GH223" i="24"/>
  <c r="GG223" i="24"/>
  <c r="GF223" i="24"/>
  <c r="GE223" i="24"/>
  <c r="GD223" i="24"/>
  <c r="GC223" i="24"/>
  <c r="GB223" i="24"/>
  <c r="GA223" i="24"/>
  <c r="FZ223" i="24"/>
  <c r="FY223" i="24"/>
  <c r="FX223" i="24"/>
  <c r="FW223" i="24"/>
  <c r="FV223" i="24"/>
  <c r="FU223" i="24"/>
  <c r="FT223" i="24"/>
  <c r="FS223" i="24"/>
  <c r="FR223" i="24"/>
  <c r="FQ223" i="24"/>
  <c r="FP223" i="24"/>
  <c r="FO223" i="24"/>
  <c r="FN223" i="24"/>
  <c r="FM223" i="24"/>
  <c r="FL223" i="24"/>
  <c r="FK223" i="24"/>
  <c r="FJ223" i="24"/>
  <c r="FI223" i="24"/>
  <c r="FH223" i="24"/>
  <c r="FG223" i="24"/>
  <c r="FF223" i="24"/>
  <c r="FE223" i="24"/>
  <c r="FD223" i="24"/>
  <c r="FC223" i="24"/>
  <c r="FB223" i="24"/>
  <c r="FA223" i="24"/>
  <c r="EZ223" i="24"/>
  <c r="EY223" i="24"/>
  <c r="EX223" i="24"/>
  <c r="EW223" i="24"/>
  <c r="EV223" i="24"/>
  <c r="EU223" i="24"/>
  <c r="ET223" i="24"/>
  <c r="ES223" i="24"/>
  <c r="ER223" i="24"/>
  <c r="EQ223" i="24"/>
  <c r="EP223" i="24"/>
  <c r="EO223" i="24"/>
  <c r="EN223" i="24"/>
  <c r="EM223" i="24"/>
  <c r="EL223" i="24"/>
  <c r="EK223" i="24"/>
  <c r="EJ223" i="24"/>
  <c r="EI223" i="24"/>
  <c r="EH223" i="24"/>
  <c r="EG223" i="24"/>
  <c r="EF223" i="24"/>
  <c r="EE223" i="24"/>
  <c r="ED223" i="24"/>
  <c r="EC223" i="24"/>
  <c r="EB223" i="24"/>
  <c r="EA223" i="24"/>
  <c r="DZ223" i="24"/>
  <c r="DY223" i="24"/>
  <c r="DX223" i="24"/>
  <c r="DW223" i="24"/>
  <c r="DV223" i="24"/>
  <c r="DU223" i="24"/>
  <c r="DT223" i="24"/>
  <c r="DS223" i="24"/>
  <c r="DR223" i="24"/>
  <c r="DQ223" i="24"/>
  <c r="DP223" i="24"/>
  <c r="DO223" i="24"/>
  <c r="DN223" i="24"/>
  <c r="DM223" i="24"/>
  <c r="DL223" i="24"/>
  <c r="DK223" i="24"/>
  <c r="DJ223" i="24"/>
  <c r="DI223" i="24"/>
  <c r="DH223" i="24"/>
  <c r="DG223" i="24"/>
  <c r="DF223" i="24"/>
  <c r="DE223" i="24"/>
  <c r="DD223" i="24"/>
  <c r="DC223" i="24"/>
  <c r="DB223" i="24"/>
  <c r="DA223" i="24"/>
  <c r="CZ223" i="24"/>
  <c r="CY223" i="24"/>
  <c r="CX223" i="24"/>
  <c r="CW223" i="24"/>
  <c r="CV223" i="24"/>
  <c r="CU223" i="24"/>
  <c r="CT223" i="24"/>
  <c r="CS223" i="24"/>
  <c r="CR223" i="24"/>
  <c r="CQ223" i="24"/>
  <c r="CP223" i="24"/>
  <c r="CO223" i="24"/>
  <c r="CN223" i="24"/>
  <c r="CM223" i="24"/>
  <c r="CL223" i="24"/>
  <c r="CK223" i="24"/>
  <c r="CJ223" i="24"/>
  <c r="CI223" i="24"/>
  <c r="CH223" i="24"/>
  <c r="CG223" i="24"/>
  <c r="CF223" i="24"/>
  <c r="CE223" i="24"/>
  <c r="CD223" i="24"/>
  <c r="CC223" i="24"/>
  <c r="CB223" i="24"/>
  <c r="CA223" i="24"/>
  <c r="BZ223" i="24"/>
  <c r="BY223" i="24"/>
  <c r="BX223" i="24"/>
  <c r="BW223" i="24"/>
  <c r="BV223" i="24"/>
  <c r="BU223" i="24"/>
  <c r="BT223" i="24"/>
  <c r="BS223" i="24"/>
  <c r="BR223" i="24"/>
  <c r="BQ223" i="24"/>
  <c r="BP223" i="24"/>
  <c r="BO223" i="24"/>
  <c r="BN223" i="24"/>
  <c r="BM223" i="24"/>
  <c r="BL223" i="24"/>
  <c r="BK223" i="24"/>
  <c r="BJ223" i="24"/>
  <c r="BI223" i="24"/>
  <c r="BH223" i="24"/>
  <c r="BG223" i="24"/>
  <c r="BF223" i="24"/>
  <c r="BE223" i="24"/>
  <c r="BD223" i="24"/>
  <c r="BC223" i="24"/>
  <c r="BB223" i="24"/>
  <c r="BA223" i="24"/>
  <c r="AZ223" i="24"/>
  <c r="AY223" i="24"/>
  <c r="AX223" i="24"/>
  <c r="AW223" i="24"/>
  <c r="AV223" i="24"/>
  <c r="AU223" i="24"/>
  <c r="AT223" i="24"/>
  <c r="AS223" i="24"/>
  <c r="AR223" i="24"/>
  <c r="AQ223" i="24"/>
  <c r="AP223" i="24"/>
  <c r="AO223" i="24"/>
  <c r="AN223" i="24"/>
  <c r="AM223" i="24"/>
  <c r="AL223" i="24"/>
  <c r="AK223" i="24"/>
  <c r="AJ223" i="24"/>
  <c r="AI223" i="24"/>
  <c r="AH223" i="24"/>
  <c r="AG223" i="24"/>
  <c r="AF223" i="24"/>
  <c r="AE223" i="24"/>
  <c r="AD223" i="24"/>
  <c r="AC223" i="24"/>
  <c r="AB223" i="24"/>
  <c r="AA223" i="24"/>
  <c r="Z223" i="24"/>
  <c r="Y223" i="24"/>
  <c r="X223" i="24"/>
  <c r="W223" i="24"/>
  <c r="V223" i="24"/>
  <c r="U223" i="24"/>
  <c r="T223" i="24"/>
  <c r="S223" i="24"/>
  <c r="R223" i="24"/>
  <c r="Q223" i="24"/>
  <c r="P223" i="24"/>
  <c r="O223" i="24"/>
  <c r="N223" i="24"/>
  <c r="M223" i="24"/>
  <c r="L223" i="24"/>
  <c r="K223" i="24"/>
  <c r="J223" i="24"/>
  <c r="I223" i="24"/>
  <c r="H223" i="24"/>
  <c r="G223" i="24"/>
  <c r="F223" i="24"/>
  <c r="E223" i="24"/>
  <c r="D223" i="24"/>
  <c r="C223" i="24"/>
  <c r="B223" i="24"/>
  <c r="GT222" i="24"/>
  <c r="GS222" i="24"/>
  <c r="GR222" i="24"/>
  <c r="GQ222" i="24"/>
  <c r="GP222" i="24"/>
  <c r="GO222" i="24"/>
  <c r="GN222" i="24"/>
  <c r="GM222" i="24"/>
  <c r="GL222" i="24"/>
  <c r="GK222" i="24"/>
  <c r="GJ222" i="24"/>
  <c r="GI222" i="24"/>
  <c r="GH222" i="24"/>
  <c r="GG222" i="24"/>
  <c r="GF222" i="24"/>
  <c r="GE222" i="24"/>
  <c r="GD222" i="24"/>
  <c r="GC222" i="24"/>
  <c r="GB222" i="24"/>
  <c r="GA222" i="24"/>
  <c r="FZ222" i="24"/>
  <c r="FY222" i="24"/>
  <c r="FX222" i="24"/>
  <c r="FW222" i="24"/>
  <c r="FV222" i="24"/>
  <c r="FU222" i="24"/>
  <c r="FT222" i="24"/>
  <c r="FS222" i="24"/>
  <c r="FR222" i="24"/>
  <c r="FQ222" i="24"/>
  <c r="FP222" i="24"/>
  <c r="FO222" i="24"/>
  <c r="FN222" i="24"/>
  <c r="FM222" i="24"/>
  <c r="FL222" i="24"/>
  <c r="FK222" i="24"/>
  <c r="FJ222" i="24"/>
  <c r="FI222" i="24"/>
  <c r="FH222" i="24"/>
  <c r="FG222" i="24"/>
  <c r="FF222" i="24"/>
  <c r="FE222" i="24"/>
  <c r="FD222" i="24"/>
  <c r="FC222" i="24"/>
  <c r="FB222" i="24"/>
  <c r="FA222" i="24"/>
  <c r="EZ222" i="24"/>
  <c r="EY222" i="24"/>
  <c r="EX222" i="24"/>
  <c r="EW222" i="24"/>
  <c r="EV222" i="24"/>
  <c r="EU222" i="24"/>
  <c r="ET222" i="24"/>
  <c r="ES222" i="24"/>
  <c r="ER222" i="24"/>
  <c r="EQ222" i="24"/>
  <c r="EP222" i="24"/>
  <c r="EO222" i="24"/>
  <c r="EN222" i="24"/>
  <c r="EM222" i="24"/>
  <c r="EL222" i="24"/>
  <c r="EK222" i="24"/>
  <c r="EJ222" i="24"/>
  <c r="EI222" i="24"/>
  <c r="EH222" i="24"/>
  <c r="EG222" i="24"/>
  <c r="EF222" i="24"/>
  <c r="EE222" i="24"/>
  <c r="ED222" i="24"/>
  <c r="EC222" i="24"/>
  <c r="EB222" i="24"/>
  <c r="EA222" i="24"/>
  <c r="DZ222" i="24"/>
  <c r="DY222" i="24"/>
  <c r="DX222" i="24"/>
  <c r="DW222" i="24"/>
  <c r="DV222" i="24"/>
  <c r="DU222" i="24"/>
  <c r="DT222" i="24"/>
  <c r="DS222" i="24"/>
  <c r="DR222" i="24"/>
  <c r="DQ222" i="24"/>
  <c r="DP222" i="24"/>
  <c r="DO222" i="24"/>
  <c r="DN222" i="24"/>
  <c r="DM222" i="24"/>
  <c r="DL222" i="24"/>
  <c r="DK222" i="24"/>
  <c r="DJ222" i="24"/>
  <c r="DI222" i="24"/>
  <c r="DH222" i="24"/>
  <c r="DG222" i="24"/>
  <c r="DF222" i="24"/>
  <c r="DE222" i="24"/>
  <c r="DD222" i="24"/>
  <c r="DC222" i="24"/>
  <c r="DB222" i="24"/>
  <c r="DA222" i="24"/>
  <c r="CZ222" i="24"/>
  <c r="CY222" i="24"/>
  <c r="CX222" i="24"/>
  <c r="CW222" i="24"/>
  <c r="CV222" i="24"/>
  <c r="CU222" i="24"/>
  <c r="CT222" i="24"/>
  <c r="CS222" i="24"/>
  <c r="CR222" i="24"/>
  <c r="CQ222" i="24"/>
  <c r="CP222" i="24"/>
  <c r="CO222" i="24"/>
  <c r="CN222" i="24"/>
  <c r="CM222" i="24"/>
  <c r="CL222" i="24"/>
  <c r="CK222" i="24"/>
  <c r="CJ222" i="24"/>
  <c r="CI222" i="24"/>
  <c r="CH222" i="24"/>
  <c r="CG222" i="24"/>
  <c r="CF222" i="24"/>
  <c r="CE222" i="24"/>
  <c r="CD222" i="24"/>
  <c r="CC222" i="24"/>
  <c r="CB222" i="24"/>
  <c r="CA222" i="24"/>
  <c r="BZ222" i="24"/>
  <c r="BY222" i="24"/>
  <c r="BX222" i="24"/>
  <c r="BW222" i="24"/>
  <c r="BV222" i="24"/>
  <c r="BU222" i="24"/>
  <c r="BT222" i="24"/>
  <c r="BS222" i="24"/>
  <c r="BR222" i="24"/>
  <c r="BQ222" i="24"/>
  <c r="BP222" i="24"/>
  <c r="BO222" i="24"/>
  <c r="BN222" i="24"/>
  <c r="BM222" i="24"/>
  <c r="BL222" i="24"/>
  <c r="BK222" i="24"/>
  <c r="BJ222" i="24"/>
  <c r="BI222" i="24"/>
  <c r="BH222" i="24"/>
  <c r="BG222" i="24"/>
  <c r="BF222" i="24"/>
  <c r="BE222" i="24"/>
  <c r="BD222" i="24"/>
  <c r="BC222" i="24"/>
  <c r="BB222" i="24"/>
  <c r="BA222" i="24"/>
  <c r="AZ222" i="24"/>
  <c r="AY222" i="24"/>
  <c r="AX222" i="24"/>
  <c r="AW222" i="24"/>
  <c r="AV222" i="24"/>
  <c r="AU222" i="24"/>
  <c r="AT222" i="24"/>
  <c r="AS222" i="24"/>
  <c r="AR222" i="24"/>
  <c r="AQ222" i="24"/>
  <c r="AP222" i="24"/>
  <c r="AO222" i="24"/>
  <c r="AN222" i="24"/>
  <c r="AM222" i="24"/>
  <c r="AL222" i="24"/>
  <c r="AK222" i="24"/>
  <c r="AJ222" i="24"/>
  <c r="AI222" i="24"/>
  <c r="AH222" i="24"/>
  <c r="AG222" i="24"/>
  <c r="AF222" i="24"/>
  <c r="AE222" i="24"/>
  <c r="AD222" i="24"/>
  <c r="AC222" i="24"/>
  <c r="AB222" i="24"/>
  <c r="AA222" i="24"/>
  <c r="Z222" i="24"/>
  <c r="Y222" i="24"/>
  <c r="X222" i="24"/>
  <c r="W222" i="24"/>
  <c r="V222" i="24"/>
  <c r="U222" i="24"/>
  <c r="T222" i="24"/>
  <c r="S222" i="24"/>
  <c r="R222" i="24"/>
  <c r="Q222" i="24"/>
  <c r="P222" i="24"/>
  <c r="O222" i="24"/>
  <c r="N222" i="24"/>
  <c r="M222" i="24"/>
  <c r="L222" i="24"/>
  <c r="K222" i="24"/>
  <c r="J222" i="24"/>
  <c r="I222" i="24"/>
  <c r="H222" i="24"/>
  <c r="G222" i="24"/>
  <c r="F222" i="24"/>
  <c r="E222" i="24"/>
  <c r="D222" i="24"/>
  <c r="C222" i="24"/>
  <c r="B222" i="24"/>
  <c r="GT216" i="24"/>
  <c r="GS216" i="24"/>
  <c r="GR216" i="24"/>
  <c r="GQ216" i="24"/>
  <c r="GP216" i="24"/>
  <c r="GO216" i="24"/>
  <c r="GN216" i="24"/>
  <c r="GM216" i="24"/>
  <c r="GL216" i="24"/>
  <c r="GK216" i="24"/>
  <c r="GJ216" i="24"/>
  <c r="GI216" i="24"/>
  <c r="GH216" i="24"/>
  <c r="GG216" i="24"/>
  <c r="GF216" i="24"/>
  <c r="GE216" i="24"/>
  <c r="GD216" i="24"/>
  <c r="GC216" i="24"/>
  <c r="GB216" i="24"/>
  <c r="GA216" i="24"/>
  <c r="FZ216" i="24"/>
  <c r="FY216" i="24"/>
  <c r="FX216" i="24"/>
  <c r="FW216" i="24"/>
  <c r="FV216" i="24"/>
  <c r="FU216" i="24"/>
  <c r="FT216" i="24"/>
  <c r="FS216" i="24"/>
  <c r="FR216" i="24"/>
  <c r="FQ216" i="24"/>
  <c r="FP216" i="24"/>
  <c r="FO216" i="24"/>
  <c r="FN216" i="24"/>
  <c r="FM216" i="24"/>
  <c r="FL216" i="24"/>
  <c r="FK216" i="24"/>
  <c r="FJ216" i="24"/>
  <c r="FI216" i="24"/>
  <c r="FH216" i="24"/>
  <c r="FG216" i="24"/>
  <c r="FF216" i="24"/>
  <c r="FE216" i="24"/>
  <c r="FD216" i="24"/>
  <c r="FC216" i="24"/>
  <c r="FB216" i="24"/>
  <c r="FA216" i="24"/>
  <c r="EZ216" i="24"/>
  <c r="EY216" i="24"/>
  <c r="EX216" i="24"/>
  <c r="EW216" i="24"/>
  <c r="EV216" i="24"/>
  <c r="EU216" i="24"/>
  <c r="ET216" i="24"/>
  <c r="ES216" i="24"/>
  <c r="ER216" i="24"/>
  <c r="EQ216" i="24"/>
  <c r="EP216" i="24"/>
  <c r="EO216" i="24"/>
  <c r="EN216" i="24"/>
  <c r="EM216" i="24"/>
  <c r="EL216" i="24"/>
  <c r="EK216" i="24"/>
  <c r="EJ216" i="24"/>
  <c r="EI216" i="24"/>
  <c r="EH216" i="24"/>
  <c r="EG216" i="24"/>
  <c r="EF216" i="24"/>
  <c r="EE216" i="24"/>
  <c r="ED216" i="24"/>
  <c r="EC216" i="24"/>
  <c r="EB216" i="24"/>
  <c r="EA216" i="24"/>
  <c r="DZ216" i="24"/>
  <c r="DY216" i="24"/>
  <c r="DX216" i="24"/>
  <c r="DW216" i="24"/>
  <c r="DV216" i="24"/>
  <c r="DU216" i="24"/>
  <c r="DT216" i="24"/>
  <c r="DS216" i="24"/>
  <c r="DR216" i="24"/>
  <c r="DQ216" i="24"/>
  <c r="DP216" i="24"/>
  <c r="DO216" i="24"/>
  <c r="DN216" i="24"/>
  <c r="DM216" i="24"/>
  <c r="DL216" i="24"/>
  <c r="DK216" i="24"/>
  <c r="DJ216" i="24"/>
  <c r="DI216" i="24"/>
  <c r="DH216" i="24"/>
  <c r="DG216" i="24"/>
  <c r="DF216" i="24"/>
  <c r="DE216" i="24"/>
  <c r="DD216" i="24"/>
  <c r="DC216" i="24"/>
  <c r="DB216" i="24"/>
  <c r="DA216" i="24"/>
  <c r="CZ216" i="24"/>
  <c r="CY216" i="24"/>
  <c r="CX216" i="24"/>
  <c r="CW216" i="24"/>
  <c r="CV216" i="24"/>
  <c r="CU216" i="24"/>
  <c r="CT216" i="24"/>
  <c r="CS216" i="24"/>
  <c r="CR216" i="24"/>
  <c r="CQ216" i="24"/>
  <c r="CP216" i="24"/>
  <c r="CO216" i="24"/>
  <c r="CN216" i="24"/>
  <c r="CM216" i="24"/>
  <c r="CL216" i="24"/>
  <c r="CK216" i="24"/>
  <c r="CJ216" i="24"/>
  <c r="CI216" i="24"/>
  <c r="CH216" i="24"/>
  <c r="CG216" i="24"/>
  <c r="CF216" i="24"/>
  <c r="CE216" i="24"/>
  <c r="CD216" i="24"/>
  <c r="CC216" i="24"/>
  <c r="CB216" i="24"/>
  <c r="CA216" i="24"/>
  <c r="BZ216" i="24"/>
  <c r="BY216" i="24"/>
  <c r="BX216" i="24"/>
  <c r="BW216" i="24"/>
  <c r="BV216" i="24"/>
  <c r="BU216" i="24"/>
  <c r="BT216" i="24"/>
  <c r="BS216" i="24"/>
  <c r="BR216" i="24"/>
  <c r="BQ216" i="24"/>
  <c r="BP216" i="24"/>
  <c r="BO216" i="24"/>
  <c r="BN216" i="24"/>
  <c r="BM216" i="24"/>
  <c r="BL216" i="24"/>
  <c r="BK216" i="24"/>
  <c r="BJ216" i="24"/>
  <c r="BI216" i="24"/>
  <c r="BH216" i="24"/>
  <c r="BG216" i="24"/>
  <c r="BF216" i="24"/>
  <c r="BE216" i="24"/>
  <c r="BD216" i="24"/>
  <c r="BC216" i="24"/>
  <c r="BB216" i="24"/>
  <c r="BA216" i="24"/>
  <c r="AZ216" i="24"/>
  <c r="AY216" i="24"/>
  <c r="AX216" i="24"/>
  <c r="AW216" i="24"/>
  <c r="AV216" i="24"/>
  <c r="AU216" i="24"/>
  <c r="AT216" i="24"/>
  <c r="AS216" i="24"/>
  <c r="AR216" i="24"/>
  <c r="AQ216" i="24"/>
  <c r="AP216" i="24"/>
  <c r="AO216" i="24"/>
  <c r="AN216" i="24"/>
  <c r="AM216" i="24"/>
  <c r="AL216" i="24"/>
  <c r="AK216" i="24"/>
  <c r="AJ216" i="24"/>
  <c r="AI216" i="24"/>
  <c r="AH216" i="24"/>
  <c r="AG216" i="24"/>
  <c r="AF216" i="24"/>
  <c r="AE216" i="24"/>
  <c r="AD216" i="24"/>
  <c r="AC216" i="24"/>
  <c r="AB216" i="24"/>
  <c r="AA216" i="24"/>
  <c r="Z216" i="24"/>
  <c r="Y216" i="24"/>
  <c r="X216" i="24"/>
  <c r="W216" i="24"/>
  <c r="V216" i="24"/>
  <c r="U216" i="24"/>
  <c r="T216" i="24"/>
  <c r="S216" i="24"/>
  <c r="R216" i="24"/>
  <c r="Q216" i="24"/>
  <c r="P216" i="24"/>
  <c r="O216" i="24"/>
  <c r="N216" i="24"/>
  <c r="M216" i="24"/>
  <c r="L216" i="24"/>
  <c r="K216" i="24"/>
  <c r="J216" i="24"/>
  <c r="I216" i="24"/>
  <c r="H216" i="24"/>
  <c r="G216" i="24"/>
  <c r="F216" i="24"/>
  <c r="E216" i="24"/>
  <c r="D216" i="24"/>
  <c r="C216" i="24"/>
  <c r="B216" i="24"/>
  <c r="GT215" i="24"/>
  <c r="GS215" i="24"/>
  <c r="GR215" i="24"/>
  <c r="GQ215" i="24"/>
  <c r="GP215" i="24"/>
  <c r="GO215" i="24"/>
  <c r="GN215" i="24"/>
  <c r="GM215" i="24"/>
  <c r="GL215" i="24"/>
  <c r="GK215" i="24"/>
  <c r="GJ215" i="24"/>
  <c r="GI215" i="24"/>
  <c r="GH215" i="24"/>
  <c r="GG215" i="24"/>
  <c r="GF215" i="24"/>
  <c r="GE215" i="24"/>
  <c r="GD215" i="24"/>
  <c r="GC215" i="24"/>
  <c r="GB215" i="24"/>
  <c r="GA215" i="24"/>
  <c r="FZ215" i="24"/>
  <c r="FY215" i="24"/>
  <c r="FX215" i="24"/>
  <c r="FW215" i="24"/>
  <c r="FV215" i="24"/>
  <c r="FU215" i="24"/>
  <c r="FT215" i="24"/>
  <c r="FS215" i="24"/>
  <c r="FR215" i="24"/>
  <c r="FQ215" i="24"/>
  <c r="FP215" i="24"/>
  <c r="FO215" i="24"/>
  <c r="FN215" i="24"/>
  <c r="FM215" i="24"/>
  <c r="FL215" i="24"/>
  <c r="FK215" i="24"/>
  <c r="FJ215" i="24"/>
  <c r="FI215" i="24"/>
  <c r="FH215" i="24"/>
  <c r="FG215" i="24"/>
  <c r="FF215" i="24"/>
  <c r="FE215" i="24"/>
  <c r="FD215" i="24"/>
  <c r="FC215" i="24"/>
  <c r="FB215" i="24"/>
  <c r="FA215" i="24"/>
  <c r="EZ215" i="24"/>
  <c r="EY215" i="24"/>
  <c r="EX215" i="24"/>
  <c r="EW215" i="24"/>
  <c r="EV215" i="24"/>
  <c r="EU215" i="24"/>
  <c r="ET215" i="24"/>
  <c r="ES215" i="24"/>
  <c r="ER215" i="24"/>
  <c r="EQ215" i="24"/>
  <c r="EP215" i="24"/>
  <c r="EO215" i="24"/>
  <c r="EN215" i="24"/>
  <c r="EM215" i="24"/>
  <c r="EL215" i="24"/>
  <c r="EK215" i="24"/>
  <c r="EJ215" i="24"/>
  <c r="EI215" i="24"/>
  <c r="EH215" i="24"/>
  <c r="EG215" i="24"/>
  <c r="EF215" i="24"/>
  <c r="EE215" i="24"/>
  <c r="ED215" i="24"/>
  <c r="EC215" i="24"/>
  <c r="EB215" i="24"/>
  <c r="EA215" i="24"/>
  <c r="DZ215" i="24"/>
  <c r="DY215" i="24"/>
  <c r="DX215" i="24"/>
  <c r="DW215" i="24"/>
  <c r="DV215" i="24"/>
  <c r="DU215" i="24"/>
  <c r="DT215" i="24"/>
  <c r="DS215" i="24"/>
  <c r="DR215" i="24"/>
  <c r="DQ215" i="24"/>
  <c r="DP215" i="24"/>
  <c r="DO215" i="24"/>
  <c r="DN215" i="24"/>
  <c r="DM215" i="24"/>
  <c r="DL215" i="24"/>
  <c r="DK215" i="24"/>
  <c r="DJ215" i="24"/>
  <c r="DI215" i="24"/>
  <c r="DH215" i="24"/>
  <c r="DG215" i="24"/>
  <c r="DF215" i="24"/>
  <c r="DE215" i="24"/>
  <c r="DD215" i="24"/>
  <c r="DC215" i="24"/>
  <c r="DB215" i="24"/>
  <c r="DA215" i="24"/>
  <c r="CZ215" i="24"/>
  <c r="CY215" i="24"/>
  <c r="CX215" i="24"/>
  <c r="CW215" i="24"/>
  <c r="CV215" i="24"/>
  <c r="CU215" i="24"/>
  <c r="CT215" i="24"/>
  <c r="CS215" i="24"/>
  <c r="CR215" i="24"/>
  <c r="CQ215" i="24"/>
  <c r="CP215" i="24"/>
  <c r="CO215" i="24"/>
  <c r="CN215" i="24"/>
  <c r="CM215" i="24"/>
  <c r="CL215" i="24"/>
  <c r="CK215" i="24"/>
  <c r="CJ215" i="24"/>
  <c r="CI215" i="24"/>
  <c r="CH215" i="24"/>
  <c r="CG215" i="24"/>
  <c r="CF215" i="24"/>
  <c r="CE215" i="24"/>
  <c r="CD215" i="24"/>
  <c r="CC215" i="24"/>
  <c r="CB215" i="24"/>
  <c r="CA215" i="24"/>
  <c r="BZ215" i="24"/>
  <c r="BY215" i="24"/>
  <c r="BX215" i="24"/>
  <c r="BW215" i="24"/>
  <c r="BV215" i="24"/>
  <c r="BU215" i="24"/>
  <c r="BT215" i="24"/>
  <c r="BS215" i="24"/>
  <c r="BR215" i="24"/>
  <c r="BQ215" i="24"/>
  <c r="BP215" i="24"/>
  <c r="BO215" i="24"/>
  <c r="BN215" i="24"/>
  <c r="BM215" i="24"/>
  <c r="BL215" i="24"/>
  <c r="BK215" i="24"/>
  <c r="BJ215" i="24"/>
  <c r="BI215" i="24"/>
  <c r="BH215" i="24"/>
  <c r="BG215" i="24"/>
  <c r="BF215" i="24"/>
  <c r="BE215" i="24"/>
  <c r="BD215" i="24"/>
  <c r="BC215" i="24"/>
  <c r="BB215" i="24"/>
  <c r="BA215" i="24"/>
  <c r="AZ215" i="24"/>
  <c r="AY215" i="24"/>
  <c r="AX215" i="24"/>
  <c r="AW215" i="24"/>
  <c r="AV215" i="24"/>
  <c r="AU215" i="24"/>
  <c r="AT215" i="24"/>
  <c r="AS215" i="24"/>
  <c r="AR215" i="24"/>
  <c r="AQ215" i="24"/>
  <c r="AP215" i="24"/>
  <c r="AO215" i="24"/>
  <c r="AN215" i="24"/>
  <c r="AM215" i="24"/>
  <c r="AL215" i="24"/>
  <c r="AK215" i="24"/>
  <c r="AJ215" i="24"/>
  <c r="AI215" i="24"/>
  <c r="AH215" i="24"/>
  <c r="AG215" i="24"/>
  <c r="AF215" i="24"/>
  <c r="AE215" i="24"/>
  <c r="AD215" i="24"/>
  <c r="AC215" i="24"/>
  <c r="AB215" i="24"/>
  <c r="AA215" i="24"/>
  <c r="Z215" i="24"/>
  <c r="Y215" i="24"/>
  <c r="X215" i="24"/>
  <c r="W215" i="24"/>
  <c r="V215" i="24"/>
  <c r="U215" i="24"/>
  <c r="T215" i="24"/>
  <c r="S215" i="24"/>
  <c r="R215" i="24"/>
  <c r="Q215" i="24"/>
  <c r="P215" i="24"/>
  <c r="O215" i="24"/>
  <c r="N215" i="24"/>
  <c r="M215" i="24"/>
  <c r="L215" i="24"/>
  <c r="K215" i="24"/>
  <c r="J215" i="24"/>
  <c r="I215" i="24"/>
  <c r="H215" i="24"/>
  <c r="G215" i="24"/>
  <c r="F215" i="24"/>
  <c r="E215" i="24"/>
  <c r="D215" i="24"/>
  <c r="C215" i="24"/>
  <c r="B215" i="24"/>
  <c r="GT214" i="24"/>
  <c r="GS214" i="24"/>
  <c r="GR214" i="24"/>
  <c r="GQ214" i="24"/>
  <c r="GP214" i="24"/>
  <c r="GO214" i="24"/>
  <c r="GN214" i="24"/>
  <c r="GM214" i="24"/>
  <c r="GL214" i="24"/>
  <c r="GK214" i="24"/>
  <c r="GJ214" i="24"/>
  <c r="GI214" i="24"/>
  <c r="GH214" i="24"/>
  <c r="GG214" i="24"/>
  <c r="GF214" i="24"/>
  <c r="GE214" i="24"/>
  <c r="GD214" i="24"/>
  <c r="GC214" i="24"/>
  <c r="GB214" i="24"/>
  <c r="GA214" i="24"/>
  <c r="FZ214" i="24"/>
  <c r="FY214" i="24"/>
  <c r="FX214" i="24"/>
  <c r="FW214" i="24"/>
  <c r="FV214" i="24"/>
  <c r="FU214" i="24"/>
  <c r="FT214" i="24"/>
  <c r="FS214" i="24"/>
  <c r="FR214" i="24"/>
  <c r="FQ214" i="24"/>
  <c r="FP214" i="24"/>
  <c r="FO214" i="24"/>
  <c r="FN214" i="24"/>
  <c r="FM214" i="24"/>
  <c r="FL214" i="24"/>
  <c r="FK214" i="24"/>
  <c r="FJ214" i="24"/>
  <c r="FI214" i="24"/>
  <c r="FH214" i="24"/>
  <c r="FG214" i="24"/>
  <c r="FF214" i="24"/>
  <c r="FE214" i="24"/>
  <c r="FD214" i="24"/>
  <c r="FC214" i="24"/>
  <c r="FB214" i="24"/>
  <c r="FA214" i="24"/>
  <c r="EZ214" i="24"/>
  <c r="EY214" i="24"/>
  <c r="EX214" i="24"/>
  <c r="EW214" i="24"/>
  <c r="EV214" i="24"/>
  <c r="EU214" i="24"/>
  <c r="ET214" i="24"/>
  <c r="ES214" i="24"/>
  <c r="ER214" i="24"/>
  <c r="EQ214" i="24"/>
  <c r="EP214" i="24"/>
  <c r="EO214" i="24"/>
  <c r="EN214" i="24"/>
  <c r="EM214" i="24"/>
  <c r="EL214" i="24"/>
  <c r="EK214" i="24"/>
  <c r="EJ214" i="24"/>
  <c r="EI214" i="24"/>
  <c r="EH214" i="24"/>
  <c r="EG214" i="24"/>
  <c r="EF214" i="24"/>
  <c r="EE214" i="24"/>
  <c r="ED214" i="24"/>
  <c r="EC214" i="24"/>
  <c r="EB214" i="24"/>
  <c r="EA214" i="24"/>
  <c r="DZ214" i="24"/>
  <c r="DY214" i="24"/>
  <c r="DX214" i="24"/>
  <c r="DW214" i="24"/>
  <c r="DV214" i="24"/>
  <c r="DU214" i="24"/>
  <c r="DT214" i="24"/>
  <c r="DS214" i="24"/>
  <c r="DR214" i="24"/>
  <c r="DQ214" i="24"/>
  <c r="DP214" i="24"/>
  <c r="DO214" i="24"/>
  <c r="DN214" i="24"/>
  <c r="DM214" i="24"/>
  <c r="DL214" i="24"/>
  <c r="DK214" i="24"/>
  <c r="DJ214" i="24"/>
  <c r="DI214" i="24"/>
  <c r="DH214" i="24"/>
  <c r="DG214" i="24"/>
  <c r="DF214" i="24"/>
  <c r="DE214" i="24"/>
  <c r="DD214" i="24"/>
  <c r="DC214" i="24"/>
  <c r="DB214" i="24"/>
  <c r="DA214" i="24"/>
  <c r="CZ214" i="24"/>
  <c r="CY214" i="24"/>
  <c r="CX214" i="24"/>
  <c r="CW214" i="24"/>
  <c r="CV214" i="24"/>
  <c r="CU214" i="24"/>
  <c r="CT214" i="24"/>
  <c r="CS214" i="24"/>
  <c r="CR214" i="24"/>
  <c r="CQ214" i="24"/>
  <c r="CP214" i="24"/>
  <c r="CO214" i="24"/>
  <c r="CN214" i="24"/>
  <c r="CM214" i="24"/>
  <c r="CL214" i="24"/>
  <c r="CK214" i="24"/>
  <c r="CJ214" i="24"/>
  <c r="CI214" i="24"/>
  <c r="CH214" i="24"/>
  <c r="CG214" i="24"/>
  <c r="CF214" i="24"/>
  <c r="CE214" i="24"/>
  <c r="CD214" i="24"/>
  <c r="CC214" i="24"/>
  <c r="CB214" i="24"/>
  <c r="CA214" i="24"/>
  <c r="BZ214" i="24"/>
  <c r="BY214" i="24"/>
  <c r="BX214" i="24"/>
  <c r="BW214" i="24"/>
  <c r="BV214" i="24"/>
  <c r="BU214" i="24"/>
  <c r="BT214" i="24"/>
  <c r="BS214" i="24"/>
  <c r="BR214" i="24"/>
  <c r="BQ214" i="24"/>
  <c r="BP214" i="24"/>
  <c r="BO214" i="24"/>
  <c r="BN214" i="24"/>
  <c r="BM214" i="24"/>
  <c r="BL214" i="24"/>
  <c r="BK214" i="24"/>
  <c r="BJ214" i="24"/>
  <c r="BI214" i="24"/>
  <c r="BH214" i="24"/>
  <c r="BG214" i="24"/>
  <c r="BF214" i="24"/>
  <c r="BE214" i="24"/>
  <c r="BD214" i="24"/>
  <c r="BC214" i="24"/>
  <c r="BB214" i="24"/>
  <c r="BA214" i="24"/>
  <c r="AZ214" i="24"/>
  <c r="AY214" i="24"/>
  <c r="AX214" i="24"/>
  <c r="AW214" i="24"/>
  <c r="AV214" i="24"/>
  <c r="AU214" i="24"/>
  <c r="AT214" i="24"/>
  <c r="AS214" i="24"/>
  <c r="AR214" i="24"/>
  <c r="AQ214" i="24"/>
  <c r="AP214" i="24"/>
  <c r="AO214" i="24"/>
  <c r="AN214" i="24"/>
  <c r="AM214" i="24"/>
  <c r="AL214" i="24"/>
  <c r="AK214" i="24"/>
  <c r="AJ214" i="24"/>
  <c r="AI214" i="24"/>
  <c r="AH214" i="24"/>
  <c r="AG214" i="24"/>
  <c r="AF214" i="24"/>
  <c r="AE214" i="24"/>
  <c r="AD214" i="24"/>
  <c r="AC214" i="24"/>
  <c r="AB214" i="24"/>
  <c r="AA214" i="24"/>
  <c r="Z214" i="24"/>
  <c r="Y214" i="24"/>
  <c r="X214" i="24"/>
  <c r="W214" i="24"/>
  <c r="V214" i="24"/>
  <c r="U214" i="24"/>
  <c r="T214" i="24"/>
  <c r="S214" i="24"/>
  <c r="R214" i="24"/>
  <c r="Q214" i="24"/>
  <c r="P214" i="24"/>
  <c r="O214" i="24"/>
  <c r="N214" i="24"/>
  <c r="M214" i="24"/>
  <c r="L214" i="24"/>
  <c r="K214" i="24"/>
  <c r="J214" i="24"/>
  <c r="I214" i="24"/>
  <c r="H214" i="24"/>
  <c r="G214" i="24"/>
  <c r="F214" i="24"/>
  <c r="E214" i="24"/>
  <c r="D214" i="24"/>
  <c r="C214" i="24"/>
  <c r="B214" i="24"/>
  <c r="GT213" i="24"/>
  <c r="GS213" i="24"/>
  <c r="GR213" i="24"/>
  <c r="GQ213" i="24"/>
  <c r="GP213" i="24"/>
  <c r="GO213" i="24"/>
  <c r="GN213" i="24"/>
  <c r="GM213" i="24"/>
  <c r="GL213" i="24"/>
  <c r="GK213" i="24"/>
  <c r="GJ213" i="24"/>
  <c r="GI213" i="24"/>
  <c r="GH213" i="24"/>
  <c r="GG213" i="24"/>
  <c r="GF213" i="24"/>
  <c r="GE213" i="24"/>
  <c r="GD213" i="24"/>
  <c r="GC213" i="24"/>
  <c r="GB213" i="24"/>
  <c r="GA213" i="24"/>
  <c r="FZ213" i="24"/>
  <c r="FY213" i="24"/>
  <c r="FX213" i="24"/>
  <c r="FW213" i="24"/>
  <c r="FV213" i="24"/>
  <c r="FU213" i="24"/>
  <c r="FT213" i="24"/>
  <c r="FS213" i="24"/>
  <c r="FR213" i="24"/>
  <c r="FQ213" i="24"/>
  <c r="FP213" i="24"/>
  <c r="FO213" i="24"/>
  <c r="FN213" i="24"/>
  <c r="FM213" i="24"/>
  <c r="FL213" i="24"/>
  <c r="FK213" i="24"/>
  <c r="FJ213" i="24"/>
  <c r="FI213" i="24"/>
  <c r="FH213" i="24"/>
  <c r="FG213" i="24"/>
  <c r="FF213" i="24"/>
  <c r="FE213" i="24"/>
  <c r="FD213" i="24"/>
  <c r="FC213" i="24"/>
  <c r="FB213" i="24"/>
  <c r="FA213" i="24"/>
  <c r="EZ213" i="24"/>
  <c r="EY213" i="24"/>
  <c r="EX213" i="24"/>
  <c r="EW213" i="24"/>
  <c r="EV213" i="24"/>
  <c r="EU213" i="24"/>
  <c r="ET213" i="24"/>
  <c r="ES213" i="24"/>
  <c r="ER213" i="24"/>
  <c r="EQ213" i="24"/>
  <c r="EP213" i="24"/>
  <c r="EO213" i="24"/>
  <c r="EN213" i="24"/>
  <c r="EM213" i="24"/>
  <c r="EL213" i="24"/>
  <c r="EK213" i="24"/>
  <c r="EJ213" i="24"/>
  <c r="EI213" i="24"/>
  <c r="EH213" i="24"/>
  <c r="EG213" i="24"/>
  <c r="EF213" i="24"/>
  <c r="EE213" i="24"/>
  <c r="ED213" i="24"/>
  <c r="EC213" i="24"/>
  <c r="EB213" i="24"/>
  <c r="EA213" i="24"/>
  <c r="DZ213" i="24"/>
  <c r="DY213" i="24"/>
  <c r="DX213" i="24"/>
  <c r="DW213" i="24"/>
  <c r="DV213" i="24"/>
  <c r="DU213" i="24"/>
  <c r="DT213" i="24"/>
  <c r="DS213" i="24"/>
  <c r="DR213" i="24"/>
  <c r="DQ213" i="24"/>
  <c r="DP213" i="24"/>
  <c r="DO213" i="24"/>
  <c r="DN213" i="24"/>
  <c r="DM213" i="24"/>
  <c r="DL213" i="24"/>
  <c r="DK213" i="24"/>
  <c r="DJ213" i="24"/>
  <c r="DI213" i="24"/>
  <c r="DH213" i="24"/>
  <c r="DG213" i="24"/>
  <c r="DF213" i="24"/>
  <c r="DE213" i="24"/>
  <c r="DD213" i="24"/>
  <c r="DC213" i="24"/>
  <c r="DB213" i="24"/>
  <c r="DA213" i="24"/>
  <c r="CZ213" i="24"/>
  <c r="CY213" i="24"/>
  <c r="CX213" i="24"/>
  <c r="CW213" i="24"/>
  <c r="CV213" i="24"/>
  <c r="CU213" i="24"/>
  <c r="CT213" i="24"/>
  <c r="CS213" i="24"/>
  <c r="CR213" i="24"/>
  <c r="CQ213" i="24"/>
  <c r="CP213" i="24"/>
  <c r="CO213" i="24"/>
  <c r="CN213" i="24"/>
  <c r="CM213" i="24"/>
  <c r="CL213" i="24"/>
  <c r="CK213" i="24"/>
  <c r="CJ213" i="24"/>
  <c r="CI213" i="24"/>
  <c r="CH213" i="24"/>
  <c r="CG213" i="24"/>
  <c r="CF213" i="24"/>
  <c r="CE213" i="24"/>
  <c r="CD213" i="24"/>
  <c r="CC213" i="24"/>
  <c r="CB213" i="24"/>
  <c r="CA213" i="24"/>
  <c r="BZ213" i="24"/>
  <c r="BY213" i="24"/>
  <c r="BX213" i="24"/>
  <c r="BW213" i="24"/>
  <c r="BV213" i="24"/>
  <c r="BU213" i="24"/>
  <c r="BT213" i="24"/>
  <c r="BS213" i="24"/>
  <c r="BR213" i="24"/>
  <c r="BQ213" i="24"/>
  <c r="BP213" i="24"/>
  <c r="BO213" i="24"/>
  <c r="BN213" i="24"/>
  <c r="BM213" i="24"/>
  <c r="BL213" i="24"/>
  <c r="BK213" i="24"/>
  <c r="BJ213" i="24"/>
  <c r="BI213" i="24"/>
  <c r="BH213" i="24"/>
  <c r="BG213" i="24"/>
  <c r="BF213" i="24"/>
  <c r="BE213" i="24"/>
  <c r="BD213" i="24"/>
  <c r="BC213" i="24"/>
  <c r="BB213" i="24"/>
  <c r="BA213" i="24"/>
  <c r="AZ213" i="24"/>
  <c r="AY213" i="24"/>
  <c r="AX213" i="24"/>
  <c r="AW213" i="24"/>
  <c r="AV213" i="24"/>
  <c r="AU213" i="24"/>
  <c r="AT213" i="24"/>
  <c r="AS213" i="24"/>
  <c r="AR213" i="24"/>
  <c r="AQ213" i="24"/>
  <c r="AP213" i="24"/>
  <c r="AO213" i="24"/>
  <c r="AN213" i="24"/>
  <c r="AM213" i="24"/>
  <c r="AL213" i="24"/>
  <c r="AK213" i="24"/>
  <c r="AJ213" i="24"/>
  <c r="AI213" i="24"/>
  <c r="AH213" i="24"/>
  <c r="AG213" i="24"/>
  <c r="AF213" i="24"/>
  <c r="AE213" i="24"/>
  <c r="AD213" i="24"/>
  <c r="AC213" i="24"/>
  <c r="AB213" i="24"/>
  <c r="AA213" i="24"/>
  <c r="Z213" i="24"/>
  <c r="Y213" i="24"/>
  <c r="X213" i="24"/>
  <c r="W213" i="24"/>
  <c r="V213" i="24"/>
  <c r="U213" i="24"/>
  <c r="T213" i="24"/>
  <c r="S213" i="24"/>
  <c r="R213" i="24"/>
  <c r="Q213" i="24"/>
  <c r="P213" i="24"/>
  <c r="O213" i="24"/>
  <c r="N213" i="24"/>
  <c r="M213" i="24"/>
  <c r="L213" i="24"/>
  <c r="K213" i="24"/>
  <c r="J213" i="24"/>
  <c r="I213" i="24"/>
  <c r="H213" i="24"/>
  <c r="G213" i="24"/>
  <c r="F213" i="24"/>
  <c r="E213" i="24"/>
  <c r="D213" i="24"/>
  <c r="C213" i="24"/>
  <c r="B213" i="24"/>
  <c r="GT212" i="24"/>
  <c r="GS212" i="24"/>
  <c r="GR212" i="24"/>
  <c r="GQ212" i="24"/>
  <c r="GP212" i="24"/>
  <c r="GO212" i="24"/>
  <c r="GN212" i="24"/>
  <c r="GM212" i="24"/>
  <c r="GL212" i="24"/>
  <c r="GK212" i="24"/>
  <c r="GJ212" i="24"/>
  <c r="GI212" i="24"/>
  <c r="GH212" i="24"/>
  <c r="GG212" i="24"/>
  <c r="GF212" i="24"/>
  <c r="GE212" i="24"/>
  <c r="GD212" i="24"/>
  <c r="GC212" i="24"/>
  <c r="GB212" i="24"/>
  <c r="GA212" i="24"/>
  <c r="FZ212" i="24"/>
  <c r="FY212" i="24"/>
  <c r="FX212" i="24"/>
  <c r="FW212" i="24"/>
  <c r="FV212" i="24"/>
  <c r="FU212" i="24"/>
  <c r="FT212" i="24"/>
  <c r="FS212" i="24"/>
  <c r="FR212" i="24"/>
  <c r="FQ212" i="24"/>
  <c r="FP212" i="24"/>
  <c r="FO212" i="24"/>
  <c r="FN212" i="24"/>
  <c r="FM212" i="24"/>
  <c r="FL212" i="24"/>
  <c r="FK212" i="24"/>
  <c r="FJ212" i="24"/>
  <c r="FI212" i="24"/>
  <c r="FH212" i="24"/>
  <c r="FG212" i="24"/>
  <c r="FF212" i="24"/>
  <c r="FE212" i="24"/>
  <c r="FD212" i="24"/>
  <c r="FC212" i="24"/>
  <c r="FB212" i="24"/>
  <c r="FA212" i="24"/>
  <c r="EZ212" i="24"/>
  <c r="EY212" i="24"/>
  <c r="EX212" i="24"/>
  <c r="EW212" i="24"/>
  <c r="EV212" i="24"/>
  <c r="EU212" i="24"/>
  <c r="ET212" i="24"/>
  <c r="ES212" i="24"/>
  <c r="ER212" i="24"/>
  <c r="EQ212" i="24"/>
  <c r="EP212" i="24"/>
  <c r="EO212" i="24"/>
  <c r="EN212" i="24"/>
  <c r="EM212" i="24"/>
  <c r="EL212" i="24"/>
  <c r="EK212" i="24"/>
  <c r="EJ212" i="24"/>
  <c r="EI212" i="24"/>
  <c r="EH212" i="24"/>
  <c r="EG212" i="24"/>
  <c r="EF212" i="24"/>
  <c r="EE212" i="24"/>
  <c r="ED212" i="24"/>
  <c r="EC212" i="24"/>
  <c r="EB212" i="24"/>
  <c r="EA212" i="24"/>
  <c r="DZ212" i="24"/>
  <c r="DY212" i="24"/>
  <c r="DX212" i="24"/>
  <c r="DW212" i="24"/>
  <c r="DV212" i="24"/>
  <c r="DU212" i="24"/>
  <c r="DT212" i="24"/>
  <c r="DS212" i="24"/>
  <c r="DR212" i="24"/>
  <c r="DQ212" i="24"/>
  <c r="DP212" i="24"/>
  <c r="DO212" i="24"/>
  <c r="DN212" i="24"/>
  <c r="DM212" i="24"/>
  <c r="DL212" i="24"/>
  <c r="DK212" i="24"/>
  <c r="DJ212" i="24"/>
  <c r="DI212" i="24"/>
  <c r="DH212" i="24"/>
  <c r="DG212" i="24"/>
  <c r="DF212" i="24"/>
  <c r="DE212" i="24"/>
  <c r="DD212" i="24"/>
  <c r="DC212" i="24"/>
  <c r="DB212" i="24"/>
  <c r="DA212" i="24"/>
  <c r="CZ212" i="24"/>
  <c r="CY212" i="24"/>
  <c r="CX212" i="24"/>
  <c r="CW212" i="24"/>
  <c r="CV212" i="24"/>
  <c r="CU212" i="24"/>
  <c r="CT212" i="24"/>
  <c r="CS212" i="24"/>
  <c r="CR212" i="24"/>
  <c r="CQ212" i="24"/>
  <c r="CP212" i="24"/>
  <c r="CO212" i="24"/>
  <c r="CN212" i="24"/>
  <c r="CM212" i="24"/>
  <c r="CL212" i="24"/>
  <c r="CK212" i="24"/>
  <c r="CJ212" i="24"/>
  <c r="CI212" i="24"/>
  <c r="CH212" i="24"/>
  <c r="CG212" i="24"/>
  <c r="CF212" i="24"/>
  <c r="CE212" i="24"/>
  <c r="CD212" i="24"/>
  <c r="CC212" i="24"/>
  <c r="CB212" i="24"/>
  <c r="CA212" i="24"/>
  <c r="BZ212" i="24"/>
  <c r="BY212" i="24"/>
  <c r="BX212" i="24"/>
  <c r="BW212" i="24"/>
  <c r="BV212" i="24"/>
  <c r="BU212" i="24"/>
  <c r="BT212" i="24"/>
  <c r="BS212" i="24"/>
  <c r="BR212" i="24"/>
  <c r="BQ212" i="24"/>
  <c r="BP212" i="24"/>
  <c r="BO212" i="24"/>
  <c r="BN212" i="24"/>
  <c r="BM212" i="24"/>
  <c r="BL212" i="24"/>
  <c r="BK212" i="24"/>
  <c r="BJ212" i="24"/>
  <c r="BI212" i="24"/>
  <c r="BH212" i="24"/>
  <c r="BG212" i="24"/>
  <c r="BF212" i="24"/>
  <c r="BE212" i="24"/>
  <c r="BD212" i="24"/>
  <c r="BC212" i="24"/>
  <c r="BB212" i="24"/>
  <c r="BA212" i="24"/>
  <c r="AZ212" i="24"/>
  <c r="AY212" i="24"/>
  <c r="AX212" i="24"/>
  <c r="AW212" i="24"/>
  <c r="AV212" i="24"/>
  <c r="AU212" i="24"/>
  <c r="AT212" i="24"/>
  <c r="AS212" i="24"/>
  <c r="AR212" i="24"/>
  <c r="AQ212" i="24"/>
  <c r="AP212" i="24"/>
  <c r="AO212" i="24"/>
  <c r="AN212" i="24"/>
  <c r="AM212" i="24"/>
  <c r="AL212" i="24"/>
  <c r="AK212" i="24"/>
  <c r="AJ212" i="24"/>
  <c r="AI212" i="24"/>
  <c r="AH212" i="24"/>
  <c r="AG212" i="24"/>
  <c r="AF212" i="24"/>
  <c r="AE212" i="24"/>
  <c r="AD212" i="24"/>
  <c r="AC212" i="24"/>
  <c r="AB212" i="24"/>
  <c r="AA212" i="24"/>
  <c r="Z212" i="24"/>
  <c r="Y212" i="24"/>
  <c r="X212" i="24"/>
  <c r="W212" i="24"/>
  <c r="V212" i="24"/>
  <c r="U212" i="24"/>
  <c r="T212" i="24"/>
  <c r="S212" i="24"/>
  <c r="R212" i="24"/>
  <c r="Q212" i="24"/>
  <c r="P212" i="24"/>
  <c r="O212" i="24"/>
  <c r="N212" i="24"/>
  <c r="M212" i="24"/>
  <c r="L212" i="24"/>
  <c r="K212" i="24"/>
  <c r="J212" i="24"/>
  <c r="I212" i="24"/>
  <c r="H212" i="24"/>
  <c r="G212" i="24"/>
  <c r="F212" i="24"/>
  <c r="E212" i="24"/>
  <c r="D212" i="24"/>
  <c r="C212" i="24"/>
  <c r="B212" i="24"/>
  <c r="GT211" i="24"/>
  <c r="GS211" i="24"/>
  <c r="GR211" i="24"/>
  <c r="GQ211" i="24"/>
  <c r="GP211" i="24"/>
  <c r="GO211" i="24"/>
  <c r="GN211" i="24"/>
  <c r="GM211" i="24"/>
  <c r="GL211" i="24"/>
  <c r="GK211" i="24"/>
  <c r="GJ211" i="24"/>
  <c r="GI211" i="24"/>
  <c r="GH211" i="24"/>
  <c r="GG211" i="24"/>
  <c r="GF211" i="24"/>
  <c r="GE211" i="24"/>
  <c r="GD211" i="24"/>
  <c r="GC211" i="24"/>
  <c r="GB211" i="24"/>
  <c r="GA211" i="24"/>
  <c r="FZ211" i="24"/>
  <c r="FY211" i="24"/>
  <c r="FX211" i="24"/>
  <c r="FW211" i="24"/>
  <c r="FV211" i="24"/>
  <c r="FU211" i="24"/>
  <c r="FT211" i="24"/>
  <c r="FS211" i="24"/>
  <c r="FR211" i="24"/>
  <c r="FQ211" i="24"/>
  <c r="FP211" i="24"/>
  <c r="FO211" i="24"/>
  <c r="FN211" i="24"/>
  <c r="FM211" i="24"/>
  <c r="FL211" i="24"/>
  <c r="FK211" i="24"/>
  <c r="FJ211" i="24"/>
  <c r="FI211" i="24"/>
  <c r="FH211" i="24"/>
  <c r="FG211" i="24"/>
  <c r="FF211" i="24"/>
  <c r="FE211" i="24"/>
  <c r="FD211" i="24"/>
  <c r="FC211" i="24"/>
  <c r="FB211" i="24"/>
  <c r="FA211" i="24"/>
  <c r="EZ211" i="24"/>
  <c r="EY211" i="24"/>
  <c r="EX211" i="24"/>
  <c r="EW211" i="24"/>
  <c r="EV211" i="24"/>
  <c r="EU211" i="24"/>
  <c r="ET211" i="24"/>
  <c r="ES211" i="24"/>
  <c r="ER211" i="24"/>
  <c r="EQ211" i="24"/>
  <c r="EP211" i="24"/>
  <c r="EO211" i="24"/>
  <c r="EN211" i="24"/>
  <c r="EM211" i="24"/>
  <c r="EL211" i="24"/>
  <c r="EK211" i="24"/>
  <c r="EJ211" i="24"/>
  <c r="EI211" i="24"/>
  <c r="EH211" i="24"/>
  <c r="EG211" i="24"/>
  <c r="EF211" i="24"/>
  <c r="EE211" i="24"/>
  <c r="ED211" i="24"/>
  <c r="EC211" i="24"/>
  <c r="EB211" i="24"/>
  <c r="EA211" i="24"/>
  <c r="DZ211" i="24"/>
  <c r="DY211" i="24"/>
  <c r="DX211" i="24"/>
  <c r="DW211" i="24"/>
  <c r="DV211" i="24"/>
  <c r="DU211" i="24"/>
  <c r="DT211" i="24"/>
  <c r="DS211" i="24"/>
  <c r="DR211" i="24"/>
  <c r="DQ211" i="24"/>
  <c r="DP211" i="24"/>
  <c r="DO211" i="24"/>
  <c r="DN211" i="24"/>
  <c r="DM211" i="24"/>
  <c r="DL211" i="24"/>
  <c r="DK211" i="24"/>
  <c r="DJ211" i="24"/>
  <c r="DI211" i="24"/>
  <c r="DH211" i="24"/>
  <c r="DG211" i="24"/>
  <c r="DF211" i="24"/>
  <c r="DE211" i="24"/>
  <c r="DD211" i="24"/>
  <c r="DC211" i="24"/>
  <c r="DB211" i="24"/>
  <c r="DA211" i="24"/>
  <c r="CZ211" i="24"/>
  <c r="CY211" i="24"/>
  <c r="CX211" i="24"/>
  <c r="CW211" i="24"/>
  <c r="CV211" i="24"/>
  <c r="CU211" i="24"/>
  <c r="CT211" i="24"/>
  <c r="CS211" i="24"/>
  <c r="CR211" i="24"/>
  <c r="CQ211" i="24"/>
  <c r="CP211" i="24"/>
  <c r="CO211" i="24"/>
  <c r="CN211" i="24"/>
  <c r="CM211" i="24"/>
  <c r="CL211" i="24"/>
  <c r="CK211" i="24"/>
  <c r="CJ211" i="24"/>
  <c r="CI211" i="24"/>
  <c r="CH211" i="24"/>
  <c r="CG211" i="24"/>
  <c r="CF211" i="24"/>
  <c r="CE211" i="24"/>
  <c r="CD211" i="24"/>
  <c r="CC211" i="24"/>
  <c r="CB211" i="24"/>
  <c r="CA211" i="24"/>
  <c r="BZ211" i="24"/>
  <c r="BY211" i="24"/>
  <c r="BX211" i="24"/>
  <c r="BW211" i="24"/>
  <c r="BV211" i="24"/>
  <c r="BU211" i="24"/>
  <c r="BT211" i="24"/>
  <c r="BS211" i="24"/>
  <c r="BR211" i="24"/>
  <c r="BQ211" i="24"/>
  <c r="BP211" i="24"/>
  <c r="BO211" i="24"/>
  <c r="BN211" i="24"/>
  <c r="BM211" i="24"/>
  <c r="BL211" i="24"/>
  <c r="BK211" i="24"/>
  <c r="BJ211" i="24"/>
  <c r="BI211" i="24"/>
  <c r="BH211" i="24"/>
  <c r="BG211" i="24"/>
  <c r="BF211" i="24"/>
  <c r="BE211" i="24"/>
  <c r="BD211" i="24"/>
  <c r="BC211" i="24"/>
  <c r="BB211" i="24"/>
  <c r="BA211" i="24"/>
  <c r="AZ211" i="24"/>
  <c r="AY211" i="24"/>
  <c r="AX211" i="24"/>
  <c r="AW211" i="24"/>
  <c r="AV211" i="24"/>
  <c r="AU211" i="24"/>
  <c r="AT211" i="24"/>
  <c r="AS211" i="24"/>
  <c r="AR211" i="24"/>
  <c r="AQ211" i="24"/>
  <c r="AP211" i="24"/>
  <c r="AO211" i="24"/>
  <c r="AN211" i="24"/>
  <c r="AM211" i="24"/>
  <c r="AL211" i="24"/>
  <c r="AK211" i="24"/>
  <c r="AJ211" i="24"/>
  <c r="AI211" i="24"/>
  <c r="AH211" i="24"/>
  <c r="AG211" i="24"/>
  <c r="AF211" i="24"/>
  <c r="AE211" i="24"/>
  <c r="AD211" i="24"/>
  <c r="AC211" i="24"/>
  <c r="AB211" i="24"/>
  <c r="AA211" i="24"/>
  <c r="Z211" i="24"/>
  <c r="Y211" i="24"/>
  <c r="X211" i="24"/>
  <c r="W211" i="24"/>
  <c r="V211" i="24"/>
  <c r="U211" i="24"/>
  <c r="T211" i="24"/>
  <c r="S211" i="24"/>
  <c r="R211" i="24"/>
  <c r="Q211" i="24"/>
  <c r="P211" i="24"/>
  <c r="O211" i="24"/>
  <c r="N211" i="24"/>
  <c r="M211" i="24"/>
  <c r="L211" i="24"/>
  <c r="K211" i="24"/>
  <c r="J211" i="24"/>
  <c r="I211" i="24"/>
  <c r="H211" i="24"/>
  <c r="G211" i="24"/>
  <c r="F211" i="24"/>
  <c r="E211" i="24"/>
  <c r="D211" i="24"/>
  <c r="C211" i="24"/>
  <c r="B211" i="24"/>
  <c r="GT210" i="24"/>
  <c r="GS210" i="24"/>
  <c r="GR210" i="24"/>
  <c r="GQ210" i="24"/>
  <c r="GP210" i="24"/>
  <c r="GO210" i="24"/>
  <c r="GN210" i="24"/>
  <c r="GM210" i="24"/>
  <c r="GL210" i="24"/>
  <c r="GK210" i="24"/>
  <c r="GJ210" i="24"/>
  <c r="GI210" i="24"/>
  <c r="GH210" i="24"/>
  <c r="GG210" i="24"/>
  <c r="GF210" i="24"/>
  <c r="GE210" i="24"/>
  <c r="GD210" i="24"/>
  <c r="GC210" i="24"/>
  <c r="GB210" i="24"/>
  <c r="GA210" i="24"/>
  <c r="FZ210" i="24"/>
  <c r="FY210" i="24"/>
  <c r="FX210" i="24"/>
  <c r="FW210" i="24"/>
  <c r="FV210" i="24"/>
  <c r="FU210" i="24"/>
  <c r="FT210" i="24"/>
  <c r="FS210" i="24"/>
  <c r="FR210" i="24"/>
  <c r="FQ210" i="24"/>
  <c r="FP210" i="24"/>
  <c r="FO210" i="24"/>
  <c r="FN210" i="24"/>
  <c r="FM210" i="24"/>
  <c r="FL210" i="24"/>
  <c r="FK210" i="24"/>
  <c r="FJ210" i="24"/>
  <c r="FI210" i="24"/>
  <c r="FH210" i="24"/>
  <c r="FG210" i="24"/>
  <c r="FF210" i="24"/>
  <c r="FE210" i="24"/>
  <c r="FD210" i="24"/>
  <c r="FC210" i="24"/>
  <c r="FB210" i="24"/>
  <c r="FA210" i="24"/>
  <c r="EZ210" i="24"/>
  <c r="EY210" i="24"/>
  <c r="EX210" i="24"/>
  <c r="EW210" i="24"/>
  <c r="EV210" i="24"/>
  <c r="EU210" i="24"/>
  <c r="ET210" i="24"/>
  <c r="ES210" i="24"/>
  <c r="ER210" i="24"/>
  <c r="EQ210" i="24"/>
  <c r="EP210" i="24"/>
  <c r="EO210" i="24"/>
  <c r="EN210" i="24"/>
  <c r="EM210" i="24"/>
  <c r="EL210" i="24"/>
  <c r="EK210" i="24"/>
  <c r="EJ210" i="24"/>
  <c r="EI210" i="24"/>
  <c r="EH210" i="24"/>
  <c r="EG210" i="24"/>
  <c r="EF210" i="24"/>
  <c r="EE210" i="24"/>
  <c r="ED210" i="24"/>
  <c r="EC210" i="24"/>
  <c r="EB210" i="24"/>
  <c r="EA210" i="24"/>
  <c r="DZ210" i="24"/>
  <c r="DY210" i="24"/>
  <c r="DX210" i="24"/>
  <c r="DW210" i="24"/>
  <c r="DV210" i="24"/>
  <c r="DU210" i="24"/>
  <c r="DT210" i="24"/>
  <c r="DS210" i="24"/>
  <c r="DR210" i="24"/>
  <c r="DQ210" i="24"/>
  <c r="DP210" i="24"/>
  <c r="DO210" i="24"/>
  <c r="DN210" i="24"/>
  <c r="DM210" i="24"/>
  <c r="DL210" i="24"/>
  <c r="DK210" i="24"/>
  <c r="DJ210" i="24"/>
  <c r="DI210" i="24"/>
  <c r="DH210" i="24"/>
  <c r="DG210" i="24"/>
  <c r="DF210" i="24"/>
  <c r="DE210" i="24"/>
  <c r="DD210" i="24"/>
  <c r="DC210" i="24"/>
  <c r="DB210" i="24"/>
  <c r="DA210" i="24"/>
  <c r="CZ210" i="24"/>
  <c r="CY210" i="24"/>
  <c r="CX210" i="24"/>
  <c r="CW210" i="24"/>
  <c r="CV210" i="24"/>
  <c r="CU210" i="24"/>
  <c r="CT210" i="24"/>
  <c r="CS210" i="24"/>
  <c r="CR210" i="24"/>
  <c r="CQ210" i="24"/>
  <c r="CP210" i="24"/>
  <c r="CO210" i="24"/>
  <c r="CN210" i="24"/>
  <c r="CM210" i="24"/>
  <c r="CL210" i="24"/>
  <c r="CK210" i="24"/>
  <c r="CJ210" i="24"/>
  <c r="CI210" i="24"/>
  <c r="CH210" i="24"/>
  <c r="CG210" i="24"/>
  <c r="CF210" i="24"/>
  <c r="CE210" i="24"/>
  <c r="CD210" i="24"/>
  <c r="CC210" i="24"/>
  <c r="CB210" i="24"/>
  <c r="CA210" i="24"/>
  <c r="BZ210" i="24"/>
  <c r="BY210" i="24"/>
  <c r="BX210" i="24"/>
  <c r="BW210" i="24"/>
  <c r="BV210" i="24"/>
  <c r="BU210" i="24"/>
  <c r="BT210" i="24"/>
  <c r="BS210" i="24"/>
  <c r="BR210" i="24"/>
  <c r="BQ210" i="24"/>
  <c r="BP210" i="24"/>
  <c r="BO210" i="24"/>
  <c r="BN210" i="24"/>
  <c r="BM210" i="24"/>
  <c r="BL210" i="24"/>
  <c r="BK210" i="24"/>
  <c r="BJ210" i="24"/>
  <c r="BI210" i="24"/>
  <c r="BH210" i="24"/>
  <c r="BG210" i="24"/>
  <c r="BF210" i="24"/>
  <c r="BE210" i="24"/>
  <c r="BD210" i="24"/>
  <c r="BC210" i="24"/>
  <c r="BB210" i="24"/>
  <c r="BA210" i="24"/>
  <c r="AZ210" i="24"/>
  <c r="AY210" i="24"/>
  <c r="AX210" i="24"/>
  <c r="AW210" i="24"/>
  <c r="AV210" i="24"/>
  <c r="AU210" i="24"/>
  <c r="AT210" i="24"/>
  <c r="AS210" i="24"/>
  <c r="AR210" i="24"/>
  <c r="AQ210" i="24"/>
  <c r="AP210" i="24"/>
  <c r="AO210" i="24"/>
  <c r="AN210" i="24"/>
  <c r="AM210" i="24"/>
  <c r="AL210" i="24"/>
  <c r="AK210" i="24"/>
  <c r="AJ210" i="24"/>
  <c r="AI210" i="24"/>
  <c r="AH210" i="24"/>
  <c r="AG210" i="24"/>
  <c r="AF210" i="24"/>
  <c r="AE210" i="24"/>
  <c r="AD210" i="24"/>
  <c r="AC210" i="24"/>
  <c r="AB210" i="24"/>
  <c r="AA210" i="24"/>
  <c r="Z210" i="24"/>
  <c r="Y210" i="24"/>
  <c r="X210" i="24"/>
  <c r="W210" i="24"/>
  <c r="V210" i="24"/>
  <c r="U210" i="24"/>
  <c r="T210" i="24"/>
  <c r="S210" i="24"/>
  <c r="R210" i="24"/>
  <c r="Q210" i="24"/>
  <c r="P210" i="24"/>
  <c r="O210" i="24"/>
  <c r="N210" i="24"/>
  <c r="M210" i="24"/>
  <c r="L210" i="24"/>
  <c r="K210" i="24"/>
  <c r="J210" i="24"/>
  <c r="I210" i="24"/>
  <c r="H210" i="24"/>
  <c r="G210" i="24"/>
  <c r="F210" i="24"/>
  <c r="E210" i="24"/>
  <c r="D210" i="24"/>
  <c r="C210" i="24"/>
  <c r="B210" i="24"/>
  <c r="GT209" i="24"/>
  <c r="GS209" i="24"/>
  <c r="GR209" i="24"/>
  <c r="GQ209" i="24"/>
  <c r="GP209" i="24"/>
  <c r="GO209" i="24"/>
  <c r="GN209" i="24"/>
  <c r="GM209" i="24"/>
  <c r="GL209" i="24"/>
  <c r="GK209" i="24"/>
  <c r="GJ209" i="24"/>
  <c r="GI209" i="24"/>
  <c r="GH209" i="24"/>
  <c r="GG209" i="24"/>
  <c r="GF209" i="24"/>
  <c r="GE209" i="24"/>
  <c r="GD209" i="24"/>
  <c r="GC209" i="24"/>
  <c r="GB209" i="24"/>
  <c r="GA209" i="24"/>
  <c r="FZ209" i="24"/>
  <c r="FY209" i="24"/>
  <c r="FX209" i="24"/>
  <c r="FW209" i="24"/>
  <c r="FV209" i="24"/>
  <c r="FU209" i="24"/>
  <c r="FT209" i="24"/>
  <c r="FS209" i="24"/>
  <c r="FR209" i="24"/>
  <c r="FQ209" i="24"/>
  <c r="FP209" i="24"/>
  <c r="FO209" i="24"/>
  <c r="FN209" i="24"/>
  <c r="FM209" i="24"/>
  <c r="FL209" i="24"/>
  <c r="FK209" i="24"/>
  <c r="FJ209" i="24"/>
  <c r="FI209" i="24"/>
  <c r="FH209" i="24"/>
  <c r="FG209" i="24"/>
  <c r="FF209" i="24"/>
  <c r="FE209" i="24"/>
  <c r="FD209" i="24"/>
  <c r="FC209" i="24"/>
  <c r="FB209" i="24"/>
  <c r="FA209" i="24"/>
  <c r="EZ209" i="24"/>
  <c r="EY209" i="24"/>
  <c r="EX209" i="24"/>
  <c r="EW209" i="24"/>
  <c r="EV209" i="24"/>
  <c r="EU209" i="24"/>
  <c r="ET209" i="24"/>
  <c r="ES209" i="24"/>
  <c r="ER209" i="24"/>
  <c r="EQ209" i="24"/>
  <c r="EP209" i="24"/>
  <c r="EO209" i="24"/>
  <c r="EN209" i="24"/>
  <c r="EM209" i="24"/>
  <c r="EL209" i="24"/>
  <c r="EK209" i="24"/>
  <c r="EJ209" i="24"/>
  <c r="EI209" i="24"/>
  <c r="EH209" i="24"/>
  <c r="EG209" i="24"/>
  <c r="EF209" i="24"/>
  <c r="EE209" i="24"/>
  <c r="ED209" i="24"/>
  <c r="EC209" i="24"/>
  <c r="EB209" i="24"/>
  <c r="EA209" i="24"/>
  <c r="DZ209" i="24"/>
  <c r="DY209" i="24"/>
  <c r="DX209" i="24"/>
  <c r="DW209" i="24"/>
  <c r="DV209" i="24"/>
  <c r="DU209" i="24"/>
  <c r="DT209" i="24"/>
  <c r="DS209" i="24"/>
  <c r="DR209" i="24"/>
  <c r="DQ209" i="24"/>
  <c r="DP209" i="24"/>
  <c r="DO209" i="24"/>
  <c r="DN209" i="24"/>
  <c r="DM209" i="24"/>
  <c r="DL209" i="24"/>
  <c r="DK209" i="24"/>
  <c r="DJ209" i="24"/>
  <c r="DI209" i="24"/>
  <c r="DH209" i="24"/>
  <c r="DG209" i="24"/>
  <c r="DF209" i="24"/>
  <c r="DE209" i="24"/>
  <c r="DD209" i="24"/>
  <c r="DC209" i="24"/>
  <c r="DB209" i="24"/>
  <c r="DA209" i="24"/>
  <c r="CZ209" i="24"/>
  <c r="CY209" i="24"/>
  <c r="CX209" i="24"/>
  <c r="CW209" i="24"/>
  <c r="CV209" i="24"/>
  <c r="CU209" i="24"/>
  <c r="CT209" i="24"/>
  <c r="CS209" i="24"/>
  <c r="CR209" i="24"/>
  <c r="CQ209" i="24"/>
  <c r="CP209" i="24"/>
  <c r="CO209" i="24"/>
  <c r="CN209" i="24"/>
  <c r="CM209" i="24"/>
  <c r="CL209" i="24"/>
  <c r="CK209" i="24"/>
  <c r="CJ209" i="24"/>
  <c r="CI209" i="24"/>
  <c r="CH209" i="24"/>
  <c r="CG209" i="24"/>
  <c r="CF209" i="24"/>
  <c r="CE209" i="24"/>
  <c r="CD209" i="24"/>
  <c r="CC209" i="24"/>
  <c r="CB209" i="24"/>
  <c r="CA209" i="24"/>
  <c r="BZ209" i="24"/>
  <c r="BY209" i="24"/>
  <c r="BX209" i="24"/>
  <c r="BW209" i="24"/>
  <c r="BV209" i="24"/>
  <c r="BU209" i="24"/>
  <c r="BT209" i="24"/>
  <c r="BS209" i="24"/>
  <c r="BR209" i="24"/>
  <c r="BQ209" i="24"/>
  <c r="BP209" i="24"/>
  <c r="BO209" i="24"/>
  <c r="BN209" i="24"/>
  <c r="BM209" i="24"/>
  <c r="BL209" i="24"/>
  <c r="BK209" i="24"/>
  <c r="BJ209" i="24"/>
  <c r="BI209" i="24"/>
  <c r="BH209" i="24"/>
  <c r="BG209" i="24"/>
  <c r="BF209" i="24"/>
  <c r="BE209" i="24"/>
  <c r="BD209" i="24"/>
  <c r="BC209" i="24"/>
  <c r="BB209" i="24"/>
  <c r="BA209" i="24"/>
  <c r="AZ209" i="24"/>
  <c r="AY209" i="24"/>
  <c r="AX209" i="24"/>
  <c r="AW209" i="24"/>
  <c r="AV209" i="24"/>
  <c r="AU209" i="24"/>
  <c r="AT209" i="24"/>
  <c r="AS209" i="24"/>
  <c r="AR209" i="24"/>
  <c r="AQ209" i="24"/>
  <c r="AP209" i="24"/>
  <c r="AO209" i="24"/>
  <c r="AN209" i="24"/>
  <c r="AM209" i="24"/>
  <c r="AL209" i="24"/>
  <c r="AK209" i="24"/>
  <c r="AJ209" i="24"/>
  <c r="AI209" i="24"/>
  <c r="AH209" i="24"/>
  <c r="AG209" i="24"/>
  <c r="AF209" i="24"/>
  <c r="AE209" i="24"/>
  <c r="AD209" i="24"/>
  <c r="AC209" i="24"/>
  <c r="AB209" i="24"/>
  <c r="AA209" i="24"/>
  <c r="Z209" i="24"/>
  <c r="Y209" i="24"/>
  <c r="X209" i="24"/>
  <c r="W209" i="24"/>
  <c r="V209" i="24"/>
  <c r="U209" i="24"/>
  <c r="T209" i="24"/>
  <c r="S209" i="24"/>
  <c r="R209" i="24"/>
  <c r="Q209" i="24"/>
  <c r="P209" i="24"/>
  <c r="O209" i="24"/>
  <c r="N209" i="24"/>
  <c r="M209" i="24"/>
  <c r="L209" i="24"/>
  <c r="K209" i="24"/>
  <c r="J209" i="24"/>
  <c r="I209" i="24"/>
  <c r="H209" i="24"/>
  <c r="G209" i="24"/>
  <c r="F209" i="24"/>
  <c r="E209" i="24"/>
  <c r="D209" i="24"/>
  <c r="C209" i="24"/>
  <c r="B209" i="24"/>
  <c r="GT208" i="24"/>
  <c r="GS208" i="24"/>
  <c r="GR208" i="24"/>
  <c r="GQ208" i="24"/>
  <c r="GP208" i="24"/>
  <c r="GO208" i="24"/>
  <c r="GN208" i="24"/>
  <c r="GM208" i="24"/>
  <c r="GL208" i="24"/>
  <c r="GK208" i="24"/>
  <c r="GJ208" i="24"/>
  <c r="GI208" i="24"/>
  <c r="GH208" i="24"/>
  <c r="GG208" i="24"/>
  <c r="GF208" i="24"/>
  <c r="GE208" i="24"/>
  <c r="GD208" i="24"/>
  <c r="GC208" i="24"/>
  <c r="GB208" i="24"/>
  <c r="GA208" i="24"/>
  <c r="FZ208" i="24"/>
  <c r="FY208" i="24"/>
  <c r="FX208" i="24"/>
  <c r="FW208" i="24"/>
  <c r="FV208" i="24"/>
  <c r="FU208" i="24"/>
  <c r="FT208" i="24"/>
  <c r="FS208" i="24"/>
  <c r="FR208" i="24"/>
  <c r="FQ208" i="24"/>
  <c r="FP208" i="24"/>
  <c r="FO208" i="24"/>
  <c r="FN208" i="24"/>
  <c r="FM208" i="24"/>
  <c r="FL208" i="24"/>
  <c r="FK208" i="24"/>
  <c r="FJ208" i="24"/>
  <c r="FI208" i="24"/>
  <c r="FH208" i="24"/>
  <c r="FG208" i="24"/>
  <c r="FF208" i="24"/>
  <c r="FE208" i="24"/>
  <c r="FD208" i="24"/>
  <c r="FC208" i="24"/>
  <c r="FB208" i="24"/>
  <c r="FA208" i="24"/>
  <c r="EZ208" i="24"/>
  <c r="EY208" i="24"/>
  <c r="EX208" i="24"/>
  <c r="EW208" i="24"/>
  <c r="EV208" i="24"/>
  <c r="EU208" i="24"/>
  <c r="ET208" i="24"/>
  <c r="ES208" i="24"/>
  <c r="ER208" i="24"/>
  <c r="EQ208" i="24"/>
  <c r="EP208" i="24"/>
  <c r="EO208" i="24"/>
  <c r="EN208" i="24"/>
  <c r="EM208" i="24"/>
  <c r="EL208" i="24"/>
  <c r="EK208" i="24"/>
  <c r="EJ208" i="24"/>
  <c r="EI208" i="24"/>
  <c r="EH208" i="24"/>
  <c r="EG208" i="24"/>
  <c r="EF208" i="24"/>
  <c r="EE208" i="24"/>
  <c r="ED208" i="24"/>
  <c r="EC208" i="24"/>
  <c r="EB208" i="24"/>
  <c r="EA208" i="24"/>
  <c r="DZ208" i="24"/>
  <c r="DY208" i="24"/>
  <c r="DX208" i="24"/>
  <c r="DW208" i="24"/>
  <c r="DV208" i="24"/>
  <c r="DU208" i="24"/>
  <c r="DT208" i="24"/>
  <c r="DS208" i="24"/>
  <c r="DR208" i="24"/>
  <c r="DQ208" i="24"/>
  <c r="DP208" i="24"/>
  <c r="DO208" i="24"/>
  <c r="DN208" i="24"/>
  <c r="DM208" i="24"/>
  <c r="DL208" i="24"/>
  <c r="DK208" i="24"/>
  <c r="DJ208" i="24"/>
  <c r="DI208" i="24"/>
  <c r="DH208" i="24"/>
  <c r="DG208" i="24"/>
  <c r="DF208" i="24"/>
  <c r="DE208" i="24"/>
  <c r="DD208" i="24"/>
  <c r="DC208" i="24"/>
  <c r="DB208" i="24"/>
  <c r="DA208" i="24"/>
  <c r="CZ208" i="24"/>
  <c r="CY208" i="24"/>
  <c r="CX208" i="24"/>
  <c r="CW208" i="24"/>
  <c r="CV208" i="24"/>
  <c r="CU208" i="24"/>
  <c r="CT208" i="24"/>
  <c r="CS208" i="24"/>
  <c r="CR208" i="24"/>
  <c r="CQ208" i="24"/>
  <c r="CP208" i="24"/>
  <c r="CO208" i="24"/>
  <c r="CN208" i="24"/>
  <c r="CM208" i="24"/>
  <c r="CL208" i="24"/>
  <c r="CK208" i="24"/>
  <c r="CJ208" i="24"/>
  <c r="CI208" i="24"/>
  <c r="CH208" i="24"/>
  <c r="CG208" i="24"/>
  <c r="CF208" i="24"/>
  <c r="CE208" i="24"/>
  <c r="CD208" i="24"/>
  <c r="CC208" i="24"/>
  <c r="CB208" i="24"/>
  <c r="CA208" i="24"/>
  <c r="BZ208" i="24"/>
  <c r="BY208" i="24"/>
  <c r="BX208" i="24"/>
  <c r="BW208" i="24"/>
  <c r="BV208" i="24"/>
  <c r="BU208" i="24"/>
  <c r="BT208" i="24"/>
  <c r="BS208" i="24"/>
  <c r="BR208" i="24"/>
  <c r="BQ208" i="24"/>
  <c r="BP208" i="24"/>
  <c r="BO208" i="24"/>
  <c r="BN208" i="24"/>
  <c r="BM208" i="24"/>
  <c r="BL208" i="24"/>
  <c r="BK208" i="24"/>
  <c r="BJ208" i="24"/>
  <c r="BI208" i="24"/>
  <c r="BH208" i="24"/>
  <c r="BG208" i="24"/>
  <c r="BF208" i="24"/>
  <c r="BE208" i="24"/>
  <c r="BD208" i="24"/>
  <c r="BC208" i="24"/>
  <c r="BB208" i="24"/>
  <c r="BA208" i="24"/>
  <c r="AZ208" i="24"/>
  <c r="AY208" i="24"/>
  <c r="AX208" i="24"/>
  <c r="AW208" i="24"/>
  <c r="AV208" i="24"/>
  <c r="AU208" i="24"/>
  <c r="AT208" i="24"/>
  <c r="AS208" i="24"/>
  <c r="AR208" i="24"/>
  <c r="AQ208" i="24"/>
  <c r="AP208" i="24"/>
  <c r="AO208" i="24"/>
  <c r="AN208" i="24"/>
  <c r="AM208" i="24"/>
  <c r="AL208" i="24"/>
  <c r="AK208" i="24"/>
  <c r="AJ208" i="24"/>
  <c r="AI208" i="24"/>
  <c r="AH208" i="24"/>
  <c r="AG208" i="24"/>
  <c r="AF208" i="24"/>
  <c r="AE208" i="24"/>
  <c r="AD208" i="24"/>
  <c r="AC208" i="24"/>
  <c r="AB208" i="24"/>
  <c r="AA208" i="24"/>
  <c r="Z208" i="24"/>
  <c r="Y208" i="24"/>
  <c r="X208" i="24"/>
  <c r="W208" i="24"/>
  <c r="V208" i="24"/>
  <c r="U208" i="24"/>
  <c r="T208" i="24"/>
  <c r="S208" i="24"/>
  <c r="R208" i="24"/>
  <c r="Q208" i="24"/>
  <c r="P208" i="24"/>
  <c r="O208" i="24"/>
  <c r="N208" i="24"/>
  <c r="M208" i="24"/>
  <c r="L208" i="24"/>
  <c r="K208" i="24"/>
  <c r="J208" i="24"/>
  <c r="I208" i="24"/>
  <c r="H208" i="24"/>
  <c r="G208" i="24"/>
  <c r="F208" i="24"/>
  <c r="E208" i="24"/>
  <c r="D208" i="24"/>
  <c r="C208" i="24"/>
  <c r="B208" i="24"/>
  <c r="GT207" i="24"/>
  <c r="GS207" i="24"/>
  <c r="GR207" i="24"/>
  <c r="GQ207" i="24"/>
  <c r="GP207" i="24"/>
  <c r="GO207" i="24"/>
  <c r="GN207" i="24"/>
  <c r="GM207" i="24"/>
  <c r="GL207" i="24"/>
  <c r="GK207" i="24"/>
  <c r="GJ207" i="24"/>
  <c r="GI207" i="24"/>
  <c r="GH207" i="24"/>
  <c r="GG207" i="24"/>
  <c r="GF207" i="24"/>
  <c r="GE207" i="24"/>
  <c r="GD207" i="24"/>
  <c r="GC207" i="24"/>
  <c r="GB207" i="24"/>
  <c r="GA207" i="24"/>
  <c r="FZ207" i="24"/>
  <c r="FY207" i="24"/>
  <c r="FX207" i="24"/>
  <c r="FW207" i="24"/>
  <c r="FV207" i="24"/>
  <c r="FU207" i="24"/>
  <c r="FT207" i="24"/>
  <c r="FS207" i="24"/>
  <c r="FR207" i="24"/>
  <c r="FQ207" i="24"/>
  <c r="FP207" i="24"/>
  <c r="FO207" i="24"/>
  <c r="FN207" i="24"/>
  <c r="FM207" i="24"/>
  <c r="FL207" i="24"/>
  <c r="FK207" i="24"/>
  <c r="FJ207" i="24"/>
  <c r="FI207" i="24"/>
  <c r="FH207" i="24"/>
  <c r="FG207" i="24"/>
  <c r="FF207" i="24"/>
  <c r="FE207" i="24"/>
  <c r="FD207" i="24"/>
  <c r="FC207" i="24"/>
  <c r="FB207" i="24"/>
  <c r="FA207" i="24"/>
  <c r="EZ207" i="24"/>
  <c r="EY207" i="24"/>
  <c r="EX207" i="24"/>
  <c r="EW207" i="24"/>
  <c r="EV207" i="24"/>
  <c r="EU207" i="24"/>
  <c r="ET207" i="24"/>
  <c r="ES207" i="24"/>
  <c r="ER207" i="24"/>
  <c r="EQ207" i="24"/>
  <c r="EP207" i="24"/>
  <c r="EO207" i="24"/>
  <c r="EN207" i="24"/>
  <c r="EM207" i="24"/>
  <c r="EL207" i="24"/>
  <c r="EK207" i="24"/>
  <c r="EJ207" i="24"/>
  <c r="EI207" i="24"/>
  <c r="EH207" i="24"/>
  <c r="EG207" i="24"/>
  <c r="EF207" i="24"/>
  <c r="EE207" i="24"/>
  <c r="ED207" i="24"/>
  <c r="EC207" i="24"/>
  <c r="EB207" i="24"/>
  <c r="EA207" i="24"/>
  <c r="DZ207" i="24"/>
  <c r="DY207" i="24"/>
  <c r="DX207" i="24"/>
  <c r="DW207" i="24"/>
  <c r="DV207" i="24"/>
  <c r="DU207" i="24"/>
  <c r="DT207" i="24"/>
  <c r="DS207" i="24"/>
  <c r="DR207" i="24"/>
  <c r="DQ207" i="24"/>
  <c r="DP207" i="24"/>
  <c r="DO207" i="24"/>
  <c r="DN207" i="24"/>
  <c r="DM207" i="24"/>
  <c r="DL207" i="24"/>
  <c r="DK207" i="24"/>
  <c r="DJ207" i="24"/>
  <c r="DI207" i="24"/>
  <c r="DH207" i="24"/>
  <c r="DG207" i="24"/>
  <c r="DF207" i="24"/>
  <c r="DE207" i="24"/>
  <c r="DD207" i="24"/>
  <c r="DC207" i="24"/>
  <c r="DB207" i="24"/>
  <c r="DA207" i="24"/>
  <c r="CZ207" i="24"/>
  <c r="CY207" i="24"/>
  <c r="CX207" i="24"/>
  <c r="CW207" i="24"/>
  <c r="CV207" i="24"/>
  <c r="CU207" i="24"/>
  <c r="CT207" i="24"/>
  <c r="CS207" i="24"/>
  <c r="CR207" i="24"/>
  <c r="CQ207" i="24"/>
  <c r="CP207" i="24"/>
  <c r="CO207" i="24"/>
  <c r="CN207" i="24"/>
  <c r="CM207" i="24"/>
  <c r="CL207" i="24"/>
  <c r="CK207" i="24"/>
  <c r="CJ207" i="24"/>
  <c r="CI207" i="24"/>
  <c r="CH207" i="24"/>
  <c r="CG207" i="24"/>
  <c r="CF207" i="24"/>
  <c r="CE207" i="24"/>
  <c r="CD207" i="24"/>
  <c r="CC207" i="24"/>
  <c r="CB207" i="24"/>
  <c r="CA207" i="24"/>
  <c r="BZ207" i="24"/>
  <c r="BY207" i="24"/>
  <c r="BX207" i="24"/>
  <c r="BW207" i="24"/>
  <c r="BV207" i="24"/>
  <c r="BU207" i="24"/>
  <c r="BT207" i="24"/>
  <c r="BS207" i="24"/>
  <c r="BR207" i="24"/>
  <c r="BQ207" i="24"/>
  <c r="BP207" i="24"/>
  <c r="BO207" i="24"/>
  <c r="BN207" i="24"/>
  <c r="BM207" i="24"/>
  <c r="BL207" i="24"/>
  <c r="BK207" i="24"/>
  <c r="BJ207" i="24"/>
  <c r="BI207" i="24"/>
  <c r="BH207" i="24"/>
  <c r="BG207" i="24"/>
  <c r="BF207" i="24"/>
  <c r="BE207" i="24"/>
  <c r="BD207" i="24"/>
  <c r="BC207" i="24"/>
  <c r="BB207" i="24"/>
  <c r="BA207" i="24"/>
  <c r="AZ207" i="24"/>
  <c r="AY207" i="24"/>
  <c r="AX207" i="24"/>
  <c r="AW207" i="24"/>
  <c r="AV207" i="24"/>
  <c r="AU207" i="24"/>
  <c r="AT207" i="24"/>
  <c r="AS207" i="24"/>
  <c r="AR207" i="24"/>
  <c r="AQ207" i="24"/>
  <c r="AP207" i="24"/>
  <c r="AO207" i="24"/>
  <c r="AN207" i="24"/>
  <c r="AM207" i="24"/>
  <c r="AL207" i="24"/>
  <c r="AK207" i="24"/>
  <c r="AJ207" i="24"/>
  <c r="AI207" i="24"/>
  <c r="AH207" i="24"/>
  <c r="AG207" i="24"/>
  <c r="AF207" i="24"/>
  <c r="AE207" i="24"/>
  <c r="AD207" i="24"/>
  <c r="AC207" i="24"/>
  <c r="AB207" i="24"/>
  <c r="AA207" i="24"/>
  <c r="Z207" i="24"/>
  <c r="Y207" i="24"/>
  <c r="X207" i="24"/>
  <c r="W207" i="24"/>
  <c r="V207" i="24"/>
  <c r="U207" i="24"/>
  <c r="T207" i="24"/>
  <c r="S207" i="24"/>
  <c r="R207" i="24"/>
  <c r="Q207" i="24"/>
  <c r="P207" i="24"/>
  <c r="O207" i="24"/>
  <c r="N207" i="24"/>
  <c r="M207" i="24"/>
  <c r="L207" i="24"/>
  <c r="K207" i="24"/>
  <c r="J207" i="24"/>
  <c r="I207" i="24"/>
  <c r="H207" i="24"/>
  <c r="G207" i="24"/>
  <c r="F207" i="24"/>
  <c r="E207" i="24"/>
  <c r="D207" i="24"/>
  <c r="C207" i="24"/>
  <c r="B207" i="24"/>
  <c r="GT206" i="24"/>
  <c r="GS206" i="24"/>
  <c r="GR206" i="24"/>
  <c r="GQ206" i="24"/>
  <c r="GP206" i="24"/>
  <c r="GO206" i="24"/>
  <c r="GN206" i="24"/>
  <c r="GM206" i="24"/>
  <c r="GL206" i="24"/>
  <c r="GK206" i="24"/>
  <c r="GJ206" i="24"/>
  <c r="GI206" i="24"/>
  <c r="GH206" i="24"/>
  <c r="GG206" i="24"/>
  <c r="GF206" i="24"/>
  <c r="GE206" i="24"/>
  <c r="GD206" i="24"/>
  <c r="GC206" i="24"/>
  <c r="GB206" i="24"/>
  <c r="GA206" i="24"/>
  <c r="FZ206" i="24"/>
  <c r="FY206" i="24"/>
  <c r="FX206" i="24"/>
  <c r="FW206" i="24"/>
  <c r="FV206" i="24"/>
  <c r="FU206" i="24"/>
  <c r="FT206" i="24"/>
  <c r="FS206" i="24"/>
  <c r="FR206" i="24"/>
  <c r="FQ206" i="24"/>
  <c r="FP206" i="24"/>
  <c r="FO206" i="24"/>
  <c r="FN206" i="24"/>
  <c r="FM206" i="24"/>
  <c r="FL206" i="24"/>
  <c r="FK206" i="24"/>
  <c r="FJ206" i="24"/>
  <c r="FI206" i="24"/>
  <c r="FH206" i="24"/>
  <c r="FG206" i="24"/>
  <c r="FF206" i="24"/>
  <c r="FE206" i="24"/>
  <c r="FD206" i="24"/>
  <c r="FC206" i="24"/>
  <c r="FB206" i="24"/>
  <c r="FA206" i="24"/>
  <c r="EZ206" i="24"/>
  <c r="EY206" i="24"/>
  <c r="EX206" i="24"/>
  <c r="EW206" i="24"/>
  <c r="EV206" i="24"/>
  <c r="EU206" i="24"/>
  <c r="ET206" i="24"/>
  <c r="ES206" i="24"/>
  <c r="ER206" i="24"/>
  <c r="EQ206" i="24"/>
  <c r="EP206" i="24"/>
  <c r="EO206" i="24"/>
  <c r="EN206" i="24"/>
  <c r="EM206" i="24"/>
  <c r="EL206" i="24"/>
  <c r="EK206" i="24"/>
  <c r="EJ206" i="24"/>
  <c r="EI206" i="24"/>
  <c r="EH206" i="24"/>
  <c r="EG206" i="24"/>
  <c r="EF206" i="24"/>
  <c r="EE206" i="24"/>
  <c r="ED206" i="24"/>
  <c r="EC206" i="24"/>
  <c r="EB206" i="24"/>
  <c r="EA206" i="24"/>
  <c r="DZ206" i="24"/>
  <c r="DY206" i="24"/>
  <c r="DX206" i="24"/>
  <c r="DW206" i="24"/>
  <c r="DV206" i="24"/>
  <c r="DU206" i="24"/>
  <c r="DT206" i="24"/>
  <c r="DS206" i="24"/>
  <c r="DR206" i="24"/>
  <c r="DQ206" i="24"/>
  <c r="DP206" i="24"/>
  <c r="DO206" i="24"/>
  <c r="DN206" i="24"/>
  <c r="DM206" i="24"/>
  <c r="DL206" i="24"/>
  <c r="DK206" i="24"/>
  <c r="DJ206" i="24"/>
  <c r="DI206" i="24"/>
  <c r="DH206" i="24"/>
  <c r="DG206" i="24"/>
  <c r="DF206" i="24"/>
  <c r="DE206" i="24"/>
  <c r="DD206" i="24"/>
  <c r="DC206" i="24"/>
  <c r="DB206" i="24"/>
  <c r="DA206" i="24"/>
  <c r="CZ206" i="24"/>
  <c r="CY206" i="24"/>
  <c r="CX206" i="24"/>
  <c r="CW206" i="24"/>
  <c r="CV206" i="24"/>
  <c r="CU206" i="24"/>
  <c r="CT206" i="24"/>
  <c r="CS206" i="24"/>
  <c r="CR206" i="24"/>
  <c r="CQ206" i="24"/>
  <c r="CP206" i="24"/>
  <c r="CO206" i="24"/>
  <c r="CN206" i="24"/>
  <c r="CM206" i="24"/>
  <c r="CL206" i="24"/>
  <c r="CK206" i="24"/>
  <c r="CJ206" i="24"/>
  <c r="CI206" i="24"/>
  <c r="CH206" i="24"/>
  <c r="CG206" i="24"/>
  <c r="CF206" i="24"/>
  <c r="CE206" i="24"/>
  <c r="CD206" i="24"/>
  <c r="CC206" i="24"/>
  <c r="CB206" i="24"/>
  <c r="CA206" i="24"/>
  <c r="BZ206" i="24"/>
  <c r="BY206" i="24"/>
  <c r="BX206" i="24"/>
  <c r="BW206" i="24"/>
  <c r="BV206" i="24"/>
  <c r="BU206" i="24"/>
  <c r="BT206" i="24"/>
  <c r="BS206" i="24"/>
  <c r="BR206" i="24"/>
  <c r="BQ206" i="24"/>
  <c r="BP206" i="24"/>
  <c r="BO206" i="24"/>
  <c r="BN206" i="24"/>
  <c r="BM206" i="24"/>
  <c r="BL206" i="24"/>
  <c r="BK206" i="24"/>
  <c r="BJ206" i="24"/>
  <c r="BI206" i="24"/>
  <c r="BH206" i="24"/>
  <c r="BG206" i="24"/>
  <c r="BF206" i="24"/>
  <c r="BE206" i="24"/>
  <c r="BD206" i="24"/>
  <c r="BC206" i="24"/>
  <c r="BB206" i="24"/>
  <c r="BA206" i="24"/>
  <c r="AZ206" i="24"/>
  <c r="AY206" i="24"/>
  <c r="AX206" i="24"/>
  <c r="AW206" i="24"/>
  <c r="AV206" i="24"/>
  <c r="AU206" i="24"/>
  <c r="AT206" i="24"/>
  <c r="AS206" i="24"/>
  <c r="AR206" i="24"/>
  <c r="AQ206" i="24"/>
  <c r="AP206" i="24"/>
  <c r="AO206" i="24"/>
  <c r="AN206" i="24"/>
  <c r="AM206" i="24"/>
  <c r="AL206" i="24"/>
  <c r="AK206" i="24"/>
  <c r="AJ206" i="24"/>
  <c r="AI206" i="24"/>
  <c r="AH206" i="24"/>
  <c r="AG206" i="24"/>
  <c r="AF206" i="24"/>
  <c r="AE206" i="24"/>
  <c r="AD206" i="24"/>
  <c r="AC206" i="24"/>
  <c r="AB206" i="24"/>
  <c r="AA206" i="24"/>
  <c r="Z206" i="24"/>
  <c r="Y206" i="24"/>
  <c r="X206" i="24"/>
  <c r="W206" i="24"/>
  <c r="V206" i="24"/>
  <c r="U206" i="24"/>
  <c r="T206" i="24"/>
  <c r="S206" i="24"/>
  <c r="R206" i="24"/>
  <c r="Q206" i="24"/>
  <c r="P206" i="24"/>
  <c r="O206" i="24"/>
  <c r="N206" i="24"/>
  <c r="M206" i="24"/>
  <c r="L206" i="24"/>
  <c r="K206" i="24"/>
  <c r="J206" i="24"/>
  <c r="I206" i="24"/>
  <c r="H206" i="24"/>
  <c r="G206" i="24"/>
  <c r="F206" i="24"/>
  <c r="E206" i="24"/>
  <c r="D206" i="24"/>
  <c r="C206" i="24"/>
  <c r="B206" i="24"/>
  <c r="GT205" i="24"/>
  <c r="GS205" i="24"/>
  <c r="GR205" i="24"/>
  <c r="GQ205" i="24"/>
  <c r="GP205" i="24"/>
  <c r="GO205" i="24"/>
  <c r="GN205" i="24"/>
  <c r="GM205" i="24"/>
  <c r="GL205" i="24"/>
  <c r="GK205" i="24"/>
  <c r="GJ205" i="24"/>
  <c r="GI205" i="24"/>
  <c r="GH205" i="24"/>
  <c r="GG205" i="24"/>
  <c r="GF205" i="24"/>
  <c r="GE205" i="24"/>
  <c r="GD205" i="24"/>
  <c r="GC205" i="24"/>
  <c r="GB205" i="24"/>
  <c r="GA205" i="24"/>
  <c r="FZ205" i="24"/>
  <c r="FY205" i="24"/>
  <c r="FX205" i="24"/>
  <c r="FW205" i="24"/>
  <c r="FV205" i="24"/>
  <c r="FU205" i="24"/>
  <c r="FT205" i="24"/>
  <c r="FS205" i="24"/>
  <c r="FR205" i="24"/>
  <c r="FQ205" i="24"/>
  <c r="FP205" i="24"/>
  <c r="FO205" i="24"/>
  <c r="FN205" i="24"/>
  <c r="FM205" i="24"/>
  <c r="FL205" i="24"/>
  <c r="FK205" i="24"/>
  <c r="FJ205" i="24"/>
  <c r="FI205" i="24"/>
  <c r="FH205" i="24"/>
  <c r="FG205" i="24"/>
  <c r="FF205" i="24"/>
  <c r="FE205" i="24"/>
  <c r="FD205" i="24"/>
  <c r="FC205" i="24"/>
  <c r="FB205" i="24"/>
  <c r="FA205" i="24"/>
  <c r="EZ205" i="24"/>
  <c r="EY205" i="24"/>
  <c r="EX205" i="24"/>
  <c r="EW205" i="24"/>
  <c r="EV205" i="24"/>
  <c r="EU205" i="24"/>
  <c r="ET205" i="24"/>
  <c r="ES205" i="24"/>
  <c r="ER205" i="24"/>
  <c r="EQ205" i="24"/>
  <c r="EP205" i="24"/>
  <c r="EO205" i="24"/>
  <c r="EN205" i="24"/>
  <c r="EM205" i="24"/>
  <c r="EL205" i="24"/>
  <c r="EK205" i="24"/>
  <c r="EJ205" i="24"/>
  <c r="EI205" i="24"/>
  <c r="EH205" i="24"/>
  <c r="EG205" i="24"/>
  <c r="EF205" i="24"/>
  <c r="EE205" i="24"/>
  <c r="ED205" i="24"/>
  <c r="EC205" i="24"/>
  <c r="EB205" i="24"/>
  <c r="EA205" i="24"/>
  <c r="DZ205" i="24"/>
  <c r="DY205" i="24"/>
  <c r="DX205" i="24"/>
  <c r="DW205" i="24"/>
  <c r="DV205" i="24"/>
  <c r="DU205" i="24"/>
  <c r="DT205" i="24"/>
  <c r="DS205" i="24"/>
  <c r="DR205" i="24"/>
  <c r="DQ205" i="24"/>
  <c r="DP205" i="24"/>
  <c r="DO205" i="24"/>
  <c r="DN205" i="24"/>
  <c r="DM205" i="24"/>
  <c r="DL205" i="24"/>
  <c r="DK205" i="24"/>
  <c r="DJ205" i="24"/>
  <c r="DI205" i="24"/>
  <c r="DH205" i="24"/>
  <c r="DG205" i="24"/>
  <c r="DF205" i="24"/>
  <c r="DE205" i="24"/>
  <c r="DD205" i="24"/>
  <c r="DC205" i="24"/>
  <c r="DB205" i="24"/>
  <c r="DA205" i="24"/>
  <c r="CZ205" i="24"/>
  <c r="CY205" i="24"/>
  <c r="CX205" i="24"/>
  <c r="CW205" i="24"/>
  <c r="CV205" i="24"/>
  <c r="CU205" i="24"/>
  <c r="CT205" i="24"/>
  <c r="CS205" i="24"/>
  <c r="CR205" i="24"/>
  <c r="CQ205" i="24"/>
  <c r="CP205" i="24"/>
  <c r="CO205" i="24"/>
  <c r="CN205" i="24"/>
  <c r="CM205" i="24"/>
  <c r="CL205" i="24"/>
  <c r="CK205" i="24"/>
  <c r="CJ205" i="24"/>
  <c r="CI205" i="24"/>
  <c r="CH205" i="24"/>
  <c r="CG205" i="24"/>
  <c r="CF205" i="24"/>
  <c r="CE205" i="24"/>
  <c r="CD205" i="24"/>
  <c r="CC205" i="24"/>
  <c r="CB205" i="24"/>
  <c r="CA205" i="24"/>
  <c r="BZ205" i="24"/>
  <c r="BY205" i="24"/>
  <c r="BX205" i="24"/>
  <c r="BW205" i="24"/>
  <c r="BV205" i="24"/>
  <c r="BU205" i="24"/>
  <c r="BT205" i="24"/>
  <c r="BS205" i="24"/>
  <c r="BR205" i="24"/>
  <c r="BQ205" i="24"/>
  <c r="BP205" i="24"/>
  <c r="BO205" i="24"/>
  <c r="BN205" i="24"/>
  <c r="BM205" i="24"/>
  <c r="BL205" i="24"/>
  <c r="BK205" i="24"/>
  <c r="BJ205" i="24"/>
  <c r="BI205" i="24"/>
  <c r="BH205" i="24"/>
  <c r="BG205" i="24"/>
  <c r="BF205" i="24"/>
  <c r="BE205" i="24"/>
  <c r="BD205" i="24"/>
  <c r="BC205" i="24"/>
  <c r="BB205" i="24"/>
  <c r="BA205" i="24"/>
  <c r="AZ205" i="24"/>
  <c r="AY205" i="24"/>
  <c r="AX205" i="24"/>
  <c r="AW205" i="24"/>
  <c r="AV205" i="24"/>
  <c r="AU205" i="24"/>
  <c r="AT205" i="24"/>
  <c r="AS205" i="24"/>
  <c r="AR205" i="24"/>
  <c r="AQ205" i="24"/>
  <c r="AP205" i="24"/>
  <c r="AO205" i="24"/>
  <c r="AN205" i="24"/>
  <c r="AM205" i="24"/>
  <c r="AL205" i="24"/>
  <c r="AK205" i="24"/>
  <c r="AJ205" i="24"/>
  <c r="AI205" i="24"/>
  <c r="AH205" i="24"/>
  <c r="AG205" i="24"/>
  <c r="AF205" i="24"/>
  <c r="AE205" i="24"/>
  <c r="AD205" i="24"/>
  <c r="AC205" i="24"/>
  <c r="AB205" i="24"/>
  <c r="AA205" i="24"/>
  <c r="Z205" i="24"/>
  <c r="Y205" i="24"/>
  <c r="X205" i="24"/>
  <c r="W205" i="24"/>
  <c r="V205" i="24"/>
  <c r="U205" i="24"/>
  <c r="T205" i="24"/>
  <c r="S205" i="24"/>
  <c r="R205" i="24"/>
  <c r="Q205" i="24"/>
  <c r="P205" i="24"/>
  <c r="O205" i="24"/>
  <c r="N205" i="24"/>
  <c r="M205" i="24"/>
  <c r="L205" i="24"/>
  <c r="K205" i="24"/>
  <c r="J205" i="24"/>
  <c r="I205" i="24"/>
  <c r="H205" i="24"/>
  <c r="G205" i="24"/>
  <c r="F205" i="24"/>
  <c r="E205" i="24"/>
  <c r="D205" i="24"/>
  <c r="C205" i="24"/>
  <c r="B205" i="24"/>
  <c r="GT204" i="24"/>
  <c r="GS204" i="24"/>
  <c r="GR204" i="24"/>
  <c r="GQ204" i="24"/>
  <c r="GP204" i="24"/>
  <c r="GO204" i="24"/>
  <c r="GN204" i="24"/>
  <c r="GM204" i="24"/>
  <c r="GL204" i="24"/>
  <c r="GK204" i="24"/>
  <c r="GJ204" i="24"/>
  <c r="GI204" i="24"/>
  <c r="GH204" i="24"/>
  <c r="GG204" i="24"/>
  <c r="GF204" i="24"/>
  <c r="GE204" i="24"/>
  <c r="GD204" i="24"/>
  <c r="GC204" i="24"/>
  <c r="GB204" i="24"/>
  <c r="GA204" i="24"/>
  <c r="FZ204" i="24"/>
  <c r="FY204" i="24"/>
  <c r="FX204" i="24"/>
  <c r="FW204" i="24"/>
  <c r="FV204" i="24"/>
  <c r="FU204" i="24"/>
  <c r="FT204" i="24"/>
  <c r="FS204" i="24"/>
  <c r="FR204" i="24"/>
  <c r="FQ204" i="24"/>
  <c r="FP204" i="24"/>
  <c r="FO204" i="24"/>
  <c r="FN204" i="24"/>
  <c r="FM204" i="24"/>
  <c r="FL204" i="24"/>
  <c r="FK204" i="24"/>
  <c r="FJ204" i="24"/>
  <c r="FI204" i="24"/>
  <c r="FH204" i="24"/>
  <c r="FG204" i="24"/>
  <c r="FF204" i="24"/>
  <c r="FE204" i="24"/>
  <c r="FD204" i="24"/>
  <c r="FC204" i="24"/>
  <c r="FB204" i="24"/>
  <c r="FA204" i="24"/>
  <c r="EZ204" i="24"/>
  <c r="EY204" i="24"/>
  <c r="EX204" i="24"/>
  <c r="EW204" i="24"/>
  <c r="EV204" i="24"/>
  <c r="EU204" i="24"/>
  <c r="ET204" i="24"/>
  <c r="ES204" i="24"/>
  <c r="ER204" i="24"/>
  <c r="EQ204" i="24"/>
  <c r="EP204" i="24"/>
  <c r="EO204" i="24"/>
  <c r="EN204" i="24"/>
  <c r="EM204" i="24"/>
  <c r="EL204" i="24"/>
  <c r="EK204" i="24"/>
  <c r="EJ204" i="24"/>
  <c r="EI204" i="24"/>
  <c r="EH204" i="24"/>
  <c r="EG204" i="24"/>
  <c r="EF204" i="24"/>
  <c r="EE204" i="24"/>
  <c r="ED204" i="24"/>
  <c r="EC204" i="24"/>
  <c r="EB204" i="24"/>
  <c r="EA204" i="24"/>
  <c r="DZ204" i="24"/>
  <c r="DY204" i="24"/>
  <c r="DX204" i="24"/>
  <c r="DW204" i="24"/>
  <c r="DV204" i="24"/>
  <c r="DU204" i="24"/>
  <c r="DT204" i="24"/>
  <c r="DS204" i="24"/>
  <c r="DR204" i="24"/>
  <c r="DQ204" i="24"/>
  <c r="DP204" i="24"/>
  <c r="DO204" i="24"/>
  <c r="DN204" i="24"/>
  <c r="DM204" i="24"/>
  <c r="DL204" i="24"/>
  <c r="DK204" i="24"/>
  <c r="DJ204" i="24"/>
  <c r="DI204" i="24"/>
  <c r="DH204" i="24"/>
  <c r="DG204" i="24"/>
  <c r="DF204" i="24"/>
  <c r="DE204" i="24"/>
  <c r="DD204" i="24"/>
  <c r="DC204" i="24"/>
  <c r="DB204" i="24"/>
  <c r="DA204" i="24"/>
  <c r="CZ204" i="24"/>
  <c r="CY204" i="24"/>
  <c r="CX204" i="24"/>
  <c r="CW204" i="24"/>
  <c r="CV204" i="24"/>
  <c r="CU204" i="24"/>
  <c r="CT204" i="24"/>
  <c r="CS204" i="24"/>
  <c r="CR204" i="24"/>
  <c r="CQ204" i="24"/>
  <c r="CP204" i="24"/>
  <c r="CO204" i="24"/>
  <c r="CN204" i="24"/>
  <c r="CM204" i="24"/>
  <c r="CL204" i="24"/>
  <c r="CK204" i="24"/>
  <c r="CJ204" i="24"/>
  <c r="CI204" i="24"/>
  <c r="CH204" i="24"/>
  <c r="CG204" i="24"/>
  <c r="CF204" i="24"/>
  <c r="CE204" i="24"/>
  <c r="CD204" i="24"/>
  <c r="CC204" i="24"/>
  <c r="CB204" i="24"/>
  <c r="CA204" i="24"/>
  <c r="BZ204" i="24"/>
  <c r="BY204" i="24"/>
  <c r="BX204" i="24"/>
  <c r="BW204" i="24"/>
  <c r="BV204" i="24"/>
  <c r="BU204" i="24"/>
  <c r="BT204" i="24"/>
  <c r="BS204" i="24"/>
  <c r="BR204" i="24"/>
  <c r="BQ204" i="24"/>
  <c r="BP204" i="24"/>
  <c r="BO204" i="24"/>
  <c r="BN204" i="24"/>
  <c r="BM204" i="24"/>
  <c r="BL204" i="24"/>
  <c r="BK204" i="24"/>
  <c r="BJ204" i="24"/>
  <c r="BI204" i="24"/>
  <c r="BH204" i="24"/>
  <c r="BG204" i="24"/>
  <c r="BF204" i="24"/>
  <c r="BE204" i="24"/>
  <c r="BD204" i="24"/>
  <c r="BC204" i="24"/>
  <c r="BB204" i="24"/>
  <c r="BA204" i="24"/>
  <c r="AZ204" i="24"/>
  <c r="AY204" i="24"/>
  <c r="AX204" i="24"/>
  <c r="AW204" i="24"/>
  <c r="AV204" i="24"/>
  <c r="AU204" i="24"/>
  <c r="AT204" i="24"/>
  <c r="AS204" i="24"/>
  <c r="AR204" i="24"/>
  <c r="AQ204" i="24"/>
  <c r="AP204" i="24"/>
  <c r="AO204" i="24"/>
  <c r="AN204" i="24"/>
  <c r="AM204" i="24"/>
  <c r="AL204" i="24"/>
  <c r="AK204" i="24"/>
  <c r="AJ204" i="24"/>
  <c r="AI204" i="24"/>
  <c r="AH204" i="24"/>
  <c r="AG204" i="24"/>
  <c r="AF204" i="24"/>
  <c r="AE204" i="24"/>
  <c r="AD204" i="24"/>
  <c r="AC204" i="24"/>
  <c r="AB204" i="24"/>
  <c r="AA204" i="24"/>
  <c r="Z204" i="24"/>
  <c r="Y204" i="24"/>
  <c r="X204" i="24"/>
  <c r="W204" i="24"/>
  <c r="V204" i="24"/>
  <c r="U204" i="24"/>
  <c r="T204" i="24"/>
  <c r="S204" i="24"/>
  <c r="R204" i="24"/>
  <c r="Q204" i="24"/>
  <c r="P204" i="24"/>
  <c r="O204" i="24"/>
  <c r="N204" i="24"/>
  <c r="M204" i="24"/>
  <c r="L204" i="24"/>
  <c r="K204" i="24"/>
  <c r="J204" i="24"/>
  <c r="I204" i="24"/>
  <c r="H204" i="24"/>
  <c r="G204" i="24"/>
  <c r="F204" i="24"/>
  <c r="E204" i="24"/>
  <c r="D204" i="24"/>
  <c r="C204" i="24"/>
  <c r="B204" i="24"/>
  <c r="GT203" i="24"/>
  <c r="GS203" i="24"/>
  <c r="GR203" i="24"/>
  <c r="GQ203" i="24"/>
  <c r="GP203" i="24"/>
  <c r="GO203" i="24"/>
  <c r="GN203" i="24"/>
  <c r="GM203" i="24"/>
  <c r="GL203" i="24"/>
  <c r="GK203" i="24"/>
  <c r="GJ203" i="24"/>
  <c r="GI203" i="24"/>
  <c r="GH203" i="24"/>
  <c r="GG203" i="24"/>
  <c r="GF203" i="24"/>
  <c r="GE203" i="24"/>
  <c r="GD203" i="24"/>
  <c r="GC203" i="24"/>
  <c r="GB203" i="24"/>
  <c r="GA203" i="24"/>
  <c r="FZ203" i="24"/>
  <c r="FY203" i="24"/>
  <c r="FX203" i="24"/>
  <c r="FW203" i="24"/>
  <c r="FV203" i="24"/>
  <c r="FU203" i="24"/>
  <c r="FT203" i="24"/>
  <c r="FS203" i="24"/>
  <c r="FR203" i="24"/>
  <c r="FQ203" i="24"/>
  <c r="FP203" i="24"/>
  <c r="FO203" i="24"/>
  <c r="FN203" i="24"/>
  <c r="FM203" i="24"/>
  <c r="FL203" i="24"/>
  <c r="FK203" i="24"/>
  <c r="FJ203" i="24"/>
  <c r="FI203" i="24"/>
  <c r="FH203" i="24"/>
  <c r="FG203" i="24"/>
  <c r="FF203" i="24"/>
  <c r="FE203" i="24"/>
  <c r="FD203" i="24"/>
  <c r="FC203" i="24"/>
  <c r="FB203" i="24"/>
  <c r="FA203" i="24"/>
  <c r="EZ203" i="24"/>
  <c r="EY203" i="24"/>
  <c r="EX203" i="24"/>
  <c r="EW203" i="24"/>
  <c r="EV203" i="24"/>
  <c r="EU203" i="24"/>
  <c r="ET203" i="24"/>
  <c r="ES203" i="24"/>
  <c r="ER203" i="24"/>
  <c r="EQ203" i="24"/>
  <c r="EP203" i="24"/>
  <c r="EO203" i="24"/>
  <c r="EN203" i="24"/>
  <c r="EM203" i="24"/>
  <c r="EL203" i="24"/>
  <c r="EK203" i="24"/>
  <c r="EJ203" i="24"/>
  <c r="EI203" i="24"/>
  <c r="EH203" i="24"/>
  <c r="EG203" i="24"/>
  <c r="EF203" i="24"/>
  <c r="EE203" i="24"/>
  <c r="ED203" i="24"/>
  <c r="EC203" i="24"/>
  <c r="EB203" i="24"/>
  <c r="EA203" i="24"/>
  <c r="DZ203" i="24"/>
  <c r="DY203" i="24"/>
  <c r="DX203" i="24"/>
  <c r="DW203" i="24"/>
  <c r="DV203" i="24"/>
  <c r="DU203" i="24"/>
  <c r="DT203" i="24"/>
  <c r="DS203" i="24"/>
  <c r="DR203" i="24"/>
  <c r="DQ203" i="24"/>
  <c r="DP203" i="24"/>
  <c r="DO203" i="24"/>
  <c r="DN203" i="24"/>
  <c r="DM203" i="24"/>
  <c r="DL203" i="24"/>
  <c r="DK203" i="24"/>
  <c r="DJ203" i="24"/>
  <c r="DI203" i="24"/>
  <c r="DH203" i="24"/>
  <c r="DG203" i="24"/>
  <c r="DF203" i="24"/>
  <c r="DE203" i="24"/>
  <c r="DD203" i="24"/>
  <c r="DC203" i="24"/>
  <c r="DB203" i="24"/>
  <c r="DA203" i="24"/>
  <c r="CZ203" i="24"/>
  <c r="CY203" i="24"/>
  <c r="CX203" i="24"/>
  <c r="CW203" i="24"/>
  <c r="CV203" i="24"/>
  <c r="CU203" i="24"/>
  <c r="CT203" i="24"/>
  <c r="CS203" i="24"/>
  <c r="CR203" i="24"/>
  <c r="CQ203" i="24"/>
  <c r="CP203" i="24"/>
  <c r="CO203" i="24"/>
  <c r="CN203" i="24"/>
  <c r="CM203" i="24"/>
  <c r="CL203" i="24"/>
  <c r="CK203" i="24"/>
  <c r="CJ203" i="24"/>
  <c r="CI203" i="24"/>
  <c r="CH203" i="24"/>
  <c r="CG203" i="24"/>
  <c r="CF203" i="24"/>
  <c r="CE203" i="24"/>
  <c r="CD203" i="24"/>
  <c r="CC203" i="24"/>
  <c r="CB203" i="24"/>
  <c r="CA203" i="24"/>
  <c r="BZ203" i="24"/>
  <c r="BY203" i="24"/>
  <c r="BX203" i="24"/>
  <c r="BW203" i="24"/>
  <c r="BV203" i="24"/>
  <c r="BU203" i="24"/>
  <c r="BT203" i="24"/>
  <c r="BS203" i="24"/>
  <c r="BR203" i="24"/>
  <c r="BQ203" i="24"/>
  <c r="BP203" i="24"/>
  <c r="BO203" i="24"/>
  <c r="BN203" i="24"/>
  <c r="BM203" i="24"/>
  <c r="BL203" i="24"/>
  <c r="BK203" i="24"/>
  <c r="BJ203" i="24"/>
  <c r="BI203" i="24"/>
  <c r="BH203" i="24"/>
  <c r="BG203" i="24"/>
  <c r="BF203" i="24"/>
  <c r="BE203" i="24"/>
  <c r="BD203" i="24"/>
  <c r="BC203" i="24"/>
  <c r="BB203" i="24"/>
  <c r="BA203" i="24"/>
  <c r="AZ203" i="24"/>
  <c r="AY203" i="24"/>
  <c r="AX203" i="24"/>
  <c r="AW203" i="24"/>
  <c r="AV203" i="24"/>
  <c r="AU203" i="24"/>
  <c r="AT203" i="24"/>
  <c r="AS203" i="24"/>
  <c r="AR203" i="24"/>
  <c r="AQ203" i="24"/>
  <c r="AP203" i="24"/>
  <c r="AO203" i="24"/>
  <c r="AN203" i="24"/>
  <c r="AM203" i="24"/>
  <c r="AL203" i="24"/>
  <c r="AK203" i="24"/>
  <c r="AJ203" i="24"/>
  <c r="AI203" i="24"/>
  <c r="AH203" i="24"/>
  <c r="AG203" i="24"/>
  <c r="AF203" i="24"/>
  <c r="AE203" i="24"/>
  <c r="AD203" i="24"/>
  <c r="AC203" i="24"/>
  <c r="AB203" i="24"/>
  <c r="AA203" i="24"/>
  <c r="Z203" i="24"/>
  <c r="Y203" i="24"/>
  <c r="X203" i="24"/>
  <c r="W203" i="24"/>
  <c r="V203" i="24"/>
  <c r="U203" i="24"/>
  <c r="T203" i="24"/>
  <c r="S203" i="24"/>
  <c r="R203" i="24"/>
  <c r="Q203" i="24"/>
  <c r="P203" i="24"/>
  <c r="O203" i="24"/>
  <c r="N203" i="24"/>
  <c r="M203" i="24"/>
  <c r="L203" i="24"/>
  <c r="K203" i="24"/>
  <c r="J203" i="24"/>
  <c r="I203" i="24"/>
  <c r="H203" i="24"/>
  <c r="G203" i="24"/>
  <c r="F203" i="24"/>
  <c r="E203" i="24"/>
  <c r="D203" i="24"/>
  <c r="C203" i="24"/>
  <c r="B203" i="24"/>
  <c r="GT202" i="24"/>
  <c r="GS202" i="24"/>
  <c r="GR202" i="24"/>
  <c r="GQ202" i="24"/>
  <c r="GP202" i="24"/>
  <c r="GO202" i="24"/>
  <c r="GN202" i="24"/>
  <c r="GM202" i="24"/>
  <c r="GL202" i="24"/>
  <c r="GK202" i="24"/>
  <c r="GJ202" i="24"/>
  <c r="GI202" i="24"/>
  <c r="GH202" i="24"/>
  <c r="GG202" i="24"/>
  <c r="GF202" i="24"/>
  <c r="GE202" i="24"/>
  <c r="GD202" i="24"/>
  <c r="GC202" i="24"/>
  <c r="GB202" i="24"/>
  <c r="GA202" i="24"/>
  <c r="FZ202" i="24"/>
  <c r="FY202" i="24"/>
  <c r="FX202" i="24"/>
  <c r="FW202" i="24"/>
  <c r="FV202" i="24"/>
  <c r="FU202" i="24"/>
  <c r="FT202" i="24"/>
  <c r="FS202" i="24"/>
  <c r="FR202" i="24"/>
  <c r="FQ202" i="24"/>
  <c r="FP202" i="24"/>
  <c r="FO202" i="24"/>
  <c r="FN202" i="24"/>
  <c r="FM202" i="24"/>
  <c r="FL202" i="24"/>
  <c r="FK202" i="24"/>
  <c r="FJ202" i="24"/>
  <c r="FI202" i="24"/>
  <c r="FH202" i="24"/>
  <c r="FG202" i="24"/>
  <c r="FF202" i="24"/>
  <c r="FE202" i="24"/>
  <c r="FD202" i="24"/>
  <c r="FC202" i="24"/>
  <c r="FB202" i="24"/>
  <c r="FA202" i="24"/>
  <c r="EZ202" i="24"/>
  <c r="EY202" i="24"/>
  <c r="EX202" i="24"/>
  <c r="EW202" i="24"/>
  <c r="EV202" i="24"/>
  <c r="EU202" i="24"/>
  <c r="ET202" i="24"/>
  <c r="ES202" i="24"/>
  <c r="ER202" i="24"/>
  <c r="EQ202" i="24"/>
  <c r="EP202" i="24"/>
  <c r="EO202" i="24"/>
  <c r="EN202" i="24"/>
  <c r="EM202" i="24"/>
  <c r="EL202" i="24"/>
  <c r="EK202" i="24"/>
  <c r="EJ202" i="24"/>
  <c r="EI202" i="24"/>
  <c r="EH202" i="24"/>
  <c r="EG202" i="24"/>
  <c r="EF202" i="24"/>
  <c r="EE202" i="24"/>
  <c r="ED202" i="24"/>
  <c r="EC202" i="24"/>
  <c r="EB202" i="24"/>
  <c r="EA202" i="24"/>
  <c r="DZ202" i="24"/>
  <c r="DY202" i="24"/>
  <c r="DX202" i="24"/>
  <c r="DW202" i="24"/>
  <c r="DV202" i="24"/>
  <c r="DU202" i="24"/>
  <c r="DT202" i="24"/>
  <c r="DS202" i="24"/>
  <c r="DR202" i="24"/>
  <c r="DQ202" i="24"/>
  <c r="DP202" i="24"/>
  <c r="DO202" i="24"/>
  <c r="DN202" i="24"/>
  <c r="DM202" i="24"/>
  <c r="DL202" i="24"/>
  <c r="DK202" i="24"/>
  <c r="DJ202" i="24"/>
  <c r="DI202" i="24"/>
  <c r="DH202" i="24"/>
  <c r="DG202" i="24"/>
  <c r="DF202" i="24"/>
  <c r="DE202" i="24"/>
  <c r="DD202" i="24"/>
  <c r="DC202" i="24"/>
  <c r="DB202" i="24"/>
  <c r="DA202" i="24"/>
  <c r="CZ202" i="24"/>
  <c r="CY202" i="24"/>
  <c r="CX202" i="24"/>
  <c r="CW202" i="24"/>
  <c r="CV202" i="24"/>
  <c r="CU202" i="24"/>
  <c r="CT202" i="24"/>
  <c r="CS202" i="24"/>
  <c r="CR202" i="24"/>
  <c r="CQ202" i="24"/>
  <c r="CP202" i="24"/>
  <c r="CO202" i="24"/>
  <c r="CN202" i="24"/>
  <c r="CM202" i="24"/>
  <c r="CL202" i="24"/>
  <c r="CK202" i="24"/>
  <c r="CJ202" i="24"/>
  <c r="CI202" i="24"/>
  <c r="CH202" i="24"/>
  <c r="CG202" i="24"/>
  <c r="CF202" i="24"/>
  <c r="CE202" i="24"/>
  <c r="CD202" i="24"/>
  <c r="CC202" i="24"/>
  <c r="CB202" i="24"/>
  <c r="CA202" i="24"/>
  <c r="BZ202" i="24"/>
  <c r="BY202" i="24"/>
  <c r="BX202" i="24"/>
  <c r="BW202" i="24"/>
  <c r="BV202" i="24"/>
  <c r="BU202" i="24"/>
  <c r="BT202" i="24"/>
  <c r="BS202" i="24"/>
  <c r="BR202" i="24"/>
  <c r="BQ202" i="24"/>
  <c r="BP202" i="24"/>
  <c r="BO202" i="24"/>
  <c r="BN202" i="24"/>
  <c r="BM202" i="24"/>
  <c r="BL202" i="24"/>
  <c r="BK202" i="24"/>
  <c r="BJ202" i="24"/>
  <c r="BI202" i="24"/>
  <c r="BH202" i="24"/>
  <c r="BG202" i="24"/>
  <c r="BF202" i="24"/>
  <c r="BE202" i="24"/>
  <c r="BD202" i="24"/>
  <c r="BC202" i="24"/>
  <c r="BB202" i="24"/>
  <c r="BA202" i="24"/>
  <c r="AZ202" i="24"/>
  <c r="AY202" i="24"/>
  <c r="AX202" i="24"/>
  <c r="AW202" i="24"/>
  <c r="AV202" i="24"/>
  <c r="AU202" i="24"/>
  <c r="AT202" i="24"/>
  <c r="AS202" i="24"/>
  <c r="AR202" i="24"/>
  <c r="AQ202" i="24"/>
  <c r="AP202" i="24"/>
  <c r="AO202" i="24"/>
  <c r="AN202" i="24"/>
  <c r="AM202" i="24"/>
  <c r="AL202" i="24"/>
  <c r="AK202" i="24"/>
  <c r="AJ202" i="24"/>
  <c r="AI202" i="24"/>
  <c r="AH202" i="24"/>
  <c r="AG202" i="24"/>
  <c r="AF202" i="24"/>
  <c r="AE202" i="24"/>
  <c r="AD202" i="24"/>
  <c r="AC202" i="24"/>
  <c r="AB202" i="24"/>
  <c r="AA202" i="24"/>
  <c r="Z202" i="24"/>
  <c r="Y202" i="24"/>
  <c r="X202" i="24"/>
  <c r="W202" i="24"/>
  <c r="V202" i="24"/>
  <c r="U202" i="24"/>
  <c r="T202" i="24"/>
  <c r="S202" i="24"/>
  <c r="R202" i="24"/>
  <c r="Q202" i="24"/>
  <c r="P202" i="24"/>
  <c r="O202" i="24"/>
  <c r="N202" i="24"/>
  <c r="M202" i="24"/>
  <c r="L202" i="24"/>
  <c r="K202" i="24"/>
  <c r="J202" i="24"/>
  <c r="I202" i="24"/>
  <c r="H202" i="24"/>
  <c r="G202" i="24"/>
  <c r="F202" i="24"/>
  <c r="E202" i="24"/>
  <c r="D202" i="24"/>
  <c r="C202" i="24"/>
  <c r="B202" i="24"/>
  <c r="GT201" i="24"/>
  <c r="GS201" i="24"/>
  <c r="GR201" i="24"/>
  <c r="GQ201" i="24"/>
  <c r="GP201" i="24"/>
  <c r="GO201" i="24"/>
  <c r="GN201" i="24"/>
  <c r="GM201" i="24"/>
  <c r="GL201" i="24"/>
  <c r="GK201" i="24"/>
  <c r="GJ201" i="24"/>
  <c r="GI201" i="24"/>
  <c r="GH201" i="24"/>
  <c r="GG201" i="24"/>
  <c r="GF201" i="24"/>
  <c r="GE201" i="24"/>
  <c r="GD201" i="24"/>
  <c r="GC201" i="24"/>
  <c r="GB201" i="24"/>
  <c r="GA201" i="24"/>
  <c r="FZ201" i="24"/>
  <c r="FY201" i="24"/>
  <c r="FX201" i="24"/>
  <c r="FW201" i="24"/>
  <c r="FV201" i="24"/>
  <c r="FU201" i="24"/>
  <c r="FT201" i="24"/>
  <c r="FS201" i="24"/>
  <c r="FR201" i="24"/>
  <c r="FQ201" i="24"/>
  <c r="FP201" i="24"/>
  <c r="FO201" i="24"/>
  <c r="FN201" i="24"/>
  <c r="FM201" i="24"/>
  <c r="FL201" i="24"/>
  <c r="FK201" i="24"/>
  <c r="FJ201" i="24"/>
  <c r="FI201" i="24"/>
  <c r="FH201" i="24"/>
  <c r="FG201" i="24"/>
  <c r="FF201" i="24"/>
  <c r="FE201" i="24"/>
  <c r="FD201" i="24"/>
  <c r="FC201" i="24"/>
  <c r="FB201" i="24"/>
  <c r="FA201" i="24"/>
  <c r="EZ201" i="24"/>
  <c r="EY201" i="24"/>
  <c r="EX201" i="24"/>
  <c r="EW201" i="24"/>
  <c r="EV201" i="24"/>
  <c r="EU201" i="24"/>
  <c r="ET201" i="24"/>
  <c r="ES201" i="24"/>
  <c r="ER201" i="24"/>
  <c r="EQ201" i="24"/>
  <c r="EP201" i="24"/>
  <c r="EO201" i="24"/>
  <c r="EN201" i="24"/>
  <c r="EM201" i="24"/>
  <c r="EL201" i="24"/>
  <c r="EK201" i="24"/>
  <c r="EJ201" i="24"/>
  <c r="EI201" i="24"/>
  <c r="EH201" i="24"/>
  <c r="EG201" i="24"/>
  <c r="EF201" i="24"/>
  <c r="EE201" i="24"/>
  <c r="ED201" i="24"/>
  <c r="EC201" i="24"/>
  <c r="EB201" i="24"/>
  <c r="EA201" i="24"/>
  <c r="DZ201" i="24"/>
  <c r="DY201" i="24"/>
  <c r="DX201" i="24"/>
  <c r="DW201" i="24"/>
  <c r="DV201" i="24"/>
  <c r="DU201" i="24"/>
  <c r="DT201" i="24"/>
  <c r="DS201" i="24"/>
  <c r="DR201" i="24"/>
  <c r="DQ201" i="24"/>
  <c r="DP201" i="24"/>
  <c r="DO201" i="24"/>
  <c r="DN201" i="24"/>
  <c r="DM201" i="24"/>
  <c r="DL201" i="24"/>
  <c r="DK201" i="24"/>
  <c r="DJ201" i="24"/>
  <c r="DI201" i="24"/>
  <c r="DH201" i="24"/>
  <c r="DG201" i="24"/>
  <c r="DF201" i="24"/>
  <c r="DE201" i="24"/>
  <c r="DD201" i="24"/>
  <c r="DC201" i="24"/>
  <c r="DB201" i="24"/>
  <c r="DA201" i="24"/>
  <c r="CZ201" i="24"/>
  <c r="CY201" i="24"/>
  <c r="CX201" i="24"/>
  <c r="CW201" i="24"/>
  <c r="CV201" i="24"/>
  <c r="CU201" i="24"/>
  <c r="CT201" i="24"/>
  <c r="CS201" i="24"/>
  <c r="CR201" i="24"/>
  <c r="CQ201" i="24"/>
  <c r="CP201" i="24"/>
  <c r="CO201" i="24"/>
  <c r="CN201" i="24"/>
  <c r="CM201" i="24"/>
  <c r="CL201" i="24"/>
  <c r="CK201" i="24"/>
  <c r="CJ201" i="24"/>
  <c r="CI201" i="24"/>
  <c r="CH201" i="24"/>
  <c r="CG201" i="24"/>
  <c r="CF201" i="24"/>
  <c r="CE201" i="24"/>
  <c r="CD201" i="24"/>
  <c r="CC201" i="24"/>
  <c r="CB201" i="24"/>
  <c r="CA201" i="24"/>
  <c r="BZ201" i="24"/>
  <c r="BY201" i="24"/>
  <c r="BX201" i="24"/>
  <c r="BW201" i="24"/>
  <c r="BV201" i="24"/>
  <c r="BU201" i="24"/>
  <c r="BT201" i="24"/>
  <c r="BS201" i="24"/>
  <c r="BR201" i="24"/>
  <c r="BQ201" i="24"/>
  <c r="BP201" i="24"/>
  <c r="BO201" i="24"/>
  <c r="BN201" i="24"/>
  <c r="BM201" i="24"/>
  <c r="BL201" i="24"/>
  <c r="BK201" i="24"/>
  <c r="BJ201" i="24"/>
  <c r="BI201" i="24"/>
  <c r="BH201" i="24"/>
  <c r="BG201" i="24"/>
  <c r="BF201" i="24"/>
  <c r="BE201" i="24"/>
  <c r="BD201" i="24"/>
  <c r="BC201" i="24"/>
  <c r="BB201" i="24"/>
  <c r="BA201" i="24"/>
  <c r="AZ201" i="24"/>
  <c r="AY201" i="24"/>
  <c r="AX201" i="24"/>
  <c r="AW201" i="24"/>
  <c r="AV201" i="24"/>
  <c r="AU201" i="24"/>
  <c r="AT201" i="24"/>
  <c r="AS201" i="24"/>
  <c r="AR201" i="24"/>
  <c r="AQ201" i="24"/>
  <c r="AP201" i="24"/>
  <c r="AO201" i="24"/>
  <c r="AN201" i="24"/>
  <c r="AM201" i="24"/>
  <c r="AL201" i="24"/>
  <c r="AK201" i="24"/>
  <c r="AJ201" i="24"/>
  <c r="AI201" i="24"/>
  <c r="AH201" i="24"/>
  <c r="AG201" i="24"/>
  <c r="AF201" i="24"/>
  <c r="AE201" i="24"/>
  <c r="AD201" i="24"/>
  <c r="AC201" i="24"/>
  <c r="AB201" i="24"/>
  <c r="AA201" i="24"/>
  <c r="Z201" i="24"/>
  <c r="Y201" i="24"/>
  <c r="X201" i="24"/>
  <c r="W201" i="24"/>
  <c r="V201" i="24"/>
  <c r="U201" i="24"/>
  <c r="T201" i="24"/>
  <c r="S201" i="24"/>
  <c r="R201" i="24"/>
  <c r="Q201" i="24"/>
  <c r="P201" i="24"/>
  <c r="O201" i="24"/>
  <c r="N201" i="24"/>
  <c r="M201" i="24"/>
  <c r="L201" i="24"/>
  <c r="K201" i="24"/>
  <c r="J201" i="24"/>
  <c r="I201" i="24"/>
  <c r="H201" i="24"/>
  <c r="G201" i="24"/>
  <c r="F201" i="24"/>
  <c r="E201" i="24"/>
  <c r="D201" i="24"/>
  <c r="C201" i="24"/>
  <c r="B201" i="24"/>
  <c r="GT200" i="24"/>
  <c r="GS200" i="24"/>
  <c r="GR200" i="24"/>
  <c r="GQ200" i="24"/>
  <c r="GP200" i="24"/>
  <c r="GO200" i="24"/>
  <c r="GN200" i="24"/>
  <c r="GM200" i="24"/>
  <c r="GL200" i="24"/>
  <c r="GK200" i="24"/>
  <c r="GJ200" i="24"/>
  <c r="GI200" i="24"/>
  <c r="GH200" i="24"/>
  <c r="GG200" i="24"/>
  <c r="GF200" i="24"/>
  <c r="GE200" i="24"/>
  <c r="GD200" i="24"/>
  <c r="GC200" i="24"/>
  <c r="GB200" i="24"/>
  <c r="GA200" i="24"/>
  <c r="FZ200" i="24"/>
  <c r="FY200" i="24"/>
  <c r="FX200" i="24"/>
  <c r="FW200" i="24"/>
  <c r="FV200" i="24"/>
  <c r="FU200" i="24"/>
  <c r="FT200" i="24"/>
  <c r="FS200" i="24"/>
  <c r="FR200" i="24"/>
  <c r="FQ200" i="24"/>
  <c r="FP200" i="24"/>
  <c r="FO200" i="24"/>
  <c r="FN200" i="24"/>
  <c r="FM200" i="24"/>
  <c r="FL200" i="24"/>
  <c r="FK200" i="24"/>
  <c r="FJ200" i="24"/>
  <c r="FI200" i="24"/>
  <c r="FH200" i="24"/>
  <c r="FG200" i="24"/>
  <c r="FF200" i="24"/>
  <c r="FE200" i="24"/>
  <c r="FD200" i="24"/>
  <c r="FC200" i="24"/>
  <c r="FB200" i="24"/>
  <c r="FA200" i="24"/>
  <c r="EZ200" i="24"/>
  <c r="EY200" i="24"/>
  <c r="EX200" i="24"/>
  <c r="EW200" i="24"/>
  <c r="EV200" i="24"/>
  <c r="EU200" i="24"/>
  <c r="ET200" i="24"/>
  <c r="ES200" i="24"/>
  <c r="ER200" i="24"/>
  <c r="EQ200" i="24"/>
  <c r="EP200" i="24"/>
  <c r="EO200" i="24"/>
  <c r="EN200" i="24"/>
  <c r="EM200" i="24"/>
  <c r="EL200" i="24"/>
  <c r="EK200" i="24"/>
  <c r="EJ200" i="24"/>
  <c r="EI200" i="24"/>
  <c r="EH200" i="24"/>
  <c r="EG200" i="24"/>
  <c r="EF200" i="24"/>
  <c r="EE200" i="24"/>
  <c r="ED200" i="24"/>
  <c r="EC200" i="24"/>
  <c r="EB200" i="24"/>
  <c r="EA200" i="24"/>
  <c r="DZ200" i="24"/>
  <c r="DY200" i="24"/>
  <c r="DX200" i="24"/>
  <c r="DW200" i="24"/>
  <c r="DV200" i="24"/>
  <c r="DU200" i="24"/>
  <c r="DT200" i="24"/>
  <c r="DS200" i="24"/>
  <c r="DR200" i="24"/>
  <c r="DQ200" i="24"/>
  <c r="DP200" i="24"/>
  <c r="DO200" i="24"/>
  <c r="DN200" i="24"/>
  <c r="DM200" i="24"/>
  <c r="DL200" i="24"/>
  <c r="DK200" i="24"/>
  <c r="DJ200" i="24"/>
  <c r="DI200" i="24"/>
  <c r="DH200" i="24"/>
  <c r="DG200" i="24"/>
  <c r="DF200" i="24"/>
  <c r="DE200" i="24"/>
  <c r="DD200" i="24"/>
  <c r="DC200" i="24"/>
  <c r="DB200" i="24"/>
  <c r="DA200" i="24"/>
  <c r="CZ200" i="24"/>
  <c r="CY200" i="24"/>
  <c r="CX200" i="24"/>
  <c r="CW200" i="24"/>
  <c r="CV200" i="24"/>
  <c r="CU200" i="24"/>
  <c r="CT200" i="24"/>
  <c r="CS200" i="24"/>
  <c r="CR200" i="24"/>
  <c r="CQ200" i="24"/>
  <c r="CP200" i="24"/>
  <c r="CO200" i="24"/>
  <c r="CN200" i="24"/>
  <c r="CM200" i="24"/>
  <c r="CL200" i="24"/>
  <c r="CK200" i="24"/>
  <c r="CJ200" i="24"/>
  <c r="CI200" i="24"/>
  <c r="CH200" i="24"/>
  <c r="CG200" i="24"/>
  <c r="CF200" i="24"/>
  <c r="CE200" i="24"/>
  <c r="CD200" i="24"/>
  <c r="CC200" i="24"/>
  <c r="CB200" i="24"/>
  <c r="CA200" i="24"/>
  <c r="BZ200" i="24"/>
  <c r="BY200" i="24"/>
  <c r="BX200" i="24"/>
  <c r="BW200" i="24"/>
  <c r="BV200" i="24"/>
  <c r="BU200" i="24"/>
  <c r="BT200" i="24"/>
  <c r="BS200" i="24"/>
  <c r="BR200" i="24"/>
  <c r="BQ200" i="24"/>
  <c r="BP200" i="24"/>
  <c r="BO200" i="24"/>
  <c r="BN200" i="24"/>
  <c r="BM200" i="24"/>
  <c r="BL200" i="24"/>
  <c r="BK200" i="24"/>
  <c r="BJ200" i="24"/>
  <c r="BI200" i="24"/>
  <c r="BH200" i="24"/>
  <c r="BG200" i="24"/>
  <c r="BF200" i="24"/>
  <c r="BE200" i="24"/>
  <c r="BD200" i="24"/>
  <c r="BC200" i="24"/>
  <c r="BB200" i="24"/>
  <c r="BA200" i="24"/>
  <c r="AZ200" i="24"/>
  <c r="AY200" i="24"/>
  <c r="AX200" i="24"/>
  <c r="AW200" i="24"/>
  <c r="AV200" i="24"/>
  <c r="AU200" i="24"/>
  <c r="AT200" i="24"/>
  <c r="AS200" i="24"/>
  <c r="AR200" i="24"/>
  <c r="AQ200" i="24"/>
  <c r="AP200" i="24"/>
  <c r="AO200" i="24"/>
  <c r="AN200" i="24"/>
  <c r="AM200" i="24"/>
  <c r="AL200" i="24"/>
  <c r="AK200" i="24"/>
  <c r="AJ200" i="24"/>
  <c r="AI200" i="24"/>
  <c r="AH200" i="24"/>
  <c r="AG200" i="24"/>
  <c r="AF200" i="24"/>
  <c r="AE200" i="24"/>
  <c r="AD200" i="24"/>
  <c r="AC200" i="24"/>
  <c r="AB200" i="24"/>
  <c r="AA200" i="24"/>
  <c r="Z200" i="24"/>
  <c r="Y200" i="24"/>
  <c r="X200" i="24"/>
  <c r="W200" i="24"/>
  <c r="V200" i="24"/>
  <c r="U200" i="24"/>
  <c r="T200" i="24"/>
  <c r="S200" i="24"/>
  <c r="R200" i="24"/>
  <c r="Q200" i="24"/>
  <c r="P200" i="24"/>
  <c r="O200" i="24"/>
  <c r="N200" i="24"/>
  <c r="M200" i="24"/>
  <c r="L200" i="24"/>
  <c r="K200" i="24"/>
  <c r="J200" i="24"/>
  <c r="I200" i="24"/>
  <c r="H200" i="24"/>
  <c r="G200" i="24"/>
  <c r="F200" i="24"/>
  <c r="E200" i="24"/>
  <c r="D200" i="24"/>
  <c r="C200" i="24"/>
  <c r="B200" i="24"/>
  <c r="GT199" i="24"/>
  <c r="GS199" i="24"/>
  <c r="GR199" i="24"/>
  <c r="GQ199" i="24"/>
  <c r="GP199" i="24"/>
  <c r="GO199" i="24"/>
  <c r="GN199" i="24"/>
  <c r="GM199" i="24"/>
  <c r="GL199" i="24"/>
  <c r="GK199" i="24"/>
  <c r="GJ199" i="24"/>
  <c r="GI199" i="24"/>
  <c r="GH199" i="24"/>
  <c r="GG199" i="24"/>
  <c r="GF199" i="24"/>
  <c r="GE199" i="24"/>
  <c r="GD199" i="24"/>
  <c r="GC199" i="24"/>
  <c r="GB199" i="24"/>
  <c r="GA199" i="24"/>
  <c r="FZ199" i="24"/>
  <c r="FY199" i="24"/>
  <c r="FX199" i="24"/>
  <c r="FW199" i="24"/>
  <c r="FV199" i="24"/>
  <c r="FU199" i="24"/>
  <c r="FT199" i="24"/>
  <c r="FS199" i="24"/>
  <c r="FR199" i="24"/>
  <c r="FQ199" i="24"/>
  <c r="FP199" i="24"/>
  <c r="FO199" i="24"/>
  <c r="FN199" i="24"/>
  <c r="FM199" i="24"/>
  <c r="FL199" i="24"/>
  <c r="FK199" i="24"/>
  <c r="FJ199" i="24"/>
  <c r="FI199" i="24"/>
  <c r="FH199" i="24"/>
  <c r="FG199" i="24"/>
  <c r="FF199" i="24"/>
  <c r="FE199" i="24"/>
  <c r="FD199" i="24"/>
  <c r="FC199" i="24"/>
  <c r="FB199" i="24"/>
  <c r="FA199" i="24"/>
  <c r="EZ199" i="24"/>
  <c r="EY199" i="24"/>
  <c r="EX199" i="24"/>
  <c r="EW199" i="24"/>
  <c r="EV199" i="24"/>
  <c r="EU199" i="24"/>
  <c r="ET199" i="24"/>
  <c r="ES199" i="24"/>
  <c r="ER199" i="24"/>
  <c r="EQ199" i="24"/>
  <c r="EP199" i="24"/>
  <c r="EO199" i="24"/>
  <c r="EN199" i="24"/>
  <c r="EM199" i="24"/>
  <c r="EL199" i="24"/>
  <c r="EK199" i="24"/>
  <c r="EJ199" i="24"/>
  <c r="EI199" i="24"/>
  <c r="EH199" i="24"/>
  <c r="EG199" i="24"/>
  <c r="EF199" i="24"/>
  <c r="EE199" i="24"/>
  <c r="ED199" i="24"/>
  <c r="EC199" i="24"/>
  <c r="EB199" i="24"/>
  <c r="EA199" i="24"/>
  <c r="DZ199" i="24"/>
  <c r="DY199" i="24"/>
  <c r="DX199" i="24"/>
  <c r="DW199" i="24"/>
  <c r="DV199" i="24"/>
  <c r="DU199" i="24"/>
  <c r="DT199" i="24"/>
  <c r="DS199" i="24"/>
  <c r="DR199" i="24"/>
  <c r="DQ199" i="24"/>
  <c r="DP199" i="24"/>
  <c r="DO199" i="24"/>
  <c r="DN199" i="24"/>
  <c r="DM199" i="24"/>
  <c r="DL199" i="24"/>
  <c r="DK199" i="24"/>
  <c r="DJ199" i="24"/>
  <c r="DI199" i="24"/>
  <c r="DH199" i="24"/>
  <c r="DG199" i="24"/>
  <c r="DF199" i="24"/>
  <c r="DE199" i="24"/>
  <c r="DD199" i="24"/>
  <c r="DC199" i="24"/>
  <c r="DB199" i="24"/>
  <c r="DA199" i="24"/>
  <c r="CZ199" i="24"/>
  <c r="CY199" i="24"/>
  <c r="CX199" i="24"/>
  <c r="CW199" i="24"/>
  <c r="CV199" i="24"/>
  <c r="CU199" i="24"/>
  <c r="CT199" i="24"/>
  <c r="CS199" i="24"/>
  <c r="CR199" i="24"/>
  <c r="CQ199" i="24"/>
  <c r="CP199" i="24"/>
  <c r="CO199" i="24"/>
  <c r="CN199" i="24"/>
  <c r="CM199" i="24"/>
  <c r="CL199" i="24"/>
  <c r="CK199" i="24"/>
  <c r="CJ199" i="24"/>
  <c r="CI199" i="24"/>
  <c r="CH199" i="24"/>
  <c r="CG199" i="24"/>
  <c r="CF199" i="24"/>
  <c r="CE199" i="24"/>
  <c r="CD199" i="24"/>
  <c r="CC199" i="24"/>
  <c r="CB199" i="24"/>
  <c r="CA199" i="24"/>
  <c r="BZ199" i="24"/>
  <c r="BY199" i="24"/>
  <c r="BX199" i="24"/>
  <c r="BW199" i="24"/>
  <c r="BV199" i="24"/>
  <c r="BU199" i="24"/>
  <c r="BT199" i="24"/>
  <c r="BS199" i="24"/>
  <c r="BR199" i="24"/>
  <c r="BQ199" i="24"/>
  <c r="BP199" i="24"/>
  <c r="BO199" i="24"/>
  <c r="BN199" i="24"/>
  <c r="BM199" i="24"/>
  <c r="BL199" i="24"/>
  <c r="BK199" i="24"/>
  <c r="BJ199" i="24"/>
  <c r="BI199" i="24"/>
  <c r="BH199" i="24"/>
  <c r="BG199" i="24"/>
  <c r="BF199" i="24"/>
  <c r="BE199" i="24"/>
  <c r="BD199" i="24"/>
  <c r="BC199" i="24"/>
  <c r="BB199" i="24"/>
  <c r="BA199" i="24"/>
  <c r="AZ199" i="24"/>
  <c r="AY199" i="24"/>
  <c r="AX199" i="24"/>
  <c r="AW199" i="24"/>
  <c r="AV199" i="24"/>
  <c r="AU199" i="24"/>
  <c r="AT199" i="24"/>
  <c r="AS199" i="24"/>
  <c r="AR199" i="24"/>
  <c r="AQ199" i="24"/>
  <c r="AP199" i="24"/>
  <c r="AO199" i="24"/>
  <c r="AN199" i="24"/>
  <c r="AM199" i="24"/>
  <c r="AL199" i="24"/>
  <c r="AK199" i="24"/>
  <c r="AJ199" i="24"/>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C199" i="24"/>
  <c r="B199" i="24"/>
  <c r="GT198" i="24"/>
  <c r="GS198" i="24"/>
  <c r="GR198" i="24"/>
  <c r="GQ198" i="24"/>
  <c r="GP198" i="24"/>
  <c r="GO198" i="24"/>
  <c r="GN198" i="24"/>
  <c r="GM198" i="24"/>
  <c r="GL198" i="24"/>
  <c r="GK198" i="24"/>
  <c r="GJ198" i="24"/>
  <c r="GI198" i="24"/>
  <c r="GH198" i="24"/>
  <c r="GG198" i="24"/>
  <c r="GF198" i="24"/>
  <c r="GE198" i="24"/>
  <c r="GD198" i="24"/>
  <c r="GC198" i="24"/>
  <c r="GB198" i="24"/>
  <c r="GA198" i="24"/>
  <c r="FZ198" i="24"/>
  <c r="FY198" i="24"/>
  <c r="FX198" i="24"/>
  <c r="FW198" i="24"/>
  <c r="FV198" i="24"/>
  <c r="FU198" i="24"/>
  <c r="FT198" i="24"/>
  <c r="FS198" i="24"/>
  <c r="FR198" i="24"/>
  <c r="FQ198" i="24"/>
  <c r="FP198" i="24"/>
  <c r="FO198" i="24"/>
  <c r="FN198" i="24"/>
  <c r="FM198" i="24"/>
  <c r="FL198" i="24"/>
  <c r="FK198" i="24"/>
  <c r="FJ198" i="24"/>
  <c r="FI198" i="24"/>
  <c r="FH198" i="24"/>
  <c r="FG198" i="24"/>
  <c r="FF198" i="24"/>
  <c r="FE198" i="24"/>
  <c r="FD198" i="24"/>
  <c r="FC198" i="24"/>
  <c r="FB198" i="24"/>
  <c r="FA198" i="24"/>
  <c r="EZ198" i="24"/>
  <c r="EY198" i="24"/>
  <c r="EX198" i="24"/>
  <c r="EW198" i="24"/>
  <c r="EV198" i="24"/>
  <c r="EU198" i="24"/>
  <c r="ET198" i="24"/>
  <c r="ES198" i="24"/>
  <c r="ER198" i="24"/>
  <c r="EQ198" i="24"/>
  <c r="EP198" i="24"/>
  <c r="EO198" i="24"/>
  <c r="EN198" i="24"/>
  <c r="EM198" i="24"/>
  <c r="EL198" i="24"/>
  <c r="EK198" i="24"/>
  <c r="EJ198" i="24"/>
  <c r="EI198" i="24"/>
  <c r="EH198" i="24"/>
  <c r="EG198" i="24"/>
  <c r="EF198" i="24"/>
  <c r="EE198" i="24"/>
  <c r="ED198" i="24"/>
  <c r="EC198" i="24"/>
  <c r="EB198" i="24"/>
  <c r="EA198" i="24"/>
  <c r="DZ198" i="24"/>
  <c r="DY198" i="24"/>
  <c r="DX198" i="24"/>
  <c r="DW198" i="24"/>
  <c r="DV198" i="24"/>
  <c r="DU198" i="24"/>
  <c r="DT198" i="24"/>
  <c r="DS198" i="24"/>
  <c r="DR198" i="24"/>
  <c r="DQ198" i="24"/>
  <c r="DP198" i="24"/>
  <c r="DO198" i="24"/>
  <c r="DN198" i="24"/>
  <c r="DM198" i="24"/>
  <c r="DL198" i="24"/>
  <c r="DK198" i="24"/>
  <c r="DJ198" i="24"/>
  <c r="DI198" i="24"/>
  <c r="DH198" i="24"/>
  <c r="DG198" i="24"/>
  <c r="DF198" i="24"/>
  <c r="DE198" i="24"/>
  <c r="DD198" i="24"/>
  <c r="DC198" i="24"/>
  <c r="DB198" i="24"/>
  <c r="DA198" i="24"/>
  <c r="CZ198" i="24"/>
  <c r="CY198" i="24"/>
  <c r="CX198" i="24"/>
  <c r="CW198" i="24"/>
  <c r="CV198" i="24"/>
  <c r="CU198" i="24"/>
  <c r="CT198" i="24"/>
  <c r="CS198" i="24"/>
  <c r="CR198" i="24"/>
  <c r="CQ198" i="24"/>
  <c r="CP198" i="24"/>
  <c r="CO198" i="24"/>
  <c r="CN198" i="24"/>
  <c r="CM198" i="24"/>
  <c r="CL198" i="24"/>
  <c r="CK198" i="24"/>
  <c r="CJ198" i="24"/>
  <c r="CI198" i="24"/>
  <c r="CH198" i="24"/>
  <c r="CG198" i="24"/>
  <c r="CF198" i="24"/>
  <c r="CE198" i="24"/>
  <c r="CD198" i="24"/>
  <c r="CC198" i="24"/>
  <c r="CB198" i="24"/>
  <c r="CA198" i="24"/>
  <c r="BZ198" i="24"/>
  <c r="BY198" i="24"/>
  <c r="BX198" i="24"/>
  <c r="BW198" i="24"/>
  <c r="BV198" i="24"/>
  <c r="BU198" i="24"/>
  <c r="BT198" i="24"/>
  <c r="BS198" i="24"/>
  <c r="BR198" i="24"/>
  <c r="BQ198" i="24"/>
  <c r="BP198" i="24"/>
  <c r="BO198" i="24"/>
  <c r="BN198" i="24"/>
  <c r="BM198" i="24"/>
  <c r="BL198" i="24"/>
  <c r="BK198" i="24"/>
  <c r="BJ198" i="24"/>
  <c r="BI198" i="24"/>
  <c r="BH198" i="24"/>
  <c r="BG198" i="24"/>
  <c r="BF198" i="24"/>
  <c r="BE198" i="24"/>
  <c r="BD198" i="24"/>
  <c r="BC198" i="24"/>
  <c r="BB198" i="24"/>
  <c r="BA198" i="24"/>
  <c r="AZ198" i="24"/>
  <c r="AY198" i="24"/>
  <c r="AX198" i="24"/>
  <c r="AW198" i="24"/>
  <c r="AV198" i="24"/>
  <c r="AU198" i="24"/>
  <c r="AT198" i="24"/>
  <c r="AS198" i="24"/>
  <c r="AR198" i="24"/>
  <c r="AQ198" i="24"/>
  <c r="AP198" i="24"/>
  <c r="AO198" i="24"/>
  <c r="AN198" i="24"/>
  <c r="AM198" i="24"/>
  <c r="AL198" i="24"/>
  <c r="AK198" i="24"/>
  <c r="AJ198" i="24"/>
  <c r="AI198" i="24"/>
  <c r="AH198" i="24"/>
  <c r="AG198" i="24"/>
  <c r="AF198" i="24"/>
  <c r="AE198" i="24"/>
  <c r="AD198" i="24"/>
  <c r="AC198" i="24"/>
  <c r="AB198" i="24"/>
  <c r="AA198" i="24"/>
  <c r="Z198" i="24"/>
  <c r="Y198" i="24"/>
  <c r="X198" i="24"/>
  <c r="W198" i="24"/>
  <c r="V198" i="24"/>
  <c r="U198" i="24"/>
  <c r="T198" i="24"/>
  <c r="S198" i="24"/>
  <c r="R198" i="24"/>
  <c r="Q198" i="24"/>
  <c r="P198" i="24"/>
  <c r="O198" i="24"/>
  <c r="N198" i="24"/>
  <c r="M198" i="24"/>
  <c r="L198" i="24"/>
  <c r="K198" i="24"/>
  <c r="J198" i="24"/>
  <c r="I198" i="24"/>
  <c r="H198" i="24"/>
  <c r="G198" i="24"/>
  <c r="F198" i="24"/>
  <c r="E198" i="24"/>
  <c r="D198" i="24"/>
  <c r="C198" i="24"/>
  <c r="B198" i="24"/>
  <c r="GT197" i="24"/>
  <c r="GS197" i="24"/>
  <c r="GR197" i="24"/>
  <c r="GQ197" i="24"/>
  <c r="GP197" i="24"/>
  <c r="GO197" i="24"/>
  <c r="GN197" i="24"/>
  <c r="GM197" i="24"/>
  <c r="GL197" i="24"/>
  <c r="GK197" i="24"/>
  <c r="GJ197" i="24"/>
  <c r="GI197" i="24"/>
  <c r="GH197" i="24"/>
  <c r="GG197" i="24"/>
  <c r="GF197" i="24"/>
  <c r="GE197" i="24"/>
  <c r="GD197" i="24"/>
  <c r="GC197" i="24"/>
  <c r="GB197" i="24"/>
  <c r="GA197" i="24"/>
  <c r="FZ197" i="24"/>
  <c r="FY197" i="24"/>
  <c r="FX197" i="24"/>
  <c r="FW197" i="24"/>
  <c r="FV197" i="24"/>
  <c r="FU197" i="24"/>
  <c r="FT197" i="24"/>
  <c r="FS197" i="24"/>
  <c r="FR197" i="24"/>
  <c r="FQ197" i="24"/>
  <c r="FP197" i="24"/>
  <c r="FO197" i="24"/>
  <c r="FN197" i="24"/>
  <c r="FM197" i="24"/>
  <c r="FL197" i="24"/>
  <c r="FK197" i="24"/>
  <c r="FJ197" i="24"/>
  <c r="FI197" i="24"/>
  <c r="FH197" i="24"/>
  <c r="FG197" i="24"/>
  <c r="FF197" i="24"/>
  <c r="FE197" i="24"/>
  <c r="FD197" i="24"/>
  <c r="FC197" i="24"/>
  <c r="FB197" i="24"/>
  <c r="FA197" i="24"/>
  <c r="EZ197" i="24"/>
  <c r="EY197" i="24"/>
  <c r="EX197" i="24"/>
  <c r="EW197" i="24"/>
  <c r="EV197" i="24"/>
  <c r="EU197" i="24"/>
  <c r="ET197" i="24"/>
  <c r="ES197" i="24"/>
  <c r="ER197" i="24"/>
  <c r="EQ197" i="24"/>
  <c r="EP197" i="24"/>
  <c r="EO197" i="24"/>
  <c r="EN197" i="24"/>
  <c r="EM197" i="24"/>
  <c r="EL197" i="24"/>
  <c r="EK197" i="24"/>
  <c r="EJ197" i="24"/>
  <c r="EI197" i="24"/>
  <c r="EH197" i="24"/>
  <c r="EG197" i="24"/>
  <c r="EF197" i="24"/>
  <c r="EE197" i="24"/>
  <c r="ED197" i="24"/>
  <c r="EC197" i="24"/>
  <c r="EB197" i="24"/>
  <c r="EA197" i="24"/>
  <c r="DZ197" i="24"/>
  <c r="DY197" i="24"/>
  <c r="DX197" i="24"/>
  <c r="DW197" i="24"/>
  <c r="DV197" i="24"/>
  <c r="DU197" i="24"/>
  <c r="DT197" i="24"/>
  <c r="DS197" i="24"/>
  <c r="DR197" i="24"/>
  <c r="DQ197" i="24"/>
  <c r="DP197" i="24"/>
  <c r="DO197" i="24"/>
  <c r="DN197" i="24"/>
  <c r="DM197" i="24"/>
  <c r="DL197" i="24"/>
  <c r="DK197" i="24"/>
  <c r="DJ197" i="24"/>
  <c r="DI197" i="24"/>
  <c r="DH197" i="24"/>
  <c r="DG197" i="24"/>
  <c r="DF197" i="24"/>
  <c r="DE197" i="24"/>
  <c r="DD197" i="24"/>
  <c r="DC197" i="24"/>
  <c r="DB197" i="24"/>
  <c r="DA197" i="24"/>
  <c r="CZ197" i="24"/>
  <c r="CY197" i="24"/>
  <c r="CX197" i="24"/>
  <c r="CW197" i="24"/>
  <c r="CV197" i="24"/>
  <c r="CU197" i="24"/>
  <c r="CT197" i="24"/>
  <c r="CS197" i="24"/>
  <c r="CR197" i="24"/>
  <c r="CQ197" i="24"/>
  <c r="CP197" i="24"/>
  <c r="CO197" i="24"/>
  <c r="CN197" i="24"/>
  <c r="CM197" i="24"/>
  <c r="CL197" i="24"/>
  <c r="CK197" i="24"/>
  <c r="CJ197" i="24"/>
  <c r="CI197" i="24"/>
  <c r="CH197" i="24"/>
  <c r="CG197" i="24"/>
  <c r="CF197" i="24"/>
  <c r="CE197" i="24"/>
  <c r="CD197" i="24"/>
  <c r="CC197" i="24"/>
  <c r="CB197" i="24"/>
  <c r="CA197" i="24"/>
  <c r="BZ197" i="24"/>
  <c r="BY197" i="24"/>
  <c r="BX197" i="24"/>
  <c r="BW197" i="24"/>
  <c r="BV197" i="24"/>
  <c r="BU197" i="24"/>
  <c r="BT197" i="24"/>
  <c r="BS197" i="24"/>
  <c r="BR197" i="24"/>
  <c r="BQ197" i="24"/>
  <c r="BP197" i="24"/>
  <c r="BO197" i="24"/>
  <c r="BN197" i="24"/>
  <c r="BM197" i="24"/>
  <c r="BL197" i="24"/>
  <c r="BK197" i="24"/>
  <c r="BJ197" i="24"/>
  <c r="BI197" i="24"/>
  <c r="BH197" i="24"/>
  <c r="BG197" i="24"/>
  <c r="BF197" i="24"/>
  <c r="BE197" i="24"/>
  <c r="BD197" i="24"/>
  <c r="BC197" i="24"/>
  <c r="BB197" i="24"/>
  <c r="BA197" i="24"/>
  <c r="AZ197" i="24"/>
  <c r="AY197" i="24"/>
  <c r="AX197" i="24"/>
  <c r="AW197" i="24"/>
  <c r="AV197" i="24"/>
  <c r="AU197" i="24"/>
  <c r="AT197" i="24"/>
  <c r="AS197" i="24"/>
  <c r="AR197" i="24"/>
  <c r="AQ197" i="24"/>
  <c r="AP197" i="24"/>
  <c r="AO197" i="24"/>
  <c r="AN197" i="24"/>
  <c r="AM197" i="24"/>
  <c r="AL197" i="24"/>
  <c r="AK197" i="24"/>
  <c r="AJ197" i="24"/>
  <c r="AI197" i="24"/>
  <c r="AH197" i="24"/>
  <c r="AG197" i="24"/>
  <c r="AF197" i="24"/>
  <c r="AE197" i="24"/>
  <c r="AD197" i="24"/>
  <c r="AC197" i="24"/>
  <c r="AB197" i="24"/>
  <c r="AA197" i="24"/>
  <c r="Z197" i="24"/>
  <c r="Y197" i="24"/>
  <c r="X197" i="24"/>
  <c r="W197" i="24"/>
  <c r="V197" i="24"/>
  <c r="U197" i="24"/>
  <c r="T197" i="24"/>
  <c r="S197" i="24"/>
  <c r="R197" i="24"/>
  <c r="Q197" i="24"/>
  <c r="P197" i="24"/>
  <c r="O197" i="24"/>
  <c r="N197" i="24"/>
  <c r="M197" i="24"/>
  <c r="L197" i="24"/>
  <c r="K197" i="24"/>
  <c r="J197" i="24"/>
  <c r="I197" i="24"/>
  <c r="H197" i="24"/>
  <c r="G197" i="24"/>
  <c r="F197" i="24"/>
  <c r="E197" i="24"/>
  <c r="D197" i="24"/>
  <c r="C197" i="24"/>
  <c r="B197" i="24"/>
  <c r="GT196" i="24"/>
  <c r="GS196" i="24"/>
  <c r="GR196" i="24"/>
  <c r="GQ196" i="24"/>
  <c r="GP196" i="24"/>
  <c r="GO196" i="24"/>
  <c r="GN196" i="24"/>
  <c r="GM196" i="24"/>
  <c r="GL196" i="24"/>
  <c r="GK196" i="24"/>
  <c r="GJ196" i="24"/>
  <c r="GI196" i="24"/>
  <c r="GH196" i="24"/>
  <c r="GG196" i="24"/>
  <c r="GF196" i="24"/>
  <c r="GE196" i="24"/>
  <c r="GD196" i="24"/>
  <c r="GC196" i="24"/>
  <c r="GB196" i="24"/>
  <c r="GA196" i="24"/>
  <c r="FZ196" i="24"/>
  <c r="FY196" i="24"/>
  <c r="FX196" i="24"/>
  <c r="FW196" i="24"/>
  <c r="FV196" i="24"/>
  <c r="FU196" i="24"/>
  <c r="FT196" i="24"/>
  <c r="FS196" i="24"/>
  <c r="FR196" i="24"/>
  <c r="FQ196" i="24"/>
  <c r="FP196" i="24"/>
  <c r="FO196" i="24"/>
  <c r="FN196" i="24"/>
  <c r="FM196" i="24"/>
  <c r="FL196" i="24"/>
  <c r="FK196" i="24"/>
  <c r="FJ196" i="24"/>
  <c r="FI196" i="24"/>
  <c r="FH196" i="24"/>
  <c r="FG196" i="24"/>
  <c r="FF196" i="24"/>
  <c r="FE196" i="24"/>
  <c r="FD196" i="24"/>
  <c r="FC196" i="24"/>
  <c r="FB196" i="24"/>
  <c r="FA196" i="24"/>
  <c r="EZ196" i="24"/>
  <c r="EY196" i="24"/>
  <c r="EX196" i="24"/>
  <c r="EW196" i="24"/>
  <c r="EV196" i="24"/>
  <c r="EU196" i="24"/>
  <c r="ET196" i="24"/>
  <c r="ES196" i="24"/>
  <c r="ER196" i="24"/>
  <c r="EQ196" i="24"/>
  <c r="EP196" i="24"/>
  <c r="EO196" i="24"/>
  <c r="EN196" i="24"/>
  <c r="EM196" i="24"/>
  <c r="EL196" i="24"/>
  <c r="EK196" i="24"/>
  <c r="EJ196" i="24"/>
  <c r="EI196" i="24"/>
  <c r="EH196" i="24"/>
  <c r="EG196" i="24"/>
  <c r="EF196" i="24"/>
  <c r="EE196" i="24"/>
  <c r="ED196" i="24"/>
  <c r="EC196" i="24"/>
  <c r="EB196" i="24"/>
  <c r="EA196" i="24"/>
  <c r="DZ196" i="24"/>
  <c r="DY196" i="24"/>
  <c r="DX196" i="24"/>
  <c r="DW196" i="24"/>
  <c r="DV196" i="24"/>
  <c r="DU196" i="24"/>
  <c r="DT196" i="24"/>
  <c r="DS196" i="24"/>
  <c r="DR196" i="24"/>
  <c r="DQ196" i="24"/>
  <c r="DP196" i="24"/>
  <c r="DO196" i="24"/>
  <c r="DN196" i="24"/>
  <c r="DM196" i="24"/>
  <c r="DL196" i="24"/>
  <c r="DK196" i="24"/>
  <c r="DJ196" i="24"/>
  <c r="DI196" i="24"/>
  <c r="DH196" i="24"/>
  <c r="DG196" i="24"/>
  <c r="DF196" i="24"/>
  <c r="DE196" i="24"/>
  <c r="DD196" i="24"/>
  <c r="DC196" i="24"/>
  <c r="DB196" i="24"/>
  <c r="DA196" i="24"/>
  <c r="CZ196" i="24"/>
  <c r="CY196" i="24"/>
  <c r="CX196" i="24"/>
  <c r="CW196" i="24"/>
  <c r="CV196" i="24"/>
  <c r="CU196" i="24"/>
  <c r="CT196" i="24"/>
  <c r="CS196" i="24"/>
  <c r="CR196" i="24"/>
  <c r="CQ196" i="24"/>
  <c r="CP196" i="24"/>
  <c r="CO196" i="24"/>
  <c r="CN196" i="24"/>
  <c r="CM196" i="24"/>
  <c r="CL196" i="24"/>
  <c r="CK196" i="24"/>
  <c r="CJ196" i="24"/>
  <c r="CI196" i="24"/>
  <c r="CH196" i="24"/>
  <c r="CG196" i="24"/>
  <c r="CF196" i="24"/>
  <c r="CE196" i="24"/>
  <c r="CD196" i="24"/>
  <c r="CC196" i="24"/>
  <c r="CB196" i="24"/>
  <c r="CA196" i="24"/>
  <c r="BZ196" i="24"/>
  <c r="BY196" i="24"/>
  <c r="BX196" i="24"/>
  <c r="BW196" i="24"/>
  <c r="BV196" i="24"/>
  <c r="BU196" i="24"/>
  <c r="BT196" i="24"/>
  <c r="BS196" i="24"/>
  <c r="BR196" i="24"/>
  <c r="BQ196" i="24"/>
  <c r="BP196" i="24"/>
  <c r="BO196" i="24"/>
  <c r="BN196" i="24"/>
  <c r="BM196" i="24"/>
  <c r="BL196" i="24"/>
  <c r="BK196" i="24"/>
  <c r="BJ196" i="24"/>
  <c r="BI196" i="24"/>
  <c r="BH196" i="24"/>
  <c r="BG196" i="24"/>
  <c r="BF196" i="24"/>
  <c r="BE196" i="24"/>
  <c r="BD196" i="24"/>
  <c r="BC196" i="24"/>
  <c r="BB196" i="24"/>
  <c r="BA196" i="24"/>
  <c r="AZ196" i="24"/>
  <c r="AY196" i="24"/>
  <c r="AX196" i="24"/>
  <c r="AW196" i="24"/>
  <c r="AV196" i="24"/>
  <c r="AU196" i="24"/>
  <c r="AT196" i="24"/>
  <c r="AS196" i="24"/>
  <c r="AR196" i="24"/>
  <c r="AQ196" i="24"/>
  <c r="AP196" i="24"/>
  <c r="AO196" i="24"/>
  <c r="AN196" i="24"/>
  <c r="AM196" i="24"/>
  <c r="AL196" i="24"/>
  <c r="AK196" i="24"/>
  <c r="AJ196" i="24"/>
  <c r="AI196" i="24"/>
  <c r="AH196" i="24"/>
  <c r="AG196" i="24"/>
  <c r="AF196" i="24"/>
  <c r="AE196" i="24"/>
  <c r="AD196" i="24"/>
  <c r="AC196" i="24"/>
  <c r="AB196" i="24"/>
  <c r="AA196" i="24"/>
  <c r="Z196" i="24"/>
  <c r="Y196" i="24"/>
  <c r="X196" i="24"/>
  <c r="W196" i="24"/>
  <c r="V196" i="24"/>
  <c r="U196" i="24"/>
  <c r="T196" i="24"/>
  <c r="S196" i="24"/>
  <c r="R196" i="24"/>
  <c r="Q196" i="24"/>
  <c r="P196" i="24"/>
  <c r="O196" i="24"/>
  <c r="N196" i="24"/>
  <c r="M196" i="24"/>
  <c r="L196" i="24"/>
  <c r="K196" i="24"/>
  <c r="J196" i="24"/>
  <c r="I196" i="24"/>
  <c r="H196" i="24"/>
  <c r="G196" i="24"/>
  <c r="F196" i="24"/>
  <c r="E196" i="24"/>
  <c r="D196" i="24"/>
  <c r="C196" i="24"/>
  <c r="B196" i="24"/>
  <c r="GT195" i="24"/>
  <c r="GS195" i="24"/>
  <c r="GR195" i="24"/>
  <c r="GQ195" i="24"/>
  <c r="GP195" i="24"/>
  <c r="GO195" i="24"/>
  <c r="GN195" i="24"/>
  <c r="GM195" i="24"/>
  <c r="GL195" i="24"/>
  <c r="GK195" i="24"/>
  <c r="GJ195" i="24"/>
  <c r="GI195" i="24"/>
  <c r="GH195" i="24"/>
  <c r="GG195" i="24"/>
  <c r="GF195" i="24"/>
  <c r="GE195" i="24"/>
  <c r="GD195" i="24"/>
  <c r="GC195" i="24"/>
  <c r="GB195" i="24"/>
  <c r="GA195" i="24"/>
  <c r="FZ195" i="24"/>
  <c r="FY195" i="24"/>
  <c r="FX195" i="24"/>
  <c r="FW195" i="24"/>
  <c r="FV195" i="24"/>
  <c r="FU195" i="24"/>
  <c r="FT195" i="24"/>
  <c r="FS195" i="24"/>
  <c r="FR195" i="24"/>
  <c r="FQ195" i="24"/>
  <c r="FP195" i="24"/>
  <c r="FO195" i="24"/>
  <c r="FN195" i="24"/>
  <c r="FM195" i="24"/>
  <c r="FL195" i="24"/>
  <c r="FK195" i="24"/>
  <c r="FJ195" i="24"/>
  <c r="FI195" i="24"/>
  <c r="FH195" i="24"/>
  <c r="FG195" i="24"/>
  <c r="FF195" i="24"/>
  <c r="FE195" i="24"/>
  <c r="FD195" i="24"/>
  <c r="FC195" i="24"/>
  <c r="FB195" i="24"/>
  <c r="FA195" i="24"/>
  <c r="EZ195" i="24"/>
  <c r="EY195" i="24"/>
  <c r="EX195" i="24"/>
  <c r="EW195" i="24"/>
  <c r="EV195" i="24"/>
  <c r="EU195" i="24"/>
  <c r="ET195" i="24"/>
  <c r="ES195" i="24"/>
  <c r="ER195" i="24"/>
  <c r="EQ195" i="24"/>
  <c r="EP195" i="24"/>
  <c r="EO195" i="24"/>
  <c r="EN195" i="24"/>
  <c r="EM195" i="24"/>
  <c r="EL195" i="24"/>
  <c r="EK195" i="24"/>
  <c r="EJ195" i="24"/>
  <c r="EI195" i="24"/>
  <c r="EH195" i="24"/>
  <c r="EG195" i="24"/>
  <c r="EF195" i="24"/>
  <c r="EE195" i="24"/>
  <c r="ED195" i="24"/>
  <c r="EC195" i="24"/>
  <c r="EB195" i="24"/>
  <c r="EA195" i="24"/>
  <c r="DZ195" i="24"/>
  <c r="DY195" i="24"/>
  <c r="DX195" i="24"/>
  <c r="DW195" i="24"/>
  <c r="DV195" i="24"/>
  <c r="DU195" i="24"/>
  <c r="DT195" i="24"/>
  <c r="DS195" i="24"/>
  <c r="DR195" i="24"/>
  <c r="DQ195" i="24"/>
  <c r="DP195" i="24"/>
  <c r="DO195" i="24"/>
  <c r="DN195" i="24"/>
  <c r="DM195" i="24"/>
  <c r="DL195" i="24"/>
  <c r="DK195" i="24"/>
  <c r="DJ195" i="24"/>
  <c r="DI195" i="24"/>
  <c r="DH195" i="24"/>
  <c r="DG195" i="24"/>
  <c r="DF195" i="24"/>
  <c r="DE195" i="24"/>
  <c r="DD195" i="24"/>
  <c r="DC195" i="24"/>
  <c r="DB195" i="24"/>
  <c r="DA195" i="24"/>
  <c r="CZ195" i="24"/>
  <c r="CY195" i="24"/>
  <c r="CX195" i="24"/>
  <c r="CW195" i="24"/>
  <c r="CV195" i="24"/>
  <c r="CU195" i="24"/>
  <c r="CT195" i="24"/>
  <c r="CS195" i="24"/>
  <c r="CR195" i="24"/>
  <c r="CQ195" i="24"/>
  <c r="CP195" i="24"/>
  <c r="CO195" i="24"/>
  <c r="CN195" i="24"/>
  <c r="CM195" i="24"/>
  <c r="CL195" i="24"/>
  <c r="CK195" i="24"/>
  <c r="CJ195" i="24"/>
  <c r="CI195" i="24"/>
  <c r="CH195" i="24"/>
  <c r="CG195" i="24"/>
  <c r="CF195" i="24"/>
  <c r="CE195" i="24"/>
  <c r="CD195" i="24"/>
  <c r="CC195" i="24"/>
  <c r="CB195" i="24"/>
  <c r="CA195" i="24"/>
  <c r="BZ195" i="24"/>
  <c r="BY195" i="24"/>
  <c r="BX195" i="24"/>
  <c r="BW195" i="24"/>
  <c r="BV195" i="24"/>
  <c r="BU195" i="24"/>
  <c r="BT195" i="24"/>
  <c r="BS195" i="24"/>
  <c r="BR195" i="24"/>
  <c r="BQ195" i="24"/>
  <c r="BP195" i="24"/>
  <c r="BO195" i="24"/>
  <c r="BN195" i="24"/>
  <c r="BM195" i="24"/>
  <c r="BL195" i="24"/>
  <c r="BK195" i="24"/>
  <c r="BJ195" i="24"/>
  <c r="BI195" i="24"/>
  <c r="BH195" i="24"/>
  <c r="BG195" i="24"/>
  <c r="BF195" i="24"/>
  <c r="BE195" i="24"/>
  <c r="BD195" i="24"/>
  <c r="BC195" i="24"/>
  <c r="BB195" i="24"/>
  <c r="BA195" i="24"/>
  <c r="AZ195" i="24"/>
  <c r="AY195" i="24"/>
  <c r="AX195" i="24"/>
  <c r="AW195" i="24"/>
  <c r="AV195" i="24"/>
  <c r="AU195" i="24"/>
  <c r="AT195" i="24"/>
  <c r="AS195" i="24"/>
  <c r="AR195" i="24"/>
  <c r="AQ195" i="24"/>
  <c r="AP195" i="24"/>
  <c r="AO195" i="24"/>
  <c r="AN195" i="24"/>
  <c r="AM195" i="24"/>
  <c r="AL195" i="24"/>
  <c r="AK195" i="24"/>
  <c r="AJ195" i="24"/>
  <c r="AI195" i="24"/>
  <c r="AH195" i="24"/>
  <c r="AG195" i="24"/>
  <c r="AF195" i="24"/>
  <c r="AE195" i="24"/>
  <c r="AD195" i="24"/>
  <c r="AC195" i="24"/>
  <c r="AB195" i="24"/>
  <c r="AA195" i="24"/>
  <c r="Z195" i="24"/>
  <c r="Y195" i="24"/>
  <c r="X195" i="24"/>
  <c r="W195" i="24"/>
  <c r="V195" i="24"/>
  <c r="U195" i="24"/>
  <c r="T195" i="24"/>
  <c r="S195" i="24"/>
  <c r="R195" i="24"/>
  <c r="Q195" i="24"/>
  <c r="P195" i="24"/>
  <c r="O195" i="24"/>
  <c r="N195" i="24"/>
  <c r="M195" i="24"/>
  <c r="L195" i="24"/>
  <c r="K195" i="24"/>
  <c r="J195" i="24"/>
  <c r="I195" i="24"/>
  <c r="H195" i="24"/>
  <c r="G195" i="24"/>
  <c r="F195" i="24"/>
  <c r="E195" i="24"/>
  <c r="D195" i="24"/>
  <c r="C195" i="24"/>
  <c r="B195" i="24"/>
  <c r="GT194" i="24"/>
  <c r="GS194" i="24"/>
  <c r="GR194" i="24"/>
  <c r="GQ194" i="24"/>
  <c r="GP194" i="24"/>
  <c r="GO194" i="24"/>
  <c r="GN194" i="24"/>
  <c r="GM194" i="24"/>
  <c r="GL194" i="24"/>
  <c r="GK194" i="24"/>
  <c r="GJ194" i="24"/>
  <c r="GI194" i="24"/>
  <c r="GH194" i="24"/>
  <c r="GG194" i="24"/>
  <c r="GF194" i="24"/>
  <c r="GE194" i="24"/>
  <c r="GD194" i="24"/>
  <c r="GC194" i="24"/>
  <c r="GB194" i="24"/>
  <c r="GA194" i="24"/>
  <c r="FZ194" i="24"/>
  <c r="FY194" i="24"/>
  <c r="FX194" i="24"/>
  <c r="FW194" i="24"/>
  <c r="FV194" i="24"/>
  <c r="FU194" i="24"/>
  <c r="FT194" i="24"/>
  <c r="FS194" i="24"/>
  <c r="FR194" i="24"/>
  <c r="FQ194" i="24"/>
  <c r="FP194" i="24"/>
  <c r="FO194" i="24"/>
  <c r="FN194" i="24"/>
  <c r="FM194" i="24"/>
  <c r="FL194" i="24"/>
  <c r="FK194" i="24"/>
  <c r="FJ194" i="24"/>
  <c r="FI194" i="24"/>
  <c r="FH194" i="24"/>
  <c r="FG194" i="24"/>
  <c r="FF194" i="24"/>
  <c r="FE194" i="24"/>
  <c r="FD194" i="24"/>
  <c r="FC194" i="24"/>
  <c r="FB194" i="24"/>
  <c r="FA194" i="24"/>
  <c r="EZ194" i="24"/>
  <c r="EY194" i="24"/>
  <c r="EX194" i="24"/>
  <c r="EW194" i="24"/>
  <c r="EV194" i="24"/>
  <c r="EU194" i="24"/>
  <c r="ET194" i="24"/>
  <c r="ES194" i="24"/>
  <c r="ER194" i="24"/>
  <c r="EQ194" i="24"/>
  <c r="EP194" i="24"/>
  <c r="EO194" i="24"/>
  <c r="EN194" i="24"/>
  <c r="EM194" i="24"/>
  <c r="EL194" i="24"/>
  <c r="EK194" i="24"/>
  <c r="EJ194" i="24"/>
  <c r="EI194" i="24"/>
  <c r="EH194" i="24"/>
  <c r="EG194" i="24"/>
  <c r="EF194" i="24"/>
  <c r="EE194" i="24"/>
  <c r="ED194" i="24"/>
  <c r="EC194" i="24"/>
  <c r="EB194" i="24"/>
  <c r="EA194" i="24"/>
  <c r="DZ194" i="24"/>
  <c r="DY194" i="24"/>
  <c r="DX194" i="24"/>
  <c r="DW194" i="24"/>
  <c r="DV194" i="24"/>
  <c r="DU194" i="24"/>
  <c r="DT194" i="24"/>
  <c r="DS194" i="24"/>
  <c r="DR194" i="24"/>
  <c r="DQ194" i="24"/>
  <c r="DP194" i="24"/>
  <c r="DO194" i="24"/>
  <c r="DN194" i="24"/>
  <c r="DM194" i="24"/>
  <c r="DL194" i="24"/>
  <c r="DK194" i="24"/>
  <c r="DJ194" i="24"/>
  <c r="DI194" i="24"/>
  <c r="DH194" i="24"/>
  <c r="DG194" i="24"/>
  <c r="DF194" i="24"/>
  <c r="DE194" i="24"/>
  <c r="DD194" i="24"/>
  <c r="DC194" i="24"/>
  <c r="DB194" i="24"/>
  <c r="DA194" i="24"/>
  <c r="CZ194" i="24"/>
  <c r="CY194" i="24"/>
  <c r="CX194" i="24"/>
  <c r="CW194" i="24"/>
  <c r="CV194" i="24"/>
  <c r="CU194" i="24"/>
  <c r="CT194" i="24"/>
  <c r="CS194" i="24"/>
  <c r="CR194" i="24"/>
  <c r="CQ194" i="24"/>
  <c r="CP194" i="24"/>
  <c r="CO194" i="24"/>
  <c r="CN194" i="24"/>
  <c r="CM194" i="24"/>
  <c r="CL194" i="24"/>
  <c r="CK194" i="24"/>
  <c r="CJ194" i="24"/>
  <c r="CI194" i="24"/>
  <c r="CH194" i="24"/>
  <c r="CG194" i="24"/>
  <c r="CF194" i="24"/>
  <c r="CE194" i="24"/>
  <c r="CD194" i="24"/>
  <c r="CC194" i="24"/>
  <c r="CB194" i="24"/>
  <c r="CA194" i="24"/>
  <c r="BZ194" i="24"/>
  <c r="BY194" i="24"/>
  <c r="BX194" i="24"/>
  <c r="BW194" i="24"/>
  <c r="BV194" i="24"/>
  <c r="BU194" i="24"/>
  <c r="BT194" i="24"/>
  <c r="BS194" i="24"/>
  <c r="BR194" i="24"/>
  <c r="BQ194" i="24"/>
  <c r="BP194" i="24"/>
  <c r="BO194" i="24"/>
  <c r="BN194" i="24"/>
  <c r="BM194" i="24"/>
  <c r="BL194" i="24"/>
  <c r="BK194" i="24"/>
  <c r="BJ194" i="24"/>
  <c r="BI194" i="24"/>
  <c r="BH194" i="24"/>
  <c r="BG194" i="24"/>
  <c r="BF194" i="24"/>
  <c r="BE194" i="24"/>
  <c r="BD194" i="24"/>
  <c r="BC194" i="24"/>
  <c r="BB194" i="24"/>
  <c r="BA194" i="24"/>
  <c r="AZ194" i="24"/>
  <c r="AY194" i="24"/>
  <c r="AX194" i="24"/>
  <c r="AW194" i="24"/>
  <c r="AV194" i="24"/>
  <c r="AU194" i="24"/>
  <c r="AT194" i="24"/>
  <c r="AS194" i="24"/>
  <c r="AR194" i="24"/>
  <c r="AQ194" i="24"/>
  <c r="AP194" i="24"/>
  <c r="AO194" i="24"/>
  <c r="AN194" i="24"/>
  <c r="AM194" i="24"/>
  <c r="AL194" i="24"/>
  <c r="AK194" i="24"/>
  <c r="AJ194" i="24"/>
  <c r="AI194" i="24"/>
  <c r="AH194" i="24"/>
  <c r="AG194" i="24"/>
  <c r="AF194" i="24"/>
  <c r="AE194" i="24"/>
  <c r="AD194" i="24"/>
  <c r="AC194" i="24"/>
  <c r="AB194" i="24"/>
  <c r="AA194" i="24"/>
  <c r="Z194" i="24"/>
  <c r="Y194" i="24"/>
  <c r="X194" i="24"/>
  <c r="W194" i="24"/>
  <c r="V194" i="24"/>
  <c r="U194" i="24"/>
  <c r="T194" i="24"/>
  <c r="S194" i="24"/>
  <c r="R194" i="24"/>
  <c r="Q194" i="24"/>
  <c r="P194" i="24"/>
  <c r="O194" i="24"/>
  <c r="N194" i="24"/>
  <c r="M194" i="24"/>
  <c r="L194" i="24"/>
  <c r="K194" i="24"/>
  <c r="J194" i="24"/>
  <c r="I194" i="24"/>
  <c r="H194" i="24"/>
  <c r="G194" i="24"/>
  <c r="F194" i="24"/>
  <c r="E194" i="24"/>
  <c r="D194" i="24"/>
  <c r="C194" i="24"/>
  <c r="B194" i="24"/>
  <c r="GT193" i="24"/>
  <c r="GS193" i="24"/>
  <c r="GR193" i="24"/>
  <c r="GQ193" i="24"/>
  <c r="GP193" i="24"/>
  <c r="GO193" i="24"/>
  <c r="GN193" i="24"/>
  <c r="GM193" i="24"/>
  <c r="GL193" i="24"/>
  <c r="GK193" i="24"/>
  <c r="GJ193" i="24"/>
  <c r="GI193" i="24"/>
  <c r="GH193" i="24"/>
  <c r="GG193" i="24"/>
  <c r="GF193" i="24"/>
  <c r="GE193" i="24"/>
  <c r="GD193" i="24"/>
  <c r="GC193" i="24"/>
  <c r="GB193" i="24"/>
  <c r="GA193" i="24"/>
  <c r="FZ193" i="24"/>
  <c r="FY193" i="24"/>
  <c r="FX193" i="24"/>
  <c r="FW193" i="24"/>
  <c r="FV193" i="24"/>
  <c r="FU193" i="24"/>
  <c r="FT193" i="24"/>
  <c r="FS193" i="24"/>
  <c r="FR193" i="24"/>
  <c r="FQ193" i="24"/>
  <c r="FP193" i="24"/>
  <c r="FO193" i="24"/>
  <c r="FN193" i="24"/>
  <c r="FM193" i="24"/>
  <c r="FL193" i="24"/>
  <c r="FK193" i="24"/>
  <c r="FJ193" i="24"/>
  <c r="FI193" i="24"/>
  <c r="FH193" i="24"/>
  <c r="FG193" i="24"/>
  <c r="FF193" i="24"/>
  <c r="FE193" i="24"/>
  <c r="FD193" i="24"/>
  <c r="FC193" i="24"/>
  <c r="FB193" i="24"/>
  <c r="FA193" i="24"/>
  <c r="EZ193" i="24"/>
  <c r="EY193" i="24"/>
  <c r="EX193" i="24"/>
  <c r="EW193" i="24"/>
  <c r="EV193" i="24"/>
  <c r="EU193" i="24"/>
  <c r="ET193" i="24"/>
  <c r="ES193" i="24"/>
  <c r="ER193" i="24"/>
  <c r="EQ193" i="24"/>
  <c r="EP193" i="24"/>
  <c r="EO193" i="24"/>
  <c r="EN193" i="24"/>
  <c r="EM193" i="24"/>
  <c r="EL193" i="24"/>
  <c r="EK193" i="24"/>
  <c r="EJ193" i="24"/>
  <c r="EI193" i="24"/>
  <c r="EH193" i="24"/>
  <c r="EG193" i="24"/>
  <c r="EF193" i="24"/>
  <c r="EE193" i="24"/>
  <c r="ED193" i="24"/>
  <c r="EC193" i="24"/>
  <c r="EB193" i="24"/>
  <c r="EA193" i="24"/>
  <c r="DZ193" i="24"/>
  <c r="DY193" i="24"/>
  <c r="DX193" i="24"/>
  <c r="DW193" i="24"/>
  <c r="DV193" i="24"/>
  <c r="DU193" i="24"/>
  <c r="DT193" i="24"/>
  <c r="DS193" i="24"/>
  <c r="DR193" i="24"/>
  <c r="DQ193" i="24"/>
  <c r="DP193" i="24"/>
  <c r="DO193" i="24"/>
  <c r="DN193" i="24"/>
  <c r="DM193" i="24"/>
  <c r="DL193" i="24"/>
  <c r="DK193" i="24"/>
  <c r="DJ193" i="24"/>
  <c r="DI193" i="24"/>
  <c r="DH193" i="24"/>
  <c r="DG193" i="24"/>
  <c r="DF193" i="24"/>
  <c r="DE193" i="24"/>
  <c r="DD193" i="24"/>
  <c r="DC193" i="24"/>
  <c r="DB193" i="24"/>
  <c r="DA193" i="24"/>
  <c r="CZ193" i="24"/>
  <c r="CY193" i="24"/>
  <c r="CX193" i="24"/>
  <c r="CW193" i="24"/>
  <c r="CV193" i="24"/>
  <c r="CU193" i="24"/>
  <c r="CT193" i="24"/>
  <c r="CS193" i="24"/>
  <c r="CR193" i="24"/>
  <c r="CQ193" i="24"/>
  <c r="CP193" i="24"/>
  <c r="CO193" i="24"/>
  <c r="CN193" i="24"/>
  <c r="CM193" i="24"/>
  <c r="CL193" i="24"/>
  <c r="CK193" i="24"/>
  <c r="CJ193" i="24"/>
  <c r="CI193" i="24"/>
  <c r="CH193" i="24"/>
  <c r="CG193" i="24"/>
  <c r="CF193" i="24"/>
  <c r="CE193" i="24"/>
  <c r="CD193" i="24"/>
  <c r="CC193" i="24"/>
  <c r="CB193" i="24"/>
  <c r="CA193" i="24"/>
  <c r="BZ193" i="24"/>
  <c r="BY193" i="24"/>
  <c r="BX193" i="24"/>
  <c r="BW193" i="24"/>
  <c r="BV193" i="24"/>
  <c r="BU193" i="24"/>
  <c r="BT193" i="24"/>
  <c r="BS193" i="24"/>
  <c r="BR193" i="24"/>
  <c r="BQ193" i="24"/>
  <c r="BP193" i="24"/>
  <c r="BO193" i="24"/>
  <c r="BN193" i="24"/>
  <c r="BM193" i="24"/>
  <c r="BL193" i="24"/>
  <c r="BK193" i="24"/>
  <c r="BJ193" i="24"/>
  <c r="BI193" i="24"/>
  <c r="BH193" i="24"/>
  <c r="BG193" i="24"/>
  <c r="BF193" i="24"/>
  <c r="BE193" i="24"/>
  <c r="BD193" i="24"/>
  <c r="BC193" i="24"/>
  <c r="BB193" i="24"/>
  <c r="BA193" i="24"/>
  <c r="AZ193" i="24"/>
  <c r="AY193" i="24"/>
  <c r="AX193" i="24"/>
  <c r="AW193" i="24"/>
  <c r="AV193" i="24"/>
  <c r="AU193" i="24"/>
  <c r="AT193" i="24"/>
  <c r="AS193" i="24"/>
  <c r="AR193" i="24"/>
  <c r="AQ193" i="24"/>
  <c r="AP193" i="24"/>
  <c r="AO193" i="24"/>
  <c r="AN193" i="24"/>
  <c r="AM193" i="24"/>
  <c r="AL193" i="24"/>
  <c r="AK193" i="24"/>
  <c r="AJ193" i="24"/>
  <c r="AI193" i="24"/>
  <c r="AH193" i="24"/>
  <c r="AG193" i="24"/>
  <c r="AF193" i="24"/>
  <c r="AE193" i="24"/>
  <c r="AD193" i="24"/>
  <c r="AC193" i="24"/>
  <c r="AB193" i="24"/>
  <c r="AA193" i="24"/>
  <c r="Z193" i="24"/>
  <c r="Y193" i="24"/>
  <c r="X193" i="24"/>
  <c r="W193" i="24"/>
  <c r="V193" i="24"/>
  <c r="U193" i="24"/>
  <c r="T193" i="24"/>
  <c r="S193" i="24"/>
  <c r="R193" i="24"/>
  <c r="Q193" i="24"/>
  <c r="P193" i="24"/>
  <c r="O193" i="24"/>
  <c r="N193" i="24"/>
  <c r="M193" i="24"/>
  <c r="L193" i="24"/>
  <c r="K193" i="24"/>
  <c r="J193" i="24"/>
  <c r="I193" i="24"/>
  <c r="H193" i="24"/>
  <c r="G193" i="24"/>
  <c r="F193" i="24"/>
  <c r="E193" i="24"/>
  <c r="D193" i="24"/>
  <c r="C193" i="24"/>
  <c r="B193" i="24"/>
  <c r="B178" i="24"/>
  <c r="C178" i="24"/>
  <c r="D178" i="24"/>
  <c r="E178" i="24"/>
  <c r="F178" i="24"/>
  <c r="G178" i="24"/>
  <c r="H178" i="24"/>
  <c r="I178" i="24"/>
  <c r="J178" i="24"/>
  <c r="K178" i="24"/>
  <c r="L178" i="24"/>
  <c r="M178" i="24"/>
  <c r="N178" i="24"/>
  <c r="O178" i="24"/>
  <c r="P178" i="24"/>
  <c r="Q178" i="24"/>
  <c r="R178" i="24"/>
  <c r="S178" i="24"/>
  <c r="T178" i="24"/>
  <c r="U178" i="24"/>
  <c r="V178" i="24"/>
  <c r="W178" i="24"/>
  <c r="X178" i="24"/>
  <c r="Y178" i="24"/>
  <c r="Z178" i="24"/>
  <c r="AA178" i="24"/>
  <c r="AB178" i="24"/>
  <c r="AC178" i="24"/>
  <c r="AD178" i="24"/>
  <c r="AE178" i="24"/>
  <c r="AF178" i="24"/>
  <c r="AG178" i="24"/>
  <c r="AH178" i="24"/>
  <c r="AI178" i="24"/>
  <c r="AJ178" i="24"/>
  <c r="AK178" i="24"/>
  <c r="AL178" i="24"/>
  <c r="AM178" i="24"/>
  <c r="AN178" i="24"/>
  <c r="AO178" i="24"/>
  <c r="AP178" i="24"/>
  <c r="AQ178" i="24"/>
  <c r="AR178" i="24"/>
  <c r="AS178" i="24"/>
  <c r="AT178" i="24"/>
  <c r="AU178" i="24"/>
  <c r="AV178" i="24"/>
  <c r="AW178" i="24"/>
  <c r="AX178" i="24"/>
  <c r="AY178" i="24"/>
  <c r="AZ178" i="24"/>
  <c r="BA178" i="24"/>
  <c r="BB178" i="24"/>
  <c r="BC178" i="24"/>
  <c r="BD178" i="24"/>
  <c r="BE178" i="24"/>
  <c r="BF178" i="24"/>
  <c r="BG178" i="24"/>
  <c r="BH178" i="24"/>
  <c r="BI178" i="24"/>
  <c r="BJ178" i="24"/>
  <c r="BK178" i="24"/>
  <c r="BL178" i="24"/>
  <c r="BM178" i="24"/>
  <c r="BN178" i="24"/>
  <c r="BO178" i="24"/>
  <c r="BP178" i="24"/>
  <c r="BQ178" i="24"/>
  <c r="BR178" i="24"/>
  <c r="BS178" i="24"/>
  <c r="BT178" i="24"/>
  <c r="BU178" i="24"/>
  <c r="BV178" i="24"/>
  <c r="BW178" i="24"/>
  <c r="BX178" i="24"/>
  <c r="BY178" i="24"/>
  <c r="BZ178" i="24"/>
  <c r="CA178" i="24"/>
  <c r="CB178" i="24"/>
  <c r="CC178" i="24"/>
  <c r="CD178" i="24"/>
  <c r="CE178" i="24"/>
  <c r="CF178" i="24"/>
  <c r="CG178" i="24"/>
  <c r="CH178" i="24"/>
  <c r="CI178" i="24"/>
  <c r="CJ178" i="24"/>
  <c r="CK178" i="24"/>
  <c r="CL178" i="24"/>
  <c r="CM178" i="24"/>
  <c r="CN178" i="24"/>
  <c r="CO178" i="24"/>
  <c r="CP178" i="24"/>
  <c r="CQ178" i="24"/>
  <c r="CR178" i="24"/>
  <c r="CS178" i="24"/>
  <c r="CT178" i="24"/>
  <c r="CU178" i="24"/>
  <c r="CV178" i="24"/>
  <c r="CW178" i="24"/>
  <c r="CX178" i="24"/>
  <c r="CY178" i="24"/>
  <c r="CZ178" i="24"/>
  <c r="DA178" i="24"/>
  <c r="DB178" i="24"/>
  <c r="DC178" i="24"/>
  <c r="DD178" i="24"/>
  <c r="DE178" i="24"/>
  <c r="DF178" i="24"/>
  <c r="DG178" i="24"/>
  <c r="DH178" i="24"/>
  <c r="DI178" i="24"/>
  <c r="DJ178" i="24"/>
  <c r="DK178" i="24"/>
  <c r="DL178" i="24"/>
  <c r="DM178" i="24"/>
  <c r="DN178" i="24"/>
  <c r="DO178" i="24"/>
  <c r="DP178" i="24"/>
  <c r="DQ178" i="24"/>
  <c r="DR178" i="24"/>
  <c r="DS178" i="24"/>
  <c r="DT178" i="24"/>
  <c r="DU178" i="24"/>
  <c r="DV178" i="24"/>
  <c r="DW178" i="24"/>
  <c r="DX178" i="24"/>
  <c r="DY178" i="24"/>
  <c r="DZ178" i="24"/>
  <c r="EA178" i="24"/>
  <c r="EB178" i="24"/>
  <c r="EC178" i="24"/>
  <c r="ED178" i="24"/>
  <c r="EE178" i="24"/>
  <c r="EF178" i="24"/>
  <c r="EG178" i="24"/>
  <c r="EH178" i="24"/>
  <c r="EI178" i="24"/>
  <c r="EJ178" i="24"/>
  <c r="EK178" i="24"/>
  <c r="EL178" i="24"/>
  <c r="EM178" i="24"/>
  <c r="EN178" i="24"/>
  <c r="EO178" i="24"/>
  <c r="EP178" i="24"/>
  <c r="EQ178" i="24"/>
  <c r="ER178" i="24"/>
  <c r="ES178" i="24"/>
  <c r="ET178" i="24"/>
  <c r="EU178" i="24"/>
  <c r="EV178" i="24"/>
  <c r="EW178" i="24"/>
  <c r="EX178" i="24"/>
  <c r="EY178" i="24"/>
  <c r="EZ178" i="24"/>
  <c r="FA178" i="24"/>
  <c r="FB178" i="24"/>
  <c r="FC178" i="24"/>
  <c r="FD178" i="24"/>
  <c r="FE178" i="24"/>
  <c r="FF178" i="24"/>
  <c r="FG178" i="24"/>
  <c r="FH178" i="24"/>
  <c r="FI178" i="24"/>
  <c r="FJ178" i="24"/>
  <c r="FK178" i="24"/>
  <c r="FL178" i="24"/>
  <c r="FM178" i="24"/>
  <c r="FN178" i="24"/>
  <c r="FO178" i="24"/>
  <c r="FP178" i="24"/>
  <c r="FQ178" i="24"/>
  <c r="FR178" i="24"/>
  <c r="FS178" i="24"/>
  <c r="FT178" i="24"/>
  <c r="FU178" i="24"/>
  <c r="FV178" i="24"/>
  <c r="FW178" i="24"/>
  <c r="FX178" i="24"/>
  <c r="FY178" i="24"/>
  <c r="FZ178" i="24"/>
  <c r="GA178" i="24"/>
  <c r="GB178" i="24"/>
  <c r="GC178" i="24"/>
  <c r="GD178" i="24"/>
  <c r="GE178" i="24"/>
  <c r="GF178" i="24"/>
  <c r="GG178" i="24"/>
  <c r="GH178" i="24"/>
  <c r="GI178" i="24"/>
  <c r="GJ178" i="24"/>
  <c r="GK178" i="24"/>
  <c r="GL178" i="24"/>
  <c r="GM178" i="24"/>
  <c r="GN178" i="24"/>
  <c r="GO178" i="24"/>
  <c r="GP178" i="24"/>
  <c r="GQ178" i="24"/>
  <c r="GR178" i="24"/>
  <c r="GS178" i="24"/>
  <c r="GT178" i="24"/>
  <c r="B179" i="24"/>
  <c r="C179" i="24"/>
  <c r="D179" i="24"/>
  <c r="E179" i="24"/>
  <c r="F179" i="24"/>
  <c r="G179" i="24"/>
  <c r="H179" i="24"/>
  <c r="I179" i="24"/>
  <c r="J179" i="24"/>
  <c r="K179" i="24"/>
  <c r="L179" i="24"/>
  <c r="M179" i="24"/>
  <c r="N179" i="24"/>
  <c r="O179" i="24"/>
  <c r="P179" i="24"/>
  <c r="Q179" i="24"/>
  <c r="R179" i="24"/>
  <c r="S179" i="24"/>
  <c r="T179" i="24"/>
  <c r="U179" i="24"/>
  <c r="V179" i="24"/>
  <c r="W179" i="24"/>
  <c r="X179" i="24"/>
  <c r="Y179" i="24"/>
  <c r="Z179" i="24"/>
  <c r="AA179" i="24"/>
  <c r="AB179" i="24"/>
  <c r="AC179" i="24"/>
  <c r="AD179" i="24"/>
  <c r="AE179" i="24"/>
  <c r="AF179" i="24"/>
  <c r="AG179" i="24"/>
  <c r="AH179" i="24"/>
  <c r="AI179" i="24"/>
  <c r="AJ179" i="24"/>
  <c r="AK179" i="24"/>
  <c r="AL179" i="24"/>
  <c r="AM179" i="24"/>
  <c r="AN179" i="24"/>
  <c r="AO179" i="24"/>
  <c r="AP179" i="24"/>
  <c r="AQ179" i="24"/>
  <c r="AR179" i="24"/>
  <c r="AS179" i="24"/>
  <c r="AT179" i="24"/>
  <c r="AU179" i="24"/>
  <c r="AV179" i="24"/>
  <c r="AW179" i="24"/>
  <c r="AX179" i="24"/>
  <c r="AY179" i="24"/>
  <c r="AZ179" i="24"/>
  <c r="BA179" i="24"/>
  <c r="BB179" i="24"/>
  <c r="BC179" i="24"/>
  <c r="BD179" i="24"/>
  <c r="BE179" i="24"/>
  <c r="BF179" i="24"/>
  <c r="BG179" i="24"/>
  <c r="BH179" i="24"/>
  <c r="BI179" i="24"/>
  <c r="BJ179" i="24"/>
  <c r="BK179" i="24"/>
  <c r="BL179" i="24"/>
  <c r="BM179" i="24"/>
  <c r="BN179" i="24"/>
  <c r="BO179" i="24"/>
  <c r="BP179" i="24"/>
  <c r="BQ179" i="24"/>
  <c r="BR179" i="24"/>
  <c r="BS179" i="24"/>
  <c r="BT179" i="24"/>
  <c r="BU179" i="24"/>
  <c r="BV179" i="24"/>
  <c r="BW179" i="24"/>
  <c r="BX179" i="24"/>
  <c r="BY179" i="24"/>
  <c r="BZ179" i="24"/>
  <c r="CA179" i="24"/>
  <c r="CB179" i="24"/>
  <c r="CC179" i="24"/>
  <c r="CD179" i="24"/>
  <c r="CE179" i="24"/>
  <c r="CF179" i="24"/>
  <c r="CG179" i="24"/>
  <c r="CH179" i="24"/>
  <c r="CI179" i="24"/>
  <c r="CJ179" i="24"/>
  <c r="CK179" i="24"/>
  <c r="CL179" i="24"/>
  <c r="CM179" i="24"/>
  <c r="CN179" i="24"/>
  <c r="CO179" i="24"/>
  <c r="CP179" i="24"/>
  <c r="CQ179" i="24"/>
  <c r="CR179" i="24"/>
  <c r="CS179" i="24"/>
  <c r="CT179" i="24"/>
  <c r="CU179" i="24"/>
  <c r="CV179" i="24"/>
  <c r="CW179" i="24"/>
  <c r="CX179" i="24"/>
  <c r="CY179" i="24"/>
  <c r="CZ179" i="24"/>
  <c r="DA179" i="24"/>
  <c r="DB179" i="24"/>
  <c r="DC179" i="24"/>
  <c r="DD179" i="24"/>
  <c r="DE179" i="24"/>
  <c r="DF179" i="24"/>
  <c r="DG179" i="24"/>
  <c r="DH179" i="24"/>
  <c r="DI179" i="24"/>
  <c r="DJ179" i="24"/>
  <c r="DK179" i="24"/>
  <c r="DL179" i="24"/>
  <c r="DM179" i="24"/>
  <c r="DN179" i="24"/>
  <c r="DO179" i="24"/>
  <c r="DP179" i="24"/>
  <c r="DQ179" i="24"/>
  <c r="DR179" i="24"/>
  <c r="DS179" i="24"/>
  <c r="DT179" i="24"/>
  <c r="DU179" i="24"/>
  <c r="DV179" i="24"/>
  <c r="DW179" i="24"/>
  <c r="DX179" i="24"/>
  <c r="DY179" i="24"/>
  <c r="DZ179" i="24"/>
  <c r="EA179" i="24"/>
  <c r="EB179" i="24"/>
  <c r="EC179" i="24"/>
  <c r="ED179" i="24"/>
  <c r="EE179" i="24"/>
  <c r="EF179" i="24"/>
  <c r="EG179" i="24"/>
  <c r="EH179" i="24"/>
  <c r="EI179" i="24"/>
  <c r="EJ179" i="24"/>
  <c r="EK179" i="24"/>
  <c r="EL179" i="24"/>
  <c r="EM179" i="24"/>
  <c r="EN179" i="24"/>
  <c r="EO179" i="24"/>
  <c r="EP179" i="24"/>
  <c r="EQ179" i="24"/>
  <c r="ER179" i="24"/>
  <c r="ES179" i="24"/>
  <c r="ET179" i="24"/>
  <c r="EU179" i="24"/>
  <c r="EV179" i="24"/>
  <c r="EW179" i="24"/>
  <c r="EX179" i="24"/>
  <c r="EY179" i="24"/>
  <c r="EZ179" i="24"/>
  <c r="FA179" i="24"/>
  <c r="FB179" i="24"/>
  <c r="FC179" i="24"/>
  <c r="FD179" i="24"/>
  <c r="FE179" i="24"/>
  <c r="FF179" i="24"/>
  <c r="FG179" i="24"/>
  <c r="FH179" i="24"/>
  <c r="FI179" i="24"/>
  <c r="FJ179" i="24"/>
  <c r="FK179" i="24"/>
  <c r="FL179" i="24"/>
  <c r="FM179" i="24"/>
  <c r="FN179" i="24"/>
  <c r="FO179" i="24"/>
  <c r="FP179" i="24"/>
  <c r="FQ179" i="24"/>
  <c r="FR179" i="24"/>
  <c r="FS179" i="24"/>
  <c r="FT179" i="24"/>
  <c r="FU179" i="24"/>
  <c r="FV179" i="24"/>
  <c r="FW179" i="24"/>
  <c r="FX179" i="24"/>
  <c r="FY179" i="24"/>
  <c r="FZ179" i="24"/>
  <c r="GA179" i="24"/>
  <c r="GB179" i="24"/>
  <c r="GC179" i="24"/>
  <c r="GD179" i="24"/>
  <c r="GE179" i="24"/>
  <c r="GF179" i="24"/>
  <c r="GG179" i="24"/>
  <c r="GH179" i="24"/>
  <c r="GI179" i="24"/>
  <c r="GJ179" i="24"/>
  <c r="GK179" i="24"/>
  <c r="GL179" i="24"/>
  <c r="GM179" i="24"/>
  <c r="GN179" i="24"/>
  <c r="GO179" i="24"/>
  <c r="GP179" i="24"/>
  <c r="GQ179" i="24"/>
  <c r="GR179" i="24"/>
  <c r="GS179" i="24"/>
  <c r="GT179" i="24"/>
  <c r="B180" i="24"/>
  <c r="C180" i="24"/>
  <c r="D180" i="24"/>
  <c r="E180" i="24"/>
  <c r="F180" i="24"/>
  <c r="G180" i="24"/>
  <c r="H180" i="24"/>
  <c r="I180" i="24"/>
  <c r="J180" i="24"/>
  <c r="K180" i="24"/>
  <c r="L180" i="24"/>
  <c r="M180" i="24"/>
  <c r="N180" i="24"/>
  <c r="O180" i="24"/>
  <c r="P180" i="24"/>
  <c r="Q180" i="24"/>
  <c r="R180" i="24"/>
  <c r="S180" i="24"/>
  <c r="T180" i="24"/>
  <c r="U180" i="24"/>
  <c r="V180" i="24"/>
  <c r="W180" i="24"/>
  <c r="X180" i="24"/>
  <c r="Y180" i="24"/>
  <c r="Z180" i="24"/>
  <c r="AA180" i="24"/>
  <c r="AB180" i="24"/>
  <c r="AC180" i="24"/>
  <c r="AD180" i="24"/>
  <c r="AE180" i="24"/>
  <c r="AF180" i="24"/>
  <c r="AG180" i="24"/>
  <c r="AH180" i="24"/>
  <c r="AI180" i="24"/>
  <c r="AJ180" i="24"/>
  <c r="AK180" i="24"/>
  <c r="AL180" i="24"/>
  <c r="AM180" i="24"/>
  <c r="AN180" i="24"/>
  <c r="AO180" i="24"/>
  <c r="AP180" i="24"/>
  <c r="AQ180" i="24"/>
  <c r="AR180" i="24"/>
  <c r="AS180" i="24"/>
  <c r="AT180" i="24"/>
  <c r="AU180" i="24"/>
  <c r="AV180" i="24"/>
  <c r="AW180" i="24"/>
  <c r="AX180" i="24"/>
  <c r="AY180" i="24"/>
  <c r="AZ180" i="24"/>
  <c r="BA180" i="24"/>
  <c r="BB180" i="24"/>
  <c r="BC180" i="24"/>
  <c r="BD180" i="24"/>
  <c r="BE180" i="24"/>
  <c r="BF180" i="24"/>
  <c r="BG180" i="24"/>
  <c r="BH180" i="24"/>
  <c r="BI180" i="24"/>
  <c r="BJ180" i="24"/>
  <c r="BK180" i="24"/>
  <c r="BL180" i="24"/>
  <c r="BM180" i="24"/>
  <c r="BN180" i="24"/>
  <c r="BO180" i="24"/>
  <c r="BP180" i="24"/>
  <c r="BQ180" i="24"/>
  <c r="BR180" i="24"/>
  <c r="BS180" i="24"/>
  <c r="BT180" i="24"/>
  <c r="BU180" i="24"/>
  <c r="BV180" i="24"/>
  <c r="BW180" i="24"/>
  <c r="BX180" i="24"/>
  <c r="BY180" i="24"/>
  <c r="BZ180" i="24"/>
  <c r="CA180" i="24"/>
  <c r="CB180" i="24"/>
  <c r="CC180" i="24"/>
  <c r="CD180" i="24"/>
  <c r="CE180" i="24"/>
  <c r="CF180" i="24"/>
  <c r="CG180" i="24"/>
  <c r="CH180" i="24"/>
  <c r="CI180" i="24"/>
  <c r="CJ180" i="24"/>
  <c r="CK180" i="24"/>
  <c r="CL180" i="24"/>
  <c r="CM180" i="24"/>
  <c r="CN180" i="24"/>
  <c r="CO180" i="24"/>
  <c r="CP180" i="24"/>
  <c r="CQ180" i="24"/>
  <c r="CR180" i="24"/>
  <c r="CS180" i="24"/>
  <c r="CT180" i="24"/>
  <c r="CU180" i="24"/>
  <c r="CV180" i="24"/>
  <c r="CW180" i="24"/>
  <c r="CX180" i="24"/>
  <c r="CY180" i="24"/>
  <c r="CZ180" i="24"/>
  <c r="DA180" i="24"/>
  <c r="DB180" i="24"/>
  <c r="DC180" i="24"/>
  <c r="DD180" i="24"/>
  <c r="DE180" i="24"/>
  <c r="DF180" i="24"/>
  <c r="DG180" i="24"/>
  <c r="DH180" i="24"/>
  <c r="DI180" i="24"/>
  <c r="DJ180" i="24"/>
  <c r="DK180" i="24"/>
  <c r="DL180" i="24"/>
  <c r="DM180" i="24"/>
  <c r="DN180" i="24"/>
  <c r="DO180" i="24"/>
  <c r="DP180" i="24"/>
  <c r="DQ180" i="24"/>
  <c r="DR180" i="24"/>
  <c r="DS180" i="24"/>
  <c r="DT180" i="24"/>
  <c r="DU180" i="24"/>
  <c r="DV180" i="24"/>
  <c r="DW180" i="24"/>
  <c r="DX180" i="24"/>
  <c r="DY180" i="24"/>
  <c r="DZ180" i="24"/>
  <c r="EA180" i="24"/>
  <c r="EB180" i="24"/>
  <c r="EC180" i="24"/>
  <c r="ED180" i="24"/>
  <c r="EE180" i="24"/>
  <c r="EF180" i="24"/>
  <c r="EG180" i="24"/>
  <c r="EH180" i="24"/>
  <c r="EI180" i="24"/>
  <c r="EJ180" i="24"/>
  <c r="EK180" i="24"/>
  <c r="EL180" i="24"/>
  <c r="EM180" i="24"/>
  <c r="EN180" i="24"/>
  <c r="EO180" i="24"/>
  <c r="EP180" i="24"/>
  <c r="EQ180" i="24"/>
  <c r="ER180" i="24"/>
  <c r="ES180" i="24"/>
  <c r="ET180" i="24"/>
  <c r="EU180" i="24"/>
  <c r="EV180" i="24"/>
  <c r="EW180" i="24"/>
  <c r="EX180" i="24"/>
  <c r="EY180" i="24"/>
  <c r="EZ180" i="24"/>
  <c r="FA180" i="24"/>
  <c r="FB180" i="24"/>
  <c r="FC180" i="24"/>
  <c r="FD180" i="24"/>
  <c r="FE180" i="24"/>
  <c r="FF180" i="24"/>
  <c r="FG180" i="24"/>
  <c r="FH180" i="24"/>
  <c r="FI180" i="24"/>
  <c r="FJ180" i="24"/>
  <c r="FK180" i="24"/>
  <c r="FL180" i="24"/>
  <c r="FM180" i="24"/>
  <c r="FN180" i="24"/>
  <c r="FO180" i="24"/>
  <c r="FP180" i="24"/>
  <c r="FQ180" i="24"/>
  <c r="FR180" i="24"/>
  <c r="FS180" i="24"/>
  <c r="FT180" i="24"/>
  <c r="FU180" i="24"/>
  <c r="FV180" i="24"/>
  <c r="FW180" i="24"/>
  <c r="FX180" i="24"/>
  <c r="FY180" i="24"/>
  <c r="FZ180" i="24"/>
  <c r="GA180" i="24"/>
  <c r="GB180" i="24"/>
  <c r="GC180" i="24"/>
  <c r="GD180" i="24"/>
  <c r="GE180" i="24"/>
  <c r="GF180" i="24"/>
  <c r="GG180" i="24"/>
  <c r="GH180" i="24"/>
  <c r="GI180" i="24"/>
  <c r="GJ180" i="24"/>
  <c r="GK180" i="24"/>
  <c r="GL180" i="24"/>
  <c r="GM180" i="24"/>
  <c r="GN180" i="24"/>
  <c r="GO180" i="24"/>
  <c r="GP180" i="24"/>
  <c r="GQ180" i="24"/>
  <c r="GR180" i="24"/>
  <c r="GS180" i="24"/>
  <c r="GT180" i="24"/>
  <c r="B181" i="24"/>
  <c r="C181" i="24"/>
  <c r="D181" i="24"/>
  <c r="E181" i="24"/>
  <c r="F181" i="24"/>
  <c r="G181" i="24"/>
  <c r="H181" i="24"/>
  <c r="I181" i="24"/>
  <c r="J181" i="24"/>
  <c r="K181" i="24"/>
  <c r="L181" i="24"/>
  <c r="M181" i="24"/>
  <c r="N181" i="24"/>
  <c r="O181" i="24"/>
  <c r="P181" i="24"/>
  <c r="Q181" i="24"/>
  <c r="R181" i="24"/>
  <c r="S181" i="24"/>
  <c r="T181" i="24"/>
  <c r="U181" i="24"/>
  <c r="V181" i="24"/>
  <c r="W181" i="24"/>
  <c r="X181" i="24"/>
  <c r="Y181" i="24"/>
  <c r="Z181" i="24"/>
  <c r="AA181" i="24"/>
  <c r="AB181" i="24"/>
  <c r="AC181" i="24"/>
  <c r="AD181" i="24"/>
  <c r="AE181" i="24"/>
  <c r="AF181" i="24"/>
  <c r="AG181" i="24"/>
  <c r="AH181" i="24"/>
  <c r="AI181" i="24"/>
  <c r="AJ181" i="24"/>
  <c r="AK181" i="24"/>
  <c r="AL181" i="24"/>
  <c r="AM181" i="24"/>
  <c r="AN181" i="24"/>
  <c r="AO181" i="24"/>
  <c r="AP181" i="24"/>
  <c r="AQ181" i="24"/>
  <c r="AR181" i="24"/>
  <c r="AS181" i="24"/>
  <c r="AT181" i="24"/>
  <c r="AU181" i="24"/>
  <c r="AV181" i="24"/>
  <c r="AW181" i="24"/>
  <c r="AX181" i="24"/>
  <c r="AY181" i="24"/>
  <c r="AZ181" i="24"/>
  <c r="BA181" i="24"/>
  <c r="BB181" i="24"/>
  <c r="BC181" i="24"/>
  <c r="BD181" i="24"/>
  <c r="BE181" i="24"/>
  <c r="BF181" i="24"/>
  <c r="BG181" i="24"/>
  <c r="BH181" i="24"/>
  <c r="BI181" i="24"/>
  <c r="BJ181" i="24"/>
  <c r="BK181" i="24"/>
  <c r="BL181" i="24"/>
  <c r="BM181" i="24"/>
  <c r="BN181" i="24"/>
  <c r="BO181" i="24"/>
  <c r="BP181" i="24"/>
  <c r="BQ181" i="24"/>
  <c r="BR181" i="24"/>
  <c r="BS181" i="24"/>
  <c r="BT181" i="24"/>
  <c r="BU181" i="24"/>
  <c r="BV181" i="24"/>
  <c r="BW181" i="24"/>
  <c r="BX181" i="24"/>
  <c r="BY181" i="24"/>
  <c r="BZ181" i="24"/>
  <c r="CA181" i="24"/>
  <c r="CB181" i="24"/>
  <c r="CC181" i="24"/>
  <c r="CD181" i="24"/>
  <c r="CE181" i="24"/>
  <c r="CF181" i="24"/>
  <c r="CG181" i="24"/>
  <c r="CH181" i="24"/>
  <c r="CI181" i="24"/>
  <c r="CJ181" i="24"/>
  <c r="CK181" i="24"/>
  <c r="CL181" i="24"/>
  <c r="CM181" i="24"/>
  <c r="CN181" i="24"/>
  <c r="CO181" i="24"/>
  <c r="CP181" i="24"/>
  <c r="CQ181" i="24"/>
  <c r="CR181" i="24"/>
  <c r="CS181" i="24"/>
  <c r="CT181" i="24"/>
  <c r="CU181" i="24"/>
  <c r="CV181" i="24"/>
  <c r="CW181" i="24"/>
  <c r="CX181" i="24"/>
  <c r="CY181" i="24"/>
  <c r="CZ181" i="24"/>
  <c r="DA181" i="24"/>
  <c r="DB181" i="24"/>
  <c r="DC181" i="24"/>
  <c r="DD181" i="24"/>
  <c r="DE181" i="24"/>
  <c r="DF181" i="24"/>
  <c r="DG181" i="24"/>
  <c r="DH181" i="24"/>
  <c r="DI181" i="24"/>
  <c r="DJ181" i="24"/>
  <c r="DK181" i="24"/>
  <c r="DL181" i="24"/>
  <c r="DM181" i="24"/>
  <c r="DN181" i="24"/>
  <c r="DO181" i="24"/>
  <c r="DP181" i="24"/>
  <c r="DQ181" i="24"/>
  <c r="DR181" i="24"/>
  <c r="DS181" i="24"/>
  <c r="DT181" i="24"/>
  <c r="DU181" i="24"/>
  <c r="DV181" i="24"/>
  <c r="DW181" i="24"/>
  <c r="DX181" i="24"/>
  <c r="DY181" i="24"/>
  <c r="DZ181" i="24"/>
  <c r="EA181" i="24"/>
  <c r="EB181" i="24"/>
  <c r="EC181" i="24"/>
  <c r="ED181" i="24"/>
  <c r="EE181" i="24"/>
  <c r="EF181" i="24"/>
  <c r="EG181" i="24"/>
  <c r="EH181" i="24"/>
  <c r="EI181" i="24"/>
  <c r="EJ181" i="24"/>
  <c r="EK181" i="24"/>
  <c r="EL181" i="24"/>
  <c r="EM181" i="24"/>
  <c r="EN181" i="24"/>
  <c r="EO181" i="24"/>
  <c r="EP181" i="24"/>
  <c r="EQ181" i="24"/>
  <c r="ER181" i="24"/>
  <c r="ES181" i="24"/>
  <c r="ET181" i="24"/>
  <c r="EU181" i="24"/>
  <c r="EV181" i="24"/>
  <c r="EW181" i="24"/>
  <c r="EX181" i="24"/>
  <c r="EY181" i="24"/>
  <c r="EZ181" i="24"/>
  <c r="FA181" i="24"/>
  <c r="FB181" i="24"/>
  <c r="FC181" i="24"/>
  <c r="FD181" i="24"/>
  <c r="FE181" i="24"/>
  <c r="FF181" i="24"/>
  <c r="FG181" i="24"/>
  <c r="FH181" i="24"/>
  <c r="FI181" i="24"/>
  <c r="FJ181" i="24"/>
  <c r="FK181" i="24"/>
  <c r="FL181" i="24"/>
  <c r="FM181" i="24"/>
  <c r="FN181" i="24"/>
  <c r="FO181" i="24"/>
  <c r="FP181" i="24"/>
  <c r="FQ181" i="24"/>
  <c r="FR181" i="24"/>
  <c r="FS181" i="24"/>
  <c r="FT181" i="24"/>
  <c r="FU181" i="24"/>
  <c r="FV181" i="24"/>
  <c r="FW181" i="24"/>
  <c r="FX181" i="24"/>
  <c r="FY181" i="24"/>
  <c r="FZ181" i="24"/>
  <c r="GA181" i="24"/>
  <c r="GB181" i="24"/>
  <c r="GC181" i="24"/>
  <c r="GD181" i="24"/>
  <c r="GE181" i="24"/>
  <c r="GF181" i="24"/>
  <c r="GG181" i="24"/>
  <c r="GH181" i="24"/>
  <c r="GI181" i="24"/>
  <c r="GJ181" i="24"/>
  <c r="GK181" i="24"/>
  <c r="GL181" i="24"/>
  <c r="GM181" i="24"/>
  <c r="GN181" i="24"/>
  <c r="GO181" i="24"/>
  <c r="GP181" i="24"/>
  <c r="GQ181" i="24"/>
  <c r="GR181" i="24"/>
  <c r="GS181" i="24"/>
  <c r="GT181" i="24"/>
  <c r="B182" i="24"/>
  <c r="C182" i="24"/>
  <c r="D182" i="24"/>
  <c r="E182" i="24"/>
  <c r="F182" i="24"/>
  <c r="G182" i="24"/>
  <c r="H182" i="24"/>
  <c r="I182" i="24"/>
  <c r="J182" i="24"/>
  <c r="K182" i="24"/>
  <c r="L182" i="24"/>
  <c r="M182" i="24"/>
  <c r="N182" i="24"/>
  <c r="O182" i="24"/>
  <c r="P182" i="24"/>
  <c r="Q182" i="24"/>
  <c r="R182" i="24"/>
  <c r="S182" i="24"/>
  <c r="T182" i="24"/>
  <c r="U182" i="24"/>
  <c r="V182" i="24"/>
  <c r="W182" i="24"/>
  <c r="X182" i="24"/>
  <c r="Y182" i="24"/>
  <c r="Z182" i="24"/>
  <c r="AA182" i="24"/>
  <c r="AB182" i="24"/>
  <c r="AC182" i="24"/>
  <c r="AD182" i="24"/>
  <c r="AE182" i="24"/>
  <c r="AF182" i="24"/>
  <c r="AG182" i="24"/>
  <c r="AH182" i="24"/>
  <c r="AI182" i="24"/>
  <c r="AJ182" i="24"/>
  <c r="AK182" i="24"/>
  <c r="AL182" i="24"/>
  <c r="AM182" i="24"/>
  <c r="AN182" i="24"/>
  <c r="AO182" i="24"/>
  <c r="AP182" i="24"/>
  <c r="AQ182" i="24"/>
  <c r="AR182" i="24"/>
  <c r="AS182" i="24"/>
  <c r="AT182" i="24"/>
  <c r="AU182" i="24"/>
  <c r="AV182" i="24"/>
  <c r="AW182" i="24"/>
  <c r="AX182" i="24"/>
  <c r="AY182" i="24"/>
  <c r="AZ182" i="24"/>
  <c r="BA182" i="24"/>
  <c r="BB182" i="24"/>
  <c r="BC182" i="24"/>
  <c r="BD182" i="24"/>
  <c r="BE182" i="24"/>
  <c r="BF182" i="24"/>
  <c r="BG182" i="24"/>
  <c r="BH182" i="24"/>
  <c r="BI182" i="24"/>
  <c r="BJ182" i="24"/>
  <c r="BK182" i="24"/>
  <c r="BL182" i="24"/>
  <c r="BM182" i="24"/>
  <c r="BN182" i="24"/>
  <c r="BO182" i="24"/>
  <c r="BP182" i="24"/>
  <c r="BQ182" i="24"/>
  <c r="BR182" i="24"/>
  <c r="BS182" i="24"/>
  <c r="BT182" i="24"/>
  <c r="BU182" i="24"/>
  <c r="BV182" i="24"/>
  <c r="BW182" i="24"/>
  <c r="BX182" i="24"/>
  <c r="BY182" i="24"/>
  <c r="BZ182" i="24"/>
  <c r="CA182" i="24"/>
  <c r="CB182" i="24"/>
  <c r="CC182" i="24"/>
  <c r="CD182" i="24"/>
  <c r="CE182" i="24"/>
  <c r="CF182" i="24"/>
  <c r="CG182" i="24"/>
  <c r="CH182" i="24"/>
  <c r="CI182" i="24"/>
  <c r="CJ182" i="24"/>
  <c r="CK182" i="24"/>
  <c r="CL182" i="24"/>
  <c r="CM182" i="24"/>
  <c r="CN182" i="24"/>
  <c r="CO182" i="24"/>
  <c r="CP182" i="24"/>
  <c r="CQ182" i="24"/>
  <c r="CR182" i="24"/>
  <c r="CS182" i="24"/>
  <c r="CT182" i="24"/>
  <c r="CU182" i="24"/>
  <c r="CV182" i="24"/>
  <c r="CW182" i="24"/>
  <c r="CX182" i="24"/>
  <c r="CY182" i="24"/>
  <c r="CZ182" i="24"/>
  <c r="DA182" i="24"/>
  <c r="DB182" i="24"/>
  <c r="DC182" i="24"/>
  <c r="DD182" i="24"/>
  <c r="DE182" i="24"/>
  <c r="DF182" i="24"/>
  <c r="DG182" i="24"/>
  <c r="DH182" i="24"/>
  <c r="DI182" i="24"/>
  <c r="DJ182" i="24"/>
  <c r="DK182" i="24"/>
  <c r="DL182" i="24"/>
  <c r="DM182" i="24"/>
  <c r="DN182" i="24"/>
  <c r="DO182" i="24"/>
  <c r="DP182" i="24"/>
  <c r="DQ182" i="24"/>
  <c r="DR182" i="24"/>
  <c r="DS182" i="24"/>
  <c r="DT182" i="24"/>
  <c r="DU182" i="24"/>
  <c r="DV182" i="24"/>
  <c r="DW182" i="24"/>
  <c r="DX182" i="24"/>
  <c r="DY182" i="24"/>
  <c r="DZ182" i="24"/>
  <c r="EA182" i="24"/>
  <c r="EB182" i="24"/>
  <c r="EC182" i="24"/>
  <c r="ED182" i="24"/>
  <c r="EE182" i="24"/>
  <c r="EF182" i="24"/>
  <c r="EG182" i="24"/>
  <c r="EH182" i="24"/>
  <c r="EI182" i="24"/>
  <c r="EJ182" i="24"/>
  <c r="EK182" i="24"/>
  <c r="EL182" i="24"/>
  <c r="EM182" i="24"/>
  <c r="EN182" i="24"/>
  <c r="EO182" i="24"/>
  <c r="EP182" i="24"/>
  <c r="EQ182" i="24"/>
  <c r="ER182" i="24"/>
  <c r="ES182" i="24"/>
  <c r="ET182" i="24"/>
  <c r="EU182" i="24"/>
  <c r="EV182" i="24"/>
  <c r="EW182" i="24"/>
  <c r="EX182" i="24"/>
  <c r="EY182" i="24"/>
  <c r="EZ182" i="24"/>
  <c r="FA182" i="24"/>
  <c r="FB182" i="24"/>
  <c r="FC182" i="24"/>
  <c r="FD182" i="24"/>
  <c r="FE182" i="24"/>
  <c r="FF182" i="24"/>
  <c r="FG182" i="24"/>
  <c r="FH182" i="24"/>
  <c r="FI182" i="24"/>
  <c r="FJ182" i="24"/>
  <c r="FK182" i="24"/>
  <c r="FL182" i="24"/>
  <c r="FM182" i="24"/>
  <c r="FN182" i="24"/>
  <c r="FO182" i="24"/>
  <c r="FP182" i="24"/>
  <c r="FQ182" i="24"/>
  <c r="FR182" i="24"/>
  <c r="FS182" i="24"/>
  <c r="FT182" i="24"/>
  <c r="FU182" i="24"/>
  <c r="FV182" i="24"/>
  <c r="FW182" i="24"/>
  <c r="FX182" i="24"/>
  <c r="FY182" i="24"/>
  <c r="FZ182" i="24"/>
  <c r="GA182" i="24"/>
  <c r="GB182" i="24"/>
  <c r="GC182" i="24"/>
  <c r="GD182" i="24"/>
  <c r="GE182" i="24"/>
  <c r="GF182" i="24"/>
  <c r="GG182" i="24"/>
  <c r="GH182" i="24"/>
  <c r="GI182" i="24"/>
  <c r="GJ182" i="24"/>
  <c r="GK182" i="24"/>
  <c r="GL182" i="24"/>
  <c r="GM182" i="24"/>
  <c r="GN182" i="24"/>
  <c r="GO182" i="24"/>
  <c r="GP182" i="24"/>
  <c r="GQ182" i="24"/>
  <c r="GR182" i="24"/>
  <c r="GS182" i="24"/>
  <c r="GT182" i="24"/>
  <c r="B183" i="24"/>
  <c r="C183" i="24"/>
  <c r="D183" i="24"/>
  <c r="E183" i="24"/>
  <c r="F183" i="24"/>
  <c r="G183" i="24"/>
  <c r="H183" i="24"/>
  <c r="I183" i="24"/>
  <c r="J183" i="24"/>
  <c r="K183" i="24"/>
  <c r="L183" i="24"/>
  <c r="M183" i="24"/>
  <c r="N183" i="24"/>
  <c r="O183" i="24"/>
  <c r="P183" i="24"/>
  <c r="Q183" i="24"/>
  <c r="R183" i="24"/>
  <c r="S183" i="24"/>
  <c r="T183" i="24"/>
  <c r="U183" i="24"/>
  <c r="V183" i="24"/>
  <c r="W183" i="24"/>
  <c r="X183" i="24"/>
  <c r="Y183" i="24"/>
  <c r="Z183" i="24"/>
  <c r="AA183" i="24"/>
  <c r="AB183" i="24"/>
  <c r="AC183" i="24"/>
  <c r="AD183" i="24"/>
  <c r="AE183" i="24"/>
  <c r="AF183" i="24"/>
  <c r="AG183" i="24"/>
  <c r="AH183" i="24"/>
  <c r="AI183" i="24"/>
  <c r="AJ183" i="24"/>
  <c r="AK183" i="24"/>
  <c r="AL183" i="24"/>
  <c r="AM183" i="24"/>
  <c r="AN183" i="24"/>
  <c r="AO183" i="24"/>
  <c r="AP183" i="24"/>
  <c r="AQ183" i="24"/>
  <c r="AR183" i="24"/>
  <c r="AS183" i="24"/>
  <c r="AT183" i="24"/>
  <c r="AU183" i="24"/>
  <c r="AV183" i="24"/>
  <c r="AW183" i="24"/>
  <c r="AX183" i="24"/>
  <c r="AY183" i="24"/>
  <c r="AZ183" i="24"/>
  <c r="BA183" i="24"/>
  <c r="BB183" i="24"/>
  <c r="BC183" i="24"/>
  <c r="BD183" i="24"/>
  <c r="BE183" i="24"/>
  <c r="BF183" i="24"/>
  <c r="BG183" i="24"/>
  <c r="BH183" i="24"/>
  <c r="BI183" i="24"/>
  <c r="BJ183" i="24"/>
  <c r="BK183" i="24"/>
  <c r="BL183" i="24"/>
  <c r="BM183" i="24"/>
  <c r="BN183" i="24"/>
  <c r="BO183" i="24"/>
  <c r="BP183" i="24"/>
  <c r="BQ183" i="24"/>
  <c r="BR183" i="24"/>
  <c r="BS183" i="24"/>
  <c r="BT183" i="24"/>
  <c r="BU183" i="24"/>
  <c r="BV183" i="24"/>
  <c r="BW183" i="24"/>
  <c r="BX183" i="24"/>
  <c r="BY183" i="24"/>
  <c r="BZ183" i="24"/>
  <c r="CA183" i="24"/>
  <c r="CB183" i="24"/>
  <c r="CC183" i="24"/>
  <c r="CD183" i="24"/>
  <c r="CE183" i="24"/>
  <c r="CF183" i="24"/>
  <c r="CG183" i="24"/>
  <c r="CH183" i="24"/>
  <c r="CI183" i="24"/>
  <c r="CJ183" i="24"/>
  <c r="CK183" i="24"/>
  <c r="CL183" i="24"/>
  <c r="CM183" i="24"/>
  <c r="CN183" i="24"/>
  <c r="CO183" i="24"/>
  <c r="CP183" i="24"/>
  <c r="CQ183" i="24"/>
  <c r="CR183" i="24"/>
  <c r="CS183" i="24"/>
  <c r="CT183" i="24"/>
  <c r="CU183" i="24"/>
  <c r="CV183" i="24"/>
  <c r="CW183" i="24"/>
  <c r="CX183" i="24"/>
  <c r="CY183" i="24"/>
  <c r="CZ183" i="24"/>
  <c r="DA183" i="24"/>
  <c r="DB183" i="24"/>
  <c r="DC183" i="24"/>
  <c r="DD183" i="24"/>
  <c r="DE183" i="24"/>
  <c r="DF183" i="24"/>
  <c r="DG183" i="24"/>
  <c r="DH183" i="24"/>
  <c r="DI183" i="24"/>
  <c r="DJ183" i="24"/>
  <c r="DK183" i="24"/>
  <c r="DL183" i="24"/>
  <c r="DM183" i="24"/>
  <c r="DN183" i="24"/>
  <c r="DO183" i="24"/>
  <c r="DP183" i="24"/>
  <c r="DQ183" i="24"/>
  <c r="DR183" i="24"/>
  <c r="DS183" i="24"/>
  <c r="DT183" i="24"/>
  <c r="DU183" i="24"/>
  <c r="DV183" i="24"/>
  <c r="DW183" i="24"/>
  <c r="DX183" i="24"/>
  <c r="DY183" i="24"/>
  <c r="DZ183" i="24"/>
  <c r="EA183" i="24"/>
  <c r="EB183" i="24"/>
  <c r="EC183" i="24"/>
  <c r="ED183" i="24"/>
  <c r="EE183" i="24"/>
  <c r="EF183" i="24"/>
  <c r="EG183" i="24"/>
  <c r="EH183" i="24"/>
  <c r="EI183" i="24"/>
  <c r="EJ183" i="24"/>
  <c r="EK183" i="24"/>
  <c r="EL183" i="24"/>
  <c r="EM183" i="24"/>
  <c r="EN183" i="24"/>
  <c r="EO183" i="24"/>
  <c r="EP183" i="24"/>
  <c r="EQ183" i="24"/>
  <c r="ER183" i="24"/>
  <c r="ES183" i="24"/>
  <c r="ET183" i="24"/>
  <c r="EU183" i="24"/>
  <c r="EV183" i="24"/>
  <c r="EW183" i="24"/>
  <c r="EX183" i="24"/>
  <c r="EY183" i="24"/>
  <c r="EZ183" i="24"/>
  <c r="FA183" i="24"/>
  <c r="FB183" i="24"/>
  <c r="FC183" i="24"/>
  <c r="FD183" i="24"/>
  <c r="FE183" i="24"/>
  <c r="FF183" i="24"/>
  <c r="FG183" i="24"/>
  <c r="FH183" i="24"/>
  <c r="FI183" i="24"/>
  <c r="FJ183" i="24"/>
  <c r="FK183" i="24"/>
  <c r="FL183" i="24"/>
  <c r="FM183" i="24"/>
  <c r="FN183" i="24"/>
  <c r="FO183" i="24"/>
  <c r="FP183" i="24"/>
  <c r="FQ183" i="24"/>
  <c r="FR183" i="24"/>
  <c r="FS183" i="24"/>
  <c r="FT183" i="24"/>
  <c r="FU183" i="24"/>
  <c r="FV183" i="24"/>
  <c r="FW183" i="24"/>
  <c r="FX183" i="24"/>
  <c r="FY183" i="24"/>
  <c r="FZ183" i="24"/>
  <c r="GA183" i="24"/>
  <c r="GB183" i="24"/>
  <c r="GC183" i="24"/>
  <c r="GD183" i="24"/>
  <c r="GE183" i="24"/>
  <c r="GF183" i="24"/>
  <c r="GG183" i="24"/>
  <c r="GH183" i="24"/>
  <c r="GI183" i="24"/>
  <c r="GJ183" i="24"/>
  <c r="GK183" i="24"/>
  <c r="GL183" i="24"/>
  <c r="GM183" i="24"/>
  <c r="GN183" i="24"/>
  <c r="GO183" i="24"/>
  <c r="GP183" i="24"/>
  <c r="GQ183" i="24"/>
  <c r="GR183" i="24"/>
  <c r="GS183" i="24"/>
  <c r="GT183" i="24"/>
  <c r="B184" i="24"/>
  <c r="C184" i="24"/>
  <c r="D184" i="24"/>
  <c r="E184" i="24"/>
  <c r="F184" i="24"/>
  <c r="G184" i="24"/>
  <c r="H184" i="24"/>
  <c r="I184" i="24"/>
  <c r="J184" i="24"/>
  <c r="K184" i="24"/>
  <c r="L184" i="24"/>
  <c r="M184" i="24"/>
  <c r="N184" i="24"/>
  <c r="O184" i="24"/>
  <c r="P184" i="24"/>
  <c r="Q184" i="24"/>
  <c r="R184" i="24"/>
  <c r="S184" i="24"/>
  <c r="T184" i="24"/>
  <c r="U184" i="24"/>
  <c r="V184" i="24"/>
  <c r="W184" i="24"/>
  <c r="X184" i="24"/>
  <c r="Y184" i="24"/>
  <c r="Z184" i="24"/>
  <c r="AA184" i="24"/>
  <c r="AB184" i="24"/>
  <c r="AC184" i="24"/>
  <c r="AD184" i="24"/>
  <c r="AE184" i="24"/>
  <c r="AF184" i="24"/>
  <c r="AG184" i="24"/>
  <c r="AH184" i="24"/>
  <c r="AI184" i="24"/>
  <c r="AJ184" i="24"/>
  <c r="AK184" i="24"/>
  <c r="AL184" i="24"/>
  <c r="AM184" i="24"/>
  <c r="AN184" i="24"/>
  <c r="AO184" i="24"/>
  <c r="AP184" i="24"/>
  <c r="AQ184" i="24"/>
  <c r="AR184" i="24"/>
  <c r="AS184" i="24"/>
  <c r="AT184" i="24"/>
  <c r="AU184" i="24"/>
  <c r="AV184" i="24"/>
  <c r="AW184" i="24"/>
  <c r="AX184" i="24"/>
  <c r="AY184" i="24"/>
  <c r="AZ184" i="24"/>
  <c r="BA184" i="24"/>
  <c r="BB184" i="24"/>
  <c r="BC184" i="24"/>
  <c r="BD184" i="24"/>
  <c r="BE184" i="24"/>
  <c r="BF184" i="24"/>
  <c r="BG184" i="24"/>
  <c r="BH184" i="24"/>
  <c r="BI184" i="24"/>
  <c r="BJ184" i="24"/>
  <c r="BK184" i="24"/>
  <c r="BL184" i="24"/>
  <c r="BM184" i="24"/>
  <c r="BN184" i="24"/>
  <c r="BO184" i="24"/>
  <c r="BP184" i="24"/>
  <c r="BQ184" i="24"/>
  <c r="BR184" i="24"/>
  <c r="BS184" i="24"/>
  <c r="BT184" i="24"/>
  <c r="BU184" i="24"/>
  <c r="BV184" i="24"/>
  <c r="BW184" i="24"/>
  <c r="BX184" i="24"/>
  <c r="BY184" i="24"/>
  <c r="BZ184" i="24"/>
  <c r="CA184" i="24"/>
  <c r="CB184" i="24"/>
  <c r="CC184" i="24"/>
  <c r="CD184" i="24"/>
  <c r="CE184" i="24"/>
  <c r="CF184" i="24"/>
  <c r="CG184" i="24"/>
  <c r="CH184" i="24"/>
  <c r="CI184" i="24"/>
  <c r="CJ184" i="24"/>
  <c r="CK184" i="24"/>
  <c r="CL184" i="24"/>
  <c r="CM184" i="24"/>
  <c r="CN184" i="24"/>
  <c r="CO184" i="24"/>
  <c r="CP184" i="24"/>
  <c r="CQ184" i="24"/>
  <c r="CR184" i="24"/>
  <c r="CS184" i="24"/>
  <c r="CT184" i="24"/>
  <c r="CU184" i="24"/>
  <c r="CV184" i="24"/>
  <c r="CW184" i="24"/>
  <c r="CX184" i="24"/>
  <c r="CY184" i="24"/>
  <c r="CZ184" i="24"/>
  <c r="DA184" i="24"/>
  <c r="DB184" i="24"/>
  <c r="DC184" i="24"/>
  <c r="DD184" i="24"/>
  <c r="DE184" i="24"/>
  <c r="DF184" i="24"/>
  <c r="DG184" i="24"/>
  <c r="DH184" i="24"/>
  <c r="DI184" i="24"/>
  <c r="DJ184" i="24"/>
  <c r="DK184" i="24"/>
  <c r="DL184" i="24"/>
  <c r="DM184" i="24"/>
  <c r="DN184" i="24"/>
  <c r="DO184" i="24"/>
  <c r="DP184" i="24"/>
  <c r="DQ184" i="24"/>
  <c r="DR184" i="24"/>
  <c r="DS184" i="24"/>
  <c r="DT184" i="24"/>
  <c r="DU184" i="24"/>
  <c r="DV184" i="24"/>
  <c r="DW184" i="24"/>
  <c r="DX184" i="24"/>
  <c r="DY184" i="24"/>
  <c r="DZ184" i="24"/>
  <c r="EA184" i="24"/>
  <c r="EB184" i="24"/>
  <c r="EC184" i="24"/>
  <c r="ED184" i="24"/>
  <c r="EE184" i="24"/>
  <c r="EF184" i="24"/>
  <c r="EG184" i="24"/>
  <c r="EH184" i="24"/>
  <c r="EI184" i="24"/>
  <c r="EJ184" i="24"/>
  <c r="EK184" i="24"/>
  <c r="EL184" i="24"/>
  <c r="EM184" i="24"/>
  <c r="EN184" i="24"/>
  <c r="EO184" i="24"/>
  <c r="EP184" i="24"/>
  <c r="EQ184" i="24"/>
  <c r="ER184" i="24"/>
  <c r="ES184" i="24"/>
  <c r="ET184" i="24"/>
  <c r="EU184" i="24"/>
  <c r="EV184" i="24"/>
  <c r="EW184" i="24"/>
  <c r="EX184" i="24"/>
  <c r="EY184" i="24"/>
  <c r="EZ184" i="24"/>
  <c r="FA184" i="24"/>
  <c r="FB184" i="24"/>
  <c r="FC184" i="24"/>
  <c r="FD184" i="24"/>
  <c r="FE184" i="24"/>
  <c r="FF184" i="24"/>
  <c r="FG184" i="24"/>
  <c r="FH184" i="24"/>
  <c r="FI184" i="24"/>
  <c r="FJ184" i="24"/>
  <c r="FK184" i="24"/>
  <c r="FL184" i="24"/>
  <c r="FM184" i="24"/>
  <c r="FN184" i="24"/>
  <c r="FO184" i="24"/>
  <c r="FP184" i="24"/>
  <c r="FQ184" i="24"/>
  <c r="FR184" i="24"/>
  <c r="FS184" i="24"/>
  <c r="FT184" i="24"/>
  <c r="FU184" i="24"/>
  <c r="FV184" i="24"/>
  <c r="FW184" i="24"/>
  <c r="FX184" i="24"/>
  <c r="FY184" i="24"/>
  <c r="FZ184" i="24"/>
  <c r="GA184" i="24"/>
  <c r="GB184" i="24"/>
  <c r="GC184" i="24"/>
  <c r="GD184" i="24"/>
  <c r="GE184" i="24"/>
  <c r="GF184" i="24"/>
  <c r="GG184" i="24"/>
  <c r="GH184" i="24"/>
  <c r="GI184" i="24"/>
  <c r="GJ184" i="24"/>
  <c r="GK184" i="24"/>
  <c r="GL184" i="24"/>
  <c r="GM184" i="24"/>
  <c r="GN184" i="24"/>
  <c r="GO184" i="24"/>
  <c r="GP184" i="24"/>
  <c r="GQ184" i="24"/>
  <c r="GR184" i="24"/>
  <c r="GS184" i="24"/>
  <c r="GT184" i="24"/>
  <c r="B185" i="24"/>
  <c r="C185" i="24"/>
  <c r="D185" i="24"/>
  <c r="E185" i="24"/>
  <c r="F185" i="24"/>
  <c r="G185" i="24"/>
  <c r="H185" i="24"/>
  <c r="I185" i="24"/>
  <c r="J185" i="24"/>
  <c r="K185" i="24"/>
  <c r="L185" i="24"/>
  <c r="M185" i="24"/>
  <c r="N185" i="24"/>
  <c r="O185" i="24"/>
  <c r="P185" i="24"/>
  <c r="Q185" i="24"/>
  <c r="R185" i="24"/>
  <c r="S185" i="24"/>
  <c r="T185" i="24"/>
  <c r="U185" i="24"/>
  <c r="V185" i="24"/>
  <c r="W185" i="24"/>
  <c r="X185" i="24"/>
  <c r="Y185" i="24"/>
  <c r="Z185" i="24"/>
  <c r="AA185" i="24"/>
  <c r="AB185" i="24"/>
  <c r="AC185" i="24"/>
  <c r="AD185" i="24"/>
  <c r="AE185" i="24"/>
  <c r="AF185" i="24"/>
  <c r="AG185" i="24"/>
  <c r="AH185" i="24"/>
  <c r="AI185" i="24"/>
  <c r="AJ185" i="24"/>
  <c r="AK185" i="24"/>
  <c r="AL185" i="24"/>
  <c r="AM185" i="24"/>
  <c r="AN185" i="24"/>
  <c r="AO185" i="24"/>
  <c r="AP185" i="24"/>
  <c r="AQ185" i="24"/>
  <c r="AR185" i="24"/>
  <c r="AS185" i="24"/>
  <c r="AT185" i="24"/>
  <c r="AU185" i="24"/>
  <c r="AV185" i="24"/>
  <c r="AW185" i="24"/>
  <c r="AX185" i="24"/>
  <c r="AY185" i="24"/>
  <c r="AZ185" i="24"/>
  <c r="BA185" i="24"/>
  <c r="BB185" i="24"/>
  <c r="BC185" i="24"/>
  <c r="BD185" i="24"/>
  <c r="BE185" i="24"/>
  <c r="BF185" i="24"/>
  <c r="BG185" i="24"/>
  <c r="BH185" i="24"/>
  <c r="BI185" i="24"/>
  <c r="BJ185" i="24"/>
  <c r="BK185" i="24"/>
  <c r="BL185" i="24"/>
  <c r="BM185" i="24"/>
  <c r="BN185" i="24"/>
  <c r="BO185" i="24"/>
  <c r="BP185" i="24"/>
  <c r="BQ185" i="24"/>
  <c r="BR185" i="24"/>
  <c r="BS185" i="24"/>
  <c r="BT185" i="24"/>
  <c r="BU185" i="24"/>
  <c r="BV185" i="24"/>
  <c r="BW185" i="24"/>
  <c r="BX185" i="24"/>
  <c r="BY185" i="24"/>
  <c r="BZ185" i="24"/>
  <c r="CA185" i="24"/>
  <c r="CB185" i="24"/>
  <c r="CC185" i="24"/>
  <c r="CD185" i="24"/>
  <c r="CE185" i="24"/>
  <c r="CF185" i="24"/>
  <c r="CG185" i="24"/>
  <c r="CH185" i="24"/>
  <c r="CI185" i="24"/>
  <c r="CJ185" i="24"/>
  <c r="CK185" i="24"/>
  <c r="CL185" i="24"/>
  <c r="CM185" i="24"/>
  <c r="CN185" i="24"/>
  <c r="CO185" i="24"/>
  <c r="CP185" i="24"/>
  <c r="CQ185" i="24"/>
  <c r="CR185" i="24"/>
  <c r="CS185" i="24"/>
  <c r="CT185" i="24"/>
  <c r="CU185" i="24"/>
  <c r="CV185" i="24"/>
  <c r="CW185" i="24"/>
  <c r="CX185" i="24"/>
  <c r="CY185" i="24"/>
  <c r="CZ185" i="24"/>
  <c r="DA185" i="24"/>
  <c r="DB185" i="24"/>
  <c r="DC185" i="24"/>
  <c r="DD185" i="24"/>
  <c r="DE185" i="24"/>
  <c r="DF185" i="24"/>
  <c r="DG185" i="24"/>
  <c r="DH185" i="24"/>
  <c r="DI185" i="24"/>
  <c r="DJ185" i="24"/>
  <c r="DK185" i="24"/>
  <c r="DL185" i="24"/>
  <c r="DM185" i="24"/>
  <c r="DN185" i="24"/>
  <c r="DO185" i="24"/>
  <c r="DP185" i="24"/>
  <c r="DQ185" i="24"/>
  <c r="DR185" i="24"/>
  <c r="DS185" i="24"/>
  <c r="DT185" i="24"/>
  <c r="DU185" i="24"/>
  <c r="DV185" i="24"/>
  <c r="DW185" i="24"/>
  <c r="DX185" i="24"/>
  <c r="DY185" i="24"/>
  <c r="DZ185" i="24"/>
  <c r="EA185" i="24"/>
  <c r="EB185" i="24"/>
  <c r="EC185" i="24"/>
  <c r="ED185" i="24"/>
  <c r="EE185" i="24"/>
  <c r="EF185" i="24"/>
  <c r="EG185" i="24"/>
  <c r="EH185" i="24"/>
  <c r="EI185" i="24"/>
  <c r="EJ185" i="24"/>
  <c r="EK185" i="24"/>
  <c r="EL185" i="24"/>
  <c r="EM185" i="24"/>
  <c r="EN185" i="24"/>
  <c r="EO185" i="24"/>
  <c r="EP185" i="24"/>
  <c r="EQ185" i="24"/>
  <c r="ER185" i="24"/>
  <c r="ES185" i="24"/>
  <c r="ET185" i="24"/>
  <c r="EU185" i="24"/>
  <c r="EV185" i="24"/>
  <c r="EW185" i="24"/>
  <c r="EX185" i="24"/>
  <c r="EY185" i="24"/>
  <c r="EZ185" i="24"/>
  <c r="FA185" i="24"/>
  <c r="FB185" i="24"/>
  <c r="FC185" i="24"/>
  <c r="FD185" i="24"/>
  <c r="FE185" i="24"/>
  <c r="FF185" i="24"/>
  <c r="FG185" i="24"/>
  <c r="FH185" i="24"/>
  <c r="FI185" i="24"/>
  <c r="FJ185" i="24"/>
  <c r="FK185" i="24"/>
  <c r="FL185" i="24"/>
  <c r="FM185" i="24"/>
  <c r="FN185" i="24"/>
  <c r="FO185" i="24"/>
  <c r="FP185" i="24"/>
  <c r="FQ185" i="24"/>
  <c r="FR185" i="24"/>
  <c r="FS185" i="24"/>
  <c r="FT185" i="24"/>
  <c r="FU185" i="24"/>
  <c r="FV185" i="24"/>
  <c r="FW185" i="24"/>
  <c r="FX185" i="24"/>
  <c r="FY185" i="24"/>
  <c r="FZ185" i="24"/>
  <c r="GA185" i="24"/>
  <c r="GB185" i="24"/>
  <c r="GC185" i="24"/>
  <c r="GD185" i="24"/>
  <c r="GE185" i="24"/>
  <c r="GF185" i="24"/>
  <c r="GG185" i="24"/>
  <c r="GH185" i="24"/>
  <c r="GI185" i="24"/>
  <c r="GJ185" i="24"/>
  <c r="GK185" i="24"/>
  <c r="GL185" i="24"/>
  <c r="GM185" i="24"/>
  <c r="GN185" i="24"/>
  <c r="GO185" i="24"/>
  <c r="GP185" i="24"/>
  <c r="GQ185" i="24"/>
  <c r="GR185" i="24"/>
  <c r="GS185" i="24"/>
  <c r="GT185" i="24"/>
  <c r="B186" i="24"/>
  <c r="C186" i="24"/>
  <c r="D186" i="24"/>
  <c r="E186" i="24"/>
  <c r="F186" i="24"/>
  <c r="G186" i="24"/>
  <c r="H186" i="24"/>
  <c r="I186" i="24"/>
  <c r="J186" i="24"/>
  <c r="K186" i="24"/>
  <c r="L186" i="24"/>
  <c r="M186" i="24"/>
  <c r="N186" i="24"/>
  <c r="O186" i="24"/>
  <c r="P186" i="24"/>
  <c r="Q186" i="24"/>
  <c r="R186" i="24"/>
  <c r="S186" i="24"/>
  <c r="T186" i="24"/>
  <c r="U186" i="24"/>
  <c r="V186" i="24"/>
  <c r="W186" i="24"/>
  <c r="X186" i="24"/>
  <c r="Y186" i="24"/>
  <c r="Z186" i="24"/>
  <c r="AA186" i="24"/>
  <c r="AB186" i="24"/>
  <c r="AC186" i="24"/>
  <c r="AD186" i="24"/>
  <c r="AE186" i="24"/>
  <c r="AF186" i="24"/>
  <c r="AG186" i="24"/>
  <c r="AH186" i="24"/>
  <c r="AI186" i="24"/>
  <c r="AJ186" i="24"/>
  <c r="AK186" i="24"/>
  <c r="AL186" i="24"/>
  <c r="AM186" i="24"/>
  <c r="AN186" i="24"/>
  <c r="AO186" i="24"/>
  <c r="AP186" i="24"/>
  <c r="AQ186" i="24"/>
  <c r="AR186" i="24"/>
  <c r="AS186" i="24"/>
  <c r="AT186" i="24"/>
  <c r="AU186" i="24"/>
  <c r="AV186" i="24"/>
  <c r="AW186" i="24"/>
  <c r="AX186" i="24"/>
  <c r="AY186" i="24"/>
  <c r="AZ186" i="24"/>
  <c r="BA186" i="24"/>
  <c r="BB186" i="24"/>
  <c r="BC186" i="24"/>
  <c r="BD186" i="24"/>
  <c r="BE186" i="24"/>
  <c r="BF186" i="24"/>
  <c r="BG186" i="24"/>
  <c r="BH186" i="24"/>
  <c r="BI186" i="24"/>
  <c r="BJ186" i="24"/>
  <c r="BK186" i="24"/>
  <c r="BL186" i="24"/>
  <c r="BM186" i="24"/>
  <c r="BN186" i="24"/>
  <c r="BO186" i="24"/>
  <c r="BP186" i="24"/>
  <c r="BQ186" i="24"/>
  <c r="BR186" i="24"/>
  <c r="BS186" i="24"/>
  <c r="BT186" i="24"/>
  <c r="BU186" i="24"/>
  <c r="BV186" i="24"/>
  <c r="BW186" i="24"/>
  <c r="BX186" i="24"/>
  <c r="BY186" i="24"/>
  <c r="BZ186" i="24"/>
  <c r="CA186" i="24"/>
  <c r="CB186" i="24"/>
  <c r="CC186" i="24"/>
  <c r="CD186" i="24"/>
  <c r="CE186" i="24"/>
  <c r="CF186" i="24"/>
  <c r="CG186" i="24"/>
  <c r="CH186" i="24"/>
  <c r="CI186" i="24"/>
  <c r="CJ186" i="24"/>
  <c r="CK186" i="24"/>
  <c r="CL186" i="24"/>
  <c r="CM186" i="24"/>
  <c r="CN186" i="24"/>
  <c r="CO186" i="24"/>
  <c r="CP186" i="24"/>
  <c r="CQ186" i="24"/>
  <c r="CR186" i="24"/>
  <c r="CS186" i="24"/>
  <c r="CT186" i="24"/>
  <c r="CU186" i="24"/>
  <c r="CV186" i="24"/>
  <c r="CW186" i="24"/>
  <c r="CX186" i="24"/>
  <c r="CY186" i="24"/>
  <c r="CZ186" i="24"/>
  <c r="DA186" i="24"/>
  <c r="DB186" i="24"/>
  <c r="DC186" i="24"/>
  <c r="DD186" i="24"/>
  <c r="DE186" i="24"/>
  <c r="DF186" i="24"/>
  <c r="DG186" i="24"/>
  <c r="DH186" i="24"/>
  <c r="DI186" i="24"/>
  <c r="DJ186" i="24"/>
  <c r="DK186" i="24"/>
  <c r="DL186" i="24"/>
  <c r="DM186" i="24"/>
  <c r="DN186" i="24"/>
  <c r="DO186" i="24"/>
  <c r="DP186" i="24"/>
  <c r="DQ186" i="24"/>
  <c r="DR186" i="24"/>
  <c r="DS186" i="24"/>
  <c r="DT186" i="24"/>
  <c r="DU186" i="24"/>
  <c r="DV186" i="24"/>
  <c r="DW186" i="24"/>
  <c r="DX186" i="24"/>
  <c r="DY186" i="24"/>
  <c r="DZ186" i="24"/>
  <c r="EA186" i="24"/>
  <c r="EB186" i="24"/>
  <c r="EC186" i="24"/>
  <c r="ED186" i="24"/>
  <c r="EE186" i="24"/>
  <c r="EF186" i="24"/>
  <c r="EG186" i="24"/>
  <c r="EH186" i="24"/>
  <c r="EI186" i="24"/>
  <c r="EJ186" i="24"/>
  <c r="EK186" i="24"/>
  <c r="EL186" i="24"/>
  <c r="EM186" i="24"/>
  <c r="EN186" i="24"/>
  <c r="EO186" i="24"/>
  <c r="EP186" i="24"/>
  <c r="EQ186" i="24"/>
  <c r="ER186" i="24"/>
  <c r="ES186" i="24"/>
  <c r="ET186" i="24"/>
  <c r="EU186" i="24"/>
  <c r="EV186" i="24"/>
  <c r="EW186" i="24"/>
  <c r="EX186" i="24"/>
  <c r="EY186" i="24"/>
  <c r="EZ186" i="24"/>
  <c r="FA186" i="24"/>
  <c r="FB186" i="24"/>
  <c r="FC186" i="24"/>
  <c r="FD186" i="24"/>
  <c r="FE186" i="24"/>
  <c r="FF186" i="24"/>
  <c r="FG186" i="24"/>
  <c r="FH186" i="24"/>
  <c r="FI186" i="24"/>
  <c r="FJ186" i="24"/>
  <c r="FK186" i="24"/>
  <c r="FL186" i="24"/>
  <c r="FM186" i="24"/>
  <c r="FN186" i="24"/>
  <c r="FO186" i="24"/>
  <c r="FP186" i="24"/>
  <c r="FQ186" i="24"/>
  <c r="FR186" i="24"/>
  <c r="FS186" i="24"/>
  <c r="FT186" i="24"/>
  <c r="FU186" i="24"/>
  <c r="FV186" i="24"/>
  <c r="FW186" i="24"/>
  <c r="FX186" i="24"/>
  <c r="FY186" i="24"/>
  <c r="FZ186" i="24"/>
  <c r="GA186" i="24"/>
  <c r="GB186" i="24"/>
  <c r="GC186" i="24"/>
  <c r="GD186" i="24"/>
  <c r="GE186" i="24"/>
  <c r="GF186" i="24"/>
  <c r="GG186" i="24"/>
  <c r="GH186" i="24"/>
  <c r="GI186" i="24"/>
  <c r="GJ186" i="24"/>
  <c r="GK186" i="24"/>
  <c r="GL186" i="24"/>
  <c r="GM186" i="24"/>
  <c r="GN186" i="24"/>
  <c r="GO186" i="24"/>
  <c r="GP186" i="24"/>
  <c r="GQ186" i="24"/>
  <c r="GR186" i="24"/>
  <c r="GS186" i="24"/>
  <c r="GT186" i="24"/>
  <c r="B187" i="24"/>
  <c r="C187" i="24"/>
  <c r="D187" i="24"/>
  <c r="E187" i="24"/>
  <c r="F187" i="24"/>
  <c r="G187" i="24"/>
  <c r="H187" i="24"/>
  <c r="I187" i="24"/>
  <c r="J187" i="24"/>
  <c r="K187" i="24"/>
  <c r="L187" i="24"/>
  <c r="M187" i="24"/>
  <c r="N187" i="24"/>
  <c r="O187" i="24"/>
  <c r="P187" i="24"/>
  <c r="Q187" i="24"/>
  <c r="R187" i="24"/>
  <c r="S187" i="24"/>
  <c r="T187" i="24"/>
  <c r="U187" i="24"/>
  <c r="V187" i="24"/>
  <c r="W187" i="24"/>
  <c r="X187" i="24"/>
  <c r="Y187" i="24"/>
  <c r="Z187" i="24"/>
  <c r="AA187" i="24"/>
  <c r="AB187" i="24"/>
  <c r="AC187" i="24"/>
  <c r="AD187" i="24"/>
  <c r="AE187" i="24"/>
  <c r="AF187" i="24"/>
  <c r="AG187" i="24"/>
  <c r="AH187" i="24"/>
  <c r="AI187" i="24"/>
  <c r="AJ187" i="24"/>
  <c r="AK187" i="24"/>
  <c r="AL187" i="24"/>
  <c r="AM187" i="24"/>
  <c r="AN187" i="24"/>
  <c r="AO187" i="24"/>
  <c r="AP187" i="24"/>
  <c r="AQ187" i="24"/>
  <c r="AR187" i="24"/>
  <c r="AS187" i="24"/>
  <c r="AT187" i="24"/>
  <c r="AU187" i="24"/>
  <c r="AV187" i="24"/>
  <c r="AW187" i="24"/>
  <c r="AX187" i="24"/>
  <c r="AY187" i="24"/>
  <c r="AZ187" i="24"/>
  <c r="BA187" i="24"/>
  <c r="BB187" i="24"/>
  <c r="BC187" i="24"/>
  <c r="BD187" i="24"/>
  <c r="BE187" i="24"/>
  <c r="BF187" i="24"/>
  <c r="BG187" i="24"/>
  <c r="BH187" i="24"/>
  <c r="BI187" i="24"/>
  <c r="BJ187" i="24"/>
  <c r="BK187" i="24"/>
  <c r="BL187" i="24"/>
  <c r="BM187" i="24"/>
  <c r="BN187" i="24"/>
  <c r="BO187" i="24"/>
  <c r="BP187" i="24"/>
  <c r="BQ187" i="24"/>
  <c r="BR187" i="24"/>
  <c r="BS187" i="24"/>
  <c r="BT187" i="24"/>
  <c r="BU187" i="24"/>
  <c r="BV187" i="24"/>
  <c r="BW187" i="24"/>
  <c r="BX187" i="24"/>
  <c r="BY187" i="24"/>
  <c r="BZ187" i="24"/>
  <c r="CA187" i="24"/>
  <c r="CB187" i="24"/>
  <c r="CC187" i="24"/>
  <c r="CD187" i="24"/>
  <c r="CE187" i="24"/>
  <c r="CF187" i="24"/>
  <c r="CG187" i="24"/>
  <c r="CH187" i="24"/>
  <c r="CI187" i="24"/>
  <c r="CJ187" i="24"/>
  <c r="CK187" i="24"/>
  <c r="CL187" i="24"/>
  <c r="CM187" i="24"/>
  <c r="CN187" i="24"/>
  <c r="CO187" i="24"/>
  <c r="CP187" i="24"/>
  <c r="CQ187" i="24"/>
  <c r="CR187" i="24"/>
  <c r="CS187" i="24"/>
  <c r="CT187" i="24"/>
  <c r="CU187" i="24"/>
  <c r="CV187" i="24"/>
  <c r="CW187" i="24"/>
  <c r="CX187" i="24"/>
  <c r="CY187" i="24"/>
  <c r="CZ187" i="24"/>
  <c r="DA187" i="24"/>
  <c r="DB187" i="24"/>
  <c r="DC187" i="24"/>
  <c r="DD187" i="24"/>
  <c r="DE187" i="24"/>
  <c r="DF187" i="24"/>
  <c r="DG187" i="24"/>
  <c r="DH187" i="24"/>
  <c r="DI187" i="24"/>
  <c r="DJ187" i="24"/>
  <c r="DK187" i="24"/>
  <c r="DL187" i="24"/>
  <c r="DM187" i="24"/>
  <c r="DN187" i="24"/>
  <c r="DO187" i="24"/>
  <c r="DP187" i="24"/>
  <c r="DQ187" i="24"/>
  <c r="DR187" i="24"/>
  <c r="DS187" i="24"/>
  <c r="DT187" i="24"/>
  <c r="DU187" i="24"/>
  <c r="DV187" i="24"/>
  <c r="DW187" i="24"/>
  <c r="DX187" i="24"/>
  <c r="DY187" i="24"/>
  <c r="DZ187" i="24"/>
  <c r="EA187" i="24"/>
  <c r="EB187" i="24"/>
  <c r="EC187" i="24"/>
  <c r="ED187" i="24"/>
  <c r="EE187" i="24"/>
  <c r="EF187" i="24"/>
  <c r="EG187" i="24"/>
  <c r="EH187" i="24"/>
  <c r="EI187" i="24"/>
  <c r="EJ187" i="24"/>
  <c r="EK187" i="24"/>
  <c r="EL187" i="24"/>
  <c r="EM187" i="24"/>
  <c r="EN187" i="24"/>
  <c r="EO187" i="24"/>
  <c r="EP187" i="24"/>
  <c r="EQ187" i="24"/>
  <c r="ER187" i="24"/>
  <c r="ES187" i="24"/>
  <c r="ET187" i="24"/>
  <c r="EU187" i="24"/>
  <c r="EV187" i="24"/>
  <c r="EW187" i="24"/>
  <c r="EX187" i="24"/>
  <c r="EY187" i="24"/>
  <c r="EZ187" i="24"/>
  <c r="FA187" i="24"/>
  <c r="FB187" i="24"/>
  <c r="FC187" i="24"/>
  <c r="FD187" i="24"/>
  <c r="FE187" i="24"/>
  <c r="FF187" i="24"/>
  <c r="FG187" i="24"/>
  <c r="FH187" i="24"/>
  <c r="FI187" i="24"/>
  <c r="FJ187" i="24"/>
  <c r="FK187" i="24"/>
  <c r="FL187" i="24"/>
  <c r="FM187" i="24"/>
  <c r="FN187" i="24"/>
  <c r="FO187" i="24"/>
  <c r="FP187" i="24"/>
  <c r="FQ187" i="24"/>
  <c r="FR187" i="24"/>
  <c r="FS187" i="24"/>
  <c r="FT187" i="24"/>
  <c r="FU187" i="24"/>
  <c r="FV187" i="24"/>
  <c r="FW187" i="24"/>
  <c r="FX187" i="24"/>
  <c r="FY187" i="24"/>
  <c r="FZ187" i="24"/>
  <c r="GA187" i="24"/>
  <c r="GB187" i="24"/>
  <c r="GC187" i="24"/>
  <c r="GD187" i="24"/>
  <c r="GE187" i="24"/>
  <c r="GF187" i="24"/>
  <c r="GG187" i="24"/>
  <c r="GH187" i="24"/>
  <c r="GI187" i="24"/>
  <c r="GJ187" i="24"/>
  <c r="GK187" i="24"/>
  <c r="GL187" i="24"/>
  <c r="GM187" i="24"/>
  <c r="GN187" i="24"/>
  <c r="GO187" i="24"/>
  <c r="GP187" i="24"/>
  <c r="GQ187" i="24"/>
  <c r="GR187" i="24"/>
  <c r="GS187" i="24"/>
  <c r="GT187" i="24"/>
  <c r="B188" i="24"/>
  <c r="C188" i="24"/>
  <c r="D188" i="24"/>
  <c r="E188" i="24"/>
  <c r="F188" i="24"/>
  <c r="G188" i="24"/>
  <c r="H188" i="24"/>
  <c r="I188" i="24"/>
  <c r="J188" i="24"/>
  <c r="K188" i="24"/>
  <c r="L188" i="24"/>
  <c r="M188" i="24"/>
  <c r="N188" i="24"/>
  <c r="O188" i="24"/>
  <c r="P188" i="24"/>
  <c r="Q188" i="24"/>
  <c r="R188" i="24"/>
  <c r="S188" i="24"/>
  <c r="T188" i="24"/>
  <c r="U188" i="24"/>
  <c r="V188" i="24"/>
  <c r="W188" i="24"/>
  <c r="X188" i="24"/>
  <c r="Y188" i="24"/>
  <c r="Z188" i="24"/>
  <c r="AA188" i="24"/>
  <c r="AB188" i="24"/>
  <c r="AC188" i="24"/>
  <c r="AD188" i="24"/>
  <c r="AE188" i="24"/>
  <c r="AF188" i="24"/>
  <c r="AG188" i="24"/>
  <c r="AH188" i="24"/>
  <c r="AI188" i="24"/>
  <c r="AJ188" i="24"/>
  <c r="AK188" i="24"/>
  <c r="AL188" i="24"/>
  <c r="AM188" i="24"/>
  <c r="AN188" i="24"/>
  <c r="AO188" i="24"/>
  <c r="AP188" i="24"/>
  <c r="AQ188" i="24"/>
  <c r="AR188" i="24"/>
  <c r="AS188" i="24"/>
  <c r="AT188" i="24"/>
  <c r="AU188" i="24"/>
  <c r="AV188" i="24"/>
  <c r="AW188" i="24"/>
  <c r="AX188" i="24"/>
  <c r="AY188" i="24"/>
  <c r="AZ188" i="24"/>
  <c r="BA188" i="24"/>
  <c r="BB188" i="24"/>
  <c r="BC188" i="24"/>
  <c r="BD188" i="24"/>
  <c r="BE188" i="24"/>
  <c r="BF188" i="24"/>
  <c r="BG188" i="24"/>
  <c r="BH188" i="24"/>
  <c r="BI188" i="24"/>
  <c r="BJ188" i="24"/>
  <c r="BK188" i="24"/>
  <c r="BL188" i="24"/>
  <c r="BM188" i="24"/>
  <c r="BN188" i="24"/>
  <c r="BO188" i="24"/>
  <c r="BP188" i="24"/>
  <c r="BQ188" i="24"/>
  <c r="BR188" i="24"/>
  <c r="BS188" i="24"/>
  <c r="BT188" i="24"/>
  <c r="BU188" i="24"/>
  <c r="BV188" i="24"/>
  <c r="BW188" i="24"/>
  <c r="BX188" i="24"/>
  <c r="BY188" i="24"/>
  <c r="BZ188" i="24"/>
  <c r="CA188" i="24"/>
  <c r="CB188" i="24"/>
  <c r="CC188" i="24"/>
  <c r="CD188" i="24"/>
  <c r="CE188" i="24"/>
  <c r="CF188" i="24"/>
  <c r="CG188" i="24"/>
  <c r="CH188" i="24"/>
  <c r="CI188" i="24"/>
  <c r="CJ188" i="24"/>
  <c r="CK188" i="24"/>
  <c r="CL188" i="24"/>
  <c r="CM188" i="24"/>
  <c r="CN188" i="24"/>
  <c r="CO188" i="24"/>
  <c r="CP188" i="24"/>
  <c r="CQ188" i="24"/>
  <c r="CR188" i="24"/>
  <c r="CS188" i="24"/>
  <c r="CT188" i="24"/>
  <c r="CU188" i="24"/>
  <c r="CV188" i="24"/>
  <c r="CW188" i="24"/>
  <c r="CX188" i="24"/>
  <c r="CY188" i="24"/>
  <c r="CZ188" i="24"/>
  <c r="DA188" i="24"/>
  <c r="DB188" i="24"/>
  <c r="DC188" i="24"/>
  <c r="DD188" i="24"/>
  <c r="DE188" i="24"/>
  <c r="DF188" i="24"/>
  <c r="DG188" i="24"/>
  <c r="DH188" i="24"/>
  <c r="DI188" i="24"/>
  <c r="DJ188" i="24"/>
  <c r="DK188" i="24"/>
  <c r="DL188" i="24"/>
  <c r="DM188" i="24"/>
  <c r="DN188" i="24"/>
  <c r="DO188" i="24"/>
  <c r="DP188" i="24"/>
  <c r="DQ188" i="24"/>
  <c r="DR188" i="24"/>
  <c r="DS188" i="24"/>
  <c r="DT188" i="24"/>
  <c r="DU188" i="24"/>
  <c r="DV188" i="24"/>
  <c r="DW188" i="24"/>
  <c r="DX188" i="24"/>
  <c r="DY188" i="24"/>
  <c r="DZ188" i="24"/>
  <c r="EA188" i="24"/>
  <c r="EB188" i="24"/>
  <c r="EC188" i="24"/>
  <c r="ED188" i="24"/>
  <c r="EE188" i="24"/>
  <c r="EF188" i="24"/>
  <c r="EG188" i="24"/>
  <c r="EH188" i="24"/>
  <c r="EI188" i="24"/>
  <c r="EJ188" i="24"/>
  <c r="EK188" i="24"/>
  <c r="EL188" i="24"/>
  <c r="EM188" i="24"/>
  <c r="EN188" i="24"/>
  <c r="EO188" i="24"/>
  <c r="EP188" i="24"/>
  <c r="EQ188" i="24"/>
  <c r="ER188" i="24"/>
  <c r="ES188" i="24"/>
  <c r="ET188" i="24"/>
  <c r="EU188" i="24"/>
  <c r="EV188" i="24"/>
  <c r="EW188" i="24"/>
  <c r="EX188" i="24"/>
  <c r="EY188" i="24"/>
  <c r="EZ188" i="24"/>
  <c r="FA188" i="24"/>
  <c r="FB188" i="24"/>
  <c r="FC188" i="24"/>
  <c r="FD188" i="24"/>
  <c r="FE188" i="24"/>
  <c r="FF188" i="24"/>
  <c r="FG188" i="24"/>
  <c r="FH188" i="24"/>
  <c r="FI188" i="24"/>
  <c r="FJ188" i="24"/>
  <c r="FK188" i="24"/>
  <c r="FL188" i="24"/>
  <c r="FM188" i="24"/>
  <c r="FN188" i="24"/>
  <c r="FO188" i="24"/>
  <c r="FP188" i="24"/>
  <c r="FQ188" i="24"/>
  <c r="FR188" i="24"/>
  <c r="FS188" i="24"/>
  <c r="FT188" i="24"/>
  <c r="FU188" i="24"/>
  <c r="FV188" i="24"/>
  <c r="FW188" i="24"/>
  <c r="FX188" i="24"/>
  <c r="FY188" i="24"/>
  <c r="FZ188" i="24"/>
  <c r="GA188" i="24"/>
  <c r="GB188" i="24"/>
  <c r="GC188" i="24"/>
  <c r="GD188" i="24"/>
  <c r="GE188" i="24"/>
  <c r="GF188" i="24"/>
  <c r="GG188" i="24"/>
  <c r="GH188" i="24"/>
  <c r="GI188" i="24"/>
  <c r="GJ188" i="24"/>
  <c r="GK188" i="24"/>
  <c r="GL188" i="24"/>
  <c r="GM188" i="24"/>
  <c r="GN188" i="24"/>
  <c r="GO188" i="24"/>
  <c r="GP188" i="24"/>
  <c r="GQ188" i="24"/>
  <c r="GR188" i="24"/>
  <c r="GS188" i="24"/>
  <c r="GT188" i="24"/>
  <c r="B189" i="24"/>
  <c r="C189" i="24"/>
  <c r="D189" i="24"/>
  <c r="E189" i="24"/>
  <c r="F189" i="24"/>
  <c r="G189" i="24"/>
  <c r="H189" i="24"/>
  <c r="I189" i="24"/>
  <c r="J189" i="24"/>
  <c r="K189" i="24"/>
  <c r="L189" i="24"/>
  <c r="M189" i="24"/>
  <c r="N189" i="24"/>
  <c r="O189" i="24"/>
  <c r="P189" i="24"/>
  <c r="Q189" i="24"/>
  <c r="R189" i="24"/>
  <c r="S189" i="24"/>
  <c r="T189" i="24"/>
  <c r="U189" i="24"/>
  <c r="V189" i="24"/>
  <c r="W189" i="24"/>
  <c r="X189" i="24"/>
  <c r="Y189" i="24"/>
  <c r="Z189" i="24"/>
  <c r="AA189" i="24"/>
  <c r="AB189" i="24"/>
  <c r="AC189" i="24"/>
  <c r="AD189" i="24"/>
  <c r="AE189" i="24"/>
  <c r="AF189" i="24"/>
  <c r="AG189" i="24"/>
  <c r="AH189" i="24"/>
  <c r="AI189" i="24"/>
  <c r="AJ189" i="24"/>
  <c r="AK189" i="24"/>
  <c r="AL189" i="24"/>
  <c r="AM189" i="24"/>
  <c r="AN189" i="24"/>
  <c r="AO189" i="24"/>
  <c r="AP189" i="24"/>
  <c r="AQ189" i="24"/>
  <c r="AR189" i="24"/>
  <c r="AS189" i="24"/>
  <c r="AT189" i="24"/>
  <c r="AU189" i="24"/>
  <c r="AV189" i="24"/>
  <c r="AW189" i="24"/>
  <c r="AX189" i="24"/>
  <c r="AY189" i="24"/>
  <c r="AZ189" i="24"/>
  <c r="BA189" i="24"/>
  <c r="BB189" i="24"/>
  <c r="BC189" i="24"/>
  <c r="BD189" i="24"/>
  <c r="BE189" i="24"/>
  <c r="BF189" i="24"/>
  <c r="BG189" i="24"/>
  <c r="BH189" i="24"/>
  <c r="BI189" i="24"/>
  <c r="BJ189" i="24"/>
  <c r="BK189" i="24"/>
  <c r="BL189" i="24"/>
  <c r="BM189" i="24"/>
  <c r="BN189" i="24"/>
  <c r="BO189" i="24"/>
  <c r="BP189" i="24"/>
  <c r="BQ189" i="24"/>
  <c r="BR189" i="24"/>
  <c r="BS189" i="24"/>
  <c r="BT189" i="24"/>
  <c r="BU189" i="24"/>
  <c r="BV189" i="24"/>
  <c r="BW189" i="24"/>
  <c r="BX189" i="24"/>
  <c r="BY189" i="24"/>
  <c r="BZ189" i="24"/>
  <c r="CA189" i="24"/>
  <c r="CB189" i="24"/>
  <c r="CC189" i="24"/>
  <c r="CD189" i="24"/>
  <c r="CE189" i="24"/>
  <c r="CF189" i="24"/>
  <c r="CG189" i="24"/>
  <c r="CH189" i="24"/>
  <c r="CI189" i="24"/>
  <c r="CJ189" i="24"/>
  <c r="CK189" i="24"/>
  <c r="CL189" i="24"/>
  <c r="CM189" i="24"/>
  <c r="CN189" i="24"/>
  <c r="CO189" i="24"/>
  <c r="CP189" i="24"/>
  <c r="CQ189" i="24"/>
  <c r="CR189" i="24"/>
  <c r="CS189" i="24"/>
  <c r="CT189" i="24"/>
  <c r="CU189" i="24"/>
  <c r="CV189" i="24"/>
  <c r="CW189" i="24"/>
  <c r="CX189" i="24"/>
  <c r="CY189" i="24"/>
  <c r="CZ189" i="24"/>
  <c r="DA189" i="24"/>
  <c r="DB189" i="24"/>
  <c r="DC189" i="24"/>
  <c r="DD189" i="24"/>
  <c r="DE189" i="24"/>
  <c r="DF189" i="24"/>
  <c r="DG189" i="24"/>
  <c r="DH189" i="24"/>
  <c r="DI189" i="24"/>
  <c r="DJ189" i="24"/>
  <c r="DK189" i="24"/>
  <c r="DL189" i="24"/>
  <c r="DM189" i="24"/>
  <c r="DN189" i="24"/>
  <c r="DO189" i="24"/>
  <c r="DP189" i="24"/>
  <c r="DQ189" i="24"/>
  <c r="DR189" i="24"/>
  <c r="DS189" i="24"/>
  <c r="DT189" i="24"/>
  <c r="DU189" i="24"/>
  <c r="DV189" i="24"/>
  <c r="DW189" i="24"/>
  <c r="DX189" i="24"/>
  <c r="DY189" i="24"/>
  <c r="DZ189" i="24"/>
  <c r="EA189" i="24"/>
  <c r="EB189" i="24"/>
  <c r="EC189" i="24"/>
  <c r="ED189" i="24"/>
  <c r="EE189" i="24"/>
  <c r="EF189" i="24"/>
  <c r="EG189" i="24"/>
  <c r="EH189" i="24"/>
  <c r="EI189" i="24"/>
  <c r="EJ189" i="24"/>
  <c r="EK189" i="24"/>
  <c r="EL189" i="24"/>
  <c r="EM189" i="24"/>
  <c r="EN189" i="24"/>
  <c r="EO189" i="24"/>
  <c r="EP189" i="24"/>
  <c r="EQ189" i="24"/>
  <c r="ER189" i="24"/>
  <c r="ES189" i="24"/>
  <c r="ET189" i="24"/>
  <c r="EU189" i="24"/>
  <c r="EV189" i="24"/>
  <c r="EW189" i="24"/>
  <c r="EX189" i="24"/>
  <c r="EY189" i="24"/>
  <c r="EZ189" i="24"/>
  <c r="FA189" i="24"/>
  <c r="FB189" i="24"/>
  <c r="FC189" i="24"/>
  <c r="FD189" i="24"/>
  <c r="FE189" i="24"/>
  <c r="FF189" i="24"/>
  <c r="FG189" i="24"/>
  <c r="FH189" i="24"/>
  <c r="FI189" i="24"/>
  <c r="FJ189" i="24"/>
  <c r="FK189" i="24"/>
  <c r="FL189" i="24"/>
  <c r="FM189" i="24"/>
  <c r="FN189" i="24"/>
  <c r="FO189" i="24"/>
  <c r="FP189" i="24"/>
  <c r="FQ189" i="24"/>
  <c r="FR189" i="24"/>
  <c r="FS189" i="24"/>
  <c r="FT189" i="24"/>
  <c r="FU189" i="24"/>
  <c r="FV189" i="24"/>
  <c r="FW189" i="24"/>
  <c r="FX189" i="24"/>
  <c r="FY189" i="24"/>
  <c r="FZ189" i="24"/>
  <c r="GA189" i="24"/>
  <c r="GB189" i="24"/>
  <c r="GC189" i="24"/>
  <c r="GD189" i="24"/>
  <c r="GE189" i="24"/>
  <c r="GF189" i="24"/>
  <c r="GG189" i="24"/>
  <c r="GH189" i="24"/>
  <c r="GI189" i="24"/>
  <c r="GJ189" i="24"/>
  <c r="GK189" i="24"/>
  <c r="GL189" i="24"/>
  <c r="GM189" i="24"/>
  <c r="GN189" i="24"/>
  <c r="GO189" i="24"/>
  <c r="GP189" i="24"/>
  <c r="GQ189" i="24"/>
  <c r="GR189" i="24"/>
  <c r="GS189" i="24"/>
  <c r="GT189" i="24"/>
  <c r="C177" i="24"/>
  <c r="D177" i="24"/>
  <c r="E177" i="24"/>
  <c r="F177" i="24"/>
  <c r="G177" i="24"/>
  <c r="H177" i="24"/>
  <c r="I177" i="24"/>
  <c r="J177" i="24"/>
  <c r="K177" i="24"/>
  <c r="L177" i="24"/>
  <c r="M177" i="24"/>
  <c r="N177" i="24"/>
  <c r="O177" i="24"/>
  <c r="P177" i="24"/>
  <c r="Q177" i="24"/>
  <c r="R177" i="24"/>
  <c r="S177" i="24"/>
  <c r="T177" i="24"/>
  <c r="U177" i="24"/>
  <c r="V177" i="24"/>
  <c r="W177" i="24"/>
  <c r="X177" i="24"/>
  <c r="Y177" i="24"/>
  <c r="Z177" i="24"/>
  <c r="AA177" i="24"/>
  <c r="AB177" i="24"/>
  <c r="AC177" i="24"/>
  <c r="AD177" i="24"/>
  <c r="AE177" i="24"/>
  <c r="AF177" i="24"/>
  <c r="AG177" i="24"/>
  <c r="AH177" i="24"/>
  <c r="AI177" i="24"/>
  <c r="AJ177" i="24"/>
  <c r="AK177" i="24"/>
  <c r="AL177" i="24"/>
  <c r="AM177" i="24"/>
  <c r="AN177" i="24"/>
  <c r="AO177" i="24"/>
  <c r="AP177" i="24"/>
  <c r="AQ177" i="24"/>
  <c r="AR177" i="24"/>
  <c r="AS177" i="24"/>
  <c r="AT177" i="24"/>
  <c r="AU177" i="24"/>
  <c r="AV177" i="24"/>
  <c r="AW177" i="24"/>
  <c r="AX177" i="24"/>
  <c r="AY177" i="24"/>
  <c r="AZ177" i="24"/>
  <c r="BA177" i="24"/>
  <c r="BB177" i="24"/>
  <c r="BC177" i="24"/>
  <c r="BD177" i="24"/>
  <c r="BE177" i="24"/>
  <c r="BF177" i="24"/>
  <c r="BG177" i="24"/>
  <c r="BH177" i="24"/>
  <c r="BI177" i="24"/>
  <c r="BJ177" i="24"/>
  <c r="BK177" i="24"/>
  <c r="BL177" i="24"/>
  <c r="BM177" i="24"/>
  <c r="BN177" i="24"/>
  <c r="BO177" i="24"/>
  <c r="BP177" i="24"/>
  <c r="BQ177" i="24"/>
  <c r="BR177" i="24"/>
  <c r="BS177" i="24"/>
  <c r="BT177" i="24"/>
  <c r="BU177" i="24"/>
  <c r="BV177" i="24"/>
  <c r="BW177" i="24"/>
  <c r="BX177" i="24"/>
  <c r="BY177" i="24"/>
  <c r="BZ177" i="24"/>
  <c r="CA177" i="24"/>
  <c r="CB177" i="24"/>
  <c r="CC177" i="24"/>
  <c r="CD177" i="24"/>
  <c r="CE177" i="24"/>
  <c r="CF177" i="24"/>
  <c r="CG177" i="24"/>
  <c r="CH177" i="24"/>
  <c r="CI177" i="24"/>
  <c r="CJ177" i="24"/>
  <c r="CK177" i="24"/>
  <c r="CL177" i="24"/>
  <c r="CM177" i="24"/>
  <c r="CN177" i="24"/>
  <c r="CO177" i="24"/>
  <c r="CP177" i="24"/>
  <c r="CQ177" i="24"/>
  <c r="CR177" i="24"/>
  <c r="CS177" i="24"/>
  <c r="CT177" i="24"/>
  <c r="CU177" i="24"/>
  <c r="CV177" i="24"/>
  <c r="CW177" i="24"/>
  <c r="CX177" i="24"/>
  <c r="CY177" i="24"/>
  <c r="CZ177" i="24"/>
  <c r="DA177" i="24"/>
  <c r="DB177" i="24"/>
  <c r="DC177" i="24"/>
  <c r="DD177" i="24"/>
  <c r="DE177" i="24"/>
  <c r="DF177" i="24"/>
  <c r="DG177" i="24"/>
  <c r="DH177" i="24"/>
  <c r="DI177" i="24"/>
  <c r="DJ177" i="24"/>
  <c r="DK177" i="24"/>
  <c r="DL177" i="24"/>
  <c r="DM177" i="24"/>
  <c r="DN177" i="24"/>
  <c r="DO177" i="24"/>
  <c r="DP177" i="24"/>
  <c r="DQ177" i="24"/>
  <c r="DR177" i="24"/>
  <c r="DS177" i="24"/>
  <c r="DT177" i="24"/>
  <c r="DU177" i="24"/>
  <c r="DV177" i="24"/>
  <c r="DW177" i="24"/>
  <c r="DX177" i="24"/>
  <c r="DY177" i="24"/>
  <c r="DZ177" i="24"/>
  <c r="EA177" i="24"/>
  <c r="EB177" i="24"/>
  <c r="EC177" i="24"/>
  <c r="ED177" i="24"/>
  <c r="EE177" i="24"/>
  <c r="EF177" i="24"/>
  <c r="EG177" i="24"/>
  <c r="EH177" i="24"/>
  <c r="EI177" i="24"/>
  <c r="EJ177" i="24"/>
  <c r="EK177" i="24"/>
  <c r="EL177" i="24"/>
  <c r="EM177" i="24"/>
  <c r="EN177" i="24"/>
  <c r="EO177" i="24"/>
  <c r="EP177" i="24"/>
  <c r="EQ177" i="24"/>
  <c r="ER177" i="24"/>
  <c r="ES177" i="24"/>
  <c r="ET177" i="24"/>
  <c r="EU177" i="24"/>
  <c r="EV177" i="24"/>
  <c r="EW177" i="24"/>
  <c r="EX177" i="24"/>
  <c r="EY177" i="24"/>
  <c r="EZ177" i="24"/>
  <c r="FA177" i="24"/>
  <c r="FB177" i="24"/>
  <c r="FC177" i="24"/>
  <c r="FD177" i="24"/>
  <c r="FE177" i="24"/>
  <c r="FF177" i="24"/>
  <c r="FG177" i="24"/>
  <c r="FH177" i="24"/>
  <c r="FI177" i="24"/>
  <c r="FJ177" i="24"/>
  <c r="FK177" i="24"/>
  <c r="FL177" i="24"/>
  <c r="FM177" i="24"/>
  <c r="FN177" i="24"/>
  <c r="FO177" i="24"/>
  <c r="FP177" i="24"/>
  <c r="FQ177" i="24"/>
  <c r="FR177" i="24"/>
  <c r="FS177" i="24"/>
  <c r="FT177" i="24"/>
  <c r="FU177" i="24"/>
  <c r="FV177" i="24"/>
  <c r="FW177" i="24"/>
  <c r="FX177" i="24"/>
  <c r="FY177" i="24"/>
  <c r="FZ177" i="24"/>
  <c r="GA177" i="24"/>
  <c r="GB177" i="24"/>
  <c r="GC177" i="24"/>
  <c r="GD177" i="24"/>
  <c r="GE177" i="24"/>
  <c r="GF177" i="24"/>
  <c r="GG177" i="24"/>
  <c r="GH177" i="24"/>
  <c r="GI177" i="24"/>
  <c r="GJ177" i="24"/>
  <c r="GK177" i="24"/>
  <c r="GL177" i="24"/>
  <c r="GM177" i="24"/>
  <c r="GN177" i="24"/>
  <c r="GO177" i="24"/>
  <c r="GP177" i="24"/>
  <c r="GQ177" i="24"/>
  <c r="GR177" i="24"/>
  <c r="GS177" i="24"/>
  <c r="GT177" i="24"/>
  <c r="B177" i="24"/>
  <c r="B153" i="24"/>
  <c r="C153" i="24"/>
  <c r="D153" i="24"/>
  <c r="E153" i="24"/>
  <c r="F153" i="24"/>
  <c r="G153" i="24"/>
  <c r="H153" i="24"/>
  <c r="I153" i="24"/>
  <c r="J153" i="24"/>
  <c r="K153" i="24"/>
  <c r="L153" i="24"/>
  <c r="M153" i="24"/>
  <c r="N153" i="24"/>
  <c r="O153" i="24"/>
  <c r="P153" i="24"/>
  <c r="Q153" i="24"/>
  <c r="R153" i="24"/>
  <c r="S153" i="24"/>
  <c r="T153" i="24"/>
  <c r="U153" i="24"/>
  <c r="V153" i="24"/>
  <c r="W153" i="24"/>
  <c r="X153" i="24"/>
  <c r="Y153" i="24"/>
  <c r="Z153" i="24"/>
  <c r="AA153" i="24"/>
  <c r="AB153" i="24"/>
  <c r="AC153" i="24"/>
  <c r="AD153" i="24"/>
  <c r="AE153" i="24"/>
  <c r="AF153" i="24"/>
  <c r="AG153" i="24"/>
  <c r="AH153" i="24"/>
  <c r="AI153" i="24"/>
  <c r="AJ153" i="24"/>
  <c r="AK153" i="24"/>
  <c r="AL153" i="24"/>
  <c r="AM153" i="24"/>
  <c r="AN153" i="24"/>
  <c r="AO153" i="24"/>
  <c r="AP153" i="24"/>
  <c r="AQ153" i="24"/>
  <c r="AR153" i="24"/>
  <c r="AS153" i="24"/>
  <c r="AT153" i="24"/>
  <c r="AU153" i="24"/>
  <c r="AV153" i="24"/>
  <c r="AW153" i="24"/>
  <c r="AX153" i="24"/>
  <c r="AY153" i="24"/>
  <c r="AZ153" i="24"/>
  <c r="BA153" i="24"/>
  <c r="BB153" i="24"/>
  <c r="BC153" i="24"/>
  <c r="BD153" i="24"/>
  <c r="BE153" i="24"/>
  <c r="BF153" i="24"/>
  <c r="BG153" i="24"/>
  <c r="BH153" i="24"/>
  <c r="BI153" i="24"/>
  <c r="BJ153" i="24"/>
  <c r="BK153" i="24"/>
  <c r="BL153" i="24"/>
  <c r="BM153" i="24"/>
  <c r="BN153" i="24"/>
  <c r="BO153" i="24"/>
  <c r="BP153" i="24"/>
  <c r="BQ153" i="24"/>
  <c r="BR153" i="24"/>
  <c r="BS153" i="24"/>
  <c r="BT153" i="24"/>
  <c r="BU153" i="24"/>
  <c r="BV153" i="24"/>
  <c r="BW153" i="24"/>
  <c r="BX153" i="24"/>
  <c r="BY153" i="24"/>
  <c r="BZ153" i="24"/>
  <c r="CA153" i="24"/>
  <c r="CB153" i="24"/>
  <c r="CC153" i="24"/>
  <c r="CD153" i="24"/>
  <c r="CE153" i="24"/>
  <c r="CF153" i="24"/>
  <c r="CG153" i="24"/>
  <c r="CH153" i="24"/>
  <c r="CI153" i="24"/>
  <c r="CJ153" i="24"/>
  <c r="CK153" i="24"/>
  <c r="CL153" i="24"/>
  <c r="CM153" i="24"/>
  <c r="CN153" i="24"/>
  <c r="CO153" i="24"/>
  <c r="CP153" i="24"/>
  <c r="CQ153" i="24"/>
  <c r="CR153" i="24"/>
  <c r="CS153" i="24"/>
  <c r="CT153" i="24"/>
  <c r="CU153" i="24"/>
  <c r="CV153" i="24"/>
  <c r="CW153" i="24"/>
  <c r="CX153" i="24"/>
  <c r="CY153" i="24"/>
  <c r="CZ153" i="24"/>
  <c r="DA153" i="24"/>
  <c r="DB153" i="24"/>
  <c r="DC153" i="24"/>
  <c r="DD153" i="24"/>
  <c r="DE153" i="24"/>
  <c r="DF153" i="24"/>
  <c r="DG153" i="24"/>
  <c r="DH153" i="24"/>
  <c r="DI153" i="24"/>
  <c r="DJ153" i="24"/>
  <c r="DK153" i="24"/>
  <c r="DL153" i="24"/>
  <c r="DM153" i="24"/>
  <c r="DN153" i="24"/>
  <c r="DO153" i="24"/>
  <c r="DP153" i="24"/>
  <c r="DQ153" i="24"/>
  <c r="DR153" i="24"/>
  <c r="DS153" i="24"/>
  <c r="DT153" i="24"/>
  <c r="DU153" i="24"/>
  <c r="DV153" i="24"/>
  <c r="DW153" i="24"/>
  <c r="DX153" i="24"/>
  <c r="DY153" i="24"/>
  <c r="DZ153" i="24"/>
  <c r="EA153" i="24"/>
  <c r="EB153" i="24"/>
  <c r="EC153" i="24"/>
  <c r="ED153" i="24"/>
  <c r="EE153" i="24"/>
  <c r="EF153" i="24"/>
  <c r="EG153" i="24"/>
  <c r="EH153" i="24"/>
  <c r="EI153" i="24"/>
  <c r="EJ153" i="24"/>
  <c r="EK153" i="24"/>
  <c r="EL153" i="24"/>
  <c r="EM153" i="24"/>
  <c r="EN153" i="24"/>
  <c r="EO153" i="24"/>
  <c r="EP153" i="24"/>
  <c r="EQ153" i="24"/>
  <c r="ER153" i="24"/>
  <c r="ES153" i="24"/>
  <c r="ET153" i="24"/>
  <c r="EU153" i="24"/>
  <c r="EV153" i="24"/>
  <c r="EW153" i="24"/>
  <c r="EX153" i="24"/>
  <c r="EY153" i="24"/>
  <c r="EZ153" i="24"/>
  <c r="FA153" i="24"/>
  <c r="FB153" i="24"/>
  <c r="FC153" i="24"/>
  <c r="FD153" i="24"/>
  <c r="FE153" i="24"/>
  <c r="FF153" i="24"/>
  <c r="FG153" i="24"/>
  <c r="FH153" i="24"/>
  <c r="FI153" i="24"/>
  <c r="FJ153" i="24"/>
  <c r="FK153" i="24"/>
  <c r="FL153" i="24"/>
  <c r="FM153" i="24"/>
  <c r="FN153" i="24"/>
  <c r="FO153" i="24"/>
  <c r="FP153" i="24"/>
  <c r="FQ153" i="24"/>
  <c r="FR153" i="24"/>
  <c r="FS153" i="24"/>
  <c r="FT153" i="24"/>
  <c r="FU153" i="24"/>
  <c r="FV153" i="24"/>
  <c r="FW153" i="24"/>
  <c r="FX153" i="24"/>
  <c r="FY153" i="24"/>
  <c r="FZ153" i="24"/>
  <c r="GA153" i="24"/>
  <c r="GB153" i="24"/>
  <c r="GC153" i="24"/>
  <c r="GD153" i="24"/>
  <c r="GE153" i="24"/>
  <c r="GF153" i="24"/>
  <c r="GG153" i="24"/>
  <c r="GH153" i="24"/>
  <c r="GI153" i="24"/>
  <c r="GJ153" i="24"/>
  <c r="GK153" i="24"/>
  <c r="GL153" i="24"/>
  <c r="GM153" i="24"/>
  <c r="GN153" i="24"/>
  <c r="GO153" i="24"/>
  <c r="GP153" i="24"/>
  <c r="GQ153" i="24"/>
  <c r="GR153" i="24"/>
  <c r="GS153" i="24"/>
  <c r="GT153" i="24"/>
  <c r="B154" i="24"/>
  <c r="C154" i="24"/>
  <c r="D154" i="24"/>
  <c r="E154" i="24"/>
  <c r="F154" i="24"/>
  <c r="G154" i="24"/>
  <c r="H154" i="24"/>
  <c r="I154" i="24"/>
  <c r="J154" i="24"/>
  <c r="K154" i="24"/>
  <c r="L154" i="24"/>
  <c r="M154" i="24"/>
  <c r="N154" i="24"/>
  <c r="O154" i="24"/>
  <c r="P154" i="24"/>
  <c r="Q154" i="24"/>
  <c r="R154" i="24"/>
  <c r="S154" i="24"/>
  <c r="T154" i="24"/>
  <c r="U154" i="24"/>
  <c r="V154" i="24"/>
  <c r="W154" i="24"/>
  <c r="X154" i="24"/>
  <c r="Y154" i="24"/>
  <c r="Z154" i="24"/>
  <c r="AA154" i="24"/>
  <c r="AB154" i="24"/>
  <c r="AC154" i="24"/>
  <c r="AD154" i="24"/>
  <c r="AE154" i="24"/>
  <c r="AF154" i="24"/>
  <c r="AG154" i="24"/>
  <c r="AH154" i="24"/>
  <c r="AI154" i="24"/>
  <c r="AJ154" i="24"/>
  <c r="AK154" i="24"/>
  <c r="AL154" i="24"/>
  <c r="AM154" i="24"/>
  <c r="AN154" i="24"/>
  <c r="AO154" i="24"/>
  <c r="AP154" i="24"/>
  <c r="AQ154" i="24"/>
  <c r="AR154" i="24"/>
  <c r="AS154" i="24"/>
  <c r="AT154" i="24"/>
  <c r="AU154" i="24"/>
  <c r="AV154" i="24"/>
  <c r="AW154" i="24"/>
  <c r="AX154" i="24"/>
  <c r="AY154" i="24"/>
  <c r="AZ154" i="24"/>
  <c r="BA154" i="24"/>
  <c r="BB154" i="24"/>
  <c r="BC154" i="24"/>
  <c r="BD154" i="24"/>
  <c r="BE154" i="24"/>
  <c r="BF154" i="24"/>
  <c r="BG154" i="24"/>
  <c r="BH154" i="24"/>
  <c r="BI154" i="24"/>
  <c r="BJ154" i="24"/>
  <c r="BK154" i="24"/>
  <c r="BL154" i="24"/>
  <c r="BM154" i="24"/>
  <c r="BN154" i="24"/>
  <c r="BO154" i="24"/>
  <c r="BP154" i="24"/>
  <c r="BQ154" i="24"/>
  <c r="BR154" i="24"/>
  <c r="BS154" i="24"/>
  <c r="BT154" i="24"/>
  <c r="BU154" i="24"/>
  <c r="BV154" i="24"/>
  <c r="BW154" i="24"/>
  <c r="BX154" i="24"/>
  <c r="BY154" i="24"/>
  <c r="BZ154" i="24"/>
  <c r="CA154" i="24"/>
  <c r="CB154" i="24"/>
  <c r="CC154" i="24"/>
  <c r="CD154" i="24"/>
  <c r="CE154" i="24"/>
  <c r="CF154" i="24"/>
  <c r="CG154" i="24"/>
  <c r="CH154" i="24"/>
  <c r="CI154" i="24"/>
  <c r="CJ154" i="24"/>
  <c r="CK154" i="24"/>
  <c r="CL154" i="24"/>
  <c r="CM154" i="24"/>
  <c r="CN154" i="24"/>
  <c r="CO154" i="24"/>
  <c r="CP154" i="24"/>
  <c r="CQ154" i="24"/>
  <c r="CR154" i="24"/>
  <c r="CS154" i="24"/>
  <c r="CT154" i="24"/>
  <c r="CU154" i="24"/>
  <c r="CV154" i="24"/>
  <c r="CW154" i="24"/>
  <c r="CX154" i="24"/>
  <c r="CY154" i="24"/>
  <c r="CZ154" i="24"/>
  <c r="DA154" i="24"/>
  <c r="DB154" i="24"/>
  <c r="DC154" i="24"/>
  <c r="DD154" i="24"/>
  <c r="DE154" i="24"/>
  <c r="DF154" i="24"/>
  <c r="DG154" i="24"/>
  <c r="DH154" i="24"/>
  <c r="DI154" i="24"/>
  <c r="DJ154" i="24"/>
  <c r="DK154" i="24"/>
  <c r="DL154" i="24"/>
  <c r="DM154" i="24"/>
  <c r="DN154" i="24"/>
  <c r="DO154" i="24"/>
  <c r="DP154" i="24"/>
  <c r="DQ154" i="24"/>
  <c r="DR154" i="24"/>
  <c r="DS154" i="24"/>
  <c r="DT154" i="24"/>
  <c r="DU154" i="24"/>
  <c r="DV154" i="24"/>
  <c r="DW154" i="24"/>
  <c r="DX154" i="24"/>
  <c r="DY154" i="24"/>
  <c r="DZ154" i="24"/>
  <c r="EA154" i="24"/>
  <c r="EB154" i="24"/>
  <c r="EC154" i="24"/>
  <c r="ED154" i="24"/>
  <c r="EE154" i="24"/>
  <c r="EF154" i="24"/>
  <c r="EG154" i="24"/>
  <c r="EH154" i="24"/>
  <c r="EI154" i="24"/>
  <c r="EJ154" i="24"/>
  <c r="EK154" i="24"/>
  <c r="EL154" i="24"/>
  <c r="EM154" i="24"/>
  <c r="EN154" i="24"/>
  <c r="EO154" i="24"/>
  <c r="EP154" i="24"/>
  <c r="EQ154" i="24"/>
  <c r="ER154" i="24"/>
  <c r="ES154" i="24"/>
  <c r="ET154" i="24"/>
  <c r="EU154" i="24"/>
  <c r="EV154" i="24"/>
  <c r="EW154" i="24"/>
  <c r="EX154" i="24"/>
  <c r="EY154" i="24"/>
  <c r="EZ154" i="24"/>
  <c r="FA154" i="24"/>
  <c r="FB154" i="24"/>
  <c r="FC154" i="24"/>
  <c r="FD154" i="24"/>
  <c r="FE154" i="24"/>
  <c r="FF154" i="24"/>
  <c r="FG154" i="24"/>
  <c r="FH154" i="24"/>
  <c r="FI154" i="24"/>
  <c r="FJ154" i="24"/>
  <c r="FK154" i="24"/>
  <c r="FL154" i="24"/>
  <c r="FM154" i="24"/>
  <c r="FN154" i="24"/>
  <c r="FO154" i="24"/>
  <c r="FP154" i="24"/>
  <c r="FQ154" i="24"/>
  <c r="FR154" i="24"/>
  <c r="FS154" i="24"/>
  <c r="FT154" i="24"/>
  <c r="FU154" i="24"/>
  <c r="FV154" i="24"/>
  <c r="FW154" i="24"/>
  <c r="FX154" i="24"/>
  <c r="FY154" i="24"/>
  <c r="FZ154" i="24"/>
  <c r="GA154" i="24"/>
  <c r="GB154" i="24"/>
  <c r="GC154" i="24"/>
  <c r="GD154" i="24"/>
  <c r="GE154" i="24"/>
  <c r="GF154" i="24"/>
  <c r="GG154" i="24"/>
  <c r="GH154" i="24"/>
  <c r="GI154" i="24"/>
  <c r="GJ154" i="24"/>
  <c r="GK154" i="24"/>
  <c r="GL154" i="24"/>
  <c r="GM154" i="24"/>
  <c r="GN154" i="24"/>
  <c r="GO154" i="24"/>
  <c r="GP154" i="24"/>
  <c r="GQ154" i="24"/>
  <c r="GR154" i="24"/>
  <c r="GS154" i="24"/>
  <c r="GT154" i="24"/>
  <c r="B155" i="24"/>
  <c r="C155" i="24"/>
  <c r="D155" i="24"/>
  <c r="E155" i="24"/>
  <c r="F155" i="24"/>
  <c r="G155" i="24"/>
  <c r="H155" i="24"/>
  <c r="I155" i="24"/>
  <c r="J155" i="24"/>
  <c r="K155" i="24"/>
  <c r="L155" i="24"/>
  <c r="M155" i="24"/>
  <c r="N155" i="24"/>
  <c r="O155" i="24"/>
  <c r="P155" i="24"/>
  <c r="Q155" i="24"/>
  <c r="R155" i="24"/>
  <c r="S155" i="24"/>
  <c r="T155" i="24"/>
  <c r="U155" i="24"/>
  <c r="V155" i="24"/>
  <c r="W155" i="24"/>
  <c r="X155" i="24"/>
  <c r="Y155" i="24"/>
  <c r="Z155" i="24"/>
  <c r="AA155" i="24"/>
  <c r="AB155" i="24"/>
  <c r="AC155" i="24"/>
  <c r="AD155" i="24"/>
  <c r="AE155" i="24"/>
  <c r="AF155" i="24"/>
  <c r="AG155" i="24"/>
  <c r="AH155" i="24"/>
  <c r="AI155" i="24"/>
  <c r="AJ155" i="24"/>
  <c r="AK155" i="24"/>
  <c r="AL155" i="24"/>
  <c r="AM155" i="24"/>
  <c r="AN155" i="24"/>
  <c r="AO155" i="24"/>
  <c r="AP155" i="24"/>
  <c r="AQ155" i="24"/>
  <c r="AR155" i="24"/>
  <c r="AS155" i="24"/>
  <c r="AT155" i="24"/>
  <c r="AU155" i="24"/>
  <c r="AV155" i="24"/>
  <c r="AW155" i="24"/>
  <c r="AX155" i="24"/>
  <c r="AY155" i="24"/>
  <c r="AZ155" i="24"/>
  <c r="BA155" i="24"/>
  <c r="BB155" i="24"/>
  <c r="BC155" i="24"/>
  <c r="BD155" i="24"/>
  <c r="BE155" i="24"/>
  <c r="BF155" i="24"/>
  <c r="BG155" i="24"/>
  <c r="BH155" i="24"/>
  <c r="BI155" i="24"/>
  <c r="BJ155" i="24"/>
  <c r="BK155" i="24"/>
  <c r="BL155" i="24"/>
  <c r="BM155" i="24"/>
  <c r="BN155" i="24"/>
  <c r="BO155" i="24"/>
  <c r="BP155" i="24"/>
  <c r="BQ155" i="24"/>
  <c r="BR155" i="24"/>
  <c r="BS155" i="24"/>
  <c r="BT155" i="24"/>
  <c r="BU155" i="24"/>
  <c r="BV155" i="24"/>
  <c r="BW155" i="24"/>
  <c r="BX155" i="24"/>
  <c r="BY155" i="24"/>
  <c r="BZ155" i="24"/>
  <c r="CA155" i="24"/>
  <c r="CB155" i="24"/>
  <c r="CC155" i="24"/>
  <c r="CD155" i="24"/>
  <c r="CE155" i="24"/>
  <c r="CF155" i="24"/>
  <c r="CG155" i="24"/>
  <c r="CH155" i="24"/>
  <c r="CI155" i="24"/>
  <c r="CJ155" i="24"/>
  <c r="CK155" i="24"/>
  <c r="CL155" i="24"/>
  <c r="CM155" i="24"/>
  <c r="CN155" i="24"/>
  <c r="CO155" i="24"/>
  <c r="CP155" i="24"/>
  <c r="CQ155" i="24"/>
  <c r="CR155" i="24"/>
  <c r="CS155" i="24"/>
  <c r="CT155" i="24"/>
  <c r="CU155" i="24"/>
  <c r="CV155" i="24"/>
  <c r="CW155" i="24"/>
  <c r="CX155" i="24"/>
  <c r="CY155" i="24"/>
  <c r="CZ155" i="24"/>
  <c r="DA155" i="24"/>
  <c r="DB155" i="24"/>
  <c r="DC155" i="24"/>
  <c r="DD155" i="24"/>
  <c r="DE155" i="24"/>
  <c r="DF155" i="24"/>
  <c r="DG155" i="24"/>
  <c r="DH155" i="24"/>
  <c r="DI155" i="24"/>
  <c r="DJ155" i="24"/>
  <c r="DK155" i="24"/>
  <c r="DL155" i="24"/>
  <c r="DM155" i="24"/>
  <c r="DN155" i="24"/>
  <c r="DO155" i="24"/>
  <c r="DP155" i="24"/>
  <c r="DQ155" i="24"/>
  <c r="DR155" i="24"/>
  <c r="DS155" i="24"/>
  <c r="DT155" i="24"/>
  <c r="DU155" i="24"/>
  <c r="DV155" i="24"/>
  <c r="DW155" i="24"/>
  <c r="DX155" i="24"/>
  <c r="DY155" i="24"/>
  <c r="DZ155" i="24"/>
  <c r="EA155" i="24"/>
  <c r="EB155" i="24"/>
  <c r="EC155" i="24"/>
  <c r="ED155" i="24"/>
  <c r="EE155" i="24"/>
  <c r="EF155" i="24"/>
  <c r="EG155" i="24"/>
  <c r="EH155" i="24"/>
  <c r="EI155" i="24"/>
  <c r="EJ155" i="24"/>
  <c r="EK155" i="24"/>
  <c r="EL155" i="24"/>
  <c r="EM155" i="24"/>
  <c r="EN155" i="24"/>
  <c r="EO155" i="24"/>
  <c r="EP155" i="24"/>
  <c r="EQ155" i="24"/>
  <c r="ER155" i="24"/>
  <c r="ES155" i="24"/>
  <c r="ET155" i="24"/>
  <c r="EU155" i="24"/>
  <c r="EV155" i="24"/>
  <c r="EW155" i="24"/>
  <c r="EX155" i="24"/>
  <c r="EY155" i="24"/>
  <c r="EZ155" i="24"/>
  <c r="FA155" i="24"/>
  <c r="FB155" i="24"/>
  <c r="FC155" i="24"/>
  <c r="FD155" i="24"/>
  <c r="FE155" i="24"/>
  <c r="FF155" i="24"/>
  <c r="FG155" i="24"/>
  <c r="FH155" i="24"/>
  <c r="FI155" i="24"/>
  <c r="FJ155" i="24"/>
  <c r="FK155" i="24"/>
  <c r="FL155" i="24"/>
  <c r="FM155" i="24"/>
  <c r="FN155" i="24"/>
  <c r="FO155" i="24"/>
  <c r="FP155" i="24"/>
  <c r="FQ155" i="24"/>
  <c r="FR155" i="24"/>
  <c r="FS155" i="24"/>
  <c r="FT155" i="24"/>
  <c r="FU155" i="24"/>
  <c r="FV155" i="24"/>
  <c r="FW155" i="24"/>
  <c r="FX155" i="24"/>
  <c r="FY155" i="24"/>
  <c r="FZ155" i="24"/>
  <c r="GA155" i="24"/>
  <c r="GB155" i="24"/>
  <c r="GC155" i="24"/>
  <c r="GD155" i="24"/>
  <c r="GE155" i="24"/>
  <c r="GF155" i="24"/>
  <c r="GG155" i="24"/>
  <c r="GH155" i="24"/>
  <c r="GI155" i="24"/>
  <c r="GJ155" i="24"/>
  <c r="GK155" i="24"/>
  <c r="GL155" i="24"/>
  <c r="GM155" i="24"/>
  <c r="GN155" i="24"/>
  <c r="GO155" i="24"/>
  <c r="GP155" i="24"/>
  <c r="GQ155" i="24"/>
  <c r="GR155" i="24"/>
  <c r="GS155" i="24"/>
  <c r="GT155" i="24"/>
  <c r="B156" i="24"/>
  <c r="C156" i="24"/>
  <c r="D156" i="24"/>
  <c r="E156" i="24"/>
  <c r="F156" i="24"/>
  <c r="G156" i="24"/>
  <c r="H156" i="24"/>
  <c r="I156" i="24"/>
  <c r="J156" i="24"/>
  <c r="K156" i="24"/>
  <c r="L156" i="24"/>
  <c r="M156" i="24"/>
  <c r="N156" i="24"/>
  <c r="O156" i="24"/>
  <c r="P156" i="24"/>
  <c r="Q156" i="24"/>
  <c r="R156" i="24"/>
  <c r="S156" i="24"/>
  <c r="T156" i="24"/>
  <c r="U156" i="24"/>
  <c r="V156" i="24"/>
  <c r="W156" i="24"/>
  <c r="X156" i="24"/>
  <c r="Y156" i="24"/>
  <c r="Z156" i="24"/>
  <c r="AA156" i="24"/>
  <c r="AB156" i="24"/>
  <c r="AC156" i="24"/>
  <c r="AD156" i="24"/>
  <c r="AE156" i="24"/>
  <c r="AF156" i="24"/>
  <c r="AG156" i="24"/>
  <c r="AH156" i="24"/>
  <c r="AI156" i="24"/>
  <c r="AJ156" i="24"/>
  <c r="AK156" i="24"/>
  <c r="AL156" i="24"/>
  <c r="AM156" i="24"/>
  <c r="AN156" i="24"/>
  <c r="AO156" i="24"/>
  <c r="AP156" i="24"/>
  <c r="AQ156" i="24"/>
  <c r="AR156" i="24"/>
  <c r="AS156" i="24"/>
  <c r="AT156" i="24"/>
  <c r="AU156" i="24"/>
  <c r="AV156" i="24"/>
  <c r="AW156" i="24"/>
  <c r="AX156" i="24"/>
  <c r="AY156" i="24"/>
  <c r="AZ156" i="24"/>
  <c r="BA156" i="24"/>
  <c r="BB156" i="24"/>
  <c r="BC156" i="24"/>
  <c r="BD156" i="24"/>
  <c r="BE156" i="24"/>
  <c r="BF156" i="24"/>
  <c r="BG156" i="24"/>
  <c r="BH156" i="24"/>
  <c r="BI156" i="24"/>
  <c r="BJ156" i="24"/>
  <c r="BK156" i="24"/>
  <c r="BL156" i="24"/>
  <c r="BM156" i="24"/>
  <c r="BN156" i="24"/>
  <c r="BO156" i="24"/>
  <c r="BP156" i="24"/>
  <c r="BQ156" i="24"/>
  <c r="BR156" i="24"/>
  <c r="BS156" i="24"/>
  <c r="BT156" i="24"/>
  <c r="BU156" i="24"/>
  <c r="BV156" i="24"/>
  <c r="BW156" i="24"/>
  <c r="BX156" i="24"/>
  <c r="BY156" i="24"/>
  <c r="BZ156" i="24"/>
  <c r="CA156" i="24"/>
  <c r="CB156" i="24"/>
  <c r="CC156" i="24"/>
  <c r="CD156" i="24"/>
  <c r="CE156" i="24"/>
  <c r="CF156" i="24"/>
  <c r="CG156" i="24"/>
  <c r="CH156" i="24"/>
  <c r="CI156" i="24"/>
  <c r="CJ156" i="24"/>
  <c r="CK156" i="24"/>
  <c r="CL156" i="24"/>
  <c r="CM156" i="24"/>
  <c r="CN156" i="24"/>
  <c r="CO156" i="24"/>
  <c r="CP156" i="24"/>
  <c r="CQ156" i="24"/>
  <c r="CR156" i="24"/>
  <c r="CS156" i="24"/>
  <c r="CT156" i="24"/>
  <c r="CU156" i="24"/>
  <c r="CV156" i="24"/>
  <c r="CW156" i="24"/>
  <c r="CX156" i="24"/>
  <c r="CY156" i="24"/>
  <c r="CZ156" i="24"/>
  <c r="DA156" i="24"/>
  <c r="DB156" i="24"/>
  <c r="DC156" i="24"/>
  <c r="DD156" i="24"/>
  <c r="DE156" i="24"/>
  <c r="DF156" i="24"/>
  <c r="DG156" i="24"/>
  <c r="DH156" i="24"/>
  <c r="DI156" i="24"/>
  <c r="DJ156" i="24"/>
  <c r="DK156" i="24"/>
  <c r="DL156" i="24"/>
  <c r="DM156" i="24"/>
  <c r="DN156" i="24"/>
  <c r="DO156" i="24"/>
  <c r="DP156" i="24"/>
  <c r="DQ156" i="24"/>
  <c r="DR156" i="24"/>
  <c r="DS156" i="24"/>
  <c r="DT156" i="24"/>
  <c r="DU156" i="24"/>
  <c r="DV156" i="24"/>
  <c r="DW156" i="24"/>
  <c r="DX156" i="24"/>
  <c r="DY156" i="24"/>
  <c r="DZ156" i="24"/>
  <c r="EA156" i="24"/>
  <c r="EB156" i="24"/>
  <c r="EC156" i="24"/>
  <c r="ED156" i="24"/>
  <c r="EE156" i="24"/>
  <c r="EF156" i="24"/>
  <c r="EG156" i="24"/>
  <c r="EH156" i="24"/>
  <c r="EI156" i="24"/>
  <c r="EJ156" i="24"/>
  <c r="EK156" i="24"/>
  <c r="EL156" i="24"/>
  <c r="EM156" i="24"/>
  <c r="EN156" i="24"/>
  <c r="EO156" i="24"/>
  <c r="EP156" i="24"/>
  <c r="EQ156" i="24"/>
  <c r="ER156" i="24"/>
  <c r="ES156" i="24"/>
  <c r="ET156" i="24"/>
  <c r="EU156" i="24"/>
  <c r="EV156" i="24"/>
  <c r="EW156" i="24"/>
  <c r="EX156" i="24"/>
  <c r="EY156" i="24"/>
  <c r="EZ156" i="24"/>
  <c r="FA156" i="24"/>
  <c r="FB156" i="24"/>
  <c r="FC156" i="24"/>
  <c r="FD156" i="24"/>
  <c r="FE156" i="24"/>
  <c r="FF156" i="24"/>
  <c r="FG156" i="24"/>
  <c r="FH156" i="24"/>
  <c r="FI156" i="24"/>
  <c r="FJ156" i="24"/>
  <c r="FK156" i="24"/>
  <c r="FL156" i="24"/>
  <c r="FM156" i="24"/>
  <c r="FN156" i="24"/>
  <c r="FO156" i="24"/>
  <c r="FP156" i="24"/>
  <c r="FQ156" i="24"/>
  <c r="FR156" i="24"/>
  <c r="FS156" i="24"/>
  <c r="FT156" i="24"/>
  <c r="FU156" i="24"/>
  <c r="FV156" i="24"/>
  <c r="FW156" i="24"/>
  <c r="FX156" i="24"/>
  <c r="FY156" i="24"/>
  <c r="FZ156" i="24"/>
  <c r="GA156" i="24"/>
  <c r="GB156" i="24"/>
  <c r="GC156" i="24"/>
  <c r="GD156" i="24"/>
  <c r="GE156" i="24"/>
  <c r="GF156" i="24"/>
  <c r="GG156" i="24"/>
  <c r="GH156" i="24"/>
  <c r="GI156" i="24"/>
  <c r="GJ156" i="24"/>
  <c r="GK156" i="24"/>
  <c r="GL156" i="24"/>
  <c r="GM156" i="24"/>
  <c r="GN156" i="24"/>
  <c r="GO156" i="24"/>
  <c r="GP156" i="24"/>
  <c r="GQ156" i="24"/>
  <c r="GR156" i="24"/>
  <c r="GS156" i="24"/>
  <c r="GT156" i="24"/>
  <c r="B157" i="24"/>
  <c r="C157" i="24"/>
  <c r="D157" i="24"/>
  <c r="E157" i="24"/>
  <c r="F157" i="24"/>
  <c r="G157" i="24"/>
  <c r="H157" i="24"/>
  <c r="I157" i="24"/>
  <c r="J157" i="24"/>
  <c r="K157" i="24"/>
  <c r="L157" i="24"/>
  <c r="M157" i="24"/>
  <c r="N157" i="24"/>
  <c r="O157" i="24"/>
  <c r="P157" i="24"/>
  <c r="Q157" i="24"/>
  <c r="R157" i="24"/>
  <c r="S157" i="24"/>
  <c r="T157" i="24"/>
  <c r="U157" i="24"/>
  <c r="V157" i="24"/>
  <c r="W157" i="24"/>
  <c r="X157" i="24"/>
  <c r="Y157" i="24"/>
  <c r="Z157" i="24"/>
  <c r="AA157" i="24"/>
  <c r="AB157" i="24"/>
  <c r="AC157" i="24"/>
  <c r="AD157" i="24"/>
  <c r="AE157" i="24"/>
  <c r="AF157" i="24"/>
  <c r="AG157" i="24"/>
  <c r="AH157" i="24"/>
  <c r="AI157" i="24"/>
  <c r="AJ157" i="24"/>
  <c r="AK157" i="24"/>
  <c r="AL157" i="24"/>
  <c r="AM157" i="24"/>
  <c r="AN157" i="24"/>
  <c r="AO157" i="24"/>
  <c r="AP157" i="24"/>
  <c r="AQ157" i="24"/>
  <c r="AR157" i="24"/>
  <c r="AS157" i="24"/>
  <c r="AT157" i="24"/>
  <c r="AU157" i="24"/>
  <c r="AV157" i="24"/>
  <c r="AW157" i="24"/>
  <c r="AX157" i="24"/>
  <c r="AY157" i="24"/>
  <c r="AZ157" i="24"/>
  <c r="BA157" i="24"/>
  <c r="BB157" i="24"/>
  <c r="BC157" i="24"/>
  <c r="BD157" i="24"/>
  <c r="BE157" i="24"/>
  <c r="BF157" i="24"/>
  <c r="BG157" i="24"/>
  <c r="BH157" i="24"/>
  <c r="BI157" i="24"/>
  <c r="BJ157" i="24"/>
  <c r="BK157" i="24"/>
  <c r="BL157" i="24"/>
  <c r="BM157" i="24"/>
  <c r="BN157" i="24"/>
  <c r="BO157" i="24"/>
  <c r="BP157" i="24"/>
  <c r="BQ157" i="24"/>
  <c r="BR157" i="24"/>
  <c r="BS157" i="24"/>
  <c r="BT157" i="24"/>
  <c r="BU157" i="24"/>
  <c r="BV157" i="24"/>
  <c r="BW157" i="24"/>
  <c r="BX157" i="24"/>
  <c r="BY157" i="24"/>
  <c r="BZ157" i="24"/>
  <c r="CA157" i="24"/>
  <c r="CB157" i="24"/>
  <c r="CC157" i="24"/>
  <c r="CD157" i="24"/>
  <c r="CE157" i="24"/>
  <c r="CF157" i="24"/>
  <c r="CG157" i="24"/>
  <c r="CH157" i="24"/>
  <c r="CI157" i="24"/>
  <c r="CJ157" i="24"/>
  <c r="CK157" i="24"/>
  <c r="CL157" i="24"/>
  <c r="CM157" i="24"/>
  <c r="CN157" i="24"/>
  <c r="CO157" i="24"/>
  <c r="CP157" i="24"/>
  <c r="CQ157" i="24"/>
  <c r="CR157" i="24"/>
  <c r="CS157" i="24"/>
  <c r="CT157" i="24"/>
  <c r="CU157" i="24"/>
  <c r="CV157" i="24"/>
  <c r="CW157" i="24"/>
  <c r="CX157" i="24"/>
  <c r="CY157" i="24"/>
  <c r="CZ157" i="24"/>
  <c r="DA157" i="24"/>
  <c r="DB157" i="24"/>
  <c r="DC157" i="24"/>
  <c r="DD157" i="24"/>
  <c r="DE157" i="24"/>
  <c r="DF157" i="24"/>
  <c r="DG157" i="24"/>
  <c r="DH157" i="24"/>
  <c r="DI157" i="24"/>
  <c r="DJ157" i="24"/>
  <c r="DK157" i="24"/>
  <c r="DL157" i="24"/>
  <c r="DM157" i="24"/>
  <c r="DN157" i="24"/>
  <c r="DO157" i="24"/>
  <c r="DP157" i="24"/>
  <c r="DQ157" i="24"/>
  <c r="DR157" i="24"/>
  <c r="DS157" i="24"/>
  <c r="DT157" i="24"/>
  <c r="DU157" i="24"/>
  <c r="DV157" i="24"/>
  <c r="DW157" i="24"/>
  <c r="DX157" i="24"/>
  <c r="DY157" i="24"/>
  <c r="DZ157" i="24"/>
  <c r="EA157" i="24"/>
  <c r="EB157" i="24"/>
  <c r="EC157" i="24"/>
  <c r="ED157" i="24"/>
  <c r="EE157" i="24"/>
  <c r="EF157" i="24"/>
  <c r="EG157" i="24"/>
  <c r="EH157" i="24"/>
  <c r="EI157" i="24"/>
  <c r="EJ157" i="24"/>
  <c r="EK157" i="24"/>
  <c r="EL157" i="24"/>
  <c r="EM157" i="24"/>
  <c r="EN157" i="24"/>
  <c r="EO157" i="24"/>
  <c r="EP157" i="24"/>
  <c r="EQ157" i="24"/>
  <c r="ER157" i="24"/>
  <c r="ES157" i="24"/>
  <c r="ET157" i="24"/>
  <c r="EU157" i="24"/>
  <c r="EV157" i="24"/>
  <c r="EW157" i="24"/>
  <c r="EX157" i="24"/>
  <c r="EY157" i="24"/>
  <c r="EZ157" i="24"/>
  <c r="FA157" i="24"/>
  <c r="FB157" i="24"/>
  <c r="FC157" i="24"/>
  <c r="FD157" i="24"/>
  <c r="FE157" i="24"/>
  <c r="FF157" i="24"/>
  <c r="FG157" i="24"/>
  <c r="FH157" i="24"/>
  <c r="FI157" i="24"/>
  <c r="FJ157" i="24"/>
  <c r="FK157" i="24"/>
  <c r="FL157" i="24"/>
  <c r="FM157" i="24"/>
  <c r="FN157" i="24"/>
  <c r="FO157" i="24"/>
  <c r="FP157" i="24"/>
  <c r="FQ157" i="24"/>
  <c r="FR157" i="24"/>
  <c r="FS157" i="24"/>
  <c r="FT157" i="24"/>
  <c r="FU157" i="24"/>
  <c r="FV157" i="24"/>
  <c r="FW157" i="24"/>
  <c r="FX157" i="24"/>
  <c r="FY157" i="24"/>
  <c r="FZ157" i="24"/>
  <c r="GA157" i="24"/>
  <c r="GB157" i="24"/>
  <c r="GC157" i="24"/>
  <c r="GD157" i="24"/>
  <c r="GE157" i="24"/>
  <c r="GF157" i="24"/>
  <c r="GG157" i="24"/>
  <c r="GH157" i="24"/>
  <c r="GI157" i="24"/>
  <c r="GJ157" i="24"/>
  <c r="GK157" i="24"/>
  <c r="GL157" i="24"/>
  <c r="GM157" i="24"/>
  <c r="GN157" i="24"/>
  <c r="GO157" i="24"/>
  <c r="GP157" i="24"/>
  <c r="GQ157" i="24"/>
  <c r="GR157" i="24"/>
  <c r="GS157" i="24"/>
  <c r="GT157" i="24"/>
  <c r="B158" i="24"/>
  <c r="C158" i="24"/>
  <c r="D158" i="24"/>
  <c r="E158" i="24"/>
  <c r="F158" i="24"/>
  <c r="G158" i="24"/>
  <c r="H158" i="24"/>
  <c r="I158" i="24"/>
  <c r="J158" i="24"/>
  <c r="K158" i="24"/>
  <c r="L158" i="24"/>
  <c r="M158" i="24"/>
  <c r="N158" i="24"/>
  <c r="O158" i="24"/>
  <c r="P158" i="24"/>
  <c r="Q158" i="24"/>
  <c r="R158" i="24"/>
  <c r="S158" i="24"/>
  <c r="T158" i="24"/>
  <c r="U158" i="24"/>
  <c r="V158" i="24"/>
  <c r="W158" i="24"/>
  <c r="X158" i="24"/>
  <c r="Y158" i="24"/>
  <c r="Z158" i="24"/>
  <c r="AA158" i="24"/>
  <c r="AB158" i="24"/>
  <c r="AC158" i="24"/>
  <c r="AD158" i="24"/>
  <c r="AE158" i="24"/>
  <c r="AF158" i="24"/>
  <c r="AG158" i="24"/>
  <c r="AH158" i="24"/>
  <c r="AI158" i="24"/>
  <c r="AJ158" i="24"/>
  <c r="AK158" i="24"/>
  <c r="AL158" i="24"/>
  <c r="AM158" i="24"/>
  <c r="AN158" i="24"/>
  <c r="AO158" i="24"/>
  <c r="AP158" i="24"/>
  <c r="AQ158" i="24"/>
  <c r="AR158" i="24"/>
  <c r="AS158" i="24"/>
  <c r="AT158" i="24"/>
  <c r="AU158" i="24"/>
  <c r="AV158" i="24"/>
  <c r="AW158" i="24"/>
  <c r="AX158" i="24"/>
  <c r="AY158" i="24"/>
  <c r="AZ158" i="24"/>
  <c r="BA158" i="24"/>
  <c r="BB158" i="24"/>
  <c r="BC158" i="24"/>
  <c r="BD158" i="24"/>
  <c r="BE158" i="24"/>
  <c r="BF158" i="24"/>
  <c r="BG158" i="24"/>
  <c r="BH158" i="24"/>
  <c r="BI158" i="24"/>
  <c r="BJ158" i="24"/>
  <c r="BK158" i="24"/>
  <c r="BL158" i="24"/>
  <c r="BM158" i="24"/>
  <c r="BN158" i="24"/>
  <c r="BO158" i="24"/>
  <c r="BP158" i="24"/>
  <c r="BQ158" i="24"/>
  <c r="BR158" i="24"/>
  <c r="BS158" i="24"/>
  <c r="BT158" i="24"/>
  <c r="BU158" i="24"/>
  <c r="BV158" i="24"/>
  <c r="BW158" i="24"/>
  <c r="BX158" i="24"/>
  <c r="BY158" i="24"/>
  <c r="BZ158" i="24"/>
  <c r="CA158" i="24"/>
  <c r="CB158" i="24"/>
  <c r="CC158" i="24"/>
  <c r="CD158" i="24"/>
  <c r="CE158" i="24"/>
  <c r="CF158" i="24"/>
  <c r="CG158" i="24"/>
  <c r="CH158" i="24"/>
  <c r="CI158" i="24"/>
  <c r="CJ158" i="24"/>
  <c r="CK158" i="24"/>
  <c r="CL158" i="24"/>
  <c r="CM158" i="24"/>
  <c r="CN158" i="24"/>
  <c r="CO158" i="24"/>
  <c r="CP158" i="24"/>
  <c r="CQ158" i="24"/>
  <c r="CR158" i="24"/>
  <c r="CS158" i="24"/>
  <c r="CT158" i="24"/>
  <c r="CU158" i="24"/>
  <c r="CV158" i="24"/>
  <c r="CW158" i="24"/>
  <c r="CX158" i="24"/>
  <c r="CY158" i="24"/>
  <c r="CZ158" i="24"/>
  <c r="DA158" i="24"/>
  <c r="DB158" i="24"/>
  <c r="DC158" i="24"/>
  <c r="DD158" i="24"/>
  <c r="DE158" i="24"/>
  <c r="DF158" i="24"/>
  <c r="DG158" i="24"/>
  <c r="DH158" i="24"/>
  <c r="DI158" i="24"/>
  <c r="DJ158" i="24"/>
  <c r="DK158" i="24"/>
  <c r="DL158" i="24"/>
  <c r="DM158" i="24"/>
  <c r="DN158" i="24"/>
  <c r="DO158" i="24"/>
  <c r="DP158" i="24"/>
  <c r="DQ158" i="24"/>
  <c r="DR158" i="24"/>
  <c r="DS158" i="24"/>
  <c r="DT158" i="24"/>
  <c r="DU158" i="24"/>
  <c r="DV158" i="24"/>
  <c r="DW158" i="24"/>
  <c r="DX158" i="24"/>
  <c r="DY158" i="24"/>
  <c r="DZ158" i="24"/>
  <c r="EA158" i="24"/>
  <c r="EB158" i="24"/>
  <c r="EC158" i="24"/>
  <c r="ED158" i="24"/>
  <c r="EE158" i="24"/>
  <c r="EF158" i="24"/>
  <c r="EG158" i="24"/>
  <c r="EH158" i="24"/>
  <c r="EI158" i="24"/>
  <c r="EJ158" i="24"/>
  <c r="EK158" i="24"/>
  <c r="EL158" i="24"/>
  <c r="EM158" i="24"/>
  <c r="EN158" i="24"/>
  <c r="EO158" i="24"/>
  <c r="EP158" i="24"/>
  <c r="EQ158" i="24"/>
  <c r="ER158" i="24"/>
  <c r="ES158" i="24"/>
  <c r="ET158" i="24"/>
  <c r="EU158" i="24"/>
  <c r="EV158" i="24"/>
  <c r="EW158" i="24"/>
  <c r="EX158" i="24"/>
  <c r="EY158" i="24"/>
  <c r="EZ158" i="24"/>
  <c r="FA158" i="24"/>
  <c r="FB158" i="24"/>
  <c r="FC158" i="24"/>
  <c r="FD158" i="24"/>
  <c r="FE158" i="24"/>
  <c r="FF158" i="24"/>
  <c r="FG158" i="24"/>
  <c r="FH158" i="24"/>
  <c r="FI158" i="24"/>
  <c r="FJ158" i="24"/>
  <c r="FK158" i="24"/>
  <c r="FL158" i="24"/>
  <c r="FM158" i="24"/>
  <c r="FN158" i="24"/>
  <c r="FO158" i="24"/>
  <c r="FP158" i="24"/>
  <c r="FQ158" i="24"/>
  <c r="FR158" i="24"/>
  <c r="FS158" i="24"/>
  <c r="FT158" i="24"/>
  <c r="FU158" i="24"/>
  <c r="FV158" i="24"/>
  <c r="FW158" i="24"/>
  <c r="FX158" i="24"/>
  <c r="FY158" i="24"/>
  <c r="FZ158" i="24"/>
  <c r="GA158" i="24"/>
  <c r="GB158" i="24"/>
  <c r="GC158" i="24"/>
  <c r="GD158" i="24"/>
  <c r="GE158" i="24"/>
  <c r="GF158" i="24"/>
  <c r="GG158" i="24"/>
  <c r="GH158" i="24"/>
  <c r="GI158" i="24"/>
  <c r="GJ158" i="24"/>
  <c r="GK158" i="24"/>
  <c r="GL158" i="24"/>
  <c r="GM158" i="24"/>
  <c r="GN158" i="24"/>
  <c r="GO158" i="24"/>
  <c r="GP158" i="24"/>
  <c r="GQ158" i="24"/>
  <c r="GR158" i="24"/>
  <c r="GS158" i="24"/>
  <c r="GT158" i="24"/>
  <c r="B159" i="24"/>
  <c r="C159" i="24"/>
  <c r="D159" i="24"/>
  <c r="E159" i="24"/>
  <c r="F159" i="24"/>
  <c r="G159" i="24"/>
  <c r="H159" i="24"/>
  <c r="I159" i="24"/>
  <c r="J159" i="24"/>
  <c r="K159" i="24"/>
  <c r="L159" i="24"/>
  <c r="M159" i="24"/>
  <c r="N159" i="24"/>
  <c r="O159" i="24"/>
  <c r="P159" i="24"/>
  <c r="Q159" i="24"/>
  <c r="R159" i="24"/>
  <c r="S159" i="24"/>
  <c r="T159" i="24"/>
  <c r="U159" i="24"/>
  <c r="V159" i="24"/>
  <c r="W159" i="24"/>
  <c r="X159" i="24"/>
  <c r="Y159" i="24"/>
  <c r="Z159" i="24"/>
  <c r="AA159" i="24"/>
  <c r="AB159" i="24"/>
  <c r="AC159" i="24"/>
  <c r="AD159" i="24"/>
  <c r="AE159" i="24"/>
  <c r="AF159" i="24"/>
  <c r="AG159" i="24"/>
  <c r="AH159" i="24"/>
  <c r="AI159" i="24"/>
  <c r="AJ159" i="24"/>
  <c r="AK159" i="24"/>
  <c r="AL159" i="24"/>
  <c r="AM159" i="24"/>
  <c r="AN159" i="24"/>
  <c r="AO159" i="24"/>
  <c r="AP159" i="24"/>
  <c r="AQ159" i="24"/>
  <c r="AR159" i="24"/>
  <c r="AS159" i="24"/>
  <c r="AT159" i="24"/>
  <c r="AU159" i="24"/>
  <c r="AV159" i="24"/>
  <c r="AW159" i="24"/>
  <c r="AX159" i="24"/>
  <c r="AY159" i="24"/>
  <c r="AZ159" i="24"/>
  <c r="BA159" i="24"/>
  <c r="BB159" i="24"/>
  <c r="BC159" i="24"/>
  <c r="BD159" i="24"/>
  <c r="BE159" i="24"/>
  <c r="BF159" i="24"/>
  <c r="BG159" i="24"/>
  <c r="BH159" i="24"/>
  <c r="BI159" i="24"/>
  <c r="BJ159" i="24"/>
  <c r="BK159" i="24"/>
  <c r="BL159" i="24"/>
  <c r="BM159" i="24"/>
  <c r="BN159" i="24"/>
  <c r="BO159" i="24"/>
  <c r="BP159" i="24"/>
  <c r="BQ159" i="24"/>
  <c r="BR159" i="24"/>
  <c r="BS159" i="24"/>
  <c r="BT159" i="24"/>
  <c r="BU159" i="24"/>
  <c r="BV159" i="24"/>
  <c r="BW159" i="24"/>
  <c r="BX159" i="24"/>
  <c r="BY159" i="24"/>
  <c r="BZ159" i="24"/>
  <c r="CA159" i="24"/>
  <c r="CB159" i="24"/>
  <c r="CC159" i="24"/>
  <c r="CD159" i="24"/>
  <c r="CE159" i="24"/>
  <c r="CF159" i="24"/>
  <c r="CG159" i="24"/>
  <c r="CH159" i="24"/>
  <c r="CI159" i="24"/>
  <c r="CJ159" i="24"/>
  <c r="CK159" i="24"/>
  <c r="CL159" i="24"/>
  <c r="CM159" i="24"/>
  <c r="CN159" i="24"/>
  <c r="CO159" i="24"/>
  <c r="CP159" i="24"/>
  <c r="CQ159" i="24"/>
  <c r="CR159" i="24"/>
  <c r="CS159" i="24"/>
  <c r="CT159" i="24"/>
  <c r="CU159" i="24"/>
  <c r="CV159" i="24"/>
  <c r="CW159" i="24"/>
  <c r="CX159" i="24"/>
  <c r="CY159" i="24"/>
  <c r="CZ159" i="24"/>
  <c r="DA159" i="24"/>
  <c r="DB159" i="24"/>
  <c r="DC159" i="24"/>
  <c r="DD159" i="24"/>
  <c r="DE159" i="24"/>
  <c r="DF159" i="24"/>
  <c r="DG159" i="24"/>
  <c r="DH159" i="24"/>
  <c r="DI159" i="24"/>
  <c r="DJ159" i="24"/>
  <c r="DK159" i="24"/>
  <c r="DL159" i="24"/>
  <c r="DM159" i="24"/>
  <c r="DN159" i="24"/>
  <c r="DO159" i="24"/>
  <c r="DP159" i="24"/>
  <c r="DQ159" i="24"/>
  <c r="DR159" i="24"/>
  <c r="DS159" i="24"/>
  <c r="DT159" i="24"/>
  <c r="DU159" i="24"/>
  <c r="DV159" i="24"/>
  <c r="DW159" i="24"/>
  <c r="DX159" i="24"/>
  <c r="DY159" i="24"/>
  <c r="DZ159" i="24"/>
  <c r="EA159" i="24"/>
  <c r="EB159" i="24"/>
  <c r="EC159" i="24"/>
  <c r="ED159" i="24"/>
  <c r="EE159" i="24"/>
  <c r="EF159" i="24"/>
  <c r="EG159" i="24"/>
  <c r="EH159" i="24"/>
  <c r="EI159" i="24"/>
  <c r="EJ159" i="24"/>
  <c r="EK159" i="24"/>
  <c r="EL159" i="24"/>
  <c r="EM159" i="24"/>
  <c r="EN159" i="24"/>
  <c r="EO159" i="24"/>
  <c r="EP159" i="24"/>
  <c r="EQ159" i="24"/>
  <c r="ER159" i="24"/>
  <c r="ES159" i="24"/>
  <c r="ET159" i="24"/>
  <c r="EU159" i="24"/>
  <c r="EV159" i="24"/>
  <c r="EW159" i="24"/>
  <c r="EX159" i="24"/>
  <c r="EY159" i="24"/>
  <c r="EZ159" i="24"/>
  <c r="FA159" i="24"/>
  <c r="FB159" i="24"/>
  <c r="FC159" i="24"/>
  <c r="FD159" i="24"/>
  <c r="FE159" i="24"/>
  <c r="FF159" i="24"/>
  <c r="FG159" i="24"/>
  <c r="FH159" i="24"/>
  <c r="FI159" i="24"/>
  <c r="FJ159" i="24"/>
  <c r="FK159" i="24"/>
  <c r="FL159" i="24"/>
  <c r="FM159" i="24"/>
  <c r="FN159" i="24"/>
  <c r="FO159" i="24"/>
  <c r="FP159" i="24"/>
  <c r="FQ159" i="24"/>
  <c r="FR159" i="24"/>
  <c r="FS159" i="24"/>
  <c r="FT159" i="24"/>
  <c r="FU159" i="24"/>
  <c r="FV159" i="24"/>
  <c r="FW159" i="24"/>
  <c r="FX159" i="24"/>
  <c r="FY159" i="24"/>
  <c r="FZ159" i="24"/>
  <c r="GA159" i="24"/>
  <c r="GB159" i="24"/>
  <c r="GC159" i="24"/>
  <c r="GD159" i="24"/>
  <c r="GE159" i="24"/>
  <c r="GF159" i="24"/>
  <c r="GG159" i="24"/>
  <c r="GH159" i="24"/>
  <c r="GI159" i="24"/>
  <c r="GJ159" i="24"/>
  <c r="GK159" i="24"/>
  <c r="GL159" i="24"/>
  <c r="GM159" i="24"/>
  <c r="GN159" i="24"/>
  <c r="GO159" i="24"/>
  <c r="GP159" i="24"/>
  <c r="GQ159" i="24"/>
  <c r="GR159" i="24"/>
  <c r="GS159" i="24"/>
  <c r="GT159" i="24"/>
  <c r="B160" i="24"/>
  <c r="C160" i="24"/>
  <c r="D160" i="24"/>
  <c r="E160" i="24"/>
  <c r="F160" i="24"/>
  <c r="G160" i="24"/>
  <c r="H160" i="24"/>
  <c r="I160" i="24"/>
  <c r="J160" i="24"/>
  <c r="K160" i="24"/>
  <c r="L160" i="24"/>
  <c r="M160" i="24"/>
  <c r="N160" i="24"/>
  <c r="O160" i="24"/>
  <c r="P160" i="24"/>
  <c r="Q160" i="24"/>
  <c r="R160" i="24"/>
  <c r="S160" i="24"/>
  <c r="T160" i="24"/>
  <c r="U160" i="24"/>
  <c r="V160" i="24"/>
  <c r="W160" i="24"/>
  <c r="X160" i="24"/>
  <c r="Y160" i="24"/>
  <c r="Z160" i="24"/>
  <c r="AA160" i="24"/>
  <c r="AB160" i="24"/>
  <c r="AC160" i="24"/>
  <c r="AD160" i="24"/>
  <c r="AE160" i="24"/>
  <c r="AF160" i="24"/>
  <c r="AG160" i="24"/>
  <c r="AH160" i="24"/>
  <c r="AI160" i="24"/>
  <c r="AJ160" i="24"/>
  <c r="AK160" i="24"/>
  <c r="AL160" i="24"/>
  <c r="AM160" i="24"/>
  <c r="AN160" i="24"/>
  <c r="AO160" i="24"/>
  <c r="AP160" i="24"/>
  <c r="AQ160" i="24"/>
  <c r="AR160" i="24"/>
  <c r="AS160" i="24"/>
  <c r="AT160" i="24"/>
  <c r="AU160" i="24"/>
  <c r="AV160" i="24"/>
  <c r="AW160" i="24"/>
  <c r="AX160" i="24"/>
  <c r="AY160" i="24"/>
  <c r="AZ160" i="24"/>
  <c r="BA160" i="24"/>
  <c r="BB160" i="24"/>
  <c r="BC160" i="24"/>
  <c r="BD160" i="24"/>
  <c r="BE160" i="24"/>
  <c r="BF160" i="24"/>
  <c r="BG160" i="24"/>
  <c r="BH160" i="24"/>
  <c r="BI160" i="24"/>
  <c r="BJ160" i="24"/>
  <c r="BK160" i="24"/>
  <c r="BL160" i="24"/>
  <c r="BM160" i="24"/>
  <c r="BN160" i="24"/>
  <c r="BO160" i="24"/>
  <c r="BP160" i="24"/>
  <c r="BQ160" i="24"/>
  <c r="BR160" i="24"/>
  <c r="BS160" i="24"/>
  <c r="BT160" i="24"/>
  <c r="BU160" i="24"/>
  <c r="BV160" i="24"/>
  <c r="BW160" i="24"/>
  <c r="BX160" i="24"/>
  <c r="BY160" i="24"/>
  <c r="BZ160" i="24"/>
  <c r="CA160" i="24"/>
  <c r="CB160" i="24"/>
  <c r="CC160" i="24"/>
  <c r="CD160" i="24"/>
  <c r="CE160" i="24"/>
  <c r="CF160" i="24"/>
  <c r="CG160" i="24"/>
  <c r="CH160" i="24"/>
  <c r="CI160" i="24"/>
  <c r="CJ160" i="24"/>
  <c r="CK160" i="24"/>
  <c r="CL160" i="24"/>
  <c r="CM160" i="24"/>
  <c r="CN160" i="24"/>
  <c r="CO160" i="24"/>
  <c r="CP160" i="24"/>
  <c r="CQ160" i="24"/>
  <c r="CR160" i="24"/>
  <c r="CS160" i="24"/>
  <c r="CT160" i="24"/>
  <c r="CU160" i="24"/>
  <c r="CV160" i="24"/>
  <c r="CW160" i="24"/>
  <c r="CX160" i="24"/>
  <c r="CY160" i="24"/>
  <c r="CZ160" i="24"/>
  <c r="DA160" i="24"/>
  <c r="DB160" i="24"/>
  <c r="DC160" i="24"/>
  <c r="DD160" i="24"/>
  <c r="DE160" i="24"/>
  <c r="DF160" i="24"/>
  <c r="DG160" i="24"/>
  <c r="DH160" i="24"/>
  <c r="DI160" i="24"/>
  <c r="DJ160" i="24"/>
  <c r="DK160" i="24"/>
  <c r="DL160" i="24"/>
  <c r="DM160" i="24"/>
  <c r="DN160" i="24"/>
  <c r="DO160" i="24"/>
  <c r="DP160" i="24"/>
  <c r="DQ160" i="24"/>
  <c r="DR160" i="24"/>
  <c r="DS160" i="24"/>
  <c r="DT160" i="24"/>
  <c r="DU160" i="24"/>
  <c r="DV160" i="24"/>
  <c r="DW160" i="24"/>
  <c r="DX160" i="24"/>
  <c r="DY160" i="24"/>
  <c r="DZ160" i="24"/>
  <c r="EA160" i="24"/>
  <c r="EB160" i="24"/>
  <c r="EC160" i="24"/>
  <c r="ED160" i="24"/>
  <c r="EE160" i="24"/>
  <c r="EF160" i="24"/>
  <c r="EG160" i="24"/>
  <c r="EH160" i="24"/>
  <c r="EI160" i="24"/>
  <c r="EJ160" i="24"/>
  <c r="EK160" i="24"/>
  <c r="EL160" i="24"/>
  <c r="EM160" i="24"/>
  <c r="EN160" i="24"/>
  <c r="EO160" i="24"/>
  <c r="EP160" i="24"/>
  <c r="EQ160" i="24"/>
  <c r="ER160" i="24"/>
  <c r="ES160" i="24"/>
  <c r="ET160" i="24"/>
  <c r="EU160" i="24"/>
  <c r="EV160" i="24"/>
  <c r="EW160" i="24"/>
  <c r="EX160" i="24"/>
  <c r="EY160" i="24"/>
  <c r="EZ160" i="24"/>
  <c r="FA160" i="24"/>
  <c r="FB160" i="24"/>
  <c r="FC160" i="24"/>
  <c r="FD160" i="24"/>
  <c r="FE160" i="24"/>
  <c r="FF160" i="24"/>
  <c r="FG160" i="24"/>
  <c r="FH160" i="24"/>
  <c r="FI160" i="24"/>
  <c r="FJ160" i="24"/>
  <c r="FK160" i="24"/>
  <c r="FL160" i="24"/>
  <c r="FM160" i="24"/>
  <c r="FN160" i="24"/>
  <c r="FO160" i="24"/>
  <c r="FP160" i="24"/>
  <c r="FQ160" i="24"/>
  <c r="FR160" i="24"/>
  <c r="FS160" i="24"/>
  <c r="FT160" i="24"/>
  <c r="FU160" i="24"/>
  <c r="FV160" i="24"/>
  <c r="FW160" i="24"/>
  <c r="FX160" i="24"/>
  <c r="FY160" i="24"/>
  <c r="FZ160" i="24"/>
  <c r="GA160" i="24"/>
  <c r="GB160" i="24"/>
  <c r="GC160" i="24"/>
  <c r="GD160" i="24"/>
  <c r="GE160" i="24"/>
  <c r="GF160" i="24"/>
  <c r="GG160" i="24"/>
  <c r="GH160" i="24"/>
  <c r="GI160" i="24"/>
  <c r="GJ160" i="24"/>
  <c r="GK160" i="24"/>
  <c r="GL160" i="24"/>
  <c r="GM160" i="24"/>
  <c r="GN160" i="24"/>
  <c r="GO160" i="24"/>
  <c r="GP160" i="24"/>
  <c r="GQ160" i="24"/>
  <c r="GR160" i="24"/>
  <c r="GS160" i="24"/>
  <c r="GT160" i="24"/>
  <c r="B161" i="24"/>
  <c r="C161" i="24"/>
  <c r="D161" i="24"/>
  <c r="E161" i="24"/>
  <c r="F161" i="24"/>
  <c r="G161" i="24"/>
  <c r="H161" i="24"/>
  <c r="I161" i="24"/>
  <c r="J161" i="24"/>
  <c r="K161" i="24"/>
  <c r="L161" i="24"/>
  <c r="M161" i="24"/>
  <c r="N161" i="24"/>
  <c r="O161" i="24"/>
  <c r="P161" i="24"/>
  <c r="Q161" i="24"/>
  <c r="R161" i="24"/>
  <c r="S161" i="24"/>
  <c r="T161" i="24"/>
  <c r="U161" i="24"/>
  <c r="V161" i="24"/>
  <c r="W161" i="24"/>
  <c r="X161" i="24"/>
  <c r="Y161" i="24"/>
  <c r="Z161" i="24"/>
  <c r="AA161" i="24"/>
  <c r="AB161" i="24"/>
  <c r="AC161" i="24"/>
  <c r="AD161" i="24"/>
  <c r="AE161" i="24"/>
  <c r="AF161" i="24"/>
  <c r="AG161" i="24"/>
  <c r="AH161" i="24"/>
  <c r="AI161" i="24"/>
  <c r="AJ161" i="24"/>
  <c r="AK161" i="24"/>
  <c r="AL161" i="24"/>
  <c r="AM161" i="24"/>
  <c r="AN161" i="24"/>
  <c r="AO161" i="24"/>
  <c r="AP161" i="24"/>
  <c r="AQ161" i="24"/>
  <c r="AR161" i="24"/>
  <c r="AS161" i="24"/>
  <c r="AT161" i="24"/>
  <c r="AU161" i="24"/>
  <c r="AV161" i="24"/>
  <c r="AW161" i="24"/>
  <c r="AX161" i="24"/>
  <c r="AY161" i="24"/>
  <c r="AZ161" i="24"/>
  <c r="BA161" i="24"/>
  <c r="BB161" i="24"/>
  <c r="BC161" i="24"/>
  <c r="BD161" i="24"/>
  <c r="BE161" i="24"/>
  <c r="BF161" i="24"/>
  <c r="BG161" i="24"/>
  <c r="BH161" i="24"/>
  <c r="BI161" i="24"/>
  <c r="BJ161" i="24"/>
  <c r="BK161" i="24"/>
  <c r="BL161" i="24"/>
  <c r="BM161" i="24"/>
  <c r="BN161" i="24"/>
  <c r="BO161" i="24"/>
  <c r="BP161" i="24"/>
  <c r="BQ161" i="24"/>
  <c r="BR161" i="24"/>
  <c r="BS161" i="24"/>
  <c r="BT161" i="24"/>
  <c r="BU161" i="24"/>
  <c r="BV161" i="24"/>
  <c r="BW161" i="24"/>
  <c r="BX161" i="24"/>
  <c r="BY161" i="24"/>
  <c r="BZ161" i="24"/>
  <c r="CA161" i="24"/>
  <c r="CB161" i="24"/>
  <c r="CC161" i="24"/>
  <c r="CD161" i="24"/>
  <c r="CE161" i="24"/>
  <c r="CF161" i="24"/>
  <c r="CG161" i="24"/>
  <c r="CH161" i="24"/>
  <c r="CI161" i="24"/>
  <c r="CJ161" i="24"/>
  <c r="CK161" i="24"/>
  <c r="CL161" i="24"/>
  <c r="CM161" i="24"/>
  <c r="CN161" i="24"/>
  <c r="CO161" i="24"/>
  <c r="CP161" i="24"/>
  <c r="CQ161" i="24"/>
  <c r="CR161" i="24"/>
  <c r="CS161" i="24"/>
  <c r="CT161" i="24"/>
  <c r="CU161" i="24"/>
  <c r="CV161" i="24"/>
  <c r="CW161" i="24"/>
  <c r="CX161" i="24"/>
  <c r="CY161" i="24"/>
  <c r="CZ161" i="24"/>
  <c r="DA161" i="24"/>
  <c r="DB161" i="24"/>
  <c r="DC161" i="24"/>
  <c r="DD161" i="24"/>
  <c r="DE161" i="24"/>
  <c r="DF161" i="24"/>
  <c r="DG161" i="24"/>
  <c r="DH161" i="24"/>
  <c r="DI161" i="24"/>
  <c r="DJ161" i="24"/>
  <c r="DK161" i="24"/>
  <c r="DL161" i="24"/>
  <c r="DM161" i="24"/>
  <c r="DN161" i="24"/>
  <c r="DO161" i="24"/>
  <c r="DP161" i="24"/>
  <c r="DQ161" i="24"/>
  <c r="DR161" i="24"/>
  <c r="DS161" i="24"/>
  <c r="DT161" i="24"/>
  <c r="DU161" i="24"/>
  <c r="DV161" i="24"/>
  <c r="DW161" i="24"/>
  <c r="DX161" i="24"/>
  <c r="DY161" i="24"/>
  <c r="DZ161" i="24"/>
  <c r="EA161" i="24"/>
  <c r="EB161" i="24"/>
  <c r="EC161" i="24"/>
  <c r="ED161" i="24"/>
  <c r="EE161" i="24"/>
  <c r="EF161" i="24"/>
  <c r="EG161" i="24"/>
  <c r="EH161" i="24"/>
  <c r="EI161" i="24"/>
  <c r="EJ161" i="24"/>
  <c r="EK161" i="24"/>
  <c r="EL161" i="24"/>
  <c r="EM161" i="24"/>
  <c r="EN161" i="24"/>
  <c r="EO161" i="24"/>
  <c r="EP161" i="24"/>
  <c r="EQ161" i="24"/>
  <c r="ER161" i="24"/>
  <c r="ES161" i="24"/>
  <c r="ET161" i="24"/>
  <c r="EU161" i="24"/>
  <c r="EV161" i="24"/>
  <c r="EW161" i="24"/>
  <c r="EX161" i="24"/>
  <c r="EY161" i="24"/>
  <c r="EZ161" i="24"/>
  <c r="FA161" i="24"/>
  <c r="FB161" i="24"/>
  <c r="FC161" i="24"/>
  <c r="FD161" i="24"/>
  <c r="FE161" i="24"/>
  <c r="FF161" i="24"/>
  <c r="FG161" i="24"/>
  <c r="FH161" i="24"/>
  <c r="FI161" i="24"/>
  <c r="FJ161" i="24"/>
  <c r="FK161" i="24"/>
  <c r="FL161" i="24"/>
  <c r="FM161" i="24"/>
  <c r="FN161" i="24"/>
  <c r="FO161" i="24"/>
  <c r="FP161" i="24"/>
  <c r="FQ161" i="24"/>
  <c r="FR161" i="24"/>
  <c r="FS161" i="24"/>
  <c r="FT161" i="24"/>
  <c r="FU161" i="24"/>
  <c r="FV161" i="24"/>
  <c r="FW161" i="24"/>
  <c r="FX161" i="24"/>
  <c r="FY161" i="24"/>
  <c r="FZ161" i="24"/>
  <c r="GA161" i="24"/>
  <c r="GB161" i="24"/>
  <c r="GC161" i="24"/>
  <c r="GD161" i="24"/>
  <c r="GE161" i="24"/>
  <c r="GF161" i="24"/>
  <c r="GG161" i="24"/>
  <c r="GH161" i="24"/>
  <c r="GI161" i="24"/>
  <c r="GJ161" i="24"/>
  <c r="GK161" i="24"/>
  <c r="GL161" i="24"/>
  <c r="GM161" i="24"/>
  <c r="GN161" i="24"/>
  <c r="GO161" i="24"/>
  <c r="GP161" i="24"/>
  <c r="GQ161" i="24"/>
  <c r="GR161" i="24"/>
  <c r="GS161" i="24"/>
  <c r="GT161" i="24"/>
  <c r="B162" i="24"/>
  <c r="C162" i="24"/>
  <c r="D162" i="24"/>
  <c r="E162" i="24"/>
  <c r="F162" i="24"/>
  <c r="G162" i="24"/>
  <c r="H162" i="24"/>
  <c r="I162" i="24"/>
  <c r="J162" i="24"/>
  <c r="K162" i="24"/>
  <c r="L162" i="24"/>
  <c r="M162" i="24"/>
  <c r="N162" i="24"/>
  <c r="O162" i="24"/>
  <c r="P162" i="24"/>
  <c r="Q162" i="24"/>
  <c r="R162" i="24"/>
  <c r="S162" i="24"/>
  <c r="T162" i="24"/>
  <c r="U162" i="24"/>
  <c r="V162" i="24"/>
  <c r="W162" i="24"/>
  <c r="X162" i="24"/>
  <c r="Y162" i="24"/>
  <c r="Z162" i="24"/>
  <c r="AA162" i="24"/>
  <c r="AB162" i="24"/>
  <c r="AC162" i="24"/>
  <c r="AD162" i="24"/>
  <c r="AE162" i="24"/>
  <c r="AF162" i="24"/>
  <c r="AG162" i="24"/>
  <c r="AH162" i="24"/>
  <c r="AI162" i="24"/>
  <c r="AJ162" i="24"/>
  <c r="AK162" i="24"/>
  <c r="AL162" i="24"/>
  <c r="AM162" i="24"/>
  <c r="AN162" i="24"/>
  <c r="AO162" i="24"/>
  <c r="AP162" i="24"/>
  <c r="AQ162" i="24"/>
  <c r="AR162" i="24"/>
  <c r="AS162" i="24"/>
  <c r="AT162" i="24"/>
  <c r="AU162" i="24"/>
  <c r="AV162" i="24"/>
  <c r="AW162" i="24"/>
  <c r="AX162" i="24"/>
  <c r="AY162" i="24"/>
  <c r="AZ162" i="24"/>
  <c r="BA162" i="24"/>
  <c r="BB162" i="24"/>
  <c r="BC162" i="24"/>
  <c r="BD162" i="24"/>
  <c r="BE162" i="24"/>
  <c r="BF162" i="24"/>
  <c r="BG162" i="24"/>
  <c r="BH162" i="24"/>
  <c r="BI162" i="24"/>
  <c r="BJ162" i="24"/>
  <c r="BK162" i="24"/>
  <c r="BL162" i="24"/>
  <c r="BM162" i="24"/>
  <c r="BN162" i="24"/>
  <c r="BO162" i="24"/>
  <c r="BP162" i="24"/>
  <c r="BQ162" i="24"/>
  <c r="BR162" i="24"/>
  <c r="BS162" i="24"/>
  <c r="BT162" i="24"/>
  <c r="BU162" i="24"/>
  <c r="BV162" i="24"/>
  <c r="BW162" i="24"/>
  <c r="BX162" i="24"/>
  <c r="BY162" i="24"/>
  <c r="BZ162" i="24"/>
  <c r="CA162" i="24"/>
  <c r="CB162" i="24"/>
  <c r="CC162" i="24"/>
  <c r="CD162" i="24"/>
  <c r="CE162" i="24"/>
  <c r="CF162" i="24"/>
  <c r="CG162" i="24"/>
  <c r="CH162" i="24"/>
  <c r="CI162" i="24"/>
  <c r="CJ162" i="24"/>
  <c r="CK162" i="24"/>
  <c r="CL162" i="24"/>
  <c r="CM162" i="24"/>
  <c r="CN162" i="24"/>
  <c r="CO162" i="24"/>
  <c r="CP162" i="24"/>
  <c r="CQ162" i="24"/>
  <c r="CR162" i="24"/>
  <c r="CS162" i="24"/>
  <c r="CT162" i="24"/>
  <c r="CU162" i="24"/>
  <c r="CV162" i="24"/>
  <c r="CW162" i="24"/>
  <c r="CX162" i="24"/>
  <c r="CY162" i="24"/>
  <c r="CZ162" i="24"/>
  <c r="DA162" i="24"/>
  <c r="DB162" i="24"/>
  <c r="DC162" i="24"/>
  <c r="DD162" i="24"/>
  <c r="DE162" i="24"/>
  <c r="DF162" i="24"/>
  <c r="DG162" i="24"/>
  <c r="DH162" i="24"/>
  <c r="DI162" i="24"/>
  <c r="DJ162" i="24"/>
  <c r="DK162" i="24"/>
  <c r="DL162" i="24"/>
  <c r="DM162" i="24"/>
  <c r="DN162" i="24"/>
  <c r="DO162" i="24"/>
  <c r="DP162" i="24"/>
  <c r="DQ162" i="24"/>
  <c r="DR162" i="24"/>
  <c r="DS162" i="24"/>
  <c r="DT162" i="24"/>
  <c r="DU162" i="24"/>
  <c r="DV162" i="24"/>
  <c r="DW162" i="24"/>
  <c r="DX162" i="24"/>
  <c r="DY162" i="24"/>
  <c r="DZ162" i="24"/>
  <c r="EA162" i="24"/>
  <c r="EB162" i="24"/>
  <c r="EC162" i="24"/>
  <c r="ED162" i="24"/>
  <c r="EE162" i="24"/>
  <c r="EF162" i="24"/>
  <c r="EG162" i="24"/>
  <c r="EH162" i="24"/>
  <c r="EI162" i="24"/>
  <c r="EJ162" i="24"/>
  <c r="EK162" i="24"/>
  <c r="EL162" i="24"/>
  <c r="EM162" i="24"/>
  <c r="EN162" i="24"/>
  <c r="EO162" i="24"/>
  <c r="EP162" i="24"/>
  <c r="EQ162" i="24"/>
  <c r="ER162" i="24"/>
  <c r="ES162" i="24"/>
  <c r="ET162" i="24"/>
  <c r="EU162" i="24"/>
  <c r="EV162" i="24"/>
  <c r="EW162" i="24"/>
  <c r="EX162" i="24"/>
  <c r="EY162" i="24"/>
  <c r="EZ162" i="24"/>
  <c r="FA162" i="24"/>
  <c r="FB162" i="24"/>
  <c r="FC162" i="24"/>
  <c r="FD162" i="24"/>
  <c r="FE162" i="24"/>
  <c r="FF162" i="24"/>
  <c r="FG162" i="24"/>
  <c r="FH162" i="24"/>
  <c r="FI162" i="24"/>
  <c r="FJ162" i="24"/>
  <c r="FK162" i="24"/>
  <c r="FL162" i="24"/>
  <c r="FM162" i="24"/>
  <c r="FN162" i="24"/>
  <c r="FO162" i="24"/>
  <c r="FP162" i="24"/>
  <c r="FQ162" i="24"/>
  <c r="FR162" i="24"/>
  <c r="FS162" i="24"/>
  <c r="FT162" i="24"/>
  <c r="FU162" i="24"/>
  <c r="FV162" i="24"/>
  <c r="FW162" i="24"/>
  <c r="FX162" i="24"/>
  <c r="FY162" i="24"/>
  <c r="FZ162" i="24"/>
  <c r="GA162" i="24"/>
  <c r="GB162" i="24"/>
  <c r="GC162" i="24"/>
  <c r="GD162" i="24"/>
  <c r="GE162" i="24"/>
  <c r="GF162" i="24"/>
  <c r="GG162" i="24"/>
  <c r="GH162" i="24"/>
  <c r="GI162" i="24"/>
  <c r="GJ162" i="24"/>
  <c r="GK162" i="24"/>
  <c r="GL162" i="24"/>
  <c r="GM162" i="24"/>
  <c r="GN162" i="24"/>
  <c r="GO162" i="24"/>
  <c r="GP162" i="24"/>
  <c r="GQ162" i="24"/>
  <c r="GR162" i="24"/>
  <c r="GS162" i="24"/>
  <c r="GT162" i="24"/>
  <c r="B163" i="24"/>
  <c r="C163" i="24"/>
  <c r="D163" i="24"/>
  <c r="E163" i="24"/>
  <c r="F163" i="24"/>
  <c r="G163" i="24"/>
  <c r="H163" i="24"/>
  <c r="I163" i="24"/>
  <c r="J163" i="24"/>
  <c r="K163" i="24"/>
  <c r="L163" i="24"/>
  <c r="M163" i="24"/>
  <c r="N163" i="24"/>
  <c r="O163" i="24"/>
  <c r="P163" i="24"/>
  <c r="Q163" i="24"/>
  <c r="R163" i="24"/>
  <c r="S163" i="24"/>
  <c r="T163" i="24"/>
  <c r="U163" i="24"/>
  <c r="V163" i="24"/>
  <c r="W163" i="24"/>
  <c r="X163" i="24"/>
  <c r="Y163" i="24"/>
  <c r="Z163" i="24"/>
  <c r="AA163" i="24"/>
  <c r="AB163" i="24"/>
  <c r="AC163" i="24"/>
  <c r="AD163" i="24"/>
  <c r="AE163" i="24"/>
  <c r="AF163" i="24"/>
  <c r="AG163" i="24"/>
  <c r="AH163" i="24"/>
  <c r="AI163" i="24"/>
  <c r="AJ163" i="24"/>
  <c r="AK163" i="24"/>
  <c r="AL163" i="24"/>
  <c r="AM163" i="24"/>
  <c r="AN163" i="24"/>
  <c r="AO163" i="24"/>
  <c r="AP163" i="24"/>
  <c r="AQ163" i="24"/>
  <c r="AR163" i="24"/>
  <c r="AS163" i="24"/>
  <c r="AT163" i="24"/>
  <c r="AU163" i="24"/>
  <c r="AV163" i="24"/>
  <c r="AW163" i="24"/>
  <c r="AX163" i="24"/>
  <c r="AY163" i="24"/>
  <c r="AZ163" i="24"/>
  <c r="BA163" i="24"/>
  <c r="BB163" i="24"/>
  <c r="BC163" i="24"/>
  <c r="BD163" i="24"/>
  <c r="BE163" i="24"/>
  <c r="BF163" i="24"/>
  <c r="BG163" i="24"/>
  <c r="BH163" i="24"/>
  <c r="BI163" i="24"/>
  <c r="BJ163" i="24"/>
  <c r="BK163" i="24"/>
  <c r="BL163" i="24"/>
  <c r="BM163" i="24"/>
  <c r="BN163" i="24"/>
  <c r="BO163" i="24"/>
  <c r="BP163" i="24"/>
  <c r="BQ163" i="24"/>
  <c r="BR163" i="24"/>
  <c r="BS163" i="24"/>
  <c r="BT163" i="24"/>
  <c r="BU163" i="24"/>
  <c r="BV163" i="24"/>
  <c r="BW163" i="24"/>
  <c r="BX163" i="24"/>
  <c r="BY163" i="24"/>
  <c r="BZ163" i="24"/>
  <c r="CA163" i="24"/>
  <c r="CB163" i="24"/>
  <c r="CC163" i="24"/>
  <c r="CD163" i="24"/>
  <c r="CE163" i="24"/>
  <c r="CF163" i="24"/>
  <c r="CG163" i="24"/>
  <c r="CH163" i="24"/>
  <c r="CI163" i="24"/>
  <c r="CJ163" i="24"/>
  <c r="CK163" i="24"/>
  <c r="CL163" i="24"/>
  <c r="CM163" i="24"/>
  <c r="CN163" i="24"/>
  <c r="CO163" i="24"/>
  <c r="CP163" i="24"/>
  <c r="CQ163" i="24"/>
  <c r="CR163" i="24"/>
  <c r="CS163" i="24"/>
  <c r="CT163" i="24"/>
  <c r="CU163" i="24"/>
  <c r="CV163" i="24"/>
  <c r="CW163" i="24"/>
  <c r="CX163" i="24"/>
  <c r="CY163" i="24"/>
  <c r="CZ163" i="24"/>
  <c r="DA163" i="24"/>
  <c r="DB163" i="24"/>
  <c r="DC163" i="24"/>
  <c r="DD163" i="24"/>
  <c r="DE163" i="24"/>
  <c r="DF163" i="24"/>
  <c r="DG163" i="24"/>
  <c r="DH163" i="24"/>
  <c r="DI163" i="24"/>
  <c r="DJ163" i="24"/>
  <c r="DK163" i="24"/>
  <c r="DL163" i="24"/>
  <c r="DM163" i="24"/>
  <c r="DN163" i="24"/>
  <c r="DO163" i="24"/>
  <c r="DP163" i="24"/>
  <c r="DQ163" i="24"/>
  <c r="DR163" i="24"/>
  <c r="DS163" i="24"/>
  <c r="DT163" i="24"/>
  <c r="DU163" i="24"/>
  <c r="DV163" i="24"/>
  <c r="DW163" i="24"/>
  <c r="DX163" i="24"/>
  <c r="DY163" i="24"/>
  <c r="DZ163" i="24"/>
  <c r="EA163" i="24"/>
  <c r="EB163" i="24"/>
  <c r="EC163" i="24"/>
  <c r="ED163" i="24"/>
  <c r="EE163" i="24"/>
  <c r="EF163" i="24"/>
  <c r="EG163" i="24"/>
  <c r="EH163" i="24"/>
  <c r="EI163" i="24"/>
  <c r="EJ163" i="24"/>
  <c r="EK163" i="24"/>
  <c r="EL163" i="24"/>
  <c r="EM163" i="24"/>
  <c r="EN163" i="24"/>
  <c r="EO163" i="24"/>
  <c r="EP163" i="24"/>
  <c r="EQ163" i="24"/>
  <c r="ER163" i="24"/>
  <c r="ES163" i="24"/>
  <c r="ET163" i="24"/>
  <c r="EU163" i="24"/>
  <c r="EV163" i="24"/>
  <c r="EW163" i="24"/>
  <c r="EX163" i="24"/>
  <c r="EY163" i="24"/>
  <c r="EZ163" i="24"/>
  <c r="FA163" i="24"/>
  <c r="FB163" i="24"/>
  <c r="FC163" i="24"/>
  <c r="FD163" i="24"/>
  <c r="FE163" i="24"/>
  <c r="FF163" i="24"/>
  <c r="FG163" i="24"/>
  <c r="FH163" i="24"/>
  <c r="FI163" i="24"/>
  <c r="FJ163" i="24"/>
  <c r="FK163" i="24"/>
  <c r="FL163" i="24"/>
  <c r="FM163" i="24"/>
  <c r="FN163" i="24"/>
  <c r="FO163" i="24"/>
  <c r="FP163" i="24"/>
  <c r="FQ163" i="24"/>
  <c r="FR163" i="24"/>
  <c r="FS163" i="24"/>
  <c r="FT163" i="24"/>
  <c r="FU163" i="24"/>
  <c r="FV163" i="24"/>
  <c r="FW163" i="24"/>
  <c r="FX163" i="24"/>
  <c r="FY163" i="24"/>
  <c r="FZ163" i="24"/>
  <c r="GA163" i="24"/>
  <c r="GB163" i="24"/>
  <c r="GC163" i="24"/>
  <c r="GD163" i="24"/>
  <c r="GE163" i="24"/>
  <c r="GF163" i="24"/>
  <c r="GG163" i="24"/>
  <c r="GH163" i="24"/>
  <c r="GI163" i="24"/>
  <c r="GJ163" i="24"/>
  <c r="GK163" i="24"/>
  <c r="GL163" i="24"/>
  <c r="GM163" i="24"/>
  <c r="GN163" i="24"/>
  <c r="GO163" i="24"/>
  <c r="GP163" i="24"/>
  <c r="GQ163" i="24"/>
  <c r="GR163" i="24"/>
  <c r="GS163" i="24"/>
  <c r="GT163" i="24"/>
  <c r="B164" i="24"/>
  <c r="C164" i="24"/>
  <c r="D164" i="24"/>
  <c r="E164" i="24"/>
  <c r="F164" i="24"/>
  <c r="G164" i="24"/>
  <c r="H164" i="24"/>
  <c r="I164" i="24"/>
  <c r="J164" i="24"/>
  <c r="K164" i="24"/>
  <c r="L164" i="24"/>
  <c r="M164" i="24"/>
  <c r="N164" i="24"/>
  <c r="O164" i="24"/>
  <c r="P164" i="24"/>
  <c r="Q164" i="24"/>
  <c r="R164" i="24"/>
  <c r="S164" i="24"/>
  <c r="T164" i="24"/>
  <c r="U164" i="24"/>
  <c r="V164" i="24"/>
  <c r="W164" i="24"/>
  <c r="X164" i="24"/>
  <c r="Y164" i="24"/>
  <c r="Z164" i="24"/>
  <c r="AA164" i="24"/>
  <c r="AB164" i="24"/>
  <c r="AC164" i="24"/>
  <c r="AD164" i="24"/>
  <c r="AE164" i="24"/>
  <c r="AF164" i="24"/>
  <c r="AG164" i="24"/>
  <c r="AH164" i="24"/>
  <c r="AI164" i="24"/>
  <c r="AJ164" i="24"/>
  <c r="AK164" i="24"/>
  <c r="AL164" i="24"/>
  <c r="AM164" i="24"/>
  <c r="AN164" i="24"/>
  <c r="AO164" i="24"/>
  <c r="AP164" i="24"/>
  <c r="AQ164" i="24"/>
  <c r="AR164" i="24"/>
  <c r="AS164" i="24"/>
  <c r="AT164" i="24"/>
  <c r="AU164" i="24"/>
  <c r="AV164" i="24"/>
  <c r="AW164" i="24"/>
  <c r="AX164" i="24"/>
  <c r="AY164" i="24"/>
  <c r="AZ164" i="24"/>
  <c r="BA164" i="24"/>
  <c r="BB164" i="24"/>
  <c r="BC164" i="24"/>
  <c r="BD164" i="24"/>
  <c r="BE164" i="24"/>
  <c r="BF164" i="24"/>
  <c r="BG164" i="24"/>
  <c r="BH164" i="24"/>
  <c r="BI164" i="24"/>
  <c r="BJ164" i="24"/>
  <c r="BK164" i="24"/>
  <c r="BL164" i="24"/>
  <c r="BM164" i="24"/>
  <c r="BN164" i="24"/>
  <c r="BO164" i="24"/>
  <c r="BP164" i="24"/>
  <c r="BQ164" i="24"/>
  <c r="BR164" i="24"/>
  <c r="BS164" i="24"/>
  <c r="BT164" i="24"/>
  <c r="BU164" i="24"/>
  <c r="BV164" i="24"/>
  <c r="BW164" i="24"/>
  <c r="BX164" i="24"/>
  <c r="BY164" i="24"/>
  <c r="BZ164" i="24"/>
  <c r="CA164" i="24"/>
  <c r="CB164" i="24"/>
  <c r="CC164" i="24"/>
  <c r="CD164" i="24"/>
  <c r="CE164" i="24"/>
  <c r="CF164" i="24"/>
  <c r="CG164" i="24"/>
  <c r="CH164" i="24"/>
  <c r="CI164" i="24"/>
  <c r="CJ164" i="24"/>
  <c r="CK164" i="24"/>
  <c r="CL164" i="24"/>
  <c r="CM164" i="24"/>
  <c r="CN164" i="24"/>
  <c r="CO164" i="24"/>
  <c r="CP164" i="24"/>
  <c r="CQ164" i="24"/>
  <c r="CR164" i="24"/>
  <c r="CS164" i="24"/>
  <c r="CT164" i="24"/>
  <c r="CU164" i="24"/>
  <c r="CV164" i="24"/>
  <c r="CW164" i="24"/>
  <c r="CX164" i="24"/>
  <c r="CY164" i="24"/>
  <c r="CZ164" i="24"/>
  <c r="DA164" i="24"/>
  <c r="DB164" i="24"/>
  <c r="DC164" i="24"/>
  <c r="DD164" i="24"/>
  <c r="DE164" i="24"/>
  <c r="DF164" i="24"/>
  <c r="DG164" i="24"/>
  <c r="DH164" i="24"/>
  <c r="DI164" i="24"/>
  <c r="DJ164" i="24"/>
  <c r="DK164" i="24"/>
  <c r="DL164" i="24"/>
  <c r="DM164" i="24"/>
  <c r="DN164" i="24"/>
  <c r="DO164" i="24"/>
  <c r="DP164" i="24"/>
  <c r="DQ164" i="24"/>
  <c r="DR164" i="24"/>
  <c r="DS164" i="24"/>
  <c r="DT164" i="24"/>
  <c r="DU164" i="24"/>
  <c r="DV164" i="24"/>
  <c r="DW164" i="24"/>
  <c r="DX164" i="24"/>
  <c r="DY164" i="24"/>
  <c r="DZ164" i="24"/>
  <c r="EA164" i="24"/>
  <c r="EB164" i="24"/>
  <c r="EC164" i="24"/>
  <c r="ED164" i="24"/>
  <c r="EE164" i="24"/>
  <c r="EF164" i="24"/>
  <c r="EG164" i="24"/>
  <c r="EH164" i="24"/>
  <c r="EI164" i="24"/>
  <c r="EJ164" i="24"/>
  <c r="EK164" i="24"/>
  <c r="EL164" i="24"/>
  <c r="EM164" i="24"/>
  <c r="EN164" i="24"/>
  <c r="EO164" i="24"/>
  <c r="EP164" i="24"/>
  <c r="EQ164" i="24"/>
  <c r="ER164" i="24"/>
  <c r="ES164" i="24"/>
  <c r="ET164" i="24"/>
  <c r="EU164" i="24"/>
  <c r="EV164" i="24"/>
  <c r="EW164" i="24"/>
  <c r="EX164" i="24"/>
  <c r="EY164" i="24"/>
  <c r="EZ164" i="24"/>
  <c r="FA164" i="24"/>
  <c r="FB164" i="24"/>
  <c r="FC164" i="24"/>
  <c r="FD164" i="24"/>
  <c r="FE164" i="24"/>
  <c r="FF164" i="24"/>
  <c r="FG164" i="24"/>
  <c r="FH164" i="24"/>
  <c r="FI164" i="24"/>
  <c r="FJ164" i="24"/>
  <c r="FK164" i="24"/>
  <c r="FL164" i="24"/>
  <c r="FM164" i="24"/>
  <c r="FN164" i="24"/>
  <c r="FO164" i="24"/>
  <c r="FP164" i="24"/>
  <c r="FQ164" i="24"/>
  <c r="FR164" i="24"/>
  <c r="FS164" i="24"/>
  <c r="FT164" i="24"/>
  <c r="FU164" i="24"/>
  <c r="FV164" i="24"/>
  <c r="FW164" i="24"/>
  <c r="FX164" i="24"/>
  <c r="FY164" i="24"/>
  <c r="FZ164" i="24"/>
  <c r="GA164" i="24"/>
  <c r="GB164" i="24"/>
  <c r="GC164" i="24"/>
  <c r="GD164" i="24"/>
  <c r="GE164" i="24"/>
  <c r="GF164" i="24"/>
  <c r="GG164" i="24"/>
  <c r="GH164" i="24"/>
  <c r="GI164" i="24"/>
  <c r="GJ164" i="24"/>
  <c r="GK164" i="24"/>
  <c r="GL164" i="24"/>
  <c r="GM164" i="24"/>
  <c r="GN164" i="24"/>
  <c r="GO164" i="24"/>
  <c r="GP164" i="24"/>
  <c r="GQ164" i="24"/>
  <c r="GR164" i="24"/>
  <c r="GS164" i="24"/>
  <c r="GT164" i="24"/>
  <c r="B165" i="24"/>
  <c r="C165" i="24"/>
  <c r="D165" i="24"/>
  <c r="E165" i="24"/>
  <c r="F165" i="24"/>
  <c r="G165" i="24"/>
  <c r="H165" i="24"/>
  <c r="I165" i="24"/>
  <c r="J165" i="24"/>
  <c r="K165" i="24"/>
  <c r="L165" i="24"/>
  <c r="M165" i="24"/>
  <c r="N165" i="24"/>
  <c r="O165" i="24"/>
  <c r="P165" i="24"/>
  <c r="Q165" i="24"/>
  <c r="R165" i="24"/>
  <c r="S165" i="24"/>
  <c r="T165" i="24"/>
  <c r="U165" i="24"/>
  <c r="V165" i="24"/>
  <c r="W165" i="24"/>
  <c r="X165" i="24"/>
  <c r="Y165" i="24"/>
  <c r="Z165" i="24"/>
  <c r="AA165" i="24"/>
  <c r="AB165" i="24"/>
  <c r="AC165" i="24"/>
  <c r="AD165" i="24"/>
  <c r="AE165" i="24"/>
  <c r="AF165" i="24"/>
  <c r="AG165" i="24"/>
  <c r="AH165" i="24"/>
  <c r="AI165" i="24"/>
  <c r="AJ165" i="24"/>
  <c r="AK165" i="24"/>
  <c r="AL165" i="24"/>
  <c r="AM165" i="24"/>
  <c r="AN165" i="24"/>
  <c r="AO165" i="24"/>
  <c r="AP165" i="24"/>
  <c r="AQ165" i="24"/>
  <c r="AR165" i="24"/>
  <c r="AS165" i="24"/>
  <c r="AT165" i="24"/>
  <c r="AU165" i="24"/>
  <c r="AV165" i="24"/>
  <c r="AW165" i="24"/>
  <c r="AX165" i="24"/>
  <c r="AY165" i="24"/>
  <c r="AZ165" i="24"/>
  <c r="BA165" i="24"/>
  <c r="BB165" i="24"/>
  <c r="BC165" i="24"/>
  <c r="BD165" i="24"/>
  <c r="BE165" i="24"/>
  <c r="BF165" i="24"/>
  <c r="BG165" i="24"/>
  <c r="BH165" i="24"/>
  <c r="BI165" i="24"/>
  <c r="BJ165" i="24"/>
  <c r="BK165" i="24"/>
  <c r="BL165" i="24"/>
  <c r="BM165" i="24"/>
  <c r="BN165" i="24"/>
  <c r="BO165" i="24"/>
  <c r="BP165" i="24"/>
  <c r="BQ165" i="24"/>
  <c r="BR165" i="24"/>
  <c r="BS165" i="24"/>
  <c r="BT165" i="24"/>
  <c r="BU165" i="24"/>
  <c r="BV165" i="24"/>
  <c r="BW165" i="24"/>
  <c r="BX165" i="24"/>
  <c r="BY165" i="24"/>
  <c r="BZ165" i="24"/>
  <c r="CA165" i="24"/>
  <c r="CB165" i="24"/>
  <c r="CC165" i="24"/>
  <c r="CD165" i="24"/>
  <c r="CE165" i="24"/>
  <c r="CF165" i="24"/>
  <c r="CG165" i="24"/>
  <c r="CH165" i="24"/>
  <c r="CI165" i="24"/>
  <c r="CJ165" i="24"/>
  <c r="CK165" i="24"/>
  <c r="CL165" i="24"/>
  <c r="CM165" i="24"/>
  <c r="CN165" i="24"/>
  <c r="CO165" i="24"/>
  <c r="CP165" i="24"/>
  <c r="CQ165" i="24"/>
  <c r="CR165" i="24"/>
  <c r="CS165" i="24"/>
  <c r="CT165" i="24"/>
  <c r="CU165" i="24"/>
  <c r="CV165" i="24"/>
  <c r="CW165" i="24"/>
  <c r="CX165" i="24"/>
  <c r="CY165" i="24"/>
  <c r="CZ165" i="24"/>
  <c r="DA165" i="24"/>
  <c r="DB165" i="24"/>
  <c r="DC165" i="24"/>
  <c r="DD165" i="24"/>
  <c r="DE165" i="24"/>
  <c r="DF165" i="24"/>
  <c r="DG165" i="24"/>
  <c r="DH165" i="24"/>
  <c r="DI165" i="24"/>
  <c r="DJ165" i="24"/>
  <c r="DK165" i="24"/>
  <c r="DL165" i="24"/>
  <c r="DM165" i="24"/>
  <c r="DN165" i="24"/>
  <c r="DO165" i="24"/>
  <c r="DP165" i="24"/>
  <c r="DQ165" i="24"/>
  <c r="DR165" i="24"/>
  <c r="DS165" i="24"/>
  <c r="DT165" i="24"/>
  <c r="DU165" i="24"/>
  <c r="DV165" i="24"/>
  <c r="DW165" i="24"/>
  <c r="DX165" i="24"/>
  <c r="DY165" i="24"/>
  <c r="DZ165" i="24"/>
  <c r="EA165" i="24"/>
  <c r="EB165" i="24"/>
  <c r="EC165" i="24"/>
  <c r="ED165" i="24"/>
  <c r="EE165" i="24"/>
  <c r="EF165" i="24"/>
  <c r="EG165" i="24"/>
  <c r="EH165" i="24"/>
  <c r="EI165" i="24"/>
  <c r="EJ165" i="24"/>
  <c r="EK165" i="24"/>
  <c r="EL165" i="24"/>
  <c r="EM165" i="24"/>
  <c r="EN165" i="24"/>
  <c r="EO165" i="24"/>
  <c r="EP165" i="24"/>
  <c r="EQ165" i="24"/>
  <c r="ER165" i="24"/>
  <c r="ES165" i="24"/>
  <c r="ET165" i="24"/>
  <c r="EU165" i="24"/>
  <c r="EV165" i="24"/>
  <c r="EW165" i="24"/>
  <c r="EX165" i="24"/>
  <c r="EY165" i="24"/>
  <c r="EZ165" i="24"/>
  <c r="FA165" i="24"/>
  <c r="FB165" i="24"/>
  <c r="FC165" i="24"/>
  <c r="FD165" i="24"/>
  <c r="FE165" i="24"/>
  <c r="FF165" i="24"/>
  <c r="FG165" i="24"/>
  <c r="FH165" i="24"/>
  <c r="FI165" i="24"/>
  <c r="FJ165" i="24"/>
  <c r="FK165" i="24"/>
  <c r="FL165" i="24"/>
  <c r="FM165" i="24"/>
  <c r="FN165" i="24"/>
  <c r="FO165" i="24"/>
  <c r="FP165" i="24"/>
  <c r="FQ165" i="24"/>
  <c r="FR165" i="24"/>
  <c r="FS165" i="24"/>
  <c r="FT165" i="24"/>
  <c r="FU165" i="24"/>
  <c r="FV165" i="24"/>
  <c r="FW165" i="24"/>
  <c r="FX165" i="24"/>
  <c r="FY165" i="24"/>
  <c r="FZ165" i="24"/>
  <c r="GA165" i="24"/>
  <c r="GB165" i="24"/>
  <c r="GC165" i="24"/>
  <c r="GD165" i="24"/>
  <c r="GE165" i="24"/>
  <c r="GF165" i="24"/>
  <c r="GG165" i="24"/>
  <c r="GH165" i="24"/>
  <c r="GI165" i="24"/>
  <c r="GJ165" i="24"/>
  <c r="GK165" i="24"/>
  <c r="GL165" i="24"/>
  <c r="GM165" i="24"/>
  <c r="GN165" i="24"/>
  <c r="GO165" i="24"/>
  <c r="GP165" i="24"/>
  <c r="GQ165" i="24"/>
  <c r="GR165" i="24"/>
  <c r="GS165" i="24"/>
  <c r="GT165" i="24"/>
  <c r="B166" i="24"/>
  <c r="C166" i="24"/>
  <c r="D166" i="24"/>
  <c r="E166" i="24"/>
  <c r="F166" i="24"/>
  <c r="G166" i="24"/>
  <c r="H166" i="24"/>
  <c r="I166" i="24"/>
  <c r="J166" i="24"/>
  <c r="K166" i="24"/>
  <c r="L166" i="24"/>
  <c r="M166" i="24"/>
  <c r="N166" i="24"/>
  <c r="O166" i="24"/>
  <c r="P166" i="24"/>
  <c r="Q166" i="24"/>
  <c r="R166" i="24"/>
  <c r="S166" i="24"/>
  <c r="T166" i="24"/>
  <c r="U166" i="24"/>
  <c r="V166" i="24"/>
  <c r="W166" i="24"/>
  <c r="X166" i="24"/>
  <c r="Y166" i="24"/>
  <c r="Z166" i="24"/>
  <c r="AA166" i="24"/>
  <c r="AB166" i="24"/>
  <c r="AC166" i="24"/>
  <c r="AD166" i="24"/>
  <c r="AE166" i="24"/>
  <c r="AF166" i="24"/>
  <c r="AG166" i="24"/>
  <c r="AH166" i="24"/>
  <c r="AI166" i="24"/>
  <c r="AJ166" i="24"/>
  <c r="AK166" i="24"/>
  <c r="AL166" i="24"/>
  <c r="AM166" i="24"/>
  <c r="AN166" i="24"/>
  <c r="AO166" i="24"/>
  <c r="AP166" i="24"/>
  <c r="AQ166" i="24"/>
  <c r="AR166" i="24"/>
  <c r="AS166" i="24"/>
  <c r="AT166" i="24"/>
  <c r="AU166" i="24"/>
  <c r="AV166" i="24"/>
  <c r="AW166" i="24"/>
  <c r="AX166" i="24"/>
  <c r="AY166" i="24"/>
  <c r="AZ166" i="24"/>
  <c r="BA166" i="24"/>
  <c r="BB166" i="24"/>
  <c r="BC166" i="24"/>
  <c r="BD166" i="24"/>
  <c r="BE166" i="24"/>
  <c r="BF166" i="24"/>
  <c r="BG166" i="24"/>
  <c r="BH166" i="24"/>
  <c r="BI166" i="24"/>
  <c r="BJ166" i="24"/>
  <c r="BK166" i="24"/>
  <c r="BL166" i="24"/>
  <c r="BM166" i="24"/>
  <c r="BN166" i="24"/>
  <c r="BO166" i="24"/>
  <c r="BP166" i="24"/>
  <c r="BQ166" i="24"/>
  <c r="BR166" i="24"/>
  <c r="BS166" i="24"/>
  <c r="BT166" i="24"/>
  <c r="BU166" i="24"/>
  <c r="BV166" i="24"/>
  <c r="BW166" i="24"/>
  <c r="BX166" i="24"/>
  <c r="BY166" i="24"/>
  <c r="BZ166" i="24"/>
  <c r="CA166" i="24"/>
  <c r="CB166" i="24"/>
  <c r="CC166" i="24"/>
  <c r="CD166" i="24"/>
  <c r="CE166" i="24"/>
  <c r="CF166" i="24"/>
  <c r="CG166" i="24"/>
  <c r="CH166" i="24"/>
  <c r="CI166" i="24"/>
  <c r="CJ166" i="24"/>
  <c r="CK166" i="24"/>
  <c r="CL166" i="24"/>
  <c r="CM166" i="24"/>
  <c r="CN166" i="24"/>
  <c r="CO166" i="24"/>
  <c r="CP166" i="24"/>
  <c r="CQ166" i="24"/>
  <c r="CR166" i="24"/>
  <c r="CS166" i="24"/>
  <c r="CT166" i="24"/>
  <c r="CU166" i="24"/>
  <c r="CV166" i="24"/>
  <c r="CW166" i="24"/>
  <c r="CX166" i="24"/>
  <c r="CY166" i="24"/>
  <c r="CZ166" i="24"/>
  <c r="DA166" i="24"/>
  <c r="DB166" i="24"/>
  <c r="DC166" i="24"/>
  <c r="DD166" i="24"/>
  <c r="DE166" i="24"/>
  <c r="DF166" i="24"/>
  <c r="DG166" i="24"/>
  <c r="DH166" i="24"/>
  <c r="DI166" i="24"/>
  <c r="DJ166" i="24"/>
  <c r="DK166" i="24"/>
  <c r="DL166" i="24"/>
  <c r="DM166" i="24"/>
  <c r="DN166" i="24"/>
  <c r="DO166" i="24"/>
  <c r="DP166" i="24"/>
  <c r="DQ166" i="24"/>
  <c r="DR166" i="24"/>
  <c r="DS166" i="24"/>
  <c r="DT166" i="24"/>
  <c r="DU166" i="24"/>
  <c r="DV166" i="24"/>
  <c r="DW166" i="24"/>
  <c r="DX166" i="24"/>
  <c r="DY166" i="24"/>
  <c r="DZ166" i="24"/>
  <c r="EA166" i="24"/>
  <c r="EB166" i="24"/>
  <c r="EC166" i="24"/>
  <c r="ED166" i="24"/>
  <c r="EE166" i="24"/>
  <c r="EF166" i="24"/>
  <c r="EG166" i="24"/>
  <c r="EH166" i="24"/>
  <c r="EI166" i="24"/>
  <c r="EJ166" i="24"/>
  <c r="EK166" i="24"/>
  <c r="EL166" i="24"/>
  <c r="EM166" i="24"/>
  <c r="EN166" i="24"/>
  <c r="EO166" i="24"/>
  <c r="EP166" i="24"/>
  <c r="EQ166" i="24"/>
  <c r="ER166" i="24"/>
  <c r="ES166" i="24"/>
  <c r="ET166" i="24"/>
  <c r="EU166" i="24"/>
  <c r="EV166" i="24"/>
  <c r="EW166" i="24"/>
  <c r="EX166" i="24"/>
  <c r="EY166" i="24"/>
  <c r="EZ166" i="24"/>
  <c r="FA166" i="24"/>
  <c r="FB166" i="24"/>
  <c r="FC166" i="24"/>
  <c r="FD166" i="24"/>
  <c r="FE166" i="24"/>
  <c r="FF166" i="24"/>
  <c r="FG166" i="24"/>
  <c r="FH166" i="24"/>
  <c r="FI166" i="24"/>
  <c r="FJ166" i="24"/>
  <c r="FK166" i="24"/>
  <c r="FL166" i="24"/>
  <c r="FM166" i="24"/>
  <c r="FN166" i="24"/>
  <c r="FO166" i="24"/>
  <c r="FP166" i="24"/>
  <c r="FQ166" i="24"/>
  <c r="FR166" i="24"/>
  <c r="FS166" i="24"/>
  <c r="FT166" i="24"/>
  <c r="FU166" i="24"/>
  <c r="FV166" i="24"/>
  <c r="FW166" i="24"/>
  <c r="FX166" i="24"/>
  <c r="FY166" i="24"/>
  <c r="FZ166" i="24"/>
  <c r="GA166" i="24"/>
  <c r="GB166" i="24"/>
  <c r="GC166" i="24"/>
  <c r="GD166" i="24"/>
  <c r="GE166" i="24"/>
  <c r="GF166" i="24"/>
  <c r="GG166" i="24"/>
  <c r="GH166" i="24"/>
  <c r="GI166" i="24"/>
  <c r="GJ166" i="24"/>
  <c r="GK166" i="24"/>
  <c r="GL166" i="24"/>
  <c r="GM166" i="24"/>
  <c r="GN166" i="24"/>
  <c r="GO166" i="24"/>
  <c r="GP166" i="24"/>
  <c r="GQ166" i="24"/>
  <c r="GR166" i="24"/>
  <c r="GS166" i="24"/>
  <c r="GT166" i="24"/>
  <c r="B167" i="24"/>
  <c r="C167" i="24"/>
  <c r="D167" i="24"/>
  <c r="E167" i="24"/>
  <c r="F167" i="24"/>
  <c r="G167" i="24"/>
  <c r="H167" i="24"/>
  <c r="I167" i="24"/>
  <c r="J167" i="24"/>
  <c r="K167" i="24"/>
  <c r="L167" i="24"/>
  <c r="M167" i="24"/>
  <c r="N167" i="24"/>
  <c r="O167" i="24"/>
  <c r="P167" i="24"/>
  <c r="Q167" i="24"/>
  <c r="R167" i="24"/>
  <c r="S167" i="24"/>
  <c r="T167" i="24"/>
  <c r="U167" i="24"/>
  <c r="V167" i="24"/>
  <c r="W167" i="24"/>
  <c r="X167" i="24"/>
  <c r="Y167" i="24"/>
  <c r="Z167" i="24"/>
  <c r="AA167" i="24"/>
  <c r="AB167" i="24"/>
  <c r="AC167" i="24"/>
  <c r="AD167" i="24"/>
  <c r="AE167" i="24"/>
  <c r="AF167" i="24"/>
  <c r="AG167" i="24"/>
  <c r="AH167" i="24"/>
  <c r="AI167" i="24"/>
  <c r="AJ167" i="24"/>
  <c r="AK167" i="24"/>
  <c r="AL167" i="24"/>
  <c r="AM167" i="24"/>
  <c r="AN167" i="24"/>
  <c r="AO167" i="24"/>
  <c r="AP167" i="24"/>
  <c r="AQ167" i="24"/>
  <c r="AR167" i="24"/>
  <c r="AS167" i="24"/>
  <c r="AT167" i="24"/>
  <c r="AU167" i="24"/>
  <c r="AV167" i="24"/>
  <c r="AW167" i="24"/>
  <c r="AX167" i="24"/>
  <c r="AY167" i="24"/>
  <c r="AZ167" i="24"/>
  <c r="BA167" i="24"/>
  <c r="BB167" i="24"/>
  <c r="BC167" i="24"/>
  <c r="BD167" i="24"/>
  <c r="BE167" i="24"/>
  <c r="BF167" i="24"/>
  <c r="BG167" i="24"/>
  <c r="BH167" i="24"/>
  <c r="BI167" i="24"/>
  <c r="BJ167" i="24"/>
  <c r="BK167" i="24"/>
  <c r="BL167" i="24"/>
  <c r="BM167" i="24"/>
  <c r="BN167" i="24"/>
  <c r="BO167" i="24"/>
  <c r="BP167" i="24"/>
  <c r="BQ167" i="24"/>
  <c r="BR167" i="24"/>
  <c r="BS167" i="24"/>
  <c r="BT167" i="24"/>
  <c r="BU167" i="24"/>
  <c r="BV167" i="24"/>
  <c r="BW167" i="24"/>
  <c r="BX167" i="24"/>
  <c r="BY167" i="24"/>
  <c r="BZ167" i="24"/>
  <c r="CA167" i="24"/>
  <c r="CB167" i="24"/>
  <c r="CC167" i="24"/>
  <c r="CD167" i="24"/>
  <c r="CE167" i="24"/>
  <c r="CF167" i="24"/>
  <c r="CG167" i="24"/>
  <c r="CH167" i="24"/>
  <c r="CI167" i="24"/>
  <c r="CJ167" i="24"/>
  <c r="CK167" i="24"/>
  <c r="CL167" i="24"/>
  <c r="CM167" i="24"/>
  <c r="CN167" i="24"/>
  <c r="CO167" i="24"/>
  <c r="CP167" i="24"/>
  <c r="CQ167" i="24"/>
  <c r="CR167" i="24"/>
  <c r="CS167" i="24"/>
  <c r="CT167" i="24"/>
  <c r="CU167" i="24"/>
  <c r="CV167" i="24"/>
  <c r="CW167" i="24"/>
  <c r="CX167" i="24"/>
  <c r="CY167" i="24"/>
  <c r="CZ167" i="24"/>
  <c r="DA167" i="24"/>
  <c r="DB167" i="24"/>
  <c r="DC167" i="24"/>
  <c r="DD167" i="24"/>
  <c r="DE167" i="24"/>
  <c r="DF167" i="24"/>
  <c r="DG167" i="24"/>
  <c r="DH167" i="24"/>
  <c r="DI167" i="24"/>
  <c r="DJ167" i="24"/>
  <c r="DK167" i="24"/>
  <c r="DL167" i="24"/>
  <c r="DM167" i="24"/>
  <c r="DN167" i="24"/>
  <c r="DO167" i="24"/>
  <c r="DP167" i="24"/>
  <c r="DQ167" i="24"/>
  <c r="DR167" i="24"/>
  <c r="DS167" i="24"/>
  <c r="DT167" i="24"/>
  <c r="DU167" i="24"/>
  <c r="DV167" i="24"/>
  <c r="DW167" i="24"/>
  <c r="DX167" i="24"/>
  <c r="DY167" i="24"/>
  <c r="DZ167" i="24"/>
  <c r="EA167" i="24"/>
  <c r="EB167" i="24"/>
  <c r="EC167" i="24"/>
  <c r="ED167" i="24"/>
  <c r="EE167" i="24"/>
  <c r="EF167" i="24"/>
  <c r="EG167" i="24"/>
  <c r="EH167" i="24"/>
  <c r="EI167" i="24"/>
  <c r="EJ167" i="24"/>
  <c r="EK167" i="24"/>
  <c r="EL167" i="24"/>
  <c r="EM167" i="24"/>
  <c r="EN167" i="24"/>
  <c r="EO167" i="24"/>
  <c r="EP167" i="24"/>
  <c r="EQ167" i="24"/>
  <c r="ER167" i="24"/>
  <c r="ES167" i="24"/>
  <c r="ET167" i="24"/>
  <c r="EU167" i="24"/>
  <c r="EV167" i="24"/>
  <c r="EW167" i="24"/>
  <c r="EX167" i="24"/>
  <c r="EY167" i="24"/>
  <c r="EZ167" i="24"/>
  <c r="FA167" i="24"/>
  <c r="FB167" i="24"/>
  <c r="FC167" i="24"/>
  <c r="FD167" i="24"/>
  <c r="FE167" i="24"/>
  <c r="FF167" i="24"/>
  <c r="FG167" i="24"/>
  <c r="FH167" i="24"/>
  <c r="FI167" i="24"/>
  <c r="FJ167" i="24"/>
  <c r="FK167" i="24"/>
  <c r="FL167" i="24"/>
  <c r="FM167" i="24"/>
  <c r="FN167" i="24"/>
  <c r="FO167" i="24"/>
  <c r="FP167" i="24"/>
  <c r="FQ167" i="24"/>
  <c r="FR167" i="24"/>
  <c r="FS167" i="24"/>
  <c r="FT167" i="24"/>
  <c r="FU167" i="24"/>
  <c r="FV167" i="24"/>
  <c r="FW167" i="24"/>
  <c r="FX167" i="24"/>
  <c r="FY167" i="24"/>
  <c r="FZ167" i="24"/>
  <c r="GA167" i="24"/>
  <c r="GB167" i="24"/>
  <c r="GC167" i="24"/>
  <c r="GD167" i="24"/>
  <c r="GE167" i="24"/>
  <c r="GF167" i="24"/>
  <c r="GG167" i="24"/>
  <c r="GH167" i="24"/>
  <c r="GI167" i="24"/>
  <c r="GJ167" i="24"/>
  <c r="GK167" i="24"/>
  <c r="GL167" i="24"/>
  <c r="GM167" i="24"/>
  <c r="GN167" i="24"/>
  <c r="GO167" i="24"/>
  <c r="GP167" i="24"/>
  <c r="GQ167" i="24"/>
  <c r="GR167" i="24"/>
  <c r="GS167" i="24"/>
  <c r="GT167" i="24"/>
  <c r="B168" i="24"/>
  <c r="C168" i="24"/>
  <c r="D168" i="24"/>
  <c r="E168" i="24"/>
  <c r="F168" i="24"/>
  <c r="G168" i="24"/>
  <c r="H168" i="24"/>
  <c r="I168" i="24"/>
  <c r="J168" i="24"/>
  <c r="K168" i="24"/>
  <c r="L168" i="24"/>
  <c r="M168" i="24"/>
  <c r="N168" i="24"/>
  <c r="O168" i="24"/>
  <c r="P168" i="24"/>
  <c r="Q168" i="24"/>
  <c r="R168" i="24"/>
  <c r="S168" i="24"/>
  <c r="T168" i="24"/>
  <c r="U168" i="24"/>
  <c r="V168" i="24"/>
  <c r="W168" i="24"/>
  <c r="X168" i="24"/>
  <c r="Y168" i="24"/>
  <c r="Z168" i="24"/>
  <c r="AA168" i="24"/>
  <c r="AB168" i="24"/>
  <c r="AC168" i="24"/>
  <c r="AD168" i="24"/>
  <c r="AE168" i="24"/>
  <c r="AF168" i="24"/>
  <c r="AG168" i="24"/>
  <c r="AH168" i="24"/>
  <c r="AI168" i="24"/>
  <c r="AJ168" i="24"/>
  <c r="AK168" i="24"/>
  <c r="AL168" i="24"/>
  <c r="AM168" i="24"/>
  <c r="AN168" i="24"/>
  <c r="AO168" i="24"/>
  <c r="AP168" i="24"/>
  <c r="AQ168" i="24"/>
  <c r="AR168" i="24"/>
  <c r="AS168" i="24"/>
  <c r="AT168" i="24"/>
  <c r="AU168" i="24"/>
  <c r="AV168" i="24"/>
  <c r="AW168" i="24"/>
  <c r="AX168" i="24"/>
  <c r="AY168" i="24"/>
  <c r="AZ168" i="24"/>
  <c r="BA168" i="24"/>
  <c r="BB168" i="24"/>
  <c r="BC168" i="24"/>
  <c r="BD168" i="24"/>
  <c r="BE168" i="24"/>
  <c r="BF168" i="24"/>
  <c r="BG168" i="24"/>
  <c r="BH168" i="24"/>
  <c r="BI168" i="24"/>
  <c r="BJ168" i="24"/>
  <c r="BK168" i="24"/>
  <c r="BL168" i="24"/>
  <c r="BM168" i="24"/>
  <c r="BN168" i="24"/>
  <c r="BO168" i="24"/>
  <c r="BP168" i="24"/>
  <c r="BQ168" i="24"/>
  <c r="BR168" i="24"/>
  <c r="BS168" i="24"/>
  <c r="BT168" i="24"/>
  <c r="BU168" i="24"/>
  <c r="BV168" i="24"/>
  <c r="BW168" i="24"/>
  <c r="BX168" i="24"/>
  <c r="BY168" i="24"/>
  <c r="BZ168" i="24"/>
  <c r="CA168" i="24"/>
  <c r="CB168" i="24"/>
  <c r="CC168" i="24"/>
  <c r="CD168" i="24"/>
  <c r="CE168" i="24"/>
  <c r="CF168" i="24"/>
  <c r="CG168" i="24"/>
  <c r="CH168" i="24"/>
  <c r="CI168" i="24"/>
  <c r="CJ168" i="24"/>
  <c r="CK168" i="24"/>
  <c r="CL168" i="24"/>
  <c r="CM168" i="24"/>
  <c r="CN168" i="24"/>
  <c r="CO168" i="24"/>
  <c r="CP168" i="24"/>
  <c r="CQ168" i="24"/>
  <c r="CR168" i="24"/>
  <c r="CS168" i="24"/>
  <c r="CT168" i="24"/>
  <c r="CU168" i="24"/>
  <c r="CV168" i="24"/>
  <c r="CW168" i="24"/>
  <c r="CX168" i="24"/>
  <c r="CY168" i="24"/>
  <c r="CZ168" i="24"/>
  <c r="DA168" i="24"/>
  <c r="DB168" i="24"/>
  <c r="DC168" i="24"/>
  <c r="DD168" i="24"/>
  <c r="DE168" i="24"/>
  <c r="DF168" i="24"/>
  <c r="DG168" i="24"/>
  <c r="DH168" i="24"/>
  <c r="DI168" i="24"/>
  <c r="DJ168" i="24"/>
  <c r="DK168" i="24"/>
  <c r="DL168" i="24"/>
  <c r="DM168" i="24"/>
  <c r="DN168" i="24"/>
  <c r="DO168" i="24"/>
  <c r="DP168" i="24"/>
  <c r="DQ168" i="24"/>
  <c r="DR168" i="24"/>
  <c r="DS168" i="24"/>
  <c r="DT168" i="24"/>
  <c r="DU168" i="24"/>
  <c r="DV168" i="24"/>
  <c r="DW168" i="24"/>
  <c r="DX168" i="24"/>
  <c r="DY168" i="24"/>
  <c r="DZ168" i="24"/>
  <c r="EA168" i="24"/>
  <c r="EB168" i="24"/>
  <c r="EC168" i="24"/>
  <c r="ED168" i="24"/>
  <c r="EE168" i="24"/>
  <c r="EF168" i="24"/>
  <c r="EG168" i="24"/>
  <c r="EH168" i="24"/>
  <c r="EI168" i="24"/>
  <c r="EJ168" i="24"/>
  <c r="EK168" i="24"/>
  <c r="EL168" i="24"/>
  <c r="EM168" i="24"/>
  <c r="EN168" i="24"/>
  <c r="EO168" i="24"/>
  <c r="EP168" i="24"/>
  <c r="EQ168" i="24"/>
  <c r="ER168" i="24"/>
  <c r="ES168" i="24"/>
  <c r="ET168" i="24"/>
  <c r="EU168" i="24"/>
  <c r="EV168" i="24"/>
  <c r="EW168" i="24"/>
  <c r="EX168" i="24"/>
  <c r="EY168" i="24"/>
  <c r="EZ168" i="24"/>
  <c r="FA168" i="24"/>
  <c r="FB168" i="24"/>
  <c r="FC168" i="24"/>
  <c r="FD168" i="24"/>
  <c r="FE168" i="24"/>
  <c r="FF168" i="24"/>
  <c r="FG168" i="24"/>
  <c r="FH168" i="24"/>
  <c r="FI168" i="24"/>
  <c r="FJ168" i="24"/>
  <c r="FK168" i="24"/>
  <c r="FL168" i="24"/>
  <c r="FM168" i="24"/>
  <c r="FN168" i="24"/>
  <c r="FO168" i="24"/>
  <c r="FP168" i="24"/>
  <c r="FQ168" i="24"/>
  <c r="FR168" i="24"/>
  <c r="FS168" i="24"/>
  <c r="FT168" i="24"/>
  <c r="FU168" i="24"/>
  <c r="FV168" i="24"/>
  <c r="FW168" i="24"/>
  <c r="FX168" i="24"/>
  <c r="FY168" i="24"/>
  <c r="FZ168" i="24"/>
  <c r="GA168" i="24"/>
  <c r="GB168" i="24"/>
  <c r="GC168" i="24"/>
  <c r="GD168" i="24"/>
  <c r="GE168" i="24"/>
  <c r="GF168" i="24"/>
  <c r="GG168" i="24"/>
  <c r="GH168" i="24"/>
  <c r="GI168" i="24"/>
  <c r="GJ168" i="24"/>
  <c r="GK168" i="24"/>
  <c r="GL168" i="24"/>
  <c r="GM168" i="24"/>
  <c r="GN168" i="24"/>
  <c r="GO168" i="24"/>
  <c r="GP168" i="24"/>
  <c r="GQ168" i="24"/>
  <c r="GR168" i="24"/>
  <c r="GS168" i="24"/>
  <c r="GT168" i="24"/>
  <c r="B169" i="24"/>
  <c r="C169" i="24"/>
  <c r="D169" i="24"/>
  <c r="E169" i="24"/>
  <c r="F169" i="24"/>
  <c r="G169" i="24"/>
  <c r="H169" i="24"/>
  <c r="I169" i="24"/>
  <c r="J169" i="24"/>
  <c r="K169" i="24"/>
  <c r="L169" i="24"/>
  <c r="M169" i="24"/>
  <c r="N169" i="24"/>
  <c r="O169" i="24"/>
  <c r="P169" i="24"/>
  <c r="Q169" i="24"/>
  <c r="R169" i="24"/>
  <c r="S169" i="24"/>
  <c r="T169" i="24"/>
  <c r="U169" i="24"/>
  <c r="V169" i="24"/>
  <c r="W169" i="24"/>
  <c r="X169" i="24"/>
  <c r="Y169" i="24"/>
  <c r="Z169" i="24"/>
  <c r="AA169" i="24"/>
  <c r="AB169" i="24"/>
  <c r="AC169" i="24"/>
  <c r="AD169" i="24"/>
  <c r="AE169" i="24"/>
  <c r="AF169" i="24"/>
  <c r="AG169" i="24"/>
  <c r="AH169" i="24"/>
  <c r="AI169" i="24"/>
  <c r="AJ169" i="24"/>
  <c r="AK169" i="24"/>
  <c r="AL169" i="24"/>
  <c r="AM169" i="24"/>
  <c r="AN169" i="24"/>
  <c r="AO169" i="24"/>
  <c r="AP169" i="24"/>
  <c r="AQ169" i="24"/>
  <c r="AR169" i="24"/>
  <c r="AS169" i="24"/>
  <c r="AT169" i="24"/>
  <c r="AU169" i="24"/>
  <c r="AV169" i="24"/>
  <c r="AW169" i="24"/>
  <c r="AX169" i="24"/>
  <c r="AY169" i="24"/>
  <c r="AZ169" i="24"/>
  <c r="BA169" i="24"/>
  <c r="BB169" i="24"/>
  <c r="BC169" i="24"/>
  <c r="BD169" i="24"/>
  <c r="BE169" i="24"/>
  <c r="BF169" i="24"/>
  <c r="BG169" i="24"/>
  <c r="BH169" i="24"/>
  <c r="BI169" i="24"/>
  <c r="BJ169" i="24"/>
  <c r="BK169" i="24"/>
  <c r="BL169" i="24"/>
  <c r="BM169" i="24"/>
  <c r="BN169" i="24"/>
  <c r="BO169" i="24"/>
  <c r="BP169" i="24"/>
  <c r="BQ169" i="24"/>
  <c r="BR169" i="24"/>
  <c r="BS169" i="24"/>
  <c r="BT169" i="24"/>
  <c r="BU169" i="24"/>
  <c r="BV169" i="24"/>
  <c r="BW169" i="24"/>
  <c r="BX169" i="24"/>
  <c r="BY169" i="24"/>
  <c r="BZ169" i="24"/>
  <c r="CA169" i="24"/>
  <c r="CB169" i="24"/>
  <c r="CC169" i="24"/>
  <c r="CD169" i="24"/>
  <c r="CE169" i="24"/>
  <c r="CF169" i="24"/>
  <c r="CG169" i="24"/>
  <c r="CH169" i="24"/>
  <c r="CI169" i="24"/>
  <c r="CJ169" i="24"/>
  <c r="CK169" i="24"/>
  <c r="CL169" i="24"/>
  <c r="CM169" i="24"/>
  <c r="CN169" i="24"/>
  <c r="CO169" i="24"/>
  <c r="CP169" i="24"/>
  <c r="CQ169" i="24"/>
  <c r="CR169" i="24"/>
  <c r="CS169" i="24"/>
  <c r="CT169" i="24"/>
  <c r="CU169" i="24"/>
  <c r="CV169" i="24"/>
  <c r="CW169" i="24"/>
  <c r="CX169" i="24"/>
  <c r="CY169" i="24"/>
  <c r="CZ169" i="24"/>
  <c r="DA169" i="24"/>
  <c r="DB169" i="24"/>
  <c r="DC169" i="24"/>
  <c r="DD169" i="24"/>
  <c r="DE169" i="24"/>
  <c r="DF169" i="24"/>
  <c r="DG169" i="24"/>
  <c r="DH169" i="24"/>
  <c r="DI169" i="24"/>
  <c r="DJ169" i="24"/>
  <c r="DK169" i="24"/>
  <c r="DL169" i="24"/>
  <c r="DM169" i="24"/>
  <c r="DN169" i="24"/>
  <c r="DO169" i="24"/>
  <c r="DP169" i="24"/>
  <c r="DQ169" i="24"/>
  <c r="DR169" i="24"/>
  <c r="DS169" i="24"/>
  <c r="DT169" i="24"/>
  <c r="DU169" i="24"/>
  <c r="DV169" i="24"/>
  <c r="DW169" i="24"/>
  <c r="DX169" i="24"/>
  <c r="DY169" i="24"/>
  <c r="DZ169" i="24"/>
  <c r="EA169" i="24"/>
  <c r="EB169" i="24"/>
  <c r="EC169" i="24"/>
  <c r="ED169" i="24"/>
  <c r="EE169" i="24"/>
  <c r="EF169" i="24"/>
  <c r="EG169" i="24"/>
  <c r="EH169" i="24"/>
  <c r="EI169" i="24"/>
  <c r="EJ169" i="24"/>
  <c r="EK169" i="24"/>
  <c r="EL169" i="24"/>
  <c r="EM169" i="24"/>
  <c r="EN169" i="24"/>
  <c r="EO169" i="24"/>
  <c r="EP169" i="24"/>
  <c r="EQ169" i="24"/>
  <c r="ER169" i="24"/>
  <c r="ES169" i="24"/>
  <c r="ET169" i="24"/>
  <c r="EU169" i="24"/>
  <c r="EV169" i="24"/>
  <c r="EW169" i="24"/>
  <c r="EX169" i="24"/>
  <c r="EY169" i="24"/>
  <c r="EZ169" i="24"/>
  <c r="FA169" i="24"/>
  <c r="FB169" i="24"/>
  <c r="FC169" i="24"/>
  <c r="FD169" i="24"/>
  <c r="FE169" i="24"/>
  <c r="FF169" i="24"/>
  <c r="FG169" i="24"/>
  <c r="FH169" i="24"/>
  <c r="FI169" i="24"/>
  <c r="FJ169" i="24"/>
  <c r="FK169" i="24"/>
  <c r="FL169" i="24"/>
  <c r="FM169" i="24"/>
  <c r="FN169" i="24"/>
  <c r="FO169" i="24"/>
  <c r="FP169" i="24"/>
  <c r="FQ169" i="24"/>
  <c r="FR169" i="24"/>
  <c r="FS169" i="24"/>
  <c r="FT169" i="24"/>
  <c r="FU169" i="24"/>
  <c r="FV169" i="24"/>
  <c r="FW169" i="24"/>
  <c r="FX169" i="24"/>
  <c r="FY169" i="24"/>
  <c r="FZ169" i="24"/>
  <c r="GA169" i="24"/>
  <c r="GB169" i="24"/>
  <c r="GC169" i="24"/>
  <c r="GD169" i="24"/>
  <c r="GE169" i="24"/>
  <c r="GF169" i="24"/>
  <c r="GG169" i="24"/>
  <c r="GH169" i="24"/>
  <c r="GI169" i="24"/>
  <c r="GJ169" i="24"/>
  <c r="GK169" i="24"/>
  <c r="GL169" i="24"/>
  <c r="GM169" i="24"/>
  <c r="GN169" i="24"/>
  <c r="GO169" i="24"/>
  <c r="GP169" i="24"/>
  <c r="GQ169" i="24"/>
  <c r="GR169" i="24"/>
  <c r="GS169" i="24"/>
  <c r="GT169" i="24"/>
  <c r="B170" i="24"/>
  <c r="C170" i="24"/>
  <c r="D170" i="24"/>
  <c r="E170" i="24"/>
  <c r="F170" i="24"/>
  <c r="G170" i="24"/>
  <c r="H170" i="24"/>
  <c r="I170" i="24"/>
  <c r="J170" i="24"/>
  <c r="K170" i="24"/>
  <c r="L170" i="24"/>
  <c r="M170" i="24"/>
  <c r="N170" i="24"/>
  <c r="O170" i="24"/>
  <c r="P170" i="24"/>
  <c r="Q170" i="24"/>
  <c r="R170" i="24"/>
  <c r="S170" i="24"/>
  <c r="T170" i="24"/>
  <c r="U170" i="24"/>
  <c r="V170" i="24"/>
  <c r="W170" i="24"/>
  <c r="X170" i="24"/>
  <c r="Y170" i="24"/>
  <c r="Z170" i="24"/>
  <c r="AA170" i="24"/>
  <c r="AB170" i="24"/>
  <c r="AC170" i="24"/>
  <c r="AD170" i="24"/>
  <c r="AE170" i="24"/>
  <c r="AF170" i="24"/>
  <c r="AG170" i="24"/>
  <c r="AH170" i="24"/>
  <c r="AI170" i="24"/>
  <c r="AJ170" i="24"/>
  <c r="AK170" i="24"/>
  <c r="AL170" i="24"/>
  <c r="AM170" i="24"/>
  <c r="AN170" i="24"/>
  <c r="AO170" i="24"/>
  <c r="AP170" i="24"/>
  <c r="AQ170" i="24"/>
  <c r="AR170" i="24"/>
  <c r="AS170" i="24"/>
  <c r="AT170" i="24"/>
  <c r="AU170" i="24"/>
  <c r="AV170" i="24"/>
  <c r="AW170" i="24"/>
  <c r="AX170" i="24"/>
  <c r="AY170" i="24"/>
  <c r="AZ170" i="24"/>
  <c r="BA170" i="24"/>
  <c r="BB170" i="24"/>
  <c r="BC170" i="24"/>
  <c r="BD170" i="24"/>
  <c r="BE170" i="24"/>
  <c r="BF170" i="24"/>
  <c r="BG170" i="24"/>
  <c r="BH170" i="24"/>
  <c r="BI170" i="24"/>
  <c r="BJ170" i="24"/>
  <c r="BK170" i="24"/>
  <c r="BL170" i="24"/>
  <c r="BM170" i="24"/>
  <c r="BN170" i="24"/>
  <c r="BO170" i="24"/>
  <c r="BP170" i="24"/>
  <c r="BQ170" i="24"/>
  <c r="BR170" i="24"/>
  <c r="BS170" i="24"/>
  <c r="BT170" i="24"/>
  <c r="BU170" i="24"/>
  <c r="BV170" i="24"/>
  <c r="BW170" i="24"/>
  <c r="BX170" i="24"/>
  <c r="BY170" i="24"/>
  <c r="BZ170" i="24"/>
  <c r="CA170" i="24"/>
  <c r="CB170" i="24"/>
  <c r="CC170" i="24"/>
  <c r="CD170" i="24"/>
  <c r="CE170" i="24"/>
  <c r="CF170" i="24"/>
  <c r="CG170" i="24"/>
  <c r="CH170" i="24"/>
  <c r="CI170" i="24"/>
  <c r="CJ170" i="24"/>
  <c r="CK170" i="24"/>
  <c r="CL170" i="24"/>
  <c r="CM170" i="24"/>
  <c r="CN170" i="24"/>
  <c r="CO170" i="24"/>
  <c r="CP170" i="24"/>
  <c r="CQ170" i="24"/>
  <c r="CR170" i="24"/>
  <c r="CS170" i="24"/>
  <c r="CT170" i="24"/>
  <c r="CU170" i="24"/>
  <c r="CV170" i="24"/>
  <c r="CW170" i="24"/>
  <c r="CX170" i="24"/>
  <c r="CY170" i="24"/>
  <c r="CZ170" i="24"/>
  <c r="DA170" i="24"/>
  <c r="DB170" i="24"/>
  <c r="DC170" i="24"/>
  <c r="DD170" i="24"/>
  <c r="DE170" i="24"/>
  <c r="DF170" i="24"/>
  <c r="DG170" i="24"/>
  <c r="DH170" i="24"/>
  <c r="DI170" i="24"/>
  <c r="DJ170" i="24"/>
  <c r="DK170" i="24"/>
  <c r="DL170" i="24"/>
  <c r="DM170" i="24"/>
  <c r="DN170" i="24"/>
  <c r="DO170" i="24"/>
  <c r="DP170" i="24"/>
  <c r="DQ170" i="24"/>
  <c r="DR170" i="24"/>
  <c r="DS170" i="24"/>
  <c r="DT170" i="24"/>
  <c r="DU170" i="24"/>
  <c r="DV170" i="24"/>
  <c r="DW170" i="24"/>
  <c r="DX170" i="24"/>
  <c r="DY170" i="24"/>
  <c r="DZ170" i="24"/>
  <c r="EA170" i="24"/>
  <c r="EB170" i="24"/>
  <c r="EC170" i="24"/>
  <c r="ED170" i="24"/>
  <c r="EE170" i="24"/>
  <c r="EF170" i="24"/>
  <c r="EG170" i="24"/>
  <c r="EH170" i="24"/>
  <c r="EI170" i="24"/>
  <c r="EJ170" i="24"/>
  <c r="EK170" i="24"/>
  <c r="EL170" i="24"/>
  <c r="EM170" i="24"/>
  <c r="EN170" i="24"/>
  <c r="EO170" i="24"/>
  <c r="EP170" i="24"/>
  <c r="EQ170" i="24"/>
  <c r="ER170" i="24"/>
  <c r="ES170" i="24"/>
  <c r="ET170" i="24"/>
  <c r="EU170" i="24"/>
  <c r="EV170" i="24"/>
  <c r="EW170" i="24"/>
  <c r="EX170" i="24"/>
  <c r="EY170" i="24"/>
  <c r="EZ170" i="24"/>
  <c r="FA170" i="24"/>
  <c r="FB170" i="24"/>
  <c r="FC170" i="24"/>
  <c r="FD170" i="24"/>
  <c r="FE170" i="24"/>
  <c r="FF170" i="24"/>
  <c r="FG170" i="24"/>
  <c r="FH170" i="24"/>
  <c r="FI170" i="24"/>
  <c r="FJ170" i="24"/>
  <c r="FK170" i="24"/>
  <c r="FL170" i="24"/>
  <c r="FM170" i="24"/>
  <c r="FN170" i="24"/>
  <c r="FO170" i="24"/>
  <c r="FP170" i="24"/>
  <c r="FQ170" i="24"/>
  <c r="FR170" i="24"/>
  <c r="FS170" i="24"/>
  <c r="FT170" i="24"/>
  <c r="FU170" i="24"/>
  <c r="FV170" i="24"/>
  <c r="FW170" i="24"/>
  <c r="FX170" i="24"/>
  <c r="FY170" i="24"/>
  <c r="FZ170" i="24"/>
  <c r="GA170" i="24"/>
  <c r="GB170" i="24"/>
  <c r="GC170" i="24"/>
  <c r="GD170" i="24"/>
  <c r="GE170" i="24"/>
  <c r="GF170" i="24"/>
  <c r="GG170" i="24"/>
  <c r="GH170" i="24"/>
  <c r="GI170" i="24"/>
  <c r="GJ170" i="24"/>
  <c r="GK170" i="24"/>
  <c r="GL170" i="24"/>
  <c r="GM170" i="24"/>
  <c r="GN170" i="24"/>
  <c r="GO170" i="24"/>
  <c r="GP170" i="24"/>
  <c r="GQ170" i="24"/>
  <c r="GR170" i="24"/>
  <c r="GS170" i="24"/>
  <c r="GT170" i="24"/>
  <c r="B171" i="24"/>
  <c r="C171" i="24"/>
  <c r="D171" i="24"/>
  <c r="E171" i="24"/>
  <c r="F171" i="24"/>
  <c r="G171" i="24"/>
  <c r="H171" i="24"/>
  <c r="I171" i="24"/>
  <c r="J171" i="24"/>
  <c r="K171" i="24"/>
  <c r="L171" i="24"/>
  <c r="M171" i="24"/>
  <c r="N171" i="24"/>
  <c r="O171" i="24"/>
  <c r="P171" i="24"/>
  <c r="Q171" i="24"/>
  <c r="R171" i="24"/>
  <c r="S171" i="24"/>
  <c r="T171" i="24"/>
  <c r="U171" i="24"/>
  <c r="V171" i="24"/>
  <c r="W171" i="24"/>
  <c r="X171" i="24"/>
  <c r="Y171" i="24"/>
  <c r="Z171" i="24"/>
  <c r="AA171" i="24"/>
  <c r="AB171" i="24"/>
  <c r="AC171" i="24"/>
  <c r="AD171" i="24"/>
  <c r="AE171" i="24"/>
  <c r="AF171" i="24"/>
  <c r="AG171" i="24"/>
  <c r="AH171" i="24"/>
  <c r="AI171" i="24"/>
  <c r="AJ171" i="24"/>
  <c r="AK171" i="24"/>
  <c r="AL171" i="24"/>
  <c r="AM171" i="24"/>
  <c r="AN171" i="24"/>
  <c r="AO171" i="24"/>
  <c r="AP171" i="24"/>
  <c r="AQ171" i="24"/>
  <c r="AR171" i="24"/>
  <c r="AS171" i="24"/>
  <c r="AT171" i="24"/>
  <c r="AU171" i="24"/>
  <c r="AV171" i="24"/>
  <c r="AW171" i="24"/>
  <c r="AX171" i="24"/>
  <c r="AY171" i="24"/>
  <c r="AZ171" i="24"/>
  <c r="BA171" i="24"/>
  <c r="BB171" i="24"/>
  <c r="BC171" i="24"/>
  <c r="BD171" i="24"/>
  <c r="BE171" i="24"/>
  <c r="BF171" i="24"/>
  <c r="BG171" i="24"/>
  <c r="BH171" i="24"/>
  <c r="BI171" i="24"/>
  <c r="BJ171" i="24"/>
  <c r="BK171" i="24"/>
  <c r="BL171" i="24"/>
  <c r="BM171" i="24"/>
  <c r="BN171" i="24"/>
  <c r="BO171" i="24"/>
  <c r="BP171" i="24"/>
  <c r="BQ171" i="24"/>
  <c r="BR171" i="24"/>
  <c r="BS171" i="24"/>
  <c r="BT171" i="24"/>
  <c r="BU171" i="24"/>
  <c r="BV171" i="24"/>
  <c r="BW171" i="24"/>
  <c r="BX171" i="24"/>
  <c r="BY171" i="24"/>
  <c r="BZ171" i="24"/>
  <c r="CA171" i="24"/>
  <c r="CB171" i="24"/>
  <c r="CC171" i="24"/>
  <c r="CD171" i="24"/>
  <c r="CE171" i="24"/>
  <c r="CF171" i="24"/>
  <c r="CG171" i="24"/>
  <c r="CH171" i="24"/>
  <c r="CI171" i="24"/>
  <c r="CJ171" i="24"/>
  <c r="CK171" i="24"/>
  <c r="CL171" i="24"/>
  <c r="CM171" i="24"/>
  <c r="CN171" i="24"/>
  <c r="CO171" i="24"/>
  <c r="CP171" i="24"/>
  <c r="CQ171" i="24"/>
  <c r="CR171" i="24"/>
  <c r="CS171" i="24"/>
  <c r="CT171" i="24"/>
  <c r="CU171" i="24"/>
  <c r="CV171" i="24"/>
  <c r="CW171" i="24"/>
  <c r="CX171" i="24"/>
  <c r="CY171" i="24"/>
  <c r="CZ171" i="24"/>
  <c r="DA171" i="24"/>
  <c r="DB171" i="24"/>
  <c r="DC171" i="24"/>
  <c r="DD171" i="24"/>
  <c r="DE171" i="24"/>
  <c r="DF171" i="24"/>
  <c r="DG171" i="24"/>
  <c r="DH171" i="24"/>
  <c r="DI171" i="24"/>
  <c r="DJ171" i="24"/>
  <c r="DK171" i="24"/>
  <c r="DL171" i="24"/>
  <c r="DM171" i="24"/>
  <c r="DN171" i="24"/>
  <c r="DO171" i="24"/>
  <c r="DP171" i="24"/>
  <c r="DQ171" i="24"/>
  <c r="DR171" i="24"/>
  <c r="DS171" i="24"/>
  <c r="DT171" i="24"/>
  <c r="DU171" i="24"/>
  <c r="DV171" i="24"/>
  <c r="DW171" i="24"/>
  <c r="DX171" i="24"/>
  <c r="DY171" i="24"/>
  <c r="DZ171" i="24"/>
  <c r="EA171" i="24"/>
  <c r="EB171" i="24"/>
  <c r="EC171" i="24"/>
  <c r="ED171" i="24"/>
  <c r="EE171" i="24"/>
  <c r="EF171" i="24"/>
  <c r="EG171" i="24"/>
  <c r="EH171" i="24"/>
  <c r="EI171" i="24"/>
  <c r="EJ171" i="24"/>
  <c r="EK171" i="24"/>
  <c r="EL171" i="24"/>
  <c r="EM171" i="24"/>
  <c r="EN171" i="24"/>
  <c r="EO171" i="24"/>
  <c r="EP171" i="24"/>
  <c r="EQ171" i="24"/>
  <c r="ER171" i="24"/>
  <c r="ES171" i="24"/>
  <c r="ET171" i="24"/>
  <c r="EU171" i="24"/>
  <c r="EV171" i="24"/>
  <c r="EW171" i="24"/>
  <c r="EX171" i="24"/>
  <c r="EY171" i="24"/>
  <c r="EZ171" i="24"/>
  <c r="FA171" i="24"/>
  <c r="FB171" i="24"/>
  <c r="FC171" i="24"/>
  <c r="FD171" i="24"/>
  <c r="FE171" i="24"/>
  <c r="FF171" i="24"/>
  <c r="FG171" i="24"/>
  <c r="FH171" i="24"/>
  <c r="FI171" i="24"/>
  <c r="FJ171" i="24"/>
  <c r="FK171" i="24"/>
  <c r="FL171" i="24"/>
  <c r="FM171" i="24"/>
  <c r="FN171" i="24"/>
  <c r="FO171" i="24"/>
  <c r="FP171" i="24"/>
  <c r="FQ171" i="24"/>
  <c r="FR171" i="24"/>
  <c r="FS171" i="24"/>
  <c r="FT171" i="24"/>
  <c r="FU171" i="24"/>
  <c r="FV171" i="24"/>
  <c r="FW171" i="24"/>
  <c r="FX171" i="24"/>
  <c r="FY171" i="24"/>
  <c r="FZ171" i="24"/>
  <c r="GA171" i="24"/>
  <c r="GB171" i="24"/>
  <c r="GC171" i="24"/>
  <c r="GD171" i="24"/>
  <c r="GE171" i="24"/>
  <c r="GF171" i="24"/>
  <c r="GG171" i="24"/>
  <c r="GH171" i="24"/>
  <c r="GI171" i="24"/>
  <c r="GJ171" i="24"/>
  <c r="GK171" i="24"/>
  <c r="GL171" i="24"/>
  <c r="GM171" i="24"/>
  <c r="GN171" i="24"/>
  <c r="GO171" i="24"/>
  <c r="GP171" i="24"/>
  <c r="GQ171" i="24"/>
  <c r="GR171" i="24"/>
  <c r="GS171" i="24"/>
  <c r="GT171" i="24"/>
  <c r="B172" i="24"/>
  <c r="C172" i="24"/>
  <c r="D172" i="24"/>
  <c r="E172" i="24"/>
  <c r="F172" i="24"/>
  <c r="G172" i="24"/>
  <c r="H172" i="24"/>
  <c r="I172" i="24"/>
  <c r="J172" i="24"/>
  <c r="K172" i="24"/>
  <c r="L172" i="24"/>
  <c r="M172" i="24"/>
  <c r="N172" i="24"/>
  <c r="O172" i="24"/>
  <c r="P172" i="24"/>
  <c r="Q172" i="24"/>
  <c r="R172" i="24"/>
  <c r="S172" i="24"/>
  <c r="T172" i="24"/>
  <c r="U172" i="24"/>
  <c r="V172" i="24"/>
  <c r="W172" i="24"/>
  <c r="X172" i="24"/>
  <c r="Y172" i="24"/>
  <c r="Z172" i="24"/>
  <c r="AA172" i="24"/>
  <c r="AB172" i="24"/>
  <c r="AC172" i="24"/>
  <c r="AD172" i="24"/>
  <c r="AE172" i="24"/>
  <c r="AF172" i="24"/>
  <c r="AG172" i="24"/>
  <c r="AH172" i="24"/>
  <c r="AI172" i="24"/>
  <c r="AJ172" i="24"/>
  <c r="AK172" i="24"/>
  <c r="AL172" i="24"/>
  <c r="AM172" i="24"/>
  <c r="AN172" i="24"/>
  <c r="AO172" i="24"/>
  <c r="AP172" i="24"/>
  <c r="AQ172" i="24"/>
  <c r="AR172" i="24"/>
  <c r="AS172" i="24"/>
  <c r="AT172" i="24"/>
  <c r="AU172" i="24"/>
  <c r="AV172" i="24"/>
  <c r="AW172" i="24"/>
  <c r="AX172" i="24"/>
  <c r="AY172" i="24"/>
  <c r="AZ172" i="24"/>
  <c r="BA172" i="24"/>
  <c r="BB172" i="24"/>
  <c r="BC172" i="24"/>
  <c r="BD172" i="24"/>
  <c r="BE172" i="24"/>
  <c r="BF172" i="24"/>
  <c r="BG172" i="24"/>
  <c r="BH172" i="24"/>
  <c r="BI172" i="24"/>
  <c r="BJ172" i="24"/>
  <c r="BK172" i="24"/>
  <c r="BL172" i="24"/>
  <c r="BM172" i="24"/>
  <c r="BN172" i="24"/>
  <c r="BO172" i="24"/>
  <c r="BP172" i="24"/>
  <c r="BQ172" i="24"/>
  <c r="BR172" i="24"/>
  <c r="BS172" i="24"/>
  <c r="BT172" i="24"/>
  <c r="BU172" i="24"/>
  <c r="BV172" i="24"/>
  <c r="BW172" i="24"/>
  <c r="BX172" i="24"/>
  <c r="BY172" i="24"/>
  <c r="BZ172" i="24"/>
  <c r="CA172" i="24"/>
  <c r="CB172" i="24"/>
  <c r="CC172" i="24"/>
  <c r="CD172" i="24"/>
  <c r="CE172" i="24"/>
  <c r="CF172" i="24"/>
  <c r="CG172" i="24"/>
  <c r="CH172" i="24"/>
  <c r="CI172" i="24"/>
  <c r="CJ172" i="24"/>
  <c r="CK172" i="24"/>
  <c r="CL172" i="24"/>
  <c r="CM172" i="24"/>
  <c r="CN172" i="24"/>
  <c r="CO172" i="24"/>
  <c r="CP172" i="24"/>
  <c r="CQ172" i="24"/>
  <c r="CR172" i="24"/>
  <c r="CS172" i="24"/>
  <c r="CT172" i="24"/>
  <c r="CU172" i="24"/>
  <c r="CV172" i="24"/>
  <c r="CW172" i="24"/>
  <c r="CX172" i="24"/>
  <c r="CY172" i="24"/>
  <c r="CZ172" i="24"/>
  <c r="DA172" i="24"/>
  <c r="DB172" i="24"/>
  <c r="DC172" i="24"/>
  <c r="DD172" i="24"/>
  <c r="DE172" i="24"/>
  <c r="DF172" i="24"/>
  <c r="DG172" i="24"/>
  <c r="DH172" i="24"/>
  <c r="DI172" i="24"/>
  <c r="DJ172" i="24"/>
  <c r="DK172" i="24"/>
  <c r="DL172" i="24"/>
  <c r="DM172" i="24"/>
  <c r="DN172" i="24"/>
  <c r="DO172" i="24"/>
  <c r="DP172" i="24"/>
  <c r="DQ172" i="24"/>
  <c r="DR172" i="24"/>
  <c r="DS172" i="24"/>
  <c r="DT172" i="24"/>
  <c r="DU172" i="24"/>
  <c r="DV172" i="24"/>
  <c r="DW172" i="24"/>
  <c r="DX172" i="24"/>
  <c r="DY172" i="24"/>
  <c r="DZ172" i="24"/>
  <c r="EA172" i="24"/>
  <c r="EB172" i="24"/>
  <c r="EC172" i="24"/>
  <c r="ED172" i="24"/>
  <c r="EE172" i="24"/>
  <c r="EF172" i="24"/>
  <c r="EG172" i="24"/>
  <c r="EH172" i="24"/>
  <c r="EI172" i="24"/>
  <c r="EJ172" i="24"/>
  <c r="EK172" i="24"/>
  <c r="EL172" i="24"/>
  <c r="EM172" i="24"/>
  <c r="EN172" i="24"/>
  <c r="EO172" i="24"/>
  <c r="EP172" i="24"/>
  <c r="EQ172" i="24"/>
  <c r="ER172" i="24"/>
  <c r="ES172" i="24"/>
  <c r="ET172" i="24"/>
  <c r="EU172" i="24"/>
  <c r="EV172" i="24"/>
  <c r="EW172" i="24"/>
  <c r="EX172" i="24"/>
  <c r="EY172" i="24"/>
  <c r="EZ172" i="24"/>
  <c r="FA172" i="24"/>
  <c r="FB172" i="24"/>
  <c r="FC172" i="24"/>
  <c r="FD172" i="24"/>
  <c r="FE172" i="24"/>
  <c r="FF172" i="24"/>
  <c r="FG172" i="24"/>
  <c r="FH172" i="24"/>
  <c r="FI172" i="24"/>
  <c r="FJ172" i="24"/>
  <c r="FK172" i="24"/>
  <c r="FL172" i="24"/>
  <c r="FM172" i="24"/>
  <c r="FN172" i="24"/>
  <c r="FO172" i="24"/>
  <c r="FP172" i="24"/>
  <c r="FQ172" i="24"/>
  <c r="FR172" i="24"/>
  <c r="FS172" i="24"/>
  <c r="FT172" i="24"/>
  <c r="FU172" i="24"/>
  <c r="FV172" i="24"/>
  <c r="FW172" i="24"/>
  <c r="FX172" i="24"/>
  <c r="FY172" i="24"/>
  <c r="FZ172" i="24"/>
  <c r="GA172" i="24"/>
  <c r="GB172" i="24"/>
  <c r="GC172" i="24"/>
  <c r="GD172" i="24"/>
  <c r="GE172" i="24"/>
  <c r="GF172" i="24"/>
  <c r="GG172" i="24"/>
  <c r="GH172" i="24"/>
  <c r="GI172" i="24"/>
  <c r="GJ172" i="24"/>
  <c r="GK172" i="24"/>
  <c r="GL172" i="24"/>
  <c r="GM172" i="24"/>
  <c r="GN172" i="24"/>
  <c r="GO172" i="24"/>
  <c r="GP172" i="24"/>
  <c r="GQ172" i="24"/>
  <c r="GR172" i="24"/>
  <c r="GS172" i="24"/>
  <c r="GT172" i="24"/>
  <c r="B173" i="24"/>
  <c r="C173" i="24"/>
  <c r="D173" i="24"/>
  <c r="E173" i="24"/>
  <c r="F173" i="24"/>
  <c r="G173" i="24"/>
  <c r="H173" i="24"/>
  <c r="I173" i="24"/>
  <c r="J173" i="24"/>
  <c r="K173" i="24"/>
  <c r="L173" i="24"/>
  <c r="M173" i="24"/>
  <c r="N173" i="24"/>
  <c r="O173" i="24"/>
  <c r="P173" i="24"/>
  <c r="Q173" i="24"/>
  <c r="R173" i="24"/>
  <c r="S173" i="24"/>
  <c r="T173" i="24"/>
  <c r="U173" i="24"/>
  <c r="V173" i="24"/>
  <c r="W173" i="24"/>
  <c r="X173" i="24"/>
  <c r="Y173" i="24"/>
  <c r="Z173" i="24"/>
  <c r="AA173" i="24"/>
  <c r="AB173" i="24"/>
  <c r="AC173" i="24"/>
  <c r="AD173" i="24"/>
  <c r="AE173" i="24"/>
  <c r="AF173" i="24"/>
  <c r="AG173" i="24"/>
  <c r="AH173" i="24"/>
  <c r="AI173" i="24"/>
  <c r="AJ173" i="24"/>
  <c r="AK173" i="24"/>
  <c r="AL173" i="24"/>
  <c r="AM173" i="24"/>
  <c r="AN173" i="24"/>
  <c r="AO173" i="24"/>
  <c r="AP173" i="24"/>
  <c r="AQ173" i="24"/>
  <c r="AR173" i="24"/>
  <c r="AS173" i="24"/>
  <c r="AT173" i="24"/>
  <c r="AU173" i="24"/>
  <c r="AV173" i="24"/>
  <c r="AW173" i="24"/>
  <c r="AX173" i="24"/>
  <c r="AY173" i="24"/>
  <c r="AZ173" i="24"/>
  <c r="BA173" i="24"/>
  <c r="BB173" i="24"/>
  <c r="BC173" i="24"/>
  <c r="BD173" i="24"/>
  <c r="BE173" i="24"/>
  <c r="BF173" i="24"/>
  <c r="BG173" i="24"/>
  <c r="BH173" i="24"/>
  <c r="BI173" i="24"/>
  <c r="BJ173" i="24"/>
  <c r="BK173" i="24"/>
  <c r="BL173" i="24"/>
  <c r="BM173" i="24"/>
  <c r="BN173" i="24"/>
  <c r="BO173" i="24"/>
  <c r="BP173" i="24"/>
  <c r="BQ173" i="24"/>
  <c r="BR173" i="24"/>
  <c r="BS173" i="24"/>
  <c r="BT173" i="24"/>
  <c r="BU173" i="24"/>
  <c r="BV173" i="24"/>
  <c r="BW173" i="24"/>
  <c r="BX173" i="24"/>
  <c r="BY173" i="24"/>
  <c r="BZ173" i="24"/>
  <c r="CA173" i="24"/>
  <c r="CB173" i="24"/>
  <c r="CC173" i="24"/>
  <c r="CD173" i="24"/>
  <c r="CE173" i="24"/>
  <c r="CF173" i="24"/>
  <c r="CG173" i="24"/>
  <c r="CH173" i="24"/>
  <c r="CI173" i="24"/>
  <c r="CJ173" i="24"/>
  <c r="CK173" i="24"/>
  <c r="CL173" i="24"/>
  <c r="CM173" i="24"/>
  <c r="CN173" i="24"/>
  <c r="CO173" i="24"/>
  <c r="CP173" i="24"/>
  <c r="CQ173" i="24"/>
  <c r="CR173" i="24"/>
  <c r="CS173" i="24"/>
  <c r="CT173" i="24"/>
  <c r="CU173" i="24"/>
  <c r="CV173" i="24"/>
  <c r="CW173" i="24"/>
  <c r="CX173" i="24"/>
  <c r="CY173" i="24"/>
  <c r="CZ173" i="24"/>
  <c r="DA173" i="24"/>
  <c r="DB173" i="24"/>
  <c r="DC173" i="24"/>
  <c r="DD173" i="24"/>
  <c r="DE173" i="24"/>
  <c r="DF173" i="24"/>
  <c r="DG173" i="24"/>
  <c r="DH173" i="24"/>
  <c r="DI173" i="24"/>
  <c r="DJ173" i="24"/>
  <c r="DK173" i="24"/>
  <c r="DL173" i="24"/>
  <c r="DM173" i="24"/>
  <c r="DN173" i="24"/>
  <c r="DO173" i="24"/>
  <c r="DP173" i="24"/>
  <c r="DQ173" i="24"/>
  <c r="DR173" i="24"/>
  <c r="DS173" i="24"/>
  <c r="DT173" i="24"/>
  <c r="DU173" i="24"/>
  <c r="DV173" i="24"/>
  <c r="DW173" i="24"/>
  <c r="DX173" i="24"/>
  <c r="DY173" i="24"/>
  <c r="DZ173" i="24"/>
  <c r="EA173" i="24"/>
  <c r="EB173" i="24"/>
  <c r="EC173" i="24"/>
  <c r="ED173" i="24"/>
  <c r="EE173" i="24"/>
  <c r="EF173" i="24"/>
  <c r="EG173" i="24"/>
  <c r="EH173" i="24"/>
  <c r="EI173" i="24"/>
  <c r="EJ173" i="24"/>
  <c r="EK173" i="24"/>
  <c r="EL173" i="24"/>
  <c r="EM173" i="24"/>
  <c r="EN173" i="24"/>
  <c r="EO173" i="24"/>
  <c r="EP173" i="24"/>
  <c r="EQ173" i="24"/>
  <c r="ER173" i="24"/>
  <c r="ES173" i="24"/>
  <c r="ET173" i="24"/>
  <c r="EU173" i="24"/>
  <c r="EV173" i="24"/>
  <c r="EW173" i="24"/>
  <c r="EX173" i="24"/>
  <c r="EY173" i="24"/>
  <c r="EZ173" i="24"/>
  <c r="FA173" i="24"/>
  <c r="FB173" i="24"/>
  <c r="FC173" i="24"/>
  <c r="FD173" i="24"/>
  <c r="FE173" i="24"/>
  <c r="FF173" i="24"/>
  <c r="FG173" i="24"/>
  <c r="FH173" i="24"/>
  <c r="FI173" i="24"/>
  <c r="FJ173" i="24"/>
  <c r="FK173" i="24"/>
  <c r="FL173" i="24"/>
  <c r="FM173" i="24"/>
  <c r="FN173" i="24"/>
  <c r="FO173" i="24"/>
  <c r="FP173" i="24"/>
  <c r="FQ173" i="24"/>
  <c r="FR173" i="24"/>
  <c r="FS173" i="24"/>
  <c r="FT173" i="24"/>
  <c r="FU173" i="24"/>
  <c r="FV173" i="24"/>
  <c r="FW173" i="24"/>
  <c r="FX173" i="24"/>
  <c r="FY173" i="24"/>
  <c r="FZ173" i="24"/>
  <c r="GA173" i="24"/>
  <c r="GB173" i="24"/>
  <c r="GC173" i="24"/>
  <c r="GD173" i="24"/>
  <c r="GE173" i="24"/>
  <c r="GF173" i="24"/>
  <c r="GG173" i="24"/>
  <c r="GH173" i="24"/>
  <c r="GI173" i="24"/>
  <c r="GJ173" i="24"/>
  <c r="GK173" i="24"/>
  <c r="GL173" i="24"/>
  <c r="GM173" i="24"/>
  <c r="GN173" i="24"/>
  <c r="GO173" i="24"/>
  <c r="GP173" i="24"/>
  <c r="GQ173" i="24"/>
  <c r="GR173" i="24"/>
  <c r="GS173" i="24"/>
  <c r="GT173" i="24"/>
  <c r="B174" i="24"/>
  <c r="C174" i="24"/>
  <c r="D174" i="24"/>
  <c r="E174" i="24"/>
  <c r="F174" i="24"/>
  <c r="G174" i="24"/>
  <c r="H174" i="24"/>
  <c r="I174" i="24"/>
  <c r="J174" i="24"/>
  <c r="K174" i="24"/>
  <c r="L174" i="24"/>
  <c r="M174" i="24"/>
  <c r="N174" i="24"/>
  <c r="O174" i="24"/>
  <c r="P174" i="24"/>
  <c r="Q174" i="24"/>
  <c r="R174" i="24"/>
  <c r="S174" i="24"/>
  <c r="T174" i="24"/>
  <c r="U174" i="24"/>
  <c r="V174" i="24"/>
  <c r="W174" i="24"/>
  <c r="X174" i="24"/>
  <c r="Y174" i="24"/>
  <c r="Z174" i="24"/>
  <c r="AA174" i="24"/>
  <c r="AB174" i="24"/>
  <c r="AC174" i="24"/>
  <c r="AD174" i="24"/>
  <c r="AE174" i="24"/>
  <c r="AF174" i="24"/>
  <c r="AG174" i="24"/>
  <c r="AH174" i="24"/>
  <c r="AI174" i="24"/>
  <c r="AJ174" i="24"/>
  <c r="AK174" i="24"/>
  <c r="AL174" i="24"/>
  <c r="AM174" i="24"/>
  <c r="AN174" i="24"/>
  <c r="AO174" i="24"/>
  <c r="AP174" i="24"/>
  <c r="AQ174" i="24"/>
  <c r="AR174" i="24"/>
  <c r="AS174" i="24"/>
  <c r="AT174" i="24"/>
  <c r="AU174" i="24"/>
  <c r="AV174" i="24"/>
  <c r="AW174" i="24"/>
  <c r="AX174" i="24"/>
  <c r="AY174" i="24"/>
  <c r="AZ174" i="24"/>
  <c r="BA174" i="24"/>
  <c r="BB174" i="24"/>
  <c r="BC174" i="24"/>
  <c r="BD174" i="24"/>
  <c r="BE174" i="24"/>
  <c r="BF174" i="24"/>
  <c r="BG174" i="24"/>
  <c r="BH174" i="24"/>
  <c r="BI174" i="24"/>
  <c r="BJ174" i="24"/>
  <c r="BK174" i="24"/>
  <c r="BL174" i="24"/>
  <c r="BM174" i="24"/>
  <c r="BN174" i="24"/>
  <c r="BO174" i="24"/>
  <c r="BP174" i="24"/>
  <c r="BQ174" i="24"/>
  <c r="BR174" i="24"/>
  <c r="BS174" i="24"/>
  <c r="BT174" i="24"/>
  <c r="BU174" i="24"/>
  <c r="BV174" i="24"/>
  <c r="BW174" i="24"/>
  <c r="BX174" i="24"/>
  <c r="BY174" i="24"/>
  <c r="BZ174" i="24"/>
  <c r="CA174" i="24"/>
  <c r="CB174" i="24"/>
  <c r="CC174" i="24"/>
  <c r="CD174" i="24"/>
  <c r="CE174" i="24"/>
  <c r="CF174" i="24"/>
  <c r="CG174" i="24"/>
  <c r="CH174" i="24"/>
  <c r="CI174" i="24"/>
  <c r="CJ174" i="24"/>
  <c r="CK174" i="24"/>
  <c r="CL174" i="24"/>
  <c r="CM174" i="24"/>
  <c r="CN174" i="24"/>
  <c r="CO174" i="24"/>
  <c r="CP174" i="24"/>
  <c r="CQ174" i="24"/>
  <c r="CR174" i="24"/>
  <c r="CS174" i="24"/>
  <c r="CT174" i="24"/>
  <c r="CU174" i="24"/>
  <c r="CV174" i="24"/>
  <c r="CW174" i="24"/>
  <c r="CX174" i="24"/>
  <c r="CY174" i="24"/>
  <c r="CZ174" i="24"/>
  <c r="DA174" i="24"/>
  <c r="DB174" i="24"/>
  <c r="DC174" i="24"/>
  <c r="DD174" i="24"/>
  <c r="DE174" i="24"/>
  <c r="DF174" i="24"/>
  <c r="DG174" i="24"/>
  <c r="DH174" i="24"/>
  <c r="DI174" i="24"/>
  <c r="DJ174" i="24"/>
  <c r="DK174" i="24"/>
  <c r="DL174" i="24"/>
  <c r="DM174" i="24"/>
  <c r="DN174" i="24"/>
  <c r="DO174" i="24"/>
  <c r="DP174" i="24"/>
  <c r="DQ174" i="24"/>
  <c r="DR174" i="24"/>
  <c r="DS174" i="24"/>
  <c r="DT174" i="24"/>
  <c r="DU174" i="24"/>
  <c r="DV174" i="24"/>
  <c r="DW174" i="24"/>
  <c r="DX174" i="24"/>
  <c r="DY174" i="24"/>
  <c r="DZ174" i="24"/>
  <c r="EA174" i="24"/>
  <c r="EB174" i="24"/>
  <c r="EC174" i="24"/>
  <c r="ED174" i="24"/>
  <c r="EE174" i="24"/>
  <c r="EF174" i="24"/>
  <c r="EG174" i="24"/>
  <c r="EH174" i="24"/>
  <c r="EI174" i="24"/>
  <c r="EJ174" i="24"/>
  <c r="EK174" i="24"/>
  <c r="EL174" i="24"/>
  <c r="EM174" i="24"/>
  <c r="EN174" i="24"/>
  <c r="EO174" i="24"/>
  <c r="EP174" i="24"/>
  <c r="EQ174" i="24"/>
  <c r="ER174" i="24"/>
  <c r="ES174" i="24"/>
  <c r="ET174" i="24"/>
  <c r="EU174" i="24"/>
  <c r="EV174" i="24"/>
  <c r="EW174" i="24"/>
  <c r="EX174" i="24"/>
  <c r="EY174" i="24"/>
  <c r="EZ174" i="24"/>
  <c r="FA174" i="24"/>
  <c r="FB174" i="24"/>
  <c r="FC174" i="24"/>
  <c r="FD174" i="24"/>
  <c r="FE174" i="24"/>
  <c r="FF174" i="24"/>
  <c r="FG174" i="24"/>
  <c r="FH174" i="24"/>
  <c r="FI174" i="24"/>
  <c r="FJ174" i="24"/>
  <c r="FK174" i="24"/>
  <c r="FL174" i="24"/>
  <c r="FM174" i="24"/>
  <c r="FN174" i="24"/>
  <c r="FO174" i="24"/>
  <c r="FP174" i="24"/>
  <c r="FQ174" i="24"/>
  <c r="FR174" i="24"/>
  <c r="FS174" i="24"/>
  <c r="FT174" i="24"/>
  <c r="FU174" i="24"/>
  <c r="FV174" i="24"/>
  <c r="FW174" i="24"/>
  <c r="FX174" i="24"/>
  <c r="FY174" i="24"/>
  <c r="FZ174" i="24"/>
  <c r="GA174" i="24"/>
  <c r="GB174" i="24"/>
  <c r="GC174" i="24"/>
  <c r="GD174" i="24"/>
  <c r="GE174" i="24"/>
  <c r="GF174" i="24"/>
  <c r="GG174" i="24"/>
  <c r="GH174" i="24"/>
  <c r="GI174" i="24"/>
  <c r="GJ174" i="24"/>
  <c r="GK174" i="24"/>
  <c r="GL174" i="24"/>
  <c r="GM174" i="24"/>
  <c r="GN174" i="24"/>
  <c r="GO174" i="24"/>
  <c r="GP174" i="24"/>
  <c r="GQ174" i="24"/>
  <c r="GR174" i="24"/>
  <c r="GS174" i="24"/>
  <c r="GT174" i="24"/>
  <c r="B175" i="24"/>
  <c r="C175" i="24"/>
  <c r="D175" i="24"/>
  <c r="E175" i="24"/>
  <c r="F175" i="24"/>
  <c r="G175" i="24"/>
  <c r="H175" i="24"/>
  <c r="I175" i="24"/>
  <c r="J175" i="24"/>
  <c r="K175" i="24"/>
  <c r="L175" i="24"/>
  <c r="M175" i="24"/>
  <c r="N175" i="24"/>
  <c r="O175" i="24"/>
  <c r="P175" i="24"/>
  <c r="Q175" i="24"/>
  <c r="R175" i="24"/>
  <c r="S175" i="24"/>
  <c r="T175" i="24"/>
  <c r="U175" i="24"/>
  <c r="V175" i="24"/>
  <c r="W175" i="24"/>
  <c r="X175" i="24"/>
  <c r="Y175" i="24"/>
  <c r="Z175" i="24"/>
  <c r="AA175" i="24"/>
  <c r="AB175" i="24"/>
  <c r="AC175" i="24"/>
  <c r="AD175" i="24"/>
  <c r="AE175" i="24"/>
  <c r="AF175" i="24"/>
  <c r="AG175" i="24"/>
  <c r="AH175" i="24"/>
  <c r="AI175" i="24"/>
  <c r="AJ175" i="24"/>
  <c r="AK175" i="24"/>
  <c r="AL175" i="24"/>
  <c r="AM175" i="24"/>
  <c r="AN175" i="24"/>
  <c r="AO175" i="24"/>
  <c r="AP175" i="24"/>
  <c r="AQ175" i="24"/>
  <c r="AR175" i="24"/>
  <c r="AS175" i="24"/>
  <c r="AT175" i="24"/>
  <c r="AU175" i="24"/>
  <c r="AV175" i="24"/>
  <c r="AW175" i="24"/>
  <c r="AX175" i="24"/>
  <c r="AY175" i="24"/>
  <c r="AZ175" i="24"/>
  <c r="BA175" i="24"/>
  <c r="BB175" i="24"/>
  <c r="BC175" i="24"/>
  <c r="BD175" i="24"/>
  <c r="BE175" i="24"/>
  <c r="BF175" i="24"/>
  <c r="BG175" i="24"/>
  <c r="BH175" i="24"/>
  <c r="BI175" i="24"/>
  <c r="BJ175" i="24"/>
  <c r="BK175" i="24"/>
  <c r="BL175" i="24"/>
  <c r="BM175" i="24"/>
  <c r="BN175" i="24"/>
  <c r="BO175" i="24"/>
  <c r="BP175" i="24"/>
  <c r="BQ175" i="24"/>
  <c r="BR175" i="24"/>
  <c r="BS175" i="24"/>
  <c r="BT175" i="24"/>
  <c r="BU175" i="24"/>
  <c r="BV175" i="24"/>
  <c r="BW175" i="24"/>
  <c r="BX175" i="24"/>
  <c r="BY175" i="24"/>
  <c r="BZ175" i="24"/>
  <c r="CA175" i="24"/>
  <c r="CB175" i="24"/>
  <c r="CC175" i="24"/>
  <c r="CD175" i="24"/>
  <c r="CE175" i="24"/>
  <c r="CF175" i="24"/>
  <c r="CG175" i="24"/>
  <c r="CH175" i="24"/>
  <c r="CI175" i="24"/>
  <c r="CJ175" i="24"/>
  <c r="CK175" i="24"/>
  <c r="CL175" i="24"/>
  <c r="CM175" i="24"/>
  <c r="CN175" i="24"/>
  <c r="CO175" i="24"/>
  <c r="CP175" i="24"/>
  <c r="CQ175" i="24"/>
  <c r="CR175" i="24"/>
  <c r="CS175" i="24"/>
  <c r="CT175" i="24"/>
  <c r="CU175" i="24"/>
  <c r="CV175" i="24"/>
  <c r="CW175" i="24"/>
  <c r="CX175" i="24"/>
  <c r="CY175" i="24"/>
  <c r="CZ175" i="24"/>
  <c r="DA175" i="24"/>
  <c r="DB175" i="24"/>
  <c r="DC175" i="24"/>
  <c r="DD175" i="24"/>
  <c r="DE175" i="24"/>
  <c r="DF175" i="24"/>
  <c r="DG175" i="24"/>
  <c r="DH175" i="24"/>
  <c r="DI175" i="24"/>
  <c r="DJ175" i="24"/>
  <c r="DK175" i="24"/>
  <c r="DL175" i="24"/>
  <c r="DM175" i="24"/>
  <c r="DN175" i="24"/>
  <c r="DO175" i="24"/>
  <c r="DP175" i="24"/>
  <c r="DQ175" i="24"/>
  <c r="DR175" i="24"/>
  <c r="DS175" i="24"/>
  <c r="DT175" i="24"/>
  <c r="DU175" i="24"/>
  <c r="DV175" i="24"/>
  <c r="DW175" i="24"/>
  <c r="DX175" i="24"/>
  <c r="DY175" i="24"/>
  <c r="DZ175" i="24"/>
  <c r="EA175" i="24"/>
  <c r="EB175" i="24"/>
  <c r="EC175" i="24"/>
  <c r="ED175" i="24"/>
  <c r="EE175" i="24"/>
  <c r="EF175" i="24"/>
  <c r="EG175" i="24"/>
  <c r="EH175" i="24"/>
  <c r="EI175" i="24"/>
  <c r="EJ175" i="24"/>
  <c r="EK175" i="24"/>
  <c r="EL175" i="24"/>
  <c r="EM175" i="24"/>
  <c r="EN175" i="24"/>
  <c r="EO175" i="24"/>
  <c r="EP175" i="24"/>
  <c r="EQ175" i="24"/>
  <c r="ER175" i="24"/>
  <c r="ES175" i="24"/>
  <c r="ET175" i="24"/>
  <c r="EU175" i="24"/>
  <c r="EV175" i="24"/>
  <c r="EW175" i="24"/>
  <c r="EX175" i="24"/>
  <c r="EY175" i="24"/>
  <c r="EZ175" i="24"/>
  <c r="FA175" i="24"/>
  <c r="FB175" i="24"/>
  <c r="FC175" i="24"/>
  <c r="FD175" i="24"/>
  <c r="FE175" i="24"/>
  <c r="FF175" i="24"/>
  <c r="FG175" i="24"/>
  <c r="FH175" i="24"/>
  <c r="FI175" i="24"/>
  <c r="FJ175" i="24"/>
  <c r="FK175" i="24"/>
  <c r="FL175" i="24"/>
  <c r="FM175" i="24"/>
  <c r="FN175" i="24"/>
  <c r="FO175" i="24"/>
  <c r="FP175" i="24"/>
  <c r="FQ175" i="24"/>
  <c r="FR175" i="24"/>
  <c r="FS175" i="24"/>
  <c r="FT175" i="24"/>
  <c r="FU175" i="24"/>
  <c r="FV175" i="24"/>
  <c r="FW175" i="24"/>
  <c r="FX175" i="24"/>
  <c r="FY175" i="24"/>
  <c r="FZ175" i="24"/>
  <c r="GA175" i="24"/>
  <c r="GB175" i="24"/>
  <c r="GC175" i="24"/>
  <c r="GD175" i="24"/>
  <c r="GE175" i="24"/>
  <c r="GF175" i="24"/>
  <c r="GG175" i="24"/>
  <c r="GH175" i="24"/>
  <c r="GI175" i="24"/>
  <c r="GJ175" i="24"/>
  <c r="GK175" i="24"/>
  <c r="GL175" i="24"/>
  <c r="GM175" i="24"/>
  <c r="GN175" i="24"/>
  <c r="GO175" i="24"/>
  <c r="GP175" i="24"/>
  <c r="GQ175" i="24"/>
  <c r="GR175" i="24"/>
  <c r="GS175" i="24"/>
  <c r="GT175" i="24"/>
  <c r="C152" i="24"/>
  <c r="D152" i="24"/>
  <c r="E152" i="24"/>
  <c r="F152" i="24"/>
  <c r="G152" i="24"/>
  <c r="H152" i="24"/>
  <c r="I152" i="24"/>
  <c r="J152" i="24"/>
  <c r="K152" i="24"/>
  <c r="L152" i="24"/>
  <c r="M152" i="24"/>
  <c r="N152" i="24"/>
  <c r="O152" i="24"/>
  <c r="P152" i="24"/>
  <c r="Q152" i="24"/>
  <c r="R152" i="24"/>
  <c r="S152" i="24"/>
  <c r="T152" i="24"/>
  <c r="U152" i="24"/>
  <c r="V152" i="24"/>
  <c r="W152" i="24"/>
  <c r="X152" i="24"/>
  <c r="Y152" i="24"/>
  <c r="Z152" i="24"/>
  <c r="AA152" i="24"/>
  <c r="AB152" i="24"/>
  <c r="AC152" i="24"/>
  <c r="AD152" i="24"/>
  <c r="AE152" i="24"/>
  <c r="AF152" i="24"/>
  <c r="AG152" i="24"/>
  <c r="AH152" i="24"/>
  <c r="AI152" i="24"/>
  <c r="AJ152" i="24"/>
  <c r="AK152" i="24"/>
  <c r="AL152" i="24"/>
  <c r="AM152" i="24"/>
  <c r="AN152" i="24"/>
  <c r="AO152" i="24"/>
  <c r="AP152" i="24"/>
  <c r="AQ152" i="24"/>
  <c r="AR152" i="24"/>
  <c r="AS152" i="24"/>
  <c r="AT152" i="24"/>
  <c r="AU152" i="24"/>
  <c r="AV152" i="24"/>
  <c r="AW152" i="24"/>
  <c r="AX152" i="24"/>
  <c r="AY152" i="24"/>
  <c r="AZ152" i="24"/>
  <c r="BA152" i="24"/>
  <c r="BB152" i="24"/>
  <c r="BC152" i="24"/>
  <c r="BD152" i="24"/>
  <c r="BE152" i="24"/>
  <c r="BF152" i="24"/>
  <c r="BG152" i="24"/>
  <c r="BH152" i="24"/>
  <c r="BI152" i="24"/>
  <c r="BJ152" i="24"/>
  <c r="BK152" i="24"/>
  <c r="BL152" i="24"/>
  <c r="BM152" i="24"/>
  <c r="BN152" i="24"/>
  <c r="BO152" i="24"/>
  <c r="BP152" i="24"/>
  <c r="BQ152" i="24"/>
  <c r="BR152" i="24"/>
  <c r="BS152" i="24"/>
  <c r="BT152" i="24"/>
  <c r="BU152" i="24"/>
  <c r="BV152" i="24"/>
  <c r="BW152" i="24"/>
  <c r="BX152" i="24"/>
  <c r="BY152" i="24"/>
  <c r="BZ152" i="24"/>
  <c r="CA152" i="24"/>
  <c r="CB152" i="24"/>
  <c r="CC152" i="24"/>
  <c r="CD152" i="24"/>
  <c r="CE152" i="24"/>
  <c r="CF152" i="24"/>
  <c r="CG152" i="24"/>
  <c r="CH152" i="24"/>
  <c r="CI152" i="24"/>
  <c r="CJ152" i="24"/>
  <c r="CK152" i="24"/>
  <c r="CL152" i="24"/>
  <c r="CM152" i="24"/>
  <c r="CN152" i="24"/>
  <c r="CO152" i="24"/>
  <c r="CP152" i="24"/>
  <c r="CQ152" i="24"/>
  <c r="CR152" i="24"/>
  <c r="CS152" i="24"/>
  <c r="CT152" i="24"/>
  <c r="CU152" i="24"/>
  <c r="CV152" i="24"/>
  <c r="CW152" i="24"/>
  <c r="CX152" i="24"/>
  <c r="CY152" i="24"/>
  <c r="CZ152" i="24"/>
  <c r="DA152" i="24"/>
  <c r="DB152" i="24"/>
  <c r="DC152" i="24"/>
  <c r="DD152" i="24"/>
  <c r="DE152" i="24"/>
  <c r="DF152" i="24"/>
  <c r="DG152" i="24"/>
  <c r="DH152" i="24"/>
  <c r="DI152" i="24"/>
  <c r="DJ152" i="24"/>
  <c r="DK152" i="24"/>
  <c r="DL152" i="24"/>
  <c r="DM152" i="24"/>
  <c r="DN152" i="24"/>
  <c r="DO152" i="24"/>
  <c r="DP152" i="24"/>
  <c r="DQ152" i="24"/>
  <c r="DR152" i="24"/>
  <c r="DS152" i="24"/>
  <c r="DT152" i="24"/>
  <c r="DU152" i="24"/>
  <c r="DV152" i="24"/>
  <c r="DW152" i="24"/>
  <c r="DX152" i="24"/>
  <c r="DY152" i="24"/>
  <c r="DZ152" i="24"/>
  <c r="EA152" i="24"/>
  <c r="EB152" i="24"/>
  <c r="EC152" i="24"/>
  <c r="ED152" i="24"/>
  <c r="EE152" i="24"/>
  <c r="EF152" i="24"/>
  <c r="EG152" i="24"/>
  <c r="EH152" i="24"/>
  <c r="EI152" i="24"/>
  <c r="EJ152" i="24"/>
  <c r="EK152" i="24"/>
  <c r="EL152" i="24"/>
  <c r="EM152" i="24"/>
  <c r="EN152" i="24"/>
  <c r="EO152" i="24"/>
  <c r="EP152" i="24"/>
  <c r="EQ152" i="24"/>
  <c r="ER152" i="24"/>
  <c r="ES152" i="24"/>
  <c r="ET152" i="24"/>
  <c r="EU152" i="24"/>
  <c r="EV152" i="24"/>
  <c r="EW152" i="24"/>
  <c r="EX152" i="24"/>
  <c r="EY152" i="24"/>
  <c r="EZ152" i="24"/>
  <c r="FA152" i="24"/>
  <c r="FB152" i="24"/>
  <c r="FC152" i="24"/>
  <c r="FD152" i="24"/>
  <c r="FE152" i="24"/>
  <c r="FF152" i="24"/>
  <c r="FG152" i="24"/>
  <c r="FH152" i="24"/>
  <c r="FI152" i="24"/>
  <c r="FJ152" i="24"/>
  <c r="FK152" i="24"/>
  <c r="FL152" i="24"/>
  <c r="FM152" i="24"/>
  <c r="FN152" i="24"/>
  <c r="FO152" i="24"/>
  <c r="FP152" i="24"/>
  <c r="FQ152" i="24"/>
  <c r="FR152" i="24"/>
  <c r="FS152" i="24"/>
  <c r="FT152" i="24"/>
  <c r="FU152" i="24"/>
  <c r="FV152" i="24"/>
  <c r="FW152" i="24"/>
  <c r="FX152" i="24"/>
  <c r="FY152" i="24"/>
  <c r="FZ152" i="24"/>
  <c r="GA152" i="24"/>
  <c r="GB152" i="24"/>
  <c r="GC152" i="24"/>
  <c r="GD152" i="24"/>
  <c r="GE152" i="24"/>
  <c r="GF152" i="24"/>
  <c r="GG152" i="24"/>
  <c r="GH152" i="24"/>
  <c r="GI152" i="24"/>
  <c r="GJ152" i="24"/>
  <c r="GK152" i="24"/>
  <c r="GL152" i="24"/>
  <c r="GM152" i="24"/>
  <c r="GN152" i="24"/>
  <c r="GO152" i="24"/>
  <c r="GP152" i="24"/>
  <c r="GQ152" i="24"/>
  <c r="GR152" i="24"/>
  <c r="GS152" i="24"/>
  <c r="GT152" i="24"/>
  <c r="B152" i="24"/>
  <c r="D110" i="24" l="1"/>
  <c r="E110" i="24"/>
  <c r="F110" i="24"/>
  <c r="G110" i="24"/>
  <c r="H110" i="24"/>
  <c r="I110" i="24"/>
  <c r="J110" i="24"/>
  <c r="K110" i="24"/>
  <c r="L110" i="24"/>
  <c r="M110" i="24"/>
  <c r="N110" i="24"/>
  <c r="O110" i="24"/>
  <c r="P110" i="24"/>
  <c r="Q110" i="24"/>
  <c r="R110" i="24"/>
  <c r="S110" i="24"/>
  <c r="T110" i="24"/>
  <c r="U110" i="24"/>
  <c r="V110" i="24"/>
  <c r="W110" i="24"/>
  <c r="X110" i="24"/>
  <c r="Y110" i="24"/>
  <c r="Z110" i="24"/>
  <c r="AA110" i="24"/>
  <c r="AB110" i="24"/>
  <c r="AC110" i="24"/>
  <c r="AD110" i="24"/>
  <c r="AE110" i="24"/>
  <c r="AF110" i="24"/>
  <c r="AG110" i="24"/>
  <c r="AH110" i="24"/>
  <c r="AI110" i="24"/>
  <c r="AJ110" i="24"/>
  <c r="AK110" i="24"/>
  <c r="AL110" i="24"/>
  <c r="AM110" i="24"/>
  <c r="AN110" i="24"/>
  <c r="AO110" i="24"/>
  <c r="AP110" i="24"/>
  <c r="AQ110" i="24"/>
  <c r="AR110" i="24"/>
  <c r="AS110" i="24"/>
  <c r="AT110" i="24"/>
  <c r="AU110" i="24"/>
  <c r="AV110" i="24"/>
  <c r="AW110" i="24"/>
  <c r="AX110" i="24"/>
  <c r="AY110" i="24"/>
  <c r="AZ110" i="24"/>
  <c r="BA110" i="24"/>
  <c r="BB110" i="24"/>
  <c r="BC110" i="24"/>
  <c r="BD110" i="24"/>
  <c r="BE110" i="24"/>
  <c r="BF110" i="24"/>
  <c r="BG110" i="24"/>
  <c r="BH110" i="24"/>
  <c r="BI110" i="24"/>
  <c r="BJ110" i="24"/>
  <c r="BK110" i="24"/>
  <c r="BL110" i="24"/>
  <c r="BM110" i="24"/>
  <c r="BN110" i="24"/>
  <c r="BO110" i="24"/>
  <c r="BP110" i="24"/>
  <c r="BQ110" i="24"/>
  <c r="BR110" i="24"/>
  <c r="BS110" i="24"/>
  <c r="BT110" i="24"/>
  <c r="BU110" i="24"/>
  <c r="BV110" i="24"/>
  <c r="BW110" i="24"/>
  <c r="BX110" i="24"/>
  <c r="BY110" i="24"/>
  <c r="BZ110" i="24"/>
  <c r="CA110" i="24"/>
  <c r="CB110" i="24"/>
  <c r="CC110" i="24"/>
  <c r="CD110" i="24"/>
  <c r="CE110" i="24"/>
  <c r="CF110" i="24"/>
  <c r="CG110" i="24"/>
  <c r="CH110" i="24"/>
  <c r="CI110" i="24"/>
  <c r="CJ110" i="24"/>
  <c r="CK110" i="24"/>
  <c r="CL110" i="24"/>
  <c r="CM110" i="24"/>
  <c r="CN110" i="24"/>
  <c r="CO110" i="24"/>
  <c r="CP110" i="24"/>
  <c r="CQ110" i="24"/>
  <c r="CR110" i="24"/>
  <c r="CS110" i="24"/>
  <c r="CT110" i="24"/>
  <c r="CU110" i="24"/>
  <c r="CV110" i="24"/>
  <c r="CW110" i="24"/>
  <c r="CX110" i="24"/>
  <c r="CY110" i="24"/>
  <c r="CZ110" i="24"/>
  <c r="DA110" i="24"/>
  <c r="DB110" i="24"/>
  <c r="DC110" i="24"/>
  <c r="DD110" i="24"/>
  <c r="DE110" i="24"/>
  <c r="DF110" i="24"/>
  <c r="DG110" i="24"/>
  <c r="DH110" i="24"/>
  <c r="DI110" i="24"/>
  <c r="DJ110" i="24"/>
  <c r="DK110" i="24"/>
  <c r="DL110" i="24"/>
  <c r="DM110" i="24"/>
  <c r="DN110" i="24"/>
  <c r="DO110" i="24"/>
  <c r="DP110" i="24"/>
  <c r="DQ110" i="24"/>
  <c r="DR110" i="24"/>
  <c r="DS110" i="24"/>
  <c r="DT110" i="24"/>
  <c r="DU110" i="24"/>
  <c r="DV110" i="24"/>
  <c r="DW110" i="24"/>
  <c r="DX110" i="24"/>
  <c r="DY110" i="24"/>
  <c r="DZ110" i="24"/>
  <c r="EA110" i="24"/>
  <c r="EB110" i="24"/>
  <c r="EC110" i="24"/>
  <c r="ED110" i="24"/>
  <c r="EE110" i="24"/>
  <c r="EF110" i="24"/>
  <c r="EG110" i="24"/>
  <c r="EH110" i="24"/>
  <c r="EI110" i="24"/>
  <c r="EJ110" i="24"/>
  <c r="EK110" i="24"/>
  <c r="EL110" i="24"/>
  <c r="EM110" i="24"/>
  <c r="EN110" i="24"/>
  <c r="EO110" i="24"/>
  <c r="EP110" i="24"/>
  <c r="EQ110" i="24"/>
  <c r="ER110" i="24"/>
  <c r="ES110" i="24"/>
  <c r="ET110" i="24"/>
  <c r="EU110" i="24"/>
  <c r="EV110" i="24"/>
  <c r="EW110" i="24"/>
  <c r="EX110" i="24"/>
  <c r="EY110" i="24"/>
  <c r="EZ110" i="24"/>
  <c r="FA110" i="24"/>
  <c r="FB110" i="24"/>
  <c r="FC110" i="24"/>
  <c r="FD110" i="24"/>
  <c r="FE110" i="24"/>
  <c r="FF110" i="24"/>
  <c r="FG110" i="24"/>
  <c r="FH110" i="24"/>
  <c r="FI110" i="24"/>
  <c r="FJ110" i="24"/>
  <c r="FK110" i="24"/>
  <c r="FL110" i="24"/>
  <c r="FM110" i="24"/>
  <c r="FN110" i="24"/>
  <c r="FO110" i="24"/>
  <c r="FP110" i="24"/>
  <c r="FQ110" i="24"/>
  <c r="FR110" i="24"/>
  <c r="FS110" i="24"/>
  <c r="FT110" i="24"/>
  <c r="FU110" i="24"/>
  <c r="FV110" i="24"/>
  <c r="FW110" i="24"/>
  <c r="FX110" i="24"/>
  <c r="FY110" i="24"/>
  <c r="FZ110" i="24"/>
  <c r="GA110" i="24"/>
  <c r="GB110" i="24"/>
  <c r="GC110" i="24"/>
  <c r="GD110" i="24"/>
  <c r="GE110" i="24"/>
  <c r="GF110" i="24"/>
  <c r="GG110" i="24"/>
  <c r="GH110" i="24"/>
  <c r="GI110" i="24"/>
  <c r="GJ110" i="24"/>
  <c r="GK110" i="24"/>
  <c r="GL110" i="24"/>
  <c r="GM110" i="24"/>
  <c r="GN110" i="24"/>
  <c r="GO110" i="24"/>
  <c r="GP110" i="24"/>
  <c r="GQ110" i="24"/>
  <c r="GR110" i="24"/>
  <c r="GS110" i="24"/>
  <c r="GT110" i="24"/>
  <c r="D111" i="24"/>
  <c r="E111" i="24"/>
  <c r="F111" i="24"/>
  <c r="G111" i="24"/>
  <c r="H111" i="24"/>
  <c r="I111" i="24"/>
  <c r="J111" i="24"/>
  <c r="K111" i="24"/>
  <c r="L111" i="24"/>
  <c r="M111" i="24"/>
  <c r="N111" i="24"/>
  <c r="O111" i="24"/>
  <c r="P111" i="24"/>
  <c r="Q111" i="24"/>
  <c r="R111" i="24"/>
  <c r="S111" i="24"/>
  <c r="T111" i="24"/>
  <c r="U111" i="24"/>
  <c r="V111" i="24"/>
  <c r="W111" i="24"/>
  <c r="X111" i="24"/>
  <c r="Y111" i="24"/>
  <c r="Z111" i="24"/>
  <c r="AA111" i="24"/>
  <c r="AB111" i="24"/>
  <c r="AC111" i="24"/>
  <c r="AD111" i="24"/>
  <c r="AE111" i="24"/>
  <c r="AF111" i="24"/>
  <c r="AG111" i="24"/>
  <c r="AH111" i="24"/>
  <c r="AI111" i="24"/>
  <c r="AJ111" i="24"/>
  <c r="AK111" i="24"/>
  <c r="AL111" i="24"/>
  <c r="AM111" i="24"/>
  <c r="AN111" i="24"/>
  <c r="AO111" i="24"/>
  <c r="AP111" i="24"/>
  <c r="AQ111" i="24"/>
  <c r="AR111" i="24"/>
  <c r="AS111" i="24"/>
  <c r="AT111" i="24"/>
  <c r="AU111" i="24"/>
  <c r="AV111" i="24"/>
  <c r="AW111" i="24"/>
  <c r="AX111" i="24"/>
  <c r="AY111" i="24"/>
  <c r="AZ111" i="24"/>
  <c r="BA111" i="24"/>
  <c r="BB111" i="24"/>
  <c r="BC111" i="24"/>
  <c r="BD111" i="24"/>
  <c r="BE111" i="24"/>
  <c r="BF111" i="24"/>
  <c r="BG111" i="24"/>
  <c r="BH111" i="24"/>
  <c r="BI111" i="24"/>
  <c r="BJ111" i="24"/>
  <c r="BK111" i="24"/>
  <c r="BL111" i="24"/>
  <c r="BM111" i="24"/>
  <c r="BN111" i="24"/>
  <c r="BO111" i="24"/>
  <c r="BP111" i="24"/>
  <c r="BQ111" i="24"/>
  <c r="BR111" i="24"/>
  <c r="BS111" i="24"/>
  <c r="BT111" i="24"/>
  <c r="BU111" i="24"/>
  <c r="BV111" i="24"/>
  <c r="BW111" i="24"/>
  <c r="BX111" i="24"/>
  <c r="BY111" i="24"/>
  <c r="BZ111" i="24"/>
  <c r="CA111" i="24"/>
  <c r="CB111" i="24"/>
  <c r="CC111" i="24"/>
  <c r="CD111" i="24"/>
  <c r="CE111" i="24"/>
  <c r="CF111" i="24"/>
  <c r="CG111" i="24"/>
  <c r="CH111" i="24"/>
  <c r="CI111" i="24"/>
  <c r="CJ111" i="24"/>
  <c r="CK111" i="24"/>
  <c r="CL111" i="24"/>
  <c r="CM111" i="24"/>
  <c r="CN111" i="24"/>
  <c r="CO111" i="24"/>
  <c r="CP111" i="24"/>
  <c r="CQ111" i="24"/>
  <c r="CR111" i="24"/>
  <c r="CS111" i="24"/>
  <c r="CT111" i="24"/>
  <c r="CU111" i="24"/>
  <c r="CV111" i="24"/>
  <c r="CW111" i="24"/>
  <c r="CX111" i="24"/>
  <c r="CY111" i="24"/>
  <c r="CZ111" i="24"/>
  <c r="DA111" i="24"/>
  <c r="DB111" i="24"/>
  <c r="DC111" i="24"/>
  <c r="DD111" i="24"/>
  <c r="DE111" i="24"/>
  <c r="DF111" i="24"/>
  <c r="DG111" i="24"/>
  <c r="DH111" i="24"/>
  <c r="DI111" i="24"/>
  <c r="DJ111" i="24"/>
  <c r="DK111" i="24"/>
  <c r="DL111" i="24"/>
  <c r="DM111" i="24"/>
  <c r="DN111" i="24"/>
  <c r="DO111" i="24"/>
  <c r="DP111" i="24"/>
  <c r="DQ111" i="24"/>
  <c r="DR111" i="24"/>
  <c r="DS111" i="24"/>
  <c r="DT111" i="24"/>
  <c r="DU111" i="24"/>
  <c r="DV111" i="24"/>
  <c r="DW111" i="24"/>
  <c r="DX111" i="24"/>
  <c r="DY111" i="24"/>
  <c r="DZ111" i="24"/>
  <c r="EA111" i="24"/>
  <c r="EB111" i="24"/>
  <c r="EC111" i="24"/>
  <c r="ED111" i="24"/>
  <c r="EE111" i="24"/>
  <c r="EF111" i="24"/>
  <c r="EG111" i="24"/>
  <c r="EH111" i="24"/>
  <c r="EI111" i="24"/>
  <c r="EJ111" i="24"/>
  <c r="EK111" i="24"/>
  <c r="EL111" i="24"/>
  <c r="EM111" i="24"/>
  <c r="EN111" i="24"/>
  <c r="EO111" i="24"/>
  <c r="EP111" i="24"/>
  <c r="EQ111" i="24"/>
  <c r="ER111" i="24"/>
  <c r="ES111" i="24"/>
  <c r="ET111" i="24"/>
  <c r="EU111" i="24"/>
  <c r="EV111" i="24"/>
  <c r="EW111" i="24"/>
  <c r="EX111" i="24"/>
  <c r="EY111" i="24"/>
  <c r="EZ111" i="24"/>
  <c r="FA111" i="24"/>
  <c r="FB111" i="24"/>
  <c r="FC111" i="24"/>
  <c r="FD111" i="24"/>
  <c r="FE111" i="24"/>
  <c r="FF111" i="24"/>
  <c r="FG111" i="24"/>
  <c r="FH111" i="24"/>
  <c r="FI111" i="24"/>
  <c r="FJ111" i="24"/>
  <c r="FK111" i="24"/>
  <c r="FL111" i="24"/>
  <c r="FM111" i="24"/>
  <c r="FN111" i="24"/>
  <c r="FO111" i="24"/>
  <c r="FP111" i="24"/>
  <c r="FQ111" i="24"/>
  <c r="FR111" i="24"/>
  <c r="FS111" i="24"/>
  <c r="FT111" i="24"/>
  <c r="FU111" i="24"/>
  <c r="FV111" i="24"/>
  <c r="FW111" i="24"/>
  <c r="FX111" i="24"/>
  <c r="FY111" i="24"/>
  <c r="FZ111" i="24"/>
  <c r="GA111" i="24"/>
  <c r="GB111" i="24"/>
  <c r="GC111" i="24"/>
  <c r="GD111" i="24"/>
  <c r="GE111" i="24"/>
  <c r="GF111" i="24"/>
  <c r="GG111" i="24"/>
  <c r="GH111" i="24"/>
  <c r="GI111" i="24"/>
  <c r="GJ111" i="24"/>
  <c r="GK111" i="24"/>
  <c r="GL111" i="24"/>
  <c r="GM111" i="24"/>
  <c r="GN111" i="24"/>
  <c r="GO111" i="24"/>
  <c r="GP111" i="24"/>
  <c r="GQ111" i="24"/>
  <c r="GR111" i="24"/>
  <c r="GS111" i="24"/>
  <c r="GT111" i="24"/>
  <c r="D112" i="24"/>
  <c r="E112" i="24"/>
  <c r="F112" i="24"/>
  <c r="G112" i="24"/>
  <c r="H112" i="24"/>
  <c r="I112" i="24"/>
  <c r="J112" i="24"/>
  <c r="K112" i="24"/>
  <c r="L112" i="24"/>
  <c r="M112" i="24"/>
  <c r="N112" i="24"/>
  <c r="O112" i="24"/>
  <c r="P112" i="24"/>
  <c r="Q112" i="24"/>
  <c r="R112" i="24"/>
  <c r="S112" i="24"/>
  <c r="T112" i="24"/>
  <c r="U112" i="24"/>
  <c r="V112" i="24"/>
  <c r="W112" i="24"/>
  <c r="X112" i="24"/>
  <c r="Y112" i="24"/>
  <c r="Z112" i="24"/>
  <c r="AA112" i="24"/>
  <c r="AB112" i="24"/>
  <c r="AC112" i="24"/>
  <c r="AD112" i="24"/>
  <c r="AE112" i="24"/>
  <c r="AF112" i="24"/>
  <c r="AG112" i="24"/>
  <c r="AH112" i="24"/>
  <c r="AI112" i="24"/>
  <c r="AJ112" i="24"/>
  <c r="AK112" i="24"/>
  <c r="AL112" i="24"/>
  <c r="AM112" i="24"/>
  <c r="AN112" i="24"/>
  <c r="AO112" i="24"/>
  <c r="AP112" i="24"/>
  <c r="AQ112" i="24"/>
  <c r="AR112" i="24"/>
  <c r="AS112" i="24"/>
  <c r="AT112" i="24"/>
  <c r="AU112" i="24"/>
  <c r="AV112" i="24"/>
  <c r="AW112" i="24"/>
  <c r="AX112" i="24"/>
  <c r="AY112" i="24"/>
  <c r="AZ112" i="24"/>
  <c r="BA112" i="24"/>
  <c r="BB112" i="24"/>
  <c r="BC112" i="24"/>
  <c r="BD112" i="24"/>
  <c r="BE112" i="24"/>
  <c r="BF112" i="24"/>
  <c r="BG112" i="24"/>
  <c r="BH112" i="24"/>
  <c r="BI112" i="24"/>
  <c r="BJ112" i="24"/>
  <c r="BK112" i="24"/>
  <c r="BL112" i="24"/>
  <c r="BM112" i="24"/>
  <c r="BN112" i="24"/>
  <c r="BO112" i="24"/>
  <c r="BP112" i="24"/>
  <c r="BQ112" i="24"/>
  <c r="BR112" i="24"/>
  <c r="BS112" i="24"/>
  <c r="BT112" i="24"/>
  <c r="BU112" i="24"/>
  <c r="BV112" i="24"/>
  <c r="BW112" i="24"/>
  <c r="BX112" i="24"/>
  <c r="BY112" i="24"/>
  <c r="BZ112" i="24"/>
  <c r="CA112" i="24"/>
  <c r="CB112" i="24"/>
  <c r="CC112" i="24"/>
  <c r="CD112" i="24"/>
  <c r="CE112" i="24"/>
  <c r="CF112" i="24"/>
  <c r="CG112" i="24"/>
  <c r="CH112" i="24"/>
  <c r="CI112" i="24"/>
  <c r="CJ112" i="24"/>
  <c r="CK112" i="24"/>
  <c r="CL112" i="24"/>
  <c r="CM112" i="24"/>
  <c r="CN112" i="24"/>
  <c r="CO112" i="24"/>
  <c r="CP112" i="24"/>
  <c r="CQ112" i="24"/>
  <c r="CR112" i="24"/>
  <c r="CS112" i="24"/>
  <c r="CT112" i="24"/>
  <c r="CU112" i="24"/>
  <c r="CV112" i="24"/>
  <c r="CW112" i="24"/>
  <c r="CX112" i="24"/>
  <c r="CY112" i="24"/>
  <c r="CZ112" i="24"/>
  <c r="DA112" i="24"/>
  <c r="DB112" i="24"/>
  <c r="DC112" i="24"/>
  <c r="DD112" i="24"/>
  <c r="DE112" i="24"/>
  <c r="DF112" i="24"/>
  <c r="DG112" i="24"/>
  <c r="DH112" i="24"/>
  <c r="DI112" i="24"/>
  <c r="DJ112" i="24"/>
  <c r="DK112" i="24"/>
  <c r="DL112" i="24"/>
  <c r="DM112" i="24"/>
  <c r="DN112" i="24"/>
  <c r="DO112" i="24"/>
  <c r="DP112" i="24"/>
  <c r="DQ112" i="24"/>
  <c r="DR112" i="24"/>
  <c r="DS112" i="24"/>
  <c r="DT112" i="24"/>
  <c r="DU112" i="24"/>
  <c r="DV112" i="24"/>
  <c r="DW112" i="24"/>
  <c r="DX112" i="24"/>
  <c r="DY112" i="24"/>
  <c r="DZ112" i="24"/>
  <c r="EA112" i="24"/>
  <c r="EB112" i="24"/>
  <c r="EC112" i="24"/>
  <c r="ED112" i="24"/>
  <c r="EE112" i="24"/>
  <c r="EF112" i="24"/>
  <c r="EG112" i="24"/>
  <c r="EH112" i="24"/>
  <c r="EI112" i="24"/>
  <c r="EJ112" i="24"/>
  <c r="EK112" i="24"/>
  <c r="EL112" i="24"/>
  <c r="EM112" i="24"/>
  <c r="EN112" i="24"/>
  <c r="EO112" i="24"/>
  <c r="EP112" i="24"/>
  <c r="EQ112" i="24"/>
  <c r="ER112" i="24"/>
  <c r="ES112" i="24"/>
  <c r="ET112" i="24"/>
  <c r="EU112" i="24"/>
  <c r="EV112" i="24"/>
  <c r="EW112" i="24"/>
  <c r="EX112" i="24"/>
  <c r="EY112" i="24"/>
  <c r="EZ112" i="24"/>
  <c r="FA112" i="24"/>
  <c r="FB112" i="24"/>
  <c r="FC112" i="24"/>
  <c r="FD112" i="24"/>
  <c r="FE112" i="24"/>
  <c r="FF112" i="24"/>
  <c r="FG112" i="24"/>
  <c r="FH112" i="24"/>
  <c r="FI112" i="24"/>
  <c r="FJ112" i="24"/>
  <c r="FK112" i="24"/>
  <c r="FL112" i="24"/>
  <c r="FM112" i="24"/>
  <c r="FN112" i="24"/>
  <c r="FO112" i="24"/>
  <c r="FP112" i="24"/>
  <c r="FQ112" i="24"/>
  <c r="FR112" i="24"/>
  <c r="FS112" i="24"/>
  <c r="FT112" i="24"/>
  <c r="FU112" i="24"/>
  <c r="FV112" i="24"/>
  <c r="FW112" i="24"/>
  <c r="FX112" i="24"/>
  <c r="FY112" i="24"/>
  <c r="FZ112" i="24"/>
  <c r="GA112" i="24"/>
  <c r="GB112" i="24"/>
  <c r="GC112" i="24"/>
  <c r="GD112" i="24"/>
  <c r="GE112" i="24"/>
  <c r="GF112" i="24"/>
  <c r="GG112" i="24"/>
  <c r="GH112" i="24"/>
  <c r="GI112" i="24"/>
  <c r="GJ112" i="24"/>
  <c r="GK112" i="24"/>
  <c r="GL112" i="24"/>
  <c r="GM112" i="24"/>
  <c r="GN112" i="24"/>
  <c r="GO112" i="24"/>
  <c r="GP112" i="24"/>
  <c r="GQ112" i="24"/>
  <c r="GR112" i="24"/>
  <c r="GS112" i="24"/>
  <c r="GT112" i="24"/>
  <c r="D113" i="24"/>
  <c r="E113" i="24"/>
  <c r="F113" i="24"/>
  <c r="G113" i="24"/>
  <c r="H113" i="24"/>
  <c r="I113" i="24"/>
  <c r="J113" i="24"/>
  <c r="K113" i="24"/>
  <c r="L113" i="24"/>
  <c r="M113" i="24"/>
  <c r="N113" i="24"/>
  <c r="O113" i="24"/>
  <c r="P113" i="24"/>
  <c r="Q113" i="24"/>
  <c r="R113" i="24"/>
  <c r="S113" i="24"/>
  <c r="T113" i="24"/>
  <c r="U113" i="24"/>
  <c r="V113" i="24"/>
  <c r="W113" i="24"/>
  <c r="X113" i="24"/>
  <c r="Y113" i="24"/>
  <c r="Z113" i="24"/>
  <c r="AA113" i="24"/>
  <c r="AB113" i="24"/>
  <c r="AC113" i="24"/>
  <c r="AD113" i="24"/>
  <c r="AE113" i="24"/>
  <c r="AF113" i="24"/>
  <c r="AG113" i="24"/>
  <c r="AH113" i="24"/>
  <c r="AI113" i="24"/>
  <c r="AJ113" i="24"/>
  <c r="AK113" i="24"/>
  <c r="AL113" i="24"/>
  <c r="AM113" i="24"/>
  <c r="AN113" i="24"/>
  <c r="AO113" i="24"/>
  <c r="AP113" i="24"/>
  <c r="AQ113" i="24"/>
  <c r="AR113" i="24"/>
  <c r="AS113" i="24"/>
  <c r="AT113" i="24"/>
  <c r="AU113" i="24"/>
  <c r="AV113" i="24"/>
  <c r="AW113" i="24"/>
  <c r="AX113" i="24"/>
  <c r="AY113" i="24"/>
  <c r="AZ113" i="24"/>
  <c r="BA113" i="24"/>
  <c r="BB113" i="24"/>
  <c r="BC113" i="24"/>
  <c r="BD113" i="24"/>
  <c r="BE113" i="24"/>
  <c r="BF113" i="24"/>
  <c r="BG113" i="24"/>
  <c r="BH113" i="24"/>
  <c r="BI113" i="24"/>
  <c r="BJ113" i="24"/>
  <c r="BK113" i="24"/>
  <c r="BL113" i="24"/>
  <c r="BM113" i="24"/>
  <c r="BN113" i="24"/>
  <c r="BO113" i="24"/>
  <c r="BP113" i="24"/>
  <c r="BQ113" i="24"/>
  <c r="BR113" i="24"/>
  <c r="BS113" i="24"/>
  <c r="BT113" i="24"/>
  <c r="BU113" i="24"/>
  <c r="BV113" i="24"/>
  <c r="BW113" i="24"/>
  <c r="BX113" i="24"/>
  <c r="BY113" i="24"/>
  <c r="BZ113" i="24"/>
  <c r="CA113" i="24"/>
  <c r="CB113" i="24"/>
  <c r="CC113" i="24"/>
  <c r="CD113" i="24"/>
  <c r="CE113" i="24"/>
  <c r="CF113" i="24"/>
  <c r="CG113" i="24"/>
  <c r="CH113" i="24"/>
  <c r="CI113" i="24"/>
  <c r="CJ113" i="24"/>
  <c r="CK113" i="24"/>
  <c r="CL113" i="24"/>
  <c r="CM113" i="24"/>
  <c r="CN113" i="24"/>
  <c r="CO113" i="24"/>
  <c r="CP113" i="24"/>
  <c r="CQ113" i="24"/>
  <c r="CR113" i="24"/>
  <c r="CS113" i="24"/>
  <c r="CT113" i="24"/>
  <c r="CU113" i="24"/>
  <c r="CV113" i="24"/>
  <c r="CW113" i="24"/>
  <c r="CX113" i="24"/>
  <c r="CY113" i="24"/>
  <c r="CZ113" i="24"/>
  <c r="DA113" i="24"/>
  <c r="DB113" i="24"/>
  <c r="DC113" i="24"/>
  <c r="DD113" i="24"/>
  <c r="DE113" i="24"/>
  <c r="DF113" i="24"/>
  <c r="DG113" i="24"/>
  <c r="DH113" i="24"/>
  <c r="DI113" i="24"/>
  <c r="DJ113" i="24"/>
  <c r="DK113" i="24"/>
  <c r="DL113" i="24"/>
  <c r="DM113" i="24"/>
  <c r="DN113" i="24"/>
  <c r="DO113" i="24"/>
  <c r="DP113" i="24"/>
  <c r="DQ113" i="24"/>
  <c r="DR113" i="24"/>
  <c r="DS113" i="24"/>
  <c r="DT113" i="24"/>
  <c r="DU113" i="24"/>
  <c r="DV113" i="24"/>
  <c r="DW113" i="24"/>
  <c r="DX113" i="24"/>
  <c r="DY113" i="24"/>
  <c r="DZ113" i="24"/>
  <c r="EA113" i="24"/>
  <c r="EB113" i="24"/>
  <c r="EC113" i="24"/>
  <c r="ED113" i="24"/>
  <c r="EE113" i="24"/>
  <c r="EF113" i="24"/>
  <c r="EG113" i="24"/>
  <c r="EH113" i="24"/>
  <c r="EI113" i="24"/>
  <c r="EJ113" i="24"/>
  <c r="EK113" i="24"/>
  <c r="EL113" i="24"/>
  <c r="EM113" i="24"/>
  <c r="EN113" i="24"/>
  <c r="EO113" i="24"/>
  <c r="EP113" i="24"/>
  <c r="EQ113" i="24"/>
  <c r="ER113" i="24"/>
  <c r="ES113" i="24"/>
  <c r="ET113" i="24"/>
  <c r="EU113" i="24"/>
  <c r="EV113" i="24"/>
  <c r="EW113" i="24"/>
  <c r="EX113" i="24"/>
  <c r="EY113" i="24"/>
  <c r="EZ113" i="24"/>
  <c r="FA113" i="24"/>
  <c r="FB113" i="24"/>
  <c r="FC113" i="24"/>
  <c r="FD113" i="24"/>
  <c r="FE113" i="24"/>
  <c r="FF113" i="24"/>
  <c r="FG113" i="24"/>
  <c r="FH113" i="24"/>
  <c r="FI113" i="24"/>
  <c r="FJ113" i="24"/>
  <c r="FK113" i="24"/>
  <c r="FL113" i="24"/>
  <c r="FM113" i="24"/>
  <c r="FN113" i="24"/>
  <c r="FO113" i="24"/>
  <c r="FP113" i="24"/>
  <c r="FQ113" i="24"/>
  <c r="FR113" i="24"/>
  <c r="FS113" i="24"/>
  <c r="FT113" i="24"/>
  <c r="FU113" i="24"/>
  <c r="FV113" i="24"/>
  <c r="FW113" i="24"/>
  <c r="FX113" i="24"/>
  <c r="FY113" i="24"/>
  <c r="FZ113" i="24"/>
  <c r="GA113" i="24"/>
  <c r="GB113" i="24"/>
  <c r="GC113" i="24"/>
  <c r="GD113" i="24"/>
  <c r="GE113" i="24"/>
  <c r="GF113" i="24"/>
  <c r="GG113" i="24"/>
  <c r="GH113" i="24"/>
  <c r="GI113" i="24"/>
  <c r="GJ113" i="24"/>
  <c r="GK113" i="24"/>
  <c r="GL113" i="24"/>
  <c r="GM113" i="24"/>
  <c r="GN113" i="24"/>
  <c r="GO113" i="24"/>
  <c r="GP113" i="24"/>
  <c r="GQ113" i="24"/>
  <c r="GR113" i="24"/>
  <c r="GS113" i="24"/>
  <c r="GT113" i="24"/>
  <c r="D114" i="24"/>
  <c r="E114" i="24"/>
  <c r="F114" i="24"/>
  <c r="G114" i="24"/>
  <c r="H114" i="24"/>
  <c r="I114" i="24"/>
  <c r="J114" i="24"/>
  <c r="K114" i="24"/>
  <c r="L114" i="24"/>
  <c r="M114" i="24"/>
  <c r="N114" i="24"/>
  <c r="O114" i="24"/>
  <c r="P114" i="24"/>
  <c r="Q114" i="24"/>
  <c r="R114" i="24"/>
  <c r="S114" i="24"/>
  <c r="T114" i="24"/>
  <c r="U114" i="24"/>
  <c r="V114" i="24"/>
  <c r="W114" i="24"/>
  <c r="X114" i="24"/>
  <c r="Y114" i="24"/>
  <c r="Z114" i="24"/>
  <c r="AA114" i="24"/>
  <c r="AB114" i="24"/>
  <c r="AC114" i="24"/>
  <c r="AD114" i="24"/>
  <c r="AE114" i="24"/>
  <c r="AF114" i="24"/>
  <c r="AG114" i="24"/>
  <c r="AH114" i="24"/>
  <c r="AI114" i="24"/>
  <c r="AJ114" i="24"/>
  <c r="AK114" i="24"/>
  <c r="AL114" i="24"/>
  <c r="AM114" i="24"/>
  <c r="AN114" i="24"/>
  <c r="AO114" i="24"/>
  <c r="AP114" i="24"/>
  <c r="AQ114" i="24"/>
  <c r="AR114" i="24"/>
  <c r="AS114" i="24"/>
  <c r="AT114" i="24"/>
  <c r="AU114" i="24"/>
  <c r="AV114" i="24"/>
  <c r="AW114" i="24"/>
  <c r="AX114" i="24"/>
  <c r="AY114" i="24"/>
  <c r="AZ114" i="24"/>
  <c r="BA114" i="24"/>
  <c r="BB114" i="24"/>
  <c r="BC114" i="24"/>
  <c r="BD114" i="24"/>
  <c r="BE114" i="24"/>
  <c r="BF114" i="24"/>
  <c r="BG114" i="24"/>
  <c r="BH114" i="24"/>
  <c r="BI114" i="24"/>
  <c r="BJ114" i="24"/>
  <c r="BK114" i="24"/>
  <c r="BL114" i="24"/>
  <c r="BM114" i="24"/>
  <c r="BN114" i="24"/>
  <c r="BO114" i="24"/>
  <c r="BP114" i="24"/>
  <c r="BQ114" i="24"/>
  <c r="BR114" i="24"/>
  <c r="BS114" i="24"/>
  <c r="BT114" i="24"/>
  <c r="BU114" i="24"/>
  <c r="BV114" i="24"/>
  <c r="BW114" i="24"/>
  <c r="BX114" i="24"/>
  <c r="BY114" i="24"/>
  <c r="BZ114" i="24"/>
  <c r="CA114" i="24"/>
  <c r="CB114" i="24"/>
  <c r="CC114" i="24"/>
  <c r="CD114" i="24"/>
  <c r="CE114" i="24"/>
  <c r="CF114" i="24"/>
  <c r="CG114" i="24"/>
  <c r="CH114" i="24"/>
  <c r="CI114" i="24"/>
  <c r="CJ114" i="24"/>
  <c r="CK114" i="24"/>
  <c r="CL114" i="24"/>
  <c r="CM114" i="24"/>
  <c r="CN114" i="24"/>
  <c r="CO114" i="24"/>
  <c r="CP114" i="24"/>
  <c r="CQ114" i="24"/>
  <c r="CR114" i="24"/>
  <c r="CS114" i="24"/>
  <c r="CT114" i="24"/>
  <c r="CU114" i="24"/>
  <c r="CV114" i="24"/>
  <c r="CW114" i="24"/>
  <c r="CX114" i="24"/>
  <c r="CY114" i="24"/>
  <c r="CZ114" i="24"/>
  <c r="DA114" i="24"/>
  <c r="DB114" i="24"/>
  <c r="DC114" i="24"/>
  <c r="DD114" i="24"/>
  <c r="DE114" i="24"/>
  <c r="DF114" i="24"/>
  <c r="DG114" i="24"/>
  <c r="DH114" i="24"/>
  <c r="DI114" i="24"/>
  <c r="DJ114" i="24"/>
  <c r="DK114" i="24"/>
  <c r="DL114" i="24"/>
  <c r="DM114" i="24"/>
  <c r="DN114" i="24"/>
  <c r="DO114" i="24"/>
  <c r="DP114" i="24"/>
  <c r="DQ114" i="24"/>
  <c r="DR114" i="24"/>
  <c r="DS114" i="24"/>
  <c r="DT114" i="24"/>
  <c r="DU114" i="24"/>
  <c r="DV114" i="24"/>
  <c r="DW114" i="24"/>
  <c r="DX114" i="24"/>
  <c r="DY114" i="24"/>
  <c r="DZ114" i="24"/>
  <c r="EA114" i="24"/>
  <c r="EB114" i="24"/>
  <c r="EC114" i="24"/>
  <c r="ED114" i="24"/>
  <c r="EE114" i="24"/>
  <c r="EF114" i="24"/>
  <c r="EG114" i="24"/>
  <c r="EH114" i="24"/>
  <c r="EI114" i="24"/>
  <c r="EJ114" i="24"/>
  <c r="EK114" i="24"/>
  <c r="EL114" i="24"/>
  <c r="EM114" i="24"/>
  <c r="EN114" i="24"/>
  <c r="EO114" i="24"/>
  <c r="EP114" i="24"/>
  <c r="EQ114" i="24"/>
  <c r="ER114" i="24"/>
  <c r="ES114" i="24"/>
  <c r="ET114" i="24"/>
  <c r="EU114" i="24"/>
  <c r="EV114" i="24"/>
  <c r="EW114" i="24"/>
  <c r="EX114" i="24"/>
  <c r="EY114" i="24"/>
  <c r="EZ114" i="24"/>
  <c r="FA114" i="24"/>
  <c r="FB114" i="24"/>
  <c r="FC114" i="24"/>
  <c r="FD114" i="24"/>
  <c r="FE114" i="24"/>
  <c r="FF114" i="24"/>
  <c r="FG114" i="24"/>
  <c r="FH114" i="24"/>
  <c r="FI114" i="24"/>
  <c r="FJ114" i="24"/>
  <c r="FK114" i="24"/>
  <c r="FL114" i="24"/>
  <c r="FM114" i="24"/>
  <c r="FN114" i="24"/>
  <c r="FO114" i="24"/>
  <c r="FP114" i="24"/>
  <c r="FQ114" i="24"/>
  <c r="FR114" i="24"/>
  <c r="FS114" i="24"/>
  <c r="FT114" i="24"/>
  <c r="FU114" i="24"/>
  <c r="FV114" i="24"/>
  <c r="FW114" i="24"/>
  <c r="FX114" i="24"/>
  <c r="FY114" i="24"/>
  <c r="FZ114" i="24"/>
  <c r="GA114" i="24"/>
  <c r="GB114" i="24"/>
  <c r="GC114" i="24"/>
  <c r="GD114" i="24"/>
  <c r="GE114" i="24"/>
  <c r="GF114" i="24"/>
  <c r="GG114" i="24"/>
  <c r="GH114" i="24"/>
  <c r="GI114" i="24"/>
  <c r="GJ114" i="24"/>
  <c r="GK114" i="24"/>
  <c r="GL114" i="24"/>
  <c r="GM114" i="24"/>
  <c r="GN114" i="24"/>
  <c r="GO114" i="24"/>
  <c r="GP114" i="24"/>
  <c r="GQ114" i="24"/>
  <c r="GR114" i="24"/>
  <c r="GS114" i="24"/>
  <c r="GT114" i="24"/>
  <c r="D115" i="24"/>
  <c r="E115" i="24"/>
  <c r="F115" i="24"/>
  <c r="G115" i="24"/>
  <c r="H115" i="24"/>
  <c r="I115" i="24"/>
  <c r="J115" i="24"/>
  <c r="K115" i="24"/>
  <c r="L115" i="24"/>
  <c r="M115" i="24"/>
  <c r="N115" i="24"/>
  <c r="O115" i="24"/>
  <c r="P115" i="24"/>
  <c r="Q115" i="24"/>
  <c r="R115" i="24"/>
  <c r="S115" i="24"/>
  <c r="T115" i="24"/>
  <c r="U115" i="24"/>
  <c r="V115" i="24"/>
  <c r="W115" i="24"/>
  <c r="X115" i="24"/>
  <c r="Y115" i="24"/>
  <c r="Z115" i="24"/>
  <c r="AA115" i="24"/>
  <c r="AB115" i="24"/>
  <c r="AC115" i="24"/>
  <c r="AD115" i="24"/>
  <c r="AE115" i="24"/>
  <c r="AF115" i="24"/>
  <c r="AG115" i="24"/>
  <c r="AH115" i="24"/>
  <c r="AI115" i="24"/>
  <c r="AJ115" i="24"/>
  <c r="AK115" i="24"/>
  <c r="AL115" i="24"/>
  <c r="AM115" i="24"/>
  <c r="AN115" i="24"/>
  <c r="AO115" i="24"/>
  <c r="AP115" i="24"/>
  <c r="AQ115" i="24"/>
  <c r="AR115" i="24"/>
  <c r="AS115" i="24"/>
  <c r="AT115" i="24"/>
  <c r="AU115" i="24"/>
  <c r="AV115" i="24"/>
  <c r="AW115" i="24"/>
  <c r="AX115" i="24"/>
  <c r="AY115" i="24"/>
  <c r="AZ115" i="24"/>
  <c r="BA115" i="24"/>
  <c r="BB115" i="24"/>
  <c r="BC115" i="24"/>
  <c r="BD115" i="24"/>
  <c r="BE115" i="24"/>
  <c r="BF115" i="24"/>
  <c r="BG115" i="24"/>
  <c r="BH115" i="24"/>
  <c r="BI115" i="24"/>
  <c r="BJ115" i="24"/>
  <c r="BK115" i="24"/>
  <c r="BL115" i="24"/>
  <c r="BM115" i="24"/>
  <c r="BN115" i="24"/>
  <c r="BO115" i="24"/>
  <c r="BP115" i="24"/>
  <c r="BQ115" i="24"/>
  <c r="BR115" i="24"/>
  <c r="BS115" i="24"/>
  <c r="BT115" i="24"/>
  <c r="BU115" i="24"/>
  <c r="BV115" i="24"/>
  <c r="BW115" i="24"/>
  <c r="BX115" i="24"/>
  <c r="BY115" i="24"/>
  <c r="BZ115" i="24"/>
  <c r="CA115" i="24"/>
  <c r="CB115" i="24"/>
  <c r="CC115" i="24"/>
  <c r="CD115" i="24"/>
  <c r="CE115" i="24"/>
  <c r="CF115" i="24"/>
  <c r="CG115" i="24"/>
  <c r="CH115" i="24"/>
  <c r="CI115" i="24"/>
  <c r="CJ115" i="24"/>
  <c r="CK115" i="24"/>
  <c r="CL115" i="24"/>
  <c r="CM115" i="24"/>
  <c r="CN115" i="24"/>
  <c r="CO115" i="24"/>
  <c r="CP115" i="24"/>
  <c r="CQ115" i="24"/>
  <c r="CR115" i="24"/>
  <c r="CS115" i="24"/>
  <c r="CT115" i="24"/>
  <c r="CU115" i="24"/>
  <c r="CV115" i="24"/>
  <c r="CW115" i="24"/>
  <c r="CX115" i="24"/>
  <c r="CY115" i="24"/>
  <c r="CZ115" i="24"/>
  <c r="DA115" i="24"/>
  <c r="DB115" i="24"/>
  <c r="DC115" i="24"/>
  <c r="DD115" i="24"/>
  <c r="DE115" i="24"/>
  <c r="DF115" i="24"/>
  <c r="DG115" i="24"/>
  <c r="DH115" i="24"/>
  <c r="DI115" i="24"/>
  <c r="DJ115" i="24"/>
  <c r="DK115" i="24"/>
  <c r="DL115" i="24"/>
  <c r="DM115" i="24"/>
  <c r="DN115" i="24"/>
  <c r="DO115" i="24"/>
  <c r="DP115" i="24"/>
  <c r="DQ115" i="24"/>
  <c r="DR115" i="24"/>
  <c r="DS115" i="24"/>
  <c r="DT115" i="24"/>
  <c r="DU115" i="24"/>
  <c r="DV115" i="24"/>
  <c r="DW115" i="24"/>
  <c r="DX115" i="24"/>
  <c r="DY115" i="24"/>
  <c r="DZ115" i="24"/>
  <c r="EA115" i="24"/>
  <c r="EB115" i="24"/>
  <c r="EC115" i="24"/>
  <c r="ED115" i="24"/>
  <c r="EE115" i="24"/>
  <c r="EF115" i="24"/>
  <c r="EG115" i="24"/>
  <c r="EH115" i="24"/>
  <c r="EI115" i="24"/>
  <c r="EJ115" i="24"/>
  <c r="EK115" i="24"/>
  <c r="EL115" i="24"/>
  <c r="EM115" i="24"/>
  <c r="EN115" i="24"/>
  <c r="EO115" i="24"/>
  <c r="EP115" i="24"/>
  <c r="EQ115" i="24"/>
  <c r="ER115" i="24"/>
  <c r="ES115" i="24"/>
  <c r="ET115" i="24"/>
  <c r="EU115" i="24"/>
  <c r="EV115" i="24"/>
  <c r="EW115" i="24"/>
  <c r="EX115" i="24"/>
  <c r="EY115" i="24"/>
  <c r="EZ115" i="24"/>
  <c r="FA115" i="24"/>
  <c r="FB115" i="24"/>
  <c r="FC115" i="24"/>
  <c r="FD115" i="24"/>
  <c r="FE115" i="24"/>
  <c r="FF115" i="24"/>
  <c r="FG115" i="24"/>
  <c r="FH115" i="24"/>
  <c r="FI115" i="24"/>
  <c r="FJ115" i="24"/>
  <c r="FK115" i="24"/>
  <c r="FL115" i="24"/>
  <c r="FM115" i="24"/>
  <c r="FN115" i="24"/>
  <c r="FO115" i="24"/>
  <c r="FP115" i="24"/>
  <c r="FQ115" i="24"/>
  <c r="FR115" i="24"/>
  <c r="FS115" i="24"/>
  <c r="FT115" i="24"/>
  <c r="FU115" i="24"/>
  <c r="FV115" i="24"/>
  <c r="FW115" i="24"/>
  <c r="FX115" i="24"/>
  <c r="FY115" i="24"/>
  <c r="FZ115" i="24"/>
  <c r="GA115" i="24"/>
  <c r="GB115" i="24"/>
  <c r="GC115" i="24"/>
  <c r="GD115" i="24"/>
  <c r="GE115" i="24"/>
  <c r="GF115" i="24"/>
  <c r="GG115" i="24"/>
  <c r="GH115" i="24"/>
  <c r="GI115" i="24"/>
  <c r="GJ115" i="24"/>
  <c r="GK115" i="24"/>
  <c r="GL115" i="24"/>
  <c r="GM115" i="24"/>
  <c r="GN115" i="24"/>
  <c r="GO115" i="24"/>
  <c r="GP115" i="24"/>
  <c r="GQ115" i="24"/>
  <c r="GR115" i="24"/>
  <c r="GS115" i="24"/>
  <c r="GT115" i="24"/>
  <c r="D116" i="24"/>
  <c r="E116" i="24"/>
  <c r="F116" i="24"/>
  <c r="G116" i="24"/>
  <c r="H116" i="24"/>
  <c r="I116" i="24"/>
  <c r="J116" i="24"/>
  <c r="K116" i="24"/>
  <c r="L116" i="24"/>
  <c r="M116" i="24"/>
  <c r="N116" i="24"/>
  <c r="O116" i="24"/>
  <c r="P116" i="24"/>
  <c r="Q116" i="24"/>
  <c r="R116" i="24"/>
  <c r="S116" i="24"/>
  <c r="T116" i="24"/>
  <c r="U116" i="24"/>
  <c r="V116" i="24"/>
  <c r="W116" i="24"/>
  <c r="X116" i="24"/>
  <c r="Y116" i="24"/>
  <c r="Z116" i="24"/>
  <c r="AA116" i="24"/>
  <c r="AB116" i="24"/>
  <c r="AC116" i="24"/>
  <c r="AD116" i="24"/>
  <c r="AE116" i="24"/>
  <c r="AF116" i="24"/>
  <c r="AG116" i="24"/>
  <c r="AH116" i="24"/>
  <c r="AI116" i="24"/>
  <c r="AJ116" i="24"/>
  <c r="AK116" i="24"/>
  <c r="AL116" i="24"/>
  <c r="AM116" i="24"/>
  <c r="AN116" i="24"/>
  <c r="AO116" i="24"/>
  <c r="AP116" i="24"/>
  <c r="AQ116" i="24"/>
  <c r="AR116" i="24"/>
  <c r="AS116" i="24"/>
  <c r="AT116" i="24"/>
  <c r="AU116" i="24"/>
  <c r="AV116" i="24"/>
  <c r="AW116" i="24"/>
  <c r="AX116" i="24"/>
  <c r="AY116" i="24"/>
  <c r="AZ116" i="24"/>
  <c r="BA116" i="24"/>
  <c r="BB116" i="24"/>
  <c r="BC116" i="24"/>
  <c r="BD116" i="24"/>
  <c r="BE116" i="24"/>
  <c r="BF116" i="24"/>
  <c r="BG116" i="24"/>
  <c r="BH116" i="24"/>
  <c r="BI116" i="24"/>
  <c r="BJ116" i="24"/>
  <c r="BK116" i="24"/>
  <c r="BL116" i="24"/>
  <c r="BM116" i="24"/>
  <c r="BN116" i="24"/>
  <c r="BO116" i="24"/>
  <c r="BP116" i="24"/>
  <c r="BQ116" i="24"/>
  <c r="BR116" i="24"/>
  <c r="BS116" i="24"/>
  <c r="BT116" i="24"/>
  <c r="BU116" i="24"/>
  <c r="BV116" i="24"/>
  <c r="BW116" i="24"/>
  <c r="BX116" i="24"/>
  <c r="BY116" i="24"/>
  <c r="BZ116" i="24"/>
  <c r="CA116" i="24"/>
  <c r="CB116" i="24"/>
  <c r="CC116" i="24"/>
  <c r="CD116" i="24"/>
  <c r="CE116" i="24"/>
  <c r="CF116" i="24"/>
  <c r="CG116" i="24"/>
  <c r="CH116" i="24"/>
  <c r="CI116" i="24"/>
  <c r="CJ116" i="24"/>
  <c r="CK116" i="24"/>
  <c r="CL116" i="24"/>
  <c r="CM116" i="24"/>
  <c r="CN116" i="24"/>
  <c r="CO116" i="24"/>
  <c r="CP116" i="24"/>
  <c r="CQ116" i="24"/>
  <c r="CR116" i="24"/>
  <c r="CS116" i="24"/>
  <c r="CT116" i="24"/>
  <c r="CU116" i="24"/>
  <c r="CV116" i="24"/>
  <c r="CW116" i="24"/>
  <c r="CX116" i="24"/>
  <c r="CY116" i="24"/>
  <c r="CZ116" i="24"/>
  <c r="DA116" i="24"/>
  <c r="DB116" i="24"/>
  <c r="DC116" i="24"/>
  <c r="DD116" i="24"/>
  <c r="DE116" i="24"/>
  <c r="DF116" i="24"/>
  <c r="DG116" i="24"/>
  <c r="DH116" i="24"/>
  <c r="DI116" i="24"/>
  <c r="DJ116" i="24"/>
  <c r="DK116" i="24"/>
  <c r="DL116" i="24"/>
  <c r="DM116" i="24"/>
  <c r="DN116" i="24"/>
  <c r="DO116" i="24"/>
  <c r="DP116" i="24"/>
  <c r="DQ116" i="24"/>
  <c r="DR116" i="24"/>
  <c r="DS116" i="24"/>
  <c r="DT116" i="24"/>
  <c r="DU116" i="24"/>
  <c r="DV116" i="24"/>
  <c r="DW116" i="24"/>
  <c r="DX116" i="24"/>
  <c r="DY116" i="24"/>
  <c r="DZ116" i="24"/>
  <c r="EA116" i="24"/>
  <c r="EB116" i="24"/>
  <c r="EC116" i="24"/>
  <c r="ED116" i="24"/>
  <c r="EE116" i="24"/>
  <c r="EF116" i="24"/>
  <c r="EG116" i="24"/>
  <c r="EH116" i="24"/>
  <c r="EI116" i="24"/>
  <c r="EJ116" i="24"/>
  <c r="EK116" i="24"/>
  <c r="EL116" i="24"/>
  <c r="EM116" i="24"/>
  <c r="EN116" i="24"/>
  <c r="EO116" i="24"/>
  <c r="EP116" i="24"/>
  <c r="EQ116" i="24"/>
  <c r="ER116" i="24"/>
  <c r="ES116" i="24"/>
  <c r="ET116" i="24"/>
  <c r="EU116" i="24"/>
  <c r="EV116" i="24"/>
  <c r="EW116" i="24"/>
  <c r="EX116" i="24"/>
  <c r="EY116" i="24"/>
  <c r="EZ116" i="24"/>
  <c r="FA116" i="24"/>
  <c r="FB116" i="24"/>
  <c r="FC116" i="24"/>
  <c r="FD116" i="24"/>
  <c r="FE116" i="24"/>
  <c r="FF116" i="24"/>
  <c r="FG116" i="24"/>
  <c r="FH116" i="24"/>
  <c r="FI116" i="24"/>
  <c r="FJ116" i="24"/>
  <c r="FK116" i="24"/>
  <c r="FL116" i="24"/>
  <c r="FM116" i="24"/>
  <c r="FN116" i="24"/>
  <c r="FO116" i="24"/>
  <c r="FP116" i="24"/>
  <c r="FQ116" i="24"/>
  <c r="FR116" i="24"/>
  <c r="FS116" i="24"/>
  <c r="FT116" i="24"/>
  <c r="FU116" i="24"/>
  <c r="FV116" i="24"/>
  <c r="FW116" i="24"/>
  <c r="FX116" i="24"/>
  <c r="FY116" i="24"/>
  <c r="FZ116" i="24"/>
  <c r="GA116" i="24"/>
  <c r="GB116" i="24"/>
  <c r="GC116" i="24"/>
  <c r="GD116" i="24"/>
  <c r="GE116" i="24"/>
  <c r="GF116" i="24"/>
  <c r="GG116" i="24"/>
  <c r="GH116" i="24"/>
  <c r="GI116" i="24"/>
  <c r="GJ116" i="24"/>
  <c r="GK116" i="24"/>
  <c r="GL116" i="24"/>
  <c r="GM116" i="24"/>
  <c r="GN116" i="24"/>
  <c r="GO116" i="24"/>
  <c r="GP116" i="24"/>
  <c r="GQ116" i="24"/>
  <c r="GR116" i="24"/>
  <c r="GS116" i="24"/>
  <c r="GT116" i="24"/>
  <c r="D117" i="24"/>
  <c r="E117" i="24"/>
  <c r="F117" i="24"/>
  <c r="G117" i="24"/>
  <c r="H117" i="24"/>
  <c r="I117" i="24"/>
  <c r="J117" i="24"/>
  <c r="K117" i="24"/>
  <c r="L117" i="24"/>
  <c r="M117" i="24"/>
  <c r="N117" i="24"/>
  <c r="O117" i="24"/>
  <c r="P117" i="24"/>
  <c r="Q117" i="24"/>
  <c r="R117" i="24"/>
  <c r="S117" i="24"/>
  <c r="T117" i="24"/>
  <c r="U117" i="24"/>
  <c r="V117" i="24"/>
  <c r="W117" i="24"/>
  <c r="X117" i="24"/>
  <c r="Y117" i="24"/>
  <c r="Z117" i="24"/>
  <c r="AA117" i="24"/>
  <c r="AB117" i="24"/>
  <c r="AC117" i="24"/>
  <c r="AD117" i="24"/>
  <c r="AE117" i="24"/>
  <c r="AF117" i="24"/>
  <c r="AG117" i="24"/>
  <c r="AH117" i="24"/>
  <c r="AI117" i="24"/>
  <c r="AJ117" i="24"/>
  <c r="AK117" i="24"/>
  <c r="AL117" i="24"/>
  <c r="AM117" i="24"/>
  <c r="AN117" i="24"/>
  <c r="AO117" i="24"/>
  <c r="AP117" i="24"/>
  <c r="AQ117" i="24"/>
  <c r="AR117" i="24"/>
  <c r="AS117" i="24"/>
  <c r="AT117" i="24"/>
  <c r="AU117" i="24"/>
  <c r="AV117" i="24"/>
  <c r="AW117" i="24"/>
  <c r="AX117" i="24"/>
  <c r="AY117" i="24"/>
  <c r="AZ117" i="24"/>
  <c r="BA117" i="24"/>
  <c r="BB117" i="24"/>
  <c r="BC117" i="24"/>
  <c r="BD117" i="24"/>
  <c r="BE117" i="24"/>
  <c r="BF117" i="24"/>
  <c r="BG117" i="24"/>
  <c r="BH117" i="24"/>
  <c r="BI117" i="24"/>
  <c r="BJ117" i="24"/>
  <c r="BK117" i="24"/>
  <c r="BL117" i="24"/>
  <c r="BM117" i="24"/>
  <c r="BN117" i="24"/>
  <c r="BO117" i="24"/>
  <c r="BP117" i="24"/>
  <c r="BQ117" i="24"/>
  <c r="BR117" i="24"/>
  <c r="BS117" i="24"/>
  <c r="BT117" i="24"/>
  <c r="BU117" i="24"/>
  <c r="BV117" i="24"/>
  <c r="BW117" i="24"/>
  <c r="BX117" i="24"/>
  <c r="BY117" i="24"/>
  <c r="BZ117" i="24"/>
  <c r="CA117" i="24"/>
  <c r="CB117" i="24"/>
  <c r="CC117" i="24"/>
  <c r="CD117" i="24"/>
  <c r="CE117" i="24"/>
  <c r="CF117" i="24"/>
  <c r="CG117" i="24"/>
  <c r="CH117" i="24"/>
  <c r="CI117" i="24"/>
  <c r="CJ117" i="24"/>
  <c r="CK117" i="24"/>
  <c r="CL117" i="24"/>
  <c r="CM117" i="24"/>
  <c r="CN117" i="24"/>
  <c r="CO117" i="24"/>
  <c r="CP117" i="24"/>
  <c r="CQ117" i="24"/>
  <c r="CR117" i="24"/>
  <c r="CS117" i="24"/>
  <c r="CT117" i="24"/>
  <c r="CU117" i="24"/>
  <c r="CV117" i="24"/>
  <c r="CW117" i="24"/>
  <c r="CX117" i="24"/>
  <c r="CY117" i="24"/>
  <c r="CZ117" i="24"/>
  <c r="DA117" i="24"/>
  <c r="DB117" i="24"/>
  <c r="DC117" i="24"/>
  <c r="DD117" i="24"/>
  <c r="DE117" i="24"/>
  <c r="DF117" i="24"/>
  <c r="DG117" i="24"/>
  <c r="DH117" i="24"/>
  <c r="DI117" i="24"/>
  <c r="DJ117" i="24"/>
  <c r="DK117" i="24"/>
  <c r="DL117" i="24"/>
  <c r="DM117" i="24"/>
  <c r="DN117" i="24"/>
  <c r="DO117" i="24"/>
  <c r="DP117" i="24"/>
  <c r="DQ117" i="24"/>
  <c r="DR117" i="24"/>
  <c r="DS117" i="24"/>
  <c r="DT117" i="24"/>
  <c r="DU117" i="24"/>
  <c r="DV117" i="24"/>
  <c r="DW117" i="24"/>
  <c r="DX117" i="24"/>
  <c r="DY117" i="24"/>
  <c r="DZ117" i="24"/>
  <c r="EA117" i="24"/>
  <c r="EB117" i="24"/>
  <c r="EC117" i="24"/>
  <c r="ED117" i="24"/>
  <c r="EE117" i="24"/>
  <c r="EF117" i="24"/>
  <c r="EG117" i="24"/>
  <c r="EH117" i="24"/>
  <c r="EI117" i="24"/>
  <c r="EJ117" i="24"/>
  <c r="EK117" i="24"/>
  <c r="EL117" i="24"/>
  <c r="EM117" i="24"/>
  <c r="EN117" i="24"/>
  <c r="EO117" i="24"/>
  <c r="EP117" i="24"/>
  <c r="EQ117" i="24"/>
  <c r="ER117" i="24"/>
  <c r="ES117" i="24"/>
  <c r="ET117" i="24"/>
  <c r="EU117" i="24"/>
  <c r="EV117" i="24"/>
  <c r="EW117" i="24"/>
  <c r="EX117" i="24"/>
  <c r="EY117" i="24"/>
  <c r="EZ117" i="24"/>
  <c r="FA117" i="24"/>
  <c r="FB117" i="24"/>
  <c r="FC117" i="24"/>
  <c r="FD117" i="24"/>
  <c r="FE117" i="24"/>
  <c r="FF117" i="24"/>
  <c r="FG117" i="24"/>
  <c r="FH117" i="24"/>
  <c r="FI117" i="24"/>
  <c r="FJ117" i="24"/>
  <c r="FK117" i="24"/>
  <c r="FL117" i="24"/>
  <c r="FM117" i="24"/>
  <c r="FN117" i="24"/>
  <c r="FO117" i="24"/>
  <c r="FP117" i="24"/>
  <c r="FQ117" i="24"/>
  <c r="FR117" i="24"/>
  <c r="FS117" i="24"/>
  <c r="FT117" i="24"/>
  <c r="FU117" i="24"/>
  <c r="FV117" i="24"/>
  <c r="FW117" i="24"/>
  <c r="FX117" i="24"/>
  <c r="FY117" i="24"/>
  <c r="FZ117" i="24"/>
  <c r="GA117" i="24"/>
  <c r="GB117" i="24"/>
  <c r="GC117" i="24"/>
  <c r="GD117" i="24"/>
  <c r="GE117" i="24"/>
  <c r="GF117" i="24"/>
  <c r="GG117" i="24"/>
  <c r="GH117" i="24"/>
  <c r="GI117" i="24"/>
  <c r="GJ117" i="24"/>
  <c r="GK117" i="24"/>
  <c r="GL117" i="24"/>
  <c r="GM117" i="24"/>
  <c r="GN117" i="24"/>
  <c r="GO117" i="24"/>
  <c r="GP117" i="24"/>
  <c r="GQ117" i="24"/>
  <c r="GR117" i="24"/>
  <c r="GS117" i="24"/>
  <c r="GT117" i="24"/>
  <c r="D118" i="24"/>
  <c r="E118" i="24"/>
  <c r="F118" i="24"/>
  <c r="G118" i="24"/>
  <c r="H118" i="24"/>
  <c r="I118" i="24"/>
  <c r="J118" i="24"/>
  <c r="K118" i="24"/>
  <c r="L118" i="24"/>
  <c r="M118" i="24"/>
  <c r="N118" i="24"/>
  <c r="O118" i="24"/>
  <c r="P118" i="24"/>
  <c r="Q118" i="24"/>
  <c r="R118" i="24"/>
  <c r="S118" i="24"/>
  <c r="T118" i="24"/>
  <c r="U118" i="24"/>
  <c r="V118" i="24"/>
  <c r="W118" i="24"/>
  <c r="X118" i="24"/>
  <c r="Y118" i="24"/>
  <c r="Z118" i="24"/>
  <c r="AA118" i="24"/>
  <c r="AB118" i="24"/>
  <c r="AC118" i="24"/>
  <c r="AD118" i="24"/>
  <c r="AE118" i="24"/>
  <c r="AF118" i="24"/>
  <c r="AG118" i="24"/>
  <c r="AH118" i="24"/>
  <c r="AI118" i="24"/>
  <c r="AJ118" i="24"/>
  <c r="AK118" i="24"/>
  <c r="AL118" i="24"/>
  <c r="AM118" i="24"/>
  <c r="AN118" i="24"/>
  <c r="AO118" i="24"/>
  <c r="AP118" i="24"/>
  <c r="AQ118" i="24"/>
  <c r="AR118" i="24"/>
  <c r="AS118" i="24"/>
  <c r="AT118" i="24"/>
  <c r="AU118" i="24"/>
  <c r="AV118" i="24"/>
  <c r="AW118" i="24"/>
  <c r="AX118" i="24"/>
  <c r="AY118" i="24"/>
  <c r="AZ118" i="24"/>
  <c r="BA118" i="24"/>
  <c r="BB118" i="24"/>
  <c r="BC118" i="24"/>
  <c r="BD118" i="24"/>
  <c r="BE118" i="24"/>
  <c r="BF118" i="24"/>
  <c r="BG118" i="24"/>
  <c r="BH118" i="24"/>
  <c r="BI118" i="24"/>
  <c r="BJ118" i="24"/>
  <c r="BK118" i="24"/>
  <c r="BL118" i="24"/>
  <c r="BM118" i="24"/>
  <c r="BN118" i="24"/>
  <c r="BO118" i="24"/>
  <c r="BP118" i="24"/>
  <c r="BQ118" i="24"/>
  <c r="BR118" i="24"/>
  <c r="BS118" i="24"/>
  <c r="BT118" i="24"/>
  <c r="BU118" i="24"/>
  <c r="BV118" i="24"/>
  <c r="BW118" i="24"/>
  <c r="BX118" i="24"/>
  <c r="BY118" i="24"/>
  <c r="BZ118" i="24"/>
  <c r="CA118" i="24"/>
  <c r="CB118" i="24"/>
  <c r="CC118" i="24"/>
  <c r="CD118" i="24"/>
  <c r="CE118" i="24"/>
  <c r="CF118" i="24"/>
  <c r="CG118" i="24"/>
  <c r="CH118" i="24"/>
  <c r="CI118" i="24"/>
  <c r="CJ118" i="24"/>
  <c r="CK118" i="24"/>
  <c r="CL118" i="24"/>
  <c r="CM118" i="24"/>
  <c r="CN118" i="24"/>
  <c r="CO118" i="24"/>
  <c r="CP118" i="24"/>
  <c r="CQ118" i="24"/>
  <c r="CR118" i="24"/>
  <c r="CS118" i="24"/>
  <c r="CT118" i="24"/>
  <c r="CU118" i="24"/>
  <c r="CV118" i="24"/>
  <c r="CW118" i="24"/>
  <c r="CX118" i="24"/>
  <c r="CY118" i="24"/>
  <c r="CZ118" i="24"/>
  <c r="DA118" i="24"/>
  <c r="DB118" i="24"/>
  <c r="DC118" i="24"/>
  <c r="DD118" i="24"/>
  <c r="DE118" i="24"/>
  <c r="DF118" i="24"/>
  <c r="DG118" i="24"/>
  <c r="DH118" i="24"/>
  <c r="DI118" i="24"/>
  <c r="DJ118" i="24"/>
  <c r="DK118" i="24"/>
  <c r="DL118" i="24"/>
  <c r="DM118" i="24"/>
  <c r="DN118" i="24"/>
  <c r="DO118" i="24"/>
  <c r="DP118" i="24"/>
  <c r="DQ118" i="24"/>
  <c r="DR118" i="24"/>
  <c r="DS118" i="24"/>
  <c r="DT118" i="24"/>
  <c r="DU118" i="24"/>
  <c r="DV118" i="24"/>
  <c r="DW118" i="24"/>
  <c r="DX118" i="24"/>
  <c r="DY118" i="24"/>
  <c r="DZ118" i="24"/>
  <c r="EA118" i="24"/>
  <c r="EB118" i="24"/>
  <c r="EC118" i="24"/>
  <c r="ED118" i="24"/>
  <c r="EE118" i="24"/>
  <c r="EF118" i="24"/>
  <c r="EG118" i="24"/>
  <c r="EH118" i="24"/>
  <c r="EI118" i="24"/>
  <c r="EJ118" i="24"/>
  <c r="EK118" i="24"/>
  <c r="EL118" i="24"/>
  <c r="EM118" i="24"/>
  <c r="EN118" i="24"/>
  <c r="EO118" i="24"/>
  <c r="EP118" i="24"/>
  <c r="EQ118" i="24"/>
  <c r="ER118" i="24"/>
  <c r="ES118" i="24"/>
  <c r="ET118" i="24"/>
  <c r="EU118" i="24"/>
  <c r="EV118" i="24"/>
  <c r="EW118" i="24"/>
  <c r="EX118" i="24"/>
  <c r="EY118" i="24"/>
  <c r="EZ118" i="24"/>
  <c r="FA118" i="24"/>
  <c r="FB118" i="24"/>
  <c r="FC118" i="24"/>
  <c r="FD118" i="24"/>
  <c r="FE118" i="24"/>
  <c r="FF118" i="24"/>
  <c r="FG118" i="24"/>
  <c r="FH118" i="24"/>
  <c r="FI118" i="24"/>
  <c r="FJ118" i="24"/>
  <c r="FK118" i="24"/>
  <c r="FL118" i="24"/>
  <c r="FM118" i="24"/>
  <c r="FN118" i="24"/>
  <c r="FO118" i="24"/>
  <c r="FP118" i="24"/>
  <c r="FQ118" i="24"/>
  <c r="FR118" i="24"/>
  <c r="FS118" i="24"/>
  <c r="FT118" i="24"/>
  <c r="FU118" i="24"/>
  <c r="FV118" i="24"/>
  <c r="FW118" i="24"/>
  <c r="FX118" i="24"/>
  <c r="FY118" i="24"/>
  <c r="FZ118" i="24"/>
  <c r="GA118" i="24"/>
  <c r="GB118" i="24"/>
  <c r="GC118" i="24"/>
  <c r="GD118" i="24"/>
  <c r="GE118" i="24"/>
  <c r="GF118" i="24"/>
  <c r="GG118" i="24"/>
  <c r="GH118" i="24"/>
  <c r="GI118" i="24"/>
  <c r="GJ118" i="24"/>
  <c r="GK118" i="24"/>
  <c r="GL118" i="24"/>
  <c r="GM118" i="24"/>
  <c r="GN118" i="24"/>
  <c r="GO118" i="24"/>
  <c r="GP118" i="24"/>
  <c r="GQ118" i="24"/>
  <c r="GR118" i="24"/>
  <c r="GS118" i="24"/>
  <c r="GT118" i="24"/>
  <c r="D119" i="24"/>
  <c r="E119" i="24"/>
  <c r="F119" i="24"/>
  <c r="G119" i="24"/>
  <c r="H119" i="24"/>
  <c r="I119" i="24"/>
  <c r="J119" i="24"/>
  <c r="K119" i="24"/>
  <c r="L119" i="24"/>
  <c r="M119" i="24"/>
  <c r="N119" i="24"/>
  <c r="O119" i="24"/>
  <c r="P119" i="24"/>
  <c r="Q119" i="24"/>
  <c r="R119" i="24"/>
  <c r="S119" i="24"/>
  <c r="T119" i="24"/>
  <c r="U119" i="24"/>
  <c r="V119" i="24"/>
  <c r="W119" i="24"/>
  <c r="X119" i="24"/>
  <c r="Y119" i="24"/>
  <c r="Z119" i="24"/>
  <c r="AA119" i="24"/>
  <c r="AB119" i="24"/>
  <c r="AC119" i="24"/>
  <c r="AD119" i="24"/>
  <c r="AE119" i="24"/>
  <c r="AF119" i="24"/>
  <c r="AG119" i="24"/>
  <c r="AH119" i="24"/>
  <c r="AI119" i="24"/>
  <c r="AJ119" i="24"/>
  <c r="AK119" i="24"/>
  <c r="AL119" i="24"/>
  <c r="AM119" i="24"/>
  <c r="AN119" i="24"/>
  <c r="AO119" i="24"/>
  <c r="AP119" i="24"/>
  <c r="AQ119" i="24"/>
  <c r="AR119" i="24"/>
  <c r="AS119" i="24"/>
  <c r="AT119" i="24"/>
  <c r="AU119" i="24"/>
  <c r="AV119" i="24"/>
  <c r="AW119" i="24"/>
  <c r="AX119" i="24"/>
  <c r="AY119" i="24"/>
  <c r="AZ119" i="24"/>
  <c r="BA119" i="24"/>
  <c r="BB119" i="24"/>
  <c r="BC119" i="24"/>
  <c r="BD119" i="24"/>
  <c r="BE119" i="24"/>
  <c r="BF119" i="24"/>
  <c r="BG119" i="24"/>
  <c r="BH119" i="24"/>
  <c r="BI119" i="24"/>
  <c r="BJ119" i="24"/>
  <c r="BK119" i="24"/>
  <c r="BL119" i="24"/>
  <c r="BM119" i="24"/>
  <c r="BN119" i="24"/>
  <c r="BO119" i="24"/>
  <c r="BP119" i="24"/>
  <c r="BQ119" i="24"/>
  <c r="BR119" i="24"/>
  <c r="BS119" i="24"/>
  <c r="BT119" i="24"/>
  <c r="BU119" i="24"/>
  <c r="BV119" i="24"/>
  <c r="BW119" i="24"/>
  <c r="BX119" i="24"/>
  <c r="BY119" i="24"/>
  <c r="BZ119" i="24"/>
  <c r="CA119" i="24"/>
  <c r="CB119" i="24"/>
  <c r="CC119" i="24"/>
  <c r="CD119" i="24"/>
  <c r="CE119" i="24"/>
  <c r="CF119" i="24"/>
  <c r="CG119" i="24"/>
  <c r="CH119" i="24"/>
  <c r="CI119" i="24"/>
  <c r="CJ119" i="24"/>
  <c r="CK119" i="24"/>
  <c r="CL119" i="24"/>
  <c r="CM119" i="24"/>
  <c r="CN119" i="24"/>
  <c r="CO119" i="24"/>
  <c r="CP119" i="24"/>
  <c r="CQ119" i="24"/>
  <c r="CR119" i="24"/>
  <c r="CS119" i="24"/>
  <c r="CT119" i="24"/>
  <c r="CU119" i="24"/>
  <c r="CV119" i="24"/>
  <c r="CW119" i="24"/>
  <c r="CX119" i="24"/>
  <c r="CY119" i="24"/>
  <c r="CZ119" i="24"/>
  <c r="DA119" i="24"/>
  <c r="DB119" i="24"/>
  <c r="DC119" i="24"/>
  <c r="DD119" i="24"/>
  <c r="DE119" i="24"/>
  <c r="DF119" i="24"/>
  <c r="DG119" i="24"/>
  <c r="DH119" i="24"/>
  <c r="DI119" i="24"/>
  <c r="DJ119" i="24"/>
  <c r="DK119" i="24"/>
  <c r="DL119" i="24"/>
  <c r="DM119" i="24"/>
  <c r="DN119" i="24"/>
  <c r="DO119" i="24"/>
  <c r="DP119" i="24"/>
  <c r="DQ119" i="24"/>
  <c r="DR119" i="24"/>
  <c r="DS119" i="24"/>
  <c r="DT119" i="24"/>
  <c r="DU119" i="24"/>
  <c r="DV119" i="24"/>
  <c r="DW119" i="24"/>
  <c r="DX119" i="24"/>
  <c r="DY119" i="24"/>
  <c r="DZ119" i="24"/>
  <c r="EA119" i="24"/>
  <c r="EB119" i="24"/>
  <c r="EC119" i="24"/>
  <c r="ED119" i="24"/>
  <c r="EE119" i="24"/>
  <c r="EF119" i="24"/>
  <c r="EG119" i="24"/>
  <c r="EH119" i="24"/>
  <c r="EI119" i="24"/>
  <c r="EJ119" i="24"/>
  <c r="EK119" i="24"/>
  <c r="EL119" i="24"/>
  <c r="EM119" i="24"/>
  <c r="EN119" i="24"/>
  <c r="EO119" i="24"/>
  <c r="EP119" i="24"/>
  <c r="EQ119" i="24"/>
  <c r="ER119" i="24"/>
  <c r="ES119" i="24"/>
  <c r="ET119" i="24"/>
  <c r="EU119" i="24"/>
  <c r="EV119" i="24"/>
  <c r="EW119" i="24"/>
  <c r="EX119" i="24"/>
  <c r="EY119" i="24"/>
  <c r="EZ119" i="24"/>
  <c r="FA119" i="24"/>
  <c r="FB119" i="24"/>
  <c r="FC119" i="24"/>
  <c r="FD119" i="24"/>
  <c r="FE119" i="24"/>
  <c r="FF119" i="24"/>
  <c r="FG119" i="24"/>
  <c r="FH119" i="24"/>
  <c r="FI119" i="24"/>
  <c r="FJ119" i="24"/>
  <c r="FK119" i="24"/>
  <c r="FL119" i="24"/>
  <c r="FM119" i="24"/>
  <c r="FN119" i="24"/>
  <c r="FO119" i="24"/>
  <c r="FP119" i="24"/>
  <c r="FQ119" i="24"/>
  <c r="FR119" i="24"/>
  <c r="FS119" i="24"/>
  <c r="FT119" i="24"/>
  <c r="FU119" i="24"/>
  <c r="FV119" i="24"/>
  <c r="FW119" i="24"/>
  <c r="FX119" i="24"/>
  <c r="FY119" i="24"/>
  <c r="FZ119" i="24"/>
  <c r="GA119" i="24"/>
  <c r="GB119" i="24"/>
  <c r="GC119" i="24"/>
  <c r="GD119" i="24"/>
  <c r="GE119" i="24"/>
  <c r="GF119" i="24"/>
  <c r="GG119" i="24"/>
  <c r="GH119" i="24"/>
  <c r="GI119" i="24"/>
  <c r="GJ119" i="24"/>
  <c r="GK119" i="24"/>
  <c r="GL119" i="24"/>
  <c r="GM119" i="24"/>
  <c r="GN119" i="24"/>
  <c r="GO119" i="24"/>
  <c r="GP119" i="24"/>
  <c r="GQ119" i="24"/>
  <c r="GR119" i="24"/>
  <c r="GS119" i="24"/>
  <c r="GT119" i="24"/>
  <c r="D120" i="24"/>
  <c r="E120" i="24"/>
  <c r="F120" i="24"/>
  <c r="G120" i="24"/>
  <c r="H120" i="24"/>
  <c r="I120" i="24"/>
  <c r="J120" i="24"/>
  <c r="K120" i="24"/>
  <c r="L120" i="24"/>
  <c r="M120" i="24"/>
  <c r="N120" i="24"/>
  <c r="O120" i="24"/>
  <c r="P120" i="24"/>
  <c r="Q120" i="24"/>
  <c r="R120" i="24"/>
  <c r="S120" i="24"/>
  <c r="T120" i="24"/>
  <c r="U120" i="24"/>
  <c r="V120" i="24"/>
  <c r="W120" i="24"/>
  <c r="X120" i="24"/>
  <c r="Y120" i="24"/>
  <c r="Z120" i="24"/>
  <c r="AA120" i="24"/>
  <c r="AB120" i="24"/>
  <c r="AC120" i="24"/>
  <c r="AD120" i="24"/>
  <c r="AE120" i="24"/>
  <c r="AF120" i="24"/>
  <c r="AG120" i="24"/>
  <c r="AH120" i="24"/>
  <c r="AI120" i="24"/>
  <c r="AJ120" i="24"/>
  <c r="AK120" i="24"/>
  <c r="AL120" i="24"/>
  <c r="AM120" i="24"/>
  <c r="AN120" i="24"/>
  <c r="AO120" i="24"/>
  <c r="AP120" i="24"/>
  <c r="AQ120" i="24"/>
  <c r="AR120" i="24"/>
  <c r="AS120" i="24"/>
  <c r="AT120" i="24"/>
  <c r="AU120" i="24"/>
  <c r="AV120" i="24"/>
  <c r="AW120" i="24"/>
  <c r="AX120" i="24"/>
  <c r="AY120" i="24"/>
  <c r="AZ120" i="24"/>
  <c r="BA120" i="24"/>
  <c r="BB120" i="24"/>
  <c r="BC120" i="24"/>
  <c r="BD120" i="24"/>
  <c r="BE120" i="24"/>
  <c r="BF120" i="24"/>
  <c r="BG120" i="24"/>
  <c r="BH120" i="24"/>
  <c r="BI120" i="24"/>
  <c r="BJ120" i="24"/>
  <c r="BK120" i="24"/>
  <c r="BL120" i="24"/>
  <c r="BM120" i="24"/>
  <c r="BN120" i="24"/>
  <c r="BO120" i="24"/>
  <c r="BP120" i="24"/>
  <c r="BQ120" i="24"/>
  <c r="BR120" i="24"/>
  <c r="BS120" i="24"/>
  <c r="BT120" i="24"/>
  <c r="BU120" i="24"/>
  <c r="BV120" i="24"/>
  <c r="BW120" i="24"/>
  <c r="BX120" i="24"/>
  <c r="BY120" i="24"/>
  <c r="BZ120" i="24"/>
  <c r="CA120" i="24"/>
  <c r="CB120" i="24"/>
  <c r="CC120" i="24"/>
  <c r="CD120" i="24"/>
  <c r="CE120" i="24"/>
  <c r="CF120" i="24"/>
  <c r="CG120" i="24"/>
  <c r="CH120" i="24"/>
  <c r="CI120" i="24"/>
  <c r="CJ120" i="24"/>
  <c r="CK120" i="24"/>
  <c r="CL120" i="24"/>
  <c r="CM120" i="24"/>
  <c r="CN120" i="24"/>
  <c r="CO120" i="24"/>
  <c r="CP120" i="24"/>
  <c r="CQ120" i="24"/>
  <c r="CR120" i="24"/>
  <c r="CS120" i="24"/>
  <c r="CT120" i="24"/>
  <c r="CU120" i="24"/>
  <c r="CV120" i="24"/>
  <c r="CW120" i="24"/>
  <c r="CX120" i="24"/>
  <c r="CY120" i="24"/>
  <c r="CZ120" i="24"/>
  <c r="DA120" i="24"/>
  <c r="DB120" i="24"/>
  <c r="DC120" i="24"/>
  <c r="DD120" i="24"/>
  <c r="DE120" i="24"/>
  <c r="DF120" i="24"/>
  <c r="DG120" i="24"/>
  <c r="DH120" i="24"/>
  <c r="DI120" i="24"/>
  <c r="DJ120" i="24"/>
  <c r="DK120" i="24"/>
  <c r="DL120" i="24"/>
  <c r="DM120" i="24"/>
  <c r="DN120" i="24"/>
  <c r="DO120" i="24"/>
  <c r="DP120" i="24"/>
  <c r="DQ120" i="24"/>
  <c r="DR120" i="24"/>
  <c r="DS120" i="24"/>
  <c r="DT120" i="24"/>
  <c r="DU120" i="24"/>
  <c r="DV120" i="24"/>
  <c r="DW120" i="24"/>
  <c r="DX120" i="24"/>
  <c r="DY120" i="24"/>
  <c r="DZ120" i="24"/>
  <c r="EA120" i="24"/>
  <c r="EB120" i="24"/>
  <c r="EC120" i="24"/>
  <c r="ED120" i="24"/>
  <c r="EE120" i="24"/>
  <c r="EF120" i="24"/>
  <c r="EG120" i="24"/>
  <c r="EH120" i="24"/>
  <c r="EI120" i="24"/>
  <c r="EJ120" i="24"/>
  <c r="EK120" i="24"/>
  <c r="EL120" i="24"/>
  <c r="EM120" i="24"/>
  <c r="EN120" i="24"/>
  <c r="EO120" i="24"/>
  <c r="EP120" i="24"/>
  <c r="EQ120" i="24"/>
  <c r="ER120" i="24"/>
  <c r="ES120" i="24"/>
  <c r="ET120" i="24"/>
  <c r="EU120" i="24"/>
  <c r="EV120" i="24"/>
  <c r="EW120" i="24"/>
  <c r="EX120" i="24"/>
  <c r="EY120" i="24"/>
  <c r="EZ120" i="24"/>
  <c r="FA120" i="24"/>
  <c r="FB120" i="24"/>
  <c r="FC120" i="24"/>
  <c r="FD120" i="24"/>
  <c r="FE120" i="24"/>
  <c r="FF120" i="24"/>
  <c r="FG120" i="24"/>
  <c r="FH120" i="24"/>
  <c r="FI120" i="24"/>
  <c r="FJ120" i="24"/>
  <c r="FK120" i="24"/>
  <c r="FL120" i="24"/>
  <c r="FM120" i="24"/>
  <c r="FN120" i="24"/>
  <c r="FO120" i="24"/>
  <c r="FP120" i="24"/>
  <c r="FQ120" i="24"/>
  <c r="FR120" i="24"/>
  <c r="FS120" i="24"/>
  <c r="FT120" i="24"/>
  <c r="FU120" i="24"/>
  <c r="FV120" i="24"/>
  <c r="FW120" i="24"/>
  <c r="FX120" i="24"/>
  <c r="FY120" i="24"/>
  <c r="FZ120" i="24"/>
  <c r="GA120" i="24"/>
  <c r="GB120" i="24"/>
  <c r="GC120" i="24"/>
  <c r="GD120" i="24"/>
  <c r="GE120" i="24"/>
  <c r="GF120" i="24"/>
  <c r="GG120" i="24"/>
  <c r="GH120" i="24"/>
  <c r="GI120" i="24"/>
  <c r="GJ120" i="24"/>
  <c r="GK120" i="24"/>
  <c r="GL120" i="24"/>
  <c r="GM120" i="24"/>
  <c r="GN120" i="24"/>
  <c r="GO120" i="24"/>
  <c r="GP120" i="24"/>
  <c r="GQ120" i="24"/>
  <c r="GR120" i="24"/>
  <c r="GS120" i="24"/>
  <c r="GT120" i="24"/>
  <c r="D121" i="24"/>
  <c r="E121" i="24"/>
  <c r="F121" i="24"/>
  <c r="G121" i="24"/>
  <c r="H121" i="24"/>
  <c r="I121" i="24"/>
  <c r="J121" i="24"/>
  <c r="K121" i="24"/>
  <c r="L121" i="24"/>
  <c r="M121" i="24"/>
  <c r="N121" i="24"/>
  <c r="O121" i="24"/>
  <c r="P121" i="24"/>
  <c r="Q121" i="24"/>
  <c r="R121" i="24"/>
  <c r="S121" i="24"/>
  <c r="T121" i="24"/>
  <c r="U121" i="24"/>
  <c r="V121" i="24"/>
  <c r="W121" i="24"/>
  <c r="X121" i="24"/>
  <c r="Y121" i="24"/>
  <c r="Z121" i="24"/>
  <c r="AA121" i="24"/>
  <c r="AB121" i="24"/>
  <c r="AC121" i="24"/>
  <c r="AD121" i="24"/>
  <c r="AE121" i="24"/>
  <c r="AF121" i="24"/>
  <c r="AG121" i="24"/>
  <c r="AH121" i="24"/>
  <c r="AI121" i="24"/>
  <c r="AJ121" i="24"/>
  <c r="AK121" i="24"/>
  <c r="AL121" i="24"/>
  <c r="AM121" i="24"/>
  <c r="AN121" i="24"/>
  <c r="AO121" i="24"/>
  <c r="AP121" i="24"/>
  <c r="AQ121" i="24"/>
  <c r="AR121" i="24"/>
  <c r="AS121" i="24"/>
  <c r="AT121" i="24"/>
  <c r="AU121" i="24"/>
  <c r="AV121" i="24"/>
  <c r="AW121" i="24"/>
  <c r="AX121" i="24"/>
  <c r="AY121" i="24"/>
  <c r="AZ121" i="24"/>
  <c r="BA121" i="24"/>
  <c r="BB121" i="24"/>
  <c r="BC121" i="24"/>
  <c r="BD121" i="24"/>
  <c r="BE121" i="24"/>
  <c r="BF121" i="24"/>
  <c r="BG121" i="24"/>
  <c r="BH121" i="24"/>
  <c r="BI121" i="24"/>
  <c r="BJ121" i="24"/>
  <c r="BK121" i="24"/>
  <c r="BL121" i="24"/>
  <c r="BM121" i="24"/>
  <c r="BN121" i="24"/>
  <c r="BO121" i="24"/>
  <c r="BP121" i="24"/>
  <c r="BQ121" i="24"/>
  <c r="BR121" i="24"/>
  <c r="BS121" i="24"/>
  <c r="BT121" i="24"/>
  <c r="BU121" i="24"/>
  <c r="BV121" i="24"/>
  <c r="BW121" i="24"/>
  <c r="BX121" i="24"/>
  <c r="BY121" i="24"/>
  <c r="BZ121" i="24"/>
  <c r="CA121" i="24"/>
  <c r="CB121" i="24"/>
  <c r="CC121" i="24"/>
  <c r="CD121" i="24"/>
  <c r="CE121" i="24"/>
  <c r="CF121" i="24"/>
  <c r="CG121" i="24"/>
  <c r="CH121" i="24"/>
  <c r="CI121" i="24"/>
  <c r="CJ121" i="24"/>
  <c r="CK121" i="24"/>
  <c r="CL121" i="24"/>
  <c r="CM121" i="24"/>
  <c r="CN121" i="24"/>
  <c r="CO121" i="24"/>
  <c r="CP121" i="24"/>
  <c r="CQ121" i="24"/>
  <c r="CR121" i="24"/>
  <c r="CS121" i="24"/>
  <c r="CT121" i="24"/>
  <c r="CU121" i="24"/>
  <c r="CV121" i="24"/>
  <c r="CW121" i="24"/>
  <c r="CX121" i="24"/>
  <c r="CY121" i="24"/>
  <c r="CZ121" i="24"/>
  <c r="DA121" i="24"/>
  <c r="DB121" i="24"/>
  <c r="DC121" i="24"/>
  <c r="DD121" i="24"/>
  <c r="DE121" i="24"/>
  <c r="DF121" i="24"/>
  <c r="DG121" i="24"/>
  <c r="DH121" i="24"/>
  <c r="DI121" i="24"/>
  <c r="DJ121" i="24"/>
  <c r="DK121" i="24"/>
  <c r="DL121" i="24"/>
  <c r="DM121" i="24"/>
  <c r="DN121" i="24"/>
  <c r="DO121" i="24"/>
  <c r="DP121" i="24"/>
  <c r="DQ121" i="24"/>
  <c r="DR121" i="24"/>
  <c r="DS121" i="24"/>
  <c r="DT121" i="24"/>
  <c r="DU121" i="24"/>
  <c r="DV121" i="24"/>
  <c r="DW121" i="24"/>
  <c r="DX121" i="24"/>
  <c r="DY121" i="24"/>
  <c r="DZ121" i="24"/>
  <c r="EA121" i="24"/>
  <c r="EB121" i="24"/>
  <c r="EC121" i="24"/>
  <c r="ED121" i="24"/>
  <c r="EE121" i="24"/>
  <c r="EF121" i="24"/>
  <c r="EG121" i="24"/>
  <c r="EH121" i="24"/>
  <c r="EI121" i="24"/>
  <c r="EJ121" i="24"/>
  <c r="EK121" i="24"/>
  <c r="EL121" i="24"/>
  <c r="EM121" i="24"/>
  <c r="EN121" i="24"/>
  <c r="EO121" i="24"/>
  <c r="EP121" i="24"/>
  <c r="EQ121" i="24"/>
  <c r="ER121" i="24"/>
  <c r="ES121" i="24"/>
  <c r="ET121" i="24"/>
  <c r="EU121" i="24"/>
  <c r="EV121" i="24"/>
  <c r="EW121" i="24"/>
  <c r="EX121" i="24"/>
  <c r="EY121" i="24"/>
  <c r="EZ121" i="24"/>
  <c r="FA121" i="24"/>
  <c r="FB121" i="24"/>
  <c r="FC121" i="24"/>
  <c r="FD121" i="24"/>
  <c r="FE121" i="24"/>
  <c r="FF121" i="24"/>
  <c r="FG121" i="24"/>
  <c r="FH121" i="24"/>
  <c r="FI121" i="24"/>
  <c r="FJ121" i="24"/>
  <c r="FK121" i="24"/>
  <c r="FL121" i="24"/>
  <c r="FM121" i="24"/>
  <c r="FN121" i="24"/>
  <c r="FO121" i="24"/>
  <c r="FP121" i="24"/>
  <c r="FQ121" i="24"/>
  <c r="FR121" i="24"/>
  <c r="FS121" i="24"/>
  <c r="FT121" i="24"/>
  <c r="FU121" i="24"/>
  <c r="FV121" i="24"/>
  <c r="FW121" i="24"/>
  <c r="FX121" i="24"/>
  <c r="FY121" i="24"/>
  <c r="FZ121" i="24"/>
  <c r="GA121" i="24"/>
  <c r="GB121" i="24"/>
  <c r="GC121" i="24"/>
  <c r="GD121" i="24"/>
  <c r="GE121" i="24"/>
  <c r="GF121" i="24"/>
  <c r="GG121" i="24"/>
  <c r="GH121" i="24"/>
  <c r="GI121" i="24"/>
  <c r="GJ121" i="24"/>
  <c r="GK121" i="24"/>
  <c r="GL121" i="24"/>
  <c r="GM121" i="24"/>
  <c r="GN121" i="24"/>
  <c r="GO121" i="24"/>
  <c r="GP121" i="24"/>
  <c r="GQ121" i="24"/>
  <c r="GR121" i="24"/>
  <c r="GS121" i="24"/>
  <c r="GT121" i="24"/>
  <c r="D122" i="24"/>
  <c r="E122" i="24"/>
  <c r="F122" i="24"/>
  <c r="G122" i="24"/>
  <c r="H122" i="24"/>
  <c r="I122" i="24"/>
  <c r="J122" i="24"/>
  <c r="K122" i="24"/>
  <c r="L122" i="24"/>
  <c r="M122" i="24"/>
  <c r="N122" i="24"/>
  <c r="O122" i="24"/>
  <c r="P122" i="24"/>
  <c r="Q122" i="24"/>
  <c r="R122" i="24"/>
  <c r="S122" i="24"/>
  <c r="T122" i="24"/>
  <c r="U122" i="24"/>
  <c r="V122" i="24"/>
  <c r="W122" i="24"/>
  <c r="X122" i="24"/>
  <c r="Y122" i="24"/>
  <c r="Z122" i="24"/>
  <c r="AA122" i="24"/>
  <c r="AB122" i="24"/>
  <c r="AC122" i="24"/>
  <c r="AD122" i="24"/>
  <c r="AE122" i="24"/>
  <c r="AF122" i="24"/>
  <c r="AG122" i="24"/>
  <c r="AH122" i="24"/>
  <c r="AI122" i="24"/>
  <c r="AJ122" i="24"/>
  <c r="AK122" i="24"/>
  <c r="AL122" i="24"/>
  <c r="AM122" i="24"/>
  <c r="AN122" i="24"/>
  <c r="AO122" i="24"/>
  <c r="AP122" i="24"/>
  <c r="AQ122" i="24"/>
  <c r="AR122" i="24"/>
  <c r="AS122" i="24"/>
  <c r="AT122" i="24"/>
  <c r="AU122" i="24"/>
  <c r="AV122" i="24"/>
  <c r="AW122" i="24"/>
  <c r="AX122" i="24"/>
  <c r="AY122" i="24"/>
  <c r="AZ122" i="24"/>
  <c r="BA122" i="24"/>
  <c r="BB122" i="24"/>
  <c r="BC122" i="24"/>
  <c r="BD122" i="24"/>
  <c r="BE122" i="24"/>
  <c r="BF122" i="24"/>
  <c r="BG122" i="24"/>
  <c r="BH122" i="24"/>
  <c r="BI122" i="24"/>
  <c r="BJ122" i="24"/>
  <c r="BK122" i="24"/>
  <c r="BL122" i="24"/>
  <c r="BM122" i="24"/>
  <c r="BN122" i="24"/>
  <c r="BO122" i="24"/>
  <c r="BP122" i="24"/>
  <c r="BQ122" i="24"/>
  <c r="BR122" i="24"/>
  <c r="BS122" i="24"/>
  <c r="BT122" i="24"/>
  <c r="BU122" i="24"/>
  <c r="BV122" i="24"/>
  <c r="BW122" i="24"/>
  <c r="BX122" i="24"/>
  <c r="BY122" i="24"/>
  <c r="BZ122" i="24"/>
  <c r="CA122" i="24"/>
  <c r="CB122" i="24"/>
  <c r="CC122" i="24"/>
  <c r="CD122" i="24"/>
  <c r="CE122" i="24"/>
  <c r="CF122" i="24"/>
  <c r="CG122" i="24"/>
  <c r="CH122" i="24"/>
  <c r="CI122" i="24"/>
  <c r="CJ122" i="24"/>
  <c r="CK122" i="24"/>
  <c r="CL122" i="24"/>
  <c r="CM122" i="24"/>
  <c r="CN122" i="24"/>
  <c r="CO122" i="24"/>
  <c r="CP122" i="24"/>
  <c r="CQ122" i="24"/>
  <c r="CR122" i="24"/>
  <c r="CS122" i="24"/>
  <c r="CT122" i="24"/>
  <c r="CU122" i="24"/>
  <c r="CV122" i="24"/>
  <c r="CW122" i="24"/>
  <c r="CX122" i="24"/>
  <c r="CY122" i="24"/>
  <c r="CZ122" i="24"/>
  <c r="DA122" i="24"/>
  <c r="DB122" i="24"/>
  <c r="DC122" i="24"/>
  <c r="DD122" i="24"/>
  <c r="DE122" i="24"/>
  <c r="DF122" i="24"/>
  <c r="DG122" i="24"/>
  <c r="DH122" i="24"/>
  <c r="DI122" i="24"/>
  <c r="DJ122" i="24"/>
  <c r="DK122" i="24"/>
  <c r="DL122" i="24"/>
  <c r="DM122" i="24"/>
  <c r="DN122" i="24"/>
  <c r="DO122" i="24"/>
  <c r="DP122" i="24"/>
  <c r="DQ122" i="24"/>
  <c r="DR122" i="24"/>
  <c r="DS122" i="24"/>
  <c r="DT122" i="24"/>
  <c r="DU122" i="24"/>
  <c r="DV122" i="24"/>
  <c r="DW122" i="24"/>
  <c r="DX122" i="24"/>
  <c r="DY122" i="24"/>
  <c r="DZ122" i="24"/>
  <c r="EA122" i="24"/>
  <c r="EB122" i="24"/>
  <c r="EC122" i="24"/>
  <c r="ED122" i="24"/>
  <c r="EE122" i="24"/>
  <c r="EF122" i="24"/>
  <c r="EG122" i="24"/>
  <c r="EH122" i="24"/>
  <c r="EI122" i="24"/>
  <c r="EJ122" i="24"/>
  <c r="EK122" i="24"/>
  <c r="EL122" i="24"/>
  <c r="EM122" i="24"/>
  <c r="EN122" i="24"/>
  <c r="EO122" i="24"/>
  <c r="EP122" i="24"/>
  <c r="EQ122" i="24"/>
  <c r="ER122" i="24"/>
  <c r="ES122" i="24"/>
  <c r="ET122" i="24"/>
  <c r="EU122" i="24"/>
  <c r="EV122" i="24"/>
  <c r="EW122" i="24"/>
  <c r="EX122" i="24"/>
  <c r="EY122" i="24"/>
  <c r="EZ122" i="24"/>
  <c r="FA122" i="24"/>
  <c r="FB122" i="24"/>
  <c r="FC122" i="24"/>
  <c r="FD122" i="24"/>
  <c r="FE122" i="24"/>
  <c r="FF122" i="24"/>
  <c r="FG122" i="24"/>
  <c r="FH122" i="24"/>
  <c r="FI122" i="24"/>
  <c r="FJ122" i="24"/>
  <c r="FK122" i="24"/>
  <c r="FL122" i="24"/>
  <c r="FM122" i="24"/>
  <c r="FN122" i="24"/>
  <c r="FO122" i="24"/>
  <c r="FP122" i="24"/>
  <c r="FQ122" i="24"/>
  <c r="FR122" i="24"/>
  <c r="FS122" i="24"/>
  <c r="FT122" i="24"/>
  <c r="FU122" i="24"/>
  <c r="FV122" i="24"/>
  <c r="FW122" i="24"/>
  <c r="FX122" i="24"/>
  <c r="FY122" i="24"/>
  <c r="FZ122" i="24"/>
  <c r="GA122" i="24"/>
  <c r="GB122" i="24"/>
  <c r="GC122" i="24"/>
  <c r="GD122" i="24"/>
  <c r="GE122" i="24"/>
  <c r="GF122" i="24"/>
  <c r="GG122" i="24"/>
  <c r="GH122" i="24"/>
  <c r="GI122" i="24"/>
  <c r="GJ122" i="24"/>
  <c r="GK122" i="24"/>
  <c r="GL122" i="24"/>
  <c r="GM122" i="24"/>
  <c r="GN122" i="24"/>
  <c r="GO122" i="24"/>
  <c r="GP122" i="24"/>
  <c r="GQ122" i="24"/>
  <c r="GR122" i="24"/>
  <c r="GS122" i="24"/>
  <c r="GT122" i="24"/>
  <c r="D123" i="24"/>
  <c r="E123" i="24"/>
  <c r="F123" i="24"/>
  <c r="G123" i="24"/>
  <c r="H123" i="24"/>
  <c r="I123" i="24"/>
  <c r="J123" i="24"/>
  <c r="K123" i="24"/>
  <c r="L123" i="24"/>
  <c r="M123" i="24"/>
  <c r="N123" i="24"/>
  <c r="O123" i="24"/>
  <c r="P123" i="24"/>
  <c r="Q123" i="24"/>
  <c r="R123" i="24"/>
  <c r="S123" i="24"/>
  <c r="T123" i="24"/>
  <c r="U123" i="24"/>
  <c r="V123" i="24"/>
  <c r="W123" i="24"/>
  <c r="X123" i="24"/>
  <c r="Y123" i="24"/>
  <c r="Z123" i="24"/>
  <c r="AA123" i="24"/>
  <c r="AB123" i="24"/>
  <c r="AC123" i="24"/>
  <c r="AD123" i="24"/>
  <c r="AE123" i="24"/>
  <c r="AF123" i="24"/>
  <c r="AG123" i="24"/>
  <c r="AH123" i="24"/>
  <c r="AI123" i="24"/>
  <c r="AJ123" i="24"/>
  <c r="AK123" i="24"/>
  <c r="AL123" i="24"/>
  <c r="AM123" i="24"/>
  <c r="AN123" i="24"/>
  <c r="AO123" i="24"/>
  <c r="AP123" i="24"/>
  <c r="AQ123" i="24"/>
  <c r="AR123" i="24"/>
  <c r="AS123" i="24"/>
  <c r="AT123" i="24"/>
  <c r="AU123" i="24"/>
  <c r="AV123" i="24"/>
  <c r="AW123" i="24"/>
  <c r="AX123" i="24"/>
  <c r="AY123" i="24"/>
  <c r="AZ123" i="24"/>
  <c r="BA123" i="24"/>
  <c r="BB123" i="24"/>
  <c r="BC123" i="24"/>
  <c r="BD123" i="24"/>
  <c r="BE123" i="24"/>
  <c r="BF123" i="24"/>
  <c r="BG123" i="24"/>
  <c r="BH123" i="24"/>
  <c r="BI123" i="24"/>
  <c r="BJ123" i="24"/>
  <c r="BK123" i="24"/>
  <c r="BL123" i="24"/>
  <c r="BM123" i="24"/>
  <c r="BN123" i="24"/>
  <c r="BO123" i="24"/>
  <c r="BP123" i="24"/>
  <c r="BQ123" i="24"/>
  <c r="BR123" i="24"/>
  <c r="BS123" i="24"/>
  <c r="BT123" i="24"/>
  <c r="BU123" i="24"/>
  <c r="BV123" i="24"/>
  <c r="BW123" i="24"/>
  <c r="BX123" i="24"/>
  <c r="BY123" i="24"/>
  <c r="BZ123" i="24"/>
  <c r="CA123" i="24"/>
  <c r="CB123" i="24"/>
  <c r="CC123" i="24"/>
  <c r="CD123" i="24"/>
  <c r="CE123" i="24"/>
  <c r="CF123" i="24"/>
  <c r="CG123" i="24"/>
  <c r="CH123" i="24"/>
  <c r="CI123" i="24"/>
  <c r="CJ123" i="24"/>
  <c r="CK123" i="24"/>
  <c r="CL123" i="24"/>
  <c r="CM123" i="24"/>
  <c r="CN123" i="24"/>
  <c r="CO123" i="24"/>
  <c r="CP123" i="24"/>
  <c r="CQ123" i="24"/>
  <c r="CR123" i="24"/>
  <c r="CS123" i="24"/>
  <c r="CT123" i="24"/>
  <c r="CU123" i="24"/>
  <c r="CV123" i="24"/>
  <c r="CW123" i="24"/>
  <c r="CX123" i="24"/>
  <c r="CY123" i="24"/>
  <c r="CZ123" i="24"/>
  <c r="DA123" i="24"/>
  <c r="DB123" i="24"/>
  <c r="DC123" i="24"/>
  <c r="DD123" i="24"/>
  <c r="DE123" i="24"/>
  <c r="DF123" i="24"/>
  <c r="DG123" i="24"/>
  <c r="DH123" i="24"/>
  <c r="DI123" i="24"/>
  <c r="DJ123" i="24"/>
  <c r="DK123" i="24"/>
  <c r="DL123" i="24"/>
  <c r="DM123" i="24"/>
  <c r="DN123" i="24"/>
  <c r="DO123" i="24"/>
  <c r="DP123" i="24"/>
  <c r="DQ123" i="24"/>
  <c r="DR123" i="24"/>
  <c r="DS123" i="24"/>
  <c r="DT123" i="24"/>
  <c r="DU123" i="24"/>
  <c r="DV123" i="24"/>
  <c r="DW123" i="24"/>
  <c r="DX123" i="24"/>
  <c r="DY123" i="24"/>
  <c r="DZ123" i="24"/>
  <c r="EA123" i="24"/>
  <c r="EB123" i="24"/>
  <c r="EC123" i="24"/>
  <c r="ED123" i="24"/>
  <c r="EE123" i="24"/>
  <c r="EF123" i="24"/>
  <c r="EG123" i="24"/>
  <c r="EH123" i="24"/>
  <c r="EI123" i="24"/>
  <c r="EJ123" i="24"/>
  <c r="EK123" i="24"/>
  <c r="EL123" i="24"/>
  <c r="EM123" i="24"/>
  <c r="EN123" i="24"/>
  <c r="EO123" i="24"/>
  <c r="EP123" i="24"/>
  <c r="EQ123" i="24"/>
  <c r="ER123" i="24"/>
  <c r="ES123" i="24"/>
  <c r="ET123" i="24"/>
  <c r="EU123" i="24"/>
  <c r="EV123" i="24"/>
  <c r="EW123" i="24"/>
  <c r="EX123" i="24"/>
  <c r="EY123" i="24"/>
  <c r="EZ123" i="24"/>
  <c r="FA123" i="24"/>
  <c r="FB123" i="24"/>
  <c r="FC123" i="24"/>
  <c r="FD123" i="24"/>
  <c r="FE123" i="24"/>
  <c r="FF123" i="24"/>
  <c r="FG123" i="24"/>
  <c r="FH123" i="24"/>
  <c r="FI123" i="24"/>
  <c r="FJ123" i="24"/>
  <c r="FK123" i="24"/>
  <c r="FL123" i="24"/>
  <c r="FM123" i="24"/>
  <c r="FN123" i="24"/>
  <c r="FO123" i="24"/>
  <c r="FP123" i="24"/>
  <c r="FQ123" i="24"/>
  <c r="FR123" i="24"/>
  <c r="FS123" i="24"/>
  <c r="FT123" i="24"/>
  <c r="FU123" i="24"/>
  <c r="FV123" i="24"/>
  <c r="FW123" i="24"/>
  <c r="FX123" i="24"/>
  <c r="FY123" i="24"/>
  <c r="FZ123" i="24"/>
  <c r="GA123" i="24"/>
  <c r="GB123" i="24"/>
  <c r="GC123" i="24"/>
  <c r="GD123" i="24"/>
  <c r="GE123" i="24"/>
  <c r="GF123" i="24"/>
  <c r="GG123" i="24"/>
  <c r="GH123" i="24"/>
  <c r="GI123" i="24"/>
  <c r="GJ123" i="24"/>
  <c r="GK123" i="24"/>
  <c r="GL123" i="24"/>
  <c r="GM123" i="24"/>
  <c r="GN123" i="24"/>
  <c r="GO123" i="24"/>
  <c r="GP123" i="24"/>
  <c r="GQ123" i="24"/>
  <c r="GR123" i="24"/>
  <c r="GS123" i="24"/>
  <c r="GT123" i="24"/>
  <c r="D124" i="24"/>
  <c r="E124" i="24"/>
  <c r="F124" i="24"/>
  <c r="G124" i="24"/>
  <c r="H124" i="24"/>
  <c r="I124" i="24"/>
  <c r="J124" i="24"/>
  <c r="K124" i="24"/>
  <c r="L124" i="24"/>
  <c r="M124" i="24"/>
  <c r="N124" i="24"/>
  <c r="O124" i="24"/>
  <c r="P124" i="24"/>
  <c r="Q124" i="24"/>
  <c r="R124" i="24"/>
  <c r="S124" i="24"/>
  <c r="T124" i="24"/>
  <c r="U124" i="24"/>
  <c r="V124" i="24"/>
  <c r="W124" i="24"/>
  <c r="X124" i="24"/>
  <c r="Y124" i="24"/>
  <c r="Z124" i="24"/>
  <c r="AA124" i="24"/>
  <c r="AB124" i="24"/>
  <c r="AC124" i="24"/>
  <c r="AD124" i="24"/>
  <c r="AE124" i="24"/>
  <c r="AF124" i="24"/>
  <c r="AG124" i="24"/>
  <c r="AH124" i="24"/>
  <c r="AI124" i="24"/>
  <c r="AJ124" i="24"/>
  <c r="AK124" i="24"/>
  <c r="AL124" i="24"/>
  <c r="AM124" i="24"/>
  <c r="AN124" i="24"/>
  <c r="AO124" i="24"/>
  <c r="AP124" i="24"/>
  <c r="AQ124" i="24"/>
  <c r="AR124" i="24"/>
  <c r="AS124" i="24"/>
  <c r="AT124" i="24"/>
  <c r="AU124" i="24"/>
  <c r="AV124" i="24"/>
  <c r="AW124" i="24"/>
  <c r="AX124" i="24"/>
  <c r="AY124" i="24"/>
  <c r="AZ124" i="24"/>
  <c r="BA124" i="24"/>
  <c r="BB124" i="24"/>
  <c r="BC124" i="24"/>
  <c r="BD124" i="24"/>
  <c r="BE124" i="24"/>
  <c r="BF124" i="24"/>
  <c r="BG124" i="24"/>
  <c r="BH124" i="24"/>
  <c r="BI124" i="24"/>
  <c r="BJ124" i="24"/>
  <c r="BK124" i="24"/>
  <c r="BL124" i="24"/>
  <c r="BM124" i="24"/>
  <c r="BN124" i="24"/>
  <c r="BO124" i="24"/>
  <c r="BP124" i="24"/>
  <c r="BQ124" i="24"/>
  <c r="BR124" i="24"/>
  <c r="BS124" i="24"/>
  <c r="BT124" i="24"/>
  <c r="BU124" i="24"/>
  <c r="BV124" i="24"/>
  <c r="BW124" i="24"/>
  <c r="BX124" i="24"/>
  <c r="BY124" i="24"/>
  <c r="BZ124" i="24"/>
  <c r="CA124" i="24"/>
  <c r="CB124" i="24"/>
  <c r="CC124" i="24"/>
  <c r="CD124" i="24"/>
  <c r="CE124" i="24"/>
  <c r="CF124" i="24"/>
  <c r="CG124" i="24"/>
  <c r="CH124" i="24"/>
  <c r="CI124" i="24"/>
  <c r="CJ124" i="24"/>
  <c r="CK124" i="24"/>
  <c r="CL124" i="24"/>
  <c r="CM124" i="24"/>
  <c r="CN124" i="24"/>
  <c r="CO124" i="24"/>
  <c r="CP124" i="24"/>
  <c r="CQ124" i="24"/>
  <c r="CR124" i="24"/>
  <c r="CS124" i="24"/>
  <c r="CT124" i="24"/>
  <c r="CU124" i="24"/>
  <c r="CV124" i="24"/>
  <c r="CW124" i="24"/>
  <c r="CX124" i="24"/>
  <c r="CY124" i="24"/>
  <c r="CZ124" i="24"/>
  <c r="DA124" i="24"/>
  <c r="DB124" i="24"/>
  <c r="DC124" i="24"/>
  <c r="DD124" i="24"/>
  <c r="DE124" i="24"/>
  <c r="DF124" i="24"/>
  <c r="DG124" i="24"/>
  <c r="DH124" i="24"/>
  <c r="DI124" i="24"/>
  <c r="DJ124" i="24"/>
  <c r="DK124" i="24"/>
  <c r="DL124" i="24"/>
  <c r="DM124" i="24"/>
  <c r="DN124" i="24"/>
  <c r="DO124" i="24"/>
  <c r="DP124" i="24"/>
  <c r="DQ124" i="24"/>
  <c r="DR124" i="24"/>
  <c r="DS124" i="24"/>
  <c r="DT124" i="24"/>
  <c r="DU124" i="24"/>
  <c r="DV124" i="24"/>
  <c r="DW124" i="24"/>
  <c r="DX124" i="24"/>
  <c r="DY124" i="24"/>
  <c r="DZ124" i="24"/>
  <c r="EA124" i="24"/>
  <c r="EB124" i="24"/>
  <c r="EC124" i="24"/>
  <c r="ED124" i="24"/>
  <c r="EE124" i="24"/>
  <c r="EF124" i="24"/>
  <c r="EG124" i="24"/>
  <c r="EH124" i="24"/>
  <c r="EI124" i="24"/>
  <c r="EJ124" i="24"/>
  <c r="EK124" i="24"/>
  <c r="EL124" i="24"/>
  <c r="EM124" i="24"/>
  <c r="EN124" i="24"/>
  <c r="EO124" i="24"/>
  <c r="EP124" i="24"/>
  <c r="EQ124" i="24"/>
  <c r="ER124" i="24"/>
  <c r="ES124" i="24"/>
  <c r="ET124" i="24"/>
  <c r="EU124" i="24"/>
  <c r="EV124" i="24"/>
  <c r="EW124" i="24"/>
  <c r="EX124" i="24"/>
  <c r="EY124" i="24"/>
  <c r="EZ124" i="24"/>
  <c r="FA124" i="24"/>
  <c r="FB124" i="24"/>
  <c r="FC124" i="24"/>
  <c r="FD124" i="24"/>
  <c r="FE124" i="24"/>
  <c r="FF124" i="24"/>
  <c r="FG124" i="24"/>
  <c r="FH124" i="24"/>
  <c r="FI124" i="24"/>
  <c r="FJ124" i="24"/>
  <c r="FK124" i="24"/>
  <c r="FL124" i="24"/>
  <c r="FM124" i="24"/>
  <c r="FN124" i="24"/>
  <c r="FO124" i="24"/>
  <c r="FP124" i="24"/>
  <c r="FQ124" i="24"/>
  <c r="FR124" i="24"/>
  <c r="FS124" i="24"/>
  <c r="FT124" i="24"/>
  <c r="FU124" i="24"/>
  <c r="FV124" i="24"/>
  <c r="FW124" i="24"/>
  <c r="FX124" i="24"/>
  <c r="FY124" i="24"/>
  <c r="FZ124" i="24"/>
  <c r="GA124" i="24"/>
  <c r="GB124" i="24"/>
  <c r="GC124" i="24"/>
  <c r="GD124" i="24"/>
  <c r="GE124" i="24"/>
  <c r="GF124" i="24"/>
  <c r="GG124" i="24"/>
  <c r="GH124" i="24"/>
  <c r="GI124" i="24"/>
  <c r="GJ124" i="24"/>
  <c r="GK124" i="24"/>
  <c r="GL124" i="24"/>
  <c r="GM124" i="24"/>
  <c r="GN124" i="24"/>
  <c r="GO124" i="24"/>
  <c r="GP124" i="24"/>
  <c r="GQ124" i="24"/>
  <c r="GR124" i="24"/>
  <c r="GS124" i="24"/>
  <c r="GT124" i="24"/>
  <c r="D125" i="24"/>
  <c r="E125" i="24"/>
  <c r="F125" i="24"/>
  <c r="G125" i="24"/>
  <c r="H125" i="24"/>
  <c r="I125" i="24"/>
  <c r="J125" i="24"/>
  <c r="K125" i="24"/>
  <c r="L125" i="24"/>
  <c r="M125" i="24"/>
  <c r="N125" i="24"/>
  <c r="O125" i="24"/>
  <c r="P125" i="24"/>
  <c r="Q125" i="24"/>
  <c r="R125" i="24"/>
  <c r="S125" i="24"/>
  <c r="T125" i="24"/>
  <c r="U125" i="24"/>
  <c r="V125" i="24"/>
  <c r="W125" i="24"/>
  <c r="X125" i="24"/>
  <c r="Y125" i="24"/>
  <c r="Z125" i="24"/>
  <c r="AA125" i="24"/>
  <c r="AB125" i="24"/>
  <c r="AC125" i="24"/>
  <c r="AD125" i="24"/>
  <c r="AE125" i="24"/>
  <c r="AF125" i="24"/>
  <c r="AG125" i="24"/>
  <c r="AH125" i="24"/>
  <c r="AI125" i="24"/>
  <c r="AJ125" i="24"/>
  <c r="AK125" i="24"/>
  <c r="AL125" i="24"/>
  <c r="AM125" i="24"/>
  <c r="AN125" i="24"/>
  <c r="AO125" i="24"/>
  <c r="AP125" i="24"/>
  <c r="AQ125" i="24"/>
  <c r="AR125" i="24"/>
  <c r="AS125" i="24"/>
  <c r="AT125" i="24"/>
  <c r="AU125" i="24"/>
  <c r="AV125" i="24"/>
  <c r="AW125" i="24"/>
  <c r="AX125" i="24"/>
  <c r="AY125" i="24"/>
  <c r="AZ125" i="24"/>
  <c r="BA125" i="24"/>
  <c r="BB125" i="24"/>
  <c r="BC125" i="24"/>
  <c r="BD125" i="24"/>
  <c r="BE125" i="24"/>
  <c r="BF125" i="24"/>
  <c r="BG125" i="24"/>
  <c r="BH125" i="24"/>
  <c r="BI125" i="24"/>
  <c r="BJ125" i="24"/>
  <c r="BK125" i="24"/>
  <c r="BL125" i="24"/>
  <c r="BM125" i="24"/>
  <c r="BN125" i="24"/>
  <c r="BO125" i="24"/>
  <c r="BP125" i="24"/>
  <c r="BQ125" i="24"/>
  <c r="BR125" i="24"/>
  <c r="BS125" i="24"/>
  <c r="BT125" i="24"/>
  <c r="BU125" i="24"/>
  <c r="BV125" i="24"/>
  <c r="BW125" i="24"/>
  <c r="BX125" i="24"/>
  <c r="BY125" i="24"/>
  <c r="BZ125" i="24"/>
  <c r="CA125" i="24"/>
  <c r="CB125" i="24"/>
  <c r="CC125" i="24"/>
  <c r="CD125" i="24"/>
  <c r="CE125" i="24"/>
  <c r="CF125" i="24"/>
  <c r="CG125" i="24"/>
  <c r="CH125" i="24"/>
  <c r="CI125" i="24"/>
  <c r="CJ125" i="24"/>
  <c r="CK125" i="24"/>
  <c r="CL125" i="24"/>
  <c r="CM125" i="24"/>
  <c r="CN125" i="24"/>
  <c r="CO125" i="24"/>
  <c r="CP125" i="24"/>
  <c r="CQ125" i="24"/>
  <c r="CR125" i="24"/>
  <c r="CS125" i="24"/>
  <c r="CT125" i="24"/>
  <c r="CU125" i="24"/>
  <c r="CV125" i="24"/>
  <c r="CW125" i="24"/>
  <c r="CX125" i="24"/>
  <c r="CY125" i="24"/>
  <c r="CZ125" i="24"/>
  <c r="DA125" i="24"/>
  <c r="DB125" i="24"/>
  <c r="DC125" i="24"/>
  <c r="DD125" i="24"/>
  <c r="DE125" i="24"/>
  <c r="DF125" i="24"/>
  <c r="DG125" i="24"/>
  <c r="DH125" i="24"/>
  <c r="DI125" i="24"/>
  <c r="DJ125" i="24"/>
  <c r="DK125" i="24"/>
  <c r="DL125" i="24"/>
  <c r="DM125" i="24"/>
  <c r="DN125" i="24"/>
  <c r="DO125" i="24"/>
  <c r="DP125" i="24"/>
  <c r="DQ125" i="24"/>
  <c r="DR125" i="24"/>
  <c r="DS125" i="24"/>
  <c r="DT125" i="24"/>
  <c r="DU125" i="24"/>
  <c r="DV125" i="24"/>
  <c r="DW125" i="24"/>
  <c r="DX125" i="24"/>
  <c r="DY125" i="24"/>
  <c r="DZ125" i="24"/>
  <c r="EA125" i="24"/>
  <c r="EB125" i="24"/>
  <c r="EC125" i="24"/>
  <c r="ED125" i="24"/>
  <c r="EE125" i="24"/>
  <c r="EF125" i="24"/>
  <c r="EG125" i="24"/>
  <c r="EH125" i="24"/>
  <c r="EI125" i="24"/>
  <c r="EJ125" i="24"/>
  <c r="EK125" i="24"/>
  <c r="EL125" i="24"/>
  <c r="EM125" i="24"/>
  <c r="EN125" i="24"/>
  <c r="EO125" i="24"/>
  <c r="EP125" i="24"/>
  <c r="EQ125" i="24"/>
  <c r="ER125" i="24"/>
  <c r="ES125" i="24"/>
  <c r="ET125" i="24"/>
  <c r="EU125" i="24"/>
  <c r="EV125" i="24"/>
  <c r="EW125" i="24"/>
  <c r="EX125" i="24"/>
  <c r="EY125" i="24"/>
  <c r="EZ125" i="24"/>
  <c r="FA125" i="24"/>
  <c r="FB125" i="24"/>
  <c r="FC125" i="24"/>
  <c r="FD125" i="24"/>
  <c r="FE125" i="24"/>
  <c r="FF125" i="24"/>
  <c r="FG125" i="24"/>
  <c r="FH125" i="24"/>
  <c r="FI125" i="24"/>
  <c r="FJ125" i="24"/>
  <c r="FK125" i="24"/>
  <c r="FL125" i="24"/>
  <c r="FM125" i="24"/>
  <c r="FN125" i="24"/>
  <c r="FO125" i="24"/>
  <c r="FP125" i="24"/>
  <c r="FQ125" i="24"/>
  <c r="FR125" i="24"/>
  <c r="FS125" i="24"/>
  <c r="FT125" i="24"/>
  <c r="FU125" i="24"/>
  <c r="FV125" i="24"/>
  <c r="FW125" i="24"/>
  <c r="FX125" i="24"/>
  <c r="FY125" i="24"/>
  <c r="FZ125" i="24"/>
  <c r="GA125" i="24"/>
  <c r="GB125" i="24"/>
  <c r="GC125" i="24"/>
  <c r="GD125" i="24"/>
  <c r="GE125" i="24"/>
  <c r="GF125" i="24"/>
  <c r="GG125" i="24"/>
  <c r="GH125" i="24"/>
  <c r="GI125" i="24"/>
  <c r="GJ125" i="24"/>
  <c r="GK125" i="24"/>
  <c r="GL125" i="24"/>
  <c r="GM125" i="24"/>
  <c r="GN125" i="24"/>
  <c r="GO125" i="24"/>
  <c r="GP125" i="24"/>
  <c r="GQ125" i="24"/>
  <c r="GR125" i="24"/>
  <c r="GS125" i="24"/>
  <c r="GT125" i="24"/>
  <c r="D126" i="24"/>
  <c r="E126" i="24"/>
  <c r="F126" i="24"/>
  <c r="G126" i="24"/>
  <c r="H126" i="24"/>
  <c r="I126" i="24"/>
  <c r="J126" i="24"/>
  <c r="K126" i="24"/>
  <c r="L126" i="24"/>
  <c r="M126" i="24"/>
  <c r="N126" i="24"/>
  <c r="O126" i="24"/>
  <c r="P126" i="24"/>
  <c r="Q126" i="24"/>
  <c r="R126" i="24"/>
  <c r="S126" i="24"/>
  <c r="T126" i="24"/>
  <c r="U126" i="24"/>
  <c r="V126" i="24"/>
  <c r="W126" i="24"/>
  <c r="X126" i="24"/>
  <c r="Y126" i="24"/>
  <c r="Z126" i="24"/>
  <c r="AA126" i="24"/>
  <c r="AB126" i="24"/>
  <c r="AC126" i="24"/>
  <c r="AD126" i="24"/>
  <c r="AE126" i="24"/>
  <c r="AF126" i="24"/>
  <c r="AG126" i="24"/>
  <c r="AH126" i="24"/>
  <c r="AI126" i="24"/>
  <c r="AJ126" i="24"/>
  <c r="AK126" i="24"/>
  <c r="AL126" i="24"/>
  <c r="AM126" i="24"/>
  <c r="AN126" i="24"/>
  <c r="AO126" i="24"/>
  <c r="AP126" i="24"/>
  <c r="AQ126" i="24"/>
  <c r="AR126" i="24"/>
  <c r="AS126" i="24"/>
  <c r="AT126" i="24"/>
  <c r="AU126" i="24"/>
  <c r="AV126" i="24"/>
  <c r="AW126" i="24"/>
  <c r="AX126" i="24"/>
  <c r="AY126" i="24"/>
  <c r="AZ126" i="24"/>
  <c r="BA126" i="24"/>
  <c r="BB126" i="24"/>
  <c r="BC126" i="24"/>
  <c r="BD126" i="24"/>
  <c r="BE126" i="24"/>
  <c r="BF126" i="24"/>
  <c r="BG126" i="24"/>
  <c r="BH126" i="24"/>
  <c r="BI126" i="24"/>
  <c r="BJ126" i="24"/>
  <c r="BK126" i="24"/>
  <c r="BL126" i="24"/>
  <c r="BM126" i="24"/>
  <c r="BN126" i="24"/>
  <c r="BO126" i="24"/>
  <c r="BP126" i="24"/>
  <c r="BQ126" i="24"/>
  <c r="BR126" i="24"/>
  <c r="BS126" i="24"/>
  <c r="BT126" i="24"/>
  <c r="BU126" i="24"/>
  <c r="BV126" i="24"/>
  <c r="BW126" i="24"/>
  <c r="BX126" i="24"/>
  <c r="BY126" i="24"/>
  <c r="BZ126" i="24"/>
  <c r="CA126" i="24"/>
  <c r="CB126" i="24"/>
  <c r="CC126" i="24"/>
  <c r="CD126" i="24"/>
  <c r="CE126" i="24"/>
  <c r="CF126" i="24"/>
  <c r="CG126" i="24"/>
  <c r="CH126" i="24"/>
  <c r="CI126" i="24"/>
  <c r="CJ126" i="24"/>
  <c r="CK126" i="24"/>
  <c r="CL126" i="24"/>
  <c r="CM126" i="24"/>
  <c r="CN126" i="24"/>
  <c r="CO126" i="24"/>
  <c r="CP126" i="24"/>
  <c r="CQ126" i="24"/>
  <c r="CR126" i="24"/>
  <c r="CS126" i="24"/>
  <c r="CT126" i="24"/>
  <c r="CU126" i="24"/>
  <c r="CV126" i="24"/>
  <c r="CW126" i="24"/>
  <c r="CX126" i="24"/>
  <c r="CY126" i="24"/>
  <c r="CZ126" i="24"/>
  <c r="DA126" i="24"/>
  <c r="DB126" i="24"/>
  <c r="DC126" i="24"/>
  <c r="DD126" i="24"/>
  <c r="DE126" i="24"/>
  <c r="DF126" i="24"/>
  <c r="DG126" i="24"/>
  <c r="DH126" i="24"/>
  <c r="DI126" i="24"/>
  <c r="DJ126" i="24"/>
  <c r="DK126" i="24"/>
  <c r="DL126" i="24"/>
  <c r="DM126" i="24"/>
  <c r="DN126" i="24"/>
  <c r="DO126" i="24"/>
  <c r="DP126" i="24"/>
  <c r="DQ126" i="24"/>
  <c r="DR126" i="24"/>
  <c r="DS126" i="24"/>
  <c r="DT126" i="24"/>
  <c r="DU126" i="24"/>
  <c r="DV126" i="24"/>
  <c r="DW126" i="24"/>
  <c r="DX126" i="24"/>
  <c r="DY126" i="24"/>
  <c r="DZ126" i="24"/>
  <c r="EA126" i="24"/>
  <c r="EB126" i="24"/>
  <c r="EC126" i="24"/>
  <c r="ED126" i="24"/>
  <c r="EE126" i="24"/>
  <c r="EF126" i="24"/>
  <c r="EG126" i="24"/>
  <c r="EH126" i="24"/>
  <c r="EI126" i="24"/>
  <c r="EJ126" i="24"/>
  <c r="EK126" i="24"/>
  <c r="EL126" i="24"/>
  <c r="EM126" i="24"/>
  <c r="EN126" i="24"/>
  <c r="EO126" i="24"/>
  <c r="EP126" i="24"/>
  <c r="EQ126" i="24"/>
  <c r="ER126" i="24"/>
  <c r="ES126" i="24"/>
  <c r="ET126" i="24"/>
  <c r="EU126" i="24"/>
  <c r="EV126" i="24"/>
  <c r="EW126" i="24"/>
  <c r="EX126" i="24"/>
  <c r="EY126" i="24"/>
  <c r="EZ126" i="24"/>
  <c r="FA126" i="24"/>
  <c r="FB126" i="24"/>
  <c r="FC126" i="24"/>
  <c r="FD126" i="24"/>
  <c r="FE126" i="24"/>
  <c r="FF126" i="24"/>
  <c r="FG126" i="24"/>
  <c r="FH126" i="24"/>
  <c r="FI126" i="24"/>
  <c r="FJ126" i="24"/>
  <c r="FK126" i="24"/>
  <c r="FL126" i="24"/>
  <c r="FM126" i="24"/>
  <c r="FN126" i="24"/>
  <c r="FO126" i="24"/>
  <c r="FP126" i="24"/>
  <c r="FQ126" i="24"/>
  <c r="FR126" i="24"/>
  <c r="FS126" i="24"/>
  <c r="FT126" i="24"/>
  <c r="FU126" i="24"/>
  <c r="FV126" i="24"/>
  <c r="FW126" i="24"/>
  <c r="FX126" i="24"/>
  <c r="FY126" i="24"/>
  <c r="FZ126" i="24"/>
  <c r="GA126" i="24"/>
  <c r="GB126" i="24"/>
  <c r="GC126" i="24"/>
  <c r="GD126" i="24"/>
  <c r="GE126" i="24"/>
  <c r="GF126" i="24"/>
  <c r="GG126" i="24"/>
  <c r="GH126" i="24"/>
  <c r="GI126" i="24"/>
  <c r="GJ126" i="24"/>
  <c r="GK126" i="24"/>
  <c r="GL126" i="24"/>
  <c r="GM126" i="24"/>
  <c r="GN126" i="24"/>
  <c r="GO126" i="24"/>
  <c r="GP126" i="24"/>
  <c r="GQ126" i="24"/>
  <c r="GR126" i="24"/>
  <c r="GS126" i="24"/>
  <c r="GT126" i="24"/>
  <c r="D127" i="24"/>
  <c r="E127" i="24"/>
  <c r="F127" i="24"/>
  <c r="G127" i="24"/>
  <c r="H127" i="24"/>
  <c r="I127" i="24"/>
  <c r="J127" i="24"/>
  <c r="K127" i="24"/>
  <c r="L127" i="24"/>
  <c r="M127" i="24"/>
  <c r="N127" i="24"/>
  <c r="O127" i="24"/>
  <c r="P127" i="24"/>
  <c r="Q127" i="24"/>
  <c r="R127" i="24"/>
  <c r="S127" i="24"/>
  <c r="T127" i="24"/>
  <c r="U127" i="24"/>
  <c r="V127" i="24"/>
  <c r="W127" i="24"/>
  <c r="X127" i="24"/>
  <c r="Y127" i="24"/>
  <c r="Z127" i="24"/>
  <c r="AA127" i="24"/>
  <c r="AB127" i="24"/>
  <c r="AC127" i="24"/>
  <c r="AD127" i="24"/>
  <c r="AE127" i="24"/>
  <c r="AF127" i="24"/>
  <c r="AG127" i="24"/>
  <c r="AH127" i="24"/>
  <c r="AI127" i="24"/>
  <c r="AJ127" i="24"/>
  <c r="AK127" i="24"/>
  <c r="AL127" i="24"/>
  <c r="AM127" i="24"/>
  <c r="AN127" i="24"/>
  <c r="AO127" i="24"/>
  <c r="AP127" i="24"/>
  <c r="AQ127" i="24"/>
  <c r="AR127" i="24"/>
  <c r="AS127" i="24"/>
  <c r="AT127" i="24"/>
  <c r="AU127" i="24"/>
  <c r="AV127" i="24"/>
  <c r="AW127" i="24"/>
  <c r="AX127" i="24"/>
  <c r="AY127" i="24"/>
  <c r="AZ127" i="24"/>
  <c r="BA127" i="24"/>
  <c r="BB127" i="24"/>
  <c r="BC127" i="24"/>
  <c r="BD127" i="24"/>
  <c r="BE127" i="24"/>
  <c r="BF127" i="24"/>
  <c r="BG127" i="24"/>
  <c r="BH127" i="24"/>
  <c r="BI127" i="24"/>
  <c r="BJ127" i="24"/>
  <c r="BK127" i="24"/>
  <c r="BL127" i="24"/>
  <c r="BM127" i="24"/>
  <c r="BN127" i="24"/>
  <c r="BO127" i="24"/>
  <c r="BP127" i="24"/>
  <c r="BQ127" i="24"/>
  <c r="BR127" i="24"/>
  <c r="BS127" i="24"/>
  <c r="BT127" i="24"/>
  <c r="BU127" i="24"/>
  <c r="BV127" i="24"/>
  <c r="BW127" i="24"/>
  <c r="BX127" i="24"/>
  <c r="BY127" i="24"/>
  <c r="BZ127" i="24"/>
  <c r="CA127" i="24"/>
  <c r="CB127" i="24"/>
  <c r="CC127" i="24"/>
  <c r="CD127" i="24"/>
  <c r="CE127" i="24"/>
  <c r="CF127" i="24"/>
  <c r="CG127" i="24"/>
  <c r="CH127" i="24"/>
  <c r="CI127" i="24"/>
  <c r="CJ127" i="24"/>
  <c r="CK127" i="24"/>
  <c r="CL127" i="24"/>
  <c r="CM127" i="24"/>
  <c r="CN127" i="24"/>
  <c r="CO127" i="24"/>
  <c r="CP127" i="24"/>
  <c r="CQ127" i="24"/>
  <c r="CR127" i="24"/>
  <c r="CS127" i="24"/>
  <c r="CT127" i="24"/>
  <c r="CU127" i="24"/>
  <c r="CV127" i="24"/>
  <c r="CW127" i="24"/>
  <c r="CX127" i="24"/>
  <c r="CY127" i="24"/>
  <c r="CZ127" i="24"/>
  <c r="DA127" i="24"/>
  <c r="DB127" i="24"/>
  <c r="DC127" i="24"/>
  <c r="DD127" i="24"/>
  <c r="DE127" i="24"/>
  <c r="DF127" i="24"/>
  <c r="DG127" i="24"/>
  <c r="DH127" i="24"/>
  <c r="DI127" i="24"/>
  <c r="DJ127" i="24"/>
  <c r="DK127" i="24"/>
  <c r="DL127" i="24"/>
  <c r="DM127" i="24"/>
  <c r="DN127" i="24"/>
  <c r="DO127" i="24"/>
  <c r="DP127" i="24"/>
  <c r="DQ127" i="24"/>
  <c r="DR127" i="24"/>
  <c r="DS127" i="24"/>
  <c r="DT127" i="24"/>
  <c r="DU127" i="24"/>
  <c r="DV127" i="24"/>
  <c r="DW127" i="24"/>
  <c r="DX127" i="24"/>
  <c r="DY127" i="24"/>
  <c r="DZ127" i="24"/>
  <c r="EA127" i="24"/>
  <c r="EB127" i="24"/>
  <c r="EC127" i="24"/>
  <c r="ED127" i="24"/>
  <c r="EE127" i="24"/>
  <c r="EF127" i="24"/>
  <c r="EG127" i="24"/>
  <c r="EH127" i="24"/>
  <c r="EI127" i="24"/>
  <c r="EJ127" i="24"/>
  <c r="EK127" i="24"/>
  <c r="EL127" i="24"/>
  <c r="EM127" i="24"/>
  <c r="EN127" i="24"/>
  <c r="EO127" i="24"/>
  <c r="EP127" i="24"/>
  <c r="EQ127" i="24"/>
  <c r="ER127" i="24"/>
  <c r="ES127" i="24"/>
  <c r="ET127" i="24"/>
  <c r="EU127" i="24"/>
  <c r="EV127" i="24"/>
  <c r="EW127" i="24"/>
  <c r="EX127" i="24"/>
  <c r="EY127" i="24"/>
  <c r="EZ127" i="24"/>
  <c r="FA127" i="24"/>
  <c r="FB127" i="24"/>
  <c r="FC127" i="24"/>
  <c r="FD127" i="24"/>
  <c r="FE127" i="24"/>
  <c r="FF127" i="24"/>
  <c r="FG127" i="24"/>
  <c r="FH127" i="24"/>
  <c r="FI127" i="24"/>
  <c r="FJ127" i="24"/>
  <c r="FK127" i="24"/>
  <c r="FL127" i="24"/>
  <c r="FM127" i="24"/>
  <c r="FN127" i="24"/>
  <c r="FO127" i="24"/>
  <c r="FP127" i="24"/>
  <c r="FQ127" i="24"/>
  <c r="FR127" i="24"/>
  <c r="FS127" i="24"/>
  <c r="FT127" i="24"/>
  <c r="FU127" i="24"/>
  <c r="FV127" i="24"/>
  <c r="FW127" i="24"/>
  <c r="FX127" i="24"/>
  <c r="FY127" i="24"/>
  <c r="FZ127" i="24"/>
  <c r="GA127" i="24"/>
  <c r="GB127" i="24"/>
  <c r="GC127" i="24"/>
  <c r="GD127" i="24"/>
  <c r="GE127" i="24"/>
  <c r="GF127" i="24"/>
  <c r="GG127" i="24"/>
  <c r="GH127" i="24"/>
  <c r="GI127" i="24"/>
  <c r="GJ127" i="24"/>
  <c r="GK127" i="24"/>
  <c r="GL127" i="24"/>
  <c r="GM127" i="24"/>
  <c r="GN127" i="24"/>
  <c r="GO127" i="24"/>
  <c r="GP127" i="24"/>
  <c r="GQ127" i="24"/>
  <c r="GR127" i="24"/>
  <c r="GS127" i="24"/>
  <c r="GT127" i="24"/>
  <c r="D128" i="24"/>
  <c r="E128" i="24"/>
  <c r="F128" i="24"/>
  <c r="G128" i="24"/>
  <c r="H128" i="24"/>
  <c r="I128" i="24"/>
  <c r="J128" i="24"/>
  <c r="K128" i="24"/>
  <c r="L128" i="24"/>
  <c r="M128" i="24"/>
  <c r="N128" i="24"/>
  <c r="O128" i="24"/>
  <c r="P128" i="24"/>
  <c r="Q128" i="24"/>
  <c r="R128" i="24"/>
  <c r="S128" i="24"/>
  <c r="T128" i="24"/>
  <c r="U128" i="24"/>
  <c r="V128" i="24"/>
  <c r="W128" i="24"/>
  <c r="X128" i="24"/>
  <c r="Y128" i="24"/>
  <c r="Z128" i="24"/>
  <c r="AA128" i="24"/>
  <c r="AB128" i="24"/>
  <c r="AC128" i="24"/>
  <c r="AD128" i="24"/>
  <c r="AE128" i="24"/>
  <c r="AF128" i="24"/>
  <c r="AG128" i="24"/>
  <c r="AH128" i="24"/>
  <c r="AI128" i="24"/>
  <c r="AJ128" i="24"/>
  <c r="AK128" i="24"/>
  <c r="AL128" i="24"/>
  <c r="AM128" i="24"/>
  <c r="AN128" i="24"/>
  <c r="AO128" i="24"/>
  <c r="AP128" i="24"/>
  <c r="AQ128" i="24"/>
  <c r="AR128" i="24"/>
  <c r="AS128" i="24"/>
  <c r="AT128" i="24"/>
  <c r="AU128" i="24"/>
  <c r="AV128" i="24"/>
  <c r="AW128" i="24"/>
  <c r="AX128" i="24"/>
  <c r="AY128" i="24"/>
  <c r="AZ128" i="24"/>
  <c r="BA128" i="24"/>
  <c r="BB128" i="24"/>
  <c r="BC128" i="24"/>
  <c r="BD128" i="24"/>
  <c r="BE128" i="24"/>
  <c r="BF128" i="24"/>
  <c r="BG128" i="24"/>
  <c r="BH128" i="24"/>
  <c r="BI128" i="24"/>
  <c r="BJ128" i="24"/>
  <c r="BK128" i="24"/>
  <c r="BL128" i="24"/>
  <c r="BM128" i="24"/>
  <c r="BN128" i="24"/>
  <c r="BO128" i="24"/>
  <c r="BP128" i="24"/>
  <c r="BQ128" i="24"/>
  <c r="BR128" i="24"/>
  <c r="BS128" i="24"/>
  <c r="BT128" i="24"/>
  <c r="BU128" i="24"/>
  <c r="BV128" i="24"/>
  <c r="BW128" i="24"/>
  <c r="BX128" i="24"/>
  <c r="BY128" i="24"/>
  <c r="BZ128" i="24"/>
  <c r="CA128" i="24"/>
  <c r="CB128" i="24"/>
  <c r="CC128" i="24"/>
  <c r="CD128" i="24"/>
  <c r="CE128" i="24"/>
  <c r="CF128" i="24"/>
  <c r="CG128" i="24"/>
  <c r="CH128" i="24"/>
  <c r="CI128" i="24"/>
  <c r="CJ128" i="24"/>
  <c r="CK128" i="24"/>
  <c r="CL128" i="24"/>
  <c r="CM128" i="24"/>
  <c r="CN128" i="24"/>
  <c r="CO128" i="24"/>
  <c r="CP128" i="24"/>
  <c r="CQ128" i="24"/>
  <c r="CR128" i="24"/>
  <c r="CS128" i="24"/>
  <c r="CT128" i="24"/>
  <c r="CU128" i="24"/>
  <c r="CV128" i="24"/>
  <c r="CW128" i="24"/>
  <c r="CX128" i="24"/>
  <c r="CY128" i="24"/>
  <c r="CZ128" i="24"/>
  <c r="DA128" i="24"/>
  <c r="DB128" i="24"/>
  <c r="DC128" i="24"/>
  <c r="DD128" i="24"/>
  <c r="DE128" i="24"/>
  <c r="DF128" i="24"/>
  <c r="DG128" i="24"/>
  <c r="DH128" i="24"/>
  <c r="DI128" i="24"/>
  <c r="DJ128" i="24"/>
  <c r="DK128" i="24"/>
  <c r="DL128" i="24"/>
  <c r="DM128" i="24"/>
  <c r="DN128" i="24"/>
  <c r="DO128" i="24"/>
  <c r="DP128" i="24"/>
  <c r="DQ128" i="24"/>
  <c r="DR128" i="24"/>
  <c r="DS128" i="24"/>
  <c r="DT128" i="24"/>
  <c r="DU128" i="24"/>
  <c r="DV128" i="24"/>
  <c r="DW128" i="24"/>
  <c r="DX128" i="24"/>
  <c r="DY128" i="24"/>
  <c r="DZ128" i="24"/>
  <c r="EA128" i="24"/>
  <c r="EB128" i="24"/>
  <c r="EC128" i="24"/>
  <c r="ED128" i="24"/>
  <c r="EE128" i="24"/>
  <c r="EF128" i="24"/>
  <c r="EG128" i="24"/>
  <c r="EH128" i="24"/>
  <c r="EI128" i="24"/>
  <c r="EJ128" i="24"/>
  <c r="EK128" i="24"/>
  <c r="EL128" i="24"/>
  <c r="EM128" i="24"/>
  <c r="EN128" i="24"/>
  <c r="EO128" i="24"/>
  <c r="EP128" i="24"/>
  <c r="EQ128" i="24"/>
  <c r="ER128" i="24"/>
  <c r="ES128" i="24"/>
  <c r="ET128" i="24"/>
  <c r="EU128" i="24"/>
  <c r="EV128" i="24"/>
  <c r="EW128" i="24"/>
  <c r="EX128" i="24"/>
  <c r="EY128" i="24"/>
  <c r="EZ128" i="24"/>
  <c r="FA128" i="24"/>
  <c r="FB128" i="24"/>
  <c r="FC128" i="24"/>
  <c r="FD128" i="24"/>
  <c r="FE128" i="24"/>
  <c r="FF128" i="24"/>
  <c r="FG128" i="24"/>
  <c r="FH128" i="24"/>
  <c r="FI128" i="24"/>
  <c r="FJ128" i="24"/>
  <c r="FK128" i="24"/>
  <c r="FL128" i="24"/>
  <c r="FM128" i="24"/>
  <c r="FN128" i="24"/>
  <c r="FO128" i="24"/>
  <c r="FP128" i="24"/>
  <c r="FQ128" i="24"/>
  <c r="FR128" i="24"/>
  <c r="FS128" i="24"/>
  <c r="FT128" i="24"/>
  <c r="FU128" i="24"/>
  <c r="FV128" i="24"/>
  <c r="FW128" i="24"/>
  <c r="FX128" i="24"/>
  <c r="FY128" i="24"/>
  <c r="FZ128" i="24"/>
  <c r="GA128" i="24"/>
  <c r="GB128" i="24"/>
  <c r="GC128" i="24"/>
  <c r="GD128" i="24"/>
  <c r="GE128" i="24"/>
  <c r="GF128" i="24"/>
  <c r="GG128" i="24"/>
  <c r="GH128" i="24"/>
  <c r="GI128" i="24"/>
  <c r="GJ128" i="24"/>
  <c r="GK128" i="24"/>
  <c r="GL128" i="24"/>
  <c r="GM128" i="24"/>
  <c r="GN128" i="24"/>
  <c r="GO128" i="24"/>
  <c r="GP128" i="24"/>
  <c r="GQ128" i="24"/>
  <c r="GR128" i="24"/>
  <c r="GS128" i="24"/>
  <c r="GT128" i="24"/>
  <c r="D129" i="24"/>
  <c r="E129" i="24"/>
  <c r="F129" i="24"/>
  <c r="G129" i="24"/>
  <c r="H129" i="24"/>
  <c r="I129" i="24"/>
  <c r="J129" i="24"/>
  <c r="K129" i="24"/>
  <c r="L129" i="24"/>
  <c r="M129" i="24"/>
  <c r="N129" i="24"/>
  <c r="O129" i="24"/>
  <c r="P129" i="24"/>
  <c r="Q129" i="24"/>
  <c r="R129" i="24"/>
  <c r="S129" i="24"/>
  <c r="T129" i="24"/>
  <c r="U129" i="24"/>
  <c r="V129" i="24"/>
  <c r="W129" i="24"/>
  <c r="X129" i="24"/>
  <c r="Y129" i="24"/>
  <c r="Z129" i="24"/>
  <c r="AA129" i="24"/>
  <c r="AB129" i="24"/>
  <c r="AC129" i="24"/>
  <c r="AD129" i="24"/>
  <c r="AE129" i="24"/>
  <c r="AF129" i="24"/>
  <c r="AG129" i="24"/>
  <c r="AH129" i="24"/>
  <c r="AI129" i="24"/>
  <c r="AJ129" i="24"/>
  <c r="AK129" i="24"/>
  <c r="AL129" i="24"/>
  <c r="AM129" i="24"/>
  <c r="AN129" i="24"/>
  <c r="AO129" i="24"/>
  <c r="AP129" i="24"/>
  <c r="AQ129" i="24"/>
  <c r="AR129" i="24"/>
  <c r="AS129" i="24"/>
  <c r="AT129" i="24"/>
  <c r="AU129" i="24"/>
  <c r="AV129" i="24"/>
  <c r="AW129" i="24"/>
  <c r="AX129" i="24"/>
  <c r="AY129" i="24"/>
  <c r="AZ129" i="24"/>
  <c r="BA129" i="24"/>
  <c r="BB129" i="24"/>
  <c r="BC129" i="24"/>
  <c r="BD129" i="24"/>
  <c r="BE129" i="24"/>
  <c r="BF129" i="24"/>
  <c r="BG129" i="24"/>
  <c r="BH129" i="24"/>
  <c r="BI129" i="24"/>
  <c r="BJ129" i="24"/>
  <c r="BK129" i="24"/>
  <c r="BL129" i="24"/>
  <c r="BM129" i="24"/>
  <c r="BN129" i="24"/>
  <c r="BO129" i="24"/>
  <c r="BP129" i="24"/>
  <c r="BQ129" i="24"/>
  <c r="BR129" i="24"/>
  <c r="BS129" i="24"/>
  <c r="BT129" i="24"/>
  <c r="BU129" i="24"/>
  <c r="BV129" i="24"/>
  <c r="BW129" i="24"/>
  <c r="BX129" i="24"/>
  <c r="BY129" i="24"/>
  <c r="BZ129" i="24"/>
  <c r="CA129" i="24"/>
  <c r="CB129" i="24"/>
  <c r="CC129" i="24"/>
  <c r="CD129" i="24"/>
  <c r="CE129" i="24"/>
  <c r="CF129" i="24"/>
  <c r="CG129" i="24"/>
  <c r="CH129" i="24"/>
  <c r="CI129" i="24"/>
  <c r="CJ129" i="24"/>
  <c r="CK129" i="24"/>
  <c r="CL129" i="24"/>
  <c r="CM129" i="24"/>
  <c r="CN129" i="24"/>
  <c r="CO129" i="24"/>
  <c r="CP129" i="24"/>
  <c r="CQ129" i="24"/>
  <c r="CR129" i="24"/>
  <c r="CS129" i="24"/>
  <c r="CT129" i="24"/>
  <c r="CU129" i="24"/>
  <c r="CV129" i="24"/>
  <c r="CW129" i="24"/>
  <c r="CX129" i="24"/>
  <c r="CY129" i="24"/>
  <c r="CZ129" i="24"/>
  <c r="DA129" i="24"/>
  <c r="DB129" i="24"/>
  <c r="DC129" i="24"/>
  <c r="DD129" i="24"/>
  <c r="DE129" i="24"/>
  <c r="DF129" i="24"/>
  <c r="DG129" i="24"/>
  <c r="DH129" i="24"/>
  <c r="DI129" i="24"/>
  <c r="DJ129" i="24"/>
  <c r="DK129" i="24"/>
  <c r="DL129" i="24"/>
  <c r="DM129" i="24"/>
  <c r="DN129" i="24"/>
  <c r="DO129" i="24"/>
  <c r="DP129" i="24"/>
  <c r="DQ129" i="24"/>
  <c r="DR129" i="24"/>
  <c r="DS129" i="24"/>
  <c r="DT129" i="24"/>
  <c r="DU129" i="24"/>
  <c r="DV129" i="24"/>
  <c r="DW129" i="24"/>
  <c r="DX129" i="24"/>
  <c r="DY129" i="24"/>
  <c r="DZ129" i="24"/>
  <c r="EA129" i="24"/>
  <c r="EB129" i="24"/>
  <c r="EC129" i="24"/>
  <c r="ED129" i="24"/>
  <c r="EE129" i="24"/>
  <c r="EF129" i="24"/>
  <c r="EG129" i="24"/>
  <c r="EH129" i="24"/>
  <c r="EI129" i="24"/>
  <c r="EJ129" i="24"/>
  <c r="EK129" i="24"/>
  <c r="EL129" i="24"/>
  <c r="EM129" i="24"/>
  <c r="EN129" i="24"/>
  <c r="EO129" i="24"/>
  <c r="EP129" i="24"/>
  <c r="EQ129" i="24"/>
  <c r="ER129" i="24"/>
  <c r="ES129" i="24"/>
  <c r="ET129" i="24"/>
  <c r="EU129" i="24"/>
  <c r="EV129" i="24"/>
  <c r="EW129" i="24"/>
  <c r="EX129" i="24"/>
  <c r="EY129" i="24"/>
  <c r="EZ129" i="24"/>
  <c r="FA129" i="24"/>
  <c r="FB129" i="24"/>
  <c r="FC129" i="24"/>
  <c r="FD129" i="24"/>
  <c r="FE129" i="24"/>
  <c r="FF129" i="24"/>
  <c r="FG129" i="24"/>
  <c r="FH129" i="24"/>
  <c r="FI129" i="24"/>
  <c r="FJ129" i="24"/>
  <c r="FK129" i="24"/>
  <c r="FL129" i="24"/>
  <c r="FM129" i="24"/>
  <c r="FN129" i="24"/>
  <c r="FO129" i="24"/>
  <c r="FP129" i="24"/>
  <c r="FQ129" i="24"/>
  <c r="FR129" i="24"/>
  <c r="FS129" i="24"/>
  <c r="FT129" i="24"/>
  <c r="FU129" i="24"/>
  <c r="FV129" i="24"/>
  <c r="FW129" i="24"/>
  <c r="FX129" i="24"/>
  <c r="FY129" i="24"/>
  <c r="FZ129" i="24"/>
  <c r="GA129" i="24"/>
  <c r="GB129" i="24"/>
  <c r="GC129" i="24"/>
  <c r="GD129" i="24"/>
  <c r="GE129" i="24"/>
  <c r="GF129" i="24"/>
  <c r="GG129" i="24"/>
  <c r="GH129" i="24"/>
  <c r="GI129" i="24"/>
  <c r="GJ129" i="24"/>
  <c r="GK129" i="24"/>
  <c r="GL129" i="24"/>
  <c r="GM129" i="24"/>
  <c r="GN129" i="24"/>
  <c r="GO129" i="24"/>
  <c r="GP129" i="24"/>
  <c r="GQ129" i="24"/>
  <c r="GR129" i="24"/>
  <c r="GS129" i="24"/>
  <c r="GT129" i="24"/>
  <c r="D130" i="24"/>
  <c r="E130" i="24"/>
  <c r="F130" i="24"/>
  <c r="G130" i="24"/>
  <c r="H130" i="24"/>
  <c r="I130" i="24"/>
  <c r="J130" i="24"/>
  <c r="K130" i="24"/>
  <c r="L130" i="24"/>
  <c r="M130" i="24"/>
  <c r="N130" i="24"/>
  <c r="O130" i="24"/>
  <c r="P130" i="24"/>
  <c r="Q130" i="24"/>
  <c r="R130" i="24"/>
  <c r="S130" i="24"/>
  <c r="T130" i="24"/>
  <c r="U130" i="24"/>
  <c r="V130" i="24"/>
  <c r="W130" i="24"/>
  <c r="X130" i="24"/>
  <c r="Y130" i="24"/>
  <c r="Z130" i="24"/>
  <c r="AA130" i="24"/>
  <c r="AB130" i="24"/>
  <c r="AC130" i="24"/>
  <c r="AD130" i="24"/>
  <c r="AE130" i="24"/>
  <c r="AF130" i="24"/>
  <c r="AG130" i="24"/>
  <c r="AH130" i="24"/>
  <c r="AI130" i="24"/>
  <c r="AJ130" i="24"/>
  <c r="AK130" i="24"/>
  <c r="AL130" i="24"/>
  <c r="AM130" i="24"/>
  <c r="AN130" i="24"/>
  <c r="AO130" i="24"/>
  <c r="AP130" i="24"/>
  <c r="AQ130" i="24"/>
  <c r="AR130" i="24"/>
  <c r="AS130" i="24"/>
  <c r="AT130" i="24"/>
  <c r="AU130" i="24"/>
  <c r="AV130" i="24"/>
  <c r="AW130" i="24"/>
  <c r="AX130" i="24"/>
  <c r="AY130" i="24"/>
  <c r="AZ130" i="24"/>
  <c r="BA130" i="24"/>
  <c r="BB130" i="24"/>
  <c r="BC130" i="24"/>
  <c r="BD130" i="24"/>
  <c r="BE130" i="24"/>
  <c r="BF130" i="24"/>
  <c r="BG130" i="24"/>
  <c r="BH130" i="24"/>
  <c r="BI130" i="24"/>
  <c r="BJ130" i="24"/>
  <c r="BK130" i="24"/>
  <c r="BL130" i="24"/>
  <c r="BM130" i="24"/>
  <c r="BN130" i="24"/>
  <c r="BO130" i="24"/>
  <c r="BP130" i="24"/>
  <c r="BQ130" i="24"/>
  <c r="BR130" i="24"/>
  <c r="BS130" i="24"/>
  <c r="BT130" i="24"/>
  <c r="BU130" i="24"/>
  <c r="BV130" i="24"/>
  <c r="BW130" i="24"/>
  <c r="BX130" i="24"/>
  <c r="BY130" i="24"/>
  <c r="BZ130" i="24"/>
  <c r="CA130" i="24"/>
  <c r="CB130" i="24"/>
  <c r="CC130" i="24"/>
  <c r="CD130" i="24"/>
  <c r="CE130" i="24"/>
  <c r="CF130" i="24"/>
  <c r="CG130" i="24"/>
  <c r="CH130" i="24"/>
  <c r="CI130" i="24"/>
  <c r="CJ130" i="24"/>
  <c r="CK130" i="24"/>
  <c r="CL130" i="24"/>
  <c r="CM130" i="24"/>
  <c r="CN130" i="24"/>
  <c r="CO130" i="24"/>
  <c r="CP130" i="24"/>
  <c r="CQ130" i="24"/>
  <c r="CR130" i="24"/>
  <c r="CS130" i="24"/>
  <c r="CT130" i="24"/>
  <c r="CU130" i="24"/>
  <c r="CV130" i="24"/>
  <c r="CW130" i="24"/>
  <c r="CX130" i="24"/>
  <c r="CY130" i="24"/>
  <c r="CZ130" i="24"/>
  <c r="DA130" i="24"/>
  <c r="DB130" i="24"/>
  <c r="DC130" i="24"/>
  <c r="DD130" i="24"/>
  <c r="DE130" i="24"/>
  <c r="DF130" i="24"/>
  <c r="DG130" i="24"/>
  <c r="DH130" i="24"/>
  <c r="DI130" i="24"/>
  <c r="DJ130" i="24"/>
  <c r="DK130" i="24"/>
  <c r="DL130" i="24"/>
  <c r="DM130" i="24"/>
  <c r="DN130" i="24"/>
  <c r="DO130" i="24"/>
  <c r="DP130" i="24"/>
  <c r="DQ130" i="24"/>
  <c r="DR130" i="24"/>
  <c r="DS130" i="24"/>
  <c r="DT130" i="24"/>
  <c r="DU130" i="24"/>
  <c r="DV130" i="24"/>
  <c r="DW130" i="24"/>
  <c r="DX130" i="24"/>
  <c r="DY130" i="24"/>
  <c r="DZ130" i="24"/>
  <c r="EA130" i="24"/>
  <c r="EB130" i="24"/>
  <c r="EC130" i="24"/>
  <c r="ED130" i="24"/>
  <c r="EE130" i="24"/>
  <c r="EF130" i="24"/>
  <c r="EG130" i="24"/>
  <c r="EH130" i="24"/>
  <c r="EI130" i="24"/>
  <c r="EJ130" i="24"/>
  <c r="EK130" i="24"/>
  <c r="EL130" i="24"/>
  <c r="EM130" i="24"/>
  <c r="EN130" i="24"/>
  <c r="EO130" i="24"/>
  <c r="EP130" i="24"/>
  <c r="EQ130" i="24"/>
  <c r="ER130" i="24"/>
  <c r="ES130" i="24"/>
  <c r="ET130" i="24"/>
  <c r="EU130" i="24"/>
  <c r="EV130" i="24"/>
  <c r="EW130" i="24"/>
  <c r="EX130" i="24"/>
  <c r="EY130" i="24"/>
  <c r="EZ130" i="24"/>
  <c r="FA130" i="24"/>
  <c r="FB130" i="24"/>
  <c r="FC130" i="24"/>
  <c r="FD130" i="24"/>
  <c r="FE130" i="24"/>
  <c r="FF130" i="24"/>
  <c r="FG130" i="24"/>
  <c r="FH130" i="24"/>
  <c r="FI130" i="24"/>
  <c r="FJ130" i="24"/>
  <c r="FK130" i="24"/>
  <c r="FL130" i="24"/>
  <c r="FM130" i="24"/>
  <c r="FN130" i="24"/>
  <c r="FO130" i="24"/>
  <c r="FP130" i="24"/>
  <c r="FQ130" i="24"/>
  <c r="FR130" i="24"/>
  <c r="FS130" i="24"/>
  <c r="FT130" i="24"/>
  <c r="FU130" i="24"/>
  <c r="FV130" i="24"/>
  <c r="FW130" i="24"/>
  <c r="FX130" i="24"/>
  <c r="FY130" i="24"/>
  <c r="FZ130" i="24"/>
  <c r="GA130" i="24"/>
  <c r="GB130" i="24"/>
  <c r="GC130" i="24"/>
  <c r="GD130" i="24"/>
  <c r="GE130" i="24"/>
  <c r="GF130" i="24"/>
  <c r="GG130" i="24"/>
  <c r="GH130" i="24"/>
  <c r="GI130" i="24"/>
  <c r="GJ130" i="24"/>
  <c r="GK130" i="24"/>
  <c r="GL130" i="24"/>
  <c r="GM130" i="24"/>
  <c r="GN130" i="24"/>
  <c r="GO130" i="24"/>
  <c r="GP130" i="24"/>
  <c r="GQ130" i="24"/>
  <c r="GR130" i="24"/>
  <c r="GS130" i="24"/>
  <c r="GT130" i="24"/>
  <c r="D131" i="24"/>
  <c r="E131" i="24"/>
  <c r="F131" i="24"/>
  <c r="G131" i="24"/>
  <c r="H131" i="24"/>
  <c r="I131" i="24"/>
  <c r="J131" i="24"/>
  <c r="K131" i="24"/>
  <c r="L131" i="24"/>
  <c r="M131" i="24"/>
  <c r="N131" i="24"/>
  <c r="O131" i="24"/>
  <c r="P131" i="24"/>
  <c r="Q131" i="24"/>
  <c r="R131" i="24"/>
  <c r="S131" i="24"/>
  <c r="T131" i="24"/>
  <c r="U131" i="24"/>
  <c r="V131" i="24"/>
  <c r="W131" i="24"/>
  <c r="X131" i="24"/>
  <c r="Y131" i="24"/>
  <c r="Z131" i="24"/>
  <c r="AA131" i="24"/>
  <c r="AB131" i="24"/>
  <c r="AC131" i="24"/>
  <c r="AD131" i="24"/>
  <c r="AE131" i="24"/>
  <c r="AF131" i="24"/>
  <c r="AG131" i="24"/>
  <c r="AH131" i="24"/>
  <c r="AI131" i="24"/>
  <c r="AJ131" i="24"/>
  <c r="AK131" i="24"/>
  <c r="AL131" i="24"/>
  <c r="AM131" i="24"/>
  <c r="AN131" i="24"/>
  <c r="AO131" i="24"/>
  <c r="AP131" i="24"/>
  <c r="AQ131" i="24"/>
  <c r="AR131" i="24"/>
  <c r="AS131" i="24"/>
  <c r="AT131" i="24"/>
  <c r="AU131" i="24"/>
  <c r="AV131" i="24"/>
  <c r="AW131" i="24"/>
  <c r="AX131" i="24"/>
  <c r="AY131" i="24"/>
  <c r="AZ131" i="24"/>
  <c r="BA131" i="24"/>
  <c r="BB131" i="24"/>
  <c r="BC131" i="24"/>
  <c r="BD131" i="24"/>
  <c r="BE131" i="24"/>
  <c r="BF131" i="24"/>
  <c r="BG131" i="24"/>
  <c r="BH131" i="24"/>
  <c r="BI131" i="24"/>
  <c r="BJ131" i="24"/>
  <c r="BK131" i="24"/>
  <c r="BL131" i="24"/>
  <c r="BM131" i="24"/>
  <c r="BN131" i="24"/>
  <c r="BO131" i="24"/>
  <c r="BP131" i="24"/>
  <c r="BQ131" i="24"/>
  <c r="BR131" i="24"/>
  <c r="BS131" i="24"/>
  <c r="BT131" i="24"/>
  <c r="BU131" i="24"/>
  <c r="BV131" i="24"/>
  <c r="BW131" i="24"/>
  <c r="BX131" i="24"/>
  <c r="BY131" i="24"/>
  <c r="BZ131" i="24"/>
  <c r="CA131" i="24"/>
  <c r="CB131" i="24"/>
  <c r="CC131" i="24"/>
  <c r="CD131" i="24"/>
  <c r="CE131" i="24"/>
  <c r="CF131" i="24"/>
  <c r="CG131" i="24"/>
  <c r="CH131" i="24"/>
  <c r="CI131" i="24"/>
  <c r="CJ131" i="24"/>
  <c r="CK131" i="24"/>
  <c r="CL131" i="24"/>
  <c r="CM131" i="24"/>
  <c r="CN131" i="24"/>
  <c r="CO131" i="24"/>
  <c r="CP131" i="24"/>
  <c r="CQ131" i="24"/>
  <c r="CR131" i="24"/>
  <c r="CS131" i="24"/>
  <c r="CT131" i="24"/>
  <c r="CU131" i="24"/>
  <c r="CV131" i="24"/>
  <c r="CW131" i="24"/>
  <c r="CX131" i="24"/>
  <c r="CY131" i="24"/>
  <c r="CZ131" i="24"/>
  <c r="DA131" i="24"/>
  <c r="DB131" i="24"/>
  <c r="DC131" i="24"/>
  <c r="DD131" i="24"/>
  <c r="DE131" i="24"/>
  <c r="DF131" i="24"/>
  <c r="DG131" i="24"/>
  <c r="DH131" i="24"/>
  <c r="DI131" i="24"/>
  <c r="DJ131" i="24"/>
  <c r="DK131" i="24"/>
  <c r="DL131" i="24"/>
  <c r="DM131" i="24"/>
  <c r="DN131" i="24"/>
  <c r="DO131" i="24"/>
  <c r="DP131" i="24"/>
  <c r="DQ131" i="24"/>
  <c r="DR131" i="24"/>
  <c r="DS131" i="24"/>
  <c r="DT131" i="24"/>
  <c r="DU131" i="24"/>
  <c r="DV131" i="24"/>
  <c r="DW131" i="24"/>
  <c r="DX131" i="24"/>
  <c r="DY131" i="24"/>
  <c r="DZ131" i="24"/>
  <c r="EA131" i="24"/>
  <c r="EB131" i="24"/>
  <c r="EC131" i="24"/>
  <c r="ED131" i="24"/>
  <c r="EE131" i="24"/>
  <c r="EF131" i="24"/>
  <c r="EG131" i="24"/>
  <c r="EH131" i="24"/>
  <c r="EI131" i="24"/>
  <c r="EJ131" i="24"/>
  <c r="EK131" i="24"/>
  <c r="EL131" i="24"/>
  <c r="EM131" i="24"/>
  <c r="EN131" i="24"/>
  <c r="EO131" i="24"/>
  <c r="EP131" i="24"/>
  <c r="EQ131" i="24"/>
  <c r="ER131" i="24"/>
  <c r="ES131" i="24"/>
  <c r="ET131" i="24"/>
  <c r="EU131" i="24"/>
  <c r="EV131" i="24"/>
  <c r="EW131" i="24"/>
  <c r="EX131" i="24"/>
  <c r="EY131" i="24"/>
  <c r="EZ131" i="24"/>
  <c r="FA131" i="24"/>
  <c r="FB131" i="24"/>
  <c r="FC131" i="24"/>
  <c r="FD131" i="24"/>
  <c r="FE131" i="24"/>
  <c r="FF131" i="24"/>
  <c r="FG131" i="24"/>
  <c r="FH131" i="24"/>
  <c r="FI131" i="24"/>
  <c r="FJ131" i="24"/>
  <c r="FK131" i="24"/>
  <c r="FL131" i="24"/>
  <c r="FM131" i="24"/>
  <c r="FN131" i="24"/>
  <c r="FO131" i="24"/>
  <c r="FP131" i="24"/>
  <c r="FQ131" i="24"/>
  <c r="FR131" i="24"/>
  <c r="FS131" i="24"/>
  <c r="FT131" i="24"/>
  <c r="FU131" i="24"/>
  <c r="FV131" i="24"/>
  <c r="FW131" i="24"/>
  <c r="FX131" i="24"/>
  <c r="FY131" i="24"/>
  <c r="FZ131" i="24"/>
  <c r="GA131" i="24"/>
  <c r="GB131" i="24"/>
  <c r="GC131" i="24"/>
  <c r="GD131" i="24"/>
  <c r="GE131" i="24"/>
  <c r="GF131" i="24"/>
  <c r="GG131" i="24"/>
  <c r="GH131" i="24"/>
  <c r="GI131" i="24"/>
  <c r="GJ131" i="24"/>
  <c r="GK131" i="24"/>
  <c r="GL131" i="24"/>
  <c r="GM131" i="24"/>
  <c r="GN131" i="24"/>
  <c r="GO131" i="24"/>
  <c r="GP131" i="24"/>
  <c r="GQ131" i="24"/>
  <c r="GR131" i="24"/>
  <c r="GS131" i="24"/>
  <c r="GT131" i="24"/>
  <c r="D132" i="24"/>
  <c r="E132" i="24"/>
  <c r="F132" i="24"/>
  <c r="G132" i="24"/>
  <c r="H132" i="24"/>
  <c r="I132" i="24"/>
  <c r="J132" i="24"/>
  <c r="K132" i="24"/>
  <c r="L132" i="24"/>
  <c r="M132" i="24"/>
  <c r="N132" i="24"/>
  <c r="O132" i="24"/>
  <c r="P132" i="24"/>
  <c r="Q132" i="24"/>
  <c r="R132" i="24"/>
  <c r="S132" i="24"/>
  <c r="T132" i="24"/>
  <c r="U132" i="24"/>
  <c r="V132" i="24"/>
  <c r="W132" i="24"/>
  <c r="X132" i="24"/>
  <c r="Y132" i="24"/>
  <c r="Z132" i="24"/>
  <c r="AA132" i="24"/>
  <c r="AB132" i="24"/>
  <c r="AC132" i="24"/>
  <c r="AD132" i="24"/>
  <c r="AE132" i="24"/>
  <c r="AF132" i="24"/>
  <c r="AG132" i="24"/>
  <c r="AH132" i="24"/>
  <c r="AI132" i="24"/>
  <c r="AJ132" i="24"/>
  <c r="AK132" i="24"/>
  <c r="AL132" i="24"/>
  <c r="AM132" i="24"/>
  <c r="AN132" i="24"/>
  <c r="AO132" i="24"/>
  <c r="AP132" i="24"/>
  <c r="AQ132" i="24"/>
  <c r="AR132" i="24"/>
  <c r="AS132" i="24"/>
  <c r="AT132" i="24"/>
  <c r="AU132" i="24"/>
  <c r="AV132" i="24"/>
  <c r="AW132" i="24"/>
  <c r="AX132" i="24"/>
  <c r="AY132" i="24"/>
  <c r="AZ132" i="24"/>
  <c r="BA132" i="24"/>
  <c r="BB132" i="24"/>
  <c r="BC132" i="24"/>
  <c r="BD132" i="24"/>
  <c r="BE132" i="24"/>
  <c r="BF132" i="24"/>
  <c r="BG132" i="24"/>
  <c r="BH132" i="24"/>
  <c r="BI132" i="24"/>
  <c r="BJ132" i="24"/>
  <c r="BK132" i="24"/>
  <c r="BL132" i="24"/>
  <c r="BM132" i="24"/>
  <c r="BN132" i="24"/>
  <c r="BO132" i="24"/>
  <c r="BP132" i="24"/>
  <c r="BQ132" i="24"/>
  <c r="BR132" i="24"/>
  <c r="BS132" i="24"/>
  <c r="BT132" i="24"/>
  <c r="BU132" i="24"/>
  <c r="BV132" i="24"/>
  <c r="BW132" i="24"/>
  <c r="BX132" i="24"/>
  <c r="BY132" i="24"/>
  <c r="BZ132" i="24"/>
  <c r="CA132" i="24"/>
  <c r="CB132" i="24"/>
  <c r="CC132" i="24"/>
  <c r="CD132" i="24"/>
  <c r="CE132" i="24"/>
  <c r="CF132" i="24"/>
  <c r="CG132" i="24"/>
  <c r="CH132" i="24"/>
  <c r="CI132" i="24"/>
  <c r="CJ132" i="24"/>
  <c r="CK132" i="24"/>
  <c r="CL132" i="24"/>
  <c r="CM132" i="24"/>
  <c r="CN132" i="24"/>
  <c r="CO132" i="24"/>
  <c r="CP132" i="24"/>
  <c r="CQ132" i="24"/>
  <c r="CR132" i="24"/>
  <c r="CS132" i="24"/>
  <c r="CT132" i="24"/>
  <c r="CU132" i="24"/>
  <c r="CV132" i="24"/>
  <c r="CW132" i="24"/>
  <c r="CX132" i="24"/>
  <c r="CY132" i="24"/>
  <c r="CZ132" i="24"/>
  <c r="DA132" i="24"/>
  <c r="DB132" i="24"/>
  <c r="DC132" i="24"/>
  <c r="DD132" i="24"/>
  <c r="DE132" i="24"/>
  <c r="DF132" i="24"/>
  <c r="DG132" i="24"/>
  <c r="DH132" i="24"/>
  <c r="DI132" i="24"/>
  <c r="DJ132" i="24"/>
  <c r="DK132" i="24"/>
  <c r="DL132" i="24"/>
  <c r="DM132" i="24"/>
  <c r="DN132" i="24"/>
  <c r="DO132" i="24"/>
  <c r="DP132" i="24"/>
  <c r="DQ132" i="24"/>
  <c r="DR132" i="24"/>
  <c r="DS132" i="24"/>
  <c r="DT132" i="24"/>
  <c r="DU132" i="24"/>
  <c r="DV132" i="24"/>
  <c r="DW132" i="24"/>
  <c r="DX132" i="24"/>
  <c r="DY132" i="24"/>
  <c r="DZ132" i="24"/>
  <c r="EA132" i="24"/>
  <c r="EB132" i="24"/>
  <c r="EC132" i="24"/>
  <c r="ED132" i="24"/>
  <c r="EE132" i="24"/>
  <c r="EF132" i="24"/>
  <c r="EG132" i="24"/>
  <c r="EH132" i="24"/>
  <c r="EI132" i="24"/>
  <c r="EJ132" i="24"/>
  <c r="EK132" i="24"/>
  <c r="EL132" i="24"/>
  <c r="EM132" i="24"/>
  <c r="EN132" i="24"/>
  <c r="EO132" i="24"/>
  <c r="EP132" i="24"/>
  <c r="EQ132" i="24"/>
  <c r="ER132" i="24"/>
  <c r="ES132" i="24"/>
  <c r="ET132" i="24"/>
  <c r="EU132" i="24"/>
  <c r="EV132" i="24"/>
  <c r="EW132" i="24"/>
  <c r="EX132" i="24"/>
  <c r="EY132" i="24"/>
  <c r="EZ132" i="24"/>
  <c r="FA132" i="24"/>
  <c r="FB132" i="24"/>
  <c r="FC132" i="24"/>
  <c r="FD132" i="24"/>
  <c r="FE132" i="24"/>
  <c r="FF132" i="24"/>
  <c r="FG132" i="24"/>
  <c r="FH132" i="24"/>
  <c r="FI132" i="24"/>
  <c r="FJ132" i="24"/>
  <c r="FK132" i="24"/>
  <c r="FL132" i="24"/>
  <c r="FM132" i="24"/>
  <c r="FN132" i="24"/>
  <c r="FO132" i="24"/>
  <c r="FP132" i="24"/>
  <c r="FQ132" i="24"/>
  <c r="FR132" i="24"/>
  <c r="FS132" i="24"/>
  <c r="FT132" i="24"/>
  <c r="FU132" i="24"/>
  <c r="FV132" i="24"/>
  <c r="FW132" i="24"/>
  <c r="FX132" i="24"/>
  <c r="FY132" i="24"/>
  <c r="FZ132" i="24"/>
  <c r="GA132" i="24"/>
  <c r="GB132" i="24"/>
  <c r="GC132" i="24"/>
  <c r="GD132" i="24"/>
  <c r="GE132" i="24"/>
  <c r="GF132" i="24"/>
  <c r="GG132" i="24"/>
  <c r="GH132" i="24"/>
  <c r="GI132" i="24"/>
  <c r="GJ132" i="24"/>
  <c r="GK132" i="24"/>
  <c r="GL132" i="24"/>
  <c r="GM132" i="24"/>
  <c r="GN132" i="24"/>
  <c r="GO132" i="24"/>
  <c r="GP132" i="24"/>
  <c r="GQ132" i="24"/>
  <c r="GR132" i="24"/>
  <c r="GS132" i="24"/>
  <c r="GT132" i="24"/>
  <c r="D133" i="24"/>
  <c r="E133" i="24"/>
  <c r="F133" i="24"/>
  <c r="G133" i="24"/>
  <c r="H133" i="24"/>
  <c r="I133" i="24"/>
  <c r="J133" i="24"/>
  <c r="K133" i="24"/>
  <c r="L133" i="24"/>
  <c r="M133" i="24"/>
  <c r="N133" i="24"/>
  <c r="O133" i="24"/>
  <c r="P133" i="24"/>
  <c r="Q133" i="24"/>
  <c r="R133" i="24"/>
  <c r="S133" i="24"/>
  <c r="T133" i="24"/>
  <c r="U133" i="24"/>
  <c r="V133" i="24"/>
  <c r="W133" i="24"/>
  <c r="X133" i="24"/>
  <c r="Y133" i="24"/>
  <c r="Z133" i="24"/>
  <c r="AA133" i="24"/>
  <c r="AB133" i="24"/>
  <c r="AC133" i="24"/>
  <c r="AD133" i="24"/>
  <c r="AE133" i="24"/>
  <c r="AF133" i="24"/>
  <c r="AG133" i="24"/>
  <c r="AH133" i="24"/>
  <c r="AI133" i="24"/>
  <c r="AJ133" i="24"/>
  <c r="AK133" i="24"/>
  <c r="AL133" i="24"/>
  <c r="AM133" i="24"/>
  <c r="AN133" i="24"/>
  <c r="AO133" i="24"/>
  <c r="AP133" i="24"/>
  <c r="AQ133" i="24"/>
  <c r="AR133" i="24"/>
  <c r="AS133" i="24"/>
  <c r="AT133" i="24"/>
  <c r="AU133" i="24"/>
  <c r="AV133" i="24"/>
  <c r="AW133" i="24"/>
  <c r="AX133" i="24"/>
  <c r="AY133" i="24"/>
  <c r="AZ133" i="24"/>
  <c r="BA133" i="24"/>
  <c r="BB133" i="24"/>
  <c r="BC133" i="24"/>
  <c r="BD133" i="24"/>
  <c r="BE133" i="24"/>
  <c r="BF133" i="24"/>
  <c r="BG133" i="24"/>
  <c r="BH133" i="24"/>
  <c r="BI133" i="24"/>
  <c r="BJ133" i="24"/>
  <c r="BK133" i="24"/>
  <c r="BL133" i="24"/>
  <c r="BM133" i="24"/>
  <c r="BN133" i="24"/>
  <c r="BO133" i="24"/>
  <c r="BP133" i="24"/>
  <c r="BQ133" i="24"/>
  <c r="BR133" i="24"/>
  <c r="BS133" i="24"/>
  <c r="BT133" i="24"/>
  <c r="BU133" i="24"/>
  <c r="BV133" i="24"/>
  <c r="BW133" i="24"/>
  <c r="BX133" i="24"/>
  <c r="BY133" i="24"/>
  <c r="BZ133" i="24"/>
  <c r="CA133" i="24"/>
  <c r="CB133" i="24"/>
  <c r="CC133" i="24"/>
  <c r="CD133" i="24"/>
  <c r="CE133" i="24"/>
  <c r="CF133" i="24"/>
  <c r="CG133" i="24"/>
  <c r="CH133" i="24"/>
  <c r="CI133" i="24"/>
  <c r="CJ133" i="24"/>
  <c r="CK133" i="24"/>
  <c r="CL133" i="24"/>
  <c r="CM133" i="24"/>
  <c r="CN133" i="24"/>
  <c r="CO133" i="24"/>
  <c r="CP133" i="24"/>
  <c r="CQ133" i="24"/>
  <c r="CR133" i="24"/>
  <c r="CS133" i="24"/>
  <c r="CT133" i="24"/>
  <c r="CU133" i="24"/>
  <c r="CV133" i="24"/>
  <c r="CW133" i="24"/>
  <c r="CX133" i="24"/>
  <c r="CY133" i="24"/>
  <c r="CZ133" i="24"/>
  <c r="DA133" i="24"/>
  <c r="DB133" i="24"/>
  <c r="DC133" i="24"/>
  <c r="DD133" i="24"/>
  <c r="DE133" i="24"/>
  <c r="DF133" i="24"/>
  <c r="DG133" i="24"/>
  <c r="DH133" i="24"/>
  <c r="DI133" i="24"/>
  <c r="DJ133" i="24"/>
  <c r="DK133" i="24"/>
  <c r="DL133" i="24"/>
  <c r="DM133" i="24"/>
  <c r="DN133" i="24"/>
  <c r="DO133" i="24"/>
  <c r="DP133" i="24"/>
  <c r="DQ133" i="24"/>
  <c r="DR133" i="24"/>
  <c r="DS133" i="24"/>
  <c r="DT133" i="24"/>
  <c r="DU133" i="24"/>
  <c r="DV133" i="24"/>
  <c r="DW133" i="24"/>
  <c r="DX133" i="24"/>
  <c r="DY133" i="24"/>
  <c r="DZ133" i="24"/>
  <c r="EA133" i="24"/>
  <c r="EB133" i="24"/>
  <c r="EC133" i="24"/>
  <c r="ED133" i="24"/>
  <c r="EE133" i="24"/>
  <c r="EF133" i="24"/>
  <c r="EG133" i="24"/>
  <c r="EH133" i="24"/>
  <c r="EI133" i="24"/>
  <c r="EJ133" i="24"/>
  <c r="EK133" i="24"/>
  <c r="EL133" i="24"/>
  <c r="EM133" i="24"/>
  <c r="EN133" i="24"/>
  <c r="EO133" i="24"/>
  <c r="EP133" i="24"/>
  <c r="EQ133" i="24"/>
  <c r="ER133" i="24"/>
  <c r="ES133" i="24"/>
  <c r="ET133" i="24"/>
  <c r="EU133" i="24"/>
  <c r="EV133" i="24"/>
  <c r="EW133" i="24"/>
  <c r="EX133" i="24"/>
  <c r="EY133" i="24"/>
  <c r="EZ133" i="24"/>
  <c r="FA133" i="24"/>
  <c r="FB133" i="24"/>
  <c r="FC133" i="24"/>
  <c r="FD133" i="24"/>
  <c r="FE133" i="24"/>
  <c r="FF133" i="24"/>
  <c r="FG133" i="24"/>
  <c r="FH133" i="24"/>
  <c r="FI133" i="24"/>
  <c r="FJ133" i="24"/>
  <c r="FK133" i="24"/>
  <c r="FL133" i="24"/>
  <c r="FM133" i="24"/>
  <c r="FN133" i="24"/>
  <c r="FO133" i="24"/>
  <c r="FP133" i="24"/>
  <c r="FQ133" i="24"/>
  <c r="FR133" i="24"/>
  <c r="FS133" i="24"/>
  <c r="FT133" i="24"/>
  <c r="FU133" i="24"/>
  <c r="FV133" i="24"/>
  <c r="FW133" i="24"/>
  <c r="FX133" i="24"/>
  <c r="FY133" i="24"/>
  <c r="FZ133" i="24"/>
  <c r="GA133" i="24"/>
  <c r="GB133" i="24"/>
  <c r="GC133" i="24"/>
  <c r="GD133" i="24"/>
  <c r="GE133" i="24"/>
  <c r="GF133" i="24"/>
  <c r="GG133" i="24"/>
  <c r="GH133" i="24"/>
  <c r="GI133" i="24"/>
  <c r="GJ133" i="24"/>
  <c r="GK133" i="24"/>
  <c r="GL133" i="24"/>
  <c r="GM133" i="24"/>
  <c r="GN133" i="24"/>
  <c r="GO133" i="24"/>
  <c r="GP133" i="24"/>
  <c r="GQ133" i="24"/>
  <c r="GR133" i="24"/>
  <c r="GS133" i="24"/>
  <c r="GT133"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10" i="24"/>
  <c r="C80" i="24"/>
  <c r="D80" i="24"/>
  <c r="E80" i="24"/>
  <c r="F80" i="24"/>
  <c r="G80" i="24"/>
  <c r="H80" i="24"/>
  <c r="I80" i="24"/>
  <c r="J80" i="24"/>
  <c r="K80" i="24"/>
  <c r="L80" i="24"/>
  <c r="M80" i="24"/>
  <c r="N80" i="24"/>
  <c r="O80" i="24"/>
  <c r="P80" i="24"/>
  <c r="Q80" i="24"/>
  <c r="R80" i="24"/>
  <c r="S80" i="24"/>
  <c r="T80" i="24"/>
  <c r="U80" i="24"/>
  <c r="V80" i="24"/>
  <c r="W80" i="24"/>
  <c r="X80" i="24"/>
  <c r="Y80" i="24"/>
  <c r="Z80" i="24"/>
  <c r="AA80" i="24"/>
  <c r="AB80" i="24"/>
  <c r="AC80" i="24"/>
  <c r="AD80" i="24"/>
  <c r="AE80" i="24"/>
  <c r="AF80" i="24"/>
  <c r="AG80" i="24"/>
  <c r="AH80" i="24"/>
  <c r="AI80" i="24"/>
  <c r="AJ80" i="24"/>
  <c r="AK80" i="24"/>
  <c r="AL80" i="24"/>
  <c r="AM80" i="24"/>
  <c r="AN80" i="24"/>
  <c r="AO80" i="24"/>
  <c r="AP80" i="24"/>
  <c r="AQ80" i="24"/>
  <c r="AR80" i="24"/>
  <c r="AS80" i="24"/>
  <c r="AT80" i="24"/>
  <c r="AU80" i="24"/>
  <c r="AV80" i="24"/>
  <c r="AW80" i="24"/>
  <c r="AX80" i="24"/>
  <c r="AY80" i="24"/>
  <c r="AZ80" i="24"/>
  <c r="BA80" i="24"/>
  <c r="BB80" i="24"/>
  <c r="BC80" i="24"/>
  <c r="BD80" i="24"/>
  <c r="BE80" i="24"/>
  <c r="BF80" i="24"/>
  <c r="BG80" i="24"/>
  <c r="BH80" i="24"/>
  <c r="BI80" i="24"/>
  <c r="BJ80" i="24"/>
  <c r="BK80" i="24"/>
  <c r="BL80" i="24"/>
  <c r="BM80" i="24"/>
  <c r="BN80" i="24"/>
  <c r="BO80" i="24"/>
  <c r="BP80" i="24"/>
  <c r="BQ80" i="24"/>
  <c r="BR80" i="24"/>
  <c r="BS80" i="24"/>
  <c r="BT80" i="24"/>
  <c r="BU80" i="24"/>
  <c r="BV80" i="24"/>
  <c r="BW80" i="24"/>
  <c r="BX80" i="24"/>
  <c r="BY80" i="24"/>
  <c r="BZ80" i="24"/>
  <c r="CA80" i="24"/>
  <c r="CB80" i="24"/>
  <c r="CC80" i="24"/>
  <c r="CD80" i="24"/>
  <c r="CE80" i="24"/>
  <c r="CF80" i="24"/>
  <c r="CG80" i="24"/>
  <c r="CH80" i="24"/>
  <c r="CI80" i="24"/>
  <c r="CJ80" i="24"/>
  <c r="CK80" i="24"/>
  <c r="CL80" i="24"/>
  <c r="CM80" i="24"/>
  <c r="CN80" i="24"/>
  <c r="CO80" i="24"/>
  <c r="CP80" i="24"/>
  <c r="CQ80" i="24"/>
  <c r="CR80" i="24"/>
  <c r="CS80" i="24"/>
  <c r="CT80" i="24"/>
  <c r="CU80" i="24"/>
  <c r="CV80" i="24"/>
  <c r="CW80" i="24"/>
  <c r="CX80" i="24"/>
  <c r="CY80" i="24"/>
  <c r="CZ80" i="24"/>
  <c r="DA80" i="24"/>
  <c r="DB80" i="24"/>
  <c r="DC80" i="24"/>
  <c r="DD80" i="24"/>
  <c r="DE80" i="24"/>
  <c r="DF80" i="24"/>
  <c r="DG80" i="24"/>
  <c r="DH80" i="24"/>
  <c r="DI80" i="24"/>
  <c r="DJ80" i="24"/>
  <c r="DK80" i="24"/>
  <c r="DL80" i="24"/>
  <c r="DM80" i="24"/>
  <c r="DN80" i="24"/>
  <c r="DO80" i="24"/>
  <c r="DP80" i="24"/>
  <c r="DQ80" i="24"/>
  <c r="DR80" i="24"/>
  <c r="DS80" i="24"/>
  <c r="DT80" i="24"/>
  <c r="DU80" i="24"/>
  <c r="DV80" i="24"/>
  <c r="DW80" i="24"/>
  <c r="DX80" i="24"/>
  <c r="DY80" i="24"/>
  <c r="DZ80" i="24"/>
  <c r="EA80" i="24"/>
  <c r="EB80" i="24"/>
  <c r="EC80" i="24"/>
  <c r="ED80" i="24"/>
  <c r="EE80" i="24"/>
  <c r="EF80" i="24"/>
  <c r="EG80" i="24"/>
  <c r="EH80" i="24"/>
  <c r="EI80" i="24"/>
  <c r="EJ80" i="24"/>
  <c r="EK80" i="24"/>
  <c r="EL80" i="24"/>
  <c r="EM80" i="24"/>
  <c r="EN80" i="24"/>
  <c r="EO80" i="24"/>
  <c r="EP80" i="24"/>
  <c r="EQ80" i="24"/>
  <c r="ER80" i="24"/>
  <c r="ES80" i="24"/>
  <c r="ET80" i="24"/>
  <c r="EU80" i="24"/>
  <c r="EV80" i="24"/>
  <c r="EW80" i="24"/>
  <c r="EX80" i="24"/>
  <c r="EY80" i="24"/>
  <c r="EZ80" i="24"/>
  <c r="FA80" i="24"/>
  <c r="FB80" i="24"/>
  <c r="FC80" i="24"/>
  <c r="FD80" i="24"/>
  <c r="FE80" i="24"/>
  <c r="FF80" i="24"/>
  <c r="FG80" i="24"/>
  <c r="FH80" i="24"/>
  <c r="FI80" i="24"/>
  <c r="FJ80" i="24"/>
  <c r="FK80" i="24"/>
  <c r="FL80" i="24"/>
  <c r="FM80" i="24"/>
  <c r="FN80" i="24"/>
  <c r="FO80" i="24"/>
  <c r="FP80" i="24"/>
  <c r="FQ80" i="24"/>
  <c r="FR80" i="24"/>
  <c r="FS80" i="24"/>
  <c r="FT80" i="24"/>
  <c r="FU80" i="24"/>
  <c r="FV80" i="24"/>
  <c r="FW80" i="24"/>
  <c r="FX80" i="24"/>
  <c r="FY80" i="24"/>
  <c r="FZ80" i="24"/>
  <c r="GA80" i="24"/>
  <c r="GB80" i="24"/>
  <c r="GC80" i="24"/>
  <c r="GD80" i="24"/>
  <c r="GE80" i="24"/>
  <c r="GF80" i="24"/>
  <c r="GG80" i="24"/>
  <c r="GH80" i="24"/>
  <c r="GI80" i="24"/>
  <c r="GJ80" i="24"/>
  <c r="GK80" i="24"/>
  <c r="GL80" i="24"/>
  <c r="GM80" i="24"/>
  <c r="GN80" i="24"/>
  <c r="GO80" i="24"/>
  <c r="GP80" i="24"/>
  <c r="GQ80" i="24"/>
  <c r="GR80" i="24"/>
  <c r="GS80" i="24"/>
  <c r="GT80" i="24"/>
  <c r="C81" i="24"/>
  <c r="D81" i="24"/>
  <c r="E81" i="24"/>
  <c r="F81" i="24"/>
  <c r="G81" i="24"/>
  <c r="H81" i="24"/>
  <c r="I81" i="24"/>
  <c r="J81" i="24"/>
  <c r="K81" i="24"/>
  <c r="L81" i="24"/>
  <c r="M81" i="24"/>
  <c r="N81" i="24"/>
  <c r="O81" i="24"/>
  <c r="P81" i="24"/>
  <c r="Q81" i="24"/>
  <c r="R81" i="24"/>
  <c r="S81" i="24"/>
  <c r="T81" i="24"/>
  <c r="U81" i="24"/>
  <c r="V81" i="24"/>
  <c r="W81" i="24"/>
  <c r="X81" i="24"/>
  <c r="Y81" i="24"/>
  <c r="Z81" i="24"/>
  <c r="AA81" i="24"/>
  <c r="AB81" i="24"/>
  <c r="AC81" i="24"/>
  <c r="AD81" i="24"/>
  <c r="AE81" i="24"/>
  <c r="AF81" i="24"/>
  <c r="AG81" i="24"/>
  <c r="AH81" i="24"/>
  <c r="AI81" i="24"/>
  <c r="AJ81" i="24"/>
  <c r="AK81" i="24"/>
  <c r="AL81" i="24"/>
  <c r="AM81" i="24"/>
  <c r="AN81" i="24"/>
  <c r="AO81" i="24"/>
  <c r="AP81" i="24"/>
  <c r="AQ81" i="24"/>
  <c r="AR81" i="24"/>
  <c r="AS81" i="24"/>
  <c r="AT81" i="24"/>
  <c r="AU81" i="24"/>
  <c r="AV81" i="24"/>
  <c r="AW81" i="24"/>
  <c r="AX81" i="24"/>
  <c r="AY81" i="24"/>
  <c r="AZ81" i="24"/>
  <c r="BA81" i="24"/>
  <c r="BB81" i="24"/>
  <c r="BC81" i="24"/>
  <c r="BD81" i="24"/>
  <c r="BE81" i="24"/>
  <c r="BF81" i="24"/>
  <c r="BG81" i="24"/>
  <c r="BH81" i="24"/>
  <c r="BI81" i="24"/>
  <c r="BJ81" i="24"/>
  <c r="BK81" i="24"/>
  <c r="BL81" i="24"/>
  <c r="BM81" i="24"/>
  <c r="BN81" i="24"/>
  <c r="BO81" i="24"/>
  <c r="BP81" i="24"/>
  <c r="BQ81" i="24"/>
  <c r="BR81" i="24"/>
  <c r="BS81" i="24"/>
  <c r="BT81" i="24"/>
  <c r="BU81" i="24"/>
  <c r="BV81" i="24"/>
  <c r="BW81" i="24"/>
  <c r="BX81" i="24"/>
  <c r="BY81" i="24"/>
  <c r="BZ81" i="24"/>
  <c r="CA81" i="24"/>
  <c r="CB81" i="24"/>
  <c r="CC81" i="24"/>
  <c r="CD81" i="24"/>
  <c r="CE81" i="24"/>
  <c r="CF81" i="24"/>
  <c r="CG81" i="24"/>
  <c r="CH81" i="24"/>
  <c r="CI81" i="24"/>
  <c r="CJ81" i="24"/>
  <c r="CK81" i="24"/>
  <c r="CL81" i="24"/>
  <c r="CM81" i="24"/>
  <c r="CN81" i="24"/>
  <c r="CO81" i="24"/>
  <c r="CP81" i="24"/>
  <c r="CQ81" i="24"/>
  <c r="CR81" i="24"/>
  <c r="CS81" i="24"/>
  <c r="CT81" i="24"/>
  <c r="CU81" i="24"/>
  <c r="CV81" i="24"/>
  <c r="CW81" i="24"/>
  <c r="CX81" i="24"/>
  <c r="CY81" i="24"/>
  <c r="CZ81" i="24"/>
  <c r="DA81" i="24"/>
  <c r="DB81" i="24"/>
  <c r="DC81" i="24"/>
  <c r="DD81" i="24"/>
  <c r="DE81" i="24"/>
  <c r="DF81" i="24"/>
  <c r="DG81" i="24"/>
  <c r="DH81" i="24"/>
  <c r="DI81" i="24"/>
  <c r="DJ81" i="24"/>
  <c r="DK81" i="24"/>
  <c r="DL81" i="24"/>
  <c r="DM81" i="24"/>
  <c r="DN81" i="24"/>
  <c r="DO81" i="24"/>
  <c r="DP81" i="24"/>
  <c r="DQ81" i="24"/>
  <c r="DR81" i="24"/>
  <c r="DS81" i="24"/>
  <c r="DT81" i="24"/>
  <c r="DU81" i="24"/>
  <c r="DV81" i="24"/>
  <c r="DW81" i="24"/>
  <c r="DX81" i="24"/>
  <c r="DY81" i="24"/>
  <c r="DZ81" i="24"/>
  <c r="EA81" i="24"/>
  <c r="EB81" i="24"/>
  <c r="EC81" i="24"/>
  <c r="ED81" i="24"/>
  <c r="EE81" i="24"/>
  <c r="EF81" i="24"/>
  <c r="EG81" i="24"/>
  <c r="EH81" i="24"/>
  <c r="EI81" i="24"/>
  <c r="EJ81" i="24"/>
  <c r="EK81" i="24"/>
  <c r="EL81" i="24"/>
  <c r="EM81" i="24"/>
  <c r="EN81" i="24"/>
  <c r="EO81" i="24"/>
  <c r="EP81" i="24"/>
  <c r="EQ81" i="24"/>
  <c r="ER81" i="24"/>
  <c r="ES81" i="24"/>
  <c r="ET81" i="24"/>
  <c r="EU81" i="24"/>
  <c r="EV81" i="24"/>
  <c r="EW81" i="24"/>
  <c r="EX81" i="24"/>
  <c r="EY81" i="24"/>
  <c r="EZ81" i="24"/>
  <c r="FA81" i="24"/>
  <c r="FB81" i="24"/>
  <c r="FC81" i="24"/>
  <c r="FD81" i="24"/>
  <c r="FE81" i="24"/>
  <c r="FF81" i="24"/>
  <c r="FG81" i="24"/>
  <c r="FH81" i="24"/>
  <c r="FI81" i="24"/>
  <c r="FJ81" i="24"/>
  <c r="FK81" i="24"/>
  <c r="FL81" i="24"/>
  <c r="FM81" i="24"/>
  <c r="FN81" i="24"/>
  <c r="FO81" i="24"/>
  <c r="FP81" i="24"/>
  <c r="FQ81" i="24"/>
  <c r="FR81" i="24"/>
  <c r="FS81" i="24"/>
  <c r="FT81" i="24"/>
  <c r="FU81" i="24"/>
  <c r="FV81" i="24"/>
  <c r="FW81" i="24"/>
  <c r="FX81" i="24"/>
  <c r="FY81" i="24"/>
  <c r="FZ81" i="24"/>
  <c r="GA81" i="24"/>
  <c r="GB81" i="24"/>
  <c r="GC81" i="24"/>
  <c r="GD81" i="24"/>
  <c r="GE81" i="24"/>
  <c r="GF81" i="24"/>
  <c r="GG81" i="24"/>
  <c r="GH81" i="24"/>
  <c r="GI81" i="24"/>
  <c r="GJ81" i="24"/>
  <c r="GK81" i="24"/>
  <c r="GL81" i="24"/>
  <c r="GM81" i="24"/>
  <c r="GN81" i="24"/>
  <c r="GO81" i="24"/>
  <c r="GP81" i="24"/>
  <c r="GQ81" i="24"/>
  <c r="GR81" i="24"/>
  <c r="GS81" i="24"/>
  <c r="GT81" i="24"/>
  <c r="C82" i="24"/>
  <c r="D82" i="24"/>
  <c r="E82" i="24"/>
  <c r="F82" i="24"/>
  <c r="G82" i="24"/>
  <c r="H82" i="24"/>
  <c r="I82" i="24"/>
  <c r="J82" i="24"/>
  <c r="K82" i="24"/>
  <c r="L82" i="24"/>
  <c r="M82" i="24"/>
  <c r="N82" i="24"/>
  <c r="O82" i="24"/>
  <c r="P82" i="24"/>
  <c r="Q82" i="24"/>
  <c r="R82" i="24"/>
  <c r="S82" i="24"/>
  <c r="T82" i="24"/>
  <c r="U82" i="24"/>
  <c r="V82" i="24"/>
  <c r="W82" i="24"/>
  <c r="X82" i="24"/>
  <c r="Y82" i="24"/>
  <c r="Z82" i="24"/>
  <c r="AA82" i="24"/>
  <c r="AB82" i="24"/>
  <c r="AC82" i="24"/>
  <c r="AD82" i="24"/>
  <c r="AE82" i="24"/>
  <c r="AF82" i="24"/>
  <c r="AG82" i="24"/>
  <c r="AH82" i="24"/>
  <c r="AI82" i="24"/>
  <c r="AJ82" i="24"/>
  <c r="AK82" i="24"/>
  <c r="AL82" i="24"/>
  <c r="AM82" i="24"/>
  <c r="AN82" i="24"/>
  <c r="AO82" i="24"/>
  <c r="AP82" i="24"/>
  <c r="AQ82" i="24"/>
  <c r="AR82" i="24"/>
  <c r="AS82" i="24"/>
  <c r="AT82" i="24"/>
  <c r="AU82" i="24"/>
  <c r="AV82" i="24"/>
  <c r="AW82" i="24"/>
  <c r="AX82" i="24"/>
  <c r="AY82" i="24"/>
  <c r="AZ82" i="24"/>
  <c r="BA82" i="24"/>
  <c r="BB82" i="24"/>
  <c r="BC82" i="24"/>
  <c r="BD82" i="24"/>
  <c r="BE82" i="24"/>
  <c r="BF82" i="24"/>
  <c r="BG82" i="24"/>
  <c r="BH82" i="24"/>
  <c r="BI82" i="24"/>
  <c r="BJ82" i="24"/>
  <c r="BK82" i="24"/>
  <c r="BL82" i="24"/>
  <c r="BM82" i="24"/>
  <c r="BN82" i="24"/>
  <c r="BO82" i="24"/>
  <c r="BP82" i="24"/>
  <c r="BQ82" i="24"/>
  <c r="BR82" i="24"/>
  <c r="BS82" i="24"/>
  <c r="BT82" i="24"/>
  <c r="BU82" i="24"/>
  <c r="BV82" i="24"/>
  <c r="BW82" i="24"/>
  <c r="BX82" i="24"/>
  <c r="BY82" i="24"/>
  <c r="BZ82" i="24"/>
  <c r="CA82" i="24"/>
  <c r="CB82" i="24"/>
  <c r="CC82" i="24"/>
  <c r="CD82" i="24"/>
  <c r="CE82" i="24"/>
  <c r="CF82" i="24"/>
  <c r="CG82" i="24"/>
  <c r="CH82" i="24"/>
  <c r="CI82" i="24"/>
  <c r="CJ82" i="24"/>
  <c r="CK82" i="24"/>
  <c r="CL82" i="24"/>
  <c r="CM82" i="24"/>
  <c r="CN82" i="24"/>
  <c r="CO82" i="24"/>
  <c r="CP82" i="24"/>
  <c r="CQ82" i="24"/>
  <c r="CR82" i="24"/>
  <c r="CS82" i="24"/>
  <c r="CT82" i="24"/>
  <c r="CU82" i="24"/>
  <c r="CV82" i="24"/>
  <c r="CW82" i="24"/>
  <c r="CX82" i="24"/>
  <c r="CY82" i="24"/>
  <c r="CZ82" i="24"/>
  <c r="DA82" i="24"/>
  <c r="DB82" i="24"/>
  <c r="DC82" i="24"/>
  <c r="DD82" i="24"/>
  <c r="DE82" i="24"/>
  <c r="DF82" i="24"/>
  <c r="DG82" i="24"/>
  <c r="DH82" i="24"/>
  <c r="DI82" i="24"/>
  <c r="DJ82" i="24"/>
  <c r="DK82" i="24"/>
  <c r="DL82" i="24"/>
  <c r="DM82" i="24"/>
  <c r="DN82" i="24"/>
  <c r="DO82" i="24"/>
  <c r="DP82" i="24"/>
  <c r="DQ82" i="24"/>
  <c r="DR82" i="24"/>
  <c r="DS82" i="24"/>
  <c r="DT82" i="24"/>
  <c r="DU82" i="24"/>
  <c r="DV82" i="24"/>
  <c r="DW82" i="24"/>
  <c r="DX82" i="24"/>
  <c r="DY82" i="24"/>
  <c r="DZ82" i="24"/>
  <c r="EA82" i="24"/>
  <c r="EB82" i="24"/>
  <c r="EC82" i="24"/>
  <c r="ED82" i="24"/>
  <c r="EE82" i="24"/>
  <c r="EF82" i="24"/>
  <c r="EG82" i="24"/>
  <c r="EH82" i="24"/>
  <c r="EI82" i="24"/>
  <c r="EJ82" i="24"/>
  <c r="EK82" i="24"/>
  <c r="EL82" i="24"/>
  <c r="EM82" i="24"/>
  <c r="EN82" i="24"/>
  <c r="EO82" i="24"/>
  <c r="EP82" i="24"/>
  <c r="EQ82" i="24"/>
  <c r="ER82" i="24"/>
  <c r="ES82" i="24"/>
  <c r="ET82" i="24"/>
  <c r="EU82" i="24"/>
  <c r="EV82" i="24"/>
  <c r="EW82" i="24"/>
  <c r="EX82" i="24"/>
  <c r="EY82" i="24"/>
  <c r="EZ82" i="24"/>
  <c r="FA82" i="24"/>
  <c r="FB82" i="24"/>
  <c r="FC82" i="24"/>
  <c r="FD82" i="24"/>
  <c r="FE82" i="24"/>
  <c r="FF82" i="24"/>
  <c r="FG82" i="24"/>
  <c r="FH82" i="24"/>
  <c r="FI82" i="24"/>
  <c r="FJ82" i="24"/>
  <c r="FK82" i="24"/>
  <c r="FL82" i="24"/>
  <c r="FM82" i="24"/>
  <c r="FN82" i="24"/>
  <c r="FO82" i="24"/>
  <c r="FP82" i="24"/>
  <c r="FQ82" i="24"/>
  <c r="FR82" i="24"/>
  <c r="FS82" i="24"/>
  <c r="FT82" i="24"/>
  <c r="FU82" i="24"/>
  <c r="FV82" i="24"/>
  <c r="FW82" i="24"/>
  <c r="FX82" i="24"/>
  <c r="FY82" i="24"/>
  <c r="FZ82" i="24"/>
  <c r="GA82" i="24"/>
  <c r="GB82" i="24"/>
  <c r="GC82" i="24"/>
  <c r="GD82" i="24"/>
  <c r="GE82" i="24"/>
  <c r="GF82" i="24"/>
  <c r="GG82" i="24"/>
  <c r="GH82" i="24"/>
  <c r="GI82" i="24"/>
  <c r="GJ82" i="24"/>
  <c r="GK82" i="24"/>
  <c r="GL82" i="24"/>
  <c r="GM82" i="24"/>
  <c r="GN82" i="24"/>
  <c r="GO82" i="24"/>
  <c r="GP82" i="24"/>
  <c r="GQ82" i="24"/>
  <c r="GR82" i="24"/>
  <c r="GS82" i="24"/>
  <c r="GT82" i="24"/>
  <c r="C83" i="24"/>
  <c r="D83" i="24"/>
  <c r="E83" i="24"/>
  <c r="F83" i="24"/>
  <c r="G83" i="24"/>
  <c r="H83" i="24"/>
  <c r="I83" i="24"/>
  <c r="J83" i="24"/>
  <c r="K83" i="24"/>
  <c r="L83" i="24"/>
  <c r="M83" i="24"/>
  <c r="N83" i="24"/>
  <c r="O83" i="24"/>
  <c r="P83" i="24"/>
  <c r="Q83" i="24"/>
  <c r="R83" i="24"/>
  <c r="S83" i="24"/>
  <c r="T83" i="24"/>
  <c r="U83" i="24"/>
  <c r="V83" i="24"/>
  <c r="W83" i="24"/>
  <c r="X83" i="24"/>
  <c r="Y83" i="24"/>
  <c r="Z83" i="24"/>
  <c r="AA83" i="24"/>
  <c r="AB83" i="24"/>
  <c r="AC83" i="24"/>
  <c r="AD83" i="24"/>
  <c r="AE83" i="24"/>
  <c r="AF83" i="24"/>
  <c r="AG83" i="24"/>
  <c r="AH83" i="24"/>
  <c r="AI83" i="24"/>
  <c r="AJ83" i="24"/>
  <c r="AK83" i="24"/>
  <c r="AL83" i="24"/>
  <c r="AM83" i="24"/>
  <c r="AN83" i="24"/>
  <c r="AO83" i="24"/>
  <c r="AP83" i="24"/>
  <c r="AQ83" i="24"/>
  <c r="AR83" i="24"/>
  <c r="AS83" i="24"/>
  <c r="AT83" i="24"/>
  <c r="AU83" i="24"/>
  <c r="AV83" i="24"/>
  <c r="AW83" i="24"/>
  <c r="AX83" i="24"/>
  <c r="AY83" i="24"/>
  <c r="AZ83" i="24"/>
  <c r="BA83" i="24"/>
  <c r="BB83" i="24"/>
  <c r="BC83" i="24"/>
  <c r="BD83" i="24"/>
  <c r="BE83" i="24"/>
  <c r="BF83" i="24"/>
  <c r="BG83" i="24"/>
  <c r="BH83" i="24"/>
  <c r="BI83" i="24"/>
  <c r="BJ83" i="24"/>
  <c r="BK83" i="24"/>
  <c r="BL83" i="24"/>
  <c r="BM83" i="24"/>
  <c r="BN83" i="24"/>
  <c r="BO83" i="24"/>
  <c r="BP83" i="24"/>
  <c r="BQ83" i="24"/>
  <c r="BR83" i="24"/>
  <c r="BS83" i="24"/>
  <c r="BT83" i="24"/>
  <c r="BU83" i="24"/>
  <c r="BV83" i="24"/>
  <c r="BW83" i="24"/>
  <c r="BX83" i="24"/>
  <c r="BY83" i="24"/>
  <c r="BZ83" i="24"/>
  <c r="CA83" i="24"/>
  <c r="CB83" i="24"/>
  <c r="CC83" i="24"/>
  <c r="CD83" i="24"/>
  <c r="CE83" i="24"/>
  <c r="CF83" i="24"/>
  <c r="CG83" i="24"/>
  <c r="CH83" i="24"/>
  <c r="CI83" i="24"/>
  <c r="CJ83" i="24"/>
  <c r="CK83" i="24"/>
  <c r="CL83" i="24"/>
  <c r="CM83" i="24"/>
  <c r="CN83" i="24"/>
  <c r="CO83" i="24"/>
  <c r="CP83" i="24"/>
  <c r="CQ83" i="24"/>
  <c r="CR83" i="24"/>
  <c r="CS83" i="24"/>
  <c r="CT83" i="24"/>
  <c r="CU83" i="24"/>
  <c r="CV83" i="24"/>
  <c r="CW83" i="24"/>
  <c r="CX83" i="24"/>
  <c r="CY83" i="24"/>
  <c r="CZ83" i="24"/>
  <c r="DA83" i="24"/>
  <c r="DB83" i="24"/>
  <c r="DC83" i="24"/>
  <c r="DD83" i="24"/>
  <c r="DE83" i="24"/>
  <c r="DF83" i="24"/>
  <c r="DG83" i="24"/>
  <c r="DH83" i="24"/>
  <c r="DI83" i="24"/>
  <c r="DJ83" i="24"/>
  <c r="DK83" i="24"/>
  <c r="DL83" i="24"/>
  <c r="DM83" i="24"/>
  <c r="DN83" i="24"/>
  <c r="DO83" i="24"/>
  <c r="DP83" i="24"/>
  <c r="DQ83" i="24"/>
  <c r="DR83" i="24"/>
  <c r="DS83" i="24"/>
  <c r="DT83" i="24"/>
  <c r="DU83" i="24"/>
  <c r="DV83" i="24"/>
  <c r="DW83" i="24"/>
  <c r="DX83" i="24"/>
  <c r="DY83" i="24"/>
  <c r="DZ83" i="24"/>
  <c r="EA83" i="24"/>
  <c r="EB83" i="24"/>
  <c r="EC83" i="24"/>
  <c r="ED83" i="24"/>
  <c r="EE83" i="24"/>
  <c r="EF83" i="24"/>
  <c r="EG83" i="24"/>
  <c r="EH83" i="24"/>
  <c r="EI83" i="24"/>
  <c r="EJ83" i="24"/>
  <c r="EK83" i="24"/>
  <c r="EL83" i="24"/>
  <c r="EM83" i="24"/>
  <c r="EN83" i="24"/>
  <c r="EO83" i="24"/>
  <c r="EP83" i="24"/>
  <c r="EQ83" i="24"/>
  <c r="ER83" i="24"/>
  <c r="ES83" i="24"/>
  <c r="ET83" i="24"/>
  <c r="EU83" i="24"/>
  <c r="EV83" i="24"/>
  <c r="EW83" i="24"/>
  <c r="EX83" i="24"/>
  <c r="EY83" i="24"/>
  <c r="EZ83" i="24"/>
  <c r="FA83" i="24"/>
  <c r="FB83" i="24"/>
  <c r="FC83" i="24"/>
  <c r="FD83" i="24"/>
  <c r="FE83" i="24"/>
  <c r="FF83" i="24"/>
  <c r="FG83" i="24"/>
  <c r="FH83" i="24"/>
  <c r="FI83" i="24"/>
  <c r="FJ83" i="24"/>
  <c r="FK83" i="24"/>
  <c r="FL83" i="24"/>
  <c r="FM83" i="24"/>
  <c r="FN83" i="24"/>
  <c r="FO83" i="24"/>
  <c r="FP83" i="24"/>
  <c r="FQ83" i="24"/>
  <c r="FR83" i="24"/>
  <c r="FS83" i="24"/>
  <c r="FT83" i="24"/>
  <c r="FU83" i="24"/>
  <c r="FV83" i="24"/>
  <c r="FW83" i="24"/>
  <c r="FX83" i="24"/>
  <c r="FY83" i="24"/>
  <c r="FZ83" i="24"/>
  <c r="GA83" i="24"/>
  <c r="GB83" i="24"/>
  <c r="GC83" i="24"/>
  <c r="GD83" i="24"/>
  <c r="GE83" i="24"/>
  <c r="GF83" i="24"/>
  <c r="GG83" i="24"/>
  <c r="GH83" i="24"/>
  <c r="GI83" i="24"/>
  <c r="GJ83" i="24"/>
  <c r="GK83" i="24"/>
  <c r="GL83" i="24"/>
  <c r="GM83" i="24"/>
  <c r="GN83" i="24"/>
  <c r="GO83" i="24"/>
  <c r="GP83" i="24"/>
  <c r="GQ83" i="24"/>
  <c r="GR83" i="24"/>
  <c r="GS83" i="24"/>
  <c r="GT83" i="24"/>
  <c r="C84" i="24"/>
  <c r="D84" i="24"/>
  <c r="E84" i="24"/>
  <c r="F84" i="24"/>
  <c r="G84" i="24"/>
  <c r="H84" i="24"/>
  <c r="I84" i="24"/>
  <c r="J84" i="24"/>
  <c r="K84" i="24"/>
  <c r="L84" i="24"/>
  <c r="M84" i="24"/>
  <c r="N84" i="24"/>
  <c r="O84" i="24"/>
  <c r="P84" i="24"/>
  <c r="Q84" i="24"/>
  <c r="R84" i="24"/>
  <c r="S84" i="24"/>
  <c r="T84" i="24"/>
  <c r="U84" i="24"/>
  <c r="V84" i="24"/>
  <c r="W84" i="24"/>
  <c r="X84" i="24"/>
  <c r="Y84" i="24"/>
  <c r="Z84" i="24"/>
  <c r="AA84" i="24"/>
  <c r="AB84" i="24"/>
  <c r="AC84" i="24"/>
  <c r="AD84" i="24"/>
  <c r="AE84" i="24"/>
  <c r="AF84" i="24"/>
  <c r="AG84" i="24"/>
  <c r="AH84" i="24"/>
  <c r="AI84" i="24"/>
  <c r="AJ84" i="24"/>
  <c r="AK84" i="24"/>
  <c r="AL84" i="24"/>
  <c r="AM84" i="24"/>
  <c r="AN84" i="24"/>
  <c r="AO84" i="24"/>
  <c r="AP84" i="24"/>
  <c r="AQ84" i="24"/>
  <c r="AR84" i="24"/>
  <c r="AS84" i="24"/>
  <c r="AT84" i="24"/>
  <c r="AU84" i="24"/>
  <c r="AV84" i="24"/>
  <c r="AW84" i="24"/>
  <c r="AX84" i="24"/>
  <c r="AY84" i="24"/>
  <c r="AZ84" i="24"/>
  <c r="BA84" i="24"/>
  <c r="BB84" i="24"/>
  <c r="BC84" i="24"/>
  <c r="BD84" i="24"/>
  <c r="BE84" i="24"/>
  <c r="BF84" i="24"/>
  <c r="BG84" i="24"/>
  <c r="BH84" i="24"/>
  <c r="BI84" i="24"/>
  <c r="BJ84" i="24"/>
  <c r="BK84" i="24"/>
  <c r="BL84" i="24"/>
  <c r="BM84" i="24"/>
  <c r="BN84" i="24"/>
  <c r="BO84" i="24"/>
  <c r="BP84" i="24"/>
  <c r="BQ84" i="24"/>
  <c r="BR84" i="24"/>
  <c r="BS84" i="24"/>
  <c r="BT84" i="24"/>
  <c r="BU84" i="24"/>
  <c r="BV84" i="24"/>
  <c r="BW84" i="24"/>
  <c r="BX84" i="24"/>
  <c r="BY84" i="24"/>
  <c r="BZ84" i="24"/>
  <c r="CA84" i="24"/>
  <c r="CB84" i="24"/>
  <c r="CC84" i="24"/>
  <c r="CD84" i="24"/>
  <c r="CE84" i="24"/>
  <c r="CF84" i="24"/>
  <c r="CG84" i="24"/>
  <c r="CH84" i="24"/>
  <c r="CI84" i="24"/>
  <c r="CJ84" i="24"/>
  <c r="CK84" i="24"/>
  <c r="CL84" i="24"/>
  <c r="CM84" i="24"/>
  <c r="CN84" i="24"/>
  <c r="CO84" i="24"/>
  <c r="CP84" i="24"/>
  <c r="CQ84" i="24"/>
  <c r="CR84" i="24"/>
  <c r="CS84" i="24"/>
  <c r="CT84" i="24"/>
  <c r="CU84" i="24"/>
  <c r="CV84" i="24"/>
  <c r="CW84" i="24"/>
  <c r="CX84" i="24"/>
  <c r="CY84" i="24"/>
  <c r="CZ84" i="24"/>
  <c r="DA84" i="24"/>
  <c r="DB84" i="24"/>
  <c r="DC84" i="24"/>
  <c r="DD84" i="24"/>
  <c r="DE84" i="24"/>
  <c r="DF84" i="24"/>
  <c r="DG84" i="24"/>
  <c r="DH84" i="24"/>
  <c r="DI84" i="24"/>
  <c r="DJ84" i="24"/>
  <c r="DK84" i="24"/>
  <c r="DL84" i="24"/>
  <c r="DM84" i="24"/>
  <c r="DN84" i="24"/>
  <c r="DO84" i="24"/>
  <c r="DP84" i="24"/>
  <c r="DQ84" i="24"/>
  <c r="DR84" i="24"/>
  <c r="DS84" i="24"/>
  <c r="DT84" i="24"/>
  <c r="DU84" i="24"/>
  <c r="DV84" i="24"/>
  <c r="DW84" i="24"/>
  <c r="DX84" i="24"/>
  <c r="DY84" i="24"/>
  <c r="DZ84" i="24"/>
  <c r="EA84" i="24"/>
  <c r="EB84" i="24"/>
  <c r="EC84" i="24"/>
  <c r="ED84" i="24"/>
  <c r="EE84" i="24"/>
  <c r="EF84" i="24"/>
  <c r="EG84" i="24"/>
  <c r="EH84" i="24"/>
  <c r="EI84" i="24"/>
  <c r="EJ84" i="24"/>
  <c r="EK84" i="24"/>
  <c r="EL84" i="24"/>
  <c r="EM84" i="24"/>
  <c r="EN84" i="24"/>
  <c r="EO84" i="24"/>
  <c r="EP84" i="24"/>
  <c r="EQ84" i="24"/>
  <c r="ER84" i="24"/>
  <c r="ES84" i="24"/>
  <c r="ET84" i="24"/>
  <c r="EU84" i="24"/>
  <c r="EV84" i="24"/>
  <c r="EW84" i="24"/>
  <c r="EX84" i="24"/>
  <c r="EY84" i="24"/>
  <c r="EZ84" i="24"/>
  <c r="FA84" i="24"/>
  <c r="FB84" i="24"/>
  <c r="FC84" i="24"/>
  <c r="FD84" i="24"/>
  <c r="FE84" i="24"/>
  <c r="FF84" i="24"/>
  <c r="FG84" i="24"/>
  <c r="FH84" i="24"/>
  <c r="FI84" i="24"/>
  <c r="FJ84" i="24"/>
  <c r="FK84" i="24"/>
  <c r="FL84" i="24"/>
  <c r="FM84" i="24"/>
  <c r="FN84" i="24"/>
  <c r="FO84" i="24"/>
  <c r="FP84" i="24"/>
  <c r="FQ84" i="24"/>
  <c r="FR84" i="24"/>
  <c r="FS84" i="24"/>
  <c r="FT84" i="24"/>
  <c r="FU84" i="24"/>
  <c r="FV84" i="24"/>
  <c r="FW84" i="24"/>
  <c r="FX84" i="24"/>
  <c r="FY84" i="24"/>
  <c r="FZ84" i="24"/>
  <c r="GA84" i="24"/>
  <c r="GB84" i="24"/>
  <c r="GC84" i="24"/>
  <c r="GD84" i="24"/>
  <c r="GE84" i="24"/>
  <c r="GF84" i="24"/>
  <c r="GG84" i="24"/>
  <c r="GH84" i="24"/>
  <c r="GI84" i="24"/>
  <c r="GJ84" i="24"/>
  <c r="GK84" i="24"/>
  <c r="GL84" i="24"/>
  <c r="GM84" i="24"/>
  <c r="GN84" i="24"/>
  <c r="GO84" i="24"/>
  <c r="GP84" i="24"/>
  <c r="GQ84" i="24"/>
  <c r="GR84" i="24"/>
  <c r="GS84" i="24"/>
  <c r="GT84" i="24"/>
  <c r="C85" i="24"/>
  <c r="D85" i="24"/>
  <c r="E85" i="24"/>
  <c r="F85" i="24"/>
  <c r="G85" i="24"/>
  <c r="H85" i="24"/>
  <c r="I85" i="24"/>
  <c r="J85" i="24"/>
  <c r="K85" i="24"/>
  <c r="L85" i="24"/>
  <c r="M85" i="24"/>
  <c r="N85" i="24"/>
  <c r="O85" i="24"/>
  <c r="P85" i="24"/>
  <c r="Q85" i="24"/>
  <c r="R85" i="24"/>
  <c r="S85" i="24"/>
  <c r="T85" i="24"/>
  <c r="U85" i="24"/>
  <c r="V85" i="24"/>
  <c r="W85" i="24"/>
  <c r="X85" i="24"/>
  <c r="Y85" i="24"/>
  <c r="Z85" i="24"/>
  <c r="AA85" i="24"/>
  <c r="AB85" i="24"/>
  <c r="AC85" i="24"/>
  <c r="AD85" i="24"/>
  <c r="AE85" i="24"/>
  <c r="AF85" i="24"/>
  <c r="AG85" i="24"/>
  <c r="AH85" i="24"/>
  <c r="AI85" i="24"/>
  <c r="AJ85" i="24"/>
  <c r="AK85" i="24"/>
  <c r="AL85" i="24"/>
  <c r="AM85" i="24"/>
  <c r="AN85" i="24"/>
  <c r="AO85" i="24"/>
  <c r="AP85" i="24"/>
  <c r="AQ85" i="24"/>
  <c r="AR85" i="24"/>
  <c r="AS85" i="24"/>
  <c r="AT85" i="24"/>
  <c r="AU85" i="24"/>
  <c r="AV85" i="24"/>
  <c r="AW85" i="24"/>
  <c r="AX85" i="24"/>
  <c r="AY85" i="24"/>
  <c r="AZ85" i="24"/>
  <c r="BA85" i="24"/>
  <c r="BB85" i="24"/>
  <c r="BC85" i="24"/>
  <c r="BD85" i="24"/>
  <c r="BE85" i="24"/>
  <c r="BF85" i="24"/>
  <c r="BG85" i="24"/>
  <c r="BH85" i="24"/>
  <c r="BI85" i="24"/>
  <c r="BJ85" i="24"/>
  <c r="BK85" i="24"/>
  <c r="BL85" i="24"/>
  <c r="BM85" i="24"/>
  <c r="BN85" i="24"/>
  <c r="BO85" i="24"/>
  <c r="BP85" i="24"/>
  <c r="BQ85" i="24"/>
  <c r="BR85" i="24"/>
  <c r="BS85" i="24"/>
  <c r="BT85" i="24"/>
  <c r="BU85" i="24"/>
  <c r="BV85" i="24"/>
  <c r="BW85" i="24"/>
  <c r="BX85" i="24"/>
  <c r="BY85" i="24"/>
  <c r="BZ85" i="24"/>
  <c r="CA85" i="24"/>
  <c r="CB85" i="24"/>
  <c r="CC85" i="24"/>
  <c r="CD85" i="24"/>
  <c r="CE85" i="24"/>
  <c r="CF85" i="24"/>
  <c r="CG85" i="24"/>
  <c r="CH85" i="24"/>
  <c r="CI85" i="24"/>
  <c r="CJ85" i="24"/>
  <c r="CK85" i="24"/>
  <c r="CL85" i="24"/>
  <c r="CM85" i="24"/>
  <c r="CN85" i="24"/>
  <c r="CO85" i="24"/>
  <c r="CP85" i="24"/>
  <c r="CQ85" i="24"/>
  <c r="CR85" i="24"/>
  <c r="CS85" i="24"/>
  <c r="CT85" i="24"/>
  <c r="CU85" i="24"/>
  <c r="CV85" i="24"/>
  <c r="CW85" i="24"/>
  <c r="CX85" i="24"/>
  <c r="CY85" i="24"/>
  <c r="CZ85" i="24"/>
  <c r="DA85" i="24"/>
  <c r="DB85" i="24"/>
  <c r="DC85" i="24"/>
  <c r="DD85" i="24"/>
  <c r="DE85" i="24"/>
  <c r="DF85" i="24"/>
  <c r="DG85" i="24"/>
  <c r="DH85" i="24"/>
  <c r="DI85" i="24"/>
  <c r="DJ85" i="24"/>
  <c r="DK85" i="24"/>
  <c r="DL85" i="24"/>
  <c r="DM85" i="24"/>
  <c r="DN85" i="24"/>
  <c r="DO85" i="24"/>
  <c r="DP85" i="24"/>
  <c r="DQ85" i="24"/>
  <c r="DR85" i="24"/>
  <c r="DS85" i="24"/>
  <c r="DT85" i="24"/>
  <c r="DU85" i="24"/>
  <c r="DV85" i="24"/>
  <c r="DW85" i="24"/>
  <c r="DX85" i="24"/>
  <c r="DY85" i="24"/>
  <c r="DZ85" i="24"/>
  <c r="EA85" i="24"/>
  <c r="EB85" i="24"/>
  <c r="EC85" i="24"/>
  <c r="ED85" i="24"/>
  <c r="EE85" i="24"/>
  <c r="EF85" i="24"/>
  <c r="EG85" i="24"/>
  <c r="EH85" i="24"/>
  <c r="EI85" i="24"/>
  <c r="EJ85" i="24"/>
  <c r="EK85" i="24"/>
  <c r="EL85" i="24"/>
  <c r="EM85" i="24"/>
  <c r="EN85" i="24"/>
  <c r="EO85" i="24"/>
  <c r="EP85" i="24"/>
  <c r="EQ85" i="24"/>
  <c r="ER85" i="24"/>
  <c r="ES85" i="24"/>
  <c r="ET85" i="24"/>
  <c r="EU85" i="24"/>
  <c r="EV85" i="24"/>
  <c r="EW85" i="24"/>
  <c r="EX85" i="24"/>
  <c r="EY85" i="24"/>
  <c r="EZ85" i="24"/>
  <c r="FA85" i="24"/>
  <c r="FB85" i="24"/>
  <c r="FC85" i="24"/>
  <c r="FD85" i="24"/>
  <c r="FE85" i="24"/>
  <c r="FF85" i="24"/>
  <c r="FG85" i="24"/>
  <c r="FH85" i="24"/>
  <c r="FI85" i="24"/>
  <c r="FJ85" i="24"/>
  <c r="FK85" i="24"/>
  <c r="FL85" i="24"/>
  <c r="FM85" i="24"/>
  <c r="FN85" i="24"/>
  <c r="FO85" i="24"/>
  <c r="FP85" i="24"/>
  <c r="FQ85" i="24"/>
  <c r="FR85" i="24"/>
  <c r="FS85" i="24"/>
  <c r="FT85" i="24"/>
  <c r="FU85" i="24"/>
  <c r="FV85" i="24"/>
  <c r="FW85" i="24"/>
  <c r="FX85" i="24"/>
  <c r="FY85" i="24"/>
  <c r="FZ85" i="24"/>
  <c r="GA85" i="24"/>
  <c r="GB85" i="24"/>
  <c r="GC85" i="24"/>
  <c r="GD85" i="24"/>
  <c r="GE85" i="24"/>
  <c r="GF85" i="24"/>
  <c r="GG85" i="24"/>
  <c r="GH85" i="24"/>
  <c r="GI85" i="24"/>
  <c r="GJ85" i="24"/>
  <c r="GK85" i="24"/>
  <c r="GL85" i="24"/>
  <c r="GM85" i="24"/>
  <c r="GN85" i="24"/>
  <c r="GO85" i="24"/>
  <c r="GP85" i="24"/>
  <c r="GQ85" i="24"/>
  <c r="GR85" i="24"/>
  <c r="GS85" i="24"/>
  <c r="GT85" i="24"/>
  <c r="C86" i="24"/>
  <c r="D86" i="24"/>
  <c r="E86" i="24"/>
  <c r="F86" i="24"/>
  <c r="G86" i="24"/>
  <c r="H86" i="24"/>
  <c r="I86" i="24"/>
  <c r="J86" i="24"/>
  <c r="K86" i="24"/>
  <c r="L86" i="24"/>
  <c r="M86" i="24"/>
  <c r="N86" i="24"/>
  <c r="O86" i="24"/>
  <c r="P86" i="24"/>
  <c r="Q86" i="24"/>
  <c r="R86" i="24"/>
  <c r="S86" i="24"/>
  <c r="T86" i="24"/>
  <c r="U86" i="24"/>
  <c r="V86" i="24"/>
  <c r="W86" i="24"/>
  <c r="X86" i="24"/>
  <c r="Y86" i="24"/>
  <c r="Z86" i="24"/>
  <c r="AA86" i="24"/>
  <c r="AB86" i="24"/>
  <c r="AC86" i="24"/>
  <c r="AD86" i="24"/>
  <c r="AE86" i="24"/>
  <c r="AF86" i="24"/>
  <c r="AG86" i="24"/>
  <c r="AH86" i="24"/>
  <c r="AI86" i="24"/>
  <c r="AJ86" i="24"/>
  <c r="AK86" i="24"/>
  <c r="AL86" i="24"/>
  <c r="AM86" i="24"/>
  <c r="AN86" i="24"/>
  <c r="AO86" i="24"/>
  <c r="AP86" i="24"/>
  <c r="AQ86" i="24"/>
  <c r="AR86" i="24"/>
  <c r="AS86" i="24"/>
  <c r="AT86" i="24"/>
  <c r="AU86" i="24"/>
  <c r="AV86" i="24"/>
  <c r="AW86" i="24"/>
  <c r="AX86" i="24"/>
  <c r="AY86" i="24"/>
  <c r="AZ86" i="24"/>
  <c r="BA86" i="24"/>
  <c r="BB86" i="24"/>
  <c r="BC86" i="24"/>
  <c r="BD86" i="24"/>
  <c r="BE86" i="24"/>
  <c r="BF86" i="24"/>
  <c r="BG86" i="24"/>
  <c r="BH86" i="24"/>
  <c r="BI86" i="24"/>
  <c r="BJ86" i="24"/>
  <c r="BK86" i="24"/>
  <c r="BL86" i="24"/>
  <c r="BM86" i="24"/>
  <c r="BN86" i="24"/>
  <c r="BO86" i="24"/>
  <c r="BP86" i="24"/>
  <c r="BQ86" i="24"/>
  <c r="BR86" i="24"/>
  <c r="BS86" i="24"/>
  <c r="BT86" i="24"/>
  <c r="BU86" i="24"/>
  <c r="BV86" i="24"/>
  <c r="BW86" i="24"/>
  <c r="BX86" i="24"/>
  <c r="BY86" i="24"/>
  <c r="BZ86" i="24"/>
  <c r="CA86" i="24"/>
  <c r="CB86" i="24"/>
  <c r="CC86" i="24"/>
  <c r="CD86" i="24"/>
  <c r="CE86" i="24"/>
  <c r="CF86" i="24"/>
  <c r="CG86" i="24"/>
  <c r="CH86" i="24"/>
  <c r="CI86" i="24"/>
  <c r="CJ86" i="24"/>
  <c r="CK86" i="24"/>
  <c r="CL86" i="24"/>
  <c r="CM86" i="24"/>
  <c r="CN86" i="24"/>
  <c r="CO86" i="24"/>
  <c r="CP86" i="24"/>
  <c r="CQ86" i="24"/>
  <c r="CR86" i="24"/>
  <c r="CS86" i="24"/>
  <c r="CT86" i="24"/>
  <c r="CU86" i="24"/>
  <c r="CV86" i="24"/>
  <c r="CW86" i="24"/>
  <c r="CX86" i="24"/>
  <c r="CY86" i="24"/>
  <c r="CZ86" i="24"/>
  <c r="DA86" i="24"/>
  <c r="DB86" i="24"/>
  <c r="DC86" i="24"/>
  <c r="DD86" i="24"/>
  <c r="DE86" i="24"/>
  <c r="DF86" i="24"/>
  <c r="DG86" i="24"/>
  <c r="DH86" i="24"/>
  <c r="DI86" i="24"/>
  <c r="DJ86" i="24"/>
  <c r="DK86" i="24"/>
  <c r="DL86" i="24"/>
  <c r="DM86" i="24"/>
  <c r="DN86" i="24"/>
  <c r="DO86" i="24"/>
  <c r="DP86" i="24"/>
  <c r="DQ86" i="24"/>
  <c r="DR86" i="24"/>
  <c r="DS86" i="24"/>
  <c r="DT86" i="24"/>
  <c r="DU86" i="24"/>
  <c r="DV86" i="24"/>
  <c r="DW86" i="24"/>
  <c r="DX86" i="24"/>
  <c r="DY86" i="24"/>
  <c r="DZ86" i="24"/>
  <c r="EA86" i="24"/>
  <c r="EB86" i="24"/>
  <c r="EC86" i="24"/>
  <c r="ED86" i="24"/>
  <c r="EE86" i="24"/>
  <c r="EF86" i="24"/>
  <c r="EG86" i="24"/>
  <c r="EH86" i="24"/>
  <c r="EI86" i="24"/>
  <c r="EJ86" i="24"/>
  <c r="EK86" i="24"/>
  <c r="EL86" i="24"/>
  <c r="EM86" i="24"/>
  <c r="EN86" i="24"/>
  <c r="EO86" i="24"/>
  <c r="EP86" i="24"/>
  <c r="EQ86" i="24"/>
  <c r="ER86" i="24"/>
  <c r="ES86" i="24"/>
  <c r="ET86" i="24"/>
  <c r="EU86" i="24"/>
  <c r="EV86" i="24"/>
  <c r="EW86" i="24"/>
  <c r="EX86" i="24"/>
  <c r="EY86" i="24"/>
  <c r="EZ86" i="24"/>
  <c r="FA86" i="24"/>
  <c r="FB86" i="24"/>
  <c r="FC86" i="24"/>
  <c r="FD86" i="24"/>
  <c r="FE86" i="24"/>
  <c r="FF86" i="24"/>
  <c r="FG86" i="24"/>
  <c r="FH86" i="24"/>
  <c r="FI86" i="24"/>
  <c r="FJ86" i="24"/>
  <c r="FK86" i="24"/>
  <c r="FL86" i="24"/>
  <c r="FM86" i="24"/>
  <c r="FN86" i="24"/>
  <c r="FO86" i="24"/>
  <c r="FP86" i="24"/>
  <c r="FQ86" i="24"/>
  <c r="FR86" i="24"/>
  <c r="FS86" i="24"/>
  <c r="FT86" i="24"/>
  <c r="FU86" i="24"/>
  <c r="FV86" i="24"/>
  <c r="FW86" i="24"/>
  <c r="FX86" i="24"/>
  <c r="FY86" i="24"/>
  <c r="FZ86" i="24"/>
  <c r="GA86" i="24"/>
  <c r="GB86" i="24"/>
  <c r="GC86" i="24"/>
  <c r="GD86" i="24"/>
  <c r="GE86" i="24"/>
  <c r="GF86" i="24"/>
  <c r="GG86" i="24"/>
  <c r="GH86" i="24"/>
  <c r="GI86" i="24"/>
  <c r="GJ86" i="24"/>
  <c r="GK86" i="24"/>
  <c r="GL86" i="24"/>
  <c r="GM86" i="24"/>
  <c r="GN86" i="24"/>
  <c r="GO86" i="24"/>
  <c r="GP86" i="24"/>
  <c r="GQ86" i="24"/>
  <c r="GR86" i="24"/>
  <c r="GS86" i="24"/>
  <c r="GT86" i="24"/>
  <c r="C87" i="24"/>
  <c r="D87" i="24"/>
  <c r="E87" i="24"/>
  <c r="F87" i="24"/>
  <c r="G87" i="24"/>
  <c r="H87" i="24"/>
  <c r="I87" i="24"/>
  <c r="J87" i="24"/>
  <c r="K87" i="24"/>
  <c r="L87" i="24"/>
  <c r="M87" i="24"/>
  <c r="N87" i="24"/>
  <c r="O87" i="24"/>
  <c r="P87" i="24"/>
  <c r="Q87" i="24"/>
  <c r="R87" i="24"/>
  <c r="S87" i="24"/>
  <c r="T87" i="24"/>
  <c r="U87" i="24"/>
  <c r="V87" i="24"/>
  <c r="W87" i="24"/>
  <c r="X87" i="24"/>
  <c r="Y87" i="24"/>
  <c r="Z87" i="24"/>
  <c r="AA87" i="24"/>
  <c r="AB87" i="24"/>
  <c r="AC87" i="24"/>
  <c r="AD87" i="24"/>
  <c r="AE87" i="24"/>
  <c r="AF87" i="24"/>
  <c r="AG87" i="24"/>
  <c r="AH87" i="24"/>
  <c r="AI87" i="24"/>
  <c r="AJ87" i="24"/>
  <c r="AK87" i="24"/>
  <c r="AL87" i="24"/>
  <c r="AM87" i="24"/>
  <c r="AN87" i="24"/>
  <c r="AO87" i="24"/>
  <c r="AP87" i="24"/>
  <c r="AQ87" i="24"/>
  <c r="AR87" i="24"/>
  <c r="AS87" i="24"/>
  <c r="AT87" i="24"/>
  <c r="AU87" i="24"/>
  <c r="AV87" i="24"/>
  <c r="AW87" i="24"/>
  <c r="AX87" i="24"/>
  <c r="AY87" i="24"/>
  <c r="AZ87" i="24"/>
  <c r="BA87" i="24"/>
  <c r="BB87" i="24"/>
  <c r="BC87" i="24"/>
  <c r="BD87" i="24"/>
  <c r="BE87" i="24"/>
  <c r="BF87" i="24"/>
  <c r="BG87" i="24"/>
  <c r="BH87" i="24"/>
  <c r="BI87" i="24"/>
  <c r="BJ87" i="24"/>
  <c r="BK87" i="24"/>
  <c r="BL87" i="24"/>
  <c r="BM87" i="24"/>
  <c r="BN87" i="24"/>
  <c r="BO87" i="24"/>
  <c r="BP87" i="24"/>
  <c r="BQ87" i="24"/>
  <c r="BR87" i="24"/>
  <c r="BS87" i="24"/>
  <c r="BT87" i="24"/>
  <c r="BU87" i="24"/>
  <c r="BV87" i="24"/>
  <c r="BW87" i="24"/>
  <c r="BX87" i="24"/>
  <c r="BY87" i="24"/>
  <c r="BZ87" i="24"/>
  <c r="CA87" i="24"/>
  <c r="CB87" i="24"/>
  <c r="CC87" i="24"/>
  <c r="CD87" i="24"/>
  <c r="CE87" i="24"/>
  <c r="CF87" i="24"/>
  <c r="CG87" i="24"/>
  <c r="CH87" i="24"/>
  <c r="CI87" i="24"/>
  <c r="CJ87" i="24"/>
  <c r="CK87" i="24"/>
  <c r="CL87" i="24"/>
  <c r="CM87" i="24"/>
  <c r="CN87" i="24"/>
  <c r="CO87" i="24"/>
  <c r="CP87" i="24"/>
  <c r="CQ87" i="24"/>
  <c r="CR87" i="24"/>
  <c r="CS87" i="24"/>
  <c r="CT87" i="24"/>
  <c r="CU87" i="24"/>
  <c r="CV87" i="24"/>
  <c r="CW87" i="24"/>
  <c r="CX87" i="24"/>
  <c r="CY87" i="24"/>
  <c r="CZ87" i="24"/>
  <c r="DA87" i="24"/>
  <c r="DB87" i="24"/>
  <c r="DC87" i="24"/>
  <c r="DD87" i="24"/>
  <c r="DE87" i="24"/>
  <c r="DF87" i="24"/>
  <c r="DG87" i="24"/>
  <c r="DH87" i="24"/>
  <c r="DI87" i="24"/>
  <c r="DJ87" i="24"/>
  <c r="DK87" i="24"/>
  <c r="DL87" i="24"/>
  <c r="DM87" i="24"/>
  <c r="DN87" i="24"/>
  <c r="DO87" i="24"/>
  <c r="DP87" i="24"/>
  <c r="DQ87" i="24"/>
  <c r="DR87" i="24"/>
  <c r="DS87" i="24"/>
  <c r="DT87" i="24"/>
  <c r="DU87" i="24"/>
  <c r="DV87" i="24"/>
  <c r="DW87" i="24"/>
  <c r="DX87" i="24"/>
  <c r="DY87" i="24"/>
  <c r="DZ87" i="24"/>
  <c r="EA87" i="24"/>
  <c r="EB87" i="24"/>
  <c r="EC87" i="24"/>
  <c r="ED87" i="24"/>
  <c r="EE87" i="24"/>
  <c r="EF87" i="24"/>
  <c r="EG87" i="24"/>
  <c r="EH87" i="24"/>
  <c r="EI87" i="24"/>
  <c r="EJ87" i="24"/>
  <c r="EK87" i="24"/>
  <c r="EL87" i="24"/>
  <c r="EM87" i="24"/>
  <c r="EN87" i="24"/>
  <c r="EO87" i="24"/>
  <c r="EP87" i="24"/>
  <c r="EQ87" i="24"/>
  <c r="ER87" i="24"/>
  <c r="ES87" i="24"/>
  <c r="ET87" i="24"/>
  <c r="EU87" i="24"/>
  <c r="EV87" i="24"/>
  <c r="EW87" i="24"/>
  <c r="EX87" i="24"/>
  <c r="EY87" i="24"/>
  <c r="EZ87" i="24"/>
  <c r="FA87" i="24"/>
  <c r="FB87" i="24"/>
  <c r="FC87" i="24"/>
  <c r="FD87" i="24"/>
  <c r="FE87" i="24"/>
  <c r="FF87" i="24"/>
  <c r="FG87" i="24"/>
  <c r="FH87" i="24"/>
  <c r="FI87" i="24"/>
  <c r="FJ87" i="24"/>
  <c r="FK87" i="24"/>
  <c r="FL87" i="24"/>
  <c r="FM87" i="24"/>
  <c r="FN87" i="24"/>
  <c r="FO87" i="24"/>
  <c r="FP87" i="24"/>
  <c r="FQ87" i="24"/>
  <c r="FR87" i="24"/>
  <c r="FS87" i="24"/>
  <c r="FT87" i="24"/>
  <c r="FU87" i="24"/>
  <c r="FV87" i="24"/>
  <c r="FW87" i="24"/>
  <c r="FX87" i="24"/>
  <c r="FY87" i="24"/>
  <c r="FZ87" i="24"/>
  <c r="GA87" i="24"/>
  <c r="GB87" i="24"/>
  <c r="GC87" i="24"/>
  <c r="GD87" i="24"/>
  <c r="GE87" i="24"/>
  <c r="GF87" i="24"/>
  <c r="GG87" i="24"/>
  <c r="GH87" i="24"/>
  <c r="GI87" i="24"/>
  <c r="GJ87" i="24"/>
  <c r="GK87" i="24"/>
  <c r="GL87" i="24"/>
  <c r="GM87" i="24"/>
  <c r="GN87" i="24"/>
  <c r="GO87" i="24"/>
  <c r="GP87" i="24"/>
  <c r="GQ87" i="24"/>
  <c r="GR87" i="24"/>
  <c r="GS87" i="24"/>
  <c r="GT87" i="24"/>
  <c r="C88" i="24"/>
  <c r="D88" i="24"/>
  <c r="E88" i="24"/>
  <c r="F88" i="24"/>
  <c r="G88" i="24"/>
  <c r="H88" i="24"/>
  <c r="I88" i="24"/>
  <c r="J88" i="24"/>
  <c r="K88" i="24"/>
  <c r="L88" i="24"/>
  <c r="M88" i="24"/>
  <c r="N88" i="24"/>
  <c r="O88" i="24"/>
  <c r="P88" i="24"/>
  <c r="Q88" i="24"/>
  <c r="R88" i="24"/>
  <c r="S88" i="24"/>
  <c r="T88" i="24"/>
  <c r="U88" i="24"/>
  <c r="V88" i="24"/>
  <c r="W88" i="24"/>
  <c r="X88" i="24"/>
  <c r="Y88" i="24"/>
  <c r="Z88" i="24"/>
  <c r="AA88" i="24"/>
  <c r="AB88" i="24"/>
  <c r="AC88" i="24"/>
  <c r="AD88" i="24"/>
  <c r="AE88" i="24"/>
  <c r="AF88" i="24"/>
  <c r="AG88" i="24"/>
  <c r="AH88" i="24"/>
  <c r="AI88" i="24"/>
  <c r="AJ88" i="24"/>
  <c r="AK88" i="24"/>
  <c r="AL88" i="24"/>
  <c r="AM88" i="24"/>
  <c r="AN88" i="24"/>
  <c r="AO88" i="24"/>
  <c r="AP88" i="24"/>
  <c r="AQ88" i="24"/>
  <c r="AR88" i="24"/>
  <c r="AS88" i="24"/>
  <c r="AT88" i="24"/>
  <c r="AU88" i="24"/>
  <c r="AV88" i="24"/>
  <c r="AW88" i="24"/>
  <c r="AX88" i="24"/>
  <c r="AY88" i="24"/>
  <c r="AZ88" i="24"/>
  <c r="BA88" i="24"/>
  <c r="BB88" i="24"/>
  <c r="BC88" i="24"/>
  <c r="BD88" i="24"/>
  <c r="BE88" i="24"/>
  <c r="BF88" i="24"/>
  <c r="BG88" i="24"/>
  <c r="BH88" i="24"/>
  <c r="BI88" i="24"/>
  <c r="BJ88" i="24"/>
  <c r="BK88" i="24"/>
  <c r="BL88" i="24"/>
  <c r="BM88" i="24"/>
  <c r="BN88" i="24"/>
  <c r="BO88" i="24"/>
  <c r="BP88" i="24"/>
  <c r="BQ88" i="24"/>
  <c r="BR88" i="24"/>
  <c r="BS88" i="24"/>
  <c r="BT88" i="24"/>
  <c r="BU88" i="24"/>
  <c r="BV88" i="24"/>
  <c r="BW88" i="24"/>
  <c r="BX88" i="24"/>
  <c r="BY88" i="24"/>
  <c r="BZ88" i="24"/>
  <c r="CA88" i="24"/>
  <c r="CB88" i="24"/>
  <c r="CC88" i="24"/>
  <c r="CD88" i="24"/>
  <c r="CE88" i="24"/>
  <c r="CF88" i="24"/>
  <c r="CG88" i="24"/>
  <c r="CH88" i="24"/>
  <c r="CI88" i="24"/>
  <c r="CJ88" i="24"/>
  <c r="CK88" i="24"/>
  <c r="CL88" i="24"/>
  <c r="CM88" i="24"/>
  <c r="CN88" i="24"/>
  <c r="CO88" i="24"/>
  <c r="CP88" i="24"/>
  <c r="CQ88" i="24"/>
  <c r="CR88" i="24"/>
  <c r="CS88" i="24"/>
  <c r="CT88" i="24"/>
  <c r="CU88" i="24"/>
  <c r="CV88" i="24"/>
  <c r="CW88" i="24"/>
  <c r="CX88" i="24"/>
  <c r="CY88" i="24"/>
  <c r="CZ88" i="24"/>
  <c r="DA88" i="24"/>
  <c r="DB88" i="24"/>
  <c r="DC88" i="24"/>
  <c r="DD88" i="24"/>
  <c r="DE88" i="24"/>
  <c r="DF88" i="24"/>
  <c r="DG88" i="24"/>
  <c r="DH88" i="24"/>
  <c r="DI88" i="24"/>
  <c r="DJ88" i="24"/>
  <c r="DK88" i="24"/>
  <c r="DL88" i="24"/>
  <c r="DM88" i="24"/>
  <c r="DN88" i="24"/>
  <c r="DO88" i="24"/>
  <c r="DP88" i="24"/>
  <c r="DQ88" i="24"/>
  <c r="DR88" i="24"/>
  <c r="DS88" i="24"/>
  <c r="DT88" i="24"/>
  <c r="DU88" i="24"/>
  <c r="DV88" i="24"/>
  <c r="DW88" i="24"/>
  <c r="DX88" i="24"/>
  <c r="DY88" i="24"/>
  <c r="DZ88" i="24"/>
  <c r="EA88" i="24"/>
  <c r="EB88" i="24"/>
  <c r="EC88" i="24"/>
  <c r="ED88" i="24"/>
  <c r="EE88" i="24"/>
  <c r="EF88" i="24"/>
  <c r="EG88" i="24"/>
  <c r="EH88" i="24"/>
  <c r="EI88" i="24"/>
  <c r="EJ88" i="24"/>
  <c r="EK88" i="24"/>
  <c r="EL88" i="24"/>
  <c r="EM88" i="24"/>
  <c r="EN88" i="24"/>
  <c r="EO88" i="24"/>
  <c r="EP88" i="24"/>
  <c r="EQ88" i="24"/>
  <c r="ER88" i="24"/>
  <c r="ES88" i="24"/>
  <c r="ET88" i="24"/>
  <c r="EU88" i="24"/>
  <c r="EV88" i="24"/>
  <c r="EW88" i="24"/>
  <c r="EX88" i="24"/>
  <c r="EY88" i="24"/>
  <c r="EZ88" i="24"/>
  <c r="FA88" i="24"/>
  <c r="FB88" i="24"/>
  <c r="FC88" i="24"/>
  <c r="FD88" i="24"/>
  <c r="FE88" i="24"/>
  <c r="FF88" i="24"/>
  <c r="FG88" i="24"/>
  <c r="FH88" i="24"/>
  <c r="FI88" i="24"/>
  <c r="FJ88" i="24"/>
  <c r="FK88" i="24"/>
  <c r="FL88" i="24"/>
  <c r="FM88" i="24"/>
  <c r="FN88" i="24"/>
  <c r="FO88" i="24"/>
  <c r="FP88" i="24"/>
  <c r="FQ88" i="24"/>
  <c r="FR88" i="24"/>
  <c r="FS88" i="24"/>
  <c r="FT88" i="24"/>
  <c r="FU88" i="24"/>
  <c r="FV88" i="24"/>
  <c r="FW88" i="24"/>
  <c r="FX88" i="24"/>
  <c r="FY88" i="24"/>
  <c r="FZ88" i="24"/>
  <c r="GA88" i="24"/>
  <c r="GB88" i="24"/>
  <c r="GC88" i="24"/>
  <c r="GD88" i="24"/>
  <c r="GE88" i="24"/>
  <c r="GF88" i="24"/>
  <c r="GG88" i="24"/>
  <c r="GH88" i="24"/>
  <c r="GI88" i="24"/>
  <c r="GJ88" i="24"/>
  <c r="GK88" i="24"/>
  <c r="GL88" i="24"/>
  <c r="GM88" i="24"/>
  <c r="GN88" i="24"/>
  <c r="GO88" i="24"/>
  <c r="GP88" i="24"/>
  <c r="GQ88" i="24"/>
  <c r="GR88" i="24"/>
  <c r="GS88" i="24"/>
  <c r="GT88" i="24"/>
  <c r="C89" i="24"/>
  <c r="D89" i="24"/>
  <c r="E89" i="24"/>
  <c r="F89" i="24"/>
  <c r="G89" i="24"/>
  <c r="H89" i="24"/>
  <c r="I89" i="24"/>
  <c r="J89" i="24"/>
  <c r="K89" i="24"/>
  <c r="L89" i="24"/>
  <c r="M89" i="24"/>
  <c r="N89" i="24"/>
  <c r="O89" i="24"/>
  <c r="P89" i="24"/>
  <c r="Q89" i="24"/>
  <c r="R89" i="24"/>
  <c r="S89" i="24"/>
  <c r="T89" i="24"/>
  <c r="U89" i="24"/>
  <c r="V89" i="24"/>
  <c r="W89" i="24"/>
  <c r="X89" i="24"/>
  <c r="Y89" i="24"/>
  <c r="Z89" i="24"/>
  <c r="AA89" i="24"/>
  <c r="AB89" i="24"/>
  <c r="AC89" i="24"/>
  <c r="AD89" i="24"/>
  <c r="AE89" i="24"/>
  <c r="AF89" i="24"/>
  <c r="AG89" i="24"/>
  <c r="AH89" i="24"/>
  <c r="AI89" i="24"/>
  <c r="AJ89" i="24"/>
  <c r="AK89" i="24"/>
  <c r="AL89" i="24"/>
  <c r="AM89" i="24"/>
  <c r="AN89" i="24"/>
  <c r="AO89" i="24"/>
  <c r="AP89" i="24"/>
  <c r="AQ89" i="24"/>
  <c r="AR89" i="24"/>
  <c r="AS89" i="24"/>
  <c r="AT89" i="24"/>
  <c r="AU89" i="24"/>
  <c r="AV89" i="24"/>
  <c r="AW89" i="24"/>
  <c r="AX89" i="24"/>
  <c r="AY89" i="24"/>
  <c r="AZ89" i="24"/>
  <c r="BA89" i="24"/>
  <c r="BB89" i="24"/>
  <c r="BC89" i="24"/>
  <c r="BD89" i="24"/>
  <c r="BE89" i="24"/>
  <c r="BF89" i="24"/>
  <c r="BG89" i="24"/>
  <c r="BH89" i="24"/>
  <c r="BI89" i="24"/>
  <c r="BJ89" i="24"/>
  <c r="BK89" i="24"/>
  <c r="BL89" i="24"/>
  <c r="BM89" i="24"/>
  <c r="BN89" i="24"/>
  <c r="BO89" i="24"/>
  <c r="BP89" i="24"/>
  <c r="BQ89" i="24"/>
  <c r="BR89" i="24"/>
  <c r="BS89" i="24"/>
  <c r="BT89" i="24"/>
  <c r="BU89" i="24"/>
  <c r="BV89" i="24"/>
  <c r="BW89" i="24"/>
  <c r="BX89" i="24"/>
  <c r="BY89" i="24"/>
  <c r="BZ89" i="24"/>
  <c r="CA89" i="24"/>
  <c r="CB89" i="24"/>
  <c r="CC89" i="24"/>
  <c r="CD89" i="24"/>
  <c r="CE89" i="24"/>
  <c r="CF89" i="24"/>
  <c r="CG89" i="24"/>
  <c r="CH89" i="24"/>
  <c r="CI89" i="24"/>
  <c r="CJ89" i="24"/>
  <c r="CK89" i="24"/>
  <c r="CL89" i="24"/>
  <c r="CM89" i="24"/>
  <c r="CN89" i="24"/>
  <c r="CO89" i="24"/>
  <c r="CP89" i="24"/>
  <c r="CQ89" i="24"/>
  <c r="CR89" i="24"/>
  <c r="CS89" i="24"/>
  <c r="CT89" i="24"/>
  <c r="CU89" i="24"/>
  <c r="CV89" i="24"/>
  <c r="CW89" i="24"/>
  <c r="CX89" i="24"/>
  <c r="CY89" i="24"/>
  <c r="CZ89" i="24"/>
  <c r="DA89" i="24"/>
  <c r="DB89" i="24"/>
  <c r="DC89" i="24"/>
  <c r="DD89" i="24"/>
  <c r="DE89" i="24"/>
  <c r="DF89" i="24"/>
  <c r="DG89" i="24"/>
  <c r="DH89" i="24"/>
  <c r="DI89" i="24"/>
  <c r="DJ89" i="24"/>
  <c r="DK89" i="24"/>
  <c r="DL89" i="24"/>
  <c r="DM89" i="24"/>
  <c r="DN89" i="24"/>
  <c r="DO89" i="24"/>
  <c r="DP89" i="24"/>
  <c r="DQ89" i="24"/>
  <c r="DR89" i="24"/>
  <c r="DS89" i="24"/>
  <c r="DT89" i="24"/>
  <c r="DU89" i="24"/>
  <c r="DV89" i="24"/>
  <c r="DW89" i="24"/>
  <c r="DX89" i="24"/>
  <c r="DY89" i="24"/>
  <c r="DZ89" i="24"/>
  <c r="EA89" i="24"/>
  <c r="EB89" i="24"/>
  <c r="EC89" i="24"/>
  <c r="ED89" i="24"/>
  <c r="EE89" i="24"/>
  <c r="EF89" i="24"/>
  <c r="EG89" i="24"/>
  <c r="EH89" i="24"/>
  <c r="EI89" i="24"/>
  <c r="EJ89" i="24"/>
  <c r="EK89" i="24"/>
  <c r="EL89" i="24"/>
  <c r="EM89" i="24"/>
  <c r="EN89" i="24"/>
  <c r="EO89" i="24"/>
  <c r="EP89" i="24"/>
  <c r="EQ89" i="24"/>
  <c r="ER89" i="24"/>
  <c r="ES89" i="24"/>
  <c r="ET89" i="24"/>
  <c r="EU89" i="24"/>
  <c r="EV89" i="24"/>
  <c r="EW89" i="24"/>
  <c r="EX89" i="24"/>
  <c r="EY89" i="24"/>
  <c r="EZ89" i="24"/>
  <c r="FA89" i="24"/>
  <c r="FB89" i="24"/>
  <c r="FC89" i="24"/>
  <c r="FD89" i="24"/>
  <c r="FE89" i="24"/>
  <c r="FF89" i="24"/>
  <c r="FG89" i="24"/>
  <c r="FH89" i="24"/>
  <c r="FI89" i="24"/>
  <c r="FJ89" i="24"/>
  <c r="FK89" i="24"/>
  <c r="FL89" i="24"/>
  <c r="FM89" i="24"/>
  <c r="FN89" i="24"/>
  <c r="FO89" i="24"/>
  <c r="FP89" i="24"/>
  <c r="FQ89" i="24"/>
  <c r="FR89" i="24"/>
  <c r="FS89" i="24"/>
  <c r="FT89" i="24"/>
  <c r="FU89" i="24"/>
  <c r="FV89" i="24"/>
  <c r="FW89" i="24"/>
  <c r="FX89" i="24"/>
  <c r="FY89" i="24"/>
  <c r="FZ89" i="24"/>
  <c r="GA89" i="24"/>
  <c r="GB89" i="24"/>
  <c r="GC89" i="24"/>
  <c r="GD89" i="24"/>
  <c r="GE89" i="24"/>
  <c r="GF89" i="24"/>
  <c r="GG89" i="24"/>
  <c r="GH89" i="24"/>
  <c r="GI89" i="24"/>
  <c r="GJ89" i="24"/>
  <c r="GK89" i="24"/>
  <c r="GL89" i="24"/>
  <c r="GM89" i="24"/>
  <c r="GN89" i="24"/>
  <c r="GO89" i="24"/>
  <c r="GP89" i="24"/>
  <c r="GQ89" i="24"/>
  <c r="GR89" i="24"/>
  <c r="GS89" i="24"/>
  <c r="GT89" i="24"/>
  <c r="C90" i="24"/>
  <c r="D90" i="24"/>
  <c r="E90" i="24"/>
  <c r="F90" i="24"/>
  <c r="G90" i="24"/>
  <c r="H90" i="24"/>
  <c r="I90" i="24"/>
  <c r="J90" i="24"/>
  <c r="K90" i="24"/>
  <c r="L90" i="24"/>
  <c r="M90" i="24"/>
  <c r="N90" i="24"/>
  <c r="O90" i="24"/>
  <c r="P90" i="24"/>
  <c r="Q90" i="24"/>
  <c r="R90" i="24"/>
  <c r="S90" i="24"/>
  <c r="T90" i="24"/>
  <c r="U90" i="24"/>
  <c r="V90" i="24"/>
  <c r="W90" i="24"/>
  <c r="X90" i="24"/>
  <c r="Y90" i="24"/>
  <c r="Z90" i="24"/>
  <c r="AA90" i="24"/>
  <c r="AB90" i="24"/>
  <c r="AC90" i="24"/>
  <c r="AD90" i="24"/>
  <c r="AE90" i="24"/>
  <c r="AF90" i="24"/>
  <c r="AG90" i="24"/>
  <c r="AH90" i="24"/>
  <c r="AI90" i="24"/>
  <c r="AJ90" i="24"/>
  <c r="AK90" i="24"/>
  <c r="AL90" i="24"/>
  <c r="AM90" i="24"/>
  <c r="AN90" i="24"/>
  <c r="AO90" i="24"/>
  <c r="AP90" i="24"/>
  <c r="AQ90" i="24"/>
  <c r="AR90" i="24"/>
  <c r="AS90" i="24"/>
  <c r="AT90" i="24"/>
  <c r="AU90" i="24"/>
  <c r="AV90" i="24"/>
  <c r="AW90" i="24"/>
  <c r="AX90" i="24"/>
  <c r="AY90" i="24"/>
  <c r="AZ90" i="24"/>
  <c r="BA90" i="24"/>
  <c r="BB90" i="24"/>
  <c r="BC90" i="24"/>
  <c r="BD90" i="24"/>
  <c r="BE90" i="24"/>
  <c r="BF90" i="24"/>
  <c r="BG90" i="24"/>
  <c r="BH90" i="24"/>
  <c r="BI90" i="24"/>
  <c r="BJ90" i="24"/>
  <c r="BK90" i="24"/>
  <c r="BL90" i="24"/>
  <c r="BM90" i="24"/>
  <c r="BN90" i="24"/>
  <c r="BO90" i="24"/>
  <c r="BP90" i="24"/>
  <c r="BQ90" i="24"/>
  <c r="BR90" i="24"/>
  <c r="BS90" i="24"/>
  <c r="BT90" i="24"/>
  <c r="BU90" i="24"/>
  <c r="BV90" i="24"/>
  <c r="BW90" i="24"/>
  <c r="BX90" i="24"/>
  <c r="BY90" i="24"/>
  <c r="BZ90" i="24"/>
  <c r="CA90" i="24"/>
  <c r="CB90" i="24"/>
  <c r="CC90" i="24"/>
  <c r="CD90" i="24"/>
  <c r="CE90" i="24"/>
  <c r="CF90" i="24"/>
  <c r="CG90" i="24"/>
  <c r="CH90" i="24"/>
  <c r="CI90" i="24"/>
  <c r="CJ90" i="24"/>
  <c r="CK90" i="24"/>
  <c r="CL90" i="24"/>
  <c r="CM90" i="24"/>
  <c r="CN90" i="24"/>
  <c r="CO90" i="24"/>
  <c r="CP90" i="24"/>
  <c r="CQ90" i="24"/>
  <c r="CR90" i="24"/>
  <c r="CS90" i="24"/>
  <c r="CT90" i="24"/>
  <c r="CU90" i="24"/>
  <c r="CV90" i="24"/>
  <c r="CW90" i="24"/>
  <c r="CX90" i="24"/>
  <c r="CY90" i="24"/>
  <c r="CZ90" i="24"/>
  <c r="DA90" i="24"/>
  <c r="DB90" i="24"/>
  <c r="DC90" i="24"/>
  <c r="DD90" i="24"/>
  <c r="DE90" i="24"/>
  <c r="DF90" i="24"/>
  <c r="DG90" i="24"/>
  <c r="DH90" i="24"/>
  <c r="DI90" i="24"/>
  <c r="DJ90" i="24"/>
  <c r="DK90" i="24"/>
  <c r="DL90" i="24"/>
  <c r="DM90" i="24"/>
  <c r="DN90" i="24"/>
  <c r="DO90" i="24"/>
  <c r="DP90" i="24"/>
  <c r="DQ90" i="24"/>
  <c r="DR90" i="24"/>
  <c r="DS90" i="24"/>
  <c r="DT90" i="24"/>
  <c r="DU90" i="24"/>
  <c r="DV90" i="24"/>
  <c r="DW90" i="24"/>
  <c r="DX90" i="24"/>
  <c r="DY90" i="24"/>
  <c r="DZ90" i="24"/>
  <c r="EA90" i="24"/>
  <c r="EB90" i="24"/>
  <c r="EC90" i="24"/>
  <c r="ED90" i="24"/>
  <c r="EE90" i="24"/>
  <c r="EF90" i="24"/>
  <c r="EG90" i="24"/>
  <c r="EH90" i="24"/>
  <c r="EI90" i="24"/>
  <c r="EJ90" i="24"/>
  <c r="EK90" i="24"/>
  <c r="EL90" i="24"/>
  <c r="EM90" i="24"/>
  <c r="EN90" i="24"/>
  <c r="EO90" i="24"/>
  <c r="EP90" i="24"/>
  <c r="EQ90" i="24"/>
  <c r="ER90" i="24"/>
  <c r="ES90" i="24"/>
  <c r="ET90" i="24"/>
  <c r="EU90" i="24"/>
  <c r="EV90" i="24"/>
  <c r="EW90" i="24"/>
  <c r="EX90" i="24"/>
  <c r="EY90" i="24"/>
  <c r="EZ90" i="24"/>
  <c r="FA90" i="24"/>
  <c r="FB90" i="24"/>
  <c r="FC90" i="24"/>
  <c r="FD90" i="24"/>
  <c r="FE90" i="24"/>
  <c r="FF90" i="24"/>
  <c r="FG90" i="24"/>
  <c r="FH90" i="24"/>
  <c r="FI90" i="24"/>
  <c r="FJ90" i="24"/>
  <c r="FK90" i="24"/>
  <c r="FL90" i="24"/>
  <c r="FM90" i="24"/>
  <c r="FN90" i="24"/>
  <c r="FO90" i="24"/>
  <c r="FP90" i="24"/>
  <c r="FQ90" i="24"/>
  <c r="FR90" i="24"/>
  <c r="FS90" i="24"/>
  <c r="FT90" i="24"/>
  <c r="FU90" i="24"/>
  <c r="FV90" i="24"/>
  <c r="FW90" i="24"/>
  <c r="FX90" i="24"/>
  <c r="FY90" i="24"/>
  <c r="FZ90" i="24"/>
  <c r="GA90" i="24"/>
  <c r="GB90" i="24"/>
  <c r="GC90" i="24"/>
  <c r="GD90" i="24"/>
  <c r="GE90" i="24"/>
  <c r="GF90" i="24"/>
  <c r="GG90" i="24"/>
  <c r="GH90" i="24"/>
  <c r="GI90" i="24"/>
  <c r="GJ90" i="24"/>
  <c r="GK90" i="24"/>
  <c r="GL90" i="24"/>
  <c r="GM90" i="24"/>
  <c r="GN90" i="24"/>
  <c r="GO90" i="24"/>
  <c r="GP90" i="24"/>
  <c r="GQ90" i="24"/>
  <c r="GR90" i="24"/>
  <c r="GS90" i="24"/>
  <c r="GT90" i="24"/>
  <c r="C91" i="24"/>
  <c r="D91" i="24"/>
  <c r="E91" i="24"/>
  <c r="F91" i="24"/>
  <c r="G91" i="24"/>
  <c r="H91" i="24"/>
  <c r="I91" i="24"/>
  <c r="J91" i="24"/>
  <c r="K91" i="24"/>
  <c r="L91" i="24"/>
  <c r="M91" i="24"/>
  <c r="N91" i="24"/>
  <c r="O91" i="24"/>
  <c r="P91" i="24"/>
  <c r="Q91" i="24"/>
  <c r="R91" i="24"/>
  <c r="S91" i="24"/>
  <c r="T91" i="24"/>
  <c r="U91" i="24"/>
  <c r="V91" i="24"/>
  <c r="W91" i="24"/>
  <c r="X91" i="24"/>
  <c r="Y91" i="24"/>
  <c r="Z91" i="24"/>
  <c r="AA91" i="24"/>
  <c r="AB91" i="24"/>
  <c r="AC91" i="24"/>
  <c r="AD91" i="24"/>
  <c r="AE91" i="24"/>
  <c r="AF91" i="24"/>
  <c r="AG91" i="24"/>
  <c r="AH91" i="24"/>
  <c r="AI91" i="24"/>
  <c r="AJ91" i="24"/>
  <c r="AK91" i="24"/>
  <c r="AL91" i="24"/>
  <c r="AM91" i="24"/>
  <c r="AN91" i="24"/>
  <c r="AO91" i="24"/>
  <c r="AP91" i="24"/>
  <c r="AQ91" i="24"/>
  <c r="AR91" i="24"/>
  <c r="AS91" i="24"/>
  <c r="AT91" i="24"/>
  <c r="AU91" i="24"/>
  <c r="AV91" i="24"/>
  <c r="AW91" i="24"/>
  <c r="AX91" i="24"/>
  <c r="AY91" i="24"/>
  <c r="AZ91" i="24"/>
  <c r="BA91" i="24"/>
  <c r="BB91" i="24"/>
  <c r="BC91" i="24"/>
  <c r="BD91" i="24"/>
  <c r="BE91" i="24"/>
  <c r="BF91" i="24"/>
  <c r="BG91" i="24"/>
  <c r="BH91" i="24"/>
  <c r="BI91" i="24"/>
  <c r="BJ91" i="24"/>
  <c r="BK91" i="24"/>
  <c r="BL91" i="24"/>
  <c r="BM91" i="24"/>
  <c r="BN91" i="24"/>
  <c r="BO91" i="24"/>
  <c r="BP91" i="24"/>
  <c r="BQ91" i="24"/>
  <c r="BR91" i="24"/>
  <c r="BS91" i="24"/>
  <c r="BT91" i="24"/>
  <c r="BU91" i="24"/>
  <c r="BV91" i="24"/>
  <c r="BW91" i="24"/>
  <c r="BX91" i="24"/>
  <c r="BY91" i="24"/>
  <c r="BZ91" i="24"/>
  <c r="CA91" i="24"/>
  <c r="CB91" i="24"/>
  <c r="CC91" i="24"/>
  <c r="CD91" i="24"/>
  <c r="CE91" i="24"/>
  <c r="CF91" i="24"/>
  <c r="CG91" i="24"/>
  <c r="CH91" i="24"/>
  <c r="CI91" i="24"/>
  <c r="CJ91" i="24"/>
  <c r="CK91" i="24"/>
  <c r="CL91" i="24"/>
  <c r="CM91" i="24"/>
  <c r="CN91" i="24"/>
  <c r="CO91" i="24"/>
  <c r="CP91" i="24"/>
  <c r="CQ91" i="24"/>
  <c r="CR91" i="24"/>
  <c r="CS91" i="24"/>
  <c r="CT91" i="24"/>
  <c r="CU91" i="24"/>
  <c r="CV91" i="24"/>
  <c r="CW91" i="24"/>
  <c r="CX91" i="24"/>
  <c r="CY91" i="24"/>
  <c r="CZ91" i="24"/>
  <c r="DA91" i="24"/>
  <c r="DB91" i="24"/>
  <c r="DC91" i="24"/>
  <c r="DD91" i="24"/>
  <c r="DE91" i="24"/>
  <c r="DF91" i="24"/>
  <c r="DG91" i="24"/>
  <c r="DH91" i="24"/>
  <c r="DI91" i="24"/>
  <c r="DJ91" i="24"/>
  <c r="DK91" i="24"/>
  <c r="DL91" i="24"/>
  <c r="DM91" i="24"/>
  <c r="DN91" i="24"/>
  <c r="DO91" i="24"/>
  <c r="DP91" i="24"/>
  <c r="DQ91" i="24"/>
  <c r="DR91" i="24"/>
  <c r="DS91" i="24"/>
  <c r="DT91" i="24"/>
  <c r="DU91" i="24"/>
  <c r="DV91" i="24"/>
  <c r="DW91" i="24"/>
  <c r="DX91" i="24"/>
  <c r="DY91" i="24"/>
  <c r="DZ91" i="24"/>
  <c r="EA91" i="24"/>
  <c r="EB91" i="24"/>
  <c r="EC91" i="24"/>
  <c r="ED91" i="24"/>
  <c r="EE91" i="24"/>
  <c r="EF91" i="24"/>
  <c r="EG91" i="24"/>
  <c r="EH91" i="24"/>
  <c r="EI91" i="24"/>
  <c r="EJ91" i="24"/>
  <c r="EK91" i="24"/>
  <c r="EL91" i="24"/>
  <c r="EM91" i="24"/>
  <c r="EN91" i="24"/>
  <c r="EO91" i="24"/>
  <c r="EP91" i="24"/>
  <c r="EQ91" i="24"/>
  <c r="ER91" i="24"/>
  <c r="ES91" i="24"/>
  <c r="ET91" i="24"/>
  <c r="EU91" i="24"/>
  <c r="EV91" i="24"/>
  <c r="EW91" i="24"/>
  <c r="EX91" i="24"/>
  <c r="EY91" i="24"/>
  <c r="EZ91" i="24"/>
  <c r="FA91" i="24"/>
  <c r="FB91" i="24"/>
  <c r="FC91" i="24"/>
  <c r="FD91" i="24"/>
  <c r="FE91" i="24"/>
  <c r="FF91" i="24"/>
  <c r="FG91" i="24"/>
  <c r="FH91" i="24"/>
  <c r="FI91" i="24"/>
  <c r="FJ91" i="24"/>
  <c r="FK91" i="24"/>
  <c r="FL91" i="24"/>
  <c r="FM91" i="24"/>
  <c r="FN91" i="24"/>
  <c r="FO91" i="24"/>
  <c r="FP91" i="24"/>
  <c r="FQ91" i="24"/>
  <c r="FR91" i="24"/>
  <c r="FS91" i="24"/>
  <c r="FT91" i="24"/>
  <c r="FU91" i="24"/>
  <c r="FV91" i="24"/>
  <c r="FW91" i="24"/>
  <c r="FX91" i="24"/>
  <c r="FY91" i="24"/>
  <c r="FZ91" i="24"/>
  <c r="GA91" i="24"/>
  <c r="GB91" i="24"/>
  <c r="GC91" i="24"/>
  <c r="GD91" i="24"/>
  <c r="GE91" i="24"/>
  <c r="GF91" i="24"/>
  <c r="GG91" i="24"/>
  <c r="GH91" i="24"/>
  <c r="GI91" i="24"/>
  <c r="GJ91" i="24"/>
  <c r="GK91" i="24"/>
  <c r="GL91" i="24"/>
  <c r="GM91" i="24"/>
  <c r="GN91" i="24"/>
  <c r="GO91" i="24"/>
  <c r="GP91" i="24"/>
  <c r="GQ91" i="24"/>
  <c r="GR91" i="24"/>
  <c r="GS91" i="24"/>
  <c r="GT91" i="24"/>
  <c r="C92" i="24"/>
  <c r="D92" i="24"/>
  <c r="E92" i="24"/>
  <c r="F92" i="24"/>
  <c r="G92" i="24"/>
  <c r="H92" i="24"/>
  <c r="I92" i="24"/>
  <c r="J92" i="24"/>
  <c r="K92" i="24"/>
  <c r="L92" i="24"/>
  <c r="M92" i="24"/>
  <c r="N92" i="24"/>
  <c r="O92" i="24"/>
  <c r="P92" i="24"/>
  <c r="Q92" i="24"/>
  <c r="R92" i="24"/>
  <c r="S92" i="24"/>
  <c r="T92" i="24"/>
  <c r="U92" i="24"/>
  <c r="V92" i="24"/>
  <c r="W92" i="24"/>
  <c r="X92" i="24"/>
  <c r="Y92" i="24"/>
  <c r="Z92" i="24"/>
  <c r="AA92" i="24"/>
  <c r="AB92" i="24"/>
  <c r="AC92" i="24"/>
  <c r="AD92" i="24"/>
  <c r="AE92" i="24"/>
  <c r="AF92" i="24"/>
  <c r="AG92" i="24"/>
  <c r="AH92" i="24"/>
  <c r="AI92" i="24"/>
  <c r="AJ92" i="24"/>
  <c r="AK92" i="24"/>
  <c r="AL92" i="24"/>
  <c r="AM92" i="24"/>
  <c r="AN92" i="24"/>
  <c r="AO92" i="24"/>
  <c r="AP92" i="24"/>
  <c r="AQ92" i="24"/>
  <c r="AR92" i="24"/>
  <c r="AS92" i="24"/>
  <c r="AT92" i="24"/>
  <c r="AU92" i="24"/>
  <c r="AV92" i="24"/>
  <c r="AW92" i="24"/>
  <c r="AX92" i="24"/>
  <c r="AY92" i="24"/>
  <c r="AZ92" i="24"/>
  <c r="BA92" i="24"/>
  <c r="BB92" i="24"/>
  <c r="BC92" i="24"/>
  <c r="BD92" i="24"/>
  <c r="BE92" i="24"/>
  <c r="BF92" i="24"/>
  <c r="BG92" i="24"/>
  <c r="BH92" i="24"/>
  <c r="BI92" i="24"/>
  <c r="BJ92" i="24"/>
  <c r="BK92" i="24"/>
  <c r="BL92" i="24"/>
  <c r="BM92" i="24"/>
  <c r="BN92" i="24"/>
  <c r="BO92" i="24"/>
  <c r="BP92" i="24"/>
  <c r="BQ92" i="24"/>
  <c r="BR92" i="24"/>
  <c r="BS92" i="24"/>
  <c r="BT92" i="24"/>
  <c r="BU92" i="24"/>
  <c r="BV92" i="24"/>
  <c r="BW92" i="24"/>
  <c r="BX92" i="24"/>
  <c r="BY92" i="24"/>
  <c r="BZ92" i="24"/>
  <c r="CA92" i="24"/>
  <c r="CB92" i="24"/>
  <c r="CC92" i="24"/>
  <c r="CD92" i="24"/>
  <c r="CE92" i="24"/>
  <c r="CF92" i="24"/>
  <c r="CG92" i="24"/>
  <c r="CH92" i="24"/>
  <c r="CI92" i="24"/>
  <c r="CJ92" i="24"/>
  <c r="CK92" i="24"/>
  <c r="CL92" i="24"/>
  <c r="CM92" i="24"/>
  <c r="CN92" i="24"/>
  <c r="CO92" i="24"/>
  <c r="CP92" i="24"/>
  <c r="CQ92" i="24"/>
  <c r="CR92" i="24"/>
  <c r="CS92" i="24"/>
  <c r="CT92" i="24"/>
  <c r="CU92" i="24"/>
  <c r="CV92" i="24"/>
  <c r="CW92" i="24"/>
  <c r="CX92" i="24"/>
  <c r="CY92" i="24"/>
  <c r="CZ92" i="24"/>
  <c r="DA92" i="24"/>
  <c r="DB92" i="24"/>
  <c r="DC92" i="24"/>
  <c r="DD92" i="24"/>
  <c r="DE92" i="24"/>
  <c r="DF92" i="24"/>
  <c r="DG92" i="24"/>
  <c r="DH92" i="24"/>
  <c r="DI92" i="24"/>
  <c r="DJ92" i="24"/>
  <c r="DK92" i="24"/>
  <c r="DL92" i="24"/>
  <c r="DM92" i="24"/>
  <c r="DN92" i="24"/>
  <c r="DO92" i="24"/>
  <c r="DP92" i="24"/>
  <c r="DQ92" i="24"/>
  <c r="DR92" i="24"/>
  <c r="DS92" i="24"/>
  <c r="DT92" i="24"/>
  <c r="DU92" i="24"/>
  <c r="DV92" i="24"/>
  <c r="DW92" i="24"/>
  <c r="DX92" i="24"/>
  <c r="DY92" i="24"/>
  <c r="DZ92" i="24"/>
  <c r="EA92" i="24"/>
  <c r="EB92" i="24"/>
  <c r="EC92" i="24"/>
  <c r="ED92" i="24"/>
  <c r="EE92" i="24"/>
  <c r="EF92" i="24"/>
  <c r="EG92" i="24"/>
  <c r="EH92" i="24"/>
  <c r="EI92" i="24"/>
  <c r="EJ92" i="24"/>
  <c r="EK92" i="24"/>
  <c r="EL92" i="24"/>
  <c r="EM92" i="24"/>
  <c r="EN92" i="24"/>
  <c r="EO92" i="24"/>
  <c r="EP92" i="24"/>
  <c r="EQ92" i="24"/>
  <c r="ER92" i="24"/>
  <c r="ES92" i="24"/>
  <c r="ET92" i="24"/>
  <c r="EU92" i="24"/>
  <c r="EV92" i="24"/>
  <c r="EW92" i="24"/>
  <c r="EX92" i="24"/>
  <c r="EY92" i="24"/>
  <c r="EZ92" i="24"/>
  <c r="FA92" i="24"/>
  <c r="FB92" i="24"/>
  <c r="FC92" i="24"/>
  <c r="FD92" i="24"/>
  <c r="FE92" i="24"/>
  <c r="FF92" i="24"/>
  <c r="FG92" i="24"/>
  <c r="FH92" i="24"/>
  <c r="FI92" i="24"/>
  <c r="FJ92" i="24"/>
  <c r="FK92" i="24"/>
  <c r="FL92" i="24"/>
  <c r="FM92" i="24"/>
  <c r="FN92" i="24"/>
  <c r="FO92" i="24"/>
  <c r="FP92" i="24"/>
  <c r="FQ92" i="24"/>
  <c r="FR92" i="24"/>
  <c r="FS92" i="24"/>
  <c r="FT92" i="24"/>
  <c r="FU92" i="24"/>
  <c r="FV92" i="24"/>
  <c r="FW92" i="24"/>
  <c r="FX92" i="24"/>
  <c r="FY92" i="24"/>
  <c r="FZ92" i="24"/>
  <c r="GA92" i="24"/>
  <c r="GB92" i="24"/>
  <c r="GC92" i="24"/>
  <c r="GD92" i="24"/>
  <c r="GE92" i="24"/>
  <c r="GF92" i="24"/>
  <c r="GG92" i="24"/>
  <c r="GH92" i="24"/>
  <c r="GI92" i="24"/>
  <c r="GJ92" i="24"/>
  <c r="GK92" i="24"/>
  <c r="GL92" i="24"/>
  <c r="GM92" i="24"/>
  <c r="GN92" i="24"/>
  <c r="GO92" i="24"/>
  <c r="GP92" i="24"/>
  <c r="GQ92" i="24"/>
  <c r="GR92" i="24"/>
  <c r="GS92" i="24"/>
  <c r="GT92" i="24"/>
  <c r="C93" i="24"/>
  <c r="D93" i="24"/>
  <c r="E93" i="24"/>
  <c r="F93" i="24"/>
  <c r="G93" i="24"/>
  <c r="H93" i="24"/>
  <c r="I93" i="24"/>
  <c r="J93" i="24"/>
  <c r="K93" i="24"/>
  <c r="L93" i="24"/>
  <c r="M93" i="24"/>
  <c r="N93" i="24"/>
  <c r="O93" i="24"/>
  <c r="P93" i="24"/>
  <c r="Q93" i="24"/>
  <c r="R93" i="24"/>
  <c r="S93" i="24"/>
  <c r="T93" i="24"/>
  <c r="U93" i="24"/>
  <c r="V93" i="24"/>
  <c r="W93" i="24"/>
  <c r="X93" i="24"/>
  <c r="Y93" i="24"/>
  <c r="Z93" i="24"/>
  <c r="AA93" i="24"/>
  <c r="AB93" i="24"/>
  <c r="AC93" i="24"/>
  <c r="AD93" i="24"/>
  <c r="AE93" i="24"/>
  <c r="AF93" i="24"/>
  <c r="AG93" i="24"/>
  <c r="AH93" i="24"/>
  <c r="AI93" i="24"/>
  <c r="AJ93" i="24"/>
  <c r="AK93" i="24"/>
  <c r="AL93" i="24"/>
  <c r="AM93" i="24"/>
  <c r="AN93" i="24"/>
  <c r="AO93" i="24"/>
  <c r="AP93" i="24"/>
  <c r="AQ93" i="24"/>
  <c r="AR93" i="24"/>
  <c r="AS93" i="24"/>
  <c r="AT93" i="24"/>
  <c r="AU93" i="24"/>
  <c r="AV93" i="24"/>
  <c r="AW93" i="24"/>
  <c r="AX93" i="24"/>
  <c r="AY93" i="24"/>
  <c r="AZ93" i="24"/>
  <c r="BA93" i="24"/>
  <c r="BB93" i="24"/>
  <c r="BC93" i="24"/>
  <c r="BD93" i="24"/>
  <c r="BE93" i="24"/>
  <c r="BF93" i="24"/>
  <c r="BG93" i="24"/>
  <c r="BH93" i="24"/>
  <c r="BI93" i="24"/>
  <c r="BJ93" i="24"/>
  <c r="BK93" i="24"/>
  <c r="BL93" i="24"/>
  <c r="BM93" i="24"/>
  <c r="BN93" i="24"/>
  <c r="BO93" i="24"/>
  <c r="BP93" i="24"/>
  <c r="BQ93" i="24"/>
  <c r="BR93" i="24"/>
  <c r="BS93" i="24"/>
  <c r="BT93" i="24"/>
  <c r="BU93" i="24"/>
  <c r="BV93" i="24"/>
  <c r="BW93" i="24"/>
  <c r="BX93" i="24"/>
  <c r="BY93" i="24"/>
  <c r="BZ93" i="24"/>
  <c r="CA93" i="24"/>
  <c r="CB93" i="24"/>
  <c r="CC93" i="24"/>
  <c r="CD93" i="24"/>
  <c r="CE93" i="24"/>
  <c r="CF93" i="24"/>
  <c r="CG93" i="24"/>
  <c r="CH93" i="24"/>
  <c r="CI93" i="24"/>
  <c r="CJ93" i="24"/>
  <c r="CK93" i="24"/>
  <c r="CL93" i="24"/>
  <c r="CM93" i="24"/>
  <c r="CN93" i="24"/>
  <c r="CO93" i="24"/>
  <c r="CP93" i="24"/>
  <c r="CQ93" i="24"/>
  <c r="CR93" i="24"/>
  <c r="CS93" i="24"/>
  <c r="CT93" i="24"/>
  <c r="CU93" i="24"/>
  <c r="CV93" i="24"/>
  <c r="CW93" i="24"/>
  <c r="CX93" i="24"/>
  <c r="CY93" i="24"/>
  <c r="CZ93" i="24"/>
  <c r="DA93" i="24"/>
  <c r="DB93" i="24"/>
  <c r="DC93" i="24"/>
  <c r="DD93" i="24"/>
  <c r="DE93" i="24"/>
  <c r="DF93" i="24"/>
  <c r="DG93" i="24"/>
  <c r="DH93" i="24"/>
  <c r="DI93" i="24"/>
  <c r="DJ93" i="24"/>
  <c r="DK93" i="24"/>
  <c r="DL93" i="24"/>
  <c r="DM93" i="24"/>
  <c r="DN93" i="24"/>
  <c r="DO93" i="24"/>
  <c r="DP93" i="24"/>
  <c r="DQ93" i="24"/>
  <c r="DR93" i="24"/>
  <c r="DS93" i="24"/>
  <c r="DT93" i="24"/>
  <c r="DU93" i="24"/>
  <c r="DV93" i="24"/>
  <c r="DW93" i="24"/>
  <c r="DX93" i="24"/>
  <c r="DY93" i="24"/>
  <c r="DZ93" i="24"/>
  <c r="EA93" i="24"/>
  <c r="EB93" i="24"/>
  <c r="EC93" i="24"/>
  <c r="ED93" i="24"/>
  <c r="EE93" i="24"/>
  <c r="EF93" i="24"/>
  <c r="EG93" i="24"/>
  <c r="EH93" i="24"/>
  <c r="EI93" i="24"/>
  <c r="EJ93" i="24"/>
  <c r="EK93" i="24"/>
  <c r="EL93" i="24"/>
  <c r="EM93" i="24"/>
  <c r="EN93" i="24"/>
  <c r="EO93" i="24"/>
  <c r="EP93" i="24"/>
  <c r="EQ93" i="24"/>
  <c r="ER93" i="24"/>
  <c r="ES93" i="24"/>
  <c r="ET93" i="24"/>
  <c r="EU93" i="24"/>
  <c r="EV93" i="24"/>
  <c r="EW93" i="24"/>
  <c r="EX93" i="24"/>
  <c r="EY93" i="24"/>
  <c r="EZ93" i="24"/>
  <c r="FA93" i="24"/>
  <c r="FB93" i="24"/>
  <c r="FC93" i="24"/>
  <c r="FD93" i="24"/>
  <c r="FE93" i="24"/>
  <c r="FF93" i="24"/>
  <c r="FG93" i="24"/>
  <c r="FH93" i="24"/>
  <c r="FI93" i="24"/>
  <c r="FJ93" i="24"/>
  <c r="FK93" i="24"/>
  <c r="FL93" i="24"/>
  <c r="FM93" i="24"/>
  <c r="FN93" i="24"/>
  <c r="FO93" i="24"/>
  <c r="FP93" i="24"/>
  <c r="FQ93" i="24"/>
  <c r="FR93" i="24"/>
  <c r="FS93" i="24"/>
  <c r="FT93" i="24"/>
  <c r="FU93" i="24"/>
  <c r="FV93" i="24"/>
  <c r="FW93" i="24"/>
  <c r="FX93" i="24"/>
  <c r="FY93" i="24"/>
  <c r="FZ93" i="24"/>
  <c r="GA93" i="24"/>
  <c r="GB93" i="24"/>
  <c r="GC93" i="24"/>
  <c r="GD93" i="24"/>
  <c r="GE93" i="24"/>
  <c r="GF93" i="24"/>
  <c r="GG93" i="24"/>
  <c r="GH93" i="24"/>
  <c r="GI93" i="24"/>
  <c r="GJ93" i="24"/>
  <c r="GK93" i="24"/>
  <c r="GL93" i="24"/>
  <c r="GM93" i="24"/>
  <c r="GN93" i="24"/>
  <c r="GO93" i="24"/>
  <c r="GP93" i="24"/>
  <c r="GQ93" i="24"/>
  <c r="GR93" i="24"/>
  <c r="GS93" i="24"/>
  <c r="GT93" i="24"/>
  <c r="C94" i="24"/>
  <c r="D94" i="24"/>
  <c r="E94" i="24"/>
  <c r="F94" i="24"/>
  <c r="G94" i="24"/>
  <c r="H94" i="24"/>
  <c r="I94" i="24"/>
  <c r="J94" i="24"/>
  <c r="K94" i="24"/>
  <c r="L94" i="24"/>
  <c r="M94" i="24"/>
  <c r="N94" i="24"/>
  <c r="O94" i="24"/>
  <c r="P94" i="24"/>
  <c r="Q94" i="24"/>
  <c r="R94" i="24"/>
  <c r="S94" i="24"/>
  <c r="T94" i="24"/>
  <c r="U94" i="24"/>
  <c r="V94" i="24"/>
  <c r="W94" i="24"/>
  <c r="X94" i="24"/>
  <c r="Y94" i="24"/>
  <c r="Z94" i="24"/>
  <c r="AA94" i="24"/>
  <c r="AB94" i="24"/>
  <c r="AC94" i="24"/>
  <c r="AD94" i="24"/>
  <c r="AE94" i="24"/>
  <c r="AF94" i="24"/>
  <c r="AG94" i="24"/>
  <c r="AH94" i="24"/>
  <c r="AI94" i="24"/>
  <c r="AJ94" i="24"/>
  <c r="AK94" i="24"/>
  <c r="AL94" i="24"/>
  <c r="AM94" i="24"/>
  <c r="AN94" i="24"/>
  <c r="AO94" i="24"/>
  <c r="AP94" i="24"/>
  <c r="AQ94" i="24"/>
  <c r="AR94" i="24"/>
  <c r="AS94" i="24"/>
  <c r="AT94" i="24"/>
  <c r="AU94" i="24"/>
  <c r="AV94" i="24"/>
  <c r="AW94" i="24"/>
  <c r="AX94" i="24"/>
  <c r="AY94" i="24"/>
  <c r="AZ94" i="24"/>
  <c r="BA94" i="24"/>
  <c r="BB94" i="24"/>
  <c r="BC94" i="24"/>
  <c r="BD94" i="24"/>
  <c r="BE94" i="24"/>
  <c r="BF94" i="24"/>
  <c r="BG94" i="24"/>
  <c r="BH94" i="24"/>
  <c r="BI94" i="24"/>
  <c r="BJ94" i="24"/>
  <c r="BK94" i="24"/>
  <c r="BL94" i="24"/>
  <c r="BM94" i="24"/>
  <c r="BN94" i="24"/>
  <c r="BO94" i="24"/>
  <c r="BP94" i="24"/>
  <c r="BQ94" i="24"/>
  <c r="BR94" i="24"/>
  <c r="BS94" i="24"/>
  <c r="BT94" i="24"/>
  <c r="BU94" i="24"/>
  <c r="BV94" i="24"/>
  <c r="BW94" i="24"/>
  <c r="BX94" i="24"/>
  <c r="BY94" i="24"/>
  <c r="BZ94" i="24"/>
  <c r="CA94" i="24"/>
  <c r="CB94" i="24"/>
  <c r="CC94" i="24"/>
  <c r="CD94" i="24"/>
  <c r="CE94" i="24"/>
  <c r="CF94" i="24"/>
  <c r="CG94" i="24"/>
  <c r="CH94" i="24"/>
  <c r="CI94" i="24"/>
  <c r="CJ94" i="24"/>
  <c r="CK94" i="24"/>
  <c r="CL94" i="24"/>
  <c r="CM94" i="24"/>
  <c r="CN94" i="24"/>
  <c r="CO94" i="24"/>
  <c r="CP94" i="24"/>
  <c r="CQ94" i="24"/>
  <c r="CR94" i="24"/>
  <c r="CS94" i="24"/>
  <c r="CT94" i="24"/>
  <c r="CU94" i="24"/>
  <c r="CV94" i="24"/>
  <c r="CW94" i="24"/>
  <c r="CX94" i="24"/>
  <c r="CY94" i="24"/>
  <c r="CZ94" i="24"/>
  <c r="DA94" i="24"/>
  <c r="DB94" i="24"/>
  <c r="DC94" i="24"/>
  <c r="DD94" i="24"/>
  <c r="DE94" i="24"/>
  <c r="DF94" i="24"/>
  <c r="DG94" i="24"/>
  <c r="DH94" i="24"/>
  <c r="DI94" i="24"/>
  <c r="DJ94" i="24"/>
  <c r="DK94" i="24"/>
  <c r="DL94" i="24"/>
  <c r="DM94" i="24"/>
  <c r="DN94" i="24"/>
  <c r="DO94" i="24"/>
  <c r="DP94" i="24"/>
  <c r="DQ94" i="24"/>
  <c r="DR94" i="24"/>
  <c r="DS94" i="24"/>
  <c r="DT94" i="24"/>
  <c r="DU94" i="24"/>
  <c r="DV94" i="24"/>
  <c r="DW94" i="24"/>
  <c r="DX94" i="24"/>
  <c r="DY94" i="24"/>
  <c r="DZ94" i="24"/>
  <c r="EA94" i="24"/>
  <c r="EB94" i="24"/>
  <c r="EC94" i="24"/>
  <c r="ED94" i="24"/>
  <c r="EE94" i="24"/>
  <c r="EF94" i="24"/>
  <c r="EG94" i="24"/>
  <c r="EH94" i="24"/>
  <c r="EI94" i="24"/>
  <c r="EJ94" i="24"/>
  <c r="EK94" i="24"/>
  <c r="EL94" i="24"/>
  <c r="EM94" i="24"/>
  <c r="EN94" i="24"/>
  <c r="EO94" i="24"/>
  <c r="EP94" i="24"/>
  <c r="EQ94" i="24"/>
  <c r="ER94" i="24"/>
  <c r="ES94" i="24"/>
  <c r="ET94" i="24"/>
  <c r="EU94" i="24"/>
  <c r="EV94" i="24"/>
  <c r="EW94" i="24"/>
  <c r="EX94" i="24"/>
  <c r="EY94" i="24"/>
  <c r="EZ94" i="24"/>
  <c r="FA94" i="24"/>
  <c r="FB94" i="24"/>
  <c r="FC94" i="24"/>
  <c r="FD94" i="24"/>
  <c r="FE94" i="24"/>
  <c r="FF94" i="24"/>
  <c r="FG94" i="24"/>
  <c r="FH94" i="24"/>
  <c r="FI94" i="24"/>
  <c r="FJ94" i="24"/>
  <c r="FK94" i="24"/>
  <c r="FL94" i="24"/>
  <c r="FM94" i="24"/>
  <c r="FN94" i="24"/>
  <c r="FO94" i="24"/>
  <c r="FP94" i="24"/>
  <c r="FQ94" i="24"/>
  <c r="FR94" i="24"/>
  <c r="FS94" i="24"/>
  <c r="FT94" i="24"/>
  <c r="FU94" i="24"/>
  <c r="FV94" i="24"/>
  <c r="FW94" i="24"/>
  <c r="FX94" i="24"/>
  <c r="FY94" i="24"/>
  <c r="FZ94" i="24"/>
  <c r="GA94" i="24"/>
  <c r="GB94" i="24"/>
  <c r="GC94" i="24"/>
  <c r="GD94" i="24"/>
  <c r="GE94" i="24"/>
  <c r="GF94" i="24"/>
  <c r="GG94" i="24"/>
  <c r="GH94" i="24"/>
  <c r="GI94" i="24"/>
  <c r="GJ94" i="24"/>
  <c r="GK94" i="24"/>
  <c r="GL94" i="24"/>
  <c r="GM94" i="24"/>
  <c r="GN94" i="24"/>
  <c r="GO94" i="24"/>
  <c r="GP94" i="24"/>
  <c r="GQ94" i="24"/>
  <c r="GR94" i="24"/>
  <c r="GS94" i="24"/>
  <c r="GT94" i="24"/>
  <c r="C95" i="24"/>
  <c r="D95" i="24"/>
  <c r="E95" i="24"/>
  <c r="F95" i="24"/>
  <c r="G95" i="24"/>
  <c r="H95" i="24"/>
  <c r="I95" i="24"/>
  <c r="J95" i="24"/>
  <c r="K95" i="24"/>
  <c r="L95" i="24"/>
  <c r="M95" i="24"/>
  <c r="N95" i="24"/>
  <c r="O95" i="24"/>
  <c r="P95" i="24"/>
  <c r="Q95" i="24"/>
  <c r="R95" i="24"/>
  <c r="S95" i="24"/>
  <c r="T95" i="24"/>
  <c r="U95" i="24"/>
  <c r="V95" i="24"/>
  <c r="W95" i="24"/>
  <c r="X95" i="24"/>
  <c r="Y95" i="24"/>
  <c r="Z95" i="24"/>
  <c r="AA95" i="24"/>
  <c r="AB95" i="24"/>
  <c r="AC95" i="24"/>
  <c r="AD95" i="24"/>
  <c r="AE95" i="24"/>
  <c r="AF95" i="24"/>
  <c r="AG95" i="24"/>
  <c r="AH95" i="24"/>
  <c r="AI95" i="24"/>
  <c r="AJ95" i="24"/>
  <c r="AK95" i="24"/>
  <c r="AL95" i="24"/>
  <c r="AM95" i="24"/>
  <c r="AN95" i="24"/>
  <c r="AO95" i="24"/>
  <c r="AP95" i="24"/>
  <c r="AQ95" i="24"/>
  <c r="AR95" i="24"/>
  <c r="AS95" i="24"/>
  <c r="AT95" i="24"/>
  <c r="AU95" i="24"/>
  <c r="AV95" i="24"/>
  <c r="AW95" i="24"/>
  <c r="AX95" i="24"/>
  <c r="AY95" i="24"/>
  <c r="AZ95" i="24"/>
  <c r="BA95" i="24"/>
  <c r="BB95" i="24"/>
  <c r="BC95" i="24"/>
  <c r="BD95" i="24"/>
  <c r="BE95" i="24"/>
  <c r="BF95" i="24"/>
  <c r="BG95" i="24"/>
  <c r="BH95" i="24"/>
  <c r="BI95" i="24"/>
  <c r="BJ95" i="24"/>
  <c r="BK95" i="24"/>
  <c r="BL95" i="24"/>
  <c r="BM95" i="24"/>
  <c r="BN95" i="24"/>
  <c r="BO95" i="24"/>
  <c r="BP95" i="24"/>
  <c r="BQ95" i="24"/>
  <c r="BR95" i="24"/>
  <c r="BS95" i="24"/>
  <c r="BT95" i="24"/>
  <c r="BU95" i="24"/>
  <c r="BV95" i="24"/>
  <c r="BW95" i="24"/>
  <c r="BX95" i="24"/>
  <c r="BY95" i="24"/>
  <c r="BZ95" i="24"/>
  <c r="CA95" i="24"/>
  <c r="CB95" i="24"/>
  <c r="CC95" i="24"/>
  <c r="CD95" i="24"/>
  <c r="CE95" i="24"/>
  <c r="CF95" i="24"/>
  <c r="CG95" i="24"/>
  <c r="CH95" i="24"/>
  <c r="CI95" i="24"/>
  <c r="CJ95" i="24"/>
  <c r="CK95" i="24"/>
  <c r="CL95" i="24"/>
  <c r="CM95" i="24"/>
  <c r="CN95" i="24"/>
  <c r="CO95" i="24"/>
  <c r="CP95" i="24"/>
  <c r="CQ95" i="24"/>
  <c r="CR95" i="24"/>
  <c r="CS95" i="24"/>
  <c r="CT95" i="24"/>
  <c r="CU95" i="24"/>
  <c r="CV95" i="24"/>
  <c r="CW95" i="24"/>
  <c r="CX95" i="24"/>
  <c r="CY95" i="24"/>
  <c r="CZ95" i="24"/>
  <c r="DA95" i="24"/>
  <c r="DB95" i="24"/>
  <c r="DC95" i="24"/>
  <c r="DD95" i="24"/>
  <c r="DE95" i="24"/>
  <c r="DF95" i="24"/>
  <c r="DG95" i="24"/>
  <c r="DH95" i="24"/>
  <c r="DI95" i="24"/>
  <c r="DJ95" i="24"/>
  <c r="DK95" i="24"/>
  <c r="DL95" i="24"/>
  <c r="DM95" i="24"/>
  <c r="DN95" i="24"/>
  <c r="DO95" i="24"/>
  <c r="DP95" i="24"/>
  <c r="DQ95" i="24"/>
  <c r="DR95" i="24"/>
  <c r="DS95" i="24"/>
  <c r="DT95" i="24"/>
  <c r="DU95" i="24"/>
  <c r="DV95" i="24"/>
  <c r="DW95" i="24"/>
  <c r="DX95" i="24"/>
  <c r="DY95" i="24"/>
  <c r="DZ95" i="24"/>
  <c r="EA95" i="24"/>
  <c r="EB95" i="24"/>
  <c r="EC95" i="24"/>
  <c r="ED95" i="24"/>
  <c r="EE95" i="24"/>
  <c r="EF95" i="24"/>
  <c r="EG95" i="24"/>
  <c r="EH95" i="24"/>
  <c r="EI95" i="24"/>
  <c r="EJ95" i="24"/>
  <c r="EK95" i="24"/>
  <c r="EL95" i="24"/>
  <c r="EM95" i="24"/>
  <c r="EN95" i="24"/>
  <c r="EO95" i="24"/>
  <c r="EP95" i="24"/>
  <c r="EQ95" i="24"/>
  <c r="ER95" i="24"/>
  <c r="ES95" i="24"/>
  <c r="ET95" i="24"/>
  <c r="EU95" i="24"/>
  <c r="EV95" i="24"/>
  <c r="EW95" i="24"/>
  <c r="EX95" i="24"/>
  <c r="EY95" i="24"/>
  <c r="EZ95" i="24"/>
  <c r="FA95" i="24"/>
  <c r="FB95" i="24"/>
  <c r="FC95" i="24"/>
  <c r="FD95" i="24"/>
  <c r="FE95" i="24"/>
  <c r="FF95" i="24"/>
  <c r="FG95" i="24"/>
  <c r="FH95" i="24"/>
  <c r="FI95" i="24"/>
  <c r="FJ95" i="24"/>
  <c r="FK95" i="24"/>
  <c r="FL95" i="24"/>
  <c r="FM95" i="24"/>
  <c r="FN95" i="24"/>
  <c r="FO95" i="24"/>
  <c r="FP95" i="24"/>
  <c r="FQ95" i="24"/>
  <c r="FR95" i="24"/>
  <c r="FS95" i="24"/>
  <c r="FT95" i="24"/>
  <c r="FU95" i="24"/>
  <c r="FV95" i="24"/>
  <c r="FW95" i="24"/>
  <c r="FX95" i="24"/>
  <c r="FY95" i="24"/>
  <c r="FZ95" i="24"/>
  <c r="GA95" i="24"/>
  <c r="GB95" i="24"/>
  <c r="GC95" i="24"/>
  <c r="GD95" i="24"/>
  <c r="GE95" i="24"/>
  <c r="GF95" i="24"/>
  <c r="GG95" i="24"/>
  <c r="GH95" i="24"/>
  <c r="GI95" i="24"/>
  <c r="GJ95" i="24"/>
  <c r="GK95" i="24"/>
  <c r="GL95" i="24"/>
  <c r="GM95" i="24"/>
  <c r="GN95" i="24"/>
  <c r="GO95" i="24"/>
  <c r="GP95" i="24"/>
  <c r="GQ95" i="24"/>
  <c r="GR95" i="24"/>
  <c r="GS95" i="24"/>
  <c r="GT95" i="24"/>
  <c r="C96" i="24"/>
  <c r="D96" i="24"/>
  <c r="E96" i="24"/>
  <c r="F96" i="24"/>
  <c r="G96" i="24"/>
  <c r="H96" i="24"/>
  <c r="I96" i="24"/>
  <c r="J96" i="24"/>
  <c r="K96" i="24"/>
  <c r="L96" i="24"/>
  <c r="M96" i="24"/>
  <c r="N96" i="24"/>
  <c r="O96" i="24"/>
  <c r="P96" i="24"/>
  <c r="Q96" i="24"/>
  <c r="R96" i="24"/>
  <c r="S96" i="24"/>
  <c r="T96" i="24"/>
  <c r="U96" i="24"/>
  <c r="V96" i="24"/>
  <c r="W96" i="24"/>
  <c r="X96" i="24"/>
  <c r="Y96" i="24"/>
  <c r="Z96" i="24"/>
  <c r="AA96" i="24"/>
  <c r="AB96" i="24"/>
  <c r="AC96" i="24"/>
  <c r="AD96" i="24"/>
  <c r="AE96" i="24"/>
  <c r="AF96" i="24"/>
  <c r="AG96" i="24"/>
  <c r="AH96" i="24"/>
  <c r="AI96" i="24"/>
  <c r="AJ96" i="24"/>
  <c r="AK96" i="24"/>
  <c r="AL96" i="24"/>
  <c r="AM96" i="24"/>
  <c r="AN96" i="24"/>
  <c r="AO96" i="24"/>
  <c r="AP96" i="24"/>
  <c r="AQ96" i="24"/>
  <c r="AR96" i="24"/>
  <c r="AS96" i="24"/>
  <c r="AT96" i="24"/>
  <c r="AU96" i="24"/>
  <c r="AV96" i="24"/>
  <c r="AW96" i="24"/>
  <c r="AX96" i="24"/>
  <c r="AY96" i="24"/>
  <c r="AZ96" i="24"/>
  <c r="BA96" i="24"/>
  <c r="BB96" i="24"/>
  <c r="BC96" i="24"/>
  <c r="BD96" i="24"/>
  <c r="BE96" i="24"/>
  <c r="BF96" i="24"/>
  <c r="BG96" i="24"/>
  <c r="BH96" i="24"/>
  <c r="BI96" i="24"/>
  <c r="BJ96" i="24"/>
  <c r="BK96" i="24"/>
  <c r="BL96" i="24"/>
  <c r="BM96" i="24"/>
  <c r="BN96" i="24"/>
  <c r="BO96" i="24"/>
  <c r="BP96" i="24"/>
  <c r="BQ96" i="24"/>
  <c r="BR96" i="24"/>
  <c r="BS96" i="24"/>
  <c r="BT96" i="24"/>
  <c r="BU96" i="24"/>
  <c r="BV96" i="24"/>
  <c r="BW96" i="24"/>
  <c r="BX96" i="24"/>
  <c r="BY96" i="24"/>
  <c r="BZ96" i="24"/>
  <c r="CA96" i="24"/>
  <c r="CB96" i="24"/>
  <c r="CC96" i="24"/>
  <c r="CD96" i="24"/>
  <c r="CE96" i="24"/>
  <c r="CF96" i="24"/>
  <c r="CG96" i="24"/>
  <c r="CH96" i="24"/>
  <c r="CI96" i="24"/>
  <c r="CJ96" i="24"/>
  <c r="CK96" i="24"/>
  <c r="CL96" i="24"/>
  <c r="CM96" i="24"/>
  <c r="CN96" i="24"/>
  <c r="CO96" i="24"/>
  <c r="CP96" i="24"/>
  <c r="CQ96" i="24"/>
  <c r="CR96" i="24"/>
  <c r="CS96" i="24"/>
  <c r="CT96" i="24"/>
  <c r="CU96" i="24"/>
  <c r="CV96" i="24"/>
  <c r="CW96" i="24"/>
  <c r="CX96" i="24"/>
  <c r="CY96" i="24"/>
  <c r="CZ96" i="24"/>
  <c r="DA96" i="24"/>
  <c r="DB96" i="24"/>
  <c r="DC96" i="24"/>
  <c r="DD96" i="24"/>
  <c r="DE96" i="24"/>
  <c r="DF96" i="24"/>
  <c r="DG96" i="24"/>
  <c r="DH96" i="24"/>
  <c r="DI96" i="24"/>
  <c r="DJ96" i="24"/>
  <c r="DK96" i="24"/>
  <c r="DL96" i="24"/>
  <c r="DM96" i="24"/>
  <c r="DN96" i="24"/>
  <c r="DO96" i="24"/>
  <c r="DP96" i="24"/>
  <c r="DQ96" i="24"/>
  <c r="DR96" i="24"/>
  <c r="DS96" i="24"/>
  <c r="DT96" i="24"/>
  <c r="DU96" i="24"/>
  <c r="DV96" i="24"/>
  <c r="DW96" i="24"/>
  <c r="DX96" i="24"/>
  <c r="DY96" i="24"/>
  <c r="DZ96" i="24"/>
  <c r="EA96" i="24"/>
  <c r="EB96" i="24"/>
  <c r="EC96" i="24"/>
  <c r="ED96" i="24"/>
  <c r="EE96" i="24"/>
  <c r="EF96" i="24"/>
  <c r="EG96" i="24"/>
  <c r="EH96" i="24"/>
  <c r="EI96" i="24"/>
  <c r="EJ96" i="24"/>
  <c r="EK96" i="24"/>
  <c r="EL96" i="24"/>
  <c r="EM96" i="24"/>
  <c r="EN96" i="24"/>
  <c r="EO96" i="24"/>
  <c r="EP96" i="24"/>
  <c r="EQ96" i="24"/>
  <c r="ER96" i="24"/>
  <c r="ES96" i="24"/>
  <c r="ET96" i="24"/>
  <c r="EU96" i="24"/>
  <c r="EV96" i="24"/>
  <c r="EW96" i="24"/>
  <c r="EX96" i="24"/>
  <c r="EY96" i="24"/>
  <c r="EZ96" i="24"/>
  <c r="FA96" i="24"/>
  <c r="FB96" i="24"/>
  <c r="FC96" i="24"/>
  <c r="FD96" i="24"/>
  <c r="FE96" i="24"/>
  <c r="FF96" i="24"/>
  <c r="FG96" i="24"/>
  <c r="FH96" i="24"/>
  <c r="FI96" i="24"/>
  <c r="FJ96" i="24"/>
  <c r="FK96" i="24"/>
  <c r="FL96" i="24"/>
  <c r="FM96" i="24"/>
  <c r="FN96" i="24"/>
  <c r="FO96" i="24"/>
  <c r="FP96" i="24"/>
  <c r="FQ96" i="24"/>
  <c r="FR96" i="24"/>
  <c r="FS96" i="24"/>
  <c r="FT96" i="24"/>
  <c r="FU96" i="24"/>
  <c r="FV96" i="24"/>
  <c r="FW96" i="24"/>
  <c r="FX96" i="24"/>
  <c r="FY96" i="24"/>
  <c r="FZ96" i="24"/>
  <c r="GA96" i="24"/>
  <c r="GB96" i="24"/>
  <c r="GC96" i="24"/>
  <c r="GD96" i="24"/>
  <c r="GE96" i="24"/>
  <c r="GF96" i="24"/>
  <c r="GG96" i="24"/>
  <c r="GH96" i="24"/>
  <c r="GI96" i="24"/>
  <c r="GJ96" i="24"/>
  <c r="GK96" i="24"/>
  <c r="GL96" i="24"/>
  <c r="GM96" i="24"/>
  <c r="GN96" i="24"/>
  <c r="GO96" i="24"/>
  <c r="GP96" i="24"/>
  <c r="GQ96" i="24"/>
  <c r="GR96" i="24"/>
  <c r="GS96" i="24"/>
  <c r="GT96" i="24"/>
  <c r="C97" i="24"/>
  <c r="D97" i="24"/>
  <c r="E97" i="24"/>
  <c r="F97" i="24"/>
  <c r="G97" i="24"/>
  <c r="H97" i="24"/>
  <c r="I97" i="24"/>
  <c r="J97" i="24"/>
  <c r="K97" i="24"/>
  <c r="L97" i="24"/>
  <c r="M97" i="24"/>
  <c r="N97" i="24"/>
  <c r="O97" i="24"/>
  <c r="P97" i="24"/>
  <c r="Q97" i="24"/>
  <c r="R97" i="24"/>
  <c r="S97" i="24"/>
  <c r="T97" i="24"/>
  <c r="U97" i="24"/>
  <c r="V97" i="24"/>
  <c r="W97" i="24"/>
  <c r="X97" i="24"/>
  <c r="Y97" i="24"/>
  <c r="Z97" i="24"/>
  <c r="AA97" i="24"/>
  <c r="AB97" i="24"/>
  <c r="AC97" i="24"/>
  <c r="AD97" i="24"/>
  <c r="AE97" i="24"/>
  <c r="AF97" i="24"/>
  <c r="AG97" i="24"/>
  <c r="AH97" i="24"/>
  <c r="AI97" i="24"/>
  <c r="AJ97" i="24"/>
  <c r="AK97" i="24"/>
  <c r="AL97" i="24"/>
  <c r="AM97" i="24"/>
  <c r="AN97" i="24"/>
  <c r="AO97" i="24"/>
  <c r="AP97" i="24"/>
  <c r="AQ97" i="24"/>
  <c r="AR97" i="24"/>
  <c r="AS97" i="24"/>
  <c r="AT97" i="24"/>
  <c r="AU97" i="24"/>
  <c r="AV97" i="24"/>
  <c r="AW97" i="24"/>
  <c r="AX97" i="24"/>
  <c r="AY97" i="24"/>
  <c r="AZ97" i="24"/>
  <c r="BA97" i="24"/>
  <c r="BB97" i="24"/>
  <c r="BC97" i="24"/>
  <c r="BD97" i="24"/>
  <c r="BE97" i="24"/>
  <c r="BF97" i="24"/>
  <c r="BG97" i="24"/>
  <c r="BH97" i="24"/>
  <c r="BI97" i="24"/>
  <c r="BJ97" i="24"/>
  <c r="BK97" i="24"/>
  <c r="BL97" i="24"/>
  <c r="BM97" i="24"/>
  <c r="BN97" i="24"/>
  <c r="BO97" i="24"/>
  <c r="BP97" i="24"/>
  <c r="BQ97" i="24"/>
  <c r="BR97" i="24"/>
  <c r="BS97" i="24"/>
  <c r="BT97" i="24"/>
  <c r="BU97" i="24"/>
  <c r="BV97" i="24"/>
  <c r="BW97" i="24"/>
  <c r="BX97" i="24"/>
  <c r="BY97" i="24"/>
  <c r="BZ97" i="24"/>
  <c r="CA97" i="24"/>
  <c r="CB97" i="24"/>
  <c r="CC97" i="24"/>
  <c r="CD97" i="24"/>
  <c r="CE97" i="24"/>
  <c r="CF97" i="24"/>
  <c r="CG97" i="24"/>
  <c r="CH97" i="24"/>
  <c r="CI97" i="24"/>
  <c r="CJ97" i="24"/>
  <c r="CK97" i="24"/>
  <c r="CL97" i="24"/>
  <c r="CM97" i="24"/>
  <c r="CN97" i="24"/>
  <c r="CO97" i="24"/>
  <c r="CP97" i="24"/>
  <c r="CQ97" i="24"/>
  <c r="CR97" i="24"/>
  <c r="CS97" i="24"/>
  <c r="CT97" i="24"/>
  <c r="CU97" i="24"/>
  <c r="CV97" i="24"/>
  <c r="CW97" i="24"/>
  <c r="CX97" i="24"/>
  <c r="CY97" i="24"/>
  <c r="CZ97" i="24"/>
  <c r="DA97" i="24"/>
  <c r="DB97" i="24"/>
  <c r="DC97" i="24"/>
  <c r="DD97" i="24"/>
  <c r="DE97" i="24"/>
  <c r="DF97" i="24"/>
  <c r="DG97" i="24"/>
  <c r="DH97" i="24"/>
  <c r="DI97" i="24"/>
  <c r="DJ97" i="24"/>
  <c r="DK97" i="24"/>
  <c r="DL97" i="24"/>
  <c r="DM97" i="24"/>
  <c r="DN97" i="24"/>
  <c r="DO97" i="24"/>
  <c r="DP97" i="24"/>
  <c r="DQ97" i="24"/>
  <c r="DR97" i="24"/>
  <c r="DS97" i="24"/>
  <c r="DT97" i="24"/>
  <c r="DU97" i="24"/>
  <c r="DV97" i="24"/>
  <c r="DW97" i="24"/>
  <c r="DX97" i="24"/>
  <c r="DY97" i="24"/>
  <c r="DZ97" i="24"/>
  <c r="EA97" i="24"/>
  <c r="EB97" i="24"/>
  <c r="EC97" i="24"/>
  <c r="ED97" i="24"/>
  <c r="EE97" i="24"/>
  <c r="EF97" i="24"/>
  <c r="EG97" i="24"/>
  <c r="EH97" i="24"/>
  <c r="EI97" i="24"/>
  <c r="EJ97" i="24"/>
  <c r="EK97" i="24"/>
  <c r="EL97" i="24"/>
  <c r="EM97" i="24"/>
  <c r="EN97" i="24"/>
  <c r="EO97" i="24"/>
  <c r="EP97" i="24"/>
  <c r="EQ97" i="24"/>
  <c r="ER97" i="24"/>
  <c r="ES97" i="24"/>
  <c r="ET97" i="24"/>
  <c r="EU97" i="24"/>
  <c r="EV97" i="24"/>
  <c r="EW97" i="24"/>
  <c r="EX97" i="24"/>
  <c r="EY97" i="24"/>
  <c r="EZ97" i="24"/>
  <c r="FA97" i="24"/>
  <c r="FB97" i="24"/>
  <c r="FC97" i="24"/>
  <c r="FD97" i="24"/>
  <c r="FE97" i="24"/>
  <c r="FF97" i="24"/>
  <c r="FG97" i="24"/>
  <c r="FH97" i="24"/>
  <c r="FI97" i="24"/>
  <c r="FJ97" i="24"/>
  <c r="FK97" i="24"/>
  <c r="FL97" i="24"/>
  <c r="FM97" i="24"/>
  <c r="FN97" i="24"/>
  <c r="FO97" i="24"/>
  <c r="FP97" i="24"/>
  <c r="FQ97" i="24"/>
  <c r="FR97" i="24"/>
  <c r="FS97" i="24"/>
  <c r="FT97" i="24"/>
  <c r="FU97" i="24"/>
  <c r="FV97" i="24"/>
  <c r="FW97" i="24"/>
  <c r="FX97" i="24"/>
  <c r="FY97" i="24"/>
  <c r="FZ97" i="24"/>
  <c r="GA97" i="24"/>
  <c r="GB97" i="24"/>
  <c r="GC97" i="24"/>
  <c r="GD97" i="24"/>
  <c r="GE97" i="24"/>
  <c r="GF97" i="24"/>
  <c r="GG97" i="24"/>
  <c r="GH97" i="24"/>
  <c r="GI97" i="24"/>
  <c r="GJ97" i="24"/>
  <c r="GK97" i="24"/>
  <c r="GL97" i="24"/>
  <c r="GM97" i="24"/>
  <c r="GN97" i="24"/>
  <c r="GO97" i="24"/>
  <c r="GP97" i="24"/>
  <c r="GQ97" i="24"/>
  <c r="GR97" i="24"/>
  <c r="GS97" i="24"/>
  <c r="GT97" i="24"/>
  <c r="C98" i="24"/>
  <c r="D98" i="24"/>
  <c r="E98" i="24"/>
  <c r="F98" i="24"/>
  <c r="G98" i="24"/>
  <c r="H98" i="24"/>
  <c r="I98" i="24"/>
  <c r="J98" i="24"/>
  <c r="K98" i="24"/>
  <c r="L98" i="24"/>
  <c r="M98" i="24"/>
  <c r="N98" i="24"/>
  <c r="O98" i="24"/>
  <c r="P98" i="24"/>
  <c r="Q98" i="24"/>
  <c r="R98" i="24"/>
  <c r="S98" i="24"/>
  <c r="T98" i="24"/>
  <c r="U98" i="24"/>
  <c r="V98" i="24"/>
  <c r="W98" i="24"/>
  <c r="X98" i="24"/>
  <c r="Y98" i="24"/>
  <c r="Z98" i="24"/>
  <c r="AA98" i="24"/>
  <c r="AB98" i="24"/>
  <c r="AC98" i="24"/>
  <c r="AD98" i="24"/>
  <c r="AE98" i="24"/>
  <c r="AF98" i="24"/>
  <c r="AG98" i="24"/>
  <c r="AH98" i="24"/>
  <c r="AI98" i="24"/>
  <c r="AJ98" i="24"/>
  <c r="AK98" i="24"/>
  <c r="AL98" i="24"/>
  <c r="AM98" i="24"/>
  <c r="AN98" i="24"/>
  <c r="AO98" i="24"/>
  <c r="AP98" i="24"/>
  <c r="AQ98" i="24"/>
  <c r="AR98" i="24"/>
  <c r="AS98" i="24"/>
  <c r="AT98" i="24"/>
  <c r="AU98" i="24"/>
  <c r="AV98" i="24"/>
  <c r="AW98" i="24"/>
  <c r="AX98" i="24"/>
  <c r="AY98" i="24"/>
  <c r="AZ98" i="24"/>
  <c r="BA98" i="24"/>
  <c r="BB98" i="24"/>
  <c r="BC98" i="24"/>
  <c r="BD98" i="24"/>
  <c r="BE98" i="24"/>
  <c r="BF98" i="24"/>
  <c r="BG98" i="24"/>
  <c r="BH98" i="24"/>
  <c r="BI98" i="24"/>
  <c r="BJ98" i="24"/>
  <c r="BK98" i="24"/>
  <c r="BL98" i="24"/>
  <c r="BM98" i="24"/>
  <c r="BN98" i="24"/>
  <c r="BO98" i="24"/>
  <c r="BP98" i="24"/>
  <c r="BQ98" i="24"/>
  <c r="BR98" i="24"/>
  <c r="BS98" i="24"/>
  <c r="BT98" i="24"/>
  <c r="BU98" i="24"/>
  <c r="BV98" i="24"/>
  <c r="BW98" i="24"/>
  <c r="BX98" i="24"/>
  <c r="BY98" i="24"/>
  <c r="BZ98" i="24"/>
  <c r="CA98" i="24"/>
  <c r="CB98" i="24"/>
  <c r="CC98" i="24"/>
  <c r="CD98" i="24"/>
  <c r="CE98" i="24"/>
  <c r="CF98" i="24"/>
  <c r="CG98" i="24"/>
  <c r="CH98" i="24"/>
  <c r="CI98" i="24"/>
  <c r="CJ98" i="24"/>
  <c r="CK98" i="24"/>
  <c r="CL98" i="24"/>
  <c r="CM98" i="24"/>
  <c r="CN98" i="24"/>
  <c r="CO98" i="24"/>
  <c r="CP98" i="24"/>
  <c r="CQ98" i="24"/>
  <c r="CR98" i="24"/>
  <c r="CS98" i="24"/>
  <c r="CT98" i="24"/>
  <c r="CU98" i="24"/>
  <c r="CV98" i="24"/>
  <c r="CW98" i="24"/>
  <c r="CX98" i="24"/>
  <c r="CY98" i="24"/>
  <c r="CZ98" i="24"/>
  <c r="DA98" i="24"/>
  <c r="DB98" i="24"/>
  <c r="DC98" i="24"/>
  <c r="DD98" i="24"/>
  <c r="DE98" i="24"/>
  <c r="DF98" i="24"/>
  <c r="DG98" i="24"/>
  <c r="DH98" i="24"/>
  <c r="DI98" i="24"/>
  <c r="DJ98" i="24"/>
  <c r="DK98" i="24"/>
  <c r="DL98" i="24"/>
  <c r="DM98" i="24"/>
  <c r="DN98" i="24"/>
  <c r="DO98" i="24"/>
  <c r="DP98" i="24"/>
  <c r="DQ98" i="24"/>
  <c r="DR98" i="24"/>
  <c r="DS98" i="24"/>
  <c r="DT98" i="24"/>
  <c r="DU98" i="24"/>
  <c r="DV98" i="24"/>
  <c r="DW98" i="24"/>
  <c r="DX98" i="24"/>
  <c r="DY98" i="24"/>
  <c r="DZ98" i="24"/>
  <c r="EA98" i="24"/>
  <c r="EB98" i="24"/>
  <c r="EC98" i="24"/>
  <c r="ED98" i="24"/>
  <c r="EE98" i="24"/>
  <c r="EF98" i="24"/>
  <c r="EG98" i="24"/>
  <c r="EH98" i="24"/>
  <c r="EI98" i="24"/>
  <c r="EJ98" i="24"/>
  <c r="EK98" i="24"/>
  <c r="EL98" i="24"/>
  <c r="EM98" i="24"/>
  <c r="EN98" i="24"/>
  <c r="EO98" i="24"/>
  <c r="EP98" i="24"/>
  <c r="EQ98" i="24"/>
  <c r="ER98" i="24"/>
  <c r="ES98" i="24"/>
  <c r="ET98" i="24"/>
  <c r="EU98" i="24"/>
  <c r="EV98" i="24"/>
  <c r="EW98" i="24"/>
  <c r="EX98" i="24"/>
  <c r="EY98" i="24"/>
  <c r="EZ98" i="24"/>
  <c r="FA98" i="24"/>
  <c r="FB98" i="24"/>
  <c r="FC98" i="24"/>
  <c r="FD98" i="24"/>
  <c r="FE98" i="24"/>
  <c r="FF98" i="24"/>
  <c r="FG98" i="24"/>
  <c r="FH98" i="24"/>
  <c r="FI98" i="24"/>
  <c r="FJ98" i="24"/>
  <c r="FK98" i="24"/>
  <c r="FL98" i="24"/>
  <c r="FM98" i="24"/>
  <c r="FN98" i="24"/>
  <c r="FO98" i="24"/>
  <c r="FP98" i="24"/>
  <c r="FQ98" i="24"/>
  <c r="FR98" i="24"/>
  <c r="FS98" i="24"/>
  <c r="FT98" i="24"/>
  <c r="FU98" i="24"/>
  <c r="FV98" i="24"/>
  <c r="FW98" i="24"/>
  <c r="FX98" i="24"/>
  <c r="FY98" i="24"/>
  <c r="FZ98" i="24"/>
  <c r="GA98" i="24"/>
  <c r="GB98" i="24"/>
  <c r="GC98" i="24"/>
  <c r="GD98" i="24"/>
  <c r="GE98" i="24"/>
  <c r="GF98" i="24"/>
  <c r="GG98" i="24"/>
  <c r="GH98" i="24"/>
  <c r="GI98" i="24"/>
  <c r="GJ98" i="24"/>
  <c r="GK98" i="24"/>
  <c r="GL98" i="24"/>
  <c r="GM98" i="24"/>
  <c r="GN98" i="24"/>
  <c r="GO98" i="24"/>
  <c r="GP98" i="24"/>
  <c r="GQ98" i="24"/>
  <c r="GR98" i="24"/>
  <c r="GS98" i="24"/>
  <c r="GT98" i="24"/>
  <c r="C99" i="24"/>
  <c r="D99" i="24"/>
  <c r="E99" i="24"/>
  <c r="F99" i="24"/>
  <c r="G99" i="24"/>
  <c r="H99" i="24"/>
  <c r="I99" i="24"/>
  <c r="J99" i="24"/>
  <c r="K99" i="24"/>
  <c r="L99" i="24"/>
  <c r="M99" i="24"/>
  <c r="N99" i="24"/>
  <c r="O99" i="24"/>
  <c r="P99" i="24"/>
  <c r="Q99" i="24"/>
  <c r="R99" i="24"/>
  <c r="S99" i="24"/>
  <c r="T99" i="24"/>
  <c r="U99" i="24"/>
  <c r="V99" i="24"/>
  <c r="W99" i="24"/>
  <c r="X99" i="24"/>
  <c r="Y99" i="24"/>
  <c r="Z99" i="24"/>
  <c r="AA99" i="24"/>
  <c r="AB99" i="24"/>
  <c r="AC99" i="24"/>
  <c r="AD99" i="24"/>
  <c r="AE99" i="24"/>
  <c r="AF99" i="24"/>
  <c r="AG99" i="24"/>
  <c r="AH99" i="24"/>
  <c r="AI99" i="24"/>
  <c r="AJ99" i="24"/>
  <c r="AK99" i="24"/>
  <c r="AL99" i="24"/>
  <c r="AM99" i="24"/>
  <c r="AN99" i="24"/>
  <c r="AO99" i="24"/>
  <c r="AP99" i="24"/>
  <c r="AQ99" i="24"/>
  <c r="AR99" i="24"/>
  <c r="AS99" i="24"/>
  <c r="AT99" i="24"/>
  <c r="AU99" i="24"/>
  <c r="AV99" i="24"/>
  <c r="AW99" i="24"/>
  <c r="AX99" i="24"/>
  <c r="AY99" i="24"/>
  <c r="AZ99" i="24"/>
  <c r="BA99" i="24"/>
  <c r="BB99" i="24"/>
  <c r="BC99" i="24"/>
  <c r="BD99" i="24"/>
  <c r="BE99" i="24"/>
  <c r="BF99" i="24"/>
  <c r="BG99" i="24"/>
  <c r="BH99" i="24"/>
  <c r="BI99" i="24"/>
  <c r="BJ99" i="24"/>
  <c r="BK99" i="24"/>
  <c r="BL99" i="24"/>
  <c r="BM99" i="24"/>
  <c r="BN99" i="24"/>
  <c r="BO99" i="24"/>
  <c r="BP99" i="24"/>
  <c r="BQ99" i="24"/>
  <c r="BR99" i="24"/>
  <c r="BS99" i="24"/>
  <c r="BT99" i="24"/>
  <c r="BU99" i="24"/>
  <c r="BV99" i="24"/>
  <c r="BW99" i="24"/>
  <c r="BX99" i="24"/>
  <c r="BY99" i="24"/>
  <c r="BZ99" i="24"/>
  <c r="CA99" i="24"/>
  <c r="CB99" i="24"/>
  <c r="CC99" i="24"/>
  <c r="CD99" i="24"/>
  <c r="CE99" i="24"/>
  <c r="CF99" i="24"/>
  <c r="CG99" i="24"/>
  <c r="CH99" i="24"/>
  <c r="CI99" i="24"/>
  <c r="CJ99" i="24"/>
  <c r="CK99" i="24"/>
  <c r="CL99" i="24"/>
  <c r="CM99" i="24"/>
  <c r="CN99" i="24"/>
  <c r="CO99" i="24"/>
  <c r="CP99" i="24"/>
  <c r="CQ99" i="24"/>
  <c r="CR99" i="24"/>
  <c r="CS99" i="24"/>
  <c r="CT99" i="24"/>
  <c r="CU99" i="24"/>
  <c r="CV99" i="24"/>
  <c r="CW99" i="24"/>
  <c r="CX99" i="24"/>
  <c r="CY99" i="24"/>
  <c r="CZ99" i="24"/>
  <c r="DA99" i="24"/>
  <c r="DB99" i="24"/>
  <c r="DC99" i="24"/>
  <c r="DD99" i="24"/>
  <c r="DE99" i="24"/>
  <c r="DF99" i="24"/>
  <c r="DG99" i="24"/>
  <c r="DH99" i="24"/>
  <c r="DI99" i="24"/>
  <c r="DJ99" i="24"/>
  <c r="DK99" i="24"/>
  <c r="DL99" i="24"/>
  <c r="DM99" i="24"/>
  <c r="DN99" i="24"/>
  <c r="DO99" i="24"/>
  <c r="DP99" i="24"/>
  <c r="DQ99" i="24"/>
  <c r="DR99" i="24"/>
  <c r="DS99" i="24"/>
  <c r="DT99" i="24"/>
  <c r="DU99" i="24"/>
  <c r="DV99" i="24"/>
  <c r="DW99" i="24"/>
  <c r="DX99" i="24"/>
  <c r="DY99" i="24"/>
  <c r="DZ99" i="24"/>
  <c r="EA99" i="24"/>
  <c r="EB99" i="24"/>
  <c r="EC99" i="24"/>
  <c r="ED99" i="24"/>
  <c r="EE99" i="24"/>
  <c r="EF99" i="24"/>
  <c r="EG99" i="24"/>
  <c r="EH99" i="24"/>
  <c r="EI99" i="24"/>
  <c r="EJ99" i="24"/>
  <c r="EK99" i="24"/>
  <c r="EL99" i="24"/>
  <c r="EM99" i="24"/>
  <c r="EN99" i="24"/>
  <c r="EO99" i="24"/>
  <c r="EP99" i="24"/>
  <c r="EQ99" i="24"/>
  <c r="ER99" i="24"/>
  <c r="ES99" i="24"/>
  <c r="ET99" i="24"/>
  <c r="EU99" i="24"/>
  <c r="EV99" i="24"/>
  <c r="EW99" i="24"/>
  <c r="EX99" i="24"/>
  <c r="EY99" i="24"/>
  <c r="EZ99" i="24"/>
  <c r="FA99" i="24"/>
  <c r="FB99" i="24"/>
  <c r="FC99" i="24"/>
  <c r="FD99" i="24"/>
  <c r="FE99" i="24"/>
  <c r="FF99" i="24"/>
  <c r="FG99" i="24"/>
  <c r="FH99" i="24"/>
  <c r="FI99" i="24"/>
  <c r="FJ99" i="24"/>
  <c r="FK99" i="24"/>
  <c r="FL99" i="24"/>
  <c r="FM99" i="24"/>
  <c r="FN99" i="24"/>
  <c r="FO99" i="24"/>
  <c r="FP99" i="24"/>
  <c r="FQ99" i="24"/>
  <c r="FR99" i="24"/>
  <c r="FS99" i="24"/>
  <c r="FT99" i="24"/>
  <c r="FU99" i="24"/>
  <c r="FV99" i="24"/>
  <c r="FW99" i="24"/>
  <c r="FX99" i="24"/>
  <c r="FY99" i="24"/>
  <c r="FZ99" i="24"/>
  <c r="GA99" i="24"/>
  <c r="GB99" i="24"/>
  <c r="GC99" i="24"/>
  <c r="GD99" i="24"/>
  <c r="GE99" i="24"/>
  <c r="GF99" i="24"/>
  <c r="GG99" i="24"/>
  <c r="GH99" i="24"/>
  <c r="GI99" i="24"/>
  <c r="GJ99" i="24"/>
  <c r="GK99" i="24"/>
  <c r="GL99" i="24"/>
  <c r="GM99" i="24"/>
  <c r="GN99" i="24"/>
  <c r="GO99" i="24"/>
  <c r="GP99" i="24"/>
  <c r="GQ99" i="24"/>
  <c r="GR99" i="24"/>
  <c r="GS99" i="24"/>
  <c r="GT99" i="24"/>
  <c r="C100" i="24"/>
  <c r="D100" i="24"/>
  <c r="E100" i="24"/>
  <c r="F100" i="24"/>
  <c r="G100" i="24"/>
  <c r="H100" i="24"/>
  <c r="I100" i="24"/>
  <c r="J100" i="24"/>
  <c r="K100" i="24"/>
  <c r="L100" i="24"/>
  <c r="M100" i="24"/>
  <c r="N100" i="24"/>
  <c r="O100" i="24"/>
  <c r="P100" i="24"/>
  <c r="Q100" i="24"/>
  <c r="R100" i="24"/>
  <c r="S100" i="24"/>
  <c r="T100" i="24"/>
  <c r="U100" i="24"/>
  <c r="V100" i="24"/>
  <c r="W100" i="24"/>
  <c r="X100" i="24"/>
  <c r="Y100" i="24"/>
  <c r="Z100" i="24"/>
  <c r="AA100" i="24"/>
  <c r="AB100" i="24"/>
  <c r="AC100" i="24"/>
  <c r="AD100" i="24"/>
  <c r="AE100" i="24"/>
  <c r="AF100" i="24"/>
  <c r="AG100" i="24"/>
  <c r="AH100" i="24"/>
  <c r="AI100" i="24"/>
  <c r="AJ100" i="24"/>
  <c r="AK100" i="24"/>
  <c r="AL100" i="24"/>
  <c r="AM100" i="24"/>
  <c r="AN100" i="24"/>
  <c r="AO100" i="24"/>
  <c r="AP100" i="24"/>
  <c r="AQ100" i="24"/>
  <c r="AR100" i="24"/>
  <c r="AS100" i="24"/>
  <c r="AT100" i="24"/>
  <c r="AU100" i="24"/>
  <c r="AV100" i="24"/>
  <c r="AW100" i="24"/>
  <c r="AX100" i="24"/>
  <c r="AY100" i="24"/>
  <c r="AZ100" i="24"/>
  <c r="BA100" i="24"/>
  <c r="BB100" i="24"/>
  <c r="BC100" i="24"/>
  <c r="BD100" i="24"/>
  <c r="BE100" i="24"/>
  <c r="BF100" i="24"/>
  <c r="BG100" i="24"/>
  <c r="BH100" i="24"/>
  <c r="BI100" i="24"/>
  <c r="BJ100" i="24"/>
  <c r="BK100" i="24"/>
  <c r="BL100" i="24"/>
  <c r="BM100" i="24"/>
  <c r="BN100" i="24"/>
  <c r="BO100" i="24"/>
  <c r="BP100" i="24"/>
  <c r="BQ100" i="24"/>
  <c r="BR100" i="24"/>
  <c r="BS100" i="24"/>
  <c r="BT100" i="24"/>
  <c r="BU100" i="24"/>
  <c r="BV100" i="24"/>
  <c r="BW100" i="24"/>
  <c r="BX100" i="24"/>
  <c r="BY100" i="24"/>
  <c r="BZ100" i="24"/>
  <c r="CA100" i="24"/>
  <c r="CB100" i="24"/>
  <c r="CC100" i="24"/>
  <c r="CD100" i="24"/>
  <c r="CE100" i="24"/>
  <c r="CF100" i="24"/>
  <c r="CG100" i="24"/>
  <c r="CH100" i="24"/>
  <c r="CI100" i="24"/>
  <c r="CJ100" i="24"/>
  <c r="CK100" i="24"/>
  <c r="CL100" i="24"/>
  <c r="CM100" i="24"/>
  <c r="CN100" i="24"/>
  <c r="CO100" i="24"/>
  <c r="CP100" i="24"/>
  <c r="CQ100" i="24"/>
  <c r="CR100" i="24"/>
  <c r="CS100" i="24"/>
  <c r="CT100" i="24"/>
  <c r="CU100" i="24"/>
  <c r="CV100" i="24"/>
  <c r="CW100" i="24"/>
  <c r="CX100" i="24"/>
  <c r="CY100" i="24"/>
  <c r="CZ100" i="24"/>
  <c r="DA100" i="24"/>
  <c r="DB100" i="24"/>
  <c r="DC100" i="24"/>
  <c r="DD100" i="24"/>
  <c r="DE100" i="24"/>
  <c r="DF100" i="24"/>
  <c r="DG100" i="24"/>
  <c r="DH100" i="24"/>
  <c r="DI100" i="24"/>
  <c r="DJ100" i="24"/>
  <c r="DK100" i="24"/>
  <c r="DL100" i="24"/>
  <c r="DM100" i="24"/>
  <c r="DN100" i="24"/>
  <c r="DO100" i="24"/>
  <c r="DP100" i="24"/>
  <c r="DQ100" i="24"/>
  <c r="DR100" i="24"/>
  <c r="DS100" i="24"/>
  <c r="DT100" i="24"/>
  <c r="DU100" i="24"/>
  <c r="DV100" i="24"/>
  <c r="DW100" i="24"/>
  <c r="DX100" i="24"/>
  <c r="DY100" i="24"/>
  <c r="DZ100" i="24"/>
  <c r="EA100" i="24"/>
  <c r="EB100" i="24"/>
  <c r="EC100" i="24"/>
  <c r="ED100" i="24"/>
  <c r="EE100" i="24"/>
  <c r="EF100" i="24"/>
  <c r="EG100" i="24"/>
  <c r="EH100" i="24"/>
  <c r="EI100" i="24"/>
  <c r="EJ100" i="24"/>
  <c r="EK100" i="24"/>
  <c r="EL100" i="24"/>
  <c r="EM100" i="24"/>
  <c r="EN100" i="24"/>
  <c r="EO100" i="24"/>
  <c r="EP100" i="24"/>
  <c r="EQ100" i="24"/>
  <c r="ER100" i="24"/>
  <c r="ES100" i="24"/>
  <c r="ET100" i="24"/>
  <c r="EU100" i="24"/>
  <c r="EV100" i="24"/>
  <c r="EW100" i="24"/>
  <c r="EX100" i="24"/>
  <c r="EY100" i="24"/>
  <c r="EZ100" i="24"/>
  <c r="FA100" i="24"/>
  <c r="FB100" i="24"/>
  <c r="FC100" i="24"/>
  <c r="FD100" i="24"/>
  <c r="FE100" i="24"/>
  <c r="FF100" i="24"/>
  <c r="FG100" i="24"/>
  <c r="FH100" i="24"/>
  <c r="FI100" i="24"/>
  <c r="FJ100" i="24"/>
  <c r="FK100" i="24"/>
  <c r="FL100" i="24"/>
  <c r="FM100" i="24"/>
  <c r="FN100" i="24"/>
  <c r="FO100" i="24"/>
  <c r="FP100" i="24"/>
  <c r="FQ100" i="24"/>
  <c r="FR100" i="24"/>
  <c r="FS100" i="24"/>
  <c r="FT100" i="24"/>
  <c r="FU100" i="24"/>
  <c r="FV100" i="24"/>
  <c r="FW100" i="24"/>
  <c r="FX100" i="24"/>
  <c r="FY100" i="24"/>
  <c r="FZ100" i="24"/>
  <c r="GA100" i="24"/>
  <c r="GB100" i="24"/>
  <c r="GC100" i="24"/>
  <c r="GD100" i="24"/>
  <c r="GE100" i="24"/>
  <c r="GF100" i="24"/>
  <c r="GG100" i="24"/>
  <c r="GH100" i="24"/>
  <c r="GI100" i="24"/>
  <c r="GJ100" i="24"/>
  <c r="GK100" i="24"/>
  <c r="GL100" i="24"/>
  <c r="GM100" i="24"/>
  <c r="GN100" i="24"/>
  <c r="GO100" i="24"/>
  <c r="GP100" i="24"/>
  <c r="GQ100" i="24"/>
  <c r="GR100" i="24"/>
  <c r="GS100" i="24"/>
  <c r="GT100" i="24"/>
  <c r="C101" i="24"/>
  <c r="D101" i="24"/>
  <c r="E101" i="24"/>
  <c r="F101" i="24"/>
  <c r="G101" i="24"/>
  <c r="H101" i="24"/>
  <c r="I101" i="24"/>
  <c r="J101" i="24"/>
  <c r="K101" i="24"/>
  <c r="L101" i="24"/>
  <c r="M101" i="24"/>
  <c r="N101" i="24"/>
  <c r="O101" i="24"/>
  <c r="P101" i="24"/>
  <c r="Q101" i="24"/>
  <c r="R101" i="24"/>
  <c r="S101" i="24"/>
  <c r="T101" i="24"/>
  <c r="U101" i="24"/>
  <c r="V101" i="24"/>
  <c r="W101" i="24"/>
  <c r="X101" i="24"/>
  <c r="Y101" i="24"/>
  <c r="Z101" i="24"/>
  <c r="AA101" i="24"/>
  <c r="AB101" i="24"/>
  <c r="AC101" i="24"/>
  <c r="AD101" i="24"/>
  <c r="AE101" i="24"/>
  <c r="AF101" i="24"/>
  <c r="AG101" i="24"/>
  <c r="AH101" i="24"/>
  <c r="AI101" i="24"/>
  <c r="AJ101" i="24"/>
  <c r="AK101" i="24"/>
  <c r="AL101" i="24"/>
  <c r="AM101" i="24"/>
  <c r="AN101" i="24"/>
  <c r="AO101" i="24"/>
  <c r="AP101" i="24"/>
  <c r="AQ101" i="24"/>
  <c r="AR101" i="24"/>
  <c r="AS101" i="24"/>
  <c r="AT101" i="24"/>
  <c r="AU101" i="24"/>
  <c r="AV101" i="24"/>
  <c r="AW101" i="24"/>
  <c r="AX101" i="24"/>
  <c r="AY101" i="24"/>
  <c r="AZ101" i="24"/>
  <c r="BA101" i="24"/>
  <c r="BB101" i="24"/>
  <c r="BC101" i="24"/>
  <c r="BD101" i="24"/>
  <c r="BE101" i="24"/>
  <c r="BF101" i="24"/>
  <c r="BG101" i="24"/>
  <c r="BH101" i="24"/>
  <c r="BI101" i="24"/>
  <c r="BJ101" i="24"/>
  <c r="BK101" i="24"/>
  <c r="BL101" i="24"/>
  <c r="BM101" i="24"/>
  <c r="BN101" i="24"/>
  <c r="BO101" i="24"/>
  <c r="BP101" i="24"/>
  <c r="BQ101" i="24"/>
  <c r="BR101" i="24"/>
  <c r="BS101" i="24"/>
  <c r="BT101" i="24"/>
  <c r="BU101" i="24"/>
  <c r="BV101" i="24"/>
  <c r="BW101" i="24"/>
  <c r="BX101" i="24"/>
  <c r="BY101" i="24"/>
  <c r="BZ101" i="24"/>
  <c r="CA101" i="24"/>
  <c r="CB101" i="24"/>
  <c r="CC101" i="24"/>
  <c r="CD101" i="24"/>
  <c r="CE101" i="24"/>
  <c r="CF101" i="24"/>
  <c r="CG101" i="24"/>
  <c r="CH101" i="24"/>
  <c r="CI101" i="24"/>
  <c r="CJ101" i="24"/>
  <c r="CK101" i="24"/>
  <c r="CL101" i="24"/>
  <c r="CM101" i="24"/>
  <c r="CN101" i="24"/>
  <c r="CO101" i="24"/>
  <c r="CP101" i="24"/>
  <c r="CQ101" i="24"/>
  <c r="CR101" i="24"/>
  <c r="CS101" i="24"/>
  <c r="CT101" i="24"/>
  <c r="CU101" i="24"/>
  <c r="CV101" i="24"/>
  <c r="CW101" i="24"/>
  <c r="CX101" i="24"/>
  <c r="CY101" i="24"/>
  <c r="CZ101" i="24"/>
  <c r="DA101" i="24"/>
  <c r="DB101" i="24"/>
  <c r="DC101" i="24"/>
  <c r="DD101" i="24"/>
  <c r="DE101" i="24"/>
  <c r="DF101" i="24"/>
  <c r="DG101" i="24"/>
  <c r="DH101" i="24"/>
  <c r="DI101" i="24"/>
  <c r="DJ101" i="24"/>
  <c r="DK101" i="24"/>
  <c r="DL101" i="24"/>
  <c r="DM101" i="24"/>
  <c r="DN101" i="24"/>
  <c r="DO101" i="24"/>
  <c r="DP101" i="24"/>
  <c r="DQ101" i="24"/>
  <c r="DR101" i="24"/>
  <c r="DS101" i="24"/>
  <c r="DT101" i="24"/>
  <c r="DU101" i="24"/>
  <c r="DV101" i="24"/>
  <c r="DW101" i="24"/>
  <c r="DX101" i="24"/>
  <c r="DY101" i="24"/>
  <c r="DZ101" i="24"/>
  <c r="EA101" i="24"/>
  <c r="EB101" i="24"/>
  <c r="EC101" i="24"/>
  <c r="ED101" i="24"/>
  <c r="EE101" i="24"/>
  <c r="EF101" i="24"/>
  <c r="EG101" i="24"/>
  <c r="EH101" i="24"/>
  <c r="EI101" i="24"/>
  <c r="EJ101" i="24"/>
  <c r="EK101" i="24"/>
  <c r="EL101" i="24"/>
  <c r="EM101" i="24"/>
  <c r="EN101" i="24"/>
  <c r="EO101" i="24"/>
  <c r="EP101" i="24"/>
  <c r="EQ101" i="24"/>
  <c r="ER101" i="24"/>
  <c r="ES101" i="24"/>
  <c r="ET101" i="24"/>
  <c r="EU101" i="24"/>
  <c r="EV101" i="24"/>
  <c r="EW101" i="24"/>
  <c r="EX101" i="24"/>
  <c r="EY101" i="24"/>
  <c r="EZ101" i="24"/>
  <c r="FA101" i="24"/>
  <c r="FB101" i="24"/>
  <c r="FC101" i="24"/>
  <c r="FD101" i="24"/>
  <c r="FE101" i="24"/>
  <c r="FF101" i="24"/>
  <c r="FG101" i="24"/>
  <c r="FH101" i="24"/>
  <c r="FI101" i="24"/>
  <c r="FJ101" i="24"/>
  <c r="FK101" i="24"/>
  <c r="FL101" i="24"/>
  <c r="FM101" i="24"/>
  <c r="FN101" i="24"/>
  <c r="FO101" i="24"/>
  <c r="FP101" i="24"/>
  <c r="FQ101" i="24"/>
  <c r="FR101" i="24"/>
  <c r="FS101" i="24"/>
  <c r="FT101" i="24"/>
  <c r="FU101" i="24"/>
  <c r="FV101" i="24"/>
  <c r="FW101" i="24"/>
  <c r="FX101" i="24"/>
  <c r="FY101" i="24"/>
  <c r="FZ101" i="24"/>
  <c r="GA101" i="24"/>
  <c r="GB101" i="24"/>
  <c r="GC101" i="24"/>
  <c r="GD101" i="24"/>
  <c r="GE101" i="24"/>
  <c r="GF101" i="24"/>
  <c r="GG101" i="24"/>
  <c r="GH101" i="24"/>
  <c r="GI101" i="24"/>
  <c r="GJ101" i="24"/>
  <c r="GK101" i="24"/>
  <c r="GL101" i="24"/>
  <c r="GM101" i="24"/>
  <c r="GN101" i="24"/>
  <c r="GO101" i="24"/>
  <c r="GP101" i="24"/>
  <c r="GQ101" i="24"/>
  <c r="GR101" i="24"/>
  <c r="GS101" i="24"/>
  <c r="GT101" i="24"/>
  <c r="C102" i="24"/>
  <c r="D102" i="24"/>
  <c r="E102" i="24"/>
  <c r="F102" i="24"/>
  <c r="G102" i="24"/>
  <c r="H102" i="24"/>
  <c r="I102" i="24"/>
  <c r="J102" i="24"/>
  <c r="K102" i="24"/>
  <c r="L102" i="24"/>
  <c r="M102" i="24"/>
  <c r="N102" i="24"/>
  <c r="O102" i="24"/>
  <c r="P102" i="24"/>
  <c r="Q102" i="24"/>
  <c r="R102" i="24"/>
  <c r="S102" i="24"/>
  <c r="T102" i="24"/>
  <c r="U102" i="24"/>
  <c r="V102" i="24"/>
  <c r="W102" i="24"/>
  <c r="X102" i="24"/>
  <c r="Y102" i="24"/>
  <c r="Z102" i="24"/>
  <c r="AA102" i="24"/>
  <c r="AB102" i="24"/>
  <c r="AC102" i="24"/>
  <c r="AD102" i="24"/>
  <c r="AE102" i="24"/>
  <c r="AF102" i="24"/>
  <c r="AG102" i="24"/>
  <c r="AH102" i="24"/>
  <c r="AI102" i="24"/>
  <c r="AJ102" i="24"/>
  <c r="AK102" i="24"/>
  <c r="AL102" i="24"/>
  <c r="AM102" i="24"/>
  <c r="AN102" i="24"/>
  <c r="AO102" i="24"/>
  <c r="AP102" i="24"/>
  <c r="AQ102" i="24"/>
  <c r="AR102" i="24"/>
  <c r="AS102" i="24"/>
  <c r="AT102" i="24"/>
  <c r="AU102" i="24"/>
  <c r="AV102" i="24"/>
  <c r="AW102" i="24"/>
  <c r="AX102" i="24"/>
  <c r="AY102" i="24"/>
  <c r="AZ102" i="24"/>
  <c r="BA102" i="24"/>
  <c r="BB102" i="24"/>
  <c r="BC102" i="24"/>
  <c r="BD102" i="24"/>
  <c r="BE102" i="24"/>
  <c r="BF102" i="24"/>
  <c r="BG102" i="24"/>
  <c r="BH102" i="24"/>
  <c r="BI102" i="24"/>
  <c r="BJ102" i="24"/>
  <c r="BK102" i="24"/>
  <c r="BL102" i="24"/>
  <c r="BM102" i="24"/>
  <c r="BN102" i="24"/>
  <c r="BO102" i="24"/>
  <c r="BP102" i="24"/>
  <c r="BQ102" i="24"/>
  <c r="BR102" i="24"/>
  <c r="BS102" i="24"/>
  <c r="BT102" i="24"/>
  <c r="BU102" i="24"/>
  <c r="BV102" i="24"/>
  <c r="BW102" i="24"/>
  <c r="BX102" i="24"/>
  <c r="BY102" i="24"/>
  <c r="BZ102" i="24"/>
  <c r="CA102" i="24"/>
  <c r="CB102" i="24"/>
  <c r="CC102" i="24"/>
  <c r="CD102" i="24"/>
  <c r="CE102" i="24"/>
  <c r="CF102" i="24"/>
  <c r="CG102" i="24"/>
  <c r="CH102" i="24"/>
  <c r="CI102" i="24"/>
  <c r="CJ102" i="24"/>
  <c r="CK102" i="24"/>
  <c r="CL102" i="24"/>
  <c r="CM102" i="24"/>
  <c r="CN102" i="24"/>
  <c r="CO102" i="24"/>
  <c r="CP102" i="24"/>
  <c r="CQ102" i="24"/>
  <c r="CR102" i="24"/>
  <c r="CS102" i="24"/>
  <c r="CT102" i="24"/>
  <c r="CU102" i="24"/>
  <c r="CV102" i="24"/>
  <c r="CW102" i="24"/>
  <c r="CX102" i="24"/>
  <c r="CY102" i="24"/>
  <c r="CZ102" i="24"/>
  <c r="DA102" i="24"/>
  <c r="DB102" i="24"/>
  <c r="DC102" i="24"/>
  <c r="DD102" i="24"/>
  <c r="DE102" i="24"/>
  <c r="DF102" i="24"/>
  <c r="DG102" i="24"/>
  <c r="DH102" i="24"/>
  <c r="DI102" i="24"/>
  <c r="DJ102" i="24"/>
  <c r="DK102" i="24"/>
  <c r="DL102" i="24"/>
  <c r="DM102" i="24"/>
  <c r="DN102" i="24"/>
  <c r="DO102" i="24"/>
  <c r="DP102" i="24"/>
  <c r="DQ102" i="24"/>
  <c r="DR102" i="24"/>
  <c r="DS102" i="24"/>
  <c r="DT102" i="24"/>
  <c r="DU102" i="24"/>
  <c r="DV102" i="24"/>
  <c r="DW102" i="24"/>
  <c r="DX102" i="24"/>
  <c r="DY102" i="24"/>
  <c r="DZ102" i="24"/>
  <c r="EA102" i="24"/>
  <c r="EB102" i="24"/>
  <c r="EC102" i="24"/>
  <c r="ED102" i="24"/>
  <c r="EE102" i="24"/>
  <c r="EF102" i="24"/>
  <c r="EG102" i="24"/>
  <c r="EH102" i="24"/>
  <c r="EI102" i="24"/>
  <c r="EJ102" i="24"/>
  <c r="EK102" i="24"/>
  <c r="EL102" i="24"/>
  <c r="EM102" i="24"/>
  <c r="EN102" i="24"/>
  <c r="EO102" i="24"/>
  <c r="EP102" i="24"/>
  <c r="EQ102" i="24"/>
  <c r="ER102" i="24"/>
  <c r="ES102" i="24"/>
  <c r="ET102" i="24"/>
  <c r="EU102" i="24"/>
  <c r="EV102" i="24"/>
  <c r="EW102" i="24"/>
  <c r="EX102" i="24"/>
  <c r="EY102" i="24"/>
  <c r="EZ102" i="24"/>
  <c r="FA102" i="24"/>
  <c r="FB102" i="24"/>
  <c r="FC102" i="24"/>
  <c r="FD102" i="24"/>
  <c r="FE102" i="24"/>
  <c r="FF102" i="24"/>
  <c r="FG102" i="24"/>
  <c r="FH102" i="24"/>
  <c r="FI102" i="24"/>
  <c r="FJ102" i="24"/>
  <c r="FK102" i="24"/>
  <c r="FL102" i="24"/>
  <c r="FM102" i="24"/>
  <c r="FN102" i="24"/>
  <c r="FO102" i="24"/>
  <c r="FP102" i="24"/>
  <c r="FQ102" i="24"/>
  <c r="FR102" i="24"/>
  <c r="FS102" i="24"/>
  <c r="FT102" i="24"/>
  <c r="FU102" i="24"/>
  <c r="FV102" i="24"/>
  <c r="FW102" i="24"/>
  <c r="FX102" i="24"/>
  <c r="FY102" i="24"/>
  <c r="FZ102" i="24"/>
  <c r="GA102" i="24"/>
  <c r="GB102" i="24"/>
  <c r="GC102" i="24"/>
  <c r="GD102" i="24"/>
  <c r="GE102" i="24"/>
  <c r="GF102" i="24"/>
  <c r="GG102" i="24"/>
  <c r="GH102" i="24"/>
  <c r="GI102" i="24"/>
  <c r="GJ102" i="24"/>
  <c r="GK102" i="24"/>
  <c r="GL102" i="24"/>
  <c r="GM102" i="24"/>
  <c r="GN102" i="24"/>
  <c r="GO102" i="24"/>
  <c r="GP102" i="24"/>
  <c r="GQ102" i="24"/>
  <c r="GR102" i="24"/>
  <c r="GS102" i="24"/>
  <c r="GT102" i="24"/>
  <c r="C103" i="24"/>
  <c r="D103" i="24"/>
  <c r="E103" i="24"/>
  <c r="F103" i="24"/>
  <c r="G103" i="24"/>
  <c r="H103" i="24"/>
  <c r="I103" i="24"/>
  <c r="J103" i="24"/>
  <c r="K103" i="24"/>
  <c r="L103" i="24"/>
  <c r="M103" i="24"/>
  <c r="N103" i="24"/>
  <c r="O103" i="24"/>
  <c r="P103" i="24"/>
  <c r="Q103" i="24"/>
  <c r="R103" i="24"/>
  <c r="S103" i="24"/>
  <c r="T103" i="24"/>
  <c r="U103" i="24"/>
  <c r="V103" i="24"/>
  <c r="W103" i="24"/>
  <c r="X103" i="24"/>
  <c r="Y103" i="24"/>
  <c r="Z103" i="24"/>
  <c r="AA103" i="24"/>
  <c r="AB103" i="24"/>
  <c r="AC103" i="24"/>
  <c r="AD103" i="24"/>
  <c r="AE103" i="24"/>
  <c r="AF103" i="24"/>
  <c r="AG103" i="24"/>
  <c r="AH103" i="24"/>
  <c r="AI103" i="24"/>
  <c r="AJ103" i="24"/>
  <c r="AK103" i="24"/>
  <c r="AL103" i="24"/>
  <c r="AM103" i="24"/>
  <c r="AN103" i="24"/>
  <c r="AO103" i="24"/>
  <c r="AP103" i="24"/>
  <c r="AQ103" i="24"/>
  <c r="AR103" i="24"/>
  <c r="AS103" i="24"/>
  <c r="AT103" i="24"/>
  <c r="AU103" i="24"/>
  <c r="AV103" i="24"/>
  <c r="AW103" i="24"/>
  <c r="AX103" i="24"/>
  <c r="AY103" i="24"/>
  <c r="AZ103" i="24"/>
  <c r="BA103" i="24"/>
  <c r="BB103" i="24"/>
  <c r="BC103" i="24"/>
  <c r="BD103" i="24"/>
  <c r="BE103" i="24"/>
  <c r="BF103" i="24"/>
  <c r="BG103" i="24"/>
  <c r="BH103" i="24"/>
  <c r="BI103" i="24"/>
  <c r="BJ103" i="24"/>
  <c r="BK103" i="24"/>
  <c r="BL103" i="24"/>
  <c r="BM103" i="24"/>
  <c r="BN103" i="24"/>
  <c r="BO103" i="24"/>
  <c r="BP103" i="24"/>
  <c r="BQ103" i="24"/>
  <c r="BR103" i="24"/>
  <c r="BS103" i="24"/>
  <c r="BT103" i="24"/>
  <c r="BU103" i="24"/>
  <c r="BV103" i="24"/>
  <c r="BW103" i="24"/>
  <c r="BX103" i="24"/>
  <c r="BY103" i="24"/>
  <c r="BZ103" i="24"/>
  <c r="CA103" i="24"/>
  <c r="CB103" i="24"/>
  <c r="CC103" i="24"/>
  <c r="CD103" i="24"/>
  <c r="CE103" i="24"/>
  <c r="CF103" i="24"/>
  <c r="CG103" i="24"/>
  <c r="CH103" i="24"/>
  <c r="CI103" i="24"/>
  <c r="CJ103" i="24"/>
  <c r="CK103" i="24"/>
  <c r="CL103" i="24"/>
  <c r="CM103" i="24"/>
  <c r="CN103" i="24"/>
  <c r="CO103" i="24"/>
  <c r="CP103" i="24"/>
  <c r="CQ103" i="24"/>
  <c r="CR103" i="24"/>
  <c r="CS103" i="24"/>
  <c r="CT103" i="24"/>
  <c r="CU103" i="24"/>
  <c r="CV103" i="24"/>
  <c r="CW103" i="24"/>
  <c r="CX103" i="24"/>
  <c r="CY103" i="24"/>
  <c r="CZ103" i="24"/>
  <c r="DA103" i="24"/>
  <c r="DB103" i="24"/>
  <c r="DC103" i="24"/>
  <c r="DD103" i="24"/>
  <c r="DE103" i="24"/>
  <c r="DF103" i="24"/>
  <c r="DG103" i="24"/>
  <c r="DH103" i="24"/>
  <c r="DI103" i="24"/>
  <c r="DJ103" i="24"/>
  <c r="DK103" i="24"/>
  <c r="DL103" i="24"/>
  <c r="DM103" i="24"/>
  <c r="DN103" i="24"/>
  <c r="DO103" i="24"/>
  <c r="DP103" i="24"/>
  <c r="DQ103" i="24"/>
  <c r="DR103" i="24"/>
  <c r="DS103" i="24"/>
  <c r="DT103" i="24"/>
  <c r="DU103" i="24"/>
  <c r="DV103" i="24"/>
  <c r="DW103" i="24"/>
  <c r="DX103" i="24"/>
  <c r="DY103" i="24"/>
  <c r="DZ103" i="24"/>
  <c r="EA103" i="24"/>
  <c r="EB103" i="24"/>
  <c r="EC103" i="24"/>
  <c r="ED103" i="24"/>
  <c r="EE103" i="24"/>
  <c r="EF103" i="24"/>
  <c r="EG103" i="24"/>
  <c r="EH103" i="24"/>
  <c r="EI103" i="24"/>
  <c r="EJ103" i="24"/>
  <c r="EK103" i="24"/>
  <c r="EL103" i="24"/>
  <c r="EM103" i="24"/>
  <c r="EN103" i="24"/>
  <c r="EO103" i="24"/>
  <c r="EP103" i="24"/>
  <c r="EQ103" i="24"/>
  <c r="ER103" i="24"/>
  <c r="ES103" i="24"/>
  <c r="ET103" i="24"/>
  <c r="EU103" i="24"/>
  <c r="EV103" i="24"/>
  <c r="EW103" i="24"/>
  <c r="EX103" i="24"/>
  <c r="EY103" i="24"/>
  <c r="EZ103" i="24"/>
  <c r="FA103" i="24"/>
  <c r="FB103" i="24"/>
  <c r="FC103" i="24"/>
  <c r="FD103" i="24"/>
  <c r="FE103" i="24"/>
  <c r="FF103" i="24"/>
  <c r="FG103" i="24"/>
  <c r="FH103" i="24"/>
  <c r="FI103" i="24"/>
  <c r="FJ103" i="24"/>
  <c r="FK103" i="24"/>
  <c r="FL103" i="24"/>
  <c r="FM103" i="24"/>
  <c r="FN103" i="24"/>
  <c r="FO103" i="24"/>
  <c r="FP103" i="24"/>
  <c r="FQ103" i="24"/>
  <c r="FR103" i="24"/>
  <c r="FS103" i="24"/>
  <c r="FT103" i="24"/>
  <c r="FU103" i="24"/>
  <c r="FV103" i="24"/>
  <c r="FW103" i="24"/>
  <c r="FX103" i="24"/>
  <c r="FY103" i="24"/>
  <c r="FZ103" i="24"/>
  <c r="GA103" i="24"/>
  <c r="GB103" i="24"/>
  <c r="GC103" i="24"/>
  <c r="GD103" i="24"/>
  <c r="GE103" i="24"/>
  <c r="GF103" i="24"/>
  <c r="GG103" i="24"/>
  <c r="GH103" i="24"/>
  <c r="GI103" i="24"/>
  <c r="GJ103" i="24"/>
  <c r="GK103" i="24"/>
  <c r="GL103" i="24"/>
  <c r="GM103" i="24"/>
  <c r="GN103" i="24"/>
  <c r="GO103" i="24"/>
  <c r="GP103" i="24"/>
  <c r="GQ103" i="24"/>
  <c r="GR103" i="24"/>
  <c r="GS103" i="24"/>
  <c r="GT103" i="24"/>
  <c r="B81" i="24"/>
  <c r="B82" i="24"/>
  <c r="B83" i="24"/>
  <c r="B84" i="24"/>
  <c r="B85" i="24"/>
  <c r="B86" i="24"/>
  <c r="B87" i="24"/>
  <c r="B88" i="24"/>
  <c r="B89" i="24"/>
  <c r="B90" i="24"/>
  <c r="B91" i="24"/>
  <c r="B92" i="24"/>
  <c r="B93" i="24"/>
  <c r="B94" i="24"/>
  <c r="B95" i="24"/>
  <c r="B96" i="24"/>
  <c r="B97" i="24"/>
  <c r="B98" i="24"/>
  <c r="B99" i="24"/>
  <c r="B100" i="24"/>
  <c r="B101" i="24"/>
  <c r="B102" i="24"/>
  <c r="B103" i="24"/>
  <c r="B80" i="24"/>
  <c r="C51" i="24"/>
  <c r="D51" i="24"/>
  <c r="E51" i="24"/>
  <c r="F51" i="24"/>
  <c r="G51" i="24"/>
  <c r="H51" i="24"/>
  <c r="I51" i="24"/>
  <c r="J51" i="24"/>
  <c r="K51" i="24"/>
  <c r="L51" i="24"/>
  <c r="M51" i="24"/>
  <c r="N51" i="24"/>
  <c r="O51" i="24"/>
  <c r="P51" i="24"/>
  <c r="Q51" i="24"/>
  <c r="R51" i="24"/>
  <c r="S51" i="24"/>
  <c r="T51" i="24"/>
  <c r="U51" i="24"/>
  <c r="V51" i="24"/>
  <c r="W51" i="24"/>
  <c r="X51" i="24"/>
  <c r="Y51" i="24"/>
  <c r="Z51" i="24"/>
  <c r="AA51" i="24"/>
  <c r="AB51" i="24"/>
  <c r="AC51" i="24"/>
  <c r="AD51" i="24"/>
  <c r="AE51" i="24"/>
  <c r="AF51" i="24"/>
  <c r="AG51" i="24"/>
  <c r="AH51" i="24"/>
  <c r="AI51" i="24"/>
  <c r="AJ51" i="24"/>
  <c r="AK51" i="24"/>
  <c r="AL51" i="24"/>
  <c r="AM51" i="24"/>
  <c r="AN51" i="24"/>
  <c r="AO51" i="24"/>
  <c r="AP51" i="24"/>
  <c r="AQ51" i="24"/>
  <c r="AR51" i="24"/>
  <c r="AS51" i="24"/>
  <c r="AT51" i="24"/>
  <c r="AU51" i="24"/>
  <c r="AV51" i="24"/>
  <c r="AW51" i="24"/>
  <c r="AX51" i="24"/>
  <c r="AY51" i="24"/>
  <c r="AZ51" i="24"/>
  <c r="BA51" i="24"/>
  <c r="BB51" i="24"/>
  <c r="BC51" i="24"/>
  <c r="BD51" i="24"/>
  <c r="BE51" i="24"/>
  <c r="BF51" i="24"/>
  <c r="BG51" i="24"/>
  <c r="BH51" i="24"/>
  <c r="BI51" i="24"/>
  <c r="BJ51" i="24"/>
  <c r="BK51" i="24"/>
  <c r="BL51" i="24"/>
  <c r="BM51" i="24"/>
  <c r="BN51" i="24"/>
  <c r="BO51" i="24"/>
  <c r="BP51" i="24"/>
  <c r="BQ51" i="24"/>
  <c r="BR51" i="24"/>
  <c r="BS51" i="24"/>
  <c r="BT51" i="24"/>
  <c r="BU51" i="24"/>
  <c r="BV51" i="24"/>
  <c r="BW51" i="24"/>
  <c r="BX51" i="24"/>
  <c r="BY51" i="24"/>
  <c r="BZ51" i="24"/>
  <c r="CA51" i="24"/>
  <c r="CB51" i="24"/>
  <c r="CC51" i="24"/>
  <c r="CD51" i="24"/>
  <c r="CE51" i="24"/>
  <c r="CF51" i="24"/>
  <c r="CG51" i="24"/>
  <c r="CH51" i="24"/>
  <c r="CI51" i="24"/>
  <c r="CJ51" i="24"/>
  <c r="CK51" i="24"/>
  <c r="CL51" i="24"/>
  <c r="CM51" i="24"/>
  <c r="CN51" i="24"/>
  <c r="CO51" i="24"/>
  <c r="CP51" i="24"/>
  <c r="CQ51" i="24"/>
  <c r="CR51" i="24"/>
  <c r="CS51" i="24"/>
  <c r="CT51" i="24"/>
  <c r="CU51" i="24"/>
  <c r="CV51" i="24"/>
  <c r="CW51" i="24"/>
  <c r="CX51" i="24"/>
  <c r="CY51" i="24"/>
  <c r="CZ51" i="24"/>
  <c r="DA51" i="24"/>
  <c r="DB51" i="24"/>
  <c r="DC51" i="24"/>
  <c r="DD51" i="24"/>
  <c r="DE51" i="24"/>
  <c r="DF51" i="24"/>
  <c r="DG51" i="24"/>
  <c r="DH51" i="24"/>
  <c r="DI51" i="24"/>
  <c r="DJ51" i="24"/>
  <c r="DK51" i="24"/>
  <c r="DL51" i="24"/>
  <c r="DM51" i="24"/>
  <c r="DN51" i="24"/>
  <c r="DO51" i="24"/>
  <c r="DP51" i="24"/>
  <c r="DQ51" i="24"/>
  <c r="DR51" i="24"/>
  <c r="DS51" i="24"/>
  <c r="DT51" i="24"/>
  <c r="DU51" i="24"/>
  <c r="DV51" i="24"/>
  <c r="DW51" i="24"/>
  <c r="DX51" i="24"/>
  <c r="DY51" i="24"/>
  <c r="DZ51" i="24"/>
  <c r="EA51" i="24"/>
  <c r="EB51" i="24"/>
  <c r="EC51" i="24"/>
  <c r="ED51" i="24"/>
  <c r="EE51" i="24"/>
  <c r="EF51" i="24"/>
  <c r="EG51" i="24"/>
  <c r="EH51" i="24"/>
  <c r="EI51" i="24"/>
  <c r="EJ51" i="24"/>
  <c r="EK51" i="24"/>
  <c r="EL51" i="24"/>
  <c r="EM51" i="24"/>
  <c r="EN51" i="24"/>
  <c r="EO51" i="24"/>
  <c r="EP51" i="24"/>
  <c r="EQ51" i="24"/>
  <c r="ER51" i="24"/>
  <c r="ES51" i="24"/>
  <c r="ET51" i="24"/>
  <c r="EU51" i="24"/>
  <c r="EV51" i="24"/>
  <c r="EW51" i="24"/>
  <c r="EX51" i="24"/>
  <c r="EY51" i="24"/>
  <c r="EZ51" i="24"/>
  <c r="FA51" i="24"/>
  <c r="FB51" i="24"/>
  <c r="FC51" i="24"/>
  <c r="FD51" i="24"/>
  <c r="FE51" i="24"/>
  <c r="FF51" i="24"/>
  <c r="FG51" i="24"/>
  <c r="FH51" i="24"/>
  <c r="FI51" i="24"/>
  <c r="FJ51" i="24"/>
  <c r="FK51" i="24"/>
  <c r="FL51" i="24"/>
  <c r="FM51" i="24"/>
  <c r="FN51" i="24"/>
  <c r="FO51" i="24"/>
  <c r="FP51" i="24"/>
  <c r="FQ51" i="24"/>
  <c r="FR51" i="24"/>
  <c r="FS51" i="24"/>
  <c r="FT51" i="24"/>
  <c r="FU51" i="24"/>
  <c r="FV51" i="24"/>
  <c r="FW51" i="24"/>
  <c r="FX51" i="24"/>
  <c r="FY51" i="24"/>
  <c r="FZ51" i="24"/>
  <c r="GA51" i="24"/>
  <c r="GB51" i="24"/>
  <c r="GC51" i="24"/>
  <c r="GD51" i="24"/>
  <c r="GE51" i="24"/>
  <c r="GF51" i="24"/>
  <c r="GG51" i="24"/>
  <c r="GH51" i="24"/>
  <c r="GI51" i="24"/>
  <c r="GJ51" i="24"/>
  <c r="GK51" i="24"/>
  <c r="GL51" i="24"/>
  <c r="GM51" i="24"/>
  <c r="GN51" i="24"/>
  <c r="GO51" i="24"/>
  <c r="GP51" i="24"/>
  <c r="GQ51" i="24"/>
  <c r="GR51" i="24"/>
  <c r="GS51" i="24"/>
  <c r="GT51" i="24"/>
  <c r="C52" i="24"/>
  <c r="D52" i="24"/>
  <c r="E52" i="24"/>
  <c r="F52" i="24"/>
  <c r="G52" i="24"/>
  <c r="H52" i="24"/>
  <c r="I52" i="24"/>
  <c r="J52" i="24"/>
  <c r="K52" i="24"/>
  <c r="L52" i="24"/>
  <c r="M52" i="24"/>
  <c r="N52" i="24"/>
  <c r="O52" i="24"/>
  <c r="P52" i="24"/>
  <c r="Q52" i="24"/>
  <c r="R52" i="24"/>
  <c r="S52" i="24"/>
  <c r="T52" i="24"/>
  <c r="U52" i="24"/>
  <c r="V52" i="24"/>
  <c r="W52" i="24"/>
  <c r="X52" i="24"/>
  <c r="Y52" i="24"/>
  <c r="Z52" i="24"/>
  <c r="AA52" i="24"/>
  <c r="AB52" i="24"/>
  <c r="AC52" i="24"/>
  <c r="AD52" i="24"/>
  <c r="AE52" i="24"/>
  <c r="AF52" i="24"/>
  <c r="AG52" i="24"/>
  <c r="AH52" i="24"/>
  <c r="AI52" i="24"/>
  <c r="AJ52" i="24"/>
  <c r="AK52" i="24"/>
  <c r="AL52" i="24"/>
  <c r="AM52" i="24"/>
  <c r="AN52" i="24"/>
  <c r="AO52" i="24"/>
  <c r="AP52" i="24"/>
  <c r="AQ52" i="24"/>
  <c r="AR52" i="24"/>
  <c r="AS52" i="24"/>
  <c r="AT52" i="24"/>
  <c r="AU52" i="24"/>
  <c r="AV52" i="24"/>
  <c r="AW52" i="24"/>
  <c r="AX52" i="24"/>
  <c r="AY52" i="24"/>
  <c r="AZ52" i="24"/>
  <c r="BA52" i="24"/>
  <c r="BB52" i="24"/>
  <c r="BC52" i="24"/>
  <c r="BD52" i="24"/>
  <c r="BE52" i="24"/>
  <c r="BF52" i="24"/>
  <c r="BG52" i="24"/>
  <c r="BH52" i="24"/>
  <c r="BI52" i="24"/>
  <c r="BJ52" i="24"/>
  <c r="BK52" i="24"/>
  <c r="BL52" i="24"/>
  <c r="BM52" i="24"/>
  <c r="BN52" i="24"/>
  <c r="BO52" i="24"/>
  <c r="BP52" i="24"/>
  <c r="BQ52" i="24"/>
  <c r="BR52" i="24"/>
  <c r="BS52" i="24"/>
  <c r="BT52" i="24"/>
  <c r="BU52" i="24"/>
  <c r="BV52" i="24"/>
  <c r="BW52" i="24"/>
  <c r="BX52" i="24"/>
  <c r="BY52" i="24"/>
  <c r="BZ52" i="24"/>
  <c r="CA52" i="24"/>
  <c r="CB52" i="24"/>
  <c r="CC52" i="24"/>
  <c r="CD52" i="24"/>
  <c r="CE52" i="24"/>
  <c r="CF52" i="24"/>
  <c r="CG52" i="24"/>
  <c r="CH52" i="24"/>
  <c r="CI52" i="24"/>
  <c r="CJ52" i="24"/>
  <c r="CK52" i="24"/>
  <c r="CL52" i="24"/>
  <c r="CM52" i="24"/>
  <c r="CN52" i="24"/>
  <c r="CO52" i="24"/>
  <c r="CP52" i="24"/>
  <c r="CQ52" i="24"/>
  <c r="CR52" i="24"/>
  <c r="CS52" i="24"/>
  <c r="CT52" i="24"/>
  <c r="CU52" i="24"/>
  <c r="CV52" i="24"/>
  <c r="CW52" i="24"/>
  <c r="CX52" i="24"/>
  <c r="CY52" i="24"/>
  <c r="CZ52" i="24"/>
  <c r="DA52" i="24"/>
  <c r="DB52" i="24"/>
  <c r="DC52" i="24"/>
  <c r="DD52" i="24"/>
  <c r="DE52" i="24"/>
  <c r="DF52" i="24"/>
  <c r="DG52" i="24"/>
  <c r="DH52" i="24"/>
  <c r="DI52" i="24"/>
  <c r="DJ52" i="24"/>
  <c r="DK52" i="24"/>
  <c r="DL52" i="24"/>
  <c r="DM52" i="24"/>
  <c r="DN52" i="24"/>
  <c r="DO52" i="24"/>
  <c r="DP52" i="24"/>
  <c r="DQ52" i="24"/>
  <c r="DR52" i="24"/>
  <c r="DS52" i="24"/>
  <c r="DT52" i="24"/>
  <c r="DU52" i="24"/>
  <c r="DV52" i="24"/>
  <c r="DW52" i="24"/>
  <c r="DX52" i="24"/>
  <c r="DY52" i="24"/>
  <c r="DZ52" i="24"/>
  <c r="EA52" i="24"/>
  <c r="EB52" i="24"/>
  <c r="EC52" i="24"/>
  <c r="ED52" i="24"/>
  <c r="EE52" i="24"/>
  <c r="EF52" i="24"/>
  <c r="EG52" i="24"/>
  <c r="EH52" i="24"/>
  <c r="EI52" i="24"/>
  <c r="EJ52" i="24"/>
  <c r="EK52" i="24"/>
  <c r="EL52" i="24"/>
  <c r="EM52" i="24"/>
  <c r="EN52" i="24"/>
  <c r="EO52" i="24"/>
  <c r="EP52" i="24"/>
  <c r="EQ52" i="24"/>
  <c r="ER52" i="24"/>
  <c r="ES52" i="24"/>
  <c r="ET52" i="24"/>
  <c r="EU52" i="24"/>
  <c r="EV52" i="24"/>
  <c r="EW52" i="24"/>
  <c r="EX52" i="24"/>
  <c r="EY52" i="24"/>
  <c r="EZ52" i="24"/>
  <c r="FA52" i="24"/>
  <c r="FB52" i="24"/>
  <c r="FC52" i="24"/>
  <c r="FD52" i="24"/>
  <c r="FE52" i="24"/>
  <c r="FF52" i="24"/>
  <c r="FG52" i="24"/>
  <c r="FH52" i="24"/>
  <c r="FI52" i="24"/>
  <c r="FJ52" i="24"/>
  <c r="FK52" i="24"/>
  <c r="FL52" i="24"/>
  <c r="FM52" i="24"/>
  <c r="FN52" i="24"/>
  <c r="FO52" i="24"/>
  <c r="FP52" i="24"/>
  <c r="FQ52" i="24"/>
  <c r="FR52" i="24"/>
  <c r="FS52" i="24"/>
  <c r="FT52" i="24"/>
  <c r="FU52" i="24"/>
  <c r="FV52" i="24"/>
  <c r="FW52" i="24"/>
  <c r="FX52" i="24"/>
  <c r="FY52" i="24"/>
  <c r="FZ52" i="24"/>
  <c r="GA52" i="24"/>
  <c r="GB52" i="24"/>
  <c r="GC52" i="24"/>
  <c r="GD52" i="24"/>
  <c r="GE52" i="24"/>
  <c r="GF52" i="24"/>
  <c r="GG52" i="24"/>
  <c r="GH52" i="24"/>
  <c r="GI52" i="24"/>
  <c r="GJ52" i="24"/>
  <c r="GK52" i="24"/>
  <c r="GL52" i="24"/>
  <c r="GM52" i="24"/>
  <c r="GN52" i="24"/>
  <c r="GO52" i="24"/>
  <c r="GP52" i="24"/>
  <c r="GQ52" i="24"/>
  <c r="GR52" i="24"/>
  <c r="GS52" i="24"/>
  <c r="GT52" i="24"/>
  <c r="C53" i="24"/>
  <c r="D53" i="24"/>
  <c r="E53" i="24"/>
  <c r="F53" i="24"/>
  <c r="G53" i="24"/>
  <c r="H53" i="24"/>
  <c r="I53" i="24"/>
  <c r="J53" i="24"/>
  <c r="K53" i="24"/>
  <c r="L53" i="24"/>
  <c r="M53" i="24"/>
  <c r="N53" i="24"/>
  <c r="O53" i="24"/>
  <c r="P53" i="24"/>
  <c r="Q53" i="24"/>
  <c r="R53" i="24"/>
  <c r="S53" i="24"/>
  <c r="T53" i="24"/>
  <c r="U53" i="24"/>
  <c r="V53" i="24"/>
  <c r="W53" i="24"/>
  <c r="X53" i="24"/>
  <c r="Y53" i="24"/>
  <c r="Z53" i="24"/>
  <c r="AA53" i="24"/>
  <c r="AB53" i="24"/>
  <c r="AC53" i="24"/>
  <c r="AD53" i="24"/>
  <c r="AE53" i="24"/>
  <c r="AF53" i="24"/>
  <c r="AG53" i="24"/>
  <c r="AH53" i="24"/>
  <c r="AI53" i="24"/>
  <c r="AJ53" i="24"/>
  <c r="AK53" i="24"/>
  <c r="AL53" i="24"/>
  <c r="AM53" i="24"/>
  <c r="AN53" i="24"/>
  <c r="AO53" i="24"/>
  <c r="AP53" i="24"/>
  <c r="AQ53" i="24"/>
  <c r="AR53" i="24"/>
  <c r="AS53" i="24"/>
  <c r="AT53" i="24"/>
  <c r="AU53" i="24"/>
  <c r="AV53" i="24"/>
  <c r="AW53" i="24"/>
  <c r="AX53" i="24"/>
  <c r="AY53" i="24"/>
  <c r="AZ53" i="24"/>
  <c r="BA53" i="24"/>
  <c r="BB53" i="24"/>
  <c r="BC53" i="24"/>
  <c r="BD53" i="24"/>
  <c r="BE53" i="24"/>
  <c r="BF53" i="24"/>
  <c r="BG53" i="24"/>
  <c r="BH53" i="24"/>
  <c r="BI53" i="24"/>
  <c r="BJ53" i="24"/>
  <c r="BK53" i="24"/>
  <c r="BL53" i="24"/>
  <c r="BM53" i="24"/>
  <c r="BN53" i="24"/>
  <c r="BO53" i="24"/>
  <c r="BP53" i="24"/>
  <c r="BQ53" i="24"/>
  <c r="BR53" i="24"/>
  <c r="BS53" i="24"/>
  <c r="BT53" i="24"/>
  <c r="BU53" i="24"/>
  <c r="BV53" i="24"/>
  <c r="BW53" i="24"/>
  <c r="BX53" i="24"/>
  <c r="BY53" i="24"/>
  <c r="BZ53" i="24"/>
  <c r="CA53" i="24"/>
  <c r="CB53" i="24"/>
  <c r="CC53" i="24"/>
  <c r="CD53" i="24"/>
  <c r="CE53" i="24"/>
  <c r="CF53" i="24"/>
  <c r="CG53" i="24"/>
  <c r="CH53" i="24"/>
  <c r="CI53" i="24"/>
  <c r="CJ53" i="24"/>
  <c r="CK53" i="24"/>
  <c r="CL53" i="24"/>
  <c r="CM53" i="24"/>
  <c r="CN53" i="24"/>
  <c r="CO53" i="24"/>
  <c r="CP53" i="24"/>
  <c r="CQ53" i="24"/>
  <c r="CR53" i="24"/>
  <c r="CS53" i="24"/>
  <c r="CT53" i="24"/>
  <c r="CU53" i="24"/>
  <c r="CV53" i="24"/>
  <c r="CW53" i="24"/>
  <c r="CX53" i="24"/>
  <c r="CY53" i="24"/>
  <c r="CZ53" i="24"/>
  <c r="DA53" i="24"/>
  <c r="DB53" i="24"/>
  <c r="DC53" i="24"/>
  <c r="DD53" i="24"/>
  <c r="DE53" i="24"/>
  <c r="DF53" i="24"/>
  <c r="DG53" i="24"/>
  <c r="DH53" i="24"/>
  <c r="DI53" i="24"/>
  <c r="DJ53" i="24"/>
  <c r="DK53" i="24"/>
  <c r="DL53" i="24"/>
  <c r="DM53" i="24"/>
  <c r="DN53" i="24"/>
  <c r="DO53" i="24"/>
  <c r="DP53" i="24"/>
  <c r="DQ53" i="24"/>
  <c r="DR53" i="24"/>
  <c r="DS53" i="24"/>
  <c r="DT53" i="24"/>
  <c r="DU53" i="24"/>
  <c r="DV53" i="24"/>
  <c r="DW53" i="24"/>
  <c r="DX53" i="24"/>
  <c r="DY53" i="24"/>
  <c r="DZ53" i="24"/>
  <c r="EA53" i="24"/>
  <c r="EB53" i="24"/>
  <c r="EC53" i="24"/>
  <c r="ED53" i="24"/>
  <c r="EE53" i="24"/>
  <c r="EF53" i="24"/>
  <c r="EG53" i="24"/>
  <c r="EH53" i="24"/>
  <c r="EI53" i="24"/>
  <c r="EJ53" i="24"/>
  <c r="EK53" i="24"/>
  <c r="EL53" i="24"/>
  <c r="EM53" i="24"/>
  <c r="EN53" i="24"/>
  <c r="EO53" i="24"/>
  <c r="EP53" i="24"/>
  <c r="EQ53" i="24"/>
  <c r="ER53" i="24"/>
  <c r="ES53" i="24"/>
  <c r="ET53" i="24"/>
  <c r="EU53" i="24"/>
  <c r="EV53" i="24"/>
  <c r="EW53" i="24"/>
  <c r="EX53" i="24"/>
  <c r="EY53" i="24"/>
  <c r="EZ53" i="24"/>
  <c r="FA53" i="24"/>
  <c r="FB53" i="24"/>
  <c r="FC53" i="24"/>
  <c r="FD53" i="24"/>
  <c r="FE53" i="24"/>
  <c r="FF53" i="24"/>
  <c r="FG53" i="24"/>
  <c r="FH53" i="24"/>
  <c r="FI53" i="24"/>
  <c r="FJ53" i="24"/>
  <c r="FK53" i="24"/>
  <c r="FL53" i="24"/>
  <c r="FM53" i="24"/>
  <c r="FN53" i="24"/>
  <c r="FO53" i="24"/>
  <c r="FP53" i="24"/>
  <c r="FQ53" i="24"/>
  <c r="FR53" i="24"/>
  <c r="FS53" i="24"/>
  <c r="FT53" i="24"/>
  <c r="FU53" i="24"/>
  <c r="FV53" i="24"/>
  <c r="FW53" i="24"/>
  <c r="FX53" i="24"/>
  <c r="FY53" i="24"/>
  <c r="FZ53" i="24"/>
  <c r="GA53" i="24"/>
  <c r="GB53" i="24"/>
  <c r="GC53" i="24"/>
  <c r="GD53" i="24"/>
  <c r="GE53" i="24"/>
  <c r="GF53" i="24"/>
  <c r="GG53" i="24"/>
  <c r="GH53" i="24"/>
  <c r="GI53" i="24"/>
  <c r="GJ53" i="24"/>
  <c r="GK53" i="24"/>
  <c r="GL53" i="24"/>
  <c r="GM53" i="24"/>
  <c r="GN53" i="24"/>
  <c r="GO53" i="24"/>
  <c r="GP53" i="24"/>
  <c r="GQ53" i="24"/>
  <c r="GR53" i="24"/>
  <c r="GS53" i="24"/>
  <c r="GT53" i="24"/>
  <c r="C54" i="24"/>
  <c r="D54" i="24"/>
  <c r="E54" i="24"/>
  <c r="F54" i="24"/>
  <c r="G54" i="24"/>
  <c r="H54" i="24"/>
  <c r="I54" i="24"/>
  <c r="J54" i="24"/>
  <c r="K54" i="24"/>
  <c r="L54" i="24"/>
  <c r="M54" i="24"/>
  <c r="N54" i="24"/>
  <c r="O54" i="24"/>
  <c r="P54" i="24"/>
  <c r="Q54" i="24"/>
  <c r="R54" i="24"/>
  <c r="S54" i="24"/>
  <c r="T54" i="24"/>
  <c r="U54" i="24"/>
  <c r="V54" i="24"/>
  <c r="W54" i="24"/>
  <c r="X54" i="24"/>
  <c r="Y54" i="24"/>
  <c r="Z54" i="24"/>
  <c r="AA54" i="24"/>
  <c r="AB54" i="24"/>
  <c r="AC54" i="24"/>
  <c r="AD54" i="24"/>
  <c r="AE54" i="24"/>
  <c r="AF54" i="24"/>
  <c r="AG54" i="24"/>
  <c r="AH54" i="24"/>
  <c r="AI54" i="24"/>
  <c r="AJ54" i="24"/>
  <c r="AK54" i="24"/>
  <c r="AL54" i="24"/>
  <c r="AM54" i="24"/>
  <c r="AN54" i="24"/>
  <c r="AO54" i="24"/>
  <c r="AP54" i="24"/>
  <c r="AQ54" i="24"/>
  <c r="AR54" i="24"/>
  <c r="AS54" i="24"/>
  <c r="AT54" i="24"/>
  <c r="AU54" i="24"/>
  <c r="AV54" i="24"/>
  <c r="AW54" i="24"/>
  <c r="AX54" i="24"/>
  <c r="AY54" i="24"/>
  <c r="AZ54" i="24"/>
  <c r="BA54" i="24"/>
  <c r="BB54" i="24"/>
  <c r="BC54" i="24"/>
  <c r="BD54" i="24"/>
  <c r="BE54" i="24"/>
  <c r="BF54" i="24"/>
  <c r="BG54" i="24"/>
  <c r="BH54" i="24"/>
  <c r="BI54" i="24"/>
  <c r="BJ54" i="24"/>
  <c r="BK54" i="24"/>
  <c r="BL54" i="24"/>
  <c r="BM54" i="24"/>
  <c r="BN54" i="24"/>
  <c r="BO54" i="24"/>
  <c r="BP54" i="24"/>
  <c r="BQ54" i="24"/>
  <c r="BR54" i="24"/>
  <c r="BS54" i="24"/>
  <c r="BT54" i="24"/>
  <c r="BU54" i="24"/>
  <c r="BV54" i="24"/>
  <c r="BW54" i="24"/>
  <c r="BX54" i="24"/>
  <c r="BY54" i="24"/>
  <c r="BZ54" i="24"/>
  <c r="CA54" i="24"/>
  <c r="CB54" i="24"/>
  <c r="CC54" i="24"/>
  <c r="CD54" i="24"/>
  <c r="CE54" i="24"/>
  <c r="CF54" i="24"/>
  <c r="CG54" i="24"/>
  <c r="CH54" i="24"/>
  <c r="CI54" i="24"/>
  <c r="CJ54" i="24"/>
  <c r="CK54" i="24"/>
  <c r="CL54" i="24"/>
  <c r="CM54" i="24"/>
  <c r="CN54" i="24"/>
  <c r="CO54" i="24"/>
  <c r="CP54" i="24"/>
  <c r="CQ54" i="24"/>
  <c r="CR54" i="24"/>
  <c r="CS54" i="24"/>
  <c r="CT54" i="24"/>
  <c r="CU54" i="24"/>
  <c r="CV54" i="24"/>
  <c r="CW54" i="24"/>
  <c r="CX54" i="24"/>
  <c r="CY54" i="24"/>
  <c r="CZ54" i="24"/>
  <c r="DA54" i="24"/>
  <c r="DB54" i="24"/>
  <c r="DC54" i="24"/>
  <c r="DD54" i="24"/>
  <c r="DE54" i="24"/>
  <c r="DF54" i="24"/>
  <c r="DG54" i="24"/>
  <c r="DH54" i="24"/>
  <c r="DI54" i="24"/>
  <c r="DJ54" i="24"/>
  <c r="DK54" i="24"/>
  <c r="DL54" i="24"/>
  <c r="DM54" i="24"/>
  <c r="DN54" i="24"/>
  <c r="DO54" i="24"/>
  <c r="DP54" i="24"/>
  <c r="DQ54" i="24"/>
  <c r="DR54" i="24"/>
  <c r="DS54" i="24"/>
  <c r="DT54" i="24"/>
  <c r="DU54" i="24"/>
  <c r="DV54" i="24"/>
  <c r="DW54" i="24"/>
  <c r="DX54" i="24"/>
  <c r="DY54" i="24"/>
  <c r="DZ54" i="24"/>
  <c r="EA54" i="24"/>
  <c r="EB54" i="24"/>
  <c r="EC54" i="24"/>
  <c r="ED54" i="24"/>
  <c r="EE54" i="24"/>
  <c r="EF54" i="24"/>
  <c r="EG54" i="24"/>
  <c r="EH54" i="24"/>
  <c r="EI54" i="24"/>
  <c r="EJ54" i="24"/>
  <c r="EK54" i="24"/>
  <c r="EL54" i="24"/>
  <c r="EM54" i="24"/>
  <c r="EN54" i="24"/>
  <c r="EO54" i="24"/>
  <c r="EP54" i="24"/>
  <c r="EQ54" i="24"/>
  <c r="ER54" i="24"/>
  <c r="ES54" i="24"/>
  <c r="ET54" i="24"/>
  <c r="EU54" i="24"/>
  <c r="EV54" i="24"/>
  <c r="EW54" i="24"/>
  <c r="EX54" i="24"/>
  <c r="EY54" i="24"/>
  <c r="EZ54" i="24"/>
  <c r="FA54" i="24"/>
  <c r="FB54" i="24"/>
  <c r="FC54" i="24"/>
  <c r="FD54" i="24"/>
  <c r="FE54" i="24"/>
  <c r="FF54" i="24"/>
  <c r="FG54" i="24"/>
  <c r="FH54" i="24"/>
  <c r="FI54" i="24"/>
  <c r="FJ54" i="24"/>
  <c r="FK54" i="24"/>
  <c r="FL54" i="24"/>
  <c r="FM54" i="24"/>
  <c r="FN54" i="24"/>
  <c r="FO54" i="24"/>
  <c r="FP54" i="24"/>
  <c r="FQ54" i="24"/>
  <c r="FR54" i="24"/>
  <c r="FS54" i="24"/>
  <c r="FT54" i="24"/>
  <c r="FU54" i="24"/>
  <c r="FV54" i="24"/>
  <c r="FW54" i="24"/>
  <c r="FX54" i="24"/>
  <c r="FY54" i="24"/>
  <c r="FZ54" i="24"/>
  <c r="GA54" i="24"/>
  <c r="GB54" i="24"/>
  <c r="GC54" i="24"/>
  <c r="GD54" i="24"/>
  <c r="GE54" i="24"/>
  <c r="GF54" i="24"/>
  <c r="GG54" i="24"/>
  <c r="GH54" i="24"/>
  <c r="GI54" i="24"/>
  <c r="GJ54" i="24"/>
  <c r="GK54" i="24"/>
  <c r="GL54" i="24"/>
  <c r="GM54" i="24"/>
  <c r="GN54" i="24"/>
  <c r="GO54" i="24"/>
  <c r="GP54" i="24"/>
  <c r="GQ54" i="24"/>
  <c r="GR54" i="24"/>
  <c r="GS54" i="24"/>
  <c r="GT54" i="24"/>
  <c r="C55" i="24"/>
  <c r="D55" i="24"/>
  <c r="E55" i="24"/>
  <c r="F55" i="24"/>
  <c r="G55" i="24"/>
  <c r="H55" i="24"/>
  <c r="I55" i="24"/>
  <c r="J55" i="24"/>
  <c r="K55" i="24"/>
  <c r="L55" i="24"/>
  <c r="M55" i="24"/>
  <c r="N55" i="24"/>
  <c r="O55" i="24"/>
  <c r="P55" i="24"/>
  <c r="Q55" i="24"/>
  <c r="R55" i="24"/>
  <c r="S55" i="24"/>
  <c r="T55" i="24"/>
  <c r="U55" i="24"/>
  <c r="V55" i="24"/>
  <c r="W55" i="24"/>
  <c r="X55" i="24"/>
  <c r="Y55" i="24"/>
  <c r="Z55" i="24"/>
  <c r="AA55" i="24"/>
  <c r="AB55" i="24"/>
  <c r="AC55" i="24"/>
  <c r="AD55" i="24"/>
  <c r="AE55" i="24"/>
  <c r="AF55" i="24"/>
  <c r="AG55" i="24"/>
  <c r="AH55" i="24"/>
  <c r="AI55" i="24"/>
  <c r="AJ55" i="24"/>
  <c r="AK55" i="24"/>
  <c r="AL55" i="24"/>
  <c r="AM55" i="24"/>
  <c r="AN55" i="24"/>
  <c r="AO55" i="24"/>
  <c r="AP55" i="24"/>
  <c r="AQ55" i="24"/>
  <c r="AR55" i="24"/>
  <c r="AS55" i="24"/>
  <c r="AT55" i="24"/>
  <c r="AU55" i="24"/>
  <c r="AV55" i="24"/>
  <c r="AW55" i="24"/>
  <c r="AX55" i="24"/>
  <c r="AY55" i="24"/>
  <c r="AZ55" i="24"/>
  <c r="BA55" i="24"/>
  <c r="BB55" i="24"/>
  <c r="BC55" i="24"/>
  <c r="BD55" i="24"/>
  <c r="BE55" i="24"/>
  <c r="BF55" i="24"/>
  <c r="BG55" i="24"/>
  <c r="BH55" i="24"/>
  <c r="BI55" i="24"/>
  <c r="BJ55" i="24"/>
  <c r="BK55" i="24"/>
  <c r="BL55" i="24"/>
  <c r="BM55" i="24"/>
  <c r="BN55" i="24"/>
  <c r="BO55" i="24"/>
  <c r="BP55" i="24"/>
  <c r="BQ55" i="24"/>
  <c r="BR55" i="24"/>
  <c r="BS55" i="24"/>
  <c r="BT55" i="24"/>
  <c r="BU55" i="24"/>
  <c r="BV55" i="24"/>
  <c r="BW55" i="24"/>
  <c r="BX55" i="24"/>
  <c r="BY55" i="24"/>
  <c r="BZ55" i="24"/>
  <c r="CA55" i="24"/>
  <c r="CB55" i="24"/>
  <c r="CC55" i="24"/>
  <c r="CD55" i="24"/>
  <c r="CE55" i="24"/>
  <c r="CF55" i="24"/>
  <c r="CG55" i="24"/>
  <c r="CH55" i="24"/>
  <c r="CI55" i="24"/>
  <c r="CJ55" i="24"/>
  <c r="CK55" i="24"/>
  <c r="CL55" i="24"/>
  <c r="CM55" i="24"/>
  <c r="CN55" i="24"/>
  <c r="CO55" i="24"/>
  <c r="CP55" i="24"/>
  <c r="CQ55" i="24"/>
  <c r="CR55" i="24"/>
  <c r="CS55" i="24"/>
  <c r="CT55" i="24"/>
  <c r="CU55" i="24"/>
  <c r="CV55" i="24"/>
  <c r="CW55" i="24"/>
  <c r="CX55" i="24"/>
  <c r="CY55" i="24"/>
  <c r="CZ55" i="24"/>
  <c r="DA55" i="24"/>
  <c r="DB55" i="24"/>
  <c r="DC55" i="24"/>
  <c r="DD55" i="24"/>
  <c r="DE55" i="24"/>
  <c r="DF55" i="24"/>
  <c r="DG55" i="24"/>
  <c r="DH55" i="24"/>
  <c r="DI55" i="24"/>
  <c r="DJ55" i="24"/>
  <c r="DK55" i="24"/>
  <c r="DL55" i="24"/>
  <c r="DM55" i="24"/>
  <c r="DN55" i="24"/>
  <c r="DO55" i="24"/>
  <c r="DP55" i="24"/>
  <c r="DQ55" i="24"/>
  <c r="DR55" i="24"/>
  <c r="DS55" i="24"/>
  <c r="DT55" i="24"/>
  <c r="DU55" i="24"/>
  <c r="DV55" i="24"/>
  <c r="DW55" i="24"/>
  <c r="DX55" i="24"/>
  <c r="DY55" i="24"/>
  <c r="DZ55" i="24"/>
  <c r="EA55" i="24"/>
  <c r="EB55" i="24"/>
  <c r="EC55" i="24"/>
  <c r="ED55" i="24"/>
  <c r="EE55" i="24"/>
  <c r="EF55" i="24"/>
  <c r="EG55" i="24"/>
  <c r="EH55" i="24"/>
  <c r="EI55" i="24"/>
  <c r="EJ55" i="24"/>
  <c r="EK55" i="24"/>
  <c r="EL55" i="24"/>
  <c r="EM55" i="24"/>
  <c r="EN55" i="24"/>
  <c r="EO55" i="24"/>
  <c r="EP55" i="24"/>
  <c r="EQ55" i="24"/>
  <c r="ER55" i="24"/>
  <c r="ES55" i="24"/>
  <c r="ET55" i="24"/>
  <c r="EU55" i="24"/>
  <c r="EV55" i="24"/>
  <c r="EW55" i="24"/>
  <c r="EX55" i="24"/>
  <c r="EY55" i="24"/>
  <c r="EZ55" i="24"/>
  <c r="FA55" i="24"/>
  <c r="FB55" i="24"/>
  <c r="FC55" i="24"/>
  <c r="FD55" i="24"/>
  <c r="FE55" i="24"/>
  <c r="FF55" i="24"/>
  <c r="FG55" i="24"/>
  <c r="FH55" i="24"/>
  <c r="FI55" i="24"/>
  <c r="FJ55" i="24"/>
  <c r="FK55" i="24"/>
  <c r="FL55" i="24"/>
  <c r="FM55" i="24"/>
  <c r="FN55" i="24"/>
  <c r="FO55" i="24"/>
  <c r="FP55" i="24"/>
  <c r="FQ55" i="24"/>
  <c r="FR55" i="24"/>
  <c r="FS55" i="24"/>
  <c r="FT55" i="24"/>
  <c r="FU55" i="24"/>
  <c r="FV55" i="24"/>
  <c r="FW55" i="24"/>
  <c r="FX55" i="24"/>
  <c r="FY55" i="24"/>
  <c r="FZ55" i="24"/>
  <c r="GA55" i="24"/>
  <c r="GB55" i="24"/>
  <c r="GC55" i="24"/>
  <c r="GD55" i="24"/>
  <c r="GE55" i="24"/>
  <c r="GF55" i="24"/>
  <c r="GG55" i="24"/>
  <c r="GH55" i="24"/>
  <c r="GI55" i="24"/>
  <c r="GJ55" i="24"/>
  <c r="GK55" i="24"/>
  <c r="GL55" i="24"/>
  <c r="GM55" i="24"/>
  <c r="GN55" i="24"/>
  <c r="GO55" i="24"/>
  <c r="GP55" i="24"/>
  <c r="GQ55" i="24"/>
  <c r="GR55" i="24"/>
  <c r="GS55" i="24"/>
  <c r="GT55" i="24"/>
  <c r="C56" i="24"/>
  <c r="D56" i="24"/>
  <c r="E56" i="24"/>
  <c r="F56" i="24"/>
  <c r="G56" i="24"/>
  <c r="H56" i="24"/>
  <c r="I56" i="24"/>
  <c r="J56" i="24"/>
  <c r="K56" i="24"/>
  <c r="L56" i="24"/>
  <c r="M56" i="24"/>
  <c r="N56" i="24"/>
  <c r="O56" i="24"/>
  <c r="P56" i="24"/>
  <c r="Q56" i="24"/>
  <c r="R56" i="24"/>
  <c r="S56" i="24"/>
  <c r="T56" i="24"/>
  <c r="U56" i="24"/>
  <c r="V56" i="24"/>
  <c r="W56" i="24"/>
  <c r="X56" i="24"/>
  <c r="Y56" i="24"/>
  <c r="Z56" i="24"/>
  <c r="AA56" i="24"/>
  <c r="AB56" i="24"/>
  <c r="AC56" i="24"/>
  <c r="AD56" i="24"/>
  <c r="AE56" i="24"/>
  <c r="AF56" i="24"/>
  <c r="AG56" i="24"/>
  <c r="AH56" i="24"/>
  <c r="AI56" i="24"/>
  <c r="AJ56" i="24"/>
  <c r="AK56" i="24"/>
  <c r="AL56" i="24"/>
  <c r="AM56" i="24"/>
  <c r="AN56" i="24"/>
  <c r="AO56" i="24"/>
  <c r="AP56" i="24"/>
  <c r="AQ56" i="24"/>
  <c r="AR56" i="24"/>
  <c r="AS56" i="24"/>
  <c r="AT56" i="24"/>
  <c r="AU56" i="24"/>
  <c r="AV56" i="24"/>
  <c r="AW56" i="24"/>
  <c r="AX56" i="24"/>
  <c r="AY56" i="24"/>
  <c r="AZ56" i="24"/>
  <c r="BA56" i="24"/>
  <c r="BB56" i="24"/>
  <c r="BC56" i="24"/>
  <c r="BD56" i="24"/>
  <c r="BE56" i="24"/>
  <c r="BF56" i="24"/>
  <c r="BG56" i="24"/>
  <c r="BH56" i="24"/>
  <c r="BI56" i="24"/>
  <c r="BJ56" i="24"/>
  <c r="BK56" i="24"/>
  <c r="BL56" i="24"/>
  <c r="BM56" i="24"/>
  <c r="BN56" i="24"/>
  <c r="BO56" i="24"/>
  <c r="BP56" i="24"/>
  <c r="BQ56" i="24"/>
  <c r="BR56" i="24"/>
  <c r="BS56" i="24"/>
  <c r="BT56" i="24"/>
  <c r="BU56" i="24"/>
  <c r="BV56" i="24"/>
  <c r="BW56" i="24"/>
  <c r="BX56" i="24"/>
  <c r="BY56" i="24"/>
  <c r="BZ56" i="24"/>
  <c r="CA56" i="24"/>
  <c r="CB56" i="24"/>
  <c r="CC56" i="24"/>
  <c r="CD56" i="24"/>
  <c r="CE56" i="24"/>
  <c r="CF56" i="24"/>
  <c r="CG56" i="24"/>
  <c r="CH56" i="24"/>
  <c r="CI56" i="24"/>
  <c r="CJ56" i="24"/>
  <c r="CK56" i="24"/>
  <c r="CL56" i="24"/>
  <c r="CM56" i="24"/>
  <c r="CN56" i="24"/>
  <c r="CO56" i="24"/>
  <c r="CP56" i="24"/>
  <c r="CQ56" i="24"/>
  <c r="CR56" i="24"/>
  <c r="CS56" i="24"/>
  <c r="CT56" i="24"/>
  <c r="CU56" i="24"/>
  <c r="CV56" i="24"/>
  <c r="CW56" i="24"/>
  <c r="CX56" i="24"/>
  <c r="CY56" i="24"/>
  <c r="CZ56" i="24"/>
  <c r="DA56" i="24"/>
  <c r="DB56" i="24"/>
  <c r="DC56" i="24"/>
  <c r="DD56" i="24"/>
  <c r="DE56" i="24"/>
  <c r="DF56" i="24"/>
  <c r="DG56" i="24"/>
  <c r="DH56" i="24"/>
  <c r="DI56" i="24"/>
  <c r="DJ56" i="24"/>
  <c r="DK56" i="24"/>
  <c r="DL56" i="24"/>
  <c r="DM56" i="24"/>
  <c r="DN56" i="24"/>
  <c r="DO56" i="24"/>
  <c r="DP56" i="24"/>
  <c r="DQ56" i="24"/>
  <c r="DR56" i="24"/>
  <c r="DS56" i="24"/>
  <c r="DT56" i="24"/>
  <c r="DU56" i="24"/>
  <c r="DV56" i="24"/>
  <c r="DW56" i="24"/>
  <c r="DX56" i="24"/>
  <c r="DY56" i="24"/>
  <c r="DZ56" i="24"/>
  <c r="EA56" i="24"/>
  <c r="EB56" i="24"/>
  <c r="EC56" i="24"/>
  <c r="ED56" i="24"/>
  <c r="EE56" i="24"/>
  <c r="EF56" i="24"/>
  <c r="EG56" i="24"/>
  <c r="EH56" i="24"/>
  <c r="EI56" i="24"/>
  <c r="EJ56" i="24"/>
  <c r="EK56" i="24"/>
  <c r="EL56" i="24"/>
  <c r="EM56" i="24"/>
  <c r="EN56" i="24"/>
  <c r="EO56" i="24"/>
  <c r="EP56" i="24"/>
  <c r="EQ56" i="24"/>
  <c r="ER56" i="24"/>
  <c r="ES56" i="24"/>
  <c r="ET56" i="24"/>
  <c r="EU56" i="24"/>
  <c r="EV56" i="24"/>
  <c r="EW56" i="24"/>
  <c r="EX56" i="24"/>
  <c r="EY56" i="24"/>
  <c r="EZ56" i="24"/>
  <c r="FA56" i="24"/>
  <c r="FB56" i="24"/>
  <c r="FC56" i="24"/>
  <c r="FD56" i="24"/>
  <c r="FE56" i="24"/>
  <c r="FF56" i="24"/>
  <c r="FG56" i="24"/>
  <c r="FH56" i="24"/>
  <c r="FI56" i="24"/>
  <c r="FJ56" i="24"/>
  <c r="FK56" i="24"/>
  <c r="FL56" i="24"/>
  <c r="FM56" i="24"/>
  <c r="FN56" i="24"/>
  <c r="FO56" i="24"/>
  <c r="FP56" i="24"/>
  <c r="FQ56" i="24"/>
  <c r="FR56" i="24"/>
  <c r="FS56" i="24"/>
  <c r="FT56" i="24"/>
  <c r="FU56" i="24"/>
  <c r="FV56" i="24"/>
  <c r="FW56" i="24"/>
  <c r="FX56" i="24"/>
  <c r="FY56" i="24"/>
  <c r="FZ56" i="24"/>
  <c r="GA56" i="24"/>
  <c r="GB56" i="24"/>
  <c r="GC56" i="24"/>
  <c r="GD56" i="24"/>
  <c r="GE56" i="24"/>
  <c r="GF56" i="24"/>
  <c r="GG56" i="24"/>
  <c r="GH56" i="24"/>
  <c r="GI56" i="24"/>
  <c r="GJ56" i="24"/>
  <c r="GK56" i="24"/>
  <c r="GL56" i="24"/>
  <c r="GM56" i="24"/>
  <c r="GN56" i="24"/>
  <c r="GO56" i="24"/>
  <c r="GP56" i="24"/>
  <c r="GQ56" i="24"/>
  <c r="GR56" i="24"/>
  <c r="GS56" i="24"/>
  <c r="GT56" i="24"/>
  <c r="C57" i="24"/>
  <c r="D57" i="24"/>
  <c r="E57" i="24"/>
  <c r="F57" i="24"/>
  <c r="G57" i="24"/>
  <c r="H57" i="24"/>
  <c r="I57" i="24"/>
  <c r="J57" i="24"/>
  <c r="K57" i="24"/>
  <c r="L57" i="24"/>
  <c r="M57" i="24"/>
  <c r="N57" i="24"/>
  <c r="O57" i="24"/>
  <c r="P57" i="24"/>
  <c r="Q57" i="24"/>
  <c r="R57" i="24"/>
  <c r="S57" i="24"/>
  <c r="T57" i="24"/>
  <c r="U57" i="24"/>
  <c r="V57" i="24"/>
  <c r="W57" i="24"/>
  <c r="X57" i="24"/>
  <c r="Y57" i="24"/>
  <c r="Z57" i="24"/>
  <c r="AA57" i="24"/>
  <c r="AB57" i="24"/>
  <c r="AC57" i="24"/>
  <c r="AD57" i="24"/>
  <c r="AE57" i="24"/>
  <c r="AF57" i="24"/>
  <c r="AG57" i="24"/>
  <c r="AH57" i="24"/>
  <c r="AI57" i="24"/>
  <c r="AJ57" i="24"/>
  <c r="AK57" i="24"/>
  <c r="AL57" i="24"/>
  <c r="AM57" i="24"/>
  <c r="AN57" i="24"/>
  <c r="AO57" i="24"/>
  <c r="AP57" i="24"/>
  <c r="AQ57" i="24"/>
  <c r="AR57" i="24"/>
  <c r="AS57" i="24"/>
  <c r="AT57" i="24"/>
  <c r="AU57" i="24"/>
  <c r="AV57" i="24"/>
  <c r="AW57" i="24"/>
  <c r="AX57" i="24"/>
  <c r="AY57" i="24"/>
  <c r="AZ57" i="24"/>
  <c r="BA57" i="24"/>
  <c r="BB57" i="24"/>
  <c r="BC57" i="24"/>
  <c r="BD57" i="24"/>
  <c r="BE57" i="24"/>
  <c r="BF57" i="24"/>
  <c r="BG57" i="24"/>
  <c r="BH57" i="24"/>
  <c r="BI57" i="24"/>
  <c r="BJ57" i="24"/>
  <c r="BK57" i="24"/>
  <c r="BL57" i="24"/>
  <c r="BM57" i="24"/>
  <c r="BN57" i="24"/>
  <c r="BO57" i="24"/>
  <c r="BP57" i="24"/>
  <c r="BQ57" i="24"/>
  <c r="BR57" i="24"/>
  <c r="BS57" i="24"/>
  <c r="BT57" i="24"/>
  <c r="BU57" i="24"/>
  <c r="BV57" i="24"/>
  <c r="BW57" i="24"/>
  <c r="BX57" i="24"/>
  <c r="BY57" i="24"/>
  <c r="BZ57" i="24"/>
  <c r="CA57" i="24"/>
  <c r="CB57" i="24"/>
  <c r="CC57" i="24"/>
  <c r="CD57" i="24"/>
  <c r="CE57" i="24"/>
  <c r="CF57" i="24"/>
  <c r="CG57" i="24"/>
  <c r="CH57" i="24"/>
  <c r="CI57" i="24"/>
  <c r="CJ57" i="24"/>
  <c r="CK57" i="24"/>
  <c r="CL57" i="24"/>
  <c r="CM57" i="24"/>
  <c r="CN57" i="24"/>
  <c r="CO57" i="24"/>
  <c r="CP57" i="24"/>
  <c r="CQ57" i="24"/>
  <c r="CR57" i="24"/>
  <c r="CS57" i="24"/>
  <c r="CT57" i="24"/>
  <c r="CU57" i="24"/>
  <c r="CV57" i="24"/>
  <c r="CW57" i="24"/>
  <c r="CX57" i="24"/>
  <c r="CY57" i="24"/>
  <c r="CZ57" i="24"/>
  <c r="DA57" i="24"/>
  <c r="DB57" i="24"/>
  <c r="DC57" i="24"/>
  <c r="DD57" i="24"/>
  <c r="DE57" i="24"/>
  <c r="DF57" i="24"/>
  <c r="DG57" i="24"/>
  <c r="DH57" i="24"/>
  <c r="DI57" i="24"/>
  <c r="DJ57" i="24"/>
  <c r="DK57" i="24"/>
  <c r="DL57" i="24"/>
  <c r="DM57" i="24"/>
  <c r="DN57" i="24"/>
  <c r="DO57" i="24"/>
  <c r="DP57" i="24"/>
  <c r="DQ57" i="24"/>
  <c r="DR57" i="24"/>
  <c r="DS57" i="24"/>
  <c r="DT57" i="24"/>
  <c r="DU57" i="24"/>
  <c r="DV57" i="24"/>
  <c r="DW57" i="24"/>
  <c r="DX57" i="24"/>
  <c r="DY57" i="24"/>
  <c r="DZ57" i="24"/>
  <c r="EA57" i="24"/>
  <c r="EB57" i="24"/>
  <c r="EC57" i="24"/>
  <c r="ED57" i="24"/>
  <c r="EE57" i="24"/>
  <c r="EF57" i="24"/>
  <c r="EG57" i="24"/>
  <c r="EH57" i="24"/>
  <c r="EI57" i="24"/>
  <c r="EJ57" i="24"/>
  <c r="EK57" i="24"/>
  <c r="EL57" i="24"/>
  <c r="EM57" i="24"/>
  <c r="EN57" i="24"/>
  <c r="EO57" i="24"/>
  <c r="EP57" i="24"/>
  <c r="EQ57" i="24"/>
  <c r="ER57" i="24"/>
  <c r="ES57" i="24"/>
  <c r="ET57" i="24"/>
  <c r="EU57" i="24"/>
  <c r="EV57" i="24"/>
  <c r="EW57" i="24"/>
  <c r="EX57" i="24"/>
  <c r="EY57" i="24"/>
  <c r="EZ57" i="24"/>
  <c r="FA57" i="24"/>
  <c r="FB57" i="24"/>
  <c r="FC57" i="24"/>
  <c r="FD57" i="24"/>
  <c r="FE57" i="24"/>
  <c r="FF57" i="24"/>
  <c r="FG57" i="24"/>
  <c r="FH57" i="24"/>
  <c r="FI57" i="24"/>
  <c r="FJ57" i="24"/>
  <c r="FK57" i="24"/>
  <c r="FL57" i="24"/>
  <c r="FM57" i="24"/>
  <c r="FN57" i="24"/>
  <c r="FO57" i="24"/>
  <c r="FP57" i="24"/>
  <c r="FQ57" i="24"/>
  <c r="FR57" i="24"/>
  <c r="FS57" i="24"/>
  <c r="FT57" i="24"/>
  <c r="FU57" i="24"/>
  <c r="FV57" i="24"/>
  <c r="FW57" i="24"/>
  <c r="FX57" i="24"/>
  <c r="FY57" i="24"/>
  <c r="FZ57" i="24"/>
  <c r="GA57" i="24"/>
  <c r="GB57" i="24"/>
  <c r="GC57" i="24"/>
  <c r="GD57" i="24"/>
  <c r="GE57" i="24"/>
  <c r="GF57" i="24"/>
  <c r="GG57" i="24"/>
  <c r="GH57" i="24"/>
  <c r="GI57" i="24"/>
  <c r="GJ57" i="24"/>
  <c r="GK57" i="24"/>
  <c r="GL57" i="24"/>
  <c r="GM57" i="24"/>
  <c r="GN57" i="24"/>
  <c r="GO57" i="24"/>
  <c r="GP57" i="24"/>
  <c r="GQ57" i="24"/>
  <c r="GR57" i="24"/>
  <c r="GS57" i="24"/>
  <c r="GT57" i="24"/>
  <c r="C58" i="24"/>
  <c r="D58" i="24"/>
  <c r="E58" i="24"/>
  <c r="F58" i="24"/>
  <c r="G58" i="24"/>
  <c r="H58" i="24"/>
  <c r="I58" i="24"/>
  <c r="J58" i="24"/>
  <c r="K58" i="24"/>
  <c r="L58" i="24"/>
  <c r="M58" i="24"/>
  <c r="N58" i="24"/>
  <c r="O58" i="24"/>
  <c r="P58" i="24"/>
  <c r="Q58" i="24"/>
  <c r="R58" i="24"/>
  <c r="S58" i="24"/>
  <c r="T58" i="24"/>
  <c r="U58" i="24"/>
  <c r="V58" i="24"/>
  <c r="W58" i="24"/>
  <c r="X58" i="24"/>
  <c r="Y58" i="24"/>
  <c r="Z58" i="24"/>
  <c r="AA58" i="24"/>
  <c r="AB58" i="24"/>
  <c r="AC58" i="24"/>
  <c r="AD58" i="24"/>
  <c r="AE58" i="24"/>
  <c r="AF58" i="24"/>
  <c r="AG58" i="24"/>
  <c r="AH58" i="24"/>
  <c r="AI58" i="24"/>
  <c r="AJ58" i="24"/>
  <c r="AK58" i="24"/>
  <c r="AL58" i="24"/>
  <c r="AM58" i="24"/>
  <c r="AN58" i="24"/>
  <c r="AO58" i="24"/>
  <c r="AP58" i="24"/>
  <c r="AQ58" i="24"/>
  <c r="AR58" i="24"/>
  <c r="AS58" i="24"/>
  <c r="AT58" i="24"/>
  <c r="AU58" i="24"/>
  <c r="AV58" i="24"/>
  <c r="AW58" i="24"/>
  <c r="AX58" i="24"/>
  <c r="AY58" i="24"/>
  <c r="AZ58" i="24"/>
  <c r="BA58" i="24"/>
  <c r="BB58" i="24"/>
  <c r="BC58" i="24"/>
  <c r="BD58" i="24"/>
  <c r="BE58" i="24"/>
  <c r="BF58" i="24"/>
  <c r="BG58" i="24"/>
  <c r="BH58" i="24"/>
  <c r="BI58" i="24"/>
  <c r="BJ58" i="24"/>
  <c r="BK58" i="24"/>
  <c r="BL58" i="24"/>
  <c r="BM58" i="24"/>
  <c r="BN58" i="24"/>
  <c r="BO58" i="24"/>
  <c r="BP58" i="24"/>
  <c r="BQ58" i="24"/>
  <c r="BR58" i="24"/>
  <c r="BS58" i="24"/>
  <c r="BT58" i="24"/>
  <c r="BU58" i="24"/>
  <c r="BV58" i="24"/>
  <c r="BW58" i="24"/>
  <c r="BX58" i="24"/>
  <c r="BY58" i="24"/>
  <c r="BZ58" i="24"/>
  <c r="CA58" i="24"/>
  <c r="CB58" i="24"/>
  <c r="CC58" i="24"/>
  <c r="CD58" i="24"/>
  <c r="CE58" i="24"/>
  <c r="CF58" i="24"/>
  <c r="CG58" i="24"/>
  <c r="CH58" i="24"/>
  <c r="CI58" i="24"/>
  <c r="CJ58" i="24"/>
  <c r="CK58" i="24"/>
  <c r="CL58" i="24"/>
  <c r="CM58" i="24"/>
  <c r="CN58" i="24"/>
  <c r="CO58" i="24"/>
  <c r="CP58" i="24"/>
  <c r="CQ58" i="24"/>
  <c r="CR58" i="24"/>
  <c r="CS58" i="24"/>
  <c r="CT58" i="24"/>
  <c r="CU58" i="24"/>
  <c r="CV58" i="24"/>
  <c r="CW58" i="24"/>
  <c r="CX58" i="24"/>
  <c r="CY58" i="24"/>
  <c r="CZ58" i="24"/>
  <c r="DA58" i="24"/>
  <c r="DB58" i="24"/>
  <c r="DC58" i="24"/>
  <c r="DD58" i="24"/>
  <c r="DE58" i="24"/>
  <c r="DF58" i="24"/>
  <c r="DG58" i="24"/>
  <c r="DH58" i="24"/>
  <c r="DI58" i="24"/>
  <c r="DJ58" i="24"/>
  <c r="DK58" i="24"/>
  <c r="DL58" i="24"/>
  <c r="DM58" i="24"/>
  <c r="DN58" i="24"/>
  <c r="DO58" i="24"/>
  <c r="DP58" i="24"/>
  <c r="DQ58" i="24"/>
  <c r="DR58" i="24"/>
  <c r="DS58" i="24"/>
  <c r="DT58" i="24"/>
  <c r="DU58" i="24"/>
  <c r="DV58" i="24"/>
  <c r="DW58" i="24"/>
  <c r="DX58" i="24"/>
  <c r="DY58" i="24"/>
  <c r="DZ58" i="24"/>
  <c r="EA58" i="24"/>
  <c r="EB58" i="24"/>
  <c r="EC58" i="24"/>
  <c r="ED58" i="24"/>
  <c r="EE58" i="24"/>
  <c r="EF58" i="24"/>
  <c r="EG58" i="24"/>
  <c r="EH58" i="24"/>
  <c r="EI58" i="24"/>
  <c r="EJ58" i="24"/>
  <c r="EK58" i="24"/>
  <c r="EL58" i="24"/>
  <c r="EM58" i="24"/>
  <c r="EN58" i="24"/>
  <c r="EO58" i="24"/>
  <c r="EP58" i="24"/>
  <c r="EQ58" i="24"/>
  <c r="ER58" i="24"/>
  <c r="ES58" i="24"/>
  <c r="ET58" i="24"/>
  <c r="EU58" i="24"/>
  <c r="EV58" i="24"/>
  <c r="EW58" i="24"/>
  <c r="EX58" i="24"/>
  <c r="EY58" i="24"/>
  <c r="EZ58" i="24"/>
  <c r="FA58" i="24"/>
  <c r="FB58" i="24"/>
  <c r="FC58" i="24"/>
  <c r="FD58" i="24"/>
  <c r="FE58" i="24"/>
  <c r="FF58" i="24"/>
  <c r="FG58" i="24"/>
  <c r="FH58" i="24"/>
  <c r="FI58" i="24"/>
  <c r="FJ58" i="24"/>
  <c r="FK58" i="24"/>
  <c r="FL58" i="24"/>
  <c r="FM58" i="24"/>
  <c r="FN58" i="24"/>
  <c r="FO58" i="24"/>
  <c r="FP58" i="24"/>
  <c r="FQ58" i="24"/>
  <c r="FR58" i="24"/>
  <c r="FS58" i="24"/>
  <c r="FT58" i="24"/>
  <c r="FU58" i="24"/>
  <c r="FV58" i="24"/>
  <c r="FW58" i="24"/>
  <c r="FX58" i="24"/>
  <c r="FY58" i="24"/>
  <c r="FZ58" i="24"/>
  <c r="GA58" i="24"/>
  <c r="GB58" i="24"/>
  <c r="GC58" i="24"/>
  <c r="GD58" i="24"/>
  <c r="GE58" i="24"/>
  <c r="GF58" i="24"/>
  <c r="GG58" i="24"/>
  <c r="GH58" i="24"/>
  <c r="GI58" i="24"/>
  <c r="GJ58" i="24"/>
  <c r="GK58" i="24"/>
  <c r="GL58" i="24"/>
  <c r="GM58" i="24"/>
  <c r="GN58" i="24"/>
  <c r="GO58" i="24"/>
  <c r="GP58" i="24"/>
  <c r="GQ58" i="24"/>
  <c r="GR58" i="24"/>
  <c r="GS58" i="24"/>
  <c r="GT58" i="24"/>
  <c r="C59" i="24"/>
  <c r="D59" i="24"/>
  <c r="E59" i="24"/>
  <c r="F59" i="24"/>
  <c r="G59" i="24"/>
  <c r="H59" i="24"/>
  <c r="I59" i="24"/>
  <c r="J59" i="24"/>
  <c r="K59" i="24"/>
  <c r="L59" i="24"/>
  <c r="M59" i="24"/>
  <c r="N59" i="24"/>
  <c r="O59" i="24"/>
  <c r="P59" i="24"/>
  <c r="Q59" i="24"/>
  <c r="R59" i="24"/>
  <c r="S59" i="24"/>
  <c r="T59" i="24"/>
  <c r="U59" i="24"/>
  <c r="V59" i="24"/>
  <c r="W59" i="24"/>
  <c r="X59" i="24"/>
  <c r="Y59" i="24"/>
  <c r="Z59" i="24"/>
  <c r="AA59" i="24"/>
  <c r="AB59" i="24"/>
  <c r="AC59" i="24"/>
  <c r="AD59" i="24"/>
  <c r="AE59" i="24"/>
  <c r="AF59" i="24"/>
  <c r="AG59" i="24"/>
  <c r="AH59" i="24"/>
  <c r="AI59" i="24"/>
  <c r="AJ59" i="24"/>
  <c r="AK59" i="24"/>
  <c r="AL59" i="24"/>
  <c r="AM59" i="24"/>
  <c r="AN59" i="24"/>
  <c r="AO59" i="24"/>
  <c r="AP59" i="24"/>
  <c r="AQ59" i="24"/>
  <c r="AR59" i="24"/>
  <c r="AS59" i="24"/>
  <c r="AT59" i="24"/>
  <c r="AU59" i="24"/>
  <c r="AV59" i="24"/>
  <c r="AW59" i="24"/>
  <c r="AX59" i="24"/>
  <c r="AY59" i="24"/>
  <c r="AZ59" i="24"/>
  <c r="BA59" i="24"/>
  <c r="BB59" i="24"/>
  <c r="BC59" i="24"/>
  <c r="BD59" i="24"/>
  <c r="BE59" i="24"/>
  <c r="BF59" i="24"/>
  <c r="BG59" i="24"/>
  <c r="BH59" i="24"/>
  <c r="BI59" i="24"/>
  <c r="BJ59" i="24"/>
  <c r="BK59" i="24"/>
  <c r="BL59" i="24"/>
  <c r="BM59" i="24"/>
  <c r="BN59" i="24"/>
  <c r="BO59" i="24"/>
  <c r="BP59" i="24"/>
  <c r="BQ59" i="24"/>
  <c r="BR59" i="24"/>
  <c r="BS59" i="24"/>
  <c r="BT59" i="24"/>
  <c r="BU59" i="24"/>
  <c r="BV59" i="24"/>
  <c r="BW59" i="24"/>
  <c r="BX59" i="24"/>
  <c r="BY59" i="24"/>
  <c r="BZ59" i="24"/>
  <c r="CA59" i="24"/>
  <c r="CB59" i="24"/>
  <c r="CC59" i="24"/>
  <c r="CD59" i="24"/>
  <c r="CE59" i="24"/>
  <c r="CF59" i="24"/>
  <c r="CG59" i="24"/>
  <c r="CH59" i="24"/>
  <c r="CI59" i="24"/>
  <c r="CJ59" i="24"/>
  <c r="CK59" i="24"/>
  <c r="CL59" i="24"/>
  <c r="CM59" i="24"/>
  <c r="CN59" i="24"/>
  <c r="CO59" i="24"/>
  <c r="CP59" i="24"/>
  <c r="CQ59" i="24"/>
  <c r="CR59" i="24"/>
  <c r="CS59" i="24"/>
  <c r="CT59" i="24"/>
  <c r="CU59" i="24"/>
  <c r="CV59" i="24"/>
  <c r="CW59" i="24"/>
  <c r="CX59" i="24"/>
  <c r="CY59" i="24"/>
  <c r="CZ59" i="24"/>
  <c r="DA59" i="24"/>
  <c r="DB59" i="24"/>
  <c r="DC59" i="24"/>
  <c r="DD59" i="24"/>
  <c r="DE59" i="24"/>
  <c r="DF59" i="24"/>
  <c r="DG59" i="24"/>
  <c r="DH59" i="24"/>
  <c r="DI59" i="24"/>
  <c r="DJ59" i="24"/>
  <c r="DK59" i="24"/>
  <c r="DL59" i="24"/>
  <c r="DM59" i="24"/>
  <c r="DN59" i="24"/>
  <c r="DO59" i="24"/>
  <c r="DP59" i="24"/>
  <c r="DQ59" i="24"/>
  <c r="DR59" i="24"/>
  <c r="DS59" i="24"/>
  <c r="DT59" i="24"/>
  <c r="DU59" i="24"/>
  <c r="DV59" i="24"/>
  <c r="DW59" i="24"/>
  <c r="DX59" i="24"/>
  <c r="DY59" i="24"/>
  <c r="DZ59" i="24"/>
  <c r="EA59" i="24"/>
  <c r="EB59" i="24"/>
  <c r="EC59" i="24"/>
  <c r="ED59" i="24"/>
  <c r="EE59" i="24"/>
  <c r="EF59" i="24"/>
  <c r="EG59" i="24"/>
  <c r="EH59" i="24"/>
  <c r="EI59" i="24"/>
  <c r="EJ59" i="24"/>
  <c r="EK59" i="24"/>
  <c r="EL59" i="24"/>
  <c r="EM59" i="24"/>
  <c r="EN59" i="24"/>
  <c r="EO59" i="24"/>
  <c r="EP59" i="24"/>
  <c r="EQ59" i="24"/>
  <c r="ER59" i="24"/>
  <c r="ES59" i="24"/>
  <c r="ET59" i="24"/>
  <c r="EU59" i="24"/>
  <c r="EV59" i="24"/>
  <c r="EW59" i="24"/>
  <c r="EX59" i="24"/>
  <c r="EY59" i="24"/>
  <c r="EZ59" i="24"/>
  <c r="FA59" i="24"/>
  <c r="FB59" i="24"/>
  <c r="FC59" i="24"/>
  <c r="FD59" i="24"/>
  <c r="FE59" i="24"/>
  <c r="FF59" i="24"/>
  <c r="FG59" i="24"/>
  <c r="FH59" i="24"/>
  <c r="FI59" i="24"/>
  <c r="FJ59" i="24"/>
  <c r="FK59" i="24"/>
  <c r="FL59" i="24"/>
  <c r="FM59" i="24"/>
  <c r="FN59" i="24"/>
  <c r="FO59" i="24"/>
  <c r="FP59" i="24"/>
  <c r="FQ59" i="24"/>
  <c r="FR59" i="24"/>
  <c r="FS59" i="24"/>
  <c r="FT59" i="24"/>
  <c r="FU59" i="24"/>
  <c r="FV59" i="24"/>
  <c r="FW59" i="24"/>
  <c r="FX59" i="24"/>
  <c r="FY59" i="24"/>
  <c r="FZ59" i="24"/>
  <c r="GA59" i="24"/>
  <c r="GB59" i="24"/>
  <c r="GC59" i="24"/>
  <c r="GD59" i="24"/>
  <c r="GE59" i="24"/>
  <c r="GF59" i="24"/>
  <c r="GG59" i="24"/>
  <c r="GH59" i="24"/>
  <c r="GI59" i="24"/>
  <c r="GJ59" i="24"/>
  <c r="GK59" i="24"/>
  <c r="GL59" i="24"/>
  <c r="GM59" i="24"/>
  <c r="GN59" i="24"/>
  <c r="GO59" i="24"/>
  <c r="GP59" i="24"/>
  <c r="GQ59" i="24"/>
  <c r="GR59" i="24"/>
  <c r="GS59" i="24"/>
  <c r="GT59" i="24"/>
  <c r="C60" i="24"/>
  <c r="D60" i="24"/>
  <c r="E60" i="24"/>
  <c r="F60" i="24"/>
  <c r="G60" i="24"/>
  <c r="H60" i="24"/>
  <c r="I60" i="24"/>
  <c r="J60" i="24"/>
  <c r="K60" i="24"/>
  <c r="L60" i="24"/>
  <c r="M60" i="24"/>
  <c r="N60" i="24"/>
  <c r="O60" i="24"/>
  <c r="P60" i="24"/>
  <c r="Q60" i="24"/>
  <c r="R60" i="24"/>
  <c r="S60" i="24"/>
  <c r="T60" i="24"/>
  <c r="U60" i="24"/>
  <c r="V60" i="24"/>
  <c r="W60" i="24"/>
  <c r="X60" i="24"/>
  <c r="Y60" i="24"/>
  <c r="Z60" i="24"/>
  <c r="AA60" i="24"/>
  <c r="AB60" i="24"/>
  <c r="AC60" i="24"/>
  <c r="AD60" i="24"/>
  <c r="AE60" i="24"/>
  <c r="AF60" i="24"/>
  <c r="AG60" i="24"/>
  <c r="AH60" i="24"/>
  <c r="AI60" i="24"/>
  <c r="AJ60" i="24"/>
  <c r="AK60" i="24"/>
  <c r="AL60" i="24"/>
  <c r="AM60" i="24"/>
  <c r="AN60" i="24"/>
  <c r="AO60" i="24"/>
  <c r="AP60" i="24"/>
  <c r="AQ60" i="24"/>
  <c r="AR60" i="24"/>
  <c r="AS60" i="24"/>
  <c r="AT60" i="24"/>
  <c r="AU60" i="24"/>
  <c r="AV60" i="24"/>
  <c r="AW60" i="24"/>
  <c r="AX60" i="24"/>
  <c r="AY60" i="24"/>
  <c r="AZ60" i="24"/>
  <c r="BA60" i="24"/>
  <c r="BB60" i="24"/>
  <c r="BC60" i="24"/>
  <c r="BD60" i="24"/>
  <c r="BE60" i="24"/>
  <c r="BF60" i="24"/>
  <c r="BG60" i="24"/>
  <c r="BH60" i="24"/>
  <c r="BI60" i="24"/>
  <c r="BJ60" i="24"/>
  <c r="BK60" i="24"/>
  <c r="BL60" i="24"/>
  <c r="BM60" i="24"/>
  <c r="BN60" i="24"/>
  <c r="BO60" i="24"/>
  <c r="BP60" i="24"/>
  <c r="BQ60" i="24"/>
  <c r="BR60" i="24"/>
  <c r="BS60" i="24"/>
  <c r="BT60" i="24"/>
  <c r="BU60" i="24"/>
  <c r="BV60" i="24"/>
  <c r="BW60" i="24"/>
  <c r="BX60" i="24"/>
  <c r="BY60" i="24"/>
  <c r="BZ60" i="24"/>
  <c r="CA60" i="24"/>
  <c r="CB60" i="24"/>
  <c r="CC60" i="24"/>
  <c r="CD60" i="24"/>
  <c r="CE60" i="24"/>
  <c r="CF60" i="24"/>
  <c r="CG60" i="24"/>
  <c r="CH60" i="24"/>
  <c r="CI60" i="24"/>
  <c r="CJ60" i="24"/>
  <c r="CK60" i="24"/>
  <c r="CL60" i="24"/>
  <c r="CM60" i="24"/>
  <c r="CN60" i="24"/>
  <c r="CO60" i="24"/>
  <c r="CP60" i="24"/>
  <c r="CQ60" i="24"/>
  <c r="CR60" i="24"/>
  <c r="CS60" i="24"/>
  <c r="CT60" i="24"/>
  <c r="CU60" i="24"/>
  <c r="CV60" i="24"/>
  <c r="CW60" i="24"/>
  <c r="CX60" i="24"/>
  <c r="CY60" i="24"/>
  <c r="CZ60" i="24"/>
  <c r="DA60" i="24"/>
  <c r="DB60" i="24"/>
  <c r="DC60" i="24"/>
  <c r="DD60" i="24"/>
  <c r="DE60" i="24"/>
  <c r="DF60" i="24"/>
  <c r="DG60" i="24"/>
  <c r="DH60" i="24"/>
  <c r="DI60" i="24"/>
  <c r="DJ60" i="24"/>
  <c r="DK60" i="24"/>
  <c r="DL60" i="24"/>
  <c r="DM60" i="24"/>
  <c r="DN60" i="24"/>
  <c r="DO60" i="24"/>
  <c r="DP60" i="24"/>
  <c r="DQ60" i="24"/>
  <c r="DR60" i="24"/>
  <c r="DS60" i="24"/>
  <c r="DT60" i="24"/>
  <c r="DU60" i="24"/>
  <c r="DV60" i="24"/>
  <c r="DW60" i="24"/>
  <c r="DX60" i="24"/>
  <c r="DY60" i="24"/>
  <c r="DZ60" i="24"/>
  <c r="EA60" i="24"/>
  <c r="EB60" i="24"/>
  <c r="EC60" i="24"/>
  <c r="ED60" i="24"/>
  <c r="EE60" i="24"/>
  <c r="EF60" i="24"/>
  <c r="EG60" i="24"/>
  <c r="EH60" i="24"/>
  <c r="EI60" i="24"/>
  <c r="EJ60" i="24"/>
  <c r="EK60" i="24"/>
  <c r="EL60" i="24"/>
  <c r="EM60" i="24"/>
  <c r="EN60" i="24"/>
  <c r="EO60" i="24"/>
  <c r="EP60" i="24"/>
  <c r="EQ60" i="24"/>
  <c r="ER60" i="24"/>
  <c r="ES60" i="24"/>
  <c r="ET60" i="24"/>
  <c r="EU60" i="24"/>
  <c r="EV60" i="24"/>
  <c r="EW60" i="24"/>
  <c r="EX60" i="24"/>
  <c r="EY60" i="24"/>
  <c r="EZ60" i="24"/>
  <c r="FA60" i="24"/>
  <c r="FB60" i="24"/>
  <c r="FC60" i="24"/>
  <c r="FD60" i="24"/>
  <c r="FE60" i="24"/>
  <c r="FF60" i="24"/>
  <c r="FG60" i="24"/>
  <c r="FH60" i="24"/>
  <c r="FI60" i="24"/>
  <c r="FJ60" i="24"/>
  <c r="FK60" i="24"/>
  <c r="FL60" i="24"/>
  <c r="FM60" i="24"/>
  <c r="FN60" i="24"/>
  <c r="FO60" i="24"/>
  <c r="FP60" i="24"/>
  <c r="FQ60" i="24"/>
  <c r="FR60" i="24"/>
  <c r="FS60" i="24"/>
  <c r="FT60" i="24"/>
  <c r="FU60" i="24"/>
  <c r="FV60" i="24"/>
  <c r="FW60" i="24"/>
  <c r="FX60" i="24"/>
  <c r="FY60" i="24"/>
  <c r="FZ60" i="24"/>
  <c r="GA60" i="24"/>
  <c r="GB60" i="24"/>
  <c r="GC60" i="24"/>
  <c r="GD60" i="24"/>
  <c r="GE60" i="24"/>
  <c r="GF60" i="24"/>
  <c r="GG60" i="24"/>
  <c r="GH60" i="24"/>
  <c r="GI60" i="24"/>
  <c r="GJ60" i="24"/>
  <c r="GK60" i="24"/>
  <c r="GL60" i="24"/>
  <c r="GM60" i="24"/>
  <c r="GN60" i="24"/>
  <c r="GO60" i="24"/>
  <c r="GP60" i="24"/>
  <c r="GQ60" i="24"/>
  <c r="GR60" i="24"/>
  <c r="GS60" i="24"/>
  <c r="GT60" i="24"/>
  <c r="C61" i="24"/>
  <c r="D61" i="24"/>
  <c r="E61" i="24"/>
  <c r="F61" i="24"/>
  <c r="G61" i="24"/>
  <c r="H61" i="24"/>
  <c r="I61" i="24"/>
  <c r="J61" i="24"/>
  <c r="K61" i="24"/>
  <c r="L61" i="24"/>
  <c r="M61" i="24"/>
  <c r="N61" i="24"/>
  <c r="O61" i="24"/>
  <c r="P61" i="24"/>
  <c r="Q61" i="24"/>
  <c r="R61" i="24"/>
  <c r="S61" i="24"/>
  <c r="T61" i="24"/>
  <c r="U61" i="24"/>
  <c r="V61" i="24"/>
  <c r="W61" i="24"/>
  <c r="X61" i="24"/>
  <c r="Y61" i="24"/>
  <c r="Z61" i="24"/>
  <c r="AA61" i="24"/>
  <c r="AB61" i="24"/>
  <c r="AC61" i="24"/>
  <c r="AD61" i="24"/>
  <c r="AE61" i="24"/>
  <c r="AF61" i="24"/>
  <c r="AG61" i="24"/>
  <c r="AH61" i="24"/>
  <c r="AI61" i="24"/>
  <c r="AJ61" i="24"/>
  <c r="AK61" i="24"/>
  <c r="AL61" i="24"/>
  <c r="AM61" i="24"/>
  <c r="AN61" i="24"/>
  <c r="AO61" i="24"/>
  <c r="AP61" i="24"/>
  <c r="AQ61" i="24"/>
  <c r="AR61" i="24"/>
  <c r="AS61" i="24"/>
  <c r="AT61" i="24"/>
  <c r="AU61" i="24"/>
  <c r="AV61" i="24"/>
  <c r="AW61" i="24"/>
  <c r="AX61" i="24"/>
  <c r="AY61" i="24"/>
  <c r="AZ61" i="24"/>
  <c r="BA61" i="24"/>
  <c r="BB61" i="24"/>
  <c r="BC61" i="24"/>
  <c r="BD61" i="24"/>
  <c r="BE61" i="24"/>
  <c r="BF61" i="24"/>
  <c r="BG61" i="24"/>
  <c r="BH61" i="24"/>
  <c r="BI61" i="24"/>
  <c r="BJ61" i="24"/>
  <c r="BK61" i="24"/>
  <c r="BL61" i="24"/>
  <c r="BM61" i="24"/>
  <c r="BN61" i="24"/>
  <c r="BO61" i="24"/>
  <c r="BP61" i="24"/>
  <c r="BQ61" i="24"/>
  <c r="BR61" i="24"/>
  <c r="BS61" i="24"/>
  <c r="BT61" i="24"/>
  <c r="BU61" i="24"/>
  <c r="BV61" i="24"/>
  <c r="BW61" i="24"/>
  <c r="BX61" i="24"/>
  <c r="BY61" i="24"/>
  <c r="BZ61" i="24"/>
  <c r="CA61" i="24"/>
  <c r="CB61" i="24"/>
  <c r="CC61" i="24"/>
  <c r="CD61" i="24"/>
  <c r="CE61" i="24"/>
  <c r="CF61" i="24"/>
  <c r="CG61" i="24"/>
  <c r="CH61" i="24"/>
  <c r="CI61" i="24"/>
  <c r="CJ61" i="24"/>
  <c r="CK61" i="24"/>
  <c r="CL61" i="24"/>
  <c r="CM61" i="24"/>
  <c r="CN61" i="24"/>
  <c r="CO61" i="24"/>
  <c r="CP61" i="24"/>
  <c r="CQ61" i="24"/>
  <c r="CR61" i="24"/>
  <c r="CS61" i="24"/>
  <c r="CT61" i="24"/>
  <c r="CU61" i="24"/>
  <c r="CV61" i="24"/>
  <c r="CW61" i="24"/>
  <c r="CX61" i="24"/>
  <c r="CY61" i="24"/>
  <c r="CZ61" i="24"/>
  <c r="DA61" i="24"/>
  <c r="DB61" i="24"/>
  <c r="DC61" i="24"/>
  <c r="DD61" i="24"/>
  <c r="DE61" i="24"/>
  <c r="DF61" i="24"/>
  <c r="DG61" i="24"/>
  <c r="DH61" i="24"/>
  <c r="DI61" i="24"/>
  <c r="DJ61" i="24"/>
  <c r="DK61" i="24"/>
  <c r="DL61" i="24"/>
  <c r="DM61" i="24"/>
  <c r="DN61" i="24"/>
  <c r="DO61" i="24"/>
  <c r="DP61" i="24"/>
  <c r="DQ61" i="24"/>
  <c r="DR61" i="24"/>
  <c r="DS61" i="24"/>
  <c r="DT61" i="24"/>
  <c r="DU61" i="24"/>
  <c r="DV61" i="24"/>
  <c r="DW61" i="24"/>
  <c r="DX61" i="24"/>
  <c r="DY61" i="24"/>
  <c r="DZ61" i="24"/>
  <c r="EA61" i="24"/>
  <c r="EB61" i="24"/>
  <c r="EC61" i="24"/>
  <c r="ED61" i="24"/>
  <c r="EE61" i="24"/>
  <c r="EF61" i="24"/>
  <c r="EG61" i="24"/>
  <c r="EH61" i="24"/>
  <c r="EI61" i="24"/>
  <c r="EJ61" i="24"/>
  <c r="EK61" i="24"/>
  <c r="EL61" i="24"/>
  <c r="EM61" i="24"/>
  <c r="EN61" i="24"/>
  <c r="EO61" i="24"/>
  <c r="EP61" i="24"/>
  <c r="EQ61" i="24"/>
  <c r="ER61" i="24"/>
  <c r="ES61" i="24"/>
  <c r="ET61" i="24"/>
  <c r="EU61" i="24"/>
  <c r="EV61" i="24"/>
  <c r="EW61" i="24"/>
  <c r="EX61" i="24"/>
  <c r="EY61" i="24"/>
  <c r="EZ61" i="24"/>
  <c r="FA61" i="24"/>
  <c r="FB61" i="24"/>
  <c r="FC61" i="24"/>
  <c r="FD61" i="24"/>
  <c r="FE61" i="24"/>
  <c r="FF61" i="24"/>
  <c r="FG61" i="24"/>
  <c r="FH61" i="24"/>
  <c r="FI61" i="24"/>
  <c r="FJ61" i="24"/>
  <c r="FK61" i="24"/>
  <c r="FL61" i="24"/>
  <c r="FM61" i="24"/>
  <c r="FN61" i="24"/>
  <c r="FO61" i="24"/>
  <c r="FP61" i="24"/>
  <c r="FQ61" i="24"/>
  <c r="FR61" i="24"/>
  <c r="FS61" i="24"/>
  <c r="FT61" i="24"/>
  <c r="FU61" i="24"/>
  <c r="FV61" i="24"/>
  <c r="FW61" i="24"/>
  <c r="FX61" i="24"/>
  <c r="FY61" i="24"/>
  <c r="FZ61" i="24"/>
  <c r="GA61" i="24"/>
  <c r="GB61" i="24"/>
  <c r="GC61" i="24"/>
  <c r="GD61" i="24"/>
  <c r="GE61" i="24"/>
  <c r="GF61" i="24"/>
  <c r="GG61" i="24"/>
  <c r="GH61" i="24"/>
  <c r="GI61" i="24"/>
  <c r="GJ61" i="24"/>
  <c r="GK61" i="24"/>
  <c r="GL61" i="24"/>
  <c r="GM61" i="24"/>
  <c r="GN61" i="24"/>
  <c r="GO61" i="24"/>
  <c r="GP61" i="24"/>
  <c r="GQ61" i="24"/>
  <c r="GR61" i="24"/>
  <c r="GS61" i="24"/>
  <c r="GT61" i="24"/>
  <c r="C62" i="24"/>
  <c r="D62" i="24"/>
  <c r="E62" i="24"/>
  <c r="F62" i="24"/>
  <c r="G62" i="24"/>
  <c r="H62" i="24"/>
  <c r="I62" i="24"/>
  <c r="J62" i="24"/>
  <c r="K62" i="24"/>
  <c r="L62" i="24"/>
  <c r="M62" i="24"/>
  <c r="N62" i="24"/>
  <c r="O62" i="24"/>
  <c r="P62" i="24"/>
  <c r="Q62" i="24"/>
  <c r="R62" i="24"/>
  <c r="S62" i="24"/>
  <c r="T62" i="24"/>
  <c r="U62" i="24"/>
  <c r="V62" i="24"/>
  <c r="W62" i="24"/>
  <c r="X62" i="24"/>
  <c r="Y62" i="24"/>
  <c r="Z62" i="24"/>
  <c r="AA62" i="24"/>
  <c r="AB62" i="24"/>
  <c r="AC62" i="24"/>
  <c r="AD62" i="24"/>
  <c r="AE62" i="24"/>
  <c r="AF62" i="24"/>
  <c r="AG62" i="24"/>
  <c r="AH62" i="24"/>
  <c r="AI62" i="24"/>
  <c r="AJ62" i="24"/>
  <c r="AK62" i="24"/>
  <c r="AL62" i="24"/>
  <c r="AM62" i="24"/>
  <c r="AN62" i="24"/>
  <c r="AO62" i="24"/>
  <c r="AP62" i="24"/>
  <c r="AQ62" i="24"/>
  <c r="AR62" i="24"/>
  <c r="AS62" i="24"/>
  <c r="AT62" i="24"/>
  <c r="AU62" i="24"/>
  <c r="AV62" i="24"/>
  <c r="AW62" i="24"/>
  <c r="AX62" i="24"/>
  <c r="AY62" i="24"/>
  <c r="AZ62" i="24"/>
  <c r="BA62" i="24"/>
  <c r="BB62" i="24"/>
  <c r="BC62" i="24"/>
  <c r="BD62" i="24"/>
  <c r="BE62" i="24"/>
  <c r="BF62" i="24"/>
  <c r="BG62" i="24"/>
  <c r="BH62" i="24"/>
  <c r="BI62" i="24"/>
  <c r="BJ62" i="24"/>
  <c r="BK62" i="24"/>
  <c r="BL62" i="24"/>
  <c r="BM62" i="24"/>
  <c r="BN62" i="24"/>
  <c r="BO62" i="24"/>
  <c r="BP62" i="24"/>
  <c r="BQ62" i="24"/>
  <c r="BR62" i="24"/>
  <c r="BS62" i="24"/>
  <c r="BT62" i="24"/>
  <c r="BU62" i="24"/>
  <c r="BV62" i="24"/>
  <c r="BW62" i="24"/>
  <c r="BX62" i="24"/>
  <c r="BY62" i="24"/>
  <c r="BZ62" i="24"/>
  <c r="CA62" i="24"/>
  <c r="CB62" i="24"/>
  <c r="CC62" i="24"/>
  <c r="CD62" i="24"/>
  <c r="CE62" i="24"/>
  <c r="CF62" i="24"/>
  <c r="CG62" i="24"/>
  <c r="CH62" i="24"/>
  <c r="CI62" i="24"/>
  <c r="CJ62" i="24"/>
  <c r="CK62" i="24"/>
  <c r="CL62" i="24"/>
  <c r="CM62" i="24"/>
  <c r="CN62" i="24"/>
  <c r="CO62" i="24"/>
  <c r="CP62" i="24"/>
  <c r="CQ62" i="24"/>
  <c r="CR62" i="24"/>
  <c r="CS62" i="24"/>
  <c r="CT62" i="24"/>
  <c r="CU62" i="24"/>
  <c r="CV62" i="24"/>
  <c r="CW62" i="24"/>
  <c r="CX62" i="24"/>
  <c r="CY62" i="24"/>
  <c r="CZ62" i="24"/>
  <c r="DA62" i="24"/>
  <c r="DB62" i="24"/>
  <c r="DC62" i="24"/>
  <c r="DD62" i="24"/>
  <c r="DE62" i="24"/>
  <c r="DF62" i="24"/>
  <c r="DG62" i="24"/>
  <c r="DH62" i="24"/>
  <c r="DI62" i="24"/>
  <c r="DJ62" i="24"/>
  <c r="DK62" i="24"/>
  <c r="DL62" i="24"/>
  <c r="DM62" i="24"/>
  <c r="DN62" i="24"/>
  <c r="DO62" i="24"/>
  <c r="DP62" i="24"/>
  <c r="DQ62" i="24"/>
  <c r="DR62" i="24"/>
  <c r="DS62" i="24"/>
  <c r="DT62" i="24"/>
  <c r="DU62" i="24"/>
  <c r="DV62" i="24"/>
  <c r="DW62" i="24"/>
  <c r="DX62" i="24"/>
  <c r="DY62" i="24"/>
  <c r="DZ62" i="24"/>
  <c r="EA62" i="24"/>
  <c r="EB62" i="24"/>
  <c r="EC62" i="24"/>
  <c r="ED62" i="24"/>
  <c r="EE62" i="24"/>
  <c r="EF62" i="24"/>
  <c r="EG62" i="24"/>
  <c r="EH62" i="24"/>
  <c r="EI62" i="24"/>
  <c r="EJ62" i="24"/>
  <c r="EK62" i="24"/>
  <c r="EL62" i="24"/>
  <c r="EM62" i="24"/>
  <c r="EN62" i="24"/>
  <c r="EO62" i="24"/>
  <c r="EP62" i="24"/>
  <c r="EQ62" i="24"/>
  <c r="ER62" i="24"/>
  <c r="ES62" i="24"/>
  <c r="ET62" i="24"/>
  <c r="EU62" i="24"/>
  <c r="EV62" i="24"/>
  <c r="EW62" i="24"/>
  <c r="EX62" i="24"/>
  <c r="EY62" i="24"/>
  <c r="EZ62" i="24"/>
  <c r="FA62" i="24"/>
  <c r="FB62" i="24"/>
  <c r="FC62" i="24"/>
  <c r="FD62" i="24"/>
  <c r="FE62" i="24"/>
  <c r="FF62" i="24"/>
  <c r="FG62" i="24"/>
  <c r="FH62" i="24"/>
  <c r="FI62" i="24"/>
  <c r="FJ62" i="24"/>
  <c r="FK62" i="24"/>
  <c r="FL62" i="24"/>
  <c r="FM62" i="24"/>
  <c r="FN62" i="24"/>
  <c r="FO62" i="24"/>
  <c r="FP62" i="24"/>
  <c r="FQ62" i="24"/>
  <c r="FR62" i="24"/>
  <c r="FS62" i="24"/>
  <c r="FT62" i="24"/>
  <c r="FU62" i="24"/>
  <c r="FV62" i="24"/>
  <c r="FW62" i="24"/>
  <c r="FX62" i="24"/>
  <c r="FY62" i="24"/>
  <c r="FZ62" i="24"/>
  <c r="GA62" i="24"/>
  <c r="GB62" i="24"/>
  <c r="GC62" i="24"/>
  <c r="GD62" i="24"/>
  <c r="GE62" i="24"/>
  <c r="GF62" i="24"/>
  <c r="GG62" i="24"/>
  <c r="GH62" i="24"/>
  <c r="GI62" i="24"/>
  <c r="GJ62" i="24"/>
  <c r="GK62" i="24"/>
  <c r="GL62" i="24"/>
  <c r="GM62" i="24"/>
  <c r="GN62" i="24"/>
  <c r="GO62" i="24"/>
  <c r="GP62" i="24"/>
  <c r="GQ62" i="24"/>
  <c r="GR62" i="24"/>
  <c r="GS62" i="24"/>
  <c r="GT62" i="24"/>
  <c r="C63" i="24"/>
  <c r="D63" i="24"/>
  <c r="E63" i="24"/>
  <c r="F63" i="24"/>
  <c r="G63" i="24"/>
  <c r="H63" i="24"/>
  <c r="I63" i="24"/>
  <c r="J63" i="24"/>
  <c r="K63" i="24"/>
  <c r="L63" i="24"/>
  <c r="M63" i="24"/>
  <c r="N63" i="24"/>
  <c r="O63" i="24"/>
  <c r="P63" i="24"/>
  <c r="Q63" i="24"/>
  <c r="R63" i="24"/>
  <c r="S63" i="24"/>
  <c r="T63" i="24"/>
  <c r="U63" i="24"/>
  <c r="V63" i="24"/>
  <c r="W63" i="24"/>
  <c r="X63" i="24"/>
  <c r="Y63" i="24"/>
  <c r="Z63" i="24"/>
  <c r="AA63" i="24"/>
  <c r="AB63" i="24"/>
  <c r="AC63" i="24"/>
  <c r="AD63" i="24"/>
  <c r="AE63" i="24"/>
  <c r="AF63" i="24"/>
  <c r="AG63" i="24"/>
  <c r="AH63" i="24"/>
  <c r="AI63" i="24"/>
  <c r="AJ63" i="24"/>
  <c r="AK63" i="24"/>
  <c r="AL63" i="24"/>
  <c r="AM63" i="24"/>
  <c r="AN63" i="24"/>
  <c r="AO63" i="24"/>
  <c r="AP63" i="24"/>
  <c r="AQ63" i="24"/>
  <c r="AR63" i="24"/>
  <c r="AS63" i="24"/>
  <c r="AT63" i="24"/>
  <c r="AU63" i="24"/>
  <c r="AV63" i="24"/>
  <c r="AW63" i="24"/>
  <c r="AX63" i="24"/>
  <c r="AY63" i="24"/>
  <c r="AZ63" i="24"/>
  <c r="BA63" i="24"/>
  <c r="BB63" i="24"/>
  <c r="BC63" i="24"/>
  <c r="BD63" i="24"/>
  <c r="BE63" i="24"/>
  <c r="BF63" i="24"/>
  <c r="BG63" i="24"/>
  <c r="BH63" i="24"/>
  <c r="BI63" i="24"/>
  <c r="BJ63" i="24"/>
  <c r="BK63" i="24"/>
  <c r="BL63" i="24"/>
  <c r="BM63" i="24"/>
  <c r="BN63" i="24"/>
  <c r="BO63" i="24"/>
  <c r="BP63" i="24"/>
  <c r="BQ63" i="24"/>
  <c r="BR63" i="24"/>
  <c r="BS63" i="24"/>
  <c r="BT63" i="24"/>
  <c r="BU63" i="24"/>
  <c r="BV63" i="24"/>
  <c r="BW63" i="24"/>
  <c r="BX63" i="24"/>
  <c r="BY63" i="24"/>
  <c r="BZ63" i="24"/>
  <c r="CA63" i="24"/>
  <c r="CB63" i="24"/>
  <c r="CC63" i="24"/>
  <c r="CD63" i="24"/>
  <c r="CE63" i="24"/>
  <c r="CF63" i="24"/>
  <c r="CG63" i="24"/>
  <c r="CH63" i="24"/>
  <c r="CI63" i="24"/>
  <c r="CJ63" i="24"/>
  <c r="CK63" i="24"/>
  <c r="CL63" i="24"/>
  <c r="CM63" i="24"/>
  <c r="CN63" i="24"/>
  <c r="CO63" i="24"/>
  <c r="CP63" i="24"/>
  <c r="CQ63" i="24"/>
  <c r="CR63" i="24"/>
  <c r="CS63" i="24"/>
  <c r="CT63" i="24"/>
  <c r="CU63" i="24"/>
  <c r="CV63" i="24"/>
  <c r="CW63" i="24"/>
  <c r="CX63" i="24"/>
  <c r="CY63" i="24"/>
  <c r="CZ63" i="24"/>
  <c r="DA63" i="24"/>
  <c r="DB63" i="24"/>
  <c r="DC63" i="24"/>
  <c r="DD63" i="24"/>
  <c r="DE63" i="24"/>
  <c r="DF63" i="24"/>
  <c r="DG63" i="24"/>
  <c r="DH63" i="24"/>
  <c r="DI63" i="24"/>
  <c r="DJ63" i="24"/>
  <c r="DK63" i="24"/>
  <c r="DL63" i="24"/>
  <c r="DM63" i="24"/>
  <c r="DN63" i="24"/>
  <c r="DO63" i="24"/>
  <c r="DP63" i="24"/>
  <c r="DQ63" i="24"/>
  <c r="DR63" i="24"/>
  <c r="DS63" i="24"/>
  <c r="DT63" i="24"/>
  <c r="DU63" i="24"/>
  <c r="DV63" i="24"/>
  <c r="DW63" i="24"/>
  <c r="DX63" i="24"/>
  <c r="DY63" i="24"/>
  <c r="DZ63" i="24"/>
  <c r="EA63" i="24"/>
  <c r="EB63" i="24"/>
  <c r="EC63" i="24"/>
  <c r="ED63" i="24"/>
  <c r="EE63" i="24"/>
  <c r="EF63" i="24"/>
  <c r="EG63" i="24"/>
  <c r="EH63" i="24"/>
  <c r="EI63" i="24"/>
  <c r="EJ63" i="24"/>
  <c r="EK63" i="24"/>
  <c r="EL63" i="24"/>
  <c r="EM63" i="24"/>
  <c r="EN63" i="24"/>
  <c r="EO63" i="24"/>
  <c r="EP63" i="24"/>
  <c r="EQ63" i="24"/>
  <c r="ER63" i="24"/>
  <c r="ES63" i="24"/>
  <c r="ET63" i="24"/>
  <c r="EU63" i="24"/>
  <c r="EV63" i="24"/>
  <c r="EW63" i="24"/>
  <c r="EX63" i="24"/>
  <c r="EY63" i="24"/>
  <c r="EZ63" i="24"/>
  <c r="FA63" i="24"/>
  <c r="FB63" i="24"/>
  <c r="FC63" i="24"/>
  <c r="FD63" i="24"/>
  <c r="FE63" i="24"/>
  <c r="FF63" i="24"/>
  <c r="FG63" i="24"/>
  <c r="FH63" i="24"/>
  <c r="FI63" i="24"/>
  <c r="FJ63" i="24"/>
  <c r="FK63" i="24"/>
  <c r="FL63" i="24"/>
  <c r="FM63" i="24"/>
  <c r="FN63" i="24"/>
  <c r="FO63" i="24"/>
  <c r="FP63" i="24"/>
  <c r="FQ63" i="24"/>
  <c r="FR63" i="24"/>
  <c r="FS63" i="24"/>
  <c r="FT63" i="24"/>
  <c r="FU63" i="24"/>
  <c r="FV63" i="24"/>
  <c r="FW63" i="24"/>
  <c r="FX63" i="24"/>
  <c r="FY63" i="24"/>
  <c r="FZ63" i="24"/>
  <c r="GA63" i="24"/>
  <c r="GB63" i="24"/>
  <c r="GC63" i="24"/>
  <c r="GD63" i="24"/>
  <c r="GE63" i="24"/>
  <c r="GF63" i="24"/>
  <c r="GG63" i="24"/>
  <c r="GH63" i="24"/>
  <c r="GI63" i="24"/>
  <c r="GJ63" i="24"/>
  <c r="GK63" i="24"/>
  <c r="GL63" i="24"/>
  <c r="GM63" i="24"/>
  <c r="GN63" i="24"/>
  <c r="GO63" i="24"/>
  <c r="GP63" i="24"/>
  <c r="GQ63" i="24"/>
  <c r="GR63" i="24"/>
  <c r="GS63" i="24"/>
  <c r="GT63" i="24"/>
  <c r="C64" i="24"/>
  <c r="D64" i="24"/>
  <c r="E64" i="24"/>
  <c r="F64" i="24"/>
  <c r="G64" i="24"/>
  <c r="H64" i="24"/>
  <c r="I64" i="24"/>
  <c r="J64" i="24"/>
  <c r="K64" i="24"/>
  <c r="L64" i="24"/>
  <c r="M64" i="24"/>
  <c r="N64" i="24"/>
  <c r="O64" i="24"/>
  <c r="P64" i="24"/>
  <c r="Q64" i="24"/>
  <c r="R64" i="24"/>
  <c r="S64" i="24"/>
  <c r="T64" i="24"/>
  <c r="U64" i="24"/>
  <c r="V64" i="24"/>
  <c r="W64" i="24"/>
  <c r="X64" i="24"/>
  <c r="Y64" i="24"/>
  <c r="Z64" i="24"/>
  <c r="AA64" i="24"/>
  <c r="AB64" i="24"/>
  <c r="AC64" i="24"/>
  <c r="AD64" i="24"/>
  <c r="AE64" i="24"/>
  <c r="AF64" i="24"/>
  <c r="AG64" i="24"/>
  <c r="AH64" i="24"/>
  <c r="AI64" i="24"/>
  <c r="AJ64" i="24"/>
  <c r="AK64" i="24"/>
  <c r="AL64" i="24"/>
  <c r="AM64" i="24"/>
  <c r="AN64" i="24"/>
  <c r="AO64" i="24"/>
  <c r="AP64" i="24"/>
  <c r="AQ64" i="24"/>
  <c r="AR64" i="24"/>
  <c r="AS64" i="24"/>
  <c r="AT64" i="24"/>
  <c r="AU64" i="24"/>
  <c r="AV64" i="24"/>
  <c r="AW64" i="24"/>
  <c r="AX64" i="24"/>
  <c r="AY64" i="24"/>
  <c r="AZ64" i="24"/>
  <c r="BA64" i="24"/>
  <c r="BB64" i="24"/>
  <c r="BC64" i="24"/>
  <c r="BD64" i="24"/>
  <c r="BE64" i="24"/>
  <c r="BF64" i="24"/>
  <c r="BG64" i="24"/>
  <c r="BH64" i="24"/>
  <c r="BI64" i="24"/>
  <c r="BJ64" i="24"/>
  <c r="BK64" i="24"/>
  <c r="BL64" i="24"/>
  <c r="BM64" i="24"/>
  <c r="BN64" i="24"/>
  <c r="BO64" i="24"/>
  <c r="BP64" i="24"/>
  <c r="BQ64" i="24"/>
  <c r="BR64" i="24"/>
  <c r="BS64" i="24"/>
  <c r="BT64" i="24"/>
  <c r="BU64" i="24"/>
  <c r="BV64" i="24"/>
  <c r="BW64" i="24"/>
  <c r="BX64" i="24"/>
  <c r="BY64" i="24"/>
  <c r="BZ64" i="24"/>
  <c r="CA64" i="24"/>
  <c r="CB64" i="24"/>
  <c r="CC64" i="24"/>
  <c r="CD64" i="24"/>
  <c r="CE64" i="24"/>
  <c r="CF64" i="24"/>
  <c r="CG64" i="24"/>
  <c r="CH64" i="24"/>
  <c r="CI64" i="24"/>
  <c r="CJ64" i="24"/>
  <c r="CK64" i="24"/>
  <c r="CL64" i="24"/>
  <c r="CM64" i="24"/>
  <c r="CN64" i="24"/>
  <c r="CO64" i="24"/>
  <c r="CP64" i="24"/>
  <c r="CQ64" i="24"/>
  <c r="CR64" i="24"/>
  <c r="CS64" i="24"/>
  <c r="CT64" i="24"/>
  <c r="CU64" i="24"/>
  <c r="CV64" i="24"/>
  <c r="CW64" i="24"/>
  <c r="CX64" i="24"/>
  <c r="CY64" i="24"/>
  <c r="CZ64" i="24"/>
  <c r="DA64" i="24"/>
  <c r="DB64" i="24"/>
  <c r="DC64" i="24"/>
  <c r="DD64" i="24"/>
  <c r="DE64" i="24"/>
  <c r="DF64" i="24"/>
  <c r="DG64" i="24"/>
  <c r="DH64" i="24"/>
  <c r="DI64" i="24"/>
  <c r="DJ64" i="24"/>
  <c r="DK64" i="24"/>
  <c r="DL64" i="24"/>
  <c r="DM64" i="24"/>
  <c r="DN64" i="24"/>
  <c r="DO64" i="24"/>
  <c r="DP64" i="24"/>
  <c r="DQ64" i="24"/>
  <c r="DR64" i="24"/>
  <c r="DS64" i="24"/>
  <c r="DT64" i="24"/>
  <c r="DU64" i="24"/>
  <c r="DV64" i="24"/>
  <c r="DW64" i="24"/>
  <c r="DX64" i="24"/>
  <c r="DY64" i="24"/>
  <c r="DZ64" i="24"/>
  <c r="EA64" i="24"/>
  <c r="EB64" i="24"/>
  <c r="EC64" i="24"/>
  <c r="ED64" i="24"/>
  <c r="EE64" i="24"/>
  <c r="EF64" i="24"/>
  <c r="EG64" i="24"/>
  <c r="EH64" i="24"/>
  <c r="EI64" i="24"/>
  <c r="EJ64" i="24"/>
  <c r="EK64" i="24"/>
  <c r="EL64" i="24"/>
  <c r="EM64" i="24"/>
  <c r="EN64" i="24"/>
  <c r="EO64" i="24"/>
  <c r="EP64" i="24"/>
  <c r="EQ64" i="24"/>
  <c r="ER64" i="24"/>
  <c r="ES64" i="24"/>
  <c r="ET64" i="24"/>
  <c r="EU64" i="24"/>
  <c r="EV64" i="24"/>
  <c r="EW64" i="24"/>
  <c r="EX64" i="24"/>
  <c r="EY64" i="24"/>
  <c r="EZ64" i="24"/>
  <c r="FA64" i="24"/>
  <c r="FB64" i="24"/>
  <c r="FC64" i="24"/>
  <c r="FD64" i="24"/>
  <c r="FE64" i="24"/>
  <c r="FF64" i="24"/>
  <c r="FG64" i="24"/>
  <c r="FH64" i="24"/>
  <c r="FI64" i="24"/>
  <c r="FJ64" i="24"/>
  <c r="FK64" i="24"/>
  <c r="FL64" i="24"/>
  <c r="FM64" i="24"/>
  <c r="FN64" i="24"/>
  <c r="FO64" i="24"/>
  <c r="FP64" i="24"/>
  <c r="FQ64" i="24"/>
  <c r="FR64" i="24"/>
  <c r="FS64" i="24"/>
  <c r="FT64" i="24"/>
  <c r="FU64" i="24"/>
  <c r="FV64" i="24"/>
  <c r="FW64" i="24"/>
  <c r="FX64" i="24"/>
  <c r="FY64" i="24"/>
  <c r="FZ64" i="24"/>
  <c r="GA64" i="24"/>
  <c r="GB64" i="24"/>
  <c r="GC64" i="24"/>
  <c r="GD64" i="24"/>
  <c r="GE64" i="24"/>
  <c r="GF64" i="24"/>
  <c r="GG64" i="24"/>
  <c r="GH64" i="24"/>
  <c r="GI64" i="24"/>
  <c r="GJ64" i="24"/>
  <c r="GK64" i="24"/>
  <c r="GL64" i="24"/>
  <c r="GM64" i="24"/>
  <c r="GN64" i="24"/>
  <c r="GO64" i="24"/>
  <c r="GP64" i="24"/>
  <c r="GQ64" i="24"/>
  <c r="GR64" i="24"/>
  <c r="GS64" i="24"/>
  <c r="GT64" i="24"/>
  <c r="C65" i="24"/>
  <c r="D65" i="24"/>
  <c r="E65" i="24"/>
  <c r="F65" i="24"/>
  <c r="G65" i="24"/>
  <c r="H65" i="24"/>
  <c r="I65" i="24"/>
  <c r="J65" i="24"/>
  <c r="K65" i="24"/>
  <c r="L65" i="24"/>
  <c r="M65" i="24"/>
  <c r="N65" i="24"/>
  <c r="O65" i="24"/>
  <c r="P65" i="24"/>
  <c r="Q65" i="24"/>
  <c r="R65" i="24"/>
  <c r="S65" i="24"/>
  <c r="T65" i="24"/>
  <c r="U65" i="24"/>
  <c r="V65" i="24"/>
  <c r="W65" i="24"/>
  <c r="X65" i="24"/>
  <c r="Y65" i="24"/>
  <c r="Z65" i="24"/>
  <c r="AA65" i="24"/>
  <c r="AB65" i="24"/>
  <c r="AC65" i="24"/>
  <c r="AD65" i="24"/>
  <c r="AE65" i="24"/>
  <c r="AF65" i="24"/>
  <c r="AG65" i="24"/>
  <c r="AH65" i="24"/>
  <c r="AI65" i="24"/>
  <c r="AJ65" i="24"/>
  <c r="AK65" i="24"/>
  <c r="AL65" i="24"/>
  <c r="AM65" i="24"/>
  <c r="AN65" i="24"/>
  <c r="AO65" i="24"/>
  <c r="AP65" i="24"/>
  <c r="AQ65" i="24"/>
  <c r="AR65" i="24"/>
  <c r="AS65" i="24"/>
  <c r="AT65" i="24"/>
  <c r="AU65" i="24"/>
  <c r="AV65" i="24"/>
  <c r="AW65" i="24"/>
  <c r="AX65" i="24"/>
  <c r="AY65" i="24"/>
  <c r="AZ65" i="24"/>
  <c r="BA65" i="24"/>
  <c r="BB65" i="24"/>
  <c r="BC65" i="24"/>
  <c r="BD65" i="24"/>
  <c r="BE65" i="24"/>
  <c r="BF65" i="24"/>
  <c r="BG65" i="24"/>
  <c r="BH65" i="24"/>
  <c r="BI65" i="24"/>
  <c r="BJ65" i="24"/>
  <c r="BK65" i="24"/>
  <c r="BL65" i="24"/>
  <c r="BM65" i="24"/>
  <c r="BN65" i="24"/>
  <c r="BO65" i="24"/>
  <c r="BP65" i="24"/>
  <c r="BQ65" i="24"/>
  <c r="BR65" i="24"/>
  <c r="BS65" i="24"/>
  <c r="BT65" i="24"/>
  <c r="BU65" i="24"/>
  <c r="BV65" i="24"/>
  <c r="BW65" i="24"/>
  <c r="BX65" i="24"/>
  <c r="BY65" i="24"/>
  <c r="BZ65" i="24"/>
  <c r="CA65" i="24"/>
  <c r="CB65" i="24"/>
  <c r="CC65" i="24"/>
  <c r="CD65" i="24"/>
  <c r="CE65" i="24"/>
  <c r="CF65" i="24"/>
  <c r="CG65" i="24"/>
  <c r="CH65" i="24"/>
  <c r="CI65" i="24"/>
  <c r="CJ65" i="24"/>
  <c r="CK65" i="24"/>
  <c r="CL65" i="24"/>
  <c r="CM65" i="24"/>
  <c r="CN65" i="24"/>
  <c r="CO65" i="24"/>
  <c r="CP65" i="24"/>
  <c r="CQ65" i="24"/>
  <c r="CR65" i="24"/>
  <c r="CS65" i="24"/>
  <c r="CT65" i="24"/>
  <c r="CU65" i="24"/>
  <c r="CV65" i="24"/>
  <c r="CW65" i="24"/>
  <c r="CX65" i="24"/>
  <c r="CY65" i="24"/>
  <c r="CZ65" i="24"/>
  <c r="DA65" i="24"/>
  <c r="DB65" i="24"/>
  <c r="DC65" i="24"/>
  <c r="DD65" i="24"/>
  <c r="DE65" i="24"/>
  <c r="DF65" i="24"/>
  <c r="DG65" i="24"/>
  <c r="DH65" i="24"/>
  <c r="DI65" i="24"/>
  <c r="DJ65" i="24"/>
  <c r="DK65" i="24"/>
  <c r="DL65" i="24"/>
  <c r="DM65" i="24"/>
  <c r="DN65" i="24"/>
  <c r="DO65" i="24"/>
  <c r="DP65" i="24"/>
  <c r="DQ65" i="24"/>
  <c r="DR65" i="24"/>
  <c r="DS65" i="24"/>
  <c r="DT65" i="24"/>
  <c r="DU65" i="24"/>
  <c r="DV65" i="24"/>
  <c r="DW65" i="24"/>
  <c r="DX65" i="24"/>
  <c r="DY65" i="24"/>
  <c r="DZ65" i="24"/>
  <c r="EA65" i="24"/>
  <c r="EB65" i="24"/>
  <c r="EC65" i="24"/>
  <c r="ED65" i="24"/>
  <c r="EE65" i="24"/>
  <c r="EF65" i="24"/>
  <c r="EG65" i="24"/>
  <c r="EH65" i="24"/>
  <c r="EI65" i="24"/>
  <c r="EJ65" i="24"/>
  <c r="EK65" i="24"/>
  <c r="EL65" i="24"/>
  <c r="EM65" i="24"/>
  <c r="EN65" i="24"/>
  <c r="EO65" i="24"/>
  <c r="EP65" i="24"/>
  <c r="EQ65" i="24"/>
  <c r="ER65" i="24"/>
  <c r="ES65" i="24"/>
  <c r="ET65" i="24"/>
  <c r="EU65" i="24"/>
  <c r="EV65" i="24"/>
  <c r="EW65" i="24"/>
  <c r="EX65" i="24"/>
  <c r="EY65" i="24"/>
  <c r="EZ65" i="24"/>
  <c r="FA65" i="24"/>
  <c r="FB65" i="24"/>
  <c r="FC65" i="24"/>
  <c r="FD65" i="24"/>
  <c r="FE65" i="24"/>
  <c r="FF65" i="24"/>
  <c r="FG65" i="24"/>
  <c r="FH65" i="24"/>
  <c r="FI65" i="24"/>
  <c r="FJ65" i="24"/>
  <c r="FK65" i="24"/>
  <c r="FL65" i="24"/>
  <c r="FM65" i="24"/>
  <c r="FN65" i="24"/>
  <c r="FO65" i="24"/>
  <c r="FP65" i="24"/>
  <c r="FQ65" i="24"/>
  <c r="FR65" i="24"/>
  <c r="FS65" i="24"/>
  <c r="FT65" i="24"/>
  <c r="FU65" i="24"/>
  <c r="FV65" i="24"/>
  <c r="FW65" i="24"/>
  <c r="FX65" i="24"/>
  <c r="FY65" i="24"/>
  <c r="FZ65" i="24"/>
  <c r="GA65" i="24"/>
  <c r="GB65" i="24"/>
  <c r="GC65" i="24"/>
  <c r="GD65" i="24"/>
  <c r="GE65" i="24"/>
  <c r="GF65" i="24"/>
  <c r="GG65" i="24"/>
  <c r="GH65" i="24"/>
  <c r="GI65" i="24"/>
  <c r="GJ65" i="24"/>
  <c r="GK65" i="24"/>
  <c r="GL65" i="24"/>
  <c r="GM65" i="24"/>
  <c r="GN65" i="24"/>
  <c r="GO65" i="24"/>
  <c r="GP65" i="24"/>
  <c r="GQ65" i="24"/>
  <c r="GR65" i="24"/>
  <c r="GS65" i="24"/>
  <c r="GT65" i="24"/>
  <c r="C66" i="24"/>
  <c r="D66" i="24"/>
  <c r="E66" i="24"/>
  <c r="F66" i="24"/>
  <c r="G66" i="24"/>
  <c r="H66" i="24"/>
  <c r="I66" i="24"/>
  <c r="J66" i="24"/>
  <c r="K66" i="24"/>
  <c r="L66" i="24"/>
  <c r="M66" i="24"/>
  <c r="N66" i="24"/>
  <c r="O66" i="24"/>
  <c r="P66" i="24"/>
  <c r="Q66" i="24"/>
  <c r="R66" i="24"/>
  <c r="S66" i="24"/>
  <c r="T66" i="24"/>
  <c r="U66" i="24"/>
  <c r="V66" i="24"/>
  <c r="W66" i="24"/>
  <c r="X66" i="24"/>
  <c r="Y66" i="24"/>
  <c r="Z66" i="24"/>
  <c r="AA66" i="24"/>
  <c r="AB66" i="24"/>
  <c r="AC66" i="24"/>
  <c r="AD66" i="24"/>
  <c r="AE66" i="24"/>
  <c r="AF66" i="24"/>
  <c r="AG66" i="24"/>
  <c r="AH66" i="24"/>
  <c r="AI66" i="24"/>
  <c r="AJ66" i="24"/>
  <c r="AK66" i="24"/>
  <c r="AL66" i="24"/>
  <c r="AM66" i="24"/>
  <c r="AN66" i="24"/>
  <c r="AO66" i="24"/>
  <c r="AP66" i="24"/>
  <c r="AQ66" i="24"/>
  <c r="AR66" i="24"/>
  <c r="AS66" i="24"/>
  <c r="AT66" i="24"/>
  <c r="AU66" i="24"/>
  <c r="AV66" i="24"/>
  <c r="AW66" i="24"/>
  <c r="AX66" i="24"/>
  <c r="AY66" i="24"/>
  <c r="AZ66" i="24"/>
  <c r="BA66" i="24"/>
  <c r="BB66" i="24"/>
  <c r="BC66" i="24"/>
  <c r="BD66" i="24"/>
  <c r="BE66" i="24"/>
  <c r="BF66" i="24"/>
  <c r="BG66" i="24"/>
  <c r="BH66" i="24"/>
  <c r="BI66" i="24"/>
  <c r="BJ66" i="24"/>
  <c r="BK66" i="24"/>
  <c r="BL66" i="24"/>
  <c r="BM66" i="24"/>
  <c r="BN66" i="24"/>
  <c r="BO66" i="24"/>
  <c r="BP66" i="24"/>
  <c r="BQ66" i="24"/>
  <c r="BR66" i="24"/>
  <c r="BS66" i="24"/>
  <c r="BT66" i="24"/>
  <c r="BU66" i="24"/>
  <c r="BV66" i="24"/>
  <c r="BW66" i="24"/>
  <c r="BX66" i="24"/>
  <c r="BY66" i="24"/>
  <c r="BZ66" i="24"/>
  <c r="CA66" i="24"/>
  <c r="CB66" i="24"/>
  <c r="CC66" i="24"/>
  <c r="CD66" i="24"/>
  <c r="CE66" i="24"/>
  <c r="CF66" i="24"/>
  <c r="CG66" i="24"/>
  <c r="CH66" i="24"/>
  <c r="CI66" i="24"/>
  <c r="CJ66" i="24"/>
  <c r="CK66" i="24"/>
  <c r="CL66" i="24"/>
  <c r="CM66" i="24"/>
  <c r="CN66" i="24"/>
  <c r="CO66" i="24"/>
  <c r="CP66" i="24"/>
  <c r="CQ66" i="24"/>
  <c r="CR66" i="24"/>
  <c r="CS66" i="24"/>
  <c r="CT66" i="24"/>
  <c r="CU66" i="24"/>
  <c r="CV66" i="24"/>
  <c r="CW66" i="24"/>
  <c r="CX66" i="24"/>
  <c r="CY66" i="24"/>
  <c r="CZ66" i="24"/>
  <c r="DA66" i="24"/>
  <c r="DB66" i="24"/>
  <c r="DC66" i="24"/>
  <c r="DD66" i="24"/>
  <c r="DE66" i="24"/>
  <c r="DF66" i="24"/>
  <c r="DG66" i="24"/>
  <c r="DH66" i="24"/>
  <c r="DI66" i="24"/>
  <c r="DJ66" i="24"/>
  <c r="DK66" i="24"/>
  <c r="DL66" i="24"/>
  <c r="DM66" i="24"/>
  <c r="DN66" i="24"/>
  <c r="DO66" i="24"/>
  <c r="DP66" i="24"/>
  <c r="DQ66" i="24"/>
  <c r="DR66" i="24"/>
  <c r="DS66" i="24"/>
  <c r="DT66" i="24"/>
  <c r="DU66" i="24"/>
  <c r="DV66" i="24"/>
  <c r="DW66" i="24"/>
  <c r="DX66" i="24"/>
  <c r="DY66" i="24"/>
  <c r="DZ66" i="24"/>
  <c r="EA66" i="24"/>
  <c r="EB66" i="24"/>
  <c r="EC66" i="24"/>
  <c r="ED66" i="24"/>
  <c r="EE66" i="24"/>
  <c r="EF66" i="24"/>
  <c r="EG66" i="24"/>
  <c r="EH66" i="24"/>
  <c r="EI66" i="24"/>
  <c r="EJ66" i="24"/>
  <c r="EK66" i="24"/>
  <c r="EL66" i="24"/>
  <c r="EM66" i="24"/>
  <c r="EN66" i="24"/>
  <c r="EO66" i="24"/>
  <c r="EP66" i="24"/>
  <c r="EQ66" i="24"/>
  <c r="ER66" i="24"/>
  <c r="ES66" i="24"/>
  <c r="ET66" i="24"/>
  <c r="EU66" i="24"/>
  <c r="EV66" i="24"/>
  <c r="EW66" i="24"/>
  <c r="EX66" i="24"/>
  <c r="EY66" i="24"/>
  <c r="EZ66" i="24"/>
  <c r="FA66" i="24"/>
  <c r="FB66" i="24"/>
  <c r="FC66" i="24"/>
  <c r="FD66" i="24"/>
  <c r="FE66" i="24"/>
  <c r="FF66" i="24"/>
  <c r="FG66" i="24"/>
  <c r="FH66" i="24"/>
  <c r="FI66" i="24"/>
  <c r="FJ66" i="24"/>
  <c r="FK66" i="24"/>
  <c r="FL66" i="24"/>
  <c r="FM66" i="24"/>
  <c r="FN66" i="24"/>
  <c r="FO66" i="24"/>
  <c r="FP66" i="24"/>
  <c r="FQ66" i="24"/>
  <c r="FR66" i="24"/>
  <c r="FS66" i="24"/>
  <c r="FT66" i="24"/>
  <c r="FU66" i="24"/>
  <c r="FV66" i="24"/>
  <c r="FW66" i="24"/>
  <c r="FX66" i="24"/>
  <c r="FY66" i="24"/>
  <c r="FZ66" i="24"/>
  <c r="GA66" i="24"/>
  <c r="GB66" i="24"/>
  <c r="GC66" i="24"/>
  <c r="GD66" i="24"/>
  <c r="GE66" i="24"/>
  <c r="GF66" i="24"/>
  <c r="GG66" i="24"/>
  <c r="GH66" i="24"/>
  <c r="GI66" i="24"/>
  <c r="GJ66" i="24"/>
  <c r="GK66" i="24"/>
  <c r="GL66" i="24"/>
  <c r="GM66" i="24"/>
  <c r="GN66" i="24"/>
  <c r="GO66" i="24"/>
  <c r="GP66" i="24"/>
  <c r="GQ66" i="24"/>
  <c r="GR66" i="24"/>
  <c r="GS66" i="24"/>
  <c r="GT66" i="24"/>
  <c r="C67" i="24"/>
  <c r="D67" i="24"/>
  <c r="E67" i="24"/>
  <c r="F67" i="24"/>
  <c r="G67" i="24"/>
  <c r="H67" i="24"/>
  <c r="I67" i="24"/>
  <c r="J67" i="24"/>
  <c r="K67" i="24"/>
  <c r="L67" i="24"/>
  <c r="M67" i="24"/>
  <c r="N67" i="24"/>
  <c r="O67" i="24"/>
  <c r="P67" i="24"/>
  <c r="Q67" i="24"/>
  <c r="R67" i="24"/>
  <c r="S67" i="24"/>
  <c r="T67" i="24"/>
  <c r="U67" i="24"/>
  <c r="V67" i="24"/>
  <c r="W67" i="24"/>
  <c r="X67" i="24"/>
  <c r="Y67" i="24"/>
  <c r="Z67" i="24"/>
  <c r="AA67" i="24"/>
  <c r="AB67" i="24"/>
  <c r="AC67" i="24"/>
  <c r="AD67" i="24"/>
  <c r="AE67" i="24"/>
  <c r="AF67" i="24"/>
  <c r="AG67" i="24"/>
  <c r="AH67" i="24"/>
  <c r="AI67" i="24"/>
  <c r="AJ67" i="24"/>
  <c r="AK67" i="24"/>
  <c r="AL67" i="24"/>
  <c r="AM67" i="24"/>
  <c r="AN67" i="24"/>
  <c r="AO67" i="24"/>
  <c r="AP67" i="24"/>
  <c r="AQ67" i="24"/>
  <c r="AR67" i="24"/>
  <c r="AS67" i="24"/>
  <c r="AT67" i="24"/>
  <c r="AU67" i="24"/>
  <c r="AV67" i="24"/>
  <c r="AW67" i="24"/>
  <c r="AX67" i="24"/>
  <c r="AY67" i="24"/>
  <c r="AZ67" i="24"/>
  <c r="BA67" i="24"/>
  <c r="BB67" i="24"/>
  <c r="BC67" i="24"/>
  <c r="BD67" i="24"/>
  <c r="BE67" i="24"/>
  <c r="BF67" i="24"/>
  <c r="BG67" i="24"/>
  <c r="BH67" i="24"/>
  <c r="BI67" i="24"/>
  <c r="BJ67" i="24"/>
  <c r="BK67" i="24"/>
  <c r="BL67" i="24"/>
  <c r="BM67" i="24"/>
  <c r="BN67" i="24"/>
  <c r="BO67" i="24"/>
  <c r="BP67" i="24"/>
  <c r="BQ67" i="24"/>
  <c r="BR67" i="24"/>
  <c r="BS67" i="24"/>
  <c r="BT67" i="24"/>
  <c r="BU67" i="24"/>
  <c r="BV67" i="24"/>
  <c r="BW67" i="24"/>
  <c r="BX67" i="24"/>
  <c r="BY67" i="24"/>
  <c r="BZ67" i="24"/>
  <c r="CA67" i="24"/>
  <c r="CB67" i="24"/>
  <c r="CC67" i="24"/>
  <c r="CD67" i="24"/>
  <c r="CE67" i="24"/>
  <c r="CF67" i="24"/>
  <c r="CG67" i="24"/>
  <c r="CH67" i="24"/>
  <c r="CI67" i="24"/>
  <c r="CJ67" i="24"/>
  <c r="CK67" i="24"/>
  <c r="CL67" i="24"/>
  <c r="CM67" i="24"/>
  <c r="CN67" i="24"/>
  <c r="CO67" i="24"/>
  <c r="CP67" i="24"/>
  <c r="CQ67" i="24"/>
  <c r="CR67" i="24"/>
  <c r="CS67" i="24"/>
  <c r="CT67" i="24"/>
  <c r="CU67" i="24"/>
  <c r="CV67" i="24"/>
  <c r="CW67" i="24"/>
  <c r="CX67" i="24"/>
  <c r="CY67" i="24"/>
  <c r="CZ67" i="24"/>
  <c r="DA67" i="24"/>
  <c r="DB67" i="24"/>
  <c r="DC67" i="24"/>
  <c r="DD67" i="24"/>
  <c r="DE67" i="24"/>
  <c r="DF67" i="24"/>
  <c r="DG67" i="24"/>
  <c r="DH67" i="24"/>
  <c r="DI67" i="24"/>
  <c r="DJ67" i="24"/>
  <c r="DK67" i="24"/>
  <c r="DL67" i="24"/>
  <c r="DM67" i="24"/>
  <c r="DN67" i="24"/>
  <c r="DO67" i="24"/>
  <c r="DP67" i="24"/>
  <c r="DQ67" i="24"/>
  <c r="DR67" i="24"/>
  <c r="DS67" i="24"/>
  <c r="DT67" i="24"/>
  <c r="DU67" i="24"/>
  <c r="DV67" i="24"/>
  <c r="DW67" i="24"/>
  <c r="DX67" i="24"/>
  <c r="DY67" i="24"/>
  <c r="DZ67" i="24"/>
  <c r="EA67" i="24"/>
  <c r="EB67" i="24"/>
  <c r="EC67" i="24"/>
  <c r="ED67" i="24"/>
  <c r="EE67" i="24"/>
  <c r="EF67" i="24"/>
  <c r="EG67" i="24"/>
  <c r="EH67" i="24"/>
  <c r="EI67" i="24"/>
  <c r="EJ67" i="24"/>
  <c r="EK67" i="24"/>
  <c r="EL67" i="24"/>
  <c r="EM67" i="24"/>
  <c r="EN67" i="24"/>
  <c r="EO67" i="24"/>
  <c r="EP67" i="24"/>
  <c r="EQ67" i="24"/>
  <c r="ER67" i="24"/>
  <c r="ES67" i="24"/>
  <c r="ET67" i="24"/>
  <c r="EU67" i="24"/>
  <c r="EV67" i="24"/>
  <c r="EW67" i="24"/>
  <c r="EX67" i="24"/>
  <c r="EY67" i="24"/>
  <c r="EZ67" i="24"/>
  <c r="FA67" i="24"/>
  <c r="FB67" i="24"/>
  <c r="FC67" i="24"/>
  <c r="FD67" i="24"/>
  <c r="FE67" i="24"/>
  <c r="FF67" i="24"/>
  <c r="FG67" i="24"/>
  <c r="FH67" i="24"/>
  <c r="FI67" i="24"/>
  <c r="FJ67" i="24"/>
  <c r="FK67" i="24"/>
  <c r="FL67" i="24"/>
  <c r="FM67" i="24"/>
  <c r="FN67" i="24"/>
  <c r="FO67" i="24"/>
  <c r="FP67" i="24"/>
  <c r="FQ67" i="24"/>
  <c r="FR67" i="24"/>
  <c r="FS67" i="24"/>
  <c r="FT67" i="24"/>
  <c r="FU67" i="24"/>
  <c r="FV67" i="24"/>
  <c r="FW67" i="24"/>
  <c r="FX67" i="24"/>
  <c r="FY67" i="24"/>
  <c r="FZ67" i="24"/>
  <c r="GA67" i="24"/>
  <c r="GB67" i="24"/>
  <c r="GC67" i="24"/>
  <c r="GD67" i="24"/>
  <c r="GE67" i="24"/>
  <c r="GF67" i="24"/>
  <c r="GG67" i="24"/>
  <c r="GH67" i="24"/>
  <c r="GI67" i="24"/>
  <c r="GJ67" i="24"/>
  <c r="GK67" i="24"/>
  <c r="GL67" i="24"/>
  <c r="GM67" i="24"/>
  <c r="GN67" i="24"/>
  <c r="GO67" i="24"/>
  <c r="GP67" i="24"/>
  <c r="GQ67" i="24"/>
  <c r="GR67" i="24"/>
  <c r="GS67" i="24"/>
  <c r="GT67" i="24"/>
  <c r="C68" i="24"/>
  <c r="D68" i="24"/>
  <c r="E68" i="24"/>
  <c r="F68" i="24"/>
  <c r="G68" i="24"/>
  <c r="H68" i="24"/>
  <c r="I68" i="24"/>
  <c r="J68" i="24"/>
  <c r="K68" i="24"/>
  <c r="L68" i="24"/>
  <c r="M68" i="24"/>
  <c r="N68" i="24"/>
  <c r="O68" i="24"/>
  <c r="P68" i="24"/>
  <c r="Q68" i="24"/>
  <c r="R68" i="24"/>
  <c r="S68" i="24"/>
  <c r="T68" i="24"/>
  <c r="U68" i="24"/>
  <c r="V68" i="24"/>
  <c r="W68" i="24"/>
  <c r="X68" i="24"/>
  <c r="Y68" i="24"/>
  <c r="Z68" i="24"/>
  <c r="AA68" i="24"/>
  <c r="AB68" i="24"/>
  <c r="AC68" i="24"/>
  <c r="AD68" i="24"/>
  <c r="AE68" i="24"/>
  <c r="AF68" i="24"/>
  <c r="AG68" i="24"/>
  <c r="AH68" i="24"/>
  <c r="AI68" i="24"/>
  <c r="AJ68" i="24"/>
  <c r="AK68" i="24"/>
  <c r="AL68" i="24"/>
  <c r="AM68" i="24"/>
  <c r="AN68" i="24"/>
  <c r="AO68" i="24"/>
  <c r="AP68" i="24"/>
  <c r="AQ68" i="24"/>
  <c r="AR68" i="24"/>
  <c r="AS68" i="24"/>
  <c r="AT68" i="24"/>
  <c r="AU68" i="24"/>
  <c r="AV68" i="24"/>
  <c r="AW68" i="24"/>
  <c r="AX68" i="24"/>
  <c r="AY68" i="24"/>
  <c r="AZ68" i="24"/>
  <c r="BA68" i="24"/>
  <c r="BB68" i="24"/>
  <c r="BC68" i="24"/>
  <c r="BD68" i="24"/>
  <c r="BE68" i="24"/>
  <c r="BF68" i="24"/>
  <c r="BG68" i="24"/>
  <c r="BH68" i="24"/>
  <c r="BI68" i="24"/>
  <c r="BJ68" i="24"/>
  <c r="BK68" i="24"/>
  <c r="BL68" i="24"/>
  <c r="BM68" i="24"/>
  <c r="BN68" i="24"/>
  <c r="BO68" i="24"/>
  <c r="BP68" i="24"/>
  <c r="BQ68" i="24"/>
  <c r="BR68" i="24"/>
  <c r="BS68" i="24"/>
  <c r="BT68" i="24"/>
  <c r="BU68" i="24"/>
  <c r="BV68" i="24"/>
  <c r="BW68" i="24"/>
  <c r="BX68" i="24"/>
  <c r="BY68" i="24"/>
  <c r="BZ68" i="24"/>
  <c r="CA68" i="24"/>
  <c r="CB68" i="24"/>
  <c r="CC68" i="24"/>
  <c r="CD68" i="24"/>
  <c r="CE68" i="24"/>
  <c r="CF68" i="24"/>
  <c r="CG68" i="24"/>
  <c r="CH68" i="24"/>
  <c r="CI68" i="24"/>
  <c r="CJ68" i="24"/>
  <c r="CK68" i="24"/>
  <c r="CL68" i="24"/>
  <c r="CM68" i="24"/>
  <c r="CN68" i="24"/>
  <c r="CO68" i="24"/>
  <c r="CP68" i="24"/>
  <c r="CQ68" i="24"/>
  <c r="CR68" i="24"/>
  <c r="CS68" i="24"/>
  <c r="CT68" i="24"/>
  <c r="CU68" i="24"/>
  <c r="CV68" i="24"/>
  <c r="CW68" i="24"/>
  <c r="CX68" i="24"/>
  <c r="CY68" i="24"/>
  <c r="CZ68" i="24"/>
  <c r="DA68" i="24"/>
  <c r="DB68" i="24"/>
  <c r="DC68" i="24"/>
  <c r="DD68" i="24"/>
  <c r="DE68" i="24"/>
  <c r="DF68" i="24"/>
  <c r="DG68" i="24"/>
  <c r="DH68" i="24"/>
  <c r="DI68" i="24"/>
  <c r="DJ68" i="24"/>
  <c r="DK68" i="24"/>
  <c r="DL68" i="24"/>
  <c r="DM68" i="24"/>
  <c r="DN68" i="24"/>
  <c r="DO68" i="24"/>
  <c r="DP68" i="24"/>
  <c r="DQ68" i="24"/>
  <c r="DR68" i="24"/>
  <c r="DS68" i="24"/>
  <c r="DT68" i="24"/>
  <c r="DU68" i="24"/>
  <c r="DV68" i="24"/>
  <c r="DW68" i="24"/>
  <c r="DX68" i="24"/>
  <c r="DY68" i="24"/>
  <c r="DZ68" i="24"/>
  <c r="EA68" i="24"/>
  <c r="EB68" i="24"/>
  <c r="EC68" i="24"/>
  <c r="ED68" i="24"/>
  <c r="EE68" i="24"/>
  <c r="EF68" i="24"/>
  <c r="EG68" i="24"/>
  <c r="EH68" i="24"/>
  <c r="EI68" i="24"/>
  <c r="EJ68" i="24"/>
  <c r="EK68" i="24"/>
  <c r="EL68" i="24"/>
  <c r="EM68" i="24"/>
  <c r="EN68" i="24"/>
  <c r="EO68" i="24"/>
  <c r="EP68" i="24"/>
  <c r="EQ68" i="24"/>
  <c r="ER68" i="24"/>
  <c r="ES68" i="24"/>
  <c r="ET68" i="24"/>
  <c r="EU68" i="24"/>
  <c r="EV68" i="24"/>
  <c r="EW68" i="24"/>
  <c r="EX68" i="24"/>
  <c r="EY68" i="24"/>
  <c r="EZ68" i="24"/>
  <c r="FA68" i="24"/>
  <c r="FB68" i="24"/>
  <c r="FC68" i="24"/>
  <c r="FD68" i="24"/>
  <c r="FE68" i="24"/>
  <c r="FF68" i="24"/>
  <c r="FG68" i="24"/>
  <c r="FH68" i="24"/>
  <c r="FI68" i="24"/>
  <c r="FJ68" i="24"/>
  <c r="FK68" i="24"/>
  <c r="FL68" i="24"/>
  <c r="FM68" i="24"/>
  <c r="FN68" i="24"/>
  <c r="FO68" i="24"/>
  <c r="FP68" i="24"/>
  <c r="FQ68" i="24"/>
  <c r="FR68" i="24"/>
  <c r="FS68" i="24"/>
  <c r="FT68" i="24"/>
  <c r="FU68" i="24"/>
  <c r="FV68" i="24"/>
  <c r="FW68" i="24"/>
  <c r="FX68" i="24"/>
  <c r="FY68" i="24"/>
  <c r="FZ68" i="24"/>
  <c r="GA68" i="24"/>
  <c r="GB68" i="24"/>
  <c r="GC68" i="24"/>
  <c r="GD68" i="24"/>
  <c r="GE68" i="24"/>
  <c r="GF68" i="24"/>
  <c r="GG68" i="24"/>
  <c r="GH68" i="24"/>
  <c r="GI68" i="24"/>
  <c r="GJ68" i="24"/>
  <c r="GK68" i="24"/>
  <c r="GL68" i="24"/>
  <c r="GM68" i="24"/>
  <c r="GN68" i="24"/>
  <c r="GO68" i="24"/>
  <c r="GP68" i="24"/>
  <c r="GQ68" i="24"/>
  <c r="GR68" i="24"/>
  <c r="GS68" i="24"/>
  <c r="GT68" i="24"/>
  <c r="C69" i="24"/>
  <c r="D69" i="24"/>
  <c r="E69" i="24"/>
  <c r="F69" i="24"/>
  <c r="G69" i="24"/>
  <c r="H69" i="24"/>
  <c r="I69" i="24"/>
  <c r="J69" i="24"/>
  <c r="K69" i="24"/>
  <c r="L69" i="24"/>
  <c r="M69" i="24"/>
  <c r="N69" i="24"/>
  <c r="O69" i="24"/>
  <c r="P69" i="24"/>
  <c r="Q69" i="24"/>
  <c r="R69" i="24"/>
  <c r="S69" i="24"/>
  <c r="T69" i="24"/>
  <c r="U69" i="24"/>
  <c r="V69" i="24"/>
  <c r="W69" i="24"/>
  <c r="X69" i="24"/>
  <c r="Y69" i="24"/>
  <c r="Z69" i="24"/>
  <c r="AA69" i="24"/>
  <c r="AB69" i="24"/>
  <c r="AC69" i="24"/>
  <c r="AD69" i="24"/>
  <c r="AE69" i="24"/>
  <c r="AF69" i="24"/>
  <c r="AG69" i="24"/>
  <c r="AH69" i="24"/>
  <c r="AI69" i="24"/>
  <c r="AJ69" i="24"/>
  <c r="AK69" i="24"/>
  <c r="AL69" i="24"/>
  <c r="AM69" i="24"/>
  <c r="AN69" i="24"/>
  <c r="AO69" i="24"/>
  <c r="AP69" i="24"/>
  <c r="AQ69" i="24"/>
  <c r="AR69" i="24"/>
  <c r="AS69" i="24"/>
  <c r="AT69" i="24"/>
  <c r="AU69" i="24"/>
  <c r="AV69" i="24"/>
  <c r="AW69" i="24"/>
  <c r="AX69" i="24"/>
  <c r="AY69" i="24"/>
  <c r="AZ69" i="24"/>
  <c r="BA69" i="24"/>
  <c r="BB69" i="24"/>
  <c r="BC69" i="24"/>
  <c r="BD69" i="24"/>
  <c r="BE69" i="24"/>
  <c r="BF69" i="24"/>
  <c r="BG69" i="24"/>
  <c r="BH69" i="24"/>
  <c r="BI69" i="24"/>
  <c r="BJ69" i="24"/>
  <c r="BK69" i="24"/>
  <c r="BL69" i="24"/>
  <c r="BM69" i="24"/>
  <c r="BN69" i="24"/>
  <c r="BO69" i="24"/>
  <c r="BP69" i="24"/>
  <c r="BQ69" i="24"/>
  <c r="BR69" i="24"/>
  <c r="BS69" i="24"/>
  <c r="BT69" i="24"/>
  <c r="BU69" i="24"/>
  <c r="BV69" i="24"/>
  <c r="BW69" i="24"/>
  <c r="BX69" i="24"/>
  <c r="BY69" i="24"/>
  <c r="BZ69" i="24"/>
  <c r="CA69" i="24"/>
  <c r="CB69" i="24"/>
  <c r="CC69" i="24"/>
  <c r="CD69" i="24"/>
  <c r="CE69" i="24"/>
  <c r="CF69" i="24"/>
  <c r="CG69" i="24"/>
  <c r="CH69" i="24"/>
  <c r="CI69" i="24"/>
  <c r="CJ69" i="24"/>
  <c r="CK69" i="24"/>
  <c r="CL69" i="24"/>
  <c r="CM69" i="24"/>
  <c r="CN69" i="24"/>
  <c r="CO69" i="24"/>
  <c r="CP69" i="24"/>
  <c r="CQ69" i="24"/>
  <c r="CR69" i="24"/>
  <c r="CS69" i="24"/>
  <c r="CT69" i="24"/>
  <c r="CU69" i="24"/>
  <c r="CV69" i="24"/>
  <c r="CW69" i="24"/>
  <c r="CX69" i="24"/>
  <c r="CY69" i="24"/>
  <c r="CZ69" i="24"/>
  <c r="DA69" i="24"/>
  <c r="DB69" i="24"/>
  <c r="DC69" i="24"/>
  <c r="DD69" i="24"/>
  <c r="DE69" i="24"/>
  <c r="DF69" i="24"/>
  <c r="DG69" i="24"/>
  <c r="DH69" i="24"/>
  <c r="DI69" i="24"/>
  <c r="DJ69" i="24"/>
  <c r="DK69" i="24"/>
  <c r="DL69" i="24"/>
  <c r="DM69" i="24"/>
  <c r="DN69" i="24"/>
  <c r="DO69" i="24"/>
  <c r="DP69" i="24"/>
  <c r="DQ69" i="24"/>
  <c r="DR69" i="24"/>
  <c r="DS69" i="24"/>
  <c r="DT69" i="24"/>
  <c r="DU69" i="24"/>
  <c r="DV69" i="24"/>
  <c r="DW69" i="24"/>
  <c r="DX69" i="24"/>
  <c r="DY69" i="24"/>
  <c r="DZ69" i="24"/>
  <c r="EA69" i="24"/>
  <c r="EB69" i="24"/>
  <c r="EC69" i="24"/>
  <c r="ED69" i="24"/>
  <c r="EE69" i="24"/>
  <c r="EF69" i="24"/>
  <c r="EG69" i="24"/>
  <c r="EH69" i="24"/>
  <c r="EI69" i="24"/>
  <c r="EJ69" i="24"/>
  <c r="EK69" i="24"/>
  <c r="EL69" i="24"/>
  <c r="EM69" i="24"/>
  <c r="EN69" i="24"/>
  <c r="EO69" i="24"/>
  <c r="EP69" i="24"/>
  <c r="EQ69" i="24"/>
  <c r="ER69" i="24"/>
  <c r="ES69" i="24"/>
  <c r="ET69" i="24"/>
  <c r="EU69" i="24"/>
  <c r="EV69" i="24"/>
  <c r="EW69" i="24"/>
  <c r="EX69" i="24"/>
  <c r="EY69" i="24"/>
  <c r="EZ69" i="24"/>
  <c r="FA69" i="24"/>
  <c r="FB69" i="24"/>
  <c r="FC69" i="24"/>
  <c r="FD69" i="24"/>
  <c r="FE69" i="24"/>
  <c r="FF69" i="24"/>
  <c r="FG69" i="24"/>
  <c r="FH69" i="24"/>
  <c r="FI69" i="24"/>
  <c r="FJ69" i="24"/>
  <c r="FK69" i="24"/>
  <c r="FL69" i="24"/>
  <c r="FM69" i="24"/>
  <c r="FN69" i="24"/>
  <c r="FO69" i="24"/>
  <c r="FP69" i="24"/>
  <c r="FQ69" i="24"/>
  <c r="FR69" i="24"/>
  <c r="FS69" i="24"/>
  <c r="FT69" i="24"/>
  <c r="FU69" i="24"/>
  <c r="FV69" i="24"/>
  <c r="FW69" i="24"/>
  <c r="FX69" i="24"/>
  <c r="FY69" i="24"/>
  <c r="FZ69" i="24"/>
  <c r="GA69" i="24"/>
  <c r="GB69" i="24"/>
  <c r="GC69" i="24"/>
  <c r="GD69" i="24"/>
  <c r="GE69" i="24"/>
  <c r="GF69" i="24"/>
  <c r="GG69" i="24"/>
  <c r="GH69" i="24"/>
  <c r="GI69" i="24"/>
  <c r="GJ69" i="24"/>
  <c r="GK69" i="24"/>
  <c r="GL69" i="24"/>
  <c r="GM69" i="24"/>
  <c r="GN69" i="24"/>
  <c r="GO69" i="24"/>
  <c r="GP69" i="24"/>
  <c r="GQ69" i="24"/>
  <c r="GR69" i="24"/>
  <c r="GS69" i="24"/>
  <c r="GT69" i="24"/>
  <c r="C70" i="24"/>
  <c r="D70" i="24"/>
  <c r="E70" i="24"/>
  <c r="F70" i="24"/>
  <c r="G70" i="24"/>
  <c r="H70" i="24"/>
  <c r="I70" i="24"/>
  <c r="J70" i="24"/>
  <c r="K70" i="24"/>
  <c r="L70" i="24"/>
  <c r="M70" i="24"/>
  <c r="N70" i="24"/>
  <c r="O70" i="24"/>
  <c r="P70" i="24"/>
  <c r="Q70" i="24"/>
  <c r="R70" i="24"/>
  <c r="S70" i="24"/>
  <c r="T70" i="24"/>
  <c r="U70" i="24"/>
  <c r="V70" i="24"/>
  <c r="W70" i="24"/>
  <c r="X70" i="24"/>
  <c r="Y70" i="24"/>
  <c r="Z70" i="24"/>
  <c r="AA70" i="24"/>
  <c r="AB70" i="24"/>
  <c r="AC70" i="24"/>
  <c r="AD70" i="24"/>
  <c r="AE70" i="24"/>
  <c r="AF70" i="24"/>
  <c r="AG70" i="24"/>
  <c r="AH70" i="24"/>
  <c r="AI70" i="24"/>
  <c r="AJ70" i="24"/>
  <c r="AK70" i="24"/>
  <c r="AL70" i="24"/>
  <c r="AM70" i="24"/>
  <c r="AN70" i="24"/>
  <c r="AO70" i="24"/>
  <c r="AP70" i="24"/>
  <c r="AQ70" i="24"/>
  <c r="AR70" i="24"/>
  <c r="AS70" i="24"/>
  <c r="AT70" i="24"/>
  <c r="AU70" i="24"/>
  <c r="AV70" i="24"/>
  <c r="AW70" i="24"/>
  <c r="AX70" i="24"/>
  <c r="AY70" i="24"/>
  <c r="AZ70" i="24"/>
  <c r="BA70" i="24"/>
  <c r="BB70" i="24"/>
  <c r="BC70" i="24"/>
  <c r="BD70" i="24"/>
  <c r="BE70" i="24"/>
  <c r="BF70" i="24"/>
  <c r="BG70" i="24"/>
  <c r="BH70" i="24"/>
  <c r="BI70" i="24"/>
  <c r="BJ70" i="24"/>
  <c r="BK70" i="24"/>
  <c r="BL70" i="24"/>
  <c r="BM70" i="24"/>
  <c r="BN70" i="24"/>
  <c r="BO70" i="24"/>
  <c r="BP70" i="24"/>
  <c r="BQ70" i="24"/>
  <c r="BR70" i="24"/>
  <c r="BS70" i="24"/>
  <c r="BT70" i="24"/>
  <c r="BU70" i="24"/>
  <c r="BV70" i="24"/>
  <c r="BW70" i="24"/>
  <c r="BX70" i="24"/>
  <c r="BY70" i="24"/>
  <c r="BZ70" i="24"/>
  <c r="CA70" i="24"/>
  <c r="CB70" i="24"/>
  <c r="CC70" i="24"/>
  <c r="CD70" i="24"/>
  <c r="CE70" i="24"/>
  <c r="CF70" i="24"/>
  <c r="CG70" i="24"/>
  <c r="CH70" i="24"/>
  <c r="CI70" i="24"/>
  <c r="CJ70" i="24"/>
  <c r="CK70" i="24"/>
  <c r="CL70" i="24"/>
  <c r="CM70" i="24"/>
  <c r="CN70" i="24"/>
  <c r="CO70" i="24"/>
  <c r="CP70" i="24"/>
  <c r="CQ70" i="24"/>
  <c r="CR70" i="24"/>
  <c r="CS70" i="24"/>
  <c r="CT70" i="24"/>
  <c r="CU70" i="24"/>
  <c r="CV70" i="24"/>
  <c r="CW70" i="24"/>
  <c r="CX70" i="24"/>
  <c r="CY70" i="24"/>
  <c r="CZ70" i="24"/>
  <c r="DA70" i="24"/>
  <c r="DB70" i="24"/>
  <c r="DC70" i="24"/>
  <c r="DD70" i="24"/>
  <c r="DE70" i="24"/>
  <c r="DF70" i="24"/>
  <c r="DG70" i="24"/>
  <c r="DH70" i="24"/>
  <c r="DI70" i="24"/>
  <c r="DJ70" i="24"/>
  <c r="DK70" i="24"/>
  <c r="DL70" i="24"/>
  <c r="DM70" i="24"/>
  <c r="DN70" i="24"/>
  <c r="DO70" i="24"/>
  <c r="DP70" i="24"/>
  <c r="DQ70" i="24"/>
  <c r="DR70" i="24"/>
  <c r="DS70" i="24"/>
  <c r="DT70" i="24"/>
  <c r="DU70" i="24"/>
  <c r="DV70" i="24"/>
  <c r="DW70" i="24"/>
  <c r="DX70" i="24"/>
  <c r="DY70" i="24"/>
  <c r="DZ70" i="24"/>
  <c r="EA70" i="24"/>
  <c r="EB70" i="24"/>
  <c r="EC70" i="24"/>
  <c r="ED70" i="24"/>
  <c r="EE70" i="24"/>
  <c r="EF70" i="24"/>
  <c r="EG70" i="24"/>
  <c r="EH70" i="24"/>
  <c r="EI70" i="24"/>
  <c r="EJ70" i="24"/>
  <c r="EK70" i="24"/>
  <c r="EL70" i="24"/>
  <c r="EM70" i="24"/>
  <c r="EN70" i="24"/>
  <c r="EO70" i="24"/>
  <c r="EP70" i="24"/>
  <c r="EQ70" i="24"/>
  <c r="ER70" i="24"/>
  <c r="ES70" i="24"/>
  <c r="ET70" i="24"/>
  <c r="EU70" i="24"/>
  <c r="EV70" i="24"/>
  <c r="EW70" i="24"/>
  <c r="EX70" i="24"/>
  <c r="EY70" i="24"/>
  <c r="EZ70" i="24"/>
  <c r="FA70" i="24"/>
  <c r="FB70" i="24"/>
  <c r="FC70" i="24"/>
  <c r="FD70" i="24"/>
  <c r="FE70" i="24"/>
  <c r="FF70" i="24"/>
  <c r="FG70" i="24"/>
  <c r="FH70" i="24"/>
  <c r="FI70" i="24"/>
  <c r="FJ70" i="24"/>
  <c r="FK70" i="24"/>
  <c r="FL70" i="24"/>
  <c r="FM70" i="24"/>
  <c r="FN70" i="24"/>
  <c r="FO70" i="24"/>
  <c r="FP70" i="24"/>
  <c r="FQ70" i="24"/>
  <c r="FR70" i="24"/>
  <c r="FS70" i="24"/>
  <c r="FT70" i="24"/>
  <c r="FU70" i="24"/>
  <c r="FV70" i="24"/>
  <c r="FW70" i="24"/>
  <c r="FX70" i="24"/>
  <c r="FY70" i="24"/>
  <c r="FZ70" i="24"/>
  <c r="GA70" i="24"/>
  <c r="GB70" i="24"/>
  <c r="GC70" i="24"/>
  <c r="GD70" i="24"/>
  <c r="GE70" i="24"/>
  <c r="GF70" i="24"/>
  <c r="GG70" i="24"/>
  <c r="GH70" i="24"/>
  <c r="GI70" i="24"/>
  <c r="GJ70" i="24"/>
  <c r="GK70" i="24"/>
  <c r="GL70" i="24"/>
  <c r="GM70" i="24"/>
  <c r="GN70" i="24"/>
  <c r="GO70" i="24"/>
  <c r="GP70" i="24"/>
  <c r="GQ70" i="24"/>
  <c r="GR70" i="24"/>
  <c r="GS70" i="24"/>
  <c r="GT70" i="24"/>
  <c r="C71" i="24"/>
  <c r="D71" i="24"/>
  <c r="E71" i="24"/>
  <c r="F71" i="24"/>
  <c r="G71" i="24"/>
  <c r="H71" i="24"/>
  <c r="I71" i="24"/>
  <c r="J71" i="24"/>
  <c r="K71" i="24"/>
  <c r="L71" i="24"/>
  <c r="M71" i="24"/>
  <c r="N71" i="24"/>
  <c r="O71" i="24"/>
  <c r="P71" i="24"/>
  <c r="Q71" i="24"/>
  <c r="R71" i="24"/>
  <c r="S71" i="24"/>
  <c r="T71" i="24"/>
  <c r="U71" i="24"/>
  <c r="V71" i="24"/>
  <c r="W71" i="24"/>
  <c r="X71" i="24"/>
  <c r="Y71" i="24"/>
  <c r="Z71" i="24"/>
  <c r="AA71" i="24"/>
  <c r="AB71" i="24"/>
  <c r="AC71" i="24"/>
  <c r="AD71" i="24"/>
  <c r="AE71" i="24"/>
  <c r="AF71" i="24"/>
  <c r="AG71" i="24"/>
  <c r="AH71" i="24"/>
  <c r="AI71" i="24"/>
  <c r="AJ71" i="24"/>
  <c r="AK71" i="24"/>
  <c r="AL71" i="24"/>
  <c r="AM71" i="24"/>
  <c r="AN71" i="24"/>
  <c r="AO71" i="24"/>
  <c r="AP71" i="24"/>
  <c r="AQ71" i="24"/>
  <c r="AR71" i="24"/>
  <c r="AS71" i="24"/>
  <c r="AT71" i="24"/>
  <c r="AU71" i="24"/>
  <c r="AV71" i="24"/>
  <c r="AW71" i="24"/>
  <c r="AX71" i="24"/>
  <c r="AY71" i="24"/>
  <c r="AZ71" i="24"/>
  <c r="BA71" i="24"/>
  <c r="BB71" i="24"/>
  <c r="BC71" i="24"/>
  <c r="BD71" i="24"/>
  <c r="BE71" i="24"/>
  <c r="BF71" i="24"/>
  <c r="BG71" i="24"/>
  <c r="BH71" i="24"/>
  <c r="BI71" i="24"/>
  <c r="BJ71" i="24"/>
  <c r="BK71" i="24"/>
  <c r="BL71" i="24"/>
  <c r="BM71" i="24"/>
  <c r="BN71" i="24"/>
  <c r="BO71" i="24"/>
  <c r="BP71" i="24"/>
  <c r="BQ71" i="24"/>
  <c r="BR71" i="24"/>
  <c r="BS71" i="24"/>
  <c r="BT71" i="24"/>
  <c r="BU71" i="24"/>
  <c r="BV71" i="24"/>
  <c r="BW71" i="24"/>
  <c r="BX71" i="24"/>
  <c r="BY71" i="24"/>
  <c r="BZ71" i="24"/>
  <c r="CA71" i="24"/>
  <c r="CB71" i="24"/>
  <c r="CC71" i="24"/>
  <c r="CD71" i="24"/>
  <c r="CE71" i="24"/>
  <c r="CF71" i="24"/>
  <c r="CG71" i="24"/>
  <c r="CH71" i="24"/>
  <c r="CI71" i="24"/>
  <c r="CJ71" i="24"/>
  <c r="CK71" i="24"/>
  <c r="CL71" i="24"/>
  <c r="CM71" i="24"/>
  <c r="CN71" i="24"/>
  <c r="CO71" i="24"/>
  <c r="CP71" i="24"/>
  <c r="CQ71" i="24"/>
  <c r="CR71" i="24"/>
  <c r="CS71" i="24"/>
  <c r="CT71" i="24"/>
  <c r="CU71" i="24"/>
  <c r="CV71" i="24"/>
  <c r="CW71" i="24"/>
  <c r="CX71" i="24"/>
  <c r="CY71" i="24"/>
  <c r="CZ71" i="24"/>
  <c r="DA71" i="24"/>
  <c r="DB71" i="24"/>
  <c r="DC71" i="24"/>
  <c r="DD71" i="24"/>
  <c r="DE71" i="24"/>
  <c r="DF71" i="24"/>
  <c r="DG71" i="24"/>
  <c r="DH71" i="24"/>
  <c r="DI71" i="24"/>
  <c r="DJ71" i="24"/>
  <c r="DK71" i="24"/>
  <c r="DL71" i="24"/>
  <c r="DM71" i="24"/>
  <c r="DN71" i="24"/>
  <c r="DO71" i="24"/>
  <c r="DP71" i="24"/>
  <c r="DQ71" i="24"/>
  <c r="DR71" i="24"/>
  <c r="DS71" i="24"/>
  <c r="DT71" i="24"/>
  <c r="DU71" i="24"/>
  <c r="DV71" i="24"/>
  <c r="DW71" i="24"/>
  <c r="DX71" i="24"/>
  <c r="DY71" i="24"/>
  <c r="DZ71" i="24"/>
  <c r="EA71" i="24"/>
  <c r="EB71" i="24"/>
  <c r="EC71" i="24"/>
  <c r="ED71" i="24"/>
  <c r="EE71" i="24"/>
  <c r="EF71" i="24"/>
  <c r="EG71" i="24"/>
  <c r="EH71" i="24"/>
  <c r="EI71" i="24"/>
  <c r="EJ71" i="24"/>
  <c r="EK71" i="24"/>
  <c r="EL71" i="24"/>
  <c r="EM71" i="24"/>
  <c r="EN71" i="24"/>
  <c r="EO71" i="24"/>
  <c r="EP71" i="24"/>
  <c r="EQ71" i="24"/>
  <c r="ER71" i="24"/>
  <c r="ES71" i="24"/>
  <c r="ET71" i="24"/>
  <c r="EU71" i="24"/>
  <c r="EV71" i="24"/>
  <c r="EW71" i="24"/>
  <c r="EX71" i="24"/>
  <c r="EY71" i="24"/>
  <c r="EZ71" i="24"/>
  <c r="FA71" i="24"/>
  <c r="FB71" i="24"/>
  <c r="FC71" i="24"/>
  <c r="FD71" i="24"/>
  <c r="FE71" i="24"/>
  <c r="FF71" i="24"/>
  <c r="FG71" i="24"/>
  <c r="FH71" i="24"/>
  <c r="FI71" i="24"/>
  <c r="FJ71" i="24"/>
  <c r="FK71" i="24"/>
  <c r="FL71" i="24"/>
  <c r="FM71" i="24"/>
  <c r="FN71" i="24"/>
  <c r="FO71" i="24"/>
  <c r="FP71" i="24"/>
  <c r="FQ71" i="24"/>
  <c r="FR71" i="24"/>
  <c r="FS71" i="24"/>
  <c r="FT71" i="24"/>
  <c r="FU71" i="24"/>
  <c r="FV71" i="24"/>
  <c r="FW71" i="24"/>
  <c r="FX71" i="24"/>
  <c r="FY71" i="24"/>
  <c r="FZ71" i="24"/>
  <c r="GA71" i="24"/>
  <c r="GB71" i="24"/>
  <c r="GC71" i="24"/>
  <c r="GD71" i="24"/>
  <c r="GE71" i="24"/>
  <c r="GF71" i="24"/>
  <c r="GG71" i="24"/>
  <c r="GH71" i="24"/>
  <c r="GI71" i="24"/>
  <c r="GJ71" i="24"/>
  <c r="GK71" i="24"/>
  <c r="GL71" i="24"/>
  <c r="GM71" i="24"/>
  <c r="GN71" i="24"/>
  <c r="GO71" i="24"/>
  <c r="GP71" i="24"/>
  <c r="GQ71" i="24"/>
  <c r="GR71" i="24"/>
  <c r="GS71" i="24"/>
  <c r="GT71" i="24"/>
  <c r="C72" i="24"/>
  <c r="D72" i="24"/>
  <c r="E72" i="24"/>
  <c r="F72" i="24"/>
  <c r="G72" i="24"/>
  <c r="H72" i="24"/>
  <c r="I72" i="24"/>
  <c r="J72" i="24"/>
  <c r="K72" i="24"/>
  <c r="L72" i="24"/>
  <c r="M72" i="24"/>
  <c r="N72" i="24"/>
  <c r="O72" i="24"/>
  <c r="P72" i="24"/>
  <c r="Q72" i="24"/>
  <c r="R72" i="24"/>
  <c r="S72" i="24"/>
  <c r="T72" i="24"/>
  <c r="U72" i="24"/>
  <c r="V72" i="24"/>
  <c r="W72" i="24"/>
  <c r="X72" i="24"/>
  <c r="Y72" i="24"/>
  <c r="Z72" i="24"/>
  <c r="AA72" i="24"/>
  <c r="AB72" i="24"/>
  <c r="AC72" i="24"/>
  <c r="AD72" i="24"/>
  <c r="AE72" i="24"/>
  <c r="AF72" i="24"/>
  <c r="AG72" i="24"/>
  <c r="AH72" i="24"/>
  <c r="AI72" i="24"/>
  <c r="AJ72" i="24"/>
  <c r="AK72" i="24"/>
  <c r="AL72" i="24"/>
  <c r="AM72" i="24"/>
  <c r="AN72" i="24"/>
  <c r="AO72" i="24"/>
  <c r="AP72" i="24"/>
  <c r="AQ72" i="24"/>
  <c r="AR72" i="24"/>
  <c r="AS72" i="24"/>
  <c r="AT72" i="24"/>
  <c r="AU72" i="24"/>
  <c r="AV72" i="24"/>
  <c r="AW72" i="24"/>
  <c r="AX72" i="24"/>
  <c r="AY72" i="24"/>
  <c r="AZ72" i="24"/>
  <c r="BA72" i="24"/>
  <c r="BB72" i="24"/>
  <c r="BC72" i="24"/>
  <c r="BD72" i="24"/>
  <c r="BE72" i="24"/>
  <c r="BF72" i="24"/>
  <c r="BG72" i="24"/>
  <c r="BH72" i="24"/>
  <c r="BI72" i="24"/>
  <c r="BJ72" i="24"/>
  <c r="BK72" i="24"/>
  <c r="BL72" i="24"/>
  <c r="BM72" i="24"/>
  <c r="BN72" i="24"/>
  <c r="BO72" i="24"/>
  <c r="BP72" i="24"/>
  <c r="BQ72" i="24"/>
  <c r="BR72" i="24"/>
  <c r="BS72" i="24"/>
  <c r="BT72" i="24"/>
  <c r="BU72" i="24"/>
  <c r="BV72" i="24"/>
  <c r="BW72" i="24"/>
  <c r="BX72" i="24"/>
  <c r="BY72" i="24"/>
  <c r="BZ72" i="24"/>
  <c r="CA72" i="24"/>
  <c r="CB72" i="24"/>
  <c r="CC72" i="24"/>
  <c r="CD72" i="24"/>
  <c r="CE72" i="24"/>
  <c r="CF72" i="24"/>
  <c r="CG72" i="24"/>
  <c r="CH72" i="24"/>
  <c r="CI72" i="24"/>
  <c r="CJ72" i="24"/>
  <c r="CK72" i="24"/>
  <c r="CL72" i="24"/>
  <c r="CM72" i="24"/>
  <c r="CN72" i="24"/>
  <c r="CO72" i="24"/>
  <c r="CP72" i="24"/>
  <c r="CQ72" i="24"/>
  <c r="CR72" i="24"/>
  <c r="CS72" i="24"/>
  <c r="CT72" i="24"/>
  <c r="CU72" i="24"/>
  <c r="CV72" i="24"/>
  <c r="CW72" i="24"/>
  <c r="CX72" i="24"/>
  <c r="CY72" i="24"/>
  <c r="CZ72" i="24"/>
  <c r="DA72" i="24"/>
  <c r="DB72" i="24"/>
  <c r="DC72" i="24"/>
  <c r="DD72" i="24"/>
  <c r="DE72" i="24"/>
  <c r="DF72" i="24"/>
  <c r="DG72" i="24"/>
  <c r="DH72" i="24"/>
  <c r="DI72" i="24"/>
  <c r="DJ72" i="24"/>
  <c r="DK72" i="24"/>
  <c r="DL72" i="24"/>
  <c r="DM72" i="24"/>
  <c r="DN72" i="24"/>
  <c r="DO72" i="24"/>
  <c r="DP72" i="24"/>
  <c r="DQ72" i="24"/>
  <c r="DR72" i="24"/>
  <c r="DS72" i="24"/>
  <c r="DT72" i="24"/>
  <c r="DU72" i="24"/>
  <c r="DV72" i="24"/>
  <c r="DW72" i="24"/>
  <c r="DX72" i="24"/>
  <c r="DY72" i="24"/>
  <c r="DZ72" i="24"/>
  <c r="EA72" i="24"/>
  <c r="EB72" i="24"/>
  <c r="EC72" i="24"/>
  <c r="ED72" i="24"/>
  <c r="EE72" i="24"/>
  <c r="EF72" i="24"/>
  <c r="EG72" i="24"/>
  <c r="EH72" i="24"/>
  <c r="EI72" i="24"/>
  <c r="EJ72" i="24"/>
  <c r="EK72" i="24"/>
  <c r="EL72" i="24"/>
  <c r="EM72" i="24"/>
  <c r="EN72" i="24"/>
  <c r="EO72" i="24"/>
  <c r="EP72" i="24"/>
  <c r="EQ72" i="24"/>
  <c r="ER72" i="24"/>
  <c r="ES72" i="24"/>
  <c r="ET72" i="24"/>
  <c r="EU72" i="24"/>
  <c r="EV72" i="24"/>
  <c r="EW72" i="24"/>
  <c r="EX72" i="24"/>
  <c r="EY72" i="24"/>
  <c r="EZ72" i="24"/>
  <c r="FA72" i="24"/>
  <c r="FB72" i="24"/>
  <c r="FC72" i="24"/>
  <c r="FD72" i="24"/>
  <c r="FE72" i="24"/>
  <c r="FF72" i="24"/>
  <c r="FG72" i="24"/>
  <c r="FH72" i="24"/>
  <c r="FI72" i="24"/>
  <c r="FJ72" i="24"/>
  <c r="FK72" i="24"/>
  <c r="FL72" i="24"/>
  <c r="FM72" i="24"/>
  <c r="FN72" i="24"/>
  <c r="FO72" i="24"/>
  <c r="FP72" i="24"/>
  <c r="FQ72" i="24"/>
  <c r="FR72" i="24"/>
  <c r="FS72" i="24"/>
  <c r="FT72" i="24"/>
  <c r="FU72" i="24"/>
  <c r="FV72" i="24"/>
  <c r="FW72" i="24"/>
  <c r="FX72" i="24"/>
  <c r="FY72" i="24"/>
  <c r="FZ72" i="24"/>
  <c r="GA72" i="24"/>
  <c r="GB72" i="24"/>
  <c r="GC72" i="24"/>
  <c r="GD72" i="24"/>
  <c r="GE72" i="24"/>
  <c r="GF72" i="24"/>
  <c r="GG72" i="24"/>
  <c r="GH72" i="24"/>
  <c r="GI72" i="24"/>
  <c r="GJ72" i="24"/>
  <c r="GK72" i="24"/>
  <c r="GL72" i="24"/>
  <c r="GM72" i="24"/>
  <c r="GN72" i="24"/>
  <c r="GO72" i="24"/>
  <c r="GP72" i="24"/>
  <c r="GQ72" i="24"/>
  <c r="GR72" i="24"/>
  <c r="GS72" i="24"/>
  <c r="GT72" i="24"/>
  <c r="C73" i="24"/>
  <c r="D73" i="24"/>
  <c r="E73" i="24"/>
  <c r="F73" i="24"/>
  <c r="G73" i="24"/>
  <c r="H73" i="24"/>
  <c r="I73" i="24"/>
  <c r="J73" i="24"/>
  <c r="K73" i="24"/>
  <c r="L73" i="24"/>
  <c r="M73" i="24"/>
  <c r="N73" i="24"/>
  <c r="O73" i="24"/>
  <c r="P73" i="24"/>
  <c r="Q73" i="24"/>
  <c r="R73" i="24"/>
  <c r="S73" i="24"/>
  <c r="T73" i="24"/>
  <c r="U73" i="24"/>
  <c r="V73" i="24"/>
  <c r="W73" i="24"/>
  <c r="X73" i="24"/>
  <c r="Y73" i="24"/>
  <c r="Z73" i="24"/>
  <c r="AA73" i="24"/>
  <c r="AB73" i="24"/>
  <c r="AC73" i="24"/>
  <c r="AD73" i="24"/>
  <c r="AE73" i="24"/>
  <c r="AF73" i="24"/>
  <c r="AG73" i="24"/>
  <c r="AH73" i="24"/>
  <c r="AI73" i="24"/>
  <c r="AJ73" i="24"/>
  <c r="AK73" i="24"/>
  <c r="AL73" i="24"/>
  <c r="AM73" i="24"/>
  <c r="AN73" i="24"/>
  <c r="AO73" i="24"/>
  <c r="AP73" i="24"/>
  <c r="AQ73" i="24"/>
  <c r="AR73" i="24"/>
  <c r="AS73" i="24"/>
  <c r="AT73" i="24"/>
  <c r="AU73" i="24"/>
  <c r="AV73" i="24"/>
  <c r="AW73" i="24"/>
  <c r="AX73" i="24"/>
  <c r="AY73" i="24"/>
  <c r="AZ73" i="24"/>
  <c r="BA73" i="24"/>
  <c r="BB73" i="24"/>
  <c r="BC73" i="24"/>
  <c r="BD73" i="24"/>
  <c r="BE73" i="24"/>
  <c r="BF73" i="24"/>
  <c r="BG73" i="24"/>
  <c r="BH73" i="24"/>
  <c r="BI73" i="24"/>
  <c r="BJ73" i="24"/>
  <c r="BK73" i="24"/>
  <c r="BL73" i="24"/>
  <c r="BM73" i="24"/>
  <c r="BN73" i="24"/>
  <c r="BO73" i="24"/>
  <c r="BP73" i="24"/>
  <c r="BQ73" i="24"/>
  <c r="BR73" i="24"/>
  <c r="BS73" i="24"/>
  <c r="BT73" i="24"/>
  <c r="BU73" i="24"/>
  <c r="BV73" i="24"/>
  <c r="BW73" i="24"/>
  <c r="BX73" i="24"/>
  <c r="BY73" i="24"/>
  <c r="BZ73" i="24"/>
  <c r="CA73" i="24"/>
  <c r="CB73" i="24"/>
  <c r="CC73" i="24"/>
  <c r="CD73" i="24"/>
  <c r="CE73" i="24"/>
  <c r="CF73" i="24"/>
  <c r="CG73" i="24"/>
  <c r="CH73" i="24"/>
  <c r="CI73" i="24"/>
  <c r="CJ73" i="24"/>
  <c r="CK73" i="24"/>
  <c r="CL73" i="24"/>
  <c r="CM73" i="24"/>
  <c r="CN73" i="24"/>
  <c r="CO73" i="24"/>
  <c r="CP73" i="24"/>
  <c r="CQ73" i="24"/>
  <c r="CR73" i="24"/>
  <c r="CS73" i="24"/>
  <c r="CT73" i="24"/>
  <c r="CU73" i="24"/>
  <c r="CV73" i="24"/>
  <c r="CW73" i="24"/>
  <c r="CX73" i="24"/>
  <c r="CY73" i="24"/>
  <c r="CZ73" i="24"/>
  <c r="DA73" i="24"/>
  <c r="DB73" i="24"/>
  <c r="DC73" i="24"/>
  <c r="DD73" i="24"/>
  <c r="DE73" i="24"/>
  <c r="DF73" i="24"/>
  <c r="DG73" i="24"/>
  <c r="DH73" i="24"/>
  <c r="DI73" i="24"/>
  <c r="DJ73" i="24"/>
  <c r="DK73" i="24"/>
  <c r="DL73" i="24"/>
  <c r="DM73" i="24"/>
  <c r="DN73" i="24"/>
  <c r="DO73" i="24"/>
  <c r="DP73" i="24"/>
  <c r="DQ73" i="24"/>
  <c r="DR73" i="24"/>
  <c r="DS73" i="24"/>
  <c r="DT73" i="24"/>
  <c r="DU73" i="24"/>
  <c r="DV73" i="24"/>
  <c r="DW73" i="24"/>
  <c r="DX73" i="24"/>
  <c r="DY73" i="24"/>
  <c r="DZ73" i="24"/>
  <c r="EA73" i="24"/>
  <c r="EB73" i="24"/>
  <c r="EC73" i="24"/>
  <c r="ED73" i="24"/>
  <c r="EE73" i="24"/>
  <c r="EF73" i="24"/>
  <c r="EG73" i="24"/>
  <c r="EH73" i="24"/>
  <c r="EI73" i="24"/>
  <c r="EJ73" i="24"/>
  <c r="EK73" i="24"/>
  <c r="EL73" i="24"/>
  <c r="EM73" i="24"/>
  <c r="EN73" i="24"/>
  <c r="EO73" i="24"/>
  <c r="EP73" i="24"/>
  <c r="EQ73" i="24"/>
  <c r="ER73" i="24"/>
  <c r="ES73" i="24"/>
  <c r="ET73" i="24"/>
  <c r="EU73" i="24"/>
  <c r="EV73" i="24"/>
  <c r="EW73" i="24"/>
  <c r="EX73" i="24"/>
  <c r="EY73" i="24"/>
  <c r="EZ73" i="24"/>
  <c r="FA73" i="24"/>
  <c r="FB73" i="24"/>
  <c r="FC73" i="24"/>
  <c r="FD73" i="24"/>
  <c r="FE73" i="24"/>
  <c r="FF73" i="24"/>
  <c r="FG73" i="24"/>
  <c r="FH73" i="24"/>
  <c r="FI73" i="24"/>
  <c r="FJ73" i="24"/>
  <c r="FK73" i="24"/>
  <c r="FL73" i="24"/>
  <c r="FM73" i="24"/>
  <c r="FN73" i="24"/>
  <c r="FO73" i="24"/>
  <c r="FP73" i="24"/>
  <c r="FQ73" i="24"/>
  <c r="FR73" i="24"/>
  <c r="FS73" i="24"/>
  <c r="FT73" i="24"/>
  <c r="FU73" i="24"/>
  <c r="FV73" i="24"/>
  <c r="FW73" i="24"/>
  <c r="FX73" i="24"/>
  <c r="FY73" i="24"/>
  <c r="FZ73" i="24"/>
  <c r="GA73" i="24"/>
  <c r="GB73" i="24"/>
  <c r="GC73" i="24"/>
  <c r="GD73" i="24"/>
  <c r="GE73" i="24"/>
  <c r="GF73" i="24"/>
  <c r="GG73" i="24"/>
  <c r="GH73" i="24"/>
  <c r="GI73" i="24"/>
  <c r="GJ73" i="24"/>
  <c r="GK73" i="24"/>
  <c r="GL73" i="24"/>
  <c r="GM73" i="24"/>
  <c r="GN73" i="24"/>
  <c r="GO73" i="24"/>
  <c r="GP73" i="24"/>
  <c r="GQ73" i="24"/>
  <c r="GR73" i="24"/>
  <c r="GS73" i="24"/>
  <c r="GT73" i="24"/>
  <c r="C74" i="24"/>
  <c r="D74" i="24"/>
  <c r="E74" i="24"/>
  <c r="F74" i="24"/>
  <c r="G74" i="24"/>
  <c r="H74" i="24"/>
  <c r="I74" i="24"/>
  <c r="J74" i="24"/>
  <c r="K74" i="24"/>
  <c r="L74" i="24"/>
  <c r="M74" i="24"/>
  <c r="N74" i="24"/>
  <c r="O74" i="24"/>
  <c r="P74" i="24"/>
  <c r="Q74" i="24"/>
  <c r="R74" i="24"/>
  <c r="S74" i="24"/>
  <c r="T74" i="24"/>
  <c r="U74" i="24"/>
  <c r="V74" i="24"/>
  <c r="W74" i="24"/>
  <c r="X74" i="24"/>
  <c r="Y74" i="24"/>
  <c r="Z74" i="24"/>
  <c r="AA74" i="24"/>
  <c r="AB74" i="24"/>
  <c r="AC74" i="24"/>
  <c r="AD74" i="24"/>
  <c r="AE74" i="24"/>
  <c r="AF74" i="24"/>
  <c r="AG74" i="24"/>
  <c r="AH74" i="24"/>
  <c r="AI74" i="24"/>
  <c r="AJ74" i="24"/>
  <c r="AK74" i="24"/>
  <c r="AL74" i="24"/>
  <c r="AM74" i="24"/>
  <c r="AN74" i="24"/>
  <c r="AO74" i="24"/>
  <c r="AP74" i="24"/>
  <c r="AQ74" i="24"/>
  <c r="AR74" i="24"/>
  <c r="AS74" i="24"/>
  <c r="AT74" i="24"/>
  <c r="AU74" i="24"/>
  <c r="AV74" i="24"/>
  <c r="AW74" i="24"/>
  <c r="AX74" i="24"/>
  <c r="AY74" i="24"/>
  <c r="AZ74" i="24"/>
  <c r="BA74" i="24"/>
  <c r="BB74" i="24"/>
  <c r="BC74" i="24"/>
  <c r="BD74" i="24"/>
  <c r="BE74" i="24"/>
  <c r="BF74" i="24"/>
  <c r="BG74" i="24"/>
  <c r="BH74" i="24"/>
  <c r="BI74" i="24"/>
  <c r="BJ74" i="24"/>
  <c r="BK74" i="24"/>
  <c r="BL74" i="24"/>
  <c r="BM74" i="24"/>
  <c r="BN74" i="24"/>
  <c r="BO74" i="24"/>
  <c r="BP74" i="24"/>
  <c r="BQ74" i="24"/>
  <c r="BR74" i="24"/>
  <c r="BS74" i="24"/>
  <c r="BT74" i="24"/>
  <c r="BU74" i="24"/>
  <c r="BV74" i="24"/>
  <c r="BW74" i="24"/>
  <c r="BX74" i="24"/>
  <c r="BY74" i="24"/>
  <c r="BZ74" i="24"/>
  <c r="CA74" i="24"/>
  <c r="CB74" i="24"/>
  <c r="CC74" i="24"/>
  <c r="CD74" i="24"/>
  <c r="CE74" i="24"/>
  <c r="CF74" i="24"/>
  <c r="CG74" i="24"/>
  <c r="CH74" i="24"/>
  <c r="CI74" i="24"/>
  <c r="CJ74" i="24"/>
  <c r="CK74" i="24"/>
  <c r="CL74" i="24"/>
  <c r="CM74" i="24"/>
  <c r="CN74" i="24"/>
  <c r="CO74" i="24"/>
  <c r="CP74" i="24"/>
  <c r="CQ74" i="24"/>
  <c r="CR74" i="24"/>
  <c r="CS74" i="24"/>
  <c r="CT74" i="24"/>
  <c r="CU74" i="24"/>
  <c r="CV74" i="24"/>
  <c r="CW74" i="24"/>
  <c r="CX74" i="24"/>
  <c r="CY74" i="24"/>
  <c r="CZ74" i="24"/>
  <c r="DA74" i="24"/>
  <c r="DB74" i="24"/>
  <c r="DC74" i="24"/>
  <c r="DD74" i="24"/>
  <c r="DE74" i="24"/>
  <c r="DF74" i="24"/>
  <c r="DG74" i="24"/>
  <c r="DH74" i="24"/>
  <c r="DI74" i="24"/>
  <c r="DJ74" i="24"/>
  <c r="DK74" i="24"/>
  <c r="DL74" i="24"/>
  <c r="DM74" i="24"/>
  <c r="DN74" i="24"/>
  <c r="DO74" i="24"/>
  <c r="DP74" i="24"/>
  <c r="DQ74" i="24"/>
  <c r="DR74" i="24"/>
  <c r="DS74" i="24"/>
  <c r="DT74" i="24"/>
  <c r="DU74" i="24"/>
  <c r="DV74" i="24"/>
  <c r="DW74" i="24"/>
  <c r="DX74" i="24"/>
  <c r="DY74" i="24"/>
  <c r="DZ74" i="24"/>
  <c r="EA74" i="24"/>
  <c r="EB74" i="24"/>
  <c r="EC74" i="24"/>
  <c r="ED74" i="24"/>
  <c r="EE74" i="24"/>
  <c r="EF74" i="24"/>
  <c r="EG74" i="24"/>
  <c r="EH74" i="24"/>
  <c r="EI74" i="24"/>
  <c r="EJ74" i="24"/>
  <c r="EK74" i="24"/>
  <c r="EL74" i="24"/>
  <c r="EM74" i="24"/>
  <c r="EN74" i="24"/>
  <c r="EO74" i="24"/>
  <c r="EP74" i="24"/>
  <c r="EQ74" i="24"/>
  <c r="ER74" i="24"/>
  <c r="ES74" i="24"/>
  <c r="ET74" i="24"/>
  <c r="EU74" i="24"/>
  <c r="EV74" i="24"/>
  <c r="EW74" i="24"/>
  <c r="EX74" i="24"/>
  <c r="EY74" i="24"/>
  <c r="EZ74" i="24"/>
  <c r="FA74" i="24"/>
  <c r="FB74" i="24"/>
  <c r="FC74" i="24"/>
  <c r="FD74" i="24"/>
  <c r="FE74" i="24"/>
  <c r="FF74" i="24"/>
  <c r="FG74" i="24"/>
  <c r="FH74" i="24"/>
  <c r="FI74" i="24"/>
  <c r="FJ74" i="24"/>
  <c r="FK74" i="24"/>
  <c r="FL74" i="24"/>
  <c r="FM74" i="24"/>
  <c r="FN74" i="24"/>
  <c r="FO74" i="24"/>
  <c r="FP74" i="24"/>
  <c r="FQ74" i="24"/>
  <c r="FR74" i="24"/>
  <c r="FS74" i="24"/>
  <c r="FT74" i="24"/>
  <c r="FU74" i="24"/>
  <c r="FV74" i="24"/>
  <c r="FW74" i="24"/>
  <c r="FX74" i="24"/>
  <c r="FY74" i="24"/>
  <c r="FZ74" i="24"/>
  <c r="GA74" i="24"/>
  <c r="GB74" i="24"/>
  <c r="GC74" i="24"/>
  <c r="GD74" i="24"/>
  <c r="GE74" i="24"/>
  <c r="GF74" i="24"/>
  <c r="GG74" i="24"/>
  <c r="GH74" i="24"/>
  <c r="GI74" i="24"/>
  <c r="GJ74" i="24"/>
  <c r="GK74" i="24"/>
  <c r="GL74" i="24"/>
  <c r="GM74" i="24"/>
  <c r="GN74" i="24"/>
  <c r="GO74" i="24"/>
  <c r="GP74" i="24"/>
  <c r="GQ74" i="24"/>
  <c r="GR74" i="24"/>
  <c r="GS74" i="24"/>
  <c r="GT74" i="24"/>
  <c r="B52" i="24"/>
  <c r="B53" i="24"/>
  <c r="B54" i="24"/>
  <c r="B55" i="24"/>
  <c r="B56" i="24"/>
  <c r="B57" i="24"/>
  <c r="B58" i="24"/>
  <c r="B59" i="24"/>
  <c r="B60" i="24"/>
  <c r="B61" i="24"/>
  <c r="B62" i="24"/>
  <c r="B63" i="24"/>
  <c r="B64" i="24"/>
  <c r="B65" i="24"/>
  <c r="B66" i="24"/>
  <c r="B67" i="24"/>
  <c r="B68" i="24"/>
  <c r="B69" i="24"/>
  <c r="B70" i="24"/>
  <c r="B71" i="24"/>
  <c r="B72" i="24"/>
  <c r="B73" i="24"/>
  <c r="B74" i="24"/>
  <c r="B51" i="24"/>
  <c r="E135" i="24"/>
  <c r="F135" i="24"/>
  <c r="G135" i="24"/>
  <c r="H135" i="24"/>
  <c r="I135" i="24"/>
  <c r="J135" i="24"/>
  <c r="K135" i="24"/>
  <c r="L135" i="24"/>
  <c r="M135" i="24"/>
  <c r="N135" i="24"/>
  <c r="O135" i="24"/>
  <c r="P135" i="24"/>
  <c r="Q135" i="24"/>
  <c r="R135" i="24"/>
  <c r="S135" i="24"/>
  <c r="T135" i="24"/>
  <c r="U135" i="24"/>
  <c r="V135" i="24"/>
  <c r="W135" i="24"/>
  <c r="X135" i="24"/>
  <c r="Y135" i="24"/>
  <c r="Z135" i="24"/>
  <c r="AA135" i="24"/>
  <c r="AB135" i="24"/>
  <c r="AC135" i="24"/>
  <c r="AD135" i="24"/>
  <c r="AE135" i="24"/>
  <c r="AF135" i="24"/>
  <c r="AG135" i="24"/>
  <c r="AH135" i="24"/>
  <c r="AI135" i="24"/>
  <c r="AJ135" i="24"/>
  <c r="AK135" i="24"/>
  <c r="AL135" i="24"/>
  <c r="AM135" i="24"/>
  <c r="AN135" i="24"/>
  <c r="AO135" i="24"/>
  <c r="AP135" i="24"/>
  <c r="AQ135" i="24"/>
  <c r="AR135" i="24"/>
  <c r="AS135" i="24"/>
  <c r="AT135" i="24"/>
  <c r="AU135" i="24"/>
  <c r="AV135" i="24"/>
  <c r="AW135" i="24"/>
  <c r="AX135" i="24"/>
  <c r="AY135" i="24"/>
  <c r="AZ135" i="24"/>
  <c r="BA135" i="24"/>
  <c r="BB135" i="24"/>
  <c r="BC135" i="24"/>
  <c r="BD135" i="24"/>
  <c r="BE135" i="24"/>
  <c r="BF135" i="24"/>
  <c r="BG135" i="24"/>
  <c r="BH135" i="24"/>
  <c r="BI135" i="24"/>
  <c r="BJ135" i="24"/>
  <c r="BK135" i="24"/>
  <c r="BL135" i="24"/>
  <c r="BM135" i="24"/>
  <c r="BN135" i="24"/>
  <c r="BO135" i="24"/>
  <c r="BP135" i="24"/>
  <c r="BQ135" i="24"/>
  <c r="BR135" i="24"/>
  <c r="BS135" i="24"/>
  <c r="BT135" i="24"/>
  <c r="BU135" i="24"/>
  <c r="BV135" i="24"/>
  <c r="BW135" i="24"/>
  <c r="BX135" i="24"/>
  <c r="BY135" i="24"/>
  <c r="BZ135" i="24"/>
  <c r="CA135" i="24"/>
  <c r="CB135" i="24"/>
  <c r="CC135" i="24"/>
  <c r="CD135" i="24"/>
  <c r="CE135" i="24"/>
  <c r="CF135" i="24"/>
  <c r="CG135" i="24"/>
  <c r="CH135" i="24"/>
  <c r="CI135" i="24"/>
  <c r="CJ135" i="24"/>
  <c r="CK135" i="24"/>
  <c r="CL135" i="24"/>
  <c r="CM135" i="24"/>
  <c r="CN135" i="24"/>
  <c r="CO135" i="24"/>
  <c r="CP135" i="24"/>
  <c r="CQ135" i="24"/>
  <c r="CR135" i="24"/>
  <c r="CS135" i="24"/>
  <c r="CT135" i="24"/>
  <c r="CU135" i="24"/>
  <c r="CV135" i="24"/>
  <c r="CW135" i="24"/>
  <c r="CX135" i="24"/>
  <c r="CY135" i="24"/>
  <c r="CZ135" i="24"/>
  <c r="DA135" i="24"/>
  <c r="DB135" i="24"/>
  <c r="DC135" i="24"/>
  <c r="DD135" i="24"/>
  <c r="DE135" i="24"/>
  <c r="DF135" i="24"/>
  <c r="DG135" i="24"/>
  <c r="DH135" i="24"/>
  <c r="DI135" i="24"/>
  <c r="DJ135" i="24"/>
  <c r="DK135" i="24"/>
  <c r="DL135" i="24"/>
  <c r="DM135" i="24"/>
  <c r="DN135" i="24"/>
  <c r="DO135" i="24"/>
  <c r="DP135" i="24"/>
  <c r="DQ135" i="24"/>
  <c r="DR135" i="24"/>
  <c r="DS135" i="24"/>
  <c r="DT135" i="24"/>
  <c r="DU135" i="24"/>
  <c r="DV135" i="24"/>
  <c r="DW135" i="24"/>
  <c r="DX135" i="24"/>
  <c r="DY135" i="24"/>
  <c r="DZ135" i="24"/>
  <c r="EA135" i="24"/>
  <c r="EB135" i="24"/>
  <c r="EC135" i="24"/>
  <c r="ED135" i="24"/>
  <c r="EE135" i="24"/>
  <c r="EF135" i="24"/>
  <c r="EG135" i="24"/>
  <c r="EH135" i="24"/>
  <c r="EI135" i="24"/>
  <c r="EJ135" i="24"/>
  <c r="EK135" i="24"/>
  <c r="EL135" i="24"/>
  <c r="EM135" i="24"/>
  <c r="EN135" i="24"/>
  <c r="EO135" i="24"/>
  <c r="EP135" i="24"/>
  <c r="EQ135" i="24"/>
  <c r="ER135" i="24"/>
  <c r="ES135" i="24"/>
  <c r="ET135" i="24"/>
  <c r="EU135" i="24"/>
  <c r="EV135" i="24"/>
  <c r="EW135" i="24"/>
  <c r="EX135" i="24"/>
  <c r="EY135" i="24"/>
  <c r="EZ135" i="24"/>
  <c r="FA135" i="24"/>
  <c r="FB135" i="24"/>
  <c r="FC135" i="24"/>
  <c r="FD135" i="24"/>
  <c r="FE135" i="24"/>
  <c r="FF135" i="24"/>
  <c r="FG135" i="24"/>
  <c r="FH135" i="24"/>
  <c r="FI135" i="24"/>
  <c r="FJ135" i="24"/>
  <c r="FK135" i="24"/>
  <c r="FL135" i="24"/>
  <c r="FM135" i="24"/>
  <c r="FN135" i="24"/>
  <c r="FO135" i="24"/>
  <c r="FP135" i="24"/>
  <c r="FQ135" i="24"/>
  <c r="FR135" i="24"/>
  <c r="FS135" i="24"/>
  <c r="FT135" i="24"/>
  <c r="FU135" i="24"/>
  <c r="FV135" i="24"/>
  <c r="FW135" i="24"/>
  <c r="FX135" i="24"/>
  <c r="FY135" i="24"/>
  <c r="FZ135" i="24"/>
  <c r="GA135" i="24"/>
  <c r="GB135" i="24"/>
  <c r="GC135" i="24"/>
  <c r="GD135" i="24"/>
  <c r="GE135" i="24"/>
  <c r="GF135" i="24"/>
  <c r="GG135" i="24"/>
  <c r="GH135" i="24"/>
  <c r="GI135" i="24"/>
  <c r="GJ135" i="24"/>
  <c r="GK135" i="24"/>
  <c r="GL135" i="24"/>
  <c r="GM135" i="24"/>
  <c r="GN135" i="24"/>
  <c r="GO135" i="24"/>
  <c r="GP135" i="24"/>
  <c r="GQ135" i="24"/>
  <c r="GR135" i="24"/>
  <c r="GS135" i="24"/>
  <c r="GT135" i="24"/>
  <c r="E136" i="24"/>
  <c r="F136" i="24"/>
  <c r="G136" i="24"/>
  <c r="H136" i="24"/>
  <c r="I136" i="24"/>
  <c r="J136" i="24"/>
  <c r="K136" i="24"/>
  <c r="L136" i="24"/>
  <c r="M136" i="24"/>
  <c r="N136" i="24"/>
  <c r="O136" i="24"/>
  <c r="P136" i="24"/>
  <c r="Q136" i="24"/>
  <c r="R136" i="24"/>
  <c r="S136" i="24"/>
  <c r="T136" i="24"/>
  <c r="U136" i="24"/>
  <c r="V136" i="24"/>
  <c r="W136" i="24"/>
  <c r="X136" i="24"/>
  <c r="Y136" i="24"/>
  <c r="Z136" i="24"/>
  <c r="AA136" i="24"/>
  <c r="AB136" i="24"/>
  <c r="AC136" i="24"/>
  <c r="AD136" i="24"/>
  <c r="AE136" i="24"/>
  <c r="AF136" i="24"/>
  <c r="AG136" i="24"/>
  <c r="AH136" i="24"/>
  <c r="AI136" i="24"/>
  <c r="AJ136" i="24"/>
  <c r="AK136" i="24"/>
  <c r="AL136" i="24"/>
  <c r="AM136" i="24"/>
  <c r="AN136" i="24"/>
  <c r="AO136" i="24"/>
  <c r="AP136" i="24"/>
  <c r="AQ136" i="24"/>
  <c r="AR136" i="24"/>
  <c r="AS136" i="24"/>
  <c r="AT136" i="24"/>
  <c r="AU136" i="24"/>
  <c r="AV136" i="24"/>
  <c r="AW136" i="24"/>
  <c r="AX136" i="24"/>
  <c r="AY136" i="24"/>
  <c r="AZ136" i="24"/>
  <c r="BA136" i="24"/>
  <c r="BB136" i="24"/>
  <c r="BC136" i="24"/>
  <c r="BD136" i="24"/>
  <c r="BE136" i="24"/>
  <c r="BF136" i="24"/>
  <c r="BG136" i="24"/>
  <c r="BH136" i="24"/>
  <c r="BI136" i="24"/>
  <c r="BJ136" i="24"/>
  <c r="BK136" i="24"/>
  <c r="BL136" i="24"/>
  <c r="BM136" i="24"/>
  <c r="BN136" i="24"/>
  <c r="BO136" i="24"/>
  <c r="BP136" i="24"/>
  <c r="BQ136" i="24"/>
  <c r="BR136" i="24"/>
  <c r="BS136" i="24"/>
  <c r="BT136" i="24"/>
  <c r="BU136" i="24"/>
  <c r="BV136" i="24"/>
  <c r="BW136" i="24"/>
  <c r="BX136" i="24"/>
  <c r="BY136" i="24"/>
  <c r="BZ136" i="24"/>
  <c r="CA136" i="24"/>
  <c r="CB136" i="24"/>
  <c r="CC136" i="24"/>
  <c r="CD136" i="24"/>
  <c r="CE136" i="24"/>
  <c r="CF136" i="24"/>
  <c r="CG136" i="24"/>
  <c r="CH136" i="24"/>
  <c r="CI136" i="24"/>
  <c r="CJ136" i="24"/>
  <c r="CK136" i="24"/>
  <c r="CL136" i="24"/>
  <c r="CM136" i="24"/>
  <c r="CN136" i="24"/>
  <c r="CO136" i="24"/>
  <c r="CP136" i="24"/>
  <c r="CQ136" i="24"/>
  <c r="CR136" i="24"/>
  <c r="CS136" i="24"/>
  <c r="CT136" i="24"/>
  <c r="CU136" i="24"/>
  <c r="CV136" i="24"/>
  <c r="CW136" i="24"/>
  <c r="CX136" i="24"/>
  <c r="CY136" i="24"/>
  <c r="CZ136" i="24"/>
  <c r="DA136" i="24"/>
  <c r="DB136" i="24"/>
  <c r="DC136" i="24"/>
  <c r="DD136" i="24"/>
  <c r="DE136" i="24"/>
  <c r="DF136" i="24"/>
  <c r="DG136" i="24"/>
  <c r="DH136" i="24"/>
  <c r="DI136" i="24"/>
  <c r="DJ136" i="24"/>
  <c r="DK136" i="24"/>
  <c r="DL136" i="24"/>
  <c r="DM136" i="24"/>
  <c r="DN136" i="24"/>
  <c r="DO136" i="24"/>
  <c r="DP136" i="24"/>
  <c r="DQ136" i="24"/>
  <c r="DR136" i="24"/>
  <c r="DS136" i="24"/>
  <c r="DT136" i="24"/>
  <c r="DU136" i="24"/>
  <c r="DV136" i="24"/>
  <c r="DW136" i="24"/>
  <c r="DX136" i="24"/>
  <c r="DY136" i="24"/>
  <c r="DZ136" i="24"/>
  <c r="EA136" i="24"/>
  <c r="EB136" i="24"/>
  <c r="EC136" i="24"/>
  <c r="ED136" i="24"/>
  <c r="EE136" i="24"/>
  <c r="EF136" i="24"/>
  <c r="EG136" i="24"/>
  <c r="EH136" i="24"/>
  <c r="EI136" i="24"/>
  <c r="EJ136" i="24"/>
  <c r="EK136" i="24"/>
  <c r="EL136" i="24"/>
  <c r="EM136" i="24"/>
  <c r="EN136" i="24"/>
  <c r="EO136" i="24"/>
  <c r="EP136" i="24"/>
  <c r="EQ136" i="24"/>
  <c r="ER136" i="24"/>
  <c r="ES136" i="24"/>
  <c r="ET136" i="24"/>
  <c r="EU136" i="24"/>
  <c r="EV136" i="24"/>
  <c r="EW136" i="24"/>
  <c r="EX136" i="24"/>
  <c r="EY136" i="24"/>
  <c r="EZ136" i="24"/>
  <c r="FA136" i="24"/>
  <c r="FB136" i="24"/>
  <c r="FC136" i="24"/>
  <c r="FD136" i="24"/>
  <c r="FE136" i="24"/>
  <c r="FF136" i="24"/>
  <c r="FG136" i="24"/>
  <c r="FH136" i="24"/>
  <c r="FI136" i="24"/>
  <c r="FJ136" i="24"/>
  <c r="FK136" i="24"/>
  <c r="FL136" i="24"/>
  <c r="FM136" i="24"/>
  <c r="FN136" i="24"/>
  <c r="FO136" i="24"/>
  <c r="FP136" i="24"/>
  <c r="FQ136" i="24"/>
  <c r="FR136" i="24"/>
  <c r="FS136" i="24"/>
  <c r="FT136" i="24"/>
  <c r="FU136" i="24"/>
  <c r="FV136" i="24"/>
  <c r="FW136" i="24"/>
  <c r="FX136" i="24"/>
  <c r="FY136" i="24"/>
  <c r="FZ136" i="24"/>
  <c r="GA136" i="24"/>
  <c r="GB136" i="24"/>
  <c r="GC136" i="24"/>
  <c r="GD136" i="24"/>
  <c r="GE136" i="24"/>
  <c r="GF136" i="24"/>
  <c r="GG136" i="24"/>
  <c r="GH136" i="24"/>
  <c r="GI136" i="24"/>
  <c r="GJ136" i="24"/>
  <c r="GK136" i="24"/>
  <c r="GL136" i="24"/>
  <c r="GM136" i="24"/>
  <c r="GN136" i="24"/>
  <c r="GO136" i="24"/>
  <c r="GP136" i="24"/>
  <c r="GQ136" i="24"/>
  <c r="GR136" i="24"/>
  <c r="GS136" i="24"/>
  <c r="GT136" i="24"/>
  <c r="E137" i="24"/>
  <c r="F137" i="24"/>
  <c r="G137" i="24"/>
  <c r="H137" i="24"/>
  <c r="I137" i="24"/>
  <c r="J137" i="24"/>
  <c r="K137" i="24"/>
  <c r="L137" i="24"/>
  <c r="M137" i="24"/>
  <c r="N137" i="24"/>
  <c r="O137" i="24"/>
  <c r="P137" i="24"/>
  <c r="Q137" i="24"/>
  <c r="R137" i="24"/>
  <c r="S137" i="24"/>
  <c r="T137" i="24"/>
  <c r="U137" i="24"/>
  <c r="V137" i="24"/>
  <c r="W137" i="24"/>
  <c r="X137" i="24"/>
  <c r="Y137" i="24"/>
  <c r="Z137" i="24"/>
  <c r="AA137" i="24"/>
  <c r="AB137" i="24"/>
  <c r="AC137" i="24"/>
  <c r="AD137" i="24"/>
  <c r="AE137" i="24"/>
  <c r="AF137" i="24"/>
  <c r="AG137" i="24"/>
  <c r="AH137" i="24"/>
  <c r="AI137" i="24"/>
  <c r="AJ137" i="24"/>
  <c r="AK137" i="24"/>
  <c r="AL137" i="24"/>
  <c r="AM137" i="24"/>
  <c r="AN137" i="24"/>
  <c r="AO137" i="24"/>
  <c r="AP137" i="24"/>
  <c r="AQ137" i="24"/>
  <c r="AR137" i="24"/>
  <c r="AS137" i="24"/>
  <c r="AT137" i="24"/>
  <c r="AU137" i="24"/>
  <c r="AV137" i="24"/>
  <c r="AW137" i="24"/>
  <c r="AX137" i="24"/>
  <c r="AY137" i="24"/>
  <c r="AZ137" i="24"/>
  <c r="BA137" i="24"/>
  <c r="BB137" i="24"/>
  <c r="BC137" i="24"/>
  <c r="BD137" i="24"/>
  <c r="BE137" i="24"/>
  <c r="BF137" i="24"/>
  <c r="BG137" i="24"/>
  <c r="BH137" i="24"/>
  <c r="BI137" i="24"/>
  <c r="BJ137" i="24"/>
  <c r="BK137" i="24"/>
  <c r="BL137" i="24"/>
  <c r="BM137" i="24"/>
  <c r="BN137" i="24"/>
  <c r="BO137" i="24"/>
  <c r="BP137" i="24"/>
  <c r="BQ137" i="24"/>
  <c r="BR137" i="24"/>
  <c r="BS137" i="24"/>
  <c r="BT137" i="24"/>
  <c r="BU137" i="24"/>
  <c r="BV137" i="24"/>
  <c r="BW137" i="24"/>
  <c r="BX137" i="24"/>
  <c r="BY137" i="24"/>
  <c r="BZ137" i="24"/>
  <c r="CA137" i="24"/>
  <c r="CB137" i="24"/>
  <c r="CC137" i="24"/>
  <c r="CD137" i="24"/>
  <c r="CE137" i="24"/>
  <c r="CF137" i="24"/>
  <c r="CG137" i="24"/>
  <c r="CH137" i="24"/>
  <c r="CI137" i="24"/>
  <c r="CJ137" i="24"/>
  <c r="CK137" i="24"/>
  <c r="CL137" i="24"/>
  <c r="CM137" i="24"/>
  <c r="CN137" i="24"/>
  <c r="CO137" i="24"/>
  <c r="CP137" i="24"/>
  <c r="CQ137" i="24"/>
  <c r="CR137" i="24"/>
  <c r="CS137" i="24"/>
  <c r="CT137" i="24"/>
  <c r="CU137" i="24"/>
  <c r="CV137" i="24"/>
  <c r="CW137" i="24"/>
  <c r="CX137" i="24"/>
  <c r="CY137" i="24"/>
  <c r="CZ137" i="24"/>
  <c r="DA137" i="24"/>
  <c r="DB137" i="24"/>
  <c r="DC137" i="24"/>
  <c r="DD137" i="24"/>
  <c r="DE137" i="24"/>
  <c r="DF137" i="24"/>
  <c r="DG137" i="24"/>
  <c r="DH137" i="24"/>
  <c r="DI137" i="24"/>
  <c r="DJ137" i="24"/>
  <c r="DK137" i="24"/>
  <c r="DL137" i="24"/>
  <c r="DM137" i="24"/>
  <c r="DN137" i="24"/>
  <c r="DO137" i="24"/>
  <c r="DP137" i="24"/>
  <c r="DQ137" i="24"/>
  <c r="DR137" i="24"/>
  <c r="DS137" i="24"/>
  <c r="DT137" i="24"/>
  <c r="DU137" i="24"/>
  <c r="DV137" i="24"/>
  <c r="DW137" i="24"/>
  <c r="DX137" i="24"/>
  <c r="DY137" i="24"/>
  <c r="DZ137" i="24"/>
  <c r="EA137" i="24"/>
  <c r="EB137" i="24"/>
  <c r="EC137" i="24"/>
  <c r="ED137" i="24"/>
  <c r="EE137" i="24"/>
  <c r="EF137" i="24"/>
  <c r="EG137" i="24"/>
  <c r="EH137" i="24"/>
  <c r="EI137" i="24"/>
  <c r="EJ137" i="24"/>
  <c r="EK137" i="24"/>
  <c r="EL137" i="24"/>
  <c r="EM137" i="24"/>
  <c r="EN137" i="24"/>
  <c r="EO137" i="24"/>
  <c r="EP137" i="24"/>
  <c r="EQ137" i="24"/>
  <c r="ER137" i="24"/>
  <c r="ES137" i="24"/>
  <c r="ET137" i="24"/>
  <c r="EU137" i="24"/>
  <c r="EV137" i="24"/>
  <c r="EW137" i="24"/>
  <c r="EX137" i="24"/>
  <c r="EY137" i="24"/>
  <c r="EZ137" i="24"/>
  <c r="FA137" i="24"/>
  <c r="FB137" i="24"/>
  <c r="FC137" i="24"/>
  <c r="FD137" i="24"/>
  <c r="FE137" i="24"/>
  <c r="FF137" i="24"/>
  <c r="FG137" i="24"/>
  <c r="FH137" i="24"/>
  <c r="FI137" i="24"/>
  <c r="FJ137" i="24"/>
  <c r="FK137" i="24"/>
  <c r="FL137" i="24"/>
  <c r="FM137" i="24"/>
  <c r="FN137" i="24"/>
  <c r="FO137" i="24"/>
  <c r="FP137" i="24"/>
  <c r="FQ137" i="24"/>
  <c r="FR137" i="24"/>
  <c r="FS137" i="24"/>
  <c r="FT137" i="24"/>
  <c r="FU137" i="24"/>
  <c r="FV137" i="24"/>
  <c r="FW137" i="24"/>
  <c r="FX137" i="24"/>
  <c r="FY137" i="24"/>
  <c r="FZ137" i="24"/>
  <c r="GA137" i="24"/>
  <c r="GB137" i="24"/>
  <c r="GC137" i="24"/>
  <c r="GD137" i="24"/>
  <c r="GE137" i="24"/>
  <c r="GF137" i="24"/>
  <c r="GG137" i="24"/>
  <c r="GH137" i="24"/>
  <c r="GI137" i="24"/>
  <c r="GJ137" i="24"/>
  <c r="GK137" i="24"/>
  <c r="GL137" i="24"/>
  <c r="GM137" i="24"/>
  <c r="GN137" i="24"/>
  <c r="GO137" i="24"/>
  <c r="GP137" i="24"/>
  <c r="GQ137" i="24"/>
  <c r="GR137" i="24"/>
  <c r="GS137" i="24"/>
  <c r="GT137" i="24"/>
  <c r="E138" i="24"/>
  <c r="F138" i="24"/>
  <c r="G138" i="24"/>
  <c r="H138" i="24"/>
  <c r="I138" i="24"/>
  <c r="J138" i="24"/>
  <c r="K138" i="24"/>
  <c r="L138" i="24"/>
  <c r="M138" i="24"/>
  <c r="N138" i="24"/>
  <c r="O138" i="24"/>
  <c r="P138" i="24"/>
  <c r="Q138" i="24"/>
  <c r="R138" i="24"/>
  <c r="S138" i="24"/>
  <c r="T138" i="24"/>
  <c r="U138" i="24"/>
  <c r="V138" i="24"/>
  <c r="W138" i="24"/>
  <c r="X138" i="24"/>
  <c r="Y138" i="24"/>
  <c r="Z138" i="24"/>
  <c r="AA138" i="24"/>
  <c r="AB138" i="24"/>
  <c r="AC138" i="24"/>
  <c r="AD138" i="24"/>
  <c r="AE138" i="24"/>
  <c r="AF138" i="24"/>
  <c r="AG138" i="24"/>
  <c r="AH138" i="24"/>
  <c r="AI138" i="24"/>
  <c r="AJ138" i="24"/>
  <c r="AK138" i="24"/>
  <c r="AL138" i="24"/>
  <c r="AM138" i="24"/>
  <c r="AN138" i="24"/>
  <c r="AO138" i="24"/>
  <c r="AP138" i="24"/>
  <c r="AQ138" i="24"/>
  <c r="AR138" i="24"/>
  <c r="AS138" i="24"/>
  <c r="AT138" i="24"/>
  <c r="AU138" i="24"/>
  <c r="AV138" i="24"/>
  <c r="AW138" i="24"/>
  <c r="AX138" i="24"/>
  <c r="AY138" i="24"/>
  <c r="AZ138" i="24"/>
  <c r="BA138" i="24"/>
  <c r="BB138" i="24"/>
  <c r="BC138" i="24"/>
  <c r="BD138" i="24"/>
  <c r="BE138" i="24"/>
  <c r="BF138" i="24"/>
  <c r="BG138" i="24"/>
  <c r="BH138" i="24"/>
  <c r="BI138" i="24"/>
  <c r="BJ138" i="24"/>
  <c r="BK138" i="24"/>
  <c r="BL138" i="24"/>
  <c r="BM138" i="24"/>
  <c r="BN138" i="24"/>
  <c r="BO138" i="24"/>
  <c r="BP138" i="24"/>
  <c r="BQ138" i="24"/>
  <c r="BR138" i="24"/>
  <c r="BS138" i="24"/>
  <c r="BT138" i="24"/>
  <c r="BU138" i="24"/>
  <c r="BV138" i="24"/>
  <c r="BW138" i="24"/>
  <c r="BX138" i="24"/>
  <c r="BY138" i="24"/>
  <c r="BZ138" i="24"/>
  <c r="CA138" i="24"/>
  <c r="CB138" i="24"/>
  <c r="CC138" i="24"/>
  <c r="CD138" i="24"/>
  <c r="CE138" i="24"/>
  <c r="CF138" i="24"/>
  <c r="CG138" i="24"/>
  <c r="CH138" i="24"/>
  <c r="CI138" i="24"/>
  <c r="CJ138" i="24"/>
  <c r="CK138" i="24"/>
  <c r="CL138" i="24"/>
  <c r="CM138" i="24"/>
  <c r="CN138" i="24"/>
  <c r="CO138" i="24"/>
  <c r="CP138" i="24"/>
  <c r="CQ138" i="24"/>
  <c r="CR138" i="24"/>
  <c r="CS138" i="24"/>
  <c r="CT138" i="24"/>
  <c r="CU138" i="24"/>
  <c r="CV138" i="24"/>
  <c r="CW138" i="24"/>
  <c r="CX138" i="24"/>
  <c r="CY138" i="24"/>
  <c r="CZ138" i="24"/>
  <c r="DA138" i="24"/>
  <c r="DB138" i="24"/>
  <c r="DC138" i="24"/>
  <c r="DD138" i="24"/>
  <c r="DE138" i="24"/>
  <c r="DF138" i="24"/>
  <c r="DG138" i="24"/>
  <c r="DH138" i="24"/>
  <c r="DI138" i="24"/>
  <c r="DJ138" i="24"/>
  <c r="DK138" i="24"/>
  <c r="DL138" i="24"/>
  <c r="DM138" i="24"/>
  <c r="DN138" i="24"/>
  <c r="DO138" i="24"/>
  <c r="DP138" i="24"/>
  <c r="DQ138" i="24"/>
  <c r="DR138" i="24"/>
  <c r="DS138" i="24"/>
  <c r="DT138" i="24"/>
  <c r="DU138" i="24"/>
  <c r="DV138" i="24"/>
  <c r="DW138" i="24"/>
  <c r="DX138" i="24"/>
  <c r="DY138" i="24"/>
  <c r="DZ138" i="24"/>
  <c r="EA138" i="24"/>
  <c r="EB138" i="24"/>
  <c r="EC138" i="24"/>
  <c r="ED138" i="24"/>
  <c r="EE138" i="24"/>
  <c r="EF138" i="24"/>
  <c r="EG138" i="24"/>
  <c r="EH138" i="24"/>
  <c r="EI138" i="24"/>
  <c r="EJ138" i="24"/>
  <c r="EK138" i="24"/>
  <c r="EL138" i="24"/>
  <c r="EM138" i="24"/>
  <c r="EN138" i="24"/>
  <c r="EO138" i="24"/>
  <c r="EP138" i="24"/>
  <c r="EQ138" i="24"/>
  <c r="ER138" i="24"/>
  <c r="ES138" i="24"/>
  <c r="ET138" i="24"/>
  <c r="EU138" i="24"/>
  <c r="EV138" i="24"/>
  <c r="EW138" i="24"/>
  <c r="EX138" i="24"/>
  <c r="EY138" i="24"/>
  <c r="EZ138" i="24"/>
  <c r="FA138" i="24"/>
  <c r="FB138" i="24"/>
  <c r="FC138" i="24"/>
  <c r="FD138" i="24"/>
  <c r="FE138" i="24"/>
  <c r="FF138" i="24"/>
  <c r="FG138" i="24"/>
  <c r="FH138" i="24"/>
  <c r="FI138" i="24"/>
  <c r="FJ138" i="24"/>
  <c r="FK138" i="24"/>
  <c r="FL138" i="24"/>
  <c r="FM138" i="24"/>
  <c r="FN138" i="24"/>
  <c r="FO138" i="24"/>
  <c r="FP138" i="24"/>
  <c r="FQ138" i="24"/>
  <c r="FR138" i="24"/>
  <c r="FS138" i="24"/>
  <c r="FT138" i="24"/>
  <c r="FU138" i="24"/>
  <c r="FV138" i="24"/>
  <c r="FW138" i="24"/>
  <c r="FX138" i="24"/>
  <c r="FY138" i="24"/>
  <c r="FZ138" i="24"/>
  <c r="GA138" i="24"/>
  <c r="GB138" i="24"/>
  <c r="GC138" i="24"/>
  <c r="GD138" i="24"/>
  <c r="GE138" i="24"/>
  <c r="GF138" i="24"/>
  <c r="GG138" i="24"/>
  <c r="GH138" i="24"/>
  <c r="GI138" i="24"/>
  <c r="GJ138" i="24"/>
  <c r="GK138" i="24"/>
  <c r="GL138" i="24"/>
  <c r="GM138" i="24"/>
  <c r="GN138" i="24"/>
  <c r="GO138" i="24"/>
  <c r="GP138" i="24"/>
  <c r="GQ138" i="24"/>
  <c r="GR138" i="24"/>
  <c r="GS138" i="24"/>
  <c r="GT138" i="24"/>
  <c r="E139" i="24"/>
  <c r="F139" i="24"/>
  <c r="G139" i="24"/>
  <c r="H139" i="24"/>
  <c r="I139" i="24"/>
  <c r="J139" i="24"/>
  <c r="K139" i="24"/>
  <c r="L139" i="24"/>
  <c r="M139" i="24"/>
  <c r="N139" i="24"/>
  <c r="O139" i="24"/>
  <c r="P139" i="24"/>
  <c r="Q139" i="24"/>
  <c r="R139" i="24"/>
  <c r="S139" i="24"/>
  <c r="T139" i="24"/>
  <c r="U139" i="24"/>
  <c r="V139" i="24"/>
  <c r="W139" i="24"/>
  <c r="X139" i="24"/>
  <c r="Y139" i="24"/>
  <c r="Z139" i="24"/>
  <c r="AA139" i="24"/>
  <c r="AB139" i="24"/>
  <c r="AC139" i="24"/>
  <c r="AD139" i="24"/>
  <c r="AE139" i="24"/>
  <c r="AF139" i="24"/>
  <c r="AG139" i="24"/>
  <c r="AH139" i="24"/>
  <c r="AI139" i="24"/>
  <c r="AJ139" i="24"/>
  <c r="AK139" i="24"/>
  <c r="AL139" i="24"/>
  <c r="AM139" i="24"/>
  <c r="AN139" i="24"/>
  <c r="AO139" i="24"/>
  <c r="AP139" i="24"/>
  <c r="AQ139" i="24"/>
  <c r="AR139" i="24"/>
  <c r="AS139" i="24"/>
  <c r="AT139" i="24"/>
  <c r="AU139" i="24"/>
  <c r="AV139" i="24"/>
  <c r="AW139" i="24"/>
  <c r="AX139" i="24"/>
  <c r="AY139" i="24"/>
  <c r="AZ139" i="24"/>
  <c r="BA139" i="24"/>
  <c r="BB139" i="24"/>
  <c r="BC139" i="24"/>
  <c r="BD139" i="24"/>
  <c r="BE139" i="24"/>
  <c r="BF139" i="24"/>
  <c r="BG139" i="24"/>
  <c r="BH139" i="24"/>
  <c r="BI139" i="24"/>
  <c r="BJ139" i="24"/>
  <c r="BK139" i="24"/>
  <c r="BL139" i="24"/>
  <c r="BM139" i="24"/>
  <c r="BN139" i="24"/>
  <c r="BO139" i="24"/>
  <c r="BP139" i="24"/>
  <c r="BQ139" i="24"/>
  <c r="BR139" i="24"/>
  <c r="BS139" i="24"/>
  <c r="BT139" i="24"/>
  <c r="BU139" i="24"/>
  <c r="BV139" i="24"/>
  <c r="BW139" i="24"/>
  <c r="BX139" i="24"/>
  <c r="BY139" i="24"/>
  <c r="BZ139" i="24"/>
  <c r="CA139" i="24"/>
  <c r="CB139" i="24"/>
  <c r="CC139" i="24"/>
  <c r="CD139" i="24"/>
  <c r="CE139" i="24"/>
  <c r="CF139" i="24"/>
  <c r="CG139" i="24"/>
  <c r="CH139" i="24"/>
  <c r="CI139" i="24"/>
  <c r="CJ139" i="24"/>
  <c r="CK139" i="24"/>
  <c r="CL139" i="24"/>
  <c r="CM139" i="24"/>
  <c r="CN139" i="24"/>
  <c r="CO139" i="24"/>
  <c r="CP139" i="24"/>
  <c r="CQ139" i="24"/>
  <c r="CR139" i="24"/>
  <c r="CS139" i="24"/>
  <c r="CT139" i="24"/>
  <c r="CU139" i="24"/>
  <c r="CV139" i="24"/>
  <c r="CW139" i="24"/>
  <c r="CX139" i="24"/>
  <c r="CY139" i="24"/>
  <c r="CZ139" i="24"/>
  <c r="DA139" i="24"/>
  <c r="DB139" i="24"/>
  <c r="DC139" i="24"/>
  <c r="DD139" i="24"/>
  <c r="DE139" i="24"/>
  <c r="DF139" i="24"/>
  <c r="DG139" i="24"/>
  <c r="DH139" i="24"/>
  <c r="DI139" i="24"/>
  <c r="DJ139" i="24"/>
  <c r="DK139" i="24"/>
  <c r="DL139" i="24"/>
  <c r="DM139" i="24"/>
  <c r="DN139" i="24"/>
  <c r="DO139" i="24"/>
  <c r="DP139" i="24"/>
  <c r="DQ139" i="24"/>
  <c r="DR139" i="24"/>
  <c r="DS139" i="24"/>
  <c r="DT139" i="24"/>
  <c r="DU139" i="24"/>
  <c r="DV139" i="24"/>
  <c r="DW139" i="24"/>
  <c r="DX139" i="24"/>
  <c r="DY139" i="24"/>
  <c r="DZ139" i="24"/>
  <c r="EA139" i="24"/>
  <c r="EB139" i="24"/>
  <c r="EC139" i="24"/>
  <c r="ED139" i="24"/>
  <c r="EE139" i="24"/>
  <c r="EF139" i="24"/>
  <c r="EG139" i="24"/>
  <c r="EH139" i="24"/>
  <c r="EI139" i="24"/>
  <c r="EJ139" i="24"/>
  <c r="EK139" i="24"/>
  <c r="EL139" i="24"/>
  <c r="EM139" i="24"/>
  <c r="EN139" i="24"/>
  <c r="EO139" i="24"/>
  <c r="EP139" i="24"/>
  <c r="EQ139" i="24"/>
  <c r="ER139" i="24"/>
  <c r="ES139" i="24"/>
  <c r="ET139" i="24"/>
  <c r="EU139" i="24"/>
  <c r="EV139" i="24"/>
  <c r="EW139" i="24"/>
  <c r="EX139" i="24"/>
  <c r="EY139" i="24"/>
  <c r="EZ139" i="24"/>
  <c r="FA139" i="24"/>
  <c r="FB139" i="24"/>
  <c r="FC139" i="24"/>
  <c r="FD139" i="24"/>
  <c r="FE139" i="24"/>
  <c r="FF139" i="24"/>
  <c r="FG139" i="24"/>
  <c r="FH139" i="24"/>
  <c r="FI139" i="24"/>
  <c r="FJ139" i="24"/>
  <c r="FK139" i="24"/>
  <c r="FL139" i="24"/>
  <c r="FM139" i="24"/>
  <c r="FN139" i="24"/>
  <c r="FO139" i="24"/>
  <c r="FP139" i="24"/>
  <c r="FQ139" i="24"/>
  <c r="FR139" i="24"/>
  <c r="FS139" i="24"/>
  <c r="FT139" i="24"/>
  <c r="FU139" i="24"/>
  <c r="FV139" i="24"/>
  <c r="FW139" i="24"/>
  <c r="FX139" i="24"/>
  <c r="FY139" i="24"/>
  <c r="FZ139" i="24"/>
  <c r="GA139" i="24"/>
  <c r="GB139" i="24"/>
  <c r="GC139" i="24"/>
  <c r="GD139" i="24"/>
  <c r="GE139" i="24"/>
  <c r="GF139" i="24"/>
  <c r="GG139" i="24"/>
  <c r="GH139" i="24"/>
  <c r="GI139" i="24"/>
  <c r="GJ139" i="24"/>
  <c r="GK139" i="24"/>
  <c r="GL139" i="24"/>
  <c r="GM139" i="24"/>
  <c r="GN139" i="24"/>
  <c r="GO139" i="24"/>
  <c r="GP139" i="24"/>
  <c r="GQ139" i="24"/>
  <c r="GR139" i="24"/>
  <c r="GS139" i="24"/>
  <c r="GT139" i="24"/>
  <c r="E140" i="24"/>
  <c r="F140" i="24"/>
  <c r="G140" i="24"/>
  <c r="H140" i="24"/>
  <c r="I140" i="24"/>
  <c r="J140" i="24"/>
  <c r="K140" i="24"/>
  <c r="L140" i="24"/>
  <c r="M140" i="24"/>
  <c r="N140" i="24"/>
  <c r="O140" i="24"/>
  <c r="P140" i="24"/>
  <c r="Q140" i="24"/>
  <c r="R140" i="24"/>
  <c r="S140" i="24"/>
  <c r="T140" i="24"/>
  <c r="U140" i="24"/>
  <c r="V140" i="24"/>
  <c r="W140" i="24"/>
  <c r="X140" i="24"/>
  <c r="Y140" i="24"/>
  <c r="Z140" i="24"/>
  <c r="AA140" i="24"/>
  <c r="AB140" i="24"/>
  <c r="AC140" i="24"/>
  <c r="AD140" i="24"/>
  <c r="AE140" i="24"/>
  <c r="AF140" i="24"/>
  <c r="AG140" i="24"/>
  <c r="AH140" i="24"/>
  <c r="AI140" i="24"/>
  <c r="AJ140" i="24"/>
  <c r="AK140" i="24"/>
  <c r="AL140" i="24"/>
  <c r="AM140" i="24"/>
  <c r="AN140" i="24"/>
  <c r="AO140" i="24"/>
  <c r="AP140" i="24"/>
  <c r="AQ140" i="24"/>
  <c r="AR140" i="24"/>
  <c r="AS140" i="24"/>
  <c r="AT140" i="24"/>
  <c r="AU140" i="24"/>
  <c r="AV140" i="24"/>
  <c r="AW140" i="24"/>
  <c r="AX140" i="24"/>
  <c r="AY140" i="24"/>
  <c r="AZ140" i="24"/>
  <c r="BA140" i="24"/>
  <c r="BB140" i="24"/>
  <c r="BC140" i="24"/>
  <c r="BD140" i="24"/>
  <c r="BE140" i="24"/>
  <c r="BF140" i="24"/>
  <c r="BG140" i="24"/>
  <c r="BH140" i="24"/>
  <c r="BI140" i="24"/>
  <c r="BJ140" i="24"/>
  <c r="BK140" i="24"/>
  <c r="BL140" i="24"/>
  <c r="BM140" i="24"/>
  <c r="BN140" i="24"/>
  <c r="BO140" i="24"/>
  <c r="BP140" i="24"/>
  <c r="BQ140" i="24"/>
  <c r="BR140" i="24"/>
  <c r="BS140" i="24"/>
  <c r="BT140" i="24"/>
  <c r="BU140" i="24"/>
  <c r="BV140" i="24"/>
  <c r="BW140" i="24"/>
  <c r="BX140" i="24"/>
  <c r="BY140" i="24"/>
  <c r="BZ140" i="24"/>
  <c r="CA140" i="24"/>
  <c r="CB140" i="24"/>
  <c r="CC140" i="24"/>
  <c r="CD140" i="24"/>
  <c r="CE140" i="24"/>
  <c r="CF140" i="24"/>
  <c r="CG140" i="24"/>
  <c r="CH140" i="24"/>
  <c r="CI140" i="24"/>
  <c r="CJ140" i="24"/>
  <c r="CK140" i="24"/>
  <c r="CL140" i="24"/>
  <c r="CM140" i="24"/>
  <c r="CN140" i="24"/>
  <c r="CO140" i="24"/>
  <c r="CP140" i="24"/>
  <c r="CQ140" i="24"/>
  <c r="CR140" i="24"/>
  <c r="CS140" i="24"/>
  <c r="CT140" i="24"/>
  <c r="CU140" i="24"/>
  <c r="CV140" i="24"/>
  <c r="CW140" i="24"/>
  <c r="CX140" i="24"/>
  <c r="CY140" i="24"/>
  <c r="CZ140" i="24"/>
  <c r="DA140" i="24"/>
  <c r="DB140" i="24"/>
  <c r="DC140" i="24"/>
  <c r="DD140" i="24"/>
  <c r="DE140" i="24"/>
  <c r="DF140" i="24"/>
  <c r="DG140" i="24"/>
  <c r="DH140" i="24"/>
  <c r="DI140" i="24"/>
  <c r="DJ140" i="24"/>
  <c r="DK140" i="24"/>
  <c r="DL140" i="24"/>
  <c r="DM140" i="24"/>
  <c r="DN140" i="24"/>
  <c r="DO140" i="24"/>
  <c r="DP140" i="24"/>
  <c r="DQ140" i="24"/>
  <c r="DR140" i="24"/>
  <c r="DS140" i="24"/>
  <c r="DT140" i="24"/>
  <c r="DU140" i="24"/>
  <c r="DV140" i="24"/>
  <c r="DW140" i="24"/>
  <c r="DX140" i="24"/>
  <c r="DY140" i="24"/>
  <c r="DZ140" i="24"/>
  <c r="EA140" i="24"/>
  <c r="EB140" i="24"/>
  <c r="EC140" i="24"/>
  <c r="ED140" i="24"/>
  <c r="EE140" i="24"/>
  <c r="EF140" i="24"/>
  <c r="EG140" i="24"/>
  <c r="EH140" i="24"/>
  <c r="EI140" i="24"/>
  <c r="EJ140" i="24"/>
  <c r="EK140" i="24"/>
  <c r="EL140" i="24"/>
  <c r="EM140" i="24"/>
  <c r="EN140" i="24"/>
  <c r="EO140" i="24"/>
  <c r="EP140" i="24"/>
  <c r="EQ140" i="24"/>
  <c r="ER140" i="24"/>
  <c r="ES140" i="24"/>
  <c r="ET140" i="24"/>
  <c r="EU140" i="24"/>
  <c r="EV140" i="24"/>
  <c r="EW140" i="24"/>
  <c r="EX140" i="24"/>
  <c r="EY140" i="24"/>
  <c r="EZ140" i="24"/>
  <c r="FA140" i="24"/>
  <c r="FB140" i="24"/>
  <c r="FC140" i="24"/>
  <c r="FD140" i="24"/>
  <c r="FE140" i="24"/>
  <c r="FF140" i="24"/>
  <c r="FG140" i="24"/>
  <c r="FH140" i="24"/>
  <c r="FI140" i="24"/>
  <c r="FJ140" i="24"/>
  <c r="FK140" i="24"/>
  <c r="FL140" i="24"/>
  <c r="FM140" i="24"/>
  <c r="FN140" i="24"/>
  <c r="FO140" i="24"/>
  <c r="FP140" i="24"/>
  <c r="FQ140" i="24"/>
  <c r="FR140" i="24"/>
  <c r="FS140" i="24"/>
  <c r="FT140" i="24"/>
  <c r="FU140" i="24"/>
  <c r="FV140" i="24"/>
  <c r="FW140" i="24"/>
  <c r="FX140" i="24"/>
  <c r="FY140" i="24"/>
  <c r="FZ140" i="24"/>
  <c r="GA140" i="24"/>
  <c r="GB140" i="24"/>
  <c r="GC140" i="24"/>
  <c r="GD140" i="24"/>
  <c r="GE140" i="24"/>
  <c r="GF140" i="24"/>
  <c r="GG140" i="24"/>
  <c r="GH140" i="24"/>
  <c r="GI140" i="24"/>
  <c r="GJ140" i="24"/>
  <c r="GK140" i="24"/>
  <c r="GL140" i="24"/>
  <c r="GM140" i="24"/>
  <c r="GN140" i="24"/>
  <c r="GO140" i="24"/>
  <c r="GP140" i="24"/>
  <c r="GQ140" i="24"/>
  <c r="GR140" i="24"/>
  <c r="GS140" i="24"/>
  <c r="GT140" i="24"/>
  <c r="E141" i="24"/>
  <c r="F141" i="24"/>
  <c r="G141" i="24"/>
  <c r="H141" i="24"/>
  <c r="I141" i="24"/>
  <c r="J141" i="24"/>
  <c r="K141" i="24"/>
  <c r="L141" i="24"/>
  <c r="M141" i="24"/>
  <c r="N141" i="24"/>
  <c r="O141" i="24"/>
  <c r="P141" i="24"/>
  <c r="Q141" i="24"/>
  <c r="R141" i="24"/>
  <c r="S141" i="24"/>
  <c r="T141" i="24"/>
  <c r="U141" i="24"/>
  <c r="V141" i="24"/>
  <c r="W141" i="24"/>
  <c r="X141" i="24"/>
  <c r="Y141" i="24"/>
  <c r="Z141" i="24"/>
  <c r="AA141" i="24"/>
  <c r="AB141" i="24"/>
  <c r="AC141" i="24"/>
  <c r="AD141" i="24"/>
  <c r="AE141" i="24"/>
  <c r="AF141" i="24"/>
  <c r="AG141" i="24"/>
  <c r="AH141" i="24"/>
  <c r="AI141" i="24"/>
  <c r="AJ141" i="24"/>
  <c r="AK141" i="24"/>
  <c r="AL141" i="24"/>
  <c r="AM141" i="24"/>
  <c r="AN141" i="24"/>
  <c r="AO141" i="24"/>
  <c r="AP141" i="24"/>
  <c r="AQ141" i="24"/>
  <c r="AR141" i="24"/>
  <c r="AS141" i="24"/>
  <c r="AT141" i="24"/>
  <c r="AU141" i="24"/>
  <c r="AV141" i="24"/>
  <c r="AW141" i="24"/>
  <c r="AX141" i="24"/>
  <c r="AY141" i="24"/>
  <c r="AZ141" i="24"/>
  <c r="BA141" i="24"/>
  <c r="BB141" i="24"/>
  <c r="BC141" i="24"/>
  <c r="BD141" i="24"/>
  <c r="BE141" i="24"/>
  <c r="BF141" i="24"/>
  <c r="BG141" i="24"/>
  <c r="BH141" i="24"/>
  <c r="BI141" i="24"/>
  <c r="BJ141" i="24"/>
  <c r="BK141" i="24"/>
  <c r="BL141" i="24"/>
  <c r="BM141" i="24"/>
  <c r="BN141" i="24"/>
  <c r="BO141" i="24"/>
  <c r="BP141" i="24"/>
  <c r="BQ141" i="24"/>
  <c r="BR141" i="24"/>
  <c r="BS141" i="24"/>
  <c r="BT141" i="24"/>
  <c r="BU141" i="24"/>
  <c r="BV141" i="24"/>
  <c r="BW141" i="24"/>
  <c r="BX141" i="24"/>
  <c r="BY141" i="24"/>
  <c r="BZ141" i="24"/>
  <c r="CA141" i="24"/>
  <c r="CB141" i="24"/>
  <c r="CC141" i="24"/>
  <c r="CD141" i="24"/>
  <c r="CE141" i="24"/>
  <c r="CF141" i="24"/>
  <c r="CG141" i="24"/>
  <c r="CH141" i="24"/>
  <c r="CI141" i="24"/>
  <c r="CJ141" i="24"/>
  <c r="CK141" i="24"/>
  <c r="CL141" i="24"/>
  <c r="CM141" i="24"/>
  <c r="CN141" i="24"/>
  <c r="CO141" i="24"/>
  <c r="CP141" i="24"/>
  <c r="CQ141" i="24"/>
  <c r="CR141" i="24"/>
  <c r="CS141" i="24"/>
  <c r="CT141" i="24"/>
  <c r="CU141" i="24"/>
  <c r="CV141" i="24"/>
  <c r="CW141" i="24"/>
  <c r="CX141" i="24"/>
  <c r="CY141" i="24"/>
  <c r="CZ141" i="24"/>
  <c r="DA141" i="24"/>
  <c r="DB141" i="24"/>
  <c r="DC141" i="24"/>
  <c r="DD141" i="24"/>
  <c r="DE141" i="24"/>
  <c r="DF141" i="24"/>
  <c r="DG141" i="24"/>
  <c r="DH141" i="24"/>
  <c r="DI141" i="24"/>
  <c r="DJ141" i="24"/>
  <c r="DK141" i="24"/>
  <c r="DL141" i="24"/>
  <c r="DM141" i="24"/>
  <c r="DN141" i="24"/>
  <c r="DO141" i="24"/>
  <c r="DP141" i="24"/>
  <c r="DQ141" i="24"/>
  <c r="DR141" i="24"/>
  <c r="DS141" i="24"/>
  <c r="DT141" i="24"/>
  <c r="DU141" i="24"/>
  <c r="DV141" i="24"/>
  <c r="DW141" i="24"/>
  <c r="DX141" i="24"/>
  <c r="DY141" i="24"/>
  <c r="DZ141" i="24"/>
  <c r="EA141" i="24"/>
  <c r="EB141" i="24"/>
  <c r="EC141" i="24"/>
  <c r="ED141" i="24"/>
  <c r="EE141" i="24"/>
  <c r="EF141" i="24"/>
  <c r="EG141" i="24"/>
  <c r="EH141" i="24"/>
  <c r="EI141" i="24"/>
  <c r="EJ141" i="24"/>
  <c r="EK141" i="24"/>
  <c r="EL141" i="24"/>
  <c r="EM141" i="24"/>
  <c r="EN141" i="24"/>
  <c r="EO141" i="24"/>
  <c r="EP141" i="24"/>
  <c r="EQ141" i="24"/>
  <c r="ER141" i="24"/>
  <c r="ES141" i="24"/>
  <c r="ET141" i="24"/>
  <c r="EU141" i="24"/>
  <c r="EV141" i="24"/>
  <c r="EW141" i="24"/>
  <c r="EX141" i="24"/>
  <c r="EY141" i="24"/>
  <c r="EZ141" i="24"/>
  <c r="FA141" i="24"/>
  <c r="FB141" i="24"/>
  <c r="FC141" i="24"/>
  <c r="FD141" i="24"/>
  <c r="FE141" i="24"/>
  <c r="FF141" i="24"/>
  <c r="FG141" i="24"/>
  <c r="FH141" i="24"/>
  <c r="FI141" i="24"/>
  <c r="FJ141" i="24"/>
  <c r="FK141" i="24"/>
  <c r="FL141" i="24"/>
  <c r="FM141" i="24"/>
  <c r="FN141" i="24"/>
  <c r="FO141" i="24"/>
  <c r="FP141" i="24"/>
  <c r="FQ141" i="24"/>
  <c r="FR141" i="24"/>
  <c r="FS141" i="24"/>
  <c r="FT141" i="24"/>
  <c r="FU141" i="24"/>
  <c r="FV141" i="24"/>
  <c r="FW141" i="24"/>
  <c r="FX141" i="24"/>
  <c r="FY141" i="24"/>
  <c r="FZ141" i="24"/>
  <c r="GA141" i="24"/>
  <c r="GB141" i="24"/>
  <c r="GC141" i="24"/>
  <c r="GD141" i="24"/>
  <c r="GE141" i="24"/>
  <c r="GF141" i="24"/>
  <c r="GG141" i="24"/>
  <c r="GH141" i="24"/>
  <c r="GI141" i="24"/>
  <c r="GJ141" i="24"/>
  <c r="GK141" i="24"/>
  <c r="GL141" i="24"/>
  <c r="GM141" i="24"/>
  <c r="GN141" i="24"/>
  <c r="GO141" i="24"/>
  <c r="GP141" i="24"/>
  <c r="GQ141" i="24"/>
  <c r="GR141" i="24"/>
  <c r="GS141" i="24"/>
  <c r="GT141" i="24"/>
  <c r="E142" i="24"/>
  <c r="F142" i="24"/>
  <c r="G142" i="24"/>
  <c r="H142" i="24"/>
  <c r="I142" i="24"/>
  <c r="J142" i="24"/>
  <c r="K142" i="24"/>
  <c r="L142" i="24"/>
  <c r="M142" i="24"/>
  <c r="N142" i="24"/>
  <c r="O142" i="24"/>
  <c r="P142" i="24"/>
  <c r="Q142" i="24"/>
  <c r="R142" i="24"/>
  <c r="S142" i="24"/>
  <c r="T142" i="24"/>
  <c r="U142" i="24"/>
  <c r="V142" i="24"/>
  <c r="W142" i="24"/>
  <c r="X142" i="24"/>
  <c r="Y142" i="24"/>
  <c r="Z142" i="24"/>
  <c r="AA142" i="24"/>
  <c r="AB142" i="24"/>
  <c r="AC142" i="24"/>
  <c r="AD142" i="24"/>
  <c r="AE142" i="24"/>
  <c r="AF142" i="24"/>
  <c r="AG142" i="24"/>
  <c r="AH142" i="24"/>
  <c r="AI142" i="24"/>
  <c r="AJ142" i="24"/>
  <c r="AK142" i="24"/>
  <c r="AL142" i="24"/>
  <c r="AM142" i="24"/>
  <c r="AN142" i="24"/>
  <c r="AO142" i="24"/>
  <c r="AP142" i="24"/>
  <c r="AQ142" i="24"/>
  <c r="AR142" i="24"/>
  <c r="AS142" i="24"/>
  <c r="AT142" i="24"/>
  <c r="AU142" i="24"/>
  <c r="AV142" i="24"/>
  <c r="AW142" i="24"/>
  <c r="AX142" i="24"/>
  <c r="AY142" i="24"/>
  <c r="AZ142" i="24"/>
  <c r="BA142" i="24"/>
  <c r="BB142" i="24"/>
  <c r="BC142" i="24"/>
  <c r="BD142" i="24"/>
  <c r="BE142" i="24"/>
  <c r="BF142" i="24"/>
  <c r="BG142" i="24"/>
  <c r="BH142" i="24"/>
  <c r="BI142" i="24"/>
  <c r="BJ142" i="24"/>
  <c r="BK142" i="24"/>
  <c r="BL142" i="24"/>
  <c r="BM142" i="24"/>
  <c r="BN142" i="24"/>
  <c r="BO142" i="24"/>
  <c r="BP142" i="24"/>
  <c r="BQ142" i="24"/>
  <c r="BR142" i="24"/>
  <c r="BS142" i="24"/>
  <c r="BT142" i="24"/>
  <c r="BU142" i="24"/>
  <c r="BV142" i="24"/>
  <c r="BW142" i="24"/>
  <c r="BX142" i="24"/>
  <c r="BY142" i="24"/>
  <c r="BZ142" i="24"/>
  <c r="CA142" i="24"/>
  <c r="CB142" i="24"/>
  <c r="CC142" i="24"/>
  <c r="CD142" i="24"/>
  <c r="CE142" i="24"/>
  <c r="CF142" i="24"/>
  <c r="CG142" i="24"/>
  <c r="CH142" i="24"/>
  <c r="CI142" i="24"/>
  <c r="CJ142" i="24"/>
  <c r="CK142" i="24"/>
  <c r="CL142" i="24"/>
  <c r="CM142" i="24"/>
  <c r="CN142" i="24"/>
  <c r="CO142" i="24"/>
  <c r="CP142" i="24"/>
  <c r="CQ142" i="24"/>
  <c r="CR142" i="24"/>
  <c r="CS142" i="24"/>
  <c r="CT142" i="24"/>
  <c r="CU142" i="24"/>
  <c r="CV142" i="24"/>
  <c r="CW142" i="24"/>
  <c r="CX142" i="24"/>
  <c r="CY142" i="24"/>
  <c r="CZ142" i="24"/>
  <c r="DA142" i="24"/>
  <c r="DB142" i="24"/>
  <c r="DC142" i="24"/>
  <c r="DD142" i="24"/>
  <c r="DE142" i="24"/>
  <c r="DF142" i="24"/>
  <c r="DG142" i="24"/>
  <c r="DH142" i="24"/>
  <c r="DI142" i="24"/>
  <c r="DJ142" i="24"/>
  <c r="DK142" i="24"/>
  <c r="DL142" i="24"/>
  <c r="DM142" i="24"/>
  <c r="DN142" i="24"/>
  <c r="DO142" i="24"/>
  <c r="DP142" i="24"/>
  <c r="DQ142" i="24"/>
  <c r="DR142" i="24"/>
  <c r="DS142" i="24"/>
  <c r="DT142" i="24"/>
  <c r="DU142" i="24"/>
  <c r="DV142" i="24"/>
  <c r="DW142" i="24"/>
  <c r="DX142" i="24"/>
  <c r="DY142" i="24"/>
  <c r="DZ142" i="24"/>
  <c r="EA142" i="24"/>
  <c r="EB142" i="24"/>
  <c r="EC142" i="24"/>
  <c r="ED142" i="24"/>
  <c r="EE142" i="24"/>
  <c r="EF142" i="24"/>
  <c r="EG142" i="24"/>
  <c r="EH142" i="24"/>
  <c r="EI142" i="24"/>
  <c r="EJ142" i="24"/>
  <c r="EK142" i="24"/>
  <c r="EL142" i="24"/>
  <c r="EM142" i="24"/>
  <c r="EN142" i="24"/>
  <c r="EO142" i="24"/>
  <c r="EP142" i="24"/>
  <c r="EQ142" i="24"/>
  <c r="ER142" i="24"/>
  <c r="ES142" i="24"/>
  <c r="ET142" i="24"/>
  <c r="EU142" i="24"/>
  <c r="EV142" i="24"/>
  <c r="EW142" i="24"/>
  <c r="EX142" i="24"/>
  <c r="EY142" i="24"/>
  <c r="EZ142" i="24"/>
  <c r="FA142" i="24"/>
  <c r="FB142" i="24"/>
  <c r="FC142" i="24"/>
  <c r="FD142" i="24"/>
  <c r="FE142" i="24"/>
  <c r="FF142" i="24"/>
  <c r="FG142" i="24"/>
  <c r="FH142" i="24"/>
  <c r="FI142" i="24"/>
  <c r="FJ142" i="24"/>
  <c r="FK142" i="24"/>
  <c r="FL142" i="24"/>
  <c r="FM142" i="24"/>
  <c r="FN142" i="24"/>
  <c r="FO142" i="24"/>
  <c r="FP142" i="24"/>
  <c r="FQ142" i="24"/>
  <c r="FR142" i="24"/>
  <c r="FS142" i="24"/>
  <c r="FT142" i="24"/>
  <c r="FU142" i="24"/>
  <c r="FV142" i="24"/>
  <c r="FW142" i="24"/>
  <c r="FX142" i="24"/>
  <c r="FY142" i="24"/>
  <c r="FZ142" i="24"/>
  <c r="GA142" i="24"/>
  <c r="GB142" i="24"/>
  <c r="GC142" i="24"/>
  <c r="GD142" i="24"/>
  <c r="GE142" i="24"/>
  <c r="GF142" i="24"/>
  <c r="GG142" i="24"/>
  <c r="GH142" i="24"/>
  <c r="GI142" i="24"/>
  <c r="GJ142" i="24"/>
  <c r="GK142" i="24"/>
  <c r="GL142" i="24"/>
  <c r="GM142" i="24"/>
  <c r="GN142" i="24"/>
  <c r="GO142" i="24"/>
  <c r="GP142" i="24"/>
  <c r="GQ142" i="24"/>
  <c r="GR142" i="24"/>
  <c r="GS142" i="24"/>
  <c r="GT142" i="24"/>
  <c r="E143" i="24"/>
  <c r="F143" i="24"/>
  <c r="G143" i="24"/>
  <c r="H143" i="24"/>
  <c r="I143" i="24"/>
  <c r="J143" i="24"/>
  <c r="K143" i="24"/>
  <c r="L143" i="24"/>
  <c r="M143" i="24"/>
  <c r="N143" i="24"/>
  <c r="O143" i="24"/>
  <c r="P143" i="24"/>
  <c r="Q143" i="24"/>
  <c r="R143" i="24"/>
  <c r="S143" i="24"/>
  <c r="T143" i="24"/>
  <c r="U143" i="24"/>
  <c r="V143" i="24"/>
  <c r="W143" i="24"/>
  <c r="X143" i="24"/>
  <c r="Y143" i="24"/>
  <c r="Z143" i="24"/>
  <c r="AA143" i="24"/>
  <c r="AB143" i="24"/>
  <c r="AC143" i="24"/>
  <c r="AD143" i="24"/>
  <c r="AE143" i="24"/>
  <c r="AF143" i="24"/>
  <c r="AG143" i="24"/>
  <c r="AH143" i="24"/>
  <c r="AI143" i="24"/>
  <c r="AJ143" i="24"/>
  <c r="AK143" i="24"/>
  <c r="AL143" i="24"/>
  <c r="AM143" i="24"/>
  <c r="AN143" i="24"/>
  <c r="AO143" i="24"/>
  <c r="AP143" i="24"/>
  <c r="AQ143" i="24"/>
  <c r="AR143" i="24"/>
  <c r="AS143" i="24"/>
  <c r="AT143" i="24"/>
  <c r="AU143" i="24"/>
  <c r="AV143" i="24"/>
  <c r="AW143" i="24"/>
  <c r="AX143" i="24"/>
  <c r="AY143" i="24"/>
  <c r="AZ143" i="24"/>
  <c r="BA143" i="24"/>
  <c r="BB143" i="24"/>
  <c r="BC143" i="24"/>
  <c r="BD143" i="24"/>
  <c r="BE143" i="24"/>
  <c r="BF143" i="24"/>
  <c r="BG143" i="24"/>
  <c r="BH143" i="24"/>
  <c r="BI143" i="24"/>
  <c r="BJ143" i="24"/>
  <c r="BK143" i="24"/>
  <c r="BL143" i="24"/>
  <c r="BM143" i="24"/>
  <c r="BN143" i="24"/>
  <c r="BO143" i="24"/>
  <c r="BP143" i="24"/>
  <c r="BQ143" i="24"/>
  <c r="BR143" i="24"/>
  <c r="BS143" i="24"/>
  <c r="BT143" i="24"/>
  <c r="BU143" i="24"/>
  <c r="BV143" i="24"/>
  <c r="BW143" i="24"/>
  <c r="BX143" i="24"/>
  <c r="BY143" i="24"/>
  <c r="BZ143" i="24"/>
  <c r="CA143" i="24"/>
  <c r="CB143" i="24"/>
  <c r="CC143" i="24"/>
  <c r="CD143" i="24"/>
  <c r="CE143" i="24"/>
  <c r="CF143" i="24"/>
  <c r="CG143" i="24"/>
  <c r="CH143" i="24"/>
  <c r="CI143" i="24"/>
  <c r="CJ143" i="24"/>
  <c r="CK143" i="24"/>
  <c r="CL143" i="24"/>
  <c r="CM143" i="24"/>
  <c r="CN143" i="24"/>
  <c r="CO143" i="24"/>
  <c r="CP143" i="24"/>
  <c r="CQ143" i="24"/>
  <c r="CR143" i="24"/>
  <c r="CS143" i="24"/>
  <c r="CT143" i="24"/>
  <c r="CU143" i="24"/>
  <c r="CV143" i="24"/>
  <c r="CW143" i="24"/>
  <c r="CX143" i="24"/>
  <c r="CY143" i="24"/>
  <c r="CZ143" i="24"/>
  <c r="DA143" i="24"/>
  <c r="DB143" i="24"/>
  <c r="DC143" i="24"/>
  <c r="DD143" i="24"/>
  <c r="DE143" i="24"/>
  <c r="DF143" i="24"/>
  <c r="DG143" i="24"/>
  <c r="DH143" i="24"/>
  <c r="DI143" i="24"/>
  <c r="DJ143" i="24"/>
  <c r="DK143" i="24"/>
  <c r="DL143" i="24"/>
  <c r="DM143" i="24"/>
  <c r="DN143" i="24"/>
  <c r="DO143" i="24"/>
  <c r="DP143" i="24"/>
  <c r="DQ143" i="24"/>
  <c r="DR143" i="24"/>
  <c r="DS143" i="24"/>
  <c r="DT143" i="24"/>
  <c r="DU143" i="24"/>
  <c r="DV143" i="24"/>
  <c r="DW143" i="24"/>
  <c r="DX143" i="24"/>
  <c r="DY143" i="24"/>
  <c r="DZ143" i="24"/>
  <c r="EA143" i="24"/>
  <c r="EB143" i="24"/>
  <c r="EC143" i="24"/>
  <c r="ED143" i="24"/>
  <c r="EE143" i="24"/>
  <c r="EF143" i="24"/>
  <c r="EG143" i="24"/>
  <c r="EH143" i="24"/>
  <c r="EI143" i="24"/>
  <c r="EJ143" i="24"/>
  <c r="EK143" i="24"/>
  <c r="EL143" i="24"/>
  <c r="EM143" i="24"/>
  <c r="EN143" i="24"/>
  <c r="EO143" i="24"/>
  <c r="EP143" i="24"/>
  <c r="EQ143" i="24"/>
  <c r="ER143" i="24"/>
  <c r="ES143" i="24"/>
  <c r="ET143" i="24"/>
  <c r="EU143" i="24"/>
  <c r="EV143" i="24"/>
  <c r="EW143" i="24"/>
  <c r="EX143" i="24"/>
  <c r="EY143" i="24"/>
  <c r="EZ143" i="24"/>
  <c r="FA143" i="24"/>
  <c r="FB143" i="24"/>
  <c r="FC143" i="24"/>
  <c r="FD143" i="24"/>
  <c r="FE143" i="24"/>
  <c r="FF143" i="24"/>
  <c r="FG143" i="24"/>
  <c r="FH143" i="24"/>
  <c r="FI143" i="24"/>
  <c r="FJ143" i="24"/>
  <c r="FK143" i="24"/>
  <c r="FL143" i="24"/>
  <c r="FM143" i="24"/>
  <c r="FN143" i="24"/>
  <c r="FO143" i="24"/>
  <c r="FP143" i="24"/>
  <c r="FQ143" i="24"/>
  <c r="FR143" i="24"/>
  <c r="FS143" i="24"/>
  <c r="FT143" i="24"/>
  <c r="FU143" i="24"/>
  <c r="FV143" i="24"/>
  <c r="FW143" i="24"/>
  <c r="FX143" i="24"/>
  <c r="FY143" i="24"/>
  <c r="FZ143" i="24"/>
  <c r="GA143" i="24"/>
  <c r="GB143" i="24"/>
  <c r="GC143" i="24"/>
  <c r="GD143" i="24"/>
  <c r="GE143" i="24"/>
  <c r="GF143" i="24"/>
  <c r="GG143" i="24"/>
  <c r="GH143" i="24"/>
  <c r="GI143" i="24"/>
  <c r="GJ143" i="24"/>
  <c r="GK143" i="24"/>
  <c r="GL143" i="24"/>
  <c r="GM143" i="24"/>
  <c r="GN143" i="24"/>
  <c r="GO143" i="24"/>
  <c r="GP143" i="24"/>
  <c r="GQ143" i="24"/>
  <c r="GR143" i="24"/>
  <c r="GS143" i="24"/>
  <c r="GT143" i="24"/>
  <c r="E144" i="24"/>
  <c r="F144" i="24"/>
  <c r="G144" i="24"/>
  <c r="H144" i="24"/>
  <c r="I144" i="24"/>
  <c r="J144" i="24"/>
  <c r="K144" i="24"/>
  <c r="L144" i="24"/>
  <c r="M144" i="24"/>
  <c r="N144" i="24"/>
  <c r="O144" i="24"/>
  <c r="P144" i="24"/>
  <c r="Q144" i="24"/>
  <c r="R144" i="24"/>
  <c r="S144" i="24"/>
  <c r="T144" i="24"/>
  <c r="U144" i="24"/>
  <c r="V144" i="24"/>
  <c r="W144" i="24"/>
  <c r="X144" i="24"/>
  <c r="Y144" i="24"/>
  <c r="Z144" i="24"/>
  <c r="AA144" i="24"/>
  <c r="AB144" i="24"/>
  <c r="AC144" i="24"/>
  <c r="AD144" i="24"/>
  <c r="AE144" i="24"/>
  <c r="AF144" i="24"/>
  <c r="AG144" i="24"/>
  <c r="AH144" i="24"/>
  <c r="AI144" i="24"/>
  <c r="AJ144" i="24"/>
  <c r="AK144" i="24"/>
  <c r="AL144" i="24"/>
  <c r="AM144" i="24"/>
  <c r="AN144" i="24"/>
  <c r="AO144" i="24"/>
  <c r="AP144" i="24"/>
  <c r="AQ144" i="24"/>
  <c r="AR144" i="24"/>
  <c r="AS144" i="24"/>
  <c r="AT144" i="24"/>
  <c r="AU144" i="24"/>
  <c r="AV144" i="24"/>
  <c r="AW144" i="24"/>
  <c r="AX144" i="24"/>
  <c r="AY144" i="24"/>
  <c r="AZ144" i="24"/>
  <c r="BA144" i="24"/>
  <c r="BB144" i="24"/>
  <c r="BC144" i="24"/>
  <c r="BD144" i="24"/>
  <c r="BE144" i="24"/>
  <c r="BF144" i="24"/>
  <c r="BG144" i="24"/>
  <c r="BH144" i="24"/>
  <c r="BI144" i="24"/>
  <c r="BJ144" i="24"/>
  <c r="BK144" i="24"/>
  <c r="BL144" i="24"/>
  <c r="BM144" i="24"/>
  <c r="BN144" i="24"/>
  <c r="BO144" i="24"/>
  <c r="BP144" i="24"/>
  <c r="BQ144" i="24"/>
  <c r="BR144" i="24"/>
  <c r="BS144" i="24"/>
  <c r="BT144" i="24"/>
  <c r="BU144" i="24"/>
  <c r="BV144" i="24"/>
  <c r="BW144" i="24"/>
  <c r="BX144" i="24"/>
  <c r="BY144" i="24"/>
  <c r="BZ144" i="24"/>
  <c r="CA144" i="24"/>
  <c r="CB144" i="24"/>
  <c r="CC144" i="24"/>
  <c r="CD144" i="24"/>
  <c r="CE144" i="24"/>
  <c r="CF144" i="24"/>
  <c r="CG144" i="24"/>
  <c r="CH144" i="24"/>
  <c r="CI144" i="24"/>
  <c r="CJ144" i="24"/>
  <c r="CK144" i="24"/>
  <c r="CL144" i="24"/>
  <c r="CM144" i="24"/>
  <c r="CN144" i="24"/>
  <c r="CO144" i="24"/>
  <c r="CP144" i="24"/>
  <c r="CQ144" i="24"/>
  <c r="CR144" i="24"/>
  <c r="CS144" i="24"/>
  <c r="CT144" i="24"/>
  <c r="CU144" i="24"/>
  <c r="CV144" i="24"/>
  <c r="CW144" i="24"/>
  <c r="CX144" i="24"/>
  <c r="CY144" i="24"/>
  <c r="CZ144" i="24"/>
  <c r="DA144" i="24"/>
  <c r="DB144" i="24"/>
  <c r="DC144" i="24"/>
  <c r="DD144" i="24"/>
  <c r="DE144" i="24"/>
  <c r="DF144" i="24"/>
  <c r="DG144" i="24"/>
  <c r="DH144" i="24"/>
  <c r="DI144" i="24"/>
  <c r="DJ144" i="24"/>
  <c r="DK144" i="24"/>
  <c r="DL144" i="24"/>
  <c r="DM144" i="24"/>
  <c r="DN144" i="24"/>
  <c r="DO144" i="24"/>
  <c r="DP144" i="24"/>
  <c r="DQ144" i="24"/>
  <c r="DR144" i="24"/>
  <c r="DS144" i="24"/>
  <c r="DT144" i="24"/>
  <c r="DU144" i="24"/>
  <c r="DV144" i="24"/>
  <c r="DW144" i="24"/>
  <c r="DX144" i="24"/>
  <c r="DY144" i="24"/>
  <c r="DZ144" i="24"/>
  <c r="EA144" i="24"/>
  <c r="EB144" i="24"/>
  <c r="EC144" i="24"/>
  <c r="ED144" i="24"/>
  <c r="EE144" i="24"/>
  <c r="EF144" i="24"/>
  <c r="EG144" i="24"/>
  <c r="EH144" i="24"/>
  <c r="EI144" i="24"/>
  <c r="EJ144" i="24"/>
  <c r="EK144" i="24"/>
  <c r="EL144" i="24"/>
  <c r="EM144" i="24"/>
  <c r="EN144" i="24"/>
  <c r="EO144" i="24"/>
  <c r="EP144" i="24"/>
  <c r="EQ144" i="24"/>
  <c r="ER144" i="24"/>
  <c r="ES144" i="24"/>
  <c r="ET144" i="24"/>
  <c r="EU144" i="24"/>
  <c r="EV144" i="24"/>
  <c r="EW144" i="24"/>
  <c r="EX144" i="24"/>
  <c r="EY144" i="24"/>
  <c r="EZ144" i="24"/>
  <c r="FA144" i="24"/>
  <c r="FB144" i="24"/>
  <c r="FC144" i="24"/>
  <c r="FD144" i="24"/>
  <c r="FE144" i="24"/>
  <c r="FF144" i="24"/>
  <c r="FG144" i="24"/>
  <c r="FH144" i="24"/>
  <c r="FI144" i="24"/>
  <c r="FJ144" i="24"/>
  <c r="FK144" i="24"/>
  <c r="FL144" i="24"/>
  <c r="FM144" i="24"/>
  <c r="FN144" i="24"/>
  <c r="FO144" i="24"/>
  <c r="FP144" i="24"/>
  <c r="FQ144" i="24"/>
  <c r="FR144" i="24"/>
  <c r="FS144" i="24"/>
  <c r="FT144" i="24"/>
  <c r="FU144" i="24"/>
  <c r="FV144" i="24"/>
  <c r="FW144" i="24"/>
  <c r="FX144" i="24"/>
  <c r="FY144" i="24"/>
  <c r="FZ144" i="24"/>
  <c r="GA144" i="24"/>
  <c r="GB144" i="24"/>
  <c r="GC144" i="24"/>
  <c r="GD144" i="24"/>
  <c r="GE144" i="24"/>
  <c r="GF144" i="24"/>
  <c r="GG144" i="24"/>
  <c r="GH144" i="24"/>
  <c r="GI144" i="24"/>
  <c r="GJ144" i="24"/>
  <c r="GK144" i="24"/>
  <c r="GL144" i="24"/>
  <c r="GM144" i="24"/>
  <c r="GN144" i="24"/>
  <c r="GO144" i="24"/>
  <c r="GP144" i="24"/>
  <c r="GQ144" i="24"/>
  <c r="GR144" i="24"/>
  <c r="GS144" i="24"/>
  <c r="GT144" i="24"/>
  <c r="E145" i="24"/>
  <c r="F145" i="24"/>
  <c r="G145" i="24"/>
  <c r="H145" i="24"/>
  <c r="I145" i="24"/>
  <c r="J145" i="24"/>
  <c r="K145" i="24"/>
  <c r="L145" i="24"/>
  <c r="M145" i="24"/>
  <c r="N145" i="24"/>
  <c r="O145" i="24"/>
  <c r="P145" i="24"/>
  <c r="Q145" i="24"/>
  <c r="R145" i="24"/>
  <c r="S145" i="24"/>
  <c r="T145" i="24"/>
  <c r="U145" i="24"/>
  <c r="V145" i="24"/>
  <c r="W145" i="24"/>
  <c r="X145" i="24"/>
  <c r="Y145" i="24"/>
  <c r="Z145" i="24"/>
  <c r="AA145" i="24"/>
  <c r="AB145" i="24"/>
  <c r="AC145" i="24"/>
  <c r="AD145" i="24"/>
  <c r="AE145" i="24"/>
  <c r="AF145" i="24"/>
  <c r="AG145" i="24"/>
  <c r="AH145" i="24"/>
  <c r="AI145" i="24"/>
  <c r="AJ145" i="24"/>
  <c r="AK145" i="24"/>
  <c r="AL145" i="24"/>
  <c r="AM145" i="24"/>
  <c r="AN145" i="24"/>
  <c r="AO145" i="24"/>
  <c r="AP145" i="24"/>
  <c r="AQ145" i="24"/>
  <c r="AR145" i="24"/>
  <c r="AS145" i="24"/>
  <c r="AT145" i="24"/>
  <c r="AU145" i="24"/>
  <c r="AV145" i="24"/>
  <c r="AW145" i="24"/>
  <c r="AX145" i="24"/>
  <c r="AY145" i="24"/>
  <c r="AZ145" i="24"/>
  <c r="BA145" i="24"/>
  <c r="BB145" i="24"/>
  <c r="BC145" i="24"/>
  <c r="BD145" i="24"/>
  <c r="BE145" i="24"/>
  <c r="BF145" i="24"/>
  <c r="BG145" i="24"/>
  <c r="BH145" i="24"/>
  <c r="BI145" i="24"/>
  <c r="BJ145" i="24"/>
  <c r="BK145" i="24"/>
  <c r="BL145" i="24"/>
  <c r="BM145" i="24"/>
  <c r="BN145" i="24"/>
  <c r="BO145" i="24"/>
  <c r="BP145" i="24"/>
  <c r="BQ145" i="24"/>
  <c r="BR145" i="24"/>
  <c r="BS145" i="24"/>
  <c r="BT145" i="24"/>
  <c r="BU145" i="24"/>
  <c r="BV145" i="24"/>
  <c r="BW145" i="24"/>
  <c r="BX145" i="24"/>
  <c r="BY145" i="24"/>
  <c r="BZ145" i="24"/>
  <c r="CA145" i="24"/>
  <c r="CB145" i="24"/>
  <c r="CC145" i="24"/>
  <c r="CD145" i="24"/>
  <c r="CE145" i="24"/>
  <c r="CF145" i="24"/>
  <c r="CG145" i="24"/>
  <c r="CH145" i="24"/>
  <c r="CI145" i="24"/>
  <c r="CJ145" i="24"/>
  <c r="CK145" i="24"/>
  <c r="CL145" i="24"/>
  <c r="CM145" i="24"/>
  <c r="CN145" i="24"/>
  <c r="CO145" i="24"/>
  <c r="CP145" i="24"/>
  <c r="CQ145" i="24"/>
  <c r="CR145" i="24"/>
  <c r="CS145" i="24"/>
  <c r="CT145" i="24"/>
  <c r="CU145" i="24"/>
  <c r="CV145" i="24"/>
  <c r="CW145" i="24"/>
  <c r="CX145" i="24"/>
  <c r="CY145" i="24"/>
  <c r="CZ145" i="24"/>
  <c r="DA145" i="24"/>
  <c r="DB145" i="24"/>
  <c r="DC145" i="24"/>
  <c r="DD145" i="24"/>
  <c r="DE145" i="24"/>
  <c r="DF145" i="24"/>
  <c r="DG145" i="24"/>
  <c r="DH145" i="24"/>
  <c r="DI145" i="24"/>
  <c r="DJ145" i="24"/>
  <c r="DK145" i="24"/>
  <c r="DL145" i="24"/>
  <c r="DM145" i="24"/>
  <c r="DN145" i="24"/>
  <c r="DO145" i="24"/>
  <c r="DP145" i="24"/>
  <c r="DQ145" i="24"/>
  <c r="DR145" i="24"/>
  <c r="DS145" i="24"/>
  <c r="DT145" i="24"/>
  <c r="DU145" i="24"/>
  <c r="DV145" i="24"/>
  <c r="DW145" i="24"/>
  <c r="DX145" i="24"/>
  <c r="DY145" i="24"/>
  <c r="DZ145" i="24"/>
  <c r="EA145" i="24"/>
  <c r="EB145" i="24"/>
  <c r="EC145" i="24"/>
  <c r="ED145" i="24"/>
  <c r="EE145" i="24"/>
  <c r="EF145" i="24"/>
  <c r="EG145" i="24"/>
  <c r="EH145" i="24"/>
  <c r="EI145" i="24"/>
  <c r="EJ145" i="24"/>
  <c r="EK145" i="24"/>
  <c r="EL145" i="24"/>
  <c r="EM145" i="24"/>
  <c r="EN145" i="24"/>
  <c r="EO145" i="24"/>
  <c r="EP145" i="24"/>
  <c r="EQ145" i="24"/>
  <c r="ER145" i="24"/>
  <c r="ES145" i="24"/>
  <c r="ET145" i="24"/>
  <c r="EU145" i="24"/>
  <c r="EV145" i="24"/>
  <c r="EW145" i="24"/>
  <c r="EX145" i="24"/>
  <c r="EY145" i="24"/>
  <c r="EZ145" i="24"/>
  <c r="FA145" i="24"/>
  <c r="FB145" i="24"/>
  <c r="FC145" i="24"/>
  <c r="FD145" i="24"/>
  <c r="FE145" i="24"/>
  <c r="FF145" i="24"/>
  <c r="FG145" i="24"/>
  <c r="FH145" i="24"/>
  <c r="FI145" i="24"/>
  <c r="FJ145" i="24"/>
  <c r="FK145" i="24"/>
  <c r="FL145" i="24"/>
  <c r="FM145" i="24"/>
  <c r="FN145" i="24"/>
  <c r="FO145" i="24"/>
  <c r="FP145" i="24"/>
  <c r="FQ145" i="24"/>
  <c r="FR145" i="24"/>
  <c r="FS145" i="24"/>
  <c r="FT145" i="24"/>
  <c r="FU145" i="24"/>
  <c r="FV145" i="24"/>
  <c r="FW145" i="24"/>
  <c r="FX145" i="24"/>
  <c r="FY145" i="24"/>
  <c r="FZ145" i="24"/>
  <c r="GA145" i="24"/>
  <c r="GB145" i="24"/>
  <c r="GC145" i="24"/>
  <c r="GD145" i="24"/>
  <c r="GE145" i="24"/>
  <c r="GF145" i="24"/>
  <c r="GG145" i="24"/>
  <c r="GH145" i="24"/>
  <c r="GI145" i="24"/>
  <c r="GJ145" i="24"/>
  <c r="GK145" i="24"/>
  <c r="GL145" i="24"/>
  <c r="GM145" i="24"/>
  <c r="GN145" i="24"/>
  <c r="GO145" i="24"/>
  <c r="GP145" i="24"/>
  <c r="GQ145" i="24"/>
  <c r="GR145" i="24"/>
  <c r="GS145" i="24"/>
  <c r="GT145" i="24"/>
  <c r="E146" i="24"/>
  <c r="F146" i="24"/>
  <c r="G146" i="24"/>
  <c r="H146" i="24"/>
  <c r="I146" i="24"/>
  <c r="J146" i="24"/>
  <c r="K146" i="24"/>
  <c r="L146" i="24"/>
  <c r="M146" i="24"/>
  <c r="N146" i="24"/>
  <c r="O146" i="24"/>
  <c r="P146" i="24"/>
  <c r="Q146" i="24"/>
  <c r="R146" i="24"/>
  <c r="S146" i="24"/>
  <c r="T146" i="24"/>
  <c r="U146" i="24"/>
  <c r="V146" i="24"/>
  <c r="W146" i="24"/>
  <c r="X146" i="24"/>
  <c r="Y146" i="24"/>
  <c r="Z146" i="24"/>
  <c r="AA146" i="24"/>
  <c r="AB146" i="24"/>
  <c r="AC146" i="24"/>
  <c r="AD146" i="24"/>
  <c r="AE146" i="24"/>
  <c r="AF146" i="24"/>
  <c r="AG146" i="24"/>
  <c r="AH146" i="24"/>
  <c r="AI146" i="24"/>
  <c r="AJ146" i="24"/>
  <c r="AK146" i="24"/>
  <c r="AL146" i="24"/>
  <c r="AM146" i="24"/>
  <c r="AN146" i="24"/>
  <c r="AO146" i="24"/>
  <c r="AP146" i="24"/>
  <c r="AQ146" i="24"/>
  <c r="AR146" i="24"/>
  <c r="AS146" i="24"/>
  <c r="AT146" i="24"/>
  <c r="AU146" i="24"/>
  <c r="AV146" i="24"/>
  <c r="AW146" i="24"/>
  <c r="AX146" i="24"/>
  <c r="AY146" i="24"/>
  <c r="AZ146" i="24"/>
  <c r="BA146" i="24"/>
  <c r="BB146" i="24"/>
  <c r="BC146" i="24"/>
  <c r="BD146" i="24"/>
  <c r="BE146" i="24"/>
  <c r="BF146" i="24"/>
  <c r="BG146" i="24"/>
  <c r="BH146" i="24"/>
  <c r="BI146" i="24"/>
  <c r="BJ146" i="24"/>
  <c r="BK146" i="24"/>
  <c r="BL146" i="24"/>
  <c r="BM146" i="24"/>
  <c r="BN146" i="24"/>
  <c r="BO146" i="24"/>
  <c r="BP146" i="24"/>
  <c r="BQ146" i="24"/>
  <c r="BR146" i="24"/>
  <c r="BS146" i="24"/>
  <c r="BT146" i="24"/>
  <c r="BU146" i="24"/>
  <c r="BV146" i="24"/>
  <c r="BW146" i="24"/>
  <c r="BX146" i="24"/>
  <c r="BY146" i="24"/>
  <c r="BZ146" i="24"/>
  <c r="CA146" i="24"/>
  <c r="CB146" i="24"/>
  <c r="CC146" i="24"/>
  <c r="CD146" i="24"/>
  <c r="CE146" i="24"/>
  <c r="CF146" i="24"/>
  <c r="CG146" i="24"/>
  <c r="CH146" i="24"/>
  <c r="CI146" i="24"/>
  <c r="CJ146" i="24"/>
  <c r="CK146" i="24"/>
  <c r="CL146" i="24"/>
  <c r="CM146" i="24"/>
  <c r="CN146" i="24"/>
  <c r="CO146" i="24"/>
  <c r="CP146" i="24"/>
  <c r="CQ146" i="24"/>
  <c r="CR146" i="24"/>
  <c r="CS146" i="24"/>
  <c r="CT146" i="24"/>
  <c r="CU146" i="24"/>
  <c r="CV146" i="24"/>
  <c r="CW146" i="24"/>
  <c r="CX146" i="24"/>
  <c r="CY146" i="24"/>
  <c r="CZ146" i="24"/>
  <c r="DA146" i="24"/>
  <c r="DB146" i="24"/>
  <c r="DC146" i="24"/>
  <c r="DD146" i="24"/>
  <c r="DE146" i="24"/>
  <c r="DF146" i="24"/>
  <c r="DG146" i="24"/>
  <c r="DH146" i="24"/>
  <c r="DI146" i="24"/>
  <c r="DJ146" i="24"/>
  <c r="DK146" i="24"/>
  <c r="DL146" i="24"/>
  <c r="DM146" i="24"/>
  <c r="DN146" i="24"/>
  <c r="DO146" i="24"/>
  <c r="DP146" i="24"/>
  <c r="DQ146" i="24"/>
  <c r="DR146" i="24"/>
  <c r="DS146" i="24"/>
  <c r="DT146" i="24"/>
  <c r="DU146" i="24"/>
  <c r="DV146" i="24"/>
  <c r="DW146" i="24"/>
  <c r="DX146" i="24"/>
  <c r="DY146" i="24"/>
  <c r="DZ146" i="24"/>
  <c r="EA146" i="24"/>
  <c r="EB146" i="24"/>
  <c r="EC146" i="24"/>
  <c r="ED146" i="24"/>
  <c r="EE146" i="24"/>
  <c r="EF146" i="24"/>
  <c r="EG146" i="24"/>
  <c r="EH146" i="24"/>
  <c r="EI146" i="24"/>
  <c r="EJ146" i="24"/>
  <c r="EK146" i="24"/>
  <c r="EL146" i="24"/>
  <c r="EM146" i="24"/>
  <c r="EN146" i="24"/>
  <c r="EO146" i="24"/>
  <c r="EP146" i="24"/>
  <c r="EQ146" i="24"/>
  <c r="ER146" i="24"/>
  <c r="ES146" i="24"/>
  <c r="ET146" i="24"/>
  <c r="EU146" i="24"/>
  <c r="EV146" i="24"/>
  <c r="EW146" i="24"/>
  <c r="EX146" i="24"/>
  <c r="EY146" i="24"/>
  <c r="EZ146" i="24"/>
  <c r="FA146" i="24"/>
  <c r="FB146" i="24"/>
  <c r="FC146" i="24"/>
  <c r="FD146" i="24"/>
  <c r="FE146" i="24"/>
  <c r="FF146" i="24"/>
  <c r="FG146" i="24"/>
  <c r="FH146" i="24"/>
  <c r="FI146" i="24"/>
  <c r="FJ146" i="24"/>
  <c r="FK146" i="24"/>
  <c r="FL146" i="24"/>
  <c r="FM146" i="24"/>
  <c r="FN146" i="24"/>
  <c r="FO146" i="24"/>
  <c r="FP146" i="24"/>
  <c r="FQ146" i="24"/>
  <c r="FR146" i="24"/>
  <c r="FS146" i="24"/>
  <c r="FT146" i="24"/>
  <c r="FU146" i="24"/>
  <c r="FV146" i="24"/>
  <c r="FW146" i="24"/>
  <c r="FX146" i="24"/>
  <c r="FY146" i="24"/>
  <c r="FZ146" i="24"/>
  <c r="GA146" i="24"/>
  <c r="GB146" i="24"/>
  <c r="GC146" i="24"/>
  <c r="GD146" i="24"/>
  <c r="GE146" i="24"/>
  <c r="GF146" i="24"/>
  <c r="GG146" i="24"/>
  <c r="GH146" i="24"/>
  <c r="GI146" i="24"/>
  <c r="GJ146" i="24"/>
  <c r="GK146" i="24"/>
  <c r="GL146" i="24"/>
  <c r="GM146" i="24"/>
  <c r="GN146" i="24"/>
  <c r="GO146" i="24"/>
  <c r="GP146" i="24"/>
  <c r="GQ146" i="24"/>
  <c r="GR146" i="24"/>
  <c r="GS146" i="24"/>
  <c r="GT146" i="24"/>
  <c r="E147" i="24"/>
  <c r="F147" i="24"/>
  <c r="G147" i="24"/>
  <c r="H147" i="24"/>
  <c r="I147" i="24"/>
  <c r="J147" i="24"/>
  <c r="K147" i="24"/>
  <c r="L147" i="24"/>
  <c r="M147" i="24"/>
  <c r="N147" i="24"/>
  <c r="O147" i="24"/>
  <c r="P147" i="24"/>
  <c r="Q147" i="24"/>
  <c r="R147" i="24"/>
  <c r="S147" i="24"/>
  <c r="T147" i="24"/>
  <c r="U147" i="24"/>
  <c r="V147" i="24"/>
  <c r="W147" i="24"/>
  <c r="X147" i="24"/>
  <c r="Y147" i="24"/>
  <c r="Z147" i="24"/>
  <c r="AA147" i="24"/>
  <c r="AB147" i="24"/>
  <c r="AC147" i="24"/>
  <c r="AD147" i="24"/>
  <c r="AE147" i="24"/>
  <c r="AF147" i="24"/>
  <c r="AG147" i="24"/>
  <c r="AH147" i="24"/>
  <c r="AI147" i="24"/>
  <c r="AJ147" i="24"/>
  <c r="AK147" i="24"/>
  <c r="AL147" i="24"/>
  <c r="AM147" i="24"/>
  <c r="AN147" i="24"/>
  <c r="AO147" i="24"/>
  <c r="AP147" i="24"/>
  <c r="AQ147" i="24"/>
  <c r="AR147" i="24"/>
  <c r="AS147" i="24"/>
  <c r="AT147" i="24"/>
  <c r="AU147" i="24"/>
  <c r="AV147" i="24"/>
  <c r="AW147" i="24"/>
  <c r="AX147" i="24"/>
  <c r="AY147" i="24"/>
  <c r="AZ147" i="24"/>
  <c r="BA147" i="24"/>
  <c r="BB147" i="24"/>
  <c r="BC147" i="24"/>
  <c r="BD147" i="24"/>
  <c r="BE147" i="24"/>
  <c r="BF147" i="24"/>
  <c r="BG147" i="24"/>
  <c r="BH147" i="24"/>
  <c r="BI147" i="24"/>
  <c r="BJ147" i="24"/>
  <c r="BK147" i="24"/>
  <c r="BL147" i="24"/>
  <c r="BM147" i="24"/>
  <c r="BN147" i="24"/>
  <c r="BO147" i="24"/>
  <c r="BP147" i="24"/>
  <c r="BQ147" i="24"/>
  <c r="BR147" i="24"/>
  <c r="BS147" i="24"/>
  <c r="BT147" i="24"/>
  <c r="BU147" i="24"/>
  <c r="BV147" i="24"/>
  <c r="BW147" i="24"/>
  <c r="BX147" i="24"/>
  <c r="BY147" i="24"/>
  <c r="BZ147" i="24"/>
  <c r="CA147" i="24"/>
  <c r="CB147" i="24"/>
  <c r="CC147" i="24"/>
  <c r="CD147" i="24"/>
  <c r="CE147" i="24"/>
  <c r="CF147" i="24"/>
  <c r="CG147" i="24"/>
  <c r="CH147" i="24"/>
  <c r="CI147" i="24"/>
  <c r="CJ147" i="24"/>
  <c r="CK147" i="24"/>
  <c r="CL147" i="24"/>
  <c r="CM147" i="24"/>
  <c r="CN147" i="24"/>
  <c r="CO147" i="24"/>
  <c r="CP147" i="24"/>
  <c r="CQ147" i="24"/>
  <c r="CR147" i="24"/>
  <c r="CS147" i="24"/>
  <c r="CT147" i="24"/>
  <c r="CU147" i="24"/>
  <c r="CV147" i="24"/>
  <c r="CW147" i="24"/>
  <c r="CX147" i="24"/>
  <c r="CY147" i="24"/>
  <c r="CZ147" i="24"/>
  <c r="DA147" i="24"/>
  <c r="DB147" i="24"/>
  <c r="DC147" i="24"/>
  <c r="DD147" i="24"/>
  <c r="DE147" i="24"/>
  <c r="DF147" i="24"/>
  <c r="DG147" i="24"/>
  <c r="DH147" i="24"/>
  <c r="DI147" i="24"/>
  <c r="DJ147" i="24"/>
  <c r="DK147" i="24"/>
  <c r="DL147" i="24"/>
  <c r="DM147" i="24"/>
  <c r="DN147" i="24"/>
  <c r="DO147" i="24"/>
  <c r="DP147" i="24"/>
  <c r="DQ147" i="24"/>
  <c r="DR147" i="24"/>
  <c r="DS147" i="24"/>
  <c r="DT147" i="24"/>
  <c r="DU147" i="24"/>
  <c r="DV147" i="24"/>
  <c r="DW147" i="24"/>
  <c r="DX147" i="24"/>
  <c r="DY147" i="24"/>
  <c r="DZ147" i="24"/>
  <c r="EA147" i="24"/>
  <c r="EB147" i="24"/>
  <c r="EC147" i="24"/>
  <c r="ED147" i="24"/>
  <c r="EE147" i="24"/>
  <c r="EF147" i="24"/>
  <c r="EG147" i="24"/>
  <c r="EH147" i="24"/>
  <c r="EI147" i="24"/>
  <c r="EJ147" i="24"/>
  <c r="EK147" i="24"/>
  <c r="EL147" i="24"/>
  <c r="EM147" i="24"/>
  <c r="EN147" i="24"/>
  <c r="EO147" i="24"/>
  <c r="EP147" i="24"/>
  <c r="EQ147" i="24"/>
  <c r="ER147" i="24"/>
  <c r="ES147" i="24"/>
  <c r="ET147" i="24"/>
  <c r="EU147" i="24"/>
  <c r="EV147" i="24"/>
  <c r="EW147" i="24"/>
  <c r="EX147" i="24"/>
  <c r="EY147" i="24"/>
  <c r="EZ147" i="24"/>
  <c r="FA147" i="24"/>
  <c r="FB147" i="24"/>
  <c r="FC147" i="24"/>
  <c r="FD147" i="24"/>
  <c r="FE147" i="24"/>
  <c r="FF147" i="24"/>
  <c r="FG147" i="24"/>
  <c r="FH147" i="24"/>
  <c r="FI147" i="24"/>
  <c r="FJ147" i="24"/>
  <c r="FK147" i="24"/>
  <c r="FL147" i="24"/>
  <c r="FM147" i="24"/>
  <c r="FN147" i="24"/>
  <c r="FO147" i="24"/>
  <c r="FP147" i="24"/>
  <c r="FQ147" i="24"/>
  <c r="FR147" i="24"/>
  <c r="FS147" i="24"/>
  <c r="FT147" i="24"/>
  <c r="FU147" i="24"/>
  <c r="FV147" i="24"/>
  <c r="FW147" i="24"/>
  <c r="FX147" i="24"/>
  <c r="FY147" i="24"/>
  <c r="FZ147" i="24"/>
  <c r="GA147" i="24"/>
  <c r="GB147" i="24"/>
  <c r="GC147" i="24"/>
  <c r="GD147" i="24"/>
  <c r="GE147" i="24"/>
  <c r="GF147" i="24"/>
  <c r="GG147" i="24"/>
  <c r="GH147" i="24"/>
  <c r="GI147" i="24"/>
  <c r="GJ147" i="24"/>
  <c r="GK147" i="24"/>
  <c r="GL147" i="24"/>
  <c r="GM147" i="24"/>
  <c r="GN147" i="24"/>
  <c r="GO147" i="24"/>
  <c r="GP147" i="24"/>
  <c r="GQ147" i="24"/>
  <c r="GR147" i="24"/>
  <c r="GS147" i="24"/>
  <c r="GT147" i="24"/>
  <c r="D135" i="24"/>
  <c r="D136" i="24"/>
  <c r="D137" i="24"/>
  <c r="D138" i="24"/>
  <c r="D139" i="24"/>
  <c r="D140" i="24"/>
  <c r="D141" i="24"/>
  <c r="D142" i="24"/>
  <c r="D143" i="24"/>
  <c r="D144" i="24"/>
  <c r="D145" i="24"/>
  <c r="D146" i="24"/>
  <c r="D147" i="24"/>
  <c r="C135" i="24"/>
  <c r="C136" i="24"/>
  <c r="C137" i="24"/>
  <c r="C138" i="24"/>
  <c r="C139" i="24"/>
  <c r="C140" i="24"/>
  <c r="C141" i="24"/>
  <c r="C142" i="24"/>
  <c r="C143" i="24"/>
  <c r="C144" i="24"/>
  <c r="C145" i="24"/>
  <c r="C146" i="24"/>
  <c r="C147" i="24"/>
  <c r="B136" i="24"/>
  <c r="B137" i="24"/>
  <c r="B138" i="24"/>
  <c r="B139" i="24"/>
  <c r="B140" i="24"/>
  <c r="B141" i="24"/>
  <c r="B142" i="24"/>
  <c r="B143" i="24"/>
  <c r="B144" i="24"/>
  <c r="B145" i="24"/>
  <c r="B146" i="24"/>
  <c r="B147" i="24"/>
  <c r="B135" i="24"/>
  <c r="C7" i="31"/>
  <c r="GT283" i="24" l="1"/>
  <c r="GT15" i="24"/>
  <c r="GS15" i="24"/>
  <c r="GR15" i="24"/>
  <c r="GQ15" i="24"/>
  <c r="GP15" i="24"/>
  <c r="GO15" i="24"/>
  <c r="GN15" i="24"/>
  <c r="GM15" i="24"/>
  <c r="GL15" i="24"/>
  <c r="GK15" i="24"/>
  <c r="GJ15" i="24"/>
  <c r="GI15" i="24"/>
  <c r="GH15" i="24"/>
  <c r="GG15" i="24"/>
  <c r="GF15" i="24"/>
  <c r="GE15" i="24"/>
  <c r="GD15" i="24"/>
  <c r="GC15" i="24"/>
  <c r="GB15" i="24"/>
  <c r="GA15" i="24"/>
  <c r="FZ15" i="24"/>
  <c r="FY15" i="24"/>
  <c r="FX15" i="24"/>
  <c r="FW15" i="24"/>
  <c r="FV15" i="24"/>
  <c r="FU15" i="24"/>
  <c r="FT15" i="24"/>
  <c r="FS15" i="24"/>
  <c r="FR15" i="24"/>
  <c r="FQ15" i="24"/>
  <c r="FP15" i="24"/>
  <c r="FO15" i="24"/>
  <c r="FN15" i="24"/>
  <c r="FM15" i="24"/>
  <c r="FL15" i="24"/>
  <c r="FK15" i="24"/>
  <c r="FJ15" i="24"/>
  <c r="FI15" i="24"/>
  <c r="FH15" i="24"/>
  <c r="FG15" i="24"/>
  <c r="FF15" i="24"/>
  <c r="FE15" i="24"/>
  <c r="FD15" i="24"/>
  <c r="FC15" i="24"/>
  <c r="FB15" i="24"/>
  <c r="FA15" i="24"/>
  <c r="EZ15" i="24"/>
  <c r="EY15" i="24"/>
  <c r="EX15" i="24"/>
  <c r="EW15" i="24"/>
  <c r="EV15" i="24"/>
  <c r="EU15" i="24"/>
  <c r="ET15" i="24"/>
  <c r="ES15" i="24"/>
  <c r="ER15" i="24"/>
  <c r="EQ15" i="24"/>
  <c r="EP15" i="24"/>
  <c r="EO15" i="24"/>
  <c r="EN15" i="24"/>
  <c r="EM15" i="24"/>
  <c r="EL15" i="24"/>
  <c r="EK15" i="24"/>
  <c r="EJ15" i="24"/>
  <c r="EI15" i="24"/>
  <c r="EH15" i="24"/>
  <c r="EG15" i="24"/>
  <c r="EF15" i="24"/>
  <c r="EE15" i="24"/>
  <c r="ED15" i="24"/>
  <c r="EC15" i="24"/>
  <c r="EB15" i="24"/>
  <c r="EA15" i="24"/>
  <c r="DZ15" i="24"/>
  <c r="DY15" i="24"/>
  <c r="DX15" i="24"/>
  <c r="DW15" i="24"/>
  <c r="DV15" i="24"/>
  <c r="DU15" i="24"/>
  <c r="DT15" i="24"/>
  <c r="DS15" i="24"/>
  <c r="DR15" i="24"/>
  <c r="DQ15" i="24"/>
  <c r="DP15" i="24"/>
  <c r="DO15" i="24"/>
  <c r="DN15" i="24"/>
  <c r="DM15" i="24"/>
  <c r="DL15" i="24"/>
  <c r="DK15" i="24"/>
  <c r="DJ15" i="24"/>
  <c r="DI15" i="24"/>
  <c r="DH15" i="24"/>
  <c r="DG15" i="24"/>
  <c r="DF15" i="24"/>
  <c r="DE15" i="24"/>
  <c r="DD15" i="24"/>
  <c r="DC15" i="24"/>
  <c r="DB15" i="24"/>
  <c r="DA15" i="24"/>
  <c r="CZ15" i="24"/>
  <c r="CY15" i="24"/>
  <c r="CX15" i="24"/>
  <c r="CW15" i="24"/>
  <c r="CV15" i="24"/>
  <c r="CU15" i="24"/>
  <c r="CT15" i="24"/>
  <c r="CS15" i="24"/>
  <c r="CR15" i="24"/>
  <c r="CQ15" i="24"/>
  <c r="CP15" i="24"/>
  <c r="CO15" i="24"/>
  <c r="CN15" i="24"/>
  <c r="CM15" i="24"/>
  <c r="CL15" i="24"/>
  <c r="CK15" i="24"/>
  <c r="CJ15" i="24"/>
  <c r="CI15" i="24"/>
  <c r="CH15" i="24"/>
  <c r="CG15" i="24"/>
  <c r="CF15" i="24"/>
  <c r="CE15" i="24"/>
  <c r="CD15" i="24"/>
  <c r="CC15" i="24"/>
  <c r="CB15" i="24"/>
  <c r="CA15" i="24"/>
  <c r="BZ15" i="24"/>
  <c r="BY15" i="24"/>
  <c r="BX15" i="24"/>
  <c r="BW15" i="24"/>
  <c r="BV15" i="24"/>
  <c r="BU15" i="24"/>
  <c r="BT15" i="24"/>
  <c r="BS15" i="24"/>
  <c r="BR15" i="24"/>
  <c r="BQ15" i="24"/>
  <c r="BP15" i="24"/>
  <c r="BO15" i="24"/>
  <c r="BN15" i="24"/>
  <c r="BM15" i="24"/>
  <c r="BL15" i="24"/>
  <c r="BK15" i="24"/>
  <c r="BJ15" i="24"/>
  <c r="BI15" i="24"/>
  <c r="BH15" i="24"/>
  <c r="BG15" i="24"/>
  <c r="BF15" i="24"/>
  <c r="BE15" i="24"/>
  <c r="BD15" i="24"/>
  <c r="BC15" i="24"/>
  <c r="BB15" i="24"/>
  <c r="BA15" i="24"/>
  <c r="AZ15" i="24"/>
  <c r="AY15" i="24"/>
  <c r="AX15" i="24"/>
  <c r="AW15" i="24"/>
  <c r="AV15" i="24"/>
  <c r="AU15" i="24"/>
  <c r="AT15" i="24"/>
  <c r="AS15" i="24"/>
  <c r="AR15" i="24"/>
  <c r="AQ15" i="24"/>
  <c r="AP15" i="24"/>
  <c r="AO15" i="24"/>
  <c r="AN15" i="24"/>
  <c r="AM15" i="24"/>
  <c r="AL15" i="24"/>
  <c r="AK15" i="24"/>
  <c r="AJ15" i="24"/>
  <c r="AI15" i="24"/>
  <c r="AH15" i="24"/>
  <c r="AG15" i="24"/>
  <c r="AF15" i="24"/>
  <c r="AE15" i="24"/>
  <c r="AD15" i="24"/>
  <c r="AC15" i="24"/>
  <c r="AB15" i="24"/>
  <c r="AA15" i="24"/>
  <c r="Z15" i="24"/>
  <c r="Y15" i="24"/>
  <c r="X15" i="24"/>
  <c r="W15" i="24"/>
  <c r="V15" i="24"/>
  <c r="U15" i="24"/>
  <c r="T15" i="24"/>
  <c r="S15" i="24"/>
  <c r="R15" i="24"/>
  <c r="Q15" i="24"/>
  <c r="P15" i="24"/>
  <c r="O15" i="24"/>
  <c r="N15" i="24"/>
  <c r="M15" i="24"/>
  <c r="L15" i="24"/>
  <c r="K15" i="24"/>
  <c r="J15" i="24"/>
  <c r="I15" i="24"/>
  <c r="H15" i="24"/>
  <c r="G15" i="24"/>
  <c r="F15" i="24"/>
  <c r="E15" i="24"/>
  <c r="D15" i="24"/>
  <c r="C15" i="24"/>
  <c r="B15" i="24"/>
  <c r="GT14" i="24"/>
  <c r="GS14" i="24"/>
  <c r="GR14" i="24"/>
  <c r="GQ14" i="24"/>
  <c r="GP14" i="24"/>
  <c r="GO14" i="24"/>
  <c r="GN14" i="24"/>
  <c r="GM14" i="24"/>
  <c r="GL14" i="24"/>
  <c r="GK14" i="24"/>
  <c r="GJ14" i="24"/>
  <c r="GI14" i="24"/>
  <c r="GH14" i="24"/>
  <c r="GG14" i="24"/>
  <c r="GF14" i="24"/>
  <c r="GE14" i="24"/>
  <c r="GD14" i="24"/>
  <c r="GC14" i="24"/>
  <c r="GB14" i="24"/>
  <c r="GA14" i="24"/>
  <c r="FZ14" i="24"/>
  <c r="FY14" i="24"/>
  <c r="FX14" i="24"/>
  <c r="FW14" i="24"/>
  <c r="FV14" i="24"/>
  <c r="FU14" i="24"/>
  <c r="FT14" i="24"/>
  <c r="FS14" i="24"/>
  <c r="FR14" i="24"/>
  <c r="FQ14" i="24"/>
  <c r="FP14" i="24"/>
  <c r="FO14" i="24"/>
  <c r="FN14" i="24"/>
  <c r="FM14" i="24"/>
  <c r="FL14" i="24"/>
  <c r="FK14" i="24"/>
  <c r="FJ14" i="24"/>
  <c r="FI14" i="24"/>
  <c r="FH14" i="24"/>
  <c r="FG14" i="24"/>
  <c r="FF14" i="24"/>
  <c r="FE14" i="24"/>
  <c r="FD14" i="24"/>
  <c r="FC14" i="24"/>
  <c r="FB14" i="24"/>
  <c r="FA14" i="24"/>
  <c r="EZ14" i="24"/>
  <c r="EY14" i="24"/>
  <c r="EX14" i="24"/>
  <c r="EW14" i="24"/>
  <c r="EV14" i="24"/>
  <c r="EU14" i="24"/>
  <c r="ET14" i="24"/>
  <c r="ES14" i="24"/>
  <c r="ER14" i="24"/>
  <c r="EQ14" i="24"/>
  <c r="EP14" i="24"/>
  <c r="EO14" i="24"/>
  <c r="EN14" i="24"/>
  <c r="EM14" i="24"/>
  <c r="EL14" i="24"/>
  <c r="EK14" i="24"/>
  <c r="EJ14" i="24"/>
  <c r="EI14" i="24"/>
  <c r="EH14" i="24"/>
  <c r="EG14" i="24"/>
  <c r="EF14" i="24"/>
  <c r="EE14" i="24"/>
  <c r="ED14" i="24"/>
  <c r="EC14" i="24"/>
  <c r="EB14" i="24"/>
  <c r="EA14" i="24"/>
  <c r="DZ14" i="24"/>
  <c r="DY14" i="24"/>
  <c r="DX14" i="24"/>
  <c r="DW14" i="24"/>
  <c r="DV14" i="24"/>
  <c r="DU14" i="24"/>
  <c r="DT14" i="24"/>
  <c r="DS14" i="24"/>
  <c r="DR14" i="24"/>
  <c r="DQ14" i="24"/>
  <c r="DP14" i="24"/>
  <c r="DO14" i="24"/>
  <c r="DN14" i="24"/>
  <c r="DM14" i="24"/>
  <c r="DL14" i="24"/>
  <c r="DK14" i="24"/>
  <c r="DJ14" i="24"/>
  <c r="DI14" i="24"/>
  <c r="DH14" i="24"/>
  <c r="DG14" i="24"/>
  <c r="DF14" i="24"/>
  <c r="DE14" i="24"/>
  <c r="DD14" i="24"/>
  <c r="DC14" i="24"/>
  <c r="DB14" i="24"/>
  <c r="DA14" i="24"/>
  <c r="CZ14" i="24"/>
  <c r="CY14" i="24"/>
  <c r="CX14" i="24"/>
  <c r="CW14" i="24"/>
  <c r="CV14" i="24"/>
  <c r="CU14" i="24"/>
  <c r="CT14" i="24"/>
  <c r="CS14" i="24"/>
  <c r="CR14" i="24"/>
  <c r="CQ14" i="24"/>
  <c r="CP14" i="24"/>
  <c r="CO14" i="24"/>
  <c r="CN14" i="24"/>
  <c r="CM14" i="24"/>
  <c r="CL14" i="24"/>
  <c r="CK14" i="24"/>
  <c r="CJ14" i="24"/>
  <c r="CI14" i="24"/>
  <c r="CH14" i="24"/>
  <c r="CG14" i="24"/>
  <c r="CF14" i="24"/>
  <c r="CE14" i="24"/>
  <c r="CD14" i="24"/>
  <c r="CC14" i="24"/>
  <c r="CB14" i="24"/>
  <c r="CA14" i="24"/>
  <c r="BZ14" i="24"/>
  <c r="BY14" i="24"/>
  <c r="BX14" i="24"/>
  <c r="BW14" i="24"/>
  <c r="BV14" i="24"/>
  <c r="BU14" i="24"/>
  <c r="BT14" i="24"/>
  <c r="BS14" i="24"/>
  <c r="BR14" i="24"/>
  <c r="BQ14" i="24"/>
  <c r="BP14" i="24"/>
  <c r="BO14" i="24"/>
  <c r="BN14" i="24"/>
  <c r="BM14" i="24"/>
  <c r="BL14" i="24"/>
  <c r="BK14" i="24"/>
  <c r="BJ14" i="24"/>
  <c r="BI14" i="24"/>
  <c r="BH14" i="24"/>
  <c r="BG14" i="24"/>
  <c r="BF14" i="24"/>
  <c r="BE14" i="24"/>
  <c r="BD14" i="24"/>
  <c r="BC14" i="24"/>
  <c r="BB14" i="24"/>
  <c r="BA14" i="24"/>
  <c r="AZ14" i="24"/>
  <c r="AY14" i="24"/>
  <c r="AX14" i="24"/>
  <c r="AW14" i="24"/>
  <c r="AV14" i="24"/>
  <c r="AU14" i="24"/>
  <c r="AT14" i="24"/>
  <c r="AS14" i="24"/>
  <c r="AR14" i="24"/>
  <c r="AQ14" i="24"/>
  <c r="AP14" i="24"/>
  <c r="AO14" i="24"/>
  <c r="AN14" i="24"/>
  <c r="AM14" i="24"/>
  <c r="AL14" i="24"/>
  <c r="AK14" i="24"/>
  <c r="AJ14" i="24"/>
  <c r="AI14" i="24"/>
  <c r="AH14" i="24"/>
  <c r="AG14" i="24"/>
  <c r="AF14" i="24"/>
  <c r="AE14" i="24"/>
  <c r="AD14" i="24"/>
  <c r="AC14" i="24"/>
  <c r="AB14" i="24"/>
  <c r="AA14" i="24"/>
  <c r="Z14" i="24"/>
  <c r="Y14" i="24"/>
  <c r="X14" i="24"/>
  <c r="W14" i="24"/>
  <c r="V14" i="24"/>
  <c r="U14" i="24"/>
  <c r="T14" i="24"/>
  <c r="S14" i="24"/>
  <c r="R14" i="24"/>
  <c r="Q14" i="24"/>
  <c r="P14" i="24"/>
  <c r="O14" i="24"/>
  <c r="N14" i="24"/>
  <c r="M14" i="24"/>
  <c r="L14" i="24"/>
  <c r="K14" i="24"/>
  <c r="J14" i="24"/>
  <c r="I14" i="24"/>
  <c r="H14" i="24"/>
  <c r="G14" i="24"/>
  <c r="F14" i="24"/>
  <c r="E14" i="24"/>
  <c r="D14" i="24"/>
  <c r="C14" i="24"/>
  <c r="B14" i="24"/>
  <c r="GT13" i="24"/>
  <c r="GS13" i="24"/>
  <c r="GR13" i="24"/>
  <c r="GQ13" i="24"/>
  <c r="GP13" i="24"/>
  <c r="GO13" i="24"/>
  <c r="GN13" i="24"/>
  <c r="GM13" i="24"/>
  <c r="GL13" i="24"/>
  <c r="GK13" i="24"/>
  <c r="GJ13" i="24"/>
  <c r="GI13" i="24"/>
  <c r="GH13" i="24"/>
  <c r="GG13" i="24"/>
  <c r="GF13" i="24"/>
  <c r="GE13" i="24"/>
  <c r="GD13" i="24"/>
  <c r="GC13" i="24"/>
  <c r="GB13" i="24"/>
  <c r="GA13" i="24"/>
  <c r="FZ13" i="24"/>
  <c r="FY13" i="24"/>
  <c r="FX13" i="24"/>
  <c r="FW13" i="24"/>
  <c r="FV13" i="24"/>
  <c r="FU13" i="24"/>
  <c r="FT13" i="24"/>
  <c r="FS13" i="24"/>
  <c r="FR13" i="24"/>
  <c r="FQ13" i="24"/>
  <c r="FP13" i="24"/>
  <c r="FO13" i="24"/>
  <c r="FN13" i="24"/>
  <c r="FM13" i="24"/>
  <c r="FL13" i="24"/>
  <c r="FK13" i="24"/>
  <c r="FJ13" i="24"/>
  <c r="FI13" i="24"/>
  <c r="FH13" i="24"/>
  <c r="FG13" i="24"/>
  <c r="FF13" i="24"/>
  <c r="FE13" i="24"/>
  <c r="FD13" i="24"/>
  <c r="FC13" i="24"/>
  <c r="FB13" i="24"/>
  <c r="FA13" i="24"/>
  <c r="EZ13" i="24"/>
  <c r="EY13" i="24"/>
  <c r="EX13" i="24"/>
  <c r="EW13" i="24"/>
  <c r="EV13" i="24"/>
  <c r="EU13" i="24"/>
  <c r="ET13" i="24"/>
  <c r="ES13" i="24"/>
  <c r="ER13" i="24"/>
  <c r="EQ13" i="24"/>
  <c r="EP13" i="24"/>
  <c r="EO13" i="24"/>
  <c r="EN13" i="24"/>
  <c r="EM13" i="24"/>
  <c r="EL13" i="24"/>
  <c r="EK13" i="24"/>
  <c r="EJ13" i="24"/>
  <c r="EI13" i="24"/>
  <c r="EH13" i="24"/>
  <c r="EG13" i="24"/>
  <c r="EF13" i="24"/>
  <c r="EE13" i="24"/>
  <c r="ED13" i="24"/>
  <c r="EC13" i="24"/>
  <c r="EB13" i="24"/>
  <c r="EA13" i="24"/>
  <c r="DZ13" i="24"/>
  <c r="DY13" i="24"/>
  <c r="DX13" i="24"/>
  <c r="DW13" i="24"/>
  <c r="DV13" i="24"/>
  <c r="DU13" i="24"/>
  <c r="DT13" i="24"/>
  <c r="DS13" i="24"/>
  <c r="DR13" i="24"/>
  <c r="DQ13" i="24"/>
  <c r="DP13" i="24"/>
  <c r="DO13" i="24"/>
  <c r="DN13" i="24"/>
  <c r="DM13" i="24"/>
  <c r="DL13" i="24"/>
  <c r="DK13" i="24"/>
  <c r="DJ13" i="24"/>
  <c r="DI13" i="24"/>
  <c r="DH13" i="24"/>
  <c r="DG13" i="24"/>
  <c r="DF13" i="24"/>
  <c r="DE13" i="24"/>
  <c r="DD13" i="24"/>
  <c r="DC13" i="24"/>
  <c r="DB13" i="24"/>
  <c r="DA13" i="24"/>
  <c r="CZ13" i="24"/>
  <c r="CY13" i="24"/>
  <c r="CX13" i="24"/>
  <c r="CW13" i="24"/>
  <c r="CV13" i="24"/>
  <c r="CU13" i="24"/>
  <c r="CT13" i="24"/>
  <c r="CS13" i="24"/>
  <c r="CR13" i="24"/>
  <c r="CQ13" i="24"/>
  <c r="CP13" i="24"/>
  <c r="CO13" i="24"/>
  <c r="CN13" i="24"/>
  <c r="CM13" i="24"/>
  <c r="CL13" i="24"/>
  <c r="CK13" i="24"/>
  <c r="CJ13" i="24"/>
  <c r="CI13" i="24"/>
  <c r="CH13" i="24"/>
  <c r="CG13" i="24"/>
  <c r="CF13" i="24"/>
  <c r="CE13" i="24"/>
  <c r="CD13" i="24"/>
  <c r="CC13" i="24"/>
  <c r="CB13" i="24"/>
  <c r="CA13" i="24"/>
  <c r="BZ13" i="24"/>
  <c r="BY13" i="24"/>
  <c r="BX13" i="24"/>
  <c r="BW13" i="24"/>
  <c r="BV13" i="24"/>
  <c r="BU13" i="24"/>
  <c r="BT13" i="24"/>
  <c r="BS13" i="24"/>
  <c r="BR13" i="24"/>
  <c r="BQ13" i="24"/>
  <c r="BP13" i="24"/>
  <c r="BO13" i="24"/>
  <c r="BN13" i="24"/>
  <c r="BM13" i="24"/>
  <c r="BL13" i="24"/>
  <c r="BK13" i="24"/>
  <c r="BJ13" i="24"/>
  <c r="BI13" i="24"/>
  <c r="BH13" i="24"/>
  <c r="BG13" i="24"/>
  <c r="BF13" i="24"/>
  <c r="BE13" i="24"/>
  <c r="BD13" i="24"/>
  <c r="BC13" i="24"/>
  <c r="BB13" i="24"/>
  <c r="BA13" i="24"/>
  <c r="AZ13" i="24"/>
  <c r="AY13" i="24"/>
  <c r="AX13" i="24"/>
  <c r="AW13" i="24"/>
  <c r="AV13" i="24"/>
  <c r="AU13" i="24"/>
  <c r="AT13" i="24"/>
  <c r="AS13" i="24"/>
  <c r="AR13" i="24"/>
  <c r="AQ13" i="24"/>
  <c r="AP13" i="24"/>
  <c r="AO13" i="24"/>
  <c r="AN13" i="24"/>
  <c r="AM13" i="24"/>
  <c r="AL13" i="24"/>
  <c r="AK13" i="24"/>
  <c r="AJ13" i="24"/>
  <c r="AI13" i="24"/>
  <c r="AH13" i="24"/>
  <c r="AG13" i="24"/>
  <c r="AF13" i="24"/>
  <c r="AE13" i="24"/>
  <c r="AD13" i="24"/>
  <c r="AC13" i="24"/>
  <c r="AB13" i="24"/>
  <c r="AA13" i="24"/>
  <c r="Z13" i="24"/>
  <c r="Y13" i="24"/>
  <c r="X13" i="24"/>
  <c r="W13" i="24"/>
  <c r="V13" i="24"/>
  <c r="U13" i="24"/>
  <c r="T13" i="24"/>
  <c r="S13" i="24"/>
  <c r="R13" i="24"/>
  <c r="Q13" i="24"/>
  <c r="P13" i="24"/>
  <c r="O13" i="24"/>
  <c r="N13" i="24"/>
  <c r="M13" i="24"/>
  <c r="L13" i="24"/>
  <c r="K13" i="24"/>
  <c r="J13" i="24"/>
  <c r="I13" i="24"/>
  <c r="H13" i="24"/>
  <c r="G13" i="24"/>
  <c r="F13" i="24"/>
  <c r="E13" i="24"/>
  <c r="D13" i="24"/>
  <c r="C13" i="24"/>
  <c r="B13" i="24"/>
  <c r="GT12" i="24"/>
  <c r="GS12" i="24"/>
  <c r="GR12" i="24"/>
  <c r="GQ12" i="24"/>
  <c r="GP12" i="24"/>
  <c r="GO12" i="24"/>
  <c r="GN12" i="24"/>
  <c r="GM12" i="24"/>
  <c r="GL12" i="24"/>
  <c r="GK12" i="24"/>
  <c r="GJ12" i="24"/>
  <c r="GI12" i="24"/>
  <c r="GH12" i="24"/>
  <c r="GG12" i="24"/>
  <c r="GF12" i="24"/>
  <c r="GE12" i="24"/>
  <c r="GD12" i="24"/>
  <c r="GC12" i="24"/>
  <c r="GB12" i="24"/>
  <c r="GA12" i="24"/>
  <c r="FZ12" i="24"/>
  <c r="FY12" i="24"/>
  <c r="FX12" i="24"/>
  <c r="FW12" i="24"/>
  <c r="FV12" i="24"/>
  <c r="FU12" i="24"/>
  <c r="FT12" i="24"/>
  <c r="FS12" i="24"/>
  <c r="FR12" i="24"/>
  <c r="FQ12" i="24"/>
  <c r="FP12" i="24"/>
  <c r="FO12" i="24"/>
  <c r="FN12" i="24"/>
  <c r="FM12" i="24"/>
  <c r="FL12" i="24"/>
  <c r="FK12" i="24"/>
  <c r="FJ12" i="24"/>
  <c r="FI12" i="24"/>
  <c r="FH12" i="24"/>
  <c r="FG12" i="24"/>
  <c r="FF12" i="24"/>
  <c r="FE12" i="24"/>
  <c r="FD12" i="24"/>
  <c r="FC12" i="24"/>
  <c r="FB12" i="24"/>
  <c r="FA12" i="24"/>
  <c r="EZ12" i="24"/>
  <c r="EY12" i="24"/>
  <c r="EX12" i="24"/>
  <c r="EW12" i="24"/>
  <c r="EV12" i="24"/>
  <c r="EU12" i="24"/>
  <c r="ET12" i="24"/>
  <c r="ES12" i="24"/>
  <c r="ER12" i="24"/>
  <c r="EQ12" i="24"/>
  <c r="EP12" i="24"/>
  <c r="EO12" i="24"/>
  <c r="EN12" i="24"/>
  <c r="EM12" i="24"/>
  <c r="EL12" i="24"/>
  <c r="EK12" i="24"/>
  <c r="EJ12" i="24"/>
  <c r="EI12" i="24"/>
  <c r="EH12" i="24"/>
  <c r="EG12" i="24"/>
  <c r="EF12" i="24"/>
  <c r="EE12" i="24"/>
  <c r="ED12" i="24"/>
  <c r="EC12" i="24"/>
  <c r="EB12" i="24"/>
  <c r="EA12" i="24"/>
  <c r="DZ12" i="24"/>
  <c r="DY12" i="24"/>
  <c r="DX12" i="24"/>
  <c r="DW12" i="24"/>
  <c r="DV12" i="24"/>
  <c r="DU12" i="24"/>
  <c r="DT12" i="24"/>
  <c r="DS12" i="24"/>
  <c r="DR12" i="24"/>
  <c r="DQ12" i="24"/>
  <c r="DP12" i="24"/>
  <c r="DO12" i="24"/>
  <c r="DN12" i="24"/>
  <c r="DM12" i="24"/>
  <c r="DL12" i="24"/>
  <c r="DK12" i="24"/>
  <c r="DJ12" i="24"/>
  <c r="DI12" i="24"/>
  <c r="DH12" i="24"/>
  <c r="DG12" i="24"/>
  <c r="DF12" i="24"/>
  <c r="DE12" i="24"/>
  <c r="DD12" i="24"/>
  <c r="DC12" i="24"/>
  <c r="DB12" i="24"/>
  <c r="DA12" i="24"/>
  <c r="CZ12" i="24"/>
  <c r="CY12" i="24"/>
  <c r="CX12" i="24"/>
  <c r="CW12" i="24"/>
  <c r="CV12" i="24"/>
  <c r="CU12" i="24"/>
  <c r="CT12" i="24"/>
  <c r="CS12" i="24"/>
  <c r="CR12" i="24"/>
  <c r="CQ12" i="24"/>
  <c r="CP12" i="24"/>
  <c r="CO12" i="24"/>
  <c r="CN12" i="24"/>
  <c r="CM12" i="24"/>
  <c r="CL12" i="24"/>
  <c r="CK12" i="24"/>
  <c r="CJ12" i="24"/>
  <c r="CI12" i="24"/>
  <c r="CH12" i="24"/>
  <c r="CG12" i="24"/>
  <c r="CF12" i="24"/>
  <c r="CE12" i="24"/>
  <c r="CD12" i="24"/>
  <c r="CC12" i="24"/>
  <c r="CB12" i="24"/>
  <c r="CA12" i="24"/>
  <c r="BZ12" i="24"/>
  <c r="BY12" i="24"/>
  <c r="BX12" i="24"/>
  <c r="BW12" i="24"/>
  <c r="BV12" i="24"/>
  <c r="BU12" i="24"/>
  <c r="BT12" i="24"/>
  <c r="BS12" i="24"/>
  <c r="BR12" i="24"/>
  <c r="BQ12" i="24"/>
  <c r="BP12" i="24"/>
  <c r="BO12" i="24"/>
  <c r="BN12" i="24"/>
  <c r="BM12" i="24"/>
  <c r="BL12" i="24"/>
  <c r="BK12" i="24"/>
  <c r="BJ12" i="24"/>
  <c r="V12" i="24"/>
  <c r="U12" i="24"/>
  <c r="O12" i="24"/>
  <c r="N12" i="24"/>
  <c r="M12" i="24"/>
  <c r="L12" i="24"/>
  <c r="G12" i="24"/>
  <c r="F12" i="24"/>
  <c r="E12" i="24"/>
  <c r="D12" i="24"/>
  <c r="C12" i="24"/>
  <c r="B12" i="24"/>
  <c r="GT91" i="31"/>
  <c r="GT96" i="31" s="1"/>
  <c r="GT109" i="31" s="1"/>
  <c r="GS91" i="31"/>
  <c r="GS96" i="31" s="1"/>
  <c r="GS109" i="31" s="1"/>
  <c r="GR91" i="31"/>
  <c r="GR96" i="31" s="1"/>
  <c r="GR109" i="31" s="1"/>
  <c r="GQ91" i="31"/>
  <c r="GQ96" i="31" s="1"/>
  <c r="GQ109" i="31" s="1"/>
  <c r="GP91" i="31"/>
  <c r="GP96" i="31" s="1"/>
  <c r="GP109" i="31" s="1"/>
  <c r="GO91" i="31"/>
  <c r="GO96" i="31" s="1"/>
  <c r="GO109" i="31" s="1"/>
  <c r="GN91" i="31"/>
  <c r="GN96" i="31" s="1"/>
  <c r="GN109" i="31" s="1"/>
  <c r="GM91" i="31"/>
  <c r="GM96" i="31" s="1"/>
  <c r="GM109" i="31" s="1"/>
  <c r="GL91" i="31"/>
  <c r="GL96" i="31" s="1"/>
  <c r="GL109" i="31" s="1"/>
  <c r="GK91" i="31"/>
  <c r="GK96" i="31" s="1"/>
  <c r="GK109" i="31" s="1"/>
  <c r="GJ91" i="31"/>
  <c r="GJ96" i="31" s="1"/>
  <c r="GJ109" i="31" s="1"/>
  <c r="GI91" i="31"/>
  <c r="GI96" i="31" s="1"/>
  <c r="GI109" i="31" s="1"/>
  <c r="GH91" i="31"/>
  <c r="GH96" i="31" s="1"/>
  <c r="GH109" i="31" s="1"/>
  <c r="GG91" i="31"/>
  <c r="GG96" i="31" s="1"/>
  <c r="GG109" i="31" s="1"/>
  <c r="GF91" i="31"/>
  <c r="GF96" i="31" s="1"/>
  <c r="GF109" i="31" s="1"/>
  <c r="GE91" i="31"/>
  <c r="GE96" i="31" s="1"/>
  <c r="GE109" i="31" s="1"/>
  <c r="GD91" i="31"/>
  <c r="GD96" i="31" s="1"/>
  <c r="GD109" i="31" s="1"/>
  <c r="GC91" i="31"/>
  <c r="GC96" i="31" s="1"/>
  <c r="GC109" i="31" s="1"/>
  <c r="GB91" i="31"/>
  <c r="GB96" i="31" s="1"/>
  <c r="GB109" i="31" s="1"/>
  <c r="GA91" i="31"/>
  <c r="GA96" i="31" s="1"/>
  <c r="GA109" i="31" s="1"/>
  <c r="FZ91" i="31"/>
  <c r="FZ96" i="31" s="1"/>
  <c r="FZ109" i="31" s="1"/>
  <c r="FY91" i="31"/>
  <c r="FY96" i="31" s="1"/>
  <c r="FY109" i="31" s="1"/>
  <c r="FX91" i="31"/>
  <c r="FX96" i="31" s="1"/>
  <c r="FX109" i="31" s="1"/>
  <c r="FW91" i="31"/>
  <c r="FW96" i="31" s="1"/>
  <c r="FW109" i="31" s="1"/>
  <c r="FV91" i="31"/>
  <c r="FV96" i="31" s="1"/>
  <c r="FV109" i="31" s="1"/>
  <c r="FU91" i="31"/>
  <c r="FU96" i="31" s="1"/>
  <c r="FU109" i="31" s="1"/>
  <c r="FT91" i="31"/>
  <c r="FT96" i="31" s="1"/>
  <c r="FT109" i="31" s="1"/>
  <c r="FS91" i="31"/>
  <c r="FS96" i="31" s="1"/>
  <c r="FS109" i="31" s="1"/>
  <c r="FR91" i="31"/>
  <c r="FR96" i="31" s="1"/>
  <c r="FR109" i="31" s="1"/>
  <c r="FQ91" i="31"/>
  <c r="FQ96" i="31" s="1"/>
  <c r="FQ109" i="31" s="1"/>
  <c r="FP91" i="31"/>
  <c r="FP96" i="31" s="1"/>
  <c r="FP109" i="31" s="1"/>
  <c r="FO91" i="31"/>
  <c r="FO96" i="31" s="1"/>
  <c r="FO109" i="31" s="1"/>
  <c r="FN91" i="31"/>
  <c r="FN96" i="31" s="1"/>
  <c r="FN109" i="31" s="1"/>
  <c r="FM91" i="31"/>
  <c r="FM96" i="31" s="1"/>
  <c r="FM109" i="31" s="1"/>
  <c r="FL91" i="31"/>
  <c r="FL96" i="31" s="1"/>
  <c r="FL109" i="31" s="1"/>
  <c r="FK91" i="31"/>
  <c r="FK96" i="31" s="1"/>
  <c r="FK109" i="31" s="1"/>
  <c r="FJ91" i="31"/>
  <c r="FJ96" i="31" s="1"/>
  <c r="FJ109" i="31" s="1"/>
  <c r="FI91" i="31"/>
  <c r="FI96" i="31" s="1"/>
  <c r="FI109" i="31" s="1"/>
  <c r="FH91" i="31"/>
  <c r="FH96" i="31" s="1"/>
  <c r="FH109" i="31" s="1"/>
  <c r="FG91" i="31"/>
  <c r="FG96" i="31" s="1"/>
  <c r="FG109" i="31" s="1"/>
  <c r="FF91" i="31"/>
  <c r="FF96" i="31" s="1"/>
  <c r="FF109" i="31" s="1"/>
  <c r="FE91" i="31"/>
  <c r="FE96" i="31" s="1"/>
  <c r="FE109" i="31" s="1"/>
  <c r="FD91" i="31"/>
  <c r="FD96" i="31" s="1"/>
  <c r="FD109" i="31" s="1"/>
  <c r="FC91" i="31"/>
  <c r="FC96" i="31" s="1"/>
  <c r="FC109" i="31" s="1"/>
  <c r="FB91" i="31"/>
  <c r="FB96" i="31" s="1"/>
  <c r="FB109" i="31" s="1"/>
  <c r="FA91" i="31"/>
  <c r="FA96" i="31" s="1"/>
  <c r="FA109" i="31" s="1"/>
  <c r="EZ91" i="31"/>
  <c r="EZ96" i="31" s="1"/>
  <c r="EZ109" i="31" s="1"/>
  <c r="EY91" i="31"/>
  <c r="EY96" i="31" s="1"/>
  <c r="EY109" i="31" s="1"/>
  <c r="EX91" i="31"/>
  <c r="EX96" i="31" s="1"/>
  <c r="EX109" i="31" s="1"/>
  <c r="EW91" i="31"/>
  <c r="EW96" i="31" s="1"/>
  <c r="EW109" i="31" s="1"/>
  <c r="EV91" i="31"/>
  <c r="EV96" i="31" s="1"/>
  <c r="EV109" i="31" s="1"/>
  <c r="EU91" i="31"/>
  <c r="EU96" i="31" s="1"/>
  <c r="EU109" i="31" s="1"/>
  <c r="ET91" i="31"/>
  <c r="ET96" i="31" s="1"/>
  <c r="ET109" i="31" s="1"/>
  <c r="ES91" i="31"/>
  <c r="ES96" i="31" s="1"/>
  <c r="ES109" i="31" s="1"/>
  <c r="ER91" i="31"/>
  <c r="ER96" i="31" s="1"/>
  <c r="ER109" i="31" s="1"/>
  <c r="EQ91" i="31"/>
  <c r="EQ96" i="31" s="1"/>
  <c r="EQ109" i="31" s="1"/>
  <c r="EP91" i="31"/>
  <c r="EP96" i="31" s="1"/>
  <c r="EP109" i="31" s="1"/>
  <c r="EO91" i="31"/>
  <c r="EO96" i="31" s="1"/>
  <c r="EO109" i="31" s="1"/>
  <c r="EN91" i="31"/>
  <c r="EN96" i="31" s="1"/>
  <c r="EN109" i="31" s="1"/>
  <c r="EM91" i="31"/>
  <c r="EM96" i="31" s="1"/>
  <c r="EM109" i="31" s="1"/>
  <c r="EL91" i="31"/>
  <c r="EL96" i="31" s="1"/>
  <c r="EL109" i="31" s="1"/>
  <c r="EK91" i="31"/>
  <c r="EK96" i="31" s="1"/>
  <c r="EK109" i="31" s="1"/>
  <c r="EJ91" i="31"/>
  <c r="EJ96" i="31" s="1"/>
  <c r="EJ109" i="31" s="1"/>
  <c r="EI91" i="31"/>
  <c r="EI96" i="31" s="1"/>
  <c r="EI109" i="31" s="1"/>
  <c r="EH91" i="31"/>
  <c r="EH96" i="31" s="1"/>
  <c r="EH109" i="31" s="1"/>
  <c r="EG91" i="31"/>
  <c r="EG96" i="31" s="1"/>
  <c r="EG109" i="31" s="1"/>
  <c r="EF91" i="31"/>
  <c r="EF96" i="31" s="1"/>
  <c r="EF109" i="31" s="1"/>
  <c r="EE91" i="31"/>
  <c r="EE96" i="31" s="1"/>
  <c r="EE109" i="31" s="1"/>
  <c r="ED91" i="31"/>
  <c r="ED96" i="31" s="1"/>
  <c r="ED109" i="31" s="1"/>
  <c r="EC91" i="31"/>
  <c r="EC96" i="31" s="1"/>
  <c r="EC109" i="31" s="1"/>
  <c r="EB91" i="31"/>
  <c r="EB96" i="31" s="1"/>
  <c r="EB109" i="31" s="1"/>
  <c r="EA91" i="31"/>
  <c r="EA96" i="31" s="1"/>
  <c r="EA109" i="31" s="1"/>
  <c r="DZ91" i="31"/>
  <c r="DZ96" i="31" s="1"/>
  <c r="DZ109" i="31" s="1"/>
  <c r="DY91" i="31"/>
  <c r="DY96" i="31" s="1"/>
  <c r="DY109" i="31" s="1"/>
  <c r="DX91" i="31"/>
  <c r="DX96" i="31" s="1"/>
  <c r="DX109" i="31" s="1"/>
  <c r="DW91" i="31"/>
  <c r="DW96" i="31" s="1"/>
  <c r="DW109" i="31" s="1"/>
  <c r="DV91" i="31"/>
  <c r="DV96" i="31" s="1"/>
  <c r="DV109" i="31" s="1"/>
  <c r="DU91" i="31"/>
  <c r="DU96" i="31" s="1"/>
  <c r="DU109" i="31" s="1"/>
  <c r="DT91" i="31"/>
  <c r="DT96" i="31" s="1"/>
  <c r="DT109" i="31" s="1"/>
  <c r="DS91" i="31"/>
  <c r="DS96" i="31" s="1"/>
  <c r="DS109" i="31" s="1"/>
  <c r="DR91" i="31"/>
  <c r="DR96" i="31" s="1"/>
  <c r="DR109" i="31" s="1"/>
  <c r="DQ91" i="31"/>
  <c r="DQ96" i="31" s="1"/>
  <c r="DQ109" i="31" s="1"/>
  <c r="DP91" i="31"/>
  <c r="DP96" i="31" s="1"/>
  <c r="DP109" i="31" s="1"/>
  <c r="DO91" i="31"/>
  <c r="DO96" i="31" s="1"/>
  <c r="DO109" i="31" s="1"/>
  <c r="DN91" i="31"/>
  <c r="DN96" i="31" s="1"/>
  <c r="DN109" i="31" s="1"/>
  <c r="DM91" i="31"/>
  <c r="DM96" i="31" s="1"/>
  <c r="DM109" i="31" s="1"/>
  <c r="DL91" i="31"/>
  <c r="DL96" i="31" s="1"/>
  <c r="DL109" i="31" s="1"/>
  <c r="DK91" i="31"/>
  <c r="DK96" i="31" s="1"/>
  <c r="DK109" i="31" s="1"/>
  <c r="DJ91" i="31"/>
  <c r="DJ96" i="31" s="1"/>
  <c r="DJ109" i="31" s="1"/>
  <c r="DI91" i="31"/>
  <c r="DI96" i="31" s="1"/>
  <c r="DI109" i="31" s="1"/>
  <c r="DH91" i="31"/>
  <c r="DH96" i="31" s="1"/>
  <c r="DH109" i="31" s="1"/>
  <c r="DG91" i="31"/>
  <c r="DG96" i="31" s="1"/>
  <c r="DG109" i="31" s="1"/>
  <c r="DF91" i="31"/>
  <c r="DF96" i="31" s="1"/>
  <c r="DF109" i="31" s="1"/>
  <c r="DE91" i="31"/>
  <c r="DE96" i="31" s="1"/>
  <c r="DE109" i="31" s="1"/>
  <c r="DD91" i="31"/>
  <c r="DD96" i="31" s="1"/>
  <c r="DD109" i="31" s="1"/>
  <c r="DC91" i="31"/>
  <c r="DC96" i="31" s="1"/>
  <c r="DC109" i="31" s="1"/>
  <c r="DB91" i="31"/>
  <c r="DB96" i="31" s="1"/>
  <c r="DB109" i="31" s="1"/>
  <c r="DA91" i="31"/>
  <c r="DA96" i="31" s="1"/>
  <c r="DA109" i="31" s="1"/>
  <c r="CZ91" i="31"/>
  <c r="CZ96" i="31" s="1"/>
  <c r="CZ109" i="31" s="1"/>
  <c r="CY91" i="31"/>
  <c r="CY96" i="31" s="1"/>
  <c r="CY109" i="31" s="1"/>
  <c r="CX91" i="31"/>
  <c r="CX96" i="31" s="1"/>
  <c r="CX109" i="31" s="1"/>
  <c r="CW91" i="31"/>
  <c r="CW96" i="31" s="1"/>
  <c r="CW109" i="31" s="1"/>
  <c r="CV91" i="31"/>
  <c r="CV96" i="31" s="1"/>
  <c r="CV109" i="31" s="1"/>
  <c r="CU91" i="31"/>
  <c r="CU96" i="31" s="1"/>
  <c r="CU109" i="31" s="1"/>
  <c r="CT91" i="31"/>
  <c r="CT96" i="31" s="1"/>
  <c r="CT109" i="31" s="1"/>
  <c r="CS91" i="31"/>
  <c r="CS96" i="31" s="1"/>
  <c r="CS109" i="31" s="1"/>
  <c r="CR91" i="31"/>
  <c r="CR96" i="31" s="1"/>
  <c r="CR109" i="31" s="1"/>
  <c r="CQ91" i="31"/>
  <c r="CQ96" i="31" s="1"/>
  <c r="CQ109" i="31" s="1"/>
  <c r="CP91" i="31"/>
  <c r="CP96" i="31" s="1"/>
  <c r="CP109" i="31" s="1"/>
  <c r="CO91" i="31"/>
  <c r="CO96" i="31" s="1"/>
  <c r="CO109" i="31" s="1"/>
  <c r="CN91" i="31"/>
  <c r="CN96" i="31" s="1"/>
  <c r="CN109" i="31" s="1"/>
  <c r="CM91" i="31"/>
  <c r="CM96" i="31" s="1"/>
  <c r="CM109" i="31" s="1"/>
  <c r="CL91" i="31"/>
  <c r="CL96" i="31" s="1"/>
  <c r="CL109" i="31" s="1"/>
  <c r="CK91" i="31"/>
  <c r="CK96" i="31" s="1"/>
  <c r="CK109" i="31" s="1"/>
  <c r="CJ91" i="31"/>
  <c r="CJ96" i="31" s="1"/>
  <c r="CJ109" i="31" s="1"/>
  <c r="CI91" i="31"/>
  <c r="CI96" i="31" s="1"/>
  <c r="CI109" i="31" s="1"/>
  <c r="CH91" i="31"/>
  <c r="CH96" i="31" s="1"/>
  <c r="CH109" i="31" s="1"/>
  <c r="CG91" i="31"/>
  <c r="CG96" i="31" s="1"/>
  <c r="CG109" i="31" s="1"/>
  <c r="CF91" i="31"/>
  <c r="CF96" i="31" s="1"/>
  <c r="CF109" i="31" s="1"/>
  <c r="CE91" i="31"/>
  <c r="CE96" i="31" s="1"/>
  <c r="CE109" i="31" s="1"/>
  <c r="CD91" i="31"/>
  <c r="CD96" i="31" s="1"/>
  <c r="CD109" i="31" s="1"/>
  <c r="CC91" i="31"/>
  <c r="CC96" i="31" s="1"/>
  <c r="CC109" i="31" s="1"/>
  <c r="CB91" i="31"/>
  <c r="CB96" i="31" s="1"/>
  <c r="CB109" i="31" s="1"/>
  <c r="CA91" i="31"/>
  <c r="CA96" i="31" s="1"/>
  <c r="CA109" i="31" s="1"/>
  <c r="BZ91" i="31"/>
  <c r="BZ96" i="31" s="1"/>
  <c r="BZ109" i="31" s="1"/>
  <c r="BY91" i="31"/>
  <c r="BY96" i="31" s="1"/>
  <c r="BY109" i="31" s="1"/>
  <c r="BX91" i="31"/>
  <c r="BX96" i="31" s="1"/>
  <c r="BX109" i="31" s="1"/>
  <c r="BW91" i="31"/>
  <c r="BW96" i="31" s="1"/>
  <c r="BW109" i="31" s="1"/>
  <c r="BV91" i="31"/>
  <c r="BV96" i="31" s="1"/>
  <c r="BV109" i="31" s="1"/>
  <c r="BU91" i="31"/>
  <c r="BU96" i="31" s="1"/>
  <c r="BU109" i="31" s="1"/>
  <c r="BT91" i="31"/>
  <c r="BT96" i="31" s="1"/>
  <c r="BT109" i="31" s="1"/>
  <c r="BS91" i="31"/>
  <c r="BS96" i="31" s="1"/>
  <c r="BS109" i="31" s="1"/>
  <c r="BR91" i="31"/>
  <c r="BR96" i="31" s="1"/>
  <c r="BR109" i="31" s="1"/>
  <c r="BQ91" i="31"/>
  <c r="BQ96" i="31" s="1"/>
  <c r="BQ109" i="31" s="1"/>
  <c r="BP91" i="31"/>
  <c r="BP96" i="31" s="1"/>
  <c r="BP109" i="31" s="1"/>
  <c r="BO91" i="31"/>
  <c r="BO96" i="31" s="1"/>
  <c r="BO109" i="31" s="1"/>
  <c r="BN91" i="31"/>
  <c r="BN96" i="31" s="1"/>
  <c r="BN109" i="31" s="1"/>
  <c r="BM91" i="31"/>
  <c r="BM96" i="31" s="1"/>
  <c r="BM109" i="31" s="1"/>
  <c r="BL91" i="31"/>
  <c r="BL96" i="31" s="1"/>
  <c r="BL109" i="31" s="1"/>
  <c r="BK91" i="31"/>
  <c r="BK96" i="31" s="1"/>
  <c r="BK109" i="31" s="1"/>
  <c r="H91" i="31"/>
  <c r="H96" i="31" s="1"/>
  <c r="H109" i="31" s="1"/>
  <c r="G96" i="31"/>
  <c r="G109" i="31" s="1"/>
  <c r="F91" i="31"/>
  <c r="F96" i="31" s="1"/>
  <c r="F109" i="31" s="1"/>
  <c r="D91" i="31"/>
  <c r="D96" i="31" s="1"/>
  <c r="D109" i="31" s="1"/>
  <c r="C14" i="31"/>
  <c r="E11" i="31"/>
  <c r="F11" i="31" s="1"/>
  <c r="G11" i="31" s="1"/>
  <c r="C12" i="31" l="1"/>
  <c r="D3" i="28" s="1"/>
  <c r="E3" i="28" s="1"/>
  <c r="C5" i="31"/>
  <c r="C112" i="31" s="1"/>
  <c r="W12" i="24"/>
  <c r="AE12" i="24"/>
  <c r="AM12" i="24"/>
  <c r="AU12" i="24"/>
  <c r="BC12" i="24"/>
  <c r="P12" i="24"/>
  <c r="X12" i="24"/>
  <c r="AF12" i="24"/>
  <c r="AN12" i="24"/>
  <c r="AV12" i="24"/>
  <c r="Q12" i="24"/>
  <c r="Y12" i="24"/>
  <c r="AG12" i="24"/>
  <c r="AO12" i="24"/>
  <c r="AW12" i="24"/>
  <c r="BE12" i="24"/>
  <c r="R12" i="24"/>
  <c r="Z12" i="24"/>
  <c r="AH12" i="24"/>
  <c r="AP12" i="24"/>
  <c r="AX12" i="24"/>
  <c r="BF12" i="24"/>
  <c r="S12" i="24"/>
  <c r="AA12" i="24"/>
  <c r="AI12" i="24"/>
  <c r="AQ12" i="24"/>
  <c r="AY12" i="24"/>
  <c r="BG12" i="24"/>
  <c r="T12" i="24"/>
  <c r="AB12" i="24"/>
  <c r="AJ12" i="24"/>
  <c r="AR12" i="24"/>
  <c r="AZ12" i="24"/>
  <c r="BH12" i="24"/>
  <c r="AC12" i="24"/>
  <c r="AK12" i="24"/>
  <c r="AS12" i="24"/>
  <c r="BA12" i="24"/>
  <c r="BI12" i="24"/>
  <c r="AD12" i="24"/>
  <c r="AL12" i="24"/>
  <c r="AT12" i="24"/>
  <c r="BB12" i="24"/>
  <c r="D14" i="31"/>
  <c r="D5" i="31" s="1"/>
  <c r="D112" i="31" s="1"/>
  <c r="C96" i="31"/>
  <c r="C109" i="31" s="1"/>
  <c r="C13" i="31"/>
  <c r="H11" i="31"/>
  <c r="U3" i="28" l="1"/>
  <c r="D113" i="31"/>
  <c r="D10" i="31" s="1"/>
  <c r="D10" i="10" s="1"/>
  <c r="C9" i="31"/>
  <c r="C113" i="31"/>
  <c r="C10" i="31" s="1"/>
  <c r="C10" i="10" s="1"/>
  <c r="BE91" i="31"/>
  <c r="BE96" i="31" s="1"/>
  <c r="BE109" i="31" s="1"/>
  <c r="BD12" i="24"/>
  <c r="AH3" i="28"/>
  <c r="F3" i="28"/>
  <c r="D12" i="31"/>
  <c r="E14" i="31"/>
  <c r="D13" i="31"/>
  <c r="I1" i="31"/>
  <c r="I11" i="31"/>
  <c r="E13" i="31" l="1"/>
  <c r="E5" i="31"/>
  <c r="E112" i="31" s="1"/>
  <c r="K91" i="31"/>
  <c r="K96" i="31" s="1"/>
  <c r="K109" i="31" s="1"/>
  <c r="J12" i="24"/>
  <c r="D9" i="31"/>
  <c r="E12" i="31"/>
  <c r="F14" i="31"/>
  <c r="F5" i="31" s="1"/>
  <c r="F112" i="31" s="1"/>
  <c r="J11" i="31"/>
  <c r="J1" i="31"/>
  <c r="F113" i="31" l="1"/>
  <c r="F10" i="31" s="1"/>
  <c r="F10" i="10" s="1"/>
  <c r="E113" i="31"/>
  <c r="E10" i="31" s="1"/>
  <c r="G14" i="31"/>
  <c r="E9" i="31"/>
  <c r="F12" i="31"/>
  <c r="F13" i="31"/>
  <c r="K11" i="31"/>
  <c r="K1" i="31"/>
  <c r="E10" i="10" l="1"/>
  <c r="G13" i="31"/>
  <c r="G5" i="31"/>
  <c r="G112" i="31" s="1"/>
  <c r="H14" i="31"/>
  <c r="G12" i="31"/>
  <c r="F9" i="31"/>
  <c r="L1" i="31"/>
  <c r="L11" i="31"/>
  <c r="G113" i="31" l="1"/>
  <c r="G10" i="31" s="1"/>
  <c r="G10" i="10" s="1"/>
  <c r="I14" i="31"/>
  <c r="J14" i="31" s="1"/>
  <c r="H5" i="31"/>
  <c r="H112" i="31" s="1"/>
  <c r="H13" i="31"/>
  <c r="G9" i="31"/>
  <c r="H12" i="31"/>
  <c r="M1" i="31"/>
  <c r="M11" i="31"/>
  <c r="D34" i="10"/>
  <c r="E34" i="10"/>
  <c r="G34" i="10"/>
  <c r="I34" i="10"/>
  <c r="J34" i="10"/>
  <c r="L34" i="10"/>
  <c r="M34" i="10"/>
  <c r="N34" i="10"/>
  <c r="O34" i="10"/>
  <c r="P34" i="10"/>
  <c r="Q34" i="10"/>
  <c r="R34" i="10"/>
  <c r="S34" i="10"/>
  <c r="T34" i="10"/>
  <c r="U34" i="10"/>
  <c r="V34" i="10"/>
  <c r="W34" i="10"/>
  <c r="X34" i="10"/>
  <c r="Y34" i="10"/>
  <c r="Z34" i="10"/>
  <c r="AA34" i="10"/>
  <c r="AB34" i="10"/>
  <c r="AC34" i="10"/>
  <c r="AD34" i="10"/>
  <c r="AE34" i="10"/>
  <c r="AF34" i="10"/>
  <c r="AG34" i="10"/>
  <c r="AH34" i="10"/>
  <c r="AI34" i="10"/>
  <c r="AJ34" i="10"/>
  <c r="AK34" i="10"/>
  <c r="AL34" i="10"/>
  <c r="AM34" i="10"/>
  <c r="AN34" i="10"/>
  <c r="AO34" i="10"/>
  <c r="AP34" i="10"/>
  <c r="AQ34" i="10"/>
  <c r="AR34" i="10"/>
  <c r="AS34" i="10"/>
  <c r="AT34" i="10"/>
  <c r="AU34" i="10"/>
  <c r="AV34" i="10"/>
  <c r="AW34" i="10"/>
  <c r="AX34" i="10"/>
  <c r="AY34" i="10"/>
  <c r="AZ34" i="10"/>
  <c r="BA34" i="10"/>
  <c r="BB34" i="10"/>
  <c r="BC34" i="10"/>
  <c r="BD34" i="10"/>
  <c r="BE34" i="10"/>
  <c r="BF34" i="10"/>
  <c r="BG34" i="10"/>
  <c r="BH34" i="10"/>
  <c r="BI34" i="10"/>
  <c r="BJ34" i="10"/>
  <c r="BK34" i="10"/>
  <c r="BL34" i="10"/>
  <c r="BM34" i="10"/>
  <c r="BN34" i="10"/>
  <c r="BO34" i="10"/>
  <c r="BP34" i="10"/>
  <c r="BQ34" i="10"/>
  <c r="BR34" i="10"/>
  <c r="BS34" i="10"/>
  <c r="BT34" i="10"/>
  <c r="BU34" i="10"/>
  <c r="BV34" i="10"/>
  <c r="BW34" i="10"/>
  <c r="BX34" i="10"/>
  <c r="BY34" i="10"/>
  <c r="BZ34" i="10"/>
  <c r="CA34" i="10"/>
  <c r="CB34" i="10"/>
  <c r="CC34" i="10"/>
  <c r="CD34" i="10"/>
  <c r="CE34" i="10"/>
  <c r="CF34" i="10"/>
  <c r="CG34" i="10"/>
  <c r="CH34" i="10"/>
  <c r="CI34" i="10"/>
  <c r="CJ34" i="10"/>
  <c r="CK34" i="10"/>
  <c r="CL34" i="10"/>
  <c r="CM34" i="10"/>
  <c r="CN34" i="10"/>
  <c r="CO34" i="10"/>
  <c r="CP34" i="10"/>
  <c r="CQ34" i="10"/>
  <c r="CR34" i="10"/>
  <c r="CS34" i="10"/>
  <c r="CT34" i="10"/>
  <c r="CU34" i="10"/>
  <c r="CV34" i="10"/>
  <c r="CW34" i="10"/>
  <c r="CX34" i="10"/>
  <c r="CY34" i="10"/>
  <c r="CZ34" i="10"/>
  <c r="DA34" i="10"/>
  <c r="DB34" i="10"/>
  <c r="DC34" i="10"/>
  <c r="DD34" i="10"/>
  <c r="DE34" i="10"/>
  <c r="DF34" i="10"/>
  <c r="DG34" i="10"/>
  <c r="DH34" i="10"/>
  <c r="DI34" i="10"/>
  <c r="DJ34" i="10"/>
  <c r="DK34" i="10"/>
  <c r="DL34" i="10"/>
  <c r="DM34" i="10"/>
  <c r="DN34" i="10"/>
  <c r="DO34" i="10"/>
  <c r="DP34" i="10"/>
  <c r="DQ34" i="10"/>
  <c r="DR34" i="10"/>
  <c r="DS34" i="10"/>
  <c r="DT34" i="10"/>
  <c r="DU34" i="10"/>
  <c r="DV34" i="10"/>
  <c r="DW34" i="10"/>
  <c r="DX34" i="10"/>
  <c r="DY34" i="10"/>
  <c r="DZ34" i="10"/>
  <c r="EA34" i="10"/>
  <c r="EB34" i="10"/>
  <c r="EC34" i="10"/>
  <c r="ED34" i="10"/>
  <c r="EE34" i="10"/>
  <c r="EF34" i="10"/>
  <c r="EG34" i="10"/>
  <c r="EH34" i="10"/>
  <c r="EI34" i="10"/>
  <c r="EJ34" i="10"/>
  <c r="EK34" i="10"/>
  <c r="EL34" i="10"/>
  <c r="EM34" i="10"/>
  <c r="EN34" i="10"/>
  <c r="EO34" i="10"/>
  <c r="EP34" i="10"/>
  <c r="EQ34" i="10"/>
  <c r="ER34" i="10"/>
  <c r="ES34" i="10"/>
  <c r="ET34" i="10"/>
  <c r="EU34" i="10"/>
  <c r="EV34" i="10"/>
  <c r="EW34" i="10"/>
  <c r="EX34" i="10"/>
  <c r="EY34" i="10"/>
  <c r="EZ34" i="10"/>
  <c r="FA34" i="10"/>
  <c r="FB34" i="10"/>
  <c r="FC34" i="10"/>
  <c r="FD34" i="10"/>
  <c r="FE34" i="10"/>
  <c r="FF34" i="10"/>
  <c r="FG34" i="10"/>
  <c r="FH34" i="10"/>
  <c r="FI34" i="10"/>
  <c r="FJ34" i="10"/>
  <c r="FK34" i="10"/>
  <c r="FL34" i="10"/>
  <c r="FM34" i="10"/>
  <c r="FN34" i="10"/>
  <c r="FO34" i="10"/>
  <c r="FP34" i="10"/>
  <c r="FQ34" i="10"/>
  <c r="FR34" i="10"/>
  <c r="FS34" i="10"/>
  <c r="FT34" i="10"/>
  <c r="FU34" i="10"/>
  <c r="FV34" i="10"/>
  <c r="FW34" i="10"/>
  <c r="FX34" i="10"/>
  <c r="FY34" i="10"/>
  <c r="FZ34" i="10"/>
  <c r="GA34" i="10"/>
  <c r="GB34" i="10"/>
  <c r="GC34" i="10"/>
  <c r="GD34" i="10"/>
  <c r="GE34" i="10"/>
  <c r="GF34" i="10"/>
  <c r="GG34" i="10"/>
  <c r="GH34" i="10"/>
  <c r="GI34" i="10"/>
  <c r="GJ34" i="10"/>
  <c r="GK34" i="10"/>
  <c r="GL34" i="10"/>
  <c r="GM34" i="10"/>
  <c r="GN34" i="10"/>
  <c r="GO34" i="10"/>
  <c r="GP34" i="10"/>
  <c r="GQ34" i="10"/>
  <c r="GR34" i="10"/>
  <c r="GS34" i="10"/>
  <c r="GT34" i="10"/>
  <c r="GF303" i="24" l="1"/>
  <c r="GF284" i="24"/>
  <c r="GE284" i="24"/>
  <c r="GE303" i="24"/>
  <c r="FG284" i="24"/>
  <c r="FG303" i="24"/>
  <c r="EI284" i="24"/>
  <c r="EI303" i="24"/>
  <c r="DK284" i="24"/>
  <c r="DK303" i="24"/>
  <c r="CM284" i="24"/>
  <c r="CM303" i="24"/>
  <c r="BO284" i="24"/>
  <c r="BO303" i="24"/>
  <c r="AQ284" i="24"/>
  <c r="AQ303" i="24"/>
  <c r="G284" i="24"/>
  <c r="G303" i="24"/>
  <c r="GP284" i="24"/>
  <c r="GP303" i="24"/>
  <c r="GD284" i="24"/>
  <c r="GD303" i="24"/>
  <c r="FF284" i="24"/>
  <c r="FF303" i="24"/>
  <c r="ET284" i="24"/>
  <c r="ET303" i="24"/>
  <c r="EH284" i="24"/>
  <c r="EH303" i="24"/>
  <c r="DJ284" i="24"/>
  <c r="DJ303" i="24"/>
  <c r="CX284" i="24"/>
  <c r="CX303" i="24"/>
  <c r="CL284" i="24"/>
  <c r="CL303" i="24"/>
  <c r="BZ303" i="24"/>
  <c r="BZ284" i="24"/>
  <c r="BN284" i="24"/>
  <c r="BN303" i="24"/>
  <c r="BB284" i="24"/>
  <c r="BB303" i="24"/>
  <c r="AP284" i="24"/>
  <c r="AP303" i="24"/>
  <c r="AD303" i="24"/>
  <c r="AD284" i="24"/>
  <c r="R284" i="24"/>
  <c r="R303" i="24"/>
  <c r="GO284" i="24"/>
  <c r="GO303" i="24"/>
  <c r="GC303" i="24"/>
  <c r="GC284" i="24"/>
  <c r="FQ303" i="24"/>
  <c r="FQ284" i="24"/>
  <c r="FE284" i="24"/>
  <c r="FE303" i="24"/>
  <c r="ES284" i="24"/>
  <c r="ES303" i="24"/>
  <c r="EG284" i="24"/>
  <c r="EG303" i="24"/>
  <c r="DU303" i="24"/>
  <c r="DU284" i="24"/>
  <c r="DI303" i="24"/>
  <c r="DI284" i="24"/>
  <c r="CW284" i="24"/>
  <c r="CW303" i="24"/>
  <c r="CK284" i="24"/>
  <c r="CK303" i="24"/>
  <c r="BY303" i="24"/>
  <c r="BY284" i="24"/>
  <c r="BM284" i="24"/>
  <c r="BM303" i="24"/>
  <c r="BA303" i="24"/>
  <c r="BA284" i="24"/>
  <c r="AO284" i="24"/>
  <c r="AO303" i="24"/>
  <c r="AC284" i="24"/>
  <c r="AC303" i="24"/>
  <c r="Q303" i="24"/>
  <c r="Q284" i="24"/>
  <c r="E284" i="24"/>
  <c r="E303" i="24"/>
  <c r="GN284" i="24"/>
  <c r="GN303" i="24"/>
  <c r="GB284" i="24"/>
  <c r="GB303" i="24"/>
  <c r="FP284" i="24"/>
  <c r="FP303" i="24"/>
  <c r="FD284" i="24"/>
  <c r="FD303" i="24"/>
  <c r="ER284" i="24"/>
  <c r="ER303" i="24"/>
  <c r="EF284" i="24"/>
  <c r="EF303" i="24"/>
  <c r="DT284" i="24"/>
  <c r="DT303" i="24"/>
  <c r="DH284" i="24"/>
  <c r="DH303" i="24"/>
  <c r="CV284" i="24"/>
  <c r="CV303" i="24"/>
  <c r="CJ284" i="24"/>
  <c r="CJ303" i="24"/>
  <c r="BX284" i="24"/>
  <c r="BX303" i="24"/>
  <c r="BL284" i="24"/>
  <c r="BL303" i="24"/>
  <c r="AZ284" i="24"/>
  <c r="AZ303" i="24"/>
  <c r="AN284" i="24"/>
  <c r="AN303" i="24"/>
  <c r="AB284" i="24"/>
  <c r="AB303" i="24"/>
  <c r="P284" i="24"/>
  <c r="P303" i="24"/>
  <c r="D303" i="24"/>
  <c r="D284" i="24"/>
  <c r="GM284" i="24"/>
  <c r="GM303" i="24"/>
  <c r="GA284" i="24"/>
  <c r="GA303" i="24"/>
  <c r="FO284" i="24"/>
  <c r="FO303" i="24"/>
  <c r="FC284" i="24"/>
  <c r="FC303" i="24"/>
  <c r="EQ284" i="24"/>
  <c r="EQ303" i="24"/>
  <c r="EE284" i="24"/>
  <c r="EE303" i="24"/>
  <c r="DS284" i="24"/>
  <c r="DS303" i="24"/>
  <c r="DG284" i="24"/>
  <c r="DG303" i="24"/>
  <c r="CU284" i="24"/>
  <c r="CU303" i="24"/>
  <c r="CI284" i="24"/>
  <c r="CI303" i="24"/>
  <c r="BW284" i="24"/>
  <c r="BW303" i="24"/>
  <c r="BK284" i="24"/>
  <c r="BK303" i="24"/>
  <c r="AY284" i="24"/>
  <c r="AY303" i="24"/>
  <c r="AM284" i="24"/>
  <c r="AM303" i="24"/>
  <c r="AA284" i="24"/>
  <c r="AA303" i="24"/>
  <c r="O284" i="24"/>
  <c r="O303" i="24"/>
  <c r="C284" i="24"/>
  <c r="C303" i="24"/>
  <c r="GL284" i="24"/>
  <c r="GL303" i="24"/>
  <c r="FZ284" i="24"/>
  <c r="FZ303" i="24"/>
  <c r="FN284" i="24"/>
  <c r="FN303" i="24"/>
  <c r="FB284" i="24"/>
  <c r="FB303" i="24"/>
  <c r="EP284" i="24"/>
  <c r="EP303" i="24"/>
  <c r="ED284" i="24"/>
  <c r="ED303" i="24"/>
  <c r="DR284" i="24"/>
  <c r="DR303" i="24"/>
  <c r="DF284" i="24"/>
  <c r="DF303" i="24"/>
  <c r="CT284" i="24"/>
  <c r="CT303" i="24"/>
  <c r="CH284" i="24"/>
  <c r="CH303" i="24"/>
  <c r="BV284" i="24"/>
  <c r="BV303" i="24"/>
  <c r="BJ284" i="24"/>
  <c r="BJ303" i="24"/>
  <c r="AX284" i="24"/>
  <c r="AX303" i="24"/>
  <c r="AL284" i="24"/>
  <c r="AL303" i="24"/>
  <c r="Z284" i="24"/>
  <c r="Z303" i="24"/>
  <c r="N284" i="24"/>
  <c r="N303" i="24"/>
  <c r="GG303" i="24"/>
  <c r="GG284" i="24"/>
  <c r="FT303" i="24"/>
  <c r="FT284" i="24"/>
  <c r="GQ284" i="24"/>
  <c r="GQ303" i="24"/>
  <c r="FS284" i="24"/>
  <c r="FS303" i="24"/>
  <c r="EU284" i="24"/>
  <c r="EU303" i="24"/>
  <c r="DW284" i="24"/>
  <c r="DW303" i="24"/>
  <c r="CY284" i="24"/>
  <c r="CY303" i="24"/>
  <c r="CA284" i="24"/>
  <c r="CA303" i="24"/>
  <c r="BC284" i="24"/>
  <c r="BC303" i="24"/>
  <c r="AE284" i="24"/>
  <c r="AE303" i="24"/>
  <c r="FR303" i="24"/>
  <c r="FR284" i="24"/>
  <c r="DV303" i="24"/>
  <c r="DV284" i="24"/>
  <c r="F284" i="24"/>
  <c r="F303" i="24"/>
  <c r="GK284" i="24"/>
  <c r="GK303" i="24"/>
  <c r="FY284" i="24"/>
  <c r="FY303" i="24"/>
  <c r="FM284" i="24"/>
  <c r="FM303" i="24"/>
  <c r="FA284" i="24"/>
  <c r="FA303" i="24"/>
  <c r="EO284" i="24"/>
  <c r="EO303" i="24"/>
  <c r="EC284" i="24"/>
  <c r="EC303" i="24"/>
  <c r="DQ284" i="24"/>
  <c r="DQ303" i="24"/>
  <c r="DE303" i="24"/>
  <c r="DE284" i="24"/>
  <c r="CS303" i="24"/>
  <c r="CS284" i="24"/>
  <c r="CG303" i="24"/>
  <c r="CG284" i="24"/>
  <c r="BU303" i="24"/>
  <c r="BU284" i="24"/>
  <c r="BI303" i="24"/>
  <c r="BI284" i="24"/>
  <c r="AW303" i="24"/>
  <c r="AW284" i="24"/>
  <c r="AK303" i="24"/>
  <c r="AK284" i="24"/>
  <c r="Y303" i="24"/>
  <c r="Y284" i="24"/>
  <c r="M303" i="24"/>
  <c r="M284" i="24"/>
  <c r="GJ284" i="24"/>
  <c r="GJ303" i="24"/>
  <c r="FX284" i="24"/>
  <c r="FX303" i="24"/>
  <c r="FL284" i="24"/>
  <c r="FL303" i="24"/>
  <c r="EZ284" i="24"/>
  <c r="EZ303" i="24"/>
  <c r="EN284" i="24"/>
  <c r="EN303" i="24"/>
  <c r="EB284" i="24"/>
  <c r="EB303" i="24"/>
  <c r="DP284" i="24"/>
  <c r="DP303" i="24"/>
  <c r="DD284" i="24"/>
  <c r="DD303" i="24"/>
  <c r="CR284" i="24"/>
  <c r="CR303" i="24"/>
  <c r="CF284" i="24"/>
  <c r="CF303" i="24"/>
  <c r="BT284" i="24"/>
  <c r="BT303" i="24"/>
  <c r="BH284" i="24"/>
  <c r="BH303" i="24"/>
  <c r="AV284" i="24"/>
  <c r="AV303" i="24"/>
  <c r="AJ284" i="24"/>
  <c r="AJ303" i="24"/>
  <c r="X284" i="24"/>
  <c r="X303" i="24"/>
  <c r="L284" i="24"/>
  <c r="L303" i="24"/>
  <c r="GI303" i="24"/>
  <c r="GI284" i="24"/>
  <c r="FW303" i="24"/>
  <c r="FW284" i="24"/>
  <c r="FK303" i="24"/>
  <c r="FK284" i="24"/>
  <c r="EY303" i="24"/>
  <c r="EY284" i="24"/>
  <c r="EM303" i="24"/>
  <c r="EM284" i="24"/>
  <c r="EA303" i="24"/>
  <c r="EA284" i="24"/>
  <c r="DO303" i="24"/>
  <c r="DO284" i="24"/>
  <c r="DC303" i="24"/>
  <c r="DC284" i="24"/>
  <c r="CQ303" i="24"/>
  <c r="CQ284" i="24"/>
  <c r="CE303" i="24"/>
  <c r="CE284" i="24"/>
  <c r="BS303" i="24"/>
  <c r="BS284" i="24"/>
  <c r="BG303" i="24"/>
  <c r="BG284" i="24"/>
  <c r="AU303" i="24"/>
  <c r="AU284" i="24"/>
  <c r="AI303" i="24"/>
  <c r="AI284" i="24"/>
  <c r="W303" i="24"/>
  <c r="W284" i="24"/>
  <c r="K303" i="24"/>
  <c r="K284" i="24"/>
  <c r="GH303" i="24"/>
  <c r="GH284" i="24"/>
  <c r="FV303" i="24"/>
  <c r="FV284" i="24"/>
  <c r="FJ303" i="24"/>
  <c r="FJ284" i="24"/>
  <c r="EX303" i="24"/>
  <c r="EX284" i="24"/>
  <c r="EL303" i="24"/>
  <c r="EL284" i="24"/>
  <c r="DZ303" i="24"/>
  <c r="DZ284" i="24"/>
  <c r="DN303" i="24"/>
  <c r="DN284" i="24"/>
  <c r="DB303" i="24"/>
  <c r="DB284" i="24"/>
  <c r="CP303" i="24"/>
  <c r="CP284" i="24"/>
  <c r="CD303" i="24"/>
  <c r="CD284" i="24"/>
  <c r="BR303" i="24"/>
  <c r="BR284" i="24"/>
  <c r="BF303" i="24"/>
  <c r="BF284" i="24"/>
  <c r="AT303" i="24"/>
  <c r="AT284" i="24"/>
  <c r="AH303" i="24"/>
  <c r="AH284" i="24"/>
  <c r="V303" i="24"/>
  <c r="V284" i="24"/>
  <c r="J303" i="24"/>
  <c r="J284" i="24"/>
  <c r="GS303" i="24"/>
  <c r="GS284" i="24"/>
  <c r="FU303" i="24"/>
  <c r="FU284" i="24"/>
  <c r="FI303" i="24"/>
  <c r="FI284" i="24"/>
  <c r="EW303" i="24"/>
  <c r="EW284" i="24"/>
  <c r="EK303" i="24"/>
  <c r="EK284" i="24"/>
  <c r="DY303" i="24"/>
  <c r="DY284" i="24"/>
  <c r="DM303" i="24"/>
  <c r="DM284" i="24"/>
  <c r="DA303" i="24"/>
  <c r="DA284" i="24"/>
  <c r="CO303" i="24"/>
  <c r="CO284" i="24"/>
  <c r="CC303" i="24"/>
  <c r="CC284" i="24"/>
  <c r="BQ303" i="24"/>
  <c r="BQ284" i="24"/>
  <c r="BE303" i="24"/>
  <c r="BE284" i="24"/>
  <c r="AS303" i="24"/>
  <c r="AS284" i="24"/>
  <c r="AG303" i="24"/>
  <c r="AG284" i="24"/>
  <c r="U303" i="24"/>
  <c r="U284" i="24"/>
  <c r="I303" i="24"/>
  <c r="I284" i="24"/>
  <c r="GR303" i="24"/>
  <c r="GR284" i="24"/>
  <c r="FH303" i="24"/>
  <c r="FH284" i="24"/>
  <c r="EV303" i="24"/>
  <c r="EV284" i="24"/>
  <c r="EJ303" i="24"/>
  <c r="EJ284" i="24"/>
  <c r="DX303" i="24"/>
  <c r="DX284" i="24"/>
  <c r="DL303" i="24"/>
  <c r="DL284" i="24"/>
  <c r="CZ303" i="24"/>
  <c r="CZ284" i="24"/>
  <c r="CN303" i="24"/>
  <c r="CN284" i="24"/>
  <c r="CB303" i="24"/>
  <c r="CB284" i="24"/>
  <c r="BP303" i="24"/>
  <c r="BP284" i="24"/>
  <c r="BD303" i="24"/>
  <c r="BD284" i="24"/>
  <c r="AR303" i="24"/>
  <c r="AR284" i="24"/>
  <c r="AF303" i="24"/>
  <c r="AF284" i="24"/>
  <c r="T303" i="24"/>
  <c r="T284" i="24"/>
  <c r="H303" i="24"/>
  <c r="H284" i="24"/>
  <c r="S284" i="24"/>
  <c r="S303" i="24"/>
  <c r="I13" i="31"/>
  <c r="J13" i="31"/>
  <c r="J5" i="31"/>
  <c r="J112" i="31" s="1"/>
  <c r="I12" i="31"/>
  <c r="I9" i="31" s="1"/>
  <c r="I5" i="31"/>
  <c r="I112" i="31" s="1"/>
  <c r="H113" i="31"/>
  <c r="H10" i="31" s="1"/>
  <c r="H10" i="10" s="1"/>
  <c r="J12" i="31"/>
  <c r="H9" i="31"/>
  <c r="K14" i="31"/>
  <c r="N11" i="31"/>
  <c r="GT91" i="10"/>
  <c r="GT96" i="10" s="1"/>
  <c r="D91" i="10"/>
  <c r="D96" i="10" s="1"/>
  <c r="E96" i="10"/>
  <c r="F96" i="10"/>
  <c r="G96" i="10"/>
  <c r="H91" i="10"/>
  <c r="H96" i="10" s="1"/>
  <c r="I91" i="10"/>
  <c r="I96" i="10" s="1"/>
  <c r="J91" i="10"/>
  <c r="J96" i="10" s="1"/>
  <c r="K91" i="10"/>
  <c r="K96" i="10" s="1"/>
  <c r="L91" i="10"/>
  <c r="L96" i="10" s="1"/>
  <c r="M91" i="10"/>
  <c r="M96" i="10" s="1"/>
  <c r="N91" i="10"/>
  <c r="N96" i="10" s="1"/>
  <c r="O91" i="10"/>
  <c r="O96" i="10" s="1"/>
  <c r="P91" i="10"/>
  <c r="P96" i="10" s="1"/>
  <c r="Q91" i="10"/>
  <c r="Q96" i="10" s="1"/>
  <c r="R91" i="10"/>
  <c r="R96" i="10" s="1"/>
  <c r="S91" i="10"/>
  <c r="S96" i="10" s="1"/>
  <c r="T91" i="10"/>
  <c r="T96" i="10" s="1"/>
  <c r="U91" i="10"/>
  <c r="U96" i="10" s="1"/>
  <c r="V91" i="10"/>
  <c r="V96" i="10" s="1"/>
  <c r="W91" i="10"/>
  <c r="W96" i="10" s="1"/>
  <c r="X91" i="10"/>
  <c r="X96" i="10" s="1"/>
  <c r="Y91" i="10"/>
  <c r="Y96" i="10" s="1"/>
  <c r="Z91" i="10"/>
  <c r="Z96" i="10" s="1"/>
  <c r="AA91" i="10"/>
  <c r="AA96" i="10" s="1"/>
  <c r="AB91" i="10"/>
  <c r="AB96" i="10" s="1"/>
  <c r="AC91" i="10"/>
  <c r="AC96" i="10" s="1"/>
  <c r="AD91" i="10"/>
  <c r="AD96" i="10" s="1"/>
  <c r="AE91" i="10"/>
  <c r="AE96" i="10" s="1"/>
  <c r="AF91" i="10"/>
  <c r="AF96" i="10" s="1"/>
  <c r="AG91" i="10"/>
  <c r="AG96" i="10" s="1"/>
  <c r="AH91" i="10"/>
  <c r="AH96" i="10" s="1"/>
  <c r="AI91" i="10"/>
  <c r="AI96" i="10" s="1"/>
  <c r="AJ91" i="10"/>
  <c r="AJ96" i="10" s="1"/>
  <c r="AK91" i="10"/>
  <c r="AK96" i="10" s="1"/>
  <c r="AL91" i="10"/>
  <c r="AL96" i="10" s="1"/>
  <c r="AM91" i="10"/>
  <c r="AM96" i="10" s="1"/>
  <c r="AN91" i="10"/>
  <c r="AN96" i="10" s="1"/>
  <c r="AO91" i="10"/>
  <c r="AO96" i="10" s="1"/>
  <c r="AP91" i="10"/>
  <c r="AP96" i="10" s="1"/>
  <c r="AQ91" i="10"/>
  <c r="AQ96" i="10" s="1"/>
  <c r="AR91" i="10"/>
  <c r="AR96" i="10" s="1"/>
  <c r="AS91" i="10"/>
  <c r="AS96" i="10" s="1"/>
  <c r="AT91" i="10"/>
  <c r="AT96" i="10" s="1"/>
  <c r="AU91" i="10"/>
  <c r="AU96" i="10" s="1"/>
  <c r="AV91" i="10"/>
  <c r="AV96" i="10" s="1"/>
  <c r="AW91" i="10"/>
  <c r="AW96" i="10" s="1"/>
  <c r="AX91" i="10"/>
  <c r="AX96" i="10" s="1"/>
  <c r="AY91" i="10"/>
  <c r="AY96" i="10" s="1"/>
  <c r="AZ91" i="10"/>
  <c r="AZ96" i="10" s="1"/>
  <c r="BA91" i="10"/>
  <c r="BA96" i="10" s="1"/>
  <c r="BB91" i="10"/>
  <c r="BB96" i="10" s="1"/>
  <c r="BC91" i="10"/>
  <c r="BC96" i="10" s="1"/>
  <c r="BD91" i="10"/>
  <c r="BD96" i="10" s="1"/>
  <c r="BE91" i="10"/>
  <c r="BE96" i="10" s="1"/>
  <c r="BF91" i="10"/>
  <c r="BF96" i="10" s="1"/>
  <c r="BG91" i="10"/>
  <c r="BG96" i="10" s="1"/>
  <c r="BH91" i="10"/>
  <c r="BH96" i="10" s="1"/>
  <c r="BI91" i="10"/>
  <c r="BI96" i="10" s="1"/>
  <c r="BJ91" i="10"/>
  <c r="BJ96" i="10" s="1"/>
  <c r="BK91" i="10"/>
  <c r="BK96" i="10" s="1"/>
  <c r="BL91" i="10"/>
  <c r="BL96" i="10" s="1"/>
  <c r="BM91" i="10"/>
  <c r="BM96" i="10" s="1"/>
  <c r="BN91" i="10"/>
  <c r="BN96" i="10" s="1"/>
  <c r="BO91" i="10"/>
  <c r="BO96" i="10" s="1"/>
  <c r="BP91" i="10"/>
  <c r="BP96" i="10" s="1"/>
  <c r="BQ91" i="10"/>
  <c r="BQ96" i="10" s="1"/>
  <c r="BR91" i="10"/>
  <c r="BR96" i="10" s="1"/>
  <c r="BS91" i="10"/>
  <c r="BS96" i="10" s="1"/>
  <c r="BT91" i="10"/>
  <c r="BT96" i="10" s="1"/>
  <c r="BU91" i="10"/>
  <c r="BU96" i="10" s="1"/>
  <c r="BV91" i="10"/>
  <c r="BV96" i="10" s="1"/>
  <c r="BW91" i="10"/>
  <c r="BW96" i="10" s="1"/>
  <c r="BX91" i="10"/>
  <c r="BX96" i="10" s="1"/>
  <c r="BY91" i="10"/>
  <c r="BY96" i="10" s="1"/>
  <c r="BZ91" i="10"/>
  <c r="BZ96" i="10" s="1"/>
  <c r="CA91" i="10"/>
  <c r="CA96" i="10" s="1"/>
  <c r="CB91" i="10"/>
  <c r="CB96" i="10" s="1"/>
  <c r="CC91" i="10"/>
  <c r="CC96" i="10" s="1"/>
  <c r="CD91" i="10"/>
  <c r="CD96" i="10" s="1"/>
  <c r="CE91" i="10"/>
  <c r="CE96" i="10" s="1"/>
  <c r="CF91" i="10"/>
  <c r="CF96" i="10" s="1"/>
  <c r="CG91" i="10"/>
  <c r="CG96" i="10" s="1"/>
  <c r="CH91" i="10"/>
  <c r="CH96" i="10" s="1"/>
  <c r="CI91" i="10"/>
  <c r="CI96" i="10" s="1"/>
  <c r="CJ91" i="10"/>
  <c r="CJ96" i="10" s="1"/>
  <c r="CK91" i="10"/>
  <c r="CK96" i="10" s="1"/>
  <c r="CL91" i="10"/>
  <c r="CL96" i="10" s="1"/>
  <c r="CM91" i="10"/>
  <c r="CM96" i="10" s="1"/>
  <c r="CN91" i="10"/>
  <c r="CN96" i="10" s="1"/>
  <c r="CO91" i="10"/>
  <c r="CO96" i="10" s="1"/>
  <c r="CP91" i="10"/>
  <c r="CP96" i="10" s="1"/>
  <c r="CQ91" i="10"/>
  <c r="CQ96" i="10" s="1"/>
  <c r="CR91" i="10"/>
  <c r="CR96" i="10" s="1"/>
  <c r="CS91" i="10"/>
  <c r="CS96" i="10" s="1"/>
  <c r="CT91" i="10"/>
  <c r="CT96" i="10" s="1"/>
  <c r="CU91" i="10"/>
  <c r="CU96" i="10" s="1"/>
  <c r="CV91" i="10"/>
  <c r="CV96" i="10" s="1"/>
  <c r="CW91" i="10"/>
  <c r="CW96" i="10" s="1"/>
  <c r="CX91" i="10"/>
  <c r="CX96" i="10" s="1"/>
  <c r="CY91" i="10"/>
  <c r="CY96" i="10" s="1"/>
  <c r="CZ91" i="10"/>
  <c r="CZ96" i="10" s="1"/>
  <c r="DA91" i="10"/>
  <c r="DA96" i="10" s="1"/>
  <c r="DB91" i="10"/>
  <c r="DB96" i="10" s="1"/>
  <c r="DC91" i="10"/>
  <c r="DC96" i="10" s="1"/>
  <c r="DD91" i="10"/>
  <c r="DD96" i="10" s="1"/>
  <c r="DE91" i="10"/>
  <c r="DE96" i="10" s="1"/>
  <c r="DF91" i="10"/>
  <c r="DF96" i="10" s="1"/>
  <c r="DG91" i="10"/>
  <c r="DG96" i="10" s="1"/>
  <c r="DH91" i="10"/>
  <c r="DH96" i="10" s="1"/>
  <c r="DI91" i="10"/>
  <c r="DI96" i="10" s="1"/>
  <c r="DJ91" i="10"/>
  <c r="DJ96" i="10" s="1"/>
  <c r="DK91" i="10"/>
  <c r="DK96" i="10" s="1"/>
  <c r="DL91" i="10"/>
  <c r="DL96" i="10" s="1"/>
  <c r="DM91" i="10"/>
  <c r="DM96" i="10" s="1"/>
  <c r="DN91" i="10"/>
  <c r="DN96" i="10" s="1"/>
  <c r="DO91" i="10"/>
  <c r="DO96" i="10" s="1"/>
  <c r="DP91" i="10"/>
  <c r="DP96" i="10" s="1"/>
  <c r="DQ91" i="10"/>
  <c r="DQ96" i="10" s="1"/>
  <c r="DR91" i="10"/>
  <c r="DR96" i="10" s="1"/>
  <c r="DS91" i="10"/>
  <c r="DS96" i="10" s="1"/>
  <c r="DT91" i="10"/>
  <c r="DT96" i="10" s="1"/>
  <c r="DU91" i="10"/>
  <c r="DU96" i="10" s="1"/>
  <c r="DV91" i="10"/>
  <c r="DV96" i="10" s="1"/>
  <c r="DW91" i="10"/>
  <c r="DW96" i="10" s="1"/>
  <c r="DX91" i="10"/>
  <c r="DX96" i="10" s="1"/>
  <c r="DY91" i="10"/>
  <c r="DY96" i="10" s="1"/>
  <c r="DZ91" i="10"/>
  <c r="DZ96" i="10" s="1"/>
  <c r="EA91" i="10"/>
  <c r="EA96" i="10" s="1"/>
  <c r="EB91" i="10"/>
  <c r="EB96" i="10" s="1"/>
  <c r="EC91" i="10"/>
  <c r="EC96" i="10" s="1"/>
  <c r="ED91" i="10"/>
  <c r="ED96" i="10" s="1"/>
  <c r="EE91" i="10"/>
  <c r="EE96" i="10" s="1"/>
  <c r="EF91" i="10"/>
  <c r="EF96" i="10" s="1"/>
  <c r="EG91" i="10"/>
  <c r="EG96" i="10" s="1"/>
  <c r="EH91" i="10"/>
  <c r="EH96" i="10" s="1"/>
  <c r="EI91" i="10"/>
  <c r="EI96" i="10" s="1"/>
  <c r="EJ91" i="10"/>
  <c r="EJ96" i="10" s="1"/>
  <c r="EK91" i="10"/>
  <c r="EK96" i="10" s="1"/>
  <c r="EL91" i="10"/>
  <c r="EL96" i="10" s="1"/>
  <c r="EM91" i="10"/>
  <c r="EM96" i="10" s="1"/>
  <c r="EN91" i="10"/>
  <c r="EN96" i="10" s="1"/>
  <c r="EO91" i="10"/>
  <c r="EO96" i="10" s="1"/>
  <c r="EP91" i="10"/>
  <c r="EP96" i="10" s="1"/>
  <c r="EQ91" i="10"/>
  <c r="EQ96" i="10" s="1"/>
  <c r="ER91" i="10"/>
  <c r="ER96" i="10" s="1"/>
  <c r="ES91" i="10"/>
  <c r="ES96" i="10" s="1"/>
  <c r="ET91" i="10"/>
  <c r="ET96" i="10" s="1"/>
  <c r="EU91" i="10"/>
  <c r="EU96" i="10" s="1"/>
  <c r="EV91" i="10"/>
  <c r="EV96" i="10" s="1"/>
  <c r="EW91" i="10"/>
  <c r="EW96" i="10" s="1"/>
  <c r="EX91" i="10"/>
  <c r="EX96" i="10" s="1"/>
  <c r="EY91" i="10"/>
  <c r="EY96" i="10" s="1"/>
  <c r="EZ91" i="10"/>
  <c r="EZ96" i="10" s="1"/>
  <c r="FA91" i="10"/>
  <c r="FA96" i="10" s="1"/>
  <c r="FB91" i="10"/>
  <c r="FB96" i="10" s="1"/>
  <c r="FC91" i="10"/>
  <c r="FC96" i="10" s="1"/>
  <c r="FD91" i="10"/>
  <c r="FD96" i="10" s="1"/>
  <c r="FE91" i="10"/>
  <c r="FE96" i="10" s="1"/>
  <c r="FF91" i="10"/>
  <c r="FF96" i="10" s="1"/>
  <c r="FG91" i="10"/>
  <c r="FG96" i="10" s="1"/>
  <c r="FH91" i="10"/>
  <c r="FH96" i="10" s="1"/>
  <c r="FI91" i="10"/>
  <c r="FI96" i="10" s="1"/>
  <c r="FJ91" i="10"/>
  <c r="FJ96" i="10" s="1"/>
  <c r="FK91" i="10"/>
  <c r="FK96" i="10" s="1"/>
  <c r="FL91" i="10"/>
  <c r="FL96" i="10" s="1"/>
  <c r="FM91" i="10"/>
  <c r="FM96" i="10" s="1"/>
  <c r="FN91" i="10"/>
  <c r="FN96" i="10" s="1"/>
  <c r="FO91" i="10"/>
  <c r="FO96" i="10" s="1"/>
  <c r="FP91" i="10"/>
  <c r="FP96" i="10" s="1"/>
  <c r="FQ91" i="10"/>
  <c r="FQ96" i="10" s="1"/>
  <c r="FR91" i="10"/>
  <c r="FR96" i="10" s="1"/>
  <c r="FS91" i="10"/>
  <c r="FS96" i="10" s="1"/>
  <c r="FT91" i="10"/>
  <c r="FT96" i="10" s="1"/>
  <c r="FU91" i="10"/>
  <c r="FU96" i="10" s="1"/>
  <c r="FV91" i="10"/>
  <c r="FV96" i="10" s="1"/>
  <c r="FW91" i="10"/>
  <c r="FW96" i="10" s="1"/>
  <c r="FX91" i="10"/>
  <c r="FX96" i="10" s="1"/>
  <c r="FY91" i="10"/>
  <c r="FY96" i="10" s="1"/>
  <c r="FZ91" i="10"/>
  <c r="FZ96" i="10" s="1"/>
  <c r="GA91" i="10"/>
  <c r="GA96" i="10" s="1"/>
  <c r="GB91" i="10"/>
  <c r="GB96" i="10" s="1"/>
  <c r="GC91" i="10"/>
  <c r="GC96" i="10" s="1"/>
  <c r="GD91" i="10"/>
  <c r="GD96" i="10" s="1"/>
  <c r="GE91" i="10"/>
  <c r="GE96" i="10" s="1"/>
  <c r="GF91" i="10"/>
  <c r="GF96" i="10" s="1"/>
  <c r="GG91" i="10"/>
  <c r="GG96" i="10" s="1"/>
  <c r="GH91" i="10"/>
  <c r="GH96" i="10" s="1"/>
  <c r="GI91" i="10"/>
  <c r="GI96" i="10" s="1"/>
  <c r="GJ91" i="10"/>
  <c r="GJ96" i="10" s="1"/>
  <c r="GK91" i="10"/>
  <c r="GK96" i="10" s="1"/>
  <c r="GL91" i="10"/>
  <c r="GL96" i="10" s="1"/>
  <c r="GM91" i="10"/>
  <c r="GM96" i="10" s="1"/>
  <c r="GN91" i="10"/>
  <c r="GN96" i="10" s="1"/>
  <c r="GO91" i="10"/>
  <c r="GO96" i="10" s="1"/>
  <c r="GP91" i="10"/>
  <c r="GP96" i="10" s="1"/>
  <c r="GQ91" i="10"/>
  <c r="GQ96" i="10" s="1"/>
  <c r="GR91" i="10"/>
  <c r="GR96" i="10" s="1"/>
  <c r="GS91" i="10"/>
  <c r="GS96" i="10" s="1"/>
  <c r="C96" i="10"/>
  <c r="L14" i="31" l="1"/>
  <c r="M14" i="31" s="1"/>
  <c r="M5" i="31" s="1"/>
  <c r="M112" i="31" s="1"/>
  <c r="K5" i="31"/>
  <c r="K112" i="31" s="1"/>
  <c r="I113" i="31"/>
  <c r="I10" i="31" s="1"/>
  <c r="I10" i="10" s="1"/>
  <c r="J113" i="31"/>
  <c r="J10" i="31" s="1"/>
  <c r="J10" i="10" s="1"/>
  <c r="K13" i="31"/>
  <c r="K12" i="31"/>
  <c r="J9" i="31"/>
  <c r="O11" i="31"/>
  <c r="L12" i="31" l="1"/>
  <c r="L9" i="31" s="1"/>
  <c r="L13" i="31"/>
  <c r="L5" i="31"/>
  <c r="M12" i="31"/>
  <c r="M9" i="31" s="1"/>
  <c r="M13" i="31"/>
  <c r="N14" i="31"/>
  <c r="N5" i="31" s="1"/>
  <c r="N112" i="31" s="1"/>
  <c r="K113" i="31"/>
  <c r="K10" i="31" s="1"/>
  <c r="K10" i="10" s="1"/>
  <c r="K9" i="31"/>
  <c r="P11" i="31"/>
  <c r="O14" i="31" l="1"/>
  <c r="O5" i="31" s="1"/>
  <c r="O112" i="31" s="1"/>
  <c r="N13" i="31"/>
  <c r="N12" i="31"/>
  <c r="N9" i="31" s="1"/>
  <c r="L112" i="31"/>
  <c r="Q11" i="31"/>
  <c r="O12" i="31" l="1"/>
  <c r="O9" i="31" s="1"/>
  <c r="P14" i="31"/>
  <c r="P5" i="31" s="1"/>
  <c r="P112" i="31" s="1"/>
  <c r="P113" i="31" s="1"/>
  <c r="P10" i="31" s="1"/>
  <c r="P10" i="10" s="1"/>
  <c r="O13" i="31"/>
  <c r="N113" i="31"/>
  <c r="N10" i="31" s="1"/>
  <c r="N10" i="10" s="1"/>
  <c r="L113" i="31"/>
  <c r="L10" i="31" s="1"/>
  <c r="L10" i="10" s="1"/>
  <c r="M113" i="31"/>
  <c r="M10" i="31" s="1"/>
  <c r="M10" i="10" s="1"/>
  <c r="O113" i="31"/>
  <c r="O10" i="31" s="1"/>
  <c r="O10" i="10" s="1"/>
  <c r="R11" i="31"/>
  <c r="P13" i="31" l="1"/>
  <c r="P12" i="31"/>
  <c r="P9" i="31" s="1"/>
  <c r="Q14" i="31"/>
  <c r="Q5" i="31" s="1"/>
  <c r="Q112" i="31" s="1"/>
  <c r="Q113" i="31" s="1"/>
  <c r="Q10" i="31" s="1"/>
  <c r="Q10" i="10" s="1"/>
  <c r="S11" i="31"/>
  <c r="Q12" i="31" l="1"/>
  <c r="Q9" i="31" s="1"/>
  <c r="Q13" i="31"/>
  <c r="R14" i="31"/>
  <c r="R5" i="31" s="1"/>
  <c r="R112" i="31" s="1"/>
  <c r="R113" i="31" s="1"/>
  <c r="R10" i="31" s="1"/>
  <c r="R10" i="10" s="1"/>
  <c r="T11" i="31"/>
  <c r="S14" i="31" l="1"/>
  <c r="S5" i="31" s="1"/>
  <c r="S112" i="31" s="1"/>
  <c r="S113" i="31" s="1"/>
  <c r="S10" i="31" s="1"/>
  <c r="S10" i="10" s="1"/>
  <c r="R13" i="31"/>
  <c r="R12" i="31"/>
  <c r="R9" i="31" s="1"/>
  <c r="U11" i="31"/>
  <c r="S13" i="31" l="1"/>
  <c r="S12" i="31"/>
  <c r="S9" i="31" s="1"/>
  <c r="T14" i="31"/>
  <c r="T5" i="31" s="1"/>
  <c r="T112" i="31" s="1"/>
  <c r="T113" i="31" s="1"/>
  <c r="T10" i="31" s="1"/>
  <c r="T10" i="10" s="1"/>
  <c r="V11" i="31"/>
  <c r="T12" i="31" l="1"/>
  <c r="T9" i="31" s="1"/>
  <c r="T13" i="31"/>
  <c r="U14" i="31"/>
  <c r="U5" i="31" s="1"/>
  <c r="U112" i="31" s="1"/>
  <c r="U113" i="31" s="1"/>
  <c r="U10" i="31" s="1"/>
  <c r="U10" i="10" s="1"/>
  <c r="W11" i="31"/>
  <c r="U12" i="31" l="1"/>
  <c r="U9" i="31" s="1"/>
  <c r="U13" i="31"/>
  <c r="V14" i="31"/>
  <c r="V5" i="31" s="1"/>
  <c r="V112" i="31" s="1"/>
  <c r="V113" i="31" s="1"/>
  <c r="V10" i="31" s="1"/>
  <c r="V10" i="10" s="1"/>
  <c r="X11" i="31"/>
  <c r="W14" i="31" l="1"/>
  <c r="W5" i="31" s="1"/>
  <c r="W112" i="31" s="1"/>
  <c r="W113" i="31" s="1"/>
  <c r="W10" i="31" s="1"/>
  <c r="W10" i="10" s="1"/>
  <c r="V12" i="31"/>
  <c r="V9" i="31" s="1"/>
  <c r="V13" i="31"/>
  <c r="Y11" i="31"/>
  <c r="W12" i="31" l="1"/>
  <c r="W9" i="31" s="1"/>
  <c r="X14" i="31"/>
  <c r="X5" i="31" s="1"/>
  <c r="X112" i="31" s="1"/>
  <c r="W13" i="31"/>
  <c r="Z11" i="31"/>
  <c r="X13" i="31" l="1"/>
  <c r="Y14" i="31"/>
  <c r="Y5" i="31" s="1"/>
  <c r="Y112" i="31" s="1"/>
  <c r="Y113" i="31" s="1"/>
  <c r="Y10" i="31" s="1"/>
  <c r="Y10" i="10" s="1"/>
  <c r="X12" i="31"/>
  <c r="X9" i="31" s="1"/>
  <c r="X113" i="31"/>
  <c r="X10" i="31" s="1"/>
  <c r="X10" i="10" s="1"/>
  <c r="AA11" i="31"/>
  <c r="Y13" i="31" l="1"/>
  <c r="Y12" i="31"/>
  <c r="Y9" i="31" s="1"/>
  <c r="Z14" i="31"/>
  <c r="Z5" i="31" s="1"/>
  <c r="Z112" i="31" s="1"/>
  <c r="Z113" i="31" s="1"/>
  <c r="Z10" i="31" s="1"/>
  <c r="Z10" i="10" s="1"/>
  <c r="AB11" i="31"/>
  <c r="GT3" i="24"/>
  <c r="GT4" i="24"/>
  <c r="CU5" i="24"/>
  <c r="CV5" i="24"/>
  <c r="CW5" i="24"/>
  <c r="CX5" i="24"/>
  <c r="CY5" i="24"/>
  <c r="CZ5" i="24"/>
  <c r="DA5" i="24"/>
  <c r="DB5" i="24"/>
  <c r="DC5" i="24"/>
  <c r="DD5" i="24"/>
  <c r="DE5" i="24"/>
  <c r="DF5" i="24"/>
  <c r="DG5" i="24"/>
  <c r="DH5" i="24"/>
  <c r="DI5" i="24"/>
  <c r="DJ5" i="24"/>
  <c r="DK5" i="24"/>
  <c r="DL5" i="24"/>
  <c r="DM5" i="24"/>
  <c r="DN5" i="24"/>
  <c r="DO5" i="24"/>
  <c r="DP5" i="24"/>
  <c r="DQ5" i="24"/>
  <c r="DR5" i="24"/>
  <c r="DS5" i="24"/>
  <c r="DT5" i="24"/>
  <c r="DU5" i="24"/>
  <c r="DV5" i="24"/>
  <c r="DW5" i="24"/>
  <c r="DX5" i="24"/>
  <c r="DY5" i="24"/>
  <c r="DZ5" i="24"/>
  <c r="EA5" i="24"/>
  <c r="EB5" i="24"/>
  <c r="EC5" i="24"/>
  <c r="ED5" i="24"/>
  <c r="EE5" i="24"/>
  <c r="EF5" i="24"/>
  <c r="EG5" i="24"/>
  <c r="EH5" i="24"/>
  <c r="EI5" i="24"/>
  <c r="EJ5" i="24"/>
  <c r="EK5" i="24"/>
  <c r="EL5" i="24"/>
  <c r="EM5" i="24"/>
  <c r="EN5" i="24"/>
  <c r="EO5" i="24"/>
  <c r="EP5" i="24"/>
  <c r="EQ5" i="24"/>
  <c r="ER5" i="24"/>
  <c r="ES5" i="24"/>
  <c r="ET5" i="24"/>
  <c r="EU5" i="24"/>
  <c r="EV5" i="24"/>
  <c r="EW5" i="24"/>
  <c r="EX5" i="24"/>
  <c r="EY5" i="24"/>
  <c r="EZ5" i="24"/>
  <c r="FA5" i="24"/>
  <c r="FB5" i="24"/>
  <c r="FC5" i="24"/>
  <c r="FD5" i="24"/>
  <c r="FE5" i="24"/>
  <c r="FF5" i="24"/>
  <c r="FG5" i="24"/>
  <c r="FH5" i="24"/>
  <c r="FI5" i="24"/>
  <c r="FJ5" i="24"/>
  <c r="FK5" i="24"/>
  <c r="FL5" i="24"/>
  <c r="FM5" i="24"/>
  <c r="FN5" i="24"/>
  <c r="FO5" i="24"/>
  <c r="FP5" i="24"/>
  <c r="FQ5" i="24"/>
  <c r="FR5" i="24"/>
  <c r="FS5" i="24"/>
  <c r="FT5" i="24"/>
  <c r="FU5" i="24"/>
  <c r="FV5" i="24"/>
  <c r="FW5" i="24"/>
  <c r="FX5" i="24"/>
  <c r="FY5" i="24"/>
  <c r="FZ5" i="24"/>
  <c r="GA5" i="24"/>
  <c r="GB5" i="24"/>
  <c r="GC5" i="24"/>
  <c r="GD5" i="24"/>
  <c r="GE5" i="24"/>
  <c r="GF5" i="24"/>
  <c r="GG5" i="24"/>
  <c r="GH5" i="24"/>
  <c r="GI5" i="24"/>
  <c r="GJ5" i="24"/>
  <c r="GK5" i="24"/>
  <c r="GL5" i="24"/>
  <c r="GM5" i="24"/>
  <c r="GN5" i="24"/>
  <c r="GO5" i="24"/>
  <c r="GP5" i="24"/>
  <c r="GQ5" i="24"/>
  <c r="GR5" i="24"/>
  <c r="GS5" i="24"/>
  <c r="GT5" i="24"/>
  <c r="CU6" i="24"/>
  <c r="CV6" i="24"/>
  <c r="CW6" i="24"/>
  <c r="CX6" i="24"/>
  <c r="CY6" i="24"/>
  <c r="CZ6" i="24"/>
  <c r="DA6" i="24"/>
  <c r="DB6" i="24"/>
  <c r="DC6" i="24"/>
  <c r="DD6" i="24"/>
  <c r="DE6" i="24"/>
  <c r="DF6" i="24"/>
  <c r="DG6" i="24"/>
  <c r="DH6" i="24"/>
  <c r="DI6" i="24"/>
  <c r="DJ6" i="24"/>
  <c r="DK6" i="24"/>
  <c r="DL6" i="24"/>
  <c r="DM6" i="24"/>
  <c r="DN6" i="24"/>
  <c r="DO6" i="24"/>
  <c r="DP6" i="24"/>
  <c r="DQ6" i="24"/>
  <c r="DR6" i="24"/>
  <c r="DS6" i="24"/>
  <c r="DT6" i="24"/>
  <c r="DU6" i="24"/>
  <c r="DV6" i="24"/>
  <c r="DW6" i="24"/>
  <c r="DX6" i="24"/>
  <c r="DY6" i="24"/>
  <c r="DZ6" i="24"/>
  <c r="EA6" i="24"/>
  <c r="EB6" i="24"/>
  <c r="EC6" i="24"/>
  <c r="ED6" i="24"/>
  <c r="EE6" i="24"/>
  <c r="EF6" i="24"/>
  <c r="EG6" i="24"/>
  <c r="EH6" i="24"/>
  <c r="EI6" i="24"/>
  <c r="EJ6" i="24"/>
  <c r="EK6" i="24"/>
  <c r="EL6" i="24"/>
  <c r="EM6" i="24"/>
  <c r="EN6" i="24"/>
  <c r="EO6" i="24"/>
  <c r="EP6" i="24"/>
  <c r="EQ6" i="24"/>
  <c r="ER6" i="24"/>
  <c r="ES6" i="24"/>
  <c r="ET6" i="24"/>
  <c r="EU6" i="24"/>
  <c r="EV6" i="24"/>
  <c r="EW6" i="24"/>
  <c r="EX6" i="24"/>
  <c r="EY6" i="24"/>
  <c r="EZ6" i="24"/>
  <c r="FA6" i="24"/>
  <c r="FB6" i="24"/>
  <c r="FC6" i="24"/>
  <c r="FD6" i="24"/>
  <c r="FE6" i="24"/>
  <c r="FF6" i="24"/>
  <c r="FG6" i="24"/>
  <c r="FH6" i="24"/>
  <c r="FI6" i="24"/>
  <c r="FJ6" i="24"/>
  <c r="FK6" i="24"/>
  <c r="FL6" i="24"/>
  <c r="FM6" i="24"/>
  <c r="FN6" i="24"/>
  <c r="FO6" i="24"/>
  <c r="FP6" i="24"/>
  <c r="FQ6" i="24"/>
  <c r="FR6" i="24"/>
  <c r="FS6" i="24"/>
  <c r="FT6" i="24"/>
  <c r="FU6" i="24"/>
  <c r="FV6" i="24"/>
  <c r="FW6" i="24"/>
  <c r="FX6" i="24"/>
  <c r="FY6" i="24"/>
  <c r="FZ6" i="24"/>
  <c r="GA6" i="24"/>
  <c r="GB6" i="24"/>
  <c r="GC6" i="24"/>
  <c r="GD6" i="24"/>
  <c r="GE6" i="24"/>
  <c r="GF6" i="24"/>
  <c r="GG6" i="24"/>
  <c r="GH6" i="24"/>
  <c r="GI6" i="24"/>
  <c r="GJ6" i="24"/>
  <c r="GK6" i="24"/>
  <c r="GL6" i="24"/>
  <c r="GM6" i="24"/>
  <c r="GN6" i="24"/>
  <c r="GO6" i="24"/>
  <c r="GP6" i="24"/>
  <c r="GQ6" i="24"/>
  <c r="GR6" i="24"/>
  <c r="GS6" i="24"/>
  <c r="GT6" i="24"/>
  <c r="CU7" i="24"/>
  <c r="CV7" i="24"/>
  <c r="CW7" i="24"/>
  <c r="CX7" i="24"/>
  <c r="CY7" i="24"/>
  <c r="CZ7" i="24"/>
  <c r="DA7" i="24"/>
  <c r="DB7" i="24"/>
  <c r="DC7" i="24"/>
  <c r="DD7" i="24"/>
  <c r="DE7" i="24"/>
  <c r="DF7" i="24"/>
  <c r="DG7" i="24"/>
  <c r="DH7" i="24"/>
  <c r="DI7" i="24"/>
  <c r="DJ7" i="24"/>
  <c r="DK7" i="24"/>
  <c r="DL7" i="24"/>
  <c r="DM7" i="24"/>
  <c r="DN7" i="24"/>
  <c r="DO7" i="24"/>
  <c r="DP7" i="24"/>
  <c r="DQ7" i="24"/>
  <c r="DR7" i="24"/>
  <c r="DS7" i="24"/>
  <c r="DT7" i="24"/>
  <c r="DU7" i="24"/>
  <c r="DV7" i="24"/>
  <c r="DW7" i="24"/>
  <c r="DX7" i="24"/>
  <c r="DY7" i="24"/>
  <c r="DZ7" i="24"/>
  <c r="EA7" i="24"/>
  <c r="EB7" i="24"/>
  <c r="EC7" i="24"/>
  <c r="ED7" i="24"/>
  <c r="EE7" i="24"/>
  <c r="EF7" i="24"/>
  <c r="EG7" i="24"/>
  <c r="EH7" i="24"/>
  <c r="EI7" i="24"/>
  <c r="EJ7" i="24"/>
  <c r="EK7" i="24"/>
  <c r="EL7" i="24"/>
  <c r="EM7" i="24"/>
  <c r="EN7" i="24"/>
  <c r="EO7" i="24"/>
  <c r="EP7" i="24"/>
  <c r="EQ7" i="24"/>
  <c r="ER7" i="24"/>
  <c r="ES7" i="24"/>
  <c r="ET7" i="24"/>
  <c r="EU7" i="24"/>
  <c r="EV7" i="24"/>
  <c r="EW7" i="24"/>
  <c r="EX7" i="24"/>
  <c r="EY7" i="24"/>
  <c r="EZ7" i="24"/>
  <c r="FA7" i="24"/>
  <c r="FB7" i="24"/>
  <c r="FC7" i="24"/>
  <c r="FD7" i="24"/>
  <c r="FE7" i="24"/>
  <c r="FF7" i="24"/>
  <c r="FG7" i="24"/>
  <c r="FH7" i="24"/>
  <c r="FI7" i="24"/>
  <c r="FJ7" i="24"/>
  <c r="FK7" i="24"/>
  <c r="FL7" i="24"/>
  <c r="FM7" i="24"/>
  <c r="FN7" i="24"/>
  <c r="FO7" i="24"/>
  <c r="FP7" i="24"/>
  <c r="FQ7" i="24"/>
  <c r="FR7" i="24"/>
  <c r="FS7" i="24"/>
  <c r="FT7" i="24"/>
  <c r="FU7" i="24"/>
  <c r="FV7" i="24"/>
  <c r="FW7" i="24"/>
  <c r="FX7" i="24"/>
  <c r="FY7" i="24"/>
  <c r="FZ7" i="24"/>
  <c r="GA7" i="24"/>
  <c r="GB7" i="24"/>
  <c r="GC7" i="24"/>
  <c r="GD7" i="24"/>
  <c r="GE7" i="24"/>
  <c r="GF7" i="24"/>
  <c r="GG7" i="24"/>
  <c r="GH7" i="24"/>
  <c r="GI7" i="24"/>
  <c r="GJ7" i="24"/>
  <c r="GK7" i="24"/>
  <c r="GL7" i="24"/>
  <c r="GM7" i="24"/>
  <c r="GN7" i="24"/>
  <c r="GO7" i="24"/>
  <c r="GP7" i="24"/>
  <c r="GQ7" i="24"/>
  <c r="GR7" i="24"/>
  <c r="GS7" i="24"/>
  <c r="GT7" i="24"/>
  <c r="CU8" i="24"/>
  <c r="CV8" i="24"/>
  <c r="CW8" i="24"/>
  <c r="CX8" i="24"/>
  <c r="CY8" i="24"/>
  <c r="CZ8" i="24"/>
  <c r="DA8" i="24"/>
  <c r="DB8" i="24"/>
  <c r="DC8" i="24"/>
  <c r="DD8" i="24"/>
  <c r="DE8" i="24"/>
  <c r="DF8" i="24"/>
  <c r="DG8" i="24"/>
  <c r="DH8" i="24"/>
  <c r="DI8" i="24"/>
  <c r="DJ8" i="24"/>
  <c r="DK8" i="24"/>
  <c r="DL8" i="24"/>
  <c r="DM8" i="24"/>
  <c r="DN8" i="24"/>
  <c r="DO8" i="24"/>
  <c r="DP8" i="24"/>
  <c r="DQ8" i="24"/>
  <c r="DR8" i="24"/>
  <c r="DS8" i="24"/>
  <c r="DT8" i="24"/>
  <c r="DU8" i="24"/>
  <c r="DV8" i="24"/>
  <c r="DW8" i="24"/>
  <c r="DX8" i="24"/>
  <c r="DY8" i="24"/>
  <c r="DZ8" i="24"/>
  <c r="EA8" i="24"/>
  <c r="EB8" i="24"/>
  <c r="EC8" i="24"/>
  <c r="ED8" i="24"/>
  <c r="EE8" i="24"/>
  <c r="EF8" i="24"/>
  <c r="EG8" i="24"/>
  <c r="EH8" i="24"/>
  <c r="EI8" i="24"/>
  <c r="EJ8" i="24"/>
  <c r="EK8" i="24"/>
  <c r="EL8" i="24"/>
  <c r="EM8" i="24"/>
  <c r="EN8" i="24"/>
  <c r="EO8" i="24"/>
  <c r="EP8" i="24"/>
  <c r="EQ8" i="24"/>
  <c r="ER8" i="24"/>
  <c r="ES8" i="24"/>
  <c r="ET8" i="24"/>
  <c r="EU8" i="24"/>
  <c r="EV8" i="24"/>
  <c r="EW8" i="24"/>
  <c r="EX8" i="24"/>
  <c r="EY8" i="24"/>
  <c r="EZ8" i="24"/>
  <c r="FA8" i="24"/>
  <c r="FB8" i="24"/>
  <c r="FC8" i="24"/>
  <c r="FD8" i="24"/>
  <c r="FE8" i="24"/>
  <c r="FF8" i="24"/>
  <c r="FG8" i="24"/>
  <c r="FH8" i="24"/>
  <c r="FI8" i="24"/>
  <c r="FJ8" i="24"/>
  <c r="FK8" i="24"/>
  <c r="FL8" i="24"/>
  <c r="FM8" i="24"/>
  <c r="FN8" i="24"/>
  <c r="FO8" i="24"/>
  <c r="FP8" i="24"/>
  <c r="FQ8" i="24"/>
  <c r="FR8" i="24"/>
  <c r="FS8" i="24"/>
  <c r="FT8" i="24"/>
  <c r="FU8" i="24"/>
  <c r="FV8" i="24"/>
  <c r="FW8" i="24"/>
  <c r="FX8" i="24"/>
  <c r="FY8" i="24"/>
  <c r="FZ8" i="24"/>
  <c r="GA8" i="24"/>
  <c r="GB8" i="24"/>
  <c r="GC8" i="24"/>
  <c r="GD8" i="24"/>
  <c r="GE8" i="24"/>
  <c r="GF8" i="24"/>
  <c r="GG8" i="24"/>
  <c r="GH8" i="24"/>
  <c r="GI8" i="24"/>
  <c r="GJ8" i="24"/>
  <c r="GK8" i="24"/>
  <c r="GL8" i="24"/>
  <c r="GM8" i="24"/>
  <c r="GN8" i="24"/>
  <c r="GO8" i="24"/>
  <c r="GP8" i="24"/>
  <c r="GQ8" i="24"/>
  <c r="GR8" i="24"/>
  <c r="GS8" i="24"/>
  <c r="GT8" i="24"/>
  <c r="C5" i="24"/>
  <c r="D5" i="24"/>
  <c r="E5" i="24"/>
  <c r="F5" i="24"/>
  <c r="G5" i="24"/>
  <c r="H5" i="24"/>
  <c r="I5" i="24"/>
  <c r="J5" i="24"/>
  <c r="K5" i="24"/>
  <c r="L5" i="24"/>
  <c r="M5" i="24"/>
  <c r="N5" i="24"/>
  <c r="O5" i="24"/>
  <c r="P5" i="24"/>
  <c r="Q5" i="24"/>
  <c r="R5" i="24"/>
  <c r="S5" i="24"/>
  <c r="T5" i="24"/>
  <c r="U5" i="24"/>
  <c r="V5" i="24"/>
  <c r="W5" i="24"/>
  <c r="X5" i="24"/>
  <c r="Y5" i="24"/>
  <c r="Z5" i="24"/>
  <c r="AA5" i="24"/>
  <c r="AB5" i="24"/>
  <c r="AC5" i="24"/>
  <c r="AD5" i="24"/>
  <c r="AE5" i="24"/>
  <c r="AF5" i="24"/>
  <c r="AG5" i="24"/>
  <c r="AH5" i="24"/>
  <c r="AI5" i="24"/>
  <c r="AJ5" i="24"/>
  <c r="AK5" i="24"/>
  <c r="AL5" i="24"/>
  <c r="AM5" i="24"/>
  <c r="AN5" i="24"/>
  <c r="AO5" i="24"/>
  <c r="AP5" i="24"/>
  <c r="AQ5" i="24"/>
  <c r="AR5" i="24"/>
  <c r="AS5" i="24"/>
  <c r="AT5" i="24"/>
  <c r="AU5" i="24"/>
  <c r="AV5" i="24"/>
  <c r="AW5" i="24"/>
  <c r="AX5" i="24"/>
  <c r="AY5" i="24"/>
  <c r="AZ5" i="24"/>
  <c r="BA5" i="24"/>
  <c r="BB5" i="24"/>
  <c r="BC5" i="24"/>
  <c r="BD5" i="24"/>
  <c r="BE5" i="24"/>
  <c r="BF5" i="24"/>
  <c r="BG5" i="24"/>
  <c r="BH5" i="24"/>
  <c r="BI5" i="24"/>
  <c r="BJ5" i="24"/>
  <c r="BK5" i="24"/>
  <c r="BL5" i="24"/>
  <c r="BM5" i="24"/>
  <c r="BN5" i="24"/>
  <c r="BO5" i="24"/>
  <c r="BP5" i="24"/>
  <c r="BQ5" i="24"/>
  <c r="BR5" i="24"/>
  <c r="BS5" i="24"/>
  <c r="BT5" i="24"/>
  <c r="BU5" i="24"/>
  <c r="BV5" i="24"/>
  <c r="BW5" i="24"/>
  <c r="BX5" i="24"/>
  <c r="BY5" i="24"/>
  <c r="BZ5" i="24"/>
  <c r="CA5" i="24"/>
  <c r="CB5" i="24"/>
  <c r="CC5" i="24"/>
  <c r="CD5" i="24"/>
  <c r="CE5" i="24"/>
  <c r="CF5" i="24"/>
  <c r="CG5" i="24"/>
  <c r="CH5" i="24"/>
  <c r="CI5" i="24"/>
  <c r="CJ5" i="24"/>
  <c r="CK5" i="24"/>
  <c r="CL5" i="24"/>
  <c r="CM5" i="24"/>
  <c r="CN5" i="24"/>
  <c r="CO5" i="24"/>
  <c r="CP5" i="24"/>
  <c r="CQ5" i="24"/>
  <c r="CR5" i="24"/>
  <c r="CS5" i="24"/>
  <c r="CT5" i="24"/>
  <c r="C6" i="24"/>
  <c r="D6" i="24"/>
  <c r="E6" i="24"/>
  <c r="F6" i="24"/>
  <c r="G6" i="24"/>
  <c r="H6" i="24"/>
  <c r="I6" i="24"/>
  <c r="J6" i="24"/>
  <c r="K6" i="24"/>
  <c r="L6" i="24"/>
  <c r="M6" i="24"/>
  <c r="N6" i="24"/>
  <c r="O6" i="24"/>
  <c r="P6" i="24"/>
  <c r="Q6" i="24"/>
  <c r="R6" i="24"/>
  <c r="S6" i="24"/>
  <c r="T6" i="24"/>
  <c r="U6" i="24"/>
  <c r="V6" i="24"/>
  <c r="W6" i="24"/>
  <c r="X6" i="24"/>
  <c r="Y6" i="24"/>
  <c r="Z6" i="24"/>
  <c r="AA6" i="24"/>
  <c r="AB6" i="24"/>
  <c r="AC6" i="24"/>
  <c r="AD6" i="24"/>
  <c r="AE6" i="24"/>
  <c r="AF6" i="24"/>
  <c r="AG6" i="24"/>
  <c r="AH6" i="24"/>
  <c r="AI6" i="24"/>
  <c r="AJ6" i="24"/>
  <c r="AK6" i="24"/>
  <c r="AL6" i="24"/>
  <c r="AM6" i="24"/>
  <c r="AN6" i="24"/>
  <c r="AO6" i="24"/>
  <c r="AP6" i="24"/>
  <c r="AQ6" i="24"/>
  <c r="AR6" i="24"/>
  <c r="AS6" i="24"/>
  <c r="AT6" i="24"/>
  <c r="AU6" i="24"/>
  <c r="AV6" i="24"/>
  <c r="AW6" i="24"/>
  <c r="AX6" i="24"/>
  <c r="AY6" i="24"/>
  <c r="AZ6" i="24"/>
  <c r="BA6" i="24"/>
  <c r="BB6" i="24"/>
  <c r="BC6" i="24"/>
  <c r="BD6" i="24"/>
  <c r="BE6" i="24"/>
  <c r="BF6" i="24"/>
  <c r="BG6" i="24"/>
  <c r="BH6" i="24"/>
  <c r="BI6" i="24"/>
  <c r="BJ6" i="24"/>
  <c r="BK6" i="24"/>
  <c r="BL6" i="24"/>
  <c r="BM6" i="24"/>
  <c r="BN6" i="24"/>
  <c r="BO6" i="24"/>
  <c r="BP6" i="24"/>
  <c r="BQ6" i="24"/>
  <c r="BR6" i="24"/>
  <c r="BS6" i="24"/>
  <c r="BT6" i="24"/>
  <c r="BU6" i="24"/>
  <c r="BV6" i="24"/>
  <c r="BW6" i="24"/>
  <c r="BX6" i="24"/>
  <c r="BY6" i="24"/>
  <c r="BZ6" i="24"/>
  <c r="CA6" i="24"/>
  <c r="CB6" i="24"/>
  <c r="CC6" i="24"/>
  <c r="CD6" i="24"/>
  <c r="CE6" i="24"/>
  <c r="CF6" i="24"/>
  <c r="CG6" i="24"/>
  <c r="CH6" i="24"/>
  <c r="CI6" i="24"/>
  <c r="CJ6" i="24"/>
  <c r="CK6" i="24"/>
  <c r="CL6" i="24"/>
  <c r="CM6" i="24"/>
  <c r="CN6" i="24"/>
  <c r="CO6" i="24"/>
  <c r="CP6" i="24"/>
  <c r="CQ6" i="24"/>
  <c r="CR6" i="24"/>
  <c r="CS6" i="24"/>
  <c r="CT6" i="24"/>
  <c r="C7" i="24"/>
  <c r="D7" i="24"/>
  <c r="E7" i="24"/>
  <c r="F7" i="24"/>
  <c r="G7" i="24"/>
  <c r="H7" i="24"/>
  <c r="I7" i="24"/>
  <c r="J7" i="24"/>
  <c r="K7" i="24"/>
  <c r="L7" i="24"/>
  <c r="M7" i="24"/>
  <c r="N7" i="24"/>
  <c r="O7" i="24"/>
  <c r="P7" i="24"/>
  <c r="Q7" i="24"/>
  <c r="R7" i="24"/>
  <c r="S7" i="24"/>
  <c r="T7" i="24"/>
  <c r="U7" i="24"/>
  <c r="V7" i="24"/>
  <c r="W7" i="24"/>
  <c r="X7" i="24"/>
  <c r="Y7" i="24"/>
  <c r="Z7" i="24"/>
  <c r="AA7" i="24"/>
  <c r="AB7" i="24"/>
  <c r="AC7" i="24"/>
  <c r="AD7" i="24"/>
  <c r="AE7" i="24"/>
  <c r="AF7" i="24"/>
  <c r="AG7" i="24"/>
  <c r="AH7" i="24"/>
  <c r="AI7" i="24"/>
  <c r="AJ7" i="24"/>
  <c r="AK7" i="24"/>
  <c r="AL7" i="24"/>
  <c r="AM7" i="24"/>
  <c r="AN7" i="24"/>
  <c r="AO7" i="24"/>
  <c r="AP7" i="24"/>
  <c r="AQ7" i="24"/>
  <c r="AR7" i="24"/>
  <c r="AS7" i="24"/>
  <c r="AT7" i="24"/>
  <c r="AU7" i="24"/>
  <c r="AV7" i="24"/>
  <c r="AW7" i="24"/>
  <c r="AX7" i="24"/>
  <c r="AY7" i="24"/>
  <c r="AZ7" i="24"/>
  <c r="BA7" i="24"/>
  <c r="BB7" i="24"/>
  <c r="BC7" i="24"/>
  <c r="BD7" i="24"/>
  <c r="BE7" i="24"/>
  <c r="BF7" i="24"/>
  <c r="BG7" i="24"/>
  <c r="BH7" i="24"/>
  <c r="BI7" i="24"/>
  <c r="BJ7" i="24"/>
  <c r="BK7" i="24"/>
  <c r="BL7" i="24"/>
  <c r="BM7" i="24"/>
  <c r="BN7" i="24"/>
  <c r="BO7" i="24"/>
  <c r="BP7" i="24"/>
  <c r="BQ7" i="24"/>
  <c r="BR7" i="24"/>
  <c r="BS7" i="24"/>
  <c r="BT7" i="24"/>
  <c r="BU7" i="24"/>
  <c r="BV7" i="24"/>
  <c r="BW7" i="24"/>
  <c r="BX7" i="24"/>
  <c r="BY7" i="24"/>
  <c r="BZ7" i="24"/>
  <c r="CA7" i="24"/>
  <c r="CB7" i="24"/>
  <c r="CC7" i="24"/>
  <c r="CD7" i="24"/>
  <c r="CE7" i="24"/>
  <c r="CF7" i="24"/>
  <c r="CG7" i="24"/>
  <c r="CH7" i="24"/>
  <c r="CI7" i="24"/>
  <c r="CJ7" i="24"/>
  <c r="CK7" i="24"/>
  <c r="CL7" i="24"/>
  <c r="CM7" i="24"/>
  <c r="CN7" i="24"/>
  <c r="CO7" i="24"/>
  <c r="CP7" i="24"/>
  <c r="CQ7" i="24"/>
  <c r="CR7" i="24"/>
  <c r="CS7" i="24"/>
  <c r="CT7" i="24"/>
  <c r="C8" i="24"/>
  <c r="D8" i="24"/>
  <c r="E8" i="24"/>
  <c r="F8" i="24"/>
  <c r="G8" i="24"/>
  <c r="H8" i="24"/>
  <c r="I8" i="24"/>
  <c r="J8" i="24"/>
  <c r="K8" i="24"/>
  <c r="L8" i="24"/>
  <c r="M8" i="24"/>
  <c r="N8" i="24"/>
  <c r="O8" i="24"/>
  <c r="P8" i="24"/>
  <c r="Q8" i="24"/>
  <c r="R8" i="24"/>
  <c r="S8" i="24"/>
  <c r="T8" i="24"/>
  <c r="U8" i="24"/>
  <c r="V8" i="24"/>
  <c r="W8" i="24"/>
  <c r="X8" i="24"/>
  <c r="Y8" i="24"/>
  <c r="Z8" i="24"/>
  <c r="AA8" i="24"/>
  <c r="AB8" i="24"/>
  <c r="AC8" i="24"/>
  <c r="AD8" i="24"/>
  <c r="AE8" i="24"/>
  <c r="AF8" i="24"/>
  <c r="AG8" i="24"/>
  <c r="AH8" i="24"/>
  <c r="AI8" i="24"/>
  <c r="AJ8" i="24"/>
  <c r="AK8" i="24"/>
  <c r="AL8" i="24"/>
  <c r="AM8" i="24"/>
  <c r="AN8" i="24"/>
  <c r="AO8" i="24"/>
  <c r="AP8" i="24"/>
  <c r="AQ8" i="24"/>
  <c r="AR8" i="24"/>
  <c r="AS8" i="24"/>
  <c r="AT8" i="24"/>
  <c r="AU8" i="24"/>
  <c r="AV8" i="24"/>
  <c r="AW8" i="24"/>
  <c r="AX8" i="24"/>
  <c r="AY8" i="24"/>
  <c r="AZ8" i="24"/>
  <c r="BA8" i="24"/>
  <c r="BB8" i="24"/>
  <c r="BC8" i="24"/>
  <c r="BD8" i="24"/>
  <c r="BE8" i="24"/>
  <c r="BF8" i="24"/>
  <c r="BG8" i="24"/>
  <c r="BH8" i="24"/>
  <c r="BI8" i="24"/>
  <c r="BJ8" i="24"/>
  <c r="BK8" i="24"/>
  <c r="BL8" i="24"/>
  <c r="BM8" i="24"/>
  <c r="BN8" i="24"/>
  <c r="BO8" i="24"/>
  <c r="BP8" i="24"/>
  <c r="BQ8" i="24"/>
  <c r="BR8" i="24"/>
  <c r="BS8" i="24"/>
  <c r="BT8" i="24"/>
  <c r="BU8" i="24"/>
  <c r="BV8" i="24"/>
  <c r="BW8" i="24"/>
  <c r="BX8" i="24"/>
  <c r="BY8" i="24"/>
  <c r="BZ8" i="24"/>
  <c r="CA8" i="24"/>
  <c r="CB8" i="24"/>
  <c r="CC8" i="24"/>
  <c r="CD8" i="24"/>
  <c r="CE8" i="24"/>
  <c r="CF8" i="24"/>
  <c r="CG8" i="24"/>
  <c r="CH8" i="24"/>
  <c r="CI8" i="24"/>
  <c r="CJ8" i="24"/>
  <c r="CK8" i="24"/>
  <c r="CL8" i="24"/>
  <c r="CM8" i="24"/>
  <c r="CN8" i="24"/>
  <c r="CO8" i="24"/>
  <c r="CP8" i="24"/>
  <c r="CQ8" i="24"/>
  <c r="CR8" i="24"/>
  <c r="CS8" i="24"/>
  <c r="CT8" i="24"/>
  <c r="B6" i="24"/>
  <c r="B7" i="24"/>
  <c r="B8" i="24"/>
  <c r="B5" i="24"/>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I109" i="10"/>
  <c r="AJ109" i="10"/>
  <c r="AK109" i="10"/>
  <c r="AL109" i="10"/>
  <c r="C109" i="10"/>
  <c r="C283" i="24" l="1"/>
  <c r="B283" i="24"/>
  <c r="GT2" i="24"/>
  <c r="Z13" i="31"/>
  <c r="Z12" i="31"/>
  <c r="Z9" i="31" s="1"/>
  <c r="AA14" i="31"/>
  <c r="AA5" i="31" s="1"/>
  <c r="AA112" i="31" s="1"/>
  <c r="AA113" i="31" s="1"/>
  <c r="AA10" i="31" s="1"/>
  <c r="AA10" i="10" s="1"/>
  <c r="GS109" i="10"/>
  <c r="GR283" i="24" s="1"/>
  <c r="FU109" i="10"/>
  <c r="FT283" i="24" s="1"/>
  <c r="FE109" i="10"/>
  <c r="FD283" i="24" s="1"/>
  <c r="EW109" i="10"/>
  <c r="EV283" i="24" s="1"/>
  <c r="DY109" i="10"/>
  <c r="DX283" i="24" s="1"/>
  <c r="DA109" i="10"/>
  <c r="CZ283" i="24" s="1"/>
  <c r="CK109" i="10"/>
  <c r="CJ283" i="24" s="1"/>
  <c r="BU109" i="10"/>
  <c r="BT283" i="24" s="1"/>
  <c r="BE109" i="10"/>
  <c r="BD283" i="24" s="1"/>
  <c r="GN109" i="10"/>
  <c r="GM283" i="24" s="1"/>
  <c r="GF109" i="10"/>
  <c r="GE283" i="24" s="1"/>
  <c r="FH109" i="10"/>
  <c r="FG283" i="24" s="1"/>
  <c r="EB109" i="10"/>
  <c r="EA283" i="24" s="1"/>
  <c r="DT109" i="10"/>
  <c r="DS283" i="24" s="1"/>
  <c r="DD109" i="10"/>
  <c r="DC283" i="24" s="1"/>
  <c r="CV109" i="10"/>
  <c r="CU283" i="24" s="1"/>
  <c r="CN109" i="10"/>
  <c r="CM283" i="24" s="1"/>
  <c r="BX109" i="10"/>
  <c r="BW283" i="24" s="1"/>
  <c r="BP109" i="10"/>
  <c r="BO283" i="24" s="1"/>
  <c r="BH109" i="10"/>
  <c r="AZ109" i="10"/>
  <c r="AR109" i="10"/>
  <c r="GT109" i="10"/>
  <c r="GS283" i="24" s="1"/>
  <c r="GL109" i="10"/>
  <c r="GK283" i="24" s="1"/>
  <c r="GD109" i="10"/>
  <c r="GC283" i="24" s="1"/>
  <c r="FV109" i="10"/>
  <c r="FU283" i="24" s="1"/>
  <c r="FN109" i="10"/>
  <c r="FM283" i="24" s="1"/>
  <c r="FF109" i="10"/>
  <c r="FE283" i="24" s="1"/>
  <c r="EX109" i="10"/>
  <c r="EW283" i="24" s="1"/>
  <c r="EP109" i="10"/>
  <c r="EO283" i="24" s="1"/>
  <c r="EH109" i="10"/>
  <c r="EG283" i="24" s="1"/>
  <c r="DZ109" i="10"/>
  <c r="DY283" i="24" s="1"/>
  <c r="DR109" i="10"/>
  <c r="DQ283" i="24" s="1"/>
  <c r="DJ109" i="10"/>
  <c r="DI283" i="24" s="1"/>
  <c r="DB109" i="10"/>
  <c r="DA283" i="24" s="1"/>
  <c r="CT109" i="10"/>
  <c r="CS283" i="24" s="1"/>
  <c r="CL109" i="10"/>
  <c r="CK283" i="24" s="1"/>
  <c r="CD109" i="10"/>
  <c r="CC283" i="24" s="1"/>
  <c r="BV109" i="10"/>
  <c r="BU283" i="24" s="1"/>
  <c r="BN109" i="10"/>
  <c r="BM283" i="24" s="1"/>
  <c r="BF109" i="10"/>
  <c r="AX109" i="10"/>
  <c r="AP109" i="10"/>
  <c r="GR109" i="10"/>
  <c r="GQ283" i="24" s="1"/>
  <c r="GJ109" i="10"/>
  <c r="GI283" i="24" s="1"/>
  <c r="GB109" i="10"/>
  <c r="GA283" i="24" s="1"/>
  <c r="FT109" i="10"/>
  <c r="FS283" i="24" s="1"/>
  <c r="FL109" i="10"/>
  <c r="FK283" i="24" s="1"/>
  <c r="FD109" i="10"/>
  <c r="FC283" i="24" s="1"/>
  <c r="EV109" i="10"/>
  <c r="EU283" i="24" s="1"/>
  <c r="EN109" i="10"/>
  <c r="EM283" i="24" s="1"/>
  <c r="EF109" i="10"/>
  <c r="EE283" i="24" s="1"/>
  <c r="DX109" i="10"/>
  <c r="DW283" i="24" s="1"/>
  <c r="DP109" i="10"/>
  <c r="DO283" i="24" s="1"/>
  <c r="DH109" i="10"/>
  <c r="DG283" i="24" s="1"/>
  <c r="CZ109" i="10"/>
  <c r="CY283" i="24" s="1"/>
  <c r="CR109" i="10"/>
  <c r="CQ283" i="24" s="1"/>
  <c r="CJ109" i="10"/>
  <c r="CI283" i="24" s="1"/>
  <c r="CB109" i="10"/>
  <c r="CA283" i="24" s="1"/>
  <c r="BT109" i="10"/>
  <c r="BS283" i="24" s="1"/>
  <c r="BL109" i="10"/>
  <c r="BK283" i="24" s="1"/>
  <c r="BD109" i="10"/>
  <c r="AV109" i="10"/>
  <c r="AN109" i="10"/>
  <c r="GQ109" i="10"/>
  <c r="GP283" i="24" s="1"/>
  <c r="GI109" i="10"/>
  <c r="GH283" i="24" s="1"/>
  <c r="GA109" i="10"/>
  <c r="FZ283" i="24" s="1"/>
  <c r="FS109" i="10"/>
  <c r="FR283" i="24" s="1"/>
  <c r="FK109" i="10"/>
  <c r="FJ283" i="24" s="1"/>
  <c r="FC109" i="10"/>
  <c r="FB283" i="24" s="1"/>
  <c r="EU109" i="10"/>
  <c r="ET283" i="24" s="1"/>
  <c r="EM109" i="10"/>
  <c r="EL283" i="24" s="1"/>
  <c r="EE109" i="10"/>
  <c r="ED283" i="24" s="1"/>
  <c r="DW109" i="10"/>
  <c r="DV283" i="24" s="1"/>
  <c r="DO109" i="10"/>
  <c r="DN283" i="24" s="1"/>
  <c r="DG109" i="10"/>
  <c r="DF283" i="24" s="1"/>
  <c r="CY109" i="10"/>
  <c r="CX283" i="24" s="1"/>
  <c r="CQ109" i="10"/>
  <c r="CP283" i="24" s="1"/>
  <c r="CI109" i="10"/>
  <c r="CH283" i="24" s="1"/>
  <c r="CA109" i="10"/>
  <c r="BZ283" i="24" s="1"/>
  <c r="BS109" i="10"/>
  <c r="BR283" i="24" s="1"/>
  <c r="BK109" i="10"/>
  <c r="BJ283" i="24" s="1"/>
  <c r="BC109" i="10"/>
  <c r="AU109" i="10"/>
  <c r="AM109" i="10"/>
  <c r="DI109" i="10"/>
  <c r="DH283" i="24" s="1"/>
  <c r="GP109" i="10"/>
  <c r="GO283" i="24" s="1"/>
  <c r="GH109" i="10"/>
  <c r="GG283" i="24" s="1"/>
  <c r="FZ109" i="10"/>
  <c r="FY283" i="24" s="1"/>
  <c r="FR109" i="10"/>
  <c r="FQ283" i="24" s="1"/>
  <c r="FJ109" i="10"/>
  <c r="FI283" i="24" s="1"/>
  <c r="FB109" i="10"/>
  <c r="FA283" i="24" s="1"/>
  <c r="ET109" i="10"/>
  <c r="ES283" i="24" s="1"/>
  <c r="EL109" i="10"/>
  <c r="EK283" i="24" s="1"/>
  <c r="ED109" i="10"/>
  <c r="EC283" i="24" s="1"/>
  <c r="DV109" i="10"/>
  <c r="DU283" i="24" s="1"/>
  <c r="DN109" i="10"/>
  <c r="DM283" i="24" s="1"/>
  <c r="DF109" i="10"/>
  <c r="DE283" i="24" s="1"/>
  <c r="CX109" i="10"/>
  <c r="CW283" i="24" s="1"/>
  <c r="CP109" i="10"/>
  <c r="CO283" i="24" s="1"/>
  <c r="CH109" i="10"/>
  <c r="CG283" i="24" s="1"/>
  <c r="BZ109" i="10"/>
  <c r="BY283" i="24" s="1"/>
  <c r="BR109" i="10"/>
  <c r="BQ283" i="24" s="1"/>
  <c r="BJ109" i="10"/>
  <c r="BB109" i="10"/>
  <c r="AT109" i="10"/>
  <c r="GO109" i="10"/>
  <c r="GN283" i="24" s="1"/>
  <c r="GG109" i="10"/>
  <c r="GF283" i="24" s="1"/>
  <c r="FY109" i="10"/>
  <c r="FX283" i="24" s="1"/>
  <c r="FQ109" i="10"/>
  <c r="FP283" i="24" s="1"/>
  <c r="FI109" i="10"/>
  <c r="FH283" i="24" s="1"/>
  <c r="FA109" i="10"/>
  <c r="EZ283" i="24" s="1"/>
  <c r="ES109" i="10"/>
  <c r="ER283" i="24" s="1"/>
  <c r="EK109" i="10"/>
  <c r="EJ283" i="24" s="1"/>
  <c r="EC109" i="10"/>
  <c r="EB283" i="24" s="1"/>
  <c r="DU109" i="10"/>
  <c r="DT283" i="24" s="1"/>
  <c r="DM109" i="10"/>
  <c r="DL283" i="24" s="1"/>
  <c r="DE109" i="10"/>
  <c r="DD283" i="24" s="1"/>
  <c r="CW109" i="10"/>
  <c r="CV283" i="24" s="1"/>
  <c r="CO109" i="10"/>
  <c r="CN283" i="24" s="1"/>
  <c r="CG109" i="10"/>
  <c r="CF283" i="24" s="1"/>
  <c r="BY109" i="10"/>
  <c r="BX283" i="24" s="1"/>
  <c r="BQ109" i="10"/>
  <c r="BP283" i="24" s="1"/>
  <c r="BI109" i="10"/>
  <c r="BA109" i="10"/>
  <c r="AS109" i="10"/>
  <c r="GK109" i="10"/>
  <c r="GJ283" i="24" s="1"/>
  <c r="EO109" i="10"/>
  <c r="EN283" i="24" s="1"/>
  <c r="EJ109" i="10"/>
  <c r="EI283" i="24" s="1"/>
  <c r="GC109" i="10"/>
  <c r="GB283" i="24" s="1"/>
  <c r="FM109" i="10"/>
  <c r="FL283" i="24" s="1"/>
  <c r="EG109" i="10"/>
  <c r="EF283" i="24" s="1"/>
  <c r="DQ109" i="10"/>
  <c r="DP283" i="24" s="1"/>
  <c r="CS109" i="10"/>
  <c r="CR283" i="24" s="1"/>
  <c r="CC109" i="10"/>
  <c r="CB283" i="24" s="1"/>
  <c r="BM109" i="10"/>
  <c r="BL283" i="24" s="1"/>
  <c r="AW109" i="10"/>
  <c r="AO109" i="10"/>
  <c r="FX109" i="10"/>
  <c r="FW283" i="24" s="1"/>
  <c r="FP109" i="10"/>
  <c r="FO283" i="24" s="1"/>
  <c r="EZ109" i="10"/>
  <c r="EY283" i="24" s="1"/>
  <c r="ER109" i="10"/>
  <c r="EQ283" i="24" s="1"/>
  <c r="DL109" i="10"/>
  <c r="DK283" i="24" s="1"/>
  <c r="CF109" i="10"/>
  <c r="CE283" i="24" s="1"/>
  <c r="GM109" i="10"/>
  <c r="GL283" i="24" s="1"/>
  <c r="GE109" i="10"/>
  <c r="GD283" i="24" s="1"/>
  <c r="FW109" i="10"/>
  <c r="FV283" i="24" s="1"/>
  <c r="FO109" i="10"/>
  <c r="FN283" i="24" s="1"/>
  <c r="FG109" i="10"/>
  <c r="FF283" i="24" s="1"/>
  <c r="EY109" i="10"/>
  <c r="EX283" i="24" s="1"/>
  <c r="EQ109" i="10"/>
  <c r="EP283" i="24" s="1"/>
  <c r="EI109" i="10"/>
  <c r="EH283" i="24" s="1"/>
  <c r="EA109" i="10"/>
  <c r="DZ283" i="24" s="1"/>
  <c r="DS109" i="10"/>
  <c r="DR283" i="24" s="1"/>
  <c r="DK109" i="10"/>
  <c r="DJ283" i="24" s="1"/>
  <c r="DC109" i="10"/>
  <c r="DB283" i="24" s="1"/>
  <c r="CU109" i="10"/>
  <c r="CT283" i="24" s="1"/>
  <c r="CM109" i="10"/>
  <c r="CL283" i="24" s="1"/>
  <c r="CE109" i="10"/>
  <c r="CD283" i="24" s="1"/>
  <c r="BW109" i="10"/>
  <c r="BV283" i="24" s="1"/>
  <c r="BO109" i="10"/>
  <c r="BN283" i="24" s="1"/>
  <c r="BG109" i="10"/>
  <c r="AY109" i="10"/>
  <c r="AQ109" i="10"/>
  <c r="G283" i="24"/>
  <c r="E283" i="24"/>
  <c r="F283" i="24"/>
  <c r="D283" i="24"/>
  <c r="J283" i="24"/>
  <c r="AC11" i="31"/>
  <c r="AB14" i="31" l="1"/>
  <c r="AB5" i="31" s="1"/>
  <c r="AB112" i="31" s="1"/>
  <c r="AB113" i="31" s="1"/>
  <c r="AB10" i="31" s="1"/>
  <c r="AB10" i="10" s="1"/>
  <c r="AA12" i="31"/>
  <c r="AA9" i="31" s="1"/>
  <c r="AA13" i="31"/>
  <c r="AD11" i="31"/>
  <c r="AC14" i="31" l="1"/>
  <c r="AC5" i="31" s="1"/>
  <c r="AC112" i="31" s="1"/>
  <c r="AC113" i="31" s="1"/>
  <c r="AC10" i="31" s="1"/>
  <c r="AC10" i="10" s="1"/>
  <c r="AB12" i="31"/>
  <c r="AB9" i="31" s="1"/>
  <c r="AB13" i="31"/>
  <c r="AE11" i="31"/>
  <c r="AD14" i="31" l="1"/>
  <c r="AD5" i="31" s="1"/>
  <c r="AD112" i="31" s="1"/>
  <c r="AD113" i="31" s="1"/>
  <c r="AD10" i="31" s="1"/>
  <c r="AD10" i="10" s="1"/>
  <c r="AC13" i="31"/>
  <c r="AC12" i="31"/>
  <c r="AC9" i="31" s="1"/>
  <c r="AF11" i="31"/>
  <c r="AE14" i="31" l="1"/>
  <c r="AE5" i="31" s="1"/>
  <c r="AE112" i="31" s="1"/>
  <c r="AE113" i="31" s="1"/>
  <c r="AE10" i="31" s="1"/>
  <c r="AE10" i="10" s="1"/>
  <c r="AD13" i="31"/>
  <c r="AD12" i="31"/>
  <c r="AD9" i="31" s="1"/>
  <c r="AG11" i="31"/>
  <c r="AE13" i="31" l="1"/>
  <c r="AF14" i="31"/>
  <c r="AF5" i="31" s="1"/>
  <c r="AF112" i="31" s="1"/>
  <c r="AF113" i="31" s="1"/>
  <c r="AF10" i="31" s="1"/>
  <c r="AF10" i="10" s="1"/>
  <c r="AE12" i="31"/>
  <c r="AE9" i="31" s="1"/>
  <c r="AH11" i="31"/>
  <c r="AF12" i="31" l="1"/>
  <c r="AF9" i="31" s="1"/>
  <c r="AF13" i="31"/>
  <c r="AG14" i="31"/>
  <c r="AG5" i="31" s="1"/>
  <c r="AG112" i="31" s="1"/>
  <c r="AG113" i="31" s="1"/>
  <c r="AG10" i="31" s="1"/>
  <c r="AG10" i="10" s="1"/>
  <c r="AI11" i="31"/>
  <c r="AH14" i="31" l="1"/>
  <c r="AH5" i="31" s="1"/>
  <c r="AH112" i="31" s="1"/>
  <c r="AH113" i="31" s="1"/>
  <c r="AH10" i="31" s="1"/>
  <c r="AH10" i="10" s="1"/>
  <c r="AG13" i="31"/>
  <c r="AG12" i="31"/>
  <c r="AG9" i="31" s="1"/>
  <c r="AJ11" i="31"/>
  <c r="AH13" i="31" l="1"/>
  <c r="AH12" i="31"/>
  <c r="AH9" i="31" s="1"/>
  <c r="AI14" i="31"/>
  <c r="AI5" i="31" s="1"/>
  <c r="AI112" i="31" s="1"/>
  <c r="AI113" i="31" s="1"/>
  <c r="AI10" i="31" s="1"/>
  <c r="AI10" i="10" s="1"/>
  <c r="AK11" i="31"/>
  <c r="AI12" i="31" l="1"/>
  <c r="AI9" i="31" s="1"/>
  <c r="AI13" i="31"/>
  <c r="AJ14" i="31"/>
  <c r="AJ5" i="31" s="1"/>
  <c r="AJ112" i="31" s="1"/>
  <c r="AL11" i="31"/>
  <c r="AJ12" i="31" l="1"/>
  <c r="AJ9" i="31" s="1"/>
  <c r="AK14" i="31"/>
  <c r="AK5" i="31" s="1"/>
  <c r="AK112" i="31" s="1"/>
  <c r="AK113" i="31" s="1"/>
  <c r="AK10" i="31" s="1"/>
  <c r="AK10" i="10" s="1"/>
  <c r="AJ13" i="31"/>
  <c r="AJ113" i="31"/>
  <c r="AJ10" i="31" s="1"/>
  <c r="AJ10" i="10" s="1"/>
  <c r="AM11" i="31"/>
  <c r="AL14" i="31" l="1"/>
  <c r="AL5" i="31" s="1"/>
  <c r="AL112" i="31" s="1"/>
  <c r="AL113" i="31" s="1"/>
  <c r="AL10" i="31" s="1"/>
  <c r="AL10" i="10" s="1"/>
  <c r="AK12" i="31"/>
  <c r="AK9" i="31" s="1"/>
  <c r="AK13" i="31"/>
  <c r="AN11" i="31"/>
  <c r="AL13" i="31" l="1"/>
  <c r="AL12" i="31"/>
  <c r="AL9" i="31" s="1"/>
  <c r="AM14" i="31"/>
  <c r="AM5" i="31" s="1"/>
  <c r="AM112" i="31" s="1"/>
  <c r="AM113" i="31" s="1"/>
  <c r="AM10" i="31" s="1"/>
  <c r="AM10" i="10" s="1"/>
  <c r="AO11" i="31"/>
  <c r="AN14" i="31" l="1"/>
  <c r="AN5" i="31" s="1"/>
  <c r="AN112" i="31" s="1"/>
  <c r="AN113" i="31" s="1"/>
  <c r="AN10" i="31" s="1"/>
  <c r="AN10" i="10" s="1"/>
  <c r="AM12" i="31"/>
  <c r="AM9" i="31" s="1"/>
  <c r="AM13" i="31"/>
  <c r="AP11" i="31"/>
  <c r="AN13" i="31" l="1"/>
  <c r="AN12" i="31"/>
  <c r="AN9" i="31" s="1"/>
  <c r="AO14" i="31"/>
  <c r="AO5" i="31" s="1"/>
  <c r="AO112" i="31" s="1"/>
  <c r="AO113" i="31" s="1"/>
  <c r="AO10" i="31" s="1"/>
  <c r="AO10" i="10" s="1"/>
  <c r="AQ11" i="31"/>
  <c r="AP14" i="31" l="1"/>
  <c r="AP5" i="31" s="1"/>
  <c r="AP112" i="31" s="1"/>
  <c r="AP113" i="31" s="1"/>
  <c r="AP10" i="31" s="1"/>
  <c r="AP10" i="10" s="1"/>
  <c r="AO13" i="31"/>
  <c r="AO12" i="31"/>
  <c r="AO9" i="31" s="1"/>
  <c r="AR11" i="31"/>
  <c r="AQ14" i="31" l="1"/>
  <c r="AQ5" i="31" s="1"/>
  <c r="AQ112" i="31" s="1"/>
  <c r="AQ113" i="31" s="1"/>
  <c r="AQ10" i="31" s="1"/>
  <c r="AQ10" i="10" s="1"/>
  <c r="AP12" i="31"/>
  <c r="AP9" i="31" s="1"/>
  <c r="AP13" i="31"/>
  <c r="AS11" i="31"/>
  <c r="AR14" i="31" l="1"/>
  <c r="AR5" i="31" s="1"/>
  <c r="AR112" i="31" s="1"/>
  <c r="AR113" i="31" s="1"/>
  <c r="AR10" i="31" s="1"/>
  <c r="AR10" i="10" s="1"/>
  <c r="AQ13" i="31"/>
  <c r="AQ12" i="31"/>
  <c r="AQ9" i="31" s="1"/>
  <c r="AS14" i="31"/>
  <c r="AT11" i="31"/>
  <c r="AS5" i="31" l="1"/>
  <c r="AS112" i="31" s="1"/>
  <c r="AS113" i="31" s="1"/>
  <c r="AS10" i="31" s="1"/>
  <c r="AS10" i="10" s="1"/>
  <c r="AR13" i="31"/>
  <c r="AR12" i="31"/>
  <c r="AR9" i="31" s="1"/>
  <c r="AS13" i="31"/>
  <c r="AS12" i="31"/>
  <c r="AT14" i="31"/>
  <c r="AU11" i="31"/>
  <c r="AT5" i="31" l="1"/>
  <c r="AT112" i="31" s="1"/>
  <c r="AT113" i="31" s="1"/>
  <c r="AT10" i="31" s="1"/>
  <c r="AT10" i="10" s="1"/>
  <c r="AT12" i="31"/>
  <c r="AT13" i="31"/>
  <c r="AS9" i="31"/>
  <c r="AU14" i="31"/>
  <c r="AU5" i="31" s="1"/>
  <c r="AU112" i="31" s="1"/>
  <c r="AV11" i="31"/>
  <c r="AU113" i="31" l="1"/>
  <c r="AU10" i="31" s="1"/>
  <c r="AU10" i="10" s="1"/>
  <c r="AU13" i="31"/>
  <c r="AU12" i="31"/>
  <c r="AW11" i="31"/>
  <c r="AV14" i="31"/>
  <c r="AV5" i="31" s="1"/>
  <c r="AV112" i="31" s="1"/>
  <c r="AT9" i="31"/>
  <c r="AV113" i="31" l="1"/>
  <c r="AV10" i="31" s="1"/>
  <c r="AV10" i="10" s="1"/>
  <c r="AW14" i="31"/>
  <c r="AW5" i="31" s="1"/>
  <c r="AW112" i="31" s="1"/>
  <c r="AX11" i="31"/>
  <c r="AV12" i="31"/>
  <c r="AV13" i="31"/>
  <c r="AU9" i="31"/>
  <c r="AW113" i="31" l="1"/>
  <c r="AW10" i="31" s="1"/>
  <c r="AW10" i="10" s="1"/>
  <c r="AV9" i="31"/>
  <c r="AY11" i="31"/>
  <c r="AX14" i="31"/>
  <c r="AX5" i="31" s="1"/>
  <c r="AX112" i="31" s="1"/>
  <c r="AX113" i="31" s="1"/>
  <c r="AX10" i="31" s="1"/>
  <c r="AX10" i="10" s="1"/>
  <c r="AW13" i="31"/>
  <c r="AW12" i="31"/>
  <c r="AW9" i="31" l="1"/>
  <c r="AX12" i="31"/>
  <c r="AX13" i="31"/>
  <c r="AY14" i="31"/>
  <c r="AY5" i="31" s="1"/>
  <c r="AZ11" i="31"/>
  <c r="AY112" i="31" l="1"/>
  <c r="AY113" i="31" s="1"/>
  <c r="AY10" i="31" s="1"/>
  <c r="AY10" i="10" s="1"/>
  <c r="AY12" i="31"/>
  <c r="AY13" i="31"/>
  <c r="AZ14" i="31"/>
  <c r="AZ5" i="31" s="1"/>
  <c r="AZ112" i="31" s="1"/>
  <c r="BA11" i="31"/>
  <c r="AX9" i="31"/>
  <c r="AZ113" i="31" l="1"/>
  <c r="AZ10" i="31" s="1"/>
  <c r="AZ10" i="10" s="1"/>
  <c r="AZ13" i="31"/>
  <c r="AZ12" i="31"/>
  <c r="BA14" i="31"/>
  <c r="BA5" i="31" s="1"/>
  <c r="BB11" i="31"/>
  <c r="AY9" i="31"/>
  <c r="BA112" i="31" l="1"/>
  <c r="BA113" i="31" s="1"/>
  <c r="BA10" i="31" s="1"/>
  <c r="BA10" i="10" s="1"/>
  <c r="BA13" i="31"/>
  <c r="BA12" i="31"/>
  <c r="AZ9" i="31"/>
  <c r="BB14" i="31"/>
  <c r="BB5" i="31" s="1"/>
  <c r="BB112" i="31" s="1"/>
  <c r="BC11" i="31"/>
  <c r="BB113" i="31" l="1"/>
  <c r="BB10" i="31" s="1"/>
  <c r="BB10" i="10" s="1"/>
  <c r="BB12" i="31"/>
  <c r="BB13" i="31"/>
  <c r="BC14" i="31"/>
  <c r="BC5" i="31" s="1"/>
  <c r="BD11" i="31"/>
  <c r="BA9" i="31"/>
  <c r="BC112" i="31" l="1"/>
  <c r="BC113" i="31" s="1"/>
  <c r="BC10" i="31" s="1"/>
  <c r="BC10" i="10" s="1"/>
  <c r="BD14" i="31"/>
  <c r="BD5" i="31" s="1"/>
  <c r="BD112" i="31" s="1"/>
  <c r="BE11" i="31"/>
  <c r="BC13" i="31"/>
  <c r="BC12" i="31"/>
  <c r="BB9" i="31"/>
  <c r="BD113" i="31" l="1"/>
  <c r="BD10" i="31" s="1"/>
  <c r="BD10" i="10" s="1"/>
  <c r="BE14" i="31"/>
  <c r="BE5" i="31" s="1"/>
  <c r="BF11" i="31"/>
  <c r="BC9" i="31"/>
  <c r="BD12" i="31"/>
  <c r="BD13" i="31"/>
  <c r="BE112" i="31" l="1"/>
  <c r="BE113" i="31" s="1"/>
  <c r="BE10" i="31" s="1"/>
  <c r="BE10" i="10" s="1"/>
  <c r="BD9" i="31"/>
  <c r="BF14" i="31"/>
  <c r="BF5" i="31" s="1"/>
  <c r="BF112" i="31" s="1"/>
  <c r="BG11" i="31"/>
  <c r="BE13" i="31"/>
  <c r="BE12" i="31"/>
  <c r="BF113" i="31" l="1"/>
  <c r="BF10" i="31" s="1"/>
  <c r="BF10" i="10" s="1"/>
  <c r="BE9" i="31"/>
  <c r="BG14" i="31"/>
  <c r="BG5" i="31" s="1"/>
  <c r="BH11" i="31"/>
  <c r="BF13" i="31"/>
  <c r="BF12" i="31"/>
  <c r="BG112" i="31" l="1"/>
  <c r="BG113" i="31" s="1"/>
  <c r="BG10" i="31" s="1"/>
  <c r="BG10" i="10" s="1"/>
  <c r="BF9" i="31"/>
  <c r="BH14" i="31"/>
  <c r="BH5" i="31" s="1"/>
  <c r="BH112" i="31" s="1"/>
  <c r="BI11" i="31"/>
  <c r="BG12" i="31"/>
  <c r="BG13" i="31"/>
  <c r="BH113" i="31" l="1"/>
  <c r="BH10" i="31" s="1"/>
  <c r="BH10" i="10" s="1"/>
  <c r="BG9" i="31"/>
  <c r="BJ11" i="31"/>
  <c r="BI14" i="31"/>
  <c r="BI5" i="31" s="1"/>
  <c r="BI112" i="31" s="1"/>
  <c r="BI113" i="31" s="1"/>
  <c r="BI10" i="31" s="1"/>
  <c r="BI10" i="10" s="1"/>
  <c r="BH13" i="31"/>
  <c r="BH12" i="31"/>
  <c r="BI13" i="31" l="1"/>
  <c r="BI12" i="31"/>
  <c r="BJ14" i="31"/>
  <c r="BJ5" i="31" s="1"/>
  <c r="BK11" i="31"/>
  <c r="BH9" i="31"/>
  <c r="BJ112" i="31" l="1"/>
  <c r="BK14" i="31"/>
  <c r="BK5" i="31" s="1"/>
  <c r="BL11" i="31"/>
  <c r="BI9" i="31"/>
  <c r="BJ13" i="31"/>
  <c r="BJ12" i="31"/>
  <c r="BK112" i="31" l="1"/>
  <c r="BK113" i="31" s="1"/>
  <c r="BK10" i="31" s="1"/>
  <c r="BK10" i="10" s="1"/>
  <c r="BJ113" i="31"/>
  <c r="BJ10" i="31" s="1"/>
  <c r="BJ10" i="10" s="1"/>
  <c r="BJ9" i="31"/>
  <c r="BL14" i="31"/>
  <c r="BL5" i="31" s="1"/>
  <c r="BM11" i="31"/>
  <c r="BK13" i="31"/>
  <c r="BK12" i="31"/>
  <c r="BL112" i="31" l="1"/>
  <c r="BL113" i="31" s="1"/>
  <c r="BL10" i="31" s="1"/>
  <c r="BL10" i="10" s="1"/>
  <c r="BK9" i="31"/>
  <c r="BM14" i="31"/>
  <c r="BM5" i="31" s="1"/>
  <c r="BM112" i="31" s="1"/>
  <c r="BN11" i="31"/>
  <c r="BL12" i="31"/>
  <c r="BL13" i="31"/>
  <c r="BM113" i="31" l="1"/>
  <c r="BM10" i="31" s="1"/>
  <c r="BM10" i="10" s="1"/>
  <c r="BL9" i="31"/>
  <c r="BN14" i="31"/>
  <c r="BN5" i="31" s="1"/>
  <c r="BN112" i="31" s="1"/>
  <c r="BO11" i="31"/>
  <c r="BM13" i="31"/>
  <c r="BM12" i="31"/>
  <c r="BN113" i="31" l="1"/>
  <c r="BN10" i="31" s="1"/>
  <c r="BN10" i="10" s="1"/>
  <c r="BO14" i="31"/>
  <c r="BO5" i="31" s="1"/>
  <c r="BO112" i="31" s="1"/>
  <c r="BP11" i="31"/>
  <c r="BM9" i="31"/>
  <c r="BN13" i="31"/>
  <c r="BN12" i="31"/>
  <c r="BO113" i="31" l="1"/>
  <c r="BO10" i="31" s="1"/>
  <c r="BO10" i="10" s="1"/>
  <c r="BN9" i="31"/>
  <c r="BP14" i="31"/>
  <c r="BP5" i="31" s="1"/>
  <c r="BP112" i="31" s="1"/>
  <c r="BQ11" i="31"/>
  <c r="BO12" i="31"/>
  <c r="BO13" i="31"/>
  <c r="BP113" i="31" l="1"/>
  <c r="BP10" i="31" s="1"/>
  <c r="BP10" i="10" s="1"/>
  <c r="BR11" i="31"/>
  <c r="BQ14" i="31"/>
  <c r="BQ5" i="31" s="1"/>
  <c r="BQ112" i="31" s="1"/>
  <c r="BO9" i="31"/>
  <c r="BP13" i="31"/>
  <c r="BP12" i="31"/>
  <c r="BQ113" i="31" l="1"/>
  <c r="BQ10" i="31" s="1"/>
  <c r="BQ10" i="10" s="1"/>
  <c r="BP9" i="31"/>
  <c r="BQ12" i="31"/>
  <c r="BQ13" i="31"/>
  <c r="BR14" i="31"/>
  <c r="BR5" i="31" s="1"/>
  <c r="BR112" i="31" s="1"/>
  <c r="BS11" i="31"/>
  <c r="BR113" i="31" l="1"/>
  <c r="BR10" i="31" s="1"/>
  <c r="BR10" i="10" s="1"/>
  <c r="BS14" i="31"/>
  <c r="BS5" i="31" s="1"/>
  <c r="BS112" i="31" s="1"/>
  <c r="BS113" i="31" s="1"/>
  <c r="BS10" i="31" s="1"/>
  <c r="BS10" i="10" s="1"/>
  <c r="BT11" i="31"/>
  <c r="BR13" i="31"/>
  <c r="BR12" i="31"/>
  <c r="BQ9" i="31"/>
  <c r="BR9" i="31" l="1"/>
  <c r="BT14" i="31"/>
  <c r="BT5" i="31" s="1"/>
  <c r="BT112" i="31" s="1"/>
  <c r="BU11" i="31"/>
  <c r="BS13" i="31"/>
  <c r="BS12" i="31"/>
  <c r="BT113" i="31" l="1"/>
  <c r="BT10" i="31" s="1"/>
  <c r="BT10" i="10" s="1"/>
  <c r="BS9" i="31"/>
  <c r="BT12" i="31"/>
  <c r="BT13" i="31"/>
  <c r="BV11" i="31"/>
  <c r="BU14" i="31"/>
  <c r="BU5" i="31" s="1"/>
  <c r="BU112" i="31" s="1"/>
  <c r="BU113" i="31" l="1"/>
  <c r="BU10" i="31" s="1"/>
  <c r="BU10" i="10" s="1"/>
  <c r="BU13" i="31"/>
  <c r="BU12" i="31"/>
  <c r="BV14" i="31"/>
  <c r="BV5" i="31" s="1"/>
  <c r="BV112" i="31" s="1"/>
  <c r="BW11" i="31"/>
  <c r="BT9" i="31"/>
  <c r="BV113" i="31" l="1"/>
  <c r="BV10" i="31" s="1"/>
  <c r="BV10" i="10" s="1"/>
  <c r="BW14" i="31"/>
  <c r="BW5" i="31" s="1"/>
  <c r="BW112" i="31" s="1"/>
  <c r="BW113" i="31" s="1"/>
  <c r="BW10" i="31" s="1"/>
  <c r="BW10" i="10" s="1"/>
  <c r="BX11" i="31"/>
  <c r="BV13" i="31"/>
  <c r="BV12" i="31"/>
  <c r="BU9" i="31"/>
  <c r="BX14" i="31" l="1"/>
  <c r="BX5" i="31" s="1"/>
  <c r="BX112" i="31" s="1"/>
  <c r="BX113" i="31" s="1"/>
  <c r="BX10" i="31" s="1"/>
  <c r="BX10" i="10" s="1"/>
  <c r="BY11" i="31"/>
  <c r="BV9" i="31"/>
  <c r="BW12" i="31"/>
  <c r="BW13" i="31"/>
  <c r="BY14" i="31" l="1"/>
  <c r="BY5" i="31" s="1"/>
  <c r="BY112" i="31" s="1"/>
  <c r="BZ11" i="31"/>
  <c r="BW9" i="31"/>
  <c r="BX13" i="31"/>
  <c r="BX12" i="31"/>
  <c r="BY113" i="31" l="1"/>
  <c r="BY10" i="31" s="1"/>
  <c r="BY10" i="10" s="1"/>
  <c r="BX9" i="31"/>
  <c r="CA11" i="31"/>
  <c r="BZ14" i="31"/>
  <c r="BZ5" i="31" s="1"/>
  <c r="BZ112" i="31" s="1"/>
  <c r="BZ113" i="31" s="1"/>
  <c r="BZ10" i="31" s="1"/>
  <c r="BZ10" i="10" s="1"/>
  <c r="BY12" i="31"/>
  <c r="BY13" i="31"/>
  <c r="BY9" i="31" l="1"/>
  <c r="CA14" i="31"/>
  <c r="CA5" i="31" s="1"/>
  <c r="CA112" i="31" s="1"/>
  <c r="CB11" i="31"/>
  <c r="BZ12" i="31"/>
  <c r="BZ13" i="31"/>
  <c r="CA113" i="31" l="1"/>
  <c r="CA10" i="31" s="1"/>
  <c r="CA10" i="10" s="1"/>
  <c r="CB14" i="31"/>
  <c r="CB5" i="31" s="1"/>
  <c r="CB112" i="31" s="1"/>
  <c r="CC11" i="31"/>
  <c r="BZ9" i="31"/>
  <c r="CA13" i="31"/>
  <c r="CA12" i="31"/>
  <c r="CB113" i="31" l="1"/>
  <c r="CB10" i="31" s="1"/>
  <c r="CB10" i="10" s="1"/>
  <c r="CC14" i="31"/>
  <c r="CC5" i="31" s="1"/>
  <c r="CC112" i="31" s="1"/>
  <c r="CD11" i="31"/>
  <c r="CA9" i="31"/>
  <c r="CB12" i="31"/>
  <c r="CB13" i="31"/>
  <c r="CC113" i="31" l="1"/>
  <c r="CC10" i="31" s="1"/>
  <c r="CC10" i="10" s="1"/>
  <c r="CB9" i="31"/>
  <c r="CE11" i="31"/>
  <c r="CD14" i="31"/>
  <c r="CD5" i="31" s="1"/>
  <c r="CD112" i="31" s="1"/>
  <c r="CD113" i="31" s="1"/>
  <c r="CD10" i="31" s="1"/>
  <c r="CD10" i="10" s="1"/>
  <c r="CC13" i="31"/>
  <c r="CC12" i="31"/>
  <c r="CC9" i="31" l="1"/>
  <c r="CD12" i="31"/>
  <c r="CD13" i="31"/>
  <c r="CE14" i="31"/>
  <c r="CE5" i="31" s="1"/>
  <c r="CE112" i="31" s="1"/>
  <c r="CE113" i="31" s="1"/>
  <c r="CE10" i="31" s="1"/>
  <c r="CE10" i="10" s="1"/>
  <c r="CF11" i="31"/>
  <c r="CD9" i="31" l="1"/>
  <c r="CG11" i="31"/>
  <c r="CF14" i="31"/>
  <c r="CF5" i="31" s="1"/>
  <c r="CF112" i="31" s="1"/>
  <c r="CE13" i="31"/>
  <c r="CE12" i="31"/>
  <c r="CF113" i="31" l="1"/>
  <c r="CF10" i="31" s="1"/>
  <c r="CF10" i="10" s="1"/>
  <c r="CE9" i="31"/>
  <c r="CG14" i="31"/>
  <c r="CG5" i="31" s="1"/>
  <c r="CG112" i="31" s="1"/>
  <c r="CH11" i="31"/>
  <c r="CF13" i="31"/>
  <c r="CF12" i="31"/>
  <c r="CG113" i="31" l="1"/>
  <c r="CG10" i="31" s="1"/>
  <c r="CG10" i="10" s="1"/>
  <c r="CF9" i="31"/>
  <c r="CH14" i="31"/>
  <c r="CH5" i="31" s="1"/>
  <c r="CH112" i="31" s="1"/>
  <c r="CI11" i="31"/>
  <c r="CG12" i="31"/>
  <c r="CG13" i="31"/>
  <c r="CH113" i="31" l="1"/>
  <c r="CH10" i="31" s="1"/>
  <c r="CH10" i="10" s="1"/>
  <c r="CH13" i="31"/>
  <c r="CH12" i="31"/>
  <c r="CG9" i="31"/>
  <c r="CI14" i="31"/>
  <c r="CI5" i="31" s="1"/>
  <c r="CI112" i="31" s="1"/>
  <c r="CJ11" i="31"/>
  <c r="CI113" i="31" l="1"/>
  <c r="CI10" i="31" s="1"/>
  <c r="CI10" i="10" s="1"/>
  <c r="CJ14" i="31"/>
  <c r="CJ5" i="31" s="1"/>
  <c r="CJ112" i="31" s="1"/>
  <c r="CK11" i="31"/>
  <c r="CH9" i="31"/>
  <c r="CI13" i="31"/>
  <c r="CI12" i="31"/>
  <c r="CJ113" i="31" l="1"/>
  <c r="CJ10" i="31" s="1"/>
  <c r="CJ10" i="10" s="1"/>
  <c r="CI9" i="31"/>
  <c r="CK14" i="31"/>
  <c r="CK5" i="31" s="1"/>
  <c r="CK112" i="31" s="1"/>
  <c r="CK113" i="31" s="1"/>
  <c r="CK10" i="31" s="1"/>
  <c r="CK10" i="10" s="1"/>
  <c r="CL11" i="31"/>
  <c r="CJ12" i="31"/>
  <c r="CJ13" i="31"/>
  <c r="CJ9" i="31" l="1"/>
  <c r="CM11" i="31"/>
  <c r="CL14" i="31"/>
  <c r="CL5" i="31" s="1"/>
  <c r="CL112" i="31" s="1"/>
  <c r="CK13" i="31"/>
  <c r="CK12" i="31"/>
  <c r="CL113" i="31" l="1"/>
  <c r="CL10" i="31" s="1"/>
  <c r="CL10" i="10" s="1"/>
  <c r="CK9" i="31"/>
  <c r="CL13" i="31"/>
  <c r="CL12" i="31"/>
  <c r="CM14" i="31"/>
  <c r="CM5" i="31" s="1"/>
  <c r="CM112" i="31" s="1"/>
  <c r="CN11" i="31"/>
  <c r="CM113" i="31" l="1"/>
  <c r="CM10" i="31" s="1"/>
  <c r="CM10" i="10" s="1"/>
  <c r="CN14" i="31"/>
  <c r="CN5" i="31" s="1"/>
  <c r="CN112" i="31" s="1"/>
  <c r="CO11" i="31"/>
  <c r="CM13" i="31"/>
  <c r="CM12" i="31"/>
  <c r="CL9" i="31"/>
  <c r="CN113" i="31" l="1"/>
  <c r="CN10" i="31" s="1"/>
  <c r="CN10" i="10" s="1"/>
  <c r="CO14" i="31"/>
  <c r="CO5" i="31" s="1"/>
  <c r="CO112" i="31" s="1"/>
  <c r="CO113" i="31" s="1"/>
  <c r="CO10" i="31" s="1"/>
  <c r="CO10" i="10" s="1"/>
  <c r="CP11" i="31"/>
  <c r="CM9" i="31"/>
  <c r="CN13" i="31"/>
  <c r="CN12" i="31"/>
  <c r="CN9" i="31" l="1"/>
  <c r="CP14" i="31"/>
  <c r="CP5" i="31" s="1"/>
  <c r="CP112" i="31" s="1"/>
  <c r="CQ11" i="31"/>
  <c r="CO12" i="31"/>
  <c r="CO13" i="31"/>
  <c r="CP113" i="31" l="1"/>
  <c r="CP10" i="31" s="1"/>
  <c r="CP10" i="10" s="1"/>
  <c r="CQ14" i="31"/>
  <c r="CQ5" i="31" s="1"/>
  <c r="CQ112" i="31" s="1"/>
  <c r="CR11" i="31"/>
  <c r="CP13" i="31"/>
  <c r="CP12" i="31"/>
  <c r="CO9" i="31"/>
  <c r="CQ113" i="31" l="1"/>
  <c r="CQ10" i="31" s="1"/>
  <c r="CQ10" i="10" s="1"/>
  <c r="CP9" i="31"/>
  <c r="CR14" i="31"/>
  <c r="CR5" i="31" s="1"/>
  <c r="CR112" i="31" s="1"/>
  <c r="CS11" i="31"/>
  <c r="CQ13" i="31"/>
  <c r="CQ12" i="31"/>
  <c r="CR113" i="31" l="1"/>
  <c r="CR10" i="31" s="1"/>
  <c r="CR10" i="10" s="1"/>
  <c r="CR13" i="31"/>
  <c r="CR12" i="31"/>
  <c r="CQ9" i="31"/>
  <c r="CS14" i="31"/>
  <c r="CS5" i="31" s="1"/>
  <c r="CS112" i="31" s="1"/>
  <c r="CT11" i="31"/>
  <c r="CS113" i="31" l="1"/>
  <c r="CS10" i="31" s="1"/>
  <c r="CS10" i="10" s="1"/>
  <c r="CT14" i="31"/>
  <c r="CT5" i="31" s="1"/>
  <c r="CT112" i="31" s="1"/>
  <c r="CU11" i="31"/>
  <c r="CR9" i="31"/>
  <c r="CS13" i="31"/>
  <c r="CS12" i="31"/>
  <c r="CT113" i="31" l="1"/>
  <c r="CT10" i="31" s="1"/>
  <c r="CT10" i="10" s="1"/>
  <c r="CS9" i="31"/>
  <c r="CU14" i="31"/>
  <c r="CU5" i="31" s="1"/>
  <c r="CU112" i="31" s="1"/>
  <c r="CV11" i="31"/>
  <c r="CT12" i="31"/>
  <c r="CT13" i="31"/>
  <c r="CU113" i="31" l="1"/>
  <c r="CU10" i="31" s="1"/>
  <c r="CU10" i="10" s="1"/>
  <c r="CU13" i="31"/>
  <c r="CU12" i="31"/>
  <c r="CT9" i="31"/>
  <c r="CV14" i="31"/>
  <c r="CV5" i="31" s="1"/>
  <c r="CV112" i="31" s="1"/>
  <c r="CW11" i="31"/>
  <c r="CV113" i="31" l="1"/>
  <c r="CV10" i="31" s="1"/>
  <c r="CV10" i="10" s="1"/>
  <c r="CX11" i="31"/>
  <c r="CW14" i="31"/>
  <c r="CW5" i="31" s="1"/>
  <c r="CW112" i="31" s="1"/>
  <c r="CU9" i="31"/>
  <c r="CV13" i="31"/>
  <c r="CV12" i="31"/>
  <c r="CW113" i="31" l="1"/>
  <c r="CW10" i="31" s="1"/>
  <c r="CW10" i="10" s="1"/>
  <c r="CV9" i="31"/>
  <c r="CW12" i="31"/>
  <c r="CW13" i="31"/>
  <c r="CX14" i="31"/>
  <c r="CX5" i="31" s="1"/>
  <c r="CX112" i="31" s="1"/>
  <c r="CY11" i="31"/>
  <c r="CX113" i="31" l="1"/>
  <c r="CX10" i="31" s="1"/>
  <c r="CX10" i="10" s="1"/>
  <c r="CY14" i="31"/>
  <c r="CY5" i="31" s="1"/>
  <c r="CY112" i="31" s="1"/>
  <c r="CY113" i="31" s="1"/>
  <c r="CY10" i="31" s="1"/>
  <c r="CY10" i="10" s="1"/>
  <c r="CZ11" i="31"/>
  <c r="CW9" i="31"/>
  <c r="CX12" i="31"/>
  <c r="CX13" i="31"/>
  <c r="CX9" i="31" l="1"/>
  <c r="CZ14" i="31"/>
  <c r="CZ5" i="31" s="1"/>
  <c r="CZ112" i="31" s="1"/>
  <c r="CZ113" i="31" s="1"/>
  <c r="CZ10" i="31" s="1"/>
  <c r="CZ10" i="10" s="1"/>
  <c r="DA11" i="31"/>
  <c r="CY13" i="31"/>
  <c r="CY12" i="31"/>
  <c r="CZ13" i="31" l="1"/>
  <c r="CZ12" i="31"/>
  <c r="CY9" i="31"/>
  <c r="DA14" i="31"/>
  <c r="DA5" i="31" s="1"/>
  <c r="DA112" i="31" s="1"/>
  <c r="DB11" i="31"/>
  <c r="DA113" i="31" l="1"/>
  <c r="DA10" i="31" s="1"/>
  <c r="DA10" i="10" s="1"/>
  <c r="DB14" i="31"/>
  <c r="DB5" i="31" s="1"/>
  <c r="DB112" i="31" s="1"/>
  <c r="DC11" i="31"/>
  <c r="CZ9" i="31"/>
  <c r="DA13" i="31"/>
  <c r="DA12" i="31"/>
  <c r="DB113" i="31" l="1"/>
  <c r="DB10" i="31" s="1"/>
  <c r="DB10" i="10" s="1"/>
  <c r="DC14" i="31"/>
  <c r="DC5" i="31" s="1"/>
  <c r="DC112" i="31" s="1"/>
  <c r="DC113" i="31" s="1"/>
  <c r="DC10" i="31" s="1"/>
  <c r="DC10" i="10" s="1"/>
  <c r="DD11" i="31"/>
  <c r="DA9" i="31"/>
  <c r="DB13" i="31"/>
  <c r="DB12" i="31"/>
  <c r="DB9" i="31" l="1"/>
  <c r="DD14" i="31"/>
  <c r="DD5" i="31" s="1"/>
  <c r="DD112" i="31" s="1"/>
  <c r="DD113" i="31" s="1"/>
  <c r="DD10" i="31" s="1"/>
  <c r="DD10" i="10" s="1"/>
  <c r="DE11" i="31"/>
  <c r="DC12" i="31"/>
  <c r="DC13" i="31"/>
  <c r="DD13" i="31" l="1"/>
  <c r="DD12" i="31"/>
  <c r="DE14" i="31"/>
  <c r="DE5" i="31" s="1"/>
  <c r="DE112" i="31" s="1"/>
  <c r="DF11" i="31"/>
  <c r="DC9" i="31"/>
  <c r="DE113" i="31" l="1"/>
  <c r="DE10" i="31" s="1"/>
  <c r="DE10" i="10" s="1"/>
  <c r="DE13" i="31"/>
  <c r="DE12" i="31"/>
  <c r="DD9" i="31"/>
  <c r="DF14" i="31"/>
  <c r="DF5" i="31" s="1"/>
  <c r="DF112" i="31" s="1"/>
  <c r="DG11" i="31"/>
  <c r="DF113" i="31" l="1"/>
  <c r="DF10" i="31" s="1"/>
  <c r="DF10" i="10" s="1"/>
  <c r="DE9" i="31"/>
  <c r="DG14" i="31"/>
  <c r="DG5" i="31" s="1"/>
  <c r="DG112" i="31" s="1"/>
  <c r="DH11" i="31"/>
  <c r="DF12" i="31"/>
  <c r="DF13" i="31"/>
  <c r="DG113" i="31" l="1"/>
  <c r="DG10" i="31" s="1"/>
  <c r="DG10" i="10" s="1"/>
  <c r="DI11" i="31"/>
  <c r="DH14" i="31"/>
  <c r="DH5" i="31" s="1"/>
  <c r="DH112" i="31" s="1"/>
  <c r="DF9" i="31"/>
  <c r="DG13" i="31"/>
  <c r="DG12" i="31"/>
  <c r="DH113" i="31" l="1"/>
  <c r="DH10" i="31" s="1"/>
  <c r="DH10" i="10" s="1"/>
  <c r="DG9" i="31"/>
  <c r="DH13" i="31"/>
  <c r="DH12" i="31"/>
  <c r="DI14" i="31"/>
  <c r="DI5" i="31" s="1"/>
  <c r="DI112" i="31" s="1"/>
  <c r="DI113" i="31" s="1"/>
  <c r="DI10" i="31" s="1"/>
  <c r="DI10" i="10" s="1"/>
  <c r="DJ11" i="31"/>
  <c r="DJ14" i="31" l="1"/>
  <c r="DJ5" i="31" s="1"/>
  <c r="DJ112" i="31" s="1"/>
  <c r="DK11" i="31"/>
  <c r="DH9" i="31"/>
  <c r="DI13" i="31"/>
  <c r="DI12" i="31"/>
  <c r="DJ113" i="31" l="1"/>
  <c r="DJ10" i="31" s="1"/>
  <c r="DJ10" i="10" s="1"/>
  <c r="DI9" i="31"/>
  <c r="DK14" i="31"/>
  <c r="DK5" i="31" s="1"/>
  <c r="DK112" i="31" s="1"/>
  <c r="DL11" i="31"/>
  <c r="DJ12" i="31"/>
  <c r="DJ13" i="31"/>
  <c r="DK113" i="31" l="1"/>
  <c r="DK10" i="31" s="1"/>
  <c r="DK10" i="10" s="1"/>
  <c r="DK13" i="31"/>
  <c r="DK12" i="31"/>
  <c r="DL14" i="31"/>
  <c r="DL5" i="31" s="1"/>
  <c r="DL112" i="31" s="1"/>
  <c r="DM11" i="31"/>
  <c r="DJ9" i="31"/>
  <c r="DL113" i="31" l="1"/>
  <c r="DL10" i="31" s="1"/>
  <c r="DL10" i="10" s="1"/>
  <c r="DM14" i="31"/>
  <c r="DM5" i="31" s="1"/>
  <c r="DM112" i="31" s="1"/>
  <c r="DN11" i="31"/>
  <c r="DK9" i="31"/>
  <c r="DL13" i="31"/>
  <c r="DL12" i="31"/>
  <c r="DM113" i="31" l="1"/>
  <c r="DM10" i="31" s="1"/>
  <c r="DM10" i="10" s="1"/>
  <c r="DL9" i="31"/>
  <c r="DN14" i="31"/>
  <c r="DN5" i="31" s="1"/>
  <c r="DN112" i="31" s="1"/>
  <c r="DN113" i="31" s="1"/>
  <c r="DN10" i="31" s="1"/>
  <c r="DN10" i="10" s="1"/>
  <c r="DO11" i="31"/>
  <c r="DM13" i="31"/>
  <c r="DM12" i="31"/>
  <c r="DM9" i="31" l="1"/>
  <c r="DN12" i="31"/>
  <c r="DN13" i="31"/>
  <c r="DO14" i="31"/>
  <c r="DO5" i="31" s="1"/>
  <c r="DO112" i="31" s="1"/>
  <c r="DO113" i="31" s="1"/>
  <c r="DO10" i="31" s="1"/>
  <c r="DO10" i="10" s="1"/>
  <c r="DP11" i="31"/>
  <c r="DO13" i="31" l="1"/>
  <c r="DO12" i="31"/>
  <c r="DN9" i="31"/>
  <c r="DP14" i="31"/>
  <c r="DP5" i="31" s="1"/>
  <c r="DP112" i="31" s="1"/>
  <c r="DP113" i="31" s="1"/>
  <c r="DP10" i="31" s="1"/>
  <c r="DP10" i="10" s="1"/>
  <c r="DQ11" i="31"/>
  <c r="DP12" i="31" l="1"/>
  <c r="DP13" i="31"/>
  <c r="DO9" i="31"/>
  <c r="DQ14" i="31"/>
  <c r="DQ5" i="31" s="1"/>
  <c r="DQ112" i="31" s="1"/>
  <c r="DQ113" i="31" s="1"/>
  <c r="DQ10" i="31" s="1"/>
  <c r="DQ10" i="10" s="1"/>
  <c r="DR11" i="31"/>
  <c r="DQ13" i="31" l="1"/>
  <c r="DQ12" i="31"/>
  <c r="DR14" i="31"/>
  <c r="DR5" i="31" s="1"/>
  <c r="DR112" i="31" s="1"/>
  <c r="DR113" i="31" s="1"/>
  <c r="DR10" i="31" s="1"/>
  <c r="DR10" i="10" s="1"/>
  <c r="DS11" i="31"/>
  <c r="DP9" i="31"/>
  <c r="DR13" i="31" l="1"/>
  <c r="DR12" i="31"/>
  <c r="DQ9" i="31"/>
  <c r="DS14" i="31"/>
  <c r="DS5" i="31" s="1"/>
  <c r="DS112" i="31" s="1"/>
  <c r="DS113" i="31" s="1"/>
  <c r="DS10" i="31" s="1"/>
  <c r="DS10" i="10" s="1"/>
  <c r="DT11" i="31"/>
  <c r="DT14" i="31" l="1"/>
  <c r="DT5" i="31" s="1"/>
  <c r="DT112" i="31" s="1"/>
  <c r="DT113" i="31" s="1"/>
  <c r="DT10" i="31" s="1"/>
  <c r="DT10" i="10" s="1"/>
  <c r="DU11" i="31"/>
  <c r="DR9" i="31"/>
  <c r="DS13" i="31"/>
  <c r="DS12" i="31"/>
  <c r="DV11" i="31" l="1"/>
  <c r="DU14" i="31"/>
  <c r="DU5" i="31" s="1"/>
  <c r="DU112" i="31" s="1"/>
  <c r="DS9" i="31"/>
  <c r="DT13" i="31"/>
  <c r="DT12" i="31"/>
  <c r="DU113" i="31" l="1"/>
  <c r="DU10" i="31" s="1"/>
  <c r="DU10" i="10" s="1"/>
  <c r="DT9" i="31"/>
  <c r="DU13" i="31"/>
  <c r="DU12" i="31"/>
  <c r="DV14" i="31"/>
  <c r="DV5" i="31" s="1"/>
  <c r="DV112" i="31" s="1"/>
  <c r="DW11" i="31"/>
  <c r="DV113" i="31" l="1"/>
  <c r="DV10" i="31" s="1"/>
  <c r="DV10" i="10" s="1"/>
  <c r="DW14" i="31"/>
  <c r="DW5" i="31" s="1"/>
  <c r="DW112" i="31" s="1"/>
  <c r="DW113" i="31" s="1"/>
  <c r="DW10" i="31" s="1"/>
  <c r="DW10" i="10" s="1"/>
  <c r="DX11" i="31"/>
  <c r="DV13" i="31"/>
  <c r="DV12" i="31"/>
  <c r="DU9" i="31"/>
  <c r="DV9" i="31" l="1"/>
  <c r="DX14" i="31"/>
  <c r="DX5" i="31" s="1"/>
  <c r="DX112" i="31" s="1"/>
  <c r="DY11" i="31"/>
  <c r="DW13" i="31"/>
  <c r="DW12" i="31"/>
  <c r="DX113" i="31" l="1"/>
  <c r="DX10" i="31" s="1"/>
  <c r="DX10" i="10" s="1"/>
  <c r="DX13" i="31"/>
  <c r="DX12" i="31"/>
  <c r="DW9" i="31"/>
  <c r="DY14" i="31"/>
  <c r="DY5" i="31" s="1"/>
  <c r="DY112" i="31" s="1"/>
  <c r="DZ11" i="31"/>
  <c r="DY113" i="31" l="1"/>
  <c r="DY10" i="31" s="1"/>
  <c r="DY10" i="10" s="1"/>
  <c r="DZ14" i="31"/>
  <c r="DZ5" i="31" s="1"/>
  <c r="DZ112" i="31" s="1"/>
  <c r="EA11" i="31"/>
  <c r="DX9" i="31"/>
  <c r="DY12" i="31"/>
  <c r="DY13" i="31"/>
  <c r="DZ113" i="31" l="1"/>
  <c r="DZ10" i="31" s="1"/>
  <c r="DZ10" i="10" s="1"/>
  <c r="DY9" i="31"/>
  <c r="EA14" i="31"/>
  <c r="EA5" i="31" s="1"/>
  <c r="EA112" i="31" s="1"/>
  <c r="EB11" i="31"/>
  <c r="DZ13" i="31"/>
  <c r="DZ12" i="31"/>
  <c r="EA113" i="31" l="1"/>
  <c r="EA10" i="31" s="1"/>
  <c r="EA10" i="10" s="1"/>
  <c r="EA12" i="31"/>
  <c r="EA13" i="31"/>
  <c r="DZ9" i="31"/>
  <c r="EB14" i="31"/>
  <c r="EB5" i="31" s="1"/>
  <c r="EB112" i="31" s="1"/>
  <c r="EC11" i="31"/>
  <c r="EB113" i="31" l="1"/>
  <c r="EB10" i="31" s="1"/>
  <c r="EB10" i="10" s="1"/>
  <c r="ED11" i="31"/>
  <c r="EC14" i="31"/>
  <c r="EC5" i="31" s="1"/>
  <c r="EC112" i="31" s="1"/>
  <c r="EB12" i="31"/>
  <c r="EB13" i="31"/>
  <c r="EA9" i="31"/>
  <c r="EC113" i="31" l="1"/>
  <c r="EC10" i="31" s="1"/>
  <c r="EC10" i="10" s="1"/>
  <c r="EB9" i="31"/>
  <c r="EC13" i="31"/>
  <c r="EC12" i="31"/>
  <c r="ED14" i="31"/>
  <c r="ED5" i="31" s="1"/>
  <c r="ED112" i="31" s="1"/>
  <c r="EE11" i="31"/>
  <c r="ED113" i="31" l="1"/>
  <c r="ED10" i="31" s="1"/>
  <c r="ED10" i="10" s="1"/>
  <c r="EC9" i="31"/>
  <c r="ED13" i="31"/>
  <c r="ED12" i="31"/>
  <c r="EE14" i="31"/>
  <c r="EE5" i="31" s="1"/>
  <c r="EE112" i="31" s="1"/>
  <c r="EF11" i="31"/>
  <c r="EE113" i="31" l="1"/>
  <c r="EE10" i="31" s="1"/>
  <c r="EE10" i="10" s="1"/>
  <c r="EF14" i="31"/>
  <c r="EF5" i="31" s="1"/>
  <c r="EF112" i="31" s="1"/>
  <c r="EG11" i="31"/>
  <c r="EE13" i="31"/>
  <c r="EE12" i="31"/>
  <c r="ED9" i="31"/>
  <c r="EF113" i="31" l="1"/>
  <c r="EF10" i="31" s="1"/>
  <c r="EF10" i="10" s="1"/>
  <c r="EG14" i="31"/>
  <c r="EG5" i="31" s="1"/>
  <c r="EG112" i="31" s="1"/>
  <c r="EH11" i="31"/>
  <c r="EE9" i="31"/>
  <c r="EF13" i="31"/>
  <c r="EF12" i="31"/>
  <c r="EG113" i="31" l="1"/>
  <c r="EG10" i="31" s="1"/>
  <c r="EG10" i="10" s="1"/>
  <c r="EF9" i="31"/>
  <c r="EH14" i="31"/>
  <c r="EH5" i="31" s="1"/>
  <c r="EH112" i="31" s="1"/>
  <c r="EI11" i="31"/>
  <c r="EG13" i="31"/>
  <c r="EG12" i="31"/>
  <c r="EH113" i="31" l="1"/>
  <c r="EH10" i="31" s="1"/>
  <c r="EH10" i="10" s="1"/>
  <c r="EI14" i="31"/>
  <c r="EI5" i="31" s="1"/>
  <c r="EI112" i="31" s="1"/>
  <c r="EJ11" i="31"/>
  <c r="EH13" i="31"/>
  <c r="EH12" i="31"/>
  <c r="EG9" i="31"/>
  <c r="EI113" i="31" l="1"/>
  <c r="EI10" i="31" s="1"/>
  <c r="EI10" i="10" s="1"/>
  <c r="EJ14" i="31"/>
  <c r="EJ5" i="31" s="1"/>
  <c r="EJ112" i="31" s="1"/>
  <c r="EJ113" i="31" s="1"/>
  <c r="EJ10" i="31" s="1"/>
  <c r="EJ10" i="10" s="1"/>
  <c r="EK11" i="31"/>
  <c r="EH9" i="31"/>
  <c r="EI13" i="31"/>
  <c r="EI12" i="31"/>
  <c r="EK14" i="31" l="1"/>
  <c r="EK5" i="31" s="1"/>
  <c r="EK112" i="31" s="1"/>
  <c r="EL11" i="31"/>
  <c r="EI9" i="31"/>
  <c r="EJ12" i="31"/>
  <c r="EJ13" i="31"/>
  <c r="EK113" i="31" l="1"/>
  <c r="EK10" i="31" s="1"/>
  <c r="EK10" i="10" s="1"/>
  <c r="EJ9" i="31"/>
  <c r="EL14" i="31"/>
  <c r="EL5" i="31" s="1"/>
  <c r="EL112" i="31" s="1"/>
  <c r="EM11" i="31"/>
  <c r="EK12" i="31"/>
  <c r="EK13" i="31"/>
  <c r="EL113" i="31" l="1"/>
  <c r="EL10" i="31" s="1"/>
  <c r="EL10" i="10" s="1"/>
  <c r="EK9" i="31"/>
  <c r="EM14" i="31"/>
  <c r="EM5" i="31" s="1"/>
  <c r="EM112" i="31" s="1"/>
  <c r="EN11" i="31"/>
  <c r="EL13" i="31"/>
  <c r="EL12" i="31"/>
  <c r="EM113" i="31" l="1"/>
  <c r="EM10" i="31" s="1"/>
  <c r="EM10" i="10" s="1"/>
  <c r="EL9" i="31"/>
  <c r="EN14" i="31"/>
  <c r="EN5" i="31" s="1"/>
  <c r="EN112" i="31" s="1"/>
  <c r="EO11" i="31"/>
  <c r="EM13" i="31"/>
  <c r="EM12" i="31"/>
  <c r="EN113" i="31" l="1"/>
  <c r="EN10" i="31" s="1"/>
  <c r="EN10" i="10" s="1"/>
  <c r="EN12" i="31"/>
  <c r="EN13" i="31"/>
  <c r="EM9" i="31"/>
  <c r="EO14" i="31"/>
  <c r="EO5" i="31" s="1"/>
  <c r="EO112" i="31" s="1"/>
  <c r="EP11" i="31"/>
  <c r="EO113" i="31" l="1"/>
  <c r="EO10" i="31" s="1"/>
  <c r="EO10" i="10" s="1"/>
  <c r="EO13" i="31"/>
  <c r="EO12" i="31"/>
  <c r="EQ11" i="31"/>
  <c r="EP14" i="31"/>
  <c r="EP5" i="31" s="1"/>
  <c r="EP112" i="31" s="1"/>
  <c r="EN9" i="31"/>
  <c r="EP113" i="31" l="1"/>
  <c r="EP10" i="31" s="1"/>
  <c r="EP10" i="10" s="1"/>
  <c r="EQ14" i="31"/>
  <c r="EQ5" i="31" s="1"/>
  <c r="EQ112" i="31" s="1"/>
  <c r="ER11" i="31"/>
  <c r="EO9" i="31"/>
  <c r="EP13" i="31"/>
  <c r="EP12" i="31"/>
  <c r="EQ113" i="31" l="1"/>
  <c r="EQ10" i="31" s="1"/>
  <c r="EQ10" i="10" s="1"/>
  <c r="EP9" i="31"/>
  <c r="ER14" i="31"/>
  <c r="ER5" i="31" s="1"/>
  <c r="ER112" i="31" s="1"/>
  <c r="ES11" i="31"/>
  <c r="EQ13" i="31"/>
  <c r="EQ12" i="31"/>
  <c r="ER113" i="31" l="1"/>
  <c r="ER10" i="31" s="1"/>
  <c r="ER10" i="10" s="1"/>
  <c r="EQ9" i="31"/>
  <c r="ER13" i="31"/>
  <c r="ER12" i="31"/>
  <c r="ES14" i="31"/>
  <c r="ES5" i="31" s="1"/>
  <c r="ES112" i="31" s="1"/>
  <c r="ET11" i="31"/>
  <c r="ES113" i="31" l="1"/>
  <c r="ES10" i="31" s="1"/>
  <c r="ES10" i="10" s="1"/>
  <c r="ER9" i="31"/>
  <c r="EU11" i="31"/>
  <c r="ET14" i="31"/>
  <c r="ET5" i="31" s="1"/>
  <c r="ET112" i="31" s="1"/>
  <c r="ES12" i="31"/>
  <c r="ES13" i="31"/>
  <c r="ET113" i="31" l="1"/>
  <c r="ET10" i="31" s="1"/>
  <c r="ET10" i="10" s="1"/>
  <c r="ET13" i="31"/>
  <c r="ET12" i="31"/>
  <c r="ES9" i="31"/>
  <c r="EU14" i="31"/>
  <c r="EU5" i="31" s="1"/>
  <c r="EU112" i="31" s="1"/>
  <c r="EV11" i="31"/>
  <c r="EU113" i="31" l="1"/>
  <c r="EU10" i="31" s="1"/>
  <c r="EU10" i="10" s="1"/>
  <c r="EV14" i="31"/>
  <c r="EV5" i="31" s="1"/>
  <c r="EV112" i="31" s="1"/>
  <c r="EW11" i="31"/>
  <c r="ET9" i="31"/>
  <c r="EU13" i="31"/>
  <c r="EU12" i="31"/>
  <c r="EV113" i="31" l="1"/>
  <c r="EV10" i="31" s="1"/>
  <c r="EV10" i="10" s="1"/>
  <c r="EW14" i="31"/>
  <c r="EW5" i="31" s="1"/>
  <c r="EW112" i="31" s="1"/>
  <c r="EX11" i="31"/>
  <c r="EU9" i="31"/>
  <c r="EV13" i="31"/>
  <c r="EV12" i="31"/>
  <c r="EW113" i="31" l="1"/>
  <c r="EW10" i="31" s="1"/>
  <c r="EW10" i="10" s="1"/>
  <c r="EV9" i="31"/>
  <c r="EX14" i="31"/>
  <c r="EX5" i="31" s="1"/>
  <c r="EX112" i="31" s="1"/>
  <c r="EY11" i="31"/>
  <c r="EW12" i="31"/>
  <c r="EW13" i="31"/>
  <c r="EX113" i="31" l="1"/>
  <c r="EX10" i="31" s="1"/>
  <c r="EX10" i="10" s="1"/>
  <c r="EY14" i="31"/>
  <c r="EY5" i="31" s="1"/>
  <c r="EY112" i="31" s="1"/>
  <c r="EZ11" i="31"/>
  <c r="EW9" i="31"/>
  <c r="EX13" i="31"/>
  <c r="EX12" i="31"/>
  <c r="EY113" i="31" l="1"/>
  <c r="EY10" i="31" s="1"/>
  <c r="EY10" i="10" s="1"/>
  <c r="EZ14" i="31"/>
  <c r="EZ5" i="31" s="1"/>
  <c r="EZ112" i="31" s="1"/>
  <c r="FA11" i="31"/>
  <c r="EX9" i="31"/>
  <c r="EY13" i="31"/>
  <c r="EY12" i="31"/>
  <c r="EZ113" i="31" l="1"/>
  <c r="EZ10" i="31" s="1"/>
  <c r="EZ10" i="10" s="1"/>
  <c r="EY9" i="31"/>
  <c r="FB11" i="31"/>
  <c r="FA14" i="31"/>
  <c r="FA5" i="31" s="1"/>
  <c r="FA112" i="31" s="1"/>
  <c r="EZ12" i="31"/>
  <c r="EZ13" i="31"/>
  <c r="FA113" i="31" l="1"/>
  <c r="FA10" i="31" s="1"/>
  <c r="FA10" i="10" s="1"/>
  <c r="EZ9" i="31"/>
  <c r="FA13" i="31"/>
  <c r="FA12" i="31"/>
  <c r="FC11" i="31"/>
  <c r="FB14" i="31"/>
  <c r="FB5" i="31" s="1"/>
  <c r="FB112" i="31" s="1"/>
  <c r="FB113" i="31" l="1"/>
  <c r="FB10" i="31" s="1"/>
  <c r="FB10" i="10" s="1"/>
  <c r="FB13" i="31"/>
  <c r="FB12" i="31"/>
  <c r="FC14" i="31"/>
  <c r="FC5" i="31" s="1"/>
  <c r="FC112" i="31" s="1"/>
  <c r="FD11" i="31"/>
  <c r="FA9" i="31"/>
  <c r="FC113" i="31" l="1"/>
  <c r="FC10" i="31" s="1"/>
  <c r="FC10" i="10" s="1"/>
  <c r="FD14" i="31"/>
  <c r="FD5" i="31" s="1"/>
  <c r="FD112" i="31" s="1"/>
  <c r="FE11" i="31"/>
  <c r="FC13" i="31"/>
  <c r="FC12" i="31"/>
  <c r="FB9" i="31"/>
  <c r="FD113" i="31" l="1"/>
  <c r="FD10" i="31" s="1"/>
  <c r="FD10" i="10" s="1"/>
  <c r="FE14" i="31"/>
  <c r="FE5" i="31" s="1"/>
  <c r="FE112" i="31" s="1"/>
  <c r="FE113" i="31" s="1"/>
  <c r="FE10" i="31" s="1"/>
  <c r="FE10" i="10" s="1"/>
  <c r="FF11" i="31"/>
  <c r="FC9" i="31"/>
  <c r="FD13" i="31"/>
  <c r="FD12" i="31"/>
  <c r="FD9" i="31" l="1"/>
  <c r="FF14" i="31"/>
  <c r="FF5" i="31" s="1"/>
  <c r="FF112" i="31" s="1"/>
  <c r="FG11" i="31"/>
  <c r="FE13" i="31"/>
  <c r="FE12" i="31"/>
  <c r="FF113" i="31" l="1"/>
  <c r="FF10" i="31" s="1"/>
  <c r="FF10" i="10" s="1"/>
  <c r="FE9" i="31"/>
  <c r="FG14" i="31"/>
  <c r="FG5" i="31" s="1"/>
  <c r="FG112" i="31" s="1"/>
  <c r="FH11" i="31"/>
  <c r="FF13" i="31"/>
  <c r="FF12" i="31"/>
  <c r="FG113" i="31" l="1"/>
  <c r="FG10" i="31" s="1"/>
  <c r="FG10" i="10" s="1"/>
  <c r="FG12" i="31"/>
  <c r="FG13" i="31"/>
  <c r="FF9" i="31"/>
  <c r="FI11" i="31"/>
  <c r="FH14" i="31"/>
  <c r="FH5" i="31" s="1"/>
  <c r="FH112" i="31" s="1"/>
  <c r="FH113" i="31" l="1"/>
  <c r="FH10" i="31" s="1"/>
  <c r="FH10" i="10" s="1"/>
  <c r="FH13" i="31"/>
  <c r="FH12" i="31"/>
  <c r="FI14" i="31"/>
  <c r="FI5" i="31" s="1"/>
  <c r="FI112" i="31" s="1"/>
  <c r="FI113" i="31" s="1"/>
  <c r="FI10" i="31" s="1"/>
  <c r="FI10" i="10" s="1"/>
  <c r="FJ11" i="31"/>
  <c r="FG9" i="31"/>
  <c r="FK11" i="31" l="1"/>
  <c r="FJ14" i="31"/>
  <c r="FJ5" i="31" s="1"/>
  <c r="FJ112" i="31" s="1"/>
  <c r="FI13" i="31"/>
  <c r="FI12" i="31"/>
  <c r="FH9" i="31"/>
  <c r="FJ113" i="31" l="1"/>
  <c r="FJ10" i="31" s="1"/>
  <c r="FJ10" i="10" s="1"/>
  <c r="FI9" i="31"/>
  <c r="FJ13" i="31"/>
  <c r="FJ12" i="31"/>
  <c r="FK14" i="31"/>
  <c r="FK5" i="31" s="1"/>
  <c r="FK112" i="31" s="1"/>
  <c r="FK113" i="31" s="1"/>
  <c r="FK10" i="31" s="1"/>
  <c r="FK10" i="10" s="1"/>
  <c r="FL11" i="31"/>
  <c r="FM11" i="31" l="1"/>
  <c r="FL14" i="31"/>
  <c r="FL5" i="31" s="1"/>
  <c r="FL112" i="31" s="1"/>
  <c r="FJ9" i="31"/>
  <c r="FK13" i="31"/>
  <c r="FK12" i="31"/>
  <c r="FL113" i="31" l="1"/>
  <c r="FL10" i="31" s="1"/>
  <c r="FL10" i="10" s="1"/>
  <c r="FK9" i="31"/>
  <c r="FL12" i="31"/>
  <c r="FL13" i="31"/>
  <c r="FM14" i="31"/>
  <c r="FM5" i="31" s="1"/>
  <c r="FM112" i="31" s="1"/>
  <c r="FN11" i="31"/>
  <c r="FM113" i="31" l="1"/>
  <c r="FM10" i="31" s="1"/>
  <c r="FM10" i="10" s="1"/>
  <c r="FN14" i="31"/>
  <c r="FN5" i="31" s="1"/>
  <c r="FN112" i="31" s="1"/>
  <c r="FN113" i="31" s="1"/>
  <c r="FN10" i="31" s="1"/>
  <c r="FN10" i="10" s="1"/>
  <c r="FO11" i="31"/>
  <c r="FL9" i="31"/>
  <c r="FM13" i="31"/>
  <c r="FM12" i="31"/>
  <c r="FM9" i="31" l="1"/>
  <c r="FO14" i="31"/>
  <c r="FO5" i="31" s="1"/>
  <c r="FO112" i="31" s="1"/>
  <c r="FP11" i="31"/>
  <c r="FN13" i="31"/>
  <c r="FN12" i="31"/>
  <c r="FO113" i="31" l="1"/>
  <c r="FO10" i="31" s="1"/>
  <c r="FO10" i="10" s="1"/>
  <c r="FP14" i="31"/>
  <c r="FP5" i="31" s="1"/>
  <c r="FP112" i="31" s="1"/>
  <c r="FP113" i="31" s="1"/>
  <c r="FP10" i="31" s="1"/>
  <c r="FP10" i="10" s="1"/>
  <c r="FQ11" i="31"/>
  <c r="FN9" i="31"/>
  <c r="FO12" i="31"/>
  <c r="FO13" i="31"/>
  <c r="FO9" i="31" l="1"/>
  <c r="FQ14" i="31"/>
  <c r="FQ5" i="31" s="1"/>
  <c r="FQ112" i="31" s="1"/>
  <c r="FR11" i="31"/>
  <c r="FP12" i="31"/>
  <c r="FP13" i="31"/>
  <c r="FQ113" i="31" l="1"/>
  <c r="FQ10" i="31" s="1"/>
  <c r="FQ10" i="10" s="1"/>
  <c r="FS11" i="31"/>
  <c r="FR14" i="31"/>
  <c r="FR5" i="31" s="1"/>
  <c r="FR112" i="31" s="1"/>
  <c r="FP9" i="31"/>
  <c r="FQ13" i="31"/>
  <c r="FQ12" i="31"/>
  <c r="FR113" i="31" l="1"/>
  <c r="FR10" i="31" s="1"/>
  <c r="FR10" i="10" s="1"/>
  <c r="FQ9" i="31"/>
  <c r="FR12" i="31"/>
  <c r="FR13" i="31"/>
  <c r="FS14" i="31"/>
  <c r="FS5" i="31" s="1"/>
  <c r="FS112" i="31" s="1"/>
  <c r="FS113" i="31" s="1"/>
  <c r="FS10" i="31" s="1"/>
  <c r="FS10" i="10" s="1"/>
  <c r="FT11" i="31"/>
  <c r="FS13" i="31" l="1"/>
  <c r="FS12" i="31"/>
  <c r="FR9" i="31"/>
  <c r="FT14" i="31"/>
  <c r="FT5" i="31" s="1"/>
  <c r="FT112" i="31" s="1"/>
  <c r="FU11" i="31"/>
  <c r="FT113" i="31" l="1"/>
  <c r="FT10" i="31" s="1"/>
  <c r="FT10" i="10" s="1"/>
  <c r="FS9" i="31"/>
  <c r="FU14" i="31"/>
  <c r="FU5" i="31" s="1"/>
  <c r="FU112" i="31" s="1"/>
  <c r="FU113" i="31" s="1"/>
  <c r="FU10" i="31" s="1"/>
  <c r="FU10" i="10" s="1"/>
  <c r="FV11" i="31"/>
  <c r="FT13" i="31"/>
  <c r="FT12" i="31"/>
  <c r="FT9" i="31" l="1"/>
  <c r="FV14" i="31"/>
  <c r="FV5" i="31" s="1"/>
  <c r="FV112" i="31" s="1"/>
  <c r="FW11" i="31"/>
  <c r="FU12" i="31"/>
  <c r="FU13" i="31"/>
  <c r="FV113" i="31" l="1"/>
  <c r="FV10" i="31" s="1"/>
  <c r="FV10" i="10" s="1"/>
  <c r="FW14" i="31"/>
  <c r="FW5" i="31" s="1"/>
  <c r="FW112" i="31" s="1"/>
  <c r="FX11" i="31"/>
  <c r="FU9" i="31"/>
  <c r="FV12" i="31"/>
  <c r="FV13" i="31"/>
  <c r="FW113" i="31" l="1"/>
  <c r="FW10" i="31" s="1"/>
  <c r="FW10" i="10" s="1"/>
  <c r="FV9" i="31"/>
  <c r="FY11" i="31"/>
  <c r="FX14" i="31"/>
  <c r="FX5" i="31" s="1"/>
  <c r="FX112" i="31" s="1"/>
  <c r="FW13" i="31"/>
  <c r="FW12" i="31"/>
  <c r="FX113" i="31" l="1"/>
  <c r="FX10" i="31" s="1"/>
  <c r="FX10" i="10" s="1"/>
  <c r="FW9" i="31"/>
  <c r="FX12" i="31"/>
  <c r="FX13" i="31"/>
  <c r="FY14" i="31"/>
  <c r="FY5" i="31" s="1"/>
  <c r="FY112" i="31" s="1"/>
  <c r="FY113" i="31" s="1"/>
  <c r="FY10" i="31" s="1"/>
  <c r="FY10" i="10" s="1"/>
  <c r="FZ11" i="31"/>
  <c r="FY13" i="31" l="1"/>
  <c r="FY12" i="31"/>
  <c r="GA11" i="31"/>
  <c r="FZ14" i="31"/>
  <c r="FZ5" i="31" s="1"/>
  <c r="FZ112" i="31" s="1"/>
  <c r="FX9" i="31"/>
  <c r="FZ113" i="31" l="1"/>
  <c r="FZ10" i="31" s="1"/>
  <c r="FZ10" i="10" s="1"/>
  <c r="GA14" i="31"/>
  <c r="GA5" i="31" s="1"/>
  <c r="GA112" i="31" s="1"/>
  <c r="GA113" i="31" s="1"/>
  <c r="GA10" i="31" s="1"/>
  <c r="GA10" i="10" s="1"/>
  <c r="GB11" i="31"/>
  <c r="FY9" i="31"/>
  <c r="FZ13" i="31"/>
  <c r="FZ12" i="31"/>
  <c r="FZ9" i="31" l="1"/>
  <c r="GB14" i="31"/>
  <c r="GB5" i="31" s="1"/>
  <c r="GB112" i="31" s="1"/>
  <c r="GB113" i="31" s="1"/>
  <c r="GB10" i="31" s="1"/>
  <c r="GB10" i="10" s="1"/>
  <c r="GC11" i="31"/>
  <c r="GA13" i="31"/>
  <c r="GA12" i="31"/>
  <c r="GB13" i="31" l="1"/>
  <c r="GB12" i="31"/>
  <c r="GD11" i="31"/>
  <c r="GC14" i="31"/>
  <c r="GC5" i="31" s="1"/>
  <c r="GC112" i="31" s="1"/>
  <c r="GC113" i="31" s="1"/>
  <c r="GC10" i="31" s="1"/>
  <c r="GC10" i="10" s="1"/>
  <c r="GA9" i="31"/>
  <c r="GC13" i="31" l="1"/>
  <c r="GC12" i="31"/>
  <c r="GD14" i="31"/>
  <c r="GD5" i="31" s="1"/>
  <c r="GD112" i="31" s="1"/>
  <c r="GE11" i="31"/>
  <c r="GB9" i="31"/>
  <c r="GD113" i="31" l="1"/>
  <c r="GD10" i="31" s="1"/>
  <c r="GD10" i="10" s="1"/>
  <c r="GD13" i="31"/>
  <c r="GD12" i="31"/>
  <c r="GC9" i="31"/>
  <c r="GE14" i="31"/>
  <c r="GE5" i="31" s="1"/>
  <c r="GE112" i="31" s="1"/>
  <c r="GE113" i="31" s="1"/>
  <c r="GE10" i="31" s="1"/>
  <c r="GE10" i="10" s="1"/>
  <c r="GF11" i="31"/>
  <c r="GE12" i="31" l="1"/>
  <c r="GE13" i="31"/>
  <c r="GF14" i="31"/>
  <c r="GF5" i="31" s="1"/>
  <c r="GF112" i="31" s="1"/>
  <c r="GG11" i="31"/>
  <c r="GD9" i="31"/>
  <c r="GF113" i="31" l="1"/>
  <c r="GF10" i="31" s="1"/>
  <c r="GF10" i="10" s="1"/>
  <c r="GF13" i="31"/>
  <c r="GF12" i="31"/>
  <c r="GH11" i="31"/>
  <c r="GG14" i="31"/>
  <c r="GG5" i="31" s="1"/>
  <c r="GG112" i="31" s="1"/>
  <c r="GG113" i="31" s="1"/>
  <c r="GG10" i="31" s="1"/>
  <c r="GG10" i="10" s="1"/>
  <c r="GE9" i="31"/>
  <c r="GG13" i="31" l="1"/>
  <c r="GG12" i="31"/>
  <c r="GF9" i="31"/>
  <c r="GI11" i="31"/>
  <c r="GH14" i="31"/>
  <c r="GH5" i="31" s="1"/>
  <c r="GH112" i="31" s="1"/>
  <c r="GH113" i="31" s="1"/>
  <c r="GH10" i="31" s="1"/>
  <c r="GH10" i="10" s="1"/>
  <c r="GH13" i="31" l="1"/>
  <c r="GH12" i="31"/>
  <c r="GG9" i="31"/>
  <c r="GI14" i="31"/>
  <c r="GI5" i="31" s="1"/>
  <c r="GI112" i="31" s="1"/>
  <c r="GI113" i="31" s="1"/>
  <c r="GI10" i="31" s="1"/>
  <c r="GI10" i="10" s="1"/>
  <c r="GJ11" i="31"/>
  <c r="GI13" i="31" l="1"/>
  <c r="GI12" i="31"/>
  <c r="GJ14" i="31"/>
  <c r="GJ5" i="31" s="1"/>
  <c r="GJ112" i="31" s="1"/>
  <c r="GK11" i="31"/>
  <c r="GH9" i="31"/>
  <c r="GJ113" i="31" l="1"/>
  <c r="GJ10" i="31" s="1"/>
  <c r="GJ10" i="10" s="1"/>
  <c r="GJ13" i="31"/>
  <c r="GJ12" i="31"/>
  <c r="GI9" i="31"/>
  <c r="GK14" i="31"/>
  <c r="GK5" i="31" s="1"/>
  <c r="GK112" i="31" s="1"/>
  <c r="GL11" i="31"/>
  <c r="GK113" i="31" l="1"/>
  <c r="GK10" i="31" s="1"/>
  <c r="GK10" i="10" s="1"/>
  <c r="GK12" i="31"/>
  <c r="GK13" i="31"/>
  <c r="GJ9" i="31"/>
  <c r="GL14" i="31"/>
  <c r="GL5" i="31" s="1"/>
  <c r="GL112" i="31" s="1"/>
  <c r="GL113" i="31" s="1"/>
  <c r="GL10" i="31" s="1"/>
  <c r="GL10" i="10" s="1"/>
  <c r="GM11" i="31"/>
  <c r="GM14" i="31" l="1"/>
  <c r="GM5" i="31" s="1"/>
  <c r="GM112" i="31" s="1"/>
  <c r="GN11" i="31"/>
  <c r="GL13" i="31"/>
  <c r="GL12" i="31"/>
  <c r="GK9" i="31"/>
  <c r="GM113" i="31" l="1"/>
  <c r="GM10" i="31" s="1"/>
  <c r="GM10" i="10" s="1"/>
  <c r="GL9" i="31"/>
  <c r="GN14" i="31"/>
  <c r="GN5" i="31" s="1"/>
  <c r="GN112" i="31" s="1"/>
  <c r="GN113" i="31" s="1"/>
  <c r="GN10" i="31" s="1"/>
  <c r="GN10" i="10" s="1"/>
  <c r="GO11" i="31"/>
  <c r="GM12" i="31"/>
  <c r="GM13" i="31"/>
  <c r="GM9" i="31" l="1"/>
  <c r="GP11" i="31"/>
  <c r="GO14" i="31"/>
  <c r="GO5" i="31" s="1"/>
  <c r="GO112" i="31" s="1"/>
  <c r="GN12" i="31"/>
  <c r="GN13" i="31"/>
  <c r="GO113" i="31" l="1"/>
  <c r="GO10" i="31" s="1"/>
  <c r="GO10" i="10" s="1"/>
  <c r="GN9" i="31"/>
  <c r="GO13" i="31"/>
  <c r="GO12" i="31"/>
  <c r="GQ11" i="31"/>
  <c r="GP14" i="31"/>
  <c r="GP5" i="31" s="1"/>
  <c r="GP112" i="31" s="1"/>
  <c r="GP113" i="31" s="1"/>
  <c r="GP10" i="31" s="1"/>
  <c r="GP10" i="10" s="1"/>
  <c r="GP13" i="31" l="1"/>
  <c r="GP12" i="31"/>
  <c r="GO9" i="31"/>
  <c r="GQ14" i="31"/>
  <c r="GQ5" i="31" s="1"/>
  <c r="GQ112" i="31" s="1"/>
  <c r="GR11" i="31"/>
  <c r="GQ113" i="31" l="1"/>
  <c r="GQ10" i="31" s="1"/>
  <c r="GQ10" i="10" s="1"/>
  <c r="GR14" i="31"/>
  <c r="GR5" i="31" s="1"/>
  <c r="GR112" i="31" s="1"/>
  <c r="GS11" i="31"/>
  <c r="GP9" i="31"/>
  <c r="GQ13" i="31"/>
  <c r="GQ12" i="31"/>
  <c r="GR113" i="31" l="1"/>
  <c r="GR10" i="31" s="1"/>
  <c r="GR10" i="10" s="1"/>
  <c r="GQ9" i="31"/>
  <c r="GT11" i="31"/>
  <c r="GT14" i="31" s="1"/>
  <c r="GS14" i="31"/>
  <c r="GS5" i="31" s="1"/>
  <c r="GS112" i="31" s="1"/>
  <c r="GR12" i="31"/>
  <c r="GR13" i="31"/>
  <c r="GT5" i="31" l="1"/>
  <c r="GS113" i="31"/>
  <c r="GS10" i="31" s="1"/>
  <c r="GS10" i="10" s="1"/>
  <c r="GT12" i="31"/>
  <c r="GT13" i="31"/>
  <c r="GR9" i="31"/>
  <c r="GS13" i="31"/>
  <c r="GS12" i="31"/>
  <c r="GT112" i="31" l="1"/>
  <c r="GT113" i="31" s="1"/>
  <c r="GT10" i="31" s="1"/>
  <c r="GT10" i="10" s="1"/>
  <c r="P12" i="28"/>
  <c r="L14" i="28"/>
  <c r="K7" i="28"/>
  <c r="L7" i="28"/>
  <c r="P6" i="28"/>
  <c r="M12" i="28"/>
  <c r="L6" i="28"/>
  <c r="M13" i="28"/>
  <c r="N9" i="28"/>
  <c r="N6" i="28"/>
  <c r="O12" i="28"/>
  <c r="L9" i="28"/>
  <c r="M9" i="28"/>
  <c r="O14" i="28"/>
  <c r="K9" i="28"/>
  <c r="P7" i="28"/>
  <c r="M14" i="28"/>
  <c r="N14" i="28"/>
  <c r="O6" i="28"/>
  <c r="L8" i="28"/>
  <c r="O9" i="28"/>
  <c r="M6" i="28"/>
  <c r="P13" i="28"/>
  <c r="K12" i="28"/>
  <c r="P9" i="28"/>
  <c r="P14" i="28"/>
  <c r="K6" i="28"/>
  <c r="P8" i="28"/>
  <c r="L12" i="28"/>
  <c r="N7" i="28"/>
  <c r="N8" i="28"/>
  <c r="K13" i="28"/>
  <c r="O8" i="28"/>
  <c r="L13" i="28"/>
  <c r="M7" i="28"/>
  <c r="K8" i="28"/>
  <c r="O7" i="28"/>
  <c r="N13" i="28"/>
  <c r="N12" i="28"/>
  <c r="K14" i="28"/>
  <c r="M8" i="28"/>
  <c r="O13" i="28"/>
  <c r="D13" i="28"/>
  <c r="F12" i="28"/>
  <c r="D14" i="28"/>
  <c r="F14" i="28"/>
  <c r="D12" i="28"/>
  <c r="F13" i="28"/>
  <c r="E13" i="28"/>
  <c r="E12" i="28"/>
  <c r="E14" i="28"/>
  <c r="F7" i="28"/>
  <c r="E8" i="28"/>
  <c r="D7" i="28"/>
  <c r="D9" i="28"/>
  <c r="F9" i="28"/>
  <c r="D6" i="28"/>
  <c r="E7" i="28"/>
  <c r="E9" i="28"/>
  <c r="D8" i="28"/>
  <c r="F6" i="28"/>
  <c r="F8" i="28"/>
  <c r="E6" i="28"/>
  <c r="GS9" i="31"/>
  <c r="GT9" i="31"/>
  <c r="L11" i="28" l="1"/>
  <c r="N11" i="28"/>
  <c r="J9" i="28"/>
  <c r="J7" i="28"/>
  <c r="K11" i="28"/>
  <c r="J12" i="28"/>
  <c r="J13" i="28"/>
  <c r="L5" i="28"/>
  <c r="M5" i="28"/>
  <c r="M11" i="28"/>
  <c r="P5" i="28"/>
  <c r="F11" i="28"/>
  <c r="J8" i="28"/>
  <c r="C13" i="28"/>
  <c r="K5" i="28"/>
  <c r="J6" i="28"/>
  <c r="O5" i="28"/>
  <c r="O11" i="28"/>
  <c r="J14" i="28"/>
  <c r="N5" i="28"/>
  <c r="P11" i="28"/>
  <c r="E11" i="28"/>
  <c r="E5" i="28"/>
  <c r="D11" i="28"/>
  <c r="C12" i="28"/>
  <c r="C14" i="28"/>
  <c r="D5" i="28"/>
  <c r="C6" i="28"/>
  <c r="C9" i="28"/>
  <c r="C7" i="28"/>
  <c r="F5" i="28"/>
  <c r="C8" i="28"/>
  <c r="N4" i="28" l="1"/>
  <c r="L4" i="28"/>
  <c r="K4" i="28"/>
  <c r="E4" i="28"/>
  <c r="M4" i="28"/>
  <c r="J5" i="28"/>
  <c r="O4" i="28"/>
  <c r="C11" i="28"/>
  <c r="F4" i="28"/>
  <c r="P4" i="28"/>
  <c r="J11" i="28"/>
  <c r="D4" i="28"/>
  <c r="C5" i="28"/>
  <c r="C4" i="28" l="1"/>
  <c r="F1" i="28" s="1"/>
  <c r="J4" i="28"/>
  <c r="L1" i="28" s="1"/>
  <c r="E11" i="10" l="1"/>
  <c r="F11" i="10" l="1"/>
  <c r="C14" i="10"/>
  <c r="C5" i="10" s="1"/>
  <c r="B4" i="24" l="1"/>
  <c r="C13" i="10"/>
  <c r="G11" i="10"/>
  <c r="C12" i="10"/>
  <c r="D14" i="10"/>
  <c r="D5" i="10" s="1"/>
  <c r="B309" i="24" l="1"/>
  <c r="B310" i="24"/>
  <c r="B287" i="24"/>
  <c r="B2" i="24"/>
  <c r="C4" i="24"/>
  <c r="C4" i="22"/>
  <c r="C9" i="10"/>
  <c r="B3" i="24" s="1"/>
  <c r="H11" i="10"/>
  <c r="D12" i="10"/>
  <c r="D13" i="10"/>
  <c r="E14" i="10"/>
  <c r="E5" i="10" s="1"/>
  <c r="B288" i="24" l="1"/>
  <c r="B289" i="24" s="1"/>
  <c r="B295" i="24" s="1"/>
  <c r="B297" i="24" s="1"/>
  <c r="B313" i="24"/>
  <c r="B312" i="24"/>
  <c r="C310" i="24"/>
  <c r="C287" i="24"/>
  <c r="C309" i="24"/>
  <c r="C2" i="24"/>
  <c r="C6" i="22"/>
  <c r="C5" i="22"/>
  <c r="C277" i="22"/>
  <c r="C194" i="22"/>
  <c r="C267" i="22"/>
  <c r="C276" i="22"/>
  <c r="C275" i="22"/>
  <c r="C274" i="22"/>
  <c r="C150" i="22"/>
  <c r="D4" i="24"/>
  <c r="D4" i="22"/>
  <c r="D9" i="10"/>
  <c r="C3" i="24" s="1"/>
  <c r="I1" i="10"/>
  <c r="I11" i="10"/>
  <c r="E13" i="10"/>
  <c r="E12" i="10"/>
  <c r="E9" i="10" s="1"/>
  <c r="D3" i="24" s="1"/>
  <c r="F14" i="10"/>
  <c r="F5" i="10" s="1"/>
  <c r="D309" i="24" l="1"/>
  <c r="C312" i="24"/>
  <c r="D287" i="24"/>
  <c r="C288" i="24"/>
  <c r="C289" i="24" s="1"/>
  <c r="D310" i="24"/>
  <c r="C313" i="24"/>
  <c r="D2" i="24"/>
  <c r="D6" i="22"/>
  <c r="D297" i="22" s="1"/>
  <c r="D194" i="22"/>
  <c r="D276" i="22"/>
  <c r="D274" i="22"/>
  <c r="D275" i="22"/>
  <c r="D267" i="22"/>
  <c r="D277" i="22"/>
  <c r="D150" i="22"/>
  <c r="E4" i="24"/>
  <c r="D5" i="22"/>
  <c r="E4" i="22"/>
  <c r="J11" i="10"/>
  <c r="J1" i="10"/>
  <c r="F12" i="10"/>
  <c r="F13" i="10"/>
  <c r="G14" i="10"/>
  <c r="G5" i="10" s="1"/>
  <c r="C295" i="24" l="1"/>
  <c r="C297" i="24" s="1"/>
  <c r="E309" i="24"/>
  <c r="E287" i="24"/>
  <c r="D288" i="24"/>
  <c r="D289" i="24" s="1"/>
  <c r="D312" i="24"/>
  <c r="D313" i="24"/>
  <c r="E310" i="24"/>
  <c r="B290" i="24"/>
  <c r="E6" i="22"/>
  <c r="E297" i="22" s="1"/>
  <c r="E194" i="22"/>
  <c r="E267" i="22"/>
  <c r="E276" i="22"/>
  <c r="E274" i="22"/>
  <c r="E275" i="22"/>
  <c r="E277" i="22"/>
  <c r="E150" i="22"/>
  <c r="E2" i="24"/>
  <c r="F4" i="24"/>
  <c r="E5" i="22"/>
  <c r="F4" i="22"/>
  <c r="F9" i="10"/>
  <c r="E3" i="24" s="1"/>
  <c r="K11" i="10"/>
  <c r="K1" i="10"/>
  <c r="G13" i="10"/>
  <c r="G12" i="10"/>
  <c r="H14" i="10"/>
  <c r="H5" i="10" s="1"/>
  <c r="D295" i="24" l="1"/>
  <c r="E312" i="24"/>
  <c r="F309" i="24"/>
  <c r="F310" i="24"/>
  <c r="E313" i="24"/>
  <c r="E288" i="24"/>
  <c r="E289" i="24" s="1"/>
  <c r="B296" i="24"/>
  <c r="B298" i="24" s="1"/>
  <c r="D297" i="24"/>
  <c r="F2" i="24"/>
  <c r="F287" i="24"/>
  <c r="D1" i="24"/>
  <c r="D290" i="24"/>
  <c r="F6" i="22"/>
  <c r="F194" i="22"/>
  <c r="F267" i="22"/>
  <c r="F276" i="22"/>
  <c r="F274" i="22"/>
  <c r="F275" i="22"/>
  <c r="F277" i="22"/>
  <c r="F150" i="22"/>
  <c r="G4" i="24"/>
  <c r="G4" i="22"/>
  <c r="F5" i="22"/>
  <c r="G9" i="10"/>
  <c r="F3" i="24" s="1"/>
  <c r="L11" i="10"/>
  <c r="L1" i="10"/>
  <c r="H12" i="10"/>
  <c r="H13" i="10"/>
  <c r="I14" i="10"/>
  <c r="I5" i="10" s="1"/>
  <c r="G309" i="24" l="1"/>
  <c r="F297" i="22"/>
  <c r="G6" i="22"/>
  <c r="F288" i="24"/>
  <c r="F289" i="24" s="1"/>
  <c r="F312" i="24"/>
  <c r="G310" i="24"/>
  <c r="F313" i="24"/>
  <c r="E295" i="24"/>
  <c r="E297" i="24" s="1"/>
  <c r="G2" i="24"/>
  <c r="G287" i="24"/>
  <c r="G194" i="22"/>
  <c r="G275" i="22"/>
  <c r="G267" i="22"/>
  <c r="G276" i="22"/>
  <c r="G274" i="22"/>
  <c r="G277" i="22"/>
  <c r="G150" i="22"/>
  <c r="H4" i="24"/>
  <c r="G5" i="22"/>
  <c r="H4" i="22"/>
  <c r="H9" i="10"/>
  <c r="G3" i="24" s="1"/>
  <c r="M1" i="10"/>
  <c r="M11" i="10"/>
  <c r="N11" i="10" s="1"/>
  <c r="O11" i="10" s="1"/>
  <c r="P11" i="10" s="1"/>
  <c r="Q11" i="10" s="1"/>
  <c r="R11" i="10" s="1"/>
  <c r="S11" i="10" s="1"/>
  <c r="T11" i="10" s="1"/>
  <c r="U11" i="10" s="1"/>
  <c r="V11" i="10" s="1"/>
  <c r="W11" i="10" s="1"/>
  <c r="X11" i="10" s="1"/>
  <c r="Y11" i="10" s="1"/>
  <c r="Z11" i="10" s="1"/>
  <c r="AA11" i="10" s="1"/>
  <c r="AB11" i="10" s="1"/>
  <c r="AC11" i="10" s="1"/>
  <c r="AD11" i="10" s="1"/>
  <c r="AE11" i="10" s="1"/>
  <c r="AF11" i="10" s="1"/>
  <c r="I12" i="10"/>
  <c r="I13" i="10"/>
  <c r="J14" i="10"/>
  <c r="J5" i="10" s="1"/>
  <c r="H309" i="24" l="1"/>
  <c r="H6" i="22"/>
  <c r="H310" i="24"/>
  <c r="G313" i="24"/>
  <c r="G297" i="22"/>
  <c r="H297" i="22" s="1"/>
  <c r="G288" i="24"/>
  <c r="G289" i="24" s="1"/>
  <c r="G312" i="24"/>
  <c r="F295" i="24"/>
  <c r="F297" i="24" s="1"/>
  <c r="H287" i="24"/>
  <c r="F1" i="24"/>
  <c r="E290" i="24"/>
  <c r="H194" i="22"/>
  <c r="E1" i="24"/>
  <c r="H275" i="22"/>
  <c r="H267" i="22"/>
  <c r="H268" i="22"/>
  <c r="H276" i="22"/>
  <c r="H274" i="22"/>
  <c r="H277" i="22"/>
  <c r="H150" i="22"/>
  <c r="H2" i="24"/>
  <c r="I4" i="24"/>
  <c r="H5" i="22"/>
  <c r="I4" i="22"/>
  <c r="I6" i="22" s="1"/>
  <c r="I9" i="10"/>
  <c r="H3" i="24" s="1"/>
  <c r="J12" i="10"/>
  <c r="J13" i="10"/>
  <c r="K14" i="10"/>
  <c r="K5" i="10" s="1"/>
  <c r="AG11" i="10"/>
  <c r="I309" i="24" l="1"/>
  <c r="I287" i="24"/>
  <c r="I310" i="24"/>
  <c r="H312" i="24"/>
  <c r="G295" i="24"/>
  <c r="G297" i="24" s="1"/>
  <c r="F290" i="24"/>
  <c r="G1" i="24"/>
  <c r="J4" i="22"/>
  <c r="J6" i="22" s="1"/>
  <c r="H273" i="22"/>
  <c r="I194" i="22"/>
  <c r="I276" i="22"/>
  <c r="I274" i="22"/>
  <c r="I275" i="22"/>
  <c r="I267" i="22"/>
  <c r="I268" i="22"/>
  <c r="I277" i="22"/>
  <c r="I150" i="22"/>
  <c r="I2" i="24"/>
  <c r="J4" i="24"/>
  <c r="J309" i="24" s="1"/>
  <c r="I5" i="22"/>
  <c r="I297" i="22"/>
  <c r="J9" i="10"/>
  <c r="I3" i="24" s="1"/>
  <c r="I312" i="24" s="1"/>
  <c r="K13" i="10"/>
  <c r="K12" i="10"/>
  <c r="L14" i="10"/>
  <c r="L5" i="10" s="1"/>
  <c r="AH11" i="10"/>
  <c r="J310" i="24" l="1"/>
  <c r="J287" i="24"/>
  <c r="J297" i="22"/>
  <c r="G290" i="24"/>
  <c r="J194" i="22"/>
  <c r="K4" i="22"/>
  <c r="K194" i="22" s="1"/>
  <c r="J274" i="22"/>
  <c r="J5" i="22"/>
  <c r="J267" i="22"/>
  <c r="J150" i="22"/>
  <c r="J277" i="22"/>
  <c r="J275" i="22"/>
  <c r="J268" i="22"/>
  <c r="J276" i="22"/>
  <c r="I273" i="22"/>
  <c r="J2" i="24"/>
  <c r="K4" i="24"/>
  <c r="K309" i="24" s="1"/>
  <c r="K9" i="10"/>
  <c r="J3" i="24" s="1"/>
  <c r="J312" i="24" s="1"/>
  <c r="L12" i="10"/>
  <c r="L13" i="10"/>
  <c r="M14" i="10"/>
  <c r="M5" i="10" s="1"/>
  <c r="AI11" i="10"/>
  <c r="K6" i="22" l="1"/>
  <c r="K297" i="22" s="1"/>
  <c r="J288" i="24"/>
  <c r="J289" i="24" s="1"/>
  <c r="K310" i="24"/>
  <c r="J313" i="24"/>
  <c r="K287" i="24"/>
  <c r="L4" i="22"/>
  <c r="L267" i="22" s="1"/>
  <c r="K274" i="22"/>
  <c r="K275" i="22"/>
  <c r="K5" i="22"/>
  <c r="K277" i="22"/>
  <c r="K276" i="22"/>
  <c r="K267" i="22"/>
  <c r="K268" i="22"/>
  <c r="K150" i="22"/>
  <c r="J273" i="22"/>
  <c r="K2" i="24"/>
  <c r="L4" i="24"/>
  <c r="L309" i="24" s="1"/>
  <c r="L9" i="10"/>
  <c r="K3" i="24" s="1"/>
  <c r="K312" i="24" s="1"/>
  <c r="M12" i="10"/>
  <c r="M13" i="10"/>
  <c r="N14" i="10"/>
  <c r="N5" i="10" s="1"/>
  <c r="AJ11" i="10"/>
  <c r="M4" i="22" l="1"/>
  <c r="L274" i="22"/>
  <c r="L268" i="22"/>
  <c r="L150" i="22"/>
  <c r="L277" i="22"/>
  <c r="L194" i="22"/>
  <c r="L5" i="22"/>
  <c r="L275" i="22"/>
  <c r="L276" i="22"/>
  <c r="L6" i="22"/>
  <c r="M6" i="22" s="1"/>
  <c r="L310" i="24"/>
  <c r="L287" i="24"/>
  <c r="K273" i="22"/>
  <c r="J1" i="24"/>
  <c r="J290" i="24"/>
  <c r="M150" i="22"/>
  <c r="M267" i="22"/>
  <c r="M274" i="22"/>
  <c r="M275" i="22"/>
  <c r="M268" i="22"/>
  <c r="M5" i="22"/>
  <c r="M277" i="22"/>
  <c r="M194" i="22"/>
  <c r="M276" i="22"/>
  <c r="L2" i="24"/>
  <c r="M4" i="24"/>
  <c r="M309" i="24" s="1"/>
  <c r="M9" i="10"/>
  <c r="L3" i="24" s="1"/>
  <c r="L312" i="24" s="1"/>
  <c r="N12" i="10"/>
  <c r="N13" i="10"/>
  <c r="O14" i="10"/>
  <c r="O5" i="10" s="1"/>
  <c r="AK11" i="10"/>
  <c r="L273" i="22" l="1"/>
  <c r="L297" i="22"/>
  <c r="M310" i="24"/>
  <c r="M2" i="24"/>
  <c r="M287" i="24"/>
  <c r="M297" i="22"/>
  <c r="M273" i="22"/>
  <c r="N4" i="24"/>
  <c r="N309" i="24" s="1"/>
  <c r="N9" i="10"/>
  <c r="M3" i="24" s="1"/>
  <c r="M312" i="24" s="1"/>
  <c r="O13" i="10"/>
  <c r="O12" i="10"/>
  <c r="P14" i="10"/>
  <c r="P5" i="10" s="1"/>
  <c r="AL11" i="10"/>
  <c r="N310" i="24" l="1"/>
  <c r="N287" i="24"/>
  <c r="N2" i="24"/>
  <c r="O4" i="24"/>
  <c r="O309" i="24" s="1"/>
  <c r="O9" i="10"/>
  <c r="N3" i="24" s="1"/>
  <c r="N312" i="24" s="1"/>
  <c r="P13" i="10"/>
  <c r="P12" i="10"/>
  <c r="Q14" i="10"/>
  <c r="Q5" i="10" s="1"/>
  <c r="AM11" i="10"/>
  <c r="O310" i="24" l="1"/>
  <c r="O287" i="24"/>
  <c r="O2" i="24"/>
  <c r="P4" i="24"/>
  <c r="P309" i="24" s="1"/>
  <c r="P9" i="10"/>
  <c r="O3" i="24" s="1"/>
  <c r="O312" i="24" s="1"/>
  <c r="Q12" i="10"/>
  <c r="Q13" i="10"/>
  <c r="R14" i="10"/>
  <c r="R5" i="10" s="1"/>
  <c r="AN11" i="10"/>
  <c r="P310" i="24" l="1"/>
  <c r="P287" i="24"/>
  <c r="P2" i="24"/>
  <c r="Q4" i="24"/>
  <c r="Q309" i="24" s="1"/>
  <c r="Q9" i="10"/>
  <c r="P3" i="24" s="1"/>
  <c r="P312" i="24" s="1"/>
  <c r="R12" i="10"/>
  <c r="R13" i="10"/>
  <c r="S14" i="10"/>
  <c r="S5" i="10" s="1"/>
  <c r="AO11" i="10"/>
  <c r="Q310" i="24" l="1"/>
  <c r="Q287" i="24"/>
  <c r="Q2" i="24"/>
  <c r="R4" i="24"/>
  <c r="R309" i="24" s="1"/>
  <c r="R9" i="10"/>
  <c r="Q3" i="24" s="1"/>
  <c r="Q312" i="24" s="1"/>
  <c r="S13" i="10"/>
  <c r="S12" i="10"/>
  <c r="T14" i="10"/>
  <c r="T5" i="10" s="1"/>
  <c r="AP11" i="10"/>
  <c r="R310" i="24" l="1"/>
  <c r="R287" i="24"/>
  <c r="S4" i="24"/>
  <c r="S309" i="24" s="1"/>
  <c r="R2" i="24"/>
  <c r="S9" i="10"/>
  <c r="R3" i="24" s="1"/>
  <c r="R312" i="24" s="1"/>
  <c r="T12" i="10"/>
  <c r="T13" i="10"/>
  <c r="U14" i="10"/>
  <c r="U5" i="10" s="1"/>
  <c r="AQ11" i="10"/>
  <c r="S310" i="24" l="1"/>
  <c r="S287" i="24"/>
  <c r="T9" i="10"/>
  <c r="S3" i="24" s="1"/>
  <c r="S312" i="24" s="1"/>
  <c r="S2" i="24"/>
  <c r="T4" i="24"/>
  <c r="T309" i="24" s="1"/>
  <c r="U13" i="10"/>
  <c r="U12" i="10"/>
  <c r="U9" i="10" s="1"/>
  <c r="T3" i="24" s="1"/>
  <c r="V14" i="10"/>
  <c r="V5" i="10" s="1"/>
  <c r="AR11" i="10"/>
  <c r="T310" i="24" l="1"/>
  <c r="T312" i="24"/>
  <c r="T287" i="24"/>
  <c r="T2" i="24"/>
  <c r="U4" i="24"/>
  <c r="U309" i="24" s="1"/>
  <c r="V12" i="10"/>
  <c r="V9" i="10" s="1"/>
  <c r="U3" i="24" s="1"/>
  <c r="V13" i="10"/>
  <c r="W14" i="10"/>
  <c r="W5" i="10" s="1"/>
  <c r="AS11" i="10"/>
  <c r="U310" i="24" l="1"/>
  <c r="U312" i="24"/>
  <c r="U287" i="24"/>
  <c r="U2" i="24"/>
  <c r="V4" i="24"/>
  <c r="V309" i="24" s="1"/>
  <c r="W13" i="10"/>
  <c r="W12" i="10"/>
  <c r="W9" i="10" s="1"/>
  <c r="V3" i="24" s="1"/>
  <c r="X14" i="10"/>
  <c r="X5" i="10" s="1"/>
  <c r="AT11" i="10"/>
  <c r="V310" i="24" l="1"/>
  <c r="V312" i="24"/>
  <c r="V287" i="24"/>
  <c r="W4" i="24"/>
  <c r="W309" i="24" s="1"/>
  <c r="V2" i="24"/>
  <c r="X12" i="10"/>
  <c r="X9" i="10" s="1"/>
  <c r="W3" i="24" s="1"/>
  <c r="X13" i="10"/>
  <c r="Y14" i="10"/>
  <c r="Y5" i="10" s="1"/>
  <c r="AU11" i="10"/>
  <c r="W310" i="24" l="1"/>
  <c r="W312" i="24"/>
  <c r="W287" i="24"/>
  <c r="W2" i="24"/>
  <c r="X4" i="24"/>
  <c r="X309" i="24" s="1"/>
  <c r="Y12" i="10"/>
  <c r="Y13" i="10"/>
  <c r="Z14" i="10"/>
  <c r="Z5" i="10" s="1"/>
  <c r="AV11" i="10"/>
  <c r="X310" i="24" l="1"/>
  <c r="X287" i="24"/>
  <c r="X2" i="24"/>
  <c r="Y4" i="24"/>
  <c r="Y309" i="24" s="1"/>
  <c r="Y9" i="10"/>
  <c r="X3" i="24" s="1"/>
  <c r="X312" i="24" s="1"/>
  <c r="Z12" i="10"/>
  <c r="Z13" i="10"/>
  <c r="AA14" i="10"/>
  <c r="AA5" i="10" s="1"/>
  <c r="AW11" i="10"/>
  <c r="Y310" i="24" l="1"/>
  <c r="Y287" i="24"/>
  <c r="Y2" i="24"/>
  <c r="Z4" i="24"/>
  <c r="Z309" i="24" s="1"/>
  <c r="Z9" i="10"/>
  <c r="Y3" i="24" s="1"/>
  <c r="Y312" i="24" s="1"/>
  <c r="AA13" i="10"/>
  <c r="AA12" i="10"/>
  <c r="AB14" i="10"/>
  <c r="AB5" i="10" s="1"/>
  <c r="AX11" i="10"/>
  <c r="Z310" i="24" l="1"/>
  <c r="Z287" i="24"/>
  <c r="Z2" i="24"/>
  <c r="AA4" i="24"/>
  <c r="AA309" i="24" s="1"/>
  <c r="AA9" i="10"/>
  <c r="Z3" i="24" s="1"/>
  <c r="Z312" i="24" s="1"/>
  <c r="AB12" i="10"/>
  <c r="AB13" i="10"/>
  <c r="AC14" i="10"/>
  <c r="AC5" i="10" s="1"/>
  <c r="AY11" i="10"/>
  <c r="AA310" i="24" l="1"/>
  <c r="AA287" i="24"/>
  <c r="AA2" i="24"/>
  <c r="AB4" i="24"/>
  <c r="AB309" i="24" s="1"/>
  <c r="AB9" i="10"/>
  <c r="AA3" i="24" s="1"/>
  <c r="AA312" i="24" s="1"/>
  <c r="AC12" i="10"/>
  <c r="AC13" i="10"/>
  <c r="AD14" i="10"/>
  <c r="AD5" i="10" s="1"/>
  <c r="AZ11" i="10"/>
  <c r="AB310" i="24" l="1"/>
  <c r="AB287" i="24"/>
  <c r="AB2" i="24"/>
  <c r="AC4" i="24"/>
  <c r="AC309" i="24" s="1"/>
  <c r="AC9" i="10"/>
  <c r="AB3" i="24" s="1"/>
  <c r="AB312" i="24" s="1"/>
  <c r="AD12" i="10"/>
  <c r="AD13" i="10"/>
  <c r="AE14" i="10"/>
  <c r="AE5" i="10" s="1"/>
  <c r="BA11" i="10"/>
  <c r="AC310" i="24" l="1"/>
  <c r="AC287" i="24"/>
  <c r="AC2" i="24"/>
  <c r="AD4" i="24"/>
  <c r="AD309" i="24" s="1"/>
  <c r="AD9" i="10"/>
  <c r="AC3" i="24" s="1"/>
  <c r="AC312" i="24" s="1"/>
  <c r="AE13" i="10"/>
  <c r="AE12" i="10"/>
  <c r="AF14" i="10"/>
  <c r="AF5" i="10" s="1"/>
  <c r="BB11" i="10"/>
  <c r="AD310" i="24" l="1"/>
  <c r="AD287" i="24"/>
  <c r="AD2" i="24"/>
  <c r="AE4" i="24"/>
  <c r="AE309" i="24" s="1"/>
  <c r="AE9" i="10"/>
  <c r="AD3" i="24" s="1"/>
  <c r="AD312" i="24" s="1"/>
  <c r="AF13" i="10"/>
  <c r="AF12" i="10"/>
  <c r="AG14" i="10"/>
  <c r="AG5" i="10" s="1"/>
  <c r="BC11" i="10"/>
  <c r="AE310" i="24" l="1"/>
  <c r="AE287" i="24"/>
  <c r="AE2" i="24"/>
  <c r="AF4" i="24"/>
  <c r="AF309" i="24" s="1"/>
  <c r="AF9" i="10"/>
  <c r="AE3" i="24" s="1"/>
  <c r="AE312" i="24" s="1"/>
  <c r="AG12" i="10"/>
  <c r="AG13" i="10"/>
  <c r="AH14" i="10"/>
  <c r="AH5" i="10" s="1"/>
  <c r="BD11" i="10"/>
  <c r="AF310" i="24" l="1"/>
  <c r="AF287" i="24"/>
  <c r="AF2" i="24"/>
  <c r="AG4" i="24"/>
  <c r="AG309" i="24" s="1"/>
  <c r="AG9" i="10"/>
  <c r="AF3" i="24" s="1"/>
  <c r="AF312" i="24" s="1"/>
  <c r="AH12" i="10"/>
  <c r="AH13" i="10"/>
  <c r="AI14" i="10"/>
  <c r="AI5" i="10" s="1"/>
  <c r="BE11" i="10"/>
  <c r="AG310" i="24" l="1"/>
  <c r="AG287" i="24"/>
  <c r="AG2" i="24"/>
  <c r="AH4" i="24"/>
  <c r="AH309" i="24" s="1"/>
  <c r="AH9" i="10"/>
  <c r="AG3" i="24" s="1"/>
  <c r="AG312" i="24" s="1"/>
  <c r="AI13" i="10"/>
  <c r="AI12" i="10"/>
  <c r="AJ14" i="10"/>
  <c r="AJ5" i="10" s="1"/>
  <c r="BF11" i="10"/>
  <c r="AH310" i="24" l="1"/>
  <c r="AH287" i="24"/>
  <c r="AH2" i="24"/>
  <c r="AI4" i="24"/>
  <c r="AI309" i="24" s="1"/>
  <c r="AI9" i="10"/>
  <c r="AH3" i="24" s="1"/>
  <c r="AH312" i="24" s="1"/>
  <c r="AJ12" i="10"/>
  <c r="AJ13" i="10"/>
  <c r="AK14" i="10"/>
  <c r="AK5" i="10" s="1"/>
  <c r="BG11" i="10"/>
  <c r="AI310" i="24" l="1"/>
  <c r="AI287" i="24"/>
  <c r="AI2" i="24"/>
  <c r="AJ4" i="24"/>
  <c r="AJ309" i="24" s="1"/>
  <c r="AJ9" i="10"/>
  <c r="AI3" i="24" s="1"/>
  <c r="AI312" i="24" s="1"/>
  <c r="AK13" i="10"/>
  <c r="AK12" i="10"/>
  <c r="AL14" i="10"/>
  <c r="AL5" i="10" s="1"/>
  <c r="BH11" i="10"/>
  <c r="AJ310" i="24" l="1"/>
  <c r="AJ287" i="24"/>
  <c r="AJ2" i="24"/>
  <c r="AK4" i="24"/>
  <c r="AK309" i="24" s="1"/>
  <c r="AK9" i="10"/>
  <c r="AJ3" i="24" s="1"/>
  <c r="AJ312" i="24" s="1"/>
  <c r="AL12" i="10"/>
  <c r="AL13" i="10"/>
  <c r="AM14" i="10"/>
  <c r="AM5" i="10" s="1"/>
  <c r="BI11" i="10"/>
  <c r="AK310" i="24" l="1"/>
  <c r="AK287" i="24"/>
  <c r="AK2" i="24"/>
  <c r="AL4" i="24"/>
  <c r="AL309" i="24" s="1"/>
  <c r="AL9" i="10"/>
  <c r="AK3" i="24" s="1"/>
  <c r="AK312" i="24" s="1"/>
  <c r="AM13" i="10"/>
  <c r="AM12" i="10"/>
  <c r="AN14" i="10"/>
  <c r="AN5" i="10" s="1"/>
  <c r="BJ11" i="10"/>
  <c r="AL310" i="24" l="1"/>
  <c r="AL287" i="24"/>
  <c r="AL2" i="24"/>
  <c r="AM4" i="24"/>
  <c r="AM309" i="24" s="1"/>
  <c r="AM9" i="10"/>
  <c r="AL3" i="24" s="1"/>
  <c r="AL312" i="24" s="1"/>
  <c r="AN12" i="10"/>
  <c r="AN13" i="10"/>
  <c r="AO14" i="10"/>
  <c r="AO5" i="10" s="1"/>
  <c r="BK11" i="10"/>
  <c r="AM310" i="24" l="1"/>
  <c r="AM287" i="24"/>
  <c r="AM2" i="24"/>
  <c r="AN4" i="24"/>
  <c r="AN309" i="24" s="1"/>
  <c r="AN9" i="10"/>
  <c r="AM3" i="24" s="1"/>
  <c r="AM312" i="24" s="1"/>
  <c r="AO12" i="10"/>
  <c r="AO13" i="10"/>
  <c r="AP14" i="10"/>
  <c r="AP5" i="10" s="1"/>
  <c r="BL11" i="10"/>
  <c r="BK14" i="10"/>
  <c r="AN310" i="24" l="1"/>
  <c r="AN287" i="24"/>
  <c r="AN2" i="24"/>
  <c r="AO4" i="24"/>
  <c r="AO309" i="24" s="1"/>
  <c r="BJ4" i="24"/>
  <c r="AO9" i="10"/>
  <c r="AN3" i="24" s="1"/>
  <c r="AN312" i="24" s="1"/>
  <c r="AP12" i="10"/>
  <c r="AP13" i="10"/>
  <c r="BK13" i="10"/>
  <c r="BK12" i="10"/>
  <c r="AQ14" i="10"/>
  <c r="AQ5" i="10" s="1"/>
  <c r="BL14" i="10"/>
  <c r="BM11" i="10"/>
  <c r="AO310" i="24" l="1"/>
  <c r="AO287" i="24"/>
  <c r="BJ2" i="24"/>
  <c r="AO2" i="24"/>
  <c r="BK4" i="24"/>
  <c r="AP4" i="24"/>
  <c r="AP309" i="24" s="1"/>
  <c r="AP9" i="10"/>
  <c r="AO3" i="24" s="1"/>
  <c r="AO312" i="24" s="1"/>
  <c r="BK9" i="10"/>
  <c r="BJ3" i="24" s="1"/>
  <c r="BL13" i="10"/>
  <c r="BL12" i="10"/>
  <c r="AQ13" i="10"/>
  <c r="AQ12" i="10"/>
  <c r="AR14" i="10"/>
  <c r="AR5" i="10" s="1"/>
  <c r="BM14" i="10"/>
  <c r="BN11" i="10"/>
  <c r="AP310" i="24" l="1"/>
  <c r="AP287" i="24"/>
  <c r="BK2" i="24"/>
  <c r="AP2" i="24"/>
  <c r="BL4" i="24"/>
  <c r="AQ4" i="24"/>
  <c r="AQ309" i="24" s="1"/>
  <c r="BL9" i="10"/>
  <c r="BK3" i="24" s="1"/>
  <c r="AQ9" i="10"/>
  <c r="AP3" i="24" s="1"/>
  <c r="AP312" i="24" s="1"/>
  <c r="BM12" i="10"/>
  <c r="BM13" i="10"/>
  <c r="AR12" i="10"/>
  <c r="AR13" i="10"/>
  <c r="AS14" i="10"/>
  <c r="AS5" i="10" s="1"/>
  <c r="BO11" i="10"/>
  <c r="BN14" i="10"/>
  <c r="AQ310" i="24" l="1"/>
  <c r="BL2" i="24"/>
  <c r="AQ287" i="24"/>
  <c r="AQ2" i="24"/>
  <c r="BM4" i="24"/>
  <c r="AR4" i="24"/>
  <c r="AR309" i="24" s="1"/>
  <c r="BM9" i="10"/>
  <c r="BL3" i="24" s="1"/>
  <c r="AR9" i="10"/>
  <c r="AQ3" i="24" s="1"/>
  <c r="AQ312" i="24" s="1"/>
  <c r="BN12" i="10"/>
  <c r="BN13" i="10"/>
  <c r="AS12" i="10"/>
  <c r="AS13" i="10"/>
  <c r="AT14" i="10"/>
  <c r="AT5" i="10" s="1"/>
  <c r="BP11" i="10"/>
  <c r="BO14" i="10"/>
  <c r="AR310" i="24" l="1"/>
  <c r="BM2" i="24"/>
  <c r="AR287" i="24"/>
  <c r="AR2" i="24"/>
  <c r="BN4" i="24"/>
  <c r="AS4" i="24"/>
  <c r="AS309" i="24" s="1"/>
  <c r="AS9" i="10"/>
  <c r="AR3" i="24" s="1"/>
  <c r="AR312" i="24" s="1"/>
  <c r="BN9" i="10"/>
  <c r="BM3" i="24" s="1"/>
  <c r="BO13" i="10"/>
  <c r="BO12" i="10"/>
  <c r="AT12" i="10"/>
  <c r="AT13" i="10"/>
  <c r="AU14" i="10"/>
  <c r="AU5" i="10" s="1"/>
  <c r="BQ11" i="10"/>
  <c r="BP14" i="10"/>
  <c r="AS310" i="24" l="1"/>
  <c r="AS287" i="24"/>
  <c r="BN2" i="24"/>
  <c r="AS2" i="24"/>
  <c r="BO4" i="24"/>
  <c r="AT4" i="24"/>
  <c r="AT309" i="24" s="1"/>
  <c r="BO9" i="10"/>
  <c r="BN3" i="24" s="1"/>
  <c r="AT9" i="10"/>
  <c r="AS3" i="24" s="1"/>
  <c r="AS312" i="24" s="1"/>
  <c r="BP12" i="10"/>
  <c r="BP13" i="10"/>
  <c r="AU13" i="10"/>
  <c r="AU12" i="10"/>
  <c r="AV14" i="10"/>
  <c r="AV5" i="10" s="1"/>
  <c r="BQ14" i="10"/>
  <c r="BR11" i="10"/>
  <c r="AT310" i="24" l="1"/>
  <c r="AT287" i="24"/>
  <c r="BO2" i="24"/>
  <c r="AT2" i="24"/>
  <c r="BP4" i="24"/>
  <c r="AU4" i="24"/>
  <c r="AU309" i="24" s="1"/>
  <c r="BP9" i="10"/>
  <c r="BO3" i="24" s="1"/>
  <c r="AU9" i="10"/>
  <c r="AT3" i="24" s="1"/>
  <c r="AT312" i="24" s="1"/>
  <c r="BQ13" i="10"/>
  <c r="BQ12" i="10"/>
  <c r="AV13" i="10"/>
  <c r="AV12" i="10"/>
  <c r="AW14" i="10"/>
  <c r="AW5" i="10" s="1"/>
  <c r="BR14" i="10"/>
  <c r="BS11" i="10"/>
  <c r="AU310" i="24" l="1"/>
  <c r="AU287" i="24"/>
  <c r="BP2" i="24"/>
  <c r="AU2" i="24"/>
  <c r="BQ4" i="24"/>
  <c r="AV4" i="24"/>
  <c r="AV309" i="24" s="1"/>
  <c r="BQ9" i="10"/>
  <c r="BP3" i="24" s="1"/>
  <c r="AV9" i="10"/>
  <c r="AU3" i="24" s="1"/>
  <c r="AU312" i="24" s="1"/>
  <c r="BR12" i="10"/>
  <c r="BR13" i="10"/>
  <c r="AW12" i="10"/>
  <c r="AW13" i="10"/>
  <c r="AX14" i="10"/>
  <c r="AX5" i="10" s="1"/>
  <c r="BT11" i="10"/>
  <c r="BS14" i="10"/>
  <c r="AV310" i="24" l="1"/>
  <c r="AV287" i="24"/>
  <c r="BQ2" i="24"/>
  <c r="AV2" i="24"/>
  <c r="BR4" i="24"/>
  <c r="AW4" i="24"/>
  <c r="AW309" i="24" s="1"/>
  <c r="BR9" i="10"/>
  <c r="BQ3" i="24" s="1"/>
  <c r="AW9" i="10"/>
  <c r="AV3" i="24" s="1"/>
  <c r="AV312" i="24" s="1"/>
  <c r="BS13" i="10"/>
  <c r="BS12" i="10"/>
  <c r="AX12" i="10"/>
  <c r="AX13" i="10"/>
  <c r="AY14" i="10"/>
  <c r="AY5" i="10" s="1"/>
  <c r="BU11" i="10"/>
  <c r="BT14" i="10"/>
  <c r="AW310" i="24" l="1"/>
  <c r="BR2" i="24"/>
  <c r="AW287" i="24"/>
  <c r="AW2" i="24"/>
  <c r="BS4" i="24"/>
  <c r="AX4" i="24"/>
  <c r="AX309" i="24" s="1"/>
  <c r="BS9" i="10"/>
  <c r="BR3" i="24" s="1"/>
  <c r="AX9" i="10"/>
  <c r="AW3" i="24" s="1"/>
  <c r="AW312" i="24" s="1"/>
  <c r="BT12" i="10"/>
  <c r="BT13" i="10"/>
  <c r="AY13" i="10"/>
  <c r="AY12" i="10"/>
  <c r="AZ14" i="10"/>
  <c r="AZ5" i="10" s="1"/>
  <c r="BU14" i="10"/>
  <c r="BV11" i="10"/>
  <c r="AX310" i="24" l="1"/>
  <c r="AX287" i="24"/>
  <c r="BS2" i="24"/>
  <c r="AX2" i="24"/>
  <c r="BT4" i="24"/>
  <c r="AY4" i="24"/>
  <c r="AY309" i="24" s="1"/>
  <c r="AY9" i="10"/>
  <c r="AX3" i="24" s="1"/>
  <c r="AX312" i="24" s="1"/>
  <c r="BT9" i="10"/>
  <c r="BS3" i="24" s="1"/>
  <c r="BU12" i="10"/>
  <c r="BU13" i="10"/>
  <c r="AZ12" i="10"/>
  <c r="AZ13" i="10"/>
  <c r="BA14" i="10"/>
  <c r="BA5" i="10" s="1"/>
  <c r="BV14" i="10"/>
  <c r="BW11" i="10"/>
  <c r="AY310" i="24" l="1"/>
  <c r="BT2" i="24"/>
  <c r="AY287" i="24"/>
  <c r="AY2" i="24"/>
  <c r="BU4" i="24"/>
  <c r="AZ4" i="24"/>
  <c r="AZ309" i="24" s="1"/>
  <c r="AZ9" i="10"/>
  <c r="AY3" i="24" s="1"/>
  <c r="AY312" i="24" s="1"/>
  <c r="BU9" i="10"/>
  <c r="BT3" i="24" s="1"/>
  <c r="BV12" i="10"/>
  <c r="BV13" i="10"/>
  <c r="BA13" i="10"/>
  <c r="BA12" i="10"/>
  <c r="BB14" i="10"/>
  <c r="BB5" i="10" s="1"/>
  <c r="BX11" i="10"/>
  <c r="BW14" i="10"/>
  <c r="AZ310" i="24" l="1"/>
  <c r="AZ287" i="24"/>
  <c r="BU2" i="24"/>
  <c r="AZ2" i="24"/>
  <c r="BV4" i="24"/>
  <c r="BA4" i="24"/>
  <c r="BA309" i="24" s="1"/>
  <c r="BV9" i="10"/>
  <c r="BU3" i="24" s="1"/>
  <c r="BA9" i="10"/>
  <c r="AZ3" i="24" s="1"/>
  <c r="AZ312" i="24" s="1"/>
  <c r="BW13" i="10"/>
  <c r="BW12" i="10"/>
  <c r="BB12" i="10"/>
  <c r="BB13" i="10"/>
  <c r="BC14" i="10"/>
  <c r="BC5" i="10" s="1"/>
  <c r="BX14" i="10"/>
  <c r="BY11" i="10"/>
  <c r="BA310" i="24" l="1"/>
  <c r="BA287" i="24"/>
  <c r="BV2" i="24"/>
  <c r="BA2" i="24"/>
  <c r="BW4" i="24"/>
  <c r="BB4" i="24"/>
  <c r="BB309" i="24" s="1"/>
  <c r="BW9" i="10"/>
  <c r="BV3" i="24" s="1"/>
  <c r="BB9" i="10"/>
  <c r="BA3" i="24" s="1"/>
  <c r="BA312" i="24" s="1"/>
  <c r="BX12" i="10"/>
  <c r="BX13" i="10"/>
  <c r="BC13" i="10"/>
  <c r="BC12" i="10"/>
  <c r="BD14" i="10"/>
  <c r="BD5" i="10" s="1"/>
  <c r="BY14" i="10"/>
  <c r="BZ11" i="10"/>
  <c r="BB310" i="24" l="1"/>
  <c r="BW2" i="24"/>
  <c r="BB287" i="24"/>
  <c r="BB2" i="24"/>
  <c r="BX4" i="24"/>
  <c r="BC4" i="24"/>
  <c r="BC309" i="24" s="1"/>
  <c r="BX9" i="10"/>
  <c r="BW3" i="24" s="1"/>
  <c r="BC9" i="10"/>
  <c r="BB3" i="24" s="1"/>
  <c r="BB312" i="24" s="1"/>
  <c r="BY12" i="10"/>
  <c r="BY13" i="10"/>
  <c r="BD12" i="10"/>
  <c r="BD13" i="10"/>
  <c r="BE14" i="10"/>
  <c r="BE5" i="10" s="1"/>
  <c r="BZ14" i="10"/>
  <c r="CA11" i="10"/>
  <c r="BC310" i="24" l="1"/>
  <c r="BC287" i="24"/>
  <c r="BX2" i="24"/>
  <c r="BC2" i="24"/>
  <c r="BY4" i="24"/>
  <c r="BD4" i="24"/>
  <c r="BD309" i="24" s="1"/>
  <c r="BY9" i="10"/>
  <c r="BX3" i="24" s="1"/>
  <c r="BD9" i="10"/>
  <c r="BC3" i="24" s="1"/>
  <c r="BC312" i="24" s="1"/>
  <c r="BZ12" i="10"/>
  <c r="BZ13" i="10"/>
  <c r="BE12" i="10"/>
  <c r="BE13" i="10"/>
  <c r="BF14" i="10"/>
  <c r="BF5" i="10" s="1"/>
  <c r="CB11" i="10"/>
  <c r="CA14" i="10"/>
  <c r="BD310" i="24" l="1"/>
  <c r="BD287" i="24"/>
  <c r="BY2" i="24"/>
  <c r="BD2" i="24"/>
  <c r="BZ4" i="24"/>
  <c r="BE4" i="24"/>
  <c r="BE309" i="24" s="1"/>
  <c r="BE9" i="10"/>
  <c r="BD3" i="24" s="1"/>
  <c r="BD312" i="24" s="1"/>
  <c r="BZ9" i="10"/>
  <c r="BY3" i="24" s="1"/>
  <c r="CA13" i="10"/>
  <c r="CA12" i="10"/>
  <c r="BF12" i="10"/>
  <c r="BF13" i="10"/>
  <c r="BG14" i="10"/>
  <c r="BG5" i="10" s="1"/>
  <c r="CC11" i="10"/>
  <c r="CB14" i="10"/>
  <c r="BD288" i="24" l="1"/>
  <c r="BD289" i="24" s="1"/>
  <c r="BD313" i="24"/>
  <c r="BE310" i="24"/>
  <c r="BE287" i="24"/>
  <c r="BZ2" i="24"/>
  <c r="BE2" i="24"/>
  <c r="CA4" i="24"/>
  <c r="BF4" i="24"/>
  <c r="BF309" i="24" s="1"/>
  <c r="BF9" i="10"/>
  <c r="BE3" i="24" s="1"/>
  <c r="BE312" i="24" s="1"/>
  <c r="CA9" i="10"/>
  <c r="BZ3" i="24" s="1"/>
  <c r="CB13" i="10"/>
  <c r="CB12" i="10"/>
  <c r="BG13" i="10"/>
  <c r="BG12" i="10"/>
  <c r="BH14" i="10"/>
  <c r="BH5" i="10" s="1"/>
  <c r="CC14" i="10"/>
  <c r="CD11" i="10"/>
  <c r="BF310" i="24" l="1"/>
  <c r="BF287" i="24"/>
  <c r="CA2" i="24"/>
  <c r="BD1" i="24"/>
  <c r="BD290" i="24"/>
  <c r="BF2" i="24"/>
  <c r="CB4" i="24"/>
  <c r="BG4" i="24"/>
  <c r="BG309" i="24" s="1"/>
  <c r="CB9" i="10"/>
  <c r="CA3" i="24" s="1"/>
  <c r="BG9" i="10"/>
  <c r="BF3" i="24" s="1"/>
  <c r="BF312" i="24" s="1"/>
  <c r="CC12" i="10"/>
  <c r="CC13" i="10"/>
  <c r="BH12" i="10"/>
  <c r="BH13" i="10"/>
  <c r="BI14" i="10"/>
  <c r="BI5" i="10" s="1"/>
  <c r="CD14" i="10"/>
  <c r="CE11" i="10"/>
  <c r="BG310" i="24" l="1"/>
  <c r="CB2" i="24"/>
  <c r="BG287" i="24"/>
  <c r="BG2" i="24"/>
  <c r="CC4" i="24"/>
  <c r="BH4" i="24"/>
  <c r="BH309" i="24" s="1"/>
  <c r="BH9" i="10"/>
  <c r="BG3" i="24" s="1"/>
  <c r="BG312" i="24" s="1"/>
  <c r="CC9" i="10"/>
  <c r="CB3" i="24" s="1"/>
  <c r="CD12" i="10"/>
  <c r="CD13" i="10"/>
  <c r="BI12" i="10"/>
  <c r="BI13" i="10"/>
  <c r="BJ14" i="10"/>
  <c r="BJ5" i="10" s="1"/>
  <c r="BK5" i="10" s="1"/>
  <c r="BL5" i="10" s="1"/>
  <c r="BM5" i="10" s="1"/>
  <c r="BN5" i="10" s="1"/>
  <c r="BO5" i="10" s="1"/>
  <c r="BP5" i="10" s="1"/>
  <c r="BQ5" i="10" s="1"/>
  <c r="BR5" i="10" s="1"/>
  <c r="BS5" i="10" s="1"/>
  <c r="BT5" i="10" s="1"/>
  <c r="BU5" i="10" s="1"/>
  <c r="BV5" i="10" s="1"/>
  <c r="BW5" i="10" s="1"/>
  <c r="BX5" i="10" s="1"/>
  <c r="BY5" i="10" s="1"/>
  <c r="BZ5" i="10" s="1"/>
  <c r="CA5" i="10" s="1"/>
  <c r="CB5" i="10" s="1"/>
  <c r="CC5" i="10" s="1"/>
  <c r="CD5" i="10" s="1"/>
  <c r="CE5" i="10" s="1"/>
  <c r="CE14" i="10"/>
  <c r="CF11" i="10"/>
  <c r="BH310" i="24" l="1"/>
  <c r="CC2" i="24"/>
  <c r="BH287" i="24"/>
  <c r="BH2" i="24"/>
  <c r="CD4" i="24"/>
  <c r="BI4" i="24"/>
  <c r="BI309" i="24" s="1"/>
  <c r="BJ309" i="24" s="1"/>
  <c r="CD9" i="10"/>
  <c r="CC3" i="24" s="1"/>
  <c r="BI9" i="10"/>
  <c r="BH3" i="24" s="1"/>
  <c r="BH312" i="24" s="1"/>
  <c r="CE13" i="10"/>
  <c r="CE12" i="10"/>
  <c r="BJ12" i="10"/>
  <c r="BJ13" i="10"/>
  <c r="CG11" i="10"/>
  <c r="CF14" i="10"/>
  <c r="CF5" i="10" s="1"/>
  <c r="BK309" i="24" l="1"/>
  <c r="BJ312" i="24"/>
  <c r="BI310" i="24"/>
  <c r="BJ310" i="24" s="1"/>
  <c r="BI287" i="24"/>
  <c r="CD2" i="24"/>
  <c r="BI2" i="24"/>
  <c r="CE4" i="24"/>
  <c r="BJ9" i="10"/>
  <c r="BI3" i="24" s="1"/>
  <c r="BI312" i="24" s="1"/>
  <c r="CE9" i="10"/>
  <c r="CD3" i="24" s="1"/>
  <c r="CF13" i="10"/>
  <c r="CF12" i="10"/>
  <c r="CH11" i="10"/>
  <c r="CG14" i="10"/>
  <c r="CG5" i="10" s="1"/>
  <c r="BJ313" i="24" l="1"/>
  <c r="BK310" i="24"/>
  <c r="BL309" i="24"/>
  <c r="BK312" i="24"/>
  <c r="BJ287" i="24"/>
  <c r="BJ288" i="24" s="1"/>
  <c r="BJ289" i="24" s="1"/>
  <c r="CE2" i="24"/>
  <c r="CF4" i="24"/>
  <c r="CF9" i="10"/>
  <c r="CE3" i="24" s="1"/>
  <c r="CG13" i="10"/>
  <c r="CG12" i="10"/>
  <c r="CI11" i="10"/>
  <c r="CH14" i="10"/>
  <c r="CH5" i="10" s="1"/>
  <c r="BM309" i="24" l="1"/>
  <c r="BL312" i="24"/>
  <c r="BK313" i="24"/>
  <c r="BL310" i="24"/>
  <c r="BK287" i="24"/>
  <c r="BK288" i="24" s="1"/>
  <c r="BK289" i="24" s="1"/>
  <c r="CF2" i="24"/>
  <c r="CG4" i="24"/>
  <c r="CG9" i="10"/>
  <c r="CF3" i="24" s="1"/>
  <c r="CH12" i="10"/>
  <c r="CH13" i="10"/>
  <c r="CI14" i="10"/>
  <c r="CI5" i="10" s="1"/>
  <c r="CJ11" i="10"/>
  <c r="BM310" i="24" l="1"/>
  <c r="BL313" i="24"/>
  <c r="BN309" i="24"/>
  <c r="BM312" i="24"/>
  <c r="BL287" i="24"/>
  <c r="BL288" i="24" s="1"/>
  <c r="BL289" i="24" s="1"/>
  <c r="CG2" i="24"/>
  <c r="BJ1" i="24"/>
  <c r="BJ290" i="24"/>
  <c r="CH4" i="24"/>
  <c r="CH9" i="10"/>
  <c r="CG3" i="24" s="1"/>
  <c r="CI13" i="10"/>
  <c r="CI12" i="10"/>
  <c r="CK11" i="10"/>
  <c r="CJ14" i="10"/>
  <c r="CJ5" i="10" s="1"/>
  <c r="BO309" i="24" l="1"/>
  <c r="BN312" i="24"/>
  <c r="BN310" i="24"/>
  <c r="BM313" i="24"/>
  <c r="BM287" i="24"/>
  <c r="BM288" i="24" s="1"/>
  <c r="BM289" i="24" s="1"/>
  <c r="CH2" i="24"/>
  <c r="BK1" i="24"/>
  <c r="BK290" i="24"/>
  <c r="CI4" i="24"/>
  <c r="CI9" i="10"/>
  <c r="CH3" i="24" s="1"/>
  <c r="CJ12" i="10"/>
  <c r="CJ13" i="10"/>
  <c r="CL11" i="10"/>
  <c r="CK14" i="10"/>
  <c r="CK5" i="10" s="1"/>
  <c r="BN313" i="24" l="1"/>
  <c r="BO310" i="24"/>
  <c r="BP309" i="24"/>
  <c r="BO312" i="24"/>
  <c r="BN287" i="24"/>
  <c r="BN288" i="24" s="1"/>
  <c r="BN289" i="24" s="1"/>
  <c r="CI2" i="24"/>
  <c r="BL1" i="24"/>
  <c r="BL290" i="24"/>
  <c r="CJ4" i="24"/>
  <c r="CJ9" i="10"/>
  <c r="CI3" i="24" s="1"/>
  <c r="CK12" i="10"/>
  <c r="CK13" i="10"/>
  <c r="CM11" i="10"/>
  <c r="CL14" i="10"/>
  <c r="CL5" i="10" s="1"/>
  <c r="BQ309" i="24" l="1"/>
  <c r="BP312" i="24"/>
  <c r="BP310" i="24"/>
  <c r="BO313" i="24"/>
  <c r="BO287" i="24"/>
  <c r="BO288" i="24" s="1"/>
  <c r="BO289" i="24" s="1"/>
  <c r="CJ2" i="24"/>
  <c r="BM1" i="24"/>
  <c r="BM290" i="24"/>
  <c r="CK4" i="24"/>
  <c r="CK9" i="10"/>
  <c r="CJ3" i="24" s="1"/>
  <c r="CL12" i="10"/>
  <c r="CL13" i="10"/>
  <c r="CM14" i="10"/>
  <c r="CM5" i="10" s="1"/>
  <c r="CN11" i="10"/>
  <c r="BP313" i="24" l="1"/>
  <c r="BQ310" i="24"/>
  <c r="BR309" i="24"/>
  <c r="BQ312" i="24"/>
  <c r="BP287" i="24"/>
  <c r="BP288" i="24" s="1"/>
  <c r="BP289" i="24" s="1"/>
  <c r="CK2" i="24"/>
  <c r="BN1" i="24"/>
  <c r="BN290" i="24"/>
  <c r="CL4" i="24"/>
  <c r="CL9" i="10"/>
  <c r="CK3" i="24" s="1"/>
  <c r="CM13" i="10"/>
  <c r="CM12" i="10"/>
  <c r="CO11" i="10"/>
  <c r="CN14" i="10"/>
  <c r="CN5" i="10" s="1"/>
  <c r="BS309" i="24" l="1"/>
  <c r="BR312" i="24"/>
  <c r="BQ313" i="24"/>
  <c r="BR310" i="24"/>
  <c r="BQ287" i="24"/>
  <c r="BQ288" i="24" s="1"/>
  <c r="BQ289" i="24" s="1"/>
  <c r="CL2" i="24"/>
  <c r="BO1" i="24"/>
  <c r="BO290" i="24"/>
  <c r="CM4" i="24"/>
  <c r="CM9" i="10"/>
  <c r="CL3" i="24" s="1"/>
  <c r="CN12" i="10"/>
  <c r="CN13" i="10"/>
  <c r="CP11" i="10"/>
  <c r="CO14" i="10"/>
  <c r="CO5" i="10" s="1"/>
  <c r="BR313" i="24" l="1"/>
  <c r="BS310" i="24"/>
  <c r="BT309" i="24"/>
  <c r="BS312" i="24"/>
  <c r="BR287" i="24"/>
  <c r="BR288" i="24" s="1"/>
  <c r="BR289" i="24" s="1"/>
  <c r="CM2" i="24"/>
  <c r="BP1" i="24"/>
  <c r="BP290" i="24"/>
  <c r="CN4" i="24"/>
  <c r="CN9" i="10"/>
  <c r="CM3" i="24" s="1"/>
  <c r="CO12" i="10"/>
  <c r="CO13" i="10"/>
  <c r="CQ11" i="10"/>
  <c r="CP14" i="10"/>
  <c r="CP5" i="10" s="1"/>
  <c r="BU309" i="24" l="1"/>
  <c r="BT312" i="24"/>
  <c r="BT310" i="24"/>
  <c r="BS313" i="24"/>
  <c r="BS287" i="24"/>
  <c r="BS288" i="24" s="1"/>
  <c r="BS289" i="24" s="1"/>
  <c r="CN2" i="24"/>
  <c r="BQ1" i="24"/>
  <c r="BQ290" i="24"/>
  <c r="CO4" i="24"/>
  <c r="CO9" i="10"/>
  <c r="CN3" i="24" s="1"/>
  <c r="CP12" i="10"/>
  <c r="CP13" i="10"/>
  <c r="CQ14" i="10"/>
  <c r="CQ5" i="10" s="1"/>
  <c r="CR11" i="10"/>
  <c r="BT313" i="24" l="1"/>
  <c r="BU310" i="24"/>
  <c r="BV309" i="24"/>
  <c r="BU312" i="24"/>
  <c r="BT287" i="24"/>
  <c r="BT288" i="24" s="1"/>
  <c r="BT289" i="24" s="1"/>
  <c r="CO2" i="24"/>
  <c r="BR1" i="24"/>
  <c r="BR290" i="24"/>
  <c r="CP4" i="24"/>
  <c r="CP9" i="10"/>
  <c r="CO3" i="24" s="1"/>
  <c r="CQ13" i="10"/>
  <c r="CQ12" i="10"/>
  <c r="CS11" i="10"/>
  <c r="CR14" i="10"/>
  <c r="CR5" i="10" s="1"/>
  <c r="BW309" i="24" l="1"/>
  <c r="BV312" i="24"/>
  <c r="BU313" i="24"/>
  <c r="BV310" i="24"/>
  <c r="BU287" i="24"/>
  <c r="BU288" i="24" s="1"/>
  <c r="BU289" i="24" s="1"/>
  <c r="CP2" i="24"/>
  <c r="BS1" i="24"/>
  <c r="BS290" i="24"/>
  <c r="CQ4" i="24"/>
  <c r="CQ9" i="10"/>
  <c r="CP3" i="24" s="1"/>
  <c r="CR13" i="10"/>
  <c r="CR12" i="10"/>
  <c r="CT11" i="10"/>
  <c r="CS14" i="10"/>
  <c r="CS5" i="10" s="1"/>
  <c r="BV313" i="24" l="1"/>
  <c r="BW310" i="24"/>
  <c r="BX309" i="24"/>
  <c r="BW312" i="24"/>
  <c r="BV287" i="24"/>
  <c r="BV288" i="24" s="1"/>
  <c r="BV289" i="24" s="1"/>
  <c r="CQ2" i="24"/>
  <c r="BT1" i="24"/>
  <c r="BT290" i="24"/>
  <c r="CR4" i="24"/>
  <c r="CR9" i="10"/>
  <c r="CQ3" i="24" s="1"/>
  <c r="CS12" i="10"/>
  <c r="CS13" i="10"/>
  <c r="CU11" i="10"/>
  <c r="CT14" i="10"/>
  <c r="CT5" i="10" s="1"/>
  <c r="BY309" i="24" l="1"/>
  <c r="BX312" i="24"/>
  <c r="BW313" i="24"/>
  <c r="BX310" i="24"/>
  <c r="BW287" i="24"/>
  <c r="BW288" i="24" s="1"/>
  <c r="BW289" i="24" s="1"/>
  <c r="CR2" i="24"/>
  <c r="BU1" i="24"/>
  <c r="BU290" i="24"/>
  <c r="CS4" i="24"/>
  <c r="CS9" i="10"/>
  <c r="CR3" i="24" s="1"/>
  <c r="CT12" i="10"/>
  <c r="CT13" i="10"/>
  <c r="CU14" i="10"/>
  <c r="CU5" i="10" s="1"/>
  <c r="CV11" i="10"/>
  <c r="BY310" i="24" l="1"/>
  <c r="BX313" i="24"/>
  <c r="BZ309" i="24"/>
  <c r="BY312" i="24"/>
  <c r="BX287" i="24"/>
  <c r="BX288" i="24" s="1"/>
  <c r="BX289" i="24" s="1"/>
  <c r="CS2" i="24"/>
  <c r="BV1" i="24"/>
  <c r="BV290" i="24"/>
  <c r="CT4" i="24"/>
  <c r="CT9" i="10"/>
  <c r="CS3" i="24" s="1"/>
  <c r="CU13" i="10"/>
  <c r="CU12" i="10"/>
  <c r="CV14" i="10"/>
  <c r="CV5" i="10" s="1"/>
  <c r="CW11" i="10"/>
  <c r="CA309" i="24" l="1"/>
  <c r="BZ312" i="24"/>
  <c r="BZ310" i="24"/>
  <c r="BY313" i="24"/>
  <c r="BY287" i="24"/>
  <c r="BY288" i="24" s="1"/>
  <c r="BY289" i="24" s="1"/>
  <c r="CT2" i="24"/>
  <c r="BW1" i="24"/>
  <c r="BW290" i="24"/>
  <c r="CU4" i="24"/>
  <c r="CU9" i="10"/>
  <c r="CT3" i="24" s="1"/>
  <c r="CV12" i="10"/>
  <c r="CV13" i="10"/>
  <c r="CW14" i="10"/>
  <c r="CW5" i="10" s="1"/>
  <c r="CX11" i="10"/>
  <c r="CA310" i="24" l="1"/>
  <c r="BZ313" i="24"/>
  <c r="CB309" i="24"/>
  <c r="CA312" i="24"/>
  <c r="BZ287" i="24"/>
  <c r="BZ288" i="24" s="1"/>
  <c r="BZ289" i="24" s="1"/>
  <c r="CU2" i="24"/>
  <c r="BX1" i="24"/>
  <c r="BX290" i="24"/>
  <c r="CV4" i="24"/>
  <c r="CV9" i="10"/>
  <c r="CU3" i="24" s="1"/>
  <c r="CW13" i="10"/>
  <c r="CW12" i="10"/>
  <c r="CY11" i="10"/>
  <c r="CX14" i="10"/>
  <c r="CX5" i="10" s="1"/>
  <c r="CC309" i="24" l="1"/>
  <c r="CB312" i="24"/>
  <c r="CB310" i="24"/>
  <c r="CA313" i="24"/>
  <c r="CA287" i="24"/>
  <c r="CA288" i="24" s="1"/>
  <c r="CA289" i="24" s="1"/>
  <c r="CV2" i="24"/>
  <c r="BY1" i="24"/>
  <c r="BY290" i="24"/>
  <c r="CW4" i="24"/>
  <c r="CW9" i="10"/>
  <c r="CV3" i="24" s="1"/>
  <c r="CX12" i="10"/>
  <c r="CX13" i="10"/>
  <c r="CY14" i="10"/>
  <c r="CY5" i="10" s="1"/>
  <c r="CZ11" i="10"/>
  <c r="CC310" i="24" l="1"/>
  <c r="CB313" i="24"/>
  <c r="CD309" i="24"/>
  <c r="CC312" i="24"/>
  <c r="CB287" i="24"/>
  <c r="CB288" i="24" s="1"/>
  <c r="CB289" i="24" s="1"/>
  <c r="CW2" i="24"/>
  <c r="BZ1" i="24"/>
  <c r="BZ290" i="24"/>
  <c r="CX4" i="24"/>
  <c r="CX9" i="10"/>
  <c r="CW3" i="24" s="1"/>
  <c r="CY13" i="10"/>
  <c r="CY12" i="10"/>
  <c r="CZ14" i="10"/>
  <c r="CZ5" i="10" s="1"/>
  <c r="DA11" i="10"/>
  <c r="CE309" i="24" l="1"/>
  <c r="CD312" i="24"/>
  <c r="CD310" i="24"/>
  <c r="CC313" i="24"/>
  <c r="CC287" i="24"/>
  <c r="CC288" i="24" s="1"/>
  <c r="CC289" i="24" s="1"/>
  <c r="CX2" i="24"/>
  <c r="CA1" i="24"/>
  <c r="CA290" i="24"/>
  <c r="CY4" i="24"/>
  <c r="CY9" i="10"/>
  <c r="CX3" i="24" s="1"/>
  <c r="CZ12" i="10"/>
  <c r="CZ13" i="10"/>
  <c r="DA14" i="10"/>
  <c r="DA5" i="10" s="1"/>
  <c r="DB11" i="10"/>
  <c r="CE310" i="24" l="1"/>
  <c r="CD313" i="24"/>
  <c r="CF309" i="24"/>
  <c r="CE312" i="24"/>
  <c r="CD287" i="24"/>
  <c r="CD288" i="24" s="1"/>
  <c r="CD289" i="24" s="1"/>
  <c r="CY2" i="24"/>
  <c r="CB1" i="24"/>
  <c r="CB290" i="24"/>
  <c r="CZ4" i="24"/>
  <c r="CZ9" i="10"/>
  <c r="CY3" i="24" s="1"/>
  <c r="DA13" i="10"/>
  <c r="DA12" i="10"/>
  <c r="DC11" i="10"/>
  <c r="DB14" i="10"/>
  <c r="DB5" i="10" s="1"/>
  <c r="CG309" i="24" l="1"/>
  <c r="CF312" i="24"/>
  <c r="CE313" i="24"/>
  <c r="CF310" i="24"/>
  <c r="CE287" i="24"/>
  <c r="CE288" i="24" s="1"/>
  <c r="CE289" i="24" s="1"/>
  <c r="CZ2" i="24"/>
  <c r="CC1" i="24"/>
  <c r="CC290" i="24"/>
  <c r="DA4" i="24"/>
  <c r="DA9" i="10"/>
  <c r="CZ3" i="24" s="1"/>
  <c r="DB12" i="10"/>
  <c r="DB13" i="10"/>
  <c r="DC14" i="10"/>
  <c r="DC5" i="10" s="1"/>
  <c r="DD11" i="10"/>
  <c r="CF313" i="24" l="1"/>
  <c r="CG310" i="24"/>
  <c r="CH309" i="24"/>
  <c r="CG312" i="24"/>
  <c r="CF287" i="24"/>
  <c r="CF288" i="24" s="1"/>
  <c r="CF289" i="24" s="1"/>
  <c r="DA2" i="24"/>
  <c r="CD1" i="24"/>
  <c r="CD290" i="24"/>
  <c r="DB4" i="24"/>
  <c r="DB9" i="10"/>
  <c r="DA3" i="24" s="1"/>
  <c r="DC13" i="10"/>
  <c r="DC12" i="10"/>
  <c r="DD14" i="10"/>
  <c r="DD5" i="10" s="1"/>
  <c r="DE11" i="10"/>
  <c r="CI309" i="24" l="1"/>
  <c r="CH312" i="24"/>
  <c r="CH310" i="24"/>
  <c r="CG313" i="24"/>
  <c r="CG287" i="24"/>
  <c r="CG288" i="24" s="1"/>
  <c r="CG289" i="24" s="1"/>
  <c r="DB2" i="24"/>
  <c r="CE1" i="24"/>
  <c r="CE290" i="24"/>
  <c r="DC4" i="24"/>
  <c r="DC9" i="10"/>
  <c r="DB3" i="24" s="1"/>
  <c r="DD12" i="10"/>
  <c r="DD13" i="10"/>
  <c r="DE14" i="10"/>
  <c r="DE5" i="10" s="1"/>
  <c r="DF11" i="10"/>
  <c r="CI310" i="24" l="1"/>
  <c r="CH313" i="24"/>
  <c r="CJ309" i="24"/>
  <c r="CI312" i="24"/>
  <c r="CH287" i="24"/>
  <c r="CH288" i="24" s="1"/>
  <c r="CH289" i="24" s="1"/>
  <c r="DC2" i="24"/>
  <c r="CF1" i="24"/>
  <c r="CF290" i="24"/>
  <c r="DD4" i="24"/>
  <c r="DD9" i="10"/>
  <c r="DC3" i="24" s="1"/>
  <c r="DE12" i="10"/>
  <c r="DE13" i="10"/>
  <c r="DG11" i="10"/>
  <c r="DF14" i="10"/>
  <c r="DF5" i="10" s="1"/>
  <c r="CK309" i="24" l="1"/>
  <c r="CJ312" i="24"/>
  <c r="CJ310" i="24"/>
  <c r="CI313" i="24"/>
  <c r="CI287" i="24"/>
  <c r="CI288" i="24" s="1"/>
  <c r="CI289" i="24" s="1"/>
  <c r="DD2" i="24"/>
  <c r="CG1" i="24"/>
  <c r="CG290" i="24"/>
  <c r="DE4" i="24"/>
  <c r="DE9" i="10"/>
  <c r="DD3" i="24" s="1"/>
  <c r="DF12" i="10"/>
  <c r="DF13" i="10"/>
  <c r="DG14" i="10"/>
  <c r="DG5" i="10" s="1"/>
  <c r="DH11" i="10"/>
  <c r="CK310" i="24" l="1"/>
  <c r="CJ313" i="24"/>
  <c r="CL309" i="24"/>
  <c r="CK312" i="24"/>
  <c r="CJ287" i="24"/>
  <c r="CJ288" i="24" s="1"/>
  <c r="CJ289" i="24" s="1"/>
  <c r="DE2" i="24"/>
  <c r="CH1" i="24"/>
  <c r="CH290" i="24"/>
  <c r="DF4" i="24"/>
  <c r="DF9" i="10"/>
  <c r="DE3" i="24" s="1"/>
  <c r="DG13" i="10"/>
  <c r="DG12" i="10"/>
  <c r="DH14" i="10"/>
  <c r="DH5" i="10" s="1"/>
  <c r="DI11" i="10"/>
  <c r="CM309" i="24" l="1"/>
  <c r="CL312" i="24"/>
  <c r="CL310" i="24"/>
  <c r="CK313" i="24"/>
  <c r="CK287" i="24"/>
  <c r="CK288" i="24" s="1"/>
  <c r="CK289" i="24" s="1"/>
  <c r="DF2" i="24"/>
  <c r="CI1" i="24"/>
  <c r="CI290" i="24"/>
  <c r="DG4" i="24"/>
  <c r="DG9" i="10"/>
  <c r="DF3" i="24" s="1"/>
  <c r="DH13" i="10"/>
  <c r="DH12" i="10"/>
  <c r="DI14" i="10"/>
  <c r="DI5" i="10" s="1"/>
  <c r="DJ11" i="10"/>
  <c r="CL313" i="24" l="1"/>
  <c r="CM310" i="24"/>
  <c r="CN309" i="24"/>
  <c r="CM312" i="24"/>
  <c r="CL287" i="24"/>
  <c r="CL288" i="24" s="1"/>
  <c r="CL289" i="24" s="1"/>
  <c r="DG2" i="24"/>
  <c r="CJ1" i="24"/>
  <c r="CJ290" i="24"/>
  <c r="DH4" i="24"/>
  <c r="DH9" i="10"/>
  <c r="DG3" i="24" s="1"/>
  <c r="DI12" i="10"/>
  <c r="DI13" i="10"/>
  <c r="DK11" i="10"/>
  <c r="DJ14" i="10"/>
  <c r="DJ5" i="10" s="1"/>
  <c r="CO309" i="24" l="1"/>
  <c r="CN312" i="24"/>
  <c r="CM313" i="24"/>
  <c r="CN310" i="24"/>
  <c r="CM287" i="24"/>
  <c r="CM288" i="24" s="1"/>
  <c r="CM289" i="24" s="1"/>
  <c r="DH2" i="24"/>
  <c r="CK1" i="24"/>
  <c r="CK290" i="24"/>
  <c r="DI4" i="24"/>
  <c r="DI9" i="10"/>
  <c r="DH3" i="24" s="1"/>
  <c r="DJ12" i="10"/>
  <c r="DJ13" i="10"/>
  <c r="DK14" i="10"/>
  <c r="DK5" i="10" s="1"/>
  <c r="DL11" i="10"/>
  <c r="CO310" i="24" l="1"/>
  <c r="CN313" i="24"/>
  <c r="CP309" i="24"/>
  <c r="CO312" i="24"/>
  <c r="CN287" i="24"/>
  <c r="CN288" i="24" s="1"/>
  <c r="CN289" i="24" s="1"/>
  <c r="DI2" i="24"/>
  <c r="CL1" i="24"/>
  <c r="CL290" i="24"/>
  <c r="DJ4" i="24"/>
  <c r="DJ9" i="10"/>
  <c r="DI3" i="24" s="1"/>
  <c r="DK13" i="10"/>
  <c r="DK12" i="10"/>
  <c r="DL14" i="10"/>
  <c r="DL5" i="10" s="1"/>
  <c r="DM11" i="10"/>
  <c r="CQ309" i="24" l="1"/>
  <c r="CP312" i="24"/>
  <c r="CO313" i="24"/>
  <c r="CP310" i="24"/>
  <c r="CO287" i="24"/>
  <c r="CO288" i="24" s="1"/>
  <c r="CO289" i="24" s="1"/>
  <c r="DJ2" i="24"/>
  <c r="CM1" i="24"/>
  <c r="CM290" i="24"/>
  <c r="DK4" i="24"/>
  <c r="DK9" i="10"/>
  <c r="DJ3" i="24" s="1"/>
  <c r="DL13" i="10"/>
  <c r="DL12" i="10"/>
  <c r="DM14" i="10"/>
  <c r="DM5" i="10" s="1"/>
  <c r="DN11" i="10"/>
  <c r="CQ310" i="24" l="1"/>
  <c r="CP313" i="24"/>
  <c r="CR309" i="24"/>
  <c r="CQ312" i="24"/>
  <c r="CP287" i="24"/>
  <c r="CP288" i="24" s="1"/>
  <c r="CP289" i="24" s="1"/>
  <c r="DK2" i="24"/>
  <c r="CN1" i="24"/>
  <c r="CN290" i="24"/>
  <c r="DL4" i="24"/>
  <c r="DL9" i="10"/>
  <c r="DK3" i="24" s="1"/>
  <c r="DM13" i="10"/>
  <c r="DM12" i="10"/>
  <c r="DO11" i="10"/>
  <c r="DN14" i="10"/>
  <c r="DN5" i="10" s="1"/>
  <c r="CS309" i="24" l="1"/>
  <c r="CR312" i="24"/>
  <c r="CR310" i="24"/>
  <c r="CQ313" i="24"/>
  <c r="CQ287" i="24"/>
  <c r="CQ288" i="24" s="1"/>
  <c r="CQ289" i="24" s="1"/>
  <c r="DL2" i="24"/>
  <c r="CO1" i="24"/>
  <c r="CO290" i="24"/>
  <c r="DM4" i="24"/>
  <c r="DM9" i="10"/>
  <c r="DL3" i="24" s="1"/>
  <c r="DN12" i="10"/>
  <c r="DN13" i="10"/>
  <c r="DO14" i="10"/>
  <c r="DO5" i="10" s="1"/>
  <c r="DP11" i="10"/>
  <c r="CS310" i="24" l="1"/>
  <c r="CR313" i="24"/>
  <c r="CT309" i="24"/>
  <c r="CS312" i="24"/>
  <c r="CR287" i="24"/>
  <c r="CR288" i="24" s="1"/>
  <c r="CR289" i="24" s="1"/>
  <c r="DM2" i="24"/>
  <c r="CP1" i="24"/>
  <c r="CP290" i="24"/>
  <c r="DN4" i="24"/>
  <c r="DN9" i="10"/>
  <c r="DM3" i="24" s="1"/>
  <c r="DO13" i="10"/>
  <c r="DO12" i="10"/>
  <c r="DP14" i="10"/>
  <c r="DP5" i="10" s="1"/>
  <c r="DQ11" i="10"/>
  <c r="CU309" i="24" l="1"/>
  <c r="CT312" i="24"/>
  <c r="CT310" i="24"/>
  <c r="CS313" i="24"/>
  <c r="CS287" i="24"/>
  <c r="CS288" i="24" s="1"/>
  <c r="CS289" i="24" s="1"/>
  <c r="DN2" i="24"/>
  <c r="CQ1" i="24"/>
  <c r="CQ290" i="24"/>
  <c r="DO4" i="24"/>
  <c r="DO9" i="10"/>
  <c r="DN3" i="24" s="1"/>
  <c r="DP12" i="10"/>
  <c r="DP13" i="10"/>
  <c r="DQ14" i="10"/>
  <c r="DQ5" i="10" s="1"/>
  <c r="DR11" i="10"/>
  <c r="CU310" i="24" l="1"/>
  <c r="CT313" i="24"/>
  <c r="CV309" i="24"/>
  <c r="CU312" i="24"/>
  <c r="CT287" i="24"/>
  <c r="CT288" i="24" s="1"/>
  <c r="CT289" i="24" s="1"/>
  <c r="DO2" i="24"/>
  <c r="CR1" i="24"/>
  <c r="CR290" i="24"/>
  <c r="DP4" i="24"/>
  <c r="DP9" i="10"/>
  <c r="DO3" i="24" s="1"/>
  <c r="DQ12" i="10"/>
  <c r="DQ13" i="10"/>
  <c r="DS11" i="10"/>
  <c r="DR14" i="10"/>
  <c r="DR5" i="10" s="1"/>
  <c r="CW309" i="24" l="1"/>
  <c r="CV312" i="24"/>
  <c r="CU313" i="24"/>
  <c r="CV310" i="24"/>
  <c r="CU287" i="24"/>
  <c r="CU288" i="24" s="1"/>
  <c r="CU289" i="24" s="1"/>
  <c r="DP2" i="24"/>
  <c r="CS1" i="24"/>
  <c r="CS290" i="24"/>
  <c r="DQ4" i="24"/>
  <c r="DQ9" i="10"/>
  <c r="DP3" i="24" s="1"/>
  <c r="DR12" i="10"/>
  <c r="DR13" i="10"/>
  <c r="DS14" i="10"/>
  <c r="DS5" i="10" s="1"/>
  <c r="DT11" i="10"/>
  <c r="CW310" i="24" l="1"/>
  <c r="CV313" i="24"/>
  <c r="CX309" i="24"/>
  <c r="CW312" i="24"/>
  <c r="CV287" i="24"/>
  <c r="CV288" i="24" s="1"/>
  <c r="CV289" i="24" s="1"/>
  <c r="DQ2" i="24"/>
  <c r="CT1" i="24"/>
  <c r="CT290" i="24"/>
  <c r="DR4" i="24"/>
  <c r="DR9" i="10"/>
  <c r="DQ3" i="24" s="1"/>
  <c r="DS13" i="10"/>
  <c r="DS12" i="10"/>
  <c r="DT14" i="10"/>
  <c r="DT5" i="10" s="1"/>
  <c r="DU11" i="10"/>
  <c r="CY309" i="24" l="1"/>
  <c r="CX312" i="24"/>
  <c r="CW313" i="24"/>
  <c r="CX310" i="24"/>
  <c r="CW287" i="24"/>
  <c r="CW288" i="24" s="1"/>
  <c r="CW289" i="24" s="1"/>
  <c r="DR2" i="24"/>
  <c r="CU1" i="24"/>
  <c r="CU290" i="24"/>
  <c r="DS4" i="24"/>
  <c r="DS9" i="10"/>
  <c r="DR3" i="24" s="1"/>
  <c r="DT12" i="10"/>
  <c r="DT13" i="10"/>
  <c r="DU14" i="10"/>
  <c r="DU5" i="10" s="1"/>
  <c r="DV11" i="10"/>
  <c r="CX313" i="24" l="1"/>
  <c r="CY310" i="24"/>
  <c r="CZ309" i="24"/>
  <c r="CY312" i="24"/>
  <c r="CX287" i="24"/>
  <c r="CX288" i="24" s="1"/>
  <c r="CX289" i="24" s="1"/>
  <c r="DS2" i="24"/>
  <c r="CV1" i="24"/>
  <c r="CV290" i="24"/>
  <c r="DT4" i="24"/>
  <c r="DT9" i="10"/>
  <c r="DS3" i="24" s="1"/>
  <c r="DU12" i="10"/>
  <c r="DU13" i="10"/>
  <c r="DW11" i="10"/>
  <c r="DV14" i="10"/>
  <c r="DV5" i="10" s="1"/>
  <c r="DA309" i="24" l="1"/>
  <c r="CZ312" i="24"/>
  <c r="CY313" i="24"/>
  <c r="CZ310" i="24"/>
  <c r="CY287" i="24"/>
  <c r="CY288" i="24" s="1"/>
  <c r="CY289" i="24" s="1"/>
  <c r="DT2" i="24"/>
  <c r="CW1" i="24"/>
  <c r="CW290" i="24"/>
  <c r="DU4" i="24"/>
  <c r="DU9" i="10"/>
  <c r="DT3" i="24" s="1"/>
  <c r="DV12" i="10"/>
  <c r="DV13" i="10"/>
  <c r="DW14" i="10"/>
  <c r="DW5" i="10" s="1"/>
  <c r="DX11" i="10"/>
  <c r="CZ313" i="24" l="1"/>
  <c r="DA310" i="24"/>
  <c r="DB309" i="24"/>
  <c r="DA312" i="24"/>
  <c r="CZ287" i="24"/>
  <c r="CZ288" i="24" s="1"/>
  <c r="CZ289" i="24" s="1"/>
  <c r="DU2" i="24"/>
  <c r="CX1" i="24"/>
  <c r="CX290" i="24"/>
  <c r="DV4" i="24"/>
  <c r="DV9" i="10"/>
  <c r="DU3" i="24" s="1"/>
  <c r="DW13" i="10"/>
  <c r="DW12" i="10"/>
  <c r="DX14" i="10"/>
  <c r="DX5" i="10" s="1"/>
  <c r="DY11" i="10"/>
  <c r="DC309" i="24" l="1"/>
  <c r="DB312" i="24"/>
  <c r="DB310" i="24"/>
  <c r="DA313" i="24"/>
  <c r="DA287" i="24"/>
  <c r="DA288" i="24" s="1"/>
  <c r="DA289" i="24" s="1"/>
  <c r="DV2" i="24"/>
  <c r="CY1" i="24"/>
  <c r="CY290" i="24"/>
  <c r="DW4" i="24"/>
  <c r="DW9" i="10"/>
  <c r="DV3" i="24" s="1"/>
  <c r="DX13" i="10"/>
  <c r="DX12" i="10"/>
  <c r="DY14" i="10"/>
  <c r="DY5" i="10" s="1"/>
  <c r="DZ11" i="10"/>
  <c r="DB313" i="24" l="1"/>
  <c r="DC310" i="24"/>
  <c r="DD309" i="24"/>
  <c r="DC312" i="24"/>
  <c r="DB287" i="24"/>
  <c r="DB288" i="24" s="1"/>
  <c r="DB289" i="24" s="1"/>
  <c r="DW2" i="24"/>
  <c r="CZ1" i="24"/>
  <c r="CZ290" i="24"/>
  <c r="DX4" i="24"/>
  <c r="DX9" i="10"/>
  <c r="DW3" i="24" s="1"/>
  <c r="DY12" i="10"/>
  <c r="DY13" i="10"/>
  <c r="EA11" i="10"/>
  <c r="DZ14" i="10"/>
  <c r="DZ5" i="10" s="1"/>
  <c r="DE309" i="24" l="1"/>
  <c r="DD312" i="24"/>
  <c r="DD310" i="24"/>
  <c r="DC313" i="24"/>
  <c r="DC287" i="24"/>
  <c r="DC288" i="24" s="1"/>
  <c r="DC289" i="24" s="1"/>
  <c r="DX2" i="24"/>
  <c r="DA1" i="24"/>
  <c r="DA290" i="24"/>
  <c r="DY4" i="24"/>
  <c r="DY9" i="10"/>
  <c r="DX3" i="24" s="1"/>
  <c r="DZ12" i="10"/>
  <c r="DZ13" i="10"/>
  <c r="EA14" i="10"/>
  <c r="EA5" i="10" s="1"/>
  <c r="EB11" i="10"/>
  <c r="DD313" i="24" l="1"/>
  <c r="DE310" i="24"/>
  <c r="DF309" i="24"/>
  <c r="DE312" i="24"/>
  <c r="DD287" i="24"/>
  <c r="DD288" i="24" s="1"/>
  <c r="DD289" i="24" s="1"/>
  <c r="DY2" i="24"/>
  <c r="DB1" i="24"/>
  <c r="DB290" i="24"/>
  <c r="DZ4" i="24"/>
  <c r="DZ9" i="10"/>
  <c r="DY3" i="24" s="1"/>
  <c r="EA13" i="10"/>
  <c r="EA12" i="10"/>
  <c r="EB14" i="10"/>
  <c r="EB5" i="10" s="1"/>
  <c r="EC11" i="10"/>
  <c r="DG309" i="24" l="1"/>
  <c r="DF312" i="24"/>
  <c r="DE313" i="24"/>
  <c r="DF310" i="24"/>
  <c r="DE287" i="24"/>
  <c r="DE288" i="24" s="1"/>
  <c r="DE289" i="24" s="1"/>
  <c r="DZ2" i="24"/>
  <c r="DC1" i="24"/>
  <c r="DC290" i="24"/>
  <c r="EA4" i="24"/>
  <c r="EA9" i="10"/>
  <c r="DZ3" i="24" s="1"/>
  <c r="EB12" i="10"/>
  <c r="EB13" i="10"/>
  <c r="ED11" i="10"/>
  <c r="EC14" i="10"/>
  <c r="EC5" i="10" s="1"/>
  <c r="DF313" i="24" l="1"/>
  <c r="DG310" i="24"/>
  <c r="DH309" i="24"/>
  <c r="DG312" i="24"/>
  <c r="DF287" i="24"/>
  <c r="DF288" i="24" s="1"/>
  <c r="DF289" i="24" s="1"/>
  <c r="EA2" i="24"/>
  <c r="DD1" i="24"/>
  <c r="DD290" i="24"/>
  <c r="EB4" i="24"/>
  <c r="EB9" i="10"/>
  <c r="EA3" i="24" s="1"/>
  <c r="EC13" i="10"/>
  <c r="EC12" i="10"/>
  <c r="EE11" i="10"/>
  <c r="ED14" i="10"/>
  <c r="ED5" i="10" s="1"/>
  <c r="DI309" i="24" l="1"/>
  <c r="DH312" i="24"/>
  <c r="DH310" i="24"/>
  <c r="DG313" i="24"/>
  <c r="DG287" i="24"/>
  <c r="DG288" i="24" s="1"/>
  <c r="DG289" i="24" s="1"/>
  <c r="EB2" i="24"/>
  <c r="DE1" i="24"/>
  <c r="DE290" i="24"/>
  <c r="EC4" i="24"/>
  <c r="EC9" i="10"/>
  <c r="EB3" i="24" s="1"/>
  <c r="ED12" i="10"/>
  <c r="ED13" i="10"/>
  <c r="EE14" i="10"/>
  <c r="EE5" i="10" s="1"/>
  <c r="EF11" i="10"/>
  <c r="DH313" i="24" l="1"/>
  <c r="DI310" i="24"/>
  <c r="DJ309" i="24"/>
  <c r="DI312" i="24"/>
  <c r="DH287" i="24"/>
  <c r="DH288" i="24" s="1"/>
  <c r="DH289" i="24" s="1"/>
  <c r="EC2" i="24"/>
  <c r="DF1" i="24"/>
  <c r="DF290" i="24"/>
  <c r="ED4" i="24"/>
  <c r="ED9" i="10"/>
  <c r="EC3" i="24" s="1"/>
  <c r="EE13" i="10"/>
  <c r="EE12" i="10"/>
  <c r="EG11" i="10"/>
  <c r="EF14" i="10"/>
  <c r="EF5" i="10" s="1"/>
  <c r="DK309" i="24" l="1"/>
  <c r="DJ312" i="24"/>
  <c r="DJ310" i="24"/>
  <c r="DI313" i="24"/>
  <c r="DI287" i="24"/>
  <c r="DI288" i="24" s="1"/>
  <c r="DI289" i="24" s="1"/>
  <c r="ED2" i="24"/>
  <c r="DG1" i="24"/>
  <c r="DG290" i="24"/>
  <c r="EE4" i="24"/>
  <c r="EE9" i="10"/>
  <c r="ED3" i="24" s="1"/>
  <c r="EF12" i="10"/>
  <c r="EF13" i="10"/>
  <c r="EH11" i="10"/>
  <c r="EG14" i="10"/>
  <c r="EG5" i="10" s="1"/>
  <c r="DK310" i="24" l="1"/>
  <c r="DJ313" i="24"/>
  <c r="DL309" i="24"/>
  <c r="DK312" i="24"/>
  <c r="DJ287" i="24"/>
  <c r="DJ288" i="24" s="1"/>
  <c r="DJ289" i="24" s="1"/>
  <c r="EE2" i="24"/>
  <c r="DH1" i="24"/>
  <c r="DH290" i="24"/>
  <c r="EF4" i="24"/>
  <c r="EF9" i="10"/>
  <c r="EE3" i="24" s="1"/>
  <c r="EG13" i="10"/>
  <c r="EG12" i="10"/>
  <c r="EI11" i="10"/>
  <c r="EH14" i="10"/>
  <c r="EH5" i="10" s="1"/>
  <c r="DM309" i="24" l="1"/>
  <c r="DL312" i="24"/>
  <c r="DL310" i="24"/>
  <c r="DK313" i="24"/>
  <c r="DK287" i="24"/>
  <c r="DK288" i="24" s="1"/>
  <c r="DK289" i="24" s="1"/>
  <c r="EF2" i="24"/>
  <c r="DI1" i="24"/>
  <c r="DI290" i="24"/>
  <c r="EG4" i="24"/>
  <c r="EG9" i="10"/>
  <c r="EF3" i="24" s="1"/>
  <c r="EH12" i="10"/>
  <c r="EH13" i="10"/>
  <c r="EI14" i="10"/>
  <c r="EI5" i="10" s="1"/>
  <c r="EJ11" i="10"/>
  <c r="DM310" i="24" l="1"/>
  <c r="DL313" i="24"/>
  <c r="DN309" i="24"/>
  <c r="DM312" i="24"/>
  <c r="DL287" i="24"/>
  <c r="DL288" i="24" s="1"/>
  <c r="DL289" i="24" s="1"/>
  <c r="EG2" i="24"/>
  <c r="DJ1" i="24"/>
  <c r="DJ290" i="24"/>
  <c r="EH4" i="24"/>
  <c r="EH9" i="10"/>
  <c r="EG3" i="24" s="1"/>
  <c r="EI13" i="10"/>
  <c r="EI12" i="10"/>
  <c r="EK11" i="10"/>
  <c r="EJ14" i="10"/>
  <c r="EJ5" i="10" s="1"/>
  <c r="DO309" i="24" l="1"/>
  <c r="DN312" i="24"/>
  <c r="DM313" i="24"/>
  <c r="DN310" i="24"/>
  <c r="DM287" i="24"/>
  <c r="DM288" i="24" s="1"/>
  <c r="DM289" i="24" s="1"/>
  <c r="EH2" i="24"/>
  <c r="DK1" i="24"/>
  <c r="DK290" i="24"/>
  <c r="EI4" i="24"/>
  <c r="EI9" i="10"/>
  <c r="EH3" i="24" s="1"/>
  <c r="EJ12" i="10"/>
  <c r="EJ13" i="10"/>
  <c r="EL11" i="10"/>
  <c r="EK14" i="10"/>
  <c r="EK5" i="10" s="1"/>
  <c r="DO310" i="24" l="1"/>
  <c r="DN313" i="24"/>
  <c r="DP309" i="24"/>
  <c r="DO312" i="24"/>
  <c r="DN287" i="24"/>
  <c r="DN288" i="24" s="1"/>
  <c r="DN289" i="24" s="1"/>
  <c r="EI2" i="24"/>
  <c r="DL1" i="24"/>
  <c r="DL290" i="24"/>
  <c r="EJ4" i="24"/>
  <c r="EJ9" i="10"/>
  <c r="EI3" i="24" s="1"/>
  <c r="EK12" i="10"/>
  <c r="EK13" i="10"/>
  <c r="EM11" i="10"/>
  <c r="EL14" i="10"/>
  <c r="EL5" i="10" s="1"/>
  <c r="DQ309" i="24" l="1"/>
  <c r="DP312" i="24"/>
  <c r="DP310" i="24"/>
  <c r="DO313" i="24"/>
  <c r="DO287" i="24"/>
  <c r="DO288" i="24" s="1"/>
  <c r="DO289" i="24" s="1"/>
  <c r="EJ2" i="24"/>
  <c r="DM1" i="24"/>
  <c r="DM290" i="24"/>
  <c r="EK4" i="24"/>
  <c r="EK9" i="10"/>
  <c r="EJ3" i="24" s="1"/>
  <c r="EL12" i="10"/>
  <c r="EL13" i="10"/>
  <c r="EM14" i="10"/>
  <c r="EM5" i="10" s="1"/>
  <c r="EN11" i="10"/>
  <c r="DP313" i="24" l="1"/>
  <c r="DQ310" i="24"/>
  <c r="DR309" i="24"/>
  <c r="DQ312" i="24"/>
  <c r="DP287" i="24"/>
  <c r="DP288" i="24" s="1"/>
  <c r="DP289" i="24" s="1"/>
  <c r="EK2" i="24"/>
  <c r="DN1" i="24"/>
  <c r="DN290" i="24"/>
  <c r="EL4" i="24"/>
  <c r="EL9" i="10"/>
  <c r="EK3" i="24" s="1"/>
  <c r="EM13" i="10"/>
  <c r="EM12" i="10"/>
  <c r="EO11" i="10"/>
  <c r="EN14" i="10"/>
  <c r="EN5" i="10" s="1"/>
  <c r="DS309" i="24" l="1"/>
  <c r="DR312" i="24"/>
  <c r="DQ313" i="24"/>
  <c r="DR310" i="24"/>
  <c r="DQ287" i="24"/>
  <c r="DQ288" i="24" s="1"/>
  <c r="DQ289" i="24" s="1"/>
  <c r="EL2" i="24"/>
  <c r="DO1" i="24"/>
  <c r="DO290" i="24"/>
  <c r="EM4" i="24"/>
  <c r="EM9" i="10"/>
  <c r="EL3" i="24" s="1"/>
  <c r="EN13" i="10"/>
  <c r="EN12" i="10"/>
  <c r="EP11" i="10"/>
  <c r="EO14" i="10"/>
  <c r="EO5" i="10" s="1"/>
  <c r="DS310" i="24" l="1"/>
  <c r="DR313" i="24"/>
  <c r="DT309" i="24"/>
  <c r="DS312" i="24"/>
  <c r="DR287" i="24"/>
  <c r="DR288" i="24" s="1"/>
  <c r="DR289" i="24" s="1"/>
  <c r="EM2" i="24"/>
  <c r="DP1" i="24"/>
  <c r="DP290" i="24"/>
  <c r="EN4" i="24"/>
  <c r="EN9" i="10"/>
  <c r="EM3" i="24" s="1"/>
  <c r="EO12" i="10"/>
  <c r="EO13" i="10"/>
  <c r="EQ11" i="10"/>
  <c r="EP14" i="10"/>
  <c r="EP5" i="10" s="1"/>
  <c r="DU309" i="24" l="1"/>
  <c r="DT312" i="24"/>
  <c r="DT310" i="24"/>
  <c r="DS313" i="24"/>
  <c r="DS287" i="24"/>
  <c r="DS288" i="24" s="1"/>
  <c r="DS289" i="24" s="1"/>
  <c r="EN2" i="24"/>
  <c r="DQ1" i="24"/>
  <c r="DQ290" i="24"/>
  <c r="EO4" i="24"/>
  <c r="EO9" i="10"/>
  <c r="EN3" i="24" s="1"/>
  <c r="EP12" i="10"/>
  <c r="EP13" i="10"/>
  <c r="EQ14" i="10"/>
  <c r="EQ5" i="10" s="1"/>
  <c r="ER11" i="10"/>
  <c r="DU310" i="24" l="1"/>
  <c r="DT313" i="24"/>
  <c r="DV309" i="24"/>
  <c r="DU312" i="24"/>
  <c r="DT287" i="24"/>
  <c r="DT288" i="24" s="1"/>
  <c r="DT289" i="24" s="1"/>
  <c r="EO2" i="24"/>
  <c r="DR1" i="24"/>
  <c r="DR290" i="24"/>
  <c r="EP4" i="24"/>
  <c r="EP9" i="10"/>
  <c r="EO3" i="24" s="1"/>
  <c r="EQ12" i="10"/>
  <c r="EQ13" i="10"/>
  <c r="ES11" i="10"/>
  <c r="ER14" i="10"/>
  <c r="ER5" i="10" s="1"/>
  <c r="DW309" i="24" l="1"/>
  <c r="DV312" i="24"/>
  <c r="DV310" i="24"/>
  <c r="DU313" i="24"/>
  <c r="DU287" i="24"/>
  <c r="DU288" i="24" s="1"/>
  <c r="DU289" i="24" s="1"/>
  <c r="EP2" i="24"/>
  <c r="DS1" i="24"/>
  <c r="DS290" i="24"/>
  <c r="EQ4" i="24"/>
  <c r="EQ9" i="10"/>
  <c r="EP3" i="24" s="1"/>
  <c r="ER13" i="10"/>
  <c r="ER12" i="10"/>
  <c r="ET11" i="10"/>
  <c r="ES14" i="10"/>
  <c r="ES5" i="10" s="1"/>
  <c r="DW310" i="24" l="1"/>
  <c r="DV313" i="24"/>
  <c r="DX309" i="24"/>
  <c r="DW312" i="24"/>
  <c r="DV287" i="24"/>
  <c r="DV288" i="24" s="1"/>
  <c r="DV289" i="24" s="1"/>
  <c r="EQ2" i="24"/>
  <c r="DT1" i="24"/>
  <c r="DT290" i="24"/>
  <c r="ER4" i="24"/>
  <c r="ER9" i="10"/>
  <c r="EQ3" i="24" s="1"/>
  <c r="ES13" i="10"/>
  <c r="ES12" i="10"/>
  <c r="ET14" i="10"/>
  <c r="ET5" i="10" s="1"/>
  <c r="EU11" i="10"/>
  <c r="DY309" i="24" l="1"/>
  <c r="DX312" i="24"/>
  <c r="DX310" i="24"/>
  <c r="DW313" i="24"/>
  <c r="DW287" i="24"/>
  <c r="DW288" i="24" s="1"/>
  <c r="DW289" i="24" s="1"/>
  <c r="ER2" i="24"/>
  <c r="DU1" i="24"/>
  <c r="DU290" i="24"/>
  <c r="ES4" i="24"/>
  <c r="ES9" i="10"/>
  <c r="ER3" i="24" s="1"/>
  <c r="ET12" i="10"/>
  <c r="ET13" i="10"/>
  <c r="EU14" i="10"/>
  <c r="EU5" i="10" s="1"/>
  <c r="EV11" i="10"/>
  <c r="DY310" i="24" l="1"/>
  <c r="DX313" i="24"/>
  <c r="DZ309" i="24"/>
  <c r="DY312" i="24"/>
  <c r="DX287" i="24"/>
  <c r="DX288" i="24" s="1"/>
  <c r="DX289" i="24" s="1"/>
  <c r="ES2" i="24"/>
  <c r="DV1" i="24"/>
  <c r="DV290" i="24"/>
  <c r="ET4" i="24"/>
  <c r="ET9" i="10"/>
  <c r="ES3" i="24" s="1"/>
  <c r="EU12" i="10"/>
  <c r="EU13" i="10"/>
  <c r="EW11" i="10"/>
  <c r="EV14" i="10"/>
  <c r="EV5" i="10" s="1"/>
  <c r="EA309" i="24" l="1"/>
  <c r="DZ312" i="24"/>
  <c r="DY313" i="24"/>
  <c r="DZ310" i="24"/>
  <c r="DY287" i="24"/>
  <c r="DY288" i="24" s="1"/>
  <c r="DY289" i="24" s="1"/>
  <c r="ET2" i="24"/>
  <c r="DW1" i="24"/>
  <c r="DW290" i="24"/>
  <c r="EU4" i="24"/>
  <c r="EU9" i="10"/>
  <c r="ET3" i="24" s="1"/>
  <c r="EV13" i="10"/>
  <c r="EV12" i="10"/>
  <c r="EX11" i="10"/>
  <c r="EW14" i="10"/>
  <c r="EW5" i="10" s="1"/>
  <c r="EA310" i="24" l="1"/>
  <c r="DZ313" i="24"/>
  <c r="EB309" i="24"/>
  <c r="EA312" i="24"/>
  <c r="DZ287" i="24"/>
  <c r="DZ288" i="24" s="1"/>
  <c r="DZ289" i="24" s="1"/>
  <c r="EU2" i="24"/>
  <c r="DX1" i="24"/>
  <c r="DX290" i="24"/>
  <c r="EV4" i="24"/>
  <c r="EV9" i="10"/>
  <c r="EU3" i="24" s="1"/>
  <c r="EW13" i="10"/>
  <c r="EW12" i="10"/>
  <c r="EY11" i="10"/>
  <c r="EX14" i="10"/>
  <c r="EX5" i="10" s="1"/>
  <c r="EC309" i="24" l="1"/>
  <c r="EB312" i="24"/>
  <c r="EB310" i="24"/>
  <c r="EA313" i="24"/>
  <c r="EA287" i="24"/>
  <c r="EA288" i="24" s="1"/>
  <c r="EA289" i="24" s="1"/>
  <c r="EV2" i="24"/>
  <c r="DY1" i="24"/>
  <c r="DY290" i="24"/>
  <c r="EW4" i="24"/>
  <c r="EW9" i="10"/>
  <c r="EV3" i="24" s="1"/>
  <c r="EX12" i="10"/>
  <c r="EX13" i="10"/>
  <c r="EY14" i="10"/>
  <c r="EY5" i="10" s="1"/>
  <c r="EZ11" i="10"/>
  <c r="EC310" i="24" l="1"/>
  <c r="EB313" i="24"/>
  <c r="ED309" i="24"/>
  <c r="EC312" i="24"/>
  <c r="EB287" i="24"/>
  <c r="EB288" i="24" s="1"/>
  <c r="EB289" i="24" s="1"/>
  <c r="EW2" i="24"/>
  <c r="DZ1" i="24"/>
  <c r="DZ290" i="24"/>
  <c r="EX4" i="24"/>
  <c r="EX9" i="10"/>
  <c r="EW3" i="24" s="1"/>
  <c r="EY12" i="10"/>
  <c r="EY13" i="10"/>
  <c r="FA11" i="10"/>
  <c r="EZ14" i="10"/>
  <c r="EZ5" i="10" s="1"/>
  <c r="EE309" i="24" l="1"/>
  <c r="ED312" i="24"/>
  <c r="ED310" i="24"/>
  <c r="EC313" i="24"/>
  <c r="EC287" i="24"/>
  <c r="EC288" i="24" s="1"/>
  <c r="EC289" i="24" s="1"/>
  <c r="EX2" i="24"/>
  <c r="EA1" i="24"/>
  <c r="EA290" i="24"/>
  <c r="EY4" i="24"/>
  <c r="EY9" i="10"/>
  <c r="EX3" i="24" s="1"/>
  <c r="EZ12" i="10"/>
  <c r="EZ13" i="10"/>
  <c r="FB11" i="10"/>
  <c r="FA14" i="10"/>
  <c r="FA5" i="10" s="1"/>
  <c r="EE310" i="24" l="1"/>
  <c r="ED313" i="24"/>
  <c r="EF309" i="24"/>
  <c r="EE312" i="24"/>
  <c r="ED287" i="24"/>
  <c r="ED288" i="24" s="1"/>
  <c r="ED289" i="24" s="1"/>
  <c r="EY2" i="24"/>
  <c r="EB1" i="24"/>
  <c r="EB290" i="24"/>
  <c r="EZ4" i="24"/>
  <c r="EZ9" i="10"/>
  <c r="EY3" i="24" s="1"/>
  <c r="FA12" i="10"/>
  <c r="FA13" i="10"/>
  <c r="FB14" i="10"/>
  <c r="FB5" i="10" s="1"/>
  <c r="FC11" i="10"/>
  <c r="EG309" i="24" l="1"/>
  <c r="EF312" i="24"/>
  <c r="EF310" i="24"/>
  <c r="EE313" i="24"/>
  <c r="EE287" i="24"/>
  <c r="EE288" i="24" s="1"/>
  <c r="EE289" i="24" s="1"/>
  <c r="EZ2" i="24"/>
  <c r="EC1" i="24"/>
  <c r="EC290" i="24"/>
  <c r="FA4" i="24"/>
  <c r="FA9" i="10"/>
  <c r="EZ3" i="24" s="1"/>
  <c r="FB12" i="10"/>
  <c r="FB13" i="10"/>
  <c r="FD11" i="10"/>
  <c r="FC14" i="10"/>
  <c r="FC5" i="10" s="1"/>
  <c r="EG310" i="24" l="1"/>
  <c r="EF313" i="24"/>
  <c r="EH309" i="24"/>
  <c r="EG312" i="24"/>
  <c r="EF287" i="24"/>
  <c r="EF288" i="24" s="1"/>
  <c r="EF289" i="24" s="1"/>
  <c r="FA2" i="24"/>
  <c r="ED1" i="24"/>
  <c r="ED290" i="24"/>
  <c r="FB4" i="24"/>
  <c r="FB9" i="10"/>
  <c r="FA3" i="24" s="1"/>
  <c r="FC12" i="10"/>
  <c r="FC13" i="10"/>
  <c r="FD14" i="10"/>
  <c r="FD5" i="10" s="1"/>
  <c r="FE11" i="10"/>
  <c r="EI309" i="24" l="1"/>
  <c r="EH312" i="24"/>
  <c r="EG313" i="24"/>
  <c r="EH310" i="24"/>
  <c r="EG287" i="24"/>
  <c r="EG288" i="24" s="1"/>
  <c r="EG289" i="24" s="1"/>
  <c r="FB2" i="24"/>
  <c r="EE1" i="24"/>
  <c r="EE290" i="24"/>
  <c r="FC4" i="24"/>
  <c r="FC9" i="10"/>
  <c r="FB3" i="24" s="1"/>
  <c r="FD13" i="10"/>
  <c r="FD12" i="10"/>
  <c r="FE14" i="10"/>
  <c r="FE5" i="10" s="1"/>
  <c r="FF11" i="10"/>
  <c r="EI310" i="24" l="1"/>
  <c r="EH313" i="24"/>
  <c r="EJ309" i="24"/>
  <c r="EI312" i="24"/>
  <c r="EH287" i="24"/>
  <c r="EH288" i="24" s="1"/>
  <c r="EH289" i="24" s="1"/>
  <c r="FC2" i="24"/>
  <c r="EF1" i="24"/>
  <c r="EF290" i="24"/>
  <c r="FD4" i="24"/>
  <c r="FD9" i="10"/>
  <c r="FC3" i="24" s="1"/>
  <c r="FE12" i="10"/>
  <c r="FE13" i="10"/>
  <c r="FF14" i="10"/>
  <c r="FF5" i="10" s="1"/>
  <c r="FG11" i="10"/>
  <c r="EK309" i="24" l="1"/>
  <c r="EJ312" i="24"/>
  <c r="EJ310" i="24"/>
  <c r="EI313" i="24"/>
  <c r="EI287" i="24"/>
  <c r="EI288" i="24" s="1"/>
  <c r="EI289" i="24" s="1"/>
  <c r="FD2" i="24"/>
  <c r="EG1" i="24"/>
  <c r="EG290" i="24"/>
  <c r="FE4" i="24"/>
  <c r="FE9" i="10"/>
  <c r="FD3" i="24" s="1"/>
  <c r="FF12" i="10"/>
  <c r="FF13" i="10"/>
  <c r="FH11" i="10"/>
  <c r="FG14" i="10"/>
  <c r="FG5" i="10" s="1"/>
  <c r="EJ313" i="24" l="1"/>
  <c r="EK310" i="24"/>
  <c r="EL309" i="24"/>
  <c r="EK312" i="24"/>
  <c r="EJ287" i="24"/>
  <c r="EJ288" i="24" s="1"/>
  <c r="EJ289" i="24" s="1"/>
  <c r="FE2" i="24"/>
  <c r="EH1" i="24"/>
  <c r="EH290" i="24"/>
  <c r="FF4" i="24"/>
  <c r="FF9" i="10"/>
  <c r="FE3" i="24" s="1"/>
  <c r="FG12" i="10"/>
  <c r="FG13" i="10"/>
  <c r="FH14" i="10"/>
  <c r="FH5" i="10" s="1"/>
  <c r="FI11" i="10"/>
  <c r="EL310" i="24" l="1"/>
  <c r="EK313" i="24"/>
  <c r="EM309" i="24"/>
  <c r="EL312" i="24"/>
  <c r="EK287" i="24"/>
  <c r="EK288" i="24" s="1"/>
  <c r="EK289" i="24" s="1"/>
  <c r="FF2" i="24"/>
  <c r="EI1" i="24"/>
  <c r="EI290" i="24"/>
  <c r="FG4" i="24"/>
  <c r="FG9" i="10"/>
  <c r="FF3" i="24" s="1"/>
  <c r="FH13" i="10"/>
  <c r="FH12" i="10"/>
  <c r="FI14" i="10"/>
  <c r="FI5" i="10" s="1"/>
  <c r="FJ11" i="10"/>
  <c r="EN309" i="24" l="1"/>
  <c r="EM312" i="24"/>
  <c r="EM310" i="24"/>
  <c r="EL313" i="24"/>
  <c r="EL287" i="24"/>
  <c r="EL288" i="24" s="1"/>
  <c r="EL289" i="24" s="1"/>
  <c r="FG2" i="24"/>
  <c r="EJ1" i="24"/>
  <c r="EJ290" i="24"/>
  <c r="FH4" i="24"/>
  <c r="FH9" i="10"/>
  <c r="FG3" i="24" s="1"/>
  <c r="FI13" i="10"/>
  <c r="FI12" i="10"/>
  <c r="FJ14" i="10"/>
  <c r="FJ5" i="10" s="1"/>
  <c r="FK11" i="10"/>
  <c r="EN310" i="24" l="1"/>
  <c r="EM313" i="24"/>
  <c r="EO309" i="24"/>
  <c r="EN312" i="24"/>
  <c r="EM287" i="24"/>
  <c r="EM288" i="24" s="1"/>
  <c r="EM289" i="24" s="1"/>
  <c r="FH2" i="24"/>
  <c r="EK1" i="24"/>
  <c r="EK290" i="24"/>
  <c r="FI4" i="24"/>
  <c r="FI9" i="10"/>
  <c r="FH3" i="24" s="1"/>
  <c r="FJ12" i="10"/>
  <c r="FJ13" i="10"/>
  <c r="FL11" i="10"/>
  <c r="FK14" i="10"/>
  <c r="FK5" i="10" s="1"/>
  <c r="EP309" i="24" l="1"/>
  <c r="EO312" i="24"/>
  <c r="EO310" i="24"/>
  <c r="EN313" i="24"/>
  <c r="EN287" i="24"/>
  <c r="EN288" i="24" s="1"/>
  <c r="EN289" i="24" s="1"/>
  <c r="FI2" i="24"/>
  <c r="EL1" i="24"/>
  <c r="EL290" i="24"/>
  <c r="FJ4" i="24"/>
  <c r="FJ9" i="10"/>
  <c r="FI3" i="24" s="1"/>
  <c r="FK12" i="10"/>
  <c r="FK13" i="10"/>
  <c r="FL14" i="10"/>
  <c r="FL5" i="10" s="1"/>
  <c r="FM11" i="10"/>
  <c r="EP310" i="24" l="1"/>
  <c r="EO313" i="24"/>
  <c r="EQ309" i="24"/>
  <c r="EP312" i="24"/>
  <c r="EO287" i="24"/>
  <c r="EO288" i="24" s="1"/>
  <c r="EO289" i="24" s="1"/>
  <c r="FJ2" i="24"/>
  <c r="EM1" i="24"/>
  <c r="EM290" i="24"/>
  <c r="FK4" i="24"/>
  <c r="FK9" i="10"/>
  <c r="FJ3" i="24" s="1"/>
  <c r="FL13" i="10"/>
  <c r="FL12" i="10"/>
  <c r="FM14" i="10"/>
  <c r="FM5" i="10" s="1"/>
  <c r="FN11" i="10"/>
  <c r="ER309" i="24" l="1"/>
  <c r="EQ312" i="24"/>
  <c r="EQ310" i="24"/>
  <c r="EP313" i="24"/>
  <c r="EP287" i="24"/>
  <c r="EP288" i="24" s="1"/>
  <c r="EP289" i="24" s="1"/>
  <c r="FK2" i="24"/>
  <c r="EN1" i="24"/>
  <c r="EN290" i="24"/>
  <c r="FL4" i="24"/>
  <c r="FL9" i="10"/>
  <c r="FK3" i="24" s="1"/>
  <c r="FM13" i="10"/>
  <c r="FM12" i="10"/>
  <c r="FN14" i="10"/>
  <c r="FN5" i="10" s="1"/>
  <c r="FO11" i="10"/>
  <c r="ER310" i="24" l="1"/>
  <c r="EQ313" i="24"/>
  <c r="ES309" i="24"/>
  <c r="ER312" i="24"/>
  <c r="EQ287" i="24"/>
  <c r="EQ288" i="24" s="1"/>
  <c r="EQ289" i="24" s="1"/>
  <c r="FL2" i="24"/>
  <c r="EO1" i="24"/>
  <c r="EO290" i="24"/>
  <c r="FM4" i="24"/>
  <c r="FM9" i="10"/>
  <c r="FL3" i="24" s="1"/>
  <c r="FN12" i="10"/>
  <c r="FN13" i="10"/>
  <c r="FP11" i="10"/>
  <c r="FO14" i="10"/>
  <c r="FO5" i="10" s="1"/>
  <c r="ET309" i="24" l="1"/>
  <c r="ES312" i="24"/>
  <c r="ES310" i="24"/>
  <c r="ER313" i="24"/>
  <c r="ER287" i="24"/>
  <c r="ER288" i="24" s="1"/>
  <c r="ER289" i="24" s="1"/>
  <c r="FM2" i="24"/>
  <c r="EP1" i="24"/>
  <c r="EP290" i="24"/>
  <c r="FN4" i="24"/>
  <c r="FN9" i="10"/>
  <c r="FM3" i="24" s="1"/>
  <c r="FO13" i="10"/>
  <c r="FO12" i="10"/>
  <c r="FP14" i="10"/>
  <c r="FP5" i="10" s="1"/>
  <c r="FQ11" i="10"/>
  <c r="ET310" i="24" l="1"/>
  <c r="ES313" i="24"/>
  <c r="EU309" i="24"/>
  <c r="ET312" i="24"/>
  <c r="ES287" i="24"/>
  <c r="ES288" i="24" s="1"/>
  <c r="ES289" i="24" s="1"/>
  <c r="FN2" i="24"/>
  <c r="EQ1" i="24"/>
  <c r="EQ290" i="24"/>
  <c r="FO4" i="24"/>
  <c r="FO9" i="10"/>
  <c r="FN3" i="24" s="1"/>
  <c r="FP12" i="10"/>
  <c r="FP13" i="10"/>
  <c r="FQ14" i="10"/>
  <c r="FQ5" i="10" s="1"/>
  <c r="FR11" i="10"/>
  <c r="EV309" i="24" l="1"/>
  <c r="EU312" i="24"/>
  <c r="EU310" i="24"/>
  <c r="ET313" i="24"/>
  <c r="ET287" i="24"/>
  <c r="ET288" i="24" s="1"/>
  <c r="ET289" i="24" s="1"/>
  <c r="FO2" i="24"/>
  <c r="ER1" i="24"/>
  <c r="ER290" i="24"/>
  <c r="FP4" i="24"/>
  <c r="FP9" i="10"/>
  <c r="FO3" i="24" s="1"/>
  <c r="FQ12" i="10"/>
  <c r="FQ13" i="10"/>
  <c r="FR14" i="10"/>
  <c r="FR5" i="10" s="1"/>
  <c r="FS11" i="10"/>
  <c r="EV310" i="24" l="1"/>
  <c r="EU313" i="24"/>
  <c r="EW309" i="24"/>
  <c r="EV312" i="24"/>
  <c r="EU287" i="24"/>
  <c r="EU288" i="24" s="1"/>
  <c r="EU289" i="24" s="1"/>
  <c r="FP2" i="24"/>
  <c r="ES1" i="24"/>
  <c r="ES290" i="24"/>
  <c r="FQ4" i="24"/>
  <c r="FQ9" i="10"/>
  <c r="FP3" i="24" s="1"/>
  <c r="FR12" i="10"/>
  <c r="FR13" i="10"/>
  <c r="FT11" i="10"/>
  <c r="FS14" i="10"/>
  <c r="FS5" i="10" s="1"/>
  <c r="EX309" i="24" l="1"/>
  <c r="EW312" i="24"/>
  <c r="EW310" i="24"/>
  <c r="EV313" i="24"/>
  <c r="EV287" i="24"/>
  <c r="EV288" i="24" s="1"/>
  <c r="EV289" i="24" s="1"/>
  <c r="FQ2" i="24"/>
  <c r="ET1" i="24"/>
  <c r="ET290" i="24"/>
  <c r="FR4" i="24"/>
  <c r="FR9" i="10"/>
  <c r="FQ3" i="24" s="1"/>
  <c r="FS12" i="10"/>
  <c r="FS13" i="10"/>
  <c r="FT14" i="10"/>
  <c r="FT5" i="10" s="1"/>
  <c r="FU11" i="10"/>
  <c r="EX310" i="24" l="1"/>
  <c r="EW313" i="24"/>
  <c r="EY309" i="24"/>
  <c r="EX312" i="24"/>
  <c r="EW287" i="24"/>
  <c r="EW288" i="24" s="1"/>
  <c r="EW289" i="24" s="1"/>
  <c r="FR2" i="24"/>
  <c r="EU1" i="24"/>
  <c r="EU290" i="24"/>
  <c r="FS4" i="24"/>
  <c r="FS9" i="10"/>
  <c r="FR3" i="24" s="1"/>
  <c r="FT13" i="10"/>
  <c r="FT12" i="10"/>
  <c r="FU14" i="10"/>
  <c r="FU5" i="10" s="1"/>
  <c r="FV11" i="10"/>
  <c r="EZ309" i="24" l="1"/>
  <c r="EY312" i="24"/>
  <c r="EY310" i="24"/>
  <c r="EX313" i="24"/>
  <c r="EX287" i="24"/>
  <c r="EX288" i="24" s="1"/>
  <c r="EX289" i="24" s="1"/>
  <c r="FS2" i="24"/>
  <c r="EV1" i="24"/>
  <c r="EV290" i="24"/>
  <c r="FT4" i="24"/>
  <c r="FT9" i="10"/>
  <c r="FS3" i="24" s="1"/>
  <c r="FU12" i="10"/>
  <c r="FU13" i="10"/>
  <c r="FV14" i="10"/>
  <c r="FV5" i="10" s="1"/>
  <c r="FW11" i="10"/>
  <c r="EZ310" i="24" l="1"/>
  <c r="EY313" i="24"/>
  <c r="FA309" i="24"/>
  <c r="EZ312" i="24"/>
  <c r="EY287" i="24"/>
  <c r="EY288" i="24" s="1"/>
  <c r="EY289" i="24" s="1"/>
  <c r="FT2" i="24"/>
  <c r="EW1" i="24"/>
  <c r="EW290" i="24"/>
  <c r="FU4" i="24"/>
  <c r="FU9" i="10"/>
  <c r="FT3" i="24" s="1"/>
  <c r="FV12" i="10"/>
  <c r="FV13" i="10"/>
  <c r="FX11" i="10"/>
  <c r="FW14" i="10"/>
  <c r="FW5" i="10" s="1"/>
  <c r="FB309" i="24" l="1"/>
  <c r="FA312" i="24"/>
  <c r="FA310" i="24"/>
  <c r="EZ313" i="24"/>
  <c r="EZ287" i="24"/>
  <c r="EZ288" i="24" s="1"/>
  <c r="EZ289" i="24" s="1"/>
  <c r="FU2" i="24"/>
  <c r="EX1" i="24"/>
  <c r="EX290" i="24"/>
  <c r="FV4" i="24"/>
  <c r="FV9" i="10"/>
  <c r="FU3" i="24" s="1"/>
  <c r="FW12" i="10"/>
  <c r="FW13" i="10"/>
  <c r="FX14" i="10"/>
  <c r="FX5" i="10" s="1"/>
  <c r="FY11" i="10"/>
  <c r="FB310" i="24" l="1"/>
  <c r="FA313" i="24"/>
  <c r="FC309" i="24"/>
  <c r="FB312" i="24"/>
  <c r="FA287" i="24"/>
  <c r="FA288" i="24" s="1"/>
  <c r="FA289" i="24" s="1"/>
  <c r="FV2" i="24"/>
  <c r="EY1" i="24"/>
  <c r="EY290" i="24"/>
  <c r="FW4" i="24"/>
  <c r="FW9" i="10"/>
  <c r="FV3" i="24" s="1"/>
  <c r="FX13" i="10"/>
  <c r="FX12" i="10"/>
  <c r="FY14" i="10"/>
  <c r="FY5" i="10" s="1"/>
  <c r="FZ11" i="10"/>
  <c r="FD309" i="24" l="1"/>
  <c r="FC312" i="24"/>
  <c r="FB313" i="24"/>
  <c r="FC310" i="24"/>
  <c r="FB287" i="24"/>
  <c r="FB288" i="24" s="1"/>
  <c r="FB289" i="24" s="1"/>
  <c r="FW2" i="24"/>
  <c r="EZ1" i="24"/>
  <c r="EZ290" i="24"/>
  <c r="FX4" i="24"/>
  <c r="FX9" i="10"/>
  <c r="FW3" i="24" s="1"/>
  <c r="FY13" i="10"/>
  <c r="FY12" i="10"/>
  <c r="FZ14" i="10"/>
  <c r="FZ5" i="10" s="1"/>
  <c r="GA11" i="10"/>
  <c r="FD310" i="24" l="1"/>
  <c r="FC313" i="24"/>
  <c r="FE309" i="24"/>
  <c r="FD312" i="24"/>
  <c r="FC287" i="24"/>
  <c r="FC288" i="24" s="1"/>
  <c r="FC289" i="24" s="1"/>
  <c r="FX2" i="24"/>
  <c r="FA1" i="24"/>
  <c r="FA290" i="24"/>
  <c r="FY4" i="24"/>
  <c r="FY9" i="10"/>
  <c r="FX3" i="24" s="1"/>
  <c r="FZ12" i="10"/>
  <c r="FZ13" i="10"/>
  <c r="GA14" i="10"/>
  <c r="GA5" i="10" s="1"/>
  <c r="GB11" i="10"/>
  <c r="FF309" i="24" l="1"/>
  <c r="FE312" i="24"/>
  <c r="FD313" i="24"/>
  <c r="FE310" i="24"/>
  <c r="FD287" i="24"/>
  <c r="FD288" i="24" s="1"/>
  <c r="FD289" i="24" s="1"/>
  <c r="FY2" i="24"/>
  <c r="FB1" i="24"/>
  <c r="FB290" i="24"/>
  <c r="FZ4" i="24"/>
  <c r="FZ9" i="10"/>
  <c r="FY3" i="24" s="1"/>
  <c r="GA12" i="10"/>
  <c r="GA13" i="10"/>
  <c r="GC11" i="10"/>
  <c r="GB14" i="10"/>
  <c r="GB5" i="10" s="1"/>
  <c r="FF310" i="24" l="1"/>
  <c r="FE313" i="24"/>
  <c r="FG309" i="24"/>
  <c r="FF312" i="24"/>
  <c r="FE287" i="24"/>
  <c r="FE288" i="24" s="1"/>
  <c r="FE289" i="24" s="1"/>
  <c r="FZ2" i="24"/>
  <c r="FC1" i="24"/>
  <c r="FC290" i="24"/>
  <c r="GA4" i="24"/>
  <c r="GA9" i="10"/>
  <c r="FZ3" i="24" s="1"/>
  <c r="GB13" i="10"/>
  <c r="GB12" i="10"/>
  <c r="GD11" i="10"/>
  <c r="GC14" i="10"/>
  <c r="GC5" i="10" s="1"/>
  <c r="FH309" i="24" l="1"/>
  <c r="FG312" i="24"/>
  <c r="FG310" i="24"/>
  <c r="FF313" i="24"/>
  <c r="FF287" i="24"/>
  <c r="FF288" i="24" s="1"/>
  <c r="FF289" i="24" s="1"/>
  <c r="GA2" i="24"/>
  <c r="FD1" i="24"/>
  <c r="FD290" i="24"/>
  <c r="GB4" i="24"/>
  <c r="GB9" i="10"/>
  <c r="GA3" i="24" s="1"/>
  <c r="GC13" i="10"/>
  <c r="GC12" i="10"/>
  <c r="GE11" i="10"/>
  <c r="GD14" i="10"/>
  <c r="GD5" i="10" s="1"/>
  <c r="FH310" i="24" l="1"/>
  <c r="FG313" i="24"/>
  <c r="FI309" i="24"/>
  <c r="FH312" i="24"/>
  <c r="FG287" i="24"/>
  <c r="FG288" i="24" s="1"/>
  <c r="FG289" i="24" s="1"/>
  <c r="GB2" i="24"/>
  <c r="FE1" i="24"/>
  <c r="FE290" i="24"/>
  <c r="GC4" i="24"/>
  <c r="GC9" i="10"/>
  <c r="GB3" i="24" s="1"/>
  <c r="GD12" i="10"/>
  <c r="GD13" i="10"/>
  <c r="GE14" i="10"/>
  <c r="GE5" i="10" s="1"/>
  <c r="GF11" i="10"/>
  <c r="FJ309" i="24" l="1"/>
  <c r="FI312" i="24"/>
  <c r="FH313" i="24"/>
  <c r="FI310" i="24"/>
  <c r="FH287" i="24"/>
  <c r="FH288" i="24" s="1"/>
  <c r="FH289" i="24" s="1"/>
  <c r="GC2" i="24"/>
  <c r="FF1" i="24"/>
  <c r="FF290" i="24"/>
  <c r="GD4" i="24"/>
  <c r="GD9" i="10"/>
  <c r="GC3" i="24" s="1"/>
  <c r="GE12" i="10"/>
  <c r="GE13" i="10"/>
  <c r="GG11" i="10"/>
  <c r="GF14" i="10"/>
  <c r="GF5" i="10" s="1"/>
  <c r="FI313" i="24" l="1"/>
  <c r="FJ310" i="24"/>
  <c r="FK309" i="24"/>
  <c r="FJ312" i="24"/>
  <c r="FI287" i="24"/>
  <c r="FI288" i="24" s="1"/>
  <c r="FI289" i="24" s="1"/>
  <c r="GD2" i="24"/>
  <c r="FG1" i="24"/>
  <c r="FG290" i="24"/>
  <c r="GE4" i="24"/>
  <c r="GE9" i="10"/>
  <c r="GD3" i="24" s="1"/>
  <c r="GF12" i="10"/>
  <c r="GF13" i="10"/>
  <c r="GH11" i="10"/>
  <c r="GG14" i="10"/>
  <c r="GG5" i="10" s="1"/>
  <c r="FL309" i="24" l="1"/>
  <c r="FK312" i="24"/>
  <c r="FK310" i="24"/>
  <c r="FJ313" i="24"/>
  <c r="FJ287" i="24"/>
  <c r="FJ288" i="24" s="1"/>
  <c r="FJ289" i="24" s="1"/>
  <c r="GE2" i="24"/>
  <c r="FH1" i="24"/>
  <c r="FH290" i="24"/>
  <c r="GF4" i="24"/>
  <c r="GF9" i="10"/>
  <c r="GE3" i="24" s="1"/>
  <c r="GG12" i="10"/>
  <c r="GG13" i="10"/>
  <c r="GI11" i="10"/>
  <c r="GH14" i="10"/>
  <c r="GH5" i="10" s="1"/>
  <c r="FK313" i="24" l="1"/>
  <c r="FL310" i="24"/>
  <c r="FM309" i="24"/>
  <c r="FL312" i="24"/>
  <c r="FK287" i="24"/>
  <c r="FK288" i="24" s="1"/>
  <c r="FK289" i="24" s="1"/>
  <c r="GF2" i="24"/>
  <c r="FI1" i="24"/>
  <c r="FI290" i="24"/>
  <c r="GG4" i="24"/>
  <c r="GG9" i="10"/>
  <c r="GF3" i="24" s="1"/>
  <c r="GH12" i="10"/>
  <c r="GH13" i="10"/>
  <c r="GI14" i="10"/>
  <c r="GI5" i="10" s="1"/>
  <c r="GJ11" i="10"/>
  <c r="FM310" i="24" l="1"/>
  <c r="FL313" i="24"/>
  <c r="FN309" i="24"/>
  <c r="FM312" i="24"/>
  <c r="FL287" i="24"/>
  <c r="FL288" i="24" s="1"/>
  <c r="FL289" i="24" s="1"/>
  <c r="GG2" i="24"/>
  <c r="FJ1" i="24"/>
  <c r="FJ290" i="24"/>
  <c r="GH4" i="24"/>
  <c r="GH9" i="10"/>
  <c r="GG3" i="24" s="1"/>
  <c r="GI12" i="10"/>
  <c r="GI13" i="10"/>
  <c r="GK11" i="10"/>
  <c r="GJ14" i="10"/>
  <c r="GJ5" i="10" s="1"/>
  <c r="FO309" i="24" l="1"/>
  <c r="FN312" i="24"/>
  <c r="FM313" i="24"/>
  <c r="FN310" i="24"/>
  <c r="FM287" i="24"/>
  <c r="FM288" i="24" s="1"/>
  <c r="FM289" i="24" s="1"/>
  <c r="GH2" i="24"/>
  <c r="FK1" i="24"/>
  <c r="FK290" i="24"/>
  <c r="GI4" i="24"/>
  <c r="GI9" i="10"/>
  <c r="GH3" i="24" s="1"/>
  <c r="GJ13" i="10"/>
  <c r="GJ12" i="10"/>
  <c r="GL11" i="10"/>
  <c r="GK14" i="10"/>
  <c r="GK5" i="10" s="1"/>
  <c r="FO310" i="24" l="1"/>
  <c r="FN313" i="24"/>
  <c r="FP309" i="24"/>
  <c r="FO312" i="24"/>
  <c r="FN287" i="24"/>
  <c r="FN288" i="24" s="1"/>
  <c r="FN289" i="24" s="1"/>
  <c r="GI2" i="24"/>
  <c r="FL1" i="24"/>
  <c r="FL290" i="24"/>
  <c r="GJ4" i="24"/>
  <c r="GJ9" i="10"/>
  <c r="GI3" i="24" s="1"/>
  <c r="GK12" i="10"/>
  <c r="GK13" i="10"/>
  <c r="GM11" i="10"/>
  <c r="GL14" i="10"/>
  <c r="GL5" i="10" s="1"/>
  <c r="FQ309" i="24" l="1"/>
  <c r="FP312" i="24"/>
  <c r="FP310" i="24"/>
  <c r="FO313" i="24"/>
  <c r="FO287" i="24"/>
  <c r="FO288" i="24" s="1"/>
  <c r="FO289" i="24" s="1"/>
  <c r="GJ2" i="24"/>
  <c r="FM1" i="24"/>
  <c r="FM290" i="24"/>
  <c r="GK4" i="24"/>
  <c r="GK9" i="10"/>
  <c r="GJ3" i="24" s="1"/>
  <c r="GL12" i="10"/>
  <c r="GL13" i="10"/>
  <c r="GM14" i="10"/>
  <c r="GM5" i="10" s="1"/>
  <c r="GN11" i="10"/>
  <c r="FQ310" i="24" l="1"/>
  <c r="FP313" i="24"/>
  <c r="FR309" i="24"/>
  <c r="FQ312" i="24"/>
  <c r="FP287" i="24"/>
  <c r="FP288" i="24" s="1"/>
  <c r="FP289" i="24" s="1"/>
  <c r="GK2" i="24"/>
  <c r="FN1" i="24"/>
  <c r="FN290" i="24"/>
  <c r="GL4" i="24"/>
  <c r="GL9" i="10"/>
  <c r="GK3" i="24" s="1"/>
  <c r="GM12" i="10"/>
  <c r="GM13" i="10"/>
  <c r="GO11" i="10"/>
  <c r="GN14" i="10"/>
  <c r="GN5" i="10" s="1"/>
  <c r="FS309" i="24" l="1"/>
  <c r="FR312" i="24"/>
  <c r="FR310" i="24"/>
  <c r="FQ313" i="24"/>
  <c r="FQ287" i="24"/>
  <c r="FQ288" i="24" s="1"/>
  <c r="FQ289" i="24" s="1"/>
  <c r="GL2" i="24"/>
  <c r="FO1" i="24"/>
  <c r="FO290" i="24"/>
  <c r="GM4" i="24"/>
  <c r="GM9" i="10"/>
  <c r="GL3" i="24" s="1"/>
  <c r="GN13" i="10"/>
  <c r="GN12" i="10"/>
  <c r="GP11" i="10"/>
  <c r="GO14" i="10"/>
  <c r="GO5" i="10" s="1"/>
  <c r="FS310" i="24" l="1"/>
  <c r="FR313" i="24"/>
  <c r="FT309" i="24"/>
  <c r="FS312" i="24"/>
  <c r="FR287" i="24"/>
  <c r="FR288" i="24" s="1"/>
  <c r="FR289" i="24" s="1"/>
  <c r="GM2" i="24"/>
  <c r="FP1" i="24"/>
  <c r="FP290" i="24"/>
  <c r="GN4" i="24"/>
  <c r="GN9" i="10"/>
  <c r="GM3" i="24" s="1"/>
  <c r="GO13" i="10"/>
  <c r="GO12" i="10"/>
  <c r="GQ11" i="10"/>
  <c r="GP14" i="10"/>
  <c r="GP5" i="10" s="1"/>
  <c r="FU309" i="24" l="1"/>
  <c r="FT312" i="24"/>
  <c r="FT310" i="24"/>
  <c r="FS313" i="24"/>
  <c r="FS287" i="24"/>
  <c r="FS288" i="24" s="1"/>
  <c r="FS289" i="24" s="1"/>
  <c r="GN2" i="24"/>
  <c r="FQ1" i="24"/>
  <c r="FQ290" i="24"/>
  <c r="GO4" i="24"/>
  <c r="GO9" i="10"/>
  <c r="GN3" i="24" s="1"/>
  <c r="GP12" i="10"/>
  <c r="GP13" i="10"/>
  <c r="GQ14" i="10"/>
  <c r="GQ5" i="10" s="1"/>
  <c r="GR11" i="10"/>
  <c r="FU310" i="24" l="1"/>
  <c r="FT313" i="24"/>
  <c r="FV309" i="24"/>
  <c r="FU312" i="24"/>
  <c r="FT287" i="24"/>
  <c r="FT288" i="24" s="1"/>
  <c r="FT289" i="24" s="1"/>
  <c r="GO2" i="24"/>
  <c r="FR1" i="24"/>
  <c r="FR290" i="24"/>
  <c r="GP4" i="24"/>
  <c r="GP9" i="10"/>
  <c r="GO3" i="24" s="1"/>
  <c r="GQ12" i="10"/>
  <c r="GQ13" i="10"/>
  <c r="GS11" i="10"/>
  <c r="GR14" i="10"/>
  <c r="GR5" i="10" s="1"/>
  <c r="FW309" i="24" l="1"/>
  <c r="FV312" i="24"/>
  <c r="FV310" i="24"/>
  <c r="FU313" i="24"/>
  <c r="FU287" i="24"/>
  <c r="FU288" i="24" s="1"/>
  <c r="FU289" i="24" s="1"/>
  <c r="GP2" i="24"/>
  <c r="FS1" i="24"/>
  <c r="FS290" i="24"/>
  <c r="GQ4" i="24"/>
  <c r="GQ9" i="10"/>
  <c r="GP3" i="24" s="1"/>
  <c r="GR13" i="10"/>
  <c r="GR12" i="10"/>
  <c r="GT11" i="10"/>
  <c r="GS14" i="10"/>
  <c r="GS5" i="10" s="1"/>
  <c r="FW310" i="24" l="1"/>
  <c r="FV313" i="24"/>
  <c r="FX309" i="24"/>
  <c r="FW312" i="24"/>
  <c r="FV287" i="24"/>
  <c r="FV288" i="24" s="1"/>
  <c r="FV289" i="24" s="1"/>
  <c r="GQ2" i="24"/>
  <c r="FT1" i="24"/>
  <c r="FT290" i="24"/>
  <c r="GR4" i="24"/>
  <c r="GR9" i="10"/>
  <c r="GQ3" i="24" s="1"/>
  <c r="GS13" i="10"/>
  <c r="GS12" i="10"/>
  <c r="GT14" i="10"/>
  <c r="GT5" i="10" s="1"/>
  <c r="FY309" i="24" l="1"/>
  <c r="FX312" i="24"/>
  <c r="FX310" i="24"/>
  <c r="FW313" i="24"/>
  <c r="FW287" i="24"/>
  <c r="FW288" i="24" s="1"/>
  <c r="FW289" i="24" s="1"/>
  <c r="GR2" i="24"/>
  <c r="FU1" i="24"/>
  <c r="FU290" i="24"/>
  <c r="GS4" i="24"/>
  <c r="GS9" i="10"/>
  <c r="GR3" i="24" s="1"/>
  <c r="GT12" i="10"/>
  <c r="GT13" i="10"/>
  <c r="FX313" i="24" l="1"/>
  <c r="FY310" i="24"/>
  <c r="FZ309" i="24"/>
  <c r="FY312" i="24"/>
  <c r="FX287" i="24"/>
  <c r="FX288" i="24" s="1"/>
  <c r="FX289" i="24" s="1"/>
  <c r="GS2" i="24"/>
  <c r="D10" i="22"/>
  <c r="C10" i="22"/>
  <c r="C50" i="22"/>
  <c r="E10" i="22"/>
  <c r="D50" i="22"/>
  <c r="F10" i="22"/>
  <c r="F50" i="22"/>
  <c r="H50" i="22"/>
  <c r="G10" i="22"/>
  <c r="E50" i="22"/>
  <c r="J50" i="22"/>
  <c r="G50" i="22"/>
  <c r="H10" i="22"/>
  <c r="M10" i="22"/>
  <c r="I50" i="22"/>
  <c r="I10" i="22"/>
  <c r="L10" i="22"/>
  <c r="J10" i="22"/>
  <c r="K50" i="22"/>
  <c r="K10" i="22"/>
  <c r="L50" i="22"/>
  <c r="M50" i="22"/>
  <c r="FV1" i="24"/>
  <c r="FV290" i="24"/>
  <c r="J119" i="22"/>
  <c r="J120" i="22"/>
  <c r="J126" i="22"/>
  <c r="J127" i="22"/>
  <c r="J7" i="22"/>
  <c r="K127" i="22"/>
  <c r="J128" i="22"/>
  <c r="K119" i="22"/>
  <c r="K7" i="22"/>
  <c r="K128" i="22"/>
  <c r="K129" i="22"/>
  <c r="K120" i="22"/>
  <c r="J129" i="22"/>
  <c r="K126" i="22"/>
  <c r="L126" i="22"/>
  <c r="M120" i="22"/>
  <c r="L119" i="22"/>
  <c r="L120" i="22"/>
  <c r="L127" i="22"/>
  <c r="L7" i="22"/>
  <c r="L128" i="22"/>
  <c r="M127" i="22"/>
  <c r="L129" i="22"/>
  <c r="M129" i="22"/>
  <c r="M128" i="22"/>
  <c r="M119" i="22"/>
  <c r="M7" i="22"/>
  <c r="M126" i="22"/>
  <c r="C119" i="22"/>
  <c r="C120" i="22"/>
  <c r="C129" i="22"/>
  <c r="C126" i="22"/>
  <c r="C128" i="22"/>
  <c r="C127" i="22"/>
  <c r="E126" i="22"/>
  <c r="D128" i="22"/>
  <c r="D127" i="22"/>
  <c r="D126" i="22"/>
  <c r="E128" i="22"/>
  <c r="E127" i="22"/>
  <c r="F127" i="22"/>
  <c r="F126" i="22"/>
  <c r="F128" i="22"/>
  <c r="G127" i="22"/>
  <c r="H126" i="22"/>
  <c r="H127" i="22"/>
  <c r="I127" i="22"/>
  <c r="G126" i="22"/>
  <c r="G128" i="22"/>
  <c r="H128" i="22"/>
  <c r="I128" i="22"/>
  <c r="I126" i="22"/>
  <c r="D129" i="22"/>
  <c r="E129" i="22"/>
  <c r="G129" i="22"/>
  <c r="F129" i="22"/>
  <c r="H129" i="22"/>
  <c r="I129" i="22"/>
  <c r="D120" i="22"/>
  <c r="E120" i="22"/>
  <c r="G120" i="22"/>
  <c r="F120" i="22"/>
  <c r="H120" i="22"/>
  <c r="I120" i="22"/>
  <c r="E119" i="22"/>
  <c r="D119" i="22"/>
  <c r="H119" i="22"/>
  <c r="I119" i="22"/>
  <c r="G119" i="22"/>
  <c r="F119" i="22"/>
  <c r="C7" i="22"/>
  <c r="D7" i="22"/>
  <c r="D1" i="22" s="1"/>
  <c r="E7" i="22"/>
  <c r="E1" i="22" s="1"/>
  <c r="F7" i="22"/>
  <c r="F1" i="22" s="1"/>
  <c r="H7" i="22"/>
  <c r="H1" i="22" s="1"/>
  <c r="G7" i="22"/>
  <c r="G1" i="22" s="1"/>
  <c r="I7" i="22"/>
  <c r="I1" i="22" s="1"/>
  <c r="GT9" i="10"/>
  <c r="GS3" i="24" s="1"/>
  <c r="GA309" i="24" l="1"/>
  <c r="FZ312" i="24"/>
  <c r="FZ310" i="24"/>
  <c r="FY313" i="24"/>
  <c r="C117" i="22"/>
  <c r="L290" i="22"/>
  <c r="M290" i="22"/>
  <c r="H290" i="22"/>
  <c r="I290" i="22"/>
  <c r="J290" i="22"/>
  <c r="G290" i="22"/>
  <c r="C290" i="22"/>
  <c r="K290" i="22"/>
  <c r="FY287" i="24"/>
  <c r="FY288" i="24" s="1"/>
  <c r="FY289" i="24" s="1"/>
  <c r="C265" i="22"/>
  <c r="C177" i="22"/>
  <c r="D176" i="22"/>
  <c r="C266" i="22"/>
  <c r="C178" i="22"/>
  <c r="C116" i="22"/>
  <c r="C176" i="22"/>
  <c r="C221" i="22"/>
  <c r="C118" i="22"/>
  <c r="E178" i="22"/>
  <c r="E264" i="22"/>
  <c r="C220" i="22"/>
  <c r="D118" i="22"/>
  <c r="E265" i="22"/>
  <c r="C264" i="22"/>
  <c r="E266" i="22"/>
  <c r="D264" i="22"/>
  <c r="D178" i="22"/>
  <c r="F266" i="22"/>
  <c r="E220" i="22"/>
  <c r="D117" i="22"/>
  <c r="E222" i="22"/>
  <c r="D265" i="22"/>
  <c r="C222" i="22"/>
  <c r="D266" i="22"/>
  <c r="D177" i="22"/>
  <c r="F220" i="22"/>
  <c r="G266" i="22"/>
  <c r="E221" i="22"/>
  <c r="D116" i="22"/>
  <c r="F118" i="22"/>
  <c r="D221" i="22"/>
  <c r="G221" i="22"/>
  <c r="D222" i="22"/>
  <c r="E116" i="22"/>
  <c r="F221" i="22"/>
  <c r="E177" i="22"/>
  <c r="G222" i="22"/>
  <c r="E176" i="22"/>
  <c r="D220" i="22"/>
  <c r="E118" i="22"/>
  <c r="F117" i="22"/>
  <c r="G220" i="22"/>
  <c r="F177" i="22"/>
  <c r="F178" i="22"/>
  <c r="E117" i="22"/>
  <c r="G265" i="22"/>
  <c r="F222" i="22"/>
  <c r="G264" i="22"/>
  <c r="H117" i="22"/>
  <c r="G118" i="22"/>
  <c r="H265" i="22"/>
  <c r="F264" i="22"/>
  <c r="H264" i="22"/>
  <c r="H116" i="22"/>
  <c r="G116" i="22"/>
  <c r="H118" i="22"/>
  <c r="G177" i="22"/>
  <c r="F265" i="22"/>
  <c r="H222" i="22"/>
  <c r="G178" i="22"/>
  <c r="F116" i="22"/>
  <c r="H266" i="22"/>
  <c r="I266" i="22"/>
  <c r="H221" i="22"/>
  <c r="G117" i="22"/>
  <c r="I177" i="22"/>
  <c r="I264" i="22"/>
  <c r="H176" i="22"/>
  <c r="F176" i="22"/>
  <c r="I117" i="22"/>
  <c r="J222" i="22"/>
  <c r="J177" i="22"/>
  <c r="J266" i="22"/>
  <c r="H220" i="22"/>
  <c r="I178" i="22"/>
  <c r="I118" i="22"/>
  <c r="H178" i="22"/>
  <c r="J118" i="22"/>
  <c r="G176" i="22"/>
  <c r="J265" i="22"/>
  <c r="I220" i="22"/>
  <c r="I176" i="22"/>
  <c r="J221" i="22"/>
  <c r="L264" i="22"/>
  <c r="M222" i="22"/>
  <c r="L117" i="22"/>
  <c r="I265" i="22"/>
  <c r="L266" i="22"/>
  <c r="J176" i="22"/>
  <c r="H177" i="22"/>
  <c r="M117" i="22"/>
  <c r="I116" i="22"/>
  <c r="J220" i="22"/>
  <c r="M177" i="22"/>
  <c r="K116" i="22"/>
  <c r="L177" i="22"/>
  <c r="L221" i="22"/>
  <c r="M264" i="22"/>
  <c r="J116" i="22"/>
  <c r="K266" i="22"/>
  <c r="J178" i="22"/>
  <c r="K118" i="22"/>
  <c r="K178" i="22"/>
  <c r="L178" i="22"/>
  <c r="J117" i="22"/>
  <c r="J264" i="22"/>
  <c r="I222" i="22"/>
  <c r="I221" i="22"/>
  <c r="L222" i="22"/>
  <c r="L220" i="22"/>
  <c r="L118" i="22"/>
  <c r="M266" i="22"/>
  <c r="L176" i="22"/>
  <c r="L265" i="22"/>
  <c r="K264" i="22"/>
  <c r="M220" i="22"/>
  <c r="M265" i="22"/>
  <c r="M178" i="22"/>
  <c r="L116" i="22"/>
  <c r="K221" i="22"/>
  <c r="K220" i="22"/>
  <c r="K177" i="22"/>
  <c r="K222" i="22"/>
  <c r="M116" i="22"/>
  <c r="K176" i="22"/>
  <c r="K117" i="22"/>
  <c r="K265" i="22"/>
  <c r="M176" i="22"/>
  <c r="M221" i="22"/>
  <c r="M118" i="22"/>
  <c r="C91" i="22"/>
  <c r="C85" i="22"/>
  <c r="C65" i="22"/>
  <c r="C32" i="22"/>
  <c r="C33" i="22"/>
  <c r="C41" i="22"/>
  <c r="C60" i="22"/>
  <c r="C59" i="22"/>
  <c r="C24" i="22"/>
  <c r="C84" i="22"/>
  <c r="C54" i="22"/>
  <c r="C71" i="22"/>
  <c r="C51" i="22"/>
  <c r="C30" i="22"/>
  <c r="C52" i="22"/>
  <c r="C53" i="22"/>
  <c r="C14" i="22"/>
  <c r="C83" i="22"/>
  <c r="C38" i="22"/>
  <c r="C27" i="22"/>
  <c r="C80" i="22"/>
  <c r="C58" i="22"/>
  <c r="C20" i="22"/>
  <c r="C64" i="22"/>
  <c r="E88" i="22"/>
  <c r="C78" i="22"/>
  <c r="C55" i="22"/>
  <c r="C26" i="22"/>
  <c r="C56" i="22"/>
  <c r="C25" i="22"/>
  <c r="C77" i="22"/>
  <c r="C69" i="22"/>
  <c r="C67" i="22"/>
  <c r="C42" i="22"/>
  <c r="C21" i="22"/>
  <c r="C37" i="22"/>
  <c r="C57" i="22"/>
  <c r="C13" i="22"/>
  <c r="C73" i="22"/>
  <c r="C63" i="22"/>
  <c r="C44" i="22"/>
  <c r="E52" i="22"/>
  <c r="E61" i="22"/>
  <c r="E54" i="22"/>
  <c r="C16" i="22"/>
  <c r="C18" i="22"/>
  <c r="D16" i="22"/>
  <c r="D88" i="22"/>
  <c r="C74" i="22"/>
  <c r="D83" i="22"/>
  <c r="D52" i="22"/>
  <c r="D22" i="22"/>
  <c r="D57" i="22"/>
  <c r="C87" i="22"/>
  <c r="D34" i="22"/>
  <c r="C12" i="22"/>
  <c r="E22" i="22"/>
  <c r="E62" i="22"/>
  <c r="D14" i="22"/>
  <c r="D81" i="22"/>
  <c r="E72" i="22"/>
  <c r="E21" i="22"/>
  <c r="D61" i="22"/>
  <c r="C72" i="22"/>
  <c r="E12" i="22"/>
  <c r="E40" i="22"/>
  <c r="E11" i="22"/>
  <c r="D76" i="22"/>
  <c r="C62" i="22"/>
  <c r="D26" i="22"/>
  <c r="D70" i="22"/>
  <c r="C47" i="22"/>
  <c r="C22" i="22"/>
  <c r="C23" i="22"/>
  <c r="D12" i="22"/>
  <c r="C45" i="22"/>
  <c r="E14" i="22"/>
  <c r="D68" i="22"/>
  <c r="C76" i="22"/>
  <c r="D36" i="22"/>
  <c r="D28" i="22"/>
  <c r="C40" i="22"/>
  <c r="D11" i="22"/>
  <c r="D18" i="22"/>
  <c r="C36" i="22"/>
  <c r="D59" i="22"/>
  <c r="D41" i="22"/>
  <c r="F23" i="22"/>
  <c r="E25" i="22"/>
  <c r="C81" i="22"/>
  <c r="C19" i="22"/>
  <c r="D32" i="22"/>
  <c r="D72" i="22"/>
  <c r="E56" i="22"/>
  <c r="D74" i="22"/>
  <c r="C46" i="22"/>
  <c r="D29" i="22"/>
  <c r="C79" i="22"/>
  <c r="C61" i="22"/>
  <c r="D48" i="22"/>
  <c r="D31" i="22"/>
  <c r="D20" i="22"/>
  <c r="C11" i="22"/>
  <c r="E65" i="22"/>
  <c r="C82" i="22"/>
  <c r="C66" i="22"/>
  <c r="D60" i="22"/>
  <c r="E83" i="22"/>
  <c r="D56" i="22"/>
  <c r="D17" i="22"/>
  <c r="C86" i="22"/>
  <c r="E30" i="22"/>
  <c r="D40" i="22"/>
  <c r="C28" i="22"/>
  <c r="E68" i="22"/>
  <c r="C88" i="22"/>
  <c r="D55" i="22"/>
  <c r="E82" i="22"/>
  <c r="C43" i="22"/>
  <c r="C17" i="22"/>
  <c r="D13" i="22"/>
  <c r="D27" i="22"/>
  <c r="C39" i="22"/>
  <c r="E41" i="22"/>
  <c r="C70" i="22"/>
  <c r="D73" i="22"/>
  <c r="D45" i="22"/>
  <c r="D24" i="22"/>
  <c r="E80" i="22"/>
  <c r="F38" i="22"/>
  <c r="E78" i="22"/>
  <c r="F65" i="22"/>
  <c r="E18" i="22"/>
  <c r="F59" i="22"/>
  <c r="F73" i="22"/>
  <c r="E86" i="22"/>
  <c r="E26" i="22"/>
  <c r="E28" i="22"/>
  <c r="D15" i="22"/>
  <c r="F33" i="22"/>
  <c r="D53" i="22"/>
  <c r="F71" i="22"/>
  <c r="F30" i="22"/>
  <c r="D85" i="22"/>
  <c r="D66" i="22"/>
  <c r="E33" i="22"/>
  <c r="F88" i="22"/>
  <c r="D78" i="22"/>
  <c r="E85" i="22"/>
  <c r="D86" i="22"/>
  <c r="D54" i="22"/>
  <c r="F14" i="22"/>
  <c r="F69" i="22"/>
  <c r="E63" i="22"/>
  <c r="E45" i="22"/>
  <c r="G48" i="22"/>
  <c r="F61" i="22"/>
  <c r="D37" i="22"/>
  <c r="E16" i="22"/>
  <c r="E53" i="22"/>
  <c r="F27" i="22"/>
  <c r="F60" i="22"/>
  <c r="F28" i="22"/>
  <c r="D69" i="22"/>
  <c r="D39" i="22"/>
  <c r="F25" i="22"/>
  <c r="E64" i="22"/>
  <c r="E38" i="22"/>
  <c r="D65" i="22"/>
  <c r="D87" i="22"/>
  <c r="E59" i="22"/>
  <c r="D19" i="22"/>
  <c r="C48" i="22"/>
  <c r="F86" i="22"/>
  <c r="E73" i="22"/>
  <c r="F41" i="22"/>
  <c r="F76" i="22"/>
  <c r="D47" i="22"/>
  <c r="E70" i="22"/>
  <c r="C34" i="22"/>
  <c r="F82" i="22"/>
  <c r="D62" i="22"/>
  <c r="D51" i="22"/>
  <c r="E37" i="22"/>
  <c r="F37" i="22"/>
  <c r="F64" i="22"/>
  <c r="E42" i="22"/>
  <c r="D82" i="22"/>
  <c r="E60" i="22"/>
  <c r="D80" i="22"/>
  <c r="C68" i="22"/>
  <c r="D33" i="22"/>
  <c r="E58" i="22"/>
  <c r="D58" i="22"/>
  <c r="E31" i="22"/>
  <c r="E66" i="22"/>
  <c r="F57" i="22"/>
  <c r="C29" i="22"/>
  <c r="F48" i="22"/>
  <c r="E36" i="22"/>
  <c r="D46" i="22"/>
  <c r="F19" i="22"/>
  <c r="E43" i="22"/>
  <c r="D63" i="22"/>
  <c r="F87" i="22"/>
  <c r="E79" i="22"/>
  <c r="F36" i="22"/>
  <c r="E44" i="22"/>
  <c r="F78" i="22"/>
  <c r="F66" i="22"/>
  <c r="D71" i="22"/>
  <c r="D23" i="22"/>
  <c r="E24" i="22"/>
  <c r="F26" i="22"/>
  <c r="G51" i="22"/>
  <c r="F70" i="22"/>
  <c r="F58" i="22"/>
  <c r="G65" i="22"/>
  <c r="D79" i="22"/>
  <c r="E17" i="22"/>
  <c r="D77" i="22"/>
  <c r="F68" i="22"/>
  <c r="G36" i="22"/>
  <c r="D44" i="22"/>
  <c r="G19" i="22"/>
  <c r="D30" i="22"/>
  <c r="F21" i="22"/>
  <c r="F39" i="22"/>
  <c r="E67" i="22"/>
  <c r="E51" i="22"/>
  <c r="E39" i="22"/>
  <c r="D67" i="22"/>
  <c r="G33" i="22"/>
  <c r="F53" i="22"/>
  <c r="G60" i="22"/>
  <c r="F17" i="22"/>
  <c r="F43" i="22"/>
  <c r="F56" i="22"/>
  <c r="G13" i="22"/>
  <c r="G52" i="22"/>
  <c r="F55" i="22"/>
  <c r="E23" i="22"/>
  <c r="E48" i="22"/>
  <c r="D21" i="22"/>
  <c r="G55" i="22"/>
  <c r="E47" i="22"/>
  <c r="F12" i="22"/>
  <c r="G57" i="22"/>
  <c r="F40" i="22"/>
  <c r="E69" i="22"/>
  <c r="E15" i="22"/>
  <c r="F44" i="22"/>
  <c r="F13" i="22"/>
  <c r="F52" i="22"/>
  <c r="F80" i="22"/>
  <c r="E13" i="22"/>
  <c r="F20" i="22"/>
  <c r="G24" i="22"/>
  <c r="G28" i="22"/>
  <c r="D25" i="22"/>
  <c r="E87" i="22"/>
  <c r="F42" i="22"/>
  <c r="G44" i="22"/>
  <c r="F62" i="22"/>
  <c r="G73" i="22"/>
  <c r="F34" i="22"/>
  <c r="D42" i="22"/>
  <c r="F22" i="22"/>
  <c r="G59" i="22"/>
  <c r="G45" i="22"/>
  <c r="G46" i="22"/>
  <c r="G80" i="22"/>
  <c r="F77" i="22"/>
  <c r="E57" i="22"/>
  <c r="D43" i="22"/>
  <c r="G78" i="22"/>
  <c r="E29" i="22"/>
  <c r="G54" i="22"/>
  <c r="E20" i="22"/>
  <c r="E55" i="22"/>
  <c r="G71" i="22"/>
  <c r="E84" i="22"/>
  <c r="G22" i="22"/>
  <c r="G69" i="22"/>
  <c r="H27" i="22"/>
  <c r="E76" i="22"/>
  <c r="E77" i="22"/>
  <c r="G14" i="22"/>
  <c r="C15" i="22"/>
  <c r="C31" i="22"/>
  <c r="F85" i="22"/>
  <c r="F74" i="22"/>
  <c r="E32" i="22"/>
  <c r="G17" i="22"/>
  <c r="F29" i="22"/>
  <c r="F84" i="22"/>
  <c r="E27" i="22"/>
  <c r="F45" i="22"/>
  <c r="F67" i="22"/>
  <c r="G83" i="22"/>
  <c r="E46" i="22"/>
  <c r="G25" i="22"/>
  <c r="G82" i="22"/>
  <c r="G38" i="22"/>
  <c r="G84" i="22"/>
  <c r="G15" i="22"/>
  <c r="E34" i="22"/>
  <c r="G66" i="22"/>
  <c r="H57" i="22"/>
  <c r="F46" i="22"/>
  <c r="H74" i="22"/>
  <c r="G18" i="22"/>
  <c r="G30" i="22"/>
  <c r="G34" i="22"/>
  <c r="H41" i="22"/>
  <c r="H22" i="22"/>
  <c r="G76" i="22"/>
  <c r="G20" i="22"/>
  <c r="H29" i="22"/>
  <c r="G53" i="22"/>
  <c r="H66" i="22"/>
  <c r="E74" i="22"/>
  <c r="E71" i="22"/>
  <c r="F81" i="22"/>
  <c r="F51" i="22"/>
  <c r="F24" i="22"/>
  <c r="G31" i="22"/>
  <c r="F63" i="22"/>
  <c r="G62" i="22"/>
  <c r="H47" i="22"/>
  <c r="G26" i="22"/>
  <c r="G67" i="22"/>
  <c r="G27" i="22"/>
  <c r="G86" i="22"/>
  <c r="H76" i="22"/>
  <c r="G12" i="22"/>
  <c r="D84" i="22"/>
  <c r="G32" i="22"/>
  <c r="F79" i="22"/>
  <c r="G85" i="22"/>
  <c r="H46" i="22"/>
  <c r="G16" i="22"/>
  <c r="E81" i="22"/>
  <c r="D38" i="22"/>
  <c r="H15" i="22"/>
  <c r="F32" i="22"/>
  <c r="G63" i="22"/>
  <c r="H34" i="22"/>
  <c r="H17" i="22"/>
  <c r="H33" i="22"/>
  <c r="D64" i="22"/>
  <c r="H60" i="22"/>
  <c r="F31" i="22"/>
  <c r="H20" i="22"/>
  <c r="H21" i="22"/>
  <c r="H11" i="22"/>
  <c r="H58" i="22"/>
  <c r="G79" i="22"/>
  <c r="H61" i="22"/>
  <c r="H32" i="22"/>
  <c r="G21" i="22"/>
  <c r="G70" i="22"/>
  <c r="F47" i="22"/>
  <c r="G41" i="22"/>
  <c r="H38" i="22"/>
  <c r="G72" i="22"/>
  <c r="H84" i="22"/>
  <c r="F83" i="22"/>
  <c r="H62" i="22"/>
  <c r="F15" i="22"/>
  <c r="F16" i="22"/>
  <c r="G77" i="22"/>
  <c r="G88" i="22"/>
  <c r="H14" i="22"/>
  <c r="H24" i="22"/>
  <c r="H69" i="22"/>
  <c r="H12" i="22"/>
  <c r="H56" i="22"/>
  <c r="G37" i="22"/>
  <c r="I77" i="22"/>
  <c r="I41" i="22"/>
  <c r="F11" i="22"/>
  <c r="I29" i="22"/>
  <c r="G42" i="22"/>
  <c r="H30" i="22"/>
  <c r="I54" i="22"/>
  <c r="H81" i="22"/>
  <c r="H83" i="22"/>
  <c r="E19" i="22"/>
  <c r="G11" i="22"/>
  <c r="I85" i="22"/>
  <c r="H39" i="22"/>
  <c r="H87" i="22"/>
  <c r="H78" i="22"/>
  <c r="I70" i="22"/>
  <c r="H67" i="22"/>
  <c r="G81" i="22"/>
  <c r="I69" i="22"/>
  <c r="G23" i="22"/>
  <c r="G61" i="22"/>
  <c r="H68" i="22"/>
  <c r="H71" i="22"/>
  <c r="H42" i="22"/>
  <c r="G74" i="22"/>
  <c r="H63" i="22"/>
  <c r="H86" i="22"/>
  <c r="H88" i="22"/>
  <c r="H53" i="22"/>
  <c r="H40" i="22"/>
  <c r="H13" i="22"/>
  <c r="I60" i="22"/>
  <c r="H80" i="22"/>
  <c r="I84" i="22"/>
  <c r="I61" i="22"/>
  <c r="H72" i="22"/>
  <c r="I40" i="22"/>
  <c r="I24" i="22"/>
  <c r="H85" i="22"/>
  <c r="G43" i="22"/>
  <c r="H65" i="22"/>
  <c r="H28" i="22"/>
  <c r="H64" i="22"/>
  <c r="I39" i="22"/>
  <c r="F18" i="22"/>
  <c r="H18" i="22"/>
  <c r="H54" i="22"/>
  <c r="I80" i="22"/>
  <c r="I20" i="22"/>
  <c r="I73" i="22"/>
  <c r="H43" i="22"/>
  <c r="H19" i="22"/>
  <c r="I72" i="22"/>
  <c r="G64" i="22"/>
  <c r="I81" i="22"/>
  <c r="F54" i="22"/>
  <c r="G40" i="22"/>
  <c r="G39" i="22"/>
  <c r="G56" i="22"/>
  <c r="H79" i="22"/>
  <c r="I27" i="22"/>
  <c r="H31" i="22"/>
  <c r="H25" i="22"/>
  <c r="I63" i="22"/>
  <c r="H16" i="22"/>
  <c r="F72" i="22"/>
  <c r="G58" i="22"/>
  <c r="I28" i="22"/>
  <c r="I43" i="22"/>
  <c r="I47" i="22"/>
  <c r="I45" i="22"/>
  <c r="J74" i="22"/>
  <c r="I48" i="22"/>
  <c r="G68" i="22"/>
  <c r="J48" i="22"/>
  <c r="J66" i="22"/>
  <c r="J43" i="22"/>
  <c r="I55" i="22"/>
  <c r="I36" i="22"/>
  <c r="I82" i="22"/>
  <c r="I22" i="22"/>
  <c r="H73" i="22"/>
  <c r="I18" i="22"/>
  <c r="H52" i="22"/>
  <c r="J13" i="22"/>
  <c r="H59" i="22"/>
  <c r="J46" i="22"/>
  <c r="I88" i="22"/>
  <c r="J56" i="22"/>
  <c r="J20" i="22"/>
  <c r="I71" i="22"/>
  <c r="J63" i="22"/>
  <c r="J14" i="22"/>
  <c r="I19" i="22"/>
  <c r="H55" i="22"/>
  <c r="I78" i="22"/>
  <c r="G47" i="22"/>
  <c r="I23" i="22"/>
  <c r="I56" i="22"/>
  <c r="J84" i="22"/>
  <c r="H36" i="22"/>
  <c r="H45" i="22"/>
  <c r="J88" i="22"/>
  <c r="I62" i="22"/>
  <c r="H77" i="22"/>
  <c r="J54" i="22"/>
  <c r="I52" i="22"/>
  <c r="I65" i="22"/>
  <c r="I87" i="22"/>
  <c r="J67" i="22"/>
  <c r="I15" i="22"/>
  <c r="I83" i="22"/>
  <c r="H23" i="22"/>
  <c r="J51" i="22"/>
  <c r="I37" i="22"/>
  <c r="J62" i="22"/>
  <c r="I31" i="22"/>
  <c r="H37" i="22"/>
  <c r="G29" i="22"/>
  <c r="H70" i="22"/>
  <c r="I44" i="22"/>
  <c r="J19" i="22"/>
  <c r="I64" i="22"/>
  <c r="I68" i="22"/>
  <c r="I21" i="22"/>
  <c r="J21" i="22"/>
  <c r="J33" i="22"/>
  <c r="H51" i="22"/>
  <c r="I59" i="22"/>
  <c r="G87" i="22"/>
  <c r="I86" i="22"/>
  <c r="J76" i="22"/>
  <c r="I12" i="22"/>
  <c r="H82" i="22"/>
  <c r="I57" i="22"/>
  <c r="I53" i="22"/>
  <c r="I79" i="22"/>
  <c r="H48" i="22"/>
  <c r="I17" i="22"/>
  <c r="I42" i="22"/>
  <c r="J57" i="22"/>
  <c r="L19" i="22"/>
  <c r="K64" i="22"/>
  <c r="J31" i="22"/>
  <c r="L84" i="22"/>
  <c r="L73" i="22"/>
  <c r="J29" i="22"/>
  <c r="I32" i="22"/>
  <c r="J61" i="22"/>
  <c r="I16" i="22"/>
  <c r="H26" i="22"/>
  <c r="J38" i="22"/>
  <c r="K83" i="22"/>
  <c r="J73" i="22"/>
  <c r="L61" i="22"/>
  <c r="K20" i="22"/>
  <c r="J12" i="22"/>
  <c r="L79" i="22"/>
  <c r="K11" i="22"/>
  <c r="L29" i="22"/>
  <c r="J77" i="22"/>
  <c r="K15" i="22"/>
  <c r="K12" i="22"/>
  <c r="L13" i="22"/>
  <c r="L25" i="22"/>
  <c r="I46" i="22"/>
  <c r="K39" i="22"/>
  <c r="L82" i="22"/>
  <c r="L31" i="22"/>
  <c r="M52" i="22"/>
  <c r="J18" i="22"/>
  <c r="K32" i="22"/>
  <c r="I76" i="22"/>
  <c r="J40" i="22"/>
  <c r="J87" i="22"/>
  <c r="I26" i="22"/>
  <c r="K48" i="22"/>
  <c r="J70" i="22"/>
  <c r="I51" i="22"/>
  <c r="L55" i="22"/>
  <c r="L41" i="22"/>
  <c r="K47" i="22"/>
  <c r="J85" i="22"/>
  <c r="K44" i="22"/>
  <c r="J68" i="22"/>
  <c r="K51" i="22"/>
  <c r="L80" i="22"/>
  <c r="J64" i="22"/>
  <c r="K60" i="22"/>
  <c r="J59" i="22"/>
  <c r="I13" i="22"/>
  <c r="L54" i="22"/>
  <c r="K87" i="22"/>
  <c r="L86" i="22"/>
  <c r="I30" i="22"/>
  <c r="J24" i="22"/>
  <c r="L60" i="22"/>
  <c r="K42" i="22"/>
  <c r="L27" i="22"/>
  <c r="J25" i="22"/>
  <c r="K67" i="22"/>
  <c r="L36" i="22"/>
  <c r="J79" i="22"/>
  <c r="J34" i="22"/>
  <c r="K77" i="22"/>
  <c r="J69" i="22"/>
  <c r="L24" i="22"/>
  <c r="J47" i="22"/>
  <c r="J22" i="22"/>
  <c r="K56" i="22"/>
  <c r="I38" i="22"/>
  <c r="I25" i="22"/>
  <c r="K17" i="22"/>
  <c r="J39" i="22"/>
  <c r="K57" i="22"/>
  <c r="J55" i="22"/>
  <c r="K36" i="22"/>
  <c r="J17" i="22"/>
  <c r="J53" i="22"/>
  <c r="L15" i="22"/>
  <c r="J81" i="22"/>
  <c r="J58" i="22"/>
  <c r="I14" i="22"/>
  <c r="J65" i="22"/>
  <c r="L87" i="22"/>
  <c r="K37" i="22"/>
  <c r="K78" i="22"/>
  <c r="K73" i="22"/>
  <c r="J23" i="22"/>
  <c r="J60" i="22"/>
  <c r="I58" i="22"/>
  <c r="K23" i="22"/>
  <c r="I11" i="22"/>
  <c r="I66" i="22"/>
  <c r="L17" i="22"/>
  <c r="K46" i="22"/>
  <c r="J71" i="22"/>
  <c r="H44" i="22"/>
  <c r="J44" i="22"/>
  <c r="L69" i="22"/>
  <c r="J27" i="22"/>
  <c r="J86" i="22"/>
  <c r="L83" i="22"/>
  <c r="J30" i="22"/>
  <c r="J41" i="22"/>
  <c r="L34" i="22"/>
  <c r="I67" i="22"/>
  <c r="K26" i="22"/>
  <c r="I33" i="22"/>
  <c r="J28" i="22"/>
  <c r="K40" i="22"/>
  <c r="L81" i="22"/>
  <c r="K74" i="22"/>
  <c r="M33" i="22"/>
  <c r="K58" i="22"/>
  <c r="J52" i="22"/>
  <c r="M59" i="22"/>
  <c r="K28" i="22"/>
  <c r="K52" i="22"/>
  <c r="L77" i="22"/>
  <c r="K43" i="22"/>
  <c r="K16" i="22"/>
  <c r="J42" i="22"/>
  <c r="M85" i="22"/>
  <c r="J16" i="22"/>
  <c r="J82" i="22"/>
  <c r="M66" i="22"/>
  <c r="J32" i="22"/>
  <c r="K53" i="22"/>
  <c r="K69" i="22"/>
  <c r="M84" i="22"/>
  <c r="L76" i="22"/>
  <c r="K62" i="22"/>
  <c r="M47" i="22"/>
  <c r="L32" i="22"/>
  <c r="L59" i="22"/>
  <c r="L33" i="22"/>
  <c r="K68" i="22"/>
  <c r="J72" i="22"/>
  <c r="L70" i="22"/>
  <c r="K76" i="22"/>
  <c r="L66" i="22"/>
  <c r="M60" i="22"/>
  <c r="M69" i="22"/>
  <c r="K88" i="22"/>
  <c r="K30" i="22"/>
  <c r="K27" i="22"/>
  <c r="L46" i="22"/>
  <c r="L68" i="22"/>
  <c r="M77" i="22"/>
  <c r="L72" i="22"/>
  <c r="J36" i="22"/>
  <c r="K82" i="22"/>
  <c r="M30" i="22"/>
  <c r="M24" i="22"/>
  <c r="L37" i="22"/>
  <c r="K45" i="22"/>
  <c r="J78" i="22"/>
  <c r="M18" i="22"/>
  <c r="K24" i="22"/>
  <c r="J80" i="22"/>
  <c r="M28" i="22"/>
  <c r="K86" i="22"/>
  <c r="L39" i="22"/>
  <c r="L11" i="22"/>
  <c r="L42" i="22"/>
  <c r="L23" i="22"/>
  <c r="I74" i="22"/>
  <c r="J83" i="22"/>
  <c r="L52" i="22"/>
  <c r="K13" i="22"/>
  <c r="K38" i="22"/>
  <c r="L20" i="22"/>
  <c r="L26" i="22"/>
  <c r="K65" i="22"/>
  <c r="L88" i="22"/>
  <c r="L56" i="22"/>
  <c r="L48" i="22"/>
  <c r="L51" i="22"/>
  <c r="M15" i="22"/>
  <c r="M38" i="22"/>
  <c r="M81" i="22"/>
  <c r="L18" i="22"/>
  <c r="M20" i="22"/>
  <c r="K55" i="22"/>
  <c r="I34" i="22"/>
  <c r="L44" i="22"/>
  <c r="L67" i="22"/>
  <c r="K22" i="22"/>
  <c r="L57" i="22"/>
  <c r="M51" i="22"/>
  <c r="L16" i="22"/>
  <c r="M71" i="22"/>
  <c r="K80" i="22"/>
  <c r="M58" i="22"/>
  <c r="M88" i="22"/>
  <c r="K41" i="22"/>
  <c r="M73" i="22"/>
  <c r="K63" i="22"/>
  <c r="K14" i="22"/>
  <c r="J37" i="22"/>
  <c r="L45" i="22"/>
  <c r="L12" i="22"/>
  <c r="J26" i="22"/>
  <c r="K72" i="22"/>
  <c r="L62" i="22"/>
  <c r="M25" i="22"/>
  <c r="K59" i="22"/>
  <c r="J15" i="22"/>
  <c r="K29" i="22"/>
  <c r="K61" i="22"/>
  <c r="M32" i="22"/>
  <c r="M42" i="22"/>
  <c r="M17" i="22"/>
  <c r="L64" i="22"/>
  <c r="L38" i="22"/>
  <c r="K81" i="22"/>
  <c r="L22" i="22"/>
  <c r="M48" i="22"/>
  <c r="K31" i="22"/>
  <c r="K54" i="22"/>
  <c r="M12" i="22"/>
  <c r="L78" i="22"/>
  <c r="M70" i="22"/>
  <c r="M46" i="22"/>
  <c r="K19" i="22"/>
  <c r="M44" i="22"/>
  <c r="M55" i="22"/>
  <c r="K85" i="22"/>
  <c r="M68" i="22"/>
  <c r="M37" i="22"/>
  <c r="M53" i="22"/>
  <c r="L53" i="22"/>
  <c r="L65" i="22"/>
  <c r="K25" i="22"/>
  <c r="K21" i="22"/>
  <c r="M22" i="22"/>
  <c r="M83" i="22"/>
  <c r="M57" i="22"/>
  <c r="M23" i="22"/>
  <c r="K84" i="22"/>
  <c r="K18" i="22"/>
  <c r="L63" i="22"/>
  <c r="L30" i="22"/>
  <c r="L71" i="22"/>
  <c r="M54" i="22"/>
  <c r="K79" i="22"/>
  <c r="M74" i="22"/>
  <c r="M72" i="22"/>
  <c r="M67" i="22"/>
  <c r="L43" i="22"/>
  <c r="M78" i="22"/>
  <c r="M16" i="22"/>
  <c r="L58" i="22"/>
  <c r="K66" i="22"/>
  <c r="M27" i="22"/>
  <c r="L40" i="22"/>
  <c r="M82" i="22"/>
  <c r="M43" i="22"/>
  <c r="M87" i="22"/>
  <c r="L14" i="22"/>
  <c r="L74" i="22"/>
  <c r="M86" i="22"/>
  <c r="K70" i="22"/>
  <c r="M40" i="22"/>
  <c r="K34" i="22"/>
  <c r="M39" i="22"/>
  <c r="M14" i="22"/>
  <c r="M56" i="22"/>
  <c r="J11" i="22"/>
  <c r="M63" i="22"/>
  <c r="M21" i="22"/>
  <c r="K33" i="22"/>
  <c r="M26" i="22"/>
  <c r="L21" i="22"/>
  <c r="L47" i="22"/>
  <c r="L85" i="22"/>
  <c r="M80" i="22"/>
  <c r="M61" i="22"/>
  <c r="J45" i="22"/>
  <c r="M36" i="22"/>
  <c r="K71" i="22"/>
  <c r="M11" i="22"/>
  <c r="M76" i="22"/>
  <c r="M64" i="22"/>
  <c r="M65" i="22"/>
  <c r="M34" i="22"/>
  <c r="M79" i="22"/>
  <c r="M62" i="22"/>
  <c r="M29" i="22"/>
  <c r="M41" i="22"/>
  <c r="M13" i="22"/>
  <c r="M45" i="22"/>
  <c r="L28" i="22"/>
  <c r="M19" i="22"/>
  <c r="M31" i="22"/>
  <c r="I305" i="22"/>
  <c r="H305" i="22"/>
  <c r="K306" i="22"/>
  <c r="K305" i="22"/>
  <c r="J306" i="22"/>
  <c r="I306" i="22"/>
  <c r="M305" i="22"/>
  <c r="L305" i="22"/>
  <c r="L306" i="22"/>
  <c r="J305" i="22"/>
  <c r="M306" i="22"/>
  <c r="FW1" i="24"/>
  <c r="FW290" i="24"/>
  <c r="J125" i="22"/>
  <c r="M125" i="22"/>
  <c r="L125" i="22"/>
  <c r="K125" i="22"/>
  <c r="J92" i="22"/>
  <c r="K229" i="22"/>
  <c r="J94" i="22"/>
  <c r="J259" i="22"/>
  <c r="J109" i="22"/>
  <c r="J156" i="22"/>
  <c r="J100" i="22"/>
  <c r="J153" i="22"/>
  <c r="J202" i="22"/>
  <c r="J112" i="22"/>
  <c r="J272" i="22"/>
  <c r="J163" i="22"/>
  <c r="J256" i="22"/>
  <c r="J218" i="22"/>
  <c r="J198" i="22"/>
  <c r="J91" i="22"/>
  <c r="J225" i="22"/>
  <c r="J236" i="22"/>
  <c r="J250" i="22"/>
  <c r="J186" i="22"/>
  <c r="J279" i="22"/>
  <c r="J303" i="22"/>
  <c r="J271" i="22"/>
  <c r="J200" i="22"/>
  <c r="J144" i="22"/>
  <c r="J261" i="22"/>
  <c r="J113" i="22"/>
  <c r="J101" i="22"/>
  <c r="J224" i="22"/>
  <c r="J189" i="22"/>
  <c r="J207" i="22"/>
  <c r="J195" i="22"/>
  <c r="J217" i="22"/>
  <c r="J285" i="22"/>
  <c r="J233" i="22"/>
  <c r="J212" i="22"/>
  <c r="J157" i="22"/>
  <c r="J241" i="22"/>
  <c r="J197" i="22"/>
  <c r="J173" i="22"/>
  <c r="J102" i="22"/>
  <c r="J185" i="22"/>
  <c r="J216" i="22"/>
  <c r="J283" i="22"/>
  <c r="J142" i="22"/>
  <c r="J227" i="22"/>
  <c r="J180" i="22"/>
  <c r="J255" i="22"/>
  <c r="J164" i="22"/>
  <c r="J269" i="22"/>
  <c r="J124" i="22"/>
  <c r="J304" i="22"/>
  <c r="J159" i="22"/>
  <c r="J133" i="22"/>
  <c r="J281" i="22"/>
  <c r="J231" i="22"/>
  <c r="J114" i="22"/>
  <c r="J174" i="22"/>
  <c r="J137" i="22"/>
  <c r="J182" i="22"/>
  <c r="J235" i="22"/>
  <c r="J170" i="22"/>
  <c r="J205" i="22"/>
  <c r="J97" i="22"/>
  <c r="J282" i="22"/>
  <c r="J167" i="22"/>
  <c r="J284" i="22"/>
  <c r="J152" i="22"/>
  <c r="J130" i="22"/>
  <c r="J244" i="22"/>
  <c r="J214" i="22"/>
  <c r="J141" i="22"/>
  <c r="J145" i="22"/>
  <c r="J188" i="22"/>
  <c r="J245" i="22"/>
  <c r="J140" i="22"/>
  <c r="J196" i="22"/>
  <c r="J151" i="22"/>
  <c r="J293" i="22"/>
  <c r="J208" i="22"/>
  <c r="J171" i="22"/>
  <c r="J110" i="22"/>
  <c r="J184" i="22"/>
  <c r="J199" i="22"/>
  <c r="J280" i="22"/>
  <c r="J190" i="22"/>
  <c r="J123" i="22"/>
  <c r="J213" i="22"/>
  <c r="J288" i="22"/>
  <c r="J132" i="22"/>
  <c r="J99" i="22"/>
  <c r="J191" i="22"/>
  <c r="J121" i="22"/>
  <c r="J154" i="22"/>
  <c r="J289" i="22"/>
  <c r="J252" i="22"/>
  <c r="J134" i="22"/>
  <c r="J111" i="22"/>
  <c r="J251" i="22"/>
  <c r="J228" i="22"/>
  <c r="J246" i="22"/>
  <c r="J232" i="22"/>
  <c r="J209" i="22"/>
  <c r="J95" i="22"/>
  <c r="J162" i="22"/>
  <c r="J206" i="22"/>
  <c r="J181" i="22"/>
  <c r="J160" i="22"/>
  <c r="J239" i="22"/>
  <c r="J215" i="22"/>
  <c r="J287" i="22"/>
  <c r="J201" i="22"/>
  <c r="J158" i="22"/>
  <c r="J122" i="22"/>
  <c r="J248" i="22"/>
  <c r="J136" i="22"/>
  <c r="J226" i="22"/>
  <c r="J98" i="22"/>
  <c r="J292" i="22"/>
  <c r="J183" i="22"/>
  <c r="J253" i="22"/>
  <c r="J105" i="22"/>
  <c r="J161" i="22"/>
  <c r="J108" i="22"/>
  <c r="J258" i="22"/>
  <c r="J262" i="22"/>
  <c r="J131" i="22"/>
  <c r="J139" i="22"/>
  <c r="J260" i="22"/>
  <c r="J254" i="22"/>
  <c r="J229" i="22"/>
  <c r="J234" i="22"/>
  <c r="J240" i="22"/>
  <c r="J96" i="22"/>
  <c r="J169" i="22"/>
  <c r="J247" i="22"/>
  <c r="J187" i="22"/>
  <c r="J278" i="22"/>
  <c r="J138" i="22"/>
  <c r="J270" i="22"/>
  <c r="J211" i="22"/>
  <c r="J93" i="22"/>
  <c r="J104" i="22"/>
  <c r="J257" i="22"/>
  <c r="J168" i="22"/>
  <c r="J106" i="22"/>
  <c r="K230" i="22"/>
  <c r="K156" i="22"/>
  <c r="K280" i="22"/>
  <c r="K123" i="22"/>
  <c r="K197" i="22"/>
  <c r="K251" i="22"/>
  <c r="K114" i="22"/>
  <c r="K245" i="22"/>
  <c r="K253" i="22"/>
  <c r="K159" i="22"/>
  <c r="J286" i="22"/>
  <c r="K234" i="22"/>
  <c r="K279" i="22"/>
  <c r="K278" i="22"/>
  <c r="K213" i="22"/>
  <c r="K166" i="22"/>
  <c r="K134" i="22"/>
  <c r="K243" i="22"/>
  <c r="K225" i="22"/>
  <c r="K158" i="22"/>
  <c r="K227" i="22"/>
  <c r="K136" i="22"/>
  <c r="J204" i="22"/>
  <c r="K190" i="22"/>
  <c r="K226" i="22"/>
  <c r="K174" i="22"/>
  <c r="K110" i="22"/>
  <c r="K236" i="22"/>
  <c r="K303" i="22"/>
  <c r="K249" i="22"/>
  <c r="K250" i="22"/>
  <c r="K191" i="22"/>
  <c r="K214" i="22"/>
  <c r="K165" i="22"/>
  <c r="K207" i="22"/>
  <c r="K215" i="22"/>
  <c r="K142" i="22"/>
  <c r="J103" i="22"/>
  <c r="K95" i="22"/>
  <c r="K231" i="22"/>
  <c r="J165" i="22"/>
  <c r="K203" i="22"/>
  <c r="K99" i="22"/>
  <c r="J203" i="22"/>
  <c r="K98" i="22"/>
  <c r="K168" i="22"/>
  <c r="K195" i="22"/>
  <c r="K172" i="22"/>
  <c r="K103" i="22"/>
  <c r="K218" i="22"/>
  <c r="K286" i="22"/>
  <c r="K248" i="22"/>
  <c r="K180" i="22"/>
  <c r="K200" i="22"/>
  <c r="K241" i="22"/>
  <c r="K170" i="22"/>
  <c r="K202" i="22"/>
  <c r="J107" i="22"/>
  <c r="K281" i="22"/>
  <c r="J166" i="22"/>
  <c r="K151" i="22"/>
  <c r="K257" i="22"/>
  <c r="K185" i="22"/>
  <c r="J243" i="22"/>
  <c r="K100" i="22"/>
  <c r="K92" i="22"/>
  <c r="K102" i="22"/>
  <c r="K212" i="22"/>
  <c r="K292" i="22"/>
  <c r="K205" i="22"/>
  <c r="K183" i="22"/>
  <c r="K121" i="22"/>
  <c r="J230" i="22"/>
  <c r="K247" i="22"/>
  <c r="K217" i="22"/>
  <c r="K293" i="22"/>
  <c r="K211" i="22"/>
  <c r="K171" i="22"/>
  <c r="K244" i="22"/>
  <c r="K113" i="22"/>
  <c r="K271" i="22"/>
  <c r="J242" i="22"/>
  <c r="K91" i="22"/>
  <c r="K154" i="22"/>
  <c r="K208" i="22"/>
  <c r="K284" i="22"/>
  <c r="K169" i="22"/>
  <c r="K255" i="22"/>
  <c r="K161" i="22"/>
  <c r="K270" i="22"/>
  <c r="K282" i="22"/>
  <c r="K242" i="22"/>
  <c r="K135" i="22"/>
  <c r="K285" i="22"/>
  <c r="K235" i="22"/>
  <c r="K133" i="22"/>
  <c r="J135" i="22"/>
  <c r="K106" i="22"/>
  <c r="K145" i="22"/>
  <c r="K262" i="22"/>
  <c r="K269" i="22"/>
  <c r="K130" i="22"/>
  <c r="K196" i="22"/>
  <c r="K216" i="22"/>
  <c r="K97" i="22"/>
  <c r="K107" i="22"/>
  <c r="K246" i="22"/>
  <c r="K228" i="22"/>
  <c r="K254" i="22"/>
  <c r="K162" i="22"/>
  <c r="K258" i="22"/>
  <c r="K108" i="22"/>
  <c r="K152" i="22"/>
  <c r="K112" i="22"/>
  <c r="K259" i="22"/>
  <c r="K261" i="22"/>
  <c r="K201" i="22"/>
  <c r="K186" i="22"/>
  <c r="K93" i="22"/>
  <c r="K198" i="22"/>
  <c r="K260" i="22"/>
  <c r="K155" i="22"/>
  <c r="K272" i="22"/>
  <c r="K192" i="22"/>
  <c r="K105" i="22"/>
  <c r="K167" i="22"/>
  <c r="K256" i="22"/>
  <c r="K139" i="22"/>
  <c r="K187" i="22"/>
  <c r="K141" i="22"/>
  <c r="K94" i="22"/>
  <c r="K289" i="22"/>
  <c r="K209" i="22"/>
  <c r="L108" i="22"/>
  <c r="K160" i="22"/>
  <c r="K173" i="22"/>
  <c r="K184" i="22"/>
  <c r="K181" i="22"/>
  <c r="K232" i="22"/>
  <c r="K233" i="22"/>
  <c r="K252" i="22"/>
  <c r="K153" i="22"/>
  <c r="K287" i="22"/>
  <c r="K199" i="22"/>
  <c r="J249" i="22"/>
  <c r="K189" i="22"/>
  <c r="K239" i="22"/>
  <c r="K122" i="22"/>
  <c r="K304" i="22"/>
  <c r="K163" i="22"/>
  <c r="K140" i="22"/>
  <c r="K101" i="22"/>
  <c r="K164" i="22"/>
  <c r="K182" i="22"/>
  <c r="K283" i="22"/>
  <c r="K137" i="22"/>
  <c r="K188" i="22"/>
  <c r="J172" i="22"/>
  <c r="K144" i="22"/>
  <c r="K132" i="22"/>
  <c r="J210" i="22"/>
  <c r="J192" i="22"/>
  <c r="K224" i="22"/>
  <c r="K138" i="22"/>
  <c r="K111" i="22"/>
  <c r="K206" i="22"/>
  <c r="K288" i="22"/>
  <c r="K124" i="22"/>
  <c r="K204" i="22"/>
  <c r="K157" i="22"/>
  <c r="K131" i="22"/>
  <c r="J155" i="22"/>
  <c r="K240" i="22"/>
  <c r="L134" i="22"/>
  <c r="L186" i="22"/>
  <c r="L156" i="22"/>
  <c r="L171" i="22"/>
  <c r="L192" i="22"/>
  <c r="L250" i="22"/>
  <c r="L278" i="22"/>
  <c r="L158" i="22"/>
  <c r="L209" i="22"/>
  <c r="L216" i="22"/>
  <c r="L187" i="22"/>
  <c r="L245" i="22"/>
  <c r="L133" i="22"/>
  <c r="L293" i="22"/>
  <c r="L197" i="22"/>
  <c r="L191" i="22"/>
  <c r="L97" i="22"/>
  <c r="L137" i="22"/>
  <c r="L144" i="22"/>
  <c r="L135" i="22"/>
  <c r="L182" i="22"/>
  <c r="L170" i="22"/>
  <c r="L231" i="22"/>
  <c r="L161" i="22"/>
  <c r="L136" i="22"/>
  <c r="L109" i="22"/>
  <c r="L218" i="22"/>
  <c r="L248" i="22"/>
  <c r="L289" i="22"/>
  <c r="L279" i="22"/>
  <c r="L211" i="22"/>
  <c r="L244" i="22"/>
  <c r="L140" i="22"/>
  <c r="L280" i="22"/>
  <c r="L200" i="22"/>
  <c r="L131" i="22"/>
  <c r="L195" i="22"/>
  <c r="L234" i="22"/>
  <c r="L270" i="22"/>
  <c r="L103" i="22"/>
  <c r="L281" i="22"/>
  <c r="L160" i="22"/>
  <c r="L271" i="22"/>
  <c r="K96" i="22"/>
  <c r="L132" i="22"/>
  <c r="L212" i="22"/>
  <c r="L235" i="22"/>
  <c r="L272" i="22"/>
  <c r="L241" i="22"/>
  <c r="L201" i="22"/>
  <c r="L145" i="22"/>
  <c r="L185" i="22"/>
  <c r="L153" i="22"/>
  <c r="L190" i="22"/>
  <c r="L101" i="22"/>
  <c r="L254" i="22"/>
  <c r="L181" i="22"/>
  <c r="L169" i="22"/>
  <c r="L198" i="22"/>
  <c r="L251" i="22"/>
  <c r="L205" i="22"/>
  <c r="L257" i="22"/>
  <c r="L130" i="22"/>
  <c r="L253" i="22"/>
  <c r="L206" i="22"/>
  <c r="L112" i="22"/>
  <c r="L202" i="22"/>
  <c r="L124" i="22"/>
  <c r="L262" i="22"/>
  <c r="L111" i="22"/>
  <c r="L157" i="22"/>
  <c r="L95" i="22"/>
  <c r="L189" i="22"/>
  <c r="L122" i="22"/>
  <c r="L98" i="22"/>
  <c r="L114" i="22"/>
  <c r="L105" i="22"/>
  <c r="L225" i="22"/>
  <c r="L224" i="22"/>
  <c r="L121" i="22"/>
  <c r="L184" i="22"/>
  <c r="L159" i="22"/>
  <c r="L106" i="22"/>
  <c r="L168" i="22"/>
  <c r="L284" i="22"/>
  <c r="L217" i="22"/>
  <c r="L258" i="22"/>
  <c r="L304" i="22"/>
  <c r="K104" i="22"/>
  <c r="L242" i="22"/>
  <c r="L183" i="22"/>
  <c r="L255" i="22"/>
  <c r="L100" i="22"/>
  <c r="L104" i="22"/>
  <c r="L102" i="22"/>
  <c r="L260" i="22"/>
  <c r="L155" i="22"/>
  <c r="L94" i="22"/>
  <c r="L286" i="22"/>
  <c r="L239" i="22"/>
  <c r="L164" i="22"/>
  <c r="L246" i="22"/>
  <c r="L247" i="22"/>
  <c r="L107" i="22"/>
  <c r="L204" i="22"/>
  <c r="L232" i="22"/>
  <c r="L269" i="22"/>
  <c r="L163" i="22"/>
  <c r="L188" i="22"/>
  <c r="L99" i="22"/>
  <c r="L210" i="22"/>
  <c r="L303" i="22"/>
  <c r="K210" i="22"/>
  <c r="L283" i="22"/>
  <c r="L261" i="22"/>
  <c r="L207" i="22"/>
  <c r="L196" i="22"/>
  <c r="L213" i="22"/>
  <c r="L259" i="22"/>
  <c r="L96" i="22"/>
  <c r="L162" i="22"/>
  <c r="L165" i="22"/>
  <c r="L113" i="22"/>
  <c r="L152" i="22"/>
  <c r="L167" i="22"/>
  <c r="L236" i="22"/>
  <c r="L142" i="22"/>
  <c r="L287" i="22"/>
  <c r="L288" i="22"/>
  <c r="L227" i="22"/>
  <c r="L174" i="22"/>
  <c r="L243" i="22"/>
  <c r="L226" i="22"/>
  <c r="L249" i="22"/>
  <c r="L230" i="22"/>
  <c r="K109" i="22"/>
  <c r="L203" i="22"/>
  <c r="L166" i="22"/>
  <c r="L151" i="22"/>
  <c r="L229" i="22"/>
  <c r="M289" i="22"/>
  <c r="M168" i="22"/>
  <c r="M234" i="22"/>
  <c r="M283" i="22"/>
  <c r="M164" i="22"/>
  <c r="L92" i="22"/>
  <c r="M136" i="22"/>
  <c r="M113" i="22"/>
  <c r="M227" i="22"/>
  <c r="L154" i="22"/>
  <c r="M123" i="22"/>
  <c r="L139" i="22"/>
  <c r="M293" i="22"/>
  <c r="M95" i="22"/>
  <c r="M199" i="22"/>
  <c r="M242" i="22"/>
  <c r="M218" i="22"/>
  <c r="M96" i="22"/>
  <c r="M135" i="22"/>
  <c r="M186" i="22"/>
  <c r="M210" i="22"/>
  <c r="M111" i="22"/>
  <c r="M256" i="22"/>
  <c r="M112" i="22"/>
  <c r="M201" i="22"/>
  <c r="L123" i="22"/>
  <c r="M169" i="22"/>
  <c r="M245" i="22"/>
  <c r="M247" i="22"/>
  <c r="M165" i="22"/>
  <c r="L93" i="22"/>
  <c r="M184" i="22"/>
  <c r="M162" i="22"/>
  <c r="M187" i="22"/>
  <c r="M279" i="22"/>
  <c r="M140" i="22"/>
  <c r="M236" i="22"/>
  <c r="M282" i="22"/>
  <c r="M229" i="22"/>
  <c r="M239" i="22"/>
  <c r="M155" i="22"/>
  <c r="L199" i="22"/>
  <c r="M133" i="22"/>
  <c r="M258" i="22"/>
  <c r="M262" i="22"/>
  <c r="L138" i="22"/>
  <c r="M130" i="22"/>
  <c r="L240" i="22"/>
  <c r="M188" i="22"/>
  <c r="M255" i="22"/>
  <c r="M106" i="22"/>
  <c r="M269" i="22"/>
  <c r="M215" i="22"/>
  <c r="M250" i="22"/>
  <c r="M195" i="22"/>
  <c r="M284" i="22"/>
  <c r="M114" i="22"/>
  <c r="L91" i="22"/>
  <c r="M132" i="22"/>
  <c r="M181" i="22"/>
  <c r="M93" i="22"/>
  <c r="M303" i="22"/>
  <c r="L173" i="22"/>
  <c r="M105" i="22"/>
  <c r="M278" i="22"/>
  <c r="M205" i="22"/>
  <c r="M183" i="22"/>
  <c r="M225" i="22"/>
  <c r="M207" i="22"/>
  <c r="L214" i="22"/>
  <c r="M145" i="22"/>
  <c r="M144" i="22"/>
  <c r="M288" i="22"/>
  <c r="M107" i="22"/>
  <c r="M254" i="22"/>
  <c r="L256" i="22"/>
  <c r="M100" i="22"/>
  <c r="M134" i="22"/>
  <c r="M209" i="22"/>
  <c r="M243" i="22"/>
  <c r="M259" i="22"/>
  <c r="M166" i="22"/>
  <c r="M158" i="22"/>
  <c r="M154" i="22"/>
  <c r="M109" i="22"/>
  <c r="L282" i="22"/>
  <c r="M216" i="22"/>
  <c r="M172" i="22"/>
  <c r="M161" i="22"/>
  <c r="M174" i="22"/>
  <c r="M252" i="22"/>
  <c r="M233" i="22"/>
  <c r="M91" i="22"/>
  <c r="M241" i="22"/>
  <c r="L228" i="22"/>
  <c r="M153" i="22"/>
  <c r="M285" i="22"/>
  <c r="M270" i="22"/>
  <c r="M240" i="22"/>
  <c r="M131" i="22"/>
  <c r="M101" i="22"/>
  <c r="M99" i="22"/>
  <c r="M121" i="22"/>
  <c r="M217" i="22"/>
  <c r="M103" i="22"/>
  <c r="M185" i="22"/>
  <c r="M173" i="22"/>
  <c r="M104" i="22"/>
  <c r="M257" i="22"/>
  <c r="M196" i="22"/>
  <c r="L233" i="22"/>
  <c r="M230" i="22"/>
  <c r="M198" i="22"/>
  <c r="M122" i="22"/>
  <c r="M232" i="22"/>
  <c r="M141" i="22"/>
  <c r="M231" i="22"/>
  <c r="M159" i="22"/>
  <c r="M203" i="22"/>
  <c r="M139" i="22"/>
  <c r="M151" i="22"/>
  <c r="L208" i="22"/>
  <c r="M180" i="22"/>
  <c r="M212" i="22"/>
  <c r="M157" i="22"/>
  <c r="M292" i="22"/>
  <c r="L285" i="22"/>
  <c r="M260" i="22"/>
  <c r="M272" i="22"/>
  <c r="M197" i="22"/>
  <c r="M249" i="22"/>
  <c r="M213" i="22"/>
  <c r="M202" i="22"/>
  <c r="M110" i="22"/>
  <c r="M189" i="22"/>
  <c r="M163" i="22"/>
  <c r="L180" i="22"/>
  <c r="M102" i="22"/>
  <c r="M287" i="22"/>
  <c r="M190" i="22"/>
  <c r="M167" i="22"/>
  <c r="L215" i="22"/>
  <c r="M108" i="22"/>
  <c r="M211" i="22"/>
  <c r="M248" i="22"/>
  <c r="M97" i="22"/>
  <c r="L141" i="22"/>
  <c r="M200" i="22"/>
  <c r="M286" i="22"/>
  <c r="M226" i="22"/>
  <c r="M251" i="22"/>
  <c r="M138" i="22"/>
  <c r="M246" i="22"/>
  <c r="M244" i="22"/>
  <c r="M206" i="22"/>
  <c r="M191" i="22"/>
  <c r="M281" i="22"/>
  <c r="L292" i="22"/>
  <c r="M228" i="22"/>
  <c r="M235" i="22"/>
  <c r="M253" i="22"/>
  <c r="M204" i="22"/>
  <c r="M152" i="22"/>
  <c r="M224" i="22"/>
  <c r="M304" i="22"/>
  <c r="M182" i="22"/>
  <c r="L252" i="22"/>
  <c r="M261" i="22"/>
  <c r="M156" i="22"/>
  <c r="L110" i="22"/>
  <c r="M160" i="22"/>
  <c r="M98" i="22"/>
  <c r="M170" i="22"/>
  <c r="M171" i="22"/>
  <c r="M137" i="22"/>
  <c r="L172" i="22"/>
  <c r="M214" i="22"/>
  <c r="M94" i="22"/>
  <c r="M208" i="22"/>
  <c r="M271" i="22"/>
  <c r="M92" i="22"/>
  <c r="M142" i="22"/>
  <c r="M124" i="22"/>
  <c r="M280" i="22"/>
  <c r="M192" i="22"/>
  <c r="C125" i="22"/>
  <c r="E125" i="22"/>
  <c r="F125" i="22"/>
  <c r="G125" i="22"/>
  <c r="D125" i="22"/>
  <c r="H125" i="22"/>
  <c r="I125" i="22"/>
  <c r="C303" i="22"/>
  <c r="C142" i="22"/>
  <c r="D290" i="22"/>
  <c r="F142" i="22"/>
  <c r="D142" i="22"/>
  <c r="E142" i="22"/>
  <c r="E290" i="22"/>
  <c r="I142" i="22"/>
  <c r="F290" i="22"/>
  <c r="H142" i="22"/>
  <c r="G142" i="22"/>
  <c r="C229" i="22"/>
  <c r="C195" i="22"/>
  <c r="C196" i="22"/>
  <c r="C206" i="22"/>
  <c r="C205" i="22"/>
  <c r="C202" i="22"/>
  <c r="C210" i="22"/>
  <c r="C234" i="22"/>
  <c r="C233" i="22"/>
  <c r="C208" i="22"/>
  <c r="C201" i="22"/>
  <c r="C203" i="22"/>
  <c r="C236" i="22"/>
  <c r="C214" i="22"/>
  <c r="C213" i="22"/>
  <c r="C235" i="22"/>
  <c r="C212" i="22"/>
  <c r="C227" i="22"/>
  <c r="C199" i="22"/>
  <c r="C200" i="22"/>
  <c r="C218" i="22"/>
  <c r="C226" i="22"/>
  <c r="C211" i="22"/>
  <c r="C225" i="22"/>
  <c r="C216" i="22"/>
  <c r="E199" i="22"/>
  <c r="C231" i="22"/>
  <c r="C230" i="22"/>
  <c r="C215" i="22"/>
  <c r="E212" i="22"/>
  <c r="C217" i="22"/>
  <c r="C228" i="22"/>
  <c r="C204" i="22"/>
  <c r="C207" i="22"/>
  <c r="C209" i="22"/>
  <c r="C197" i="22"/>
  <c r="C198" i="22"/>
  <c r="C224" i="22"/>
  <c r="C232" i="22"/>
  <c r="F201" i="22"/>
  <c r="D232" i="22"/>
  <c r="E204" i="22"/>
  <c r="D234" i="22"/>
  <c r="D209" i="22"/>
  <c r="D218" i="22"/>
  <c r="E236" i="22"/>
  <c r="E229" i="22"/>
  <c r="E227" i="22"/>
  <c r="E206" i="22"/>
  <c r="D200" i="22"/>
  <c r="D202" i="22"/>
  <c r="E211" i="22"/>
  <c r="E205" i="22"/>
  <c r="E203" i="22"/>
  <c r="E218" i="22"/>
  <c r="D199" i="22"/>
  <c r="D229" i="22"/>
  <c r="E228" i="22"/>
  <c r="D213" i="22"/>
  <c r="D235" i="22"/>
  <c r="D197" i="22"/>
  <c r="E214" i="22"/>
  <c r="E232" i="22"/>
  <c r="D217" i="22"/>
  <c r="E213" i="22"/>
  <c r="E202" i="22"/>
  <c r="E230" i="22"/>
  <c r="E197" i="22"/>
  <c r="D204" i="22"/>
  <c r="D198" i="22"/>
  <c r="D236" i="22"/>
  <c r="E200" i="22"/>
  <c r="D225" i="22"/>
  <c r="E209" i="22"/>
  <c r="D216" i="22"/>
  <c r="E195" i="22"/>
  <c r="D228" i="22"/>
  <c r="D233" i="22"/>
  <c r="D196" i="22"/>
  <c r="D214" i="22"/>
  <c r="E234" i="22"/>
  <c r="E215" i="22"/>
  <c r="E198" i="22"/>
  <c r="D210" i="22"/>
  <c r="F198" i="22"/>
  <c r="F228" i="22"/>
  <c r="D211" i="22"/>
  <c r="F234" i="22"/>
  <c r="F213" i="22"/>
  <c r="D195" i="22"/>
  <c r="E207" i="22"/>
  <c r="F214" i="22"/>
  <c r="F229" i="22"/>
  <c r="E201" i="22"/>
  <c r="D207" i="22"/>
  <c r="F212" i="22"/>
  <c r="F236" i="22"/>
  <c r="D212" i="22"/>
  <c r="E224" i="22"/>
  <c r="E210" i="22"/>
  <c r="D224" i="22"/>
  <c r="D230" i="22"/>
  <c r="F232" i="22"/>
  <c r="F235" i="22"/>
  <c r="F217" i="22"/>
  <c r="E225" i="22"/>
  <c r="D206" i="22"/>
  <c r="D231" i="22"/>
  <c r="F230" i="22"/>
  <c r="D201" i="22"/>
  <c r="E217" i="22"/>
  <c r="F209" i="22"/>
  <c r="F204" i="22"/>
  <c r="E216" i="22"/>
  <c r="D205" i="22"/>
  <c r="D227" i="22"/>
  <c r="E231" i="22"/>
  <c r="F205" i="22"/>
  <c r="F227" i="22"/>
  <c r="D215" i="22"/>
  <c r="G206" i="22"/>
  <c r="E235" i="22"/>
  <c r="F196" i="22"/>
  <c r="D208" i="22"/>
  <c r="E226" i="22"/>
  <c r="G207" i="22"/>
  <c r="F206" i="22"/>
  <c r="F197" i="22"/>
  <c r="G205" i="22"/>
  <c r="G203" i="22"/>
  <c r="F202" i="22"/>
  <c r="F207" i="22"/>
  <c r="G233" i="22"/>
  <c r="G211" i="22"/>
  <c r="F218" i="22"/>
  <c r="F210" i="22"/>
  <c r="G235" i="22"/>
  <c r="E208" i="22"/>
  <c r="G214" i="22"/>
  <c r="G204" i="22"/>
  <c r="G201" i="22"/>
  <c r="F226" i="22"/>
  <c r="F224" i="22"/>
  <c r="F208" i="22"/>
  <c r="G229" i="22"/>
  <c r="F199" i="22"/>
  <c r="E233" i="22"/>
  <c r="G224" i="22"/>
  <c r="F215" i="22"/>
  <c r="D203" i="22"/>
  <c r="G197" i="22"/>
  <c r="G218" i="22"/>
  <c r="F195" i="22"/>
  <c r="G210" i="22"/>
  <c r="G215" i="22"/>
  <c r="F216" i="22"/>
  <c r="F225" i="22"/>
  <c r="E196" i="22"/>
  <c r="G195" i="22"/>
  <c r="F233" i="22"/>
  <c r="G236" i="22"/>
  <c r="F200" i="22"/>
  <c r="G200" i="22"/>
  <c r="G232" i="22"/>
  <c r="H202" i="22"/>
  <c r="H227" i="22"/>
  <c r="D226" i="22"/>
  <c r="F203" i="22"/>
  <c r="G227" i="22"/>
  <c r="H215" i="22"/>
  <c r="G196" i="22"/>
  <c r="G216" i="22"/>
  <c r="H209" i="22"/>
  <c r="H226" i="22"/>
  <c r="H235" i="22"/>
  <c r="I213" i="22"/>
  <c r="F211" i="22"/>
  <c r="G217" i="22"/>
  <c r="H205" i="22"/>
  <c r="H195" i="22"/>
  <c r="H208" i="22"/>
  <c r="G234" i="22"/>
  <c r="G228" i="22"/>
  <c r="F231" i="22"/>
  <c r="H218" i="22"/>
  <c r="G209" i="22"/>
  <c r="H231" i="22"/>
  <c r="H204" i="22"/>
  <c r="H225" i="22"/>
  <c r="H197" i="22"/>
  <c r="G199" i="22"/>
  <c r="G231" i="22"/>
  <c r="H233" i="22"/>
  <c r="H198" i="22"/>
  <c r="G213" i="22"/>
  <c r="G230" i="22"/>
  <c r="H224" i="22"/>
  <c r="I203" i="22"/>
  <c r="H211" i="22"/>
  <c r="H216" i="22"/>
  <c r="I236" i="22"/>
  <c r="I197" i="22"/>
  <c r="H214" i="22"/>
  <c r="I207" i="22"/>
  <c r="H213" i="22"/>
  <c r="H236" i="22"/>
  <c r="H234" i="22"/>
  <c r="G208" i="22"/>
  <c r="I226" i="22"/>
  <c r="H212" i="22"/>
  <c r="G226" i="22"/>
  <c r="H229" i="22"/>
  <c r="G225" i="22"/>
  <c r="H232" i="22"/>
  <c r="I206" i="22"/>
  <c r="I202" i="22"/>
  <c r="G202" i="22"/>
  <c r="I229" i="22"/>
  <c r="H200" i="22"/>
  <c r="I214" i="22"/>
  <c r="I231" i="22"/>
  <c r="H199" i="22"/>
  <c r="I199" i="22"/>
  <c r="I224" i="22"/>
  <c r="I225" i="22"/>
  <c r="H228" i="22"/>
  <c r="H230" i="22"/>
  <c r="I211" i="22"/>
  <c r="H217" i="22"/>
  <c r="H210" i="22"/>
  <c r="H203" i="22"/>
  <c r="I235" i="22"/>
  <c r="G198" i="22"/>
  <c r="H206" i="22"/>
  <c r="I228" i="22"/>
  <c r="I205" i="22"/>
  <c r="I216" i="22"/>
  <c r="I233" i="22"/>
  <c r="I204" i="22"/>
  <c r="G212" i="22"/>
  <c r="I232" i="22"/>
  <c r="I198" i="22"/>
  <c r="H196" i="22"/>
  <c r="I200" i="22"/>
  <c r="I234" i="22"/>
  <c r="H207" i="22"/>
  <c r="I208" i="22"/>
  <c r="I209" i="22"/>
  <c r="I215" i="22"/>
  <c r="I218" i="22"/>
  <c r="I201" i="22"/>
  <c r="I196" i="22"/>
  <c r="I212" i="22"/>
  <c r="I217" i="22"/>
  <c r="I195" i="22"/>
  <c r="H201" i="22"/>
  <c r="I227" i="22"/>
  <c r="I230" i="22"/>
  <c r="I210" i="22"/>
  <c r="C242" i="22"/>
  <c r="C241" i="22"/>
  <c r="C255" i="22"/>
  <c r="C105" i="22"/>
  <c r="C251" i="22"/>
  <c r="C243" i="22"/>
  <c r="C102" i="22"/>
  <c r="C101" i="22"/>
  <c r="C260" i="22"/>
  <c r="C248" i="22"/>
  <c r="C95" i="22"/>
  <c r="C239" i="22"/>
  <c r="C93" i="22"/>
  <c r="C97" i="22"/>
  <c r="C262" i="22"/>
  <c r="C99" i="22"/>
  <c r="C249" i="22"/>
  <c r="C98" i="22"/>
  <c r="C110" i="22"/>
  <c r="C254" i="22"/>
  <c r="C245" i="22"/>
  <c r="C253" i="22"/>
  <c r="C111" i="22"/>
  <c r="C106" i="22"/>
  <c r="C109" i="22"/>
  <c r="C114" i="22"/>
  <c r="C104" i="22"/>
  <c r="C112" i="22"/>
  <c r="C108" i="22"/>
  <c r="C94" i="22"/>
  <c r="C103" i="22"/>
  <c r="C252" i="22"/>
  <c r="C107" i="22"/>
  <c r="C240" i="22"/>
  <c r="C258" i="22"/>
  <c r="C250" i="22"/>
  <c r="C92" i="22"/>
  <c r="C259" i="22"/>
  <c r="C261" i="22"/>
  <c r="C247" i="22"/>
  <c r="C257" i="22"/>
  <c r="C244" i="22"/>
  <c r="C100" i="22"/>
  <c r="C113" i="22"/>
  <c r="C246" i="22"/>
  <c r="C96" i="22"/>
  <c r="E99" i="22"/>
  <c r="C256" i="22"/>
  <c r="E104" i="22"/>
  <c r="E110" i="22"/>
  <c r="D103" i="22"/>
  <c r="E240" i="22"/>
  <c r="D244" i="22"/>
  <c r="E239" i="22"/>
  <c r="D252" i="22"/>
  <c r="D257" i="22"/>
  <c r="D260" i="22"/>
  <c r="D111" i="22"/>
  <c r="D248" i="22"/>
  <c r="D261" i="22"/>
  <c r="E251" i="22"/>
  <c r="E91" i="22"/>
  <c r="D94" i="22"/>
  <c r="E242" i="22"/>
  <c r="D239" i="22"/>
  <c r="D99" i="22"/>
  <c r="D245" i="22"/>
  <c r="E253" i="22"/>
  <c r="D253" i="22"/>
  <c r="E95" i="22"/>
  <c r="E248" i="22"/>
  <c r="E261" i="22"/>
  <c r="E246" i="22"/>
  <c r="E260" i="22"/>
  <c r="D113" i="22"/>
  <c r="D107" i="22"/>
  <c r="D93" i="22"/>
  <c r="E258" i="22"/>
  <c r="E102" i="22"/>
  <c r="E96" i="22"/>
  <c r="E259" i="22"/>
  <c r="D247" i="22"/>
  <c r="D251" i="22"/>
  <c r="D241" i="22"/>
  <c r="D256" i="22"/>
  <c r="E244" i="22"/>
  <c r="E93" i="22"/>
  <c r="E114" i="22"/>
  <c r="E255" i="22"/>
  <c r="D240" i="22"/>
  <c r="E98" i="22"/>
  <c r="E245" i="22"/>
  <c r="D97" i="22"/>
  <c r="E106" i="22"/>
  <c r="D258" i="22"/>
  <c r="F105" i="22"/>
  <c r="D102" i="22"/>
  <c r="D101" i="22"/>
  <c r="E109" i="22"/>
  <c r="D105" i="22"/>
  <c r="D96" i="22"/>
  <c r="E254" i="22"/>
  <c r="D242" i="22"/>
  <c r="E243" i="22"/>
  <c r="D109" i="22"/>
  <c r="D106" i="22"/>
  <c r="E100" i="22"/>
  <c r="E94" i="22"/>
  <c r="E247" i="22"/>
  <c r="D108" i="22"/>
  <c r="D246" i="22"/>
  <c r="E257" i="22"/>
  <c r="E105" i="22"/>
  <c r="D98" i="22"/>
  <c r="E101" i="22"/>
  <c r="D92" i="22"/>
  <c r="E108" i="22"/>
  <c r="D259" i="22"/>
  <c r="E103" i="22"/>
  <c r="E97" i="22"/>
  <c r="E107" i="22"/>
  <c r="D104" i="22"/>
  <c r="D254" i="22"/>
  <c r="E112" i="22"/>
  <c r="E111" i="22"/>
  <c r="D114" i="22"/>
  <c r="D243" i="22"/>
  <c r="D249" i="22"/>
  <c r="D255" i="22"/>
  <c r="D100" i="22"/>
  <c r="E249" i="22"/>
  <c r="E113" i="22"/>
  <c r="E241" i="22"/>
  <c r="H104" i="22"/>
  <c r="F241" i="22"/>
  <c r="D250" i="22"/>
  <c r="E92" i="22"/>
  <c r="F94" i="22"/>
  <c r="F109" i="22"/>
  <c r="E250" i="22"/>
  <c r="F114" i="22"/>
  <c r="F254" i="22"/>
  <c r="E252" i="22"/>
  <c r="F106" i="22"/>
  <c r="F253" i="22"/>
  <c r="F259" i="22"/>
  <c r="F111" i="22"/>
  <c r="F250" i="22"/>
  <c r="F243" i="22"/>
  <c r="F240" i="22"/>
  <c r="D95" i="22"/>
  <c r="D262" i="22"/>
  <c r="F257" i="22"/>
  <c r="F96" i="22"/>
  <c r="F108" i="22"/>
  <c r="F260" i="22"/>
  <c r="F244" i="22"/>
  <c r="F246" i="22"/>
  <c r="F91" i="22"/>
  <c r="F92" i="22"/>
  <c r="F252" i="22"/>
  <c r="D91" i="22"/>
  <c r="F101" i="22"/>
  <c r="F113" i="22"/>
  <c r="F104" i="22"/>
  <c r="F248" i="22"/>
  <c r="E256" i="22"/>
  <c r="F95" i="22"/>
  <c r="F255" i="22"/>
  <c r="E262" i="22"/>
  <c r="F242" i="22"/>
  <c r="F251" i="22"/>
  <c r="D112" i="22"/>
  <c r="D110" i="22"/>
  <c r="F103" i="22"/>
  <c r="F93" i="22"/>
  <c r="F100" i="22"/>
  <c r="F256" i="22"/>
  <c r="F98" i="22"/>
  <c r="F262" i="22"/>
  <c r="F245" i="22"/>
  <c r="F99" i="22"/>
  <c r="F112" i="22"/>
  <c r="F261" i="22"/>
  <c r="F102" i="22"/>
  <c r="F249" i="22"/>
  <c r="H108" i="22"/>
  <c r="F258" i="22"/>
  <c r="G259" i="22"/>
  <c r="G95" i="22"/>
  <c r="G256" i="22"/>
  <c r="G104" i="22"/>
  <c r="G100" i="22"/>
  <c r="F110" i="22"/>
  <c r="G102" i="22"/>
  <c r="G93" i="22"/>
  <c r="G99" i="22"/>
  <c r="G255" i="22"/>
  <c r="G257" i="22"/>
  <c r="G248" i="22"/>
  <c r="G250" i="22"/>
  <c r="G247" i="22"/>
  <c r="G109" i="22"/>
  <c r="F97" i="22"/>
  <c r="G241" i="22"/>
  <c r="G107" i="22"/>
  <c r="G262" i="22"/>
  <c r="G242" i="22"/>
  <c r="G113" i="22"/>
  <c r="G110" i="22"/>
  <c r="G92" i="22"/>
  <c r="G98" i="22"/>
  <c r="G245" i="22"/>
  <c r="G240" i="22"/>
  <c r="F247" i="22"/>
  <c r="G91" i="22"/>
  <c r="G108" i="22"/>
  <c r="G96" i="22"/>
  <c r="G244" i="22"/>
  <c r="G112" i="22"/>
  <c r="G252" i="22"/>
  <c r="G114" i="22"/>
  <c r="G260" i="22"/>
  <c r="G251" i="22"/>
  <c r="F239" i="22"/>
  <c r="G243" i="22"/>
  <c r="G253" i="22"/>
  <c r="G105" i="22"/>
  <c r="G97" i="22"/>
  <c r="I113" i="22"/>
  <c r="H260" i="22"/>
  <c r="H95" i="22"/>
  <c r="H97" i="22"/>
  <c r="H256" i="22"/>
  <c r="H241" i="22"/>
  <c r="H107" i="22"/>
  <c r="H102" i="22"/>
  <c r="H240" i="22"/>
  <c r="H100" i="22"/>
  <c r="H245" i="22"/>
  <c r="H253" i="22"/>
  <c r="H247" i="22"/>
  <c r="H255" i="22"/>
  <c r="H96" i="22"/>
  <c r="G258" i="22"/>
  <c r="H242" i="22"/>
  <c r="H99" i="22"/>
  <c r="G254" i="22"/>
  <c r="G261" i="22"/>
  <c r="G111" i="22"/>
  <c r="G246" i="22"/>
  <c r="H252" i="22"/>
  <c r="H98" i="22"/>
  <c r="H262" i="22"/>
  <c r="G239" i="22"/>
  <c r="H243" i="22"/>
  <c r="H103" i="22"/>
  <c r="G103" i="22"/>
  <c r="H254" i="22"/>
  <c r="G106" i="22"/>
  <c r="H259" i="22"/>
  <c r="H110" i="22"/>
  <c r="H257" i="22"/>
  <c r="H101" i="22"/>
  <c r="H251" i="22"/>
  <c r="F107" i="22"/>
  <c r="G249" i="22"/>
  <c r="H249" i="22"/>
  <c r="H112" i="22"/>
  <c r="H105" i="22"/>
  <c r="G94" i="22"/>
  <c r="I111" i="22"/>
  <c r="I101" i="22"/>
  <c r="I260" i="22"/>
  <c r="I243" i="22"/>
  <c r="H92" i="22"/>
  <c r="H113" i="22"/>
  <c r="G101" i="22"/>
  <c r="I247" i="22"/>
  <c r="I91" i="22"/>
  <c r="I240" i="22"/>
  <c r="H248" i="22"/>
  <c r="H246" i="22"/>
  <c r="H250" i="22"/>
  <c r="I239" i="22"/>
  <c r="I256" i="22"/>
  <c r="H93" i="22"/>
  <c r="I262" i="22"/>
  <c r="H91" i="22"/>
  <c r="I253" i="22"/>
  <c r="I108" i="22"/>
  <c r="I100" i="22"/>
  <c r="H261" i="22"/>
  <c r="H109" i="22"/>
  <c r="I112" i="22"/>
  <c r="H239" i="22"/>
  <c r="H111" i="22"/>
  <c r="H258" i="22"/>
  <c r="I249" i="22"/>
  <c r="I254" i="22"/>
  <c r="I245" i="22"/>
  <c r="I104" i="22"/>
  <c r="I258" i="22"/>
  <c r="H94" i="22"/>
  <c r="H106" i="22"/>
  <c r="I110" i="22"/>
  <c r="I242" i="22"/>
  <c r="I248" i="22"/>
  <c r="I95" i="22"/>
  <c r="I252" i="22"/>
  <c r="H114" i="22"/>
  <c r="I107" i="22"/>
  <c r="I105" i="22"/>
  <c r="I99" i="22"/>
  <c r="I109" i="22"/>
  <c r="I98" i="22"/>
  <c r="I246" i="22"/>
  <c r="I259" i="22"/>
  <c r="I96" i="22"/>
  <c r="I255" i="22"/>
  <c r="I114" i="22"/>
  <c r="I94" i="22"/>
  <c r="I244" i="22"/>
  <c r="I257" i="22"/>
  <c r="I261" i="22"/>
  <c r="I250" i="22"/>
  <c r="I92" i="22"/>
  <c r="I103" i="22"/>
  <c r="I251" i="22"/>
  <c r="I102" i="22"/>
  <c r="I93" i="22"/>
  <c r="H244" i="22"/>
  <c r="I97" i="22"/>
  <c r="I241" i="22"/>
  <c r="I106" i="22"/>
  <c r="C184" i="22"/>
  <c r="C180" i="22"/>
  <c r="C182" i="22"/>
  <c r="C183" i="22"/>
  <c r="F182" i="22"/>
  <c r="D180" i="22"/>
  <c r="G191" i="22"/>
  <c r="D181" i="22"/>
  <c r="I180" i="22"/>
  <c r="E186" i="22"/>
  <c r="D188" i="22"/>
  <c r="E188" i="22"/>
  <c r="H180" i="22"/>
  <c r="F183" i="22"/>
  <c r="I192" i="22"/>
  <c r="E182" i="22"/>
  <c r="C192" i="22"/>
  <c r="I191" i="22"/>
  <c r="H187" i="22"/>
  <c r="I185" i="22"/>
  <c r="H191" i="22"/>
  <c r="I187" i="22"/>
  <c r="D192" i="22"/>
  <c r="C181" i="22"/>
  <c r="E187" i="22"/>
  <c r="G183" i="22"/>
  <c r="F187" i="22"/>
  <c r="H185" i="22"/>
  <c r="D186" i="22"/>
  <c r="H186" i="22"/>
  <c r="E185" i="22"/>
  <c r="G187" i="22"/>
  <c r="G185" i="22"/>
  <c r="D191" i="22"/>
  <c r="E181" i="22"/>
  <c r="E192" i="22"/>
  <c r="I183" i="22"/>
  <c r="D184" i="22"/>
  <c r="I188" i="22"/>
  <c r="E183" i="22"/>
  <c r="C190" i="22"/>
  <c r="G182" i="22"/>
  <c r="C187" i="22"/>
  <c r="F192" i="22"/>
  <c r="C189" i="22"/>
  <c r="D189" i="22"/>
  <c r="I189" i="22"/>
  <c r="I182" i="22"/>
  <c r="G190" i="22"/>
  <c r="H182" i="22"/>
  <c r="G189" i="22"/>
  <c r="E190" i="22"/>
  <c r="C188" i="22"/>
  <c r="C185" i="22"/>
  <c r="F180" i="22"/>
  <c r="D187" i="22"/>
  <c r="G180" i="22"/>
  <c r="F189" i="22"/>
  <c r="G192" i="22"/>
  <c r="G184" i="22"/>
  <c r="H190" i="22"/>
  <c r="D183" i="22"/>
  <c r="G186" i="22"/>
  <c r="H183" i="22"/>
  <c r="C191" i="22"/>
  <c r="G181" i="22"/>
  <c r="H184" i="22"/>
  <c r="C186" i="22"/>
  <c r="H181" i="22"/>
  <c r="F181" i="22"/>
  <c r="D185" i="22"/>
  <c r="F186" i="22"/>
  <c r="G188" i="22"/>
  <c r="I190" i="22"/>
  <c r="F185" i="22"/>
  <c r="F184" i="22"/>
  <c r="F190" i="22"/>
  <c r="E180" i="22"/>
  <c r="H192" i="22"/>
  <c r="H189" i="22"/>
  <c r="F188" i="22"/>
  <c r="I181" i="22"/>
  <c r="D182" i="22"/>
  <c r="I184" i="22"/>
  <c r="F191" i="22"/>
  <c r="D190" i="22"/>
  <c r="E189" i="22"/>
  <c r="E184" i="22"/>
  <c r="H188" i="22"/>
  <c r="I186" i="22"/>
  <c r="E191" i="22"/>
  <c r="H169" i="22"/>
  <c r="D170" i="22"/>
  <c r="I162" i="22"/>
  <c r="D159" i="22"/>
  <c r="I161" i="22"/>
  <c r="G156" i="22"/>
  <c r="H152" i="22"/>
  <c r="I160" i="22"/>
  <c r="I166" i="22"/>
  <c r="E153" i="22"/>
  <c r="H161" i="22"/>
  <c r="H156" i="22"/>
  <c r="C154" i="22"/>
  <c r="I167" i="22"/>
  <c r="E152" i="22"/>
  <c r="E151" i="22"/>
  <c r="D165" i="22"/>
  <c r="I163" i="22"/>
  <c r="I157" i="22"/>
  <c r="F162" i="22"/>
  <c r="D153" i="22"/>
  <c r="E159" i="22"/>
  <c r="D155" i="22"/>
  <c r="C151" i="22"/>
  <c r="H153" i="22"/>
  <c r="E160" i="22"/>
  <c r="G159" i="22"/>
  <c r="G174" i="22"/>
  <c r="F154" i="22"/>
  <c r="C152" i="22"/>
  <c r="F158" i="22"/>
  <c r="F155" i="22"/>
  <c r="C158" i="22"/>
  <c r="H160" i="22"/>
  <c r="I153" i="22"/>
  <c r="F161" i="22"/>
  <c r="F157" i="22"/>
  <c r="H151" i="22"/>
  <c r="H155" i="22"/>
  <c r="G160" i="22"/>
  <c r="D168" i="22"/>
  <c r="E155" i="22"/>
  <c r="H165" i="22"/>
  <c r="G161" i="22"/>
  <c r="H164" i="22"/>
  <c r="F166" i="22"/>
  <c r="E154" i="22"/>
  <c r="F151" i="22"/>
  <c r="F171" i="22"/>
  <c r="D172" i="22"/>
  <c r="C160" i="22"/>
  <c r="D156" i="22"/>
  <c r="G155" i="22"/>
  <c r="H174" i="22"/>
  <c r="F170" i="22"/>
  <c r="G164" i="22"/>
  <c r="D157" i="22"/>
  <c r="E171" i="22"/>
  <c r="C169" i="22"/>
  <c r="F153" i="22"/>
  <c r="E165" i="22"/>
  <c r="E168" i="22"/>
  <c r="F168" i="22"/>
  <c r="C161" i="22"/>
  <c r="G163" i="22"/>
  <c r="I152" i="22"/>
  <c r="C167" i="22"/>
  <c r="C162" i="22"/>
  <c r="E173" i="22"/>
  <c r="I171" i="22"/>
  <c r="F163" i="22"/>
  <c r="I164" i="22"/>
  <c r="E174" i="22"/>
  <c r="D167" i="22"/>
  <c r="I168" i="22"/>
  <c r="D158" i="22"/>
  <c r="I154" i="22"/>
  <c r="D160" i="22"/>
  <c r="G151" i="22"/>
  <c r="C174" i="22"/>
  <c r="E156" i="22"/>
  <c r="E164" i="22"/>
  <c r="G158" i="22"/>
  <c r="C166" i="22"/>
  <c r="F156" i="22"/>
  <c r="G172" i="22"/>
  <c r="F169" i="22"/>
  <c r="C157" i="22"/>
  <c r="C156" i="22"/>
  <c r="I156" i="22"/>
  <c r="H162" i="22"/>
  <c r="D166" i="22"/>
  <c r="E163" i="22"/>
  <c r="I173" i="22"/>
  <c r="E161" i="22"/>
  <c r="C170" i="22"/>
  <c r="C153" i="22"/>
  <c r="C165" i="22"/>
  <c r="C168" i="22"/>
  <c r="G157" i="22"/>
  <c r="E158" i="22"/>
  <c r="G171" i="22"/>
  <c r="I165" i="22"/>
  <c r="E169" i="22"/>
  <c r="H163" i="22"/>
  <c r="F160" i="22"/>
  <c r="I174" i="22"/>
  <c r="D164" i="22"/>
  <c r="H154" i="22"/>
  <c r="H159" i="22"/>
  <c r="G169" i="22"/>
  <c r="C173" i="22"/>
  <c r="E167" i="22"/>
  <c r="F172" i="22"/>
  <c r="G165" i="22"/>
  <c r="D161" i="22"/>
  <c r="F173" i="22"/>
  <c r="C155" i="22"/>
  <c r="I170" i="22"/>
  <c r="I169" i="22"/>
  <c r="C172" i="22"/>
  <c r="H168" i="22"/>
  <c r="G170" i="22"/>
  <c r="G166" i="22"/>
  <c r="E157" i="22"/>
  <c r="I158" i="22"/>
  <c r="D169" i="22"/>
  <c r="D163" i="22"/>
  <c r="G173" i="22"/>
  <c r="H173" i="22"/>
  <c r="C163" i="22"/>
  <c r="C159" i="22"/>
  <c r="E170" i="22"/>
  <c r="E162" i="22"/>
  <c r="D151" i="22"/>
  <c r="D162" i="22"/>
  <c r="H170" i="22"/>
  <c r="G153" i="22"/>
  <c r="G162" i="22"/>
  <c r="I159" i="22"/>
  <c r="F152" i="22"/>
  <c r="I151" i="22"/>
  <c r="H167" i="22"/>
  <c r="G168" i="22"/>
  <c r="E172" i="22"/>
  <c r="H171" i="22"/>
  <c r="D154" i="22"/>
  <c r="F164" i="22"/>
  <c r="I172" i="22"/>
  <c r="F165" i="22"/>
  <c r="F167" i="22"/>
  <c r="E166" i="22"/>
  <c r="D152" i="22"/>
  <c r="F174" i="22"/>
  <c r="C171" i="22"/>
  <c r="D171" i="22"/>
  <c r="C164" i="22"/>
  <c r="H172" i="22"/>
  <c r="H158" i="22"/>
  <c r="D173" i="22"/>
  <c r="I155" i="22"/>
  <c r="D174" i="22"/>
  <c r="F159" i="22"/>
  <c r="G152" i="22"/>
  <c r="H166" i="22"/>
  <c r="G154" i="22"/>
  <c r="H157" i="22"/>
  <c r="G167" i="22"/>
  <c r="C293" i="22"/>
  <c r="C145" i="22"/>
  <c r="D293" i="22"/>
  <c r="E144" i="22"/>
  <c r="D145" i="22"/>
  <c r="F293" i="22"/>
  <c r="D144" i="22"/>
  <c r="E293" i="22"/>
  <c r="F145" i="22"/>
  <c r="E145" i="22"/>
  <c r="H293" i="22"/>
  <c r="F144" i="22"/>
  <c r="G144" i="22"/>
  <c r="I292" i="22"/>
  <c r="H144" i="22"/>
  <c r="H145" i="22"/>
  <c r="I144" i="22"/>
  <c r="G293" i="22"/>
  <c r="I145" i="22"/>
  <c r="G145" i="22"/>
  <c r="I293" i="22"/>
  <c r="E303" i="22"/>
  <c r="F303" i="22"/>
  <c r="D303" i="22"/>
  <c r="H303" i="22"/>
  <c r="G303" i="22"/>
  <c r="I331" i="22"/>
  <c r="I303" i="22"/>
  <c r="I304" i="22"/>
  <c r="C287" i="22"/>
  <c r="C282" i="22"/>
  <c r="C288" i="22"/>
  <c r="C135" i="22"/>
  <c r="C279" i="22"/>
  <c r="C278" i="22"/>
  <c r="C280" i="22"/>
  <c r="C136" i="22"/>
  <c r="C284" i="22"/>
  <c r="C141" i="22"/>
  <c r="C130" i="22"/>
  <c r="C289" i="22"/>
  <c r="C133" i="22"/>
  <c r="E134" i="22"/>
  <c r="C140" i="22"/>
  <c r="C134" i="22"/>
  <c r="C283" i="22"/>
  <c r="C131" i="22"/>
  <c r="E285" i="22"/>
  <c r="C281" i="22"/>
  <c r="E136" i="22"/>
  <c r="D135" i="22"/>
  <c r="D287" i="22"/>
  <c r="E139" i="22"/>
  <c r="C132" i="22"/>
  <c r="C286" i="22"/>
  <c r="C137" i="22"/>
  <c r="D278" i="22"/>
  <c r="E281" i="22"/>
  <c r="D284" i="22"/>
  <c r="D141" i="22"/>
  <c r="D138" i="22"/>
  <c r="E289" i="22"/>
  <c r="C138" i="22"/>
  <c r="D140" i="22"/>
  <c r="D285" i="22"/>
  <c r="C285" i="22"/>
  <c r="E287" i="22"/>
  <c r="E278" i="22"/>
  <c r="D288" i="22"/>
  <c r="D281" i="22"/>
  <c r="D286" i="22"/>
  <c r="E282" i="22"/>
  <c r="D282" i="22"/>
  <c r="E132" i="22"/>
  <c r="D137" i="22"/>
  <c r="E279" i="22"/>
  <c r="C139" i="22"/>
  <c r="E141" i="22"/>
  <c r="F137" i="22"/>
  <c r="F287" i="22"/>
  <c r="F278" i="22"/>
  <c r="F281" i="22"/>
  <c r="E280" i="22"/>
  <c r="G132" i="22"/>
  <c r="E283" i="22"/>
  <c r="G131" i="22"/>
  <c r="F288" i="22"/>
  <c r="F283" i="22"/>
  <c r="D280" i="22"/>
  <c r="E140" i="22"/>
  <c r="D136" i="22"/>
  <c r="E130" i="22"/>
  <c r="D132" i="22"/>
  <c r="F141" i="22"/>
  <c r="F130" i="22"/>
  <c r="E138" i="22"/>
  <c r="E135" i="22"/>
  <c r="E284" i="22"/>
  <c r="D289" i="22"/>
  <c r="E288" i="22"/>
  <c r="F280" i="22"/>
  <c r="F136" i="22"/>
  <c r="D283" i="22"/>
  <c r="E286" i="22"/>
  <c r="F285" i="22"/>
  <c r="E131" i="22"/>
  <c r="F138" i="22"/>
  <c r="F282" i="22"/>
  <c r="D133" i="22"/>
  <c r="D130" i="22"/>
  <c r="D279" i="22"/>
  <c r="D139" i="22"/>
  <c r="D134" i="22"/>
  <c r="E133" i="22"/>
  <c r="F286" i="22"/>
  <c r="D131" i="22"/>
  <c r="F134" i="22"/>
  <c r="G283" i="22"/>
  <c r="G139" i="22"/>
  <c r="F284" i="22"/>
  <c r="G133" i="22"/>
  <c r="G140" i="22"/>
  <c r="G130" i="22"/>
  <c r="G135" i="22"/>
  <c r="G278" i="22"/>
  <c r="G289" i="22"/>
  <c r="F140" i="22"/>
  <c r="G281" i="22"/>
  <c r="F135" i="22"/>
  <c r="G279" i="22"/>
  <c r="F139" i="22"/>
  <c r="G287" i="22"/>
  <c r="G280" i="22"/>
  <c r="F131" i="22"/>
  <c r="F132" i="22"/>
  <c r="G288" i="22"/>
  <c r="F289" i="22"/>
  <c r="F133" i="22"/>
  <c r="E137" i="22"/>
  <c r="G285" i="22"/>
  <c r="G284" i="22"/>
  <c r="G134" i="22"/>
  <c r="H139" i="22"/>
  <c r="G138" i="22"/>
  <c r="G141" i="22"/>
  <c r="H130" i="22"/>
  <c r="G282" i="22"/>
  <c r="F279" i="22"/>
  <c r="G286" i="22"/>
  <c r="G137" i="22"/>
  <c r="G136" i="22"/>
  <c r="H136" i="22"/>
  <c r="H280" i="22"/>
  <c r="I286" i="22"/>
  <c r="H135" i="22"/>
  <c r="H137" i="22"/>
  <c r="H289" i="22"/>
  <c r="H133" i="22"/>
  <c r="I280" i="22"/>
  <c r="H284" i="22"/>
  <c r="I137" i="22"/>
  <c r="H134" i="22"/>
  <c r="H141" i="22"/>
  <c r="H286" i="22"/>
  <c r="I138" i="22"/>
  <c r="H283" i="22"/>
  <c r="H281" i="22"/>
  <c r="I278" i="22"/>
  <c r="H288" i="22"/>
  <c r="H140" i="22"/>
  <c r="I283" i="22"/>
  <c r="I139" i="22"/>
  <c r="I285" i="22"/>
  <c r="H278" i="22"/>
  <c r="H279" i="22"/>
  <c r="H287" i="22"/>
  <c r="H285" i="22"/>
  <c r="H131" i="22"/>
  <c r="H138" i="22"/>
  <c r="I136" i="22"/>
  <c r="H282" i="22"/>
  <c r="H132" i="22"/>
  <c r="I288" i="22"/>
  <c r="I130" i="22"/>
  <c r="I287" i="22"/>
  <c r="I132" i="22"/>
  <c r="I131" i="22"/>
  <c r="I140" i="22"/>
  <c r="I279" i="22"/>
  <c r="I141" i="22"/>
  <c r="I284" i="22"/>
  <c r="I289" i="22"/>
  <c r="I134" i="22"/>
  <c r="I133" i="22"/>
  <c r="I282" i="22"/>
  <c r="I281" i="22"/>
  <c r="I135" i="22"/>
  <c r="C270" i="22"/>
  <c r="C272" i="22"/>
  <c r="C271" i="22"/>
  <c r="E272" i="22"/>
  <c r="E271" i="22"/>
  <c r="D270" i="22"/>
  <c r="D271" i="22"/>
  <c r="D272" i="22"/>
  <c r="E269" i="22"/>
  <c r="E270" i="22"/>
  <c r="F270" i="22"/>
  <c r="F272" i="22"/>
  <c r="F269" i="22"/>
  <c r="F271" i="22"/>
  <c r="G272" i="22"/>
  <c r="G270" i="22"/>
  <c r="H269" i="22"/>
  <c r="G271" i="22"/>
  <c r="G269" i="22"/>
  <c r="H271" i="22"/>
  <c r="I269" i="22"/>
  <c r="I271" i="22"/>
  <c r="H272" i="22"/>
  <c r="I270" i="22"/>
  <c r="H270" i="22"/>
  <c r="I272" i="22"/>
  <c r="C124" i="22"/>
  <c r="C123" i="22"/>
  <c r="C122" i="22"/>
  <c r="C121" i="22"/>
  <c r="E121" i="22"/>
  <c r="E124" i="22"/>
  <c r="F123" i="22"/>
  <c r="F122" i="22"/>
  <c r="D124" i="22"/>
  <c r="F121" i="22"/>
  <c r="D123" i="22"/>
  <c r="F124" i="22"/>
  <c r="E123" i="22"/>
  <c r="D121" i="22"/>
  <c r="E122" i="22"/>
  <c r="G122" i="22"/>
  <c r="G121" i="22"/>
  <c r="G123" i="22"/>
  <c r="G124" i="22"/>
  <c r="D122" i="22"/>
  <c r="H124" i="22"/>
  <c r="H121" i="22"/>
  <c r="H122" i="22"/>
  <c r="I124" i="22"/>
  <c r="H123" i="22"/>
  <c r="I121" i="22"/>
  <c r="I123" i="22"/>
  <c r="I122" i="22"/>
  <c r="C1" i="22"/>
  <c r="A7" i="22"/>
  <c r="GA310" i="24" l="1"/>
  <c r="FZ313" i="24"/>
  <c r="GB309" i="24"/>
  <c r="GA312" i="24"/>
  <c r="FZ287" i="24"/>
  <c r="FZ288" i="24" s="1"/>
  <c r="FZ289" i="24" s="1"/>
  <c r="F115" i="22"/>
  <c r="D115" i="22"/>
  <c r="M115" i="22"/>
  <c r="J115" i="22"/>
  <c r="L219" i="22"/>
  <c r="G175" i="22"/>
  <c r="L175" i="22"/>
  <c r="D219" i="22"/>
  <c r="D263" i="22"/>
  <c r="E175" i="22"/>
  <c r="D175" i="22"/>
  <c r="M175" i="22"/>
  <c r="K219" i="22"/>
  <c r="L263" i="22"/>
  <c r="G263" i="22"/>
  <c r="L115" i="22"/>
  <c r="I219" i="22"/>
  <c r="K115" i="22"/>
  <c r="F219" i="22"/>
  <c r="C263" i="22"/>
  <c r="J263" i="22"/>
  <c r="I175" i="22"/>
  <c r="F263" i="22"/>
  <c r="E115" i="22"/>
  <c r="C219" i="22"/>
  <c r="C115" i="22"/>
  <c r="M263" i="22"/>
  <c r="J219" i="22"/>
  <c r="E263" i="22"/>
  <c r="H219" i="22"/>
  <c r="M219" i="22"/>
  <c r="I115" i="22"/>
  <c r="H175" i="22"/>
  <c r="K263" i="22"/>
  <c r="I263" i="22"/>
  <c r="G115" i="22"/>
  <c r="F175" i="22"/>
  <c r="E219" i="22"/>
  <c r="H115" i="22"/>
  <c r="G219" i="22"/>
  <c r="K175" i="22"/>
  <c r="J175" i="22"/>
  <c r="H263" i="22"/>
  <c r="C175" i="22"/>
  <c r="I75" i="22"/>
  <c r="M75" i="22"/>
  <c r="K75" i="22"/>
  <c r="H35" i="22"/>
  <c r="J35" i="22"/>
  <c r="H75" i="22"/>
  <c r="E75" i="22"/>
  <c r="F75" i="22"/>
  <c r="M35" i="22"/>
  <c r="K35" i="22"/>
  <c r="E35" i="22"/>
  <c r="D35" i="22"/>
  <c r="D75" i="22"/>
  <c r="J75" i="22"/>
  <c r="G35" i="22"/>
  <c r="C75" i="22"/>
  <c r="L35" i="22"/>
  <c r="G75" i="22"/>
  <c r="L75" i="22"/>
  <c r="F35" i="22"/>
  <c r="I35" i="22"/>
  <c r="C35" i="22"/>
  <c r="F238" i="22"/>
  <c r="I238" i="22"/>
  <c r="H238" i="22"/>
  <c r="L238" i="22"/>
  <c r="J238" i="22"/>
  <c r="C301" i="22"/>
  <c r="E238" i="22"/>
  <c r="D238" i="22"/>
  <c r="M238" i="22"/>
  <c r="G238" i="22"/>
  <c r="K238" i="22"/>
  <c r="C238" i="22"/>
  <c r="C90" i="22"/>
  <c r="FX1" i="24"/>
  <c r="FX290" i="24"/>
  <c r="J301" i="22"/>
  <c r="M301" i="22"/>
  <c r="K301" i="22"/>
  <c r="L90" i="22"/>
  <c r="L223" i="22"/>
  <c r="K223" i="22"/>
  <c r="J223" i="22"/>
  <c r="J90" i="22"/>
  <c r="K90" i="22"/>
  <c r="J179" i="22"/>
  <c r="L179" i="22"/>
  <c r="M90" i="22"/>
  <c r="M179" i="22"/>
  <c r="M223" i="22"/>
  <c r="L301" i="22"/>
  <c r="K179" i="22"/>
  <c r="D301" i="22"/>
  <c r="E301" i="22"/>
  <c r="C179" i="22"/>
  <c r="F223" i="22"/>
  <c r="G223" i="22"/>
  <c r="E223" i="22"/>
  <c r="D223" i="22"/>
  <c r="I223" i="22"/>
  <c r="H223" i="22"/>
  <c r="D90" i="22"/>
  <c r="F90" i="22"/>
  <c r="E90" i="22"/>
  <c r="H90" i="22"/>
  <c r="I90" i="22"/>
  <c r="G90" i="22"/>
  <c r="H179" i="22"/>
  <c r="E179" i="22"/>
  <c r="D179" i="22"/>
  <c r="F179" i="22"/>
  <c r="G179" i="22"/>
  <c r="I179" i="22"/>
  <c r="F301" i="22"/>
  <c r="B321" i="24"/>
  <c r="B320" i="24"/>
  <c r="B319" i="24"/>
  <c r="B326" i="24"/>
  <c r="B318" i="24"/>
  <c r="B325" i="24"/>
  <c r="B317" i="24"/>
  <c r="B324" i="24"/>
  <c r="B323" i="24"/>
  <c r="B322" i="24"/>
  <c r="H301" i="22"/>
  <c r="G301" i="22"/>
  <c r="I301" i="22"/>
  <c r="H146" i="22" l="1"/>
  <c r="C143" i="22"/>
  <c r="F146" i="22"/>
  <c r="L146" i="22"/>
  <c r="J146" i="22"/>
  <c r="H143" i="22"/>
  <c r="G146" i="22"/>
  <c r="D146" i="22"/>
  <c r="E146" i="22"/>
  <c r="K146" i="22"/>
  <c r="I146" i="22"/>
  <c r="M146" i="22"/>
  <c r="C299" i="22"/>
  <c r="GC309" i="24"/>
  <c r="GB312" i="24"/>
  <c r="GA313" i="24"/>
  <c r="GB310" i="24"/>
  <c r="GA287" i="24"/>
  <c r="GA288" i="24" s="1"/>
  <c r="GA289" i="24" s="1"/>
  <c r="D300" i="22"/>
  <c r="F300" i="22"/>
  <c r="L143" i="22"/>
  <c r="L300" i="22"/>
  <c r="E300" i="22"/>
  <c r="C300" i="22"/>
  <c r="H300" i="22"/>
  <c r="J300" i="22"/>
  <c r="M300" i="22"/>
  <c r="I300" i="22"/>
  <c r="K294" i="22"/>
  <c r="E143" i="22"/>
  <c r="K300" i="22"/>
  <c r="I294" i="22"/>
  <c r="M294" i="22"/>
  <c r="K143" i="22"/>
  <c r="G300" i="22"/>
  <c r="L294" i="22"/>
  <c r="J294" i="22"/>
  <c r="I299" i="22"/>
  <c r="L299" i="22"/>
  <c r="J143" i="22"/>
  <c r="H299" i="22"/>
  <c r="F299" i="22"/>
  <c r="K299" i="22"/>
  <c r="G299" i="22"/>
  <c r="M299" i="22"/>
  <c r="D299" i="22"/>
  <c r="E299" i="22"/>
  <c r="J299" i="22"/>
  <c r="F143" i="22"/>
  <c r="G143" i="22"/>
  <c r="D143" i="22"/>
  <c r="M143" i="22"/>
  <c r="I143" i="22"/>
  <c r="FY1" i="24"/>
  <c r="FY290" i="24"/>
  <c r="M291" i="22"/>
  <c r="L291" i="22"/>
  <c r="J291" i="22"/>
  <c r="K291" i="22"/>
  <c r="I291" i="22"/>
  <c r="H291" i="22"/>
  <c r="C223" i="22"/>
  <c r="B316" i="22"/>
  <c r="L298" i="22" l="1"/>
  <c r="D298" i="22"/>
  <c r="GD309" i="24"/>
  <c r="GC312" i="24"/>
  <c r="GB313" i="24"/>
  <c r="GC310" i="24"/>
  <c r="GB287" i="24"/>
  <c r="GB288" i="24" s="1"/>
  <c r="GB289" i="24" s="1"/>
  <c r="F298" i="22"/>
  <c r="H298" i="22"/>
  <c r="M298" i="22"/>
  <c r="C298" i="22"/>
  <c r="E298" i="22"/>
  <c r="J298" i="22"/>
  <c r="I298" i="22"/>
  <c r="G298" i="22"/>
  <c r="K298" i="22"/>
  <c r="L302" i="22"/>
  <c r="FZ1" i="24"/>
  <c r="FZ290" i="24"/>
  <c r="J302" i="22"/>
  <c r="M302" i="22"/>
  <c r="K302" i="22"/>
  <c r="I302" i="22"/>
  <c r="H302" i="22"/>
  <c r="GD310" i="24" l="1"/>
  <c r="GC313" i="24"/>
  <c r="GE309" i="24"/>
  <c r="GD312" i="24"/>
  <c r="GC287" i="24"/>
  <c r="GC288" i="24" s="1"/>
  <c r="GC289" i="24" s="1"/>
  <c r="GA1" i="24"/>
  <c r="GA290" i="24"/>
  <c r="GD313" i="24" l="1"/>
  <c r="GE310" i="24"/>
  <c r="GF309" i="24"/>
  <c r="GE312" i="24"/>
  <c r="GD287" i="24"/>
  <c r="GD288" i="24" s="1"/>
  <c r="GD289" i="24" s="1"/>
  <c r="GB1" i="24"/>
  <c r="GB290" i="24"/>
  <c r="GG309" i="24" l="1"/>
  <c r="GF312" i="24"/>
  <c r="GE313" i="24"/>
  <c r="GF310" i="24"/>
  <c r="GE287" i="24"/>
  <c r="GE288" i="24" s="1"/>
  <c r="GE289" i="24" s="1"/>
  <c r="GC1" i="24"/>
  <c r="GC290" i="24"/>
  <c r="GG310" i="24" l="1"/>
  <c r="GF313" i="24"/>
  <c r="GH309" i="24"/>
  <c r="GG312" i="24"/>
  <c r="GF287" i="24"/>
  <c r="GF288" i="24" s="1"/>
  <c r="GF289" i="24" s="1"/>
  <c r="GD1" i="24"/>
  <c r="GD290" i="24"/>
  <c r="GH310" i="24" l="1"/>
  <c r="GG313" i="24"/>
  <c r="GI309" i="24"/>
  <c r="GH312" i="24"/>
  <c r="GG287" i="24"/>
  <c r="GG288" i="24" s="1"/>
  <c r="GG289" i="24" s="1"/>
  <c r="GE1" i="24"/>
  <c r="GE290" i="24"/>
  <c r="GH313" i="24" l="1"/>
  <c r="GI310" i="24"/>
  <c r="GJ309" i="24"/>
  <c r="GI312" i="24"/>
  <c r="GH287" i="24"/>
  <c r="GH288" i="24" s="1"/>
  <c r="GH289" i="24" s="1"/>
  <c r="GF1" i="24"/>
  <c r="GF290" i="24"/>
  <c r="GK309" i="24" l="1"/>
  <c r="GJ312" i="24"/>
  <c r="GJ310" i="24"/>
  <c r="GI313" i="24"/>
  <c r="GI287" i="24"/>
  <c r="GI288" i="24" s="1"/>
  <c r="GI289" i="24" s="1"/>
  <c r="GG1" i="24"/>
  <c r="GG290" i="24"/>
  <c r="GK310" i="24" l="1"/>
  <c r="GJ313" i="24"/>
  <c r="GL309" i="24"/>
  <c r="GK312" i="24"/>
  <c r="GJ287" i="24"/>
  <c r="GJ288" i="24" s="1"/>
  <c r="GJ289" i="24" s="1"/>
  <c r="GH1" i="24"/>
  <c r="GH290" i="24"/>
  <c r="GK313" i="24" l="1"/>
  <c r="GL310" i="24"/>
  <c r="GM309" i="24"/>
  <c r="GL312" i="24"/>
  <c r="GK287" i="24"/>
  <c r="GK288" i="24" s="1"/>
  <c r="GK289" i="24" s="1"/>
  <c r="GI1" i="24"/>
  <c r="GI290" i="24"/>
  <c r="GM310" i="24" l="1"/>
  <c r="GL313" i="24"/>
  <c r="GN309" i="24"/>
  <c r="GM312" i="24"/>
  <c r="GL287" i="24"/>
  <c r="GL288" i="24" s="1"/>
  <c r="GL289" i="24" s="1"/>
  <c r="GJ1" i="24"/>
  <c r="GJ290" i="24"/>
  <c r="GO309" i="24" l="1"/>
  <c r="GN312" i="24"/>
  <c r="GN310" i="24"/>
  <c r="GM313" i="24"/>
  <c r="GM287" i="24"/>
  <c r="GM288" i="24" s="1"/>
  <c r="GM289" i="24" s="1"/>
  <c r="GK1" i="24"/>
  <c r="GK290" i="24"/>
  <c r="GP309" i="24" l="1"/>
  <c r="GO312" i="24"/>
  <c r="GN313" i="24"/>
  <c r="GO310" i="24"/>
  <c r="GN287" i="24"/>
  <c r="GN288" i="24" s="1"/>
  <c r="GN289" i="24" s="1"/>
  <c r="GL1" i="24"/>
  <c r="GL290" i="24"/>
  <c r="GQ309" i="24" l="1"/>
  <c r="GP312" i="24"/>
  <c r="GO313" i="24"/>
  <c r="GP310" i="24"/>
  <c r="GO287" i="24"/>
  <c r="GO288" i="24" s="1"/>
  <c r="GO289" i="24" s="1"/>
  <c r="GM1" i="24"/>
  <c r="GM290" i="24"/>
  <c r="GR309" i="24" l="1"/>
  <c r="GQ312" i="24"/>
  <c r="GQ310" i="24"/>
  <c r="GP313" i="24"/>
  <c r="GP287" i="24"/>
  <c r="GP288" i="24" s="1"/>
  <c r="GP289" i="24" s="1"/>
  <c r="GN1" i="24"/>
  <c r="GN290" i="24"/>
  <c r="GQ313" i="24" l="1"/>
  <c r="GR310" i="24"/>
  <c r="GS309" i="24"/>
  <c r="GR312" i="24"/>
  <c r="GQ287" i="24"/>
  <c r="GQ288" i="24" s="1"/>
  <c r="GQ289" i="24" s="1"/>
  <c r="GO1" i="24"/>
  <c r="GO290" i="24"/>
  <c r="GR313" i="24" l="1"/>
  <c r="GS310" i="24"/>
  <c r="GT309" i="24"/>
  <c r="GT312" i="24" s="1"/>
  <c r="GS312" i="24"/>
  <c r="GR287" i="24"/>
  <c r="GR288" i="24" s="1"/>
  <c r="GR289" i="24" s="1"/>
  <c r="GP1" i="24"/>
  <c r="GP290" i="24"/>
  <c r="GS313" i="24" l="1"/>
  <c r="GT310" i="24"/>
  <c r="GT313" i="24" s="1"/>
  <c r="GS287" i="24"/>
  <c r="GS288" i="24" s="1"/>
  <c r="GS289" i="24" s="1"/>
  <c r="GQ1" i="24"/>
  <c r="GQ290" i="24"/>
  <c r="GT287" i="24" l="1"/>
  <c r="GR1" i="24"/>
  <c r="GR290" i="24"/>
  <c r="GT288" i="24" l="1"/>
  <c r="GT289" i="24" s="1"/>
  <c r="GS1" i="24"/>
  <c r="GS290" i="24"/>
  <c r="C144" i="22"/>
  <c r="C146" i="22" s="1"/>
  <c r="B1" i="24"/>
  <c r="GT1" i="24" l="1"/>
  <c r="GT290" i="24"/>
  <c r="C290" i="24"/>
  <c r="C296" i="24" l="1"/>
  <c r="C298" i="24" s="1"/>
  <c r="C1" i="24"/>
  <c r="H12" i="24"/>
  <c r="I91" i="31"/>
  <c r="I12" i="24"/>
  <c r="K12" i="24"/>
  <c r="J91" i="31"/>
  <c r="J96" i="31" s="1"/>
  <c r="J109" i="31" s="1"/>
  <c r="I313" i="24" s="1"/>
  <c r="L91" i="31"/>
  <c r="L96" i="31" s="1"/>
  <c r="L109" i="31" s="1"/>
  <c r="K313" i="24" s="1"/>
  <c r="D296" i="24" l="1"/>
  <c r="D298" i="24" s="1"/>
  <c r="I96" i="31"/>
  <c r="I109" i="31" s="1"/>
  <c r="H313" i="24" s="1"/>
  <c r="D269" i="22"/>
  <c r="I283" i="24"/>
  <c r="I288" i="24" s="1"/>
  <c r="I289" i="24" s="1"/>
  <c r="H283" i="24"/>
  <c r="H288" i="24" s="1"/>
  <c r="H289" i="24" s="1"/>
  <c r="C269" i="22"/>
  <c r="K283" i="24"/>
  <c r="K288" i="24" s="1"/>
  <c r="K289" i="24" s="1"/>
  <c r="E296" i="24" l="1"/>
  <c r="E298" i="24" s="1"/>
  <c r="M91" i="31"/>
  <c r="M96" i="31"/>
  <c r="M109" i="31" s="1"/>
  <c r="L313" i="24" s="1"/>
  <c r="N91" i="31"/>
  <c r="N96" i="31"/>
  <c r="N109" i="31" s="1"/>
  <c r="M313" i="24" s="1"/>
  <c r="O91" i="31"/>
  <c r="O96" i="31" s="1"/>
  <c r="O109" i="31" s="1"/>
  <c r="N313" i="24" s="1"/>
  <c r="P91" i="31"/>
  <c r="P96" i="31" s="1"/>
  <c r="P109" i="31" s="1"/>
  <c r="O313" i="24" s="1"/>
  <c r="Q91" i="31"/>
  <c r="Q96" i="31" s="1"/>
  <c r="Q109" i="31" s="1"/>
  <c r="P313" i="24" s="1"/>
  <c r="R91" i="31"/>
  <c r="R96" i="31"/>
  <c r="R109" i="31" s="1"/>
  <c r="Q313" i="24" s="1"/>
  <c r="S91" i="31"/>
  <c r="S96" i="31" s="1"/>
  <c r="S109" i="31" s="1"/>
  <c r="R313" i="24" s="1"/>
  <c r="T91" i="31"/>
  <c r="T96" i="31" s="1"/>
  <c r="T109" i="31" s="1"/>
  <c r="S313" i="24" s="1"/>
  <c r="U91" i="31"/>
  <c r="U96" i="31" s="1"/>
  <c r="U109" i="31" s="1"/>
  <c r="T313" i="24" s="1"/>
  <c r="V91" i="31"/>
  <c r="V96" i="31" s="1"/>
  <c r="V109" i="31" s="1"/>
  <c r="U313" i="24" s="1"/>
  <c r="W91" i="31"/>
  <c r="W96" i="31" s="1"/>
  <c r="W109" i="31" s="1"/>
  <c r="V313" i="24" s="1"/>
  <c r="X91" i="31"/>
  <c r="X96" i="31" s="1"/>
  <c r="X109" i="31" s="1"/>
  <c r="W313" i="24" s="1"/>
  <c r="Y91" i="31"/>
  <c r="Y96" i="31" s="1"/>
  <c r="Y109" i="31" s="1"/>
  <c r="X313" i="24" s="1"/>
  <c r="Z91" i="31"/>
  <c r="Z96" i="31" s="1"/>
  <c r="Z109" i="31" s="1"/>
  <c r="Y313" i="24" s="1"/>
  <c r="AA91" i="31"/>
  <c r="AA96" i="31" s="1"/>
  <c r="AA109" i="31" s="1"/>
  <c r="Z313" i="24" s="1"/>
  <c r="AB91" i="31"/>
  <c r="AB96" i="31" s="1"/>
  <c r="AB109" i="31" s="1"/>
  <c r="AA313" i="24" s="1"/>
  <c r="AC91" i="31"/>
  <c r="AC96" i="31" s="1"/>
  <c r="AC109" i="31" s="1"/>
  <c r="AB313" i="24" s="1"/>
  <c r="AD91" i="31"/>
  <c r="AD96" i="31" s="1"/>
  <c r="AD109" i="31" s="1"/>
  <c r="AC313" i="24" s="1"/>
  <c r="AE91" i="31"/>
  <c r="AE96" i="31"/>
  <c r="AE109" i="31" s="1"/>
  <c r="AD313" i="24" s="1"/>
  <c r="AF91" i="31"/>
  <c r="AF96" i="31" s="1"/>
  <c r="AF109" i="31" s="1"/>
  <c r="AE313" i="24" s="1"/>
  <c r="AG91" i="31"/>
  <c r="AG96" i="31" s="1"/>
  <c r="AG109" i="31" s="1"/>
  <c r="AF313" i="24" s="1"/>
  <c r="AH91" i="31"/>
  <c r="AH96" i="31" s="1"/>
  <c r="AH109" i="31" s="1"/>
  <c r="AG313" i="24" s="1"/>
  <c r="AI91" i="31"/>
  <c r="AI96" i="31" s="1"/>
  <c r="AI109" i="31" s="1"/>
  <c r="AH313" i="24" s="1"/>
  <c r="AJ91" i="31"/>
  <c r="AJ96" i="31" s="1"/>
  <c r="AJ109" i="31" s="1"/>
  <c r="AI313" i="24" s="1"/>
  <c r="AK91" i="31"/>
  <c r="AK96" i="31" s="1"/>
  <c r="AK109" i="31" s="1"/>
  <c r="AJ313" i="24" s="1"/>
  <c r="AL91" i="31"/>
  <c r="AL96" i="31" s="1"/>
  <c r="AL109" i="31" s="1"/>
  <c r="AK313" i="24" s="1"/>
  <c r="AM91" i="31"/>
  <c r="AM96" i="31" s="1"/>
  <c r="AM109" i="31" s="1"/>
  <c r="AL313" i="24" s="1"/>
  <c r="AN91" i="31"/>
  <c r="AN96" i="31" s="1"/>
  <c r="AN109" i="31" s="1"/>
  <c r="AM313" i="24" s="1"/>
  <c r="AO91" i="31"/>
  <c r="AO96" i="31" s="1"/>
  <c r="AO109" i="31" s="1"/>
  <c r="AN313" i="24" s="1"/>
  <c r="AP91" i="31"/>
  <c r="AP96" i="31" s="1"/>
  <c r="AP109" i="31" s="1"/>
  <c r="AO313" i="24" s="1"/>
  <c r="AQ91" i="31"/>
  <c r="AQ96" i="31" s="1"/>
  <c r="AQ109" i="31" s="1"/>
  <c r="AP313" i="24" s="1"/>
  <c r="AR91" i="31"/>
  <c r="AR96" i="31" s="1"/>
  <c r="AR109" i="31" s="1"/>
  <c r="AQ313" i="24" s="1"/>
  <c r="AS91" i="31"/>
  <c r="AS96" i="31" s="1"/>
  <c r="AS109" i="31" s="1"/>
  <c r="AR313" i="24" s="1"/>
  <c r="AT91" i="31"/>
  <c r="AT96" i="31"/>
  <c r="AT109" i="31" s="1"/>
  <c r="AS313" i="24" s="1"/>
  <c r="AU91" i="31"/>
  <c r="AU96" i="31" s="1"/>
  <c r="AU109" i="31" s="1"/>
  <c r="AT313" i="24" s="1"/>
  <c r="AV91" i="31"/>
  <c r="AV96" i="31" s="1"/>
  <c r="AV109" i="31" s="1"/>
  <c r="AU313" i="24" s="1"/>
  <c r="AW91" i="31"/>
  <c r="AW96" i="31" s="1"/>
  <c r="AW109" i="31" s="1"/>
  <c r="AV313" i="24" s="1"/>
  <c r="AX91" i="31"/>
  <c r="AX96" i="31" s="1"/>
  <c r="AX109" i="31" s="1"/>
  <c r="AW313" i="24" s="1"/>
  <c r="AY91" i="31"/>
  <c r="AY96" i="31" s="1"/>
  <c r="AY109" i="31" s="1"/>
  <c r="AX313" i="24" s="1"/>
  <c r="AZ91" i="31"/>
  <c r="AZ96" i="31"/>
  <c r="AZ109" i="31" s="1"/>
  <c r="AY313" i="24" s="1"/>
  <c r="BA91" i="31"/>
  <c r="BA96" i="31" s="1"/>
  <c r="BA109" i="31" s="1"/>
  <c r="AZ313" i="24" s="1"/>
  <c r="BB91" i="31"/>
  <c r="BB96" i="31" s="1"/>
  <c r="BB109" i="31" s="1"/>
  <c r="BA313" i="24" s="1"/>
  <c r="BC91" i="31"/>
  <c r="BC96" i="31" s="1"/>
  <c r="BC109" i="31" s="1"/>
  <c r="BB313" i="24" s="1"/>
  <c r="BD91" i="31"/>
  <c r="BD96" i="31" s="1"/>
  <c r="BD109" i="31" s="1"/>
  <c r="BC313" i="24" s="1"/>
  <c r="BF91" i="31"/>
  <c r="BF96" i="31" s="1"/>
  <c r="BF109" i="31" s="1"/>
  <c r="BE313" i="24" s="1"/>
  <c r="BG91" i="31"/>
  <c r="BG96" i="31" s="1"/>
  <c r="BG109" i="31" s="1"/>
  <c r="BF313" i="24" s="1"/>
  <c r="BH91" i="31"/>
  <c r="BH96" i="31"/>
  <c r="BH109" i="31" s="1"/>
  <c r="BG313" i="24" s="1"/>
  <c r="BI91" i="31"/>
  <c r="BI96" i="31"/>
  <c r="BI109" i="31" s="1"/>
  <c r="BH313" i="24" s="1"/>
  <c r="BJ91" i="31"/>
  <c r="BJ96" i="31"/>
  <c r="BJ109" i="31" s="1"/>
  <c r="BI313" i="24" s="1"/>
  <c r="E268" i="22"/>
  <c r="E273" i="22" s="1"/>
  <c r="E291" i="22" s="1"/>
  <c r="E302" i="22" s="1"/>
  <c r="C268" i="22" l="1"/>
  <c r="C273" i="22" s="1"/>
  <c r="C291" i="22" s="1"/>
  <c r="F296" i="24"/>
  <c r="F298" i="24" s="1"/>
  <c r="H1" i="24"/>
  <c r="I1" i="24"/>
  <c r="I290" i="24"/>
  <c r="C302" i="22"/>
  <c r="G268" i="22"/>
  <c r="G273" i="22" s="1"/>
  <c r="G291" i="22" s="1"/>
  <c r="G302" i="22" s="1"/>
  <c r="F268" i="22"/>
  <c r="F273" i="22" s="1"/>
  <c r="F291" i="22" s="1"/>
  <c r="F302" i="22" s="1"/>
  <c r="AX283" i="24"/>
  <c r="AX288" i="24" s="1"/>
  <c r="AX289" i="24" s="1"/>
  <c r="Z283" i="24"/>
  <c r="Z288" i="24" s="1"/>
  <c r="Z289" i="24" s="1"/>
  <c r="AV283" i="24"/>
  <c r="AV288" i="24" s="1"/>
  <c r="AV289" i="24" s="1"/>
  <c r="AD283" i="24"/>
  <c r="AD288" i="24" s="1"/>
  <c r="AD289" i="24" s="1"/>
  <c r="X283" i="24"/>
  <c r="X288" i="24" s="1"/>
  <c r="X289" i="24" s="1"/>
  <c r="R283" i="24"/>
  <c r="R288" i="24" s="1"/>
  <c r="R289" i="24" s="1"/>
  <c r="AL283" i="24"/>
  <c r="AL288" i="24" s="1"/>
  <c r="AL289" i="24" s="1"/>
  <c r="BB283" i="24"/>
  <c r="BB288" i="24" s="1"/>
  <c r="BB289" i="24" s="1"/>
  <c r="AP283" i="24"/>
  <c r="AP288" i="24" s="1"/>
  <c r="AP289" i="24" s="1"/>
  <c r="AR283" i="24"/>
  <c r="AR288" i="24" s="1"/>
  <c r="AR289" i="24" s="1"/>
  <c r="BE283" i="24"/>
  <c r="BE288" i="24" s="1"/>
  <c r="BE289" i="24" s="1"/>
  <c r="AF283" i="24"/>
  <c r="AF288" i="24" s="1"/>
  <c r="AF289" i="24" s="1"/>
  <c r="AZ283" i="24"/>
  <c r="AZ288" i="24" s="1"/>
  <c r="AZ289" i="24" s="1"/>
  <c r="AT283" i="24"/>
  <c r="AT288" i="24" s="1"/>
  <c r="AT289" i="24" s="1"/>
  <c r="AH283" i="24"/>
  <c r="AH288" i="24" s="1"/>
  <c r="AH289" i="24" s="1"/>
  <c r="BG283" i="24"/>
  <c r="BG288" i="24" s="1"/>
  <c r="BG289" i="24" s="1"/>
  <c r="AN283" i="24"/>
  <c r="AN288" i="24" s="1"/>
  <c r="AN289" i="24" s="1"/>
  <c r="AB283" i="24"/>
  <c r="AB288" i="24" s="1"/>
  <c r="AB289" i="24" s="1"/>
  <c r="K1" i="24"/>
  <c r="K290" i="24"/>
  <c r="D268" i="22"/>
  <c r="D273" i="22" s="1"/>
  <c r="D291" i="22" s="1"/>
  <c r="D302" i="22" s="1"/>
  <c r="L283" i="24"/>
  <c r="L288" i="24" s="1"/>
  <c r="L289" i="24" s="1"/>
  <c r="BI283" i="24"/>
  <c r="BI288" i="24" s="1"/>
  <c r="BI289" i="24" s="1"/>
  <c r="T283" i="24"/>
  <c r="T288" i="24" s="1"/>
  <c r="T289" i="24" s="1"/>
  <c r="P283" i="24"/>
  <c r="P288" i="24" s="1"/>
  <c r="P289" i="24" s="1"/>
  <c r="AJ283" i="24"/>
  <c r="AJ288" i="24" s="1"/>
  <c r="AJ289" i="24" s="1"/>
  <c r="V283" i="24"/>
  <c r="V288" i="24" s="1"/>
  <c r="V289" i="24" s="1"/>
  <c r="N283" i="24"/>
  <c r="N288" i="24" s="1"/>
  <c r="N289" i="24" s="1"/>
  <c r="AK283" i="24"/>
  <c r="AK288" i="24" s="1"/>
  <c r="AK289" i="24" s="1"/>
  <c r="M283" i="24"/>
  <c r="M288" i="24" s="1"/>
  <c r="M289" i="24" s="1"/>
  <c r="AS283" i="24"/>
  <c r="AS288" i="24" s="1"/>
  <c r="AS289" i="24" s="1"/>
  <c r="U283" i="24"/>
  <c r="U288" i="24" s="1"/>
  <c r="U289" i="24" s="1"/>
  <c r="BC283" i="24"/>
  <c r="BC288" i="24" s="1"/>
  <c r="BC289" i="24" s="1"/>
  <c r="AU283" i="24"/>
  <c r="AU288" i="24" s="1"/>
  <c r="AU289" i="24" s="1"/>
  <c r="AM283" i="24"/>
  <c r="AM288" i="24" s="1"/>
  <c r="AM289" i="24" s="1"/>
  <c r="AE283" i="24"/>
  <c r="AE288" i="24" s="1"/>
  <c r="AE289" i="24" s="1"/>
  <c r="W283" i="24"/>
  <c r="W288" i="24" s="1"/>
  <c r="W289" i="24" s="1"/>
  <c r="O283" i="24"/>
  <c r="O288" i="24" s="1"/>
  <c r="O289" i="24" s="1"/>
  <c r="BF283" i="24"/>
  <c r="BF288" i="24" s="1"/>
  <c r="BF289" i="24" s="1"/>
  <c r="AW283" i="24"/>
  <c r="AW288" i="24" s="1"/>
  <c r="AW289" i="24" s="1"/>
  <c r="AO283" i="24"/>
  <c r="AO288" i="24" s="1"/>
  <c r="AO289" i="24" s="1"/>
  <c r="AG283" i="24"/>
  <c r="AG288" i="24" s="1"/>
  <c r="AG289" i="24" s="1"/>
  <c r="Y283" i="24"/>
  <c r="Y288" i="24" s="1"/>
  <c r="Y289" i="24" s="1"/>
  <c r="Q283" i="24"/>
  <c r="Q288" i="24" s="1"/>
  <c r="Q289" i="24" s="1"/>
  <c r="BA283" i="24"/>
  <c r="BA288" i="24" s="1"/>
  <c r="BA289" i="24" s="1"/>
  <c r="AC283" i="24"/>
  <c r="AC288" i="24" s="1"/>
  <c r="AC289" i="24" s="1"/>
  <c r="BH283" i="24"/>
  <c r="BH288" i="24" s="1"/>
  <c r="BH289" i="24" s="1"/>
  <c r="AY283" i="24"/>
  <c r="AY288" i="24" s="1"/>
  <c r="AY289" i="24" s="1"/>
  <c r="AQ283" i="24"/>
  <c r="AQ288" i="24" s="1"/>
  <c r="AQ289" i="24" s="1"/>
  <c r="AI283" i="24"/>
  <c r="AI288" i="24" s="1"/>
  <c r="AI289" i="24" s="1"/>
  <c r="AA283" i="24"/>
  <c r="AA288" i="24" s="1"/>
  <c r="AA289" i="24" s="1"/>
  <c r="S283" i="24"/>
  <c r="S288" i="24" s="1"/>
  <c r="S289" i="24" s="1"/>
  <c r="C292" i="22"/>
  <c r="C294" i="22" s="1"/>
  <c r="B293" i="24" l="1"/>
  <c r="B292" i="24" s="1"/>
  <c r="G296" i="24"/>
  <c r="G298" i="24" s="1"/>
  <c r="H290" i="24"/>
  <c r="H295" i="24"/>
  <c r="C316" i="22"/>
  <c r="H304" i="22"/>
  <c r="G292" i="22"/>
  <c r="G294" i="22" s="1"/>
  <c r="H292" i="22"/>
  <c r="H294" i="22" s="1"/>
  <c r="E292" i="22"/>
  <c r="E294" i="22" s="1"/>
  <c r="F292" i="22"/>
  <c r="F294" i="22" s="1"/>
  <c r="D292" i="22"/>
  <c r="D294" i="22" s="1"/>
  <c r="H296" i="24" l="1"/>
  <c r="H298" i="24" s="1"/>
  <c r="M290" i="24"/>
  <c r="AT1" i="24"/>
  <c r="AL290" i="24"/>
  <c r="BH1" i="24"/>
  <c r="BE1" i="24"/>
  <c r="AF1" i="24"/>
  <c r="AB1" i="24"/>
  <c r="AN1" i="24"/>
  <c r="R290" i="24"/>
  <c r="AH290" i="24"/>
  <c r="H297" i="24"/>
  <c r="I295" i="24"/>
  <c r="BG290" i="24"/>
  <c r="AR290" i="24"/>
  <c r="AZ1" i="24"/>
  <c r="Z1" i="24"/>
  <c r="Z290" i="24"/>
  <c r="D304" i="22"/>
  <c r="G304" i="22"/>
  <c r="C304" i="22"/>
  <c r="AV290" i="24"/>
  <c r="AV1" i="24"/>
  <c r="AD1" i="24"/>
  <c r="AD290" i="24"/>
  <c r="BB290" i="24"/>
  <c r="BB1" i="24"/>
  <c r="X290" i="24"/>
  <c r="X1" i="24"/>
  <c r="AP1" i="24"/>
  <c r="AP290" i="24"/>
  <c r="BG1" i="24"/>
  <c r="C305" i="22"/>
  <c r="C307" i="22" s="1"/>
  <c r="C310" i="22" s="1"/>
  <c r="C331" i="22"/>
  <c r="H306" i="22"/>
  <c r="T1" i="24"/>
  <c r="T290" i="24"/>
  <c r="AY1" i="24"/>
  <c r="AY290" i="24"/>
  <c r="L1" i="24"/>
  <c r="L290" i="24"/>
  <c r="AG1" i="24"/>
  <c r="AG290" i="24"/>
  <c r="AK1" i="24"/>
  <c r="AK290" i="24"/>
  <c r="N1" i="24"/>
  <c r="N290" i="24"/>
  <c r="BA1" i="24"/>
  <c r="BA290" i="24"/>
  <c r="Y1" i="24"/>
  <c r="Y290" i="24"/>
  <c r="P1" i="24"/>
  <c r="P290" i="24"/>
  <c r="AO1" i="24"/>
  <c r="AO290" i="24"/>
  <c r="BC1" i="24"/>
  <c r="BC290" i="24"/>
  <c r="AU1" i="24"/>
  <c r="AU290" i="24"/>
  <c r="U1" i="24"/>
  <c r="U290" i="24"/>
  <c r="W1" i="24"/>
  <c r="W290" i="24"/>
  <c r="AA1" i="24"/>
  <c r="AA290" i="24"/>
  <c r="AQ1" i="24"/>
  <c r="AQ290" i="24"/>
  <c r="AC1" i="24"/>
  <c r="AC290" i="24"/>
  <c r="Q1" i="24"/>
  <c r="Q290" i="24"/>
  <c r="AI1" i="24"/>
  <c r="AI290" i="24"/>
  <c r="BI1" i="24"/>
  <c r="BI290" i="24"/>
  <c r="AE1" i="24"/>
  <c r="AE290" i="24"/>
  <c r="AS1" i="24"/>
  <c r="AS290" i="24"/>
  <c r="S1" i="24"/>
  <c r="S290" i="24"/>
  <c r="BF1" i="24"/>
  <c r="BF290" i="24"/>
  <c r="V1" i="24"/>
  <c r="V290" i="24"/>
  <c r="AM1" i="24"/>
  <c r="AM290" i="24"/>
  <c r="F304" i="22"/>
  <c r="H331" i="22"/>
  <c r="E304" i="22"/>
  <c r="M1" i="24"/>
  <c r="I296" i="24" l="1"/>
  <c r="I298" i="24" s="1"/>
  <c r="D331" i="22"/>
  <c r="F305" i="22"/>
  <c r="D305" i="22"/>
  <c r="D307" i="22" s="1"/>
  <c r="D310" i="22" s="1"/>
  <c r="AZ290" i="24"/>
  <c r="AT290" i="24"/>
  <c r="AR1" i="24"/>
  <c r="AB290" i="24"/>
  <c r="AF290" i="24"/>
  <c r="R1" i="24"/>
  <c r="E305" i="22"/>
  <c r="AN290" i="24"/>
  <c r="I297" i="24"/>
  <c r="J295" i="24"/>
  <c r="BE290" i="24"/>
  <c r="AH1" i="24"/>
  <c r="BH290" i="24"/>
  <c r="AL1" i="24"/>
  <c r="AX1" i="24"/>
  <c r="AX290" i="24"/>
  <c r="G305" i="22"/>
  <c r="C306" i="22"/>
  <c r="C308" i="22" s="1"/>
  <c r="C311" i="22" s="1"/>
  <c r="E331" i="22"/>
  <c r="AW1" i="24"/>
  <c r="AW290" i="24"/>
  <c r="AJ290" i="24"/>
  <c r="O1" i="24"/>
  <c r="O290" i="24"/>
  <c r="D306" i="22" s="1"/>
  <c r="G331" i="22"/>
  <c r="AJ1" i="24"/>
  <c r="F331" i="22"/>
  <c r="E307" i="22" l="1"/>
  <c r="J296" i="24"/>
  <c r="J298" i="24" s="1"/>
  <c r="B291" i="24"/>
  <c r="C312" i="22" s="1"/>
  <c r="G306" i="22"/>
  <c r="M307" i="22"/>
  <c r="F307" i="22"/>
  <c r="F310" i="22" s="1"/>
  <c r="J297" i="24"/>
  <c r="K295" i="24"/>
  <c r="K307" i="22"/>
  <c r="G307" i="22"/>
  <c r="C332" i="22"/>
  <c r="I307" i="22"/>
  <c r="J307" i="22"/>
  <c r="H307" i="22"/>
  <c r="L307" i="22"/>
  <c r="F306" i="22"/>
  <c r="E310" i="22"/>
  <c r="E306" i="22"/>
  <c r="D308" i="22"/>
  <c r="D311" i="22" s="1"/>
  <c r="K296" i="24" l="1"/>
  <c r="K298" i="24" s="1"/>
  <c r="G310" i="22"/>
  <c r="K310" i="22"/>
  <c r="L310" i="22"/>
  <c r="K297" i="24"/>
  <c r="L295" i="24"/>
  <c r="J310" i="22"/>
  <c r="H310" i="22"/>
  <c r="M310" i="22"/>
  <c r="I310" i="22"/>
  <c r="G308" i="22"/>
  <c r="K308" i="22"/>
  <c r="H308" i="22"/>
  <c r="J308" i="22"/>
  <c r="F308" i="22"/>
  <c r="L308" i="22"/>
  <c r="I308" i="22"/>
  <c r="E308" i="22"/>
  <c r="E311" i="22" s="1"/>
  <c r="M308" i="22"/>
  <c r="L296" i="24" l="1"/>
  <c r="L298" i="24" s="1"/>
  <c r="L297" i="24"/>
  <c r="M295" i="24"/>
  <c r="G311" i="22"/>
  <c r="H311" i="22"/>
  <c r="L311" i="22"/>
  <c r="I311" i="22"/>
  <c r="K311" i="22"/>
  <c r="J311" i="22"/>
  <c r="M311" i="22"/>
  <c r="F311" i="22"/>
  <c r="M296" i="24" l="1"/>
  <c r="M298" i="24" s="1"/>
  <c r="M297" i="24"/>
  <c r="N295" i="24"/>
  <c r="N296" i="24"/>
  <c r="N298" i="24" s="1"/>
  <c r="N297" i="24" l="1"/>
  <c r="O295" i="24"/>
  <c r="O296" i="24"/>
  <c r="O298" i="24" s="1"/>
  <c r="O297" i="24" l="1"/>
  <c r="P295" i="24"/>
  <c r="P296" i="24"/>
  <c r="P298" i="24" s="1"/>
  <c r="P297" i="24" l="1"/>
  <c r="Q295" i="24"/>
  <c r="Q296" i="24"/>
  <c r="Q298" i="24" s="1"/>
  <c r="Q297" i="24" l="1"/>
  <c r="R295" i="24"/>
  <c r="R296" i="24"/>
  <c r="R298" i="24" s="1"/>
  <c r="R297" i="24" l="1"/>
  <c r="S295" i="24"/>
  <c r="S296" i="24"/>
  <c r="S298" i="24" s="1"/>
  <c r="S297" i="24" l="1"/>
  <c r="T295" i="24"/>
  <c r="T296" i="24"/>
  <c r="T298" i="24" s="1"/>
  <c r="T297" i="24" l="1"/>
  <c r="U295" i="24"/>
  <c r="U296" i="24"/>
  <c r="U298" i="24" s="1"/>
  <c r="U297" i="24" l="1"/>
  <c r="V295" i="24"/>
  <c r="V296" i="24"/>
  <c r="V298" i="24" s="1"/>
  <c r="V297" i="24" l="1"/>
  <c r="W295" i="24"/>
  <c r="W296" i="24"/>
  <c r="W298" i="24" s="1"/>
  <c r="W297" i="24" l="1"/>
  <c r="X295" i="24"/>
  <c r="X296" i="24"/>
  <c r="X298" i="24" s="1"/>
  <c r="X297" i="24" l="1"/>
  <c r="Y295" i="24"/>
  <c r="Y296" i="24"/>
  <c r="Y298" i="24" s="1"/>
  <c r="Y297" i="24" l="1"/>
  <c r="Z295" i="24"/>
  <c r="Z296" i="24"/>
  <c r="Z298" i="24" s="1"/>
  <c r="Z297" i="24" l="1"/>
  <c r="AA295" i="24"/>
  <c r="AA296" i="24"/>
  <c r="AA298" i="24" s="1"/>
  <c r="AA297" i="24" l="1"/>
  <c r="AB295" i="24"/>
  <c r="AB296" i="24"/>
  <c r="AB298" i="24" s="1"/>
  <c r="AB297" i="24" l="1"/>
  <c r="AC295" i="24"/>
  <c r="AC296" i="24"/>
  <c r="AC298" i="24" s="1"/>
  <c r="AC297" i="24" l="1"/>
  <c r="AD295" i="24"/>
  <c r="AD296" i="24"/>
  <c r="AD298" i="24" s="1"/>
  <c r="AD297" i="24" l="1"/>
  <c r="AE295" i="24"/>
  <c r="AE296" i="24"/>
  <c r="AE298" i="24" s="1"/>
  <c r="AE297" i="24" l="1"/>
  <c r="AF295" i="24"/>
  <c r="AF296" i="24"/>
  <c r="AF298" i="24" s="1"/>
  <c r="AF297" i="24" l="1"/>
  <c r="AG295" i="24"/>
  <c r="AG296" i="24"/>
  <c r="AG298" i="24" s="1"/>
  <c r="AG297" i="24" l="1"/>
  <c r="AH295" i="24"/>
  <c r="AH296" i="24"/>
  <c r="AH298" i="24" s="1"/>
  <c r="AH297" i="24" l="1"/>
  <c r="AI295" i="24"/>
  <c r="AI296" i="24"/>
  <c r="AI298" i="24" s="1"/>
  <c r="AI297" i="24" l="1"/>
  <c r="AJ295" i="24"/>
  <c r="AJ296" i="24"/>
  <c r="AJ298" i="24" s="1"/>
  <c r="AJ297" i="24" l="1"/>
  <c r="AK295" i="24"/>
  <c r="AK296" i="24"/>
  <c r="AK298" i="24" s="1"/>
  <c r="AK297" i="24" l="1"/>
  <c r="AL295" i="24"/>
  <c r="AL296" i="24"/>
  <c r="AL298" i="24" s="1"/>
  <c r="AL297" i="24" l="1"/>
  <c r="AM295" i="24"/>
  <c r="AM296" i="24"/>
  <c r="AM298" i="24" s="1"/>
  <c r="AM297" i="24" l="1"/>
  <c r="AN295" i="24"/>
  <c r="AN296" i="24"/>
  <c r="AN298" i="24" s="1"/>
  <c r="AN297" i="24" l="1"/>
  <c r="AO295" i="24"/>
  <c r="AO296" i="24"/>
  <c r="AO298" i="24" s="1"/>
  <c r="AO297" i="24" l="1"/>
  <c r="AP295" i="24"/>
  <c r="AP296" i="24"/>
  <c r="AP298" i="24" s="1"/>
  <c r="AP297" i="24" l="1"/>
  <c r="AQ295" i="24"/>
  <c r="AQ296" i="24"/>
  <c r="AQ298" i="24" s="1"/>
  <c r="AQ297" i="24" l="1"/>
  <c r="AR295" i="24"/>
  <c r="AR296" i="24"/>
  <c r="AR298" i="24" s="1"/>
  <c r="AR297" i="24" l="1"/>
  <c r="AS295" i="24"/>
  <c r="AS296" i="24"/>
  <c r="AS298" i="24" s="1"/>
  <c r="AS297" i="24" l="1"/>
  <c r="AT295" i="24"/>
  <c r="AT296" i="24"/>
  <c r="AT298" i="24" s="1"/>
  <c r="AT297" i="24" l="1"/>
  <c r="AU295" i="24"/>
  <c r="AU296" i="24"/>
  <c r="AU298" i="24" s="1"/>
  <c r="AU297" i="24" l="1"/>
  <c r="AV295" i="24"/>
  <c r="AV296" i="24"/>
  <c r="AV298" i="24" s="1"/>
  <c r="AV297" i="24" l="1"/>
  <c r="AW295" i="24"/>
  <c r="AW296" i="24"/>
  <c r="AW298" i="24" s="1"/>
  <c r="AW297" i="24" l="1"/>
  <c r="AX295" i="24"/>
  <c r="AX296" i="24"/>
  <c r="AX298" i="24" s="1"/>
  <c r="AX297" i="24" l="1"/>
  <c r="AY295" i="24"/>
  <c r="AY296" i="24"/>
  <c r="AY298" i="24" s="1"/>
  <c r="AY297" i="24" l="1"/>
  <c r="AZ295" i="24"/>
  <c r="AZ296" i="24"/>
  <c r="AZ298" i="24" s="1"/>
  <c r="AZ297" i="24" l="1"/>
  <c r="BA295" i="24"/>
  <c r="BA296" i="24"/>
  <c r="BA298" i="24" s="1"/>
  <c r="BA297" i="24" l="1"/>
  <c r="BB295" i="24"/>
  <c r="BB296" i="24"/>
  <c r="BB298" i="24" s="1"/>
  <c r="BB297" i="24" l="1"/>
  <c r="BC295" i="24"/>
  <c r="BC296" i="24"/>
  <c r="BC298" i="24" s="1"/>
  <c r="BC297" i="24" l="1"/>
  <c r="BD295" i="24"/>
  <c r="BD296" i="24"/>
  <c r="BD298" i="24" s="1"/>
  <c r="BD297" i="24" l="1"/>
  <c r="BE295" i="24"/>
  <c r="BE296" i="24"/>
  <c r="BE298" i="24" s="1"/>
  <c r="BE297" i="24" l="1"/>
  <c r="BF295" i="24"/>
  <c r="BF296" i="24"/>
  <c r="BF298" i="24" s="1"/>
  <c r="BF297" i="24" l="1"/>
  <c r="BG295" i="24"/>
  <c r="BG296" i="24"/>
  <c r="BG298" i="24" s="1"/>
  <c r="BG297" i="24" l="1"/>
  <c r="BH295" i="24"/>
  <c r="BH296" i="24"/>
  <c r="BH298" i="24" s="1"/>
  <c r="BH297" i="24" l="1"/>
  <c r="BI295" i="24"/>
  <c r="BI296" i="24"/>
  <c r="BI298" i="24" s="1"/>
  <c r="BI297" i="24" l="1"/>
  <c r="BJ295" i="24"/>
  <c r="BJ296" i="24"/>
  <c r="BJ298" i="24" s="1"/>
  <c r="BJ297" i="24" l="1"/>
  <c r="BK295" i="24"/>
  <c r="BK296" i="24"/>
  <c r="BK298" i="24" s="1"/>
  <c r="BK297" i="24" l="1"/>
  <c r="BL295" i="24"/>
  <c r="BL296" i="24"/>
  <c r="BL298" i="24" s="1"/>
  <c r="BL297" i="24" l="1"/>
  <c r="BM295" i="24"/>
  <c r="BM296" i="24"/>
  <c r="BM298" i="24" s="1"/>
  <c r="BM297" i="24" l="1"/>
  <c r="BN295" i="24"/>
  <c r="BN296" i="24"/>
  <c r="BN298" i="24" s="1"/>
  <c r="BN297" i="24" l="1"/>
  <c r="BO295" i="24"/>
  <c r="BO296" i="24"/>
  <c r="BO298" i="24" s="1"/>
  <c r="BO297" i="24" l="1"/>
  <c r="BP295" i="24"/>
  <c r="BP296" i="24"/>
  <c r="BP298" i="24" s="1"/>
  <c r="BP297" i="24" l="1"/>
  <c r="BQ295" i="24"/>
  <c r="BQ296" i="24"/>
  <c r="BQ298" i="24" s="1"/>
  <c r="BQ297" i="24" l="1"/>
  <c r="BR295" i="24"/>
  <c r="BR296" i="24"/>
  <c r="BR298" i="24" s="1"/>
  <c r="BR297" i="24" l="1"/>
  <c r="BS295" i="24"/>
  <c r="BS296" i="24"/>
  <c r="BS298" i="24" s="1"/>
  <c r="BS297" i="24" l="1"/>
  <c r="BT295" i="24"/>
  <c r="BT296" i="24"/>
  <c r="BT298" i="24" s="1"/>
  <c r="BT297" i="24" l="1"/>
  <c r="BU295" i="24"/>
  <c r="BU296" i="24"/>
  <c r="BU298" i="24" s="1"/>
  <c r="BU297" i="24" l="1"/>
  <c r="BV295" i="24"/>
  <c r="BV296" i="24"/>
  <c r="BV298" i="24" s="1"/>
  <c r="BV297" i="24" l="1"/>
  <c r="BW295" i="24"/>
  <c r="BW296" i="24"/>
  <c r="BW298" i="24" s="1"/>
  <c r="BW297" i="24" l="1"/>
  <c r="BX295" i="24"/>
  <c r="BX296" i="24"/>
  <c r="BX298" i="24" s="1"/>
  <c r="BX297" i="24" l="1"/>
  <c r="BY295" i="24"/>
  <c r="BY296" i="24"/>
  <c r="BY298" i="24" s="1"/>
  <c r="BY297" i="24" l="1"/>
  <c r="BZ295" i="24"/>
  <c r="BZ296" i="24"/>
  <c r="BZ298" i="24" s="1"/>
  <c r="BZ297" i="24" l="1"/>
  <c r="CA295" i="24"/>
  <c r="CA296" i="24"/>
  <c r="CA298" i="24" s="1"/>
  <c r="CA297" i="24" l="1"/>
  <c r="CB295" i="24"/>
  <c r="CB296" i="24"/>
  <c r="CB298" i="24" s="1"/>
  <c r="CB297" i="24" l="1"/>
  <c r="CC295" i="24"/>
  <c r="CC296" i="24"/>
  <c r="CC298" i="24" s="1"/>
  <c r="CC297" i="24" l="1"/>
  <c r="CD295" i="24"/>
  <c r="CD296" i="24"/>
  <c r="CD298" i="24" s="1"/>
  <c r="CD297" i="24" l="1"/>
  <c r="CE295" i="24"/>
  <c r="CE296" i="24"/>
  <c r="CE298" i="24" s="1"/>
  <c r="CE297" i="24" l="1"/>
  <c r="CF295" i="24"/>
  <c r="CF296" i="24"/>
  <c r="CF298" i="24" s="1"/>
  <c r="CF297" i="24" l="1"/>
  <c r="CG295" i="24"/>
  <c r="CG296" i="24"/>
  <c r="CG298" i="24" s="1"/>
  <c r="CG297" i="24" l="1"/>
  <c r="CH295" i="24"/>
  <c r="CH296" i="24"/>
  <c r="CH298" i="24" s="1"/>
  <c r="CH297" i="24" l="1"/>
  <c r="CI295" i="24"/>
  <c r="CI296" i="24"/>
  <c r="CI298" i="24" s="1"/>
  <c r="CI297" i="24" l="1"/>
  <c r="CJ295" i="24"/>
  <c r="CJ296" i="24"/>
  <c r="CJ298" i="24" s="1"/>
  <c r="CJ297" i="24" l="1"/>
  <c r="CK295" i="24"/>
  <c r="CK296" i="24"/>
  <c r="CK298" i="24" s="1"/>
  <c r="CK297" i="24" l="1"/>
  <c r="CL295" i="24"/>
  <c r="CL296" i="24"/>
  <c r="CL298" i="24" s="1"/>
  <c r="CL297" i="24" l="1"/>
  <c r="CM295" i="24"/>
  <c r="CM296" i="24"/>
  <c r="CM298" i="24" s="1"/>
  <c r="CM297" i="24" l="1"/>
  <c r="CN295" i="24"/>
  <c r="CN296" i="24"/>
  <c r="CN298" i="24" s="1"/>
  <c r="CN297" i="24" l="1"/>
  <c r="CO295" i="24"/>
  <c r="CO296" i="24"/>
  <c r="CO298" i="24" s="1"/>
  <c r="CO297" i="24" l="1"/>
  <c r="CP295" i="24"/>
  <c r="CP296" i="24"/>
  <c r="CP298" i="24" s="1"/>
  <c r="CP297" i="24" l="1"/>
  <c r="CQ295" i="24"/>
  <c r="CQ296" i="24"/>
  <c r="CQ298" i="24" s="1"/>
  <c r="CQ297" i="24" l="1"/>
  <c r="CR295" i="24"/>
  <c r="CR296" i="24"/>
  <c r="CR298" i="24" s="1"/>
  <c r="CR297" i="24" l="1"/>
  <c r="CS295" i="24"/>
  <c r="CS296" i="24"/>
  <c r="CS298" i="24" s="1"/>
  <c r="CS297" i="24" l="1"/>
  <c r="CT295" i="24"/>
  <c r="CT296" i="24"/>
  <c r="CT298" i="24" s="1"/>
  <c r="CT297" i="24" l="1"/>
  <c r="CU295" i="24"/>
  <c r="CU296" i="24"/>
  <c r="CU298" i="24" s="1"/>
  <c r="CU297" i="24" l="1"/>
  <c r="CV295" i="24"/>
  <c r="CV296" i="24"/>
  <c r="CV298" i="24" s="1"/>
  <c r="CV297" i="24" l="1"/>
  <c r="CW295" i="24"/>
  <c r="CW296" i="24"/>
  <c r="CW298" i="24" s="1"/>
  <c r="CW297" i="24" l="1"/>
  <c r="CX295" i="24"/>
  <c r="CX296" i="24"/>
  <c r="CX298" i="24" s="1"/>
  <c r="CX297" i="24" l="1"/>
  <c r="CY295" i="24"/>
  <c r="CY296" i="24"/>
  <c r="CY298" i="24" s="1"/>
  <c r="CY297" i="24" l="1"/>
  <c r="CZ295" i="24"/>
  <c r="CZ296" i="24"/>
  <c r="CZ298" i="24" s="1"/>
  <c r="CZ297" i="24" l="1"/>
  <c r="DA295" i="24"/>
  <c r="DA296" i="24"/>
  <c r="DA298" i="24" s="1"/>
  <c r="DA297" i="24" l="1"/>
  <c r="DB295" i="24"/>
  <c r="DB296" i="24"/>
  <c r="DB298" i="24" s="1"/>
  <c r="DB297" i="24" l="1"/>
  <c r="DC295" i="24"/>
  <c r="DC296" i="24"/>
  <c r="DC298" i="24" s="1"/>
  <c r="DC297" i="24" l="1"/>
  <c r="DD295" i="24"/>
  <c r="DD296" i="24"/>
  <c r="DD298" i="24" s="1"/>
  <c r="DD297" i="24" l="1"/>
  <c r="DE295" i="24"/>
  <c r="DE296" i="24"/>
  <c r="DE298" i="24" s="1"/>
  <c r="DE297" i="24" l="1"/>
  <c r="DF295" i="24"/>
  <c r="DF296" i="24"/>
  <c r="DF298" i="24" s="1"/>
  <c r="DF297" i="24" l="1"/>
  <c r="DG295" i="24"/>
  <c r="DG296" i="24"/>
  <c r="DG298" i="24" s="1"/>
  <c r="DG297" i="24" l="1"/>
  <c r="DH295" i="24"/>
  <c r="DH296" i="24"/>
  <c r="DH298" i="24" s="1"/>
  <c r="DH297" i="24" l="1"/>
  <c r="DI295" i="24"/>
  <c r="DI296" i="24"/>
  <c r="DI298" i="24" s="1"/>
  <c r="DI297" i="24" l="1"/>
  <c r="DJ295" i="24"/>
  <c r="DJ296" i="24"/>
  <c r="DJ298" i="24" s="1"/>
  <c r="DJ297" i="24" l="1"/>
  <c r="DK295" i="24"/>
  <c r="DK296" i="24"/>
  <c r="DK298" i="24" s="1"/>
  <c r="DK297" i="24" l="1"/>
  <c r="DL295" i="24"/>
  <c r="DL296" i="24"/>
  <c r="DL298" i="24" s="1"/>
  <c r="DL297" i="24" l="1"/>
  <c r="DM295" i="24"/>
  <c r="DM296" i="24"/>
  <c r="DM298" i="24" s="1"/>
  <c r="DM297" i="24" l="1"/>
  <c r="DN295" i="24"/>
  <c r="DN296" i="24"/>
  <c r="DN298" i="24" s="1"/>
  <c r="DN297" i="24" l="1"/>
  <c r="DO295" i="24"/>
  <c r="DO296" i="24"/>
  <c r="DO298" i="24" s="1"/>
  <c r="DO297" i="24" l="1"/>
  <c r="DP295" i="24"/>
  <c r="DP296" i="24"/>
  <c r="DP298" i="24" s="1"/>
  <c r="DP297" i="24" l="1"/>
  <c r="DQ295" i="24"/>
  <c r="DQ296" i="24"/>
  <c r="DQ298" i="24" s="1"/>
  <c r="DQ297" i="24" l="1"/>
  <c r="DR295" i="24"/>
  <c r="DR296" i="24"/>
  <c r="DR298" i="24" s="1"/>
  <c r="DR297" i="24" l="1"/>
  <c r="DS295" i="24"/>
  <c r="DS296" i="24"/>
  <c r="DS298" i="24" s="1"/>
  <c r="DS297" i="24" l="1"/>
  <c r="DT295" i="24"/>
  <c r="DT296" i="24"/>
  <c r="DT298" i="24" s="1"/>
  <c r="DT297" i="24" l="1"/>
  <c r="DU295" i="24"/>
  <c r="DU296" i="24"/>
  <c r="DU298" i="24" s="1"/>
  <c r="DU297" i="24" l="1"/>
  <c r="DV295" i="24"/>
  <c r="DV296" i="24"/>
  <c r="DV298" i="24" s="1"/>
  <c r="DV297" i="24" l="1"/>
  <c r="DW295" i="24"/>
  <c r="DW296" i="24"/>
  <c r="DW298" i="24" s="1"/>
  <c r="DW297" i="24" l="1"/>
  <c r="DX295" i="24"/>
  <c r="DX296" i="24"/>
  <c r="DX298" i="24" s="1"/>
  <c r="DX297" i="24" l="1"/>
  <c r="DY295" i="24"/>
  <c r="DY296" i="24"/>
  <c r="DY298" i="24" s="1"/>
  <c r="DY297" i="24" l="1"/>
  <c r="DZ295" i="24"/>
  <c r="DZ296" i="24"/>
  <c r="DZ298" i="24" s="1"/>
  <c r="DZ297" i="24" l="1"/>
  <c r="EA295" i="24"/>
  <c r="EA296" i="24"/>
  <c r="EA298" i="24" s="1"/>
  <c r="EA297" i="24" l="1"/>
  <c r="EB295" i="24"/>
  <c r="EB296" i="24"/>
  <c r="EB298" i="24" s="1"/>
  <c r="EB297" i="24" l="1"/>
  <c r="EC295" i="24"/>
  <c r="EC296" i="24"/>
  <c r="EC298" i="24" s="1"/>
  <c r="EC297" i="24" l="1"/>
  <c r="ED295" i="24"/>
  <c r="ED296" i="24"/>
  <c r="ED298" i="24" s="1"/>
  <c r="ED297" i="24" l="1"/>
  <c r="EE295" i="24"/>
  <c r="EE296" i="24"/>
  <c r="EE298" i="24" s="1"/>
  <c r="EE297" i="24" l="1"/>
  <c r="EF295" i="24"/>
  <c r="EF296" i="24"/>
  <c r="EF298" i="24" s="1"/>
  <c r="EF297" i="24" l="1"/>
  <c r="EG295" i="24"/>
  <c r="EG296" i="24"/>
  <c r="EG298" i="24" s="1"/>
  <c r="EG297" i="24" l="1"/>
  <c r="EH295" i="24"/>
  <c r="EH296" i="24"/>
  <c r="EH298" i="24" s="1"/>
  <c r="EH297" i="24" l="1"/>
  <c r="EI295" i="24"/>
  <c r="EI296" i="24"/>
  <c r="EI298" i="24" s="1"/>
  <c r="EI297" i="24" l="1"/>
  <c r="EJ295" i="24"/>
  <c r="EJ296" i="24"/>
  <c r="EJ298" i="24" s="1"/>
  <c r="EJ297" i="24" l="1"/>
  <c r="EK295" i="24"/>
  <c r="EK296" i="24"/>
  <c r="EK298" i="24" s="1"/>
  <c r="EK297" i="24" l="1"/>
  <c r="EL295" i="24"/>
  <c r="EL296" i="24"/>
  <c r="EL298" i="24" s="1"/>
  <c r="EL297" i="24" l="1"/>
  <c r="EM295" i="24"/>
  <c r="EM296" i="24"/>
  <c r="EM298" i="24" s="1"/>
  <c r="EM297" i="24" l="1"/>
  <c r="EN295" i="24"/>
  <c r="EN296" i="24"/>
  <c r="EN298" i="24" s="1"/>
  <c r="EN297" i="24" l="1"/>
  <c r="EO295" i="24"/>
  <c r="EO296" i="24"/>
  <c r="EO298" i="24" s="1"/>
  <c r="EO297" i="24" l="1"/>
  <c r="EP295" i="24"/>
  <c r="EP296" i="24"/>
  <c r="EP298" i="24" s="1"/>
  <c r="EP297" i="24" l="1"/>
  <c r="EQ295" i="24"/>
  <c r="EQ296" i="24"/>
  <c r="EQ298" i="24" s="1"/>
  <c r="EQ297" i="24" l="1"/>
  <c r="ER295" i="24"/>
  <c r="ER296" i="24"/>
  <c r="ER298" i="24" s="1"/>
  <c r="ER297" i="24" l="1"/>
  <c r="ES295" i="24"/>
  <c r="ES296" i="24"/>
  <c r="ES298" i="24" s="1"/>
  <c r="ES297" i="24" l="1"/>
  <c r="ET295" i="24"/>
  <c r="ET296" i="24"/>
  <c r="ET298" i="24" s="1"/>
  <c r="ET297" i="24" l="1"/>
  <c r="EU295" i="24"/>
  <c r="EU296" i="24"/>
  <c r="EU298" i="24" s="1"/>
  <c r="EU297" i="24" l="1"/>
  <c r="EV295" i="24"/>
  <c r="EV296" i="24"/>
  <c r="EV298" i="24" s="1"/>
  <c r="EV297" i="24" l="1"/>
  <c r="EW295" i="24"/>
  <c r="EW296" i="24"/>
  <c r="EW298" i="24" s="1"/>
  <c r="EW297" i="24" l="1"/>
  <c r="EX295" i="24"/>
  <c r="EX296" i="24"/>
  <c r="EX298" i="24" s="1"/>
  <c r="EX297" i="24" l="1"/>
  <c r="EY295" i="24"/>
  <c r="EY296" i="24"/>
  <c r="EY298" i="24" s="1"/>
  <c r="EY297" i="24" l="1"/>
  <c r="EZ295" i="24"/>
  <c r="EZ296" i="24"/>
  <c r="EZ298" i="24" s="1"/>
  <c r="EZ297" i="24" l="1"/>
  <c r="FA295" i="24"/>
  <c r="FA296" i="24"/>
  <c r="FA298" i="24" s="1"/>
  <c r="FA297" i="24" l="1"/>
  <c r="FB295" i="24"/>
  <c r="FB296" i="24"/>
  <c r="FB298" i="24" s="1"/>
  <c r="FB297" i="24" l="1"/>
  <c r="FC295" i="24"/>
  <c r="FC296" i="24"/>
  <c r="FC298" i="24" s="1"/>
  <c r="FC297" i="24" l="1"/>
  <c r="FD295" i="24"/>
  <c r="FD296" i="24"/>
  <c r="FD298" i="24" s="1"/>
  <c r="FD297" i="24" l="1"/>
  <c r="FE295" i="24"/>
  <c r="FE296" i="24"/>
  <c r="FE298" i="24" s="1"/>
  <c r="FE297" i="24" l="1"/>
  <c r="FF295" i="24"/>
  <c r="FF296" i="24"/>
  <c r="FF298" i="24" s="1"/>
  <c r="FF297" i="24" l="1"/>
  <c r="FG295" i="24"/>
  <c r="FG296" i="24"/>
  <c r="FG298" i="24" s="1"/>
  <c r="FG297" i="24" l="1"/>
  <c r="FH295" i="24"/>
  <c r="FH296" i="24"/>
  <c r="FH298" i="24" s="1"/>
  <c r="FH297" i="24" l="1"/>
  <c r="FI295" i="24"/>
  <c r="FI296" i="24"/>
  <c r="FI298" i="24" s="1"/>
  <c r="FI297" i="24" l="1"/>
  <c r="FJ295" i="24"/>
  <c r="FJ296" i="24"/>
  <c r="FJ298" i="24" s="1"/>
  <c r="FJ297" i="24" l="1"/>
  <c r="FK295" i="24"/>
  <c r="FK296" i="24"/>
  <c r="FK298" i="24" s="1"/>
  <c r="FK297" i="24" l="1"/>
  <c r="FL295" i="24"/>
  <c r="FL296" i="24"/>
  <c r="FL298" i="24" s="1"/>
  <c r="FL297" i="24" l="1"/>
  <c r="FM295" i="24"/>
  <c r="FM296" i="24"/>
  <c r="FM298" i="24" s="1"/>
  <c r="FM297" i="24" l="1"/>
  <c r="FN295" i="24"/>
  <c r="FN296" i="24"/>
  <c r="FN298" i="24" s="1"/>
  <c r="FN297" i="24" l="1"/>
  <c r="FO295" i="24"/>
  <c r="FO296" i="24"/>
  <c r="FO298" i="24" s="1"/>
  <c r="FO297" i="24" l="1"/>
  <c r="FP295" i="24"/>
  <c r="FP296" i="24"/>
  <c r="FP298" i="24" s="1"/>
  <c r="FP297" i="24" l="1"/>
  <c r="FQ295" i="24"/>
  <c r="FQ296" i="24"/>
  <c r="FQ298" i="24" s="1"/>
  <c r="FQ297" i="24" l="1"/>
  <c r="FR295" i="24"/>
  <c r="FR296" i="24"/>
  <c r="FR298" i="24" s="1"/>
  <c r="FR297" i="24" l="1"/>
  <c r="FS295" i="24"/>
  <c r="FS296" i="24"/>
  <c r="FS298" i="24" s="1"/>
  <c r="FS297" i="24" l="1"/>
  <c r="FT295" i="24"/>
  <c r="FT296" i="24"/>
  <c r="FT298" i="24" s="1"/>
  <c r="FT297" i="24" l="1"/>
  <c r="FU295" i="24"/>
  <c r="FU296" i="24"/>
  <c r="FU298" i="24" s="1"/>
  <c r="FU297" i="24" l="1"/>
  <c r="FV295" i="24"/>
  <c r="FV296" i="24"/>
  <c r="FV298" i="24" s="1"/>
  <c r="FV297" i="24" l="1"/>
  <c r="FW295" i="24"/>
  <c r="FW296" i="24"/>
  <c r="FW298" i="24" s="1"/>
  <c r="FW297" i="24" l="1"/>
  <c r="FX295" i="24"/>
  <c r="FX296" i="24"/>
  <c r="FX298" i="24" s="1"/>
  <c r="FX297" i="24" l="1"/>
  <c r="FY295" i="24"/>
  <c r="FY296" i="24"/>
  <c r="FY298" i="24" s="1"/>
  <c r="FY297" i="24" l="1"/>
  <c r="FZ295" i="24"/>
  <c r="FZ296" i="24"/>
  <c r="FZ298" i="24" s="1"/>
  <c r="FZ297" i="24" l="1"/>
  <c r="GA295" i="24"/>
  <c r="GA296" i="24"/>
  <c r="GA298" i="24" s="1"/>
  <c r="GA297" i="24" l="1"/>
  <c r="GB295" i="24"/>
  <c r="GB296" i="24"/>
  <c r="GB298" i="24" s="1"/>
  <c r="GB297" i="24" l="1"/>
  <c r="GC295" i="24"/>
  <c r="GC296" i="24"/>
  <c r="GC298" i="24" s="1"/>
  <c r="GC297" i="24" l="1"/>
  <c r="GD295" i="24"/>
  <c r="GD296" i="24"/>
  <c r="GD298" i="24" s="1"/>
  <c r="GD297" i="24" l="1"/>
  <c r="GE295" i="24"/>
  <c r="GE296" i="24"/>
  <c r="GE298" i="24" s="1"/>
  <c r="GE297" i="24" l="1"/>
  <c r="GF295" i="24"/>
  <c r="GF296" i="24"/>
  <c r="GF298" i="24" s="1"/>
  <c r="GF297" i="24" l="1"/>
  <c r="GG295" i="24"/>
  <c r="GG296" i="24"/>
  <c r="GG298" i="24" s="1"/>
  <c r="GG297" i="24" l="1"/>
  <c r="GH295" i="24"/>
  <c r="GH296" i="24"/>
  <c r="GH298" i="24" s="1"/>
  <c r="GH297" i="24" l="1"/>
  <c r="GI295" i="24"/>
  <c r="GI296" i="24"/>
  <c r="GI298" i="24" s="1"/>
  <c r="GI297" i="24" l="1"/>
  <c r="GJ295" i="24"/>
  <c r="GJ296" i="24"/>
  <c r="GJ298" i="24" s="1"/>
  <c r="GJ297" i="24" l="1"/>
  <c r="GK295" i="24"/>
  <c r="GK296" i="24"/>
  <c r="GK298" i="24" s="1"/>
  <c r="GK297" i="24" l="1"/>
  <c r="GL295" i="24"/>
  <c r="GL296" i="24"/>
  <c r="GL298" i="24" s="1"/>
  <c r="GL297" i="24" l="1"/>
  <c r="GM295" i="24"/>
  <c r="GM296" i="24"/>
  <c r="GM298" i="24" s="1"/>
  <c r="GM297" i="24" l="1"/>
  <c r="GN295" i="24"/>
  <c r="GN296" i="24"/>
  <c r="GN298" i="24" s="1"/>
  <c r="GN297" i="24" l="1"/>
  <c r="GO295" i="24"/>
  <c r="GO296" i="24"/>
  <c r="GO298" i="24" s="1"/>
  <c r="GO297" i="24" l="1"/>
  <c r="GP295" i="24"/>
  <c r="GP296" i="24"/>
  <c r="GP298" i="24" s="1"/>
  <c r="GP297" i="24" l="1"/>
  <c r="GQ295" i="24"/>
  <c r="GQ296" i="24"/>
  <c r="GQ298" i="24" s="1"/>
  <c r="GQ297" i="24" l="1"/>
  <c r="GR295" i="24"/>
  <c r="GR296" i="24"/>
  <c r="GR298" i="24" s="1"/>
  <c r="GR297" i="24" l="1"/>
  <c r="GS295" i="24"/>
  <c r="GS296" i="24"/>
  <c r="GS298" i="24" s="1"/>
  <c r="GS297" i="24" l="1"/>
  <c r="GT295" i="24"/>
  <c r="GT297" i="24" s="1"/>
  <c r="GT296" i="24"/>
  <c r="GT298" i="24" s="1"/>
  <c r="B300" i="24" s="1"/>
  <c r="C315" i="22" s="1"/>
  <c r="C313" i="22"/>
  <c r="B299" i="24" l="1"/>
  <c r="C314"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Valeriy.Izvekov</author>
  </authors>
  <commentList>
    <comment ref="F34" authorId="0" shapeId="0" xr:uid="{527D27FF-CEAF-244B-8C50-364DC92A9754}">
      <text>
        <r>
          <rPr>
            <b/>
            <sz val="10"/>
            <color rgb="FF000000"/>
            <rFont val="Tahoma"/>
            <family val="2"/>
            <charset val="204"/>
          </rPr>
          <t>Valeriy.Izvekov:</t>
        </r>
        <r>
          <rPr>
            <sz val="10"/>
            <color rgb="FF000000"/>
            <rFont val="Tahoma"/>
            <family val="2"/>
            <charset val="204"/>
          </rPr>
          <t xml:space="preserve">
</t>
        </r>
        <r>
          <rPr>
            <sz val="10"/>
            <color rgb="FF000000"/>
            <rFont val="Tahoma"/>
            <family val="2"/>
            <charset val="204"/>
          </rPr>
          <t>Данные от Артема П.</t>
        </r>
      </text>
    </comment>
  </commentList>
</comments>
</file>

<file path=xl/sharedStrings.xml><?xml version="1.0" encoding="utf-8"?>
<sst xmlns="http://schemas.openxmlformats.org/spreadsheetml/2006/main" count="1088" uniqueCount="333">
  <si>
    <t>CPI</t>
  </si>
  <si>
    <t>Амортизация</t>
  </si>
  <si>
    <t>FCF</t>
  </si>
  <si>
    <t>Индикатор Pb</t>
  </si>
  <si>
    <t>Индикатор DPb</t>
  </si>
  <si>
    <t>Срок полезного использования, мес</t>
  </si>
  <si>
    <t>Выручка</t>
  </si>
  <si>
    <t>Δ CFCF</t>
  </si>
  <si>
    <t>Δ CDCF</t>
  </si>
  <si>
    <t>&lt;-- выбор между CPI (2) и WACC (3)</t>
  </si>
  <si>
    <t>Расходные материалы и хозяйственные расходы</t>
  </si>
  <si>
    <t>Консультационные, информационные услуги и страхование</t>
  </si>
  <si>
    <t>Расходы на аренду</t>
  </si>
  <si>
    <t>Реклама, маркетинг и PR</t>
  </si>
  <si>
    <t>Налоги</t>
  </si>
  <si>
    <t>Потери</t>
  </si>
  <si>
    <t>Налог на прибыль</t>
  </si>
  <si>
    <t>КПЭ</t>
  </si>
  <si>
    <t>Факт</t>
  </si>
  <si>
    <t>Комментарий</t>
  </si>
  <si>
    <t>Себестоимость</t>
  </si>
  <si>
    <t>Затраты производства</t>
  </si>
  <si>
    <t>Валовый доход</t>
  </si>
  <si>
    <t>Расходы на персонал</t>
  </si>
  <si>
    <t>Транспортные расходы</t>
  </si>
  <si>
    <t>Услуги сторонних логистических операторов</t>
  </si>
  <si>
    <t>Инфляция</t>
  </si>
  <si>
    <t>EBITDA</t>
  </si>
  <si>
    <t>Коэффициент дисконтирования</t>
  </si>
  <si>
    <t>IRR, %</t>
  </si>
  <si>
    <t>PP, мес.</t>
  </si>
  <si>
    <t>DPP, мес.</t>
  </si>
  <si>
    <t>Кол-во месяцев</t>
  </si>
  <si>
    <t>Δ EBITDA</t>
  </si>
  <si>
    <t>Технико-экономическое обоснование</t>
  </si>
  <si>
    <t>CAPEX</t>
  </si>
  <si>
    <t>OPEX</t>
  </si>
  <si>
    <t>1.</t>
  </si>
  <si>
    <t>2.</t>
  </si>
  <si>
    <t>3.</t>
  </si>
  <si>
    <t>Эффекты продукта должны быть обоснованы и подтверждены. Подтверждающие данные могут быть представлены в виде:</t>
  </si>
  <si>
    <t>Для каждого КПЭ в обязательном порядке указывается следующая информация:</t>
  </si>
  <si>
    <r>
      <t>§</t>
    </r>
    <r>
      <rPr>
        <sz val="10"/>
        <color rgb="FF2C2A29"/>
        <rFont val="Arial Narrow"/>
        <family val="2"/>
        <charset val="204"/>
      </rPr>
      <t>статистических данных по штрафам/потерям/недополученной выручке/росту расходов/др.,</t>
    </r>
  </si>
  <si>
    <r>
      <t>§</t>
    </r>
    <r>
      <rPr>
        <sz val="10"/>
        <color rgb="FF2C2A29"/>
        <rFont val="Arial Narrow"/>
        <family val="2"/>
        <charset val="204"/>
      </rPr>
      <t>расчета прироста прибыли,</t>
    </r>
  </si>
  <si>
    <r>
      <t>§</t>
    </r>
    <r>
      <rPr>
        <sz val="10"/>
        <color rgb="FF2C2A29"/>
        <rFont val="Arial Narrow"/>
        <family val="2"/>
        <charset val="204"/>
      </rPr>
      <t>и т.д.</t>
    </r>
  </si>
  <si>
    <r>
      <t>§</t>
    </r>
    <r>
      <rPr>
        <sz val="10"/>
        <color rgb="FF2C2A29"/>
        <rFont val="Arial Narrow"/>
        <family val="2"/>
        <charset val="204"/>
      </rPr>
      <t>Наименование КПЭ;</t>
    </r>
  </si>
  <si>
    <r>
      <t>§</t>
    </r>
    <r>
      <rPr>
        <sz val="10"/>
        <color rgb="FF2C2A29"/>
        <rFont val="Arial Narrow"/>
        <family val="2"/>
        <charset val="204"/>
      </rPr>
      <t>Значение показателя «Как есть» (до реализации проекта, в том числе если «Как есть» равно нулю или отсутствует) и «Как будет» (после реализации проекта), ;</t>
    </r>
  </si>
  <si>
    <r>
      <t>§</t>
    </r>
    <r>
      <rPr>
        <sz val="10"/>
        <color rgb="FF2C2A29"/>
        <rFont val="Arial Narrow"/>
        <family val="2"/>
        <charset val="204"/>
      </rPr>
      <t>Детальное описание методики расчета показателя «Как будет», включая наименования отчетов, выборки данных, и прочих материалов, на основании которых будет проводиться Оценка (возможно, понадобится приложить файл с методикой);</t>
    </r>
  </si>
  <si>
    <r>
      <t>§</t>
    </r>
    <r>
      <rPr>
        <sz val="10"/>
        <color rgb="FF2C2A29"/>
        <rFont val="Arial Narrow"/>
        <family val="2"/>
        <charset val="204"/>
      </rPr>
      <t>Контрольная дата измерения КПЭ;</t>
    </r>
  </si>
  <si>
    <r>
      <t>§</t>
    </r>
    <r>
      <rPr>
        <sz val="10"/>
        <color rgb="FF2C2A29"/>
        <rFont val="Arial Narrow"/>
        <family val="2"/>
        <charset val="204"/>
      </rPr>
      <t>Должность ответственного за достижение значения КПЭ «Как будет».</t>
    </r>
  </si>
  <si>
    <t>Дельта EBITDA</t>
  </si>
  <si>
    <t>Налог</t>
  </si>
  <si>
    <t>IRR</t>
  </si>
  <si>
    <t>FCF Check</t>
  </si>
  <si>
    <t>IRR, год</t>
  </si>
  <si>
    <t>IRR, мес</t>
  </si>
  <si>
    <t>Инвестиционная деятельность</t>
  </si>
  <si>
    <t>Основная деятельность</t>
  </si>
  <si>
    <t>Амортизация как есть</t>
  </si>
  <si>
    <t>Амортизация как будет</t>
  </si>
  <si>
    <t>Front Margin</t>
  </si>
  <si>
    <t>Back Margin</t>
  </si>
  <si>
    <t>Транспортная логистика</t>
  </si>
  <si>
    <t>Складская логистика</t>
  </si>
  <si>
    <t>Ремонт и обслуживание</t>
  </si>
  <si>
    <t>NPV, тыс. руб.</t>
  </si>
  <si>
    <t>AS IS</t>
  </si>
  <si>
    <t>TO BE</t>
  </si>
  <si>
    <t>тыс. руб.</t>
  </si>
  <si>
    <t>Налог Как есть</t>
  </si>
  <si>
    <t>Налог Как будет</t>
  </si>
  <si>
    <t>Δ Амортизация</t>
  </si>
  <si>
    <t>Δ Налог на прибыль</t>
  </si>
  <si>
    <t>Δ Эффект по проекту</t>
  </si>
  <si>
    <t>год</t>
  </si>
  <si>
    <t>года</t>
  </si>
  <si>
    <t>лет</t>
  </si>
  <si>
    <t>тыс. руб. без НДС</t>
  </si>
  <si>
    <t>ИТОГО</t>
  </si>
  <si>
    <t xml:space="preserve">Значение </t>
  </si>
  <si>
    <t>«Как есть»</t>
  </si>
  <si>
    <t>«Как будет»</t>
  </si>
  <si>
    <t>Дата оценки достижения</t>
  </si>
  <si>
    <t>Методика оценки/замера</t>
  </si>
  <si>
    <t>ФИО, должность ответственного за КПЭ</t>
  </si>
  <si>
    <t>__.__.20__</t>
  </si>
  <si>
    <t>При расчет факт.ТЭО</t>
  </si>
  <si>
    <t>Дата начала проекта -----&gt;&gt;&gt;&gt;&gt;&gt;</t>
  </si>
  <si>
    <t>Земельные участки</t>
  </si>
  <si>
    <t>Здания и сооружения</t>
  </si>
  <si>
    <t>Помещения в составе зданий и сооружений</t>
  </si>
  <si>
    <t>Строительство и ремонты</t>
  </si>
  <si>
    <t>Холодильное оборудование</t>
  </si>
  <si>
    <t>Стеллажное оборудование</t>
  </si>
  <si>
    <t>Производственное оборудование</t>
  </si>
  <si>
    <t>Торговое оборудование</t>
  </si>
  <si>
    <t>Складское оборудование</t>
  </si>
  <si>
    <t>Вертикальный транспорт</t>
  </si>
  <si>
    <t>Клининговое оборудование</t>
  </si>
  <si>
    <t>Офисное оборудование</t>
  </si>
  <si>
    <t>Рекламное оборудование</t>
  </si>
  <si>
    <t>ИТ оборудование</t>
  </si>
  <si>
    <t>СБ оборудование</t>
  </si>
  <si>
    <t>Прочее оборудование</t>
  </si>
  <si>
    <t>Транспорт</t>
  </si>
  <si>
    <t>Нематериальные активы</t>
  </si>
  <si>
    <t>Приобретение долей в бизнесе</t>
  </si>
  <si>
    <t>Капитализируемый ФОТ</t>
  </si>
  <si>
    <t>Консультационные услуги IT</t>
  </si>
  <si>
    <t>Тепловые завесы</t>
  </si>
  <si>
    <t>Кондиционеры и сплит-системы</t>
  </si>
  <si>
    <t>Автоматические двери и ворота</t>
  </si>
  <si>
    <t>Opex группы СПП</t>
  </si>
  <si>
    <t>Коммунальные расходы и связь</t>
  </si>
  <si>
    <t>Расходы на охрану</t>
  </si>
  <si>
    <t>Расх материалы и хоз расходы</t>
  </si>
  <si>
    <t>Реклама, маркетинг и pr</t>
  </si>
  <si>
    <t>Прочие расходы</t>
  </si>
  <si>
    <t>Командировочные расходы</t>
  </si>
  <si>
    <t xml:space="preserve">Экономический эффект </t>
  </si>
  <si>
    <t>ВЫРУЧКА</t>
  </si>
  <si>
    <t>СЕБЕСТОИМОСТЬ</t>
  </si>
  <si>
    <t>ФОТ штатного персонала</t>
  </si>
  <si>
    <t>Расходы на аутстаф</t>
  </si>
  <si>
    <t>Ремонт и обслуживание (прочее)</t>
  </si>
  <si>
    <t>Ремонт и обслуживание СБ оборудования</t>
  </si>
  <si>
    <t>Выручка от продажи НМА, ОС (оборудования, пр)</t>
  </si>
  <si>
    <t>Capex группы СПП</t>
  </si>
  <si>
    <t>Opex PL</t>
  </si>
  <si>
    <t>Комментарии</t>
  </si>
  <si>
    <t>Экономический эффект</t>
  </si>
  <si>
    <t xml:space="preserve">Комм. маржа </t>
  </si>
  <si>
    <t>Постпроектные расходы</t>
  </si>
  <si>
    <t>Проектные расходы</t>
  </si>
  <si>
    <t>OPEX:</t>
  </si>
  <si>
    <t>Как есть_Проектные расходы</t>
  </si>
  <si>
    <t>Как есть_Постпроектные расходы</t>
  </si>
  <si>
    <t>Как будет_Проектные расходы</t>
  </si>
  <si>
    <t>Как будет_Постпроектные расходы</t>
  </si>
  <si>
    <t>Себестоимость_Как будет</t>
  </si>
  <si>
    <t>Себестоимость_Как есть</t>
  </si>
  <si>
    <t>Экономический эффект:</t>
  </si>
  <si>
    <t>OPEX_Как есть</t>
  </si>
  <si>
    <t>OPEX_Как будет</t>
  </si>
  <si>
    <t xml:space="preserve"> &lt;&lt;&lt;&lt;&lt;&lt;-----Дата окончания проекта</t>
  </si>
  <si>
    <t>Текущие расходы</t>
  </si>
  <si>
    <t>Коммерческая маржа</t>
  </si>
  <si>
    <t>Прочие доходы</t>
  </si>
  <si>
    <t>ПЕРВЫЕ ОБЯЗАТЕЛЬНЫЕ ШАГИ:</t>
  </si>
  <si>
    <t>!</t>
  </si>
  <si>
    <t>ИНФОРМАЦИЯ !</t>
  </si>
  <si>
    <r>
      <t xml:space="preserve">Блок "Экономический эффект" на Листе "Как есть" используется </t>
    </r>
    <r>
      <rPr>
        <b/>
        <sz val="10"/>
        <color theme="4" tint="-0.249977111117893"/>
        <rFont val="Open Sans SemiBold"/>
        <family val="2"/>
        <charset val="204"/>
      </rPr>
      <t>только для заполнения сумм эффекта</t>
    </r>
    <r>
      <rPr>
        <sz val="10"/>
        <color theme="4" tint="-0.249977111117893"/>
        <rFont val="Open Sans SemiBold"/>
        <family val="2"/>
        <charset val="204"/>
      </rPr>
      <t xml:space="preserve"> по проекту/продукту, при условии, что ТЭО для проекта/продукта построен по принципу сравнения объема затрат или суммы дохода "До реализации проекта" (Как есть) и "После реализации проекта" (Как будет). Если эффект посчитан исключительно на дельте (уже посчитанная разница между Как есть и Как будет), то Лист "Как есть" не заполняется.</t>
    </r>
  </si>
  <si>
    <t>НАПОЛНЕНИЕ ТЭО ДАННЫМИ:</t>
  </si>
  <si>
    <t>Лист "Как есть"</t>
  </si>
  <si>
    <t>Выбираем необходимые статьи в столбце A в зависимости от монетарного эффекта проекта/продукта:</t>
  </si>
  <si>
    <t>●   Экономия/снижение затрат</t>
  </si>
  <si>
    <t>→ СAPEX или OPEX</t>
  </si>
  <si>
    <t>→ СЕБЕСТОИМОСТЬ</t>
  </si>
  <si>
    <t>●   Привлечение дополнительной прибыли для Комании</t>
  </si>
  <si>
    <r>
      <t xml:space="preserve">→ ВАЛОВЫЙ ДОХОД </t>
    </r>
    <r>
      <rPr>
        <sz val="10"/>
        <rFont val="Open Sans Light"/>
        <family val="2"/>
        <charset val="204"/>
      </rPr>
      <t>помним, что Валовый доход - это Выручка за минусом Себестоимости товара</t>
    </r>
  </si>
  <si>
    <r>
      <t xml:space="preserve">→ КОММЕРЧЕСКАЯ МАРЖА </t>
    </r>
    <r>
      <rPr>
        <sz val="10"/>
        <rFont val="Open Sans Light"/>
        <family val="2"/>
        <charset val="204"/>
      </rPr>
      <t>помним, что Коммерческая маржа - это сумма Front Margin и Back Margin</t>
    </r>
  </si>
  <si>
    <t>4.</t>
  </si>
  <si>
    <t>Ячейки с серой заливкой в столбце B заполняются информационно для детализации данных.</t>
  </si>
  <si>
    <t>Лист "Как будет"</t>
  </si>
  <si>
    <t>5.</t>
  </si>
  <si>
    <t>Выбираем необходимые статьи затрат в столбце A в зависимости от вида затрат (CAPEX или OPEX)</t>
  </si>
  <si>
    <t>6.</t>
  </si>
  <si>
    <t>7.</t>
  </si>
  <si>
    <t>8.</t>
  </si>
  <si>
    <t>Помним, что Постпроектные затраты начинаются не раньше даты окончания проекта/продукта (Лист "Как будет" ячейка D1)  !</t>
  </si>
  <si>
    <t>9.</t>
  </si>
  <si>
    <t>Статьи для эффекта на Листе "Как будет" идентичны статьям для эффекта указанным на Листе "Как есть" столбец A. Для замены указанных значений на листе "Как будет", необходимо поменять статьи эффекта на Листе "Как есть".</t>
  </si>
  <si>
    <t>10.</t>
  </si>
  <si>
    <t>Полученный результат расчета показателей экономичекой эффективности можно увидеть на Листе "Свод" диапазон ячеек B212:C216</t>
  </si>
  <si>
    <t>В ТЫС. РУБ. !</t>
  </si>
  <si>
    <t>Товарные запасы</t>
  </si>
  <si>
    <t>ОРЕХ</t>
  </si>
  <si>
    <t>Итого</t>
  </si>
  <si>
    <t>САРЕХ итого</t>
  </si>
  <si>
    <t>ОРЕХ итого</t>
  </si>
  <si>
    <t>Пост-расходы</t>
  </si>
  <si>
    <t>чек</t>
  </si>
  <si>
    <t>График финансирования</t>
  </si>
  <si>
    <t xml:space="preserve">тыс. руб. </t>
  </si>
  <si>
    <t>без НДС</t>
  </si>
  <si>
    <t>Янв</t>
  </si>
  <si>
    <t>Фев</t>
  </si>
  <si>
    <t>Мар</t>
  </si>
  <si>
    <t>Апр</t>
  </si>
  <si>
    <t>Май</t>
  </si>
  <si>
    <t>Июн</t>
  </si>
  <si>
    <t>Июл</t>
  </si>
  <si>
    <t>Авг</t>
  </si>
  <si>
    <t>Сен</t>
  </si>
  <si>
    <t>Окт</t>
  </si>
  <si>
    <t>Ноя</t>
  </si>
  <si>
    <t>Дек</t>
  </si>
  <si>
    <t>САРЕХ ИТОГО</t>
  </si>
  <si>
    <t>ОРЕХ ИТОГО</t>
  </si>
  <si>
    <r>
      <t>Δ</t>
    </r>
    <r>
      <rPr>
        <sz val="12.65"/>
        <color theme="1"/>
        <rFont val="X5 Sans"/>
        <family val="2"/>
        <charset val="204"/>
      </rPr>
      <t xml:space="preserve"> </t>
    </r>
    <r>
      <rPr>
        <sz val="11"/>
        <color theme="1"/>
        <rFont val="X5 Sans"/>
        <family val="2"/>
        <charset val="204"/>
      </rPr>
      <t>FCF</t>
    </r>
  </si>
  <si>
    <r>
      <t>Δ</t>
    </r>
    <r>
      <rPr>
        <sz val="12.65"/>
        <color theme="1"/>
        <rFont val="X5 Sans"/>
        <family val="2"/>
        <charset val="204"/>
      </rPr>
      <t xml:space="preserve"> </t>
    </r>
    <r>
      <rPr>
        <sz val="11"/>
        <color theme="1"/>
        <rFont val="X5 Sans"/>
        <family val="2"/>
        <charset val="204"/>
      </rPr>
      <t>DCF</t>
    </r>
  </si>
  <si>
    <t>ЛЕГЕНДА</t>
  </si>
  <si>
    <t>Ячейки к заполнению значений / показателей</t>
  </si>
  <si>
    <t>Расчетные поля (не исправлять)</t>
  </si>
  <si>
    <t>ПРАВИЛА ДЛЯ КОРРЕКТНОЙ ЗАГРУЗКИ ШАБЛОНА НА ФИНАНСОВЫЙ ПОРТАЛ</t>
  </si>
  <si>
    <t>Финансовый портал для расчета показателей забирает данные только из вкладок "Как есть" и "Как будет". Поэтому правила корректной загрузки ТЭО на Финансовый портал применимы только к указанным вкладкам.</t>
  </si>
  <si>
    <t>Нельзя добавлять новые строки, так как калькулятор Финансового портала настроен на определенный диапазон.</t>
  </si>
  <si>
    <t>Постпроектные расходы должны начинаться строго после даты Окончания проекта (ячейка D1).</t>
  </si>
  <si>
    <t>Проектные расходы должны учитываться в диапазоне указанных Даты начала проекта (ячейка С1) и Даты окончания проекта (ячейка D1).</t>
  </si>
  <si>
    <t>Горизонт планирования определяется количеством месяцев, указанных в Сроке полезного использования (ячейка С7). Суммы, проставленные после последнего месяца горизонта планирования, калькулятор Финансового портала проигнорирует.</t>
  </si>
  <si>
    <r>
      <t xml:space="preserve">Привлечение дополнительной прибыли для Компании рассчитывается </t>
    </r>
    <r>
      <rPr>
        <b/>
        <sz val="10"/>
        <color theme="1"/>
        <rFont val="Open Sans"/>
        <family val="2"/>
        <charset val="204"/>
      </rPr>
      <t>либо</t>
    </r>
    <r>
      <rPr>
        <sz val="10"/>
        <color theme="1"/>
        <rFont val="Open Sans"/>
        <family val="2"/>
        <charset val="204"/>
      </rPr>
      <t xml:space="preserve"> через ВАЛОВЫЙ ДОХОД, </t>
    </r>
    <r>
      <rPr>
        <b/>
        <sz val="10"/>
        <color theme="1"/>
        <rFont val="Open Sans"/>
        <family val="2"/>
        <charset val="204"/>
      </rPr>
      <t>либо</t>
    </r>
    <r>
      <rPr>
        <sz val="10"/>
        <color theme="1"/>
        <rFont val="Open Sans"/>
        <family val="2"/>
        <charset val="204"/>
      </rPr>
      <t xml:space="preserve"> через КОММЕРЧЕСКУЮ МАРЖУ. Нельзя заполнять ОДНОВРЕМЕННО значения в строке Выручка/Себестоимость и Коммерческая маржа, т.к. Фин портал тогда рассматривает это как несколько доходных  потоков и завышает IRR при сохранении на Финансовом портале. </t>
    </r>
  </si>
  <si>
    <t>Нельзя вносить во всех голубых блоках отрицательные суммы (со знаком "-"),  при сохранении шаблона калькулятор Финансового портала проигнорирует эти суммы. Рекомендуется учитывать отрицательные суммы в положительных суммах других месяцев в пределах одного года (например, при наличии суммы сторно в январе -100, ее следует "внести" в общую сумму в феврале: если в феврале было без сторно 500, с учетом сторно января станет 400)</t>
  </si>
  <si>
    <t>Наполняем  диапазон ячеек C55:GT81 данными, в соответствии с выбранными статьями (столбец A) и периодами (строка 14)
САРЕХ/ОРЕХ значения в голубых полях заполняются без знака "-" (положительное значение инвестиций/затрат), а также БЕЗ ссылок на вспомогательные расчеты</t>
  </si>
  <si>
    <t>Наполняем  диапазон ячеек C36:GT52 данными, в соответствии с выбранными статьями (столбец A) и периодами (строка 14)
САРЕХ/ОРЕХ значения в голубых полях заполняются без знака "-" (положительное значение инвестиций/затрат),а также без ссылок на вспомогательные расчеты</t>
  </si>
  <si>
    <t>Наполняем  диапазон ячеек C17:GT33 данными, в соответствии с выбранными статьями (столбец A) и периодами (строка 14)
САРЕХ/ОРЕХ значения в голубых полях заполняются без знака "-" (положительное значение инвестиций/затрат),а также без ссылок на вспомогательные расчеты</t>
  </si>
  <si>
    <r>
      <t>Постпроектные расходы</t>
    </r>
    <r>
      <rPr>
        <sz val="11"/>
        <rFont val="Open Sans"/>
        <family val="2"/>
        <charset val="204"/>
      </rPr>
      <t xml:space="preserve">
Пост-проектные расходы - это затраты на тех. поддержку (после передачи проекта/продукта на тех. поддержку), последующие доработки действующих внедренных в рамках проекта/продукта систем и т.п. Постпроектные затраты начинаются не раньше даты окончания проекта/продукта/завершения основной фазы финансирования проекта/продукта (Лист "Как будет" ячейка D1). 
Постпроектные расходы (при их наличии) закладываются до конца горизонта планирования.</t>
    </r>
  </si>
  <si>
    <t>Наполняем  диапазон ячеек C55:GT81  с голубой заливкой данными, в соответствии с выбранными статьями (столбец A) и периодами (строка 14) - САРЕХ/ОРЕХ значения в голубых полях заполняются без знака "-" (положительное значение инвестиций/затрат), а также без ссылок на вспомогательные расчеты</t>
  </si>
  <si>
    <t>Все значения в голубых полях на вкладках "Как есть" и "Как будет" заполняются строго БЕЗ ссылок на вспомогательные расчеты - Hard-значения (эффекты и затраты). Все необходимые детали по расчетам эффектов и затратам можно привести на дополнительной/вспомогательной вкладке.</t>
  </si>
  <si>
    <t xml:space="preserve">5. </t>
  </si>
  <si>
    <t xml:space="preserve">ВЕСЬ САРЕХ и ОРЕХ НА РЕАЛИЗАЦИЮ ПРОЕКТА должен "сидеть" в Проектных расходах, все что идет на тех поддержку после - в Постпроектных расходах, и ТОЛЬКО ЕСЛИ проект предполагает экономию на САРЕХ - это отражается в блоке с Экономическим эффектом. 
Блок "Экономический эффект" на Листе "Как есть" используется только для заполнения сумм эффекта по проекту/продукту, при условии, что ТЭО для проекта/продукта построен по принципу сравнения объема затрат или суммы дохода "До реализации проекта" (Как есть) и "После реализации проекта" (Как будет). Если эффект посчитан исключительно на дельте (уже посчитанная разница между Как есть и Как будет), то Лист "Как есть" не заполняется.
ВАЖНО! После внесения данных на вкладки "Как есть" и "Как будет", обязательно проверить, что период начала инвестиций в проект (САРЕХ, ОРЕХ) наступает/закладывается ДО получения экономического эффекта от инициативы. Т.е. эффект от инициативы может быть получен только после момента старта проекта/продукта и вложения инвестиций.
</t>
  </si>
  <si>
    <t>Указываем дату начала проекта/продукта на Листе "Как есть" в ячейке C1, в ячейке D1 - дату окончания проекта/продукта.
Дата окончания проекта/продукта: окончание срока реализации внедряемого в рамках инициативы функционала = дата закрытия СПП (совпадает с датой завершения инвестиций в проект/продукт)</t>
  </si>
  <si>
    <r>
      <t>На Листе "Как есть" в ячейке C7 указываем в месяцах срок полезного использования оборудования (СПИ) или капитализируемого нематериалого актива (НМА), закупаемого/реализуемого в рамках проекта/продукта, на который будут рассчитываться показатели эффективности на вкладке "Свод"</t>
    </r>
    <r>
      <rPr>
        <sz val="10"/>
        <rFont val="Open Sans SemiBold"/>
        <family val="2"/>
        <charset val="204"/>
      </rPr>
      <t xml:space="preserve">     </t>
    </r>
  </si>
  <si>
    <r>
      <t>→ ВЫРУЧКА</t>
    </r>
    <r>
      <rPr>
        <sz val="10"/>
        <rFont val="Open Sans Light"/>
        <family val="2"/>
        <charset val="204"/>
      </rPr>
      <t xml:space="preserve"> помним, что Выручка - это РТО очищенный от НДС</t>
    </r>
  </si>
  <si>
    <t>Дата</t>
  </si>
  <si>
    <t>Значение WACC</t>
  </si>
  <si>
    <t>DCF</t>
  </si>
  <si>
    <t>NPV</t>
  </si>
  <si>
    <t>WACC monthly</t>
  </si>
  <si>
    <t>Длина периода</t>
  </si>
  <si>
    <t>Дисконт-фактор по месяцам</t>
  </si>
  <si>
    <t>Итоговый дисконт-фактор</t>
  </si>
  <si>
    <t>Ставка дисконтирования (avg monthly WACC)</t>
  </si>
  <si>
    <t>Δ Инвестиции (САРЕХ + Инвест. ОРЕХ)</t>
  </si>
  <si>
    <t>Дельта Инвестиции (CAPEX+Инвест. ОРЕХ)</t>
  </si>
  <si>
    <t>Инвестиции (CAPEX+Инвест. ОРЕХ) как есть</t>
  </si>
  <si>
    <t>Инвестиции (CAPEX+Инвест. ОРЕХ) как будет</t>
  </si>
  <si>
    <t>Δ AS IS TO BE</t>
  </si>
  <si>
    <t>CАРЕХ</t>
  </si>
  <si>
    <r>
      <t xml:space="preserve">Инвестиционный OPEX </t>
    </r>
    <r>
      <rPr>
        <b/>
        <sz val="14"/>
        <color rgb="FFFF0000"/>
        <rFont val="Open Sans"/>
        <family val="2"/>
        <charset val="204"/>
      </rPr>
      <t>(вкл. Ранний старт)</t>
    </r>
  </si>
  <si>
    <t>Инвест ОРЕХ группы</t>
  </si>
  <si>
    <t>Расходы на персонал_Ранний старт</t>
  </si>
  <si>
    <t>атрибут СПП-элемента - вид проекта "Ранний старт"</t>
  </si>
  <si>
    <t>САРЕХ</t>
  </si>
  <si>
    <t>Инвестиционный ОРЕХ (вкл. Ранний старт)</t>
  </si>
  <si>
    <t>Δ САРЕХ</t>
  </si>
  <si>
    <t>Δ Инвест. ОРЕХ</t>
  </si>
  <si>
    <t>САРЕХ_Как есть</t>
  </si>
  <si>
    <t>Инвестиционный ОРЕХ_Как есть</t>
  </si>
  <si>
    <t>CAPEX_Как будет</t>
  </si>
  <si>
    <t>Инвестиционный ОРЕХ_Как будет</t>
  </si>
  <si>
    <t>CAPEX:</t>
  </si>
  <si>
    <t>Инвестиционный ОРЕХ</t>
  </si>
  <si>
    <t>CFCF</t>
  </si>
  <si>
    <t>CDCF</t>
  </si>
  <si>
    <t>Показатель</t>
  </si>
  <si>
    <t>WACC</t>
  </si>
  <si>
    <t>26.11-31.12.24</t>
  </si>
  <si>
    <t>Q1-Q3 2025</t>
  </si>
  <si>
    <t>Q4 2025 и далее</t>
  </si>
  <si>
    <t>Актуальный шаблон от 10.2025</t>
  </si>
  <si>
    <t>Расчет экономии на 1 магазин, за счет оптимизации трудозатрат пользователя</t>
  </si>
  <si>
    <t>Открыто 2024</t>
  </si>
  <si>
    <t>среднее количество проработанных проектов при плане 900, мес</t>
  </si>
  <si>
    <t>шт</t>
  </si>
  <si>
    <t>Проработанно 2024</t>
  </si>
  <si>
    <t xml:space="preserve">Экономия мин на один проект (5 мин на каждый этап) </t>
  </si>
  <si>
    <t>мин</t>
  </si>
  <si>
    <t>10 этапов</t>
  </si>
  <si>
    <t>экономия за счет сокращения ручного поиска писем/документов в почте</t>
  </si>
  <si>
    <t>Потрачено времени всего</t>
  </si>
  <si>
    <t>час</t>
  </si>
  <si>
    <t>Усредненный ФОТ пользователей в час</t>
  </si>
  <si>
    <t>руб</t>
  </si>
  <si>
    <t>при окладе 120 тр</t>
  </si>
  <si>
    <t>Итого экономия в месяц</t>
  </si>
  <si>
    <t xml:space="preserve">Итого экономия в год </t>
  </si>
  <si>
    <t>Расчет экономии на 1 магазин, за счет сокращения срока открытия</t>
  </si>
  <si>
    <t>всего процесс согласования докуметнов по ЦГ (10 этапов)</t>
  </si>
  <si>
    <t>дн</t>
  </si>
  <si>
    <t>Экономия при внедрении</t>
  </si>
  <si>
    <t>?? Подумать и пересчитать</t>
  </si>
  <si>
    <t>сРТО на 1 магазин в 1 день, 3 кв</t>
  </si>
  <si>
    <t>экономия при открытии 1 магазина</t>
  </si>
  <si>
    <t>Расчет поэтапного эффекта (переходный период при внедрении портала)</t>
  </si>
  <si>
    <t>кол-во магазинов</t>
  </si>
  <si>
    <t>% магазинов в системе</t>
  </si>
  <si>
    <t>Эффект, руб</t>
  </si>
  <si>
    <t>4 кв 2026г</t>
  </si>
  <si>
    <t>1е полугодие 2027г</t>
  </si>
  <si>
    <t>2е полугодие 2027г</t>
  </si>
  <si>
    <t>Итого 2027</t>
  </si>
  <si>
    <t>1 магазин в год</t>
  </si>
  <si>
    <t xml:space="preserve">График </t>
  </si>
  <si>
    <t>ТС Чижик</t>
  </si>
  <si>
    <t>Календаризация РТО руб.</t>
  </si>
  <si>
    <t>Календаризация РТО тыс.руб</t>
  </si>
  <si>
    <t>% EBITDA от выручки тыс.руб</t>
  </si>
  <si>
    <t>Влияние на EBITDA</t>
  </si>
  <si>
    <t>График открытия ТО Чижик</t>
  </si>
  <si>
    <t>Регион</t>
  </si>
  <si>
    <t>январь</t>
  </si>
  <si>
    <t>февраль</t>
  </si>
  <si>
    <t>март</t>
  </si>
  <si>
    <t>апрель</t>
  </si>
  <si>
    <t>май</t>
  </si>
  <si>
    <t>июнь</t>
  </si>
  <si>
    <t>июль</t>
  </si>
  <si>
    <t>август</t>
  </si>
  <si>
    <t>сентябрь</t>
  </si>
  <si>
    <t>октябрь</t>
  </si>
  <si>
    <t>ноябрь</t>
  </si>
  <si>
    <t>декабрь</t>
  </si>
  <si>
    <t>План 2026</t>
  </si>
  <si>
    <t>Волгоград</t>
  </si>
  <si>
    <t>Воронеж</t>
  </si>
  <si>
    <t>Екатеринбург</t>
  </si>
  <si>
    <t>Казань</t>
  </si>
  <si>
    <t>Кемерово</t>
  </si>
  <si>
    <t>Краснодар</t>
  </si>
  <si>
    <t>Москва Восток</t>
  </si>
  <si>
    <t>Москва Запад</t>
  </si>
  <si>
    <t>Москва Север</t>
  </si>
  <si>
    <t>Москва Юг</t>
  </si>
  <si>
    <t>Нижний Новгород</t>
  </si>
  <si>
    <t>Новосибирск</t>
  </si>
  <si>
    <t>Пермь</t>
  </si>
  <si>
    <t xml:space="preserve">                   -    </t>
  </si>
  <si>
    <t>Ростов-на-Дону</t>
  </si>
  <si>
    <t>Самара</t>
  </si>
  <si>
    <t>Саратов</t>
  </si>
  <si>
    <t>Уфа</t>
  </si>
  <si>
    <t>Челябинск</t>
  </si>
  <si>
    <t>Ярославль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</si>
</sst>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_₽_-;\-* #,##0.00\ _₽_-;_-* &quot;-&quot;??\ _₽_-;_-@_-"/>
    <numFmt numFmtId="165" formatCode="_-* #,##0.00_р_._-;\-* #,##0.00_р_._-;_-* &quot;-&quot;??_р_._-;_-@_-"/>
    <numFmt numFmtId="166" formatCode="0.0%"/>
    <numFmt numFmtId="167" formatCode="[$-419]mmm\ yy;@"/>
    <numFmt numFmtId="168" formatCode="_-* #,##0_р_._-;\-* #,##0_р_._-;_-* &quot;-&quot;??_р_._-;_-@_-"/>
    <numFmt numFmtId="169" formatCode="#,##0;\ \(#,##0\);\-"/>
    <numFmt numFmtId="170" formatCode="_(* #,##0_);_(* \(#,##0\);_(* &quot;-&quot;_);_(@_)"/>
    <numFmt numFmtId="171" formatCode="#,##0;\ \(#,##0\);\ \-"/>
    <numFmt numFmtId="172" formatCode="###,000"/>
    <numFmt numFmtId="173" formatCode="_-* #,##0\ _₽_-;\-* #,##0\ _₽_-;_-* &quot;-&quot;??\ _₽_-;_-@_-"/>
    <numFmt numFmtId="174" formatCode="_-* #,##0\ _₽_-;\-* #,##0\ _₽_-;_-* &quot;-&quot;\ _₽_-;_-@_-"/>
    <numFmt numFmtId="175" formatCode="#,##0.00;\(#,##0.00\);#,##0.00"/>
  </numFmts>
  <fonts count="104">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i/>
      <sz val="9"/>
      <color theme="1"/>
      <name val="Calibri"/>
      <family val="2"/>
      <charset val="204"/>
      <scheme val="minor"/>
    </font>
    <font>
      <sz val="8"/>
      <color theme="1"/>
      <name val="Calibri"/>
      <family val="2"/>
      <charset val="204"/>
      <scheme val="minor"/>
    </font>
    <font>
      <b/>
      <sz val="8"/>
      <color indexed="12"/>
      <name val="Calibri"/>
      <family val="2"/>
      <charset val="204"/>
      <scheme val="minor"/>
    </font>
    <font>
      <b/>
      <sz val="11"/>
      <color rgb="FF329664"/>
      <name val="Calibri"/>
      <family val="2"/>
      <charset val="204"/>
      <scheme val="minor"/>
    </font>
    <font>
      <b/>
      <sz val="11"/>
      <color rgb="FF0000C0"/>
      <name val="Calibri"/>
      <family val="2"/>
      <charset val="204"/>
      <scheme val="minor"/>
    </font>
    <font>
      <sz val="11"/>
      <color rgb="FFFF0000"/>
      <name val="Calibri"/>
      <family val="2"/>
      <charset val="204"/>
      <scheme val="minor"/>
    </font>
    <font>
      <i/>
      <sz val="11"/>
      <color rgb="FF7F7F7F"/>
      <name val="Calibri"/>
      <family val="2"/>
      <charset val="204"/>
      <scheme val="minor"/>
    </font>
    <font>
      <sz val="10"/>
      <name val="Arial"/>
      <family val="2"/>
      <charset val="204"/>
    </font>
    <font>
      <sz val="10"/>
      <color theme="1"/>
      <name val="Arial Narrow"/>
      <family val="2"/>
      <charset val="204"/>
    </font>
    <font>
      <b/>
      <sz val="10"/>
      <color theme="1"/>
      <name val="Arial Narrow"/>
      <family val="2"/>
      <charset val="204"/>
    </font>
    <font>
      <u/>
      <sz val="11"/>
      <color theme="10"/>
      <name val="Calibri"/>
      <family val="2"/>
      <charset val="204"/>
      <scheme val="minor"/>
    </font>
    <font>
      <sz val="10"/>
      <color rgb="FF2C2A29"/>
      <name val="Arial Narrow"/>
      <family val="2"/>
      <charset val="204"/>
    </font>
    <font>
      <sz val="10"/>
      <color rgb="FFFF7300"/>
      <name val="Arial Narrow"/>
      <family val="2"/>
      <charset val="204"/>
    </font>
    <font>
      <sz val="11"/>
      <color theme="1"/>
      <name val="Calibri"/>
      <family val="2"/>
      <scheme val="minor"/>
    </font>
    <font>
      <u/>
      <sz val="11"/>
      <color theme="10"/>
      <name val="Calibri"/>
      <family val="2"/>
      <scheme val="minor"/>
    </font>
    <font>
      <sz val="11"/>
      <color theme="1"/>
      <name val="Open Sans"/>
      <family val="2"/>
      <charset val="204"/>
    </font>
    <font>
      <b/>
      <sz val="11"/>
      <name val="Open Sans"/>
      <family val="2"/>
      <charset val="204"/>
    </font>
    <font>
      <sz val="18"/>
      <name val="Arial"/>
      <family val="2"/>
      <charset val="204"/>
    </font>
    <font>
      <sz val="12"/>
      <color rgb="FF191923"/>
      <name val="Open Sans"/>
      <family val="2"/>
      <charset val="204"/>
    </font>
    <font>
      <sz val="14"/>
      <color rgb="FF191923"/>
      <name val="Open Sans"/>
      <family val="2"/>
      <charset val="204"/>
    </font>
    <font>
      <i/>
      <sz val="10"/>
      <color rgb="FF7F7F7F"/>
      <name val="Open Sans"/>
      <family val="2"/>
      <charset val="204"/>
    </font>
    <font>
      <b/>
      <i/>
      <sz val="11"/>
      <color theme="1"/>
      <name val="Open Sans"/>
      <family val="2"/>
      <charset val="204"/>
    </font>
    <font>
      <sz val="10"/>
      <color theme="1"/>
      <name val="Open Sans"/>
      <family val="2"/>
      <charset val="204"/>
    </font>
    <font>
      <sz val="10"/>
      <color rgb="FFFF0000"/>
      <name val="Open Sans"/>
      <family val="2"/>
      <charset val="204"/>
    </font>
    <font>
      <b/>
      <sz val="10"/>
      <color theme="1"/>
      <name val="Open Sans"/>
      <family val="2"/>
      <charset val="204"/>
    </font>
    <font>
      <b/>
      <sz val="10"/>
      <color theme="1" tint="0.499984740745262"/>
      <name val="Open Sans"/>
      <family val="2"/>
      <charset val="204"/>
    </font>
    <font>
      <b/>
      <sz val="14"/>
      <color rgb="FF7CB854"/>
      <name val="Open Sans"/>
      <family val="2"/>
      <charset val="204"/>
    </font>
    <font>
      <sz val="10"/>
      <color theme="1"/>
      <name val="Times New Roman"/>
      <family val="1"/>
      <charset val="204"/>
    </font>
    <font>
      <b/>
      <sz val="10"/>
      <name val="Times New Roman"/>
      <family val="1"/>
      <charset val="204"/>
    </font>
    <font>
      <b/>
      <sz val="10"/>
      <color theme="1"/>
      <name val="Open Sans"/>
      <family val="2"/>
      <charset val="204"/>
    </font>
    <font>
      <b/>
      <sz val="16"/>
      <color theme="1"/>
      <name val="Open Sans"/>
      <family val="2"/>
      <charset val="204"/>
    </font>
    <font>
      <b/>
      <sz val="16"/>
      <color theme="0"/>
      <name val="Open Sans"/>
      <family val="2"/>
      <charset val="204"/>
    </font>
    <font>
      <sz val="11"/>
      <name val="Calibri"/>
      <family val="2"/>
      <charset val="204"/>
      <scheme val="minor"/>
    </font>
    <font>
      <sz val="12"/>
      <color theme="0"/>
      <name val="Open Sans ExtraBold"/>
      <family val="2"/>
      <charset val="204"/>
    </font>
    <font>
      <sz val="10"/>
      <color theme="1"/>
      <name val="Open Sans SemiBold"/>
      <family val="2"/>
      <charset val="204"/>
    </font>
    <font>
      <u/>
      <sz val="10"/>
      <color theme="10"/>
      <name val="Open Sans"/>
      <family val="2"/>
      <charset val="204"/>
    </font>
    <font>
      <sz val="10"/>
      <name val="Open Sans SemiBold"/>
      <family val="2"/>
      <charset val="204"/>
    </font>
    <font>
      <sz val="10"/>
      <name val="Open Sans Light"/>
      <family val="2"/>
      <charset val="204"/>
    </font>
    <font>
      <sz val="26"/>
      <color theme="1"/>
      <name val="Open Sans"/>
      <family val="2"/>
      <charset val="204"/>
    </font>
    <font>
      <b/>
      <sz val="14"/>
      <color theme="0"/>
      <name val="Open Sans"/>
      <family val="2"/>
      <charset val="204"/>
    </font>
    <font>
      <sz val="10"/>
      <color theme="4" tint="-0.249977111117893"/>
      <name val="Open Sans SemiBold"/>
      <family val="2"/>
      <charset val="204"/>
    </font>
    <font>
      <b/>
      <sz val="10"/>
      <color theme="4" tint="-0.249977111117893"/>
      <name val="Open Sans SemiBold"/>
      <family val="2"/>
      <charset val="204"/>
    </font>
    <font>
      <b/>
      <sz val="12"/>
      <color theme="0"/>
      <name val="Open Sans ExtraBold"/>
      <family val="2"/>
      <charset val="204"/>
    </font>
    <font>
      <b/>
      <sz val="10"/>
      <color theme="1"/>
      <name val="Open Sans SemiBold"/>
      <family val="2"/>
      <charset val="204"/>
    </font>
    <font>
      <sz val="11"/>
      <color theme="1"/>
      <name val="Open Sans SemiBold"/>
      <family val="2"/>
      <charset val="204"/>
    </font>
    <font>
      <sz val="11"/>
      <name val="Open Sans SemiBold"/>
      <family val="2"/>
      <charset val="204"/>
    </font>
    <font>
      <b/>
      <sz val="11"/>
      <color theme="4" tint="-0.249977111117893"/>
      <name val="Open Sans SemiBold"/>
      <family val="2"/>
      <charset val="204"/>
    </font>
    <font>
      <b/>
      <sz val="16"/>
      <color rgb="FFFF0000"/>
      <name val="Open Sans"/>
      <family val="2"/>
      <charset val="204"/>
    </font>
    <font>
      <sz val="18"/>
      <name val="Arial"/>
      <family val="2"/>
      <charset val="204"/>
    </font>
    <font>
      <sz val="10"/>
      <color rgb="FF191923"/>
      <name val="X5 Sans"/>
      <family val="2"/>
      <charset val="204"/>
    </font>
    <font>
      <b/>
      <sz val="16"/>
      <color rgb="FF191923"/>
      <name val="X5 Sans"/>
      <family val="2"/>
      <charset val="204"/>
    </font>
    <font>
      <b/>
      <sz val="14"/>
      <color rgb="FF191923"/>
      <name val="X5 Sans"/>
      <family val="2"/>
      <charset val="204"/>
    </font>
    <font>
      <b/>
      <sz val="12"/>
      <color rgb="FF191923"/>
      <name val="X5 Sans Medium"/>
      <family val="2"/>
      <charset val="204"/>
    </font>
    <font>
      <b/>
      <sz val="12"/>
      <color rgb="FF191923"/>
      <name val="X5 Sans"/>
      <family val="2"/>
      <charset val="204"/>
    </font>
    <font>
      <sz val="12"/>
      <color rgb="FF191923"/>
      <name val="X5 Sans"/>
      <family val="2"/>
      <charset val="204"/>
    </font>
    <font>
      <b/>
      <sz val="12"/>
      <color rgb="FF191923"/>
      <name val="X5 Sans Light"/>
      <family val="2"/>
      <charset val="204"/>
    </font>
    <font>
      <sz val="12"/>
      <color rgb="FF191923"/>
      <name val="X5 Sans Light"/>
      <family val="2"/>
      <charset val="204"/>
    </font>
    <font>
      <sz val="8"/>
      <color theme="1"/>
      <name val="Open Sans"/>
      <family val="2"/>
      <charset val="204"/>
    </font>
    <font>
      <sz val="8"/>
      <color theme="2"/>
      <name val="Open Sans"/>
      <family val="2"/>
      <charset val="204"/>
    </font>
    <font>
      <b/>
      <sz val="16"/>
      <color theme="1"/>
      <name val="X5 Sans"/>
      <family val="2"/>
      <charset val="204"/>
    </font>
    <font>
      <sz val="16"/>
      <color theme="1"/>
      <name val="Open Sans"/>
      <family val="2"/>
      <charset val="204"/>
    </font>
    <font>
      <sz val="8"/>
      <color rgb="FF222429"/>
      <name val="X5 Sans"/>
      <family val="2"/>
      <charset val="204"/>
    </font>
    <font>
      <b/>
      <sz val="10"/>
      <color rgb="FF222429"/>
      <name val="X5 Sans"/>
      <family val="2"/>
      <charset val="204"/>
    </font>
    <font>
      <sz val="9"/>
      <color rgb="FF222429"/>
      <name val="X5 Sans"/>
      <family val="2"/>
      <charset val="204"/>
    </font>
    <font>
      <b/>
      <sz val="9"/>
      <color rgb="FF222429"/>
      <name val="X5 Sans"/>
      <family val="2"/>
      <charset val="204"/>
    </font>
    <font>
      <sz val="9"/>
      <color rgb="FF191923"/>
      <name val="X5 Sans"/>
      <family val="2"/>
      <charset val="204"/>
    </font>
    <font>
      <sz val="11"/>
      <color theme="1"/>
      <name val="X5 Sans"/>
      <family val="2"/>
      <charset val="204"/>
    </font>
    <font>
      <sz val="11"/>
      <color theme="2" tint="-9.9978637043366805E-2"/>
      <name val="X5 Sans"/>
      <family val="2"/>
      <charset val="204"/>
    </font>
    <font>
      <b/>
      <sz val="18"/>
      <color theme="1"/>
      <name val="X5 Sans"/>
      <family val="2"/>
      <charset val="204"/>
    </font>
    <font>
      <b/>
      <sz val="11"/>
      <color rgb="FF00B050"/>
      <name val="X5 Sans"/>
      <family val="2"/>
      <charset val="204"/>
    </font>
    <font>
      <b/>
      <sz val="11"/>
      <name val="X5 Sans"/>
      <family val="2"/>
      <charset val="204"/>
    </font>
    <font>
      <b/>
      <sz val="14"/>
      <color rgb="FF7CB854"/>
      <name val="X5 Sans"/>
      <family val="2"/>
      <charset val="204"/>
    </font>
    <font>
      <b/>
      <sz val="11"/>
      <color theme="1"/>
      <name val="X5 Sans"/>
      <family val="2"/>
      <charset val="204"/>
    </font>
    <font>
      <b/>
      <sz val="12"/>
      <color theme="1"/>
      <name val="X5 Sans"/>
      <family val="2"/>
      <charset val="204"/>
    </font>
    <font>
      <sz val="11"/>
      <color rgb="FF000000"/>
      <name val="X5 Sans"/>
      <family val="2"/>
      <charset val="204"/>
    </font>
    <font>
      <sz val="9"/>
      <name val="X5 Sans"/>
      <family val="2"/>
      <charset val="204"/>
    </font>
    <font>
      <sz val="11"/>
      <name val="X5 Sans"/>
      <family val="2"/>
      <charset val="204"/>
    </font>
    <font>
      <b/>
      <sz val="11"/>
      <color rgb="FF000000"/>
      <name val="X5 Sans"/>
      <family val="2"/>
      <charset val="204"/>
    </font>
    <font>
      <b/>
      <sz val="12"/>
      <name val="X5 Sans"/>
      <family val="2"/>
      <charset val="204"/>
    </font>
    <font>
      <sz val="12"/>
      <name val="X5 Sans"/>
      <family val="2"/>
      <charset val="204"/>
    </font>
    <font>
      <sz val="12.65"/>
      <color theme="1"/>
      <name val="X5 Sans"/>
      <family val="2"/>
      <charset val="204"/>
    </font>
    <font>
      <b/>
      <sz val="12"/>
      <color rgb="FF7CB854"/>
      <name val="X5 Sans"/>
      <family val="2"/>
      <charset val="204"/>
    </font>
    <font>
      <sz val="11"/>
      <color theme="1" tint="0.499984740745262"/>
      <name val="X5 Sans"/>
      <family val="2"/>
      <charset val="204"/>
    </font>
    <font>
      <b/>
      <sz val="12"/>
      <color theme="1" tint="0.499984740745262"/>
      <name val="X5 Sans"/>
      <family val="2"/>
      <charset val="204"/>
    </font>
    <font>
      <b/>
      <sz val="8"/>
      <color rgb="FF1F497D"/>
      <name val="Verdana"/>
      <family val="2"/>
      <charset val="204"/>
    </font>
    <font>
      <sz val="8"/>
      <color rgb="FF1F497D"/>
      <name val="Verdana"/>
      <family val="2"/>
      <charset val="204"/>
    </font>
    <font>
      <sz val="8"/>
      <color rgb="FF000000"/>
      <name val="Verdana"/>
      <family val="2"/>
      <charset val="204"/>
    </font>
    <font>
      <sz val="10"/>
      <name val="Arial"/>
      <family val="2"/>
      <charset val="204"/>
    </font>
    <font>
      <sz val="11"/>
      <name val="Open Sans"/>
      <family val="2"/>
      <charset val="204"/>
    </font>
    <font>
      <i/>
      <sz val="10"/>
      <name val="Calibri"/>
      <family val="2"/>
      <charset val="204"/>
      <scheme val="minor"/>
    </font>
    <font>
      <i/>
      <sz val="11"/>
      <color theme="1"/>
      <name val="Calibri"/>
      <family val="2"/>
      <charset val="204"/>
      <scheme val="minor"/>
    </font>
    <font>
      <b/>
      <sz val="14"/>
      <color rgb="FFFF0000"/>
      <name val="Open Sans"/>
      <family val="2"/>
      <charset val="204"/>
    </font>
    <font>
      <sz val="10"/>
      <color rgb="FFFF0000"/>
      <name val="Times New Roman"/>
      <family val="1"/>
      <charset val="204"/>
    </font>
    <font>
      <b/>
      <sz val="14"/>
      <color theme="1"/>
      <name val="Calibri"/>
      <family val="2"/>
      <charset val="204"/>
      <scheme val="minor"/>
    </font>
    <font>
      <sz val="14"/>
      <color theme="1"/>
      <name val="Calibri"/>
      <family val="2"/>
      <charset val="204"/>
      <scheme val="minor"/>
    </font>
    <font>
      <b/>
      <sz val="10"/>
      <color theme="1"/>
      <name val="Calibri"/>
      <family val="2"/>
      <charset val="204"/>
      <scheme val="minor"/>
    </font>
    <font>
      <b/>
      <sz val="10"/>
      <color rgb="FF000000"/>
      <name val="Calibri"/>
      <family val="2"/>
      <charset val="204"/>
      <scheme val="minor"/>
    </font>
    <font>
      <sz val="11"/>
      <color rgb="FF000000"/>
      <name val="Calibri"/>
      <family val="2"/>
      <charset val="204"/>
      <scheme val="minor"/>
    </font>
    <font>
      <b/>
      <sz val="10"/>
      <color rgb="FF000000"/>
      <name val="Tahoma"/>
      <family val="2"/>
      <charset val="204"/>
    </font>
    <font>
      <sz val="10"/>
      <color rgb="FF000000"/>
      <name val="Tahoma"/>
      <family val="2"/>
      <charset val="204"/>
    </font>
    <font>
      <sz val="8"/>
      <name val="Calibri"/>
      <family val="2"/>
      <charset val="204"/>
      <scheme val="minor"/>
    </font>
  </fonts>
  <fills count="50">
    <fill>
      <patternFill patternType="none"/>
    </fill>
    <fill>
      <patternFill patternType="gray125"/>
    </fill>
    <fill>
      <patternFill patternType="solid">
        <fgColor rgb="FFBDD6E7"/>
        <bgColor indexed="64"/>
      </patternFill>
    </fill>
    <fill>
      <patternFill patternType="solid">
        <fgColor rgb="FFDFDFDF"/>
        <bgColor indexed="64"/>
      </patternFill>
    </fill>
    <fill>
      <patternFill patternType="solid">
        <fgColor rgb="FFE5F2FF"/>
        <bgColor indexed="64"/>
      </patternFill>
    </fill>
    <fill>
      <patternFill patternType="solid">
        <fgColor rgb="FFFFFACD"/>
        <bgColor indexed="64"/>
      </patternFill>
    </fill>
    <fill>
      <patternFill patternType="lightTrellis">
        <fgColor rgb="FFAFAFAF"/>
        <bgColor rgb="FFEBEBEB"/>
      </patternFill>
    </fill>
    <fill>
      <patternFill patternType="solid">
        <fgColor rgb="FFEBEBEB"/>
        <bgColor indexed="64"/>
      </patternFill>
    </fill>
    <fill>
      <patternFill patternType="solid">
        <fgColor indexed="47"/>
        <bgColor indexed="64"/>
      </patternFill>
    </fill>
    <fill>
      <patternFill patternType="solid">
        <fgColor theme="0"/>
        <bgColor indexed="64"/>
      </patternFill>
    </fill>
    <fill>
      <patternFill patternType="solid">
        <fgColor indexed="31"/>
        <bgColor indexed="64"/>
      </patternFill>
    </fill>
    <fill>
      <patternFill patternType="solid">
        <fgColor indexed="23"/>
        <bgColor indexed="64"/>
      </patternFill>
    </fill>
    <fill>
      <patternFill patternType="solid">
        <fgColor indexed="55"/>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0F4F5"/>
        <bgColor indexed="64"/>
      </patternFill>
    </fill>
    <fill>
      <patternFill patternType="solid">
        <fgColor rgb="FFD3DDE0"/>
        <bgColor indexed="64"/>
      </patternFill>
    </fill>
    <fill>
      <patternFill patternType="solid">
        <fgColor theme="2" tint="-0.249977111117893"/>
        <bgColor indexed="64"/>
      </patternFill>
    </fill>
    <fill>
      <patternFill patternType="solid">
        <fgColor rgb="FFE1E5EB"/>
        <bgColor indexed="64"/>
      </patternFill>
    </fill>
    <fill>
      <patternFill patternType="solid">
        <fgColor theme="3" tint="0.39997558519241921"/>
        <bgColor indexed="64"/>
      </patternFill>
    </fill>
    <fill>
      <patternFill patternType="solid">
        <fgColor rgb="FFFFFFEB"/>
        <bgColor indexed="64"/>
      </patternFill>
    </fill>
    <fill>
      <patternFill patternType="solid">
        <fgColor theme="3"/>
        <bgColor indexed="64"/>
      </patternFill>
    </fill>
    <fill>
      <patternFill patternType="solid">
        <fgColor rgb="FFEFF1F5"/>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F2F5F6"/>
        <bgColor indexed="64"/>
      </patternFill>
    </fill>
    <fill>
      <patternFill patternType="solid">
        <fgColor rgb="FF00B050"/>
        <bgColor indexed="64"/>
      </patternFill>
    </fill>
    <fill>
      <patternFill patternType="solid">
        <fgColor theme="2"/>
        <bgColor indexed="64"/>
      </patternFill>
    </fill>
    <fill>
      <patternFill patternType="solid">
        <fgColor rgb="FFD9E2E4"/>
        <bgColor indexed="64"/>
      </patternFill>
    </fill>
    <fill>
      <patternFill patternType="solid">
        <fgColor rgb="FF77B64E"/>
        <bgColor indexed="64"/>
      </patternFill>
    </fill>
    <fill>
      <patternFill patternType="solid">
        <fgColor rgb="FFE5ECED"/>
        <bgColor indexed="64"/>
      </patternFill>
    </fill>
    <fill>
      <patternFill patternType="solid">
        <fgColor rgb="FFDBE5F1"/>
        <bgColor rgb="FF000000"/>
      </patternFill>
    </fill>
    <fill>
      <patternFill patternType="solid">
        <fgColor rgb="FFDBE5F1"/>
        <bgColor rgb="FFFFFFFF"/>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F1F5FB"/>
        <bgColor rgb="FF000000"/>
      </patternFill>
    </fill>
    <fill>
      <patternFill patternType="solid">
        <fgColor rgb="FFE9EFF7"/>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FFC000"/>
        <bgColor rgb="FF000000"/>
      </patternFill>
    </fill>
    <fill>
      <patternFill patternType="solid">
        <fgColor rgb="FFB4C6E7"/>
        <bgColor rgb="FF000000"/>
      </patternFill>
    </fill>
    <fill>
      <patternFill patternType="solid">
        <fgColor rgb="FFFFFFFF"/>
        <bgColor rgb="FF000000"/>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right/>
      <top/>
      <bottom style="double">
        <color indexed="64"/>
      </bottom>
      <diagonal/>
    </border>
    <border>
      <left/>
      <right/>
      <top style="thick">
        <color auto="1"/>
      </top>
      <bottom/>
      <diagonal/>
    </border>
    <border>
      <left/>
      <right/>
      <top/>
      <bottom style="thin">
        <color theme="0" tint="-0.24994659260841701"/>
      </bottom>
      <diagonal/>
    </border>
    <border>
      <left/>
      <right/>
      <top style="thin">
        <color theme="0" tint="-0.24994659260841701"/>
      </top>
      <bottom/>
      <diagonal/>
    </border>
    <border>
      <left/>
      <right/>
      <top style="dashed">
        <color theme="0" tint="-0.24994659260841701"/>
      </top>
      <bottom style="dashed">
        <color theme="0" tint="-0.24994659260841701"/>
      </bottom>
      <diagonal/>
    </border>
    <border>
      <left/>
      <right/>
      <top/>
      <bottom style="thick">
        <color indexed="64"/>
      </bottom>
      <diagonal/>
    </border>
    <border>
      <left/>
      <right style="thick">
        <color indexed="64"/>
      </right>
      <top/>
      <bottom/>
      <diagonal/>
    </border>
    <border>
      <left/>
      <right style="thick">
        <color indexed="64"/>
      </right>
      <top/>
      <bottom style="thick">
        <color indexed="64"/>
      </bottom>
      <diagonal/>
    </border>
    <border>
      <left/>
      <right style="thick">
        <color indexed="64"/>
      </right>
      <top style="dashed">
        <color theme="0" tint="-0.24994659260841701"/>
      </top>
      <bottom style="dashed">
        <color theme="0" tint="-0.24994659260841701"/>
      </bottom>
      <diagonal/>
    </border>
    <border>
      <left/>
      <right style="thick">
        <color indexed="64"/>
      </right>
      <top/>
      <bottom style="double">
        <color indexed="64"/>
      </bottom>
      <diagonal/>
    </border>
    <border>
      <left/>
      <right style="thick">
        <color indexed="64"/>
      </right>
      <top/>
      <bottom style="thin">
        <color theme="0" tint="-0.24994659260841701"/>
      </bottom>
      <diagonal/>
    </border>
    <border>
      <left/>
      <right style="thick">
        <color indexed="64"/>
      </right>
      <top style="thin">
        <color theme="0" tint="-0.24994659260841701"/>
      </top>
      <bottom/>
      <diagonal/>
    </border>
    <border>
      <left/>
      <right style="thick">
        <color indexed="64"/>
      </right>
      <top style="thick">
        <color auto="1"/>
      </top>
      <bottom/>
      <diagonal/>
    </border>
    <border>
      <left/>
      <right style="thin">
        <color rgb="FF8698A0"/>
      </right>
      <top/>
      <bottom style="thin">
        <color rgb="FF8698A0"/>
      </bottom>
      <diagonal/>
    </border>
    <border>
      <left/>
      <right style="thin">
        <color rgb="FF8698A0"/>
      </right>
      <top style="thin">
        <color rgb="FF8698A0"/>
      </top>
      <bottom style="thin">
        <color rgb="FFCFD6D9"/>
      </bottom>
      <diagonal/>
    </border>
    <border>
      <left style="thin">
        <color rgb="FF8698A0"/>
      </left>
      <right/>
      <top style="thin">
        <color rgb="FF8698A0"/>
      </top>
      <bottom style="thin">
        <color rgb="FFCFD6D9"/>
      </bottom>
      <diagonal/>
    </border>
    <border>
      <left/>
      <right style="thin">
        <color rgb="FF8698A0"/>
      </right>
      <top style="thin">
        <color rgb="FFCFD6D9"/>
      </top>
      <bottom style="thin">
        <color rgb="FFCFD6D9"/>
      </bottom>
      <diagonal/>
    </border>
    <border>
      <left style="thin">
        <color rgb="FF8698A0"/>
      </left>
      <right/>
      <top style="thin">
        <color rgb="FFCFD6D9"/>
      </top>
      <bottom style="thin">
        <color rgb="FFCFD6D9"/>
      </bottom>
      <diagonal/>
    </border>
    <border>
      <left/>
      <right style="thin">
        <color rgb="FF8698A0"/>
      </right>
      <top style="thin">
        <color rgb="FFCFD6D9"/>
      </top>
      <bottom/>
      <diagonal/>
    </border>
    <border>
      <left style="thin">
        <color rgb="FF8698A0"/>
      </left>
      <right/>
      <top style="thin">
        <color rgb="FFCFD6D9"/>
      </top>
      <bottom/>
      <diagonal/>
    </border>
    <border>
      <left/>
      <right style="thin">
        <color rgb="FF8698A0"/>
      </right>
      <top/>
      <bottom/>
      <diagonal/>
    </border>
    <border>
      <left style="thin">
        <color rgb="FF8698A0"/>
      </left>
      <right style="thin">
        <color rgb="FF8698A0"/>
      </right>
      <top/>
      <bottom style="thin">
        <color rgb="FF8698A0"/>
      </bottom>
      <diagonal/>
    </border>
    <border>
      <left style="thin">
        <color rgb="FF8698A0"/>
      </left>
      <right style="thin">
        <color rgb="FF8698A0"/>
      </right>
      <top/>
      <bottom/>
      <diagonal/>
    </border>
    <border>
      <left style="thin">
        <color rgb="FF8698A0"/>
      </left>
      <right style="thin">
        <color rgb="FF8698A0"/>
      </right>
      <top style="thin">
        <color rgb="FF8698A0"/>
      </top>
      <bottom style="thin">
        <color rgb="FFCFD6D9"/>
      </bottom>
      <diagonal/>
    </border>
    <border>
      <left style="thin">
        <color rgb="FF8698A0"/>
      </left>
      <right style="thin">
        <color rgb="FF8698A0"/>
      </right>
      <top style="thin">
        <color rgb="FFCFD6D9"/>
      </top>
      <bottom style="thin">
        <color rgb="FFCFD6D9"/>
      </bottom>
      <diagonal/>
    </border>
    <border>
      <left style="thin">
        <color rgb="FF8698A0"/>
      </left>
      <right style="thin">
        <color rgb="FF8698A0"/>
      </right>
      <top style="thin">
        <color rgb="FFCFD6D9"/>
      </top>
      <bottom/>
      <diagonal/>
    </border>
    <border>
      <left style="thin">
        <color rgb="FF8698A0"/>
      </left>
      <right style="thin">
        <color indexed="64"/>
      </right>
      <top/>
      <bottom/>
      <diagonal/>
    </border>
    <border>
      <left style="thin">
        <color rgb="FF8698A0"/>
      </left>
      <right style="thin">
        <color indexed="64"/>
      </right>
      <top/>
      <bottom style="thin">
        <color rgb="FF8698A0"/>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thick">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ck">
        <color indexed="64"/>
      </right>
      <top style="dashed">
        <color theme="0" tint="-0.499984740745262"/>
      </top>
      <bottom style="dashed">
        <color theme="0" tint="-0.499984740745262"/>
      </bottom>
      <diagonal/>
    </border>
    <border>
      <left/>
      <right/>
      <top style="dashed">
        <color theme="0" tint="-0.499984740745262"/>
      </top>
      <bottom style="dashed">
        <color theme="0" tint="-0.499984740745262"/>
      </bottom>
      <diagonal/>
    </border>
    <border>
      <left/>
      <right/>
      <top/>
      <bottom style="medium">
        <color rgb="FFEBF0F0"/>
      </bottom>
      <diagonal/>
    </border>
    <border>
      <left/>
      <right/>
      <top style="medium">
        <color rgb="FFEBF0F0"/>
      </top>
      <bottom style="medium">
        <color rgb="FFEBF0F0"/>
      </bottom>
      <diagonal/>
    </border>
    <border>
      <left/>
      <right/>
      <top style="medium">
        <color rgb="FFEBF0F0"/>
      </top>
      <bottom style="thin">
        <color rgb="FFC3CAD0"/>
      </bottom>
      <diagonal/>
    </border>
    <border>
      <left/>
      <right/>
      <top style="thin">
        <color rgb="FFC3CAD0"/>
      </top>
      <bottom style="thin">
        <color rgb="FFC3CAD0"/>
      </bottom>
      <diagonal/>
    </border>
    <border>
      <left/>
      <right/>
      <top/>
      <bottom style="thin">
        <color rgb="FFC3CAD0"/>
      </bottom>
      <diagonal/>
    </border>
    <border>
      <left/>
      <right/>
      <top style="thin">
        <color rgb="FFC3CAD0"/>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auto="1"/>
      </left>
      <right style="hair">
        <color auto="1"/>
      </right>
      <top/>
      <bottom/>
      <diagonal/>
    </border>
    <border>
      <left style="medium">
        <color indexed="64"/>
      </left>
      <right/>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52">
    <xf numFmtId="0" fontId="0" fillId="0" borderId="0"/>
    <xf numFmtId="165" fontId="1" fillId="0" borderId="0" applyFont="0" applyFill="0" applyBorder="0" applyAlignment="0" applyProtection="0"/>
    <xf numFmtId="9" fontId="1" fillId="0" borderId="0" applyFont="0" applyFill="0" applyBorder="0" applyAlignment="0" applyProtection="0"/>
    <xf numFmtId="0" fontId="1" fillId="2" borderId="1">
      <alignment horizontal="left" vertical="center"/>
    </xf>
    <xf numFmtId="0" fontId="2" fillId="3" borderId="1">
      <alignment horizontal="left" vertical="center"/>
    </xf>
    <xf numFmtId="0" fontId="2" fillId="4" borderId="1">
      <alignment horizontal="left" vertical="center"/>
    </xf>
    <xf numFmtId="0" fontId="3" fillId="2" borderId="1">
      <alignment horizontal="center" vertical="center"/>
    </xf>
    <xf numFmtId="0" fontId="1" fillId="2" borderId="1">
      <alignment horizontal="center" vertical="center"/>
    </xf>
    <xf numFmtId="0" fontId="2" fillId="3" borderId="1">
      <alignment horizontal="center" vertical="center"/>
    </xf>
    <xf numFmtId="0" fontId="2" fillId="4" borderId="1">
      <alignment horizontal="center" vertical="center"/>
    </xf>
    <xf numFmtId="0" fontId="3" fillId="2" borderId="1">
      <alignment horizontal="center" vertical="center"/>
    </xf>
    <xf numFmtId="0" fontId="4" fillId="0" borderId="1">
      <alignment horizontal="right" vertical="center"/>
    </xf>
    <xf numFmtId="0" fontId="4" fillId="5" borderId="1">
      <alignment horizontal="right" vertical="center"/>
    </xf>
    <xf numFmtId="0" fontId="4" fillId="0" borderId="1">
      <alignment horizontal="center" vertical="center"/>
    </xf>
    <xf numFmtId="0" fontId="3" fillId="3" borderId="1"/>
    <xf numFmtId="0" fontId="3" fillId="0" borderId="1">
      <alignment horizontal="center" vertical="center" wrapText="1"/>
    </xf>
    <xf numFmtId="0" fontId="3" fillId="4" borderId="1"/>
    <xf numFmtId="0" fontId="1" fillId="0" borderId="1">
      <alignment horizontal="left" vertical="center"/>
    </xf>
    <xf numFmtId="0" fontId="1" fillId="0" borderId="1">
      <alignment horizontal="left" vertical="top"/>
    </xf>
    <xf numFmtId="0" fontId="1" fillId="2" borderId="1">
      <alignment horizontal="center" vertical="center"/>
    </xf>
    <xf numFmtId="0" fontId="1" fillId="2" borderId="1">
      <alignment horizontal="left" vertical="center"/>
    </xf>
    <xf numFmtId="0" fontId="4" fillId="0" borderId="1">
      <alignment horizontal="right" vertical="center"/>
    </xf>
    <xf numFmtId="0" fontId="4" fillId="0" borderId="1">
      <alignment horizontal="right" vertical="center"/>
    </xf>
    <xf numFmtId="0" fontId="5" fillId="2" borderId="1">
      <alignment horizontal="left" vertical="center" indent="1"/>
    </xf>
    <xf numFmtId="0" fontId="1" fillId="6" borderId="1"/>
    <xf numFmtId="0" fontId="6" fillId="0" borderId="1"/>
    <xf numFmtId="0" fontId="7" fillId="0" borderId="1"/>
    <xf numFmtId="0" fontId="4" fillId="7" borderId="1"/>
    <xf numFmtId="0" fontId="4" fillId="8" borderId="1"/>
    <xf numFmtId="0" fontId="8" fillId="0" borderId="0" applyNumberFormat="0" applyFill="0" applyBorder="0" applyAlignment="0" applyProtection="0"/>
    <xf numFmtId="0" fontId="9" fillId="0" borderId="0" applyNumberFormat="0" applyFill="0" applyBorder="0" applyAlignment="0" applyProtection="0"/>
    <xf numFmtId="0" fontId="10" fillId="10" borderId="2" applyNumberFormat="0" applyProtection="0">
      <alignment horizontal="left" vertical="center" indent="1"/>
    </xf>
    <xf numFmtId="0" fontId="10" fillId="11" borderId="2" applyNumberFormat="0" applyProtection="0">
      <alignment horizontal="left" vertical="center" indent="1"/>
    </xf>
    <xf numFmtId="0" fontId="10" fillId="12" borderId="2" applyNumberFormat="0" applyProtection="0">
      <alignment horizontal="left" vertical="center" indent="1"/>
    </xf>
    <xf numFmtId="0" fontId="13" fillId="0" borderId="0" applyNumberFormat="0" applyFill="0" applyBorder="0" applyAlignment="0" applyProtection="0"/>
    <xf numFmtId="0" fontId="16" fillId="0" borderId="0"/>
    <xf numFmtId="0" fontId="17" fillId="0" borderId="0" applyNumberFormat="0" applyFill="0" applyBorder="0" applyAlignment="0" applyProtection="0"/>
    <xf numFmtId="164" fontId="16" fillId="0" borderId="0" applyFont="0" applyFill="0" applyBorder="0" applyAlignment="0" applyProtection="0"/>
    <xf numFmtId="0" fontId="1" fillId="0" borderId="0"/>
    <xf numFmtId="9" fontId="1" fillId="0" borderId="0" applyFont="0" applyFill="0" applyBorder="0" applyAlignment="0" applyProtection="0"/>
    <xf numFmtId="164" fontId="1" fillId="0" borderId="0" applyFont="0" applyFill="0" applyBorder="0" applyAlignment="0" applyProtection="0"/>
    <xf numFmtId="0" fontId="87" fillId="34" borderId="49" applyNumberFormat="0" applyAlignment="0" applyProtection="0">
      <alignment horizontal="left" vertical="center" indent="1"/>
    </xf>
    <xf numFmtId="172" fontId="88" fillId="35" borderId="49" applyNumberFormat="0" applyAlignment="0" applyProtection="0">
      <alignment horizontal="left" vertical="center" indent="1"/>
    </xf>
    <xf numFmtId="0" fontId="89" fillId="36" borderId="49" applyNumberFormat="0" applyAlignment="0" applyProtection="0">
      <alignment horizontal="left" vertical="center" indent="1"/>
    </xf>
    <xf numFmtId="172" fontId="88" fillId="0" borderId="50" applyNumberFormat="0" applyProtection="0">
      <alignment horizontal="right" vertical="center"/>
    </xf>
    <xf numFmtId="0" fontId="89" fillId="37" borderId="49" applyNumberFormat="0" applyAlignment="0" applyProtection="0">
      <alignment horizontal="left" vertical="center" indent="1"/>
    </xf>
    <xf numFmtId="0" fontId="87" fillId="34" borderId="51" applyNumberFormat="0" applyAlignment="0" applyProtection="0">
      <alignment horizontal="left" vertical="center" indent="1"/>
    </xf>
    <xf numFmtId="172" fontId="87" fillId="0" borderId="51" applyNumberFormat="0" applyProtection="0">
      <alignment horizontal="right" vertical="center"/>
    </xf>
    <xf numFmtId="0" fontId="89" fillId="38" borderId="49" applyNumberFormat="0" applyAlignment="0" applyProtection="0">
      <alignment horizontal="left" vertical="center" indent="1"/>
    </xf>
    <xf numFmtId="0" fontId="89" fillId="39" borderId="51" applyNumberFormat="0" applyAlignment="0" applyProtection="0">
      <alignment horizontal="left" vertical="center" indent="1"/>
    </xf>
    <xf numFmtId="0" fontId="89" fillId="40" borderId="49" applyNumberFormat="0" applyAlignment="0" applyProtection="0">
      <alignment horizontal="left" vertical="center" indent="1"/>
    </xf>
    <xf numFmtId="0" fontId="90" fillId="0" borderId="0"/>
  </cellStyleXfs>
  <cellXfs count="319">
    <xf numFmtId="0" fontId="0" fillId="0" borderId="0" xfId="0"/>
    <xf numFmtId="0" fontId="12" fillId="0" borderId="0" xfId="0" applyFont="1"/>
    <xf numFmtId="0" fontId="11" fillId="0" borderId="0" xfId="0" applyFont="1"/>
    <xf numFmtId="0" fontId="14" fillId="0" borderId="0" xfId="0" applyFont="1" applyAlignment="1">
      <alignment horizontal="left" vertical="center" readingOrder="1"/>
    </xf>
    <xf numFmtId="0" fontId="15" fillId="0" borderId="0" xfId="0" applyFont="1" applyAlignment="1">
      <alignment horizontal="left" vertical="center" indent="5" readingOrder="1"/>
    </xf>
    <xf numFmtId="9" fontId="0" fillId="0" borderId="0" xfId="2" applyFont="1"/>
    <xf numFmtId="0" fontId="18" fillId="0" borderId="0" xfId="0" applyFont="1"/>
    <xf numFmtId="0" fontId="22" fillId="17" borderId="25" xfId="0" applyFont="1" applyFill="1" applyBorder="1" applyAlignment="1">
      <alignment horizontal="center" vertical="center" wrapText="1" readingOrder="1"/>
    </xf>
    <xf numFmtId="0" fontId="22" fillId="17" borderId="24" xfId="0" applyFont="1" applyFill="1" applyBorder="1" applyAlignment="1">
      <alignment horizontal="center" vertical="center" wrapText="1" readingOrder="1"/>
    </xf>
    <xf numFmtId="0" fontId="20" fillId="0" borderId="17" xfId="0" applyFont="1" applyBorder="1" applyAlignment="1">
      <alignment vertical="center" wrapText="1"/>
    </xf>
    <xf numFmtId="0" fontId="20" fillId="0" borderId="26" xfId="0" applyFont="1" applyBorder="1" applyAlignment="1">
      <alignment horizontal="right" vertical="center" wrapText="1"/>
    </xf>
    <xf numFmtId="0" fontId="21" fillId="0" borderId="26" xfId="0" applyFont="1" applyBorder="1" applyAlignment="1">
      <alignment horizontal="center" vertical="center" wrapText="1" readingOrder="1"/>
    </xf>
    <xf numFmtId="0" fontId="20" fillId="0" borderId="18" xfId="0" applyFont="1" applyBorder="1" applyAlignment="1">
      <alignment horizontal="right" vertical="center" wrapText="1"/>
    </xf>
    <xf numFmtId="0" fontId="20" fillId="0" borderId="19" xfId="0" applyFont="1" applyBorder="1" applyAlignment="1">
      <alignment vertical="center" wrapText="1"/>
    </xf>
    <xf numFmtId="0" fontId="20" fillId="0" borderId="27" xfId="0" applyFont="1" applyBorder="1" applyAlignment="1">
      <alignment horizontal="right" vertical="center" wrapText="1"/>
    </xf>
    <xf numFmtId="0" fontId="21" fillId="0" borderId="27" xfId="0" applyFont="1" applyBorder="1" applyAlignment="1">
      <alignment horizontal="center" vertical="center" wrapText="1" readingOrder="1"/>
    </xf>
    <xf numFmtId="0" fontId="20" fillId="0" borderId="20" xfId="0" applyFont="1" applyBorder="1" applyAlignment="1">
      <alignment horizontal="right" vertical="center" wrapText="1"/>
    </xf>
    <xf numFmtId="0" fontId="20" fillId="0" borderId="21" xfId="0" applyFont="1" applyBorder="1" applyAlignment="1">
      <alignment vertical="center" wrapText="1"/>
    </xf>
    <xf numFmtId="0" fontId="20" fillId="0" borderId="28" xfId="0" applyFont="1" applyBorder="1" applyAlignment="1">
      <alignment horizontal="right" vertical="center" wrapText="1"/>
    </xf>
    <xf numFmtId="0" fontId="21" fillId="0" borderId="28" xfId="0" applyFont="1" applyBorder="1" applyAlignment="1">
      <alignment horizontal="center" vertical="center" wrapText="1" readingOrder="1"/>
    </xf>
    <xf numFmtId="0" fontId="20" fillId="0" borderId="22" xfId="0" applyFont="1" applyBorder="1" applyAlignment="1">
      <alignment horizontal="right" vertical="center" wrapText="1"/>
    </xf>
    <xf numFmtId="0" fontId="23" fillId="0" borderId="0" xfId="30" applyFont="1" applyBorder="1" applyAlignment="1">
      <alignment horizontal="right"/>
    </xf>
    <xf numFmtId="0" fontId="25" fillId="0" borderId="0" xfId="0" applyFont="1"/>
    <xf numFmtId="0" fontId="26" fillId="0" borderId="0" xfId="29" applyFont="1" applyBorder="1"/>
    <xf numFmtId="0" fontId="23" fillId="0" borderId="0" xfId="30" applyFont="1" applyBorder="1"/>
    <xf numFmtId="10" fontId="23" fillId="0" borderId="0" xfId="2" applyNumberFormat="1" applyFont="1" applyBorder="1"/>
    <xf numFmtId="166" fontId="25" fillId="0" borderId="0" xfId="2" applyNumberFormat="1" applyFont="1" applyBorder="1"/>
    <xf numFmtId="165" fontId="23" fillId="0" borderId="0" xfId="1" applyFont="1" applyBorder="1"/>
    <xf numFmtId="168" fontId="27" fillId="0" borderId="0" xfId="1" applyNumberFormat="1" applyFont="1" applyBorder="1"/>
    <xf numFmtId="170" fontId="25" fillId="0" borderId="0" xfId="2" applyNumberFormat="1" applyFont="1" applyFill="1" applyBorder="1" applyAlignment="1">
      <alignment vertical="center" wrapText="1"/>
    </xf>
    <xf numFmtId="0" fontId="30" fillId="0" borderId="0" xfId="0" applyFont="1"/>
    <xf numFmtId="0" fontId="30" fillId="0" borderId="0" xfId="0" applyFont="1" applyAlignment="1">
      <alignment horizontal="left" indent="1"/>
    </xf>
    <xf numFmtId="0" fontId="31" fillId="14" borderId="31" xfId="0" applyFont="1" applyFill="1" applyBorder="1"/>
    <xf numFmtId="0" fontId="30" fillId="0" borderId="31" xfId="0" applyFont="1" applyBorder="1"/>
    <xf numFmtId="0" fontId="31" fillId="14" borderId="32" xfId="0" applyFont="1" applyFill="1" applyBorder="1"/>
    <xf numFmtId="0" fontId="30" fillId="0" borderId="32" xfId="0" applyFont="1" applyBorder="1"/>
    <xf numFmtId="0" fontId="30" fillId="0" borderId="32" xfId="0" applyFont="1" applyBorder="1" applyAlignment="1">
      <alignment wrapText="1"/>
    </xf>
    <xf numFmtId="0" fontId="30" fillId="0" borderId="31" xfId="0" applyFont="1" applyBorder="1" applyAlignment="1">
      <alignment horizontal="left" indent="1"/>
    </xf>
    <xf numFmtId="0" fontId="30" fillId="0" borderId="32" xfId="0" applyFont="1" applyBorder="1" applyAlignment="1">
      <alignment horizontal="left" indent="1"/>
    </xf>
    <xf numFmtId="167" fontId="27" fillId="0" borderId="0" xfId="0" applyNumberFormat="1" applyFont="1" applyAlignment="1">
      <alignment vertical="center"/>
    </xf>
    <xf numFmtId="0" fontId="27" fillId="0" borderId="0" xfId="0" applyFont="1" applyAlignment="1">
      <alignment vertical="center"/>
    </xf>
    <xf numFmtId="168" fontId="29" fillId="0" borderId="31" xfId="1" applyNumberFormat="1" applyFont="1" applyBorder="1" applyAlignment="1">
      <alignment horizontal="left"/>
    </xf>
    <xf numFmtId="0" fontId="27" fillId="19" borderId="31" xfId="0" applyFont="1" applyFill="1" applyBorder="1" applyAlignment="1">
      <alignment horizontal="left" indent="3"/>
    </xf>
    <xf numFmtId="0" fontId="32" fillId="19" borderId="31" xfId="0" applyFont="1" applyFill="1" applyBorder="1" applyAlignment="1">
      <alignment horizontal="left" indent="3"/>
    </xf>
    <xf numFmtId="168" fontId="28" fillId="0" borderId="31" xfId="1" applyNumberFormat="1" applyFont="1" applyBorder="1" applyAlignment="1">
      <alignment horizontal="center" vertical="center"/>
    </xf>
    <xf numFmtId="170" fontId="27" fillId="0" borderId="31" xfId="2" applyNumberFormat="1" applyFont="1" applyFill="1" applyBorder="1" applyAlignment="1">
      <alignment vertical="center" wrapText="1"/>
    </xf>
    <xf numFmtId="0" fontId="25" fillId="13" borderId="31" xfId="0" applyFont="1" applyFill="1" applyBorder="1"/>
    <xf numFmtId="170" fontId="25" fillId="19" borderId="31" xfId="2" applyNumberFormat="1" applyFont="1" applyFill="1" applyBorder="1" applyAlignment="1">
      <alignment vertical="center" wrapText="1"/>
    </xf>
    <xf numFmtId="168" fontId="28" fillId="0" borderId="33" xfId="1" applyNumberFormat="1" applyFont="1" applyBorder="1" applyAlignment="1">
      <alignment horizontal="center" vertical="center"/>
    </xf>
    <xf numFmtId="170" fontId="27" fillId="0" borderId="33" xfId="2" applyNumberFormat="1" applyFont="1" applyFill="1" applyBorder="1" applyAlignment="1">
      <alignment vertical="center" wrapText="1"/>
    </xf>
    <xf numFmtId="168" fontId="27" fillId="0" borderId="31" xfId="1" applyNumberFormat="1" applyFont="1" applyBorder="1" applyAlignment="1">
      <alignment horizontal="right"/>
    </xf>
    <xf numFmtId="168" fontId="29" fillId="9" borderId="32" xfId="1" applyNumberFormat="1" applyFont="1" applyFill="1" applyBorder="1" applyAlignment="1">
      <alignment horizontal="left"/>
    </xf>
    <xf numFmtId="168" fontId="34" fillId="20" borderId="31" xfId="1" applyNumberFormat="1" applyFont="1" applyFill="1" applyBorder="1" applyAlignment="1">
      <alignment horizontal="left" vertical="center"/>
    </xf>
    <xf numFmtId="0" fontId="33" fillId="0" borderId="31" xfId="0" applyFont="1" applyBorder="1" applyAlignment="1">
      <alignment vertical="center"/>
    </xf>
    <xf numFmtId="168" fontId="28" fillId="0" borderId="32" xfId="1" applyNumberFormat="1" applyFont="1" applyBorder="1" applyAlignment="1">
      <alignment horizontal="center" vertical="center"/>
    </xf>
    <xf numFmtId="167" fontId="27" fillId="0" borderId="34" xfId="0" applyNumberFormat="1" applyFont="1" applyBorder="1" applyAlignment="1">
      <alignment vertical="center"/>
    </xf>
    <xf numFmtId="167" fontId="27" fillId="0" borderId="35" xfId="0" applyNumberFormat="1" applyFont="1" applyBorder="1" applyAlignment="1">
      <alignment vertical="center"/>
    </xf>
    <xf numFmtId="0" fontId="2" fillId="0" borderId="0" xfId="0" applyFont="1"/>
    <xf numFmtId="0" fontId="2" fillId="0" borderId="0" xfId="0" applyFont="1" applyAlignment="1">
      <alignment horizontal="left" indent="1"/>
    </xf>
    <xf numFmtId="0" fontId="23" fillId="0" borderId="0" xfId="30" applyFont="1" applyBorder="1" applyAlignment="1">
      <alignment horizontal="left"/>
    </xf>
    <xf numFmtId="14" fontId="24" fillId="19" borderId="1" xfId="30" applyNumberFormat="1" applyFont="1" applyFill="1" applyBorder="1" applyAlignment="1">
      <alignment horizontal="center" vertical="center"/>
    </xf>
    <xf numFmtId="0" fontId="35" fillId="0" borderId="0" xfId="0" applyFont="1" applyAlignment="1">
      <alignment horizontal="left" indent="1"/>
    </xf>
    <xf numFmtId="0" fontId="27" fillId="0" borderId="0" xfId="0" applyFont="1" applyAlignment="1">
      <alignment horizontal="left" vertical="top"/>
    </xf>
    <xf numFmtId="0" fontId="25" fillId="0" borderId="0" xfId="0" applyFont="1" applyAlignment="1">
      <alignment horizontal="left" vertical="top" wrapText="1"/>
    </xf>
    <xf numFmtId="0" fontId="0" fillId="23" borderId="0" xfId="0" applyFill="1" applyAlignment="1">
      <alignment vertical="center"/>
    </xf>
    <xf numFmtId="0" fontId="37" fillId="23" borderId="0" xfId="0" applyFont="1" applyFill="1" applyAlignment="1">
      <alignment horizontal="left" vertical="center"/>
    </xf>
    <xf numFmtId="0" fontId="37" fillId="23" borderId="0" xfId="0" applyFont="1" applyFill="1" applyAlignment="1">
      <alignment horizontal="left" vertical="center" wrapText="1"/>
    </xf>
    <xf numFmtId="0" fontId="38" fillId="0" borderId="0" xfId="34" quotePrefix="1" applyFont="1"/>
    <xf numFmtId="0" fontId="27" fillId="0" borderId="0" xfId="0" applyFont="1" applyAlignment="1">
      <alignment horizontal="left" vertical="center"/>
    </xf>
    <xf numFmtId="0" fontId="25" fillId="0" borderId="0" xfId="0" applyFont="1" applyAlignment="1">
      <alignment horizontal="left" vertical="center" wrapText="1"/>
    </xf>
    <xf numFmtId="0" fontId="41" fillId="0" borderId="0" xfId="0" applyFont="1"/>
    <xf numFmtId="0" fontId="42" fillId="24" borderId="37" xfId="0" applyFont="1" applyFill="1" applyBorder="1" applyAlignment="1">
      <alignment horizontal="right" vertical="center"/>
    </xf>
    <xf numFmtId="0" fontId="42" fillId="24" borderId="38" xfId="0" applyFont="1" applyFill="1" applyBorder="1" applyAlignment="1">
      <alignment horizontal="left" vertical="center"/>
    </xf>
    <xf numFmtId="0" fontId="38" fillId="0" borderId="0" xfId="34" applyFont="1"/>
    <xf numFmtId="0" fontId="27" fillId="23" borderId="0" xfId="0" applyFont="1" applyFill="1" applyAlignment="1">
      <alignment horizontal="left" vertical="center"/>
    </xf>
    <xf numFmtId="0" fontId="25" fillId="23" borderId="0" xfId="0" applyFont="1" applyFill="1" applyAlignment="1">
      <alignment horizontal="left" vertical="center" wrapText="1"/>
    </xf>
    <xf numFmtId="0" fontId="46" fillId="25" borderId="0" xfId="0" applyFont="1" applyFill="1" applyAlignment="1">
      <alignment horizontal="left" vertical="center"/>
    </xf>
    <xf numFmtId="0" fontId="19" fillId="25" borderId="0" xfId="0" applyFont="1" applyFill="1" applyAlignment="1">
      <alignment horizontal="left" vertical="center" wrapText="1"/>
    </xf>
    <xf numFmtId="0" fontId="46" fillId="23" borderId="0" xfId="0" applyFont="1" applyFill="1" applyAlignment="1">
      <alignment horizontal="left" vertical="center"/>
    </xf>
    <xf numFmtId="0" fontId="39" fillId="23" borderId="0" xfId="0" applyFont="1" applyFill="1" applyAlignment="1">
      <alignment horizontal="left" vertical="center" wrapText="1"/>
    </xf>
    <xf numFmtId="0" fontId="39" fillId="23" borderId="0" xfId="0" applyFont="1" applyFill="1" applyAlignment="1">
      <alignment horizontal="left" vertical="center" wrapText="1" indent="1"/>
    </xf>
    <xf numFmtId="0" fontId="39" fillId="23" borderId="0" xfId="0" applyFont="1" applyFill="1" applyAlignment="1">
      <alignment horizontal="left" vertical="center" wrapText="1" indent="3"/>
    </xf>
    <xf numFmtId="0" fontId="37" fillId="23" borderId="0" xfId="0" applyFont="1" applyFill="1" applyAlignment="1">
      <alignment vertical="center"/>
    </xf>
    <xf numFmtId="0" fontId="40" fillId="23" borderId="0" xfId="0" applyFont="1" applyFill="1" applyAlignment="1">
      <alignment horizontal="left" vertical="center" wrapText="1"/>
    </xf>
    <xf numFmtId="0" fontId="39" fillId="23" borderId="0" xfId="0" applyFont="1" applyFill="1" applyAlignment="1">
      <alignment horizontal="left" vertical="center"/>
    </xf>
    <xf numFmtId="0" fontId="46" fillId="26" borderId="0" xfId="0" applyFont="1" applyFill="1" applyAlignment="1">
      <alignment horizontal="left" vertical="center"/>
    </xf>
    <xf numFmtId="0" fontId="19" fillId="26" borderId="0" xfId="0" applyFont="1" applyFill="1" applyAlignment="1">
      <alignment horizontal="left" vertical="center" wrapText="1" indent="1"/>
    </xf>
    <xf numFmtId="0" fontId="47" fillId="23" borderId="0" xfId="0" applyFont="1" applyFill="1" applyAlignment="1">
      <alignment vertical="center"/>
    </xf>
    <xf numFmtId="0" fontId="48" fillId="23" borderId="0" xfId="0" applyFont="1" applyFill="1" applyAlignment="1">
      <alignment vertical="center"/>
    </xf>
    <xf numFmtId="0" fontId="49" fillId="23" borderId="0" xfId="0" applyFont="1" applyFill="1" applyAlignment="1">
      <alignment horizontal="right" vertical="center"/>
    </xf>
    <xf numFmtId="0" fontId="44" fillId="23" borderId="0" xfId="0" applyFont="1" applyFill="1" applyAlignment="1">
      <alignment horizontal="left" vertical="center" wrapText="1"/>
    </xf>
    <xf numFmtId="0" fontId="50" fillId="27" borderId="0" xfId="29" applyFont="1" applyFill="1" applyBorder="1"/>
    <xf numFmtId="0" fontId="25" fillId="13" borderId="31" xfId="0" applyFont="1" applyFill="1" applyBorder="1" applyProtection="1">
      <protection locked="0"/>
    </xf>
    <xf numFmtId="170" fontId="25" fillId="19" borderId="31" xfId="2" applyNumberFormat="1" applyFont="1" applyFill="1" applyBorder="1" applyAlignment="1" applyProtection="1">
      <alignment vertical="center" wrapText="1"/>
      <protection locked="0"/>
    </xf>
    <xf numFmtId="170" fontId="32" fillId="19" borderId="31" xfId="2" applyNumberFormat="1" applyFont="1" applyFill="1" applyBorder="1" applyAlignment="1" applyProtection="1">
      <alignment vertical="center" wrapText="1"/>
      <protection locked="0"/>
    </xf>
    <xf numFmtId="0" fontId="25" fillId="0" borderId="0" xfId="0" applyFont="1" applyProtection="1">
      <protection locked="0"/>
    </xf>
    <xf numFmtId="0" fontId="27" fillId="19" borderId="31" xfId="0" applyFont="1" applyFill="1" applyBorder="1" applyAlignment="1" applyProtection="1">
      <alignment horizontal="left" indent="3"/>
      <protection locked="0"/>
    </xf>
    <xf numFmtId="0" fontId="32" fillId="19" borderId="31" xfId="0" applyFont="1" applyFill="1" applyBorder="1" applyAlignment="1" applyProtection="1">
      <alignment horizontal="left" indent="3"/>
      <protection locked="0"/>
    </xf>
    <xf numFmtId="14" fontId="24" fillId="19" borderId="1" xfId="30" applyNumberFormat="1" applyFont="1" applyFill="1" applyBorder="1" applyAlignment="1" applyProtection="1">
      <alignment horizontal="center" vertical="center"/>
      <protection locked="0"/>
    </xf>
    <xf numFmtId="0" fontId="23" fillId="0" borderId="0" xfId="30" applyFont="1" applyBorder="1" applyProtection="1">
      <protection locked="0"/>
    </xf>
    <xf numFmtId="0" fontId="52" fillId="0" borderId="43" xfId="0" applyFont="1" applyBorder="1" applyAlignment="1">
      <alignment horizontal="left" vertical="center" wrapText="1" readingOrder="1"/>
    </xf>
    <xf numFmtId="0" fontId="53" fillId="0" borderId="43" xfId="0" applyFont="1" applyBorder="1" applyAlignment="1">
      <alignment horizontal="center" vertical="center" wrapText="1" readingOrder="1"/>
    </xf>
    <xf numFmtId="0" fontId="54" fillId="28" borderId="44" xfId="0" applyFont="1" applyFill="1" applyBorder="1" applyAlignment="1">
      <alignment horizontal="left" vertical="center" wrapText="1" readingOrder="1"/>
    </xf>
    <xf numFmtId="0" fontId="56" fillId="0" borderId="45" xfId="0" applyFont="1" applyBorder="1" applyAlignment="1">
      <alignment horizontal="left" vertical="center" wrapText="1" readingOrder="1"/>
    </xf>
    <xf numFmtId="0" fontId="57" fillId="0" borderId="46" xfId="0" applyFont="1" applyBorder="1" applyAlignment="1">
      <alignment horizontal="left" vertical="center" wrapText="1" indent="5" readingOrder="1"/>
    </xf>
    <xf numFmtId="0" fontId="51" fillId="0" borderId="46" xfId="0" applyFont="1" applyBorder="1" applyAlignment="1">
      <alignment vertical="center" wrapText="1"/>
    </xf>
    <xf numFmtId="0" fontId="56" fillId="0" borderId="46" xfId="0" applyFont="1" applyBorder="1" applyAlignment="1">
      <alignment horizontal="left" vertical="center" wrapText="1" readingOrder="1"/>
    </xf>
    <xf numFmtId="0" fontId="57" fillId="0" borderId="46" xfId="0" applyFont="1" applyBorder="1" applyAlignment="1">
      <alignment horizontal="left" vertical="center" indent="5" readingOrder="1"/>
    </xf>
    <xf numFmtId="0" fontId="61" fillId="0" borderId="0" xfId="0" applyFont="1"/>
    <xf numFmtId="0" fontId="62" fillId="30" borderId="0" xfId="0" applyFont="1" applyFill="1"/>
    <xf numFmtId="0" fontId="63" fillId="0" borderId="0" xfId="0" applyFont="1"/>
    <xf numFmtId="0" fontId="63" fillId="30" borderId="0" xfId="0" applyFont="1" applyFill="1"/>
    <xf numFmtId="0" fontId="60" fillId="0" borderId="0" xfId="0" applyFont="1" applyAlignment="1">
      <alignment horizontal="right" vertical="center"/>
    </xf>
    <xf numFmtId="0" fontId="18" fillId="30" borderId="0" xfId="0" applyFont="1" applyFill="1"/>
    <xf numFmtId="0" fontId="64" fillId="31" borderId="0" xfId="0" applyFont="1" applyFill="1" applyAlignment="1">
      <alignment horizontal="center" vertical="center" wrapText="1" readingOrder="1"/>
    </xf>
    <xf numFmtId="0" fontId="67" fillId="32" borderId="0" xfId="0" applyFont="1" applyFill="1" applyAlignment="1">
      <alignment horizontal="left" vertical="center" wrapText="1" readingOrder="1"/>
    </xf>
    <xf numFmtId="0" fontId="20" fillId="0" borderId="0" xfId="0" applyFont="1" applyAlignment="1">
      <alignment vertical="center" wrapText="1"/>
    </xf>
    <xf numFmtId="0" fontId="66" fillId="0" borderId="47" xfId="0" applyFont="1" applyBorder="1" applyAlignment="1">
      <alignment horizontal="left" vertical="center" wrapText="1" readingOrder="1"/>
    </xf>
    <xf numFmtId="0" fontId="66" fillId="0" borderId="48" xfId="0" applyFont="1" applyBorder="1" applyAlignment="1">
      <alignment horizontal="left" vertical="center" wrapText="1" readingOrder="1"/>
    </xf>
    <xf numFmtId="0" fontId="65" fillId="0" borderId="0" xfId="0" applyFont="1" applyAlignment="1">
      <alignment horizontal="center" vertical="center" wrapText="1" readingOrder="1"/>
    </xf>
    <xf numFmtId="0" fontId="64" fillId="0" borderId="0" xfId="0" applyFont="1" applyAlignment="1">
      <alignment horizontal="center" vertical="center" wrapText="1" readingOrder="1"/>
    </xf>
    <xf numFmtId="0" fontId="68" fillId="0" borderId="0" xfId="0" applyFont="1" applyAlignment="1">
      <alignment horizontal="left" vertical="center" wrapText="1" readingOrder="1"/>
    </xf>
    <xf numFmtId="0" fontId="66" fillId="0" borderId="0" xfId="0" applyFont="1" applyAlignment="1">
      <alignment horizontal="left" vertical="center" readingOrder="1"/>
    </xf>
    <xf numFmtId="0" fontId="68" fillId="0" borderId="0" xfId="0" applyFont="1" applyAlignment="1">
      <alignment horizontal="left" vertical="center" readingOrder="1"/>
    </xf>
    <xf numFmtId="0" fontId="69" fillId="0" borderId="0" xfId="0" applyFont="1" applyAlignment="1">
      <alignment horizontal="left"/>
    </xf>
    <xf numFmtId="0" fontId="69" fillId="0" borderId="0" xfId="0" applyFont="1"/>
    <xf numFmtId="0" fontId="70" fillId="0" borderId="0" xfId="0" applyFont="1"/>
    <xf numFmtId="0" fontId="71" fillId="0" borderId="0" xfId="0" applyFont="1"/>
    <xf numFmtId="0" fontId="72" fillId="0" borderId="0" xfId="0" applyFont="1"/>
    <xf numFmtId="0" fontId="73" fillId="0" borderId="10" xfId="0" applyFont="1" applyBorder="1" applyAlignment="1">
      <alignment horizontal="right"/>
    </xf>
    <xf numFmtId="0" fontId="69" fillId="0" borderId="9" xfId="0" applyFont="1" applyBorder="1"/>
    <xf numFmtId="9" fontId="69" fillId="0" borderId="0" xfId="2" applyFont="1" applyFill="1" applyBorder="1" applyAlignment="1"/>
    <xf numFmtId="0" fontId="70" fillId="0" borderId="0" xfId="0" applyFont="1" applyAlignment="1">
      <alignment horizontal="left"/>
    </xf>
    <xf numFmtId="168" fontId="69" fillId="0" borderId="0" xfId="1" applyNumberFormat="1" applyFont="1" applyFill="1" applyBorder="1" applyAlignment="1"/>
    <xf numFmtId="0" fontId="75" fillId="0" borderId="0" xfId="0" applyFont="1"/>
    <xf numFmtId="0" fontId="74" fillId="0" borderId="12" xfId="0" applyFont="1" applyBorder="1"/>
    <xf numFmtId="9" fontId="69" fillId="0" borderId="3" xfId="2" applyFont="1" applyFill="1" applyBorder="1" applyAlignment="1"/>
    <xf numFmtId="0" fontId="73" fillId="0" borderId="11" xfId="0" applyFont="1" applyBorder="1" applyAlignment="1">
      <alignment horizontal="left" indent="2"/>
    </xf>
    <xf numFmtId="170" fontId="73" fillId="0" borderId="7" xfId="0" applyNumberFormat="1" applyFont="1" applyBorder="1"/>
    <xf numFmtId="0" fontId="69" fillId="0" borderId="9" xfId="0" applyFont="1" applyBorder="1" applyAlignment="1">
      <alignment horizontal="left" indent="2"/>
    </xf>
    <xf numFmtId="170" fontId="69" fillId="0" borderId="0" xfId="0" applyNumberFormat="1" applyFont="1"/>
    <xf numFmtId="0" fontId="73" fillId="0" borderId="36" xfId="0" applyFont="1" applyBorder="1" applyAlignment="1">
      <alignment horizontal="left" indent="2"/>
    </xf>
    <xf numFmtId="170" fontId="75" fillId="0" borderId="34" xfId="0" applyNumberFormat="1" applyFont="1" applyBorder="1"/>
    <xf numFmtId="0" fontId="76" fillId="16" borderId="41" xfId="0" applyFont="1" applyFill="1" applyBorder="1" applyAlignment="1">
      <alignment vertical="center"/>
    </xf>
    <xf numFmtId="169" fontId="69" fillId="16" borderId="42" xfId="0" applyNumberFormat="1" applyFont="1" applyFill="1" applyBorder="1" applyAlignment="1">
      <alignment horizontal="right"/>
    </xf>
    <xf numFmtId="0" fontId="75" fillId="0" borderId="0" xfId="0" applyFont="1" applyAlignment="1">
      <alignment horizontal="left"/>
    </xf>
    <xf numFmtId="170" fontId="73" fillId="0" borderId="34" xfId="2" applyNumberFormat="1" applyFont="1" applyFill="1" applyBorder="1" applyAlignment="1">
      <alignment vertical="center" wrapText="1"/>
    </xf>
    <xf numFmtId="0" fontId="77" fillId="0" borderId="9" xfId="0" applyFont="1" applyBorder="1" applyAlignment="1">
      <alignment horizontal="left" vertical="center" wrapText="1" indent="4"/>
    </xf>
    <xf numFmtId="170" fontId="78" fillId="0" borderId="0" xfId="2" applyNumberFormat="1" applyFont="1" applyFill="1" applyBorder="1" applyAlignment="1">
      <alignment vertical="center" wrapText="1"/>
    </xf>
    <xf numFmtId="170" fontId="79" fillId="0" borderId="0" xfId="2" applyNumberFormat="1" applyFont="1" applyFill="1" applyBorder="1" applyAlignment="1">
      <alignment vertical="center" wrapText="1"/>
    </xf>
    <xf numFmtId="0" fontId="79" fillId="0" borderId="9" xfId="0" applyFont="1" applyBorder="1" applyAlignment="1">
      <alignment horizontal="left" vertical="center" wrapText="1" indent="4"/>
    </xf>
    <xf numFmtId="0" fontId="77" fillId="0" borderId="9" xfId="0" applyFont="1" applyBorder="1" applyAlignment="1">
      <alignment horizontal="left" vertical="center" wrapText="1"/>
    </xf>
    <xf numFmtId="0" fontId="77" fillId="0" borderId="9" xfId="0" applyFont="1" applyBorder="1" applyAlignment="1">
      <alignment vertical="center" wrapText="1"/>
    </xf>
    <xf numFmtId="0" fontId="80" fillId="0" borderId="11" xfId="0" applyFont="1" applyBorder="1" applyAlignment="1">
      <alignment vertical="center" wrapText="1"/>
    </xf>
    <xf numFmtId="170" fontId="73" fillId="0" borderId="7" xfId="2" applyNumberFormat="1" applyFont="1" applyFill="1" applyBorder="1" applyAlignment="1">
      <alignment vertical="center" wrapText="1"/>
    </xf>
    <xf numFmtId="0" fontId="80" fillId="0" borderId="9" xfId="0" applyFont="1" applyBorder="1" applyAlignment="1">
      <alignment vertical="center" wrapText="1"/>
    </xf>
    <xf numFmtId="170" fontId="73" fillId="0" borderId="0" xfId="2" applyNumberFormat="1" applyFont="1" applyFill="1" applyBorder="1" applyAlignment="1">
      <alignment vertical="center" wrapText="1"/>
    </xf>
    <xf numFmtId="9" fontId="79" fillId="0" borderId="3" xfId="2" applyFont="1" applyFill="1" applyBorder="1" applyAlignment="1"/>
    <xf numFmtId="0" fontId="81" fillId="16" borderId="9" xfId="0" applyFont="1" applyFill="1" applyBorder="1" applyAlignment="1">
      <alignment vertical="center" wrapText="1"/>
    </xf>
    <xf numFmtId="0" fontId="81" fillId="16" borderId="0" xfId="0" applyFont="1" applyFill="1" applyAlignment="1">
      <alignment vertical="center" wrapText="1"/>
    </xf>
    <xf numFmtId="0" fontId="69" fillId="0" borderId="9" xfId="0" applyFont="1" applyBorder="1" applyAlignment="1">
      <alignment horizontal="left" indent="4"/>
    </xf>
    <xf numFmtId="0" fontId="79" fillId="0" borderId="3" xfId="0" applyFont="1" applyBorder="1"/>
    <xf numFmtId="165" fontId="69" fillId="0" borderId="0" xfId="1" applyFont="1" applyFill="1" applyBorder="1" applyAlignment="1"/>
    <xf numFmtId="0" fontId="69" fillId="0" borderId="0" xfId="0" applyFont="1" applyAlignment="1">
      <alignment horizontal="left" vertical="center"/>
    </xf>
    <xf numFmtId="0" fontId="81" fillId="0" borderId="9" xfId="0" applyFont="1" applyBorder="1" applyAlignment="1">
      <alignment vertical="center"/>
    </xf>
    <xf numFmtId="170" fontId="75" fillId="0" borderId="0" xfId="0" applyNumberFormat="1" applyFont="1" applyAlignment="1">
      <alignment vertical="center"/>
    </xf>
    <xf numFmtId="0" fontId="69" fillId="0" borderId="0" xfId="0" applyFont="1" applyAlignment="1">
      <alignment vertical="center"/>
    </xf>
    <xf numFmtId="0" fontId="82" fillId="0" borderId="9" xfId="0" applyFont="1" applyBorder="1" applyAlignment="1">
      <alignment vertical="center"/>
    </xf>
    <xf numFmtId="170" fontId="69" fillId="0" borderId="0" xfId="0" applyNumberFormat="1" applyFont="1" applyAlignment="1">
      <alignment vertical="center"/>
    </xf>
    <xf numFmtId="0" fontId="69" fillId="18" borderId="0" xfId="0" applyFont="1" applyFill="1" applyAlignment="1">
      <alignment horizontal="left"/>
    </xf>
    <xf numFmtId="0" fontId="69" fillId="0" borderId="13" xfId="0" applyFont="1" applyBorder="1"/>
    <xf numFmtId="170" fontId="69" fillId="0" borderId="5" xfId="0" applyNumberFormat="1" applyFont="1" applyBorder="1"/>
    <xf numFmtId="0" fontId="69" fillId="0" borderId="14" xfId="0" applyFont="1" applyBorder="1"/>
    <xf numFmtId="170" fontId="69" fillId="0" borderId="6" xfId="0" applyNumberFormat="1" applyFont="1" applyBorder="1"/>
    <xf numFmtId="169" fontId="69" fillId="0" borderId="0" xfId="0" applyNumberFormat="1" applyFont="1"/>
    <xf numFmtId="0" fontId="76" fillId="0" borderId="15" xfId="0" applyFont="1" applyBorder="1"/>
    <xf numFmtId="3" fontId="76" fillId="0" borderId="4" xfId="0" applyNumberFormat="1" applyFont="1" applyBorder="1" applyAlignment="1">
      <alignment horizontal="right" vertical="center"/>
    </xf>
    <xf numFmtId="0" fontId="69" fillId="0" borderId="4" xfId="0" applyFont="1" applyBorder="1"/>
    <xf numFmtId="0" fontId="84" fillId="0" borderId="9" xfId="0" applyFont="1" applyBorder="1"/>
    <xf numFmtId="9" fontId="69" fillId="0" borderId="0" xfId="0" applyNumberFormat="1" applyFont="1"/>
    <xf numFmtId="0" fontId="76" fillId="0" borderId="9" xfId="0" applyFont="1" applyBorder="1"/>
    <xf numFmtId="3" fontId="76" fillId="0" borderId="0" xfId="0" applyNumberFormat="1" applyFont="1" applyAlignment="1">
      <alignment vertical="center"/>
    </xf>
    <xf numFmtId="0" fontId="69" fillId="0" borderId="0" xfId="0" applyFont="1" applyProtection="1">
      <protection locked="0"/>
    </xf>
    <xf numFmtId="0" fontId="85" fillId="0" borderId="0" xfId="0" applyFont="1"/>
    <xf numFmtId="170" fontId="85" fillId="0" borderId="0" xfId="0" applyNumberFormat="1" applyFont="1"/>
    <xf numFmtId="0" fontId="85" fillId="0" borderId="0" xfId="0" applyFont="1" applyAlignment="1">
      <alignment horizontal="left"/>
    </xf>
    <xf numFmtId="166" fontId="86" fillId="0" borderId="0" xfId="0" applyNumberFormat="1" applyFont="1"/>
    <xf numFmtId="171" fontId="55" fillId="29" borderId="44" xfId="0" applyNumberFormat="1" applyFont="1" applyFill="1" applyBorder="1" applyAlignment="1">
      <alignment horizontal="center" vertical="center" wrapText="1" readingOrder="1"/>
    </xf>
    <xf numFmtId="171" fontId="55" fillId="28" borderId="44" xfId="0" applyNumberFormat="1" applyFont="1" applyFill="1" applyBorder="1" applyAlignment="1">
      <alignment horizontal="center" vertical="center" wrapText="1" readingOrder="1"/>
    </xf>
    <xf numFmtId="171" fontId="55" fillId="0" borderId="45" xfId="0" applyNumberFormat="1" applyFont="1" applyBorder="1" applyAlignment="1">
      <alignment horizontal="center" vertical="center" wrapText="1" readingOrder="1"/>
    </xf>
    <xf numFmtId="171" fontId="58" fillId="0" borderId="46" xfId="0" applyNumberFormat="1" applyFont="1" applyBorder="1" applyAlignment="1">
      <alignment horizontal="center" vertical="center" wrapText="1" readingOrder="1"/>
    </xf>
    <xf numFmtId="171" fontId="59" fillId="0" borderId="46" xfId="0" applyNumberFormat="1" applyFont="1" applyBorder="1" applyAlignment="1">
      <alignment horizontal="center" vertical="center" wrapText="1" readingOrder="1"/>
    </xf>
    <xf numFmtId="171" fontId="51" fillId="0" borderId="46" xfId="0" applyNumberFormat="1" applyFont="1" applyBorder="1" applyAlignment="1">
      <alignment horizontal="center" vertical="center" wrapText="1"/>
    </xf>
    <xf numFmtId="171" fontId="55" fillId="0" borderId="46" xfId="0" applyNumberFormat="1" applyFont="1" applyBorder="1" applyAlignment="1">
      <alignment horizontal="center" vertical="center" wrapText="1" readingOrder="1"/>
    </xf>
    <xf numFmtId="171" fontId="65" fillId="32" borderId="0" xfId="0" applyNumberFormat="1" applyFont="1" applyFill="1" applyAlignment="1">
      <alignment horizontal="center" vertical="center" wrapText="1" readingOrder="1"/>
    </xf>
    <xf numFmtId="171" fontId="65" fillId="33" borderId="0" xfId="0" applyNumberFormat="1" applyFont="1" applyFill="1" applyAlignment="1">
      <alignment horizontal="center" vertical="center" wrapText="1" readingOrder="1"/>
    </xf>
    <xf numFmtId="171" fontId="64" fillId="33" borderId="0" xfId="0" applyNumberFormat="1" applyFont="1" applyFill="1" applyAlignment="1">
      <alignment horizontal="center" vertical="center" wrapText="1" readingOrder="1"/>
    </xf>
    <xf numFmtId="171" fontId="20" fillId="0" borderId="0" xfId="0" applyNumberFormat="1" applyFont="1" applyAlignment="1">
      <alignment horizontal="center" vertical="center" wrapText="1"/>
    </xf>
    <xf numFmtId="171" fontId="65" fillId="0" borderId="47" xfId="0" applyNumberFormat="1" applyFont="1" applyBorder="1" applyAlignment="1">
      <alignment horizontal="center" vertical="center" wrapText="1" readingOrder="1"/>
    </xf>
    <xf numFmtId="171" fontId="64" fillId="0" borderId="47" xfId="0" applyNumberFormat="1" applyFont="1" applyBorder="1" applyAlignment="1">
      <alignment horizontal="center" vertical="center" wrapText="1" readingOrder="1"/>
    </xf>
    <xf numFmtId="171" fontId="65" fillId="0" borderId="46" xfId="0" applyNumberFormat="1" applyFont="1" applyBorder="1" applyAlignment="1">
      <alignment horizontal="center" vertical="center" wrapText="1" readingOrder="1"/>
    </xf>
    <xf numFmtId="171" fontId="64" fillId="0" borderId="46" xfId="0" applyNumberFormat="1" applyFont="1" applyBorder="1" applyAlignment="1">
      <alignment horizontal="center" vertical="center" wrapText="1" readingOrder="1"/>
    </xf>
    <xf numFmtId="171" fontId="65" fillId="0" borderId="48" xfId="0" applyNumberFormat="1" applyFont="1" applyBorder="1" applyAlignment="1">
      <alignment horizontal="center" vertical="center" wrapText="1" readingOrder="1"/>
    </xf>
    <xf numFmtId="171" fontId="64" fillId="0" borderId="48" xfId="0" applyNumberFormat="1" applyFont="1" applyBorder="1" applyAlignment="1">
      <alignment horizontal="center" vertical="center" wrapText="1" readingOrder="1"/>
    </xf>
    <xf numFmtId="171" fontId="65" fillId="0" borderId="0" xfId="0" applyNumberFormat="1" applyFont="1" applyAlignment="1">
      <alignment horizontal="center" vertical="center" wrapText="1" readingOrder="1"/>
    </xf>
    <xf numFmtId="171" fontId="64" fillId="0" borderId="0" xfId="0" applyNumberFormat="1" applyFont="1" applyAlignment="1">
      <alignment horizontal="center" vertical="center" wrapText="1" readingOrder="1"/>
    </xf>
    <xf numFmtId="170" fontId="27" fillId="19" borderId="31" xfId="2" applyNumberFormat="1" applyFont="1" applyFill="1" applyBorder="1" applyAlignment="1" applyProtection="1">
      <alignment vertical="center" wrapText="1"/>
      <protection locked="0"/>
    </xf>
    <xf numFmtId="170" fontId="25" fillId="0" borderId="31" xfId="2" applyNumberFormat="1" applyFont="1" applyFill="1" applyBorder="1" applyAlignment="1" applyProtection="1">
      <alignment vertical="center" wrapText="1"/>
      <protection locked="0"/>
    </xf>
    <xf numFmtId="170" fontId="25" fillId="0" borderId="0" xfId="2" applyNumberFormat="1" applyFont="1" applyFill="1" applyBorder="1" applyAlignment="1" applyProtection="1">
      <alignment vertical="center" wrapText="1"/>
      <protection locked="0"/>
    </xf>
    <xf numFmtId="0" fontId="74" fillId="0" borderId="8" xfId="0" applyFont="1" applyBorder="1" applyAlignment="1">
      <alignment horizontal="center"/>
    </xf>
    <xf numFmtId="167" fontId="27" fillId="0" borderId="31" xfId="0" applyNumberFormat="1" applyFont="1" applyBorder="1" applyAlignment="1">
      <alignment horizontal="center" vertical="center"/>
    </xf>
    <xf numFmtId="0" fontId="37" fillId="13" borderId="0" xfId="0" applyFont="1" applyFill="1" applyAlignment="1">
      <alignment horizontal="left" vertical="center" wrapText="1"/>
    </xf>
    <xf numFmtId="0" fontId="2" fillId="13" borderId="0" xfId="0" applyFont="1" applyFill="1"/>
    <xf numFmtId="167" fontId="27" fillId="41" borderId="31" xfId="0" applyNumberFormat="1" applyFont="1" applyFill="1" applyBorder="1" applyAlignment="1">
      <alignment vertical="center"/>
    </xf>
    <xf numFmtId="10" fontId="92" fillId="42" borderId="0" xfId="2" applyNumberFormat="1" applyFont="1" applyFill="1" applyBorder="1"/>
    <xf numFmtId="10" fontId="92" fillId="0" borderId="0" xfId="2" applyNumberFormat="1" applyFont="1" applyBorder="1"/>
    <xf numFmtId="10" fontId="92" fillId="0" borderId="0" xfId="2" applyNumberFormat="1" applyFont="1" applyFill="1" applyBorder="1"/>
    <xf numFmtId="10" fontId="93" fillId="42" borderId="0" xfId="0" applyNumberFormat="1" applyFont="1" applyFill="1"/>
    <xf numFmtId="10" fontId="93" fillId="0" borderId="0" xfId="0" applyNumberFormat="1" applyFont="1"/>
    <xf numFmtId="10" fontId="93" fillId="0" borderId="0" xfId="2" applyNumberFormat="1" applyFont="1" applyFill="1"/>
    <xf numFmtId="10" fontId="0" fillId="0" borderId="0" xfId="0" applyNumberFormat="1"/>
    <xf numFmtId="0" fontId="23" fillId="0" borderId="0" xfId="30" applyFont="1" applyFill="1" applyBorder="1"/>
    <xf numFmtId="0" fontId="10" fillId="0" borderId="0" xfId="0" applyFont="1" applyAlignment="1" applyProtection="1">
      <alignment horizontal="left" vertical="center" wrapText="1" indent="1"/>
      <protection locked="0"/>
    </xf>
    <xf numFmtId="2" fontId="25" fillId="0" borderId="0" xfId="0" applyNumberFormat="1" applyFont="1" applyProtection="1">
      <protection locked="0"/>
    </xf>
    <xf numFmtId="166" fontId="69" fillId="0" borderId="0" xfId="2" applyNumberFormat="1" applyFont="1" applyFill="1" applyBorder="1" applyAlignment="1" applyProtection="1"/>
    <xf numFmtId="10" fontId="84" fillId="0" borderId="0" xfId="0" applyNumberFormat="1" applyFont="1"/>
    <xf numFmtId="168" fontId="29" fillId="0" borderId="31" xfId="1" applyNumberFormat="1" applyFont="1" applyFill="1" applyBorder="1" applyAlignment="1">
      <alignment horizontal="left"/>
    </xf>
    <xf numFmtId="0" fontId="31" fillId="14" borderId="54" xfId="0" applyFont="1" applyFill="1" applyBorder="1"/>
    <xf numFmtId="0" fontId="95" fillId="0" borderId="0" xfId="0" applyFont="1" applyAlignment="1">
      <alignment horizontal="left" indent="1"/>
    </xf>
    <xf numFmtId="0" fontId="95" fillId="0" borderId="32" xfId="0" applyFont="1" applyBorder="1"/>
    <xf numFmtId="0" fontId="30" fillId="43" borderId="0" xfId="0" applyFont="1" applyFill="1"/>
    <xf numFmtId="0" fontId="30" fillId="44" borderId="32" xfId="0" applyFont="1" applyFill="1" applyBorder="1"/>
    <xf numFmtId="168" fontId="29" fillId="43" borderId="31" xfId="1" applyNumberFormat="1" applyFont="1" applyFill="1" applyBorder="1" applyAlignment="1">
      <alignment horizontal="left" vertical="center"/>
    </xf>
    <xf numFmtId="0" fontId="82" fillId="0" borderId="9" xfId="0" applyFont="1" applyBorder="1" applyAlignment="1">
      <alignment horizontal="left" vertical="center" indent="1"/>
    </xf>
    <xf numFmtId="0" fontId="2" fillId="43" borderId="0" xfId="0" applyFont="1" applyFill="1"/>
    <xf numFmtId="14" fontId="0" fillId="0" borderId="0" xfId="0" applyNumberFormat="1"/>
    <xf numFmtId="0" fontId="0" fillId="0" borderId="0" xfId="0" applyAlignment="1">
      <alignment horizontal="left" indent="1"/>
    </xf>
    <xf numFmtId="0" fontId="0" fillId="21" borderId="0" xfId="0" applyFill="1" applyAlignment="1">
      <alignment horizontal="left" indent="1"/>
    </xf>
    <xf numFmtId="0" fontId="0" fillId="15" borderId="0" xfId="0" applyFill="1" applyAlignment="1">
      <alignment horizontal="left" indent="1"/>
    </xf>
    <xf numFmtId="0" fontId="0" fillId="43" borderId="0" xfId="0" applyFill="1" applyAlignment="1">
      <alignment horizontal="left" indent="1"/>
    </xf>
    <xf numFmtId="0" fontId="0" fillId="43" borderId="0" xfId="0" applyFill="1"/>
    <xf numFmtId="9" fontId="0" fillId="0" borderId="0" xfId="0" applyNumberFormat="1"/>
    <xf numFmtId="0" fontId="0" fillId="0" borderId="32" xfId="0" applyBorder="1" applyAlignment="1">
      <alignment horizontal="left" indent="1"/>
    </xf>
    <xf numFmtId="0" fontId="0" fillId="43" borderId="0" xfId="0" applyFill="1" applyAlignment="1">
      <alignment horizontal="left" indent="3"/>
    </xf>
    <xf numFmtId="0" fontId="0" fillId="45" borderId="0" xfId="0" applyFill="1"/>
    <xf numFmtId="165" fontId="0" fillId="0" borderId="0" xfId="1" applyFont="1"/>
    <xf numFmtId="168" fontId="0" fillId="0" borderId="0" xfId="1" applyNumberFormat="1" applyFont="1"/>
    <xf numFmtId="168" fontId="0" fillId="0" borderId="0" xfId="0" applyNumberFormat="1"/>
    <xf numFmtId="0" fontId="8" fillId="0" borderId="0" xfId="0" applyFont="1"/>
    <xf numFmtId="0" fontId="0" fillId="45" borderId="0" xfId="0" applyFill="1" applyAlignment="1">
      <alignment horizontal="left" indent="1"/>
    </xf>
    <xf numFmtId="0" fontId="35" fillId="45" borderId="0" xfId="0" applyFont="1" applyFill="1" applyAlignment="1">
      <alignment horizontal="left" indent="1"/>
    </xf>
    <xf numFmtId="0" fontId="35" fillId="45" borderId="0" xfId="0" applyFont="1" applyFill="1"/>
    <xf numFmtId="0" fontId="35" fillId="43" borderId="0" xfId="0" applyFont="1" applyFill="1" applyAlignment="1">
      <alignment horizontal="left" indent="1"/>
    </xf>
    <xf numFmtId="0" fontId="35" fillId="43" borderId="0" xfId="0" applyFont="1" applyFill="1"/>
    <xf numFmtId="168" fontId="0" fillId="0" borderId="0" xfId="1" applyNumberFormat="1" applyFont="1" applyFill="1"/>
    <xf numFmtId="0" fontId="8" fillId="0" borderId="0" xfId="0" applyFont="1" applyAlignment="1">
      <alignment horizontal="left" indent="1"/>
    </xf>
    <xf numFmtId="168" fontId="29" fillId="0" borderId="31" xfId="1" applyNumberFormat="1" applyFont="1" applyFill="1" applyBorder="1" applyAlignment="1">
      <alignment horizontal="left" vertical="center"/>
    </xf>
    <xf numFmtId="9" fontId="0" fillId="46" borderId="0" xfId="2" applyFont="1" applyFill="1"/>
    <xf numFmtId="0" fontId="96" fillId="0" borderId="55" xfId="0" applyFont="1" applyBorder="1"/>
    <xf numFmtId="0" fontId="97" fillId="0" borderId="55" xfId="0" applyFont="1" applyBorder="1"/>
    <xf numFmtId="0" fontId="2" fillId="20" borderId="0" xfId="0" applyFont="1" applyFill="1"/>
    <xf numFmtId="0" fontId="0" fillId="20" borderId="0" xfId="0" applyFill="1"/>
    <xf numFmtId="164" fontId="0" fillId="20" borderId="0" xfId="40" applyFont="1" applyFill="1" applyAlignment="1">
      <alignment horizontal="center"/>
    </xf>
    <xf numFmtId="164" fontId="0" fillId="0" borderId="0" xfId="40" applyFont="1" applyAlignment="1">
      <alignment horizontal="center"/>
    </xf>
    <xf numFmtId="0" fontId="0" fillId="0" borderId="1" xfId="0" applyBorder="1"/>
    <xf numFmtId="9" fontId="0" fillId="0" borderId="1" xfId="2" applyFont="1" applyBorder="1" applyAlignment="1">
      <alignment horizontal="center"/>
    </xf>
    <xf numFmtId="0" fontId="0" fillId="0" borderId="1" xfId="0" applyBorder="1" applyAlignment="1">
      <alignment vertical="top" wrapText="1"/>
    </xf>
    <xf numFmtId="0" fontId="0" fillId="0" borderId="1" xfId="0" applyBorder="1" applyAlignment="1">
      <alignment wrapText="1"/>
    </xf>
    <xf numFmtId="173" fontId="0" fillId="0" borderId="1" xfId="40" applyNumberFormat="1" applyFont="1" applyBorder="1" applyAlignment="1">
      <alignment vertical="center" wrapText="1"/>
    </xf>
    <xf numFmtId="173" fontId="0" fillId="0" borderId="0" xfId="40" applyNumberFormat="1" applyFont="1" applyBorder="1" applyAlignment="1">
      <alignment vertical="center" wrapText="1"/>
    </xf>
    <xf numFmtId="164" fontId="0" fillId="0" borderId="1" xfId="40" applyFont="1" applyBorder="1" applyAlignment="1">
      <alignment horizontal="center"/>
    </xf>
    <xf numFmtId="164" fontId="0" fillId="0" borderId="1" xfId="0" applyNumberFormat="1" applyBorder="1"/>
    <xf numFmtId="0" fontId="0" fillId="0" borderId="0" xfId="0" applyAlignment="1">
      <alignment vertical="top"/>
    </xf>
    <xf numFmtId="0" fontId="0" fillId="14" borderId="1" xfId="0" applyFill="1" applyBorder="1" applyAlignment="1">
      <alignment wrapText="1"/>
    </xf>
    <xf numFmtId="173" fontId="0" fillId="0" borderId="1" xfId="40" applyNumberFormat="1" applyFont="1" applyBorder="1" applyAlignment="1">
      <alignment vertical="center"/>
    </xf>
    <xf numFmtId="173" fontId="0" fillId="0" borderId="0" xfId="40" applyNumberFormat="1" applyFont="1" applyBorder="1" applyAlignment="1">
      <alignment vertical="center"/>
    </xf>
    <xf numFmtId="164" fontId="0" fillId="0" borderId="0" xfId="0" applyNumberFormat="1"/>
    <xf numFmtId="164" fontId="2" fillId="20" borderId="0" xfId="40" applyFont="1" applyFill="1" applyAlignment="1">
      <alignment horizontal="center"/>
    </xf>
    <xf numFmtId="0" fontId="0" fillId="0" borderId="1" xfId="0" applyBorder="1" applyAlignment="1">
      <alignment horizontal="center"/>
    </xf>
    <xf numFmtId="164" fontId="0" fillId="43" borderId="0" xfId="40" applyFont="1" applyFill="1" applyAlignment="1">
      <alignment horizontal="left"/>
    </xf>
    <xf numFmtId="173" fontId="0" fillId="0" borderId="1" xfId="40" applyNumberFormat="1" applyFont="1" applyBorder="1" applyAlignment="1">
      <alignment horizontal="center"/>
    </xf>
    <xf numFmtId="0" fontId="98" fillId="26" borderId="1" xfId="0" applyFont="1" applyFill="1" applyBorder="1" applyAlignment="1">
      <alignment horizontal="center" vertical="center" wrapText="1"/>
    </xf>
    <xf numFmtId="164" fontId="98" fillId="26" borderId="1" xfId="40" applyFont="1" applyFill="1" applyBorder="1" applyAlignment="1">
      <alignment horizontal="center" vertical="center" wrapText="1"/>
    </xf>
    <xf numFmtId="174" fontId="0" fillId="0" borderId="0" xfId="0" applyNumberFormat="1"/>
    <xf numFmtId="0" fontId="16" fillId="0" borderId="0" xfId="0" applyFont="1"/>
    <xf numFmtId="175" fontId="16" fillId="0" borderId="0" xfId="44" applyNumberFormat="1" applyFont="1" applyBorder="1">
      <alignment horizontal="right" vertical="center"/>
    </xf>
    <xf numFmtId="0" fontId="99" fillId="47" borderId="1" xfId="0" applyFont="1" applyFill="1" applyBorder="1" applyAlignment="1">
      <alignment horizontal="center" vertical="center" wrapText="1"/>
    </xf>
    <xf numFmtId="3" fontId="99" fillId="48" borderId="60" xfId="0" applyNumberFormat="1" applyFont="1" applyFill="1" applyBorder="1" applyAlignment="1">
      <alignment horizontal="center" vertical="center" wrapText="1"/>
    </xf>
    <xf numFmtId="0" fontId="100" fillId="49" borderId="61" xfId="0" applyFont="1" applyFill="1" applyBorder="1"/>
    <xf numFmtId="173" fontId="100" fillId="49" borderId="62" xfId="0" applyNumberFormat="1" applyFont="1" applyFill="1" applyBorder="1"/>
    <xf numFmtId="3" fontId="100" fillId="49" borderId="62" xfId="0" applyNumberFormat="1" applyFont="1" applyFill="1" applyBorder="1"/>
    <xf numFmtId="0" fontId="99" fillId="49" borderId="61" xfId="0" applyFont="1" applyFill="1" applyBorder="1"/>
    <xf numFmtId="3" fontId="99" fillId="49" borderId="62" xfId="0" applyNumberFormat="1" applyFont="1" applyFill="1" applyBorder="1"/>
    <xf numFmtId="17" fontId="0" fillId="0" borderId="0" xfId="0" applyNumberFormat="1"/>
    <xf numFmtId="0" fontId="45" fillId="22" borderId="0" xfId="0" applyFont="1" applyFill="1" applyAlignment="1">
      <alignment horizontal="left" vertical="center"/>
    </xf>
    <xf numFmtId="0" fontId="36" fillId="22" borderId="0" xfId="0" applyFont="1" applyFill="1" applyAlignment="1">
      <alignment horizontal="left" vertical="center"/>
    </xf>
    <xf numFmtId="0" fontId="43" fillId="13" borderId="52" xfId="0" applyFont="1" applyFill="1" applyBorder="1" applyAlignment="1">
      <alignment horizontal="left" vertical="center" wrapText="1"/>
    </xf>
    <xf numFmtId="0" fontId="43" fillId="13" borderId="53" xfId="0" applyFont="1" applyFill="1" applyBorder="1" applyAlignment="1">
      <alignment horizontal="left" vertical="center" wrapText="1"/>
    </xf>
    <xf numFmtId="0" fontId="43" fillId="13" borderId="39" xfId="0" applyFont="1" applyFill="1" applyBorder="1" applyAlignment="1">
      <alignment horizontal="left" vertical="center" wrapText="1"/>
    </xf>
    <xf numFmtId="0" fontId="43" fillId="13" borderId="40" xfId="0" applyFont="1" applyFill="1" applyBorder="1" applyAlignment="1">
      <alignment horizontal="left" vertical="center" wrapText="1"/>
    </xf>
    <xf numFmtId="0" fontId="45" fillId="22" borderId="0" xfId="0" applyFont="1" applyFill="1" applyAlignment="1">
      <alignment vertical="center"/>
    </xf>
    <xf numFmtId="0" fontId="96" fillId="0" borderId="58" xfId="0" applyFont="1" applyBorder="1" applyAlignment="1">
      <alignment horizontal="center"/>
    </xf>
    <xf numFmtId="0" fontId="96" fillId="0" borderId="38" xfId="0" applyFont="1" applyBorder="1" applyAlignment="1">
      <alignment horizontal="center"/>
    </xf>
    <xf numFmtId="9" fontId="97" fillId="0" borderId="59" xfId="0" applyNumberFormat="1" applyFont="1" applyBorder="1" applyAlignment="1">
      <alignment horizontal="center"/>
    </xf>
    <xf numFmtId="9" fontId="97" fillId="0" borderId="40" xfId="0" applyNumberFormat="1" applyFont="1" applyBorder="1" applyAlignment="1">
      <alignment horizontal="center"/>
    </xf>
    <xf numFmtId="0" fontId="96" fillId="0" borderId="37" xfId="0" applyFont="1" applyBorder="1" applyAlignment="1">
      <alignment horizontal="center"/>
    </xf>
    <xf numFmtId="0" fontId="97" fillId="0" borderId="39" xfId="0" applyFont="1" applyBorder="1" applyAlignment="1">
      <alignment horizontal="center"/>
    </xf>
    <xf numFmtId="0" fontId="97" fillId="0" borderId="40" xfId="0" applyFont="1" applyBorder="1" applyAlignment="1">
      <alignment horizontal="center"/>
    </xf>
    <xf numFmtId="0" fontId="96" fillId="0" borderId="56" xfId="0" applyFont="1" applyBorder="1" applyAlignment="1">
      <alignment horizontal="center"/>
    </xf>
    <xf numFmtId="9" fontId="97" fillId="0" borderId="39" xfId="0" applyNumberFormat="1" applyFont="1" applyBorder="1" applyAlignment="1">
      <alignment horizontal="center"/>
    </xf>
    <xf numFmtId="0" fontId="97" fillId="0" borderId="57" xfId="0" applyFont="1" applyBorder="1" applyAlignment="1">
      <alignment horizontal="center"/>
    </xf>
    <xf numFmtId="0" fontId="66" fillId="31" borderId="0" xfId="0" applyFont="1" applyFill="1" applyAlignment="1">
      <alignment horizontal="center" vertical="center" wrapText="1" readingOrder="1"/>
    </xf>
    <xf numFmtId="0" fontId="65" fillId="31" borderId="0" xfId="0" applyFont="1" applyFill="1" applyAlignment="1">
      <alignment horizontal="center" vertical="center" wrapText="1" readingOrder="1"/>
    </xf>
    <xf numFmtId="0" fontId="22" fillId="17" borderId="29" xfId="0" applyFont="1" applyFill="1" applyBorder="1" applyAlignment="1">
      <alignment horizontal="left" vertical="center" wrapText="1" readingOrder="1"/>
    </xf>
    <xf numFmtId="0" fontId="22" fillId="17" borderId="30" xfId="0" applyFont="1" applyFill="1" applyBorder="1" applyAlignment="1">
      <alignment horizontal="left" vertical="center" wrapText="1" readingOrder="1"/>
    </xf>
    <xf numFmtId="0" fontId="22" fillId="17" borderId="23" xfId="0" applyFont="1" applyFill="1" applyBorder="1" applyAlignment="1">
      <alignment horizontal="center" vertical="center" wrapText="1" readingOrder="1"/>
    </xf>
    <xf numFmtId="0" fontId="22" fillId="17" borderId="16" xfId="0" applyFont="1" applyFill="1" applyBorder="1" applyAlignment="1">
      <alignment horizontal="center" vertical="center" wrapText="1" readingOrder="1"/>
    </xf>
    <xf numFmtId="0" fontId="22" fillId="17" borderId="25" xfId="0" applyFont="1" applyFill="1" applyBorder="1" applyAlignment="1">
      <alignment horizontal="center" vertical="center" wrapText="1" readingOrder="1"/>
    </xf>
    <xf numFmtId="0" fontId="22" fillId="17" borderId="24" xfId="0" applyFont="1" applyFill="1" applyBorder="1" applyAlignment="1">
      <alignment horizontal="center" vertical="center" wrapText="1" readingOrder="1"/>
    </xf>
  </cellXfs>
  <cellStyles count="52">
    <cellStyle name="Гиперссылка" xfId="34" builtinId="8"/>
    <cellStyle name="Гиперссылка 2" xfId="36" xr:uid="{00000000-0005-0000-0000-00001E000000}"/>
    <cellStyle name="Обычный" xfId="0" builtinId="0"/>
    <cellStyle name="Обычный 2" xfId="35" xr:uid="{00000000-0005-0000-0000-000020000000}"/>
    <cellStyle name="Обычный 2 17" xfId="38" xr:uid="{00000000-0005-0000-0000-000021000000}"/>
    <cellStyle name="Обычный 3" xfId="51" xr:uid="{0FC492E4-5578-4747-ADCB-64A5AA0EBB7A}"/>
    <cellStyle name="Пояснение" xfId="30" builtinId="53"/>
    <cellStyle name="Процентный" xfId="2" builtinId="5"/>
    <cellStyle name="Процентный 2 8" xfId="39" xr:uid="{00000000-0005-0000-0000-000024000000}"/>
    <cellStyle name="Текст предупреждения" xfId="29" builtinId="11"/>
    <cellStyle name="Финансовый" xfId="1" builtinId="3"/>
    <cellStyle name="Финансовый 2" xfId="37" xr:uid="{00000000-0005-0000-0000-000027000000}"/>
    <cellStyle name="Финансовый 3" xfId="40" xr:uid="{00000000-0005-0000-0000-000028000000}"/>
    <cellStyle name="Calculated Column - IBM Cognos" xfId="21" xr:uid="{00000000-0005-0000-0000-000000000000}"/>
    <cellStyle name="Calculated Column Name - IBM Cognos" xfId="19" xr:uid="{00000000-0005-0000-0000-000001000000}"/>
    <cellStyle name="Calculated Row - IBM Cognos" xfId="22" xr:uid="{00000000-0005-0000-0000-000002000000}"/>
    <cellStyle name="Calculated Row Name - IBM Cognos" xfId="20" xr:uid="{00000000-0005-0000-0000-000003000000}"/>
    <cellStyle name="Column Name - IBM Cognos" xfId="7" xr:uid="{00000000-0005-0000-0000-000004000000}"/>
    <cellStyle name="Column Template - IBM Cognos" xfId="10" xr:uid="{00000000-0005-0000-0000-000005000000}"/>
    <cellStyle name="Differs From Base - IBM Cognos" xfId="28" xr:uid="{00000000-0005-0000-0000-000006000000}"/>
    <cellStyle name="Group Name - IBM Cognos" xfId="18" xr:uid="{00000000-0005-0000-0000-000007000000}"/>
    <cellStyle name="Hold Values - IBM Cognos" xfId="24" xr:uid="{00000000-0005-0000-0000-000008000000}"/>
    <cellStyle name="List Name - IBM Cognos" xfId="17" xr:uid="{00000000-0005-0000-0000-000009000000}"/>
    <cellStyle name="Locked - IBM Cognos" xfId="27" xr:uid="{00000000-0005-0000-0000-00000A000000}"/>
    <cellStyle name="Measure - IBM Cognos" xfId="11" xr:uid="{00000000-0005-0000-0000-00000B000000}"/>
    <cellStyle name="Measure Header - IBM Cognos" xfId="12" xr:uid="{00000000-0005-0000-0000-00000C000000}"/>
    <cellStyle name="Measure Name - IBM Cognos" xfId="13" xr:uid="{00000000-0005-0000-0000-00000D000000}"/>
    <cellStyle name="Measure Summary - IBM Cognos" xfId="14" xr:uid="{00000000-0005-0000-0000-00000E000000}"/>
    <cellStyle name="Measure Summary TM1 - IBM Cognos" xfId="16" xr:uid="{00000000-0005-0000-0000-00000F000000}"/>
    <cellStyle name="Measure Template - IBM Cognos" xfId="15" xr:uid="{00000000-0005-0000-0000-000010000000}"/>
    <cellStyle name="More - IBM Cognos" xfId="23" xr:uid="{00000000-0005-0000-0000-000011000000}"/>
    <cellStyle name="Pending Change - IBM Cognos" xfId="25" xr:uid="{00000000-0005-0000-0000-000012000000}"/>
    <cellStyle name="Row Name - IBM Cognos" xfId="3" xr:uid="{00000000-0005-0000-0000-000013000000}"/>
    <cellStyle name="Row Template - IBM Cognos" xfId="6" xr:uid="{00000000-0005-0000-0000-000014000000}"/>
    <cellStyle name="SAPBEXchaText" xfId="31" xr:uid="{00000000-0005-0000-0000-000015000000}"/>
    <cellStyle name="SAPBEXHLevel0" xfId="32" xr:uid="{00000000-0005-0000-0000-000016000000}"/>
    <cellStyle name="SAPBEXHLevel1" xfId="33" xr:uid="{00000000-0005-0000-0000-000017000000}"/>
    <cellStyle name="SAPDataCell" xfId="44" xr:uid="{CA6839C6-A81F-40DE-B386-D10BCEAC88EE}"/>
    <cellStyle name="SAPDataTotalCell" xfId="47" xr:uid="{6C98E71D-D427-45F9-BE19-E4F0409BC498}"/>
    <cellStyle name="SAPDimensionCell" xfId="41" xr:uid="{4E94AF04-D8A8-4718-9161-61B4683906FC}"/>
    <cellStyle name="SAPHierarchyCell0" xfId="43" xr:uid="{F1CCF31E-FCE3-4CAA-B516-285DE0DB806B}"/>
    <cellStyle name="SAPHierarchyCell1" xfId="45" xr:uid="{1063C769-3F59-48A0-AE94-D5558421837B}"/>
    <cellStyle name="SAPHierarchyCell2" xfId="48" xr:uid="{2C6C57D2-7B84-44BC-A73D-E103F4C53C34}"/>
    <cellStyle name="SAPHierarchyCell3" xfId="50" xr:uid="{D5839AFF-4AE4-40DF-812F-71618A1B409D}"/>
    <cellStyle name="SAPHierarchyCell4" xfId="49" xr:uid="{F486FDF9-5A3C-4DE2-B0BB-0A4DE0386C60}"/>
    <cellStyle name="SAPMemberCell" xfId="42" xr:uid="{BDEA2B53-8268-4058-ADC4-66273719BB73}"/>
    <cellStyle name="SAPMemberTotalCell" xfId="46" xr:uid="{18DB7407-D549-4B65-A932-007BC3822CE0}"/>
    <cellStyle name="Summary Column Name - IBM Cognos" xfId="8" xr:uid="{00000000-0005-0000-0000-000018000000}"/>
    <cellStyle name="Summary Column Name TM1 - IBM Cognos" xfId="9" xr:uid="{00000000-0005-0000-0000-000019000000}"/>
    <cellStyle name="Summary Row Name - IBM Cognos" xfId="4" xr:uid="{00000000-0005-0000-0000-00001A000000}"/>
    <cellStyle name="Summary Row Name TM1 - IBM Cognos" xfId="5" xr:uid="{00000000-0005-0000-0000-00001B000000}"/>
    <cellStyle name="Unsaved Change - IBM Cognos" xfId="26" xr:uid="{00000000-0005-0000-0000-00001C000000}"/>
  </cellStyles>
  <dxfs count="8">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B050"/>
      </font>
    </dxf>
    <dxf>
      <font>
        <color rgb="FFFF0000"/>
      </font>
    </dxf>
  </dxfs>
  <tableStyles count="0" defaultTableStyle="TableStyleMedium2" defaultPivotStyle="PivotStyleLight16"/>
  <colors>
    <mruColors>
      <color rgb="FFF0F4F5"/>
      <color rgb="FFFFFFEB"/>
      <color rgb="FFF1F7ED"/>
      <color rgb="FF5F9127"/>
      <color rgb="FFB4DE86"/>
      <color rgb="FF41642A"/>
      <color rgb="FF6FAB47"/>
      <color rgb="FFE1E5EB"/>
      <color rgb="FF548123"/>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x5.ru/root/Users/Vyacheslav.bulgakov/Downloads/teo_template(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evgeniyaeliseeva/Downloads/NZMU%2030.04.19%20Draf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x5.ru/root/Investment%20Directorate/4-WACC/Historical%20WAC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струкция"/>
      <sheetName val="Свод"/>
      <sheetName val="Как есть"/>
      <sheetName val="Как будет"/>
      <sheetName val="Доп.расчеты"/>
      <sheetName val="Бюджет"/>
      <sheetName val="Приложения"/>
      <sheetName val="КПЭ"/>
      <sheetName val="Справочник"/>
    </sheetNames>
    <sheetDataSet>
      <sheetData sheetId="0"/>
      <sheetData sheetId="1"/>
      <sheetData sheetId="2"/>
      <sheetData sheetId="3"/>
      <sheetData sheetId="4"/>
      <sheetData sheetId="5"/>
      <sheetData sheetId="6"/>
      <sheetData sheetId="7"/>
      <sheetData sheetId="8">
        <row r="3">
          <cell r="A3" t="str">
            <v>Автоматические двери и ворота</v>
          </cell>
          <cell r="B3" t="str">
            <v>Командировочные расходы</v>
          </cell>
          <cell r="C3" t="str">
            <v>Затраты производства</v>
          </cell>
        </row>
        <row r="4">
          <cell r="A4" t="str">
            <v>Вертикальный транспорт</v>
          </cell>
          <cell r="B4" t="str">
            <v>Коммунальные расходы и связь</v>
          </cell>
          <cell r="C4" t="str">
            <v>Потери</v>
          </cell>
        </row>
        <row r="5">
          <cell r="A5" t="str">
            <v>Здания и сооружения</v>
          </cell>
          <cell r="B5" t="str">
            <v>Консультационные, информационные услуги и страхование</v>
          </cell>
          <cell r="C5" t="str">
            <v>Складская логистика</v>
          </cell>
        </row>
        <row r="6">
          <cell r="A6" t="str">
            <v>Земельные участки</v>
          </cell>
          <cell r="B6" t="str">
            <v>Налоги</v>
          </cell>
          <cell r="C6" t="str">
            <v>Транспортная логистика</v>
          </cell>
        </row>
        <row r="7">
          <cell r="A7" t="str">
            <v>ИТ оборудование</v>
          </cell>
          <cell r="B7" t="str">
            <v>Прочие расходы</v>
          </cell>
        </row>
        <row r="8">
          <cell r="A8" t="str">
            <v>Капитализируемый ФОТ</v>
          </cell>
          <cell r="B8" t="str">
            <v>Расх материалы и хоз расходы</v>
          </cell>
        </row>
        <row r="9">
          <cell r="A9" t="str">
            <v>Клининговое оборудование</v>
          </cell>
          <cell r="B9" t="str">
            <v>Расходы на аренду</v>
          </cell>
        </row>
        <row r="10">
          <cell r="A10" t="str">
            <v>Кондиционеры и сплит-системы</v>
          </cell>
          <cell r="B10" t="str">
            <v>Расходы на охрану</v>
          </cell>
        </row>
        <row r="11">
          <cell r="A11" t="str">
            <v>Консультационные услуги IT</v>
          </cell>
          <cell r="B11" t="str">
            <v>Расходы на персонал</v>
          </cell>
        </row>
        <row r="12">
          <cell r="A12" t="str">
            <v>Нематериальные активы</v>
          </cell>
          <cell r="B12" t="str">
            <v>Реклама, маркетинг и pr</v>
          </cell>
        </row>
        <row r="13">
          <cell r="A13" t="str">
            <v>Офисное оборудование</v>
          </cell>
          <cell r="B13" t="str">
            <v>Ремонт и обслуживание</v>
          </cell>
        </row>
        <row r="14">
          <cell r="A14" t="str">
            <v>Помещения в составе зданий и сооружений</v>
          </cell>
          <cell r="B14" t="str">
            <v>Транспортные расходы</v>
          </cell>
        </row>
        <row r="15">
          <cell r="A15" t="str">
            <v>Приобретение долей в бизнесе</v>
          </cell>
          <cell r="B15" t="str">
            <v>Услуги сторонних логистических операторов</v>
          </cell>
        </row>
        <row r="16">
          <cell r="A16" t="str">
            <v>Производственное оборудование</v>
          </cell>
        </row>
        <row r="17">
          <cell r="A17" t="str">
            <v>Прочее оборудование</v>
          </cell>
        </row>
        <row r="18">
          <cell r="A18" t="str">
            <v>Рекламное оборудование</v>
          </cell>
        </row>
        <row r="19">
          <cell r="A19" t="str">
            <v>СБ оборудование</v>
          </cell>
        </row>
        <row r="20">
          <cell r="A20" t="str">
            <v>Складское оборудование</v>
          </cell>
        </row>
        <row r="21">
          <cell r="A21" t="str">
            <v>Стеллажное оборудование</v>
          </cell>
        </row>
        <row r="22">
          <cell r="A22" t="str">
            <v>Строительство и ремонты</v>
          </cell>
        </row>
        <row r="23">
          <cell r="A23" t="str">
            <v>Тепловые завесы</v>
          </cell>
        </row>
        <row r="24">
          <cell r="A24" t="str">
            <v>Торговое оборудование</v>
          </cell>
        </row>
        <row r="25">
          <cell r="A25" t="str">
            <v>Транспорт</v>
          </cell>
        </row>
        <row r="26">
          <cell r="A26" t="str">
            <v>Холодильное оборудование</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B_changes"/>
      <sheetName val="NFP Changes"/>
      <sheetName val="Disclaimer"/>
      <sheetName val="Title"/>
      <sheetName val="Outputs"/>
      <sheetName val="Checks"/>
      <sheetName val="S&amp;U"/>
      <sheetName val="Debt breakdown_Q"/>
      <sheetName val="Debt brkdwn"/>
      <sheetName val="Results &gt;&gt;"/>
      <sheetName val="IS"/>
      <sheetName val="BS"/>
      <sheetName val="Sensitivity"/>
      <sheetName val="NPV"/>
      <sheetName val="His_BS"/>
      <sheetName val="CF"/>
      <sheetName val="Annual IS"/>
      <sheetName val="Annual BS"/>
      <sheetName val="Annual CF"/>
      <sheetName val="Annual Finance"/>
      <sheetName val="Input &gt;&gt;"/>
      <sheetName val="Time"/>
      <sheetName val="Assumptions"/>
      <sheetName val="Annual Assumptions"/>
      <sheetName val="Calc &gt;&gt;"/>
      <sheetName val="Sales"/>
      <sheetName val="COGS"/>
      <sheetName val="SGA"/>
      <sheetName val="Financing"/>
      <sheetName val="Summary Finance"/>
      <sheetName val="Tax"/>
      <sheetName val="FA_RAS"/>
      <sheetName val="FA_Tax"/>
      <sheetName val="NWC"/>
      <sheetName val="Support &gt;&gt;"/>
      <sheetName val="Template"/>
      <sheetName val="Graph"/>
      <sheetName val="Sources &gt;&gt;"/>
      <sheetName val="EURRUB"/>
      <sheetName val="USDRUB"/>
      <sheetName val="ЦБ_РФ_курс"/>
      <sheetName val="GI_Apr19"/>
      <sheetName val="МЭР_PwC"/>
      <sheetName val="МЭР"/>
      <sheetName val="Макра_ВЭБ"/>
      <sheetName val="Макра_ВТБ"/>
      <sheetName val="WACC"/>
      <sheetName val="WC"/>
      <sheetName val="Prices_Q_nom (base case)"/>
      <sheetName val="Prices_A_nom (base case)"/>
      <sheetName val="Prices_A_real (base case)"/>
      <sheetName val="Prices_Annual (low case)"/>
      <sheetName val="Prices_Annual_real (low case)"/>
      <sheetName val="Расходы для БП Data"/>
      <sheetName val="PwC_Capex_Персонал"/>
      <sheetName val="PROJECT"/>
      <sheetName val="Capex сверх ЕРС"/>
      <sheetName val="Тарифы_газ"/>
      <sheetName val="Кат-ры"/>
      <sheetName val="Аренда"/>
      <sheetName val="Бюджетный эфф-т"/>
    </sheetNames>
    <sheetDataSet>
      <sheetData sheetId="0" refreshError="1"/>
      <sheetData sheetId="1" refreshError="1"/>
      <sheetData sheetId="2" refreshError="1"/>
      <sheetData sheetId="3" refreshError="1"/>
      <sheetData sheetId="4">
        <row r="1">
          <cell r="AU1" t="b">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Утверждённые WACC"/>
      <sheetName val="История"/>
    </sheetNames>
    <sheetDataSet>
      <sheetData sheetId="0">
        <row r="2">
          <cell r="E2">
            <v>0.11700000000000001</v>
          </cell>
          <cell r="F2">
            <v>0.108</v>
          </cell>
          <cell r="G2">
            <v>0.11600000000000001</v>
          </cell>
          <cell r="H2">
            <v>0.12</v>
          </cell>
          <cell r="I2">
            <v>0.11</v>
          </cell>
          <cell r="J2">
            <v>0.108</v>
          </cell>
          <cell r="K2">
            <v>9.4E-2</v>
          </cell>
          <cell r="L2">
            <v>8.8999999999999996E-2</v>
          </cell>
          <cell r="M2">
            <v>0.113</v>
          </cell>
          <cell r="N2">
            <v>0.23</v>
          </cell>
          <cell r="O2">
            <v>0.2</v>
          </cell>
          <cell r="P2">
            <v>0.17</v>
          </cell>
          <cell r="Q2">
            <v>0.15</v>
          </cell>
          <cell r="R2">
            <v>0.14285187817301537</v>
          </cell>
        </row>
      </sheetData>
      <sheetData sheetId="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7.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1FDAE-6A23-447A-AD6E-8EF7F73F6FF1}">
  <sheetPr codeName="Sheet1">
    <tabColor theme="2" tint="-9.9978637043366805E-2"/>
  </sheetPr>
  <dimension ref="A1:I90"/>
  <sheetViews>
    <sheetView showGridLines="0" zoomScale="50" zoomScaleNormal="50" workbookViewId="0">
      <selection activeCell="B1" sqref="B1:C1"/>
    </sheetView>
  </sheetViews>
  <sheetFormatPr baseColWidth="10" defaultColWidth="0" defaultRowHeight="0" customHeight="1" zeroHeight="1"/>
  <cols>
    <col min="1" max="1" width="2.83203125" style="22" customWidth="1"/>
    <col min="2" max="2" width="3.1640625" style="62" customWidth="1"/>
    <col min="3" max="3" width="168.5" style="63" customWidth="1"/>
    <col min="4" max="4" width="3.1640625" style="22" customWidth="1"/>
    <col min="5" max="9" width="0" style="22" hidden="1" customWidth="1"/>
    <col min="10" max="16384" width="9.1640625" style="22" hidden="1"/>
  </cols>
  <sheetData>
    <row r="1" spans="2:3" ht="15" customHeight="1">
      <c r="B1" s="295" t="s">
        <v>201</v>
      </c>
      <c r="C1" s="295"/>
    </row>
    <row r="2" spans="2:3" ht="15" customHeight="1">
      <c r="B2" s="93"/>
      <c r="C2" s="63" t="s">
        <v>202</v>
      </c>
    </row>
    <row r="3" spans="2:3" ht="12.75" customHeight="1">
      <c r="B3" s="207"/>
      <c r="C3" s="63" t="s">
        <v>203</v>
      </c>
    </row>
    <row r="4" spans="2:3" ht="8.5" customHeight="1">
      <c r="B4" s="208"/>
    </row>
    <row r="5" spans="2:3" ht="15" customHeight="1">
      <c r="B5" s="295" t="s">
        <v>204</v>
      </c>
      <c r="C5" s="295"/>
    </row>
    <row r="6" spans="2:3" ht="5.5" customHeight="1" thickBot="1">
      <c r="B6" s="22"/>
    </row>
    <row r="7" spans="2:3" ht="27" customHeight="1" thickBot="1">
      <c r="B7" s="296" t="s">
        <v>205</v>
      </c>
      <c r="C7" s="297"/>
    </row>
    <row r="8" spans="2:3" ht="15" customHeight="1">
      <c r="B8" s="65" t="s">
        <v>37</v>
      </c>
      <c r="C8" s="66" t="s">
        <v>206</v>
      </c>
    </row>
    <row r="9" spans="2:3" ht="44.5" customHeight="1">
      <c r="B9" s="65" t="s">
        <v>38</v>
      </c>
      <c r="C9" s="79" t="s">
        <v>211</v>
      </c>
    </row>
    <row r="10" spans="2:3" ht="32.5" customHeight="1">
      <c r="B10" s="65" t="s">
        <v>39</v>
      </c>
      <c r="C10" s="66" t="s">
        <v>217</v>
      </c>
    </row>
    <row r="11" spans="2:3" ht="15" customHeight="1">
      <c r="B11" s="65" t="s">
        <v>161</v>
      </c>
      <c r="C11" s="66" t="s">
        <v>207</v>
      </c>
    </row>
    <row r="12" spans="2:3" ht="15" customHeight="1">
      <c r="B12" s="65" t="s">
        <v>218</v>
      </c>
      <c r="C12" s="66" t="s">
        <v>208</v>
      </c>
    </row>
    <row r="13" spans="2:3" ht="112.5" customHeight="1">
      <c r="B13" s="65" t="s">
        <v>166</v>
      </c>
      <c r="C13" s="66" t="s">
        <v>219</v>
      </c>
    </row>
    <row r="14" spans="2:3" ht="34">
      <c r="B14" s="65" t="s">
        <v>167</v>
      </c>
      <c r="C14" s="66" t="s">
        <v>209</v>
      </c>
    </row>
    <row r="15" spans="2:3" ht="51">
      <c r="B15" s="65" t="s">
        <v>168</v>
      </c>
      <c r="C15" s="66" t="s">
        <v>210</v>
      </c>
    </row>
    <row r="16" spans="2:3" ht="6" customHeight="1">
      <c r="B16" s="208"/>
    </row>
    <row r="17" spans="1:4" ht="6" customHeight="1">
      <c r="B17" s="208"/>
    </row>
    <row r="18" spans="1:4" ht="19">
      <c r="B18" s="295" t="s">
        <v>148</v>
      </c>
      <c r="C18" s="295"/>
    </row>
    <row r="19" spans="1:4" ht="7.5" customHeight="1">
      <c r="B19" s="64"/>
      <c r="C19" s="64"/>
    </row>
    <row r="20" spans="1:4" ht="51">
      <c r="B20" s="65" t="s">
        <v>37</v>
      </c>
      <c r="C20" s="66" t="s">
        <v>220</v>
      </c>
      <c r="D20" s="67"/>
    </row>
    <row r="21" spans="1:4" ht="7.5" customHeight="1">
      <c r="B21" s="65"/>
      <c r="C21" s="66"/>
      <c r="D21" s="67"/>
    </row>
    <row r="22" spans="1:4" ht="34">
      <c r="B22" s="65" t="s">
        <v>38</v>
      </c>
      <c r="C22" s="211" t="s">
        <v>221</v>
      </c>
      <c r="D22" s="67"/>
    </row>
    <row r="23" spans="1:4" ht="7.5" customHeight="1" thickBot="1">
      <c r="B23" s="68"/>
      <c r="C23" s="69"/>
      <c r="D23" s="67"/>
    </row>
    <row r="24" spans="1:4" ht="20.25" customHeight="1">
      <c r="A24" s="70"/>
      <c r="B24" s="71" t="s">
        <v>149</v>
      </c>
      <c r="C24" s="72" t="s">
        <v>150</v>
      </c>
      <c r="D24" s="67"/>
    </row>
    <row r="25" spans="1:4" ht="48.75" customHeight="1" thickBot="1">
      <c r="B25" s="298" t="s">
        <v>151</v>
      </c>
      <c r="C25" s="299"/>
      <c r="D25" s="73"/>
    </row>
    <row r="26" spans="1:4" ht="7.5" customHeight="1">
      <c r="B26" s="68"/>
      <c r="C26" s="69"/>
      <c r="D26" s="73"/>
    </row>
    <row r="27" spans="1:4" ht="19">
      <c r="B27" s="300" t="s">
        <v>152</v>
      </c>
      <c r="C27" s="300"/>
    </row>
    <row r="28" spans="1:4" ht="7.5" customHeight="1">
      <c r="B28" s="74"/>
      <c r="C28" s="75"/>
    </row>
    <row r="29" spans="1:4" ht="18">
      <c r="B29" s="76"/>
      <c r="C29" s="77" t="s">
        <v>153</v>
      </c>
    </row>
    <row r="30" spans="1:4" ht="9" customHeight="1">
      <c r="B30" s="78"/>
      <c r="C30" s="79"/>
    </row>
    <row r="31" spans="1:4" ht="17">
      <c r="B31" s="78" t="s">
        <v>39</v>
      </c>
      <c r="C31" s="79" t="s">
        <v>154</v>
      </c>
    </row>
    <row r="32" spans="1:4" ht="17">
      <c r="B32" s="78"/>
      <c r="C32" s="80" t="s">
        <v>155</v>
      </c>
    </row>
    <row r="33" spans="2:3" ht="17">
      <c r="B33" s="78"/>
      <c r="C33" s="81" t="s">
        <v>156</v>
      </c>
    </row>
    <row r="34" spans="2:3" ht="17">
      <c r="B34" s="78"/>
      <c r="C34" s="81" t="s">
        <v>157</v>
      </c>
    </row>
    <row r="35" spans="2:3" ht="17">
      <c r="B35" s="78"/>
      <c r="C35" s="80" t="s">
        <v>158</v>
      </c>
    </row>
    <row r="36" spans="2:3" ht="17">
      <c r="B36" s="82"/>
      <c r="C36" s="81" t="s">
        <v>222</v>
      </c>
    </row>
    <row r="37" spans="2:3" ht="17">
      <c r="B37" s="78"/>
      <c r="C37" s="81" t="s">
        <v>159</v>
      </c>
    </row>
    <row r="38" spans="2:3" ht="17">
      <c r="B38" s="78"/>
      <c r="C38" s="81" t="s">
        <v>160</v>
      </c>
    </row>
    <row r="39" spans="2:3" ht="7.5" customHeight="1">
      <c r="B39" s="78"/>
      <c r="C39" s="79"/>
    </row>
    <row r="40" spans="2:3" ht="27.5" customHeight="1">
      <c r="B40" s="78" t="s">
        <v>161</v>
      </c>
      <c r="C40" s="79" t="s">
        <v>212</v>
      </c>
    </row>
    <row r="41" spans="2:3" ht="17">
      <c r="B41" s="78"/>
      <c r="C41" s="83" t="s">
        <v>162</v>
      </c>
    </row>
    <row r="42" spans="2:3" ht="7.5" customHeight="1">
      <c r="B42" s="78"/>
      <c r="C42" s="84"/>
    </row>
    <row r="43" spans="2:3" ht="18">
      <c r="B43" s="76"/>
      <c r="C43" s="77" t="s">
        <v>163</v>
      </c>
    </row>
    <row r="44" spans="2:3" ht="7.5" customHeight="1">
      <c r="B44" s="78"/>
      <c r="C44" s="79"/>
    </row>
    <row r="45" spans="2:3" ht="18">
      <c r="B45" s="85"/>
      <c r="C45" s="86" t="s">
        <v>133</v>
      </c>
    </row>
    <row r="46" spans="2:3" ht="7.5" customHeight="1">
      <c r="B46" s="78"/>
      <c r="C46" s="79"/>
    </row>
    <row r="47" spans="2:3" ht="17">
      <c r="B47" s="78" t="s">
        <v>164</v>
      </c>
      <c r="C47" s="79" t="s">
        <v>165</v>
      </c>
    </row>
    <row r="48" spans="2:3" ht="7.5" customHeight="1">
      <c r="B48" s="78"/>
      <c r="C48" s="79"/>
    </row>
    <row r="49" spans="2:3" ht="35.5" customHeight="1">
      <c r="B49" s="78" t="s">
        <v>166</v>
      </c>
      <c r="C49" s="79" t="s">
        <v>214</v>
      </c>
    </row>
    <row r="50" spans="2:3" ht="17">
      <c r="B50" s="78"/>
      <c r="C50" s="83" t="s">
        <v>162</v>
      </c>
    </row>
    <row r="51" spans="2:3" customFormat="1" ht="7.5" customHeight="1">
      <c r="B51" s="87"/>
      <c r="C51" s="88"/>
    </row>
    <row r="52" spans="2:3" ht="90">
      <c r="B52" s="85"/>
      <c r="C52" s="86" t="s">
        <v>215</v>
      </c>
    </row>
    <row r="53" spans="2:3" ht="7.5" customHeight="1">
      <c r="B53" s="78"/>
      <c r="C53" s="79"/>
    </row>
    <row r="54" spans="2:3" ht="17">
      <c r="B54" s="78" t="s">
        <v>167</v>
      </c>
      <c r="C54" s="79" t="s">
        <v>165</v>
      </c>
    </row>
    <row r="55" spans="2:3" ht="7.5" customHeight="1">
      <c r="B55" s="78"/>
      <c r="C55" s="79"/>
    </row>
    <row r="56" spans="2:3" ht="34">
      <c r="B56" s="78" t="s">
        <v>168</v>
      </c>
      <c r="C56" s="79" t="s">
        <v>213</v>
      </c>
    </row>
    <row r="57" spans="2:3" ht="17">
      <c r="B57" s="78"/>
      <c r="C57" s="83" t="s">
        <v>162</v>
      </c>
    </row>
    <row r="58" spans="2:3" ht="17">
      <c r="B58" s="89" t="s">
        <v>149</v>
      </c>
      <c r="C58" s="90" t="s">
        <v>169</v>
      </c>
    </row>
    <row r="59" spans="2:3" ht="7.5" customHeight="1">
      <c r="B59" s="78"/>
      <c r="C59" s="79"/>
    </row>
    <row r="60" spans="2:3" ht="18">
      <c r="B60" s="85"/>
      <c r="C60" s="86" t="s">
        <v>130</v>
      </c>
    </row>
    <row r="61" spans="2:3" ht="7.5" customHeight="1">
      <c r="B61" s="78"/>
      <c r="C61" s="79"/>
    </row>
    <row r="62" spans="2:3" ht="34">
      <c r="B62" s="78" t="s">
        <v>170</v>
      </c>
      <c r="C62" s="79" t="s">
        <v>171</v>
      </c>
    </row>
    <row r="63" spans="2:3" ht="6.75" customHeight="1">
      <c r="B63" s="78"/>
      <c r="C63" s="79"/>
    </row>
    <row r="64" spans="2:3" ht="34">
      <c r="B64" s="78" t="s">
        <v>172</v>
      </c>
      <c r="C64" s="79" t="s">
        <v>216</v>
      </c>
    </row>
    <row r="65" spans="2:4" ht="17">
      <c r="B65" s="78"/>
      <c r="C65" s="83" t="s">
        <v>162</v>
      </c>
    </row>
    <row r="66" spans="2:4" customFormat="1" ht="6.75" customHeight="1"/>
    <row r="67" spans="2:4" ht="16.5" customHeight="1">
      <c r="B67" s="294" t="s">
        <v>173</v>
      </c>
      <c r="C67" s="294"/>
    </row>
    <row r="68" spans="2:4" ht="12.75" customHeight="1">
      <c r="D68" s="73"/>
    </row>
    <row r="69" spans="2:4" ht="16" hidden="1">
      <c r="D69" s="73"/>
    </row>
    <row r="70" spans="2:4" ht="16" hidden="1">
      <c r="D70" s="73"/>
    </row>
    <row r="71" spans="2:4" ht="16" hidden="1"/>
    <row r="72" spans="2:4" ht="16" hidden="1"/>
    <row r="73" spans="2:4" ht="16" hidden="1"/>
    <row r="74" spans="2:4" ht="16" hidden="1"/>
    <row r="75" spans="2:4" ht="15" customHeight="1"/>
    <row r="76" spans="2:4" ht="15" customHeight="1"/>
    <row r="77" spans="2:4" ht="15" customHeight="1"/>
    <row r="78" spans="2:4" ht="15" customHeight="1"/>
    <row r="79" spans="2:4" ht="15" customHeight="1"/>
    <row r="80" spans="2:4"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sheetData>
  <mergeCells count="7">
    <mergeCell ref="B67:C67"/>
    <mergeCell ref="B1:C1"/>
    <mergeCell ref="B5:C5"/>
    <mergeCell ref="B7:C7"/>
    <mergeCell ref="B18:C18"/>
    <mergeCell ref="B25:C25"/>
    <mergeCell ref="B27:C27"/>
  </mergeCells>
  <hyperlinks>
    <hyperlink ref="C49" location="Свод!A1" display="Свод!A1" xr:uid="{315C8B6A-B0C0-4A05-90BD-5AAD53EE3D64}"/>
    <hyperlink ref="C50" location="КПЭ!A1" display="КПЭ!A1" xr:uid="{B518B928-DC31-46F3-BA60-33B5BC6BE064}"/>
    <hyperlink ref="C18" location="Приложения!A1" display="Приложения!A1" xr:uid="{6A22F6AF-D1B7-4B95-8974-CF3327C34B2A}"/>
    <hyperlink ref="C1" location="Приложения!A1" display="Приложения!A1" xr:uid="{B7DA047C-7FE4-4F02-B9E4-A8AD49C3032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1">
    <tabColor theme="3" tint="-0.249977111117893"/>
    <pageSetUpPr fitToPage="1"/>
  </sheetPr>
  <dimension ref="A1:U333"/>
  <sheetViews>
    <sheetView showGridLines="0" tabSelected="1" zoomScale="125" zoomScaleNormal="50" zoomScaleSheetLayoutView="70" workbookViewId="0">
      <selection activeCell="C313" sqref="C313"/>
    </sheetView>
  </sheetViews>
  <sheetFormatPr baseColWidth="10" defaultColWidth="9.1640625" defaultRowHeight="15" outlineLevelRow="1" outlineLevelCol="1"/>
  <cols>
    <col min="1" max="1" width="14.83203125" style="124" customWidth="1"/>
    <col min="2" max="2" width="55.5" style="125" customWidth="1"/>
    <col min="3" max="7" width="27.83203125" style="125" customWidth="1"/>
    <col min="8" max="13" width="22.83203125" style="125" customWidth="1" outlineLevel="1"/>
    <col min="14" max="16384" width="9.1640625" style="125"/>
  </cols>
  <sheetData>
    <row r="1" spans="1:13" ht="6" customHeight="1">
      <c r="C1" s="126">
        <f>IF(C7&lt;&gt;0,1,0)</f>
        <v>1</v>
      </c>
      <c r="D1" s="126">
        <f t="shared" ref="D1:I1" si="0">IF(D7&lt;&gt;0,1,0)</f>
        <v>1</v>
      </c>
      <c r="E1" s="126">
        <f t="shared" si="0"/>
        <v>1</v>
      </c>
      <c r="F1" s="126">
        <f t="shared" si="0"/>
        <v>1</v>
      </c>
      <c r="G1" s="126">
        <f t="shared" si="0"/>
        <v>1</v>
      </c>
      <c r="H1" s="126">
        <f t="shared" si="0"/>
        <v>0</v>
      </c>
      <c r="I1" s="126">
        <f t="shared" si="0"/>
        <v>0</v>
      </c>
    </row>
    <row r="2" spans="1:13" ht="30" customHeight="1">
      <c r="B2" s="127" t="s">
        <v>34</v>
      </c>
      <c r="E2" s="128" t="s">
        <v>259</v>
      </c>
    </row>
    <row r="3" spans="1:13" ht="30" customHeight="1">
      <c r="B3" s="127"/>
    </row>
    <row r="4" spans="1:13" ht="20" thickBot="1">
      <c r="B4" s="129" t="s">
        <v>68</v>
      </c>
      <c r="C4" s="209">
        <f>'Как есть'!C12</f>
        <v>2026</v>
      </c>
      <c r="D4" s="209">
        <f t="shared" ref="D4:I4" si="1">C4+1</f>
        <v>2027</v>
      </c>
      <c r="E4" s="209">
        <f t="shared" si="1"/>
        <v>2028</v>
      </c>
      <c r="F4" s="209">
        <f t="shared" si="1"/>
        <v>2029</v>
      </c>
      <c r="G4" s="209">
        <f t="shared" si="1"/>
        <v>2030</v>
      </c>
      <c r="H4" s="209">
        <f t="shared" si="1"/>
        <v>2031</v>
      </c>
      <c r="I4" s="209">
        <f t="shared" si="1"/>
        <v>2032</v>
      </c>
      <c r="J4" s="209">
        <f t="shared" ref="J4" si="2">I4+1</f>
        <v>2033</v>
      </c>
      <c r="K4" s="209">
        <f t="shared" ref="K4" si="3">J4+1</f>
        <v>2034</v>
      </c>
      <c r="L4" s="209">
        <f t="shared" ref="L4" si="4">K4+1</f>
        <v>2035</v>
      </c>
      <c r="M4" s="209">
        <f t="shared" ref="M4" si="5">L4+1</f>
        <v>2036</v>
      </c>
    </row>
    <row r="5" spans="1:13" ht="19.25" hidden="1" customHeight="1" outlineLevel="1" thickTop="1">
      <c r="B5" s="130" t="s">
        <v>26</v>
      </c>
      <c r="C5" s="131">
        <f>HLOOKUP(C4,'Как есть'!$C$3:$S$5,2)</f>
        <v>7.0000000000000007E-2</v>
      </c>
      <c r="D5" s="131">
        <f>HLOOKUP(D4,'Как есть'!$C$3:$S$5,2)</f>
        <v>7.0000000000000007E-2</v>
      </c>
      <c r="E5" s="131">
        <f>HLOOKUP(E4,'Как есть'!$C$3:$S$5,2)</f>
        <v>0.05</v>
      </c>
      <c r="F5" s="131">
        <f>HLOOKUP(F4,'Как есть'!$C$3:$S$5,2)</f>
        <v>0.05</v>
      </c>
      <c r="G5" s="131">
        <f>HLOOKUP(G4,'Как есть'!$C$3:$S$5,2)</f>
        <v>0.05</v>
      </c>
      <c r="H5" s="131">
        <f>HLOOKUP(H4,'Как есть'!$C$3:$S$5,2)</f>
        <v>0.05</v>
      </c>
      <c r="I5" s="131">
        <f>HLOOKUP(I4,'Как есть'!$C$3:$S$5,2)</f>
        <v>0.05</v>
      </c>
      <c r="J5" s="131">
        <f>HLOOKUP(J4,'Как есть'!$C$3:$S$5,2)</f>
        <v>0.05</v>
      </c>
      <c r="K5" s="131">
        <f>HLOOKUP(K4,'Как есть'!$C$3:$S$5,2)</f>
        <v>0.05</v>
      </c>
      <c r="L5" s="131">
        <f>HLOOKUP(L4,'Как есть'!$C$3:$S$5,2)</f>
        <v>0.05</v>
      </c>
      <c r="M5" s="131">
        <f>HLOOKUP(M4,'Как есть'!$C$3:$S$5,2)</f>
        <v>0.05</v>
      </c>
    </row>
    <row r="6" spans="1:13" ht="19.25" hidden="1" customHeight="1" outlineLevel="1">
      <c r="B6" s="130" t="s">
        <v>231</v>
      </c>
      <c r="C6" s="224">
        <f>IFERROR(SUMIFS('Как будет'!5:5,'Как будет'!9:9,Свод!C4)/COUNTIFS('Как будет'!9:9,Свод!C4),Свод!B6)</f>
        <v>0.15999999999999998</v>
      </c>
      <c r="D6" s="224">
        <f>IFERROR(SUMIFS('Как будет'!5:5,'Как будет'!9:9,Свод!D4)/COUNTIFS('Как будет'!9:9,Свод!D4),Свод!C6)</f>
        <v>0.15999999999999998</v>
      </c>
      <c r="E6" s="224">
        <f>IFERROR(SUMIFS('Как будет'!5:5,'Как будет'!9:9,Свод!E4)/COUNTIFS('Как будет'!9:9,Свод!E4),Свод!D6)</f>
        <v>0.15999999999999998</v>
      </c>
      <c r="F6" s="224">
        <f>IFERROR(SUMIFS('Как будет'!5:5,'Как будет'!9:9,Свод!F4)/COUNTIFS('Как будет'!9:9,Свод!F4),Свод!E6)</f>
        <v>0.15999999999999998</v>
      </c>
      <c r="G6" s="224">
        <f>IFERROR(SUMIFS('Как будет'!5:5,'Как будет'!9:9,Свод!G4)/COUNTIFS('Как будет'!9:9,Свод!G4),Свод!F6)</f>
        <v>0.15999999999999998</v>
      </c>
      <c r="H6" s="224">
        <f>IFERROR(SUMIFS('Как будет'!5:5,'Как будет'!9:9,Свод!H4)/COUNTIFS('Как будет'!9:9,Свод!H4),Свод!G6)</f>
        <v>0.15999999999999998</v>
      </c>
      <c r="I6" s="224">
        <f>IFERROR(SUMIFS('Как будет'!5:5,'Как будет'!9:9,Свод!I4)/COUNTIFS('Как будет'!9:9,Свод!I4),Свод!H6)</f>
        <v>0.15999999999999998</v>
      </c>
      <c r="J6" s="224">
        <f>IFERROR(SUMIFS('Как будет'!5:5,'Как будет'!9:9,Свод!J4)/COUNTIFS('Как будет'!9:9,Свод!J4),Свод!I6)</f>
        <v>0.15999999999999998</v>
      </c>
      <c r="K6" s="224">
        <f>IFERROR(SUMIFS('Как будет'!5:5,'Как будет'!9:9,Свод!K4)/COUNTIFS('Как будет'!9:9,Свод!K4),Свод!J6)</f>
        <v>0.15999999999999998</v>
      </c>
      <c r="L6" s="224">
        <f>IFERROR(SUMIFS('Как будет'!5:5,'Как будет'!9:9,Свод!L4)/COUNTIFS('Как будет'!9:9,Свод!L4),Свод!K6)</f>
        <v>0.15999999999999998</v>
      </c>
      <c r="M6" s="224">
        <f>IFERROR(SUMIFS('Как будет'!5:5,'Как будет'!9:9,Свод!M4)/COUNTIFS('Как будет'!9:9,Свод!M4),Свод!L6)</f>
        <v>0.15999999999999998</v>
      </c>
    </row>
    <row r="7" spans="1:13" ht="19.25" hidden="1" customHeight="1" outlineLevel="1">
      <c r="A7" s="132">
        <f>SUM(C7:M7)</f>
        <v>60</v>
      </c>
      <c r="B7" s="130" t="s">
        <v>32</v>
      </c>
      <c r="C7" s="133">
        <f>COUNTIF('Как есть'!12:12,Свод!C4)</f>
        <v>12</v>
      </c>
      <c r="D7" s="133">
        <f>COUNTIF('Как есть'!12:12,Свод!D4)</f>
        <v>12</v>
      </c>
      <c r="E7" s="133">
        <f>COUNTIF('Как есть'!12:12,Свод!E4)</f>
        <v>12</v>
      </c>
      <c r="F7" s="133">
        <f>COUNTIF('Как есть'!12:12,Свод!F4)</f>
        <v>12</v>
      </c>
      <c r="G7" s="133">
        <f>COUNTIF('Как есть'!12:12,Свод!G4)</f>
        <v>12</v>
      </c>
      <c r="H7" s="133">
        <f>COUNTIF('Как есть'!12:12,Свод!H4)</f>
        <v>0</v>
      </c>
      <c r="I7" s="133">
        <f>COUNTIF('Как есть'!12:12,Свод!I4)</f>
        <v>0</v>
      </c>
      <c r="J7" s="133">
        <f>COUNTIF('Как есть'!12:12,Свод!J4)</f>
        <v>0</v>
      </c>
      <c r="K7" s="133">
        <f>COUNTIF('Как есть'!12:12,Свод!K4)</f>
        <v>0</v>
      </c>
      <c r="L7" s="133">
        <f>COUNTIF('Как есть'!12:12,Свод!L4)</f>
        <v>0</v>
      </c>
      <c r="M7" s="133">
        <f>COUNTIF('Как есть'!12:12,Свод!M4)</f>
        <v>0</v>
      </c>
    </row>
    <row r="8" spans="1:13" ht="26" customHeight="1" collapsed="1" thickTop="1" thickBot="1">
      <c r="B8" s="135" t="s">
        <v>66</v>
      </c>
      <c r="C8" s="136"/>
      <c r="D8" s="136"/>
      <c r="E8" s="136"/>
      <c r="F8" s="136"/>
      <c r="G8" s="136"/>
      <c r="H8" s="136"/>
      <c r="I8" s="136"/>
      <c r="J8" s="136"/>
      <c r="K8" s="136"/>
      <c r="L8" s="136"/>
      <c r="M8" s="136"/>
    </row>
    <row r="9" spans="1:13" ht="17" hidden="1" thickTop="1">
      <c r="B9" s="143" t="s">
        <v>133</v>
      </c>
      <c r="C9" s="144"/>
      <c r="D9" s="144"/>
      <c r="E9" s="144"/>
      <c r="F9" s="144"/>
      <c r="G9" s="144"/>
      <c r="H9" s="144"/>
      <c r="I9" s="144"/>
      <c r="J9" s="144"/>
      <c r="K9" s="144"/>
      <c r="L9" s="144"/>
      <c r="M9" s="144"/>
    </row>
    <row r="10" spans="1:13" ht="18.5" hidden="1" customHeight="1" collapsed="1">
      <c r="B10" s="137" t="s">
        <v>56</v>
      </c>
      <c r="C10" s="138">
        <f>SUMIF('Как есть'!$12:$12,Свод!C4,'Как есть'!$16:$16)</f>
        <v>0</v>
      </c>
      <c r="D10" s="138">
        <f>SUMIF('Как есть'!$12:$12,Свод!D4,'Как есть'!$16:$16)</f>
        <v>0</v>
      </c>
      <c r="E10" s="138">
        <f>SUMIF('Как есть'!$12:$12,Свод!E4,'Как есть'!$16:$16)</f>
        <v>0</v>
      </c>
      <c r="F10" s="138">
        <f>SUMIF('Как есть'!$12:$12,Свод!F4,'Как есть'!$16:$16)</f>
        <v>0</v>
      </c>
      <c r="G10" s="138">
        <f>SUMIF('Как есть'!$12:$12,Свод!G4,'Как есть'!$16:$16)</f>
        <v>0</v>
      </c>
      <c r="H10" s="138">
        <f>SUMIF('Как есть'!$12:$12,Свод!H4,'Как есть'!$16:$16)</f>
        <v>0</v>
      </c>
      <c r="I10" s="138">
        <f>SUMIF('Как есть'!$12:$12,Свод!I4,'Как есть'!$16:$16)</f>
        <v>0</v>
      </c>
      <c r="J10" s="138">
        <f>SUMIF('Как есть'!$12:$12,Свод!J4,'Как есть'!$16:$16)</f>
        <v>0</v>
      </c>
      <c r="K10" s="138">
        <f>SUMIF('Как есть'!$12:$12,Свод!K4,'Как есть'!$16:$16)</f>
        <v>0</v>
      </c>
      <c r="L10" s="138">
        <f>SUMIF('Как есть'!$12:$12,Свод!L4,'Как есть'!$16:$16)</f>
        <v>0</v>
      </c>
      <c r="M10" s="138">
        <f>SUMIF('Как есть'!$12:$12,Свод!M4,'Как есть'!$16:$16)</f>
        <v>0</v>
      </c>
    </row>
    <row r="11" spans="1:13" ht="16" hidden="1" outlineLevel="1" thickTop="1">
      <c r="B11" s="139" t="s">
        <v>88</v>
      </c>
      <c r="C11" s="140">
        <f>-SUMIF(Доп.расчеты!$3:$3,Свод!C$4,Доп.расчеты!110:110)</f>
        <v>0</v>
      </c>
      <c r="D11" s="140">
        <f>-SUMIF(Доп.расчеты!$3:$3,Свод!D$4,Доп.расчеты!110:110)</f>
        <v>0</v>
      </c>
      <c r="E11" s="140">
        <f>-SUMIF(Доп.расчеты!$3:$3,Свод!E$4,Доп.расчеты!110:110)</f>
        <v>0</v>
      </c>
      <c r="F11" s="140">
        <f>-SUMIF(Доп.расчеты!$3:$3,Свод!F$4,Доп.расчеты!110:110)</f>
        <v>0</v>
      </c>
      <c r="G11" s="140">
        <f>-SUMIF(Доп.расчеты!$3:$3,Свод!G$4,Доп.расчеты!110:110)</f>
        <v>0</v>
      </c>
      <c r="H11" s="140">
        <f>-SUMIF(Доп.расчеты!$3:$3,Свод!H$4,Доп.расчеты!110:110)</f>
        <v>0</v>
      </c>
      <c r="I11" s="140">
        <f>-SUMIF(Доп.расчеты!$3:$3,Свод!I$4,Доп.расчеты!110:110)</f>
        <v>0</v>
      </c>
      <c r="J11" s="140">
        <f>-SUMIF(Доп.расчеты!$3:$3,Свод!J$4,Доп.расчеты!110:110)</f>
        <v>0</v>
      </c>
      <c r="K11" s="140">
        <f>-SUMIF(Доп.расчеты!$3:$3,Свод!K$4,Доп.расчеты!110:110)</f>
        <v>0</v>
      </c>
      <c r="L11" s="140">
        <f>-SUMIF(Доп.расчеты!$3:$3,Свод!L$4,Доп.расчеты!110:110)</f>
        <v>0</v>
      </c>
      <c r="M11" s="140">
        <f>-SUMIF(Доп.расчеты!$3:$3,Свод!M$4,Доп.расчеты!110:110)</f>
        <v>0</v>
      </c>
    </row>
    <row r="12" spans="1:13" hidden="1" outlineLevel="1">
      <c r="B12" s="139" t="s">
        <v>89</v>
      </c>
      <c r="C12" s="140">
        <f>-SUMIF(Доп.расчеты!$3:$3,Свод!C$4,Доп.расчеты!111:111)</f>
        <v>0</v>
      </c>
      <c r="D12" s="140">
        <f>-SUMIF(Доп.расчеты!$3:$3,Свод!D$4,Доп.расчеты!111:111)</f>
        <v>0</v>
      </c>
      <c r="E12" s="140">
        <f>-SUMIF(Доп.расчеты!$3:$3,Свод!E$4,Доп.расчеты!111:111)</f>
        <v>0</v>
      </c>
      <c r="F12" s="140">
        <f>-SUMIF(Доп.расчеты!$3:$3,Свод!F$4,Доп.расчеты!111:111)</f>
        <v>0</v>
      </c>
      <c r="G12" s="140">
        <f>-SUMIF(Доп.расчеты!$3:$3,Свод!G$4,Доп.расчеты!111:111)</f>
        <v>0</v>
      </c>
      <c r="H12" s="140">
        <f>-SUMIF(Доп.расчеты!$3:$3,Свод!H$4,Доп.расчеты!111:111)</f>
        <v>0</v>
      </c>
      <c r="I12" s="140">
        <f>-SUMIF(Доп.расчеты!$3:$3,Свод!I$4,Доп.расчеты!111:111)</f>
        <v>0</v>
      </c>
      <c r="J12" s="140">
        <f>-SUMIF(Доп.расчеты!$3:$3,Свод!J$4,Доп.расчеты!111:111)</f>
        <v>0</v>
      </c>
      <c r="K12" s="140">
        <f>-SUMIF(Доп.расчеты!$3:$3,Свод!K$4,Доп.расчеты!111:111)</f>
        <v>0</v>
      </c>
      <c r="L12" s="140">
        <f>-SUMIF(Доп.расчеты!$3:$3,Свод!L$4,Доп.расчеты!111:111)</f>
        <v>0</v>
      </c>
      <c r="M12" s="140">
        <f>-SUMIF(Доп.расчеты!$3:$3,Свод!M$4,Доп.расчеты!111:111)</f>
        <v>0</v>
      </c>
    </row>
    <row r="13" spans="1:13" hidden="1" outlineLevel="1">
      <c r="B13" s="139" t="s">
        <v>90</v>
      </c>
      <c r="C13" s="140">
        <f>-SUMIF(Доп.расчеты!$3:$3,Свод!C$4,Доп.расчеты!112:112)</f>
        <v>0</v>
      </c>
      <c r="D13" s="140">
        <f>-SUMIF(Доп.расчеты!$3:$3,Свод!D$4,Доп.расчеты!112:112)</f>
        <v>0</v>
      </c>
      <c r="E13" s="140">
        <f>-SUMIF(Доп.расчеты!$3:$3,Свод!E$4,Доп.расчеты!112:112)</f>
        <v>0</v>
      </c>
      <c r="F13" s="140">
        <f>-SUMIF(Доп.расчеты!$3:$3,Свод!F$4,Доп.расчеты!112:112)</f>
        <v>0</v>
      </c>
      <c r="G13" s="140">
        <f>-SUMIF(Доп.расчеты!$3:$3,Свод!G$4,Доп.расчеты!112:112)</f>
        <v>0</v>
      </c>
      <c r="H13" s="140">
        <f>-SUMIF(Доп.расчеты!$3:$3,Свод!H$4,Доп.расчеты!112:112)</f>
        <v>0</v>
      </c>
      <c r="I13" s="140">
        <f>-SUMIF(Доп.расчеты!$3:$3,Свод!I$4,Доп.расчеты!112:112)</f>
        <v>0</v>
      </c>
      <c r="J13" s="140">
        <f>-SUMIF(Доп.расчеты!$3:$3,Свод!J$4,Доп.расчеты!112:112)</f>
        <v>0</v>
      </c>
      <c r="K13" s="140">
        <f>-SUMIF(Доп.расчеты!$3:$3,Свод!K$4,Доп.расчеты!112:112)</f>
        <v>0</v>
      </c>
      <c r="L13" s="140">
        <f>-SUMIF(Доп.расчеты!$3:$3,Свод!L$4,Доп.расчеты!112:112)</f>
        <v>0</v>
      </c>
      <c r="M13" s="140">
        <f>-SUMIF(Доп.расчеты!$3:$3,Свод!M$4,Доп.расчеты!112:112)</f>
        <v>0</v>
      </c>
    </row>
    <row r="14" spans="1:13" hidden="1" outlineLevel="1">
      <c r="B14" s="139" t="s">
        <v>91</v>
      </c>
      <c r="C14" s="140">
        <f>-SUMIF(Доп.расчеты!$3:$3,Свод!C$4,Доп.расчеты!113:113)</f>
        <v>0</v>
      </c>
      <c r="D14" s="140">
        <f>-SUMIF(Доп.расчеты!$3:$3,Свод!D$4,Доп.расчеты!113:113)</f>
        <v>0</v>
      </c>
      <c r="E14" s="140">
        <f>-SUMIF(Доп.расчеты!$3:$3,Свод!E$4,Доп.расчеты!113:113)</f>
        <v>0</v>
      </c>
      <c r="F14" s="140">
        <f>-SUMIF(Доп.расчеты!$3:$3,Свод!F$4,Доп.расчеты!113:113)</f>
        <v>0</v>
      </c>
      <c r="G14" s="140">
        <f>-SUMIF(Доп.расчеты!$3:$3,Свод!G$4,Доп.расчеты!113:113)</f>
        <v>0</v>
      </c>
      <c r="H14" s="140">
        <f>-SUMIF(Доп.расчеты!$3:$3,Свод!H$4,Доп.расчеты!113:113)</f>
        <v>0</v>
      </c>
      <c r="I14" s="140">
        <f>-SUMIF(Доп.расчеты!$3:$3,Свод!I$4,Доп.расчеты!113:113)</f>
        <v>0</v>
      </c>
      <c r="J14" s="140">
        <f>-SUMIF(Доп.расчеты!$3:$3,Свод!J$4,Доп.расчеты!113:113)</f>
        <v>0</v>
      </c>
      <c r="K14" s="140">
        <f>-SUMIF(Доп.расчеты!$3:$3,Свод!K$4,Доп.расчеты!113:113)</f>
        <v>0</v>
      </c>
      <c r="L14" s="140">
        <f>-SUMIF(Доп.расчеты!$3:$3,Свод!L$4,Доп.расчеты!113:113)</f>
        <v>0</v>
      </c>
      <c r="M14" s="140">
        <f>-SUMIF(Доп.расчеты!$3:$3,Свод!M$4,Доп.расчеты!113:113)</f>
        <v>0</v>
      </c>
    </row>
    <row r="15" spans="1:13" hidden="1" outlineLevel="1">
      <c r="B15" s="139" t="s">
        <v>92</v>
      </c>
      <c r="C15" s="140">
        <f>-SUMIF(Доп.расчеты!$3:$3,Свод!C$4,Доп.расчеты!114:114)</f>
        <v>0</v>
      </c>
      <c r="D15" s="140">
        <f>-SUMIF(Доп.расчеты!$3:$3,Свод!D$4,Доп.расчеты!114:114)</f>
        <v>0</v>
      </c>
      <c r="E15" s="140">
        <f>-SUMIF(Доп.расчеты!$3:$3,Свод!E$4,Доп.расчеты!114:114)</f>
        <v>0</v>
      </c>
      <c r="F15" s="140">
        <f>-SUMIF(Доп.расчеты!$3:$3,Свод!F$4,Доп.расчеты!114:114)</f>
        <v>0</v>
      </c>
      <c r="G15" s="140">
        <f>-SUMIF(Доп.расчеты!$3:$3,Свод!G$4,Доп.расчеты!114:114)</f>
        <v>0</v>
      </c>
      <c r="H15" s="140">
        <f>-SUMIF(Доп.расчеты!$3:$3,Свод!H$4,Доп.расчеты!114:114)</f>
        <v>0</v>
      </c>
      <c r="I15" s="140">
        <f>-SUMIF(Доп.расчеты!$3:$3,Свод!I$4,Доп.расчеты!114:114)</f>
        <v>0</v>
      </c>
      <c r="J15" s="140">
        <f>-SUMIF(Доп.расчеты!$3:$3,Свод!J$4,Доп.расчеты!114:114)</f>
        <v>0</v>
      </c>
      <c r="K15" s="140">
        <f>-SUMIF(Доп.расчеты!$3:$3,Свод!K$4,Доп.расчеты!114:114)</f>
        <v>0</v>
      </c>
      <c r="L15" s="140">
        <f>-SUMIF(Доп.расчеты!$3:$3,Свод!L$4,Доп.расчеты!114:114)</f>
        <v>0</v>
      </c>
      <c r="M15" s="140">
        <f>-SUMIF(Доп.расчеты!$3:$3,Свод!M$4,Доп.расчеты!114:114)</f>
        <v>0</v>
      </c>
    </row>
    <row r="16" spans="1:13" hidden="1" outlineLevel="1">
      <c r="B16" s="139" t="s">
        <v>93</v>
      </c>
      <c r="C16" s="140">
        <f>-SUMIF(Доп.расчеты!$3:$3,Свод!C$4,Доп.расчеты!115:115)</f>
        <v>0</v>
      </c>
      <c r="D16" s="140">
        <f>-SUMIF(Доп.расчеты!$3:$3,Свод!D$4,Доп.расчеты!115:115)</f>
        <v>0</v>
      </c>
      <c r="E16" s="140">
        <f>-SUMIF(Доп.расчеты!$3:$3,Свод!E$4,Доп.расчеты!115:115)</f>
        <v>0</v>
      </c>
      <c r="F16" s="140">
        <f>-SUMIF(Доп.расчеты!$3:$3,Свод!F$4,Доп.расчеты!115:115)</f>
        <v>0</v>
      </c>
      <c r="G16" s="140">
        <f>-SUMIF(Доп.расчеты!$3:$3,Свод!G$4,Доп.расчеты!115:115)</f>
        <v>0</v>
      </c>
      <c r="H16" s="140">
        <f>-SUMIF(Доп.расчеты!$3:$3,Свод!H$4,Доп.расчеты!115:115)</f>
        <v>0</v>
      </c>
      <c r="I16" s="140">
        <f>-SUMIF(Доп.расчеты!$3:$3,Свод!I$4,Доп.расчеты!115:115)</f>
        <v>0</v>
      </c>
      <c r="J16" s="140">
        <f>-SUMIF(Доп.расчеты!$3:$3,Свод!J$4,Доп.расчеты!115:115)</f>
        <v>0</v>
      </c>
      <c r="K16" s="140">
        <f>-SUMIF(Доп.расчеты!$3:$3,Свод!K$4,Доп.расчеты!115:115)</f>
        <v>0</v>
      </c>
      <c r="L16" s="140">
        <f>-SUMIF(Доп.расчеты!$3:$3,Свод!L$4,Доп.расчеты!115:115)</f>
        <v>0</v>
      </c>
      <c r="M16" s="140">
        <f>-SUMIF(Доп.расчеты!$3:$3,Свод!M$4,Доп.расчеты!115:115)</f>
        <v>0</v>
      </c>
    </row>
    <row r="17" spans="2:13" hidden="1" outlineLevel="1">
      <c r="B17" s="139" t="s">
        <v>94</v>
      </c>
      <c r="C17" s="140">
        <f>-SUMIF(Доп.расчеты!$3:$3,Свод!C$4,Доп.расчеты!116:116)</f>
        <v>0</v>
      </c>
      <c r="D17" s="140">
        <f>-SUMIF(Доп.расчеты!$3:$3,Свод!D$4,Доп.расчеты!116:116)</f>
        <v>0</v>
      </c>
      <c r="E17" s="140">
        <f>-SUMIF(Доп.расчеты!$3:$3,Свод!E$4,Доп.расчеты!116:116)</f>
        <v>0</v>
      </c>
      <c r="F17" s="140">
        <f>-SUMIF(Доп.расчеты!$3:$3,Свод!F$4,Доп.расчеты!116:116)</f>
        <v>0</v>
      </c>
      <c r="G17" s="140">
        <f>-SUMIF(Доп.расчеты!$3:$3,Свод!G$4,Доп.расчеты!116:116)</f>
        <v>0</v>
      </c>
      <c r="H17" s="140">
        <f>-SUMIF(Доп.расчеты!$3:$3,Свод!H$4,Доп.расчеты!116:116)</f>
        <v>0</v>
      </c>
      <c r="I17" s="140">
        <f>-SUMIF(Доп.расчеты!$3:$3,Свод!I$4,Доп.расчеты!116:116)</f>
        <v>0</v>
      </c>
      <c r="J17" s="140">
        <f>-SUMIF(Доп.расчеты!$3:$3,Свод!J$4,Доп.расчеты!116:116)</f>
        <v>0</v>
      </c>
      <c r="K17" s="140">
        <f>-SUMIF(Доп.расчеты!$3:$3,Свод!K$4,Доп.расчеты!116:116)</f>
        <v>0</v>
      </c>
      <c r="L17" s="140">
        <f>-SUMIF(Доп.расчеты!$3:$3,Свод!L$4,Доп.расчеты!116:116)</f>
        <v>0</v>
      </c>
      <c r="M17" s="140">
        <f>-SUMIF(Доп.расчеты!$3:$3,Свод!M$4,Доп.расчеты!116:116)</f>
        <v>0</v>
      </c>
    </row>
    <row r="18" spans="2:13" hidden="1" outlineLevel="1">
      <c r="B18" s="139" t="s">
        <v>95</v>
      </c>
      <c r="C18" s="140">
        <f>-SUMIF(Доп.расчеты!$3:$3,Свод!C$4,Доп.расчеты!117:117)</f>
        <v>0</v>
      </c>
      <c r="D18" s="140">
        <f>-SUMIF(Доп.расчеты!$3:$3,Свод!D$4,Доп.расчеты!117:117)</f>
        <v>0</v>
      </c>
      <c r="E18" s="140">
        <f>-SUMIF(Доп.расчеты!$3:$3,Свод!E$4,Доп.расчеты!117:117)</f>
        <v>0</v>
      </c>
      <c r="F18" s="140">
        <f>-SUMIF(Доп.расчеты!$3:$3,Свод!F$4,Доп.расчеты!117:117)</f>
        <v>0</v>
      </c>
      <c r="G18" s="140">
        <f>-SUMIF(Доп.расчеты!$3:$3,Свод!G$4,Доп.расчеты!117:117)</f>
        <v>0</v>
      </c>
      <c r="H18" s="140">
        <f>-SUMIF(Доп.расчеты!$3:$3,Свод!H$4,Доп.расчеты!117:117)</f>
        <v>0</v>
      </c>
      <c r="I18" s="140">
        <f>-SUMIF(Доп.расчеты!$3:$3,Свод!I$4,Доп.расчеты!117:117)</f>
        <v>0</v>
      </c>
      <c r="J18" s="140">
        <f>-SUMIF(Доп.расчеты!$3:$3,Свод!J$4,Доп.расчеты!117:117)</f>
        <v>0</v>
      </c>
      <c r="K18" s="140">
        <f>-SUMIF(Доп.расчеты!$3:$3,Свод!K$4,Доп.расчеты!117:117)</f>
        <v>0</v>
      </c>
      <c r="L18" s="140">
        <f>-SUMIF(Доп.расчеты!$3:$3,Свод!L$4,Доп.расчеты!117:117)</f>
        <v>0</v>
      </c>
      <c r="M18" s="140">
        <f>-SUMIF(Доп.расчеты!$3:$3,Свод!M$4,Доп.расчеты!117:117)</f>
        <v>0</v>
      </c>
    </row>
    <row r="19" spans="2:13" hidden="1" outlineLevel="1">
      <c r="B19" s="139" t="s">
        <v>96</v>
      </c>
      <c r="C19" s="140">
        <f>-SUMIF(Доп.расчеты!$3:$3,Свод!C$4,Доп.расчеты!118:118)</f>
        <v>0</v>
      </c>
      <c r="D19" s="140">
        <f>-SUMIF(Доп.расчеты!$3:$3,Свод!D$4,Доп.расчеты!118:118)</f>
        <v>0</v>
      </c>
      <c r="E19" s="140">
        <f>-SUMIF(Доп.расчеты!$3:$3,Свод!E$4,Доп.расчеты!118:118)</f>
        <v>0</v>
      </c>
      <c r="F19" s="140">
        <f>-SUMIF(Доп.расчеты!$3:$3,Свод!F$4,Доп.расчеты!118:118)</f>
        <v>0</v>
      </c>
      <c r="G19" s="140">
        <f>-SUMIF(Доп.расчеты!$3:$3,Свод!G$4,Доп.расчеты!118:118)</f>
        <v>0</v>
      </c>
      <c r="H19" s="140">
        <f>-SUMIF(Доп.расчеты!$3:$3,Свод!H$4,Доп.расчеты!118:118)</f>
        <v>0</v>
      </c>
      <c r="I19" s="140">
        <f>-SUMIF(Доп.расчеты!$3:$3,Свод!I$4,Доп.расчеты!118:118)</f>
        <v>0</v>
      </c>
      <c r="J19" s="140">
        <f>-SUMIF(Доп.расчеты!$3:$3,Свод!J$4,Доп.расчеты!118:118)</f>
        <v>0</v>
      </c>
      <c r="K19" s="140">
        <f>-SUMIF(Доп.расчеты!$3:$3,Свод!K$4,Доп.расчеты!118:118)</f>
        <v>0</v>
      </c>
      <c r="L19" s="140">
        <f>-SUMIF(Доп.расчеты!$3:$3,Свод!L$4,Доп.расчеты!118:118)</f>
        <v>0</v>
      </c>
      <c r="M19" s="140">
        <f>-SUMIF(Доп.расчеты!$3:$3,Свод!M$4,Доп.расчеты!118:118)</f>
        <v>0</v>
      </c>
    </row>
    <row r="20" spans="2:13" hidden="1" outlineLevel="1">
      <c r="B20" s="139" t="s">
        <v>97</v>
      </c>
      <c r="C20" s="140">
        <f>-SUMIF(Доп.расчеты!$3:$3,Свод!C$4,Доп.расчеты!119:119)</f>
        <v>0</v>
      </c>
      <c r="D20" s="140">
        <f>-SUMIF(Доп.расчеты!$3:$3,Свод!D$4,Доп.расчеты!119:119)</f>
        <v>0</v>
      </c>
      <c r="E20" s="140">
        <f>-SUMIF(Доп.расчеты!$3:$3,Свод!E$4,Доп.расчеты!119:119)</f>
        <v>0</v>
      </c>
      <c r="F20" s="140">
        <f>-SUMIF(Доп.расчеты!$3:$3,Свод!F$4,Доп.расчеты!119:119)</f>
        <v>0</v>
      </c>
      <c r="G20" s="140">
        <f>-SUMIF(Доп.расчеты!$3:$3,Свод!G$4,Доп.расчеты!119:119)</f>
        <v>0</v>
      </c>
      <c r="H20" s="140">
        <f>-SUMIF(Доп.расчеты!$3:$3,Свод!H$4,Доп.расчеты!119:119)</f>
        <v>0</v>
      </c>
      <c r="I20" s="140">
        <f>-SUMIF(Доп.расчеты!$3:$3,Свод!I$4,Доп.расчеты!119:119)</f>
        <v>0</v>
      </c>
      <c r="J20" s="140">
        <f>-SUMIF(Доп.расчеты!$3:$3,Свод!J$4,Доп.расчеты!119:119)</f>
        <v>0</v>
      </c>
      <c r="K20" s="140">
        <f>-SUMIF(Доп.расчеты!$3:$3,Свод!K$4,Доп.расчеты!119:119)</f>
        <v>0</v>
      </c>
      <c r="L20" s="140">
        <f>-SUMIF(Доп.расчеты!$3:$3,Свод!L$4,Доп.расчеты!119:119)</f>
        <v>0</v>
      </c>
      <c r="M20" s="140">
        <f>-SUMIF(Доп.расчеты!$3:$3,Свод!M$4,Доп.расчеты!119:119)</f>
        <v>0</v>
      </c>
    </row>
    <row r="21" spans="2:13" hidden="1" outlineLevel="1">
      <c r="B21" s="139" t="s">
        <v>98</v>
      </c>
      <c r="C21" s="140">
        <f>-SUMIF(Доп.расчеты!$3:$3,Свод!C$4,Доп.расчеты!120:120)</f>
        <v>0</v>
      </c>
      <c r="D21" s="140">
        <f>-SUMIF(Доп.расчеты!$3:$3,Свод!D$4,Доп.расчеты!120:120)</f>
        <v>0</v>
      </c>
      <c r="E21" s="140">
        <f>-SUMIF(Доп.расчеты!$3:$3,Свод!E$4,Доп.расчеты!120:120)</f>
        <v>0</v>
      </c>
      <c r="F21" s="140">
        <f>-SUMIF(Доп.расчеты!$3:$3,Свод!F$4,Доп.расчеты!120:120)</f>
        <v>0</v>
      </c>
      <c r="G21" s="140">
        <f>-SUMIF(Доп.расчеты!$3:$3,Свод!G$4,Доп.расчеты!120:120)</f>
        <v>0</v>
      </c>
      <c r="H21" s="140">
        <f>-SUMIF(Доп.расчеты!$3:$3,Свод!H$4,Доп.расчеты!120:120)</f>
        <v>0</v>
      </c>
      <c r="I21" s="140">
        <f>-SUMIF(Доп.расчеты!$3:$3,Свод!I$4,Доп.расчеты!120:120)</f>
        <v>0</v>
      </c>
      <c r="J21" s="140">
        <f>-SUMIF(Доп.расчеты!$3:$3,Свод!J$4,Доп.расчеты!120:120)</f>
        <v>0</v>
      </c>
      <c r="K21" s="140">
        <f>-SUMIF(Доп.расчеты!$3:$3,Свод!K$4,Доп.расчеты!120:120)</f>
        <v>0</v>
      </c>
      <c r="L21" s="140">
        <f>-SUMIF(Доп.расчеты!$3:$3,Свод!L$4,Доп.расчеты!120:120)</f>
        <v>0</v>
      </c>
      <c r="M21" s="140">
        <f>-SUMIF(Доп.расчеты!$3:$3,Свод!M$4,Доп.расчеты!120:120)</f>
        <v>0</v>
      </c>
    </row>
    <row r="22" spans="2:13" hidden="1" outlineLevel="1">
      <c r="B22" s="139" t="s">
        <v>99</v>
      </c>
      <c r="C22" s="140">
        <f>-SUMIF(Доп.расчеты!$3:$3,Свод!C$4,Доп.расчеты!121:121)</f>
        <v>0</v>
      </c>
      <c r="D22" s="140">
        <f>-SUMIF(Доп.расчеты!$3:$3,Свод!D$4,Доп.расчеты!121:121)</f>
        <v>0</v>
      </c>
      <c r="E22" s="140">
        <f>-SUMIF(Доп.расчеты!$3:$3,Свод!E$4,Доп.расчеты!121:121)</f>
        <v>0</v>
      </c>
      <c r="F22" s="140">
        <f>-SUMIF(Доп.расчеты!$3:$3,Свод!F$4,Доп.расчеты!121:121)</f>
        <v>0</v>
      </c>
      <c r="G22" s="140">
        <f>-SUMIF(Доп.расчеты!$3:$3,Свод!G$4,Доп.расчеты!121:121)</f>
        <v>0</v>
      </c>
      <c r="H22" s="140">
        <f>-SUMIF(Доп.расчеты!$3:$3,Свод!H$4,Доп.расчеты!121:121)</f>
        <v>0</v>
      </c>
      <c r="I22" s="140">
        <f>-SUMIF(Доп.расчеты!$3:$3,Свод!I$4,Доп.расчеты!121:121)</f>
        <v>0</v>
      </c>
      <c r="J22" s="140">
        <f>-SUMIF(Доп.расчеты!$3:$3,Свод!J$4,Доп.расчеты!121:121)</f>
        <v>0</v>
      </c>
      <c r="K22" s="140">
        <f>-SUMIF(Доп.расчеты!$3:$3,Свод!K$4,Доп.расчеты!121:121)</f>
        <v>0</v>
      </c>
      <c r="L22" s="140">
        <f>-SUMIF(Доп.расчеты!$3:$3,Свод!L$4,Доп.расчеты!121:121)</f>
        <v>0</v>
      </c>
      <c r="M22" s="140">
        <f>-SUMIF(Доп.расчеты!$3:$3,Свод!M$4,Доп.расчеты!121:121)</f>
        <v>0</v>
      </c>
    </row>
    <row r="23" spans="2:13" hidden="1" outlineLevel="1">
      <c r="B23" s="139" t="s">
        <v>100</v>
      </c>
      <c r="C23" s="140">
        <f>-SUMIF(Доп.расчеты!$3:$3,Свод!C$4,Доп.расчеты!122:122)</f>
        <v>0</v>
      </c>
      <c r="D23" s="140">
        <f>-SUMIF(Доп.расчеты!$3:$3,Свод!D$4,Доп.расчеты!122:122)</f>
        <v>0</v>
      </c>
      <c r="E23" s="140">
        <f>-SUMIF(Доп.расчеты!$3:$3,Свод!E$4,Доп.расчеты!122:122)</f>
        <v>0</v>
      </c>
      <c r="F23" s="140">
        <f>-SUMIF(Доп.расчеты!$3:$3,Свод!F$4,Доп.расчеты!122:122)</f>
        <v>0</v>
      </c>
      <c r="G23" s="140">
        <f>-SUMIF(Доп.расчеты!$3:$3,Свод!G$4,Доп.расчеты!122:122)</f>
        <v>0</v>
      </c>
      <c r="H23" s="140">
        <f>-SUMIF(Доп.расчеты!$3:$3,Свод!H$4,Доп.расчеты!122:122)</f>
        <v>0</v>
      </c>
      <c r="I23" s="140">
        <f>-SUMIF(Доп.расчеты!$3:$3,Свод!I$4,Доп.расчеты!122:122)</f>
        <v>0</v>
      </c>
      <c r="J23" s="140">
        <f>-SUMIF(Доп.расчеты!$3:$3,Свод!J$4,Доп.расчеты!122:122)</f>
        <v>0</v>
      </c>
      <c r="K23" s="140">
        <f>-SUMIF(Доп.расчеты!$3:$3,Свод!K$4,Доп.расчеты!122:122)</f>
        <v>0</v>
      </c>
      <c r="L23" s="140">
        <f>-SUMIF(Доп.расчеты!$3:$3,Свод!L$4,Доп.расчеты!122:122)</f>
        <v>0</v>
      </c>
      <c r="M23" s="140">
        <f>-SUMIF(Доп.расчеты!$3:$3,Свод!M$4,Доп.расчеты!122:122)</f>
        <v>0</v>
      </c>
    </row>
    <row r="24" spans="2:13" hidden="1" outlineLevel="1">
      <c r="B24" s="139" t="s">
        <v>101</v>
      </c>
      <c r="C24" s="140">
        <f>-SUMIF(Доп.расчеты!$3:$3,Свод!C$4,Доп.расчеты!123:123)</f>
        <v>0</v>
      </c>
      <c r="D24" s="140">
        <f>-SUMIF(Доп.расчеты!$3:$3,Свод!D$4,Доп.расчеты!123:123)</f>
        <v>0</v>
      </c>
      <c r="E24" s="140">
        <f>-SUMIF(Доп.расчеты!$3:$3,Свод!E$4,Доп.расчеты!123:123)</f>
        <v>0</v>
      </c>
      <c r="F24" s="140">
        <f>-SUMIF(Доп.расчеты!$3:$3,Свод!F$4,Доп.расчеты!123:123)</f>
        <v>0</v>
      </c>
      <c r="G24" s="140">
        <f>-SUMIF(Доп.расчеты!$3:$3,Свод!G$4,Доп.расчеты!123:123)</f>
        <v>0</v>
      </c>
      <c r="H24" s="140">
        <f>-SUMIF(Доп.расчеты!$3:$3,Свод!H$4,Доп.расчеты!123:123)</f>
        <v>0</v>
      </c>
      <c r="I24" s="140">
        <f>-SUMIF(Доп.расчеты!$3:$3,Свод!I$4,Доп.расчеты!123:123)</f>
        <v>0</v>
      </c>
      <c r="J24" s="140">
        <f>-SUMIF(Доп.расчеты!$3:$3,Свод!J$4,Доп.расчеты!123:123)</f>
        <v>0</v>
      </c>
      <c r="K24" s="140">
        <f>-SUMIF(Доп.расчеты!$3:$3,Свод!K$4,Доп.расчеты!123:123)</f>
        <v>0</v>
      </c>
      <c r="L24" s="140">
        <f>-SUMIF(Доп.расчеты!$3:$3,Свод!L$4,Доп.расчеты!123:123)</f>
        <v>0</v>
      </c>
      <c r="M24" s="140">
        <f>-SUMIF(Доп.расчеты!$3:$3,Свод!M$4,Доп.расчеты!123:123)</f>
        <v>0</v>
      </c>
    </row>
    <row r="25" spans="2:13" hidden="1" outlineLevel="1">
      <c r="B25" s="139" t="s">
        <v>102</v>
      </c>
      <c r="C25" s="140">
        <f>-SUMIF(Доп.расчеты!$3:$3,Свод!C$4,Доп.расчеты!124:124)</f>
        <v>0</v>
      </c>
      <c r="D25" s="140">
        <f>-SUMIF(Доп.расчеты!$3:$3,Свод!D$4,Доп.расчеты!124:124)</f>
        <v>0</v>
      </c>
      <c r="E25" s="140">
        <f>-SUMIF(Доп.расчеты!$3:$3,Свод!E$4,Доп.расчеты!124:124)</f>
        <v>0</v>
      </c>
      <c r="F25" s="140">
        <f>-SUMIF(Доп.расчеты!$3:$3,Свод!F$4,Доп.расчеты!124:124)</f>
        <v>0</v>
      </c>
      <c r="G25" s="140">
        <f>-SUMIF(Доп.расчеты!$3:$3,Свод!G$4,Доп.расчеты!124:124)</f>
        <v>0</v>
      </c>
      <c r="H25" s="140">
        <f>-SUMIF(Доп.расчеты!$3:$3,Свод!H$4,Доп.расчеты!124:124)</f>
        <v>0</v>
      </c>
      <c r="I25" s="140">
        <f>-SUMIF(Доп.расчеты!$3:$3,Свод!I$4,Доп.расчеты!124:124)</f>
        <v>0</v>
      </c>
      <c r="J25" s="140">
        <f>-SUMIF(Доп.расчеты!$3:$3,Свод!J$4,Доп.расчеты!124:124)</f>
        <v>0</v>
      </c>
      <c r="K25" s="140">
        <f>-SUMIF(Доп.расчеты!$3:$3,Свод!K$4,Доп.расчеты!124:124)</f>
        <v>0</v>
      </c>
      <c r="L25" s="140">
        <f>-SUMIF(Доп.расчеты!$3:$3,Свод!L$4,Доп.расчеты!124:124)</f>
        <v>0</v>
      </c>
      <c r="M25" s="140">
        <f>-SUMIF(Доп.расчеты!$3:$3,Свод!M$4,Доп.расчеты!124:124)</f>
        <v>0</v>
      </c>
    </row>
    <row r="26" spans="2:13" hidden="1" outlineLevel="1">
      <c r="B26" s="139" t="s">
        <v>103</v>
      </c>
      <c r="C26" s="140">
        <f>-SUMIF(Доп.расчеты!$3:$3,Свод!C$4,Доп.расчеты!125:125)</f>
        <v>0</v>
      </c>
      <c r="D26" s="140">
        <f>-SUMIF(Доп.расчеты!$3:$3,Свод!D$4,Доп.расчеты!125:125)</f>
        <v>0</v>
      </c>
      <c r="E26" s="140">
        <f>-SUMIF(Доп.расчеты!$3:$3,Свод!E$4,Доп.расчеты!125:125)</f>
        <v>0</v>
      </c>
      <c r="F26" s="140">
        <f>-SUMIF(Доп.расчеты!$3:$3,Свод!F$4,Доп.расчеты!125:125)</f>
        <v>0</v>
      </c>
      <c r="G26" s="140">
        <f>-SUMIF(Доп.расчеты!$3:$3,Свод!G$4,Доп.расчеты!125:125)</f>
        <v>0</v>
      </c>
      <c r="H26" s="140">
        <f>-SUMIF(Доп.расчеты!$3:$3,Свод!H$4,Доп.расчеты!125:125)</f>
        <v>0</v>
      </c>
      <c r="I26" s="140">
        <f>-SUMIF(Доп.расчеты!$3:$3,Свод!I$4,Доп.расчеты!125:125)</f>
        <v>0</v>
      </c>
      <c r="J26" s="140">
        <f>-SUMIF(Доп.расчеты!$3:$3,Свод!J$4,Доп.расчеты!125:125)</f>
        <v>0</v>
      </c>
      <c r="K26" s="140">
        <f>-SUMIF(Доп.расчеты!$3:$3,Свод!K$4,Доп.расчеты!125:125)</f>
        <v>0</v>
      </c>
      <c r="L26" s="140">
        <f>-SUMIF(Доп.расчеты!$3:$3,Свод!L$4,Доп.расчеты!125:125)</f>
        <v>0</v>
      </c>
      <c r="M26" s="140">
        <f>-SUMIF(Доп.расчеты!$3:$3,Свод!M$4,Доп.расчеты!125:125)</f>
        <v>0</v>
      </c>
    </row>
    <row r="27" spans="2:13" hidden="1" outlineLevel="1">
      <c r="B27" s="139" t="s">
        <v>104</v>
      </c>
      <c r="C27" s="140">
        <f>-SUMIF(Доп.расчеты!$3:$3,Свод!C$4,Доп.расчеты!126:126)</f>
        <v>0</v>
      </c>
      <c r="D27" s="140">
        <f>-SUMIF(Доп.расчеты!$3:$3,Свод!D$4,Доп.расчеты!126:126)</f>
        <v>0</v>
      </c>
      <c r="E27" s="140">
        <f>-SUMIF(Доп.расчеты!$3:$3,Свод!E$4,Доп.расчеты!126:126)</f>
        <v>0</v>
      </c>
      <c r="F27" s="140">
        <f>-SUMIF(Доп.расчеты!$3:$3,Свод!F$4,Доп.расчеты!126:126)</f>
        <v>0</v>
      </c>
      <c r="G27" s="140">
        <f>-SUMIF(Доп.расчеты!$3:$3,Свод!G$4,Доп.расчеты!126:126)</f>
        <v>0</v>
      </c>
      <c r="H27" s="140">
        <f>-SUMIF(Доп.расчеты!$3:$3,Свод!H$4,Доп.расчеты!126:126)</f>
        <v>0</v>
      </c>
      <c r="I27" s="140">
        <f>-SUMIF(Доп.расчеты!$3:$3,Свод!I$4,Доп.расчеты!126:126)</f>
        <v>0</v>
      </c>
      <c r="J27" s="140">
        <f>-SUMIF(Доп.расчеты!$3:$3,Свод!J$4,Доп.расчеты!126:126)</f>
        <v>0</v>
      </c>
      <c r="K27" s="140">
        <f>-SUMIF(Доп.расчеты!$3:$3,Свод!K$4,Доп.расчеты!126:126)</f>
        <v>0</v>
      </c>
      <c r="L27" s="140">
        <f>-SUMIF(Доп.расчеты!$3:$3,Свод!L$4,Доп.расчеты!126:126)</f>
        <v>0</v>
      </c>
      <c r="M27" s="140">
        <f>-SUMIF(Доп.расчеты!$3:$3,Свод!M$4,Доп.расчеты!126:126)</f>
        <v>0</v>
      </c>
    </row>
    <row r="28" spans="2:13" hidden="1" outlineLevel="1">
      <c r="B28" s="139" t="s">
        <v>105</v>
      </c>
      <c r="C28" s="140">
        <f>-SUMIF(Доп.расчеты!$3:$3,Свод!C$4,Доп.расчеты!127:127)</f>
        <v>0</v>
      </c>
      <c r="D28" s="140">
        <f>-SUMIF(Доп.расчеты!$3:$3,Свод!D$4,Доп.расчеты!127:127)</f>
        <v>0</v>
      </c>
      <c r="E28" s="140">
        <f>-SUMIF(Доп.расчеты!$3:$3,Свод!E$4,Доп.расчеты!127:127)</f>
        <v>0</v>
      </c>
      <c r="F28" s="140">
        <f>-SUMIF(Доп.расчеты!$3:$3,Свод!F$4,Доп.расчеты!127:127)</f>
        <v>0</v>
      </c>
      <c r="G28" s="140">
        <f>-SUMIF(Доп.расчеты!$3:$3,Свод!G$4,Доп.расчеты!127:127)</f>
        <v>0</v>
      </c>
      <c r="H28" s="140">
        <f>-SUMIF(Доп.расчеты!$3:$3,Свод!H$4,Доп.расчеты!127:127)</f>
        <v>0</v>
      </c>
      <c r="I28" s="140">
        <f>-SUMIF(Доп.расчеты!$3:$3,Свод!I$4,Доп.расчеты!127:127)</f>
        <v>0</v>
      </c>
      <c r="J28" s="140">
        <f>-SUMIF(Доп.расчеты!$3:$3,Свод!J$4,Доп.расчеты!127:127)</f>
        <v>0</v>
      </c>
      <c r="K28" s="140">
        <f>-SUMIF(Доп.расчеты!$3:$3,Свод!K$4,Доп.расчеты!127:127)</f>
        <v>0</v>
      </c>
      <c r="L28" s="140">
        <f>-SUMIF(Доп.расчеты!$3:$3,Свод!L$4,Доп.расчеты!127:127)</f>
        <v>0</v>
      </c>
      <c r="M28" s="140">
        <f>-SUMIF(Доп.расчеты!$3:$3,Свод!M$4,Доп.расчеты!127:127)</f>
        <v>0</v>
      </c>
    </row>
    <row r="29" spans="2:13" hidden="1" outlineLevel="1">
      <c r="B29" s="139" t="s">
        <v>106</v>
      </c>
      <c r="C29" s="140">
        <f>-SUMIF(Доп.расчеты!$3:$3,Свод!C$4,Доп.расчеты!128:128)</f>
        <v>0</v>
      </c>
      <c r="D29" s="140">
        <f>-SUMIF(Доп.расчеты!$3:$3,Свод!D$4,Доп.расчеты!128:128)</f>
        <v>0</v>
      </c>
      <c r="E29" s="140">
        <f>-SUMIF(Доп.расчеты!$3:$3,Свод!E$4,Доп.расчеты!128:128)</f>
        <v>0</v>
      </c>
      <c r="F29" s="140">
        <f>-SUMIF(Доп.расчеты!$3:$3,Свод!F$4,Доп.расчеты!128:128)</f>
        <v>0</v>
      </c>
      <c r="G29" s="140">
        <f>-SUMIF(Доп.расчеты!$3:$3,Свод!G$4,Доп.расчеты!128:128)</f>
        <v>0</v>
      </c>
      <c r="H29" s="140">
        <f>-SUMIF(Доп.расчеты!$3:$3,Свод!H$4,Доп.расчеты!128:128)</f>
        <v>0</v>
      </c>
      <c r="I29" s="140">
        <f>-SUMIF(Доп.расчеты!$3:$3,Свод!I$4,Доп.расчеты!128:128)</f>
        <v>0</v>
      </c>
      <c r="J29" s="140">
        <f>-SUMIF(Доп.расчеты!$3:$3,Свод!J$4,Доп.расчеты!128:128)</f>
        <v>0</v>
      </c>
      <c r="K29" s="140">
        <f>-SUMIF(Доп.расчеты!$3:$3,Свод!K$4,Доп.расчеты!128:128)</f>
        <v>0</v>
      </c>
      <c r="L29" s="140">
        <f>-SUMIF(Доп.расчеты!$3:$3,Свод!L$4,Доп.расчеты!128:128)</f>
        <v>0</v>
      </c>
      <c r="M29" s="140">
        <f>-SUMIF(Доп.расчеты!$3:$3,Свод!M$4,Доп.расчеты!128:128)</f>
        <v>0</v>
      </c>
    </row>
    <row r="30" spans="2:13" hidden="1" outlineLevel="1">
      <c r="B30" s="139" t="s">
        <v>107</v>
      </c>
      <c r="C30" s="140">
        <f>-SUMIF(Доп.расчеты!$3:$3,Свод!C$4,Доп.расчеты!129:129)</f>
        <v>0</v>
      </c>
      <c r="D30" s="140">
        <f>-SUMIF(Доп.расчеты!$3:$3,Свод!D$4,Доп.расчеты!129:129)</f>
        <v>0</v>
      </c>
      <c r="E30" s="140">
        <f>-SUMIF(Доп.расчеты!$3:$3,Свод!E$4,Доп.расчеты!129:129)</f>
        <v>0</v>
      </c>
      <c r="F30" s="140">
        <f>-SUMIF(Доп.расчеты!$3:$3,Свод!F$4,Доп.расчеты!129:129)</f>
        <v>0</v>
      </c>
      <c r="G30" s="140">
        <f>-SUMIF(Доп.расчеты!$3:$3,Свод!G$4,Доп.расчеты!129:129)</f>
        <v>0</v>
      </c>
      <c r="H30" s="140">
        <f>-SUMIF(Доп.расчеты!$3:$3,Свод!H$4,Доп.расчеты!129:129)</f>
        <v>0</v>
      </c>
      <c r="I30" s="140">
        <f>-SUMIF(Доп.расчеты!$3:$3,Свод!I$4,Доп.расчеты!129:129)</f>
        <v>0</v>
      </c>
      <c r="J30" s="140">
        <f>-SUMIF(Доп.расчеты!$3:$3,Свод!J$4,Доп.расчеты!129:129)</f>
        <v>0</v>
      </c>
      <c r="K30" s="140">
        <f>-SUMIF(Доп.расчеты!$3:$3,Свод!K$4,Доп.расчеты!129:129)</f>
        <v>0</v>
      </c>
      <c r="L30" s="140">
        <f>-SUMIF(Доп.расчеты!$3:$3,Свод!L$4,Доп.расчеты!129:129)</f>
        <v>0</v>
      </c>
      <c r="M30" s="140">
        <f>-SUMIF(Доп.расчеты!$3:$3,Свод!M$4,Доп.расчеты!129:129)</f>
        <v>0</v>
      </c>
    </row>
    <row r="31" spans="2:13" hidden="1" outlineLevel="1">
      <c r="B31" s="139" t="s">
        <v>108</v>
      </c>
      <c r="C31" s="140">
        <f>-SUMIF(Доп.расчеты!$3:$3,Свод!C$4,Доп.расчеты!130:130)</f>
        <v>0</v>
      </c>
      <c r="D31" s="140">
        <f>-SUMIF(Доп.расчеты!$3:$3,Свод!D$4,Доп.расчеты!130:130)</f>
        <v>0</v>
      </c>
      <c r="E31" s="140">
        <f>-SUMIF(Доп.расчеты!$3:$3,Свод!E$4,Доп.расчеты!130:130)</f>
        <v>0</v>
      </c>
      <c r="F31" s="140">
        <f>-SUMIF(Доп.расчеты!$3:$3,Свод!F$4,Доп.расчеты!130:130)</f>
        <v>0</v>
      </c>
      <c r="G31" s="140">
        <f>-SUMIF(Доп.расчеты!$3:$3,Свод!G$4,Доп.расчеты!130:130)</f>
        <v>0</v>
      </c>
      <c r="H31" s="140">
        <f>-SUMIF(Доп.расчеты!$3:$3,Свод!H$4,Доп.расчеты!130:130)</f>
        <v>0</v>
      </c>
      <c r="I31" s="140">
        <f>-SUMIF(Доп.расчеты!$3:$3,Свод!I$4,Доп.расчеты!130:130)</f>
        <v>0</v>
      </c>
      <c r="J31" s="140">
        <f>-SUMIF(Доп.расчеты!$3:$3,Свод!J$4,Доп.расчеты!130:130)</f>
        <v>0</v>
      </c>
      <c r="K31" s="140">
        <f>-SUMIF(Доп.расчеты!$3:$3,Свод!K$4,Доп.расчеты!130:130)</f>
        <v>0</v>
      </c>
      <c r="L31" s="140">
        <f>-SUMIF(Доп.расчеты!$3:$3,Свод!L$4,Доп.расчеты!130:130)</f>
        <v>0</v>
      </c>
      <c r="M31" s="140">
        <f>-SUMIF(Доп.расчеты!$3:$3,Свод!M$4,Доп.расчеты!130:130)</f>
        <v>0</v>
      </c>
    </row>
    <row r="32" spans="2:13" hidden="1" outlineLevel="1">
      <c r="B32" s="139" t="s">
        <v>109</v>
      </c>
      <c r="C32" s="140">
        <f>-SUMIF(Доп.расчеты!$3:$3,Свод!C$4,Доп.расчеты!131:131)</f>
        <v>0</v>
      </c>
      <c r="D32" s="140">
        <f>-SUMIF(Доп.расчеты!$3:$3,Свод!D$4,Доп.расчеты!131:131)</f>
        <v>0</v>
      </c>
      <c r="E32" s="140">
        <f>-SUMIF(Доп.расчеты!$3:$3,Свод!E$4,Доп.расчеты!131:131)</f>
        <v>0</v>
      </c>
      <c r="F32" s="140">
        <f>-SUMIF(Доп.расчеты!$3:$3,Свод!F$4,Доп.расчеты!131:131)</f>
        <v>0</v>
      </c>
      <c r="G32" s="140">
        <f>-SUMIF(Доп.расчеты!$3:$3,Свод!G$4,Доп.расчеты!131:131)</f>
        <v>0</v>
      </c>
      <c r="H32" s="140">
        <f>-SUMIF(Доп.расчеты!$3:$3,Свод!H$4,Доп.расчеты!131:131)</f>
        <v>0</v>
      </c>
      <c r="I32" s="140">
        <f>-SUMIF(Доп.расчеты!$3:$3,Свод!I$4,Доп.расчеты!131:131)</f>
        <v>0</v>
      </c>
      <c r="J32" s="140">
        <f>-SUMIF(Доп.расчеты!$3:$3,Свод!J$4,Доп.расчеты!131:131)</f>
        <v>0</v>
      </c>
      <c r="K32" s="140">
        <f>-SUMIF(Доп.расчеты!$3:$3,Свод!K$4,Доп.расчеты!131:131)</f>
        <v>0</v>
      </c>
      <c r="L32" s="140">
        <f>-SUMIF(Доп.расчеты!$3:$3,Свод!L$4,Доп.расчеты!131:131)</f>
        <v>0</v>
      </c>
      <c r="M32" s="140">
        <f>-SUMIF(Доп.расчеты!$3:$3,Свод!M$4,Доп.расчеты!131:131)</f>
        <v>0</v>
      </c>
    </row>
    <row r="33" spans="2:13" hidden="1" outlineLevel="1">
      <c r="B33" s="139" t="s">
        <v>110</v>
      </c>
      <c r="C33" s="140">
        <f>-SUMIF(Доп.расчеты!$3:$3,Свод!C$4,Доп.расчеты!132:132)</f>
        <v>0</v>
      </c>
      <c r="D33" s="140">
        <f>-SUMIF(Доп.расчеты!$3:$3,Свод!D$4,Доп.расчеты!132:132)</f>
        <v>0</v>
      </c>
      <c r="E33" s="140">
        <f>-SUMIF(Доп.расчеты!$3:$3,Свод!E$4,Доп.расчеты!132:132)</f>
        <v>0</v>
      </c>
      <c r="F33" s="140">
        <f>-SUMIF(Доп.расчеты!$3:$3,Свод!F$4,Доп.расчеты!132:132)</f>
        <v>0</v>
      </c>
      <c r="G33" s="140">
        <f>-SUMIF(Доп.расчеты!$3:$3,Свод!G$4,Доп.расчеты!132:132)</f>
        <v>0</v>
      </c>
      <c r="H33" s="140">
        <f>-SUMIF(Доп.расчеты!$3:$3,Свод!H$4,Доп.расчеты!132:132)</f>
        <v>0</v>
      </c>
      <c r="I33" s="140">
        <f>-SUMIF(Доп.расчеты!$3:$3,Свод!I$4,Доп.расчеты!132:132)</f>
        <v>0</v>
      </c>
      <c r="J33" s="140">
        <f>-SUMIF(Доп.расчеты!$3:$3,Свод!J$4,Доп.расчеты!132:132)</f>
        <v>0</v>
      </c>
      <c r="K33" s="140">
        <f>-SUMIF(Доп.расчеты!$3:$3,Свод!K$4,Доп.расчеты!132:132)</f>
        <v>0</v>
      </c>
      <c r="L33" s="140">
        <f>-SUMIF(Доп.расчеты!$3:$3,Свод!L$4,Доп.расчеты!132:132)</f>
        <v>0</v>
      </c>
      <c r="M33" s="140">
        <f>-SUMIF(Доп.расчеты!$3:$3,Свод!M$4,Доп.расчеты!132:132)</f>
        <v>0</v>
      </c>
    </row>
    <row r="34" spans="2:13" hidden="1" outlineLevel="1">
      <c r="B34" s="139" t="s">
        <v>111</v>
      </c>
      <c r="C34" s="140">
        <f>-SUMIF(Доп.расчеты!$3:$3,Свод!C$4,Доп.расчеты!133:133)</f>
        <v>0</v>
      </c>
      <c r="D34" s="140">
        <f>-SUMIF(Доп.расчеты!$3:$3,Свод!D$4,Доп.расчеты!133:133)</f>
        <v>0</v>
      </c>
      <c r="E34" s="140">
        <f>-SUMIF(Доп.расчеты!$3:$3,Свод!E$4,Доп.расчеты!133:133)</f>
        <v>0</v>
      </c>
      <c r="F34" s="140">
        <f>-SUMIF(Доп.расчеты!$3:$3,Свод!F$4,Доп.расчеты!133:133)</f>
        <v>0</v>
      </c>
      <c r="G34" s="140">
        <f>-SUMIF(Доп.расчеты!$3:$3,Свод!G$4,Доп.расчеты!133:133)</f>
        <v>0</v>
      </c>
      <c r="H34" s="140">
        <f>-SUMIF(Доп.расчеты!$3:$3,Свод!H$4,Доп.расчеты!133:133)</f>
        <v>0</v>
      </c>
      <c r="I34" s="140">
        <f>-SUMIF(Доп.расчеты!$3:$3,Свод!I$4,Доп.расчеты!133:133)</f>
        <v>0</v>
      </c>
      <c r="J34" s="140">
        <f>-SUMIF(Доп.расчеты!$3:$3,Свод!J$4,Доп.расчеты!133:133)</f>
        <v>0</v>
      </c>
      <c r="K34" s="140">
        <f>-SUMIF(Доп.расчеты!$3:$3,Свод!K$4,Доп.расчеты!133:133)</f>
        <v>0</v>
      </c>
      <c r="L34" s="140">
        <f>-SUMIF(Доп.расчеты!$3:$3,Свод!L$4,Доп.расчеты!133:133)</f>
        <v>0</v>
      </c>
      <c r="M34" s="140">
        <f>-SUMIF(Доп.расчеты!$3:$3,Свод!M$4,Доп.расчеты!133:133)</f>
        <v>0</v>
      </c>
    </row>
    <row r="35" spans="2:13" ht="17.25" hidden="1" customHeight="1" collapsed="1">
      <c r="B35" s="141" t="s">
        <v>57</v>
      </c>
      <c r="C35" s="142">
        <f>SUM(C36:C48)</f>
        <v>0</v>
      </c>
      <c r="D35" s="142">
        <f t="shared" ref="D35:I35" si="6">SUM(D36:D48)</f>
        <v>0</v>
      </c>
      <c r="E35" s="142">
        <f>SUM(E36:E48)</f>
        <v>0</v>
      </c>
      <c r="F35" s="142">
        <f t="shared" si="6"/>
        <v>0</v>
      </c>
      <c r="G35" s="142">
        <f t="shared" si="6"/>
        <v>0</v>
      </c>
      <c r="H35" s="142">
        <f t="shared" si="6"/>
        <v>0</v>
      </c>
      <c r="I35" s="142">
        <f t="shared" si="6"/>
        <v>0</v>
      </c>
      <c r="J35" s="142">
        <f t="shared" ref="J35:M35" si="7">SUM(J36:J48)</f>
        <v>0</v>
      </c>
      <c r="K35" s="142">
        <f t="shared" si="7"/>
        <v>0</v>
      </c>
      <c r="L35" s="142">
        <f t="shared" si="7"/>
        <v>0</v>
      </c>
      <c r="M35" s="142">
        <f t="shared" si="7"/>
        <v>0</v>
      </c>
    </row>
    <row r="36" spans="2:13" ht="16" hidden="1" outlineLevel="1" thickTop="1">
      <c r="B36" s="139" t="s">
        <v>23</v>
      </c>
      <c r="C36" s="140">
        <f>-SUMIF(Доп.расчеты!$3:$3,Свод!C$4,Доп.расчеты!135:135)</f>
        <v>0</v>
      </c>
      <c r="D36" s="140">
        <f>-SUMIF(Доп.расчеты!$3:$3,Свод!D$4,Доп.расчеты!135:135)</f>
        <v>0</v>
      </c>
      <c r="E36" s="140">
        <f>-SUMIF(Доп.расчеты!$3:$3,Свод!E$4,Доп.расчеты!135:135)</f>
        <v>0</v>
      </c>
      <c r="F36" s="140">
        <f>-SUMIF(Доп.расчеты!$3:$3,Свод!F$4,Доп.расчеты!135:135)</f>
        <v>0</v>
      </c>
      <c r="G36" s="140">
        <f>-SUMIF(Доп.расчеты!$3:$3,Свод!G$4,Доп.расчеты!135:135)</f>
        <v>0</v>
      </c>
      <c r="H36" s="140">
        <f>-SUMIF(Доп.расчеты!$3:$3,Свод!H$4,Доп.расчеты!135:135)</f>
        <v>0</v>
      </c>
      <c r="I36" s="140">
        <f>-SUMIF(Доп.расчеты!$3:$3,Свод!I$4,Доп.расчеты!135:135)</f>
        <v>0</v>
      </c>
      <c r="J36" s="140">
        <f>-SUMIF(Доп.расчеты!$3:$3,Свод!J$4,Доп.расчеты!135:135)</f>
        <v>0</v>
      </c>
      <c r="K36" s="140">
        <f>-SUMIF(Доп.расчеты!$3:$3,Свод!K$4,Доп.расчеты!135:135)</f>
        <v>0</v>
      </c>
      <c r="L36" s="140">
        <f>-SUMIF(Доп.расчеты!$3:$3,Свод!L$4,Доп.расчеты!135:135)</f>
        <v>0</v>
      </c>
      <c r="M36" s="140">
        <f>-SUMIF(Доп.расчеты!$3:$3,Свод!M$4,Доп.расчеты!135:135)</f>
        <v>0</v>
      </c>
    </row>
    <row r="37" spans="2:13" hidden="1" outlineLevel="1">
      <c r="B37" s="139" t="s">
        <v>64</v>
      </c>
      <c r="C37" s="140">
        <f>-SUMIF(Доп.расчеты!$3:$3,Свод!C$4,Доп.расчеты!136:136)</f>
        <v>0</v>
      </c>
      <c r="D37" s="140">
        <f>-SUMIF(Доп.расчеты!$3:$3,Свод!D$4,Доп.расчеты!136:136)</f>
        <v>0</v>
      </c>
      <c r="E37" s="140">
        <f>-SUMIF(Доп.расчеты!$3:$3,Свод!E$4,Доп.расчеты!136:136)</f>
        <v>0</v>
      </c>
      <c r="F37" s="140">
        <f>-SUMIF(Доп.расчеты!$3:$3,Свод!F$4,Доп.расчеты!136:136)</f>
        <v>0</v>
      </c>
      <c r="G37" s="140">
        <f>-SUMIF(Доп.расчеты!$3:$3,Свод!G$4,Доп.расчеты!136:136)</f>
        <v>0</v>
      </c>
      <c r="H37" s="140">
        <f>-SUMIF(Доп.расчеты!$3:$3,Свод!H$4,Доп.расчеты!136:136)</f>
        <v>0</v>
      </c>
      <c r="I37" s="140">
        <f>-SUMIF(Доп.расчеты!$3:$3,Свод!I$4,Доп.расчеты!136:136)</f>
        <v>0</v>
      </c>
      <c r="J37" s="140">
        <f>-SUMIF(Доп.расчеты!$3:$3,Свод!J$4,Доп.расчеты!136:136)</f>
        <v>0</v>
      </c>
      <c r="K37" s="140">
        <f>-SUMIF(Доп.расчеты!$3:$3,Свод!K$4,Доп.расчеты!136:136)</f>
        <v>0</v>
      </c>
      <c r="L37" s="140">
        <f>-SUMIF(Доп.расчеты!$3:$3,Свод!L$4,Доп.расчеты!136:136)</f>
        <v>0</v>
      </c>
      <c r="M37" s="140">
        <f>-SUMIF(Доп.расчеты!$3:$3,Свод!M$4,Доп.расчеты!136:136)</f>
        <v>0</v>
      </c>
    </row>
    <row r="38" spans="2:13" hidden="1" outlineLevel="1">
      <c r="B38" s="139" t="s">
        <v>113</v>
      </c>
      <c r="C38" s="140">
        <f>-SUMIF(Доп.расчеты!$3:$3,Свод!C$4,Доп.расчеты!137:137)</f>
        <v>0</v>
      </c>
      <c r="D38" s="140">
        <f>-SUMIF(Доп.расчеты!$3:$3,Свод!D$4,Доп.расчеты!137:137)</f>
        <v>0</v>
      </c>
      <c r="E38" s="140">
        <f>-SUMIF(Доп.расчеты!$3:$3,Свод!E$4,Доп.расчеты!137:137)</f>
        <v>0</v>
      </c>
      <c r="F38" s="140">
        <f>-SUMIF(Доп.расчеты!$3:$3,Свод!F$4,Доп.расчеты!137:137)</f>
        <v>0</v>
      </c>
      <c r="G38" s="140">
        <f>-SUMIF(Доп.расчеты!$3:$3,Свод!G$4,Доп.расчеты!137:137)</f>
        <v>0</v>
      </c>
      <c r="H38" s="140">
        <f>-SUMIF(Доп.расчеты!$3:$3,Свод!H$4,Доп.расчеты!137:137)</f>
        <v>0</v>
      </c>
      <c r="I38" s="140">
        <f>-SUMIF(Доп.расчеты!$3:$3,Свод!I$4,Доп.расчеты!137:137)</f>
        <v>0</v>
      </c>
      <c r="J38" s="140">
        <f>-SUMIF(Доп.расчеты!$3:$3,Свод!J$4,Доп.расчеты!137:137)</f>
        <v>0</v>
      </c>
      <c r="K38" s="140">
        <f>-SUMIF(Доп.расчеты!$3:$3,Свод!K$4,Доп.расчеты!137:137)</f>
        <v>0</v>
      </c>
      <c r="L38" s="140">
        <f>-SUMIF(Доп.расчеты!$3:$3,Свод!L$4,Доп.расчеты!137:137)</f>
        <v>0</v>
      </c>
      <c r="M38" s="140">
        <f>-SUMIF(Доп.расчеты!$3:$3,Свод!M$4,Доп.расчеты!137:137)</f>
        <v>0</v>
      </c>
    </row>
    <row r="39" spans="2:13" hidden="1" outlineLevel="1">
      <c r="B39" s="139" t="s">
        <v>114</v>
      </c>
      <c r="C39" s="140">
        <f>-SUMIF(Доп.расчеты!$3:$3,Свод!C$4,Доп.расчеты!138:138)</f>
        <v>0</v>
      </c>
      <c r="D39" s="140">
        <f>-SUMIF(Доп.расчеты!$3:$3,Свод!D$4,Доп.расчеты!138:138)</f>
        <v>0</v>
      </c>
      <c r="E39" s="140">
        <f>-SUMIF(Доп.расчеты!$3:$3,Свод!E$4,Доп.расчеты!138:138)</f>
        <v>0</v>
      </c>
      <c r="F39" s="140">
        <f>-SUMIF(Доп.расчеты!$3:$3,Свод!F$4,Доп.расчеты!138:138)</f>
        <v>0</v>
      </c>
      <c r="G39" s="140">
        <f>-SUMIF(Доп.расчеты!$3:$3,Свод!G$4,Доп.расчеты!138:138)</f>
        <v>0</v>
      </c>
      <c r="H39" s="140">
        <f>-SUMIF(Доп.расчеты!$3:$3,Свод!H$4,Доп.расчеты!138:138)</f>
        <v>0</v>
      </c>
      <c r="I39" s="140">
        <f>-SUMIF(Доп.расчеты!$3:$3,Свод!I$4,Доп.расчеты!138:138)</f>
        <v>0</v>
      </c>
      <c r="J39" s="140">
        <f>-SUMIF(Доп.расчеты!$3:$3,Свод!J$4,Доп.расчеты!138:138)</f>
        <v>0</v>
      </c>
      <c r="K39" s="140">
        <f>-SUMIF(Доп.расчеты!$3:$3,Свод!K$4,Доп.расчеты!138:138)</f>
        <v>0</v>
      </c>
      <c r="L39" s="140">
        <f>-SUMIF(Доп.расчеты!$3:$3,Свод!L$4,Доп.расчеты!138:138)</f>
        <v>0</v>
      </c>
      <c r="M39" s="140">
        <f>-SUMIF(Доп.расчеты!$3:$3,Свод!M$4,Доп.расчеты!138:138)</f>
        <v>0</v>
      </c>
    </row>
    <row r="40" spans="2:13" hidden="1" outlineLevel="1">
      <c r="B40" s="139" t="s">
        <v>115</v>
      </c>
      <c r="C40" s="140">
        <f>-SUMIF(Доп.расчеты!$3:$3,Свод!C$4,Доп.расчеты!139:139)</f>
        <v>0</v>
      </c>
      <c r="D40" s="140">
        <f>-SUMIF(Доп.расчеты!$3:$3,Свод!D$4,Доп.расчеты!139:139)</f>
        <v>0</v>
      </c>
      <c r="E40" s="140">
        <f>-SUMIF(Доп.расчеты!$3:$3,Свод!E$4,Доп.расчеты!139:139)</f>
        <v>0</v>
      </c>
      <c r="F40" s="140">
        <f>-SUMIF(Доп.расчеты!$3:$3,Свод!F$4,Доп.расчеты!139:139)</f>
        <v>0</v>
      </c>
      <c r="G40" s="140">
        <f>-SUMIF(Доп.расчеты!$3:$3,Свод!G$4,Доп.расчеты!139:139)</f>
        <v>0</v>
      </c>
      <c r="H40" s="140">
        <f>-SUMIF(Доп.расчеты!$3:$3,Свод!H$4,Доп.расчеты!139:139)</f>
        <v>0</v>
      </c>
      <c r="I40" s="140">
        <f>-SUMIF(Доп.расчеты!$3:$3,Свод!I$4,Доп.расчеты!139:139)</f>
        <v>0</v>
      </c>
      <c r="J40" s="140">
        <f>-SUMIF(Доп.расчеты!$3:$3,Свод!J$4,Доп.расчеты!139:139)</f>
        <v>0</v>
      </c>
      <c r="K40" s="140">
        <f>-SUMIF(Доп.расчеты!$3:$3,Свод!K$4,Доп.расчеты!139:139)</f>
        <v>0</v>
      </c>
      <c r="L40" s="140">
        <f>-SUMIF(Доп.расчеты!$3:$3,Свод!L$4,Доп.расчеты!139:139)</f>
        <v>0</v>
      </c>
      <c r="M40" s="140">
        <f>-SUMIF(Доп.расчеты!$3:$3,Свод!M$4,Доп.расчеты!139:139)</f>
        <v>0</v>
      </c>
    </row>
    <row r="41" spans="2:13" hidden="1" outlineLevel="1">
      <c r="B41" s="139" t="s">
        <v>11</v>
      </c>
      <c r="C41" s="140">
        <f>-SUMIF(Доп.расчеты!$3:$3,Свод!C$4,Доп.расчеты!140:140)</f>
        <v>0</v>
      </c>
      <c r="D41" s="140">
        <f>-SUMIF(Доп.расчеты!$3:$3,Свод!D$4,Доп.расчеты!140:140)</f>
        <v>0</v>
      </c>
      <c r="E41" s="140">
        <f>-SUMIF(Доп.расчеты!$3:$3,Свод!E$4,Доп.расчеты!140:140)</f>
        <v>0</v>
      </c>
      <c r="F41" s="140">
        <f>-SUMIF(Доп.расчеты!$3:$3,Свод!F$4,Доп.расчеты!140:140)</f>
        <v>0</v>
      </c>
      <c r="G41" s="140">
        <f>-SUMIF(Доп.расчеты!$3:$3,Свод!G$4,Доп.расчеты!140:140)</f>
        <v>0</v>
      </c>
      <c r="H41" s="140">
        <f>-SUMIF(Доп.расчеты!$3:$3,Свод!H$4,Доп.расчеты!140:140)</f>
        <v>0</v>
      </c>
      <c r="I41" s="140">
        <f>-SUMIF(Доп.расчеты!$3:$3,Свод!I$4,Доп.расчеты!140:140)</f>
        <v>0</v>
      </c>
      <c r="J41" s="140">
        <f>-SUMIF(Доп.расчеты!$3:$3,Свод!J$4,Доп.расчеты!140:140)</f>
        <v>0</v>
      </c>
      <c r="K41" s="140">
        <f>-SUMIF(Доп.расчеты!$3:$3,Свод!K$4,Доп.расчеты!140:140)</f>
        <v>0</v>
      </c>
      <c r="L41" s="140">
        <f>-SUMIF(Доп.расчеты!$3:$3,Свод!L$4,Доп.расчеты!140:140)</f>
        <v>0</v>
      </c>
      <c r="M41" s="140">
        <f>-SUMIF(Доп.расчеты!$3:$3,Свод!M$4,Доп.расчеты!140:140)</f>
        <v>0</v>
      </c>
    </row>
    <row r="42" spans="2:13" hidden="1" outlineLevel="1">
      <c r="B42" s="139" t="s">
        <v>12</v>
      </c>
      <c r="C42" s="140">
        <f>-SUMIF(Доп.расчеты!$3:$3,Свод!C$4,Доп.расчеты!141:141)</f>
        <v>0</v>
      </c>
      <c r="D42" s="140">
        <f>-SUMIF(Доп.расчеты!$3:$3,Свод!D$4,Доп.расчеты!141:141)</f>
        <v>0</v>
      </c>
      <c r="E42" s="140">
        <f>-SUMIF(Доп.расчеты!$3:$3,Свод!E$4,Доп.расчеты!141:141)</f>
        <v>0</v>
      </c>
      <c r="F42" s="140">
        <f>-SUMIF(Доп.расчеты!$3:$3,Свод!F$4,Доп.расчеты!141:141)</f>
        <v>0</v>
      </c>
      <c r="G42" s="140">
        <f>-SUMIF(Доп.расчеты!$3:$3,Свод!G$4,Доп.расчеты!141:141)</f>
        <v>0</v>
      </c>
      <c r="H42" s="140">
        <f>-SUMIF(Доп.расчеты!$3:$3,Свод!H$4,Доп.расчеты!141:141)</f>
        <v>0</v>
      </c>
      <c r="I42" s="140">
        <f>-SUMIF(Доп.расчеты!$3:$3,Свод!I$4,Доп.расчеты!141:141)</f>
        <v>0</v>
      </c>
      <c r="J42" s="140">
        <f>-SUMIF(Доп.расчеты!$3:$3,Свод!J$4,Доп.расчеты!141:141)</f>
        <v>0</v>
      </c>
      <c r="K42" s="140">
        <f>-SUMIF(Доп.расчеты!$3:$3,Свод!K$4,Доп.расчеты!141:141)</f>
        <v>0</v>
      </c>
      <c r="L42" s="140">
        <f>-SUMIF(Доп.расчеты!$3:$3,Свод!L$4,Доп.расчеты!141:141)</f>
        <v>0</v>
      </c>
      <c r="M42" s="140">
        <f>-SUMIF(Доп.расчеты!$3:$3,Свод!M$4,Доп.расчеты!141:141)</f>
        <v>0</v>
      </c>
    </row>
    <row r="43" spans="2:13" hidden="1" outlineLevel="1">
      <c r="B43" s="139" t="s">
        <v>116</v>
      </c>
      <c r="C43" s="140">
        <f>-SUMIF(Доп.расчеты!$3:$3,Свод!C$4,Доп.расчеты!142:142)</f>
        <v>0</v>
      </c>
      <c r="D43" s="140">
        <f>-SUMIF(Доп.расчеты!$3:$3,Свод!D$4,Доп.расчеты!142:142)</f>
        <v>0</v>
      </c>
      <c r="E43" s="140">
        <f>-SUMIF(Доп.расчеты!$3:$3,Свод!E$4,Доп.расчеты!142:142)</f>
        <v>0</v>
      </c>
      <c r="F43" s="140">
        <f>-SUMIF(Доп.расчеты!$3:$3,Свод!F$4,Доп.расчеты!142:142)</f>
        <v>0</v>
      </c>
      <c r="G43" s="140">
        <f>-SUMIF(Доп.расчеты!$3:$3,Свод!G$4,Доп.расчеты!142:142)</f>
        <v>0</v>
      </c>
      <c r="H43" s="140">
        <f>-SUMIF(Доп.расчеты!$3:$3,Свод!H$4,Доп.расчеты!142:142)</f>
        <v>0</v>
      </c>
      <c r="I43" s="140">
        <f>-SUMIF(Доп.расчеты!$3:$3,Свод!I$4,Доп.расчеты!142:142)</f>
        <v>0</v>
      </c>
      <c r="J43" s="140">
        <f>-SUMIF(Доп.расчеты!$3:$3,Свод!J$4,Доп.расчеты!142:142)</f>
        <v>0</v>
      </c>
      <c r="K43" s="140">
        <f>-SUMIF(Доп.расчеты!$3:$3,Свод!K$4,Доп.расчеты!142:142)</f>
        <v>0</v>
      </c>
      <c r="L43" s="140">
        <f>-SUMIF(Доп.расчеты!$3:$3,Свод!L$4,Доп.расчеты!142:142)</f>
        <v>0</v>
      </c>
      <c r="M43" s="140">
        <f>-SUMIF(Доп.расчеты!$3:$3,Свод!M$4,Доп.расчеты!142:142)</f>
        <v>0</v>
      </c>
    </row>
    <row r="44" spans="2:13" hidden="1" outlineLevel="1">
      <c r="B44" s="139" t="s">
        <v>24</v>
      </c>
      <c r="C44" s="140">
        <f>-SUMIF(Доп.расчеты!$3:$3,Свод!C$4,Доп.расчеты!143:143)</f>
        <v>0</v>
      </c>
      <c r="D44" s="140">
        <f>-SUMIF(Доп.расчеты!$3:$3,Свод!D$4,Доп.расчеты!143:143)</f>
        <v>0</v>
      </c>
      <c r="E44" s="140">
        <f>-SUMIF(Доп.расчеты!$3:$3,Свод!E$4,Доп.расчеты!143:143)</f>
        <v>0</v>
      </c>
      <c r="F44" s="140">
        <f>-SUMIF(Доп.расчеты!$3:$3,Свод!F$4,Доп.расчеты!143:143)</f>
        <v>0</v>
      </c>
      <c r="G44" s="140">
        <f>-SUMIF(Доп.расчеты!$3:$3,Свод!G$4,Доп.расчеты!143:143)</f>
        <v>0</v>
      </c>
      <c r="H44" s="140">
        <f>-SUMIF(Доп.расчеты!$3:$3,Свод!H$4,Доп.расчеты!143:143)</f>
        <v>0</v>
      </c>
      <c r="I44" s="140">
        <f>-SUMIF(Доп.расчеты!$3:$3,Свод!I$4,Доп.расчеты!143:143)</f>
        <v>0</v>
      </c>
      <c r="J44" s="140">
        <f>-SUMIF(Доп.расчеты!$3:$3,Свод!J$4,Доп.расчеты!143:143)</f>
        <v>0</v>
      </c>
      <c r="K44" s="140">
        <f>-SUMIF(Доп.расчеты!$3:$3,Свод!K$4,Доп.расчеты!143:143)</f>
        <v>0</v>
      </c>
      <c r="L44" s="140">
        <f>-SUMIF(Доп.расчеты!$3:$3,Свод!L$4,Доп.расчеты!143:143)</f>
        <v>0</v>
      </c>
      <c r="M44" s="140">
        <f>-SUMIF(Доп.расчеты!$3:$3,Свод!M$4,Доп.расчеты!143:143)</f>
        <v>0</v>
      </c>
    </row>
    <row r="45" spans="2:13" hidden="1" outlineLevel="1">
      <c r="B45" s="139" t="s">
        <v>25</v>
      </c>
      <c r="C45" s="140">
        <f>-SUMIF(Доп.расчеты!$3:$3,Свод!C$4,Доп.расчеты!144:144)</f>
        <v>0</v>
      </c>
      <c r="D45" s="140">
        <f>-SUMIF(Доп.расчеты!$3:$3,Свод!D$4,Доп.расчеты!144:144)</f>
        <v>0</v>
      </c>
      <c r="E45" s="140">
        <f>-SUMIF(Доп.расчеты!$3:$3,Свод!E$4,Доп.расчеты!144:144)</f>
        <v>0</v>
      </c>
      <c r="F45" s="140">
        <f>-SUMIF(Доп.расчеты!$3:$3,Свод!F$4,Доп.расчеты!144:144)</f>
        <v>0</v>
      </c>
      <c r="G45" s="140">
        <f>-SUMIF(Доп.расчеты!$3:$3,Свод!G$4,Доп.расчеты!144:144)</f>
        <v>0</v>
      </c>
      <c r="H45" s="140">
        <f>-SUMIF(Доп.расчеты!$3:$3,Свод!H$4,Доп.расчеты!144:144)</f>
        <v>0</v>
      </c>
      <c r="I45" s="140">
        <f>-SUMIF(Доп.расчеты!$3:$3,Свод!I$4,Доп.расчеты!144:144)</f>
        <v>0</v>
      </c>
      <c r="J45" s="140">
        <f>-SUMIF(Доп.расчеты!$3:$3,Свод!J$4,Доп.расчеты!144:144)</f>
        <v>0</v>
      </c>
      <c r="K45" s="140">
        <f>-SUMIF(Доп.расчеты!$3:$3,Свод!K$4,Доп.расчеты!144:144)</f>
        <v>0</v>
      </c>
      <c r="L45" s="140">
        <f>-SUMIF(Доп.расчеты!$3:$3,Свод!L$4,Доп.расчеты!144:144)</f>
        <v>0</v>
      </c>
      <c r="M45" s="140">
        <f>-SUMIF(Доп.расчеты!$3:$3,Свод!M$4,Доп.расчеты!144:144)</f>
        <v>0</v>
      </c>
    </row>
    <row r="46" spans="2:13" hidden="1" outlineLevel="1">
      <c r="B46" s="139" t="s">
        <v>14</v>
      </c>
      <c r="C46" s="140">
        <f>-SUMIF(Доп.расчеты!$3:$3,Свод!C$4,Доп.расчеты!145:145)</f>
        <v>0</v>
      </c>
      <c r="D46" s="140">
        <f>-SUMIF(Доп.расчеты!$3:$3,Свод!D$4,Доп.расчеты!145:145)</f>
        <v>0</v>
      </c>
      <c r="E46" s="140">
        <f>-SUMIF(Доп.расчеты!$3:$3,Свод!E$4,Доп.расчеты!145:145)</f>
        <v>0</v>
      </c>
      <c r="F46" s="140">
        <f>-SUMIF(Доп.расчеты!$3:$3,Свод!F$4,Доп.расчеты!145:145)</f>
        <v>0</v>
      </c>
      <c r="G46" s="140">
        <f>-SUMIF(Доп.расчеты!$3:$3,Свод!G$4,Доп.расчеты!145:145)</f>
        <v>0</v>
      </c>
      <c r="H46" s="140">
        <f>-SUMIF(Доп.расчеты!$3:$3,Свод!H$4,Доп.расчеты!145:145)</f>
        <v>0</v>
      </c>
      <c r="I46" s="140">
        <f>-SUMIF(Доп.расчеты!$3:$3,Свод!I$4,Доп.расчеты!145:145)</f>
        <v>0</v>
      </c>
      <c r="J46" s="140">
        <f>-SUMIF(Доп.расчеты!$3:$3,Свод!J$4,Доп.расчеты!145:145)</f>
        <v>0</v>
      </c>
      <c r="K46" s="140">
        <f>-SUMIF(Доп.расчеты!$3:$3,Свод!K$4,Доп.расчеты!145:145)</f>
        <v>0</v>
      </c>
      <c r="L46" s="140">
        <f>-SUMIF(Доп.расчеты!$3:$3,Свод!L$4,Доп.расчеты!145:145)</f>
        <v>0</v>
      </c>
      <c r="M46" s="140">
        <f>-SUMIF(Доп.расчеты!$3:$3,Свод!M$4,Доп.расчеты!145:145)</f>
        <v>0</v>
      </c>
    </row>
    <row r="47" spans="2:13" hidden="1" outlineLevel="1">
      <c r="B47" s="139" t="s">
        <v>117</v>
      </c>
      <c r="C47" s="140">
        <f>-SUMIF(Доп.расчеты!$3:$3,Свод!C$4,Доп.расчеты!146:146)</f>
        <v>0</v>
      </c>
      <c r="D47" s="140">
        <f>-SUMIF(Доп.расчеты!$3:$3,Свод!D$4,Доп.расчеты!146:146)</f>
        <v>0</v>
      </c>
      <c r="E47" s="140">
        <f>-SUMIF(Доп.расчеты!$3:$3,Свод!E$4,Доп.расчеты!146:146)</f>
        <v>0</v>
      </c>
      <c r="F47" s="140">
        <f>-SUMIF(Доп.расчеты!$3:$3,Свод!F$4,Доп.расчеты!146:146)</f>
        <v>0</v>
      </c>
      <c r="G47" s="140">
        <f>-SUMIF(Доп.расчеты!$3:$3,Свод!G$4,Доп.расчеты!146:146)</f>
        <v>0</v>
      </c>
      <c r="H47" s="140">
        <f>-SUMIF(Доп.расчеты!$3:$3,Свод!H$4,Доп.расчеты!146:146)</f>
        <v>0</v>
      </c>
      <c r="I47" s="140">
        <f>-SUMIF(Доп.расчеты!$3:$3,Свод!I$4,Доп.расчеты!146:146)</f>
        <v>0</v>
      </c>
      <c r="J47" s="140">
        <f>-SUMIF(Доп.расчеты!$3:$3,Свод!J$4,Доп.расчеты!146:146)</f>
        <v>0</v>
      </c>
      <c r="K47" s="140">
        <f>-SUMIF(Доп.расчеты!$3:$3,Свод!K$4,Доп.расчеты!146:146)</f>
        <v>0</v>
      </c>
      <c r="L47" s="140">
        <f>-SUMIF(Доп.расчеты!$3:$3,Свод!L$4,Доп.расчеты!146:146)</f>
        <v>0</v>
      </c>
      <c r="M47" s="140">
        <f>-SUMIF(Доп.расчеты!$3:$3,Свод!M$4,Доп.расчеты!146:146)</f>
        <v>0</v>
      </c>
    </row>
    <row r="48" spans="2:13" hidden="1" outlineLevel="1">
      <c r="B48" s="139" t="s">
        <v>118</v>
      </c>
      <c r="C48" s="140">
        <f>-SUMIF(Доп.расчеты!$3:$3,Свод!C$4,Доп.расчеты!147:147)</f>
        <v>0</v>
      </c>
      <c r="D48" s="140">
        <f>-SUMIF(Доп.расчеты!$3:$3,Свод!D$4,Доп.расчеты!147:147)</f>
        <v>0</v>
      </c>
      <c r="E48" s="140">
        <f>-SUMIF(Доп.расчеты!$3:$3,Свод!E$4,Доп.расчеты!147:147)</f>
        <v>0</v>
      </c>
      <c r="F48" s="140">
        <f>-SUMIF(Доп.расчеты!$3:$3,Свод!F$4,Доп.расчеты!147:147)</f>
        <v>0</v>
      </c>
      <c r="G48" s="140">
        <f>-SUMIF(Доп.расчеты!$3:$3,Свод!G$4,Доп.расчеты!147:147)</f>
        <v>0</v>
      </c>
      <c r="H48" s="140">
        <f>-SUMIF(Доп.расчеты!$3:$3,Свод!H$4,Доп.расчеты!147:147)</f>
        <v>0</v>
      </c>
      <c r="I48" s="140">
        <f>-SUMIF(Доп.расчеты!$3:$3,Свод!I$4,Доп.расчеты!147:147)</f>
        <v>0</v>
      </c>
      <c r="J48" s="140">
        <f>-SUMIF(Доп.расчеты!$3:$3,Свод!J$4,Доп.расчеты!147:147)</f>
        <v>0</v>
      </c>
      <c r="K48" s="140">
        <f>-SUMIF(Доп.расчеты!$3:$3,Свод!K$4,Доп.расчеты!147:147)</f>
        <v>0</v>
      </c>
      <c r="L48" s="140">
        <f>-SUMIF(Доп.расчеты!$3:$3,Свод!L$4,Доп.расчеты!147:147)</f>
        <v>0</v>
      </c>
      <c r="M48" s="140">
        <f>-SUMIF(Доп.расчеты!$3:$3,Свод!M$4,Доп.расчеты!147:147)</f>
        <v>0</v>
      </c>
    </row>
    <row r="49" spans="2:13" ht="17" hidden="1" collapsed="1" thickTop="1">
      <c r="B49" s="143" t="s">
        <v>132</v>
      </c>
      <c r="C49" s="144"/>
      <c r="D49" s="144"/>
      <c r="E49" s="144"/>
      <c r="F49" s="144"/>
      <c r="G49" s="144"/>
      <c r="H49" s="144"/>
      <c r="I49" s="144"/>
      <c r="J49" s="144"/>
      <c r="K49" s="144"/>
      <c r="L49" s="144"/>
      <c r="M49" s="144"/>
    </row>
    <row r="50" spans="2:13" ht="18.5" hidden="1" customHeight="1" collapsed="1">
      <c r="B50" s="137" t="s">
        <v>56</v>
      </c>
      <c r="C50" s="138">
        <f>SUMIF('Как есть'!$12:$12,Свод!C4,'Как есть'!$44:$44)</f>
        <v>0</v>
      </c>
      <c r="D50" s="138">
        <f>SUMIF('Как есть'!$12:$12,Свод!D4,'Как есть'!$44:$44)</f>
        <v>0</v>
      </c>
      <c r="E50" s="138">
        <f>SUMIF('Как есть'!$12:$12,Свод!E4,'Как есть'!$44:$44)</f>
        <v>0</v>
      </c>
      <c r="F50" s="138">
        <f>SUMIF('Как есть'!$12:$12,Свод!F4,'Как есть'!$44:$44)</f>
        <v>0</v>
      </c>
      <c r="G50" s="138">
        <f>SUMIF('Как есть'!$12:$12,Свод!G4,'Как есть'!$44:$44)</f>
        <v>0</v>
      </c>
      <c r="H50" s="138">
        <f>SUMIF('Как есть'!$12:$12,Свод!H4,'Как есть'!$44:$44)</f>
        <v>0</v>
      </c>
      <c r="I50" s="138">
        <f>SUMIF('Как есть'!$12:$12,Свод!I4,'Как есть'!$44:$44)</f>
        <v>0</v>
      </c>
      <c r="J50" s="138">
        <f>SUMIF('Как есть'!$12:$12,Свод!J4,'Как есть'!$44:$44)</f>
        <v>0</v>
      </c>
      <c r="K50" s="138">
        <f>SUMIF('Как есть'!$12:$12,Свод!K4,'Как есть'!$44:$44)</f>
        <v>0</v>
      </c>
      <c r="L50" s="138">
        <f>SUMIF('Как есть'!$12:$12,Свод!L4,'Как есть'!$44:$44)</f>
        <v>0</v>
      </c>
      <c r="M50" s="138">
        <f>SUMIF('Как есть'!$12:$12,Свод!M4,'Как есть'!$44:$44)</f>
        <v>0</v>
      </c>
    </row>
    <row r="51" spans="2:13" ht="16" hidden="1" outlineLevel="1" thickTop="1">
      <c r="B51" s="139" t="s">
        <v>88</v>
      </c>
      <c r="C51" s="140">
        <f>-SUMIF(Доп.расчеты!$3:$3,Свод!C$4,Доп.расчеты!152:152)</f>
        <v>0</v>
      </c>
      <c r="D51" s="140">
        <f>-SUMIF(Доп.расчеты!$3:$3,Свод!D$4,Доп.расчеты!152:152)</f>
        <v>0</v>
      </c>
      <c r="E51" s="140">
        <f>-SUMIF(Доп.расчеты!$3:$3,Свод!E$4,Доп.расчеты!152:152)</f>
        <v>0</v>
      </c>
      <c r="F51" s="140">
        <f>-SUMIF(Доп.расчеты!$3:$3,Свод!F$4,Доп.расчеты!152:152)</f>
        <v>0</v>
      </c>
      <c r="G51" s="140">
        <f>-SUMIF(Доп.расчеты!$3:$3,Свод!G$4,Доп.расчеты!152:152)</f>
        <v>0</v>
      </c>
      <c r="H51" s="140">
        <f>-SUMIF(Доп.расчеты!$3:$3,Свод!H$4,Доп.расчеты!152:152)</f>
        <v>0</v>
      </c>
      <c r="I51" s="140">
        <f>-SUMIF(Доп.расчеты!$3:$3,Свод!I$4,Доп.расчеты!152:152)</f>
        <v>0</v>
      </c>
      <c r="J51" s="140">
        <f>-SUMIF(Доп.расчеты!$3:$3,Свод!J$4,Доп.расчеты!152:152)</f>
        <v>0</v>
      </c>
      <c r="K51" s="140">
        <f>-SUMIF(Доп.расчеты!$3:$3,Свод!K$4,Доп.расчеты!152:152)</f>
        <v>0</v>
      </c>
      <c r="L51" s="140">
        <f>-SUMIF(Доп.расчеты!$3:$3,Свод!L$4,Доп.расчеты!152:152)</f>
        <v>0</v>
      </c>
      <c r="M51" s="140">
        <f>-SUMIF(Доп.расчеты!$3:$3,Свод!M$4,Доп.расчеты!152:152)</f>
        <v>0</v>
      </c>
    </row>
    <row r="52" spans="2:13" hidden="1" outlineLevel="1">
      <c r="B52" s="139" t="s">
        <v>89</v>
      </c>
      <c r="C52" s="140">
        <f>-SUMIF(Доп.расчеты!$3:$3,Свод!C$4,Доп.расчеты!153:153)</f>
        <v>0</v>
      </c>
      <c r="D52" s="140">
        <f>-SUMIF(Доп.расчеты!$3:$3,Свод!D$4,Доп.расчеты!153:153)</f>
        <v>0</v>
      </c>
      <c r="E52" s="140">
        <f>-SUMIF(Доп.расчеты!$3:$3,Свод!E$4,Доп.расчеты!153:153)</f>
        <v>0</v>
      </c>
      <c r="F52" s="140">
        <f>-SUMIF(Доп.расчеты!$3:$3,Свод!F$4,Доп.расчеты!153:153)</f>
        <v>0</v>
      </c>
      <c r="G52" s="140">
        <f>-SUMIF(Доп.расчеты!$3:$3,Свод!G$4,Доп.расчеты!153:153)</f>
        <v>0</v>
      </c>
      <c r="H52" s="140">
        <f>-SUMIF(Доп.расчеты!$3:$3,Свод!H$4,Доп.расчеты!153:153)</f>
        <v>0</v>
      </c>
      <c r="I52" s="140">
        <f>-SUMIF(Доп.расчеты!$3:$3,Свод!I$4,Доп.расчеты!153:153)</f>
        <v>0</v>
      </c>
      <c r="J52" s="140">
        <f>-SUMIF(Доп.расчеты!$3:$3,Свод!J$4,Доп.расчеты!153:153)</f>
        <v>0</v>
      </c>
      <c r="K52" s="140">
        <f>-SUMIF(Доп.расчеты!$3:$3,Свод!K$4,Доп.расчеты!153:153)</f>
        <v>0</v>
      </c>
      <c r="L52" s="140">
        <f>-SUMIF(Доп.расчеты!$3:$3,Свод!L$4,Доп.расчеты!153:153)</f>
        <v>0</v>
      </c>
      <c r="M52" s="140">
        <f>-SUMIF(Доп.расчеты!$3:$3,Свод!M$4,Доп.расчеты!153:153)</f>
        <v>0</v>
      </c>
    </row>
    <row r="53" spans="2:13" hidden="1" outlineLevel="1">
      <c r="B53" s="139" t="s">
        <v>90</v>
      </c>
      <c r="C53" s="140">
        <f>-SUMIF(Доп.расчеты!$3:$3,Свод!C$4,Доп.расчеты!154:154)</f>
        <v>0</v>
      </c>
      <c r="D53" s="140">
        <f>-SUMIF(Доп.расчеты!$3:$3,Свод!D$4,Доп.расчеты!154:154)</f>
        <v>0</v>
      </c>
      <c r="E53" s="140">
        <f>-SUMIF(Доп.расчеты!$3:$3,Свод!E$4,Доп.расчеты!154:154)</f>
        <v>0</v>
      </c>
      <c r="F53" s="140">
        <f>-SUMIF(Доп.расчеты!$3:$3,Свод!F$4,Доп.расчеты!154:154)</f>
        <v>0</v>
      </c>
      <c r="G53" s="140">
        <f>-SUMIF(Доп.расчеты!$3:$3,Свод!G$4,Доп.расчеты!154:154)</f>
        <v>0</v>
      </c>
      <c r="H53" s="140">
        <f>-SUMIF(Доп.расчеты!$3:$3,Свод!H$4,Доп.расчеты!154:154)</f>
        <v>0</v>
      </c>
      <c r="I53" s="140">
        <f>-SUMIF(Доп.расчеты!$3:$3,Свод!I$4,Доп.расчеты!154:154)</f>
        <v>0</v>
      </c>
      <c r="J53" s="140">
        <f>-SUMIF(Доп.расчеты!$3:$3,Свод!J$4,Доп.расчеты!154:154)</f>
        <v>0</v>
      </c>
      <c r="K53" s="140">
        <f>-SUMIF(Доп.расчеты!$3:$3,Свод!K$4,Доп.расчеты!154:154)</f>
        <v>0</v>
      </c>
      <c r="L53" s="140">
        <f>-SUMIF(Доп.расчеты!$3:$3,Свод!L$4,Доп.расчеты!154:154)</f>
        <v>0</v>
      </c>
      <c r="M53" s="140">
        <f>-SUMIF(Доп.расчеты!$3:$3,Свод!M$4,Доп.расчеты!154:154)</f>
        <v>0</v>
      </c>
    </row>
    <row r="54" spans="2:13" hidden="1" outlineLevel="1">
      <c r="B54" s="139" t="s">
        <v>91</v>
      </c>
      <c r="C54" s="140">
        <f>-SUMIF(Доп.расчеты!$3:$3,Свод!C$4,Доп.расчеты!155:155)</f>
        <v>0</v>
      </c>
      <c r="D54" s="140">
        <f>-SUMIF(Доп.расчеты!$3:$3,Свод!D$4,Доп.расчеты!155:155)</f>
        <v>0</v>
      </c>
      <c r="E54" s="140">
        <f>-SUMIF(Доп.расчеты!$3:$3,Свод!E$4,Доп.расчеты!155:155)</f>
        <v>0</v>
      </c>
      <c r="F54" s="140">
        <f>-SUMIF(Доп.расчеты!$3:$3,Свод!F$4,Доп.расчеты!155:155)</f>
        <v>0</v>
      </c>
      <c r="G54" s="140">
        <f>-SUMIF(Доп.расчеты!$3:$3,Свод!G$4,Доп.расчеты!155:155)</f>
        <v>0</v>
      </c>
      <c r="H54" s="140">
        <f>-SUMIF(Доп.расчеты!$3:$3,Свод!H$4,Доп.расчеты!155:155)</f>
        <v>0</v>
      </c>
      <c r="I54" s="140">
        <f>-SUMIF(Доп.расчеты!$3:$3,Свод!I$4,Доп.расчеты!155:155)</f>
        <v>0</v>
      </c>
      <c r="J54" s="140">
        <f>-SUMIF(Доп.расчеты!$3:$3,Свод!J$4,Доп.расчеты!155:155)</f>
        <v>0</v>
      </c>
      <c r="K54" s="140">
        <f>-SUMIF(Доп.расчеты!$3:$3,Свод!K$4,Доп.расчеты!155:155)</f>
        <v>0</v>
      </c>
      <c r="L54" s="140">
        <f>-SUMIF(Доп.расчеты!$3:$3,Свод!L$4,Доп.расчеты!155:155)</f>
        <v>0</v>
      </c>
      <c r="M54" s="140">
        <f>-SUMIF(Доп.расчеты!$3:$3,Свод!M$4,Доп.расчеты!155:155)</f>
        <v>0</v>
      </c>
    </row>
    <row r="55" spans="2:13" hidden="1" outlineLevel="1">
      <c r="B55" s="139" t="s">
        <v>92</v>
      </c>
      <c r="C55" s="140">
        <f>-SUMIF(Доп.расчеты!$3:$3,Свод!C$4,Доп.расчеты!156:156)</f>
        <v>0</v>
      </c>
      <c r="D55" s="140">
        <f>-SUMIF(Доп.расчеты!$3:$3,Свод!D$4,Доп.расчеты!156:156)</f>
        <v>0</v>
      </c>
      <c r="E55" s="140">
        <f>-SUMIF(Доп.расчеты!$3:$3,Свод!E$4,Доп.расчеты!156:156)</f>
        <v>0</v>
      </c>
      <c r="F55" s="140">
        <f>-SUMIF(Доп.расчеты!$3:$3,Свод!F$4,Доп.расчеты!156:156)</f>
        <v>0</v>
      </c>
      <c r="G55" s="140">
        <f>-SUMIF(Доп.расчеты!$3:$3,Свод!G$4,Доп.расчеты!156:156)</f>
        <v>0</v>
      </c>
      <c r="H55" s="140">
        <f>-SUMIF(Доп.расчеты!$3:$3,Свод!H$4,Доп.расчеты!156:156)</f>
        <v>0</v>
      </c>
      <c r="I55" s="140">
        <f>-SUMIF(Доп.расчеты!$3:$3,Свод!I$4,Доп.расчеты!156:156)</f>
        <v>0</v>
      </c>
      <c r="J55" s="140">
        <f>-SUMIF(Доп.расчеты!$3:$3,Свод!J$4,Доп.расчеты!156:156)</f>
        <v>0</v>
      </c>
      <c r="K55" s="140">
        <f>-SUMIF(Доп.расчеты!$3:$3,Свод!K$4,Доп.расчеты!156:156)</f>
        <v>0</v>
      </c>
      <c r="L55" s="140">
        <f>-SUMIF(Доп.расчеты!$3:$3,Свод!L$4,Доп.расчеты!156:156)</f>
        <v>0</v>
      </c>
      <c r="M55" s="140">
        <f>-SUMIF(Доп.расчеты!$3:$3,Свод!M$4,Доп.расчеты!156:156)</f>
        <v>0</v>
      </c>
    </row>
    <row r="56" spans="2:13" hidden="1" outlineLevel="1">
      <c r="B56" s="139" t="s">
        <v>93</v>
      </c>
      <c r="C56" s="140">
        <f>-SUMIF(Доп.расчеты!$3:$3,Свод!C$4,Доп.расчеты!157:157)</f>
        <v>0</v>
      </c>
      <c r="D56" s="140">
        <f>-SUMIF(Доп.расчеты!$3:$3,Свод!D$4,Доп.расчеты!157:157)</f>
        <v>0</v>
      </c>
      <c r="E56" s="140">
        <f>-SUMIF(Доп.расчеты!$3:$3,Свод!E$4,Доп.расчеты!157:157)</f>
        <v>0</v>
      </c>
      <c r="F56" s="140">
        <f>-SUMIF(Доп.расчеты!$3:$3,Свод!F$4,Доп.расчеты!157:157)</f>
        <v>0</v>
      </c>
      <c r="G56" s="140">
        <f>-SUMIF(Доп.расчеты!$3:$3,Свод!G$4,Доп.расчеты!157:157)</f>
        <v>0</v>
      </c>
      <c r="H56" s="140">
        <f>-SUMIF(Доп.расчеты!$3:$3,Свод!H$4,Доп.расчеты!157:157)</f>
        <v>0</v>
      </c>
      <c r="I56" s="140">
        <f>-SUMIF(Доп.расчеты!$3:$3,Свод!I$4,Доп.расчеты!157:157)</f>
        <v>0</v>
      </c>
      <c r="J56" s="140">
        <f>-SUMIF(Доп.расчеты!$3:$3,Свод!J$4,Доп.расчеты!157:157)</f>
        <v>0</v>
      </c>
      <c r="K56" s="140">
        <f>-SUMIF(Доп.расчеты!$3:$3,Свод!K$4,Доп.расчеты!157:157)</f>
        <v>0</v>
      </c>
      <c r="L56" s="140">
        <f>-SUMIF(Доп.расчеты!$3:$3,Свод!L$4,Доп.расчеты!157:157)</f>
        <v>0</v>
      </c>
      <c r="M56" s="140">
        <f>-SUMIF(Доп.расчеты!$3:$3,Свод!M$4,Доп.расчеты!157:157)</f>
        <v>0</v>
      </c>
    </row>
    <row r="57" spans="2:13" hidden="1" outlineLevel="1">
      <c r="B57" s="139" t="s">
        <v>94</v>
      </c>
      <c r="C57" s="140">
        <f>-SUMIF(Доп.расчеты!$3:$3,Свод!C$4,Доп.расчеты!158:158)</f>
        <v>0</v>
      </c>
      <c r="D57" s="140">
        <f>-SUMIF(Доп.расчеты!$3:$3,Свод!D$4,Доп.расчеты!158:158)</f>
        <v>0</v>
      </c>
      <c r="E57" s="140">
        <f>-SUMIF(Доп.расчеты!$3:$3,Свод!E$4,Доп.расчеты!158:158)</f>
        <v>0</v>
      </c>
      <c r="F57" s="140">
        <f>-SUMIF(Доп.расчеты!$3:$3,Свод!F$4,Доп.расчеты!158:158)</f>
        <v>0</v>
      </c>
      <c r="G57" s="140">
        <f>-SUMIF(Доп.расчеты!$3:$3,Свод!G$4,Доп.расчеты!158:158)</f>
        <v>0</v>
      </c>
      <c r="H57" s="140">
        <f>-SUMIF(Доп.расчеты!$3:$3,Свод!H$4,Доп.расчеты!158:158)</f>
        <v>0</v>
      </c>
      <c r="I57" s="140">
        <f>-SUMIF(Доп.расчеты!$3:$3,Свод!I$4,Доп.расчеты!158:158)</f>
        <v>0</v>
      </c>
      <c r="J57" s="140">
        <f>-SUMIF(Доп.расчеты!$3:$3,Свод!J$4,Доп.расчеты!158:158)</f>
        <v>0</v>
      </c>
      <c r="K57" s="140">
        <f>-SUMIF(Доп.расчеты!$3:$3,Свод!K$4,Доп.расчеты!158:158)</f>
        <v>0</v>
      </c>
      <c r="L57" s="140">
        <f>-SUMIF(Доп.расчеты!$3:$3,Свод!L$4,Доп.расчеты!158:158)</f>
        <v>0</v>
      </c>
      <c r="M57" s="140">
        <f>-SUMIF(Доп.расчеты!$3:$3,Свод!M$4,Доп.расчеты!158:158)</f>
        <v>0</v>
      </c>
    </row>
    <row r="58" spans="2:13" hidden="1" outlineLevel="1">
      <c r="B58" s="139" t="s">
        <v>95</v>
      </c>
      <c r="C58" s="140">
        <f>-SUMIF(Доп.расчеты!$3:$3,Свод!C$4,Доп.расчеты!159:159)</f>
        <v>0</v>
      </c>
      <c r="D58" s="140">
        <f>-SUMIF(Доп.расчеты!$3:$3,Свод!D$4,Доп.расчеты!159:159)</f>
        <v>0</v>
      </c>
      <c r="E58" s="140">
        <f>-SUMIF(Доп.расчеты!$3:$3,Свод!E$4,Доп.расчеты!159:159)</f>
        <v>0</v>
      </c>
      <c r="F58" s="140">
        <f>-SUMIF(Доп.расчеты!$3:$3,Свод!F$4,Доп.расчеты!159:159)</f>
        <v>0</v>
      </c>
      <c r="G58" s="140">
        <f>-SUMIF(Доп.расчеты!$3:$3,Свод!G$4,Доп.расчеты!159:159)</f>
        <v>0</v>
      </c>
      <c r="H58" s="140">
        <f>-SUMIF(Доп.расчеты!$3:$3,Свод!H$4,Доп.расчеты!159:159)</f>
        <v>0</v>
      </c>
      <c r="I58" s="140">
        <f>-SUMIF(Доп.расчеты!$3:$3,Свод!I$4,Доп.расчеты!159:159)</f>
        <v>0</v>
      </c>
      <c r="J58" s="140">
        <f>-SUMIF(Доп.расчеты!$3:$3,Свод!J$4,Доп.расчеты!159:159)</f>
        <v>0</v>
      </c>
      <c r="K58" s="140">
        <f>-SUMIF(Доп.расчеты!$3:$3,Свод!K$4,Доп.расчеты!159:159)</f>
        <v>0</v>
      </c>
      <c r="L58" s="140">
        <f>-SUMIF(Доп.расчеты!$3:$3,Свод!L$4,Доп.расчеты!159:159)</f>
        <v>0</v>
      </c>
      <c r="M58" s="140">
        <f>-SUMIF(Доп.расчеты!$3:$3,Свод!M$4,Доп.расчеты!159:159)</f>
        <v>0</v>
      </c>
    </row>
    <row r="59" spans="2:13" hidden="1" outlineLevel="1">
      <c r="B59" s="139" t="s">
        <v>96</v>
      </c>
      <c r="C59" s="140">
        <f>-SUMIF(Доп.расчеты!$3:$3,Свод!C$4,Доп.расчеты!160:160)</f>
        <v>0</v>
      </c>
      <c r="D59" s="140">
        <f>-SUMIF(Доп.расчеты!$3:$3,Свод!D$4,Доп.расчеты!160:160)</f>
        <v>0</v>
      </c>
      <c r="E59" s="140">
        <f>-SUMIF(Доп.расчеты!$3:$3,Свод!E$4,Доп.расчеты!160:160)</f>
        <v>0</v>
      </c>
      <c r="F59" s="140">
        <f>-SUMIF(Доп.расчеты!$3:$3,Свод!F$4,Доп.расчеты!160:160)</f>
        <v>0</v>
      </c>
      <c r="G59" s="140">
        <f>-SUMIF(Доп.расчеты!$3:$3,Свод!G$4,Доп.расчеты!160:160)</f>
        <v>0</v>
      </c>
      <c r="H59" s="140">
        <f>-SUMIF(Доп.расчеты!$3:$3,Свод!H$4,Доп.расчеты!160:160)</f>
        <v>0</v>
      </c>
      <c r="I59" s="140">
        <f>-SUMIF(Доп.расчеты!$3:$3,Свод!I$4,Доп.расчеты!160:160)</f>
        <v>0</v>
      </c>
      <c r="J59" s="140">
        <f>-SUMIF(Доп.расчеты!$3:$3,Свод!J$4,Доп.расчеты!160:160)</f>
        <v>0</v>
      </c>
      <c r="K59" s="140">
        <f>-SUMIF(Доп.расчеты!$3:$3,Свод!K$4,Доп.расчеты!160:160)</f>
        <v>0</v>
      </c>
      <c r="L59" s="140">
        <f>-SUMIF(Доп.расчеты!$3:$3,Свод!L$4,Доп.расчеты!160:160)</f>
        <v>0</v>
      </c>
      <c r="M59" s="140">
        <f>-SUMIF(Доп.расчеты!$3:$3,Свод!M$4,Доп.расчеты!160:160)</f>
        <v>0</v>
      </c>
    </row>
    <row r="60" spans="2:13" hidden="1" outlineLevel="1">
      <c r="B60" s="139" t="s">
        <v>97</v>
      </c>
      <c r="C60" s="140">
        <f>-SUMIF(Доп.расчеты!$3:$3,Свод!C$4,Доп.расчеты!161:161)</f>
        <v>0</v>
      </c>
      <c r="D60" s="140">
        <f>-SUMIF(Доп.расчеты!$3:$3,Свод!D$4,Доп.расчеты!161:161)</f>
        <v>0</v>
      </c>
      <c r="E60" s="140">
        <f>-SUMIF(Доп.расчеты!$3:$3,Свод!E$4,Доп.расчеты!161:161)</f>
        <v>0</v>
      </c>
      <c r="F60" s="140">
        <f>-SUMIF(Доп.расчеты!$3:$3,Свод!F$4,Доп.расчеты!161:161)</f>
        <v>0</v>
      </c>
      <c r="G60" s="140">
        <f>-SUMIF(Доп.расчеты!$3:$3,Свод!G$4,Доп.расчеты!161:161)</f>
        <v>0</v>
      </c>
      <c r="H60" s="140">
        <f>-SUMIF(Доп.расчеты!$3:$3,Свод!H$4,Доп.расчеты!161:161)</f>
        <v>0</v>
      </c>
      <c r="I60" s="140">
        <f>-SUMIF(Доп.расчеты!$3:$3,Свод!I$4,Доп.расчеты!161:161)</f>
        <v>0</v>
      </c>
      <c r="J60" s="140">
        <f>-SUMIF(Доп.расчеты!$3:$3,Свод!J$4,Доп.расчеты!161:161)</f>
        <v>0</v>
      </c>
      <c r="K60" s="140">
        <f>-SUMIF(Доп.расчеты!$3:$3,Свод!K$4,Доп.расчеты!161:161)</f>
        <v>0</v>
      </c>
      <c r="L60" s="140">
        <f>-SUMIF(Доп.расчеты!$3:$3,Свод!L$4,Доп.расчеты!161:161)</f>
        <v>0</v>
      </c>
      <c r="M60" s="140">
        <f>-SUMIF(Доп.расчеты!$3:$3,Свод!M$4,Доп.расчеты!161:161)</f>
        <v>0</v>
      </c>
    </row>
    <row r="61" spans="2:13" hidden="1" outlineLevel="1">
      <c r="B61" s="139" t="s">
        <v>98</v>
      </c>
      <c r="C61" s="140">
        <f>-SUMIF(Доп.расчеты!$3:$3,Свод!C$4,Доп.расчеты!162:162)</f>
        <v>0</v>
      </c>
      <c r="D61" s="140">
        <f>-SUMIF(Доп.расчеты!$3:$3,Свод!D$4,Доп.расчеты!162:162)</f>
        <v>0</v>
      </c>
      <c r="E61" s="140">
        <f>-SUMIF(Доп.расчеты!$3:$3,Свод!E$4,Доп.расчеты!162:162)</f>
        <v>0</v>
      </c>
      <c r="F61" s="140">
        <f>-SUMIF(Доп.расчеты!$3:$3,Свод!F$4,Доп.расчеты!162:162)</f>
        <v>0</v>
      </c>
      <c r="G61" s="140">
        <f>-SUMIF(Доп.расчеты!$3:$3,Свод!G$4,Доп.расчеты!162:162)</f>
        <v>0</v>
      </c>
      <c r="H61" s="140">
        <f>-SUMIF(Доп.расчеты!$3:$3,Свод!H$4,Доп.расчеты!162:162)</f>
        <v>0</v>
      </c>
      <c r="I61" s="140">
        <f>-SUMIF(Доп.расчеты!$3:$3,Свод!I$4,Доп.расчеты!162:162)</f>
        <v>0</v>
      </c>
      <c r="J61" s="140">
        <f>-SUMIF(Доп.расчеты!$3:$3,Свод!J$4,Доп.расчеты!162:162)</f>
        <v>0</v>
      </c>
      <c r="K61" s="140">
        <f>-SUMIF(Доп.расчеты!$3:$3,Свод!K$4,Доп.расчеты!162:162)</f>
        <v>0</v>
      </c>
      <c r="L61" s="140">
        <f>-SUMIF(Доп.расчеты!$3:$3,Свод!L$4,Доп.расчеты!162:162)</f>
        <v>0</v>
      </c>
      <c r="M61" s="140">
        <f>-SUMIF(Доп.расчеты!$3:$3,Свод!M$4,Доп.расчеты!162:162)</f>
        <v>0</v>
      </c>
    </row>
    <row r="62" spans="2:13" hidden="1" outlineLevel="1">
      <c r="B62" s="139" t="s">
        <v>99</v>
      </c>
      <c r="C62" s="140">
        <f>-SUMIF(Доп.расчеты!$3:$3,Свод!C$4,Доп.расчеты!163:163)</f>
        <v>0</v>
      </c>
      <c r="D62" s="140">
        <f>-SUMIF(Доп.расчеты!$3:$3,Свод!D$4,Доп.расчеты!163:163)</f>
        <v>0</v>
      </c>
      <c r="E62" s="140">
        <f>-SUMIF(Доп.расчеты!$3:$3,Свод!E$4,Доп.расчеты!163:163)</f>
        <v>0</v>
      </c>
      <c r="F62" s="140">
        <f>-SUMIF(Доп.расчеты!$3:$3,Свод!F$4,Доп.расчеты!163:163)</f>
        <v>0</v>
      </c>
      <c r="G62" s="140">
        <f>-SUMIF(Доп.расчеты!$3:$3,Свод!G$4,Доп.расчеты!163:163)</f>
        <v>0</v>
      </c>
      <c r="H62" s="140">
        <f>-SUMIF(Доп.расчеты!$3:$3,Свод!H$4,Доп.расчеты!163:163)</f>
        <v>0</v>
      </c>
      <c r="I62" s="140">
        <f>-SUMIF(Доп.расчеты!$3:$3,Свод!I$4,Доп.расчеты!163:163)</f>
        <v>0</v>
      </c>
      <c r="J62" s="140">
        <f>-SUMIF(Доп.расчеты!$3:$3,Свод!J$4,Доп.расчеты!163:163)</f>
        <v>0</v>
      </c>
      <c r="K62" s="140">
        <f>-SUMIF(Доп.расчеты!$3:$3,Свод!K$4,Доп.расчеты!163:163)</f>
        <v>0</v>
      </c>
      <c r="L62" s="140">
        <f>-SUMIF(Доп.расчеты!$3:$3,Свод!L$4,Доп.расчеты!163:163)</f>
        <v>0</v>
      </c>
      <c r="M62" s="140">
        <f>-SUMIF(Доп.расчеты!$3:$3,Свод!M$4,Доп.расчеты!163:163)</f>
        <v>0</v>
      </c>
    </row>
    <row r="63" spans="2:13" hidden="1" outlineLevel="1">
      <c r="B63" s="139" t="s">
        <v>100</v>
      </c>
      <c r="C63" s="140">
        <f>-SUMIF(Доп.расчеты!$3:$3,Свод!C$4,Доп.расчеты!164:164)</f>
        <v>0</v>
      </c>
      <c r="D63" s="140">
        <f>-SUMIF(Доп.расчеты!$3:$3,Свод!D$4,Доп.расчеты!164:164)</f>
        <v>0</v>
      </c>
      <c r="E63" s="140">
        <f>-SUMIF(Доп.расчеты!$3:$3,Свод!E$4,Доп.расчеты!164:164)</f>
        <v>0</v>
      </c>
      <c r="F63" s="140">
        <f>-SUMIF(Доп.расчеты!$3:$3,Свод!F$4,Доп.расчеты!164:164)</f>
        <v>0</v>
      </c>
      <c r="G63" s="140">
        <f>-SUMIF(Доп.расчеты!$3:$3,Свод!G$4,Доп.расчеты!164:164)</f>
        <v>0</v>
      </c>
      <c r="H63" s="140">
        <f>-SUMIF(Доп.расчеты!$3:$3,Свод!H$4,Доп.расчеты!164:164)</f>
        <v>0</v>
      </c>
      <c r="I63" s="140">
        <f>-SUMIF(Доп.расчеты!$3:$3,Свод!I$4,Доп.расчеты!164:164)</f>
        <v>0</v>
      </c>
      <c r="J63" s="140">
        <f>-SUMIF(Доп.расчеты!$3:$3,Свод!J$4,Доп.расчеты!164:164)</f>
        <v>0</v>
      </c>
      <c r="K63" s="140">
        <f>-SUMIF(Доп.расчеты!$3:$3,Свод!K$4,Доп.расчеты!164:164)</f>
        <v>0</v>
      </c>
      <c r="L63" s="140">
        <f>-SUMIF(Доп.расчеты!$3:$3,Свод!L$4,Доп.расчеты!164:164)</f>
        <v>0</v>
      </c>
      <c r="M63" s="140">
        <f>-SUMIF(Доп.расчеты!$3:$3,Свод!M$4,Доп.расчеты!164:164)</f>
        <v>0</v>
      </c>
    </row>
    <row r="64" spans="2:13" hidden="1" outlineLevel="1">
      <c r="B64" s="139" t="s">
        <v>101</v>
      </c>
      <c r="C64" s="140">
        <f>-SUMIF(Доп.расчеты!$3:$3,Свод!C$4,Доп.расчеты!165:165)</f>
        <v>0</v>
      </c>
      <c r="D64" s="140">
        <f>-SUMIF(Доп.расчеты!$3:$3,Свод!D$4,Доп.расчеты!165:165)</f>
        <v>0</v>
      </c>
      <c r="E64" s="140">
        <f>-SUMIF(Доп.расчеты!$3:$3,Свод!E$4,Доп.расчеты!165:165)</f>
        <v>0</v>
      </c>
      <c r="F64" s="140">
        <f>-SUMIF(Доп.расчеты!$3:$3,Свод!F$4,Доп.расчеты!165:165)</f>
        <v>0</v>
      </c>
      <c r="G64" s="140">
        <f>-SUMIF(Доп.расчеты!$3:$3,Свод!G$4,Доп.расчеты!165:165)</f>
        <v>0</v>
      </c>
      <c r="H64" s="140">
        <f>-SUMIF(Доп.расчеты!$3:$3,Свод!H$4,Доп.расчеты!165:165)</f>
        <v>0</v>
      </c>
      <c r="I64" s="140">
        <f>-SUMIF(Доп.расчеты!$3:$3,Свод!I$4,Доп.расчеты!165:165)</f>
        <v>0</v>
      </c>
      <c r="J64" s="140">
        <f>-SUMIF(Доп.расчеты!$3:$3,Свод!J$4,Доп.расчеты!165:165)</f>
        <v>0</v>
      </c>
      <c r="K64" s="140">
        <f>-SUMIF(Доп.расчеты!$3:$3,Свод!K$4,Доп.расчеты!165:165)</f>
        <v>0</v>
      </c>
      <c r="L64" s="140">
        <f>-SUMIF(Доп.расчеты!$3:$3,Свод!L$4,Доп.расчеты!165:165)</f>
        <v>0</v>
      </c>
      <c r="M64" s="140">
        <f>-SUMIF(Доп.расчеты!$3:$3,Свод!M$4,Доп.расчеты!165:165)</f>
        <v>0</v>
      </c>
    </row>
    <row r="65" spans="2:13" hidden="1" outlineLevel="1">
      <c r="B65" s="139" t="s">
        <v>102</v>
      </c>
      <c r="C65" s="140">
        <f>-SUMIF(Доп.расчеты!$3:$3,Свод!C$4,Доп.расчеты!166:166)</f>
        <v>0</v>
      </c>
      <c r="D65" s="140">
        <f>-SUMIF(Доп.расчеты!$3:$3,Свод!D$4,Доп.расчеты!166:166)</f>
        <v>0</v>
      </c>
      <c r="E65" s="140">
        <f>-SUMIF(Доп.расчеты!$3:$3,Свод!E$4,Доп.расчеты!166:166)</f>
        <v>0</v>
      </c>
      <c r="F65" s="140">
        <f>-SUMIF(Доп.расчеты!$3:$3,Свод!F$4,Доп.расчеты!166:166)</f>
        <v>0</v>
      </c>
      <c r="G65" s="140">
        <f>-SUMIF(Доп.расчеты!$3:$3,Свод!G$4,Доп.расчеты!166:166)</f>
        <v>0</v>
      </c>
      <c r="H65" s="140">
        <f>-SUMIF(Доп.расчеты!$3:$3,Свод!H$4,Доп.расчеты!166:166)</f>
        <v>0</v>
      </c>
      <c r="I65" s="140">
        <f>-SUMIF(Доп.расчеты!$3:$3,Свод!I$4,Доп.расчеты!166:166)</f>
        <v>0</v>
      </c>
      <c r="J65" s="140">
        <f>-SUMIF(Доп.расчеты!$3:$3,Свод!J$4,Доп.расчеты!166:166)</f>
        <v>0</v>
      </c>
      <c r="K65" s="140">
        <f>-SUMIF(Доп.расчеты!$3:$3,Свод!K$4,Доп.расчеты!166:166)</f>
        <v>0</v>
      </c>
      <c r="L65" s="140">
        <f>-SUMIF(Доп.расчеты!$3:$3,Свод!L$4,Доп.расчеты!166:166)</f>
        <v>0</v>
      </c>
      <c r="M65" s="140">
        <f>-SUMIF(Доп.расчеты!$3:$3,Свод!M$4,Доп.расчеты!166:166)</f>
        <v>0</v>
      </c>
    </row>
    <row r="66" spans="2:13" hidden="1" outlineLevel="1">
      <c r="B66" s="139" t="s">
        <v>103</v>
      </c>
      <c r="C66" s="140">
        <f>-SUMIF(Доп.расчеты!$3:$3,Свод!C$4,Доп.расчеты!167:167)</f>
        <v>0</v>
      </c>
      <c r="D66" s="140">
        <f>-SUMIF(Доп.расчеты!$3:$3,Свод!D$4,Доп.расчеты!167:167)</f>
        <v>0</v>
      </c>
      <c r="E66" s="140">
        <f>-SUMIF(Доп.расчеты!$3:$3,Свод!E$4,Доп.расчеты!167:167)</f>
        <v>0</v>
      </c>
      <c r="F66" s="140">
        <f>-SUMIF(Доп.расчеты!$3:$3,Свод!F$4,Доп.расчеты!167:167)</f>
        <v>0</v>
      </c>
      <c r="G66" s="140">
        <f>-SUMIF(Доп.расчеты!$3:$3,Свод!G$4,Доп.расчеты!167:167)</f>
        <v>0</v>
      </c>
      <c r="H66" s="140">
        <f>-SUMIF(Доп.расчеты!$3:$3,Свод!H$4,Доп.расчеты!167:167)</f>
        <v>0</v>
      </c>
      <c r="I66" s="140">
        <f>-SUMIF(Доп.расчеты!$3:$3,Свод!I$4,Доп.расчеты!167:167)</f>
        <v>0</v>
      </c>
      <c r="J66" s="140">
        <f>-SUMIF(Доп.расчеты!$3:$3,Свод!J$4,Доп.расчеты!167:167)</f>
        <v>0</v>
      </c>
      <c r="K66" s="140">
        <f>-SUMIF(Доп.расчеты!$3:$3,Свод!K$4,Доп.расчеты!167:167)</f>
        <v>0</v>
      </c>
      <c r="L66" s="140">
        <f>-SUMIF(Доп.расчеты!$3:$3,Свод!L$4,Доп.расчеты!167:167)</f>
        <v>0</v>
      </c>
      <c r="M66" s="140">
        <f>-SUMIF(Доп.расчеты!$3:$3,Свод!M$4,Доп.расчеты!167:167)</f>
        <v>0</v>
      </c>
    </row>
    <row r="67" spans="2:13" hidden="1" outlineLevel="1">
      <c r="B67" s="139" t="s">
        <v>104</v>
      </c>
      <c r="C67" s="140">
        <f>-SUMIF(Доп.расчеты!$3:$3,Свод!C$4,Доп.расчеты!168:168)</f>
        <v>0</v>
      </c>
      <c r="D67" s="140">
        <f>-SUMIF(Доп.расчеты!$3:$3,Свод!D$4,Доп.расчеты!168:168)</f>
        <v>0</v>
      </c>
      <c r="E67" s="140">
        <f>-SUMIF(Доп.расчеты!$3:$3,Свод!E$4,Доп.расчеты!168:168)</f>
        <v>0</v>
      </c>
      <c r="F67" s="140">
        <f>-SUMIF(Доп.расчеты!$3:$3,Свод!F$4,Доп.расчеты!168:168)</f>
        <v>0</v>
      </c>
      <c r="G67" s="140">
        <f>-SUMIF(Доп.расчеты!$3:$3,Свод!G$4,Доп.расчеты!168:168)</f>
        <v>0</v>
      </c>
      <c r="H67" s="140">
        <f>-SUMIF(Доп.расчеты!$3:$3,Свод!H$4,Доп.расчеты!168:168)</f>
        <v>0</v>
      </c>
      <c r="I67" s="140">
        <f>-SUMIF(Доп.расчеты!$3:$3,Свод!I$4,Доп.расчеты!168:168)</f>
        <v>0</v>
      </c>
      <c r="J67" s="140">
        <f>-SUMIF(Доп.расчеты!$3:$3,Свод!J$4,Доп.расчеты!168:168)</f>
        <v>0</v>
      </c>
      <c r="K67" s="140">
        <f>-SUMIF(Доп.расчеты!$3:$3,Свод!K$4,Доп.расчеты!168:168)</f>
        <v>0</v>
      </c>
      <c r="L67" s="140">
        <f>-SUMIF(Доп.расчеты!$3:$3,Свод!L$4,Доп.расчеты!168:168)</f>
        <v>0</v>
      </c>
      <c r="M67" s="140">
        <f>-SUMIF(Доп.расчеты!$3:$3,Свод!M$4,Доп.расчеты!168:168)</f>
        <v>0</v>
      </c>
    </row>
    <row r="68" spans="2:13" hidden="1" outlineLevel="1">
      <c r="B68" s="139" t="s">
        <v>105</v>
      </c>
      <c r="C68" s="140">
        <f>-SUMIF(Доп.расчеты!$3:$3,Свод!C$4,Доп.расчеты!169:169)</f>
        <v>0</v>
      </c>
      <c r="D68" s="140">
        <f>-SUMIF(Доп.расчеты!$3:$3,Свод!D$4,Доп.расчеты!169:169)</f>
        <v>0</v>
      </c>
      <c r="E68" s="140">
        <f>-SUMIF(Доп.расчеты!$3:$3,Свод!E$4,Доп.расчеты!169:169)</f>
        <v>0</v>
      </c>
      <c r="F68" s="140">
        <f>-SUMIF(Доп.расчеты!$3:$3,Свод!F$4,Доп.расчеты!169:169)</f>
        <v>0</v>
      </c>
      <c r="G68" s="140">
        <f>-SUMIF(Доп.расчеты!$3:$3,Свод!G$4,Доп.расчеты!169:169)</f>
        <v>0</v>
      </c>
      <c r="H68" s="140">
        <f>-SUMIF(Доп.расчеты!$3:$3,Свод!H$4,Доп.расчеты!169:169)</f>
        <v>0</v>
      </c>
      <c r="I68" s="140">
        <f>-SUMIF(Доп.расчеты!$3:$3,Свод!I$4,Доп.расчеты!169:169)</f>
        <v>0</v>
      </c>
      <c r="J68" s="140">
        <f>-SUMIF(Доп.расчеты!$3:$3,Свод!J$4,Доп.расчеты!169:169)</f>
        <v>0</v>
      </c>
      <c r="K68" s="140">
        <f>-SUMIF(Доп.расчеты!$3:$3,Свод!K$4,Доп.расчеты!169:169)</f>
        <v>0</v>
      </c>
      <c r="L68" s="140">
        <f>-SUMIF(Доп.расчеты!$3:$3,Свод!L$4,Доп.расчеты!169:169)</f>
        <v>0</v>
      </c>
      <c r="M68" s="140">
        <f>-SUMIF(Доп.расчеты!$3:$3,Свод!M$4,Доп.расчеты!169:169)</f>
        <v>0</v>
      </c>
    </row>
    <row r="69" spans="2:13" hidden="1" outlineLevel="1">
      <c r="B69" s="139" t="s">
        <v>106</v>
      </c>
      <c r="C69" s="140">
        <f>-SUMIF(Доп.расчеты!$3:$3,Свод!C$4,Доп.расчеты!170:170)</f>
        <v>0</v>
      </c>
      <c r="D69" s="140">
        <f>-SUMIF(Доп.расчеты!$3:$3,Свод!D$4,Доп.расчеты!170:170)</f>
        <v>0</v>
      </c>
      <c r="E69" s="140">
        <f>-SUMIF(Доп.расчеты!$3:$3,Свод!E$4,Доп.расчеты!170:170)</f>
        <v>0</v>
      </c>
      <c r="F69" s="140">
        <f>-SUMIF(Доп.расчеты!$3:$3,Свод!F$4,Доп.расчеты!170:170)</f>
        <v>0</v>
      </c>
      <c r="G69" s="140">
        <f>-SUMIF(Доп.расчеты!$3:$3,Свод!G$4,Доп.расчеты!170:170)</f>
        <v>0</v>
      </c>
      <c r="H69" s="140">
        <f>-SUMIF(Доп.расчеты!$3:$3,Свод!H$4,Доп.расчеты!170:170)</f>
        <v>0</v>
      </c>
      <c r="I69" s="140">
        <f>-SUMIF(Доп.расчеты!$3:$3,Свод!I$4,Доп.расчеты!170:170)</f>
        <v>0</v>
      </c>
      <c r="J69" s="140">
        <f>-SUMIF(Доп.расчеты!$3:$3,Свод!J$4,Доп.расчеты!170:170)</f>
        <v>0</v>
      </c>
      <c r="K69" s="140">
        <f>-SUMIF(Доп.расчеты!$3:$3,Свод!K$4,Доп.расчеты!170:170)</f>
        <v>0</v>
      </c>
      <c r="L69" s="140">
        <f>-SUMIF(Доп.расчеты!$3:$3,Свод!L$4,Доп.расчеты!170:170)</f>
        <v>0</v>
      </c>
      <c r="M69" s="140">
        <f>-SUMIF(Доп.расчеты!$3:$3,Свод!M$4,Доп.расчеты!170:170)</f>
        <v>0</v>
      </c>
    </row>
    <row r="70" spans="2:13" hidden="1" outlineLevel="1">
      <c r="B70" s="139" t="s">
        <v>107</v>
      </c>
      <c r="C70" s="140">
        <f>-SUMIF(Доп.расчеты!$3:$3,Свод!C$4,Доп.расчеты!171:171)</f>
        <v>0</v>
      </c>
      <c r="D70" s="140">
        <f>-SUMIF(Доп.расчеты!$3:$3,Свод!D$4,Доп.расчеты!171:171)</f>
        <v>0</v>
      </c>
      <c r="E70" s="140">
        <f>-SUMIF(Доп.расчеты!$3:$3,Свод!E$4,Доп.расчеты!171:171)</f>
        <v>0</v>
      </c>
      <c r="F70" s="140">
        <f>-SUMIF(Доп.расчеты!$3:$3,Свод!F$4,Доп.расчеты!171:171)</f>
        <v>0</v>
      </c>
      <c r="G70" s="140">
        <f>-SUMIF(Доп.расчеты!$3:$3,Свод!G$4,Доп.расчеты!171:171)</f>
        <v>0</v>
      </c>
      <c r="H70" s="140">
        <f>-SUMIF(Доп.расчеты!$3:$3,Свод!H$4,Доп.расчеты!171:171)</f>
        <v>0</v>
      </c>
      <c r="I70" s="140">
        <f>-SUMIF(Доп.расчеты!$3:$3,Свод!I$4,Доп.расчеты!171:171)</f>
        <v>0</v>
      </c>
      <c r="J70" s="140">
        <f>-SUMIF(Доп.расчеты!$3:$3,Свод!J$4,Доп.расчеты!171:171)</f>
        <v>0</v>
      </c>
      <c r="K70" s="140">
        <f>-SUMIF(Доп.расчеты!$3:$3,Свод!K$4,Доп.расчеты!171:171)</f>
        <v>0</v>
      </c>
      <c r="L70" s="140">
        <f>-SUMIF(Доп.расчеты!$3:$3,Свод!L$4,Доп.расчеты!171:171)</f>
        <v>0</v>
      </c>
      <c r="M70" s="140">
        <f>-SUMIF(Доп.расчеты!$3:$3,Свод!M$4,Доп.расчеты!171:171)</f>
        <v>0</v>
      </c>
    </row>
    <row r="71" spans="2:13" hidden="1" outlineLevel="1">
      <c r="B71" s="139" t="s">
        <v>108</v>
      </c>
      <c r="C71" s="140">
        <f>-SUMIF(Доп.расчеты!$3:$3,Свод!C$4,Доп.расчеты!172:172)</f>
        <v>0</v>
      </c>
      <c r="D71" s="140">
        <f>-SUMIF(Доп.расчеты!$3:$3,Свод!D$4,Доп.расчеты!172:172)</f>
        <v>0</v>
      </c>
      <c r="E71" s="140">
        <f>-SUMIF(Доп.расчеты!$3:$3,Свод!E$4,Доп.расчеты!172:172)</f>
        <v>0</v>
      </c>
      <c r="F71" s="140">
        <f>-SUMIF(Доп.расчеты!$3:$3,Свод!F$4,Доп.расчеты!172:172)</f>
        <v>0</v>
      </c>
      <c r="G71" s="140">
        <f>-SUMIF(Доп.расчеты!$3:$3,Свод!G$4,Доп.расчеты!172:172)</f>
        <v>0</v>
      </c>
      <c r="H71" s="140">
        <f>-SUMIF(Доп.расчеты!$3:$3,Свод!H$4,Доп.расчеты!172:172)</f>
        <v>0</v>
      </c>
      <c r="I71" s="140">
        <f>-SUMIF(Доп.расчеты!$3:$3,Свод!I$4,Доп.расчеты!172:172)</f>
        <v>0</v>
      </c>
      <c r="J71" s="140">
        <f>-SUMIF(Доп.расчеты!$3:$3,Свод!J$4,Доп.расчеты!172:172)</f>
        <v>0</v>
      </c>
      <c r="K71" s="140">
        <f>-SUMIF(Доп.расчеты!$3:$3,Свод!K$4,Доп.расчеты!172:172)</f>
        <v>0</v>
      </c>
      <c r="L71" s="140">
        <f>-SUMIF(Доп.расчеты!$3:$3,Свод!L$4,Доп.расчеты!172:172)</f>
        <v>0</v>
      </c>
      <c r="M71" s="140">
        <f>-SUMIF(Доп.расчеты!$3:$3,Свод!M$4,Доп.расчеты!172:172)</f>
        <v>0</v>
      </c>
    </row>
    <row r="72" spans="2:13" hidden="1" outlineLevel="1">
      <c r="B72" s="139" t="s">
        <v>109</v>
      </c>
      <c r="C72" s="140">
        <f>-SUMIF(Доп.расчеты!$3:$3,Свод!C$4,Доп.расчеты!173:173)</f>
        <v>0</v>
      </c>
      <c r="D72" s="140">
        <f>-SUMIF(Доп.расчеты!$3:$3,Свод!D$4,Доп.расчеты!173:173)</f>
        <v>0</v>
      </c>
      <c r="E72" s="140">
        <f>-SUMIF(Доп.расчеты!$3:$3,Свод!E$4,Доп.расчеты!173:173)</f>
        <v>0</v>
      </c>
      <c r="F72" s="140">
        <f>-SUMIF(Доп.расчеты!$3:$3,Свод!F$4,Доп.расчеты!173:173)</f>
        <v>0</v>
      </c>
      <c r="G72" s="140">
        <f>-SUMIF(Доп.расчеты!$3:$3,Свод!G$4,Доп.расчеты!173:173)</f>
        <v>0</v>
      </c>
      <c r="H72" s="140">
        <f>-SUMIF(Доп.расчеты!$3:$3,Свод!H$4,Доп.расчеты!173:173)</f>
        <v>0</v>
      </c>
      <c r="I72" s="140">
        <f>-SUMIF(Доп.расчеты!$3:$3,Свод!I$4,Доп.расчеты!173:173)</f>
        <v>0</v>
      </c>
      <c r="J72" s="140">
        <f>-SUMIF(Доп.расчеты!$3:$3,Свод!J$4,Доп.расчеты!173:173)</f>
        <v>0</v>
      </c>
      <c r="K72" s="140">
        <f>-SUMIF(Доп.расчеты!$3:$3,Свод!K$4,Доп.расчеты!173:173)</f>
        <v>0</v>
      </c>
      <c r="L72" s="140">
        <f>-SUMIF(Доп.расчеты!$3:$3,Свод!L$4,Доп.расчеты!173:173)</f>
        <v>0</v>
      </c>
      <c r="M72" s="140">
        <f>-SUMIF(Доп.расчеты!$3:$3,Свод!M$4,Доп.расчеты!173:173)</f>
        <v>0</v>
      </c>
    </row>
    <row r="73" spans="2:13" hidden="1" outlineLevel="1">
      <c r="B73" s="139" t="s">
        <v>110</v>
      </c>
      <c r="C73" s="140">
        <f>-SUMIF(Доп.расчеты!$3:$3,Свод!C$4,Доп.расчеты!174:174)</f>
        <v>0</v>
      </c>
      <c r="D73" s="140">
        <f>-SUMIF(Доп.расчеты!$3:$3,Свод!D$4,Доп.расчеты!174:174)</f>
        <v>0</v>
      </c>
      <c r="E73" s="140">
        <f>-SUMIF(Доп.расчеты!$3:$3,Свод!E$4,Доп.расчеты!174:174)</f>
        <v>0</v>
      </c>
      <c r="F73" s="140">
        <f>-SUMIF(Доп.расчеты!$3:$3,Свод!F$4,Доп.расчеты!174:174)</f>
        <v>0</v>
      </c>
      <c r="G73" s="140">
        <f>-SUMIF(Доп.расчеты!$3:$3,Свод!G$4,Доп.расчеты!174:174)</f>
        <v>0</v>
      </c>
      <c r="H73" s="140">
        <f>-SUMIF(Доп.расчеты!$3:$3,Свод!H$4,Доп.расчеты!174:174)</f>
        <v>0</v>
      </c>
      <c r="I73" s="140">
        <f>-SUMIF(Доп.расчеты!$3:$3,Свод!I$4,Доп.расчеты!174:174)</f>
        <v>0</v>
      </c>
      <c r="J73" s="140">
        <f>-SUMIF(Доп.расчеты!$3:$3,Свод!J$4,Доп.расчеты!174:174)</f>
        <v>0</v>
      </c>
      <c r="K73" s="140">
        <f>-SUMIF(Доп.расчеты!$3:$3,Свод!K$4,Доп.расчеты!174:174)</f>
        <v>0</v>
      </c>
      <c r="L73" s="140">
        <f>-SUMIF(Доп.расчеты!$3:$3,Свод!L$4,Доп.расчеты!174:174)</f>
        <v>0</v>
      </c>
      <c r="M73" s="140">
        <f>-SUMIF(Доп.расчеты!$3:$3,Свод!M$4,Доп.расчеты!174:174)</f>
        <v>0</v>
      </c>
    </row>
    <row r="74" spans="2:13" hidden="1" outlineLevel="1">
      <c r="B74" s="139" t="s">
        <v>111</v>
      </c>
      <c r="C74" s="140">
        <f>-SUMIF(Доп.расчеты!$3:$3,Свод!C$4,Доп.расчеты!175:175)</f>
        <v>0</v>
      </c>
      <c r="D74" s="140">
        <f>-SUMIF(Доп.расчеты!$3:$3,Свод!D$4,Доп.расчеты!175:175)</f>
        <v>0</v>
      </c>
      <c r="E74" s="140">
        <f>-SUMIF(Доп.расчеты!$3:$3,Свод!E$4,Доп.расчеты!175:175)</f>
        <v>0</v>
      </c>
      <c r="F74" s="140">
        <f>-SUMIF(Доп.расчеты!$3:$3,Свод!F$4,Доп.расчеты!175:175)</f>
        <v>0</v>
      </c>
      <c r="G74" s="140">
        <f>-SUMIF(Доп.расчеты!$3:$3,Свод!G$4,Доп.расчеты!175:175)</f>
        <v>0</v>
      </c>
      <c r="H74" s="140">
        <f>-SUMIF(Доп.расчеты!$3:$3,Свод!H$4,Доп.расчеты!175:175)</f>
        <v>0</v>
      </c>
      <c r="I74" s="140">
        <f>-SUMIF(Доп.расчеты!$3:$3,Свод!I$4,Доп.расчеты!175:175)</f>
        <v>0</v>
      </c>
      <c r="J74" s="140">
        <f>-SUMIF(Доп.расчеты!$3:$3,Свод!J$4,Доп.расчеты!175:175)</f>
        <v>0</v>
      </c>
      <c r="K74" s="140">
        <f>-SUMIF(Доп.расчеты!$3:$3,Свод!K$4,Доп.расчеты!175:175)</f>
        <v>0</v>
      </c>
      <c r="L74" s="140">
        <f>-SUMIF(Доп.расчеты!$3:$3,Свод!L$4,Доп.расчеты!175:175)</f>
        <v>0</v>
      </c>
      <c r="M74" s="140">
        <f>-SUMIF(Доп.расчеты!$3:$3,Свод!M$4,Доп.расчеты!175:175)</f>
        <v>0</v>
      </c>
    </row>
    <row r="75" spans="2:13" ht="17.25" hidden="1" customHeight="1" collapsed="1">
      <c r="B75" s="141" t="s">
        <v>57</v>
      </c>
      <c r="C75" s="142">
        <f>SUM(C76:C88)</f>
        <v>0</v>
      </c>
      <c r="D75" s="142">
        <f t="shared" ref="D75:I75" si="8">SUM(D76:D88)</f>
        <v>0</v>
      </c>
      <c r="E75" s="142">
        <f>SUM(E76:E88)</f>
        <v>0</v>
      </c>
      <c r="F75" s="142">
        <f t="shared" si="8"/>
        <v>0</v>
      </c>
      <c r="G75" s="142">
        <f t="shared" si="8"/>
        <v>0</v>
      </c>
      <c r="H75" s="142">
        <f t="shared" si="8"/>
        <v>0</v>
      </c>
      <c r="I75" s="142">
        <f t="shared" si="8"/>
        <v>0</v>
      </c>
      <c r="J75" s="142">
        <f t="shared" ref="J75:M75" si="9">SUM(J76:J88)</f>
        <v>0</v>
      </c>
      <c r="K75" s="142">
        <f t="shared" si="9"/>
        <v>0</v>
      </c>
      <c r="L75" s="142">
        <f t="shared" si="9"/>
        <v>0</v>
      </c>
      <c r="M75" s="142">
        <f t="shared" si="9"/>
        <v>0</v>
      </c>
    </row>
    <row r="76" spans="2:13" ht="16" hidden="1" outlineLevel="1" thickTop="1">
      <c r="B76" s="139" t="s">
        <v>23</v>
      </c>
      <c r="C76" s="140">
        <f>-SUMIF(Доп.расчеты!$3:$3,Свод!C$4,Доп.расчеты!177:177)</f>
        <v>0</v>
      </c>
      <c r="D76" s="140">
        <f>-SUMIF(Доп.расчеты!$3:$3,Свод!D$4,Доп.расчеты!177:177)</f>
        <v>0</v>
      </c>
      <c r="E76" s="140">
        <f>-SUMIF(Доп.расчеты!$3:$3,Свод!E$4,Доп.расчеты!177:177)</f>
        <v>0</v>
      </c>
      <c r="F76" s="140">
        <f>-SUMIF(Доп.расчеты!$3:$3,Свод!F$4,Доп.расчеты!177:177)</f>
        <v>0</v>
      </c>
      <c r="G76" s="140">
        <f>-SUMIF(Доп.расчеты!$3:$3,Свод!G$4,Доп.расчеты!177:177)</f>
        <v>0</v>
      </c>
      <c r="H76" s="140">
        <f>-SUMIF(Доп.расчеты!$3:$3,Свод!H$4,Доп.расчеты!177:177)</f>
        <v>0</v>
      </c>
      <c r="I76" s="140">
        <f>-SUMIF(Доп.расчеты!$3:$3,Свод!I$4,Доп.расчеты!177:177)</f>
        <v>0</v>
      </c>
      <c r="J76" s="140">
        <f>-SUMIF(Доп.расчеты!$3:$3,Свод!J$4,Доп.расчеты!177:177)</f>
        <v>0</v>
      </c>
      <c r="K76" s="140">
        <f>-SUMIF(Доп.расчеты!$3:$3,Свод!K$4,Доп.расчеты!177:177)</f>
        <v>0</v>
      </c>
      <c r="L76" s="140">
        <f>-SUMIF(Доп.расчеты!$3:$3,Свод!L$4,Доп.расчеты!177:177)</f>
        <v>0</v>
      </c>
      <c r="M76" s="140">
        <f>-SUMIF(Доп.расчеты!$3:$3,Свод!M$4,Доп.расчеты!177:177)</f>
        <v>0</v>
      </c>
    </row>
    <row r="77" spans="2:13" hidden="1" outlineLevel="1">
      <c r="B77" s="139" t="s">
        <v>64</v>
      </c>
      <c r="C77" s="140">
        <f>-SUMIF(Доп.расчеты!$3:$3,Свод!C$4,Доп.расчеты!178:178)</f>
        <v>0</v>
      </c>
      <c r="D77" s="140">
        <f>-SUMIF(Доп.расчеты!$3:$3,Свод!D$4,Доп.расчеты!178:178)</f>
        <v>0</v>
      </c>
      <c r="E77" s="140">
        <f>-SUMIF(Доп.расчеты!$3:$3,Свод!E$4,Доп.расчеты!178:178)</f>
        <v>0</v>
      </c>
      <c r="F77" s="140">
        <f>-SUMIF(Доп.расчеты!$3:$3,Свод!F$4,Доп.расчеты!178:178)</f>
        <v>0</v>
      </c>
      <c r="G77" s="140">
        <f>-SUMIF(Доп.расчеты!$3:$3,Свод!G$4,Доп.расчеты!178:178)</f>
        <v>0</v>
      </c>
      <c r="H77" s="140">
        <f>-SUMIF(Доп.расчеты!$3:$3,Свод!H$4,Доп.расчеты!178:178)</f>
        <v>0</v>
      </c>
      <c r="I77" s="140">
        <f>-SUMIF(Доп.расчеты!$3:$3,Свод!I$4,Доп.расчеты!178:178)</f>
        <v>0</v>
      </c>
      <c r="J77" s="140">
        <f>-SUMIF(Доп.расчеты!$3:$3,Свод!J$4,Доп.расчеты!178:178)</f>
        <v>0</v>
      </c>
      <c r="K77" s="140">
        <f>-SUMIF(Доп.расчеты!$3:$3,Свод!K$4,Доп.расчеты!178:178)</f>
        <v>0</v>
      </c>
      <c r="L77" s="140">
        <f>-SUMIF(Доп.расчеты!$3:$3,Свод!L$4,Доп.расчеты!178:178)</f>
        <v>0</v>
      </c>
      <c r="M77" s="140">
        <f>-SUMIF(Доп.расчеты!$3:$3,Свод!M$4,Доп.расчеты!178:178)</f>
        <v>0</v>
      </c>
    </row>
    <row r="78" spans="2:13" hidden="1" outlineLevel="1">
      <c r="B78" s="139" t="s">
        <v>113</v>
      </c>
      <c r="C78" s="140">
        <f>-SUMIF(Доп.расчеты!$3:$3,Свод!C$4,Доп.расчеты!179:179)</f>
        <v>0</v>
      </c>
      <c r="D78" s="140">
        <f>-SUMIF(Доп.расчеты!$3:$3,Свод!D$4,Доп.расчеты!179:179)</f>
        <v>0</v>
      </c>
      <c r="E78" s="140">
        <f>-SUMIF(Доп.расчеты!$3:$3,Свод!E$4,Доп.расчеты!179:179)</f>
        <v>0</v>
      </c>
      <c r="F78" s="140">
        <f>-SUMIF(Доп.расчеты!$3:$3,Свод!F$4,Доп.расчеты!179:179)</f>
        <v>0</v>
      </c>
      <c r="G78" s="140">
        <f>-SUMIF(Доп.расчеты!$3:$3,Свод!G$4,Доп.расчеты!179:179)</f>
        <v>0</v>
      </c>
      <c r="H78" s="140">
        <f>-SUMIF(Доп.расчеты!$3:$3,Свод!H$4,Доп.расчеты!179:179)</f>
        <v>0</v>
      </c>
      <c r="I78" s="140">
        <f>-SUMIF(Доп.расчеты!$3:$3,Свод!I$4,Доп.расчеты!179:179)</f>
        <v>0</v>
      </c>
      <c r="J78" s="140">
        <f>-SUMIF(Доп.расчеты!$3:$3,Свод!J$4,Доп.расчеты!179:179)</f>
        <v>0</v>
      </c>
      <c r="K78" s="140">
        <f>-SUMIF(Доп.расчеты!$3:$3,Свод!K$4,Доп.расчеты!179:179)</f>
        <v>0</v>
      </c>
      <c r="L78" s="140">
        <f>-SUMIF(Доп.расчеты!$3:$3,Свод!L$4,Доп.расчеты!179:179)</f>
        <v>0</v>
      </c>
      <c r="M78" s="140">
        <f>-SUMIF(Доп.расчеты!$3:$3,Свод!M$4,Доп.расчеты!179:179)</f>
        <v>0</v>
      </c>
    </row>
    <row r="79" spans="2:13" hidden="1" outlineLevel="1">
      <c r="B79" s="139" t="s">
        <v>114</v>
      </c>
      <c r="C79" s="140">
        <f>-SUMIF(Доп.расчеты!$3:$3,Свод!C$4,Доп.расчеты!180:180)</f>
        <v>0</v>
      </c>
      <c r="D79" s="140">
        <f>-SUMIF(Доп.расчеты!$3:$3,Свод!D$4,Доп.расчеты!180:180)</f>
        <v>0</v>
      </c>
      <c r="E79" s="140">
        <f>-SUMIF(Доп.расчеты!$3:$3,Свод!E$4,Доп.расчеты!180:180)</f>
        <v>0</v>
      </c>
      <c r="F79" s="140">
        <f>-SUMIF(Доп.расчеты!$3:$3,Свод!F$4,Доп.расчеты!180:180)</f>
        <v>0</v>
      </c>
      <c r="G79" s="140">
        <f>-SUMIF(Доп.расчеты!$3:$3,Свод!G$4,Доп.расчеты!180:180)</f>
        <v>0</v>
      </c>
      <c r="H79" s="140">
        <f>-SUMIF(Доп.расчеты!$3:$3,Свод!H$4,Доп.расчеты!180:180)</f>
        <v>0</v>
      </c>
      <c r="I79" s="140">
        <f>-SUMIF(Доп.расчеты!$3:$3,Свод!I$4,Доп.расчеты!180:180)</f>
        <v>0</v>
      </c>
      <c r="J79" s="140">
        <f>-SUMIF(Доп.расчеты!$3:$3,Свод!J$4,Доп.расчеты!180:180)</f>
        <v>0</v>
      </c>
      <c r="K79" s="140">
        <f>-SUMIF(Доп.расчеты!$3:$3,Свод!K$4,Доп.расчеты!180:180)</f>
        <v>0</v>
      </c>
      <c r="L79" s="140">
        <f>-SUMIF(Доп.расчеты!$3:$3,Свод!L$4,Доп.расчеты!180:180)</f>
        <v>0</v>
      </c>
      <c r="M79" s="140">
        <f>-SUMIF(Доп.расчеты!$3:$3,Свод!M$4,Доп.расчеты!180:180)</f>
        <v>0</v>
      </c>
    </row>
    <row r="80" spans="2:13" hidden="1" outlineLevel="1">
      <c r="B80" s="139" t="s">
        <v>115</v>
      </c>
      <c r="C80" s="140">
        <f>-SUMIF(Доп.расчеты!$3:$3,Свод!C$4,Доп.расчеты!181:181)</f>
        <v>0</v>
      </c>
      <c r="D80" s="140">
        <f>-SUMIF(Доп.расчеты!$3:$3,Свод!D$4,Доп.расчеты!181:181)</f>
        <v>0</v>
      </c>
      <c r="E80" s="140">
        <f>-SUMIF(Доп.расчеты!$3:$3,Свод!E$4,Доп.расчеты!181:181)</f>
        <v>0</v>
      </c>
      <c r="F80" s="140">
        <f>-SUMIF(Доп.расчеты!$3:$3,Свод!F$4,Доп.расчеты!181:181)</f>
        <v>0</v>
      </c>
      <c r="G80" s="140">
        <f>-SUMIF(Доп.расчеты!$3:$3,Свод!G$4,Доп.расчеты!181:181)</f>
        <v>0</v>
      </c>
      <c r="H80" s="140">
        <f>-SUMIF(Доп.расчеты!$3:$3,Свод!H$4,Доп.расчеты!181:181)</f>
        <v>0</v>
      </c>
      <c r="I80" s="140">
        <f>-SUMIF(Доп.расчеты!$3:$3,Свод!I$4,Доп.расчеты!181:181)</f>
        <v>0</v>
      </c>
      <c r="J80" s="140">
        <f>-SUMIF(Доп.расчеты!$3:$3,Свод!J$4,Доп.расчеты!181:181)</f>
        <v>0</v>
      </c>
      <c r="K80" s="140">
        <f>-SUMIF(Доп.расчеты!$3:$3,Свод!K$4,Доп.расчеты!181:181)</f>
        <v>0</v>
      </c>
      <c r="L80" s="140">
        <f>-SUMIF(Доп.расчеты!$3:$3,Свод!L$4,Доп.расчеты!181:181)</f>
        <v>0</v>
      </c>
      <c r="M80" s="140">
        <f>-SUMIF(Доп.расчеты!$3:$3,Свод!M$4,Доп.расчеты!181:181)</f>
        <v>0</v>
      </c>
    </row>
    <row r="81" spans="2:13" hidden="1" outlineLevel="1">
      <c r="B81" s="139" t="s">
        <v>11</v>
      </c>
      <c r="C81" s="140">
        <f>-SUMIF(Доп.расчеты!$3:$3,Свод!C$4,Доп.расчеты!182:182)</f>
        <v>0</v>
      </c>
      <c r="D81" s="140">
        <f>-SUMIF(Доп.расчеты!$3:$3,Свод!D$4,Доп.расчеты!182:182)</f>
        <v>0</v>
      </c>
      <c r="E81" s="140">
        <f>-SUMIF(Доп.расчеты!$3:$3,Свод!E$4,Доп.расчеты!182:182)</f>
        <v>0</v>
      </c>
      <c r="F81" s="140">
        <f>-SUMIF(Доп.расчеты!$3:$3,Свод!F$4,Доп.расчеты!182:182)</f>
        <v>0</v>
      </c>
      <c r="G81" s="140">
        <f>-SUMIF(Доп.расчеты!$3:$3,Свод!G$4,Доп.расчеты!182:182)</f>
        <v>0</v>
      </c>
      <c r="H81" s="140">
        <f>-SUMIF(Доп.расчеты!$3:$3,Свод!H$4,Доп.расчеты!182:182)</f>
        <v>0</v>
      </c>
      <c r="I81" s="140">
        <f>-SUMIF(Доп.расчеты!$3:$3,Свод!I$4,Доп.расчеты!182:182)</f>
        <v>0</v>
      </c>
      <c r="J81" s="140">
        <f>-SUMIF(Доп.расчеты!$3:$3,Свод!J$4,Доп.расчеты!182:182)</f>
        <v>0</v>
      </c>
      <c r="K81" s="140">
        <f>-SUMIF(Доп.расчеты!$3:$3,Свод!K$4,Доп.расчеты!182:182)</f>
        <v>0</v>
      </c>
      <c r="L81" s="140">
        <f>-SUMIF(Доп.расчеты!$3:$3,Свод!L$4,Доп.расчеты!182:182)</f>
        <v>0</v>
      </c>
      <c r="M81" s="140">
        <f>-SUMIF(Доп.расчеты!$3:$3,Свод!M$4,Доп.расчеты!182:182)</f>
        <v>0</v>
      </c>
    </row>
    <row r="82" spans="2:13" hidden="1" outlineLevel="1">
      <c r="B82" s="139" t="s">
        <v>12</v>
      </c>
      <c r="C82" s="140">
        <f>-SUMIF(Доп.расчеты!$3:$3,Свод!C$4,Доп.расчеты!183:183)</f>
        <v>0</v>
      </c>
      <c r="D82" s="140">
        <f>-SUMIF(Доп.расчеты!$3:$3,Свод!D$4,Доп.расчеты!183:183)</f>
        <v>0</v>
      </c>
      <c r="E82" s="140">
        <f>-SUMIF(Доп.расчеты!$3:$3,Свод!E$4,Доп.расчеты!183:183)</f>
        <v>0</v>
      </c>
      <c r="F82" s="140">
        <f>-SUMIF(Доп.расчеты!$3:$3,Свод!F$4,Доп.расчеты!183:183)</f>
        <v>0</v>
      </c>
      <c r="G82" s="140">
        <f>-SUMIF(Доп.расчеты!$3:$3,Свод!G$4,Доп.расчеты!183:183)</f>
        <v>0</v>
      </c>
      <c r="H82" s="140">
        <f>-SUMIF(Доп.расчеты!$3:$3,Свод!H$4,Доп.расчеты!183:183)</f>
        <v>0</v>
      </c>
      <c r="I82" s="140">
        <f>-SUMIF(Доп.расчеты!$3:$3,Свод!I$4,Доп.расчеты!183:183)</f>
        <v>0</v>
      </c>
      <c r="J82" s="140">
        <f>-SUMIF(Доп.расчеты!$3:$3,Свод!J$4,Доп.расчеты!183:183)</f>
        <v>0</v>
      </c>
      <c r="K82" s="140">
        <f>-SUMIF(Доп.расчеты!$3:$3,Свод!K$4,Доп.расчеты!183:183)</f>
        <v>0</v>
      </c>
      <c r="L82" s="140">
        <f>-SUMIF(Доп.расчеты!$3:$3,Свод!L$4,Доп.расчеты!183:183)</f>
        <v>0</v>
      </c>
      <c r="M82" s="140">
        <f>-SUMIF(Доп.расчеты!$3:$3,Свод!M$4,Доп.расчеты!183:183)</f>
        <v>0</v>
      </c>
    </row>
    <row r="83" spans="2:13" hidden="1" outlineLevel="1">
      <c r="B83" s="139" t="s">
        <v>116</v>
      </c>
      <c r="C83" s="140">
        <f>-SUMIF(Доп.расчеты!$3:$3,Свод!C$4,Доп.расчеты!184:184)</f>
        <v>0</v>
      </c>
      <c r="D83" s="140">
        <f>-SUMIF(Доп.расчеты!$3:$3,Свод!D$4,Доп.расчеты!184:184)</f>
        <v>0</v>
      </c>
      <c r="E83" s="140">
        <f>-SUMIF(Доп.расчеты!$3:$3,Свод!E$4,Доп.расчеты!184:184)</f>
        <v>0</v>
      </c>
      <c r="F83" s="140">
        <f>-SUMIF(Доп.расчеты!$3:$3,Свод!F$4,Доп.расчеты!184:184)</f>
        <v>0</v>
      </c>
      <c r="G83" s="140">
        <f>-SUMIF(Доп.расчеты!$3:$3,Свод!G$4,Доп.расчеты!184:184)</f>
        <v>0</v>
      </c>
      <c r="H83" s="140">
        <f>-SUMIF(Доп.расчеты!$3:$3,Свод!H$4,Доп.расчеты!184:184)</f>
        <v>0</v>
      </c>
      <c r="I83" s="140">
        <f>-SUMIF(Доп.расчеты!$3:$3,Свод!I$4,Доп.расчеты!184:184)</f>
        <v>0</v>
      </c>
      <c r="J83" s="140">
        <f>-SUMIF(Доп.расчеты!$3:$3,Свод!J$4,Доп.расчеты!184:184)</f>
        <v>0</v>
      </c>
      <c r="K83" s="140">
        <f>-SUMIF(Доп.расчеты!$3:$3,Свод!K$4,Доп.расчеты!184:184)</f>
        <v>0</v>
      </c>
      <c r="L83" s="140">
        <f>-SUMIF(Доп.расчеты!$3:$3,Свод!L$4,Доп.расчеты!184:184)</f>
        <v>0</v>
      </c>
      <c r="M83" s="140">
        <f>-SUMIF(Доп.расчеты!$3:$3,Свод!M$4,Доп.расчеты!184:184)</f>
        <v>0</v>
      </c>
    </row>
    <row r="84" spans="2:13" hidden="1" outlineLevel="1">
      <c r="B84" s="139" t="s">
        <v>24</v>
      </c>
      <c r="C84" s="140">
        <f>-SUMIF(Доп.расчеты!$3:$3,Свод!C$4,Доп.расчеты!185:185)</f>
        <v>0</v>
      </c>
      <c r="D84" s="140">
        <f>-SUMIF(Доп.расчеты!$3:$3,Свод!D$4,Доп.расчеты!185:185)</f>
        <v>0</v>
      </c>
      <c r="E84" s="140">
        <f>-SUMIF(Доп.расчеты!$3:$3,Свод!E$4,Доп.расчеты!185:185)</f>
        <v>0</v>
      </c>
      <c r="F84" s="140">
        <f>-SUMIF(Доп.расчеты!$3:$3,Свод!F$4,Доп.расчеты!185:185)</f>
        <v>0</v>
      </c>
      <c r="G84" s="140">
        <f>-SUMIF(Доп.расчеты!$3:$3,Свод!G$4,Доп.расчеты!185:185)</f>
        <v>0</v>
      </c>
      <c r="H84" s="140">
        <f>-SUMIF(Доп.расчеты!$3:$3,Свод!H$4,Доп.расчеты!185:185)</f>
        <v>0</v>
      </c>
      <c r="I84" s="140">
        <f>-SUMIF(Доп.расчеты!$3:$3,Свод!I$4,Доп.расчеты!185:185)</f>
        <v>0</v>
      </c>
      <c r="J84" s="140">
        <f>-SUMIF(Доп.расчеты!$3:$3,Свод!J$4,Доп.расчеты!185:185)</f>
        <v>0</v>
      </c>
      <c r="K84" s="140">
        <f>-SUMIF(Доп.расчеты!$3:$3,Свод!K$4,Доп.расчеты!185:185)</f>
        <v>0</v>
      </c>
      <c r="L84" s="140">
        <f>-SUMIF(Доп.расчеты!$3:$3,Свод!L$4,Доп.расчеты!185:185)</f>
        <v>0</v>
      </c>
      <c r="M84" s="140">
        <f>-SUMIF(Доп.расчеты!$3:$3,Свод!M$4,Доп.расчеты!185:185)</f>
        <v>0</v>
      </c>
    </row>
    <row r="85" spans="2:13" hidden="1" outlineLevel="1">
      <c r="B85" s="139" t="s">
        <v>25</v>
      </c>
      <c r="C85" s="140">
        <f>-SUMIF(Доп.расчеты!$3:$3,Свод!C$4,Доп.расчеты!186:186)</f>
        <v>0</v>
      </c>
      <c r="D85" s="140">
        <f>-SUMIF(Доп.расчеты!$3:$3,Свод!D$4,Доп.расчеты!186:186)</f>
        <v>0</v>
      </c>
      <c r="E85" s="140">
        <f>-SUMIF(Доп.расчеты!$3:$3,Свод!E$4,Доп.расчеты!186:186)</f>
        <v>0</v>
      </c>
      <c r="F85" s="140">
        <f>-SUMIF(Доп.расчеты!$3:$3,Свод!F$4,Доп.расчеты!186:186)</f>
        <v>0</v>
      </c>
      <c r="G85" s="140">
        <f>-SUMIF(Доп.расчеты!$3:$3,Свод!G$4,Доп.расчеты!186:186)</f>
        <v>0</v>
      </c>
      <c r="H85" s="140">
        <f>-SUMIF(Доп.расчеты!$3:$3,Свод!H$4,Доп.расчеты!186:186)</f>
        <v>0</v>
      </c>
      <c r="I85" s="140">
        <f>-SUMIF(Доп.расчеты!$3:$3,Свод!I$4,Доп.расчеты!186:186)</f>
        <v>0</v>
      </c>
      <c r="J85" s="140">
        <f>-SUMIF(Доп.расчеты!$3:$3,Свод!J$4,Доп.расчеты!186:186)</f>
        <v>0</v>
      </c>
      <c r="K85" s="140">
        <f>-SUMIF(Доп.расчеты!$3:$3,Свод!K$4,Доп.расчеты!186:186)</f>
        <v>0</v>
      </c>
      <c r="L85" s="140">
        <f>-SUMIF(Доп.расчеты!$3:$3,Свод!L$4,Доп.расчеты!186:186)</f>
        <v>0</v>
      </c>
      <c r="M85" s="140">
        <f>-SUMIF(Доп.расчеты!$3:$3,Свод!M$4,Доп.расчеты!186:186)</f>
        <v>0</v>
      </c>
    </row>
    <row r="86" spans="2:13" hidden="1" outlineLevel="1">
      <c r="B86" s="139" t="s">
        <v>14</v>
      </c>
      <c r="C86" s="140">
        <f>-SUMIF(Доп.расчеты!$3:$3,Свод!C$4,Доп.расчеты!187:187)</f>
        <v>0</v>
      </c>
      <c r="D86" s="140">
        <f>-SUMIF(Доп.расчеты!$3:$3,Свод!D$4,Доп.расчеты!187:187)</f>
        <v>0</v>
      </c>
      <c r="E86" s="140">
        <f>-SUMIF(Доп.расчеты!$3:$3,Свод!E$4,Доп.расчеты!187:187)</f>
        <v>0</v>
      </c>
      <c r="F86" s="140">
        <f>-SUMIF(Доп.расчеты!$3:$3,Свод!F$4,Доп.расчеты!187:187)</f>
        <v>0</v>
      </c>
      <c r="G86" s="140">
        <f>-SUMIF(Доп.расчеты!$3:$3,Свод!G$4,Доп.расчеты!187:187)</f>
        <v>0</v>
      </c>
      <c r="H86" s="140">
        <f>-SUMIF(Доп.расчеты!$3:$3,Свод!H$4,Доп.расчеты!187:187)</f>
        <v>0</v>
      </c>
      <c r="I86" s="140">
        <f>-SUMIF(Доп.расчеты!$3:$3,Свод!I$4,Доп.расчеты!187:187)</f>
        <v>0</v>
      </c>
      <c r="J86" s="140">
        <f>-SUMIF(Доп.расчеты!$3:$3,Свод!J$4,Доп.расчеты!187:187)</f>
        <v>0</v>
      </c>
      <c r="K86" s="140">
        <f>-SUMIF(Доп.расчеты!$3:$3,Свод!K$4,Доп.расчеты!187:187)</f>
        <v>0</v>
      </c>
      <c r="L86" s="140">
        <f>-SUMIF(Доп.расчеты!$3:$3,Свод!L$4,Доп.расчеты!187:187)</f>
        <v>0</v>
      </c>
      <c r="M86" s="140">
        <f>-SUMIF(Доп.расчеты!$3:$3,Свод!M$4,Доп.расчеты!187:187)</f>
        <v>0</v>
      </c>
    </row>
    <row r="87" spans="2:13" hidden="1" outlineLevel="1">
      <c r="B87" s="139" t="s">
        <v>117</v>
      </c>
      <c r="C87" s="140">
        <f>-SUMIF(Доп.расчеты!$3:$3,Свод!C$4,Доп.расчеты!188:188)</f>
        <v>0</v>
      </c>
      <c r="D87" s="140">
        <f>-SUMIF(Доп.расчеты!$3:$3,Свод!D$4,Доп.расчеты!188:188)</f>
        <v>0</v>
      </c>
      <c r="E87" s="140">
        <f>-SUMIF(Доп.расчеты!$3:$3,Свод!E$4,Доп.расчеты!188:188)</f>
        <v>0</v>
      </c>
      <c r="F87" s="140">
        <f>-SUMIF(Доп.расчеты!$3:$3,Свод!F$4,Доп.расчеты!188:188)</f>
        <v>0</v>
      </c>
      <c r="G87" s="140">
        <f>-SUMIF(Доп.расчеты!$3:$3,Свод!G$4,Доп.расчеты!188:188)</f>
        <v>0</v>
      </c>
      <c r="H87" s="140">
        <f>-SUMIF(Доп.расчеты!$3:$3,Свод!H$4,Доп.расчеты!188:188)</f>
        <v>0</v>
      </c>
      <c r="I87" s="140">
        <f>-SUMIF(Доп.расчеты!$3:$3,Свод!I$4,Доп.расчеты!188:188)</f>
        <v>0</v>
      </c>
      <c r="J87" s="140">
        <f>-SUMIF(Доп.расчеты!$3:$3,Свод!J$4,Доп.расчеты!188:188)</f>
        <v>0</v>
      </c>
      <c r="K87" s="140">
        <f>-SUMIF(Доп.расчеты!$3:$3,Свод!K$4,Доп.расчеты!188:188)</f>
        <v>0</v>
      </c>
      <c r="L87" s="140">
        <f>-SUMIF(Доп.расчеты!$3:$3,Свод!L$4,Доп.расчеты!188:188)</f>
        <v>0</v>
      </c>
      <c r="M87" s="140">
        <f>-SUMIF(Доп.расчеты!$3:$3,Свод!M$4,Доп.расчеты!188:188)</f>
        <v>0</v>
      </c>
    </row>
    <row r="88" spans="2:13" hidden="1" outlineLevel="1">
      <c r="B88" s="139" t="s">
        <v>118</v>
      </c>
      <c r="C88" s="140">
        <f>-SUMIF(Доп.расчеты!$3:$3,Свод!C$4,Доп.расчеты!189:189)</f>
        <v>0</v>
      </c>
      <c r="D88" s="140">
        <f>-SUMIF(Доп.расчеты!$3:$3,Свод!D$4,Доп.расчеты!189:189)</f>
        <v>0</v>
      </c>
      <c r="E88" s="140">
        <f>-SUMIF(Доп.расчеты!$3:$3,Свод!E$4,Доп.расчеты!189:189)</f>
        <v>0</v>
      </c>
      <c r="F88" s="140">
        <f>-SUMIF(Доп.расчеты!$3:$3,Свод!F$4,Доп.расчеты!189:189)</f>
        <v>0</v>
      </c>
      <c r="G88" s="140">
        <f>-SUMIF(Доп.расчеты!$3:$3,Свод!G$4,Доп.расчеты!189:189)</f>
        <v>0</v>
      </c>
      <c r="H88" s="140">
        <f>-SUMIF(Доп.расчеты!$3:$3,Свод!H$4,Доп.расчеты!189:189)</f>
        <v>0</v>
      </c>
      <c r="I88" s="140">
        <f>-SUMIF(Доп.расчеты!$3:$3,Свод!I$4,Доп.расчеты!189:189)</f>
        <v>0</v>
      </c>
      <c r="J88" s="140">
        <f>-SUMIF(Доп.расчеты!$3:$3,Свод!J$4,Доп.расчеты!189:189)</f>
        <v>0</v>
      </c>
      <c r="K88" s="140">
        <f>-SUMIF(Доп.расчеты!$3:$3,Свод!K$4,Доп.расчеты!189:189)</f>
        <v>0</v>
      </c>
      <c r="L88" s="140">
        <f>-SUMIF(Доп.расчеты!$3:$3,Свод!L$4,Доп.расчеты!189:189)</f>
        <v>0</v>
      </c>
      <c r="M88" s="140">
        <f>-SUMIF(Доп.расчеты!$3:$3,Свод!M$4,Доп.расчеты!189:189)</f>
        <v>0</v>
      </c>
    </row>
    <row r="89" spans="2:13" ht="17.25" customHeight="1" collapsed="1" thickTop="1">
      <c r="B89" s="143" t="s">
        <v>130</v>
      </c>
      <c r="C89" s="144"/>
      <c r="D89" s="144"/>
      <c r="E89" s="144"/>
      <c r="F89" s="144"/>
      <c r="G89" s="144"/>
      <c r="H89" s="144"/>
      <c r="I89" s="144"/>
      <c r="J89" s="144"/>
      <c r="K89" s="144"/>
      <c r="L89" s="144"/>
      <c r="M89" s="144"/>
    </row>
    <row r="90" spans="2:13" ht="17.25" customHeight="1">
      <c r="B90" s="141" t="s">
        <v>242</v>
      </c>
      <c r="C90" s="142">
        <f>SUM(C91:C114)</f>
        <v>0</v>
      </c>
      <c r="D90" s="142">
        <f t="shared" ref="D90:I90" si="10">SUM(D91:D114)</f>
        <v>0</v>
      </c>
      <c r="E90" s="142">
        <f t="shared" si="10"/>
        <v>0</v>
      </c>
      <c r="F90" s="142">
        <f t="shared" si="10"/>
        <v>0</v>
      </c>
      <c r="G90" s="142">
        <f t="shared" si="10"/>
        <v>0</v>
      </c>
      <c r="H90" s="142">
        <f t="shared" si="10"/>
        <v>0</v>
      </c>
      <c r="I90" s="142">
        <f t="shared" si="10"/>
        <v>0</v>
      </c>
      <c r="J90" s="142">
        <f t="shared" ref="J90:M90" si="11">SUM(J91:J114)</f>
        <v>0</v>
      </c>
      <c r="K90" s="142">
        <f t="shared" si="11"/>
        <v>0</v>
      </c>
      <c r="L90" s="142">
        <f t="shared" si="11"/>
        <v>0</v>
      </c>
      <c r="M90" s="142">
        <f t="shared" si="11"/>
        <v>0</v>
      </c>
    </row>
    <row r="91" spans="2:13" hidden="1" outlineLevel="1">
      <c r="B91" s="139" t="s">
        <v>88</v>
      </c>
      <c r="C91" s="140">
        <f>-SUMIF(Доп.расчеты!$3:$3,Свод!C$4,Доп.расчеты!51:51)</f>
        <v>0</v>
      </c>
      <c r="D91" s="140">
        <f>-SUMIF(Доп.расчеты!$3:$3,Свод!D$4,Доп.расчеты!51:51)</f>
        <v>0</v>
      </c>
      <c r="E91" s="140">
        <f>-SUMIF(Доп.расчеты!$3:$3,Свод!E$4,Доп.расчеты!51:51)</f>
        <v>0</v>
      </c>
      <c r="F91" s="140">
        <f>-SUMIF(Доп.расчеты!$3:$3,Свод!F$4,Доп.расчеты!51:51)</f>
        <v>0</v>
      </c>
      <c r="G91" s="140">
        <f>-SUMIF(Доп.расчеты!$3:$3,Свод!G$4,Доп.расчеты!51:51)</f>
        <v>0</v>
      </c>
      <c r="H91" s="140">
        <f>-SUMIF(Доп.расчеты!$3:$3,Свод!H$4,Доп.расчеты!51:51)</f>
        <v>0</v>
      </c>
      <c r="I91" s="140">
        <f>-SUMIF(Доп.расчеты!$3:$3,Свод!I$4,Доп.расчеты!51:51)</f>
        <v>0</v>
      </c>
      <c r="J91" s="140">
        <f>-SUMIF(Доп.расчеты!$3:$3,Свод!J$4,Доп.расчеты!51:51)</f>
        <v>0</v>
      </c>
      <c r="K91" s="140">
        <f>-SUMIF(Доп.расчеты!$3:$3,Свод!K$4,Доп.расчеты!51:51)</f>
        <v>0</v>
      </c>
      <c r="L91" s="140">
        <f>-SUMIF(Доп.расчеты!$3:$3,Свод!L$4,Доп.расчеты!51:51)</f>
        <v>0</v>
      </c>
      <c r="M91" s="140">
        <f>-SUMIF(Доп.расчеты!$3:$3,Свод!M$4,Доп.расчеты!51:51)</f>
        <v>0</v>
      </c>
    </row>
    <row r="92" spans="2:13" hidden="1" outlineLevel="1">
      <c r="B92" s="139" t="s">
        <v>89</v>
      </c>
      <c r="C92" s="140">
        <f>-SUMIF(Доп.расчеты!$3:$3,Свод!C$4,Доп.расчеты!52:52)</f>
        <v>0</v>
      </c>
      <c r="D92" s="140">
        <f>-SUMIF(Доп.расчеты!$3:$3,Свод!D$4,Доп.расчеты!52:52)</f>
        <v>0</v>
      </c>
      <c r="E92" s="140">
        <f>-SUMIF(Доп.расчеты!$3:$3,Свод!E$4,Доп.расчеты!52:52)</f>
        <v>0</v>
      </c>
      <c r="F92" s="140">
        <f>-SUMIF(Доп.расчеты!$3:$3,Свод!F$4,Доп.расчеты!52:52)</f>
        <v>0</v>
      </c>
      <c r="G92" s="140">
        <f>-SUMIF(Доп.расчеты!$3:$3,Свод!G$4,Доп.расчеты!52:52)</f>
        <v>0</v>
      </c>
      <c r="H92" s="140">
        <f>-SUMIF(Доп.расчеты!$3:$3,Свод!H$4,Доп.расчеты!52:52)</f>
        <v>0</v>
      </c>
      <c r="I92" s="140">
        <f>-SUMIF(Доп.расчеты!$3:$3,Свод!I$4,Доп.расчеты!52:52)</f>
        <v>0</v>
      </c>
      <c r="J92" s="140">
        <f>-SUMIF(Доп.расчеты!$3:$3,Свод!J$4,Доп.расчеты!52:52)</f>
        <v>0</v>
      </c>
      <c r="K92" s="140">
        <f>-SUMIF(Доп.расчеты!$3:$3,Свод!K$4,Доп.расчеты!52:52)</f>
        <v>0</v>
      </c>
      <c r="L92" s="140">
        <f>-SUMIF(Доп.расчеты!$3:$3,Свод!L$4,Доп.расчеты!52:52)</f>
        <v>0</v>
      </c>
      <c r="M92" s="140">
        <f>-SUMIF(Доп.расчеты!$3:$3,Свод!M$4,Доп.расчеты!52:52)</f>
        <v>0</v>
      </c>
    </row>
    <row r="93" spans="2:13" hidden="1" outlineLevel="1">
      <c r="B93" s="139" t="s">
        <v>90</v>
      </c>
      <c r="C93" s="140">
        <f>-SUMIF(Доп.расчеты!$3:$3,Свод!C$4,Доп.расчеты!53:53)</f>
        <v>0</v>
      </c>
      <c r="D93" s="140">
        <f>-SUMIF(Доп.расчеты!$3:$3,Свод!D$4,Доп.расчеты!53:53)</f>
        <v>0</v>
      </c>
      <c r="E93" s="140">
        <f>-SUMIF(Доп.расчеты!$3:$3,Свод!E$4,Доп.расчеты!53:53)</f>
        <v>0</v>
      </c>
      <c r="F93" s="140">
        <f>-SUMIF(Доп.расчеты!$3:$3,Свод!F$4,Доп.расчеты!53:53)</f>
        <v>0</v>
      </c>
      <c r="G93" s="140">
        <f>-SUMIF(Доп.расчеты!$3:$3,Свод!G$4,Доп.расчеты!53:53)</f>
        <v>0</v>
      </c>
      <c r="H93" s="140">
        <f>-SUMIF(Доп.расчеты!$3:$3,Свод!H$4,Доп.расчеты!53:53)</f>
        <v>0</v>
      </c>
      <c r="I93" s="140">
        <f>-SUMIF(Доп.расчеты!$3:$3,Свод!I$4,Доп.расчеты!53:53)</f>
        <v>0</v>
      </c>
      <c r="J93" s="140">
        <f>-SUMIF(Доп.расчеты!$3:$3,Свод!J$4,Доп.расчеты!53:53)</f>
        <v>0</v>
      </c>
      <c r="K93" s="140">
        <f>-SUMIF(Доп.расчеты!$3:$3,Свод!K$4,Доп.расчеты!53:53)</f>
        <v>0</v>
      </c>
      <c r="L93" s="140">
        <f>-SUMIF(Доп.расчеты!$3:$3,Свод!L$4,Доп.расчеты!53:53)</f>
        <v>0</v>
      </c>
      <c r="M93" s="140">
        <f>-SUMIF(Доп.расчеты!$3:$3,Свод!M$4,Доп.расчеты!53:53)</f>
        <v>0</v>
      </c>
    </row>
    <row r="94" spans="2:13" hidden="1" outlineLevel="1">
      <c r="B94" s="139" t="s">
        <v>91</v>
      </c>
      <c r="C94" s="140">
        <f>-SUMIF(Доп.расчеты!$3:$3,Свод!C$4,Доп.расчеты!54:54)</f>
        <v>0</v>
      </c>
      <c r="D94" s="140">
        <f>-SUMIF(Доп.расчеты!$3:$3,Свод!D$4,Доп.расчеты!54:54)</f>
        <v>0</v>
      </c>
      <c r="E94" s="140">
        <f>-SUMIF(Доп.расчеты!$3:$3,Свод!E$4,Доп.расчеты!54:54)</f>
        <v>0</v>
      </c>
      <c r="F94" s="140">
        <f>-SUMIF(Доп.расчеты!$3:$3,Свод!F$4,Доп.расчеты!54:54)</f>
        <v>0</v>
      </c>
      <c r="G94" s="140">
        <f>-SUMIF(Доп.расчеты!$3:$3,Свод!G$4,Доп.расчеты!54:54)</f>
        <v>0</v>
      </c>
      <c r="H94" s="140">
        <f>-SUMIF(Доп.расчеты!$3:$3,Свод!H$4,Доп.расчеты!54:54)</f>
        <v>0</v>
      </c>
      <c r="I94" s="140">
        <f>-SUMIF(Доп.расчеты!$3:$3,Свод!I$4,Доп.расчеты!54:54)</f>
        <v>0</v>
      </c>
      <c r="J94" s="140">
        <f>-SUMIF(Доп.расчеты!$3:$3,Свод!J$4,Доп.расчеты!54:54)</f>
        <v>0</v>
      </c>
      <c r="K94" s="140">
        <f>-SUMIF(Доп.расчеты!$3:$3,Свод!K$4,Доп.расчеты!54:54)</f>
        <v>0</v>
      </c>
      <c r="L94" s="140">
        <f>-SUMIF(Доп.расчеты!$3:$3,Свод!L$4,Доп.расчеты!54:54)</f>
        <v>0</v>
      </c>
      <c r="M94" s="140">
        <f>-SUMIF(Доп.расчеты!$3:$3,Свод!M$4,Доп.расчеты!54:54)</f>
        <v>0</v>
      </c>
    </row>
    <row r="95" spans="2:13" hidden="1" outlineLevel="1">
      <c r="B95" s="139" t="s">
        <v>92</v>
      </c>
      <c r="C95" s="140">
        <f>-SUMIF(Доп.расчеты!$3:$3,Свод!C$4,Доп.расчеты!55:55)</f>
        <v>0</v>
      </c>
      <c r="D95" s="140">
        <f>-SUMIF(Доп.расчеты!$3:$3,Свод!D$4,Доп.расчеты!55:55)</f>
        <v>0</v>
      </c>
      <c r="E95" s="140">
        <f>-SUMIF(Доп.расчеты!$3:$3,Свод!E$4,Доп.расчеты!55:55)</f>
        <v>0</v>
      </c>
      <c r="F95" s="140">
        <f>-SUMIF(Доп.расчеты!$3:$3,Свод!F$4,Доп.расчеты!55:55)</f>
        <v>0</v>
      </c>
      <c r="G95" s="140">
        <f>-SUMIF(Доп.расчеты!$3:$3,Свод!G$4,Доп.расчеты!55:55)</f>
        <v>0</v>
      </c>
      <c r="H95" s="140">
        <f>-SUMIF(Доп.расчеты!$3:$3,Свод!H$4,Доп.расчеты!55:55)</f>
        <v>0</v>
      </c>
      <c r="I95" s="140">
        <f>-SUMIF(Доп.расчеты!$3:$3,Свод!I$4,Доп.расчеты!55:55)</f>
        <v>0</v>
      </c>
      <c r="J95" s="140">
        <f>-SUMIF(Доп.расчеты!$3:$3,Свод!J$4,Доп.расчеты!55:55)</f>
        <v>0</v>
      </c>
      <c r="K95" s="140">
        <f>-SUMIF(Доп.расчеты!$3:$3,Свод!K$4,Доп.расчеты!55:55)</f>
        <v>0</v>
      </c>
      <c r="L95" s="140">
        <f>-SUMIF(Доп.расчеты!$3:$3,Свод!L$4,Доп.расчеты!55:55)</f>
        <v>0</v>
      </c>
      <c r="M95" s="140">
        <f>-SUMIF(Доп.расчеты!$3:$3,Свод!M$4,Доп.расчеты!55:55)</f>
        <v>0</v>
      </c>
    </row>
    <row r="96" spans="2:13" hidden="1" outlineLevel="1">
      <c r="B96" s="139" t="s">
        <v>93</v>
      </c>
      <c r="C96" s="140">
        <f>-SUMIF(Доп.расчеты!$3:$3,Свод!C$4,Доп.расчеты!56:56)</f>
        <v>0</v>
      </c>
      <c r="D96" s="140">
        <f>-SUMIF(Доп.расчеты!$3:$3,Свод!D$4,Доп.расчеты!56:56)</f>
        <v>0</v>
      </c>
      <c r="E96" s="140">
        <f>-SUMIF(Доп.расчеты!$3:$3,Свод!E$4,Доп.расчеты!56:56)</f>
        <v>0</v>
      </c>
      <c r="F96" s="140">
        <f>-SUMIF(Доп.расчеты!$3:$3,Свод!F$4,Доп.расчеты!56:56)</f>
        <v>0</v>
      </c>
      <c r="G96" s="140">
        <f>-SUMIF(Доп.расчеты!$3:$3,Свод!G$4,Доп.расчеты!56:56)</f>
        <v>0</v>
      </c>
      <c r="H96" s="140">
        <f>-SUMIF(Доп.расчеты!$3:$3,Свод!H$4,Доп.расчеты!56:56)</f>
        <v>0</v>
      </c>
      <c r="I96" s="140">
        <f>-SUMIF(Доп.расчеты!$3:$3,Свод!I$4,Доп.расчеты!56:56)</f>
        <v>0</v>
      </c>
      <c r="J96" s="140">
        <f>-SUMIF(Доп.расчеты!$3:$3,Свод!J$4,Доп.расчеты!56:56)</f>
        <v>0</v>
      </c>
      <c r="K96" s="140">
        <f>-SUMIF(Доп.расчеты!$3:$3,Свод!K$4,Доп.расчеты!56:56)</f>
        <v>0</v>
      </c>
      <c r="L96" s="140">
        <f>-SUMIF(Доп.расчеты!$3:$3,Свод!L$4,Доп.расчеты!56:56)</f>
        <v>0</v>
      </c>
      <c r="M96" s="140">
        <f>-SUMIF(Доп.расчеты!$3:$3,Свод!M$4,Доп.расчеты!56:56)</f>
        <v>0</v>
      </c>
    </row>
    <row r="97" spans="2:13" hidden="1" outlineLevel="1">
      <c r="B97" s="139" t="s">
        <v>94</v>
      </c>
      <c r="C97" s="140">
        <f>-SUMIF(Доп.расчеты!$3:$3,Свод!C$4,Доп.расчеты!57:57)</f>
        <v>0</v>
      </c>
      <c r="D97" s="140">
        <f>-SUMIF(Доп.расчеты!$3:$3,Свод!D$4,Доп.расчеты!57:57)</f>
        <v>0</v>
      </c>
      <c r="E97" s="140">
        <f>-SUMIF(Доп.расчеты!$3:$3,Свод!E$4,Доп.расчеты!57:57)</f>
        <v>0</v>
      </c>
      <c r="F97" s="140">
        <f>-SUMIF(Доп.расчеты!$3:$3,Свод!F$4,Доп.расчеты!57:57)</f>
        <v>0</v>
      </c>
      <c r="G97" s="140">
        <f>-SUMIF(Доп.расчеты!$3:$3,Свод!G$4,Доп.расчеты!57:57)</f>
        <v>0</v>
      </c>
      <c r="H97" s="140">
        <f>-SUMIF(Доп.расчеты!$3:$3,Свод!H$4,Доп.расчеты!57:57)</f>
        <v>0</v>
      </c>
      <c r="I97" s="140">
        <f>-SUMIF(Доп.расчеты!$3:$3,Свод!I$4,Доп.расчеты!57:57)</f>
        <v>0</v>
      </c>
      <c r="J97" s="140">
        <f>-SUMIF(Доп.расчеты!$3:$3,Свод!J$4,Доп.расчеты!57:57)</f>
        <v>0</v>
      </c>
      <c r="K97" s="140">
        <f>-SUMIF(Доп.расчеты!$3:$3,Свод!K$4,Доп.расчеты!57:57)</f>
        <v>0</v>
      </c>
      <c r="L97" s="140">
        <f>-SUMIF(Доп.расчеты!$3:$3,Свод!L$4,Доп.расчеты!57:57)</f>
        <v>0</v>
      </c>
      <c r="M97" s="140">
        <f>-SUMIF(Доп.расчеты!$3:$3,Свод!M$4,Доп.расчеты!57:57)</f>
        <v>0</v>
      </c>
    </row>
    <row r="98" spans="2:13" hidden="1" outlineLevel="1">
      <c r="B98" s="139" t="s">
        <v>95</v>
      </c>
      <c r="C98" s="140">
        <f>-SUMIF(Доп.расчеты!$3:$3,Свод!C$4,Доп.расчеты!58:58)</f>
        <v>0</v>
      </c>
      <c r="D98" s="140">
        <f>-SUMIF(Доп.расчеты!$3:$3,Свод!D$4,Доп.расчеты!58:58)</f>
        <v>0</v>
      </c>
      <c r="E98" s="140">
        <f>-SUMIF(Доп.расчеты!$3:$3,Свод!E$4,Доп.расчеты!58:58)</f>
        <v>0</v>
      </c>
      <c r="F98" s="140">
        <f>-SUMIF(Доп.расчеты!$3:$3,Свод!F$4,Доп.расчеты!58:58)</f>
        <v>0</v>
      </c>
      <c r="G98" s="140">
        <f>-SUMIF(Доп.расчеты!$3:$3,Свод!G$4,Доп.расчеты!58:58)</f>
        <v>0</v>
      </c>
      <c r="H98" s="140">
        <f>-SUMIF(Доп.расчеты!$3:$3,Свод!H$4,Доп.расчеты!58:58)</f>
        <v>0</v>
      </c>
      <c r="I98" s="140">
        <f>-SUMIF(Доп.расчеты!$3:$3,Свод!I$4,Доп.расчеты!58:58)</f>
        <v>0</v>
      </c>
      <c r="J98" s="140">
        <f>-SUMIF(Доп.расчеты!$3:$3,Свод!J$4,Доп.расчеты!58:58)</f>
        <v>0</v>
      </c>
      <c r="K98" s="140">
        <f>-SUMIF(Доп.расчеты!$3:$3,Свод!K$4,Доп.расчеты!58:58)</f>
        <v>0</v>
      </c>
      <c r="L98" s="140">
        <f>-SUMIF(Доп.расчеты!$3:$3,Свод!L$4,Доп.расчеты!58:58)</f>
        <v>0</v>
      </c>
      <c r="M98" s="140">
        <f>-SUMIF(Доп.расчеты!$3:$3,Свод!M$4,Доп.расчеты!58:58)</f>
        <v>0</v>
      </c>
    </row>
    <row r="99" spans="2:13" hidden="1" outlineLevel="1">
      <c r="B99" s="139" t="s">
        <v>96</v>
      </c>
      <c r="C99" s="140">
        <f>-SUMIF(Доп.расчеты!$3:$3,Свод!C$4,Доп.расчеты!59:59)</f>
        <v>0</v>
      </c>
      <c r="D99" s="140">
        <f>-SUMIF(Доп.расчеты!$3:$3,Свод!D$4,Доп.расчеты!59:59)</f>
        <v>0</v>
      </c>
      <c r="E99" s="140">
        <f>-SUMIF(Доп.расчеты!$3:$3,Свод!E$4,Доп.расчеты!59:59)</f>
        <v>0</v>
      </c>
      <c r="F99" s="140">
        <f>-SUMIF(Доп.расчеты!$3:$3,Свод!F$4,Доп.расчеты!59:59)</f>
        <v>0</v>
      </c>
      <c r="G99" s="140">
        <f>-SUMIF(Доп.расчеты!$3:$3,Свод!G$4,Доп.расчеты!59:59)</f>
        <v>0</v>
      </c>
      <c r="H99" s="140">
        <f>-SUMIF(Доп.расчеты!$3:$3,Свод!H$4,Доп.расчеты!59:59)</f>
        <v>0</v>
      </c>
      <c r="I99" s="140">
        <f>-SUMIF(Доп.расчеты!$3:$3,Свод!I$4,Доп.расчеты!59:59)</f>
        <v>0</v>
      </c>
      <c r="J99" s="140">
        <f>-SUMIF(Доп.расчеты!$3:$3,Свод!J$4,Доп.расчеты!59:59)</f>
        <v>0</v>
      </c>
      <c r="K99" s="140">
        <f>-SUMIF(Доп.расчеты!$3:$3,Свод!K$4,Доп.расчеты!59:59)</f>
        <v>0</v>
      </c>
      <c r="L99" s="140">
        <f>-SUMIF(Доп.расчеты!$3:$3,Свод!L$4,Доп.расчеты!59:59)</f>
        <v>0</v>
      </c>
      <c r="M99" s="140">
        <f>-SUMIF(Доп.расчеты!$3:$3,Свод!M$4,Доп.расчеты!59:59)</f>
        <v>0</v>
      </c>
    </row>
    <row r="100" spans="2:13" hidden="1" outlineLevel="1">
      <c r="B100" s="139" t="s">
        <v>97</v>
      </c>
      <c r="C100" s="140">
        <f>-SUMIF(Доп.расчеты!$3:$3,Свод!C$4,Доп.расчеты!60:60)</f>
        <v>0</v>
      </c>
      <c r="D100" s="140">
        <f>-SUMIF(Доп.расчеты!$3:$3,Свод!D$4,Доп.расчеты!60:60)</f>
        <v>0</v>
      </c>
      <c r="E100" s="140">
        <f>-SUMIF(Доп.расчеты!$3:$3,Свод!E$4,Доп.расчеты!60:60)</f>
        <v>0</v>
      </c>
      <c r="F100" s="140">
        <f>-SUMIF(Доп.расчеты!$3:$3,Свод!F$4,Доп.расчеты!60:60)</f>
        <v>0</v>
      </c>
      <c r="G100" s="140">
        <f>-SUMIF(Доп.расчеты!$3:$3,Свод!G$4,Доп.расчеты!60:60)</f>
        <v>0</v>
      </c>
      <c r="H100" s="140">
        <f>-SUMIF(Доп.расчеты!$3:$3,Свод!H$4,Доп.расчеты!60:60)</f>
        <v>0</v>
      </c>
      <c r="I100" s="140">
        <f>-SUMIF(Доп.расчеты!$3:$3,Свод!I$4,Доп.расчеты!60:60)</f>
        <v>0</v>
      </c>
      <c r="J100" s="140">
        <f>-SUMIF(Доп.расчеты!$3:$3,Свод!J$4,Доп.расчеты!60:60)</f>
        <v>0</v>
      </c>
      <c r="K100" s="140">
        <f>-SUMIF(Доп.расчеты!$3:$3,Свод!K$4,Доп.расчеты!60:60)</f>
        <v>0</v>
      </c>
      <c r="L100" s="140">
        <f>-SUMIF(Доп.расчеты!$3:$3,Свод!L$4,Доп.расчеты!60:60)</f>
        <v>0</v>
      </c>
      <c r="M100" s="140">
        <f>-SUMIF(Доп.расчеты!$3:$3,Свод!M$4,Доп.расчеты!60:60)</f>
        <v>0</v>
      </c>
    </row>
    <row r="101" spans="2:13" hidden="1" outlineLevel="1">
      <c r="B101" s="139" t="s">
        <v>98</v>
      </c>
      <c r="C101" s="140">
        <f>-SUMIF(Доп.расчеты!$3:$3,Свод!C$4,Доп.расчеты!61:61)</f>
        <v>0</v>
      </c>
      <c r="D101" s="140">
        <f>-SUMIF(Доп.расчеты!$3:$3,Свод!D$4,Доп.расчеты!61:61)</f>
        <v>0</v>
      </c>
      <c r="E101" s="140">
        <f>-SUMIF(Доп.расчеты!$3:$3,Свод!E$4,Доп.расчеты!61:61)</f>
        <v>0</v>
      </c>
      <c r="F101" s="140">
        <f>-SUMIF(Доп.расчеты!$3:$3,Свод!F$4,Доп.расчеты!61:61)</f>
        <v>0</v>
      </c>
      <c r="G101" s="140">
        <f>-SUMIF(Доп.расчеты!$3:$3,Свод!G$4,Доп.расчеты!61:61)</f>
        <v>0</v>
      </c>
      <c r="H101" s="140">
        <f>-SUMIF(Доп.расчеты!$3:$3,Свод!H$4,Доп.расчеты!61:61)</f>
        <v>0</v>
      </c>
      <c r="I101" s="140">
        <f>-SUMIF(Доп.расчеты!$3:$3,Свод!I$4,Доп.расчеты!61:61)</f>
        <v>0</v>
      </c>
      <c r="J101" s="140">
        <f>-SUMIF(Доп.расчеты!$3:$3,Свод!J$4,Доп.расчеты!61:61)</f>
        <v>0</v>
      </c>
      <c r="K101" s="140">
        <f>-SUMIF(Доп.расчеты!$3:$3,Свод!K$4,Доп.расчеты!61:61)</f>
        <v>0</v>
      </c>
      <c r="L101" s="140">
        <f>-SUMIF(Доп.расчеты!$3:$3,Свод!L$4,Доп.расчеты!61:61)</f>
        <v>0</v>
      </c>
      <c r="M101" s="140">
        <f>-SUMIF(Доп.расчеты!$3:$3,Свод!M$4,Доп.расчеты!61:61)</f>
        <v>0</v>
      </c>
    </row>
    <row r="102" spans="2:13" hidden="1" outlineLevel="1">
      <c r="B102" s="139" t="s">
        <v>99</v>
      </c>
      <c r="C102" s="140">
        <f>-SUMIF(Доп.расчеты!$3:$3,Свод!C$4,Доп.расчеты!62:62)</f>
        <v>0</v>
      </c>
      <c r="D102" s="140">
        <f>-SUMIF(Доп.расчеты!$3:$3,Свод!D$4,Доп.расчеты!62:62)</f>
        <v>0</v>
      </c>
      <c r="E102" s="140">
        <f>-SUMIF(Доп.расчеты!$3:$3,Свод!E$4,Доп.расчеты!62:62)</f>
        <v>0</v>
      </c>
      <c r="F102" s="140">
        <f>-SUMIF(Доп.расчеты!$3:$3,Свод!F$4,Доп.расчеты!62:62)</f>
        <v>0</v>
      </c>
      <c r="G102" s="140">
        <f>-SUMIF(Доп.расчеты!$3:$3,Свод!G$4,Доп.расчеты!62:62)</f>
        <v>0</v>
      </c>
      <c r="H102" s="140">
        <f>-SUMIF(Доп.расчеты!$3:$3,Свод!H$4,Доп.расчеты!62:62)</f>
        <v>0</v>
      </c>
      <c r="I102" s="140">
        <f>-SUMIF(Доп.расчеты!$3:$3,Свод!I$4,Доп.расчеты!62:62)</f>
        <v>0</v>
      </c>
      <c r="J102" s="140">
        <f>-SUMIF(Доп.расчеты!$3:$3,Свод!J$4,Доп.расчеты!62:62)</f>
        <v>0</v>
      </c>
      <c r="K102" s="140">
        <f>-SUMIF(Доп.расчеты!$3:$3,Свод!K$4,Доп.расчеты!62:62)</f>
        <v>0</v>
      </c>
      <c r="L102" s="140">
        <f>-SUMIF(Доп.расчеты!$3:$3,Свод!L$4,Доп.расчеты!62:62)</f>
        <v>0</v>
      </c>
      <c r="M102" s="140">
        <f>-SUMIF(Доп.расчеты!$3:$3,Свод!M$4,Доп.расчеты!62:62)</f>
        <v>0</v>
      </c>
    </row>
    <row r="103" spans="2:13" hidden="1" outlineLevel="1">
      <c r="B103" s="139" t="s">
        <v>100</v>
      </c>
      <c r="C103" s="140">
        <f>-SUMIF(Доп.расчеты!$3:$3,Свод!C$4,Доп.расчеты!63:63)</f>
        <v>0</v>
      </c>
      <c r="D103" s="140">
        <f>-SUMIF(Доп.расчеты!$3:$3,Свод!D$4,Доп.расчеты!63:63)</f>
        <v>0</v>
      </c>
      <c r="E103" s="140">
        <f>-SUMIF(Доп.расчеты!$3:$3,Свод!E$4,Доп.расчеты!63:63)</f>
        <v>0</v>
      </c>
      <c r="F103" s="140">
        <f>-SUMIF(Доп.расчеты!$3:$3,Свод!F$4,Доп.расчеты!63:63)</f>
        <v>0</v>
      </c>
      <c r="G103" s="140">
        <f>-SUMIF(Доп.расчеты!$3:$3,Свод!G$4,Доп.расчеты!63:63)</f>
        <v>0</v>
      </c>
      <c r="H103" s="140">
        <f>-SUMIF(Доп.расчеты!$3:$3,Свод!H$4,Доп.расчеты!63:63)</f>
        <v>0</v>
      </c>
      <c r="I103" s="140">
        <f>-SUMIF(Доп.расчеты!$3:$3,Свод!I$4,Доп.расчеты!63:63)</f>
        <v>0</v>
      </c>
      <c r="J103" s="140">
        <f>-SUMIF(Доп.расчеты!$3:$3,Свод!J$4,Доп.расчеты!63:63)</f>
        <v>0</v>
      </c>
      <c r="K103" s="140">
        <f>-SUMIF(Доп.расчеты!$3:$3,Свод!K$4,Доп.расчеты!63:63)</f>
        <v>0</v>
      </c>
      <c r="L103" s="140">
        <f>-SUMIF(Доп.расчеты!$3:$3,Свод!L$4,Доп.расчеты!63:63)</f>
        <v>0</v>
      </c>
      <c r="M103" s="140">
        <f>-SUMIF(Доп.расчеты!$3:$3,Свод!M$4,Доп.расчеты!63:63)</f>
        <v>0</v>
      </c>
    </row>
    <row r="104" spans="2:13" hidden="1" outlineLevel="1">
      <c r="B104" s="139" t="s">
        <v>101</v>
      </c>
      <c r="C104" s="140">
        <f>-SUMIF(Доп.расчеты!$3:$3,Свод!C$4,Доп.расчеты!64:64)</f>
        <v>0</v>
      </c>
      <c r="D104" s="140">
        <f>-SUMIF(Доп.расчеты!$3:$3,Свод!D$4,Доп.расчеты!64:64)</f>
        <v>0</v>
      </c>
      <c r="E104" s="140">
        <f>-SUMIF(Доп.расчеты!$3:$3,Свод!E$4,Доп.расчеты!64:64)</f>
        <v>0</v>
      </c>
      <c r="F104" s="140">
        <f>-SUMIF(Доп.расчеты!$3:$3,Свод!F$4,Доп.расчеты!64:64)</f>
        <v>0</v>
      </c>
      <c r="G104" s="140">
        <f>-SUMIF(Доп.расчеты!$3:$3,Свод!G$4,Доп.расчеты!64:64)</f>
        <v>0</v>
      </c>
      <c r="H104" s="140">
        <f>-SUMIF(Доп.расчеты!$3:$3,Свод!H$4,Доп.расчеты!64:64)</f>
        <v>0</v>
      </c>
      <c r="I104" s="140">
        <f>-SUMIF(Доп.расчеты!$3:$3,Свод!I$4,Доп.расчеты!64:64)</f>
        <v>0</v>
      </c>
      <c r="J104" s="140">
        <f>-SUMIF(Доп.расчеты!$3:$3,Свод!J$4,Доп.расчеты!64:64)</f>
        <v>0</v>
      </c>
      <c r="K104" s="140">
        <f>-SUMIF(Доп.расчеты!$3:$3,Свод!K$4,Доп.расчеты!64:64)</f>
        <v>0</v>
      </c>
      <c r="L104" s="140">
        <f>-SUMIF(Доп.расчеты!$3:$3,Свод!L$4,Доп.расчеты!64:64)</f>
        <v>0</v>
      </c>
      <c r="M104" s="140">
        <f>-SUMIF(Доп.расчеты!$3:$3,Свод!M$4,Доп.расчеты!64:64)</f>
        <v>0</v>
      </c>
    </row>
    <row r="105" spans="2:13" hidden="1" outlineLevel="1">
      <c r="B105" s="139" t="s">
        <v>102</v>
      </c>
      <c r="C105" s="140">
        <f>-SUMIF(Доп.расчеты!$3:$3,Свод!C$4,Доп.расчеты!65:65)</f>
        <v>0</v>
      </c>
      <c r="D105" s="140">
        <f>-SUMIF(Доп.расчеты!$3:$3,Свод!D$4,Доп.расчеты!65:65)</f>
        <v>0</v>
      </c>
      <c r="E105" s="140">
        <f>-SUMIF(Доп.расчеты!$3:$3,Свод!E$4,Доп.расчеты!65:65)</f>
        <v>0</v>
      </c>
      <c r="F105" s="140">
        <f>-SUMIF(Доп.расчеты!$3:$3,Свод!F$4,Доп.расчеты!65:65)</f>
        <v>0</v>
      </c>
      <c r="G105" s="140">
        <f>-SUMIF(Доп.расчеты!$3:$3,Свод!G$4,Доп.расчеты!65:65)</f>
        <v>0</v>
      </c>
      <c r="H105" s="140">
        <f>-SUMIF(Доп.расчеты!$3:$3,Свод!H$4,Доп.расчеты!65:65)</f>
        <v>0</v>
      </c>
      <c r="I105" s="140">
        <f>-SUMIF(Доп.расчеты!$3:$3,Свод!I$4,Доп.расчеты!65:65)</f>
        <v>0</v>
      </c>
      <c r="J105" s="140">
        <f>-SUMIF(Доп.расчеты!$3:$3,Свод!J$4,Доп.расчеты!65:65)</f>
        <v>0</v>
      </c>
      <c r="K105" s="140">
        <f>-SUMIF(Доп.расчеты!$3:$3,Свод!K$4,Доп.расчеты!65:65)</f>
        <v>0</v>
      </c>
      <c r="L105" s="140">
        <f>-SUMIF(Доп.расчеты!$3:$3,Свод!L$4,Доп.расчеты!65:65)</f>
        <v>0</v>
      </c>
      <c r="M105" s="140">
        <f>-SUMIF(Доп.расчеты!$3:$3,Свод!M$4,Доп.расчеты!65:65)</f>
        <v>0</v>
      </c>
    </row>
    <row r="106" spans="2:13" hidden="1" outlineLevel="1">
      <c r="B106" s="139" t="s">
        <v>103</v>
      </c>
      <c r="C106" s="140">
        <f>-SUMIF(Доп.расчеты!$3:$3,Свод!C$4,Доп.расчеты!66:66)</f>
        <v>0</v>
      </c>
      <c r="D106" s="140">
        <f>-SUMIF(Доп.расчеты!$3:$3,Свод!D$4,Доп.расчеты!66:66)</f>
        <v>0</v>
      </c>
      <c r="E106" s="140">
        <f>-SUMIF(Доп.расчеты!$3:$3,Свод!E$4,Доп.расчеты!66:66)</f>
        <v>0</v>
      </c>
      <c r="F106" s="140">
        <f>-SUMIF(Доп.расчеты!$3:$3,Свод!F$4,Доп.расчеты!66:66)</f>
        <v>0</v>
      </c>
      <c r="G106" s="140">
        <f>-SUMIF(Доп.расчеты!$3:$3,Свод!G$4,Доп.расчеты!66:66)</f>
        <v>0</v>
      </c>
      <c r="H106" s="140">
        <f>-SUMIF(Доп.расчеты!$3:$3,Свод!H$4,Доп.расчеты!66:66)</f>
        <v>0</v>
      </c>
      <c r="I106" s="140">
        <f>-SUMIF(Доп.расчеты!$3:$3,Свод!I$4,Доп.расчеты!66:66)</f>
        <v>0</v>
      </c>
      <c r="J106" s="140">
        <f>-SUMIF(Доп.расчеты!$3:$3,Свод!J$4,Доп.расчеты!66:66)</f>
        <v>0</v>
      </c>
      <c r="K106" s="140">
        <f>-SUMIF(Доп.расчеты!$3:$3,Свод!K$4,Доп.расчеты!66:66)</f>
        <v>0</v>
      </c>
      <c r="L106" s="140">
        <f>-SUMIF(Доп.расчеты!$3:$3,Свод!L$4,Доп.расчеты!66:66)</f>
        <v>0</v>
      </c>
      <c r="M106" s="140">
        <f>-SUMIF(Доп.расчеты!$3:$3,Свод!M$4,Доп.расчеты!66:66)</f>
        <v>0</v>
      </c>
    </row>
    <row r="107" spans="2:13" hidden="1" outlineLevel="1">
      <c r="B107" s="139" t="s">
        <v>104</v>
      </c>
      <c r="C107" s="140">
        <f>-SUMIF(Доп.расчеты!$3:$3,Свод!C$4,Доп.расчеты!67:67)</f>
        <v>0</v>
      </c>
      <c r="D107" s="140">
        <f>-SUMIF(Доп.расчеты!$3:$3,Свод!D$4,Доп.расчеты!67:67)</f>
        <v>0</v>
      </c>
      <c r="E107" s="140">
        <f>-SUMIF(Доп.расчеты!$3:$3,Свод!E$4,Доп.расчеты!67:67)</f>
        <v>0</v>
      </c>
      <c r="F107" s="140">
        <f>-SUMIF(Доп.расчеты!$3:$3,Свод!F$4,Доп.расчеты!67:67)</f>
        <v>0</v>
      </c>
      <c r="G107" s="140">
        <f>-SUMIF(Доп.расчеты!$3:$3,Свод!G$4,Доп.расчеты!67:67)</f>
        <v>0</v>
      </c>
      <c r="H107" s="140">
        <f>-SUMIF(Доп.расчеты!$3:$3,Свод!H$4,Доп.расчеты!67:67)</f>
        <v>0</v>
      </c>
      <c r="I107" s="140">
        <f>-SUMIF(Доп.расчеты!$3:$3,Свод!I$4,Доп.расчеты!67:67)</f>
        <v>0</v>
      </c>
      <c r="J107" s="140">
        <f>-SUMIF(Доп.расчеты!$3:$3,Свод!J$4,Доп.расчеты!67:67)</f>
        <v>0</v>
      </c>
      <c r="K107" s="140">
        <f>-SUMIF(Доп.расчеты!$3:$3,Свод!K$4,Доп.расчеты!67:67)</f>
        <v>0</v>
      </c>
      <c r="L107" s="140">
        <f>-SUMIF(Доп.расчеты!$3:$3,Свод!L$4,Доп.расчеты!67:67)</f>
        <v>0</v>
      </c>
      <c r="M107" s="140">
        <f>-SUMIF(Доп.расчеты!$3:$3,Свод!M$4,Доп.расчеты!67:67)</f>
        <v>0</v>
      </c>
    </row>
    <row r="108" spans="2:13" hidden="1" outlineLevel="1">
      <c r="B108" s="139" t="s">
        <v>105</v>
      </c>
      <c r="C108" s="140">
        <f>-SUMIF(Доп.расчеты!$3:$3,Свод!C$4,Доп.расчеты!68:68)</f>
        <v>0</v>
      </c>
      <c r="D108" s="140">
        <f>-SUMIF(Доп.расчеты!$3:$3,Свод!D$4,Доп.расчеты!68:68)</f>
        <v>0</v>
      </c>
      <c r="E108" s="140">
        <f>-SUMIF(Доп.расчеты!$3:$3,Свод!E$4,Доп.расчеты!68:68)</f>
        <v>0</v>
      </c>
      <c r="F108" s="140">
        <f>-SUMIF(Доп.расчеты!$3:$3,Свод!F$4,Доп.расчеты!68:68)</f>
        <v>0</v>
      </c>
      <c r="G108" s="140">
        <f>-SUMIF(Доп.расчеты!$3:$3,Свод!G$4,Доп.расчеты!68:68)</f>
        <v>0</v>
      </c>
      <c r="H108" s="140">
        <f>-SUMIF(Доп.расчеты!$3:$3,Свод!H$4,Доп.расчеты!68:68)</f>
        <v>0</v>
      </c>
      <c r="I108" s="140">
        <f>-SUMIF(Доп.расчеты!$3:$3,Свод!I$4,Доп.расчеты!68:68)</f>
        <v>0</v>
      </c>
      <c r="J108" s="140">
        <f>-SUMIF(Доп.расчеты!$3:$3,Свод!J$4,Доп.расчеты!68:68)</f>
        <v>0</v>
      </c>
      <c r="K108" s="140">
        <f>-SUMIF(Доп.расчеты!$3:$3,Свод!K$4,Доп.расчеты!68:68)</f>
        <v>0</v>
      </c>
      <c r="L108" s="140">
        <f>-SUMIF(Доп.расчеты!$3:$3,Свод!L$4,Доп.расчеты!68:68)</f>
        <v>0</v>
      </c>
      <c r="M108" s="140">
        <f>-SUMIF(Доп.расчеты!$3:$3,Свод!M$4,Доп.расчеты!68:68)</f>
        <v>0</v>
      </c>
    </row>
    <row r="109" spans="2:13" hidden="1" outlineLevel="1">
      <c r="B109" s="139" t="s">
        <v>106</v>
      </c>
      <c r="C109" s="140">
        <f>-SUMIF(Доп.расчеты!$3:$3,Свод!C$4,Доп.расчеты!69:69)</f>
        <v>0</v>
      </c>
      <c r="D109" s="140">
        <f>-SUMIF(Доп.расчеты!$3:$3,Свод!D$4,Доп.расчеты!69:69)</f>
        <v>0</v>
      </c>
      <c r="E109" s="140">
        <f>-SUMIF(Доп.расчеты!$3:$3,Свод!E$4,Доп.расчеты!69:69)</f>
        <v>0</v>
      </c>
      <c r="F109" s="140">
        <f>-SUMIF(Доп.расчеты!$3:$3,Свод!F$4,Доп.расчеты!69:69)</f>
        <v>0</v>
      </c>
      <c r="G109" s="140">
        <f>-SUMIF(Доп.расчеты!$3:$3,Свод!G$4,Доп.расчеты!69:69)</f>
        <v>0</v>
      </c>
      <c r="H109" s="140">
        <f>-SUMIF(Доп.расчеты!$3:$3,Свод!H$4,Доп.расчеты!69:69)</f>
        <v>0</v>
      </c>
      <c r="I109" s="140">
        <f>-SUMIF(Доп.расчеты!$3:$3,Свод!I$4,Доп.расчеты!69:69)</f>
        <v>0</v>
      </c>
      <c r="J109" s="140">
        <f>-SUMIF(Доп.расчеты!$3:$3,Свод!J$4,Доп.расчеты!69:69)</f>
        <v>0</v>
      </c>
      <c r="K109" s="140">
        <f>-SUMIF(Доп.расчеты!$3:$3,Свод!K$4,Доп.расчеты!69:69)</f>
        <v>0</v>
      </c>
      <c r="L109" s="140">
        <f>-SUMIF(Доп.расчеты!$3:$3,Свод!L$4,Доп.расчеты!69:69)</f>
        <v>0</v>
      </c>
      <c r="M109" s="140">
        <f>-SUMIF(Доп.расчеты!$3:$3,Свод!M$4,Доп.расчеты!69:69)</f>
        <v>0</v>
      </c>
    </row>
    <row r="110" spans="2:13" hidden="1" outlineLevel="1">
      <c r="B110" s="139" t="s">
        <v>107</v>
      </c>
      <c r="C110" s="140">
        <f>-SUMIF(Доп.расчеты!$3:$3,Свод!C$4,Доп.расчеты!70:70)</f>
        <v>0</v>
      </c>
      <c r="D110" s="140">
        <f>-SUMIF(Доп.расчеты!$3:$3,Свод!D$4,Доп.расчеты!70:70)</f>
        <v>0</v>
      </c>
      <c r="E110" s="140">
        <f>-SUMIF(Доп.расчеты!$3:$3,Свод!E$4,Доп.расчеты!70:70)</f>
        <v>0</v>
      </c>
      <c r="F110" s="140">
        <f>-SUMIF(Доп.расчеты!$3:$3,Свод!F$4,Доп.расчеты!70:70)</f>
        <v>0</v>
      </c>
      <c r="G110" s="140">
        <f>-SUMIF(Доп.расчеты!$3:$3,Свод!G$4,Доп.расчеты!70:70)</f>
        <v>0</v>
      </c>
      <c r="H110" s="140">
        <f>-SUMIF(Доп.расчеты!$3:$3,Свод!H$4,Доп.расчеты!70:70)</f>
        <v>0</v>
      </c>
      <c r="I110" s="140">
        <f>-SUMIF(Доп.расчеты!$3:$3,Свод!I$4,Доп.расчеты!70:70)</f>
        <v>0</v>
      </c>
      <c r="J110" s="140">
        <f>-SUMIF(Доп.расчеты!$3:$3,Свод!J$4,Доп.расчеты!70:70)</f>
        <v>0</v>
      </c>
      <c r="K110" s="140">
        <f>-SUMIF(Доп.расчеты!$3:$3,Свод!K$4,Доп.расчеты!70:70)</f>
        <v>0</v>
      </c>
      <c r="L110" s="140">
        <f>-SUMIF(Доп.расчеты!$3:$3,Свод!L$4,Доп.расчеты!70:70)</f>
        <v>0</v>
      </c>
      <c r="M110" s="140">
        <f>-SUMIF(Доп.расчеты!$3:$3,Свод!M$4,Доп.расчеты!70:70)</f>
        <v>0</v>
      </c>
    </row>
    <row r="111" spans="2:13" hidden="1" outlineLevel="1">
      <c r="B111" s="139" t="s">
        <v>108</v>
      </c>
      <c r="C111" s="140">
        <f>-SUMIF(Доп.расчеты!$3:$3,Свод!C$4,Доп.расчеты!71:71)</f>
        <v>0</v>
      </c>
      <c r="D111" s="140">
        <f>-SUMIF(Доп.расчеты!$3:$3,Свод!D$4,Доп.расчеты!71:71)</f>
        <v>0</v>
      </c>
      <c r="E111" s="140">
        <f>-SUMIF(Доп.расчеты!$3:$3,Свод!E$4,Доп.расчеты!71:71)</f>
        <v>0</v>
      </c>
      <c r="F111" s="140">
        <f>-SUMIF(Доп.расчеты!$3:$3,Свод!F$4,Доп.расчеты!71:71)</f>
        <v>0</v>
      </c>
      <c r="G111" s="140">
        <f>-SUMIF(Доп.расчеты!$3:$3,Свод!G$4,Доп.расчеты!71:71)</f>
        <v>0</v>
      </c>
      <c r="H111" s="140">
        <f>-SUMIF(Доп.расчеты!$3:$3,Свод!H$4,Доп.расчеты!71:71)</f>
        <v>0</v>
      </c>
      <c r="I111" s="140">
        <f>-SUMIF(Доп.расчеты!$3:$3,Свод!I$4,Доп.расчеты!71:71)</f>
        <v>0</v>
      </c>
      <c r="J111" s="140">
        <f>-SUMIF(Доп.расчеты!$3:$3,Свод!J$4,Доп.расчеты!71:71)</f>
        <v>0</v>
      </c>
      <c r="K111" s="140">
        <f>-SUMIF(Доп.расчеты!$3:$3,Свод!K$4,Доп.расчеты!71:71)</f>
        <v>0</v>
      </c>
      <c r="L111" s="140">
        <f>-SUMIF(Доп.расчеты!$3:$3,Свод!L$4,Доп.расчеты!71:71)</f>
        <v>0</v>
      </c>
      <c r="M111" s="140">
        <f>-SUMIF(Доп.расчеты!$3:$3,Свод!M$4,Доп.расчеты!71:71)</f>
        <v>0</v>
      </c>
    </row>
    <row r="112" spans="2:13" hidden="1" outlineLevel="1">
      <c r="B112" s="139" t="s">
        <v>109</v>
      </c>
      <c r="C112" s="140">
        <f>-SUMIF(Доп.расчеты!$3:$3,Свод!C$4,Доп.расчеты!72:72)</f>
        <v>0</v>
      </c>
      <c r="D112" s="140">
        <f>-SUMIF(Доп.расчеты!$3:$3,Свод!D$4,Доп.расчеты!72:72)</f>
        <v>0</v>
      </c>
      <c r="E112" s="140">
        <f>-SUMIF(Доп.расчеты!$3:$3,Свод!E$4,Доп.расчеты!72:72)</f>
        <v>0</v>
      </c>
      <c r="F112" s="140">
        <f>-SUMIF(Доп.расчеты!$3:$3,Свод!F$4,Доп.расчеты!72:72)</f>
        <v>0</v>
      </c>
      <c r="G112" s="140">
        <f>-SUMIF(Доп.расчеты!$3:$3,Свод!G$4,Доп.расчеты!72:72)</f>
        <v>0</v>
      </c>
      <c r="H112" s="140">
        <f>-SUMIF(Доп.расчеты!$3:$3,Свод!H$4,Доп.расчеты!72:72)</f>
        <v>0</v>
      </c>
      <c r="I112" s="140">
        <f>-SUMIF(Доп.расчеты!$3:$3,Свод!I$4,Доп.расчеты!72:72)</f>
        <v>0</v>
      </c>
      <c r="J112" s="140">
        <f>-SUMIF(Доп.расчеты!$3:$3,Свод!J$4,Доп.расчеты!72:72)</f>
        <v>0</v>
      </c>
      <c r="K112" s="140">
        <f>-SUMIF(Доп.расчеты!$3:$3,Свод!K$4,Доп.расчеты!72:72)</f>
        <v>0</v>
      </c>
      <c r="L112" s="140">
        <f>-SUMIF(Доп.расчеты!$3:$3,Свод!L$4,Доп.расчеты!72:72)</f>
        <v>0</v>
      </c>
      <c r="M112" s="140">
        <f>-SUMIF(Доп.расчеты!$3:$3,Свод!M$4,Доп.расчеты!72:72)</f>
        <v>0</v>
      </c>
    </row>
    <row r="113" spans="1:21" hidden="1" outlineLevel="1">
      <c r="B113" s="139" t="s">
        <v>110</v>
      </c>
      <c r="C113" s="140">
        <f>-SUMIF(Доп.расчеты!$3:$3,Свод!C$4,Доп.расчеты!73:73)</f>
        <v>0</v>
      </c>
      <c r="D113" s="140">
        <f>-SUMIF(Доп.расчеты!$3:$3,Свод!D$4,Доп.расчеты!73:73)</f>
        <v>0</v>
      </c>
      <c r="E113" s="140">
        <f>-SUMIF(Доп.расчеты!$3:$3,Свод!E$4,Доп.расчеты!73:73)</f>
        <v>0</v>
      </c>
      <c r="F113" s="140">
        <f>-SUMIF(Доп.расчеты!$3:$3,Свод!F$4,Доп.расчеты!73:73)</f>
        <v>0</v>
      </c>
      <c r="G113" s="140">
        <f>-SUMIF(Доп.расчеты!$3:$3,Свод!G$4,Доп.расчеты!73:73)</f>
        <v>0</v>
      </c>
      <c r="H113" s="140">
        <f>-SUMIF(Доп.расчеты!$3:$3,Свод!H$4,Доп.расчеты!73:73)</f>
        <v>0</v>
      </c>
      <c r="I113" s="140">
        <f>-SUMIF(Доп.расчеты!$3:$3,Свод!I$4,Доп.расчеты!73:73)</f>
        <v>0</v>
      </c>
      <c r="J113" s="140">
        <f>-SUMIF(Доп.расчеты!$3:$3,Свод!J$4,Доп.расчеты!73:73)</f>
        <v>0</v>
      </c>
      <c r="K113" s="140">
        <f>-SUMIF(Доп.расчеты!$3:$3,Свод!K$4,Доп.расчеты!73:73)</f>
        <v>0</v>
      </c>
      <c r="L113" s="140">
        <f>-SUMIF(Доп.расчеты!$3:$3,Свод!L$4,Доп.расчеты!73:73)</f>
        <v>0</v>
      </c>
      <c r="M113" s="140">
        <f>-SUMIF(Доп.расчеты!$3:$3,Свод!M$4,Доп.расчеты!73:73)</f>
        <v>0</v>
      </c>
    </row>
    <row r="114" spans="1:21" hidden="1" outlineLevel="1">
      <c r="B114" s="139" t="s">
        <v>111</v>
      </c>
      <c r="C114" s="140">
        <f>-SUMIF(Доп.расчеты!$3:$3,Свод!C$4,Доп.расчеты!74:74)</f>
        <v>0</v>
      </c>
      <c r="D114" s="140">
        <f>-SUMIF(Доп.расчеты!$3:$3,Свод!D$4,Доп.расчеты!74:74)</f>
        <v>0</v>
      </c>
      <c r="E114" s="140">
        <f>-SUMIF(Доп.расчеты!$3:$3,Свод!E$4,Доп.расчеты!74:74)</f>
        <v>0</v>
      </c>
      <c r="F114" s="140">
        <f>-SUMIF(Доп.расчеты!$3:$3,Свод!F$4,Доп.расчеты!74:74)</f>
        <v>0</v>
      </c>
      <c r="G114" s="140">
        <f>-SUMIF(Доп.расчеты!$3:$3,Свод!G$4,Доп.расчеты!74:74)</f>
        <v>0</v>
      </c>
      <c r="H114" s="140">
        <f>-SUMIF(Доп.расчеты!$3:$3,Свод!H$4,Доп.расчеты!74:74)</f>
        <v>0</v>
      </c>
      <c r="I114" s="140">
        <f>-SUMIF(Доп.расчеты!$3:$3,Свод!I$4,Доп.расчеты!74:74)</f>
        <v>0</v>
      </c>
      <c r="J114" s="140">
        <f>-SUMIF(Доп.расчеты!$3:$3,Свод!J$4,Доп.расчеты!74:74)</f>
        <v>0</v>
      </c>
      <c r="K114" s="140">
        <f>-SUMIF(Доп.расчеты!$3:$3,Свод!K$4,Доп.расчеты!74:74)</f>
        <v>0</v>
      </c>
      <c r="L114" s="140">
        <f>-SUMIF(Доп.расчеты!$3:$3,Свод!L$4,Доп.расчеты!74:74)</f>
        <v>0</v>
      </c>
      <c r="M114" s="140">
        <f>-SUMIF(Доп.расчеты!$3:$3,Свод!M$4,Доп.расчеты!74:74)</f>
        <v>0</v>
      </c>
    </row>
    <row r="115" spans="1:21" ht="17.25" customHeight="1" collapsed="1">
      <c r="B115" s="141" t="s">
        <v>243</v>
      </c>
      <c r="C115" s="142">
        <f>SUM(C116:C118)</f>
        <v>0</v>
      </c>
      <c r="D115" s="142">
        <f>SUM(D116:D118)</f>
        <v>0</v>
      </c>
      <c r="E115" s="142">
        <f>SUM(E116:E118)</f>
        <v>0</v>
      </c>
      <c r="F115" s="142">
        <f t="shared" ref="F115:G115" si="12">SUM(F116:F118)</f>
        <v>0</v>
      </c>
      <c r="G115" s="142">
        <f t="shared" si="12"/>
        <v>0</v>
      </c>
      <c r="H115" s="142">
        <f t="shared" ref="H115" si="13">SUM(H116:H118)</f>
        <v>0</v>
      </c>
      <c r="I115" s="142">
        <f t="shared" ref="I115" si="14">SUM(I116:I118)</f>
        <v>0</v>
      </c>
      <c r="J115" s="142">
        <f t="shared" ref="J115" si="15">SUM(J116:J118)</f>
        <v>0</v>
      </c>
      <c r="K115" s="142">
        <f>SUM(K116:K118)</f>
        <v>0</v>
      </c>
      <c r="L115" s="142">
        <f t="shared" ref="L115" si="16">SUM(L116:L118)</f>
        <v>0</v>
      </c>
      <c r="M115" s="142">
        <f t="shared" ref="M115" si="17">SUM(M116:M118)</f>
        <v>0</v>
      </c>
    </row>
    <row r="116" spans="1:21" hidden="1" outlineLevel="1">
      <c r="B116" s="139" t="s">
        <v>23</v>
      </c>
      <c r="C116" s="140">
        <f>-SUMIF(Доп.расчеты!$3:$3,Свод!C$4,Доп.расчеты!76:76)</f>
        <v>0</v>
      </c>
      <c r="D116" s="140">
        <f>-SUMIF(Доп.расчеты!$3:$3,Свод!D$4,Доп.расчеты!76:76)</f>
        <v>0</v>
      </c>
      <c r="E116" s="140">
        <f>-SUMIF(Доп.расчеты!$3:$3,Свод!E$4,Доп.расчеты!76:76)</f>
        <v>0</v>
      </c>
      <c r="F116" s="140">
        <f>-SUMIF(Доп.расчеты!$3:$3,Свод!F$4,Доп.расчеты!76:76)</f>
        <v>0</v>
      </c>
      <c r="G116" s="140">
        <f>-SUMIF(Доп.расчеты!$3:$3,Свод!G$4,Доп.расчеты!76:76)</f>
        <v>0</v>
      </c>
      <c r="H116" s="140">
        <f>-SUMIF(Доп.расчеты!$3:$3,Свод!H$4,Доп.расчеты!76:76)</f>
        <v>0</v>
      </c>
      <c r="I116" s="140">
        <f>-SUMIF(Доп.расчеты!$3:$3,Свод!I$4,Доп.расчеты!76:76)</f>
        <v>0</v>
      </c>
      <c r="J116" s="140">
        <f>-SUMIF(Доп.расчеты!$3:$3,Свод!J$4,Доп.расчеты!76:76)</f>
        <v>0</v>
      </c>
      <c r="K116" s="140">
        <f>-SUMIF(Доп.расчеты!$3:$3,Свод!K$4,Доп.расчеты!76:76)</f>
        <v>0</v>
      </c>
      <c r="L116" s="140">
        <f>-SUMIF(Доп.расчеты!$3:$3,Свод!L$4,Доп.расчеты!76:76)</f>
        <v>0</v>
      </c>
      <c r="M116" s="140">
        <f>-SUMIF(Доп.расчеты!$3:$3,Свод!M$4,Доп.расчеты!76:76)</f>
        <v>0</v>
      </c>
    </row>
    <row r="117" spans="1:21" hidden="1" outlineLevel="1">
      <c r="B117" s="139" t="s">
        <v>240</v>
      </c>
      <c r="C117" s="140">
        <f>-SUMIF(Доп.расчеты!$3:$3,Свод!C$4,Доп.расчеты!77:77)</f>
        <v>0</v>
      </c>
      <c r="D117" s="140">
        <f>-SUMIF(Доп.расчеты!$3:$3,Свод!D$4,Доп.расчеты!77:77)</f>
        <v>0</v>
      </c>
      <c r="E117" s="140">
        <f>-SUMIF(Доп.расчеты!$3:$3,Свод!E$4,Доп.расчеты!77:77)</f>
        <v>0</v>
      </c>
      <c r="F117" s="140">
        <f>-SUMIF(Доп.расчеты!$3:$3,Свод!F$4,Доп.расчеты!77:77)</f>
        <v>0</v>
      </c>
      <c r="G117" s="140">
        <f>-SUMIF(Доп.расчеты!$3:$3,Свод!G$4,Доп.расчеты!77:77)</f>
        <v>0</v>
      </c>
      <c r="H117" s="140">
        <f>-SUMIF(Доп.расчеты!$3:$3,Свод!H$4,Доп.расчеты!77:77)</f>
        <v>0</v>
      </c>
      <c r="I117" s="140">
        <f>-SUMIF(Доп.расчеты!$3:$3,Свод!I$4,Доп.расчеты!77:77)</f>
        <v>0</v>
      </c>
      <c r="J117" s="140">
        <f>-SUMIF(Доп.расчеты!$3:$3,Свод!J$4,Доп.расчеты!77:77)</f>
        <v>0</v>
      </c>
      <c r="K117" s="140">
        <f>-SUMIF(Доп.расчеты!$3:$3,Свод!K$4,Доп.расчеты!77:77)</f>
        <v>0</v>
      </c>
      <c r="L117" s="140">
        <f>-SUMIF(Доп.расчеты!$3:$3,Свод!L$4,Доп.расчеты!77:77)</f>
        <v>0</v>
      </c>
      <c r="M117" s="140">
        <f>-SUMIF(Доп.расчеты!$3:$3,Свод!M$4,Доп.расчеты!77:77)</f>
        <v>0</v>
      </c>
    </row>
    <row r="118" spans="1:21" hidden="1" outlineLevel="1">
      <c r="B118" s="139" t="s">
        <v>11</v>
      </c>
      <c r="C118" s="140">
        <f>-SUMIF(Доп.расчеты!$3:$3,Свод!C$4,Доп.расчеты!78:78)</f>
        <v>0</v>
      </c>
      <c r="D118" s="140">
        <f>-SUMIF(Доп.расчеты!$3:$3,Свод!D$4,Доп.расчеты!78:78)</f>
        <v>0</v>
      </c>
      <c r="E118" s="140">
        <f>-SUMIF(Доп.расчеты!$3:$3,Свод!E$4,Доп.расчеты!78:78)</f>
        <v>0</v>
      </c>
      <c r="F118" s="140">
        <f>-SUMIF(Доп.расчеты!$3:$3,Свод!F$4,Доп.расчеты!78:78)</f>
        <v>0</v>
      </c>
      <c r="G118" s="140">
        <f>-SUMIF(Доп.расчеты!$3:$3,Свод!G$4,Доп.расчеты!78:78)</f>
        <v>0</v>
      </c>
      <c r="H118" s="140">
        <f>-SUMIF(Доп.расчеты!$3:$3,Свод!H$4,Доп.расчеты!78:78)</f>
        <v>0</v>
      </c>
      <c r="I118" s="140">
        <f>-SUMIF(Доп.расчеты!$3:$3,Свод!I$4,Доп.расчеты!78:78)</f>
        <v>0</v>
      </c>
      <c r="J118" s="140">
        <f>-SUMIF(Доп.расчеты!$3:$3,Свод!J$4,Доп.расчеты!78:78)</f>
        <v>0</v>
      </c>
      <c r="K118" s="140">
        <f>-SUMIF(Доп.расчеты!$3:$3,Свод!K$4,Доп.расчеты!78:78)</f>
        <v>0</v>
      </c>
      <c r="L118" s="140">
        <f>-SUMIF(Доп.расчеты!$3:$3,Свод!L$4,Доп.расчеты!78:78)</f>
        <v>0</v>
      </c>
      <c r="M118" s="140">
        <f>-SUMIF(Доп.расчеты!$3:$3,Свод!M$4,Доп.расчеты!78:78)</f>
        <v>0</v>
      </c>
    </row>
    <row r="119" spans="1:21" s="134" customFormat="1" collapsed="1">
      <c r="A119" s="145"/>
      <c r="B119" s="141" t="s">
        <v>6</v>
      </c>
      <c r="C119" s="146">
        <f>SUMIF('Как есть'!$12:$12,Свод!C4,'Как есть'!$90:$90)</f>
        <v>0</v>
      </c>
      <c r="D119" s="146">
        <f>SUMIF('Как есть'!$12:$12,Свод!D4,'Как есть'!$90:$90)</f>
        <v>0</v>
      </c>
      <c r="E119" s="146">
        <f>SUMIF('Как есть'!$12:$12,Свод!E4,'Как есть'!$90:$90)</f>
        <v>0</v>
      </c>
      <c r="F119" s="146">
        <f>SUMIF('Как есть'!$12:$12,Свод!F4,'Как есть'!$90:$90)</f>
        <v>0</v>
      </c>
      <c r="G119" s="146">
        <f>SUMIF('Как есть'!$12:$12,Свод!G4,'Как есть'!$90:$90)</f>
        <v>0</v>
      </c>
      <c r="H119" s="146">
        <f>SUMIF('Как есть'!$12:$12,Свод!H4,'Как есть'!$90:$90)</f>
        <v>0</v>
      </c>
      <c r="I119" s="146">
        <f>SUMIF('Как есть'!$12:$12,Свод!I4,'Как есть'!$90:$90)</f>
        <v>0</v>
      </c>
      <c r="J119" s="146">
        <f>SUMIF('Как есть'!$12:$12,Свод!J4,'Как есть'!$90:$90)</f>
        <v>0</v>
      </c>
      <c r="K119" s="146">
        <f>SUMIF('Как есть'!$12:$12,Свод!K4,'Как есть'!$90:$90)</f>
        <v>0</v>
      </c>
      <c r="L119" s="146">
        <f>SUMIF('Как есть'!$12:$12,Свод!L4,'Как есть'!$90:$90)</f>
        <v>0</v>
      </c>
      <c r="M119" s="146">
        <f>SUMIF('Как есть'!$12:$12,Свод!M4,'Как есть'!$90:$90)</f>
        <v>0</v>
      </c>
    </row>
    <row r="120" spans="1:21" s="134" customFormat="1">
      <c r="A120" s="145"/>
      <c r="B120" s="141" t="s">
        <v>20</v>
      </c>
      <c r="C120" s="146">
        <f>SUMIF('Как есть'!$12:$12,Свод!C4,'Как есть'!$91:$91)</f>
        <v>0</v>
      </c>
      <c r="D120" s="146">
        <f>SUMIF('Как есть'!$12:$12,Свод!D4,'Как есть'!$91:$91)</f>
        <v>0</v>
      </c>
      <c r="E120" s="146">
        <f>SUMIF('Как есть'!$12:$12,Свод!E4,'Как есть'!$91:$91)</f>
        <v>0</v>
      </c>
      <c r="F120" s="146">
        <f>SUMIF('Как есть'!$12:$12,Свод!F4,'Как есть'!$91:$91)</f>
        <v>0</v>
      </c>
      <c r="G120" s="146">
        <f>SUMIF('Как есть'!$12:$12,Свод!G4,'Как есть'!$91:$91)</f>
        <v>0</v>
      </c>
      <c r="H120" s="146">
        <f>SUMIF('Как есть'!$12:$12,Свод!H4,'Как есть'!$91:$91)</f>
        <v>0</v>
      </c>
      <c r="I120" s="146">
        <f>SUMIF('Как есть'!$12:$12,Свод!I4,'Как есть'!$91:$91)</f>
        <v>0</v>
      </c>
      <c r="J120" s="146">
        <f>SUMIF('Как есть'!$12:$12,Свод!J4,'Как есть'!$91:$91)</f>
        <v>0</v>
      </c>
      <c r="K120" s="146">
        <f>SUMIF('Как есть'!$12:$12,Свод!K4,'Как есть'!$91:$91)</f>
        <v>0</v>
      </c>
      <c r="L120" s="146">
        <f>SUMIF('Как есть'!$12:$12,Свод!L4,'Как есть'!$91:$91)</f>
        <v>0</v>
      </c>
      <c r="M120" s="146">
        <f>SUMIF('Как есть'!$12:$12,Свод!M4,'Как есть'!$91:$91)</f>
        <v>0</v>
      </c>
    </row>
    <row r="121" spans="1:21" s="134" customFormat="1" ht="16" hidden="1" outlineLevel="1">
      <c r="A121" s="145"/>
      <c r="B121" s="147" t="s">
        <v>63</v>
      </c>
      <c r="C121" s="148">
        <f>-SUMIF(Доп.расчеты!$3:$3,Свод!C$4,Доп.расчеты!5:5)</f>
        <v>0</v>
      </c>
      <c r="D121" s="148">
        <f>-SUMIF(Доп.расчеты!$3:$3,Свод!D$4,Доп.расчеты!5:5)</f>
        <v>0</v>
      </c>
      <c r="E121" s="148">
        <f>-SUMIF(Доп.расчеты!$3:$3,Свод!E$4,Доп.расчеты!5:5)</f>
        <v>0</v>
      </c>
      <c r="F121" s="148">
        <f>-SUMIF(Доп.расчеты!$3:$3,Свод!F$4,Доп.расчеты!5:5)</f>
        <v>0</v>
      </c>
      <c r="G121" s="148">
        <f>-SUMIF(Доп.расчеты!$3:$3,Свод!G$4,Доп.расчеты!5:5)</f>
        <v>0</v>
      </c>
      <c r="H121" s="148">
        <f>-SUMIF(Доп.расчеты!$3:$3,Свод!H$4,Доп.расчеты!5:5)</f>
        <v>0</v>
      </c>
      <c r="I121" s="148">
        <f>-SUMIF(Доп.расчеты!$3:$3,Свод!I$4,Доп.расчеты!5:5)</f>
        <v>0</v>
      </c>
      <c r="J121" s="148">
        <f>-SUMIF(Доп.расчеты!$3:$3,Свод!J$4,Доп.расчеты!5:5)</f>
        <v>0</v>
      </c>
      <c r="K121" s="148">
        <f>-SUMIF(Доп.расчеты!$3:$3,Свод!K$4,Доп.расчеты!5:5)</f>
        <v>0</v>
      </c>
      <c r="L121" s="148">
        <f>-SUMIF(Доп.расчеты!$3:$3,Свод!L$4,Доп.расчеты!5:5)</f>
        <v>0</v>
      </c>
      <c r="M121" s="148">
        <f>-SUMIF(Доп.расчеты!$3:$3,Свод!M$4,Доп.расчеты!5:5)</f>
        <v>0</v>
      </c>
    </row>
    <row r="122" spans="1:21" s="134" customFormat="1" ht="16" hidden="1" outlineLevel="1">
      <c r="A122" s="145"/>
      <c r="B122" s="147" t="s">
        <v>62</v>
      </c>
      <c r="C122" s="148">
        <f>-SUMIF(Доп.расчеты!$3:$3,Свод!C$4,Доп.расчеты!6:6)</f>
        <v>0</v>
      </c>
      <c r="D122" s="148">
        <f>-SUMIF(Доп.расчеты!$3:$3,Свод!D$4,Доп.расчеты!6:6)</f>
        <v>0</v>
      </c>
      <c r="E122" s="148">
        <f>-SUMIF(Доп.расчеты!$3:$3,Свод!E$4,Доп.расчеты!6:6)</f>
        <v>0</v>
      </c>
      <c r="F122" s="148">
        <f>-SUMIF(Доп.расчеты!$3:$3,Свод!F$4,Доп.расчеты!6:6)</f>
        <v>0</v>
      </c>
      <c r="G122" s="148">
        <f>-SUMIF(Доп.расчеты!$3:$3,Свод!G$4,Доп.расчеты!6:6)</f>
        <v>0</v>
      </c>
      <c r="H122" s="148">
        <f>-SUMIF(Доп.расчеты!$3:$3,Свод!H$4,Доп.расчеты!6:6)</f>
        <v>0</v>
      </c>
      <c r="I122" s="148">
        <f>-SUMIF(Доп.расчеты!$3:$3,Свод!I$4,Доп.расчеты!6:6)</f>
        <v>0</v>
      </c>
      <c r="J122" s="148">
        <f>-SUMIF(Доп.расчеты!$3:$3,Свод!J$4,Доп.расчеты!6:6)</f>
        <v>0</v>
      </c>
      <c r="K122" s="148">
        <f>-SUMIF(Доп.расчеты!$3:$3,Свод!K$4,Доп.расчеты!6:6)</f>
        <v>0</v>
      </c>
      <c r="L122" s="148">
        <f>-SUMIF(Доп.расчеты!$3:$3,Свод!L$4,Доп.расчеты!6:6)</f>
        <v>0</v>
      </c>
      <c r="M122" s="148">
        <f>-SUMIF(Доп.расчеты!$3:$3,Свод!M$4,Доп.расчеты!6:6)</f>
        <v>0</v>
      </c>
    </row>
    <row r="123" spans="1:21" s="134" customFormat="1" ht="16" hidden="1" outlineLevel="1">
      <c r="A123" s="145"/>
      <c r="B123" s="147" t="s">
        <v>21</v>
      </c>
      <c r="C123" s="148">
        <f>-SUMIF(Доп.расчеты!$3:$3,Свод!C$4,Доп.расчеты!7:7)</f>
        <v>0</v>
      </c>
      <c r="D123" s="148">
        <f>-SUMIF(Доп.расчеты!$3:$3,Свод!D$4,Доп.расчеты!7:7)</f>
        <v>0</v>
      </c>
      <c r="E123" s="148">
        <f>-SUMIF(Доп.расчеты!$3:$3,Свод!E$4,Доп.расчеты!7:7)</f>
        <v>0</v>
      </c>
      <c r="F123" s="148">
        <f>-SUMIF(Доп.расчеты!$3:$3,Свод!F$4,Доп.расчеты!7:7)</f>
        <v>0</v>
      </c>
      <c r="G123" s="148">
        <f>-SUMIF(Доп.расчеты!$3:$3,Свод!G$4,Доп.расчеты!7:7)</f>
        <v>0</v>
      </c>
      <c r="H123" s="148">
        <f>-SUMIF(Доп.расчеты!$3:$3,Свод!H$4,Доп.расчеты!7:7)</f>
        <v>0</v>
      </c>
      <c r="I123" s="148">
        <f>-SUMIF(Доп.расчеты!$3:$3,Свод!I$4,Доп.расчеты!7:7)</f>
        <v>0</v>
      </c>
      <c r="J123" s="148">
        <f>-SUMIF(Доп.расчеты!$3:$3,Свод!J$4,Доп.расчеты!7:7)</f>
        <v>0</v>
      </c>
      <c r="K123" s="148">
        <f>-SUMIF(Доп.расчеты!$3:$3,Свод!K$4,Доп.расчеты!7:7)</f>
        <v>0</v>
      </c>
      <c r="L123" s="148">
        <f>-SUMIF(Доп.расчеты!$3:$3,Свод!L$4,Доп.расчеты!7:7)</f>
        <v>0</v>
      </c>
      <c r="M123" s="148">
        <f>-SUMIF(Доп.расчеты!$3:$3,Свод!M$4,Доп.расчеты!7:7)</f>
        <v>0</v>
      </c>
    </row>
    <row r="124" spans="1:21" s="134" customFormat="1" ht="16" hidden="1" outlineLevel="1">
      <c r="A124" s="145"/>
      <c r="B124" s="147" t="s">
        <v>15</v>
      </c>
      <c r="C124" s="148">
        <f>-SUMIF(Доп.расчеты!$3:$3,Свод!C$4,Доп.расчеты!8:8)</f>
        <v>0</v>
      </c>
      <c r="D124" s="148">
        <f>-SUMIF(Доп.расчеты!$3:$3,Свод!D$4,Доп.расчеты!8:8)</f>
        <v>0</v>
      </c>
      <c r="E124" s="148">
        <f>-SUMIF(Доп.расчеты!$3:$3,Свод!E$4,Доп.расчеты!8:8)</f>
        <v>0</v>
      </c>
      <c r="F124" s="148">
        <f>-SUMIF(Доп.расчеты!$3:$3,Свод!F$4,Доп.расчеты!8:8)</f>
        <v>0</v>
      </c>
      <c r="G124" s="148">
        <f>-SUMIF(Доп.расчеты!$3:$3,Свод!G$4,Доп.расчеты!8:8)</f>
        <v>0</v>
      </c>
      <c r="H124" s="148">
        <f>-SUMIF(Доп.расчеты!$3:$3,Свод!H$4,Доп.расчеты!8:8)</f>
        <v>0</v>
      </c>
      <c r="I124" s="148">
        <f>-SUMIF(Доп.расчеты!$3:$3,Свод!I$4,Доп.расчеты!8:8)</f>
        <v>0</v>
      </c>
      <c r="J124" s="148">
        <f>-SUMIF(Доп.расчеты!$3:$3,Свод!J$4,Доп.расчеты!8:8)</f>
        <v>0</v>
      </c>
      <c r="K124" s="148">
        <f>-SUMIF(Доп.расчеты!$3:$3,Свод!K$4,Доп.расчеты!8:8)</f>
        <v>0</v>
      </c>
      <c r="L124" s="148">
        <f>-SUMIF(Доп.расчеты!$3:$3,Свод!L$4,Доп.расчеты!8:8)</f>
        <v>0</v>
      </c>
      <c r="M124" s="148">
        <f>-SUMIF(Доп.расчеты!$3:$3,Свод!M$4,Доп.расчеты!8:8)</f>
        <v>0</v>
      </c>
    </row>
    <row r="125" spans="1:21" collapsed="1">
      <c r="B125" s="141" t="s">
        <v>22</v>
      </c>
      <c r="C125" s="146">
        <f>IF(C126=0,C119+C120,C126)</f>
        <v>0</v>
      </c>
      <c r="D125" s="146">
        <f t="shared" ref="D125:I125" si="18">IF(D126=0,D119+D120,D126)</f>
        <v>0</v>
      </c>
      <c r="E125" s="146">
        <f t="shared" si="18"/>
        <v>0</v>
      </c>
      <c r="F125" s="146">
        <f t="shared" si="18"/>
        <v>0</v>
      </c>
      <c r="G125" s="146">
        <f t="shared" si="18"/>
        <v>0</v>
      </c>
      <c r="H125" s="146">
        <f>IF(H126=0,H119+H120,H126)</f>
        <v>0</v>
      </c>
      <c r="I125" s="146">
        <f t="shared" si="18"/>
        <v>0</v>
      </c>
      <c r="J125" s="146">
        <f t="shared" ref="J125:M125" si="19">IF(J126=0,J119+J120,J126)</f>
        <v>0</v>
      </c>
      <c r="K125" s="146">
        <f t="shared" si="19"/>
        <v>0</v>
      </c>
      <c r="L125" s="146">
        <f t="shared" si="19"/>
        <v>0</v>
      </c>
      <c r="M125" s="146">
        <f t="shared" si="19"/>
        <v>0</v>
      </c>
      <c r="Q125" s="134"/>
      <c r="R125" s="134"/>
      <c r="S125" s="134"/>
      <c r="T125" s="134"/>
      <c r="U125" s="134"/>
    </row>
    <row r="126" spans="1:21">
      <c r="B126" s="141" t="s">
        <v>131</v>
      </c>
      <c r="C126" s="146">
        <f>SUMIF('Как есть'!$12:$12,Свод!C4,'Как есть'!$97:$97)</f>
        <v>0</v>
      </c>
      <c r="D126" s="146">
        <f>SUMIF('Как есть'!$12:$12,Свод!D4,'Как есть'!$97:$97)</f>
        <v>0</v>
      </c>
      <c r="E126" s="146">
        <f>SUMIF('Как есть'!$12:$12,Свод!E4,'Как есть'!$97:$97)</f>
        <v>0</v>
      </c>
      <c r="F126" s="146">
        <f>SUMIF('Как есть'!$12:$12,Свод!F4,'Как есть'!$97:$97)</f>
        <v>0</v>
      </c>
      <c r="G126" s="146">
        <f>SUMIF('Как есть'!$12:$12,Свод!G4,'Как есть'!$97:$97)</f>
        <v>0</v>
      </c>
      <c r="H126" s="146">
        <f>SUMIF('Как есть'!$12:$12,Свод!H4,'Как есть'!$97:$97)</f>
        <v>0</v>
      </c>
      <c r="I126" s="146">
        <f>SUMIF('Как есть'!$12:$12,Свод!I4,'Как есть'!$97:$97)</f>
        <v>0</v>
      </c>
      <c r="J126" s="146">
        <f>SUMIF('Как есть'!$12:$12,Свод!J4,'Как есть'!$97:$97)</f>
        <v>0</v>
      </c>
      <c r="K126" s="146">
        <f>SUMIF('Как есть'!$12:$12,Свод!K4,'Как есть'!$97:$97)</f>
        <v>0</v>
      </c>
      <c r="L126" s="146">
        <f>SUMIF('Как есть'!$12:$12,Свод!L4,'Как есть'!$97:$97)</f>
        <v>0</v>
      </c>
      <c r="M126" s="146">
        <f>SUMIF('Как есть'!$12:$12,Свод!M4,'Как есть'!$97:$97)</f>
        <v>0</v>
      </c>
      <c r="Q126" s="134"/>
      <c r="R126" s="134"/>
      <c r="S126" s="134"/>
      <c r="T126" s="134"/>
      <c r="U126" s="134"/>
    </row>
    <row r="127" spans="1:21" ht="16" hidden="1" outlineLevel="1">
      <c r="B127" s="147" t="s">
        <v>60</v>
      </c>
      <c r="C127" s="149">
        <f>SUMIF('Как есть'!$12:$12,Свод!C4,'Как есть'!$98:$98)</f>
        <v>0</v>
      </c>
      <c r="D127" s="149">
        <f>SUMIF('Как есть'!$12:$12,Свод!D4,'Как есть'!$98:$98)</f>
        <v>0</v>
      </c>
      <c r="E127" s="149">
        <f>SUMIF('Как есть'!$12:$12,Свод!E4,'Как есть'!$98:$98)</f>
        <v>0</v>
      </c>
      <c r="F127" s="149">
        <f>SUMIF('Как есть'!$12:$12,Свод!F4,'Как есть'!$98:$98)</f>
        <v>0</v>
      </c>
      <c r="G127" s="149">
        <f>SUMIF('Как есть'!$12:$12,Свод!G4,'Как есть'!$98:$98)</f>
        <v>0</v>
      </c>
      <c r="H127" s="149">
        <f>SUMIF('Как есть'!$12:$12,Свод!H4,'Как есть'!$98:$98)</f>
        <v>0</v>
      </c>
      <c r="I127" s="149">
        <f>SUMIF('Как есть'!$12:$12,Свод!I4,'Как есть'!$98:$98)</f>
        <v>0</v>
      </c>
      <c r="J127" s="149">
        <f>SUMIF('Как есть'!$12:$12,Свод!J4,'Как есть'!$98:$98)</f>
        <v>0</v>
      </c>
      <c r="K127" s="149">
        <f>SUMIF('Как есть'!$12:$12,Свод!K4,'Как есть'!$98:$98)</f>
        <v>0</v>
      </c>
      <c r="L127" s="149">
        <f>SUMIF('Как есть'!$12:$12,Свод!L4,'Как есть'!$98:$98)</f>
        <v>0</v>
      </c>
      <c r="M127" s="149">
        <f>SUMIF('Как есть'!$12:$12,Свод!M4,'Как есть'!$98:$98)</f>
        <v>0</v>
      </c>
      <c r="Q127" s="134"/>
      <c r="R127" s="134"/>
      <c r="S127" s="134"/>
      <c r="T127" s="134"/>
      <c r="U127" s="134"/>
    </row>
    <row r="128" spans="1:21" ht="16" hidden="1" outlineLevel="1">
      <c r="B128" s="147" t="s">
        <v>61</v>
      </c>
      <c r="C128" s="149">
        <f>SUMIF('Как есть'!$12:$12,Свод!C4,'Как есть'!$99:$99)</f>
        <v>0</v>
      </c>
      <c r="D128" s="149">
        <f>SUMIF('Как есть'!$12:$12,Свод!D4,'Как есть'!$99:$99)</f>
        <v>0</v>
      </c>
      <c r="E128" s="149">
        <f>SUMIF('Как есть'!$12:$12,Свод!E4,'Как есть'!$99:$99)</f>
        <v>0</v>
      </c>
      <c r="F128" s="149">
        <f>SUMIF('Как есть'!$12:$12,Свод!F4,'Как есть'!$99:$99)</f>
        <v>0</v>
      </c>
      <c r="G128" s="149">
        <f>SUMIF('Как есть'!$12:$12,Свод!G4,'Как есть'!$99:$99)</f>
        <v>0</v>
      </c>
      <c r="H128" s="149">
        <f>SUMIF('Как есть'!$12:$12,Свод!H4,'Как есть'!$99:$99)</f>
        <v>0</v>
      </c>
      <c r="I128" s="149">
        <f>SUMIF('Как есть'!$12:$12,Свод!I4,'Как есть'!$99:$99)</f>
        <v>0</v>
      </c>
      <c r="J128" s="149">
        <f>SUMIF('Как есть'!$12:$12,Свод!J4,'Как есть'!$99:$99)</f>
        <v>0</v>
      </c>
      <c r="K128" s="149">
        <f>SUMIF('Как есть'!$12:$12,Свод!K4,'Как есть'!$99:$99)</f>
        <v>0</v>
      </c>
      <c r="L128" s="149">
        <f>SUMIF('Как есть'!$12:$12,Свод!L4,'Как есть'!$99:$99)</f>
        <v>0</v>
      </c>
      <c r="M128" s="149">
        <f>SUMIF('Как есть'!$12:$12,Свод!M4,'Как есть'!$99:$99)</f>
        <v>0</v>
      </c>
      <c r="Q128" s="134"/>
      <c r="R128" s="134"/>
      <c r="S128" s="134"/>
      <c r="T128" s="134"/>
      <c r="U128" s="134"/>
    </row>
    <row r="129" spans="1:21" collapsed="1">
      <c r="B129" s="141" t="s">
        <v>176</v>
      </c>
      <c r="C129" s="146">
        <f>SUMIF('Как есть'!$12:$12,Свод!C4,'Как есть'!$100:$100)</f>
        <v>0</v>
      </c>
      <c r="D129" s="146">
        <f>SUMIF('Как есть'!$12:$12,Свод!D4,'Как есть'!$100:$100)</f>
        <v>0</v>
      </c>
      <c r="E129" s="146">
        <f>SUMIF('Как есть'!$12:$12,Свод!E4,'Как есть'!$100:$100)</f>
        <v>0</v>
      </c>
      <c r="F129" s="146">
        <f>SUMIF('Как есть'!$12:$12,Свод!F4,'Как есть'!$100:$100)</f>
        <v>0</v>
      </c>
      <c r="G129" s="146">
        <f>SUMIF('Как есть'!$12:$12,Свод!G4,'Как есть'!$100:$100)</f>
        <v>0</v>
      </c>
      <c r="H129" s="146">
        <f>SUMIF('Как есть'!$12:$12,Свод!H4,'Как есть'!$100:$100)</f>
        <v>0</v>
      </c>
      <c r="I129" s="146">
        <f>SUMIF('Как есть'!$12:$12,Свод!I4,'Как есть'!$100:$100)</f>
        <v>0</v>
      </c>
      <c r="J129" s="146">
        <f>SUMIF('Как есть'!$12:$12,Свод!J4,'Как есть'!$100:$100)</f>
        <v>0</v>
      </c>
      <c r="K129" s="146">
        <f>SUMIF('Как есть'!$12:$12,Свод!K4,'Как есть'!$100:$100)</f>
        <v>0</v>
      </c>
      <c r="L129" s="146">
        <f>SUMIF('Как есть'!$12:$12,Свод!L4,'Как есть'!$100:$100)</f>
        <v>0</v>
      </c>
      <c r="M129" s="146">
        <f>SUMIF('Как есть'!$12:$12,Свод!M4,'Как есть'!$100:$100)</f>
        <v>0</v>
      </c>
      <c r="Q129" s="134"/>
      <c r="R129" s="134"/>
      <c r="S129" s="134"/>
      <c r="T129" s="134"/>
      <c r="U129" s="134"/>
    </row>
    <row r="130" spans="1:21" ht="16" hidden="1" outlineLevel="1">
      <c r="B130" s="147" t="s">
        <v>122</v>
      </c>
      <c r="C130" s="148">
        <f>-SUMIF(Доп.расчеты!$3:$3,Свод!C$4,Доп.расчеты!19:19)</f>
        <v>0</v>
      </c>
      <c r="D130" s="148">
        <f>-SUMIF(Доп.расчеты!$3:$3,Свод!D$4,Доп.расчеты!19:19)</f>
        <v>0</v>
      </c>
      <c r="E130" s="148">
        <f>-SUMIF(Доп.расчеты!$3:$3,Свод!E$4,Доп.расчеты!19:19)</f>
        <v>0</v>
      </c>
      <c r="F130" s="148">
        <f>-SUMIF(Доп.расчеты!$3:$3,Свод!F$4,Доп.расчеты!19:19)</f>
        <v>0</v>
      </c>
      <c r="G130" s="148">
        <f>-SUMIF(Доп.расчеты!$3:$3,Свод!G$4,Доп.расчеты!19:19)</f>
        <v>0</v>
      </c>
      <c r="H130" s="148">
        <f>-SUMIF(Доп.расчеты!$3:$3,Свод!H$4,Доп.расчеты!19:19)</f>
        <v>0</v>
      </c>
      <c r="I130" s="148">
        <f>-SUMIF(Доп.расчеты!$3:$3,Свод!I$4,Доп.расчеты!19:19)</f>
        <v>0</v>
      </c>
      <c r="J130" s="148">
        <f>-SUMIF(Доп.расчеты!$3:$3,Свод!J$4,Доп.расчеты!19:19)</f>
        <v>0</v>
      </c>
      <c r="K130" s="148">
        <f>-SUMIF(Доп.расчеты!$3:$3,Свод!K$4,Доп.расчеты!19:19)</f>
        <v>0</v>
      </c>
      <c r="L130" s="148">
        <f>-SUMIF(Доп.расчеты!$3:$3,Свод!L$4,Доп.расчеты!19:19)</f>
        <v>0</v>
      </c>
      <c r="M130" s="148">
        <f>-SUMIF(Доп.расчеты!$3:$3,Свод!M$4,Доп.расчеты!19:19)</f>
        <v>0</v>
      </c>
      <c r="Q130" s="134"/>
      <c r="R130" s="134"/>
      <c r="S130" s="134"/>
      <c r="T130" s="134"/>
      <c r="U130" s="134"/>
    </row>
    <row r="131" spans="1:21" ht="16" hidden="1" outlineLevel="1">
      <c r="B131" s="147" t="s">
        <v>123</v>
      </c>
      <c r="C131" s="148">
        <f>-SUMIF(Доп.расчеты!$3:$3,Свод!C$4,Доп.расчеты!20:20)</f>
        <v>0</v>
      </c>
      <c r="D131" s="148">
        <f>-SUMIF(Доп.расчеты!$3:$3,Свод!D$4,Доп.расчеты!20:20)</f>
        <v>0</v>
      </c>
      <c r="E131" s="148">
        <f>-SUMIF(Доп.расчеты!$3:$3,Свод!E$4,Доп.расчеты!20:20)</f>
        <v>0</v>
      </c>
      <c r="F131" s="148">
        <f>-SUMIF(Доп.расчеты!$3:$3,Свод!F$4,Доп.расчеты!20:20)</f>
        <v>0</v>
      </c>
      <c r="G131" s="148">
        <f>-SUMIF(Доп.расчеты!$3:$3,Свод!G$4,Доп.расчеты!20:20)</f>
        <v>0</v>
      </c>
      <c r="H131" s="148">
        <f>-SUMIF(Доп.расчеты!$3:$3,Свод!H$4,Доп.расчеты!20:20)</f>
        <v>0</v>
      </c>
      <c r="I131" s="148">
        <f>-SUMIF(Доп.расчеты!$3:$3,Свод!I$4,Доп.расчеты!20:20)</f>
        <v>0</v>
      </c>
      <c r="J131" s="148">
        <f>-SUMIF(Доп.расчеты!$3:$3,Свод!J$4,Доп.расчеты!20:20)</f>
        <v>0</v>
      </c>
      <c r="K131" s="148">
        <f>-SUMIF(Доп.расчеты!$3:$3,Свод!K$4,Доп.расчеты!20:20)</f>
        <v>0</v>
      </c>
      <c r="L131" s="148">
        <f>-SUMIF(Доп.расчеты!$3:$3,Свод!L$4,Доп.расчеты!20:20)</f>
        <v>0</v>
      </c>
      <c r="M131" s="148">
        <f>-SUMIF(Доп.расчеты!$3:$3,Свод!M$4,Доп.расчеты!20:20)</f>
        <v>0</v>
      </c>
      <c r="Q131" s="134"/>
      <c r="R131" s="134"/>
      <c r="S131" s="134"/>
      <c r="T131" s="134"/>
      <c r="U131" s="134"/>
    </row>
    <row r="132" spans="1:21" ht="16" hidden="1" outlineLevel="1">
      <c r="B132" s="147" t="s">
        <v>124</v>
      </c>
      <c r="C132" s="148">
        <f>-SUMIF(Доп.расчеты!$3:$3,Свод!C$4,Доп.расчеты!21:21)</f>
        <v>0</v>
      </c>
      <c r="D132" s="148">
        <f>-SUMIF(Доп.расчеты!$3:$3,Свод!D$4,Доп.расчеты!21:21)</f>
        <v>0</v>
      </c>
      <c r="E132" s="148">
        <f>-SUMIF(Доп.расчеты!$3:$3,Свод!E$4,Доп.расчеты!21:21)</f>
        <v>0</v>
      </c>
      <c r="F132" s="148">
        <f>-SUMIF(Доп.расчеты!$3:$3,Свод!F$4,Доп.расчеты!21:21)</f>
        <v>0</v>
      </c>
      <c r="G132" s="148">
        <f>-SUMIF(Доп.расчеты!$3:$3,Свод!G$4,Доп.расчеты!21:21)</f>
        <v>0</v>
      </c>
      <c r="H132" s="148">
        <f>-SUMIF(Доп.расчеты!$3:$3,Свод!H$4,Доп.расчеты!21:21)</f>
        <v>0</v>
      </c>
      <c r="I132" s="148">
        <f>-SUMIF(Доп.расчеты!$3:$3,Свод!I$4,Доп.расчеты!21:21)</f>
        <v>0</v>
      </c>
      <c r="J132" s="148">
        <f>-SUMIF(Доп.расчеты!$3:$3,Свод!J$4,Доп.расчеты!21:21)</f>
        <v>0</v>
      </c>
      <c r="K132" s="148">
        <f>-SUMIF(Доп.расчеты!$3:$3,Свод!K$4,Доп.расчеты!21:21)</f>
        <v>0</v>
      </c>
      <c r="L132" s="148">
        <f>-SUMIF(Доп.расчеты!$3:$3,Свод!L$4,Доп.расчеты!21:21)</f>
        <v>0</v>
      </c>
      <c r="M132" s="148">
        <f>-SUMIF(Доп.расчеты!$3:$3,Свод!M$4,Доп.расчеты!21:21)</f>
        <v>0</v>
      </c>
      <c r="Q132" s="134"/>
      <c r="R132" s="134"/>
      <c r="S132" s="134"/>
      <c r="T132" s="134"/>
      <c r="U132" s="134"/>
    </row>
    <row r="133" spans="1:21" ht="16" hidden="1" outlineLevel="1">
      <c r="B133" s="147" t="s">
        <v>113</v>
      </c>
      <c r="C133" s="148">
        <f>-SUMIF(Доп.расчеты!$3:$3,Свод!C$4,Доп.расчеты!22:22)</f>
        <v>0</v>
      </c>
      <c r="D133" s="148">
        <f>-SUMIF(Доп.расчеты!$3:$3,Свод!D$4,Доп.расчеты!22:22)</f>
        <v>0</v>
      </c>
      <c r="E133" s="148">
        <f>-SUMIF(Доп.расчеты!$3:$3,Свод!E$4,Доп.расчеты!22:22)</f>
        <v>0</v>
      </c>
      <c r="F133" s="148">
        <f>-SUMIF(Доп.расчеты!$3:$3,Свод!F$4,Доп.расчеты!22:22)</f>
        <v>0</v>
      </c>
      <c r="G133" s="148">
        <f>-SUMIF(Доп.расчеты!$3:$3,Свод!G$4,Доп.расчеты!22:22)</f>
        <v>0</v>
      </c>
      <c r="H133" s="148">
        <f>-SUMIF(Доп.расчеты!$3:$3,Свод!H$4,Доп.расчеты!22:22)</f>
        <v>0</v>
      </c>
      <c r="I133" s="148">
        <f>-SUMIF(Доп.расчеты!$3:$3,Свод!I$4,Доп.расчеты!22:22)</f>
        <v>0</v>
      </c>
      <c r="J133" s="148">
        <f>-SUMIF(Доп.расчеты!$3:$3,Свод!J$4,Доп.расчеты!22:22)</f>
        <v>0</v>
      </c>
      <c r="K133" s="148">
        <f>-SUMIF(Доп.расчеты!$3:$3,Свод!K$4,Доп.расчеты!22:22)</f>
        <v>0</v>
      </c>
      <c r="L133" s="148">
        <f>-SUMIF(Доп.расчеты!$3:$3,Свод!L$4,Доп.расчеты!22:22)</f>
        <v>0</v>
      </c>
      <c r="M133" s="148">
        <f>-SUMIF(Доп.расчеты!$3:$3,Свод!M$4,Доп.расчеты!22:22)</f>
        <v>0</v>
      </c>
      <c r="Q133" s="134"/>
      <c r="R133" s="134"/>
      <c r="S133" s="134"/>
      <c r="T133" s="134"/>
      <c r="U133" s="134"/>
    </row>
    <row r="134" spans="1:21" ht="16" hidden="1" outlineLevel="1">
      <c r="B134" s="147" t="s">
        <v>125</v>
      </c>
      <c r="C134" s="148">
        <f>-SUMIF(Доп.расчеты!$3:$3,Свод!C$4,Доп.расчеты!23:23)</f>
        <v>0</v>
      </c>
      <c r="D134" s="148">
        <f>-SUMIF(Доп.расчеты!$3:$3,Свод!D$4,Доп.расчеты!23:23)</f>
        <v>0</v>
      </c>
      <c r="E134" s="148">
        <f>-SUMIF(Доп.расчеты!$3:$3,Свод!E$4,Доп.расчеты!23:23)</f>
        <v>0</v>
      </c>
      <c r="F134" s="148">
        <f>-SUMIF(Доп.расчеты!$3:$3,Свод!F$4,Доп.расчеты!23:23)</f>
        <v>0</v>
      </c>
      <c r="G134" s="148">
        <f>-SUMIF(Доп.расчеты!$3:$3,Свод!G$4,Доп.расчеты!23:23)</f>
        <v>0</v>
      </c>
      <c r="H134" s="148">
        <f>-SUMIF(Доп.расчеты!$3:$3,Свод!H$4,Доп.расчеты!23:23)</f>
        <v>0</v>
      </c>
      <c r="I134" s="148">
        <f>-SUMIF(Доп.расчеты!$3:$3,Свод!I$4,Доп.расчеты!23:23)</f>
        <v>0</v>
      </c>
      <c r="J134" s="148">
        <f>-SUMIF(Доп.расчеты!$3:$3,Свод!J$4,Доп.расчеты!23:23)</f>
        <v>0</v>
      </c>
      <c r="K134" s="148">
        <f>-SUMIF(Доп.расчеты!$3:$3,Свод!K$4,Доп.расчеты!23:23)</f>
        <v>0</v>
      </c>
      <c r="L134" s="148">
        <f>-SUMIF(Доп.расчеты!$3:$3,Свод!L$4,Доп.расчеты!23:23)</f>
        <v>0</v>
      </c>
      <c r="M134" s="148">
        <f>-SUMIF(Доп.расчеты!$3:$3,Свод!M$4,Доп.расчеты!23:23)</f>
        <v>0</v>
      </c>
      <c r="Q134" s="134"/>
      <c r="R134" s="134"/>
      <c r="S134" s="134"/>
      <c r="T134" s="134"/>
      <c r="U134" s="134"/>
    </row>
    <row r="135" spans="1:21" ht="16" hidden="1" outlineLevel="1">
      <c r="B135" s="147" t="s">
        <v>10</v>
      </c>
      <c r="C135" s="148">
        <f>-SUMIF(Доп.расчеты!$3:$3,Свод!C$4,Доп.расчеты!24:24)</f>
        <v>0</v>
      </c>
      <c r="D135" s="148">
        <f>-SUMIF(Доп.расчеты!$3:$3,Свод!D$4,Доп.расчеты!24:24)</f>
        <v>0</v>
      </c>
      <c r="E135" s="148">
        <f>-SUMIF(Доп.расчеты!$3:$3,Свод!E$4,Доп.расчеты!24:24)</f>
        <v>0</v>
      </c>
      <c r="F135" s="148">
        <f>-SUMIF(Доп.расчеты!$3:$3,Свод!F$4,Доп.расчеты!24:24)</f>
        <v>0</v>
      </c>
      <c r="G135" s="148">
        <f>-SUMIF(Доп.расчеты!$3:$3,Свод!G$4,Доп.расчеты!24:24)</f>
        <v>0</v>
      </c>
      <c r="H135" s="148">
        <f>-SUMIF(Доп.расчеты!$3:$3,Свод!H$4,Доп.расчеты!24:24)</f>
        <v>0</v>
      </c>
      <c r="I135" s="148">
        <f>-SUMIF(Доп.расчеты!$3:$3,Свод!I$4,Доп.расчеты!24:24)</f>
        <v>0</v>
      </c>
      <c r="J135" s="148">
        <f>-SUMIF(Доп.расчеты!$3:$3,Свод!J$4,Доп.расчеты!24:24)</f>
        <v>0</v>
      </c>
      <c r="K135" s="148">
        <f>-SUMIF(Доп.расчеты!$3:$3,Свод!K$4,Доп.расчеты!24:24)</f>
        <v>0</v>
      </c>
      <c r="L135" s="148">
        <f>-SUMIF(Доп.расчеты!$3:$3,Свод!L$4,Доп.расчеты!24:24)</f>
        <v>0</v>
      </c>
      <c r="M135" s="148">
        <f>-SUMIF(Доп.расчеты!$3:$3,Свод!M$4,Доп.расчеты!24:24)</f>
        <v>0</v>
      </c>
      <c r="Q135" s="134"/>
      <c r="R135" s="134"/>
      <c r="S135" s="134"/>
      <c r="T135" s="134"/>
      <c r="U135" s="134"/>
    </row>
    <row r="136" spans="1:21" ht="32" hidden="1" outlineLevel="1">
      <c r="B136" s="147" t="s">
        <v>11</v>
      </c>
      <c r="C136" s="148">
        <f>-SUMIF(Доп.расчеты!$3:$3,Свод!C$4,Доп.расчеты!25:25)</f>
        <v>0</v>
      </c>
      <c r="D136" s="148">
        <f>-SUMIF(Доп.расчеты!$3:$3,Свод!D$4,Доп.расчеты!25:25)</f>
        <v>0</v>
      </c>
      <c r="E136" s="148">
        <f>-SUMIF(Доп.расчеты!$3:$3,Свод!E$4,Доп.расчеты!25:25)</f>
        <v>0</v>
      </c>
      <c r="F136" s="148">
        <f>-SUMIF(Доп.расчеты!$3:$3,Свод!F$4,Доп.расчеты!25:25)</f>
        <v>0</v>
      </c>
      <c r="G136" s="148">
        <f>-SUMIF(Доп.расчеты!$3:$3,Свод!G$4,Доп.расчеты!25:25)</f>
        <v>0</v>
      </c>
      <c r="H136" s="148">
        <f>-SUMIF(Доп.расчеты!$3:$3,Свод!H$4,Доп.расчеты!25:25)</f>
        <v>0</v>
      </c>
      <c r="I136" s="148">
        <f>-SUMIF(Доп.расчеты!$3:$3,Свод!I$4,Доп.расчеты!25:25)</f>
        <v>0</v>
      </c>
      <c r="J136" s="148">
        <f>-SUMIF(Доп.расчеты!$3:$3,Свод!J$4,Доп.расчеты!25:25)</f>
        <v>0</v>
      </c>
      <c r="K136" s="148">
        <f>-SUMIF(Доп.расчеты!$3:$3,Свод!K$4,Доп.расчеты!25:25)</f>
        <v>0</v>
      </c>
      <c r="L136" s="148">
        <f>-SUMIF(Доп.расчеты!$3:$3,Свод!L$4,Доп.расчеты!25:25)</f>
        <v>0</v>
      </c>
      <c r="M136" s="148">
        <f>-SUMIF(Доп.расчеты!$3:$3,Свод!M$4,Доп.расчеты!25:25)</f>
        <v>0</v>
      </c>
      <c r="Q136" s="134"/>
      <c r="R136" s="134"/>
      <c r="S136" s="134"/>
      <c r="T136" s="134"/>
      <c r="U136" s="134"/>
    </row>
    <row r="137" spans="1:21" ht="16" hidden="1" outlineLevel="1">
      <c r="B137" s="147" t="s">
        <v>12</v>
      </c>
      <c r="C137" s="148">
        <f>-SUMIF(Доп.расчеты!$3:$3,Свод!C$4,Доп.расчеты!26:26)</f>
        <v>0</v>
      </c>
      <c r="D137" s="148">
        <f>-SUMIF(Доп.расчеты!$3:$3,Свод!D$4,Доп.расчеты!26:26)</f>
        <v>0</v>
      </c>
      <c r="E137" s="148">
        <f>-SUMIF(Доп.расчеты!$3:$3,Свод!E$4,Доп.расчеты!26:26)</f>
        <v>0</v>
      </c>
      <c r="F137" s="148">
        <f>-SUMIF(Доп.расчеты!$3:$3,Свод!F$4,Доп.расчеты!26:26)</f>
        <v>0</v>
      </c>
      <c r="G137" s="148">
        <f>-SUMIF(Доп.расчеты!$3:$3,Свод!G$4,Доп.расчеты!26:26)</f>
        <v>0</v>
      </c>
      <c r="H137" s="148">
        <f>-SUMIF(Доп.расчеты!$3:$3,Свод!H$4,Доп.расчеты!26:26)</f>
        <v>0</v>
      </c>
      <c r="I137" s="148">
        <f>-SUMIF(Доп.расчеты!$3:$3,Свод!I$4,Доп.расчеты!26:26)</f>
        <v>0</v>
      </c>
      <c r="J137" s="148">
        <f>-SUMIF(Доп.расчеты!$3:$3,Свод!J$4,Доп.расчеты!26:26)</f>
        <v>0</v>
      </c>
      <c r="K137" s="148">
        <f>-SUMIF(Доп.расчеты!$3:$3,Свод!K$4,Доп.расчеты!26:26)</f>
        <v>0</v>
      </c>
      <c r="L137" s="148">
        <f>-SUMIF(Доп.расчеты!$3:$3,Свод!L$4,Доп.расчеты!26:26)</f>
        <v>0</v>
      </c>
      <c r="M137" s="148">
        <f>-SUMIF(Доп.расчеты!$3:$3,Свод!M$4,Доп.расчеты!26:26)</f>
        <v>0</v>
      </c>
      <c r="Q137" s="134"/>
      <c r="R137" s="134"/>
      <c r="S137" s="134"/>
      <c r="T137" s="134"/>
      <c r="U137" s="134"/>
    </row>
    <row r="138" spans="1:21" ht="16" hidden="1" outlineLevel="1">
      <c r="B138" s="147" t="s">
        <v>13</v>
      </c>
      <c r="C138" s="148">
        <f>-SUMIF(Доп.расчеты!$3:$3,Свод!C$4,Доп.расчеты!27:27)</f>
        <v>0</v>
      </c>
      <c r="D138" s="148">
        <f>-SUMIF(Доп.расчеты!$3:$3,Свод!D$4,Доп.расчеты!27:27)</f>
        <v>0</v>
      </c>
      <c r="E138" s="148">
        <f>-SUMIF(Доп.расчеты!$3:$3,Свод!E$4,Доп.расчеты!27:27)</f>
        <v>0</v>
      </c>
      <c r="F138" s="148">
        <f>-SUMIF(Доп.расчеты!$3:$3,Свод!F$4,Доп.расчеты!27:27)</f>
        <v>0</v>
      </c>
      <c r="G138" s="148">
        <f>-SUMIF(Доп.расчеты!$3:$3,Свод!G$4,Доп.расчеты!27:27)</f>
        <v>0</v>
      </c>
      <c r="H138" s="148">
        <f>-SUMIF(Доп.расчеты!$3:$3,Свод!H$4,Доп.расчеты!27:27)</f>
        <v>0</v>
      </c>
      <c r="I138" s="148">
        <f>-SUMIF(Доп.расчеты!$3:$3,Свод!I$4,Доп.расчеты!27:27)</f>
        <v>0</v>
      </c>
      <c r="J138" s="148">
        <f>-SUMIF(Доп.расчеты!$3:$3,Свод!J$4,Доп.расчеты!27:27)</f>
        <v>0</v>
      </c>
      <c r="K138" s="148">
        <f>-SUMIF(Доп.расчеты!$3:$3,Свод!K$4,Доп.расчеты!27:27)</f>
        <v>0</v>
      </c>
      <c r="L138" s="148">
        <f>-SUMIF(Доп.расчеты!$3:$3,Свод!L$4,Доп.расчеты!27:27)</f>
        <v>0</v>
      </c>
      <c r="M138" s="148">
        <f>-SUMIF(Доп.расчеты!$3:$3,Свод!M$4,Доп.расчеты!27:27)</f>
        <v>0</v>
      </c>
      <c r="Q138" s="134"/>
      <c r="R138" s="134"/>
      <c r="S138" s="134"/>
      <c r="T138" s="134"/>
      <c r="U138" s="134"/>
    </row>
    <row r="139" spans="1:21" ht="16" hidden="1" outlineLevel="1">
      <c r="B139" s="147" t="s">
        <v>14</v>
      </c>
      <c r="C139" s="148">
        <f>-SUMIF(Доп.расчеты!$3:$3,Свод!C$4,Доп.расчеты!28:28)</f>
        <v>0</v>
      </c>
      <c r="D139" s="148">
        <f>-SUMIF(Доп.расчеты!$3:$3,Свод!D$4,Доп.расчеты!28:28)</f>
        <v>0</v>
      </c>
      <c r="E139" s="148">
        <f>-SUMIF(Доп.расчеты!$3:$3,Свод!E$4,Доп.расчеты!28:28)</f>
        <v>0</v>
      </c>
      <c r="F139" s="148">
        <f>-SUMIF(Доп.расчеты!$3:$3,Свод!F$4,Доп.расчеты!28:28)</f>
        <v>0</v>
      </c>
      <c r="G139" s="148">
        <f>-SUMIF(Доп.расчеты!$3:$3,Свод!G$4,Доп.расчеты!28:28)</f>
        <v>0</v>
      </c>
      <c r="H139" s="148">
        <f>-SUMIF(Доп.расчеты!$3:$3,Свод!H$4,Доп.расчеты!28:28)</f>
        <v>0</v>
      </c>
      <c r="I139" s="148">
        <f>-SUMIF(Доп.расчеты!$3:$3,Свод!I$4,Доп.расчеты!28:28)</f>
        <v>0</v>
      </c>
      <c r="J139" s="148">
        <f>-SUMIF(Доп.расчеты!$3:$3,Свод!J$4,Доп.расчеты!28:28)</f>
        <v>0</v>
      </c>
      <c r="K139" s="148">
        <f>-SUMIF(Доп.расчеты!$3:$3,Свод!K$4,Доп.расчеты!28:28)</f>
        <v>0</v>
      </c>
      <c r="L139" s="148">
        <f>-SUMIF(Доп.расчеты!$3:$3,Свод!L$4,Доп.расчеты!28:28)</f>
        <v>0</v>
      </c>
      <c r="M139" s="148">
        <f>-SUMIF(Доп.расчеты!$3:$3,Свод!M$4,Доп.расчеты!28:28)</f>
        <v>0</v>
      </c>
      <c r="Q139" s="134"/>
      <c r="R139" s="134"/>
      <c r="S139" s="134"/>
      <c r="T139" s="134"/>
      <c r="U139" s="134"/>
    </row>
    <row r="140" spans="1:21" ht="16" hidden="1" outlineLevel="1">
      <c r="B140" s="147" t="s">
        <v>117</v>
      </c>
      <c r="C140" s="148">
        <f>-SUMIF(Доп.расчеты!$3:$3,Свод!C$4,Доп.расчеты!29:29)</f>
        <v>0</v>
      </c>
      <c r="D140" s="148">
        <f>-SUMIF(Доп.расчеты!$3:$3,Свод!D$4,Доп.расчеты!29:29)</f>
        <v>0</v>
      </c>
      <c r="E140" s="148">
        <f>-SUMIF(Доп.расчеты!$3:$3,Свод!E$4,Доп.расчеты!29:29)</f>
        <v>0</v>
      </c>
      <c r="F140" s="148">
        <f>-SUMIF(Доп.расчеты!$3:$3,Свод!F$4,Доп.расчеты!29:29)</f>
        <v>0</v>
      </c>
      <c r="G140" s="148">
        <f>-SUMIF(Доп.расчеты!$3:$3,Свод!G$4,Доп.расчеты!29:29)</f>
        <v>0</v>
      </c>
      <c r="H140" s="148">
        <f>-SUMIF(Доп.расчеты!$3:$3,Свод!H$4,Доп.расчеты!29:29)</f>
        <v>0</v>
      </c>
      <c r="I140" s="148">
        <f>-SUMIF(Доп.расчеты!$3:$3,Свод!I$4,Доп.расчеты!29:29)</f>
        <v>0</v>
      </c>
      <c r="J140" s="148">
        <f>-SUMIF(Доп.расчеты!$3:$3,Свод!J$4,Доп.расчеты!29:29)</f>
        <v>0</v>
      </c>
      <c r="K140" s="148">
        <f>-SUMIF(Доп.расчеты!$3:$3,Свод!K$4,Доп.расчеты!29:29)</f>
        <v>0</v>
      </c>
      <c r="L140" s="148">
        <f>-SUMIF(Доп.расчеты!$3:$3,Свод!L$4,Доп.расчеты!29:29)</f>
        <v>0</v>
      </c>
      <c r="M140" s="148">
        <f>-SUMIF(Доп.расчеты!$3:$3,Свод!M$4,Доп.расчеты!29:29)</f>
        <v>0</v>
      </c>
      <c r="Q140" s="134"/>
      <c r="R140" s="134"/>
      <c r="S140" s="134"/>
      <c r="T140" s="134"/>
      <c r="U140" s="134"/>
    </row>
    <row r="141" spans="1:21" ht="16" hidden="1" outlineLevel="1">
      <c r="B141" s="147" t="s">
        <v>126</v>
      </c>
      <c r="C141" s="148">
        <f>-SUMIF(Доп.расчеты!$3:$3,Свод!C$4,Доп.расчеты!30:30)</f>
        <v>0</v>
      </c>
      <c r="D141" s="148">
        <f>-SUMIF(Доп.расчеты!$3:$3,Свод!D$4,Доп.расчеты!30:30)</f>
        <v>0</v>
      </c>
      <c r="E141" s="148">
        <f>-SUMIF(Доп.расчеты!$3:$3,Свод!E$4,Доп.расчеты!30:30)</f>
        <v>0</v>
      </c>
      <c r="F141" s="148">
        <f>-SUMIF(Доп.расчеты!$3:$3,Свод!F$4,Доп.расчеты!30:30)</f>
        <v>0</v>
      </c>
      <c r="G141" s="148">
        <f>-SUMIF(Доп.расчеты!$3:$3,Свод!G$4,Доп.расчеты!30:30)</f>
        <v>0</v>
      </c>
      <c r="H141" s="148">
        <f>-SUMIF(Доп.расчеты!$3:$3,Свод!H$4,Доп.расчеты!30:30)</f>
        <v>0</v>
      </c>
      <c r="I141" s="148">
        <f>-SUMIF(Доп.расчеты!$3:$3,Свод!I$4,Доп.расчеты!30:30)</f>
        <v>0</v>
      </c>
      <c r="J141" s="148">
        <f>-SUMIF(Доп.расчеты!$3:$3,Свод!J$4,Доп.расчеты!30:30)</f>
        <v>0</v>
      </c>
      <c r="K141" s="148">
        <f>-SUMIF(Доп.расчеты!$3:$3,Свод!K$4,Доп.расчеты!30:30)</f>
        <v>0</v>
      </c>
      <c r="L141" s="148">
        <f>-SUMIF(Доп.расчеты!$3:$3,Свод!L$4,Доп.расчеты!30:30)</f>
        <v>0</v>
      </c>
      <c r="M141" s="148">
        <f>-SUMIF(Доп.расчеты!$3:$3,Свод!M$4,Доп.расчеты!30:30)</f>
        <v>0</v>
      </c>
      <c r="Q141" s="134"/>
      <c r="R141" s="134"/>
      <c r="S141" s="134"/>
      <c r="T141" s="134"/>
      <c r="U141" s="134"/>
    </row>
    <row r="142" spans="1:21" ht="16" hidden="1" outlineLevel="1">
      <c r="B142" s="150" t="s">
        <v>147</v>
      </c>
      <c r="C142" s="148">
        <f>SUMIF(Доп.расчеты!$3:$3,Свод!C$4,Доп.расчеты!31:31)</f>
        <v>0</v>
      </c>
      <c r="D142" s="148">
        <f>SUMIF(Доп.расчеты!$3:$3,Свод!D$4,Доп.расчеты!31:31)</f>
        <v>0</v>
      </c>
      <c r="E142" s="148">
        <f>SUMIF(Доп.расчеты!$3:$3,Свод!E$4,Доп.расчеты!31:31)</f>
        <v>0</v>
      </c>
      <c r="F142" s="148">
        <f>SUMIF(Доп.расчеты!$3:$3,Свод!F$4,Доп.расчеты!31:31)</f>
        <v>0</v>
      </c>
      <c r="G142" s="148">
        <f>SUMIF(Доп.расчеты!$3:$3,Свод!G$4,Доп.расчеты!31:31)</f>
        <v>0</v>
      </c>
      <c r="H142" s="148">
        <f>SUMIF(Доп.расчеты!$3:$3,Свод!H$4,Доп.расчеты!31:31)</f>
        <v>0</v>
      </c>
      <c r="I142" s="148">
        <f>SUMIF(Доп.расчеты!$3:$3,Свод!I$4,Доп.расчеты!31:31)</f>
        <v>0</v>
      </c>
      <c r="J142" s="148">
        <f>SUMIF(Доп.расчеты!$3:$3,Свод!J$4,Доп.расчеты!31:31)</f>
        <v>0</v>
      </c>
      <c r="K142" s="148">
        <f>SUMIF(Доп.расчеты!$3:$3,Свод!K$4,Доп.расчеты!31:31)</f>
        <v>0</v>
      </c>
      <c r="L142" s="148">
        <f>SUMIF(Доп.расчеты!$3:$3,Свод!L$4,Доп.расчеты!31:31)</f>
        <v>0</v>
      </c>
      <c r="M142" s="148">
        <f>SUMIF(Доп.расчеты!$3:$3,Свод!M$4,Доп.расчеты!31:31)</f>
        <v>0</v>
      </c>
      <c r="Q142" s="134"/>
      <c r="R142" s="134"/>
      <c r="S142" s="134"/>
      <c r="T142" s="134"/>
      <c r="U142" s="134"/>
    </row>
    <row r="143" spans="1:21" s="134" customFormat="1" ht="16" collapsed="1">
      <c r="A143" s="145"/>
      <c r="B143" s="151" t="s">
        <v>27</v>
      </c>
      <c r="C143" s="149">
        <f>C125+C129+C35+C75</f>
        <v>0</v>
      </c>
      <c r="D143" s="149">
        <f t="shared" ref="D143:M143" si="20">D125+D129+D35+D75</f>
        <v>0</v>
      </c>
      <c r="E143" s="149">
        <f t="shared" si="20"/>
        <v>0</v>
      </c>
      <c r="F143" s="149">
        <f t="shared" si="20"/>
        <v>0</v>
      </c>
      <c r="G143" s="149">
        <f t="shared" si="20"/>
        <v>0</v>
      </c>
      <c r="H143" s="149">
        <f t="shared" si="20"/>
        <v>0</v>
      </c>
      <c r="I143" s="149">
        <f t="shared" si="20"/>
        <v>0</v>
      </c>
      <c r="J143" s="149">
        <f t="shared" si="20"/>
        <v>0</v>
      </c>
      <c r="K143" s="149">
        <f t="shared" si="20"/>
        <v>0</v>
      </c>
      <c r="L143" s="149">
        <f t="shared" si="20"/>
        <v>0</v>
      </c>
      <c r="M143" s="149">
        <f t="shared" si="20"/>
        <v>0</v>
      </c>
    </row>
    <row r="144" spans="1:21" s="134" customFormat="1" ht="16">
      <c r="A144" s="145"/>
      <c r="B144" s="152" t="s">
        <v>16</v>
      </c>
      <c r="C144" s="149">
        <f>SUMIF(Доп.расчеты!$B$3:$GT$3,Свод!C4,Доп.расчеты!$B$312:$GT$312)</f>
        <v>0</v>
      </c>
      <c r="D144" s="149">
        <f>SUMIF(Доп.расчеты!$B$3:$GT$3,Свод!D4,Доп.расчеты!$B$312:$GT$312)</f>
        <v>0</v>
      </c>
      <c r="E144" s="149">
        <f>SUMIF(Доп.расчеты!$B$3:$GT$3,Свод!E4,Доп.расчеты!$B$312:$GT$312)</f>
        <v>0</v>
      </c>
      <c r="F144" s="149">
        <f>SUMIF(Доп.расчеты!$B$3:$GT$3,Свод!F4,Доп.расчеты!$B$312:$GT$312)</f>
        <v>0</v>
      </c>
      <c r="G144" s="149">
        <f>SUMIF(Доп.расчеты!$B$3:$GT$3,Свод!G4,Доп.расчеты!$B$312:$GT$312)</f>
        <v>0</v>
      </c>
      <c r="H144" s="149">
        <f>SUMIF(Доп.расчеты!$B$3:$GT$3,Свод!H4,Доп.расчеты!$B$312:$GT$312)</f>
        <v>0</v>
      </c>
      <c r="I144" s="149">
        <f>SUMIF(Доп.расчеты!$B$3:$GT$3,Свод!I4,Доп.расчеты!$B$312:$GT$312)</f>
        <v>0</v>
      </c>
      <c r="J144" s="149">
        <f>SUMIF(Доп.расчеты!$B$3:$GT$3,Свод!J4,Доп.расчеты!$B$312:$GT$312)</f>
        <v>0</v>
      </c>
      <c r="K144" s="149">
        <f>SUMIF(Доп.расчеты!$B$3:$GT$3,Свод!K4,Доп.расчеты!$B$312:$GT$312)</f>
        <v>0</v>
      </c>
      <c r="L144" s="149">
        <f>SUMIF(Доп.расчеты!$B$3:$GT$3,Свод!L4,Доп.расчеты!$B$312:$GT$312)</f>
        <v>0</v>
      </c>
      <c r="M144" s="149">
        <f>SUMIF(Доп.расчеты!$B$3:$GT$3,Свод!M4,Доп.расчеты!$B$312:$GT$312)</f>
        <v>0</v>
      </c>
    </row>
    <row r="145" spans="1:21" s="134" customFormat="1" ht="16">
      <c r="A145" s="145"/>
      <c r="B145" s="152" t="s">
        <v>1</v>
      </c>
      <c r="C145" s="149">
        <f>SUMIF(Доп.расчеты!$B$3:$GT$3,Свод!C4,Доп.расчеты!$B$309:$GT$309)</f>
        <v>0</v>
      </c>
      <c r="D145" s="149">
        <f>SUMIF(Доп.расчеты!$B$3:$GT$3,Свод!D4,Доп.расчеты!$B$309:$GT$309)</f>
        <v>0</v>
      </c>
      <c r="E145" s="149">
        <f>SUMIF(Доп.расчеты!$B$3:$GT$3,Свод!E4,Доп.расчеты!$B$309:$GT$309)</f>
        <v>0</v>
      </c>
      <c r="F145" s="149">
        <f>SUMIF(Доп.расчеты!$B$3:$GT$3,Свод!F4,Доп.расчеты!$B$309:$GT$309)</f>
        <v>0</v>
      </c>
      <c r="G145" s="149">
        <f>SUMIF(Доп.расчеты!$B$3:$GT$3,Свод!G4,Доп.расчеты!$B$309:$GT$309)</f>
        <v>0</v>
      </c>
      <c r="H145" s="149">
        <f>SUMIF(Доп.расчеты!$B$3:$GT$3,Свод!H4,Доп.расчеты!$B$309:$GT$309)</f>
        <v>0</v>
      </c>
      <c r="I145" s="149">
        <f>SUMIF(Доп.расчеты!$B$3:$GT$3,Свод!I4,Доп.расчеты!$B$309:$GT$309)</f>
        <v>0</v>
      </c>
      <c r="J145" s="149">
        <f>SUMIF(Доп.расчеты!$B$3:$GT$3,Свод!J4,Доп.расчеты!$B$309:$GT$309)</f>
        <v>0</v>
      </c>
      <c r="K145" s="149">
        <f>SUMIF(Доп.расчеты!$B$3:$GT$3,Свод!K4,Доп.расчеты!$B$309:$GT$309)</f>
        <v>0</v>
      </c>
      <c r="L145" s="149">
        <f>SUMIF(Доп.расчеты!$B$3:$GT$3,Свод!L4,Доп.расчеты!$B$309:$GT$309)</f>
        <v>0</v>
      </c>
      <c r="M145" s="149">
        <f>SUMIF(Доп.расчеты!$B$3:$GT$3,Свод!M4,Доп.расчеты!$B$309:$GT$309)</f>
        <v>0</v>
      </c>
    </row>
    <row r="146" spans="1:21" s="134" customFormat="1" ht="16">
      <c r="A146" s="145"/>
      <c r="B146" s="153" t="s">
        <v>2</v>
      </c>
      <c r="C146" s="154">
        <f>C10+C35+C50+C75+C144+C90+C129+C125+C115</f>
        <v>0</v>
      </c>
      <c r="D146" s="154">
        <f t="shared" ref="D146:M146" si="21">D10+D35+D50+D75+D144+D90+D129+D125+D115</f>
        <v>0</v>
      </c>
      <c r="E146" s="154">
        <f t="shared" si="21"/>
        <v>0</v>
      </c>
      <c r="F146" s="154">
        <f t="shared" si="21"/>
        <v>0</v>
      </c>
      <c r="G146" s="154">
        <f t="shared" si="21"/>
        <v>0</v>
      </c>
      <c r="H146" s="154">
        <f t="shared" si="21"/>
        <v>0</v>
      </c>
      <c r="I146" s="154">
        <f t="shared" si="21"/>
        <v>0</v>
      </c>
      <c r="J146" s="154">
        <f t="shared" si="21"/>
        <v>0</v>
      </c>
      <c r="K146" s="154">
        <f t="shared" si="21"/>
        <v>0</v>
      </c>
      <c r="L146" s="154">
        <f t="shared" si="21"/>
        <v>0</v>
      </c>
      <c r="M146" s="154">
        <f t="shared" si="21"/>
        <v>0</v>
      </c>
    </row>
    <row r="147" spans="1:21" s="134" customFormat="1">
      <c r="A147" s="145"/>
      <c r="B147" s="155"/>
      <c r="C147" s="156"/>
      <c r="D147" s="156"/>
      <c r="E147" s="156"/>
      <c r="F147" s="156"/>
      <c r="G147" s="156"/>
      <c r="H147" s="156"/>
      <c r="I147" s="156"/>
      <c r="J147" s="156"/>
      <c r="K147" s="156"/>
      <c r="L147" s="156"/>
      <c r="M147" s="156"/>
    </row>
    <row r="148" spans="1:21" ht="20" thickBot="1">
      <c r="B148" s="135" t="s">
        <v>67</v>
      </c>
      <c r="C148" s="157"/>
      <c r="D148" s="157"/>
      <c r="E148" s="157"/>
      <c r="F148" s="157"/>
      <c r="G148" s="157"/>
      <c r="H148" s="157"/>
      <c r="I148" s="157"/>
      <c r="J148" s="157"/>
      <c r="K148" s="157"/>
      <c r="L148" s="157"/>
      <c r="M148" s="157"/>
      <c r="Q148" s="134"/>
      <c r="R148" s="134"/>
      <c r="S148" s="134"/>
      <c r="T148" s="134"/>
      <c r="U148" s="134"/>
    </row>
    <row r="149" spans="1:21" ht="18" thickTop="1">
      <c r="B149" s="158" t="s">
        <v>133</v>
      </c>
      <c r="C149" s="159"/>
      <c r="D149" s="159"/>
      <c r="E149" s="159"/>
      <c r="F149" s="159"/>
      <c r="G149" s="159"/>
      <c r="H149" s="159"/>
      <c r="I149" s="159"/>
      <c r="J149" s="159"/>
      <c r="K149" s="159"/>
      <c r="L149" s="159"/>
      <c r="M149" s="159"/>
      <c r="Q149" s="134"/>
      <c r="R149" s="134"/>
      <c r="S149" s="134"/>
      <c r="T149" s="134"/>
      <c r="U149" s="134"/>
    </row>
    <row r="150" spans="1:21">
      <c r="B150" s="141" t="s">
        <v>242</v>
      </c>
      <c r="C150" s="138">
        <f>SUMIF('Как будет'!$12:$12,Свод!C4,'Как будет'!$16:$16)</f>
        <v>-11947.739999999998</v>
      </c>
      <c r="D150" s="138">
        <f>SUMIF('Как будет'!$12:$12,Свод!D4,'Как будет'!$16:$16)</f>
        <v>0</v>
      </c>
      <c r="E150" s="138">
        <f>SUMIF('Как будет'!$12:$12,Свод!E4,'Как будет'!$16:$16)</f>
        <v>0</v>
      </c>
      <c r="F150" s="138">
        <f>SUMIF('Как будет'!$12:$12,Свод!F4,'Как будет'!$16:$16)</f>
        <v>0</v>
      </c>
      <c r="G150" s="138">
        <f>SUMIF('Как будет'!$12:$12,Свод!G4,'Как будет'!$16:$16)</f>
        <v>0</v>
      </c>
      <c r="H150" s="138">
        <f>SUMIF('Как будет'!$12:$12,Свод!H4,'Как будет'!$16:$16)</f>
        <v>0</v>
      </c>
      <c r="I150" s="138">
        <f>SUMIF('Как будет'!$12:$12,Свод!I4,'Как будет'!$16:$16)</f>
        <v>0</v>
      </c>
      <c r="J150" s="138">
        <f>SUMIF('Как будет'!$12:$12,Свод!J4,'Как будет'!$16:$16)</f>
        <v>0</v>
      </c>
      <c r="K150" s="138">
        <f>SUMIF('Как будет'!$12:$12,Свод!K4,'Как будет'!$16:$16)</f>
        <v>0</v>
      </c>
      <c r="L150" s="138">
        <f>SUMIF('Как будет'!$12:$12,Свод!L4,'Как будет'!$16:$16)</f>
        <v>0</v>
      </c>
      <c r="M150" s="138">
        <f>SUMIF('Как будет'!$12:$12,Свод!M4,'Как будет'!$16:$16)</f>
        <v>0</v>
      </c>
    </row>
    <row r="151" spans="1:21" hidden="1" outlineLevel="1">
      <c r="B151" s="139" t="s">
        <v>88</v>
      </c>
      <c r="C151" s="140">
        <f>-SUMIF(Доп.расчеты!$3:$3,Свод!C$4,Доп.расчеты!193:193)</f>
        <v>0</v>
      </c>
      <c r="D151" s="140">
        <f>-SUMIF(Доп.расчеты!$3:$3,Свод!D$4,Доп.расчеты!193:193)</f>
        <v>0</v>
      </c>
      <c r="E151" s="140">
        <f>-SUMIF(Доп.расчеты!$3:$3,Свод!E$4,Доп.расчеты!193:193)</f>
        <v>0</v>
      </c>
      <c r="F151" s="140">
        <f>-SUMIF(Доп.расчеты!$3:$3,Свод!F$4,Доп.расчеты!193:193)</f>
        <v>0</v>
      </c>
      <c r="G151" s="140">
        <f>-SUMIF(Доп.расчеты!$3:$3,Свод!G$4,Доп.расчеты!193:193)</f>
        <v>0</v>
      </c>
      <c r="H151" s="140">
        <f>-SUMIF(Доп.расчеты!$3:$3,Свод!H$4,Доп.расчеты!193:193)</f>
        <v>0</v>
      </c>
      <c r="I151" s="140">
        <f>-SUMIF(Доп.расчеты!$3:$3,Свод!I$4,Доп.расчеты!193:193)</f>
        <v>0</v>
      </c>
      <c r="J151" s="140">
        <f>-SUMIF(Доп.расчеты!$3:$3,Свод!J$4,Доп.расчеты!193:193)</f>
        <v>0</v>
      </c>
      <c r="K151" s="140">
        <f>-SUMIF(Доп.расчеты!$3:$3,Свод!K$4,Доп.расчеты!193:193)</f>
        <v>0</v>
      </c>
      <c r="L151" s="140">
        <f>-SUMIF(Доп.расчеты!$3:$3,Свод!L$4,Доп.расчеты!193:193)</f>
        <v>0</v>
      </c>
      <c r="M151" s="140">
        <f>-SUMIF(Доп.расчеты!$3:$3,Свод!M$4,Доп.расчеты!193:193)</f>
        <v>0</v>
      </c>
    </row>
    <row r="152" spans="1:21" hidden="1" outlineLevel="1">
      <c r="B152" s="139" t="s">
        <v>89</v>
      </c>
      <c r="C152" s="140">
        <f>-SUMIF(Доп.расчеты!$3:$3,Свод!C$4,Доп.расчеты!194:194)</f>
        <v>0</v>
      </c>
      <c r="D152" s="140">
        <f>-SUMIF(Доп.расчеты!$3:$3,Свод!D$4,Доп.расчеты!194:194)</f>
        <v>0</v>
      </c>
      <c r="E152" s="140">
        <f>-SUMIF(Доп.расчеты!$3:$3,Свод!E$4,Доп.расчеты!194:194)</f>
        <v>0</v>
      </c>
      <c r="F152" s="140">
        <f>-SUMIF(Доп.расчеты!$3:$3,Свод!F$4,Доп.расчеты!194:194)</f>
        <v>0</v>
      </c>
      <c r="G152" s="140">
        <f>-SUMIF(Доп.расчеты!$3:$3,Свод!G$4,Доп.расчеты!194:194)</f>
        <v>0</v>
      </c>
      <c r="H152" s="140">
        <f>-SUMIF(Доп.расчеты!$3:$3,Свод!H$4,Доп.расчеты!194:194)</f>
        <v>0</v>
      </c>
      <c r="I152" s="140">
        <f>-SUMIF(Доп.расчеты!$3:$3,Свод!I$4,Доп.расчеты!194:194)</f>
        <v>0</v>
      </c>
      <c r="J152" s="140">
        <f>-SUMIF(Доп.расчеты!$3:$3,Свод!J$4,Доп.расчеты!194:194)</f>
        <v>0</v>
      </c>
      <c r="K152" s="140">
        <f>-SUMIF(Доп.расчеты!$3:$3,Свод!K$4,Доп.расчеты!194:194)</f>
        <v>0</v>
      </c>
      <c r="L152" s="140">
        <f>-SUMIF(Доп.расчеты!$3:$3,Свод!L$4,Доп.расчеты!194:194)</f>
        <v>0</v>
      </c>
      <c r="M152" s="140">
        <f>-SUMIF(Доп.расчеты!$3:$3,Свод!M$4,Доп.расчеты!194:194)</f>
        <v>0</v>
      </c>
    </row>
    <row r="153" spans="1:21" hidden="1" outlineLevel="1">
      <c r="B153" s="139" t="s">
        <v>90</v>
      </c>
      <c r="C153" s="140">
        <f>-SUMIF(Доп.расчеты!$3:$3,Свод!C$4,Доп.расчеты!195:195)</f>
        <v>0</v>
      </c>
      <c r="D153" s="140">
        <f>-SUMIF(Доп.расчеты!$3:$3,Свод!D$4,Доп.расчеты!195:195)</f>
        <v>0</v>
      </c>
      <c r="E153" s="140">
        <f>-SUMIF(Доп.расчеты!$3:$3,Свод!E$4,Доп.расчеты!195:195)</f>
        <v>0</v>
      </c>
      <c r="F153" s="140">
        <f>-SUMIF(Доп.расчеты!$3:$3,Свод!F$4,Доп.расчеты!195:195)</f>
        <v>0</v>
      </c>
      <c r="G153" s="140">
        <f>-SUMIF(Доп.расчеты!$3:$3,Свод!G$4,Доп.расчеты!195:195)</f>
        <v>0</v>
      </c>
      <c r="H153" s="140">
        <f>-SUMIF(Доп.расчеты!$3:$3,Свод!H$4,Доп.расчеты!195:195)</f>
        <v>0</v>
      </c>
      <c r="I153" s="140">
        <f>-SUMIF(Доп.расчеты!$3:$3,Свод!I$4,Доп.расчеты!195:195)</f>
        <v>0</v>
      </c>
      <c r="J153" s="140">
        <f>-SUMIF(Доп.расчеты!$3:$3,Свод!J$4,Доп.расчеты!195:195)</f>
        <v>0</v>
      </c>
      <c r="K153" s="140">
        <f>-SUMIF(Доп.расчеты!$3:$3,Свод!K$4,Доп.расчеты!195:195)</f>
        <v>0</v>
      </c>
      <c r="L153" s="140">
        <f>-SUMIF(Доп.расчеты!$3:$3,Свод!L$4,Доп.расчеты!195:195)</f>
        <v>0</v>
      </c>
      <c r="M153" s="140">
        <f>-SUMIF(Доп.расчеты!$3:$3,Свод!M$4,Доп.расчеты!195:195)</f>
        <v>0</v>
      </c>
    </row>
    <row r="154" spans="1:21" hidden="1" outlineLevel="1">
      <c r="B154" s="139" t="s">
        <v>91</v>
      </c>
      <c r="C154" s="140">
        <f>-SUMIF(Доп.расчеты!$3:$3,Свод!C$4,Доп.расчеты!196:196)</f>
        <v>0</v>
      </c>
      <c r="D154" s="140">
        <f>-SUMIF(Доп.расчеты!$3:$3,Свод!D$4,Доп.расчеты!196:196)</f>
        <v>0</v>
      </c>
      <c r="E154" s="140">
        <f>-SUMIF(Доп.расчеты!$3:$3,Свод!E$4,Доп.расчеты!196:196)</f>
        <v>0</v>
      </c>
      <c r="F154" s="140">
        <f>-SUMIF(Доп.расчеты!$3:$3,Свод!F$4,Доп.расчеты!196:196)</f>
        <v>0</v>
      </c>
      <c r="G154" s="140">
        <f>-SUMIF(Доп.расчеты!$3:$3,Свод!G$4,Доп.расчеты!196:196)</f>
        <v>0</v>
      </c>
      <c r="H154" s="140">
        <f>-SUMIF(Доп.расчеты!$3:$3,Свод!H$4,Доп.расчеты!196:196)</f>
        <v>0</v>
      </c>
      <c r="I154" s="140">
        <f>-SUMIF(Доп.расчеты!$3:$3,Свод!I$4,Доп.расчеты!196:196)</f>
        <v>0</v>
      </c>
      <c r="J154" s="140">
        <f>-SUMIF(Доп.расчеты!$3:$3,Свод!J$4,Доп.расчеты!196:196)</f>
        <v>0</v>
      </c>
      <c r="K154" s="140">
        <f>-SUMIF(Доп.расчеты!$3:$3,Свод!K$4,Доп.расчеты!196:196)</f>
        <v>0</v>
      </c>
      <c r="L154" s="140">
        <f>-SUMIF(Доп.расчеты!$3:$3,Свод!L$4,Доп.расчеты!196:196)</f>
        <v>0</v>
      </c>
      <c r="M154" s="140">
        <f>-SUMIF(Доп.расчеты!$3:$3,Свод!M$4,Доп.расчеты!196:196)</f>
        <v>0</v>
      </c>
    </row>
    <row r="155" spans="1:21" hidden="1" outlineLevel="1">
      <c r="B155" s="139" t="s">
        <v>92</v>
      </c>
      <c r="C155" s="140">
        <f>-SUMIF(Доп.расчеты!$3:$3,Свод!C$4,Доп.расчеты!197:197)</f>
        <v>0</v>
      </c>
      <c r="D155" s="140">
        <f>-SUMIF(Доп.расчеты!$3:$3,Свод!D$4,Доп.расчеты!197:197)</f>
        <v>0</v>
      </c>
      <c r="E155" s="140">
        <f>-SUMIF(Доп.расчеты!$3:$3,Свод!E$4,Доп.расчеты!197:197)</f>
        <v>0</v>
      </c>
      <c r="F155" s="140">
        <f>-SUMIF(Доп.расчеты!$3:$3,Свод!F$4,Доп.расчеты!197:197)</f>
        <v>0</v>
      </c>
      <c r="G155" s="140">
        <f>-SUMIF(Доп.расчеты!$3:$3,Свод!G$4,Доп.расчеты!197:197)</f>
        <v>0</v>
      </c>
      <c r="H155" s="140">
        <f>-SUMIF(Доп.расчеты!$3:$3,Свод!H$4,Доп.расчеты!197:197)</f>
        <v>0</v>
      </c>
      <c r="I155" s="140">
        <f>-SUMIF(Доп.расчеты!$3:$3,Свод!I$4,Доп.расчеты!197:197)</f>
        <v>0</v>
      </c>
      <c r="J155" s="140">
        <f>-SUMIF(Доп.расчеты!$3:$3,Свод!J$4,Доп.расчеты!197:197)</f>
        <v>0</v>
      </c>
      <c r="K155" s="140">
        <f>-SUMIF(Доп.расчеты!$3:$3,Свод!K$4,Доп.расчеты!197:197)</f>
        <v>0</v>
      </c>
      <c r="L155" s="140">
        <f>-SUMIF(Доп.расчеты!$3:$3,Свод!L$4,Доп.расчеты!197:197)</f>
        <v>0</v>
      </c>
      <c r="M155" s="140">
        <f>-SUMIF(Доп.расчеты!$3:$3,Свод!M$4,Доп.расчеты!197:197)</f>
        <v>0</v>
      </c>
    </row>
    <row r="156" spans="1:21" hidden="1" outlineLevel="1">
      <c r="B156" s="139" t="s">
        <v>93</v>
      </c>
      <c r="C156" s="140">
        <f>-SUMIF(Доп.расчеты!$3:$3,Свод!C$4,Доп.расчеты!198:198)</f>
        <v>0</v>
      </c>
      <c r="D156" s="140">
        <f>-SUMIF(Доп.расчеты!$3:$3,Свод!D$4,Доп.расчеты!198:198)</f>
        <v>0</v>
      </c>
      <c r="E156" s="140">
        <f>-SUMIF(Доп.расчеты!$3:$3,Свод!E$4,Доп.расчеты!198:198)</f>
        <v>0</v>
      </c>
      <c r="F156" s="140">
        <f>-SUMIF(Доп.расчеты!$3:$3,Свод!F$4,Доп.расчеты!198:198)</f>
        <v>0</v>
      </c>
      <c r="G156" s="140">
        <f>-SUMIF(Доп.расчеты!$3:$3,Свод!G$4,Доп.расчеты!198:198)</f>
        <v>0</v>
      </c>
      <c r="H156" s="140">
        <f>-SUMIF(Доп.расчеты!$3:$3,Свод!H$4,Доп.расчеты!198:198)</f>
        <v>0</v>
      </c>
      <c r="I156" s="140">
        <f>-SUMIF(Доп.расчеты!$3:$3,Свод!I$4,Доп.расчеты!198:198)</f>
        <v>0</v>
      </c>
      <c r="J156" s="140">
        <f>-SUMIF(Доп.расчеты!$3:$3,Свод!J$4,Доп.расчеты!198:198)</f>
        <v>0</v>
      </c>
      <c r="K156" s="140">
        <f>-SUMIF(Доп.расчеты!$3:$3,Свод!K$4,Доп.расчеты!198:198)</f>
        <v>0</v>
      </c>
      <c r="L156" s="140">
        <f>-SUMIF(Доп.расчеты!$3:$3,Свод!L$4,Доп.расчеты!198:198)</f>
        <v>0</v>
      </c>
      <c r="M156" s="140">
        <f>-SUMIF(Доп.расчеты!$3:$3,Свод!M$4,Доп.расчеты!198:198)</f>
        <v>0</v>
      </c>
    </row>
    <row r="157" spans="1:21" hidden="1" outlineLevel="1">
      <c r="B157" s="139" t="s">
        <v>94</v>
      </c>
      <c r="C157" s="140">
        <f>-SUMIF(Доп.расчеты!$3:$3,Свод!C$4,Доп.расчеты!199:199)</f>
        <v>0</v>
      </c>
      <c r="D157" s="140">
        <f>-SUMIF(Доп.расчеты!$3:$3,Свод!D$4,Доп.расчеты!199:199)</f>
        <v>0</v>
      </c>
      <c r="E157" s="140">
        <f>-SUMIF(Доп.расчеты!$3:$3,Свод!E$4,Доп.расчеты!199:199)</f>
        <v>0</v>
      </c>
      <c r="F157" s="140">
        <f>-SUMIF(Доп.расчеты!$3:$3,Свод!F$4,Доп.расчеты!199:199)</f>
        <v>0</v>
      </c>
      <c r="G157" s="140">
        <f>-SUMIF(Доп.расчеты!$3:$3,Свод!G$4,Доп.расчеты!199:199)</f>
        <v>0</v>
      </c>
      <c r="H157" s="140">
        <f>-SUMIF(Доп.расчеты!$3:$3,Свод!H$4,Доп.расчеты!199:199)</f>
        <v>0</v>
      </c>
      <c r="I157" s="140">
        <f>-SUMIF(Доп.расчеты!$3:$3,Свод!I$4,Доп.расчеты!199:199)</f>
        <v>0</v>
      </c>
      <c r="J157" s="140">
        <f>-SUMIF(Доп.расчеты!$3:$3,Свод!J$4,Доп.расчеты!199:199)</f>
        <v>0</v>
      </c>
      <c r="K157" s="140">
        <f>-SUMIF(Доп.расчеты!$3:$3,Свод!K$4,Доп.расчеты!199:199)</f>
        <v>0</v>
      </c>
      <c r="L157" s="140">
        <f>-SUMIF(Доп.расчеты!$3:$3,Свод!L$4,Доп.расчеты!199:199)</f>
        <v>0</v>
      </c>
      <c r="M157" s="140">
        <f>-SUMIF(Доп.расчеты!$3:$3,Свод!M$4,Доп.расчеты!199:199)</f>
        <v>0</v>
      </c>
    </row>
    <row r="158" spans="1:21" hidden="1" outlineLevel="1">
      <c r="B158" s="139" t="s">
        <v>95</v>
      </c>
      <c r="C158" s="140">
        <f>-SUMIF(Доп.расчеты!$3:$3,Свод!C$4,Доп.расчеты!200:200)</f>
        <v>0</v>
      </c>
      <c r="D158" s="140">
        <f>-SUMIF(Доп.расчеты!$3:$3,Свод!D$4,Доп.расчеты!200:200)</f>
        <v>0</v>
      </c>
      <c r="E158" s="140">
        <f>-SUMIF(Доп.расчеты!$3:$3,Свод!E$4,Доп.расчеты!200:200)</f>
        <v>0</v>
      </c>
      <c r="F158" s="140">
        <f>-SUMIF(Доп.расчеты!$3:$3,Свод!F$4,Доп.расчеты!200:200)</f>
        <v>0</v>
      </c>
      <c r="G158" s="140">
        <f>-SUMIF(Доп.расчеты!$3:$3,Свод!G$4,Доп.расчеты!200:200)</f>
        <v>0</v>
      </c>
      <c r="H158" s="140">
        <f>-SUMIF(Доп.расчеты!$3:$3,Свод!H$4,Доп.расчеты!200:200)</f>
        <v>0</v>
      </c>
      <c r="I158" s="140">
        <f>-SUMIF(Доп.расчеты!$3:$3,Свод!I$4,Доп.расчеты!200:200)</f>
        <v>0</v>
      </c>
      <c r="J158" s="140">
        <f>-SUMIF(Доп.расчеты!$3:$3,Свод!J$4,Доп.расчеты!200:200)</f>
        <v>0</v>
      </c>
      <c r="K158" s="140">
        <f>-SUMIF(Доп.расчеты!$3:$3,Свод!K$4,Доп.расчеты!200:200)</f>
        <v>0</v>
      </c>
      <c r="L158" s="140">
        <f>-SUMIF(Доп.расчеты!$3:$3,Свод!L$4,Доп.расчеты!200:200)</f>
        <v>0</v>
      </c>
      <c r="M158" s="140">
        <f>-SUMIF(Доп.расчеты!$3:$3,Свод!M$4,Доп.расчеты!200:200)</f>
        <v>0</v>
      </c>
    </row>
    <row r="159" spans="1:21" hidden="1" outlineLevel="1">
      <c r="B159" s="139" t="s">
        <v>96</v>
      </c>
      <c r="C159" s="140">
        <f>-SUMIF(Доп.расчеты!$3:$3,Свод!C$4,Доп.расчеты!201:201)</f>
        <v>0</v>
      </c>
      <c r="D159" s="140">
        <f>-SUMIF(Доп.расчеты!$3:$3,Свод!D$4,Доп.расчеты!201:201)</f>
        <v>0</v>
      </c>
      <c r="E159" s="140">
        <f>-SUMIF(Доп.расчеты!$3:$3,Свод!E$4,Доп.расчеты!201:201)</f>
        <v>0</v>
      </c>
      <c r="F159" s="140">
        <f>-SUMIF(Доп.расчеты!$3:$3,Свод!F$4,Доп.расчеты!201:201)</f>
        <v>0</v>
      </c>
      <c r="G159" s="140">
        <f>-SUMIF(Доп.расчеты!$3:$3,Свод!G$4,Доп.расчеты!201:201)</f>
        <v>0</v>
      </c>
      <c r="H159" s="140">
        <f>-SUMIF(Доп.расчеты!$3:$3,Свод!H$4,Доп.расчеты!201:201)</f>
        <v>0</v>
      </c>
      <c r="I159" s="140">
        <f>-SUMIF(Доп.расчеты!$3:$3,Свод!I$4,Доп.расчеты!201:201)</f>
        <v>0</v>
      </c>
      <c r="J159" s="140">
        <f>-SUMIF(Доп.расчеты!$3:$3,Свод!J$4,Доп.расчеты!201:201)</f>
        <v>0</v>
      </c>
      <c r="K159" s="140">
        <f>-SUMIF(Доп.расчеты!$3:$3,Свод!K$4,Доп.расчеты!201:201)</f>
        <v>0</v>
      </c>
      <c r="L159" s="140">
        <f>-SUMIF(Доп.расчеты!$3:$3,Свод!L$4,Доп.расчеты!201:201)</f>
        <v>0</v>
      </c>
      <c r="M159" s="140">
        <f>-SUMIF(Доп.расчеты!$3:$3,Свод!M$4,Доп.расчеты!201:201)</f>
        <v>0</v>
      </c>
    </row>
    <row r="160" spans="1:21" hidden="1" outlineLevel="1">
      <c r="B160" s="139" t="s">
        <v>97</v>
      </c>
      <c r="C160" s="140">
        <f>-SUMIF(Доп.расчеты!$3:$3,Свод!C$4,Доп.расчеты!202:202)</f>
        <v>0</v>
      </c>
      <c r="D160" s="140">
        <f>-SUMIF(Доп.расчеты!$3:$3,Свод!D$4,Доп.расчеты!202:202)</f>
        <v>0</v>
      </c>
      <c r="E160" s="140">
        <f>-SUMIF(Доп.расчеты!$3:$3,Свод!E$4,Доп.расчеты!202:202)</f>
        <v>0</v>
      </c>
      <c r="F160" s="140">
        <f>-SUMIF(Доп.расчеты!$3:$3,Свод!F$4,Доп.расчеты!202:202)</f>
        <v>0</v>
      </c>
      <c r="G160" s="140">
        <f>-SUMIF(Доп.расчеты!$3:$3,Свод!G$4,Доп.расчеты!202:202)</f>
        <v>0</v>
      </c>
      <c r="H160" s="140">
        <f>-SUMIF(Доп.расчеты!$3:$3,Свод!H$4,Доп.расчеты!202:202)</f>
        <v>0</v>
      </c>
      <c r="I160" s="140">
        <f>-SUMIF(Доп.расчеты!$3:$3,Свод!I$4,Доп.расчеты!202:202)</f>
        <v>0</v>
      </c>
      <c r="J160" s="140">
        <f>-SUMIF(Доп.расчеты!$3:$3,Свод!J$4,Доп.расчеты!202:202)</f>
        <v>0</v>
      </c>
      <c r="K160" s="140">
        <f>-SUMIF(Доп.расчеты!$3:$3,Свод!K$4,Доп.расчеты!202:202)</f>
        <v>0</v>
      </c>
      <c r="L160" s="140">
        <f>-SUMIF(Доп.расчеты!$3:$3,Свод!L$4,Доп.расчеты!202:202)</f>
        <v>0</v>
      </c>
      <c r="M160" s="140">
        <f>-SUMIF(Доп.расчеты!$3:$3,Свод!M$4,Доп.расчеты!202:202)</f>
        <v>0</v>
      </c>
    </row>
    <row r="161" spans="2:13" hidden="1" outlineLevel="1">
      <c r="B161" s="139" t="s">
        <v>98</v>
      </c>
      <c r="C161" s="140">
        <f>-SUMIF(Доп.расчеты!$3:$3,Свод!C$4,Доп.расчеты!203:203)</f>
        <v>0</v>
      </c>
      <c r="D161" s="140">
        <f>-SUMIF(Доп.расчеты!$3:$3,Свод!D$4,Доп.расчеты!203:203)</f>
        <v>0</v>
      </c>
      <c r="E161" s="140">
        <f>-SUMIF(Доп.расчеты!$3:$3,Свод!E$4,Доп.расчеты!203:203)</f>
        <v>0</v>
      </c>
      <c r="F161" s="140">
        <f>-SUMIF(Доп.расчеты!$3:$3,Свод!F$4,Доп.расчеты!203:203)</f>
        <v>0</v>
      </c>
      <c r="G161" s="140">
        <f>-SUMIF(Доп.расчеты!$3:$3,Свод!G$4,Доп.расчеты!203:203)</f>
        <v>0</v>
      </c>
      <c r="H161" s="140">
        <f>-SUMIF(Доп.расчеты!$3:$3,Свод!H$4,Доп.расчеты!203:203)</f>
        <v>0</v>
      </c>
      <c r="I161" s="140">
        <f>-SUMIF(Доп.расчеты!$3:$3,Свод!I$4,Доп.расчеты!203:203)</f>
        <v>0</v>
      </c>
      <c r="J161" s="140">
        <f>-SUMIF(Доп.расчеты!$3:$3,Свод!J$4,Доп.расчеты!203:203)</f>
        <v>0</v>
      </c>
      <c r="K161" s="140">
        <f>-SUMIF(Доп.расчеты!$3:$3,Свод!K$4,Доп.расчеты!203:203)</f>
        <v>0</v>
      </c>
      <c r="L161" s="140">
        <f>-SUMIF(Доп.расчеты!$3:$3,Свод!L$4,Доп.расчеты!203:203)</f>
        <v>0</v>
      </c>
      <c r="M161" s="140">
        <f>-SUMIF(Доп.расчеты!$3:$3,Свод!M$4,Доп.расчеты!203:203)</f>
        <v>0</v>
      </c>
    </row>
    <row r="162" spans="2:13" hidden="1" outlineLevel="1">
      <c r="B162" s="139" t="s">
        <v>99</v>
      </c>
      <c r="C162" s="140">
        <f>-SUMIF(Доп.расчеты!$3:$3,Свод!C$4,Доп.расчеты!204:204)</f>
        <v>0</v>
      </c>
      <c r="D162" s="140">
        <f>-SUMIF(Доп.расчеты!$3:$3,Свод!D$4,Доп.расчеты!204:204)</f>
        <v>0</v>
      </c>
      <c r="E162" s="140">
        <f>-SUMIF(Доп.расчеты!$3:$3,Свод!E$4,Доп.расчеты!204:204)</f>
        <v>0</v>
      </c>
      <c r="F162" s="140">
        <f>-SUMIF(Доп.расчеты!$3:$3,Свод!F$4,Доп.расчеты!204:204)</f>
        <v>0</v>
      </c>
      <c r="G162" s="140">
        <f>-SUMIF(Доп.расчеты!$3:$3,Свод!G$4,Доп.расчеты!204:204)</f>
        <v>0</v>
      </c>
      <c r="H162" s="140">
        <f>-SUMIF(Доп.расчеты!$3:$3,Свод!H$4,Доп.расчеты!204:204)</f>
        <v>0</v>
      </c>
      <c r="I162" s="140">
        <f>-SUMIF(Доп.расчеты!$3:$3,Свод!I$4,Доп.расчеты!204:204)</f>
        <v>0</v>
      </c>
      <c r="J162" s="140">
        <f>-SUMIF(Доп.расчеты!$3:$3,Свод!J$4,Доп.расчеты!204:204)</f>
        <v>0</v>
      </c>
      <c r="K162" s="140">
        <f>-SUMIF(Доп.расчеты!$3:$3,Свод!K$4,Доп.расчеты!204:204)</f>
        <v>0</v>
      </c>
      <c r="L162" s="140">
        <f>-SUMIF(Доп.расчеты!$3:$3,Свод!L$4,Доп.расчеты!204:204)</f>
        <v>0</v>
      </c>
      <c r="M162" s="140">
        <f>-SUMIF(Доп.расчеты!$3:$3,Свод!M$4,Доп.расчеты!204:204)</f>
        <v>0</v>
      </c>
    </row>
    <row r="163" spans="2:13" hidden="1" outlineLevel="1">
      <c r="B163" s="139" t="s">
        <v>100</v>
      </c>
      <c r="C163" s="140">
        <f>-SUMIF(Доп.расчеты!$3:$3,Свод!C$4,Доп.расчеты!205:205)</f>
        <v>0</v>
      </c>
      <c r="D163" s="140">
        <f>-SUMIF(Доп.расчеты!$3:$3,Свод!D$4,Доп.расчеты!205:205)</f>
        <v>0</v>
      </c>
      <c r="E163" s="140">
        <f>-SUMIF(Доп.расчеты!$3:$3,Свод!E$4,Доп.расчеты!205:205)</f>
        <v>0</v>
      </c>
      <c r="F163" s="140">
        <f>-SUMIF(Доп.расчеты!$3:$3,Свод!F$4,Доп.расчеты!205:205)</f>
        <v>0</v>
      </c>
      <c r="G163" s="140">
        <f>-SUMIF(Доп.расчеты!$3:$3,Свод!G$4,Доп.расчеты!205:205)</f>
        <v>0</v>
      </c>
      <c r="H163" s="140">
        <f>-SUMIF(Доп.расчеты!$3:$3,Свод!H$4,Доп.расчеты!205:205)</f>
        <v>0</v>
      </c>
      <c r="I163" s="140">
        <f>-SUMIF(Доп.расчеты!$3:$3,Свод!I$4,Доп.расчеты!205:205)</f>
        <v>0</v>
      </c>
      <c r="J163" s="140">
        <f>-SUMIF(Доп.расчеты!$3:$3,Свод!J$4,Доп.расчеты!205:205)</f>
        <v>0</v>
      </c>
      <c r="K163" s="140">
        <f>-SUMIF(Доп.расчеты!$3:$3,Свод!K$4,Доп.расчеты!205:205)</f>
        <v>0</v>
      </c>
      <c r="L163" s="140">
        <f>-SUMIF(Доп.расчеты!$3:$3,Свод!L$4,Доп.расчеты!205:205)</f>
        <v>0</v>
      </c>
      <c r="M163" s="140">
        <f>-SUMIF(Доп.расчеты!$3:$3,Свод!M$4,Доп.расчеты!205:205)</f>
        <v>0</v>
      </c>
    </row>
    <row r="164" spans="2:13" hidden="1" outlineLevel="1">
      <c r="B164" s="139" t="s">
        <v>101</v>
      </c>
      <c r="C164" s="140">
        <f>-SUMIF(Доп.расчеты!$3:$3,Свод!C$4,Доп.расчеты!206:206)</f>
        <v>-1000</v>
      </c>
      <c r="D164" s="140">
        <f>-SUMIF(Доп.расчеты!$3:$3,Свод!D$4,Доп.расчеты!206:206)</f>
        <v>0</v>
      </c>
      <c r="E164" s="140">
        <f>-SUMIF(Доп.расчеты!$3:$3,Свод!E$4,Доп.расчеты!206:206)</f>
        <v>0</v>
      </c>
      <c r="F164" s="140">
        <f>-SUMIF(Доп.расчеты!$3:$3,Свод!F$4,Доп.расчеты!206:206)</f>
        <v>0</v>
      </c>
      <c r="G164" s="140">
        <f>-SUMIF(Доп.расчеты!$3:$3,Свод!G$4,Доп.расчеты!206:206)</f>
        <v>0</v>
      </c>
      <c r="H164" s="140">
        <f>-SUMIF(Доп.расчеты!$3:$3,Свод!H$4,Доп.расчеты!206:206)</f>
        <v>0</v>
      </c>
      <c r="I164" s="140">
        <f>-SUMIF(Доп.расчеты!$3:$3,Свод!I$4,Доп.расчеты!206:206)</f>
        <v>0</v>
      </c>
      <c r="J164" s="140">
        <f>-SUMIF(Доп.расчеты!$3:$3,Свод!J$4,Доп.расчеты!206:206)</f>
        <v>0</v>
      </c>
      <c r="K164" s="140">
        <f>-SUMIF(Доп.расчеты!$3:$3,Свод!K$4,Доп.расчеты!206:206)</f>
        <v>0</v>
      </c>
      <c r="L164" s="140">
        <f>-SUMIF(Доп.расчеты!$3:$3,Свод!L$4,Доп.расчеты!206:206)</f>
        <v>0</v>
      </c>
      <c r="M164" s="140">
        <f>-SUMIF(Доп.расчеты!$3:$3,Свод!M$4,Доп.расчеты!206:206)</f>
        <v>0</v>
      </c>
    </row>
    <row r="165" spans="2:13" hidden="1" outlineLevel="1">
      <c r="B165" s="139" t="s">
        <v>102</v>
      </c>
      <c r="C165" s="140">
        <f>-SUMIF(Доп.расчеты!$3:$3,Свод!C$4,Доп.расчеты!207:207)</f>
        <v>0</v>
      </c>
      <c r="D165" s="140">
        <f>-SUMIF(Доп.расчеты!$3:$3,Свод!D$4,Доп.расчеты!207:207)</f>
        <v>0</v>
      </c>
      <c r="E165" s="140">
        <f>-SUMIF(Доп.расчеты!$3:$3,Свод!E$4,Доп.расчеты!207:207)</f>
        <v>0</v>
      </c>
      <c r="F165" s="140">
        <f>-SUMIF(Доп.расчеты!$3:$3,Свод!F$4,Доп.расчеты!207:207)</f>
        <v>0</v>
      </c>
      <c r="G165" s="140">
        <f>-SUMIF(Доп.расчеты!$3:$3,Свод!G$4,Доп.расчеты!207:207)</f>
        <v>0</v>
      </c>
      <c r="H165" s="140">
        <f>-SUMIF(Доп.расчеты!$3:$3,Свод!H$4,Доп.расчеты!207:207)</f>
        <v>0</v>
      </c>
      <c r="I165" s="140">
        <f>-SUMIF(Доп.расчеты!$3:$3,Свод!I$4,Доп.расчеты!207:207)</f>
        <v>0</v>
      </c>
      <c r="J165" s="140">
        <f>-SUMIF(Доп.расчеты!$3:$3,Свод!J$4,Доп.расчеты!207:207)</f>
        <v>0</v>
      </c>
      <c r="K165" s="140">
        <f>-SUMIF(Доп.расчеты!$3:$3,Свод!K$4,Доп.расчеты!207:207)</f>
        <v>0</v>
      </c>
      <c r="L165" s="140">
        <f>-SUMIF(Доп.расчеты!$3:$3,Свод!L$4,Доп.расчеты!207:207)</f>
        <v>0</v>
      </c>
      <c r="M165" s="140">
        <f>-SUMIF(Доп.расчеты!$3:$3,Свод!M$4,Доп.расчеты!207:207)</f>
        <v>0</v>
      </c>
    </row>
    <row r="166" spans="2:13" hidden="1" outlineLevel="1">
      <c r="B166" s="139" t="s">
        <v>103</v>
      </c>
      <c r="C166" s="140">
        <f>-SUMIF(Доп.расчеты!$3:$3,Свод!C$4,Доп.расчеты!208:208)</f>
        <v>0</v>
      </c>
      <c r="D166" s="140">
        <f>-SUMIF(Доп.расчеты!$3:$3,Свод!D$4,Доп.расчеты!208:208)</f>
        <v>0</v>
      </c>
      <c r="E166" s="140">
        <f>-SUMIF(Доп.расчеты!$3:$3,Свод!E$4,Доп.расчеты!208:208)</f>
        <v>0</v>
      </c>
      <c r="F166" s="140">
        <f>-SUMIF(Доп.расчеты!$3:$3,Свод!F$4,Доп.расчеты!208:208)</f>
        <v>0</v>
      </c>
      <c r="G166" s="140">
        <f>-SUMIF(Доп.расчеты!$3:$3,Свод!G$4,Доп.расчеты!208:208)</f>
        <v>0</v>
      </c>
      <c r="H166" s="140">
        <f>-SUMIF(Доп.расчеты!$3:$3,Свод!H$4,Доп.расчеты!208:208)</f>
        <v>0</v>
      </c>
      <c r="I166" s="140">
        <f>-SUMIF(Доп.расчеты!$3:$3,Свод!I$4,Доп.расчеты!208:208)</f>
        <v>0</v>
      </c>
      <c r="J166" s="140">
        <f>-SUMIF(Доп.расчеты!$3:$3,Свод!J$4,Доп.расчеты!208:208)</f>
        <v>0</v>
      </c>
      <c r="K166" s="140">
        <f>-SUMIF(Доп.расчеты!$3:$3,Свод!K$4,Доп.расчеты!208:208)</f>
        <v>0</v>
      </c>
      <c r="L166" s="140">
        <f>-SUMIF(Доп.расчеты!$3:$3,Свод!L$4,Доп.расчеты!208:208)</f>
        <v>0</v>
      </c>
      <c r="M166" s="140">
        <f>-SUMIF(Доп.расчеты!$3:$3,Свод!M$4,Доп.расчеты!208:208)</f>
        <v>0</v>
      </c>
    </row>
    <row r="167" spans="2:13" hidden="1" outlineLevel="1">
      <c r="B167" s="139" t="s">
        <v>104</v>
      </c>
      <c r="C167" s="140">
        <f>-SUMIF(Доп.расчеты!$3:$3,Свод!C$4,Доп.расчеты!209:209)</f>
        <v>0</v>
      </c>
      <c r="D167" s="140">
        <f>-SUMIF(Доп.расчеты!$3:$3,Свод!D$4,Доп.расчеты!209:209)</f>
        <v>0</v>
      </c>
      <c r="E167" s="140">
        <f>-SUMIF(Доп.расчеты!$3:$3,Свод!E$4,Доп.расчеты!209:209)</f>
        <v>0</v>
      </c>
      <c r="F167" s="140">
        <f>-SUMIF(Доп.расчеты!$3:$3,Свод!F$4,Доп.расчеты!209:209)</f>
        <v>0</v>
      </c>
      <c r="G167" s="140">
        <f>-SUMIF(Доп.расчеты!$3:$3,Свод!G$4,Доп.расчеты!209:209)</f>
        <v>0</v>
      </c>
      <c r="H167" s="140">
        <f>-SUMIF(Доп.расчеты!$3:$3,Свод!H$4,Доп.расчеты!209:209)</f>
        <v>0</v>
      </c>
      <c r="I167" s="140">
        <f>-SUMIF(Доп.расчеты!$3:$3,Свод!I$4,Доп.расчеты!209:209)</f>
        <v>0</v>
      </c>
      <c r="J167" s="140">
        <f>-SUMIF(Доп.расчеты!$3:$3,Свод!J$4,Доп.расчеты!209:209)</f>
        <v>0</v>
      </c>
      <c r="K167" s="140">
        <f>-SUMIF(Доп.расчеты!$3:$3,Свод!K$4,Доп.расчеты!209:209)</f>
        <v>0</v>
      </c>
      <c r="L167" s="140">
        <f>-SUMIF(Доп.расчеты!$3:$3,Свод!L$4,Доп.расчеты!209:209)</f>
        <v>0</v>
      </c>
      <c r="M167" s="140">
        <f>-SUMIF(Доп.расчеты!$3:$3,Свод!M$4,Доп.расчеты!209:209)</f>
        <v>0</v>
      </c>
    </row>
    <row r="168" spans="2:13" hidden="1" outlineLevel="1">
      <c r="B168" s="139" t="s">
        <v>105</v>
      </c>
      <c r="C168" s="140">
        <f>-SUMIF(Доп.расчеты!$3:$3,Свод!C$4,Доп.расчеты!210:210)</f>
        <v>0</v>
      </c>
      <c r="D168" s="140">
        <f>-SUMIF(Доп.расчеты!$3:$3,Свод!D$4,Доп.расчеты!210:210)</f>
        <v>0</v>
      </c>
      <c r="E168" s="140">
        <f>-SUMIF(Доп.расчеты!$3:$3,Свод!E$4,Доп.расчеты!210:210)</f>
        <v>0</v>
      </c>
      <c r="F168" s="140">
        <f>-SUMIF(Доп.расчеты!$3:$3,Свод!F$4,Доп.расчеты!210:210)</f>
        <v>0</v>
      </c>
      <c r="G168" s="140">
        <f>-SUMIF(Доп.расчеты!$3:$3,Свод!G$4,Доп.расчеты!210:210)</f>
        <v>0</v>
      </c>
      <c r="H168" s="140">
        <f>-SUMIF(Доп.расчеты!$3:$3,Свод!H$4,Доп.расчеты!210:210)</f>
        <v>0</v>
      </c>
      <c r="I168" s="140">
        <f>-SUMIF(Доп.расчеты!$3:$3,Свод!I$4,Доп.расчеты!210:210)</f>
        <v>0</v>
      </c>
      <c r="J168" s="140">
        <f>-SUMIF(Доп.расчеты!$3:$3,Свод!J$4,Доп.расчеты!210:210)</f>
        <v>0</v>
      </c>
      <c r="K168" s="140">
        <f>-SUMIF(Доп.расчеты!$3:$3,Свод!K$4,Доп.расчеты!210:210)</f>
        <v>0</v>
      </c>
      <c r="L168" s="140">
        <f>-SUMIF(Доп.расчеты!$3:$3,Свод!L$4,Доп.расчеты!210:210)</f>
        <v>0</v>
      </c>
      <c r="M168" s="140">
        <f>-SUMIF(Доп.расчеты!$3:$3,Свод!M$4,Доп.расчеты!210:210)</f>
        <v>0</v>
      </c>
    </row>
    <row r="169" spans="2:13" hidden="1" outlineLevel="1">
      <c r="B169" s="139" t="s">
        <v>106</v>
      </c>
      <c r="C169" s="140">
        <f>-SUMIF(Доп.расчеты!$3:$3,Свод!C$4,Доп.расчеты!211:211)</f>
        <v>0</v>
      </c>
      <c r="D169" s="140">
        <f>-SUMIF(Доп.расчеты!$3:$3,Свод!D$4,Доп.расчеты!211:211)</f>
        <v>0</v>
      </c>
      <c r="E169" s="140">
        <f>-SUMIF(Доп.расчеты!$3:$3,Свод!E$4,Доп.расчеты!211:211)</f>
        <v>0</v>
      </c>
      <c r="F169" s="140">
        <f>-SUMIF(Доп.расчеты!$3:$3,Свод!F$4,Доп.расчеты!211:211)</f>
        <v>0</v>
      </c>
      <c r="G169" s="140">
        <f>-SUMIF(Доп.расчеты!$3:$3,Свод!G$4,Доп.расчеты!211:211)</f>
        <v>0</v>
      </c>
      <c r="H169" s="140">
        <f>-SUMIF(Доп.расчеты!$3:$3,Свод!H$4,Доп.расчеты!211:211)</f>
        <v>0</v>
      </c>
      <c r="I169" s="140">
        <f>-SUMIF(Доп.расчеты!$3:$3,Свод!I$4,Доп.расчеты!211:211)</f>
        <v>0</v>
      </c>
      <c r="J169" s="140">
        <f>-SUMIF(Доп.расчеты!$3:$3,Свод!J$4,Доп.расчеты!211:211)</f>
        <v>0</v>
      </c>
      <c r="K169" s="140">
        <f>-SUMIF(Доп.расчеты!$3:$3,Свод!K$4,Доп.расчеты!211:211)</f>
        <v>0</v>
      </c>
      <c r="L169" s="140">
        <f>-SUMIF(Доп.расчеты!$3:$3,Свод!L$4,Доп.расчеты!211:211)</f>
        <v>0</v>
      </c>
      <c r="M169" s="140">
        <f>-SUMIF(Доп.расчеты!$3:$3,Свод!M$4,Доп.расчеты!211:211)</f>
        <v>0</v>
      </c>
    </row>
    <row r="170" spans="2:13" hidden="1" outlineLevel="1">
      <c r="B170" s="139" t="s">
        <v>107</v>
      </c>
      <c r="C170" s="140">
        <f>-SUMIF(Доп.расчеты!$3:$3,Свод!C$4,Доп.расчеты!212:212)</f>
        <v>-4787.74</v>
      </c>
      <c r="D170" s="140">
        <f>-SUMIF(Доп.расчеты!$3:$3,Свод!D$4,Доп.расчеты!212:212)</f>
        <v>0</v>
      </c>
      <c r="E170" s="140">
        <f>-SUMIF(Доп.расчеты!$3:$3,Свод!E$4,Доп.расчеты!212:212)</f>
        <v>0</v>
      </c>
      <c r="F170" s="140">
        <f>-SUMIF(Доп.расчеты!$3:$3,Свод!F$4,Доп.расчеты!212:212)</f>
        <v>0</v>
      </c>
      <c r="G170" s="140">
        <f>-SUMIF(Доп.расчеты!$3:$3,Свод!G$4,Доп.расчеты!212:212)</f>
        <v>0</v>
      </c>
      <c r="H170" s="140">
        <f>-SUMIF(Доп.расчеты!$3:$3,Свод!H$4,Доп.расчеты!212:212)</f>
        <v>0</v>
      </c>
      <c r="I170" s="140">
        <f>-SUMIF(Доп.расчеты!$3:$3,Свод!I$4,Доп.расчеты!212:212)</f>
        <v>0</v>
      </c>
      <c r="J170" s="140">
        <f>-SUMIF(Доп.расчеты!$3:$3,Свод!J$4,Доп.расчеты!212:212)</f>
        <v>0</v>
      </c>
      <c r="K170" s="140">
        <f>-SUMIF(Доп.расчеты!$3:$3,Свод!K$4,Доп.расчеты!212:212)</f>
        <v>0</v>
      </c>
      <c r="L170" s="140">
        <f>-SUMIF(Доп.расчеты!$3:$3,Свод!L$4,Доп.расчеты!212:212)</f>
        <v>0</v>
      </c>
      <c r="M170" s="140">
        <f>-SUMIF(Доп.расчеты!$3:$3,Свод!M$4,Доп.расчеты!212:212)</f>
        <v>0</v>
      </c>
    </row>
    <row r="171" spans="2:13" hidden="1" outlineLevel="1">
      <c r="B171" s="139" t="s">
        <v>108</v>
      </c>
      <c r="C171" s="140">
        <f>-SUMIF(Доп.расчеты!$3:$3,Свод!C$4,Доп.расчеты!213:213)</f>
        <v>-6160</v>
      </c>
      <c r="D171" s="140">
        <f>-SUMIF(Доп.расчеты!$3:$3,Свод!D$4,Доп.расчеты!213:213)</f>
        <v>0</v>
      </c>
      <c r="E171" s="140">
        <f>-SUMIF(Доп.расчеты!$3:$3,Свод!E$4,Доп.расчеты!213:213)</f>
        <v>0</v>
      </c>
      <c r="F171" s="140">
        <f>-SUMIF(Доп.расчеты!$3:$3,Свод!F$4,Доп.расчеты!213:213)</f>
        <v>0</v>
      </c>
      <c r="G171" s="140">
        <f>-SUMIF(Доп.расчеты!$3:$3,Свод!G$4,Доп.расчеты!213:213)</f>
        <v>0</v>
      </c>
      <c r="H171" s="140">
        <f>-SUMIF(Доп.расчеты!$3:$3,Свод!H$4,Доп.расчеты!213:213)</f>
        <v>0</v>
      </c>
      <c r="I171" s="140">
        <f>-SUMIF(Доп.расчеты!$3:$3,Свод!I$4,Доп.расчеты!213:213)</f>
        <v>0</v>
      </c>
      <c r="J171" s="140">
        <f>-SUMIF(Доп.расчеты!$3:$3,Свод!J$4,Доп.расчеты!213:213)</f>
        <v>0</v>
      </c>
      <c r="K171" s="140">
        <f>-SUMIF(Доп.расчеты!$3:$3,Свод!K$4,Доп.расчеты!213:213)</f>
        <v>0</v>
      </c>
      <c r="L171" s="140">
        <f>-SUMIF(Доп.расчеты!$3:$3,Свод!L$4,Доп.расчеты!213:213)</f>
        <v>0</v>
      </c>
      <c r="M171" s="140">
        <f>-SUMIF(Доп.расчеты!$3:$3,Свод!M$4,Доп.расчеты!213:213)</f>
        <v>0</v>
      </c>
    </row>
    <row r="172" spans="2:13" hidden="1" outlineLevel="1">
      <c r="B172" s="139" t="s">
        <v>109</v>
      </c>
      <c r="C172" s="140">
        <f>-SUMIF(Доп.расчеты!$3:$3,Свод!C$4,Доп.расчеты!214:214)</f>
        <v>0</v>
      </c>
      <c r="D172" s="140">
        <f>-SUMIF(Доп.расчеты!$3:$3,Свод!D$4,Доп.расчеты!214:214)</f>
        <v>0</v>
      </c>
      <c r="E172" s="140">
        <f>-SUMIF(Доп.расчеты!$3:$3,Свод!E$4,Доп.расчеты!214:214)</f>
        <v>0</v>
      </c>
      <c r="F172" s="140">
        <f>-SUMIF(Доп.расчеты!$3:$3,Свод!F$4,Доп.расчеты!214:214)</f>
        <v>0</v>
      </c>
      <c r="G172" s="140">
        <f>-SUMIF(Доп.расчеты!$3:$3,Свод!G$4,Доп.расчеты!214:214)</f>
        <v>0</v>
      </c>
      <c r="H172" s="140">
        <f>-SUMIF(Доп.расчеты!$3:$3,Свод!H$4,Доп.расчеты!214:214)</f>
        <v>0</v>
      </c>
      <c r="I172" s="140">
        <f>-SUMIF(Доп.расчеты!$3:$3,Свод!I$4,Доп.расчеты!214:214)</f>
        <v>0</v>
      </c>
      <c r="J172" s="140">
        <f>-SUMIF(Доп.расчеты!$3:$3,Свод!J$4,Доп.расчеты!214:214)</f>
        <v>0</v>
      </c>
      <c r="K172" s="140">
        <f>-SUMIF(Доп.расчеты!$3:$3,Свод!K$4,Доп.расчеты!214:214)</f>
        <v>0</v>
      </c>
      <c r="L172" s="140">
        <f>-SUMIF(Доп.расчеты!$3:$3,Свод!L$4,Доп.расчеты!214:214)</f>
        <v>0</v>
      </c>
      <c r="M172" s="140">
        <f>-SUMIF(Доп.расчеты!$3:$3,Свод!M$4,Доп.расчеты!214:214)</f>
        <v>0</v>
      </c>
    </row>
    <row r="173" spans="2:13" hidden="1" outlineLevel="1">
      <c r="B173" s="139" t="s">
        <v>110</v>
      </c>
      <c r="C173" s="140">
        <f>-SUMIF(Доп.расчеты!$3:$3,Свод!C$4,Доп.расчеты!215:215)</f>
        <v>0</v>
      </c>
      <c r="D173" s="140">
        <f>-SUMIF(Доп.расчеты!$3:$3,Свод!D$4,Доп.расчеты!215:215)</f>
        <v>0</v>
      </c>
      <c r="E173" s="140">
        <f>-SUMIF(Доп.расчеты!$3:$3,Свод!E$4,Доп.расчеты!215:215)</f>
        <v>0</v>
      </c>
      <c r="F173" s="140">
        <f>-SUMIF(Доп.расчеты!$3:$3,Свод!F$4,Доп.расчеты!215:215)</f>
        <v>0</v>
      </c>
      <c r="G173" s="140">
        <f>-SUMIF(Доп.расчеты!$3:$3,Свод!G$4,Доп.расчеты!215:215)</f>
        <v>0</v>
      </c>
      <c r="H173" s="140">
        <f>-SUMIF(Доп.расчеты!$3:$3,Свод!H$4,Доп.расчеты!215:215)</f>
        <v>0</v>
      </c>
      <c r="I173" s="140">
        <f>-SUMIF(Доп.расчеты!$3:$3,Свод!I$4,Доп.расчеты!215:215)</f>
        <v>0</v>
      </c>
      <c r="J173" s="140">
        <f>-SUMIF(Доп.расчеты!$3:$3,Свод!J$4,Доп.расчеты!215:215)</f>
        <v>0</v>
      </c>
      <c r="K173" s="140">
        <f>-SUMIF(Доп.расчеты!$3:$3,Свод!K$4,Доп.расчеты!215:215)</f>
        <v>0</v>
      </c>
      <c r="L173" s="140">
        <f>-SUMIF(Доп.расчеты!$3:$3,Свод!L$4,Доп.расчеты!215:215)</f>
        <v>0</v>
      </c>
      <c r="M173" s="140">
        <f>-SUMIF(Доп.расчеты!$3:$3,Свод!M$4,Доп.расчеты!215:215)</f>
        <v>0</v>
      </c>
    </row>
    <row r="174" spans="2:13" hidden="1" outlineLevel="1">
      <c r="B174" s="139" t="s">
        <v>111</v>
      </c>
      <c r="C174" s="140">
        <f>-SUMIF(Доп.расчеты!$3:$3,Свод!C$4,Доп.расчеты!216:216)</f>
        <v>0</v>
      </c>
      <c r="D174" s="140">
        <f>-SUMIF(Доп.расчеты!$3:$3,Свод!D$4,Доп.расчеты!216:216)</f>
        <v>0</v>
      </c>
      <c r="E174" s="140">
        <f>-SUMIF(Доп.расчеты!$3:$3,Свод!E$4,Доп.расчеты!216:216)</f>
        <v>0</v>
      </c>
      <c r="F174" s="140">
        <f>-SUMIF(Доп.расчеты!$3:$3,Свод!F$4,Доп.расчеты!216:216)</f>
        <v>0</v>
      </c>
      <c r="G174" s="140">
        <f>-SUMIF(Доп.расчеты!$3:$3,Свод!G$4,Доп.расчеты!216:216)</f>
        <v>0</v>
      </c>
      <c r="H174" s="140">
        <f>-SUMIF(Доп.расчеты!$3:$3,Свод!H$4,Доп.расчеты!216:216)</f>
        <v>0</v>
      </c>
      <c r="I174" s="140">
        <f>-SUMIF(Доп.расчеты!$3:$3,Свод!I$4,Доп.расчеты!216:216)</f>
        <v>0</v>
      </c>
      <c r="J174" s="140">
        <f>-SUMIF(Доп.расчеты!$3:$3,Свод!J$4,Доп.расчеты!216:216)</f>
        <v>0</v>
      </c>
      <c r="K174" s="140">
        <f>-SUMIF(Доп.расчеты!$3:$3,Свод!K$4,Доп.расчеты!216:216)</f>
        <v>0</v>
      </c>
      <c r="L174" s="140">
        <f>-SUMIF(Доп.расчеты!$3:$3,Свод!L$4,Доп.расчеты!216:216)</f>
        <v>0</v>
      </c>
      <c r="M174" s="140">
        <f>-SUMIF(Доп.расчеты!$3:$3,Свод!M$4,Доп.расчеты!216:216)</f>
        <v>0</v>
      </c>
    </row>
    <row r="175" spans="2:13" ht="17.25" customHeight="1" collapsed="1">
      <c r="B175" s="141" t="s">
        <v>243</v>
      </c>
      <c r="C175" s="142">
        <f>SUM(C176:C178)</f>
        <v>0</v>
      </c>
      <c r="D175" s="142">
        <f>SUM(D176:D178)</f>
        <v>0</v>
      </c>
      <c r="E175" s="142">
        <f>SUM(E176:E178)</f>
        <v>0</v>
      </c>
      <c r="F175" s="142">
        <f t="shared" ref="F175" si="22">SUM(F176:F178)</f>
        <v>0</v>
      </c>
      <c r="G175" s="142">
        <f t="shared" ref="G175" si="23">SUM(G176:G178)</f>
        <v>0</v>
      </c>
      <c r="H175" s="142">
        <f t="shared" ref="H175" si="24">SUM(H176:H178)</f>
        <v>0</v>
      </c>
      <c r="I175" s="142">
        <f t="shared" ref="I175" si="25">SUM(I176:I178)</f>
        <v>0</v>
      </c>
      <c r="J175" s="142">
        <f t="shared" ref="J175" si="26">SUM(J176:J178)</f>
        <v>0</v>
      </c>
      <c r="K175" s="142">
        <f>SUM(K176:K178)</f>
        <v>0</v>
      </c>
      <c r="L175" s="142">
        <f t="shared" ref="L175" si="27">SUM(L176:L178)</f>
        <v>0</v>
      </c>
      <c r="M175" s="142">
        <f t="shared" ref="M175" si="28">SUM(M176:M178)</f>
        <v>0</v>
      </c>
    </row>
    <row r="176" spans="2:13" hidden="1" outlineLevel="1">
      <c r="B176" s="139" t="s">
        <v>23</v>
      </c>
      <c r="C176" s="140">
        <f>-SUMIF(Доп.расчеты!$3:$3,Свод!C$4,Доп.расчеты!218:218)</f>
        <v>0</v>
      </c>
      <c r="D176" s="140">
        <f>-SUMIF(Доп.расчеты!$3:$3,Свод!D$4,Доп.расчеты!218:218)</f>
        <v>0</v>
      </c>
      <c r="E176" s="140">
        <f>-SUMIF(Доп.расчеты!$3:$3,Свод!E$4,Доп.расчеты!218:218)</f>
        <v>0</v>
      </c>
      <c r="F176" s="140">
        <f>-SUMIF(Доп.расчеты!$3:$3,Свод!F$4,Доп.расчеты!218:218)</f>
        <v>0</v>
      </c>
      <c r="G176" s="140">
        <f>-SUMIF(Доп.расчеты!$3:$3,Свод!G$4,Доп.расчеты!218:218)</f>
        <v>0</v>
      </c>
      <c r="H176" s="140">
        <f>-SUMIF(Доп.расчеты!$3:$3,Свод!H$4,Доп.расчеты!218:218)</f>
        <v>0</v>
      </c>
      <c r="I176" s="140">
        <f>-SUMIF(Доп.расчеты!$3:$3,Свод!I$4,Доп.расчеты!218:218)</f>
        <v>0</v>
      </c>
      <c r="J176" s="140">
        <f>-SUMIF(Доп.расчеты!$3:$3,Свод!J$4,Доп.расчеты!218:218)</f>
        <v>0</v>
      </c>
      <c r="K176" s="140">
        <f>-SUMIF(Доп.расчеты!$3:$3,Свод!K$4,Доп.расчеты!218:218)</f>
        <v>0</v>
      </c>
      <c r="L176" s="140">
        <f>-SUMIF(Доп.расчеты!$3:$3,Свод!L$4,Доп.расчеты!218:218)</f>
        <v>0</v>
      </c>
      <c r="M176" s="140">
        <f>-SUMIF(Доп.расчеты!$3:$3,Свод!M$4,Доп.расчеты!218:218)</f>
        <v>0</v>
      </c>
    </row>
    <row r="177" spans="2:13" hidden="1" outlineLevel="1">
      <c r="B177" s="139" t="s">
        <v>240</v>
      </c>
      <c r="C177" s="140">
        <f>-SUMIF(Доп.расчеты!$3:$3,Свод!C$4,Доп.расчеты!219:219)</f>
        <v>0</v>
      </c>
      <c r="D177" s="140">
        <f>-SUMIF(Доп.расчеты!$3:$3,Свод!D$4,Доп.расчеты!219:219)</f>
        <v>0</v>
      </c>
      <c r="E177" s="140">
        <f>-SUMIF(Доп.расчеты!$3:$3,Свод!E$4,Доп.расчеты!219:219)</f>
        <v>0</v>
      </c>
      <c r="F177" s="140">
        <f>-SUMIF(Доп.расчеты!$3:$3,Свод!F$4,Доп.расчеты!219:219)</f>
        <v>0</v>
      </c>
      <c r="G177" s="140">
        <f>-SUMIF(Доп.расчеты!$3:$3,Свод!G$4,Доп.расчеты!219:219)</f>
        <v>0</v>
      </c>
      <c r="H177" s="140">
        <f>-SUMIF(Доп.расчеты!$3:$3,Свод!H$4,Доп.расчеты!219:219)</f>
        <v>0</v>
      </c>
      <c r="I177" s="140">
        <f>-SUMIF(Доп.расчеты!$3:$3,Свод!I$4,Доп.расчеты!219:219)</f>
        <v>0</v>
      </c>
      <c r="J177" s="140">
        <f>-SUMIF(Доп.расчеты!$3:$3,Свод!J$4,Доп.расчеты!219:219)</f>
        <v>0</v>
      </c>
      <c r="K177" s="140">
        <f>-SUMIF(Доп.расчеты!$3:$3,Свод!K$4,Доп.расчеты!219:219)</f>
        <v>0</v>
      </c>
      <c r="L177" s="140">
        <f>-SUMIF(Доп.расчеты!$3:$3,Свод!L$4,Доп.расчеты!219:219)</f>
        <v>0</v>
      </c>
      <c r="M177" s="140">
        <f>-SUMIF(Доп.расчеты!$3:$3,Свод!M$4,Доп.расчеты!219:219)</f>
        <v>0</v>
      </c>
    </row>
    <row r="178" spans="2:13" hidden="1" outlineLevel="1">
      <c r="B178" s="139" t="s">
        <v>11</v>
      </c>
      <c r="C178" s="140">
        <f>-SUMIF(Доп.расчеты!$3:$3,Свод!C$4,Доп.расчеты!220:220)</f>
        <v>0</v>
      </c>
      <c r="D178" s="140">
        <f>-SUMIF(Доп.расчеты!$3:$3,Свод!D$4,Доп.расчеты!220:220)</f>
        <v>0</v>
      </c>
      <c r="E178" s="140">
        <f>-SUMIF(Доп.расчеты!$3:$3,Свод!E$4,Доп.расчеты!220:220)</f>
        <v>0</v>
      </c>
      <c r="F178" s="140">
        <f>-SUMIF(Доп.расчеты!$3:$3,Свод!F$4,Доп.расчеты!220:220)</f>
        <v>0</v>
      </c>
      <c r="G178" s="140">
        <f>-SUMIF(Доп.расчеты!$3:$3,Свод!G$4,Доп.расчеты!220:220)</f>
        <v>0</v>
      </c>
      <c r="H178" s="140">
        <f>-SUMIF(Доп.расчеты!$3:$3,Свод!H$4,Доп.расчеты!220:220)</f>
        <v>0</v>
      </c>
      <c r="I178" s="140">
        <f>-SUMIF(Доп.расчеты!$3:$3,Свод!I$4,Доп.расчеты!220:220)</f>
        <v>0</v>
      </c>
      <c r="J178" s="140">
        <f>-SUMIF(Доп.расчеты!$3:$3,Свод!J$4,Доп.расчеты!220:220)</f>
        <v>0</v>
      </c>
      <c r="K178" s="140">
        <f>-SUMIF(Доп.расчеты!$3:$3,Свод!K$4,Доп.расчеты!220:220)</f>
        <v>0</v>
      </c>
      <c r="L178" s="140">
        <f>-SUMIF(Доп.расчеты!$3:$3,Свод!L$4,Доп.расчеты!220:220)</f>
        <v>0</v>
      </c>
      <c r="M178" s="140">
        <f>-SUMIF(Доп.расчеты!$3:$3,Свод!M$4,Доп.расчеты!220:220)</f>
        <v>0</v>
      </c>
    </row>
    <row r="179" spans="2:13" collapsed="1">
      <c r="B179" s="141" t="s">
        <v>176</v>
      </c>
      <c r="C179" s="142">
        <f>SUM(C180:C192)</f>
        <v>0</v>
      </c>
      <c r="D179" s="142">
        <f t="shared" ref="D179:I179" si="29">SUM(D180:D192)</f>
        <v>0</v>
      </c>
      <c r="E179" s="142">
        <f t="shared" si="29"/>
        <v>0</v>
      </c>
      <c r="F179" s="142">
        <f t="shared" si="29"/>
        <v>0</v>
      </c>
      <c r="G179" s="142">
        <f t="shared" si="29"/>
        <v>0</v>
      </c>
      <c r="H179" s="142">
        <f t="shared" si="29"/>
        <v>0</v>
      </c>
      <c r="I179" s="142">
        <f t="shared" si="29"/>
        <v>0</v>
      </c>
      <c r="J179" s="142">
        <f t="shared" ref="J179:M179" si="30">SUM(J180:J192)</f>
        <v>0</v>
      </c>
      <c r="K179" s="142">
        <f t="shared" si="30"/>
        <v>0</v>
      </c>
      <c r="L179" s="142">
        <f t="shared" si="30"/>
        <v>0</v>
      </c>
      <c r="M179" s="142">
        <f t="shared" si="30"/>
        <v>0</v>
      </c>
    </row>
    <row r="180" spans="2:13" hidden="1" outlineLevel="1">
      <c r="B180" s="139" t="s">
        <v>23</v>
      </c>
      <c r="C180" s="140">
        <f>-SUMIF(Доп.расчеты!$3:$3,Свод!C$4,Доп.расчеты!222:222)</f>
        <v>0</v>
      </c>
      <c r="D180" s="140">
        <f>-SUMIF(Доп.расчеты!$3:$3,Свод!D$4,Доп.расчеты!222:222)</f>
        <v>0</v>
      </c>
      <c r="E180" s="140">
        <f>-SUMIF(Доп.расчеты!$3:$3,Свод!E$4,Доп.расчеты!222:222)</f>
        <v>0</v>
      </c>
      <c r="F180" s="140">
        <f>-SUMIF(Доп.расчеты!$3:$3,Свод!F$4,Доп.расчеты!222:222)</f>
        <v>0</v>
      </c>
      <c r="G180" s="140">
        <f>-SUMIF(Доп.расчеты!$3:$3,Свод!G$4,Доп.расчеты!222:222)</f>
        <v>0</v>
      </c>
      <c r="H180" s="140">
        <f>-SUMIF(Доп.расчеты!$3:$3,Свод!H$4,Доп.расчеты!222:222)</f>
        <v>0</v>
      </c>
      <c r="I180" s="140">
        <f>-SUMIF(Доп.расчеты!$3:$3,Свод!I$4,Доп.расчеты!222:222)</f>
        <v>0</v>
      </c>
      <c r="J180" s="140">
        <f>-SUMIF(Доп.расчеты!$3:$3,Свод!J$4,Доп.расчеты!222:222)</f>
        <v>0</v>
      </c>
      <c r="K180" s="140">
        <f>-SUMIF(Доп.расчеты!$3:$3,Свод!K$4,Доп.расчеты!222:222)</f>
        <v>0</v>
      </c>
      <c r="L180" s="140">
        <f>-SUMIF(Доп.расчеты!$3:$3,Свод!L$4,Доп.расчеты!222:222)</f>
        <v>0</v>
      </c>
      <c r="M180" s="140">
        <f>-SUMIF(Доп.расчеты!$3:$3,Свод!M$4,Доп.расчеты!222:222)</f>
        <v>0</v>
      </c>
    </row>
    <row r="181" spans="2:13" hidden="1" outlineLevel="1">
      <c r="B181" s="139" t="s">
        <v>64</v>
      </c>
      <c r="C181" s="140">
        <f>-SUMIF(Доп.расчеты!$3:$3,Свод!C$4,Доп.расчеты!223:223)</f>
        <v>0</v>
      </c>
      <c r="D181" s="140">
        <f>-SUMIF(Доп.расчеты!$3:$3,Свод!D$4,Доп.расчеты!223:223)</f>
        <v>0</v>
      </c>
      <c r="E181" s="140">
        <f>-SUMIF(Доп.расчеты!$3:$3,Свод!E$4,Доп.расчеты!223:223)</f>
        <v>0</v>
      </c>
      <c r="F181" s="140">
        <f>-SUMIF(Доп.расчеты!$3:$3,Свод!F$4,Доп.расчеты!223:223)</f>
        <v>0</v>
      </c>
      <c r="G181" s="140">
        <f>-SUMIF(Доп.расчеты!$3:$3,Свод!G$4,Доп.расчеты!223:223)</f>
        <v>0</v>
      </c>
      <c r="H181" s="140">
        <f>-SUMIF(Доп.расчеты!$3:$3,Свод!H$4,Доп.расчеты!223:223)</f>
        <v>0</v>
      </c>
      <c r="I181" s="140">
        <f>-SUMIF(Доп.расчеты!$3:$3,Свод!I$4,Доп.расчеты!223:223)</f>
        <v>0</v>
      </c>
      <c r="J181" s="140">
        <f>-SUMIF(Доп.расчеты!$3:$3,Свод!J$4,Доп.расчеты!223:223)</f>
        <v>0</v>
      </c>
      <c r="K181" s="140">
        <f>-SUMIF(Доп.расчеты!$3:$3,Свод!K$4,Доп.расчеты!223:223)</f>
        <v>0</v>
      </c>
      <c r="L181" s="140">
        <f>-SUMIF(Доп.расчеты!$3:$3,Свод!L$4,Доп.расчеты!223:223)</f>
        <v>0</v>
      </c>
      <c r="M181" s="140">
        <f>-SUMIF(Доп.расчеты!$3:$3,Свод!M$4,Доп.расчеты!223:223)</f>
        <v>0</v>
      </c>
    </row>
    <row r="182" spans="2:13" hidden="1" outlineLevel="1">
      <c r="B182" s="139" t="s">
        <v>113</v>
      </c>
      <c r="C182" s="140">
        <f>-SUMIF(Доп.расчеты!$3:$3,Свод!C$4,Доп.расчеты!224:224)</f>
        <v>0</v>
      </c>
      <c r="D182" s="140">
        <f>-SUMIF(Доп.расчеты!$3:$3,Свод!D$4,Доп.расчеты!224:224)</f>
        <v>0</v>
      </c>
      <c r="E182" s="140">
        <f>-SUMIF(Доп.расчеты!$3:$3,Свод!E$4,Доп.расчеты!224:224)</f>
        <v>0</v>
      </c>
      <c r="F182" s="140">
        <f>-SUMIF(Доп.расчеты!$3:$3,Свод!F$4,Доп.расчеты!224:224)</f>
        <v>0</v>
      </c>
      <c r="G182" s="140">
        <f>-SUMIF(Доп.расчеты!$3:$3,Свод!G$4,Доп.расчеты!224:224)</f>
        <v>0</v>
      </c>
      <c r="H182" s="140">
        <f>-SUMIF(Доп.расчеты!$3:$3,Свод!H$4,Доп.расчеты!224:224)</f>
        <v>0</v>
      </c>
      <c r="I182" s="140">
        <f>-SUMIF(Доп.расчеты!$3:$3,Свод!I$4,Доп.расчеты!224:224)</f>
        <v>0</v>
      </c>
      <c r="J182" s="140">
        <f>-SUMIF(Доп.расчеты!$3:$3,Свод!J$4,Доп.расчеты!224:224)</f>
        <v>0</v>
      </c>
      <c r="K182" s="140">
        <f>-SUMIF(Доп.расчеты!$3:$3,Свод!K$4,Доп.расчеты!224:224)</f>
        <v>0</v>
      </c>
      <c r="L182" s="140">
        <f>-SUMIF(Доп.расчеты!$3:$3,Свод!L$4,Доп.расчеты!224:224)</f>
        <v>0</v>
      </c>
      <c r="M182" s="140">
        <f>-SUMIF(Доп.расчеты!$3:$3,Свод!M$4,Доп.расчеты!224:224)</f>
        <v>0</v>
      </c>
    </row>
    <row r="183" spans="2:13" hidden="1" outlineLevel="1">
      <c r="B183" s="139" t="s">
        <v>114</v>
      </c>
      <c r="C183" s="140">
        <f>-SUMIF(Доп.расчеты!$3:$3,Свод!C$4,Доп.расчеты!225:225)</f>
        <v>0</v>
      </c>
      <c r="D183" s="140">
        <f>-SUMIF(Доп.расчеты!$3:$3,Свод!D$4,Доп.расчеты!225:225)</f>
        <v>0</v>
      </c>
      <c r="E183" s="140">
        <f>-SUMIF(Доп.расчеты!$3:$3,Свод!E$4,Доп.расчеты!225:225)</f>
        <v>0</v>
      </c>
      <c r="F183" s="140">
        <f>-SUMIF(Доп.расчеты!$3:$3,Свод!F$4,Доп.расчеты!225:225)</f>
        <v>0</v>
      </c>
      <c r="G183" s="140">
        <f>-SUMIF(Доп.расчеты!$3:$3,Свод!G$4,Доп.расчеты!225:225)</f>
        <v>0</v>
      </c>
      <c r="H183" s="140">
        <f>-SUMIF(Доп.расчеты!$3:$3,Свод!H$4,Доп.расчеты!225:225)</f>
        <v>0</v>
      </c>
      <c r="I183" s="140">
        <f>-SUMIF(Доп.расчеты!$3:$3,Свод!I$4,Доп.расчеты!225:225)</f>
        <v>0</v>
      </c>
      <c r="J183" s="140">
        <f>-SUMIF(Доп.расчеты!$3:$3,Свод!J$4,Доп.расчеты!225:225)</f>
        <v>0</v>
      </c>
      <c r="K183" s="140">
        <f>-SUMIF(Доп.расчеты!$3:$3,Свод!K$4,Доп.расчеты!225:225)</f>
        <v>0</v>
      </c>
      <c r="L183" s="140">
        <f>-SUMIF(Доп.расчеты!$3:$3,Свод!L$4,Доп.расчеты!225:225)</f>
        <v>0</v>
      </c>
      <c r="M183" s="140">
        <f>-SUMIF(Доп.расчеты!$3:$3,Свод!M$4,Доп.расчеты!225:225)</f>
        <v>0</v>
      </c>
    </row>
    <row r="184" spans="2:13" hidden="1" outlineLevel="1">
      <c r="B184" s="139" t="s">
        <v>115</v>
      </c>
      <c r="C184" s="140">
        <f>-SUMIF(Доп.расчеты!$3:$3,Свод!C$4,Доп.расчеты!226:226)</f>
        <v>0</v>
      </c>
      <c r="D184" s="140">
        <f>-SUMIF(Доп.расчеты!$3:$3,Свод!D$4,Доп.расчеты!226:226)</f>
        <v>0</v>
      </c>
      <c r="E184" s="140">
        <f>-SUMIF(Доп.расчеты!$3:$3,Свод!E$4,Доп.расчеты!226:226)</f>
        <v>0</v>
      </c>
      <c r="F184" s="140">
        <f>-SUMIF(Доп.расчеты!$3:$3,Свод!F$4,Доп.расчеты!226:226)</f>
        <v>0</v>
      </c>
      <c r="G184" s="140">
        <f>-SUMIF(Доп.расчеты!$3:$3,Свод!G$4,Доп.расчеты!226:226)</f>
        <v>0</v>
      </c>
      <c r="H184" s="140">
        <f>-SUMIF(Доп.расчеты!$3:$3,Свод!H$4,Доп.расчеты!226:226)</f>
        <v>0</v>
      </c>
      <c r="I184" s="140">
        <f>-SUMIF(Доп.расчеты!$3:$3,Свод!I$4,Доп.расчеты!226:226)</f>
        <v>0</v>
      </c>
      <c r="J184" s="140">
        <f>-SUMIF(Доп.расчеты!$3:$3,Свод!J$4,Доп.расчеты!226:226)</f>
        <v>0</v>
      </c>
      <c r="K184" s="140">
        <f>-SUMIF(Доп.расчеты!$3:$3,Свод!K$4,Доп.расчеты!226:226)</f>
        <v>0</v>
      </c>
      <c r="L184" s="140">
        <f>-SUMIF(Доп.расчеты!$3:$3,Свод!L$4,Доп.расчеты!226:226)</f>
        <v>0</v>
      </c>
      <c r="M184" s="140">
        <f>-SUMIF(Доп.расчеты!$3:$3,Свод!M$4,Доп.расчеты!226:226)</f>
        <v>0</v>
      </c>
    </row>
    <row r="185" spans="2:13" hidden="1" outlineLevel="1">
      <c r="B185" s="139" t="s">
        <v>11</v>
      </c>
      <c r="C185" s="140">
        <f>-SUMIF(Доп.расчеты!$3:$3,Свод!C$4,Доп.расчеты!227:227)</f>
        <v>0</v>
      </c>
      <c r="D185" s="140">
        <f>-SUMIF(Доп.расчеты!$3:$3,Свод!D$4,Доп.расчеты!227:227)</f>
        <v>0</v>
      </c>
      <c r="E185" s="140">
        <f>-SUMIF(Доп.расчеты!$3:$3,Свод!E$4,Доп.расчеты!227:227)</f>
        <v>0</v>
      </c>
      <c r="F185" s="140">
        <f>-SUMIF(Доп.расчеты!$3:$3,Свод!F$4,Доп.расчеты!227:227)</f>
        <v>0</v>
      </c>
      <c r="G185" s="140">
        <f>-SUMIF(Доп.расчеты!$3:$3,Свод!G$4,Доп.расчеты!227:227)</f>
        <v>0</v>
      </c>
      <c r="H185" s="140">
        <f>-SUMIF(Доп.расчеты!$3:$3,Свод!H$4,Доп.расчеты!227:227)</f>
        <v>0</v>
      </c>
      <c r="I185" s="140">
        <f>-SUMIF(Доп.расчеты!$3:$3,Свод!I$4,Доп.расчеты!227:227)</f>
        <v>0</v>
      </c>
      <c r="J185" s="140">
        <f>-SUMIF(Доп.расчеты!$3:$3,Свод!J$4,Доп.расчеты!227:227)</f>
        <v>0</v>
      </c>
      <c r="K185" s="140">
        <f>-SUMIF(Доп.расчеты!$3:$3,Свод!K$4,Доп.расчеты!227:227)</f>
        <v>0</v>
      </c>
      <c r="L185" s="140">
        <f>-SUMIF(Доп.расчеты!$3:$3,Свод!L$4,Доп.расчеты!227:227)</f>
        <v>0</v>
      </c>
      <c r="M185" s="140">
        <f>-SUMIF(Доп.расчеты!$3:$3,Свод!M$4,Доп.расчеты!227:227)</f>
        <v>0</v>
      </c>
    </row>
    <row r="186" spans="2:13" hidden="1" outlineLevel="1">
      <c r="B186" s="139" t="s">
        <v>12</v>
      </c>
      <c r="C186" s="140">
        <f>-SUMIF(Доп.расчеты!$3:$3,Свод!C$4,Доп.расчеты!228:228)</f>
        <v>0</v>
      </c>
      <c r="D186" s="140">
        <f>-SUMIF(Доп.расчеты!$3:$3,Свод!D$4,Доп.расчеты!228:228)</f>
        <v>0</v>
      </c>
      <c r="E186" s="140">
        <f>-SUMIF(Доп.расчеты!$3:$3,Свод!E$4,Доп.расчеты!228:228)</f>
        <v>0</v>
      </c>
      <c r="F186" s="140">
        <f>-SUMIF(Доп.расчеты!$3:$3,Свод!F$4,Доп.расчеты!228:228)</f>
        <v>0</v>
      </c>
      <c r="G186" s="140">
        <f>-SUMIF(Доп.расчеты!$3:$3,Свод!G$4,Доп.расчеты!228:228)</f>
        <v>0</v>
      </c>
      <c r="H186" s="140">
        <f>-SUMIF(Доп.расчеты!$3:$3,Свод!H$4,Доп.расчеты!228:228)</f>
        <v>0</v>
      </c>
      <c r="I186" s="140">
        <f>-SUMIF(Доп.расчеты!$3:$3,Свод!I$4,Доп.расчеты!228:228)</f>
        <v>0</v>
      </c>
      <c r="J186" s="140">
        <f>-SUMIF(Доп.расчеты!$3:$3,Свод!J$4,Доп.расчеты!228:228)</f>
        <v>0</v>
      </c>
      <c r="K186" s="140">
        <f>-SUMIF(Доп.расчеты!$3:$3,Свод!K$4,Доп.расчеты!228:228)</f>
        <v>0</v>
      </c>
      <c r="L186" s="140">
        <f>-SUMIF(Доп.расчеты!$3:$3,Свод!L$4,Доп.расчеты!228:228)</f>
        <v>0</v>
      </c>
      <c r="M186" s="140">
        <f>-SUMIF(Доп.расчеты!$3:$3,Свод!M$4,Доп.расчеты!228:228)</f>
        <v>0</v>
      </c>
    </row>
    <row r="187" spans="2:13" hidden="1" outlineLevel="1">
      <c r="B187" s="139" t="s">
        <v>116</v>
      </c>
      <c r="C187" s="140">
        <f>-SUMIF(Доп.расчеты!$3:$3,Свод!C$4,Доп.расчеты!229:229)</f>
        <v>0</v>
      </c>
      <c r="D187" s="140">
        <f>-SUMIF(Доп.расчеты!$3:$3,Свод!D$4,Доп.расчеты!229:229)</f>
        <v>0</v>
      </c>
      <c r="E187" s="140">
        <f>-SUMIF(Доп.расчеты!$3:$3,Свод!E$4,Доп.расчеты!229:229)</f>
        <v>0</v>
      </c>
      <c r="F187" s="140">
        <f>-SUMIF(Доп.расчеты!$3:$3,Свод!F$4,Доп.расчеты!229:229)</f>
        <v>0</v>
      </c>
      <c r="G187" s="140">
        <f>-SUMIF(Доп.расчеты!$3:$3,Свод!G$4,Доп.расчеты!229:229)</f>
        <v>0</v>
      </c>
      <c r="H187" s="140">
        <f>-SUMIF(Доп.расчеты!$3:$3,Свод!H$4,Доп.расчеты!229:229)</f>
        <v>0</v>
      </c>
      <c r="I187" s="140">
        <f>-SUMIF(Доп.расчеты!$3:$3,Свод!I$4,Доп.расчеты!229:229)</f>
        <v>0</v>
      </c>
      <c r="J187" s="140">
        <f>-SUMIF(Доп.расчеты!$3:$3,Свод!J$4,Доп.расчеты!229:229)</f>
        <v>0</v>
      </c>
      <c r="K187" s="140">
        <f>-SUMIF(Доп.расчеты!$3:$3,Свод!K$4,Доп.расчеты!229:229)</f>
        <v>0</v>
      </c>
      <c r="L187" s="140">
        <f>-SUMIF(Доп.расчеты!$3:$3,Свод!L$4,Доп.расчеты!229:229)</f>
        <v>0</v>
      </c>
      <c r="M187" s="140">
        <f>-SUMIF(Доп.расчеты!$3:$3,Свод!M$4,Доп.расчеты!229:229)</f>
        <v>0</v>
      </c>
    </row>
    <row r="188" spans="2:13" hidden="1" outlineLevel="1">
      <c r="B188" s="139" t="s">
        <v>24</v>
      </c>
      <c r="C188" s="140">
        <f>-SUMIF(Доп.расчеты!$3:$3,Свод!C$4,Доп.расчеты!230:230)</f>
        <v>0</v>
      </c>
      <c r="D188" s="140">
        <f>-SUMIF(Доп.расчеты!$3:$3,Свод!D$4,Доп.расчеты!230:230)</f>
        <v>0</v>
      </c>
      <c r="E188" s="140">
        <f>-SUMIF(Доп.расчеты!$3:$3,Свод!E$4,Доп.расчеты!230:230)</f>
        <v>0</v>
      </c>
      <c r="F188" s="140">
        <f>-SUMIF(Доп.расчеты!$3:$3,Свод!F$4,Доп.расчеты!230:230)</f>
        <v>0</v>
      </c>
      <c r="G188" s="140">
        <f>-SUMIF(Доп.расчеты!$3:$3,Свод!G$4,Доп.расчеты!230:230)</f>
        <v>0</v>
      </c>
      <c r="H188" s="140">
        <f>-SUMIF(Доп.расчеты!$3:$3,Свод!H$4,Доп.расчеты!230:230)</f>
        <v>0</v>
      </c>
      <c r="I188" s="140">
        <f>-SUMIF(Доп.расчеты!$3:$3,Свод!I$4,Доп.расчеты!230:230)</f>
        <v>0</v>
      </c>
      <c r="J188" s="140">
        <f>-SUMIF(Доп.расчеты!$3:$3,Свод!J$4,Доп.расчеты!230:230)</f>
        <v>0</v>
      </c>
      <c r="K188" s="140">
        <f>-SUMIF(Доп.расчеты!$3:$3,Свод!K$4,Доп.расчеты!230:230)</f>
        <v>0</v>
      </c>
      <c r="L188" s="140">
        <f>-SUMIF(Доп.расчеты!$3:$3,Свод!L$4,Доп.расчеты!230:230)</f>
        <v>0</v>
      </c>
      <c r="M188" s="140">
        <f>-SUMIF(Доп.расчеты!$3:$3,Свод!M$4,Доп.расчеты!230:230)</f>
        <v>0</v>
      </c>
    </row>
    <row r="189" spans="2:13" hidden="1" outlineLevel="1">
      <c r="B189" s="139" t="s">
        <v>25</v>
      </c>
      <c r="C189" s="140">
        <f>-SUMIF(Доп.расчеты!$3:$3,Свод!C$4,Доп.расчеты!231:231)</f>
        <v>0</v>
      </c>
      <c r="D189" s="140">
        <f>-SUMIF(Доп.расчеты!$3:$3,Свод!D$4,Доп.расчеты!231:231)</f>
        <v>0</v>
      </c>
      <c r="E189" s="140">
        <f>-SUMIF(Доп.расчеты!$3:$3,Свод!E$4,Доп.расчеты!231:231)</f>
        <v>0</v>
      </c>
      <c r="F189" s="140">
        <f>-SUMIF(Доп.расчеты!$3:$3,Свод!F$4,Доп.расчеты!231:231)</f>
        <v>0</v>
      </c>
      <c r="G189" s="140">
        <f>-SUMIF(Доп.расчеты!$3:$3,Свод!G$4,Доп.расчеты!231:231)</f>
        <v>0</v>
      </c>
      <c r="H189" s="140">
        <f>-SUMIF(Доп.расчеты!$3:$3,Свод!H$4,Доп.расчеты!231:231)</f>
        <v>0</v>
      </c>
      <c r="I189" s="140">
        <f>-SUMIF(Доп.расчеты!$3:$3,Свод!I$4,Доп.расчеты!231:231)</f>
        <v>0</v>
      </c>
      <c r="J189" s="140">
        <f>-SUMIF(Доп.расчеты!$3:$3,Свод!J$4,Доп.расчеты!231:231)</f>
        <v>0</v>
      </c>
      <c r="K189" s="140">
        <f>-SUMIF(Доп.расчеты!$3:$3,Свод!K$4,Доп.расчеты!231:231)</f>
        <v>0</v>
      </c>
      <c r="L189" s="140">
        <f>-SUMIF(Доп.расчеты!$3:$3,Свод!L$4,Доп.расчеты!231:231)</f>
        <v>0</v>
      </c>
      <c r="M189" s="140">
        <f>-SUMIF(Доп.расчеты!$3:$3,Свод!M$4,Доп.расчеты!231:231)</f>
        <v>0</v>
      </c>
    </row>
    <row r="190" spans="2:13" hidden="1" outlineLevel="1">
      <c r="B190" s="139" t="s">
        <v>14</v>
      </c>
      <c r="C190" s="140">
        <f>-SUMIF(Доп.расчеты!$3:$3,Свод!C$4,Доп.расчеты!232:232)</f>
        <v>0</v>
      </c>
      <c r="D190" s="140">
        <f>-SUMIF(Доп.расчеты!$3:$3,Свод!D$4,Доп.расчеты!232:232)</f>
        <v>0</v>
      </c>
      <c r="E190" s="140">
        <f>-SUMIF(Доп.расчеты!$3:$3,Свод!E$4,Доп.расчеты!232:232)</f>
        <v>0</v>
      </c>
      <c r="F190" s="140">
        <f>-SUMIF(Доп.расчеты!$3:$3,Свод!F$4,Доп.расчеты!232:232)</f>
        <v>0</v>
      </c>
      <c r="G190" s="140">
        <f>-SUMIF(Доп.расчеты!$3:$3,Свод!G$4,Доп.расчеты!232:232)</f>
        <v>0</v>
      </c>
      <c r="H190" s="140">
        <f>-SUMIF(Доп.расчеты!$3:$3,Свод!H$4,Доп.расчеты!232:232)</f>
        <v>0</v>
      </c>
      <c r="I190" s="140">
        <f>-SUMIF(Доп.расчеты!$3:$3,Свод!I$4,Доп.расчеты!232:232)</f>
        <v>0</v>
      </c>
      <c r="J190" s="140">
        <f>-SUMIF(Доп.расчеты!$3:$3,Свод!J$4,Доп.расчеты!232:232)</f>
        <v>0</v>
      </c>
      <c r="K190" s="140">
        <f>-SUMIF(Доп.расчеты!$3:$3,Свод!K$4,Доп.расчеты!232:232)</f>
        <v>0</v>
      </c>
      <c r="L190" s="140">
        <f>-SUMIF(Доп.расчеты!$3:$3,Свод!L$4,Доп.расчеты!232:232)</f>
        <v>0</v>
      </c>
      <c r="M190" s="140">
        <f>-SUMIF(Доп.расчеты!$3:$3,Свод!M$4,Доп.расчеты!232:232)</f>
        <v>0</v>
      </c>
    </row>
    <row r="191" spans="2:13" hidden="1" outlineLevel="1">
      <c r="B191" s="139" t="s">
        <v>117</v>
      </c>
      <c r="C191" s="140">
        <f>-SUMIF(Доп.расчеты!$3:$3,Свод!C$4,Доп.расчеты!233:233)</f>
        <v>0</v>
      </c>
      <c r="D191" s="140">
        <f>-SUMIF(Доп.расчеты!$3:$3,Свод!D$4,Доп.расчеты!233:233)</f>
        <v>0</v>
      </c>
      <c r="E191" s="140">
        <f>-SUMIF(Доп.расчеты!$3:$3,Свод!E$4,Доп.расчеты!233:233)</f>
        <v>0</v>
      </c>
      <c r="F191" s="140">
        <f>-SUMIF(Доп.расчеты!$3:$3,Свод!F$4,Доп.расчеты!233:233)</f>
        <v>0</v>
      </c>
      <c r="G191" s="140">
        <f>-SUMIF(Доп.расчеты!$3:$3,Свод!G$4,Доп.расчеты!233:233)</f>
        <v>0</v>
      </c>
      <c r="H191" s="140">
        <f>-SUMIF(Доп.расчеты!$3:$3,Свод!H$4,Доп.расчеты!233:233)</f>
        <v>0</v>
      </c>
      <c r="I191" s="140">
        <f>-SUMIF(Доп.расчеты!$3:$3,Свод!I$4,Доп.расчеты!233:233)</f>
        <v>0</v>
      </c>
      <c r="J191" s="140">
        <f>-SUMIF(Доп.расчеты!$3:$3,Свод!J$4,Доп.расчеты!233:233)</f>
        <v>0</v>
      </c>
      <c r="K191" s="140">
        <f>-SUMIF(Доп.расчеты!$3:$3,Свод!K$4,Доп.расчеты!233:233)</f>
        <v>0</v>
      </c>
      <c r="L191" s="140">
        <f>-SUMIF(Доп.расчеты!$3:$3,Свод!L$4,Доп.расчеты!233:233)</f>
        <v>0</v>
      </c>
      <c r="M191" s="140">
        <f>-SUMIF(Доп.расчеты!$3:$3,Свод!M$4,Доп.расчеты!233:233)</f>
        <v>0</v>
      </c>
    </row>
    <row r="192" spans="2:13" hidden="1" outlineLevel="1">
      <c r="B192" s="139" t="s">
        <v>118</v>
      </c>
      <c r="C192" s="140">
        <f>-SUMIF(Доп.расчеты!$3:$3,Свод!C$4,Доп.расчеты!234:234)</f>
        <v>0</v>
      </c>
      <c r="D192" s="140">
        <f>-SUMIF(Доп.расчеты!$3:$3,Свод!D$4,Доп.расчеты!234:234)</f>
        <v>0</v>
      </c>
      <c r="E192" s="140">
        <f>-SUMIF(Доп.расчеты!$3:$3,Свод!E$4,Доп.расчеты!234:234)</f>
        <v>0</v>
      </c>
      <c r="F192" s="140">
        <f>-SUMIF(Доп.расчеты!$3:$3,Свод!F$4,Доп.расчеты!234:234)</f>
        <v>0</v>
      </c>
      <c r="G192" s="140">
        <f>-SUMIF(Доп.расчеты!$3:$3,Свод!G$4,Доп.расчеты!234:234)</f>
        <v>0</v>
      </c>
      <c r="H192" s="140">
        <f>-SUMIF(Доп.расчеты!$3:$3,Свод!H$4,Доп.расчеты!234:234)</f>
        <v>0</v>
      </c>
      <c r="I192" s="140">
        <f>-SUMIF(Доп.расчеты!$3:$3,Свод!I$4,Доп.расчеты!234:234)</f>
        <v>0</v>
      </c>
      <c r="J192" s="140">
        <f>-SUMIF(Доп.расчеты!$3:$3,Свод!J$4,Доп.расчеты!234:234)</f>
        <v>0</v>
      </c>
      <c r="K192" s="140">
        <f>-SUMIF(Доп.расчеты!$3:$3,Свод!K$4,Доп.расчеты!234:234)</f>
        <v>0</v>
      </c>
      <c r="L192" s="140">
        <f>-SUMIF(Доп.расчеты!$3:$3,Свод!L$4,Доп.расчеты!234:234)</f>
        <v>0</v>
      </c>
      <c r="M192" s="140">
        <f>-SUMIF(Доп.расчеты!$3:$3,Свод!M$4,Доп.расчеты!234:234)</f>
        <v>0</v>
      </c>
    </row>
    <row r="193" spans="2:21" ht="17" collapsed="1">
      <c r="B193" s="158" t="s">
        <v>132</v>
      </c>
      <c r="C193" s="159"/>
      <c r="D193" s="159"/>
      <c r="E193" s="159"/>
      <c r="F193" s="159"/>
      <c r="G193" s="159"/>
      <c r="H193" s="159"/>
      <c r="I193" s="159"/>
      <c r="J193" s="159"/>
      <c r="K193" s="159"/>
      <c r="L193" s="159"/>
      <c r="M193" s="159"/>
      <c r="Q193" s="134"/>
      <c r="R193" s="134"/>
      <c r="S193" s="134"/>
      <c r="T193" s="134"/>
      <c r="U193" s="134"/>
    </row>
    <row r="194" spans="2:21">
      <c r="B194" s="141" t="s">
        <v>242</v>
      </c>
      <c r="C194" s="138">
        <f>SUMIF('Как будет'!$12:$12,Свод!C4,'Как будет'!$44:$44)</f>
        <v>0</v>
      </c>
      <c r="D194" s="138">
        <f>SUMIF('Как будет'!$12:$12,Свод!D4,'Как будет'!$44:$44)</f>
        <v>0</v>
      </c>
      <c r="E194" s="138">
        <f>SUMIF('Как будет'!$12:$12,Свод!E4,'Как будет'!$44:$44)</f>
        <v>0</v>
      </c>
      <c r="F194" s="138">
        <f>SUMIF('Как будет'!$12:$12,Свод!F4,'Как будет'!$44:$44)</f>
        <v>0</v>
      </c>
      <c r="G194" s="138">
        <f>SUMIF('Как будет'!$12:$12,Свод!G4,'Как будет'!$44:$44)</f>
        <v>0</v>
      </c>
      <c r="H194" s="138">
        <f>SUMIF('Как будет'!$12:$12,Свод!H4,'Как будет'!$44:$44)</f>
        <v>0</v>
      </c>
      <c r="I194" s="138">
        <f>SUMIF('Как будет'!$12:$12,Свод!I4,'Как будет'!$44:$44)</f>
        <v>0</v>
      </c>
      <c r="J194" s="138">
        <f>SUMIF('Как будет'!$12:$12,Свод!J4,'Как будет'!$44:$44)</f>
        <v>0</v>
      </c>
      <c r="K194" s="138">
        <f>SUMIF('Как будет'!$12:$12,Свод!K4,'Как будет'!$44:$44)</f>
        <v>0</v>
      </c>
      <c r="L194" s="138">
        <f>SUMIF('Как будет'!$12:$12,Свод!L4,'Как будет'!$44:$44)</f>
        <v>0</v>
      </c>
      <c r="M194" s="138">
        <f>SUMIF('Как будет'!$12:$12,Свод!M4,'Как будет'!$44:$44)</f>
        <v>0</v>
      </c>
    </row>
    <row r="195" spans="2:21" hidden="1" outlineLevel="1">
      <c r="B195" s="139" t="s">
        <v>88</v>
      </c>
      <c r="C195" s="140">
        <f>-SUMIF(Доп.расчеты!$3:$3,Свод!C$4,Доп.расчеты!239:239)</f>
        <v>0</v>
      </c>
      <c r="D195" s="140">
        <f>-SUMIF(Доп.расчеты!$3:$3,Свод!D$4,Доп.расчеты!239:239)</f>
        <v>0</v>
      </c>
      <c r="E195" s="140">
        <f>-SUMIF(Доп.расчеты!$3:$3,Свод!E$4,Доп.расчеты!239:239)</f>
        <v>0</v>
      </c>
      <c r="F195" s="140">
        <f>-SUMIF(Доп.расчеты!$3:$3,Свод!F$4,Доп.расчеты!239:239)</f>
        <v>0</v>
      </c>
      <c r="G195" s="140">
        <f>-SUMIF(Доп.расчеты!$3:$3,Свод!G$4,Доп.расчеты!239:239)</f>
        <v>0</v>
      </c>
      <c r="H195" s="140">
        <f>-SUMIF(Доп.расчеты!$3:$3,Свод!H$4,Доп.расчеты!239:239)</f>
        <v>0</v>
      </c>
      <c r="I195" s="140">
        <f>-SUMIF(Доп.расчеты!$3:$3,Свод!I$4,Доп.расчеты!239:239)</f>
        <v>0</v>
      </c>
      <c r="J195" s="140">
        <f>-SUMIF(Доп.расчеты!$3:$3,Свод!J$4,Доп.расчеты!239:239)</f>
        <v>0</v>
      </c>
      <c r="K195" s="140">
        <f>-SUMIF(Доп.расчеты!$3:$3,Свод!K$4,Доп.расчеты!239:239)</f>
        <v>0</v>
      </c>
      <c r="L195" s="140">
        <f>-SUMIF(Доп.расчеты!$3:$3,Свод!L$4,Доп.расчеты!239:239)</f>
        <v>0</v>
      </c>
      <c r="M195" s="140">
        <f>-SUMIF(Доп.расчеты!$3:$3,Свод!M$4,Доп.расчеты!239:239)</f>
        <v>0</v>
      </c>
    </row>
    <row r="196" spans="2:21" hidden="1" outlineLevel="1">
      <c r="B196" s="139" t="s">
        <v>89</v>
      </c>
      <c r="C196" s="140">
        <f>-SUMIF(Доп.расчеты!$3:$3,Свод!C$4,Доп.расчеты!240:240)</f>
        <v>0</v>
      </c>
      <c r="D196" s="140">
        <f>-SUMIF(Доп.расчеты!$3:$3,Свод!D$4,Доп.расчеты!240:240)</f>
        <v>0</v>
      </c>
      <c r="E196" s="140">
        <f>-SUMIF(Доп.расчеты!$3:$3,Свод!E$4,Доп.расчеты!240:240)</f>
        <v>0</v>
      </c>
      <c r="F196" s="140">
        <f>-SUMIF(Доп.расчеты!$3:$3,Свод!F$4,Доп.расчеты!240:240)</f>
        <v>0</v>
      </c>
      <c r="G196" s="140">
        <f>-SUMIF(Доп.расчеты!$3:$3,Свод!G$4,Доп.расчеты!240:240)</f>
        <v>0</v>
      </c>
      <c r="H196" s="140">
        <f>-SUMIF(Доп.расчеты!$3:$3,Свод!H$4,Доп.расчеты!240:240)</f>
        <v>0</v>
      </c>
      <c r="I196" s="140">
        <f>-SUMIF(Доп.расчеты!$3:$3,Свод!I$4,Доп.расчеты!240:240)</f>
        <v>0</v>
      </c>
      <c r="J196" s="140">
        <f>-SUMIF(Доп.расчеты!$3:$3,Свод!J$4,Доп.расчеты!240:240)</f>
        <v>0</v>
      </c>
      <c r="K196" s="140">
        <f>-SUMIF(Доп.расчеты!$3:$3,Свод!K$4,Доп.расчеты!240:240)</f>
        <v>0</v>
      </c>
      <c r="L196" s="140">
        <f>-SUMIF(Доп.расчеты!$3:$3,Свод!L$4,Доп.расчеты!240:240)</f>
        <v>0</v>
      </c>
      <c r="M196" s="140">
        <f>-SUMIF(Доп.расчеты!$3:$3,Свод!M$4,Доп.расчеты!240:240)</f>
        <v>0</v>
      </c>
    </row>
    <row r="197" spans="2:21" hidden="1" outlineLevel="1">
      <c r="B197" s="139" t="s">
        <v>90</v>
      </c>
      <c r="C197" s="140">
        <f>-SUMIF(Доп.расчеты!$3:$3,Свод!C$4,Доп.расчеты!241:241)</f>
        <v>0</v>
      </c>
      <c r="D197" s="140">
        <f>-SUMIF(Доп.расчеты!$3:$3,Свод!D$4,Доп.расчеты!241:241)</f>
        <v>0</v>
      </c>
      <c r="E197" s="140">
        <f>-SUMIF(Доп.расчеты!$3:$3,Свод!E$4,Доп.расчеты!241:241)</f>
        <v>0</v>
      </c>
      <c r="F197" s="140">
        <f>-SUMIF(Доп.расчеты!$3:$3,Свод!F$4,Доп.расчеты!241:241)</f>
        <v>0</v>
      </c>
      <c r="G197" s="140">
        <f>-SUMIF(Доп.расчеты!$3:$3,Свод!G$4,Доп.расчеты!241:241)</f>
        <v>0</v>
      </c>
      <c r="H197" s="140">
        <f>-SUMIF(Доп.расчеты!$3:$3,Свод!H$4,Доп.расчеты!241:241)</f>
        <v>0</v>
      </c>
      <c r="I197" s="140">
        <f>-SUMIF(Доп.расчеты!$3:$3,Свод!I$4,Доп.расчеты!241:241)</f>
        <v>0</v>
      </c>
      <c r="J197" s="140">
        <f>-SUMIF(Доп.расчеты!$3:$3,Свод!J$4,Доп.расчеты!241:241)</f>
        <v>0</v>
      </c>
      <c r="K197" s="140">
        <f>-SUMIF(Доп.расчеты!$3:$3,Свод!K$4,Доп.расчеты!241:241)</f>
        <v>0</v>
      </c>
      <c r="L197" s="140">
        <f>-SUMIF(Доп.расчеты!$3:$3,Свод!L$4,Доп.расчеты!241:241)</f>
        <v>0</v>
      </c>
      <c r="M197" s="140">
        <f>-SUMIF(Доп.расчеты!$3:$3,Свод!M$4,Доп.расчеты!241:241)</f>
        <v>0</v>
      </c>
    </row>
    <row r="198" spans="2:21" hidden="1" outlineLevel="1">
      <c r="B198" s="139" t="s">
        <v>91</v>
      </c>
      <c r="C198" s="140">
        <f>-SUMIF(Доп.расчеты!$3:$3,Свод!C$4,Доп.расчеты!242:242)</f>
        <v>0</v>
      </c>
      <c r="D198" s="140">
        <f>-SUMIF(Доп.расчеты!$3:$3,Свод!D$4,Доп.расчеты!242:242)</f>
        <v>0</v>
      </c>
      <c r="E198" s="140">
        <f>-SUMIF(Доп.расчеты!$3:$3,Свод!E$4,Доп.расчеты!242:242)</f>
        <v>0</v>
      </c>
      <c r="F198" s="140">
        <f>-SUMIF(Доп.расчеты!$3:$3,Свод!F$4,Доп.расчеты!242:242)</f>
        <v>0</v>
      </c>
      <c r="G198" s="140">
        <f>-SUMIF(Доп.расчеты!$3:$3,Свод!G$4,Доп.расчеты!242:242)</f>
        <v>0</v>
      </c>
      <c r="H198" s="140">
        <f>-SUMIF(Доп.расчеты!$3:$3,Свод!H$4,Доп.расчеты!242:242)</f>
        <v>0</v>
      </c>
      <c r="I198" s="140">
        <f>-SUMIF(Доп.расчеты!$3:$3,Свод!I$4,Доп.расчеты!242:242)</f>
        <v>0</v>
      </c>
      <c r="J198" s="140">
        <f>-SUMIF(Доп.расчеты!$3:$3,Свод!J$4,Доп.расчеты!242:242)</f>
        <v>0</v>
      </c>
      <c r="K198" s="140">
        <f>-SUMIF(Доп.расчеты!$3:$3,Свод!K$4,Доп.расчеты!242:242)</f>
        <v>0</v>
      </c>
      <c r="L198" s="140">
        <f>-SUMIF(Доп.расчеты!$3:$3,Свод!L$4,Доп.расчеты!242:242)</f>
        <v>0</v>
      </c>
      <c r="M198" s="140">
        <f>-SUMIF(Доп.расчеты!$3:$3,Свод!M$4,Доп.расчеты!242:242)</f>
        <v>0</v>
      </c>
    </row>
    <row r="199" spans="2:21" hidden="1" outlineLevel="1">
      <c r="B199" s="139" t="s">
        <v>92</v>
      </c>
      <c r="C199" s="140">
        <f>-SUMIF(Доп.расчеты!$3:$3,Свод!C$4,Доп.расчеты!243:243)</f>
        <v>0</v>
      </c>
      <c r="D199" s="140">
        <f>-SUMIF(Доп.расчеты!$3:$3,Свод!D$4,Доп.расчеты!243:243)</f>
        <v>0</v>
      </c>
      <c r="E199" s="140">
        <f>-SUMIF(Доп.расчеты!$3:$3,Свод!E$4,Доп.расчеты!243:243)</f>
        <v>0</v>
      </c>
      <c r="F199" s="140">
        <f>-SUMIF(Доп.расчеты!$3:$3,Свод!F$4,Доп.расчеты!243:243)</f>
        <v>0</v>
      </c>
      <c r="G199" s="140">
        <f>-SUMIF(Доп.расчеты!$3:$3,Свод!G$4,Доп.расчеты!243:243)</f>
        <v>0</v>
      </c>
      <c r="H199" s="140">
        <f>-SUMIF(Доп.расчеты!$3:$3,Свод!H$4,Доп.расчеты!243:243)</f>
        <v>0</v>
      </c>
      <c r="I199" s="140">
        <f>-SUMIF(Доп.расчеты!$3:$3,Свод!I$4,Доп.расчеты!243:243)</f>
        <v>0</v>
      </c>
      <c r="J199" s="140">
        <f>-SUMIF(Доп.расчеты!$3:$3,Свод!J$4,Доп.расчеты!243:243)</f>
        <v>0</v>
      </c>
      <c r="K199" s="140">
        <f>-SUMIF(Доп.расчеты!$3:$3,Свод!K$4,Доп.расчеты!243:243)</f>
        <v>0</v>
      </c>
      <c r="L199" s="140">
        <f>-SUMIF(Доп.расчеты!$3:$3,Свод!L$4,Доп.расчеты!243:243)</f>
        <v>0</v>
      </c>
      <c r="M199" s="140">
        <f>-SUMIF(Доп.расчеты!$3:$3,Свод!M$4,Доп.расчеты!243:243)</f>
        <v>0</v>
      </c>
    </row>
    <row r="200" spans="2:21" hidden="1" outlineLevel="1">
      <c r="B200" s="139" t="s">
        <v>93</v>
      </c>
      <c r="C200" s="140">
        <f>-SUMIF(Доп.расчеты!$3:$3,Свод!C$4,Доп.расчеты!244:244)</f>
        <v>0</v>
      </c>
      <c r="D200" s="140">
        <f>-SUMIF(Доп.расчеты!$3:$3,Свод!D$4,Доп.расчеты!244:244)</f>
        <v>0</v>
      </c>
      <c r="E200" s="140">
        <f>-SUMIF(Доп.расчеты!$3:$3,Свод!E$4,Доп.расчеты!244:244)</f>
        <v>0</v>
      </c>
      <c r="F200" s="140">
        <f>-SUMIF(Доп.расчеты!$3:$3,Свод!F$4,Доп.расчеты!244:244)</f>
        <v>0</v>
      </c>
      <c r="G200" s="140">
        <f>-SUMIF(Доп.расчеты!$3:$3,Свод!G$4,Доп.расчеты!244:244)</f>
        <v>0</v>
      </c>
      <c r="H200" s="140">
        <f>-SUMIF(Доп.расчеты!$3:$3,Свод!H$4,Доп.расчеты!244:244)</f>
        <v>0</v>
      </c>
      <c r="I200" s="140">
        <f>-SUMIF(Доп.расчеты!$3:$3,Свод!I$4,Доп.расчеты!244:244)</f>
        <v>0</v>
      </c>
      <c r="J200" s="140">
        <f>-SUMIF(Доп.расчеты!$3:$3,Свод!J$4,Доп.расчеты!244:244)</f>
        <v>0</v>
      </c>
      <c r="K200" s="140">
        <f>-SUMIF(Доп.расчеты!$3:$3,Свод!K$4,Доп.расчеты!244:244)</f>
        <v>0</v>
      </c>
      <c r="L200" s="140">
        <f>-SUMIF(Доп.расчеты!$3:$3,Свод!L$4,Доп.расчеты!244:244)</f>
        <v>0</v>
      </c>
      <c r="M200" s="140">
        <f>-SUMIF(Доп.расчеты!$3:$3,Свод!M$4,Доп.расчеты!244:244)</f>
        <v>0</v>
      </c>
    </row>
    <row r="201" spans="2:21" hidden="1" outlineLevel="1">
      <c r="B201" s="139" t="s">
        <v>94</v>
      </c>
      <c r="C201" s="140">
        <f>-SUMIF(Доп.расчеты!$3:$3,Свод!C$4,Доп.расчеты!245:245)</f>
        <v>0</v>
      </c>
      <c r="D201" s="140">
        <f>-SUMIF(Доп.расчеты!$3:$3,Свод!D$4,Доп.расчеты!245:245)</f>
        <v>0</v>
      </c>
      <c r="E201" s="140">
        <f>-SUMIF(Доп.расчеты!$3:$3,Свод!E$4,Доп.расчеты!245:245)</f>
        <v>0</v>
      </c>
      <c r="F201" s="140">
        <f>-SUMIF(Доп.расчеты!$3:$3,Свод!F$4,Доп.расчеты!245:245)</f>
        <v>0</v>
      </c>
      <c r="G201" s="140">
        <f>-SUMIF(Доп.расчеты!$3:$3,Свод!G$4,Доп.расчеты!245:245)</f>
        <v>0</v>
      </c>
      <c r="H201" s="140">
        <f>-SUMIF(Доп.расчеты!$3:$3,Свод!H$4,Доп.расчеты!245:245)</f>
        <v>0</v>
      </c>
      <c r="I201" s="140">
        <f>-SUMIF(Доп.расчеты!$3:$3,Свод!I$4,Доп.расчеты!245:245)</f>
        <v>0</v>
      </c>
      <c r="J201" s="140">
        <f>-SUMIF(Доп.расчеты!$3:$3,Свод!J$4,Доп.расчеты!245:245)</f>
        <v>0</v>
      </c>
      <c r="K201" s="140">
        <f>-SUMIF(Доп.расчеты!$3:$3,Свод!K$4,Доп.расчеты!245:245)</f>
        <v>0</v>
      </c>
      <c r="L201" s="140">
        <f>-SUMIF(Доп.расчеты!$3:$3,Свод!L$4,Доп.расчеты!245:245)</f>
        <v>0</v>
      </c>
      <c r="M201" s="140">
        <f>-SUMIF(Доп.расчеты!$3:$3,Свод!M$4,Доп.расчеты!245:245)</f>
        <v>0</v>
      </c>
    </row>
    <row r="202" spans="2:21" hidden="1" outlineLevel="1">
      <c r="B202" s="139" t="s">
        <v>95</v>
      </c>
      <c r="C202" s="140">
        <f>-SUMIF(Доп.расчеты!$3:$3,Свод!C$4,Доп.расчеты!246:246)</f>
        <v>0</v>
      </c>
      <c r="D202" s="140">
        <f>-SUMIF(Доп.расчеты!$3:$3,Свод!D$4,Доп.расчеты!246:246)</f>
        <v>0</v>
      </c>
      <c r="E202" s="140">
        <f>-SUMIF(Доп.расчеты!$3:$3,Свод!E$4,Доп.расчеты!246:246)</f>
        <v>0</v>
      </c>
      <c r="F202" s="140">
        <f>-SUMIF(Доп.расчеты!$3:$3,Свод!F$4,Доп.расчеты!246:246)</f>
        <v>0</v>
      </c>
      <c r="G202" s="140">
        <f>-SUMIF(Доп.расчеты!$3:$3,Свод!G$4,Доп.расчеты!246:246)</f>
        <v>0</v>
      </c>
      <c r="H202" s="140">
        <f>-SUMIF(Доп.расчеты!$3:$3,Свод!H$4,Доп.расчеты!246:246)</f>
        <v>0</v>
      </c>
      <c r="I202" s="140">
        <f>-SUMIF(Доп.расчеты!$3:$3,Свод!I$4,Доп.расчеты!246:246)</f>
        <v>0</v>
      </c>
      <c r="J202" s="140">
        <f>-SUMIF(Доп.расчеты!$3:$3,Свод!J$4,Доп.расчеты!246:246)</f>
        <v>0</v>
      </c>
      <c r="K202" s="140">
        <f>-SUMIF(Доп.расчеты!$3:$3,Свод!K$4,Доп.расчеты!246:246)</f>
        <v>0</v>
      </c>
      <c r="L202" s="140">
        <f>-SUMIF(Доп.расчеты!$3:$3,Свод!L$4,Доп.расчеты!246:246)</f>
        <v>0</v>
      </c>
      <c r="M202" s="140">
        <f>-SUMIF(Доп.расчеты!$3:$3,Свод!M$4,Доп.расчеты!246:246)</f>
        <v>0</v>
      </c>
    </row>
    <row r="203" spans="2:21" hidden="1" outlineLevel="1">
      <c r="B203" s="139" t="s">
        <v>96</v>
      </c>
      <c r="C203" s="140">
        <f>-SUMIF(Доп.расчеты!$3:$3,Свод!C$4,Доп.расчеты!247:247)</f>
        <v>0</v>
      </c>
      <c r="D203" s="140">
        <f>-SUMIF(Доп.расчеты!$3:$3,Свод!D$4,Доп.расчеты!247:247)</f>
        <v>0</v>
      </c>
      <c r="E203" s="140">
        <f>-SUMIF(Доп.расчеты!$3:$3,Свод!E$4,Доп.расчеты!247:247)</f>
        <v>0</v>
      </c>
      <c r="F203" s="140">
        <f>-SUMIF(Доп.расчеты!$3:$3,Свод!F$4,Доп.расчеты!247:247)</f>
        <v>0</v>
      </c>
      <c r="G203" s="140">
        <f>-SUMIF(Доп.расчеты!$3:$3,Свод!G$4,Доп.расчеты!247:247)</f>
        <v>0</v>
      </c>
      <c r="H203" s="140">
        <f>-SUMIF(Доп.расчеты!$3:$3,Свод!H$4,Доп.расчеты!247:247)</f>
        <v>0</v>
      </c>
      <c r="I203" s="140">
        <f>-SUMIF(Доп.расчеты!$3:$3,Свод!I$4,Доп.расчеты!247:247)</f>
        <v>0</v>
      </c>
      <c r="J203" s="140">
        <f>-SUMIF(Доп.расчеты!$3:$3,Свод!J$4,Доп.расчеты!247:247)</f>
        <v>0</v>
      </c>
      <c r="K203" s="140">
        <f>-SUMIF(Доп.расчеты!$3:$3,Свод!K$4,Доп.расчеты!247:247)</f>
        <v>0</v>
      </c>
      <c r="L203" s="140">
        <f>-SUMIF(Доп.расчеты!$3:$3,Свод!L$4,Доп.расчеты!247:247)</f>
        <v>0</v>
      </c>
      <c r="M203" s="140">
        <f>-SUMIF(Доп.расчеты!$3:$3,Свод!M$4,Доп.расчеты!247:247)</f>
        <v>0</v>
      </c>
    </row>
    <row r="204" spans="2:21" hidden="1" outlineLevel="1">
      <c r="B204" s="139" t="s">
        <v>97</v>
      </c>
      <c r="C204" s="140">
        <f>-SUMIF(Доп.расчеты!$3:$3,Свод!C$4,Доп.расчеты!248:248)</f>
        <v>0</v>
      </c>
      <c r="D204" s="140">
        <f>-SUMIF(Доп.расчеты!$3:$3,Свод!D$4,Доп.расчеты!248:248)</f>
        <v>0</v>
      </c>
      <c r="E204" s="140">
        <f>-SUMIF(Доп.расчеты!$3:$3,Свод!E$4,Доп.расчеты!248:248)</f>
        <v>0</v>
      </c>
      <c r="F204" s="140">
        <f>-SUMIF(Доп.расчеты!$3:$3,Свод!F$4,Доп.расчеты!248:248)</f>
        <v>0</v>
      </c>
      <c r="G204" s="140">
        <f>-SUMIF(Доп.расчеты!$3:$3,Свод!G$4,Доп.расчеты!248:248)</f>
        <v>0</v>
      </c>
      <c r="H204" s="140">
        <f>-SUMIF(Доп.расчеты!$3:$3,Свод!H$4,Доп.расчеты!248:248)</f>
        <v>0</v>
      </c>
      <c r="I204" s="140">
        <f>-SUMIF(Доп.расчеты!$3:$3,Свод!I$4,Доп.расчеты!248:248)</f>
        <v>0</v>
      </c>
      <c r="J204" s="140">
        <f>-SUMIF(Доп.расчеты!$3:$3,Свод!J$4,Доп.расчеты!248:248)</f>
        <v>0</v>
      </c>
      <c r="K204" s="140">
        <f>-SUMIF(Доп.расчеты!$3:$3,Свод!K$4,Доп.расчеты!248:248)</f>
        <v>0</v>
      </c>
      <c r="L204" s="140">
        <f>-SUMIF(Доп.расчеты!$3:$3,Свод!L$4,Доп.расчеты!248:248)</f>
        <v>0</v>
      </c>
      <c r="M204" s="140">
        <f>-SUMIF(Доп.расчеты!$3:$3,Свод!M$4,Доп.расчеты!248:248)</f>
        <v>0</v>
      </c>
    </row>
    <row r="205" spans="2:21" hidden="1" outlineLevel="1">
      <c r="B205" s="139" t="s">
        <v>98</v>
      </c>
      <c r="C205" s="140">
        <f>-SUMIF(Доп.расчеты!$3:$3,Свод!C$4,Доп.расчеты!249:249)</f>
        <v>0</v>
      </c>
      <c r="D205" s="140">
        <f>-SUMIF(Доп.расчеты!$3:$3,Свод!D$4,Доп.расчеты!249:249)</f>
        <v>0</v>
      </c>
      <c r="E205" s="140">
        <f>-SUMIF(Доп.расчеты!$3:$3,Свод!E$4,Доп.расчеты!249:249)</f>
        <v>0</v>
      </c>
      <c r="F205" s="140">
        <f>-SUMIF(Доп.расчеты!$3:$3,Свод!F$4,Доп.расчеты!249:249)</f>
        <v>0</v>
      </c>
      <c r="G205" s="140">
        <f>-SUMIF(Доп.расчеты!$3:$3,Свод!G$4,Доп.расчеты!249:249)</f>
        <v>0</v>
      </c>
      <c r="H205" s="140">
        <f>-SUMIF(Доп.расчеты!$3:$3,Свод!H$4,Доп.расчеты!249:249)</f>
        <v>0</v>
      </c>
      <c r="I205" s="140">
        <f>-SUMIF(Доп.расчеты!$3:$3,Свод!I$4,Доп.расчеты!249:249)</f>
        <v>0</v>
      </c>
      <c r="J205" s="140">
        <f>-SUMIF(Доп.расчеты!$3:$3,Свод!J$4,Доп.расчеты!249:249)</f>
        <v>0</v>
      </c>
      <c r="K205" s="140">
        <f>-SUMIF(Доп.расчеты!$3:$3,Свод!K$4,Доп.расчеты!249:249)</f>
        <v>0</v>
      </c>
      <c r="L205" s="140">
        <f>-SUMIF(Доп.расчеты!$3:$3,Свод!L$4,Доп.расчеты!249:249)</f>
        <v>0</v>
      </c>
      <c r="M205" s="140">
        <f>-SUMIF(Доп.расчеты!$3:$3,Свод!M$4,Доп.расчеты!249:249)</f>
        <v>0</v>
      </c>
    </row>
    <row r="206" spans="2:21" hidden="1" outlineLevel="1">
      <c r="B206" s="139" t="s">
        <v>99</v>
      </c>
      <c r="C206" s="140">
        <f>-SUMIF(Доп.расчеты!$3:$3,Свод!C$4,Доп.расчеты!250:250)</f>
        <v>0</v>
      </c>
      <c r="D206" s="140">
        <f>-SUMIF(Доп.расчеты!$3:$3,Свод!D$4,Доп.расчеты!250:250)</f>
        <v>0</v>
      </c>
      <c r="E206" s="140">
        <f>-SUMIF(Доп.расчеты!$3:$3,Свод!E$4,Доп.расчеты!250:250)</f>
        <v>0</v>
      </c>
      <c r="F206" s="140">
        <f>-SUMIF(Доп.расчеты!$3:$3,Свод!F$4,Доп.расчеты!250:250)</f>
        <v>0</v>
      </c>
      <c r="G206" s="140">
        <f>-SUMIF(Доп.расчеты!$3:$3,Свод!G$4,Доп.расчеты!250:250)</f>
        <v>0</v>
      </c>
      <c r="H206" s="140">
        <f>-SUMIF(Доп.расчеты!$3:$3,Свод!H$4,Доп.расчеты!250:250)</f>
        <v>0</v>
      </c>
      <c r="I206" s="140">
        <f>-SUMIF(Доп.расчеты!$3:$3,Свод!I$4,Доп.расчеты!250:250)</f>
        <v>0</v>
      </c>
      <c r="J206" s="140">
        <f>-SUMIF(Доп.расчеты!$3:$3,Свод!J$4,Доп.расчеты!250:250)</f>
        <v>0</v>
      </c>
      <c r="K206" s="140">
        <f>-SUMIF(Доп.расчеты!$3:$3,Свод!K$4,Доп.расчеты!250:250)</f>
        <v>0</v>
      </c>
      <c r="L206" s="140">
        <f>-SUMIF(Доп.расчеты!$3:$3,Свод!L$4,Доп.расчеты!250:250)</f>
        <v>0</v>
      </c>
      <c r="M206" s="140">
        <f>-SUMIF(Доп.расчеты!$3:$3,Свод!M$4,Доп.расчеты!250:250)</f>
        <v>0</v>
      </c>
    </row>
    <row r="207" spans="2:21" hidden="1" outlineLevel="1">
      <c r="B207" s="139" t="s">
        <v>100</v>
      </c>
      <c r="C207" s="140">
        <f>-SUMIF(Доп.расчеты!$3:$3,Свод!C$4,Доп.расчеты!251:251)</f>
        <v>0</v>
      </c>
      <c r="D207" s="140">
        <f>-SUMIF(Доп.расчеты!$3:$3,Свод!D$4,Доп.расчеты!251:251)</f>
        <v>0</v>
      </c>
      <c r="E207" s="140">
        <f>-SUMIF(Доп.расчеты!$3:$3,Свод!E$4,Доп.расчеты!251:251)</f>
        <v>0</v>
      </c>
      <c r="F207" s="140">
        <f>-SUMIF(Доп.расчеты!$3:$3,Свод!F$4,Доп.расчеты!251:251)</f>
        <v>0</v>
      </c>
      <c r="G207" s="140">
        <f>-SUMIF(Доп.расчеты!$3:$3,Свод!G$4,Доп.расчеты!251:251)</f>
        <v>0</v>
      </c>
      <c r="H207" s="140">
        <f>-SUMIF(Доп.расчеты!$3:$3,Свод!H$4,Доп.расчеты!251:251)</f>
        <v>0</v>
      </c>
      <c r="I207" s="140">
        <f>-SUMIF(Доп.расчеты!$3:$3,Свод!I$4,Доп.расчеты!251:251)</f>
        <v>0</v>
      </c>
      <c r="J207" s="140">
        <f>-SUMIF(Доп.расчеты!$3:$3,Свод!J$4,Доп.расчеты!251:251)</f>
        <v>0</v>
      </c>
      <c r="K207" s="140">
        <f>-SUMIF(Доп.расчеты!$3:$3,Свод!K$4,Доп.расчеты!251:251)</f>
        <v>0</v>
      </c>
      <c r="L207" s="140">
        <f>-SUMIF(Доп.расчеты!$3:$3,Свод!L$4,Доп.расчеты!251:251)</f>
        <v>0</v>
      </c>
      <c r="M207" s="140">
        <f>-SUMIF(Доп.расчеты!$3:$3,Свод!M$4,Доп.расчеты!251:251)</f>
        <v>0</v>
      </c>
    </row>
    <row r="208" spans="2:21" hidden="1" outlineLevel="1">
      <c r="B208" s="139" t="s">
        <v>101</v>
      </c>
      <c r="C208" s="140">
        <f>-SUMIF(Доп.расчеты!$3:$3,Свод!C$4,Доп.расчеты!252:252)</f>
        <v>0</v>
      </c>
      <c r="D208" s="140">
        <f>-SUMIF(Доп.расчеты!$3:$3,Свод!D$4,Доп.расчеты!252:252)</f>
        <v>0</v>
      </c>
      <c r="E208" s="140">
        <f>-SUMIF(Доп.расчеты!$3:$3,Свод!E$4,Доп.расчеты!252:252)</f>
        <v>0</v>
      </c>
      <c r="F208" s="140">
        <f>-SUMIF(Доп.расчеты!$3:$3,Свод!F$4,Доп.расчеты!252:252)</f>
        <v>0</v>
      </c>
      <c r="G208" s="140">
        <f>-SUMIF(Доп.расчеты!$3:$3,Свод!G$4,Доп.расчеты!252:252)</f>
        <v>0</v>
      </c>
      <c r="H208" s="140">
        <f>-SUMIF(Доп.расчеты!$3:$3,Свод!H$4,Доп.расчеты!252:252)</f>
        <v>0</v>
      </c>
      <c r="I208" s="140">
        <f>-SUMIF(Доп.расчеты!$3:$3,Свод!I$4,Доп.расчеты!252:252)</f>
        <v>0</v>
      </c>
      <c r="J208" s="140">
        <f>-SUMIF(Доп.расчеты!$3:$3,Свод!J$4,Доп.расчеты!252:252)</f>
        <v>0</v>
      </c>
      <c r="K208" s="140">
        <f>-SUMIF(Доп.расчеты!$3:$3,Свод!K$4,Доп.расчеты!252:252)</f>
        <v>0</v>
      </c>
      <c r="L208" s="140">
        <f>-SUMIF(Доп.расчеты!$3:$3,Свод!L$4,Доп.расчеты!252:252)</f>
        <v>0</v>
      </c>
      <c r="M208" s="140">
        <f>-SUMIF(Доп.расчеты!$3:$3,Свод!M$4,Доп.расчеты!252:252)</f>
        <v>0</v>
      </c>
    </row>
    <row r="209" spans="2:13" hidden="1" outlineLevel="1">
      <c r="B209" s="139" t="s">
        <v>102</v>
      </c>
      <c r="C209" s="140">
        <f>-SUMIF(Доп.расчеты!$3:$3,Свод!C$4,Доп.расчеты!253:253)</f>
        <v>0</v>
      </c>
      <c r="D209" s="140">
        <f>-SUMIF(Доп.расчеты!$3:$3,Свод!D$4,Доп.расчеты!253:253)</f>
        <v>0</v>
      </c>
      <c r="E209" s="140">
        <f>-SUMIF(Доп.расчеты!$3:$3,Свод!E$4,Доп.расчеты!253:253)</f>
        <v>0</v>
      </c>
      <c r="F209" s="140">
        <f>-SUMIF(Доп.расчеты!$3:$3,Свод!F$4,Доп.расчеты!253:253)</f>
        <v>0</v>
      </c>
      <c r="G209" s="140">
        <f>-SUMIF(Доп.расчеты!$3:$3,Свод!G$4,Доп.расчеты!253:253)</f>
        <v>0</v>
      </c>
      <c r="H209" s="140">
        <f>-SUMIF(Доп.расчеты!$3:$3,Свод!H$4,Доп.расчеты!253:253)</f>
        <v>0</v>
      </c>
      <c r="I209" s="140">
        <f>-SUMIF(Доп.расчеты!$3:$3,Свод!I$4,Доп.расчеты!253:253)</f>
        <v>0</v>
      </c>
      <c r="J209" s="140">
        <f>-SUMIF(Доп.расчеты!$3:$3,Свод!J$4,Доп.расчеты!253:253)</f>
        <v>0</v>
      </c>
      <c r="K209" s="140">
        <f>-SUMIF(Доп.расчеты!$3:$3,Свод!K$4,Доп.расчеты!253:253)</f>
        <v>0</v>
      </c>
      <c r="L209" s="140">
        <f>-SUMIF(Доп.расчеты!$3:$3,Свод!L$4,Доп.расчеты!253:253)</f>
        <v>0</v>
      </c>
      <c r="M209" s="140">
        <f>-SUMIF(Доп.расчеты!$3:$3,Свод!M$4,Доп.расчеты!253:253)</f>
        <v>0</v>
      </c>
    </row>
    <row r="210" spans="2:13" hidden="1" outlineLevel="1">
      <c r="B210" s="139" t="s">
        <v>103</v>
      </c>
      <c r="C210" s="140">
        <f>-SUMIF(Доп.расчеты!$3:$3,Свод!C$4,Доп.расчеты!254:254)</f>
        <v>0</v>
      </c>
      <c r="D210" s="140">
        <f>-SUMIF(Доп.расчеты!$3:$3,Свод!D$4,Доп.расчеты!254:254)</f>
        <v>0</v>
      </c>
      <c r="E210" s="140">
        <f>-SUMIF(Доп.расчеты!$3:$3,Свод!E$4,Доп.расчеты!254:254)</f>
        <v>0</v>
      </c>
      <c r="F210" s="140">
        <f>-SUMIF(Доп.расчеты!$3:$3,Свод!F$4,Доп.расчеты!254:254)</f>
        <v>0</v>
      </c>
      <c r="G210" s="140">
        <f>-SUMIF(Доп.расчеты!$3:$3,Свод!G$4,Доп.расчеты!254:254)</f>
        <v>0</v>
      </c>
      <c r="H210" s="140">
        <f>-SUMIF(Доп.расчеты!$3:$3,Свод!H$4,Доп.расчеты!254:254)</f>
        <v>0</v>
      </c>
      <c r="I210" s="140">
        <f>-SUMIF(Доп.расчеты!$3:$3,Свод!I$4,Доп.расчеты!254:254)</f>
        <v>0</v>
      </c>
      <c r="J210" s="140">
        <f>-SUMIF(Доп.расчеты!$3:$3,Свод!J$4,Доп.расчеты!254:254)</f>
        <v>0</v>
      </c>
      <c r="K210" s="140">
        <f>-SUMIF(Доп.расчеты!$3:$3,Свод!K$4,Доп.расчеты!254:254)</f>
        <v>0</v>
      </c>
      <c r="L210" s="140">
        <f>-SUMIF(Доп.расчеты!$3:$3,Свод!L$4,Доп.расчеты!254:254)</f>
        <v>0</v>
      </c>
      <c r="M210" s="140">
        <f>-SUMIF(Доп.расчеты!$3:$3,Свод!M$4,Доп.расчеты!254:254)</f>
        <v>0</v>
      </c>
    </row>
    <row r="211" spans="2:13" hidden="1" outlineLevel="1">
      <c r="B211" s="139" t="s">
        <v>104</v>
      </c>
      <c r="C211" s="140">
        <f>-SUMIF(Доп.расчеты!$3:$3,Свод!C$4,Доп.расчеты!255:255)</f>
        <v>0</v>
      </c>
      <c r="D211" s="140">
        <f>-SUMIF(Доп.расчеты!$3:$3,Свод!D$4,Доп.расчеты!255:255)</f>
        <v>0</v>
      </c>
      <c r="E211" s="140">
        <f>-SUMIF(Доп.расчеты!$3:$3,Свод!E$4,Доп.расчеты!255:255)</f>
        <v>0</v>
      </c>
      <c r="F211" s="140">
        <f>-SUMIF(Доп.расчеты!$3:$3,Свод!F$4,Доп.расчеты!255:255)</f>
        <v>0</v>
      </c>
      <c r="G211" s="140">
        <f>-SUMIF(Доп.расчеты!$3:$3,Свод!G$4,Доп.расчеты!255:255)</f>
        <v>0</v>
      </c>
      <c r="H211" s="140">
        <f>-SUMIF(Доп.расчеты!$3:$3,Свод!H$4,Доп.расчеты!255:255)</f>
        <v>0</v>
      </c>
      <c r="I211" s="140">
        <f>-SUMIF(Доп.расчеты!$3:$3,Свод!I$4,Доп.расчеты!255:255)</f>
        <v>0</v>
      </c>
      <c r="J211" s="140">
        <f>-SUMIF(Доп.расчеты!$3:$3,Свод!J$4,Доп.расчеты!255:255)</f>
        <v>0</v>
      </c>
      <c r="K211" s="140">
        <f>-SUMIF(Доп.расчеты!$3:$3,Свод!K$4,Доп.расчеты!255:255)</f>
        <v>0</v>
      </c>
      <c r="L211" s="140">
        <f>-SUMIF(Доп.расчеты!$3:$3,Свод!L$4,Доп.расчеты!255:255)</f>
        <v>0</v>
      </c>
      <c r="M211" s="140">
        <f>-SUMIF(Доп.расчеты!$3:$3,Свод!M$4,Доп.расчеты!255:255)</f>
        <v>0</v>
      </c>
    </row>
    <row r="212" spans="2:13" hidden="1" outlineLevel="1">
      <c r="B212" s="139" t="s">
        <v>105</v>
      </c>
      <c r="C212" s="140">
        <f>-SUMIF(Доп.расчеты!$3:$3,Свод!C$4,Доп.расчеты!256:256)</f>
        <v>0</v>
      </c>
      <c r="D212" s="140">
        <f>-SUMIF(Доп.расчеты!$3:$3,Свод!D$4,Доп.расчеты!256:256)</f>
        <v>0</v>
      </c>
      <c r="E212" s="140">
        <f>-SUMIF(Доп.расчеты!$3:$3,Свод!E$4,Доп.расчеты!256:256)</f>
        <v>0</v>
      </c>
      <c r="F212" s="140">
        <f>-SUMIF(Доп.расчеты!$3:$3,Свод!F$4,Доп.расчеты!256:256)</f>
        <v>0</v>
      </c>
      <c r="G212" s="140">
        <f>-SUMIF(Доп.расчеты!$3:$3,Свод!G$4,Доп.расчеты!256:256)</f>
        <v>0</v>
      </c>
      <c r="H212" s="140">
        <f>-SUMIF(Доп.расчеты!$3:$3,Свод!H$4,Доп.расчеты!256:256)</f>
        <v>0</v>
      </c>
      <c r="I212" s="140">
        <f>-SUMIF(Доп.расчеты!$3:$3,Свод!I$4,Доп.расчеты!256:256)</f>
        <v>0</v>
      </c>
      <c r="J212" s="140">
        <f>-SUMIF(Доп.расчеты!$3:$3,Свод!J$4,Доп.расчеты!256:256)</f>
        <v>0</v>
      </c>
      <c r="K212" s="140">
        <f>-SUMIF(Доп.расчеты!$3:$3,Свод!K$4,Доп.расчеты!256:256)</f>
        <v>0</v>
      </c>
      <c r="L212" s="140">
        <f>-SUMIF(Доп.расчеты!$3:$3,Свод!L$4,Доп.расчеты!256:256)</f>
        <v>0</v>
      </c>
      <c r="M212" s="140">
        <f>-SUMIF(Доп.расчеты!$3:$3,Свод!M$4,Доп.расчеты!256:256)</f>
        <v>0</v>
      </c>
    </row>
    <row r="213" spans="2:13" hidden="1" outlineLevel="1">
      <c r="B213" s="139" t="s">
        <v>106</v>
      </c>
      <c r="C213" s="140">
        <f>-SUMIF(Доп.расчеты!$3:$3,Свод!C$4,Доп.расчеты!257:257)</f>
        <v>0</v>
      </c>
      <c r="D213" s="140">
        <f>-SUMIF(Доп.расчеты!$3:$3,Свод!D$4,Доп.расчеты!257:257)</f>
        <v>0</v>
      </c>
      <c r="E213" s="140">
        <f>-SUMIF(Доп.расчеты!$3:$3,Свод!E$4,Доп.расчеты!257:257)</f>
        <v>0</v>
      </c>
      <c r="F213" s="140">
        <f>-SUMIF(Доп.расчеты!$3:$3,Свод!F$4,Доп.расчеты!257:257)</f>
        <v>0</v>
      </c>
      <c r="G213" s="140">
        <f>-SUMIF(Доп.расчеты!$3:$3,Свод!G$4,Доп.расчеты!257:257)</f>
        <v>0</v>
      </c>
      <c r="H213" s="140">
        <f>-SUMIF(Доп.расчеты!$3:$3,Свод!H$4,Доп.расчеты!257:257)</f>
        <v>0</v>
      </c>
      <c r="I213" s="140">
        <f>-SUMIF(Доп.расчеты!$3:$3,Свод!I$4,Доп.расчеты!257:257)</f>
        <v>0</v>
      </c>
      <c r="J213" s="140">
        <f>-SUMIF(Доп.расчеты!$3:$3,Свод!J$4,Доп.расчеты!257:257)</f>
        <v>0</v>
      </c>
      <c r="K213" s="140">
        <f>-SUMIF(Доп.расчеты!$3:$3,Свод!K$4,Доп.расчеты!257:257)</f>
        <v>0</v>
      </c>
      <c r="L213" s="140">
        <f>-SUMIF(Доп.расчеты!$3:$3,Свод!L$4,Доп.расчеты!257:257)</f>
        <v>0</v>
      </c>
      <c r="M213" s="140">
        <f>-SUMIF(Доп.расчеты!$3:$3,Свод!M$4,Доп.расчеты!257:257)</f>
        <v>0</v>
      </c>
    </row>
    <row r="214" spans="2:13" hidden="1" outlineLevel="1">
      <c r="B214" s="139" t="s">
        <v>107</v>
      </c>
      <c r="C214" s="140">
        <f>-SUMIF(Доп.расчеты!$3:$3,Свод!C$4,Доп.расчеты!258:258)</f>
        <v>0</v>
      </c>
      <c r="D214" s="140">
        <f>-SUMIF(Доп.расчеты!$3:$3,Свод!D$4,Доп.расчеты!258:258)</f>
        <v>0</v>
      </c>
      <c r="E214" s="140">
        <f>-SUMIF(Доп.расчеты!$3:$3,Свод!E$4,Доп.расчеты!258:258)</f>
        <v>0</v>
      </c>
      <c r="F214" s="140">
        <f>-SUMIF(Доп.расчеты!$3:$3,Свод!F$4,Доп.расчеты!258:258)</f>
        <v>0</v>
      </c>
      <c r="G214" s="140">
        <f>-SUMIF(Доп.расчеты!$3:$3,Свод!G$4,Доп.расчеты!258:258)</f>
        <v>0</v>
      </c>
      <c r="H214" s="140">
        <f>-SUMIF(Доп.расчеты!$3:$3,Свод!H$4,Доп.расчеты!258:258)</f>
        <v>0</v>
      </c>
      <c r="I214" s="140">
        <f>-SUMIF(Доп.расчеты!$3:$3,Свод!I$4,Доп.расчеты!258:258)</f>
        <v>0</v>
      </c>
      <c r="J214" s="140">
        <f>-SUMIF(Доп.расчеты!$3:$3,Свод!J$4,Доп.расчеты!258:258)</f>
        <v>0</v>
      </c>
      <c r="K214" s="140">
        <f>-SUMIF(Доп.расчеты!$3:$3,Свод!K$4,Доп.расчеты!258:258)</f>
        <v>0</v>
      </c>
      <c r="L214" s="140">
        <f>-SUMIF(Доп.расчеты!$3:$3,Свод!L$4,Доп.расчеты!258:258)</f>
        <v>0</v>
      </c>
      <c r="M214" s="140">
        <f>-SUMIF(Доп.расчеты!$3:$3,Свод!M$4,Доп.расчеты!258:258)</f>
        <v>0</v>
      </c>
    </row>
    <row r="215" spans="2:13" hidden="1" outlineLevel="1">
      <c r="B215" s="139" t="s">
        <v>108</v>
      </c>
      <c r="C215" s="140">
        <f>-SUMIF(Доп.расчеты!$3:$3,Свод!C$4,Доп.расчеты!259:259)</f>
        <v>0</v>
      </c>
      <c r="D215" s="140">
        <f>-SUMIF(Доп.расчеты!$3:$3,Свод!D$4,Доп.расчеты!259:259)</f>
        <v>0</v>
      </c>
      <c r="E215" s="140">
        <f>-SUMIF(Доп.расчеты!$3:$3,Свод!E$4,Доп.расчеты!259:259)</f>
        <v>0</v>
      </c>
      <c r="F215" s="140">
        <f>-SUMIF(Доп.расчеты!$3:$3,Свод!F$4,Доп.расчеты!259:259)</f>
        <v>0</v>
      </c>
      <c r="G215" s="140">
        <f>-SUMIF(Доп.расчеты!$3:$3,Свод!G$4,Доп.расчеты!259:259)</f>
        <v>0</v>
      </c>
      <c r="H215" s="140">
        <f>-SUMIF(Доп.расчеты!$3:$3,Свод!H$4,Доп.расчеты!259:259)</f>
        <v>0</v>
      </c>
      <c r="I215" s="140">
        <f>-SUMIF(Доп.расчеты!$3:$3,Свод!I$4,Доп.расчеты!259:259)</f>
        <v>0</v>
      </c>
      <c r="J215" s="140">
        <f>-SUMIF(Доп.расчеты!$3:$3,Свод!J$4,Доп.расчеты!259:259)</f>
        <v>0</v>
      </c>
      <c r="K215" s="140">
        <f>-SUMIF(Доп.расчеты!$3:$3,Свод!K$4,Доп.расчеты!259:259)</f>
        <v>0</v>
      </c>
      <c r="L215" s="140">
        <f>-SUMIF(Доп.расчеты!$3:$3,Свод!L$4,Доп.расчеты!259:259)</f>
        <v>0</v>
      </c>
      <c r="M215" s="140">
        <f>-SUMIF(Доп.расчеты!$3:$3,Свод!M$4,Доп.расчеты!259:259)</f>
        <v>0</v>
      </c>
    </row>
    <row r="216" spans="2:13" hidden="1" outlineLevel="1">
      <c r="B216" s="139" t="s">
        <v>109</v>
      </c>
      <c r="C216" s="140">
        <f>-SUMIF(Доп.расчеты!$3:$3,Свод!C$4,Доп.расчеты!260:260)</f>
        <v>0</v>
      </c>
      <c r="D216" s="140">
        <f>-SUMIF(Доп.расчеты!$3:$3,Свод!D$4,Доп.расчеты!260:260)</f>
        <v>0</v>
      </c>
      <c r="E216" s="140">
        <f>-SUMIF(Доп.расчеты!$3:$3,Свод!E$4,Доп.расчеты!260:260)</f>
        <v>0</v>
      </c>
      <c r="F216" s="140">
        <f>-SUMIF(Доп.расчеты!$3:$3,Свод!F$4,Доп.расчеты!260:260)</f>
        <v>0</v>
      </c>
      <c r="G216" s="140">
        <f>-SUMIF(Доп.расчеты!$3:$3,Свод!G$4,Доп.расчеты!260:260)</f>
        <v>0</v>
      </c>
      <c r="H216" s="140">
        <f>-SUMIF(Доп.расчеты!$3:$3,Свод!H$4,Доп.расчеты!260:260)</f>
        <v>0</v>
      </c>
      <c r="I216" s="140">
        <f>-SUMIF(Доп.расчеты!$3:$3,Свод!I$4,Доп.расчеты!260:260)</f>
        <v>0</v>
      </c>
      <c r="J216" s="140">
        <f>-SUMIF(Доп.расчеты!$3:$3,Свод!J$4,Доп.расчеты!260:260)</f>
        <v>0</v>
      </c>
      <c r="K216" s="140">
        <f>-SUMIF(Доп.расчеты!$3:$3,Свод!K$4,Доп.расчеты!260:260)</f>
        <v>0</v>
      </c>
      <c r="L216" s="140">
        <f>-SUMIF(Доп.расчеты!$3:$3,Свод!L$4,Доп.расчеты!260:260)</f>
        <v>0</v>
      </c>
      <c r="M216" s="140">
        <f>-SUMIF(Доп.расчеты!$3:$3,Свод!M$4,Доп.расчеты!260:260)</f>
        <v>0</v>
      </c>
    </row>
    <row r="217" spans="2:13" hidden="1" outlineLevel="1">
      <c r="B217" s="139" t="s">
        <v>110</v>
      </c>
      <c r="C217" s="140">
        <f>-SUMIF(Доп.расчеты!$3:$3,Свод!C$4,Доп.расчеты!261:261)</f>
        <v>0</v>
      </c>
      <c r="D217" s="140">
        <f>-SUMIF(Доп.расчеты!$3:$3,Свод!D$4,Доп.расчеты!261:261)</f>
        <v>0</v>
      </c>
      <c r="E217" s="140">
        <f>-SUMIF(Доп.расчеты!$3:$3,Свод!E$4,Доп.расчеты!261:261)</f>
        <v>0</v>
      </c>
      <c r="F217" s="140">
        <f>-SUMIF(Доп.расчеты!$3:$3,Свод!F$4,Доп.расчеты!261:261)</f>
        <v>0</v>
      </c>
      <c r="G217" s="140">
        <f>-SUMIF(Доп.расчеты!$3:$3,Свод!G$4,Доп.расчеты!261:261)</f>
        <v>0</v>
      </c>
      <c r="H217" s="140">
        <f>-SUMIF(Доп.расчеты!$3:$3,Свод!H$4,Доп.расчеты!261:261)</f>
        <v>0</v>
      </c>
      <c r="I217" s="140">
        <f>-SUMIF(Доп.расчеты!$3:$3,Свод!I$4,Доп.расчеты!261:261)</f>
        <v>0</v>
      </c>
      <c r="J217" s="140">
        <f>-SUMIF(Доп.расчеты!$3:$3,Свод!J$4,Доп.расчеты!261:261)</f>
        <v>0</v>
      </c>
      <c r="K217" s="140">
        <f>-SUMIF(Доп.расчеты!$3:$3,Свод!K$4,Доп.расчеты!261:261)</f>
        <v>0</v>
      </c>
      <c r="L217" s="140">
        <f>-SUMIF(Доп.расчеты!$3:$3,Свод!L$4,Доп.расчеты!261:261)</f>
        <v>0</v>
      </c>
      <c r="M217" s="140">
        <f>-SUMIF(Доп.расчеты!$3:$3,Свод!M$4,Доп.расчеты!261:261)</f>
        <v>0</v>
      </c>
    </row>
    <row r="218" spans="2:13" hidden="1" outlineLevel="1">
      <c r="B218" s="139" t="s">
        <v>111</v>
      </c>
      <c r="C218" s="140">
        <f>-SUMIF(Доп.расчеты!$3:$3,Свод!C$4,Доп.расчеты!262:262)</f>
        <v>0</v>
      </c>
      <c r="D218" s="140">
        <f>-SUMIF(Доп.расчеты!$3:$3,Свод!D$4,Доп.расчеты!262:262)</f>
        <v>0</v>
      </c>
      <c r="E218" s="140">
        <f>-SUMIF(Доп.расчеты!$3:$3,Свод!E$4,Доп.расчеты!262:262)</f>
        <v>0</v>
      </c>
      <c r="F218" s="140">
        <f>-SUMIF(Доп.расчеты!$3:$3,Свод!F$4,Доп.расчеты!262:262)</f>
        <v>0</v>
      </c>
      <c r="G218" s="140">
        <f>-SUMIF(Доп.расчеты!$3:$3,Свод!G$4,Доп.расчеты!262:262)</f>
        <v>0</v>
      </c>
      <c r="H218" s="140">
        <f>-SUMIF(Доп.расчеты!$3:$3,Свод!H$4,Доп.расчеты!262:262)</f>
        <v>0</v>
      </c>
      <c r="I218" s="140">
        <f>-SUMIF(Доп.расчеты!$3:$3,Свод!I$4,Доп.расчеты!262:262)</f>
        <v>0</v>
      </c>
      <c r="J218" s="140">
        <f>-SUMIF(Доп.расчеты!$3:$3,Свод!J$4,Доп.расчеты!262:262)</f>
        <v>0</v>
      </c>
      <c r="K218" s="140">
        <f>-SUMIF(Доп.расчеты!$3:$3,Свод!K$4,Доп.расчеты!262:262)</f>
        <v>0</v>
      </c>
      <c r="L218" s="140">
        <f>-SUMIF(Доп.расчеты!$3:$3,Свод!L$4,Доп.расчеты!262:262)</f>
        <v>0</v>
      </c>
      <c r="M218" s="140">
        <f>-SUMIF(Доп.расчеты!$3:$3,Свод!M$4,Доп.расчеты!262:262)</f>
        <v>0</v>
      </c>
    </row>
    <row r="219" spans="2:13" ht="17.25" customHeight="1" collapsed="1">
      <c r="B219" s="141" t="s">
        <v>243</v>
      </c>
      <c r="C219" s="142">
        <f>SUM(C220:C222)</f>
        <v>0</v>
      </c>
      <c r="D219" s="142">
        <f>SUM(D220:D222)</f>
        <v>0</v>
      </c>
      <c r="E219" s="142">
        <f>SUM(E220:E222)</f>
        <v>0</v>
      </c>
      <c r="F219" s="142">
        <f t="shared" ref="F219" si="31">SUM(F220:F222)</f>
        <v>0</v>
      </c>
      <c r="G219" s="142">
        <f t="shared" ref="G219" si="32">SUM(G220:G222)</f>
        <v>0</v>
      </c>
      <c r="H219" s="142">
        <f t="shared" ref="H219" si="33">SUM(H220:H222)</f>
        <v>0</v>
      </c>
      <c r="I219" s="142">
        <f t="shared" ref="I219" si="34">SUM(I220:I222)</f>
        <v>0</v>
      </c>
      <c r="J219" s="142">
        <f t="shared" ref="J219" si="35">SUM(J220:J222)</f>
        <v>0</v>
      </c>
      <c r="K219" s="142">
        <f>SUM(K220:K222)</f>
        <v>0</v>
      </c>
      <c r="L219" s="142">
        <f t="shared" ref="L219" si="36">SUM(L220:L222)</f>
        <v>0</v>
      </c>
      <c r="M219" s="142">
        <f t="shared" ref="M219" si="37">SUM(M220:M222)</f>
        <v>0</v>
      </c>
    </row>
    <row r="220" spans="2:13" hidden="1" outlineLevel="1">
      <c r="B220" s="139" t="s">
        <v>23</v>
      </c>
      <c r="C220" s="140">
        <f>-SUMIF(Доп.расчеты!$3:$3,Свод!C$4,Доп.расчеты!264:264)</f>
        <v>0</v>
      </c>
      <c r="D220" s="140">
        <f>-SUMIF(Доп.расчеты!$3:$3,Свод!D$4,Доп.расчеты!264:264)</f>
        <v>0</v>
      </c>
      <c r="E220" s="140">
        <f>-SUMIF(Доп.расчеты!$3:$3,Свод!E$4,Доп.расчеты!264:264)</f>
        <v>0</v>
      </c>
      <c r="F220" s="140">
        <f>-SUMIF(Доп.расчеты!$3:$3,Свод!F$4,Доп.расчеты!264:264)</f>
        <v>0</v>
      </c>
      <c r="G220" s="140">
        <f>-SUMIF(Доп.расчеты!$3:$3,Свод!G$4,Доп.расчеты!264:264)</f>
        <v>0</v>
      </c>
      <c r="H220" s="140">
        <f>-SUMIF(Доп.расчеты!$3:$3,Свод!H$4,Доп.расчеты!264:264)</f>
        <v>0</v>
      </c>
      <c r="I220" s="140">
        <f>-SUMIF(Доп.расчеты!$3:$3,Свод!I$4,Доп.расчеты!264:264)</f>
        <v>0</v>
      </c>
      <c r="J220" s="140">
        <f>-SUMIF(Доп.расчеты!$3:$3,Свод!J$4,Доп.расчеты!264:264)</f>
        <v>0</v>
      </c>
      <c r="K220" s="140">
        <f>-SUMIF(Доп.расчеты!$3:$3,Свод!K$4,Доп.расчеты!264:264)</f>
        <v>0</v>
      </c>
      <c r="L220" s="140">
        <f>-SUMIF(Доп.расчеты!$3:$3,Свод!L$4,Доп.расчеты!264:264)</f>
        <v>0</v>
      </c>
      <c r="M220" s="140">
        <f>-SUMIF(Доп.расчеты!$3:$3,Свод!M$4,Доп.расчеты!264:264)</f>
        <v>0</v>
      </c>
    </row>
    <row r="221" spans="2:13" hidden="1" outlineLevel="1">
      <c r="B221" s="139" t="s">
        <v>240</v>
      </c>
      <c r="C221" s="140">
        <f>-SUMIF(Доп.расчеты!$3:$3,Свод!C$4,Доп.расчеты!265:265)</f>
        <v>0</v>
      </c>
      <c r="D221" s="140">
        <f>-SUMIF(Доп.расчеты!$3:$3,Свод!D$4,Доп.расчеты!265:265)</f>
        <v>0</v>
      </c>
      <c r="E221" s="140">
        <f>-SUMIF(Доп.расчеты!$3:$3,Свод!E$4,Доп.расчеты!265:265)</f>
        <v>0</v>
      </c>
      <c r="F221" s="140">
        <f>-SUMIF(Доп.расчеты!$3:$3,Свод!F$4,Доп.расчеты!265:265)</f>
        <v>0</v>
      </c>
      <c r="G221" s="140">
        <f>-SUMIF(Доп.расчеты!$3:$3,Свод!G$4,Доп.расчеты!265:265)</f>
        <v>0</v>
      </c>
      <c r="H221" s="140">
        <f>-SUMIF(Доп.расчеты!$3:$3,Свод!H$4,Доп.расчеты!265:265)</f>
        <v>0</v>
      </c>
      <c r="I221" s="140">
        <f>-SUMIF(Доп.расчеты!$3:$3,Свод!I$4,Доп.расчеты!265:265)</f>
        <v>0</v>
      </c>
      <c r="J221" s="140">
        <f>-SUMIF(Доп.расчеты!$3:$3,Свод!J$4,Доп.расчеты!265:265)</f>
        <v>0</v>
      </c>
      <c r="K221" s="140">
        <f>-SUMIF(Доп.расчеты!$3:$3,Свод!K$4,Доп.расчеты!265:265)</f>
        <v>0</v>
      </c>
      <c r="L221" s="140">
        <f>-SUMIF(Доп.расчеты!$3:$3,Свод!L$4,Доп.расчеты!265:265)</f>
        <v>0</v>
      </c>
      <c r="M221" s="140">
        <f>-SUMIF(Доп.расчеты!$3:$3,Свод!M$4,Доп.расчеты!265:265)</f>
        <v>0</v>
      </c>
    </row>
    <row r="222" spans="2:13" hidden="1" outlineLevel="1">
      <c r="B222" s="139" t="s">
        <v>11</v>
      </c>
      <c r="C222" s="140">
        <f>-SUMIF(Доп.расчеты!$3:$3,Свод!C$4,Доп.расчеты!266:266)</f>
        <v>0</v>
      </c>
      <c r="D222" s="140">
        <f>-SUMIF(Доп.расчеты!$3:$3,Свод!D$4,Доп.расчеты!266:266)</f>
        <v>0</v>
      </c>
      <c r="E222" s="140">
        <f>-SUMIF(Доп.расчеты!$3:$3,Свод!E$4,Доп.расчеты!266:266)</f>
        <v>0</v>
      </c>
      <c r="F222" s="140">
        <f>-SUMIF(Доп.расчеты!$3:$3,Свод!F$4,Доп.расчеты!266:266)</f>
        <v>0</v>
      </c>
      <c r="G222" s="140">
        <f>-SUMIF(Доп.расчеты!$3:$3,Свод!G$4,Доп.расчеты!266:266)</f>
        <v>0</v>
      </c>
      <c r="H222" s="140">
        <f>-SUMIF(Доп.расчеты!$3:$3,Свод!H$4,Доп.расчеты!266:266)</f>
        <v>0</v>
      </c>
      <c r="I222" s="140">
        <f>-SUMIF(Доп.расчеты!$3:$3,Свод!I$4,Доп.расчеты!266:266)</f>
        <v>0</v>
      </c>
      <c r="J222" s="140">
        <f>-SUMIF(Доп.расчеты!$3:$3,Свод!J$4,Доп.расчеты!266:266)</f>
        <v>0</v>
      </c>
      <c r="K222" s="140">
        <f>-SUMIF(Доп.расчеты!$3:$3,Свод!K$4,Доп.расчеты!266:266)</f>
        <v>0</v>
      </c>
      <c r="L222" s="140">
        <f>-SUMIF(Доп.расчеты!$3:$3,Свод!L$4,Доп.расчеты!266:266)</f>
        <v>0</v>
      </c>
      <c r="M222" s="140">
        <f>-SUMIF(Доп.расчеты!$3:$3,Свод!M$4,Доп.расчеты!266:266)</f>
        <v>0</v>
      </c>
    </row>
    <row r="223" spans="2:13" collapsed="1">
      <c r="B223" s="141" t="s">
        <v>176</v>
      </c>
      <c r="C223" s="142">
        <f t="shared" ref="C223:I223" si="38">SUM(C224:C236)</f>
        <v>0</v>
      </c>
      <c r="D223" s="142">
        <f t="shared" si="38"/>
        <v>0</v>
      </c>
      <c r="E223" s="142">
        <f t="shared" si="38"/>
        <v>0</v>
      </c>
      <c r="F223" s="142">
        <f t="shared" si="38"/>
        <v>0</v>
      </c>
      <c r="G223" s="142">
        <f t="shared" si="38"/>
        <v>0</v>
      </c>
      <c r="H223" s="142">
        <f t="shared" si="38"/>
        <v>0</v>
      </c>
      <c r="I223" s="142">
        <f t="shared" si="38"/>
        <v>0</v>
      </c>
      <c r="J223" s="142">
        <f t="shared" ref="J223:M223" si="39">SUM(J224:J236)</f>
        <v>0</v>
      </c>
      <c r="K223" s="142">
        <f t="shared" si="39"/>
        <v>0</v>
      </c>
      <c r="L223" s="142">
        <f t="shared" si="39"/>
        <v>0</v>
      </c>
      <c r="M223" s="142">
        <f t="shared" si="39"/>
        <v>0</v>
      </c>
    </row>
    <row r="224" spans="2:13" hidden="1" outlineLevel="1">
      <c r="B224" s="139" t="s">
        <v>23</v>
      </c>
      <c r="C224" s="140">
        <f>-SUMIF(Доп.расчеты!$3:$3,Свод!C$4,Доп.расчеты!268:268)</f>
        <v>0</v>
      </c>
      <c r="D224" s="140">
        <f>-SUMIF(Доп.расчеты!$3:$3,Свод!D$4,Доп.расчеты!268:268)</f>
        <v>0</v>
      </c>
      <c r="E224" s="140">
        <f>-SUMIF(Доп.расчеты!$3:$3,Свод!E$4,Доп.расчеты!268:268)</f>
        <v>0</v>
      </c>
      <c r="F224" s="140">
        <f>-SUMIF(Доп.расчеты!$3:$3,Свод!F$4,Доп.расчеты!268:268)</f>
        <v>0</v>
      </c>
      <c r="G224" s="140">
        <f>-SUMIF(Доп.расчеты!$3:$3,Свод!G$4,Доп.расчеты!268:268)</f>
        <v>0</v>
      </c>
      <c r="H224" s="140">
        <f>-SUMIF(Доп.расчеты!$3:$3,Свод!H$4,Доп.расчеты!268:268)</f>
        <v>0</v>
      </c>
      <c r="I224" s="140">
        <f>-SUMIF(Доп.расчеты!$3:$3,Свод!I$4,Доп.расчеты!268:268)</f>
        <v>0</v>
      </c>
      <c r="J224" s="140">
        <f>-SUMIF(Доп.расчеты!$3:$3,Свод!J$4,Доп.расчеты!268:268)</f>
        <v>0</v>
      </c>
      <c r="K224" s="140">
        <f>-SUMIF(Доп.расчеты!$3:$3,Свод!K$4,Доп.расчеты!268:268)</f>
        <v>0</v>
      </c>
      <c r="L224" s="140">
        <f>-SUMIF(Доп.расчеты!$3:$3,Свод!L$4,Доп.расчеты!268:268)</f>
        <v>0</v>
      </c>
      <c r="M224" s="140">
        <f>-SUMIF(Доп.расчеты!$3:$3,Свод!M$4,Доп.расчеты!268:268)</f>
        <v>0</v>
      </c>
    </row>
    <row r="225" spans="2:13" hidden="1" outlineLevel="1">
      <c r="B225" s="139" t="s">
        <v>64</v>
      </c>
      <c r="C225" s="140">
        <f>-SUMIF(Доп.расчеты!$3:$3,Свод!C$4,Доп.расчеты!269:269)</f>
        <v>0</v>
      </c>
      <c r="D225" s="140">
        <f>-SUMIF(Доп.расчеты!$3:$3,Свод!D$4,Доп.расчеты!269:269)</f>
        <v>0</v>
      </c>
      <c r="E225" s="140">
        <f>-SUMIF(Доп.расчеты!$3:$3,Свод!E$4,Доп.расчеты!269:269)</f>
        <v>0</v>
      </c>
      <c r="F225" s="140">
        <f>-SUMIF(Доп.расчеты!$3:$3,Свод!F$4,Доп.расчеты!269:269)</f>
        <v>0</v>
      </c>
      <c r="G225" s="140">
        <f>-SUMIF(Доп.расчеты!$3:$3,Свод!G$4,Доп.расчеты!269:269)</f>
        <v>0</v>
      </c>
      <c r="H225" s="140">
        <f>-SUMIF(Доп.расчеты!$3:$3,Свод!H$4,Доп.расчеты!269:269)</f>
        <v>0</v>
      </c>
      <c r="I225" s="140">
        <f>-SUMIF(Доп.расчеты!$3:$3,Свод!I$4,Доп.расчеты!269:269)</f>
        <v>0</v>
      </c>
      <c r="J225" s="140">
        <f>-SUMIF(Доп.расчеты!$3:$3,Свод!J$4,Доп.расчеты!269:269)</f>
        <v>0</v>
      </c>
      <c r="K225" s="140">
        <f>-SUMIF(Доп.расчеты!$3:$3,Свод!K$4,Доп.расчеты!269:269)</f>
        <v>0</v>
      </c>
      <c r="L225" s="140">
        <f>-SUMIF(Доп.расчеты!$3:$3,Свод!L$4,Доп.расчеты!269:269)</f>
        <v>0</v>
      </c>
      <c r="M225" s="140">
        <f>-SUMIF(Доп.расчеты!$3:$3,Свод!M$4,Доп.расчеты!269:269)</f>
        <v>0</v>
      </c>
    </row>
    <row r="226" spans="2:13" hidden="1" outlineLevel="1">
      <c r="B226" s="139" t="s">
        <v>113</v>
      </c>
      <c r="C226" s="140">
        <f>-SUMIF(Доп.расчеты!$3:$3,Свод!C$4,Доп.расчеты!270:270)</f>
        <v>0</v>
      </c>
      <c r="D226" s="140">
        <f>-SUMIF(Доп.расчеты!$3:$3,Свод!D$4,Доп.расчеты!270:270)</f>
        <v>0</v>
      </c>
      <c r="E226" s="140">
        <f>-SUMIF(Доп.расчеты!$3:$3,Свод!E$4,Доп.расчеты!270:270)</f>
        <v>0</v>
      </c>
      <c r="F226" s="140">
        <f>-SUMIF(Доп.расчеты!$3:$3,Свод!F$4,Доп.расчеты!270:270)</f>
        <v>0</v>
      </c>
      <c r="G226" s="140">
        <f>-SUMIF(Доп.расчеты!$3:$3,Свод!G$4,Доп.расчеты!270:270)</f>
        <v>0</v>
      </c>
      <c r="H226" s="140">
        <f>-SUMIF(Доп.расчеты!$3:$3,Свод!H$4,Доп.расчеты!270:270)</f>
        <v>0</v>
      </c>
      <c r="I226" s="140">
        <f>-SUMIF(Доп.расчеты!$3:$3,Свод!I$4,Доп.расчеты!270:270)</f>
        <v>0</v>
      </c>
      <c r="J226" s="140">
        <f>-SUMIF(Доп.расчеты!$3:$3,Свод!J$4,Доп.расчеты!270:270)</f>
        <v>0</v>
      </c>
      <c r="K226" s="140">
        <f>-SUMIF(Доп.расчеты!$3:$3,Свод!K$4,Доп.расчеты!270:270)</f>
        <v>0</v>
      </c>
      <c r="L226" s="140">
        <f>-SUMIF(Доп.расчеты!$3:$3,Свод!L$4,Доп.расчеты!270:270)</f>
        <v>0</v>
      </c>
      <c r="M226" s="140">
        <f>-SUMIF(Доп.расчеты!$3:$3,Свод!M$4,Доп.расчеты!270:270)</f>
        <v>0</v>
      </c>
    </row>
    <row r="227" spans="2:13" hidden="1" outlineLevel="1">
      <c r="B227" s="139" t="s">
        <v>114</v>
      </c>
      <c r="C227" s="140">
        <f>-SUMIF(Доп.расчеты!$3:$3,Свод!C$4,Доп.расчеты!271:271)</f>
        <v>0</v>
      </c>
      <c r="D227" s="140">
        <f>-SUMIF(Доп.расчеты!$3:$3,Свод!D$4,Доп.расчеты!271:271)</f>
        <v>0</v>
      </c>
      <c r="E227" s="140">
        <f>-SUMIF(Доп.расчеты!$3:$3,Свод!E$4,Доп.расчеты!271:271)</f>
        <v>0</v>
      </c>
      <c r="F227" s="140">
        <f>-SUMIF(Доп.расчеты!$3:$3,Свод!F$4,Доп.расчеты!271:271)</f>
        <v>0</v>
      </c>
      <c r="G227" s="140">
        <f>-SUMIF(Доп.расчеты!$3:$3,Свод!G$4,Доп.расчеты!271:271)</f>
        <v>0</v>
      </c>
      <c r="H227" s="140">
        <f>-SUMIF(Доп.расчеты!$3:$3,Свод!H$4,Доп.расчеты!271:271)</f>
        <v>0</v>
      </c>
      <c r="I227" s="140">
        <f>-SUMIF(Доп.расчеты!$3:$3,Свод!I$4,Доп.расчеты!271:271)</f>
        <v>0</v>
      </c>
      <c r="J227" s="140">
        <f>-SUMIF(Доп.расчеты!$3:$3,Свод!J$4,Доп.расчеты!271:271)</f>
        <v>0</v>
      </c>
      <c r="K227" s="140">
        <f>-SUMIF(Доп.расчеты!$3:$3,Свод!K$4,Доп.расчеты!271:271)</f>
        <v>0</v>
      </c>
      <c r="L227" s="140">
        <f>-SUMIF(Доп.расчеты!$3:$3,Свод!L$4,Доп.расчеты!271:271)</f>
        <v>0</v>
      </c>
      <c r="M227" s="140">
        <f>-SUMIF(Доп.расчеты!$3:$3,Свод!M$4,Доп.расчеты!271:271)</f>
        <v>0</v>
      </c>
    </row>
    <row r="228" spans="2:13" hidden="1" outlineLevel="1">
      <c r="B228" s="139" t="s">
        <v>115</v>
      </c>
      <c r="C228" s="140">
        <f>-SUMIF(Доп.расчеты!$3:$3,Свод!C$4,Доп.расчеты!272:272)</f>
        <v>0</v>
      </c>
      <c r="D228" s="140">
        <f>-SUMIF(Доп.расчеты!$3:$3,Свод!D$4,Доп.расчеты!272:272)</f>
        <v>0</v>
      </c>
      <c r="E228" s="140">
        <f>-SUMIF(Доп.расчеты!$3:$3,Свод!E$4,Доп.расчеты!272:272)</f>
        <v>0</v>
      </c>
      <c r="F228" s="140">
        <f>-SUMIF(Доп.расчеты!$3:$3,Свод!F$4,Доп.расчеты!272:272)</f>
        <v>0</v>
      </c>
      <c r="G228" s="140">
        <f>-SUMIF(Доп.расчеты!$3:$3,Свод!G$4,Доп.расчеты!272:272)</f>
        <v>0</v>
      </c>
      <c r="H228" s="140">
        <f>-SUMIF(Доп.расчеты!$3:$3,Свод!H$4,Доп.расчеты!272:272)</f>
        <v>0</v>
      </c>
      <c r="I228" s="140">
        <f>-SUMIF(Доп.расчеты!$3:$3,Свод!I$4,Доп.расчеты!272:272)</f>
        <v>0</v>
      </c>
      <c r="J228" s="140">
        <f>-SUMIF(Доп.расчеты!$3:$3,Свод!J$4,Доп.расчеты!272:272)</f>
        <v>0</v>
      </c>
      <c r="K228" s="140">
        <f>-SUMIF(Доп.расчеты!$3:$3,Свод!K$4,Доп.расчеты!272:272)</f>
        <v>0</v>
      </c>
      <c r="L228" s="140">
        <f>-SUMIF(Доп.расчеты!$3:$3,Свод!L$4,Доп.расчеты!272:272)</f>
        <v>0</v>
      </c>
      <c r="M228" s="140">
        <f>-SUMIF(Доп.расчеты!$3:$3,Свод!M$4,Доп.расчеты!272:272)</f>
        <v>0</v>
      </c>
    </row>
    <row r="229" spans="2:13" hidden="1" outlineLevel="1">
      <c r="B229" s="139" t="s">
        <v>11</v>
      </c>
      <c r="C229" s="140">
        <f>-SUMIF(Доп.расчеты!$3:$3,Свод!C$4,Доп.расчеты!273:273)</f>
        <v>0</v>
      </c>
      <c r="D229" s="140">
        <f>-SUMIF(Доп.расчеты!$3:$3,Свод!D$4,Доп.расчеты!273:273)</f>
        <v>0</v>
      </c>
      <c r="E229" s="140">
        <f>-SUMIF(Доп.расчеты!$3:$3,Свод!E$4,Доп.расчеты!273:273)</f>
        <v>0</v>
      </c>
      <c r="F229" s="140">
        <f>-SUMIF(Доп.расчеты!$3:$3,Свод!F$4,Доп.расчеты!273:273)</f>
        <v>0</v>
      </c>
      <c r="G229" s="140">
        <f>-SUMIF(Доп.расчеты!$3:$3,Свод!G$4,Доп.расчеты!273:273)</f>
        <v>0</v>
      </c>
      <c r="H229" s="140">
        <f>-SUMIF(Доп.расчеты!$3:$3,Свод!H$4,Доп.расчеты!273:273)</f>
        <v>0</v>
      </c>
      <c r="I229" s="140">
        <f>-SUMIF(Доп.расчеты!$3:$3,Свод!I$4,Доп.расчеты!273:273)</f>
        <v>0</v>
      </c>
      <c r="J229" s="140">
        <f>-SUMIF(Доп.расчеты!$3:$3,Свод!J$4,Доп.расчеты!273:273)</f>
        <v>0</v>
      </c>
      <c r="K229" s="140">
        <f>-SUMIF(Доп.расчеты!$3:$3,Свод!K$4,Доп.расчеты!273:273)</f>
        <v>0</v>
      </c>
      <c r="L229" s="140">
        <f>-SUMIF(Доп.расчеты!$3:$3,Свод!L$4,Доп.расчеты!273:273)</f>
        <v>0</v>
      </c>
      <c r="M229" s="140">
        <f>-SUMIF(Доп.расчеты!$3:$3,Свод!M$4,Доп.расчеты!273:273)</f>
        <v>0</v>
      </c>
    </row>
    <row r="230" spans="2:13" hidden="1" outlineLevel="1">
      <c r="B230" s="139" t="s">
        <v>12</v>
      </c>
      <c r="C230" s="140">
        <f>-SUMIF(Доп.расчеты!$3:$3,Свод!C$4,Доп.расчеты!274:274)</f>
        <v>0</v>
      </c>
      <c r="D230" s="140">
        <f>-SUMIF(Доп.расчеты!$3:$3,Свод!D$4,Доп.расчеты!274:274)</f>
        <v>0</v>
      </c>
      <c r="E230" s="140">
        <f>-SUMIF(Доп.расчеты!$3:$3,Свод!E$4,Доп.расчеты!274:274)</f>
        <v>0</v>
      </c>
      <c r="F230" s="140">
        <f>-SUMIF(Доп.расчеты!$3:$3,Свод!F$4,Доп.расчеты!274:274)</f>
        <v>0</v>
      </c>
      <c r="G230" s="140">
        <f>-SUMIF(Доп.расчеты!$3:$3,Свод!G$4,Доп.расчеты!274:274)</f>
        <v>0</v>
      </c>
      <c r="H230" s="140">
        <f>-SUMIF(Доп.расчеты!$3:$3,Свод!H$4,Доп.расчеты!274:274)</f>
        <v>0</v>
      </c>
      <c r="I230" s="140">
        <f>-SUMIF(Доп.расчеты!$3:$3,Свод!I$4,Доп.расчеты!274:274)</f>
        <v>0</v>
      </c>
      <c r="J230" s="140">
        <f>-SUMIF(Доп.расчеты!$3:$3,Свод!J$4,Доп.расчеты!274:274)</f>
        <v>0</v>
      </c>
      <c r="K230" s="140">
        <f>-SUMIF(Доп.расчеты!$3:$3,Свод!K$4,Доп.расчеты!274:274)</f>
        <v>0</v>
      </c>
      <c r="L230" s="140">
        <f>-SUMIF(Доп.расчеты!$3:$3,Свод!L$4,Доп.расчеты!274:274)</f>
        <v>0</v>
      </c>
      <c r="M230" s="140">
        <f>-SUMIF(Доп.расчеты!$3:$3,Свод!M$4,Доп.расчеты!274:274)</f>
        <v>0</v>
      </c>
    </row>
    <row r="231" spans="2:13" hidden="1" outlineLevel="1">
      <c r="B231" s="139" t="s">
        <v>116</v>
      </c>
      <c r="C231" s="140">
        <f>-SUMIF(Доп.расчеты!$3:$3,Свод!C$4,Доп.расчеты!275:275)</f>
        <v>0</v>
      </c>
      <c r="D231" s="140">
        <f>-SUMIF(Доп.расчеты!$3:$3,Свод!D$4,Доп.расчеты!275:275)</f>
        <v>0</v>
      </c>
      <c r="E231" s="140">
        <f>-SUMIF(Доп.расчеты!$3:$3,Свод!E$4,Доп.расчеты!275:275)</f>
        <v>0</v>
      </c>
      <c r="F231" s="140">
        <f>-SUMIF(Доп.расчеты!$3:$3,Свод!F$4,Доп.расчеты!275:275)</f>
        <v>0</v>
      </c>
      <c r="G231" s="140">
        <f>-SUMIF(Доп.расчеты!$3:$3,Свод!G$4,Доп.расчеты!275:275)</f>
        <v>0</v>
      </c>
      <c r="H231" s="140">
        <f>-SUMIF(Доп.расчеты!$3:$3,Свод!H$4,Доп.расчеты!275:275)</f>
        <v>0</v>
      </c>
      <c r="I231" s="140">
        <f>-SUMIF(Доп.расчеты!$3:$3,Свод!I$4,Доп.расчеты!275:275)</f>
        <v>0</v>
      </c>
      <c r="J231" s="140">
        <f>-SUMIF(Доп.расчеты!$3:$3,Свод!J$4,Доп.расчеты!275:275)</f>
        <v>0</v>
      </c>
      <c r="K231" s="140">
        <f>-SUMIF(Доп.расчеты!$3:$3,Свод!K$4,Доп.расчеты!275:275)</f>
        <v>0</v>
      </c>
      <c r="L231" s="140">
        <f>-SUMIF(Доп.расчеты!$3:$3,Свод!L$4,Доп.расчеты!275:275)</f>
        <v>0</v>
      </c>
      <c r="M231" s="140">
        <f>-SUMIF(Доп.расчеты!$3:$3,Свод!M$4,Доп.расчеты!275:275)</f>
        <v>0</v>
      </c>
    </row>
    <row r="232" spans="2:13" hidden="1" outlineLevel="1">
      <c r="B232" s="139" t="s">
        <v>24</v>
      </c>
      <c r="C232" s="140">
        <f>-SUMIF(Доп.расчеты!$3:$3,Свод!C$4,Доп.расчеты!276:276)</f>
        <v>0</v>
      </c>
      <c r="D232" s="140">
        <f>-SUMIF(Доп.расчеты!$3:$3,Свод!D$4,Доп.расчеты!276:276)</f>
        <v>0</v>
      </c>
      <c r="E232" s="140">
        <f>-SUMIF(Доп.расчеты!$3:$3,Свод!E$4,Доп.расчеты!276:276)</f>
        <v>0</v>
      </c>
      <c r="F232" s="140">
        <f>-SUMIF(Доп.расчеты!$3:$3,Свод!F$4,Доп.расчеты!276:276)</f>
        <v>0</v>
      </c>
      <c r="G232" s="140">
        <f>-SUMIF(Доп.расчеты!$3:$3,Свод!G$4,Доп.расчеты!276:276)</f>
        <v>0</v>
      </c>
      <c r="H232" s="140">
        <f>-SUMIF(Доп.расчеты!$3:$3,Свод!H$4,Доп.расчеты!276:276)</f>
        <v>0</v>
      </c>
      <c r="I232" s="140">
        <f>-SUMIF(Доп.расчеты!$3:$3,Свод!I$4,Доп.расчеты!276:276)</f>
        <v>0</v>
      </c>
      <c r="J232" s="140">
        <f>-SUMIF(Доп.расчеты!$3:$3,Свод!J$4,Доп.расчеты!276:276)</f>
        <v>0</v>
      </c>
      <c r="K232" s="140">
        <f>-SUMIF(Доп.расчеты!$3:$3,Свод!K$4,Доп.расчеты!276:276)</f>
        <v>0</v>
      </c>
      <c r="L232" s="140">
        <f>-SUMIF(Доп.расчеты!$3:$3,Свод!L$4,Доп.расчеты!276:276)</f>
        <v>0</v>
      </c>
      <c r="M232" s="140">
        <f>-SUMIF(Доп.расчеты!$3:$3,Свод!M$4,Доп.расчеты!276:276)</f>
        <v>0</v>
      </c>
    </row>
    <row r="233" spans="2:13" hidden="1" outlineLevel="1">
      <c r="B233" s="139" t="s">
        <v>25</v>
      </c>
      <c r="C233" s="140">
        <f>-SUMIF(Доп.расчеты!$3:$3,Свод!C$4,Доп.расчеты!277:277)</f>
        <v>0</v>
      </c>
      <c r="D233" s="140">
        <f>-SUMIF(Доп.расчеты!$3:$3,Свод!D$4,Доп.расчеты!277:277)</f>
        <v>0</v>
      </c>
      <c r="E233" s="140">
        <f>-SUMIF(Доп.расчеты!$3:$3,Свод!E$4,Доп.расчеты!277:277)</f>
        <v>0</v>
      </c>
      <c r="F233" s="140">
        <f>-SUMIF(Доп.расчеты!$3:$3,Свод!F$4,Доп.расчеты!277:277)</f>
        <v>0</v>
      </c>
      <c r="G233" s="140">
        <f>-SUMIF(Доп.расчеты!$3:$3,Свод!G$4,Доп.расчеты!277:277)</f>
        <v>0</v>
      </c>
      <c r="H233" s="140">
        <f>-SUMIF(Доп.расчеты!$3:$3,Свод!H$4,Доп.расчеты!277:277)</f>
        <v>0</v>
      </c>
      <c r="I233" s="140">
        <f>-SUMIF(Доп.расчеты!$3:$3,Свод!I$4,Доп.расчеты!277:277)</f>
        <v>0</v>
      </c>
      <c r="J233" s="140">
        <f>-SUMIF(Доп.расчеты!$3:$3,Свод!J$4,Доп.расчеты!277:277)</f>
        <v>0</v>
      </c>
      <c r="K233" s="140">
        <f>-SUMIF(Доп.расчеты!$3:$3,Свод!K$4,Доп.расчеты!277:277)</f>
        <v>0</v>
      </c>
      <c r="L233" s="140">
        <f>-SUMIF(Доп.расчеты!$3:$3,Свод!L$4,Доп.расчеты!277:277)</f>
        <v>0</v>
      </c>
      <c r="M233" s="140">
        <f>-SUMIF(Доп.расчеты!$3:$3,Свод!M$4,Доп.расчеты!277:277)</f>
        <v>0</v>
      </c>
    </row>
    <row r="234" spans="2:13" hidden="1" outlineLevel="1">
      <c r="B234" s="139" t="s">
        <v>14</v>
      </c>
      <c r="C234" s="140">
        <f>-SUMIF(Доп.расчеты!$3:$3,Свод!C$4,Доп.расчеты!278:278)</f>
        <v>0</v>
      </c>
      <c r="D234" s="140">
        <f>-SUMIF(Доп.расчеты!$3:$3,Свод!D$4,Доп.расчеты!278:278)</f>
        <v>0</v>
      </c>
      <c r="E234" s="140">
        <f>-SUMIF(Доп.расчеты!$3:$3,Свод!E$4,Доп.расчеты!278:278)</f>
        <v>0</v>
      </c>
      <c r="F234" s="140">
        <f>-SUMIF(Доп.расчеты!$3:$3,Свод!F$4,Доп.расчеты!278:278)</f>
        <v>0</v>
      </c>
      <c r="G234" s="140">
        <f>-SUMIF(Доп.расчеты!$3:$3,Свод!G$4,Доп.расчеты!278:278)</f>
        <v>0</v>
      </c>
      <c r="H234" s="140">
        <f>-SUMIF(Доп.расчеты!$3:$3,Свод!H$4,Доп.расчеты!278:278)</f>
        <v>0</v>
      </c>
      <c r="I234" s="140">
        <f>-SUMIF(Доп.расчеты!$3:$3,Свод!I$4,Доп.расчеты!278:278)</f>
        <v>0</v>
      </c>
      <c r="J234" s="140">
        <f>-SUMIF(Доп.расчеты!$3:$3,Свод!J$4,Доп.расчеты!278:278)</f>
        <v>0</v>
      </c>
      <c r="K234" s="140">
        <f>-SUMIF(Доп.расчеты!$3:$3,Свод!K$4,Доп.расчеты!278:278)</f>
        <v>0</v>
      </c>
      <c r="L234" s="140">
        <f>-SUMIF(Доп.расчеты!$3:$3,Свод!L$4,Доп.расчеты!278:278)</f>
        <v>0</v>
      </c>
      <c r="M234" s="140">
        <f>-SUMIF(Доп.расчеты!$3:$3,Свод!M$4,Доп.расчеты!278:278)</f>
        <v>0</v>
      </c>
    </row>
    <row r="235" spans="2:13" hidden="1" outlineLevel="1">
      <c r="B235" s="139" t="s">
        <v>117</v>
      </c>
      <c r="C235" s="140">
        <f>-SUMIF(Доп.расчеты!$3:$3,Свод!C$4,Доп.расчеты!279:279)</f>
        <v>0</v>
      </c>
      <c r="D235" s="140">
        <f>-SUMIF(Доп.расчеты!$3:$3,Свод!D$4,Доп.расчеты!279:279)</f>
        <v>0</v>
      </c>
      <c r="E235" s="140">
        <f>-SUMIF(Доп.расчеты!$3:$3,Свод!E$4,Доп.расчеты!279:279)</f>
        <v>0</v>
      </c>
      <c r="F235" s="140">
        <f>-SUMIF(Доп.расчеты!$3:$3,Свод!F$4,Доп.расчеты!279:279)</f>
        <v>0</v>
      </c>
      <c r="G235" s="140">
        <f>-SUMIF(Доп.расчеты!$3:$3,Свод!G$4,Доп.расчеты!279:279)</f>
        <v>0</v>
      </c>
      <c r="H235" s="140">
        <f>-SUMIF(Доп.расчеты!$3:$3,Свод!H$4,Доп.расчеты!279:279)</f>
        <v>0</v>
      </c>
      <c r="I235" s="140">
        <f>-SUMIF(Доп.расчеты!$3:$3,Свод!I$4,Доп.расчеты!279:279)</f>
        <v>0</v>
      </c>
      <c r="J235" s="140">
        <f>-SUMIF(Доп.расчеты!$3:$3,Свод!J$4,Доп.расчеты!279:279)</f>
        <v>0</v>
      </c>
      <c r="K235" s="140">
        <f>-SUMIF(Доп.расчеты!$3:$3,Свод!K$4,Доп.расчеты!279:279)</f>
        <v>0</v>
      </c>
      <c r="L235" s="140">
        <f>-SUMIF(Доп.расчеты!$3:$3,Свод!L$4,Доп.расчеты!279:279)</f>
        <v>0</v>
      </c>
      <c r="M235" s="140">
        <f>-SUMIF(Доп.расчеты!$3:$3,Свод!M$4,Доп.расчеты!279:279)</f>
        <v>0</v>
      </c>
    </row>
    <row r="236" spans="2:13" hidden="1" outlineLevel="1">
      <c r="B236" s="139" t="s">
        <v>118</v>
      </c>
      <c r="C236" s="140">
        <f>-SUMIF(Доп.расчеты!$3:$3,Свод!C$4,Доп.расчеты!280:280)</f>
        <v>0</v>
      </c>
      <c r="D236" s="140">
        <f>-SUMIF(Доп.расчеты!$3:$3,Свод!D$4,Доп.расчеты!280:280)</f>
        <v>0</v>
      </c>
      <c r="E236" s="140">
        <f>-SUMIF(Доп.расчеты!$3:$3,Свод!E$4,Доп.расчеты!280:280)</f>
        <v>0</v>
      </c>
      <c r="F236" s="140">
        <f>-SUMIF(Доп.расчеты!$3:$3,Свод!F$4,Доп.расчеты!280:280)</f>
        <v>0</v>
      </c>
      <c r="G236" s="140">
        <f>-SUMIF(Доп.расчеты!$3:$3,Свод!G$4,Доп.расчеты!280:280)</f>
        <v>0</v>
      </c>
      <c r="H236" s="140">
        <f>-SUMIF(Доп.расчеты!$3:$3,Свод!H$4,Доп.расчеты!280:280)</f>
        <v>0</v>
      </c>
      <c r="I236" s="140">
        <f>-SUMIF(Доп.расчеты!$3:$3,Свод!I$4,Доп.расчеты!280:280)</f>
        <v>0</v>
      </c>
      <c r="J236" s="140">
        <f>-SUMIF(Доп.расчеты!$3:$3,Свод!J$4,Доп.расчеты!280:280)</f>
        <v>0</v>
      </c>
      <c r="K236" s="140">
        <f>-SUMIF(Доп.расчеты!$3:$3,Свод!K$4,Доп.расчеты!280:280)</f>
        <v>0</v>
      </c>
      <c r="L236" s="140">
        <f>-SUMIF(Доп.расчеты!$3:$3,Свод!L$4,Доп.расчеты!280:280)</f>
        <v>0</v>
      </c>
      <c r="M236" s="140">
        <f>-SUMIF(Доп.расчеты!$3:$3,Свод!M$4,Доп.расчеты!280:280)</f>
        <v>0</v>
      </c>
    </row>
    <row r="237" spans="2:13" ht="17" collapsed="1">
      <c r="B237" s="158" t="s">
        <v>130</v>
      </c>
      <c r="C237" s="159"/>
      <c r="D237" s="159"/>
      <c r="E237" s="159"/>
      <c r="F237" s="159"/>
      <c r="G237" s="159"/>
      <c r="H237" s="159"/>
      <c r="I237" s="159"/>
      <c r="J237" s="159"/>
      <c r="K237" s="159"/>
      <c r="L237" s="159"/>
      <c r="M237" s="159"/>
    </row>
    <row r="238" spans="2:13">
      <c r="B238" s="141" t="s">
        <v>242</v>
      </c>
      <c r="C238" s="142">
        <f>SUM(C239:C262)</f>
        <v>0</v>
      </c>
      <c r="D238" s="142">
        <f t="shared" ref="D238:M238" si="40">SUM(D239:D262)</f>
        <v>0</v>
      </c>
      <c r="E238" s="142">
        <f>SUM(E239:E262)</f>
        <v>0</v>
      </c>
      <c r="F238" s="142">
        <f t="shared" si="40"/>
        <v>0</v>
      </c>
      <c r="G238" s="142">
        <f t="shared" si="40"/>
        <v>0</v>
      </c>
      <c r="H238" s="142">
        <f t="shared" si="40"/>
        <v>0</v>
      </c>
      <c r="I238" s="142">
        <f t="shared" si="40"/>
        <v>0</v>
      </c>
      <c r="J238" s="142">
        <f t="shared" si="40"/>
        <v>0</v>
      </c>
      <c r="K238" s="142">
        <f t="shared" si="40"/>
        <v>0</v>
      </c>
      <c r="L238" s="142">
        <f t="shared" si="40"/>
        <v>0</v>
      </c>
      <c r="M238" s="142">
        <f t="shared" si="40"/>
        <v>0</v>
      </c>
    </row>
    <row r="239" spans="2:13" hidden="1" outlineLevel="1">
      <c r="B239" s="160" t="s">
        <v>88</v>
      </c>
      <c r="C239" s="140">
        <f>-SUMIF(Доп.расчеты!$3:$3,Свод!C$4,Доп.расчеты!80:80)</f>
        <v>0</v>
      </c>
      <c r="D239" s="140">
        <f>-SUMIF(Доп.расчеты!$3:$3,Свод!D$4,Доп.расчеты!80:80)</f>
        <v>0</v>
      </c>
      <c r="E239" s="140">
        <f>-SUMIF(Доп.расчеты!$3:$3,Свод!E$4,Доп.расчеты!80:80)</f>
        <v>0</v>
      </c>
      <c r="F239" s="140">
        <f>-SUMIF(Доп.расчеты!$3:$3,Свод!F$4,Доп.расчеты!80:80)</f>
        <v>0</v>
      </c>
      <c r="G239" s="140">
        <f>-SUMIF(Доп.расчеты!$3:$3,Свод!G$4,Доп.расчеты!80:80)</f>
        <v>0</v>
      </c>
      <c r="H239" s="140">
        <f>-SUMIF(Доп.расчеты!$3:$3,Свод!H$4,Доп.расчеты!80:80)</f>
        <v>0</v>
      </c>
      <c r="I239" s="140">
        <f>-SUMIF(Доп.расчеты!$3:$3,Свод!I$4,Доп.расчеты!80:80)</f>
        <v>0</v>
      </c>
      <c r="J239" s="140">
        <f>-SUMIF(Доп.расчеты!$3:$3,Свод!J$4,Доп.расчеты!80:80)</f>
        <v>0</v>
      </c>
      <c r="K239" s="140">
        <f>-SUMIF(Доп.расчеты!$3:$3,Свод!K$4,Доп.расчеты!80:80)</f>
        <v>0</v>
      </c>
      <c r="L239" s="140">
        <f>-SUMIF(Доп.расчеты!$3:$3,Свод!L$4,Доп.расчеты!80:80)</f>
        <v>0</v>
      </c>
      <c r="M239" s="140">
        <f>-SUMIF(Доп.расчеты!$3:$3,Свод!M$4,Доп.расчеты!80:80)</f>
        <v>0</v>
      </c>
    </row>
    <row r="240" spans="2:13" hidden="1" outlineLevel="1">
      <c r="B240" s="160" t="s">
        <v>89</v>
      </c>
      <c r="C240" s="140">
        <f>-SUMIF(Доп.расчеты!$3:$3,Свод!C$4,Доп.расчеты!81:81)</f>
        <v>0</v>
      </c>
      <c r="D240" s="140">
        <f>-SUMIF(Доп.расчеты!$3:$3,Свод!D$4,Доп.расчеты!81:81)</f>
        <v>0</v>
      </c>
      <c r="E240" s="140">
        <f>-SUMIF(Доп.расчеты!$3:$3,Свод!E$4,Доп.расчеты!81:81)</f>
        <v>0</v>
      </c>
      <c r="F240" s="140">
        <f>-SUMIF(Доп.расчеты!$3:$3,Свод!F$4,Доп.расчеты!81:81)</f>
        <v>0</v>
      </c>
      <c r="G240" s="140">
        <f>-SUMIF(Доп.расчеты!$3:$3,Свод!G$4,Доп.расчеты!81:81)</f>
        <v>0</v>
      </c>
      <c r="H240" s="140">
        <f>-SUMIF(Доп.расчеты!$3:$3,Свод!H$4,Доп.расчеты!81:81)</f>
        <v>0</v>
      </c>
      <c r="I240" s="140">
        <f>-SUMIF(Доп.расчеты!$3:$3,Свод!I$4,Доп.расчеты!81:81)</f>
        <v>0</v>
      </c>
      <c r="J240" s="140">
        <f>-SUMIF(Доп.расчеты!$3:$3,Свод!J$4,Доп.расчеты!81:81)</f>
        <v>0</v>
      </c>
      <c r="K240" s="140">
        <f>-SUMIF(Доп.расчеты!$3:$3,Свод!K$4,Доп.расчеты!81:81)</f>
        <v>0</v>
      </c>
      <c r="L240" s="140">
        <f>-SUMIF(Доп.расчеты!$3:$3,Свод!L$4,Доп.расчеты!81:81)</f>
        <v>0</v>
      </c>
      <c r="M240" s="140">
        <f>-SUMIF(Доп.расчеты!$3:$3,Свод!M$4,Доп.расчеты!81:81)</f>
        <v>0</v>
      </c>
    </row>
    <row r="241" spans="2:13" hidden="1" outlineLevel="1">
      <c r="B241" s="160" t="s">
        <v>90</v>
      </c>
      <c r="C241" s="140">
        <f>-SUMIF(Доп.расчеты!$3:$3,Свод!C$4,Доп.расчеты!82:82)</f>
        <v>0</v>
      </c>
      <c r="D241" s="140">
        <f>-SUMIF(Доп.расчеты!$3:$3,Свод!D$4,Доп.расчеты!82:82)</f>
        <v>0</v>
      </c>
      <c r="E241" s="140">
        <f>-SUMIF(Доп.расчеты!$3:$3,Свод!E$4,Доп.расчеты!82:82)</f>
        <v>0</v>
      </c>
      <c r="F241" s="140">
        <f>-SUMIF(Доп.расчеты!$3:$3,Свод!F$4,Доп.расчеты!82:82)</f>
        <v>0</v>
      </c>
      <c r="G241" s="140">
        <f>-SUMIF(Доп.расчеты!$3:$3,Свод!G$4,Доп.расчеты!82:82)</f>
        <v>0</v>
      </c>
      <c r="H241" s="140">
        <f>-SUMIF(Доп.расчеты!$3:$3,Свод!H$4,Доп.расчеты!82:82)</f>
        <v>0</v>
      </c>
      <c r="I241" s="140">
        <f>-SUMIF(Доп.расчеты!$3:$3,Свод!I$4,Доп.расчеты!82:82)</f>
        <v>0</v>
      </c>
      <c r="J241" s="140">
        <f>-SUMIF(Доп.расчеты!$3:$3,Свод!J$4,Доп.расчеты!82:82)</f>
        <v>0</v>
      </c>
      <c r="K241" s="140">
        <f>-SUMIF(Доп.расчеты!$3:$3,Свод!K$4,Доп.расчеты!82:82)</f>
        <v>0</v>
      </c>
      <c r="L241" s="140">
        <f>-SUMIF(Доп.расчеты!$3:$3,Свод!L$4,Доп.расчеты!82:82)</f>
        <v>0</v>
      </c>
      <c r="M241" s="140">
        <f>-SUMIF(Доп.расчеты!$3:$3,Свод!M$4,Доп.расчеты!82:82)</f>
        <v>0</v>
      </c>
    </row>
    <row r="242" spans="2:13" hidden="1" outlineLevel="1">
      <c r="B242" s="160" t="s">
        <v>91</v>
      </c>
      <c r="C242" s="140">
        <f>-SUMIF(Доп.расчеты!$3:$3,Свод!C$4,Доп.расчеты!83:83)</f>
        <v>0</v>
      </c>
      <c r="D242" s="140">
        <f>-SUMIF(Доп.расчеты!$3:$3,Свод!D$4,Доп.расчеты!83:83)</f>
        <v>0</v>
      </c>
      <c r="E242" s="140">
        <f>-SUMIF(Доп.расчеты!$3:$3,Свод!E$4,Доп.расчеты!83:83)</f>
        <v>0</v>
      </c>
      <c r="F242" s="140">
        <f>-SUMIF(Доп.расчеты!$3:$3,Свод!F$4,Доп.расчеты!83:83)</f>
        <v>0</v>
      </c>
      <c r="G242" s="140">
        <f>-SUMIF(Доп.расчеты!$3:$3,Свод!G$4,Доп.расчеты!83:83)</f>
        <v>0</v>
      </c>
      <c r="H242" s="140">
        <f>-SUMIF(Доп.расчеты!$3:$3,Свод!H$4,Доп.расчеты!83:83)</f>
        <v>0</v>
      </c>
      <c r="I242" s="140">
        <f>-SUMIF(Доп.расчеты!$3:$3,Свод!I$4,Доп.расчеты!83:83)</f>
        <v>0</v>
      </c>
      <c r="J242" s="140">
        <f>-SUMIF(Доп.расчеты!$3:$3,Свод!J$4,Доп.расчеты!83:83)</f>
        <v>0</v>
      </c>
      <c r="K242" s="140">
        <f>-SUMIF(Доп.расчеты!$3:$3,Свод!K$4,Доп.расчеты!83:83)</f>
        <v>0</v>
      </c>
      <c r="L242" s="140">
        <f>-SUMIF(Доп.расчеты!$3:$3,Свод!L$4,Доп.расчеты!83:83)</f>
        <v>0</v>
      </c>
      <c r="M242" s="140">
        <f>-SUMIF(Доп.расчеты!$3:$3,Свод!M$4,Доп.расчеты!83:83)</f>
        <v>0</v>
      </c>
    </row>
    <row r="243" spans="2:13" hidden="1" outlineLevel="1">
      <c r="B243" s="160" t="s">
        <v>92</v>
      </c>
      <c r="C243" s="140">
        <f>-SUMIF(Доп.расчеты!$3:$3,Свод!C$4,Доп.расчеты!84:84)</f>
        <v>0</v>
      </c>
      <c r="D243" s="140">
        <f>-SUMIF(Доп.расчеты!$3:$3,Свод!D$4,Доп.расчеты!84:84)</f>
        <v>0</v>
      </c>
      <c r="E243" s="140">
        <f>-SUMIF(Доп.расчеты!$3:$3,Свод!E$4,Доп.расчеты!84:84)</f>
        <v>0</v>
      </c>
      <c r="F243" s="140">
        <f>-SUMIF(Доп.расчеты!$3:$3,Свод!F$4,Доп.расчеты!84:84)</f>
        <v>0</v>
      </c>
      <c r="G243" s="140">
        <f>-SUMIF(Доп.расчеты!$3:$3,Свод!G$4,Доп.расчеты!84:84)</f>
        <v>0</v>
      </c>
      <c r="H243" s="140">
        <f>-SUMIF(Доп.расчеты!$3:$3,Свод!H$4,Доп.расчеты!84:84)</f>
        <v>0</v>
      </c>
      <c r="I243" s="140">
        <f>-SUMIF(Доп.расчеты!$3:$3,Свод!I$4,Доп.расчеты!84:84)</f>
        <v>0</v>
      </c>
      <c r="J243" s="140">
        <f>-SUMIF(Доп.расчеты!$3:$3,Свод!J$4,Доп.расчеты!84:84)</f>
        <v>0</v>
      </c>
      <c r="K243" s="140">
        <f>-SUMIF(Доп.расчеты!$3:$3,Свод!K$4,Доп.расчеты!84:84)</f>
        <v>0</v>
      </c>
      <c r="L243" s="140">
        <f>-SUMIF(Доп.расчеты!$3:$3,Свод!L$4,Доп.расчеты!84:84)</f>
        <v>0</v>
      </c>
      <c r="M243" s="140">
        <f>-SUMIF(Доп.расчеты!$3:$3,Свод!M$4,Доп.расчеты!84:84)</f>
        <v>0</v>
      </c>
    </row>
    <row r="244" spans="2:13" hidden="1" outlineLevel="1">
      <c r="B244" s="160" t="s">
        <v>93</v>
      </c>
      <c r="C244" s="140">
        <f>-SUMIF(Доп.расчеты!$3:$3,Свод!C$4,Доп.расчеты!85:85)</f>
        <v>0</v>
      </c>
      <c r="D244" s="140">
        <f>-SUMIF(Доп.расчеты!$3:$3,Свод!D$4,Доп.расчеты!85:85)</f>
        <v>0</v>
      </c>
      <c r="E244" s="140">
        <f>-SUMIF(Доп.расчеты!$3:$3,Свод!E$4,Доп.расчеты!85:85)</f>
        <v>0</v>
      </c>
      <c r="F244" s="140">
        <f>-SUMIF(Доп.расчеты!$3:$3,Свод!F$4,Доп.расчеты!85:85)</f>
        <v>0</v>
      </c>
      <c r="G244" s="140">
        <f>-SUMIF(Доп.расчеты!$3:$3,Свод!G$4,Доп.расчеты!85:85)</f>
        <v>0</v>
      </c>
      <c r="H244" s="140">
        <f>-SUMIF(Доп.расчеты!$3:$3,Свод!H$4,Доп.расчеты!85:85)</f>
        <v>0</v>
      </c>
      <c r="I244" s="140">
        <f>-SUMIF(Доп.расчеты!$3:$3,Свод!I$4,Доп.расчеты!85:85)</f>
        <v>0</v>
      </c>
      <c r="J244" s="140">
        <f>-SUMIF(Доп.расчеты!$3:$3,Свод!J$4,Доп.расчеты!85:85)</f>
        <v>0</v>
      </c>
      <c r="K244" s="140">
        <f>-SUMIF(Доп.расчеты!$3:$3,Свод!K$4,Доп.расчеты!85:85)</f>
        <v>0</v>
      </c>
      <c r="L244" s="140">
        <f>-SUMIF(Доп.расчеты!$3:$3,Свод!L$4,Доп.расчеты!85:85)</f>
        <v>0</v>
      </c>
      <c r="M244" s="140">
        <f>-SUMIF(Доп.расчеты!$3:$3,Свод!M$4,Доп.расчеты!85:85)</f>
        <v>0</v>
      </c>
    </row>
    <row r="245" spans="2:13" hidden="1" outlineLevel="1">
      <c r="B245" s="160" t="s">
        <v>94</v>
      </c>
      <c r="C245" s="140">
        <f>-SUMIF(Доп.расчеты!$3:$3,Свод!C$4,Доп.расчеты!86:86)</f>
        <v>0</v>
      </c>
      <c r="D245" s="140">
        <f>-SUMIF(Доп.расчеты!$3:$3,Свод!D$4,Доп.расчеты!86:86)</f>
        <v>0</v>
      </c>
      <c r="E245" s="140">
        <f>-SUMIF(Доп.расчеты!$3:$3,Свод!E$4,Доп.расчеты!86:86)</f>
        <v>0</v>
      </c>
      <c r="F245" s="140">
        <f>-SUMIF(Доп.расчеты!$3:$3,Свод!F$4,Доп.расчеты!86:86)</f>
        <v>0</v>
      </c>
      <c r="G245" s="140">
        <f>-SUMIF(Доп.расчеты!$3:$3,Свод!G$4,Доп.расчеты!86:86)</f>
        <v>0</v>
      </c>
      <c r="H245" s="140">
        <f>-SUMIF(Доп.расчеты!$3:$3,Свод!H$4,Доп.расчеты!86:86)</f>
        <v>0</v>
      </c>
      <c r="I245" s="140">
        <f>-SUMIF(Доп.расчеты!$3:$3,Свод!I$4,Доп.расчеты!86:86)</f>
        <v>0</v>
      </c>
      <c r="J245" s="140">
        <f>-SUMIF(Доп.расчеты!$3:$3,Свод!J$4,Доп.расчеты!86:86)</f>
        <v>0</v>
      </c>
      <c r="K245" s="140">
        <f>-SUMIF(Доп.расчеты!$3:$3,Свод!K$4,Доп.расчеты!86:86)</f>
        <v>0</v>
      </c>
      <c r="L245" s="140">
        <f>-SUMIF(Доп.расчеты!$3:$3,Свод!L$4,Доп.расчеты!86:86)</f>
        <v>0</v>
      </c>
      <c r="M245" s="140">
        <f>-SUMIF(Доп.расчеты!$3:$3,Свод!M$4,Доп.расчеты!86:86)</f>
        <v>0</v>
      </c>
    </row>
    <row r="246" spans="2:13" hidden="1" outlineLevel="1">
      <c r="B246" s="160" t="s">
        <v>95</v>
      </c>
      <c r="C246" s="140">
        <f>-SUMIF(Доп.расчеты!$3:$3,Свод!C$4,Доп.расчеты!87:87)</f>
        <v>0</v>
      </c>
      <c r="D246" s="140">
        <f>-SUMIF(Доп.расчеты!$3:$3,Свод!D$4,Доп.расчеты!87:87)</f>
        <v>0</v>
      </c>
      <c r="E246" s="140">
        <f>-SUMIF(Доп.расчеты!$3:$3,Свод!E$4,Доп.расчеты!87:87)</f>
        <v>0</v>
      </c>
      <c r="F246" s="140">
        <f>-SUMIF(Доп.расчеты!$3:$3,Свод!F$4,Доп.расчеты!87:87)</f>
        <v>0</v>
      </c>
      <c r="G246" s="140">
        <f>-SUMIF(Доп.расчеты!$3:$3,Свод!G$4,Доп.расчеты!87:87)</f>
        <v>0</v>
      </c>
      <c r="H246" s="140">
        <f>-SUMIF(Доп.расчеты!$3:$3,Свод!H$4,Доп.расчеты!87:87)</f>
        <v>0</v>
      </c>
      <c r="I246" s="140">
        <f>-SUMIF(Доп.расчеты!$3:$3,Свод!I$4,Доп.расчеты!87:87)</f>
        <v>0</v>
      </c>
      <c r="J246" s="140">
        <f>-SUMIF(Доп.расчеты!$3:$3,Свод!J$4,Доп.расчеты!87:87)</f>
        <v>0</v>
      </c>
      <c r="K246" s="140">
        <f>-SUMIF(Доп.расчеты!$3:$3,Свод!K$4,Доп.расчеты!87:87)</f>
        <v>0</v>
      </c>
      <c r="L246" s="140">
        <f>-SUMIF(Доп.расчеты!$3:$3,Свод!L$4,Доп.расчеты!87:87)</f>
        <v>0</v>
      </c>
      <c r="M246" s="140">
        <f>-SUMIF(Доп.расчеты!$3:$3,Свод!M$4,Доп.расчеты!87:87)</f>
        <v>0</v>
      </c>
    </row>
    <row r="247" spans="2:13" hidden="1" outlineLevel="1">
      <c r="B247" s="160" t="s">
        <v>96</v>
      </c>
      <c r="C247" s="140">
        <f>-SUMIF(Доп.расчеты!$3:$3,Свод!C$4,Доп.расчеты!88:88)</f>
        <v>0</v>
      </c>
      <c r="D247" s="140">
        <f>-SUMIF(Доп.расчеты!$3:$3,Свод!D$4,Доп.расчеты!88:88)</f>
        <v>0</v>
      </c>
      <c r="E247" s="140">
        <f>-SUMIF(Доп.расчеты!$3:$3,Свод!E$4,Доп.расчеты!88:88)</f>
        <v>0</v>
      </c>
      <c r="F247" s="140">
        <f>-SUMIF(Доп.расчеты!$3:$3,Свод!F$4,Доп.расчеты!88:88)</f>
        <v>0</v>
      </c>
      <c r="G247" s="140">
        <f>-SUMIF(Доп.расчеты!$3:$3,Свод!G$4,Доп.расчеты!88:88)</f>
        <v>0</v>
      </c>
      <c r="H247" s="140">
        <f>-SUMIF(Доп.расчеты!$3:$3,Свод!H$4,Доп.расчеты!88:88)</f>
        <v>0</v>
      </c>
      <c r="I247" s="140">
        <f>-SUMIF(Доп.расчеты!$3:$3,Свод!I$4,Доп.расчеты!88:88)</f>
        <v>0</v>
      </c>
      <c r="J247" s="140">
        <f>-SUMIF(Доп.расчеты!$3:$3,Свод!J$4,Доп.расчеты!88:88)</f>
        <v>0</v>
      </c>
      <c r="K247" s="140">
        <f>-SUMIF(Доп.расчеты!$3:$3,Свод!K$4,Доп.расчеты!88:88)</f>
        <v>0</v>
      </c>
      <c r="L247" s="140">
        <f>-SUMIF(Доп.расчеты!$3:$3,Свод!L$4,Доп.расчеты!88:88)</f>
        <v>0</v>
      </c>
      <c r="M247" s="140">
        <f>-SUMIF(Доп.расчеты!$3:$3,Свод!M$4,Доп.расчеты!88:88)</f>
        <v>0</v>
      </c>
    </row>
    <row r="248" spans="2:13" hidden="1" outlineLevel="1">
      <c r="B248" s="160" t="s">
        <v>97</v>
      </c>
      <c r="C248" s="140">
        <f>-SUMIF(Доп.расчеты!$3:$3,Свод!C$4,Доп.расчеты!89:89)</f>
        <v>0</v>
      </c>
      <c r="D248" s="140">
        <f>-SUMIF(Доп.расчеты!$3:$3,Свод!D$4,Доп.расчеты!89:89)</f>
        <v>0</v>
      </c>
      <c r="E248" s="140">
        <f>-SUMIF(Доп.расчеты!$3:$3,Свод!E$4,Доп.расчеты!89:89)</f>
        <v>0</v>
      </c>
      <c r="F248" s="140">
        <f>-SUMIF(Доп.расчеты!$3:$3,Свод!F$4,Доп.расчеты!89:89)</f>
        <v>0</v>
      </c>
      <c r="G248" s="140">
        <f>-SUMIF(Доп.расчеты!$3:$3,Свод!G$4,Доп.расчеты!89:89)</f>
        <v>0</v>
      </c>
      <c r="H248" s="140">
        <f>-SUMIF(Доп.расчеты!$3:$3,Свод!H$4,Доп.расчеты!89:89)</f>
        <v>0</v>
      </c>
      <c r="I248" s="140">
        <f>-SUMIF(Доп.расчеты!$3:$3,Свод!I$4,Доп.расчеты!89:89)</f>
        <v>0</v>
      </c>
      <c r="J248" s="140">
        <f>-SUMIF(Доп.расчеты!$3:$3,Свод!J$4,Доп.расчеты!89:89)</f>
        <v>0</v>
      </c>
      <c r="K248" s="140">
        <f>-SUMIF(Доп.расчеты!$3:$3,Свод!K$4,Доп.расчеты!89:89)</f>
        <v>0</v>
      </c>
      <c r="L248" s="140">
        <f>-SUMIF(Доп.расчеты!$3:$3,Свод!L$4,Доп.расчеты!89:89)</f>
        <v>0</v>
      </c>
      <c r="M248" s="140">
        <f>-SUMIF(Доп.расчеты!$3:$3,Свод!M$4,Доп.расчеты!89:89)</f>
        <v>0</v>
      </c>
    </row>
    <row r="249" spans="2:13" hidden="1" outlineLevel="1">
      <c r="B249" s="160" t="s">
        <v>98</v>
      </c>
      <c r="C249" s="140">
        <f>-SUMIF(Доп.расчеты!$3:$3,Свод!C$4,Доп.расчеты!90:90)</f>
        <v>0</v>
      </c>
      <c r="D249" s="140">
        <f>-SUMIF(Доп.расчеты!$3:$3,Свод!D$4,Доп.расчеты!90:90)</f>
        <v>0</v>
      </c>
      <c r="E249" s="140">
        <f>-SUMIF(Доп.расчеты!$3:$3,Свод!E$4,Доп.расчеты!90:90)</f>
        <v>0</v>
      </c>
      <c r="F249" s="140">
        <f>-SUMIF(Доп.расчеты!$3:$3,Свод!F$4,Доп.расчеты!90:90)</f>
        <v>0</v>
      </c>
      <c r="G249" s="140">
        <f>-SUMIF(Доп.расчеты!$3:$3,Свод!G$4,Доп.расчеты!90:90)</f>
        <v>0</v>
      </c>
      <c r="H249" s="140">
        <f>-SUMIF(Доп.расчеты!$3:$3,Свод!H$4,Доп.расчеты!90:90)</f>
        <v>0</v>
      </c>
      <c r="I249" s="140">
        <f>-SUMIF(Доп.расчеты!$3:$3,Свод!I$4,Доп.расчеты!90:90)</f>
        <v>0</v>
      </c>
      <c r="J249" s="140">
        <f>-SUMIF(Доп.расчеты!$3:$3,Свод!J$4,Доп.расчеты!90:90)</f>
        <v>0</v>
      </c>
      <c r="K249" s="140">
        <f>-SUMIF(Доп.расчеты!$3:$3,Свод!K$4,Доп.расчеты!90:90)</f>
        <v>0</v>
      </c>
      <c r="L249" s="140">
        <f>-SUMIF(Доп.расчеты!$3:$3,Свод!L$4,Доп.расчеты!90:90)</f>
        <v>0</v>
      </c>
      <c r="M249" s="140">
        <f>-SUMIF(Доп.расчеты!$3:$3,Свод!M$4,Доп.расчеты!90:90)</f>
        <v>0</v>
      </c>
    </row>
    <row r="250" spans="2:13" hidden="1" outlineLevel="1">
      <c r="B250" s="160" t="s">
        <v>99</v>
      </c>
      <c r="C250" s="140">
        <f>-SUMIF(Доп.расчеты!$3:$3,Свод!C$4,Доп.расчеты!91:91)</f>
        <v>0</v>
      </c>
      <c r="D250" s="140">
        <f>-SUMIF(Доп.расчеты!$3:$3,Свод!D$4,Доп.расчеты!91:91)</f>
        <v>0</v>
      </c>
      <c r="E250" s="140">
        <f>-SUMIF(Доп.расчеты!$3:$3,Свод!E$4,Доп.расчеты!91:91)</f>
        <v>0</v>
      </c>
      <c r="F250" s="140">
        <f>-SUMIF(Доп.расчеты!$3:$3,Свод!F$4,Доп.расчеты!91:91)</f>
        <v>0</v>
      </c>
      <c r="G250" s="140">
        <f>-SUMIF(Доп.расчеты!$3:$3,Свод!G$4,Доп.расчеты!91:91)</f>
        <v>0</v>
      </c>
      <c r="H250" s="140">
        <f>-SUMIF(Доп.расчеты!$3:$3,Свод!H$4,Доп.расчеты!91:91)</f>
        <v>0</v>
      </c>
      <c r="I250" s="140">
        <f>-SUMIF(Доп.расчеты!$3:$3,Свод!I$4,Доп.расчеты!91:91)</f>
        <v>0</v>
      </c>
      <c r="J250" s="140">
        <f>-SUMIF(Доп.расчеты!$3:$3,Свод!J$4,Доп.расчеты!91:91)</f>
        <v>0</v>
      </c>
      <c r="K250" s="140">
        <f>-SUMIF(Доп.расчеты!$3:$3,Свод!K$4,Доп.расчеты!91:91)</f>
        <v>0</v>
      </c>
      <c r="L250" s="140">
        <f>-SUMIF(Доп.расчеты!$3:$3,Свод!L$4,Доп.расчеты!91:91)</f>
        <v>0</v>
      </c>
      <c r="M250" s="140">
        <f>-SUMIF(Доп.расчеты!$3:$3,Свод!M$4,Доп.расчеты!91:91)</f>
        <v>0</v>
      </c>
    </row>
    <row r="251" spans="2:13" hidden="1" outlineLevel="1">
      <c r="B251" s="160" t="s">
        <v>100</v>
      </c>
      <c r="C251" s="140">
        <f>-SUMIF(Доп.расчеты!$3:$3,Свод!C$4,Доп.расчеты!92:92)</f>
        <v>0</v>
      </c>
      <c r="D251" s="140">
        <f>-SUMIF(Доп.расчеты!$3:$3,Свод!D$4,Доп.расчеты!92:92)</f>
        <v>0</v>
      </c>
      <c r="E251" s="140">
        <f>-SUMIF(Доп.расчеты!$3:$3,Свод!E$4,Доп.расчеты!92:92)</f>
        <v>0</v>
      </c>
      <c r="F251" s="140">
        <f>-SUMIF(Доп.расчеты!$3:$3,Свод!F$4,Доп.расчеты!92:92)</f>
        <v>0</v>
      </c>
      <c r="G251" s="140">
        <f>-SUMIF(Доп.расчеты!$3:$3,Свод!G$4,Доп.расчеты!92:92)</f>
        <v>0</v>
      </c>
      <c r="H251" s="140">
        <f>-SUMIF(Доп.расчеты!$3:$3,Свод!H$4,Доп.расчеты!92:92)</f>
        <v>0</v>
      </c>
      <c r="I251" s="140">
        <f>-SUMIF(Доп.расчеты!$3:$3,Свод!I$4,Доп.расчеты!92:92)</f>
        <v>0</v>
      </c>
      <c r="J251" s="140">
        <f>-SUMIF(Доп.расчеты!$3:$3,Свод!J$4,Доп.расчеты!92:92)</f>
        <v>0</v>
      </c>
      <c r="K251" s="140">
        <f>-SUMIF(Доп.расчеты!$3:$3,Свод!K$4,Доп.расчеты!92:92)</f>
        <v>0</v>
      </c>
      <c r="L251" s="140">
        <f>-SUMIF(Доп.расчеты!$3:$3,Свод!L$4,Доп.расчеты!92:92)</f>
        <v>0</v>
      </c>
      <c r="M251" s="140">
        <f>-SUMIF(Доп.расчеты!$3:$3,Свод!M$4,Доп.расчеты!92:92)</f>
        <v>0</v>
      </c>
    </row>
    <row r="252" spans="2:13" hidden="1" outlineLevel="1">
      <c r="B252" s="160" t="s">
        <v>101</v>
      </c>
      <c r="C252" s="140">
        <f>-SUMIF(Доп.расчеты!$3:$3,Свод!C$4,Доп.расчеты!93:93)</f>
        <v>0</v>
      </c>
      <c r="D252" s="140">
        <f>-SUMIF(Доп.расчеты!$3:$3,Свод!D$4,Доп.расчеты!93:93)</f>
        <v>0</v>
      </c>
      <c r="E252" s="140">
        <f>-SUMIF(Доп.расчеты!$3:$3,Свод!E$4,Доп.расчеты!93:93)</f>
        <v>0</v>
      </c>
      <c r="F252" s="140">
        <f>-SUMIF(Доп.расчеты!$3:$3,Свод!F$4,Доп.расчеты!93:93)</f>
        <v>0</v>
      </c>
      <c r="G252" s="140">
        <f>-SUMIF(Доп.расчеты!$3:$3,Свод!G$4,Доп.расчеты!93:93)</f>
        <v>0</v>
      </c>
      <c r="H252" s="140">
        <f>-SUMIF(Доп.расчеты!$3:$3,Свод!H$4,Доп.расчеты!93:93)</f>
        <v>0</v>
      </c>
      <c r="I252" s="140">
        <f>-SUMIF(Доп.расчеты!$3:$3,Свод!I$4,Доп.расчеты!93:93)</f>
        <v>0</v>
      </c>
      <c r="J252" s="140">
        <f>-SUMIF(Доп.расчеты!$3:$3,Свод!J$4,Доп.расчеты!93:93)</f>
        <v>0</v>
      </c>
      <c r="K252" s="140">
        <f>-SUMIF(Доп.расчеты!$3:$3,Свод!K$4,Доп.расчеты!93:93)</f>
        <v>0</v>
      </c>
      <c r="L252" s="140">
        <f>-SUMIF(Доп.расчеты!$3:$3,Свод!L$4,Доп.расчеты!93:93)</f>
        <v>0</v>
      </c>
      <c r="M252" s="140">
        <f>-SUMIF(Доп.расчеты!$3:$3,Свод!M$4,Доп.расчеты!93:93)</f>
        <v>0</v>
      </c>
    </row>
    <row r="253" spans="2:13" hidden="1" outlineLevel="1">
      <c r="B253" s="160" t="s">
        <v>102</v>
      </c>
      <c r="C253" s="140">
        <f>-SUMIF(Доп.расчеты!$3:$3,Свод!C$4,Доп.расчеты!94:94)</f>
        <v>0</v>
      </c>
      <c r="D253" s="140">
        <f>-SUMIF(Доп.расчеты!$3:$3,Свод!D$4,Доп.расчеты!94:94)</f>
        <v>0</v>
      </c>
      <c r="E253" s="140">
        <f>-SUMIF(Доп.расчеты!$3:$3,Свод!E$4,Доп.расчеты!94:94)</f>
        <v>0</v>
      </c>
      <c r="F253" s="140">
        <f>-SUMIF(Доп.расчеты!$3:$3,Свод!F$4,Доп.расчеты!94:94)</f>
        <v>0</v>
      </c>
      <c r="G253" s="140">
        <f>-SUMIF(Доп.расчеты!$3:$3,Свод!G$4,Доп.расчеты!94:94)</f>
        <v>0</v>
      </c>
      <c r="H253" s="140">
        <f>-SUMIF(Доп.расчеты!$3:$3,Свод!H$4,Доп.расчеты!94:94)</f>
        <v>0</v>
      </c>
      <c r="I253" s="140">
        <f>-SUMIF(Доп.расчеты!$3:$3,Свод!I$4,Доп.расчеты!94:94)</f>
        <v>0</v>
      </c>
      <c r="J253" s="140">
        <f>-SUMIF(Доп.расчеты!$3:$3,Свод!J$4,Доп.расчеты!94:94)</f>
        <v>0</v>
      </c>
      <c r="K253" s="140">
        <f>-SUMIF(Доп.расчеты!$3:$3,Свод!K$4,Доп.расчеты!94:94)</f>
        <v>0</v>
      </c>
      <c r="L253" s="140">
        <f>-SUMIF(Доп.расчеты!$3:$3,Свод!L$4,Доп.расчеты!94:94)</f>
        <v>0</v>
      </c>
      <c r="M253" s="140">
        <f>-SUMIF(Доп.расчеты!$3:$3,Свод!M$4,Доп.расчеты!94:94)</f>
        <v>0</v>
      </c>
    </row>
    <row r="254" spans="2:13" hidden="1" outlineLevel="1">
      <c r="B254" s="160" t="s">
        <v>103</v>
      </c>
      <c r="C254" s="140">
        <f>-SUMIF(Доп.расчеты!$3:$3,Свод!C$4,Доп.расчеты!95:95)</f>
        <v>0</v>
      </c>
      <c r="D254" s="140">
        <f>-SUMIF(Доп.расчеты!$3:$3,Свод!D$4,Доп.расчеты!95:95)</f>
        <v>0</v>
      </c>
      <c r="E254" s="140">
        <f>-SUMIF(Доп.расчеты!$3:$3,Свод!E$4,Доп.расчеты!95:95)</f>
        <v>0</v>
      </c>
      <c r="F254" s="140">
        <f>-SUMIF(Доп.расчеты!$3:$3,Свод!F$4,Доп.расчеты!95:95)</f>
        <v>0</v>
      </c>
      <c r="G254" s="140">
        <f>-SUMIF(Доп.расчеты!$3:$3,Свод!G$4,Доп.расчеты!95:95)</f>
        <v>0</v>
      </c>
      <c r="H254" s="140">
        <f>-SUMIF(Доп.расчеты!$3:$3,Свод!H$4,Доп.расчеты!95:95)</f>
        <v>0</v>
      </c>
      <c r="I254" s="140">
        <f>-SUMIF(Доп.расчеты!$3:$3,Свод!I$4,Доп.расчеты!95:95)</f>
        <v>0</v>
      </c>
      <c r="J254" s="140">
        <f>-SUMIF(Доп.расчеты!$3:$3,Свод!J$4,Доп.расчеты!95:95)</f>
        <v>0</v>
      </c>
      <c r="K254" s="140">
        <f>-SUMIF(Доп.расчеты!$3:$3,Свод!K$4,Доп.расчеты!95:95)</f>
        <v>0</v>
      </c>
      <c r="L254" s="140">
        <f>-SUMIF(Доп.расчеты!$3:$3,Свод!L$4,Доп.расчеты!95:95)</f>
        <v>0</v>
      </c>
      <c r="M254" s="140">
        <f>-SUMIF(Доп.расчеты!$3:$3,Свод!M$4,Доп.расчеты!95:95)</f>
        <v>0</v>
      </c>
    </row>
    <row r="255" spans="2:13" hidden="1" outlineLevel="1">
      <c r="B255" s="160" t="s">
        <v>104</v>
      </c>
      <c r="C255" s="140">
        <f>-SUMIF(Доп.расчеты!$3:$3,Свод!C$4,Доп.расчеты!96:96)</f>
        <v>0</v>
      </c>
      <c r="D255" s="140">
        <f>-SUMIF(Доп.расчеты!$3:$3,Свод!D$4,Доп.расчеты!96:96)</f>
        <v>0</v>
      </c>
      <c r="E255" s="140">
        <f>-SUMIF(Доп.расчеты!$3:$3,Свод!E$4,Доп.расчеты!96:96)</f>
        <v>0</v>
      </c>
      <c r="F255" s="140">
        <f>-SUMIF(Доп.расчеты!$3:$3,Свод!F$4,Доп.расчеты!96:96)</f>
        <v>0</v>
      </c>
      <c r="G255" s="140">
        <f>-SUMIF(Доп.расчеты!$3:$3,Свод!G$4,Доп.расчеты!96:96)</f>
        <v>0</v>
      </c>
      <c r="H255" s="140">
        <f>-SUMIF(Доп.расчеты!$3:$3,Свод!H$4,Доп.расчеты!96:96)</f>
        <v>0</v>
      </c>
      <c r="I255" s="140">
        <f>-SUMIF(Доп.расчеты!$3:$3,Свод!I$4,Доп.расчеты!96:96)</f>
        <v>0</v>
      </c>
      <c r="J255" s="140">
        <f>-SUMIF(Доп.расчеты!$3:$3,Свод!J$4,Доп.расчеты!96:96)</f>
        <v>0</v>
      </c>
      <c r="K255" s="140">
        <f>-SUMIF(Доп.расчеты!$3:$3,Свод!K$4,Доп.расчеты!96:96)</f>
        <v>0</v>
      </c>
      <c r="L255" s="140">
        <f>-SUMIF(Доп.расчеты!$3:$3,Свод!L$4,Доп.расчеты!96:96)</f>
        <v>0</v>
      </c>
      <c r="M255" s="140">
        <f>-SUMIF(Доп.расчеты!$3:$3,Свод!M$4,Доп.расчеты!96:96)</f>
        <v>0</v>
      </c>
    </row>
    <row r="256" spans="2:13" hidden="1" outlineLevel="1">
      <c r="B256" s="160" t="s">
        <v>105</v>
      </c>
      <c r="C256" s="140">
        <f>-SUMIF(Доп.расчеты!$3:$3,Свод!C$4,Доп.расчеты!97:97)</f>
        <v>0</v>
      </c>
      <c r="D256" s="140">
        <f>-SUMIF(Доп.расчеты!$3:$3,Свод!D$4,Доп.расчеты!97:97)</f>
        <v>0</v>
      </c>
      <c r="E256" s="140">
        <f>-SUMIF(Доп.расчеты!$3:$3,Свод!E$4,Доп.расчеты!97:97)</f>
        <v>0</v>
      </c>
      <c r="F256" s="140">
        <f>-SUMIF(Доп.расчеты!$3:$3,Свод!F$4,Доп.расчеты!97:97)</f>
        <v>0</v>
      </c>
      <c r="G256" s="140">
        <f>-SUMIF(Доп.расчеты!$3:$3,Свод!G$4,Доп.расчеты!97:97)</f>
        <v>0</v>
      </c>
      <c r="H256" s="140">
        <f>-SUMIF(Доп.расчеты!$3:$3,Свод!H$4,Доп.расчеты!97:97)</f>
        <v>0</v>
      </c>
      <c r="I256" s="140">
        <f>-SUMIF(Доп.расчеты!$3:$3,Свод!I$4,Доп.расчеты!97:97)</f>
        <v>0</v>
      </c>
      <c r="J256" s="140">
        <f>-SUMIF(Доп.расчеты!$3:$3,Свод!J$4,Доп.расчеты!97:97)</f>
        <v>0</v>
      </c>
      <c r="K256" s="140">
        <f>-SUMIF(Доп.расчеты!$3:$3,Свод!K$4,Доп.расчеты!97:97)</f>
        <v>0</v>
      </c>
      <c r="L256" s="140">
        <f>-SUMIF(Доп.расчеты!$3:$3,Свод!L$4,Доп.расчеты!97:97)</f>
        <v>0</v>
      </c>
      <c r="M256" s="140">
        <f>-SUMIF(Доп.расчеты!$3:$3,Свод!M$4,Доп.расчеты!97:97)</f>
        <v>0</v>
      </c>
    </row>
    <row r="257" spans="1:13" hidden="1" outlineLevel="1">
      <c r="B257" s="160" t="s">
        <v>106</v>
      </c>
      <c r="C257" s="140">
        <f>-SUMIF(Доп.расчеты!$3:$3,Свод!C$4,Доп.расчеты!98:98)</f>
        <v>0</v>
      </c>
      <c r="D257" s="140">
        <f>-SUMIF(Доп.расчеты!$3:$3,Свод!D$4,Доп.расчеты!98:98)</f>
        <v>0</v>
      </c>
      <c r="E257" s="140">
        <f>-SUMIF(Доп.расчеты!$3:$3,Свод!E$4,Доп.расчеты!98:98)</f>
        <v>0</v>
      </c>
      <c r="F257" s="140">
        <f>-SUMIF(Доп.расчеты!$3:$3,Свод!F$4,Доп.расчеты!98:98)</f>
        <v>0</v>
      </c>
      <c r="G257" s="140">
        <f>-SUMIF(Доп.расчеты!$3:$3,Свод!G$4,Доп.расчеты!98:98)</f>
        <v>0</v>
      </c>
      <c r="H257" s="140">
        <f>-SUMIF(Доп.расчеты!$3:$3,Свод!H$4,Доп.расчеты!98:98)</f>
        <v>0</v>
      </c>
      <c r="I257" s="140">
        <f>-SUMIF(Доп.расчеты!$3:$3,Свод!I$4,Доп.расчеты!98:98)</f>
        <v>0</v>
      </c>
      <c r="J257" s="140">
        <f>-SUMIF(Доп.расчеты!$3:$3,Свод!J$4,Доп.расчеты!98:98)</f>
        <v>0</v>
      </c>
      <c r="K257" s="140">
        <f>-SUMIF(Доп.расчеты!$3:$3,Свод!K$4,Доп.расчеты!98:98)</f>
        <v>0</v>
      </c>
      <c r="L257" s="140">
        <f>-SUMIF(Доп.расчеты!$3:$3,Свод!L$4,Доп.расчеты!98:98)</f>
        <v>0</v>
      </c>
      <c r="M257" s="140">
        <f>-SUMIF(Доп.расчеты!$3:$3,Свод!M$4,Доп.расчеты!98:98)</f>
        <v>0</v>
      </c>
    </row>
    <row r="258" spans="1:13" hidden="1" outlineLevel="1">
      <c r="B258" s="160" t="s">
        <v>107</v>
      </c>
      <c r="C258" s="140">
        <f>-SUMIF(Доп.расчеты!$3:$3,Свод!C$4,Доп.расчеты!99:99)</f>
        <v>0</v>
      </c>
      <c r="D258" s="140">
        <f>-SUMIF(Доп.расчеты!$3:$3,Свод!D$4,Доп.расчеты!99:99)</f>
        <v>0</v>
      </c>
      <c r="E258" s="140">
        <f>-SUMIF(Доп.расчеты!$3:$3,Свод!E$4,Доп.расчеты!99:99)</f>
        <v>0</v>
      </c>
      <c r="F258" s="140">
        <f>-SUMIF(Доп.расчеты!$3:$3,Свод!F$4,Доп.расчеты!99:99)</f>
        <v>0</v>
      </c>
      <c r="G258" s="140">
        <f>-SUMIF(Доп.расчеты!$3:$3,Свод!G$4,Доп.расчеты!99:99)</f>
        <v>0</v>
      </c>
      <c r="H258" s="140">
        <f>-SUMIF(Доп.расчеты!$3:$3,Свод!H$4,Доп.расчеты!99:99)</f>
        <v>0</v>
      </c>
      <c r="I258" s="140">
        <f>-SUMIF(Доп.расчеты!$3:$3,Свод!I$4,Доп.расчеты!99:99)</f>
        <v>0</v>
      </c>
      <c r="J258" s="140">
        <f>-SUMIF(Доп.расчеты!$3:$3,Свод!J$4,Доп.расчеты!99:99)</f>
        <v>0</v>
      </c>
      <c r="K258" s="140">
        <f>-SUMIF(Доп.расчеты!$3:$3,Свод!K$4,Доп.расчеты!99:99)</f>
        <v>0</v>
      </c>
      <c r="L258" s="140">
        <f>-SUMIF(Доп.расчеты!$3:$3,Свод!L$4,Доп.расчеты!99:99)</f>
        <v>0</v>
      </c>
      <c r="M258" s="140">
        <f>-SUMIF(Доп.расчеты!$3:$3,Свод!M$4,Доп.расчеты!99:99)</f>
        <v>0</v>
      </c>
    </row>
    <row r="259" spans="1:13" hidden="1" outlineLevel="1">
      <c r="B259" s="160" t="s">
        <v>108</v>
      </c>
      <c r="C259" s="140">
        <f>-SUMIF(Доп.расчеты!$3:$3,Свод!C$4,Доп.расчеты!100:100)</f>
        <v>0</v>
      </c>
      <c r="D259" s="140">
        <f>-SUMIF(Доп.расчеты!$3:$3,Свод!D$4,Доп.расчеты!100:100)</f>
        <v>0</v>
      </c>
      <c r="E259" s="140">
        <f>-SUMIF(Доп.расчеты!$3:$3,Свод!E$4,Доп.расчеты!100:100)</f>
        <v>0</v>
      </c>
      <c r="F259" s="140">
        <f>-SUMIF(Доп.расчеты!$3:$3,Свод!F$4,Доп.расчеты!100:100)</f>
        <v>0</v>
      </c>
      <c r="G259" s="140">
        <f>-SUMIF(Доп.расчеты!$3:$3,Свод!G$4,Доп.расчеты!100:100)</f>
        <v>0</v>
      </c>
      <c r="H259" s="140">
        <f>-SUMIF(Доп.расчеты!$3:$3,Свод!H$4,Доп.расчеты!100:100)</f>
        <v>0</v>
      </c>
      <c r="I259" s="140">
        <f>-SUMIF(Доп.расчеты!$3:$3,Свод!I$4,Доп.расчеты!100:100)</f>
        <v>0</v>
      </c>
      <c r="J259" s="140">
        <f>-SUMIF(Доп.расчеты!$3:$3,Свод!J$4,Доп.расчеты!100:100)</f>
        <v>0</v>
      </c>
      <c r="K259" s="140">
        <f>-SUMIF(Доп.расчеты!$3:$3,Свод!K$4,Доп.расчеты!100:100)</f>
        <v>0</v>
      </c>
      <c r="L259" s="140">
        <f>-SUMIF(Доп.расчеты!$3:$3,Свод!L$4,Доп.расчеты!100:100)</f>
        <v>0</v>
      </c>
      <c r="M259" s="140">
        <f>-SUMIF(Доп.расчеты!$3:$3,Свод!M$4,Доп.расчеты!100:100)</f>
        <v>0</v>
      </c>
    </row>
    <row r="260" spans="1:13" hidden="1" outlineLevel="1">
      <c r="B260" s="160" t="s">
        <v>109</v>
      </c>
      <c r="C260" s="140">
        <f>-SUMIF(Доп.расчеты!$3:$3,Свод!C$4,Доп.расчеты!101:101)</f>
        <v>0</v>
      </c>
      <c r="D260" s="140">
        <f>-SUMIF(Доп.расчеты!$3:$3,Свод!D$4,Доп.расчеты!101:101)</f>
        <v>0</v>
      </c>
      <c r="E260" s="140">
        <f>-SUMIF(Доп.расчеты!$3:$3,Свод!E$4,Доп.расчеты!101:101)</f>
        <v>0</v>
      </c>
      <c r="F260" s="140">
        <f>-SUMIF(Доп.расчеты!$3:$3,Свод!F$4,Доп.расчеты!101:101)</f>
        <v>0</v>
      </c>
      <c r="G260" s="140">
        <f>-SUMIF(Доп.расчеты!$3:$3,Свод!G$4,Доп.расчеты!101:101)</f>
        <v>0</v>
      </c>
      <c r="H260" s="140">
        <f>-SUMIF(Доп.расчеты!$3:$3,Свод!H$4,Доп.расчеты!101:101)</f>
        <v>0</v>
      </c>
      <c r="I260" s="140">
        <f>-SUMIF(Доп.расчеты!$3:$3,Свод!I$4,Доп.расчеты!101:101)</f>
        <v>0</v>
      </c>
      <c r="J260" s="140">
        <f>-SUMIF(Доп.расчеты!$3:$3,Свод!J$4,Доп.расчеты!101:101)</f>
        <v>0</v>
      </c>
      <c r="K260" s="140">
        <f>-SUMIF(Доп.расчеты!$3:$3,Свод!K$4,Доп.расчеты!101:101)</f>
        <v>0</v>
      </c>
      <c r="L260" s="140">
        <f>-SUMIF(Доп.расчеты!$3:$3,Свод!L$4,Доп.расчеты!101:101)</f>
        <v>0</v>
      </c>
      <c r="M260" s="140">
        <f>-SUMIF(Доп.расчеты!$3:$3,Свод!M$4,Доп.расчеты!101:101)</f>
        <v>0</v>
      </c>
    </row>
    <row r="261" spans="1:13" hidden="1" outlineLevel="1">
      <c r="B261" s="160" t="s">
        <v>110</v>
      </c>
      <c r="C261" s="140">
        <f>-SUMIF(Доп.расчеты!$3:$3,Свод!C$4,Доп.расчеты!102:102)</f>
        <v>0</v>
      </c>
      <c r="D261" s="140">
        <f>-SUMIF(Доп.расчеты!$3:$3,Свод!D$4,Доп.расчеты!102:102)</f>
        <v>0</v>
      </c>
      <c r="E261" s="140">
        <f>-SUMIF(Доп.расчеты!$3:$3,Свод!E$4,Доп.расчеты!102:102)</f>
        <v>0</v>
      </c>
      <c r="F261" s="140">
        <f>-SUMIF(Доп.расчеты!$3:$3,Свод!F$4,Доп.расчеты!102:102)</f>
        <v>0</v>
      </c>
      <c r="G261" s="140">
        <f>-SUMIF(Доп.расчеты!$3:$3,Свод!G$4,Доп.расчеты!102:102)</f>
        <v>0</v>
      </c>
      <c r="H261" s="140">
        <f>-SUMIF(Доп.расчеты!$3:$3,Свод!H$4,Доп.расчеты!102:102)</f>
        <v>0</v>
      </c>
      <c r="I261" s="140">
        <f>-SUMIF(Доп.расчеты!$3:$3,Свод!I$4,Доп.расчеты!102:102)</f>
        <v>0</v>
      </c>
      <c r="J261" s="140">
        <f>-SUMIF(Доп.расчеты!$3:$3,Свод!J$4,Доп.расчеты!102:102)</f>
        <v>0</v>
      </c>
      <c r="K261" s="140">
        <f>-SUMIF(Доп.расчеты!$3:$3,Свод!K$4,Доп.расчеты!102:102)</f>
        <v>0</v>
      </c>
      <c r="L261" s="140">
        <f>-SUMIF(Доп.расчеты!$3:$3,Свод!L$4,Доп.расчеты!102:102)</f>
        <v>0</v>
      </c>
      <c r="M261" s="140">
        <f>-SUMIF(Доп.расчеты!$3:$3,Свод!M$4,Доп.расчеты!102:102)</f>
        <v>0</v>
      </c>
    </row>
    <row r="262" spans="1:13" hidden="1" outlineLevel="1">
      <c r="B262" s="160" t="s">
        <v>111</v>
      </c>
      <c r="C262" s="140">
        <f>-SUMIF(Доп.расчеты!$3:$3,Свод!C$4,Доп.расчеты!103:103)</f>
        <v>0</v>
      </c>
      <c r="D262" s="140">
        <f>-SUMIF(Доп.расчеты!$3:$3,Свод!D$4,Доп.расчеты!103:103)</f>
        <v>0</v>
      </c>
      <c r="E262" s="140">
        <f>-SUMIF(Доп.расчеты!$3:$3,Свод!E$4,Доп.расчеты!103:103)</f>
        <v>0</v>
      </c>
      <c r="F262" s="140">
        <f>-SUMIF(Доп.расчеты!$3:$3,Свод!F$4,Доп.расчеты!103:103)</f>
        <v>0</v>
      </c>
      <c r="G262" s="140">
        <f>-SUMIF(Доп.расчеты!$3:$3,Свод!G$4,Доп.расчеты!103:103)</f>
        <v>0</v>
      </c>
      <c r="H262" s="140">
        <f>-SUMIF(Доп.расчеты!$3:$3,Свод!H$4,Доп.расчеты!103:103)</f>
        <v>0</v>
      </c>
      <c r="I262" s="140">
        <f>-SUMIF(Доп.расчеты!$3:$3,Свод!I$4,Доп.расчеты!103:103)</f>
        <v>0</v>
      </c>
      <c r="J262" s="140">
        <f>-SUMIF(Доп.расчеты!$3:$3,Свод!J$4,Доп.расчеты!103:103)</f>
        <v>0</v>
      </c>
      <c r="K262" s="140">
        <f>-SUMIF(Доп.расчеты!$3:$3,Свод!K$4,Доп.расчеты!103:103)</f>
        <v>0</v>
      </c>
      <c r="L262" s="140">
        <f>-SUMIF(Доп.расчеты!$3:$3,Свод!L$4,Доп.расчеты!103:103)</f>
        <v>0</v>
      </c>
      <c r="M262" s="140">
        <f>-SUMIF(Доп.расчеты!$3:$3,Свод!M$4,Доп.расчеты!103:103)</f>
        <v>0</v>
      </c>
    </row>
    <row r="263" spans="1:13" ht="17.25" customHeight="1" collapsed="1">
      <c r="B263" s="141" t="s">
        <v>243</v>
      </c>
      <c r="C263" s="142">
        <f>SUM(C264:C266)</f>
        <v>0</v>
      </c>
      <c r="D263" s="142">
        <f>SUM(D264:D266)</f>
        <v>0</v>
      </c>
      <c r="E263" s="142">
        <f>SUM(E264:E266)</f>
        <v>0</v>
      </c>
      <c r="F263" s="142">
        <f t="shared" ref="F263" si="41">SUM(F264:F266)</f>
        <v>0</v>
      </c>
      <c r="G263" s="142">
        <f t="shared" ref="G263" si="42">SUM(G264:G266)</f>
        <v>0</v>
      </c>
      <c r="H263" s="142">
        <f t="shared" ref="H263" si="43">SUM(H264:H266)</f>
        <v>0</v>
      </c>
      <c r="I263" s="142">
        <f t="shared" ref="I263" si="44">SUM(I264:I266)</f>
        <v>0</v>
      </c>
      <c r="J263" s="142">
        <f t="shared" ref="J263" si="45">SUM(J264:J266)</f>
        <v>0</v>
      </c>
      <c r="K263" s="142">
        <f>SUM(K264:K266)</f>
        <v>0</v>
      </c>
      <c r="L263" s="142">
        <f t="shared" ref="L263" si="46">SUM(L264:L266)</f>
        <v>0</v>
      </c>
      <c r="M263" s="142">
        <f t="shared" ref="M263" si="47">SUM(M264:M266)</f>
        <v>0</v>
      </c>
    </row>
    <row r="264" spans="1:13" hidden="1" outlineLevel="1">
      <c r="B264" s="139" t="s">
        <v>23</v>
      </c>
      <c r="C264" s="140">
        <f>-SUMIF(Доп.расчеты!$3:$3,Свод!C$4,Доп.расчеты!105:105)</f>
        <v>0</v>
      </c>
      <c r="D264" s="140">
        <f>-SUMIF(Доп.расчеты!$3:$3,Свод!D$4,Доп.расчеты!105:105)</f>
        <v>0</v>
      </c>
      <c r="E264" s="140">
        <f>-SUMIF(Доп.расчеты!$3:$3,Свод!E$4,Доп.расчеты!105:105)</f>
        <v>0</v>
      </c>
      <c r="F264" s="140">
        <f>-SUMIF(Доп.расчеты!$3:$3,Свод!F$4,Доп.расчеты!105:105)</f>
        <v>0</v>
      </c>
      <c r="G264" s="140">
        <f>-SUMIF(Доп.расчеты!$3:$3,Свод!G$4,Доп.расчеты!105:105)</f>
        <v>0</v>
      </c>
      <c r="H264" s="140">
        <f>-SUMIF(Доп.расчеты!$3:$3,Свод!H$4,Доп.расчеты!105:105)</f>
        <v>0</v>
      </c>
      <c r="I264" s="140">
        <f>-SUMIF(Доп.расчеты!$3:$3,Свод!I$4,Доп.расчеты!105:105)</f>
        <v>0</v>
      </c>
      <c r="J264" s="140">
        <f>-SUMIF(Доп.расчеты!$3:$3,Свод!J$4,Доп.расчеты!105:105)</f>
        <v>0</v>
      </c>
      <c r="K264" s="140">
        <f>-SUMIF(Доп.расчеты!$3:$3,Свод!K$4,Доп.расчеты!105:105)</f>
        <v>0</v>
      </c>
      <c r="L264" s="140">
        <f>-SUMIF(Доп.расчеты!$3:$3,Свод!L$4,Доп.расчеты!105:105)</f>
        <v>0</v>
      </c>
      <c r="M264" s="140">
        <f>-SUMIF(Доп.расчеты!$3:$3,Свод!M$4,Доп.расчеты!105:105)</f>
        <v>0</v>
      </c>
    </row>
    <row r="265" spans="1:13" hidden="1" outlineLevel="1">
      <c r="B265" s="139" t="s">
        <v>240</v>
      </c>
      <c r="C265" s="140">
        <f>-SUMIF(Доп.расчеты!$3:$3,Свод!C$4,Доп.расчеты!106:106)</f>
        <v>0</v>
      </c>
      <c r="D265" s="140">
        <f>-SUMIF(Доп.расчеты!$3:$3,Свод!D$4,Доп.расчеты!106:106)</f>
        <v>0</v>
      </c>
      <c r="E265" s="140">
        <f>-SUMIF(Доп.расчеты!$3:$3,Свод!E$4,Доп.расчеты!106:106)</f>
        <v>0</v>
      </c>
      <c r="F265" s="140">
        <f>-SUMIF(Доп.расчеты!$3:$3,Свод!F$4,Доп.расчеты!106:106)</f>
        <v>0</v>
      </c>
      <c r="G265" s="140">
        <f>-SUMIF(Доп.расчеты!$3:$3,Свод!G$4,Доп.расчеты!106:106)</f>
        <v>0</v>
      </c>
      <c r="H265" s="140">
        <f>-SUMIF(Доп.расчеты!$3:$3,Свод!H$4,Доп.расчеты!106:106)</f>
        <v>0</v>
      </c>
      <c r="I265" s="140">
        <f>-SUMIF(Доп.расчеты!$3:$3,Свод!I$4,Доп.расчеты!106:106)</f>
        <v>0</v>
      </c>
      <c r="J265" s="140">
        <f>-SUMIF(Доп.расчеты!$3:$3,Свод!J$4,Доп.расчеты!106:106)</f>
        <v>0</v>
      </c>
      <c r="K265" s="140">
        <f>-SUMIF(Доп.расчеты!$3:$3,Свод!K$4,Доп.расчеты!106:106)</f>
        <v>0</v>
      </c>
      <c r="L265" s="140">
        <f>-SUMIF(Доп.расчеты!$3:$3,Свод!L$4,Доп.расчеты!106:106)</f>
        <v>0</v>
      </c>
      <c r="M265" s="140">
        <f>-SUMIF(Доп.расчеты!$3:$3,Свод!M$4,Доп.расчеты!106:106)</f>
        <v>0</v>
      </c>
    </row>
    <row r="266" spans="1:13" hidden="1" outlineLevel="1">
      <c r="B266" s="139" t="s">
        <v>11</v>
      </c>
      <c r="C266" s="140">
        <f>-SUMIF(Доп.расчеты!$3:$3,Свод!C$4,Доп.расчеты!107:107)</f>
        <v>0</v>
      </c>
      <c r="D266" s="140">
        <f>-SUMIF(Доп.расчеты!$3:$3,Свод!D$4,Доп.расчеты!107:107)</f>
        <v>0</v>
      </c>
      <c r="E266" s="140">
        <f>-SUMIF(Доп.расчеты!$3:$3,Свод!E$4,Доп.расчеты!107:107)</f>
        <v>0</v>
      </c>
      <c r="F266" s="140">
        <f>-SUMIF(Доп.расчеты!$3:$3,Свод!F$4,Доп.расчеты!107:107)</f>
        <v>0</v>
      </c>
      <c r="G266" s="140">
        <f>-SUMIF(Доп.расчеты!$3:$3,Свод!G$4,Доп.расчеты!107:107)</f>
        <v>0</v>
      </c>
      <c r="H266" s="140">
        <f>-SUMIF(Доп.расчеты!$3:$3,Свод!H$4,Доп.расчеты!107:107)</f>
        <v>0</v>
      </c>
      <c r="I266" s="140">
        <f>-SUMIF(Доп.расчеты!$3:$3,Свод!I$4,Доп.расчеты!107:107)</f>
        <v>0</v>
      </c>
      <c r="J266" s="140">
        <f>-SUMIF(Доп.расчеты!$3:$3,Свод!J$4,Доп.расчеты!107:107)</f>
        <v>0</v>
      </c>
      <c r="K266" s="140">
        <f>-SUMIF(Доп.расчеты!$3:$3,Свод!K$4,Доп.расчеты!107:107)</f>
        <v>0</v>
      </c>
      <c r="L266" s="140">
        <f>-SUMIF(Доп.расчеты!$3:$3,Свод!L$4,Доп.расчеты!107:107)</f>
        <v>0</v>
      </c>
      <c r="M266" s="140">
        <f>-SUMIF(Доп.расчеты!$3:$3,Свод!M$4,Доп.расчеты!107:107)</f>
        <v>0</v>
      </c>
    </row>
    <row r="267" spans="1:13" s="134" customFormat="1" collapsed="1">
      <c r="A267" s="145"/>
      <c r="B267" s="141" t="s">
        <v>6</v>
      </c>
      <c r="C267" s="146">
        <f>SUMIF('Как будет'!$12:$12,Свод!C4,'Как будет'!$90:$90)</f>
        <v>0</v>
      </c>
      <c r="D267" s="146">
        <f>SUMIF('Как будет'!$12:$12,Свод!D4,'Как будет'!$90:$90)</f>
        <v>28919.305858418713</v>
      </c>
      <c r="E267" s="146">
        <f>SUMIF('Как будет'!$12:$12,Свод!E4,'Как будет'!$90:$90)</f>
        <v>28919.305858418713</v>
      </c>
      <c r="F267" s="146">
        <f>SUMIF('Как будет'!$12:$12,Свод!F4,'Как будет'!$90:$90)</f>
        <v>28919.305858418713</v>
      </c>
      <c r="G267" s="146">
        <f>SUMIF('Как будет'!$12:$12,Свод!G4,'Как будет'!$90:$90)</f>
        <v>28919.305858418713</v>
      </c>
      <c r="H267" s="146">
        <f>SUMIF('Как будет'!$12:$12,Свод!H4,'Как будет'!$90:$90)</f>
        <v>0</v>
      </c>
      <c r="I267" s="146">
        <f>SUMIF('Как будет'!$12:$12,Свод!I4,'Как будет'!$90:$90)</f>
        <v>0</v>
      </c>
      <c r="J267" s="146">
        <f>SUMIF('Как будет'!$12:$12,Свод!J4,'Как будет'!$90:$90)</f>
        <v>0</v>
      </c>
      <c r="K267" s="146">
        <f>SUMIF('Как будет'!$12:$12,Свод!K4,'Как будет'!$90:$90)</f>
        <v>0</v>
      </c>
      <c r="L267" s="146">
        <f>SUMIF('Как будет'!$12:$12,Свод!L4,'Как будет'!$90:$90)</f>
        <v>0</v>
      </c>
      <c r="M267" s="146">
        <f>SUMIF('Как будет'!$12:$12,Свод!M4,'Как будет'!$90:$90)</f>
        <v>0</v>
      </c>
    </row>
    <row r="268" spans="1:13" s="134" customFormat="1">
      <c r="A268" s="145"/>
      <c r="B268" s="141" t="s">
        <v>20</v>
      </c>
      <c r="C268" s="146">
        <f>SUMIF('Как будет'!$12:$12,Свод!C4,'Как будет'!$91:$91)</f>
        <v>0</v>
      </c>
      <c r="D268" s="146">
        <f>SUMIF('Как будет'!$12:$12,Свод!D4,'Как будет'!$91:$91)</f>
        <v>0</v>
      </c>
      <c r="E268" s="146">
        <f>SUMIF('Как будет'!$12:$12,Свод!E4,'Как будет'!$91:$91)</f>
        <v>0</v>
      </c>
      <c r="F268" s="146">
        <f>SUMIF('Как будет'!$12:$12,Свод!F4,'Как будет'!$91:$91)</f>
        <v>0</v>
      </c>
      <c r="G268" s="146">
        <f>SUMIF('Как будет'!$12:$12,Свод!G4,'Как будет'!$91:$91)</f>
        <v>0</v>
      </c>
      <c r="H268" s="146">
        <f>SUMIF('Как будет'!$12:$12,Свод!H4,'Как будет'!$91:$91)</f>
        <v>0</v>
      </c>
      <c r="I268" s="146">
        <f>SUMIF('Как будет'!$12:$12,Свод!I4,'Как будет'!$91:$91)</f>
        <v>0</v>
      </c>
      <c r="J268" s="146">
        <f>SUMIF('Как будет'!$12:$12,Свод!J4,'Как будет'!$91:$91)</f>
        <v>0</v>
      </c>
      <c r="K268" s="146">
        <f>SUMIF('Как будет'!$12:$12,Свод!K4,'Как будет'!$91:$91)</f>
        <v>0</v>
      </c>
      <c r="L268" s="146">
        <f>SUMIF('Как будет'!$12:$12,Свод!L4,'Как будет'!$91:$91)</f>
        <v>0</v>
      </c>
      <c r="M268" s="146">
        <f>SUMIF('Как будет'!$12:$12,Свод!M4,'Как будет'!$91:$91)</f>
        <v>0</v>
      </c>
    </row>
    <row r="269" spans="1:13" s="134" customFormat="1" ht="16" hidden="1" outlineLevel="1">
      <c r="A269" s="145"/>
      <c r="B269" s="147" t="s">
        <v>63</v>
      </c>
      <c r="C269" s="148">
        <f>-SUMIF(Доп.расчеты!$3:$3,Свод!C$4,Доп.расчеты!12:12)</f>
        <v>0</v>
      </c>
      <c r="D269" s="148">
        <f>-SUMIF(Доп.расчеты!$3:$3,Свод!D$4,Доп.расчеты!12:12)</f>
        <v>0</v>
      </c>
      <c r="E269" s="148">
        <f>-SUMIF(Доп.расчеты!$3:$3,Свод!E$4,Доп.расчеты!12:12)</f>
        <v>0</v>
      </c>
      <c r="F269" s="148">
        <f>-SUMIF(Доп.расчеты!$3:$3,Свод!F$4,Доп.расчеты!12:12)</f>
        <v>0</v>
      </c>
      <c r="G269" s="148">
        <f>-SUMIF(Доп.расчеты!$3:$3,Свод!G$4,Доп.расчеты!12:12)</f>
        <v>0</v>
      </c>
      <c r="H269" s="148">
        <f>-SUMIF(Доп.расчеты!$3:$3,Свод!H$4,Доп.расчеты!12:12)</f>
        <v>0</v>
      </c>
      <c r="I269" s="148">
        <f>-SUMIF(Доп.расчеты!$3:$3,Свод!I$4,Доп.расчеты!12:12)</f>
        <v>0</v>
      </c>
      <c r="J269" s="148">
        <f>-SUMIF(Доп.расчеты!$3:$3,Свод!J$4,Доп.расчеты!12:12)</f>
        <v>0</v>
      </c>
      <c r="K269" s="148">
        <f>-SUMIF(Доп.расчеты!$3:$3,Свод!K$4,Доп.расчеты!12:12)</f>
        <v>0</v>
      </c>
      <c r="L269" s="148">
        <f>-SUMIF(Доп.расчеты!$3:$3,Свод!L$4,Доп.расчеты!12:12)</f>
        <v>0</v>
      </c>
      <c r="M269" s="148">
        <f>-SUMIF(Доп.расчеты!$3:$3,Свод!M$4,Доп.расчеты!12:12)</f>
        <v>0</v>
      </c>
    </row>
    <row r="270" spans="1:13" s="134" customFormat="1" ht="16" hidden="1" outlineLevel="1">
      <c r="A270" s="145"/>
      <c r="B270" s="147" t="s">
        <v>62</v>
      </c>
      <c r="C270" s="148">
        <f>-SUMIF(Доп.расчеты!$3:$3,Свод!C$4,Доп.расчеты!13:13)</f>
        <v>0</v>
      </c>
      <c r="D270" s="148">
        <f>-SUMIF(Доп.расчеты!$3:$3,Свод!D$4,Доп.расчеты!13:13)</f>
        <v>0</v>
      </c>
      <c r="E270" s="148">
        <f>-SUMIF(Доп.расчеты!$3:$3,Свод!E$4,Доп.расчеты!13:13)</f>
        <v>0</v>
      </c>
      <c r="F270" s="148">
        <f>-SUMIF(Доп.расчеты!$3:$3,Свод!F$4,Доп.расчеты!13:13)</f>
        <v>0</v>
      </c>
      <c r="G270" s="148">
        <f>-SUMIF(Доп.расчеты!$3:$3,Свод!G$4,Доп.расчеты!13:13)</f>
        <v>0</v>
      </c>
      <c r="H270" s="148">
        <f>-SUMIF(Доп.расчеты!$3:$3,Свод!H$4,Доп.расчеты!13:13)</f>
        <v>0</v>
      </c>
      <c r="I270" s="148">
        <f>-SUMIF(Доп.расчеты!$3:$3,Свод!I$4,Доп.расчеты!13:13)</f>
        <v>0</v>
      </c>
      <c r="J270" s="148">
        <f>-SUMIF(Доп.расчеты!$3:$3,Свод!J$4,Доп.расчеты!13:13)</f>
        <v>0</v>
      </c>
      <c r="K270" s="148">
        <f>-SUMIF(Доп.расчеты!$3:$3,Свод!K$4,Доп.расчеты!13:13)</f>
        <v>0</v>
      </c>
      <c r="L270" s="148">
        <f>-SUMIF(Доп.расчеты!$3:$3,Свод!L$4,Доп.расчеты!13:13)</f>
        <v>0</v>
      </c>
      <c r="M270" s="148">
        <f>-SUMIF(Доп.расчеты!$3:$3,Свод!M$4,Доп.расчеты!13:13)</f>
        <v>0</v>
      </c>
    </row>
    <row r="271" spans="1:13" s="134" customFormat="1" ht="16" hidden="1" outlineLevel="1">
      <c r="A271" s="145"/>
      <c r="B271" s="147" t="s">
        <v>21</v>
      </c>
      <c r="C271" s="148">
        <f>-SUMIF(Доп.расчеты!$3:$3,Свод!C$4,Доп.расчеты!14:14)</f>
        <v>0</v>
      </c>
      <c r="D271" s="148">
        <f>-SUMIF(Доп.расчеты!$3:$3,Свод!D$4,Доп.расчеты!14:14)</f>
        <v>0</v>
      </c>
      <c r="E271" s="148">
        <f>-SUMIF(Доп.расчеты!$3:$3,Свод!E$4,Доп.расчеты!14:14)</f>
        <v>0</v>
      </c>
      <c r="F271" s="148">
        <f>-SUMIF(Доп.расчеты!$3:$3,Свод!F$4,Доп.расчеты!14:14)</f>
        <v>0</v>
      </c>
      <c r="G271" s="148">
        <f>-SUMIF(Доп.расчеты!$3:$3,Свод!G$4,Доп.расчеты!14:14)</f>
        <v>0</v>
      </c>
      <c r="H271" s="148">
        <f>-SUMIF(Доп.расчеты!$3:$3,Свод!H$4,Доп.расчеты!14:14)</f>
        <v>0</v>
      </c>
      <c r="I271" s="148">
        <f>-SUMIF(Доп.расчеты!$3:$3,Свод!I$4,Доп.расчеты!14:14)</f>
        <v>0</v>
      </c>
      <c r="J271" s="148">
        <f>-SUMIF(Доп.расчеты!$3:$3,Свод!J$4,Доп.расчеты!14:14)</f>
        <v>0</v>
      </c>
      <c r="K271" s="148">
        <f>-SUMIF(Доп.расчеты!$3:$3,Свод!K$4,Доп.расчеты!14:14)</f>
        <v>0</v>
      </c>
      <c r="L271" s="148">
        <f>-SUMIF(Доп.расчеты!$3:$3,Свод!L$4,Доп.расчеты!14:14)</f>
        <v>0</v>
      </c>
      <c r="M271" s="148">
        <f>-SUMIF(Доп.расчеты!$3:$3,Свод!M$4,Доп.расчеты!14:14)</f>
        <v>0</v>
      </c>
    </row>
    <row r="272" spans="1:13" s="134" customFormat="1" ht="16" hidden="1" outlineLevel="1">
      <c r="A272" s="145"/>
      <c r="B272" s="147" t="s">
        <v>15</v>
      </c>
      <c r="C272" s="148">
        <f>-SUMIF(Доп.расчеты!$3:$3,Свод!C$4,Доп.расчеты!15:15)</f>
        <v>0</v>
      </c>
      <c r="D272" s="148">
        <f>-SUMIF(Доп.расчеты!$3:$3,Свод!D$4,Доп.расчеты!15:15)</f>
        <v>0</v>
      </c>
      <c r="E272" s="148">
        <f>-SUMIF(Доп.расчеты!$3:$3,Свод!E$4,Доп.расчеты!15:15)</f>
        <v>0</v>
      </c>
      <c r="F272" s="148">
        <f>-SUMIF(Доп.расчеты!$3:$3,Свод!F$4,Доп.расчеты!15:15)</f>
        <v>0</v>
      </c>
      <c r="G272" s="148">
        <f>-SUMIF(Доп.расчеты!$3:$3,Свод!G$4,Доп.расчеты!15:15)</f>
        <v>0</v>
      </c>
      <c r="H272" s="148">
        <f>-SUMIF(Доп.расчеты!$3:$3,Свод!H$4,Доп.расчеты!15:15)</f>
        <v>0</v>
      </c>
      <c r="I272" s="148">
        <f>-SUMIF(Доп.расчеты!$3:$3,Свод!I$4,Доп.расчеты!15:15)</f>
        <v>0</v>
      </c>
      <c r="J272" s="148">
        <f>-SUMIF(Доп.расчеты!$3:$3,Свод!J$4,Доп.расчеты!15:15)</f>
        <v>0</v>
      </c>
      <c r="K272" s="148">
        <f>-SUMIF(Доп.расчеты!$3:$3,Свод!K$4,Доп.расчеты!15:15)</f>
        <v>0</v>
      </c>
      <c r="L272" s="148">
        <f>-SUMIF(Доп.расчеты!$3:$3,Свод!L$4,Доп.расчеты!15:15)</f>
        <v>0</v>
      </c>
      <c r="M272" s="148">
        <f>-SUMIF(Доп.расчеты!$3:$3,Свод!M$4,Доп.расчеты!15:15)</f>
        <v>0</v>
      </c>
    </row>
    <row r="273" spans="2:13" collapsed="1">
      <c r="B273" s="141" t="s">
        <v>22</v>
      </c>
      <c r="C273" s="146">
        <f>IF(C274=0,C267+C268,C274)</f>
        <v>0</v>
      </c>
      <c r="D273" s="146">
        <f t="shared" ref="D273:I273" si="48">IF(D274=0,D267+D268,D274)</f>
        <v>28919.305858418713</v>
      </c>
      <c r="E273" s="146">
        <f t="shared" si="48"/>
        <v>28919.305858418713</v>
      </c>
      <c r="F273" s="146">
        <f t="shared" si="48"/>
        <v>28919.305858418713</v>
      </c>
      <c r="G273" s="146">
        <f t="shared" si="48"/>
        <v>28919.305858418713</v>
      </c>
      <c r="H273" s="146">
        <f t="shared" si="48"/>
        <v>0</v>
      </c>
      <c r="I273" s="146">
        <f t="shared" si="48"/>
        <v>0</v>
      </c>
      <c r="J273" s="146">
        <f t="shared" ref="J273:M273" si="49">IF(J274=0,J267+J268,J274)</f>
        <v>0</v>
      </c>
      <c r="K273" s="146">
        <f t="shared" si="49"/>
        <v>0</v>
      </c>
      <c r="L273" s="146">
        <f t="shared" si="49"/>
        <v>0</v>
      </c>
      <c r="M273" s="146">
        <f t="shared" si="49"/>
        <v>0</v>
      </c>
    </row>
    <row r="274" spans="2:13">
      <c r="B274" s="141" t="s">
        <v>131</v>
      </c>
      <c r="C274" s="146">
        <f>SUMIF('Как будет'!$12:$12,Свод!C4,'Как будет'!$97:$97)</f>
        <v>0</v>
      </c>
      <c r="D274" s="146">
        <f>SUMIF('Как будет'!$12:$12,Свод!D4,'Как будет'!$97:$97)</f>
        <v>0</v>
      </c>
      <c r="E274" s="146">
        <f>SUMIF('Как будет'!$12:$12,Свод!E4,'Как будет'!$97:$97)</f>
        <v>0</v>
      </c>
      <c r="F274" s="146">
        <f>SUMIF('Как будет'!$12:$12,Свод!F4,'Как будет'!$97:$97)</f>
        <v>0</v>
      </c>
      <c r="G274" s="146">
        <f>SUMIF('Как будет'!$12:$12,Свод!G4,'Как будет'!$97:$97)</f>
        <v>0</v>
      </c>
      <c r="H274" s="146">
        <f>SUMIF('Как будет'!$12:$12,Свод!H4,'Как будет'!$97:$97)</f>
        <v>0</v>
      </c>
      <c r="I274" s="146">
        <f>SUMIF('Как будет'!$12:$12,Свод!I4,'Как будет'!$97:$97)</f>
        <v>0</v>
      </c>
      <c r="J274" s="146">
        <f>SUMIF('Как будет'!$12:$12,Свод!J4,'Как будет'!$97:$97)</f>
        <v>0</v>
      </c>
      <c r="K274" s="146">
        <f>SUMIF('Как будет'!$12:$12,Свод!K4,'Как будет'!$97:$97)</f>
        <v>0</v>
      </c>
      <c r="L274" s="146">
        <f>SUMIF('Как будет'!$12:$12,Свод!L4,'Как будет'!$97:$97)</f>
        <v>0</v>
      </c>
      <c r="M274" s="146">
        <f>SUMIF('Как будет'!$12:$12,Свод!M4,'Как будет'!$97:$97)</f>
        <v>0</v>
      </c>
    </row>
    <row r="275" spans="2:13" ht="16" hidden="1" outlineLevel="1">
      <c r="B275" s="147" t="s">
        <v>60</v>
      </c>
      <c r="C275" s="149">
        <f>SUMIF('Как будет'!$12:$12,Свод!C4,'Как будет'!$98:$98)</f>
        <v>0</v>
      </c>
      <c r="D275" s="149">
        <f>SUMIF('Как будет'!$12:$12,Свод!D4,'Как будет'!$98:$98)</f>
        <v>0</v>
      </c>
      <c r="E275" s="149">
        <f>SUMIF('Как будет'!$12:$12,Свод!E4,'Как будет'!$98:$98)</f>
        <v>0</v>
      </c>
      <c r="F275" s="149">
        <f>SUMIF('Как будет'!$12:$12,Свод!F4,'Как будет'!$98:$98)</f>
        <v>0</v>
      </c>
      <c r="G275" s="149">
        <f>SUMIF('Как будет'!$12:$12,Свод!G4,'Как будет'!$98:$98)</f>
        <v>0</v>
      </c>
      <c r="H275" s="149">
        <f>SUMIF('Как будет'!$12:$12,Свод!H4,'Как будет'!$98:$98)</f>
        <v>0</v>
      </c>
      <c r="I275" s="149">
        <f>SUMIF('Как будет'!$12:$12,Свод!I4,'Как будет'!$98:$98)</f>
        <v>0</v>
      </c>
      <c r="J275" s="149">
        <f>SUMIF('Как будет'!$12:$12,Свод!J4,'Как будет'!$98:$98)</f>
        <v>0</v>
      </c>
      <c r="K275" s="149">
        <f>SUMIF('Как будет'!$12:$12,Свод!K4,'Как будет'!$98:$98)</f>
        <v>0</v>
      </c>
      <c r="L275" s="149">
        <f>SUMIF('Как будет'!$12:$12,Свод!L4,'Как будет'!$98:$98)</f>
        <v>0</v>
      </c>
      <c r="M275" s="149">
        <f>SUMIF('Как будет'!$12:$12,Свод!M4,'Как будет'!$98:$98)</f>
        <v>0</v>
      </c>
    </row>
    <row r="276" spans="2:13" ht="16" hidden="1" outlineLevel="1">
      <c r="B276" s="147" t="s">
        <v>61</v>
      </c>
      <c r="C276" s="149">
        <f>SUMIF('Как будет'!$12:$12,Свод!C4,'Как будет'!$99:$99)</f>
        <v>0</v>
      </c>
      <c r="D276" s="149">
        <f>SUMIF('Как будет'!$12:$12,Свод!D4,'Как будет'!$99:$99)</f>
        <v>0</v>
      </c>
      <c r="E276" s="149">
        <f>SUMIF('Как будет'!$12:$12,Свод!E4,'Как будет'!$99:$99)</f>
        <v>0</v>
      </c>
      <c r="F276" s="149">
        <f>SUMIF('Как будет'!$12:$12,Свод!F4,'Как будет'!$99:$99)</f>
        <v>0</v>
      </c>
      <c r="G276" s="149">
        <f>SUMIF('Как будет'!$12:$12,Свод!G4,'Как будет'!$99:$99)</f>
        <v>0</v>
      </c>
      <c r="H276" s="149">
        <f>SUMIF('Как будет'!$12:$12,Свод!H4,'Как будет'!$99:$99)</f>
        <v>0</v>
      </c>
      <c r="I276" s="149">
        <f>SUMIF('Как будет'!$12:$12,Свод!I4,'Как будет'!$99:$99)</f>
        <v>0</v>
      </c>
      <c r="J276" s="149">
        <f>SUMIF('Как будет'!$12:$12,Свод!J4,'Как будет'!$99:$99)</f>
        <v>0</v>
      </c>
      <c r="K276" s="149">
        <f>SUMIF('Как будет'!$12:$12,Свод!K4,'Как будет'!$99:$99)</f>
        <v>0</v>
      </c>
      <c r="L276" s="149">
        <f>SUMIF('Как будет'!$12:$12,Свод!L4,'Как будет'!$99:$99)</f>
        <v>0</v>
      </c>
      <c r="M276" s="149">
        <f>SUMIF('Как будет'!$12:$12,Свод!M4,'Как будет'!$99:$99)</f>
        <v>0</v>
      </c>
    </row>
    <row r="277" spans="2:13" collapsed="1">
      <c r="B277" s="141" t="s">
        <v>176</v>
      </c>
      <c r="C277" s="146">
        <f>SUMIF('Как будет'!$12:$12,Свод!C4,'Как будет'!$100:$100)</f>
        <v>0</v>
      </c>
      <c r="D277" s="146">
        <f>SUMIF('Как будет'!$12:$12,Свод!D4,'Как будет'!$100:$100)</f>
        <v>0</v>
      </c>
      <c r="E277" s="146">
        <f>SUMIF('Как будет'!$12:$12,Свод!E4,'Как будет'!$100:$100)</f>
        <v>0</v>
      </c>
      <c r="F277" s="146">
        <f>SUMIF('Как будет'!$12:$12,Свод!F4,'Как будет'!$100:$100)</f>
        <v>0</v>
      </c>
      <c r="G277" s="146">
        <f>SUMIF('Как будет'!$12:$12,Свод!G4,'Как будет'!$100:$100)</f>
        <v>0</v>
      </c>
      <c r="H277" s="146">
        <f>SUMIF('Как будет'!$12:$12,Свод!H4,'Как будет'!$100:$100)</f>
        <v>0</v>
      </c>
      <c r="I277" s="146">
        <f>SUMIF('Как будет'!$12:$12,Свод!I4,'Как будет'!$100:$100)</f>
        <v>0</v>
      </c>
      <c r="J277" s="146">
        <f>SUMIF('Как будет'!$12:$12,Свод!J4,'Как будет'!$100:$100)</f>
        <v>0</v>
      </c>
      <c r="K277" s="146">
        <f>SUMIF('Как будет'!$12:$12,Свод!K4,'Как будет'!$100:$100)</f>
        <v>0</v>
      </c>
      <c r="L277" s="146">
        <f>SUMIF('Как будет'!$12:$12,Свод!L4,'Как будет'!$100:$100)</f>
        <v>0</v>
      </c>
      <c r="M277" s="146">
        <f>SUMIF('Как будет'!$12:$12,Свод!M4,'Как будет'!$100:$100)</f>
        <v>0</v>
      </c>
    </row>
    <row r="278" spans="2:13" ht="16" hidden="1" outlineLevel="1">
      <c r="B278" s="147" t="s">
        <v>122</v>
      </c>
      <c r="C278" s="148">
        <f>-SUMIF(Доп.расчеты!$3:$3,Свод!C$4,Доп.расчеты!35:35)</f>
        <v>0</v>
      </c>
      <c r="D278" s="148">
        <f>-SUMIF(Доп.расчеты!$3:$3,Свод!D$4,Доп.расчеты!35:35)</f>
        <v>0</v>
      </c>
      <c r="E278" s="148">
        <f>-SUMIF(Доп.расчеты!$3:$3,Свод!E$4,Доп.расчеты!35:35)</f>
        <v>0</v>
      </c>
      <c r="F278" s="148">
        <f>-SUMIF(Доп.расчеты!$3:$3,Свод!F$4,Доп.расчеты!35:35)</f>
        <v>0</v>
      </c>
      <c r="G278" s="148">
        <f>-SUMIF(Доп.расчеты!$3:$3,Свод!G$4,Доп.расчеты!35:35)</f>
        <v>0</v>
      </c>
      <c r="H278" s="148">
        <f>-SUMIF(Доп.расчеты!$3:$3,Свод!H$4,Доп.расчеты!35:35)</f>
        <v>0</v>
      </c>
      <c r="I278" s="148">
        <f>-SUMIF(Доп.расчеты!$3:$3,Свод!I$4,Доп.расчеты!35:35)</f>
        <v>0</v>
      </c>
      <c r="J278" s="148">
        <f>-SUMIF(Доп.расчеты!$3:$3,Свод!J$4,Доп.расчеты!35:35)</f>
        <v>0</v>
      </c>
      <c r="K278" s="148">
        <f>-SUMIF(Доп.расчеты!$3:$3,Свод!K$4,Доп.расчеты!35:35)</f>
        <v>0</v>
      </c>
      <c r="L278" s="148">
        <f>-SUMIF(Доп.расчеты!$3:$3,Свод!L$4,Доп.расчеты!35:35)</f>
        <v>0</v>
      </c>
      <c r="M278" s="148">
        <f>-SUMIF(Доп.расчеты!$3:$3,Свод!M$4,Доп.расчеты!35:35)</f>
        <v>0</v>
      </c>
    </row>
    <row r="279" spans="2:13" ht="16" hidden="1" outlineLevel="1">
      <c r="B279" s="147" t="s">
        <v>123</v>
      </c>
      <c r="C279" s="148">
        <f>-SUMIF(Доп.расчеты!$3:$3,Свод!C$4,Доп.расчеты!36:36)</f>
        <v>0</v>
      </c>
      <c r="D279" s="148">
        <f>-SUMIF(Доп.расчеты!$3:$3,Свод!D$4,Доп.расчеты!36:36)</f>
        <v>0</v>
      </c>
      <c r="E279" s="148">
        <f>-SUMIF(Доп.расчеты!$3:$3,Свод!E$4,Доп.расчеты!36:36)</f>
        <v>0</v>
      </c>
      <c r="F279" s="148">
        <f>-SUMIF(Доп.расчеты!$3:$3,Свод!F$4,Доп.расчеты!36:36)</f>
        <v>0</v>
      </c>
      <c r="G279" s="148">
        <f>-SUMIF(Доп.расчеты!$3:$3,Свод!G$4,Доп.расчеты!36:36)</f>
        <v>0</v>
      </c>
      <c r="H279" s="148">
        <f>-SUMIF(Доп.расчеты!$3:$3,Свод!H$4,Доп.расчеты!36:36)</f>
        <v>0</v>
      </c>
      <c r="I279" s="148">
        <f>-SUMIF(Доп.расчеты!$3:$3,Свод!I$4,Доп.расчеты!36:36)</f>
        <v>0</v>
      </c>
      <c r="J279" s="148">
        <f>-SUMIF(Доп.расчеты!$3:$3,Свод!J$4,Доп.расчеты!36:36)</f>
        <v>0</v>
      </c>
      <c r="K279" s="148">
        <f>-SUMIF(Доп.расчеты!$3:$3,Свод!K$4,Доп.расчеты!36:36)</f>
        <v>0</v>
      </c>
      <c r="L279" s="148">
        <f>-SUMIF(Доп.расчеты!$3:$3,Свод!L$4,Доп.расчеты!36:36)</f>
        <v>0</v>
      </c>
      <c r="M279" s="148">
        <f>-SUMIF(Доп.расчеты!$3:$3,Свод!M$4,Доп.расчеты!36:36)</f>
        <v>0</v>
      </c>
    </row>
    <row r="280" spans="2:13" ht="16" hidden="1" outlineLevel="1">
      <c r="B280" s="147" t="s">
        <v>124</v>
      </c>
      <c r="C280" s="148">
        <f>-SUMIF(Доп.расчеты!$3:$3,Свод!C$4,Доп.расчеты!37:37)</f>
        <v>0</v>
      </c>
      <c r="D280" s="148">
        <f>-SUMIF(Доп.расчеты!$3:$3,Свод!D$4,Доп.расчеты!37:37)</f>
        <v>0</v>
      </c>
      <c r="E280" s="148">
        <f>-SUMIF(Доп.расчеты!$3:$3,Свод!E$4,Доп.расчеты!37:37)</f>
        <v>0</v>
      </c>
      <c r="F280" s="148">
        <f>-SUMIF(Доп.расчеты!$3:$3,Свод!F$4,Доп.расчеты!37:37)</f>
        <v>0</v>
      </c>
      <c r="G280" s="148">
        <f>-SUMIF(Доп.расчеты!$3:$3,Свод!G$4,Доп.расчеты!37:37)</f>
        <v>0</v>
      </c>
      <c r="H280" s="148">
        <f>-SUMIF(Доп.расчеты!$3:$3,Свод!H$4,Доп.расчеты!37:37)</f>
        <v>0</v>
      </c>
      <c r="I280" s="148">
        <f>-SUMIF(Доп.расчеты!$3:$3,Свод!I$4,Доп.расчеты!37:37)</f>
        <v>0</v>
      </c>
      <c r="J280" s="148">
        <f>-SUMIF(Доп.расчеты!$3:$3,Свод!J$4,Доп.расчеты!37:37)</f>
        <v>0</v>
      </c>
      <c r="K280" s="148">
        <f>-SUMIF(Доп.расчеты!$3:$3,Свод!K$4,Доп.расчеты!37:37)</f>
        <v>0</v>
      </c>
      <c r="L280" s="148">
        <f>-SUMIF(Доп.расчеты!$3:$3,Свод!L$4,Доп.расчеты!37:37)</f>
        <v>0</v>
      </c>
      <c r="M280" s="148">
        <f>-SUMIF(Доп.расчеты!$3:$3,Свод!M$4,Доп.расчеты!37:37)</f>
        <v>0</v>
      </c>
    </row>
    <row r="281" spans="2:13" ht="16" hidden="1" outlineLevel="1">
      <c r="B281" s="147" t="s">
        <v>113</v>
      </c>
      <c r="C281" s="148">
        <f>-SUMIF(Доп.расчеты!$3:$3,Свод!C$4,Доп.расчеты!38:38)</f>
        <v>0</v>
      </c>
      <c r="D281" s="148">
        <f>-SUMIF(Доп.расчеты!$3:$3,Свод!D$4,Доп.расчеты!38:38)</f>
        <v>0</v>
      </c>
      <c r="E281" s="148">
        <f>-SUMIF(Доп.расчеты!$3:$3,Свод!E$4,Доп.расчеты!38:38)</f>
        <v>0</v>
      </c>
      <c r="F281" s="148">
        <f>-SUMIF(Доп.расчеты!$3:$3,Свод!F$4,Доп.расчеты!38:38)</f>
        <v>0</v>
      </c>
      <c r="G281" s="148">
        <f>-SUMIF(Доп.расчеты!$3:$3,Свод!G$4,Доп.расчеты!38:38)</f>
        <v>0</v>
      </c>
      <c r="H281" s="148">
        <f>-SUMIF(Доп.расчеты!$3:$3,Свод!H$4,Доп.расчеты!38:38)</f>
        <v>0</v>
      </c>
      <c r="I281" s="148">
        <f>-SUMIF(Доп.расчеты!$3:$3,Свод!I$4,Доп.расчеты!38:38)</f>
        <v>0</v>
      </c>
      <c r="J281" s="148">
        <f>-SUMIF(Доп.расчеты!$3:$3,Свод!J$4,Доп.расчеты!38:38)</f>
        <v>0</v>
      </c>
      <c r="K281" s="148">
        <f>-SUMIF(Доп.расчеты!$3:$3,Свод!K$4,Доп.расчеты!38:38)</f>
        <v>0</v>
      </c>
      <c r="L281" s="148">
        <f>-SUMIF(Доп.расчеты!$3:$3,Свод!L$4,Доп.расчеты!38:38)</f>
        <v>0</v>
      </c>
      <c r="M281" s="148">
        <f>-SUMIF(Доп.расчеты!$3:$3,Свод!M$4,Доп.расчеты!38:38)</f>
        <v>0</v>
      </c>
    </row>
    <row r="282" spans="2:13" ht="16" hidden="1" outlineLevel="1">
      <c r="B282" s="147" t="s">
        <v>125</v>
      </c>
      <c r="C282" s="148">
        <f>-SUMIF(Доп.расчеты!$3:$3,Свод!C$4,Доп.расчеты!39:39)</f>
        <v>0</v>
      </c>
      <c r="D282" s="148">
        <f>-SUMIF(Доп.расчеты!$3:$3,Свод!D$4,Доп.расчеты!39:39)</f>
        <v>0</v>
      </c>
      <c r="E282" s="148">
        <f>-SUMIF(Доп.расчеты!$3:$3,Свод!E$4,Доп.расчеты!39:39)</f>
        <v>0</v>
      </c>
      <c r="F282" s="148">
        <f>-SUMIF(Доп.расчеты!$3:$3,Свод!F$4,Доп.расчеты!39:39)</f>
        <v>0</v>
      </c>
      <c r="G282" s="148">
        <f>-SUMIF(Доп.расчеты!$3:$3,Свод!G$4,Доп.расчеты!39:39)</f>
        <v>0</v>
      </c>
      <c r="H282" s="148">
        <f>-SUMIF(Доп.расчеты!$3:$3,Свод!H$4,Доп.расчеты!39:39)</f>
        <v>0</v>
      </c>
      <c r="I282" s="148">
        <f>-SUMIF(Доп.расчеты!$3:$3,Свод!I$4,Доп.расчеты!39:39)</f>
        <v>0</v>
      </c>
      <c r="J282" s="148">
        <f>-SUMIF(Доп.расчеты!$3:$3,Свод!J$4,Доп.расчеты!39:39)</f>
        <v>0</v>
      </c>
      <c r="K282" s="148">
        <f>-SUMIF(Доп.расчеты!$3:$3,Свод!K$4,Доп.расчеты!39:39)</f>
        <v>0</v>
      </c>
      <c r="L282" s="148">
        <f>-SUMIF(Доп.расчеты!$3:$3,Свод!L$4,Доп.расчеты!39:39)</f>
        <v>0</v>
      </c>
      <c r="M282" s="148">
        <f>-SUMIF(Доп.расчеты!$3:$3,Свод!M$4,Доп.расчеты!39:39)</f>
        <v>0</v>
      </c>
    </row>
    <row r="283" spans="2:13" ht="16" hidden="1" outlineLevel="1">
      <c r="B283" s="147" t="s">
        <v>10</v>
      </c>
      <c r="C283" s="148">
        <f>-SUMIF(Доп.расчеты!$3:$3,Свод!C$4,Доп.расчеты!40:40)</f>
        <v>0</v>
      </c>
      <c r="D283" s="148">
        <f>-SUMIF(Доп.расчеты!$3:$3,Свод!D$4,Доп.расчеты!40:40)</f>
        <v>0</v>
      </c>
      <c r="E283" s="148">
        <f>-SUMIF(Доп.расчеты!$3:$3,Свод!E$4,Доп.расчеты!40:40)</f>
        <v>0</v>
      </c>
      <c r="F283" s="148">
        <f>-SUMIF(Доп.расчеты!$3:$3,Свод!F$4,Доп.расчеты!40:40)</f>
        <v>0</v>
      </c>
      <c r="G283" s="148">
        <f>-SUMIF(Доп.расчеты!$3:$3,Свод!G$4,Доп.расчеты!40:40)</f>
        <v>0</v>
      </c>
      <c r="H283" s="148">
        <f>-SUMIF(Доп.расчеты!$3:$3,Свод!H$4,Доп.расчеты!40:40)</f>
        <v>0</v>
      </c>
      <c r="I283" s="148">
        <f>-SUMIF(Доп.расчеты!$3:$3,Свод!I$4,Доп.расчеты!40:40)</f>
        <v>0</v>
      </c>
      <c r="J283" s="148">
        <f>-SUMIF(Доп.расчеты!$3:$3,Свод!J$4,Доп.расчеты!40:40)</f>
        <v>0</v>
      </c>
      <c r="K283" s="148">
        <f>-SUMIF(Доп.расчеты!$3:$3,Свод!K$4,Доп.расчеты!40:40)</f>
        <v>0</v>
      </c>
      <c r="L283" s="148">
        <f>-SUMIF(Доп.расчеты!$3:$3,Свод!L$4,Доп.расчеты!40:40)</f>
        <v>0</v>
      </c>
      <c r="M283" s="148">
        <f>-SUMIF(Доп.расчеты!$3:$3,Свод!M$4,Доп.расчеты!40:40)</f>
        <v>0</v>
      </c>
    </row>
    <row r="284" spans="2:13" ht="32" hidden="1" outlineLevel="1">
      <c r="B284" s="147" t="s">
        <v>11</v>
      </c>
      <c r="C284" s="148">
        <f>-SUMIF(Доп.расчеты!$3:$3,Свод!C$4,Доп.расчеты!41:41)</f>
        <v>0</v>
      </c>
      <c r="D284" s="148">
        <f>-SUMIF(Доп.расчеты!$3:$3,Свод!D$4,Доп.расчеты!41:41)</f>
        <v>0</v>
      </c>
      <c r="E284" s="148">
        <f>-SUMIF(Доп.расчеты!$3:$3,Свод!E$4,Доп.расчеты!41:41)</f>
        <v>0</v>
      </c>
      <c r="F284" s="148">
        <f>-SUMIF(Доп.расчеты!$3:$3,Свод!F$4,Доп.расчеты!41:41)</f>
        <v>0</v>
      </c>
      <c r="G284" s="148">
        <f>-SUMIF(Доп.расчеты!$3:$3,Свод!G$4,Доп.расчеты!41:41)</f>
        <v>0</v>
      </c>
      <c r="H284" s="148">
        <f>-SUMIF(Доп.расчеты!$3:$3,Свод!H$4,Доп.расчеты!41:41)</f>
        <v>0</v>
      </c>
      <c r="I284" s="148">
        <f>-SUMIF(Доп.расчеты!$3:$3,Свод!I$4,Доп.расчеты!41:41)</f>
        <v>0</v>
      </c>
      <c r="J284" s="148">
        <f>-SUMIF(Доп.расчеты!$3:$3,Свод!J$4,Доп.расчеты!41:41)</f>
        <v>0</v>
      </c>
      <c r="K284" s="148">
        <f>-SUMIF(Доп.расчеты!$3:$3,Свод!K$4,Доп.расчеты!41:41)</f>
        <v>0</v>
      </c>
      <c r="L284" s="148">
        <f>-SUMIF(Доп.расчеты!$3:$3,Свод!L$4,Доп.расчеты!41:41)</f>
        <v>0</v>
      </c>
      <c r="M284" s="148">
        <f>-SUMIF(Доп.расчеты!$3:$3,Свод!M$4,Доп.расчеты!41:41)</f>
        <v>0</v>
      </c>
    </row>
    <row r="285" spans="2:13" ht="16" hidden="1" outlineLevel="1">
      <c r="B285" s="147" t="s">
        <v>12</v>
      </c>
      <c r="C285" s="148">
        <f>-SUMIF(Доп.расчеты!$3:$3,Свод!C$4,Доп.расчеты!42:42)</f>
        <v>0</v>
      </c>
      <c r="D285" s="148">
        <f>-SUMIF(Доп.расчеты!$3:$3,Свод!D$4,Доп.расчеты!42:42)</f>
        <v>0</v>
      </c>
      <c r="E285" s="148">
        <f>-SUMIF(Доп.расчеты!$3:$3,Свод!E$4,Доп.расчеты!42:42)</f>
        <v>0</v>
      </c>
      <c r="F285" s="148">
        <f>-SUMIF(Доп.расчеты!$3:$3,Свод!F$4,Доп.расчеты!42:42)</f>
        <v>0</v>
      </c>
      <c r="G285" s="148">
        <f>-SUMIF(Доп.расчеты!$3:$3,Свод!G$4,Доп.расчеты!42:42)</f>
        <v>0</v>
      </c>
      <c r="H285" s="148">
        <f>-SUMIF(Доп.расчеты!$3:$3,Свод!H$4,Доп.расчеты!42:42)</f>
        <v>0</v>
      </c>
      <c r="I285" s="148">
        <f>-SUMIF(Доп.расчеты!$3:$3,Свод!I$4,Доп.расчеты!42:42)</f>
        <v>0</v>
      </c>
      <c r="J285" s="148">
        <f>-SUMIF(Доп.расчеты!$3:$3,Свод!J$4,Доп.расчеты!42:42)</f>
        <v>0</v>
      </c>
      <c r="K285" s="148">
        <f>-SUMIF(Доп.расчеты!$3:$3,Свод!K$4,Доп.расчеты!42:42)</f>
        <v>0</v>
      </c>
      <c r="L285" s="148">
        <f>-SUMIF(Доп.расчеты!$3:$3,Свод!L$4,Доп.расчеты!42:42)</f>
        <v>0</v>
      </c>
      <c r="M285" s="148">
        <f>-SUMIF(Доп.расчеты!$3:$3,Свод!M$4,Доп.расчеты!42:42)</f>
        <v>0</v>
      </c>
    </row>
    <row r="286" spans="2:13" ht="16" hidden="1" outlineLevel="1">
      <c r="B286" s="147" t="s">
        <v>13</v>
      </c>
      <c r="C286" s="148">
        <f>-SUMIF(Доп.расчеты!$3:$3,Свод!C$4,Доп.расчеты!43:43)</f>
        <v>0</v>
      </c>
      <c r="D286" s="148">
        <f>-SUMIF(Доп.расчеты!$3:$3,Свод!D$4,Доп.расчеты!43:43)</f>
        <v>0</v>
      </c>
      <c r="E286" s="148">
        <f>-SUMIF(Доп.расчеты!$3:$3,Свод!E$4,Доп.расчеты!43:43)</f>
        <v>0</v>
      </c>
      <c r="F286" s="148">
        <f>-SUMIF(Доп.расчеты!$3:$3,Свод!F$4,Доп.расчеты!43:43)</f>
        <v>0</v>
      </c>
      <c r="G286" s="148">
        <f>-SUMIF(Доп.расчеты!$3:$3,Свод!G$4,Доп.расчеты!43:43)</f>
        <v>0</v>
      </c>
      <c r="H286" s="148">
        <f>-SUMIF(Доп.расчеты!$3:$3,Свод!H$4,Доп.расчеты!43:43)</f>
        <v>0</v>
      </c>
      <c r="I286" s="148">
        <f>-SUMIF(Доп.расчеты!$3:$3,Свод!I$4,Доп.расчеты!43:43)</f>
        <v>0</v>
      </c>
      <c r="J286" s="148">
        <f>-SUMIF(Доп.расчеты!$3:$3,Свод!J$4,Доп.расчеты!43:43)</f>
        <v>0</v>
      </c>
      <c r="K286" s="148">
        <f>-SUMIF(Доп.расчеты!$3:$3,Свод!K$4,Доп.расчеты!43:43)</f>
        <v>0</v>
      </c>
      <c r="L286" s="148">
        <f>-SUMIF(Доп.расчеты!$3:$3,Свод!L$4,Доп.расчеты!43:43)</f>
        <v>0</v>
      </c>
      <c r="M286" s="148">
        <f>-SUMIF(Доп.расчеты!$3:$3,Свод!M$4,Доп.расчеты!43:43)</f>
        <v>0</v>
      </c>
    </row>
    <row r="287" spans="2:13" ht="16" hidden="1" outlineLevel="1">
      <c r="B287" s="147" t="s">
        <v>14</v>
      </c>
      <c r="C287" s="148">
        <f>-SUMIF(Доп.расчеты!$3:$3,Свод!C$4,Доп.расчеты!44:44)</f>
        <v>0</v>
      </c>
      <c r="D287" s="148">
        <f>-SUMIF(Доп.расчеты!$3:$3,Свод!D$4,Доп.расчеты!44:44)</f>
        <v>0</v>
      </c>
      <c r="E287" s="148">
        <f>-SUMIF(Доп.расчеты!$3:$3,Свод!E$4,Доп.расчеты!44:44)</f>
        <v>0</v>
      </c>
      <c r="F287" s="148">
        <f>-SUMIF(Доп.расчеты!$3:$3,Свод!F$4,Доп.расчеты!44:44)</f>
        <v>0</v>
      </c>
      <c r="G287" s="148">
        <f>-SUMIF(Доп.расчеты!$3:$3,Свод!G$4,Доп.расчеты!44:44)</f>
        <v>0</v>
      </c>
      <c r="H287" s="148">
        <f>-SUMIF(Доп.расчеты!$3:$3,Свод!H$4,Доп.расчеты!44:44)</f>
        <v>0</v>
      </c>
      <c r="I287" s="148">
        <f>-SUMIF(Доп.расчеты!$3:$3,Свод!I$4,Доп.расчеты!44:44)</f>
        <v>0</v>
      </c>
      <c r="J287" s="148">
        <f>-SUMIF(Доп.расчеты!$3:$3,Свод!J$4,Доп.расчеты!44:44)</f>
        <v>0</v>
      </c>
      <c r="K287" s="148">
        <f>-SUMIF(Доп.расчеты!$3:$3,Свод!K$4,Доп.расчеты!44:44)</f>
        <v>0</v>
      </c>
      <c r="L287" s="148">
        <f>-SUMIF(Доп.расчеты!$3:$3,Свод!L$4,Доп.расчеты!44:44)</f>
        <v>0</v>
      </c>
      <c r="M287" s="148">
        <f>-SUMIF(Доп.расчеты!$3:$3,Свод!M$4,Доп.расчеты!44:44)</f>
        <v>0</v>
      </c>
    </row>
    <row r="288" spans="2:13" ht="16" hidden="1" outlineLevel="1">
      <c r="B288" s="147" t="s">
        <v>117</v>
      </c>
      <c r="C288" s="148">
        <f>-SUMIF(Доп.расчеты!$3:$3,Свод!C$4,Доп.расчеты!45:45)</f>
        <v>0</v>
      </c>
      <c r="D288" s="148">
        <f>-SUMIF(Доп.расчеты!$3:$3,Свод!D$4,Доп.расчеты!45:45)</f>
        <v>0</v>
      </c>
      <c r="E288" s="148">
        <f>-SUMIF(Доп.расчеты!$3:$3,Свод!E$4,Доп.расчеты!45:45)</f>
        <v>0</v>
      </c>
      <c r="F288" s="148">
        <f>-SUMIF(Доп.расчеты!$3:$3,Свод!F$4,Доп.расчеты!45:45)</f>
        <v>0</v>
      </c>
      <c r="G288" s="148">
        <f>-SUMIF(Доп.расчеты!$3:$3,Свод!G$4,Доп.расчеты!45:45)</f>
        <v>0</v>
      </c>
      <c r="H288" s="148">
        <f>-SUMIF(Доп.расчеты!$3:$3,Свод!H$4,Доп.расчеты!45:45)</f>
        <v>0</v>
      </c>
      <c r="I288" s="148">
        <f>-SUMIF(Доп.расчеты!$3:$3,Свод!I$4,Доп.расчеты!45:45)</f>
        <v>0</v>
      </c>
      <c r="J288" s="148">
        <f>-SUMIF(Доп.расчеты!$3:$3,Свод!J$4,Доп.расчеты!45:45)</f>
        <v>0</v>
      </c>
      <c r="K288" s="148">
        <f>-SUMIF(Доп.расчеты!$3:$3,Свод!K$4,Доп.расчеты!45:45)</f>
        <v>0</v>
      </c>
      <c r="L288" s="148">
        <f>-SUMIF(Доп.расчеты!$3:$3,Свод!L$4,Доп.расчеты!45:45)</f>
        <v>0</v>
      </c>
      <c r="M288" s="148">
        <f>-SUMIF(Доп.расчеты!$3:$3,Свод!M$4,Доп.расчеты!45:45)</f>
        <v>0</v>
      </c>
    </row>
    <row r="289" spans="1:13" ht="16" hidden="1" outlineLevel="1">
      <c r="B289" s="147" t="s">
        <v>126</v>
      </c>
      <c r="C289" s="148">
        <f>-SUMIF(Доп.расчеты!$3:$3,Свод!C$4,Доп.расчеты!46:46)</f>
        <v>0</v>
      </c>
      <c r="D289" s="148">
        <f>-SUMIF(Доп.расчеты!$3:$3,Свод!D$4,Доп.расчеты!46:46)</f>
        <v>0</v>
      </c>
      <c r="E289" s="148">
        <f>-SUMIF(Доп.расчеты!$3:$3,Свод!E$4,Доп.расчеты!46:46)</f>
        <v>0</v>
      </c>
      <c r="F289" s="148">
        <f>-SUMIF(Доп.расчеты!$3:$3,Свод!F$4,Доп.расчеты!46:46)</f>
        <v>0</v>
      </c>
      <c r="G289" s="148">
        <f>-SUMIF(Доп.расчеты!$3:$3,Свод!G$4,Доп.расчеты!46:46)</f>
        <v>0</v>
      </c>
      <c r="H289" s="148">
        <f>-SUMIF(Доп.расчеты!$3:$3,Свод!H$4,Доп.расчеты!46:46)</f>
        <v>0</v>
      </c>
      <c r="I289" s="148">
        <f>-SUMIF(Доп.расчеты!$3:$3,Свод!I$4,Доп.расчеты!46:46)</f>
        <v>0</v>
      </c>
      <c r="J289" s="148">
        <f>-SUMIF(Доп.расчеты!$3:$3,Свод!J$4,Доп.расчеты!46:46)</f>
        <v>0</v>
      </c>
      <c r="K289" s="148">
        <f>-SUMIF(Доп.расчеты!$3:$3,Свод!K$4,Доп.расчеты!46:46)</f>
        <v>0</v>
      </c>
      <c r="L289" s="148">
        <f>-SUMIF(Доп.расчеты!$3:$3,Свод!L$4,Доп.расчеты!46:46)</f>
        <v>0</v>
      </c>
      <c r="M289" s="148">
        <f>-SUMIF(Доп.расчеты!$3:$3,Свод!M$4,Доп.расчеты!46:46)</f>
        <v>0</v>
      </c>
    </row>
    <row r="290" spans="1:13" ht="16" hidden="1" outlineLevel="1">
      <c r="B290" s="150" t="s">
        <v>147</v>
      </c>
      <c r="C290" s="148">
        <f>SUMIF(Доп.расчеты!$3:$3,Свод!C$4,Доп.расчеты!47:47)</f>
        <v>0</v>
      </c>
      <c r="D290" s="148">
        <f>SUMIF(Доп.расчеты!$3:$3,Свод!D$4,Доп.расчеты!47:47)</f>
        <v>0</v>
      </c>
      <c r="E290" s="148">
        <f>SUMIF(Доп.расчеты!$3:$3,Свод!E$4,Доп.расчеты!47:47)</f>
        <v>0</v>
      </c>
      <c r="F290" s="148">
        <f>SUMIF(Доп.расчеты!$3:$3,Свод!F$4,Доп.расчеты!47:47)</f>
        <v>0</v>
      </c>
      <c r="G290" s="148">
        <f>SUMIF(Доп.расчеты!$3:$3,Свод!G$4,Доп.расчеты!47:47)</f>
        <v>0</v>
      </c>
      <c r="H290" s="148">
        <f>SUMIF(Доп.расчеты!$3:$3,Свод!H$4,Доп.расчеты!47:47)</f>
        <v>0</v>
      </c>
      <c r="I290" s="148">
        <f>SUMIF(Доп.расчеты!$3:$3,Свод!I$4,Доп.расчеты!47:47)</f>
        <v>0</v>
      </c>
      <c r="J290" s="148">
        <f>SUMIF(Доп.расчеты!$3:$3,Свод!J$4,Доп.расчеты!47:47)</f>
        <v>0</v>
      </c>
      <c r="K290" s="148">
        <f>SUMIF(Доп.расчеты!$3:$3,Свод!K$4,Доп.расчеты!47:47)</f>
        <v>0</v>
      </c>
      <c r="L290" s="148">
        <f>SUMIF(Доп.расчеты!$3:$3,Свод!L$4,Доп.расчеты!47:47)</f>
        <v>0</v>
      </c>
      <c r="M290" s="148">
        <f>SUMIF(Доп.расчеты!$3:$3,Свод!M$4,Доп.расчеты!47:47)</f>
        <v>0</v>
      </c>
    </row>
    <row r="291" spans="1:13" s="134" customFormat="1" ht="16" collapsed="1">
      <c r="A291" s="145"/>
      <c r="B291" s="151" t="s">
        <v>27</v>
      </c>
      <c r="C291" s="149">
        <f>C273+C277+C179+C223</f>
        <v>0</v>
      </c>
      <c r="D291" s="149">
        <f t="shared" ref="D291:I291" si="50">D273+D277+D179+D223</f>
        <v>28919.305858418713</v>
      </c>
      <c r="E291" s="149">
        <f t="shared" si="50"/>
        <v>28919.305858418713</v>
      </c>
      <c r="F291" s="149">
        <f>F273+F277+F179+F223</f>
        <v>28919.305858418713</v>
      </c>
      <c r="G291" s="149">
        <f t="shared" si="50"/>
        <v>28919.305858418713</v>
      </c>
      <c r="H291" s="149">
        <f t="shared" si="50"/>
        <v>0</v>
      </c>
      <c r="I291" s="149">
        <f t="shared" si="50"/>
        <v>0</v>
      </c>
      <c r="J291" s="149">
        <f t="shared" ref="J291:M291" si="51">J273+J277+J179+J223</f>
        <v>0</v>
      </c>
      <c r="K291" s="149">
        <f t="shared" si="51"/>
        <v>0</v>
      </c>
      <c r="L291" s="149">
        <f t="shared" si="51"/>
        <v>0</v>
      </c>
      <c r="M291" s="149">
        <f t="shared" si="51"/>
        <v>0</v>
      </c>
    </row>
    <row r="292" spans="1:13" s="134" customFormat="1" ht="16">
      <c r="A292" s="145"/>
      <c r="B292" s="152" t="s">
        <v>16</v>
      </c>
      <c r="C292" s="149">
        <f>SUMIF(Доп.расчеты!$B$3:$GT$3,Свод!C4,Доп.расчеты!$B$313:$GT$313)</f>
        <v>386.58850000000001</v>
      </c>
      <c r="D292" s="149">
        <f>SUMIF(Доп.расчеты!$B$3:$GT$3,Свод!D4,Доп.расчеты!$B$313:$GT$313)</f>
        <v>-6632.4394646046785</v>
      </c>
      <c r="E292" s="149">
        <f>SUMIF(Доп.расчеты!$B$3:$GT$3,Свод!E4,Доп.расчеты!$B$313:$GT$313)</f>
        <v>-6632.4394646046785</v>
      </c>
      <c r="F292" s="149">
        <f>SUMIF(Доп.расчеты!$B$3:$GT$3,Свод!F4,Доп.расчеты!$B$313:$GT$313)</f>
        <v>-6632.4394646046785</v>
      </c>
      <c r="G292" s="149">
        <f>SUMIF(Доп.расчеты!$B$3:$GT$3,Свод!G4,Доп.расчеты!$B$313:$GT$313)</f>
        <v>-6632.4394646046785</v>
      </c>
      <c r="H292" s="149">
        <f>SUMIF(Доп.расчеты!$B$3:$GT$3,Свод!H4,Доп.расчеты!$B$313:$GT$313)</f>
        <v>0</v>
      </c>
      <c r="I292" s="149">
        <f>SUMIF(Доп.расчеты!$B$3:$GT$3,Свод!I4,Доп.расчеты!$B$313:$GT$313)</f>
        <v>0</v>
      </c>
      <c r="J292" s="149">
        <f>SUMIF(Доп.расчеты!$B$3:$GT$3,Свод!J4,Доп.расчеты!$B$313:$GT$313)</f>
        <v>0</v>
      </c>
      <c r="K292" s="149">
        <f>SUMIF(Доп.расчеты!$B$3:$GT$3,Свод!K4,Доп.расчеты!$B$313:$GT$313)</f>
        <v>0</v>
      </c>
      <c r="L292" s="149">
        <f>SUMIF(Доп.расчеты!$B$3:$GT$3,Свод!L4,Доп.расчеты!$B$313:$GT$313)</f>
        <v>0</v>
      </c>
      <c r="M292" s="149">
        <f>SUMIF(Доп.расчеты!$B$3:$GT$3,Свод!M4,Доп.расчеты!$B$313:$GT$313)</f>
        <v>0</v>
      </c>
    </row>
    <row r="293" spans="1:13" s="134" customFormat="1" ht="16">
      <c r="A293" s="145"/>
      <c r="B293" s="152" t="s">
        <v>1</v>
      </c>
      <c r="C293" s="149">
        <f>SUMIF(Доп.расчеты!$B$3:$GT$3,Свод!C4,Доп.расчеты!$B$310:$GT$310)</f>
        <v>-1546.354</v>
      </c>
      <c r="D293" s="149">
        <f>SUMIF(Доп.расчеты!$B$3:$GT$3,Свод!D4,Доп.расчеты!$B$310:$GT$310)</f>
        <v>-2389.5479999999993</v>
      </c>
      <c r="E293" s="149">
        <f>SUMIF(Доп.расчеты!$B$3:$GT$3,Свод!E4,Доп.расчеты!$B$310:$GT$310)</f>
        <v>-2389.5479999999993</v>
      </c>
      <c r="F293" s="149">
        <f>SUMIF(Доп.расчеты!$B$3:$GT$3,Свод!F4,Доп.расчеты!$B$310:$GT$310)</f>
        <v>-2389.5479999999993</v>
      </c>
      <c r="G293" s="149">
        <f>SUMIF(Доп.расчеты!$B$3:$GT$3,Свод!G4,Доп.расчеты!$B$310:$GT$310)</f>
        <v>-2389.5479999999993</v>
      </c>
      <c r="H293" s="149">
        <f>SUMIF(Доп.расчеты!$B$3:$GT$3,Свод!H4,Доп.расчеты!$B$310:$GT$310)</f>
        <v>0</v>
      </c>
      <c r="I293" s="149">
        <f>SUMIF(Доп.расчеты!$B$3:$GT$3,Свод!I4,Доп.расчеты!$B$310:$GT$310)</f>
        <v>0</v>
      </c>
      <c r="J293" s="149">
        <f>SUMIF(Доп.расчеты!$B$3:$GT$3,Свод!J4,Доп.расчеты!$B$310:$GT$310)</f>
        <v>0</v>
      </c>
      <c r="K293" s="149">
        <f>SUMIF(Доп.расчеты!$B$3:$GT$3,Свод!K4,Доп.расчеты!$B$310:$GT$310)</f>
        <v>0</v>
      </c>
      <c r="L293" s="149">
        <f>SUMIF(Доп.расчеты!$B$3:$GT$3,Свод!L4,Доп.расчеты!$B$310:$GT$310)</f>
        <v>0</v>
      </c>
      <c r="M293" s="149">
        <f>SUMIF(Доп.расчеты!$B$3:$GT$3,Свод!M4,Доп.расчеты!$B$310:$GT$310)</f>
        <v>0</v>
      </c>
    </row>
    <row r="294" spans="1:13" s="134" customFormat="1" ht="16">
      <c r="A294" s="145"/>
      <c r="B294" s="153" t="s">
        <v>2</v>
      </c>
      <c r="C294" s="154">
        <f>C150+C179+C194+C223+C238+C292+C277+C273+C175+C219+C263</f>
        <v>-11561.151499999998</v>
      </c>
      <c r="D294" s="154">
        <f>D150+D179+D194+D223+D238+D292+D277+D273+D175+D219+D263</f>
        <v>22286.866393814034</v>
      </c>
      <c r="E294" s="154">
        <f t="shared" ref="E294:M294" si="52">E150+E179+E194+E223+E238+E292+E277+E273+E175+E219+E263</f>
        <v>22286.866393814034</v>
      </c>
      <c r="F294" s="154">
        <f t="shared" si="52"/>
        <v>22286.866393814034</v>
      </c>
      <c r="G294" s="154">
        <f>G150+G179+G194+G223+G238+G292+G277+G273+G175+G219+G263</f>
        <v>22286.866393814034</v>
      </c>
      <c r="H294" s="154">
        <f t="shared" si="52"/>
        <v>0</v>
      </c>
      <c r="I294" s="154">
        <f t="shared" si="52"/>
        <v>0</v>
      </c>
      <c r="J294" s="154">
        <f t="shared" si="52"/>
        <v>0</v>
      </c>
      <c r="K294" s="154">
        <f t="shared" si="52"/>
        <v>0</v>
      </c>
      <c r="L294" s="154">
        <f t="shared" si="52"/>
        <v>0</v>
      </c>
      <c r="M294" s="154">
        <f t="shared" si="52"/>
        <v>0</v>
      </c>
    </row>
    <row r="295" spans="1:13" s="134" customFormat="1">
      <c r="A295" s="145"/>
      <c r="B295" s="155"/>
      <c r="C295" s="156"/>
      <c r="D295" s="156"/>
      <c r="E295" s="156"/>
      <c r="F295" s="156"/>
      <c r="G295" s="156"/>
      <c r="H295" s="156"/>
      <c r="I295" s="156"/>
      <c r="J295" s="156"/>
      <c r="K295" s="156"/>
      <c r="L295" s="156"/>
      <c r="M295" s="156"/>
    </row>
    <row r="296" spans="1:13" ht="20" thickBot="1">
      <c r="B296" s="135" t="s">
        <v>236</v>
      </c>
      <c r="C296" s="161"/>
      <c r="D296" s="161"/>
      <c r="E296" s="161"/>
      <c r="F296" s="161"/>
      <c r="G296" s="161"/>
      <c r="H296" s="161"/>
      <c r="I296" s="161"/>
      <c r="J296" s="161"/>
      <c r="K296" s="161"/>
      <c r="L296" s="161"/>
      <c r="M296" s="161"/>
    </row>
    <row r="297" spans="1:13" ht="16" hidden="1" outlineLevel="1" thickTop="1">
      <c r="B297" s="130" t="s">
        <v>28</v>
      </c>
      <c r="C297" s="162">
        <v>1</v>
      </c>
      <c r="D297" s="162">
        <f t="shared" ref="D297:M297" si="53">C297/(1+D6)</f>
        <v>0.86206896551724144</v>
      </c>
      <c r="E297" s="162">
        <f t="shared" si="53"/>
        <v>0.74316290130796681</v>
      </c>
      <c r="F297" s="162">
        <f t="shared" si="53"/>
        <v>0.64065767354135073</v>
      </c>
      <c r="G297" s="162">
        <f t="shared" si="53"/>
        <v>0.55229109788047481</v>
      </c>
      <c r="H297" s="162">
        <f t="shared" si="53"/>
        <v>0.47611301541420248</v>
      </c>
      <c r="I297" s="162">
        <f t="shared" si="53"/>
        <v>0.41044225466741596</v>
      </c>
      <c r="J297" s="162">
        <f t="shared" si="53"/>
        <v>0.35382952988570343</v>
      </c>
      <c r="K297" s="162">
        <f t="shared" si="53"/>
        <v>0.30502545679802023</v>
      </c>
      <c r="L297" s="162">
        <f t="shared" si="53"/>
        <v>0.26295297999829331</v>
      </c>
      <c r="M297" s="162">
        <f t="shared" si="53"/>
        <v>0.2266836034468046</v>
      </c>
    </row>
    <row r="298" spans="1:13" s="166" customFormat="1" ht="17" collapsed="1" thickTop="1">
      <c r="A298" s="163"/>
      <c r="B298" s="164" t="s">
        <v>232</v>
      </c>
      <c r="C298" s="165">
        <f>C299+C300</f>
        <v>-11947.739999999998</v>
      </c>
      <c r="D298" s="165">
        <f>D299+D300</f>
        <v>0</v>
      </c>
      <c r="E298" s="165">
        <f>E299+E300</f>
        <v>0</v>
      </c>
      <c r="F298" s="165">
        <f>F299+F300</f>
        <v>0</v>
      </c>
      <c r="G298" s="165">
        <f t="shared" ref="G298:M298" si="54">G299+G300</f>
        <v>0</v>
      </c>
      <c r="H298" s="165">
        <f>H299+H300</f>
        <v>0</v>
      </c>
      <c r="I298" s="165">
        <f>I299+I300</f>
        <v>0</v>
      </c>
      <c r="J298" s="165">
        <f t="shared" si="54"/>
        <v>0</v>
      </c>
      <c r="K298" s="165">
        <f t="shared" si="54"/>
        <v>0</v>
      </c>
      <c r="L298" s="165">
        <f>L299+L300</f>
        <v>0</v>
      </c>
      <c r="M298" s="165">
        <f t="shared" si="54"/>
        <v>0</v>
      </c>
    </row>
    <row r="299" spans="1:13" s="166" customFormat="1" ht="16" hidden="1" outlineLevel="1">
      <c r="A299" s="163"/>
      <c r="B299" s="233" t="s">
        <v>244</v>
      </c>
      <c r="C299" s="168">
        <f>(C150+C194+C238)-(C10+C90)</f>
        <v>-11947.739999999998</v>
      </c>
      <c r="D299" s="168">
        <f t="shared" ref="D299:M299" si="55">(D150+D194+D238)-(D10+D90)</f>
        <v>0</v>
      </c>
      <c r="E299" s="168">
        <f t="shared" si="55"/>
        <v>0</v>
      </c>
      <c r="F299" s="168">
        <f t="shared" si="55"/>
        <v>0</v>
      </c>
      <c r="G299" s="168">
        <f t="shared" si="55"/>
        <v>0</v>
      </c>
      <c r="H299" s="168">
        <f t="shared" si="55"/>
        <v>0</v>
      </c>
      <c r="I299" s="168">
        <f t="shared" si="55"/>
        <v>0</v>
      </c>
      <c r="J299" s="168">
        <f t="shared" si="55"/>
        <v>0</v>
      </c>
      <c r="K299" s="168">
        <f t="shared" si="55"/>
        <v>0</v>
      </c>
      <c r="L299" s="168">
        <f t="shared" si="55"/>
        <v>0</v>
      </c>
      <c r="M299" s="168">
        <f t="shared" si="55"/>
        <v>0</v>
      </c>
    </row>
    <row r="300" spans="1:13" s="166" customFormat="1" ht="16" hidden="1" outlineLevel="1">
      <c r="A300" s="163"/>
      <c r="B300" s="233" t="s">
        <v>245</v>
      </c>
      <c r="C300" s="168">
        <f>(C175+C219+C263)-(C115)</f>
        <v>0</v>
      </c>
      <c r="D300" s="168">
        <f>(D175+D219+D263)-(D115)</f>
        <v>0</v>
      </c>
      <c r="E300" s="168">
        <f t="shared" ref="E300:M300" si="56">(E175+E219+E263)-(E115)</f>
        <v>0</v>
      </c>
      <c r="F300" s="168">
        <f t="shared" si="56"/>
        <v>0</v>
      </c>
      <c r="G300" s="168">
        <f t="shared" si="56"/>
        <v>0</v>
      </c>
      <c r="H300" s="168">
        <f t="shared" si="56"/>
        <v>0</v>
      </c>
      <c r="I300" s="168">
        <f t="shared" si="56"/>
        <v>0</v>
      </c>
      <c r="J300" s="168">
        <f t="shared" si="56"/>
        <v>0</v>
      </c>
      <c r="K300" s="168">
        <f t="shared" si="56"/>
        <v>0</v>
      </c>
      <c r="L300" s="168">
        <f t="shared" si="56"/>
        <v>0</v>
      </c>
      <c r="M300" s="168">
        <f t="shared" si="56"/>
        <v>0</v>
      </c>
    </row>
    <row r="301" spans="1:13" s="166" customFormat="1" ht="16" collapsed="1">
      <c r="A301" s="163"/>
      <c r="B301" s="167" t="s">
        <v>73</v>
      </c>
      <c r="C301" s="168">
        <f>C278-C130</f>
        <v>0</v>
      </c>
      <c r="D301" s="168">
        <f>D278-D130</f>
        <v>0</v>
      </c>
      <c r="E301" s="168">
        <f>E278-E130</f>
        <v>0</v>
      </c>
      <c r="F301" s="168">
        <f t="shared" ref="F301:I301" si="57">F278-F130</f>
        <v>0</v>
      </c>
      <c r="G301" s="168">
        <f t="shared" si="57"/>
        <v>0</v>
      </c>
      <c r="H301" s="168">
        <f t="shared" si="57"/>
        <v>0</v>
      </c>
      <c r="I301" s="168">
        <f t="shared" si="57"/>
        <v>0</v>
      </c>
      <c r="J301" s="168">
        <f t="shared" ref="J301:M301" si="58">J278-J130</f>
        <v>0</v>
      </c>
      <c r="K301" s="168">
        <f t="shared" si="58"/>
        <v>0</v>
      </c>
      <c r="L301" s="168">
        <f t="shared" si="58"/>
        <v>0</v>
      </c>
      <c r="M301" s="168">
        <f t="shared" si="58"/>
        <v>0</v>
      </c>
    </row>
    <row r="302" spans="1:13" s="166" customFormat="1" ht="16" collapsed="1">
      <c r="A302" s="163"/>
      <c r="B302" s="164" t="s">
        <v>33</v>
      </c>
      <c r="C302" s="165">
        <f>C291-C143</f>
        <v>0</v>
      </c>
      <c r="D302" s="165">
        <f>D291-D143</f>
        <v>28919.305858418713</v>
      </c>
      <c r="E302" s="165">
        <f t="shared" ref="E302:I302" si="59">E291-E143</f>
        <v>28919.305858418713</v>
      </c>
      <c r="F302" s="165">
        <f>F291-F143</f>
        <v>28919.305858418713</v>
      </c>
      <c r="G302" s="165">
        <f t="shared" si="59"/>
        <v>28919.305858418713</v>
      </c>
      <c r="H302" s="165">
        <f t="shared" si="59"/>
        <v>0</v>
      </c>
      <c r="I302" s="165">
        <f t="shared" si="59"/>
        <v>0</v>
      </c>
      <c r="J302" s="165">
        <f t="shared" ref="J302:M302" si="60">J291-J143</f>
        <v>0</v>
      </c>
      <c r="K302" s="165">
        <f t="shared" si="60"/>
        <v>0</v>
      </c>
      <c r="L302" s="165">
        <f t="shared" si="60"/>
        <v>0</v>
      </c>
      <c r="M302" s="165">
        <f t="shared" si="60"/>
        <v>0</v>
      </c>
    </row>
    <row r="303" spans="1:13" hidden="1" outlineLevel="1">
      <c r="A303" s="169"/>
      <c r="B303" s="130" t="s">
        <v>71</v>
      </c>
      <c r="C303" s="140">
        <f>SUMIF(Доп.расчеты!$3:$3,Свод!C$4,Доп.расчеты!287:287)</f>
        <v>-1546.354</v>
      </c>
      <c r="D303" s="140">
        <f>SUMIF(Доп.расчеты!$3:$3,Свод!D$4,Доп.расчеты!287:287)</f>
        <v>-2389.5479999999993</v>
      </c>
      <c r="E303" s="140">
        <f>SUMIF(Доп.расчеты!$3:$3,Свод!E$4,Доп.расчеты!287:287)</f>
        <v>-2389.5479999999993</v>
      </c>
      <c r="F303" s="140">
        <f>SUMIF(Доп.расчеты!$3:$3,Свод!F$4,Доп.расчеты!287:287)</f>
        <v>-2389.5479999999993</v>
      </c>
      <c r="G303" s="140">
        <f>SUMIF(Доп.расчеты!$3:$3,Свод!G$4,Доп.расчеты!287:287)</f>
        <v>-2389.5479999999993</v>
      </c>
      <c r="H303" s="140">
        <f>SUMIF(Доп.расчеты!$3:$3,Свод!H$4,Доп.расчеты!287:287)</f>
        <v>0</v>
      </c>
      <c r="I303" s="140">
        <f>SUMIF(Доп.расчеты!$3:$3,Свод!I$4,Доп.расчеты!287:287)</f>
        <v>0</v>
      </c>
      <c r="J303" s="140">
        <f>SUMIF(Доп.расчеты!$3:$3,Свод!J$4,Доп.расчеты!287:287)</f>
        <v>0</v>
      </c>
      <c r="K303" s="140">
        <f>SUMIF(Доп.расчеты!$3:$3,Свод!K$4,Доп.расчеты!287:287)</f>
        <v>0</v>
      </c>
      <c r="L303" s="140">
        <f>SUMIF(Доп.расчеты!$3:$3,Свод!L$4,Доп.расчеты!287:287)</f>
        <v>0</v>
      </c>
      <c r="M303" s="140">
        <f>SUMIF(Доп.расчеты!$3:$3,Свод!M$4,Доп.расчеты!287:287)</f>
        <v>0</v>
      </c>
    </row>
    <row r="304" spans="1:13" collapsed="1">
      <c r="B304" s="170" t="s">
        <v>72</v>
      </c>
      <c r="C304" s="171">
        <f>SUMIF(Доп.расчеты!$3:$3,Свод!C$4,Доп.расчеты!288:288)</f>
        <v>386.58850000000001</v>
      </c>
      <c r="D304" s="171">
        <f>SUMIF(Доп.расчеты!$3:$3,Свод!D$4,Доп.расчеты!288:288)</f>
        <v>-6632.4394646046785</v>
      </c>
      <c r="E304" s="171">
        <f>SUMIF(Доп.расчеты!$3:$3,Свод!E$4,Доп.расчеты!288:288)</f>
        <v>-6632.4394646046785</v>
      </c>
      <c r="F304" s="171">
        <f>SUMIF(Доп.расчеты!$3:$3,Свод!F$4,Доп.расчеты!288:288)</f>
        <v>-6632.4394646046785</v>
      </c>
      <c r="G304" s="171">
        <f>SUMIF(Доп.расчеты!$3:$3,Свод!G$4,Доп.расчеты!288:288)</f>
        <v>-6632.4394646046785</v>
      </c>
      <c r="H304" s="171">
        <f>SUMIF(Доп.расчеты!$3:$3,Свод!H$4,Доп.расчеты!288:288)</f>
        <v>0</v>
      </c>
      <c r="I304" s="171">
        <f>SUMIF(Доп.расчеты!$3:$3,Свод!I$4,Доп.расчеты!288:288)</f>
        <v>0</v>
      </c>
      <c r="J304" s="171">
        <f>SUMIF(Доп.расчеты!$3:$3,Свод!J$4,Доп.расчеты!288:288)</f>
        <v>0</v>
      </c>
      <c r="K304" s="171">
        <f>SUMIF(Доп.расчеты!$3:$3,Свод!K$4,Доп.расчеты!288:288)</f>
        <v>0</v>
      </c>
      <c r="L304" s="171">
        <f>SUMIF(Доп.расчеты!$3:$3,Свод!L$4,Доп.расчеты!288:288)</f>
        <v>0</v>
      </c>
      <c r="M304" s="171">
        <f>SUMIF(Доп.расчеты!$3:$3,Свод!M$4,Доп.расчеты!288:288)</f>
        <v>0</v>
      </c>
    </row>
    <row r="305" spans="2:13" ht="17">
      <c r="B305" s="172" t="s">
        <v>199</v>
      </c>
      <c r="C305" s="173">
        <f>SUMIFS(Доп.расчеты!289:289,Доп.расчеты!3:3,Свод!C4)</f>
        <v>-11561.1515</v>
      </c>
      <c r="D305" s="173">
        <f>SUMIFS(Доп.расчеты!289:289,Доп.расчеты!3:3,Свод!D4)</f>
        <v>22286.866393814034</v>
      </c>
      <c r="E305" s="173">
        <f>SUMIFS(Доп.расчеты!289:289,Доп.расчеты!3:3,Свод!E4)</f>
        <v>22286.866393814034</v>
      </c>
      <c r="F305" s="173">
        <f>SUMIFS(Доп.расчеты!289:289,Доп.расчеты!3:3,Свод!F4)</f>
        <v>22286.866393814034</v>
      </c>
      <c r="G305" s="173">
        <f>SUMIFS(Доп.расчеты!289:289,Доп.расчеты!3:3,Свод!G4)</f>
        <v>22286.866393814034</v>
      </c>
      <c r="H305" s="173">
        <f>SUMIFS(Доп.расчеты!289:289,Доп.расчеты!3:3,Свод!H4)</f>
        <v>0</v>
      </c>
      <c r="I305" s="173">
        <f>SUMIFS(Доп.расчеты!289:289,Доп.расчеты!3:3,Свод!I4)</f>
        <v>0</v>
      </c>
      <c r="J305" s="173">
        <f>SUMIFS(Доп.расчеты!289:289,Доп.расчеты!3:3,Свод!J4)</f>
        <v>0</v>
      </c>
      <c r="K305" s="173">
        <f>SUMIFS(Доп.расчеты!289:289,Доп.расчеты!3:3,Свод!K4)</f>
        <v>0</v>
      </c>
      <c r="L305" s="173">
        <f>SUMIFS(Доп.расчеты!289:289,Доп.расчеты!3:3,Свод!L4)</f>
        <v>0</v>
      </c>
      <c r="M305" s="173">
        <f>SUMIFS(Доп.расчеты!289:289,Доп.расчеты!3:3,Свод!M4)</f>
        <v>0</v>
      </c>
    </row>
    <row r="306" spans="2:13" ht="18" thickBot="1">
      <c r="B306" s="130" t="s">
        <v>200</v>
      </c>
      <c r="C306" s="140">
        <f>SUMIFS(Доп.расчеты!290:290,Доп.расчеты!3:3,Свод!C4)</f>
        <v>-10992.390831659241</v>
      </c>
      <c r="D306" s="140">
        <f>SUMIFS(Доп.расчеты!290:290,Доп.расчеты!3:3,Свод!D4)</f>
        <v>17721.372207074935</v>
      </c>
      <c r="E306" s="140">
        <f>SUMIFS(Доп.расчеты!290:290,Доп.расчеты!3:3,Свод!E4)</f>
        <v>15277.045006099084</v>
      </c>
      <c r="F306" s="140">
        <f>SUMIFS(Доп.расчеты!290:290,Доп.расчеты!3:3,Свод!F4)</f>
        <v>13169.866384568175</v>
      </c>
      <c r="G306" s="140">
        <f>SUMIFS(Доп.расчеты!290:290,Доп.расчеты!3:3,Свод!G4)</f>
        <v>11353.333090144981</v>
      </c>
      <c r="H306" s="140">
        <f>SUMIFS(Доп.расчеты!290:290,Доп.расчеты!3:3,Свод!H4)</f>
        <v>0</v>
      </c>
      <c r="I306" s="140">
        <f>SUMIFS(Доп.расчеты!290:290,Доп.расчеты!3:3,Свод!I4)</f>
        <v>0</v>
      </c>
      <c r="J306" s="140">
        <f>SUMIFS(Доп.расчеты!290:290,Доп.расчеты!3:3,Свод!J4)</f>
        <v>0</v>
      </c>
      <c r="K306" s="140">
        <f>SUMIFS(Доп.расчеты!290:290,Доп.расчеты!3:3,Свод!K4)</f>
        <v>0</v>
      </c>
      <c r="L306" s="140">
        <f>SUMIFS(Доп.расчеты!290:290,Доп.расчеты!3:3,Свод!L4)</f>
        <v>0</v>
      </c>
      <c r="M306" s="140">
        <f>SUMIFS(Доп.расчеты!290:290,Доп.расчеты!3:3,Свод!M4)</f>
        <v>0</v>
      </c>
    </row>
    <row r="307" spans="2:13" hidden="1" outlineLevel="1">
      <c r="B307" s="130" t="s">
        <v>7</v>
      </c>
      <c r="C307" s="174">
        <f>SUM(C305:$C$305)</f>
        <v>-11561.1515</v>
      </c>
      <c r="D307" s="174">
        <f>SUM($C305:D$305)</f>
        <v>10725.714893814034</v>
      </c>
      <c r="E307" s="174">
        <f>SUM($C305:E$305)</f>
        <v>33012.581287628069</v>
      </c>
      <c r="F307" s="174">
        <f>SUM($C305:F$305)</f>
        <v>55299.447681442107</v>
      </c>
      <c r="G307" s="174">
        <f>SUM($C305:G$305)</f>
        <v>77586.314075256145</v>
      </c>
      <c r="H307" s="174">
        <f>SUM($C305:H$305)</f>
        <v>77586.314075256145</v>
      </c>
      <c r="I307" s="174">
        <f>SUM($C305:I$305)</f>
        <v>77586.314075256145</v>
      </c>
      <c r="J307" s="174">
        <f>SUM($C305:J$305)</f>
        <v>77586.314075256145</v>
      </c>
      <c r="K307" s="174">
        <f>SUM($C305:K$305)</f>
        <v>77586.314075256145</v>
      </c>
      <c r="L307" s="174">
        <f>SUM($C305:L$305)</f>
        <v>77586.314075256145</v>
      </c>
      <c r="M307" s="174">
        <f>SUM($C305:M$305)</f>
        <v>77586.314075256145</v>
      </c>
    </row>
    <row r="308" spans="2:13" hidden="1" outlineLevel="1">
      <c r="B308" s="130" t="s">
        <v>8</v>
      </c>
      <c r="C308" s="174">
        <f>SUM(C$306:$C306)</f>
        <v>-10992.390831659241</v>
      </c>
      <c r="D308" s="174">
        <f>SUM($C$306:D306)</f>
        <v>6728.9813754156949</v>
      </c>
      <c r="E308" s="174">
        <f>SUM($C$306:E306)</f>
        <v>22006.026381514777</v>
      </c>
      <c r="F308" s="174">
        <f>SUM($C$306:F306)</f>
        <v>35175.89276608295</v>
      </c>
      <c r="G308" s="174">
        <f>SUM($C$306:G306)</f>
        <v>46529.225856227931</v>
      </c>
      <c r="H308" s="174">
        <f>SUM($C$306:H306)</f>
        <v>46529.225856227931</v>
      </c>
      <c r="I308" s="174">
        <f>SUM($C$306:I306)</f>
        <v>46529.225856227931</v>
      </c>
      <c r="J308" s="174">
        <f>SUM($C$306:J306)</f>
        <v>46529.225856227931</v>
      </c>
      <c r="K308" s="174">
        <f>SUM($C$306:K306)</f>
        <v>46529.225856227931</v>
      </c>
      <c r="L308" s="174">
        <f>SUM($C$306:L306)</f>
        <v>46529.225856227931</v>
      </c>
      <c r="M308" s="174">
        <f>SUM($C$306:M306)</f>
        <v>46529.225856227931</v>
      </c>
    </row>
    <row r="309" spans="2:13" hidden="1" outlineLevel="1">
      <c r="B309" s="130"/>
    </row>
    <row r="310" spans="2:13" hidden="1" outlineLevel="1">
      <c r="B310" s="130" t="s">
        <v>3</v>
      </c>
      <c r="C310" s="174">
        <f>IF(C307&lt;0,1,IF(B307&gt;0,0,1-C307/(C307-B307)*1))*C7</f>
        <v>12</v>
      </c>
      <c r="D310" s="125">
        <f>IF(D307&lt;0,1,IF(C307&gt;0,0,1-D307/(D307-C307)*1))*D7</f>
        <v>6.2249136127323439</v>
      </c>
      <c r="E310" s="125">
        <f t="shared" ref="E310:M310" si="61">IF(E307&lt;0,1,IF(D307&gt;0,0,1-E307/(E307-D307)*1))*E7</f>
        <v>0</v>
      </c>
      <c r="F310" s="125">
        <f t="shared" si="61"/>
        <v>0</v>
      </c>
      <c r="G310" s="125">
        <f t="shared" si="61"/>
        <v>0</v>
      </c>
      <c r="H310" s="125">
        <f t="shared" si="61"/>
        <v>0</v>
      </c>
      <c r="I310" s="125">
        <f t="shared" si="61"/>
        <v>0</v>
      </c>
      <c r="J310" s="125">
        <f t="shared" si="61"/>
        <v>0</v>
      </c>
      <c r="K310" s="125">
        <f t="shared" si="61"/>
        <v>0</v>
      </c>
      <c r="L310" s="125">
        <f t="shared" si="61"/>
        <v>0</v>
      </c>
      <c r="M310" s="125">
        <f t="shared" si="61"/>
        <v>0</v>
      </c>
    </row>
    <row r="311" spans="2:13" ht="16" hidden="1" outlineLevel="1" thickBot="1">
      <c r="B311" s="130" t="s">
        <v>4</v>
      </c>
      <c r="C311" s="174">
        <f>IF(C308&lt;0,1,IF(B308&gt;0,0,1-C308/(C308-B308)*1))*C7</f>
        <v>12</v>
      </c>
      <c r="D311" s="125">
        <f t="shared" ref="D311:M311" si="62">IF(D308&lt;0,1,IF(C308&gt;0,0,1-D308/(D308-C308)*1))*D7</f>
        <v>7.4434805859587296</v>
      </c>
      <c r="E311" s="125">
        <f t="shared" si="62"/>
        <v>0</v>
      </c>
      <c r="F311" s="125">
        <f t="shared" si="62"/>
        <v>0</v>
      </c>
      <c r="G311" s="125">
        <f t="shared" si="62"/>
        <v>0</v>
      </c>
      <c r="H311" s="125">
        <f t="shared" si="62"/>
        <v>0</v>
      </c>
      <c r="I311" s="125">
        <f t="shared" si="62"/>
        <v>0</v>
      </c>
      <c r="J311" s="125">
        <f t="shared" si="62"/>
        <v>0</v>
      </c>
      <c r="K311" s="125">
        <f t="shared" si="62"/>
        <v>0</v>
      </c>
      <c r="L311" s="125">
        <f t="shared" si="62"/>
        <v>0</v>
      </c>
      <c r="M311" s="125">
        <f t="shared" si="62"/>
        <v>0</v>
      </c>
    </row>
    <row r="312" spans="2:13" ht="17" collapsed="1" thickTop="1">
      <c r="B312" s="175" t="s">
        <v>65</v>
      </c>
      <c r="C312" s="176">
        <f>Доп.расчеты!B291</f>
        <v>46529.225856227931</v>
      </c>
      <c r="D312" s="177"/>
      <c r="E312" s="177"/>
      <c r="F312" s="177"/>
      <c r="G312" s="177"/>
      <c r="H312" s="177"/>
      <c r="I312" s="177"/>
      <c r="J312" s="177"/>
      <c r="K312" s="177"/>
      <c r="L312" s="177"/>
      <c r="M312" s="177"/>
    </row>
    <row r="313" spans="2:13" ht="16">
      <c r="B313" s="178" t="s">
        <v>29</v>
      </c>
      <c r="C313" s="225">
        <f>Доп.расчеты!B292</f>
        <v>1.5519735791775449</v>
      </c>
      <c r="D313" s="179"/>
    </row>
    <row r="314" spans="2:13" ht="16">
      <c r="B314" s="180" t="s">
        <v>30</v>
      </c>
      <c r="C314" s="181">
        <f>Доп.расчеты!B299</f>
        <v>19.626954547745118</v>
      </c>
    </row>
    <row r="315" spans="2:13" ht="16">
      <c r="B315" s="180" t="s">
        <v>31</v>
      </c>
      <c r="C315" s="181">
        <f>Доп.расчеты!B300</f>
        <v>20.444829292837642</v>
      </c>
    </row>
    <row r="316" spans="2:13" ht="16">
      <c r="B316" s="180" t="str">
        <f>"EBITDA итого за "&amp;A7/12&amp;" "&amp;TEXT(VLOOKUP(TRUE,Доп.расчеты!B317:C326,2,0),"")&amp;", тыс. руб."</f>
        <v>EBITDA итого за 5 лет, тыс. руб.</v>
      </c>
      <c r="C316" s="181">
        <f>SUM(C302:M302)</f>
        <v>115677.22343367485</v>
      </c>
    </row>
    <row r="317" spans="2:13">
      <c r="B317" s="182"/>
      <c r="C317" s="182"/>
      <c r="D317" s="182"/>
      <c r="E317" s="182"/>
      <c r="F317" s="182"/>
      <c r="G317" s="182"/>
      <c r="H317" s="182"/>
      <c r="I317" s="182"/>
    </row>
    <row r="318" spans="2:13">
      <c r="B318" s="182"/>
      <c r="C318" s="182"/>
      <c r="D318" s="182"/>
      <c r="E318" s="182"/>
      <c r="F318" s="182"/>
      <c r="G318" s="182"/>
      <c r="H318" s="182"/>
      <c r="I318" s="182"/>
    </row>
    <row r="319" spans="2:13">
      <c r="B319" s="182"/>
      <c r="C319" s="182"/>
      <c r="D319" s="182"/>
      <c r="E319" s="182"/>
      <c r="F319" s="182"/>
      <c r="G319" s="182"/>
      <c r="H319" s="182"/>
      <c r="I319" s="182"/>
    </row>
    <row r="331" spans="1:9" hidden="1" outlineLevel="1">
      <c r="B331" s="183" t="s">
        <v>53</v>
      </c>
      <c r="C331" s="184">
        <f>SUMIF(Доп.расчеты!$3:$3,Свод!C$4,Доп.расчеты!289:289)</f>
        <v>-11561.1515</v>
      </c>
      <c r="D331" s="184">
        <f>SUMIF(Доп.расчеты!$3:$3,Свод!D$4,Доп.расчеты!289:289)</f>
        <v>22286.866393814034</v>
      </c>
      <c r="E331" s="184">
        <f>SUMIF(Доп.расчеты!$3:$3,Свод!E$4,Доп.расчеты!289:289)</f>
        <v>22286.866393814034</v>
      </c>
      <c r="F331" s="184">
        <f>SUMIF(Доп.расчеты!$3:$3,Свод!F$4,Доп.расчеты!289:289)</f>
        <v>22286.866393814034</v>
      </c>
      <c r="G331" s="184">
        <f>SUMIF(Доп.расчеты!$3:$3,Свод!G$4,Доп.расчеты!289:289)</f>
        <v>22286.866393814034</v>
      </c>
      <c r="H331" s="184">
        <f>SUMIF(Доп.расчеты!$3:$3,Свод!H$4,Доп.расчеты!289:289)</f>
        <v>0</v>
      </c>
      <c r="I331" s="184">
        <f>SUMIF(Доп.расчеты!$3:$3,Свод!I$4,Доп.расчеты!289:289)</f>
        <v>0</v>
      </c>
    </row>
    <row r="332" spans="1:9" s="183" customFormat="1" ht="16" hidden="1" outlineLevel="1">
      <c r="A332" s="185"/>
      <c r="B332" s="183" t="s">
        <v>52</v>
      </c>
      <c r="C332" s="186">
        <f>IRR(C305:I305)</f>
        <v>1.9005008033338013</v>
      </c>
    </row>
    <row r="333" spans="1:9" collapsed="1"/>
  </sheetData>
  <sheetProtection algorithmName="SHA-512" hashValue="T8BAQMpWKuscs18rF0B9DdTzPgHuiNqtrIW+VFtT9dSEdfhKD1esXIq2x53+e6alfA/nUOOZVJkqKOlFvFnclA==" saltValue="qJ2djslvj+N0nnFl6J/kcw==" spinCount="100000" sheet="1" formatCells="0" formatColumns="0" formatRows="0" insertColumns="0" insertRows="0" insertHyperlinks="0" deleteColumns="0" deleteRows="0" sort="0" autoFilter="0" pivotTables="0"/>
  <conditionalFormatting sqref="C305:M306">
    <cfRule type="cellIs" dxfId="7" priority="1" operator="lessThan">
      <formula>0</formula>
    </cfRule>
    <cfRule type="cellIs" dxfId="6" priority="2" operator="greaterThan">
      <formula>0</formula>
    </cfRule>
  </conditionalFormatting>
  <pageMargins left="0.25" right="0.25" top="0.75" bottom="0.75" header="0.3" footer="0.3"/>
  <pageSetup paperSize="9" scale="65" fitToWidth="0" orientation="landscape"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8">
    <tabColor theme="3" tint="0.59999389629810485"/>
  </sheetPr>
  <dimension ref="A1:GV123"/>
  <sheetViews>
    <sheetView showGridLines="0" zoomScale="60" zoomScaleNormal="60" workbookViewId="0">
      <pane xSplit="2" ySplit="70" topLeftCell="C71" activePane="bottomRight" state="frozen"/>
      <selection pane="topRight" activeCell="C1" sqref="C1"/>
      <selection pane="bottomLeft" activeCell="A71" sqref="A71"/>
      <selection pane="bottomRight" activeCell="C80" sqref="C80"/>
    </sheetView>
  </sheetViews>
  <sheetFormatPr baseColWidth="10" defaultColWidth="9.1640625" defaultRowHeight="16" outlineLevelRow="1"/>
  <cols>
    <col min="1" max="1" width="67" style="22" customWidth="1"/>
    <col min="2" max="2" width="37.5" style="22" customWidth="1"/>
    <col min="3" max="202" width="24.5" style="22" customWidth="1"/>
    <col min="203" max="16384" width="9.1640625" style="22"/>
  </cols>
  <sheetData>
    <row r="1" spans="1:204" ht="24">
      <c r="A1" s="91" t="s">
        <v>174</v>
      </c>
      <c r="B1" s="21" t="s">
        <v>87</v>
      </c>
      <c r="C1" s="98">
        <v>46023</v>
      </c>
      <c r="D1" s="98">
        <v>46387</v>
      </c>
      <c r="E1" s="59" t="s">
        <v>144</v>
      </c>
      <c r="I1" s="22" t="str">
        <f>IF(($C$7/12)&gt;H11,#REF!+1,"")</f>
        <v/>
      </c>
      <c r="J1" s="22" t="str">
        <f>IF(($C$7/12)&gt;I11,I1+1,"")</f>
        <v/>
      </c>
      <c r="K1" s="22" t="str">
        <f>IF(($C$7/12)&gt;J11,J1+1,"")</f>
        <v/>
      </c>
      <c r="L1" s="22" t="str">
        <f>IF(($C$7/12)&gt;K11,K1+1,"")</f>
        <v/>
      </c>
      <c r="M1" s="22" t="str">
        <f>IF(($C$7/12)&gt;L11,L1+1,"")</f>
        <v/>
      </c>
    </row>
    <row r="2" spans="1:204" hidden="1" outlineLevel="1">
      <c r="A2" s="23"/>
      <c r="B2" s="24">
        <v>3</v>
      </c>
      <c r="C2" s="24" t="s">
        <v>9</v>
      </c>
    </row>
    <row r="3" spans="1:204" ht="30" hidden="1" customHeight="1" outlineLevel="1">
      <c r="C3" s="24">
        <v>2021</v>
      </c>
      <c r="D3" s="24">
        <v>2022</v>
      </c>
      <c r="E3" s="24">
        <v>2023</v>
      </c>
      <c r="F3" s="24">
        <v>2024</v>
      </c>
      <c r="G3" s="24">
        <v>2025</v>
      </c>
      <c r="H3" s="24">
        <v>2026</v>
      </c>
      <c r="I3" s="24">
        <v>2027</v>
      </c>
      <c r="J3" s="24">
        <v>2028</v>
      </c>
      <c r="K3" s="24"/>
      <c r="L3" s="24"/>
      <c r="M3" s="24"/>
      <c r="N3" s="24"/>
      <c r="O3" s="24"/>
      <c r="P3" s="24"/>
      <c r="Q3" s="24"/>
      <c r="R3" s="24"/>
      <c r="S3" s="24"/>
      <c r="T3" s="24"/>
      <c r="U3" s="24"/>
      <c r="V3" s="24"/>
      <c r="W3" s="24"/>
    </row>
    <row r="4" spans="1:204" ht="26" hidden="1" customHeight="1" outlineLevel="1">
      <c r="A4" s="24" t="s">
        <v>0</v>
      </c>
      <c r="B4" s="24"/>
      <c r="C4" s="25">
        <v>0.04</v>
      </c>
      <c r="D4" s="25">
        <v>0.04</v>
      </c>
      <c r="E4" s="25">
        <v>5.8999999999999997E-2</v>
      </c>
      <c r="F4" s="25">
        <v>8.1100000000000005E-2</v>
      </c>
      <c r="G4" s="25">
        <v>7.0000000000000007E-2</v>
      </c>
      <c r="H4" s="25">
        <v>7.0000000000000007E-2</v>
      </c>
      <c r="I4" s="25">
        <v>7.0000000000000007E-2</v>
      </c>
      <c r="J4" s="25">
        <v>0.05</v>
      </c>
      <c r="K4" s="25"/>
      <c r="L4" s="25"/>
      <c r="M4" s="25"/>
      <c r="N4" s="25"/>
      <c r="O4" s="25"/>
      <c r="P4" s="25"/>
      <c r="Q4" s="25"/>
      <c r="R4" s="25"/>
      <c r="S4" s="25"/>
      <c r="T4" s="25"/>
      <c r="U4" s="25"/>
      <c r="V4" s="25"/>
      <c r="W4" s="25"/>
    </row>
    <row r="5" spans="1:204" hidden="1" outlineLevel="1">
      <c r="A5" s="221" t="s">
        <v>227</v>
      </c>
      <c r="B5" s="24"/>
      <c r="C5" s="25">
        <f>IFERROR(HLOOKUP(C14,WACC_monthly!1:2,2,0),B5)</f>
        <v>0.16</v>
      </c>
      <c r="D5" s="25">
        <f>IFERROR(HLOOKUP(D14,WACC_monthly!1:2,2,0),C5)</f>
        <v>0.16</v>
      </c>
      <c r="E5" s="25">
        <f>IFERROR(HLOOKUP(E14,WACC_monthly!1:2,2,0),D5)</f>
        <v>0.16</v>
      </c>
      <c r="F5" s="25">
        <f>IFERROR(HLOOKUP(F14,WACC_monthly!1:2,2,0),E5)</f>
        <v>0.16</v>
      </c>
      <c r="G5" s="25">
        <f>IFERROR(HLOOKUP(G14,WACC_monthly!1:2,2,0),F5)</f>
        <v>0.16</v>
      </c>
      <c r="H5" s="25">
        <f>IFERROR(HLOOKUP(H14,WACC_monthly!1:2,2,0),G5)</f>
        <v>0.16</v>
      </c>
      <c r="I5" s="25">
        <f>IFERROR(HLOOKUP(I14,WACC_monthly!1:2,2,0),H5)</f>
        <v>0.16</v>
      </c>
      <c r="J5" s="25">
        <f>IFERROR(HLOOKUP(J14,WACC_monthly!1:2,2,0),I5)</f>
        <v>0.16</v>
      </c>
      <c r="K5" s="25">
        <f>IFERROR(HLOOKUP(K14,WACC_monthly!1:2,2,0),J5)</f>
        <v>0.16</v>
      </c>
      <c r="L5" s="25">
        <f>IFERROR(HLOOKUP(L14,WACC_monthly!1:2,2,0),K5)</f>
        <v>0.16</v>
      </c>
      <c r="M5" s="25">
        <f>IFERROR(HLOOKUP(M14,WACC_monthly!1:2,2,0),L5)</f>
        <v>0.16</v>
      </c>
      <c r="N5" s="25">
        <f>IFERROR(HLOOKUP(N14,WACC_monthly!1:2,2,0),M5)</f>
        <v>0.16</v>
      </c>
      <c r="O5" s="25">
        <f>IFERROR(HLOOKUP(O14,WACC_monthly!1:2,2,0),N5)</f>
        <v>0.16</v>
      </c>
      <c r="P5" s="25">
        <f>IFERROR(HLOOKUP(P14,WACC_monthly!1:2,2,0),O5)</f>
        <v>0.16</v>
      </c>
      <c r="Q5" s="25">
        <f>IFERROR(HLOOKUP(Q14,WACC_monthly!1:2,2,0),P5)</f>
        <v>0.16</v>
      </c>
      <c r="R5" s="25">
        <f>IFERROR(HLOOKUP(R14,WACC_monthly!1:2,2,0),Q5)</f>
        <v>0.16</v>
      </c>
      <c r="S5" s="25">
        <f>IFERROR(HLOOKUP(S14,WACC_monthly!1:2,2,0),R5)</f>
        <v>0.16</v>
      </c>
      <c r="T5" s="25">
        <f>IFERROR(HLOOKUP(T14,WACC_monthly!1:2,2,0),S5)</f>
        <v>0.16</v>
      </c>
      <c r="U5" s="25">
        <f>IFERROR(HLOOKUP(U14,WACC_monthly!1:2,2,0),T5)</f>
        <v>0.16</v>
      </c>
      <c r="V5" s="25">
        <f>IFERROR(HLOOKUP(V14,WACC_monthly!1:2,2,0),U5)</f>
        <v>0.16</v>
      </c>
      <c r="W5" s="25">
        <f>IFERROR(HLOOKUP(W14,WACC_monthly!1:2,2,0),V5)</f>
        <v>0.16</v>
      </c>
      <c r="X5" s="25">
        <f>IFERROR(HLOOKUP(X14,WACC_monthly!1:2,2,0),W5)</f>
        <v>0.16</v>
      </c>
      <c r="Y5" s="25">
        <f>IFERROR(HLOOKUP(Y14,WACC_monthly!1:2,2,0),X5)</f>
        <v>0.16</v>
      </c>
      <c r="Z5" s="25">
        <f>IFERROR(HLOOKUP(Z14,WACC_monthly!1:2,2,0),Y5)</f>
        <v>0.16</v>
      </c>
      <c r="AA5" s="25">
        <f>IFERROR(HLOOKUP(AA14,WACC_monthly!1:2,2,0),Z5)</f>
        <v>0.16</v>
      </c>
      <c r="AB5" s="25">
        <f>IFERROR(HLOOKUP(AB14,WACC_monthly!1:2,2,0),AA5)</f>
        <v>0.16</v>
      </c>
      <c r="AC5" s="25">
        <f>IFERROR(HLOOKUP(AC14,WACC_monthly!1:2,2,0),AB5)</f>
        <v>0.16</v>
      </c>
      <c r="AD5" s="25">
        <f>IFERROR(HLOOKUP(AD14,WACC_monthly!1:2,2,0),AC5)</f>
        <v>0.16</v>
      </c>
      <c r="AE5" s="25">
        <f>IFERROR(HLOOKUP(AE14,WACC_monthly!1:2,2,0),AD5)</f>
        <v>0.16</v>
      </c>
      <c r="AF5" s="25">
        <f>IFERROR(HLOOKUP(AF14,WACC_monthly!1:2,2,0),AE5)</f>
        <v>0.16</v>
      </c>
      <c r="AG5" s="25">
        <f>IFERROR(HLOOKUP(AG14,WACC_monthly!1:2,2,0),AF5)</f>
        <v>0.16</v>
      </c>
      <c r="AH5" s="25">
        <f>IFERROR(HLOOKUP(AH14,WACC_monthly!1:2,2,0),AG5)</f>
        <v>0.16</v>
      </c>
      <c r="AI5" s="25">
        <f>IFERROR(HLOOKUP(AI14,WACC_monthly!1:2,2,0),AH5)</f>
        <v>0.16</v>
      </c>
      <c r="AJ5" s="25">
        <f>IFERROR(HLOOKUP(AJ14,WACC_monthly!1:2,2,0),AI5)</f>
        <v>0.16</v>
      </c>
      <c r="AK5" s="25">
        <f>IFERROR(HLOOKUP(AK14,WACC_monthly!1:2,2,0),AJ5)</f>
        <v>0.16</v>
      </c>
      <c r="AL5" s="25">
        <f>IFERROR(HLOOKUP(AL14,WACC_monthly!1:2,2,0),AK5)</f>
        <v>0.16</v>
      </c>
      <c r="AM5" s="25">
        <f>IFERROR(HLOOKUP(AM14,WACC_monthly!1:2,2,0),AL5)</f>
        <v>0.16</v>
      </c>
      <c r="AN5" s="25">
        <f>IFERROR(HLOOKUP(AN14,WACC_monthly!1:2,2,0),AM5)</f>
        <v>0.16</v>
      </c>
      <c r="AO5" s="25">
        <f>IFERROR(HLOOKUP(AO14,WACC_monthly!1:2,2,0),AN5)</f>
        <v>0.16</v>
      </c>
      <c r="AP5" s="25">
        <f>IFERROR(HLOOKUP(AP14,WACC_monthly!1:2,2,0),AO5)</f>
        <v>0.16</v>
      </c>
      <c r="AQ5" s="25">
        <f>IFERROR(HLOOKUP(AQ14,WACC_monthly!1:2,2,0),AP5)</f>
        <v>0.16</v>
      </c>
      <c r="AR5" s="25">
        <f>IFERROR(HLOOKUP(AR14,WACC_monthly!1:2,2,0),AQ5)</f>
        <v>0.16</v>
      </c>
      <c r="AS5" s="25">
        <f>IFERROR(HLOOKUP(AS14,WACC_monthly!1:2,2,0),AR5)</f>
        <v>0.16</v>
      </c>
      <c r="AT5" s="25">
        <f>IFERROR(HLOOKUP(AT14,WACC_monthly!1:2,2,0),AS5)</f>
        <v>0.16</v>
      </c>
      <c r="AU5" s="25">
        <f>IFERROR(HLOOKUP(AU14,WACC_monthly!1:2,2,0),AT5)</f>
        <v>0.16</v>
      </c>
      <c r="AV5" s="25">
        <f>IFERROR(HLOOKUP(AV14,WACC_monthly!1:2,2,0),AU5)</f>
        <v>0.16</v>
      </c>
      <c r="AW5" s="25">
        <f>IFERROR(HLOOKUP(AW14,WACC_monthly!1:2,2,0),AV5)</f>
        <v>0.16</v>
      </c>
      <c r="AX5" s="25">
        <f>IFERROR(HLOOKUP(AX14,WACC_monthly!1:2,2,0),AW5)</f>
        <v>0.16</v>
      </c>
      <c r="AY5" s="25">
        <f>IFERROR(HLOOKUP(AY14,WACC_monthly!1:2,2,0),AX5)</f>
        <v>0.16</v>
      </c>
      <c r="AZ5" s="25">
        <f>IFERROR(HLOOKUP(AZ14,WACC_monthly!1:2,2,0),AY5)</f>
        <v>0.16</v>
      </c>
      <c r="BA5" s="25">
        <f>IFERROR(HLOOKUP(BA14,WACC_monthly!1:2,2,0),AZ5)</f>
        <v>0.16</v>
      </c>
      <c r="BB5" s="25">
        <f>IFERROR(HLOOKUP(BB14,WACC_monthly!1:2,2,0),BA5)</f>
        <v>0.16</v>
      </c>
      <c r="BC5" s="25">
        <f>IFERROR(HLOOKUP(BC14,WACC_monthly!1:2,2,0),BB5)</f>
        <v>0.16</v>
      </c>
      <c r="BD5" s="25">
        <f>IFERROR(HLOOKUP(BD14,WACC_monthly!1:2,2,0),BC5)</f>
        <v>0.16</v>
      </c>
      <c r="BE5" s="25">
        <f>IFERROR(HLOOKUP(BE14,WACC_monthly!1:2,2,0),BD5)</f>
        <v>0.16</v>
      </c>
      <c r="BF5" s="25">
        <f>IFERROR(HLOOKUP(BF14,WACC_monthly!1:2,2,0),BE5)</f>
        <v>0.16</v>
      </c>
      <c r="BG5" s="25">
        <f>IFERROR(HLOOKUP(BG14,WACC_monthly!1:2,2,0),BF5)</f>
        <v>0.16</v>
      </c>
      <c r="BH5" s="25">
        <f>IFERROR(HLOOKUP(BH14,WACC_monthly!1:2,2,0),BG5)</f>
        <v>0.16</v>
      </c>
      <c r="BI5" s="25">
        <f>IFERROR(HLOOKUP(BI14,WACC_monthly!1:2,2,0),BH5)</f>
        <v>0.16</v>
      </c>
      <c r="BJ5" s="25">
        <f>IFERROR(HLOOKUP(BJ14,WACC_monthly!1:2,2,0),BI5)</f>
        <v>0.16</v>
      </c>
      <c r="BK5" s="25">
        <f>IFERROR(HLOOKUP(BK14,WACC_monthly!1:2,2,0),BJ5)</f>
        <v>0.16</v>
      </c>
      <c r="BL5" s="25">
        <f>IFERROR(HLOOKUP(BL14,WACC_monthly!1:2,2,0),BK5)</f>
        <v>0.16</v>
      </c>
      <c r="BM5" s="25">
        <f>IFERROR(HLOOKUP(BM14,WACC_monthly!1:2,2,0),BL5)</f>
        <v>0.16</v>
      </c>
      <c r="BN5" s="25">
        <f>IFERROR(HLOOKUP(BN14,WACC_monthly!1:2,2,0),BM5)</f>
        <v>0.16</v>
      </c>
      <c r="BO5" s="25">
        <f>IFERROR(HLOOKUP(BO14,WACC_monthly!1:2,2,0),BN5)</f>
        <v>0.16</v>
      </c>
      <c r="BP5" s="25">
        <f>IFERROR(HLOOKUP(BP14,WACC_monthly!1:2,2,0),BO5)</f>
        <v>0.16</v>
      </c>
      <c r="BQ5" s="25">
        <f>IFERROR(HLOOKUP(BQ14,WACC_monthly!1:2,2,0),BP5)</f>
        <v>0.16</v>
      </c>
      <c r="BR5" s="25">
        <f>IFERROR(HLOOKUP(BR14,WACC_monthly!1:2,2,0),BQ5)</f>
        <v>0.16</v>
      </c>
      <c r="BS5" s="25">
        <f>IFERROR(HLOOKUP(BS14,WACC_monthly!1:2,2,0),BR5)</f>
        <v>0.16</v>
      </c>
      <c r="BT5" s="25">
        <f>IFERROR(HLOOKUP(BT14,WACC_monthly!1:2,2,0),BS5)</f>
        <v>0.16</v>
      </c>
      <c r="BU5" s="25">
        <f>IFERROR(HLOOKUP(BU14,WACC_monthly!1:2,2,0),BT5)</f>
        <v>0.16</v>
      </c>
      <c r="BV5" s="25">
        <f>IFERROR(HLOOKUP(BV14,WACC_monthly!1:2,2,0),BU5)</f>
        <v>0.16</v>
      </c>
      <c r="BW5" s="25">
        <f>IFERROR(HLOOKUP(BW14,WACC_monthly!1:2,2,0),BV5)</f>
        <v>0.16</v>
      </c>
      <c r="BX5" s="25">
        <f>IFERROR(HLOOKUP(BX14,WACC_monthly!1:2,2,0),BW5)</f>
        <v>0.16</v>
      </c>
      <c r="BY5" s="25">
        <f>IFERROR(HLOOKUP(BY14,WACC_monthly!1:2,2,0),BX5)</f>
        <v>0.16</v>
      </c>
      <c r="BZ5" s="25">
        <f>IFERROR(HLOOKUP(BZ14,WACC_monthly!1:2,2,0),BY5)</f>
        <v>0.16</v>
      </c>
      <c r="CA5" s="25">
        <f>IFERROR(HLOOKUP(CA14,WACC_monthly!1:2,2,0),BZ5)</f>
        <v>0.16</v>
      </c>
      <c r="CB5" s="25">
        <f>IFERROR(HLOOKUP(CB14,WACC_monthly!1:2,2,0),CA5)</f>
        <v>0.16</v>
      </c>
      <c r="CC5" s="25">
        <f>IFERROR(HLOOKUP(CC14,WACC_monthly!1:2,2,0),CB5)</f>
        <v>0.16</v>
      </c>
      <c r="CD5" s="25">
        <f>IFERROR(HLOOKUP(CD14,WACC_monthly!1:2,2,0),CC5)</f>
        <v>0.16</v>
      </c>
      <c r="CE5" s="25">
        <f>IFERROR(HLOOKUP(CE14,WACC_monthly!1:2,2,0),CD5)</f>
        <v>0.16</v>
      </c>
      <c r="CF5" s="25">
        <f>IFERROR(HLOOKUP(CF14,WACC_monthly!1:2,2,0),CE5)</f>
        <v>0.16</v>
      </c>
      <c r="CG5" s="25">
        <f>IFERROR(HLOOKUP(CG14,WACC_monthly!1:2,2,0),CF5)</f>
        <v>0.16</v>
      </c>
      <c r="CH5" s="25">
        <f>IFERROR(HLOOKUP(CH14,WACC_monthly!1:2,2,0),CG5)</f>
        <v>0.16</v>
      </c>
      <c r="CI5" s="25">
        <f>IFERROR(HLOOKUP(CI14,WACC_monthly!1:2,2,0),CH5)</f>
        <v>0.16</v>
      </c>
      <c r="CJ5" s="25">
        <f>IFERROR(HLOOKUP(CJ14,WACC_monthly!1:2,2,0),CI5)</f>
        <v>0.16</v>
      </c>
      <c r="CK5" s="25">
        <f>IFERROR(HLOOKUP(CK14,WACC_monthly!1:2,2,0),CJ5)</f>
        <v>0.16</v>
      </c>
      <c r="CL5" s="25">
        <f>IFERROR(HLOOKUP(CL14,WACC_monthly!1:2,2,0),CK5)</f>
        <v>0.16</v>
      </c>
      <c r="CM5" s="25">
        <f>IFERROR(HLOOKUP(CM14,WACC_monthly!1:2,2,0),CL5)</f>
        <v>0.16</v>
      </c>
      <c r="CN5" s="25">
        <f>IFERROR(HLOOKUP(CN14,WACC_monthly!1:2,2,0),CM5)</f>
        <v>0.16</v>
      </c>
      <c r="CO5" s="25">
        <f>IFERROR(HLOOKUP(CO14,WACC_monthly!1:2,2,0),CN5)</f>
        <v>0.16</v>
      </c>
      <c r="CP5" s="25">
        <f>IFERROR(HLOOKUP(CP14,WACC_monthly!1:2,2,0),CO5)</f>
        <v>0.16</v>
      </c>
      <c r="CQ5" s="25">
        <f>IFERROR(HLOOKUP(CQ14,WACC_monthly!1:2,2,0),CP5)</f>
        <v>0.16</v>
      </c>
      <c r="CR5" s="25">
        <f>IFERROR(HLOOKUP(CR14,WACC_monthly!1:2,2,0),CQ5)</f>
        <v>0.16</v>
      </c>
      <c r="CS5" s="25">
        <f>IFERROR(HLOOKUP(CS14,WACC_monthly!1:2,2,0),CR5)</f>
        <v>0.16</v>
      </c>
      <c r="CT5" s="25">
        <f>IFERROR(HLOOKUP(CT14,WACC_monthly!1:2,2,0),CS5)</f>
        <v>0.16</v>
      </c>
      <c r="CU5" s="25">
        <f>IFERROR(HLOOKUP(CU14,WACC_monthly!1:2,2,0),CT5)</f>
        <v>0.16</v>
      </c>
      <c r="CV5" s="25">
        <f>IFERROR(HLOOKUP(CV14,WACC_monthly!1:2,2,0),CU5)</f>
        <v>0.16</v>
      </c>
      <c r="CW5" s="25">
        <f>IFERROR(HLOOKUP(CW14,WACC_monthly!1:2,2,0),CV5)</f>
        <v>0.16</v>
      </c>
      <c r="CX5" s="25">
        <f>IFERROR(HLOOKUP(CX14,WACC_monthly!1:2,2,0),CW5)</f>
        <v>0.16</v>
      </c>
      <c r="CY5" s="25">
        <f>IFERROR(HLOOKUP(CY14,WACC_monthly!1:2,2,0),CX5)</f>
        <v>0.16</v>
      </c>
      <c r="CZ5" s="25">
        <f>IFERROR(HLOOKUP(CZ14,WACC_monthly!1:2,2,0),CY5)</f>
        <v>0.16</v>
      </c>
      <c r="DA5" s="25">
        <f>IFERROR(HLOOKUP(DA14,WACC_monthly!1:2,2,0),CZ5)</f>
        <v>0.16</v>
      </c>
      <c r="DB5" s="25">
        <f>IFERROR(HLOOKUP(DB14,WACC_monthly!1:2,2,0),DA5)</f>
        <v>0.16</v>
      </c>
      <c r="DC5" s="25">
        <f>IFERROR(HLOOKUP(DC14,WACC_monthly!1:2,2,0),DB5)</f>
        <v>0.16</v>
      </c>
      <c r="DD5" s="25">
        <f>IFERROR(HLOOKUP(DD14,WACC_monthly!1:2,2,0),DC5)</f>
        <v>0.16</v>
      </c>
      <c r="DE5" s="25">
        <f>IFERROR(HLOOKUP(DE14,WACC_monthly!1:2,2,0),DD5)</f>
        <v>0.16</v>
      </c>
      <c r="DF5" s="25">
        <f>IFERROR(HLOOKUP(DF14,WACC_monthly!1:2,2,0),DE5)</f>
        <v>0.16</v>
      </c>
      <c r="DG5" s="25">
        <f>IFERROR(HLOOKUP(DG14,WACC_monthly!1:2,2,0),DF5)</f>
        <v>0.16</v>
      </c>
      <c r="DH5" s="25">
        <f>IFERROR(HLOOKUP(DH14,WACC_monthly!1:2,2,0),DG5)</f>
        <v>0.16</v>
      </c>
      <c r="DI5" s="25">
        <f>IFERROR(HLOOKUP(DI14,WACC_monthly!1:2,2,0),DH5)</f>
        <v>0.16</v>
      </c>
      <c r="DJ5" s="25">
        <f>IFERROR(HLOOKUP(DJ14,WACC_monthly!1:2,2,0),DI5)</f>
        <v>0.16</v>
      </c>
      <c r="DK5" s="25">
        <f>IFERROR(HLOOKUP(DK14,WACC_monthly!1:2,2,0),DJ5)</f>
        <v>0.16</v>
      </c>
      <c r="DL5" s="25">
        <f>IFERROR(HLOOKUP(DL14,WACC_monthly!1:2,2,0),DK5)</f>
        <v>0.16</v>
      </c>
      <c r="DM5" s="25">
        <f>IFERROR(HLOOKUP(DM14,WACC_monthly!1:2,2,0),DL5)</f>
        <v>0.16</v>
      </c>
      <c r="DN5" s="25">
        <f>IFERROR(HLOOKUP(DN14,WACC_monthly!1:2,2,0),DM5)</f>
        <v>0.16</v>
      </c>
      <c r="DO5" s="25">
        <f>IFERROR(HLOOKUP(DO14,WACC_monthly!1:2,2,0),DN5)</f>
        <v>0.16</v>
      </c>
      <c r="DP5" s="25">
        <f>IFERROR(HLOOKUP(DP14,WACC_monthly!1:2,2,0),DO5)</f>
        <v>0.16</v>
      </c>
      <c r="DQ5" s="25">
        <f>IFERROR(HLOOKUP(DQ14,WACC_monthly!1:2,2,0),DP5)</f>
        <v>0.16</v>
      </c>
      <c r="DR5" s="25">
        <f>IFERROR(HLOOKUP(DR14,WACC_monthly!1:2,2,0),DQ5)</f>
        <v>0.16</v>
      </c>
      <c r="DS5" s="25">
        <f>IFERROR(HLOOKUP(DS14,WACC_monthly!1:2,2,0),DR5)</f>
        <v>0.16</v>
      </c>
      <c r="DT5" s="25">
        <f>IFERROR(HLOOKUP(DT14,WACC_monthly!1:2,2,0),DS5)</f>
        <v>0.16</v>
      </c>
      <c r="DU5" s="25">
        <f>IFERROR(HLOOKUP(DU14,WACC_monthly!1:2,2,0),DT5)</f>
        <v>0.16</v>
      </c>
      <c r="DV5" s="25">
        <f>IFERROR(HLOOKUP(DV14,WACC_monthly!1:2,2,0),DU5)</f>
        <v>0.16</v>
      </c>
      <c r="DW5" s="25">
        <f>IFERROR(HLOOKUP(DW14,WACC_monthly!1:2,2,0),DV5)</f>
        <v>0.16</v>
      </c>
      <c r="DX5" s="25">
        <f>IFERROR(HLOOKUP(DX14,WACC_monthly!1:2,2,0),DW5)</f>
        <v>0.16</v>
      </c>
      <c r="DY5" s="25">
        <f>IFERROR(HLOOKUP(DY14,WACC_monthly!1:2,2,0),DX5)</f>
        <v>0.16</v>
      </c>
      <c r="DZ5" s="25">
        <f>IFERROR(HLOOKUP(DZ14,WACC_monthly!1:2,2,0),DY5)</f>
        <v>0.16</v>
      </c>
      <c r="EA5" s="25">
        <f>IFERROR(HLOOKUP(EA14,WACC_monthly!1:2,2,0),DZ5)</f>
        <v>0.16</v>
      </c>
      <c r="EB5" s="25">
        <f>IFERROR(HLOOKUP(EB14,WACC_monthly!1:2,2,0),EA5)</f>
        <v>0.16</v>
      </c>
      <c r="EC5" s="25">
        <f>IFERROR(HLOOKUP(EC14,WACC_monthly!1:2,2,0),EB5)</f>
        <v>0.16</v>
      </c>
      <c r="ED5" s="25">
        <f>IFERROR(HLOOKUP(ED14,WACC_monthly!1:2,2,0),EC5)</f>
        <v>0.16</v>
      </c>
      <c r="EE5" s="25">
        <f>IFERROR(HLOOKUP(EE14,WACC_monthly!1:2,2,0),ED5)</f>
        <v>0.16</v>
      </c>
      <c r="EF5" s="25">
        <f>IFERROR(HLOOKUP(EF14,WACC_monthly!1:2,2,0),EE5)</f>
        <v>0.16</v>
      </c>
      <c r="EG5" s="25">
        <f>IFERROR(HLOOKUP(EG14,WACC_monthly!1:2,2,0),EF5)</f>
        <v>0.16</v>
      </c>
      <c r="EH5" s="25">
        <f>IFERROR(HLOOKUP(EH14,WACC_monthly!1:2,2,0),EG5)</f>
        <v>0.16</v>
      </c>
      <c r="EI5" s="25">
        <f>IFERROR(HLOOKUP(EI14,WACC_monthly!1:2,2,0),EH5)</f>
        <v>0.16</v>
      </c>
      <c r="EJ5" s="25">
        <f>IFERROR(HLOOKUP(EJ14,WACC_monthly!1:2,2,0),EI5)</f>
        <v>0.16</v>
      </c>
      <c r="EK5" s="25">
        <f>IFERROR(HLOOKUP(EK14,WACC_monthly!1:2,2,0),EJ5)</f>
        <v>0.16</v>
      </c>
      <c r="EL5" s="25">
        <f>IFERROR(HLOOKUP(EL14,WACC_monthly!1:2,2,0),EK5)</f>
        <v>0.16</v>
      </c>
      <c r="EM5" s="25">
        <f>IFERROR(HLOOKUP(EM14,WACC_monthly!1:2,2,0),EL5)</f>
        <v>0.16</v>
      </c>
      <c r="EN5" s="25">
        <f>IFERROR(HLOOKUP(EN14,WACC_monthly!1:2,2,0),EM5)</f>
        <v>0.16</v>
      </c>
      <c r="EO5" s="25">
        <f>IFERROR(HLOOKUP(EO14,WACC_monthly!1:2,2,0),EN5)</f>
        <v>0.16</v>
      </c>
      <c r="EP5" s="25">
        <f>IFERROR(HLOOKUP(EP14,WACC_monthly!1:2,2,0),EO5)</f>
        <v>0.16</v>
      </c>
      <c r="EQ5" s="25">
        <f>IFERROR(HLOOKUP(EQ14,WACC_monthly!1:2,2,0),EP5)</f>
        <v>0.16</v>
      </c>
      <c r="ER5" s="25">
        <f>IFERROR(HLOOKUP(ER14,WACC_monthly!1:2,2,0),EQ5)</f>
        <v>0.16</v>
      </c>
      <c r="ES5" s="25">
        <f>IFERROR(HLOOKUP(ES14,WACC_monthly!1:2,2,0),ER5)</f>
        <v>0.16</v>
      </c>
      <c r="ET5" s="25">
        <f>IFERROR(HLOOKUP(ET14,WACC_monthly!1:2,2,0),ES5)</f>
        <v>0.16</v>
      </c>
      <c r="EU5" s="25">
        <f>IFERROR(HLOOKUP(EU14,WACC_monthly!1:2,2,0),ET5)</f>
        <v>0.16</v>
      </c>
      <c r="EV5" s="25">
        <f>IFERROR(HLOOKUP(EV14,WACC_monthly!1:2,2,0),EU5)</f>
        <v>0.16</v>
      </c>
      <c r="EW5" s="25">
        <f>IFERROR(HLOOKUP(EW14,WACC_monthly!1:2,2,0),EV5)</f>
        <v>0.16</v>
      </c>
      <c r="EX5" s="25">
        <f>IFERROR(HLOOKUP(EX14,WACC_monthly!1:2,2,0),EW5)</f>
        <v>0.16</v>
      </c>
      <c r="EY5" s="25">
        <f>IFERROR(HLOOKUP(EY14,WACC_monthly!1:2,2,0),EX5)</f>
        <v>0.16</v>
      </c>
      <c r="EZ5" s="25">
        <f>IFERROR(HLOOKUP(EZ14,WACC_monthly!1:2,2,0),EY5)</f>
        <v>0.16</v>
      </c>
      <c r="FA5" s="25">
        <f>IFERROR(HLOOKUP(FA14,WACC_monthly!1:2,2,0),EZ5)</f>
        <v>0.16</v>
      </c>
      <c r="FB5" s="25">
        <f>IFERROR(HLOOKUP(FB14,WACC_monthly!1:2,2,0),FA5)</f>
        <v>0.16</v>
      </c>
      <c r="FC5" s="25">
        <f>IFERROR(HLOOKUP(FC14,WACC_monthly!1:2,2,0),FB5)</f>
        <v>0.16</v>
      </c>
      <c r="FD5" s="25">
        <f>IFERROR(HLOOKUP(FD14,WACC_monthly!1:2,2,0),FC5)</f>
        <v>0.16</v>
      </c>
      <c r="FE5" s="25">
        <f>IFERROR(HLOOKUP(FE14,WACC_monthly!1:2,2,0),FD5)</f>
        <v>0.16</v>
      </c>
      <c r="FF5" s="25">
        <f>IFERROR(HLOOKUP(FF14,WACC_monthly!1:2,2,0),FE5)</f>
        <v>0.16</v>
      </c>
      <c r="FG5" s="25">
        <f>IFERROR(HLOOKUP(FG14,WACC_monthly!1:2,2,0),FF5)</f>
        <v>0.16</v>
      </c>
      <c r="FH5" s="25">
        <f>IFERROR(HLOOKUP(FH14,WACC_monthly!1:2,2,0),FG5)</f>
        <v>0.16</v>
      </c>
      <c r="FI5" s="25">
        <f>IFERROR(HLOOKUP(FI14,WACC_monthly!1:2,2,0),FH5)</f>
        <v>0.16</v>
      </c>
      <c r="FJ5" s="25">
        <f>IFERROR(HLOOKUP(FJ14,WACC_monthly!1:2,2,0),FI5)</f>
        <v>0.16</v>
      </c>
      <c r="FK5" s="25">
        <f>IFERROR(HLOOKUP(FK14,WACC_monthly!1:2,2,0),FJ5)</f>
        <v>0.16</v>
      </c>
      <c r="FL5" s="25">
        <f>IFERROR(HLOOKUP(FL14,WACC_monthly!1:2,2,0),FK5)</f>
        <v>0.16</v>
      </c>
      <c r="FM5" s="25">
        <f>IFERROR(HLOOKUP(FM14,WACC_monthly!1:2,2,0),FL5)</f>
        <v>0.16</v>
      </c>
      <c r="FN5" s="25">
        <f>IFERROR(HLOOKUP(FN14,WACC_monthly!1:2,2,0),FM5)</f>
        <v>0.16</v>
      </c>
      <c r="FO5" s="25">
        <f>IFERROR(HLOOKUP(FO14,WACC_monthly!1:2,2,0),FN5)</f>
        <v>0.16</v>
      </c>
      <c r="FP5" s="25">
        <f>IFERROR(HLOOKUP(FP14,WACC_monthly!1:2,2,0),FO5)</f>
        <v>0.16</v>
      </c>
      <c r="FQ5" s="25">
        <f>IFERROR(HLOOKUP(FQ14,WACC_monthly!1:2,2,0),FP5)</f>
        <v>0.16</v>
      </c>
      <c r="FR5" s="25">
        <f>IFERROR(HLOOKUP(FR14,WACC_monthly!1:2,2,0),FQ5)</f>
        <v>0.16</v>
      </c>
      <c r="FS5" s="25">
        <f>IFERROR(HLOOKUP(FS14,WACC_monthly!1:2,2,0),FR5)</f>
        <v>0.16</v>
      </c>
      <c r="FT5" s="25">
        <f>IFERROR(HLOOKUP(FT14,WACC_monthly!1:2,2,0),FS5)</f>
        <v>0.16</v>
      </c>
      <c r="FU5" s="25">
        <f>IFERROR(HLOOKUP(FU14,WACC_monthly!1:2,2,0),FT5)</f>
        <v>0.16</v>
      </c>
      <c r="FV5" s="25">
        <f>IFERROR(HLOOKUP(FV14,WACC_monthly!1:2,2,0),FU5)</f>
        <v>0.16</v>
      </c>
      <c r="FW5" s="25">
        <f>IFERROR(HLOOKUP(FW14,WACC_monthly!1:2,2,0),FV5)</f>
        <v>0.16</v>
      </c>
      <c r="FX5" s="25">
        <f>IFERROR(HLOOKUP(FX14,WACC_monthly!1:2,2,0),FW5)</f>
        <v>0.16</v>
      </c>
      <c r="FY5" s="25">
        <f>IFERROR(HLOOKUP(FY14,WACC_monthly!1:2,2,0),FX5)</f>
        <v>0.16</v>
      </c>
      <c r="FZ5" s="25">
        <f>IFERROR(HLOOKUP(FZ14,WACC_monthly!1:2,2,0),FY5)</f>
        <v>0.16</v>
      </c>
      <c r="GA5" s="25">
        <f>IFERROR(HLOOKUP(GA14,WACC_monthly!1:2,2,0),FZ5)</f>
        <v>0.16</v>
      </c>
      <c r="GB5" s="25">
        <f>IFERROR(HLOOKUP(GB14,WACC_monthly!1:2,2,0),GA5)</f>
        <v>0.16</v>
      </c>
      <c r="GC5" s="25">
        <f>IFERROR(HLOOKUP(GC14,WACC_monthly!1:2,2,0),GB5)</f>
        <v>0.16</v>
      </c>
      <c r="GD5" s="25">
        <f>IFERROR(HLOOKUP(GD14,WACC_monthly!1:2,2,0),GC5)</f>
        <v>0.16</v>
      </c>
      <c r="GE5" s="25">
        <f>IFERROR(HLOOKUP(GE14,WACC_monthly!1:2,2,0),GD5)</f>
        <v>0.16</v>
      </c>
      <c r="GF5" s="25">
        <f>IFERROR(HLOOKUP(GF14,WACC_monthly!1:2,2,0),GE5)</f>
        <v>0.16</v>
      </c>
      <c r="GG5" s="25">
        <f>IFERROR(HLOOKUP(GG14,WACC_monthly!1:2,2,0),GF5)</f>
        <v>0.16</v>
      </c>
      <c r="GH5" s="25">
        <f>IFERROR(HLOOKUP(GH14,WACC_monthly!1:2,2,0),GG5)</f>
        <v>0.16</v>
      </c>
      <c r="GI5" s="25">
        <f>IFERROR(HLOOKUP(GI14,WACC_monthly!1:2,2,0),GH5)</f>
        <v>0.16</v>
      </c>
      <c r="GJ5" s="25">
        <f>IFERROR(HLOOKUP(GJ14,WACC_monthly!1:2,2,0),GI5)</f>
        <v>0.16</v>
      </c>
      <c r="GK5" s="25">
        <f>IFERROR(HLOOKUP(GK14,WACC_monthly!1:2,2,0),GJ5)</f>
        <v>0.16</v>
      </c>
      <c r="GL5" s="25">
        <f>IFERROR(HLOOKUP(GL14,WACC_monthly!1:2,2,0),GK5)</f>
        <v>0.16</v>
      </c>
      <c r="GM5" s="25">
        <f>IFERROR(HLOOKUP(GM14,WACC_monthly!1:2,2,0),GL5)</f>
        <v>0.16</v>
      </c>
      <c r="GN5" s="25">
        <f>IFERROR(HLOOKUP(GN14,WACC_monthly!1:2,2,0),GM5)</f>
        <v>0.16</v>
      </c>
      <c r="GO5" s="25">
        <f>IFERROR(HLOOKUP(GO14,WACC_monthly!1:2,2,0),GN5)</f>
        <v>0.16</v>
      </c>
      <c r="GP5" s="25">
        <f>IFERROR(HLOOKUP(GP14,WACC_monthly!1:2,2,0),GO5)</f>
        <v>0.16</v>
      </c>
      <c r="GQ5" s="25">
        <f>IFERROR(HLOOKUP(GQ14,WACC_monthly!1:2,2,0),GP5)</f>
        <v>0.16</v>
      </c>
      <c r="GR5" s="25">
        <f>IFERROR(HLOOKUP(GR14,WACC_monthly!1:2,2,0),GQ5)</f>
        <v>0.16</v>
      </c>
      <c r="GS5" s="25">
        <f>IFERROR(HLOOKUP(GS14,WACC_monthly!1:2,2,0),GR5)</f>
        <v>0.16</v>
      </c>
      <c r="GT5" s="25">
        <f>IFERROR(HLOOKUP(GT14,WACC_monthly!1:2,2,0),GS5)</f>
        <v>0.16</v>
      </c>
    </row>
    <row r="6" spans="1:204" collapsed="1">
      <c r="A6" s="23"/>
    </row>
    <row r="7" spans="1:204" ht="26.5" customHeight="1">
      <c r="A7" s="24" t="s">
        <v>5</v>
      </c>
      <c r="C7" s="99">
        <v>60</v>
      </c>
      <c r="D7" s="26"/>
    </row>
    <row r="8" spans="1:204" hidden="1"/>
    <row r="9" spans="1:204" hidden="1" outlineLevel="1">
      <c r="C9" s="24">
        <f>C12</f>
        <v>2026</v>
      </c>
      <c r="D9" s="24">
        <f t="shared" ref="D9:BO9" si="0">D12</f>
        <v>2026</v>
      </c>
      <c r="E9" s="24">
        <f t="shared" si="0"/>
        <v>2026</v>
      </c>
      <c r="F9" s="24">
        <f t="shared" si="0"/>
        <v>2026</v>
      </c>
      <c r="G9" s="24">
        <f t="shared" si="0"/>
        <v>2026</v>
      </c>
      <c r="H9" s="24">
        <f t="shared" si="0"/>
        <v>2026</v>
      </c>
      <c r="I9" s="24">
        <f t="shared" si="0"/>
        <v>2026</v>
      </c>
      <c r="J9" s="24">
        <f t="shared" si="0"/>
        <v>2026</v>
      </c>
      <c r="K9" s="24">
        <f t="shared" si="0"/>
        <v>2026</v>
      </c>
      <c r="L9" s="24">
        <f t="shared" si="0"/>
        <v>2026</v>
      </c>
      <c r="M9" s="24">
        <f t="shared" si="0"/>
        <v>2026</v>
      </c>
      <c r="N9" s="24">
        <f t="shared" si="0"/>
        <v>2026</v>
      </c>
      <c r="O9" s="24">
        <f t="shared" si="0"/>
        <v>2027</v>
      </c>
      <c r="P9" s="24">
        <f t="shared" si="0"/>
        <v>2027</v>
      </c>
      <c r="Q9" s="24">
        <f t="shared" si="0"/>
        <v>2027</v>
      </c>
      <c r="R9" s="24">
        <f t="shared" si="0"/>
        <v>2027</v>
      </c>
      <c r="S9" s="24">
        <f t="shared" si="0"/>
        <v>2027</v>
      </c>
      <c r="T9" s="24">
        <f t="shared" si="0"/>
        <v>2027</v>
      </c>
      <c r="U9" s="24">
        <f t="shared" si="0"/>
        <v>2027</v>
      </c>
      <c r="V9" s="24">
        <f t="shared" si="0"/>
        <v>2027</v>
      </c>
      <c r="W9" s="24">
        <f t="shared" si="0"/>
        <v>2027</v>
      </c>
      <c r="X9" s="24">
        <f t="shared" si="0"/>
        <v>2027</v>
      </c>
      <c r="Y9" s="24">
        <f t="shared" si="0"/>
        <v>2027</v>
      </c>
      <c r="Z9" s="24">
        <f t="shared" si="0"/>
        <v>2027</v>
      </c>
      <c r="AA9" s="24">
        <f t="shared" si="0"/>
        <v>2028</v>
      </c>
      <c r="AB9" s="24">
        <f t="shared" si="0"/>
        <v>2028</v>
      </c>
      <c r="AC9" s="24">
        <f t="shared" si="0"/>
        <v>2028</v>
      </c>
      <c r="AD9" s="24">
        <f t="shared" si="0"/>
        <v>2028</v>
      </c>
      <c r="AE9" s="24">
        <f t="shared" si="0"/>
        <v>2028</v>
      </c>
      <c r="AF9" s="24">
        <f t="shared" si="0"/>
        <v>2028</v>
      </c>
      <c r="AG9" s="24">
        <f t="shared" si="0"/>
        <v>2028</v>
      </c>
      <c r="AH9" s="24">
        <f t="shared" si="0"/>
        <v>2028</v>
      </c>
      <c r="AI9" s="24">
        <f t="shared" si="0"/>
        <v>2028</v>
      </c>
      <c r="AJ9" s="24">
        <f t="shared" si="0"/>
        <v>2028</v>
      </c>
      <c r="AK9" s="24">
        <f t="shared" si="0"/>
        <v>2028</v>
      </c>
      <c r="AL9" s="24">
        <f t="shared" si="0"/>
        <v>2028</v>
      </c>
      <c r="AM9" s="24">
        <f t="shared" si="0"/>
        <v>2029</v>
      </c>
      <c r="AN9" s="24">
        <f t="shared" si="0"/>
        <v>2029</v>
      </c>
      <c r="AO9" s="24">
        <f t="shared" si="0"/>
        <v>2029</v>
      </c>
      <c r="AP9" s="24">
        <f t="shared" si="0"/>
        <v>2029</v>
      </c>
      <c r="AQ9" s="24">
        <f t="shared" si="0"/>
        <v>2029</v>
      </c>
      <c r="AR9" s="24">
        <f t="shared" si="0"/>
        <v>2029</v>
      </c>
      <c r="AS9" s="24">
        <f t="shared" si="0"/>
        <v>2029</v>
      </c>
      <c r="AT9" s="24">
        <f t="shared" si="0"/>
        <v>2029</v>
      </c>
      <c r="AU9" s="24">
        <f t="shared" si="0"/>
        <v>2029</v>
      </c>
      <c r="AV9" s="24">
        <f t="shared" si="0"/>
        <v>2029</v>
      </c>
      <c r="AW9" s="24">
        <f t="shared" si="0"/>
        <v>2029</v>
      </c>
      <c r="AX9" s="24">
        <f t="shared" si="0"/>
        <v>2029</v>
      </c>
      <c r="AY9" s="24">
        <f t="shared" si="0"/>
        <v>2030</v>
      </c>
      <c r="AZ9" s="24">
        <f t="shared" si="0"/>
        <v>2030</v>
      </c>
      <c r="BA9" s="24">
        <f t="shared" si="0"/>
        <v>2030</v>
      </c>
      <c r="BB9" s="24">
        <f t="shared" si="0"/>
        <v>2030</v>
      </c>
      <c r="BC9" s="24">
        <f t="shared" si="0"/>
        <v>2030</v>
      </c>
      <c r="BD9" s="24">
        <f t="shared" si="0"/>
        <v>2030</v>
      </c>
      <c r="BE9" s="24">
        <f t="shared" si="0"/>
        <v>2030</v>
      </c>
      <c r="BF9" s="24">
        <f t="shared" si="0"/>
        <v>2030</v>
      </c>
      <c r="BG9" s="24">
        <f t="shared" si="0"/>
        <v>2030</v>
      </c>
      <c r="BH9" s="24">
        <f t="shared" si="0"/>
        <v>2030</v>
      </c>
      <c r="BI9" s="24">
        <f t="shared" si="0"/>
        <v>2030</v>
      </c>
      <c r="BJ9" s="24">
        <f t="shared" si="0"/>
        <v>2030</v>
      </c>
      <c r="BK9" s="24" t="str">
        <f t="shared" si="0"/>
        <v/>
      </c>
      <c r="BL9" s="24" t="str">
        <f t="shared" si="0"/>
        <v/>
      </c>
      <c r="BM9" s="24" t="str">
        <f t="shared" si="0"/>
        <v/>
      </c>
      <c r="BN9" s="24" t="str">
        <f t="shared" si="0"/>
        <v/>
      </c>
      <c r="BO9" s="24" t="str">
        <f t="shared" si="0"/>
        <v/>
      </c>
      <c r="BP9" s="24" t="str">
        <f t="shared" ref="BP9:EA9" si="1">BP12</f>
        <v/>
      </c>
      <c r="BQ9" s="24" t="str">
        <f t="shared" si="1"/>
        <v/>
      </c>
      <c r="BR9" s="24" t="str">
        <f t="shared" si="1"/>
        <v/>
      </c>
      <c r="BS9" s="24" t="str">
        <f t="shared" si="1"/>
        <v/>
      </c>
      <c r="BT9" s="24" t="str">
        <f t="shared" si="1"/>
        <v/>
      </c>
      <c r="BU9" s="24" t="str">
        <f t="shared" si="1"/>
        <v/>
      </c>
      <c r="BV9" s="24" t="str">
        <f t="shared" si="1"/>
        <v/>
      </c>
      <c r="BW9" s="24" t="str">
        <f t="shared" si="1"/>
        <v/>
      </c>
      <c r="BX9" s="24" t="str">
        <f t="shared" si="1"/>
        <v/>
      </c>
      <c r="BY9" s="24" t="str">
        <f t="shared" si="1"/>
        <v/>
      </c>
      <c r="BZ9" s="24" t="str">
        <f t="shared" si="1"/>
        <v/>
      </c>
      <c r="CA9" s="24" t="str">
        <f t="shared" si="1"/>
        <v/>
      </c>
      <c r="CB9" s="24" t="str">
        <f t="shared" si="1"/>
        <v/>
      </c>
      <c r="CC9" s="24" t="str">
        <f t="shared" si="1"/>
        <v/>
      </c>
      <c r="CD9" s="24" t="str">
        <f t="shared" si="1"/>
        <v/>
      </c>
      <c r="CE9" s="24" t="str">
        <f t="shared" si="1"/>
        <v/>
      </c>
      <c r="CF9" s="24" t="str">
        <f t="shared" si="1"/>
        <v/>
      </c>
      <c r="CG9" s="24" t="str">
        <f t="shared" si="1"/>
        <v/>
      </c>
      <c r="CH9" s="24" t="str">
        <f t="shared" si="1"/>
        <v/>
      </c>
      <c r="CI9" s="24" t="str">
        <f t="shared" si="1"/>
        <v/>
      </c>
      <c r="CJ9" s="24" t="str">
        <f t="shared" si="1"/>
        <v/>
      </c>
      <c r="CK9" s="24" t="str">
        <f t="shared" si="1"/>
        <v/>
      </c>
      <c r="CL9" s="24" t="str">
        <f t="shared" si="1"/>
        <v/>
      </c>
      <c r="CM9" s="24" t="str">
        <f t="shared" si="1"/>
        <v/>
      </c>
      <c r="CN9" s="24" t="str">
        <f t="shared" si="1"/>
        <v/>
      </c>
      <c r="CO9" s="24" t="str">
        <f t="shared" si="1"/>
        <v/>
      </c>
      <c r="CP9" s="24" t="str">
        <f t="shared" si="1"/>
        <v/>
      </c>
      <c r="CQ9" s="24" t="str">
        <f t="shared" si="1"/>
        <v/>
      </c>
      <c r="CR9" s="24" t="str">
        <f t="shared" si="1"/>
        <v/>
      </c>
      <c r="CS9" s="24" t="str">
        <f t="shared" si="1"/>
        <v/>
      </c>
      <c r="CT9" s="24" t="str">
        <f t="shared" si="1"/>
        <v/>
      </c>
      <c r="CU9" s="24" t="str">
        <f t="shared" si="1"/>
        <v/>
      </c>
      <c r="CV9" s="24" t="str">
        <f t="shared" si="1"/>
        <v/>
      </c>
      <c r="CW9" s="24" t="str">
        <f t="shared" si="1"/>
        <v/>
      </c>
      <c r="CX9" s="24" t="str">
        <f t="shared" si="1"/>
        <v/>
      </c>
      <c r="CY9" s="24" t="str">
        <f t="shared" si="1"/>
        <v/>
      </c>
      <c r="CZ9" s="24" t="str">
        <f t="shared" si="1"/>
        <v/>
      </c>
      <c r="DA9" s="24" t="str">
        <f t="shared" si="1"/>
        <v/>
      </c>
      <c r="DB9" s="24" t="str">
        <f t="shared" si="1"/>
        <v/>
      </c>
      <c r="DC9" s="24" t="str">
        <f t="shared" si="1"/>
        <v/>
      </c>
      <c r="DD9" s="24" t="str">
        <f t="shared" si="1"/>
        <v/>
      </c>
      <c r="DE9" s="24" t="str">
        <f t="shared" si="1"/>
        <v/>
      </c>
      <c r="DF9" s="24" t="str">
        <f t="shared" si="1"/>
        <v/>
      </c>
      <c r="DG9" s="24" t="str">
        <f t="shared" si="1"/>
        <v/>
      </c>
      <c r="DH9" s="24" t="str">
        <f t="shared" si="1"/>
        <v/>
      </c>
      <c r="DI9" s="24" t="str">
        <f t="shared" si="1"/>
        <v/>
      </c>
      <c r="DJ9" s="24" t="str">
        <f t="shared" si="1"/>
        <v/>
      </c>
      <c r="DK9" s="24" t="str">
        <f t="shared" si="1"/>
        <v/>
      </c>
      <c r="DL9" s="24" t="str">
        <f t="shared" si="1"/>
        <v/>
      </c>
      <c r="DM9" s="24" t="str">
        <f t="shared" si="1"/>
        <v/>
      </c>
      <c r="DN9" s="24" t="str">
        <f t="shared" si="1"/>
        <v/>
      </c>
      <c r="DO9" s="24" t="str">
        <f t="shared" si="1"/>
        <v/>
      </c>
      <c r="DP9" s="24" t="str">
        <f t="shared" si="1"/>
        <v/>
      </c>
      <c r="DQ9" s="24" t="str">
        <f t="shared" si="1"/>
        <v/>
      </c>
      <c r="DR9" s="24" t="str">
        <f t="shared" si="1"/>
        <v/>
      </c>
      <c r="DS9" s="24" t="str">
        <f t="shared" si="1"/>
        <v/>
      </c>
      <c r="DT9" s="24" t="str">
        <f t="shared" si="1"/>
        <v/>
      </c>
      <c r="DU9" s="24" t="str">
        <f t="shared" si="1"/>
        <v/>
      </c>
      <c r="DV9" s="24" t="str">
        <f t="shared" si="1"/>
        <v/>
      </c>
      <c r="DW9" s="24" t="str">
        <f t="shared" si="1"/>
        <v/>
      </c>
      <c r="DX9" s="24" t="str">
        <f t="shared" si="1"/>
        <v/>
      </c>
      <c r="DY9" s="24" t="str">
        <f t="shared" si="1"/>
        <v/>
      </c>
      <c r="DZ9" s="24" t="str">
        <f t="shared" si="1"/>
        <v/>
      </c>
      <c r="EA9" s="24" t="str">
        <f t="shared" si="1"/>
        <v/>
      </c>
      <c r="EB9" s="24" t="str">
        <f t="shared" ref="EB9:GM9" si="2">EB12</f>
        <v/>
      </c>
      <c r="EC9" s="24" t="str">
        <f t="shared" si="2"/>
        <v/>
      </c>
      <c r="ED9" s="24" t="str">
        <f t="shared" si="2"/>
        <v/>
      </c>
      <c r="EE9" s="24" t="str">
        <f t="shared" si="2"/>
        <v/>
      </c>
      <c r="EF9" s="24" t="str">
        <f t="shared" si="2"/>
        <v/>
      </c>
      <c r="EG9" s="24" t="str">
        <f t="shared" si="2"/>
        <v/>
      </c>
      <c r="EH9" s="24" t="str">
        <f t="shared" si="2"/>
        <v/>
      </c>
      <c r="EI9" s="24" t="str">
        <f t="shared" si="2"/>
        <v/>
      </c>
      <c r="EJ9" s="24" t="str">
        <f t="shared" si="2"/>
        <v/>
      </c>
      <c r="EK9" s="24" t="str">
        <f t="shared" si="2"/>
        <v/>
      </c>
      <c r="EL9" s="24" t="str">
        <f t="shared" si="2"/>
        <v/>
      </c>
      <c r="EM9" s="24" t="str">
        <f t="shared" si="2"/>
        <v/>
      </c>
      <c r="EN9" s="24" t="str">
        <f t="shared" si="2"/>
        <v/>
      </c>
      <c r="EO9" s="24" t="str">
        <f t="shared" si="2"/>
        <v/>
      </c>
      <c r="EP9" s="24" t="str">
        <f t="shared" si="2"/>
        <v/>
      </c>
      <c r="EQ9" s="24" t="str">
        <f t="shared" si="2"/>
        <v/>
      </c>
      <c r="ER9" s="24" t="str">
        <f t="shared" si="2"/>
        <v/>
      </c>
      <c r="ES9" s="24" t="str">
        <f t="shared" si="2"/>
        <v/>
      </c>
      <c r="ET9" s="24" t="str">
        <f t="shared" si="2"/>
        <v/>
      </c>
      <c r="EU9" s="24" t="str">
        <f t="shared" si="2"/>
        <v/>
      </c>
      <c r="EV9" s="24" t="str">
        <f t="shared" si="2"/>
        <v/>
      </c>
      <c r="EW9" s="24" t="str">
        <f t="shared" si="2"/>
        <v/>
      </c>
      <c r="EX9" s="24" t="str">
        <f t="shared" si="2"/>
        <v/>
      </c>
      <c r="EY9" s="24" t="str">
        <f t="shared" si="2"/>
        <v/>
      </c>
      <c r="EZ9" s="24" t="str">
        <f t="shared" si="2"/>
        <v/>
      </c>
      <c r="FA9" s="24" t="str">
        <f t="shared" si="2"/>
        <v/>
      </c>
      <c r="FB9" s="24" t="str">
        <f t="shared" si="2"/>
        <v/>
      </c>
      <c r="FC9" s="24" t="str">
        <f t="shared" si="2"/>
        <v/>
      </c>
      <c r="FD9" s="24" t="str">
        <f t="shared" si="2"/>
        <v/>
      </c>
      <c r="FE9" s="24" t="str">
        <f t="shared" si="2"/>
        <v/>
      </c>
      <c r="FF9" s="24" t="str">
        <f t="shared" si="2"/>
        <v/>
      </c>
      <c r="FG9" s="24" t="str">
        <f t="shared" si="2"/>
        <v/>
      </c>
      <c r="FH9" s="24" t="str">
        <f t="shared" si="2"/>
        <v/>
      </c>
      <c r="FI9" s="24" t="str">
        <f t="shared" si="2"/>
        <v/>
      </c>
      <c r="FJ9" s="24" t="str">
        <f t="shared" si="2"/>
        <v/>
      </c>
      <c r="FK9" s="24" t="str">
        <f t="shared" si="2"/>
        <v/>
      </c>
      <c r="FL9" s="24" t="str">
        <f t="shared" si="2"/>
        <v/>
      </c>
      <c r="FM9" s="24" t="str">
        <f t="shared" si="2"/>
        <v/>
      </c>
      <c r="FN9" s="24" t="str">
        <f t="shared" si="2"/>
        <v/>
      </c>
      <c r="FO9" s="24" t="str">
        <f t="shared" si="2"/>
        <v/>
      </c>
      <c r="FP9" s="24" t="str">
        <f t="shared" si="2"/>
        <v/>
      </c>
      <c r="FQ9" s="24" t="str">
        <f t="shared" si="2"/>
        <v/>
      </c>
      <c r="FR9" s="24" t="str">
        <f t="shared" si="2"/>
        <v/>
      </c>
      <c r="FS9" s="24" t="str">
        <f t="shared" si="2"/>
        <v/>
      </c>
      <c r="FT9" s="24" t="str">
        <f t="shared" si="2"/>
        <v/>
      </c>
      <c r="FU9" s="24" t="str">
        <f t="shared" si="2"/>
        <v/>
      </c>
      <c r="FV9" s="24" t="str">
        <f t="shared" si="2"/>
        <v/>
      </c>
      <c r="FW9" s="24" t="str">
        <f t="shared" si="2"/>
        <v/>
      </c>
      <c r="FX9" s="24" t="str">
        <f t="shared" si="2"/>
        <v/>
      </c>
      <c r="FY9" s="24" t="str">
        <f t="shared" si="2"/>
        <v/>
      </c>
      <c r="FZ9" s="24" t="str">
        <f t="shared" si="2"/>
        <v/>
      </c>
      <c r="GA9" s="24" t="str">
        <f t="shared" si="2"/>
        <v/>
      </c>
      <c r="GB9" s="24" t="str">
        <f t="shared" si="2"/>
        <v/>
      </c>
      <c r="GC9" s="24" t="str">
        <f t="shared" si="2"/>
        <v/>
      </c>
      <c r="GD9" s="24" t="str">
        <f t="shared" si="2"/>
        <v/>
      </c>
      <c r="GE9" s="24" t="str">
        <f t="shared" si="2"/>
        <v/>
      </c>
      <c r="GF9" s="24" t="str">
        <f t="shared" si="2"/>
        <v/>
      </c>
      <c r="GG9" s="24" t="str">
        <f t="shared" si="2"/>
        <v/>
      </c>
      <c r="GH9" s="24" t="str">
        <f t="shared" si="2"/>
        <v/>
      </c>
      <c r="GI9" s="24" t="str">
        <f t="shared" si="2"/>
        <v/>
      </c>
      <c r="GJ9" s="24" t="str">
        <f t="shared" si="2"/>
        <v/>
      </c>
      <c r="GK9" s="24" t="str">
        <f t="shared" si="2"/>
        <v/>
      </c>
      <c r="GL9" s="24" t="str">
        <f t="shared" si="2"/>
        <v/>
      </c>
      <c r="GM9" s="24" t="str">
        <f t="shared" si="2"/>
        <v/>
      </c>
      <c r="GN9" s="24" t="str">
        <f t="shared" ref="GN9:GT9" si="3">GN12</f>
        <v/>
      </c>
      <c r="GO9" s="24" t="str">
        <f t="shared" si="3"/>
        <v/>
      </c>
      <c r="GP9" s="24" t="str">
        <f t="shared" si="3"/>
        <v/>
      </c>
      <c r="GQ9" s="24" t="str">
        <f t="shared" si="3"/>
        <v/>
      </c>
      <c r="GR9" s="24" t="str">
        <f t="shared" si="3"/>
        <v/>
      </c>
      <c r="GS9" s="24" t="str">
        <f t="shared" si="3"/>
        <v/>
      </c>
      <c r="GT9" s="24" t="str">
        <f t="shared" si="3"/>
        <v/>
      </c>
    </row>
    <row r="10" spans="1:204" hidden="1" outlineLevel="1">
      <c r="A10" s="24"/>
      <c r="C10" s="27">
        <f>'Как будет'!C10</f>
        <v>1</v>
      </c>
      <c r="D10" s="27">
        <f>'Как будет'!D10</f>
        <v>0.98770783971042153</v>
      </c>
      <c r="E10" s="27">
        <f>'Как будет'!E10</f>
        <v>0.97556677662542779</v>
      </c>
      <c r="F10" s="27">
        <f>'Как будет'!F10</f>
        <v>0.9635749534339606</v>
      </c>
      <c r="G10" s="27">
        <f>'Как будет'!G10</f>
        <v>0.95173053565532728</v>
      </c>
      <c r="H10" s="27">
        <f>'Как будет'!H10</f>
        <v>0.94003171135856567</v>
      </c>
      <c r="I10" s="27">
        <f>'Как будет'!I10</f>
        <v>0.92847669088525941</v>
      </c>
      <c r="J10" s="27">
        <f>'Как будет'!J10</f>
        <v>0.91706370657576042</v>
      </c>
      <c r="K10" s="27">
        <f>'Как будет'!K10</f>
        <v>0.90579101249877625</v>
      </c>
      <c r="L10" s="27">
        <f>'Как будет'!L10</f>
        <v>0.89465688418428169</v>
      </c>
      <c r="M10" s="27">
        <f>'Как будет'!M10</f>
        <v>0.88365961835971363</v>
      </c>
      <c r="N10" s="27">
        <f>'Как будет'!N10</f>
        <v>0.8727975326894083</v>
      </c>
      <c r="O10" s="27">
        <f>'Как будет'!O10</f>
        <v>0.86206896551724144</v>
      </c>
      <c r="P10" s="27">
        <f>'Как будет'!P10</f>
        <v>0.85147227561243244</v>
      </c>
      <c r="Q10" s="27">
        <f>'Как будет'!Q10</f>
        <v>0.84100584191847227</v>
      </c>
      <c r="R10" s="27">
        <f>'Как будет'!R10</f>
        <v>0.83066806330513854</v>
      </c>
      <c r="S10" s="27">
        <f>'Как будет'!S10</f>
        <v>0.82045735832355804</v>
      </c>
      <c r="T10" s="27">
        <f>'Как будет'!T10</f>
        <v>0.81037216496428077</v>
      </c>
      <c r="U10" s="27">
        <f>'Как будет'!U10</f>
        <v>0.80041094041832705</v>
      </c>
      <c r="V10" s="27">
        <f>'Как будет'!V10</f>
        <v>0.79057216084117277</v>
      </c>
      <c r="W10" s="27">
        <f>'Как будет'!W10</f>
        <v>0.78085432111963471</v>
      </c>
      <c r="X10" s="27">
        <f>'Как будет'!X10</f>
        <v>0.77125593464162223</v>
      </c>
      <c r="Y10" s="27">
        <f>'Как будет'!Y10</f>
        <v>0.7617755330687187</v>
      </c>
      <c r="Z10" s="27">
        <f>'Как будет'!Z10</f>
        <v>0.75241166611155896</v>
      </c>
      <c r="AA10" s="27">
        <f>'Как будет'!AA10</f>
        <v>0.74316290130796692</v>
      </c>
      <c r="AB10" s="27">
        <f>'Как будет'!AB10</f>
        <v>0.73402782380382126</v>
      </c>
      <c r="AC10" s="27">
        <f>'Как будет'!AC10</f>
        <v>0.72500503613661427</v>
      </c>
      <c r="AD10" s="27">
        <f>'Как будет'!AD10</f>
        <v>0.71609315802167139</v>
      </c>
      <c r="AE10" s="27">
        <f>'Как будет'!AE10</f>
        <v>0.70729082614099859</v>
      </c>
      <c r="AF10" s="27">
        <f>'Как будет'!AF10</f>
        <v>0.69859669393472501</v>
      </c>
      <c r="AG10" s="27">
        <f>'Как будет'!AG10</f>
        <v>0.69000943139510973</v>
      </c>
      <c r="AH10" s="27">
        <f>'Как будет'!AH10</f>
        <v>0.68152772486308011</v>
      </c>
      <c r="AI10" s="27">
        <f>'Как будет'!AI10</f>
        <v>0.67315027682727135</v>
      </c>
      <c r="AJ10" s="27">
        <f>'Как будет'!AJ10</f>
        <v>0.6648758057255364</v>
      </c>
      <c r="AK10" s="27">
        <f>'Как будет'!AK10</f>
        <v>0.65670304574889549</v>
      </c>
      <c r="AL10" s="27">
        <f>'Как будет'!AL10</f>
        <v>0.64863074664789566</v>
      </c>
      <c r="AM10" s="27">
        <f>'Как будет'!AM10</f>
        <v>0.64065767354135073</v>
      </c>
      <c r="AN10" s="27">
        <f>'Как будет'!AN10</f>
        <v>0.63278260672743203</v>
      </c>
      <c r="AO10" s="27">
        <f>'Как будет'!AO10</f>
        <v>0.62500434149708117</v>
      </c>
      <c r="AP10" s="27">
        <f>'Как будет'!AP10</f>
        <v>0.61732168794971665</v>
      </c>
      <c r="AQ10" s="27">
        <f>'Как будет'!AQ10</f>
        <v>0.60973347081120555</v>
      </c>
      <c r="AR10" s="27">
        <f>'Как будет'!AR10</f>
        <v>0.60223852925407317</v>
      </c>
      <c r="AS10" s="27">
        <f>'Как будет'!AS10</f>
        <v>0.59483571671992208</v>
      </c>
      <c r="AT10" s="27">
        <f>'Как будет'!AT10</f>
        <v>0.58752390074403449</v>
      </c>
      <c r="AU10" s="27">
        <f>'Как будет'!AU10</f>
        <v>0.58030196278213042</v>
      </c>
      <c r="AV10" s="27">
        <f>'Как будет'!AV10</f>
        <v>0.57316879803925547</v>
      </c>
      <c r="AW10" s="27">
        <f>'Как будет'!AW10</f>
        <v>0.56612331530077187</v>
      </c>
      <c r="AX10" s="27">
        <f>'Как будет'!AX10</f>
        <v>0.55916443676542726</v>
      </c>
      <c r="AY10" s="27">
        <f>'Как будет'!AY10</f>
        <v>0.55229109788047481</v>
      </c>
      <c r="AZ10" s="27">
        <f>'Как будет'!AZ10</f>
        <v>0.54550224717882079</v>
      </c>
      <c r="BA10" s="27">
        <f>'Как будет'!BA10</f>
        <v>0.53879684611817347</v>
      </c>
      <c r="BB10" s="27">
        <f>'Как будет'!BB10</f>
        <v>0.53217386892216956</v>
      </c>
      <c r="BC10" s="27">
        <f>'Как будет'!BC10</f>
        <v>0.52563230242345316</v>
      </c>
      <c r="BD10" s="27">
        <f>'Как будет'!BD10</f>
        <v>0.51917114590868385</v>
      </c>
      <c r="BE10" s="27">
        <f>'Как будет'!BE10</f>
        <v>0.51278941096545017</v>
      </c>
      <c r="BF10" s="27">
        <f>'Как будет'!BF10</f>
        <v>0.5064861213310643</v>
      </c>
      <c r="BG10" s="27">
        <f>'Как будет'!BG10</f>
        <v>0.50026031274321592</v>
      </c>
      <c r="BH10" s="27">
        <f>'Как будет'!BH10</f>
        <v>0.49411103279246166</v>
      </c>
      <c r="BI10" s="27">
        <f>'Как будет'!BI10</f>
        <v>0.48803734077652755</v>
      </c>
      <c r="BJ10" s="27">
        <f>'Как будет'!BJ10</f>
        <v>0.48203830755640287</v>
      </c>
      <c r="BK10" s="27">
        <f>'Как будет'!BK10</f>
        <v>0.47611301541420242</v>
      </c>
      <c r="BL10" s="27">
        <f>'Как будет'!BL10</f>
        <v>0.47026055791277649</v>
      </c>
      <c r="BM10" s="27">
        <f>'Как будет'!BM10</f>
        <v>0.46448003975704605</v>
      </c>
      <c r="BN10" s="27">
        <f>'Как будет'!BN10</f>
        <v>0.45877057665704268</v>
      </c>
      <c r="BO10" s="27">
        <f>'Как будет'!BO10</f>
        <v>0.45313129519263196</v>
      </c>
      <c r="BP10" s="27">
        <f>'Как будет'!BP10</f>
        <v>0.44756133267989984</v>
      </c>
      <c r="BQ10" s="27">
        <f>'Как будет'!BQ10</f>
        <v>0.44205983703918117</v>
      </c>
      <c r="BR10" s="27">
        <f>'Как будет'!BR10</f>
        <v>0.4366259666647106</v>
      </c>
      <c r="BS10" s="27">
        <f>'Как будет'!BS10</f>
        <v>0.43125889029587583</v>
      </c>
      <c r="BT10" s="27">
        <f>'Как будет'!BT10</f>
        <v>0.4259577868900532</v>
      </c>
      <c r="BU10" s="27">
        <f>'Как будет'!BU10</f>
        <v>0.42072184549700659</v>
      </c>
      <c r="BV10" s="27">
        <f>'Как будет'!BV10</f>
        <v>0.41555026513483012</v>
      </c>
      <c r="BW10" s="27">
        <f>'Как будет'!BW10</f>
        <v>0.41044225466741596</v>
      </c>
      <c r="BX10" s="27">
        <f>'Как будет'!BX10</f>
        <v>0.40539703268342808</v>
      </c>
      <c r="BY10" s="27">
        <f>'Как будет'!BY10</f>
        <v>0.4004138273767639</v>
      </c>
      <c r="BZ10" s="27">
        <f>'Как будет'!BZ10</f>
        <v>0.3954918764284851</v>
      </c>
      <c r="CA10" s="27">
        <f>'Как будет'!CA10</f>
        <v>0.3906304268902</v>
      </c>
      <c r="CB10" s="27">
        <f>'Как будет'!CB10</f>
        <v>0.38582873506887921</v>
      </c>
      <c r="CC10" s="27">
        <f>'Как будет'!CC10</f>
        <v>0.38108606641308723</v>
      </c>
      <c r="CD10" s="27">
        <f>'Как будет'!CD10</f>
        <v>0.37640169540061263</v>
      </c>
      <c r="CE10" s="27">
        <f>'Как будет'!CE10</f>
        <v>0.37177490542747921</v>
      </c>
      <c r="CF10" s="27">
        <f>'Как будет'!CF10</f>
        <v>0.36720498869832174</v>
      </c>
      <c r="CG10" s="27">
        <f>'Как будет'!CG10</f>
        <v>0.3626912461181091</v>
      </c>
      <c r="CH10" s="27">
        <f>'Как будет'!CH10</f>
        <v>0.35823298718519836</v>
      </c>
      <c r="CI10" s="27">
        <f>'Как будет'!CI10</f>
        <v>0.35382952988570338</v>
      </c>
      <c r="CJ10" s="27">
        <f>'Как будет'!CJ10</f>
        <v>0.34948020058916213</v>
      </c>
      <c r="CK10" s="27">
        <f>'Как будет'!CK10</f>
        <v>0.34518433394548609</v>
      </c>
      <c r="CL10" s="27">
        <f>'Как будет'!CL10</f>
        <v>0.34094127278317682</v>
      </c>
      <c r="CM10" s="27">
        <f>'Как будет'!CM10</f>
        <v>0.3367503680087931</v>
      </c>
      <c r="CN10" s="27">
        <f>'Как будет'!CN10</f>
        <v>0.33261097850765448</v>
      </c>
      <c r="CO10" s="27">
        <f>'Как будет'!CO10</f>
        <v>0.32852247104576487</v>
      </c>
      <c r="CP10" s="27">
        <f>'Как будет'!CP10</f>
        <v>0.32448422017294193</v>
      </c>
      <c r="CQ10" s="27">
        <f>'Как будет'!CQ10</f>
        <v>0.32049560812713723</v>
      </c>
      <c r="CR10" s="27">
        <f>'Как будет'!CR10</f>
        <v>0.31655602473993255</v>
      </c>
      <c r="CS10" s="27">
        <f>'Как будет'!CS10</f>
        <v>0.31266486734319754</v>
      </c>
      <c r="CT10" s="27">
        <f>'Как будет'!CT10</f>
        <v>0.30882154067689516</v>
      </c>
      <c r="CU10" s="27">
        <f>'Как будет'!CU10</f>
        <v>0.30502545679802018</v>
      </c>
      <c r="CV10" s="27">
        <f>'Как будет'!CV10</f>
        <v>0.30127603499065703</v>
      </c>
      <c r="CW10" s="27">
        <f>'Как будет'!CW10</f>
        <v>0.29757270167714323</v>
      </c>
      <c r="CX10" s="27">
        <f>'Как будет'!CX10</f>
        <v>0.29391489033032486</v>
      </c>
      <c r="CY10" s="27">
        <f>'Как будет'!CY10</f>
        <v>0.29030204138689064</v>
      </c>
      <c r="CZ10" s="27">
        <f>'Как будет'!CZ10</f>
        <v>0.28673360216177113</v>
      </c>
      <c r="DA10" s="27">
        <f>'Как будет'!DA10</f>
        <v>0.28320902676359039</v>
      </c>
      <c r="DB10" s="27">
        <f>'Как будет'!DB10</f>
        <v>0.27972777601115684</v>
      </c>
      <c r="DC10" s="27">
        <f>'Как будет'!DC10</f>
        <v>0.27628931735098039</v>
      </c>
      <c r="DD10" s="27">
        <f>'Как будет'!DD10</f>
        <v>0.27289312477580391</v>
      </c>
      <c r="DE10" s="27">
        <f>'Как будет'!DE10</f>
        <v>0.26953867874413578</v>
      </c>
      <c r="DF10" s="27">
        <f>'Как будет'!DF10</f>
        <v>0.26622546610077169</v>
      </c>
      <c r="DG10" s="27">
        <f>'Как будет'!DG10</f>
        <v>0.26295297999829326</v>
      </c>
      <c r="DH10" s="27">
        <f>'Как будет'!DH10</f>
        <v>0.25972071981953193</v>
      </c>
      <c r="DI10" s="27">
        <f>'Как будет'!DI10</f>
        <v>0.25652819110098557</v>
      </c>
      <c r="DJ10" s="27">
        <f>'Как будет'!DJ10</f>
        <v>0.25337490545717661</v>
      </c>
      <c r="DK10" s="27">
        <f>'Как будет'!DK10</f>
        <v>0.25026038050594018</v>
      </c>
      <c r="DL10" s="27">
        <f>'Как будет'!DL10</f>
        <v>0.24718413979463028</v>
      </c>
      <c r="DM10" s="27">
        <f>'Как будет'!DM10</f>
        <v>0.24414571272723312</v>
      </c>
      <c r="DN10" s="27">
        <f>'Как будет'!DN10</f>
        <v>0.24114463449237658</v>
      </c>
      <c r="DO10" s="27">
        <f>'Как будет'!DO10</f>
        <v>0.23818044599222449</v>
      </c>
      <c r="DP10" s="27">
        <f>'Как будет'!DP10</f>
        <v>0.23525269377224478</v>
      </c>
      <c r="DQ10" s="27">
        <f>'Как будет'!DQ10</f>
        <v>0.23236092995184124</v>
      </c>
      <c r="DR10" s="27">
        <f>'Как будет'!DR10</f>
        <v>0.2295047121558377</v>
      </c>
      <c r="DS10" s="27">
        <f>'Как будет'!DS10</f>
        <v>0.22668360344680458</v>
      </c>
      <c r="DT10" s="27">
        <f>'Как будет'!DT10</f>
        <v>0.2238971722582172</v>
      </c>
      <c r="DU10" s="27">
        <f>'Как будет'!DU10</f>
        <v>0.22114499232843585</v>
      </c>
      <c r="DV10" s="27">
        <f>'Как будет'!DV10</f>
        <v>0.2184266426354971</v>
      </c>
      <c r="DW10" s="27">
        <f>'Как будет'!DW10</f>
        <v>0.21574170733270709</v>
      </c>
      <c r="DX10" s="27">
        <f>'Как будет'!DX10</f>
        <v>0.21308977568502613</v>
      </c>
      <c r="DY10" s="27">
        <f>'Как будет'!DY10</f>
        <v>0.21047044200623546</v>
      </c>
      <c r="DZ10" s="27">
        <f>'Как будет'!DZ10</f>
        <v>0.2078833055968764</v>
      </c>
      <c r="EA10" s="27">
        <f>'Как будет'!EA10</f>
        <v>0.20532797068295217</v>
      </c>
      <c r="EB10" s="27">
        <f>'Как будет'!EB10</f>
        <v>0.20280404635538346</v>
      </c>
      <c r="EC10" s="27">
        <f>'Как будет'!EC10</f>
        <v>0.20031114651020798</v>
      </c>
      <c r="ED10" s="27">
        <f>'Как будет'!ED10</f>
        <v>0.19784888978951526</v>
      </c>
      <c r="EE10" s="27">
        <f>'Как будет'!EE10</f>
        <v>0.1954168995231074</v>
      </c>
      <c r="EF10" s="27">
        <f>'Как будет'!EF10</f>
        <v>0.19301480367087692</v>
      </c>
      <c r="EG10" s="27">
        <f>'Как будет'!EG10</f>
        <v>0.19064223476589298</v>
      </c>
      <c r="EH10" s="27">
        <f>'Как будет'!EH10</f>
        <v>0.18829882985818719</v>
      </c>
      <c r="EI10" s="27">
        <f>'Как будет'!EI10</f>
        <v>0.18598423045923029</v>
      </c>
      <c r="EJ10" s="27">
        <f>'Как будет'!EJ10</f>
        <v>0.18369808248709152</v>
      </c>
      <c r="EK10" s="27">
        <f>'Как будет'!EK10</f>
        <v>0.18144003621227198</v>
      </c>
      <c r="EL10" s="27">
        <f>'Как будет'!EL10</f>
        <v>0.1792097462042038</v>
      </c>
      <c r="EM10" s="27">
        <f>'Как будет'!EM10</f>
        <v>0.17700687127840706</v>
      </c>
      <c r="EN10" s="27">
        <f>'Как будет'!EN10</f>
        <v>0.1748310744442961</v>
      </c>
      <c r="EO10" s="27">
        <f>'Как будет'!EO10</f>
        <v>0.17268202285362758</v>
      </c>
      <c r="EP10" s="27">
        <f>'Как будет'!EP10</f>
        <v>0.17055938774958213</v>
      </c>
      <c r="EQ10" s="27">
        <f>'Как будет'!EQ10</f>
        <v>0.16846284441647189</v>
      </c>
      <c r="ER10" s="27">
        <f>'Как будет'!ER10</f>
        <v>0.16639207213006629</v>
      </c>
      <c r="ES10" s="27">
        <f>'Как будет'!ES10</f>
        <v>0.16434675410852842</v>
      </c>
      <c r="ET10" s="27">
        <f>'Как будет'!ET10</f>
        <v>0.16232657746395446</v>
      </c>
      <c r="EU10" s="27">
        <f>'Как будет'!EU10</f>
        <v>0.16033123315450884</v>
      </c>
      <c r="EV10" s="27">
        <f>'Как будет'!EV10</f>
        <v>0.15836041593714784</v>
      </c>
      <c r="EW10" s="27">
        <f>'Как будет'!EW10</f>
        <v>0.1564138243209241</v>
      </c>
      <c r="EX10" s="27">
        <f>'Как будет'!EX10</f>
        <v>0.15449116052086534</v>
      </c>
      <c r="EY10" s="27">
        <f>'Как будет'!EY10</f>
        <v>0.15259213041241987</v>
      </c>
      <c r="EZ10" s="27">
        <f>'Как будет'!EZ10</f>
        <v>0.15071644348646215</v>
      </c>
      <c r="FA10" s="27">
        <f>'Как будет'!FA10</f>
        <v>0.14886381280485136</v>
      </c>
      <c r="FB10" s="27">
        <f>'Как будет'!FB10</f>
        <v>0.14703395495653632</v>
      </c>
      <c r="FC10" s="27">
        <f>'Как будет'!FC10</f>
        <v>0.14522659001419991</v>
      </c>
      <c r="FD10" s="27">
        <f>'Как будет'!FD10</f>
        <v>0.14344144149143648</v>
      </c>
      <c r="FE10" s="27">
        <f>'Как будет'!FE10</f>
        <v>0.14167823630045556</v>
      </c>
      <c r="FF10" s="27">
        <f>'Как будет'!FF10</f>
        <v>0.13993670471030559</v>
      </c>
      <c r="FG10" s="27">
        <f>'Как будет'!FG10</f>
        <v>0.1382165803056111</v>
      </c>
      <c r="FH10" s="27">
        <f>'Как будет'!FH10</f>
        <v>0.13651759994581714</v>
      </c>
      <c r="FI10" s="27">
        <f>'Как будет'!FI10</f>
        <v>0.13483950372493461</v>
      </c>
      <c r="FJ10" s="27">
        <f>'Как будет'!FJ10</f>
        <v>0.13318203493178049</v>
      </c>
      <c r="FK10" s="27">
        <f>'Как будет'!FK10</f>
        <v>0.1315449400107068</v>
      </c>
      <c r="FL10" s="27">
        <f>'Как будет'!FL10</f>
        <v>0.12992796852281221</v>
      </c>
      <c r="FM10" s="27">
        <f>'Как будет'!FM10</f>
        <v>0.1283308731076305</v>
      </c>
      <c r="FN10" s="27">
        <f>'Как будет'!FN10</f>
        <v>0.12675340944528996</v>
      </c>
      <c r="FO10" s="27">
        <f>'Как будет'!FO10</f>
        <v>0.12519533621913789</v>
      </c>
      <c r="FP10" s="27">
        <f>'Как будет'!FP10</f>
        <v>0.12365641507882458</v>
      </c>
      <c r="FQ10" s="27">
        <f>'Как будет'!FQ10</f>
        <v>0.12213641060384102</v>
      </c>
      <c r="FR10" s="27">
        <f>'Как будет'!FR10</f>
        <v>0.12063509026750484</v>
      </c>
      <c r="FS10" s="27">
        <f>'Как будет'!FS10</f>
        <v>0.1191522244013889</v>
      </c>
      <c r="FT10" s="27">
        <f>'Как будет'!FT10</f>
        <v>0.11768758616018719</v>
      </c>
      <c r="FU10" s="27">
        <f>'Как будет'!FU10</f>
        <v>0.11624095148701259</v>
      </c>
      <c r="FV10" s="27">
        <f>'Как будет'!FV10</f>
        <v>0.11481209907912111</v>
      </c>
      <c r="FW10" s="27">
        <f>'Как будет'!FW10</f>
        <v>0.11340081035405759</v>
      </c>
      <c r="FX10" s="27">
        <f>'Как будет'!FX10</f>
        <v>0.11200686941621743</v>
      </c>
      <c r="FY10" s="27">
        <f>'Как будет'!FY10</f>
        <v>0.11063006302381941</v>
      </c>
      <c r="FZ10" s="27">
        <f>'Как будет'!FZ10</f>
        <v>0.10927018055628444</v>
      </c>
      <c r="GA10" s="27">
        <f>'Как будет'!GA10</f>
        <v>0.10792701398201542</v>
      </c>
      <c r="GB10" s="27">
        <f>'Как будет'!GB10</f>
        <v>0.1066003578265729</v>
      </c>
      <c r="GC10" s="27">
        <f>'Как будет'!GC10</f>
        <v>0.10529000914124224</v>
      </c>
      <c r="GD10" s="27">
        <f>'Как будет'!GD10</f>
        <v>0.10399576747198691</v>
      </c>
      <c r="GE10" s="27">
        <f>'Как будет'!GE10</f>
        <v>0.10271743482878351</v>
      </c>
      <c r="GF10" s="27">
        <f>'Как будет'!GF10</f>
        <v>0.10145481565533378</v>
      </c>
      <c r="GG10" s="27">
        <f>'Как будет'!GG10</f>
        <v>0.10020771679914878</v>
      </c>
      <c r="GH10" s="27">
        <f>'Как будет'!GH10</f>
        <v>9.8975947482000962E-2</v>
      </c>
      <c r="GI10" s="27">
        <f>'Как будет'!GI10</f>
        <v>9.7759319270739303E-2</v>
      </c>
      <c r="GJ10" s="27">
        <f>'Как будет'!GJ10</f>
        <v>9.65576460484633E-2</v>
      </c>
      <c r="GK10" s="27">
        <f>'Как будет'!GK10</f>
        <v>9.5370743986051207E-2</v>
      </c>
      <c r="GL10" s="27">
        <f>'Как будет'!GL10</f>
        <v>9.4198431514038311E-2</v>
      </c>
      <c r="GM10" s="27">
        <f>'Как будет'!GM10</f>
        <v>9.3040529294840871E-2</v>
      </c>
      <c r="GN10" s="27">
        <f>'Как будет'!GN10</f>
        <v>9.1896860195321464E-2</v>
      </c>
      <c r="GO10" s="27">
        <f>'Как будет'!GO10</f>
        <v>9.0767249259691596E-2</v>
      </c>
      <c r="GP10" s="27">
        <f>'Как будет'!GP10</f>
        <v>8.9651523682747342E-2</v>
      </c>
      <c r="GQ10" s="27">
        <f>'Как будет'!GQ10</f>
        <v>8.8549512783434065E-2</v>
      </c>
      <c r="GR10" s="27">
        <f>'Как будет'!GR10</f>
        <v>8.7461047978736009E-2</v>
      </c>
      <c r="GS10" s="27">
        <f>'Как будет'!GS10</f>
        <v>8.6385962757886875E-2</v>
      </c>
      <c r="GT10" s="27">
        <f>'Как будет'!GT10</f>
        <v>8.5324092656897374E-2</v>
      </c>
    </row>
    <row r="11" spans="1:204" s="24" customFormat="1" hidden="1" outlineLevel="1">
      <c r="C11" s="24">
        <v>0</v>
      </c>
      <c r="D11" s="24">
        <v>1</v>
      </c>
      <c r="E11" s="24">
        <f>D11+1</f>
        <v>2</v>
      </c>
      <c r="F11" s="24">
        <f t="shared" ref="F11:W11" si="4">E11+1</f>
        <v>3</v>
      </c>
      <c r="G11" s="24">
        <f t="shared" si="4"/>
        <v>4</v>
      </c>
      <c r="H11" s="24">
        <f t="shared" si="4"/>
        <v>5</v>
      </c>
      <c r="I11" s="24">
        <f t="shared" si="4"/>
        <v>6</v>
      </c>
      <c r="J11" s="24">
        <f t="shared" si="4"/>
        <v>7</v>
      </c>
      <c r="K11" s="24">
        <f t="shared" si="4"/>
        <v>8</v>
      </c>
      <c r="L11" s="24">
        <f t="shared" si="4"/>
        <v>9</v>
      </c>
      <c r="M11" s="24">
        <f t="shared" si="4"/>
        <v>10</v>
      </c>
      <c r="N11" s="24">
        <f t="shared" si="4"/>
        <v>11</v>
      </c>
      <c r="O11" s="24">
        <f t="shared" si="4"/>
        <v>12</v>
      </c>
      <c r="P11" s="24">
        <f t="shared" si="4"/>
        <v>13</v>
      </c>
      <c r="Q11" s="24">
        <f t="shared" si="4"/>
        <v>14</v>
      </c>
      <c r="R11" s="24">
        <f t="shared" si="4"/>
        <v>15</v>
      </c>
      <c r="S11" s="24">
        <f t="shared" si="4"/>
        <v>16</v>
      </c>
      <c r="T11" s="24">
        <f t="shared" si="4"/>
        <v>17</v>
      </c>
      <c r="U11" s="24">
        <f t="shared" si="4"/>
        <v>18</v>
      </c>
      <c r="V11" s="24">
        <f t="shared" si="4"/>
        <v>19</v>
      </c>
      <c r="W11" s="24">
        <f t="shared" si="4"/>
        <v>20</v>
      </c>
      <c r="X11" s="24">
        <f t="shared" ref="X11:CD11" si="5">W11+1</f>
        <v>21</v>
      </c>
      <c r="Y11" s="24">
        <f t="shared" si="5"/>
        <v>22</v>
      </c>
      <c r="Z11" s="24">
        <f t="shared" si="5"/>
        <v>23</v>
      </c>
      <c r="AA11" s="24">
        <f t="shared" si="5"/>
        <v>24</v>
      </c>
      <c r="AB11" s="24">
        <f t="shared" si="5"/>
        <v>25</v>
      </c>
      <c r="AC11" s="24">
        <f t="shared" si="5"/>
        <v>26</v>
      </c>
      <c r="AD11" s="24">
        <f t="shared" si="5"/>
        <v>27</v>
      </c>
      <c r="AE11" s="24">
        <f t="shared" si="5"/>
        <v>28</v>
      </c>
      <c r="AF11" s="24">
        <f t="shared" si="5"/>
        <v>29</v>
      </c>
      <c r="AG11" s="24">
        <f t="shared" si="5"/>
        <v>30</v>
      </c>
      <c r="AH11" s="24">
        <f t="shared" si="5"/>
        <v>31</v>
      </c>
      <c r="AI11" s="24">
        <f t="shared" si="5"/>
        <v>32</v>
      </c>
      <c r="AJ11" s="24">
        <f t="shared" si="5"/>
        <v>33</v>
      </c>
      <c r="AK11" s="24">
        <f t="shared" si="5"/>
        <v>34</v>
      </c>
      <c r="AL11" s="24">
        <f t="shared" si="5"/>
        <v>35</v>
      </c>
      <c r="AM11" s="24">
        <f t="shared" si="5"/>
        <v>36</v>
      </c>
      <c r="AN11" s="24">
        <f t="shared" si="5"/>
        <v>37</v>
      </c>
      <c r="AO11" s="24">
        <f t="shared" si="5"/>
        <v>38</v>
      </c>
      <c r="AP11" s="24">
        <f t="shared" si="5"/>
        <v>39</v>
      </c>
      <c r="AQ11" s="24">
        <f t="shared" si="5"/>
        <v>40</v>
      </c>
      <c r="AR11" s="24">
        <f t="shared" si="5"/>
        <v>41</v>
      </c>
      <c r="AS11" s="24">
        <f t="shared" si="5"/>
        <v>42</v>
      </c>
      <c r="AT11" s="24">
        <f t="shared" si="5"/>
        <v>43</v>
      </c>
      <c r="AU11" s="24">
        <f t="shared" si="5"/>
        <v>44</v>
      </c>
      <c r="AV11" s="24">
        <f t="shared" si="5"/>
        <v>45</v>
      </c>
      <c r="AW11" s="24">
        <f t="shared" si="5"/>
        <v>46</v>
      </c>
      <c r="AX11" s="24">
        <f t="shared" si="5"/>
        <v>47</v>
      </c>
      <c r="AY11" s="24">
        <f t="shared" si="5"/>
        <v>48</v>
      </c>
      <c r="AZ11" s="24">
        <f t="shared" si="5"/>
        <v>49</v>
      </c>
      <c r="BA11" s="24">
        <f t="shared" si="5"/>
        <v>50</v>
      </c>
      <c r="BB11" s="24">
        <f t="shared" si="5"/>
        <v>51</v>
      </c>
      <c r="BC11" s="24">
        <f t="shared" si="5"/>
        <v>52</v>
      </c>
      <c r="BD11" s="24">
        <f t="shared" si="5"/>
        <v>53</v>
      </c>
      <c r="BE11" s="24">
        <f t="shared" si="5"/>
        <v>54</v>
      </c>
      <c r="BF11" s="24">
        <f t="shared" si="5"/>
        <v>55</v>
      </c>
      <c r="BG11" s="24">
        <f t="shared" si="5"/>
        <v>56</v>
      </c>
      <c r="BH11" s="24">
        <f t="shared" si="5"/>
        <v>57</v>
      </c>
      <c r="BI11" s="24">
        <f t="shared" si="5"/>
        <v>58</v>
      </c>
      <c r="BJ11" s="24">
        <f t="shared" si="5"/>
        <v>59</v>
      </c>
      <c r="BK11" s="24">
        <f t="shared" si="5"/>
        <v>60</v>
      </c>
      <c r="BL11" s="24">
        <f t="shared" si="5"/>
        <v>61</v>
      </c>
      <c r="BM11" s="24">
        <f t="shared" si="5"/>
        <v>62</v>
      </c>
      <c r="BN11" s="24">
        <f t="shared" si="5"/>
        <v>63</v>
      </c>
      <c r="BO11" s="24">
        <f t="shared" si="5"/>
        <v>64</v>
      </c>
      <c r="BP11" s="24">
        <f t="shared" si="5"/>
        <v>65</v>
      </c>
      <c r="BQ11" s="24">
        <f t="shared" si="5"/>
        <v>66</v>
      </c>
      <c r="BR11" s="24">
        <f t="shared" si="5"/>
        <v>67</v>
      </c>
      <c r="BS11" s="24">
        <f t="shared" si="5"/>
        <v>68</v>
      </c>
      <c r="BT11" s="24">
        <f t="shared" si="5"/>
        <v>69</v>
      </c>
      <c r="BU11" s="24">
        <f t="shared" si="5"/>
        <v>70</v>
      </c>
      <c r="BV11" s="24">
        <f t="shared" si="5"/>
        <v>71</v>
      </c>
      <c r="BW11" s="24">
        <f t="shared" si="5"/>
        <v>72</v>
      </c>
      <c r="BX11" s="24">
        <f t="shared" si="5"/>
        <v>73</v>
      </c>
      <c r="BY11" s="24">
        <f t="shared" si="5"/>
        <v>74</v>
      </c>
      <c r="BZ11" s="24">
        <f t="shared" si="5"/>
        <v>75</v>
      </c>
      <c r="CA11" s="24">
        <f t="shared" si="5"/>
        <v>76</v>
      </c>
      <c r="CB11" s="24">
        <f t="shared" si="5"/>
        <v>77</v>
      </c>
      <c r="CC11" s="24">
        <f t="shared" si="5"/>
        <v>78</v>
      </c>
      <c r="CD11" s="24">
        <f t="shared" si="5"/>
        <v>79</v>
      </c>
      <c r="CE11" s="24">
        <f t="shared" ref="CE11:CW11" si="6">CD11+1</f>
        <v>80</v>
      </c>
      <c r="CF11" s="24">
        <f t="shared" si="6"/>
        <v>81</v>
      </c>
      <c r="CG11" s="24">
        <f t="shared" si="6"/>
        <v>82</v>
      </c>
      <c r="CH11" s="24">
        <f t="shared" si="6"/>
        <v>83</v>
      </c>
      <c r="CI11" s="24">
        <f t="shared" si="6"/>
        <v>84</v>
      </c>
      <c r="CJ11" s="24">
        <f t="shared" si="6"/>
        <v>85</v>
      </c>
      <c r="CK11" s="24">
        <f t="shared" si="6"/>
        <v>86</v>
      </c>
      <c r="CL11" s="24">
        <f t="shared" si="6"/>
        <v>87</v>
      </c>
      <c r="CM11" s="24">
        <f t="shared" si="6"/>
        <v>88</v>
      </c>
      <c r="CN11" s="24">
        <f t="shared" si="6"/>
        <v>89</v>
      </c>
      <c r="CO11" s="24">
        <f t="shared" si="6"/>
        <v>90</v>
      </c>
      <c r="CP11" s="24">
        <f t="shared" si="6"/>
        <v>91</v>
      </c>
      <c r="CQ11" s="24">
        <f t="shared" si="6"/>
        <v>92</v>
      </c>
      <c r="CR11" s="24">
        <f t="shared" si="6"/>
        <v>93</v>
      </c>
      <c r="CS11" s="24">
        <f t="shared" si="6"/>
        <v>94</v>
      </c>
      <c r="CT11" s="24">
        <f t="shared" si="6"/>
        <v>95</v>
      </c>
      <c r="CU11" s="24">
        <f t="shared" si="6"/>
        <v>96</v>
      </c>
      <c r="CV11" s="24">
        <f t="shared" si="6"/>
        <v>97</v>
      </c>
      <c r="CW11" s="24">
        <f t="shared" si="6"/>
        <v>98</v>
      </c>
      <c r="CX11" s="24">
        <f t="shared" ref="CX11:EB11" si="7">CW11+1</f>
        <v>99</v>
      </c>
      <c r="CY11" s="24">
        <f t="shared" si="7"/>
        <v>100</v>
      </c>
      <c r="CZ11" s="24">
        <f t="shared" si="7"/>
        <v>101</v>
      </c>
      <c r="DA11" s="24">
        <f t="shared" si="7"/>
        <v>102</v>
      </c>
      <c r="DB11" s="24">
        <f t="shared" si="7"/>
        <v>103</v>
      </c>
      <c r="DC11" s="24">
        <f t="shared" si="7"/>
        <v>104</v>
      </c>
      <c r="DD11" s="24">
        <f t="shared" si="7"/>
        <v>105</v>
      </c>
      <c r="DE11" s="24">
        <f t="shared" si="7"/>
        <v>106</v>
      </c>
      <c r="DF11" s="24">
        <f t="shared" si="7"/>
        <v>107</v>
      </c>
      <c r="DG11" s="24">
        <f t="shared" si="7"/>
        <v>108</v>
      </c>
      <c r="DH11" s="24">
        <f t="shared" si="7"/>
        <v>109</v>
      </c>
      <c r="DI11" s="24">
        <f t="shared" si="7"/>
        <v>110</v>
      </c>
      <c r="DJ11" s="24">
        <f t="shared" si="7"/>
        <v>111</v>
      </c>
      <c r="DK11" s="24">
        <f t="shared" si="7"/>
        <v>112</v>
      </c>
      <c r="DL11" s="24">
        <f t="shared" si="7"/>
        <v>113</v>
      </c>
      <c r="DM11" s="24">
        <f t="shared" si="7"/>
        <v>114</v>
      </c>
      <c r="DN11" s="24">
        <f t="shared" si="7"/>
        <v>115</v>
      </c>
      <c r="DO11" s="24">
        <f t="shared" si="7"/>
        <v>116</v>
      </c>
      <c r="DP11" s="24">
        <f t="shared" si="7"/>
        <v>117</v>
      </c>
      <c r="DQ11" s="24">
        <f t="shared" si="7"/>
        <v>118</v>
      </c>
      <c r="DR11" s="24">
        <f t="shared" si="7"/>
        <v>119</v>
      </c>
      <c r="DS11" s="24">
        <f t="shared" si="7"/>
        <v>120</v>
      </c>
      <c r="DT11" s="24">
        <f t="shared" si="7"/>
        <v>121</v>
      </c>
      <c r="DU11" s="24">
        <f t="shared" si="7"/>
        <v>122</v>
      </c>
      <c r="DV11" s="24">
        <f t="shared" si="7"/>
        <v>123</v>
      </c>
      <c r="DW11" s="24">
        <f t="shared" si="7"/>
        <v>124</v>
      </c>
      <c r="DX11" s="24">
        <f t="shared" si="7"/>
        <v>125</v>
      </c>
      <c r="DY11" s="24">
        <f t="shared" si="7"/>
        <v>126</v>
      </c>
      <c r="DZ11" s="24">
        <f t="shared" si="7"/>
        <v>127</v>
      </c>
      <c r="EA11" s="24">
        <f t="shared" si="7"/>
        <v>128</v>
      </c>
      <c r="EB11" s="24">
        <f t="shared" si="7"/>
        <v>129</v>
      </c>
      <c r="EC11" s="24">
        <f t="shared" ref="EC11:FB11" si="8">EB11+1</f>
        <v>130</v>
      </c>
      <c r="ED11" s="24">
        <f t="shared" si="8"/>
        <v>131</v>
      </c>
      <c r="EE11" s="24">
        <f t="shared" si="8"/>
        <v>132</v>
      </c>
      <c r="EF11" s="24">
        <f t="shared" si="8"/>
        <v>133</v>
      </c>
      <c r="EG11" s="24">
        <f t="shared" si="8"/>
        <v>134</v>
      </c>
      <c r="EH11" s="24">
        <f t="shared" si="8"/>
        <v>135</v>
      </c>
      <c r="EI11" s="24">
        <f t="shared" si="8"/>
        <v>136</v>
      </c>
      <c r="EJ11" s="24">
        <f t="shared" si="8"/>
        <v>137</v>
      </c>
      <c r="EK11" s="24">
        <f t="shared" si="8"/>
        <v>138</v>
      </c>
      <c r="EL11" s="24">
        <f t="shared" si="8"/>
        <v>139</v>
      </c>
      <c r="EM11" s="24">
        <f t="shared" si="8"/>
        <v>140</v>
      </c>
      <c r="EN11" s="24">
        <f t="shared" si="8"/>
        <v>141</v>
      </c>
      <c r="EO11" s="24">
        <f t="shared" si="8"/>
        <v>142</v>
      </c>
      <c r="EP11" s="24">
        <f t="shared" si="8"/>
        <v>143</v>
      </c>
      <c r="EQ11" s="24">
        <f t="shared" si="8"/>
        <v>144</v>
      </c>
      <c r="ER11" s="24">
        <f t="shared" si="8"/>
        <v>145</v>
      </c>
      <c r="ES11" s="24">
        <f t="shared" si="8"/>
        <v>146</v>
      </c>
      <c r="ET11" s="24">
        <f t="shared" si="8"/>
        <v>147</v>
      </c>
      <c r="EU11" s="24">
        <f t="shared" si="8"/>
        <v>148</v>
      </c>
      <c r="EV11" s="24">
        <f t="shared" si="8"/>
        <v>149</v>
      </c>
      <c r="EW11" s="24">
        <f t="shared" si="8"/>
        <v>150</v>
      </c>
      <c r="EX11" s="24">
        <f t="shared" si="8"/>
        <v>151</v>
      </c>
      <c r="EY11" s="24">
        <f t="shared" si="8"/>
        <v>152</v>
      </c>
      <c r="EZ11" s="24">
        <f t="shared" si="8"/>
        <v>153</v>
      </c>
      <c r="FA11" s="24">
        <f t="shared" si="8"/>
        <v>154</v>
      </c>
      <c r="FB11" s="24">
        <f t="shared" si="8"/>
        <v>155</v>
      </c>
      <c r="FC11" s="24">
        <f t="shared" ref="FC11:FZ11" si="9">FB11+1</f>
        <v>156</v>
      </c>
      <c r="FD11" s="24">
        <f t="shared" si="9"/>
        <v>157</v>
      </c>
      <c r="FE11" s="24">
        <f t="shared" si="9"/>
        <v>158</v>
      </c>
      <c r="FF11" s="24">
        <f t="shared" si="9"/>
        <v>159</v>
      </c>
      <c r="FG11" s="24">
        <f t="shared" si="9"/>
        <v>160</v>
      </c>
      <c r="FH11" s="24">
        <f t="shared" si="9"/>
        <v>161</v>
      </c>
      <c r="FI11" s="24">
        <f t="shared" si="9"/>
        <v>162</v>
      </c>
      <c r="FJ11" s="24">
        <f t="shared" si="9"/>
        <v>163</v>
      </c>
      <c r="FK11" s="24">
        <f t="shared" si="9"/>
        <v>164</v>
      </c>
      <c r="FL11" s="24">
        <f t="shared" si="9"/>
        <v>165</v>
      </c>
      <c r="FM11" s="24">
        <f t="shared" si="9"/>
        <v>166</v>
      </c>
      <c r="FN11" s="24">
        <f t="shared" si="9"/>
        <v>167</v>
      </c>
      <c r="FO11" s="24">
        <f t="shared" si="9"/>
        <v>168</v>
      </c>
      <c r="FP11" s="24">
        <f t="shared" si="9"/>
        <v>169</v>
      </c>
      <c r="FQ11" s="24">
        <f t="shared" si="9"/>
        <v>170</v>
      </c>
      <c r="FR11" s="24">
        <f t="shared" si="9"/>
        <v>171</v>
      </c>
      <c r="FS11" s="24">
        <f t="shared" si="9"/>
        <v>172</v>
      </c>
      <c r="FT11" s="24">
        <f t="shared" si="9"/>
        <v>173</v>
      </c>
      <c r="FU11" s="24">
        <f t="shared" si="9"/>
        <v>174</v>
      </c>
      <c r="FV11" s="24">
        <f t="shared" si="9"/>
        <v>175</v>
      </c>
      <c r="FW11" s="24">
        <f t="shared" si="9"/>
        <v>176</v>
      </c>
      <c r="FX11" s="24">
        <f t="shared" si="9"/>
        <v>177</v>
      </c>
      <c r="FY11" s="24">
        <f t="shared" si="9"/>
        <v>178</v>
      </c>
      <c r="FZ11" s="24">
        <f t="shared" si="9"/>
        <v>179</v>
      </c>
      <c r="GA11" s="24">
        <f t="shared" ref="GA11:GT11" si="10">FZ11+1</f>
        <v>180</v>
      </c>
      <c r="GB11" s="24">
        <f t="shared" si="10"/>
        <v>181</v>
      </c>
      <c r="GC11" s="24">
        <f t="shared" si="10"/>
        <v>182</v>
      </c>
      <c r="GD11" s="24">
        <f t="shared" si="10"/>
        <v>183</v>
      </c>
      <c r="GE11" s="24">
        <f t="shared" si="10"/>
        <v>184</v>
      </c>
      <c r="GF11" s="24">
        <f t="shared" si="10"/>
        <v>185</v>
      </c>
      <c r="GG11" s="24">
        <f t="shared" si="10"/>
        <v>186</v>
      </c>
      <c r="GH11" s="24">
        <f t="shared" si="10"/>
        <v>187</v>
      </c>
      <c r="GI11" s="24">
        <f t="shared" si="10"/>
        <v>188</v>
      </c>
      <c r="GJ11" s="24">
        <f t="shared" si="10"/>
        <v>189</v>
      </c>
      <c r="GK11" s="24">
        <f t="shared" si="10"/>
        <v>190</v>
      </c>
      <c r="GL11" s="24">
        <f t="shared" si="10"/>
        <v>191</v>
      </c>
      <c r="GM11" s="24">
        <f t="shared" si="10"/>
        <v>192</v>
      </c>
      <c r="GN11" s="24">
        <f t="shared" si="10"/>
        <v>193</v>
      </c>
      <c r="GO11" s="24">
        <f t="shared" si="10"/>
        <v>194</v>
      </c>
      <c r="GP11" s="24">
        <f t="shared" si="10"/>
        <v>195</v>
      </c>
      <c r="GQ11" s="24">
        <f t="shared" si="10"/>
        <v>196</v>
      </c>
      <c r="GR11" s="24">
        <f t="shared" si="10"/>
        <v>197</v>
      </c>
      <c r="GS11" s="24">
        <f t="shared" si="10"/>
        <v>198</v>
      </c>
      <c r="GT11" s="24">
        <f t="shared" si="10"/>
        <v>199</v>
      </c>
    </row>
    <row r="12" spans="1:204" hidden="1" outlineLevel="1">
      <c r="C12" s="24">
        <f>IFERROR(YEAR(C14),"")</f>
        <v>2026</v>
      </c>
      <c r="D12" s="24">
        <f t="shared" ref="D12:BO12" si="11">IFERROR(YEAR(D14),"")</f>
        <v>2026</v>
      </c>
      <c r="E12" s="24">
        <f t="shared" si="11"/>
        <v>2026</v>
      </c>
      <c r="F12" s="24">
        <f t="shared" si="11"/>
        <v>2026</v>
      </c>
      <c r="G12" s="24">
        <f t="shared" si="11"/>
        <v>2026</v>
      </c>
      <c r="H12" s="24">
        <f t="shared" si="11"/>
        <v>2026</v>
      </c>
      <c r="I12" s="24">
        <f t="shared" si="11"/>
        <v>2026</v>
      </c>
      <c r="J12" s="24">
        <f t="shared" si="11"/>
        <v>2026</v>
      </c>
      <c r="K12" s="24">
        <f t="shared" si="11"/>
        <v>2026</v>
      </c>
      <c r="L12" s="24">
        <f t="shared" si="11"/>
        <v>2026</v>
      </c>
      <c r="M12" s="24">
        <f t="shared" si="11"/>
        <v>2026</v>
      </c>
      <c r="N12" s="24">
        <f t="shared" si="11"/>
        <v>2026</v>
      </c>
      <c r="O12" s="24">
        <f t="shared" si="11"/>
        <v>2027</v>
      </c>
      <c r="P12" s="24">
        <f t="shared" si="11"/>
        <v>2027</v>
      </c>
      <c r="Q12" s="24">
        <f t="shared" si="11"/>
        <v>2027</v>
      </c>
      <c r="R12" s="24">
        <f t="shared" si="11"/>
        <v>2027</v>
      </c>
      <c r="S12" s="24">
        <f t="shared" si="11"/>
        <v>2027</v>
      </c>
      <c r="T12" s="24">
        <f t="shared" si="11"/>
        <v>2027</v>
      </c>
      <c r="U12" s="24">
        <f t="shared" si="11"/>
        <v>2027</v>
      </c>
      <c r="V12" s="24">
        <f t="shared" si="11"/>
        <v>2027</v>
      </c>
      <c r="W12" s="24">
        <f t="shared" si="11"/>
        <v>2027</v>
      </c>
      <c r="X12" s="24">
        <f t="shared" si="11"/>
        <v>2027</v>
      </c>
      <c r="Y12" s="24">
        <f t="shared" si="11"/>
        <v>2027</v>
      </c>
      <c r="Z12" s="24">
        <f t="shared" si="11"/>
        <v>2027</v>
      </c>
      <c r="AA12" s="24">
        <f t="shared" si="11"/>
        <v>2028</v>
      </c>
      <c r="AB12" s="24">
        <f t="shared" si="11"/>
        <v>2028</v>
      </c>
      <c r="AC12" s="24">
        <f t="shared" si="11"/>
        <v>2028</v>
      </c>
      <c r="AD12" s="24">
        <f t="shared" si="11"/>
        <v>2028</v>
      </c>
      <c r="AE12" s="24">
        <f t="shared" si="11"/>
        <v>2028</v>
      </c>
      <c r="AF12" s="24">
        <f t="shared" si="11"/>
        <v>2028</v>
      </c>
      <c r="AG12" s="24">
        <f t="shared" si="11"/>
        <v>2028</v>
      </c>
      <c r="AH12" s="24">
        <f t="shared" si="11"/>
        <v>2028</v>
      </c>
      <c r="AI12" s="24">
        <f t="shared" si="11"/>
        <v>2028</v>
      </c>
      <c r="AJ12" s="24">
        <f t="shared" si="11"/>
        <v>2028</v>
      </c>
      <c r="AK12" s="24">
        <f t="shared" si="11"/>
        <v>2028</v>
      </c>
      <c r="AL12" s="24">
        <f t="shared" si="11"/>
        <v>2028</v>
      </c>
      <c r="AM12" s="24">
        <f t="shared" si="11"/>
        <v>2029</v>
      </c>
      <c r="AN12" s="24">
        <f t="shared" si="11"/>
        <v>2029</v>
      </c>
      <c r="AO12" s="24">
        <f t="shared" si="11"/>
        <v>2029</v>
      </c>
      <c r="AP12" s="24">
        <f t="shared" si="11"/>
        <v>2029</v>
      </c>
      <c r="AQ12" s="24">
        <f t="shared" si="11"/>
        <v>2029</v>
      </c>
      <c r="AR12" s="24">
        <f t="shared" si="11"/>
        <v>2029</v>
      </c>
      <c r="AS12" s="24">
        <f t="shared" si="11"/>
        <v>2029</v>
      </c>
      <c r="AT12" s="24">
        <f t="shared" si="11"/>
        <v>2029</v>
      </c>
      <c r="AU12" s="24">
        <f t="shared" si="11"/>
        <v>2029</v>
      </c>
      <c r="AV12" s="24">
        <f t="shared" si="11"/>
        <v>2029</v>
      </c>
      <c r="AW12" s="24">
        <f t="shared" si="11"/>
        <v>2029</v>
      </c>
      <c r="AX12" s="24">
        <f t="shared" si="11"/>
        <v>2029</v>
      </c>
      <c r="AY12" s="24">
        <f t="shared" si="11"/>
        <v>2030</v>
      </c>
      <c r="AZ12" s="24">
        <f t="shared" si="11"/>
        <v>2030</v>
      </c>
      <c r="BA12" s="24">
        <f t="shared" si="11"/>
        <v>2030</v>
      </c>
      <c r="BB12" s="24">
        <f t="shared" si="11"/>
        <v>2030</v>
      </c>
      <c r="BC12" s="24">
        <f t="shared" si="11"/>
        <v>2030</v>
      </c>
      <c r="BD12" s="24">
        <f t="shared" si="11"/>
        <v>2030</v>
      </c>
      <c r="BE12" s="24">
        <f t="shared" si="11"/>
        <v>2030</v>
      </c>
      <c r="BF12" s="24">
        <f t="shared" si="11"/>
        <v>2030</v>
      </c>
      <c r="BG12" s="24">
        <f t="shared" si="11"/>
        <v>2030</v>
      </c>
      <c r="BH12" s="24">
        <f t="shared" si="11"/>
        <v>2030</v>
      </c>
      <c r="BI12" s="24">
        <f t="shared" si="11"/>
        <v>2030</v>
      </c>
      <c r="BJ12" s="24">
        <f t="shared" si="11"/>
        <v>2030</v>
      </c>
      <c r="BK12" s="24" t="str">
        <f t="shared" si="11"/>
        <v/>
      </c>
      <c r="BL12" s="24" t="str">
        <f t="shared" si="11"/>
        <v/>
      </c>
      <c r="BM12" s="24" t="str">
        <f t="shared" si="11"/>
        <v/>
      </c>
      <c r="BN12" s="24" t="str">
        <f t="shared" si="11"/>
        <v/>
      </c>
      <c r="BO12" s="24" t="str">
        <f t="shared" si="11"/>
        <v/>
      </c>
      <c r="BP12" s="24" t="str">
        <f t="shared" ref="BP12:EA12" si="12">IFERROR(YEAR(BP14),"")</f>
        <v/>
      </c>
      <c r="BQ12" s="24" t="str">
        <f t="shared" si="12"/>
        <v/>
      </c>
      <c r="BR12" s="24" t="str">
        <f t="shared" si="12"/>
        <v/>
      </c>
      <c r="BS12" s="24" t="str">
        <f t="shared" si="12"/>
        <v/>
      </c>
      <c r="BT12" s="24" t="str">
        <f t="shared" si="12"/>
        <v/>
      </c>
      <c r="BU12" s="24" t="str">
        <f t="shared" si="12"/>
        <v/>
      </c>
      <c r="BV12" s="24" t="str">
        <f t="shared" si="12"/>
        <v/>
      </c>
      <c r="BW12" s="24" t="str">
        <f t="shared" si="12"/>
        <v/>
      </c>
      <c r="BX12" s="24" t="str">
        <f t="shared" si="12"/>
        <v/>
      </c>
      <c r="BY12" s="24" t="str">
        <f t="shared" si="12"/>
        <v/>
      </c>
      <c r="BZ12" s="24" t="str">
        <f t="shared" si="12"/>
        <v/>
      </c>
      <c r="CA12" s="24" t="str">
        <f t="shared" si="12"/>
        <v/>
      </c>
      <c r="CB12" s="24" t="str">
        <f t="shared" si="12"/>
        <v/>
      </c>
      <c r="CC12" s="24" t="str">
        <f t="shared" si="12"/>
        <v/>
      </c>
      <c r="CD12" s="24" t="str">
        <f t="shared" si="12"/>
        <v/>
      </c>
      <c r="CE12" s="24" t="str">
        <f t="shared" si="12"/>
        <v/>
      </c>
      <c r="CF12" s="24" t="str">
        <f t="shared" si="12"/>
        <v/>
      </c>
      <c r="CG12" s="24" t="str">
        <f t="shared" si="12"/>
        <v/>
      </c>
      <c r="CH12" s="24" t="str">
        <f t="shared" si="12"/>
        <v/>
      </c>
      <c r="CI12" s="24" t="str">
        <f t="shared" si="12"/>
        <v/>
      </c>
      <c r="CJ12" s="24" t="str">
        <f t="shared" si="12"/>
        <v/>
      </c>
      <c r="CK12" s="24" t="str">
        <f t="shared" si="12"/>
        <v/>
      </c>
      <c r="CL12" s="24" t="str">
        <f t="shared" si="12"/>
        <v/>
      </c>
      <c r="CM12" s="24" t="str">
        <f t="shared" si="12"/>
        <v/>
      </c>
      <c r="CN12" s="24" t="str">
        <f t="shared" si="12"/>
        <v/>
      </c>
      <c r="CO12" s="24" t="str">
        <f t="shared" si="12"/>
        <v/>
      </c>
      <c r="CP12" s="24" t="str">
        <f t="shared" si="12"/>
        <v/>
      </c>
      <c r="CQ12" s="24" t="str">
        <f t="shared" si="12"/>
        <v/>
      </c>
      <c r="CR12" s="24" t="str">
        <f t="shared" si="12"/>
        <v/>
      </c>
      <c r="CS12" s="24" t="str">
        <f t="shared" si="12"/>
        <v/>
      </c>
      <c r="CT12" s="24" t="str">
        <f t="shared" si="12"/>
        <v/>
      </c>
      <c r="CU12" s="24" t="str">
        <f t="shared" si="12"/>
        <v/>
      </c>
      <c r="CV12" s="24" t="str">
        <f t="shared" si="12"/>
        <v/>
      </c>
      <c r="CW12" s="24" t="str">
        <f t="shared" si="12"/>
        <v/>
      </c>
      <c r="CX12" s="24" t="str">
        <f t="shared" si="12"/>
        <v/>
      </c>
      <c r="CY12" s="24" t="str">
        <f t="shared" si="12"/>
        <v/>
      </c>
      <c r="CZ12" s="24" t="str">
        <f t="shared" si="12"/>
        <v/>
      </c>
      <c r="DA12" s="24" t="str">
        <f t="shared" si="12"/>
        <v/>
      </c>
      <c r="DB12" s="24" t="str">
        <f t="shared" si="12"/>
        <v/>
      </c>
      <c r="DC12" s="24" t="str">
        <f t="shared" si="12"/>
        <v/>
      </c>
      <c r="DD12" s="24" t="str">
        <f t="shared" si="12"/>
        <v/>
      </c>
      <c r="DE12" s="24" t="str">
        <f t="shared" si="12"/>
        <v/>
      </c>
      <c r="DF12" s="24" t="str">
        <f t="shared" si="12"/>
        <v/>
      </c>
      <c r="DG12" s="24" t="str">
        <f t="shared" si="12"/>
        <v/>
      </c>
      <c r="DH12" s="24" t="str">
        <f t="shared" si="12"/>
        <v/>
      </c>
      <c r="DI12" s="24" t="str">
        <f t="shared" si="12"/>
        <v/>
      </c>
      <c r="DJ12" s="24" t="str">
        <f t="shared" si="12"/>
        <v/>
      </c>
      <c r="DK12" s="24" t="str">
        <f t="shared" si="12"/>
        <v/>
      </c>
      <c r="DL12" s="24" t="str">
        <f t="shared" si="12"/>
        <v/>
      </c>
      <c r="DM12" s="24" t="str">
        <f t="shared" si="12"/>
        <v/>
      </c>
      <c r="DN12" s="24" t="str">
        <f t="shared" si="12"/>
        <v/>
      </c>
      <c r="DO12" s="24" t="str">
        <f t="shared" si="12"/>
        <v/>
      </c>
      <c r="DP12" s="24" t="str">
        <f t="shared" si="12"/>
        <v/>
      </c>
      <c r="DQ12" s="24" t="str">
        <f t="shared" si="12"/>
        <v/>
      </c>
      <c r="DR12" s="24" t="str">
        <f t="shared" si="12"/>
        <v/>
      </c>
      <c r="DS12" s="24" t="str">
        <f t="shared" si="12"/>
        <v/>
      </c>
      <c r="DT12" s="24" t="str">
        <f t="shared" si="12"/>
        <v/>
      </c>
      <c r="DU12" s="24" t="str">
        <f t="shared" si="12"/>
        <v/>
      </c>
      <c r="DV12" s="24" t="str">
        <f t="shared" si="12"/>
        <v/>
      </c>
      <c r="DW12" s="24" t="str">
        <f t="shared" si="12"/>
        <v/>
      </c>
      <c r="DX12" s="24" t="str">
        <f t="shared" si="12"/>
        <v/>
      </c>
      <c r="DY12" s="24" t="str">
        <f t="shared" si="12"/>
        <v/>
      </c>
      <c r="DZ12" s="24" t="str">
        <f t="shared" si="12"/>
        <v/>
      </c>
      <c r="EA12" s="24" t="str">
        <f t="shared" si="12"/>
        <v/>
      </c>
      <c r="EB12" s="24" t="str">
        <f t="shared" ref="EB12:GM12" si="13">IFERROR(YEAR(EB14),"")</f>
        <v/>
      </c>
      <c r="EC12" s="24" t="str">
        <f t="shared" si="13"/>
        <v/>
      </c>
      <c r="ED12" s="24" t="str">
        <f t="shared" si="13"/>
        <v/>
      </c>
      <c r="EE12" s="24" t="str">
        <f t="shared" si="13"/>
        <v/>
      </c>
      <c r="EF12" s="24" t="str">
        <f t="shared" si="13"/>
        <v/>
      </c>
      <c r="EG12" s="24" t="str">
        <f t="shared" si="13"/>
        <v/>
      </c>
      <c r="EH12" s="24" t="str">
        <f t="shared" si="13"/>
        <v/>
      </c>
      <c r="EI12" s="24" t="str">
        <f t="shared" si="13"/>
        <v/>
      </c>
      <c r="EJ12" s="24" t="str">
        <f t="shared" si="13"/>
        <v/>
      </c>
      <c r="EK12" s="24" t="str">
        <f t="shared" si="13"/>
        <v/>
      </c>
      <c r="EL12" s="24" t="str">
        <f t="shared" si="13"/>
        <v/>
      </c>
      <c r="EM12" s="24" t="str">
        <f t="shared" si="13"/>
        <v/>
      </c>
      <c r="EN12" s="24" t="str">
        <f t="shared" si="13"/>
        <v/>
      </c>
      <c r="EO12" s="24" t="str">
        <f t="shared" si="13"/>
        <v/>
      </c>
      <c r="EP12" s="24" t="str">
        <f t="shared" si="13"/>
        <v/>
      </c>
      <c r="EQ12" s="24" t="str">
        <f t="shared" si="13"/>
        <v/>
      </c>
      <c r="ER12" s="24" t="str">
        <f t="shared" si="13"/>
        <v/>
      </c>
      <c r="ES12" s="24" t="str">
        <f t="shared" si="13"/>
        <v/>
      </c>
      <c r="ET12" s="24" t="str">
        <f t="shared" si="13"/>
        <v/>
      </c>
      <c r="EU12" s="24" t="str">
        <f t="shared" si="13"/>
        <v/>
      </c>
      <c r="EV12" s="24" t="str">
        <f t="shared" si="13"/>
        <v/>
      </c>
      <c r="EW12" s="24" t="str">
        <f t="shared" si="13"/>
        <v/>
      </c>
      <c r="EX12" s="24" t="str">
        <f t="shared" si="13"/>
        <v/>
      </c>
      <c r="EY12" s="24" t="str">
        <f t="shared" si="13"/>
        <v/>
      </c>
      <c r="EZ12" s="24" t="str">
        <f t="shared" si="13"/>
        <v/>
      </c>
      <c r="FA12" s="24" t="str">
        <f t="shared" si="13"/>
        <v/>
      </c>
      <c r="FB12" s="24" t="str">
        <f t="shared" si="13"/>
        <v/>
      </c>
      <c r="FC12" s="24" t="str">
        <f t="shared" si="13"/>
        <v/>
      </c>
      <c r="FD12" s="24" t="str">
        <f t="shared" si="13"/>
        <v/>
      </c>
      <c r="FE12" s="24" t="str">
        <f t="shared" si="13"/>
        <v/>
      </c>
      <c r="FF12" s="24" t="str">
        <f t="shared" si="13"/>
        <v/>
      </c>
      <c r="FG12" s="24" t="str">
        <f t="shared" si="13"/>
        <v/>
      </c>
      <c r="FH12" s="24" t="str">
        <f t="shared" si="13"/>
        <v/>
      </c>
      <c r="FI12" s="24" t="str">
        <f t="shared" si="13"/>
        <v/>
      </c>
      <c r="FJ12" s="24" t="str">
        <f t="shared" si="13"/>
        <v/>
      </c>
      <c r="FK12" s="24" t="str">
        <f t="shared" si="13"/>
        <v/>
      </c>
      <c r="FL12" s="24" t="str">
        <f t="shared" si="13"/>
        <v/>
      </c>
      <c r="FM12" s="24" t="str">
        <f t="shared" si="13"/>
        <v/>
      </c>
      <c r="FN12" s="24" t="str">
        <f t="shared" si="13"/>
        <v/>
      </c>
      <c r="FO12" s="24" t="str">
        <f t="shared" si="13"/>
        <v/>
      </c>
      <c r="FP12" s="24" t="str">
        <f t="shared" si="13"/>
        <v/>
      </c>
      <c r="FQ12" s="24" t="str">
        <f t="shared" si="13"/>
        <v/>
      </c>
      <c r="FR12" s="24" t="str">
        <f t="shared" si="13"/>
        <v/>
      </c>
      <c r="FS12" s="24" t="str">
        <f t="shared" si="13"/>
        <v/>
      </c>
      <c r="FT12" s="24" t="str">
        <f t="shared" si="13"/>
        <v/>
      </c>
      <c r="FU12" s="24" t="str">
        <f t="shared" si="13"/>
        <v/>
      </c>
      <c r="FV12" s="24" t="str">
        <f t="shared" si="13"/>
        <v/>
      </c>
      <c r="FW12" s="24" t="str">
        <f t="shared" si="13"/>
        <v/>
      </c>
      <c r="FX12" s="24" t="str">
        <f t="shared" si="13"/>
        <v/>
      </c>
      <c r="FY12" s="24" t="str">
        <f t="shared" si="13"/>
        <v/>
      </c>
      <c r="FZ12" s="24" t="str">
        <f t="shared" si="13"/>
        <v/>
      </c>
      <c r="GA12" s="24" t="str">
        <f t="shared" si="13"/>
        <v/>
      </c>
      <c r="GB12" s="24" t="str">
        <f t="shared" si="13"/>
        <v/>
      </c>
      <c r="GC12" s="24" t="str">
        <f t="shared" si="13"/>
        <v/>
      </c>
      <c r="GD12" s="24" t="str">
        <f t="shared" si="13"/>
        <v/>
      </c>
      <c r="GE12" s="24" t="str">
        <f t="shared" si="13"/>
        <v/>
      </c>
      <c r="GF12" s="24" t="str">
        <f t="shared" si="13"/>
        <v/>
      </c>
      <c r="GG12" s="24" t="str">
        <f t="shared" si="13"/>
        <v/>
      </c>
      <c r="GH12" s="24" t="str">
        <f t="shared" si="13"/>
        <v/>
      </c>
      <c r="GI12" s="24" t="str">
        <f t="shared" si="13"/>
        <v/>
      </c>
      <c r="GJ12" s="24" t="str">
        <f t="shared" si="13"/>
        <v/>
      </c>
      <c r="GK12" s="24" t="str">
        <f t="shared" si="13"/>
        <v/>
      </c>
      <c r="GL12" s="24" t="str">
        <f t="shared" si="13"/>
        <v/>
      </c>
      <c r="GM12" s="24" t="str">
        <f t="shared" si="13"/>
        <v/>
      </c>
      <c r="GN12" s="24" t="str">
        <f t="shared" ref="GN12:GT12" si="14">IFERROR(YEAR(GN14),"")</f>
        <v/>
      </c>
      <c r="GO12" s="24" t="str">
        <f t="shared" si="14"/>
        <v/>
      </c>
      <c r="GP12" s="24" t="str">
        <f t="shared" si="14"/>
        <v/>
      </c>
      <c r="GQ12" s="24" t="str">
        <f t="shared" si="14"/>
        <v/>
      </c>
      <c r="GR12" s="24" t="str">
        <f t="shared" si="14"/>
        <v/>
      </c>
      <c r="GS12" s="24" t="str">
        <f t="shared" si="14"/>
        <v/>
      </c>
      <c r="GT12" s="24" t="str">
        <f t="shared" si="14"/>
        <v/>
      </c>
    </row>
    <row r="13" spans="1:204" hidden="1" outlineLevel="1">
      <c r="C13" s="24">
        <f>IFERROR(MONTH(C14),"")</f>
        <v>1</v>
      </c>
      <c r="D13" s="24">
        <f t="shared" ref="D13:BO13" si="15">IFERROR(MONTH(D14),"")</f>
        <v>2</v>
      </c>
      <c r="E13" s="24">
        <f t="shared" si="15"/>
        <v>3</v>
      </c>
      <c r="F13" s="24">
        <f t="shared" si="15"/>
        <v>4</v>
      </c>
      <c r="G13" s="24">
        <f t="shared" si="15"/>
        <v>5</v>
      </c>
      <c r="H13" s="24">
        <f t="shared" si="15"/>
        <v>6</v>
      </c>
      <c r="I13" s="24">
        <f t="shared" si="15"/>
        <v>7</v>
      </c>
      <c r="J13" s="24">
        <f t="shared" si="15"/>
        <v>8</v>
      </c>
      <c r="K13" s="24">
        <f t="shared" si="15"/>
        <v>9</v>
      </c>
      <c r="L13" s="24">
        <f t="shared" si="15"/>
        <v>10</v>
      </c>
      <c r="M13" s="24">
        <f t="shared" si="15"/>
        <v>11</v>
      </c>
      <c r="N13" s="24">
        <f t="shared" si="15"/>
        <v>12</v>
      </c>
      <c r="O13" s="24">
        <f t="shared" si="15"/>
        <v>1</v>
      </c>
      <c r="P13" s="24">
        <f t="shared" si="15"/>
        <v>2</v>
      </c>
      <c r="Q13" s="24">
        <f t="shared" si="15"/>
        <v>3</v>
      </c>
      <c r="R13" s="24">
        <f t="shared" si="15"/>
        <v>4</v>
      </c>
      <c r="S13" s="24">
        <f t="shared" si="15"/>
        <v>5</v>
      </c>
      <c r="T13" s="24">
        <f t="shared" si="15"/>
        <v>6</v>
      </c>
      <c r="U13" s="24">
        <f t="shared" si="15"/>
        <v>7</v>
      </c>
      <c r="V13" s="24">
        <f t="shared" si="15"/>
        <v>8</v>
      </c>
      <c r="W13" s="24">
        <f t="shared" si="15"/>
        <v>9</v>
      </c>
      <c r="X13" s="24">
        <f t="shared" si="15"/>
        <v>10</v>
      </c>
      <c r="Y13" s="24">
        <f t="shared" si="15"/>
        <v>11</v>
      </c>
      <c r="Z13" s="24">
        <f t="shared" si="15"/>
        <v>12</v>
      </c>
      <c r="AA13" s="24">
        <f t="shared" si="15"/>
        <v>1</v>
      </c>
      <c r="AB13" s="24">
        <f t="shared" si="15"/>
        <v>2</v>
      </c>
      <c r="AC13" s="24">
        <f t="shared" si="15"/>
        <v>3</v>
      </c>
      <c r="AD13" s="24">
        <f t="shared" si="15"/>
        <v>4</v>
      </c>
      <c r="AE13" s="24">
        <f t="shared" si="15"/>
        <v>5</v>
      </c>
      <c r="AF13" s="24">
        <f t="shared" si="15"/>
        <v>6</v>
      </c>
      <c r="AG13" s="24">
        <f t="shared" si="15"/>
        <v>7</v>
      </c>
      <c r="AH13" s="24">
        <f t="shared" si="15"/>
        <v>8</v>
      </c>
      <c r="AI13" s="24">
        <f t="shared" si="15"/>
        <v>9</v>
      </c>
      <c r="AJ13" s="24">
        <f t="shared" si="15"/>
        <v>10</v>
      </c>
      <c r="AK13" s="24">
        <f t="shared" si="15"/>
        <v>11</v>
      </c>
      <c r="AL13" s="24">
        <f t="shared" si="15"/>
        <v>12</v>
      </c>
      <c r="AM13" s="24">
        <f t="shared" si="15"/>
        <v>1</v>
      </c>
      <c r="AN13" s="24">
        <f t="shared" si="15"/>
        <v>2</v>
      </c>
      <c r="AO13" s="24">
        <f t="shared" si="15"/>
        <v>3</v>
      </c>
      <c r="AP13" s="24">
        <f t="shared" si="15"/>
        <v>4</v>
      </c>
      <c r="AQ13" s="24">
        <f t="shared" si="15"/>
        <v>5</v>
      </c>
      <c r="AR13" s="24">
        <f t="shared" si="15"/>
        <v>6</v>
      </c>
      <c r="AS13" s="24">
        <f t="shared" si="15"/>
        <v>7</v>
      </c>
      <c r="AT13" s="24">
        <f t="shared" si="15"/>
        <v>8</v>
      </c>
      <c r="AU13" s="24">
        <f t="shared" si="15"/>
        <v>9</v>
      </c>
      <c r="AV13" s="24">
        <f t="shared" si="15"/>
        <v>10</v>
      </c>
      <c r="AW13" s="24">
        <f t="shared" si="15"/>
        <v>11</v>
      </c>
      <c r="AX13" s="24">
        <f t="shared" si="15"/>
        <v>12</v>
      </c>
      <c r="AY13" s="24">
        <f t="shared" si="15"/>
        <v>1</v>
      </c>
      <c r="AZ13" s="24">
        <f t="shared" si="15"/>
        <v>2</v>
      </c>
      <c r="BA13" s="24">
        <f t="shared" si="15"/>
        <v>3</v>
      </c>
      <c r="BB13" s="24">
        <f t="shared" si="15"/>
        <v>4</v>
      </c>
      <c r="BC13" s="24">
        <f t="shared" si="15"/>
        <v>5</v>
      </c>
      <c r="BD13" s="24">
        <f t="shared" si="15"/>
        <v>6</v>
      </c>
      <c r="BE13" s="24">
        <f t="shared" si="15"/>
        <v>7</v>
      </c>
      <c r="BF13" s="24">
        <f t="shared" si="15"/>
        <v>8</v>
      </c>
      <c r="BG13" s="24">
        <f t="shared" si="15"/>
        <v>9</v>
      </c>
      <c r="BH13" s="24">
        <f t="shared" si="15"/>
        <v>10</v>
      </c>
      <c r="BI13" s="24">
        <f t="shared" si="15"/>
        <v>11</v>
      </c>
      <c r="BJ13" s="24">
        <f t="shared" si="15"/>
        <v>12</v>
      </c>
      <c r="BK13" s="24" t="str">
        <f t="shared" si="15"/>
        <v/>
      </c>
      <c r="BL13" s="24" t="str">
        <f t="shared" si="15"/>
        <v/>
      </c>
      <c r="BM13" s="24" t="str">
        <f t="shared" si="15"/>
        <v/>
      </c>
      <c r="BN13" s="24" t="str">
        <f t="shared" si="15"/>
        <v/>
      </c>
      <c r="BO13" s="24" t="str">
        <f t="shared" si="15"/>
        <v/>
      </c>
      <c r="BP13" s="24" t="str">
        <f t="shared" ref="BP13:EA13" si="16">IFERROR(MONTH(BP14),"")</f>
        <v/>
      </c>
      <c r="BQ13" s="24" t="str">
        <f t="shared" si="16"/>
        <v/>
      </c>
      <c r="BR13" s="24" t="str">
        <f t="shared" si="16"/>
        <v/>
      </c>
      <c r="BS13" s="24" t="str">
        <f t="shared" si="16"/>
        <v/>
      </c>
      <c r="BT13" s="24" t="str">
        <f t="shared" si="16"/>
        <v/>
      </c>
      <c r="BU13" s="24" t="str">
        <f t="shared" si="16"/>
        <v/>
      </c>
      <c r="BV13" s="24" t="str">
        <f t="shared" si="16"/>
        <v/>
      </c>
      <c r="BW13" s="24" t="str">
        <f t="shared" si="16"/>
        <v/>
      </c>
      <c r="BX13" s="24" t="str">
        <f t="shared" si="16"/>
        <v/>
      </c>
      <c r="BY13" s="24" t="str">
        <f t="shared" si="16"/>
        <v/>
      </c>
      <c r="BZ13" s="24" t="str">
        <f t="shared" si="16"/>
        <v/>
      </c>
      <c r="CA13" s="24" t="str">
        <f t="shared" si="16"/>
        <v/>
      </c>
      <c r="CB13" s="24" t="str">
        <f t="shared" si="16"/>
        <v/>
      </c>
      <c r="CC13" s="24" t="str">
        <f t="shared" si="16"/>
        <v/>
      </c>
      <c r="CD13" s="24" t="str">
        <f t="shared" si="16"/>
        <v/>
      </c>
      <c r="CE13" s="24" t="str">
        <f t="shared" si="16"/>
        <v/>
      </c>
      <c r="CF13" s="24" t="str">
        <f t="shared" si="16"/>
        <v/>
      </c>
      <c r="CG13" s="24" t="str">
        <f t="shared" si="16"/>
        <v/>
      </c>
      <c r="CH13" s="24" t="str">
        <f t="shared" si="16"/>
        <v/>
      </c>
      <c r="CI13" s="24" t="str">
        <f t="shared" si="16"/>
        <v/>
      </c>
      <c r="CJ13" s="24" t="str">
        <f t="shared" si="16"/>
        <v/>
      </c>
      <c r="CK13" s="24" t="str">
        <f t="shared" si="16"/>
        <v/>
      </c>
      <c r="CL13" s="24" t="str">
        <f t="shared" si="16"/>
        <v/>
      </c>
      <c r="CM13" s="24" t="str">
        <f t="shared" si="16"/>
        <v/>
      </c>
      <c r="CN13" s="24" t="str">
        <f t="shared" si="16"/>
        <v/>
      </c>
      <c r="CO13" s="24" t="str">
        <f t="shared" si="16"/>
        <v/>
      </c>
      <c r="CP13" s="24" t="str">
        <f t="shared" si="16"/>
        <v/>
      </c>
      <c r="CQ13" s="24" t="str">
        <f t="shared" si="16"/>
        <v/>
      </c>
      <c r="CR13" s="24" t="str">
        <f t="shared" si="16"/>
        <v/>
      </c>
      <c r="CS13" s="24" t="str">
        <f t="shared" si="16"/>
        <v/>
      </c>
      <c r="CT13" s="24" t="str">
        <f t="shared" si="16"/>
        <v/>
      </c>
      <c r="CU13" s="24" t="str">
        <f t="shared" si="16"/>
        <v/>
      </c>
      <c r="CV13" s="24" t="str">
        <f t="shared" si="16"/>
        <v/>
      </c>
      <c r="CW13" s="24" t="str">
        <f t="shared" si="16"/>
        <v/>
      </c>
      <c r="CX13" s="24" t="str">
        <f t="shared" si="16"/>
        <v/>
      </c>
      <c r="CY13" s="24" t="str">
        <f t="shared" si="16"/>
        <v/>
      </c>
      <c r="CZ13" s="24" t="str">
        <f t="shared" si="16"/>
        <v/>
      </c>
      <c r="DA13" s="24" t="str">
        <f t="shared" si="16"/>
        <v/>
      </c>
      <c r="DB13" s="24" t="str">
        <f t="shared" si="16"/>
        <v/>
      </c>
      <c r="DC13" s="24" t="str">
        <f t="shared" si="16"/>
        <v/>
      </c>
      <c r="DD13" s="24" t="str">
        <f t="shared" si="16"/>
        <v/>
      </c>
      <c r="DE13" s="24" t="str">
        <f t="shared" si="16"/>
        <v/>
      </c>
      <c r="DF13" s="24" t="str">
        <f t="shared" si="16"/>
        <v/>
      </c>
      <c r="DG13" s="24" t="str">
        <f t="shared" si="16"/>
        <v/>
      </c>
      <c r="DH13" s="24" t="str">
        <f t="shared" si="16"/>
        <v/>
      </c>
      <c r="DI13" s="24" t="str">
        <f t="shared" si="16"/>
        <v/>
      </c>
      <c r="DJ13" s="24" t="str">
        <f t="shared" si="16"/>
        <v/>
      </c>
      <c r="DK13" s="24" t="str">
        <f t="shared" si="16"/>
        <v/>
      </c>
      <c r="DL13" s="24" t="str">
        <f t="shared" si="16"/>
        <v/>
      </c>
      <c r="DM13" s="24" t="str">
        <f t="shared" si="16"/>
        <v/>
      </c>
      <c r="DN13" s="24" t="str">
        <f t="shared" si="16"/>
        <v/>
      </c>
      <c r="DO13" s="24" t="str">
        <f t="shared" si="16"/>
        <v/>
      </c>
      <c r="DP13" s="24" t="str">
        <f t="shared" si="16"/>
        <v/>
      </c>
      <c r="DQ13" s="24" t="str">
        <f t="shared" si="16"/>
        <v/>
      </c>
      <c r="DR13" s="24" t="str">
        <f t="shared" si="16"/>
        <v/>
      </c>
      <c r="DS13" s="24" t="str">
        <f t="shared" si="16"/>
        <v/>
      </c>
      <c r="DT13" s="24" t="str">
        <f t="shared" si="16"/>
        <v/>
      </c>
      <c r="DU13" s="24" t="str">
        <f t="shared" si="16"/>
        <v/>
      </c>
      <c r="DV13" s="24" t="str">
        <f t="shared" si="16"/>
        <v/>
      </c>
      <c r="DW13" s="24" t="str">
        <f t="shared" si="16"/>
        <v/>
      </c>
      <c r="DX13" s="24" t="str">
        <f t="shared" si="16"/>
        <v/>
      </c>
      <c r="DY13" s="24" t="str">
        <f t="shared" si="16"/>
        <v/>
      </c>
      <c r="DZ13" s="24" t="str">
        <f t="shared" si="16"/>
        <v/>
      </c>
      <c r="EA13" s="24" t="str">
        <f t="shared" si="16"/>
        <v/>
      </c>
      <c r="EB13" s="24" t="str">
        <f t="shared" ref="EB13:GM13" si="17">IFERROR(MONTH(EB14),"")</f>
        <v/>
      </c>
      <c r="EC13" s="24" t="str">
        <f t="shared" si="17"/>
        <v/>
      </c>
      <c r="ED13" s="24" t="str">
        <f t="shared" si="17"/>
        <v/>
      </c>
      <c r="EE13" s="24" t="str">
        <f t="shared" si="17"/>
        <v/>
      </c>
      <c r="EF13" s="24" t="str">
        <f t="shared" si="17"/>
        <v/>
      </c>
      <c r="EG13" s="24" t="str">
        <f t="shared" si="17"/>
        <v/>
      </c>
      <c r="EH13" s="24" t="str">
        <f t="shared" si="17"/>
        <v/>
      </c>
      <c r="EI13" s="24" t="str">
        <f t="shared" si="17"/>
        <v/>
      </c>
      <c r="EJ13" s="24" t="str">
        <f t="shared" si="17"/>
        <v/>
      </c>
      <c r="EK13" s="24" t="str">
        <f t="shared" si="17"/>
        <v/>
      </c>
      <c r="EL13" s="24" t="str">
        <f t="shared" si="17"/>
        <v/>
      </c>
      <c r="EM13" s="24" t="str">
        <f t="shared" si="17"/>
        <v/>
      </c>
      <c r="EN13" s="24" t="str">
        <f t="shared" si="17"/>
        <v/>
      </c>
      <c r="EO13" s="24" t="str">
        <f t="shared" si="17"/>
        <v/>
      </c>
      <c r="EP13" s="24" t="str">
        <f t="shared" si="17"/>
        <v/>
      </c>
      <c r="EQ13" s="24" t="str">
        <f t="shared" si="17"/>
        <v/>
      </c>
      <c r="ER13" s="24" t="str">
        <f t="shared" si="17"/>
        <v/>
      </c>
      <c r="ES13" s="24" t="str">
        <f t="shared" si="17"/>
        <v/>
      </c>
      <c r="ET13" s="24" t="str">
        <f t="shared" si="17"/>
        <v/>
      </c>
      <c r="EU13" s="24" t="str">
        <f t="shared" si="17"/>
        <v/>
      </c>
      <c r="EV13" s="24" t="str">
        <f t="shared" si="17"/>
        <v/>
      </c>
      <c r="EW13" s="24" t="str">
        <f t="shared" si="17"/>
        <v/>
      </c>
      <c r="EX13" s="24" t="str">
        <f t="shared" si="17"/>
        <v/>
      </c>
      <c r="EY13" s="24" t="str">
        <f t="shared" si="17"/>
        <v/>
      </c>
      <c r="EZ13" s="24" t="str">
        <f t="shared" si="17"/>
        <v/>
      </c>
      <c r="FA13" s="24" t="str">
        <f t="shared" si="17"/>
        <v/>
      </c>
      <c r="FB13" s="24" t="str">
        <f t="shared" si="17"/>
        <v/>
      </c>
      <c r="FC13" s="24" t="str">
        <f t="shared" si="17"/>
        <v/>
      </c>
      <c r="FD13" s="24" t="str">
        <f t="shared" si="17"/>
        <v/>
      </c>
      <c r="FE13" s="24" t="str">
        <f t="shared" si="17"/>
        <v/>
      </c>
      <c r="FF13" s="24" t="str">
        <f t="shared" si="17"/>
        <v/>
      </c>
      <c r="FG13" s="24" t="str">
        <f t="shared" si="17"/>
        <v/>
      </c>
      <c r="FH13" s="24" t="str">
        <f t="shared" si="17"/>
        <v/>
      </c>
      <c r="FI13" s="24" t="str">
        <f t="shared" si="17"/>
        <v/>
      </c>
      <c r="FJ13" s="24" t="str">
        <f t="shared" si="17"/>
        <v/>
      </c>
      <c r="FK13" s="24" t="str">
        <f t="shared" si="17"/>
        <v/>
      </c>
      <c r="FL13" s="24" t="str">
        <f t="shared" si="17"/>
        <v/>
      </c>
      <c r="FM13" s="24" t="str">
        <f t="shared" si="17"/>
        <v/>
      </c>
      <c r="FN13" s="24" t="str">
        <f t="shared" si="17"/>
        <v/>
      </c>
      <c r="FO13" s="24" t="str">
        <f t="shared" si="17"/>
        <v/>
      </c>
      <c r="FP13" s="24" t="str">
        <f t="shared" si="17"/>
        <v/>
      </c>
      <c r="FQ13" s="24" t="str">
        <f t="shared" si="17"/>
        <v/>
      </c>
      <c r="FR13" s="24" t="str">
        <f t="shared" si="17"/>
        <v/>
      </c>
      <c r="FS13" s="24" t="str">
        <f t="shared" si="17"/>
        <v/>
      </c>
      <c r="FT13" s="24" t="str">
        <f t="shared" si="17"/>
        <v/>
      </c>
      <c r="FU13" s="24" t="str">
        <f t="shared" si="17"/>
        <v/>
      </c>
      <c r="FV13" s="24" t="str">
        <f t="shared" si="17"/>
        <v/>
      </c>
      <c r="FW13" s="24" t="str">
        <f t="shared" si="17"/>
        <v/>
      </c>
      <c r="FX13" s="24" t="str">
        <f t="shared" si="17"/>
        <v/>
      </c>
      <c r="FY13" s="24" t="str">
        <f t="shared" si="17"/>
        <v/>
      </c>
      <c r="FZ13" s="24" t="str">
        <f t="shared" si="17"/>
        <v/>
      </c>
      <c r="GA13" s="24" t="str">
        <f t="shared" si="17"/>
        <v/>
      </c>
      <c r="GB13" s="24" t="str">
        <f t="shared" si="17"/>
        <v/>
      </c>
      <c r="GC13" s="24" t="str">
        <f t="shared" si="17"/>
        <v/>
      </c>
      <c r="GD13" s="24" t="str">
        <f t="shared" si="17"/>
        <v/>
      </c>
      <c r="GE13" s="24" t="str">
        <f t="shared" si="17"/>
        <v/>
      </c>
      <c r="GF13" s="24" t="str">
        <f t="shared" si="17"/>
        <v/>
      </c>
      <c r="GG13" s="24" t="str">
        <f t="shared" si="17"/>
        <v/>
      </c>
      <c r="GH13" s="24" t="str">
        <f t="shared" si="17"/>
        <v/>
      </c>
      <c r="GI13" s="24" t="str">
        <f t="shared" si="17"/>
        <v/>
      </c>
      <c r="GJ13" s="24" t="str">
        <f t="shared" si="17"/>
        <v/>
      </c>
      <c r="GK13" s="24" t="str">
        <f t="shared" si="17"/>
        <v/>
      </c>
      <c r="GL13" s="24" t="str">
        <f t="shared" si="17"/>
        <v/>
      </c>
      <c r="GM13" s="24" t="str">
        <f t="shared" si="17"/>
        <v/>
      </c>
      <c r="GN13" s="24" t="str">
        <f t="shared" ref="GN13:GT13" si="18">IFERROR(MONTH(GN14),"")</f>
        <v/>
      </c>
      <c r="GO13" s="24" t="str">
        <f t="shared" si="18"/>
        <v/>
      </c>
      <c r="GP13" s="24" t="str">
        <f t="shared" si="18"/>
        <v/>
      </c>
      <c r="GQ13" s="24" t="str">
        <f t="shared" si="18"/>
        <v/>
      </c>
      <c r="GR13" s="24" t="str">
        <f t="shared" si="18"/>
        <v/>
      </c>
      <c r="GS13" s="24" t="str">
        <f t="shared" si="18"/>
        <v/>
      </c>
      <c r="GT13" s="24" t="str">
        <f t="shared" si="18"/>
        <v/>
      </c>
    </row>
    <row r="14" spans="1:204" s="40" customFormat="1" ht="23" customHeight="1" collapsed="1">
      <c r="A14" s="53" t="s">
        <v>66</v>
      </c>
      <c r="B14" s="44" t="s">
        <v>129</v>
      </c>
      <c r="C14" s="210">
        <f>DATE(YEAR(C1),MONTH(C1),1)</f>
        <v>46023</v>
      </c>
      <c r="D14" s="210">
        <f t="shared" ref="D14:AI14" si="19">IF(D11&gt;=$C$7,"",EDATE(C14,1))</f>
        <v>46054</v>
      </c>
      <c r="E14" s="210">
        <f t="shared" si="19"/>
        <v>46082</v>
      </c>
      <c r="F14" s="210">
        <f t="shared" si="19"/>
        <v>46113</v>
      </c>
      <c r="G14" s="210">
        <f t="shared" si="19"/>
        <v>46143</v>
      </c>
      <c r="H14" s="210">
        <f t="shared" si="19"/>
        <v>46174</v>
      </c>
      <c r="I14" s="210">
        <f t="shared" si="19"/>
        <v>46204</v>
      </c>
      <c r="J14" s="210">
        <f t="shared" si="19"/>
        <v>46235</v>
      </c>
      <c r="K14" s="210">
        <f t="shared" si="19"/>
        <v>46266</v>
      </c>
      <c r="L14" s="210">
        <f t="shared" si="19"/>
        <v>46296</v>
      </c>
      <c r="M14" s="210">
        <f t="shared" si="19"/>
        <v>46327</v>
      </c>
      <c r="N14" s="210">
        <f t="shared" si="19"/>
        <v>46357</v>
      </c>
      <c r="O14" s="210">
        <f t="shared" si="19"/>
        <v>46388</v>
      </c>
      <c r="P14" s="210">
        <f t="shared" si="19"/>
        <v>46419</v>
      </c>
      <c r="Q14" s="210">
        <f t="shared" si="19"/>
        <v>46447</v>
      </c>
      <c r="R14" s="210">
        <f t="shared" si="19"/>
        <v>46478</v>
      </c>
      <c r="S14" s="210">
        <f t="shared" si="19"/>
        <v>46508</v>
      </c>
      <c r="T14" s="210">
        <f t="shared" si="19"/>
        <v>46539</v>
      </c>
      <c r="U14" s="210">
        <f t="shared" si="19"/>
        <v>46569</v>
      </c>
      <c r="V14" s="210">
        <f t="shared" si="19"/>
        <v>46600</v>
      </c>
      <c r="W14" s="210">
        <f t="shared" si="19"/>
        <v>46631</v>
      </c>
      <c r="X14" s="210">
        <f t="shared" si="19"/>
        <v>46661</v>
      </c>
      <c r="Y14" s="210">
        <f t="shared" si="19"/>
        <v>46692</v>
      </c>
      <c r="Z14" s="210">
        <f t="shared" si="19"/>
        <v>46722</v>
      </c>
      <c r="AA14" s="210">
        <f t="shared" si="19"/>
        <v>46753</v>
      </c>
      <c r="AB14" s="210">
        <f t="shared" si="19"/>
        <v>46784</v>
      </c>
      <c r="AC14" s="210">
        <f t="shared" si="19"/>
        <v>46813</v>
      </c>
      <c r="AD14" s="210">
        <f t="shared" si="19"/>
        <v>46844</v>
      </c>
      <c r="AE14" s="210">
        <f t="shared" si="19"/>
        <v>46874</v>
      </c>
      <c r="AF14" s="210">
        <f t="shared" si="19"/>
        <v>46905</v>
      </c>
      <c r="AG14" s="210">
        <f t="shared" si="19"/>
        <v>46935</v>
      </c>
      <c r="AH14" s="210">
        <f t="shared" si="19"/>
        <v>46966</v>
      </c>
      <c r="AI14" s="210">
        <f t="shared" si="19"/>
        <v>46997</v>
      </c>
      <c r="AJ14" s="210">
        <f t="shared" ref="AJ14:BO14" si="20">IF(AJ11&gt;=$C$7,"",EDATE(AI14,1))</f>
        <v>47027</v>
      </c>
      <c r="AK14" s="210">
        <f t="shared" si="20"/>
        <v>47058</v>
      </c>
      <c r="AL14" s="210">
        <f t="shared" si="20"/>
        <v>47088</v>
      </c>
      <c r="AM14" s="210">
        <f t="shared" si="20"/>
        <v>47119</v>
      </c>
      <c r="AN14" s="210">
        <f t="shared" si="20"/>
        <v>47150</v>
      </c>
      <c r="AO14" s="210">
        <f t="shared" si="20"/>
        <v>47178</v>
      </c>
      <c r="AP14" s="210">
        <f t="shared" si="20"/>
        <v>47209</v>
      </c>
      <c r="AQ14" s="210">
        <f t="shared" si="20"/>
        <v>47239</v>
      </c>
      <c r="AR14" s="210">
        <f t="shared" si="20"/>
        <v>47270</v>
      </c>
      <c r="AS14" s="210">
        <f t="shared" si="20"/>
        <v>47300</v>
      </c>
      <c r="AT14" s="210">
        <f t="shared" si="20"/>
        <v>47331</v>
      </c>
      <c r="AU14" s="210">
        <f t="shared" si="20"/>
        <v>47362</v>
      </c>
      <c r="AV14" s="210">
        <f t="shared" si="20"/>
        <v>47392</v>
      </c>
      <c r="AW14" s="210">
        <f t="shared" si="20"/>
        <v>47423</v>
      </c>
      <c r="AX14" s="210">
        <f t="shared" si="20"/>
        <v>47453</v>
      </c>
      <c r="AY14" s="210">
        <f t="shared" si="20"/>
        <v>47484</v>
      </c>
      <c r="AZ14" s="210">
        <f t="shared" si="20"/>
        <v>47515</v>
      </c>
      <c r="BA14" s="210">
        <f t="shared" si="20"/>
        <v>47543</v>
      </c>
      <c r="BB14" s="210">
        <f t="shared" si="20"/>
        <v>47574</v>
      </c>
      <c r="BC14" s="210">
        <f t="shared" si="20"/>
        <v>47604</v>
      </c>
      <c r="BD14" s="210">
        <f t="shared" si="20"/>
        <v>47635</v>
      </c>
      <c r="BE14" s="210">
        <f t="shared" si="20"/>
        <v>47665</v>
      </c>
      <c r="BF14" s="210">
        <f t="shared" si="20"/>
        <v>47696</v>
      </c>
      <c r="BG14" s="210">
        <f t="shared" si="20"/>
        <v>47727</v>
      </c>
      <c r="BH14" s="210">
        <f t="shared" si="20"/>
        <v>47757</v>
      </c>
      <c r="BI14" s="210">
        <f t="shared" si="20"/>
        <v>47788</v>
      </c>
      <c r="BJ14" s="210">
        <f t="shared" si="20"/>
        <v>47818</v>
      </c>
      <c r="BK14" s="210" t="str">
        <f t="shared" si="20"/>
        <v/>
      </c>
      <c r="BL14" s="210" t="str">
        <f t="shared" si="20"/>
        <v/>
      </c>
      <c r="BM14" s="210" t="str">
        <f t="shared" si="20"/>
        <v/>
      </c>
      <c r="BN14" s="210" t="str">
        <f t="shared" si="20"/>
        <v/>
      </c>
      <c r="BO14" s="210" t="str">
        <f t="shared" si="20"/>
        <v/>
      </c>
      <c r="BP14" s="210" t="str">
        <f t="shared" ref="BP14:CU14" si="21">IF(BP11&gt;=$C$7,"",EDATE(BO14,1))</f>
        <v/>
      </c>
      <c r="BQ14" s="210" t="str">
        <f t="shared" si="21"/>
        <v/>
      </c>
      <c r="BR14" s="210" t="str">
        <f t="shared" si="21"/>
        <v/>
      </c>
      <c r="BS14" s="210" t="str">
        <f t="shared" si="21"/>
        <v/>
      </c>
      <c r="BT14" s="210" t="str">
        <f t="shared" si="21"/>
        <v/>
      </c>
      <c r="BU14" s="210" t="str">
        <f t="shared" si="21"/>
        <v/>
      </c>
      <c r="BV14" s="210" t="str">
        <f t="shared" si="21"/>
        <v/>
      </c>
      <c r="BW14" s="210" t="str">
        <f t="shared" si="21"/>
        <v/>
      </c>
      <c r="BX14" s="210" t="str">
        <f t="shared" si="21"/>
        <v/>
      </c>
      <c r="BY14" s="210" t="str">
        <f t="shared" si="21"/>
        <v/>
      </c>
      <c r="BZ14" s="210" t="str">
        <f t="shared" si="21"/>
        <v/>
      </c>
      <c r="CA14" s="210" t="str">
        <f t="shared" si="21"/>
        <v/>
      </c>
      <c r="CB14" s="210" t="str">
        <f t="shared" si="21"/>
        <v/>
      </c>
      <c r="CC14" s="210" t="str">
        <f t="shared" si="21"/>
        <v/>
      </c>
      <c r="CD14" s="210" t="str">
        <f t="shared" si="21"/>
        <v/>
      </c>
      <c r="CE14" s="210" t="str">
        <f t="shared" si="21"/>
        <v/>
      </c>
      <c r="CF14" s="210" t="str">
        <f t="shared" si="21"/>
        <v/>
      </c>
      <c r="CG14" s="210" t="str">
        <f t="shared" si="21"/>
        <v/>
      </c>
      <c r="CH14" s="210" t="str">
        <f t="shared" si="21"/>
        <v/>
      </c>
      <c r="CI14" s="210" t="str">
        <f t="shared" si="21"/>
        <v/>
      </c>
      <c r="CJ14" s="210" t="str">
        <f t="shared" si="21"/>
        <v/>
      </c>
      <c r="CK14" s="210" t="str">
        <f t="shared" si="21"/>
        <v/>
      </c>
      <c r="CL14" s="210" t="str">
        <f t="shared" si="21"/>
        <v/>
      </c>
      <c r="CM14" s="210" t="str">
        <f t="shared" si="21"/>
        <v/>
      </c>
      <c r="CN14" s="210" t="str">
        <f t="shared" si="21"/>
        <v/>
      </c>
      <c r="CO14" s="210" t="str">
        <f t="shared" si="21"/>
        <v/>
      </c>
      <c r="CP14" s="210" t="str">
        <f t="shared" si="21"/>
        <v/>
      </c>
      <c r="CQ14" s="210" t="str">
        <f t="shared" si="21"/>
        <v/>
      </c>
      <c r="CR14" s="210" t="str">
        <f t="shared" si="21"/>
        <v/>
      </c>
      <c r="CS14" s="210" t="str">
        <f t="shared" si="21"/>
        <v/>
      </c>
      <c r="CT14" s="210" t="str">
        <f t="shared" si="21"/>
        <v/>
      </c>
      <c r="CU14" s="210" t="str">
        <f t="shared" si="21"/>
        <v/>
      </c>
      <c r="CV14" s="210" t="str">
        <f t="shared" ref="CV14:EA14" si="22">IF(CV11&gt;=$C$7,"",EDATE(CU14,1))</f>
        <v/>
      </c>
      <c r="CW14" s="210" t="str">
        <f t="shared" si="22"/>
        <v/>
      </c>
      <c r="CX14" s="210" t="str">
        <f t="shared" si="22"/>
        <v/>
      </c>
      <c r="CY14" s="210" t="str">
        <f t="shared" si="22"/>
        <v/>
      </c>
      <c r="CZ14" s="210" t="str">
        <f t="shared" si="22"/>
        <v/>
      </c>
      <c r="DA14" s="210" t="str">
        <f t="shared" si="22"/>
        <v/>
      </c>
      <c r="DB14" s="210" t="str">
        <f t="shared" si="22"/>
        <v/>
      </c>
      <c r="DC14" s="210" t="str">
        <f t="shared" si="22"/>
        <v/>
      </c>
      <c r="DD14" s="210" t="str">
        <f t="shared" si="22"/>
        <v/>
      </c>
      <c r="DE14" s="210" t="str">
        <f t="shared" si="22"/>
        <v/>
      </c>
      <c r="DF14" s="210" t="str">
        <f t="shared" si="22"/>
        <v/>
      </c>
      <c r="DG14" s="210" t="str">
        <f t="shared" si="22"/>
        <v/>
      </c>
      <c r="DH14" s="210" t="str">
        <f t="shared" si="22"/>
        <v/>
      </c>
      <c r="DI14" s="210" t="str">
        <f t="shared" si="22"/>
        <v/>
      </c>
      <c r="DJ14" s="210" t="str">
        <f t="shared" si="22"/>
        <v/>
      </c>
      <c r="DK14" s="210" t="str">
        <f t="shared" si="22"/>
        <v/>
      </c>
      <c r="DL14" s="210" t="str">
        <f t="shared" si="22"/>
        <v/>
      </c>
      <c r="DM14" s="210" t="str">
        <f t="shared" si="22"/>
        <v/>
      </c>
      <c r="DN14" s="210" t="str">
        <f t="shared" si="22"/>
        <v/>
      </c>
      <c r="DO14" s="210" t="str">
        <f t="shared" si="22"/>
        <v/>
      </c>
      <c r="DP14" s="210" t="str">
        <f t="shared" si="22"/>
        <v/>
      </c>
      <c r="DQ14" s="210" t="str">
        <f t="shared" si="22"/>
        <v/>
      </c>
      <c r="DR14" s="210" t="str">
        <f t="shared" si="22"/>
        <v/>
      </c>
      <c r="DS14" s="210" t="str">
        <f t="shared" si="22"/>
        <v/>
      </c>
      <c r="DT14" s="210" t="str">
        <f t="shared" si="22"/>
        <v/>
      </c>
      <c r="DU14" s="210" t="str">
        <f t="shared" si="22"/>
        <v/>
      </c>
      <c r="DV14" s="210" t="str">
        <f t="shared" si="22"/>
        <v/>
      </c>
      <c r="DW14" s="210" t="str">
        <f t="shared" si="22"/>
        <v/>
      </c>
      <c r="DX14" s="210" t="str">
        <f t="shared" si="22"/>
        <v/>
      </c>
      <c r="DY14" s="210" t="str">
        <f t="shared" si="22"/>
        <v/>
      </c>
      <c r="DZ14" s="210" t="str">
        <f t="shared" si="22"/>
        <v/>
      </c>
      <c r="EA14" s="210" t="str">
        <f t="shared" si="22"/>
        <v/>
      </c>
      <c r="EB14" s="210" t="str">
        <f t="shared" ref="EB14:FG14" si="23">IF(EB11&gt;=$C$7,"",EDATE(EA14,1))</f>
        <v/>
      </c>
      <c r="EC14" s="210" t="str">
        <f t="shared" si="23"/>
        <v/>
      </c>
      <c r="ED14" s="210" t="str">
        <f t="shared" si="23"/>
        <v/>
      </c>
      <c r="EE14" s="210" t="str">
        <f t="shared" si="23"/>
        <v/>
      </c>
      <c r="EF14" s="210" t="str">
        <f t="shared" si="23"/>
        <v/>
      </c>
      <c r="EG14" s="210" t="str">
        <f t="shared" si="23"/>
        <v/>
      </c>
      <c r="EH14" s="210" t="str">
        <f t="shared" si="23"/>
        <v/>
      </c>
      <c r="EI14" s="210" t="str">
        <f t="shared" si="23"/>
        <v/>
      </c>
      <c r="EJ14" s="210" t="str">
        <f t="shared" si="23"/>
        <v/>
      </c>
      <c r="EK14" s="210" t="str">
        <f t="shared" si="23"/>
        <v/>
      </c>
      <c r="EL14" s="210" t="str">
        <f t="shared" si="23"/>
        <v/>
      </c>
      <c r="EM14" s="210" t="str">
        <f t="shared" si="23"/>
        <v/>
      </c>
      <c r="EN14" s="210" t="str">
        <f t="shared" si="23"/>
        <v/>
      </c>
      <c r="EO14" s="210" t="str">
        <f t="shared" si="23"/>
        <v/>
      </c>
      <c r="EP14" s="210" t="str">
        <f t="shared" si="23"/>
        <v/>
      </c>
      <c r="EQ14" s="210" t="str">
        <f t="shared" si="23"/>
        <v/>
      </c>
      <c r="ER14" s="210" t="str">
        <f t="shared" si="23"/>
        <v/>
      </c>
      <c r="ES14" s="210" t="str">
        <f t="shared" si="23"/>
        <v/>
      </c>
      <c r="ET14" s="210" t="str">
        <f t="shared" si="23"/>
        <v/>
      </c>
      <c r="EU14" s="210" t="str">
        <f t="shared" si="23"/>
        <v/>
      </c>
      <c r="EV14" s="210" t="str">
        <f t="shared" si="23"/>
        <v/>
      </c>
      <c r="EW14" s="210" t="str">
        <f t="shared" si="23"/>
        <v/>
      </c>
      <c r="EX14" s="210" t="str">
        <f t="shared" si="23"/>
        <v/>
      </c>
      <c r="EY14" s="210" t="str">
        <f t="shared" si="23"/>
        <v/>
      </c>
      <c r="EZ14" s="210" t="str">
        <f t="shared" si="23"/>
        <v/>
      </c>
      <c r="FA14" s="210" t="str">
        <f t="shared" si="23"/>
        <v/>
      </c>
      <c r="FB14" s="210" t="str">
        <f t="shared" si="23"/>
        <v/>
      </c>
      <c r="FC14" s="210" t="str">
        <f t="shared" si="23"/>
        <v/>
      </c>
      <c r="FD14" s="210" t="str">
        <f t="shared" si="23"/>
        <v/>
      </c>
      <c r="FE14" s="210" t="str">
        <f t="shared" si="23"/>
        <v/>
      </c>
      <c r="FF14" s="210" t="str">
        <f t="shared" si="23"/>
        <v/>
      </c>
      <c r="FG14" s="210" t="str">
        <f t="shared" si="23"/>
        <v/>
      </c>
      <c r="FH14" s="210" t="str">
        <f t="shared" ref="FH14:GM14" si="24">IF(FH11&gt;=$C$7,"",EDATE(FG14,1))</f>
        <v/>
      </c>
      <c r="FI14" s="210" t="str">
        <f t="shared" si="24"/>
        <v/>
      </c>
      <c r="FJ14" s="210" t="str">
        <f t="shared" si="24"/>
        <v/>
      </c>
      <c r="FK14" s="210" t="str">
        <f t="shared" si="24"/>
        <v/>
      </c>
      <c r="FL14" s="210" t="str">
        <f t="shared" si="24"/>
        <v/>
      </c>
      <c r="FM14" s="210" t="str">
        <f t="shared" si="24"/>
        <v/>
      </c>
      <c r="FN14" s="210" t="str">
        <f t="shared" si="24"/>
        <v/>
      </c>
      <c r="FO14" s="210" t="str">
        <f t="shared" si="24"/>
        <v/>
      </c>
      <c r="FP14" s="210" t="str">
        <f t="shared" si="24"/>
        <v/>
      </c>
      <c r="FQ14" s="210" t="str">
        <f t="shared" si="24"/>
        <v/>
      </c>
      <c r="FR14" s="210" t="str">
        <f t="shared" si="24"/>
        <v/>
      </c>
      <c r="FS14" s="210" t="str">
        <f t="shared" si="24"/>
        <v/>
      </c>
      <c r="FT14" s="210" t="str">
        <f t="shared" si="24"/>
        <v/>
      </c>
      <c r="FU14" s="210" t="str">
        <f t="shared" si="24"/>
        <v/>
      </c>
      <c r="FV14" s="210" t="str">
        <f t="shared" si="24"/>
        <v/>
      </c>
      <c r="FW14" s="210" t="str">
        <f t="shared" si="24"/>
        <v/>
      </c>
      <c r="FX14" s="210" t="str">
        <f t="shared" si="24"/>
        <v/>
      </c>
      <c r="FY14" s="210" t="str">
        <f t="shared" si="24"/>
        <v/>
      </c>
      <c r="FZ14" s="210" t="str">
        <f t="shared" si="24"/>
        <v/>
      </c>
      <c r="GA14" s="210" t="str">
        <f t="shared" si="24"/>
        <v/>
      </c>
      <c r="GB14" s="210" t="str">
        <f t="shared" si="24"/>
        <v/>
      </c>
      <c r="GC14" s="210" t="str">
        <f t="shared" si="24"/>
        <v/>
      </c>
      <c r="GD14" s="210" t="str">
        <f t="shared" si="24"/>
        <v/>
      </c>
      <c r="GE14" s="210" t="str">
        <f t="shared" si="24"/>
        <v/>
      </c>
      <c r="GF14" s="210" t="str">
        <f t="shared" si="24"/>
        <v/>
      </c>
      <c r="GG14" s="210" t="str">
        <f t="shared" si="24"/>
        <v/>
      </c>
      <c r="GH14" s="210" t="str">
        <f t="shared" si="24"/>
        <v/>
      </c>
      <c r="GI14" s="210" t="str">
        <f t="shared" si="24"/>
        <v/>
      </c>
      <c r="GJ14" s="210" t="str">
        <f t="shared" si="24"/>
        <v/>
      </c>
      <c r="GK14" s="210" t="str">
        <f t="shared" si="24"/>
        <v/>
      </c>
      <c r="GL14" s="210" t="str">
        <f t="shared" si="24"/>
        <v/>
      </c>
      <c r="GM14" s="210" t="str">
        <f t="shared" si="24"/>
        <v/>
      </c>
      <c r="GN14" s="210" t="str">
        <f t="shared" ref="GN14:GT14" si="25">IF(GN11&gt;=$C$7,"",EDATE(GM14,1))</f>
        <v/>
      </c>
      <c r="GO14" s="210" t="str">
        <f t="shared" si="25"/>
        <v/>
      </c>
      <c r="GP14" s="210" t="str">
        <f t="shared" si="25"/>
        <v/>
      </c>
      <c r="GQ14" s="210" t="str">
        <f t="shared" si="25"/>
        <v/>
      </c>
      <c r="GR14" s="210" t="str">
        <f t="shared" si="25"/>
        <v/>
      </c>
      <c r="GS14" s="210" t="str">
        <f t="shared" si="25"/>
        <v/>
      </c>
      <c r="GT14" s="210" t="str">
        <f t="shared" si="25"/>
        <v/>
      </c>
      <c r="GU14" s="39"/>
      <c r="GV14" s="39"/>
    </row>
    <row r="15" spans="1:204" s="40" customFormat="1" ht="23" hidden="1" customHeight="1">
      <c r="A15" s="52" t="s">
        <v>145</v>
      </c>
      <c r="B15" s="54"/>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6"/>
      <c r="GU15" s="39"/>
      <c r="GV15" s="39"/>
    </row>
    <row r="16" spans="1:204" s="28" customFormat="1" ht="21" hidden="1">
      <c r="A16" s="41" t="s">
        <v>35</v>
      </c>
      <c r="B16" s="44"/>
      <c r="C16" s="45">
        <f>-SUM(C17:C24)</f>
        <v>0</v>
      </c>
      <c r="D16" s="45">
        <f>-SUM(D17:D24)</f>
        <v>0</v>
      </c>
      <c r="E16" s="45">
        <f>-SUM(E17:E24)</f>
        <v>0</v>
      </c>
      <c r="F16" s="45">
        <f>-SUM(F17:F24)</f>
        <v>0</v>
      </c>
      <c r="G16" s="45">
        <f t="shared" ref="G16:BO16" si="26">-SUM(G17:G24)</f>
        <v>0</v>
      </c>
      <c r="H16" s="45">
        <f t="shared" si="26"/>
        <v>0</v>
      </c>
      <c r="I16" s="45">
        <f>-SUM(I17:I24)</f>
        <v>0</v>
      </c>
      <c r="J16" s="45">
        <f t="shared" si="26"/>
        <v>0</v>
      </c>
      <c r="K16" s="45">
        <f t="shared" si="26"/>
        <v>0</v>
      </c>
      <c r="L16" s="45">
        <f t="shared" si="26"/>
        <v>0</v>
      </c>
      <c r="M16" s="45">
        <f t="shared" si="26"/>
        <v>0</v>
      </c>
      <c r="N16" s="45">
        <f t="shared" si="26"/>
        <v>0</v>
      </c>
      <c r="O16" s="45">
        <f t="shared" si="26"/>
        <v>0</v>
      </c>
      <c r="P16" s="45">
        <f t="shared" si="26"/>
        <v>0</v>
      </c>
      <c r="Q16" s="45">
        <f t="shared" si="26"/>
        <v>0</v>
      </c>
      <c r="R16" s="45">
        <f t="shared" si="26"/>
        <v>0</v>
      </c>
      <c r="S16" s="45">
        <f t="shared" si="26"/>
        <v>0</v>
      </c>
      <c r="T16" s="45">
        <f t="shared" si="26"/>
        <v>0</v>
      </c>
      <c r="U16" s="45">
        <f t="shared" si="26"/>
        <v>0</v>
      </c>
      <c r="V16" s="45">
        <f t="shared" si="26"/>
        <v>0</v>
      </c>
      <c r="W16" s="45">
        <f t="shared" si="26"/>
        <v>0</v>
      </c>
      <c r="X16" s="45">
        <f t="shared" si="26"/>
        <v>0</v>
      </c>
      <c r="Y16" s="45">
        <f t="shared" si="26"/>
        <v>0</v>
      </c>
      <c r="Z16" s="45">
        <f t="shared" si="26"/>
        <v>0</v>
      </c>
      <c r="AA16" s="45">
        <f t="shared" si="26"/>
        <v>0</v>
      </c>
      <c r="AB16" s="45">
        <f t="shared" si="26"/>
        <v>0</v>
      </c>
      <c r="AC16" s="45">
        <f t="shared" si="26"/>
        <v>0</v>
      </c>
      <c r="AD16" s="45">
        <f t="shared" si="26"/>
        <v>0</v>
      </c>
      <c r="AE16" s="45">
        <f t="shared" si="26"/>
        <v>0</v>
      </c>
      <c r="AF16" s="45">
        <f t="shared" si="26"/>
        <v>0</v>
      </c>
      <c r="AG16" s="45">
        <f t="shared" si="26"/>
        <v>0</v>
      </c>
      <c r="AH16" s="45">
        <f t="shared" si="26"/>
        <v>0</v>
      </c>
      <c r="AI16" s="45">
        <f t="shared" si="26"/>
        <v>0</v>
      </c>
      <c r="AJ16" s="45">
        <f t="shared" si="26"/>
        <v>0</v>
      </c>
      <c r="AK16" s="45">
        <f t="shared" si="26"/>
        <v>0</v>
      </c>
      <c r="AL16" s="45">
        <f t="shared" si="26"/>
        <v>0</v>
      </c>
      <c r="AM16" s="45">
        <f t="shared" si="26"/>
        <v>0</v>
      </c>
      <c r="AN16" s="45">
        <f t="shared" si="26"/>
        <v>0</v>
      </c>
      <c r="AO16" s="45">
        <f t="shared" si="26"/>
        <v>0</v>
      </c>
      <c r="AP16" s="45">
        <f t="shared" si="26"/>
        <v>0</v>
      </c>
      <c r="AQ16" s="45">
        <f t="shared" si="26"/>
        <v>0</v>
      </c>
      <c r="AR16" s="45">
        <f t="shared" si="26"/>
        <v>0</v>
      </c>
      <c r="AS16" s="45">
        <f t="shared" si="26"/>
        <v>0</v>
      </c>
      <c r="AT16" s="45">
        <f t="shared" si="26"/>
        <v>0</v>
      </c>
      <c r="AU16" s="45">
        <f t="shared" si="26"/>
        <v>0</v>
      </c>
      <c r="AV16" s="45">
        <f t="shared" si="26"/>
        <v>0</v>
      </c>
      <c r="AW16" s="45">
        <f t="shared" si="26"/>
        <v>0</v>
      </c>
      <c r="AX16" s="45">
        <f t="shared" si="26"/>
        <v>0</v>
      </c>
      <c r="AY16" s="45">
        <f t="shared" si="26"/>
        <v>0</v>
      </c>
      <c r="AZ16" s="45">
        <f t="shared" si="26"/>
        <v>0</v>
      </c>
      <c r="BA16" s="45">
        <f t="shared" si="26"/>
        <v>0</v>
      </c>
      <c r="BB16" s="45">
        <f t="shared" si="26"/>
        <v>0</v>
      </c>
      <c r="BC16" s="45">
        <f t="shared" si="26"/>
        <v>0</v>
      </c>
      <c r="BD16" s="45">
        <f t="shared" si="26"/>
        <v>0</v>
      </c>
      <c r="BE16" s="45">
        <f t="shared" si="26"/>
        <v>0</v>
      </c>
      <c r="BF16" s="45">
        <f t="shared" si="26"/>
        <v>0</v>
      </c>
      <c r="BG16" s="45">
        <f t="shared" si="26"/>
        <v>0</v>
      </c>
      <c r="BH16" s="45">
        <f t="shared" si="26"/>
        <v>0</v>
      </c>
      <c r="BI16" s="45">
        <f t="shared" si="26"/>
        <v>0</v>
      </c>
      <c r="BJ16" s="45">
        <f t="shared" si="26"/>
        <v>0</v>
      </c>
      <c r="BK16" s="45">
        <f t="shared" si="26"/>
        <v>0</v>
      </c>
      <c r="BL16" s="45">
        <f t="shared" si="26"/>
        <v>0</v>
      </c>
      <c r="BM16" s="45">
        <f t="shared" si="26"/>
        <v>0</v>
      </c>
      <c r="BN16" s="45">
        <f t="shared" si="26"/>
        <v>0</v>
      </c>
      <c r="BO16" s="45">
        <f t="shared" si="26"/>
        <v>0</v>
      </c>
      <c r="BP16" s="45">
        <f t="shared" ref="BP16:EA16" si="27">-SUM(BP17:BP24)</f>
        <v>0</v>
      </c>
      <c r="BQ16" s="45">
        <f t="shared" si="27"/>
        <v>0</v>
      </c>
      <c r="BR16" s="45">
        <f t="shared" si="27"/>
        <v>0</v>
      </c>
      <c r="BS16" s="45">
        <f t="shared" si="27"/>
        <v>0</v>
      </c>
      <c r="BT16" s="45">
        <f t="shared" si="27"/>
        <v>0</v>
      </c>
      <c r="BU16" s="45">
        <f t="shared" si="27"/>
        <v>0</v>
      </c>
      <c r="BV16" s="45">
        <f t="shared" si="27"/>
        <v>0</v>
      </c>
      <c r="BW16" s="45">
        <f t="shared" si="27"/>
        <v>0</v>
      </c>
      <c r="BX16" s="45">
        <f t="shared" si="27"/>
        <v>0</v>
      </c>
      <c r="BY16" s="45">
        <f t="shared" si="27"/>
        <v>0</v>
      </c>
      <c r="BZ16" s="45">
        <f t="shared" si="27"/>
        <v>0</v>
      </c>
      <c r="CA16" s="45">
        <f t="shared" si="27"/>
        <v>0</v>
      </c>
      <c r="CB16" s="45">
        <f t="shared" si="27"/>
        <v>0</v>
      </c>
      <c r="CC16" s="45">
        <f t="shared" si="27"/>
        <v>0</v>
      </c>
      <c r="CD16" s="45">
        <f t="shared" si="27"/>
        <v>0</v>
      </c>
      <c r="CE16" s="45">
        <f t="shared" si="27"/>
        <v>0</v>
      </c>
      <c r="CF16" s="45">
        <f t="shared" si="27"/>
        <v>0</v>
      </c>
      <c r="CG16" s="45">
        <f t="shared" si="27"/>
        <v>0</v>
      </c>
      <c r="CH16" s="45">
        <f t="shared" si="27"/>
        <v>0</v>
      </c>
      <c r="CI16" s="45">
        <f t="shared" si="27"/>
        <v>0</v>
      </c>
      <c r="CJ16" s="45">
        <f t="shared" si="27"/>
        <v>0</v>
      </c>
      <c r="CK16" s="45">
        <f t="shared" si="27"/>
        <v>0</v>
      </c>
      <c r="CL16" s="45">
        <f t="shared" si="27"/>
        <v>0</v>
      </c>
      <c r="CM16" s="45">
        <f t="shared" si="27"/>
        <v>0</v>
      </c>
      <c r="CN16" s="45">
        <f t="shared" si="27"/>
        <v>0</v>
      </c>
      <c r="CO16" s="45">
        <f t="shared" si="27"/>
        <v>0</v>
      </c>
      <c r="CP16" s="45">
        <f t="shared" si="27"/>
        <v>0</v>
      </c>
      <c r="CQ16" s="45">
        <f t="shared" si="27"/>
        <v>0</v>
      </c>
      <c r="CR16" s="45">
        <f t="shared" si="27"/>
        <v>0</v>
      </c>
      <c r="CS16" s="45">
        <f t="shared" si="27"/>
        <v>0</v>
      </c>
      <c r="CT16" s="45">
        <f t="shared" si="27"/>
        <v>0</v>
      </c>
      <c r="CU16" s="45">
        <f t="shared" si="27"/>
        <v>0</v>
      </c>
      <c r="CV16" s="45">
        <f t="shared" si="27"/>
        <v>0</v>
      </c>
      <c r="CW16" s="45">
        <f t="shared" si="27"/>
        <v>0</v>
      </c>
      <c r="CX16" s="45">
        <f t="shared" si="27"/>
        <v>0</v>
      </c>
      <c r="CY16" s="45">
        <f t="shared" si="27"/>
        <v>0</v>
      </c>
      <c r="CZ16" s="45">
        <f t="shared" si="27"/>
        <v>0</v>
      </c>
      <c r="DA16" s="45">
        <f t="shared" si="27"/>
        <v>0</v>
      </c>
      <c r="DB16" s="45">
        <f t="shared" si="27"/>
        <v>0</v>
      </c>
      <c r="DC16" s="45">
        <f t="shared" si="27"/>
        <v>0</v>
      </c>
      <c r="DD16" s="45">
        <f t="shared" si="27"/>
        <v>0</v>
      </c>
      <c r="DE16" s="45">
        <f t="shared" si="27"/>
        <v>0</v>
      </c>
      <c r="DF16" s="45">
        <f t="shared" si="27"/>
        <v>0</v>
      </c>
      <c r="DG16" s="45">
        <f t="shared" si="27"/>
        <v>0</v>
      </c>
      <c r="DH16" s="45">
        <f t="shared" si="27"/>
        <v>0</v>
      </c>
      <c r="DI16" s="45">
        <f t="shared" si="27"/>
        <v>0</v>
      </c>
      <c r="DJ16" s="45">
        <f t="shared" si="27"/>
        <v>0</v>
      </c>
      <c r="DK16" s="45">
        <f t="shared" si="27"/>
        <v>0</v>
      </c>
      <c r="DL16" s="45">
        <f t="shared" si="27"/>
        <v>0</v>
      </c>
      <c r="DM16" s="45">
        <f t="shared" si="27"/>
        <v>0</v>
      </c>
      <c r="DN16" s="45">
        <f t="shared" si="27"/>
        <v>0</v>
      </c>
      <c r="DO16" s="45">
        <f t="shared" si="27"/>
        <v>0</v>
      </c>
      <c r="DP16" s="45">
        <f t="shared" si="27"/>
        <v>0</v>
      </c>
      <c r="DQ16" s="45">
        <f t="shared" si="27"/>
        <v>0</v>
      </c>
      <c r="DR16" s="45">
        <f t="shared" si="27"/>
        <v>0</v>
      </c>
      <c r="DS16" s="45">
        <f t="shared" si="27"/>
        <v>0</v>
      </c>
      <c r="DT16" s="45">
        <f t="shared" si="27"/>
        <v>0</v>
      </c>
      <c r="DU16" s="45">
        <f t="shared" si="27"/>
        <v>0</v>
      </c>
      <c r="DV16" s="45">
        <f t="shared" si="27"/>
        <v>0</v>
      </c>
      <c r="DW16" s="45">
        <f t="shared" si="27"/>
        <v>0</v>
      </c>
      <c r="DX16" s="45">
        <f t="shared" si="27"/>
        <v>0</v>
      </c>
      <c r="DY16" s="45">
        <f t="shared" si="27"/>
        <v>0</v>
      </c>
      <c r="DZ16" s="45">
        <f t="shared" si="27"/>
        <v>0</v>
      </c>
      <c r="EA16" s="45">
        <f t="shared" si="27"/>
        <v>0</v>
      </c>
      <c r="EB16" s="45">
        <f t="shared" ref="EB16:GM16" si="28">-SUM(EB17:EB24)</f>
        <v>0</v>
      </c>
      <c r="EC16" s="45">
        <f t="shared" si="28"/>
        <v>0</v>
      </c>
      <c r="ED16" s="45">
        <f t="shared" si="28"/>
        <v>0</v>
      </c>
      <c r="EE16" s="45">
        <f t="shared" si="28"/>
        <v>0</v>
      </c>
      <c r="EF16" s="45">
        <f t="shared" si="28"/>
        <v>0</v>
      </c>
      <c r="EG16" s="45">
        <f t="shared" si="28"/>
        <v>0</v>
      </c>
      <c r="EH16" s="45">
        <f t="shared" si="28"/>
        <v>0</v>
      </c>
      <c r="EI16" s="45">
        <f t="shared" si="28"/>
        <v>0</v>
      </c>
      <c r="EJ16" s="45">
        <f t="shared" si="28"/>
        <v>0</v>
      </c>
      <c r="EK16" s="45">
        <f t="shared" si="28"/>
        <v>0</v>
      </c>
      <c r="EL16" s="45">
        <f t="shared" si="28"/>
        <v>0</v>
      </c>
      <c r="EM16" s="45">
        <f t="shared" si="28"/>
        <v>0</v>
      </c>
      <c r="EN16" s="45">
        <f t="shared" si="28"/>
        <v>0</v>
      </c>
      <c r="EO16" s="45">
        <f t="shared" si="28"/>
        <v>0</v>
      </c>
      <c r="EP16" s="45">
        <f t="shared" si="28"/>
        <v>0</v>
      </c>
      <c r="EQ16" s="45">
        <f t="shared" si="28"/>
        <v>0</v>
      </c>
      <c r="ER16" s="45">
        <f t="shared" si="28"/>
        <v>0</v>
      </c>
      <c r="ES16" s="45">
        <f t="shared" si="28"/>
        <v>0</v>
      </c>
      <c r="ET16" s="45">
        <f t="shared" si="28"/>
        <v>0</v>
      </c>
      <c r="EU16" s="45">
        <f t="shared" si="28"/>
        <v>0</v>
      </c>
      <c r="EV16" s="45">
        <f t="shared" si="28"/>
        <v>0</v>
      </c>
      <c r="EW16" s="45">
        <f t="shared" si="28"/>
        <v>0</v>
      </c>
      <c r="EX16" s="45">
        <f t="shared" si="28"/>
        <v>0</v>
      </c>
      <c r="EY16" s="45">
        <f t="shared" si="28"/>
        <v>0</v>
      </c>
      <c r="EZ16" s="45">
        <f t="shared" si="28"/>
        <v>0</v>
      </c>
      <c r="FA16" s="45">
        <f t="shared" si="28"/>
        <v>0</v>
      </c>
      <c r="FB16" s="45">
        <f t="shared" si="28"/>
        <v>0</v>
      </c>
      <c r="FC16" s="45">
        <f t="shared" si="28"/>
        <v>0</v>
      </c>
      <c r="FD16" s="45">
        <f t="shared" si="28"/>
        <v>0</v>
      </c>
      <c r="FE16" s="45">
        <f t="shared" si="28"/>
        <v>0</v>
      </c>
      <c r="FF16" s="45">
        <f t="shared" si="28"/>
        <v>0</v>
      </c>
      <c r="FG16" s="45">
        <f t="shared" si="28"/>
        <v>0</v>
      </c>
      <c r="FH16" s="45">
        <f t="shared" si="28"/>
        <v>0</v>
      </c>
      <c r="FI16" s="45">
        <f t="shared" si="28"/>
        <v>0</v>
      </c>
      <c r="FJ16" s="45">
        <f t="shared" si="28"/>
        <v>0</v>
      </c>
      <c r="FK16" s="45">
        <f t="shared" si="28"/>
        <v>0</v>
      </c>
      <c r="FL16" s="45">
        <f t="shared" si="28"/>
        <v>0</v>
      </c>
      <c r="FM16" s="45">
        <f t="shared" si="28"/>
        <v>0</v>
      </c>
      <c r="FN16" s="45">
        <f t="shared" si="28"/>
        <v>0</v>
      </c>
      <c r="FO16" s="45">
        <f t="shared" si="28"/>
        <v>0</v>
      </c>
      <c r="FP16" s="45">
        <f t="shared" si="28"/>
        <v>0</v>
      </c>
      <c r="FQ16" s="45">
        <f t="shared" si="28"/>
        <v>0</v>
      </c>
      <c r="FR16" s="45">
        <f t="shared" si="28"/>
        <v>0</v>
      </c>
      <c r="FS16" s="45">
        <f t="shared" si="28"/>
        <v>0</v>
      </c>
      <c r="FT16" s="45">
        <f t="shared" si="28"/>
        <v>0</v>
      </c>
      <c r="FU16" s="45">
        <f t="shared" si="28"/>
        <v>0</v>
      </c>
      <c r="FV16" s="45">
        <f t="shared" si="28"/>
        <v>0</v>
      </c>
      <c r="FW16" s="45">
        <f t="shared" si="28"/>
        <v>0</v>
      </c>
      <c r="FX16" s="45">
        <f t="shared" si="28"/>
        <v>0</v>
      </c>
      <c r="FY16" s="45">
        <f t="shared" si="28"/>
        <v>0</v>
      </c>
      <c r="FZ16" s="45">
        <f t="shared" si="28"/>
        <v>0</v>
      </c>
      <c r="GA16" s="45">
        <f t="shared" si="28"/>
        <v>0</v>
      </c>
      <c r="GB16" s="45">
        <f t="shared" si="28"/>
        <v>0</v>
      </c>
      <c r="GC16" s="45">
        <f t="shared" si="28"/>
        <v>0</v>
      </c>
      <c r="GD16" s="45">
        <f t="shared" si="28"/>
        <v>0</v>
      </c>
      <c r="GE16" s="45">
        <f t="shared" si="28"/>
        <v>0</v>
      </c>
      <c r="GF16" s="45">
        <f t="shared" si="28"/>
        <v>0</v>
      </c>
      <c r="GG16" s="45">
        <f t="shared" si="28"/>
        <v>0</v>
      </c>
      <c r="GH16" s="45">
        <f t="shared" si="28"/>
        <v>0</v>
      </c>
      <c r="GI16" s="45">
        <f t="shared" si="28"/>
        <v>0</v>
      </c>
      <c r="GJ16" s="45">
        <f t="shared" si="28"/>
        <v>0</v>
      </c>
      <c r="GK16" s="45">
        <f t="shared" si="28"/>
        <v>0</v>
      </c>
      <c r="GL16" s="45">
        <f t="shared" si="28"/>
        <v>0</v>
      </c>
      <c r="GM16" s="45">
        <f t="shared" si="28"/>
        <v>0</v>
      </c>
      <c r="GN16" s="45">
        <f t="shared" ref="GN16:GT16" si="29">-SUM(GN17:GN24)</f>
        <v>0</v>
      </c>
      <c r="GO16" s="45">
        <f t="shared" si="29"/>
        <v>0</v>
      </c>
      <c r="GP16" s="45">
        <f t="shared" si="29"/>
        <v>0</v>
      </c>
      <c r="GQ16" s="45">
        <f t="shared" si="29"/>
        <v>0</v>
      </c>
      <c r="GR16" s="45">
        <f t="shared" si="29"/>
        <v>0</v>
      </c>
      <c r="GS16" s="45">
        <f>-SUM(GS17:GS24)</f>
        <v>0</v>
      </c>
      <c r="GT16" s="45">
        <f t="shared" si="29"/>
        <v>0</v>
      </c>
    </row>
    <row r="17" spans="1:202" ht="16.5" hidden="1" customHeight="1">
      <c r="A17" s="42" t="s">
        <v>101</v>
      </c>
      <c r="B17" s="46"/>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row>
    <row r="18" spans="1:202" ht="16.5" hidden="1" customHeight="1">
      <c r="A18" s="42" t="s">
        <v>107</v>
      </c>
      <c r="B18" s="46"/>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7"/>
      <c r="GR18" s="47"/>
      <c r="GS18" s="47"/>
      <c r="GT18" s="47"/>
    </row>
    <row r="19" spans="1:202" ht="16.5" hidden="1" customHeight="1">
      <c r="A19" s="43" t="s">
        <v>108</v>
      </c>
      <c r="B19" s="46"/>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row>
    <row r="20" spans="1:202" ht="16.5" hidden="1" customHeight="1">
      <c r="A20" s="42" t="s">
        <v>105</v>
      </c>
      <c r="B20" s="46"/>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c r="FN20" s="47"/>
      <c r="FO20" s="47"/>
      <c r="FP20" s="47"/>
      <c r="FQ20" s="47"/>
      <c r="FR20" s="47"/>
      <c r="FS20" s="47"/>
      <c r="FT20" s="47"/>
      <c r="FU20" s="47"/>
      <c r="FV20" s="47"/>
      <c r="FW20" s="47"/>
      <c r="FX20" s="47"/>
      <c r="FY20" s="47"/>
      <c r="FZ20" s="47"/>
      <c r="GA20" s="47"/>
      <c r="GB20" s="47"/>
      <c r="GC20" s="47"/>
      <c r="GD20" s="47"/>
      <c r="GE20" s="47"/>
      <c r="GF20" s="47"/>
      <c r="GG20" s="47"/>
      <c r="GH20" s="47"/>
      <c r="GI20" s="47"/>
      <c r="GJ20" s="47"/>
      <c r="GK20" s="47"/>
      <c r="GL20" s="47"/>
      <c r="GM20" s="47"/>
      <c r="GN20" s="47"/>
      <c r="GO20" s="47"/>
      <c r="GP20" s="47"/>
      <c r="GQ20" s="47"/>
      <c r="GR20" s="47"/>
      <c r="GS20" s="47"/>
      <c r="GT20" s="47"/>
    </row>
    <row r="21" spans="1:202" ht="16.5" hidden="1" customHeight="1">
      <c r="A21" s="42" t="s">
        <v>94</v>
      </c>
      <c r="B21" s="46"/>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c r="FN21" s="47"/>
      <c r="FO21" s="47"/>
      <c r="FP21" s="47"/>
      <c r="FQ21" s="47"/>
      <c r="FR21" s="47"/>
      <c r="FS21" s="47"/>
      <c r="FT21" s="47"/>
      <c r="FU21" s="47"/>
      <c r="FV21" s="47"/>
      <c r="FW21" s="47"/>
      <c r="FX21" s="47"/>
      <c r="FY21" s="47"/>
      <c r="FZ21" s="47"/>
      <c r="GA21" s="47"/>
      <c r="GB21" s="47"/>
      <c r="GC21" s="47"/>
      <c r="GD21" s="47"/>
      <c r="GE21" s="47"/>
      <c r="GF21" s="47"/>
      <c r="GG21" s="47"/>
      <c r="GH21" s="47"/>
      <c r="GI21" s="47"/>
      <c r="GJ21" s="47"/>
      <c r="GK21" s="47"/>
      <c r="GL21" s="47"/>
      <c r="GM21" s="47"/>
      <c r="GN21" s="47"/>
      <c r="GO21" s="47"/>
      <c r="GP21" s="47"/>
      <c r="GQ21" s="47"/>
      <c r="GR21" s="47"/>
      <c r="GS21" s="47"/>
      <c r="GT21" s="47"/>
    </row>
    <row r="22" spans="1:202" ht="16.5" hidden="1" customHeight="1">
      <c r="A22" s="42" t="s">
        <v>100</v>
      </c>
      <c r="B22" s="46"/>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row>
    <row r="23" spans="1:202" ht="16.5" hidden="1" customHeight="1">
      <c r="A23" s="42" t="s">
        <v>99</v>
      </c>
      <c r="B23" s="46"/>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row>
    <row r="24" spans="1:202" ht="16.5" hidden="1" customHeight="1">
      <c r="A24" s="42" t="s">
        <v>99</v>
      </c>
      <c r="B24" s="46"/>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row>
    <row r="25" spans="1:202" s="28" customFormat="1" ht="21" hidden="1">
      <c r="A25" s="232" t="s">
        <v>238</v>
      </c>
      <c r="B25" s="44"/>
      <c r="C25" s="45">
        <f>SUM(C26:C33)</f>
        <v>0</v>
      </c>
      <c r="D25" s="45">
        <f t="shared" ref="D25:BO25" si="30">SUM(D26:D33)</f>
        <v>0</v>
      </c>
      <c r="E25" s="45">
        <f>SUM(E26:E33)</f>
        <v>0</v>
      </c>
      <c r="F25" s="45">
        <f t="shared" si="30"/>
        <v>0</v>
      </c>
      <c r="G25" s="45">
        <f>SUM(G26:G33)</f>
        <v>0</v>
      </c>
      <c r="H25" s="45">
        <f t="shared" si="30"/>
        <v>0</v>
      </c>
      <c r="I25" s="45">
        <f t="shared" si="30"/>
        <v>0</v>
      </c>
      <c r="J25" s="45">
        <f>SUM(J26:J33)</f>
        <v>0</v>
      </c>
      <c r="K25" s="45">
        <f t="shared" si="30"/>
        <v>0</v>
      </c>
      <c r="L25" s="45">
        <f t="shared" si="30"/>
        <v>0</v>
      </c>
      <c r="M25" s="45">
        <f t="shared" si="30"/>
        <v>0</v>
      </c>
      <c r="N25" s="45">
        <f>SUM(N26:N33)</f>
        <v>0</v>
      </c>
      <c r="O25" s="45">
        <f t="shared" si="30"/>
        <v>0</v>
      </c>
      <c r="P25" s="45">
        <f t="shared" si="30"/>
        <v>0</v>
      </c>
      <c r="Q25" s="45">
        <f t="shared" si="30"/>
        <v>0</v>
      </c>
      <c r="R25" s="45">
        <f t="shared" si="30"/>
        <v>0</v>
      </c>
      <c r="S25" s="45">
        <f t="shared" si="30"/>
        <v>0</v>
      </c>
      <c r="T25" s="45">
        <f t="shared" si="30"/>
        <v>0</v>
      </c>
      <c r="U25" s="45">
        <f t="shared" si="30"/>
        <v>0</v>
      </c>
      <c r="V25" s="45">
        <f t="shared" si="30"/>
        <v>0</v>
      </c>
      <c r="W25" s="45">
        <f t="shared" si="30"/>
        <v>0</v>
      </c>
      <c r="X25" s="45">
        <f t="shared" si="30"/>
        <v>0</v>
      </c>
      <c r="Y25" s="45">
        <f t="shared" si="30"/>
        <v>0</v>
      </c>
      <c r="Z25" s="45">
        <f t="shared" si="30"/>
        <v>0</v>
      </c>
      <c r="AA25" s="45">
        <f t="shared" si="30"/>
        <v>0</v>
      </c>
      <c r="AB25" s="45">
        <f t="shared" si="30"/>
        <v>0</v>
      </c>
      <c r="AC25" s="45">
        <f t="shared" si="30"/>
        <v>0</v>
      </c>
      <c r="AD25" s="45">
        <f t="shared" si="30"/>
        <v>0</v>
      </c>
      <c r="AE25" s="45">
        <f t="shared" si="30"/>
        <v>0</v>
      </c>
      <c r="AF25" s="45">
        <f t="shared" si="30"/>
        <v>0</v>
      </c>
      <c r="AG25" s="45">
        <f t="shared" si="30"/>
        <v>0</v>
      </c>
      <c r="AH25" s="45">
        <f t="shared" si="30"/>
        <v>0</v>
      </c>
      <c r="AI25" s="45">
        <f t="shared" si="30"/>
        <v>0</v>
      </c>
      <c r="AJ25" s="45">
        <f t="shared" si="30"/>
        <v>0</v>
      </c>
      <c r="AK25" s="45">
        <f t="shared" si="30"/>
        <v>0</v>
      </c>
      <c r="AL25" s="45">
        <f t="shared" si="30"/>
        <v>0</v>
      </c>
      <c r="AM25" s="45">
        <f t="shared" si="30"/>
        <v>0</v>
      </c>
      <c r="AN25" s="45">
        <f t="shared" si="30"/>
        <v>0</v>
      </c>
      <c r="AO25" s="45">
        <f t="shared" si="30"/>
        <v>0</v>
      </c>
      <c r="AP25" s="45">
        <f t="shared" si="30"/>
        <v>0</v>
      </c>
      <c r="AQ25" s="45">
        <f t="shared" si="30"/>
        <v>0</v>
      </c>
      <c r="AR25" s="45">
        <f t="shared" si="30"/>
        <v>0</v>
      </c>
      <c r="AS25" s="45">
        <f t="shared" si="30"/>
        <v>0</v>
      </c>
      <c r="AT25" s="45">
        <f t="shared" si="30"/>
        <v>0</v>
      </c>
      <c r="AU25" s="45">
        <f t="shared" si="30"/>
        <v>0</v>
      </c>
      <c r="AV25" s="45">
        <f t="shared" si="30"/>
        <v>0</v>
      </c>
      <c r="AW25" s="45">
        <f t="shared" si="30"/>
        <v>0</v>
      </c>
      <c r="AX25" s="45">
        <f t="shared" si="30"/>
        <v>0</v>
      </c>
      <c r="AY25" s="45">
        <f t="shared" si="30"/>
        <v>0</v>
      </c>
      <c r="AZ25" s="45">
        <f t="shared" si="30"/>
        <v>0</v>
      </c>
      <c r="BA25" s="45">
        <f t="shared" si="30"/>
        <v>0</v>
      </c>
      <c r="BB25" s="45">
        <f t="shared" si="30"/>
        <v>0</v>
      </c>
      <c r="BC25" s="45">
        <f t="shared" si="30"/>
        <v>0</v>
      </c>
      <c r="BD25" s="45">
        <f t="shared" si="30"/>
        <v>0</v>
      </c>
      <c r="BE25" s="45">
        <f t="shared" si="30"/>
        <v>0</v>
      </c>
      <c r="BF25" s="45">
        <f t="shared" si="30"/>
        <v>0</v>
      </c>
      <c r="BG25" s="45">
        <f t="shared" si="30"/>
        <v>0</v>
      </c>
      <c r="BH25" s="45">
        <f t="shared" si="30"/>
        <v>0</v>
      </c>
      <c r="BI25" s="45">
        <f t="shared" si="30"/>
        <v>0</v>
      </c>
      <c r="BJ25" s="45">
        <f t="shared" si="30"/>
        <v>0</v>
      </c>
      <c r="BK25" s="45">
        <f t="shared" si="30"/>
        <v>0</v>
      </c>
      <c r="BL25" s="45">
        <f t="shared" si="30"/>
        <v>0</v>
      </c>
      <c r="BM25" s="45">
        <f t="shared" si="30"/>
        <v>0</v>
      </c>
      <c r="BN25" s="45">
        <f t="shared" si="30"/>
        <v>0</v>
      </c>
      <c r="BO25" s="45">
        <f t="shared" si="30"/>
        <v>0</v>
      </c>
      <c r="BP25" s="45">
        <f t="shared" ref="BP25:EA25" si="31">SUM(BP26:BP33)</f>
        <v>0</v>
      </c>
      <c r="BQ25" s="45">
        <f t="shared" si="31"/>
        <v>0</v>
      </c>
      <c r="BR25" s="45">
        <f t="shared" si="31"/>
        <v>0</v>
      </c>
      <c r="BS25" s="45">
        <f t="shared" si="31"/>
        <v>0</v>
      </c>
      <c r="BT25" s="45">
        <f t="shared" si="31"/>
        <v>0</v>
      </c>
      <c r="BU25" s="45">
        <f t="shared" si="31"/>
        <v>0</v>
      </c>
      <c r="BV25" s="45">
        <f t="shared" si="31"/>
        <v>0</v>
      </c>
      <c r="BW25" s="45">
        <f t="shared" si="31"/>
        <v>0</v>
      </c>
      <c r="BX25" s="45">
        <f t="shared" si="31"/>
        <v>0</v>
      </c>
      <c r="BY25" s="45">
        <f t="shared" si="31"/>
        <v>0</v>
      </c>
      <c r="BZ25" s="45">
        <f t="shared" si="31"/>
        <v>0</v>
      </c>
      <c r="CA25" s="45">
        <f t="shared" si="31"/>
        <v>0</v>
      </c>
      <c r="CB25" s="45">
        <f t="shared" si="31"/>
        <v>0</v>
      </c>
      <c r="CC25" s="45">
        <f t="shared" si="31"/>
        <v>0</v>
      </c>
      <c r="CD25" s="45">
        <f t="shared" si="31"/>
        <v>0</v>
      </c>
      <c r="CE25" s="45">
        <f t="shared" si="31"/>
        <v>0</v>
      </c>
      <c r="CF25" s="45">
        <f t="shared" si="31"/>
        <v>0</v>
      </c>
      <c r="CG25" s="45">
        <f t="shared" si="31"/>
        <v>0</v>
      </c>
      <c r="CH25" s="45">
        <f t="shared" si="31"/>
        <v>0</v>
      </c>
      <c r="CI25" s="45">
        <f t="shared" si="31"/>
        <v>0</v>
      </c>
      <c r="CJ25" s="45">
        <f t="shared" si="31"/>
        <v>0</v>
      </c>
      <c r="CK25" s="45">
        <f t="shared" si="31"/>
        <v>0</v>
      </c>
      <c r="CL25" s="45">
        <f t="shared" si="31"/>
        <v>0</v>
      </c>
      <c r="CM25" s="45">
        <f t="shared" si="31"/>
        <v>0</v>
      </c>
      <c r="CN25" s="45">
        <f t="shared" si="31"/>
        <v>0</v>
      </c>
      <c r="CO25" s="45">
        <f t="shared" si="31"/>
        <v>0</v>
      </c>
      <c r="CP25" s="45">
        <f t="shared" si="31"/>
        <v>0</v>
      </c>
      <c r="CQ25" s="45">
        <f t="shared" si="31"/>
        <v>0</v>
      </c>
      <c r="CR25" s="45">
        <f t="shared" si="31"/>
        <v>0</v>
      </c>
      <c r="CS25" s="45">
        <f t="shared" si="31"/>
        <v>0</v>
      </c>
      <c r="CT25" s="45">
        <f t="shared" si="31"/>
        <v>0</v>
      </c>
      <c r="CU25" s="45">
        <f t="shared" si="31"/>
        <v>0</v>
      </c>
      <c r="CV25" s="45">
        <f t="shared" si="31"/>
        <v>0</v>
      </c>
      <c r="CW25" s="45">
        <f t="shared" si="31"/>
        <v>0</v>
      </c>
      <c r="CX25" s="45">
        <f t="shared" si="31"/>
        <v>0</v>
      </c>
      <c r="CY25" s="45">
        <f t="shared" si="31"/>
        <v>0</v>
      </c>
      <c r="CZ25" s="45">
        <f t="shared" si="31"/>
        <v>0</v>
      </c>
      <c r="DA25" s="45">
        <f t="shared" si="31"/>
        <v>0</v>
      </c>
      <c r="DB25" s="45">
        <f t="shared" si="31"/>
        <v>0</v>
      </c>
      <c r="DC25" s="45">
        <f t="shared" si="31"/>
        <v>0</v>
      </c>
      <c r="DD25" s="45">
        <f t="shared" si="31"/>
        <v>0</v>
      </c>
      <c r="DE25" s="45">
        <f t="shared" si="31"/>
        <v>0</v>
      </c>
      <c r="DF25" s="45">
        <f t="shared" si="31"/>
        <v>0</v>
      </c>
      <c r="DG25" s="45">
        <f t="shared" si="31"/>
        <v>0</v>
      </c>
      <c r="DH25" s="45">
        <f t="shared" si="31"/>
        <v>0</v>
      </c>
      <c r="DI25" s="45">
        <f t="shared" si="31"/>
        <v>0</v>
      </c>
      <c r="DJ25" s="45">
        <f t="shared" si="31"/>
        <v>0</v>
      </c>
      <c r="DK25" s="45">
        <f t="shared" si="31"/>
        <v>0</v>
      </c>
      <c r="DL25" s="45">
        <f t="shared" si="31"/>
        <v>0</v>
      </c>
      <c r="DM25" s="45">
        <f t="shared" si="31"/>
        <v>0</v>
      </c>
      <c r="DN25" s="45">
        <f t="shared" si="31"/>
        <v>0</v>
      </c>
      <c r="DO25" s="45">
        <f t="shared" si="31"/>
        <v>0</v>
      </c>
      <c r="DP25" s="45">
        <f t="shared" si="31"/>
        <v>0</v>
      </c>
      <c r="DQ25" s="45">
        <f t="shared" si="31"/>
        <v>0</v>
      </c>
      <c r="DR25" s="45">
        <f t="shared" si="31"/>
        <v>0</v>
      </c>
      <c r="DS25" s="45">
        <f t="shared" si="31"/>
        <v>0</v>
      </c>
      <c r="DT25" s="45">
        <f t="shared" si="31"/>
        <v>0</v>
      </c>
      <c r="DU25" s="45">
        <f t="shared" si="31"/>
        <v>0</v>
      </c>
      <c r="DV25" s="45">
        <f t="shared" si="31"/>
        <v>0</v>
      </c>
      <c r="DW25" s="45">
        <f t="shared" si="31"/>
        <v>0</v>
      </c>
      <c r="DX25" s="45">
        <f t="shared" si="31"/>
        <v>0</v>
      </c>
      <c r="DY25" s="45">
        <f t="shared" si="31"/>
        <v>0</v>
      </c>
      <c r="DZ25" s="45">
        <f t="shared" si="31"/>
        <v>0</v>
      </c>
      <c r="EA25" s="45">
        <f t="shared" si="31"/>
        <v>0</v>
      </c>
      <c r="EB25" s="45">
        <f t="shared" ref="EB25:GM25" si="32">SUM(EB26:EB33)</f>
        <v>0</v>
      </c>
      <c r="EC25" s="45">
        <f t="shared" si="32"/>
        <v>0</v>
      </c>
      <c r="ED25" s="45">
        <f t="shared" si="32"/>
        <v>0</v>
      </c>
      <c r="EE25" s="45">
        <f t="shared" si="32"/>
        <v>0</v>
      </c>
      <c r="EF25" s="45">
        <f t="shared" si="32"/>
        <v>0</v>
      </c>
      <c r="EG25" s="45">
        <f t="shared" si="32"/>
        <v>0</v>
      </c>
      <c r="EH25" s="45">
        <f t="shared" si="32"/>
        <v>0</v>
      </c>
      <c r="EI25" s="45">
        <f t="shared" si="32"/>
        <v>0</v>
      </c>
      <c r="EJ25" s="45">
        <f t="shared" si="32"/>
        <v>0</v>
      </c>
      <c r="EK25" s="45">
        <f t="shared" si="32"/>
        <v>0</v>
      </c>
      <c r="EL25" s="45">
        <f t="shared" si="32"/>
        <v>0</v>
      </c>
      <c r="EM25" s="45">
        <f t="shared" si="32"/>
        <v>0</v>
      </c>
      <c r="EN25" s="45">
        <f t="shared" si="32"/>
        <v>0</v>
      </c>
      <c r="EO25" s="45">
        <f t="shared" si="32"/>
        <v>0</v>
      </c>
      <c r="EP25" s="45">
        <f t="shared" si="32"/>
        <v>0</v>
      </c>
      <c r="EQ25" s="45">
        <f t="shared" si="32"/>
        <v>0</v>
      </c>
      <c r="ER25" s="45">
        <f t="shared" si="32"/>
        <v>0</v>
      </c>
      <c r="ES25" s="45">
        <f t="shared" si="32"/>
        <v>0</v>
      </c>
      <c r="ET25" s="45">
        <f t="shared" si="32"/>
        <v>0</v>
      </c>
      <c r="EU25" s="45">
        <f t="shared" si="32"/>
        <v>0</v>
      </c>
      <c r="EV25" s="45">
        <f t="shared" si="32"/>
        <v>0</v>
      </c>
      <c r="EW25" s="45">
        <f t="shared" si="32"/>
        <v>0</v>
      </c>
      <c r="EX25" s="45">
        <f t="shared" si="32"/>
        <v>0</v>
      </c>
      <c r="EY25" s="45">
        <f t="shared" si="32"/>
        <v>0</v>
      </c>
      <c r="EZ25" s="45">
        <f t="shared" si="32"/>
        <v>0</v>
      </c>
      <c r="FA25" s="45">
        <f t="shared" si="32"/>
        <v>0</v>
      </c>
      <c r="FB25" s="45">
        <f t="shared" si="32"/>
        <v>0</v>
      </c>
      <c r="FC25" s="45">
        <f t="shared" si="32"/>
        <v>0</v>
      </c>
      <c r="FD25" s="45">
        <f t="shared" si="32"/>
        <v>0</v>
      </c>
      <c r="FE25" s="45">
        <f t="shared" si="32"/>
        <v>0</v>
      </c>
      <c r="FF25" s="45">
        <f t="shared" si="32"/>
        <v>0</v>
      </c>
      <c r="FG25" s="45">
        <f t="shared" si="32"/>
        <v>0</v>
      </c>
      <c r="FH25" s="45">
        <f t="shared" si="32"/>
        <v>0</v>
      </c>
      <c r="FI25" s="45">
        <f t="shared" si="32"/>
        <v>0</v>
      </c>
      <c r="FJ25" s="45">
        <f t="shared" si="32"/>
        <v>0</v>
      </c>
      <c r="FK25" s="45">
        <f t="shared" si="32"/>
        <v>0</v>
      </c>
      <c r="FL25" s="45">
        <f t="shared" si="32"/>
        <v>0</v>
      </c>
      <c r="FM25" s="45">
        <f t="shared" si="32"/>
        <v>0</v>
      </c>
      <c r="FN25" s="45">
        <f t="shared" si="32"/>
        <v>0</v>
      </c>
      <c r="FO25" s="45">
        <f t="shared" si="32"/>
        <v>0</v>
      </c>
      <c r="FP25" s="45">
        <f t="shared" si="32"/>
        <v>0</v>
      </c>
      <c r="FQ25" s="45">
        <f t="shared" si="32"/>
        <v>0</v>
      </c>
      <c r="FR25" s="45">
        <f t="shared" si="32"/>
        <v>0</v>
      </c>
      <c r="FS25" s="45">
        <f t="shared" si="32"/>
        <v>0</v>
      </c>
      <c r="FT25" s="45">
        <f t="shared" si="32"/>
        <v>0</v>
      </c>
      <c r="FU25" s="45">
        <f t="shared" si="32"/>
        <v>0</v>
      </c>
      <c r="FV25" s="45">
        <f t="shared" si="32"/>
        <v>0</v>
      </c>
      <c r="FW25" s="45">
        <f t="shared" si="32"/>
        <v>0</v>
      </c>
      <c r="FX25" s="45">
        <f t="shared" si="32"/>
        <v>0</v>
      </c>
      <c r="FY25" s="45">
        <f t="shared" si="32"/>
        <v>0</v>
      </c>
      <c r="FZ25" s="45">
        <f t="shared" si="32"/>
        <v>0</v>
      </c>
      <c r="GA25" s="45">
        <f t="shared" si="32"/>
        <v>0</v>
      </c>
      <c r="GB25" s="45">
        <f t="shared" si="32"/>
        <v>0</v>
      </c>
      <c r="GC25" s="45">
        <f t="shared" si="32"/>
        <v>0</v>
      </c>
      <c r="GD25" s="45">
        <f t="shared" si="32"/>
        <v>0</v>
      </c>
      <c r="GE25" s="45">
        <f t="shared" si="32"/>
        <v>0</v>
      </c>
      <c r="GF25" s="45">
        <f t="shared" si="32"/>
        <v>0</v>
      </c>
      <c r="GG25" s="45">
        <f t="shared" si="32"/>
        <v>0</v>
      </c>
      <c r="GH25" s="45">
        <f t="shared" si="32"/>
        <v>0</v>
      </c>
      <c r="GI25" s="45">
        <f t="shared" si="32"/>
        <v>0</v>
      </c>
      <c r="GJ25" s="45">
        <f t="shared" si="32"/>
        <v>0</v>
      </c>
      <c r="GK25" s="45">
        <f t="shared" si="32"/>
        <v>0</v>
      </c>
      <c r="GL25" s="45">
        <f t="shared" si="32"/>
        <v>0</v>
      </c>
      <c r="GM25" s="45">
        <f t="shared" si="32"/>
        <v>0</v>
      </c>
      <c r="GN25" s="45">
        <f t="shared" ref="GN25:GT25" si="33">SUM(GN26:GN33)</f>
        <v>0</v>
      </c>
      <c r="GO25" s="45">
        <f t="shared" si="33"/>
        <v>0</v>
      </c>
      <c r="GP25" s="45">
        <f t="shared" si="33"/>
        <v>0</v>
      </c>
      <c r="GQ25" s="45">
        <f t="shared" si="33"/>
        <v>0</v>
      </c>
      <c r="GR25" s="45">
        <f t="shared" si="33"/>
        <v>0</v>
      </c>
      <c r="GS25" s="45">
        <f>SUM(GS26:GS33)</f>
        <v>0</v>
      </c>
      <c r="GT25" s="45">
        <f t="shared" si="33"/>
        <v>0</v>
      </c>
    </row>
    <row r="26" spans="1:202" ht="16.5" hidden="1" customHeight="1">
      <c r="A26" s="96" t="s">
        <v>23</v>
      </c>
      <c r="B26" s="92"/>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93"/>
      <c r="EG26" s="93"/>
      <c r="EH26" s="93"/>
      <c r="EI26" s="93"/>
      <c r="EJ26" s="93"/>
      <c r="EK26" s="93"/>
      <c r="EL26" s="93"/>
      <c r="EM26" s="93"/>
      <c r="EN26" s="93"/>
      <c r="EO26" s="93"/>
      <c r="EP26" s="93"/>
      <c r="EQ26" s="93"/>
      <c r="ER26" s="93"/>
      <c r="ES26" s="93"/>
      <c r="ET26" s="93"/>
      <c r="EU26" s="93"/>
      <c r="EV26" s="93"/>
      <c r="EW26" s="93"/>
      <c r="EX26" s="93"/>
      <c r="EY26" s="93"/>
      <c r="EZ26" s="93"/>
      <c r="FA26" s="93"/>
      <c r="FB26" s="93"/>
      <c r="FC26" s="93"/>
      <c r="FD26" s="93"/>
      <c r="FE26" s="93"/>
      <c r="FF26" s="93"/>
      <c r="FG26" s="93"/>
      <c r="FH26" s="93"/>
      <c r="FI26" s="93"/>
      <c r="FJ26" s="93"/>
      <c r="FK26" s="93"/>
      <c r="FL26" s="93"/>
      <c r="FM26" s="93"/>
      <c r="FN26" s="93"/>
      <c r="FO26" s="93"/>
      <c r="FP26" s="93"/>
      <c r="FQ26" s="93"/>
      <c r="FR26" s="93"/>
      <c r="FS26" s="93"/>
      <c r="FT26" s="93"/>
      <c r="FU26" s="93"/>
      <c r="FV26" s="93"/>
      <c r="FW26" s="93"/>
      <c r="FX26" s="93"/>
      <c r="FY26" s="93"/>
      <c r="FZ26" s="93"/>
      <c r="GA26" s="93"/>
      <c r="GB26" s="93"/>
      <c r="GC26" s="93"/>
      <c r="GD26" s="93"/>
      <c r="GE26" s="93"/>
      <c r="GF26" s="93"/>
      <c r="GG26" s="93"/>
      <c r="GH26" s="93"/>
      <c r="GI26" s="93"/>
      <c r="GJ26" s="93"/>
      <c r="GK26" s="93"/>
      <c r="GL26" s="93"/>
      <c r="GM26" s="93"/>
      <c r="GN26" s="93"/>
      <c r="GO26" s="93"/>
      <c r="GP26" s="93"/>
      <c r="GQ26" s="93"/>
      <c r="GR26" s="93"/>
      <c r="GS26" s="93"/>
      <c r="GT26" s="93"/>
    </row>
    <row r="27" spans="1:202" ht="16.5" hidden="1" customHeight="1">
      <c r="A27" s="96" t="s">
        <v>240</v>
      </c>
      <c r="B27" s="92"/>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c r="EI27" s="93"/>
      <c r="EJ27" s="93"/>
      <c r="EK27" s="93"/>
      <c r="EL27" s="93"/>
      <c r="EM27" s="93"/>
      <c r="EN27" s="93"/>
      <c r="EO27" s="93"/>
      <c r="EP27" s="93"/>
      <c r="EQ27" s="93"/>
      <c r="ER27" s="93"/>
      <c r="ES27" s="93"/>
      <c r="ET27" s="93"/>
      <c r="EU27" s="93"/>
      <c r="EV27" s="93"/>
      <c r="EW27" s="93"/>
      <c r="EX27" s="93"/>
      <c r="EY27" s="93"/>
      <c r="EZ27" s="93"/>
      <c r="FA27" s="93"/>
      <c r="FB27" s="93"/>
      <c r="FC27" s="93"/>
      <c r="FD27" s="93"/>
      <c r="FE27" s="93"/>
      <c r="FF27" s="93"/>
      <c r="FG27" s="93"/>
      <c r="FH27" s="93"/>
      <c r="FI27" s="93"/>
      <c r="FJ27" s="93"/>
      <c r="FK27" s="93"/>
      <c r="FL27" s="93"/>
      <c r="FM27" s="93"/>
      <c r="FN27" s="93"/>
      <c r="FO27" s="93"/>
      <c r="FP27" s="93"/>
      <c r="FQ27" s="93"/>
      <c r="FR27" s="93"/>
      <c r="FS27" s="93"/>
      <c r="FT27" s="93"/>
      <c r="FU27" s="93"/>
      <c r="FV27" s="93"/>
      <c r="FW27" s="93"/>
      <c r="FX27" s="93"/>
      <c r="FY27" s="93"/>
      <c r="FZ27" s="93"/>
      <c r="GA27" s="93"/>
      <c r="GB27" s="93"/>
      <c r="GC27" s="93"/>
      <c r="GD27" s="93"/>
      <c r="GE27" s="93"/>
      <c r="GF27" s="93"/>
      <c r="GG27" s="93"/>
      <c r="GH27" s="93"/>
      <c r="GI27" s="93"/>
      <c r="GJ27" s="93"/>
      <c r="GK27" s="93"/>
      <c r="GL27" s="93"/>
      <c r="GM27" s="93"/>
      <c r="GN27" s="93"/>
      <c r="GO27" s="93"/>
      <c r="GP27" s="93"/>
      <c r="GQ27" s="93"/>
      <c r="GR27" s="93"/>
      <c r="GS27" s="93"/>
      <c r="GT27" s="93"/>
    </row>
    <row r="28" spans="1:202" ht="16.5" hidden="1" customHeight="1">
      <c r="A28" s="96" t="s">
        <v>11</v>
      </c>
      <c r="B28" s="92"/>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c r="DM28" s="93"/>
      <c r="DN28" s="93"/>
      <c r="DO28" s="93"/>
      <c r="DP28" s="93"/>
      <c r="DQ28" s="93"/>
      <c r="DR28" s="93"/>
      <c r="DS28" s="93"/>
      <c r="DT28" s="93"/>
      <c r="DU28" s="93"/>
      <c r="DV28" s="93"/>
      <c r="DW28" s="93"/>
      <c r="DX28" s="93"/>
      <c r="DY28" s="93"/>
      <c r="DZ28" s="93"/>
      <c r="EA28" s="93"/>
      <c r="EB28" s="93"/>
      <c r="EC28" s="93"/>
      <c r="ED28" s="93"/>
      <c r="EE28" s="93"/>
      <c r="EF28" s="93"/>
      <c r="EG28" s="93"/>
      <c r="EH28" s="93"/>
      <c r="EI28" s="93"/>
      <c r="EJ28" s="93"/>
      <c r="EK28" s="93"/>
      <c r="EL28" s="93"/>
      <c r="EM28" s="93"/>
      <c r="EN28" s="93"/>
      <c r="EO28" s="93"/>
      <c r="EP28" s="93"/>
      <c r="EQ28" s="93"/>
      <c r="ER28" s="93"/>
      <c r="ES28" s="93"/>
      <c r="ET28" s="93"/>
      <c r="EU28" s="93"/>
      <c r="EV28" s="93"/>
      <c r="EW28" s="93"/>
      <c r="EX28" s="93"/>
      <c r="EY28" s="93"/>
      <c r="EZ28" s="93"/>
      <c r="FA28" s="93"/>
      <c r="FB28" s="93"/>
      <c r="FC28" s="93"/>
      <c r="FD28" s="93"/>
      <c r="FE28" s="93"/>
      <c r="FF28" s="93"/>
      <c r="FG28" s="93"/>
      <c r="FH28" s="93"/>
      <c r="FI28" s="93"/>
      <c r="FJ28" s="93"/>
      <c r="FK28" s="93"/>
      <c r="FL28" s="93"/>
      <c r="FM28" s="93"/>
      <c r="FN28" s="93"/>
      <c r="FO28" s="93"/>
      <c r="FP28" s="93"/>
      <c r="FQ28" s="93"/>
      <c r="FR28" s="93"/>
      <c r="FS28" s="93"/>
      <c r="FT28" s="93"/>
      <c r="FU28" s="93"/>
      <c r="FV28" s="93"/>
      <c r="FW28" s="93"/>
      <c r="FX28" s="93"/>
      <c r="FY28" s="93"/>
      <c r="FZ28" s="93"/>
      <c r="GA28" s="93"/>
      <c r="GB28" s="93"/>
      <c r="GC28" s="93"/>
      <c r="GD28" s="93"/>
      <c r="GE28" s="93"/>
      <c r="GF28" s="93"/>
      <c r="GG28" s="93"/>
      <c r="GH28" s="93"/>
      <c r="GI28" s="93"/>
      <c r="GJ28" s="93"/>
      <c r="GK28" s="93"/>
      <c r="GL28" s="93"/>
      <c r="GM28" s="93"/>
      <c r="GN28" s="93"/>
      <c r="GO28" s="93"/>
      <c r="GP28" s="93"/>
      <c r="GQ28" s="93"/>
      <c r="GR28" s="93"/>
      <c r="GS28" s="93"/>
      <c r="GT28" s="93"/>
    </row>
    <row r="29" spans="1:202" ht="16.5" hidden="1" customHeight="1">
      <c r="A29" s="96" t="s">
        <v>23</v>
      </c>
      <c r="B29" s="92"/>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c r="DM29" s="93"/>
      <c r="DN29" s="93"/>
      <c r="DO29" s="93"/>
      <c r="DP29" s="93"/>
      <c r="DQ29" s="93"/>
      <c r="DR29" s="93"/>
      <c r="DS29" s="93"/>
      <c r="DT29" s="93"/>
      <c r="DU29" s="93"/>
      <c r="DV29" s="93"/>
      <c r="DW29" s="93"/>
      <c r="DX29" s="93"/>
      <c r="DY29" s="93"/>
      <c r="DZ29" s="93"/>
      <c r="EA29" s="93"/>
      <c r="EB29" s="93"/>
      <c r="EC29" s="93"/>
      <c r="ED29" s="93"/>
      <c r="EE29" s="93"/>
      <c r="EF29" s="93"/>
      <c r="EG29" s="93"/>
      <c r="EH29" s="93"/>
      <c r="EI29" s="93"/>
      <c r="EJ29" s="93"/>
      <c r="EK29" s="93"/>
      <c r="EL29" s="93"/>
      <c r="EM29" s="93"/>
      <c r="EN29" s="93"/>
      <c r="EO29" s="93"/>
      <c r="EP29" s="93"/>
      <c r="EQ29" s="93"/>
      <c r="ER29" s="93"/>
      <c r="ES29" s="93"/>
      <c r="ET29" s="93"/>
      <c r="EU29" s="93"/>
      <c r="EV29" s="93"/>
      <c r="EW29" s="93"/>
      <c r="EX29" s="93"/>
      <c r="EY29" s="93"/>
      <c r="EZ29" s="93"/>
      <c r="FA29" s="93"/>
      <c r="FB29" s="93"/>
      <c r="FC29" s="93"/>
      <c r="FD29" s="93"/>
      <c r="FE29" s="93"/>
      <c r="FF29" s="93"/>
      <c r="FG29" s="93"/>
      <c r="FH29" s="93"/>
      <c r="FI29" s="93"/>
      <c r="FJ29" s="93"/>
      <c r="FK29" s="93"/>
      <c r="FL29" s="93"/>
      <c r="FM29" s="93"/>
      <c r="FN29" s="93"/>
      <c r="FO29" s="93"/>
      <c r="FP29" s="93"/>
      <c r="FQ29" s="93"/>
      <c r="FR29" s="93"/>
      <c r="FS29" s="93"/>
      <c r="FT29" s="93"/>
      <c r="FU29" s="93"/>
      <c r="FV29" s="93"/>
      <c r="FW29" s="93"/>
      <c r="FX29" s="93"/>
      <c r="FY29" s="93"/>
      <c r="FZ29" s="93"/>
      <c r="GA29" s="93"/>
      <c r="GB29" s="93"/>
      <c r="GC29" s="93"/>
      <c r="GD29" s="93"/>
      <c r="GE29" s="93"/>
      <c r="GF29" s="93"/>
      <c r="GG29" s="93"/>
      <c r="GH29" s="93"/>
      <c r="GI29" s="93"/>
      <c r="GJ29" s="93"/>
      <c r="GK29" s="93"/>
      <c r="GL29" s="93"/>
      <c r="GM29" s="93"/>
      <c r="GN29" s="93"/>
      <c r="GO29" s="93"/>
      <c r="GP29" s="93"/>
      <c r="GQ29" s="93"/>
      <c r="GR29" s="93"/>
      <c r="GS29" s="93"/>
      <c r="GT29" s="93"/>
    </row>
    <row r="30" spans="1:202" ht="16.5" hidden="1" customHeight="1">
      <c r="A30" s="96" t="s">
        <v>240</v>
      </c>
      <c r="B30" s="92"/>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93"/>
      <c r="EG30" s="93"/>
      <c r="EH30" s="93"/>
      <c r="EI30" s="93"/>
      <c r="EJ30" s="93"/>
      <c r="EK30" s="93"/>
      <c r="EL30" s="93"/>
      <c r="EM30" s="93"/>
      <c r="EN30" s="93"/>
      <c r="EO30" s="93"/>
      <c r="EP30" s="93"/>
      <c r="EQ30" s="93"/>
      <c r="ER30" s="93"/>
      <c r="ES30" s="93"/>
      <c r="ET30" s="93"/>
      <c r="EU30" s="93"/>
      <c r="EV30" s="93"/>
      <c r="EW30" s="93"/>
      <c r="EX30" s="93"/>
      <c r="EY30" s="93"/>
      <c r="EZ30" s="93"/>
      <c r="FA30" s="93"/>
      <c r="FB30" s="93"/>
      <c r="FC30" s="93"/>
      <c r="FD30" s="93"/>
      <c r="FE30" s="93"/>
      <c r="FF30" s="93"/>
      <c r="FG30" s="93"/>
      <c r="FH30" s="93"/>
      <c r="FI30" s="93"/>
      <c r="FJ30" s="93"/>
      <c r="FK30" s="93"/>
      <c r="FL30" s="93"/>
      <c r="FM30" s="93"/>
      <c r="FN30" s="93"/>
      <c r="FO30" s="93"/>
      <c r="FP30" s="93"/>
      <c r="FQ30" s="93"/>
      <c r="FR30" s="93"/>
      <c r="FS30" s="93"/>
      <c r="FT30" s="93"/>
      <c r="FU30" s="93"/>
      <c r="FV30" s="93"/>
      <c r="FW30" s="93"/>
      <c r="FX30" s="93"/>
      <c r="FY30" s="93"/>
      <c r="FZ30" s="93"/>
      <c r="GA30" s="93"/>
      <c r="GB30" s="93"/>
      <c r="GC30" s="93"/>
      <c r="GD30" s="93"/>
      <c r="GE30" s="93"/>
      <c r="GF30" s="93"/>
      <c r="GG30" s="93"/>
      <c r="GH30" s="93"/>
      <c r="GI30" s="93"/>
      <c r="GJ30" s="93"/>
      <c r="GK30" s="93"/>
      <c r="GL30" s="93"/>
      <c r="GM30" s="93"/>
      <c r="GN30" s="93"/>
      <c r="GO30" s="93"/>
      <c r="GP30" s="93"/>
      <c r="GQ30" s="93"/>
      <c r="GR30" s="93"/>
      <c r="GS30" s="93"/>
      <c r="GT30" s="93"/>
    </row>
    <row r="31" spans="1:202" ht="16.5" hidden="1" customHeight="1">
      <c r="A31" s="96" t="s">
        <v>11</v>
      </c>
      <c r="B31" s="92"/>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93"/>
      <c r="EG31" s="93"/>
      <c r="EH31" s="93"/>
      <c r="EI31" s="93"/>
      <c r="EJ31" s="93"/>
      <c r="EK31" s="93"/>
      <c r="EL31" s="93"/>
      <c r="EM31" s="93"/>
      <c r="EN31" s="93"/>
      <c r="EO31" s="93"/>
      <c r="EP31" s="93"/>
      <c r="EQ31" s="93"/>
      <c r="ER31" s="93"/>
      <c r="ES31" s="93"/>
      <c r="ET31" s="93"/>
      <c r="EU31" s="93"/>
      <c r="EV31" s="93"/>
      <c r="EW31" s="93"/>
      <c r="EX31" s="93"/>
      <c r="EY31" s="93"/>
      <c r="EZ31" s="93"/>
      <c r="FA31" s="93"/>
      <c r="FB31" s="93"/>
      <c r="FC31" s="93"/>
      <c r="FD31" s="93"/>
      <c r="FE31" s="93"/>
      <c r="FF31" s="93"/>
      <c r="FG31" s="93"/>
      <c r="FH31" s="93"/>
      <c r="FI31" s="93"/>
      <c r="FJ31" s="93"/>
      <c r="FK31" s="93"/>
      <c r="FL31" s="93"/>
      <c r="FM31" s="93"/>
      <c r="FN31" s="93"/>
      <c r="FO31" s="93"/>
      <c r="FP31" s="93"/>
      <c r="FQ31" s="93"/>
      <c r="FR31" s="93"/>
      <c r="FS31" s="93"/>
      <c r="FT31" s="93"/>
      <c r="FU31" s="93"/>
      <c r="FV31" s="93"/>
      <c r="FW31" s="93"/>
      <c r="FX31" s="93"/>
      <c r="FY31" s="93"/>
      <c r="FZ31" s="93"/>
      <c r="GA31" s="93"/>
      <c r="GB31" s="93"/>
      <c r="GC31" s="93"/>
      <c r="GD31" s="93"/>
      <c r="GE31" s="93"/>
      <c r="GF31" s="93"/>
      <c r="GG31" s="93"/>
      <c r="GH31" s="93"/>
      <c r="GI31" s="93"/>
      <c r="GJ31" s="93"/>
      <c r="GK31" s="93"/>
      <c r="GL31" s="93"/>
      <c r="GM31" s="93"/>
      <c r="GN31" s="93"/>
      <c r="GO31" s="93"/>
      <c r="GP31" s="93"/>
      <c r="GQ31" s="93"/>
      <c r="GR31" s="93"/>
      <c r="GS31" s="93"/>
      <c r="GT31" s="93"/>
    </row>
    <row r="32" spans="1:202" ht="16.5" hidden="1" customHeight="1">
      <c r="A32" s="96" t="s">
        <v>23</v>
      </c>
      <c r="B32" s="92"/>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c r="DM32" s="93"/>
      <c r="DN32" s="93"/>
      <c r="DO32" s="93"/>
      <c r="DP32" s="93"/>
      <c r="DQ32" s="93"/>
      <c r="DR32" s="93"/>
      <c r="DS32" s="93"/>
      <c r="DT32" s="93"/>
      <c r="DU32" s="93"/>
      <c r="DV32" s="93"/>
      <c r="DW32" s="93"/>
      <c r="DX32" s="93"/>
      <c r="DY32" s="93"/>
      <c r="DZ32" s="93"/>
      <c r="EA32" s="93"/>
      <c r="EB32" s="93"/>
      <c r="EC32" s="93"/>
      <c r="ED32" s="93"/>
      <c r="EE32" s="93"/>
      <c r="EF32" s="93"/>
      <c r="EG32" s="93"/>
      <c r="EH32" s="93"/>
      <c r="EI32" s="93"/>
      <c r="EJ32" s="93"/>
      <c r="EK32" s="93"/>
      <c r="EL32" s="93"/>
      <c r="EM32" s="93"/>
      <c r="EN32" s="93"/>
      <c r="EO32" s="93"/>
      <c r="EP32" s="93"/>
      <c r="EQ32" s="93"/>
      <c r="ER32" s="93"/>
      <c r="ES32" s="93"/>
      <c r="ET32" s="93"/>
      <c r="EU32" s="93"/>
      <c r="EV32" s="93"/>
      <c r="EW32" s="93"/>
      <c r="EX32" s="93"/>
      <c r="EY32" s="93"/>
      <c r="EZ32" s="93"/>
      <c r="FA32" s="93"/>
      <c r="FB32" s="93"/>
      <c r="FC32" s="93"/>
      <c r="FD32" s="93"/>
      <c r="FE32" s="93"/>
      <c r="FF32" s="93"/>
      <c r="FG32" s="93"/>
      <c r="FH32" s="93"/>
      <c r="FI32" s="93"/>
      <c r="FJ32" s="93"/>
      <c r="FK32" s="93"/>
      <c r="FL32" s="93"/>
      <c r="FM32" s="93"/>
      <c r="FN32" s="93"/>
      <c r="FO32" s="93"/>
      <c r="FP32" s="93"/>
      <c r="FQ32" s="93"/>
      <c r="FR32" s="93"/>
      <c r="FS32" s="93"/>
      <c r="FT32" s="93"/>
      <c r="FU32" s="93"/>
      <c r="FV32" s="93"/>
      <c r="FW32" s="93"/>
      <c r="FX32" s="93"/>
      <c r="FY32" s="93"/>
      <c r="FZ32" s="93"/>
      <c r="GA32" s="93"/>
      <c r="GB32" s="93"/>
      <c r="GC32" s="93"/>
      <c r="GD32" s="93"/>
      <c r="GE32" s="93"/>
      <c r="GF32" s="93"/>
      <c r="GG32" s="93"/>
      <c r="GH32" s="93"/>
      <c r="GI32" s="93"/>
      <c r="GJ32" s="93"/>
      <c r="GK32" s="93"/>
      <c r="GL32" s="93"/>
      <c r="GM32" s="93"/>
      <c r="GN32" s="93"/>
      <c r="GO32" s="93"/>
      <c r="GP32" s="93"/>
      <c r="GQ32" s="93"/>
      <c r="GR32" s="93"/>
      <c r="GS32" s="93"/>
      <c r="GT32" s="93"/>
    </row>
    <row r="33" spans="1:204" ht="16.5" hidden="1" customHeight="1">
      <c r="A33" s="96" t="s">
        <v>240</v>
      </c>
      <c r="B33" s="92"/>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93"/>
      <c r="DM33" s="93"/>
      <c r="DN33" s="93"/>
      <c r="DO33" s="93"/>
      <c r="DP33" s="93"/>
      <c r="DQ33" s="93"/>
      <c r="DR33" s="93"/>
      <c r="DS33" s="93"/>
      <c r="DT33" s="93"/>
      <c r="DU33" s="93"/>
      <c r="DV33" s="93"/>
      <c r="DW33" s="93"/>
      <c r="DX33" s="93"/>
      <c r="DY33" s="93"/>
      <c r="DZ33" s="93"/>
      <c r="EA33" s="93"/>
      <c r="EB33" s="93"/>
      <c r="EC33" s="93"/>
      <c r="ED33" s="93"/>
      <c r="EE33" s="93"/>
      <c r="EF33" s="93"/>
      <c r="EG33" s="93"/>
      <c r="EH33" s="93"/>
      <c r="EI33" s="93"/>
      <c r="EJ33" s="93"/>
      <c r="EK33" s="93"/>
      <c r="EL33" s="93"/>
      <c r="EM33" s="93"/>
      <c r="EN33" s="93"/>
      <c r="EO33" s="93"/>
      <c r="EP33" s="93"/>
      <c r="EQ33" s="93"/>
      <c r="ER33" s="93"/>
      <c r="ES33" s="93"/>
      <c r="ET33" s="93"/>
      <c r="EU33" s="93"/>
      <c r="EV33" s="93"/>
      <c r="EW33" s="93"/>
      <c r="EX33" s="93"/>
      <c r="EY33" s="93"/>
      <c r="EZ33" s="93"/>
      <c r="FA33" s="93"/>
      <c r="FB33" s="93"/>
      <c r="FC33" s="93"/>
      <c r="FD33" s="93"/>
      <c r="FE33" s="93"/>
      <c r="FF33" s="93"/>
      <c r="FG33" s="93"/>
      <c r="FH33" s="93"/>
      <c r="FI33" s="93"/>
      <c r="FJ33" s="93"/>
      <c r="FK33" s="93"/>
      <c r="FL33" s="93"/>
      <c r="FM33" s="93"/>
      <c r="FN33" s="93"/>
      <c r="FO33" s="93"/>
      <c r="FP33" s="93"/>
      <c r="FQ33" s="93"/>
      <c r="FR33" s="93"/>
      <c r="FS33" s="93"/>
      <c r="FT33" s="93"/>
      <c r="FU33" s="93"/>
      <c r="FV33" s="93"/>
      <c r="FW33" s="93"/>
      <c r="FX33" s="93"/>
      <c r="FY33" s="93"/>
      <c r="FZ33" s="93"/>
      <c r="GA33" s="93"/>
      <c r="GB33" s="93"/>
      <c r="GC33" s="93"/>
      <c r="GD33" s="93"/>
      <c r="GE33" s="93"/>
      <c r="GF33" s="93"/>
      <c r="GG33" s="93"/>
      <c r="GH33" s="93"/>
      <c r="GI33" s="93"/>
      <c r="GJ33" s="93"/>
      <c r="GK33" s="93"/>
      <c r="GL33" s="93"/>
      <c r="GM33" s="93"/>
      <c r="GN33" s="93"/>
      <c r="GO33" s="93"/>
      <c r="GP33" s="93"/>
      <c r="GQ33" s="93"/>
      <c r="GR33" s="93"/>
      <c r="GS33" s="93"/>
      <c r="GT33" s="93"/>
    </row>
    <row r="34" spans="1:204" s="28" customFormat="1" ht="21" hidden="1">
      <c r="A34" s="41" t="s">
        <v>36</v>
      </c>
      <c r="B34" s="44"/>
      <c r="C34" s="45">
        <f>-SUM(C35:C42)</f>
        <v>0</v>
      </c>
      <c r="D34" s="45">
        <f t="shared" ref="D34:AH34" si="34">-SUM(D35:D42)</f>
        <v>0</v>
      </c>
      <c r="E34" s="45">
        <f t="shared" si="34"/>
        <v>0</v>
      </c>
      <c r="F34" s="45">
        <f>-SUM(F35:F42)</f>
        <v>0</v>
      </c>
      <c r="G34" s="45">
        <f t="shared" si="34"/>
        <v>0</v>
      </c>
      <c r="H34" s="45">
        <f>-SUM(H35:H42)</f>
        <v>0</v>
      </c>
      <c r="I34" s="45">
        <f t="shared" si="34"/>
        <v>0</v>
      </c>
      <c r="J34" s="45">
        <f t="shared" si="34"/>
        <v>0</v>
      </c>
      <c r="K34" s="45">
        <f>-SUM(K35:K42)</f>
        <v>0</v>
      </c>
      <c r="L34" s="45">
        <f t="shared" si="34"/>
        <v>0</v>
      </c>
      <c r="M34" s="45">
        <f t="shared" si="34"/>
        <v>0</v>
      </c>
      <c r="N34" s="45">
        <f t="shared" si="34"/>
        <v>0</v>
      </c>
      <c r="O34" s="45">
        <f t="shared" si="34"/>
        <v>0</v>
      </c>
      <c r="P34" s="45">
        <f t="shared" si="34"/>
        <v>0</v>
      </c>
      <c r="Q34" s="45">
        <f t="shared" si="34"/>
        <v>0</v>
      </c>
      <c r="R34" s="45">
        <f t="shared" si="34"/>
        <v>0</v>
      </c>
      <c r="S34" s="45">
        <f t="shared" si="34"/>
        <v>0</v>
      </c>
      <c r="T34" s="45">
        <f t="shared" si="34"/>
        <v>0</v>
      </c>
      <c r="U34" s="45">
        <f t="shared" si="34"/>
        <v>0</v>
      </c>
      <c r="V34" s="45">
        <f t="shared" si="34"/>
        <v>0</v>
      </c>
      <c r="W34" s="45">
        <f t="shared" si="34"/>
        <v>0</v>
      </c>
      <c r="X34" s="45">
        <f t="shared" si="34"/>
        <v>0</v>
      </c>
      <c r="Y34" s="45">
        <f t="shared" si="34"/>
        <v>0</v>
      </c>
      <c r="Z34" s="45">
        <f t="shared" si="34"/>
        <v>0</v>
      </c>
      <c r="AA34" s="45">
        <f t="shared" si="34"/>
        <v>0</v>
      </c>
      <c r="AB34" s="45">
        <f t="shared" si="34"/>
        <v>0</v>
      </c>
      <c r="AC34" s="45">
        <f t="shared" si="34"/>
        <v>0</v>
      </c>
      <c r="AD34" s="45">
        <f t="shared" si="34"/>
        <v>0</v>
      </c>
      <c r="AE34" s="45">
        <f t="shared" si="34"/>
        <v>0</v>
      </c>
      <c r="AF34" s="45">
        <f t="shared" si="34"/>
        <v>0</v>
      </c>
      <c r="AG34" s="45">
        <f t="shared" si="34"/>
        <v>0</v>
      </c>
      <c r="AH34" s="45">
        <f t="shared" si="34"/>
        <v>0</v>
      </c>
      <c r="AI34" s="45">
        <f t="shared" ref="AI34:BN34" si="35">-SUM(AI35:AI42)</f>
        <v>0</v>
      </c>
      <c r="AJ34" s="45">
        <f t="shared" si="35"/>
        <v>0</v>
      </c>
      <c r="AK34" s="45">
        <f t="shared" si="35"/>
        <v>0</v>
      </c>
      <c r="AL34" s="45">
        <f t="shared" si="35"/>
        <v>0</v>
      </c>
      <c r="AM34" s="45">
        <f t="shared" si="35"/>
        <v>0</v>
      </c>
      <c r="AN34" s="45">
        <f t="shared" si="35"/>
        <v>0</v>
      </c>
      <c r="AO34" s="45">
        <f t="shared" si="35"/>
        <v>0</v>
      </c>
      <c r="AP34" s="45">
        <f t="shared" si="35"/>
        <v>0</v>
      </c>
      <c r="AQ34" s="45">
        <f t="shared" si="35"/>
        <v>0</v>
      </c>
      <c r="AR34" s="45">
        <f t="shared" si="35"/>
        <v>0</v>
      </c>
      <c r="AS34" s="45">
        <f t="shared" si="35"/>
        <v>0</v>
      </c>
      <c r="AT34" s="45">
        <f t="shared" si="35"/>
        <v>0</v>
      </c>
      <c r="AU34" s="45">
        <f t="shared" si="35"/>
        <v>0</v>
      </c>
      <c r="AV34" s="45">
        <f t="shared" si="35"/>
        <v>0</v>
      </c>
      <c r="AW34" s="45">
        <f t="shared" si="35"/>
        <v>0</v>
      </c>
      <c r="AX34" s="45">
        <f t="shared" si="35"/>
        <v>0</v>
      </c>
      <c r="AY34" s="45">
        <f t="shared" si="35"/>
        <v>0</v>
      </c>
      <c r="AZ34" s="45">
        <f t="shared" si="35"/>
        <v>0</v>
      </c>
      <c r="BA34" s="45">
        <f t="shared" si="35"/>
        <v>0</v>
      </c>
      <c r="BB34" s="45">
        <f t="shared" si="35"/>
        <v>0</v>
      </c>
      <c r="BC34" s="45">
        <f t="shared" si="35"/>
        <v>0</v>
      </c>
      <c r="BD34" s="45">
        <f t="shared" si="35"/>
        <v>0</v>
      </c>
      <c r="BE34" s="45">
        <f t="shared" si="35"/>
        <v>0</v>
      </c>
      <c r="BF34" s="45">
        <f t="shared" si="35"/>
        <v>0</v>
      </c>
      <c r="BG34" s="45">
        <f t="shared" si="35"/>
        <v>0</v>
      </c>
      <c r="BH34" s="45">
        <f t="shared" si="35"/>
        <v>0</v>
      </c>
      <c r="BI34" s="45">
        <f t="shared" si="35"/>
        <v>0</v>
      </c>
      <c r="BJ34" s="45">
        <f t="shared" si="35"/>
        <v>0</v>
      </c>
      <c r="BK34" s="45">
        <f t="shared" si="35"/>
        <v>0</v>
      </c>
      <c r="BL34" s="45">
        <f t="shared" si="35"/>
        <v>0</v>
      </c>
      <c r="BM34" s="45">
        <f t="shared" si="35"/>
        <v>0</v>
      </c>
      <c r="BN34" s="45">
        <f t="shared" si="35"/>
        <v>0</v>
      </c>
      <c r="BO34" s="45">
        <f t="shared" ref="BO34:CT34" si="36">-SUM(BO35:BO42)</f>
        <v>0</v>
      </c>
      <c r="BP34" s="45">
        <f t="shared" si="36"/>
        <v>0</v>
      </c>
      <c r="BQ34" s="45">
        <f t="shared" si="36"/>
        <v>0</v>
      </c>
      <c r="BR34" s="45">
        <f t="shared" si="36"/>
        <v>0</v>
      </c>
      <c r="BS34" s="45">
        <f t="shared" si="36"/>
        <v>0</v>
      </c>
      <c r="BT34" s="45">
        <f t="shared" si="36"/>
        <v>0</v>
      </c>
      <c r="BU34" s="45">
        <f t="shared" si="36"/>
        <v>0</v>
      </c>
      <c r="BV34" s="45">
        <f t="shared" si="36"/>
        <v>0</v>
      </c>
      <c r="BW34" s="45">
        <f t="shared" si="36"/>
        <v>0</v>
      </c>
      <c r="BX34" s="45">
        <f t="shared" si="36"/>
        <v>0</v>
      </c>
      <c r="BY34" s="45">
        <f t="shared" si="36"/>
        <v>0</v>
      </c>
      <c r="BZ34" s="45">
        <f t="shared" si="36"/>
        <v>0</v>
      </c>
      <c r="CA34" s="45">
        <f t="shared" si="36"/>
        <v>0</v>
      </c>
      <c r="CB34" s="45">
        <f t="shared" si="36"/>
        <v>0</v>
      </c>
      <c r="CC34" s="45">
        <f t="shared" si="36"/>
        <v>0</v>
      </c>
      <c r="CD34" s="45">
        <f t="shared" si="36"/>
        <v>0</v>
      </c>
      <c r="CE34" s="45">
        <f t="shared" si="36"/>
        <v>0</v>
      </c>
      <c r="CF34" s="45">
        <f t="shared" si="36"/>
        <v>0</v>
      </c>
      <c r="CG34" s="45">
        <f t="shared" si="36"/>
        <v>0</v>
      </c>
      <c r="CH34" s="45">
        <f t="shared" si="36"/>
        <v>0</v>
      </c>
      <c r="CI34" s="45">
        <f t="shared" si="36"/>
        <v>0</v>
      </c>
      <c r="CJ34" s="45">
        <f t="shared" si="36"/>
        <v>0</v>
      </c>
      <c r="CK34" s="45">
        <f t="shared" si="36"/>
        <v>0</v>
      </c>
      <c r="CL34" s="45">
        <f t="shared" si="36"/>
        <v>0</v>
      </c>
      <c r="CM34" s="45">
        <f t="shared" si="36"/>
        <v>0</v>
      </c>
      <c r="CN34" s="45">
        <f t="shared" si="36"/>
        <v>0</v>
      </c>
      <c r="CO34" s="45">
        <f t="shared" si="36"/>
        <v>0</v>
      </c>
      <c r="CP34" s="45">
        <f t="shared" si="36"/>
        <v>0</v>
      </c>
      <c r="CQ34" s="45">
        <f t="shared" si="36"/>
        <v>0</v>
      </c>
      <c r="CR34" s="45">
        <f t="shared" si="36"/>
        <v>0</v>
      </c>
      <c r="CS34" s="45">
        <f t="shared" si="36"/>
        <v>0</v>
      </c>
      <c r="CT34" s="45">
        <f t="shared" si="36"/>
        <v>0</v>
      </c>
      <c r="CU34" s="45">
        <f t="shared" ref="CU34:DZ34" si="37">-SUM(CU35:CU42)</f>
        <v>0</v>
      </c>
      <c r="CV34" s="45">
        <f t="shared" si="37"/>
        <v>0</v>
      </c>
      <c r="CW34" s="45">
        <f t="shared" si="37"/>
        <v>0</v>
      </c>
      <c r="CX34" s="45">
        <f t="shared" si="37"/>
        <v>0</v>
      </c>
      <c r="CY34" s="45">
        <f t="shared" si="37"/>
        <v>0</v>
      </c>
      <c r="CZ34" s="45">
        <f t="shared" si="37"/>
        <v>0</v>
      </c>
      <c r="DA34" s="45">
        <f t="shared" si="37"/>
        <v>0</v>
      </c>
      <c r="DB34" s="45">
        <f t="shared" si="37"/>
        <v>0</v>
      </c>
      <c r="DC34" s="45">
        <f t="shared" si="37"/>
        <v>0</v>
      </c>
      <c r="DD34" s="45">
        <f t="shared" si="37"/>
        <v>0</v>
      </c>
      <c r="DE34" s="45">
        <f t="shared" si="37"/>
        <v>0</v>
      </c>
      <c r="DF34" s="45">
        <f t="shared" si="37"/>
        <v>0</v>
      </c>
      <c r="DG34" s="45">
        <f t="shared" si="37"/>
        <v>0</v>
      </c>
      <c r="DH34" s="45">
        <f t="shared" si="37"/>
        <v>0</v>
      </c>
      <c r="DI34" s="45">
        <f t="shared" si="37"/>
        <v>0</v>
      </c>
      <c r="DJ34" s="45">
        <f t="shared" si="37"/>
        <v>0</v>
      </c>
      <c r="DK34" s="45">
        <f t="shared" si="37"/>
        <v>0</v>
      </c>
      <c r="DL34" s="45">
        <f t="shared" si="37"/>
        <v>0</v>
      </c>
      <c r="DM34" s="45">
        <f t="shared" si="37"/>
        <v>0</v>
      </c>
      <c r="DN34" s="45">
        <f t="shared" si="37"/>
        <v>0</v>
      </c>
      <c r="DO34" s="45">
        <f t="shared" si="37"/>
        <v>0</v>
      </c>
      <c r="DP34" s="45">
        <f t="shared" si="37"/>
        <v>0</v>
      </c>
      <c r="DQ34" s="45">
        <f t="shared" si="37"/>
        <v>0</v>
      </c>
      <c r="DR34" s="45">
        <f t="shared" si="37"/>
        <v>0</v>
      </c>
      <c r="DS34" s="45">
        <f t="shared" si="37"/>
        <v>0</v>
      </c>
      <c r="DT34" s="45">
        <f t="shared" si="37"/>
        <v>0</v>
      </c>
      <c r="DU34" s="45">
        <f t="shared" si="37"/>
        <v>0</v>
      </c>
      <c r="DV34" s="45">
        <f t="shared" si="37"/>
        <v>0</v>
      </c>
      <c r="DW34" s="45">
        <f t="shared" si="37"/>
        <v>0</v>
      </c>
      <c r="DX34" s="45">
        <f t="shared" si="37"/>
        <v>0</v>
      </c>
      <c r="DY34" s="45">
        <f t="shared" si="37"/>
        <v>0</v>
      </c>
      <c r="DZ34" s="45">
        <f t="shared" si="37"/>
        <v>0</v>
      </c>
      <c r="EA34" s="45">
        <f t="shared" ref="EA34:FF34" si="38">-SUM(EA35:EA42)</f>
        <v>0</v>
      </c>
      <c r="EB34" s="45">
        <f t="shared" si="38"/>
        <v>0</v>
      </c>
      <c r="EC34" s="45">
        <f t="shared" si="38"/>
        <v>0</v>
      </c>
      <c r="ED34" s="45">
        <f t="shared" si="38"/>
        <v>0</v>
      </c>
      <c r="EE34" s="45">
        <f t="shared" si="38"/>
        <v>0</v>
      </c>
      <c r="EF34" s="45">
        <f t="shared" si="38"/>
        <v>0</v>
      </c>
      <c r="EG34" s="45">
        <f t="shared" si="38"/>
        <v>0</v>
      </c>
      <c r="EH34" s="45">
        <f t="shared" si="38"/>
        <v>0</v>
      </c>
      <c r="EI34" s="45">
        <f t="shared" si="38"/>
        <v>0</v>
      </c>
      <c r="EJ34" s="45">
        <f t="shared" si="38"/>
        <v>0</v>
      </c>
      <c r="EK34" s="45">
        <f t="shared" si="38"/>
        <v>0</v>
      </c>
      <c r="EL34" s="45">
        <f t="shared" si="38"/>
        <v>0</v>
      </c>
      <c r="EM34" s="45">
        <f t="shared" si="38"/>
        <v>0</v>
      </c>
      <c r="EN34" s="45">
        <f t="shared" si="38"/>
        <v>0</v>
      </c>
      <c r="EO34" s="45">
        <f t="shared" si="38"/>
        <v>0</v>
      </c>
      <c r="EP34" s="45">
        <f t="shared" si="38"/>
        <v>0</v>
      </c>
      <c r="EQ34" s="45">
        <f t="shared" si="38"/>
        <v>0</v>
      </c>
      <c r="ER34" s="45">
        <f t="shared" si="38"/>
        <v>0</v>
      </c>
      <c r="ES34" s="45">
        <f t="shared" si="38"/>
        <v>0</v>
      </c>
      <c r="ET34" s="45">
        <f t="shared" si="38"/>
        <v>0</v>
      </c>
      <c r="EU34" s="45">
        <f t="shared" si="38"/>
        <v>0</v>
      </c>
      <c r="EV34" s="45">
        <f t="shared" si="38"/>
        <v>0</v>
      </c>
      <c r="EW34" s="45">
        <f t="shared" si="38"/>
        <v>0</v>
      </c>
      <c r="EX34" s="45">
        <f t="shared" si="38"/>
        <v>0</v>
      </c>
      <c r="EY34" s="45">
        <f t="shared" si="38"/>
        <v>0</v>
      </c>
      <c r="EZ34" s="45">
        <f t="shared" si="38"/>
        <v>0</v>
      </c>
      <c r="FA34" s="45">
        <f t="shared" si="38"/>
        <v>0</v>
      </c>
      <c r="FB34" s="45">
        <f t="shared" si="38"/>
        <v>0</v>
      </c>
      <c r="FC34" s="45">
        <f t="shared" si="38"/>
        <v>0</v>
      </c>
      <c r="FD34" s="45">
        <f t="shared" si="38"/>
        <v>0</v>
      </c>
      <c r="FE34" s="45">
        <f t="shared" si="38"/>
        <v>0</v>
      </c>
      <c r="FF34" s="45">
        <f t="shared" si="38"/>
        <v>0</v>
      </c>
      <c r="FG34" s="45">
        <f t="shared" ref="FG34:GL34" si="39">-SUM(FG35:FG42)</f>
        <v>0</v>
      </c>
      <c r="FH34" s="45">
        <f t="shared" si="39"/>
        <v>0</v>
      </c>
      <c r="FI34" s="45">
        <f t="shared" si="39"/>
        <v>0</v>
      </c>
      <c r="FJ34" s="45">
        <f t="shared" si="39"/>
        <v>0</v>
      </c>
      <c r="FK34" s="45">
        <f t="shared" si="39"/>
        <v>0</v>
      </c>
      <c r="FL34" s="45">
        <f t="shared" si="39"/>
        <v>0</v>
      </c>
      <c r="FM34" s="45">
        <f t="shared" si="39"/>
        <v>0</v>
      </c>
      <c r="FN34" s="45">
        <f t="shared" si="39"/>
        <v>0</v>
      </c>
      <c r="FO34" s="45">
        <f t="shared" si="39"/>
        <v>0</v>
      </c>
      <c r="FP34" s="45">
        <f t="shared" si="39"/>
        <v>0</v>
      </c>
      <c r="FQ34" s="45">
        <f t="shared" si="39"/>
        <v>0</v>
      </c>
      <c r="FR34" s="45">
        <f t="shared" si="39"/>
        <v>0</v>
      </c>
      <c r="FS34" s="45">
        <f t="shared" si="39"/>
        <v>0</v>
      </c>
      <c r="FT34" s="45">
        <f t="shared" si="39"/>
        <v>0</v>
      </c>
      <c r="FU34" s="45">
        <f t="shared" si="39"/>
        <v>0</v>
      </c>
      <c r="FV34" s="45">
        <f t="shared" si="39"/>
        <v>0</v>
      </c>
      <c r="FW34" s="45">
        <f t="shared" si="39"/>
        <v>0</v>
      </c>
      <c r="FX34" s="45">
        <f t="shared" si="39"/>
        <v>0</v>
      </c>
      <c r="FY34" s="45">
        <f t="shared" si="39"/>
        <v>0</v>
      </c>
      <c r="FZ34" s="45">
        <f t="shared" si="39"/>
        <v>0</v>
      </c>
      <c r="GA34" s="45">
        <f t="shared" si="39"/>
        <v>0</v>
      </c>
      <c r="GB34" s="45">
        <f t="shared" si="39"/>
        <v>0</v>
      </c>
      <c r="GC34" s="45">
        <f t="shared" si="39"/>
        <v>0</v>
      </c>
      <c r="GD34" s="45">
        <f t="shared" si="39"/>
        <v>0</v>
      </c>
      <c r="GE34" s="45">
        <f t="shared" si="39"/>
        <v>0</v>
      </c>
      <c r="GF34" s="45">
        <f t="shared" si="39"/>
        <v>0</v>
      </c>
      <c r="GG34" s="45">
        <f t="shared" si="39"/>
        <v>0</v>
      </c>
      <c r="GH34" s="45">
        <f t="shared" si="39"/>
        <v>0</v>
      </c>
      <c r="GI34" s="45">
        <f t="shared" si="39"/>
        <v>0</v>
      </c>
      <c r="GJ34" s="45">
        <f t="shared" si="39"/>
        <v>0</v>
      </c>
      <c r="GK34" s="45">
        <f t="shared" si="39"/>
        <v>0</v>
      </c>
      <c r="GL34" s="45">
        <f t="shared" si="39"/>
        <v>0</v>
      </c>
      <c r="GM34" s="45">
        <f t="shared" ref="GM34:GT34" si="40">-SUM(GM35:GM42)</f>
        <v>0</v>
      </c>
      <c r="GN34" s="45">
        <f t="shared" si="40"/>
        <v>0</v>
      </c>
      <c r="GO34" s="45">
        <f t="shared" si="40"/>
        <v>0</v>
      </c>
      <c r="GP34" s="45">
        <f t="shared" si="40"/>
        <v>0</v>
      </c>
      <c r="GQ34" s="45">
        <f t="shared" si="40"/>
        <v>0</v>
      </c>
      <c r="GR34" s="45">
        <f t="shared" si="40"/>
        <v>0</v>
      </c>
      <c r="GS34" s="45">
        <f t="shared" si="40"/>
        <v>0</v>
      </c>
      <c r="GT34" s="45">
        <f t="shared" si="40"/>
        <v>0</v>
      </c>
    </row>
    <row r="35" spans="1:204" ht="16.5" hidden="1" customHeight="1">
      <c r="A35" s="42" t="s">
        <v>117</v>
      </c>
      <c r="B35" s="46"/>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47"/>
      <c r="EJ35" s="47"/>
      <c r="EK35" s="47"/>
      <c r="EL35" s="47"/>
      <c r="EM35" s="47"/>
      <c r="EN35" s="47"/>
      <c r="EO35" s="47"/>
      <c r="EP35" s="47"/>
      <c r="EQ35" s="47"/>
      <c r="ER35" s="47"/>
      <c r="ES35" s="47"/>
      <c r="ET35" s="47"/>
      <c r="EU35" s="47"/>
      <c r="EV35" s="47"/>
      <c r="EW35" s="47"/>
      <c r="EX35" s="47"/>
      <c r="EY35" s="47"/>
      <c r="EZ35" s="47"/>
      <c r="FA35" s="47"/>
      <c r="FB35" s="47"/>
      <c r="FC35" s="47"/>
      <c r="FD35" s="47"/>
      <c r="FE35" s="47"/>
      <c r="FF35" s="47"/>
      <c r="FG35" s="47"/>
      <c r="FH35" s="47"/>
      <c r="FI35" s="47"/>
      <c r="FJ35" s="47"/>
      <c r="FK35" s="47"/>
      <c r="FL35" s="47"/>
      <c r="FM35" s="47"/>
      <c r="FN35" s="47"/>
      <c r="FO35" s="47"/>
      <c r="FP35" s="47"/>
      <c r="FQ35" s="47"/>
      <c r="FR35" s="47"/>
      <c r="FS35" s="47"/>
      <c r="FT35" s="47"/>
      <c r="FU35" s="47"/>
      <c r="FV35" s="47"/>
      <c r="FW35" s="47"/>
      <c r="FX35" s="47"/>
      <c r="FY35" s="47"/>
      <c r="FZ35" s="47"/>
      <c r="GA35" s="47"/>
      <c r="GB35" s="47"/>
      <c r="GC35" s="47"/>
      <c r="GD35" s="47"/>
      <c r="GE35" s="47"/>
      <c r="GF35" s="47"/>
      <c r="GG35" s="47"/>
      <c r="GH35" s="47"/>
      <c r="GI35" s="47"/>
      <c r="GJ35" s="47"/>
      <c r="GK35" s="47"/>
      <c r="GL35" s="47"/>
      <c r="GM35" s="47"/>
      <c r="GN35" s="47"/>
      <c r="GO35" s="47"/>
      <c r="GP35" s="47"/>
      <c r="GQ35" s="47"/>
      <c r="GR35" s="47"/>
      <c r="GS35" s="47"/>
      <c r="GT35" s="47"/>
    </row>
    <row r="36" spans="1:204" ht="16.5" hidden="1" customHeight="1">
      <c r="A36" s="42" t="s">
        <v>11</v>
      </c>
      <c r="B36" s="46"/>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row>
    <row r="37" spans="1:204" ht="16.5" hidden="1" customHeight="1">
      <c r="A37" s="43" t="s">
        <v>24</v>
      </c>
      <c r="B37" s="46"/>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EI37" s="47"/>
      <c r="EJ37" s="47"/>
      <c r="EK37" s="47"/>
      <c r="EL37" s="47"/>
      <c r="EM37" s="47"/>
      <c r="EN37" s="47"/>
      <c r="EO37" s="47"/>
      <c r="EP37" s="47"/>
      <c r="EQ37" s="47"/>
      <c r="ER37" s="47"/>
      <c r="ES37" s="47"/>
      <c r="ET37" s="47"/>
      <c r="EU37" s="47"/>
      <c r="EV37" s="47"/>
      <c r="EW37" s="47"/>
      <c r="EX37" s="47"/>
      <c r="EY37" s="47"/>
      <c r="EZ37" s="47"/>
      <c r="FA37" s="47"/>
      <c r="FB37" s="47"/>
      <c r="FC37" s="47"/>
      <c r="FD37" s="47"/>
      <c r="FE37" s="47"/>
      <c r="FF37" s="47"/>
      <c r="FG37" s="47"/>
      <c r="FH37" s="47"/>
      <c r="FI37" s="47"/>
      <c r="FJ37" s="47"/>
      <c r="FK37" s="47"/>
      <c r="FL37" s="47"/>
      <c r="FM37" s="47"/>
      <c r="FN37" s="47"/>
      <c r="FO37" s="47"/>
      <c r="FP37" s="47"/>
      <c r="FQ37" s="47"/>
      <c r="FR37" s="47"/>
      <c r="FS37" s="47"/>
      <c r="FT37" s="47"/>
      <c r="FU37" s="47"/>
      <c r="FV37" s="47"/>
      <c r="FW37" s="47"/>
      <c r="FX37" s="47"/>
      <c r="FY37" s="47"/>
      <c r="FZ37" s="47"/>
      <c r="GA37" s="47"/>
      <c r="GB37" s="47"/>
      <c r="GC37" s="47"/>
      <c r="GD37" s="47"/>
      <c r="GE37" s="47"/>
      <c r="GF37" s="47"/>
      <c r="GG37" s="47"/>
      <c r="GH37" s="47"/>
      <c r="GI37" s="47"/>
      <c r="GJ37" s="47"/>
      <c r="GK37" s="47"/>
      <c r="GL37" s="47"/>
      <c r="GM37" s="47"/>
      <c r="GN37" s="47"/>
      <c r="GO37" s="47"/>
      <c r="GP37" s="47"/>
      <c r="GQ37" s="47"/>
      <c r="GR37" s="47"/>
      <c r="GS37" s="47"/>
      <c r="GT37" s="47"/>
    </row>
    <row r="38" spans="1:204" ht="16.5" hidden="1" customHeight="1">
      <c r="A38" s="42" t="s">
        <v>12</v>
      </c>
      <c r="B38" s="46"/>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c r="EG38" s="47"/>
      <c r="EH38" s="47"/>
      <c r="EI38" s="47"/>
      <c r="EJ38" s="47"/>
      <c r="EK38" s="47"/>
      <c r="EL38" s="47"/>
      <c r="EM38" s="47"/>
      <c r="EN38" s="47"/>
      <c r="EO38" s="47"/>
      <c r="EP38" s="47"/>
      <c r="EQ38" s="47"/>
      <c r="ER38" s="47"/>
      <c r="ES38" s="47"/>
      <c r="ET38" s="47"/>
      <c r="EU38" s="47"/>
      <c r="EV38" s="47"/>
      <c r="EW38" s="47"/>
      <c r="EX38" s="47"/>
      <c r="EY38" s="47"/>
      <c r="EZ38" s="47"/>
      <c r="FA38" s="47"/>
      <c r="FB38" s="47"/>
      <c r="FC38" s="47"/>
      <c r="FD38" s="47"/>
      <c r="FE38" s="47"/>
      <c r="FF38" s="47"/>
      <c r="FG38" s="47"/>
      <c r="FH38" s="47"/>
      <c r="FI38" s="47"/>
      <c r="FJ38" s="47"/>
      <c r="FK38" s="47"/>
      <c r="FL38" s="47"/>
      <c r="FM38" s="47"/>
      <c r="FN38" s="47"/>
      <c r="FO38" s="47"/>
      <c r="FP38" s="47"/>
      <c r="FQ38" s="47"/>
      <c r="FR38" s="47"/>
      <c r="FS38" s="47"/>
      <c r="FT38" s="47"/>
      <c r="FU38" s="47"/>
      <c r="FV38" s="47"/>
      <c r="FW38" s="47"/>
      <c r="FX38" s="47"/>
      <c r="FY38" s="47"/>
      <c r="FZ38" s="47"/>
      <c r="GA38" s="47"/>
      <c r="GB38" s="47"/>
      <c r="GC38" s="47"/>
      <c r="GD38" s="47"/>
      <c r="GE38" s="47"/>
      <c r="GF38" s="47"/>
      <c r="GG38" s="47"/>
      <c r="GH38" s="47"/>
      <c r="GI38" s="47"/>
      <c r="GJ38" s="47"/>
      <c r="GK38" s="47"/>
      <c r="GL38" s="47"/>
      <c r="GM38" s="47"/>
      <c r="GN38" s="47"/>
      <c r="GO38" s="47"/>
      <c r="GP38" s="47"/>
      <c r="GQ38" s="47"/>
      <c r="GR38" s="47"/>
      <c r="GS38" s="47"/>
      <c r="GT38" s="47"/>
    </row>
    <row r="39" spans="1:204" ht="16.5" hidden="1" customHeight="1">
      <c r="A39" s="42" t="s">
        <v>118</v>
      </c>
      <c r="B39" s="46"/>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EI39" s="47"/>
      <c r="EJ39" s="47"/>
      <c r="EK39" s="47"/>
      <c r="EL39" s="47"/>
      <c r="EM39" s="47"/>
      <c r="EN39" s="47"/>
      <c r="EO39" s="47"/>
      <c r="EP39" s="47"/>
      <c r="EQ39" s="47"/>
      <c r="ER39" s="47"/>
      <c r="ES39" s="47"/>
      <c r="ET39" s="47"/>
      <c r="EU39" s="47"/>
      <c r="EV39" s="47"/>
      <c r="EW39" s="47"/>
      <c r="EX39" s="47"/>
      <c r="EY39" s="47"/>
      <c r="EZ39" s="47"/>
      <c r="FA39" s="47"/>
      <c r="FB39" s="47"/>
      <c r="FC39" s="47"/>
      <c r="FD39" s="47"/>
      <c r="FE39" s="47"/>
      <c r="FF39" s="47"/>
      <c r="FG39" s="47"/>
      <c r="FH39" s="47"/>
      <c r="FI39" s="47"/>
      <c r="FJ39" s="47"/>
      <c r="FK39" s="47"/>
      <c r="FL39" s="47"/>
      <c r="FM39" s="47"/>
      <c r="FN39" s="47"/>
      <c r="FO39" s="47"/>
      <c r="FP39" s="47"/>
      <c r="FQ39" s="47"/>
      <c r="FR39" s="47"/>
      <c r="FS39" s="47"/>
      <c r="FT39" s="47"/>
      <c r="FU39" s="47"/>
      <c r="FV39" s="47"/>
      <c r="FW39" s="47"/>
      <c r="FX39" s="47"/>
      <c r="FY39" s="47"/>
      <c r="FZ39" s="47"/>
      <c r="GA39" s="47"/>
      <c r="GB39" s="47"/>
      <c r="GC39" s="47"/>
      <c r="GD39" s="47"/>
      <c r="GE39" s="47"/>
      <c r="GF39" s="47"/>
      <c r="GG39" s="47"/>
      <c r="GH39" s="47"/>
      <c r="GI39" s="47"/>
      <c r="GJ39" s="47"/>
      <c r="GK39" s="47"/>
      <c r="GL39" s="47"/>
      <c r="GM39" s="47"/>
      <c r="GN39" s="47"/>
      <c r="GO39" s="47"/>
      <c r="GP39" s="47"/>
      <c r="GQ39" s="47"/>
      <c r="GR39" s="47"/>
      <c r="GS39" s="47"/>
      <c r="GT39" s="47"/>
    </row>
    <row r="40" spans="1:204" ht="16.5" hidden="1" customHeight="1">
      <c r="A40" s="42"/>
      <c r="B40" s="46"/>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47"/>
      <c r="EC40" s="47"/>
      <c r="ED40" s="47"/>
      <c r="EE40" s="47"/>
      <c r="EF40" s="47"/>
      <c r="EG40" s="47"/>
      <c r="EH40" s="47"/>
      <c r="EI40" s="47"/>
      <c r="EJ40" s="47"/>
      <c r="EK40" s="47"/>
      <c r="EL40" s="47"/>
      <c r="EM40" s="47"/>
      <c r="EN40" s="47"/>
      <c r="EO40" s="47"/>
      <c r="EP40" s="47"/>
      <c r="EQ40" s="47"/>
      <c r="ER40" s="47"/>
      <c r="ES40" s="47"/>
      <c r="ET40" s="47"/>
      <c r="EU40" s="47"/>
      <c r="EV40" s="47"/>
      <c r="EW40" s="47"/>
      <c r="EX40" s="47"/>
      <c r="EY40" s="47"/>
      <c r="EZ40" s="47"/>
      <c r="FA40" s="47"/>
      <c r="FB40" s="47"/>
      <c r="FC40" s="47"/>
      <c r="FD40" s="47"/>
      <c r="FE40" s="47"/>
      <c r="FF40" s="47"/>
      <c r="FG40" s="47"/>
      <c r="FH40" s="47"/>
      <c r="FI40" s="47"/>
      <c r="FJ40" s="47"/>
      <c r="FK40" s="47"/>
      <c r="FL40" s="47"/>
      <c r="FM40" s="47"/>
      <c r="FN40" s="47"/>
      <c r="FO40" s="47"/>
      <c r="FP40" s="47"/>
      <c r="FQ40" s="47"/>
      <c r="FR40" s="47"/>
      <c r="FS40" s="47"/>
      <c r="FT40" s="47"/>
      <c r="FU40" s="47"/>
      <c r="FV40" s="47"/>
      <c r="FW40" s="47"/>
      <c r="FX40" s="47"/>
      <c r="FY40" s="47"/>
      <c r="FZ40" s="47"/>
      <c r="GA40" s="47"/>
      <c r="GB40" s="47"/>
      <c r="GC40" s="47"/>
      <c r="GD40" s="47"/>
      <c r="GE40" s="47"/>
      <c r="GF40" s="47"/>
      <c r="GG40" s="47"/>
      <c r="GH40" s="47"/>
      <c r="GI40" s="47"/>
      <c r="GJ40" s="47"/>
      <c r="GK40" s="47"/>
      <c r="GL40" s="47"/>
      <c r="GM40" s="47"/>
      <c r="GN40" s="47"/>
      <c r="GO40" s="47"/>
      <c r="GP40" s="47"/>
      <c r="GQ40" s="47"/>
      <c r="GR40" s="47"/>
      <c r="GS40" s="47"/>
      <c r="GT40" s="47"/>
    </row>
    <row r="41" spans="1:204" ht="16.5" hidden="1" customHeight="1">
      <c r="A41" s="42"/>
      <c r="B41" s="46"/>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EI41" s="47"/>
      <c r="EJ41" s="47"/>
      <c r="EK41" s="47"/>
      <c r="EL41" s="47"/>
      <c r="EM41" s="47"/>
      <c r="EN41" s="47"/>
      <c r="EO41" s="47"/>
      <c r="EP41" s="47"/>
      <c r="EQ41" s="47"/>
      <c r="ER41" s="47"/>
      <c r="ES41" s="47"/>
      <c r="ET41" s="47"/>
      <c r="EU41" s="47"/>
      <c r="EV41" s="47"/>
      <c r="EW41" s="47"/>
      <c r="EX41" s="47"/>
      <c r="EY41" s="47"/>
      <c r="EZ41" s="47"/>
      <c r="FA41" s="47"/>
      <c r="FB41" s="47"/>
      <c r="FC41" s="47"/>
      <c r="FD41" s="47"/>
      <c r="FE41" s="47"/>
      <c r="FF41" s="47"/>
      <c r="FG41" s="47"/>
      <c r="FH41" s="47"/>
      <c r="FI41" s="47"/>
      <c r="FJ41" s="47"/>
      <c r="FK41" s="47"/>
      <c r="FL41" s="47"/>
      <c r="FM41" s="47"/>
      <c r="FN41" s="47"/>
      <c r="FO41" s="47"/>
      <c r="FP41" s="47"/>
      <c r="FQ41" s="47"/>
      <c r="FR41" s="47"/>
      <c r="FS41" s="47"/>
      <c r="FT41" s="47"/>
      <c r="FU41" s="47"/>
      <c r="FV41" s="47"/>
      <c r="FW41" s="47"/>
      <c r="FX41" s="47"/>
      <c r="FY41" s="47"/>
      <c r="FZ41" s="47"/>
      <c r="GA41" s="47"/>
      <c r="GB41" s="47"/>
      <c r="GC41" s="47"/>
      <c r="GD41" s="47"/>
      <c r="GE41" s="47"/>
      <c r="GF41" s="47"/>
      <c r="GG41" s="47"/>
      <c r="GH41" s="47"/>
      <c r="GI41" s="47"/>
      <c r="GJ41" s="47"/>
      <c r="GK41" s="47"/>
      <c r="GL41" s="47"/>
      <c r="GM41" s="47"/>
      <c r="GN41" s="47"/>
      <c r="GO41" s="47"/>
      <c r="GP41" s="47"/>
      <c r="GQ41" s="47"/>
      <c r="GR41" s="47"/>
      <c r="GS41" s="47"/>
      <c r="GT41" s="47"/>
    </row>
    <row r="42" spans="1:204" ht="16.5" hidden="1" customHeight="1">
      <c r="A42" s="42"/>
      <c r="B42" s="46"/>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47"/>
      <c r="EJ42" s="47"/>
      <c r="EK42" s="47"/>
      <c r="EL42" s="47"/>
      <c r="EM42" s="47"/>
      <c r="EN42" s="47"/>
      <c r="EO42" s="47"/>
      <c r="EP42" s="47"/>
      <c r="EQ42" s="47"/>
      <c r="ER42" s="47"/>
      <c r="ES42" s="47"/>
      <c r="ET42" s="47"/>
      <c r="EU42" s="47"/>
      <c r="EV42" s="47"/>
      <c r="EW42" s="47"/>
      <c r="EX42" s="47"/>
      <c r="EY42" s="47"/>
      <c r="EZ42" s="47"/>
      <c r="FA42" s="47"/>
      <c r="FB42" s="47"/>
      <c r="FC42" s="47"/>
      <c r="FD42" s="47"/>
      <c r="FE42" s="47"/>
      <c r="FF42" s="47"/>
      <c r="FG42" s="47"/>
      <c r="FH42" s="47"/>
      <c r="FI42" s="47"/>
      <c r="FJ42" s="47"/>
      <c r="FK42" s="47"/>
      <c r="FL42" s="47"/>
      <c r="FM42" s="47"/>
      <c r="FN42" s="47"/>
      <c r="FO42" s="47"/>
      <c r="FP42" s="47"/>
      <c r="FQ42" s="47"/>
      <c r="FR42" s="47"/>
      <c r="FS42" s="47"/>
      <c r="FT42" s="47"/>
      <c r="FU42" s="47"/>
      <c r="FV42" s="47"/>
      <c r="FW42" s="47"/>
      <c r="FX42" s="47"/>
      <c r="FY42" s="47"/>
      <c r="FZ42" s="47"/>
      <c r="GA42" s="47"/>
      <c r="GB42" s="47"/>
      <c r="GC42" s="47"/>
      <c r="GD42" s="47"/>
      <c r="GE42" s="47"/>
      <c r="GF42" s="47"/>
      <c r="GG42" s="47"/>
      <c r="GH42" s="47"/>
      <c r="GI42" s="47"/>
      <c r="GJ42" s="47"/>
      <c r="GK42" s="47"/>
      <c r="GL42" s="47"/>
      <c r="GM42" s="47"/>
      <c r="GN42" s="47"/>
      <c r="GO42" s="47"/>
      <c r="GP42" s="47"/>
      <c r="GQ42" s="47"/>
      <c r="GR42" s="47"/>
      <c r="GS42" s="47"/>
      <c r="GT42" s="47"/>
    </row>
    <row r="43" spans="1:204" s="40" customFormat="1" ht="23" hidden="1" customHeight="1">
      <c r="A43" s="52" t="s">
        <v>132</v>
      </c>
      <c r="B43" s="54"/>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5"/>
      <c r="EC43" s="55"/>
      <c r="ED43" s="55"/>
      <c r="EE43" s="55"/>
      <c r="EF43" s="55"/>
      <c r="EG43" s="55"/>
      <c r="EH43" s="55"/>
      <c r="EI43" s="55"/>
      <c r="EJ43" s="55"/>
      <c r="EK43" s="55"/>
      <c r="EL43" s="55"/>
      <c r="EM43" s="55"/>
      <c r="EN43" s="55"/>
      <c r="EO43" s="55"/>
      <c r="EP43" s="55"/>
      <c r="EQ43" s="55"/>
      <c r="ER43" s="55"/>
      <c r="ES43" s="55"/>
      <c r="ET43" s="55"/>
      <c r="EU43" s="55"/>
      <c r="EV43" s="55"/>
      <c r="EW43" s="55"/>
      <c r="EX43" s="55"/>
      <c r="EY43" s="55"/>
      <c r="EZ43" s="55"/>
      <c r="FA43" s="55"/>
      <c r="FB43" s="55"/>
      <c r="FC43" s="55"/>
      <c r="FD43" s="55"/>
      <c r="FE43" s="55"/>
      <c r="FF43" s="55"/>
      <c r="FG43" s="55"/>
      <c r="FH43" s="55"/>
      <c r="FI43" s="55"/>
      <c r="FJ43" s="55"/>
      <c r="FK43" s="55"/>
      <c r="FL43" s="55"/>
      <c r="FM43" s="55"/>
      <c r="FN43" s="55"/>
      <c r="FO43" s="55"/>
      <c r="FP43" s="55"/>
      <c r="FQ43" s="55"/>
      <c r="FR43" s="55"/>
      <c r="FS43" s="55"/>
      <c r="FT43" s="55"/>
      <c r="FU43" s="55"/>
      <c r="FV43" s="55"/>
      <c r="FW43" s="55"/>
      <c r="FX43" s="55"/>
      <c r="FY43" s="55"/>
      <c r="FZ43" s="55"/>
      <c r="GA43" s="55"/>
      <c r="GB43" s="55"/>
      <c r="GC43" s="55"/>
      <c r="GD43" s="55"/>
      <c r="GE43" s="55"/>
      <c r="GF43" s="55"/>
      <c r="GG43" s="55"/>
      <c r="GH43" s="55"/>
      <c r="GI43" s="55"/>
      <c r="GJ43" s="55"/>
      <c r="GK43" s="55"/>
      <c r="GL43" s="55"/>
      <c r="GM43" s="55"/>
      <c r="GN43" s="55"/>
      <c r="GO43" s="55"/>
      <c r="GP43" s="55"/>
      <c r="GQ43" s="55"/>
      <c r="GR43" s="55"/>
      <c r="GS43" s="55"/>
      <c r="GT43" s="56"/>
      <c r="GU43" s="39"/>
      <c r="GV43" s="39"/>
    </row>
    <row r="44" spans="1:204" s="28" customFormat="1" ht="21" hidden="1">
      <c r="A44" s="41" t="s">
        <v>35</v>
      </c>
      <c r="B44" s="44"/>
      <c r="C44" s="45">
        <f>-SUM(C45:C52)</f>
        <v>0</v>
      </c>
      <c r="D44" s="45">
        <f t="shared" ref="D44:BO44" si="41">-SUM(D45:D52)</f>
        <v>0</v>
      </c>
      <c r="E44" s="45">
        <f>-SUM(E45:E52)</f>
        <v>0</v>
      </c>
      <c r="F44" s="45">
        <f>-SUM(F45:F52)</f>
        <v>0</v>
      </c>
      <c r="G44" s="45">
        <f t="shared" si="41"/>
        <v>0</v>
      </c>
      <c r="H44" s="45">
        <f t="shared" si="41"/>
        <v>0</v>
      </c>
      <c r="I44" s="45">
        <f>-SUM(I45:I52)</f>
        <v>0</v>
      </c>
      <c r="J44" s="45">
        <f t="shared" si="41"/>
        <v>0</v>
      </c>
      <c r="K44" s="45">
        <f>-SUM(K45:K52)</f>
        <v>0</v>
      </c>
      <c r="L44" s="45">
        <f t="shared" si="41"/>
        <v>0</v>
      </c>
      <c r="M44" s="45">
        <f t="shared" si="41"/>
        <v>0</v>
      </c>
      <c r="N44" s="45">
        <f t="shared" si="41"/>
        <v>0</v>
      </c>
      <c r="O44" s="45">
        <f>-SUM(O45:O52)</f>
        <v>0</v>
      </c>
      <c r="P44" s="45">
        <f t="shared" si="41"/>
        <v>0</v>
      </c>
      <c r="Q44" s="45">
        <f>-SUM(Q45:Q52)</f>
        <v>0</v>
      </c>
      <c r="R44" s="45">
        <f t="shared" si="41"/>
        <v>0</v>
      </c>
      <c r="S44" s="45">
        <f t="shared" si="41"/>
        <v>0</v>
      </c>
      <c r="T44" s="45">
        <f t="shared" si="41"/>
        <v>0</v>
      </c>
      <c r="U44" s="45">
        <f t="shared" si="41"/>
        <v>0</v>
      </c>
      <c r="V44" s="45">
        <f t="shared" si="41"/>
        <v>0</v>
      </c>
      <c r="W44" s="45">
        <f t="shared" si="41"/>
        <v>0</v>
      </c>
      <c r="X44" s="45">
        <f t="shared" si="41"/>
        <v>0</v>
      </c>
      <c r="Y44" s="45">
        <f t="shared" si="41"/>
        <v>0</v>
      </c>
      <c r="Z44" s="45">
        <f t="shared" si="41"/>
        <v>0</v>
      </c>
      <c r="AA44" s="45">
        <f t="shared" si="41"/>
        <v>0</v>
      </c>
      <c r="AB44" s="45">
        <f t="shared" si="41"/>
        <v>0</v>
      </c>
      <c r="AC44" s="45">
        <f t="shared" si="41"/>
        <v>0</v>
      </c>
      <c r="AD44" s="45">
        <f t="shared" si="41"/>
        <v>0</v>
      </c>
      <c r="AE44" s="45">
        <f t="shared" si="41"/>
        <v>0</v>
      </c>
      <c r="AF44" s="45">
        <f t="shared" si="41"/>
        <v>0</v>
      </c>
      <c r="AG44" s="45">
        <f t="shared" si="41"/>
        <v>0</v>
      </c>
      <c r="AH44" s="45">
        <f t="shared" si="41"/>
        <v>0</v>
      </c>
      <c r="AI44" s="45">
        <f t="shared" si="41"/>
        <v>0</v>
      </c>
      <c r="AJ44" s="45">
        <f t="shared" si="41"/>
        <v>0</v>
      </c>
      <c r="AK44" s="45">
        <f t="shared" si="41"/>
        <v>0</v>
      </c>
      <c r="AL44" s="45">
        <f t="shared" si="41"/>
        <v>0</v>
      </c>
      <c r="AM44" s="45">
        <f t="shared" si="41"/>
        <v>0</v>
      </c>
      <c r="AN44" s="45">
        <f t="shared" si="41"/>
        <v>0</v>
      </c>
      <c r="AO44" s="45">
        <f t="shared" si="41"/>
        <v>0</v>
      </c>
      <c r="AP44" s="45">
        <f t="shared" si="41"/>
        <v>0</v>
      </c>
      <c r="AQ44" s="45">
        <f t="shared" si="41"/>
        <v>0</v>
      </c>
      <c r="AR44" s="45">
        <f t="shared" si="41"/>
        <v>0</v>
      </c>
      <c r="AS44" s="45">
        <f t="shared" si="41"/>
        <v>0</v>
      </c>
      <c r="AT44" s="45">
        <f t="shared" si="41"/>
        <v>0</v>
      </c>
      <c r="AU44" s="45">
        <f t="shared" si="41"/>
        <v>0</v>
      </c>
      <c r="AV44" s="45">
        <f t="shared" si="41"/>
        <v>0</v>
      </c>
      <c r="AW44" s="45">
        <f t="shared" si="41"/>
        <v>0</v>
      </c>
      <c r="AX44" s="45">
        <f t="shared" si="41"/>
        <v>0</v>
      </c>
      <c r="AY44" s="45">
        <f t="shared" si="41"/>
        <v>0</v>
      </c>
      <c r="AZ44" s="45">
        <f t="shared" si="41"/>
        <v>0</v>
      </c>
      <c r="BA44" s="45">
        <f t="shared" si="41"/>
        <v>0</v>
      </c>
      <c r="BB44" s="45">
        <f t="shared" si="41"/>
        <v>0</v>
      </c>
      <c r="BC44" s="45">
        <f t="shared" si="41"/>
        <v>0</v>
      </c>
      <c r="BD44" s="45">
        <f t="shared" si="41"/>
        <v>0</v>
      </c>
      <c r="BE44" s="45">
        <f t="shared" si="41"/>
        <v>0</v>
      </c>
      <c r="BF44" s="45">
        <f t="shared" si="41"/>
        <v>0</v>
      </c>
      <c r="BG44" s="45">
        <f t="shared" si="41"/>
        <v>0</v>
      </c>
      <c r="BH44" s="45">
        <f t="shared" si="41"/>
        <v>0</v>
      </c>
      <c r="BI44" s="45">
        <f t="shared" si="41"/>
        <v>0</v>
      </c>
      <c r="BJ44" s="45">
        <f t="shared" si="41"/>
        <v>0</v>
      </c>
      <c r="BK44" s="45">
        <f t="shared" si="41"/>
        <v>0</v>
      </c>
      <c r="BL44" s="45">
        <f t="shared" si="41"/>
        <v>0</v>
      </c>
      <c r="BM44" s="45">
        <f t="shared" si="41"/>
        <v>0</v>
      </c>
      <c r="BN44" s="45">
        <f t="shared" si="41"/>
        <v>0</v>
      </c>
      <c r="BO44" s="45">
        <f t="shared" si="41"/>
        <v>0</v>
      </c>
      <c r="BP44" s="45">
        <f t="shared" ref="BP44:EA44" si="42">-SUM(BP45:BP52)</f>
        <v>0</v>
      </c>
      <c r="BQ44" s="45">
        <f t="shared" si="42"/>
        <v>0</v>
      </c>
      <c r="BR44" s="45">
        <f t="shared" si="42"/>
        <v>0</v>
      </c>
      <c r="BS44" s="45">
        <f t="shared" si="42"/>
        <v>0</v>
      </c>
      <c r="BT44" s="45">
        <f t="shared" si="42"/>
        <v>0</v>
      </c>
      <c r="BU44" s="45">
        <f t="shared" si="42"/>
        <v>0</v>
      </c>
      <c r="BV44" s="45">
        <f t="shared" si="42"/>
        <v>0</v>
      </c>
      <c r="BW44" s="45">
        <f t="shared" si="42"/>
        <v>0</v>
      </c>
      <c r="BX44" s="45">
        <f t="shared" si="42"/>
        <v>0</v>
      </c>
      <c r="BY44" s="45">
        <f t="shared" si="42"/>
        <v>0</v>
      </c>
      <c r="BZ44" s="45">
        <f t="shared" si="42"/>
        <v>0</v>
      </c>
      <c r="CA44" s="45">
        <f t="shared" si="42"/>
        <v>0</v>
      </c>
      <c r="CB44" s="45">
        <f t="shared" si="42"/>
        <v>0</v>
      </c>
      <c r="CC44" s="45">
        <f t="shared" si="42"/>
        <v>0</v>
      </c>
      <c r="CD44" s="45">
        <f t="shared" si="42"/>
        <v>0</v>
      </c>
      <c r="CE44" s="45">
        <f t="shared" si="42"/>
        <v>0</v>
      </c>
      <c r="CF44" s="45">
        <f t="shared" si="42"/>
        <v>0</v>
      </c>
      <c r="CG44" s="45">
        <f t="shared" si="42"/>
        <v>0</v>
      </c>
      <c r="CH44" s="45">
        <f t="shared" si="42"/>
        <v>0</v>
      </c>
      <c r="CI44" s="45">
        <f t="shared" si="42"/>
        <v>0</v>
      </c>
      <c r="CJ44" s="45">
        <f t="shared" si="42"/>
        <v>0</v>
      </c>
      <c r="CK44" s="45">
        <f t="shared" si="42"/>
        <v>0</v>
      </c>
      <c r="CL44" s="45">
        <f t="shared" si="42"/>
        <v>0</v>
      </c>
      <c r="CM44" s="45">
        <f t="shared" si="42"/>
        <v>0</v>
      </c>
      <c r="CN44" s="45">
        <f t="shared" si="42"/>
        <v>0</v>
      </c>
      <c r="CO44" s="45">
        <f t="shared" si="42"/>
        <v>0</v>
      </c>
      <c r="CP44" s="45">
        <f t="shared" si="42"/>
        <v>0</v>
      </c>
      <c r="CQ44" s="45">
        <f t="shared" si="42"/>
        <v>0</v>
      </c>
      <c r="CR44" s="45">
        <f t="shared" si="42"/>
        <v>0</v>
      </c>
      <c r="CS44" s="45">
        <f t="shared" si="42"/>
        <v>0</v>
      </c>
      <c r="CT44" s="45">
        <f t="shared" si="42"/>
        <v>0</v>
      </c>
      <c r="CU44" s="45">
        <f t="shared" si="42"/>
        <v>0</v>
      </c>
      <c r="CV44" s="45">
        <f t="shared" si="42"/>
        <v>0</v>
      </c>
      <c r="CW44" s="45">
        <f t="shared" si="42"/>
        <v>0</v>
      </c>
      <c r="CX44" s="45">
        <f t="shared" si="42"/>
        <v>0</v>
      </c>
      <c r="CY44" s="45">
        <f t="shared" si="42"/>
        <v>0</v>
      </c>
      <c r="CZ44" s="45">
        <f t="shared" si="42"/>
        <v>0</v>
      </c>
      <c r="DA44" s="45">
        <f t="shared" si="42"/>
        <v>0</v>
      </c>
      <c r="DB44" s="45">
        <f t="shared" si="42"/>
        <v>0</v>
      </c>
      <c r="DC44" s="45">
        <f t="shared" si="42"/>
        <v>0</v>
      </c>
      <c r="DD44" s="45">
        <f t="shared" si="42"/>
        <v>0</v>
      </c>
      <c r="DE44" s="45">
        <f t="shared" si="42"/>
        <v>0</v>
      </c>
      <c r="DF44" s="45">
        <f t="shared" si="42"/>
        <v>0</v>
      </c>
      <c r="DG44" s="45">
        <f t="shared" si="42"/>
        <v>0</v>
      </c>
      <c r="DH44" s="45">
        <f t="shared" si="42"/>
        <v>0</v>
      </c>
      <c r="DI44" s="45">
        <f t="shared" si="42"/>
        <v>0</v>
      </c>
      <c r="DJ44" s="45">
        <f t="shared" si="42"/>
        <v>0</v>
      </c>
      <c r="DK44" s="45">
        <f t="shared" si="42"/>
        <v>0</v>
      </c>
      <c r="DL44" s="45">
        <f t="shared" si="42"/>
        <v>0</v>
      </c>
      <c r="DM44" s="45">
        <f t="shared" si="42"/>
        <v>0</v>
      </c>
      <c r="DN44" s="45">
        <f t="shared" si="42"/>
        <v>0</v>
      </c>
      <c r="DO44" s="45">
        <f t="shared" si="42"/>
        <v>0</v>
      </c>
      <c r="DP44" s="45">
        <f t="shared" si="42"/>
        <v>0</v>
      </c>
      <c r="DQ44" s="45">
        <f t="shared" si="42"/>
        <v>0</v>
      </c>
      <c r="DR44" s="45">
        <f t="shared" si="42"/>
        <v>0</v>
      </c>
      <c r="DS44" s="45">
        <f t="shared" si="42"/>
        <v>0</v>
      </c>
      <c r="DT44" s="45">
        <f t="shared" si="42"/>
        <v>0</v>
      </c>
      <c r="DU44" s="45">
        <f t="shared" si="42"/>
        <v>0</v>
      </c>
      <c r="DV44" s="45">
        <f t="shared" si="42"/>
        <v>0</v>
      </c>
      <c r="DW44" s="45">
        <f t="shared" si="42"/>
        <v>0</v>
      </c>
      <c r="DX44" s="45">
        <f t="shared" si="42"/>
        <v>0</v>
      </c>
      <c r="DY44" s="45">
        <f t="shared" si="42"/>
        <v>0</v>
      </c>
      <c r="DZ44" s="45">
        <f t="shared" si="42"/>
        <v>0</v>
      </c>
      <c r="EA44" s="45">
        <f t="shared" si="42"/>
        <v>0</v>
      </c>
      <c r="EB44" s="45">
        <f t="shared" ref="EB44:GM44" si="43">-SUM(EB45:EB52)</f>
        <v>0</v>
      </c>
      <c r="EC44" s="45">
        <f t="shared" si="43"/>
        <v>0</v>
      </c>
      <c r="ED44" s="45">
        <f t="shared" si="43"/>
        <v>0</v>
      </c>
      <c r="EE44" s="45">
        <f t="shared" si="43"/>
        <v>0</v>
      </c>
      <c r="EF44" s="45">
        <f t="shared" si="43"/>
        <v>0</v>
      </c>
      <c r="EG44" s="45">
        <f t="shared" si="43"/>
        <v>0</v>
      </c>
      <c r="EH44" s="45">
        <f t="shared" si="43"/>
        <v>0</v>
      </c>
      <c r="EI44" s="45">
        <f t="shared" si="43"/>
        <v>0</v>
      </c>
      <c r="EJ44" s="45">
        <f t="shared" si="43"/>
        <v>0</v>
      </c>
      <c r="EK44" s="45">
        <f t="shared" si="43"/>
        <v>0</v>
      </c>
      <c r="EL44" s="45">
        <f t="shared" si="43"/>
        <v>0</v>
      </c>
      <c r="EM44" s="45">
        <f t="shared" si="43"/>
        <v>0</v>
      </c>
      <c r="EN44" s="45">
        <f t="shared" si="43"/>
        <v>0</v>
      </c>
      <c r="EO44" s="45">
        <f t="shared" si="43"/>
        <v>0</v>
      </c>
      <c r="EP44" s="45">
        <f t="shared" si="43"/>
        <v>0</v>
      </c>
      <c r="EQ44" s="45">
        <f t="shared" si="43"/>
        <v>0</v>
      </c>
      <c r="ER44" s="45">
        <f t="shared" si="43"/>
        <v>0</v>
      </c>
      <c r="ES44" s="45">
        <f t="shared" si="43"/>
        <v>0</v>
      </c>
      <c r="ET44" s="45">
        <f t="shared" si="43"/>
        <v>0</v>
      </c>
      <c r="EU44" s="45">
        <f t="shared" si="43"/>
        <v>0</v>
      </c>
      <c r="EV44" s="45">
        <f t="shared" si="43"/>
        <v>0</v>
      </c>
      <c r="EW44" s="45">
        <f t="shared" si="43"/>
        <v>0</v>
      </c>
      <c r="EX44" s="45">
        <f t="shared" si="43"/>
        <v>0</v>
      </c>
      <c r="EY44" s="45">
        <f t="shared" si="43"/>
        <v>0</v>
      </c>
      <c r="EZ44" s="45">
        <f t="shared" si="43"/>
        <v>0</v>
      </c>
      <c r="FA44" s="45">
        <f t="shared" si="43"/>
        <v>0</v>
      </c>
      <c r="FB44" s="45">
        <f t="shared" si="43"/>
        <v>0</v>
      </c>
      <c r="FC44" s="45">
        <f t="shared" si="43"/>
        <v>0</v>
      </c>
      <c r="FD44" s="45">
        <f t="shared" si="43"/>
        <v>0</v>
      </c>
      <c r="FE44" s="45">
        <f t="shared" si="43"/>
        <v>0</v>
      </c>
      <c r="FF44" s="45">
        <f t="shared" si="43"/>
        <v>0</v>
      </c>
      <c r="FG44" s="45">
        <f t="shared" si="43"/>
        <v>0</v>
      </c>
      <c r="FH44" s="45">
        <f t="shared" si="43"/>
        <v>0</v>
      </c>
      <c r="FI44" s="45">
        <f t="shared" si="43"/>
        <v>0</v>
      </c>
      <c r="FJ44" s="45">
        <f t="shared" si="43"/>
        <v>0</v>
      </c>
      <c r="FK44" s="45">
        <f t="shared" si="43"/>
        <v>0</v>
      </c>
      <c r="FL44" s="45">
        <f t="shared" si="43"/>
        <v>0</v>
      </c>
      <c r="FM44" s="45">
        <f t="shared" si="43"/>
        <v>0</v>
      </c>
      <c r="FN44" s="45">
        <f t="shared" si="43"/>
        <v>0</v>
      </c>
      <c r="FO44" s="45">
        <f t="shared" si="43"/>
        <v>0</v>
      </c>
      <c r="FP44" s="45">
        <f t="shared" si="43"/>
        <v>0</v>
      </c>
      <c r="FQ44" s="45">
        <f t="shared" si="43"/>
        <v>0</v>
      </c>
      <c r="FR44" s="45">
        <f t="shared" si="43"/>
        <v>0</v>
      </c>
      <c r="FS44" s="45">
        <f t="shared" si="43"/>
        <v>0</v>
      </c>
      <c r="FT44" s="45">
        <f t="shared" si="43"/>
        <v>0</v>
      </c>
      <c r="FU44" s="45">
        <f t="shared" si="43"/>
        <v>0</v>
      </c>
      <c r="FV44" s="45">
        <f t="shared" si="43"/>
        <v>0</v>
      </c>
      <c r="FW44" s="45">
        <f t="shared" si="43"/>
        <v>0</v>
      </c>
      <c r="FX44" s="45">
        <f t="shared" si="43"/>
        <v>0</v>
      </c>
      <c r="FY44" s="45">
        <f t="shared" si="43"/>
        <v>0</v>
      </c>
      <c r="FZ44" s="45">
        <f t="shared" si="43"/>
        <v>0</v>
      </c>
      <c r="GA44" s="45">
        <f t="shared" si="43"/>
        <v>0</v>
      </c>
      <c r="GB44" s="45">
        <f t="shared" si="43"/>
        <v>0</v>
      </c>
      <c r="GC44" s="45">
        <f t="shared" si="43"/>
        <v>0</v>
      </c>
      <c r="GD44" s="45">
        <f t="shared" si="43"/>
        <v>0</v>
      </c>
      <c r="GE44" s="45">
        <f t="shared" si="43"/>
        <v>0</v>
      </c>
      <c r="GF44" s="45">
        <f t="shared" si="43"/>
        <v>0</v>
      </c>
      <c r="GG44" s="45">
        <f t="shared" si="43"/>
        <v>0</v>
      </c>
      <c r="GH44" s="45">
        <f t="shared" si="43"/>
        <v>0</v>
      </c>
      <c r="GI44" s="45">
        <f t="shared" si="43"/>
        <v>0</v>
      </c>
      <c r="GJ44" s="45">
        <f t="shared" si="43"/>
        <v>0</v>
      </c>
      <c r="GK44" s="45">
        <f t="shared" si="43"/>
        <v>0</v>
      </c>
      <c r="GL44" s="45">
        <f t="shared" si="43"/>
        <v>0</v>
      </c>
      <c r="GM44" s="45">
        <f t="shared" si="43"/>
        <v>0</v>
      </c>
      <c r="GN44" s="45">
        <f t="shared" ref="GN44:GT44" si="44">-SUM(GN45:GN52)</f>
        <v>0</v>
      </c>
      <c r="GO44" s="45">
        <f t="shared" si="44"/>
        <v>0</v>
      </c>
      <c r="GP44" s="45">
        <f t="shared" si="44"/>
        <v>0</v>
      </c>
      <c r="GQ44" s="45">
        <f t="shared" si="44"/>
        <v>0</v>
      </c>
      <c r="GR44" s="45">
        <f t="shared" si="44"/>
        <v>0</v>
      </c>
      <c r="GS44" s="45">
        <f t="shared" si="44"/>
        <v>0</v>
      </c>
      <c r="GT44" s="45">
        <f t="shared" si="44"/>
        <v>0</v>
      </c>
    </row>
    <row r="45" spans="1:204" ht="16.5" hidden="1" customHeight="1">
      <c r="A45" s="42" t="s">
        <v>101</v>
      </c>
      <c r="B45" s="46"/>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47"/>
      <c r="EC45" s="47"/>
      <c r="ED45" s="47"/>
      <c r="EE45" s="47"/>
      <c r="EF45" s="47"/>
      <c r="EG45" s="47"/>
      <c r="EH45" s="47"/>
      <c r="EI45" s="47"/>
      <c r="EJ45" s="47"/>
      <c r="EK45" s="47"/>
      <c r="EL45" s="47"/>
      <c r="EM45" s="47"/>
      <c r="EN45" s="47"/>
      <c r="EO45" s="47"/>
      <c r="EP45" s="47"/>
      <c r="EQ45" s="47"/>
      <c r="ER45" s="47"/>
      <c r="ES45" s="47"/>
      <c r="ET45" s="47"/>
      <c r="EU45" s="47"/>
      <c r="EV45" s="47"/>
      <c r="EW45" s="47"/>
      <c r="EX45" s="47"/>
      <c r="EY45" s="47"/>
      <c r="EZ45" s="47"/>
      <c r="FA45" s="47"/>
      <c r="FB45" s="47"/>
      <c r="FC45" s="47"/>
      <c r="FD45" s="47"/>
      <c r="FE45" s="47"/>
      <c r="FF45" s="47"/>
      <c r="FG45" s="47"/>
      <c r="FH45" s="47"/>
      <c r="FI45" s="47"/>
      <c r="FJ45" s="47"/>
      <c r="FK45" s="47"/>
      <c r="FL45" s="47"/>
      <c r="FM45" s="47"/>
      <c r="FN45" s="47"/>
      <c r="FO45" s="47"/>
      <c r="FP45" s="47"/>
      <c r="FQ45" s="47"/>
      <c r="FR45" s="47"/>
      <c r="FS45" s="47"/>
      <c r="FT45" s="47"/>
      <c r="FU45" s="47"/>
      <c r="FV45" s="47"/>
      <c r="FW45" s="47"/>
      <c r="FX45" s="47"/>
      <c r="FY45" s="47"/>
      <c r="FZ45" s="47"/>
      <c r="GA45" s="47"/>
      <c r="GB45" s="47"/>
      <c r="GC45" s="47"/>
      <c r="GD45" s="47"/>
      <c r="GE45" s="47"/>
      <c r="GF45" s="47"/>
      <c r="GG45" s="47"/>
      <c r="GH45" s="47"/>
      <c r="GI45" s="47"/>
      <c r="GJ45" s="47"/>
      <c r="GK45" s="47"/>
      <c r="GL45" s="47"/>
      <c r="GM45" s="47"/>
      <c r="GN45" s="47"/>
      <c r="GO45" s="47"/>
      <c r="GP45" s="47"/>
      <c r="GQ45" s="47"/>
      <c r="GR45" s="47"/>
      <c r="GS45" s="47"/>
      <c r="GT45" s="47"/>
    </row>
    <row r="46" spans="1:204" ht="16.5" hidden="1" customHeight="1">
      <c r="A46" s="42" t="s">
        <v>107</v>
      </c>
      <c r="B46" s="46"/>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47"/>
      <c r="EO46" s="47"/>
      <c r="EP46" s="47"/>
      <c r="EQ46" s="47"/>
      <c r="ER46" s="47"/>
      <c r="ES46" s="47"/>
      <c r="ET46" s="47"/>
      <c r="EU46" s="47"/>
      <c r="EV46" s="47"/>
      <c r="EW46" s="47"/>
      <c r="EX46" s="47"/>
      <c r="EY46" s="47"/>
      <c r="EZ46" s="47"/>
      <c r="FA46" s="47"/>
      <c r="FB46" s="47"/>
      <c r="FC46" s="47"/>
      <c r="FD46" s="47"/>
      <c r="FE46" s="47"/>
      <c r="FF46" s="47"/>
      <c r="FG46" s="47"/>
      <c r="FH46" s="47"/>
      <c r="FI46" s="47"/>
      <c r="FJ46" s="47"/>
      <c r="FK46" s="47"/>
      <c r="FL46" s="47"/>
      <c r="FM46" s="47"/>
      <c r="FN46" s="47"/>
      <c r="FO46" s="47"/>
      <c r="FP46" s="47"/>
      <c r="FQ46" s="47"/>
      <c r="FR46" s="47"/>
      <c r="FS46" s="47"/>
      <c r="FT46" s="47"/>
      <c r="FU46" s="47"/>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47"/>
    </row>
    <row r="47" spans="1:204" ht="16.5" hidden="1" customHeight="1">
      <c r="A47" s="43" t="s">
        <v>108</v>
      </c>
      <c r="B47" s="46"/>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47"/>
      <c r="EO47" s="47"/>
      <c r="EP47" s="47"/>
      <c r="EQ47" s="47"/>
      <c r="ER47" s="47"/>
      <c r="ES47" s="47"/>
      <c r="ET47" s="47"/>
      <c r="EU47" s="47"/>
      <c r="EV47" s="47"/>
      <c r="EW47" s="47"/>
      <c r="EX47" s="47"/>
      <c r="EY47" s="47"/>
      <c r="EZ47" s="47"/>
      <c r="FA47" s="47"/>
      <c r="FB47" s="47"/>
      <c r="FC47" s="47"/>
      <c r="FD47" s="47"/>
      <c r="FE47" s="47"/>
      <c r="FF47" s="47"/>
      <c r="FG47" s="47"/>
      <c r="FH47" s="47"/>
      <c r="FI47" s="47"/>
      <c r="FJ47" s="47"/>
      <c r="FK47" s="47"/>
      <c r="FL47" s="47"/>
      <c r="FM47" s="47"/>
      <c r="FN47" s="47"/>
      <c r="FO47" s="47"/>
      <c r="FP47" s="47"/>
      <c r="FQ47" s="47"/>
      <c r="FR47" s="47"/>
      <c r="FS47" s="47"/>
      <c r="FT47" s="47"/>
      <c r="FU47" s="47"/>
      <c r="FV47" s="47"/>
      <c r="FW47" s="47"/>
      <c r="FX47" s="47"/>
      <c r="FY47" s="47"/>
      <c r="FZ47" s="47"/>
      <c r="GA47" s="47"/>
      <c r="GB47" s="47"/>
      <c r="GC47" s="47"/>
      <c r="GD47" s="47"/>
      <c r="GE47" s="47"/>
      <c r="GF47" s="47"/>
      <c r="GG47" s="47"/>
      <c r="GH47" s="47"/>
      <c r="GI47" s="47"/>
      <c r="GJ47" s="47"/>
      <c r="GK47" s="47"/>
      <c r="GL47" s="47"/>
      <c r="GM47" s="47"/>
      <c r="GN47" s="47"/>
      <c r="GO47" s="47"/>
      <c r="GP47" s="47"/>
      <c r="GQ47" s="47"/>
      <c r="GR47" s="47"/>
      <c r="GS47" s="47"/>
      <c r="GT47" s="47"/>
    </row>
    <row r="48" spans="1:204" ht="16.5" hidden="1" customHeight="1">
      <c r="A48" s="42" t="s">
        <v>105</v>
      </c>
      <c r="B48" s="46"/>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47"/>
      <c r="DV48" s="47"/>
      <c r="DW48" s="47"/>
      <c r="DX48" s="47"/>
      <c r="DY48" s="47"/>
      <c r="DZ48" s="47"/>
      <c r="EA48" s="47"/>
      <c r="EB48" s="47"/>
      <c r="EC48" s="47"/>
      <c r="ED48" s="47"/>
      <c r="EE48" s="47"/>
      <c r="EF48" s="47"/>
      <c r="EG48" s="47"/>
      <c r="EH48" s="47"/>
      <c r="EI48" s="47"/>
      <c r="EJ48" s="47"/>
      <c r="EK48" s="47"/>
      <c r="EL48" s="47"/>
      <c r="EM48" s="47"/>
      <c r="EN48" s="47"/>
      <c r="EO48" s="47"/>
      <c r="EP48" s="47"/>
      <c r="EQ48" s="47"/>
      <c r="ER48" s="47"/>
      <c r="ES48" s="47"/>
      <c r="ET48" s="47"/>
      <c r="EU48" s="47"/>
      <c r="EV48" s="47"/>
      <c r="EW48" s="47"/>
      <c r="EX48" s="47"/>
      <c r="EY48" s="47"/>
      <c r="EZ48" s="47"/>
      <c r="FA48" s="47"/>
      <c r="FB48" s="47"/>
      <c r="FC48" s="47"/>
      <c r="FD48" s="47"/>
      <c r="FE48" s="47"/>
      <c r="FF48" s="47"/>
      <c r="FG48" s="47"/>
      <c r="FH48" s="47"/>
      <c r="FI48" s="47"/>
      <c r="FJ48" s="47"/>
      <c r="FK48" s="47"/>
      <c r="FL48" s="47"/>
      <c r="FM48" s="47"/>
      <c r="FN48" s="47"/>
      <c r="FO48" s="47"/>
      <c r="FP48" s="47"/>
      <c r="FQ48" s="47"/>
      <c r="FR48" s="47"/>
      <c r="FS48" s="47"/>
      <c r="FT48" s="47"/>
      <c r="FU48" s="47"/>
      <c r="FV48" s="47"/>
      <c r="FW48" s="47"/>
      <c r="FX48" s="47"/>
      <c r="FY48" s="47"/>
      <c r="FZ48" s="47"/>
      <c r="GA48" s="47"/>
      <c r="GB48" s="47"/>
      <c r="GC48" s="47"/>
      <c r="GD48" s="47"/>
      <c r="GE48" s="47"/>
      <c r="GF48" s="47"/>
      <c r="GG48" s="47"/>
      <c r="GH48" s="47"/>
      <c r="GI48" s="47"/>
      <c r="GJ48" s="47"/>
      <c r="GK48" s="47"/>
      <c r="GL48" s="47"/>
      <c r="GM48" s="47"/>
      <c r="GN48" s="47"/>
      <c r="GO48" s="47"/>
      <c r="GP48" s="47"/>
      <c r="GQ48" s="47"/>
      <c r="GR48" s="47"/>
      <c r="GS48" s="47"/>
      <c r="GT48" s="47"/>
    </row>
    <row r="49" spans="1:202" ht="16.5" hidden="1" customHeight="1">
      <c r="A49" s="42" t="s">
        <v>94</v>
      </c>
      <c r="B49" s="46"/>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47"/>
      <c r="EJ49" s="47"/>
      <c r="EK49" s="47"/>
      <c r="EL49" s="47"/>
      <c r="EM49" s="47"/>
      <c r="EN49" s="47"/>
      <c r="EO49" s="47"/>
      <c r="EP49" s="47"/>
      <c r="EQ49" s="47"/>
      <c r="ER49" s="47"/>
      <c r="ES49" s="47"/>
      <c r="ET49" s="47"/>
      <c r="EU49" s="47"/>
      <c r="EV49" s="47"/>
      <c r="EW49" s="47"/>
      <c r="EX49" s="47"/>
      <c r="EY49" s="47"/>
      <c r="EZ49" s="47"/>
      <c r="FA49" s="47"/>
      <c r="FB49" s="47"/>
      <c r="FC49" s="47"/>
      <c r="FD49" s="47"/>
      <c r="FE49" s="47"/>
      <c r="FF49" s="47"/>
      <c r="FG49" s="47"/>
      <c r="FH49" s="47"/>
      <c r="FI49" s="47"/>
      <c r="FJ49" s="47"/>
      <c r="FK49" s="47"/>
      <c r="FL49" s="47"/>
      <c r="FM49" s="47"/>
      <c r="FN49" s="47"/>
      <c r="FO49" s="47"/>
      <c r="FP49" s="47"/>
      <c r="FQ49" s="47"/>
      <c r="FR49" s="47"/>
      <c r="FS49" s="47"/>
      <c r="FT49" s="47"/>
      <c r="FU49" s="47"/>
      <c r="FV49" s="47"/>
      <c r="FW49" s="47"/>
      <c r="FX49" s="47"/>
      <c r="FY49" s="47"/>
      <c r="FZ49" s="47"/>
      <c r="GA49" s="47"/>
      <c r="GB49" s="47"/>
      <c r="GC49" s="47"/>
      <c r="GD49" s="47"/>
      <c r="GE49" s="47"/>
      <c r="GF49" s="47"/>
      <c r="GG49" s="47"/>
      <c r="GH49" s="47"/>
      <c r="GI49" s="47"/>
      <c r="GJ49" s="47"/>
      <c r="GK49" s="47"/>
      <c r="GL49" s="47"/>
      <c r="GM49" s="47"/>
      <c r="GN49" s="47"/>
      <c r="GO49" s="47"/>
      <c r="GP49" s="47"/>
      <c r="GQ49" s="47"/>
      <c r="GR49" s="47"/>
      <c r="GS49" s="47"/>
      <c r="GT49" s="47"/>
    </row>
    <row r="50" spans="1:202" ht="16.5" hidden="1" customHeight="1">
      <c r="A50" s="42" t="s">
        <v>100</v>
      </c>
      <c r="B50" s="46"/>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row>
    <row r="51" spans="1:202" ht="16.5" hidden="1" customHeight="1">
      <c r="A51" s="42" t="s">
        <v>99</v>
      </c>
      <c r="B51" s="46"/>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47"/>
      <c r="EJ51" s="47"/>
      <c r="EK51" s="47"/>
      <c r="EL51" s="47"/>
      <c r="EM51" s="47"/>
      <c r="EN51" s="47"/>
      <c r="EO51" s="47"/>
      <c r="EP51" s="47"/>
      <c r="EQ51" s="47"/>
      <c r="ER51" s="47"/>
      <c r="ES51" s="47"/>
      <c r="ET51" s="47"/>
      <c r="EU51" s="47"/>
      <c r="EV51" s="47"/>
      <c r="EW51" s="47"/>
      <c r="EX51" s="47"/>
      <c r="EY51" s="47"/>
      <c r="EZ51" s="47"/>
      <c r="FA51" s="47"/>
      <c r="FB51" s="47"/>
      <c r="FC51" s="47"/>
      <c r="FD51" s="47"/>
      <c r="FE51" s="47"/>
      <c r="FF51" s="47"/>
      <c r="FG51" s="47"/>
      <c r="FH51" s="47"/>
      <c r="FI51" s="47"/>
      <c r="FJ51" s="47"/>
      <c r="FK51" s="47"/>
      <c r="FL51" s="47"/>
      <c r="FM51" s="47"/>
      <c r="FN51" s="47"/>
      <c r="FO51" s="47"/>
      <c r="FP51" s="47"/>
      <c r="FQ51" s="47"/>
      <c r="FR51" s="47"/>
      <c r="FS51" s="47"/>
      <c r="FT51" s="47"/>
      <c r="FU51" s="47"/>
      <c r="FV51" s="47"/>
      <c r="FW51" s="47"/>
      <c r="FX51" s="47"/>
      <c r="FY51" s="47"/>
      <c r="FZ51" s="47"/>
      <c r="GA51" s="47"/>
      <c r="GB51" s="47"/>
      <c r="GC51" s="47"/>
      <c r="GD51" s="47"/>
      <c r="GE51" s="47"/>
      <c r="GF51" s="47"/>
      <c r="GG51" s="47"/>
      <c r="GH51" s="47"/>
      <c r="GI51" s="47"/>
      <c r="GJ51" s="47"/>
      <c r="GK51" s="47"/>
      <c r="GL51" s="47"/>
      <c r="GM51" s="47"/>
      <c r="GN51" s="47"/>
      <c r="GO51" s="47"/>
      <c r="GP51" s="47"/>
      <c r="GQ51" s="47"/>
      <c r="GR51" s="47"/>
      <c r="GS51" s="47"/>
      <c r="GT51" s="47"/>
    </row>
    <row r="52" spans="1:202" ht="16.5" hidden="1" customHeight="1">
      <c r="A52" s="42" t="s">
        <v>100</v>
      </c>
      <c r="B52" s="46"/>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47"/>
      <c r="DV52" s="47"/>
      <c r="DW52" s="47"/>
      <c r="DX52" s="47"/>
      <c r="DY52" s="47"/>
      <c r="DZ52" s="47"/>
      <c r="EA52" s="47"/>
      <c r="EB52" s="47"/>
      <c r="EC52" s="47"/>
      <c r="ED52" s="47"/>
      <c r="EE52" s="47"/>
      <c r="EF52" s="47"/>
      <c r="EG52" s="47"/>
      <c r="EH52" s="47"/>
      <c r="EI52" s="47"/>
      <c r="EJ52" s="47"/>
      <c r="EK52" s="47"/>
      <c r="EL52" s="47"/>
      <c r="EM52" s="47"/>
      <c r="EN52" s="47"/>
      <c r="EO52" s="47"/>
      <c r="EP52" s="47"/>
      <c r="EQ52" s="47"/>
      <c r="ER52" s="47"/>
      <c r="ES52" s="47"/>
      <c r="ET52" s="47"/>
      <c r="EU52" s="47"/>
      <c r="EV52" s="47"/>
      <c r="EW52" s="47"/>
      <c r="EX52" s="47"/>
      <c r="EY52" s="47"/>
      <c r="EZ52" s="47"/>
      <c r="FA52" s="47"/>
      <c r="FB52" s="47"/>
      <c r="FC52" s="47"/>
      <c r="FD52" s="47"/>
      <c r="FE52" s="47"/>
      <c r="FF52" s="47"/>
      <c r="FG52" s="47"/>
      <c r="FH52" s="47"/>
      <c r="FI52" s="47"/>
      <c r="FJ52" s="47"/>
      <c r="FK52" s="47"/>
      <c r="FL52" s="47"/>
      <c r="FM52" s="47"/>
      <c r="FN52" s="47"/>
      <c r="FO52" s="47"/>
      <c r="FP52" s="47"/>
      <c r="FQ52" s="47"/>
      <c r="FR52" s="47"/>
      <c r="FS52" s="47"/>
      <c r="FT52" s="47"/>
      <c r="FU52" s="47"/>
      <c r="FV52" s="47"/>
      <c r="FW52" s="47"/>
      <c r="FX52" s="47"/>
      <c r="FY52" s="47"/>
      <c r="FZ52" s="47"/>
      <c r="GA52" s="47"/>
      <c r="GB52" s="47"/>
      <c r="GC52" s="47"/>
      <c r="GD52" s="47"/>
      <c r="GE52" s="47"/>
      <c r="GF52" s="47"/>
      <c r="GG52" s="47"/>
      <c r="GH52" s="47"/>
      <c r="GI52" s="47"/>
      <c r="GJ52" s="47"/>
      <c r="GK52" s="47"/>
      <c r="GL52" s="47"/>
      <c r="GM52" s="47"/>
      <c r="GN52" s="47"/>
      <c r="GO52" s="47"/>
      <c r="GP52" s="47"/>
      <c r="GQ52" s="47"/>
      <c r="GR52" s="47"/>
      <c r="GS52" s="47"/>
      <c r="GT52" s="47"/>
    </row>
    <row r="53" spans="1:202" s="28" customFormat="1" ht="21" hidden="1">
      <c r="A53" s="232" t="s">
        <v>238</v>
      </c>
      <c r="B53" s="44"/>
      <c r="C53" s="45">
        <f>SUM(C54:C61)</f>
        <v>0</v>
      </c>
      <c r="D53" s="45">
        <f t="shared" ref="D53:BO53" si="45">SUM(D54:D61)</f>
        <v>0</v>
      </c>
      <c r="E53" s="45">
        <f t="shared" si="45"/>
        <v>0</v>
      </c>
      <c r="F53" s="45">
        <f>SUM(F54:F61)</f>
        <v>0</v>
      </c>
      <c r="G53" s="45">
        <f t="shared" si="45"/>
        <v>0</v>
      </c>
      <c r="H53" s="45">
        <f t="shared" si="45"/>
        <v>0</v>
      </c>
      <c r="I53" s="45">
        <f>SUM(I54:I61)</f>
        <v>0</v>
      </c>
      <c r="J53" s="45">
        <f t="shared" si="45"/>
        <v>0</v>
      </c>
      <c r="K53" s="45">
        <f>SUM(K54:K61)</f>
        <v>0</v>
      </c>
      <c r="L53" s="45">
        <f t="shared" si="45"/>
        <v>0</v>
      </c>
      <c r="M53" s="45">
        <f t="shared" si="45"/>
        <v>0</v>
      </c>
      <c r="N53" s="45">
        <f t="shared" si="45"/>
        <v>0</v>
      </c>
      <c r="O53" s="45">
        <f t="shared" si="45"/>
        <v>0</v>
      </c>
      <c r="P53" s="45">
        <f t="shared" si="45"/>
        <v>0</v>
      </c>
      <c r="Q53" s="45">
        <f t="shared" si="45"/>
        <v>0</v>
      </c>
      <c r="R53" s="45">
        <f t="shared" si="45"/>
        <v>0</v>
      </c>
      <c r="S53" s="45">
        <f t="shared" si="45"/>
        <v>0</v>
      </c>
      <c r="T53" s="45">
        <f t="shared" si="45"/>
        <v>0</v>
      </c>
      <c r="U53" s="45">
        <f t="shared" si="45"/>
        <v>0</v>
      </c>
      <c r="V53" s="45">
        <f t="shared" si="45"/>
        <v>0</v>
      </c>
      <c r="W53" s="45">
        <f t="shared" si="45"/>
        <v>0</v>
      </c>
      <c r="X53" s="45">
        <f t="shared" si="45"/>
        <v>0</v>
      </c>
      <c r="Y53" s="45">
        <f t="shared" si="45"/>
        <v>0</v>
      </c>
      <c r="Z53" s="45">
        <f t="shared" si="45"/>
        <v>0</v>
      </c>
      <c r="AA53" s="45">
        <f t="shared" si="45"/>
        <v>0</v>
      </c>
      <c r="AB53" s="45">
        <f t="shared" si="45"/>
        <v>0</v>
      </c>
      <c r="AC53" s="45">
        <f t="shared" si="45"/>
        <v>0</v>
      </c>
      <c r="AD53" s="45">
        <f t="shared" si="45"/>
        <v>0</v>
      </c>
      <c r="AE53" s="45">
        <f t="shared" si="45"/>
        <v>0</v>
      </c>
      <c r="AF53" s="45">
        <f t="shared" si="45"/>
        <v>0</v>
      </c>
      <c r="AG53" s="45">
        <f t="shared" si="45"/>
        <v>0</v>
      </c>
      <c r="AH53" s="45">
        <f t="shared" si="45"/>
        <v>0</v>
      </c>
      <c r="AI53" s="45">
        <f t="shared" si="45"/>
        <v>0</v>
      </c>
      <c r="AJ53" s="45">
        <f t="shared" si="45"/>
        <v>0</v>
      </c>
      <c r="AK53" s="45">
        <f t="shared" si="45"/>
        <v>0</v>
      </c>
      <c r="AL53" s="45">
        <f t="shared" si="45"/>
        <v>0</v>
      </c>
      <c r="AM53" s="45">
        <f t="shared" si="45"/>
        <v>0</v>
      </c>
      <c r="AN53" s="45">
        <f t="shared" si="45"/>
        <v>0</v>
      </c>
      <c r="AO53" s="45">
        <f t="shared" si="45"/>
        <v>0</v>
      </c>
      <c r="AP53" s="45">
        <f t="shared" si="45"/>
        <v>0</v>
      </c>
      <c r="AQ53" s="45">
        <f t="shared" si="45"/>
        <v>0</v>
      </c>
      <c r="AR53" s="45">
        <f t="shared" si="45"/>
        <v>0</v>
      </c>
      <c r="AS53" s="45">
        <f t="shared" si="45"/>
        <v>0</v>
      </c>
      <c r="AT53" s="45">
        <f t="shared" si="45"/>
        <v>0</v>
      </c>
      <c r="AU53" s="45">
        <f t="shared" si="45"/>
        <v>0</v>
      </c>
      <c r="AV53" s="45">
        <f t="shared" si="45"/>
        <v>0</v>
      </c>
      <c r="AW53" s="45">
        <f t="shared" si="45"/>
        <v>0</v>
      </c>
      <c r="AX53" s="45">
        <f t="shared" si="45"/>
        <v>0</v>
      </c>
      <c r="AY53" s="45">
        <f t="shared" si="45"/>
        <v>0</v>
      </c>
      <c r="AZ53" s="45">
        <f t="shared" si="45"/>
        <v>0</v>
      </c>
      <c r="BA53" s="45">
        <f t="shared" si="45"/>
        <v>0</v>
      </c>
      <c r="BB53" s="45">
        <f t="shared" si="45"/>
        <v>0</v>
      </c>
      <c r="BC53" s="45">
        <f t="shared" si="45"/>
        <v>0</v>
      </c>
      <c r="BD53" s="45">
        <f t="shared" si="45"/>
        <v>0</v>
      </c>
      <c r="BE53" s="45">
        <f t="shared" si="45"/>
        <v>0</v>
      </c>
      <c r="BF53" s="45">
        <f t="shared" si="45"/>
        <v>0</v>
      </c>
      <c r="BG53" s="45">
        <f t="shared" si="45"/>
        <v>0</v>
      </c>
      <c r="BH53" s="45">
        <f t="shared" si="45"/>
        <v>0</v>
      </c>
      <c r="BI53" s="45">
        <f t="shared" si="45"/>
        <v>0</v>
      </c>
      <c r="BJ53" s="45">
        <f t="shared" si="45"/>
        <v>0</v>
      </c>
      <c r="BK53" s="45">
        <f t="shared" si="45"/>
        <v>0</v>
      </c>
      <c r="BL53" s="45">
        <f t="shared" si="45"/>
        <v>0</v>
      </c>
      <c r="BM53" s="45">
        <f t="shared" si="45"/>
        <v>0</v>
      </c>
      <c r="BN53" s="45">
        <f t="shared" si="45"/>
        <v>0</v>
      </c>
      <c r="BO53" s="45">
        <f t="shared" si="45"/>
        <v>0</v>
      </c>
      <c r="BP53" s="45">
        <f t="shared" ref="BP53:EA53" si="46">SUM(BP54:BP61)</f>
        <v>0</v>
      </c>
      <c r="BQ53" s="45">
        <f t="shared" si="46"/>
        <v>0</v>
      </c>
      <c r="BR53" s="45">
        <f t="shared" si="46"/>
        <v>0</v>
      </c>
      <c r="BS53" s="45">
        <f t="shared" si="46"/>
        <v>0</v>
      </c>
      <c r="BT53" s="45">
        <f t="shared" si="46"/>
        <v>0</v>
      </c>
      <c r="BU53" s="45">
        <f t="shared" si="46"/>
        <v>0</v>
      </c>
      <c r="BV53" s="45">
        <f t="shared" si="46"/>
        <v>0</v>
      </c>
      <c r="BW53" s="45">
        <f t="shared" si="46"/>
        <v>0</v>
      </c>
      <c r="BX53" s="45">
        <f t="shared" si="46"/>
        <v>0</v>
      </c>
      <c r="BY53" s="45">
        <f t="shared" si="46"/>
        <v>0</v>
      </c>
      <c r="BZ53" s="45">
        <f t="shared" si="46"/>
        <v>0</v>
      </c>
      <c r="CA53" s="45">
        <f t="shared" si="46"/>
        <v>0</v>
      </c>
      <c r="CB53" s="45">
        <f t="shared" si="46"/>
        <v>0</v>
      </c>
      <c r="CC53" s="45">
        <f t="shared" si="46"/>
        <v>0</v>
      </c>
      <c r="CD53" s="45">
        <f t="shared" si="46"/>
        <v>0</v>
      </c>
      <c r="CE53" s="45">
        <f t="shared" si="46"/>
        <v>0</v>
      </c>
      <c r="CF53" s="45">
        <f t="shared" si="46"/>
        <v>0</v>
      </c>
      <c r="CG53" s="45">
        <f t="shared" si="46"/>
        <v>0</v>
      </c>
      <c r="CH53" s="45">
        <f t="shared" si="46"/>
        <v>0</v>
      </c>
      <c r="CI53" s="45">
        <f t="shared" si="46"/>
        <v>0</v>
      </c>
      <c r="CJ53" s="45">
        <f t="shared" si="46"/>
        <v>0</v>
      </c>
      <c r="CK53" s="45">
        <f t="shared" si="46"/>
        <v>0</v>
      </c>
      <c r="CL53" s="45">
        <f t="shared" si="46"/>
        <v>0</v>
      </c>
      <c r="CM53" s="45">
        <f t="shared" si="46"/>
        <v>0</v>
      </c>
      <c r="CN53" s="45">
        <f t="shared" si="46"/>
        <v>0</v>
      </c>
      <c r="CO53" s="45">
        <f t="shared" si="46"/>
        <v>0</v>
      </c>
      <c r="CP53" s="45">
        <f t="shared" si="46"/>
        <v>0</v>
      </c>
      <c r="CQ53" s="45">
        <f t="shared" si="46"/>
        <v>0</v>
      </c>
      <c r="CR53" s="45">
        <f t="shared" si="46"/>
        <v>0</v>
      </c>
      <c r="CS53" s="45">
        <f t="shared" si="46"/>
        <v>0</v>
      </c>
      <c r="CT53" s="45">
        <f t="shared" si="46"/>
        <v>0</v>
      </c>
      <c r="CU53" s="45">
        <f t="shared" si="46"/>
        <v>0</v>
      </c>
      <c r="CV53" s="45">
        <f t="shared" si="46"/>
        <v>0</v>
      </c>
      <c r="CW53" s="45">
        <f t="shared" si="46"/>
        <v>0</v>
      </c>
      <c r="CX53" s="45">
        <f t="shared" si="46"/>
        <v>0</v>
      </c>
      <c r="CY53" s="45">
        <f t="shared" si="46"/>
        <v>0</v>
      </c>
      <c r="CZ53" s="45">
        <f t="shared" si="46"/>
        <v>0</v>
      </c>
      <c r="DA53" s="45">
        <f t="shared" si="46"/>
        <v>0</v>
      </c>
      <c r="DB53" s="45">
        <f t="shared" si="46"/>
        <v>0</v>
      </c>
      <c r="DC53" s="45">
        <f t="shared" si="46"/>
        <v>0</v>
      </c>
      <c r="DD53" s="45">
        <f t="shared" si="46"/>
        <v>0</v>
      </c>
      <c r="DE53" s="45">
        <f t="shared" si="46"/>
        <v>0</v>
      </c>
      <c r="DF53" s="45">
        <f t="shared" si="46"/>
        <v>0</v>
      </c>
      <c r="DG53" s="45">
        <f t="shared" si="46"/>
        <v>0</v>
      </c>
      <c r="DH53" s="45">
        <f t="shared" si="46"/>
        <v>0</v>
      </c>
      <c r="DI53" s="45">
        <f t="shared" si="46"/>
        <v>0</v>
      </c>
      <c r="DJ53" s="45">
        <f t="shared" si="46"/>
        <v>0</v>
      </c>
      <c r="DK53" s="45">
        <f t="shared" si="46"/>
        <v>0</v>
      </c>
      <c r="DL53" s="45">
        <f t="shared" si="46"/>
        <v>0</v>
      </c>
      <c r="DM53" s="45">
        <f t="shared" si="46"/>
        <v>0</v>
      </c>
      <c r="DN53" s="45">
        <f t="shared" si="46"/>
        <v>0</v>
      </c>
      <c r="DO53" s="45">
        <f t="shared" si="46"/>
        <v>0</v>
      </c>
      <c r="DP53" s="45">
        <f t="shared" si="46"/>
        <v>0</v>
      </c>
      <c r="DQ53" s="45">
        <f t="shared" si="46"/>
        <v>0</v>
      </c>
      <c r="DR53" s="45">
        <f t="shared" si="46"/>
        <v>0</v>
      </c>
      <c r="DS53" s="45">
        <f t="shared" si="46"/>
        <v>0</v>
      </c>
      <c r="DT53" s="45">
        <f t="shared" si="46"/>
        <v>0</v>
      </c>
      <c r="DU53" s="45">
        <f t="shared" si="46"/>
        <v>0</v>
      </c>
      <c r="DV53" s="45">
        <f t="shared" si="46"/>
        <v>0</v>
      </c>
      <c r="DW53" s="45">
        <f t="shared" si="46"/>
        <v>0</v>
      </c>
      <c r="DX53" s="45">
        <f t="shared" si="46"/>
        <v>0</v>
      </c>
      <c r="DY53" s="45">
        <f t="shared" si="46"/>
        <v>0</v>
      </c>
      <c r="DZ53" s="45">
        <f t="shared" si="46"/>
        <v>0</v>
      </c>
      <c r="EA53" s="45">
        <f t="shared" si="46"/>
        <v>0</v>
      </c>
      <c r="EB53" s="45">
        <f t="shared" ref="EB53:GM53" si="47">SUM(EB54:EB61)</f>
        <v>0</v>
      </c>
      <c r="EC53" s="45">
        <f t="shared" si="47"/>
        <v>0</v>
      </c>
      <c r="ED53" s="45">
        <f t="shared" si="47"/>
        <v>0</v>
      </c>
      <c r="EE53" s="45">
        <f t="shared" si="47"/>
        <v>0</v>
      </c>
      <c r="EF53" s="45">
        <f t="shared" si="47"/>
        <v>0</v>
      </c>
      <c r="EG53" s="45">
        <f t="shared" si="47"/>
        <v>0</v>
      </c>
      <c r="EH53" s="45">
        <f t="shared" si="47"/>
        <v>0</v>
      </c>
      <c r="EI53" s="45">
        <f t="shared" si="47"/>
        <v>0</v>
      </c>
      <c r="EJ53" s="45">
        <f t="shared" si="47"/>
        <v>0</v>
      </c>
      <c r="EK53" s="45">
        <f t="shared" si="47"/>
        <v>0</v>
      </c>
      <c r="EL53" s="45">
        <f t="shared" si="47"/>
        <v>0</v>
      </c>
      <c r="EM53" s="45">
        <f t="shared" si="47"/>
        <v>0</v>
      </c>
      <c r="EN53" s="45">
        <f t="shared" si="47"/>
        <v>0</v>
      </c>
      <c r="EO53" s="45">
        <f t="shared" si="47"/>
        <v>0</v>
      </c>
      <c r="EP53" s="45">
        <f t="shared" si="47"/>
        <v>0</v>
      </c>
      <c r="EQ53" s="45">
        <f t="shared" si="47"/>
        <v>0</v>
      </c>
      <c r="ER53" s="45">
        <f t="shared" si="47"/>
        <v>0</v>
      </c>
      <c r="ES53" s="45">
        <f t="shared" si="47"/>
        <v>0</v>
      </c>
      <c r="ET53" s="45">
        <f t="shared" si="47"/>
        <v>0</v>
      </c>
      <c r="EU53" s="45">
        <f t="shared" si="47"/>
        <v>0</v>
      </c>
      <c r="EV53" s="45">
        <f t="shared" si="47"/>
        <v>0</v>
      </c>
      <c r="EW53" s="45">
        <f t="shared" si="47"/>
        <v>0</v>
      </c>
      <c r="EX53" s="45">
        <f t="shared" si="47"/>
        <v>0</v>
      </c>
      <c r="EY53" s="45">
        <f t="shared" si="47"/>
        <v>0</v>
      </c>
      <c r="EZ53" s="45">
        <f t="shared" si="47"/>
        <v>0</v>
      </c>
      <c r="FA53" s="45">
        <f t="shared" si="47"/>
        <v>0</v>
      </c>
      <c r="FB53" s="45">
        <f t="shared" si="47"/>
        <v>0</v>
      </c>
      <c r="FC53" s="45">
        <f t="shared" si="47"/>
        <v>0</v>
      </c>
      <c r="FD53" s="45">
        <f t="shared" si="47"/>
        <v>0</v>
      </c>
      <c r="FE53" s="45">
        <f t="shared" si="47"/>
        <v>0</v>
      </c>
      <c r="FF53" s="45">
        <f t="shared" si="47"/>
        <v>0</v>
      </c>
      <c r="FG53" s="45">
        <f t="shared" si="47"/>
        <v>0</v>
      </c>
      <c r="FH53" s="45">
        <f t="shared" si="47"/>
        <v>0</v>
      </c>
      <c r="FI53" s="45">
        <f t="shared" si="47"/>
        <v>0</v>
      </c>
      <c r="FJ53" s="45">
        <f t="shared" si="47"/>
        <v>0</v>
      </c>
      <c r="FK53" s="45">
        <f t="shared" si="47"/>
        <v>0</v>
      </c>
      <c r="FL53" s="45">
        <f t="shared" si="47"/>
        <v>0</v>
      </c>
      <c r="FM53" s="45">
        <f t="shared" si="47"/>
        <v>0</v>
      </c>
      <c r="FN53" s="45">
        <f t="shared" si="47"/>
        <v>0</v>
      </c>
      <c r="FO53" s="45">
        <f t="shared" si="47"/>
        <v>0</v>
      </c>
      <c r="FP53" s="45">
        <f t="shared" si="47"/>
        <v>0</v>
      </c>
      <c r="FQ53" s="45">
        <f t="shared" si="47"/>
        <v>0</v>
      </c>
      <c r="FR53" s="45">
        <f t="shared" si="47"/>
        <v>0</v>
      </c>
      <c r="FS53" s="45">
        <f t="shared" si="47"/>
        <v>0</v>
      </c>
      <c r="FT53" s="45">
        <f t="shared" si="47"/>
        <v>0</v>
      </c>
      <c r="FU53" s="45">
        <f t="shared" si="47"/>
        <v>0</v>
      </c>
      <c r="FV53" s="45">
        <f t="shared" si="47"/>
        <v>0</v>
      </c>
      <c r="FW53" s="45">
        <f t="shared" si="47"/>
        <v>0</v>
      </c>
      <c r="FX53" s="45">
        <f t="shared" si="47"/>
        <v>0</v>
      </c>
      <c r="FY53" s="45">
        <f t="shared" si="47"/>
        <v>0</v>
      </c>
      <c r="FZ53" s="45">
        <f t="shared" si="47"/>
        <v>0</v>
      </c>
      <c r="GA53" s="45">
        <f t="shared" si="47"/>
        <v>0</v>
      </c>
      <c r="GB53" s="45">
        <f t="shared" si="47"/>
        <v>0</v>
      </c>
      <c r="GC53" s="45">
        <f t="shared" si="47"/>
        <v>0</v>
      </c>
      <c r="GD53" s="45">
        <f t="shared" si="47"/>
        <v>0</v>
      </c>
      <c r="GE53" s="45">
        <f t="shared" si="47"/>
        <v>0</v>
      </c>
      <c r="GF53" s="45">
        <f t="shared" si="47"/>
        <v>0</v>
      </c>
      <c r="GG53" s="45">
        <f t="shared" si="47"/>
        <v>0</v>
      </c>
      <c r="GH53" s="45">
        <f t="shared" si="47"/>
        <v>0</v>
      </c>
      <c r="GI53" s="45">
        <f t="shared" si="47"/>
        <v>0</v>
      </c>
      <c r="GJ53" s="45">
        <f t="shared" si="47"/>
        <v>0</v>
      </c>
      <c r="GK53" s="45">
        <f t="shared" si="47"/>
        <v>0</v>
      </c>
      <c r="GL53" s="45">
        <f t="shared" si="47"/>
        <v>0</v>
      </c>
      <c r="GM53" s="45">
        <f t="shared" si="47"/>
        <v>0</v>
      </c>
      <c r="GN53" s="45">
        <f t="shared" ref="GN53:GT53" si="48">SUM(GN54:GN61)</f>
        <v>0</v>
      </c>
      <c r="GO53" s="45">
        <f t="shared" si="48"/>
        <v>0</v>
      </c>
      <c r="GP53" s="45">
        <f t="shared" si="48"/>
        <v>0</v>
      </c>
      <c r="GQ53" s="45">
        <f t="shared" si="48"/>
        <v>0</v>
      </c>
      <c r="GR53" s="45">
        <f t="shared" si="48"/>
        <v>0</v>
      </c>
      <c r="GS53" s="45">
        <f>SUM(GS54:GS61)</f>
        <v>0</v>
      </c>
      <c r="GT53" s="45">
        <f t="shared" si="48"/>
        <v>0</v>
      </c>
    </row>
    <row r="54" spans="1:202" ht="16.5" hidden="1" customHeight="1">
      <c r="A54" s="96" t="s">
        <v>23</v>
      </c>
      <c r="B54" s="92"/>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3"/>
      <c r="CX54" s="93"/>
      <c r="CY54" s="93"/>
      <c r="CZ54" s="93"/>
      <c r="DA54" s="93"/>
      <c r="DB54" s="93"/>
      <c r="DC54" s="93"/>
      <c r="DD54" s="93"/>
      <c r="DE54" s="93"/>
      <c r="DF54" s="93"/>
      <c r="DG54" s="93"/>
      <c r="DH54" s="93"/>
      <c r="DI54" s="93"/>
      <c r="DJ54" s="93"/>
      <c r="DK54" s="93"/>
      <c r="DL54" s="93"/>
      <c r="DM54" s="93"/>
      <c r="DN54" s="93"/>
      <c r="DO54" s="93"/>
      <c r="DP54" s="93"/>
      <c r="DQ54" s="93"/>
      <c r="DR54" s="93"/>
      <c r="DS54" s="93"/>
      <c r="DT54" s="93"/>
      <c r="DU54" s="93"/>
      <c r="DV54" s="93"/>
      <c r="DW54" s="93"/>
      <c r="DX54" s="93"/>
      <c r="DY54" s="93"/>
      <c r="DZ54" s="93"/>
      <c r="EA54" s="93"/>
      <c r="EB54" s="93"/>
      <c r="EC54" s="93"/>
      <c r="ED54" s="93"/>
      <c r="EE54" s="93"/>
      <c r="EF54" s="93"/>
      <c r="EG54" s="93"/>
      <c r="EH54" s="93"/>
      <c r="EI54" s="93"/>
      <c r="EJ54" s="93"/>
      <c r="EK54" s="93"/>
      <c r="EL54" s="93"/>
      <c r="EM54" s="93"/>
      <c r="EN54" s="93"/>
      <c r="EO54" s="93"/>
      <c r="EP54" s="93"/>
      <c r="EQ54" s="93"/>
      <c r="ER54" s="93"/>
      <c r="ES54" s="93"/>
      <c r="ET54" s="93"/>
      <c r="EU54" s="93"/>
      <c r="EV54" s="93"/>
      <c r="EW54" s="93"/>
      <c r="EX54" s="93"/>
      <c r="EY54" s="93"/>
      <c r="EZ54" s="93"/>
      <c r="FA54" s="93"/>
      <c r="FB54" s="93"/>
      <c r="FC54" s="93"/>
      <c r="FD54" s="93"/>
      <c r="FE54" s="93"/>
      <c r="FF54" s="93"/>
      <c r="FG54" s="93"/>
      <c r="FH54" s="93"/>
      <c r="FI54" s="93"/>
      <c r="FJ54" s="93"/>
      <c r="FK54" s="93"/>
      <c r="FL54" s="93"/>
      <c r="FM54" s="93"/>
      <c r="FN54" s="93"/>
      <c r="FO54" s="93"/>
      <c r="FP54" s="93"/>
      <c r="FQ54" s="93"/>
      <c r="FR54" s="93"/>
      <c r="FS54" s="93"/>
      <c r="FT54" s="93"/>
      <c r="FU54" s="93"/>
      <c r="FV54" s="93"/>
      <c r="FW54" s="93"/>
      <c r="FX54" s="93"/>
      <c r="FY54" s="93"/>
      <c r="FZ54" s="93"/>
      <c r="GA54" s="93"/>
      <c r="GB54" s="93"/>
      <c r="GC54" s="93"/>
      <c r="GD54" s="93"/>
      <c r="GE54" s="93"/>
      <c r="GF54" s="93"/>
      <c r="GG54" s="93"/>
      <c r="GH54" s="93"/>
      <c r="GI54" s="93"/>
      <c r="GJ54" s="93"/>
      <c r="GK54" s="93"/>
      <c r="GL54" s="93"/>
      <c r="GM54" s="93"/>
      <c r="GN54" s="93"/>
      <c r="GO54" s="93"/>
      <c r="GP54" s="93"/>
      <c r="GQ54" s="93"/>
      <c r="GR54" s="93"/>
      <c r="GS54" s="93"/>
      <c r="GT54" s="93"/>
    </row>
    <row r="55" spans="1:202" ht="16.5" hidden="1" customHeight="1">
      <c r="A55" s="96" t="s">
        <v>240</v>
      </c>
      <c r="B55" s="92"/>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c r="CK55" s="93"/>
      <c r="CL55" s="93"/>
      <c r="CM55" s="93"/>
      <c r="CN55" s="93"/>
      <c r="CO55" s="93"/>
      <c r="CP55" s="93"/>
      <c r="CQ55" s="93"/>
      <c r="CR55" s="93"/>
      <c r="CS55" s="93"/>
      <c r="CT55" s="93"/>
      <c r="CU55" s="93"/>
      <c r="CV55" s="93"/>
      <c r="CW55" s="93"/>
      <c r="CX55" s="93"/>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c r="EC55" s="93"/>
      <c r="ED55" s="93"/>
      <c r="EE55" s="93"/>
      <c r="EF55" s="93"/>
      <c r="EG55" s="93"/>
      <c r="EH55" s="93"/>
      <c r="EI55" s="93"/>
      <c r="EJ55" s="93"/>
      <c r="EK55" s="93"/>
      <c r="EL55" s="93"/>
      <c r="EM55" s="93"/>
      <c r="EN55" s="93"/>
      <c r="EO55" s="93"/>
      <c r="EP55" s="93"/>
      <c r="EQ55" s="93"/>
      <c r="ER55" s="93"/>
      <c r="ES55" s="93"/>
      <c r="ET55" s="93"/>
      <c r="EU55" s="93"/>
      <c r="EV55" s="93"/>
      <c r="EW55" s="93"/>
      <c r="EX55" s="93"/>
      <c r="EY55" s="93"/>
      <c r="EZ55" s="93"/>
      <c r="FA55" s="93"/>
      <c r="FB55" s="93"/>
      <c r="FC55" s="93"/>
      <c r="FD55" s="93"/>
      <c r="FE55" s="93"/>
      <c r="FF55" s="93"/>
      <c r="FG55" s="93"/>
      <c r="FH55" s="93"/>
      <c r="FI55" s="93"/>
      <c r="FJ55" s="93"/>
      <c r="FK55" s="93"/>
      <c r="FL55" s="93"/>
      <c r="FM55" s="93"/>
      <c r="FN55" s="93"/>
      <c r="FO55" s="93"/>
      <c r="FP55" s="93"/>
      <c r="FQ55" s="93"/>
      <c r="FR55" s="93"/>
      <c r="FS55" s="93"/>
      <c r="FT55" s="93"/>
      <c r="FU55" s="93"/>
      <c r="FV55" s="93"/>
      <c r="FW55" s="93"/>
      <c r="FX55" s="93"/>
      <c r="FY55" s="93"/>
      <c r="FZ55" s="93"/>
      <c r="GA55" s="93"/>
      <c r="GB55" s="93"/>
      <c r="GC55" s="93"/>
      <c r="GD55" s="93"/>
      <c r="GE55" s="93"/>
      <c r="GF55" s="93"/>
      <c r="GG55" s="93"/>
      <c r="GH55" s="93"/>
      <c r="GI55" s="93"/>
      <c r="GJ55" s="93"/>
      <c r="GK55" s="93"/>
      <c r="GL55" s="93"/>
      <c r="GM55" s="93"/>
      <c r="GN55" s="93"/>
      <c r="GO55" s="93"/>
      <c r="GP55" s="93"/>
      <c r="GQ55" s="93"/>
      <c r="GR55" s="93"/>
      <c r="GS55" s="93"/>
      <c r="GT55" s="93"/>
    </row>
    <row r="56" spans="1:202" ht="16.5" hidden="1" customHeight="1">
      <c r="A56" s="96" t="s">
        <v>11</v>
      </c>
      <c r="B56" s="92"/>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c r="EC56" s="93"/>
      <c r="ED56" s="93"/>
      <c r="EE56" s="93"/>
      <c r="EF56" s="93"/>
      <c r="EG56" s="93"/>
      <c r="EH56" s="93"/>
      <c r="EI56" s="93"/>
      <c r="EJ56" s="93"/>
      <c r="EK56" s="93"/>
      <c r="EL56" s="93"/>
      <c r="EM56" s="93"/>
      <c r="EN56" s="93"/>
      <c r="EO56" s="93"/>
      <c r="EP56" s="93"/>
      <c r="EQ56" s="93"/>
      <c r="ER56" s="93"/>
      <c r="ES56" s="93"/>
      <c r="ET56" s="93"/>
      <c r="EU56" s="93"/>
      <c r="EV56" s="93"/>
      <c r="EW56" s="93"/>
      <c r="EX56" s="93"/>
      <c r="EY56" s="93"/>
      <c r="EZ56" s="93"/>
      <c r="FA56" s="93"/>
      <c r="FB56" s="93"/>
      <c r="FC56" s="93"/>
      <c r="FD56" s="93"/>
      <c r="FE56" s="93"/>
      <c r="FF56" s="93"/>
      <c r="FG56" s="93"/>
      <c r="FH56" s="93"/>
      <c r="FI56" s="93"/>
      <c r="FJ56" s="93"/>
      <c r="FK56" s="93"/>
      <c r="FL56" s="93"/>
      <c r="FM56" s="93"/>
      <c r="FN56" s="93"/>
      <c r="FO56" s="93"/>
      <c r="FP56" s="93"/>
      <c r="FQ56" s="93"/>
      <c r="FR56" s="93"/>
      <c r="FS56" s="93"/>
      <c r="FT56" s="93"/>
      <c r="FU56" s="93"/>
      <c r="FV56" s="93"/>
      <c r="FW56" s="93"/>
      <c r="FX56" s="93"/>
      <c r="FY56" s="93"/>
      <c r="FZ56" s="93"/>
      <c r="GA56" s="93"/>
      <c r="GB56" s="93"/>
      <c r="GC56" s="93"/>
      <c r="GD56" s="93"/>
      <c r="GE56" s="93"/>
      <c r="GF56" s="93"/>
      <c r="GG56" s="93"/>
      <c r="GH56" s="93"/>
      <c r="GI56" s="93"/>
      <c r="GJ56" s="93"/>
      <c r="GK56" s="93"/>
      <c r="GL56" s="93"/>
      <c r="GM56" s="93"/>
      <c r="GN56" s="93"/>
      <c r="GO56" s="93"/>
      <c r="GP56" s="93"/>
      <c r="GQ56" s="93"/>
      <c r="GR56" s="93"/>
      <c r="GS56" s="93"/>
      <c r="GT56" s="93"/>
    </row>
    <row r="57" spans="1:202" ht="16.5" hidden="1" customHeight="1">
      <c r="A57" s="96" t="s">
        <v>23</v>
      </c>
      <c r="B57" s="92"/>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c r="CV57" s="93"/>
      <c r="CW57" s="93"/>
      <c r="CX57" s="93"/>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c r="EC57" s="93"/>
      <c r="ED57" s="93"/>
      <c r="EE57" s="93"/>
      <c r="EF57" s="93"/>
      <c r="EG57" s="93"/>
      <c r="EH57" s="93"/>
      <c r="EI57" s="93"/>
      <c r="EJ57" s="93"/>
      <c r="EK57" s="93"/>
      <c r="EL57" s="93"/>
      <c r="EM57" s="93"/>
      <c r="EN57" s="93"/>
      <c r="EO57" s="93"/>
      <c r="EP57" s="93"/>
      <c r="EQ57" s="93"/>
      <c r="ER57" s="93"/>
      <c r="ES57" s="93"/>
      <c r="ET57" s="93"/>
      <c r="EU57" s="93"/>
      <c r="EV57" s="93"/>
      <c r="EW57" s="93"/>
      <c r="EX57" s="93"/>
      <c r="EY57" s="93"/>
      <c r="EZ57" s="93"/>
      <c r="FA57" s="93"/>
      <c r="FB57" s="93"/>
      <c r="FC57" s="93"/>
      <c r="FD57" s="93"/>
      <c r="FE57" s="93"/>
      <c r="FF57" s="93"/>
      <c r="FG57" s="93"/>
      <c r="FH57" s="93"/>
      <c r="FI57" s="93"/>
      <c r="FJ57" s="93"/>
      <c r="FK57" s="93"/>
      <c r="FL57" s="93"/>
      <c r="FM57" s="93"/>
      <c r="FN57" s="93"/>
      <c r="FO57" s="93"/>
      <c r="FP57" s="93"/>
      <c r="FQ57" s="93"/>
      <c r="FR57" s="93"/>
      <c r="FS57" s="93"/>
      <c r="FT57" s="93"/>
      <c r="FU57" s="93"/>
      <c r="FV57" s="93"/>
      <c r="FW57" s="93"/>
      <c r="FX57" s="93"/>
      <c r="FY57" s="93"/>
      <c r="FZ57" s="93"/>
      <c r="GA57" s="93"/>
      <c r="GB57" s="93"/>
      <c r="GC57" s="93"/>
      <c r="GD57" s="93"/>
      <c r="GE57" s="93"/>
      <c r="GF57" s="93"/>
      <c r="GG57" s="93"/>
      <c r="GH57" s="93"/>
      <c r="GI57" s="93"/>
      <c r="GJ57" s="93"/>
      <c r="GK57" s="93"/>
      <c r="GL57" s="93"/>
      <c r="GM57" s="93"/>
      <c r="GN57" s="93"/>
      <c r="GO57" s="93"/>
      <c r="GP57" s="93"/>
      <c r="GQ57" s="93"/>
      <c r="GR57" s="93"/>
      <c r="GS57" s="93"/>
      <c r="GT57" s="93"/>
    </row>
    <row r="58" spans="1:202" ht="16.5" hidden="1" customHeight="1">
      <c r="A58" s="96" t="s">
        <v>240</v>
      </c>
      <c r="B58" s="92"/>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c r="EC58" s="93"/>
      <c r="ED58" s="93"/>
      <c r="EE58" s="93"/>
      <c r="EF58" s="93"/>
      <c r="EG58" s="93"/>
      <c r="EH58" s="93"/>
      <c r="EI58" s="93"/>
      <c r="EJ58" s="93"/>
      <c r="EK58" s="93"/>
      <c r="EL58" s="93"/>
      <c r="EM58" s="93"/>
      <c r="EN58" s="93"/>
      <c r="EO58" s="93"/>
      <c r="EP58" s="93"/>
      <c r="EQ58" s="93"/>
      <c r="ER58" s="93"/>
      <c r="ES58" s="93"/>
      <c r="ET58" s="93"/>
      <c r="EU58" s="93"/>
      <c r="EV58" s="93"/>
      <c r="EW58" s="93"/>
      <c r="EX58" s="93"/>
      <c r="EY58" s="93"/>
      <c r="EZ58" s="93"/>
      <c r="FA58" s="93"/>
      <c r="FB58" s="93"/>
      <c r="FC58" s="93"/>
      <c r="FD58" s="93"/>
      <c r="FE58" s="93"/>
      <c r="FF58" s="93"/>
      <c r="FG58" s="93"/>
      <c r="FH58" s="93"/>
      <c r="FI58" s="93"/>
      <c r="FJ58" s="93"/>
      <c r="FK58" s="93"/>
      <c r="FL58" s="93"/>
      <c r="FM58" s="93"/>
      <c r="FN58" s="93"/>
      <c r="FO58" s="93"/>
      <c r="FP58" s="93"/>
      <c r="FQ58" s="93"/>
      <c r="FR58" s="93"/>
      <c r="FS58" s="93"/>
      <c r="FT58" s="93"/>
      <c r="FU58" s="93"/>
      <c r="FV58" s="93"/>
      <c r="FW58" s="93"/>
      <c r="FX58" s="93"/>
      <c r="FY58" s="93"/>
      <c r="FZ58" s="93"/>
      <c r="GA58" s="93"/>
      <c r="GB58" s="93"/>
      <c r="GC58" s="93"/>
      <c r="GD58" s="93"/>
      <c r="GE58" s="93"/>
      <c r="GF58" s="93"/>
      <c r="GG58" s="93"/>
      <c r="GH58" s="93"/>
      <c r="GI58" s="93"/>
      <c r="GJ58" s="93"/>
      <c r="GK58" s="93"/>
      <c r="GL58" s="93"/>
      <c r="GM58" s="93"/>
      <c r="GN58" s="93"/>
      <c r="GO58" s="93"/>
      <c r="GP58" s="93"/>
      <c r="GQ58" s="93"/>
      <c r="GR58" s="93"/>
      <c r="GS58" s="93"/>
      <c r="GT58" s="93"/>
    </row>
    <row r="59" spans="1:202" ht="16.5" hidden="1" customHeight="1">
      <c r="A59" s="96" t="s">
        <v>11</v>
      </c>
      <c r="B59" s="92"/>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c r="CV59" s="93"/>
      <c r="CW59" s="93"/>
      <c r="CX59" s="93"/>
      <c r="CY59" s="93"/>
      <c r="CZ59" s="93"/>
      <c r="DA59" s="93"/>
      <c r="DB59" s="93"/>
      <c r="DC59" s="93"/>
      <c r="DD59" s="93"/>
      <c r="DE59" s="93"/>
      <c r="DF59" s="93"/>
      <c r="DG59" s="93"/>
      <c r="DH59" s="93"/>
      <c r="DI59" s="93"/>
      <c r="DJ59" s="93"/>
      <c r="DK59" s="93"/>
      <c r="DL59" s="93"/>
      <c r="DM59" s="93"/>
      <c r="DN59" s="93"/>
      <c r="DO59" s="93"/>
      <c r="DP59" s="93"/>
      <c r="DQ59" s="93"/>
      <c r="DR59" s="93"/>
      <c r="DS59" s="93"/>
      <c r="DT59" s="93"/>
      <c r="DU59" s="93"/>
      <c r="DV59" s="93"/>
      <c r="DW59" s="93"/>
      <c r="DX59" s="93"/>
      <c r="DY59" s="93"/>
      <c r="DZ59" s="93"/>
      <c r="EA59" s="93"/>
      <c r="EB59" s="93"/>
      <c r="EC59" s="93"/>
      <c r="ED59" s="93"/>
      <c r="EE59" s="93"/>
      <c r="EF59" s="93"/>
      <c r="EG59" s="93"/>
      <c r="EH59" s="93"/>
      <c r="EI59" s="93"/>
      <c r="EJ59" s="93"/>
      <c r="EK59" s="93"/>
      <c r="EL59" s="93"/>
      <c r="EM59" s="93"/>
      <c r="EN59" s="93"/>
      <c r="EO59" s="93"/>
      <c r="EP59" s="93"/>
      <c r="EQ59" s="93"/>
      <c r="ER59" s="93"/>
      <c r="ES59" s="93"/>
      <c r="ET59" s="93"/>
      <c r="EU59" s="93"/>
      <c r="EV59" s="93"/>
      <c r="EW59" s="93"/>
      <c r="EX59" s="93"/>
      <c r="EY59" s="93"/>
      <c r="EZ59" s="93"/>
      <c r="FA59" s="93"/>
      <c r="FB59" s="93"/>
      <c r="FC59" s="93"/>
      <c r="FD59" s="93"/>
      <c r="FE59" s="93"/>
      <c r="FF59" s="93"/>
      <c r="FG59" s="93"/>
      <c r="FH59" s="93"/>
      <c r="FI59" s="93"/>
      <c r="FJ59" s="93"/>
      <c r="FK59" s="93"/>
      <c r="FL59" s="93"/>
      <c r="FM59" s="93"/>
      <c r="FN59" s="93"/>
      <c r="FO59" s="93"/>
      <c r="FP59" s="93"/>
      <c r="FQ59" s="93"/>
      <c r="FR59" s="93"/>
      <c r="FS59" s="93"/>
      <c r="FT59" s="93"/>
      <c r="FU59" s="93"/>
      <c r="FV59" s="93"/>
      <c r="FW59" s="93"/>
      <c r="FX59" s="93"/>
      <c r="FY59" s="93"/>
      <c r="FZ59" s="93"/>
      <c r="GA59" s="93"/>
      <c r="GB59" s="93"/>
      <c r="GC59" s="93"/>
      <c r="GD59" s="93"/>
      <c r="GE59" s="93"/>
      <c r="GF59" s="93"/>
      <c r="GG59" s="93"/>
      <c r="GH59" s="93"/>
      <c r="GI59" s="93"/>
      <c r="GJ59" s="93"/>
      <c r="GK59" s="93"/>
      <c r="GL59" s="93"/>
      <c r="GM59" s="93"/>
      <c r="GN59" s="93"/>
      <c r="GO59" s="93"/>
      <c r="GP59" s="93"/>
      <c r="GQ59" s="93"/>
      <c r="GR59" s="93"/>
      <c r="GS59" s="93"/>
      <c r="GT59" s="93"/>
    </row>
    <row r="60" spans="1:202" ht="16.5" hidden="1" customHeight="1">
      <c r="A60" s="96" t="s">
        <v>23</v>
      </c>
      <c r="B60" s="92"/>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c r="CR60" s="93"/>
      <c r="CS60" s="93"/>
      <c r="CT60" s="93"/>
      <c r="CU60" s="93"/>
      <c r="CV60" s="93"/>
      <c r="CW60" s="93"/>
      <c r="CX60" s="93"/>
      <c r="CY60" s="93"/>
      <c r="CZ60" s="93"/>
      <c r="DA60" s="93"/>
      <c r="DB60" s="93"/>
      <c r="DC60" s="93"/>
      <c r="DD60" s="93"/>
      <c r="DE60" s="93"/>
      <c r="DF60" s="93"/>
      <c r="DG60" s="93"/>
      <c r="DH60" s="93"/>
      <c r="DI60" s="93"/>
      <c r="DJ60" s="93"/>
      <c r="DK60" s="93"/>
      <c r="DL60" s="93"/>
      <c r="DM60" s="93"/>
      <c r="DN60" s="93"/>
      <c r="DO60" s="93"/>
      <c r="DP60" s="93"/>
      <c r="DQ60" s="93"/>
      <c r="DR60" s="93"/>
      <c r="DS60" s="93"/>
      <c r="DT60" s="93"/>
      <c r="DU60" s="93"/>
      <c r="DV60" s="93"/>
      <c r="DW60" s="93"/>
      <c r="DX60" s="93"/>
      <c r="DY60" s="93"/>
      <c r="DZ60" s="93"/>
      <c r="EA60" s="93"/>
      <c r="EB60" s="93"/>
      <c r="EC60" s="93"/>
      <c r="ED60" s="93"/>
      <c r="EE60" s="93"/>
      <c r="EF60" s="93"/>
      <c r="EG60" s="93"/>
      <c r="EH60" s="93"/>
      <c r="EI60" s="93"/>
      <c r="EJ60" s="93"/>
      <c r="EK60" s="93"/>
      <c r="EL60" s="93"/>
      <c r="EM60" s="93"/>
      <c r="EN60" s="93"/>
      <c r="EO60" s="93"/>
      <c r="EP60" s="93"/>
      <c r="EQ60" s="93"/>
      <c r="ER60" s="93"/>
      <c r="ES60" s="93"/>
      <c r="ET60" s="93"/>
      <c r="EU60" s="93"/>
      <c r="EV60" s="93"/>
      <c r="EW60" s="93"/>
      <c r="EX60" s="93"/>
      <c r="EY60" s="93"/>
      <c r="EZ60" s="93"/>
      <c r="FA60" s="93"/>
      <c r="FB60" s="93"/>
      <c r="FC60" s="93"/>
      <c r="FD60" s="93"/>
      <c r="FE60" s="93"/>
      <c r="FF60" s="93"/>
      <c r="FG60" s="93"/>
      <c r="FH60" s="93"/>
      <c r="FI60" s="93"/>
      <c r="FJ60" s="93"/>
      <c r="FK60" s="93"/>
      <c r="FL60" s="93"/>
      <c r="FM60" s="93"/>
      <c r="FN60" s="93"/>
      <c r="FO60" s="93"/>
      <c r="FP60" s="93"/>
      <c r="FQ60" s="93"/>
      <c r="FR60" s="93"/>
      <c r="FS60" s="93"/>
      <c r="FT60" s="93"/>
      <c r="FU60" s="93"/>
      <c r="FV60" s="93"/>
      <c r="FW60" s="93"/>
      <c r="FX60" s="93"/>
      <c r="FY60" s="93"/>
      <c r="FZ60" s="93"/>
      <c r="GA60" s="93"/>
      <c r="GB60" s="93"/>
      <c r="GC60" s="93"/>
      <c r="GD60" s="93"/>
      <c r="GE60" s="93"/>
      <c r="GF60" s="93"/>
      <c r="GG60" s="93"/>
      <c r="GH60" s="93"/>
      <c r="GI60" s="93"/>
      <c r="GJ60" s="93"/>
      <c r="GK60" s="93"/>
      <c r="GL60" s="93"/>
      <c r="GM60" s="93"/>
      <c r="GN60" s="93"/>
      <c r="GO60" s="93"/>
      <c r="GP60" s="93"/>
      <c r="GQ60" s="93"/>
      <c r="GR60" s="93"/>
      <c r="GS60" s="93"/>
      <c r="GT60" s="93"/>
    </row>
    <row r="61" spans="1:202" ht="16.5" hidden="1" customHeight="1">
      <c r="A61" s="96" t="s">
        <v>240</v>
      </c>
      <c r="B61" s="92"/>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c r="CR61" s="93"/>
      <c r="CS61" s="93"/>
      <c r="CT61" s="93"/>
      <c r="CU61" s="93"/>
      <c r="CV61" s="93"/>
      <c r="CW61" s="93"/>
      <c r="CX61" s="93"/>
      <c r="CY61" s="93"/>
      <c r="CZ61" s="93"/>
      <c r="DA61" s="93"/>
      <c r="DB61" s="93"/>
      <c r="DC61" s="93"/>
      <c r="DD61" s="93"/>
      <c r="DE61" s="93"/>
      <c r="DF61" s="93"/>
      <c r="DG61" s="93"/>
      <c r="DH61" s="93"/>
      <c r="DI61" s="93"/>
      <c r="DJ61" s="93"/>
      <c r="DK61" s="93"/>
      <c r="DL61" s="93"/>
      <c r="DM61" s="93"/>
      <c r="DN61" s="93"/>
      <c r="DO61" s="93"/>
      <c r="DP61" s="93"/>
      <c r="DQ61" s="93"/>
      <c r="DR61" s="93"/>
      <c r="DS61" s="93"/>
      <c r="DT61" s="93"/>
      <c r="DU61" s="93"/>
      <c r="DV61" s="93"/>
      <c r="DW61" s="93"/>
      <c r="DX61" s="93"/>
      <c r="DY61" s="93"/>
      <c r="DZ61" s="93"/>
      <c r="EA61" s="93"/>
      <c r="EB61" s="93"/>
      <c r="EC61" s="93"/>
      <c r="ED61" s="93"/>
      <c r="EE61" s="93"/>
      <c r="EF61" s="93"/>
      <c r="EG61" s="93"/>
      <c r="EH61" s="93"/>
      <c r="EI61" s="93"/>
      <c r="EJ61" s="93"/>
      <c r="EK61" s="93"/>
      <c r="EL61" s="93"/>
      <c r="EM61" s="93"/>
      <c r="EN61" s="93"/>
      <c r="EO61" s="93"/>
      <c r="EP61" s="93"/>
      <c r="EQ61" s="93"/>
      <c r="ER61" s="93"/>
      <c r="ES61" s="93"/>
      <c r="ET61" s="93"/>
      <c r="EU61" s="93"/>
      <c r="EV61" s="93"/>
      <c r="EW61" s="93"/>
      <c r="EX61" s="93"/>
      <c r="EY61" s="93"/>
      <c r="EZ61" s="93"/>
      <c r="FA61" s="93"/>
      <c r="FB61" s="93"/>
      <c r="FC61" s="93"/>
      <c r="FD61" s="93"/>
      <c r="FE61" s="93"/>
      <c r="FF61" s="93"/>
      <c r="FG61" s="93"/>
      <c r="FH61" s="93"/>
      <c r="FI61" s="93"/>
      <c r="FJ61" s="93"/>
      <c r="FK61" s="93"/>
      <c r="FL61" s="93"/>
      <c r="FM61" s="93"/>
      <c r="FN61" s="93"/>
      <c r="FO61" s="93"/>
      <c r="FP61" s="93"/>
      <c r="FQ61" s="93"/>
      <c r="FR61" s="93"/>
      <c r="FS61" s="93"/>
      <c r="FT61" s="93"/>
      <c r="FU61" s="93"/>
      <c r="FV61" s="93"/>
      <c r="FW61" s="93"/>
      <c r="FX61" s="93"/>
      <c r="FY61" s="93"/>
      <c r="FZ61" s="93"/>
      <c r="GA61" s="93"/>
      <c r="GB61" s="93"/>
      <c r="GC61" s="93"/>
      <c r="GD61" s="93"/>
      <c r="GE61" s="93"/>
      <c r="GF61" s="93"/>
      <c r="GG61" s="93"/>
      <c r="GH61" s="93"/>
      <c r="GI61" s="93"/>
      <c r="GJ61" s="93"/>
      <c r="GK61" s="93"/>
      <c r="GL61" s="93"/>
      <c r="GM61" s="93"/>
      <c r="GN61" s="93"/>
      <c r="GO61" s="93"/>
      <c r="GP61" s="93"/>
      <c r="GQ61" s="93"/>
      <c r="GR61" s="93"/>
      <c r="GS61" s="93"/>
      <c r="GT61" s="93"/>
    </row>
    <row r="62" spans="1:202" s="28" customFormat="1" ht="21" hidden="1">
      <c r="A62" s="41" t="s">
        <v>36</v>
      </c>
      <c r="B62" s="44"/>
      <c r="C62" s="45">
        <f>-SUM(C63:C70)</f>
        <v>0</v>
      </c>
      <c r="D62" s="45">
        <f t="shared" ref="D62:BO62" si="49">-SUM(D63:D70)</f>
        <v>0</v>
      </c>
      <c r="E62" s="45">
        <f>-SUM(E63:E70)</f>
        <v>0</v>
      </c>
      <c r="F62" s="45">
        <f t="shared" si="49"/>
        <v>0</v>
      </c>
      <c r="G62" s="45">
        <f t="shared" si="49"/>
        <v>0</v>
      </c>
      <c r="H62" s="45">
        <f t="shared" si="49"/>
        <v>0</v>
      </c>
      <c r="I62" s="45">
        <f t="shared" si="49"/>
        <v>0</v>
      </c>
      <c r="J62" s="45">
        <f t="shared" si="49"/>
        <v>0</v>
      </c>
      <c r="K62" s="45">
        <f t="shared" si="49"/>
        <v>0</v>
      </c>
      <c r="L62" s="45">
        <f t="shared" si="49"/>
        <v>0</v>
      </c>
      <c r="M62" s="45">
        <f t="shared" si="49"/>
        <v>0</v>
      </c>
      <c r="N62" s="45">
        <f t="shared" si="49"/>
        <v>0</v>
      </c>
      <c r="O62" s="45">
        <f t="shared" si="49"/>
        <v>0</v>
      </c>
      <c r="P62" s="45">
        <f t="shared" si="49"/>
        <v>0</v>
      </c>
      <c r="Q62" s="45">
        <f t="shared" si="49"/>
        <v>0</v>
      </c>
      <c r="R62" s="45">
        <f t="shared" si="49"/>
        <v>0</v>
      </c>
      <c r="S62" s="45">
        <f t="shared" si="49"/>
        <v>0</v>
      </c>
      <c r="T62" s="45">
        <f t="shared" si="49"/>
        <v>0</v>
      </c>
      <c r="U62" s="45">
        <f t="shared" si="49"/>
        <v>0</v>
      </c>
      <c r="V62" s="45">
        <f t="shared" si="49"/>
        <v>0</v>
      </c>
      <c r="W62" s="45">
        <f t="shared" si="49"/>
        <v>0</v>
      </c>
      <c r="X62" s="45">
        <f t="shared" si="49"/>
        <v>0</v>
      </c>
      <c r="Y62" s="45">
        <f t="shared" si="49"/>
        <v>0</v>
      </c>
      <c r="Z62" s="45">
        <f t="shared" si="49"/>
        <v>0</v>
      </c>
      <c r="AA62" s="45">
        <f t="shared" si="49"/>
        <v>0</v>
      </c>
      <c r="AB62" s="45">
        <f t="shared" si="49"/>
        <v>0</v>
      </c>
      <c r="AC62" s="45">
        <f t="shared" si="49"/>
        <v>0</v>
      </c>
      <c r="AD62" s="45">
        <f t="shared" si="49"/>
        <v>0</v>
      </c>
      <c r="AE62" s="45">
        <f t="shared" si="49"/>
        <v>0</v>
      </c>
      <c r="AF62" s="45">
        <f t="shared" si="49"/>
        <v>0</v>
      </c>
      <c r="AG62" s="45">
        <f t="shared" si="49"/>
        <v>0</v>
      </c>
      <c r="AH62" s="45">
        <f t="shared" si="49"/>
        <v>0</v>
      </c>
      <c r="AI62" s="45">
        <f t="shared" si="49"/>
        <v>0</v>
      </c>
      <c r="AJ62" s="45">
        <f t="shared" si="49"/>
        <v>0</v>
      </c>
      <c r="AK62" s="45">
        <f t="shared" si="49"/>
        <v>0</v>
      </c>
      <c r="AL62" s="45">
        <f t="shared" si="49"/>
        <v>0</v>
      </c>
      <c r="AM62" s="45">
        <f t="shared" si="49"/>
        <v>0</v>
      </c>
      <c r="AN62" s="45">
        <f t="shared" si="49"/>
        <v>0</v>
      </c>
      <c r="AO62" s="45">
        <f t="shared" si="49"/>
        <v>0</v>
      </c>
      <c r="AP62" s="45">
        <f t="shared" si="49"/>
        <v>0</v>
      </c>
      <c r="AQ62" s="45">
        <f t="shared" si="49"/>
        <v>0</v>
      </c>
      <c r="AR62" s="45">
        <f t="shared" si="49"/>
        <v>0</v>
      </c>
      <c r="AS62" s="45">
        <f t="shared" si="49"/>
        <v>0</v>
      </c>
      <c r="AT62" s="45">
        <f t="shared" si="49"/>
        <v>0</v>
      </c>
      <c r="AU62" s="45">
        <f t="shared" si="49"/>
        <v>0</v>
      </c>
      <c r="AV62" s="45">
        <f t="shared" si="49"/>
        <v>0</v>
      </c>
      <c r="AW62" s="45">
        <f t="shared" si="49"/>
        <v>0</v>
      </c>
      <c r="AX62" s="45">
        <f t="shared" si="49"/>
        <v>0</v>
      </c>
      <c r="AY62" s="45">
        <f t="shared" si="49"/>
        <v>0</v>
      </c>
      <c r="AZ62" s="45">
        <f t="shared" si="49"/>
        <v>0</v>
      </c>
      <c r="BA62" s="45">
        <f t="shared" si="49"/>
        <v>0</v>
      </c>
      <c r="BB62" s="45">
        <f t="shared" si="49"/>
        <v>0</v>
      </c>
      <c r="BC62" s="45">
        <f t="shared" si="49"/>
        <v>0</v>
      </c>
      <c r="BD62" s="45">
        <f t="shared" si="49"/>
        <v>0</v>
      </c>
      <c r="BE62" s="45">
        <f t="shared" si="49"/>
        <v>0</v>
      </c>
      <c r="BF62" s="45">
        <f t="shared" si="49"/>
        <v>0</v>
      </c>
      <c r="BG62" s="45">
        <f t="shared" si="49"/>
        <v>0</v>
      </c>
      <c r="BH62" s="45">
        <f t="shared" si="49"/>
        <v>0</v>
      </c>
      <c r="BI62" s="45">
        <f t="shared" si="49"/>
        <v>0</v>
      </c>
      <c r="BJ62" s="45">
        <f t="shared" si="49"/>
        <v>0</v>
      </c>
      <c r="BK62" s="45">
        <f t="shared" si="49"/>
        <v>0</v>
      </c>
      <c r="BL62" s="45">
        <f t="shared" si="49"/>
        <v>0</v>
      </c>
      <c r="BM62" s="45">
        <f t="shared" si="49"/>
        <v>0</v>
      </c>
      <c r="BN62" s="45">
        <f t="shared" si="49"/>
        <v>0</v>
      </c>
      <c r="BO62" s="45">
        <f t="shared" si="49"/>
        <v>0</v>
      </c>
      <c r="BP62" s="45">
        <f t="shared" ref="BP62:EA62" si="50">-SUM(BP63:BP70)</f>
        <v>0</v>
      </c>
      <c r="BQ62" s="45">
        <f t="shared" si="50"/>
        <v>0</v>
      </c>
      <c r="BR62" s="45">
        <f t="shared" si="50"/>
        <v>0</v>
      </c>
      <c r="BS62" s="45">
        <f t="shared" si="50"/>
        <v>0</v>
      </c>
      <c r="BT62" s="45">
        <f t="shared" si="50"/>
        <v>0</v>
      </c>
      <c r="BU62" s="45">
        <f t="shared" si="50"/>
        <v>0</v>
      </c>
      <c r="BV62" s="45">
        <f t="shared" si="50"/>
        <v>0</v>
      </c>
      <c r="BW62" s="45">
        <f t="shared" si="50"/>
        <v>0</v>
      </c>
      <c r="BX62" s="45">
        <f t="shared" si="50"/>
        <v>0</v>
      </c>
      <c r="BY62" s="45">
        <f t="shared" si="50"/>
        <v>0</v>
      </c>
      <c r="BZ62" s="45">
        <f t="shared" si="50"/>
        <v>0</v>
      </c>
      <c r="CA62" s="45">
        <f t="shared" si="50"/>
        <v>0</v>
      </c>
      <c r="CB62" s="45">
        <f t="shared" si="50"/>
        <v>0</v>
      </c>
      <c r="CC62" s="45">
        <f t="shared" si="50"/>
        <v>0</v>
      </c>
      <c r="CD62" s="45">
        <f t="shared" si="50"/>
        <v>0</v>
      </c>
      <c r="CE62" s="45">
        <f t="shared" si="50"/>
        <v>0</v>
      </c>
      <c r="CF62" s="45">
        <f t="shared" si="50"/>
        <v>0</v>
      </c>
      <c r="CG62" s="45">
        <f t="shared" si="50"/>
        <v>0</v>
      </c>
      <c r="CH62" s="45">
        <f t="shared" si="50"/>
        <v>0</v>
      </c>
      <c r="CI62" s="45">
        <f t="shared" si="50"/>
        <v>0</v>
      </c>
      <c r="CJ62" s="45">
        <f t="shared" si="50"/>
        <v>0</v>
      </c>
      <c r="CK62" s="45">
        <f t="shared" si="50"/>
        <v>0</v>
      </c>
      <c r="CL62" s="45">
        <f t="shared" si="50"/>
        <v>0</v>
      </c>
      <c r="CM62" s="45">
        <f t="shared" si="50"/>
        <v>0</v>
      </c>
      <c r="CN62" s="45">
        <f t="shared" si="50"/>
        <v>0</v>
      </c>
      <c r="CO62" s="45">
        <f t="shared" si="50"/>
        <v>0</v>
      </c>
      <c r="CP62" s="45">
        <f t="shared" si="50"/>
        <v>0</v>
      </c>
      <c r="CQ62" s="45">
        <f t="shared" si="50"/>
        <v>0</v>
      </c>
      <c r="CR62" s="45">
        <f t="shared" si="50"/>
        <v>0</v>
      </c>
      <c r="CS62" s="45">
        <f t="shared" si="50"/>
        <v>0</v>
      </c>
      <c r="CT62" s="45">
        <f t="shared" si="50"/>
        <v>0</v>
      </c>
      <c r="CU62" s="45">
        <f t="shared" si="50"/>
        <v>0</v>
      </c>
      <c r="CV62" s="45">
        <f t="shared" si="50"/>
        <v>0</v>
      </c>
      <c r="CW62" s="45">
        <f t="shared" si="50"/>
        <v>0</v>
      </c>
      <c r="CX62" s="45">
        <f t="shared" si="50"/>
        <v>0</v>
      </c>
      <c r="CY62" s="45">
        <f t="shared" si="50"/>
        <v>0</v>
      </c>
      <c r="CZ62" s="45">
        <f t="shared" si="50"/>
        <v>0</v>
      </c>
      <c r="DA62" s="45">
        <f t="shared" si="50"/>
        <v>0</v>
      </c>
      <c r="DB62" s="45">
        <f t="shared" si="50"/>
        <v>0</v>
      </c>
      <c r="DC62" s="45">
        <f t="shared" si="50"/>
        <v>0</v>
      </c>
      <c r="DD62" s="45">
        <f t="shared" si="50"/>
        <v>0</v>
      </c>
      <c r="DE62" s="45">
        <f t="shared" si="50"/>
        <v>0</v>
      </c>
      <c r="DF62" s="45">
        <f t="shared" si="50"/>
        <v>0</v>
      </c>
      <c r="DG62" s="45">
        <f t="shared" si="50"/>
        <v>0</v>
      </c>
      <c r="DH62" s="45">
        <f t="shared" si="50"/>
        <v>0</v>
      </c>
      <c r="DI62" s="45">
        <f t="shared" si="50"/>
        <v>0</v>
      </c>
      <c r="DJ62" s="45">
        <f t="shared" si="50"/>
        <v>0</v>
      </c>
      <c r="DK62" s="45">
        <f t="shared" si="50"/>
        <v>0</v>
      </c>
      <c r="DL62" s="45">
        <f t="shared" si="50"/>
        <v>0</v>
      </c>
      <c r="DM62" s="45">
        <f t="shared" si="50"/>
        <v>0</v>
      </c>
      <c r="DN62" s="45">
        <f t="shared" si="50"/>
        <v>0</v>
      </c>
      <c r="DO62" s="45">
        <f t="shared" si="50"/>
        <v>0</v>
      </c>
      <c r="DP62" s="45">
        <f t="shared" si="50"/>
        <v>0</v>
      </c>
      <c r="DQ62" s="45">
        <f t="shared" si="50"/>
        <v>0</v>
      </c>
      <c r="DR62" s="45">
        <f t="shared" si="50"/>
        <v>0</v>
      </c>
      <c r="DS62" s="45">
        <f t="shared" si="50"/>
        <v>0</v>
      </c>
      <c r="DT62" s="45">
        <f t="shared" si="50"/>
        <v>0</v>
      </c>
      <c r="DU62" s="45">
        <f t="shared" si="50"/>
        <v>0</v>
      </c>
      <c r="DV62" s="45">
        <f t="shared" si="50"/>
        <v>0</v>
      </c>
      <c r="DW62" s="45">
        <f t="shared" si="50"/>
        <v>0</v>
      </c>
      <c r="DX62" s="45">
        <f t="shared" si="50"/>
        <v>0</v>
      </c>
      <c r="DY62" s="45">
        <f t="shared" si="50"/>
        <v>0</v>
      </c>
      <c r="DZ62" s="45">
        <f t="shared" si="50"/>
        <v>0</v>
      </c>
      <c r="EA62" s="45">
        <f t="shared" si="50"/>
        <v>0</v>
      </c>
      <c r="EB62" s="45">
        <f t="shared" ref="EB62:GM62" si="51">-SUM(EB63:EB70)</f>
        <v>0</v>
      </c>
      <c r="EC62" s="45">
        <f t="shared" si="51"/>
        <v>0</v>
      </c>
      <c r="ED62" s="45">
        <f t="shared" si="51"/>
        <v>0</v>
      </c>
      <c r="EE62" s="45">
        <f t="shared" si="51"/>
        <v>0</v>
      </c>
      <c r="EF62" s="45">
        <f t="shared" si="51"/>
        <v>0</v>
      </c>
      <c r="EG62" s="45">
        <f t="shared" si="51"/>
        <v>0</v>
      </c>
      <c r="EH62" s="45">
        <f t="shared" si="51"/>
        <v>0</v>
      </c>
      <c r="EI62" s="45">
        <f t="shared" si="51"/>
        <v>0</v>
      </c>
      <c r="EJ62" s="45">
        <f t="shared" si="51"/>
        <v>0</v>
      </c>
      <c r="EK62" s="45">
        <f t="shared" si="51"/>
        <v>0</v>
      </c>
      <c r="EL62" s="45">
        <f t="shared" si="51"/>
        <v>0</v>
      </c>
      <c r="EM62" s="45">
        <f t="shared" si="51"/>
        <v>0</v>
      </c>
      <c r="EN62" s="45">
        <f t="shared" si="51"/>
        <v>0</v>
      </c>
      <c r="EO62" s="45">
        <f t="shared" si="51"/>
        <v>0</v>
      </c>
      <c r="EP62" s="45">
        <f t="shared" si="51"/>
        <v>0</v>
      </c>
      <c r="EQ62" s="45">
        <f t="shared" si="51"/>
        <v>0</v>
      </c>
      <c r="ER62" s="45">
        <f t="shared" si="51"/>
        <v>0</v>
      </c>
      <c r="ES62" s="45">
        <f t="shared" si="51"/>
        <v>0</v>
      </c>
      <c r="ET62" s="45">
        <f t="shared" si="51"/>
        <v>0</v>
      </c>
      <c r="EU62" s="45">
        <f t="shared" si="51"/>
        <v>0</v>
      </c>
      <c r="EV62" s="45">
        <f t="shared" si="51"/>
        <v>0</v>
      </c>
      <c r="EW62" s="45">
        <f t="shared" si="51"/>
        <v>0</v>
      </c>
      <c r="EX62" s="45">
        <f t="shared" si="51"/>
        <v>0</v>
      </c>
      <c r="EY62" s="45">
        <f t="shared" si="51"/>
        <v>0</v>
      </c>
      <c r="EZ62" s="45">
        <f t="shared" si="51"/>
        <v>0</v>
      </c>
      <c r="FA62" s="45">
        <f t="shared" si="51"/>
        <v>0</v>
      </c>
      <c r="FB62" s="45">
        <f t="shared" si="51"/>
        <v>0</v>
      </c>
      <c r="FC62" s="45">
        <f t="shared" si="51"/>
        <v>0</v>
      </c>
      <c r="FD62" s="45">
        <f t="shared" si="51"/>
        <v>0</v>
      </c>
      <c r="FE62" s="45">
        <f t="shared" si="51"/>
        <v>0</v>
      </c>
      <c r="FF62" s="45">
        <f t="shared" si="51"/>
        <v>0</v>
      </c>
      <c r="FG62" s="45">
        <f t="shared" si="51"/>
        <v>0</v>
      </c>
      <c r="FH62" s="45">
        <f t="shared" si="51"/>
        <v>0</v>
      </c>
      <c r="FI62" s="45">
        <f t="shared" si="51"/>
        <v>0</v>
      </c>
      <c r="FJ62" s="45">
        <f t="shared" si="51"/>
        <v>0</v>
      </c>
      <c r="FK62" s="45">
        <f t="shared" si="51"/>
        <v>0</v>
      </c>
      <c r="FL62" s="45">
        <f t="shared" si="51"/>
        <v>0</v>
      </c>
      <c r="FM62" s="45">
        <f t="shared" si="51"/>
        <v>0</v>
      </c>
      <c r="FN62" s="45">
        <f t="shared" si="51"/>
        <v>0</v>
      </c>
      <c r="FO62" s="45">
        <f t="shared" si="51"/>
        <v>0</v>
      </c>
      <c r="FP62" s="45">
        <f t="shared" si="51"/>
        <v>0</v>
      </c>
      <c r="FQ62" s="45">
        <f t="shared" si="51"/>
        <v>0</v>
      </c>
      <c r="FR62" s="45">
        <f t="shared" si="51"/>
        <v>0</v>
      </c>
      <c r="FS62" s="45">
        <f t="shared" si="51"/>
        <v>0</v>
      </c>
      <c r="FT62" s="45">
        <f t="shared" si="51"/>
        <v>0</v>
      </c>
      <c r="FU62" s="45">
        <f t="shared" si="51"/>
        <v>0</v>
      </c>
      <c r="FV62" s="45">
        <f t="shared" si="51"/>
        <v>0</v>
      </c>
      <c r="FW62" s="45">
        <f t="shared" si="51"/>
        <v>0</v>
      </c>
      <c r="FX62" s="45">
        <f t="shared" si="51"/>
        <v>0</v>
      </c>
      <c r="FY62" s="45">
        <f t="shared" si="51"/>
        <v>0</v>
      </c>
      <c r="FZ62" s="45">
        <f t="shared" si="51"/>
        <v>0</v>
      </c>
      <c r="GA62" s="45">
        <f t="shared" si="51"/>
        <v>0</v>
      </c>
      <c r="GB62" s="45">
        <f t="shared" si="51"/>
        <v>0</v>
      </c>
      <c r="GC62" s="45">
        <f t="shared" si="51"/>
        <v>0</v>
      </c>
      <c r="GD62" s="45">
        <f t="shared" si="51"/>
        <v>0</v>
      </c>
      <c r="GE62" s="45">
        <f t="shared" si="51"/>
        <v>0</v>
      </c>
      <c r="GF62" s="45">
        <f t="shared" si="51"/>
        <v>0</v>
      </c>
      <c r="GG62" s="45">
        <f t="shared" si="51"/>
        <v>0</v>
      </c>
      <c r="GH62" s="45">
        <f t="shared" si="51"/>
        <v>0</v>
      </c>
      <c r="GI62" s="45">
        <f t="shared" si="51"/>
        <v>0</v>
      </c>
      <c r="GJ62" s="45">
        <f t="shared" si="51"/>
        <v>0</v>
      </c>
      <c r="GK62" s="45">
        <f t="shared" si="51"/>
        <v>0</v>
      </c>
      <c r="GL62" s="45">
        <f t="shared" si="51"/>
        <v>0</v>
      </c>
      <c r="GM62" s="45">
        <f t="shared" si="51"/>
        <v>0</v>
      </c>
      <c r="GN62" s="45">
        <f t="shared" ref="GN62:GT62" si="52">-SUM(GN63:GN70)</f>
        <v>0</v>
      </c>
      <c r="GO62" s="45">
        <f t="shared" si="52"/>
        <v>0</v>
      </c>
      <c r="GP62" s="45">
        <f t="shared" si="52"/>
        <v>0</v>
      </c>
      <c r="GQ62" s="45">
        <f t="shared" si="52"/>
        <v>0</v>
      </c>
      <c r="GR62" s="45">
        <f>-SUM(GR63:GR70)</f>
        <v>0</v>
      </c>
      <c r="GS62" s="45">
        <f t="shared" si="52"/>
        <v>0</v>
      </c>
      <c r="GT62" s="45">
        <f t="shared" si="52"/>
        <v>0</v>
      </c>
    </row>
    <row r="63" spans="1:202" ht="16.5" hidden="1" customHeight="1">
      <c r="A63" s="42" t="s">
        <v>23</v>
      </c>
      <c r="B63" s="46"/>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EI63" s="47"/>
      <c r="EJ63" s="47"/>
      <c r="EK63" s="47"/>
      <c r="EL63" s="47"/>
      <c r="EM63" s="47"/>
      <c r="EN63" s="47"/>
      <c r="EO63" s="47"/>
      <c r="EP63" s="47"/>
      <c r="EQ63" s="47"/>
      <c r="ER63" s="47"/>
      <c r="ES63" s="47"/>
      <c r="ET63" s="47"/>
      <c r="EU63" s="47"/>
      <c r="EV63" s="47"/>
      <c r="EW63" s="47"/>
      <c r="EX63" s="47"/>
      <c r="EY63" s="47"/>
      <c r="EZ63" s="47"/>
      <c r="FA63" s="47"/>
      <c r="FB63" s="47"/>
      <c r="FC63" s="47"/>
      <c r="FD63" s="47"/>
      <c r="FE63" s="47"/>
      <c r="FF63" s="47"/>
      <c r="FG63" s="47"/>
      <c r="FH63" s="47"/>
      <c r="FI63" s="47"/>
      <c r="FJ63" s="47"/>
      <c r="FK63" s="47"/>
      <c r="FL63" s="47"/>
      <c r="FM63" s="47"/>
      <c r="FN63" s="47"/>
      <c r="FO63" s="47"/>
      <c r="FP63" s="47"/>
      <c r="FQ63" s="47"/>
      <c r="FR63" s="47"/>
      <c r="FS63" s="47"/>
      <c r="FT63" s="47"/>
      <c r="FU63" s="47"/>
      <c r="FV63" s="47"/>
      <c r="FW63" s="47"/>
      <c r="FX63" s="47"/>
      <c r="FY63" s="47"/>
      <c r="FZ63" s="47"/>
      <c r="GA63" s="47"/>
      <c r="GB63" s="47"/>
      <c r="GC63" s="47"/>
      <c r="GD63" s="47"/>
      <c r="GE63" s="47"/>
      <c r="GF63" s="47"/>
      <c r="GG63" s="47"/>
      <c r="GH63" s="47"/>
      <c r="GI63" s="47"/>
      <c r="GJ63" s="47"/>
      <c r="GK63" s="47"/>
      <c r="GL63" s="47"/>
      <c r="GM63" s="47"/>
      <c r="GN63" s="47"/>
      <c r="GO63" s="47"/>
      <c r="GP63" s="47"/>
      <c r="GQ63" s="47"/>
      <c r="GR63" s="47"/>
      <c r="GS63" s="47"/>
      <c r="GT63" s="47"/>
    </row>
    <row r="64" spans="1:202" ht="16.5" hidden="1" customHeight="1">
      <c r="A64" s="42" t="s">
        <v>11</v>
      </c>
      <c r="B64" s="46"/>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c r="EG64" s="47"/>
      <c r="EH64" s="47"/>
      <c r="EI64" s="47"/>
      <c r="EJ64" s="47"/>
      <c r="EK64" s="47"/>
      <c r="EL64" s="47"/>
      <c r="EM64" s="47"/>
      <c r="EN64" s="47"/>
      <c r="EO64" s="47"/>
      <c r="EP64" s="47"/>
      <c r="EQ64" s="47"/>
      <c r="ER64" s="47"/>
      <c r="ES64" s="47"/>
      <c r="ET64" s="47"/>
      <c r="EU64" s="47"/>
      <c r="EV64" s="47"/>
      <c r="EW64" s="47"/>
      <c r="EX64" s="47"/>
      <c r="EY64" s="47"/>
      <c r="EZ64" s="47"/>
      <c r="FA64" s="47"/>
      <c r="FB64" s="47"/>
      <c r="FC64" s="47"/>
      <c r="FD64" s="47"/>
      <c r="FE64" s="47"/>
      <c r="FF64" s="47"/>
      <c r="FG64" s="47"/>
      <c r="FH64" s="47"/>
      <c r="FI64" s="47"/>
      <c r="FJ64" s="47"/>
      <c r="FK64" s="47"/>
      <c r="FL64" s="47"/>
      <c r="FM64" s="47"/>
      <c r="FN64" s="47"/>
      <c r="FO64" s="47"/>
      <c r="FP64" s="47"/>
      <c r="FQ64" s="47"/>
      <c r="FR64" s="47"/>
      <c r="FS64" s="47"/>
      <c r="FT64" s="47"/>
      <c r="FU64" s="47"/>
      <c r="FV64" s="47"/>
      <c r="FW64" s="47"/>
      <c r="FX64" s="47"/>
      <c r="FY64" s="47"/>
      <c r="FZ64" s="47"/>
      <c r="GA64" s="47"/>
      <c r="GB64" s="47"/>
      <c r="GC64" s="47"/>
      <c r="GD64" s="47"/>
      <c r="GE64" s="47"/>
      <c r="GF64" s="47"/>
      <c r="GG64" s="47"/>
      <c r="GH64" s="47"/>
      <c r="GI64" s="47"/>
      <c r="GJ64" s="47"/>
      <c r="GK64" s="47"/>
      <c r="GL64" s="47"/>
      <c r="GM64" s="47"/>
      <c r="GN64" s="47"/>
      <c r="GO64" s="47"/>
      <c r="GP64" s="47"/>
      <c r="GQ64" s="47"/>
      <c r="GR64" s="47"/>
      <c r="GS64" s="47"/>
      <c r="GT64" s="47"/>
    </row>
    <row r="65" spans="1:202" ht="16.5" hidden="1" customHeight="1">
      <c r="A65" s="43" t="s">
        <v>24</v>
      </c>
      <c r="B65" s="46"/>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47"/>
      <c r="EJ65" s="47"/>
      <c r="EK65" s="47"/>
      <c r="EL65" s="47"/>
      <c r="EM65" s="47"/>
      <c r="EN65" s="47"/>
      <c r="EO65" s="47"/>
      <c r="EP65" s="47"/>
      <c r="EQ65" s="47"/>
      <c r="ER65" s="47"/>
      <c r="ES65" s="47"/>
      <c r="ET65" s="47"/>
      <c r="EU65" s="47"/>
      <c r="EV65" s="47"/>
      <c r="EW65" s="47"/>
      <c r="EX65" s="47"/>
      <c r="EY65" s="47"/>
      <c r="EZ65" s="47"/>
      <c r="FA65" s="47"/>
      <c r="FB65" s="47"/>
      <c r="FC65" s="47"/>
      <c r="FD65" s="47"/>
      <c r="FE65" s="47"/>
      <c r="FF65" s="47"/>
      <c r="FG65" s="47"/>
      <c r="FH65" s="47"/>
      <c r="FI65" s="47"/>
      <c r="FJ65" s="47"/>
      <c r="FK65" s="47"/>
      <c r="FL65" s="47"/>
      <c r="FM65" s="47"/>
      <c r="FN65" s="47"/>
      <c r="FO65" s="47"/>
      <c r="FP65" s="47"/>
      <c r="FQ65" s="47"/>
      <c r="FR65" s="47"/>
      <c r="FS65" s="47"/>
      <c r="FT65" s="47"/>
      <c r="FU65" s="47"/>
      <c r="FV65" s="47"/>
      <c r="FW65" s="47"/>
      <c r="FX65" s="47"/>
      <c r="FY65" s="47"/>
      <c r="FZ65" s="47"/>
      <c r="GA65" s="47"/>
      <c r="GB65" s="47"/>
      <c r="GC65" s="47"/>
      <c r="GD65" s="47"/>
      <c r="GE65" s="47"/>
      <c r="GF65" s="47"/>
      <c r="GG65" s="47"/>
      <c r="GH65" s="47"/>
      <c r="GI65" s="47"/>
      <c r="GJ65" s="47"/>
      <c r="GK65" s="47"/>
      <c r="GL65" s="47"/>
      <c r="GM65" s="47"/>
      <c r="GN65" s="47"/>
      <c r="GO65" s="47"/>
      <c r="GP65" s="47"/>
      <c r="GQ65" s="47"/>
      <c r="GR65" s="47"/>
      <c r="GS65" s="47"/>
      <c r="GT65" s="47"/>
    </row>
    <row r="66" spans="1:202" ht="16.5" hidden="1" customHeight="1">
      <c r="A66" s="42" t="s">
        <v>12</v>
      </c>
      <c r="B66" s="46"/>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47"/>
      <c r="DV66" s="47"/>
      <c r="DW66" s="47"/>
      <c r="DX66" s="47"/>
      <c r="DY66" s="47"/>
      <c r="DZ66" s="47"/>
      <c r="EA66" s="47"/>
      <c r="EB66" s="47"/>
      <c r="EC66" s="47"/>
      <c r="ED66" s="47"/>
      <c r="EE66" s="47"/>
      <c r="EF66" s="47"/>
      <c r="EG66" s="47"/>
      <c r="EH66" s="47"/>
      <c r="EI66" s="47"/>
      <c r="EJ66" s="47"/>
      <c r="EK66" s="47"/>
      <c r="EL66" s="47"/>
      <c r="EM66" s="47"/>
      <c r="EN66" s="47"/>
      <c r="EO66" s="47"/>
      <c r="EP66" s="47"/>
      <c r="EQ66" s="47"/>
      <c r="ER66" s="47"/>
      <c r="ES66" s="47"/>
      <c r="ET66" s="47"/>
      <c r="EU66" s="47"/>
      <c r="EV66" s="47"/>
      <c r="EW66" s="47"/>
      <c r="EX66" s="47"/>
      <c r="EY66" s="47"/>
      <c r="EZ66" s="47"/>
      <c r="FA66" s="47"/>
      <c r="FB66" s="47"/>
      <c r="FC66" s="47"/>
      <c r="FD66" s="47"/>
      <c r="FE66" s="47"/>
      <c r="FF66" s="47"/>
      <c r="FG66" s="47"/>
      <c r="FH66" s="47"/>
      <c r="FI66" s="47"/>
      <c r="FJ66" s="47"/>
      <c r="FK66" s="47"/>
      <c r="FL66" s="47"/>
      <c r="FM66" s="47"/>
      <c r="FN66" s="47"/>
      <c r="FO66" s="47"/>
      <c r="FP66" s="47"/>
      <c r="FQ66" s="47"/>
      <c r="FR66" s="47"/>
      <c r="FS66" s="47"/>
      <c r="FT66" s="47"/>
      <c r="FU66" s="47"/>
      <c r="FV66" s="47"/>
      <c r="FW66" s="47"/>
      <c r="FX66" s="47"/>
      <c r="FY66" s="47"/>
      <c r="FZ66" s="47"/>
      <c r="GA66" s="47"/>
      <c r="GB66" s="47"/>
      <c r="GC66" s="47"/>
      <c r="GD66" s="47"/>
      <c r="GE66" s="47"/>
      <c r="GF66" s="47"/>
      <c r="GG66" s="47"/>
      <c r="GH66" s="47"/>
      <c r="GI66" s="47"/>
      <c r="GJ66" s="47"/>
      <c r="GK66" s="47"/>
      <c r="GL66" s="47"/>
      <c r="GM66" s="47"/>
      <c r="GN66" s="47"/>
      <c r="GO66" s="47"/>
      <c r="GP66" s="47"/>
      <c r="GQ66" s="47"/>
      <c r="GR66" s="47"/>
      <c r="GS66" s="47"/>
      <c r="GT66" s="47"/>
    </row>
    <row r="67" spans="1:202" ht="16.5" hidden="1" customHeight="1">
      <c r="A67" s="42" t="s">
        <v>118</v>
      </c>
      <c r="B67" s="46"/>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47"/>
      <c r="EJ67" s="47"/>
      <c r="EK67" s="47"/>
      <c r="EL67" s="47"/>
      <c r="EM67" s="47"/>
      <c r="EN67" s="47"/>
      <c r="EO67" s="47"/>
      <c r="EP67" s="47"/>
      <c r="EQ67" s="47"/>
      <c r="ER67" s="47"/>
      <c r="ES67" s="47"/>
      <c r="ET67" s="47"/>
      <c r="EU67" s="47"/>
      <c r="EV67" s="47"/>
      <c r="EW67" s="47"/>
      <c r="EX67" s="47"/>
      <c r="EY67" s="47"/>
      <c r="EZ67" s="47"/>
      <c r="FA67" s="47"/>
      <c r="FB67" s="47"/>
      <c r="FC67" s="47"/>
      <c r="FD67" s="47"/>
      <c r="FE67" s="47"/>
      <c r="FF67" s="47"/>
      <c r="FG67" s="47"/>
      <c r="FH67" s="47"/>
      <c r="FI67" s="47"/>
      <c r="FJ67" s="47"/>
      <c r="FK67" s="47"/>
      <c r="FL67" s="47"/>
      <c r="FM67" s="47"/>
      <c r="FN67" s="47"/>
      <c r="FO67" s="47"/>
      <c r="FP67" s="47"/>
      <c r="FQ67" s="47"/>
      <c r="FR67" s="47"/>
      <c r="FS67" s="47"/>
      <c r="FT67" s="47"/>
      <c r="FU67" s="47"/>
      <c r="FV67" s="47"/>
      <c r="FW67" s="47"/>
      <c r="FX67" s="47"/>
      <c r="FY67" s="47"/>
      <c r="FZ67" s="47"/>
      <c r="GA67" s="47"/>
      <c r="GB67" s="47"/>
      <c r="GC67" s="47"/>
      <c r="GD67" s="47"/>
      <c r="GE67" s="47"/>
      <c r="GF67" s="47"/>
      <c r="GG67" s="47"/>
      <c r="GH67" s="47"/>
      <c r="GI67" s="47"/>
      <c r="GJ67" s="47"/>
      <c r="GK67" s="47"/>
      <c r="GL67" s="47"/>
      <c r="GM67" s="47"/>
      <c r="GN67" s="47"/>
      <c r="GO67" s="47"/>
      <c r="GP67" s="47"/>
      <c r="GQ67" s="47"/>
      <c r="GR67" s="47"/>
      <c r="GS67" s="47"/>
      <c r="GT67" s="47"/>
    </row>
    <row r="68" spans="1:202" ht="16.5" hidden="1" customHeight="1">
      <c r="A68" s="42"/>
      <c r="B68" s="46"/>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EI68" s="47"/>
      <c r="EJ68" s="47"/>
      <c r="EK68" s="47"/>
      <c r="EL68" s="47"/>
      <c r="EM68" s="47"/>
      <c r="EN68" s="47"/>
      <c r="EO68" s="47"/>
      <c r="EP68" s="47"/>
      <c r="EQ68" s="47"/>
      <c r="ER68" s="47"/>
      <c r="ES68" s="47"/>
      <c r="ET68" s="47"/>
      <c r="EU68" s="47"/>
      <c r="EV68" s="47"/>
      <c r="EW68" s="47"/>
      <c r="EX68" s="47"/>
      <c r="EY68" s="47"/>
      <c r="EZ68" s="47"/>
      <c r="FA68" s="47"/>
      <c r="FB68" s="47"/>
      <c r="FC68" s="47"/>
      <c r="FD68" s="47"/>
      <c r="FE68" s="47"/>
      <c r="FF68" s="47"/>
      <c r="FG68" s="47"/>
      <c r="FH68" s="47"/>
      <c r="FI68" s="47"/>
      <c r="FJ68" s="47"/>
      <c r="FK68" s="47"/>
      <c r="FL68" s="47"/>
      <c r="FM68" s="47"/>
      <c r="FN68" s="47"/>
      <c r="FO68" s="47"/>
      <c r="FP68" s="47"/>
      <c r="FQ68" s="47"/>
      <c r="FR68" s="47"/>
      <c r="FS68" s="47"/>
      <c r="FT68" s="47"/>
      <c r="FU68" s="47"/>
      <c r="FV68" s="47"/>
      <c r="FW68" s="47"/>
      <c r="FX68" s="47"/>
      <c r="FY68" s="47"/>
      <c r="FZ68" s="47"/>
      <c r="GA68" s="47"/>
      <c r="GB68" s="47"/>
      <c r="GC68" s="47"/>
      <c r="GD68" s="47"/>
      <c r="GE68" s="47"/>
      <c r="GF68" s="47"/>
      <c r="GG68" s="47"/>
      <c r="GH68" s="47"/>
      <c r="GI68" s="47"/>
      <c r="GJ68" s="47"/>
      <c r="GK68" s="47"/>
      <c r="GL68" s="47"/>
      <c r="GM68" s="47"/>
      <c r="GN68" s="47"/>
      <c r="GO68" s="47"/>
      <c r="GP68" s="47"/>
      <c r="GQ68" s="47"/>
      <c r="GR68" s="47"/>
      <c r="GS68" s="47"/>
      <c r="GT68" s="47"/>
    </row>
    <row r="69" spans="1:202" ht="16.5" hidden="1" customHeight="1">
      <c r="A69" s="42"/>
      <c r="B69" s="46"/>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EI69" s="47"/>
      <c r="EJ69" s="47"/>
      <c r="EK69" s="47"/>
      <c r="EL69" s="47"/>
      <c r="EM69" s="47"/>
      <c r="EN69" s="47"/>
      <c r="EO69" s="47"/>
      <c r="EP69" s="47"/>
      <c r="EQ69" s="47"/>
      <c r="ER69" s="47"/>
      <c r="ES69" s="47"/>
      <c r="ET69" s="47"/>
      <c r="EU69" s="47"/>
      <c r="EV69" s="47"/>
      <c r="EW69" s="47"/>
      <c r="EX69" s="47"/>
      <c r="EY69" s="47"/>
      <c r="EZ69" s="47"/>
      <c r="FA69" s="47"/>
      <c r="FB69" s="47"/>
      <c r="FC69" s="47"/>
      <c r="FD69" s="47"/>
      <c r="FE69" s="47"/>
      <c r="FF69" s="47"/>
      <c r="FG69" s="47"/>
      <c r="FH69" s="47"/>
      <c r="FI69" s="47"/>
      <c r="FJ69" s="47"/>
      <c r="FK69" s="47"/>
      <c r="FL69" s="47"/>
      <c r="FM69" s="47"/>
      <c r="FN69" s="47"/>
      <c r="FO69" s="47"/>
      <c r="FP69" s="47"/>
      <c r="FQ69" s="47"/>
      <c r="FR69" s="47"/>
      <c r="FS69" s="47"/>
      <c r="FT69" s="47"/>
      <c r="FU69" s="47"/>
      <c r="FV69" s="47"/>
      <c r="FW69" s="47"/>
      <c r="FX69" s="47"/>
      <c r="FY69" s="47"/>
      <c r="FZ69" s="47"/>
      <c r="GA69" s="47"/>
      <c r="GB69" s="47"/>
      <c r="GC69" s="47"/>
      <c r="GD69" s="47"/>
      <c r="GE69" s="47"/>
      <c r="GF69" s="47"/>
      <c r="GG69" s="47"/>
      <c r="GH69" s="47"/>
      <c r="GI69" s="47"/>
      <c r="GJ69" s="47"/>
      <c r="GK69" s="47"/>
      <c r="GL69" s="47"/>
      <c r="GM69" s="47"/>
      <c r="GN69" s="47"/>
      <c r="GO69" s="47"/>
      <c r="GP69" s="47"/>
      <c r="GQ69" s="47"/>
      <c r="GR69" s="47"/>
      <c r="GS69" s="47"/>
      <c r="GT69" s="47"/>
    </row>
    <row r="70" spans="1:202" ht="16.5" hidden="1" customHeight="1">
      <c r="A70" s="42"/>
      <c r="B70" s="46"/>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47"/>
      <c r="EJ70" s="47"/>
      <c r="EK70" s="47"/>
      <c r="EL70" s="47"/>
      <c r="EM70" s="47"/>
      <c r="EN70" s="47"/>
      <c r="EO70" s="47"/>
      <c r="EP70" s="47"/>
      <c r="EQ70" s="47"/>
      <c r="ER70" s="47"/>
      <c r="ES70" s="47"/>
      <c r="ET70" s="47"/>
      <c r="EU70" s="47"/>
      <c r="EV70" s="47"/>
      <c r="EW70" s="47"/>
      <c r="EX70" s="47"/>
      <c r="EY70" s="47"/>
      <c r="EZ70" s="47"/>
      <c r="FA70" s="47"/>
      <c r="FB70" s="47"/>
      <c r="FC70" s="47"/>
      <c r="FD70" s="47"/>
      <c r="FE70" s="47"/>
      <c r="FF70" s="47"/>
      <c r="FG70" s="47"/>
      <c r="FH70" s="47"/>
      <c r="FI70" s="47"/>
      <c r="FJ70" s="47"/>
      <c r="FK70" s="47"/>
      <c r="FL70" s="47"/>
      <c r="FM70" s="47"/>
      <c r="FN70" s="47"/>
      <c r="FO70" s="47"/>
      <c r="FP70" s="47"/>
      <c r="FQ70" s="47"/>
      <c r="FR70" s="47"/>
      <c r="FS70" s="47"/>
      <c r="FT70" s="47"/>
      <c r="FU70" s="47"/>
      <c r="FV70" s="47"/>
      <c r="FW70" s="47"/>
      <c r="FX70" s="47"/>
      <c r="FY70" s="47"/>
      <c r="FZ70" s="47"/>
      <c r="GA70" s="47"/>
      <c r="GB70" s="47"/>
      <c r="GC70" s="47"/>
      <c r="GD70" s="47"/>
      <c r="GE70" s="47"/>
      <c r="GF70" s="47"/>
      <c r="GG70" s="47"/>
      <c r="GH70" s="47"/>
      <c r="GI70" s="47"/>
      <c r="GJ70" s="47"/>
      <c r="GK70" s="47"/>
      <c r="GL70" s="47"/>
      <c r="GM70" s="47"/>
      <c r="GN70" s="47"/>
      <c r="GO70" s="47"/>
      <c r="GP70" s="47"/>
      <c r="GQ70" s="47"/>
      <c r="GR70" s="47"/>
      <c r="GS70" s="47"/>
      <c r="GT70" s="47"/>
    </row>
    <row r="71" spans="1:202" ht="24">
      <c r="A71" s="52" t="s">
        <v>119</v>
      </c>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c r="CQ71" s="29"/>
      <c r="CR71" s="29"/>
      <c r="CS71" s="29"/>
      <c r="CT71" s="29"/>
      <c r="CU71" s="29"/>
      <c r="CV71" s="29"/>
      <c r="CW71" s="29"/>
      <c r="CX71" s="29"/>
      <c r="CY71" s="29"/>
      <c r="CZ71" s="29"/>
      <c r="DA71" s="29"/>
      <c r="DB71" s="29"/>
      <c r="DC71" s="29"/>
      <c r="DD71" s="29"/>
      <c r="DE71" s="29"/>
      <c r="DF71" s="29"/>
      <c r="DG71" s="29"/>
      <c r="DH71" s="29"/>
      <c r="DI71" s="29"/>
      <c r="DJ71" s="29"/>
      <c r="DK71" s="29"/>
      <c r="DL71" s="29"/>
      <c r="DM71" s="29"/>
      <c r="DN71" s="29"/>
      <c r="DO71" s="29"/>
      <c r="DP71" s="29"/>
      <c r="DQ71" s="29"/>
      <c r="DR71" s="29"/>
      <c r="DS71" s="29"/>
      <c r="DT71" s="29"/>
      <c r="DU71" s="29"/>
      <c r="DV71" s="29"/>
      <c r="DW71" s="29"/>
      <c r="DX71" s="29"/>
      <c r="DY71" s="29"/>
      <c r="DZ71" s="29"/>
      <c r="EA71" s="29"/>
      <c r="EB71" s="29"/>
      <c r="EC71" s="29"/>
      <c r="ED71" s="29"/>
      <c r="EE71" s="29"/>
      <c r="EF71" s="29"/>
      <c r="EG71" s="29"/>
      <c r="EH71" s="29"/>
      <c r="EI71" s="29"/>
      <c r="EJ71" s="29"/>
      <c r="EK71" s="29"/>
      <c r="EL71" s="29"/>
      <c r="EM71" s="29"/>
      <c r="EN71" s="29"/>
      <c r="EO71" s="29"/>
      <c r="EP71" s="29"/>
      <c r="EQ71" s="29"/>
      <c r="ER71" s="29"/>
      <c r="ES71" s="29"/>
      <c r="ET71" s="29"/>
      <c r="EU71" s="29"/>
      <c r="EV71" s="29"/>
      <c r="EW71" s="29"/>
      <c r="EX71" s="29"/>
      <c r="EY71" s="29"/>
      <c r="EZ71" s="29"/>
      <c r="FA71" s="29"/>
      <c r="FB71" s="29"/>
      <c r="FC71" s="29"/>
      <c r="FD71" s="29"/>
      <c r="FE71" s="29"/>
      <c r="FF71" s="29"/>
      <c r="FG71" s="29"/>
      <c r="FH71" s="29"/>
      <c r="FI71" s="29"/>
      <c r="FJ71" s="29"/>
      <c r="FK71" s="29"/>
      <c r="FL71" s="29"/>
      <c r="FM71" s="29"/>
      <c r="FN71" s="29"/>
      <c r="FO71" s="29"/>
      <c r="FP71" s="29"/>
      <c r="FQ71" s="29"/>
      <c r="FR71" s="29"/>
      <c r="FS71" s="29"/>
      <c r="FT71" s="29"/>
      <c r="FU71" s="29"/>
      <c r="FV71" s="29"/>
      <c r="FW71" s="29"/>
      <c r="FX71" s="29"/>
      <c r="FY71" s="29"/>
      <c r="FZ71" s="29"/>
      <c r="GA71" s="29"/>
      <c r="GB71" s="29"/>
      <c r="GC71" s="29"/>
      <c r="GD71" s="29"/>
      <c r="GE71" s="29"/>
      <c r="GF71" s="29"/>
      <c r="GG71" s="29"/>
      <c r="GH71" s="29"/>
      <c r="GI71" s="29"/>
      <c r="GJ71" s="29"/>
      <c r="GK71" s="29"/>
      <c r="GL71" s="29"/>
      <c r="GM71" s="29"/>
      <c r="GN71" s="29"/>
      <c r="GO71" s="29"/>
      <c r="GP71" s="29"/>
      <c r="GQ71" s="29"/>
      <c r="GR71" s="29"/>
      <c r="GS71" s="29"/>
      <c r="GT71" s="29"/>
    </row>
    <row r="72" spans="1:202" s="28" customFormat="1" ht="21">
      <c r="A72" s="226" t="s">
        <v>242</v>
      </c>
      <c r="B72" s="44"/>
      <c r="C72" s="45">
        <f>-SUM(C73:C80)</f>
        <v>0</v>
      </c>
      <c r="D72" s="45">
        <f t="shared" ref="D72:BO72" si="53">-SUM(D73:D80)</f>
        <v>0</v>
      </c>
      <c r="E72" s="45">
        <f t="shared" si="53"/>
        <v>0</v>
      </c>
      <c r="F72" s="45">
        <f>-SUM(F73:F80)</f>
        <v>0</v>
      </c>
      <c r="G72" s="45">
        <f>-SUM(G73:G80)</f>
        <v>0</v>
      </c>
      <c r="H72" s="45">
        <f t="shared" si="53"/>
        <v>0</v>
      </c>
      <c r="I72" s="45">
        <f t="shared" si="53"/>
        <v>0</v>
      </c>
      <c r="J72" s="45">
        <f t="shared" si="53"/>
        <v>0</v>
      </c>
      <c r="K72" s="45">
        <f>-SUM(K73:K80)</f>
        <v>0</v>
      </c>
      <c r="L72" s="45">
        <f t="shared" si="53"/>
        <v>0</v>
      </c>
      <c r="M72" s="45">
        <f t="shared" si="53"/>
        <v>0</v>
      </c>
      <c r="N72" s="45">
        <f t="shared" si="53"/>
        <v>0</v>
      </c>
      <c r="O72" s="45">
        <f t="shared" si="53"/>
        <v>0</v>
      </c>
      <c r="P72" s="45">
        <f t="shared" si="53"/>
        <v>0</v>
      </c>
      <c r="Q72" s="45">
        <f t="shared" si="53"/>
        <v>0</v>
      </c>
      <c r="R72" s="45">
        <f t="shared" si="53"/>
        <v>0</v>
      </c>
      <c r="S72" s="45">
        <f t="shared" si="53"/>
        <v>0</v>
      </c>
      <c r="T72" s="45">
        <f t="shared" si="53"/>
        <v>0</v>
      </c>
      <c r="U72" s="45">
        <f t="shared" si="53"/>
        <v>0</v>
      </c>
      <c r="V72" s="45">
        <f t="shared" si="53"/>
        <v>0</v>
      </c>
      <c r="W72" s="45">
        <f t="shared" si="53"/>
        <v>0</v>
      </c>
      <c r="X72" s="45">
        <f t="shared" si="53"/>
        <v>0</v>
      </c>
      <c r="Y72" s="45">
        <f t="shared" si="53"/>
        <v>0</v>
      </c>
      <c r="Z72" s="45">
        <f t="shared" si="53"/>
        <v>0</v>
      </c>
      <c r="AA72" s="45">
        <f t="shared" si="53"/>
        <v>0</v>
      </c>
      <c r="AB72" s="45">
        <f t="shared" si="53"/>
        <v>0</v>
      </c>
      <c r="AC72" s="45">
        <f t="shared" si="53"/>
        <v>0</v>
      </c>
      <c r="AD72" s="45">
        <f t="shared" si="53"/>
        <v>0</v>
      </c>
      <c r="AE72" s="45">
        <f t="shared" si="53"/>
        <v>0</v>
      </c>
      <c r="AF72" s="45">
        <f t="shared" si="53"/>
        <v>0</v>
      </c>
      <c r="AG72" s="45">
        <f t="shared" si="53"/>
        <v>0</v>
      </c>
      <c r="AH72" s="45">
        <f t="shared" si="53"/>
        <v>0</v>
      </c>
      <c r="AI72" s="45">
        <f t="shared" si="53"/>
        <v>0</v>
      </c>
      <c r="AJ72" s="45">
        <f t="shared" si="53"/>
        <v>0</v>
      </c>
      <c r="AK72" s="45">
        <f t="shared" si="53"/>
        <v>0</v>
      </c>
      <c r="AL72" s="45">
        <f t="shared" si="53"/>
        <v>0</v>
      </c>
      <c r="AM72" s="45">
        <f t="shared" si="53"/>
        <v>0</v>
      </c>
      <c r="AN72" s="45">
        <f t="shared" si="53"/>
        <v>0</v>
      </c>
      <c r="AO72" s="45">
        <f t="shared" si="53"/>
        <v>0</v>
      </c>
      <c r="AP72" s="45">
        <f t="shared" si="53"/>
        <v>0</v>
      </c>
      <c r="AQ72" s="45">
        <f t="shared" si="53"/>
        <v>0</v>
      </c>
      <c r="AR72" s="45">
        <f t="shared" si="53"/>
        <v>0</v>
      </c>
      <c r="AS72" s="45">
        <f t="shared" si="53"/>
        <v>0</v>
      </c>
      <c r="AT72" s="45">
        <f t="shared" si="53"/>
        <v>0</v>
      </c>
      <c r="AU72" s="45">
        <f t="shared" si="53"/>
        <v>0</v>
      </c>
      <c r="AV72" s="45">
        <f t="shared" si="53"/>
        <v>0</v>
      </c>
      <c r="AW72" s="45">
        <f t="shared" si="53"/>
        <v>0</v>
      </c>
      <c r="AX72" s="45">
        <f t="shared" si="53"/>
        <v>0</v>
      </c>
      <c r="AY72" s="45">
        <f t="shared" si="53"/>
        <v>0</v>
      </c>
      <c r="AZ72" s="45">
        <f t="shared" si="53"/>
        <v>0</v>
      </c>
      <c r="BA72" s="45">
        <f t="shared" si="53"/>
        <v>0</v>
      </c>
      <c r="BB72" s="45">
        <f t="shared" si="53"/>
        <v>0</v>
      </c>
      <c r="BC72" s="45">
        <f t="shared" si="53"/>
        <v>0</v>
      </c>
      <c r="BD72" s="45">
        <f t="shared" si="53"/>
        <v>0</v>
      </c>
      <c r="BE72" s="45">
        <f t="shared" si="53"/>
        <v>0</v>
      </c>
      <c r="BF72" s="45">
        <f t="shared" si="53"/>
        <v>0</v>
      </c>
      <c r="BG72" s="45">
        <f t="shared" si="53"/>
        <v>0</v>
      </c>
      <c r="BH72" s="45">
        <f t="shared" si="53"/>
        <v>0</v>
      </c>
      <c r="BI72" s="45">
        <f t="shared" si="53"/>
        <v>0</v>
      </c>
      <c r="BJ72" s="45">
        <f t="shared" si="53"/>
        <v>0</v>
      </c>
      <c r="BK72" s="45">
        <f t="shared" si="53"/>
        <v>0</v>
      </c>
      <c r="BL72" s="45">
        <f t="shared" si="53"/>
        <v>0</v>
      </c>
      <c r="BM72" s="45">
        <f t="shared" si="53"/>
        <v>0</v>
      </c>
      <c r="BN72" s="45">
        <f t="shared" si="53"/>
        <v>0</v>
      </c>
      <c r="BO72" s="45">
        <f t="shared" si="53"/>
        <v>0</v>
      </c>
      <c r="BP72" s="45">
        <f t="shared" ref="BP72:EA72" si="54">-SUM(BP73:BP80)</f>
        <v>0</v>
      </c>
      <c r="BQ72" s="45">
        <f t="shared" si="54"/>
        <v>0</v>
      </c>
      <c r="BR72" s="45">
        <f t="shared" si="54"/>
        <v>0</v>
      </c>
      <c r="BS72" s="45">
        <f t="shared" si="54"/>
        <v>0</v>
      </c>
      <c r="BT72" s="45">
        <f t="shared" si="54"/>
        <v>0</v>
      </c>
      <c r="BU72" s="45">
        <f t="shared" si="54"/>
        <v>0</v>
      </c>
      <c r="BV72" s="45">
        <f t="shared" si="54"/>
        <v>0</v>
      </c>
      <c r="BW72" s="45">
        <f t="shared" si="54"/>
        <v>0</v>
      </c>
      <c r="BX72" s="45">
        <f t="shared" si="54"/>
        <v>0</v>
      </c>
      <c r="BY72" s="45">
        <f t="shared" si="54"/>
        <v>0</v>
      </c>
      <c r="BZ72" s="45">
        <f t="shared" si="54"/>
        <v>0</v>
      </c>
      <c r="CA72" s="45">
        <f t="shared" si="54"/>
        <v>0</v>
      </c>
      <c r="CB72" s="45">
        <f t="shared" si="54"/>
        <v>0</v>
      </c>
      <c r="CC72" s="45">
        <f t="shared" si="54"/>
        <v>0</v>
      </c>
      <c r="CD72" s="45">
        <f t="shared" si="54"/>
        <v>0</v>
      </c>
      <c r="CE72" s="45">
        <f t="shared" si="54"/>
        <v>0</v>
      </c>
      <c r="CF72" s="45">
        <f t="shared" si="54"/>
        <v>0</v>
      </c>
      <c r="CG72" s="45">
        <f t="shared" si="54"/>
        <v>0</v>
      </c>
      <c r="CH72" s="45">
        <f t="shared" si="54"/>
        <v>0</v>
      </c>
      <c r="CI72" s="45">
        <f t="shared" si="54"/>
        <v>0</v>
      </c>
      <c r="CJ72" s="45">
        <f t="shared" si="54"/>
        <v>0</v>
      </c>
      <c r="CK72" s="45">
        <f t="shared" si="54"/>
        <v>0</v>
      </c>
      <c r="CL72" s="45">
        <f t="shared" si="54"/>
        <v>0</v>
      </c>
      <c r="CM72" s="45">
        <f t="shared" si="54"/>
        <v>0</v>
      </c>
      <c r="CN72" s="45">
        <f t="shared" si="54"/>
        <v>0</v>
      </c>
      <c r="CO72" s="45">
        <f t="shared" si="54"/>
        <v>0</v>
      </c>
      <c r="CP72" s="45">
        <f t="shared" si="54"/>
        <v>0</v>
      </c>
      <c r="CQ72" s="45">
        <f t="shared" si="54"/>
        <v>0</v>
      </c>
      <c r="CR72" s="45">
        <f t="shared" si="54"/>
        <v>0</v>
      </c>
      <c r="CS72" s="45">
        <f t="shared" si="54"/>
        <v>0</v>
      </c>
      <c r="CT72" s="45">
        <f t="shared" si="54"/>
        <v>0</v>
      </c>
      <c r="CU72" s="45">
        <f t="shared" si="54"/>
        <v>0</v>
      </c>
      <c r="CV72" s="45">
        <f t="shared" si="54"/>
        <v>0</v>
      </c>
      <c r="CW72" s="45">
        <f t="shared" si="54"/>
        <v>0</v>
      </c>
      <c r="CX72" s="45">
        <f t="shared" si="54"/>
        <v>0</v>
      </c>
      <c r="CY72" s="45">
        <f t="shared" si="54"/>
        <v>0</v>
      </c>
      <c r="CZ72" s="45">
        <f t="shared" si="54"/>
        <v>0</v>
      </c>
      <c r="DA72" s="45">
        <f t="shared" si="54"/>
        <v>0</v>
      </c>
      <c r="DB72" s="45">
        <f t="shared" si="54"/>
        <v>0</v>
      </c>
      <c r="DC72" s="45">
        <f t="shared" si="54"/>
        <v>0</v>
      </c>
      <c r="DD72" s="45">
        <f t="shared" si="54"/>
        <v>0</v>
      </c>
      <c r="DE72" s="45">
        <f t="shared" si="54"/>
        <v>0</v>
      </c>
      <c r="DF72" s="45">
        <f t="shared" si="54"/>
        <v>0</v>
      </c>
      <c r="DG72" s="45">
        <f t="shared" si="54"/>
        <v>0</v>
      </c>
      <c r="DH72" s="45">
        <f t="shared" si="54"/>
        <v>0</v>
      </c>
      <c r="DI72" s="45">
        <f t="shared" si="54"/>
        <v>0</v>
      </c>
      <c r="DJ72" s="45">
        <f t="shared" si="54"/>
        <v>0</v>
      </c>
      <c r="DK72" s="45">
        <f t="shared" si="54"/>
        <v>0</v>
      </c>
      <c r="DL72" s="45">
        <f t="shared" si="54"/>
        <v>0</v>
      </c>
      <c r="DM72" s="45">
        <f t="shared" si="54"/>
        <v>0</v>
      </c>
      <c r="DN72" s="45">
        <f t="shared" si="54"/>
        <v>0</v>
      </c>
      <c r="DO72" s="45">
        <f t="shared" si="54"/>
        <v>0</v>
      </c>
      <c r="DP72" s="45">
        <f t="shared" si="54"/>
        <v>0</v>
      </c>
      <c r="DQ72" s="45">
        <f t="shared" si="54"/>
        <v>0</v>
      </c>
      <c r="DR72" s="45">
        <f t="shared" si="54"/>
        <v>0</v>
      </c>
      <c r="DS72" s="45">
        <f t="shared" si="54"/>
        <v>0</v>
      </c>
      <c r="DT72" s="45">
        <f t="shared" si="54"/>
        <v>0</v>
      </c>
      <c r="DU72" s="45">
        <f t="shared" si="54"/>
        <v>0</v>
      </c>
      <c r="DV72" s="45">
        <f t="shared" si="54"/>
        <v>0</v>
      </c>
      <c r="DW72" s="45">
        <f t="shared" si="54"/>
        <v>0</v>
      </c>
      <c r="DX72" s="45">
        <f t="shared" si="54"/>
        <v>0</v>
      </c>
      <c r="DY72" s="45">
        <f t="shared" si="54"/>
        <v>0</v>
      </c>
      <c r="DZ72" s="45">
        <f t="shared" si="54"/>
        <v>0</v>
      </c>
      <c r="EA72" s="45">
        <f t="shared" si="54"/>
        <v>0</v>
      </c>
      <c r="EB72" s="45">
        <f t="shared" ref="EB72:GM72" si="55">-SUM(EB73:EB80)</f>
        <v>0</v>
      </c>
      <c r="EC72" s="45">
        <f t="shared" si="55"/>
        <v>0</v>
      </c>
      <c r="ED72" s="45">
        <f t="shared" si="55"/>
        <v>0</v>
      </c>
      <c r="EE72" s="45">
        <f t="shared" si="55"/>
        <v>0</v>
      </c>
      <c r="EF72" s="45">
        <f t="shared" si="55"/>
        <v>0</v>
      </c>
      <c r="EG72" s="45">
        <f t="shared" si="55"/>
        <v>0</v>
      </c>
      <c r="EH72" s="45">
        <f t="shared" si="55"/>
        <v>0</v>
      </c>
      <c r="EI72" s="45">
        <f t="shared" si="55"/>
        <v>0</v>
      </c>
      <c r="EJ72" s="45">
        <f t="shared" si="55"/>
        <v>0</v>
      </c>
      <c r="EK72" s="45">
        <f t="shared" si="55"/>
        <v>0</v>
      </c>
      <c r="EL72" s="45">
        <f t="shared" si="55"/>
        <v>0</v>
      </c>
      <c r="EM72" s="45">
        <f t="shared" si="55"/>
        <v>0</v>
      </c>
      <c r="EN72" s="45">
        <f t="shared" si="55"/>
        <v>0</v>
      </c>
      <c r="EO72" s="45">
        <f t="shared" si="55"/>
        <v>0</v>
      </c>
      <c r="EP72" s="45">
        <f t="shared" si="55"/>
        <v>0</v>
      </c>
      <c r="EQ72" s="45">
        <f t="shared" si="55"/>
        <v>0</v>
      </c>
      <c r="ER72" s="45">
        <f t="shared" si="55"/>
        <v>0</v>
      </c>
      <c r="ES72" s="45">
        <f t="shared" si="55"/>
        <v>0</v>
      </c>
      <c r="ET72" s="45">
        <f t="shared" si="55"/>
        <v>0</v>
      </c>
      <c r="EU72" s="45">
        <f t="shared" si="55"/>
        <v>0</v>
      </c>
      <c r="EV72" s="45">
        <f t="shared" si="55"/>
        <v>0</v>
      </c>
      <c r="EW72" s="45">
        <f t="shared" si="55"/>
        <v>0</v>
      </c>
      <c r="EX72" s="45">
        <f t="shared" si="55"/>
        <v>0</v>
      </c>
      <c r="EY72" s="45">
        <f t="shared" si="55"/>
        <v>0</v>
      </c>
      <c r="EZ72" s="45">
        <f t="shared" si="55"/>
        <v>0</v>
      </c>
      <c r="FA72" s="45">
        <f t="shared" si="55"/>
        <v>0</v>
      </c>
      <c r="FB72" s="45">
        <f t="shared" si="55"/>
        <v>0</v>
      </c>
      <c r="FC72" s="45">
        <f t="shared" si="55"/>
        <v>0</v>
      </c>
      <c r="FD72" s="45">
        <f t="shared" si="55"/>
        <v>0</v>
      </c>
      <c r="FE72" s="45">
        <f t="shared" si="55"/>
        <v>0</v>
      </c>
      <c r="FF72" s="45">
        <f t="shared" si="55"/>
        <v>0</v>
      </c>
      <c r="FG72" s="45">
        <f t="shared" si="55"/>
        <v>0</v>
      </c>
      <c r="FH72" s="45">
        <f t="shared" si="55"/>
        <v>0</v>
      </c>
      <c r="FI72" s="45">
        <f t="shared" si="55"/>
        <v>0</v>
      </c>
      <c r="FJ72" s="45">
        <f t="shared" si="55"/>
        <v>0</v>
      </c>
      <c r="FK72" s="45">
        <f t="shared" si="55"/>
        <v>0</v>
      </c>
      <c r="FL72" s="45">
        <f t="shared" si="55"/>
        <v>0</v>
      </c>
      <c r="FM72" s="45">
        <f t="shared" si="55"/>
        <v>0</v>
      </c>
      <c r="FN72" s="45">
        <f t="shared" si="55"/>
        <v>0</v>
      </c>
      <c r="FO72" s="45">
        <f t="shared" si="55"/>
        <v>0</v>
      </c>
      <c r="FP72" s="45">
        <f t="shared" si="55"/>
        <v>0</v>
      </c>
      <c r="FQ72" s="45">
        <f t="shared" si="55"/>
        <v>0</v>
      </c>
      <c r="FR72" s="45">
        <f t="shared" si="55"/>
        <v>0</v>
      </c>
      <c r="FS72" s="45">
        <f t="shared" si="55"/>
        <v>0</v>
      </c>
      <c r="FT72" s="45">
        <f t="shared" si="55"/>
        <v>0</v>
      </c>
      <c r="FU72" s="45">
        <f t="shared" si="55"/>
        <v>0</v>
      </c>
      <c r="FV72" s="45">
        <f t="shared" si="55"/>
        <v>0</v>
      </c>
      <c r="FW72" s="45">
        <f t="shared" si="55"/>
        <v>0</v>
      </c>
      <c r="FX72" s="45">
        <f t="shared" si="55"/>
        <v>0</v>
      </c>
      <c r="FY72" s="45">
        <f t="shared" si="55"/>
        <v>0</v>
      </c>
      <c r="FZ72" s="45">
        <f t="shared" si="55"/>
        <v>0</v>
      </c>
      <c r="GA72" s="45">
        <f t="shared" si="55"/>
        <v>0</v>
      </c>
      <c r="GB72" s="45">
        <f t="shared" si="55"/>
        <v>0</v>
      </c>
      <c r="GC72" s="45">
        <f t="shared" si="55"/>
        <v>0</v>
      </c>
      <c r="GD72" s="45">
        <f t="shared" si="55"/>
        <v>0</v>
      </c>
      <c r="GE72" s="45">
        <f t="shared" si="55"/>
        <v>0</v>
      </c>
      <c r="GF72" s="45">
        <f t="shared" si="55"/>
        <v>0</v>
      </c>
      <c r="GG72" s="45">
        <f t="shared" si="55"/>
        <v>0</v>
      </c>
      <c r="GH72" s="45">
        <f t="shared" si="55"/>
        <v>0</v>
      </c>
      <c r="GI72" s="45">
        <f t="shared" si="55"/>
        <v>0</v>
      </c>
      <c r="GJ72" s="45">
        <f t="shared" si="55"/>
        <v>0</v>
      </c>
      <c r="GK72" s="45">
        <f t="shared" si="55"/>
        <v>0</v>
      </c>
      <c r="GL72" s="45">
        <f t="shared" si="55"/>
        <v>0</v>
      </c>
      <c r="GM72" s="45">
        <f t="shared" si="55"/>
        <v>0</v>
      </c>
      <c r="GN72" s="45">
        <f t="shared" ref="GN72:GT72" si="56">-SUM(GN73:GN80)</f>
        <v>0</v>
      </c>
      <c r="GO72" s="45">
        <f t="shared" si="56"/>
        <v>0</v>
      </c>
      <c r="GP72" s="45">
        <f t="shared" si="56"/>
        <v>0</v>
      </c>
      <c r="GQ72" s="45">
        <f t="shared" si="56"/>
        <v>0</v>
      </c>
      <c r="GR72" s="45">
        <f t="shared" si="56"/>
        <v>0</v>
      </c>
      <c r="GS72" s="45">
        <f t="shared" si="56"/>
        <v>0</v>
      </c>
      <c r="GT72" s="45">
        <f t="shared" si="56"/>
        <v>0</v>
      </c>
    </row>
    <row r="73" spans="1:202" ht="16.5" customHeight="1">
      <c r="A73" s="96" t="s">
        <v>107</v>
      </c>
      <c r="B73" s="92"/>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93"/>
      <c r="BP73" s="93"/>
      <c r="BQ73" s="93"/>
      <c r="BR73" s="93"/>
      <c r="BS73" s="93"/>
      <c r="BT73" s="93"/>
      <c r="BU73" s="93"/>
      <c r="BV73" s="93"/>
      <c r="BW73" s="93"/>
      <c r="BX73" s="93"/>
      <c r="BY73" s="93"/>
      <c r="BZ73" s="93"/>
      <c r="CA73" s="93"/>
      <c r="CB73" s="93"/>
      <c r="CC73" s="93"/>
      <c r="CD73" s="93"/>
      <c r="CE73" s="93"/>
      <c r="CF73" s="93"/>
      <c r="CG73" s="93"/>
      <c r="CH73" s="93"/>
      <c r="CI73" s="93"/>
      <c r="CJ73" s="93"/>
      <c r="CK73" s="93"/>
      <c r="CL73" s="93"/>
      <c r="CM73" s="93"/>
      <c r="CN73" s="93"/>
      <c r="CO73" s="93"/>
      <c r="CP73" s="93"/>
      <c r="CQ73" s="93"/>
      <c r="CR73" s="93"/>
      <c r="CS73" s="93"/>
      <c r="CT73" s="93"/>
      <c r="CU73" s="93"/>
      <c r="CV73" s="93"/>
      <c r="CW73" s="93"/>
      <c r="CX73" s="93"/>
      <c r="CY73" s="93"/>
      <c r="CZ73" s="93"/>
      <c r="DA73" s="93"/>
      <c r="DB73" s="93"/>
      <c r="DC73" s="93"/>
      <c r="DD73" s="93"/>
      <c r="DE73" s="93"/>
      <c r="DF73" s="93"/>
      <c r="DG73" s="93"/>
      <c r="DH73" s="93"/>
      <c r="DI73" s="93"/>
      <c r="DJ73" s="93"/>
      <c r="DK73" s="93"/>
      <c r="DL73" s="93"/>
      <c r="DM73" s="93"/>
      <c r="DN73" s="93"/>
      <c r="DO73" s="93"/>
      <c r="DP73" s="93"/>
      <c r="DQ73" s="93"/>
      <c r="DR73" s="93"/>
      <c r="DS73" s="93"/>
      <c r="DT73" s="93"/>
      <c r="DU73" s="93"/>
      <c r="DV73" s="93"/>
      <c r="DW73" s="93"/>
      <c r="DX73" s="93"/>
      <c r="DY73" s="93"/>
      <c r="DZ73" s="93"/>
      <c r="EA73" s="93"/>
      <c r="EB73" s="93"/>
      <c r="EC73" s="93"/>
      <c r="ED73" s="93"/>
      <c r="EE73" s="93"/>
      <c r="EF73" s="93"/>
      <c r="EG73" s="93"/>
      <c r="EH73" s="93"/>
      <c r="EI73" s="93"/>
      <c r="EJ73" s="93"/>
      <c r="EK73" s="93"/>
      <c r="EL73" s="93"/>
      <c r="EM73" s="93"/>
      <c r="EN73" s="93"/>
      <c r="EO73" s="93"/>
      <c r="EP73" s="93"/>
      <c r="EQ73" s="93"/>
      <c r="ER73" s="93"/>
      <c r="ES73" s="93"/>
      <c r="ET73" s="93"/>
      <c r="EU73" s="93"/>
      <c r="EV73" s="93"/>
      <c r="EW73" s="93"/>
      <c r="EX73" s="93"/>
      <c r="EY73" s="93"/>
      <c r="EZ73" s="93"/>
      <c r="FA73" s="93"/>
      <c r="FB73" s="93"/>
      <c r="FC73" s="93"/>
      <c r="FD73" s="93"/>
      <c r="FE73" s="93"/>
      <c r="FF73" s="93"/>
      <c r="FG73" s="93"/>
      <c r="FH73" s="93"/>
      <c r="FI73" s="93"/>
      <c r="FJ73" s="93"/>
      <c r="FK73" s="93"/>
      <c r="FL73" s="93"/>
      <c r="FM73" s="93"/>
      <c r="FN73" s="93"/>
      <c r="FO73" s="93"/>
      <c r="FP73" s="93"/>
      <c r="FQ73" s="93"/>
      <c r="FR73" s="93"/>
      <c r="FS73" s="93"/>
      <c r="FT73" s="93"/>
      <c r="FU73" s="93"/>
      <c r="FV73" s="93"/>
      <c r="FW73" s="93"/>
      <c r="FX73" s="93"/>
      <c r="FY73" s="93"/>
      <c r="FZ73" s="93"/>
      <c r="GA73" s="93"/>
      <c r="GB73" s="93"/>
      <c r="GC73" s="93"/>
      <c r="GD73" s="93"/>
      <c r="GE73" s="93"/>
      <c r="GF73" s="93"/>
      <c r="GG73" s="93"/>
      <c r="GH73" s="93"/>
      <c r="GI73" s="93"/>
      <c r="GJ73" s="93"/>
      <c r="GK73" s="93"/>
      <c r="GL73" s="93"/>
      <c r="GM73" s="93"/>
      <c r="GN73" s="93"/>
      <c r="GO73" s="93"/>
      <c r="GP73" s="93"/>
      <c r="GQ73" s="93"/>
      <c r="GR73" s="93"/>
      <c r="GS73" s="93"/>
      <c r="GT73" s="93"/>
    </row>
    <row r="74" spans="1:202" ht="16.5" customHeight="1">
      <c r="A74" s="96" t="s">
        <v>101</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3"/>
      <c r="BG74" s="93"/>
      <c r="BH74" s="93"/>
      <c r="BI74" s="93"/>
      <c r="BJ74" s="93"/>
      <c r="BK74" s="93"/>
      <c r="BL74" s="93"/>
      <c r="BM74" s="93"/>
      <c r="BN74" s="93"/>
      <c r="BO74" s="93"/>
      <c r="BP74" s="93"/>
      <c r="BQ74" s="93"/>
      <c r="BR74" s="93"/>
      <c r="BS74" s="93"/>
      <c r="BT74" s="93"/>
      <c r="BU74" s="93"/>
      <c r="BV74" s="93"/>
      <c r="BW74" s="93"/>
      <c r="BX74" s="93"/>
      <c r="BY74" s="93"/>
      <c r="BZ74" s="93"/>
      <c r="CA74" s="93"/>
      <c r="CB74" s="93"/>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3"/>
      <c r="ED74" s="93"/>
      <c r="EE74" s="93"/>
      <c r="EF74" s="93"/>
      <c r="EG74" s="93"/>
      <c r="EH74" s="93"/>
      <c r="EI74" s="93"/>
      <c r="EJ74" s="93"/>
      <c r="EK74" s="93"/>
      <c r="EL74" s="93"/>
      <c r="EM74" s="93"/>
      <c r="EN74" s="93"/>
      <c r="EO74" s="93"/>
      <c r="EP74" s="93"/>
      <c r="EQ74" s="93"/>
      <c r="ER74" s="93"/>
      <c r="ES74" s="93"/>
      <c r="ET74" s="93"/>
      <c r="EU74" s="93"/>
      <c r="EV74" s="93"/>
      <c r="EW74" s="93"/>
      <c r="EX74" s="93"/>
      <c r="EY74" s="93"/>
      <c r="EZ74" s="93"/>
      <c r="FA74" s="93"/>
      <c r="FB74" s="93"/>
      <c r="FC74" s="93"/>
      <c r="FD74" s="93"/>
      <c r="FE74" s="93"/>
      <c r="FF74" s="93"/>
      <c r="FG74" s="93"/>
      <c r="FH74" s="93"/>
      <c r="FI74" s="93"/>
      <c r="FJ74" s="93"/>
      <c r="FK74" s="93"/>
      <c r="FL74" s="93"/>
      <c r="FM74" s="93"/>
      <c r="FN74" s="93"/>
      <c r="FO74" s="93"/>
      <c r="FP74" s="93"/>
      <c r="FQ74" s="93"/>
      <c r="FR74" s="93"/>
      <c r="FS74" s="93"/>
      <c r="FT74" s="93"/>
      <c r="FU74" s="93"/>
      <c r="FV74" s="93"/>
      <c r="FW74" s="93"/>
      <c r="FX74" s="93"/>
      <c r="FY74" s="93"/>
      <c r="FZ74" s="93"/>
      <c r="GA74" s="93"/>
      <c r="GB74" s="93"/>
      <c r="GC74" s="93"/>
      <c r="GD74" s="93"/>
      <c r="GE74" s="93"/>
      <c r="GF74" s="93"/>
      <c r="GG74" s="93"/>
      <c r="GH74" s="93"/>
      <c r="GI74" s="93"/>
      <c r="GJ74" s="93"/>
      <c r="GK74" s="93"/>
      <c r="GL74" s="93"/>
      <c r="GM74" s="93"/>
      <c r="GN74" s="93"/>
      <c r="GO74" s="93"/>
      <c r="GP74" s="93"/>
      <c r="GQ74" s="93"/>
      <c r="GR74" s="93"/>
      <c r="GS74" s="93"/>
      <c r="GT74" s="93"/>
    </row>
    <row r="75" spans="1:202" ht="16.5" customHeight="1">
      <c r="A75" s="96" t="s">
        <v>105</v>
      </c>
      <c r="B75" s="92"/>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3"/>
      <c r="BJ75" s="93"/>
      <c r="BK75" s="93"/>
      <c r="BL75" s="93"/>
      <c r="BM75" s="93"/>
      <c r="BN75" s="93"/>
      <c r="BO75" s="93"/>
      <c r="BP75" s="93"/>
      <c r="BQ75" s="93"/>
      <c r="BR75" s="93"/>
      <c r="BS75" s="93"/>
      <c r="BT75" s="93"/>
      <c r="BU75" s="93"/>
      <c r="BV75" s="93"/>
      <c r="BW75" s="93"/>
      <c r="BX75" s="93"/>
      <c r="BY75" s="93"/>
      <c r="BZ75" s="93"/>
      <c r="CA75" s="93"/>
      <c r="CB75" s="93"/>
      <c r="CC75" s="93"/>
      <c r="CD75" s="93"/>
      <c r="CE75" s="93"/>
      <c r="CF75" s="93"/>
      <c r="CG75" s="93"/>
      <c r="CH75" s="93"/>
      <c r="CI75" s="93"/>
      <c r="CJ75" s="93"/>
      <c r="CK75" s="93"/>
      <c r="CL75" s="93"/>
      <c r="CM75" s="93"/>
      <c r="CN75" s="93"/>
      <c r="CO75" s="93"/>
      <c r="CP75" s="93"/>
      <c r="CQ75" s="93"/>
      <c r="CR75" s="93"/>
      <c r="CS75" s="93"/>
      <c r="CT75" s="93"/>
      <c r="CU75" s="93"/>
      <c r="CV75" s="93"/>
      <c r="CW75" s="93"/>
      <c r="CX75" s="93"/>
      <c r="CY75" s="93"/>
      <c r="CZ75" s="93"/>
      <c r="DA75" s="93"/>
      <c r="DB75" s="93"/>
      <c r="DC75" s="93"/>
      <c r="DD75" s="93"/>
      <c r="DE75" s="93"/>
      <c r="DF75" s="93"/>
      <c r="DG75" s="93"/>
      <c r="DH75" s="93"/>
      <c r="DI75" s="93"/>
      <c r="DJ75" s="93"/>
      <c r="DK75" s="93"/>
      <c r="DL75" s="93"/>
      <c r="DM75" s="93"/>
      <c r="DN75" s="93"/>
      <c r="DO75" s="93"/>
      <c r="DP75" s="93"/>
      <c r="DQ75" s="93"/>
      <c r="DR75" s="93"/>
      <c r="DS75" s="93"/>
      <c r="DT75" s="93"/>
      <c r="DU75" s="93"/>
      <c r="DV75" s="93"/>
      <c r="DW75" s="93"/>
      <c r="DX75" s="93"/>
      <c r="DY75" s="93"/>
      <c r="DZ75" s="93"/>
      <c r="EA75" s="93"/>
      <c r="EB75" s="93"/>
      <c r="EC75" s="93"/>
      <c r="ED75" s="93"/>
      <c r="EE75" s="93"/>
      <c r="EF75" s="93"/>
      <c r="EG75" s="93"/>
      <c r="EH75" s="93"/>
      <c r="EI75" s="93"/>
      <c r="EJ75" s="93"/>
      <c r="EK75" s="93"/>
      <c r="EL75" s="93"/>
      <c r="EM75" s="93"/>
      <c r="EN75" s="93"/>
      <c r="EO75" s="93"/>
      <c r="EP75" s="93"/>
      <c r="EQ75" s="93"/>
      <c r="ER75" s="93"/>
      <c r="ES75" s="93"/>
      <c r="ET75" s="93"/>
      <c r="EU75" s="93"/>
      <c r="EV75" s="93"/>
      <c r="EW75" s="93"/>
      <c r="EX75" s="93"/>
      <c r="EY75" s="93"/>
      <c r="EZ75" s="93"/>
      <c r="FA75" s="93"/>
      <c r="FB75" s="93"/>
      <c r="FC75" s="93"/>
      <c r="FD75" s="93"/>
      <c r="FE75" s="93"/>
      <c r="FF75" s="93"/>
      <c r="FG75" s="93"/>
      <c r="FH75" s="93"/>
      <c r="FI75" s="93"/>
      <c r="FJ75" s="93"/>
      <c r="FK75" s="93"/>
      <c r="FL75" s="93"/>
      <c r="FM75" s="93"/>
      <c r="FN75" s="93"/>
      <c r="FO75" s="93"/>
      <c r="FP75" s="93"/>
      <c r="FQ75" s="93"/>
      <c r="FR75" s="93"/>
      <c r="FS75" s="93"/>
      <c r="FT75" s="93"/>
      <c r="FU75" s="93"/>
      <c r="FV75" s="93"/>
      <c r="FW75" s="93"/>
      <c r="FX75" s="93"/>
      <c r="FY75" s="93"/>
      <c r="FZ75" s="93"/>
      <c r="GA75" s="93"/>
      <c r="GB75" s="93"/>
      <c r="GC75" s="93"/>
      <c r="GD75" s="93"/>
      <c r="GE75" s="93"/>
      <c r="GF75" s="93"/>
      <c r="GG75" s="93"/>
      <c r="GH75" s="93"/>
      <c r="GI75" s="93"/>
      <c r="GJ75" s="93"/>
      <c r="GK75" s="93"/>
      <c r="GL75" s="93"/>
      <c r="GM75" s="93"/>
      <c r="GN75" s="93"/>
      <c r="GO75" s="93"/>
      <c r="GP75" s="93"/>
      <c r="GQ75" s="93"/>
      <c r="GR75" s="93"/>
      <c r="GS75" s="93"/>
      <c r="GT75" s="93"/>
    </row>
    <row r="76" spans="1:202" ht="16.5" customHeight="1">
      <c r="A76" s="96" t="s">
        <v>108</v>
      </c>
      <c r="B76" s="92"/>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3"/>
      <c r="BI76" s="93"/>
      <c r="BJ76" s="93"/>
      <c r="BK76" s="93"/>
      <c r="BL76" s="93"/>
      <c r="BM76" s="93"/>
      <c r="BN76" s="93"/>
      <c r="BO76" s="93"/>
      <c r="BP76" s="93"/>
      <c r="BQ76" s="93"/>
      <c r="BR76" s="93"/>
      <c r="BS76" s="93"/>
      <c r="BT76" s="93"/>
      <c r="BU76" s="93"/>
      <c r="BV76" s="93"/>
      <c r="BW76" s="93"/>
      <c r="BX76" s="93"/>
      <c r="BY76" s="93"/>
      <c r="BZ76" s="93"/>
      <c r="CA76" s="93"/>
      <c r="CB76" s="93"/>
      <c r="CC76" s="93"/>
      <c r="CD76" s="93"/>
      <c r="CE76" s="93"/>
      <c r="CF76" s="93"/>
      <c r="CG76" s="93"/>
      <c r="CH76" s="93"/>
      <c r="CI76" s="93"/>
      <c r="CJ76" s="93"/>
      <c r="CK76" s="93"/>
      <c r="CL76" s="93"/>
      <c r="CM76" s="93"/>
      <c r="CN76" s="93"/>
      <c r="CO76" s="93"/>
      <c r="CP76" s="93"/>
      <c r="CQ76" s="93"/>
      <c r="CR76" s="93"/>
      <c r="CS76" s="93"/>
      <c r="CT76" s="93"/>
      <c r="CU76" s="93"/>
      <c r="CV76" s="93"/>
      <c r="CW76" s="93"/>
      <c r="CX76" s="93"/>
      <c r="CY76" s="93"/>
      <c r="CZ76" s="93"/>
      <c r="DA76" s="93"/>
      <c r="DB76" s="93"/>
      <c r="DC76" s="93"/>
      <c r="DD76" s="93"/>
      <c r="DE76" s="93"/>
      <c r="DF76" s="93"/>
      <c r="DG76" s="93"/>
      <c r="DH76" s="93"/>
      <c r="DI76" s="93"/>
      <c r="DJ76" s="93"/>
      <c r="DK76" s="93"/>
      <c r="DL76" s="93"/>
      <c r="DM76" s="93"/>
      <c r="DN76" s="93"/>
      <c r="DO76" s="93"/>
      <c r="DP76" s="93"/>
      <c r="DQ76" s="93"/>
      <c r="DR76" s="93"/>
      <c r="DS76" s="93"/>
      <c r="DT76" s="93"/>
      <c r="DU76" s="93"/>
      <c r="DV76" s="93"/>
      <c r="DW76" s="93"/>
      <c r="DX76" s="93"/>
      <c r="DY76" s="93"/>
      <c r="DZ76" s="93"/>
      <c r="EA76" s="93"/>
      <c r="EB76" s="93"/>
      <c r="EC76" s="93"/>
      <c r="ED76" s="93"/>
      <c r="EE76" s="93"/>
      <c r="EF76" s="93"/>
      <c r="EG76" s="93"/>
      <c r="EH76" s="93"/>
      <c r="EI76" s="93"/>
      <c r="EJ76" s="93"/>
      <c r="EK76" s="93"/>
      <c r="EL76" s="93"/>
      <c r="EM76" s="93"/>
      <c r="EN76" s="93"/>
      <c r="EO76" s="93"/>
      <c r="EP76" s="93"/>
      <c r="EQ76" s="93"/>
      <c r="ER76" s="93"/>
      <c r="ES76" s="93"/>
      <c r="ET76" s="93"/>
      <c r="EU76" s="93"/>
      <c r="EV76" s="93"/>
      <c r="EW76" s="93"/>
      <c r="EX76" s="93"/>
      <c r="EY76" s="93"/>
      <c r="EZ76" s="93"/>
      <c r="FA76" s="93"/>
      <c r="FB76" s="93"/>
      <c r="FC76" s="93"/>
      <c r="FD76" s="93"/>
      <c r="FE76" s="93"/>
      <c r="FF76" s="93"/>
      <c r="FG76" s="93"/>
      <c r="FH76" s="93"/>
      <c r="FI76" s="93"/>
      <c r="FJ76" s="93"/>
      <c r="FK76" s="93"/>
      <c r="FL76" s="93"/>
      <c r="FM76" s="93"/>
      <c r="FN76" s="93"/>
      <c r="FO76" s="93"/>
      <c r="FP76" s="93"/>
      <c r="FQ76" s="93"/>
      <c r="FR76" s="93"/>
      <c r="FS76" s="93"/>
      <c r="FT76" s="93"/>
      <c r="FU76" s="93"/>
      <c r="FV76" s="93"/>
      <c r="FW76" s="93"/>
      <c r="FX76" s="93"/>
      <c r="FY76" s="93"/>
      <c r="FZ76" s="93"/>
      <c r="GA76" s="93"/>
      <c r="GB76" s="93"/>
      <c r="GC76" s="93"/>
      <c r="GD76" s="93"/>
      <c r="GE76" s="93"/>
      <c r="GF76" s="93"/>
      <c r="GG76" s="93"/>
      <c r="GH76" s="93"/>
      <c r="GI76" s="93"/>
      <c r="GJ76" s="93"/>
      <c r="GK76" s="93"/>
      <c r="GL76" s="93"/>
      <c r="GM76" s="93"/>
      <c r="GN76" s="93"/>
      <c r="GO76" s="93"/>
      <c r="GP76" s="93"/>
      <c r="GQ76" s="93"/>
      <c r="GR76" s="93"/>
      <c r="GS76" s="93"/>
      <c r="GT76" s="93"/>
    </row>
    <row r="77" spans="1:202" ht="16.5" customHeight="1">
      <c r="A77" s="96" t="s">
        <v>96</v>
      </c>
      <c r="B77" s="92"/>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3"/>
      <c r="BK77" s="93"/>
      <c r="BL77" s="93"/>
      <c r="BM77" s="93"/>
      <c r="BN77" s="93"/>
      <c r="BO77" s="93"/>
      <c r="BP77" s="93"/>
      <c r="BQ77" s="93"/>
      <c r="BR77" s="93"/>
      <c r="BS77" s="93"/>
      <c r="BT77" s="93"/>
      <c r="BU77" s="93"/>
      <c r="BV77" s="93"/>
      <c r="BW77" s="93"/>
      <c r="BX77" s="93"/>
      <c r="BY77" s="93"/>
      <c r="BZ77" s="93"/>
      <c r="CA77" s="93"/>
      <c r="CB77" s="93"/>
      <c r="CC77" s="93"/>
      <c r="CD77" s="93"/>
      <c r="CE77" s="93"/>
      <c r="CF77" s="93"/>
      <c r="CG77" s="93"/>
      <c r="CH77" s="93"/>
      <c r="CI77" s="93"/>
      <c r="CJ77" s="93"/>
      <c r="CK77" s="93"/>
      <c r="CL77" s="93"/>
      <c r="CM77" s="93"/>
      <c r="CN77" s="93"/>
      <c r="CO77" s="93"/>
      <c r="CP77" s="93"/>
      <c r="CQ77" s="93"/>
      <c r="CR77" s="93"/>
      <c r="CS77" s="93"/>
      <c r="CT77" s="93"/>
      <c r="CU77" s="93"/>
      <c r="CV77" s="93"/>
      <c r="CW77" s="93"/>
      <c r="CX77" s="93"/>
      <c r="CY77" s="93"/>
      <c r="CZ77" s="93"/>
      <c r="DA77" s="93"/>
      <c r="DB77" s="93"/>
      <c r="DC77" s="93"/>
      <c r="DD77" s="93"/>
      <c r="DE77" s="93"/>
      <c r="DF77" s="93"/>
      <c r="DG77" s="93"/>
      <c r="DH77" s="93"/>
      <c r="DI77" s="93"/>
      <c r="DJ77" s="93"/>
      <c r="DK77" s="93"/>
      <c r="DL77" s="93"/>
      <c r="DM77" s="93"/>
      <c r="DN77" s="93"/>
      <c r="DO77" s="93"/>
      <c r="DP77" s="93"/>
      <c r="DQ77" s="93"/>
      <c r="DR77" s="93"/>
      <c r="DS77" s="93"/>
      <c r="DT77" s="93"/>
      <c r="DU77" s="93"/>
      <c r="DV77" s="93"/>
      <c r="DW77" s="93"/>
      <c r="DX77" s="93"/>
      <c r="DY77" s="93"/>
      <c r="DZ77" s="93"/>
      <c r="EA77" s="93"/>
      <c r="EB77" s="93"/>
      <c r="EC77" s="93"/>
      <c r="ED77" s="93"/>
      <c r="EE77" s="93"/>
      <c r="EF77" s="93"/>
      <c r="EG77" s="93"/>
      <c r="EH77" s="93"/>
      <c r="EI77" s="93"/>
      <c r="EJ77" s="93"/>
      <c r="EK77" s="93"/>
      <c r="EL77" s="93"/>
      <c r="EM77" s="93"/>
      <c r="EN77" s="93"/>
      <c r="EO77" s="93"/>
      <c r="EP77" s="93"/>
      <c r="EQ77" s="93"/>
      <c r="ER77" s="93"/>
      <c r="ES77" s="93"/>
      <c r="ET77" s="93"/>
      <c r="EU77" s="93"/>
      <c r="EV77" s="93"/>
      <c r="EW77" s="93"/>
      <c r="EX77" s="93"/>
      <c r="EY77" s="93"/>
      <c r="EZ77" s="93"/>
      <c r="FA77" s="93"/>
      <c r="FB77" s="93"/>
      <c r="FC77" s="93"/>
      <c r="FD77" s="93"/>
      <c r="FE77" s="93"/>
      <c r="FF77" s="93"/>
      <c r="FG77" s="93"/>
      <c r="FH77" s="93"/>
      <c r="FI77" s="93"/>
      <c r="FJ77" s="93"/>
      <c r="FK77" s="93"/>
      <c r="FL77" s="93"/>
      <c r="FM77" s="93"/>
      <c r="FN77" s="93"/>
      <c r="FO77" s="93"/>
      <c r="FP77" s="93"/>
      <c r="FQ77" s="93"/>
      <c r="FR77" s="93"/>
      <c r="FS77" s="93"/>
      <c r="FT77" s="93"/>
      <c r="FU77" s="93"/>
      <c r="FV77" s="93"/>
      <c r="FW77" s="93"/>
      <c r="FX77" s="93"/>
      <c r="FY77" s="93"/>
      <c r="FZ77" s="93"/>
      <c r="GA77" s="93"/>
      <c r="GB77" s="93"/>
      <c r="GC77" s="93"/>
      <c r="GD77" s="93"/>
      <c r="GE77" s="93"/>
      <c r="GF77" s="93"/>
      <c r="GG77" s="93"/>
      <c r="GH77" s="93"/>
      <c r="GI77" s="93"/>
      <c r="GJ77" s="93"/>
      <c r="GK77" s="93"/>
      <c r="GL77" s="93"/>
      <c r="GM77" s="93"/>
      <c r="GN77" s="93"/>
      <c r="GO77" s="93"/>
      <c r="GP77" s="93"/>
      <c r="GQ77" s="93"/>
      <c r="GR77" s="93"/>
      <c r="GS77" s="93"/>
      <c r="GT77" s="93"/>
    </row>
    <row r="78" spans="1:202" ht="16.5" customHeight="1">
      <c r="A78" s="96" t="s">
        <v>107</v>
      </c>
      <c r="B78" s="92"/>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3"/>
      <c r="BJ78" s="93"/>
      <c r="BK78" s="93"/>
      <c r="BL78" s="93"/>
      <c r="BM78" s="93"/>
      <c r="BN78" s="93"/>
      <c r="BO78" s="93"/>
      <c r="BP78" s="93"/>
      <c r="BQ78" s="93"/>
      <c r="BR78" s="93"/>
      <c r="BS78" s="93"/>
      <c r="BT78" s="93"/>
      <c r="BU78" s="93"/>
      <c r="BV78" s="93"/>
      <c r="BW78" s="93"/>
      <c r="BX78" s="93"/>
      <c r="BY78" s="93"/>
      <c r="BZ78" s="93"/>
      <c r="CA78" s="93"/>
      <c r="CB78" s="93"/>
      <c r="CC78" s="93"/>
      <c r="CD78" s="93"/>
      <c r="CE78" s="93"/>
      <c r="CF78" s="93"/>
      <c r="CG78" s="93"/>
      <c r="CH78" s="93"/>
      <c r="CI78" s="93"/>
      <c r="CJ78" s="93"/>
      <c r="CK78" s="93"/>
      <c r="CL78" s="93"/>
      <c r="CM78" s="93"/>
      <c r="CN78" s="93"/>
      <c r="CO78" s="93"/>
      <c r="CP78" s="93"/>
      <c r="CQ78" s="93"/>
      <c r="CR78" s="93"/>
      <c r="CS78" s="93"/>
      <c r="CT78" s="93"/>
      <c r="CU78" s="93"/>
      <c r="CV78" s="93"/>
      <c r="CW78" s="93"/>
      <c r="CX78" s="93"/>
      <c r="CY78" s="93"/>
      <c r="CZ78" s="93"/>
      <c r="DA78" s="93"/>
      <c r="DB78" s="93"/>
      <c r="DC78" s="93"/>
      <c r="DD78" s="93"/>
      <c r="DE78" s="93"/>
      <c r="DF78" s="93"/>
      <c r="DG78" s="93"/>
      <c r="DH78" s="93"/>
      <c r="DI78" s="93"/>
      <c r="DJ78" s="93"/>
      <c r="DK78" s="93"/>
      <c r="DL78" s="93"/>
      <c r="DM78" s="93"/>
      <c r="DN78" s="93"/>
      <c r="DO78" s="93"/>
      <c r="DP78" s="93"/>
      <c r="DQ78" s="93"/>
      <c r="DR78" s="93"/>
      <c r="DS78" s="93"/>
      <c r="DT78" s="93"/>
      <c r="DU78" s="93"/>
      <c r="DV78" s="93"/>
      <c r="DW78" s="93"/>
      <c r="DX78" s="93"/>
      <c r="DY78" s="93"/>
      <c r="DZ78" s="93"/>
      <c r="EA78" s="93"/>
      <c r="EB78" s="93"/>
      <c r="EC78" s="93"/>
      <c r="ED78" s="93"/>
      <c r="EE78" s="93"/>
      <c r="EF78" s="93"/>
      <c r="EG78" s="93"/>
      <c r="EH78" s="93"/>
      <c r="EI78" s="93"/>
      <c r="EJ78" s="93"/>
      <c r="EK78" s="93"/>
      <c r="EL78" s="93"/>
      <c r="EM78" s="93"/>
      <c r="EN78" s="93"/>
      <c r="EO78" s="93"/>
      <c r="EP78" s="93"/>
      <c r="EQ78" s="93"/>
      <c r="ER78" s="93"/>
      <c r="ES78" s="93"/>
      <c r="ET78" s="93"/>
      <c r="EU78" s="93"/>
      <c r="EV78" s="93"/>
      <c r="EW78" s="93"/>
      <c r="EX78" s="93"/>
      <c r="EY78" s="93"/>
      <c r="EZ78" s="93"/>
      <c r="FA78" s="93"/>
      <c r="FB78" s="93"/>
      <c r="FC78" s="93"/>
      <c r="FD78" s="93"/>
      <c r="FE78" s="93"/>
      <c r="FF78" s="93"/>
      <c r="FG78" s="93"/>
      <c r="FH78" s="93"/>
      <c r="FI78" s="93"/>
      <c r="FJ78" s="93"/>
      <c r="FK78" s="93"/>
      <c r="FL78" s="93"/>
      <c r="FM78" s="93"/>
      <c r="FN78" s="93"/>
      <c r="FO78" s="93"/>
      <c r="FP78" s="93"/>
      <c r="FQ78" s="93"/>
      <c r="FR78" s="93"/>
      <c r="FS78" s="93"/>
      <c r="FT78" s="93"/>
      <c r="FU78" s="93"/>
      <c r="FV78" s="93"/>
      <c r="FW78" s="93"/>
      <c r="FX78" s="93"/>
      <c r="FY78" s="93"/>
      <c r="FZ78" s="93"/>
      <c r="GA78" s="93"/>
      <c r="GB78" s="93"/>
      <c r="GC78" s="93"/>
      <c r="GD78" s="93"/>
      <c r="GE78" s="93"/>
      <c r="GF78" s="93"/>
      <c r="GG78" s="93"/>
      <c r="GH78" s="93"/>
      <c r="GI78" s="93"/>
      <c r="GJ78" s="93"/>
      <c r="GK78" s="93"/>
      <c r="GL78" s="93"/>
      <c r="GM78" s="93"/>
      <c r="GN78" s="93"/>
      <c r="GO78" s="93"/>
      <c r="GP78" s="93"/>
      <c r="GQ78" s="93"/>
      <c r="GR78" s="93"/>
      <c r="GS78" s="93"/>
      <c r="GT78" s="93"/>
    </row>
    <row r="79" spans="1:202" ht="16.5" customHeight="1">
      <c r="A79" s="96" t="s">
        <v>96</v>
      </c>
      <c r="B79" s="92"/>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3"/>
      <c r="AX79" s="93"/>
      <c r="AY79" s="93"/>
      <c r="AZ79" s="93"/>
      <c r="BA79" s="93"/>
      <c r="BB79" s="93"/>
      <c r="BC79" s="93"/>
      <c r="BD79" s="93"/>
      <c r="BE79" s="93"/>
      <c r="BF79" s="93"/>
      <c r="BG79" s="93"/>
      <c r="BH79" s="93"/>
      <c r="BI79" s="93"/>
      <c r="BJ79" s="93"/>
      <c r="BK79" s="93"/>
      <c r="BL79" s="93"/>
      <c r="BM79" s="93"/>
      <c r="BN79" s="93"/>
      <c r="BO79" s="93"/>
      <c r="BP79" s="93"/>
      <c r="BQ79" s="93"/>
      <c r="BR79" s="93"/>
      <c r="BS79" s="93"/>
      <c r="BT79" s="93"/>
      <c r="BU79" s="93"/>
      <c r="BV79" s="93"/>
      <c r="BW79" s="93"/>
      <c r="BX79" s="93"/>
      <c r="BY79" s="93"/>
      <c r="BZ79" s="93"/>
      <c r="CA79" s="93"/>
      <c r="CB79" s="93"/>
      <c r="CC79" s="93"/>
      <c r="CD79" s="93"/>
      <c r="CE79" s="93"/>
      <c r="CF79" s="93"/>
      <c r="CG79" s="93"/>
      <c r="CH79" s="93"/>
      <c r="CI79" s="93"/>
      <c r="CJ79" s="93"/>
      <c r="CK79" s="93"/>
      <c r="CL79" s="93"/>
      <c r="CM79" s="93"/>
      <c r="CN79" s="93"/>
      <c r="CO79" s="93"/>
      <c r="CP79" s="93"/>
      <c r="CQ79" s="93"/>
      <c r="CR79" s="93"/>
      <c r="CS79" s="93"/>
      <c r="CT79" s="93"/>
      <c r="CU79" s="93"/>
      <c r="CV79" s="93"/>
      <c r="CW79" s="93"/>
      <c r="CX79" s="93"/>
      <c r="CY79" s="93"/>
      <c r="CZ79" s="93"/>
      <c r="DA79" s="93"/>
      <c r="DB79" s="93"/>
      <c r="DC79" s="93"/>
      <c r="DD79" s="93"/>
      <c r="DE79" s="93"/>
      <c r="DF79" s="93"/>
      <c r="DG79" s="93"/>
      <c r="DH79" s="93"/>
      <c r="DI79" s="93"/>
      <c r="DJ79" s="93"/>
      <c r="DK79" s="93"/>
      <c r="DL79" s="93"/>
      <c r="DM79" s="93"/>
      <c r="DN79" s="93"/>
      <c r="DO79" s="93"/>
      <c r="DP79" s="93"/>
      <c r="DQ79" s="93"/>
      <c r="DR79" s="93"/>
      <c r="DS79" s="93"/>
      <c r="DT79" s="93"/>
      <c r="DU79" s="93"/>
      <c r="DV79" s="93"/>
      <c r="DW79" s="93"/>
      <c r="DX79" s="93"/>
      <c r="DY79" s="93"/>
      <c r="DZ79" s="93"/>
      <c r="EA79" s="93"/>
      <c r="EB79" s="93"/>
      <c r="EC79" s="93"/>
      <c r="ED79" s="93"/>
      <c r="EE79" s="93"/>
      <c r="EF79" s="93"/>
      <c r="EG79" s="93"/>
      <c r="EH79" s="93"/>
      <c r="EI79" s="93"/>
      <c r="EJ79" s="93"/>
      <c r="EK79" s="93"/>
      <c r="EL79" s="93"/>
      <c r="EM79" s="93"/>
      <c r="EN79" s="93"/>
      <c r="EO79" s="93"/>
      <c r="EP79" s="93"/>
      <c r="EQ79" s="93"/>
      <c r="ER79" s="93"/>
      <c r="ES79" s="93"/>
      <c r="ET79" s="93"/>
      <c r="EU79" s="93"/>
      <c r="EV79" s="93"/>
      <c r="EW79" s="93"/>
      <c r="EX79" s="93"/>
      <c r="EY79" s="93"/>
      <c r="EZ79" s="93"/>
      <c r="FA79" s="93"/>
      <c r="FB79" s="93"/>
      <c r="FC79" s="93"/>
      <c r="FD79" s="93"/>
      <c r="FE79" s="93"/>
      <c r="FF79" s="93"/>
      <c r="FG79" s="93"/>
      <c r="FH79" s="93"/>
      <c r="FI79" s="93"/>
      <c r="FJ79" s="93"/>
      <c r="FK79" s="93"/>
      <c r="FL79" s="93"/>
      <c r="FM79" s="93"/>
      <c r="FN79" s="93"/>
      <c r="FO79" s="93"/>
      <c r="FP79" s="93"/>
      <c r="FQ79" s="93"/>
      <c r="FR79" s="93"/>
      <c r="FS79" s="93"/>
      <c r="FT79" s="93"/>
      <c r="FU79" s="93"/>
      <c r="FV79" s="93"/>
      <c r="FW79" s="93"/>
      <c r="FX79" s="93"/>
      <c r="FY79" s="93"/>
      <c r="FZ79" s="93"/>
      <c r="GA79" s="93"/>
      <c r="GB79" s="93"/>
      <c r="GC79" s="93"/>
      <c r="GD79" s="93"/>
      <c r="GE79" s="93"/>
      <c r="GF79" s="93"/>
      <c r="GG79" s="93"/>
      <c r="GH79" s="93"/>
      <c r="GI79" s="93"/>
      <c r="GJ79" s="93"/>
      <c r="GK79" s="93"/>
      <c r="GL79" s="93"/>
      <c r="GM79" s="93"/>
      <c r="GN79" s="93"/>
      <c r="GO79" s="93"/>
      <c r="GP79" s="93"/>
      <c r="GQ79" s="93"/>
      <c r="GR79" s="93"/>
      <c r="GS79" s="93"/>
      <c r="GT79" s="93"/>
    </row>
    <row r="80" spans="1:202" ht="16.5" customHeight="1">
      <c r="A80" s="96" t="s">
        <v>107</v>
      </c>
      <c r="B80" s="92"/>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c r="BE80" s="93"/>
      <c r="BF80" s="93"/>
      <c r="BG80" s="93"/>
      <c r="BH80" s="93"/>
      <c r="BI80" s="93"/>
      <c r="BJ80" s="93"/>
      <c r="BK80" s="93"/>
      <c r="BL80" s="93"/>
      <c r="BM80" s="93"/>
      <c r="BN80" s="93"/>
      <c r="BO80" s="93"/>
      <c r="BP80" s="93"/>
      <c r="BQ80" s="93"/>
      <c r="BR80" s="93"/>
      <c r="BS80" s="93"/>
      <c r="BT80" s="93"/>
      <c r="BU80" s="93"/>
      <c r="BV80" s="93"/>
      <c r="BW80" s="93"/>
      <c r="BX80" s="93"/>
      <c r="BY80" s="93"/>
      <c r="BZ80" s="93"/>
      <c r="CA80" s="93"/>
      <c r="CB80" s="93"/>
      <c r="CC80" s="93"/>
      <c r="CD80" s="93"/>
      <c r="CE80" s="93"/>
      <c r="CF80" s="93"/>
      <c r="CG80" s="93"/>
      <c r="CH80" s="93"/>
      <c r="CI80" s="93"/>
      <c r="CJ80" s="93"/>
      <c r="CK80" s="93"/>
      <c r="CL80" s="93"/>
      <c r="CM80" s="93"/>
      <c r="CN80" s="93"/>
      <c r="CO80" s="93"/>
      <c r="CP80" s="93"/>
      <c r="CQ80" s="93"/>
      <c r="CR80" s="93"/>
      <c r="CS80" s="93"/>
      <c r="CT80" s="93"/>
      <c r="CU80" s="93"/>
      <c r="CV80" s="93"/>
      <c r="CW80" s="93"/>
      <c r="CX80" s="93"/>
      <c r="CY80" s="93"/>
      <c r="CZ80" s="93"/>
      <c r="DA80" s="93"/>
      <c r="DB80" s="93"/>
      <c r="DC80" s="93"/>
      <c r="DD80" s="93"/>
      <c r="DE80" s="93"/>
      <c r="DF80" s="93"/>
      <c r="DG80" s="93"/>
      <c r="DH80" s="93"/>
      <c r="DI80" s="93"/>
      <c r="DJ80" s="93"/>
      <c r="DK80" s="93"/>
      <c r="DL80" s="93"/>
      <c r="DM80" s="93"/>
      <c r="DN80" s="93"/>
      <c r="DO80" s="93"/>
      <c r="DP80" s="93"/>
      <c r="DQ80" s="93"/>
      <c r="DR80" s="93"/>
      <c r="DS80" s="93"/>
      <c r="DT80" s="93"/>
      <c r="DU80" s="93"/>
      <c r="DV80" s="93"/>
      <c r="DW80" s="93"/>
      <c r="DX80" s="93"/>
      <c r="DY80" s="93"/>
      <c r="DZ80" s="93"/>
      <c r="EA80" s="93"/>
      <c r="EB80" s="93"/>
      <c r="EC80" s="93"/>
      <c r="ED80" s="93"/>
      <c r="EE80" s="93"/>
      <c r="EF80" s="93"/>
      <c r="EG80" s="93"/>
      <c r="EH80" s="93"/>
      <c r="EI80" s="93"/>
      <c r="EJ80" s="93"/>
      <c r="EK80" s="93"/>
      <c r="EL80" s="93"/>
      <c r="EM80" s="93"/>
      <c r="EN80" s="93"/>
      <c r="EO80" s="93"/>
      <c r="EP80" s="93"/>
      <c r="EQ80" s="93"/>
      <c r="ER80" s="93"/>
      <c r="ES80" s="93"/>
      <c r="ET80" s="93"/>
      <c r="EU80" s="93"/>
      <c r="EV80" s="93"/>
      <c r="EW80" s="93"/>
      <c r="EX80" s="93"/>
      <c r="EY80" s="93"/>
      <c r="EZ80" s="93"/>
      <c r="FA80" s="93"/>
      <c r="FB80" s="93"/>
      <c r="FC80" s="93"/>
      <c r="FD80" s="93"/>
      <c r="FE80" s="93"/>
      <c r="FF80" s="93"/>
      <c r="FG80" s="93"/>
      <c r="FH80" s="93"/>
      <c r="FI80" s="93"/>
      <c r="FJ80" s="93"/>
      <c r="FK80" s="93"/>
      <c r="FL80" s="93"/>
      <c r="FM80" s="93"/>
      <c r="FN80" s="93"/>
      <c r="FO80" s="93"/>
      <c r="FP80" s="93"/>
      <c r="FQ80" s="93"/>
      <c r="FR80" s="93"/>
      <c r="FS80" s="93"/>
      <c r="FT80" s="93"/>
      <c r="FU80" s="93"/>
      <c r="FV80" s="93"/>
      <c r="FW80" s="93"/>
      <c r="FX80" s="93"/>
      <c r="FY80" s="93"/>
      <c r="FZ80" s="93"/>
      <c r="GA80" s="93"/>
      <c r="GB80" s="93"/>
      <c r="GC80" s="93"/>
      <c r="GD80" s="93"/>
      <c r="GE80" s="93"/>
      <c r="GF80" s="93"/>
      <c r="GG80" s="93"/>
      <c r="GH80" s="93"/>
      <c r="GI80" s="93"/>
      <c r="GJ80" s="93"/>
      <c r="GK80" s="93"/>
      <c r="GL80" s="93"/>
      <c r="GM80" s="93"/>
      <c r="GN80" s="93"/>
      <c r="GO80" s="93"/>
      <c r="GP80" s="93"/>
      <c r="GQ80" s="93"/>
      <c r="GR80" s="93"/>
      <c r="GS80" s="93"/>
      <c r="GT80" s="93"/>
    </row>
    <row r="81" spans="1:202" s="28" customFormat="1" ht="21">
      <c r="A81" s="256" t="s">
        <v>238</v>
      </c>
      <c r="B81" s="44"/>
      <c r="C81" s="45">
        <f>-SUM(C82:C89)</f>
        <v>0</v>
      </c>
      <c r="D81" s="45">
        <f>-SUM(D82:D89)</f>
        <v>0</v>
      </c>
      <c r="E81" s="45">
        <f>-SUM(E82:E89)</f>
        <v>0</v>
      </c>
      <c r="F81" s="45">
        <f t="shared" ref="F81:BO81" si="57">-SUM(F82:F89)</f>
        <v>0</v>
      </c>
      <c r="G81" s="45">
        <f t="shared" si="57"/>
        <v>0</v>
      </c>
      <c r="H81" s="45">
        <f>-SUM(H82:H89)</f>
        <v>0</v>
      </c>
      <c r="I81" s="45">
        <f t="shared" si="57"/>
        <v>0</v>
      </c>
      <c r="J81" s="45">
        <f t="shared" si="57"/>
        <v>0</v>
      </c>
      <c r="K81" s="45">
        <f t="shared" si="57"/>
        <v>0</v>
      </c>
      <c r="L81" s="45">
        <f t="shared" si="57"/>
        <v>0</v>
      </c>
      <c r="M81" s="45">
        <f t="shared" si="57"/>
        <v>0</v>
      </c>
      <c r="N81" s="45">
        <f t="shared" si="57"/>
        <v>0</v>
      </c>
      <c r="O81" s="45">
        <f t="shared" si="57"/>
        <v>0</v>
      </c>
      <c r="P81" s="45">
        <f t="shared" si="57"/>
        <v>0</v>
      </c>
      <c r="Q81" s="45">
        <f t="shared" si="57"/>
        <v>0</v>
      </c>
      <c r="R81" s="45">
        <f t="shared" si="57"/>
        <v>0</v>
      </c>
      <c r="S81" s="45">
        <f t="shared" si="57"/>
        <v>0</v>
      </c>
      <c r="T81" s="45">
        <f t="shared" si="57"/>
        <v>0</v>
      </c>
      <c r="U81" s="45">
        <f t="shared" si="57"/>
        <v>0</v>
      </c>
      <c r="V81" s="45">
        <f t="shared" si="57"/>
        <v>0</v>
      </c>
      <c r="W81" s="45">
        <f t="shared" si="57"/>
        <v>0</v>
      </c>
      <c r="X81" s="45">
        <f t="shared" si="57"/>
        <v>0</v>
      </c>
      <c r="Y81" s="45">
        <f t="shared" si="57"/>
        <v>0</v>
      </c>
      <c r="Z81" s="45">
        <f t="shared" si="57"/>
        <v>0</v>
      </c>
      <c r="AA81" s="45">
        <f t="shared" si="57"/>
        <v>0</v>
      </c>
      <c r="AB81" s="45">
        <f t="shared" si="57"/>
        <v>0</v>
      </c>
      <c r="AC81" s="45">
        <f t="shared" si="57"/>
        <v>0</v>
      </c>
      <c r="AD81" s="45">
        <f t="shared" si="57"/>
        <v>0</v>
      </c>
      <c r="AE81" s="45">
        <f t="shared" si="57"/>
        <v>0</v>
      </c>
      <c r="AF81" s="45">
        <f t="shared" si="57"/>
        <v>0</v>
      </c>
      <c r="AG81" s="45">
        <f t="shared" si="57"/>
        <v>0</v>
      </c>
      <c r="AH81" s="45">
        <f t="shared" si="57"/>
        <v>0</v>
      </c>
      <c r="AI81" s="45">
        <f t="shared" si="57"/>
        <v>0</v>
      </c>
      <c r="AJ81" s="45">
        <f t="shared" si="57"/>
        <v>0</v>
      </c>
      <c r="AK81" s="45">
        <f t="shared" si="57"/>
        <v>0</v>
      </c>
      <c r="AL81" s="45">
        <f t="shared" si="57"/>
        <v>0</v>
      </c>
      <c r="AM81" s="45">
        <f t="shared" si="57"/>
        <v>0</v>
      </c>
      <c r="AN81" s="45">
        <f t="shared" si="57"/>
        <v>0</v>
      </c>
      <c r="AO81" s="45">
        <f t="shared" si="57"/>
        <v>0</v>
      </c>
      <c r="AP81" s="45">
        <f t="shared" si="57"/>
        <v>0</v>
      </c>
      <c r="AQ81" s="45">
        <f t="shared" si="57"/>
        <v>0</v>
      </c>
      <c r="AR81" s="45">
        <f t="shared" si="57"/>
        <v>0</v>
      </c>
      <c r="AS81" s="45">
        <f t="shared" si="57"/>
        <v>0</v>
      </c>
      <c r="AT81" s="45">
        <f t="shared" si="57"/>
        <v>0</v>
      </c>
      <c r="AU81" s="45">
        <f t="shared" si="57"/>
        <v>0</v>
      </c>
      <c r="AV81" s="45">
        <f t="shared" si="57"/>
        <v>0</v>
      </c>
      <c r="AW81" s="45">
        <f t="shared" si="57"/>
        <v>0</v>
      </c>
      <c r="AX81" s="45">
        <f t="shared" si="57"/>
        <v>0</v>
      </c>
      <c r="AY81" s="45">
        <f t="shared" si="57"/>
        <v>0</v>
      </c>
      <c r="AZ81" s="45">
        <f t="shared" si="57"/>
        <v>0</v>
      </c>
      <c r="BA81" s="45">
        <f t="shared" si="57"/>
        <v>0</v>
      </c>
      <c r="BB81" s="45">
        <f t="shared" si="57"/>
        <v>0</v>
      </c>
      <c r="BC81" s="45">
        <f t="shared" si="57"/>
        <v>0</v>
      </c>
      <c r="BD81" s="45">
        <f t="shared" si="57"/>
        <v>0</v>
      </c>
      <c r="BE81" s="45">
        <f t="shared" si="57"/>
        <v>0</v>
      </c>
      <c r="BF81" s="45">
        <f t="shared" si="57"/>
        <v>0</v>
      </c>
      <c r="BG81" s="45">
        <f t="shared" si="57"/>
        <v>0</v>
      </c>
      <c r="BH81" s="45">
        <f t="shared" si="57"/>
        <v>0</v>
      </c>
      <c r="BI81" s="45">
        <f t="shared" si="57"/>
        <v>0</v>
      </c>
      <c r="BJ81" s="45">
        <f t="shared" si="57"/>
        <v>0</v>
      </c>
      <c r="BK81" s="45">
        <f t="shared" si="57"/>
        <v>0</v>
      </c>
      <c r="BL81" s="45">
        <f t="shared" si="57"/>
        <v>0</v>
      </c>
      <c r="BM81" s="45">
        <f t="shared" si="57"/>
        <v>0</v>
      </c>
      <c r="BN81" s="45">
        <f t="shared" si="57"/>
        <v>0</v>
      </c>
      <c r="BO81" s="45">
        <f t="shared" si="57"/>
        <v>0</v>
      </c>
      <c r="BP81" s="45">
        <f t="shared" ref="BP81:EA81" si="58">-SUM(BP82:BP89)</f>
        <v>0</v>
      </c>
      <c r="BQ81" s="45">
        <f t="shared" si="58"/>
        <v>0</v>
      </c>
      <c r="BR81" s="45">
        <f t="shared" si="58"/>
        <v>0</v>
      </c>
      <c r="BS81" s="45">
        <f t="shared" si="58"/>
        <v>0</v>
      </c>
      <c r="BT81" s="45">
        <f t="shared" si="58"/>
        <v>0</v>
      </c>
      <c r="BU81" s="45">
        <f t="shared" si="58"/>
        <v>0</v>
      </c>
      <c r="BV81" s="45">
        <f t="shared" si="58"/>
        <v>0</v>
      </c>
      <c r="BW81" s="45">
        <f t="shared" si="58"/>
        <v>0</v>
      </c>
      <c r="BX81" s="45">
        <f t="shared" si="58"/>
        <v>0</v>
      </c>
      <c r="BY81" s="45">
        <f t="shared" si="58"/>
        <v>0</v>
      </c>
      <c r="BZ81" s="45">
        <f t="shared" si="58"/>
        <v>0</v>
      </c>
      <c r="CA81" s="45">
        <f t="shared" si="58"/>
        <v>0</v>
      </c>
      <c r="CB81" s="45">
        <f t="shared" si="58"/>
        <v>0</v>
      </c>
      <c r="CC81" s="45">
        <f t="shared" si="58"/>
        <v>0</v>
      </c>
      <c r="CD81" s="45">
        <f t="shared" si="58"/>
        <v>0</v>
      </c>
      <c r="CE81" s="45">
        <f t="shared" si="58"/>
        <v>0</v>
      </c>
      <c r="CF81" s="45">
        <f t="shared" si="58"/>
        <v>0</v>
      </c>
      <c r="CG81" s="45">
        <f t="shared" si="58"/>
        <v>0</v>
      </c>
      <c r="CH81" s="45">
        <f t="shared" si="58"/>
        <v>0</v>
      </c>
      <c r="CI81" s="45">
        <f t="shared" si="58"/>
        <v>0</v>
      </c>
      <c r="CJ81" s="45">
        <f t="shared" si="58"/>
        <v>0</v>
      </c>
      <c r="CK81" s="45">
        <f t="shared" si="58"/>
        <v>0</v>
      </c>
      <c r="CL81" s="45">
        <f t="shared" si="58"/>
        <v>0</v>
      </c>
      <c r="CM81" s="45">
        <f t="shared" si="58"/>
        <v>0</v>
      </c>
      <c r="CN81" s="45">
        <f t="shared" si="58"/>
        <v>0</v>
      </c>
      <c r="CO81" s="45">
        <f t="shared" si="58"/>
        <v>0</v>
      </c>
      <c r="CP81" s="45">
        <f t="shared" si="58"/>
        <v>0</v>
      </c>
      <c r="CQ81" s="45">
        <f t="shared" si="58"/>
        <v>0</v>
      </c>
      <c r="CR81" s="45">
        <f t="shared" si="58"/>
        <v>0</v>
      </c>
      <c r="CS81" s="45">
        <f t="shared" si="58"/>
        <v>0</v>
      </c>
      <c r="CT81" s="45">
        <f t="shared" si="58"/>
        <v>0</v>
      </c>
      <c r="CU81" s="45">
        <f t="shared" si="58"/>
        <v>0</v>
      </c>
      <c r="CV81" s="45">
        <f t="shared" si="58"/>
        <v>0</v>
      </c>
      <c r="CW81" s="45">
        <f t="shared" si="58"/>
        <v>0</v>
      </c>
      <c r="CX81" s="45">
        <f t="shared" si="58"/>
        <v>0</v>
      </c>
      <c r="CY81" s="45">
        <f t="shared" si="58"/>
        <v>0</v>
      </c>
      <c r="CZ81" s="45">
        <f t="shared" si="58"/>
        <v>0</v>
      </c>
      <c r="DA81" s="45">
        <f t="shared" si="58"/>
        <v>0</v>
      </c>
      <c r="DB81" s="45">
        <f t="shared" si="58"/>
        <v>0</v>
      </c>
      <c r="DC81" s="45">
        <f t="shared" si="58"/>
        <v>0</v>
      </c>
      <c r="DD81" s="45">
        <f t="shared" si="58"/>
        <v>0</v>
      </c>
      <c r="DE81" s="45">
        <f t="shared" si="58"/>
        <v>0</v>
      </c>
      <c r="DF81" s="45">
        <f t="shared" si="58"/>
        <v>0</v>
      </c>
      <c r="DG81" s="45">
        <f t="shared" si="58"/>
        <v>0</v>
      </c>
      <c r="DH81" s="45">
        <f t="shared" si="58"/>
        <v>0</v>
      </c>
      <c r="DI81" s="45">
        <f t="shared" si="58"/>
        <v>0</v>
      </c>
      <c r="DJ81" s="45">
        <f t="shared" si="58"/>
        <v>0</v>
      </c>
      <c r="DK81" s="45">
        <f t="shared" si="58"/>
        <v>0</v>
      </c>
      <c r="DL81" s="45">
        <f t="shared" si="58"/>
        <v>0</v>
      </c>
      <c r="DM81" s="45">
        <f t="shared" si="58"/>
        <v>0</v>
      </c>
      <c r="DN81" s="45">
        <f t="shared" si="58"/>
        <v>0</v>
      </c>
      <c r="DO81" s="45">
        <f t="shared" si="58"/>
        <v>0</v>
      </c>
      <c r="DP81" s="45">
        <f t="shared" si="58"/>
        <v>0</v>
      </c>
      <c r="DQ81" s="45">
        <f t="shared" si="58"/>
        <v>0</v>
      </c>
      <c r="DR81" s="45">
        <f t="shared" si="58"/>
        <v>0</v>
      </c>
      <c r="DS81" s="45">
        <f t="shared" si="58"/>
        <v>0</v>
      </c>
      <c r="DT81" s="45">
        <f t="shared" si="58"/>
        <v>0</v>
      </c>
      <c r="DU81" s="45">
        <f t="shared" si="58"/>
        <v>0</v>
      </c>
      <c r="DV81" s="45">
        <f t="shared" si="58"/>
        <v>0</v>
      </c>
      <c r="DW81" s="45">
        <f t="shared" si="58"/>
        <v>0</v>
      </c>
      <c r="DX81" s="45">
        <f t="shared" si="58"/>
        <v>0</v>
      </c>
      <c r="DY81" s="45">
        <f t="shared" si="58"/>
        <v>0</v>
      </c>
      <c r="DZ81" s="45">
        <f t="shared" si="58"/>
        <v>0</v>
      </c>
      <c r="EA81" s="45">
        <f t="shared" si="58"/>
        <v>0</v>
      </c>
      <c r="EB81" s="45">
        <f t="shared" ref="EB81:GM81" si="59">-SUM(EB82:EB89)</f>
        <v>0</v>
      </c>
      <c r="EC81" s="45">
        <f t="shared" si="59"/>
        <v>0</v>
      </c>
      <c r="ED81" s="45">
        <f t="shared" si="59"/>
        <v>0</v>
      </c>
      <c r="EE81" s="45">
        <f t="shared" si="59"/>
        <v>0</v>
      </c>
      <c r="EF81" s="45">
        <f t="shared" si="59"/>
        <v>0</v>
      </c>
      <c r="EG81" s="45">
        <f t="shared" si="59"/>
        <v>0</v>
      </c>
      <c r="EH81" s="45">
        <f t="shared" si="59"/>
        <v>0</v>
      </c>
      <c r="EI81" s="45">
        <f t="shared" si="59"/>
        <v>0</v>
      </c>
      <c r="EJ81" s="45">
        <f t="shared" si="59"/>
        <v>0</v>
      </c>
      <c r="EK81" s="45">
        <f t="shared" si="59"/>
        <v>0</v>
      </c>
      <c r="EL81" s="45">
        <f t="shared" si="59"/>
        <v>0</v>
      </c>
      <c r="EM81" s="45">
        <f t="shared" si="59"/>
        <v>0</v>
      </c>
      <c r="EN81" s="45">
        <f t="shared" si="59"/>
        <v>0</v>
      </c>
      <c r="EO81" s="45">
        <f t="shared" si="59"/>
        <v>0</v>
      </c>
      <c r="EP81" s="45">
        <f t="shared" si="59"/>
        <v>0</v>
      </c>
      <c r="EQ81" s="45">
        <f t="shared" si="59"/>
        <v>0</v>
      </c>
      <c r="ER81" s="45">
        <f t="shared" si="59"/>
        <v>0</v>
      </c>
      <c r="ES81" s="45">
        <f t="shared" si="59"/>
        <v>0</v>
      </c>
      <c r="ET81" s="45">
        <f t="shared" si="59"/>
        <v>0</v>
      </c>
      <c r="EU81" s="45">
        <f t="shared" si="59"/>
        <v>0</v>
      </c>
      <c r="EV81" s="45">
        <f t="shared" si="59"/>
        <v>0</v>
      </c>
      <c r="EW81" s="45">
        <f t="shared" si="59"/>
        <v>0</v>
      </c>
      <c r="EX81" s="45">
        <f t="shared" si="59"/>
        <v>0</v>
      </c>
      <c r="EY81" s="45">
        <f t="shared" si="59"/>
        <v>0</v>
      </c>
      <c r="EZ81" s="45">
        <f t="shared" si="59"/>
        <v>0</v>
      </c>
      <c r="FA81" s="45">
        <f t="shared" si="59"/>
        <v>0</v>
      </c>
      <c r="FB81" s="45">
        <f t="shared" si="59"/>
        <v>0</v>
      </c>
      <c r="FC81" s="45">
        <f t="shared" si="59"/>
        <v>0</v>
      </c>
      <c r="FD81" s="45">
        <f t="shared" si="59"/>
        <v>0</v>
      </c>
      <c r="FE81" s="45">
        <f t="shared" si="59"/>
        <v>0</v>
      </c>
      <c r="FF81" s="45">
        <f t="shared" si="59"/>
        <v>0</v>
      </c>
      <c r="FG81" s="45">
        <f t="shared" si="59"/>
        <v>0</v>
      </c>
      <c r="FH81" s="45">
        <f t="shared" si="59"/>
        <v>0</v>
      </c>
      <c r="FI81" s="45">
        <f t="shared" si="59"/>
        <v>0</v>
      </c>
      <c r="FJ81" s="45">
        <f t="shared" si="59"/>
        <v>0</v>
      </c>
      <c r="FK81" s="45">
        <f t="shared" si="59"/>
        <v>0</v>
      </c>
      <c r="FL81" s="45">
        <f t="shared" si="59"/>
        <v>0</v>
      </c>
      <c r="FM81" s="45">
        <f t="shared" si="59"/>
        <v>0</v>
      </c>
      <c r="FN81" s="45">
        <f t="shared" si="59"/>
        <v>0</v>
      </c>
      <c r="FO81" s="45">
        <f t="shared" si="59"/>
        <v>0</v>
      </c>
      <c r="FP81" s="45">
        <f t="shared" si="59"/>
        <v>0</v>
      </c>
      <c r="FQ81" s="45">
        <f t="shared" si="59"/>
        <v>0</v>
      </c>
      <c r="FR81" s="45">
        <f t="shared" si="59"/>
        <v>0</v>
      </c>
      <c r="FS81" s="45">
        <f t="shared" si="59"/>
        <v>0</v>
      </c>
      <c r="FT81" s="45">
        <f t="shared" si="59"/>
        <v>0</v>
      </c>
      <c r="FU81" s="45">
        <f t="shared" si="59"/>
        <v>0</v>
      </c>
      <c r="FV81" s="45">
        <f t="shared" si="59"/>
        <v>0</v>
      </c>
      <c r="FW81" s="45">
        <f t="shared" si="59"/>
        <v>0</v>
      </c>
      <c r="FX81" s="45">
        <f t="shared" si="59"/>
        <v>0</v>
      </c>
      <c r="FY81" s="45">
        <f t="shared" si="59"/>
        <v>0</v>
      </c>
      <c r="FZ81" s="45">
        <f t="shared" si="59"/>
        <v>0</v>
      </c>
      <c r="GA81" s="45">
        <f t="shared" si="59"/>
        <v>0</v>
      </c>
      <c r="GB81" s="45">
        <f t="shared" si="59"/>
        <v>0</v>
      </c>
      <c r="GC81" s="45">
        <f t="shared" si="59"/>
        <v>0</v>
      </c>
      <c r="GD81" s="45">
        <f t="shared" si="59"/>
        <v>0</v>
      </c>
      <c r="GE81" s="45">
        <f t="shared" si="59"/>
        <v>0</v>
      </c>
      <c r="GF81" s="45">
        <f t="shared" si="59"/>
        <v>0</v>
      </c>
      <c r="GG81" s="45">
        <f t="shared" si="59"/>
        <v>0</v>
      </c>
      <c r="GH81" s="45">
        <f t="shared" si="59"/>
        <v>0</v>
      </c>
      <c r="GI81" s="45">
        <f t="shared" si="59"/>
        <v>0</v>
      </c>
      <c r="GJ81" s="45">
        <f t="shared" si="59"/>
        <v>0</v>
      </c>
      <c r="GK81" s="45">
        <f t="shared" si="59"/>
        <v>0</v>
      </c>
      <c r="GL81" s="45">
        <f t="shared" si="59"/>
        <v>0</v>
      </c>
      <c r="GM81" s="45">
        <f t="shared" si="59"/>
        <v>0</v>
      </c>
      <c r="GN81" s="45">
        <f t="shared" ref="GN81:GT81" si="60">-SUM(GN82:GN89)</f>
        <v>0</v>
      </c>
      <c r="GO81" s="45">
        <f t="shared" si="60"/>
        <v>0</v>
      </c>
      <c r="GP81" s="45">
        <f t="shared" si="60"/>
        <v>0</v>
      </c>
      <c r="GQ81" s="45">
        <f t="shared" si="60"/>
        <v>0</v>
      </c>
      <c r="GR81" s="45">
        <f t="shared" si="60"/>
        <v>0</v>
      </c>
      <c r="GS81" s="45">
        <f t="shared" si="60"/>
        <v>0</v>
      </c>
      <c r="GT81" s="45">
        <f t="shared" si="60"/>
        <v>0</v>
      </c>
    </row>
    <row r="82" spans="1:202" ht="16.5" customHeight="1">
      <c r="A82" s="96" t="s">
        <v>23</v>
      </c>
      <c r="B82" s="92"/>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c r="CC82" s="93"/>
      <c r="CD82" s="93"/>
      <c r="CE82" s="93"/>
      <c r="CF82" s="93"/>
      <c r="CG82" s="93"/>
      <c r="CH82" s="93"/>
      <c r="CI82" s="93"/>
      <c r="CJ82" s="93"/>
      <c r="CK82" s="93"/>
      <c r="CL82" s="93"/>
      <c r="CM82" s="93"/>
      <c r="CN82" s="93"/>
      <c r="CO82" s="93"/>
      <c r="CP82" s="93"/>
      <c r="CQ82" s="93"/>
      <c r="CR82" s="93"/>
      <c r="CS82" s="93"/>
      <c r="CT82" s="93"/>
      <c r="CU82" s="93"/>
      <c r="CV82" s="93"/>
      <c r="CW82" s="93"/>
      <c r="CX82" s="93"/>
      <c r="CY82" s="93"/>
      <c r="CZ82" s="93"/>
      <c r="DA82" s="93"/>
      <c r="DB82" s="93"/>
      <c r="DC82" s="93"/>
      <c r="DD82" s="93"/>
      <c r="DE82" s="93"/>
      <c r="DF82" s="93"/>
      <c r="DG82" s="93"/>
      <c r="DH82" s="93"/>
      <c r="DI82" s="93"/>
      <c r="DJ82" s="93"/>
      <c r="DK82" s="93"/>
      <c r="DL82" s="93"/>
      <c r="DM82" s="93"/>
      <c r="DN82" s="93"/>
      <c r="DO82" s="93"/>
      <c r="DP82" s="93"/>
      <c r="DQ82" s="93"/>
      <c r="DR82" s="93"/>
      <c r="DS82" s="93"/>
      <c r="DT82" s="93"/>
      <c r="DU82" s="93"/>
      <c r="DV82" s="93"/>
      <c r="DW82" s="93"/>
      <c r="DX82" s="93"/>
      <c r="DY82" s="93"/>
      <c r="DZ82" s="93"/>
      <c r="EA82" s="93"/>
      <c r="EB82" s="93"/>
      <c r="EC82" s="93"/>
      <c r="ED82" s="93"/>
      <c r="EE82" s="93"/>
      <c r="EF82" s="93"/>
      <c r="EG82" s="93"/>
      <c r="EH82" s="93"/>
      <c r="EI82" s="93"/>
      <c r="EJ82" s="93"/>
      <c r="EK82" s="93"/>
      <c r="EL82" s="93"/>
      <c r="EM82" s="93"/>
      <c r="EN82" s="93"/>
      <c r="EO82" s="93"/>
      <c r="EP82" s="93"/>
      <c r="EQ82" s="93"/>
      <c r="ER82" s="93"/>
      <c r="ES82" s="93"/>
      <c r="ET82" s="93"/>
      <c r="EU82" s="93"/>
      <c r="EV82" s="93"/>
      <c r="EW82" s="93"/>
      <c r="EX82" s="93"/>
      <c r="EY82" s="93"/>
      <c r="EZ82" s="93"/>
      <c r="FA82" s="93"/>
      <c r="FB82" s="93"/>
      <c r="FC82" s="93"/>
      <c r="FD82" s="93"/>
      <c r="FE82" s="93"/>
      <c r="FF82" s="93"/>
      <c r="FG82" s="93"/>
      <c r="FH82" s="93"/>
      <c r="FI82" s="93"/>
      <c r="FJ82" s="93"/>
      <c r="FK82" s="93"/>
      <c r="FL82" s="93"/>
      <c r="FM82" s="93"/>
      <c r="FN82" s="93"/>
      <c r="FO82" s="93"/>
      <c r="FP82" s="93"/>
      <c r="FQ82" s="93"/>
      <c r="FR82" s="93"/>
      <c r="FS82" s="93"/>
      <c r="FT82" s="93"/>
      <c r="FU82" s="93"/>
      <c r="FV82" s="93"/>
      <c r="FW82" s="93"/>
      <c r="FX82" s="93"/>
      <c r="FY82" s="93"/>
      <c r="FZ82" s="93"/>
      <c r="GA82" s="93"/>
      <c r="GB82" s="93"/>
      <c r="GC82" s="93"/>
      <c r="GD82" s="93"/>
      <c r="GE82" s="93"/>
      <c r="GF82" s="93"/>
      <c r="GG82" s="93"/>
      <c r="GH82" s="93"/>
      <c r="GI82" s="93"/>
      <c r="GJ82" s="93"/>
      <c r="GK82" s="93"/>
      <c r="GL82" s="93"/>
      <c r="GM82" s="93"/>
      <c r="GN82" s="93"/>
      <c r="GO82" s="93"/>
      <c r="GP82" s="93"/>
      <c r="GQ82" s="93"/>
      <c r="GR82" s="93"/>
      <c r="GS82" s="93"/>
      <c r="GT82" s="93"/>
    </row>
    <row r="83" spans="1:202" ht="16.5" customHeight="1">
      <c r="A83" s="96" t="s">
        <v>240</v>
      </c>
      <c r="B83" s="92"/>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c r="CC83" s="93"/>
      <c r="CD83" s="93"/>
      <c r="CE83" s="93"/>
      <c r="CF83" s="93"/>
      <c r="CG83" s="93"/>
      <c r="CH83" s="93"/>
      <c r="CI83" s="93"/>
      <c r="CJ83" s="93"/>
      <c r="CK83" s="93"/>
      <c r="CL83" s="93"/>
      <c r="CM83" s="93"/>
      <c r="CN83" s="93"/>
      <c r="CO83" s="93"/>
      <c r="CP83" s="93"/>
      <c r="CQ83" s="93"/>
      <c r="CR83" s="93"/>
      <c r="CS83" s="93"/>
      <c r="CT83" s="93"/>
      <c r="CU83" s="93"/>
      <c r="CV83" s="93"/>
      <c r="CW83" s="93"/>
      <c r="CX83" s="93"/>
      <c r="CY83" s="93"/>
      <c r="CZ83" s="93"/>
      <c r="DA83" s="93"/>
      <c r="DB83" s="93"/>
      <c r="DC83" s="93"/>
      <c r="DD83" s="93"/>
      <c r="DE83" s="93"/>
      <c r="DF83" s="93"/>
      <c r="DG83" s="93"/>
      <c r="DH83" s="93"/>
      <c r="DI83" s="93"/>
      <c r="DJ83" s="93"/>
      <c r="DK83" s="93"/>
      <c r="DL83" s="93"/>
      <c r="DM83" s="93"/>
      <c r="DN83" s="93"/>
      <c r="DO83" s="93"/>
      <c r="DP83" s="93"/>
      <c r="DQ83" s="93"/>
      <c r="DR83" s="93"/>
      <c r="DS83" s="93"/>
      <c r="DT83" s="93"/>
      <c r="DU83" s="93"/>
      <c r="DV83" s="93"/>
      <c r="DW83" s="93"/>
      <c r="DX83" s="93"/>
      <c r="DY83" s="93"/>
      <c r="DZ83" s="93"/>
      <c r="EA83" s="93"/>
      <c r="EB83" s="93"/>
      <c r="EC83" s="93"/>
      <c r="ED83" s="93"/>
      <c r="EE83" s="93"/>
      <c r="EF83" s="93"/>
      <c r="EG83" s="93"/>
      <c r="EH83" s="93"/>
      <c r="EI83" s="93"/>
      <c r="EJ83" s="93"/>
      <c r="EK83" s="93"/>
      <c r="EL83" s="93"/>
      <c r="EM83" s="93"/>
      <c r="EN83" s="93"/>
      <c r="EO83" s="93"/>
      <c r="EP83" s="93"/>
      <c r="EQ83" s="93"/>
      <c r="ER83" s="93"/>
      <c r="ES83" s="93"/>
      <c r="ET83" s="93"/>
      <c r="EU83" s="93"/>
      <c r="EV83" s="93"/>
      <c r="EW83" s="93"/>
      <c r="EX83" s="93"/>
      <c r="EY83" s="93"/>
      <c r="EZ83" s="93"/>
      <c r="FA83" s="93"/>
      <c r="FB83" s="93"/>
      <c r="FC83" s="93"/>
      <c r="FD83" s="93"/>
      <c r="FE83" s="93"/>
      <c r="FF83" s="93"/>
      <c r="FG83" s="93"/>
      <c r="FH83" s="93"/>
      <c r="FI83" s="93"/>
      <c r="FJ83" s="93"/>
      <c r="FK83" s="93"/>
      <c r="FL83" s="93"/>
      <c r="FM83" s="93"/>
      <c r="FN83" s="93"/>
      <c r="FO83" s="93"/>
      <c r="FP83" s="93"/>
      <c r="FQ83" s="93"/>
      <c r="FR83" s="93"/>
      <c r="FS83" s="93"/>
      <c r="FT83" s="93"/>
      <c r="FU83" s="93"/>
      <c r="FV83" s="93"/>
      <c r="FW83" s="93"/>
      <c r="FX83" s="93"/>
      <c r="FY83" s="93"/>
      <c r="FZ83" s="93"/>
      <c r="GA83" s="93"/>
      <c r="GB83" s="93"/>
      <c r="GC83" s="93"/>
      <c r="GD83" s="93"/>
      <c r="GE83" s="93"/>
      <c r="GF83" s="93"/>
      <c r="GG83" s="93"/>
      <c r="GH83" s="93"/>
      <c r="GI83" s="93"/>
      <c r="GJ83" s="93"/>
      <c r="GK83" s="93"/>
      <c r="GL83" s="93"/>
      <c r="GM83" s="93"/>
      <c r="GN83" s="93"/>
      <c r="GO83" s="93"/>
      <c r="GP83" s="93"/>
      <c r="GQ83" s="93"/>
      <c r="GR83" s="93"/>
      <c r="GS83" s="93"/>
      <c r="GT83" s="93"/>
    </row>
    <row r="84" spans="1:202" ht="16.5" customHeight="1">
      <c r="A84" s="96" t="s">
        <v>11</v>
      </c>
      <c r="B84" s="92"/>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c r="CC84" s="93"/>
      <c r="CD84" s="93"/>
      <c r="CE84" s="93"/>
      <c r="CF84" s="93"/>
      <c r="CG84" s="93"/>
      <c r="CH84" s="93"/>
      <c r="CI84" s="93"/>
      <c r="CJ84" s="93"/>
      <c r="CK84" s="93"/>
      <c r="CL84" s="93"/>
      <c r="CM84" s="93"/>
      <c r="CN84" s="93"/>
      <c r="CO84" s="93"/>
      <c r="CP84" s="93"/>
      <c r="CQ84" s="93"/>
      <c r="CR84" s="93"/>
      <c r="CS84" s="93"/>
      <c r="CT84" s="93"/>
      <c r="CU84" s="93"/>
      <c r="CV84" s="93"/>
      <c r="CW84" s="93"/>
      <c r="CX84" s="93"/>
      <c r="CY84" s="93"/>
      <c r="CZ84" s="93"/>
      <c r="DA84" s="93"/>
      <c r="DB84" s="93"/>
      <c r="DC84" s="93"/>
      <c r="DD84" s="93"/>
      <c r="DE84" s="93"/>
      <c r="DF84" s="93"/>
      <c r="DG84" s="93"/>
      <c r="DH84" s="93"/>
      <c r="DI84" s="93"/>
      <c r="DJ84" s="93"/>
      <c r="DK84" s="93"/>
      <c r="DL84" s="93"/>
      <c r="DM84" s="93"/>
      <c r="DN84" s="93"/>
      <c r="DO84" s="93"/>
      <c r="DP84" s="93"/>
      <c r="DQ84" s="93"/>
      <c r="DR84" s="93"/>
      <c r="DS84" s="93"/>
      <c r="DT84" s="93"/>
      <c r="DU84" s="93"/>
      <c r="DV84" s="93"/>
      <c r="DW84" s="93"/>
      <c r="DX84" s="93"/>
      <c r="DY84" s="93"/>
      <c r="DZ84" s="93"/>
      <c r="EA84" s="93"/>
      <c r="EB84" s="93"/>
      <c r="EC84" s="93"/>
      <c r="ED84" s="93"/>
      <c r="EE84" s="93"/>
      <c r="EF84" s="93"/>
      <c r="EG84" s="93"/>
      <c r="EH84" s="93"/>
      <c r="EI84" s="93"/>
      <c r="EJ84" s="93"/>
      <c r="EK84" s="93"/>
      <c r="EL84" s="93"/>
      <c r="EM84" s="93"/>
      <c r="EN84" s="93"/>
      <c r="EO84" s="93"/>
      <c r="EP84" s="93"/>
      <c r="EQ84" s="93"/>
      <c r="ER84" s="93"/>
      <c r="ES84" s="93"/>
      <c r="ET84" s="93"/>
      <c r="EU84" s="93"/>
      <c r="EV84" s="93"/>
      <c r="EW84" s="93"/>
      <c r="EX84" s="93"/>
      <c r="EY84" s="93"/>
      <c r="EZ84" s="93"/>
      <c r="FA84" s="93"/>
      <c r="FB84" s="93"/>
      <c r="FC84" s="93"/>
      <c r="FD84" s="93"/>
      <c r="FE84" s="93"/>
      <c r="FF84" s="93"/>
      <c r="FG84" s="93"/>
      <c r="FH84" s="93"/>
      <c r="FI84" s="93"/>
      <c r="FJ84" s="93"/>
      <c r="FK84" s="93"/>
      <c r="FL84" s="93"/>
      <c r="FM84" s="93"/>
      <c r="FN84" s="93"/>
      <c r="FO84" s="93"/>
      <c r="FP84" s="93"/>
      <c r="FQ84" s="93"/>
      <c r="FR84" s="93"/>
      <c r="FS84" s="93"/>
      <c r="FT84" s="93"/>
      <c r="FU84" s="93"/>
      <c r="FV84" s="93"/>
      <c r="FW84" s="93"/>
      <c r="FX84" s="93"/>
      <c r="FY84" s="93"/>
      <c r="FZ84" s="93"/>
      <c r="GA84" s="93"/>
      <c r="GB84" s="93"/>
      <c r="GC84" s="93"/>
      <c r="GD84" s="93"/>
      <c r="GE84" s="93"/>
      <c r="GF84" s="93"/>
      <c r="GG84" s="93"/>
      <c r="GH84" s="93"/>
      <c r="GI84" s="93"/>
      <c r="GJ84" s="93"/>
      <c r="GK84" s="93"/>
      <c r="GL84" s="93"/>
      <c r="GM84" s="93"/>
      <c r="GN84" s="93"/>
      <c r="GO84" s="93"/>
      <c r="GP84" s="93"/>
      <c r="GQ84" s="93"/>
      <c r="GR84" s="93"/>
      <c r="GS84" s="93"/>
      <c r="GT84" s="93"/>
    </row>
    <row r="85" spans="1:202" ht="16.5" customHeight="1">
      <c r="A85" s="96" t="s">
        <v>23</v>
      </c>
      <c r="B85" s="92"/>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3"/>
      <c r="BG85" s="93"/>
      <c r="BH85" s="93"/>
      <c r="BI85" s="93"/>
      <c r="BJ85" s="93"/>
      <c r="BK85" s="93"/>
      <c r="BL85" s="93"/>
      <c r="BM85" s="93"/>
      <c r="BN85" s="93"/>
      <c r="BO85" s="93"/>
      <c r="BP85" s="93"/>
      <c r="BQ85" s="93"/>
      <c r="BR85" s="93"/>
      <c r="BS85" s="93"/>
      <c r="BT85" s="93"/>
      <c r="BU85" s="93"/>
      <c r="BV85" s="93"/>
      <c r="BW85" s="93"/>
      <c r="BX85" s="93"/>
      <c r="BY85" s="93"/>
      <c r="BZ85" s="93"/>
      <c r="CA85" s="93"/>
      <c r="CB85" s="93"/>
      <c r="CC85" s="93"/>
      <c r="CD85" s="93"/>
      <c r="CE85" s="93"/>
      <c r="CF85" s="93"/>
      <c r="CG85" s="93"/>
      <c r="CH85" s="93"/>
      <c r="CI85" s="93"/>
      <c r="CJ85" s="93"/>
      <c r="CK85" s="93"/>
      <c r="CL85" s="93"/>
      <c r="CM85" s="93"/>
      <c r="CN85" s="93"/>
      <c r="CO85" s="93"/>
      <c r="CP85" s="93"/>
      <c r="CQ85" s="93"/>
      <c r="CR85" s="93"/>
      <c r="CS85" s="93"/>
      <c r="CT85" s="93"/>
      <c r="CU85" s="93"/>
      <c r="CV85" s="93"/>
      <c r="CW85" s="93"/>
      <c r="CX85" s="93"/>
      <c r="CY85" s="93"/>
      <c r="CZ85" s="93"/>
      <c r="DA85" s="93"/>
      <c r="DB85" s="93"/>
      <c r="DC85" s="93"/>
      <c r="DD85" s="93"/>
      <c r="DE85" s="93"/>
      <c r="DF85" s="93"/>
      <c r="DG85" s="93"/>
      <c r="DH85" s="93"/>
      <c r="DI85" s="93"/>
      <c r="DJ85" s="93"/>
      <c r="DK85" s="93"/>
      <c r="DL85" s="93"/>
      <c r="DM85" s="93"/>
      <c r="DN85" s="93"/>
      <c r="DO85" s="93"/>
      <c r="DP85" s="93"/>
      <c r="DQ85" s="93"/>
      <c r="DR85" s="93"/>
      <c r="DS85" s="93"/>
      <c r="DT85" s="93"/>
      <c r="DU85" s="93"/>
      <c r="DV85" s="93"/>
      <c r="DW85" s="93"/>
      <c r="DX85" s="93"/>
      <c r="DY85" s="93"/>
      <c r="DZ85" s="93"/>
      <c r="EA85" s="93"/>
      <c r="EB85" s="93"/>
      <c r="EC85" s="93"/>
      <c r="ED85" s="93"/>
      <c r="EE85" s="93"/>
      <c r="EF85" s="93"/>
      <c r="EG85" s="93"/>
      <c r="EH85" s="93"/>
      <c r="EI85" s="93"/>
      <c r="EJ85" s="93"/>
      <c r="EK85" s="93"/>
      <c r="EL85" s="93"/>
      <c r="EM85" s="93"/>
      <c r="EN85" s="93"/>
      <c r="EO85" s="93"/>
      <c r="EP85" s="93"/>
      <c r="EQ85" s="93"/>
      <c r="ER85" s="93"/>
      <c r="ES85" s="93"/>
      <c r="ET85" s="93"/>
      <c r="EU85" s="93"/>
      <c r="EV85" s="93"/>
      <c r="EW85" s="93"/>
      <c r="EX85" s="93"/>
      <c r="EY85" s="93"/>
      <c r="EZ85" s="93"/>
      <c r="FA85" s="93"/>
      <c r="FB85" s="93"/>
      <c r="FC85" s="93"/>
      <c r="FD85" s="93"/>
      <c r="FE85" s="93"/>
      <c r="FF85" s="93"/>
      <c r="FG85" s="93"/>
      <c r="FH85" s="93"/>
      <c r="FI85" s="93"/>
      <c r="FJ85" s="93"/>
      <c r="FK85" s="93"/>
      <c r="FL85" s="93"/>
      <c r="FM85" s="93"/>
      <c r="FN85" s="93"/>
      <c r="FO85" s="93"/>
      <c r="FP85" s="93"/>
      <c r="FQ85" s="93"/>
      <c r="FR85" s="93"/>
      <c r="FS85" s="93"/>
      <c r="FT85" s="93"/>
      <c r="FU85" s="93"/>
      <c r="FV85" s="93"/>
      <c r="FW85" s="93"/>
      <c r="FX85" s="93"/>
      <c r="FY85" s="93"/>
      <c r="FZ85" s="93"/>
      <c r="GA85" s="93"/>
      <c r="GB85" s="93"/>
      <c r="GC85" s="93"/>
      <c r="GD85" s="93"/>
      <c r="GE85" s="93"/>
      <c r="GF85" s="93"/>
      <c r="GG85" s="93"/>
      <c r="GH85" s="93"/>
      <c r="GI85" s="93"/>
      <c r="GJ85" s="93"/>
      <c r="GK85" s="93"/>
      <c r="GL85" s="93"/>
      <c r="GM85" s="93"/>
      <c r="GN85" s="93"/>
      <c r="GO85" s="93"/>
      <c r="GP85" s="93"/>
      <c r="GQ85" s="93"/>
      <c r="GR85" s="93"/>
      <c r="GS85" s="93"/>
      <c r="GT85" s="93"/>
    </row>
    <row r="86" spans="1:202" ht="16.5" customHeight="1">
      <c r="A86" s="96" t="s">
        <v>240</v>
      </c>
      <c r="B86" s="92"/>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93"/>
      <c r="BT86" s="93"/>
      <c r="BU86" s="93"/>
      <c r="BV86" s="93"/>
      <c r="BW86" s="93"/>
      <c r="BX86" s="93"/>
      <c r="BY86" s="93"/>
      <c r="BZ86" s="93"/>
      <c r="CA86" s="93"/>
      <c r="CB86" s="93"/>
      <c r="CC86" s="93"/>
      <c r="CD86" s="93"/>
      <c r="CE86" s="93"/>
      <c r="CF86" s="93"/>
      <c r="CG86" s="93"/>
      <c r="CH86" s="93"/>
      <c r="CI86" s="93"/>
      <c r="CJ86" s="93"/>
      <c r="CK86" s="93"/>
      <c r="CL86" s="93"/>
      <c r="CM86" s="93"/>
      <c r="CN86" s="93"/>
      <c r="CO86" s="93"/>
      <c r="CP86" s="93"/>
      <c r="CQ86" s="93"/>
      <c r="CR86" s="93"/>
      <c r="CS86" s="93"/>
      <c r="CT86" s="93"/>
      <c r="CU86" s="93"/>
      <c r="CV86" s="93"/>
      <c r="CW86" s="93"/>
      <c r="CX86" s="93"/>
      <c r="CY86" s="93"/>
      <c r="CZ86" s="93"/>
      <c r="DA86" s="93"/>
      <c r="DB86" s="93"/>
      <c r="DC86" s="93"/>
      <c r="DD86" s="93"/>
      <c r="DE86" s="93"/>
      <c r="DF86" s="93"/>
      <c r="DG86" s="93"/>
      <c r="DH86" s="93"/>
      <c r="DI86" s="93"/>
      <c r="DJ86" s="93"/>
      <c r="DK86" s="93"/>
      <c r="DL86" s="93"/>
      <c r="DM86" s="93"/>
      <c r="DN86" s="93"/>
      <c r="DO86" s="93"/>
      <c r="DP86" s="93"/>
      <c r="DQ86" s="93"/>
      <c r="DR86" s="93"/>
      <c r="DS86" s="93"/>
      <c r="DT86" s="93"/>
      <c r="DU86" s="93"/>
      <c r="DV86" s="93"/>
      <c r="DW86" s="93"/>
      <c r="DX86" s="93"/>
      <c r="DY86" s="93"/>
      <c r="DZ86" s="93"/>
      <c r="EA86" s="93"/>
      <c r="EB86" s="93"/>
      <c r="EC86" s="93"/>
      <c r="ED86" s="93"/>
      <c r="EE86" s="93"/>
      <c r="EF86" s="93"/>
      <c r="EG86" s="93"/>
      <c r="EH86" s="93"/>
      <c r="EI86" s="93"/>
      <c r="EJ86" s="93"/>
      <c r="EK86" s="93"/>
      <c r="EL86" s="93"/>
      <c r="EM86" s="93"/>
      <c r="EN86" s="93"/>
      <c r="EO86" s="93"/>
      <c r="EP86" s="93"/>
      <c r="EQ86" s="93"/>
      <c r="ER86" s="93"/>
      <c r="ES86" s="93"/>
      <c r="ET86" s="93"/>
      <c r="EU86" s="93"/>
      <c r="EV86" s="93"/>
      <c r="EW86" s="93"/>
      <c r="EX86" s="93"/>
      <c r="EY86" s="93"/>
      <c r="EZ86" s="93"/>
      <c r="FA86" s="93"/>
      <c r="FB86" s="93"/>
      <c r="FC86" s="93"/>
      <c r="FD86" s="93"/>
      <c r="FE86" s="93"/>
      <c r="FF86" s="93"/>
      <c r="FG86" s="93"/>
      <c r="FH86" s="93"/>
      <c r="FI86" s="93"/>
      <c r="FJ86" s="93"/>
      <c r="FK86" s="93"/>
      <c r="FL86" s="93"/>
      <c r="FM86" s="93"/>
      <c r="FN86" s="93"/>
      <c r="FO86" s="93"/>
      <c r="FP86" s="93"/>
      <c r="FQ86" s="93"/>
      <c r="FR86" s="93"/>
      <c r="FS86" s="93"/>
      <c r="FT86" s="93"/>
      <c r="FU86" s="93"/>
      <c r="FV86" s="93"/>
      <c r="FW86" s="93"/>
      <c r="FX86" s="93"/>
      <c r="FY86" s="93"/>
      <c r="FZ86" s="93"/>
      <c r="GA86" s="93"/>
      <c r="GB86" s="93"/>
      <c r="GC86" s="93"/>
      <c r="GD86" s="93"/>
      <c r="GE86" s="93"/>
      <c r="GF86" s="93"/>
      <c r="GG86" s="93"/>
      <c r="GH86" s="93"/>
      <c r="GI86" s="93"/>
      <c r="GJ86" s="93"/>
      <c r="GK86" s="93"/>
      <c r="GL86" s="93"/>
      <c r="GM86" s="93"/>
      <c r="GN86" s="93"/>
      <c r="GO86" s="93"/>
      <c r="GP86" s="93"/>
      <c r="GQ86" s="93"/>
      <c r="GR86" s="93"/>
      <c r="GS86" s="93"/>
      <c r="GT86" s="93"/>
    </row>
    <row r="87" spans="1:202" ht="16.5" customHeight="1">
      <c r="A87" s="96" t="s">
        <v>11</v>
      </c>
      <c r="B87" s="92"/>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c r="DA87" s="93"/>
      <c r="DB87" s="93"/>
      <c r="DC87" s="93"/>
      <c r="DD87" s="93"/>
      <c r="DE87" s="93"/>
      <c r="DF87" s="93"/>
      <c r="DG87" s="93"/>
      <c r="DH87" s="93"/>
      <c r="DI87" s="93"/>
      <c r="DJ87" s="93"/>
      <c r="DK87" s="93"/>
      <c r="DL87" s="93"/>
      <c r="DM87" s="93"/>
      <c r="DN87" s="93"/>
      <c r="DO87" s="93"/>
      <c r="DP87" s="93"/>
      <c r="DQ87" s="93"/>
      <c r="DR87" s="93"/>
      <c r="DS87" s="93"/>
      <c r="DT87" s="93"/>
      <c r="DU87" s="93"/>
      <c r="DV87" s="93"/>
      <c r="DW87" s="93"/>
      <c r="DX87" s="93"/>
      <c r="DY87" s="93"/>
      <c r="DZ87" s="93"/>
      <c r="EA87" s="93"/>
      <c r="EB87" s="93"/>
      <c r="EC87" s="93"/>
      <c r="ED87" s="93"/>
      <c r="EE87" s="93"/>
      <c r="EF87" s="93"/>
      <c r="EG87" s="93"/>
      <c r="EH87" s="93"/>
      <c r="EI87" s="93"/>
      <c r="EJ87" s="93"/>
      <c r="EK87" s="93"/>
      <c r="EL87" s="93"/>
      <c r="EM87" s="93"/>
      <c r="EN87" s="93"/>
      <c r="EO87" s="93"/>
      <c r="EP87" s="93"/>
      <c r="EQ87" s="93"/>
      <c r="ER87" s="93"/>
      <c r="ES87" s="93"/>
      <c r="ET87" s="93"/>
      <c r="EU87" s="93"/>
      <c r="EV87" s="93"/>
      <c r="EW87" s="93"/>
      <c r="EX87" s="93"/>
      <c r="EY87" s="93"/>
      <c r="EZ87" s="93"/>
      <c r="FA87" s="93"/>
      <c r="FB87" s="93"/>
      <c r="FC87" s="93"/>
      <c r="FD87" s="93"/>
      <c r="FE87" s="93"/>
      <c r="FF87" s="93"/>
      <c r="FG87" s="93"/>
      <c r="FH87" s="93"/>
      <c r="FI87" s="93"/>
      <c r="FJ87" s="93"/>
      <c r="FK87" s="93"/>
      <c r="FL87" s="93"/>
      <c r="FM87" s="93"/>
      <c r="FN87" s="93"/>
      <c r="FO87" s="93"/>
      <c r="FP87" s="93"/>
      <c r="FQ87" s="93"/>
      <c r="FR87" s="93"/>
      <c r="FS87" s="93"/>
      <c r="FT87" s="93"/>
      <c r="FU87" s="93"/>
      <c r="FV87" s="93"/>
      <c r="FW87" s="93"/>
      <c r="FX87" s="93"/>
      <c r="FY87" s="93"/>
      <c r="FZ87" s="93"/>
      <c r="GA87" s="93"/>
      <c r="GB87" s="93"/>
      <c r="GC87" s="93"/>
      <c r="GD87" s="93"/>
      <c r="GE87" s="93"/>
      <c r="GF87" s="93"/>
      <c r="GG87" s="93"/>
      <c r="GH87" s="93"/>
      <c r="GI87" s="93"/>
      <c r="GJ87" s="93"/>
      <c r="GK87" s="93"/>
      <c r="GL87" s="93"/>
      <c r="GM87" s="93"/>
      <c r="GN87" s="93"/>
      <c r="GO87" s="93"/>
      <c r="GP87" s="93"/>
      <c r="GQ87" s="93"/>
      <c r="GR87" s="93"/>
      <c r="GS87" s="93"/>
      <c r="GT87" s="93"/>
    </row>
    <row r="88" spans="1:202" ht="16.5" customHeight="1">
      <c r="A88" s="96" t="s">
        <v>23</v>
      </c>
      <c r="B88" s="92"/>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3"/>
      <c r="BG88" s="93"/>
      <c r="BH88" s="93"/>
      <c r="BI88" s="93"/>
      <c r="BJ88" s="93"/>
      <c r="BK88" s="93"/>
      <c r="BL88" s="93"/>
      <c r="BM88" s="93"/>
      <c r="BN88" s="93"/>
      <c r="BO88" s="93"/>
      <c r="BP88" s="93"/>
      <c r="BQ88" s="93"/>
      <c r="BR88" s="93"/>
      <c r="BS88" s="93"/>
      <c r="BT88" s="93"/>
      <c r="BU88" s="93"/>
      <c r="BV88" s="93"/>
      <c r="BW88" s="93"/>
      <c r="BX88" s="93"/>
      <c r="BY88" s="93"/>
      <c r="BZ88" s="93"/>
      <c r="CA88" s="93"/>
      <c r="CB88" s="93"/>
      <c r="CC88" s="93"/>
      <c r="CD88" s="93"/>
      <c r="CE88" s="93"/>
      <c r="CF88" s="93"/>
      <c r="CG88" s="93"/>
      <c r="CH88" s="93"/>
      <c r="CI88" s="93"/>
      <c r="CJ88" s="93"/>
      <c r="CK88" s="93"/>
      <c r="CL88" s="93"/>
      <c r="CM88" s="93"/>
      <c r="CN88" s="93"/>
      <c r="CO88" s="93"/>
      <c r="CP88" s="93"/>
      <c r="CQ88" s="93"/>
      <c r="CR88" s="93"/>
      <c r="CS88" s="93"/>
      <c r="CT88" s="93"/>
      <c r="CU88" s="93"/>
      <c r="CV88" s="93"/>
      <c r="CW88" s="93"/>
      <c r="CX88" s="93"/>
      <c r="CY88" s="93"/>
      <c r="CZ88" s="93"/>
      <c r="DA88" s="93"/>
      <c r="DB88" s="93"/>
      <c r="DC88" s="93"/>
      <c r="DD88" s="93"/>
      <c r="DE88" s="93"/>
      <c r="DF88" s="93"/>
      <c r="DG88" s="93"/>
      <c r="DH88" s="93"/>
      <c r="DI88" s="93"/>
      <c r="DJ88" s="93"/>
      <c r="DK88" s="93"/>
      <c r="DL88" s="93"/>
      <c r="DM88" s="93"/>
      <c r="DN88" s="93"/>
      <c r="DO88" s="93"/>
      <c r="DP88" s="93"/>
      <c r="DQ88" s="93"/>
      <c r="DR88" s="93"/>
      <c r="DS88" s="93"/>
      <c r="DT88" s="93"/>
      <c r="DU88" s="93"/>
      <c r="DV88" s="93"/>
      <c r="DW88" s="93"/>
      <c r="DX88" s="93"/>
      <c r="DY88" s="93"/>
      <c r="DZ88" s="93"/>
      <c r="EA88" s="93"/>
      <c r="EB88" s="93"/>
      <c r="EC88" s="93"/>
      <c r="ED88" s="93"/>
      <c r="EE88" s="93"/>
      <c r="EF88" s="93"/>
      <c r="EG88" s="93"/>
      <c r="EH88" s="93"/>
      <c r="EI88" s="93"/>
      <c r="EJ88" s="93"/>
      <c r="EK88" s="93"/>
      <c r="EL88" s="93"/>
      <c r="EM88" s="93"/>
      <c r="EN88" s="93"/>
      <c r="EO88" s="93"/>
      <c r="EP88" s="93"/>
      <c r="EQ88" s="93"/>
      <c r="ER88" s="93"/>
      <c r="ES88" s="93"/>
      <c r="ET88" s="93"/>
      <c r="EU88" s="93"/>
      <c r="EV88" s="93"/>
      <c r="EW88" s="93"/>
      <c r="EX88" s="93"/>
      <c r="EY88" s="93"/>
      <c r="EZ88" s="93"/>
      <c r="FA88" s="93"/>
      <c r="FB88" s="93"/>
      <c r="FC88" s="93"/>
      <c r="FD88" s="93"/>
      <c r="FE88" s="93"/>
      <c r="FF88" s="93"/>
      <c r="FG88" s="93"/>
      <c r="FH88" s="93"/>
      <c r="FI88" s="93"/>
      <c r="FJ88" s="93"/>
      <c r="FK88" s="93"/>
      <c r="FL88" s="93"/>
      <c r="FM88" s="93"/>
      <c r="FN88" s="93"/>
      <c r="FO88" s="93"/>
      <c r="FP88" s="93"/>
      <c r="FQ88" s="93"/>
      <c r="FR88" s="93"/>
      <c r="FS88" s="93"/>
      <c r="FT88" s="93"/>
      <c r="FU88" s="93"/>
      <c r="FV88" s="93"/>
      <c r="FW88" s="93"/>
      <c r="FX88" s="93"/>
      <c r="FY88" s="93"/>
      <c r="FZ88" s="93"/>
      <c r="GA88" s="93"/>
      <c r="GB88" s="93"/>
      <c r="GC88" s="93"/>
      <c r="GD88" s="93"/>
      <c r="GE88" s="93"/>
      <c r="GF88" s="93"/>
      <c r="GG88" s="93"/>
      <c r="GH88" s="93"/>
      <c r="GI88" s="93"/>
      <c r="GJ88" s="93"/>
      <c r="GK88" s="93"/>
      <c r="GL88" s="93"/>
      <c r="GM88" s="93"/>
      <c r="GN88" s="93"/>
      <c r="GO88" s="93"/>
      <c r="GP88" s="93"/>
      <c r="GQ88" s="93"/>
      <c r="GR88" s="93"/>
      <c r="GS88" s="93"/>
      <c r="GT88" s="93"/>
    </row>
    <row r="89" spans="1:202" ht="16.5" customHeight="1">
      <c r="A89" s="96" t="s">
        <v>240</v>
      </c>
      <c r="B89" s="92"/>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c r="CS89" s="93"/>
      <c r="CT89" s="93"/>
      <c r="CU89" s="93"/>
      <c r="CV89" s="93"/>
      <c r="CW89" s="93"/>
      <c r="CX89" s="93"/>
      <c r="CY89" s="93"/>
      <c r="CZ89" s="93"/>
      <c r="DA89" s="93"/>
      <c r="DB89" s="93"/>
      <c r="DC89" s="93"/>
      <c r="DD89" s="93"/>
      <c r="DE89" s="93"/>
      <c r="DF89" s="93"/>
      <c r="DG89" s="93"/>
      <c r="DH89" s="93"/>
      <c r="DI89" s="93"/>
      <c r="DJ89" s="93"/>
      <c r="DK89" s="93"/>
      <c r="DL89" s="93"/>
      <c r="DM89" s="93"/>
      <c r="DN89" s="93"/>
      <c r="DO89" s="93"/>
      <c r="DP89" s="93"/>
      <c r="DQ89" s="93"/>
      <c r="DR89" s="93"/>
      <c r="DS89" s="93"/>
      <c r="DT89" s="93"/>
      <c r="DU89" s="93"/>
      <c r="DV89" s="93"/>
      <c r="DW89" s="93"/>
      <c r="DX89" s="93"/>
      <c r="DY89" s="93"/>
      <c r="DZ89" s="93"/>
      <c r="EA89" s="93"/>
      <c r="EB89" s="93"/>
      <c r="EC89" s="93"/>
      <c r="ED89" s="93"/>
      <c r="EE89" s="93"/>
      <c r="EF89" s="93"/>
      <c r="EG89" s="93"/>
      <c r="EH89" s="93"/>
      <c r="EI89" s="93"/>
      <c r="EJ89" s="93"/>
      <c r="EK89" s="93"/>
      <c r="EL89" s="93"/>
      <c r="EM89" s="93"/>
      <c r="EN89" s="93"/>
      <c r="EO89" s="93"/>
      <c r="EP89" s="93"/>
      <c r="EQ89" s="93"/>
      <c r="ER89" s="93"/>
      <c r="ES89" s="93"/>
      <c r="ET89" s="93"/>
      <c r="EU89" s="93"/>
      <c r="EV89" s="93"/>
      <c r="EW89" s="93"/>
      <c r="EX89" s="93"/>
      <c r="EY89" s="93"/>
      <c r="EZ89" s="93"/>
      <c r="FA89" s="93"/>
      <c r="FB89" s="93"/>
      <c r="FC89" s="93"/>
      <c r="FD89" s="93"/>
      <c r="FE89" s="93"/>
      <c r="FF89" s="93"/>
      <c r="FG89" s="93"/>
      <c r="FH89" s="93"/>
      <c r="FI89" s="93"/>
      <c r="FJ89" s="93"/>
      <c r="FK89" s="93"/>
      <c r="FL89" s="93"/>
      <c r="FM89" s="93"/>
      <c r="FN89" s="93"/>
      <c r="FO89" s="93"/>
      <c r="FP89" s="93"/>
      <c r="FQ89" s="93"/>
      <c r="FR89" s="93"/>
      <c r="FS89" s="93"/>
      <c r="FT89" s="93"/>
      <c r="FU89" s="93"/>
      <c r="FV89" s="93"/>
      <c r="FW89" s="93"/>
      <c r="FX89" s="93"/>
      <c r="FY89" s="93"/>
      <c r="FZ89" s="93"/>
      <c r="GA89" s="93"/>
      <c r="GB89" s="93"/>
      <c r="GC89" s="93"/>
      <c r="GD89" s="93"/>
      <c r="GE89" s="93"/>
      <c r="GF89" s="93"/>
      <c r="GG89" s="93"/>
      <c r="GH89" s="93"/>
      <c r="GI89" s="93"/>
      <c r="GJ89" s="93"/>
      <c r="GK89" s="93"/>
      <c r="GL89" s="93"/>
      <c r="GM89" s="93"/>
      <c r="GN89" s="93"/>
      <c r="GO89" s="93"/>
      <c r="GP89" s="93"/>
      <c r="GQ89" s="93"/>
      <c r="GR89" s="93"/>
      <c r="GS89" s="93"/>
      <c r="GT89" s="93"/>
    </row>
    <row r="90" spans="1:202" ht="21">
      <c r="A90" s="51" t="s">
        <v>120</v>
      </c>
      <c r="B90" s="92"/>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94"/>
      <c r="EM90" s="94"/>
      <c r="EN90" s="94"/>
      <c r="EO90" s="94"/>
      <c r="EP90" s="94"/>
      <c r="EQ90" s="94"/>
      <c r="ER90" s="94"/>
      <c r="ES90" s="94"/>
      <c r="ET90" s="94"/>
      <c r="EU90" s="94"/>
      <c r="EV90" s="94"/>
      <c r="EW90" s="94"/>
      <c r="EX90" s="94"/>
      <c r="EY90" s="94"/>
      <c r="EZ90" s="94"/>
      <c r="FA90" s="94"/>
      <c r="FB90" s="94"/>
      <c r="FC90" s="94"/>
      <c r="FD90" s="94"/>
      <c r="FE90" s="94"/>
      <c r="FF90" s="94"/>
      <c r="FG90" s="94"/>
      <c r="FH90" s="94"/>
      <c r="FI90" s="94"/>
      <c r="FJ90" s="94"/>
      <c r="FK90" s="94"/>
      <c r="FL90" s="94"/>
      <c r="FM90" s="94"/>
      <c r="FN90" s="94"/>
      <c r="FO90" s="94"/>
      <c r="FP90" s="94"/>
      <c r="FQ90" s="94"/>
      <c r="FR90" s="94"/>
      <c r="FS90" s="94"/>
      <c r="FT90" s="94"/>
      <c r="FU90" s="94"/>
      <c r="FV90" s="94"/>
      <c r="FW90" s="94"/>
      <c r="FX90" s="94"/>
      <c r="FY90" s="94"/>
      <c r="FZ90" s="94"/>
      <c r="GA90" s="94"/>
      <c r="GB90" s="94"/>
      <c r="GC90" s="94"/>
      <c r="GD90" s="94"/>
      <c r="GE90" s="94"/>
      <c r="GF90" s="94"/>
      <c r="GG90" s="94"/>
      <c r="GH90" s="94"/>
      <c r="GI90" s="94"/>
      <c r="GJ90" s="94"/>
      <c r="GK90" s="94"/>
      <c r="GL90" s="94"/>
      <c r="GM90" s="94"/>
      <c r="GN90" s="94"/>
      <c r="GO90" s="94"/>
      <c r="GP90" s="94"/>
      <c r="GQ90" s="94"/>
      <c r="GR90" s="94"/>
      <c r="GS90" s="94"/>
      <c r="GT90" s="94"/>
    </row>
    <row r="91" spans="1:202" s="28" customFormat="1" ht="21">
      <c r="A91" s="41" t="s">
        <v>121</v>
      </c>
      <c r="B91" s="48"/>
      <c r="C91" s="49">
        <f>-SUM(C92:C95)</f>
        <v>0</v>
      </c>
      <c r="D91" s="49">
        <f t="shared" ref="D91:BO91" si="61">-SUM(D92:D95)</f>
        <v>0</v>
      </c>
      <c r="E91" s="49">
        <f>-SUM(E92:E95)</f>
        <v>0</v>
      </c>
      <c r="F91" s="49">
        <f>-SUM(F92:F95)</f>
        <v>0</v>
      </c>
      <c r="G91" s="49">
        <f>-SUM(G92:G95)</f>
        <v>0</v>
      </c>
      <c r="H91" s="49">
        <f t="shared" si="61"/>
        <v>0</v>
      </c>
      <c r="I91" s="49">
        <f t="shared" si="61"/>
        <v>0</v>
      </c>
      <c r="J91" s="49">
        <f t="shared" si="61"/>
        <v>0</v>
      </c>
      <c r="K91" s="49">
        <f t="shared" si="61"/>
        <v>0</v>
      </c>
      <c r="L91" s="49">
        <f t="shared" si="61"/>
        <v>0</v>
      </c>
      <c r="M91" s="49">
        <f t="shared" si="61"/>
        <v>0</v>
      </c>
      <c r="N91" s="49">
        <f t="shared" si="61"/>
        <v>0</v>
      </c>
      <c r="O91" s="49">
        <f t="shared" si="61"/>
        <v>0</v>
      </c>
      <c r="P91" s="49">
        <f t="shared" si="61"/>
        <v>0</v>
      </c>
      <c r="Q91" s="49">
        <f t="shared" si="61"/>
        <v>0</v>
      </c>
      <c r="R91" s="49">
        <f t="shared" si="61"/>
        <v>0</v>
      </c>
      <c r="S91" s="49">
        <f t="shared" si="61"/>
        <v>0</v>
      </c>
      <c r="T91" s="49">
        <f t="shared" si="61"/>
        <v>0</v>
      </c>
      <c r="U91" s="49">
        <f t="shared" si="61"/>
        <v>0</v>
      </c>
      <c r="V91" s="49">
        <f t="shared" si="61"/>
        <v>0</v>
      </c>
      <c r="W91" s="49">
        <f t="shared" si="61"/>
        <v>0</v>
      </c>
      <c r="X91" s="49">
        <f t="shared" si="61"/>
        <v>0</v>
      </c>
      <c r="Y91" s="49">
        <f t="shared" si="61"/>
        <v>0</v>
      </c>
      <c r="Z91" s="49">
        <f t="shared" si="61"/>
        <v>0</v>
      </c>
      <c r="AA91" s="49">
        <f t="shared" si="61"/>
        <v>0</v>
      </c>
      <c r="AB91" s="49">
        <f t="shared" si="61"/>
        <v>0</v>
      </c>
      <c r="AC91" s="49">
        <f t="shared" si="61"/>
        <v>0</v>
      </c>
      <c r="AD91" s="49">
        <f t="shared" si="61"/>
        <v>0</v>
      </c>
      <c r="AE91" s="49">
        <f t="shared" si="61"/>
        <v>0</v>
      </c>
      <c r="AF91" s="49">
        <f t="shared" si="61"/>
        <v>0</v>
      </c>
      <c r="AG91" s="49">
        <f t="shared" si="61"/>
        <v>0</v>
      </c>
      <c r="AH91" s="49">
        <f t="shared" si="61"/>
        <v>0</v>
      </c>
      <c r="AI91" s="49">
        <f t="shared" si="61"/>
        <v>0</v>
      </c>
      <c r="AJ91" s="49">
        <f t="shared" si="61"/>
        <v>0</v>
      </c>
      <c r="AK91" s="49">
        <f t="shared" si="61"/>
        <v>0</v>
      </c>
      <c r="AL91" s="49">
        <f t="shared" si="61"/>
        <v>0</v>
      </c>
      <c r="AM91" s="49">
        <f t="shared" si="61"/>
        <v>0</v>
      </c>
      <c r="AN91" s="49">
        <f t="shared" si="61"/>
        <v>0</v>
      </c>
      <c r="AO91" s="49">
        <f t="shared" si="61"/>
        <v>0</v>
      </c>
      <c r="AP91" s="49">
        <f t="shared" si="61"/>
        <v>0</v>
      </c>
      <c r="AQ91" s="49">
        <f t="shared" si="61"/>
        <v>0</v>
      </c>
      <c r="AR91" s="49">
        <f t="shared" si="61"/>
        <v>0</v>
      </c>
      <c r="AS91" s="49">
        <f t="shared" si="61"/>
        <v>0</v>
      </c>
      <c r="AT91" s="49">
        <f t="shared" si="61"/>
        <v>0</v>
      </c>
      <c r="AU91" s="49">
        <f t="shared" si="61"/>
        <v>0</v>
      </c>
      <c r="AV91" s="49">
        <f t="shared" si="61"/>
        <v>0</v>
      </c>
      <c r="AW91" s="49">
        <f t="shared" si="61"/>
        <v>0</v>
      </c>
      <c r="AX91" s="49">
        <f t="shared" si="61"/>
        <v>0</v>
      </c>
      <c r="AY91" s="49">
        <f t="shared" si="61"/>
        <v>0</v>
      </c>
      <c r="AZ91" s="49">
        <f t="shared" si="61"/>
        <v>0</v>
      </c>
      <c r="BA91" s="49">
        <f t="shared" si="61"/>
        <v>0</v>
      </c>
      <c r="BB91" s="49">
        <f t="shared" si="61"/>
        <v>0</v>
      </c>
      <c r="BC91" s="49">
        <f t="shared" si="61"/>
        <v>0</v>
      </c>
      <c r="BD91" s="49">
        <f t="shared" si="61"/>
        <v>0</v>
      </c>
      <c r="BE91" s="49">
        <f t="shared" si="61"/>
        <v>0</v>
      </c>
      <c r="BF91" s="49">
        <f t="shared" si="61"/>
        <v>0</v>
      </c>
      <c r="BG91" s="49">
        <f t="shared" si="61"/>
        <v>0</v>
      </c>
      <c r="BH91" s="49">
        <f t="shared" si="61"/>
        <v>0</v>
      </c>
      <c r="BI91" s="49">
        <f t="shared" si="61"/>
        <v>0</v>
      </c>
      <c r="BJ91" s="49">
        <f t="shared" si="61"/>
        <v>0</v>
      </c>
      <c r="BK91" s="49">
        <f t="shared" si="61"/>
        <v>0</v>
      </c>
      <c r="BL91" s="49">
        <f t="shared" si="61"/>
        <v>0</v>
      </c>
      <c r="BM91" s="49">
        <f t="shared" si="61"/>
        <v>0</v>
      </c>
      <c r="BN91" s="49">
        <f t="shared" si="61"/>
        <v>0</v>
      </c>
      <c r="BO91" s="49">
        <f t="shared" si="61"/>
        <v>0</v>
      </c>
      <c r="BP91" s="49">
        <f t="shared" ref="BP91:EA91" si="62">-SUM(BP92:BP95)</f>
        <v>0</v>
      </c>
      <c r="BQ91" s="49">
        <f t="shared" si="62"/>
        <v>0</v>
      </c>
      <c r="BR91" s="49">
        <f t="shared" si="62"/>
        <v>0</v>
      </c>
      <c r="BS91" s="49">
        <f t="shared" si="62"/>
        <v>0</v>
      </c>
      <c r="BT91" s="49">
        <f t="shared" si="62"/>
        <v>0</v>
      </c>
      <c r="BU91" s="49">
        <f t="shared" si="62"/>
        <v>0</v>
      </c>
      <c r="BV91" s="49">
        <f t="shared" si="62"/>
        <v>0</v>
      </c>
      <c r="BW91" s="49">
        <f t="shared" si="62"/>
        <v>0</v>
      </c>
      <c r="BX91" s="49">
        <f t="shared" si="62"/>
        <v>0</v>
      </c>
      <c r="BY91" s="49">
        <f t="shared" si="62"/>
        <v>0</v>
      </c>
      <c r="BZ91" s="49">
        <f t="shared" si="62"/>
        <v>0</v>
      </c>
      <c r="CA91" s="49">
        <f t="shared" si="62"/>
        <v>0</v>
      </c>
      <c r="CB91" s="49">
        <f t="shared" si="62"/>
        <v>0</v>
      </c>
      <c r="CC91" s="49">
        <f t="shared" si="62"/>
        <v>0</v>
      </c>
      <c r="CD91" s="49">
        <f t="shared" si="62"/>
        <v>0</v>
      </c>
      <c r="CE91" s="49">
        <f t="shared" si="62"/>
        <v>0</v>
      </c>
      <c r="CF91" s="49">
        <f t="shared" si="62"/>
        <v>0</v>
      </c>
      <c r="CG91" s="49">
        <f t="shared" si="62"/>
        <v>0</v>
      </c>
      <c r="CH91" s="49">
        <f t="shared" si="62"/>
        <v>0</v>
      </c>
      <c r="CI91" s="49">
        <f t="shared" si="62"/>
        <v>0</v>
      </c>
      <c r="CJ91" s="49">
        <f t="shared" si="62"/>
        <v>0</v>
      </c>
      <c r="CK91" s="49">
        <f t="shared" si="62"/>
        <v>0</v>
      </c>
      <c r="CL91" s="49">
        <f t="shared" si="62"/>
        <v>0</v>
      </c>
      <c r="CM91" s="49">
        <f t="shared" si="62"/>
        <v>0</v>
      </c>
      <c r="CN91" s="49">
        <f t="shared" si="62"/>
        <v>0</v>
      </c>
      <c r="CO91" s="49">
        <f t="shared" si="62"/>
        <v>0</v>
      </c>
      <c r="CP91" s="49">
        <f t="shared" si="62"/>
        <v>0</v>
      </c>
      <c r="CQ91" s="49">
        <f t="shared" si="62"/>
        <v>0</v>
      </c>
      <c r="CR91" s="49">
        <f t="shared" si="62"/>
        <v>0</v>
      </c>
      <c r="CS91" s="49">
        <f t="shared" si="62"/>
        <v>0</v>
      </c>
      <c r="CT91" s="49">
        <f t="shared" si="62"/>
        <v>0</v>
      </c>
      <c r="CU91" s="49">
        <f t="shared" si="62"/>
        <v>0</v>
      </c>
      <c r="CV91" s="49">
        <f t="shared" si="62"/>
        <v>0</v>
      </c>
      <c r="CW91" s="49">
        <f t="shared" si="62"/>
        <v>0</v>
      </c>
      <c r="CX91" s="49">
        <f t="shared" si="62"/>
        <v>0</v>
      </c>
      <c r="CY91" s="49">
        <f t="shared" si="62"/>
        <v>0</v>
      </c>
      <c r="CZ91" s="49">
        <f t="shared" si="62"/>
        <v>0</v>
      </c>
      <c r="DA91" s="49">
        <f t="shared" si="62"/>
        <v>0</v>
      </c>
      <c r="DB91" s="49">
        <f t="shared" si="62"/>
        <v>0</v>
      </c>
      <c r="DC91" s="49">
        <f t="shared" si="62"/>
        <v>0</v>
      </c>
      <c r="DD91" s="49">
        <f t="shared" si="62"/>
        <v>0</v>
      </c>
      <c r="DE91" s="49">
        <f t="shared" si="62"/>
        <v>0</v>
      </c>
      <c r="DF91" s="49">
        <f t="shared" si="62"/>
        <v>0</v>
      </c>
      <c r="DG91" s="49">
        <f t="shared" si="62"/>
        <v>0</v>
      </c>
      <c r="DH91" s="49">
        <f t="shared" si="62"/>
        <v>0</v>
      </c>
      <c r="DI91" s="49">
        <f t="shared" si="62"/>
        <v>0</v>
      </c>
      <c r="DJ91" s="49">
        <f t="shared" si="62"/>
        <v>0</v>
      </c>
      <c r="DK91" s="49">
        <f t="shared" si="62"/>
        <v>0</v>
      </c>
      <c r="DL91" s="49">
        <f t="shared" si="62"/>
        <v>0</v>
      </c>
      <c r="DM91" s="49">
        <f t="shared" si="62"/>
        <v>0</v>
      </c>
      <c r="DN91" s="49">
        <f t="shared" si="62"/>
        <v>0</v>
      </c>
      <c r="DO91" s="49">
        <f t="shared" si="62"/>
        <v>0</v>
      </c>
      <c r="DP91" s="49">
        <f t="shared" si="62"/>
        <v>0</v>
      </c>
      <c r="DQ91" s="49">
        <f t="shared" si="62"/>
        <v>0</v>
      </c>
      <c r="DR91" s="49">
        <f t="shared" si="62"/>
        <v>0</v>
      </c>
      <c r="DS91" s="49">
        <f t="shared" si="62"/>
        <v>0</v>
      </c>
      <c r="DT91" s="49">
        <f t="shared" si="62"/>
        <v>0</v>
      </c>
      <c r="DU91" s="49">
        <f t="shared" si="62"/>
        <v>0</v>
      </c>
      <c r="DV91" s="49">
        <f t="shared" si="62"/>
        <v>0</v>
      </c>
      <c r="DW91" s="49">
        <f t="shared" si="62"/>
        <v>0</v>
      </c>
      <c r="DX91" s="49">
        <f t="shared" si="62"/>
        <v>0</v>
      </c>
      <c r="DY91" s="49">
        <f t="shared" si="62"/>
        <v>0</v>
      </c>
      <c r="DZ91" s="49">
        <f t="shared" si="62"/>
        <v>0</v>
      </c>
      <c r="EA91" s="49">
        <f t="shared" si="62"/>
        <v>0</v>
      </c>
      <c r="EB91" s="49">
        <f t="shared" ref="EB91:GM91" si="63">-SUM(EB92:EB95)</f>
        <v>0</v>
      </c>
      <c r="EC91" s="49">
        <f t="shared" si="63"/>
        <v>0</v>
      </c>
      <c r="ED91" s="49">
        <f t="shared" si="63"/>
        <v>0</v>
      </c>
      <c r="EE91" s="49">
        <f t="shared" si="63"/>
        <v>0</v>
      </c>
      <c r="EF91" s="49">
        <f t="shared" si="63"/>
        <v>0</v>
      </c>
      <c r="EG91" s="49">
        <f t="shared" si="63"/>
        <v>0</v>
      </c>
      <c r="EH91" s="49">
        <f t="shared" si="63"/>
        <v>0</v>
      </c>
      <c r="EI91" s="49">
        <f t="shared" si="63"/>
        <v>0</v>
      </c>
      <c r="EJ91" s="49">
        <f t="shared" si="63"/>
        <v>0</v>
      </c>
      <c r="EK91" s="49">
        <f t="shared" si="63"/>
        <v>0</v>
      </c>
      <c r="EL91" s="49">
        <f t="shared" si="63"/>
        <v>0</v>
      </c>
      <c r="EM91" s="49">
        <f t="shared" si="63"/>
        <v>0</v>
      </c>
      <c r="EN91" s="49">
        <f t="shared" si="63"/>
        <v>0</v>
      </c>
      <c r="EO91" s="49">
        <f t="shared" si="63"/>
        <v>0</v>
      </c>
      <c r="EP91" s="49">
        <f t="shared" si="63"/>
        <v>0</v>
      </c>
      <c r="EQ91" s="49">
        <f t="shared" si="63"/>
        <v>0</v>
      </c>
      <c r="ER91" s="49">
        <f t="shared" si="63"/>
        <v>0</v>
      </c>
      <c r="ES91" s="49">
        <f t="shared" si="63"/>
        <v>0</v>
      </c>
      <c r="ET91" s="49">
        <f t="shared" si="63"/>
        <v>0</v>
      </c>
      <c r="EU91" s="49">
        <f t="shared" si="63"/>
        <v>0</v>
      </c>
      <c r="EV91" s="49">
        <f t="shared" si="63"/>
        <v>0</v>
      </c>
      <c r="EW91" s="49">
        <f t="shared" si="63"/>
        <v>0</v>
      </c>
      <c r="EX91" s="49">
        <f t="shared" si="63"/>
        <v>0</v>
      </c>
      <c r="EY91" s="49">
        <f t="shared" si="63"/>
        <v>0</v>
      </c>
      <c r="EZ91" s="49">
        <f t="shared" si="63"/>
        <v>0</v>
      </c>
      <c r="FA91" s="49">
        <f t="shared" si="63"/>
        <v>0</v>
      </c>
      <c r="FB91" s="49">
        <f t="shared" si="63"/>
        <v>0</v>
      </c>
      <c r="FC91" s="49">
        <f t="shared" si="63"/>
        <v>0</v>
      </c>
      <c r="FD91" s="49">
        <f t="shared" si="63"/>
        <v>0</v>
      </c>
      <c r="FE91" s="49">
        <f t="shared" si="63"/>
        <v>0</v>
      </c>
      <c r="FF91" s="49">
        <f t="shared" si="63"/>
        <v>0</v>
      </c>
      <c r="FG91" s="49">
        <f t="shared" si="63"/>
        <v>0</v>
      </c>
      <c r="FH91" s="49">
        <f t="shared" si="63"/>
        <v>0</v>
      </c>
      <c r="FI91" s="49">
        <f t="shared" si="63"/>
        <v>0</v>
      </c>
      <c r="FJ91" s="49">
        <f t="shared" si="63"/>
        <v>0</v>
      </c>
      <c r="FK91" s="49">
        <f t="shared" si="63"/>
        <v>0</v>
      </c>
      <c r="FL91" s="49">
        <f t="shared" si="63"/>
        <v>0</v>
      </c>
      <c r="FM91" s="49">
        <f t="shared" si="63"/>
        <v>0</v>
      </c>
      <c r="FN91" s="49">
        <f t="shared" si="63"/>
        <v>0</v>
      </c>
      <c r="FO91" s="49">
        <f t="shared" si="63"/>
        <v>0</v>
      </c>
      <c r="FP91" s="49">
        <f t="shared" si="63"/>
        <v>0</v>
      </c>
      <c r="FQ91" s="49">
        <f t="shared" si="63"/>
        <v>0</v>
      </c>
      <c r="FR91" s="49">
        <f t="shared" si="63"/>
        <v>0</v>
      </c>
      <c r="FS91" s="49">
        <f t="shared" si="63"/>
        <v>0</v>
      </c>
      <c r="FT91" s="49">
        <f t="shared" si="63"/>
        <v>0</v>
      </c>
      <c r="FU91" s="49">
        <f t="shared" si="63"/>
        <v>0</v>
      </c>
      <c r="FV91" s="49">
        <f t="shared" si="63"/>
        <v>0</v>
      </c>
      <c r="FW91" s="49">
        <f t="shared" si="63"/>
        <v>0</v>
      </c>
      <c r="FX91" s="49">
        <f t="shared" si="63"/>
        <v>0</v>
      </c>
      <c r="FY91" s="49">
        <f t="shared" si="63"/>
        <v>0</v>
      </c>
      <c r="FZ91" s="49">
        <f t="shared" si="63"/>
        <v>0</v>
      </c>
      <c r="GA91" s="49">
        <f t="shared" si="63"/>
        <v>0</v>
      </c>
      <c r="GB91" s="49">
        <f t="shared" si="63"/>
        <v>0</v>
      </c>
      <c r="GC91" s="49">
        <f t="shared" si="63"/>
        <v>0</v>
      </c>
      <c r="GD91" s="49">
        <f t="shared" si="63"/>
        <v>0</v>
      </c>
      <c r="GE91" s="49">
        <f t="shared" si="63"/>
        <v>0</v>
      </c>
      <c r="GF91" s="49">
        <f t="shared" si="63"/>
        <v>0</v>
      </c>
      <c r="GG91" s="49">
        <f t="shared" si="63"/>
        <v>0</v>
      </c>
      <c r="GH91" s="49">
        <f t="shared" si="63"/>
        <v>0</v>
      </c>
      <c r="GI91" s="49">
        <f t="shared" si="63"/>
        <v>0</v>
      </c>
      <c r="GJ91" s="49">
        <f t="shared" si="63"/>
        <v>0</v>
      </c>
      <c r="GK91" s="49">
        <f t="shared" si="63"/>
        <v>0</v>
      </c>
      <c r="GL91" s="49">
        <f t="shared" si="63"/>
        <v>0</v>
      </c>
      <c r="GM91" s="49">
        <f t="shared" si="63"/>
        <v>0</v>
      </c>
      <c r="GN91" s="49">
        <f t="shared" ref="GN91:GS91" si="64">-SUM(GN92:GN95)</f>
        <v>0</v>
      </c>
      <c r="GO91" s="49">
        <f t="shared" si="64"/>
        <v>0</v>
      </c>
      <c r="GP91" s="49">
        <f t="shared" si="64"/>
        <v>0</v>
      </c>
      <c r="GQ91" s="49">
        <f t="shared" si="64"/>
        <v>0</v>
      </c>
      <c r="GR91" s="49">
        <f t="shared" si="64"/>
        <v>0</v>
      </c>
      <c r="GS91" s="49">
        <f t="shared" si="64"/>
        <v>0</v>
      </c>
      <c r="GT91" s="49">
        <f>-SUM(GT92:GT95)</f>
        <v>0</v>
      </c>
    </row>
    <row r="92" spans="1:202" ht="16.5" customHeight="1">
      <c r="A92" s="96" t="s">
        <v>63</v>
      </c>
      <c r="B92" s="92"/>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3"/>
      <c r="BG92" s="93"/>
      <c r="BH92" s="93"/>
      <c r="BI92" s="93"/>
      <c r="BJ92" s="93"/>
      <c r="BK92" s="93"/>
      <c r="BL92" s="93"/>
      <c r="BM92" s="93"/>
      <c r="BN92" s="93"/>
      <c r="BO92" s="93"/>
      <c r="BP92" s="93"/>
      <c r="BQ92" s="93"/>
      <c r="BR92" s="93"/>
      <c r="BS92" s="93"/>
      <c r="BT92" s="93"/>
      <c r="BU92" s="93"/>
      <c r="BV92" s="93"/>
      <c r="BW92" s="93"/>
      <c r="BX92" s="93"/>
      <c r="BY92" s="93"/>
      <c r="BZ92" s="93"/>
      <c r="CA92" s="93"/>
      <c r="CB92" s="93"/>
      <c r="CC92" s="93"/>
      <c r="CD92" s="93"/>
      <c r="CE92" s="93"/>
      <c r="CF92" s="93"/>
      <c r="CG92" s="93"/>
      <c r="CH92" s="93"/>
      <c r="CI92" s="93"/>
      <c r="CJ92" s="93"/>
      <c r="CK92" s="93"/>
      <c r="CL92" s="93"/>
      <c r="CM92" s="93"/>
      <c r="CN92" s="93"/>
      <c r="CO92" s="93"/>
      <c r="CP92" s="93"/>
      <c r="CQ92" s="93"/>
      <c r="CR92" s="93"/>
      <c r="CS92" s="93"/>
      <c r="CT92" s="93"/>
      <c r="CU92" s="93"/>
      <c r="CV92" s="93"/>
      <c r="CW92" s="93"/>
      <c r="CX92" s="93"/>
      <c r="CY92" s="93"/>
      <c r="CZ92" s="93"/>
      <c r="DA92" s="93"/>
      <c r="DB92" s="93"/>
      <c r="DC92" s="93"/>
      <c r="DD92" s="93"/>
      <c r="DE92" s="93"/>
      <c r="DF92" s="93"/>
      <c r="DG92" s="93"/>
      <c r="DH92" s="93"/>
      <c r="DI92" s="93"/>
      <c r="DJ92" s="93"/>
      <c r="DK92" s="93"/>
      <c r="DL92" s="93"/>
      <c r="DM92" s="93"/>
      <c r="DN92" s="93"/>
      <c r="DO92" s="93"/>
      <c r="DP92" s="93"/>
      <c r="DQ92" s="93"/>
      <c r="DR92" s="93"/>
      <c r="DS92" s="93"/>
      <c r="DT92" s="93"/>
      <c r="DU92" s="93"/>
      <c r="DV92" s="93"/>
      <c r="DW92" s="93"/>
      <c r="DX92" s="93"/>
      <c r="DY92" s="93"/>
      <c r="DZ92" s="93"/>
      <c r="EA92" s="93"/>
      <c r="EB92" s="93"/>
      <c r="EC92" s="93"/>
      <c r="ED92" s="93"/>
      <c r="EE92" s="93"/>
      <c r="EF92" s="93"/>
      <c r="EG92" s="93"/>
      <c r="EH92" s="93"/>
      <c r="EI92" s="93"/>
      <c r="EJ92" s="93"/>
      <c r="EK92" s="93"/>
      <c r="EL92" s="93"/>
      <c r="EM92" s="93"/>
      <c r="EN92" s="93"/>
      <c r="EO92" s="93"/>
      <c r="EP92" s="93"/>
      <c r="EQ92" s="93"/>
      <c r="ER92" s="93"/>
      <c r="ES92" s="93"/>
      <c r="ET92" s="93"/>
      <c r="EU92" s="93"/>
      <c r="EV92" s="93"/>
      <c r="EW92" s="93"/>
      <c r="EX92" s="93"/>
      <c r="EY92" s="93"/>
      <c r="EZ92" s="93"/>
      <c r="FA92" s="93"/>
      <c r="FB92" s="93"/>
      <c r="FC92" s="93"/>
      <c r="FD92" s="93"/>
      <c r="FE92" s="93"/>
      <c r="FF92" s="93"/>
      <c r="FG92" s="93"/>
      <c r="FH92" s="93"/>
      <c r="FI92" s="93"/>
      <c r="FJ92" s="93"/>
      <c r="FK92" s="93"/>
      <c r="FL92" s="93"/>
      <c r="FM92" s="93"/>
      <c r="FN92" s="93"/>
      <c r="FO92" s="93"/>
      <c r="FP92" s="93"/>
      <c r="FQ92" s="93"/>
      <c r="FR92" s="93"/>
      <c r="FS92" s="93"/>
      <c r="FT92" s="93"/>
      <c r="FU92" s="93"/>
      <c r="FV92" s="93"/>
      <c r="FW92" s="93"/>
      <c r="FX92" s="93"/>
      <c r="FY92" s="93"/>
      <c r="FZ92" s="93"/>
      <c r="GA92" s="93"/>
      <c r="GB92" s="93"/>
      <c r="GC92" s="93"/>
      <c r="GD92" s="93"/>
      <c r="GE92" s="93"/>
      <c r="GF92" s="93"/>
      <c r="GG92" s="93"/>
      <c r="GH92" s="93"/>
      <c r="GI92" s="93"/>
      <c r="GJ92" s="93"/>
      <c r="GK92" s="93"/>
      <c r="GL92" s="93"/>
      <c r="GM92" s="93"/>
      <c r="GN92" s="93"/>
      <c r="GO92" s="93"/>
      <c r="GP92" s="93"/>
      <c r="GQ92" s="93"/>
      <c r="GR92" s="93"/>
      <c r="GS92" s="93"/>
      <c r="GT92" s="93"/>
    </row>
    <row r="93" spans="1:202" ht="16.5" customHeight="1">
      <c r="A93" s="96" t="s">
        <v>21</v>
      </c>
      <c r="B93" s="92"/>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93"/>
      <c r="CL93" s="93"/>
      <c r="CM93" s="93"/>
      <c r="CN93" s="93"/>
      <c r="CO93" s="93"/>
      <c r="CP93" s="93"/>
      <c r="CQ93" s="93"/>
      <c r="CR93" s="93"/>
      <c r="CS93" s="93"/>
      <c r="CT93" s="93"/>
      <c r="CU93" s="93"/>
      <c r="CV93" s="93"/>
      <c r="CW93" s="93"/>
      <c r="CX93" s="93"/>
      <c r="CY93" s="93"/>
      <c r="CZ93" s="93"/>
      <c r="DA93" s="93"/>
      <c r="DB93" s="93"/>
      <c r="DC93" s="93"/>
      <c r="DD93" s="93"/>
      <c r="DE93" s="93"/>
      <c r="DF93" s="93"/>
      <c r="DG93" s="93"/>
      <c r="DH93" s="93"/>
      <c r="DI93" s="93"/>
      <c r="DJ93" s="93"/>
      <c r="DK93" s="93"/>
      <c r="DL93" s="93"/>
      <c r="DM93" s="93"/>
      <c r="DN93" s="93"/>
      <c r="DO93" s="93"/>
      <c r="DP93" s="93"/>
      <c r="DQ93" s="93"/>
      <c r="DR93" s="93"/>
      <c r="DS93" s="93"/>
      <c r="DT93" s="93"/>
      <c r="DU93" s="93"/>
      <c r="DV93" s="93"/>
      <c r="DW93" s="93"/>
      <c r="DX93" s="93"/>
      <c r="DY93" s="93"/>
      <c r="DZ93" s="93"/>
      <c r="EA93" s="93"/>
      <c r="EB93" s="93"/>
      <c r="EC93" s="93"/>
      <c r="ED93" s="93"/>
      <c r="EE93" s="93"/>
      <c r="EF93" s="93"/>
      <c r="EG93" s="93"/>
      <c r="EH93" s="93"/>
      <c r="EI93" s="93"/>
      <c r="EJ93" s="93"/>
      <c r="EK93" s="93"/>
      <c r="EL93" s="93"/>
      <c r="EM93" s="93"/>
      <c r="EN93" s="93"/>
      <c r="EO93" s="93"/>
      <c r="EP93" s="93"/>
      <c r="EQ93" s="93"/>
      <c r="ER93" s="93"/>
      <c r="ES93" s="93"/>
      <c r="ET93" s="93"/>
      <c r="EU93" s="93"/>
      <c r="EV93" s="93"/>
      <c r="EW93" s="93"/>
      <c r="EX93" s="93"/>
      <c r="EY93" s="93"/>
      <c r="EZ93" s="93"/>
      <c r="FA93" s="93"/>
      <c r="FB93" s="93"/>
      <c r="FC93" s="93"/>
      <c r="FD93" s="93"/>
      <c r="FE93" s="93"/>
      <c r="FF93" s="93"/>
      <c r="FG93" s="93"/>
      <c r="FH93" s="93"/>
      <c r="FI93" s="93"/>
      <c r="FJ93" s="93"/>
      <c r="FK93" s="93"/>
      <c r="FL93" s="93"/>
      <c r="FM93" s="93"/>
      <c r="FN93" s="93"/>
      <c r="FO93" s="93"/>
      <c r="FP93" s="93"/>
      <c r="FQ93" s="93"/>
      <c r="FR93" s="93"/>
      <c r="FS93" s="93"/>
      <c r="FT93" s="93"/>
      <c r="FU93" s="93"/>
      <c r="FV93" s="93"/>
      <c r="FW93" s="93"/>
      <c r="FX93" s="93"/>
      <c r="FY93" s="93"/>
      <c r="FZ93" s="93"/>
      <c r="GA93" s="93"/>
      <c r="GB93" s="93"/>
      <c r="GC93" s="93"/>
      <c r="GD93" s="93"/>
      <c r="GE93" s="93"/>
      <c r="GF93" s="93"/>
      <c r="GG93" s="93"/>
      <c r="GH93" s="93"/>
      <c r="GI93" s="93"/>
      <c r="GJ93" s="93"/>
      <c r="GK93" s="93"/>
      <c r="GL93" s="93"/>
      <c r="GM93" s="93"/>
      <c r="GN93" s="93"/>
      <c r="GO93" s="93"/>
      <c r="GP93" s="93"/>
      <c r="GQ93" s="93"/>
      <c r="GR93" s="93"/>
      <c r="GS93" s="93"/>
      <c r="GT93" s="93"/>
    </row>
    <row r="94" spans="1:202" ht="16.5" customHeight="1">
      <c r="A94" s="97" t="s">
        <v>62</v>
      </c>
      <c r="B94" s="92"/>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93"/>
      <c r="CE94" s="93"/>
      <c r="CF94" s="93"/>
      <c r="CG94" s="93"/>
      <c r="CH94" s="93"/>
      <c r="CI94" s="93"/>
      <c r="CJ94" s="93"/>
      <c r="CK94" s="93"/>
      <c r="CL94" s="93"/>
      <c r="CM94" s="93"/>
      <c r="CN94" s="93"/>
      <c r="CO94" s="93"/>
      <c r="CP94" s="93"/>
      <c r="CQ94" s="93"/>
      <c r="CR94" s="93"/>
      <c r="CS94" s="93"/>
      <c r="CT94" s="93"/>
      <c r="CU94" s="93"/>
      <c r="CV94" s="93"/>
      <c r="CW94" s="93"/>
      <c r="CX94" s="93"/>
      <c r="CY94" s="93"/>
      <c r="CZ94" s="93"/>
      <c r="DA94" s="93"/>
      <c r="DB94" s="93"/>
      <c r="DC94" s="93"/>
      <c r="DD94" s="93"/>
      <c r="DE94" s="93"/>
      <c r="DF94" s="93"/>
      <c r="DG94" s="93"/>
      <c r="DH94" s="93"/>
      <c r="DI94" s="93"/>
      <c r="DJ94" s="93"/>
      <c r="DK94" s="93"/>
      <c r="DL94" s="93"/>
      <c r="DM94" s="93"/>
      <c r="DN94" s="93"/>
      <c r="DO94" s="93"/>
      <c r="DP94" s="93"/>
      <c r="DQ94" s="93"/>
      <c r="DR94" s="93"/>
      <c r="DS94" s="93"/>
      <c r="DT94" s="93"/>
      <c r="DU94" s="93"/>
      <c r="DV94" s="93"/>
      <c r="DW94" s="93"/>
      <c r="DX94" s="93"/>
      <c r="DY94" s="93"/>
      <c r="DZ94" s="93"/>
      <c r="EA94" s="93"/>
      <c r="EB94" s="93"/>
      <c r="EC94" s="93"/>
      <c r="ED94" s="93"/>
      <c r="EE94" s="93"/>
      <c r="EF94" s="93"/>
      <c r="EG94" s="93"/>
      <c r="EH94" s="93"/>
      <c r="EI94" s="93"/>
      <c r="EJ94" s="93"/>
      <c r="EK94" s="93"/>
      <c r="EL94" s="93"/>
      <c r="EM94" s="93"/>
      <c r="EN94" s="93"/>
      <c r="EO94" s="93"/>
      <c r="EP94" s="93"/>
      <c r="EQ94" s="93"/>
      <c r="ER94" s="93"/>
      <c r="ES94" s="93"/>
      <c r="ET94" s="93"/>
      <c r="EU94" s="93"/>
      <c r="EV94" s="93"/>
      <c r="EW94" s="93"/>
      <c r="EX94" s="93"/>
      <c r="EY94" s="93"/>
      <c r="EZ94" s="93"/>
      <c r="FA94" s="93"/>
      <c r="FB94" s="93"/>
      <c r="FC94" s="93"/>
      <c r="FD94" s="93"/>
      <c r="FE94" s="93"/>
      <c r="FF94" s="93"/>
      <c r="FG94" s="93"/>
      <c r="FH94" s="93"/>
      <c r="FI94" s="93"/>
      <c r="FJ94" s="93"/>
      <c r="FK94" s="93"/>
      <c r="FL94" s="93"/>
      <c r="FM94" s="93"/>
      <c r="FN94" s="93"/>
      <c r="FO94" s="93"/>
      <c r="FP94" s="93"/>
      <c r="FQ94" s="93"/>
      <c r="FR94" s="93"/>
      <c r="FS94" s="93"/>
      <c r="FT94" s="93"/>
      <c r="FU94" s="93"/>
      <c r="FV94" s="93"/>
      <c r="FW94" s="93"/>
      <c r="FX94" s="93"/>
      <c r="FY94" s="93"/>
      <c r="FZ94" s="93"/>
      <c r="GA94" s="93"/>
      <c r="GB94" s="93"/>
      <c r="GC94" s="93"/>
      <c r="GD94" s="93"/>
      <c r="GE94" s="93"/>
      <c r="GF94" s="93"/>
      <c r="GG94" s="93"/>
      <c r="GH94" s="93"/>
      <c r="GI94" s="93"/>
      <c r="GJ94" s="93"/>
      <c r="GK94" s="93"/>
      <c r="GL94" s="93"/>
      <c r="GM94" s="93"/>
      <c r="GN94" s="93"/>
      <c r="GO94" s="93"/>
      <c r="GP94" s="93"/>
      <c r="GQ94" s="93"/>
      <c r="GR94" s="93"/>
      <c r="GS94" s="93"/>
      <c r="GT94" s="93"/>
    </row>
    <row r="95" spans="1:202" ht="16.5" customHeight="1">
      <c r="A95" s="96" t="s">
        <v>15</v>
      </c>
      <c r="B95" s="92"/>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93"/>
      <c r="CE95" s="93"/>
      <c r="CF95" s="93"/>
      <c r="CG95" s="93"/>
      <c r="CH95" s="93"/>
      <c r="CI95" s="93"/>
      <c r="CJ95" s="93"/>
      <c r="CK95" s="93"/>
      <c r="CL95" s="93"/>
      <c r="CM95" s="93"/>
      <c r="CN95" s="93"/>
      <c r="CO95" s="93"/>
      <c r="CP95" s="93"/>
      <c r="CQ95" s="93"/>
      <c r="CR95" s="93"/>
      <c r="CS95" s="93"/>
      <c r="CT95" s="93"/>
      <c r="CU95" s="93"/>
      <c r="CV95" s="93"/>
      <c r="CW95" s="93"/>
      <c r="CX95" s="93"/>
      <c r="CY95" s="93"/>
      <c r="CZ95" s="93"/>
      <c r="DA95" s="93"/>
      <c r="DB95" s="93"/>
      <c r="DC95" s="93"/>
      <c r="DD95" s="93"/>
      <c r="DE95" s="93"/>
      <c r="DF95" s="93"/>
      <c r="DG95" s="93"/>
      <c r="DH95" s="93"/>
      <c r="DI95" s="93"/>
      <c r="DJ95" s="93"/>
      <c r="DK95" s="93"/>
      <c r="DL95" s="93"/>
      <c r="DM95" s="93"/>
      <c r="DN95" s="93"/>
      <c r="DO95" s="93"/>
      <c r="DP95" s="93"/>
      <c r="DQ95" s="93"/>
      <c r="DR95" s="93"/>
      <c r="DS95" s="93"/>
      <c r="DT95" s="93"/>
      <c r="DU95" s="93"/>
      <c r="DV95" s="93"/>
      <c r="DW95" s="93"/>
      <c r="DX95" s="93"/>
      <c r="DY95" s="93"/>
      <c r="DZ95" s="93"/>
      <c r="EA95" s="93"/>
      <c r="EB95" s="93"/>
      <c r="EC95" s="93"/>
      <c r="ED95" s="93"/>
      <c r="EE95" s="93"/>
      <c r="EF95" s="93"/>
      <c r="EG95" s="93"/>
      <c r="EH95" s="93"/>
      <c r="EI95" s="93"/>
      <c r="EJ95" s="93"/>
      <c r="EK95" s="93"/>
      <c r="EL95" s="93"/>
      <c r="EM95" s="93"/>
      <c r="EN95" s="93"/>
      <c r="EO95" s="93"/>
      <c r="EP95" s="93"/>
      <c r="EQ95" s="93"/>
      <c r="ER95" s="93"/>
      <c r="ES95" s="93"/>
      <c r="ET95" s="93"/>
      <c r="EU95" s="93"/>
      <c r="EV95" s="93"/>
      <c r="EW95" s="93"/>
      <c r="EX95" s="93"/>
      <c r="EY95" s="93"/>
      <c r="EZ95" s="93"/>
      <c r="FA95" s="93"/>
      <c r="FB95" s="93"/>
      <c r="FC95" s="93"/>
      <c r="FD95" s="93"/>
      <c r="FE95" s="93"/>
      <c r="FF95" s="93"/>
      <c r="FG95" s="93"/>
      <c r="FH95" s="93"/>
      <c r="FI95" s="93"/>
      <c r="FJ95" s="93"/>
      <c r="FK95" s="93"/>
      <c r="FL95" s="93"/>
      <c r="FM95" s="93"/>
      <c r="FN95" s="93"/>
      <c r="FO95" s="93"/>
      <c r="FP95" s="93"/>
      <c r="FQ95" s="93"/>
      <c r="FR95" s="93"/>
      <c r="FS95" s="93"/>
      <c r="FT95" s="93"/>
      <c r="FU95" s="93"/>
      <c r="FV95" s="93"/>
      <c r="FW95" s="93"/>
      <c r="FX95" s="93"/>
      <c r="FY95" s="93"/>
      <c r="FZ95" s="93"/>
      <c r="GA95" s="93"/>
      <c r="GB95" s="93"/>
      <c r="GC95" s="93"/>
      <c r="GD95" s="93"/>
      <c r="GE95" s="93"/>
      <c r="GF95" s="93"/>
      <c r="GG95" s="93"/>
      <c r="GH95" s="93"/>
      <c r="GI95" s="93"/>
      <c r="GJ95" s="93"/>
      <c r="GK95" s="93"/>
      <c r="GL95" s="93"/>
      <c r="GM95" s="93"/>
      <c r="GN95" s="93"/>
      <c r="GO95" s="93"/>
      <c r="GP95" s="93"/>
      <c r="GQ95" s="93"/>
      <c r="GR95" s="93"/>
      <c r="GS95" s="93"/>
      <c r="GT95" s="93"/>
    </row>
    <row r="96" spans="1:202" s="28" customFormat="1" ht="21">
      <c r="A96" s="41" t="s">
        <v>22</v>
      </c>
      <c r="B96" s="44"/>
      <c r="C96" s="45">
        <f>IF(C97=0,C90+C91,C97)</f>
        <v>0</v>
      </c>
      <c r="D96" s="45">
        <f>IF(D97=0,D90+D91,D97)</f>
        <v>0</v>
      </c>
      <c r="E96" s="45">
        <f t="shared" ref="E96:BO96" si="65">IF(E97=0,E90+E91,E97)</f>
        <v>0</v>
      </c>
      <c r="F96" s="45">
        <f t="shared" si="65"/>
        <v>0</v>
      </c>
      <c r="G96" s="45">
        <f t="shared" si="65"/>
        <v>0</v>
      </c>
      <c r="H96" s="45">
        <f t="shared" si="65"/>
        <v>0</v>
      </c>
      <c r="I96" s="45">
        <f t="shared" si="65"/>
        <v>0</v>
      </c>
      <c r="J96" s="45">
        <f t="shared" si="65"/>
        <v>0</v>
      </c>
      <c r="K96" s="45">
        <f t="shared" si="65"/>
        <v>0</v>
      </c>
      <c r="L96" s="45">
        <f t="shared" si="65"/>
        <v>0</v>
      </c>
      <c r="M96" s="45">
        <f t="shared" si="65"/>
        <v>0</v>
      </c>
      <c r="N96" s="45">
        <f t="shared" si="65"/>
        <v>0</v>
      </c>
      <c r="O96" s="45">
        <f t="shared" si="65"/>
        <v>0</v>
      </c>
      <c r="P96" s="45">
        <f t="shared" si="65"/>
        <v>0</v>
      </c>
      <c r="Q96" s="45">
        <f t="shared" si="65"/>
        <v>0</v>
      </c>
      <c r="R96" s="45">
        <f t="shared" si="65"/>
        <v>0</v>
      </c>
      <c r="S96" s="45">
        <f t="shared" si="65"/>
        <v>0</v>
      </c>
      <c r="T96" s="45">
        <f t="shared" si="65"/>
        <v>0</v>
      </c>
      <c r="U96" s="45">
        <f t="shared" si="65"/>
        <v>0</v>
      </c>
      <c r="V96" s="45">
        <f t="shared" si="65"/>
        <v>0</v>
      </c>
      <c r="W96" s="45">
        <f t="shared" si="65"/>
        <v>0</v>
      </c>
      <c r="X96" s="45">
        <f t="shared" si="65"/>
        <v>0</v>
      </c>
      <c r="Y96" s="45">
        <f t="shared" si="65"/>
        <v>0</v>
      </c>
      <c r="Z96" s="45">
        <f t="shared" si="65"/>
        <v>0</v>
      </c>
      <c r="AA96" s="45">
        <f t="shared" si="65"/>
        <v>0</v>
      </c>
      <c r="AB96" s="45">
        <f t="shared" si="65"/>
        <v>0</v>
      </c>
      <c r="AC96" s="45">
        <f t="shared" si="65"/>
        <v>0</v>
      </c>
      <c r="AD96" s="45">
        <f t="shared" si="65"/>
        <v>0</v>
      </c>
      <c r="AE96" s="45">
        <f t="shared" si="65"/>
        <v>0</v>
      </c>
      <c r="AF96" s="45">
        <f t="shared" si="65"/>
        <v>0</v>
      </c>
      <c r="AG96" s="45">
        <f t="shared" si="65"/>
        <v>0</v>
      </c>
      <c r="AH96" s="45">
        <f t="shared" si="65"/>
        <v>0</v>
      </c>
      <c r="AI96" s="45">
        <f t="shared" si="65"/>
        <v>0</v>
      </c>
      <c r="AJ96" s="45">
        <f t="shared" si="65"/>
        <v>0</v>
      </c>
      <c r="AK96" s="45">
        <f t="shared" si="65"/>
        <v>0</v>
      </c>
      <c r="AL96" s="45">
        <f t="shared" si="65"/>
        <v>0</v>
      </c>
      <c r="AM96" s="45">
        <f t="shared" si="65"/>
        <v>0</v>
      </c>
      <c r="AN96" s="45">
        <f t="shared" si="65"/>
        <v>0</v>
      </c>
      <c r="AO96" s="45">
        <f t="shared" si="65"/>
        <v>0</v>
      </c>
      <c r="AP96" s="45">
        <f t="shared" si="65"/>
        <v>0</v>
      </c>
      <c r="AQ96" s="45">
        <f t="shared" si="65"/>
        <v>0</v>
      </c>
      <c r="AR96" s="45">
        <f t="shared" si="65"/>
        <v>0</v>
      </c>
      <c r="AS96" s="45">
        <f t="shared" si="65"/>
        <v>0</v>
      </c>
      <c r="AT96" s="45">
        <f t="shared" si="65"/>
        <v>0</v>
      </c>
      <c r="AU96" s="45">
        <f t="shared" si="65"/>
        <v>0</v>
      </c>
      <c r="AV96" s="45">
        <f t="shared" si="65"/>
        <v>0</v>
      </c>
      <c r="AW96" s="45">
        <f t="shared" si="65"/>
        <v>0</v>
      </c>
      <c r="AX96" s="45">
        <f t="shared" si="65"/>
        <v>0</v>
      </c>
      <c r="AY96" s="45">
        <f t="shared" si="65"/>
        <v>0</v>
      </c>
      <c r="AZ96" s="45">
        <f t="shared" si="65"/>
        <v>0</v>
      </c>
      <c r="BA96" s="45">
        <f t="shared" si="65"/>
        <v>0</v>
      </c>
      <c r="BB96" s="45">
        <f t="shared" si="65"/>
        <v>0</v>
      </c>
      <c r="BC96" s="45">
        <f t="shared" si="65"/>
        <v>0</v>
      </c>
      <c r="BD96" s="45">
        <f t="shared" si="65"/>
        <v>0</v>
      </c>
      <c r="BE96" s="45">
        <f t="shared" si="65"/>
        <v>0</v>
      </c>
      <c r="BF96" s="45">
        <f t="shared" si="65"/>
        <v>0</v>
      </c>
      <c r="BG96" s="45">
        <f t="shared" si="65"/>
        <v>0</v>
      </c>
      <c r="BH96" s="45">
        <f t="shared" si="65"/>
        <v>0</v>
      </c>
      <c r="BI96" s="45">
        <f t="shared" si="65"/>
        <v>0</v>
      </c>
      <c r="BJ96" s="45">
        <f t="shared" si="65"/>
        <v>0</v>
      </c>
      <c r="BK96" s="45">
        <f t="shared" si="65"/>
        <v>0</v>
      </c>
      <c r="BL96" s="45">
        <f t="shared" si="65"/>
        <v>0</v>
      </c>
      <c r="BM96" s="45">
        <f t="shared" si="65"/>
        <v>0</v>
      </c>
      <c r="BN96" s="45">
        <f t="shared" si="65"/>
        <v>0</v>
      </c>
      <c r="BO96" s="45">
        <f t="shared" si="65"/>
        <v>0</v>
      </c>
      <c r="BP96" s="45">
        <f t="shared" ref="BP96:EA96" si="66">IF(BP97=0,BP90+BP91,BP97)</f>
        <v>0</v>
      </c>
      <c r="BQ96" s="45">
        <f t="shared" si="66"/>
        <v>0</v>
      </c>
      <c r="BR96" s="45">
        <f t="shared" si="66"/>
        <v>0</v>
      </c>
      <c r="BS96" s="45">
        <f t="shared" si="66"/>
        <v>0</v>
      </c>
      <c r="BT96" s="45">
        <f t="shared" si="66"/>
        <v>0</v>
      </c>
      <c r="BU96" s="45">
        <f t="shared" si="66"/>
        <v>0</v>
      </c>
      <c r="BV96" s="45">
        <f t="shared" si="66"/>
        <v>0</v>
      </c>
      <c r="BW96" s="45">
        <f t="shared" si="66"/>
        <v>0</v>
      </c>
      <c r="BX96" s="45">
        <f t="shared" si="66"/>
        <v>0</v>
      </c>
      <c r="BY96" s="45">
        <f t="shared" si="66"/>
        <v>0</v>
      </c>
      <c r="BZ96" s="45">
        <f t="shared" si="66"/>
        <v>0</v>
      </c>
      <c r="CA96" s="45">
        <f t="shared" si="66"/>
        <v>0</v>
      </c>
      <c r="CB96" s="45">
        <f t="shared" si="66"/>
        <v>0</v>
      </c>
      <c r="CC96" s="45">
        <f t="shared" si="66"/>
        <v>0</v>
      </c>
      <c r="CD96" s="45">
        <f t="shared" si="66"/>
        <v>0</v>
      </c>
      <c r="CE96" s="45">
        <f t="shared" si="66"/>
        <v>0</v>
      </c>
      <c r="CF96" s="45">
        <f t="shared" si="66"/>
        <v>0</v>
      </c>
      <c r="CG96" s="45">
        <f t="shared" si="66"/>
        <v>0</v>
      </c>
      <c r="CH96" s="45">
        <f t="shared" si="66"/>
        <v>0</v>
      </c>
      <c r="CI96" s="45">
        <f t="shared" si="66"/>
        <v>0</v>
      </c>
      <c r="CJ96" s="45">
        <f t="shared" si="66"/>
        <v>0</v>
      </c>
      <c r="CK96" s="45">
        <f t="shared" si="66"/>
        <v>0</v>
      </c>
      <c r="CL96" s="45">
        <f t="shared" si="66"/>
        <v>0</v>
      </c>
      <c r="CM96" s="45">
        <f t="shared" si="66"/>
        <v>0</v>
      </c>
      <c r="CN96" s="45">
        <f t="shared" si="66"/>
        <v>0</v>
      </c>
      <c r="CO96" s="45">
        <f t="shared" si="66"/>
        <v>0</v>
      </c>
      <c r="CP96" s="45">
        <f t="shared" si="66"/>
        <v>0</v>
      </c>
      <c r="CQ96" s="45">
        <f t="shared" si="66"/>
        <v>0</v>
      </c>
      <c r="CR96" s="45">
        <f t="shared" si="66"/>
        <v>0</v>
      </c>
      <c r="CS96" s="45">
        <f t="shared" si="66"/>
        <v>0</v>
      </c>
      <c r="CT96" s="45">
        <f t="shared" si="66"/>
        <v>0</v>
      </c>
      <c r="CU96" s="45">
        <f t="shared" si="66"/>
        <v>0</v>
      </c>
      <c r="CV96" s="45">
        <f t="shared" si="66"/>
        <v>0</v>
      </c>
      <c r="CW96" s="45">
        <f t="shared" si="66"/>
        <v>0</v>
      </c>
      <c r="CX96" s="45">
        <f t="shared" si="66"/>
        <v>0</v>
      </c>
      <c r="CY96" s="45">
        <f t="shared" si="66"/>
        <v>0</v>
      </c>
      <c r="CZ96" s="45">
        <f t="shared" si="66"/>
        <v>0</v>
      </c>
      <c r="DA96" s="45">
        <f t="shared" si="66"/>
        <v>0</v>
      </c>
      <c r="DB96" s="45">
        <f t="shared" si="66"/>
        <v>0</v>
      </c>
      <c r="DC96" s="45">
        <f t="shared" si="66"/>
        <v>0</v>
      </c>
      <c r="DD96" s="45">
        <f t="shared" si="66"/>
        <v>0</v>
      </c>
      <c r="DE96" s="45">
        <f t="shared" si="66"/>
        <v>0</v>
      </c>
      <c r="DF96" s="45">
        <f t="shared" si="66"/>
        <v>0</v>
      </c>
      <c r="DG96" s="45">
        <f t="shared" si="66"/>
        <v>0</v>
      </c>
      <c r="DH96" s="45">
        <f t="shared" si="66"/>
        <v>0</v>
      </c>
      <c r="DI96" s="45">
        <f t="shared" si="66"/>
        <v>0</v>
      </c>
      <c r="DJ96" s="45">
        <f t="shared" si="66"/>
        <v>0</v>
      </c>
      <c r="DK96" s="45">
        <f t="shared" si="66"/>
        <v>0</v>
      </c>
      <c r="DL96" s="45">
        <f t="shared" si="66"/>
        <v>0</v>
      </c>
      <c r="DM96" s="45">
        <f t="shared" si="66"/>
        <v>0</v>
      </c>
      <c r="DN96" s="45">
        <f t="shared" si="66"/>
        <v>0</v>
      </c>
      <c r="DO96" s="45">
        <f t="shared" si="66"/>
        <v>0</v>
      </c>
      <c r="DP96" s="45">
        <f t="shared" si="66"/>
        <v>0</v>
      </c>
      <c r="DQ96" s="45">
        <f t="shared" si="66"/>
        <v>0</v>
      </c>
      <c r="DR96" s="45">
        <f t="shared" si="66"/>
        <v>0</v>
      </c>
      <c r="DS96" s="45">
        <f t="shared" si="66"/>
        <v>0</v>
      </c>
      <c r="DT96" s="45">
        <f t="shared" si="66"/>
        <v>0</v>
      </c>
      <c r="DU96" s="45">
        <f t="shared" si="66"/>
        <v>0</v>
      </c>
      <c r="DV96" s="45">
        <f t="shared" si="66"/>
        <v>0</v>
      </c>
      <c r="DW96" s="45">
        <f t="shared" si="66"/>
        <v>0</v>
      </c>
      <c r="DX96" s="45">
        <f t="shared" si="66"/>
        <v>0</v>
      </c>
      <c r="DY96" s="45">
        <f t="shared" si="66"/>
        <v>0</v>
      </c>
      <c r="DZ96" s="45">
        <f t="shared" si="66"/>
        <v>0</v>
      </c>
      <c r="EA96" s="45">
        <f t="shared" si="66"/>
        <v>0</v>
      </c>
      <c r="EB96" s="45">
        <f t="shared" ref="EB96:GM96" si="67">IF(EB97=0,EB90+EB91,EB97)</f>
        <v>0</v>
      </c>
      <c r="EC96" s="45">
        <f t="shared" si="67"/>
        <v>0</v>
      </c>
      <c r="ED96" s="45">
        <f t="shared" si="67"/>
        <v>0</v>
      </c>
      <c r="EE96" s="45">
        <f t="shared" si="67"/>
        <v>0</v>
      </c>
      <c r="EF96" s="45">
        <f t="shared" si="67"/>
        <v>0</v>
      </c>
      <c r="EG96" s="45">
        <f t="shared" si="67"/>
        <v>0</v>
      </c>
      <c r="EH96" s="45">
        <f t="shared" si="67"/>
        <v>0</v>
      </c>
      <c r="EI96" s="45">
        <f t="shared" si="67"/>
        <v>0</v>
      </c>
      <c r="EJ96" s="45">
        <f t="shared" si="67"/>
        <v>0</v>
      </c>
      <c r="EK96" s="45">
        <f t="shared" si="67"/>
        <v>0</v>
      </c>
      <c r="EL96" s="45">
        <f t="shared" si="67"/>
        <v>0</v>
      </c>
      <c r="EM96" s="45">
        <f t="shared" si="67"/>
        <v>0</v>
      </c>
      <c r="EN96" s="45">
        <f t="shared" si="67"/>
        <v>0</v>
      </c>
      <c r="EO96" s="45">
        <f t="shared" si="67"/>
        <v>0</v>
      </c>
      <c r="EP96" s="45">
        <f t="shared" si="67"/>
        <v>0</v>
      </c>
      <c r="EQ96" s="45">
        <f t="shared" si="67"/>
        <v>0</v>
      </c>
      <c r="ER96" s="45">
        <f t="shared" si="67"/>
        <v>0</v>
      </c>
      <c r="ES96" s="45">
        <f t="shared" si="67"/>
        <v>0</v>
      </c>
      <c r="ET96" s="45">
        <f t="shared" si="67"/>
        <v>0</v>
      </c>
      <c r="EU96" s="45">
        <f t="shared" si="67"/>
        <v>0</v>
      </c>
      <c r="EV96" s="45">
        <f t="shared" si="67"/>
        <v>0</v>
      </c>
      <c r="EW96" s="45">
        <f t="shared" si="67"/>
        <v>0</v>
      </c>
      <c r="EX96" s="45">
        <f t="shared" si="67"/>
        <v>0</v>
      </c>
      <c r="EY96" s="45">
        <f t="shared" si="67"/>
        <v>0</v>
      </c>
      <c r="EZ96" s="45">
        <f t="shared" si="67"/>
        <v>0</v>
      </c>
      <c r="FA96" s="45">
        <f t="shared" si="67"/>
        <v>0</v>
      </c>
      <c r="FB96" s="45">
        <f t="shared" si="67"/>
        <v>0</v>
      </c>
      <c r="FC96" s="45">
        <f t="shared" si="67"/>
        <v>0</v>
      </c>
      <c r="FD96" s="45">
        <f t="shared" si="67"/>
        <v>0</v>
      </c>
      <c r="FE96" s="45">
        <f t="shared" si="67"/>
        <v>0</v>
      </c>
      <c r="FF96" s="45">
        <f t="shared" si="67"/>
        <v>0</v>
      </c>
      <c r="FG96" s="45">
        <f t="shared" si="67"/>
        <v>0</v>
      </c>
      <c r="FH96" s="45">
        <f t="shared" si="67"/>
        <v>0</v>
      </c>
      <c r="FI96" s="45">
        <f t="shared" si="67"/>
        <v>0</v>
      </c>
      <c r="FJ96" s="45">
        <f t="shared" si="67"/>
        <v>0</v>
      </c>
      <c r="FK96" s="45">
        <f t="shared" si="67"/>
        <v>0</v>
      </c>
      <c r="FL96" s="45">
        <f t="shared" si="67"/>
        <v>0</v>
      </c>
      <c r="FM96" s="45">
        <f t="shared" si="67"/>
        <v>0</v>
      </c>
      <c r="FN96" s="45">
        <f t="shared" si="67"/>
        <v>0</v>
      </c>
      <c r="FO96" s="45">
        <f t="shared" si="67"/>
        <v>0</v>
      </c>
      <c r="FP96" s="45">
        <f t="shared" si="67"/>
        <v>0</v>
      </c>
      <c r="FQ96" s="45">
        <f t="shared" si="67"/>
        <v>0</v>
      </c>
      <c r="FR96" s="45">
        <f t="shared" si="67"/>
        <v>0</v>
      </c>
      <c r="FS96" s="45">
        <f t="shared" si="67"/>
        <v>0</v>
      </c>
      <c r="FT96" s="45">
        <f t="shared" si="67"/>
        <v>0</v>
      </c>
      <c r="FU96" s="45">
        <f t="shared" si="67"/>
        <v>0</v>
      </c>
      <c r="FV96" s="45">
        <f t="shared" si="67"/>
        <v>0</v>
      </c>
      <c r="FW96" s="45">
        <f t="shared" si="67"/>
        <v>0</v>
      </c>
      <c r="FX96" s="45">
        <f t="shared" si="67"/>
        <v>0</v>
      </c>
      <c r="FY96" s="45">
        <f t="shared" si="67"/>
        <v>0</v>
      </c>
      <c r="FZ96" s="45">
        <f t="shared" si="67"/>
        <v>0</v>
      </c>
      <c r="GA96" s="45">
        <f t="shared" si="67"/>
        <v>0</v>
      </c>
      <c r="GB96" s="45">
        <f t="shared" si="67"/>
        <v>0</v>
      </c>
      <c r="GC96" s="45">
        <f t="shared" si="67"/>
        <v>0</v>
      </c>
      <c r="GD96" s="45">
        <f t="shared" si="67"/>
        <v>0</v>
      </c>
      <c r="GE96" s="45">
        <f t="shared" si="67"/>
        <v>0</v>
      </c>
      <c r="GF96" s="45">
        <f t="shared" si="67"/>
        <v>0</v>
      </c>
      <c r="GG96" s="45">
        <f t="shared" si="67"/>
        <v>0</v>
      </c>
      <c r="GH96" s="45">
        <f t="shared" si="67"/>
        <v>0</v>
      </c>
      <c r="GI96" s="45">
        <f t="shared" si="67"/>
        <v>0</v>
      </c>
      <c r="GJ96" s="45">
        <f t="shared" si="67"/>
        <v>0</v>
      </c>
      <c r="GK96" s="45">
        <f t="shared" si="67"/>
        <v>0</v>
      </c>
      <c r="GL96" s="45">
        <f t="shared" si="67"/>
        <v>0</v>
      </c>
      <c r="GM96" s="45">
        <f t="shared" si="67"/>
        <v>0</v>
      </c>
      <c r="GN96" s="45">
        <f t="shared" ref="GN96:GT96" si="68">IF(GN97=0,GN90+GN91,GN97)</f>
        <v>0</v>
      </c>
      <c r="GO96" s="45">
        <f t="shared" si="68"/>
        <v>0</v>
      </c>
      <c r="GP96" s="45">
        <f t="shared" si="68"/>
        <v>0</v>
      </c>
      <c r="GQ96" s="45">
        <f t="shared" si="68"/>
        <v>0</v>
      </c>
      <c r="GR96" s="45">
        <f t="shared" si="68"/>
        <v>0</v>
      </c>
      <c r="GS96" s="45">
        <f t="shared" si="68"/>
        <v>0</v>
      </c>
      <c r="GT96" s="45">
        <f t="shared" si="68"/>
        <v>0</v>
      </c>
    </row>
    <row r="97" spans="1:202" s="28" customFormat="1" ht="21">
      <c r="A97" s="41" t="s">
        <v>146</v>
      </c>
      <c r="B97" s="44"/>
      <c r="C97" s="45">
        <f>C98+C99</f>
        <v>0</v>
      </c>
      <c r="D97" s="45">
        <f t="shared" ref="D97:BO97" si="69">D98+D99</f>
        <v>0</v>
      </c>
      <c r="E97" s="45">
        <f t="shared" si="69"/>
        <v>0</v>
      </c>
      <c r="F97" s="45">
        <f t="shared" si="69"/>
        <v>0</v>
      </c>
      <c r="G97" s="45">
        <f t="shared" si="69"/>
        <v>0</v>
      </c>
      <c r="H97" s="45">
        <f t="shared" si="69"/>
        <v>0</v>
      </c>
      <c r="I97" s="45">
        <f t="shared" si="69"/>
        <v>0</v>
      </c>
      <c r="J97" s="45">
        <f t="shared" si="69"/>
        <v>0</v>
      </c>
      <c r="K97" s="45">
        <f t="shared" si="69"/>
        <v>0</v>
      </c>
      <c r="L97" s="45">
        <f t="shared" si="69"/>
        <v>0</v>
      </c>
      <c r="M97" s="45">
        <f t="shared" si="69"/>
        <v>0</v>
      </c>
      <c r="N97" s="45">
        <f t="shared" si="69"/>
        <v>0</v>
      </c>
      <c r="O97" s="45">
        <f t="shared" si="69"/>
        <v>0</v>
      </c>
      <c r="P97" s="45">
        <f t="shared" si="69"/>
        <v>0</v>
      </c>
      <c r="Q97" s="45">
        <f t="shared" si="69"/>
        <v>0</v>
      </c>
      <c r="R97" s="45">
        <f t="shared" si="69"/>
        <v>0</v>
      </c>
      <c r="S97" s="45">
        <f t="shared" si="69"/>
        <v>0</v>
      </c>
      <c r="T97" s="45">
        <f t="shared" si="69"/>
        <v>0</v>
      </c>
      <c r="U97" s="45">
        <f t="shared" si="69"/>
        <v>0</v>
      </c>
      <c r="V97" s="45">
        <f t="shared" si="69"/>
        <v>0</v>
      </c>
      <c r="W97" s="45">
        <f t="shared" si="69"/>
        <v>0</v>
      </c>
      <c r="X97" s="45">
        <f t="shared" si="69"/>
        <v>0</v>
      </c>
      <c r="Y97" s="45">
        <f t="shared" si="69"/>
        <v>0</v>
      </c>
      <c r="Z97" s="45">
        <f t="shared" si="69"/>
        <v>0</v>
      </c>
      <c r="AA97" s="45">
        <f t="shared" si="69"/>
        <v>0</v>
      </c>
      <c r="AB97" s="45">
        <f t="shared" si="69"/>
        <v>0</v>
      </c>
      <c r="AC97" s="45">
        <f t="shared" si="69"/>
        <v>0</v>
      </c>
      <c r="AD97" s="45">
        <f t="shared" si="69"/>
        <v>0</v>
      </c>
      <c r="AE97" s="45">
        <f t="shared" si="69"/>
        <v>0</v>
      </c>
      <c r="AF97" s="45">
        <f t="shared" si="69"/>
        <v>0</v>
      </c>
      <c r="AG97" s="45">
        <f t="shared" si="69"/>
        <v>0</v>
      </c>
      <c r="AH97" s="45">
        <f t="shared" si="69"/>
        <v>0</v>
      </c>
      <c r="AI97" s="45">
        <f t="shared" si="69"/>
        <v>0</v>
      </c>
      <c r="AJ97" s="45">
        <f t="shared" si="69"/>
        <v>0</v>
      </c>
      <c r="AK97" s="45">
        <f t="shared" si="69"/>
        <v>0</v>
      </c>
      <c r="AL97" s="45">
        <f t="shared" si="69"/>
        <v>0</v>
      </c>
      <c r="AM97" s="45">
        <f t="shared" si="69"/>
        <v>0</v>
      </c>
      <c r="AN97" s="45">
        <f t="shared" si="69"/>
        <v>0</v>
      </c>
      <c r="AO97" s="45">
        <f t="shared" si="69"/>
        <v>0</v>
      </c>
      <c r="AP97" s="45">
        <f t="shared" si="69"/>
        <v>0</v>
      </c>
      <c r="AQ97" s="45">
        <f t="shared" si="69"/>
        <v>0</v>
      </c>
      <c r="AR97" s="45">
        <f t="shared" si="69"/>
        <v>0</v>
      </c>
      <c r="AS97" s="45">
        <f t="shared" si="69"/>
        <v>0</v>
      </c>
      <c r="AT97" s="45">
        <f t="shared" si="69"/>
        <v>0</v>
      </c>
      <c r="AU97" s="45">
        <f t="shared" si="69"/>
        <v>0</v>
      </c>
      <c r="AV97" s="45">
        <f t="shared" si="69"/>
        <v>0</v>
      </c>
      <c r="AW97" s="45">
        <f t="shared" si="69"/>
        <v>0</v>
      </c>
      <c r="AX97" s="45">
        <f t="shared" si="69"/>
        <v>0</v>
      </c>
      <c r="AY97" s="45">
        <f t="shared" si="69"/>
        <v>0</v>
      </c>
      <c r="AZ97" s="45">
        <f t="shared" si="69"/>
        <v>0</v>
      </c>
      <c r="BA97" s="45">
        <f t="shared" si="69"/>
        <v>0</v>
      </c>
      <c r="BB97" s="45">
        <f t="shared" si="69"/>
        <v>0</v>
      </c>
      <c r="BC97" s="45">
        <f t="shared" si="69"/>
        <v>0</v>
      </c>
      <c r="BD97" s="45">
        <f t="shared" si="69"/>
        <v>0</v>
      </c>
      <c r="BE97" s="45">
        <f t="shared" si="69"/>
        <v>0</v>
      </c>
      <c r="BF97" s="45">
        <f t="shared" si="69"/>
        <v>0</v>
      </c>
      <c r="BG97" s="45">
        <f t="shared" si="69"/>
        <v>0</v>
      </c>
      <c r="BH97" s="45">
        <f t="shared" si="69"/>
        <v>0</v>
      </c>
      <c r="BI97" s="45">
        <f t="shared" si="69"/>
        <v>0</v>
      </c>
      <c r="BJ97" s="45">
        <f t="shared" si="69"/>
        <v>0</v>
      </c>
      <c r="BK97" s="45">
        <f t="shared" si="69"/>
        <v>0</v>
      </c>
      <c r="BL97" s="45">
        <f t="shared" si="69"/>
        <v>0</v>
      </c>
      <c r="BM97" s="45">
        <f t="shared" si="69"/>
        <v>0</v>
      </c>
      <c r="BN97" s="45">
        <f t="shared" si="69"/>
        <v>0</v>
      </c>
      <c r="BO97" s="45">
        <f t="shared" si="69"/>
        <v>0</v>
      </c>
      <c r="BP97" s="45">
        <f t="shared" ref="BP97:EA97" si="70">BP98+BP99</f>
        <v>0</v>
      </c>
      <c r="BQ97" s="45">
        <f t="shared" si="70"/>
        <v>0</v>
      </c>
      <c r="BR97" s="45">
        <f t="shared" si="70"/>
        <v>0</v>
      </c>
      <c r="BS97" s="45">
        <f t="shared" si="70"/>
        <v>0</v>
      </c>
      <c r="BT97" s="45">
        <f t="shared" si="70"/>
        <v>0</v>
      </c>
      <c r="BU97" s="45">
        <f t="shared" si="70"/>
        <v>0</v>
      </c>
      <c r="BV97" s="45">
        <f t="shared" si="70"/>
        <v>0</v>
      </c>
      <c r="BW97" s="45">
        <f t="shared" si="70"/>
        <v>0</v>
      </c>
      <c r="BX97" s="45">
        <f t="shared" si="70"/>
        <v>0</v>
      </c>
      <c r="BY97" s="45">
        <f t="shared" si="70"/>
        <v>0</v>
      </c>
      <c r="BZ97" s="45">
        <f t="shared" si="70"/>
        <v>0</v>
      </c>
      <c r="CA97" s="45">
        <f t="shared" si="70"/>
        <v>0</v>
      </c>
      <c r="CB97" s="45">
        <f t="shared" si="70"/>
        <v>0</v>
      </c>
      <c r="CC97" s="45">
        <f t="shared" si="70"/>
        <v>0</v>
      </c>
      <c r="CD97" s="45">
        <f t="shared" si="70"/>
        <v>0</v>
      </c>
      <c r="CE97" s="45">
        <f t="shared" si="70"/>
        <v>0</v>
      </c>
      <c r="CF97" s="45">
        <f t="shared" si="70"/>
        <v>0</v>
      </c>
      <c r="CG97" s="45">
        <f t="shared" si="70"/>
        <v>0</v>
      </c>
      <c r="CH97" s="45">
        <f t="shared" si="70"/>
        <v>0</v>
      </c>
      <c r="CI97" s="45">
        <f t="shared" si="70"/>
        <v>0</v>
      </c>
      <c r="CJ97" s="45">
        <f t="shared" si="70"/>
        <v>0</v>
      </c>
      <c r="CK97" s="45">
        <f t="shared" si="70"/>
        <v>0</v>
      </c>
      <c r="CL97" s="45">
        <f t="shared" si="70"/>
        <v>0</v>
      </c>
      <c r="CM97" s="45">
        <f t="shared" si="70"/>
        <v>0</v>
      </c>
      <c r="CN97" s="45">
        <f t="shared" si="70"/>
        <v>0</v>
      </c>
      <c r="CO97" s="45">
        <f t="shared" si="70"/>
        <v>0</v>
      </c>
      <c r="CP97" s="45">
        <f t="shared" si="70"/>
        <v>0</v>
      </c>
      <c r="CQ97" s="45">
        <f t="shared" si="70"/>
        <v>0</v>
      </c>
      <c r="CR97" s="45">
        <f t="shared" si="70"/>
        <v>0</v>
      </c>
      <c r="CS97" s="45">
        <f t="shared" si="70"/>
        <v>0</v>
      </c>
      <c r="CT97" s="45">
        <f t="shared" si="70"/>
        <v>0</v>
      </c>
      <c r="CU97" s="45">
        <f t="shared" si="70"/>
        <v>0</v>
      </c>
      <c r="CV97" s="45">
        <f t="shared" si="70"/>
        <v>0</v>
      </c>
      <c r="CW97" s="45">
        <f t="shared" si="70"/>
        <v>0</v>
      </c>
      <c r="CX97" s="45">
        <f t="shared" si="70"/>
        <v>0</v>
      </c>
      <c r="CY97" s="45">
        <f t="shared" si="70"/>
        <v>0</v>
      </c>
      <c r="CZ97" s="45">
        <f t="shared" si="70"/>
        <v>0</v>
      </c>
      <c r="DA97" s="45">
        <f t="shared" si="70"/>
        <v>0</v>
      </c>
      <c r="DB97" s="45">
        <f t="shared" si="70"/>
        <v>0</v>
      </c>
      <c r="DC97" s="45">
        <f t="shared" si="70"/>
        <v>0</v>
      </c>
      <c r="DD97" s="45">
        <f t="shared" si="70"/>
        <v>0</v>
      </c>
      <c r="DE97" s="45">
        <f t="shared" si="70"/>
        <v>0</v>
      </c>
      <c r="DF97" s="45">
        <f t="shared" si="70"/>
        <v>0</v>
      </c>
      <c r="DG97" s="45">
        <f t="shared" si="70"/>
        <v>0</v>
      </c>
      <c r="DH97" s="45">
        <f t="shared" si="70"/>
        <v>0</v>
      </c>
      <c r="DI97" s="45">
        <f t="shared" si="70"/>
        <v>0</v>
      </c>
      <c r="DJ97" s="45">
        <f t="shared" si="70"/>
        <v>0</v>
      </c>
      <c r="DK97" s="45">
        <f t="shared" si="70"/>
        <v>0</v>
      </c>
      <c r="DL97" s="45">
        <f t="shared" si="70"/>
        <v>0</v>
      </c>
      <c r="DM97" s="45">
        <f t="shared" si="70"/>
        <v>0</v>
      </c>
      <c r="DN97" s="45">
        <f t="shared" si="70"/>
        <v>0</v>
      </c>
      <c r="DO97" s="45">
        <f t="shared" si="70"/>
        <v>0</v>
      </c>
      <c r="DP97" s="45">
        <f t="shared" si="70"/>
        <v>0</v>
      </c>
      <c r="DQ97" s="45">
        <f t="shared" si="70"/>
        <v>0</v>
      </c>
      <c r="DR97" s="45">
        <f t="shared" si="70"/>
        <v>0</v>
      </c>
      <c r="DS97" s="45">
        <f t="shared" si="70"/>
        <v>0</v>
      </c>
      <c r="DT97" s="45">
        <f t="shared" si="70"/>
        <v>0</v>
      </c>
      <c r="DU97" s="45">
        <f t="shared" si="70"/>
        <v>0</v>
      </c>
      <c r="DV97" s="45">
        <f t="shared" si="70"/>
        <v>0</v>
      </c>
      <c r="DW97" s="45">
        <f t="shared" si="70"/>
        <v>0</v>
      </c>
      <c r="DX97" s="45">
        <f t="shared" si="70"/>
        <v>0</v>
      </c>
      <c r="DY97" s="45">
        <f t="shared" si="70"/>
        <v>0</v>
      </c>
      <c r="DZ97" s="45">
        <f t="shared" si="70"/>
        <v>0</v>
      </c>
      <c r="EA97" s="45">
        <f t="shared" si="70"/>
        <v>0</v>
      </c>
      <c r="EB97" s="45">
        <f t="shared" ref="EB97:GM97" si="71">EB98+EB99</f>
        <v>0</v>
      </c>
      <c r="EC97" s="45">
        <f t="shared" si="71"/>
        <v>0</v>
      </c>
      <c r="ED97" s="45">
        <f t="shared" si="71"/>
        <v>0</v>
      </c>
      <c r="EE97" s="45">
        <f t="shared" si="71"/>
        <v>0</v>
      </c>
      <c r="EF97" s="45">
        <f t="shared" si="71"/>
        <v>0</v>
      </c>
      <c r="EG97" s="45">
        <f t="shared" si="71"/>
        <v>0</v>
      </c>
      <c r="EH97" s="45">
        <f t="shared" si="71"/>
        <v>0</v>
      </c>
      <c r="EI97" s="45">
        <f t="shared" si="71"/>
        <v>0</v>
      </c>
      <c r="EJ97" s="45">
        <f t="shared" si="71"/>
        <v>0</v>
      </c>
      <c r="EK97" s="45">
        <f t="shared" si="71"/>
        <v>0</v>
      </c>
      <c r="EL97" s="45">
        <f t="shared" si="71"/>
        <v>0</v>
      </c>
      <c r="EM97" s="45">
        <f t="shared" si="71"/>
        <v>0</v>
      </c>
      <c r="EN97" s="45">
        <f t="shared" si="71"/>
        <v>0</v>
      </c>
      <c r="EO97" s="45">
        <f t="shared" si="71"/>
        <v>0</v>
      </c>
      <c r="EP97" s="45">
        <f t="shared" si="71"/>
        <v>0</v>
      </c>
      <c r="EQ97" s="45">
        <f t="shared" si="71"/>
        <v>0</v>
      </c>
      <c r="ER97" s="45">
        <f t="shared" si="71"/>
        <v>0</v>
      </c>
      <c r="ES97" s="45">
        <f t="shared" si="71"/>
        <v>0</v>
      </c>
      <c r="ET97" s="45">
        <f t="shared" si="71"/>
        <v>0</v>
      </c>
      <c r="EU97" s="45">
        <f t="shared" si="71"/>
        <v>0</v>
      </c>
      <c r="EV97" s="45">
        <f t="shared" si="71"/>
        <v>0</v>
      </c>
      <c r="EW97" s="45">
        <f t="shared" si="71"/>
        <v>0</v>
      </c>
      <c r="EX97" s="45">
        <f t="shared" si="71"/>
        <v>0</v>
      </c>
      <c r="EY97" s="45">
        <f t="shared" si="71"/>
        <v>0</v>
      </c>
      <c r="EZ97" s="45">
        <f t="shared" si="71"/>
        <v>0</v>
      </c>
      <c r="FA97" s="45">
        <f t="shared" si="71"/>
        <v>0</v>
      </c>
      <c r="FB97" s="45">
        <f t="shared" si="71"/>
        <v>0</v>
      </c>
      <c r="FC97" s="45">
        <f t="shared" si="71"/>
        <v>0</v>
      </c>
      <c r="FD97" s="45">
        <f t="shared" si="71"/>
        <v>0</v>
      </c>
      <c r="FE97" s="45">
        <f t="shared" si="71"/>
        <v>0</v>
      </c>
      <c r="FF97" s="45">
        <f t="shared" si="71"/>
        <v>0</v>
      </c>
      <c r="FG97" s="45">
        <f t="shared" si="71"/>
        <v>0</v>
      </c>
      <c r="FH97" s="45">
        <f t="shared" si="71"/>
        <v>0</v>
      </c>
      <c r="FI97" s="45">
        <f t="shared" si="71"/>
        <v>0</v>
      </c>
      <c r="FJ97" s="45">
        <f t="shared" si="71"/>
        <v>0</v>
      </c>
      <c r="FK97" s="45">
        <f t="shared" si="71"/>
        <v>0</v>
      </c>
      <c r="FL97" s="45">
        <f t="shared" si="71"/>
        <v>0</v>
      </c>
      <c r="FM97" s="45">
        <f t="shared" si="71"/>
        <v>0</v>
      </c>
      <c r="FN97" s="45">
        <f t="shared" si="71"/>
        <v>0</v>
      </c>
      <c r="FO97" s="45">
        <f t="shared" si="71"/>
        <v>0</v>
      </c>
      <c r="FP97" s="45">
        <f t="shared" si="71"/>
        <v>0</v>
      </c>
      <c r="FQ97" s="45">
        <f t="shared" si="71"/>
        <v>0</v>
      </c>
      <c r="FR97" s="45">
        <f t="shared" si="71"/>
        <v>0</v>
      </c>
      <c r="FS97" s="45">
        <f t="shared" si="71"/>
        <v>0</v>
      </c>
      <c r="FT97" s="45">
        <f t="shared" si="71"/>
        <v>0</v>
      </c>
      <c r="FU97" s="45">
        <f t="shared" si="71"/>
        <v>0</v>
      </c>
      <c r="FV97" s="45">
        <f t="shared" si="71"/>
        <v>0</v>
      </c>
      <c r="FW97" s="45">
        <f t="shared" si="71"/>
        <v>0</v>
      </c>
      <c r="FX97" s="45">
        <f t="shared" si="71"/>
        <v>0</v>
      </c>
      <c r="FY97" s="45">
        <f t="shared" si="71"/>
        <v>0</v>
      </c>
      <c r="FZ97" s="45">
        <f t="shared" si="71"/>
        <v>0</v>
      </c>
      <c r="GA97" s="45">
        <f t="shared" si="71"/>
        <v>0</v>
      </c>
      <c r="GB97" s="45">
        <f t="shared" si="71"/>
        <v>0</v>
      </c>
      <c r="GC97" s="45">
        <f t="shared" si="71"/>
        <v>0</v>
      </c>
      <c r="GD97" s="45">
        <f t="shared" si="71"/>
        <v>0</v>
      </c>
      <c r="GE97" s="45">
        <f t="shared" si="71"/>
        <v>0</v>
      </c>
      <c r="GF97" s="45">
        <f t="shared" si="71"/>
        <v>0</v>
      </c>
      <c r="GG97" s="45">
        <f t="shared" si="71"/>
        <v>0</v>
      </c>
      <c r="GH97" s="45">
        <f t="shared" si="71"/>
        <v>0</v>
      </c>
      <c r="GI97" s="45">
        <f t="shared" si="71"/>
        <v>0</v>
      </c>
      <c r="GJ97" s="45">
        <f t="shared" si="71"/>
        <v>0</v>
      </c>
      <c r="GK97" s="45">
        <f t="shared" si="71"/>
        <v>0</v>
      </c>
      <c r="GL97" s="45">
        <f t="shared" si="71"/>
        <v>0</v>
      </c>
      <c r="GM97" s="45">
        <f t="shared" si="71"/>
        <v>0</v>
      </c>
      <c r="GN97" s="45">
        <f t="shared" ref="GN97:GT97" si="72">GN98+GN99</f>
        <v>0</v>
      </c>
      <c r="GO97" s="45">
        <f t="shared" si="72"/>
        <v>0</v>
      </c>
      <c r="GP97" s="45">
        <f t="shared" si="72"/>
        <v>0</v>
      </c>
      <c r="GQ97" s="45">
        <f t="shared" si="72"/>
        <v>0</v>
      </c>
      <c r="GR97" s="45">
        <f t="shared" si="72"/>
        <v>0</v>
      </c>
      <c r="GS97" s="45">
        <f t="shared" si="72"/>
        <v>0</v>
      </c>
      <c r="GT97" s="45">
        <f t="shared" si="72"/>
        <v>0</v>
      </c>
    </row>
    <row r="98" spans="1:202" ht="16.5" customHeight="1">
      <c r="A98" s="97" t="s">
        <v>60</v>
      </c>
      <c r="B98" s="92"/>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3"/>
      <c r="CD98" s="93"/>
      <c r="CE98" s="93"/>
      <c r="CF98" s="93"/>
      <c r="CG98" s="93"/>
      <c r="CH98" s="93"/>
      <c r="CI98" s="93"/>
      <c r="CJ98" s="93"/>
      <c r="CK98" s="93"/>
      <c r="CL98" s="93"/>
      <c r="CM98" s="93"/>
      <c r="CN98" s="93"/>
      <c r="CO98" s="93"/>
      <c r="CP98" s="93"/>
      <c r="CQ98" s="93"/>
      <c r="CR98" s="93"/>
      <c r="CS98" s="93"/>
      <c r="CT98" s="93"/>
      <c r="CU98" s="93"/>
      <c r="CV98" s="93"/>
      <c r="CW98" s="93"/>
      <c r="CX98" s="93"/>
      <c r="CY98" s="93"/>
      <c r="CZ98" s="93"/>
      <c r="DA98" s="93"/>
      <c r="DB98" s="93"/>
      <c r="DC98" s="93"/>
      <c r="DD98" s="93"/>
      <c r="DE98" s="93"/>
      <c r="DF98" s="93"/>
      <c r="DG98" s="93"/>
      <c r="DH98" s="93"/>
      <c r="DI98" s="93"/>
      <c r="DJ98" s="93"/>
      <c r="DK98" s="93"/>
      <c r="DL98" s="93"/>
      <c r="DM98" s="93"/>
      <c r="DN98" s="93"/>
      <c r="DO98" s="93"/>
      <c r="DP98" s="93"/>
      <c r="DQ98" s="93"/>
      <c r="DR98" s="93"/>
      <c r="DS98" s="93"/>
      <c r="DT98" s="93"/>
      <c r="DU98" s="93"/>
      <c r="DV98" s="93"/>
      <c r="DW98" s="93"/>
      <c r="DX98" s="93"/>
      <c r="DY98" s="93"/>
      <c r="DZ98" s="93"/>
      <c r="EA98" s="93"/>
      <c r="EB98" s="93"/>
      <c r="EC98" s="93"/>
      <c r="ED98" s="93"/>
      <c r="EE98" s="93"/>
      <c r="EF98" s="93"/>
      <c r="EG98" s="93"/>
      <c r="EH98" s="93"/>
      <c r="EI98" s="93"/>
      <c r="EJ98" s="93"/>
      <c r="EK98" s="93"/>
      <c r="EL98" s="93"/>
      <c r="EM98" s="93"/>
      <c r="EN98" s="93"/>
      <c r="EO98" s="93"/>
      <c r="EP98" s="93"/>
      <c r="EQ98" s="93"/>
      <c r="ER98" s="93"/>
      <c r="ES98" s="93"/>
      <c r="ET98" s="93"/>
      <c r="EU98" s="93"/>
      <c r="EV98" s="93"/>
      <c r="EW98" s="93"/>
      <c r="EX98" s="93"/>
      <c r="EY98" s="93"/>
      <c r="EZ98" s="93"/>
      <c r="FA98" s="93"/>
      <c r="FB98" s="93"/>
      <c r="FC98" s="93"/>
      <c r="FD98" s="93"/>
      <c r="FE98" s="93"/>
      <c r="FF98" s="93"/>
      <c r="FG98" s="93"/>
      <c r="FH98" s="93"/>
      <c r="FI98" s="93"/>
      <c r="FJ98" s="93"/>
      <c r="FK98" s="93"/>
      <c r="FL98" s="93"/>
      <c r="FM98" s="93"/>
      <c r="FN98" s="93"/>
      <c r="FO98" s="93"/>
      <c r="FP98" s="93"/>
      <c r="FQ98" s="93"/>
      <c r="FR98" s="93"/>
      <c r="FS98" s="93"/>
      <c r="FT98" s="93"/>
      <c r="FU98" s="93"/>
      <c r="FV98" s="93"/>
      <c r="FW98" s="93"/>
      <c r="FX98" s="93"/>
      <c r="FY98" s="93"/>
      <c r="FZ98" s="93"/>
      <c r="GA98" s="93"/>
      <c r="GB98" s="93"/>
      <c r="GC98" s="93"/>
      <c r="GD98" s="93"/>
      <c r="GE98" s="93"/>
      <c r="GF98" s="93"/>
      <c r="GG98" s="93"/>
      <c r="GH98" s="93"/>
      <c r="GI98" s="93"/>
      <c r="GJ98" s="93"/>
      <c r="GK98" s="93"/>
      <c r="GL98" s="93"/>
      <c r="GM98" s="93"/>
      <c r="GN98" s="93"/>
      <c r="GO98" s="93"/>
      <c r="GP98" s="93"/>
      <c r="GQ98" s="93"/>
      <c r="GR98" s="93"/>
      <c r="GS98" s="93"/>
      <c r="GT98" s="93"/>
    </row>
    <row r="99" spans="1:202" ht="16.5" customHeight="1">
      <c r="A99" s="96" t="s">
        <v>61</v>
      </c>
      <c r="B99" s="92"/>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c r="CV99" s="93"/>
      <c r="CW99" s="93"/>
      <c r="CX99" s="93"/>
      <c r="CY99" s="93"/>
      <c r="CZ99" s="93"/>
      <c r="DA99" s="93"/>
      <c r="DB99" s="93"/>
      <c r="DC99" s="93"/>
      <c r="DD99" s="93"/>
      <c r="DE99" s="93"/>
      <c r="DF99" s="93"/>
      <c r="DG99" s="93"/>
      <c r="DH99" s="93"/>
      <c r="DI99" s="93"/>
      <c r="DJ99" s="93"/>
      <c r="DK99" s="93"/>
      <c r="DL99" s="93"/>
      <c r="DM99" s="93"/>
      <c r="DN99" s="93"/>
      <c r="DO99" s="93"/>
      <c r="DP99" s="93"/>
      <c r="DQ99" s="93"/>
      <c r="DR99" s="93"/>
      <c r="DS99" s="93"/>
      <c r="DT99" s="93"/>
      <c r="DU99" s="93"/>
      <c r="DV99" s="93"/>
      <c r="DW99" s="93"/>
      <c r="DX99" s="93"/>
      <c r="DY99" s="93"/>
      <c r="DZ99" s="93"/>
      <c r="EA99" s="93"/>
      <c r="EB99" s="93"/>
      <c r="EC99" s="93"/>
      <c r="ED99" s="93"/>
      <c r="EE99" s="93"/>
      <c r="EF99" s="93"/>
      <c r="EG99" s="93"/>
      <c r="EH99" s="93"/>
      <c r="EI99" s="93"/>
      <c r="EJ99" s="93"/>
      <c r="EK99" s="93"/>
      <c r="EL99" s="93"/>
      <c r="EM99" s="93"/>
      <c r="EN99" s="93"/>
      <c r="EO99" s="93"/>
      <c r="EP99" s="93"/>
      <c r="EQ99" s="93"/>
      <c r="ER99" s="93"/>
      <c r="ES99" s="93"/>
      <c r="ET99" s="93"/>
      <c r="EU99" s="93"/>
      <c r="EV99" s="93"/>
      <c r="EW99" s="93"/>
      <c r="EX99" s="93"/>
      <c r="EY99" s="93"/>
      <c r="EZ99" s="93"/>
      <c r="FA99" s="93"/>
      <c r="FB99" s="93"/>
      <c r="FC99" s="93"/>
      <c r="FD99" s="93"/>
      <c r="FE99" s="93"/>
      <c r="FF99" s="93"/>
      <c r="FG99" s="93"/>
      <c r="FH99" s="93"/>
      <c r="FI99" s="93"/>
      <c r="FJ99" s="93"/>
      <c r="FK99" s="93"/>
      <c r="FL99" s="93"/>
      <c r="FM99" s="93"/>
      <c r="FN99" s="93"/>
      <c r="FO99" s="93"/>
      <c r="FP99" s="93"/>
      <c r="FQ99" s="93"/>
      <c r="FR99" s="93"/>
      <c r="FS99" s="93"/>
      <c r="FT99" s="93"/>
      <c r="FU99" s="93"/>
      <c r="FV99" s="93"/>
      <c r="FW99" s="93"/>
      <c r="FX99" s="93"/>
      <c r="FY99" s="93"/>
      <c r="FZ99" s="93"/>
      <c r="GA99" s="93"/>
      <c r="GB99" s="93"/>
      <c r="GC99" s="93"/>
      <c r="GD99" s="93"/>
      <c r="GE99" s="93"/>
      <c r="GF99" s="93"/>
      <c r="GG99" s="93"/>
      <c r="GH99" s="93"/>
      <c r="GI99" s="93"/>
      <c r="GJ99" s="93"/>
      <c r="GK99" s="93"/>
      <c r="GL99" s="93"/>
      <c r="GM99" s="93"/>
      <c r="GN99" s="93"/>
      <c r="GO99" s="93"/>
      <c r="GP99" s="93"/>
      <c r="GQ99" s="93"/>
      <c r="GR99" s="93"/>
      <c r="GS99" s="93"/>
      <c r="GT99" s="93"/>
    </row>
    <row r="100" spans="1:202" s="28" customFormat="1" ht="21">
      <c r="A100" s="41" t="s">
        <v>36</v>
      </c>
      <c r="B100" s="44"/>
      <c r="C100" s="45">
        <f>-SUMIFS(C101:C108,$A$101:$A$108,"&lt;&gt;Прочие доходы")+SUMIFS(C101:C108,$A$101:$A$108,"Прочие доходы")</f>
        <v>0</v>
      </c>
      <c r="D100" s="45">
        <f t="shared" ref="D100:BO100" si="73">-SUMIFS(D101:D108,$A$101:$A$108,"&lt;&gt;Прочие доходы")+SUMIFS(D101:D108,$A$101:$A$108,"Прочие доходы")</f>
        <v>0</v>
      </c>
      <c r="E100" s="45">
        <f t="shared" si="73"/>
        <v>0</v>
      </c>
      <c r="F100" s="45">
        <f t="shared" si="73"/>
        <v>0</v>
      </c>
      <c r="G100" s="45">
        <f t="shared" si="73"/>
        <v>0</v>
      </c>
      <c r="H100" s="45">
        <f t="shared" si="73"/>
        <v>0</v>
      </c>
      <c r="I100" s="45">
        <f t="shared" si="73"/>
        <v>0</v>
      </c>
      <c r="J100" s="45">
        <f t="shared" si="73"/>
        <v>0</v>
      </c>
      <c r="K100" s="45">
        <f t="shared" si="73"/>
        <v>0</v>
      </c>
      <c r="L100" s="45">
        <f t="shared" si="73"/>
        <v>0</v>
      </c>
      <c r="M100" s="45">
        <f t="shared" si="73"/>
        <v>0</v>
      </c>
      <c r="N100" s="45">
        <f t="shared" si="73"/>
        <v>0</v>
      </c>
      <c r="O100" s="45">
        <f t="shared" si="73"/>
        <v>0</v>
      </c>
      <c r="P100" s="45">
        <f t="shared" si="73"/>
        <v>0</v>
      </c>
      <c r="Q100" s="45">
        <f t="shared" si="73"/>
        <v>0</v>
      </c>
      <c r="R100" s="45">
        <f t="shared" si="73"/>
        <v>0</v>
      </c>
      <c r="S100" s="45">
        <f t="shared" si="73"/>
        <v>0</v>
      </c>
      <c r="T100" s="45">
        <f t="shared" si="73"/>
        <v>0</v>
      </c>
      <c r="U100" s="45">
        <f t="shared" si="73"/>
        <v>0</v>
      </c>
      <c r="V100" s="45">
        <f t="shared" si="73"/>
        <v>0</v>
      </c>
      <c r="W100" s="45">
        <f t="shared" si="73"/>
        <v>0</v>
      </c>
      <c r="X100" s="45">
        <f t="shared" si="73"/>
        <v>0</v>
      </c>
      <c r="Y100" s="45">
        <f t="shared" si="73"/>
        <v>0</v>
      </c>
      <c r="Z100" s="45">
        <f t="shared" si="73"/>
        <v>0</v>
      </c>
      <c r="AA100" s="45">
        <f t="shared" si="73"/>
        <v>0</v>
      </c>
      <c r="AB100" s="45">
        <f>-SUMIFS(AB101:AB108,$A$101:$A$108,"&lt;&gt;Прочие доходы")+SUMIFS(AB101:AB108,$A$101:$A$108,"Прочие доходы")</f>
        <v>0</v>
      </c>
      <c r="AC100" s="45">
        <f t="shared" si="73"/>
        <v>0</v>
      </c>
      <c r="AD100" s="45">
        <f t="shared" si="73"/>
        <v>0</v>
      </c>
      <c r="AE100" s="45">
        <f t="shared" si="73"/>
        <v>0</v>
      </c>
      <c r="AF100" s="45">
        <f t="shared" si="73"/>
        <v>0</v>
      </c>
      <c r="AG100" s="45">
        <f t="shared" si="73"/>
        <v>0</v>
      </c>
      <c r="AH100" s="45">
        <f t="shared" si="73"/>
        <v>0</v>
      </c>
      <c r="AI100" s="45">
        <f t="shared" si="73"/>
        <v>0</v>
      </c>
      <c r="AJ100" s="45">
        <f>-SUMIFS(AJ101:AJ108,$A$101:$A$108,"&lt;&gt;Прочие доходы")+SUMIFS(AJ101:AJ108,$A$101:$A$108,"Прочие доходы")</f>
        <v>0</v>
      </c>
      <c r="AK100" s="45">
        <f t="shared" si="73"/>
        <v>0</v>
      </c>
      <c r="AL100" s="45">
        <f t="shared" si="73"/>
        <v>0</v>
      </c>
      <c r="AM100" s="45">
        <f t="shared" si="73"/>
        <v>0</v>
      </c>
      <c r="AN100" s="45">
        <f t="shared" si="73"/>
        <v>0</v>
      </c>
      <c r="AO100" s="45">
        <f t="shared" si="73"/>
        <v>0</v>
      </c>
      <c r="AP100" s="45">
        <f t="shared" si="73"/>
        <v>0</v>
      </c>
      <c r="AQ100" s="45">
        <f t="shared" si="73"/>
        <v>0</v>
      </c>
      <c r="AR100" s="45">
        <f t="shared" si="73"/>
        <v>0</v>
      </c>
      <c r="AS100" s="45">
        <f t="shared" si="73"/>
        <v>0</v>
      </c>
      <c r="AT100" s="45">
        <f t="shared" si="73"/>
        <v>0</v>
      </c>
      <c r="AU100" s="45">
        <f t="shared" si="73"/>
        <v>0</v>
      </c>
      <c r="AV100" s="45">
        <f t="shared" si="73"/>
        <v>0</v>
      </c>
      <c r="AW100" s="45">
        <f t="shared" si="73"/>
        <v>0</v>
      </c>
      <c r="AX100" s="45">
        <f t="shared" si="73"/>
        <v>0</v>
      </c>
      <c r="AY100" s="45">
        <f t="shared" si="73"/>
        <v>0</v>
      </c>
      <c r="AZ100" s="45">
        <f t="shared" si="73"/>
        <v>0</v>
      </c>
      <c r="BA100" s="45">
        <f t="shared" si="73"/>
        <v>0</v>
      </c>
      <c r="BB100" s="45">
        <f t="shared" si="73"/>
        <v>0</v>
      </c>
      <c r="BC100" s="45">
        <f t="shared" si="73"/>
        <v>0</v>
      </c>
      <c r="BD100" s="45">
        <f t="shared" si="73"/>
        <v>0</v>
      </c>
      <c r="BE100" s="45">
        <f t="shared" si="73"/>
        <v>0</v>
      </c>
      <c r="BF100" s="45">
        <f t="shared" si="73"/>
        <v>0</v>
      </c>
      <c r="BG100" s="45">
        <f t="shared" si="73"/>
        <v>0</v>
      </c>
      <c r="BH100" s="45">
        <f t="shared" si="73"/>
        <v>0</v>
      </c>
      <c r="BI100" s="45">
        <f t="shared" si="73"/>
        <v>0</v>
      </c>
      <c r="BJ100" s="45">
        <f t="shared" si="73"/>
        <v>0</v>
      </c>
      <c r="BK100" s="45">
        <f t="shared" si="73"/>
        <v>0</v>
      </c>
      <c r="BL100" s="45">
        <f t="shared" si="73"/>
        <v>0</v>
      </c>
      <c r="BM100" s="45">
        <f t="shared" si="73"/>
        <v>0</v>
      </c>
      <c r="BN100" s="45">
        <f t="shared" si="73"/>
        <v>0</v>
      </c>
      <c r="BO100" s="45">
        <f t="shared" si="73"/>
        <v>0</v>
      </c>
      <c r="BP100" s="45">
        <f t="shared" ref="BP100:EA100" si="74">-SUMIFS(BP101:BP108,$A$101:$A$108,"&lt;&gt;Прочие доходы")+SUMIFS(BP101:BP108,$A$101:$A$108,"Прочие доходы")</f>
        <v>0</v>
      </c>
      <c r="BQ100" s="45">
        <f t="shared" si="74"/>
        <v>0</v>
      </c>
      <c r="BR100" s="45">
        <f t="shared" si="74"/>
        <v>0</v>
      </c>
      <c r="BS100" s="45">
        <f t="shared" si="74"/>
        <v>0</v>
      </c>
      <c r="BT100" s="45">
        <f t="shared" si="74"/>
        <v>0</v>
      </c>
      <c r="BU100" s="45">
        <f t="shared" si="74"/>
        <v>0</v>
      </c>
      <c r="BV100" s="45">
        <f t="shared" si="74"/>
        <v>0</v>
      </c>
      <c r="BW100" s="45">
        <f t="shared" si="74"/>
        <v>0</v>
      </c>
      <c r="BX100" s="45">
        <f t="shared" si="74"/>
        <v>0</v>
      </c>
      <c r="BY100" s="45">
        <f t="shared" si="74"/>
        <v>0</v>
      </c>
      <c r="BZ100" s="45">
        <f t="shared" si="74"/>
        <v>0</v>
      </c>
      <c r="CA100" s="45">
        <f t="shared" si="74"/>
        <v>0</v>
      </c>
      <c r="CB100" s="45">
        <f t="shared" si="74"/>
        <v>0</v>
      </c>
      <c r="CC100" s="45">
        <f t="shared" si="74"/>
        <v>0</v>
      </c>
      <c r="CD100" s="45">
        <f t="shared" si="74"/>
        <v>0</v>
      </c>
      <c r="CE100" s="45">
        <f t="shared" si="74"/>
        <v>0</v>
      </c>
      <c r="CF100" s="45">
        <f t="shared" si="74"/>
        <v>0</v>
      </c>
      <c r="CG100" s="45">
        <f t="shared" si="74"/>
        <v>0</v>
      </c>
      <c r="CH100" s="45">
        <f t="shared" si="74"/>
        <v>0</v>
      </c>
      <c r="CI100" s="45">
        <f t="shared" si="74"/>
        <v>0</v>
      </c>
      <c r="CJ100" s="45">
        <f t="shared" si="74"/>
        <v>0</v>
      </c>
      <c r="CK100" s="45">
        <f t="shared" si="74"/>
        <v>0</v>
      </c>
      <c r="CL100" s="45">
        <f t="shared" si="74"/>
        <v>0</v>
      </c>
      <c r="CM100" s="45">
        <f t="shared" si="74"/>
        <v>0</v>
      </c>
      <c r="CN100" s="45">
        <f t="shared" si="74"/>
        <v>0</v>
      </c>
      <c r="CO100" s="45">
        <f t="shared" si="74"/>
        <v>0</v>
      </c>
      <c r="CP100" s="45">
        <f t="shared" si="74"/>
        <v>0</v>
      </c>
      <c r="CQ100" s="45">
        <f t="shared" si="74"/>
        <v>0</v>
      </c>
      <c r="CR100" s="45">
        <f t="shared" si="74"/>
        <v>0</v>
      </c>
      <c r="CS100" s="45">
        <f t="shared" si="74"/>
        <v>0</v>
      </c>
      <c r="CT100" s="45">
        <f t="shared" si="74"/>
        <v>0</v>
      </c>
      <c r="CU100" s="45">
        <f t="shared" si="74"/>
        <v>0</v>
      </c>
      <c r="CV100" s="45">
        <f t="shared" si="74"/>
        <v>0</v>
      </c>
      <c r="CW100" s="45">
        <f t="shared" si="74"/>
        <v>0</v>
      </c>
      <c r="CX100" s="45">
        <f t="shared" si="74"/>
        <v>0</v>
      </c>
      <c r="CY100" s="45">
        <f t="shared" si="74"/>
        <v>0</v>
      </c>
      <c r="CZ100" s="45">
        <f t="shared" si="74"/>
        <v>0</v>
      </c>
      <c r="DA100" s="45">
        <f t="shared" si="74"/>
        <v>0</v>
      </c>
      <c r="DB100" s="45">
        <f t="shared" si="74"/>
        <v>0</v>
      </c>
      <c r="DC100" s="45">
        <f t="shared" si="74"/>
        <v>0</v>
      </c>
      <c r="DD100" s="45">
        <f t="shared" si="74"/>
        <v>0</v>
      </c>
      <c r="DE100" s="45">
        <f t="shared" si="74"/>
        <v>0</v>
      </c>
      <c r="DF100" s="45">
        <f t="shared" si="74"/>
        <v>0</v>
      </c>
      <c r="DG100" s="45">
        <f t="shared" si="74"/>
        <v>0</v>
      </c>
      <c r="DH100" s="45">
        <f t="shared" si="74"/>
        <v>0</v>
      </c>
      <c r="DI100" s="45">
        <f t="shared" si="74"/>
        <v>0</v>
      </c>
      <c r="DJ100" s="45">
        <f t="shared" si="74"/>
        <v>0</v>
      </c>
      <c r="DK100" s="45">
        <f t="shared" si="74"/>
        <v>0</v>
      </c>
      <c r="DL100" s="45">
        <f t="shared" si="74"/>
        <v>0</v>
      </c>
      <c r="DM100" s="45">
        <f t="shared" si="74"/>
        <v>0</v>
      </c>
      <c r="DN100" s="45">
        <f t="shared" si="74"/>
        <v>0</v>
      </c>
      <c r="DO100" s="45">
        <f t="shared" si="74"/>
        <v>0</v>
      </c>
      <c r="DP100" s="45">
        <f t="shared" si="74"/>
        <v>0</v>
      </c>
      <c r="DQ100" s="45">
        <f t="shared" si="74"/>
        <v>0</v>
      </c>
      <c r="DR100" s="45">
        <f t="shared" si="74"/>
        <v>0</v>
      </c>
      <c r="DS100" s="45">
        <f t="shared" si="74"/>
        <v>0</v>
      </c>
      <c r="DT100" s="45">
        <f t="shared" si="74"/>
        <v>0</v>
      </c>
      <c r="DU100" s="45">
        <f t="shared" si="74"/>
        <v>0</v>
      </c>
      <c r="DV100" s="45">
        <f t="shared" si="74"/>
        <v>0</v>
      </c>
      <c r="DW100" s="45">
        <f t="shared" si="74"/>
        <v>0</v>
      </c>
      <c r="DX100" s="45">
        <f t="shared" si="74"/>
        <v>0</v>
      </c>
      <c r="DY100" s="45">
        <f t="shared" si="74"/>
        <v>0</v>
      </c>
      <c r="DZ100" s="45">
        <f t="shared" si="74"/>
        <v>0</v>
      </c>
      <c r="EA100" s="45">
        <f t="shared" si="74"/>
        <v>0</v>
      </c>
      <c r="EB100" s="45">
        <f t="shared" ref="EB100:GM100" si="75">-SUMIFS(EB101:EB108,$A$101:$A$108,"&lt;&gt;Прочие доходы")+SUMIFS(EB101:EB108,$A$101:$A$108,"Прочие доходы")</f>
        <v>0</v>
      </c>
      <c r="EC100" s="45">
        <f t="shared" si="75"/>
        <v>0</v>
      </c>
      <c r="ED100" s="45">
        <f t="shared" si="75"/>
        <v>0</v>
      </c>
      <c r="EE100" s="45">
        <f t="shared" si="75"/>
        <v>0</v>
      </c>
      <c r="EF100" s="45">
        <f t="shared" si="75"/>
        <v>0</v>
      </c>
      <c r="EG100" s="45">
        <f t="shared" si="75"/>
        <v>0</v>
      </c>
      <c r="EH100" s="45">
        <f t="shared" si="75"/>
        <v>0</v>
      </c>
      <c r="EI100" s="45">
        <f t="shared" si="75"/>
        <v>0</v>
      </c>
      <c r="EJ100" s="45">
        <f t="shared" si="75"/>
        <v>0</v>
      </c>
      <c r="EK100" s="45">
        <f t="shared" si="75"/>
        <v>0</v>
      </c>
      <c r="EL100" s="45">
        <f t="shared" si="75"/>
        <v>0</v>
      </c>
      <c r="EM100" s="45">
        <f t="shared" si="75"/>
        <v>0</v>
      </c>
      <c r="EN100" s="45">
        <f t="shared" si="75"/>
        <v>0</v>
      </c>
      <c r="EO100" s="45">
        <f t="shared" si="75"/>
        <v>0</v>
      </c>
      <c r="EP100" s="45">
        <f t="shared" si="75"/>
        <v>0</v>
      </c>
      <c r="EQ100" s="45">
        <f t="shared" si="75"/>
        <v>0</v>
      </c>
      <c r="ER100" s="45">
        <f t="shared" si="75"/>
        <v>0</v>
      </c>
      <c r="ES100" s="45">
        <f t="shared" si="75"/>
        <v>0</v>
      </c>
      <c r="ET100" s="45">
        <f t="shared" si="75"/>
        <v>0</v>
      </c>
      <c r="EU100" s="45">
        <f t="shared" si="75"/>
        <v>0</v>
      </c>
      <c r="EV100" s="45">
        <f t="shared" si="75"/>
        <v>0</v>
      </c>
      <c r="EW100" s="45">
        <f t="shared" si="75"/>
        <v>0</v>
      </c>
      <c r="EX100" s="45">
        <f t="shared" si="75"/>
        <v>0</v>
      </c>
      <c r="EY100" s="45">
        <f t="shared" si="75"/>
        <v>0</v>
      </c>
      <c r="EZ100" s="45">
        <f t="shared" si="75"/>
        <v>0</v>
      </c>
      <c r="FA100" s="45">
        <f t="shared" si="75"/>
        <v>0</v>
      </c>
      <c r="FB100" s="45">
        <f t="shared" si="75"/>
        <v>0</v>
      </c>
      <c r="FC100" s="45">
        <f t="shared" si="75"/>
        <v>0</v>
      </c>
      <c r="FD100" s="45">
        <f t="shared" si="75"/>
        <v>0</v>
      </c>
      <c r="FE100" s="45">
        <f t="shared" si="75"/>
        <v>0</v>
      </c>
      <c r="FF100" s="45">
        <f t="shared" si="75"/>
        <v>0</v>
      </c>
      <c r="FG100" s="45">
        <f t="shared" si="75"/>
        <v>0</v>
      </c>
      <c r="FH100" s="45">
        <f t="shared" si="75"/>
        <v>0</v>
      </c>
      <c r="FI100" s="45">
        <f t="shared" si="75"/>
        <v>0</v>
      </c>
      <c r="FJ100" s="45">
        <f t="shared" si="75"/>
        <v>0</v>
      </c>
      <c r="FK100" s="45">
        <f t="shared" si="75"/>
        <v>0</v>
      </c>
      <c r="FL100" s="45">
        <f t="shared" si="75"/>
        <v>0</v>
      </c>
      <c r="FM100" s="45">
        <f t="shared" si="75"/>
        <v>0</v>
      </c>
      <c r="FN100" s="45">
        <f t="shared" si="75"/>
        <v>0</v>
      </c>
      <c r="FO100" s="45">
        <f t="shared" si="75"/>
        <v>0</v>
      </c>
      <c r="FP100" s="45">
        <f t="shared" si="75"/>
        <v>0</v>
      </c>
      <c r="FQ100" s="45">
        <f t="shared" si="75"/>
        <v>0</v>
      </c>
      <c r="FR100" s="45">
        <f t="shared" si="75"/>
        <v>0</v>
      </c>
      <c r="FS100" s="45">
        <f t="shared" si="75"/>
        <v>0</v>
      </c>
      <c r="FT100" s="45">
        <f t="shared" si="75"/>
        <v>0</v>
      </c>
      <c r="FU100" s="45">
        <f t="shared" si="75"/>
        <v>0</v>
      </c>
      <c r="FV100" s="45">
        <f t="shared" si="75"/>
        <v>0</v>
      </c>
      <c r="FW100" s="45">
        <f t="shared" si="75"/>
        <v>0</v>
      </c>
      <c r="FX100" s="45">
        <f t="shared" si="75"/>
        <v>0</v>
      </c>
      <c r="FY100" s="45">
        <f t="shared" si="75"/>
        <v>0</v>
      </c>
      <c r="FZ100" s="45">
        <f t="shared" si="75"/>
        <v>0</v>
      </c>
      <c r="GA100" s="45">
        <f t="shared" si="75"/>
        <v>0</v>
      </c>
      <c r="GB100" s="45">
        <f t="shared" si="75"/>
        <v>0</v>
      </c>
      <c r="GC100" s="45">
        <f t="shared" si="75"/>
        <v>0</v>
      </c>
      <c r="GD100" s="45">
        <f t="shared" si="75"/>
        <v>0</v>
      </c>
      <c r="GE100" s="45">
        <f t="shared" si="75"/>
        <v>0</v>
      </c>
      <c r="GF100" s="45">
        <f t="shared" si="75"/>
        <v>0</v>
      </c>
      <c r="GG100" s="45">
        <f t="shared" si="75"/>
        <v>0</v>
      </c>
      <c r="GH100" s="45">
        <f t="shared" si="75"/>
        <v>0</v>
      </c>
      <c r="GI100" s="45">
        <f t="shared" si="75"/>
        <v>0</v>
      </c>
      <c r="GJ100" s="45">
        <f t="shared" si="75"/>
        <v>0</v>
      </c>
      <c r="GK100" s="45">
        <f t="shared" si="75"/>
        <v>0</v>
      </c>
      <c r="GL100" s="45">
        <f t="shared" si="75"/>
        <v>0</v>
      </c>
      <c r="GM100" s="45">
        <f t="shared" si="75"/>
        <v>0</v>
      </c>
      <c r="GN100" s="45">
        <f t="shared" ref="GN100:GT100" si="76">-SUMIFS(GN101:GN108,$A$101:$A$108,"&lt;&gt;Прочие доходы")+SUMIFS(GN101:GN108,$A$101:$A$108,"Прочие доходы")</f>
        <v>0</v>
      </c>
      <c r="GO100" s="45">
        <f t="shared" si="76"/>
        <v>0</v>
      </c>
      <c r="GP100" s="45">
        <f t="shared" si="76"/>
        <v>0</v>
      </c>
      <c r="GQ100" s="45">
        <f t="shared" si="76"/>
        <v>0</v>
      </c>
      <c r="GR100" s="45">
        <f t="shared" si="76"/>
        <v>0</v>
      </c>
      <c r="GS100" s="45">
        <f t="shared" si="76"/>
        <v>0</v>
      </c>
      <c r="GT100" s="45">
        <f t="shared" si="76"/>
        <v>0</v>
      </c>
    </row>
    <row r="101" spans="1:202" ht="16.5" customHeight="1">
      <c r="A101" s="96" t="s">
        <v>122</v>
      </c>
      <c r="B101" s="92"/>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c r="CV101" s="93"/>
      <c r="CW101" s="93"/>
      <c r="CX101" s="93"/>
      <c r="CY101" s="93"/>
      <c r="CZ101" s="93"/>
      <c r="DA101" s="93"/>
      <c r="DB101" s="93"/>
      <c r="DC101" s="93"/>
      <c r="DD101" s="93"/>
      <c r="DE101" s="93"/>
      <c r="DF101" s="93"/>
      <c r="DG101" s="93"/>
      <c r="DH101" s="93"/>
      <c r="DI101" s="93"/>
      <c r="DJ101" s="93"/>
      <c r="DK101" s="93"/>
      <c r="DL101" s="93"/>
      <c r="DM101" s="93"/>
      <c r="DN101" s="93"/>
      <c r="DO101" s="93"/>
      <c r="DP101" s="93"/>
      <c r="DQ101" s="93"/>
      <c r="DR101" s="93"/>
      <c r="DS101" s="93"/>
      <c r="DT101" s="93"/>
      <c r="DU101" s="93"/>
      <c r="DV101" s="93"/>
      <c r="DW101" s="93"/>
      <c r="DX101" s="93"/>
      <c r="DY101" s="93"/>
      <c r="DZ101" s="93"/>
      <c r="EA101" s="93"/>
      <c r="EB101" s="93"/>
      <c r="EC101" s="93"/>
      <c r="ED101" s="93"/>
      <c r="EE101" s="93"/>
      <c r="EF101" s="93"/>
      <c r="EG101" s="93"/>
      <c r="EH101" s="93"/>
      <c r="EI101" s="93"/>
      <c r="EJ101" s="93"/>
      <c r="EK101" s="93"/>
      <c r="EL101" s="93"/>
      <c r="EM101" s="93"/>
      <c r="EN101" s="93"/>
      <c r="EO101" s="93"/>
      <c r="EP101" s="93"/>
      <c r="EQ101" s="93"/>
      <c r="ER101" s="93"/>
      <c r="ES101" s="93"/>
      <c r="ET101" s="93"/>
      <c r="EU101" s="93"/>
      <c r="EV101" s="93"/>
      <c r="EW101" s="93"/>
      <c r="EX101" s="93"/>
      <c r="EY101" s="93"/>
      <c r="EZ101" s="93"/>
      <c r="FA101" s="93"/>
      <c r="FB101" s="93"/>
      <c r="FC101" s="93"/>
      <c r="FD101" s="93"/>
      <c r="FE101" s="93"/>
      <c r="FF101" s="93"/>
      <c r="FG101" s="93"/>
      <c r="FH101" s="93"/>
      <c r="FI101" s="93"/>
      <c r="FJ101" s="93"/>
      <c r="FK101" s="93"/>
      <c r="FL101" s="93"/>
      <c r="FM101" s="93"/>
      <c r="FN101" s="93"/>
      <c r="FO101" s="93"/>
      <c r="FP101" s="93"/>
      <c r="FQ101" s="93"/>
      <c r="FR101" s="93"/>
      <c r="FS101" s="93"/>
      <c r="FT101" s="93"/>
      <c r="FU101" s="93"/>
      <c r="FV101" s="93"/>
      <c r="FW101" s="93"/>
      <c r="FX101" s="93"/>
      <c r="FY101" s="93"/>
      <c r="FZ101" s="93"/>
      <c r="GA101" s="93"/>
      <c r="GB101" s="93"/>
      <c r="GC101" s="93"/>
      <c r="GD101" s="93"/>
      <c r="GE101" s="93"/>
      <c r="GF101" s="93"/>
      <c r="GG101" s="93"/>
      <c r="GH101" s="93"/>
      <c r="GI101" s="93"/>
      <c r="GJ101" s="93"/>
      <c r="GK101" s="93"/>
      <c r="GL101" s="93"/>
      <c r="GM101" s="93"/>
      <c r="GN101" s="93"/>
      <c r="GO101" s="93"/>
      <c r="GP101" s="93"/>
      <c r="GQ101" s="93"/>
      <c r="GR101" s="93"/>
      <c r="GS101" s="93"/>
      <c r="GT101" s="93"/>
    </row>
    <row r="102" spans="1:202" ht="16.5" customHeight="1">
      <c r="A102" s="96" t="s">
        <v>123</v>
      </c>
      <c r="B102" s="92"/>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c r="BO102" s="93"/>
      <c r="BP102" s="93"/>
      <c r="BQ102" s="93"/>
      <c r="BR102" s="93"/>
      <c r="BS102" s="93"/>
      <c r="BT102" s="93"/>
      <c r="BU102" s="93"/>
      <c r="BV102" s="93"/>
      <c r="BW102" s="93"/>
      <c r="BX102" s="93"/>
      <c r="BY102" s="93"/>
      <c r="BZ102" s="93"/>
      <c r="CA102" s="93"/>
      <c r="CB102" s="93"/>
      <c r="CC102" s="93"/>
      <c r="CD102" s="93"/>
      <c r="CE102" s="93"/>
      <c r="CF102" s="93"/>
      <c r="CG102" s="93"/>
      <c r="CH102" s="93"/>
      <c r="CI102" s="93"/>
      <c r="CJ102" s="93"/>
      <c r="CK102" s="93"/>
      <c r="CL102" s="93"/>
      <c r="CM102" s="93"/>
      <c r="CN102" s="93"/>
      <c r="CO102" s="93"/>
      <c r="CP102" s="93"/>
      <c r="CQ102" s="93"/>
      <c r="CR102" s="93"/>
      <c r="CS102" s="93"/>
      <c r="CT102" s="93"/>
      <c r="CU102" s="93"/>
      <c r="CV102" s="93"/>
      <c r="CW102" s="93"/>
      <c r="CX102" s="93"/>
      <c r="CY102" s="93"/>
      <c r="CZ102" s="93"/>
      <c r="DA102" s="93"/>
      <c r="DB102" s="93"/>
      <c r="DC102" s="93"/>
      <c r="DD102" s="93"/>
      <c r="DE102" s="93"/>
      <c r="DF102" s="93"/>
      <c r="DG102" s="93"/>
      <c r="DH102" s="93"/>
      <c r="DI102" s="93"/>
      <c r="DJ102" s="93"/>
      <c r="DK102" s="93"/>
      <c r="DL102" s="93"/>
      <c r="DM102" s="93"/>
      <c r="DN102" s="93"/>
      <c r="DO102" s="93"/>
      <c r="DP102" s="93"/>
      <c r="DQ102" s="93"/>
      <c r="DR102" s="93"/>
      <c r="DS102" s="93"/>
      <c r="DT102" s="93"/>
      <c r="DU102" s="93"/>
      <c r="DV102" s="93"/>
      <c r="DW102" s="93"/>
      <c r="DX102" s="93"/>
      <c r="DY102" s="93"/>
      <c r="DZ102" s="93"/>
      <c r="EA102" s="93"/>
      <c r="EB102" s="93"/>
      <c r="EC102" s="93"/>
      <c r="ED102" s="93"/>
      <c r="EE102" s="93"/>
      <c r="EF102" s="93"/>
      <c r="EG102" s="93"/>
      <c r="EH102" s="93"/>
      <c r="EI102" s="93"/>
      <c r="EJ102" s="93"/>
      <c r="EK102" s="93"/>
      <c r="EL102" s="93"/>
      <c r="EM102" s="93"/>
      <c r="EN102" s="93"/>
      <c r="EO102" s="93"/>
      <c r="EP102" s="93"/>
      <c r="EQ102" s="93"/>
      <c r="ER102" s="93"/>
      <c r="ES102" s="93"/>
      <c r="ET102" s="93"/>
      <c r="EU102" s="93"/>
      <c r="EV102" s="93"/>
      <c r="EW102" s="93"/>
      <c r="EX102" s="93"/>
      <c r="EY102" s="93"/>
      <c r="EZ102" s="93"/>
      <c r="FA102" s="93"/>
      <c r="FB102" s="93"/>
      <c r="FC102" s="93"/>
      <c r="FD102" s="93"/>
      <c r="FE102" s="93"/>
      <c r="FF102" s="93"/>
      <c r="FG102" s="93"/>
      <c r="FH102" s="93"/>
      <c r="FI102" s="93"/>
      <c r="FJ102" s="93"/>
      <c r="FK102" s="93"/>
      <c r="FL102" s="93"/>
      <c r="FM102" s="93"/>
      <c r="FN102" s="93"/>
      <c r="FO102" s="93"/>
      <c r="FP102" s="93"/>
      <c r="FQ102" s="93"/>
      <c r="FR102" s="93"/>
      <c r="FS102" s="93"/>
      <c r="FT102" s="93"/>
      <c r="FU102" s="93"/>
      <c r="FV102" s="93"/>
      <c r="FW102" s="93"/>
      <c r="FX102" s="93"/>
      <c r="FY102" s="93"/>
      <c r="FZ102" s="93"/>
      <c r="GA102" s="93"/>
      <c r="GB102" s="93"/>
      <c r="GC102" s="93"/>
      <c r="GD102" s="93"/>
      <c r="GE102" s="93"/>
      <c r="GF102" s="93"/>
      <c r="GG102" s="93"/>
      <c r="GH102" s="93"/>
      <c r="GI102" s="93"/>
      <c r="GJ102" s="93"/>
      <c r="GK102" s="93"/>
      <c r="GL102" s="93"/>
      <c r="GM102" s="93"/>
      <c r="GN102" s="93"/>
      <c r="GO102" s="93"/>
      <c r="GP102" s="93"/>
      <c r="GQ102" s="93"/>
      <c r="GR102" s="93"/>
      <c r="GS102" s="93"/>
      <c r="GT102" s="93"/>
    </row>
    <row r="103" spans="1:202" ht="16.5" customHeight="1">
      <c r="A103" s="97" t="s">
        <v>117</v>
      </c>
      <c r="B103" s="92"/>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c r="BL103" s="93"/>
      <c r="BM103" s="93"/>
      <c r="BN103" s="93"/>
      <c r="BO103" s="93"/>
      <c r="BP103" s="93"/>
      <c r="BQ103" s="93"/>
      <c r="BR103" s="93"/>
      <c r="BS103" s="93"/>
      <c r="BT103" s="93"/>
      <c r="BU103" s="93"/>
      <c r="BV103" s="93"/>
      <c r="BW103" s="93"/>
      <c r="BX103" s="93"/>
      <c r="BY103" s="93"/>
      <c r="BZ103" s="93"/>
      <c r="CA103" s="93"/>
      <c r="CB103" s="93"/>
      <c r="CC103" s="93"/>
      <c r="CD103" s="93"/>
      <c r="CE103" s="93"/>
      <c r="CF103" s="93"/>
      <c r="CG103" s="93"/>
      <c r="CH103" s="93"/>
      <c r="CI103" s="93"/>
      <c r="CJ103" s="93"/>
      <c r="CK103" s="93"/>
      <c r="CL103" s="93"/>
      <c r="CM103" s="93"/>
      <c r="CN103" s="93"/>
      <c r="CO103" s="93"/>
      <c r="CP103" s="93"/>
      <c r="CQ103" s="93"/>
      <c r="CR103" s="93"/>
      <c r="CS103" s="93"/>
      <c r="CT103" s="93"/>
      <c r="CU103" s="93"/>
      <c r="CV103" s="93"/>
      <c r="CW103" s="93"/>
      <c r="CX103" s="93"/>
      <c r="CY103" s="93"/>
      <c r="CZ103" s="93"/>
      <c r="DA103" s="93"/>
      <c r="DB103" s="93"/>
      <c r="DC103" s="93"/>
      <c r="DD103" s="93"/>
      <c r="DE103" s="93"/>
      <c r="DF103" s="93"/>
      <c r="DG103" s="93"/>
      <c r="DH103" s="93"/>
      <c r="DI103" s="93"/>
      <c r="DJ103" s="93"/>
      <c r="DK103" s="93"/>
      <c r="DL103" s="93"/>
      <c r="DM103" s="93"/>
      <c r="DN103" s="93"/>
      <c r="DO103" s="93"/>
      <c r="DP103" s="93"/>
      <c r="DQ103" s="93"/>
      <c r="DR103" s="93"/>
      <c r="DS103" s="93"/>
      <c r="DT103" s="93"/>
      <c r="DU103" s="93"/>
      <c r="DV103" s="93"/>
      <c r="DW103" s="93"/>
      <c r="DX103" s="93"/>
      <c r="DY103" s="93"/>
      <c r="DZ103" s="93"/>
      <c r="EA103" s="93"/>
      <c r="EB103" s="93"/>
      <c r="EC103" s="93"/>
      <c r="ED103" s="93"/>
      <c r="EE103" s="93"/>
      <c r="EF103" s="93"/>
      <c r="EG103" s="93"/>
      <c r="EH103" s="93"/>
      <c r="EI103" s="93"/>
      <c r="EJ103" s="93"/>
      <c r="EK103" s="93"/>
      <c r="EL103" s="93"/>
      <c r="EM103" s="93"/>
      <c r="EN103" s="93"/>
      <c r="EO103" s="93"/>
      <c r="EP103" s="93"/>
      <c r="EQ103" s="93"/>
      <c r="ER103" s="93"/>
      <c r="ES103" s="93"/>
      <c r="ET103" s="93"/>
      <c r="EU103" s="93"/>
      <c r="EV103" s="93"/>
      <c r="EW103" s="93"/>
      <c r="EX103" s="93"/>
      <c r="EY103" s="93"/>
      <c r="EZ103" s="93"/>
      <c r="FA103" s="93"/>
      <c r="FB103" s="93"/>
      <c r="FC103" s="93"/>
      <c r="FD103" s="93"/>
      <c r="FE103" s="93"/>
      <c r="FF103" s="93"/>
      <c r="FG103" s="93"/>
      <c r="FH103" s="93"/>
      <c r="FI103" s="93"/>
      <c r="FJ103" s="93"/>
      <c r="FK103" s="93"/>
      <c r="FL103" s="93"/>
      <c r="FM103" s="93"/>
      <c r="FN103" s="93"/>
      <c r="FO103" s="93"/>
      <c r="FP103" s="93"/>
      <c r="FQ103" s="93"/>
      <c r="FR103" s="93"/>
      <c r="FS103" s="93"/>
      <c r="FT103" s="93"/>
      <c r="FU103" s="93"/>
      <c r="FV103" s="93"/>
      <c r="FW103" s="93"/>
      <c r="FX103" s="93"/>
      <c r="FY103" s="93"/>
      <c r="FZ103" s="93"/>
      <c r="GA103" s="93"/>
      <c r="GB103" s="93"/>
      <c r="GC103" s="93"/>
      <c r="GD103" s="93"/>
      <c r="GE103" s="93"/>
      <c r="GF103" s="93"/>
      <c r="GG103" s="93"/>
      <c r="GH103" s="93"/>
      <c r="GI103" s="93"/>
      <c r="GJ103" s="93"/>
      <c r="GK103" s="93"/>
      <c r="GL103" s="93"/>
      <c r="GM103" s="93"/>
      <c r="GN103" s="93"/>
      <c r="GO103" s="93"/>
      <c r="GP103" s="93"/>
      <c r="GQ103" s="93"/>
      <c r="GR103" s="93"/>
      <c r="GS103" s="93"/>
      <c r="GT103" s="93"/>
    </row>
    <row r="104" spans="1:202" ht="16.5" customHeight="1">
      <c r="A104" s="96" t="s">
        <v>147</v>
      </c>
      <c r="B104" s="92"/>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c r="BL104" s="93"/>
      <c r="BM104" s="93"/>
      <c r="BN104" s="93"/>
      <c r="BO104" s="93"/>
      <c r="BP104" s="93"/>
      <c r="BQ104" s="93"/>
      <c r="BR104" s="93"/>
      <c r="BS104" s="93"/>
      <c r="BT104" s="93"/>
      <c r="BU104" s="93"/>
      <c r="BV104" s="93"/>
      <c r="BW104" s="93"/>
      <c r="BX104" s="93"/>
      <c r="BY104" s="93"/>
      <c r="BZ104" s="93"/>
      <c r="CA104" s="93"/>
      <c r="CB104" s="93"/>
      <c r="CC104" s="93"/>
      <c r="CD104" s="93"/>
      <c r="CE104" s="93"/>
      <c r="CF104" s="93"/>
      <c r="CG104" s="93"/>
      <c r="CH104" s="93"/>
      <c r="CI104" s="93"/>
      <c r="CJ104" s="93"/>
      <c r="CK104" s="93"/>
      <c r="CL104" s="93"/>
      <c r="CM104" s="93"/>
      <c r="CN104" s="93"/>
      <c r="CO104" s="93"/>
      <c r="CP104" s="93"/>
      <c r="CQ104" s="93"/>
      <c r="CR104" s="93"/>
      <c r="CS104" s="93"/>
      <c r="CT104" s="93"/>
      <c r="CU104" s="93"/>
      <c r="CV104" s="93"/>
      <c r="CW104" s="93"/>
      <c r="CX104" s="93"/>
      <c r="CY104" s="93"/>
      <c r="CZ104" s="93"/>
      <c r="DA104" s="93"/>
      <c r="DB104" s="93"/>
      <c r="DC104" s="93"/>
      <c r="DD104" s="93"/>
      <c r="DE104" s="93"/>
      <c r="DF104" s="93"/>
      <c r="DG104" s="93"/>
      <c r="DH104" s="93"/>
      <c r="DI104" s="93"/>
      <c r="DJ104" s="93"/>
      <c r="DK104" s="93"/>
      <c r="DL104" s="93"/>
      <c r="DM104" s="93"/>
      <c r="DN104" s="93"/>
      <c r="DO104" s="93"/>
      <c r="DP104" s="93"/>
      <c r="DQ104" s="93"/>
      <c r="DR104" s="93"/>
      <c r="DS104" s="93"/>
      <c r="DT104" s="93"/>
      <c r="DU104" s="93"/>
      <c r="DV104" s="93"/>
      <c r="DW104" s="93"/>
      <c r="DX104" s="93"/>
      <c r="DY104" s="93"/>
      <c r="DZ104" s="93"/>
      <c r="EA104" s="93"/>
      <c r="EB104" s="93"/>
      <c r="EC104" s="93"/>
      <c r="ED104" s="93"/>
      <c r="EE104" s="93"/>
      <c r="EF104" s="93"/>
      <c r="EG104" s="93"/>
      <c r="EH104" s="93"/>
      <c r="EI104" s="93"/>
      <c r="EJ104" s="93"/>
      <c r="EK104" s="93"/>
      <c r="EL104" s="93"/>
      <c r="EM104" s="93"/>
      <c r="EN104" s="93"/>
      <c r="EO104" s="93"/>
      <c r="EP104" s="93"/>
      <c r="EQ104" s="93"/>
      <c r="ER104" s="93"/>
      <c r="ES104" s="93"/>
      <c r="ET104" s="93"/>
      <c r="EU104" s="93"/>
      <c r="EV104" s="93"/>
      <c r="EW104" s="93"/>
      <c r="EX104" s="93"/>
      <c r="EY104" s="93"/>
      <c r="EZ104" s="93"/>
      <c r="FA104" s="93"/>
      <c r="FB104" s="93"/>
      <c r="FC104" s="93"/>
      <c r="FD104" s="93"/>
      <c r="FE104" s="93"/>
      <c r="FF104" s="93"/>
      <c r="FG104" s="93"/>
      <c r="FH104" s="93"/>
      <c r="FI104" s="93"/>
      <c r="FJ104" s="93"/>
      <c r="FK104" s="93"/>
      <c r="FL104" s="93"/>
      <c r="FM104" s="93"/>
      <c r="FN104" s="93"/>
      <c r="FO104" s="93"/>
      <c r="FP104" s="93"/>
      <c r="FQ104" s="93"/>
      <c r="FR104" s="93"/>
      <c r="FS104" s="93"/>
      <c r="FT104" s="93"/>
      <c r="FU104" s="93"/>
      <c r="FV104" s="93"/>
      <c r="FW104" s="93"/>
      <c r="FX104" s="93"/>
      <c r="FY104" s="93"/>
      <c r="FZ104" s="93"/>
      <c r="GA104" s="93"/>
      <c r="GB104" s="93"/>
      <c r="GC104" s="93"/>
      <c r="GD104" s="93"/>
      <c r="GE104" s="93"/>
      <c r="GF104" s="93"/>
      <c r="GG104" s="93"/>
      <c r="GH104" s="93"/>
      <c r="GI104" s="93"/>
      <c r="GJ104" s="93"/>
      <c r="GK104" s="93"/>
      <c r="GL104" s="93"/>
      <c r="GM104" s="93"/>
      <c r="GN104" s="93"/>
      <c r="GO104" s="93"/>
      <c r="GP104" s="93"/>
      <c r="GQ104" s="93"/>
      <c r="GR104" s="93"/>
      <c r="GS104" s="93"/>
      <c r="GT104" s="93"/>
    </row>
    <row r="105" spans="1:202" ht="16.5" customHeight="1">
      <c r="A105" s="96" t="s">
        <v>12</v>
      </c>
      <c r="B105" s="92"/>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93"/>
      <c r="CL105" s="93"/>
      <c r="CM105" s="93"/>
      <c r="CN105" s="93"/>
      <c r="CO105" s="93"/>
      <c r="CP105" s="93"/>
      <c r="CQ105" s="93"/>
      <c r="CR105" s="93"/>
      <c r="CS105" s="93"/>
      <c r="CT105" s="93"/>
      <c r="CU105" s="93"/>
      <c r="CV105" s="93"/>
      <c r="CW105" s="93"/>
      <c r="CX105" s="93"/>
      <c r="CY105" s="93"/>
      <c r="CZ105" s="93"/>
      <c r="DA105" s="93"/>
      <c r="DB105" s="93"/>
      <c r="DC105" s="93"/>
      <c r="DD105" s="93"/>
      <c r="DE105" s="93"/>
      <c r="DF105" s="93"/>
      <c r="DG105" s="93"/>
      <c r="DH105" s="93"/>
      <c r="DI105" s="93"/>
      <c r="DJ105" s="93"/>
      <c r="DK105" s="93"/>
      <c r="DL105" s="93"/>
      <c r="DM105" s="93"/>
      <c r="DN105" s="93"/>
      <c r="DO105" s="93"/>
      <c r="DP105" s="93"/>
      <c r="DQ105" s="93"/>
      <c r="DR105" s="93"/>
      <c r="DS105" s="93"/>
      <c r="DT105" s="93"/>
      <c r="DU105" s="93"/>
      <c r="DV105" s="93"/>
      <c r="DW105" s="93"/>
      <c r="DX105" s="93"/>
      <c r="DY105" s="93"/>
      <c r="DZ105" s="93"/>
      <c r="EA105" s="93"/>
      <c r="EB105" s="93"/>
      <c r="EC105" s="93"/>
      <c r="ED105" s="93"/>
      <c r="EE105" s="93"/>
      <c r="EF105" s="93"/>
      <c r="EG105" s="93"/>
      <c r="EH105" s="93"/>
      <c r="EI105" s="93"/>
      <c r="EJ105" s="93"/>
      <c r="EK105" s="93"/>
      <c r="EL105" s="93"/>
      <c r="EM105" s="93"/>
      <c r="EN105" s="93"/>
      <c r="EO105" s="93"/>
      <c r="EP105" s="93"/>
      <c r="EQ105" s="93"/>
      <c r="ER105" s="93"/>
      <c r="ES105" s="93"/>
      <c r="ET105" s="93"/>
      <c r="EU105" s="93"/>
      <c r="EV105" s="93"/>
      <c r="EW105" s="93"/>
      <c r="EX105" s="93"/>
      <c r="EY105" s="93"/>
      <c r="EZ105" s="93"/>
      <c r="FA105" s="93"/>
      <c r="FB105" s="93"/>
      <c r="FC105" s="93"/>
      <c r="FD105" s="93"/>
      <c r="FE105" s="93"/>
      <c r="FF105" s="93"/>
      <c r="FG105" s="93"/>
      <c r="FH105" s="93"/>
      <c r="FI105" s="93"/>
      <c r="FJ105" s="93"/>
      <c r="FK105" s="93"/>
      <c r="FL105" s="93"/>
      <c r="FM105" s="93"/>
      <c r="FN105" s="93"/>
      <c r="FO105" s="93"/>
      <c r="FP105" s="93"/>
      <c r="FQ105" s="93"/>
      <c r="FR105" s="93"/>
      <c r="FS105" s="93"/>
      <c r="FT105" s="93"/>
      <c r="FU105" s="93"/>
      <c r="FV105" s="93"/>
      <c r="FW105" s="93"/>
      <c r="FX105" s="93"/>
      <c r="FY105" s="93"/>
      <c r="FZ105" s="93"/>
      <c r="GA105" s="93"/>
      <c r="GB105" s="93"/>
      <c r="GC105" s="93"/>
      <c r="GD105" s="93"/>
      <c r="GE105" s="93"/>
      <c r="GF105" s="93"/>
      <c r="GG105" s="93"/>
      <c r="GH105" s="93"/>
      <c r="GI105" s="93"/>
      <c r="GJ105" s="93"/>
      <c r="GK105" s="93"/>
      <c r="GL105" s="93"/>
      <c r="GM105" s="93"/>
      <c r="GN105" s="93"/>
      <c r="GO105" s="93"/>
      <c r="GP105" s="93"/>
      <c r="GQ105" s="93"/>
      <c r="GR105" s="93"/>
      <c r="GS105" s="93"/>
      <c r="GT105" s="93"/>
    </row>
    <row r="106" spans="1:202" ht="16.5" customHeight="1">
      <c r="A106" s="96" t="s">
        <v>13</v>
      </c>
      <c r="B106" s="92"/>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c r="BI106" s="93"/>
      <c r="BJ106" s="93"/>
      <c r="BK106" s="93"/>
      <c r="BL106" s="93"/>
      <c r="BM106" s="93"/>
      <c r="BN106" s="93"/>
      <c r="BO106" s="93"/>
      <c r="BP106" s="93"/>
      <c r="BQ106" s="93"/>
      <c r="BR106" s="93"/>
      <c r="BS106" s="93"/>
      <c r="BT106" s="93"/>
      <c r="BU106" s="93"/>
      <c r="BV106" s="93"/>
      <c r="BW106" s="93"/>
      <c r="BX106" s="93"/>
      <c r="BY106" s="93"/>
      <c r="BZ106" s="93"/>
      <c r="CA106" s="93"/>
      <c r="CB106" s="93"/>
      <c r="CC106" s="93"/>
      <c r="CD106" s="93"/>
      <c r="CE106" s="93"/>
      <c r="CF106" s="93"/>
      <c r="CG106" s="93"/>
      <c r="CH106" s="93"/>
      <c r="CI106" s="93"/>
      <c r="CJ106" s="93"/>
      <c r="CK106" s="93"/>
      <c r="CL106" s="93"/>
      <c r="CM106" s="93"/>
      <c r="CN106" s="93"/>
      <c r="CO106" s="93"/>
      <c r="CP106" s="93"/>
      <c r="CQ106" s="93"/>
      <c r="CR106" s="93"/>
      <c r="CS106" s="93"/>
      <c r="CT106" s="93"/>
      <c r="CU106" s="93"/>
      <c r="CV106" s="93"/>
      <c r="CW106" s="93"/>
      <c r="CX106" s="93"/>
      <c r="CY106" s="93"/>
      <c r="CZ106" s="93"/>
      <c r="DA106" s="93"/>
      <c r="DB106" s="93"/>
      <c r="DC106" s="93"/>
      <c r="DD106" s="93"/>
      <c r="DE106" s="93"/>
      <c r="DF106" s="93"/>
      <c r="DG106" s="93"/>
      <c r="DH106" s="93"/>
      <c r="DI106" s="93"/>
      <c r="DJ106" s="93"/>
      <c r="DK106" s="93"/>
      <c r="DL106" s="93"/>
      <c r="DM106" s="93"/>
      <c r="DN106" s="93"/>
      <c r="DO106" s="93"/>
      <c r="DP106" s="93"/>
      <c r="DQ106" s="93"/>
      <c r="DR106" s="93"/>
      <c r="DS106" s="93"/>
      <c r="DT106" s="93"/>
      <c r="DU106" s="93"/>
      <c r="DV106" s="93"/>
      <c r="DW106" s="93"/>
      <c r="DX106" s="93"/>
      <c r="DY106" s="93"/>
      <c r="DZ106" s="93"/>
      <c r="EA106" s="93"/>
      <c r="EB106" s="93"/>
      <c r="EC106" s="93"/>
      <c r="ED106" s="93"/>
      <c r="EE106" s="93"/>
      <c r="EF106" s="93"/>
      <c r="EG106" s="93"/>
      <c r="EH106" s="93"/>
      <c r="EI106" s="93"/>
      <c r="EJ106" s="93"/>
      <c r="EK106" s="93"/>
      <c r="EL106" s="93"/>
      <c r="EM106" s="93"/>
      <c r="EN106" s="93"/>
      <c r="EO106" s="93"/>
      <c r="EP106" s="93"/>
      <c r="EQ106" s="93"/>
      <c r="ER106" s="93"/>
      <c r="ES106" s="93"/>
      <c r="ET106" s="93"/>
      <c r="EU106" s="93"/>
      <c r="EV106" s="93"/>
      <c r="EW106" s="93"/>
      <c r="EX106" s="93"/>
      <c r="EY106" s="93"/>
      <c r="EZ106" s="93"/>
      <c r="FA106" s="93"/>
      <c r="FB106" s="93"/>
      <c r="FC106" s="93"/>
      <c r="FD106" s="93"/>
      <c r="FE106" s="93"/>
      <c r="FF106" s="93"/>
      <c r="FG106" s="93"/>
      <c r="FH106" s="93"/>
      <c r="FI106" s="93"/>
      <c r="FJ106" s="93"/>
      <c r="FK106" s="93"/>
      <c r="FL106" s="93"/>
      <c r="FM106" s="93"/>
      <c r="FN106" s="93"/>
      <c r="FO106" s="93"/>
      <c r="FP106" s="93"/>
      <c r="FQ106" s="93"/>
      <c r="FR106" s="93"/>
      <c r="FS106" s="93"/>
      <c r="FT106" s="93"/>
      <c r="FU106" s="93"/>
      <c r="FV106" s="93"/>
      <c r="FW106" s="93"/>
      <c r="FX106" s="93"/>
      <c r="FY106" s="93"/>
      <c r="FZ106" s="93"/>
      <c r="GA106" s="93"/>
      <c r="GB106" s="93"/>
      <c r="GC106" s="93"/>
      <c r="GD106" s="93"/>
      <c r="GE106" s="93"/>
      <c r="GF106" s="93"/>
      <c r="GG106" s="93"/>
      <c r="GH106" s="93"/>
      <c r="GI106" s="93"/>
      <c r="GJ106" s="93"/>
      <c r="GK106" s="93"/>
      <c r="GL106" s="93"/>
      <c r="GM106" s="93"/>
      <c r="GN106" s="93"/>
      <c r="GO106" s="93"/>
      <c r="GP106" s="93"/>
      <c r="GQ106" s="93"/>
      <c r="GR106" s="93"/>
      <c r="GS106" s="93"/>
      <c r="GT106" s="93"/>
    </row>
    <row r="107" spans="1:202" ht="16.5" customHeight="1">
      <c r="A107" s="96" t="s">
        <v>113</v>
      </c>
      <c r="B107" s="92"/>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c r="BI107" s="93"/>
      <c r="BJ107" s="93"/>
      <c r="BK107" s="93"/>
      <c r="BL107" s="93"/>
      <c r="BM107" s="93"/>
      <c r="BN107" s="93"/>
      <c r="BO107" s="93"/>
      <c r="BP107" s="93"/>
      <c r="BQ107" s="93"/>
      <c r="BR107" s="93"/>
      <c r="BS107" s="93"/>
      <c r="BT107" s="93"/>
      <c r="BU107" s="93"/>
      <c r="BV107" s="93"/>
      <c r="BW107" s="93"/>
      <c r="BX107" s="93"/>
      <c r="BY107" s="93"/>
      <c r="BZ107" s="93"/>
      <c r="CA107" s="93"/>
      <c r="CB107" s="93"/>
      <c r="CC107" s="93"/>
      <c r="CD107" s="93"/>
      <c r="CE107" s="93"/>
      <c r="CF107" s="93"/>
      <c r="CG107" s="93"/>
      <c r="CH107" s="93"/>
      <c r="CI107" s="93"/>
      <c r="CJ107" s="93"/>
      <c r="CK107" s="93"/>
      <c r="CL107" s="93"/>
      <c r="CM107" s="93"/>
      <c r="CN107" s="93"/>
      <c r="CO107" s="93"/>
      <c r="CP107" s="93"/>
      <c r="CQ107" s="93"/>
      <c r="CR107" s="93"/>
      <c r="CS107" s="93"/>
      <c r="CT107" s="93"/>
      <c r="CU107" s="93"/>
      <c r="CV107" s="93"/>
      <c r="CW107" s="93"/>
      <c r="CX107" s="93"/>
      <c r="CY107" s="93"/>
      <c r="CZ107" s="93"/>
      <c r="DA107" s="93"/>
      <c r="DB107" s="93"/>
      <c r="DC107" s="93"/>
      <c r="DD107" s="93"/>
      <c r="DE107" s="93"/>
      <c r="DF107" s="93"/>
      <c r="DG107" s="93"/>
      <c r="DH107" s="93"/>
      <c r="DI107" s="93"/>
      <c r="DJ107" s="93"/>
      <c r="DK107" s="93"/>
      <c r="DL107" s="93"/>
      <c r="DM107" s="93"/>
      <c r="DN107" s="93"/>
      <c r="DO107" s="93"/>
      <c r="DP107" s="93"/>
      <c r="DQ107" s="93"/>
      <c r="DR107" s="93"/>
      <c r="DS107" s="93"/>
      <c r="DT107" s="93"/>
      <c r="DU107" s="93"/>
      <c r="DV107" s="93"/>
      <c r="DW107" s="93"/>
      <c r="DX107" s="93"/>
      <c r="DY107" s="93"/>
      <c r="DZ107" s="93"/>
      <c r="EA107" s="93"/>
      <c r="EB107" s="93"/>
      <c r="EC107" s="93"/>
      <c r="ED107" s="93"/>
      <c r="EE107" s="93"/>
      <c r="EF107" s="93"/>
      <c r="EG107" s="93"/>
      <c r="EH107" s="93"/>
      <c r="EI107" s="93"/>
      <c r="EJ107" s="93"/>
      <c r="EK107" s="93"/>
      <c r="EL107" s="93"/>
      <c r="EM107" s="93"/>
      <c r="EN107" s="93"/>
      <c r="EO107" s="93"/>
      <c r="EP107" s="93"/>
      <c r="EQ107" s="93"/>
      <c r="ER107" s="93"/>
      <c r="ES107" s="93"/>
      <c r="ET107" s="93"/>
      <c r="EU107" s="93"/>
      <c r="EV107" s="93"/>
      <c r="EW107" s="93"/>
      <c r="EX107" s="93"/>
      <c r="EY107" s="93"/>
      <c r="EZ107" s="93"/>
      <c r="FA107" s="93"/>
      <c r="FB107" s="93"/>
      <c r="FC107" s="93"/>
      <c r="FD107" s="93"/>
      <c r="FE107" s="93"/>
      <c r="FF107" s="93"/>
      <c r="FG107" s="93"/>
      <c r="FH107" s="93"/>
      <c r="FI107" s="93"/>
      <c r="FJ107" s="93"/>
      <c r="FK107" s="93"/>
      <c r="FL107" s="93"/>
      <c r="FM107" s="93"/>
      <c r="FN107" s="93"/>
      <c r="FO107" s="93"/>
      <c r="FP107" s="93"/>
      <c r="FQ107" s="93"/>
      <c r="FR107" s="93"/>
      <c r="FS107" s="93"/>
      <c r="FT107" s="93"/>
      <c r="FU107" s="93"/>
      <c r="FV107" s="93"/>
      <c r="FW107" s="93"/>
      <c r="FX107" s="93"/>
      <c r="FY107" s="93"/>
      <c r="FZ107" s="93"/>
      <c r="GA107" s="93"/>
      <c r="GB107" s="93"/>
      <c r="GC107" s="93"/>
      <c r="GD107" s="93"/>
      <c r="GE107" s="93"/>
      <c r="GF107" s="93"/>
      <c r="GG107" s="93"/>
      <c r="GH107" s="93"/>
      <c r="GI107" s="93"/>
      <c r="GJ107" s="93"/>
      <c r="GK107" s="93"/>
      <c r="GL107" s="93"/>
      <c r="GM107" s="93"/>
      <c r="GN107" s="93"/>
      <c r="GO107" s="93"/>
      <c r="GP107" s="93"/>
      <c r="GQ107" s="93"/>
      <c r="GR107" s="93"/>
      <c r="GS107" s="93"/>
      <c r="GT107" s="93"/>
    </row>
    <row r="108" spans="1:202" ht="16.5" customHeight="1">
      <c r="A108" s="96" t="s">
        <v>175</v>
      </c>
      <c r="B108" s="92"/>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c r="DA108" s="93"/>
      <c r="DB108" s="93"/>
      <c r="DC108" s="93"/>
      <c r="DD108" s="93"/>
      <c r="DE108" s="93"/>
      <c r="DF108" s="93"/>
      <c r="DG108" s="93"/>
      <c r="DH108" s="93"/>
      <c r="DI108" s="93"/>
      <c r="DJ108" s="93"/>
      <c r="DK108" s="93"/>
      <c r="DL108" s="93"/>
      <c r="DM108" s="93"/>
      <c r="DN108" s="93"/>
      <c r="DO108" s="93"/>
      <c r="DP108" s="93"/>
      <c r="DQ108" s="93"/>
      <c r="DR108" s="93"/>
      <c r="DS108" s="93"/>
      <c r="DT108" s="93"/>
      <c r="DU108" s="93"/>
      <c r="DV108" s="93"/>
      <c r="DW108" s="93"/>
      <c r="DX108" s="93"/>
      <c r="DY108" s="93"/>
      <c r="DZ108" s="93"/>
      <c r="EA108" s="93"/>
      <c r="EB108" s="93"/>
      <c r="EC108" s="93"/>
      <c r="ED108" s="93"/>
      <c r="EE108" s="93"/>
      <c r="EF108" s="93"/>
      <c r="EG108" s="93"/>
      <c r="EH108" s="93"/>
      <c r="EI108" s="93"/>
      <c r="EJ108" s="93"/>
      <c r="EK108" s="93"/>
      <c r="EL108" s="93"/>
      <c r="EM108" s="93"/>
      <c r="EN108" s="93"/>
      <c r="EO108" s="93"/>
      <c r="EP108" s="93"/>
      <c r="EQ108" s="93"/>
      <c r="ER108" s="93"/>
      <c r="ES108" s="93"/>
      <c r="ET108" s="93"/>
      <c r="EU108" s="93"/>
      <c r="EV108" s="93"/>
      <c r="EW108" s="93"/>
      <c r="EX108" s="93"/>
      <c r="EY108" s="93"/>
      <c r="EZ108" s="93"/>
      <c r="FA108" s="93"/>
      <c r="FB108" s="93"/>
      <c r="FC108" s="93"/>
      <c r="FD108" s="93"/>
      <c r="FE108" s="93"/>
      <c r="FF108" s="93"/>
      <c r="FG108" s="93"/>
      <c r="FH108" s="93"/>
      <c r="FI108" s="93"/>
      <c r="FJ108" s="93"/>
      <c r="FK108" s="93"/>
      <c r="FL108" s="93"/>
      <c r="FM108" s="93"/>
      <c r="FN108" s="93"/>
      <c r="FO108" s="93"/>
      <c r="FP108" s="93"/>
      <c r="FQ108" s="93"/>
      <c r="FR108" s="93"/>
      <c r="FS108" s="93"/>
      <c r="FT108" s="93"/>
      <c r="FU108" s="93"/>
      <c r="FV108" s="93"/>
      <c r="FW108" s="93"/>
      <c r="FX108" s="93"/>
      <c r="FY108" s="93"/>
      <c r="FZ108" s="93"/>
      <c r="GA108" s="93"/>
      <c r="GB108" s="93"/>
      <c r="GC108" s="93"/>
      <c r="GD108" s="93"/>
      <c r="GE108" s="93"/>
      <c r="GF108" s="93"/>
      <c r="GG108" s="93"/>
      <c r="GH108" s="93"/>
      <c r="GI108" s="93"/>
      <c r="GJ108" s="93"/>
      <c r="GK108" s="93"/>
      <c r="GL108" s="93"/>
      <c r="GM108" s="93"/>
      <c r="GN108" s="93"/>
      <c r="GO108" s="93"/>
      <c r="GP108" s="93"/>
      <c r="GQ108" s="93"/>
      <c r="GR108" s="93"/>
      <c r="GS108" s="93"/>
      <c r="GT108" s="93"/>
    </row>
    <row r="109" spans="1:202" s="28" customFormat="1" ht="21">
      <c r="A109" s="41" t="s">
        <v>27</v>
      </c>
      <c r="B109" s="50"/>
      <c r="C109" s="45">
        <f t="shared" ref="C109:AH109" si="77">C96+C100+C34+C62</f>
        <v>0</v>
      </c>
      <c r="D109" s="45">
        <f t="shared" si="77"/>
        <v>0</v>
      </c>
      <c r="E109" s="45">
        <f t="shared" si="77"/>
        <v>0</v>
      </c>
      <c r="F109" s="45">
        <f t="shared" si="77"/>
        <v>0</v>
      </c>
      <c r="G109" s="45">
        <f t="shared" si="77"/>
        <v>0</v>
      </c>
      <c r="H109" s="45">
        <f t="shared" si="77"/>
        <v>0</v>
      </c>
      <c r="I109" s="45">
        <f t="shared" si="77"/>
        <v>0</v>
      </c>
      <c r="J109" s="45">
        <f t="shared" si="77"/>
        <v>0</v>
      </c>
      <c r="K109" s="45">
        <f t="shared" si="77"/>
        <v>0</v>
      </c>
      <c r="L109" s="45">
        <f t="shared" si="77"/>
        <v>0</v>
      </c>
      <c r="M109" s="45">
        <f t="shared" si="77"/>
        <v>0</v>
      </c>
      <c r="N109" s="45">
        <f t="shared" si="77"/>
        <v>0</v>
      </c>
      <c r="O109" s="45">
        <f t="shared" si="77"/>
        <v>0</v>
      </c>
      <c r="P109" s="45">
        <f t="shared" si="77"/>
        <v>0</v>
      </c>
      <c r="Q109" s="45">
        <f t="shared" si="77"/>
        <v>0</v>
      </c>
      <c r="R109" s="45">
        <f t="shared" si="77"/>
        <v>0</v>
      </c>
      <c r="S109" s="45">
        <f t="shared" si="77"/>
        <v>0</v>
      </c>
      <c r="T109" s="45">
        <f t="shared" si="77"/>
        <v>0</v>
      </c>
      <c r="U109" s="45">
        <f t="shared" si="77"/>
        <v>0</v>
      </c>
      <c r="V109" s="45">
        <f t="shared" si="77"/>
        <v>0</v>
      </c>
      <c r="W109" s="45">
        <f t="shared" si="77"/>
        <v>0</v>
      </c>
      <c r="X109" s="45">
        <f t="shared" si="77"/>
        <v>0</v>
      </c>
      <c r="Y109" s="45">
        <f t="shared" si="77"/>
        <v>0</v>
      </c>
      <c r="Z109" s="45">
        <f t="shared" si="77"/>
        <v>0</v>
      </c>
      <c r="AA109" s="45">
        <f t="shared" si="77"/>
        <v>0</v>
      </c>
      <c r="AB109" s="45">
        <f t="shared" si="77"/>
        <v>0</v>
      </c>
      <c r="AC109" s="45">
        <f t="shared" si="77"/>
        <v>0</v>
      </c>
      <c r="AD109" s="45">
        <f t="shared" si="77"/>
        <v>0</v>
      </c>
      <c r="AE109" s="45">
        <f t="shared" si="77"/>
        <v>0</v>
      </c>
      <c r="AF109" s="45">
        <f t="shared" si="77"/>
        <v>0</v>
      </c>
      <c r="AG109" s="45">
        <f t="shared" si="77"/>
        <v>0</v>
      </c>
      <c r="AH109" s="45">
        <f t="shared" si="77"/>
        <v>0</v>
      </c>
      <c r="AI109" s="45">
        <f t="shared" ref="AI109:BN109" si="78">AI96+AI100+AI34+AI62</f>
        <v>0</v>
      </c>
      <c r="AJ109" s="45">
        <f t="shared" si="78"/>
        <v>0</v>
      </c>
      <c r="AK109" s="45">
        <f t="shared" si="78"/>
        <v>0</v>
      </c>
      <c r="AL109" s="45">
        <f t="shared" si="78"/>
        <v>0</v>
      </c>
      <c r="AM109" s="45">
        <f t="shared" si="78"/>
        <v>0</v>
      </c>
      <c r="AN109" s="45">
        <f t="shared" si="78"/>
        <v>0</v>
      </c>
      <c r="AO109" s="45">
        <f t="shared" si="78"/>
        <v>0</v>
      </c>
      <c r="AP109" s="45">
        <f t="shared" si="78"/>
        <v>0</v>
      </c>
      <c r="AQ109" s="45">
        <f t="shared" si="78"/>
        <v>0</v>
      </c>
      <c r="AR109" s="45">
        <f t="shared" si="78"/>
        <v>0</v>
      </c>
      <c r="AS109" s="45">
        <f t="shared" si="78"/>
        <v>0</v>
      </c>
      <c r="AT109" s="45">
        <f t="shared" si="78"/>
        <v>0</v>
      </c>
      <c r="AU109" s="45">
        <f t="shared" si="78"/>
        <v>0</v>
      </c>
      <c r="AV109" s="45">
        <f t="shared" si="78"/>
        <v>0</v>
      </c>
      <c r="AW109" s="45">
        <f t="shared" si="78"/>
        <v>0</v>
      </c>
      <c r="AX109" s="45">
        <f t="shared" si="78"/>
        <v>0</v>
      </c>
      <c r="AY109" s="45">
        <f t="shared" si="78"/>
        <v>0</v>
      </c>
      <c r="AZ109" s="45">
        <f t="shared" si="78"/>
        <v>0</v>
      </c>
      <c r="BA109" s="45">
        <f t="shared" si="78"/>
        <v>0</v>
      </c>
      <c r="BB109" s="45">
        <f t="shared" si="78"/>
        <v>0</v>
      </c>
      <c r="BC109" s="45">
        <f t="shared" si="78"/>
        <v>0</v>
      </c>
      <c r="BD109" s="45">
        <f t="shared" si="78"/>
        <v>0</v>
      </c>
      <c r="BE109" s="45">
        <f t="shared" si="78"/>
        <v>0</v>
      </c>
      <c r="BF109" s="45">
        <f t="shared" si="78"/>
        <v>0</v>
      </c>
      <c r="BG109" s="45">
        <f t="shared" si="78"/>
        <v>0</v>
      </c>
      <c r="BH109" s="45">
        <f t="shared" si="78"/>
        <v>0</v>
      </c>
      <c r="BI109" s="45">
        <f t="shared" si="78"/>
        <v>0</v>
      </c>
      <c r="BJ109" s="45">
        <f t="shared" si="78"/>
        <v>0</v>
      </c>
      <c r="BK109" s="45">
        <f t="shared" si="78"/>
        <v>0</v>
      </c>
      <c r="BL109" s="45">
        <f t="shared" si="78"/>
        <v>0</v>
      </c>
      <c r="BM109" s="45">
        <f t="shared" si="78"/>
        <v>0</v>
      </c>
      <c r="BN109" s="45">
        <f t="shared" si="78"/>
        <v>0</v>
      </c>
      <c r="BO109" s="45">
        <f t="shared" ref="BO109:CT109" si="79">BO96+BO100+BO34+BO62</f>
        <v>0</v>
      </c>
      <c r="BP109" s="45">
        <f t="shared" si="79"/>
        <v>0</v>
      </c>
      <c r="BQ109" s="45">
        <f t="shared" si="79"/>
        <v>0</v>
      </c>
      <c r="BR109" s="45">
        <f t="shared" si="79"/>
        <v>0</v>
      </c>
      <c r="BS109" s="45">
        <f t="shared" si="79"/>
        <v>0</v>
      </c>
      <c r="BT109" s="45">
        <f t="shared" si="79"/>
        <v>0</v>
      </c>
      <c r="BU109" s="45">
        <f t="shared" si="79"/>
        <v>0</v>
      </c>
      <c r="BV109" s="45">
        <f t="shared" si="79"/>
        <v>0</v>
      </c>
      <c r="BW109" s="45">
        <f t="shared" si="79"/>
        <v>0</v>
      </c>
      <c r="BX109" s="45">
        <f t="shared" si="79"/>
        <v>0</v>
      </c>
      <c r="BY109" s="45">
        <f t="shared" si="79"/>
        <v>0</v>
      </c>
      <c r="BZ109" s="45">
        <f t="shared" si="79"/>
        <v>0</v>
      </c>
      <c r="CA109" s="45">
        <f t="shared" si="79"/>
        <v>0</v>
      </c>
      <c r="CB109" s="45">
        <f t="shared" si="79"/>
        <v>0</v>
      </c>
      <c r="CC109" s="45">
        <f t="shared" si="79"/>
        <v>0</v>
      </c>
      <c r="CD109" s="45">
        <f t="shared" si="79"/>
        <v>0</v>
      </c>
      <c r="CE109" s="45">
        <f t="shared" si="79"/>
        <v>0</v>
      </c>
      <c r="CF109" s="45">
        <f t="shared" si="79"/>
        <v>0</v>
      </c>
      <c r="CG109" s="45">
        <f t="shared" si="79"/>
        <v>0</v>
      </c>
      <c r="CH109" s="45">
        <f t="shared" si="79"/>
        <v>0</v>
      </c>
      <c r="CI109" s="45">
        <f t="shared" si="79"/>
        <v>0</v>
      </c>
      <c r="CJ109" s="45">
        <f t="shared" si="79"/>
        <v>0</v>
      </c>
      <c r="CK109" s="45">
        <f t="shared" si="79"/>
        <v>0</v>
      </c>
      <c r="CL109" s="45">
        <f t="shared" si="79"/>
        <v>0</v>
      </c>
      <c r="CM109" s="45">
        <f t="shared" si="79"/>
        <v>0</v>
      </c>
      <c r="CN109" s="45">
        <f t="shared" si="79"/>
        <v>0</v>
      </c>
      <c r="CO109" s="45">
        <f t="shared" si="79"/>
        <v>0</v>
      </c>
      <c r="CP109" s="45">
        <f t="shared" si="79"/>
        <v>0</v>
      </c>
      <c r="CQ109" s="45">
        <f t="shared" si="79"/>
        <v>0</v>
      </c>
      <c r="CR109" s="45">
        <f t="shared" si="79"/>
        <v>0</v>
      </c>
      <c r="CS109" s="45">
        <f t="shared" si="79"/>
        <v>0</v>
      </c>
      <c r="CT109" s="45">
        <f t="shared" si="79"/>
        <v>0</v>
      </c>
      <c r="CU109" s="45">
        <f t="shared" ref="CU109:DZ109" si="80">CU96+CU100+CU34+CU62</f>
        <v>0</v>
      </c>
      <c r="CV109" s="45">
        <f t="shared" si="80"/>
        <v>0</v>
      </c>
      <c r="CW109" s="45">
        <f t="shared" si="80"/>
        <v>0</v>
      </c>
      <c r="CX109" s="45">
        <f t="shared" si="80"/>
        <v>0</v>
      </c>
      <c r="CY109" s="45">
        <f t="shared" si="80"/>
        <v>0</v>
      </c>
      <c r="CZ109" s="45">
        <f t="shared" si="80"/>
        <v>0</v>
      </c>
      <c r="DA109" s="45">
        <f t="shared" si="80"/>
        <v>0</v>
      </c>
      <c r="DB109" s="45">
        <f t="shared" si="80"/>
        <v>0</v>
      </c>
      <c r="DC109" s="45">
        <f t="shared" si="80"/>
        <v>0</v>
      </c>
      <c r="DD109" s="45">
        <f t="shared" si="80"/>
        <v>0</v>
      </c>
      <c r="DE109" s="45">
        <f t="shared" si="80"/>
        <v>0</v>
      </c>
      <c r="DF109" s="45">
        <f t="shared" si="80"/>
        <v>0</v>
      </c>
      <c r="DG109" s="45">
        <f t="shared" si="80"/>
        <v>0</v>
      </c>
      <c r="DH109" s="45">
        <f t="shared" si="80"/>
        <v>0</v>
      </c>
      <c r="DI109" s="45">
        <f t="shared" si="80"/>
        <v>0</v>
      </c>
      <c r="DJ109" s="45">
        <f t="shared" si="80"/>
        <v>0</v>
      </c>
      <c r="DK109" s="45">
        <f t="shared" si="80"/>
        <v>0</v>
      </c>
      <c r="DL109" s="45">
        <f t="shared" si="80"/>
        <v>0</v>
      </c>
      <c r="DM109" s="45">
        <f t="shared" si="80"/>
        <v>0</v>
      </c>
      <c r="DN109" s="45">
        <f t="shared" si="80"/>
        <v>0</v>
      </c>
      <c r="DO109" s="45">
        <f t="shared" si="80"/>
        <v>0</v>
      </c>
      <c r="DP109" s="45">
        <f t="shared" si="80"/>
        <v>0</v>
      </c>
      <c r="DQ109" s="45">
        <f t="shared" si="80"/>
        <v>0</v>
      </c>
      <c r="DR109" s="45">
        <f t="shared" si="80"/>
        <v>0</v>
      </c>
      <c r="DS109" s="45">
        <f t="shared" si="80"/>
        <v>0</v>
      </c>
      <c r="DT109" s="45">
        <f t="shared" si="80"/>
        <v>0</v>
      </c>
      <c r="DU109" s="45">
        <f t="shared" si="80"/>
        <v>0</v>
      </c>
      <c r="DV109" s="45">
        <f t="shared" si="80"/>
        <v>0</v>
      </c>
      <c r="DW109" s="45">
        <f t="shared" si="80"/>
        <v>0</v>
      </c>
      <c r="DX109" s="45">
        <f t="shared" si="80"/>
        <v>0</v>
      </c>
      <c r="DY109" s="45">
        <f t="shared" si="80"/>
        <v>0</v>
      </c>
      <c r="DZ109" s="45">
        <f t="shared" si="80"/>
        <v>0</v>
      </c>
      <c r="EA109" s="45">
        <f t="shared" ref="EA109:FF109" si="81">EA96+EA100+EA34+EA62</f>
        <v>0</v>
      </c>
      <c r="EB109" s="45">
        <f t="shared" si="81"/>
        <v>0</v>
      </c>
      <c r="EC109" s="45">
        <f t="shared" si="81"/>
        <v>0</v>
      </c>
      <c r="ED109" s="45">
        <f t="shared" si="81"/>
        <v>0</v>
      </c>
      <c r="EE109" s="45">
        <f t="shared" si="81"/>
        <v>0</v>
      </c>
      <c r="EF109" s="45">
        <f t="shared" si="81"/>
        <v>0</v>
      </c>
      <c r="EG109" s="45">
        <f t="shared" si="81"/>
        <v>0</v>
      </c>
      <c r="EH109" s="45">
        <f t="shared" si="81"/>
        <v>0</v>
      </c>
      <c r="EI109" s="45">
        <f t="shared" si="81"/>
        <v>0</v>
      </c>
      <c r="EJ109" s="45">
        <f t="shared" si="81"/>
        <v>0</v>
      </c>
      <c r="EK109" s="45">
        <f t="shared" si="81"/>
        <v>0</v>
      </c>
      <c r="EL109" s="45">
        <f t="shared" si="81"/>
        <v>0</v>
      </c>
      <c r="EM109" s="45">
        <f t="shared" si="81"/>
        <v>0</v>
      </c>
      <c r="EN109" s="45">
        <f t="shared" si="81"/>
        <v>0</v>
      </c>
      <c r="EO109" s="45">
        <f t="shared" si="81"/>
        <v>0</v>
      </c>
      <c r="EP109" s="45">
        <f t="shared" si="81"/>
        <v>0</v>
      </c>
      <c r="EQ109" s="45">
        <f t="shared" si="81"/>
        <v>0</v>
      </c>
      <c r="ER109" s="45">
        <f t="shared" si="81"/>
        <v>0</v>
      </c>
      <c r="ES109" s="45">
        <f t="shared" si="81"/>
        <v>0</v>
      </c>
      <c r="ET109" s="45">
        <f t="shared" si="81"/>
        <v>0</v>
      </c>
      <c r="EU109" s="45">
        <f t="shared" si="81"/>
        <v>0</v>
      </c>
      <c r="EV109" s="45">
        <f t="shared" si="81"/>
        <v>0</v>
      </c>
      <c r="EW109" s="45">
        <f t="shared" si="81"/>
        <v>0</v>
      </c>
      <c r="EX109" s="45">
        <f t="shared" si="81"/>
        <v>0</v>
      </c>
      <c r="EY109" s="45">
        <f t="shared" si="81"/>
        <v>0</v>
      </c>
      <c r="EZ109" s="45">
        <f t="shared" si="81"/>
        <v>0</v>
      </c>
      <c r="FA109" s="45">
        <f t="shared" si="81"/>
        <v>0</v>
      </c>
      <c r="FB109" s="45">
        <f t="shared" si="81"/>
        <v>0</v>
      </c>
      <c r="FC109" s="45">
        <f t="shared" si="81"/>
        <v>0</v>
      </c>
      <c r="FD109" s="45">
        <f t="shared" si="81"/>
        <v>0</v>
      </c>
      <c r="FE109" s="45">
        <f t="shared" si="81"/>
        <v>0</v>
      </c>
      <c r="FF109" s="45">
        <f t="shared" si="81"/>
        <v>0</v>
      </c>
      <c r="FG109" s="45">
        <f t="shared" ref="FG109:GL109" si="82">FG96+FG100+FG34+FG62</f>
        <v>0</v>
      </c>
      <c r="FH109" s="45">
        <f t="shared" si="82"/>
        <v>0</v>
      </c>
      <c r="FI109" s="45">
        <f t="shared" si="82"/>
        <v>0</v>
      </c>
      <c r="FJ109" s="45">
        <f t="shared" si="82"/>
        <v>0</v>
      </c>
      <c r="FK109" s="45">
        <f t="shared" si="82"/>
        <v>0</v>
      </c>
      <c r="FL109" s="45">
        <f t="shared" si="82"/>
        <v>0</v>
      </c>
      <c r="FM109" s="45">
        <f t="shared" si="82"/>
        <v>0</v>
      </c>
      <c r="FN109" s="45">
        <f t="shared" si="82"/>
        <v>0</v>
      </c>
      <c r="FO109" s="45">
        <f t="shared" si="82"/>
        <v>0</v>
      </c>
      <c r="FP109" s="45">
        <f t="shared" si="82"/>
        <v>0</v>
      </c>
      <c r="FQ109" s="45">
        <f t="shared" si="82"/>
        <v>0</v>
      </c>
      <c r="FR109" s="45">
        <f t="shared" si="82"/>
        <v>0</v>
      </c>
      <c r="FS109" s="45">
        <f t="shared" si="82"/>
        <v>0</v>
      </c>
      <c r="FT109" s="45">
        <f t="shared" si="82"/>
        <v>0</v>
      </c>
      <c r="FU109" s="45">
        <f t="shared" si="82"/>
        <v>0</v>
      </c>
      <c r="FV109" s="45">
        <f t="shared" si="82"/>
        <v>0</v>
      </c>
      <c r="FW109" s="45">
        <f t="shared" si="82"/>
        <v>0</v>
      </c>
      <c r="FX109" s="45">
        <f t="shared" si="82"/>
        <v>0</v>
      </c>
      <c r="FY109" s="45">
        <f t="shared" si="82"/>
        <v>0</v>
      </c>
      <c r="FZ109" s="45">
        <f t="shared" si="82"/>
        <v>0</v>
      </c>
      <c r="GA109" s="45">
        <f t="shared" si="82"/>
        <v>0</v>
      </c>
      <c r="GB109" s="45">
        <f t="shared" si="82"/>
        <v>0</v>
      </c>
      <c r="GC109" s="45">
        <f t="shared" si="82"/>
        <v>0</v>
      </c>
      <c r="GD109" s="45">
        <f t="shared" si="82"/>
        <v>0</v>
      </c>
      <c r="GE109" s="45">
        <f t="shared" si="82"/>
        <v>0</v>
      </c>
      <c r="GF109" s="45">
        <f t="shared" si="82"/>
        <v>0</v>
      </c>
      <c r="GG109" s="45">
        <f t="shared" si="82"/>
        <v>0</v>
      </c>
      <c r="GH109" s="45">
        <f t="shared" si="82"/>
        <v>0</v>
      </c>
      <c r="GI109" s="45">
        <f t="shared" si="82"/>
        <v>0</v>
      </c>
      <c r="GJ109" s="45">
        <f t="shared" si="82"/>
        <v>0</v>
      </c>
      <c r="GK109" s="45">
        <f t="shared" si="82"/>
        <v>0</v>
      </c>
      <c r="GL109" s="45">
        <f t="shared" si="82"/>
        <v>0</v>
      </c>
      <c r="GM109" s="45">
        <f t="shared" ref="GM109:GT109" si="83">GM96+GM100+GM34+GM62</f>
        <v>0</v>
      </c>
      <c r="GN109" s="45">
        <f t="shared" si="83"/>
        <v>0</v>
      </c>
      <c r="GO109" s="45">
        <f t="shared" si="83"/>
        <v>0</v>
      </c>
      <c r="GP109" s="45">
        <f t="shared" si="83"/>
        <v>0</v>
      </c>
      <c r="GQ109" s="45">
        <f t="shared" si="83"/>
        <v>0</v>
      </c>
      <c r="GR109" s="45">
        <f t="shared" si="83"/>
        <v>0</v>
      </c>
      <c r="GS109" s="45">
        <f t="shared" si="83"/>
        <v>0</v>
      </c>
      <c r="GT109" s="45">
        <f t="shared" si="83"/>
        <v>0</v>
      </c>
    </row>
    <row r="110" spans="1:202">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c r="AF110" s="95"/>
      <c r="AG110" s="95"/>
      <c r="AH110" s="95"/>
      <c r="AI110" s="95"/>
      <c r="AJ110" s="95"/>
      <c r="AK110" s="95"/>
      <c r="AL110" s="95"/>
      <c r="AM110" s="95"/>
      <c r="AN110" s="95"/>
      <c r="AO110" s="95"/>
      <c r="AP110" s="95"/>
      <c r="AQ110" s="95"/>
      <c r="AR110" s="95"/>
      <c r="AS110" s="95"/>
      <c r="AT110" s="95"/>
      <c r="AU110" s="95"/>
      <c r="AV110" s="95"/>
      <c r="AW110" s="95"/>
      <c r="AX110" s="95"/>
      <c r="AY110" s="95"/>
      <c r="AZ110" s="95"/>
      <c r="BA110" s="95"/>
      <c r="BB110" s="95"/>
      <c r="BC110" s="95"/>
      <c r="BD110" s="95"/>
      <c r="BE110" s="95"/>
      <c r="BF110" s="95"/>
      <c r="BG110" s="95"/>
      <c r="BH110" s="95"/>
      <c r="BI110" s="95"/>
      <c r="BJ110" s="95"/>
      <c r="BK110" s="95"/>
      <c r="BL110" s="95"/>
      <c r="BM110" s="95"/>
      <c r="BN110" s="95"/>
      <c r="BO110" s="95"/>
      <c r="BP110" s="95"/>
      <c r="BQ110" s="95"/>
      <c r="BR110" s="95"/>
      <c r="BS110" s="95"/>
      <c r="BT110" s="95"/>
      <c r="BU110" s="95"/>
      <c r="BV110" s="95"/>
      <c r="BW110" s="95"/>
      <c r="BX110" s="95"/>
      <c r="BY110" s="95"/>
      <c r="BZ110" s="95"/>
      <c r="CA110" s="95"/>
      <c r="CB110" s="95"/>
      <c r="CC110" s="95"/>
      <c r="CD110" s="95"/>
      <c r="CE110" s="95"/>
      <c r="CF110" s="95"/>
      <c r="CG110" s="95"/>
      <c r="CH110" s="95"/>
      <c r="CI110" s="95"/>
      <c r="CJ110" s="95"/>
      <c r="CK110" s="95"/>
      <c r="CL110" s="95"/>
      <c r="CM110" s="95"/>
      <c r="CN110" s="95"/>
      <c r="CO110" s="95"/>
      <c r="CP110" s="95"/>
      <c r="CQ110" s="95"/>
      <c r="CR110" s="95"/>
      <c r="CS110" s="95"/>
      <c r="CT110" s="95"/>
      <c r="CU110" s="95"/>
      <c r="CV110" s="95"/>
      <c r="CW110" s="95"/>
      <c r="CX110" s="95"/>
      <c r="CY110" s="95"/>
      <c r="CZ110" s="95"/>
      <c r="DA110" s="95"/>
      <c r="DB110" s="95"/>
      <c r="DC110" s="95"/>
      <c r="DD110" s="95"/>
      <c r="DE110" s="95"/>
      <c r="DF110" s="95"/>
      <c r="DG110" s="95"/>
      <c r="DH110" s="95"/>
      <c r="DI110" s="95"/>
      <c r="DJ110" s="95"/>
      <c r="DK110" s="95"/>
      <c r="DL110" s="95"/>
      <c r="DM110" s="95"/>
      <c r="DN110" s="95"/>
      <c r="DO110" s="95"/>
      <c r="DP110" s="95"/>
      <c r="DQ110" s="95"/>
      <c r="DR110" s="95"/>
      <c r="DS110" s="95"/>
      <c r="DT110" s="95"/>
      <c r="DU110" s="95"/>
      <c r="DV110" s="95"/>
      <c r="DW110" s="95"/>
      <c r="DX110" s="95"/>
      <c r="DY110" s="95"/>
      <c r="DZ110" s="95"/>
      <c r="EA110" s="95"/>
      <c r="EB110" s="95"/>
      <c r="EC110" s="95"/>
      <c r="ED110" s="95"/>
      <c r="EE110" s="95"/>
      <c r="EF110" s="95"/>
      <c r="EG110" s="95"/>
      <c r="EH110" s="95"/>
      <c r="EI110" s="95"/>
      <c r="EJ110" s="95"/>
      <c r="EK110" s="95"/>
      <c r="EL110" s="95"/>
      <c r="EM110" s="95"/>
      <c r="EN110" s="95"/>
      <c r="EO110" s="95"/>
      <c r="EP110" s="95"/>
      <c r="EQ110" s="95"/>
      <c r="ER110" s="95"/>
      <c r="ES110" s="95"/>
      <c r="ET110" s="95"/>
      <c r="EU110" s="95"/>
      <c r="EV110" s="95"/>
      <c r="EW110" s="95"/>
      <c r="EX110" s="95"/>
      <c r="EY110" s="95"/>
      <c r="EZ110" s="95"/>
      <c r="FA110" s="95"/>
      <c r="FB110" s="95"/>
      <c r="FC110" s="95"/>
      <c r="FD110" s="95"/>
      <c r="FE110" s="95"/>
      <c r="FF110" s="95"/>
      <c r="FG110" s="95"/>
      <c r="FH110" s="95"/>
      <c r="FI110" s="95"/>
      <c r="FJ110" s="95"/>
      <c r="FK110" s="95"/>
      <c r="FL110" s="95"/>
      <c r="FM110" s="95"/>
      <c r="FN110" s="95"/>
      <c r="FO110" s="95"/>
      <c r="FP110" s="95"/>
      <c r="FQ110" s="95"/>
      <c r="FR110" s="95"/>
      <c r="FS110" s="95"/>
      <c r="FT110" s="95"/>
      <c r="FU110" s="95"/>
      <c r="FV110" s="95"/>
      <c r="FW110" s="95"/>
      <c r="FX110" s="95"/>
      <c r="FY110" s="95"/>
      <c r="FZ110" s="95"/>
      <c r="GA110" s="95"/>
      <c r="GB110" s="95"/>
      <c r="GC110" s="95"/>
      <c r="GD110" s="95"/>
      <c r="GE110" s="95"/>
      <c r="GF110" s="95"/>
      <c r="GG110" s="95"/>
      <c r="GH110" s="95"/>
      <c r="GI110" s="95"/>
      <c r="GJ110" s="95"/>
      <c r="GK110" s="95"/>
      <c r="GL110" s="95"/>
      <c r="GM110" s="95"/>
      <c r="GN110" s="95"/>
      <c r="GO110" s="95"/>
      <c r="GP110" s="95"/>
      <c r="GQ110" s="95"/>
      <c r="GR110" s="95"/>
      <c r="GS110" s="95"/>
      <c r="GT110" s="95"/>
    </row>
    <row r="111" spans="1:202">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c r="AE111" s="95"/>
      <c r="AF111" s="95"/>
      <c r="AG111" s="95"/>
      <c r="AH111" s="95"/>
      <c r="AI111" s="95"/>
      <c r="AJ111" s="95"/>
      <c r="AK111" s="95"/>
      <c r="AL111" s="95"/>
      <c r="AM111" s="95"/>
      <c r="AN111" s="95"/>
      <c r="AO111" s="95"/>
      <c r="AP111" s="95"/>
      <c r="AQ111" s="95"/>
      <c r="AR111" s="95"/>
      <c r="AS111" s="95"/>
      <c r="AT111" s="95"/>
      <c r="AU111" s="95"/>
      <c r="AV111" s="95"/>
      <c r="AW111" s="95"/>
      <c r="AX111" s="95"/>
      <c r="AY111" s="95"/>
      <c r="AZ111" s="95"/>
      <c r="BA111" s="95"/>
      <c r="BB111" s="95"/>
      <c r="BC111" s="95"/>
      <c r="BD111" s="95"/>
      <c r="BE111" s="95"/>
      <c r="BF111" s="95"/>
      <c r="BG111" s="95"/>
      <c r="BH111" s="95"/>
      <c r="BI111" s="95"/>
      <c r="BJ111" s="95"/>
      <c r="BK111" s="95"/>
      <c r="BL111" s="95"/>
      <c r="BM111" s="95"/>
      <c r="BN111" s="95"/>
      <c r="BO111" s="95"/>
      <c r="BP111" s="95"/>
      <c r="BQ111" s="95"/>
      <c r="BR111" s="95"/>
      <c r="BS111" s="95"/>
      <c r="BT111" s="95"/>
      <c r="BU111" s="95"/>
      <c r="BV111" s="95"/>
      <c r="BW111" s="95"/>
      <c r="BX111" s="95"/>
      <c r="BY111" s="95"/>
      <c r="BZ111" s="95"/>
      <c r="CA111" s="95"/>
      <c r="CB111" s="95"/>
      <c r="CC111" s="95"/>
      <c r="CD111" s="95"/>
      <c r="CE111" s="95"/>
      <c r="CF111" s="95"/>
      <c r="CG111" s="95"/>
      <c r="CH111" s="95"/>
      <c r="CI111" s="95"/>
      <c r="CJ111" s="95"/>
      <c r="CK111" s="95"/>
      <c r="CL111" s="95"/>
      <c r="CM111" s="95"/>
      <c r="CN111" s="95"/>
      <c r="CO111" s="95"/>
      <c r="CP111" s="95"/>
      <c r="CQ111" s="95"/>
      <c r="CR111" s="95"/>
      <c r="CS111" s="95"/>
      <c r="CT111" s="95"/>
      <c r="CU111" s="95"/>
      <c r="CV111" s="95"/>
      <c r="CW111" s="95"/>
      <c r="CX111" s="95"/>
      <c r="CY111" s="95"/>
      <c r="CZ111" s="95"/>
      <c r="DA111" s="95"/>
      <c r="DB111" s="95"/>
      <c r="DC111" s="95"/>
      <c r="DD111" s="95"/>
      <c r="DE111" s="95"/>
      <c r="DF111" s="95"/>
      <c r="DG111" s="95"/>
      <c r="DH111" s="95"/>
      <c r="DI111" s="95"/>
      <c r="DJ111" s="95"/>
      <c r="DK111" s="95"/>
      <c r="DL111" s="95"/>
      <c r="DM111" s="95"/>
      <c r="DN111" s="95"/>
      <c r="DO111" s="95"/>
      <c r="DP111" s="95"/>
      <c r="DQ111" s="95"/>
      <c r="DR111" s="95"/>
      <c r="DS111" s="95"/>
      <c r="DT111" s="95"/>
      <c r="DU111" s="95"/>
      <c r="DV111" s="95"/>
      <c r="DW111" s="95"/>
      <c r="DX111" s="95"/>
      <c r="DY111" s="95"/>
      <c r="DZ111" s="95"/>
      <c r="EA111" s="95"/>
      <c r="EB111" s="95"/>
      <c r="EC111" s="95"/>
      <c r="ED111" s="95"/>
      <c r="EE111" s="95"/>
      <c r="EF111" s="95"/>
      <c r="EG111" s="95"/>
      <c r="EH111" s="95"/>
      <c r="EI111" s="95"/>
      <c r="EJ111" s="95"/>
      <c r="EK111" s="95"/>
      <c r="EL111" s="95"/>
      <c r="EM111" s="95"/>
      <c r="EN111" s="95"/>
      <c r="EO111" s="95"/>
      <c r="EP111" s="95"/>
      <c r="EQ111" s="95"/>
      <c r="ER111" s="95"/>
      <c r="ES111" s="95"/>
      <c r="ET111" s="95"/>
      <c r="EU111" s="95"/>
      <c r="EV111" s="95"/>
      <c r="EW111" s="95"/>
      <c r="EX111" s="95"/>
      <c r="EY111" s="95"/>
      <c r="EZ111" s="95"/>
      <c r="FA111" s="95"/>
      <c r="FB111" s="95"/>
      <c r="FC111" s="95"/>
      <c r="FD111" s="95"/>
      <c r="FE111" s="95"/>
      <c r="FF111" s="95"/>
      <c r="FG111" s="95"/>
      <c r="FH111" s="95"/>
      <c r="FI111" s="95"/>
      <c r="FJ111" s="95"/>
      <c r="FK111" s="95"/>
      <c r="FL111" s="95"/>
      <c r="FM111" s="95"/>
      <c r="FN111" s="95"/>
      <c r="FO111" s="95"/>
      <c r="FP111" s="95"/>
      <c r="FQ111" s="95"/>
      <c r="FR111" s="95"/>
      <c r="FS111" s="95"/>
      <c r="FT111" s="95"/>
      <c r="FU111" s="95"/>
      <c r="FV111" s="95"/>
      <c r="FW111" s="95"/>
      <c r="FX111" s="95"/>
      <c r="FY111" s="95"/>
      <c r="FZ111" s="95"/>
      <c r="GA111" s="95"/>
      <c r="GB111" s="95"/>
      <c r="GC111" s="95"/>
      <c r="GD111" s="95"/>
      <c r="GE111" s="95"/>
      <c r="GF111" s="95"/>
      <c r="GG111" s="95"/>
      <c r="GH111" s="95"/>
      <c r="GI111" s="95"/>
      <c r="GJ111" s="95"/>
      <c r="GK111" s="95"/>
      <c r="GL111" s="95"/>
      <c r="GM111" s="95"/>
      <c r="GN111" s="95"/>
      <c r="GO111" s="95"/>
      <c r="GP111" s="95"/>
      <c r="GQ111" s="95"/>
      <c r="GR111" s="95"/>
      <c r="GS111" s="95"/>
      <c r="GT111" s="95"/>
    </row>
    <row r="112" spans="1:202">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c r="AF112" s="95"/>
      <c r="AG112" s="95"/>
      <c r="AH112" s="95"/>
      <c r="AI112" s="95"/>
      <c r="AJ112" s="95"/>
      <c r="AK112" s="95"/>
      <c r="AL112" s="95"/>
      <c r="AM112" s="95"/>
      <c r="AN112" s="95"/>
      <c r="AO112" s="95"/>
      <c r="AP112" s="95"/>
      <c r="AQ112" s="95"/>
      <c r="AR112" s="95"/>
      <c r="AS112" s="95"/>
      <c r="AT112" s="95"/>
      <c r="AU112" s="95"/>
      <c r="AV112" s="95"/>
      <c r="AW112" s="95"/>
      <c r="AX112" s="95"/>
      <c r="AY112" s="95"/>
      <c r="AZ112" s="95"/>
      <c r="BA112" s="95"/>
      <c r="BB112" s="95"/>
      <c r="BC112" s="95"/>
      <c r="BD112" s="95"/>
      <c r="BE112" s="95"/>
      <c r="BF112" s="95"/>
      <c r="BG112" s="95"/>
      <c r="BH112" s="95"/>
      <c r="BI112" s="95"/>
      <c r="BJ112" s="95"/>
      <c r="BK112" s="95"/>
      <c r="BL112" s="95"/>
      <c r="BM112" s="95"/>
      <c r="BN112" s="95"/>
      <c r="BO112" s="95"/>
      <c r="BP112" s="95"/>
      <c r="BQ112" s="95"/>
      <c r="BR112" s="95"/>
      <c r="BS112" s="95"/>
      <c r="BT112" s="95"/>
      <c r="BU112" s="95"/>
      <c r="BV112" s="95"/>
      <c r="BW112" s="95"/>
      <c r="BX112" s="95"/>
      <c r="BY112" s="95"/>
      <c r="BZ112" s="95"/>
      <c r="CA112" s="95"/>
      <c r="CB112" s="95"/>
      <c r="CC112" s="95"/>
      <c r="CD112" s="95"/>
      <c r="CE112" s="95"/>
      <c r="CF112" s="95"/>
      <c r="CG112" s="95"/>
      <c r="CH112" s="95"/>
      <c r="CI112" s="95"/>
      <c r="CJ112" s="95"/>
      <c r="CK112" s="95"/>
      <c r="CL112" s="95"/>
      <c r="CM112" s="95"/>
      <c r="CN112" s="95"/>
      <c r="CO112" s="95"/>
      <c r="CP112" s="95"/>
      <c r="CQ112" s="95"/>
      <c r="CR112" s="95"/>
      <c r="CS112" s="95"/>
      <c r="CT112" s="95"/>
      <c r="CU112" s="95"/>
      <c r="CV112" s="95"/>
      <c r="CW112" s="95"/>
      <c r="CX112" s="95"/>
      <c r="CY112" s="95"/>
      <c r="CZ112" s="95"/>
      <c r="DA112" s="95"/>
      <c r="DB112" s="95"/>
      <c r="DC112" s="95"/>
      <c r="DD112" s="95"/>
      <c r="DE112" s="95"/>
      <c r="DF112" s="95"/>
      <c r="DG112" s="95"/>
      <c r="DH112" s="95"/>
      <c r="DI112" s="95"/>
      <c r="DJ112" s="95"/>
      <c r="DK112" s="95"/>
      <c r="DL112" s="95"/>
      <c r="DM112" s="95"/>
      <c r="DN112" s="95"/>
      <c r="DO112" s="95"/>
      <c r="DP112" s="95"/>
      <c r="DQ112" s="95"/>
      <c r="DR112" s="95"/>
      <c r="DS112" s="95"/>
      <c r="DT112" s="95"/>
      <c r="DU112" s="95"/>
      <c r="DV112" s="95"/>
      <c r="DW112" s="95"/>
      <c r="DX112" s="95"/>
      <c r="DY112" s="95"/>
      <c r="DZ112" s="95"/>
      <c r="EA112" s="95"/>
      <c r="EB112" s="95"/>
      <c r="EC112" s="95"/>
      <c r="ED112" s="95"/>
      <c r="EE112" s="95"/>
      <c r="EF112" s="95"/>
      <c r="EG112" s="95"/>
      <c r="EH112" s="95"/>
      <c r="EI112" s="95"/>
      <c r="EJ112" s="95"/>
      <c r="EK112" s="95"/>
      <c r="EL112" s="95"/>
      <c r="EM112" s="95"/>
      <c r="EN112" s="95"/>
      <c r="EO112" s="95"/>
      <c r="EP112" s="95"/>
      <c r="EQ112" s="95"/>
      <c r="ER112" s="95"/>
      <c r="ES112" s="95"/>
      <c r="ET112" s="95"/>
      <c r="EU112" s="95"/>
      <c r="EV112" s="95"/>
      <c r="EW112" s="95"/>
      <c r="EX112" s="95"/>
      <c r="EY112" s="95"/>
      <c r="EZ112" s="95"/>
      <c r="FA112" s="95"/>
      <c r="FB112" s="95"/>
      <c r="FC112" s="95"/>
      <c r="FD112" s="95"/>
      <c r="FE112" s="95"/>
      <c r="FF112" s="95"/>
      <c r="FG112" s="95"/>
      <c r="FH112" s="95"/>
      <c r="FI112" s="95"/>
      <c r="FJ112" s="95"/>
      <c r="FK112" s="95"/>
      <c r="FL112" s="95"/>
      <c r="FM112" s="95"/>
      <c r="FN112" s="95"/>
      <c r="FO112" s="95"/>
      <c r="FP112" s="95"/>
      <c r="FQ112" s="95"/>
      <c r="FR112" s="95"/>
      <c r="FS112" s="95"/>
      <c r="FT112" s="95"/>
      <c r="FU112" s="95"/>
      <c r="FV112" s="95"/>
      <c r="FW112" s="95"/>
      <c r="FX112" s="95"/>
      <c r="FY112" s="95"/>
      <c r="FZ112" s="95"/>
      <c r="GA112" s="95"/>
      <c r="GB112" s="95"/>
      <c r="GC112" s="95"/>
      <c r="GD112" s="95"/>
      <c r="GE112" s="95"/>
      <c r="GF112" s="95"/>
      <c r="GG112" s="95"/>
      <c r="GH112" s="95"/>
      <c r="GI112" s="95"/>
      <c r="GJ112" s="95"/>
      <c r="GK112" s="95"/>
      <c r="GL112" s="95"/>
      <c r="GM112" s="95"/>
      <c r="GN112" s="95"/>
      <c r="GO112" s="95"/>
      <c r="GP112" s="95"/>
      <c r="GQ112" s="95"/>
      <c r="GR112" s="95"/>
      <c r="GS112" s="95"/>
      <c r="GT112" s="95"/>
    </row>
    <row r="113" spans="1:202">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c r="AF113" s="95"/>
      <c r="AG113" s="95"/>
      <c r="AH113" s="95"/>
      <c r="AI113" s="95"/>
      <c r="AJ113" s="95"/>
      <c r="AK113" s="95"/>
      <c r="AL113" s="95"/>
      <c r="AM113" s="95"/>
      <c r="AN113" s="95"/>
      <c r="AO113" s="95"/>
      <c r="AP113" s="95"/>
      <c r="AQ113" s="95"/>
      <c r="AR113" s="95"/>
      <c r="AS113" s="95"/>
      <c r="AT113" s="95"/>
      <c r="AU113" s="95"/>
      <c r="AV113" s="95"/>
      <c r="AW113" s="95"/>
      <c r="AX113" s="95"/>
      <c r="AY113" s="95"/>
      <c r="AZ113" s="95"/>
      <c r="BA113" s="95"/>
      <c r="BB113" s="95"/>
      <c r="BC113" s="95"/>
      <c r="BD113" s="95"/>
      <c r="BE113" s="95"/>
      <c r="BF113" s="95"/>
      <c r="BG113" s="95"/>
      <c r="BH113" s="95"/>
      <c r="BI113" s="95"/>
      <c r="BJ113" s="95"/>
      <c r="BK113" s="95"/>
      <c r="BL113" s="95"/>
      <c r="BM113" s="95"/>
      <c r="BN113" s="95"/>
      <c r="BO113" s="95"/>
      <c r="BP113" s="95"/>
      <c r="BQ113" s="95"/>
      <c r="BR113" s="95"/>
      <c r="BS113" s="95"/>
      <c r="BT113" s="95"/>
      <c r="BU113" s="95"/>
      <c r="BV113" s="95"/>
      <c r="BW113" s="95"/>
      <c r="BX113" s="95"/>
      <c r="BY113" s="95"/>
      <c r="BZ113" s="95"/>
      <c r="CA113" s="95"/>
      <c r="CB113" s="95"/>
      <c r="CC113" s="95"/>
      <c r="CD113" s="95"/>
      <c r="CE113" s="95"/>
      <c r="CF113" s="95"/>
      <c r="CG113" s="95"/>
      <c r="CH113" s="95"/>
      <c r="CI113" s="95"/>
      <c r="CJ113" s="95"/>
      <c r="CK113" s="95"/>
      <c r="CL113" s="95"/>
      <c r="CM113" s="95"/>
      <c r="CN113" s="95"/>
      <c r="CO113" s="95"/>
      <c r="CP113" s="95"/>
      <c r="CQ113" s="95"/>
      <c r="CR113" s="95"/>
      <c r="CS113" s="95"/>
      <c r="CT113" s="95"/>
      <c r="CU113" s="95"/>
      <c r="CV113" s="95"/>
      <c r="CW113" s="95"/>
      <c r="CX113" s="95"/>
      <c r="CY113" s="95"/>
      <c r="CZ113" s="95"/>
      <c r="DA113" s="95"/>
      <c r="DB113" s="95"/>
      <c r="DC113" s="95"/>
      <c r="DD113" s="95"/>
      <c r="DE113" s="95"/>
      <c r="DF113" s="95"/>
      <c r="DG113" s="95"/>
      <c r="DH113" s="95"/>
      <c r="DI113" s="95"/>
      <c r="DJ113" s="95"/>
      <c r="DK113" s="95"/>
      <c r="DL113" s="95"/>
      <c r="DM113" s="95"/>
      <c r="DN113" s="95"/>
      <c r="DO113" s="95"/>
      <c r="DP113" s="95"/>
      <c r="DQ113" s="95"/>
      <c r="DR113" s="95"/>
      <c r="DS113" s="95"/>
      <c r="DT113" s="95"/>
      <c r="DU113" s="95"/>
      <c r="DV113" s="95"/>
      <c r="DW113" s="95"/>
      <c r="DX113" s="95"/>
      <c r="DY113" s="95"/>
      <c r="DZ113" s="95"/>
      <c r="EA113" s="95"/>
      <c r="EB113" s="95"/>
      <c r="EC113" s="95"/>
      <c r="ED113" s="95"/>
      <c r="EE113" s="95"/>
      <c r="EF113" s="95"/>
      <c r="EG113" s="95"/>
      <c r="EH113" s="95"/>
      <c r="EI113" s="95"/>
      <c r="EJ113" s="95"/>
      <c r="EK113" s="95"/>
      <c r="EL113" s="95"/>
      <c r="EM113" s="95"/>
      <c r="EN113" s="95"/>
      <c r="EO113" s="95"/>
      <c r="EP113" s="95"/>
      <c r="EQ113" s="95"/>
      <c r="ER113" s="95"/>
      <c r="ES113" s="95"/>
      <c r="ET113" s="95"/>
      <c r="EU113" s="95"/>
      <c r="EV113" s="95"/>
      <c r="EW113" s="95"/>
      <c r="EX113" s="95"/>
      <c r="EY113" s="95"/>
      <c r="EZ113" s="95"/>
      <c r="FA113" s="95"/>
      <c r="FB113" s="95"/>
      <c r="FC113" s="95"/>
      <c r="FD113" s="95"/>
      <c r="FE113" s="95"/>
      <c r="FF113" s="95"/>
      <c r="FG113" s="95"/>
      <c r="FH113" s="95"/>
      <c r="FI113" s="95"/>
      <c r="FJ113" s="95"/>
      <c r="FK113" s="95"/>
      <c r="FL113" s="95"/>
      <c r="FM113" s="95"/>
      <c r="FN113" s="95"/>
      <c r="FO113" s="95"/>
      <c r="FP113" s="95"/>
      <c r="FQ113" s="95"/>
      <c r="FR113" s="95"/>
      <c r="FS113" s="95"/>
      <c r="FT113" s="95"/>
      <c r="FU113" s="95"/>
      <c r="FV113" s="95"/>
      <c r="FW113" s="95"/>
      <c r="FX113" s="95"/>
      <c r="FY113" s="95"/>
      <c r="FZ113" s="95"/>
      <c r="GA113" s="95"/>
      <c r="GB113" s="95"/>
      <c r="GC113" s="95"/>
      <c r="GD113" s="95"/>
      <c r="GE113" s="95"/>
      <c r="GF113" s="95"/>
      <c r="GG113" s="95"/>
      <c r="GH113" s="95"/>
      <c r="GI113" s="95"/>
      <c r="GJ113" s="95"/>
      <c r="GK113" s="95"/>
      <c r="GL113" s="95"/>
      <c r="GM113" s="95"/>
      <c r="GN113" s="95"/>
      <c r="GO113" s="95"/>
      <c r="GP113" s="95"/>
      <c r="GQ113" s="95"/>
      <c r="GR113" s="95"/>
      <c r="GS113" s="95"/>
      <c r="GT113" s="95"/>
    </row>
    <row r="114" spans="1:202">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95"/>
      <c r="GQ114" s="95"/>
      <c r="GR114" s="95"/>
      <c r="GS114" s="95"/>
      <c r="GT114" s="95"/>
    </row>
    <row r="115" spans="1:202">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c r="AF115" s="95"/>
      <c r="AG115" s="95"/>
      <c r="AH115" s="95"/>
      <c r="AI115" s="95"/>
      <c r="AJ115" s="95"/>
      <c r="AK115" s="95"/>
      <c r="AL115" s="95"/>
      <c r="AM115" s="95"/>
      <c r="AN115" s="95"/>
      <c r="AO115" s="95"/>
      <c r="AP115" s="95"/>
      <c r="AQ115" s="95"/>
      <c r="AR115" s="95"/>
      <c r="AS115" s="95"/>
      <c r="AT115" s="95"/>
      <c r="AU115" s="95"/>
      <c r="AV115" s="95"/>
      <c r="AW115" s="95"/>
      <c r="AX115" s="95"/>
      <c r="AY115" s="95"/>
      <c r="AZ115" s="95"/>
      <c r="BA115" s="95"/>
      <c r="BB115" s="95"/>
      <c r="BC115" s="95"/>
      <c r="BD115" s="95"/>
      <c r="BE115" s="95"/>
      <c r="BF115" s="95"/>
      <c r="BG115" s="95"/>
      <c r="BH115" s="95"/>
      <c r="BI115" s="95"/>
      <c r="BJ115" s="95"/>
      <c r="BK115" s="95"/>
      <c r="BL115" s="95"/>
      <c r="BM115" s="95"/>
      <c r="BN115" s="95"/>
      <c r="BO115" s="95"/>
      <c r="BP115" s="95"/>
      <c r="BQ115" s="95"/>
      <c r="BR115" s="95"/>
      <c r="BS115" s="95"/>
      <c r="BT115" s="95"/>
      <c r="BU115" s="95"/>
      <c r="BV115" s="95"/>
      <c r="BW115" s="95"/>
      <c r="BX115" s="95"/>
      <c r="BY115" s="95"/>
      <c r="BZ115" s="95"/>
      <c r="CA115" s="95"/>
      <c r="CB115" s="95"/>
      <c r="CC115" s="95"/>
      <c r="CD115" s="95"/>
      <c r="CE115" s="95"/>
      <c r="CF115" s="95"/>
      <c r="CG115" s="95"/>
      <c r="CH115" s="95"/>
      <c r="CI115" s="95"/>
      <c r="CJ115" s="95"/>
      <c r="CK115" s="95"/>
      <c r="CL115" s="95"/>
      <c r="CM115" s="95"/>
      <c r="CN115" s="95"/>
      <c r="CO115" s="95"/>
      <c r="CP115" s="95"/>
      <c r="CQ115" s="95"/>
      <c r="CR115" s="95"/>
      <c r="CS115" s="95"/>
      <c r="CT115" s="95"/>
      <c r="CU115" s="95"/>
      <c r="CV115" s="95"/>
      <c r="CW115" s="95"/>
      <c r="CX115" s="95"/>
      <c r="CY115" s="95"/>
      <c r="CZ115" s="95"/>
      <c r="DA115" s="95"/>
      <c r="DB115" s="95"/>
      <c r="DC115" s="95"/>
      <c r="DD115" s="95"/>
      <c r="DE115" s="95"/>
      <c r="DF115" s="95"/>
      <c r="DG115" s="95"/>
      <c r="DH115" s="95"/>
      <c r="DI115" s="95"/>
      <c r="DJ115" s="95"/>
      <c r="DK115" s="95"/>
      <c r="DL115" s="95"/>
      <c r="DM115" s="95"/>
      <c r="DN115" s="95"/>
      <c r="DO115" s="95"/>
      <c r="DP115" s="95"/>
      <c r="DQ115" s="95"/>
      <c r="DR115" s="95"/>
      <c r="DS115" s="95"/>
      <c r="DT115" s="95"/>
      <c r="DU115" s="95"/>
      <c r="DV115" s="95"/>
      <c r="DW115" s="95"/>
      <c r="DX115" s="95"/>
      <c r="DY115" s="95"/>
      <c r="DZ115" s="95"/>
      <c r="EA115" s="95"/>
      <c r="EB115" s="95"/>
      <c r="EC115" s="95"/>
      <c r="ED115" s="95"/>
      <c r="EE115" s="95"/>
      <c r="EF115" s="95"/>
      <c r="EG115" s="95"/>
      <c r="EH115" s="95"/>
      <c r="EI115" s="95"/>
      <c r="EJ115" s="95"/>
      <c r="EK115" s="95"/>
      <c r="EL115" s="95"/>
      <c r="EM115" s="95"/>
      <c r="EN115" s="95"/>
      <c r="EO115" s="95"/>
      <c r="EP115" s="95"/>
      <c r="EQ115" s="95"/>
      <c r="ER115" s="95"/>
      <c r="ES115" s="95"/>
      <c r="ET115" s="95"/>
      <c r="EU115" s="95"/>
      <c r="EV115" s="95"/>
      <c r="EW115" s="95"/>
      <c r="EX115" s="95"/>
      <c r="EY115" s="95"/>
      <c r="EZ115" s="95"/>
      <c r="FA115" s="95"/>
      <c r="FB115" s="95"/>
      <c r="FC115" s="95"/>
      <c r="FD115" s="95"/>
      <c r="FE115" s="95"/>
      <c r="FF115" s="95"/>
      <c r="FG115" s="95"/>
      <c r="FH115" s="95"/>
      <c r="FI115" s="95"/>
      <c r="FJ115" s="95"/>
      <c r="FK115" s="95"/>
      <c r="FL115" s="95"/>
      <c r="FM115" s="95"/>
      <c r="FN115" s="95"/>
      <c r="FO115" s="95"/>
      <c r="FP115" s="95"/>
      <c r="FQ115" s="95"/>
      <c r="FR115" s="95"/>
      <c r="FS115" s="95"/>
      <c r="FT115" s="95"/>
      <c r="FU115" s="95"/>
      <c r="FV115" s="95"/>
      <c r="FW115" s="95"/>
      <c r="FX115" s="95"/>
      <c r="FY115" s="95"/>
      <c r="FZ115" s="95"/>
      <c r="GA115" s="95"/>
      <c r="GB115" s="95"/>
      <c r="GC115" s="95"/>
      <c r="GD115" s="95"/>
      <c r="GE115" s="95"/>
      <c r="GF115" s="95"/>
      <c r="GG115" s="95"/>
      <c r="GH115" s="95"/>
      <c r="GI115" s="95"/>
      <c r="GJ115" s="95"/>
      <c r="GK115" s="95"/>
      <c r="GL115" s="95"/>
      <c r="GM115" s="95"/>
      <c r="GN115" s="95"/>
      <c r="GO115" s="95"/>
      <c r="GP115" s="95"/>
      <c r="GQ115" s="95"/>
      <c r="GR115" s="95"/>
      <c r="GS115" s="95"/>
      <c r="GT115" s="95"/>
    </row>
    <row r="116" spans="1:202">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5"/>
      <c r="AS116" s="95"/>
      <c r="AT116" s="95"/>
      <c r="AU116" s="95"/>
      <c r="AV116" s="95"/>
      <c r="AW116" s="95"/>
      <c r="AX116" s="95"/>
      <c r="AY116" s="95"/>
      <c r="AZ116" s="95"/>
      <c r="BA116" s="95"/>
      <c r="BB116" s="95"/>
      <c r="BC116" s="95"/>
      <c r="BD116" s="95"/>
      <c r="BE116" s="95"/>
      <c r="BF116" s="95"/>
      <c r="BG116" s="95"/>
      <c r="BH116" s="95"/>
      <c r="BI116" s="95"/>
      <c r="BJ116" s="95"/>
      <c r="BK116" s="95"/>
      <c r="BL116" s="95"/>
      <c r="BM116" s="95"/>
      <c r="BN116" s="95"/>
      <c r="BO116" s="95"/>
      <c r="BP116" s="95"/>
      <c r="BQ116" s="95"/>
      <c r="BR116" s="95"/>
      <c r="BS116" s="95"/>
      <c r="BT116" s="95"/>
      <c r="BU116" s="95"/>
      <c r="BV116" s="95"/>
      <c r="BW116" s="95"/>
      <c r="BX116" s="95"/>
      <c r="BY116" s="95"/>
      <c r="BZ116" s="95"/>
      <c r="CA116" s="95"/>
      <c r="CB116" s="95"/>
      <c r="CC116" s="95"/>
      <c r="CD116" s="95"/>
      <c r="CE116" s="95"/>
      <c r="CF116" s="95"/>
      <c r="CG116" s="95"/>
      <c r="CH116" s="95"/>
      <c r="CI116" s="95"/>
      <c r="CJ116" s="95"/>
      <c r="CK116" s="95"/>
      <c r="CL116" s="95"/>
      <c r="CM116" s="95"/>
      <c r="CN116" s="95"/>
      <c r="CO116" s="95"/>
      <c r="CP116" s="95"/>
      <c r="CQ116" s="95"/>
      <c r="CR116" s="95"/>
      <c r="CS116" s="95"/>
      <c r="CT116" s="95"/>
      <c r="CU116" s="95"/>
      <c r="CV116" s="95"/>
      <c r="CW116" s="95"/>
      <c r="CX116" s="95"/>
      <c r="CY116" s="95"/>
      <c r="CZ116" s="95"/>
      <c r="DA116" s="95"/>
      <c r="DB116" s="95"/>
      <c r="DC116" s="95"/>
      <c r="DD116" s="95"/>
      <c r="DE116" s="95"/>
      <c r="DF116" s="95"/>
      <c r="DG116" s="95"/>
      <c r="DH116" s="95"/>
      <c r="DI116" s="95"/>
      <c r="DJ116" s="95"/>
      <c r="DK116" s="95"/>
      <c r="DL116" s="95"/>
      <c r="DM116" s="95"/>
      <c r="DN116" s="95"/>
      <c r="DO116" s="95"/>
      <c r="DP116" s="95"/>
      <c r="DQ116" s="95"/>
      <c r="DR116" s="95"/>
      <c r="DS116" s="95"/>
      <c r="DT116" s="95"/>
      <c r="DU116" s="95"/>
      <c r="DV116" s="95"/>
      <c r="DW116" s="95"/>
      <c r="DX116" s="95"/>
      <c r="DY116" s="95"/>
      <c r="DZ116" s="95"/>
      <c r="EA116" s="95"/>
      <c r="EB116" s="95"/>
      <c r="EC116" s="95"/>
      <c r="ED116" s="95"/>
      <c r="EE116" s="95"/>
      <c r="EF116" s="95"/>
      <c r="EG116" s="95"/>
      <c r="EH116" s="95"/>
      <c r="EI116" s="95"/>
      <c r="EJ116" s="95"/>
      <c r="EK116" s="95"/>
      <c r="EL116" s="95"/>
      <c r="EM116" s="95"/>
      <c r="EN116" s="95"/>
      <c r="EO116" s="95"/>
      <c r="EP116" s="95"/>
      <c r="EQ116" s="95"/>
      <c r="ER116" s="95"/>
      <c r="ES116" s="95"/>
      <c r="ET116" s="95"/>
      <c r="EU116" s="95"/>
      <c r="EV116" s="95"/>
      <c r="EW116" s="95"/>
      <c r="EX116" s="95"/>
      <c r="EY116" s="95"/>
      <c r="EZ116" s="95"/>
      <c r="FA116" s="95"/>
      <c r="FB116" s="95"/>
      <c r="FC116" s="95"/>
      <c r="FD116" s="95"/>
      <c r="FE116" s="95"/>
      <c r="FF116" s="95"/>
      <c r="FG116" s="95"/>
      <c r="FH116" s="95"/>
      <c r="FI116" s="95"/>
      <c r="FJ116" s="95"/>
      <c r="FK116" s="95"/>
      <c r="FL116" s="95"/>
      <c r="FM116" s="95"/>
      <c r="FN116" s="95"/>
      <c r="FO116" s="95"/>
      <c r="FP116" s="95"/>
      <c r="FQ116" s="95"/>
      <c r="FR116" s="95"/>
      <c r="FS116" s="95"/>
      <c r="FT116" s="95"/>
      <c r="FU116" s="95"/>
      <c r="FV116" s="95"/>
      <c r="FW116" s="95"/>
      <c r="FX116" s="95"/>
      <c r="FY116" s="95"/>
      <c r="FZ116" s="95"/>
      <c r="GA116" s="95"/>
      <c r="GB116" s="95"/>
      <c r="GC116" s="95"/>
      <c r="GD116" s="95"/>
      <c r="GE116" s="95"/>
      <c r="GF116" s="95"/>
      <c r="GG116" s="95"/>
      <c r="GH116" s="95"/>
      <c r="GI116" s="95"/>
      <c r="GJ116" s="95"/>
      <c r="GK116" s="95"/>
      <c r="GL116" s="95"/>
      <c r="GM116" s="95"/>
      <c r="GN116" s="95"/>
      <c r="GO116" s="95"/>
      <c r="GP116" s="95"/>
      <c r="GQ116" s="95"/>
      <c r="GR116" s="95"/>
      <c r="GS116" s="95"/>
      <c r="GT116" s="95"/>
    </row>
    <row r="117" spans="1:202">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c r="AF117" s="95"/>
      <c r="AG117" s="95"/>
      <c r="AH117" s="95"/>
      <c r="AI117" s="95"/>
      <c r="AJ117" s="95"/>
      <c r="AK117" s="95"/>
      <c r="AL117" s="95"/>
      <c r="AM117" s="95"/>
      <c r="AN117" s="95"/>
      <c r="AO117" s="95"/>
      <c r="AP117" s="95"/>
      <c r="AQ117" s="95"/>
      <c r="AR117" s="95"/>
      <c r="AS117" s="95"/>
      <c r="AT117" s="95"/>
      <c r="AU117" s="95"/>
      <c r="AV117" s="95"/>
      <c r="AW117" s="95"/>
      <c r="AX117" s="95"/>
      <c r="AY117" s="95"/>
      <c r="AZ117" s="95"/>
      <c r="BA117" s="95"/>
      <c r="BB117" s="95"/>
      <c r="BC117" s="95"/>
      <c r="BD117" s="95"/>
      <c r="BE117" s="95"/>
      <c r="BF117" s="95"/>
      <c r="BG117" s="95"/>
      <c r="BH117" s="95"/>
      <c r="BI117" s="95"/>
      <c r="BJ117" s="95"/>
      <c r="BK117" s="95"/>
      <c r="BL117" s="95"/>
      <c r="BM117" s="95"/>
      <c r="BN117" s="95"/>
      <c r="BO117" s="95"/>
      <c r="BP117" s="95"/>
      <c r="BQ117" s="95"/>
      <c r="BR117" s="95"/>
      <c r="BS117" s="95"/>
      <c r="BT117" s="95"/>
      <c r="BU117" s="95"/>
      <c r="BV117" s="95"/>
      <c r="BW117" s="95"/>
      <c r="BX117" s="95"/>
      <c r="BY117" s="95"/>
      <c r="BZ117" s="95"/>
      <c r="CA117" s="95"/>
      <c r="CB117" s="95"/>
      <c r="CC117" s="95"/>
      <c r="CD117" s="95"/>
      <c r="CE117" s="95"/>
      <c r="CF117" s="95"/>
      <c r="CG117" s="95"/>
      <c r="CH117" s="95"/>
      <c r="CI117" s="95"/>
      <c r="CJ117" s="95"/>
      <c r="CK117" s="95"/>
      <c r="CL117" s="95"/>
      <c r="CM117" s="95"/>
      <c r="CN117" s="95"/>
      <c r="CO117" s="95"/>
      <c r="CP117" s="95"/>
      <c r="CQ117" s="95"/>
      <c r="CR117" s="95"/>
      <c r="CS117" s="95"/>
      <c r="CT117" s="95"/>
      <c r="CU117" s="95"/>
      <c r="CV117" s="95"/>
      <c r="CW117" s="95"/>
      <c r="CX117" s="95"/>
      <c r="CY117" s="95"/>
      <c r="CZ117" s="95"/>
      <c r="DA117" s="95"/>
      <c r="DB117" s="95"/>
      <c r="DC117" s="95"/>
      <c r="DD117" s="95"/>
      <c r="DE117" s="95"/>
      <c r="DF117" s="95"/>
      <c r="DG117" s="95"/>
      <c r="DH117" s="95"/>
      <c r="DI117" s="95"/>
      <c r="DJ117" s="95"/>
      <c r="DK117" s="95"/>
      <c r="DL117" s="95"/>
      <c r="DM117" s="95"/>
      <c r="DN117" s="95"/>
      <c r="DO117" s="95"/>
      <c r="DP117" s="95"/>
      <c r="DQ117" s="95"/>
      <c r="DR117" s="95"/>
      <c r="DS117" s="95"/>
      <c r="DT117" s="95"/>
      <c r="DU117" s="95"/>
      <c r="DV117" s="95"/>
      <c r="DW117" s="95"/>
      <c r="DX117" s="95"/>
      <c r="DY117" s="95"/>
      <c r="DZ117" s="95"/>
      <c r="EA117" s="95"/>
      <c r="EB117" s="95"/>
      <c r="EC117" s="95"/>
      <c r="ED117" s="95"/>
      <c r="EE117" s="95"/>
      <c r="EF117" s="95"/>
      <c r="EG117" s="95"/>
      <c r="EH117" s="95"/>
      <c r="EI117" s="95"/>
      <c r="EJ117" s="95"/>
      <c r="EK117" s="95"/>
      <c r="EL117" s="95"/>
      <c r="EM117" s="95"/>
      <c r="EN117" s="95"/>
      <c r="EO117" s="95"/>
      <c r="EP117" s="95"/>
      <c r="EQ117" s="95"/>
      <c r="ER117" s="95"/>
      <c r="ES117" s="95"/>
      <c r="ET117" s="95"/>
      <c r="EU117" s="95"/>
      <c r="EV117" s="95"/>
      <c r="EW117" s="95"/>
      <c r="EX117" s="95"/>
      <c r="EY117" s="95"/>
      <c r="EZ117" s="95"/>
      <c r="FA117" s="95"/>
      <c r="FB117" s="95"/>
      <c r="FC117" s="95"/>
      <c r="FD117" s="95"/>
      <c r="FE117" s="95"/>
      <c r="FF117" s="95"/>
      <c r="FG117" s="95"/>
      <c r="FH117" s="95"/>
      <c r="FI117" s="95"/>
      <c r="FJ117" s="95"/>
      <c r="FK117" s="95"/>
      <c r="FL117" s="95"/>
      <c r="FM117" s="95"/>
      <c r="FN117" s="95"/>
      <c r="FO117" s="95"/>
      <c r="FP117" s="95"/>
      <c r="FQ117" s="95"/>
      <c r="FR117" s="95"/>
      <c r="FS117" s="95"/>
      <c r="FT117" s="95"/>
      <c r="FU117" s="95"/>
      <c r="FV117" s="95"/>
      <c r="FW117" s="95"/>
      <c r="FX117" s="95"/>
      <c r="FY117" s="95"/>
      <c r="FZ117" s="95"/>
      <c r="GA117" s="95"/>
      <c r="GB117" s="95"/>
      <c r="GC117" s="95"/>
      <c r="GD117" s="95"/>
      <c r="GE117" s="95"/>
      <c r="GF117" s="95"/>
      <c r="GG117" s="95"/>
      <c r="GH117" s="95"/>
      <c r="GI117" s="95"/>
      <c r="GJ117" s="95"/>
      <c r="GK117" s="95"/>
      <c r="GL117" s="95"/>
      <c r="GM117" s="95"/>
      <c r="GN117" s="95"/>
      <c r="GO117" s="95"/>
      <c r="GP117" s="95"/>
      <c r="GQ117" s="95"/>
      <c r="GR117" s="95"/>
      <c r="GS117" s="95"/>
      <c r="GT117" s="95"/>
    </row>
    <row r="118" spans="1:202">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c r="AF118" s="95"/>
      <c r="AG118" s="95"/>
      <c r="AH118" s="95"/>
      <c r="AI118" s="95"/>
      <c r="AJ118" s="95"/>
      <c r="AK118" s="95"/>
      <c r="AL118" s="95"/>
      <c r="AM118" s="95"/>
      <c r="AN118" s="95"/>
      <c r="AO118" s="95"/>
      <c r="AP118" s="95"/>
      <c r="AQ118" s="95"/>
      <c r="AR118" s="95"/>
      <c r="AS118" s="95"/>
      <c r="AT118" s="95"/>
      <c r="AU118" s="95"/>
      <c r="AV118" s="95"/>
      <c r="AW118" s="95"/>
      <c r="AX118" s="95"/>
      <c r="AY118" s="95"/>
      <c r="AZ118" s="95"/>
      <c r="BA118" s="95"/>
      <c r="BB118" s="95"/>
      <c r="BC118" s="95"/>
      <c r="BD118" s="95"/>
      <c r="BE118" s="95"/>
      <c r="BF118" s="95"/>
      <c r="BG118" s="95"/>
      <c r="BH118" s="95"/>
      <c r="BI118" s="95"/>
      <c r="BJ118" s="95"/>
      <c r="BK118" s="95"/>
      <c r="BL118" s="95"/>
      <c r="BM118" s="95"/>
      <c r="BN118" s="95"/>
      <c r="BO118" s="95"/>
      <c r="BP118" s="95"/>
      <c r="BQ118" s="95"/>
      <c r="BR118" s="95"/>
      <c r="BS118" s="95"/>
      <c r="BT118" s="95"/>
      <c r="BU118" s="95"/>
      <c r="BV118" s="95"/>
      <c r="BW118" s="95"/>
      <c r="BX118" s="95"/>
      <c r="BY118" s="95"/>
      <c r="BZ118" s="95"/>
      <c r="CA118" s="95"/>
      <c r="CB118" s="95"/>
      <c r="CC118" s="95"/>
      <c r="CD118" s="95"/>
      <c r="CE118" s="95"/>
      <c r="CF118" s="95"/>
      <c r="CG118" s="95"/>
      <c r="CH118" s="95"/>
      <c r="CI118" s="95"/>
      <c r="CJ118" s="95"/>
      <c r="CK118" s="95"/>
      <c r="CL118" s="95"/>
      <c r="CM118" s="95"/>
      <c r="CN118" s="95"/>
      <c r="CO118" s="95"/>
      <c r="CP118" s="95"/>
      <c r="CQ118" s="95"/>
      <c r="CR118" s="95"/>
      <c r="CS118" s="95"/>
      <c r="CT118" s="95"/>
      <c r="CU118" s="95"/>
      <c r="CV118" s="95"/>
      <c r="CW118" s="95"/>
      <c r="CX118" s="95"/>
      <c r="CY118" s="95"/>
      <c r="CZ118" s="95"/>
      <c r="DA118" s="95"/>
      <c r="DB118" s="95"/>
      <c r="DC118" s="95"/>
      <c r="DD118" s="95"/>
      <c r="DE118" s="95"/>
      <c r="DF118" s="95"/>
      <c r="DG118" s="95"/>
      <c r="DH118" s="95"/>
      <c r="DI118" s="95"/>
      <c r="DJ118" s="95"/>
      <c r="DK118" s="95"/>
      <c r="DL118" s="95"/>
      <c r="DM118" s="95"/>
      <c r="DN118" s="95"/>
      <c r="DO118" s="95"/>
      <c r="DP118" s="95"/>
      <c r="DQ118" s="95"/>
      <c r="DR118" s="95"/>
      <c r="DS118" s="95"/>
      <c r="DT118" s="95"/>
      <c r="DU118" s="95"/>
      <c r="DV118" s="95"/>
      <c r="DW118" s="95"/>
      <c r="DX118" s="95"/>
      <c r="DY118" s="95"/>
      <c r="DZ118" s="95"/>
      <c r="EA118" s="95"/>
      <c r="EB118" s="95"/>
      <c r="EC118" s="95"/>
      <c r="ED118" s="95"/>
      <c r="EE118" s="95"/>
      <c r="EF118" s="95"/>
      <c r="EG118" s="95"/>
      <c r="EH118" s="95"/>
      <c r="EI118" s="95"/>
      <c r="EJ118" s="95"/>
      <c r="EK118" s="95"/>
      <c r="EL118" s="95"/>
      <c r="EM118" s="95"/>
      <c r="EN118" s="95"/>
      <c r="EO118" s="95"/>
      <c r="EP118" s="95"/>
      <c r="EQ118" s="95"/>
      <c r="ER118" s="95"/>
      <c r="ES118" s="95"/>
      <c r="ET118" s="95"/>
      <c r="EU118" s="95"/>
      <c r="EV118" s="95"/>
      <c r="EW118" s="95"/>
      <c r="EX118" s="95"/>
      <c r="EY118" s="95"/>
      <c r="EZ118" s="95"/>
      <c r="FA118" s="95"/>
      <c r="FB118" s="95"/>
      <c r="FC118" s="95"/>
      <c r="FD118" s="95"/>
      <c r="FE118" s="95"/>
      <c r="FF118" s="95"/>
      <c r="FG118" s="95"/>
      <c r="FH118" s="95"/>
      <c r="FI118" s="95"/>
      <c r="FJ118" s="95"/>
      <c r="FK118" s="95"/>
      <c r="FL118" s="95"/>
      <c r="FM118" s="95"/>
      <c r="FN118" s="95"/>
      <c r="FO118" s="95"/>
      <c r="FP118" s="95"/>
      <c r="FQ118" s="95"/>
      <c r="FR118" s="95"/>
      <c r="FS118" s="95"/>
      <c r="FT118" s="95"/>
      <c r="FU118" s="95"/>
      <c r="FV118" s="95"/>
      <c r="FW118" s="95"/>
      <c r="FX118" s="95"/>
      <c r="FY118" s="95"/>
      <c r="FZ118" s="95"/>
      <c r="GA118" s="95"/>
      <c r="GB118" s="95"/>
      <c r="GC118" s="95"/>
      <c r="GD118" s="95"/>
      <c r="GE118" s="95"/>
      <c r="GF118" s="95"/>
      <c r="GG118" s="95"/>
      <c r="GH118" s="95"/>
      <c r="GI118" s="95"/>
      <c r="GJ118" s="95"/>
      <c r="GK118" s="95"/>
      <c r="GL118" s="95"/>
      <c r="GM118" s="95"/>
      <c r="GN118" s="95"/>
      <c r="GO118" s="95"/>
      <c r="GP118" s="95"/>
      <c r="GQ118" s="95"/>
      <c r="GR118" s="95"/>
      <c r="GS118" s="95"/>
      <c r="GT118" s="95"/>
    </row>
    <row r="119" spans="1:202">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c r="AF119" s="95"/>
      <c r="AG119" s="95"/>
      <c r="AH119" s="95"/>
      <c r="AI119" s="95"/>
      <c r="AJ119" s="95"/>
      <c r="AK119" s="95"/>
      <c r="AL119" s="95"/>
      <c r="AM119" s="95"/>
      <c r="AN119" s="95"/>
      <c r="AO119" s="95"/>
      <c r="AP119" s="95"/>
      <c r="AQ119" s="95"/>
      <c r="AR119" s="95"/>
      <c r="AS119" s="95"/>
      <c r="AT119" s="95"/>
      <c r="AU119" s="95"/>
      <c r="AV119" s="95"/>
      <c r="AW119" s="95"/>
      <c r="AX119" s="95"/>
      <c r="AY119" s="95"/>
      <c r="AZ119" s="95"/>
      <c r="BA119" s="95"/>
      <c r="BB119" s="95"/>
      <c r="BC119" s="95"/>
      <c r="BD119" s="95"/>
      <c r="BE119" s="95"/>
      <c r="BF119" s="95"/>
      <c r="BG119" s="95"/>
      <c r="BH119" s="95"/>
      <c r="BI119" s="95"/>
      <c r="BJ119" s="95"/>
      <c r="BK119" s="95"/>
      <c r="BL119" s="95"/>
      <c r="BM119" s="95"/>
      <c r="BN119" s="95"/>
      <c r="BO119" s="95"/>
      <c r="BP119" s="95"/>
      <c r="BQ119" s="95"/>
      <c r="BR119" s="95"/>
      <c r="BS119" s="95"/>
      <c r="BT119" s="95"/>
      <c r="BU119" s="95"/>
      <c r="BV119" s="95"/>
      <c r="BW119" s="95"/>
      <c r="BX119" s="95"/>
      <c r="BY119" s="95"/>
      <c r="BZ119" s="95"/>
      <c r="CA119" s="95"/>
      <c r="CB119" s="95"/>
      <c r="CC119" s="95"/>
      <c r="CD119" s="95"/>
      <c r="CE119" s="95"/>
      <c r="CF119" s="95"/>
      <c r="CG119" s="95"/>
      <c r="CH119" s="95"/>
      <c r="CI119" s="95"/>
      <c r="CJ119" s="95"/>
      <c r="CK119" s="95"/>
      <c r="CL119" s="95"/>
      <c r="CM119" s="95"/>
      <c r="CN119" s="95"/>
      <c r="CO119" s="95"/>
      <c r="CP119" s="95"/>
      <c r="CQ119" s="95"/>
      <c r="CR119" s="95"/>
      <c r="CS119" s="95"/>
      <c r="CT119" s="95"/>
      <c r="CU119" s="95"/>
      <c r="CV119" s="95"/>
      <c r="CW119" s="95"/>
      <c r="CX119" s="95"/>
      <c r="CY119" s="95"/>
      <c r="CZ119" s="95"/>
      <c r="DA119" s="95"/>
      <c r="DB119" s="95"/>
      <c r="DC119" s="95"/>
      <c r="DD119" s="95"/>
      <c r="DE119" s="95"/>
      <c r="DF119" s="95"/>
      <c r="DG119" s="95"/>
      <c r="DH119" s="95"/>
      <c r="DI119" s="95"/>
      <c r="DJ119" s="95"/>
      <c r="DK119" s="95"/>
      <c r="DL119" s="95"/>
      <c r="DM119" s="95"/>
      <c r="DN119" s="95"/>
      <c r="DO119" s="95"/>
      <c r="DP119" s="95"/>
      <c r="DQ119" s="95"/>
      <c r="DR119" s="95"/>
      <c r="DS119" s="95"/>
      <c r="DT119" s="95"/>
      <c r="DU119" s="95"/>
      <c r="DV119" s="95"/>
      <c r="DW119" s="95"/>
      <c r="DX119" s="95"/>
      <c r="DY119" s="95"/>
      <c r="DZ119" s="95"/>
      <c r="EA119" s="95"/>
      <c r="EB119" s="95"/>
      <c r="EC119" s="95"/>
      <c r="ED119" s="95"/>
      <c r="EE119" s="95"/>
      <c r="EF119" s="95"/>
      <c r="EG119" s="95"/>
      <c r="EH119" s="95"/>
      <c r="EI119" s="95"/>
      <c r="EJ119" s="95"/>
      <c r="EK119" s="95"/>
      <c r="EL119" s="95"/>
      <c r="EM119" s="95"/>
      <c r="EN119" s="95"/>
      <c r="EO119" s="95"/>
      <c r="EP119" s="95"/>
      <c r="EQ119" s="95"/>
      <c r="ER119" s="95"/>
      <c r="ES119" s="95"/>
      <c r="ET119" s="95"/>
      <c r="EU119" s="95"/>
      <c r="EV119" s="95"/>
      <c r="EW119" s="95"/>
      <c r="EX119" s="95"/>
      <c r="EY119" s="95"/>
      <c r="EZ119" s="95"/>
      <c r="FA119" s="95"/>
      <c r="FB119" s="95"/>
      <c r="FC119" s="95"/>
      <c r="FD119" s="95"/>
      <c r="FE119" s="95"/>
      <c r="FF119" s="95"/>
      <c r="FG119" s="95"/>
      <c r="FH119" s="95"/>
      <c r="FI119" s="95"/>
      <c r="FJ119" s="95"/>
      <c r="FK119" s="95"/>
      <c r="FL119" s="95"/>
      <c r="FM119" s="95"/>
      <c r="FN119" s="95"/>
      <c r="FO119" s="95"/>
      <c r="FP119" s="95"/>
      <c r="FQ119" s="95"/>
      <c r="FR119" s="95"/>
      <c r="FS119" s="95"/>
      <c r="FT119" s="95"/>
      <c r="FU119" s="95"/>
      <c r="FV119" s="95"/>
      <c r="FW119" s="95"/>
      <c r="FX119" s="95"/>
      <c r="FY119" s="95"/>
      <c r="FZ119" s="95"/>
      <c r="GA119" s="95"/>
      <c r="GB119" s="95"/>
      <c r="GC119" s="95"/>
      <c r="GD119" s="95"/>
      <c r="GE119" s="95"/>
      <c r="GF119" s="95"/>
      <c r="GG119" s="95"/>
      <c r="GH119" s="95"/>
      <c r="GI119" s="95"/>
      <c r="GJ119" s="95"/>
      <c r="GK119" s="95"/>
      <c r="GL119" s="95"/>
      <c r="GM119" s="95"/>
      <c r="GN119" s="95"/>
      <c r="GO119" s="95"/>
      <c r="GP119" s="95"/>
      <c r="GQ119" s="95"/>
      <c r="GR119" s="95"/>
      <c r="GS119" s="95"/>
      <c r="GT119" s="95"/>
    </row>
    <row r="120" spans="1:202">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c r="AF120" s="95"/>
      <c r="AG120" s="95"/>
      <c r="AH120" s="95"/>
      <c r="AI120" s="95"/>
      <c r="AJ120" s="95"/>
      <c r="AK120" s="95"/>
      <c r="AL120" s="95"/>
      <c r="AM120" s="95"/>
      <c r="AN120" s="95"/>
      <c r="AO120" s="95"/>
      <c r="AP120" s="95"/>
      <c r="AQ120" s="95"/>
      <c r="AR120" s="95"/>
      <c r="AS120" s="95"/>
      <c r="AT120" s="95"/>
      <c r="AU120" s="95"/>
      <c r="AV120" s="95"/>
      <c r="AW120" s="95"/>
      <c r="AX120" s="95"/>
      <c r="AY120" s="95"/>
      <c r="AZ120" s="95"/>
      <c r="BA120" s="95"/>
      <c r="BB120" s="95"/>
      <c r="BC120" s="95"/>
      <c r="BD120" s="95"/>
      <c r="BE120" s="95"/>
      <c r="BF120" s="95"/>
      <c r="BG120" s="95"/>
      <c r="BH120" s="95"/>
      <c r="BI120" s="95"/>
      <c r="BJ120" s="95"/>
      <c r="BK120" s="95"/>
      <c r="BL120" s="95"/>
      <c r="BM120" s="95"/>
      <c r="BN120" s="95"/>
      <c r="BO120" s="95"/>
      <c r="BP120" s="95"/>
      <c r="BQ120" s="95"/>
      <c r="BR120" s="95"/>
      <c r="BS120" s="95"/>
      <c r="BT120" s="95"/>
      <c r="BU120" s="95"/>
      <c r="BV120" s="95"/>
      <c r="BW120" s="95"/>
      <c r="BX120" s="95"/>
      <c r="BY120" s="95"/>
      <c r="BZ120" s="95"/>
      <c r="CA120" s="95"/>
      <c r="CB120" s="95"/>
      <c r="CC120" s="95"/>
      <c r="CD120" s="95"/>
      <c r="CE120" s="95"/>
      <c r="CF120" s="95"/>
      <c r="CG120" s="95"/>
      <c r="CH120" s="95"/>
      <c r="CI120" s="95"/>
      <c r="CJ120" s="95"/>
      <c r="CK120" s="95"/>
      <c r="CL120" s="95"/>
      <c r="CM120" s="95"/>
      <c r="CN120" s="95"/>
      <c r="CO120" s="95"/>
      <c r="CP120" s="95"/>
      <c r="CQ120" s="95"/>
      <c r="CR120" s="95"/>
      <c r="CS120" s="95"/>
      <c r="CT120" s="95"/>
      <c r="CU120" s="95"/>
      <c r="CV120" s="95"/>
      <c r="CW120" s="95"/>
      <c r="CX120" s="95"/>
      <c r="CY120" s="95"/>
      <c r="CZ120" s="95"/>
      <c r="DA120" s="95"/>
      <c r="DB120" s="95"/>
      <c r="DC120" s="95"/>
      <c r="DD120" s="95"/>
      <c r="DE120" s="95"/>
      <c r="DF120" s="95"/>
      <c r="DG120" s="95"/>
      <c r="DH120" s="95"/>
      <c r="DI120" s="95"/>
      <c r="DJ120" s="95"/>
      <c r="DK120" s="95"/>
      <c r="DL120" s="95"/>
      <c r="DM120" s="95"/>
      <c r="DN120" s="95"/>
      <c r="DO120" s="95"/>
      <c r="DP120" s="95"/>
      <c r="DQ120" s="95"/>
      <c r="DR120" s="95"/>
      <c r="DS120" s="95"/>
      <c r="DT120" s="95"/>
      <c r="DU120" s="95"/>
      <c r="DV120" s="95"/>
      <c r="DW120" s="95"/>
      <c r="DX120" s="95"/>
      <c r="DY120" s="95"/>
      <c r="DZ120" s="95"/>
      <c r="EA120" s="95"/>
      <c r="EB120" s="95"/>
      <c r="EC120" s="95"/>
      <c r="ED120" s="95"/>
      <c r="EE120" s="95"/>
      <c r="EF120" s="95"/>
      <c r="EG120" s="95"/>
      <c r="EH120" s="95"/>
      <c r="EI120" s="95"/>
      <c r="EJ120" s="95"/>
      <c r="EK120" s="95"/>
      <c r="EL120" s="95"/>
      <c r="EM120" s="95"/>
      <c r="EN120" s="95"/>
      <c r="EO120" s="95"/>
      <c r="EP120" s="95"/>
      <c r="EQ120" s="95"/>
      <c r="ER120" s="95"/>
      <c r="ES120" s="95"/>
      <c r="ET120" s="95"/>
      <c r="EU120" s="95"/>
      <c r="EV120" s="95"/>
      <c r="EW120" s="95"/>
      <c r="EX120" s="95"/>
      <c r="EY120" s="95"/>
      <c r="EZ120" s="95"/>
      <c r="FA120" s="95"/>
      <c r="FB120" s="95"/>
      <c r="FC120" s="95"/>
      <c r="FD120" s="95"/>
      <c r="FE120" s="95"/>
      <c r="FF120" s="95"/>
      <c r="FG120" s="95"/>
      <c r="FH120" s="95"/>
      <c r="FI120" s="95"/>
      <c r="FJ120" s="95"/>
      <c r="FK120" s="95"/>
      <c r="FL120" s="95"/>
      <c r="FM120" s="95"/>
      <c r="FN120" s="95"/>
      <c r="FO120" s="95"/>
      <c r="FP120" s="95"/>
      <c r="FQ120" s="95"/>
      <c r="FR120" s="95"/>
      <c r="FS120" s="95"/>
      <c r="FT120" s="95"/>
      <c r="FU120" s="95"/>
      <c r="FV120" s="95"/>
      <c r="FW120" s="95"/>
      <c r="FX120" s="95"/>
      <c r="FY120" s="95"/>
      <c r="FZ120" s="95"/>
      <c r="GA120" s="95"/>
      <c r="GB120" s="95"/>
      <c r="GC120" s="95"/>
      <c r="GD120" s="95"/>
      <c r="GE120" s="95"/>
      <c r="GF120" s="95"/>
      <c r="GG120" s="95"/>
      <c r="GH120" s="95"/>
      <c r="GI120" s="95"/>
      <c r="GJ120" s="95"/>
      <c r="GK120" s="95"/>
      <c r="GL120" s="95"/>
      <c r="GM120" s="95"/>
      <c r="GN120" s="95"/>
      <c r="GO120" s="95"/>
      <c r="GP120" s="95"/>
      <c r="GQ120" s="95"/>
      <c r="GR120" s="95"/>
      <c r="GS120" s="95"/>
      <c r="GT120" s="95"/>
    </row>
    <row r="121" spans="1:202">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c r="AF121" s="95"/>
      <c r="AG121" s="95"/>
      <c r="AH121" s="95"/>
      <c r="AI121" s="95"/>
      <c r="AJ121" s="95"/>
      <c r="AK121" s="95"/>
      <c r="AL121" s="95"/>
      <c r="AM121" s="95"/>
      <c r="AN121" s="95"/>
      <c r="AO121" s="95"/>
      <c r="AP121" s="95"/>
      <c r="AQ121" s="95"/>
      <c r="AR121" s="95"/>
      <c r="AS121" s="95"/>
      <c r="AT121" s="95"/>
      <c r="AU121" s="95"/>
      <c r="AV121" s="95"/>
      <c r="AW121" s="95"/>
      <c r="AX121" s="95"/>
      <c r="AY121" s="95"/>
      <c r="AZ121" s="95"/>
      <c r="BA121" s="95"/>
      <c r="BB121" s="95"/>
      <c r="BC121" s="95"/>
      <c r="BD121" s="95"/>
      <c r="BE121" s="95"/>
      <c r="BF121" s="95"/>
      <c r="BG121" s="95"/>
      <c r="BH121" s="95"/>
      <c r="BI121" s="95"/>
      <c r="BJ121" s="95"/>
      <c r="BK121" s="95"/>
      <c r="BL121" s="95"/>
      <c r="BM121" s="95"/>
      <c r="BN121" s="95"/>
      <c r="BO121" s="95"/>
      <c r="BP121" s="95"/>
      <c r="BQ121" s="95"/>
      <c r="BR121" s="95"/>
      <c r="BS121" s="95"/>
      <c r="BT121" s="95"/>
      <c r="BU121" s="95"/>
      <c r="BV121" s="95"/>
      <c r="BW121" s="95"/>
      <c r="BX121" s="95"/>
      <c r="BY121" s="95"/>
      <c r="BZ121" s="95"/>
      <c r="CA121" s="95"/>
      <c r="CB121" s="95"/>
      <c r="CC121" s="95"/>
      <c r="CD121" s="95"/>
      <c r="CE121" s="95"/>
      <c r="CF121" s="95"/>
      <c r="CG121" s="95"/>
      <c r="CH121" s="95"/>
      <c r="CI121" s="95"/>
      <c r="CJ121" s="95"/>
      <c r="CK121" s="95"/>
      <c r="CL121" s="95"/>
      <c r="CM121" s="95"/>
      <c r="CN121" s="95"/>
      <c r="CO121" s="95"/>
      <c r="CP121" s="95"/>
      <c r="CQ121" s="95"/>
      <c r="CR121" s="95"/>
      <c r="CS121" s="95"/>
      <c r="CT121" s="95"/>
      <c r="CU121" s="95"/>
      <c r="CV121" s="95"/>
      <c r="CW121" s="95"/>
      <c r="CX121" s="95"/>
      <c r="CY121" s="95"/>
      <c r="CZ121" s="95"/>
      <c r="DA121" s="95"/>
      <c r="DB121" s="95"/>
      <c r="DC121" s="95"/>
      <c r="DD121" s="95"/>
      <c r="DE121" s="95"/>
      <c r="DF121" s="95"/>
      <c r="DG121" s="95"/>
      <c r="DH121" s="95"/>
      <c r="DI121" s="95"/>
      <c r="DJ121" s="95"/>
      <c r="DK121" s="95"/>
      <c r="DL121" s="95"/>
      <c r="DM121" s="95"/>
      <c r="DN121" s="95"/>
      <c r="DO121" s="95"/>
      <c r="DP121" s="95"/>
      <c r="DQ121" s="95"/>
      <c r="DR121" s="95"/>
      <c r="DS121" s="95"/>
      <c r="DT121" s="95"/>
      <c r="DU121" s="95"/>
      <c r="DV121" s="95"/>
      <c r="DW121" s="95"/>
      <c r="DX121" s="95"/>
      <c r="DY121" s="95"/>
      <c r="DZ121" s="95"/>
      <c r="EA121" s="95"/>
      <c r="EB121" s="95"/>
      <c r="EC121" s="95"/>
      <c r="ED121" s="95"/>
      <c r="EE121" s="95"/>
      <c r="EF121" s="95"/>
      <c r="EG121" s="95"/>
      <c r="EH121" s="95"/>
      <c r="EI121" s="95"/>
      <c r="EJ121" s="95"/>
      <c r="EK121" s="95"/>
      <c r="EL121" s="95"/>
      <c r="EM121" s="95"/>
      <c r="EN121" s="95"/>
      <c r="EO121" s="95"/>
      <c r="EP121" s="95"/>
      <c r="EQ121" s="95"/>
      <c r="ER121" s="95"/>
      <c r="ES121" s="95"/>
      <c r="ET121" s="95"/>
      <c r="EU121" s="95"/>
      <c r="EV121" s="95"/>
      <c r="EW121" s="95"/>
      <c r="EX121" s="95"/>
      <c r="EY121" s="95"/>
      <c r="EZ121" s="95"/>
      <c r="FA121" s="95"/>
      <c r="FB121" s="95"/>
      <c r="FC121" s="95"/>
      <c r="FD121" s="95"/>
      <c r="FE121" s="95"/>
      <c r="FF121" s="95"/>
      <c r="FG121" s="95"/>
      <c r="FH121" s="95"/>
      <c r="FI121" s="95"/>
      <c r="FJ121" s="95"/>
      <c r="FK121" s="95"/>
      <c r="FL121" s="95"/>
      <c r="FM121" s="95"/>
      <c r="FN121" s="95"/>
      <c r="FO121" s="95"/>
      <c r="FP121" s="95"/>
      <c r="FQ121" s="95"/>
      <c r="FR121" s="95"/>
      <c r="FS121" s="95"/>
      <c r="FT121" s="95"/>
      <c r="FU121" s="95"/>
      <c r="FV121" s="95"/>
      <c r="FW121" s="95"/>
      <c r="FX121" s="95"/>
      <c r="FY121" s="95"/>
      <c r="FZ121" s="95"/>
      <c r="GA121" s="95"/>
      <c r="GB121" s="95"/>
      <c r="GC121" s="95"/>
      <c r="GD121" s="95"/>
      <c r="GE121" s="95"/>
      <c r="GF121" s="95"/>
      <c r="GG121" s="95"/>
      <c r="GH121" s="95"/>
      <c r="GI121" s="95"/>
      <c r="GJ121" s="95"/>
      <c r="GK121" s="95"/>
      <c r="GL121" s="95"/>
      <c r="GM121" s="95"/>
      <c r="GN121" s="95"/>
      <c r="GO121" s="95"/>
      <c r="GP121" s="95"/>
      <c r="GQ121" s="95"/>
      <c r="GR121" s="95"/>
      <c r="GS121" s="95"/>
      <c r="GT121" s="95"/>
    </row>
    <row r="122" spans="1:202">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c r="AF122" s="95"/>
      <c r="AG122" s="95"/>
      <c r="AH122" s="95"/>
      <c r="AI122" s="95"/>
      <c r="AJ122" s="95"/>
      <c r="AK122" s="95"/>
      <c r="AL122" s="95"/>
      <c r="AM122" s="95"/>
      <c r="AN122" s="95"/>
      <c r="AO122" s="95"/>
      <c r="AP122" s="95"/>
      <c r="AQ122" s="95"/>
      <c r="AR122" s="95"/>
      <c r="AS122" s="95"/>
      <c r="AT122" s="95"/>
      <c r="AU122" s="95"/>
      <c r="AV122" s="95"/>
      <c r="AW122" s="95"/>
      <c r="AX122" s="95"/>
      <c r="AY122" s="95"/>
      <c r="AZ122" s="95"/>
      <c r="BA122" s="95"/>
      <c r="BB122" s="95"/>
      <c r="BC122" s="95"/>
      <c r="BD122" s="95"/>
      <c r="BE122" s="95"/>
      <c r="BF122" s="95"/>
      <c r="BG122" s="95"/>
      <c r="BH122" s="95"/>
      <c r="BI122" s="95"/>
      <c r="BJ122" s="95"/>
      <c r="BK122" s="95"/>
      <c r="BL122" s="95"/>
      <c r="BM122" s="95"/>
      <c r="BN122" s="95"/>
      <c r="BO122" s="95"/>
      <c r="BP122" s="95"/>
      <c r="BQ122" s="95"/>
      <c r="BR122" s="95"/>
      <c r="BS122" s="95"/>
      <c r="BT122" s="95"/>
      <c r="BU122" s="95"/>
      <c r="BV122" s="95"/>
      <c r="BW122" s="95"/>
      <c r="BX122" s="95"/>
      <c r="BY122" s="95"/>
      <c r="BZ122" s="95"/>
      <c r="CA122" s="95"/>
      <c r="CB122" s="95"/>
      <c r="CC122" s="95"/>
      <c r="CD122" s="95"/>
      <c r="CE122" s="95"/>
      <c r="CF122" s="95"/>
      <c r="CG122" s="95"/>
      <c r="CH122" s="95"/>
      <c r="CI122" s="95"/>
      <c r="CJ122" s="95"/>
      <c r="CK122" s="95"/>
      <c r="CL122" s="95"/>
      <c r="CM122" s="95"/>
      <c r="CN122" s="95"/>
      <c r="CO122" s="95"/>
      <c r="CP122" s="95"/>
      <c r="CQ122" s="95"/>
      <c r="CR122" s="95"/>
      <c r="CS122" s="95"/>
      <c r="CT122" s="95"/>
      <c r="CU122" s="95"/>
      <c r="CV122" s="95"/>
      <c r="CW122" s="95"/>
      <c r="CX122" s="95"/>
      <c r="CY122" s="95"/>
      <c r="CZ122" s="95"/>
      <c r="DA122" s="95"/>
      <c r="DB122" s="95"/>
      <c r="DC122" s="95"/>
      <c r="DD122" s="95"/>
      <c r="DE122" s="95"/>
      <c r="DF122" s="95"/>
      <c r="DG122" s="95"/>
      <c r="DH122" s="95"/>
      <c r="DI122" s="95"/>
      <c r="DJ122" s="95"/>
      <c r="DK122" s="95"/>
      <c r="DL122" s="95"/>
      <c r="DM122" s="95"/>
      <c r="DN122" s="95"/>
      <c r="DO122" s="95"/>
      <c r="DP122" s="95"/>
      <c r="DQ122" s="95"/>
      <c r="DR122" s="95"/>
      <c r="DS122" s="95"/>
      <c r="DT122" s="95"/>
      <c r="DU122" s="95"/>
      <c r="DV122" s="95"/>
      <c r="DW122" s="95"/>
      <c r="DX122" s="95"/>
      <c r="DY122" s="95"/>
      <c r="DZ122" s="95"/>
      <c r="EA122" s="95"/>
      <c r="EB122" s="95"/>
      <c r="EC122" s="95"/>
      <c r="ED122" s="95"/>
      <c r="EE122" s="95"/>
      <c r="EF122" s="95"/>
      <c r="EG122" s="95"/>
      <c r="EH122" s="95"/>
      <c r="EI122" s="95"/>
      <c r="EJ122" s="95"/>
      <c r="EK122" s="95"/>
      <c r="EL122" s="95"/>
      <c r="EM122" s="95"/>
      <c r="EN122" s="95"/>
      <c r="EO122" s="95"/>
      <c r="EP122" s="95"/>
      <c r="EQ122" s="95"/>
      <c r="ER122" s="95"/>
      <c r="ES122" s="95"/>
      <c r="ET122" s="95"/>
      <c r="EU122" s="95"/>
      <c r="EV122" s="95"/>
      <c r="EW122" s="95"/>
      <c r="EX122" s="95"/>
      <c r="EY122" s="95"/>
      <c r="EZ122" s="95"/>
      <c r="FA122" s="95"/>
      <c r="FB122" s="95"/>
      <c r="FC122" s="95"/>
      <c r="FD122" s="95"/>
      <c r="FE122" s="95"/>
      <c r="FF122" s="95"/>
      <c r="FG122" s="95"/>
      <c r="FH122" s="95"/>
      <c r="FI122" s="95"/>
      <c r="FJ122" s="95"/>
      <c r="FK122" s="95"/>
      <c r="FL122" s="95"/>
      <c r="FM122" s="95"/>
      <c r="FN122" s="95"/>
      <c r="FO122" s="95"/>
      <c r="FP122" s="95"/>
      <c r="FQ122" s="95"/>
      <c r="FR122" s="95"/>
      <c r="FS122" s="95"/>
      <c r="FT122" s="95"/>
      <c r="FU122" s="95"/>
      <c r="FV122" s="95"/>
      <c r="FW122" s="95"/>
      <c r="FX122" s="95"/>
      <c r="FY122" s="95"/>
      <c r="FZ122" s="95"/>
      <c r="GA122" s="95"/>
      <c r="GB122" s="95"/>
      <c r="GC122" s="95"/>
      <c r="GD122" s="95"/>
      <c r="GE122" s="95"/>
      <c r="GF122" s="95"/>
      <c r="GG122" s="95"/>
      <c r="GH122" s="95"/>
      <c r="GI122" s="95"/>
      <c r="GJ122" s="95"/>
      <c r="GK122" s="95"/>
      <c r="GL122" s="95"/>
      <c r="GM122" s="95"/>
      <c r="GN122" s="95"/>
      <c r="GO122" s="95"/>
      <c r="GP122" s="95"/>
      <c r="GQ122" s="95"/>
      <c r="GR122" s="95"/>
      <c r="GS122" s="95"/>
      <c r="GT122" s="95"/>
    </row>
    <row r="123" spans="1:202">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c r="AF123" s="95"/>
      <c r="AG123" s="95"/>
      <c r="AH123" s="95"/>
      <c r="AI123" s="95"/>
      <c r="AJ123" s="95"/>
      <c r="AK123" s="95"/>
      <c r="AL123" s="95"/>
      <c r="AM123" s="95"/>
      <c r="AN123" s="95"/>
      <c r="AO123" s="95"/>
      <c r="AP123" s="95"/>
      <c r="AQ123" s="95"/>
      <c r="AR123" s="95"/>
      <c r="AS123" s="95"/>
      <c r="AT123" s="95"/>
      <c r="AU123" s="95"/>
      <c r="AV123" s="95"/>
      <c r="AW123" s="95"/>
      <c r="AX123" s="95"/>
      <c r="AY123" s="95"/>
      <c r="AZ123" s="95"/>
      <c r="BA123" s="95"/>
      <c r="BB123" s="95"/>
      <c r="BC123" s="95"/>
      <c r="BD123" s="95"/>
      <c r="BE123" s="95"/>
      <c r="BF123" s="95"/>
      <c r="BG123" s="95"/>
      <c r="BH123" s="95"/>
      <c r="BI123" s="95"/>
      <c r="BJ123" s="95"/>
      <c r="BK123" s="95"/>
      <c r="BL123" s="95"/>
      <c r="BM123" s="95"/>
      <c r="BN123" s="95"/>
      <c r="BO123" s="95"/>
      <c r="BP123" s="95"/>
      <c r="BQ123" s="95"/>
      <c r="BR123" s="95"/>
      <c r="BS123" s="95"/>
      <c r="BT123" s="95"/>
      <c r="BU123" s="95"/>
      <c r="BV123" s="95"/>
      <c r="BW123" s="95"/>
      <c r="BX123" s="95"/>
      <c r="BY123" s="95"/>
      <c r="BZ123" s="95"/>
      <c r="CA123" s="95"/>
      <c r="CB123" s="95"/>
      <c r="CC123" s="95"/>
      <c r="CD123" s="95"/>
      <c r="CE123" s="95"/>
      <c r="CF123" s="95"/>
      <c r="CG123" s="95"/>
      <c r="CH123" s="95"/>
      <c r="CI123" s="95"/>
      <c r="CJ123" s="95"/>
      <c r="CK123" s="95"/>
      <c r="CL123" s="95"/>
      <c r="CM123" s="95"/>
      <c r="CN123" s="95"/>
      <c r="CO123" s="95"/>
      <c r="CP123" s="95"/>
      <c r="CQ123" s="95"/>
      <c r="CR123" s="95"/>
      <c r="CS123" s="95"/>
      <c r="CT123" s="95"/>
      <c r="CU123" s="95"/>
      <c r="CV123" s="95"/>
      <c r="CW123" s="95"/>
      <c r="CX123" s="95"/>
      <c r="CY123" s="95"/>
      <c r="CZ123" s="95"/>
      <c r="DA123" s="95"/>
      <c r="DB123" s="95"/>
      <c r="DC123" s="95"/>
      <c r="DD123" s="95"/>
      <c r="DE123" s="95"/>
      <c r="DF123" s="95"/>
      <c r="DG123" s="95"/>
      <c r="DH123" s="95"/>
      <c r="DI123" s="95"/>
      <c r="DJ123" s="95"/>
      <c r="DK123" s="95"/>
      <c r="DL123" s="95"/>
      <c r="DM123" s="95"/>
      <c r="DN123" s="95"/>
      <c r="DO123" s="95"/>
      <c r="DP123" s="95"/>
      <c r="DQ123" s="95"/>
      <c r="DR123" s="95"/>
      <c r="DS123" s="95"/>
      <c r="DT123" s="95"/>
      <c r="DU123" s="95"/>
      <c r="DV123" s="95"/>
      <c r="DW123" s="95"/>
      <c r="DX123" s="95"/>
      <c r="DY123" s="95"/>
      <c r="DZ123" s="95"/>
      <c r="EA123" s="95"/>
      <c r="EB123" s="95"/>
      <c r="EC123" s="95"/>
      <c r="ED123" s="95"/>
      <c r="EE123" s="95"/>
      <c r="EF123" s="95"/>
      <c r="EG123" s="95"/>
      <c r="EH123" s="95"/>
      <c r="EI123" s="95"/>
      <c r="EJ123" s="95"/>
      <c r="EK123" s="95"/>
      <c r="EL123" s="95"/>
      <c r="EM123" s="95"/>
      <c r="EN123" s="95"/>
      <c r="EO123" s="95"/>
      <c r="EP123" s="95"/>
      <c r="EQ123" s="95"/>
      <c r="ER123" s="95"/>
      <c r="ES123" s="95"/>
      <c r="ET123" s="95"/>
      <c r="EU123" s="95"/>
      <c r="EV123" s="95"/>
      <c r="EW123" s="95"/>
      <c r="EX123" s="95"/>
      <c r="EY123" s="95"/>
      <c r="EZ123" s="95"/>
      <c r="FA123" s="95"/>
      <c r="FB123" s="95"/>
      <c r="FC123" s="95"/>
      <c r="FD123" s="95"/>
      <c r="FE123" s="95"/>
      <c r="FF123" s="95"/>
      <c r="FG123" s="95"/>
      <c r="FH123" s="95"/>
      <c r="FI123" s="95"/>
      <c r="FJ123" s="95"/>
      <c r="FK123" s="95"/>
      <c r="FL123" s="95"/>
      <c r="FM123" s="95"/>
      <c r="FN123" s="95"/>
      <c r="FO123" s="95"/>
      <c r="FP123" s="95"/>
      <c r="FQ123" s="95"/>
      <c r="FR123" s="95"/>
      <c r="FS123" s="95"/>
      <c r="FT123" s="95"/>
      <c r="FU123" s="95"/>
      <c r="FV123" s="95"/>
      <c r="FW123" s="95"/>
      <c r="FX123" s="95"/>
      <c r="FY123" s="95"/>
      <c r="FZ123" s="95"/>
      <c r="GA123" s="95"/>
      <c r="GB123" s="95"/>
      <c r="GC123" s="95"/>
      <c r="GD123" s="95"/>
      <c r="GE123" s="95"/>
      <c r="GF123" s="95"/>
      <c r="GG123" s="95"/>
      <c r="GH123" s="95"/>
      <c r="GI123" s="95"/>
      <c r="GJ123" s="95"/>
      <c r="GK123" s="95"/>
      <c r="GL123" s="95"/>
      <c r="GM123" s="95"/>
      <c r="GN123" s="95"/>
      <c r="GO123" s="95"/>
      <c r="GP123" s="95"/>
      <c r="GQ123" s="95"/>
      <c r="GR123" s="95"/>
      <c r="GS123" s="95"/>
      <c r="GT123" s="95"/>
    </row>
  </sheetData>
  <sheetProtection password="94F0" sheet="1" objects="1" scenarios="1"/>
  <dataValidations count="5">
    <dataValidation type="list" allowBlank="1" showInputMessage="1" showErrorMessage="1" sqref="A17:A24 A45:A52" xr:uid="{00000000-0002-0000-0200-000000000000}">
      <formula1>Capex_группы_СПП</formula1>
    </dataValidation>
    <dataValidation type="list" allowBlank="1" showInputMessage="1" showErrorMessage="1" sqref="A35:A42 A63:A70" xr:uid="{00000000-0002-0000-0200-000001000000}">
      <formula1>OPEX_группы_СПП</formula1>
    </dataValidation>
    <dataValidation type="list" allowBlank="1" showInputMessage="1" showErrorMessage="1" sqref="A92:A95" xr:uid="{00000000-0002-0000-0200-000002000000}">
      <formula1>Себестоимость</formula1>
    </dataValidation>
    <dataValidation type="decimal" operator="greaterThanOrEqual" allowBlank="1" showInputMessage="1" showErrorMessage="1" errorTitle="Отрицательное значение" error="Внесено значение со знаком &quot;-&quot;. В ТЭО ФП вносятся только положительные значения. Проверьте логику заполнения статьи, см. Инструкцию, п. 2" sqref="C73:GT90 C92:GT95 C53:GT61 C25:GT33 C98:GT99" xr:uid="{8D11415D-505F-4815-8BA0-D401C76CFBB9}">
      <formula1>0</formula1>
    </dataValidation>
    <dataValidation type="decimal" operator="greaterThanOrEqual" allowBlank="1" showInputMessage="1" showErrorMessage="1" errorTitle="Отрицательное значение " error="Внесено значение со знаком &quot;-&quot;. В ТЭО ФП вносятся только положительные значения. Проверьте логику заполнения статьи, см. Инструкцию, п. 2" sqref="C101:GT108" xr:uid="{CEEC91C0-3CEB-4A4C-ABC8-EBD39EC8FE91}">
      <formula1>0</formula1>
    </dataValidation>
  </dataValidations>
  <pageMargins left="0.7" right="0.7" top="0.75" bottom="0.75" header="0.3" footer="0.3"/>
  <pageSetup paperSize="9" orientation="portrait" r:id="rId1"/>
  <customProperties>
    <customPr name="_pios_id" r:id="rId2"/>
  </customPropertie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3000000}">
          <x14:formula1>
            <xm:f>Справочник!$D$3:$D$16</xm:f>
          </x14:formula1>
          <xm:sqref>A101:A108</xm:sqref>
        </x14:dataValidation>
        <x14:dataValidation type="list" allowBlank="1" showInputMessage="1" showErrorMessage="1" xr:uid="{7791D601-EFB5-40AD-AC49-170936621D3E}">
          <x14:formula1>
            <xm:f>Справочник!$A$3:$A$27</xm:f>
          </x14:formula1>
          <xm:sqref>A73:A80</xm:sqref>
        </x14:dataValidation>
        <x14:dataValidation type="list" allowBlank="1" showInputMessage="1" showErrorMessage="1" xr:uid="{253C939D-2E63-4A51-875B-EF4E89218481}">
          <x14:formula1>
            <xm:f>Справочник!$E$3:$E$7</xm:f>
          </x14:formula1>
          <xm:sqref>A82:A89 A54:A61 A26:A33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5">
    <tabColor theme="3" tint="0.59999389629810485"/>
  </sheetPr>
  <dimension ref="A1:GV118"/>
  <sheetViews>
    <sheetView showGridLines="0" zoomScaleNormal="100" workbookViewId="0">
      <pane xSplit="2" ySplit="14" topLeftCell="C15" activePane="bottomRight" state="frozen"/>
      <selection pane="topRight" activeCell="C1" sqref="C1"/>
      <selection pane="bottomLeft" activeCell="A15" sqref="A15"/>
      <selection pane="bottomRight" activeCell="C24" sqref="C24"/>
    </sheetView>
  </sheetViews>
  <sheetFormatPr baseColWidth="10" defaultColWidth="9.1640625" defaultRowHeight="16" outlineLevelRow="1"/>
  <cols>
    <col min="1" max="1" width="66.6640625" style="22" customWidth="1"/>
    <col min="2" max="2" width="42.83203125" style="22" customWidth="1"/>
    <col min="3" max="202" width="23.5" style="22" customWidth="1"/>
    <col min="203" max="16384" width="9.1640625" style="22"/>
  </cols>
  <sheetData>
    <row r="1" spans="1:204" ht="24">
      <c r="A1" s="91" t="s">
        <v>174</v>
      </c>
      <c r="B1" s="21" t="s">
        <v>87</v>
      </c>
      <c r="C1" s="60">
        <f>'Как есть'!C1</f>
        <v>46023</v>
      </c>
      <c r="D1" s="60">
        <f>'Как есть'!D1</f>
        <v>46387</v>
      </c>
      <c r="E1" s="59" t="s">
        <v>144</v>
      </c>
      <c r="I1" s="22" t="str">
        <f>IF(($C$7/12)&gt;H11,#REF!+1,"")</f>
        <v/>
      </c>
      <c r="J1" s="22" t="str">
        <f>IF(($C$7/12)&gt;I11,I1+1,"")</f>
        <v/>
      </c>
      <c r="K1" s="22" t="str">
        <f>IF(($C$7/12)&gt;J11,J1+1,"")</f>
        <v/>
      </c>
      <c r="L1" s="22" t="str">
        <f>IF(($C$7/12)&gt;K11,K1+1,"")</f>
        <v/>
      </c>
      <c r="M1" s="22" t="str">
        <f>IF(($C$7/12)&gt;L11,L1+1,"")</f>
        <v/>
      </c>
    </row>
    <row r="2" spans="1:204" hidden="1" outlineLevel="1">
      <c r="A2" s="23"/>
      <c r="B2" s="24">
        <v>3</v>
      </c>
      <c r="C2" s="24" t="s">
        <v>9</v>
      </c>
    </row>
    <row r="3" spans="1:204" hidden="1" outlineLevel="1">
      <c r="C3" s="24">
        <v>2021</v>
      </c>
      <c r="D3" s="24">
        <v>2022</v>
      </c>
      <c r="E3" s="24">
        <v>2023</v>
      </c>
      <c r="F3" s="24">
        <v>2024</v>
      </c>
      <c r="G3" s="24">
        <v>2025</v>
      </c>
      <c r="H3" s="24">
        <v>2026</v>
      </c>
      <c r="I3" s="24">
        <v>2027</v>
      </c>
      <c r="J3" s="24">
        <v>2028</v>
      </c>
      <c r="K3" s="24"/>
      <c r="L3" s="24"/>
      <c r="M3" s="24"/>
      <c r="N3" s="24"/>
      <c r="O3" s="24"/>
      <c r="P3" s="24"/>
      <c r="Q3" s="24"/>
      <c r="R3" s="24"/>
      <c r="S3" s="24"/>
      <c r="T3" s="24"/>
      <c r="U3" s="24"/>
      <c r="V3" s="24"/>
      <c r="W3" s="24"/>
      <c r="X3" s="24"/>
      <c r="Y3" s="24"/>
    </row>
    <row r="4" spans="1:204" hidden="1" outlineLevel="1">
      <c r="A4" s="24" t="s">
        <v>0</v>
      </c>
      <c r="B4" s="24"/>
      <c r="C4" s="25">
        <v>0.04</v>
      </c>
      <c r="D4" s="25">
        <v>0.04</v>
      </c>
      <c r="E4" s="25">
        <v>5.8999999999999997E-2</v>
      </c>
      <c r="F4" s="25">
        <v>8.1100000000000005E-2</v>
      </c>
      <c r="G4" s="25">
        <v>7.0000000000000007E-2</v>
      </c>
      <c r="H4" s="25">
        <v>7.0000000000000007E-2</v>
      </c>
      <c r="I4" s="25">
        <v>7.0000000000000007E-2</v>
      </c>
      <c r="J4" s="25">
        <v>0.05</v>
      </c>
      <c r="K4" s="25"/>
      <c r="L4" s="25"/>
      <c r="M4" s="25"/>
      <c r="N4" s="25"/>
      <c r="O4" s="25"/>
      <c r="P4" s="25"/>
      <c r="Q4" s="25"/>
      <c r="R4" s="25"/>
      <c r="S4" s="25"/>
      <c r="T4" s="25"/>
      <c r="U4" s="25"/>
      <c r="V4" s="25"/>
      <c r="W4" s="25"/>
      <c r="X4" s="25"/>
      <c r="Y4" s="25"/>
    </row>
    <row r="5" spans="1:204" hidden="1" outlineLevel="1">
      <c r="A5" s="221" t="s">
        <v>227</v>
      </c>
      <c r="B5" s="24"/>
      <c r="C5" s="25">
        <f>IFERROR(HLOOKUP(C14,WACC_monthly!1:2,2,0),'Как будет'!B5)</f>
        <v>0.16</v>
      </c>
      <c r="D5" s="25">
        <f>IFERROR(HLOOKUP(D14,WACC_monthly!1:2,2,0),'Как будет'!C5)</f>
        <v>0.16</v>
      </c>
      <c r="E5" s="25">
        <f>IFERROR(HLOOKUP(E14,WACC_monthly!1:2,2,0),'Как будет'!D5)</f>
        <v>0.16</v>
      </c>
      <c r="F5" s="25">
        <f>IFERROR(HLOOKUP(F14,WACC_monthly!1:2,2,0),'Как будет'!E5)</f>
        <v>0.16</v>
      </c>
      <c r="G5" s="25">
        <f>IFERROR(HLOOKUP(G14,WACC_monthly!1:2,2,0),'Как будет'!F5)</f>
        <v>0.16</v>
      </c>
      <c r="H5" s="25">
        <f>IFERROR(HLOOKUP(H14,WACC_monthly!1:2,2,0),'Как будет'!G5)</f>
        <v>0.16</v>
      </c>
      <c r="I5" s="25">
        <f>IFERROR(HLOOKUP(I14,WACC_monthly!1:2,2,0),'Как будет'!H5)</f>
        <v>0.16</v>
      </c>
      <c r="J5" s="25">
        <f>IFERROR(HLOOKUP(J14,WACC_monthly!1:2,2,0),'Как будет'!I5)</f>
        <v>0.16</v>
      </c>
      <c r="K5" s="25">
        <f>IFERROR(HLOOKUP(K14,WACC_monthly!1:2,2,0),'Как будет'!J5)</f>
        <v>0.16</v>
      </c>
      <c r="L5" s="25">
        <f>IFERROR(HLOOKUP(L14,WACC_monthly!1:2,2,0),'Как будет'!K5)</f>
        <v>0.16</v>
      </c>
      <c r="M5" s="25">
        <f>IFERROR(HLOOKUP(M14,WACC_monthly!1:2,2,0),'Как будет'!L5)</f>
        <v>0.16</v>
      </c>
      <c r="N5" s="25">
        <f>IFERROR(HLOOKUP(N14,WACC_monthly!1:2,2,0),'Как будет'!M5)</f>
        <v>0.16</v>
      </c>
      <c r="O5" s="25">
        <f>IFERROR(HLOOKUP(O14,WACC_monthly!1:2,2,0),'Как будет'!N5)</f>
        <v>0.16</v>
      </c>
      <c r="P5" s="25">
        <f>IFERROR(HLOOKUP(P14,WACC_monthly!1:2,2,0),'Как будет'!O5)</f>
        <v>0.16</v>
      </c>
      <c r="Q5" s="25">
        <f>IFERROR(HLOOKUP(Q14,WACC_monthly!1:2,2,0),'Как будет'!P5)</f>
        <v>0.16</v>
      </c>
      <c r="R5" s="25">
        <f>IFERROR(HLOOKUP(R14,WACC_monthly!1:2,2,0),'Как будет'!Q5)</f>
        <v>0.16</v>
      </c>
      <c r="S5" s="25">
        <f>IFERROR(HLOOKUP(S14,WACC_monthly!1:2,2,0),'Как будет'!R5)</f>
        <v>0.16</v>
      </c>
      <c r="T5" s="25">
        <f>IFERROR(HLOOKUP(T14,WACC_monthly!1:2,2,0),'Как будет'!S5)</f>
        <v>0.16</v>
      </c>
      <c r="U5" s="25">
        <f>IFERROR(HLOOKUP(U14,WACC_monthly!1:2,2,0),'Как будет'!T5)</f>
        <v>0.16</v>
      </c>
      <c r="V5" s="25">
        <f>IFERROR(HLOOKUP(V14,WACC_monthly!1:2,2,0),'Как будет'!U5)</f>
        <v>0.16</v>
      </c>
      <c r="W5" s="25">
        <f>IFERROR(HLOOKUP(W14,WACC_monthly!1:2,2,0),'Как будет'!V5)</f>
        <v>0.16</v>
      </c>
      <c r="X5" s="25">
        <f>IFERROR(HLOOKUP(X14,WACC_monthly!1:2,2,0),'Как будет'!W5)</f>
        <v>0.16</v>
      </c>
      <c r="Y5" s="25">
        <f>IFERROR(HLOOKUP(Y14,WACC_monthly!1:2,2,0),'Как будет'!X5)</f>
        <v>0.16</v>
      </c>
      <c r="Z5" s="25">
        <f>IFERROR(HLOOKUP(Z14,WACC_monthly!1:2,2,0),'Как будет'!Y5)</f>
        <v>0.16</v>
      </c>
      <c r="AA5" s="25">
        <f>IFERROR(HLOOKUP(AA14,WACC_monthly!1:2,2,0),'Как будет'!Z5)</f>
        <v>0.16</v>
      </c>
      <c r="AB5" s="25">
        <f>IFERROR(HLOOKUP(AB14,WACC_monthly!1:2,2,0),'Как будет'!AA5)</f>
        <v>0.16</v>
      </c>
      <c r="AC5" s="25">
        <f>IFERROR(HLOOKUP(AC14,WACC_monthly!1:2,2,0),'Как будет'!AB5)</f>
        <v>0.16</v>
      </c>
      <c r="AD5" s="25">
        <f>IFERROR(HLOOKUP(AD14,WACC_monthly!1:2,2,0),'Как будет'!AC5)</f>
        <v>0.16</v>
      </c>
      <c r="AE5" s="25">
        <f>IFERROR(HLOOKUP(AE14,WACC_monthly!1:2,2,0),'Как будет'!AD5)</f>
        <v>0.16</v>
      </c>
      <c r="AF5" s="25">
        <f>IFERROR(HLOOKUP(AF14,WACC_monthly!1:2,2,0),'Как будет'!AE5)</f>
        <v>0.16</v>
      </c>
      <c r="AG5" s="25">
        <f>IFERROR(HLOOKUP(AG14,WACC_monthly!1:2,2,0),'Как будет'!AF5)</f>
        <v>0.16</v>
      </c>
      <c r="AH5" s="25">
        <f>IFERROR(HLOOKUP(AH14,WACC_monthly!1:2,2,0),'Как будет'!AG5)</f>
        <v>0.16</v>
      </c>
      <c r="AI5" s="25">
        <f>IFERROR(HLOOKUP(AI14,WACC_monthly!1:2,2,0),'Как будет'!AH5)</f>
        <v>0.16</v>
      </c>
      <c r="AJ5" s="25">
        <f>IFERROR(HLOOKUP(AJ14,WACC_monthly!1:2,2,0),'Как будет'!AI5)</f>
        <v>0.16</v>
      </c>
      <c r="AK5" s="25">
        <f>IFERROR(HLOOKUP(AK14,WACC_monthly!1:2,2,0),'Как будет'!AJ5)</f>
        <v>0.16</v>
      </c>
      <c r="AL5" s="25">
        <f>IFERROR(HLOOKUP(AL14,WACC_monthly!1:2,2,0),'Как будет'!AK5)</f>
        <v>0.16</v>
      </c>
      <c r="AM5" s="25">
        <f>IFERROR(HLOOKUP(AM14,WACC_monthly!1:2,2,0),'Как будет'!AL5)</f>
        <v>0.16</v>
      </c>
      <c r="AN5" s="25">
        <f>IFERROR(HLOOKUP(AN14,WACC_monthly!1:2,2,0),'Как будет'!AM5)</f>
        <v>0.16</v>
      </c>
      <c r="AO5" s="25">
        <f>IFERROR(HLOOKUP(AO14,WACC_monthly!1:2,2,0),'Как будет'!AN5)</f>
        <v>0.16</v>
      </c>
      <c r="AP5" s="25">
        <f>IFERROR(HLOOKUP(AP14,WACC_monthly!1:2,2,0),'Как будет'!AO5)</f>
        <v>0.16</v>
      </c>
      <c r="AQ5" s="25">
        <f>IFERROR(HLOOKUP(AQ14,WACC_monthly!1:2,2,0),'Как будет'!AP5)</f>
        <v>0.16</v>
      </c>
      <c r="AR5" s="25">
        <f>IFERROR(HLOOKUP(AR14,WACC_monthly!1:2,2,0),'Как будет'!AQ5)</f>
        <v>0.16</v>
      </c>
      <c r="AS5" s="25">
        <f>IFERROR(HLOOKUP(AS14,WACC_monthly!1:2,2,0),'Как будет'!AR5)</f>
        <v>0.16</v>
      </c>
      <c r="AT5" s="25">
        <f>IFERROR(HLOOKUP(AT14,WACC_monthly!1:2,2,0),'Как будет'!AS5)</f>
        <v>0.16</v>
      </c>
      <c r="AU5" s="25">
        <f>IFERROR(HLOOKUP(AU14,WACC_monthly!1:2,2,0),'Как будет'!AT5)</f>
        <v>0.16</v>
      </c>
      <c r="AV5" s="25">
        <f>IFERROR(HLOOKUP(AV14,WACC_monthly!1:2,2,0),'Как будет'!AU5)</f>
        <v>0.16</v>
      </c>
      <c r="AW5" s="25">
        <f>IFERROR(HLOOKUP(AW14,WACC_monthly!1:2,2,0),'Как будет'!AV5)</f>
        <v>0.16</v>
      </c>
      <c r="AX5" s="25">
        <f>IFERROR(HLOOKUP(AX14,WACC_monthly!1:2,2,0),'Как будет'!AW5)</f>
        <v>0.16</v>
      </c>
      <c r="AY5" s="25">
        <f>IFERROR(HLOOKUP(AY14,WACC_monthly!1:2,2,0),'Как будет'!AX5)</f>
        <v>0.16</v>
      </c>
      <c r="AZ5" s="25">
        <f>IFERROR(HLOOKUP(AZ14,WACC_monthly!1:2,2,0),'Как будет'!AY5)</f>
        <v>0.16</v>
      </c>
      <c r="BA5" s="25">
        <f>IFERROR(HLOOKUP(BA14,WACC_monthly!1:2,2,0),'Как будет'!AZ5)</f>
        <v>0.16</v>
      </c>
      <c r="BB5" s="25">
        <f>IFERROR(HLOOKUP(BB14,WACC_monthly!1:2,2,0),'Как будет'!BA5)</f>
        <v>0.16</v>
      </c>
      <c r="BC5" s="25">
        <f>IFERROR(HLOOKUP(BC14,WACC_monthly!1:2,2,0),'Как будет'!BB5)</f>
        <v>0.16</v>
      </c>
      <c r="BD5" s="25">
        <f>IFERROR(HLOOKUP(BD14,WACC_monthly!1:2,2,0),'Как будет'!BC5)</f>
        <v>0.16</v>
      </c>
      <c r="BE5" s="25">
        <f>IFERROR(HLOOKUP(BE14,WACC_monthly!1:2,2,0),'Как будет'!BD5)</f>
        <v>0.16</v>
      </c>
      <c r="BF5" s="25">
        <f>IFERROR(HLOOKUP(BF14,WACC_monthly!1:2,2,0),'Как будет'!BE5)</f>
        <v>0.16</v>
      </c>
      <c r="BG5" s="25">
        <f>IFERROR(HLOOKUP(BG14,WACC_monthly!1:2,2,0),'Как будет'!BF5)</f>
        <v>0.16</v>
      </c>
      <c r="BH5" s="25">
        <f>IFERROR(HLOOKUP(BH14,WACC_monthly!1:2,2,0),'Как будет'!BG5)</f>
        <v>0.16</v>
      </c>
      <c r="BI5" s="25">
        <f>IFERROR(HLOOKUP(BI14,WACC_monthly!1:2,2,0),'Как будет'!BH5)</f>
        <v>0.16</v>
      </c>
      <c r="BJ5" s="25">
        <f>IFERROR(HLOOKUP(BJ14,WACC_monthly!1:2,2,0),'Как будет'!BI5)</f>
        <v>0.16</v>
      </c>
      <c r="BK5" s="25">
        <f>IFERROR(HLOOKUP(BK14,WACC_monthly!1:2,2,0),'Как будет'!BJ5)</f>
        <v>0.16</v>
      </c>
      <c r="BL5" s="25">
        <f>IFERROR(HLOOKUP(BL14,WACC_monthly!1:2,2,0),'Как будет'!BK5)</f>
        <v>0.16</v>
      </c>
      <c r="BM5" s="25">
        <f>IFERROR(HLOOKUP(BM14,WACC_monthly!1:2,2,0),'Как будет'!BL5)</f>
        <v>0.16</v>
      </c>
      <c r="BN5" s="25">
        <f>IFERROR(HLOOKUP(BN14,WACC_monthly!1:2,2,0),'Как будет'!BM5)</f>
        <v>0.16</v>
      </c>
      <c r="BO5" s="25">
        <f>IFERROR(HLOOKUP(BO14,WACC_monthly!1:2,2,0),'Как будет'!BN5)</f>
        <v>0.16</v>
      </c>
      <c r="BP5" s="25">
        <f>IFERROR(HLOOKUP(BP14,WACC_monthly!1:2,2,0),'Как будет'!BO5)</f>
        <v>0.16</v>
      </c>
      <c r="BQ5" s="25">
        <f>IFERROR(HLOOKUP(BQ14,WACC_monthly!1:2,2,0),'Как будет'!BP5)</f>
        <v>0.16</v>
      </c>
      <c r="BR5" s="25">
        <f>IFERROR(HLOOKUP(BR14,WACC_monthly!1:2,2,0),'Как будет'!BQ5)</f>
        <v>0.16</v>
      </c>
      <c r="BS5" s="25">
        <f>IFERROR(HLOOKUP(BS14,WACC_monthly!1:2,2,0),'Как будет'!BR5)</f>
        <v>0.16</v>
      </c>
      <c r="BT5" s="25">
        <f>IFERROR(HLOOKUP(BT14,WACC_monthly!1:2,2,0),'Как будет'!BS5)</f>
        <v>0.16</v>
      </c>
      <c r="BU5" s="25">
        <f>IFERROR(HLOOKUP(BU14,WACC_monthly!1:2,2,0),'Как будет'!BT5)</f>
        <v>0.16</v>
      </c>
      <c r="BV5" s="25">
        <f>IFERROR(HLOOKUP(BV14,WACC_monthly!1:2,2,0),'Как будет'!BU5)</f>
        <v>0.16</v>
      </c>
      <c r="BW5" s="25">
        <f>IFERROR(HLOOKUP(BW14,WACC_monthly!1:2,2,0),'Как будет'!BV5)</f>
        <v>0.16</v>
      </c>
      <c r="BX5" s="25">
        <f>IFERROR(HLOOKUP(BX14,WACC_monthly!1:2,2,0),'Как будет'!BW5)</f>
        <v>0.16</v>
      </c>
      <c r="BY5" s="25">
        <f>IFERROR(HLOOKUP(BY14,WACC_monthly!1:2,2,0),'Как будет'!BX5)</f>
        <v>0.16</v>
      </c>
      <c r="BZ5" s="25">
        <f>IFERROR(HLOOKUP(BZ14,WACC_monthly!1:2,2,0),'Как будет'!BY5)</f>
        <v>0.16</v>
      </c>
      <c r="CA5" s="25">
        <f>IFERROR(HLOOKUP(CA14,WACC_monthly!1:2,2,0),'Как будет'!BZ5)</f>
        <v>0.16</v>
      </c>
      <c r="CB5" s="25">
        <f>IFERROR(HLOOKUP(CB14,WACC_monthly!1:2,2,0),'Как будет'!CA5)</f>
        <v>0.16</v>
      </c>
      <c r="CC5" s="25">
        <f>IFERROR(HLOOKUP(CC14,WACC_monthly!1:2,2,0),'Как будет'!CB5)</f>
        <v>0.16</v>
      </c>
      <c r="CD5" s="25">
        <f>IFERROR(HLOOKUP(CD14,WACC_monthly!1:2,2,0),'Как будет'!CC5)</f>
        <v>0.16</v>
      </c>
      <c r="CE5" s="25">
        <f>IFERROR(HLOOKUP(CE14,WACC_monthly!1:2,2,0),'Как будет'!CD5)</f>
        <v>0.16</v>
      </c>
      <c r="CF5" s="25">
        <f>IFERROR(HLOOKUP(CF14,WACC_monthly!1:2,2,0),'Как будет'!CE5)</f>
        <v>0.16</v>
      </c>
      <c r="CG5" s="25">
        <f>IFERROR(HLOOKUP(CG14,WACC_monthly!1:2,2,0),'Как будет'!CF5)</f>
        <v>0.16</v>
      </c>
      <c r="CH5" s="25">
        <f>IFERROR(HLOOKUP(CH14,WACC_monthly!1:2,2,0),'Как будет'!CG5)</f>
        <v>0.16</v>
      </c>
      <c r="CI5" s="25">
        <f>IFERROR(HLOOKUP(CI14,WACC_monthly!1:2,2,0),'Как будет'!CH5)</f>
        <v>0.16</v>
      </c>
      <c r="CJ5" s="25">
        <f>IFERROR(HLOOKUP(CJ14,WACC_monthly!1:2,2,0),'Как будет'!CI5)</f>
        <v>0.16</v>
      </c>
      <c r="CK5" s="25">
        <f>IFERROR(HLOOKUP(CK14,WACC_monthly!1:2,2,0),'Как будет'!CJ5)</f>
        <v>0.16</v>
      </c>
      <c r="CL5" s="25">
        <f>IFERROR(HLOOKUP(CL14,WACC_monthly!1:2,2,0),'Как будет'!CK5)</f>
        <v>0.16</v>
      </c>
      <c r="CM5" s="25">
        <f>IFERROR(HLOOKUP(CM14,WACC_monthly!1:2,2,0),'Как будет'!CL5)</f>
        <v>0.16</v>
      </c>
      <c r="CN5" s="25">
        <f>IFERROR(HLOOKUP(CN14,WACC_monthly!1:2,2,0),'Как будет'!CM5)</f>
        <v>0.16</v>
      </c>
      <c r="CO5" s="25">
        <f>IFERROR(HLOOKUP(CO14,WACC_monthly!1:2,2,0),'Как будет'!CN5)</f>
        <v>0.16</v>
      </c>
      <c r="CP5" s="25">
        <f>IFERROR(HLOOKUP(CP14,WACC_monthly!1:2,2,0),'Как будет'!CO5)</f>
        <v>0.16</v>
      </c>
      <c r="CQ5" s="25">
        <f>IFERROR(HLOOKUP(CQ14,WACC_monthly!1:2,2,0),'Как будет'!CP5)</f>
        <v>0.16</v>
      </c>
      <c r="CR5" s="25">
        <f>IFERROR(HLOOKUP(CR14,WACC_monthly!1:2,2,0),'Как будет'!CQ5)</f>
        <v>0.16</v>
      </c>
      <c r="CS5" s="25">
        <f>IFERROR(HLOOKUP(CS14,WACC_monthly!1:2,2,0),'Как будет'!CR5)</f>
        <v>0.16</v>
      </c>
      <c r="CT5" s="25">
        <f>IFERROR(HLOOKUP(CT14,WACC_monthly!1:2,2,0),'Как будет'!CS5)</f>
        <v>0.16</v>
      </c>
      <c r="CU5" s="25">
        <f>IFERROR(HLOOKUP(CU14,WACC_monthly!1:2,2,0),'Как будет'!CT5)</f>
        <v>0.16</v>
      </c>
      <c r="CV5" s="25">
        <f>IFERROR(HLOOKUP(CV14,WACC_monthly!1:2,2,0),'Как будет'!CU5)</f>
        <v>0.16</v>
      </c>
      <c r="CW5" s="25">
        <f>IFERROR(HLOOKUP(CW14,WACC_monthly!1:2,2,0),'Как будет'!CV5)</f>
        <v>0.16</v>
      </c>
      <c r="CX5" s="25">
        <f>IFERROR(HLOOKUP(CX14,WACC_monthly!1:2,2,0),'Как будет'!CW5)</f>
        <v>0.16</v>
      </c>
      <c r="CY5" s="25">
        <f>IFERROR(HLOOKUP(CY14,WACC_monthly!1:2,2,0),'Как будет'!CX5)</f>
        <v>0.16</v>
      </c>
      <c r="CZ5" s="25">
        <f>IFERROR(HLOOKUP(CZ14,WACC_monthly!1:2,2,0),'Как будет'!CY5)</f>
        <v>0.16</v>
      </c>
      <c r="DA5" s="25">
        <f>IFERROR(HLOOKUP(DA14,WACC_monthly!1:2,2,0),'Как будет'!CZ5)</f>
        <v>0.16</v>
      </c>
      <c r="DB5" s="25">
        <f>IFERROR(HLOOKUP(DB14,WACC_monthly!1:2,2,0),'Как будет'!DA5)</f>
        <v>0.16</v>
      </c>
      <c r="DC5" s="25">
        <f>IFERROR(HLOOKUP(DC14,WACC_monthly!1:2,2,0),'Как будет'!DB5)</f>
        <v>0.16</v>
      </c>
      <c r="DD5" s="25">
        <f>IFERROR(HLOOKUP(DD14,WACC_monthly!1:2,2,0),'Как будет'!DC5)</f>
        <v>0.16</v>
      </c>
      <c r="DE5" s="25">
        <f>IFERROR(HLOOKUP(DE14,WACC_monthly!1:2,2,0),'Как будет'!DD5)</f>
        <v>0.16</v>
      </c>
      <c r="DF5" s="25">
        <f>IFERROR(HLOOKUP(DF14,WACC_monthly!1:2,2,0),'Как будет'!DE5)</f>
        <v>0.16</v>
      </c>
      <c r="DG5" s="25">
        <f>IFERROR(HLOOKUP(DG14,WACC_monthly!1:2,2,0),'Как будет'!DF5)</f>
        <v>0.16</v>
      </c>
      <c r="DH5" s="25">
        <f>IFERROR(HLOOKUP(DH14,WACC_monthly!1:2,2,0),'Как будет'!DG5)</f>
        <v>0.16</v>
      </c>
      <c r="DI5" s="25">
        <f>IFERROR(HLOOKUP(DI14,WACC_monthly!1:2,2,0),'Как будет'!DH5)</f>
        <v>0.16</v>
      </c>
      <c r="DJ5" s="25">
        <f>IFERROR(HLOOKUP(DJ14,WACC_monthly!1:2,2,0),'Как будет'!DI5)</f>
        <v>0.16</v>
      </c>
      <c r="DK5" s="25">
        <f>IFERROR(HLOOKUP(DK14,WACC_monthly!1:2,2,0),'Как будет'!DJ5)</f>
        <v>0.16</v>
      </c>
      <c r="DL5" s="25">
        <f>IFERROR(HLOOKUP(DL14,WACC_monthly!1:2,2,0),'Как будет'!DK5)</f>
        <v>0.16</v>
      </c>
      <c r="DM5" s="25">
        <f>IFERROR(HLOOKUP(DM14,WACC_monthly!1:2,2,0),'Как будет'!DL5)</f>
        <v>0.16</v>
      </c>
      <c r="DN5" s="25">
        <f>IFERROR(HLOOKUP(DN14,WACC_monthly!1:2,2,0),'Как будет'!DM5)</f>
        <v>0.16</v>
      </c>
      <c r="DO5" s="25">
        <f>IFERROR(HLOOKUP(DO14,WACC_monthly!1:2,2,0),'Как будет'!DN5)</f>
        <v>0.16</v>
      </c>
      <c r="DP5" s="25">
        <f>IFERROR(HLOOKUP(DP14,WACC_monthly!1:2,2,0),'Как будет'!DO5)</f>
        <v>0.16</v>
      </c>
      <c r="DQ5" s="25">
        <f>IFERROR(HLOOKUP(DQ14,WACC_monthly!1:2,2,0),'Как будет'!DP5)</f>
        <v>0.16</v>
      </c>
      <c r="DR5" s="25">
        <f>IFERROR(HLOOKUP(DR14,WACC_monthly!1:2,2,0),'Как будет'!DQ5)</f>
        <v>0.16</v>
      </c>
      <c r="DS5" s="25">
        <f>IFERROR(HLOOKUP(DS14,WACC_monthly!1:2,2,0),'Как будет'!DR5)</f>
        <v>0.16</v>
      </c>
      <c r="DT5" s="25">
        <f>IFERROR(HLOOKUP(DT14,WACC_monthly!1:2,2,0),'Как будет'!DS5)</f>
        <v>0.16</v>
      </c>
      <c r="DU5" s="25">
        <f>IFERROR(HLOOKUP(DU14,WACC_monthly!1:2,2,0),'Как будет'!DT5)</f>
        <v>0.16</v>
      </c>
      <c r="DV5" s="25">
        <f>IFERROR(HLOOKUP(DV14,WACC_monthly!1:2,2,0),'Как будет'!DU5)</f>
        <v>0.16</v>
      </c>
      <c r="DW5" s="25">
        <f>IFERROR(HLOOKUP(DW14,WACC_monthly!1:2,2,0),'Как будет'!DV5)</f>
        <v>0.16</v>
      </c>
      <c r="DX5" s="25">
        <f>IFERROR(HLOOKUP(DX14,WACC_monthly!1:2,2,0),'Как будет'!DW5)</f>
        <v>0.16</v>
      </c>
      <c r="DY5" s="25">
        <f>IFERROR(HLOOKUP(DY14,WACC_monthly!1:2,2,0),'Как будет'!DX5)</f>
        <v>0.16</v>
      </c>
      <c r="DZ5" s="25">
        <f>IFERROR(HLOOKUP(DZ14,WACC_monthly!1:2,2,0),'Как будет'!DY5)</f>
        <v>0.16</v>
      </c>
      <c r="EA5" s="25">
        <f>IFERROR(HLOOKUP(EA14,WACC_monthly!1:2,2,0),'Как будет'!DZ5)</f>
        <v>0.16</v>
      </c>
      <c r="EB5" s="25">
        <f>IFERROR(HLOOKUP(EB14,WACC_monthly!1:2,2,0),'Как будет'!EA5)</f>
        <v>0.16</v>
      </c>
      <c r="EC5" s="25">
        <f>IFERROR(HLOOKUP(EC14,WACC_monthly!1:2,2,0),'Как будет'!EB5)</f>
        <v>0.16</v>
      </c>
      <c r="ED5" s="25">
        <f>IFERROR(HLOOKUP(ED14,WACC_monthly!1:2,2,0),'Как будет'!EC5)</f>
        <v>0.16</v>
      </c>
      <c r="EE5" s="25">
        <f>IFERROR(HLOOKUP(EE14,WACC_monthly!1:2,2,0),'Как будет'!ED5)</f>
        <v>0.16</v>
      </c>
      <c r="EF5" s="25">
        <f>IFERROR(HLOOKUP(EF14,WACC_monthly!1:2,2,0),'Как будет'!EE5)</f>
        <v>0.16</v>
      </c>
      <c r="EG5" s="25">
        <f>IFERROR(HLOOKUP(EG14,WACC_monthly!1:2,2,0),'Как будет'!EF5)</f>
        <v>0.16</v>
      </c>
      <c r="EH5" s="25">
        <f>IFERROR(HLOOKUP(EH14,WACC_monthly!1:2,2,0),'Как будет'!EG5)</f>
        <v>0.16</v>
      </c>
      <c r="EI5" s="25">
        <f>IFERROR(HLOOKUP(EI14,WACC_monthly!1:2,2,0),'Как будет'!EH5)</f>
        <v>0.16</v>
      </c>
      <c r="EJ5" s="25">
        <f>IFERROR(HLOOKUP(EJ14,WACC_monthly!1:2,2,0),'Как будет'!EI5)</f>
        <v>0.16</v>
      </c>
      <c r="EK5" s="25">
        <f>IFERROR(HLOOKUP(EK14,WACC_monthly!1:2,2,0),'Как будет'!EJ5)</f>
        <v>0.16</v>
      </c>
      <c r="EL5" s="25">
        <f>IFERROR(HLOOKUP(EL14,WACC_monthly!1:2,2,0),'Как будет'!EK5)</f>
        <v>0.16</v>
      </c>
      <c r="EM5" s="25">
        <f>IFERROR(HLOOKUP(EM14,WACC_monthly!1:2,2,0),'Как будет'!EL5)</f>
        <v>0.16</v>
      </c>
      <c r="EN5" s="25">
        <f>IFERROR(HLOOKUP(EN14,WACC_monthly!1:2,2,0),'Как будет'!EM5)</f>
        <v>0.16</v>
      </c>
      <c r="EO5" s="25">
        <f>IFERROR(HLOOKUP(EO14,WACC_monthly!1:2,2,0),'Как будет'!EN5)</f>
        <v>0.16</v>
      </c>
      <c r="EP5" s="25">
        <f>IFERROR(HLOOKUP(EP14,WACC_monthly!1:2,2,0),'Как будет'!EO5)</f>
        <v>0.16</v>
      </c>
      <c r="EQ5" s="25">
        <f>IFERROR(HLOOKUP(EQ14,WACC_monthly!1:2,2,0),'Как будет'!EP5)</f>
        <v>0.16</v>
      </c>
      <c r="ER5" s="25">
        <f>IFERROR(HLOOKUP(ER14,WACC_monthly!1:2,2,0),'Как будет'!EQ5)</f>
        <v>0.16</v>
      </c>
      <c r="ES5" s="25">
        <f>IFERROR(HLOOKUP(ES14,WACC_monthly!1:2,2,0),'Как будет'!ER5)</f>
        <v>0.16</v>
      </c>
      <c r="ET5" s="25">
        <f>IFERROR(HLOOKUP(ET14,WACC_monthly!1:2,2,0),'Как будет'!ES5)</f>
        <v>0.16</v>
      </c>
      <c r="EU5" s="25">
        <f>IFERROR(HLOOKUP(EU14,WACC_monthly!1:2,2,0),'Как будет'!ET5)</f>
        <v>0.16</v>
      </c>
      <c r="EV5" s="25">
        <f>IFERROR(HLOOKUP(EV14,WACC_monthly!1:2,2,0),'Как будет'!EU5)</f>
        <v>0.16</v>
      </c>
      <c r="EW5" s="25">
        <f>IFERROR(HLOOKUP(EW14,WACC_monthly!1:2,2,0),'Как будет'!EV5)</f>
        <v>0.16</v>
      </c>
      <c r="EX5" s="25">
        <f>IFERROR(HLOOKUP(EX14,WACC_monthly!1:2,2,0),'Как будет'!EW5)</f>
        <v>0.16</v>
      </c>
      <c r="EY5" s="25">
        <f>IFERROR(HLOOKUP(EY14,WACC_monthly!1:2,2,0),'Как будет'!EX5)</f>
        <v>0.16</v>
      </c>
      <c r="EZ5" s="25">
        <f>IFERROR(HLOOKUP(EZ14,WACC_monthly!1:2,2,0),'Как будет'!EY5)</f>
        <v>0.16</v>
      </c>
      <c r="FA5" s="25">
        <f>IFERROR(HLOOKUP(FA14,WACC_monthly!1:2,2,0),'Как будет'!EZ5)</f>
        <v>0.16</v>
      </c>
      <c r="FB5" s="25">
        <f>IFERROR(HLOOKUP(FB14,WACC_monthly!1:2,2,0),'Как будет'!FA5)</f>
        <v>0.16</v>
      </c>
      <c r="FC5" s="25">
        <f>IFERROR(HLOOKUP(FC14,WACC_monthly!1:2,2,0),'Как будет'!FB5)</f>
        <v>0.16</v>
      </c>
      <c r="FD5" s="25">
        <f>IFERROR(HLOOKUP(FD14,WACC_monthly!1:2,2,0),'Как будет'!FC5)</f>
        <v>0.16</v>
      </c>
      <c r="FE5" s="25">
        <f>IFERROR(HLOOKUP(FE14,WACC_monthly!1:2,2,0),'Как будет'!FD5)</f>
        <v>0.16</v>
      </c>
      <c r="FF5" s="25">
        <f>IFERROR(HLOOKUP(FF14,WACC_monthly!1:2,2,0),'Как будет'!FE5)</f>
        <v>0.16</v>
      </c>
      <c r="FG5" s="25">
        <f>IFERROR(HLOOKUP(FG14,WACC_monthly!1:2,2,0),'Как будет'!FF5)</f>
        <v>0.16</v>
      </c>
      <c r="FH5" s="25">
        <f>IFERROR(HLOOKUP(FH14,WACC_monthly!1:2,2,0),'Как будет'!FG5)</f>
        <v>0.16</v>
      </c>
      <c r="FI5" s="25">
        <f>IFERROR(HLOOKUP(FI14,WACC_monthly!1:2,2,0),'Как будет'!FH5)</f>
        <v>0.16</v>
      </c>
      <c r="FJ5" s="25">
        <f>IFERROR(HLOOKUP(FJ14,WACC_monthly!1:2,2,0),'Как будет'!FI5)</f>
        <v>0.16</v>
      </c>
      <c r="FK5" s="25">
        <f>IFERROR(HLOOKUP(FK14,WACC_monthly!1:2,2,0),'Как будет'!FJ5)</f>
        <v>0.16</v>
      </c>
      <c r="FL5" s="25">
        <f>IFERROR(HLOOKUP(FL14,WACC_monthly!1:2,2,0),'Как будет'!FK5)</f>
        <v>0.16</v>
      </c>
      <c r="FM5" s="25">
        <f>IFERROR(HLOOKUP(FM14,WACC_monthly!1:2,2,0),'Как будет'!FL5)</f>
        <v>0.16</v>
      </c>
      <c r="FN5" s="25">
        <f>IFERROR(HLOOKUP(FN14,WACC_monthly!1:2,2,0),'Как будет'!FM5)</f>
        <v>0.16</v>
      </c>
      <c r="FO5" s="25">
        <f>IFERROR(HLOOKUP(FO14,WACC_monthly!1:2,2,0),'Как будет'!FN5)</f>
        <v>0.16</v>
      </c>
      <c r="FP5" s="25">
        <f>IFERROR(HLOOKUP(FP14,WACC_monthly!1:2,2,0),'Как будет'!FO5)</f>
        <v>0.16</v>
      </c>
      <c r="FQ5" s="25">
        <f>IFERROR(HLOOKUP(FQ14,WACC_monthly!1:2,2,0),'Как будет'!FP5)</f>
        <v>0.16</v>
      </c>
      <c r="FR5" s="25">
        <f>IFERROR(HLOOKUP(FR14,WACC_monthly!1:2,2,0),'Как будет'!FQ5)</f>
        <v>0.16</v>
      </c>
      <c r="FS5" s="25">
        <f>IFERROR(HLOOKUP(FS14,WACC_monthly!1:2,2,0),'Как будет'!FR5)</f>
        <v>0.16</v>
      </c>
      <c r="FT5" s="25">
        <f>IFERROR(HLOOKUP(FT14,WACC_monthly!1:2,2,0),'Как будет'!FS5)</f>
        <v>0.16</v>
      </c>
      <c r="FU5" s="25">
        <f>IFERROR(HLOOKUP(FU14,WACC_monthly!1:2,2,0),'Как будет'!FT5)</f>
        <v>0.16</v>
      </c>
      <c r="FV5" s="25">
        <f>IFERROR(HLOOKUP(FV14,WACC_monthly!1:2,2,0),'Как будет'!FU5)</f>
        <v>0.16</v>
      </c>
      <c r="FW5" s="25">
        <f>IFERROR(HLOOKUP(FW14,WACC_monthly!1:2,2,0),'Как будет'!FV5)</f>
        <v>0.16</v>
      </c>
      <c r="FX5" s="25">
        <f>IFERROR(HLOOKUP(FX14,WACC_monthly!1:2,2,0),'Как будет'!FW5)</f>
        <v>0.16</v>
      </c>
      <c r="FY5" s="25">
        <f>IFERROR(HLOOKUP(FY14,WACC_monthly!1:2,2,0),'Как будет'!FX5)</f>
        <v>0.16</v>
      </c>
      <c r="FZ5" s="25">
        <f>IFERROR(HLOOKUP(FZ14,WACC_monthly!1:2,2,0),'Как будет'!FY5)</f>
        <v>0.16</v>
      </c>
      <c r="GA5" s="25">
        <f>IFERROR(HLOOKUP(GA14,WACC_monthly!1:2,2,0),'Как будет'!FZ5)</f>
        <v>0.16</v>
      </c>
      <c r="GB5" s="25">
        <f>IFERROR(HLOOKUP(GB14,WACC_monthly!1:2,2,0),'Как будет'!GA5)</f>
        <v>0.16</v>
      </c>
      <c r="GC5" s="25">
        <f>IFERROR(HLOOKUP(GC14,WACC_monthly!1:2,2,0),'Как будет'!GB5)</f>
        <v>0.16</v>
      </c>
      <c r="GD5" s="25">
        <f>IFERROR(HLOOKUP(GD14,WACC_monthly!1:2,2,0),'Как будет'!GC5)</f>
        <v>0.16</v>
      </c>
      <c r="GE5" s="25">
        <f>IFERROR(HLOOKUP(GE14,WACC_monthly!1:2,2,0),'Как будет'!GD5)</f>
        <v>0.16</v>
      </c>
      <c r="GF5" s="25">
        <f>IFERROR(HLOOKUP(GF14,WACC_monthly!1:2,2,0),'Как будет'!GE5)</f>
        <v>0.16</v>
      </c>
      <c r="GG5" s="25">
        <f>IFERROR(HLOOKUP(GG14,WACC_monthly!1:2,2,0),'Как будет'!GF5)</f>
        <v>0.16</v>
      </c>
      <c r="GH5" s="25">
        <f>IFERROR(HLOOKUP(GH14,WACC_monthly!1:2,2,0),'Как будет'!GG5)</f>
        <v>0.16</v>
      </c>
      <c r="GI5" s="25">
        <f>IFERROR(HLOOKUP(GI14,WACC_monthly!1:2,2,0),'Как будет'!GH5)</f>
        <v>0.16</v>
      </c>
      <c r="GJ5" s="25">
        <f>IFERROR(HLOOKUP(GJ14,WACC_monthly!1:2,2,0),'Как будет'!GI5)</f>
        <v>0.16</v>
      </c>
      <c r="GK5" s="25">
        <f>IFERROR(HLOOKUP(GK14,WACC_monthly!1:2,2,0),'Как будет'!GJ5)</f>
        <v>0.16</v>
      </c>
      <c r="GL5" s="25">
        <f>IFERROR(HLOOKUP(GL14,WACC_monthly!1:2,2,0),'Как будет'!GK5)</f>
        <v>0.16</v>
      </c>
      <c r="GM5" s="25">
        <f>IFERROR(HLOOKUP(GM14,WACC_monthly!1:2,2,0),'Как будет'!GL5)</f>
        <v>0.16</v>
      </c>
      <c r="GN5" s="25">
        <f>IFERROR(HLOOKUP(GN14,WACC_monthly!1:2,2,0),'Как будет'!GM5)</f>
        <v>0.16</v>
      </c>
      <c r="GO5" s="25">
        <f>IFERROR(HLOOKUP(GO14,WACC_monthly!1:2,2,0),'Как будет'!GN5)</f>
        <v>0.16</v>
      </c>
      <c r="GP5" s="25">
        <f>IFERROR(HLOOKUP(GP14,WACC_monthly!1:2,2,0),'Как будет'!GO5)</f>
        <v>0.16</v>
      </c>
      <c r="GQ5" s="25">
        <f>IFERROR(HLOOKUP(GQ14,WACC_monthly!1:2,2,0),'Как будет'!GP5)</f>
        <v>0.16</v>
      </c>
      <c r="GR5" s="25">
        <f>IFERROR(HLOOKUP(GR14,WACC_monthly!1:2,2,0),'Как будет'!GQ5)</f>
        <v>0.16</v>
      </c>
      <c r="GS5" s="25">
        <f>IFERROR(HLOOKUP(GS14,WACC_monthly!1:2,2,0),'Как будет'!GR5)</f>
        <v>0.16</v>
      </c>
      <c r="GT5" s="25">
        <f>IFERROR(HLOOKUP(GT14,WACC_monthly!1:2,2,0),'Как будет'!GS5)</f>
        <v>0.16</v>
      </c>
    </row>
    <row r="6" spans="1:204" collapsed="1">
      <c r="A6" s="23"/>
    </row>
    <row r="7" spans="1:204">
      <c r="A7" s="24" t="s">
        <v>5</v>
      </c>
      <c r="C7" s="24">
        <f>'Как есть'!C7</f>
        <v>60</v>
      </c>
      <c r="D7" s="26"/>
    </row>
    <row r="9" spans="1:204" ht="10.5" hidden="1" customHeight="1" outlineLevel="1">
      <c r="C9" s="24">
        <f>C12</f>
        <v>2026</v>
      </c>
      <c r="D9" s="24">
        <f t="shared" ref="D9:BO9" si="0">D12</f>
        <v>2026</v>
      </c>
      <c r="E9" s="24">
        <f t="shared" si="0"/>
        <v>2026</v>
      </c>
      <c r="F9" s="24">
        <f t="shared" si="0"/>
        <v>2026</v>
      </c>
      <c r="G9" s="24">
        <f t="shared" si="0"/>
        <v>2026</v>
      </c>
      <c r="H9" s="24">
        <f t="shared" si="0"/>
        <v>2026</v>
      </c>
      <c r="I9" s="24">
        <f t="shared" si="0"/>
        <v>2026</v>
      </c>
      <c r="J9" s="24">
        <f t="shared" si="0"/>
        <v>2026</v>
      </c>
      <c r="K9" s="24">
        <f t="shared" si="0"/>
        <v>2026</v>
      </c>
      <c r="L9" s="24">
        <f t="shared" si="0"/>
        <v>2026</v>
      </c>
      <c r="M9" s="24">
        <f t="shared" si="0"/>
        <v>2026</v>
      </c>
      <c r="N9" s="24">
        <f t="shared" si="0"/>
        <v>2026</v>
      </c>
      <c r="O9" s="24">
        <f t="shared" si="0"/>
        <v>2027</v>
      </c>
      <c r="P9" s="24">
        <f t="shared" si="0"/>
        <v>2027</v>
      </c>
      <c r="Q9" s="24">
        <f t="shared" si="0"/>
        <v>2027</v>
      </c>
      <c r="R9" s="24">
        <f t="shared" si="0"/>
        <v>2027</v>
      </c>
      <c r="S9" s="24">
        <f t="shared" si="0"/>
        <v>2027</v>
      </c>
      <c r="T9" s="24">
        <f t="shared" si="0"/>
        <v>2027</v>
      </c>
      <c r="U9" s="24">
        <f t="shared" si="0"/>
        <v>2027</v>
      </c>
      <c r="V9" s="24">
        <f t="shared" si="0"/>
        <v>2027</v>
      </c>
      <c r="W9" s="24">
        <f t="shared" si="0"/>
        <v>2027</v>
      </c>
      <c r="X9" s="24">
        <f t="shared" si="0"/>
        <v>2027</v>
      </c>
      <c r="Y9" s="24">
        <f t="shared" si="0"/>
        <v>2027</v>
      </c>
      <c r="Z9" s="24">
        <f t="shared" si="0"/>
        <v>2027</v>
      </c>
      <c r="AA9" s="24">
        <f t="shared" si="0"/>
        <v>2028</v>
      </c>
      <c r="AB9" s="24">
        <f t="shared" si="0"/>
        <v>2028</v>
      </c>
      <c r="AC9" s="24">
        <f t="shared" si="0"/>
        <v>2028</v>
      </c>
      <c r="AD9" s="24">
        <f t="shared" si="0"/>
        <v>2028</v>
      </c>
      <c r="AE9" s="24">
        <f t="shared" si="0"/>
        <v>2028</v>
      </c>
      <c r="AF9" s="24">
        <f t="shared" si="0"/>
        <v>2028</v>
      </c>
      <c r="AG9" s="24">
        <f t="shared" si="0"/>
        <v>2028</v>
      </c>
      <c r="AH9" s="24">
        <f t="shared" si="0"/>
        <v>2028</v>
      </c>
      <c r="AI9" s="24">
        <f t="shared" si="0"/>
        <v>2028</v>
      </c>
      <c r="AJ9" s="24">
        <f t="shared" si="0"/>
        <v>2028</v>
      </c>
      <c r="AK9" s="24">
        <f t="shared" si="0"/>
        <v>2028</v>
      </c>
      <c r="AL9" s="24">
        <f t="shared" si="0"/>
        <v>2028</v>
      </c>
      <c r="AM9" s="24">
        <f t="shared" si="0"/>
        <v>2029</v>
      </c>
      <c r="AN9" s="24">
        <f t="shared" si="0"/>
        <v>2029</v>
      </c>
      <c r="AO9" s="24">
        <f t="shared" si="0"/>
        <v>2029</v>
      </c>
      <c r="AP9" s="24">
        <f t="shared" si="0"/>
        <v>2029</v>
      </c>
      <c r="AQ9" s="24">
        <f t="shared" si="0"/>
        <v>2029</v>
      </c>
      <c r="AR9" s="24">
        <f t="shared" si="0"/>
        <v>2029</v>
      </c>
      <c r="AS9" s="24">
        <f t="shared" si="0"/>
        <v>2029</v>
      </c>
      <c r="AT9" s="24">
        <f t="shared" si="0"/>
        <v>2029</v>
      </c>
      <c r="AU9" s="24">
        <f t="shared" si="0"/>
        <v>2029</v>
      </c>
      <c r="AV9" s="24">
        <f t="shared" si="0"/>
        <v>2029</v>
      </c>
      <c r="AW9" s="24">
        <f t="shared" si="0"/>
        <v>2029</v>
      </c>
      <c r="AX9" s="24">
        <f t="shared" si="0"/>
        <v>2029</v>
      </c>
      <c r="AY9" s="24">
        <f t="shared" si="0"/>
        <v>2030</v>
      </c>
      <c r="AZ9" s="24">
        <f t="shared" si="0"/>
        <v>2030</v>
      </c>
      <c r="BA9" s="24">
        <f t="shared" si="0"/>
        <v>2030</v>
      </c>
      <c r="BB9" s="24">
        <f t="shared" si="0"/>
        <v>2030</v>
      </c>
      <c r="BC9" s="24">
        <f t="shared" si="0"/>
        <v>2030</v>
      </c>
      <c r="BD9" s="24">
        <f t="shared" si="0"/>
        <v>2030</v>
      </c>
      <c r="BE9" s="24">
        <f t="shared" si="0"/>
        <v>2030</v>
      </c>
      <c r="BF9" s="24">
        <f t="shared" si="0"/>
        <v>2030</v>
      </c>
      <c r="BG9" s="24">
        <f t="shared" si="0"/>
        <v>2030</v>
      </c>
      <c r="BH9" s="24">
        <f t="shared" si="0"/>
        <v>2030</v>
      </c>
      <c r="BI9" s="24">
        <f t="shared" si="0"/>
        <v>2030</v>
      </c>
      <c r="BJ9" s="24">
        <f t="shared" si="0"/>
        <v>2030</v>
      </c>
      <c r="BK9" s="24" t="str">
        <f t="shared" si="0"/>
        <v/>
      </c>
      <c r="BL9" s="24" t="str">
        <f t="shared" si="0"/>
        <v/>
      </c>
      <c r="BM9" s="24" t="str">
        <f t="shared" si="0"/>
        <v/>
      </c>
      <c r="BN9" s="24" t="str">
        <f t="shared" si="0"/>
        <v/>
      </c>
      <c r="BO9" s="24" t="str">
        <f t="shared" si="0"/>
        <v/>
      </c>
      <c r="BP9" s="24" t="str">
        <f t="shared" ref="BP9:EA9" si="1">BP12</f>
        <v/>
      </c>
      <c r="BQ9" s="24" t="str">
        <f t="shared" si="1"/>
        <v/>
      </c>
      <c r="BR9" s="24" t="str">
        <f t="shared" si="1"/>
        <v/>
      </c>
      <c r="BS9" s="24" t="str">
        <f t="shared" si="1"/>
        <v/>
      </c>
      <c r="BT9" s="24" t="str">
        <f t="shared" si="1"/>
        <v/>
      </c>
      <c r="BU9" s="24" t="str">
        <f t="shared" si="1"/>
        <v/>
      </c>
      <c r="BV9" s="24" t="str">
        <f t="shared" si="1"/>
        <v/>
      </c>
      <c r="BW9" s="24" t="str">
        <f t="shared" si="1"/>
        <v/>
      </c>
      <c r="BX9" s="24" t="str">
        <f t="shared" si="1"/>
        <v/>
      </c>
      <c r="BY9" s="24" t="str">
        <f t="shared" si="1"/>
        <v/>
      </c>
      <c r="BZ9" s="24" t="str">
        <f t="shared" si="1"/>
        <v/>
      </c>
      <c r="CA9" s="24" t="str">
        <f t="shared" si="1"/>
        <v/>
      </c>
      <c r="CB9" s="24" t="str">
        <f t="shared" si="1"/>
        <v/>
      </c>
      <c r="CC9" s="24" t="str">
        <f t="shared" si="1"/>
        <v/>
      </c>
      <c r="CD9" s="24" t="str">
        <f t="shared" si="1"/>
        <v/>
      </c>
      <c r="CE9" s="24" t="str">
        <f t="shared" si="1"/>
        <v/>
      </c>
      <c r="CF9" s="24" t="str">
        <f t="shared" si="1"/>
        <v/>
      </c>
      <c r="CG9" s="24" t="str">
        <f t="shared" si="1"/>
        <v/>
      </c>
      <c r="CH9" s="24" t="str">
        <f t="shared" si="1"/>
        <v/>
      </c>
      <c r="CI9" s="24" t="str">
        <f t="shared" si="1"/>
        <v/>
      </c>
      <c r="CJ9" s="24" t="str">
        <f t="shared" si="1"/>
        <v/>
      </c>
      <c r="CK9" s="24" t="str">
        <f t="shared" si="1"/>
        <v/>
      </c>
      <c r="CL9" s="24" t="str">
        <f t="shared" si="1"/>
        <v/>
      </c>
      <c r="CM9" s="24" t="str">
        <f t="shared" si="1"/>
        <v/>
      </c>
      <c r="CN9" s="24" t="str">
        <f t="shared" si="1"/>
        <v/>
      </c>
      <c r="CO9" s="24" t="str">
        <f t="shared" si="1"/>
        <v/>
      </c>
      <c r="CP9" s="24" t="str">
        <f t="shared" si="1"/>
        <v/>
      </c>
      <c r="CQ9" s="24" t="str">
        <f t="shared" si="1"/>
        <v/>
      </c>
      <c r="CR9" s="24" t="str">
        <f t="shared" si="1"/>
        <v/>
      </c>
      <c r="CS9" s="24" t="str">
        <f t="shared" si="1"/>
        <v/>
      </c>
      <c r="CT9" s="24" t="str">
        <f t="shared" si="1"/>
        <v/>
      </c>
      <c r="CU9" s="24" t="str">
        <f t="shared" si="1"/>
        <v/>
      </c>
      <c r="CV9" s="24" t="str">
        <f t="shared" si="1"/>
        <v/>
      </c>
      <c r="CW9" s="24" t="str">
        <f t="shared" si="1"/>
        <v/>
      </c>
      <c r="CX9" s="24" t="str">
        <f t="shared" si="1"/>
        <v/>
      </c>
      <c r="CY9" s="24" t="str">
        <f t="shared" si="1"/>
        <v/>
      </c>
      <c r="CZ9" s="24" t="str">
        <f t="shared" si="1"/>
        <v/>
      </c>
      <c r="DA9" s="24" t="str">
        <f t="shared" si="1"/>
        <v/>
      </c>
      <c r="DB9" s="24" t="str">
        <f t="shared" si="1"/>
        <v/>
      </c>
      <c r="DC9" s="24" t="str">
        <f t="shared" si="1"/>
        <v/>
      </c>
      <c r="DD9" s="24" t="str">
        <f t="shared" si="1"/>
        <v/>
      </c>
      <c r="DE9" s="24" t="str">
        <f t="shared" si="1"/>
        <v/>
      </c>
      <c r="DF9" s="24" t="str">
        <f t="shared" si="1"/>
        <v/>
      </c>
      <c r="DG9" s="24" t="str">
        <f t="shared" si="1"/>
        <v/>
      </c>
      <c r="DH9" s="24" t="str">
        <f t="shared" si="1"/>
        <v/>
      </c>
      <c r="DI9" s="24" t="str">
        <f t="shared" si="1"/>
        <v/>
      </c>
      <c r="DJ9" s="24" t="str">
        <f t="shared" si="1"/>
        <v/>
      </c>
      <c r="DK9" s="24" t="str">
        <f t="shared" si="1"/>
        <v/>
      </c>
      <c r="DL9" s="24" t="str">
        <f t="shared" si="1"/>
        <v/>
      </c>
      <c r="DM9" s="24" t="str">
        <f t="shared" si="1"/>
        <v/>
      </c>
      <c r="DN9" s="24" t="str">
        <f t="shared" si="1"/>
        <v/>
      </c>
      <c r="DO9" s="24" t="str">
        <f t="shared" si="1"/>
        <v/>
      </c>
      <c r="DP9" s="24" t="str">
        <f t="shared" si="1"/>
        <v/>
      </c>
      <c r="DQ9" s="24" t="str">
        <f t="shared" si="1"/>
        <v/>
      </c>
      <c r="DR9" s="24" t="str">
        <f t="shared" si="1"/>
        <v/>
      </c>
      <c r="DS9" s="24" t="str">
        <f t="shared" si="1"/>
        <v/>
      </c>
      <c r="DT9" s="24" t="str">
        <f t="shared" si="1"/>
        <v/>
      </c>
      <c r="DU9" s="24" t="str">
        <f t="shared" si="1"/>
        <v/>
      </c>
      <c r="DV9" s="24" t="str">
        <f t="shared" si="1"/>
        <v/>
      </c>
      <c r="DW9" s="24" t="str">
        <f t="shared" si="1"/>
        <v/>
      </c>
      <c r="DX9" s="24" t="str">
        <f t="shared" si="1"/>
        <v/>
      </c>
      <c r="DY9" s="24" t="str">
        <f t="shared" si="1"/>
        <v/>
      </c>
      <c r="DZ9" s="24" t="str">
        <f t="shared" si="1"/>
        <v/>
      </c>
      <c r="EA9" s="24" t="str">
        <f t="shared" si="1"/>
        <v/>
      </c>
      <c r="EB9" s="24" t="str">
        <f t="shared" ref="EB9:GM9" si="2">EB12</f>
        <v/>
      </c>
      <c r="EC9" s="24" t="str">
        <f t="shared" si="2"/>
        <v/>
      </c>
      <c r="ED9" s="24" t="str">
        <f t="shared" si="2"/>
        <v/>
      </c>
      <c r="EE9" s="24" t="str">
        <f t="shared" si="2"/>
        <v/>
      </c>
      <c r="EF9" s="24" t="str">
        <f t="shared" si="2"/>
        <v/>
      </c>
      <c r="EG9" s="24" t="str">
        <f t="shared" si="2"/>
        <v/>
      </c>
      <c r="EH9" s="24" t="str">
        <f t="shared" si="2"/>
        <v/>
      </c>
      <c r="EI9" s="24" t="str">
        <f t="shared" si="2"/>
        <v/>
      </c>
      <c r="EJ9" s="24" t="str">
        <f t="shared" si="2"/>
        <v/>
      </c>
      <c r="EK9" s="24" t="str">
        <f t="shared" si="2"/>
        <v/>
      </c>
      <c r="EL9" s="24" t="str">
        <f t="shared" si="2"/>
        <v/>
      </c>
      <c r="EM9" s="24" t="str">
        <f t="shared" si="2"/>
        <v/>
      </c>
      <c r="EN9" s="24" t="str">
        <f t="shared" si="2"/>
        <v/>
      </c>
      <c r="EO9" s="24" t="str">
        <f t="shared" si="2"/>
        <v/>
      </c>
      <c r="EP9" s="24" t="str">
        <f t="shared" si="2"/>
        <v/>
      </c>
      <c r="EQ9" s="24" t="str">
        <f t="shared" si="2"/>
        <v/>
      </c>
      <c r="ER9" s="24" t="str">
        <f t="shared" si="2"/>
        <v/>
      </c>
      <c r="ES9" s="24" t="str">
        <f t="shared" si="2"/>
        <v/>
      </c>
      <c r="ET9" s="24" t="str">
        <f t="shared" si="2"/>
        <v/>
      </c>
      <c r="EU9" s="24" t="str">
        <f t="shared" si="2"/>
        <v/>
      </c>
      <c r="EV9" s="24" t="str">
        <f t="shared" si="2"/>
        <v/>
      </c>
      <c r="EW9" s="24" t="str">
        <f t="shared" si="2"/>
        <v/>
      </c>
      <c r="EX9" s="24" t="str">
        <f t="shared" si="2"/>
        <v/>
      </c>
      <c r="EY9" s="24" t="str">
        <f t="shared" si="2"/>
        <v/>
      </c>
      <c r="EZ9" s="24" t="str">
        <f t="shared" si="2"/>
        <v/>
      </c>
      <c r="FA9" s="24" t="str">
        <f t="shared" si="2"/>
        <v/>
      </c>
      <c r="FB9" s="24" t="str">
        <f t="shared" si="2"/>
        <v/>
      </c>
      <c r="FC9" s="24" t="str">
        <f t="shared" si="2"/>
        <v/>
      </c>
      <c r="FD9" s="24" t="str">
        <f t="shared" si="2"/>
        <v/>
      </c>
      <c r="FE9" s="24" t="str">
        <f t="shared" si="2"/>
        <v/>
      </c>
      <c r="FF9" s="24" t="str">
        <f t="shared" si="2"/>
        <v/>
      </c>
      <c r="FG9" s="24" t="str">
        <f t="shared" si="2"/>
        <v/>
      </c>
      <c r="FH9" s="24" t="str">
        <f t="shared" si="2"/>
        <v/>
      </c>
      <c r="FI9" s="24" t="str">
        <f t="shared" si="2"/>
        <v/>
      </c>
      <c r="FJ9" s="24" t="str">
        <f t="shared" si="2"/>
        <v/>
      </c>
      <c r="FK9" s="24" t="str">
        <f t="shared" si="2"/>
        <v/>
      </c>
      <c r="FL9" s="24" t="str">
        <f t="shared" si="2"/>
        <v/>
      </c>
      <c r="FM9" s="24" t="str">
        <f t="shared" si="2"/>
        <v/>
      </c>
      <c r="FN9" s="24" t="str">
        <f t="shared" si="2"/>
        <v/>
      </c>
      <c r="FO9" s="24" t="str">
        <f t="shared" si="2"/>
        <v/>
      </c>
      <c r="FP9" s="24" t="str">
        <f t="shared" si="2"/>
        <v/>
      </c>
      <c r="FQ9" s="24" t="str">
        <f t="shared" si="2"/>
        <v/>
      </c>
      <c r="FR9" s="24" t="str">
        <f t="shared" si="2"/>
        <v/>
      </c>
      <c r="FS9" s="24" t="str">
        <f t="shared" si="2"/>
        <v/>
      </c>
      <c r="FT9" s="24" t="str">
        <f t="shared" si="2"/>
        <v/>
      </c>
      <c r="FU9" s="24" t="str">
        <f t="shared" si="2"/>
        <v/>
      </c>
      <c r="FV9" s="24" t="str">
        <f t="shared" si="2"/>
        <v/>
      </c>
      <c r="FW9" s="24" t="str">
        <f t="shared" si="2"/>
        <v/>
      </c>
      <c r="FX9" s="24" t="str">
        <f t="shared" si="2"/>
        <v/>
      </c>
      <c r="FY9" s="24" t="str">
        <f t="shared" si="2"/>
        <v/>
      </c>
      <c r="FZ9" s="24" t="str">
        <f t="shared" si="2"/>
        <v/>
      </c>
      <c r="GA9" s="24" t="str">
        <f t="shared" si="2"/>
        <v/>
      </c>
      <c r="GB9" s="24" t="str">
        <f t="shared" si="2"/>
        <v/>
      </c>
      <c r="GC9" s="24" t="str">
        <f t="shared" si="2"/>
        <v/>
      </c>
      <c r="GD9" s="24" t="str">
        <f t="shared" si="2"/>
        <v/>
      </c>
      <c r="GE9" s="24" t="str">
        <f t="shared" si="2"/>
        <v/>
      </c>
      <c r="GF9" s="24" t="str">
        <f t="shared" si="2"/>
        <v/>
      </c>
      <c r="GG9" s="24" t="str">
        <f t="shared" si="2"/>
        <v/>
      </c>
      <c r="GH9" s="24" t="str">
        <f t="shared" si="2"/>
        <v/>
      </c>
      <c r="GI9" s="24" t="str">
        <f t="shared" si="2"/>
        <v/>
      </c>
      <c r="GJ9" s="24" t="str">
        <f t="shared" si="2"/>
        <v/>
      </c>
      <c r="GK9" s="24" t="str">
        <f t="shared" si="2"/>
        <v/>
      </c>
      <c r="GL9" s="24" t="str">
        <f t="shared" si="2"/>
        <v/>
      </c>
      <c r="GM9" s="24" t="str">
        <f t="shared" si="2"/>
        <v/>
      </c>
      <c r="GN9" s="24" t="str">
        <f t="shared" ref="GN9:GT9" si="3">GN12</f>
        <v/>
      </c>
      <c r="GO9" s="24" t="str">
        <f t="shared" si="3"/>
        <v/>
      </c>
      <c r="GP9" s="24" t="str">
        <f t="shared" si="3"/>
        <v/>
      </c>
      <c r="GQ9" s="24" t="str">
        <f t="shared" si="3"/>
        <v/>
      </c>
      <c r="GR9" s="24" t="str">
        <f t="shared" si="3"/>
        <v/>
      </c>
      <c r="GS9" s="24" t="str">
        <f t="shared" si="3"/>
        <v/>
      </c>
      <c r="GT9" s="24" t="str">
        <f t="shared" si="3"/>
        <v/>
      </c>
    </row>
    <row r="10" spans="1:204" hidden="1" outlineLevel="1">
      <c r="A10" s="24"/>
      <c r="C10" s="27">
        <f>C113</f>
        <v>1</v>
      </c>
      <c r="D10" s="27">
        <f t="shared" ref="D10:BO10" si="4">D113</f>
        <v>0.98770783971042153</v>
      </c>
      <c r="E10" s="27">
        <f t="shared" si="4"/>
        <v>0.97556677662542779</v>
      </c>
      <c r="F10" s="27">
        <f t="shared" si="4"/>
        <v>0.9635749534339606</v>
      </c>
      <c r="G10" s="27">
        <f t="shared" si="4"/>
        <v>0.95173053565532728</v>
      </c>
      <c r="H10" s="27">
        <f t="shared" si="4"/>
        <v>0.94003171135856567</v>
      </c>
      <c r="I10" s="27">
        <f t="shared" si="4"/>
        <v>0.92847669088525941</v>
      </c>
      <c r="J10" s="27">
        <f t="shared" si="4"/>
        <v>0.91706370657576042</v>
      </c>
      <c r="K10" s="27">
        <f t="shared" si="4"/>
        <v>0.90579101249877625</v>
      </c>
      <c r="L10" s="27">
        <f t="shared" si="4"/>
        <v>0.89465688418428169</v>
      </c>
      <c r="M10" s="27">
        <f t="shared" si="4"/>
        <v>0.88365961835971363</v>
      </c>
      <c r="N10" s="27">
        <f t="shared" si="4"/>
        <v>0.8727975326894083</v>
      </c>
      <c r="O10" s="27">
        <f t="shared" si="4"/>
        <v>0.86206896551724144</v>
      </c>
      <c r="P10" s="27">
        <f t="shared" si="4"/>
        <v>0.85147227561243244</v>
      </c>
      <c r="Q10" s="27">
        <f t="shared" si="4"/>
        <v>0.84100584191847227</v>
      </c>
      <c r="R10" s="27">
        <f t="shared" si="4"/>
        <v>0.83066806330513854</v>
      </c>
      <c r="S10" s="27">
        <f t="shared" si="4"/>
        <v>0.82045735832355804</v>
      </c>
      <c r="T10" s="27">
        <f t="shared" si="4"/>
        <v>0.81037216496428077</v>
      </c>
      <c r="U10" s="27">
        <f t="shared" si="4"/>
        <v>0.80041094041832705</v>
      </c>
      <c r="V10" s="27">
        <f t="shared" si="4"/>
        <v>0.79057216084117277</v>
      </c>
      <c r="W10" s="27">
        <f t="shared" si="4"/>
        <v>0.78085432111963471</v>
      </c>
      <c r="X10" s="27">
        <f t="shared" si="4"/>
        <v>0.77125593464162223</v>
      </c>
      <c r="Y10" s="27">
        <f t="shared" si="4"/>
        <v>0.7617755330687187</v>
      </c>
      <c r="Z10" s="27">
        <f t="shared" si="4"/>
        <v>0.75241166611155896</v>
      </c>
      <c r="AA10" s="27">
        <f t="shared" si="4"/>
        <v>0.74316290130796692</v>
      </c>
      <c r="AB10" s="27">
        <f t="shared" si="4"/>
        <v>0.73402782380382126</v>
      </c>
      <c r="AC10" s="27">
        <f t="shared" si="4"/>
        <v>0.72500503613661427</v>
      </c>
      <c r="AD10" s="27">
        <f t="shared" si="4"/>
        <v>0.71609315802167139</v>
      </c>
      <c r="AE10" s="27">
        <f t="shared" si="4"/>
        <v>0.70729082614099859</v>
      </c>
      <c r="AF10" s="27">
        <f t="shared" si="4"/>
        <v>0.69859669393472501</v>
      </c>
      <c r="AG10" s="27">
        <f t="shared" si="4"/>
        <v>0.69000943139510973</v>
      </c>
      <c r="AH10" s="27">
        <f t="shared" si="4"/>
        <v>0.68152772486308011</v>
      </c>
      <c r="AI10" s="27">
        <f t="shared" si="4"/>
        <v>0.67315027682727135</v>
      </c>
      <c r="AJ10" s="27">
        <f t="shared" si="4"/>
        <v>0.6648758057255364</v>
      </c>
      <c r="AK10" s="27">
        <f t="shared" si="4"/>
        <v>0.65670304574889549</v>
      </c>
      <c r="AL10" s="27">
        <f t="shared" si="4"/>
        <v>0.64863074664789566</v>
      </c>
      <c r="AM10" s="27">
        <f t="shared" si="4"/>
        <v>0.64065767354135073</v>
      </c>
      <c r="AN10" s="27">
        <f t="shared" si="4"/>
        <v>0.63278260672743203</v>
      </c>
      <c r="AO10" s="27">
        <f t="shared" si="4"/>
        <v>0.62500434149708117</v>
      </c>
      <c r="AP10" s="27">
        <f t="shared" si="4"/>
        <v>0.61732168794971665</v>
      </c>
      <c r="AQ10" s="27">
        <f t="shared" si="4"/>
        <v>0.60973347081120555</v>
      </c>
      <c r="AR10" s="27">
        <f t="shared" si="4"/>
        <v>0.60223852925407317</v>
      </c>
      <c r="AS10" s="27">
        <f t="shared" si="4"/>
        <v>0.59483571671992208</v>
      </c>
      <c r="AT10" s="27">
        <f t="shared" si="4"/>
        <v>0.58752390074403449</v>
      </c>
      <c r="AU10" s="27">
        <f t="shared" si="4"/>
        <v>0.58030196278213042</v>
      </c>
      <c r="AV10" s="27">
        <f t="shared" si="4"/>
        <v>0.57316879803925547</v>
      </c>
      <c r="AW10" s="27">
        <f t="shared" si="4"/>
        <v>0.56612331530077187</v>
      </c>
      <c r="AX10" s="27">
        <f t="shared" si="4"/>
        <v>0.55916443676542726</v>
      </c>
      <c r="AY10" s="27">
        <f t="shared" si="4"/>
        <v>0.55229109788047481</v>
      </c>
      <c r="AZ10" s="27">
        <f t="shared" si="4"/>
        <v>0.54550224717882079</v>
      </c>
      <c r="BA10" s="27">
        <f t="shared" si="4"/>
        <v>0.53879684611817347</v>
      </c>
      <c r="BB10" s="27">
        <f t="shared" si="4"/>
        <v>0.53217386892216956</v>
      </c>
      <c r="BC10" s="27">
        <f t="shared" si="4"/>
        <v>0.52563230242345316</v>
      </c>
      <c r="BD10" s="27">
        <f t="shared" si="4"/>
        <v>0.51917114590868385</v>
      </c>
      <c r="BE10" s="27">
        <f t="shared" si="4"/>
        <v>0.51278941096545017</v>
      </c>
      <c r="BF10" s="27">
        <f t="shared" si="4"/>
        <v>0.5064861213310643</v>
      </c>
      <c r="BG10" s="27">
        <f t="shared" si="4"/>
        <v>0.50026031274321592</v>
      </c>
      <c r="BH10" s="27">
        <f t="shared" si="4"/>
        <v>0.49411103279246166</v>
      </c>
      <c r="BI10" s="27">
        <f t="shared" si="4"/>
        <v>0.48803734077652755</v>
      </c>
      <c r="BJ10" s="27">
        <f t="shared" si="4"/>
        <v>0.48203830755640287</v>
      </c>
      <c r="BK10" s="27">
        <f t="shared" si="4"/>
        <v>0.47611301541420242</v>
      </c>
      <c r="BL10" s="27">
        <f t="shared" si="4"/>
        <v>0.47026055791277649</v>
      </c>
      <c r="BM10" s="27">
        <f t="shared" si="4"/>
        <v>0.46448003975704605</v>
      </c>
      <c r="BN10" s="27">
        <f t="shared" si="4"/>
        <v>0.45877057665704268</v>
      </c>
      <c r="BO10" s="27">
        <f t="shared" si="4"/>
        <v>0.45313129519263196</v>
      </c>
      <c r="BP10" s="27">
        <f t="shared" ref="BP10:EA10" si="5">BP113</f>
        <v>0.44756133267989984</v>
      </c>
      <c r="BQ10" s="27">
        <f t="shared" si="5"/>
        <v>0.44205983703918117</v>
      </c>
      <c r="BR10" s="27">
        <f t="shared" si="5"/>
        <v>0.4366259666647106</v>
      </c>
      <c r="BS10" s="27">
        <f t="shared" si="5"/>
        <v>0.43125889029587583</v>
      </c>
      <c r="BT10" s="27">
        <f t="shared" si="5"/>
        <v>0.4259577868900532</v>
      </c>
      <c r="BU10" s="27">
        <f t="shared" si="5"/>
        <v>0.42072184549700659</v>
      </c>
      <c r="BV10" s="27">
        <f t="shared" si="5"/>
        <v>0.41555026513483012</v>
      </c>
      <c r="BW10" s="27">
        <f t="shared" si="5"/>
        <v>0.41044225466741596</v>
      </c>
      <c r="BX10" s="27">
        <f t="shared" si="5"/>
        <v>0.40539703268342808</v>
      </c>
      <c r="BY10" s="27">
        <f t="shared" si="5"/>
        <v>0.4004138273767639</v>
      </c>
      <c r="BZ10" s="27">
        <f t="shared" si="5"/>
        <v>0.3954918764284851</v>
      </c>
      <c r="CA10" s="27">
        <f t="shared" si="5"/>
        <v>0.3906304268902</v>
      </c>
      <c r="CB10" s="27">
        <f t="shared" si="5"/>
        <v>0.38582873506887921</v>
      </c>
      <c r="CC10" s="27">
        <f t="shared" si="5"/>
        <v>0.38108606641308723</v>
      </c>
      <c r="CD10" s="27">
        <f t="shared" si="5"/>
        <v>0.37640169540061263</v>
      </c>
      <c r="CE10" s="27">
        <f t="shared" si="5"/>
        <v>0.37177490542747921</v>
      </c>
      <c r="CF10" s="27">
        <f t="shared" si="5"/>
        <v>0.36720498869832174</v>
      </c>
      <c r="CG10" s="27">
        <f t="shared" si="5"/>
        <v>0.3626912461181091</v>
      </c>
      <c r="CH10" s="27">
        <f t="shared" si="5"/>
        <v>0.35823298718519836</v>
      </c>
      <c r="CI10" s="27">
        <f t="shared" si="5"/>
        <v>0.35382952988570338</v>
      </c>
      <c r="CJ10" s="27">
        <f t="shared" si="5"/>
        <v>0.34948020058916213</v>
      </c>
      <c r="CK10" s="27">
        <f t="shared" si="5"/>
        <v>0.34518433394548609</v>
      </c>
      <c r="CL10" s="27">
        <f t="shared" si="5"/>
        <v>0.34094127278317682</v>
      </c>
      <c r="CM10" s="27">
        <f t="shared" si="5"/>
        <v>0.3367503680087931</v>
      </c>
      <c r="CN10" s="27">
        <f t="shared" si="5"/>
        <v>0.33261097850765448</v>
      </c>
      <c r="CO10" s="27">
        <f t="shared" si="5"/>
        <v>0.32852247104576487</v>
      </c>
      <c r="CP10" s="27">
        <f t="shared" si="5"/>
        <v>0.32448422017294193</v>
      </c>
      <c r="CQ10" s="27">
        <f t="shared" si="5"/>
        <v>0.32049560812713723</v>
      </c>
      <c r="CR10" s="27">
        <f t="shared" si="5"/>
        <v>0.31655602473993255</v>
      </c>
      <c r="CS10" s="27">
        <f t="shared" si="5"/>
        <v>0.31266486734319754</v>
      </c>
      <c r="CT10" s="27">
        <f t="shared" si="5"/>
        <v>0.30882154067689516</v>
      </c>
      <c r="CU10" s="27">
        <f t="shared" si="5"/>
        <v>0.30502545679802018</v>
      </c>
      <c r="CV10" s="27">
        <f t="shared" si="5"/>
        <v>0.30127603499065703</v>
      </c>
      <c r="CW10" s="27">
        <f t="shared" si="5"/>
        <v>0.29757270167714323</v>
      </c>
      <c r="CX10" s="27">
        <f t="shared" si="5"/>
        <v>0.29391489033032486</v>
      </c>
      <c r="CY10" s="27">
        <f t="shared" si="5"/>
        <v>0.29030204138689064</v>
      </c>
      <c r="CZ10" s="27">
        <f t="shared" si="5"/>
        <v>0.28673360216177113</v>
      </c>
      <c r="DA10" s="27">
        <f t="shared" si="5"/>
        <v>0.28320902676359039</v>
      </c>
      <c r="DB10" s="27">
        <f t="shared" si="5"/>
        <v>0.27972777601115684</v>
      </c>
      <c r="DC10" s="27">
        <f t="shared" si="5"/>
        <v>0.27628931735098039</v>
      </c>
      <c r="DD10" s="27">
        <f t="shared" si="5"/>
        <v>0.27289312477580391</v>
      </c>
      <c r="DE10" s="27">
        <f t="shared" si="5"/>
        <v>0.26953867874413578</v>
      </c>
      <c r="DF10" s="27">
        <f t="shared" si="5"/>
        <v>0.26622546610077169</v>
      </c>
      <c r="DG10" s="27">
        <f t="shared" si="5"/>
        <v>0.26295297999829326</v>
      </c>
      <c r="DH10" s="27">
        <f t="shared" si="5"/>
        <v>0.25972071981953193</v>
      </c>
      <c r="DI10" s="27">
        <f t="shared" si="5"/>
        <v>0.25652819110098557</v>
      </c>
      <c r="DJ10" s="27">
        <f t="shared" si="5"/>
        <v>0.25337490545717661</v>
      </c>
      <c r="DK10" s="27">
        <f t="shared" si="5"/>
        <v>0.25026038050594018</v>
      </c>
      <c r="DL10" s="27">
        <f t="shared" si="5"/>
        <v>0.24718413979463028</v>
      </c>
      <c r="DM10" s="27">
        <f t="shared" si="5"/>
        <v>0.24414571272723312</v>
      </c>
      <c r="DN10" s="27">
        <f t="shared" si="5"/>
        <v>0.24114463449237658</v>
      </c>
      <c r="DO10" s="27">
        <f t="shared" si="5"/>
        <v>0.23818044599222449</v>
      </c>
      <c r="DP10" s="27">
        <f t="shared" si="5"/>
        <v>0.23525269377224478</v>
      </c>
      <c r="DQ10" s="27">
        <f t="shared" si="5"/>
        <v>0.23236092995184124</v>
      </c>
      <c r="DR10" s="27">
        <f t="shared" si="5"/>
        <v>0.2295047121558377</v>
      </c>
      <c r="DS10" s="27">
        <f t="shared" si="5"/>
        <v>0.22668360344680458</v>
      </c>
      <c r="DT10" s="27">
        <f t="shared" si="5"/>
        <v>0.2238971722582172</v>
      </c>
      <c r="DU10" s="27">
        <f t="shared" si="5"/>
        <v>0.22114499232843585</v>
      </c>
      <c r="DV10" s="27">
        <f t="shared" si="5"/>
        <v>0.2184266426354971</v>
      </c>
      <c r="DW10" s="27">
        <f t="shared" si="5"/>
        <v>0.21574170733270709</v>
      </c>
      <c r="DX10" s="27">
        <f t="shared" si="5"/>
        <v>0.21308977568502613</v>
      </c>
      <c r="DY10" s="27">
        <f t="shared" si="5"/>
        <v>0.21047044200623546</v>
      </c>
      <c r="DZ10" s="27">
        <f t="shared" si="5"/>
        <v>0.2078833055968764</v>
      </c>
      <c r="EA10" s="27">
        <f t="shared" si="5"/>
        <v>0.20532797068295217</v>
      </c>
      <c r="EB10" s="27">
        <f t="shared" ref="EB10:GM10" si="6">EB113</f>
        <v>0.20280404635538346</v>
      </c>
      <c r="EC10" s="27">
        <f t="shared" si="6"/>
        <v>0.20031114651020798</v>
      </c>
      <c r="ED10" s="27">
        <f t="shared" si="6"/>
        <v>0.19784888978951526</v>
      </c>
      <c r="EE10" s="27">
        <f t="shared" si="6"/>
        <v>0.1954168995231074</v>
      </c>
      <c r="EF10" s="27">
        <f t="shared" si="6"/>
        <v>0.19301480367087692</v>
      </c>
      <c r="EG10" s="27">
        <f t="shared" si="6"/>
        <v>0.19064223476589298</v>
      </c>
      <c r="EH10" s="27">
        <f t="shared" si="6"/>
        <v>0.18829882985818719</v>
      </c>
      <c r="EI10" s="27">
        <f t="shared" si="6"/>
        <v>0.18598423045923029</v>
      </c>
      <c r="EJ10" s="27">
        <f t="shared" si="6"/>
        <v>0.18369808248709152</v>
      </c>
      <c r="EK10" s="27">
        <f t="shared" si="6"/>
        <v>0.18144003621227198</v>
      </c>
      <c r="EL10" s="27">
        <f t="shared" si="6"/>
        <v>0.1792097462042038</v>
      </c>
      <c r="EM10" s="27">
        <f t="shared" si="6"/>
        <v>0.17700687127840706</v>
      </c>
      <c r="EN10" s="27">
        <f t="shared" si="6"/>
        <v>0.1748310744442961</v>
      </c>
      <c r="EO10" s="27">
        <f t="shared" si="6"/>
        <v>0.17268202285362758</v>
      </c>
      <c r="EP10" s="27">
        <f t="shared" si="6"/>
        <v>0.17055938774958213</v>
      </c>
      <c r="EQ10" s="27">
        <f t="shared" si="6"/>
        <v>0.16846284441647189</v>
      </c>
      <c r="ER10" s="27">
        <f t="shared" si="6"/>
        <v>0.16639207213006629</v>
      </c>
      <c r="ES10" s="27">
        <f t="shared" si="6"/>
        <v>0.16434675410852842</v>
      </c>
      <c r="ET10" s="27">
        <f t="shared" si="6"/>
        <v>0.16232657746395446</v>
      </c>
      <c r="EU10" s="27">
        <f t="shared" si="6"/>
        <v>0.16033123315450884</v>
      </c>
      <c r="EV10" s="27">
        <f t="shared" si="6"/>
        <v>0.15836041593714784</v>
      </c>
      <c r="EW10" s="27">
        <f t="shared" si="6"/>
        <v>0.1564138243209241</v>
      </c>
      <c r="EX10" s="27">
        <f t="shared" si="6"/>
        <v>0.15449116052086534</v>
      </c>
      <c r="EY10" s="27">
        <f t="shared" si="6"/>
        <v>0.15259213041241987</v>
      </c>
      <c r="EZ10" s="27">
        <f t="shared" si="6"/>
        <v>0.15071644348646215</v>
      </c>
      <c r="FA10" s="27">
        <f t="shared" si="6"/>
        <v>0.14886381280485136</v>
      </c>
      <c r="FB10" s="27">
        <f t="shared" si="6"/>
        <v>0.14703395495653632</v>
      </c>
      <c r="FC10" s="27">
        <f t="shared" si="6"/>
        <v>0.14522659001419991</v>
      </c>
      <c r="FD10" s="27">
        <f t="shared" si="6"/>
        <v>0.14344144149143648</v>
      </c>
      <c r="FE10" s="27">
        <f t="shared" si="6"/>
        <v>0.14167823630045556</v>
      </c>
      <c r="FF10" s="27">
        <f t="shared" si="6"/>
        <v>0.13993670471030559</v>
      </c>
      <c r="FG10" s="27">
        <f t="shared" si="6"/>
        <v>0.1382165803056111</v>
      </c>
      <c r="FH10" s="27">
        <f t="shared" si="6"/>
        <v>0.13651759994581714</v>
      </c>
      <c r="FI10" s="27">
        <f t="shared" si="6"/>
        <v>0.13483950372493461</v>
      </c>
      <c r="FJ10" s="27">
        <f t="shared" si="6"/>
        <v>0.13318203493178049</v>
      </c>
      <c r="FK10" s="27">
        <f t="shared" si="6"/>
        <v>0.1315449400107068</v>
      </c>
      <c r="FL10" s="27">
        <f t="shared" si="6"/>
        <v>0.12992796852281221</v>
      </c>
      <c r="FM10" s="27">
        <f t="shared" si="6"/>
        <v>0.1283308731076305</v>
      </c>
      <c r="FN10" s="27">
        <f t="shared" si="6"/>
        <v>0.12675340944528996</v>
      </c>
      <c r="FO10" s="27">
        <f t="shared" si="6"/>
        <v>0.12519533621913789</v>
      </c>
      <c r="FP10" s="27">
        <f t="shared" si="6"/>
        <v>0.12365641507882458</v>
      </c>
      <c r="FQ10" s="27">
        <f t="shared" si="6"/>
        <v>0.12213641060384102</v>
      </c>
      <c r="FR10" s="27">
        <f t="shared" si="6"/>
        <v>0.12063509026750484</v>
      </c>
      <c r="FS10" s="27">
        <f t="shared" si="6"/>
        <v>0.1191522244013889</v>
      </c>
      <c r="FT10" s="27">
        <f t="shared" si="6"/>
        <v>0.11768758616018719</v>
      </c>
      <c r="FU10" s="27">
        <f t="shared" si="6"/>
        <v>0.11624095148701259</v>
      </c>
      <c r="FV10" s="27">
        <f t="shared" si="6"/>
        <v>0.11481209907912111</v>
      </c>
      <c r="FW10" s="27">
        <f t="shared" si="6"/>
        <v>0.11340081035405759</v>
      </c>
      <c r="FX10" s="27">
        <f t="shared" si="6"/>
        <v>0.11200686941621743</v>
      </c>
      <c r="FY10" s="27">
        <f t="shared" si="6"/>
        <v>0.11063006302381941</v>
      </c>
      <c r="FZ10" s="27">
        <f t="shared" si="6"/>
        <v>0.10927018055628444</v>
      </c>
      <c r="GA10" s="27">
        <f t="shared" si="6"/>
        <v>0.10792701398201542</v>
      </c>
      <c r="GB10" s="27">
        <f t="shared" si="6"/>
        <v>0.1066003578265729</v>
      </c>
      <c r="GC10" s="27">
        <f t="shared" si="6"/>
        <v>0.10529000914124224</v>
      </c>
      <c r="GD10" s="27">
        <f t="shared" si="6"/>
        <v>0.10399576747198691</v>
      </c>
      <c r="GE10" s="27">
        <f t="shared" si="6"/>
        <v>0.10271743482878351</v>
      </c>
      <c r="GF10" s="27">
        <f t="shared" si="6"/>
        <v>0.10145481565533378</v>
      </c>
      <c r="GG10" s="27">
        <f t="shared" si="6"/>
        <v>0.10020771679914878</v>
      </c>
      <c r="GH10" s="27">
        <f t="shared" si="6"/>
        <v>9.8975947482000962E-2</v>
      </c>
      <c r="GI10" s="27">
        <f t="shared" si="6"/>
        <v>9.7759319270739303E-2</v>
      </c>
      <c r="GJ10" s="27">
        <f t="shared" si="6"/>
        <v>9.65576460484633E-2</v>
      </c>
      <c r="GK10" s="27">
        <f t="shared" si="6"/>
        <v>9.5370743986051207E-2</v>
      </c>
      <c r="GL10" s="27">
        <f t="shared" si="6"/>
        <v>9.4198431514038311E-2</v>
      </c>
      <c r="GM10" s="27">
        <f t="shared" si="6"/>
        <v>9.3040529294840871E-2</v>
      </c>
      <c r="GN10" s="27">
        <f t="shared" ref="GN10:GT10" si="7">GN113</f>
        <v>9.1896860195321464E-2</v>
      </c>
      <c r="GO10" s="27">
        <f t="shared" si="7"/>
        <v>9.0767249259691596E-2</v>
      </c>
      <c r="GP10" s="27">
        <f t="shared" si="7"/>
        <v>8.9651523682747342E-2</v>
      </c>
      <c r="GQ10" s="27">
        <f t="shared" si="7"/>
        <v>8.8549512783434065E-2</v>
      </c>
      <c r="GR10" s="27">
        <f t="shared" si="7"/>
        <v>8.7461047978736009E-2</v>
      </c>
      <c r="GS10" s="27">
        <f t="shared" si="7"/>
        <v>8.6385962757886875E-2</v>
      </c>
      <c r="GT10" s="27">
        <f t="shared" si="7"/>
        <v>8.5324092656897374E-2</v>
      </c>
    </row>
    <row r="11" spans="1:204" s="24" customFormat="1" hidden="1" outlineLevel="1">
      <c r="C11" s="24">
        <v>0</v>
      </c>
      <c r="D11" s="24">
        <v>1</v>
      </c>
      <c r="E11" s="24">
        <f>D11+1</f>
        <v>2</v>
      </c>
      <c r="F11" s="24">
        <f t="shared" ref="F11:BQ11" si="8">E11+1</f>
        <v>3</v>
      </c>
      <c r="G11" s="24">
        <f t="shared" si="8"/>
        <v>4</v>
      </c>
      <c r="H11" s="24">
        <f t="shared" si="8"/>
        <v>5</v>
      </c>
      <c r="I11" s="24">
        <f t="shared" si="8"/>
        <v>6</v>
      </c>
      <c r="J11" s="24">
        <f t="shared" si="8"/>
        <v>7</v>
      </c>
      <c r="K11" s="24">
        <f t="shared" si="8"/>
        <v>8</v>
      </c>
      <c r="L11" s="24">
        <f t="shared" si="8"/>
        <v>9</v>
      </c>
      <c r="M11" s="24">
        <f t="shared" si="8"/>
        <v>10</v>
      </c>
      <c r="N11" s="24">
        <f t="shared" si="8"/>
        <v>11</v>
      </c>
      <c r="O11" s="24">
        <f t="shared" si="8"/>
        <v>12</v>
      </c>
      <c r="P11" s="24">
        <f t="shared" si="8"/>
        <v>13</v>
      </c>
      <c r="Q11" s="24">
        <f t="shared" si="8"/>
        <v>14</v>
      </c>
      <c r="R11" s="24">
        <f t="shared" si="8"/>
        <v>15</v>
      </c>
      <c r="S11" s="24">
        <f t="shared" si="8"/>
        <v>16</v>
      </c>
      <c r="T11" s="24">
        <f t="shared" si="8"/>
        <v>17</v>
      </c>
      <c r="U11" s="24">
        <f t="shared" si="8"/>
        <v>18</v>
      </c>
      <c r="V11" s="24">
        <f t="shared" si="8"/>
        <v>19</v>
      </c>
      <c r="W11" s="24">
        <f t="shared" si="8"/>
        <v>20</v>
      </c>
      <c r="X11" s="24">
        <f t="shared" si="8"/>
        <v>21</v>
      </c>
      <c r="Y11" s="24">
        <f t="shared" si="8"/>
        <v>22</v>
      </c>
      <c r="Z11" s="24">
        <f t="shared" si="8"/>
        <v>23</v>
      </c>
      <c r="AA11" s="24">
        <f t="shared" si="8"/>
        <v>24</v>
      </c>
      <c r="AB11" s="24">
        <f t="shared" si="8"/>
        <v>25</v>
      </c>
      <c r="AC11" s="24">
        <f t="shared" si="8"/>
        <v>26</v>
      </c>
      <c r="AD11" s="24">
        <f t="shared" si="8"/>
        <v>27</v>
      </c>
      <c r="AE11" s="24">
        <f t="shared" si="8"/>
        <v>28</v>
      </c>
      <c r="AF11" s="24">
        <f t="shared" si="8"/>
        <v>29</v>
      </c>
      <c r="AG11" s="24">
        <f t="shared" si="8"/>
        <v>30</v>
      </c>
      <c r="AH11" s="24">
        <f t="shared" si="8"/>
        <v>31</v>
      </c>
      <c r="AI11" s="24">
        <f t="shared" si="8"/>
        <v>32</v>
      </c>
      <c r="AJ11" s="24">
        <f t="shared" si="8"/>
        <v>33</v>
      </c>
      <c r="AK11" s="24">
        <f t="shared" si="8"/>
        <v>34</v>
      </c>
      <c r="AL11" s="24">
        <f t="shared" si="8"/>
        <v>35</v>
      </c>
      <c r="AM11" s="24">
        <f t="shared" si="8"/>
        <v>36</v>
      </c>
      <c r="AN11" s="24">
        <f t="shared" si="8"/>
        <v>37</v>
      </c>
      <c r="AO11" s="24">
        <f t="shared" si="8"/>
        <v>38</v>
      </c>
      <c r="AP11" s="24">
        <f t="shared" si="8"/>
        <v>39</v>
      </c>
      <c r="AQ11" s="24">
        <f t="shared" si="8"/>
        <v>40</v>
      </c>
      <c r="AR11" s="24">
        <f t="shared" si="8"/>
        <v>41</v>
      </c>
      <c r="AS11" s="24">
        <f t="shared" si="8"/>
        <v>42</v>
      </c>
      <c r="AT11" s="24">
        <f t="shared" si="8"/>
        <v>43</v>
      </c>
      <c r="AU11" s="24">
        <f t="shared" si="8"/>
        <v>44</v>
      </c>
      <c r="AV11" s="24">
        <f t="shared" si="8"/>
        <v>45</v>
      </c>
      <c r="AW11" s="24">
        <f t="shared" si="8"/>
        <v>46</v>
      </c>
      <c r="AX11" s="24">
        <f t="shared" si="8"/>
        <v>47</v>
      </c>
      <c r="AY11" s="24">
        <f t="shared" si="8"/>
        <v>48</v>
      </c>
      <c r="AZ11" s="24">
        <f t="shared" si="8"/>
        <v>49</v>
      </c>
      <c r="BA11" s="24">
        <f t="shared" si="8"/>
        <v>50</v>
      </c>
      <c r="BB11" s="24">
        <f t="shared" si="8"/>
        <v>51</v>
      </c>
      <c r="BC11" s="24">
        <f t="shared" si="8"/>
        <v>52</v>
      </c>
      <c r="BD11" s="24">
        <f t="shared" si="8"/>
        <v>53</v>
      </c>
      <c r="BE11" s="24">
        <f t="shared" si="8"/>
        <v>54</v>
      </c>
      <c r="BF11" s="24">
        <f t="shared" si="8"/>
        <v>55</v>
      </c>
      <c r="BG11" s="24">
        <f t="shared" si="8"/>
        <v>56</v>
      </c>
      <c r="BH11" s="24">
        <f t="shared" si="8"/>
        <v>57</v>
      </c>
      <c r="BI11" s="24">
        <f t="shared" si="8"/>
        <v>58</v>
      </c>
      <c r="BJ11" s="24">
        <f t="shared" si="8"/>
        <v>59</v>
      </c>
      <c r="BK11" s="24">
        <f t="shared" si="8"/>
        <v>60</v>
      </c>
      <c r="BL11" s="24">
        <f t="shared" si="8"/>
        <v>61</v>
      </c>
      <c r="BM11" s="24">
        <f t="shared" si="8"/>
        <v>62</v>
      </c>
      <c r="BN11" s="24">
        <f t="shared" si="8"/>
        <v>63</v>
      </c>
      <c r="BO11" s="24">
        <f t="shared" si="8"/>
        <v>64</v>
      </c>
      <c r="BP11" s="24">
        <f t="shared" si="8"/>
        <v>65</v>
      </c>
      <c r="BQ11" s="24">
        <f t="shared" si="8"/>
        <v>66</v>
      </c>
      <c r="BR11" s="24">
        <f t="shared" ref="BR11:EC11" si="9">BQ11+1</f>
        <v>67</v>
      </c>
      <c r="BS11" s="24">
        <f t="shared" si="9"/>
        <v>68</v>
      </c>
      <c r="BT11" s="24">
        <f t="shared" si="9"/>
        <v>69</v>
      </c>
      <c r="BU11" s="24">
        <f t="shared" si="9"/>
        <v>70</v>
      </c>
      <c r="BV11" s="24">
        <f t="shared" si="9"/>
        <v>71</v>
      </c>
      <c r="BW11" s="24">
        <f t="shared" si="9"/>
        <v>72</v>
      </c>
      <c r="BX11" s="24">
        <f t="shared" si="9"/>
        <v>73</v>
      </c>
      <c r="BY11" s="24">
        <f t="shared" si="9"/>
        <v>74</v>
      </c>
      <c r="BZ11" s="24">
        <f t="shared" si="9"/>
        <v>75</v>
      </c>
      <c r="CA11" s="24">
        <f t="shared" si="9"/>
        <v>76</v>
      </c>
      <c r="CB11" s="24">
        <f t="shared" si="9"/>
        <v>77</v>
      </c>
      <c r="CC11" s="24">
        <f t="shared" si="9"/>
        <v>78</v>
      </c>
      <c r="CD11" s="24">
        <f t="shared" si="9"/>
        <v>79</v>
      </c>
      <c r="CE11" s="24">
        <f t="shared" si="9"/>
        <v>80</v>
      </c>
      <c r="CF11" s="24">
        <f t="shared" si="9"/>
        <v>81</v>
      </c>
      <c r="CG11" s="24">
        <f t="shared" si="9"/>
        <v>82</v>
      </c>
      <c r="CH11" s="24">
        <f t="shared" si="9"/>
        <v>83</v>
      </c>
      <c r="CI11" s="24">
        <f t="shared" si="9"/>
        <v>84</v>
      </c>
      <c r="CJ11" s="24">
        <f t="shared" si="9"/>
        <v>85</v>
      </c>
      <c r="CK11" s="24">
        <f t="shared" si="9"/>
        <v>86</v>
      </c>
      <c r="CL11" s="24">
        <f t="shared" si="9"/>
        <v>87</v>
      </c>
      <c r="CM11" s="24">
        <f t="shared" si="9"/>
        <v>88</v>
      </c>
      <c r="CN11" s="24">
        <f t="shared" si="9"/>
        <v>89</v>
      </c>
      <c r="CO11" s="24">
        <f t="shared" si="9"/>
        <v>90</v>
      </c>
      <c r="CP11" s="24">
        <f t="shared" si="9"/>
        <v>91</v>
      </c>
      <c r="CQ11" s="24">
        <f t="shared" si="9"/>
        <v>92</v>
      </c>
      <c r="CR11" s="24">
        <f t="shared" si="9"/>
        <v>93</v>
      </c>
      <c r="CS11" s="24">
        <f t="shared" si="9"/>
        <v>94</v>
      </c>
      <c r="CT11" s="24">
        <f t="shared" si="9"/>
        <v>95</v>
      </c>
      <c r="CU11" s="24">
        <f t="shared" si="9"/>
        <v>96</v>
      </c>
      <c r="CV11" s="24">
        <f t="shared" si="9"/>
        <v>97</v>
      </c>
      <c r="CW11" s="24">
        <f t="shared" si="9"/>
        <v>98</v>
      </c>
      <c r="CX11" s="24">
        <f t="shared" si="9"/>
        <v>99</v>
      </c>
      <c r="CY11" s="24">
        <f t="shared" si="9"/>
        <v>100</v>
      </c>
      <c r="CZ11" s="24">
        <f t="shared" si="9"/>
        <v>101</v>
      </c>
      <c r="DA11" s="24">
        <f t="shared" si="9"/>
        <v>102</v>
      </c>
      <c r="DB11" s="24">
        <f t="shared" si="9"/>
        <v>103</v>
      </c>
      <c r="DC11" s="24">
        <f t="shared" si="9"/>
        <v>104</v>
      </c>
      <c r="DD11" s="24">
        <f t="shared" si="9"/>
        <v>105</v>
      </c>
      <c r="DE11" s="24">
        <f t="shared" si="9"/>
        <v>106</v>
      </c>
      <c r="DF11" s="24">
        <f t="shared" si="9"/>
        <v>107</v>
      </c>
      <c r="DG11" s="24">
        <f t="shared" si="9"/>
        <v>108</v>
      </c>
      <c r="DH11" s="24">
        <f t="shared" si="9"/>
        <v>109</v>
      </c>
      <c r="DI11" s="24">
        <f t="shared" si="9"/>
        <v>110</v>
      </c>
      <c r="DJ11" s="24">
        <f t="shared" si="9"/>
        <v>111</v>
      </c>
      <c r="DK11" s="24">
        <f t="shared" si="9"/>
        <v>112</v>
      </c>
      <c r="DL11" s="24">
        <f t="shared" si="9"/>
        <v>113</v>
      </c>
      <c r="DM11" s="24">
        <f t="shared" si="9"/>
        <v>114</v>
      </c>
      <c r="DN11" s="24">
        <f t="shared" si="9"/>
        <v>115</v>
      </c>
      <c r="DO11" s="24">
        <f t="shared" si="9"/>
        <v>116</v>
      </c>
      <c r="DP11" s="24">
        <f t="shared" si="9"/>
        <v>117</v>
      </c>
      <c r="DQ11" s="24">
        <f t="shared" si="9"/>
        <v>118</v>
      </c>
      <c r="DR11" s="24">
        <f t="shared" si="9"/>
        <v>119</v>
      </c>
      <c r="DS11" s="24">
        <f t="shared" si="9"/>
        <v>120</v>
      </c>
      <c r="DT11" s="24">
        <f t="shared" si="9"/>
        <v>121</v>
      </c>
      <c r="DU11" s="24">
        <f t="shared" si="9"/>
        <v>122</v>
      </c>
      <c r="DV11" s="24">
        <f t="shared" si="9"/>
        <v>123</v>
      </c>
      <c r="DW11" s="24">
        <f t="shared" si="9"/>
        <v>124</v>
      </c>
      <c r="DX11" s="24">
        <f t="shared" si="9"/>
        <v>125</v>
      </c>
      <c r="DY11" s="24">
        <f t="shared" si="9"/>
        <v>126</v>
      </c>
      <c r="DZ11" s="24">
        <f t="shared" si="9"/>
        <v>127</v>
      </c>
      <c r="EA11" s="24">
        <f t="shared" si="9"/>
        <v>128</v>
      </c>
      <c r="EB11" s="24">
        <f t="shared" si="9"/>
        <v>129</v>
      </c>
      <c r="EC11" s="24">
        <f t="shared" si="9"/>
        <v>130</v>
      </c>
      <c r="ED11" s="24">
        <f t="shared" ref="ED11:GO11" si="10">EC11+1</f>
        <v>131</v>
      </c>
      <c r="EE11" s="24">
        <f t="shared" si="10"/>
        <v>132</v>
      </c>
      <c r="EF11" s="24">
        <f t="shared" si="10"/>
        <v>133</v>
      </c>
      <c r="EG11" s="24">
        <f t="shared" si="10"/>
        <v>134</v>
      </c>
      <c r="EH11" s="24">
        <f t="shared" si="10"/>
        <v>135</v>
      </c>
      <c r="EI11" s="24">
        <f t="shared" si="10"/>
        <v>136</v>
      </c>
      <c r="EJ11" s="24">
        <f t="shared" si="10"/>
        <v>137</v>
      </c>
      <c r="EK11" s="24">
        <f t="shared" si="10"/>
        <v>138</v>
      </c>
      <c r="EL11" s="24">
        <f t="shared" si="10"/>
        <v>139</v>
      </c>
      <c r="EM11" s="24">
        <f t="shared" si="10"/>
        <v>140</v>
      </c>
      <c r="EN11" s="24">
        <f t="shared" si="10"/>
        <v>141</v>
      </c>
      <c r="EO11" s="24">
        <f t="shared" si="10"/>
        <v>142</v>
      </c>
      <c r="EP11" s="24">
        <f t="shared" si="10"/>
        <v>143</v>
      </c>
      <c r="EQ11" s="24">
        <f t="shared" si="10"/>
        <v>144</v>
      </c>
      <c r="ER11" s="24">
        <f t="shared" si="10"/>
        <v>145</v>
      </c>
      <c r="ES11" s="24">
        <f t="shared" si="10"/>
        <v>146</v>
      </c>
      <c r="ET11" s="24">
        <f t="shared" si="10"/>
        <v>147</v>
      </c>
      <c r="EU11" s="24">
        <f t="shared" si="10"/>
        <v>148</v>
      </c>
      <c r="EV11" s="24">
        <f t="shared" si="10"/>
        <v>149</v>
      </c>
      <c r="EW11" s="24">
        <f t="shared" si="10"/>
        <v>150</v>
      </c>
      <c r="EX11" s="24">
        <f t="shared" si="10"/>
        <v>151</v>
      </c>
      <c r="EY11" s="24">
        <f t="shared" si="10"/>
        <v>152</v>
      </c>
      <c r="EZ11" s="24">
        <f t="shared" si="10"/>
        <v>153</v>
      </c>
      <c r="FA11" s="24">
        <f t="shared" si="10"/>
        <v>154</v>
      </c>
      <c r="FB11" s="24">
        <f t="shared" si="10"/>
        <v>155</v>
      </c>
      <c r="FC11" s="24">
        <f t="shared" si="10"/>
        <v>156</v>
      </c>
      <c r="FD11" s="24">
        <f t="shared" si="10"/>
        <v>157</v>
      </c>
      <c r="FE11" s="24">
        <f t="shared" si="10"/>
        <v>158</v>
      </c>
      <c r="FF11" s="24">
        <f t="shared" si="10"/>
        <v>159</v>
      </c>
      <c r="FG11" s="24">
        <f t="shared" si="10"/>
        <v>160</v>
      </c>
      <c r="FH11" s="24">
        <f t="shared" si="10"/>
        <v>161</v>
      </c>
      <c r="FI11" s="24">
        <f t="shared" si="10"/>
        <v>162</v>
      </c>
      <c r="FJ11" s="24">
        <f t="shared" si="10"/>
        <v>163</v>
      </c>
      <c r="FK11" s="24">
        <f t="shared" si="10"/>
        <v>164</v>
      </c>
      <c r="FL11" s="24">
        <f t="shared" si="10"/>
        <v>165</v>
      </c>
      <c r="FM11" s="24">
        <f t="shared" si="10"/>
        <v>166</v>
      </c>
      <c r="FN11" s="24">
        <f t="shared" si="10"/>
        <v>167</v>
      </c>
      <c r="FO11" s="24">
        <f t="shared" si="10"/>
        <v>168</v>
      </c>
      <c r="FP11" s="24">
        <f t="shared" si="10"/>
        <v>169</v>
      </c>
      <c r="FQ11" s="24">
        <f t="shared" si="10"/>
        <v>170</v>
      </c>
      <c r="FR11" s="24">
        <f t="shared" si="10"/>
        <v>171</v>
      </c>
      <c r="FS11" s="24">
        <f t="shared" si="10"/>
        <v>172</v>
      </c>
      <c r="FT11" s="24">
        <f t="shared" si="10"/>
        <v>173</v>
      </c>
      <c r="FU11" s="24">
        <f t="shared" si="10"/>
        <v>174</v>
      </c>
      <c r="FV11" s="24">
        <f t="shared" si="10"/>
        <v>175</v>
      </c>
      <c r="FW11" s="24">
        <f t="shared" si="10"/>
        <v>176</v>
      </c>
      <c r="FX11" s="24">
        <f t="shared" si="10"/>
        <v>177</v>
      </c>
      <c r="FY11" s="24">
        <f t="shared" si="10"/>
        <v>178</v>
      </c>
      <c r="FZ11" s="24">
        <f t="shared" si="10"/>
        <v>179</v>
      </c>
      <c r="GA11" s="24">
        <f t="shared" si="10"/>
        <v>180</v>
      </c>
      <c r="GB11" s="24">
        <f t="shared" si="10"/>
        <v>181</v>
      </c>
      <c r="GC11" s="24">
        <f t="shared" si="10"/>
        <v>182</v>
      </c>
      <c r="GD11" s="24">
        <f t="shared" si="10"/>
        <v>183</v>
      </c>
      <c r="GE11" s="24">
        <f t="shared" si="10"/>
        <v>184</v>
      </c>
      <c r="GF11" s="24">
        <f t="shared" si="10"/>
        <v>185</v>
      </c>
      <c r="GG11" s="24">
        <f t="shared" si="10"/>
        <v>186</v>
      </c>
      <c r="GH11" s="24">
        <f t="shared" si="10"/>
        <v>187</v>
      </c>
      <c r="GI11" s="24">
        <f t="shared" si="10"/>
        <v>188</v>
      </c>
      <c r="GJ11" s="24">
        <f t="shared" si="10"/>
        <v>189</v>
      </c>
      <c r="GK11" s="24">
        <f t="shared" si="10"/>
        <v>190</v>
      </c>
      <c r="GL11" s="24">
        <f t="shared" si="10"/>
        <v>191</v>
      </c>
      <c r="GM11" s="24">
        <f t="shared" si="10"/>
        <v>192</v>
      </c>
      <c r="GN11" s="24">
        <f t="shared" si="10"/>
        <v>193</v>
      </c>
      <c r="GO11" s="24">
        <f t="shared" si="10"/>
        <v>194</v>
      </c>
      <c r="GP11" s="24">
        <f>GO11+1</f>
        <v>195</v>
      </c>
      <c r="GQ11" s="24">
        <f>GP11+1</f>
        <v>196</v>
      </c>
      <c r="GR11" s="24">
        <f>GQ11+1</f>
        <v>197</v>
      </c>
      <c r="GS11" s="24">
        <f>GR11+1</f>
        <v>198</v>
      </c>
      <c r="GT11" s="24">
        <f>GS11+1</f>
        <v>199</v>
      </c>
    </row>
    <row r="12" spans="1:204" hidden="1" outlineLevel="1">
      <c r="C12" s="24">
        <f>IFERROR(YEAR(C14),"")</f>
        <v>2026</v>
      </c>
      <c r="D12" s="24">
        <f t="shared" ref="D12:BO12" si="11">IFERROR(YEAR(D14),"")</f>
        <v>2026</v>
      </c>
      <c r="E12" s="24">
        <f t="shared" si="11"/>
        <v>2026</v>
      </c>
      <c r="F12" s="24">
        <f t="shared" si="11"/>
        <v>2026</v>
      </c>
      <c r="G12" s="24">
        <f t="shared" si="11"/>
        <v>2026</v>
      </c>
      <c r="H12" s="24">
        <f t="shared" si="11"/>
        <v>2026</v>
      </c>
      <c r="I12" s="24">
        <f t="shared" si="11"/>
        <v>2026</v>
      </c>
      <c r="J12" s="24">
        <f t="shared" si="11"/>
        <v>2026</v>
      </c>
      <c r="K12" s="24">
        <f t="shared" si="11"/>
        <v>2026</v>
      </c>
      <c r="L12" s="24">
        <f t="shared" si="11"/>
        <v>2026</v>
      </c>
      <c r="M12" s="24">
        <f t="shared" si="11"/>
        <v>2026</v>
      </c>
      <c r="N12" s="24">
        <f t="shared" si="11"/>
        <v>2026</v>
      </c>
      <c r="O12" s="24">
        <f t="shared" si="11"/>
        <v>2027</v>
      </c>
      <c r="P12" s="24">
        <f t="shared" si="11"/>
        <v>2027</v>
      </c>
      <c r="Q12" s="24">
        <f t="shared" si="11"/>
        <v>2027</v>
      </c>
      <c r="R12" s="24">
        <f t="shared" si="11"/>
        <v>2027</v>
      </c>
      <c r="S12" s="24">
        <f t="shared" si="11"/>
        <v>2027</v>
      </c>
      <c r="T12" s="24">
        <f t="shared" si="11"/>
        <v>2027</v>
      </c>
      <c r="U12" s="24">
        <f t="shared" si="11"/>
        <v>2027</v>
      </c>
      <c r="V12" s="24">
        <f t="shared" si="11"/>
        <v>2027</v>
      </c>
      <c r="W12" s="24">
        <f t="shared" si="11"/>
        <v>2027</v>
      </c>
      <c r="X12" s="24">
        <f t="shared" si="11"/>
        <v>2027</v>
      </c>
      <c r="Y12" s="24">
        <f t="shared" si="11"/>
        <v>2027</v>
      </c>
      <c r="Z12" s="24">
        <f t="shared" si="11"/>
        <v>2027</v>
      </c>
      <c r="AA12" s="24">
        <f t="shared" si="11"/>
        <v>2028</v>
      </c>
      <c r="AB12" s="24">
        <f t="shared" si="11"/>
        <v>2028</v>
      </c>
      <c r="AC12" s="24">
        <f t="shared" si="11"/>
        <v>2028</v>
      </c>
      <c r="AD12" s="24">
        <f t="shared" si="11"/>
        <v>2028</v>
      </c>
      <c r="AE12" s="24">
        <f t="shared" si="11"/>
        <v>2028</v>
      </c>
      <c r="AF12" s="24">
        <f t="shared" si="11"/>
        <v>2028</v>
      </c>
      <c r="AG12" s="24">
        <f t="shared" si="11"/>
        <v>2028</v>
      </c>
      <c r="AH12" s="24">
        <f t="shared" si="11"/>
        <v>2028</v>
      </c>
      <c r="AI12" s="24">
        <f t="shared" si="11"/>
        <v>2028</v>
      </c>
      <c r="AJ12" s="24">
        <f t="shared" si="11"/>
        <v>2028</v>
      </c>
      <c r="AK12" s="24">
        <f t="shared" si="11"/>
        <v>2028</v>
      </c>
      <c r="AL12" s="24">
        <f t="shared" si="11"/>
        <v>2028</v>
      </c>
      <c r="AM12" s="24">
        <f t="shared" si="11"/>
        <v>2029</v>
      </c>
      <c r="AN12" s="24">
        <f t="shared" si="11"/>
        <v>2029</v>
      </c>
      <c r="AO12" s="24">
        <f t="shared" si="11"/>
        <v>2029</v>
      </c>
      <c r="AP12" s="24">
        <f t="shared" si="11"/>
        <v>2029</v>
      </c>
      <c r="AQ12" s="24">
        <f t="shared" si="11"/>
        <v>2029</v>
      </c>
      <c r="AR12" s="24">
        <f t="shared" si="11"/>
        <v>2029</v>
      </c>
      <c r="AS12" s="24">
        <f t="shared" si="11"/>
        <v>2029</v>
      </c>
      <c r="AT12" s="24">
        <f t="shared" si="11"/>
        <v>2029</v>
      </c>
      <c r="AU12" s="24">
        <f t="shared" si="11"/>
        <v>2029</v>
      </c>
      <c r="AV12" s="24">
        <f t="shared" si="11"/>
        <v>2029</v>
      </c>
      <c r="AW12" s="24">
        <f t="shared" si="11"/>
        <v>2029</v>
      </c>
      <c r="AX12" s="24">
        <f t="shared" si="11"/>
        <v>2029</v>
      </c>
      <c r="AY12" s="24">
        <f t="shared" si="11"/>
        <v>2030</v>
      </c>
      <c r="AZ12" s="24">
        <f t="shared" si="11"/>
        <v>2030</v>
      </c>
      <c r="BA12" s="24">
        <f t="shared" si="11"/>
        <v>2030</v>
      </c>
      <c r="BB12" s="24">
        <f t="shared" si="11"/>
        <v>2030</v>
      </c>
      <c r="BC12" s="24">
        <f t="shared" si="11"/>
        <v>2030</v>
      </c>
      <c r="BD12" s="24">
        <f t="shared" si="11"/>
        <v>2030</v>
      </c>
      <c r="BE12" s="24">
        <f t="shared" si="11"/>
        <v>2030</v>
      </c>
      <c r="BF12" s="24">
        <f t="shared" si="11"/>
        <v>2030</v>
      </c>
      <c r="BG12" s="24">
        <f t="shared" si="11"/>
        <v>2030</v>
      </c>
      <c r="BH12" s="24">
        <f t="shared" si="11"/>
        <v>2030</v>
      </c>
      <c r="BI12" s="24">
        <f t="shared" si="11"/>
        <v>2030</v>
      </c>
      <c r="BJ12" s="24">
        <f t="shared" si="11"/>
        <v>2030</v>
      </c>
      <c r="BK12" s="24" t="str">
        <f t="shared" si="11"/>
        <v/>
      </c>
      <c r="BL12" s="24" t="str">
        <f t="shared" si="11"/>
        <v/>
      </c>
      <c r="BM12" s="24" t="str">
        <f t="shared" si="11"/>
        <v/>
      </c>
      <c r="BN12" s="24" t="str">
        <f t="shared" si="11"/>
        <v/>
      </c>
      <c r="BO12" s="24" t="str">
        <f t="shared" si="11"/>
        <v/>
      </c>
      <c r="BP12" s="24" t="str">
        <f t="shared" ref="BP12:EA12" si="12">IFERROR(YEAR(BP14),"")</f>
        <v/>
      </c>
      <c r="BQ12" s="24" t="str">
        <f t="shared" si="12"/>
        <v/>
      </c>
      <c r="BR12" s="24" t="str">
        <f t="shared" si="12"/>
        <v/>
      </c>
      <c r="BS12" s="24" t="str">
        <f t="shared" si="12"/>
        <v/>
      </c>
      <c r="BT12" s="24" t="str">
        <f t="shared" si="12"/>
        <v/>
      </c>
      <c r="BU12" s="24" t="str">
        <f t="shared" si="12"/>
        <v/>
      </c>
      <c r="BV12" s="24" t="str">
        <f t="shared" si="12"/>
        <v/>
      </c>
      <c r="BW12" s="24" t="str">
        <f t="shared" si="12"/>
        <v/>
      </c>
      <c r="BX12" s="24" t="str">
        <f t="shared" si="12"/>
        <v/>
      </c>
      <c r="BY12" s="24" t="str">
        <f t="shared" si="12"/>
        <v/>
      </c>
      <c r="BZ12" s="24" t="str">
        <f t="shared" si="12"/>
        <v/>
      </c>
      <c r="CA12" s="24" t="str">
        <f t="shared" si="12"/>
        <v/>
      </c>
      <c r="CB12" s="24" t="str">
        <f t="shared" si="12"/>
        <v/>
      </c>
      <c r="CC12" s="24" t="str">
        <f t="shared" si="12"/>
        <v/>
      </c>
      <c r="CD12" s="24" t="str">
        <f t="shared" si="12"/>
        <v/>
      </c>
      <c r="CE12" s="24" t="str">
        <f t="shared" si="12"/>
        <v/>
      </c>
      <c r="CF12" s="24" t="str">
        <f t="shared" si="12"/>
        <v/>
      </c>
      <c r="CG12" s="24" t="str">
        <f t="shared" si="12"/>
        <v/>
      </c>
      <c r="CH12" s="24" t="str">
        <f t="shared" si="12"/>
        <v/>
      </c>
      <c r="CI12" s="24" t="str">
        <f t="shared" si="12"/>
        <v/>
      </c>
      <c r="CJ12" s="24" t="str">
        <f t="shared" si="12"/>
        <v/>
      </c>
      <c r="CK12" s="24" t="str">
        <f t="shared" si="12"/>
        <v/>
      </c>
      <c r="CL12" s="24" t="str">
        <f t="shared" si="12"/>
        <v/>
      </c>
      <c r="CM12" s="24" t="str">
        <f t="shared" si="12"/>
        <v/>
      </c>
      <c r="CN12" s="24" t="str">
        <f t="shared" si="12"/>
        <v/>
      </c>
      <c r="CO12" s="24" t="str">
        <f t="shared" si="12"/>
        <v/>
      </c>
      <c r="CP12" s="24" t="str">
        <f t="shared" si="12"/>
        <v/>
      </c>
      <c r="CQ12" s="24" t="str">
        <f t="shared" si="12"/>
        <v/>
      </c>
      <c r="CR12" s="24" t="str">
        <f t="shared" si="12"/>
        <v/>
      </c>
      <c r="CS12" s="24" t="str">
        <f t="shared" si="12"/>
        <v/>
      </c>
      <c r="CT12" s="24" t="str">
        <f t="shared" si="12"/>
        <v/>
      </c>
      <c r="CU12" s="24" t="str">
        <f t="shared" si="12"/>
        <v/>
      </c>
      <c r="CV12" s="24" t="str">
        <f t="shared" si="12"/>
        <v/>
      </c>
      <c r="CW12" s="24" t="str">
        <f t="shared" si="12"/>
        <v/>
      </c>
      <c r="CX12" s="24" t="str">
        <f t="shared" si="12"/>
        <v/>
      </c>
      <c r="CY12" s="24" t="str">
        <f t="shared" si="12"/>
        <v/>
      </c>
      <c r="CZ12" s="24" t="str">
        <f t="shared" si="12"/>
        <v/>
      </c>
      <c r="DA12" s="24" t="str">
        <f t="shared" si="12"/>
        <v/>
      </c>
      <c r="DB12" s="24" t="str">
        <f t="shared" si="12"/>
        <v/>
      </c>
      <c r="DC12" s="24" t="str">
        <f t="shared" si="12"/>
        <v/>
      </c>
      <c r="DD12" s="24" t="str">
        <f t="shared" si="12"/>
        <v/>
      </c>
      <c r="DE12" s="24" t="str">
        <f t="shared" si="12"/>
        <v/>
      </c>
      <c r="DF12" s="24" t="str">
        <f t="shared" si="12"/>
        <v/>
      </c>
      <c r="DG12" s="24" t="str">
        <f t="shared" si="12"/>
        <v/>
      </c>
      <c r="DH12" s="24" t="str">
        <f t="shared" si="12"/>
        <v/>
      </c>
      <c r="DI12" s="24" t="str">
        <f t="shared" si="12"/>
        <v/>
      </c>
      <c r="DJ12" s="24" t="str">
        <f t="shared" si="12"/>
        <v/>
      </c>
      <c r="DK12" s="24" t="str">
        <f t="shared" si="12"/>
        <v/>
      </c>
      <c r="DL12" s="24" t="str">
        <f t="shared" si="12"/>
        <v/>
      </c>
      <c r="DM12" s="24" t="str">
        <f t="shared" si="12"/>
        <v/>
      </c>
      <c r="DN12" s="24" t="str">
        <f t="shared" si="12"/>
        <v/>
      </c>
      <c r="DO12" s="24" t="str">
        <f t="shared" si="12"/>
        <v/>
      </c>
      <c r="DP12" s="24" t="str">
        <f t="shared" si="12"/>
        <v/>
      </c>
      <c r="DQ12" s="24" t="str">
        <f t="shared" si="12"/>
        <v/>
      </c>
      <c r="DR12" s="24" t="str">
        <f t="shared" si="12"/>
        <v/>
      </c>
      <c r="DS12" s="24" t="str">
        <f t="shared" si="12"/>
        <v/>
      </c>
      <c r="DT12" s="24" t="str">
        <f t="shared" si="12"/>
        <v/>
      </c>
      <c r="DU12" s="24" t="str">
        <f t="shared" si="12"/>
        <v/>
      </c>
      <c r="DV12" s="24" t="str">
        <f t="shared" si="12"/>
        <v/>
      </c>
      <c r="DW12" s="24" t="str">
        <f t="shared" si="12"/>
        <v/>
      </c>
      <c r="DX12" s="24" t="str">
        <f t="shared" si="12"/>
        <v/>
      </c>
      <c r="DY12" s="24" t="str">
        <f t="shared" si="12"/>
        <v/>
      </c>
      <c r="DZ12" s="24" t="str">
        <f t="shared" si="12"/>
        <v/>
      </c>
      <c r="EA12" s="24" t="str">
        <f t="shared" si="12"/>
        <v/>
      </c>
      <c r="EB12" s="24" t="str">
        <f t="shared" ref="EB12:GM12" si="13">IFERROR(YEAR(EB14),"")</f>
        <v/>
      </c>
      <c r="EC12" s="24" t="str">
        <f t="shared" si="13"/>
        <v/>
      </c>
      <c r="ED12" s="24" t="str">
        <f t="shared" si="13"/>
        <v/>
      </c>
      <c r="EE12" s="24" t="str">
        <f t="shared" si="13"/>
        <v/>
      </c>
      <c r="EF12" s="24" t="str">
        <f t="shared" si="13"/>
        <v/>
      </c>
      <c r="EG12" s="24" t="str">
        <f t="shared" si="13"/>
        <v/>
      </c>
      <c r="EH12" s="24" t="str">
        <f t="shared" si="13"/>
        <v/>
      </c>
      <c r="EI12" s="24" t="str">
        <f t="shared" si="13"/>
        <v/>
      </c>
      <c r="EJ12" s="24" t="str">
        <f t="shared" si="13"/>
        <v/>
      </c>
      <c r="EK12" s="24" t="str">
        <f t="shared" si="13"/>
        <v/>
      </c>
      <c r="EL12" s="24" t="str">
        <f t="shared" si="13"/>
        <v/>
      </c>
      <c r="EM12" s="24" t="str">
        <f t="shared" si="13"/>
        <v/>
      </c>
      <c r="EN12" s="24" t="str">
        <f t="shared" si="13"/>
        <v/>
      </c>
      <c r="EO12" s="24" t="str">
        <f t="shared" si="13"/>
        <v/>
      </c>
      <c r="EP12" s="24" t="str">
        <f t="shared" si="13"/>
        <v/>
      </c>
      <c r="EQ12" s="24" t="str">
        <f t="shared" si="13"/>
        <v/>
      </c>
      <c r="ER12" s="24" t="str">
        <f t="shared" si="13"/>
        <v/>
      </c>
      <c r="ES12" s="24" t="str">
        <f t="shared" si="13"/>
        <v/>
      </c>
      <c r="ET12" s="24" t="str">
        <f t="shared" si="13"/>
        <v/>
      </c>
      <c r="EU12" s="24" t="str">
        <f t="shared" si="13"/>
        <v/>
      </c>
      <c r="EV12" s="24" t="str">
        <f t="shared" si="13"/>
        <v/>
      </c>
      <c r="EW12" s="24" t="str">
        <f t="shared" si="13"/>
        <v/>
      </c>
      <c r="EX12" s="24" t="str">
        <f t="shared" si="13"/>
        <v/>
      </c>
      <c r="EY12" s="24" t="str">
        <f t="shared" si="13"/>
        <v/>
      </c>
      <c r="EZ12" s="24" t="str">
        <f t="shared" si="13"/>
        <v/>
      </c>
      <c r="FA12" s="24" t="str">
        <f t="shared" si="13"/>
        <v/>
      </c>
      <c r="FB12" s="24" t="str">
        <f t="shared" si="13"/>
        <v/>
      </c>
      <c r="FC12" s="24" t="str">
        <f t="shared" si="13"/>
        <v/>
      </c>
      <c r="FD12" s="24" t="str">
        <f t="shared" si="13"/>
        <v/>
      </c>
      <c r="FE12" s="24" t="str">
        <f t="shared" si="13"/>
        <v/>
      </c>
      <c r="FF12" s="24" t="str">
        <f t="shared" si="13"/>
        <v/>
      </c>
      <c r="FG12" s="24" t="str">
        <f t="shared" si="13"/>
        <v/>
      </c>
      <c r="FH12" s="24" t="str">
        <f t="shared" si="13"/>
        <v/>
      </c>
      <c r="FI12" s="24" t="str">
        <f t="shared" si="13"/>
        <v/>
      </c>
      <c r="FJ12" s="24" t="str">
        <f t="shared" si="13"/>
        <v/>
      </c>
      <c r="FK12" s="24" t="str">
        <f t="shared" si="13"/>
        <v/>
      </c>
      <c r="FL12" s="24" t="str">
        <f t="shared" si="13"/>
        <v/>
      </c>
      <c r="FM12" s="24" t="str">
        <f t="shared" si="13"/>
        <v/>
      </c>
      <c r="FN12" s="24" t="str">
        <f t="shared" si="13"/>
        <v/>
      </c>
      <c r="FO12" s="24" t="str">
        <f t="shared" si="13"/>
        <v/>
      </c>
      <c r="FP12" s="24" t="str">
        <f t="shared" si="13"/>
        <v/>
      </c>
      <c r="FQ12" s="24" t="str">
        <f t="shared" si="13"/>
        <v/>
      </c>
      <c r="FR12" s="24" t="str">
        <f t="shared" si="13"/>
        <v/>
      </c>
      <c r="FS12" s="24" t="str">
        <f t="shared" si="13"/>
        <v/>
      </c>
      <c r="FT12" s="24" t="str">
        <f t="shared" si="13"/>
        <v/>
      </c>
      <c r="FU12" s="24" t="str">
        <f t="shared" si="13"/>
        <v/>
      </c>
      <c r="FV12" s="24" t="str">
        <f t="shared" si="13"/>
        <v/>
      </c>
      <c r="FW12" s="24" t="str">
        <f t="shared" si="13"/>
        <v/>
      </c>
      <c r="FX12" s="24" t="str">
        <f t="shared" si="13"/>
        <v/>
      </c>
      <c r="FY12" s="24" t="str">
        <f t="shared" si="13"/>
        <v/>
      </c>
      <c r="FZ12" s="24" t="str">
        <f t="shared" si="13"/>
        <v/>
      </c>
      <c r="GA12" s="24" t="str">
        <f t="shared" si="13"/>
        <v/>
      </c>
      <c r="GB12" s="24" t="str">
        <f t="shared" si="13"/>
        <v/>
      </c>
      <c r="GC12" s="24" t="str">
        <f t="shared" si="13"/>
        <v/>
      </c>
      <c r="GD12" s="24" t="str">
        <f t="shared" si="13"/>
        <v/>
      </c>
      <c r="GE12" s="24" t="str">
        <f t="shared" si="13"/>
        <v/>
      </c>
      <c r="GF12" s="24" t="str">
        <f t="shared" si="13"/>
        <v/>
      </c>
      <c r="GG12" s="24" t="str">
        <f t="shared" si="13"/>
        <v/>
      </c>
      <c r="GH12" s="24" t="str">
        <f t="shared" si="13"/>
        <v/>
      </c>
      <c r="GI12" s="24" t="str">
        <f t="shared" si="13"/>
        <v/>
      </c>
      <c r="GJ12" s="24" t="str">
        <f t="shared" si="13"/>
        <v/>
      </c>
      <c r="GK12" s="24" t="str">
        <f t="shared" si="13"/>
        <v/>
      </c>
      <c r="GL12" s="24" t="str">
        <f t="shared" si="13"/>
        <v/>
      </c>
      <c r="GM12" s="24" t="str">
        <f t="shared" si="13"/>
        <v/>
      </c>
      <c r="GN12" s="24" t="str">
        <f t="shared" ref="GN12:GT12" si="14">IFERROR(YEAR(GN14),"")</f>
        <v/>
      </c>
      <c r="GO12" s="24" t="str">
        <f t="shared" si="14"/>
        <v/>
      </c>
      <c r="GP12" s="24" t="str">
        <f t="shared" si="14"/>
        <v/>
      </c>
      <c r="GQ12" s="24" t="str">
        <f t="shared" si="14"/>
        <v/>
      </c>
      <c r="GR12" s="24" t="str">
        <f t="shared" si="14"/>
        <v/>
      </c>
      <c r="GS12" s="24" t="str">
        <f t="shared" si="14"/>
        <v/>
      </c>
      <c r="GT12" s="24" t="str">
        <f t="shared" si="14"/>
        <v/>
      </c>
    </row>
    <row r="13" spans="1:204" hidden="1" outlineLevel="1">
      <c r="C13" s="24">
        <f>IFERROR(MONTH(C14),"")</f>
        <v>1</v>
      </c>
      <c r="D13" s="24">
        <f t="shared" ref="D13:BO13" si="15">IFERROR(MONTH(D14),"")</f>
        <v>2</v>
      </c>
      <c r="E13" s="24">
        <f t="shared" si="15"/>
        <v>3</v>
      </c>
      <c r="F13" s="24">
        <f t="shared" si="15"/>
        <v>4</v>
      </c>
      <c r="G13" s="24">
        <f t="shared" si="15"/>
        <v>5</v>
      </c>
      <c r="H13" s="24">
        <f t="shared" si="15"/>
        <v>6</v>
      </c>
      <c r="I13" s="24">
        <f t="shared" si="15"/>
        <v>7</v>
      </c>
      <c r="J13" s="24">
        <f t="shared" si="15"/>
        <v>8</v>
      </c>
      <c r="K13" s="24">
        <f t="shared" si="15"/>
        <v>9</v>
      </c>
      <c r="L13" s="24">
        <f t="shared" si="15"/>
        <v>10</v>
      </c>
      <c r="M13" s="24">
        <f t="shared" si="15"/>
        <v>11</v>
      </c>
      <c r="N13" s="24">
        <f t="shared" si="15"/>
        <v>12</v>
      </c>
      <c r="O13" s="24">
        <f t="shared" si="15"/>
        <v>1</v>
      </c>
      <c r="P13" s="24">
        <f t="shared" si="15"/>
        <v>2</v>
      </c>
      <c r="Q13" s="24">
        <f t="shared" si="15"/>
        <v>3</v>
      </c>
      <c r="R13" s="24">
        <f t="shared" si="15"/>
        <v>4</v>
      </c>
      <c r="S13" s="24">
        <f t="shared" si="15"/>
        <v>5</v>
      </c>
      <c r="T13" s="24">
        <f t="shared" si="15"/>
        <v>6</v>
      </c>
      <c r="U13" s="24">
        <f t="shared" si="15"/>
        <v>7</v>
      </c>
      <c r="V13" s="24">
        <f t="shared" si="15"/>
        <v>8</v>
      </c>
      <c r="W13" s="24">
        <f t="shared" si="15"/>
        <v>9</v>
      </c>
      <c r="X13" s="24">
        <f t="shared" si="15"/>
        <v>10</v>
      </c>
      <c r="Y13" s="24">
        <f t="shared" si="15"/>
        <v>11</v>
      </c>
      <c r="Z13" s="24">
        <f t="shared" si="15"/>
        <v>12</v>
      </c>
      <c r="AA13" s="24">
        <f t="shared" si="15"/>
        <v>1</v>
      </c>
      <c r="AB13" s="24">
        <f t="shared" si="15"/>
        <v>2</v>
      </c>
      <c r="AC13" s="24">
        <f t="shared" si="15"/>
        <v>3</v>
      </c>
      <c r="AD13" s="24">
        <f t="shared" si="15"/>
        <v>4</v>
      </c>
      <c r="AE13" s="24">
        <f t="shared" si="15"/>
        <v>5</v>
      </c>
      <c r="AF13" s="24">
        <f t="shared" si="15"/>
        <v>6</v>
      </c>
      <c r="AG13" s="24">
        <f t="shared" si="15"/>
        <v>7</v>
      </c>
      <c r="AH13" s="24">
        <f t="shared" si="15"/>
        <v>8</v>
      </c>
      <c r="AI13" s="24">
        <f t="shared" si="15"/>
        <v>9</v>
      </c>
      <c r="AJ13" s="24">
        <f t="shared" si="15"/>
        <v>10</v>
      </c>
      <c r="AK13" s="24">
        <f t="shared" si="15"/>
        <v>11</v>
      </c>
      <c r="AL13" s="24">
        <f t="shared" si="15"/>
        <v>12</v>
      </c>
      <c r="AM13" s="24">
        <f t="shared" si="15"/>
        <v>1</v>
      </c>
      <c r="AN13" s="24">
        <f t="shared" si="15"/>
        <v>2</v>
      </c>
      <c r="AO13" s="24">
        <f t="shared" si="15"/>
        <v>3</v>
      </c>
      <c r="AP13" s="24">
        <f t="shared" si="15"/>
        <v>4</v>
      </c>
      <c r="AQ13" s="24">
        <f t="shared" si="15"/>
        <v>5</v>
      </c>
      <c r="AR13" s="24">
        <f t="shared" si="15"/>
        <v>6</v>
      </c>
      <c r="AS13" s="24">
        <f t="shared" si="15"/>
        <v>7</v>
      </c>
      <c r="AT13" s="24">
        <f t="shared" si="15"/>
        <v>8</v>
      </c>
      <c r="AU13" s="24">
        <f t="shared" si="15"/>
        <v>9</v>
      </c>
      <c r="AV13" s="24">
        <f t="shared" si="15"/>
        <v>10</v>
      </c>
      <c r="AW13" s="24">
        <f t="shared" si="15"/>
        <v>11</v>
      </c>
      <c r="AX13" s="24">
        <f t="shared" si="15"/>
        <v>12</v>
      </c>
      <c r="AY13" s="24">
        <f t="shared" si="15"/>
        <v>1</v>
      </c>
      <c r="AZ13" s="24">
        <f t="shared" si="15"/>
        <v>2</v>
      </c>
      <c r="BA13" s="24">
        <f t="shared" si="15"/>
        <v>3</v>
      </c>
      <c r="BB13" s="24">
        <f t="shared" si="15"/>
        <v>4</v>
      </c>
      <c r="BC13" s="24">
        <f t="shared" si="15"/>
        <v>5</v>
      </c>
      <c r="BD13" s="24">
        <f t="shared" si="15"/>
        <v>6</v>
      </c>
      <c r="BE13" s="24">
        <f t="shared" si="15"/>
        <v>7</v>
      </c>
      <c r="BF13" s="24">
        <f t="shared" si="15"/>
        <v>8</v>
      </c>
      <c r="BG13" s="24">
        <f t="shared" si="15"/>
        <v>9</v>
      </c>
      <c r="BH13" s="24">
        <f t="shared" si="15"/>
        <v>10</v>
      </c>
      <c r="BI13" s="24">
        <f t="shared" si="15"/>
        <v>11</v>
      </c>
      <c r="BJ13" s="24">
        <f t="shared" si="15"/>
        <v>12</v>
      </c>
      <c r="BK13" s="24" t="str">
        <f t="shared" si="15"/>
        <v/>
      </c>
      <c r="BL13" s="24" t="str">
        <f t="shared" si="15"/>
        <v/>
      </c>
      <c r="BM13" s="24" t="str">
        <f t="shared" si="15"/>
        <v/>
      </c>
      <c r="BN13" s="24" t="str">
        <f t="shared" si="15"/>
        <v/>
      </c>
      <c r="BO13" s="24" t="str">
        <f t="shared" si="15"/>
        <v/>
      </c>
      <c r="BP13" s="24" t="str">
        <f t="shared" ref="BP13:EA13" si="16">IFERROR(MONTH(BP14),"")</f>
        <v/>
      </c>
      <c r="BQ13" s="24" t="str">
        <f t="shared" si="16"/>
        <v/>
      </c>
      <c r="BR13" s="24" t="str">
        <f t="shared" si="16"/>
        <v/>
      </c>
      <c r="BS13" s="24" t="str">
        <f t="shared" si="16"/>
        <v/>
      </c>
      <c r="BT13" s="24" t="str">
        <f t="shared" si="16"/>
        <v/>
      </c>
      <c r="BU13" s="24" t="str">
        <f t="shared" si="16"/>
        <v/>
      </c>
      <c r="BV13" s="24" t="str">
        <f t="shared" si="16"/>
        <v/>
      </c>
      <c r="BW13" s="24" t="str">
        <f t="shared" si="16"/>
        <v/>
      </c>
      <c r="BX13" s="24" t="str">
        <f t="shared" si="16"/>
        <v/>
      </c>
      <c r="BY13" s="24" t="str">
        <f t="shared" si="16"/>
        <v/>
      </c>
      <c r="BZ13" s="24" t="str">
        <f t="shared" si="16"/>
        <v/>
      </c>
      <c r="CA13" s="24" t="str">
        <f t="shared" si="16"/>
        <v/>
      </c>
      <c r="CB13" s="24" t="str">
        <f t="shared" si="16"/>
        <v/>
      </c>
      <c r="CC13" s="24" t="str">
        <f t="shared" si="16"/>
        <v/>
      </c>
      <c r="CD13" s="24" t="str">
        <f t="shared" si="16"/>
        <v/>
      </c>
      <c r="CE13" s="24" t="str">
        <f t="shared" si="16"/>
        <v/>
      </c>
      <c r="CF13" s="24" t="str">
        <f t="shared" si="16"/>
        <v/>
      </c>
      <c r="CG13" s="24" t="str">
        <f t="shared" si="16"/>
        <v/>
      </c>
      <c r="CH13" s="24" t="str">
        <f t="shared" si="16"/>
        <v/>
      </c>
      <c r="CI13" s="24" t="str">
        <f t="shared" si="16"/>
        <v/>
      </c>
      <c r="CJ13" s="24" t="str">
        <f t="shared" si="16"/>
        <v/>
      </c>
      <c r="CK13" s="24" t="str">
        <f t="shared" si="16"/>
        <v/>
      </c>
      <c r="CL13" s="24" t="str">
        <f t="shared" si="16"/>
        <v/>
      </c>
      <c r="CM13" s="24" t="str">
        <f t="shared" si="16"/>
        <v/>
      </c>
      <c r="CN13" s="24" t="str">
        <f t="shared" si="16"/>
        <v/>
      </c>
      <c r="CO13" s="24" t="str">
        <f t="shared" si="16"/>
        <v/>
      </c>
      <c r="CP13" s="24" t="str">
        <f t="shared" si="16"/>
        <v/>
      </c>
      <c r="CQ13" s="24" t="str">
        <f t="shared" si="16"/>
        <v/>
      </c>
      <c r="CR13" s="24" t="str">
        <f t="shared" si="16"/>
        <v/>
      </c>
      <c r="CS13" s="24" t="str">
        <f t="shared" si="16"/>
        <v/>
      </c>
      <c r="CT13" s="24" t="str">
        <f t="shared" si="16"/>
        <v/>
      </c>
      <c r="CU13" s="24" t="str">
        <f t="shared" si="16"/>
        <v/>
      </c>
      <c r="CV13" s="24" t="str">
        <f t="shared" si="16"/>
        <v/>
      </c>
      <c r="CW13" s="24" t="str">
        <f t="shared" si="16"/>
        <v/>
      </c>
      <c r="CX13" s="24" t="str">
        <f t="shared" si="16"/>
        <v/>
      </c>
      <c r="CY13" s="24" t="str">
        <f t="shared" si="16"/>
        <v/>
      </c>
      <c r="CZ13" s="24" t="str">
        <f t="shared" si="16"/>
        <v/>
      </c>
      <c r="DA13" s="24" t="str">
        <f t="shared" si="16"/>
        <v/>
      </c>
      <c r="DB13" s="24" t="str">
        <f t="shared" si="16"/>
        <v/>
      </c>
      <c r="DC13" s="24" t="str">
        <f t="shared" si="16"/>
        <v/>
      </c>
      <c r="DD13" s="24" t="str">
        <f t="shared" si="16"/>
        <v/>
      </c>
      <c r="DE13" s="24" t="str">
        <f t="shared" si="16"/>
        <v/>
      </c>
      <c r="DF13" s="24" t="str">
        <f t="shared" si="16"/>
        <v/>
      </c>
      <c r="DG13" s="24" t="str">
        <f t="shared" si="16"/>
        <v/>
      </c>
      <c r="DH13" s="24" t="str">
        <f t="shared" si="16"/>
        <v/>
      </c>
      <c r="DI13" s="24" t="str">
        <f t="shared" si="16"/>
        <v/>
      </c>
      <c r="DJ13" s="24" t="str">
        <f t="shared" si="16"/>
        <v/>
      </c>
      <c r="DK13" s="24" t="str">
        <f t="shared" si="16"/>
        <v/>
      </c>
      <c r="DL13" s="24" t="str">
        <f t="shared" si="16"/>
        <v/>
      </c>
      <c r="DM13" s="24" t="str">
        <f t="shared" si="16"/>
        <v/>
      </c>
      <c r="DN13" s="24" t="str">
        <f t="shared" si="16"/>
        <v/>
      </c>
      <c r="DO13" s="24" t="str">
        <f t="shared" si="16"/>
        <v/>
      </c>
      <c r="DP13" s="24" t="str">
        <f t="shared" si="16"/>
        <v/>
      </c>
      <c r="DQ13" s="24" t="str">
        <f t="shared" si="16"/>
        <v/>
      </c>
      <c r="DR13" s="24" t="str">
        <f t="shared" si="16"/>
        <v/>
      </c>
      <c r="DS13" s="24" t="str">
        <f t="shared" si="16"/>
        <v/>
      </c>
      <c r="DT13" s="24" t="str">
        <f t="shared" si="16"/>
        <v/>
      </c>
      <c r="DU13" s="24" t="str">
        <f t="shared" si="16"/>
        <v/>
      </c>
      <c r="DV13" s="24" t="str">
        <f t="shared" si="16"/>
        <v/>
      </c>
      <c r="DW13" s="24" t="str">
        <f t="shared" si="16"/>
        <v/>
      </c>
      <c r="DX13" s="24" t="str">
        <f t="shared" si="16"/>
        <v/>
      </c>
      <c r="DY13" s="24" t="str">
        <f t="shared" si="16"/>
        <v/>
      </c>
      <c r="DZ13" s="24" t="str">
        <f t="shared" si="16"/>
        <v/>
      </c>
      <c r="EA13" s="24" t="str">
        <f t="shared" si="16"/>
        <v/>
      </c>
      <c r="EB13" s="24" t="str">
        <f t="shared" ref="EB13:GM13" si="17">IFERROR(MONTH(EB14),"")</f>
        <v/>
      </c>
      <c r="EC13" s="24" t="str">
        <f t="shared" si="17"/>
        <v/>
      </c>
      <c r="ED13" s="24" t="str">
        <f t="shared" si="17"/>
        <v/>
      </c>
      <c r="EE13" s="24" t="str">
        <f t="shared" si="17"/>
        <v/>
      </c>
      <c r="EF13" s="24" t="str">
        <f t="shared" si="17"/>
        <v/>
      </c>
      <c r="EG13" s="24" t="str">
        <f t="shared" si="17"/>
        <v/>
      </c>
      <c r="EH13" s="24" t="str">
        <f t="shared" si="17"/>
        <v/>
      </c>
      <c r="EI13" s="24" t="str">
        <f t="shared" si="17"/>
        <v/>
      </c>
      <c r="EJ13" s="24" t="str">
        <f t="shared" si="17"/>
        <v/>
      </c>
      <c r="EK13" s="24" t="str">
        <f t="shared" si="17"/>
        <v/>
      </c>
      <c r="EL13" s="24" t="str">
        <f t="shared" si="17"/>
        <v/>
      </c>
      <c r="EM13" s="24" t="str">
        <f t="shared" si="17"/>
        <v/>
      </c>
      <c r="EN13" s="24" t="str">
        <f t="shared" si="17"/>
        <v/>
      </c>
      <c r="EO13" s="24" t="str">
        <f t="shared" si="17"/>
        <v/>
      </c>
      <c r="EP13" s="24" t="str">
        <f t="shared" si="17"/>
        <v/>
      </c>
      <c r="EQ13" s="24" t="str">
        <f t="shared" si="17"/>
        <v/>
      </c>
      <c r="ER13" s="24" t="str">
        <f t="shared" si="17"/>
        <v/>
      </c>
      <c r="ES13" s="24" t="str">
        <f t="shared" si="17"/>
        <v/>
      </c>
      <c r="ET13" s="24" t="str">
        <f t="shared" si="17"/>
        <v/>
      </c>
      <c r="EU13" s="24" t="str">
        <f t="shared" si="17"/>
        <v/>
      </c>
      <c r="EV13" s="24" t="str">
        <f t="shared" si="17"/>
        <v/>
      </c>
      <c r="EW13" s="24" t="str">
        <f t="shared" si="17"/>
        <v/>
      </c>
      <c r="EX13" s="24" t="str">
        <f t="shared" si="17"/>
        <v/>
      </c>
      <c r="EY13" s="24" t="str">
        <f t="shared" si="17"/>
        <v/>
      </c>
      <c r="EZ13" s="24" t="str">
        <f t="shared" si="17"/>
        <v/>
      </c>
      <c r="FA13" s="24" t="str">
        <f t="shared" si="17"/>
        <v/>
      </c>
      <c r="FB13" s="24" t="str">
        <f t="shared" si="17"/>
        <v/>
      </c>
      <c r="FC13" s="24" t="str">
        <f t="shared" si="17"/>
        <v/>
      </c>
      <c r="FD13" s="24" t="str">
        <f t="shared" si="17"/>
        <v/>
      </c>
      <c r="FE13" s="24" t="str">
        <f t="shared" si="17"/>
        <v/>
      </c>
      <c r="FF13" s="24" t="str">
        <f t="shared" si="17"/>
        <v/>
      </c>
      <c r="FG13" s="24" t="str">
        <f t="shared" si="17"/>
        <v/>
      </c>
      <c r="FH13" s="24" t="str">
        <f t="shared" si="17"/>
        <v/>
      </c>
      <c r="FI13" s="24" t="str">
        <f t="shared" si="17"/>
        <v/>
      </c>
      <c r="FJ13" s="24" t="str">
        <f t="shared" si="17"/>
        <v/>
      </c>
      <c r="FK13" s="24" t="str">
        <f t="shared" si="17"/>
        <v/>
      </c>
      <c r="FL13" s="24" t="str">
        <f t="shared" si="17"/>
        <v/>
      </c>
      <c r="FM13" s="24" t="str">
        <f t="shared" si="17"/>
        <v/>
      </c>
      <c r="FN13" s="24" t="str">
        <f t="shared" si="17"/>
        <v/>
      </c>
      <c r="FO13" s="24" t="str">
        <f t="shared" si="17"/>
        <v/>
      </c>
      <c r="FP13" s="24" t="str">
        <f t="shared" si="17"/>
        <v/>
      </c>
      <c r="FQ13" s="24" t="str">
        <f t="shared" si="17"/>
        <v/>
      </c>
      <c r="FR13" s="24" t="str">
        <f t="shared" si="17"/>
        <v/>
      </c>
      <c r="FS13" s="24" t="str">
        <f t="shared" si="17"/>
        <v/>
      </c>
      <c r="FT13" s="24" t="str">
        <f t="shared" si="17"/>
        <v/>
      </c>
      <c r="FU13" s="24" t="str">
        <f t="shared" si="17"/>
        <v/>
      </c>
      <c r="FV13" s="24" t="str">
        <f t="shared" si="17"/>
        <v/>
      </c>
      <c r="FW13" s="24" t="str">
        <f t="shared" si="17"/>
        <v/>
      </c>
      <c r="FX13" s="24" t="str">
        <f t="shared" si="17"/>
        <v/>
      </c>
      <c r="FY13" s="24" t="str">
        <f t="shared" si="17"/>
        <v/>
      </c>
      <c r="FZ13" s="24" t="str">
        <f t="shared" si="17"/>
        <v/>
      </c>
      <c r="GA13" s="24" t="str">
        <f t="shared" si="17"/>
        <v/>
      </c>
      <c r="GB13" s="24" t="str">
        <f t="shared" si="17"/>
        <v/>
      </c>
      <c r="GC13" s="24" t="str">
        <f t="shared" si="17"/>
        <v/>
      </c>
      <c r="GD13" s="24" t="str">
        <f t="shared" si="17"/>
        <v/>
      </c>
      <c r="GE13" s="24" t="str">
        <f t="shared" si="17"/>
        <v/>
      </c>
      <c r="GF13" s="24" t="str">
        <f t="shared" si="17"/>
        <v/>
      </c>
      <c r="GG13" s="24" t="str">
        <f t="shared" si="17"/>
        <v/>
      </c>
      <c r="GH13" s="24" t="str">
        <f t="shared" si="17"/>
        <v/>
      </c>
      <c r="GI13" s="24" t="str">
        <f t="shared" si="17"/>
        <v/>
      </c>
      <c r="GJ13" s="24" t="str">
        <f t="shared" si="17"/>
        <v/>
      </c>
      <c r="GK13" s="24" t="str">
        <f t="shared" si="17"/>
        <v/>
      </c>
      <c r="GL13" s="24" t="str">
        <f t="shared" si="17"/>
        <v/>
      </c>
      <c r="GM13" s="24" t="str">
        <f t="shared" si="17"/>
        <v/>
      </c>
      <c r="GN13" s="24" t="str">
        <f t="shared" ref="GN13:GT13" si="18">IFERROR(MONTH(GN14),"")</f>
        <v/>
      </c>
      <c r="GO13" s="24" t="str">
        <f t="shared" si="18"/>
        <v/>
      </c>
      <c r="GP13" s="24" t="str">
        <f t="shared" si="18"/>
        <v/>
      </c>
      <c r="GQ13" s="24" t="str">
        <f t="shared" si="18"/>
        <v/>
      </c>
      <c r="GR13" s="24" t="str">
        <f t="shared" si="18"/>
        <v/>
      </c>
      <c r="GS13" s="24" t="str">
        <f t="shared" si="18"/>
        <v/>
      </c>
      <c r="GT13" s="24" t="str">
        <f t="shared" si="18"/>
        <v/>
      </c>
    </row>
    <row r="14" spans="1:204" s="40" customFormat="1" ht="23" customHeight="1" collapsed="1">
      <c r="A14" s="53" t="s">
        <v>67</v>
      </c>
      <c r="B14" s="44" t="s">
        <v>129</v>
      </c>
      <c r="C14" s="210">
        <f>DATE(YEAR(C1),MONTH(C1),1)</f>
        <v>46023</v>
      </c>
      <c r="D14" s="210">
        <f t="shared" ref="D14:BO14" si="19">IF(D11&gt;=$C$7,"",EDATE(C14,1))</f>
        <v>46054</v>
      </c>
      <c r="E14" s="210">
        <f t="shared" si="19"/>
        <v>46082</v>
      </c>
      <c r="F14" s="210">
        <f t="shared" si="19"/>
        <v>46113</v>
      </c>
      <c r="G14" s="210">
        <f t="shared" si="19"/>
        <v>46143</v>
      </c>
      <c r="H14" s="210">
        <f t="shared" si="19"/>
        <v>46174</v>
      </c>
      <c r="I14" s="210">
        <f t="shared" si="19"/>
        <v>46204</v>
      </c>
      <c r="J14" s="210">
        <f t="shared" si="19"/>
        <v>46235</v>
      </c>
      <c r="K14" s="210">
        <f t="shared" si="19"/>
        <v>46266</v>
      </c>
      <c r="L14" s="210">
        <f t="shared" si="19"/>
        <v>46296</v>
      </c>
      <c r="M14" s="210">
        <f t="shared" si="19"/>
        <v>46327</v>
      </c>
      <c r="N14" s="210">
        <f t="shared" si="19"/>
        <v>46357</v>
      </c>
      <c r="O14" s="210">
        <f t="shared" si="19"/>
        <v>46388</v>
      </c>
      <c r="P14" s="210">
        <f t="shared" si="19"/>
        <v>46419</v>
      </c>
      <c r="Q14" s="210">
        <f t="shared" si="19"/>
        <v>46447</v>
      </c>
      <c r="R14" s="210">
        <f t="shared" si="19"/>
        <v>46478</v>
      </c>
      <c r="S14" s="210">
        <f t="shared" si="19"/>
        <v>46508</v>
      </c>
      <c r="T14" s="210">
        <f t="shared" si="19"/>
        <v>46539</v>
      </c>
      <c r="U14" s="210">
        <f t="shared" si="19"/>
        <v>46569</v>
      </c>
      <c r="V14" s="210">
        <f t="shared" si="19"/>
        <v>46600</v>
      </c>
      <c r="W14" s="210">
        <f t="shared" si="19"/>
        <v>46631</v>
      </c>
      <c r="X14" s="210">
        <f t="shared" si="19"/>
        <v>46661</v>
      </c>
      <c r="Y14" s="210">
        <f t="shared" si="19"/>
        <v>46692</v>
      </c>
      <c r="Z14" s="210">
        <f t="shared" si="19"/>
        <v>46722</v>
      </c>
      <c r="AA14" s="210">
        <f t="shared" si="19"/>
        <v>46753</v>
      </c>
      <c r="AB14" s="210">
        <f t="shared" si="19"/>
        <v>46784</v>
      </c>
      <c r="AC14" s="210">
        <f t="shared" si="19"/>
        <v>46813</v>
      </c>
      <c r="AD14" s="210">
        <f t="shared" si="19"/>
        <v>46844</v>
      </c>
      <c r="AE14" s="210">
        <f t="shared" si="19"/>
        <v>46874</v>
      </c>
      <c r="AF14" s="210">
        <f t="shared" si="19"/>
        <v>46905</v>
      </c>
      <c r="AG14" s="210">
        <f t="shared" si="19"/>
        <v>46935</v>
      </c>
      <c r="AH14" s="210">
        <f t="shared" si="19"/>
        <v>46966</v>
      </c>
      <c r="AI14" s="210">
        <f t="shared" si="19"/>
        <v>46997</v>
      </c>
      <c r="AJ14" s="210">
        <f t="shared" si="19"/>
        <v>47027</v>
      </c>
      <c r="AK14" s="210">
        <f t="shared" si="19"/>
        <v>47058</v>
      </c>
      <c r="AL14" s="210">
        <f t="shared" si="19"/>
        <v>47088</v>
      </c>
      <c r="AM14" s="210">
        <f t="shared" si="19"/>
        <v>47119</v>
      </c>
      <c r="AN14" s="210">
        <f t="shared" si="19"/>
        <v>47150</v>
      </c>
      <c r="AO14" s="210">
        <f t="shared" si="19"/>
        <v>47178</v>
      </c>
      <c r="AP14" s="210">
        <f t="shared" si="19"/>
        <v>47209</v>
      </c>
      <c r="AQ14" s="210">
        <f t="shared" si="19"/>
        <v>47239</v>
      </c>
      <c r="AR14" s="210">
        <f t="shared" si="19"/>
        <v>47270</v>
      </c>
      <c r="AS14" s="210">
        <f t="shared" si="19"/>
        <v>47300</v>
      </c>
      <c r="AT14" s="210">
        <f t="shared" si="19"/>
        <v>47331</v>
      </c>
      <c r="AU14" s="210">
        <f t="shared" si="19"/>
        <v>47362</v>
      </c>
      <c r="AV14" s="210">
        <f t="shared" si="19"/>
        <v>47392</v>
      </c>
      <c r="AW14" s="210">
        <f t="shared" si="19"/>
        <v>47423</v>
      </c>
      <c r="AX14" s="210">
        <f t="shared" si="19"/>
        <v>47453</v>
      </c>
      <c r="AY14" s="210">
        <f t="shared" si="19"/>
        <v>47484</v>
      </c>
      <c r="AZ14" s="210">
        <f t="shared" si="19"/>
        <v>47515</v>
      </c>
      <c r="BA14" s="210">
        <f t="shared" si="19"/>
        <v>47543</v>
      </c>
      <c r="BB14" s="210">
        <f t="shared" si="19"/>
        <v>47574</v>
      </c>
      <c r="BC14" s="210">
        <f t="shared" si="19"/>
        <v>47604</v>
      </c>
      <c r="BD14" s="210">
        <f t="shared" si="19"/>
        <v>47635</v>
      </c>
      <c r="BE14" s="210">
        <f t="shared" si="19"/>
        <v>47665</v>
      </c>
      <c r="BF14" s="210">
        <f t="shared" si="19"/>
        <v>47696</v>
      </c>
      <c r="BG14" s="210">
        <f t="shared" si="19"/>
        <v>47727</v>
      </c>
      <c r="BH14" s="210">
        <f t="shared" si="19"/>
        <v>47757</v>
      </c>
      <c r="BI14" s="210">
        <f t="shared" si="19"/>
        <v>47788</v>
      </c>
      <c r="BJ14" s="210">
        <f t="shared" si="19"/>
        <v>47818</v>
      </c>
      <c r="BK14" s="210" t="str">
        <f t="shared" si="19"/>
        <v/>
      </c>
      <c r="BL14" s="210" t="str">
        <f t="shared" si="19"/>
        <v/>
      </c>
      <c r="BM14" s="210" t="str">
        <f t="shared" si="19"/>
        <v/>
      </c>
      <c r="BN14" s="210" t="str">
        <f t="shared" si="19"/>
        <v/>
      </c>
      <c r="BO14" s="210" t="str">
        <f t="shared" si="19"/>
        <v/>
      </c>
      <c r="BP14" s="210" t="str">
        <f t="shared" ref="BP14:EA14" si="20">IF(BP11&gt;=$C$7,"",EDATE(BO14,1))</f>
        <v/>
      </c>
      <c r="BQ14" s="210" t="str">
        <f t="shared" si="20"/>
        <v/>
      </c>
      <c r="BR14" s="210" t="str">
        <f t="shared" si="20"/>
        <v/>
      </c>
      <c r="BS14" s="210" t="str">
        <f t="shared" si="20"/>
        <v/>
      </c>
      <c r="BT14" s="210" t="str">
        <f t="shared" si="20"/>
        <v/>
      </c>
      <c r="BU14" s="210" t="str">
        <f t="shared" si="20"/>
        <v/>
      </c>
      <c r="BV14" s="210" t="str">
        <f t="shared" si="20"/>
        <v/>
      </c>
      <c r="BW14" s="210" t="str">
        <f t="shared" si="20"/>
        <v/>
      </c>
      <c r="BX14" s="210" t="str">
        <f t="shared" si="20"/>
        <v/>
      </c>
      <c r="BY14" s="210" t="str">
        <f t="shared" si="20"/>
        <v/>
      </c>
      <c r="BZ14" s="210" t="str">
        <f t="shared" si="20"/>
        <v/>
      </c>
      <c r="CA14" s="210" t="str">
        <f t="shared" si="20"/>
        <v/>
      </c>
      <c r="CB14" s="210" t="str">
        <f t="shared" si="20"/>
        <v/>
      </c>
      <c r="CC14" s="210" t="str">
        <f t="shared" si="20"/>
        <v/>
      </c>
      <c r="CD14" s="210" t="str">
        <f t="shared" si="20"/>
        <v/>
      </c>
      <c r="CE14" s="210" t="str">
        <f t="shared" si="20"/>
        <v/>
      </c>
      <c r="CF14" s="210" t="str">
        <f t="shared" si="20"/>
        <v/>
      </c>
      <c r="CG14" s="210" t="str">
        <f t="shared" si="20"/>
        <v/>
      </c>
      <c r="CH14" s="210" t="str">
        <f t="shared" si="20"/>
        <v/>
      </c>
      <c r="CI14" s="210" t="str">
        <f t="shared" si="20"/>
        <v/>
      </c>
      <c r="CJ14" s="210" t="str">
        <f t="shared" si="20"/>
        <v/>
      </c>
      <c r="CK14" s="210" t="str">
        <f t="shared" si="20"/>
        <v/>
      </c>
      <c r="CL14" s="210" t="str">
        <f t="shared" si="20"/>
        <v/>
      </c>
      <c r="CM14" s="210" t="str">
        <f t="shared" si="20"/>
        <v/>
      </c>
      <c r="CN14" s="210" t="str">
        <f t="shared" si="20"/>
        <v/>
      </c>
      <c r="CO14" s="210" t="str">
        <f t="shared" si="20"/>
        <v/>
      </c>
      <c r="CP14" s="210" t="str">
        <f t="shared" si="20"/>
        <v/>
      </c>
      <c r="CQ14" s="210" t="str">
        <f t="shared" si="20"/>
        <v/>
      </c>
      <c r="CR14" s="210" t="str">
        <f t="shared" si="20"/>
        <v/>
      </c>
      <c r="CS14" s="210" t="str">
        <f t="shared" si="20"/>
        <v/>
      </c>
      <c r="CT14" s="210" t="str">
        <f t="shared" si="20"/>
        <v/>
      </c>
      <c r="CU14" s="210" t="str">
        <f t="shared" si="20"/>
        <v/>
      </c>
      <c r="CV14" s="210" t="str">
        <f t="shared" si="20"/>
        <v/>
      </c>
      <c r="CW14" s="210" t="str">
        <f t="shared" si="20"/>
        <v/>
      </c>
      <c r="CX14" s="210" t="str">
        <f t="shared" si="20"/>
        <v/>
      </c>
      <c r="CY14" s="210" t="str">
        <f t="shared" si="20"/>
        <v/>
      </c>
      <c r="CZ14" s="210" t="str">
        <f t="shared" si="20"/>
        <v/>
      </c>
      <c r="DA14" s="210" t="str">
        <f t="shared" si="20"/>
        <v/>
      </c>
      <c r="DB14" s="210" t="str">
        <f t="shared" si="20"/>
        <v/>
      </c>
      <c r="DC14" s="210" t="str">
        <f t="shared" si="20"/>
        <v/>
      </c>
      <c r="DD14" s="210" t="str">
        <f t="shared" si="20"/>
        <v/>
      </c>
      <c r="DE14" s="210" t="str">
        <f t="shared" si="20"/>
        <v/>
      </c>
      <c r="DF14" s="210" t="str">
        <f t="shared" si="20"/>
        <v/>
      </c>
      <c r="DG14" s="210" t="str">
        <f t="shared" si="20"/>
        <v/>
      </c>
      <c r="DH14" s="210" t="str">
        <f t="shared" si="20"/>
        <v/>
      </c>
      <c r="DI14" s="210" t="str">
        <f t="shared" si="20"/>
        <v/>
      </c>
      <c r="DJ14" s="210" t="str">
        <f t="shared" si="20"/>
        <v/>
      </c>
      <c r="DK14" s="210" t="str">
        <f t="shared" si="20"/>
        <v/>
      </c>
      <c r="DL14" s="210" t="str">
        <f t="shared" si="20"/>
        <v/>
      </c>
      <c r="DM14" s="210" t="str">
        <f t="shared" si="20"/>
        <v/>
      </c>
      <c r="DN14" s="210" t="str">
        <f t="shared" si="20"/>
        <v/>
      </c>
      <c r="DO14" s="210" t="str">
        <f t="shared" si="20"/>
        <v/>
      </c>
      <c r="DP14" s="210" t="str">
        <f t="shared" si="20"/>
        <v/>
      </c>
      <c r="DQ14" s="210" t="str">
        <f t="shared" si="20"/>
        <v/>
      </c>
      <c r="DR14" s="210" t="str">
        <f t="shared" si="20"/>
        <v/>
      </c>
      <c r="DS14" s="210" t="str">
        <f t="shared" si="20"/>
        <v/>
      </c>
      <c r="DT14" s="210" t="str">
        <f t="shared" si="20"/>
        <v/>
      </c>
      <c r="DU14" s="210" t="str">
        <f t="shared" si="20"/>
        <v/>
      </c>
      <c r="DV14" s="210" t="str">
        <f t="shared" si="20"/>
        <v/>
      </c>
      <c r="DW14" s="210" t="str">
        <f t="shared" si="20"/>
        <v/>
      </c>
      <c r="DX14" s="210" t="str">
        <f t="shared" si="20"/>
        <v/>
      </c>
      <c r="DY14" s="210" t="str">
        <f t="shared" si="20"/>
        <v/>
      </c>
      <c r="DZ14" s="210" t="str">
        <f t="shared" si="20"/>
        <v/>
      </c>
      <c r="EA14" s="210" t="str">
        <f t="shared" si="20"/>
        <v/>
      </c>
      <c r="EB14" s="210" t="str">
        <f t="shared" ref="EB14:GM14" si="21">IF(EB11&gt;=$C$7,"",EDATE(EA14,1))</f>
        <v/>
      </c>
      <c r="EC14" s="210" t="str">
        <f t="shared" si="21"/>
        <v/>
      </c>
      <c r="ED14" s="210" t="str">
        <f t="shared" si="21"/>
        <v/>
      </c>
      <c r="EE14" s="210" t="str">
        <f t="shared" si="21"/>
        <v/>
      </c>
      <c r="EF14" s="210" t="str">
        <f t="shared" si="21"/>
        <v/>
      </c>
      <c r="EG14" s="210" t="str">
        <f t="shared" si="21"/>
        <v/>
      </c>
      <c r="EH14" s="210" t="str">
        <f t="shared" si="21"/>
        <v/>
      </c>
      <c r="EI14" s="210" t="str">
        <f t="shared" si="21"/>
        <v/>
      </c>
      <c r="EJ14" s="210" t="str">
        <f t="shared" si="21"/>
        <v/>
      </c>
      <c r="EK14" s="210" t="str">
        <f t="shared" si="21"/>
        <v/>
      </c>
      <c r="EL14" s="210" t="str">
        <f t="shared" si="21"/>
        <v/>
      </c>
      <c r="EM14" s="210" t="str">
        <f t="shared" si="21"/>
        <v/>
      </c>
      <c r="EN14" s="210" t="str">
        <f t="shared" si="21"/>
        <v/>
      </c>
      <c r="EO14" s="210" t="str">
        <f t="shared" si="21"/>
        <v/>
      </c>
      <c r="EP14" s="210" t="str">
        <f t="shared" si="21"/>
        <v/>
      </c>
      <c r="EQ14" s="210" t="str">
        <f t="shared" si="21"/>
        <v/>
      </c>
      <c r="ER14" s="210" t="str">
        <f t="shared" si="21"/>
        <v/>
      </c>
      <c r="ES14" s="210" t="str">
        <f t="shared" si="21"/>
        <v/>
      </c>
      <c r="ET14" s="210" t="str">
        <f t="shared" si="21"/>
        <v/>
      </c>
      <c r="EU14" s="210" t="str">
        <f t="shared" si="21"/>
        <v/>
      </c>
      <c r="EV14" s="210" t="str">
        <f t="shared" si="21"/>
        <v/>
      </c>
      <c r="EW14" s="210" t="str">
        <f t="shared" si="21"/>
        <v/>
      </c>
      <c r="EX14" s="210" t="str">
        <f t="shared" si="21"/>
        <v/>
      </c>
      <c r="EY14" s="210" t="str">
        <f t="shared" si="21"/>
        <v/>
      </c>
      <c r="EZ14" s="210" t="str">
        <f t="shared" si="21"/>
        <v/>
      </c>
      <c r="FA14" s="210" t="str">
        <f t="shared" si="21"/>
        <v/>
      </c>
      <c r="FB14" s="210" t="str">
        <f t="shared" si="21"/>
        <v/>
      </c>
      <c r="FC14" s="210" t="str">
        <f t="shared" si="21"/>
        <v/>
      </c>
      <c r="FD14" s="210" t="str">
        <f t="shared" si="21"/>
        <v/>
      </c>
      <c r="FE14" s="210" t="str">
        <f t="shared" si="21"/>
        <v/>
      </c>
      <c r="FF14" s="210" t="str">
        <f t="shared" si="21"/>
        <v/>
      </c>
      <c r="FG14" s="210" t="str">
        <f t="shared" si="21"/>
        <v/>
      </c>
      <c r="FH14" s="210" t="str">
        <f t="shared" si="21"/>
        <v/>
      </c>
      <c r="FI14" s="210" t="str">
        <f t="shared" si="21"/>
        <v/>
      </c>
      <c r="FJ14" s="210" t="str">
        <f t="shared" si="21"/>
        <v/>
      </c>
      <c r="FK14" s="210" t="str">
        <f t="shared" si="21"/>
        <v/>
      </c>
      <c r="FL14" s="210" t="str">
        <f t="shared" si="21"/>
        <v/>
      </c>
      <c r="FM14" s="210" t="str">
        <f t="shared" si="21"/>
        <v/>
      </c>
      <c r="FN14" s="210" t="str">
        <f t="shared" si="21"/>
        <v/>
      </c>
      <c r="FO14" s="210" t="str">
        <f t="shared" si="21"/>
        <v/>
      </c>
      <c r="FP14" s="210" t="str">
        <f t="shared" si="21"/>
        <v/>
      </c>
      <c r="FQ14" s="210" t="str">
        <f t="shared" si="21"/>
        <v/>
      </c>
      <c r="FR14" s="210" t="str">
        <f t="shared" si="21"/>
        <v/>
      </c>
      <c r="FS14" s="210" t="str">
        <f t="shared" si="21"/>
        <v/>
      </c>
      <c r="FT14" s="210" t="str">
        <f t="shared" si="21"/>
        <v/>
      </c>
      <c r="FU14" s="210" t="str">
        <f t="shared" si="21"/>
        <v/>
      </c>
      <c r="FV14" s="210" t="str">
        <f t="shared" si="21"/>
        <v/>
      </c>
      <c r="FW14" s="210" t="str">
        <f t="shared" si="21"/>
        <v/>
      </c>
      <c r="FX14" s="210" t="str">
        <f t="shared" si="21"/>
        <v/>
      </c>
      <c r="FY14" s="210" t="str">
        <f t="shared" si="21"/>
        <v/>
      </c>
      <c r="FZ14" s="210" t="str">
        <f t="shared" si="21"/>
        <v/>
      </c>
      <c r="GA14" s="210" t="str">
        <f t="shared" si="21"/>
        <v/>
      </c>
      <c r="GB14" s="210" t="str">
        <f t="shared" si="21"/>
        <v/>
      </c>
      <c r="GC14" s="210" t="str">
        <f t="shared" si="21"/>
        <v/>
      </c>
      <c r="GD14" s="210" t="str">
        <f t="shared" si="21"/>
        <v/>
      </c>
      <c r="GE14" s="210" t="str">
        <f t="shared" si="21"/>
        <v/>
      </c>
      <c r="GF14" s="210" t="str">
        <f t="shared" si="21"/>
        <v/>
      </c>
      <c r="GG14" s="210" t="str">
        <f t="shared" si="21"/>
        <v/>
      </c>
      <c r="GH14" s="210" t="str">
        <f t="shared" si="21"/>
        <v/>
      </c>
      <c r="GI14" s="210" t="str">
        <f t="shared" si="21"/>
        <v/>
      </c>
      <c r="GJ14" s="210" t="str">
        <f t="shared" si="21"/>
        <v/>
      </c>
      <c r="GK14" s="210" t="str">
        <f t="shared" si="21"/>
        <v/>
      </c>
      <c r="GL14" s="210" t="str">
        <f t="shared" si="21"/>
        <v/>
      </c>
      <c r="GM14" s="210" t="str">
        <f t="shared" si="21"/>
        <v/>
      </c>
      <c r="GN14" s="210" t="str">
        <f t="shared" ref="GN14:GT14" si="22">IF(GN11&gt;=$C$7,"",EDATE(GM14,1))</f>
        <v/>
      </c>
      <c r="GO14" s="210" t="str">
        <f t="shared" si="22"/>
        <v/>
      </c>
      <c r="GP14" s="210" t="str">
        <f t="shared" si="22"/>
        <v/>
      </c>
      <c r="GQ14" s="210" t="str">
        <f t="shared" si="22"/>
        <v/>
      </c>
      <c r="GR14" s="210" t="str">
        <f t="shared" si="22"/>
        <v/>
      </c>
      <c r="GS14" s="210" t="str">
        <f t="shared" si="22"/>
        <v/>
      </c>
      <c r="GT14" s="210" t="str">
        <f t="shared" si="22"/>
        <v/>
      </c>
      <c r="GU14" s="39"/>
      <c r="GV14" s="39"/>
    </row>
    <row r="15" spans="1:204" s="40" customFormat="1" ht="23" customHeight="1">
      <c r="A15" s="52" t="s">
        <v>133</v>
      </c>
      <c r="B15" s="54"/>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6"/>
      <c r="GU15" s="39"/>
      <c r="GV15" s="39"/>
    </row>
    <row r="16" spans="1:204" s="28" customFormat="1" ht="21">
      <c r="A16" s="226" t="s">
        <v>237</v>
      </c>
      <c r="B16" s="44"/>
      <c r="C16" s="45">
        <f>-SUM(C17:C24)</f>
        <v>-2011.3600000000001</v>
      </c>
      <c r="D16" s="45">
        <f t="shared" ref="D16:BO16" si="23">-SUM(D17:D24)</f>
        <v>-1048.44</v>
      </c>
      <c r="E16" s="45">
        <f t="shared" si="23"/>
        <v>-1520.3000000000002</v>
      </c>
      <c r="F16" s="45">
        <f t="shared" si="23"/>
        <v>-1283.74</v>
      </c>
      <c r="G16" s="45">
        <f t="shared" si="23"/>
        <v>-1014.9200000000001</v>
      </c>
      <c r="H16" s="45">
        <f t="shared" si="23"/>
        <v>-817.48</v>
      </c>
      <c r="I16" s="45">
        <f t="shared" si="23"/>
        <v>-817.48</v>
      </c>
      <c r="J16" s="45">
        <f t="shared" si="23"/>
        <v>-817.48</v>
      </c>
      <c r="K16" s="45">
        <f t="shared" si="23"/>
        <v>-817.48</v>
      </c>
      <c r="L16" s="45">
        <f t="shared" si="23"/>
        <v>-817.48</v>
      </c>
      <c r="M16" s="45">
        <f t="shared" si="23"/>
        <v>-817.48</v>
      </c>
      <c r="N16" s="45">
        <f t="shared" si="23"/>
        <v>-164.1</v>
      </c>
      <c r="O16" s="45">
        <f t="shared" si="23"/>
        <v>0</v>
      </c>
      <c r="P16" s="45">
        <f t="shared" si="23"/>
        <v>0</v>
      </c>
      <c r="Q16" s="45">
        <f t="shared" si="23"/>
        <v>0</v>
      </c>
      <c r="R16" s="45">
        <f t="shared" si="23"/>
        <v>0</v>
      </c>
      <c r="S16" s="45">
        <f t="shared" si="23"/>
        <v>0</v>
      </c>
      <c r="T16" s="45">
        <f t="shared" si="23"/>
        <v>0</v>
      </c>
      <c r="U16" s="45">
        <f t="shared" si="23"/>
        <v>0</v>
      </c>
      <c r="V16" s="45">
        <f t="shared" si="23"/>
        <v>0</v>
      </c>
      <c r="W16" s="45">
        <f t="shared" si="23"/>
        <v>0</v>
      </c>
      <c r="X16" s="45">
        <f t="shared" si="23"/>
        <v>0</v>
      </c>
      <c r="Y16" s="45">
        <f t="shared" si="23"/>
        <v>0</v>
      </c>
      <c r="Z16" s="45">
        <f t="shared" si="23"/>
        <v>0</v>
      </c>
      <c r="AA16" s="45">
        <f t="shared" si="23"/>
        <v>0</v>
      </c>
      <c r="AB16" s="45">
        <f t="shared" si="23"/>
        <v>0</v>
      </c>
      <c r="AC16" s="45">
        <f t="shared" si="23"/>
        <v>0</v>
      </c>
      <c r="AD16" s="45">
        <f t="shared" si="23"/>
        <v>0</v>
      </c>
      <c r="AE16" s="45">
        <f t="shared" si="23"/>
        <v>0</v>
      </c>
      <c r="AF16" s="45">
        <f t="shared" si="23"/>
        <v>0</v>
      </c>
      <c r="AG16" s="45">
        <f t="shared" si="23"/>
        <v>0</v>
      </c>
      <c r="AH16" s="45">
        <f t="shared" si="23"/>
        <v>0</v>
      </c>
      <c r="AI16" s="45">
        <f t="shared" si="23"/>
        <v>0</v>
      </c>
      <c r="AJ16" s="45">
        <f t="shared" si="23"/>
        <v>0</v>
      </c>
      <c r="AK16" s="45">
        <f t="shared" si="23"/>
        <v>0</v>
      </c>
      <c r="AL16" s="45">
        <f t="shared" si="23"/>
        <v>0</v>
      </c>
      <c r="AM16" s="45">
        <f t="shared" si="23"/>
        <v>0</v>
      </c>
      <c r="AN16" s="45">
        <f t="shared" si="23"/>
        <v>0</v>
      </c>
      <c r="AO16" s="45">
        <f t="shared" si="23"/>
        <v>0</v>
      </c>
      <c r="AP16" s="45">
        <f t="shared" si="23"/>
        <v>0</v>
      </c>
      <c r="AQ16" s="45">
        <f t="shared" si="23"/>
        <v>0</v>
      </c>
      <c r="AR16" s="45">
        <f t="shared" si="23"/>
        <v>0</v>
      </c>
      <c r="AS16" s="45">
        <f t="shared" si="23"/>
        <v>0</v>
      </c>
      <c r="AT16" s="45">
        <f t="shared" si="23"/>
        <v>0</v>
      </c>
      <c r="AU16" s="45">
        <f t="shared" si="23"/>
        <v>0</v>
      </c>
      <c r="AV16" s="45">
        <f t="shared" si="23"/>
        <v>0</v>
      </c>
      <c r="AW16" s="45">
        <f t="shared" si="23"/>
        <v>0</v>
      </c>
      <c r="AX16" s="45">
        <f t="shared" si="23"/>
        <v>0</v>
      </c>
      <c r="AY16" s="45">
        <f t="shared" si="23"/>
        <v>0</v>
      </c>
      <c r="AZ16" s="45">
        <f t="shared" si="23"/>
        <v>0</v>
      </c>
      <c r="BA16" s="45">
        <f t="shared" si="23"/>
        <v>0</v>
      </c>
      <c r="BB16" s="45">
        <f t="shared" si="23"/>
        <v>0</v>
      </c>
      <c r="BC16" s="45">
        <f t="shared" si="23"/>
        <v>0</v>
      </c>
      <c r="BD16" s="45">
        <f t="shared" si="23"/>
        <v>0</v>
      </c>
      <c r="BE16" s="45">
        <f t="shared" si="23"/>
        <v>0</v>
      </c>
      <c r="BF16" s="45">
        <f t="shared" si="23"/>
        <v>0</v>
      </c>
      <c r="BG16" s="45">
        <f t="shared" si="23"/>
        <v>0</v>
      </c>
      <c r="BH16" s="45">
        <f t="shared" si="23"/>
        <v>0</v>
      </c>
      <c r="BI16" s="45">
        <f t="shared" si="23"/>
        <v>0</v>
      </c>
      <c r="BJ16" s="45">
        <f t="shared" si="23"/>
        <v>0</v>
      </c>
      <c r="BK16" s="45">
        <f t="shared" si="23"/>
        <v>0</v>
      </c>
      <c r="BL16" s="45">
        <f t="shared" si="23"/>
        <v>0</v>
      </c>
      <c r="BM16" s="45">
        <f t="shared" si="23"/>
        <v>0</v>
      </c>
      <c r="BN16" s="45">
        <f t="shared" si="23"/>
        <v>0</v>
      </c>
      <c r="BO16" s="45">
        <f t="shared" si="23"/>
        <v>0</v>
      </c>
      <c r="BP16" s="45">
        <f t="shared" ref="BP16:EA16" si="24">-SUM(BP17:BP24)</f>
        <v>0</v>
      </c>
      <c r="BQ16" s="45">
        <f t="shared" si="24"/>
        <v>0</v>
      </c>
      <c r="BR16" s="45">
        <f t="shared" si="24"/>
        <v>0</v>
      </c>
      <c r="BS16" s="45">
        <f t="shared" si="24"/>
        <v>0</v>
      </c>
      <c r="BT16" s="45">
        <f t="shared" si="24"/>
        <v>0</v>
      </c>
      <c r="BU16" s="45">
        <f t="shared" si="24"/>
        <v>0</v>
      </c>
      <c r="BV16" s="45">
        <f t="shared" si="24"/>
        <v>0</v>
      </c>
      <c r="BW16" s="45">
        <f t="shared" si="24"/>
        <v>0</v>
      </c>
      <c r="BX16" s="45">
        <f t="shared" si="24"/>
        <v>0</v>
      </c>
      <c r="BY16" s="45">
        <f t="shared" si="24"/>
        <v>0</v>
      </c>
      <c r="BZ16" s="45">
        <f t="shared" si="24"/>
        <v>0</v>
      </c>
      <c r="CA16" s="45">
        <f t="shared" si="24"/>
        <v>0</v>
      </c>
      <c r="CB16" s="45">
        <f t="shared" si="24"/>
        <v>0</v>
      </c>
      <c r="CC16" s="45">
        <f t="shared" si="24"/>
        <v>0</v>
      </c>
      <c r="CD16" s="45">
        <f t="shared" si="24"/>
        <v>0</v>
      </c>
      <c r="CE16" s="45">
        <f t="shared" si="24"/>
        <v>0</v>
      </c>
      <c r="CF16" s="45">
        <f t="shared" si="24"/>
        <v>0</v>
      </c>
      <c r="CG16" s="45">
        <f t="shared" si="24"/>
        <v>0</v>
      </c>
      <c r="CH16" s="45">
        <f t="shared" si="24"/>
        <v>0</v>
      </c>
      <c r="CI16" s="45">
        <f t="shared" si="24"/>
        <v>0</v>
      </c>
      <c r="CJ16" s="45">
        <f t="shared" si="24"/>
        <v>0</v>
      </c>
      <c r="CK16" s="45">
        <f t="shared" si="24"/>
        <v>0</v>
      </c>
      <c r="CL16" s="45">
        <f t="shared" si="24"/>
        <v>0</v>
      </c>
      <c r="CM16" s="45">
        <f t="shared" si="24"/>
        <v>0</v>
      </c>
      <c r="CN16" s="45">
        <f t="shared" si="24"/>
        <v>0</v>
      </c>
      <c r="CO16" s="45">
        <f t="shared" si="24"/>
        <v>0</v>
      </c>
      <c r="CP16" s="45">
        <f t="shared" si="24"/>
        <v>0</v>
      </c>
      <c r="CQ16" s="45">
        <f t="shared" si="24"/>
        <v>0</v>
      </c>
      <c r="CR16" s="45">
        <f t="shared" si="24"/>
        <v>0</v>
      </c>
      <c r="CS16" s="45">
        <f t="shared" si="24"/>
        <v>0</v>
      </c>
      <c r="CT16" s="45">
        <f t="shared" si="24"/>
        <v>0</v>
      </c>
      <c r="CU16" s="45">
        <f t="shared" si="24"/>
        <v>0</v>
      </c>
      <c r="CV16" s="45">
        <f t="shared" si="24"/>
        <v>0</v>
      </c>
      <c r="CW16" s="45">
        <f t="shared" si="24"/>
        <v>0</v>
      </c>
      <c r="CX16" s="45">
        <f t="shared" si="24"/>
        <v>0</v>
      </c>
      <c r="CY16" s="45">
        <f t="shared" si="24"/>
        <v>0</v>
      </c>
      <c r="CZ16" s="45">
        <f t="shared" si="24"/>
        <v>0</v>
      </c>
      <c r="DA16" s="45">
        <f t="shared" si="24"/>
        <v>0</v>
      </c>
      <c r="DB16" s="45">
        <f t="shared" si="24"/>
        <v>0</v>
      </c>
      <c r="DC16" s="45">
        <f t="shared" si="24"/>
        <v>0</v>
      </c>
      <c r="DD16" s="45">
        <f t="shared" si="24"/>
        <v>0</v>
      </c>
      <c r="DE16" s="45">
        <f t="shared" si="24"/>
        <v>0</v>
      </c>
      <c r="DF16" s="45">
        <f t="shared" si="24"/>
        <v>0</v>
      </c>
      <c r="DG16" s="45">
        <f t="shared" si="24"/>
        <v>0</v>
      </c>
      <c r="DH16" s="45">
        <f t="shared" si="24"/>
        <v>0</v>
      </c>
      <c r="DI16" s="45">
        <f t="shared" si="24"/>
        <v>0</v>
      </c>
      <c r="DJ16" s="45">
        <f t="shared" si="24"/>
        <v>0</v>
      </c>
      <c r="DK16" s="45">
        <f t="shared" si="24"/>
        <v>0</v>
      </c>
      <c r="DL16" s="45">
        <f t="shared" si="24"/>
        <v>0</v>
      </c>
      <c r="DM16" s="45">
        <f t="shared" si="24"/>
        <v>0</v>
      </c>
      <c r="DN16" s="45">
        <f t="shared" si="24"/>
        <v>0</v>
      </c>
      <c r="DO16" s="45">
        <f t="shared" si="24"/>
        <v>0</v>
      </c>
      <c r="DP16" s="45">
        <f t="shared" si="24"/>
        <v>0</v>
      </c>
      <c r="DQ16" s="45">
        <f t="shared" si="24"/>
        <v>0</v>
      </c>
      <c r="DR16" s="45">
        <f t="shared" si="24"/>
        <v>0</v>
      </c>
      <c r="DS16" s="45">
        <f t="shared" si="24"/>
        <v>0</v>
      </c>
      <c r="DT16" s="45">
        <f t="shared" si="24"/>
        <v>0</v>
      </c>
      <c r="DU16" s="45">
        <f t="shared" si="24"/>
        <v>0</v>
      </c>
      <c r="DV16" s="45">
        <f t="shared" si="24"/>
        <v>0</v>
      </c>
      <c r="DW16" s="45">
        <f t="shared" si="24"/>
        <v>0</v>
      </c>
      <c r="DX16" s="45">
        <f t="shared" si="24"/>
        <v>0</v>
      </c>
      <c r="DY16" s="45">
        <f t="shared" si="24"/>
        <v>0</v>
      </c>
      <c r="DZ16" s="45">
        <f t="shared" si="24"/>
        <v>0</v>
      </c>
      <c r="EA16" s="45">
        <f t="shared" si="24"/>
        <v>0</v>
      </c>
      <c r="EB16" s="45">
        <f t="shared" ref="EB16:GM16" si="25">-SUM(EB17:EB24)</f>
        <v>0</v>
      </c>
      <c r="EC16" s="45">
        <f t="shared" si="25"/>
        <v>0</v>
      </c>
      <c r="ED16" s="45">
        <f t="shared" si="25"/>
        <v>0</v>
      </c>
      <c r="EE16" s="45">
        <f t="shared" si="25"/>
        <v>0</v>
      </c>
      <c r="EF16" s="45">
        <f t="shared" si="25"/>
        <v>0</v>
      </c>
      <c r="EG16" s="45">
        <f t="shared" si="25"/>
        <v>0</v>
      </c>
      <c r="EH16" s="45">
        <f t="shared" si="25"/>
        <v>0</v>
      </c>
      <c r="EI16" s="45">
        <f t="shared" si="25"/>
        <v>0</v>
      </c>
      <c r="EJ16" s="45">
        <f t="shared" si="25"/>
        <v>0</v>
      </c>
      <c r="EK16" s="45">
        <f t="shared" si="25"/>
        <v>0</v>
      </c>
      <c r="EL16" s="45">
        <f t="shared" si="25"/>
        <v>0</v>
      </c>
      <c r="EM16" s="45">
        <f t="shared" si="25"/>
        <v>0</v>
      </c>
      <c r="EN16" s="45">
        <f t="shared" si="25"/>
        <v>0</v>
      </c>
      <c r="EO16" s="45">
        <f t="shared" si="25"/>
        <v>0</v>
      </c>
      <c r="EP16" s="45">
        <f t="shared" si="25"/>
        <v>0</v>
      </c>
      <c r="EQ16" s="45">
        <f t="shared" si="25"/>
        <v>0</v>
      </c>
      <c r="ER16" s="45">
        <f t="shared" si="25"/>
        <v>0</v>
      </c>
      <c r="ES16" s="45">
        <f t="shared" si="25"/>
        <v>0</v>
      </c>
      <c r="ET16" s="45">
        <f t="shared" si="25"/>
        <v>0</v>
      </c>
      <c r="EU16" s="45">
        <f t="shared" si="25"/>
        <v>0</v>
      </c>
      <c r="EV16" s="45">
        <f t="shared" si="25"/>
        <v>0</v>
      </c>
      <c r="EW16" s="45">
        <f t="shared" si="25"/>
        <v>0</v>
      </c>
      <c r="EX16" s="45">
        <f t="shared" si="25"/>
        <v>0</v>
      </c>
      <c r="EY16" s="45">
        <f t="shared" si="25"/>
        <v>0</v>
      </c>
      <c r="EZ16" s="45">
        <f t="shared" si="25"/>
        <v>0</v>
      </c>
      <c r="FA16" s="45">
        <f t="shared" si="25"/>
        <v>0</v>
      </c>
      <c r="FB16" s="45">
        <f t="shared" si="25"/>
        <v>0</v>
      </c>
      <c r="FC16" s="45">
        <f t="shared" si="25"/>
        <v>0</v>
      </c>
      <c r="FD16" s="45">
        <f t="shared" si="25"/>
        <v>0</v>
      </c>
      <c r="FE16" s="45">
        <f t="shared" si="25"/>
        <v>0</v>
      </c>
      <c r="FF16" s="45">
        <f t="shared" si="25"/>
        <v>0</v>
      </c>
      <c r="FG16" s="45">
        <f t="shared" si="25"/>
        <v>0</v>
      </c>
      <c r="FH16" s="45">
        <f t="shared" si="25"/>
        <v>0</v>
      </c>
      <c r="FI16" s="45">
        <f t="shared" si="25"/>
        <v>0</v>
      </c>
      <c r="FJ16" s="45">
        <f t="shared" si="25"/>
        <v>0</v>
      </c>
      <c r="FK16" s="45">
        <f t="shared" si="25"/>
        <v>0</v>
      </c>
      <c r="FL16" s="45">
        <f t="shared" si="25"/>
        <v>0</v>
      </c>
      <c r="FM16" s="45">
        <f t="shared" si="25"/>
        <v>0</v>
      </c>
      <c r="FN16" s="45">
        <f t="shared" si="25"/>
        <v>0</v>
      </c>
      <c r="FO16" s="45">
        <f t="shared" si="25"/>
        <v>0</v>
      </c>
      <c r="FP16" s="45">
        <f t="shared" si="25"/>
        <v>0</v>
      </c>
      <c r="FQ16" s="45">
        <f t="shared" si="25"/>
        <v>0</v>
      </c>
      <c r="FR16" s="45">
        <f t="shared" si="25"/>
        <v>0</v>
      </c>
      <c r="FS16" s="45">
        <f t="shared" si="25"/>
        <v>0</v>
      </c>
      <c r="FT16" s="45">
        <f t="shared" si="25"/>
        <v>0</v>
      </c>
      <c r="FU16" s="45">
        <f t="shared" si="25"/>
        <v>0</v>
      </c>
      <c r="FV16" s="45">
        <f t="shared" si="25"/>
        <v>0</v>
      </c>
      <c r="FW16" s="45">
        <f t="shared" si="25"/>
        <v>0</v>
      </c>
      <c r="FX16" s="45">
        <f t="shared" si="25"/>
        <v>0</v>
      </c>
      <c r="FY16" s="45">
        <f t="shared" si="25"/>
        <v>0</v>
      </c>
      <c r="FZ16" s="45">
        <f t="shared" si="25"/>
        <v>0</v>
      </c>
      <c r="GA16" s="45">
        <f t="shared" si="25"/>
        <v>0</v>
      </c>
      <c r="GB16" s="45">
        <f t="shared" si="25"/>
        <v>0</v>
      </c>
      <c r="GC16" s="45">
        <f t="shared" si="25"/>
        <v>0</v>
      </c>
      <c r="GD16" s="45">
        <f t="shared" si="25"/>
        <v>0</v>
      </c>
      <c r="GE16" s="45">
        <f t="shared" si="25"/>
        <v>0</v>
      </c>
      <c r="GF16" s="45">
        <f t="shared" si="25"/>
        <v>0</v>
      </c>
      <c r="GG16" s="45">
        <f t="shared" si="25"/>
        <v>0</v>
      </c>
      <c r="GH16" s="45">
        <f t="shared" si="25"/>
        <v>0</v>
      </c>
      <c r="GI16" s="45">
        <f t="shared" si="25"/>
        <v>0</v>
      </c>
      <c r="GJ16" s="45">
        <f t="shared" si="25"/>
        <v>0</v>
      </c>
      <c r="GK16" s="45">
        <f t="shared" si="25"/>
        <v>0</v>
      </c>
      <c r="GL16" s="45">
        <f t="shared" si="25"/>
        <v>0</v>
      </c>
      <c r="GM16" s="45">
        <f t="shared" si="25"/>
        <v>0</v>
      </c>
      <c r="GN16" s="45">
        <f t="shared" ref="GN16:GT16" si="26">-SUM(GN17:GN24)</f>
        <v>0</v>
      </c>
      <c r="GO16" s="45">
        <f t="shared" si="26"/>
        <v>0</v>
      </c>
      <c r="GP16" s="45">
        <f t="shared" si="26"/>
        <v>0</v>
      </c>
      <c r="GQ16" s="45">
        <f t="shared" si="26"/>
        <v>0</v>
      </c>
      <c r="GR16" s="45">
        <f t="shared" si="26"/>
        <v>0</v>
      </c>
      <c r="GS16" s="45">
        <f t="shared" si="26"/>
        <v>0</v>
      </c>
      <c r="GT16" s="45">
        <f t="shared" si="26"/>
        <v>0</v>
      </c>
    </row>
    <row r="17" spans="1:202" ht="16.5" customHeight="1">
      <c r="A17" s="96" t="s">
        <v>107</v>
      </c>
      <c r="B17" s="92"/>
      <c r="C17" s="93">
        <v>451.36</v>
      </c>
      <c r="D17" s="93">
        <v>488.44</v>
      </c>
      <c r="E17" s="93">
        <v>960.30000000000007</v>
      </c>
      <c r="F17" s="93">
        <v>723.74</v>
      </c>
      <c r="G17" s="93">
        <v>454.92</v>
      </c>
      <c r="H17" s="93">
        <v>257.48</v>
      </c>
      <c r="I17" s="93">
        <v>257.48</v>
      </c>
      <c r="J17" s="93">
        <v>257.48</v>
      </c>
      <c r="K17" s="93">
        <v>257.48</v>
      </c>
      <c r="L17" s="93">
        <v>257.48</v>
      </c>
      <c r="M17" s="93">
        <v>257.48</v>
      </c>
      <c r="N17" s="93">
        <v>164.1</v>
      </c>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c r="CV17" s="93"/>
      <c r="CW17" s="93"/>
      <c r="CX17" s="93"/>
      <c r="CY17" s="93"/>
      <c r="CZ17" s="93"/>
      <c r="DA17" s="93"/>
      <c r="DB17" s="93"/>
      <c r="DC17" s="93"/>
      <c r="DD17" s="93"/>
      <c r="DE17" s="93"/>
      <c r="DF17" s="93"/>
      <c r="DG17" s="93"/>
      <c r="DH17" s="93"/>
      <c r="DI17" s="93"/>
      <c r="DJ17" s="93"/>
      <c r="DK17" s="93"/>
      <c r="DL17" s="93"/>
      <c r="DM17" s="93"/>
      <c r="DN17" s="93"/>
      <c r="DO17" s="93"/>
      <c r="DP17" s="93"/>
      <c r="DQ17" s="93"/>
      <c r="DR17" s="93"/>
      <c r="DS17" s="93"/>
      <c r="DT17" s="93"/>
      <c r="DU17" s="93"/>
      <c r="DV17" s="93"/>
      <c r="DW17" s="93"/>
      <c r="DX17" s="93"/>
      <c r="DY17" s="93"/>
      <c r="DZ17" s="93"/>
      <c r="EA17" s="93"/>
      <c r="EB17" s="93"/>
      <c r="EC17" s="93"/>
      <c r="ED17" s="93"/>
      <c r="EE17" s="93"/>
      <c r="EF17" s="93"/>
      <c r="EG17" s="93"/>
      <c r="EH17" s="93"/>
      <c r="EI17" s="93"/>
      <c r="EJ17" s="93"/>
      <c r="EK17" s="93"/>
      <c r="EL17" s="93"/>
      <c r="EM17" s="93"/>
      <c r="EN17" s="93"/>
      <c r="EO17" s="93"/>
      <c r="EP17" s="93"/>
      <c r="EQ17" s="93"/>
      <c r="ER17" s="93"/>
      <c r="ES17" s="93"/>
      <c r="ET17" s="93"/>
      <c r="EU17" s="93"/>
      <c r="EV17" s="93"/>
      <c r="EW17" s="93"/>
      <c r="EX17" s="93"/>
      <c r="EY17" s="93"/>
      <c r="EZ17" s="93"/>
      <c r="FA17" s="93"/>
      <c r="FB17" s="93"/>
      <c r="FC17" s="93"/>
      <c r="FD17" s="93"/>
      <c r="FE17" s="93"/>
      <c r="FF17" s="93"/>
      <c r="FG17" s="93"/>
      <c r="FH17" s="93"/>
      <c r="FI17" s="93"/>
      <c r="FJ17" s="93"/>
      <c r="FK17" s="93"/>
      <c r="FL17" s="93"/>
      <c r="FM17" s="93"/>
      <c r="FN17" s="93"/>
      <c r="FO17" s="93"/>
      <c r="FP17" s="93"/>
      <c r="FQ17" s="93"/>
      <c r="FR17" s="93"/>
      <c r="FS17" s="93"/>
      <c r="FT17" s="93"/>
      <c r="FU17" s="93"/>
      <c r="FV17" s="93"/>
      <c r="FW17" s="93"/>
      <c r="FX17" s="93"/>
      <c r="FY17" s="93"/>
      <c r="FZ17" s="93"/>
      <c r="GA17" s="93"/>
      <c r="GB17" s="93"/>
      <c r="GC17" s="93"/>
      <c r="GD17" s="93"/>
      <c r="GE17" s="93"/>
      <c r="GF17" s="93"/>
      <c r="GG17" s="93"/>
      <c r="GH17" s="93"/>
      <c r="GI17" s="93"/>
      <c r="GJ17" s="93"/>
      <c r="GK17" s="93"/>
      <c r="GL17" s="93"/>
      <c r="GM17" s="93"/>
      <c r="GN17" s="93"/>
      <c r="GO17" s="93"/>
      <c r="GP17" s="93"/>
      <c r="GQ17" s="93"/>
      <c r="GR17" s="93"/>
      <c r="GS17" s="93"/>
      <c r="GT17" s="93"/>
    </row>
    <row r="18" spans="1:202" ht="16.5" customHeight="1">
      <c r="A18" s="96" t="s">
        <v>108</v>
      </c>
      <c r="B18" s="92"/>
      <c r="C18" s="93">
        <v>560</v>
      </c>
      <c r="D18" s="93">
        <v>560</v>
      </c>
      <c r="E18" s="93">
        <v>560</v>
      </c>
      <c r="F18" s="93">
        <v>560</v>
      </c>
      <c r="G18" s="93">
        <v>560</v>
      </c>
      <c r="H18" s="93">
        <v>560</v>
      </c>
      <c r="I18" s="93">
        <v>560</v>
      </c>
      <c r="J18" s="93">
        <v>560</v>
      </c>
      <c r="K18" s="93">
        <v>560</v>
      </c>
      <c r="L18" s="93">
        <v>560</v>
      </c>
      <c r="M18" s="93">
        <v>560</v>
      </c>
      <c r="N18" s="93">
        <v>0</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3"/>
      <c r="CY18" s="93"/>
      <c r="CZ18" s="93"/>
      <c r="DA18" s="93"/>
      <c r="DB18" s="93"/>
      <c r="DC18" s="93"/>
      <c r="DD18" s="93"/>
      <c r="DE18" s="93"/>
      <c r="DF18" s="93"/>
      <c r="DG18" s="93"/>
      <c r="DH18" s="93"/>
      <c r="DI18" s="93"/>
      <c r="DJ18" s="93"/>
      <c r="DK18" s="93"/>
      <c r="DL18" s="93"/>
      <c r="DM18" s="93"/>
      <c r="DN18" s="93"/>
      <c r="DO18" s="93"/>
      <c r="DP18" s="93"/>
      <c r="DQ18" s="93"/>
      <c r="DR18" s="93"/>
      <c r="DS18" s="93"/>
      <c r="DT18" s="93"/>
      <c r="DU18" s="93"/>
      <c r="DV18" s="93"/>
      <c r="DW18" s="93"/>
      <c r="DX18" s="93"/>
      <c r="DY18" s="93"/>
      <c r="DZ18" s="93"/>
      <c r="EA18" s="93"/>
      <c r="EB18" s="93"/>
      <c r="EC18" s="93"/>
      <c r="ED18" s="93"/>
      <c r="EE18" s="93"/>
      <c r="EF18" s="93"/>
      <c r="EG18" s="93"/>
      <c r="EH18" s="93"/>
      <c r="EI18" s="93"/>
      <c r="EJ18" s="93"/>
      <c r="EK18" s="93"/>
      <c r="EL18" s="93"/>
      <c r="EM18" s="93"/>
      <c r="EN18" s="93"/>
      <c r="EO18" s="93"/>
      <c r="EP18" s="93"/>
      <c r="EQ18" s="93"/>
      <c r="ER18" s="93"/>
      <c r="ES18" s="93"/>
      <c r="ET18" s="93"/>
      <c r="EU18" s="93"/>
      <c r="EV18" s="93"/>
      <c r="EW18" s="93"/>
      <c r="EX18" s="93"/>
      <c r="EY18" s="93"/>
      <c r="EZ18" s="93"/>
      <c r="FA18" s="93"/>
      <c r="FB18" s="93"/>
      <c r="FC18" s="93"/>
      <c r="FD18" s="93"/>
      <c r="FE18" s="93"/>
      <c r="FF18" s="93"/>
      <c r="FG18" s="93"/>
      <c r="FH18" s="93"/>
      <c r="FI18" s="93"/>
      <c r="FJ18" s="93"/>
      <c r="FK18" s="93"/>
      <c r="FL18" s="93"/>
      <c r="FM18" s="93"/>
      <c r="FN18" s="93"/>
      <c r="FO18" s="93"/>
      <c r="FP18" s="93"/>
      <c r="FQ18" s="93"/>
      <c r="FR18" s="93"/>
      <c r="FS18" s="93"/>
      <c r="FT18" s="93"/>
      <c r="FU18" s="93"/>
      <c r="FV18" s="93"/>
      <c r="FW18" s="93"/>
      <c r="FX18" s="93"/>
      <c r="FY18" s="93"/>
      <c r="FZ18" s="93"/>
      <c r="GA18" s="93"/>
      <c r="GB18" s="93"/>
      <c r="GC18" s="93"/>
      <c r="GD18" s="93"/>
      <c r="GE18" s="93"/>
      <c r="GF18" s="93"/>
      <c r="GG18" s="93"/>
      <c r="GH18" s="93"/>
      <c r="GI18" s="93"/>
      <c r="GJ18" s="93"/>
      <c r="GK18" s="93"/>
      <c r="GL18" s="93"/>
      <c r="GM18" s="93"/>
      <c r="GN18" s="93"/>
      <c r="GO18" s="93"/>
      <c r="GP18" s="93"/>
      <c r="GQ18" s="93"/>
      <c r="GR18" s="93"/>
      <c r="GS18" s="93"/>
      <c r="GT18" s="93"/>
    </row>
    <row r="19" spans="1:202" ht="16.5" customHeight="1">
      <c r="A19" s="96" t="s">
        <v>107</v>
      </c>
      <c r="B19" s="92"/>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c r="CK19" s="93"/>
      <c r="CL19" s="93"/>
      <c r="CM19" s="93"/>
      <c r="CN19" s="93"/>
      <c r="CO19" s="93"/>
      <c r="CP19" s="93"/>
      <c r="CQ19" s="93"/>
      <c r="CR19" s="93"/>
      <c r="CS19" s="93"/>
      <c r="CT19" s="93"/>
      <c r="CU19" s="93"/>
      <c r="CV19" s="93"/>
      <c r="CW19" s="93"/>
      <c r="CX19" s="93"/>
      <c r="CY19" s="93"/>
      <c r="CZ19" s="93"/>
      <c r="DA19" s="93"/>
      <c r="DB19" s="93"/>
      <c r="DC19" s="93"/>
      <c r="DD19" s="93"/>
      <c r="DE19" s="93"/>
      <c r="DF19" s="93"/>
      <c r="DG19" s="93"/>
      <c r="DH19" s="93"/>
      <c r="DI19" s="93"/>
      <c r="DJ19" s="93"/>
      <c r="DK19" s="93"/>
      <c r="DL19" s="93"/>
      <c r="DM19" s="93"/>
      <c r="DN19" s="93"/>
      <c r="DO19" s="93"/>
      <c r="DP19" s="93"/>
      <c r="DQ19" s="93"/>
      <c r="DR19" s="93"/>
      <c r="DS19" s="93"/>
      <c r="DT19" s="93"/>
      <c r="DU19" s="93"/>
      <c r="DV19" s="93"/>
      <c r="DW19" s="93"/>
      <c r="DX19" s="93"/>
      <c r="DY19" s="93"/>
      <c r="DZ19" s="93"/>
      <c r="EA19" s="93"/>
      <c r="EB19" s="93"/>
      <c r="EC19" s="93"/>
      <c r="ED19" s="93"/>
      <c r="EE19" s="93"/>
      <c r="EF19" s="93"/>
      <c r="EG19" s="93"/>
      <c r="EH19" s="93"/>
      <c r="EI19" s="93"/>
      <c r="EJ19" s="93"/>
      <c r="EK19" s="93"/>
      <c r="EL19" s="93"/>
      <c r="EM19" s="93"/>
      <c r="EN19" s="93"/>
      <c r="EO19" s="93"/>
      <c r="EP19" s="93"/>
      <c r="EQ19" s="93"/>
      <c r="ER19" s="93"/>
      <c r="ES19" s="93"/>
      <c r="ET19" s="93"/>
      <c r="EU19" s="93"/>
      <c r="EV19" s="93"/>
      <c r="EW19" s="93"/>
      <c r="EX19" s="93"/>
      <c r="EY19" s="93"/>
      <c r="EZ19" s="93"/>
      <c r="FA19" s="93"/>
      <c r="FB19" s="93"/>
      <c r="FC19" s="93"/>
      <c r="FD19" s="93"/>
      <c r="FE19" s="93"/>
      <c r="FF19" s="93"/>
      <c r="FG19" s="93"/>
      <c r="FH19" s="93"/>
      <c r="FI19" s="93"/>
      <c r="FJ19" s="93"/>
      <c r="FK19" s="93"/>
      <c r="FL19" s="93"/>
      <c r="FM19" s="93"/>
      <c r="FN19" s="93"/>
      <c r="FO19" s="93"/>
      <c r="FP19" s="93"/>
      <c r="FQ19" s="93"/>
      <c r="FR19" s="93"/>
      <c r="FS19" s="93"/>
      <c r="FT19" s="93"/>
      <c r="FU19" s="93"/>
      <c r="FV19" s="93"/>
      <c r="FW19" s="93"/>
      <c r="FX19" s="93"/>
      <c r="FY19" s="93"/>
      <c r="FZ19" s="93"/>
      <c r="GA19" s="93"/>
      <c r="GB19" s="93"/>
      <c r="GC19" s="93"/>
      <c r="GD19" s="93"/>
      <c r="GE19" s="93"/>
      <c r="GF19" s="93"/>
      <c r="GG19" s="93"/>
      <c r="GH19" s="93"/>
      <c r="GI19" s="93"/>
      <c r="GJ19" s="93"/>
      <c r="GK19" s="93"/>
      <c r="GL19" s="93"/>
      <c r="GM19" s="93"/>
      <c r="GN19" s="93"/>
      <c r="GO19" s="93"/>
      <c r="GP19" s="93"/>
      <c r="GQ19" s="93"/>
      <c r="GR19" s="93"/>
      <c r="GS19" s="93"/>
      <c r="GT19" s="93"/>
    </row>
    <row r="20" spans="1:202" ht="16.5" customHeight="1">
      <c r="A20" s="96" t="s">
        <v>101</v>
      </c>
      <c r="B20" s="92"/>
      <c r="C20" s="93">
        <v>1000</v>
      </c>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c r="CK20" s="93"/>
      <c r="CL20" s="93"/>
      <c r="CM20" s="93"/>
      <c r="CN20" s="93"/>
      <c r="CO20" s="93"/>
      <c r="CP20" s="93"/>
      <c r="CQ20" s="93"/>
      <c r="CR20" s="93"/>
      <c r="CS20" s="93"/>
      <c r="CT20" s="93"/>
      <c r="CU20" s="93"/>
      <c r="CV20" s="93"/>
      <c r="CW20" s="93"/>
      <c r="CX20" s="93"/>
      <c r="CY20" s="93"/>
      <c r="CZ20" s="93"/>
      <c r="DA20" s="93"/>
      <c r="DB20" s="93"/>
      <c r="DC20" s="93"/>
      <c r="DD20" s="93"/>
      <c r="DE20" s="93"/>
      <c r="DF20" s="93"/>
      <c r="DG20" s="93"/>
      <c r="DH20" s="93"/>
      <c r="DI20" s="93"/>
      <c r="DJ20" s="93"/>
      <c r="DK20" s="93"/>
      <c r="DL20" s="93"/>
      <c r="DM20" s="93"/>
      <c r="DN20" s="93"/>
      <c r="DO20" s="93"/>
      <c r="DP20" s="93"/>
      <c r="DQ20" s="93"/>
      <c r="DR20" s="93"/>
      <c r="DS20" s="93"/>
      <c r="DT20" s="93"/>
      <c r="DU20" s="93"/>
      <c r="DV20" s="93"/>
      <c r="DW20" s="93"/>
      <c r="DX20" s="93"/>
      <c r="DY20" s="93"/>
      <c r="DZ20" s="93"/>
      <c r="EA20" s="93"/>
      <c r="EB20" s="93"/>
      <c r="EC20" s="93"/>
      <c r="ED20" s="93"/>
      <c r="EE20" s="93"/>
      <c r="EF20" s="93"/>
      <c r="EG20" s="93"/>
      <c r="EH20" s="93"/>
      <c r="EI20" s="93"/>
      <c r="EJ20" s="93"/>
      <c r="EK20" s="93"/>
      <c r="EL20" s="93"/>
      <c r="EM20" s="93"/>
      <c r="EN20" s="93"/>
      <c r="EO20" s="93"/>
      <c r="EP20" s="93"/>
      <c r="EQ20" s="93"/>
      <c r="ER20" s="93"/>
      <c r="ES20" s="93"/>
      <c r="ET20" s="93"/>
      <c r="EU20" s="93"/>
      <c r="EV20" s="93"/>
      <c r="EW20" s="93"/>
      <c r="EX20" s="93"/>
      <c r="EY20" s="93"/>
      <c r="EZ20" s="93"/>
      <c r="FA20" s="93"/>
      <c r="FB20" s="93"/>
      <c r="FC20" s="93"/>
      <c r="FD20" s="93"/>
      <c r="FE20" s="93"/>
      <c r="FF20" s="93"/>
      <c r="FG20" s="93"/>
      <c r="FH20" s="93"/>
      <c r="FI20" s="93"/>
      <c r="FJ20" s="93"/>
      <c r="FK20" s="93"/>
      <c r="FL20" s="93"/>
      <c r="FM20" s="93"/>
      <c r="FN20" s="93"/>
      <c r="FO20" s="93"/>
      <c r="FP20" s="93"/>
      <c r="FQ20" s="93"/>
      <c r="FR20" s="93"/>
      <c r="FS20" s="93"/>
      <c r="FT20" s="93"/>
      <c r="FU20" s="93"/>
      <c r="FV20" s="93"/>
      <c r="FW20" s="93"/>
      <c r="FX20" s="93"/>
      <c r="FY20" s="93"/>
      <c r="FZ20" s="93"/>
      <c r="GA20" s="93"/>
      <c r="GB20" s="93"/>
      <c r="GC20" s="93"/>
      <c r="GD20" s="93"/>
      <c r="GE20" s="93"/>
      <c r="GF20" s="93"/>
      <c r="GG20" s="93"/>
      <c r="GH20" s="93"/>
      <c r="GI20" s="93"/>
      <c r="GJ20" s="93"/>
      <c r="GK20" s="93"/>
      <c r="GL20" s="93"/>
      <c r="GM20" s="93"/>
      <c r="GN20" s="93"/>
      <c r="GO20" s="93"/>
      <c r="GP20" s="93"/>
      <c r="GQ20" s="93"/>
      <c r="GR20" s="93"/>
      <c r="GS20" s="93"/>
      <c r="GT20" s="93"/>
    </row>
    <row r="21" spans="1:202" ht="16.5" customHeight="1">
      <c r="A21" s="96" t="s">
        <v>105</v>
      </c>
      <c r="B21" s="92"/>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c r="DA21" s="93"/>
      <c r="DB21" s="93"/>
      <c r="DC21" s="93"/>
      <c r="DD21" s="93"/>
      <c r="DE21" s="93"/>
      <c r="DF21" s="93"/>
      <c r="DG21" s="93"/>
      <c r="DH21" s="93"/>
      <c r="DI21" s="93"/>
      <c r="DJ21" s="93"/>
      <c r="DK21" s="93"/>
      <c r="DL21" s="93"/>
      <c r="DM21" s="93"/>
      <c r="DN21" s="93"/>
      <c r="DO21" s="93"/>
      <c r="DP21" s="93"/>
      <c r="DQ21" s="93"/>
      <c r="DR21" s="93"/>
      <c r="DS21" s="93"/>
      <c r="DT21" s="93"/>
      <c r="DU21" s="93"/>
      <c r="DV21" s="93"/>
      <c r="DW21" s="93"/>
      <c r="DX21" s="93"/>
      <c r="DY21" s="93"/>
      <c r="DZ21" s="93"/>
      <c r="EA21" s="93"/>
      <c r="EB21" s="93"/>
      <c r="EC21" s="93"/>
      <c r="ED21" s="93"/>
      <c r="EE21" s="93"/>
      <c r="EF21" s="93"/>
      <c r="EG21" s="93"/>
      <c r="EH21" s="93"/>
      <c r="EI21" s="93"/>
      <c r="EJ21" s="93"/>
      <c r="EK21" s="93"/>
      <c r="EL21" s="93"/>
      <c r="EM21" s="93"/>
      <c r="EN21" s="93"/>
      <c r="EO21" s="93"/>
      <c r="EP21" s="93"/>
      <c r="EQ21" s="93"/>
      <c r="ER21" s="93"/>
      <c r="ES21" s="93"/>
      <c r="ET21" s="93"/>
      <c r="EU21" s="93"/>
      <c r="EV21" s="93"/>
      <c r="EW21" s="93"/>
      <c r="EX21" s="93"/>
      <c r="EY21" s="93"/>
      <c r="EZ21" s="93"/>
      <c r="FA21" s="93"/>
      <c r="FB21" s="93"/>
      <c r="FC21" s="93"/>
      <c r="FD21" s="93"/>
      <c r="FE21" s="93"/>
      <c r="FF21" s="93"/>
      <c r="FG21" s="93"/>
      <c r="FH21" s="93"/>
      <c r="FI21" s="93"/>
      <c r="FJ21" s="93"/>
      <c r="FK21" s="93"/>
      <c r="FL21" s="93"/>
      <c r="FM21" s="93"/>
      <c r="FN21" s="93"/>
      <c r="FO21" s="93"/>
      <c r="FP21" s="93"/>
      <c r="FQ21" s="93"/>
      <c r="FR21" s="93"/>
      <c r="FS21" s="93"/>
      <c r="FT21" s="93"/>
      <c r="FU21" s="93"/>
      <c r="FV21" s="93"/>
      <c r="FW21" s="93"/>
      <c r="FX21" s="93"/>
      <c r="FY21" s="93"/>
      <c r="FZ21" s="93"/>
      <c r="GA21" s="93"/>
      <c r="GB21" s="93"/>
      <c r="GC21" s="93"/>
      <c r="GD21" s="93"/>
      <c r="GE21" s="93"/>
      <c r="GF21" s="93"/>
      <c r="GG21" s="93"/>
      <c r="GH21" s="93"/>
      <c r="GI21" s="93"/>
      <c r="GJ21" s="93"/>
      <c r="GK21" s="93"/>
      <c r="GL21" s="93"/>
      <c r="GM21" s="93"/>
      <c r="GN21" s="93"/>
      <c r="GO21" s="93"/>
      <c r="GP21" s="93"/>
      <c r="GQ21" s="93"/>
      <c r="GR21" s="93"/>
      <c r="GS21" s="93"/>
      <c r="GT21" s="93"/>
    </row>
    <row r="22" spans="1:202" ht="16.5" customHeight="1">
      <c r="A22" s="96" t="s">
        <v>108</v>
      </c>
      <c r="B22" s="92"/>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c r="DM22" s="93"/>
      <c r="DN22" s="93"/>
      <c r="DO22" s="93"/>
      <c r="DP22" s="93"/>
      <c r="DQ22" s="93"/>
      <c r="DR22" s="93"/>
      <c r="DS22" s="93"/>
      <c r="DT22" s="93"/>
      <c r="DU22" s="93"/>
      <c r="DV22" s="93"/>
      <c r="DW22" s="93"/>
      <c r="DX22" s="93"/>
      <c r="DY22" s="93"/>
      <c r="DZ22" s="93"/>
      <c r="EA22" s="93"/>
      <c r="EB22" s="93"/>
      <c r="EC22" s="93"/>
      <c r="ED22" s="93"/>
      <c r="EE22" s="93"/>
      <c r="EF22" s="93"/>
      <c r="EG22" s="93"/>
      <c r="EH22" s="93"/>
      <c r="EI22" s="93"/>
      <c r="EJ22" s="93"/>
      <c r="EK22" s="93"/>
      <c r="EL22" s="93"/>
      <c r="EM22" s="93"/>
      <c r="EN22" s="93"/>
      <c r="EO22" s="93"/>
      <c r="EP22" s="93"/>
      <c r="EQ22" s="93"/>
      <c r="ER22" s="93"/>
      <c r="ES22" s="93"/>
      <c r="ET22" s="93"/>
      <c r="EU22" s="93"/>
      <c r="EV22" s="93"/>
      <c r="EW22" s="93"/>
      <c r="EX22" s="93"/>
      <c r="EY22" s="93"/>
      <c r="EZ22" s="93"/>
      <c r="FA22" s="93"/>
      <c r="FB22" s="93"/>
      <c r="FC22" s="93"/>
      <c r="FD22" s="93"/>
      <c r="FE22" s="93"/>
      <c r="FF22" s="93"/>
      <c r="FG22" s="93"/>
      <c r="FH22" s="93"/>
      <c r="FI22" s="93"/>
      <c r="FJ22" s="93"/>
      <c r="FK22" s="93"/>
      <c r="FL22" s="93"/>
      <c r="FM22" s="93"/>
      <c r="FN22" s="93"/>
      <c r="FO22" s="93"/>
      <c r="FP22" s="93"/>
      <c r="FQ22" s="93"/>
      <c r="FR22" s="93"/>
      <c r="FS22" s="93"/>
      <c r="FT22" s="93"/>
      <c r="FU22" s="93"/>
      <c r="FV22" s="93"/>
      <c r="FW22" s="93"/>
      <c r="FX22" s="93"/>
      <c r="FY22" s="93"/>
      <c r="FZ22" s="93"/>
      <c r="GA22" s="93"/>
      <c r="GB22" s="93"/>
      <c r="GC22" s="93"/>
      <c r="GD22" s="93"/>
      <c r="GE22" s="93"/>
      <c r="GF22" s="93"/>
      <c r="GG22" s="93"/>
      <c r="GH22" s="93"/>
      <c r="GI22" s="93"/>
      <c r="GJ22" s="93"/>
      <c r="GK22" s="93"/>
      <c r="GL22" s="93"/>
      <c r="GM22" s="93"/>
      <c r="GN22" s="93"/>
      <c r="GO22" s="93"/>
      <c r="GP22" s="93"/>
      <c r="GQ22" s="93"/>
      <c r="GR22" s="93"/>
      <c r="GS22" s="93"/>
      <c r="GT22" s="93"/>
    </row>
    <row r="23" spans="1:202" ht="16.5" customHeight="1">
      <c r="A23" s="96" t="s">
        <v>96</v>
      </c>
      <c r="B23" s="92"/>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c r="DA23" s="93"/>
      <c r="DB23" s="93"/>
      <c r="DC23" s="93"/>
      <c r="DD23" s="93"/>
      <c r="DE23" s="93"/>
      <c r="DF23" s="93"/>
      <c r="DG23" s="93"/>
      <c r="DH23" s="93"/>
      <c r="DI23" s="93"/>
      <c r="DJ23" s="93"/>
      <c r="DK23" s="93"/>
      <c r="DL23" s="93"/>
      <c r="DM23" s="93"/>
      <c r="DN23" s="93"/>
      <c r="DO23" s="93"/>
      <c r="DP23" s="93"/>
      <c r="DQ23" s="93"/>
      <c r="DR23" s="93"/>
      <c r="DS23" s="93"/>
      <c r="DT23" s="93"/>
      <c r="DU23" s="93"/>
      <c r="DV23" s="93"/>
      <c r="DW23" s="93"/>
      <c r="DX23" s="93"/>
      <c r="DY23" s="93"/>
      <c r="DZ23" s="93"/>
      <c r="EA23" s="93"/>
      <c r="EB23" s="93"/>
      <c r="EC23" s="93"/>
      <c r="ED23" s="93"/>
      <c r="EE23" s="93"/>
      <c r="EF23" s="93"/>
      <c r="EG23" s="93"/>
      <c r="EH23" s="93"/>
      <c r="EI23" s="93"/>
      <c r="EJ23" s="93"/>
      <c r="EK23" s="93"/>
      <c r="EL23" s="93"/>
      <c r="EM23" s="93"/>
      <c r="EN23" s="93"/>
      <c r="EO23" s="93"/>
      <c r="EP23" s="93"/>
      <c r="EQ23" s="93"/>
      <c r="ER23" s="93"/>
      <c r="ES23" s="93"/>
      <c r="ET23" s="93"/>
      <c r="EU23" s="93"/>
      <c r="EV23" s="93"/>
      <c r="EW23" s="93"/>
      <c r="EX23" s="93"/>
      <c r="EY23" s="93"/>
      <c r="EZ23" s="93"/>
      <c r="FA23" s="93"/>
      <c r="FB23" s="93"/>
      <c r="FC23" s="93"/>
      <c r="FD23" s="93"/>
      <c r="FE23" s="93"/>
      <c r="FF23" s="93"/>
      <c r="FG23" s="93"/>
      <c r="FH23" s="93"/>
      <c r="FI23" s="93"/>
      <c r="FJ23" s="93"/>
      <c r="FK23" s="93"/>
      <c r="FL23" s="93"/>
      <c r="FM23" s="93"/>
      <c r="FN23" s="93"/>
      <c r="FO23" s="93"/>
      <c r="FP23" s="93"/>
      <c r="FQ23" s="93"/>
      <c r="FR23" s="93"/>
      <c r="FS23" s="93"/>
      <c r="FT23" s="93"/>
      <c r="FU23" s="93"/>
      <c r="FV23" s="93"/>
      <c r="FW23" s="93"/>
      <c r="FX23" s="93"/>
      <c r="FY23" s="93"/>
      <c r="FZ23" s="93"/>
      <c r="GA23" s="93"/>
      <c r="GB23" s="93"/>
      <c r="GC23" s="93"/>
      <c r="GD23" s="93"/>
      <c r="GE23" s="93"/>
      <c r="GF23" s="93"/>
      <c r="GG23" s="93"/>
      <c r="GH23" s="93"/>
      <c r="GI23" s="93"/>
      <c r="GJ23" s="93"/>
      <c r="GK23" s="93"/>
      <c r="GL23" s="93"/>
      <c r="GM23" s="93"/>
      <c r="GN23" s="93"/>
      <c r="GO23" s="93"/>
      <c r="GP23" s="93"/>
      <c r="GQ23" s="93"/>
      <c r="GR23" s="93"/>
      <c r="GS23" s="93"/>
      <c r="GT23" s="93"/>
    </row>
    <row r="24" spans="1:202" ht="16.5" customHeight="1">
      <c r="A24" s="96" t="s">
        <v>107</v>
      </c>
      <c r="B24" s="92"/>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c r="DA24" s="93"/>
      <c r="DB24" s="93"/>
      <c r="DC24" s="93"/>
      <c r="DD24" s="93"/>
      <c r="DE24" s="93"/>
      <c r="DF24" s="93"/>
      <c r="DG24" s="93"/>
      <c r="DH24" s="93"/>
      <c r="DI24" s="93"/>
      <c r="DJ24" s="93"/>
      <c r="DK24" s="93"/>
      <c r="DL24" s="93"/>
      <c r="DM24" s="93"/>
      <c r="DN24" s="93"/>
      <c r="DO24" s="93"/>
      <c r="DP24" s="93"/>
      <c r="DQ24" s="93"/>
      <c r="DR24" s="93"/>
      <c r="DS24" s="93"/>
      <c r="DT24" s="93"/>
      <c r="DU24" s="93"/>
      <c r="DV24" s="93"/>
      <c r="DW24" s="93"/>
      <c r="DX24" s="93"/>
      <c r="DY24" s="93"/>
      <c r="DZ24" s="93"/>
      <c r="EA24" s="93"/>
      <c r="EB24" s="93"/>
      <c r="EC24" s="93"/>
      <c r="ED24" s="93"/>
      <c r="EE24" s="93"/>
      <c r="EF24" s="93"/>
      <c r="EG24" s="93"/>
      <c r="EH24" s="93"/>
      <c r="EI24" s="93"/>
      <c r="EJ24" s="93"/>
      <c r="EK24" s="93"/>
      <c r="EL24" s="93"/>
      <c r="EM24" s="93"/>
      <c r="EN24" s="93"/>
      <c r="EO24" s="93"/>
      <c r="EP24" s="93"/>
      <c r="EQ24" s="93"/>
      <c r="ER24" s="93"/>
      <c r="ES24" s="93"/>
      <c r="ET24" s="93"/>
      <c r="EU24" s="93"/>
      <c r="EV24" s="93"/>
      <c r="EW24" s="93"/>
      <c r="EX24" s="93"/>
      <c r="EY24" s="93"/>
      <c r="EZ24" s="93"/>
      <c r="FA24" s="93"/>
      <c r="FB24" s="93"/>
      <c r="FC24" s="93"/>
      <c r="FD24" s="93"/>
      <c r="FE24" s="93"/>
      <c r="FF24" s="93"/>
      <c r="FG24" s="93"/>
      <c r="FH24" s="93"/>
      <c r="FI24" s="93"/>
      <c r="FJ24" s="93"/>
      <c r="FK24" s="93"/>
      <c r="FL24" s="93"/>
      <c r="FM24" s="93"/>
      <c r="FN24" s="93"/>
      <c r="FO24" s="93"/>
      <c r="FP24" s="93"/>
      <c r="FQ24" s="93"/>
      <c r="FR24" s="93"/>
      <c r="FS24" s="93"/>
      <c r="FT24" s="93"/>
      <c r="FU24" s="93"/>
      <c r="FV24" s="93"/>
      <c r="FW24" s="93"/>
      <c r="FX24" s="93"/>
      <c r="FY24" s="93"/>
      <c r="FZ24" s="93"/>
      <c r="GA24" s="93"/>
      <c r="GB24" s="93"/>
      <c r="GC24" s="93"/>
      <c r="GD24" s="93"/>
      <c r="GE24" s="93"/>
      <c r="GF24" s="93"/>
      <c r="GG24" s="93"/>
      <c r="GH24" s="93"/>
      <c r="GI24" s="93"/>
      <c r="GJ24" s="93"/>
      <c r="GK24" s="93"/>
      <c r="GL24" s="93"/>
      <c r="GM24" s="93"/>
      <c r="GN24" s="93"/>
      <c r="GO24" s="93"/>
      <c r="GP24" s="93"/>
      <c r="GQ24" s="93"/>
      <c r="GR24" s="93"/>
      <c r="GS24" s="93"/>
      <c r="GT24" s="93"/>
    </row>
    <row r="25" spans="1:202" s="28" customFormat="1" ht="21">
      <c r="A25" s="226" t="s">
        <v>238</v>
      </c>
      <c r="B25" s="44"/>
      <c r="C25" s="45">
        <f>-SUM(C26:C33)</f>
        <v>0</v>
      </c>
      <c r="D25" s="45">
        <f t="shared" ref="D25:BO25" si="27">-SUM(D26:D33)</f>
        <v>0</v>
      </c>
      <c r="E25" s="45">
        <f t="shared" si="27"/>
        <v>0</v>
      </c>
      <c r="F25" s="45">
        <f t="shared" si="27"/>
        <v>0</v>
      </c>
      <c r="G25" s="45">
        <f t="shared" si="27"/>
        <v>0</v>
      </c>
      <c r="H25" s="45">
        <f t="shared" si="27"/>
        <v>0</v>
      </c>
      <c r="I25" s="45">
        <f t="shared" si="27"/>
        <v>0</v>
      </c>
      <c r="J25" s="45">
        <f t="shared" si="27"/>
        <v>0</v>
      </c>
      <c r="K25" s="45">
        <f t="shared" si="27"/>
        <v>0</v>
      </c>
      <c r="L25" s="45">
        <f t="shared" si="27"/>
        <v>0</v>
      </c>
      <c r="M25" s="45">
        <f t="shared" si="27"/>
        <v>0</v>
      </c>
      <c r="N25" s="45">
        <f t="shared" si="27"/>
        <v>0</v>
      </c>
      <c r="O25" s="45">
        <f t="shared" si="27"/>
        <v>0</v>
      </c>
      <c r="P25" s="45">
        <f t="shared" si="27"/>
        <v>0</v>
      </c>
      <c r="Q25" s="45">
        <f t="shared" si="27"/>
        <v>0</v>
      </c>
      <c r="R25" s="45">
        <f t="shared" si="27"/>
        <v>0</v>
      </c>
      <c r="S25" s="45">
        <f t="shared" si="27"/>
        <v>0</v>
      </c>
      <c r="T25" s="45">
        <f t="shared" si="27"/>
        <v>0</v>
      </c>
      <c r="U25" s="45">
        <f t="shared" si="27"/>
        <v>0</v>
      </c>
      <c r="V25" s="45">
        <f t="shared" si="27"/>
        <v>0</v>
      </c>
      <c r="W25" s="45">
        <f t="shared" si="27"/>
        <v>0</v>
      </c>
      <c r="X25" s="45">
        <f t="shared" si="27"/>
        <v>0</v>
      </c>
      <c r="Y25" s="45">
        <f t="shared" si="27"/>
        <v>0</v>
      </c>
      <c r="Z25" s="45">
        <f t="shared" si="27"/>
        <v>0</v>
      </c>
      <c r="AA25" s="45">
        <f t="shared" si="27"/>
        <v>0</v>
      </c>
      <c r="AB25" s="45">
        <f t="shared" si="27"/>
        <v>0</v>
      </c>
      <c r="AC25" s="45">
        <f t="shared" si="27"/>
        <v>0</v>
      </c>
      <c r="AD25" s="45">
        <f t="shared" si="27"/>
        <v>0</v>
      </c>
      <c r="AE25" s="45">
        <f t="shared" si="27"/>
        <v>0</v>
      </c>
      <c r="AF25" s="45">
        <f t="shared" si="27"/>
        <v>0</v>
      </c>
      <c r="AG25" s="45">
        <f t="shared" si="27"/>
        <v>0</v>
      </c>
      <c r="AH25" s="45">
        <f t="shared" si="27"/>
        <v>0</v>
      </c>
      <c r="AI25" s="45">
        <f t="shared" si="27"/>
        <v>0</v>
      </c>
      <c r="AJ25" s="45">
        <f t="shared" si="27"/>
        <v>0</v>
      </c>
      <c r="AK25" s="45">
        <f t="shared" si="27"/>
        <v>0</v>
      </c>
      <c r="AL25" s="45">
        <f t="shared" si="27"/>
        <v>0</v>
      </c>
      <c r="AM25" s="45">
        <f t="shared" si="27"/>
        <v>0</v>
      </c>
      <c r="AN25" s="45">
        <f t="shared" si="27"/>
        <v>0</v>
      </c>
      <c r="AO25" s="45">
        <f t="shared" si="27"/>
        <v>0</v>
      </c>
      <c r="AP25" s="45">
        <f t="shared" si="27"/>
        <v>0</v>
      </c>
      <c r="AQ25" s="45">
        <f t="shared" si="27"/>
        <v>0</v>
      </c>
      <c r="AR25" s="45">
        <f t="shared" si="27"/>
        <v>0</v>
      </c>
      <c r="AS25" s="45">
        <f t="shared" si="27"/>
        <v>0</v>
      </c>
      <c r="AT25" s="45">
        <f t="shared" si="27"/>
        <v>0</v>
      </c>
      <c r="AU25" s="45">
        <f t="shared" si="27"/>
        <v>0</v>
      </c>
      <c r="AV25" s="45">
        <f t="shared" si="27"/>
        <v>0</v>
      </c>
      <c r="AW25" s="45">
        <f t="shared" si="27"/>
        <v>0</v>
      </c>
      <c r="AX25" s="45">
        <f t="shared" si="27"/>
        <v>0</v>
      </c>
      <c r="AY25" s="45">
        <f t="shared" si="27"/>
        <v>0</v>
      </c>
      <c r="AZ25" s="45">
        <f t="shared" si="27"/>
        <v>0</v>
      </c>
      <c r="BA25" s="45">
        <f t="shared" si="27"/>
        <v>0</v>
      </c>
      <c r="BB25" s="45">
        <f t="shared" si="27"/>
        <v>0</v>
      </c>
      <c r="BC25" s="45">
        <f t="shared" si="27"/>
        <v>0</v>
      </c>
      <c r="BD25" s="45">
        <f t="shared" si="27"/>
        <v>0</v>
      </c>
      <c r="BE25" s="45">
        <f t="shared" si="27"/>
        <v>0</v>
      </c>
      <c r="BF25" s="45">
        <f t="shared" si="27"/>
        <v>0</v>
      </c>
      <c r="BG25" s="45">
        <f t="shared" si="27"/>
        <v>0</v>
      </c>
      <c r="BH25" s="45">
        <f t="shared" si="27"/>
        <v>0</v>
      </c>
      <c r="BI25" s="45">
        <f t="shared" si="27"/>
        <v>0</v>
      </c>
      <c r="BJ25" s="45">
        <f t="shared" si="27"/>
        <v>0</v>
      </c>
      <c r="BK25" s="45">
        <f t="shared" si="27"/>
        <v>0</v>
      </c>
      <c r="BL25" s="45">
        <f t="shared" si="27"/>
        <v>0</v>
      </c>
      <c r="BM25" s="45">
        <f t="shared" si="27"/>
        <v>0</v>
      </c>
      <c r="BN25" s="45">
        <f t="shared" si="27"/>
        <v>0</v>
      </c>
      <c r="BO25" s="45">
        <f t="shared" si="27"/>
        <v>0</v>
      </c>
      <c r="BP25" s="45">
        <f t="shared" ref="BP25:EA25" si="28">-SUM(BP26:BP33)</f>
        <v>0</v>
      </c>
      <c r="BQ25" s="45">
        <f t="shared" si="28"/>
        <v>0</v>
      </c>
      <c r="BR25" s="45">
        <f t="shared" si="28"/>
        <v>0</v>
      </c>
      <c r="BS25" s="45">
        <f t="shared" si="28"/>
        <v>0</v>
      </c>
      <c r="BT25" s="45">
        <f t="shared" si="28"/>
        <v>0</v>
      </c>
      <c r="BU25" s="45">
        <f t="shared" si="28"/>
        <v>0</v>
      </c>
      <c r="BV25" s="45">
        <f t="shared" si="28"/>
        <v>0</v>
      </c>
      <c r="BW25" s="45">
        <f t="shared" si="28"/>
        <v>0</v>
      </c>
      <c r="BX25" s="45">
        <f t="shared" si="28"/>
        <v>0</v>
      </c>
      <c r="BY25" s="45">
        <f t="shared" si="28"/>
        <v>0</v>
      </c>
      <c r="BZ25" s="45">
        <f t="shared" si="28"/>
        <v>0</v>
      </c>
      <c r="CA25" s="45">
        <f t="shared" si="28"/>
        <v>0</v>
      </c>
      <c r="CB25" s="45">
        <f t="shared" si="28"/>
        <v>0</v>
      </c>
      <c r="CC25" s="45">
        <f t="shared" si="28"/>
        <v>0</v>
      </c>
      <c r="CD25" s="45">
        <f t="shared" si="28"/>
        <v>0</v>
      </c>
      <c r="CE25" s="45">
        <f t="shared" si="28"/>
        <v>0</v>
      </c>
      <c r="CF25" s="45">
        <f t="shared" si="28"/>
        <v>0</v>
      </c>
      <c r="CG25" s="45">
        <f t="shared" si="28"/>
        <v>0</v>
      </c>
      <c r="CH25" s="45">
        <f t="shared" si="28"/>
        <v>0</v>
      </c>
      <c r="CI25" s="45">
        <f t="shared" si="28"/>
        <v>0</v>
      </c>
      <c r="CJ25" s="45">
        <f t="shared" si="28"/>
        <v>0</v>
      </c>
      <c r="CK25" s="45">
        <f t="shared" si="28"/>
        <v>0</v>
      </c>
      <c r="CL25" s="45">
        <f t="shared" si="28"/>
        <v>0</v>
      </c>
      <c r="CM25" s="45">
        <f t="shared" si="28"/>
        <v>0</v>
      </c>
      <c r="CN25" s="45">
        <f t="shared" si="28"/>
        <v>0</v>
      </c>
      <c r="CO25" s="45">
        <f t="shared" si="28"/>
        <v>0</v>
      </c>
      <c r="CP25" s="45">
        <f t="shared" si="28"/>
        <v>0</v>
      </c>
      <c r="CQ25" s="45">
        <f t="shared" si="28"/>
        <v>0</v>
      </c>
      <c r="CR25" s="45">
        <f t="shared" si="28"/>
        <v>0</v>
      </c>
      <c r="CS25" s="45">
        <f t="shared" si="28"/>
        <v>0</v>
      </c>
      <c r="CT25" s="45">
        <f t="shared" si="28"/>
        <v>0</v>
      </c>
      <c r="CU25" s="45">
        <f t="shared" si="28"/>
        <v>0</v>
      </c>
      <c r="CV25" s="45">
        <f t="shared" si="28"/>
        <v>0</v>
      </c>
      <c r="CW25" s="45">
        <f t="shared" si="28"/>
        <v>0</v>
      </c>
      <c r="CX25" s="45">
        <f t="shared" si="28"/>
        <v>0</v>
      </c>
      <c r="CY25" s="45">
        <f t="shared" si="28"/>
        <v>0</v>
      </c>
      <c r="CZ25" s="45">
        <f t="shared" si="28"/>
        <v>0</v>
      </c>
      <c r="DA25" s="45">
        <f t="shared" si="28"/>
        <v>0</v>
      </c>
      <c r="DB25" s="45">
        <f t="shared" si="28"/>
        <v>0</v>
      </c>
      <c r="DC25" s="45">
        <f t="shared" si="28"/>
        <v>0</v>
      </c>
      <c r="DD25" s="45">
        <f t="shared" si="28"/>
        <v>0</v>
      </c>
      <c r="DE25" s="45">
        <f t="shared" si="28"/>
        <v>0</v>
      </c>
      <c r="DF25" s="45">
        <f t="shared" si="28"/>
        <v>0</v>
      </c>
      <c r="DG25" s="45">
        <f t="shared" si="28"/>
        <v>0</v>
      </c>
      <c r="DH25" s="45">
        <f t="shared" si="28"/>
        <v>0</v>
      </c>
      <c r="DI25" s="45">
        <f t="shared" si="28"/>
        <v>0</v>
      </c>
      <c r="DJ25" s="45">
        <f t="shared" si="28"/>
        <v>0</v>
      </c>
      <c r="DK25" s="45">
        <f t="shared" si="28"/>
        <v>0</v>
      </c>
      <c r="DL25" s="45">
        <f t="shared" si="28"/>
        <v>0</v>
      </c>
      <c r="DM25" s="45">
        <f t="shared" si="28"/>
        <v>0</v>
      </c>
      <c r="DN25" s="45">
        <f t="shared" si="28"/>
        <v>0</v>
      </c>
      <c r="DO25" s="45">
        <f t="shared" si="28"/>
        <v>0</v>
      </c>
      <c r="DP25" s="45">
        <f t="shared" si="28"/>
        <v>0</v>
      </c>
      <c r="DQ25" s="45">
        <f t="shared" si="28"/>
        <v>0</v>
      </c>
      <c r="DR25" s="45">
        <f t="shared" si="28"/>
        <v>0</v>
      </c>
      <c r="DS25" s="45">
        <f t="shared" si="28"/>
        <v>0</v>
      </c>
      <c r="DT25" s="45">
        <f t="shared" si="28"/>
        <v>0</v>
      </c>
      <c r="DU25" s="45">
        <f t="shared" si="28"/>
        <v>0</v>
      </c>
      <c r="DV25" s="45">
        <f t="shared" si="28"/>
        <v>0</v>
      </c>
      <c r="DW25" s="45">
        <f t="shared" si="28"/>
        <v>0</v>
      </c>
      <c r="DX25" s="45">
        <f t="shared" si="28"/>
        <v>0</v>
      </c>
      <c r="DY25" s="45">
        <f t="shared" si="28"/>
        <v>0</v>
      </c>
      <c r="DZ25" s="45">
        <f t="shared" si="28"/>
        <v>0</v>
      </c>
      <c r="EA25" s="45">
        <f t="shared" si="28"/>
        <v>0</v>
      </c>
      <c r="EB25" s="45">
        <f t="shared" ref="EB25:GM25" si="29">-SUM(EB26:EB33)</f>
        <v>0</v>
      </c>
      <c r="EC25" s="45">
        <f t="shared" si="29"/>
        <v>0</v>
      </c>
      <c r="ED25" s="45">
        <f t="shared" si="29"/>
        <v>0</v>
      </c>
      <c r="EE25" s="45">
        <f t="shared" si="29"/>
        <v>0</v>
      </c>
      <c r="EF25" s="45">
        <f t="shared" si="29"/>
        <v>0</v>
      </c>
      <c r="EG25" s="45">
        <f t="shared" si="29"/>
        <v>0</v>
      </c>
      <c r="EH25" s="45">
        <f t="shared" si="29"/>
        <v>0</v>
      </c>
      <c r="EI25" s="45">
        <f t="shared" si="29"/>
        <v>0</v>
      </c>
      <c r="EJ25" s="45">
        <f t="shared" si="29"/>
        <v>0</v>
      </c>
      <c r="EK25" s="45">
        <f t="shared" si="29"/>
        <v>0</v>
      </c>
      <c r="EL25" s="45">
        <f t="shared" si="29"/>
        <v>0</v>
      </c>
      <c r="EM25" s="45">
        <f t="shared" si="29"/>
        <v>0</v>
      </c>
      <c r="EN25" s="45">
        <f t="shared" si="29"/>
        <v>0</v>
      </c>
      <c r="EO25" s="45">
        <f t="shared" si="29"/>
        <v>0</v>
      </c>
      <c r="EP25" s="45">
        <f t="shared" si="29"/>
        <v>0</v>
      </c>
      <c r="EQ25" s="45">
        <f t="shared" si="29"/>
        <v>0</v>
      </c>
      <c r="ER25" s="45">
        <f t="shared" si="29"/>
        <v>0</v>
      </c>
      <c r="ES25" s="45">
        <f t="shared" si="29"/>
        <v>0</v>
      </c>
      <c r="ET25" s="45">
        <f t="shared" si="29"/>
        <v>0</v>
      </c>
      <c r="EU25" s="45">
        <f t="shared" si="29"/>
        <v>0</v>
      </c>
      <c r="EV25" s="45">
        <f t="shared" si="29"/>
        <v>0</v>
      </c>
      <c r="EW25" s="45">
        <f t="shared" si="29"/>
        <v>0</v>
      </c>
      <c r="EX25" s="45">
        <f t="shared" si="29"/>
        <v>0</v>
      </c>
      <c r="EY25" s="45">
        <f t="shared" si="29"/>
        <v>0</v>
      </c>
      <c r="EZ25" s="45">
        <f t="shared" si="29"/>
        <v>0</v>
      </c>
      <c r="FA25" s="45">
        <f t="shared" si="29"/>
        <v>0</v>
      </c>
      <c r="FB25" s="45">
        <f t="shared" si="29"/>
        <v>0</v>
      </c>
      <c r="FC25" s="45">
        <f t="shared" si="29"/>
        <v>0</v>
      </c>
      <c r="FD25" s="45">
        <f t="shared" si="29"/>
        <v>0</v>
      </c>
      <c r="FE25" s="45">
        <f t="shared" si="29"/>
        <v>0</v>
      </c>
      <c r="FF25" s="45">
        <f t="shared" si="29"/>
        <v>0</v>
      </c>
      <c r="FG25" s="45">
        <f t="shared" si="29"/>
        <v>0</v>
      </c>
      <c r="FH25" s="45">
        <f t="shared" si="29"/>
        <v>0</v>
      </c>
      <c r="FI25" s="45">
        <f t="shared" si="29"/>
        <v>0</v>
      </c>
      <c r="FJ25" s="45">
        <f t="shared" si="29"/>
        <v>0</v>
      </c>
      <c r="FK25" s="45">
        <f t="shared" si="29"/>
        <v>0</v>
      </c>
      <c r="FL25" s="45">
        <f t="shared" si="29"/>
        <v>0</v>
      </c>
      <c r="FM25" s="45">
        <f t="shared" si="29"/>
        <v>0</v>
      </c>
      <c r="FN25" s="45">
        <f t="shared" si="29"/>
        <v>0</v>
      </c>
      <c r="FO25" s="45">
        <f t="shared" si="29"/>
        <v>0</v>
      </c>
      <c r="FP25" s="45">
        <f t="shared" si="29"/>
        <v>0</v>
      </c>
      <c r="FQ25" s="45">
        <f t="shared" si="29"/>
        <v>0</v>
      </c>
      <c r="FR25" s="45">
        <f t="shared" si="29"/>
        <v>0</v>
      </c>
      <c r="FS25" s="45">
        <f t="shared" si="29"/>
        <v>0</v>
      </c>
      <c r="FT25" s="45">
        <f t="shared" si="29"/>
        <v>0</v>
      </c>
      <c r="FU25" s="45">
        <f t="shared" si="29"/>
        <v>0</v>
      </c>
      <c r="FV25" s="45">
        <f t="shared" si="29"/>
        <v>0</v>
      </c>
      <c r="FW25" s="45">
        <f t="shared" si="29"/>
        <v>0</v>
      </c>
      <c r="FX25" s="45">
        <f t="shared" si="29"/>
        <v>0</v>
      </c>
      <c r="FY25" s="45">
        <f t="shared" si="29"/>
        <v>0</v>
      </c>
      <c r="FZ25" s="45">
        <f t="shared" si="29"/>
        <v>0</v>
      </c>
      <c r="GA25" s="45">
        <f t="shared" si="29"/>
        <v>0</v>
      </c>
      <c r="GB25" s="45">
        <f t="shared" si="29"/>
        <v>0</v>
      </c>
      <c r="GC25" s="45">
        <f t="shared" si="29"/>
        <v>0</v>
      </c>
      <c r="GD25" s="45">
        <f t="shared" si="29"/>
        <v>0</v>
      </c>
      <c r="GE25" s="45">
        <f t="shared" si="29"/>
        <v>0</v>
      </c>
      <c r="GF25" s="45">
        <f t="shared" si="29"/>
        <v>0</v>
      </c>
      <c r="GG25" s="45">
        <f t="shared" si="29"/>
        <v>0</v>
      </c>
      <c r="GH25" s="45">
        <f t="shared" si="29"/>
        <v>0</v>
      </c>
      <c r="GI25" s="45">
        <f t="shared" si="29"/>
        <v>0</v>
      </c>
      <c r="GJ25" s="45">
        <f t="shared" si="29"/>
        <v>0</v>
      </c>
      <c r="GK25" s="45">
        <f t="shared" si="29"/>
        <v>0</v>
      </c>
      <c r="GL25" s="45">
        <f t="shared" si="29"/>
        <v>0</v>
      </c>
      <c r="GM25" s="45">
        <f t="shared" si="29"/>
        <v>0</v>
      </c>
      <c r="GN25" s="45">
        <f t="shared" ref="GN25:GT25" si="30">-SUM(GN26:GN33)</f>
        <v>0</v>
      </c>
      <c r="GO25" s="45">
        <f t="shared" si="30"/>
        <v>0</v>
      </c>
      <c r="GP25" s="45">
        <f t="shared" si="30"/>
        <v>0</v>
      </c>
      <c r="GQ25" s="45">
        <f t="shared" si="30"/>
        <v>0</v>
      </c>
      <c r="GR25" s="45">
        <f t="shared" si="30"/>
        <v>0</v>
      </c>
      <c r="GS25" s="45">
        <f t="shared" si="30"/>
        <v>0</v>
      </c>
      <c r="GT25" s="45">
        <f t="shared" si="30"/>
        <v>0</v>
      </c>
    </row>
    <row r="26" spans="1:202" ht="16.5" customHeight="1">
      <c r="A26" s="96" t="s">
        <v>23</v>
      </c>
      <c r="B26" s="92"/>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93"/>
      <c r="EG26" s="93"/>
      <c r="EH26" s="93"/>
      <c r="EI26" s="93"/>
      <c r="EJ26" s="93"/>
      <c r="EK26" s="93"/>
      <c r="EL26" s="93"/>
      <c r="EM26" s="93"/>
      <c r="EN26" s="93"/>
      <c r="EO26" s="93"/>
      <c r="EP26" s="93"/>
      <c r="EQ26" s="93"/>
      <c r="ER26" s="93"/>
      <c r="ES26" s="93"/>
      <c r="ET26" s="93"/>
      <c r="EU26" s="93"/>
      <c r="EV26" s="93"/>
      <c r="EW26" s="93"/>
      <c r="EX26" s="93"/>
      <c r="EY26" s="93"/>
      <c r="EZ26" s="93"/>
      <c r="FA26" s="93"/>
      <c r="FB26" s="93"/>
      <c r="FC26" s="93"/>
      <c r="FD26" s="93"/>
      <c r="FE26" s="93"/>
      <c r="FF26" s="93"/>
      <c r="FG26" s="93"/>
      <c r="FH26" s="93"/>
      <c r="FI26" s="93"/>
      <c r="FJ26" s="93"/>
      <c r="FK26" s="93"/>
      <c r="FL26" s="93"/>
      <c r="FM26" s="93"/>
      <c r="FN26" s="93"/>
      <c r="FO26" s="93"/>
      <c r="FP26" s="93"/>
      <c r="FQ26" s="93"/>
      <c r="FR26" s="93"/>
      <c r="FS26" s="93"/>
      <c r="FT26" s="93"/>
      <c r="FU26" s="93"/>
      <c r="FV26" s="93"/>
      <c r="FW26" s="93"/>
      <c r="FX26" s="93"/>
      <c r="FY26" s="93"/>
      <c r="FZ26" s="93"/>
      <c r="GA26" s="93"/>
      <c r="GB26" s="93"/>
      <c r="GC26" s="93"/>
      <c r="GD26" s="93"/>
      <c r="GE26" s="93"/>
      <c r="GF26" s="93"/>
      <c r="GG26" s="93"/>
      <c r="GH26" s="93"/>
      <c r="GI26" s="93"/>
      <c r="GJ26" s="93"/>
      <c r="GK26" s="93"/>
      <c r="GL26" s="93"/>
      <c r="GM26" s="93"/>
      <c r="GN26" s="93"/>
      <c r="GO26" s="93"/>
      <c r="GP26" s="93"/>
      <c r="GQ26" s="93"/>
      <c r="GR26" s="93"/>
      <c r="GS26" s="93"/>
      <c r="GT26" s="93"/>
    </row>
    <row r="27" spans="1:202" ht="16.5" customHeight="1">
      <c r="A27" s="96" t="s">
        <v>240</v>
      </c>
      <c r="B27" s="92"/>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c r="EI27" s="93"/>
      <c r="EJ27" s="93"/>
      <c r="EK27" s="93"/>
      <c r="EL27" s="93"/>
      <c r="EM27" s="93"/>
      <c r="EN27" s="93"/>
      <c r="EO27" s="93"/>
      <c r="EP27" s="93"/>
      <c r="EQ27" s="93"/>
      <c r="ER27" s="93"/>
      <c r="ES27" s="93"/>
      <c r="ET27" s="93"/>
      <c r="EU27" s="93"/>
      <c r="EV27" s="93"/>
      <c r="EW27" s="93"/>
      <c r="EX27" s="93"/>
      <c r="EY27" s="93"/>
      <c r="EZ27" s="93"/>
      <c r="FA27" s="93"/>
      <c r="FB27" s="93"/>
      <c r="FC27" s="93"/>
      <c r="FD27" s="93"/>
      <c r="FE27" s="93"/>
      <c r="FF27" s="93"/>
      <c r="FG27" s="93"/>
      <c r="FH27" s="93"/>
      <c r="FI27" s="93"/>
      <c r="FJ27" s="93"/>
      <c r="FK27" s="93"/>
      <c r="FL27" s="93"/>
      <c r="FM27" s="93"/>
      <c r="FN27" s="93"/>
      <c r="FO27" s="93"/>
      <c r="FP27" s="93"/>
      <c r="FQ27" s="93"/>
      <c r="FR27" s="93"/>
      <c r="FS27" s="93"/>
      <c r="FT27" s="93"/>
      <c r="FU27" s="93"/>
      <c r="FV27" s="93"/>
      <c r="FW27" s="93"/>
      <c r="FX27" s="93"/>
      <c r="FY27" s="93"/>
      <c r="FZ27" s="93"/>
      <c r="GA27" s="93"/>
      <c r="GB27" s="93"/>
      <c r="GC27" s="93"/>
      <c r="GD27" s="93"/>
      <c r="GE27" s="93"/>
      <c r="GF27" s="93"/>
      <c r="GG27" s="93"/>
      <c r="GH27" s="93"/>
      <c r="GI27" s="93"/>
      <c r="GJ27" s="93"/>
      <c r="GK27" s="93"/>
      <c r="GL27" s="93"/>
      <c r="GM27" s="93"/>
      <c r="GN27" s="93"/>
      <c r="GO27" s="93"/>
      <c r="GP27" s="93"/>
      <c r="GQ27" s="93"/>
      <c r="GR27" s="93"/>
      <c r="GS27" s="93"/>
      <c r="GT27" s="93"/>
    </row>
    <row r="28" spans="1:202" ht="16.5" customHeight="1">
      <c r="A28" s="96" t="s">
        <v>11</v>
      </c>
      <c r="B28" s="92"/>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c r="DM28" s="93"/>
      <c r="DN28" s="93"/>
      <c r="DO28" s="93"/>
      <c r="DP28" s="93"/>
      <c r="DQ28" s="93"/>
      <c r="DR28" s="93"/>
      <c r="DS28" s="93"/>
      <c r="DT28" s="93"/>
      <c r="DU28" s="93"/>
      <c r="DV28" s="93"/>
      <c r="DW28" s="93"/>
      <c r="DX28" s="93"/>
      <c r="DY28" s="93"/>
      <c r="DZ28" s="93"/>
      <c r="EA28" s="93"/>
      <c r="EB28" s="93"/>
      <c r="EC28" s="93"/>
      <c r="ED28" s="93"/>
      <c r="EE28" s="93"/>
      <c r="EF28" s="93"/>
      <c r="EG28" s="93"/>
      <c r="EH28" s="93"/>
      <c r="EI28" s="93"/>
      <c r="EJ28" s="93"/>
      <c r="EK28" s="93"/>
      <c r="EL28" s="93"/>
      <c r="EM28" s="93"/>
      <c r="EN28" s="93"/>
      <c r="EO28" s="93"/>
      <c r="EP28" s="93"/>
      <c r="EQ28" s="93"/>
      <c r="ER28" s="93"/>
      <c r="ES28" s="93"/>
      <c r="ET28" s="93"/>
      <c r="EU28" s="93"/>
      <c r="EV28" s="93"/>
      <c r="EW28" s="93"/>
      <c r="EX28" s="93"/>
      <c r="EY28" s="93"/>
      <c r="EZ28" s="93"/>
      <c r="FA28" s="93"/>
      <c r="FB28" s="93"/>
      <c r="FC28" s="93"/>
      <c r="FD28" s="93"/>
      <c r="FE28" s="93"/>
      <c r="FF28" s="93"/>
      <c r="FG28" s="93"/>
      <c r="FH28" s="93"/>
      <c r="FI28" s="93"/>
      <c r="FJ28" s="93"/>
      <c r="FK28" s="93"/>
      <c r="FL28" s="93"/>
      <c r="FM28" s="93"/>
      <c r="FN28" s="93"/>
      <c r="FO28" s="93"/>
      <c r="FP28" s="93"/>
      <c r="FQ28" s="93"/>
      <c r="FR28" s="93"/>
      <c r="FS28" s="93"/>
      <c r="FT28" s="93"/>
      <c r="FU28" s="93"/>
      <c r="FV28" s="93"/>
      <c r="FW28" s="93"/>
      <c r="FX28" s="93"/>
      <c r="FY28" s="93"/>
      <c r="FZ28" s="93"/>
      <c r="GA28" s="93"/>
      <c r="GB28" s="93"/>
      <c r="GC28" s="93"/>
      <c r="GD28" s="93"/>
      <c r="GE28" s="93"/>
      <c r="GF28" s="93"/>
      <c r="GG28" s="93"/>
      <c r="GH28" s="93"/>
      <c r="GI28" s="93"/>
      <c r="GJ28" s="93"/>
      <c r="GK28" s="93"/>
      <c r="GL28" s="93"/>
      <c r="GM28" s="93"/>
      <c r="GN28" s="93"/>
      <c r="GO28" s="93"/>
      <c r="GP28" s="93"/>
      <c r="GQ28" s="93"/>
      <c r="GR28" s="93"/>
      <c r="GS28" s="93"/>
      <c r="GT28" s="93"/>
    </row>
    <row r="29" spans="1:202" ht="16.5" customHeight="1">
      <c r="A29" s="96" t="s">
        <v>23</v>
      </c>
      <c r="B29" s="92"/>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c r="DM29" s="93"/>
      <c r="DN29" s="93"/>
      <c r="DO29" s="93"/>
      <c r="DP29" s="93"/>
      <c r="DQ29" s="93"/>
      <c r="DR29" s="93"/>
      <c r="DS29" s="93"/>
      <c r="DT29" s="93"/>
      <c r="DU29" s="93"/>
      <c r="DV29" s="93"/>
      <c r="DW29" s="93"/>
      <c r="DX29" s="93"/>
      <c r="DY29" s="93"/>
      <c r="DZ29" s="93"/>
      <c r="EA29" s="93"/>
      <c r="EB29" s="93"/>
      <c r="EC29" s="93"/>
      <c r="ED29" s="93"/>
      <c r="EE29" s="93"/>
      <c r="EF29" s="93"/>
      <c r="EG29" s="93"/>
      <c r="EH29" s="93"/>
      <c r="EI29" s="93"/>
      <c r="EJ29" s="93"/>
      <c r="EK29" s="93"/>
      <c r="EL29" s="93"/>
      <c r="EM29" s="93"/>
      <c r="EN29" s="93"/>
      <c r="EO29" s="93"/>
      <c r="EP29" s="93"/>
      <c r="EQ29" s="93"/>
      <c r="ER29" s="93"/>
      <c r="ES29" s="93"/>
      <c r="ET29" s="93"/>
      <c r="EU29" s="93"/>
      <c r="EV29" s="93"/>
      <c r="EW29" s="93"/>
      <c r="EX29" s="93"/>
      <c r="EY29" s="93"/>
      <c r="EZ29" s="93"/>
      <c r="FA29" s="93"/>
      <c r="FB29" s="93"/>
      <c r="FC29" s="93"/>
      <c r="FD29" s="93"/>
      <c r="FE29" s="93"/>
      <c r="FF29" s="93"/>
      <c r="FG29" s="93"/>
      <c r="FH29" s="93"/>
      <c r="FI29" s="93"/>
      <c r="FJ29" s="93"/>
      <c r="FK29" s="93"/>
      <c r="FL29" s="93"/>
      <c r="FM29" s="93"/>
      <c r="FN29" s="93"/>
      <c r="FO29" s="93"/>
      <c r="FP29" s="93"/>
      <c r="FQ29" s="93"/>
      <c r="FR29" s="93"/>
      <c r="FS29" s="93"/>
      <c r="FT29" s="93"/>
      <c r="FU29" s="93"/>
      <c r="FV29" s="93"/>
      <c r="FW29" s="93"/>
      <c r="FX29" s="93"/>
      <c r="FY29" s="93"/>
      <c r="FZ29" s="93"/>
      <c r="GA29" s="93"/>
      <c r="GB29" s="93"/>
      <c r="GC29" s="93"/>
      <c r="GD29" s="93"/>
      <c r="GE29" s="93"/>
      <c r="GF29" s="93"/>
      <c r="GG29" s="93"/>
      <c r="GH29" s="93"/>
      <c r="GI29" s="93"/>
      <c r="GJ29" s="93"/>
      <c r="GK29" s="93"/>
      <c r="GL29" s="93"/>
      <c r="GM29" s="93"/>
      <c r="GN29" s="93"/>
      <c r="GO29" s="93"/>
      <c r="GP29" s="93"/>
      <c r="GQ29" s="93"/>
      <c r="GR29" s="93"/>
      <c r="GS29" s="93"/>
      <c r="GT29" s="93"/>
    </row>
    <row r="30" spans="1:202" ht="16.5" customHeight="1">
      <c r="A30" s="96" t="s">
        <v>240</v>
      </c>
      <c r="B30" s="92"/>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93"/>
      <c r="EG30" s="93"/>
      <c r="EH30" s="93"/>
      <c r="EI30" s="93"/>
      <c r="EJ30" s="93"/>
      <c r="EK30" s="93"/>
      <c r="EL30" s="93"/>
      <c r="EM30" s="93"/>
      <c r="EN30" s="93"/>
      <c r="EO30" s="93"/>
      <c r="EP30" s="93"/>
      <c r="EQ30" s="93"/>
      <c r="ER30" s="93"/>
      <c r="ES30" s="93"/>
      <c r="ET30" s="93"/>
      <c r="EU30" s="93"/>
      <c r="EV30" s="93"/>
      <c r="EW30" s="93"/>
      <c r="EX30" s="93"/>
      <c r="EY30" s="93"/>
      <c r="EZ30" s="93"/>
      <c r="FA30" s="93"/>
      <c r="FB30" s="93"/>
      <c r="FC30" s="93"/>
      <c r="FD30" s="93"/>
      <c r="FE30" s="93"/>
      <c r="FF30" s="93"/>
      <c r="FG30" s="93"/>
      <c r="FH30" s="93"/>
      <c r="FI30" s="93"/>
      <c r="FJ30" s="93"/>
      <c r="FK30" s="93"/>
      <c r="FL30" s="93"/>
      <c r="FM30" s="93"/>
      <c r="FN30" s="93"/>
      <c r="FO30" s="93"/>
      <c r="FP30" s="93"/>
      <c r="FQ30" s="93"/>
      <c r="FR30" s="93"/>
      <c r="FS30" s="93"/>
      <c r="FT30" s="93"/>
      <c r="FU30" s="93"/>
      <c r="FV30" s="93"/>
      <c r="FW30" s="93"/>
      <c r="FX30" s="93"/>
      <c r="FY30" s="93"/>
      <c r="FZ30" s="93"/>
      <c r="GA30" s="93"/>
      <c r="GB30" s="93"/>
      <c r="GC30" s="93"/>
      <c r="GD30" s="93"/>
      <c r="GE30" s="93"/>
      <c r="GF30" s="93"/>
      <c r="GG30" s="93"/>
      <c r="GH30" s="93"/>
      <c r="GI30" s="93"/>
      <c r="GJ30" s="93"/>
      <c r="GK30" s="93"/>
      <c r="GL30" s="93"/>
      <c r="GM30" s="93"/>
      <c r="GN30" s="93"/>
      <c r="GO30" s="93"/>
      <c r="GP30" s="93"/>
      <c r="GQ30" s="93"/>
      <c r="GR30" s="93"/>
      <c r="GS30" s="93"/>
      <c r="GT30" s="93"/>
    </row>
    <row r="31" spans="1:202" ht="16.5" customHeight="1">
      <c r="A31" s="96" t="s">
        <v>11</v>
      </c>
      <c r="B31" s="92"/>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93"/>
      <c r="EG31" s="93"/>
      <c r="EH31" s="93"/>
      <c r="EI31" s="93"/>
      <c r="EJ31" s="93"/>
      <c r="EK31" s="93"/>
      <c r="EL31" s="93"/>
      <c r="EM31" s="93"/>
      <c r="EN31" s="93"/>
      <c r="EO31" s="93"/>
      <c r="EP31" s="93"/>
      <c r="EQ31" s="93"/>
      <c r="ER31" s="93"/>
      <c r="ES31" s="93"/>
      <c r="ET31" s="93"/>
      <c r="EU31" s="93"/>
      <c r="EV31" s="93"/>
      <c r="EW31" s="93"/>
      <c r="EX31" s="93"/>
      <c r="EY31" s="93"/>
      <c r="EZ31" s="93"/>
      <c r="FA31" s="93"/>
      <c r="FB31" s="93"/>
      <c r="FC31" s="93"/>
      <c r="FD31" s="93"/>
      <c r="FE31" s="93"/>
      <c r="FF31" s="93"/>
      <c r="FG31" s="93"/>
      <c r="FH31" s="93"/>
      <c r="FI31" s="93"/>
      <c r="FJ31" s="93"/>
      <c r="FK31" s="93"/>
      <c r="FL31" s="93"/>
      <c r="FM31" s="93"/>
      <c r="FN31" s="93"/>
      <c r="FO31" s="93"/>
      <c r="FP31" s="93"/>
      <c r="FQ31" s="93"/>
      <c r="FR31" s="93"/>
      <c r="FS31" s="93"/>
      <c r="FT31" s="93"/>
      <c r="FU31" s="93"/>
      <c r="FV31" s="93"/>
      <c r="FW31" s="93"/>
      <c r="FX31" s="93"/>
      <c r="FY31" s="93"/>
      <c r="FZ31" s="93"/>
      <c r="GA31" s="93"/>
      <c r="GB31" s="93"/>
      <c r="GC31" s="93"/>
      <c r="GD31" s="93"/>
      <c r="GE31" s="93"/>
      <c r="GF31" s="93"/>
      <c r="GG31" s="93"/>
      <c r="GH31" s="93"/>
      <c r="GI31" s="93"/>
      <c r="GJ31" s="93"/>
      <c r="GK31" s="93"/>
      <c r="GL31" s="93"/>
      <c r="GM31" s="93"/>
      <c r="GN31" s="93"/>
      <c r="GO31" s="93"/>
      <c r="GP31" s="93"/>
      <c r="GQ31" s="93"/>
      <c r="GR31" s="93"/>
      <c r="GS31" s="93"/>
      <c r="GT31" s="93"/>
    </row>
    <row r="32" spans="1:202" ht="16.5" customHeight="1">
      <c r="A32" s="96" t="s">
        <v>23</v>
      </c>
      <c r="B32" s="92"/>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c r="DM32" s="93"/>
      <c r="DN32" s="93"/>
      <c r="DO32" s="93"/>
      <c r="DP32" s="93"/>
      <c r="DQ32" s="93"/>
      <c r="DR32" s="93"/>
      <c r="DS32" s="93"/>
      <c r="DT32" s="93"/>
      <c r="DU32" s="93"/>
      <c r="DV32" s="93"/>
      <c r="DW32" s="93"/>
      <c r="DX32" s="93"/>
      <c r="DY32" s="93"/>
      <c r="DZ32" s="93"/>
      <c r="EA32" s="93"/>
      <c r="EB32" s="93"/>
      <c r="EC32" s="93"/>
      <c r="ED32" s="93"/>
      <c r="EE32" s="93"/>
      <c r="EF32" s="93"/>
      <c r="EG32" s="93"/>
      <c r="EH32" s="93"/>
      <c r="EI32" s="93"/>
      <c r="EJ32" s="93"/>
      <c r="EK32" s="93"/>
      <c r="EL32" s="93"/>
      <c r="EM32" s="93"/>
      <c r="EN32" s="93"/>
      <c r="EO32" s="93"/>
      <c r="EP32" s="93"/>
      <c r="EQ32" s="93"/>
      <c r="ER32" s="93"/>
      <c r="ES32" s="93"/>
      <c r="ET32" s="93"/>
      <c r="EU32" s="93"/>
      <c r="EV32" s="93"/>
      <c r="EW32" s="93"/>
      <c r="EX32" s="93"/>
      <c r="EY32" s="93"/>
      <c r="EZ32" s="93"/>
      <c r="FA32" s="93"/>
      <c r="FB32" s="93"/>
      <c r="FC32" s="93"/>
      <c r="FD32" s="93"/>
      <c r="FE32" s="93"/>
      <c r="FF32" s="93"/>
      <c r="FG32" s="93"/>
      <c r="FH32" s="93"/>
      <c r="FI32" s="93"/>
      <c r="FJ32" s="93"/>
      <c r="FK32" s="93"/>
      <c r="FL32" s="93"/>
      <c r="FM32" s="93"/>
      <c r="FN32" s="93"/>
      <c r="FO32" s="93"/>
      <c r="FP32" s="93"/>
      <c r="FQ32" s="93"/>
      <c r="FR32" s="93"/>
      <c r="FS32" s="93"/>
      <c r="FT32" s="93"/>
      <c r="FU32" s="93"/>
      <c r="FV32" s="93"/>
      <c r="FW32" s="93"/>
      <c r="FX32" s="93"/>
      <c r="FY32" s="93"/>
      <c r="FZ32" s="93"/>
      <c r="GA32" s="93"/>
      <c r="GB32" s="93"/>
      <c r="GC32" s="93"/>
      <c r="GD32" s="93"/>
      <c r="GE32" s="93"/>
      <c r="GF32" s="93"/>
      <c r="GG32" s="93"/>
      <c r="GH32" s="93"/>
      <c r="GI32" s="93"/>
      <c r="GJ32" s="93"/>
      <c r="GK32" s="93"/>
      <c r="GL32" s="93"/>
      <c r="GM32" s="93"/>
      <c r="GN32" s="93"/>
      <c r="GO32" s="93"/>
      <c r="GP32" s="93"/>
      <c r="GQ32" s="93"/>
      <c r="GR32" s="93"/>
      <c r="GS32" s="93"/>
      <c r="GT32" s="93"/>
    </row>
    <row r="33" spans="1:204" ht="16.5" customHeight="1">
      <c r="A33" s="96" t="s">
        <v>240</v>
      </c>
      <c r="B33" s="92"/>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93"/>
      <c r="DM33" s="93"/>
      <c r="DN33" s="93"/>
      <c r="DO33" s="93"/>
      <c r="DP33" s="93"/>
      <c r="DQ33" s="93"/>
      <c r="DR33" s="93"/>
      <c r="DS33" s="93"/>
      <c r="DT33" s="93"/>
      <c r="DU33" s="93"/>
      <c r="DV33" s="93"/>
      <c r="DW33" s="93"/>
      <c r="DX33" s="93"/>
      <c r="DY33" s="93"/>
      <c r="DZ33" s="93"/>
      <c r="EA33" s="93"/>
      <c r="EB33" s="93"/>
      <c r="EC33" s="93"/>
      <c r="ED33" s="93"/>
      <c r="EE33" s="93"/>
      <c r="EF33" s="93"/>
      <c r="EG33" s="93"/>
      <c r="EH33" s="93"/>
      <c r="EI33" s="93"/>
      <c r="EJ33" s="93"/>
      <c r="EK33" s="93"/>
      <c r="EL33" s="93"/>
      <c r="EM33" s="93"/>
      <c r="EN33" s="93"/>
      <c r="EO33" s="93"/>
      <c r="EP33" s="93"/>
      <c r="EQ33" s="93"/>
      <c r="ER33" s="93"/>
      <c r="ES33" s="93"/>
      <c r="ET33" s="93"/>
      <c r="EU33" s="93"/>
      <c r="EV33" s="93"/>
      <c r="EW33" s="93"/>
      <c r="EX33" s="93"/>
      <c r="EY33" s="93"/>
      <c r="EZ33" s="93"/>
      <c r="FA33" s="93"/>
      <c r="FB33" s="93"/>
      <c r="FC33" s="93"/>
      <c r="FD33" s="93"/>
      <c r="FE33" s="93"/>
      <c r="FF33" s="93"/>
      <c r="FG33" s="93"/>
      <c r="FH33" s="93"/>
      <c r="FI33" s="93"/>
      <c r="FJ33" s="93"/>
      <c r="FK33" s="93"/>
      <c r="FL33" s="93"/>
      <c r="FM33" s="93"/>
      <c r="FN33" s="93"/>
      <c r="FO33" s="93"/>
      <c r="FP33" s="93"/>
      <c r="FQ33" s="93"/>
      <c r="FR33" s="93"/>
      <c r="FS33" s="93"/>
      <c r="FT33" s="93"/>
      <c r="FU33" s="93"/>
      <c r="FV33" s="93"/>
      <c r="FW33" s="93"/>
      <c r="FX33" s="93"/>
      <c r="FY33" s="93"/>
      <c r="FZ33" s="93"/>
      <c r="GA33" s="93"/>
      <c r="GB33" s="93"/>
      <c r="GC33" s="93"/>
      <c r="GD33" s="93"/>
      <c r="GE33" s="93"/>
      <c r="GF33" s="93"/>
      <c r="GG33" s="93"/>
      <c r="GH33" s="93"/>
      <c r="GI33" s="93"/>
      <c r="GJ33" s="93"/>
      <c r="GK33" s="93"/>
      <c r="GL33" s="93"/>
      <c r="GM33" s="93"/>
      <c r="GN33" s="93"/>
      <c r="GO33" s="93"/>
      <c r="GP33" s="93"/>
      <c r="GQ33" s="93"/>
      <c r="GR33" s="93"/>
      <c r="GS33" s="93"/>
      <c r="GT33" s="93"/>
    </row>
    <row r="34" spans="1:204" s="28" customFormat="1" ht="21">
      <c r="A34" s="41" t="s">
        <v>36</v>
      </c>
      <c r="B34" s="44"/>
      <c r="C34" s="45">
        <f>-SUM(C35:C42)</f>
        <v>0</v>
      </c>
      <c r="D34" s="45">
        <f>-SUM(D35:D42)</f>
        <v>0</v>
      </c>
      <c r="E34" s="45">
        <f>-SUM(E35:E42)</f>
        <v>0</v>
      </c>
      <c r="F34" s="45">
        <f t="shared" ref="F34:BO34" si="31">-SUM(F35:F42)</f>
        <v>0</v>
      </c>
      <c r="G34" s="45">
        <f>-SUM(G35:G42)</f>
        <v>0</v>
      </c>
      <c r="H34" s="45">
        <f>-SUM(H35:H42)</f>
        <v>0</v>
      </c>
      <c r="I34" s="45">
        <f t="shared" si="31"/>
        <v>0</v>
      </c>
      <c r="J34" s="45">
        <f t="shared" si="31"/>
        <v>0</v>
      </c>
      <c r="K34" s="45">
        <f t="shared" si="31"/>
        <v>0</v>
      </c>
      <c r="L34" s="45">
        <f>-SUM(L35:L42)</f>
        <v>0</v>
      </c>
      <c r="M34" s="45">
        <f t="shared" si="31"/>
        <v>0</v>
      </c>
      <c r="N34" s="45">
        <f t="shared" si="31"/>
        <v>0</v>
      </c>
      <c r="O34" s="45">
        <f t="shared" si="31"/>
        <v>0</v>
      </c>
      <c r="P34" s="45">
        <f t="shared" si="31"/>
        <v>0</v>
      </c>
      <c r="Q34" s="45">
        <f t="shared" si="31"/>
        <v>0</v>
      </c>
      <c r="R34" s="45">
        <f t="shared" si="31"/>
        <v>0</v>
      </c>
      <c r="S34" s="45">
        <f t="shared" si="31"/>
        <v>0</v>
      </c>
      <c r="T34" s="45">
        <f t="shared" si="31"/>
        <v>0</v>
      </c>
      <c r="U34" s="45">
        <f t="shared" si="31"/>
        <v>0</v>
      </c>
      <c r="V34" s="45">
        <f t="shared" si="31"/>
        <v>0</v>
      </c>
      <c r="W34" s="45">
        <f t="shared" si="31"/>
        <v>0</v>
      </c>
      <c r="X34" s="45">
        <f t="shared" si="31"/>
        <v>0</v>
      </c>
      <c r="Y34" s="45">
        <f t="shared" si="31"/>
        <v>0</v>
      </c>
      <c r="Z34" s="45">
        <f t="shared" si="31"/>
        <v>0</v>
      </c>
      <c r="AA34" s="45">
        <f t="shared" si="31"/>
        <v>0</v>
      </c>
      <c r="AB34" s="45">
        <f t="shared" si="31"/>
        <v>0</v>
      </c>
      <c r="AC34" s="45">
        <f t="shared" si="31"/>
        <v>0</v>
      </c>
      <c r="AD34" s="45">
        <f t="shared" si="31"/>
        <v>0</v>
      </c>
      <c r="AE34" s="45">
        <f t="shared" si="31"/>
        <v>0</v>
      </c>
      <c r="AF34" s="45">
        <f t="shared" si="31"/>
        <v>0</v>
      </c>
      <c r="AG34" s="45">
        <f t="shared" si="31"/>
        <v>0</v>
      </c>
      <c r="AH34" s="45">
        <f t="shared" si="31"/>
        <v>0</v>
      </c>
      <c r="AI34" s="45">
        <f t="shared" si="31"/>
        <v>0</v>
      </c>
      <c r="AJ34" s="45">
        <f t="shared" si="31"/>
        <v>0</v>
      </c>
      <c r="AK34" s="45">
        <f t="shared" si="31"/>
        <v>0</v>
      </c>
      <c r="AL34" s="45">
        <f t="shared" si="31"/>
        <v>0</v>
      </c>
      <c r="AM34" s="45">
        <f t="shared" si="31"/>
        <v>0</v>
      </c>
      <c r="AN34" s="45">
        <f t="shared" si="31"/>
        <v>0</v>
      </c>
      <c r="AO34" s="45">
        <f t="shared" si="31"/>
        <v>0</v>
      </c>
      <c r="AP34" s="45">
        <f t="shared" si="31"/>
        <v>0</v>
      </c>
      <c r="AQ34" s="45">
        <f t="shared" si="31"/>
        <v>0</v>
      </c>
      <c r="AR34" s="45">
        <f t="shared" si="31"/>
        <v>0</v>
      </c>
      <c r="AS34" s="45">
        <f t="shared" si="31"/>
        <v>0</v>
      </c>
      <c r="AT34" s="45">
        <f t="shared" si="31"/>
        <v>0</v>
      </c>
      <c r="AU34" s="45">
        <f t="shared" si="31"/>
        <v>0</v>
      </c>
      <c r="AV34" s="45">
        <f t="shared" si="31"/>
        <v>0</v>
      </c>
      <c r="AW34" s="45">
        <f t="shared" si="31"/>
        <v>0</v>
      </c>
      <c r="AX34" s="45">
        <f t="shared" si="31"/>
        <v>0</v>
      </c>
      <c r="AY34" s="45">
        <f t="shared" si="31"/>
        <v>0</v>
      </c>
      <c r="AZ34" s="45">
        <f t="shared" si="31"/>
        <v>0</v>
      </c>
      <c r="BA34" s="45">
        <f t="shared" si="31"/>
        <v>0</v>
      </c>
      <c r="BB34" s="45">
        <f t="shared" si="31"/>
        <v>0</v>
      </c>
      <c r="BC34" s="45">
        <f t="shared" si="31"/>
        <v>0</v>
      </c>
      <c r="BD34" s="45">
        <f t="shared" si="31"/>
        <v>0</v>
      </c>
      <c r="BE34" s="45">
        <f t="shared" si="31"/>
        <v>0</v>
      </c>
      <c r="BF34" s="45">
        <f t="shared" si="31"/>
        <v>0</v>
      </c>
      <c r="BG34" s="45">
        <f t="shared" si="31"/>
        <v>0</v>
      </c>
      <c r="BH34" s="45">
        <f t="shared" si="31"/>
        <v>0</v>
      </c>
      <c r="BI34" s="45">
        <f t="shared" si="31"/>
        <v>0</v>
      </c>
      <c r="BJ34" s="45">
        <f t="shared" si="31"/>
        <v>0</v>
      </c>
      <c r="BK34" s="45">
        <f t="shared" si="31"/>
        <v>0</v>
      </c>
      <c r="BL34" s="45">
        <f t="shared" si="31"/>
        <v>0</v>
      </c>
      <c r="BM34" s="45">
        <f t="shared" si="31"/>
        <v>0</v>
      </c>
      <c r="BN34" s="45">
        <f t="shared" si="31"/>
        <v>0</v>
      </c>
      <c r="BO34" s="45">
        <f t="shared" si="31"/>
        <v>0</v>
      </c>
      <c r="BP34" s="45">
        <f t="shared" ref="BP34:EA34" si="32">-SUM(BP35:BP42)</f>
        <v>0</v>
      </c>
      <c r="BQ34" s="45">
        <f t="shared" si="32"/>
        <v>0</v>
      </c>
      <c r="BR34" s="45">
        <f t="shared" si="32"/>
        <v>0</v>
      </c>
      <c r="BS34" s="45">
        <f t="shared" si="32"/>
        <v>0</v>
      </c>
      <c r="BT34" s="45">
        <f t="shared" si="32"/>
        <v>0</v>
      </c>
      <c r="BU34" s="45">
        <f t="shared" si="32"/>
        <v>0</v>
      </c>
      <c r="BV34" s="45">
        <f t="shared" si="32"/>
        <v>0</v>
      </c>
      <c r="BW34" s="45">
        <f t="shared" si="32"/>
        <v>0</v>
      </c>
      <c r="BX34" s="45">
        <f t="shared" si="32"/>
        <v>0</v>
      </c>
      <c r="BY34" s="45">
        <f t="shared" si="32"/>
        <v>0</v>
      </c>
      <c r="BZ34" s="45">
        <f t="shared" si="32"/>
        <v>0</v>
      </c>
      <c r="CA34" s="45">
        <f t="shared" si="32"/>
        <v>0</v>
      </c>
      <c r="CB34" s="45">
        <f t="shared" si="32"/>
        <v>0</v>
      </c>
      <c r="CC34" s="45">
        <f t="shared" si="32"/>
        <v>0</v>
      </c>
      <c r="CD34" s="45">
        <f t="shared" si="32"/>
        <v>0</v>
      </c>
      <c r="CE34" s="45">
        <f t="shared" si="32"/>
        <v>0</v>
      </c>
      <c r="CF34" s="45">
        <f t="shared" si="32"/>
        <v>0</v>
      </c>
      <c r="CG34" s="45">
        <f t="shared" si="32"/>
        <v>0</v>
      </c>
      <c r="CH34" s="45">
        <f t="shared" si="32"/>
        <v>0</v>
      </c>
      <c r="CI34" s="45">
        <f t="shared" si="32"/>
        <v>0</v>
      </c>
      <c r="CJ34" s="45">
        <f t="shared" si="32"/>
        <v>0</v>
      </c>
      <c r="CK34" s="45">
        <f t="shared" si="32"/>
        <v>0</v>
      </c>
      <c r="CL34" s="45">
        <f t="shared" si="32"/>
        <v>0</v>
      </c>
      <c r="CM34" s="45">
        <f t="shared" si="32"/>
        <v>0</v>
      </c>
      <c r="CN34" s="45">
        <f t="shared" si="32"/>
        <v>0</v>
      </c>
      <c r="CO34" s="45">
        <f t="shared" si="32"/>
        <v>0</v>
      </c>
      <c r="CP34" s="45">
        <f t="shared" si="32"/>
        <v>0</v>
      </c>
      <c r="CQ34" s="45">
        <f t="shared" si="32"/>
        <v>0</v>
      </c>
      <c r="CR34" s="45">
        <f t="shared" si="32"/>
        <v>0</v>
      </c>
      <c r="CS34" s="45">
        <f t="shared" si="32"/>
        <v>0</v>
      </c>
      <c r="CT34" s="45">
        <f t="shared" si="32"/>
        <v>0</v>
      </c>
      <c r="CU34" s="45">
        <f t="shared" si="32"/>
        <v>0</v>
      </c>
      <c r="CV34" s="45">
        <f t="shared" si="32"/>
        <v>0</v>
      </c>
      <c r="CW34" s="45">
        <f t="shared" si="32"/>
        <v>0</v>
      </c>
      <c r="CX34" s="45">
        <f t="shared" si="32"/>
        <v>0</v>
      </c>
      <c r="CY34" s="45">
        <f t="shared" si="32"/>
        <v>0</v>
      </c>
      <c r="CZ34" s="45">
        <f t="shared" si="32"/>
        <v>0</v>
      </c>
      <c r="DA34" s="45">
        <f t="shared" si="32"/>
        <v>0</v>
      </c>
      <c r="DB34" s="45">
        <f t="shared" si="32"/>
        <v>0</v>
      </c>
      <c r="DC34" s="45">
        <f t="shared" si="32"/>
        <v>0</v>
      </c>
      <c r="DD34" s="45">
        <f t="shared" si="32"/>
        <v>0</v>
      </c>
      <c r="DE34" s="45">
        <f t="shared" si="32"/>
        <v>0</v>
      </c>
      <c r="DF34" s="45">
        <f t="shared" si="32"/>
        <v>0</v>
      </c>
      <c r="DG34" s="45">
        <f t="shared" si="32"/>
        <v>0</v>
      </c>
      <c r="DH34" s="45">
        <f t="shared" si="32"/>
        <v>0</v>
      </c>
      <c r="DI34" s="45">
        <f t="shared" si="32"/>
        <v>0</v>
      </c>
      <c r="DJ34" s="45">
        <f t="shared" si="32"/>
        <v>0</v>
      </c>
      <c r="DK34" s="45">
        <f t="shared" si="32"/>
        <v>0</v>
      </c>
      <c r="DL34" s="45">
        <f t="shared" si="32"/>
        <v>0</v>
      </c>
      <c r="DM34" s="45">
        <f t="shared" si="32"/>
        <v>0</v>
      </c>
      <c r="DN34" s="45">
        <f t="shared" si="32"/>
        <v>0</v>
      </c>
      <c r="DO34" s="45">
        <f t="shared" si="32"/>
        <v>0</v>
      </c>
      <c r="DP34" s="45">
        <f t="shared" si="32"/>
        <v>0</v>
      </c>
      <c r="DQ34" s="45">
        <f t="shared" si="32"/>
        <v>0</v>
      </c>
      <c r="DR34" s="45">
        <f t="shared" si="32"/>
        <v>0</v>
      </c>
      <c r="DS34" s="45">
        <f t="shared" si="32"/>
        <v>0</v>
      </c>
      <c r="DT34" s="45">
        <f t="shared" si="32"/>
        <v>0</v>
      </c>
      <c r="DU34" s="45">
        <f t="shared" si="32"/>
        <v>0</v>
      </c>
      <c r="DV34" s="45">
        <f t="shared" si="32"/>
        <v>0</v>
      </c>
      <c r="DW34" s="45">
        <f t="shared" si="32"/>
        <v>0</v>
      </c>
      <c r="DX34" s="45">
        <f t="shared" si="32"/>
        <v>0</v>
      </c>
      <c r="DY34" s="45">
        <f t="shared" si="32"/>
        <v>0</v>
      </c>
      <c r="DZ34" s="45">
        <f t="shared" si="32"/>
        <v>0</v>
      </c>
      <c r="EA34" s="45">
        <f t="shared" si="32"/>
        <v>0</v>
      </c>
      <c r="EB34" s="45">
        <f t="shared" ref="EB34:GM34" si="33">-SUM(EB35:EB42)</f>
        <v>0</v>
      </c>
      <c r="EC34" s="45">
        <f t="shared" si="33"/>
        <v>0</v>
      </c>
      <c r="ED34" s="45">
        <f t="shared" si="33"/>
        <v>0</v>
      </c>
      <c r="EE34" s="45">
        <f t="shared" si="33"/>
        <v>0</v>
      </c>
      <c r="EF34" s="45">
        <f t="shared" si="33"/>
        <v>0</v>
      </c>
      <c r="EG34" s="45">
        <f t="shared" si="33"/>
        <v>0</v>
      </c>
      <c r="EH34" s="45">
        <f t="shared" si="33"/>
        <v>0</v>
      </c>
      <c r="EI34" s="45">
        <f t="shared" si="33"/>
        <v>0</v>
      </c>
      <c r="EJ34" s="45">
        <f t="shared" si="33"/>
        <v>0</v>
      </c>
      <c r="EK34" s="45">
        <f t="shared" si="33"/>
        <v>0</v>
      </c>
      <c r="EL34" s="45">
        <f t="shared" si="33"/>
        <v>0</v>
      </c>
      <c r="EM34" s="45">
        <f t="shared" si="33"/>
        <v>0</v>
      </c>
      <c r="EN34" s="45">
        <f t="shared" si="33"/>
        <v>0</v>
      </c>
      <c r="EO34" s="45">
        <f t="shared" si="33"/>
        <v>0</v>
      </c>
      <c r="EP34" s="45">
        <f t="shared" si="33"/>
        <v>0</v>
      </c>
      <c r="EQ34" s="45">
        <f t="shared" si="33"/>
        <v>0</v>
      </c>
      <c r="ER34" s="45">
        <f t="shared" si="33"/>
        <v>0</v>
      </c>
      <c r="ES34" s="45">
        <f t="shared" si="33"/>
        <v>0</v>
      </c>
      <c r="ET34" s="45">
        <f t="shared" si="33"/>
        <v>0</v>
      </c>
      <c r="EU34" s="45">
        <f t="shared" si="33"/>
        <v>0</v>
      </c>
      <c r="EV34" s="45">
        <f t="shared" si="33"/>
        <v>0</v>
      </c>
      <c r="EW34" s="45">
        <f t="shared" si="33"/>
        <v>0</v>
      </c>
      <c r="EX34" s="45">
        <f t="shared" si="33"/>
        <v>0</v>
      </c>
      <c r="EY34" s="45">
        <f t="shared" si="33"/>
        <v>0</v>
      </c>
      <c r="EZ34" s="45">
        <f t="shared" si="33"/>
        <v>0</v>
      </c>
      <c r="FA34" s="45">
        <f t="shared" si="33"/>
        <v>0</v>
      </c>
      <c r="FB34" s="45">
        <f t="shared" si="33"/>
        <v>0</v>
      </c>
      <c r="FC34" s="45">
        <f t="shared" si="33"/>
        <v>0</v>
      </c>
      <c r="FD34" s="45">
        <f t="shared" si="33"/>
        <v>0</v>
      </c>
      <c r="FE34" s="45">
        <f t="shared" si="33"/>
        <v>0</v>
      </c>
      <c r="FF34" s="45">
        <f t="shared" si="33"/>
        <v>0</v>
      </c>
      <c r="FG34" s="45">
        <f t="shared" si="33"/>
        <v>0</v>
      </c>
      <c r="FH34" s="45">
        <f t="shared" si="33"/>
        <v>0</v>
      </c>
      <c r="FI34" s="45">
        <f t="shared" si="33"/>
        <v>0</v>
      </c>
      <c r="FJ34" s="45">
        <f t="shared" si="33"/>
        <v>0</v>
      </c>
      <c r="FK34" s="45">
        <f t="shared" si="33"/>
        <v>0</v>
      </c>
      <c r="FL34" s="45">
        <f t="shared" si="33"/>
        <v>0</v>
      </c>
      <c r="FM34" s="45">
        <f t="shared" si="33"/>
        <v>0</v>
      </c>
      <c r="FN34" s="45">
        <f t="shared" si="33"/>
        <v>0</v>
      </c>
      <c r="FO34" s="45">
        <f t="shared" si="33"/>
        <v>0</v>
      </c>
      <c r="FP34" s="45">
        <f t="shared" si="33"/>
        <v>0</v>
      </c>
      <c r="FQ34" s="45">
        <f t="shared" si="33"/>
        <v>0</v>
      </c>
      <c r="FR34" s="45">
        <f t="shared" si="33"/>
        <v>0</v>
      </c>
      <c r="FS34" s="45">
        <f t="shared" si="33"/>
        <v>0</v>
      </c>
      <c r="FT34" s="45">
        <f t="shared" si="33"/>
        <v>0</v>
      </c>
      <c r="FU34" s="45">
        <f t="shared" si="33"/>
        <v>0</v>
      </c>
      <c r="FV34" s="45">
        <f t="shared" si="33"/>
        <v>0</v>
      </c>
      <c r="FW34" s="45">
        <f t="shared" si="33"/>
        <v>0</v>
      </c>
      <c r="FX34" s="45">
        <f t="shared" si="33"/>
        <v>0</v>
      </c>
      <c r="FY34" s="45">
        <f t="shared" si="33"/>
        <v>0</v>
      </c>
      <c r="FZ34" s="45">
        <f t="shared" si="33"/>
        <v>0</v>
      </c>
      <c r="GA34" s="45">
        <f t="shared" si="33"/>
        <v>0</v>
      </c>
      <c r="GB34" s="45">
        <f t="shared" si="33"/>
        <v>0</v>
      </c>
      <c r="GC34" s="45">
        <f t="shared" si="33"/>
        <v>0</v>
      </c>
      <c r="GD34" s="45">
        <f t="shared" si="33"/>
        <v>0</v>
      </c>
      <c r="GE34" s="45">
        <f t="shared" si="33"/>
        <v>0</v>
      </c>
      <c r="GF34" s="45">
        <f t="shared" si="33"/>
        <v>0</v>
      </c>
      <c r="GG34" s="45">
        <f t="shared" si="33"/>
        <v>0</v>
      </c>
      <c r="GH34" s="45">
        <f t="shared" si="33"/>
        <v>0</v>
      </c>
      <c r="GI34" s="45">
        <f t="shared" si="33"/>
        <v>0</v>
      </c>
      <c r="GJ34" s="45">
        <f t="shared" si="33"/>
        <v>0</v>
      </c>
      <c r="GK34" s="45">
        <f t="shared" si="33"/>
        <v>0</v>
      </c>
      <c r="GL34" s="45">
        <f t="shared" si="33"/>
        <v>0</v>
      </c>
      <c r="GM34" s="45">
        <f t="shared" si="33"/>
        <v>0</v>
      </c>
      <c r="GN34" s="45">
        <f t="shared" ref="GN34:GT34" si="34">-SUM(GN35:GN42)</f>
        <v>0</v>
      </c>
      <c r="GO34" s="45">
        <f t="shared" si="34"/>
        <v>0</v>
      </c>
      <c r="GP34" s="45">
        <f t="shared" si="34"/>
        <v>0</v>
      </c>
      <c r="GQ34" s="45">
        <f t="shared" si="34"/>
        <v>0</v>
      </c>
      <c r="GR34" s="45">
        <f t="shared" si="34"/>
        <v>0</v>
      </c>
      <c r="GS34" s="45">
        <f t="shared" si="34"/>
        <v>0</v>
      </c>
      <c r="GT34" s="45">
        <f t="shared" si="34"/>
        <v>0</v>
      </c>
    </row>
    <row r="35" spans="1:204" ht="16.5" customHeight="1">
      <c r="A35" s="96" t="s">
        <v>23</v>
      </c>
      <c r="B35" s="92"/>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93"/>
      <c r="DM35" s="93"/>
      <c r="DN35" s="93"/>
      <c r="DO35" s="93"/>
      <c r="DP35" s="93"/>
      <c r="DQ35" s="93"/>
      <c r="DR35" s="93"/>
      <c r="DS35" s="93"/>
      <c r="DT35" s="93"/>
      <c r="DU35" s="93"/>
      <c r="DV35" s="93"/>
      <c r="DW35" s="93"/>
      <c r="DX35" s="93"/>
      <c r="DY35" s="93"/>
      <c r="DZ35" s="93"/>
      <c r="EA35" s="93"/>
      <c r="EB35" s="93"/>
      <c r="EC35" s="93"/>
      <c r="ED35" s="93"/>
      <c r="EE35" s="93"/>
      <c r="EF35" s="93"/>
      <c r="EG35" s="93"/>
      <c r="EH35" s="93"/>
      <c r="EI35" s="93"/>
      <c r="EJ35" s="93"/>
      <c r="EK35" s="93"/>
      <c r="EL35" s="93"/>
      <c r="EM35" s="93"/>
      <c r="EN35" s="93"/>
      <c r="EO35" s="93"/>
      <c r="EP35" s="93"/>
      <c r="EQ35" s="93"/>
      <c r="ER35" s="93"/>
      <c r="ES35" s="93"/>
      <c r="ET35" s="93"/>
      <c r="EU35" s="93"/>
      <c r="EV35" s="93"/>
      <c r="EW35" s="93"/>
      <c r="EX35" s="93"/>
      <c r="EY35" s="93"/>
      <c r="EZ35" s="93"/>
      <c r="FA35" s="93"/>
      <c r="FB35" s="93"/>
      <c r="FC35" s="93"/>
      <c r="FD35" s="93"/>
      <c r="FE35" s="93"/>
      <c r="FF35" s="93"/>
      <c r="FG35" s="93"/>
      <c r="FH35" s="93"/>
      <c r="FI35" s="93"/>
      <c r="FJ35" s="93"/>
      <c r="FK35" s="93"/>
      <c r="FL35" s="93"/>
      <c r="FM35" s="93"/>
      <c r="FN35" s="93"/>
      <c r="FO35" s="93"/>
      <c r="FP35" s="93"/>
      <c r="FQ35" s="93"/>
      <c r="FR35" s="93"/>
      <c r="FS35" s="93"/>
      <c r="FT35" s="93"/>
      <c r="FU35" s="93"/>
      <c r="FV35" s="93"/>
      <c r="FW35" s="93"/>
      <c r="FX35" s="93"/>
      <c r="FY35" s="93"/>
      <c r="FZ35" s="93"/>
      <c r="GA35" s="93"/>
      <c r="GB35" s="93"/>
      <c r="GC35" s="93"/>
      <c r="GD35" s="93"/>
      <c r="GE35" s="93"/>
      <c r="GF35" s="93"/>
      <c r="GG35" s="93"/>
      <c r="GH35" s="93"/>
      <c r="GI35" s="93"/>
      <c r="GJ35" s="93"/>
      <c r="GK35" s="93"/>
      <c r="GL35" s="93"/>
      <c r="GM35" s="93"/>
      <c r="GN35" s="93"/>
      <c r="GO35" s="93"/>
      <c r="GP35" s="93"/>
      <c r="GQ35" s="93"/>
      <c r="GR35" s="93"/>
      <c r="GS35" s="93"/>
      <c r="GT35" s="93"/>
    </row>
    <row r="36" spans="1:204" ht="16.5" customHeight="1">
      <c r="A36" s="96" t="s">
        <v>117</v>
      </c>
      <c r="B36" s="92"/>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93"/>
      <c r="DM36" s="93"/>
      <c r="DN36" s="93"/>
      <c r="DO36" s="93"/>
      <c r="DP36" s="93"/>
      <c r="DQ36" s="93"/>
      <c r="DR36" s="93"/>
      <c r="DS36" s="93"/>
      <c r="DT36" s="93"/>
      <c r="DU36" s="93"/>
      <c r="DV36" s="93"/>
      <c r="DW36" s="93"/>
      <c r="DX36" s="93"/>
      <c r="DY36" s="93"/>
      <c r="DZ36" s="93"/>
      <c r="EA36" s="93"/>
      <c r="EB36" s="93"/>
      <c r="EC36" s="93"/>
      <c r="ED36" s="93"/>
      <c r="EE36" s="93"/>
      <c r="EF36" s="93"/>
      <c r="EG36" s="93"/>
      <c r="EH36" s="93"/>
      <c r="EI36" s="93"/>
      <c r="EJ36" s="93"/>
      <c r="EK36" s="93"/>
      <c r="EL36" s="93"/>
      <c r="EM36" s="93"/>
      <c r="EN36" s="93"/>
      <c r="EO36" s="93"/>
      <c r="EP36" s="93"/>
      <c r="EQ36" s="93"/>
      <c r="ER36" s="93"/>
      <c r="ES36" s="93"/>
      <c r="ET36" s="93"/>
      <c r="EU36" s="93"/>
      <c r="EV36" s="93"/>
      <c r="EW36" s="93"/>
      <c r="EX36" s="93"/>
      <c r="EY36" s="93"/>
      <c r="EZ36" s="93"/>
      <c r="FA36" s="93"/>
      <c r="FB36" s="93"/>
      <c r="FC36" s="93"/>
      <c r="FD36" s="93"/>
      <c r="FE36" s="93"/>
      <c r="FF36" s="93"/>
      <c r="FG36" s="93"/>
      <c r="FH36" s="93"/>
      <c r="FI36" s="93"/>
      <c r="FJ36" s="93"/>
      <c r="FK36" s="93"/>
      <c r="FL36" s="93"/>
      <c r="FM36" s="93"/>
      <c r="FN36" s="93"/>
      <c r="FO36" s="93"/>
      <c r="FP36" s="93"/>
      <c r="FQ36" s="93"/>
      <c r="FR36" s="93"/>
      <c r="FS36" s="93"/>
      <c r="FT36" s="93"/>
      <c r="FU36" s="93"/>
      <c r="FV36" s="93"/>
      <c r="FW36" s="93"/>
      <c r="FX36" s="93"/>
      <c r="FY36" s="93"/>
      <c r="FZ36" s="93"/>
      <c r="GA36" s="93"/>
      <c r="GB36" s="93"/>
      <c r="GC36" s="93"/>
      <c r="GD36" s="93"/>
      <c r="GE36" s="93"/>
      <c r="GF36" s="93"/>
      <c r="GG36" s="93"/>
      <c r="GH36" s="93"/>
      <c r="GI36" s="93"/>
      <c r="GJ36" s="93"/>
      <c r="GK36" s="93"/>
      <c r="GL36" s="93"/>
      <c r="GM36" s="93"/>
      <c r="GN36" s="93"/>
      <c r="GO36" s="93"/>
      <c r="GP36" s="93"/>
      <c r="GQ36" s="93"/>
      <c r="GR36" s="93"/>
      <c r="GS36" s="93"/>
      <c r="GT36" s="93"/>
    </row>
    <row r="37" spans="1:204" ht="16.5" customHeight="1">
      <c r="A37" s="96"/>
      <c r="B37" s="92"/>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c r="CV37" s="93"/>
      <c r="CW37" s="93"/>
      <c r="CX37" s="93"/>
      <c r="CY37" s="93"/>
      <c r="CZ37" s="93"/>
      <c r="DA37" s="93"/>
      <c r="DB37" s="93"/>
      <c r="DC37" s="93"/>
      <c r="DD37" s="93"/>
      <c r="DE37" s="93"/>
      <c r="DF37" s="93"/>
      <c r="DG37" s="93"/>
      <c r="DH37" s="93"/>
      <c r="DI37" s="93"/>
      <c r="DJ37" s="93"/>
      <c r="DK37" s="93"/>
      <c r="DL37" s="93"/>
      <c r="DM37" s="93"/>
      <c r="DN37" s="93"/>
      <c r="DO37" s="93"/>
      <c r="DP37" s="93"/>
      <c r="DQ37" s="93"/>
      <c r="DR37" s="93"/>
      <c r="DS37" s="93"/>
      <c r="DT37" s="93"/>
      <c r="DU37" s="93"/>
      <c r="DV37" s="93"/>
      <c r="DW37" s="93"/>
      <c r="DX37" s="93"/>
      <c r="DY37" s="93"/>
      <c r="DZ37" s="93"/>
      <c r="EA37" s="93"/>
      <c r="EB37" s="93"/>
      <c r="EC37" s="93"/>
      <c r="ED37" s="93"/>
      <c r="EE37" s="93"/>
      <c r="EF37" s="93"/>
      <c r="EG37" s="93"/>
      <c r="EH37" s="93"/>
      <c r="EI37" s="93"/>
      <c r="EJ37" s="93"/>
      <c r="EK37" s="93"/>
      <c r="EL37" s="93"/>
      <c r="EM37" s="93"/>
      <c r="EN37" s="93"/>
      <c r="EO37" s="93"/>
      <c r="EP37" s="93"/>
      <c r="EQ37" s="93"/>
      <c r="ER37" s="93"/>
      <c r="ES37" s="93"/>
      <c r="ET37" s="93"/>
      <c r="EU37" s="93"/>
      <c r="EV37" s="93"/>
      <c r="EW37" s="93"/>
      <c r="EX37" s="93"/>
      <c r="EY37" s="93"/>
      <c r="EZ37" s="93"/>
      <c r="FA37" s="93"/>
      <c r="FB37" s="93"/>
      <c r="FC37" s="93"/>
      <c r="FD37" s="93"/>
      <c r="FE37" s="93"/>
      <c r="FF37" s="93"/>
      <c r="FG37" s="93"/>
      <c r="FH37" s="93"/>
      <c r="FI37" s="93"/>
      <c r="FJ37" s="93"/>
      <c r="FK37" s="93"/>
      <c r="FL37" s="93"/>
      <c r="FM37" s="93"/>
      <c r="FN37" s="93"/>
      <c r="FO37" s="93"/>
      <c r="FP37" s="93"/>
      <c r="FQ37" s="93"/>
      <c r="FR37" s="93"/>
      <c r="FS37" s="93"/>
      <c r="FT37" s="93"/>
      <c r="FU37" s="93"/>
      <c r="FV37" s="93"/>
      <c r="FW37" s="93"/>
      <c r="FX37" s="93"/>
      <c r="FY37" s="93"/>
      <c r="FZ37" s="93"/>
      <c r="GA37" s="93"/>
      <c r="GB37" s="93"/>
      <c r="GC37" s="93"/>
      <c r="GD37" s="93"/>
      <c r="GE37" s="93"/>
      <c r="GF37" s="93"/>
      <c r="GG37" s="93"/>
      <c r="GH37" s="93"/>
      <c r="GI37" s="93"/>
      <c r="GJ37" s="93"/>
      <c r="GK37" s="93"/>
      <c r="GL37" s="93"/>
      <c r="GM37" s="93"/>
      <c r="GN37" s="93"/>
      <c r="GO37" s="93"/>
      <c r="GP37" s="93"/>
      <c r="GQ37" s="93"/>
      <c r="GR37" s="93"/>
      <c r="GS37" s="93"/>
      <c r="GT37" s="93"/>
    </row>
    <row r="38" spans="1:204" ht="16.5" customHeight="1">
      <c r="A38" s="96"/>
      <c r="B38" s="92"/>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c r="CK38" s="93"/>
      <c r="CL38" s="93"/>
      <c r="CM38" s="93"/>
      <c r="CN38" s="93"/>
      <c r="CO38" s="93"/>
      <c r="CP38" s="93"/>
      <c r="CQ38" s="93"/>
      <c r="CR38" s="93"/>
      <c r="CS38" s="93"/>
      <c r="CT38" s="93"/>
      <c r="CU38" s="93"/>
      <c r="CV38" s="93"/>
      <c r="CW38" s="93"/>
      <c r="CX38" s="93"/>
      <c r="CY38" s="93"/>
      <c r="CZ38" s="93"/>
      <c r="DA38" s="93"/>
      <c r="DB38" s="93"/>
      <c r="DC38" s="93"/>
      <c r="DD38" s="93"/>
      <c r="DE38" s="93"/>
      <c r="DF38" s="93"/>
      <c r="DG38" s="93"/>
      <c r="DH38" s="93"/>
      <c r="DI38" s="93"/>
      <c r="DJ38" s="93"/>
      <c r="DK38" s="93"/>
      <c r="DL38" s="93"/>
      <c r="DM38" s="93"/>
      <c r="DN38" s="93"/>
      <c r="DO38" s="93"/>
      <c r="DP38" s="93"/>
      <c r="DQ38" s="93"/>
      <c r="DR38" s="93"/>
      <c r="DS38" s="93"/>
      <c r="DT38" s="93"/>
      <c r="DU38" s="93"/>
      <c r="DV38" s="93"/>
      <c r="DW38" s="93"/>
      <c r="DX38" s="93"/>
      <c r="DY38" s="93"/>
      <c r="DZ38" s="93"/>
      <c r="EA38" s="93"/>
      <c r="EB38" s="93"/>
      <c r="EC38" s="93"/>
      <c r="ED38" s="93"/>
      <c r="EE38" s="93"/>
      <c r="EF38" s="93"/>
      <c r="EG38" s="93"/>
      <c r="EH38" s="93"/>
      <c r="EI38" s="93"/>
      <c r="EJ38" s="93"/>
      <c r="EK38" s="93"/>
      <c r="EL38" s="93"/>
      <c r="EM38" s="93"/>
      <c r="EN38" s="93"/>
      <c r="EO38" s="93"/>
      <c r="EP38" s="93"/>
      <c r="EQ38" s="93"/>
      <c r="ER38" s="93"/>
      <c r="ES38" s="93"/>
      <c r="ET38" s="93"/>
      <c r="EU38" s="93"/>
      <c r="EV38" s="93"/>
      <c r="EW38" s="93"/>
      <c r="EX38" s="93"/>
      <c r="EY38" s="93"/>
      <c r="EZ38" s="93"/>
      <c r="FA38" s="93"/>
      <c r="FB38" s="93"/>
      <c r="FC38" s="93"/>
      <c r="FD38" s="93"/>
      <c r="FE38" s="93"/>
      <c r="FF38" s="93"/>
      <c r="FG38" s="93"/>
      <c r="FH38" s="93"/>
      <c r="FI38" s="93"/>
      <c r="FJ38" s="93"/>
      <c r="FK38" s="93"/>
      <c r="FL38" s="93"/>
      <c r="FM38" s="93"/>
      <c r="FN38" s="93"/>
      <c r="FO38" s="93"/>
      <c r="FP38" s="93"/>
      <c r="FQ38" s="93"/>
      <c r="FR38" s="93"/>
      <c r="FS38" s="93"/>
      <c r="FT38" s="93"/>
      <c r="FU38" s="93"/>
      <c r="FV38" s="93"/>
      <c r="FW38" s="93"/>
      <c r="FX38" s="93"/>
      <c r="FY38" s="93"/>
      <c r="FZ38" s="93"/>
      <c r="GA38" s="93"/>
      <c r="GB38" s="93"/>
      <c r="GC38" s="93"/>
      <c r="GD38" s="93"/>
      <c r="GE38" s="93"/>
      <c r="GF38" s="93"/>
      <c r="GG38" s="93"/>
      <c r="GH38" s="93"/>
      <c r="GI38" s="93"/>
      <c r="GJ38" s="93"/>
      <c r="GK38" s="93"/>
      <c r="GL38" s="93"/>
      <c r="GM38" s="93"/>
      <c r="GN38" s="93"/>
      <c r="GO38" s="93"/>
      <c r="GP38" s="93"/>
      <c r="GQ38" s="93"/>
      <c r="GR38" s="93"/>
      <c r="GS38" s="93"/>
      <c r="GT38" s="93"/>
    </row>
    <row r="39" spans="1:204" ht="16.5" customHeight="1">
      <c r="A39" s="96"/>
      <c r="B39" s="92"/>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c r="CL39" s="93"/>
      <c r="CM39" s="93"/>
      <c r="CN39" s="93"/>
      <c r="CO39" s="93"/>
      <c r="CP39" s="93"/>
      <c r="CQ39" s="93"/>
      <c r="CR39" s="93"/>
      <c r="CS39" s="93"/>
      <c r="CT39" s="93"/>
      <c r="CU39" s="93"/>
      <c r="CV39" s="93"/>
      <c r="CW39" s="93"/>
      <c r="CX39" s="93"/>
      <c r="CY39" s="93"/>
      <c r="CZ39" s="93"/>
      <c r="DA39" s="93"/>
      <c r="DB39" s="93"/>
      <c r="DC39" s="93"/>
      <c r="DD39" s="93"/>
      <c r="DE39" s="93"/>
      <c r="DF39" s="93"/>
      <c r="DG39" s="93"/>
      <c r="DH39" s="93"/>
      <c r="DI39" s="93"/>
      <c r="DJ39" s="93"/>
      <c r="DK39" s="93"/>
      <c r="DL39" s="93"/>
      <c r="DM39" s="93"/>
      <c r="DN39" s="93"/>
      <c r="DO39" s="93"/>
      <c r="DP39" s="93"/>
      <c r="DQ39" s="93"/>
      <c r="DR39" s="93"/>
      <c r="DS39" s="93"/>
      <c r="DT39" s="93"/>
      <c r="DU39" s="93"/>
      <c r="DV39" s="93"/>
      <c r="DW39" s="93"/>
      <c r="DX39" s="93"/>
      <c r="DY39" s="93"/>
      <c r="DZ39" s="93"/>
      <c r="EA39" s="93"/>
      <c r="EB39" s="93"/>
      <c r="EC39" s="93"/>
      <c r="ED39" s="93"/>
      <c r="EE39" s="93"/>
      <c r="EF39" s="93"/>
      <c r="EG39" s="93"/>
      <c r="EH39" s="93"/>
      <c r="EI39" s="93"/>
      <c r="EJ39" s="93"/>
      <c r="EK39" s="93"/>
      <c r="EL39" s="93"/>
      <c r="EM39" s="93"/>
      <c r="EN39" s="93"/>
      <c r="EO39" s="93"/>
      <c r="EP39" s="93"/>
      <c r="EQ39" s="93"/>
      <c r="ER39" s="93"/>
      <c r="ES39" s="93"/>
      <c r="ET39" s="93"/>
      <c r="EU39" s="93"/>
      <c r="EV39" s="93"/>
      <c r="EW39" s="93"/>
      <c r="EX39" s="93"/>
      <c r="EY39" s="93"/>
      <c r="EZ39" s="93"/>
      <c r="FA39" s="93"/>
      <c r="FB39" s="93"/>
      <c r="FC39" s="93"/>
      <c r="FD39" s="93"/>
      <c r="FE39" s="93"/>
      <c r="FF39" s="93"/>
      <c r="FG39" s="93"/>
      <c r="FH39" s="93"/>
      <c r="FI39" s="93"/>
      <c r="FJ39" s="93"/>
      <c r="FK39" s="93"/>
      <c r="FL39" s="93"/>
      <c r="FM39" s="93"/>
      <c r="FN39" s="93"/>
      <c r="FO39" s="93"/>
      <c r="FP39" s="93"/>
      <c r="FQ39" s="93"/>
      <c r="FR39" s="93"/>
      <c r="FS39" s="93"/>
      <c r="FT39" s="93"/>
      <c r="FU39" s="93"/>
      <c r="FV39" s="93"/>
      <c r="FW39" s="93"/>
      <c r="FX39" s="93"/>
      <c r="FY39" s="93"/>
      <c r="FZ39" s="93"/>
      <c r="GA39" s="93"/>
      <c r="GB39" s="93"/>
      <c r="GC39" s="93"/>
      <c r="GD39" s="93"/>
      <c r="GE39" s="93"/>
      <c r="GF39" s="93"/>
      <c r="GG39" s="93"/>
      <c r="GH39" s="93"/>
      <c r="GI39" s="93"/>
      <c r="GJ39" s="93"/>
      <c r="GK39" s="93"/>
      <c r="GL39" s="93"/>
      <c r="GM39" s="93"/>
      <c r="GN39" s="93"/>
      <c r="GO39" s="93"/>
      <c r="GP39" s="93"/>
      <c r="GQ39" s="93"/>
      <c r="GR39" s="93"/>
      <c r="GS39" s="93"/>
      <c r="GT39" s="93"/>
    </row>
    <row r="40" spans="1:204" ht="16.5" customHeight="1">
      <c r="A40" s="96"/>
      <c r="B40" s="92"/>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c r="CV40" s="93"/>
      <c r="CW40" s="93"/>
      <c r="CX40" s="93"/>
      <c r="CY40" s="93"/>
      <c r="CZ40" s="93"/>
      <c r="DA40" s="93"/>
      <c r="DB40" s="93"/>
      <c r="DC40" s="93"/>
      <c r="DD40" s="93"/>
      <c r="DE40" s="93"/>
      <c r="DF40" s="93"/>
      <c r="DG40" s="93"/>
      <c r="DH40" s="93"/>
      <c r="DI40" s="93"/>
      <c r="DJ40" s="93"/>
      <c r="DK40" s="93"/>
      <c r="DL40" s="93"/>
      <c r="DM40" s="93"/>
      <c r="DN40" s="93"/>
      <c r="DO40" s="93"/>
      <c r="DP40" s="93"/>
      <c r="DQ40" s="93"/>
      <c r="DR40" s="93"/>
      <c r="DS40" s="93"/>
      <c r="DT40" s="93"/>
      <c r="DU40" s="93"/>
      <c r="DV40" s="93"/>
      <c r="DW40" s="93"/>
      <c r="DX40" s="93"/>
      <c r="DY40" s="93"/>
      <c r="DZ40" s="93"/>
      <c r="EA40" s="93"/>
      <c r="EB40" s="93"/>
      <c r="EC40" s="93"/>
      <c r="ED40" s="93"/>
      <c r="EE40" s="93"/>
      <c r="EF40" s="93"/>
      <c r="EG40" s="93"/>
      <c r="EH40" s="93"/>
      <c r="EI40" s="93"/>
      <c r="EJ40" s="93"/>
      <c r="EK40" s="93"/>
      <c r="EL40" s="93"/>
      <c r="EM40" s="93"/>
      <c r="EN40" s="93"/>
      <c r="EO40" s="93"/>
      <c r="EP40" s="93"/>
      <c r="EQ40" s="93"/>
      <c r="ER40" s="93"/>
      <c r="ES40" s="93"/>
      <c r="ET40" s="93"/>
      <c r="EU40" s="93"/>
      <c r="EV40" s="93"/>
      <c r="EW40" s="93"/>
      <c r="EX40" s="93"/>
      <c r="EY40" s="93"/>
      <c r="EZ40" s="93"/>
      <c r="FA40" s="93"/>
      <c r="FB40" s="93"/>
      <c r="FC40" s="93"/>
      <c r="FD40" s="93"/>
      <c r="FE40" s="93"/>
      <c r="FF40" s="93"/>
      <c r="FG40" s="93"/>
      <c r="FH40" s="93"/>
      <c r="FI40" s="93"/>
      <c r="FJ40" s="93"/>
      <c r="FK40" s="93"/>
      <c r="FL40" s="93"/>
      <c r="FM40" s="93"/>
      <c r="FN40" s="93"/>
      <c r="FO40" s="93"/>
      <c r="FP40" s="93"/>
      <c r="FQ40" s="93"/>
      <c r="FR40" s="93"/>
      <c r="FS40" s="93"/>
      <c r="FT40" s="93"/>
      <c r="FU40" s="93"/>
      <c r="FV40" s="93"/>
      <c r="FW40" s="93"/>
      <c r="FX40" s="93"/>
      <c r="FY40" s="93"/>
      <c r="FZ40" s="93"/>
      <c r="GA40" s="93"/>
      <c r="GB40" s="93"/>
      <c r="GC40" s="93"/>
      <c r="GD40" s="93"/>
      <c r="GE40" s="93"/>
      <c r="GF40" s="93"/>
      <c r="GG40" s="93"/>
      <c r="GH40" s="93"/>
      <c r="GI40" s="93"/>
      <c r="GJ40" s="93"/>
      <c r="GK40" s="93"/>
      <c r="GL40" s="93"/>
      <c r="GM40" s="93"/>
      <c r="GN40" s="93"/>
      <c r="GO40" s="93"/>
      <c r="GP40" s="93"/>
      <c r="GQ40" s="93"/>
      <c r="GR40" s="93"/>
      <c r="GS40" s="93"/>
      <c r="GT40" s="93"/>
    </row>
    <row r="41" spans="1:204" ht="16.5" customHeight="1">
      <c r="A41" s="96"/>
      <c r="B41" s="92"/>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c r="DA41" s="93"/>
      <c r="DB41" s="93"/>
      <c r="DC41" s="93"/>
      <c r="DD41" s="93"/>
      <c r="DE41" s="93"/>
      <c r="DF41" s="93"/>
      <c r="DG41" s="93"/>
      <c r="DH41" s="93"/>
      <c r="DI41" s="93"/>
      <c r="DJ41" s="93"/>
      <c r="DK41" s="93"/>
      <c r="DL41" s="93"/>
      <c r="DM41" s="93"/>
      <c r="DN41" s="93"/>
      <c r="DO41" s="93"/>
      <c r="DP41" s="93"/>
      <c r="DQ41" s="93"/>
      <c r="DR41" s="93"/>
      <c r="DS41" s="93"/>
      <c r="DT41" s="93"/>
      <c r="DU41" s="93"/>
      <c r="DV41" s="93"/>
      <c r="DW41" s="93"/>
      <c r="DX41" s="93"/>
      <c r="DY41" s="93"/>
      <c r="DZ41" s="93"/>
      <c r="EA41" s="93"/>
      <c r="EB41" s="93"/>
      <c r="EC41" s="93"/>
      <c r="ED41" s="93"/>
      <c r="EE41" s="93"/>
      <c r="EF41" s="93"/>
      <c r="EG41" s="93"/>
      <c r="EH41" s="93"/>
      <c r="EI41" s="93"/>
      <c r="EJ41" s="93"/>
      <c r="EK41" s="93"/>
      <c r="EL41" s="93"/>
      <c r="EM41" s="93"/>
      <c r="EN41" s="93"/>
      <c r="EO41" s="93"/>
      <c r="EP41" s="93"/>
      <c r="EQ41" s="93"/>
      <c r="ER41" s="93"/>
      <c r="ES41" s="93"/>
      <c r="ET41" s="93"/>
      <c r="EU41" s="93"/>
      <c r="EV41" s="93"/>
      <c r="EW41" s="93"/>
      <c r="EX41" s="93"/>
      <c r="EY41" s="93"/>
      <c r="EZ41" s="93"/>
      <c r="FA41" s="93"/>
      <c r="FB41" s="93"/>
      <c r="FC41" s="93"/>
      <c r="FD41" s="93"/>
      <c r="FE41" s="93"/>
      <c r="FF41" s="93"/>
      <c r="FG41" s="93"/>
      <c r="FH41" s="93"/>
      <c r="FI41" s="93"/>
      <c r="FJ41" s="93"/>
      <c r="FK41" s="93"/>
      <c r="FL41" s="93"/>
      <c r="FM41" s="93"/>
      <c r="FN41" s="93"/>
      <c r="FO41" s="93"/>
      <c r="FP41" s="93"/>
      <c r="FQ41" s="93"/>
      <c r="FR41" s="93"/>
      <c r="FS41" s="93"/>
      <c r="FT41" s="93"/>
      <c r="FU41" s="93"/>
      <c r="FV41" s="93"/>
      <c r="FW41" s="93"/>
      <c r="FX41" s="93"/>
      <c r="FY41" s="93"/>
      <c r="FZ41" s="93"/>
      <c r="GA41" s="93"/>
      <c r="GB41" s="93"/>
      <c r="GC41" s="93"/>
      <c r="GD41" s="93"/>
      <c r="GE41" s="93"/>
      <c r="GF41" s="93"/>
      <c r="GG41" s="93"/>
      <c r="GH41" s="93"/>
      <c r="GI41" s="93"/>
      <c r="GJ41" s="93"/>
      <c r="GK41" s="93"/>
      <c r="GL41" s="93"/>
      <c r="GM41" s="93"/>
      <c r="GN41" s="93"/>
      <c r="GO41" s="93"/>
      <c r="GP41" s="93"/>
      <c r="GQ41" s="93"/>
      <c r="GR41" s="93"/>
      <c r="GS41" s="93"/>
      <c r="GT41" s="93"/>
    </row>
    <row r="42" spans="1:204" ht="16.5" customHeight="1">
      <c r="A42" s="96"/>
      <c r="B42" s="92"/>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c r="CK42" s="93"/>
      <c r="CL42" s="93"/>
      <c r="CM42" s="93"/>
      <c r="CN42" s="93"/>
      <c r="CO42" s="93"/>
      <c r="CP42" s="93"/>
      <c r="CQ42" s="93"/>
      <c r="CR42" s="93"/>
      <c r="CS42" s="93"/>
      <c r="CT42" s="93"/>
      <c r="CU42" s="93"/>
      <c r="CV42" s="93"/>
      <c r="CW42" s="93"/>
      <c r="CX42" s="93"/>
      <c r="CY42" s="93"/>
      <c r="CZ42" s="93"/>
      <c r="DA42" s="93"/>
      <c r="DB42" s="93"/>
      <c r="DC42" s="93"/>
      <c r="DD42" s="93"/>
      <c r="DE42" s="93"/>
      <c r="DF42" s="93"/>
      <c r="DG42" s="93"/>
      <c r="DH42" s="93"/>
      <c r="DI42" s="93"/>
      <c r="DJ42" s="93"/>
      <c r="DK42" s="93"/>
      <c r="DL42" s="93"/>
      <c r="DM42" s="93"/>
      <c r="DN42" s="93"/>
      <c r="DO42" s="93"/>
      <c r="DP42" s="93"/>
      <c r="DQ42" s="93"/>
      <c r="DR42" s="93"/>
      <c r="DS42" s="93"/>
      <c r="DT42" s="93"/>
      <c r="DU42" s="93"/>
      <c r="DV42" s="93"/>
      <c r="DW42" s="93"/>
      <c r="DX42" s="93"/>
      <c r="DY42" s="93"/>
      <c r="DZ42" s="93"/>
      <c r="EA42" s="93"/>
      <c r="EB42" s="93"/>
      <c r="EC42" s="93"/>
      <c r="ED42" s="93"/>
      <c r="EE42" s="93"/>
      <c r="EF42" s="93"/>
      <c r="EG42" s="93"/>
      <c r="EH42" s="93"/>
      <c r="EI42" s="93"/>
      <c r="EJ42" s="93"/>
      <c r="EK42" s="93"/>
      <c r="EL42" s="93"/>
      <c r="EM42" s="93"/>
      <c r="EN42" s="93"/>
      <c r="EO42" s="93"/>
      <c r="EP42" s="93"/>
      <c r="EQ42" s="93"/>
      <c r="ER42" s="93"/>
      <c r="ES42" s="93"/>
      <c r="ET42" s="93"/>
      <c r="EU42" s="93"/>
      <c r="EV42" s="93"/>
      <c r="EW42" s="93"/>
      <c r="EX42" s="93"/>
      <c r="EY42" s="93"/>
      <c r="EZ42" s="93"/>
      <c r="FA42" s="93"/>
      <c r="FB42" s="93"/>
      <c r="FC42" s="93"/>
      <c r="FD42" s="93"/>
      <c r="FE42" s="93"/>
      <c r="FF42" s="93"/>
      <c r="FG42" s="93"/>
      <c r="FH42" s="93"/>
      <c r="FI42" s="93"/>
      <c r="FJ42" s="93"/>
      <c r="FK42" s="93"/>
      <c r="FL42" s="93"/>
      <c r="FM42" s="93"/>
      <c r="FN42" s="93"/>
      <c r="FO42" s="93"/>
      <c r="FP42" s="93"/>
      <c r="FQ42" s="93"/>
      <c r="FR42" s="93"/>
      <c r="FS42" s="93"/>
      <c r="FT42" s="93"/>
      <c r="FU42" s="93"/>
      <c r="FV42" s="93"/>
      <c r="FW42" s="93"/>
      <c r="FX42" s="93"/>
      <c r="FY42" s="93"/>
      <c r="FZ42" s="93"/>
      <c r="GA42" s="93"/>
      <c r="GB42" s="93"/>
      <c r="GC42" s="93"/>
      <c r="GD42" s="93"/>
      <c r="GE42" s="93"/>
      <c r="GF42" s="93"/>
      <c r="GG42" s="93"/>
      <c r="GH42" s="93"/>
      <c r="GI42" s="93"/>
      <c r="GJ42" s="93"/>
      <c r="GK42" s="93"/>
      <c r="GL42" s="93"/>
      <c r="GM42" s="93"/>
      <c r="GN42" s="93"/>
      <c r="GO42" s="93"/>
      <c r="GP42" s="93"/>
      <c r="GQ42" s="93"/>
      <c r="GR42" s="93"/>
      <c r="GS42" s="93"/>
      <c r="GT42" s="93"/>
    </row>
    <row r="43" spans="1:204" s="40" customFormat="1" ht="23" customHeight="1">
      <c r="A43" s="52" t="s">
        <v>132</v>
      </c>
      <c r="B43" s="54"/>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5"/>
      <c r="EC43" s="55"/>
      <c r="ED43" s="55"/>
      <c r="EE43" s="55"/>
      <c r="EF43" s="55"/>
      <c r="EG43" s="55"/>
      <c r="EH43" s="55"/>
      <c r="EI43" s="55"/>
      <c r="EJ43" s="55"/>
      <c r="EK43" s="55"/>
      <c r="EL43" s="55"/>
      <c r="EM43" s="55"/>
      <c r="EN43" s="55"/>
      <c r="EO43" s="55"/>
      <c r="EP43" s="55"/>
      <c r="EQ43" s="55"/>
      <c r="ER43" s="55"/>
      <c r="ES43" s="55"/>
      <c r="ET43" s="55"/>
      <c r="EU43" s="55"/>
      <c r="EV43" s="55"/>
      <c r="EW43" s="55"/>
      <c r="EX43" s="55"/>
      <c r="EY43" s="55"/>
      <c r="EZ43" s="55"/>
      <c r="FA43" s="55"/>
      <c r="FB43" s="55"/>
      <c r="FC43" s="55"/>
      <c r="FD43" s="55"/>
      <c r="FE43" s="55"/>
      <c r="FF43" s="55"/>
      <c r="FG43" s="55"/>
      <c r="FH43" s="55"/>
      <c r="FI43" s="55"/>
      <c r="FJ43" s="55"/>
      <c r="FK43" s="55"/>
      <c r="FL43" s="55"/>
      <c r="FM43" s="55"/>
      <c r="FN43" s="55"/>
      <c r="FO43" s="55"/>
      <c r="FP43" s="55"/>
      <c r="FQ43" s="55"/>
      <c r="FR43" s="55"/>
      <c r="FS43" s="55"/>
      <c r="FT43" s="55"/>
      <c r="FU43" s="55"/>
      <c r="FV43" s="55"/>
      <c r="FW43" s="55"/>
      <c r="FX43" s="55"/>
      <c r="FY43" s="55"/>
      <c r="FZ43" s="55"/>
      <c r="GA43" s="55"/>
      <c r="GB43" s="55"/>
      <c r="GC43" s="55"/>
      <c r="GD43" s="55"/>
      <c r="GE43" s="55"/>
      <c r="GF43" s="55"/>
      <c r="GG43" s="55"/>
      <c r="GH43" s="55"/>
      <c r="GI43" s="55"/>
      <c r="GJ43" s="55"/>
      <c r="GK43" s="55"/>
      <c r="GL43" s="55"/>
      <c r="GM43" s="55"/>
      <c r="GN43" s="55"/>
      <c r="GO43" s="55"/>
      <c r="GP43" s="55"/>
      <c r="GQ43" s="55"/>
      <c r="GR43" s="55"/>
      <c r="GS43" s="55"/>
      <c r="GT43" s="56"/>
      <c r="GU43" s="39"/>
      <c r="GV43" s="39"/>
    </row>
    <row r="44" spans="1:204" s="28" customFormat="1" ht="21">
      <c r="A44" s="226" t="s">
        <v>237</v>
      </c>
      <c r="B44" s="44"/>
      <c r="C44" s="45">
        <f>-SUM(C45:C52)</f>
        <v>0</v>
      </c>
      <c r="D44" s="45">
        <f t="shared" ref="D44:BO44" si="35">-SUM(D45:D52)</f>
        <v>0</v>
      </c>
      <c r="E44" s="45">
        <f t="shared" si="35"/>
        <v>0</v>
      </c>
      <c r="F44" s="45">
        <f t="shared" si="35"/>
        <v>0</v>
      </c>
      <c r="G44" s="45">
        <f t="shared" si="35"/>
        <v>0</v>
      </c>
      <c r="H44" s="45">
        <f t="shared" si="35"/>
        <v>0</v>
      </c>
      <c r="I44" s="45">
        <f t="shared" si="35"/>
        <v>0</v>
      </c>
      <c r="J44" s="45">
        <f t="shared" si="35"/>
        <v>0</v>
      </c>
      <c r="K44" s="45">
        <f t="shared" si="35"/>
        <v>0</v>
      </c>
      <c r="L44" s="45">
        <f t="shared" si="35"/>
        <v>0</v>
      </c>
      <c r="M44" s="45">
        <f t="shared" si="35"/>
        <v>0</v>
      </c>
      <c r="N44" s="45">
        <f t="shared" si="35"/>
        <v>0</v>
      </c>
      <c r="O44" s="45">
        <f t="shared" si="35"/>
        <v>0</v>
      </c>
      <c r="P44" s="45">
        <f t="shared" si="35"/>
        <v>0</v>
      </c>
      <c r="Q44" s="45">
        <f t="shared" si="35"/>
        <v>0</v>
      </c>
      <c r="R44" s="45">
        <f t="shared" si="35"/>
        <v>0</v>
      </c>
      <c r="S44" s="45">
        <f t="shared" si="35"/>
        <v>0</v>
      </c>
      <c r="T44" s="45">
        <f t="shared" si="35"/>
        <v>0</v>
      </c>
      <c r="U44" s="45">
        <f t="shared" si="35"/>
        <v>0</v>
      </c>
      <c r="V44" s="45">
        <f t="shared" si="35"/>
        <v>0</v>
      </c>
      <c r="W44" s="45">
        <f t="shared" si="35"/>
        <v>0</v>
      </c>
      <c r="X44" s="45">
        <f t="shared" si="35"/>
        <v>0</v>
      </c>
      <c r="Y44" s="45">
        <f t="shared" si="35"/>
        <v>0</v>
      </c>
      <c r="Z44" s="45">
        <f t="shared" si="35"/>
        <v>0</v>
      </c>
      <c r="AA44" s="45">
        <f t="shared" si="35"/>
        <v>0</v>
      </c>
      <c r="AB44" s="45">
        <f t="shared" si="35"/>
        <v>0</v>
      </c>
      <c r="AC44" s="45">
        <f t="shared" si="35"/>
        <v>0</v>
      </c>
      <c r="AD44" s="45">
        <f t="shared" si="35"/>
        <v>0</v>
      </c>
      <c r="AE44" s="45">
        <f t="shared" si="35"/>
        <v>0</v>
      </c>
      <c r="AF44" s="45">
        <f t="shared" si="35"/>
        <v>0</v>
      </c>
      <c r="AG44" s="45">
        <f t="shared" si="35"/>
        <v>0</v>
      </c>
      <c r="AH44" s="45">
        <f t="shared" si="35"/>
        <v>0</v>
      </c>
      <c r="AI44" s="45">
        <f t="shared" si="35"/>
        <v>0</v>
      </c>
      <c r="AJ44" s="45">
        <f t="shared" si="35"/>
        <v>0</v>
      </c>
      <c r="AK44" s="45">
        <f t="shared" si="35"/>
        <v>0</v>
      </c>
      <c r="AL44" s="45">
        <f t="shared" si="35"/>
        <v>0</v>
      </c>
      <c r="AM44" s="45">
        <f t="shared" si="35"/>
        <v>0</v>
      </c>
      <c r="AN44" s="45">
        <f t="shared" si="35"/>
        <v>0</v>
      </c>
      <c r="AO44" s="45">
        <f t="shared" si="35"/>
        <v>0</v>
      </c>
      <c r="AP44" s="45">
        <f t="shared" si="35"/>
        <v>0</v>
      </c>
      <c r="AQ44" s="45">
        <f t="shared" si="35"/>
        <v>0</v>
      </c>
      <c r="AR44" s="45">
        <f t="shared" si="35"/>
        <v>0</v>
      </c>
      <c r="AS44" s="45">
        <f t="shared" si="35"/>
        <v>0</v>
      </c>
      <c r="AT44" s="45">
        <f t="shared" si="35"/>
        <v>0</v>
      </c>
      <c r="AU44" s="45">
        <f t="shared" si="35"/>
        <v>0</v>
      </c>
      <c r="AV44" s="45">
        <f t="shared" si="35"/>
        <v>0</v>
      </c>
      <c r="AW44" s="45">
        <f t="shared" si="35"/>
        <v>0</v>
      </c>
      <c r="AX44" s="45">
        <f t="shared" si="35"/>
        <v>0</v>
      </c>
      <c r="AY44" s="45">
        <f t="shared" si="35"/>
        <v>0</v>
      </c>
      <c r="AZ44" s="45">
        <f t="shared" si="35"/>
        <v>0</v>
      </c>
      <c r="BA44" s="45">
        <f t="shared" si="35"/>
        <v>0</v>
      </c>
      <c r="BB44" s="45">
        <f t="shared" si="35"/>
        <v>0</v>
      </c>
      <c r="BC44" s="45">
        <f t="shared" si="35"/>
        <v>0</v>
      </c>
      <c r="BD44" s="45">
        <f t="shared" si="35"/>
        <v>0</v>
      </c>
      <c r="BE44" s="45">
        <f t="shared" si="35"/>
        <v>0</v>
      </c>
      <c r="BF44" s="45">
        <f t="shared" si="35"/>
        <v>0</v>
      </c>
      <c r="BG44" s="45">
        <f t="shared" si="35"/>
        <v>0</v>
      </c>
      <c r="BH44" s="45">
        <f t="shared" si="35"/>
        <v>0</v>
      </c>
      <c r="BI44" s="45">
        <f t="shared" si="35"/>
        <v>0</v>
      </c>
      <c r="BJ44" s="45">
        <f t="shared" si="35"/>
        <v>0</v>
      </c>
      <c r="BK44" s="45">
        <f t="shared" si="35"/>
        <v>0</v>
      </c>
      <c r="BL44" s="45">
        <f t="shared" si="35"/>
        <v>0</v>
      </c>
      <c r="BM44" s="45">
        <f t="shared" si="35"/>
        <v>0</v>
      </c>
      <c r="BN44" s="45">
        <f t="shared" si="35"/>
        <v>0</v>
      </c>
      <c r="BO44" s="45">
        <f t="shared" si="35"/>
        <v>0</v>
      </c>
      <c r="BP44" s="45">
        <f t="shared" ref="BP44:EA44" si="36">-SUM(BP45:BP52)</f>
        <v>0</v>
      </c>
      <c r="BQ44" s="45">
        <f t="shared" si="36"/>
        <v>0</v>
      </c>
      <c r="BR44" s="45">
        <f t="shared" si="36"/>
        <v>0</v>
      </c>
      <c r="BS44" s="45">
        <f t="shared" si="36"/>
        <v>0</v>
      </c>
      <c r="BT44" s="45">
        <f t="shared" si="36"/>
        <v>0</v>
      </c>
      <c r="BU44" s="45">
        <f t="shared" si="36"/>
        <v>0</v>
      </c>
      <c r="BV44" s="45">
        <f t="shared" si="36"/>
        <v>0</v>
      </c>
      <c r="BW44" s="45">
        <f t="shared" si="36"/>
        <v>0</v>
      </c>
      <c r="BX44" s="45">
        <f t="shared" si="36"/>
        <v>0</v>
      </c>
      <c r="BY44" s="45">
        <f t="shared" si="36"/>
        <v>0</v>
      </c>
      <c r="BZ44" s="45">
        <f t="shared" si="36"/>
        <v>0</v>
      </c>
      <c r="CA44" s="45">
        <f t="shared" si="36"/>
        <v>0</v>
      </c>
      <c r="CB44" s="45">
        <f t="shared" si="36"/>
        <v>0</v>
      </c>
      <c r="CC44" s="45">
        <f t="shared" si="36"/>
        <v>0</v>
      </c>
      <c r="CD44" s="45">
        <f t="shared" si="36"/>
        <v>0</v>
      </c>
      <c r="CE44" s="45">
        <f t="shared" si="36"/>
        <v>0</v>
      </c>
      <c r="CF44" s="45">
        <f t="shared" si="36"/>
        <v>0</v>
      </c>
      <c r="CG44" s="45">
        <f t="shared" si="36"/>
        <v>0</v>
      </c>
      <c r="CH44" s="45">
        <f t="shared" si="36"/>
        <v>0</v>
      </c>
      <c r="CI44" s="45">
        <f t="shared" si="36"/>
        <v>0</v>
      </c>
      <c r="CJ44" s="45">
        <f t="shared" si="36"/>
        <v>0</v>
      </c>
      <c r="CK44" s="45">
        <f t="shared" si="36"/>
        <v>0</v>
      </c>
      <c r="CL44" s="45">
        <f t="shared" si="36"/>
        <v>0</v>
      </c>
      <c r="CM44" s="45">
        <f t="shared" si="36"/>
        <v>0</v>
      </c>
      <c r="CN44" s="45">
        <f t="shared" si="36"/>
        <v>0</v>
      </c>
      <c r="CO44" s="45">
        <f t="shared" si="36"/>
        <v>0</v>
      </c>
      <c r="CP44" s="45">
        <f t="shared" si="36"/>
        <v>0</v>
      </c>
      <c r="CQ44" s="45">
        <f t="shared" si="36"/>
        <v>0</v>
      </c>
      <c r="CR44" s="45">
        <f t="shared" si="36"/>
        <v>0</v>
      </c>
      <c r="CS44" s="45">
        <f t="shared" si="36"/>
        <v>0</v>
      </c>
      <c r="CT44" s="45">
        <f t="shared" si="36"/>
        <v>0</v>
      </c>
      <c r="CU44" s="45">
        <f t="shared" si="36"/>
        <v>0</v>
      </c>
      <c r="CV44" s="45">
        <f t="shared" si="36"/>
        <v>0</v>
      </c>
      <c r="CW44" s="45">
        <f t="shared" si="36"/>
        <v>0</v>
      </c>
      <c r="CX44" s="45">
        <f t="shared" si="36"/>
        <v>0</v>
      </c>
      <c r="CY44" s="45">
        <f t="shared" si="36"/>
        <v>0</v>
      </c>
      <c r="CZ44" s="45">
        <f t="shared" si="36"/>
        <v>0</v>
      </c>
      <c r="DA44" s="45">
        <f t="shared" si="36"/>
        <v>0</v>
      </c>
      <c r="DB44" s="45">
        <f t="shared" si="36"/>
        <v>0</v>
      </c>
      <c r="DC44" s="45">
        <f t="shared" si="36"/>
        <v>0</v>
      </c>
      <c r="DD44" s="45">
        <f t="shared" si="36"/>
        <v>0</v>
      </c>
      <c r="DE44" s="45">
        <f t="shared" si="36"/>
        <v>0</v>
      </c>
      <c r="DF44" s="45">
        <f t="shared" si="36"/>
        <v>0</v>
      </c>
      <c r="DG44" s="45">
        <f t="shared" si="36"/>
        <v>0</v>
      </c>
      <c r="DH44" s="45">
        <f t="shared" si="36"/>
        <v>0</v>
      </c>
      <c r="DI44" s="45">
        <f t="shared" si="36"/>
        <v>0</v>
      </c>
      <c r="DJ44" s="45">
        <f t="shared" si="36"/>
        <v>0</v>
      </c>
      <c r="DK44" s="45">
        <f t="shared" si="36"/>
        <v>0</v>
      </c>
      <c r="DL44" s="45">
        <f t="shared" si="36"/>
        <v>0</v>
      </c>
      <c r="DM44" s="45">
        <f t="shared" si="36"/>
        <v>0</v>
      </c>
      <c r="DN44" s="45">
        <f t="shared" si="36"/>
        <v>0</v>
      </c>
      <c r="DO44" s="45">
        <f t="shared" si="36"/>
        <v>0</v>
      </c>
      <c r="DP44" s="45">
        <f t="shared" si="36"/>
        <v>0</v>
      </c>
      <c r="DQ44" s="45">
        <f t="shared" si="36"/>
        <v>0</v>
      </c>
      <c r="DR44" s="45">
        <f t="shared" si="36"/>
        <v>0</v>
      </c>
      <c r="DS44" s="45">
        <f t="shared" si="36"/>
        <v>0</v>
      </c>
      <c r="DT44" s="45">
        <f t="shared" si="36"/>
        <v>0</v>
      </c>
      <c r="DU44" s="45">
        <f t="shared" si="36"/>
        <v>0</v>
      </c>
      <c r="DV44" s="45">
        <f t="shared" si="36"/>
        <v>0</v>
      </c>
      <c r="DW44" s="45">
        <f t="shared" si="36"/>
        <v>0</v>
      </c>
      <c r="DX44" s="45">
        <f t="shared" si="36"/>
        <v>0</v>
      </c>
      <c r="DY44" s="45">
        <f t="shared" si="36"/>
        <v>0</v>
      </c>
      <c r="DZ44" s="45">
        <f t="shared" si="36"/>
        <v>0</v>
      </c>
      <c r="EA44" s="45">
        <f t="shared" si="36"/>
        <v>0</v>
      </c>
      <c r="EB44" s="45">
        <f t="shared" ref="EB44:GM44" si="37">-SUM(EB45:EB52)</f>
        <v>0</v>
      </c>
      <c r="EC44" s="45">
        <f t="shared" si="37"/>
        <v>0</v>
      </c>
      <c r="ED44" s="45">
        <f t="shared" si="37"/>
        <v>0</v>
      </c>
      <c r="EE44" s="45">
        <f t="shared" si="37"/>
        <v>0</v>
      </c>
      <c r="EF44" s="45">
        <f t="shared" si="37"/>
        <v>0</v>
      </c>
      <c r="EG44" s="45">
        <f t="shared" si="37"/>
        <v>0</v>
      </c>
      <c r="EH44" s="45">
        <f t="shared" si="37"/>
        <v>0</v>
      </c>
      <c r="EI44" s="45">
        <f t="shared" si="37"/>
        <v>0</v>
      </c>
      <c r="EJ44" s="45">
        <f t="shared" si="37"/>
        <v>0</v>
      </c>
      <c r="EK44" s="45">
        <f t="shared" si="37"/>
        <v>0</v>
      </c>
      <c r="EL44" s="45">
        <f t="shared" si="37"/>
        <v>0</v>
      </c>
      <c r="EM44" s="45">
        <f t="shared" si="37"/>
        <v>0</v>
      </c>
      <c r="EN44" s="45">
        <f t="shared" si="37"/>
        <v>0</v>
      </c>
      <c r="EO44" s="45">
        <f t="shared" si="37"/>
        <v>0</v>
      </c>
      <c r="EP44" s="45">
        <f t="shared" si="37"/>
        <v>0</v>
      </c>
      <c r="EQ44" s="45">
        <f t="shared" si="37"/>
        <v>0</v>
      </c>
      <c r="ER44" s="45">
        <f t="shared" si="37"/>
        <v>0</v>
      </c>
      <c r="ES44" s="45">
        <f t="shared" si="37"/>
        <v>0</v>
      </c>
      <c r="ET44" s="45">
        <f t="shared" si="37"/>
        <v>0</v>
      </c>
      <c r="EU44" s="45">
        <f t="shared" si="37"/>
        <v>0</v>
      </c>
      <c r="EV44" s="45">
        <f t="shared" si="37"/>
        <v>0</v>
      </c>
      <c r="EW44" s="45">
        <f t="shared" si="37"/>
        <v>0</v>
      </c>
      <c r="EX44" s="45">
        <f t="shared" si="37"/>
        <v>0</v>
      </c>
      <c r="EY44" s="45">
        <f t="shared" si="37"/>
        <v>0</v>
      </c>
      <c r="EZ44" s="45">
        <f t="shared" si="37"/>
        <v>0</v>
      </c>
      <c r="FA44" s="45">
        <f t="shared" si="37"/>
        <v>0</v>
      </c>
      <c r="FB44" s="45">
        <f t="shared" si="37"/>
        <v>0</v>
      </c>
      <c r="FC44" s="45">
        <f t="shared" si="37"/>
        <v>0</v>
      </c>
      <c r="FD44" s="45">
        <f t="shared" si="37"/>
        <v>0</v>
      </c>
      <c r="FE44" s="45">
        <f t="shared" si="37"/>
        <v>0</v>
      </c>
      <c r="FF44" s="45">
        <f t="shared" si="37"/>
        <v>0</v>
      </c>
      <c r="FG44" s="45">
        <f t="shared" si="37"/>
        <v>0</v>
      </c>
      <c r="FH44" s="45">
        <f t="shared" si="37"/>
        <v>0</v>
      </c>
      <c r="FI44" s="45">
        <f t="shared" si="37"/>
        <v>0</v>
      </c>
      <c r="FJ44" s="45">
        <f t="shared" si="37"/>
        <v>0</v>
      </c>
      <c r="FK44" s="45">
        <f t="shared" si="37"/>
        <v>0</v>
      </c>
      <c r="FL44" s="45">
        <f t="shared" si="37"/>
        <v>0</v>
      </c>
      <c r="FM44" s="45">
        <f t="shared" si="37"/>
        <v>0</v>
      </c>
      <c r="FN44" s="45">
        <f t="shared" si="37"/>
        <v>0</v>
      </c>
      <c r="FO44" s="45">
        <f t="shared" si="37"/>
        <v>0</v>
      </c>
      <c r="FP44" s="45">
        <f t="shared" si="37"/>
        <v>0</v>
      </c>
      <c r="FQ44" s="45">
        <f t="shared" si="37"/>
        <v>0</v>
      </c>
      <c r="FR44" s="45">
        <f t="shared" si="37"/>
        <v>0</v>
      </c>
      <c r="FS44" s="45">
        <f t="shared" si="37"/>
        <v>0</v>
      </c>
      <c r="FT44" s="45">
        <f t="shared" si="37"/>
        <v>0</v>
      </c>
      <c r="FU44" s="45">
        <f t="shared" si="37"/>
        <v>0</v>
      </c>
      <c r="FV44" s="45">
        <f t="shared" si="37"/>
        <v>0</v>
      </c>
      <c r="FW44" s="45">
        <f t="shared" si="37"/>
        <v>0</v>
      </c>
      <c r="FX44" s="45">
        <f t="shared" si="37"/>
        <v>0</v>
      </c>
      <c r="FY44" s="45">
        <f t="shared" si="37"/>
        <v>0</v>
      </c>
      <c r="FZ44" s="45">
        <f t="shared" si="37"/>
        <v>0</v>
      </c>
      <c r="GA44" s="45">
        <f t="shared" si="37"/>
        <v>0</v>
      </c>
      <c r="GB44" s="45">
        <f t="shared" si="37"/>
        <v>0</v>
      </c>
      <c r="GC44" s="45">
        <f t="shared" si="37"/>
        <v>0</v>
      </c>
      <c r="GD44" s="45">
        <f t="shared" si="37"/>
        <v>0</v>
      </c>
      <c r="GE44" s="45">
        <f t="shared" si="37"/>
        <v>0</v>
      </c>
      <c r="GF44" s="45">
        <f t="shared" si="37"/>
        <v>0</v>
      </c>
      <c r="GG44" s="45">
        <f t="shared" si="37"/>
        <v>0</v>
      </c>
      <c r="GH44" s="45">
        <f t="shared" si="37"/>
        <v>0</v>
      </c>
      <c r="GI44" s="45">
        <f t="shared" si="37"/>
        <v>0</v>
      </c>
      <c r="GJ44" s="45">
        <f t="shared" si="37"/>
        <v>0</v>
      </c>
      <c r="GK44" s="45">
        <f t="shared" si="37"/>
        <v>0</v>
      </c>
      <c r="GL44" s="45">
        <f t="shared" si="37"/>
        <v>0</v>
      </c>
      <c r="GM44" s="45">
        <f t="shared" si="37"/>
        <v>0</v>
      </c>
      <c r="GN44" s="45">
        <f t="shared" ref="GN44:GT44" si="38">-SUM(GN45:GN52)</f>
        <v>0</v>
      </c>
      <c r="GO44" s="45">
        <f t="shared" si="38"/>
        <v>0</v>
      </c>
      <c r="GP44" s="45">
        <f t="shared" si="38"/>
        <v>0</v>
      </c>
      <c r="GQ44" s="45">
        <f t="shared" si="38"/>
        <v>0</v>
      </c>
      <c r="GR44" s="45">
        <f t="shared" si="38"/>
        <v>0</v>
      </c>
      <c r="GS44" s="45">
        <f t="shared" si="38"/>
        <v>0</v>
      </c>
      <c r="GT44" s="45">
        <f t="shared" si="38"/>
        <v>0</v>
      </c>
    </row>
    <row r="45" spans="1:204" ht="16.5" customHeight="1">
      <c r="A45" s="96" t="s">
        <v>107</v>
      </c>
      <c r="B45" s="92"/>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c r="CS45" s="93"/>
      <c r="CT45" s="93"/>
      <c r="CU45" s="93"/>
      <c r="CV45" s="93"/>
      <c r="CW45" s="93"/>
      <c r="CX45" s="93"/>
      <c r="CY45" s="93"/>
      <c r="CZ45" s="93"/>
      <c r="DA45" s="93"/>
      <c r="DB45" s="93"/>
      <c r="DC45" s="93"/>
      <c r="DD45" s="93"/>
      <c r="DE45" s="93"/>
      <c r="DF45" s="93"/>
      <c r="DG45" s="93"/>
      <c r="DH45" s="93"/>
      <c r="DI45" s="93"/>
      <c r="DJ45" s="93"/>
      <c r="DK45" s="93"/>
      <c r="DL45" s="93"/>
      <c r="DM45" s="93"/>
      <c r="DN45" s="93"/>
      <c r="DO45" s="93"/>
      <c r="DP45" s="93"/>
      <c r="DQ45" s="93"/>
      <c r="DR45" s="93"/>
      <c r="DS45" s="93"/>
      <c r="DT45" s="93"/>
      <c r="DU45" s="93"/>
      <c r="DV45" s="93"/>
      <c r="DW45" s="93"/>
      <c r="DX45" s="93"/>
      <c r="DY45" s="93"/>
      <c r="DZ45" s="93"/>
      <c r="EA45" s="93"/>
      <c r="EB45" s="93"/>
      <c r="EC45" s="93"/>
      <c r="ED45" s="93"/>
      <c r="EE45" s="93"/>
      <c r="EF45" s="93"/>
      <c r="EG45" s="93"/>
      <c r="EH45" s="93"/>
      <c r="EI45" s="93"/>
      <c r="EJ45" s="93"/>
      <c r="EK45" s="93"/>
      <c r="EL45" s="93"/>
      <c r="EM45" s="93"/>
      <c r="EN45" s="93"/>
      <c r="EO45" s="93"/>
      <c r="EP45" s="93"/>
      <c r="EQ45" s="93"/>
      <c r="ER45" s="93"/>
      <c r="ES45" s="93"/>
      <c r="ET45" s="93"/>
      <c r="EU45" s="93"/>
      <c r="EV45" s="93"/>
      <c r="EW45" s="93"/>
      <c r="EX45" s="93"/>
      <c r="EY45" s="93"/>
      <c r="EZ45" s="93"/>
      <c r="FA45" s="93"/>
      <c r="FB45" s="93"/>
      <c r="FC45" s="93"/>
      <c r="FD45" s="93"/>
      <c r="FE45" s="93"/>
      <c r="FF45" s="93"/>
      <c r="FG45" s="93"/>
      <c r="FH45" s="93"/>
      <c r="FI45" s="93"/>
      <c r="FJ45" s="93"/>
      <c r="FK45" s="93"/>
      <c r="FL45" s="93"/>
      <c r="FM45" s="93"/>
      <c r="FN45" s="93"/>
      <c r="FO45" s="93"/>
      <c r="FP45" s="93"/>
      <c r="FQ45" s="93"/>
      <c r="FR45" s="93"/>
      <c r="FS45" s="93"/>
      <c r="FT45" s="93"/>
      <c r="FU45" s="93"/>
      <c r="FV45" s="93"/>
      <c r="FW45" s="93"/>
      <c r="FX45" s="93"/>
      <c r="FY45" s="93"/>
      <c r="FZ45" s="93"/>
      <c r="GA45" s="93"/>
      <c r="GB45" s="93"/>
      <c r="GC45" s="93"/>
      <c r="GD45" s="93"/>
      <c r="GE45" s="93"/>
      <c r="GF45" s="93"/>
      <c r="GG45" s="93"/>
      <c r="GH45" s="93"/>
      <c r="GI45" s="93"/>
      <c r="GJ45" s="93"/>
      <c r="GK45" s="93"/>
      <c r="GL45" s="93"/>
      <c r="GM45" s="93"/>
      <c r="GN45" s="93"/>
      <c r="GO45" s="93"/>
      <c r="GP45" s="93"/>
      <c r="GQ45" s="93"/>
      <c r="GR45" s="93"/>
      <c r="GS45" s="93"/>
      <c r="GT45" s="93"/>
    </row>
    <row r="46" spans="1:204" ht="16.5" customHeight="1">
      <c r="A46" s="96" t="s">
        <v>101</v>
      </c>
      <c r="B46" s="92"/>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c r="CK46" s="93"/>
      <c r="CL46" s="93"/>
      <c r="CM46" s="93"/>
      <c r="CN46" s="93"/>
      <c r="CO46" s="93"/>
      <c r="CP46" s="93"/>
      <c r="CQ46" s="93"/>
      <c r="CR46" s="93"/>
      <c r="CS46" s="93"/>
      <c r="CT46" s="93"/>
      <c r="CU46" s="93"/>
      <c r="CV46" s="93"/>
      <c r="CW46" s="93"/>
      <c r="CX46" s="93"/>
      <c r="CY46" s="93"/>
      <c r="CZ46" s="93"/>
      <c r="DA46" s="93"/>
      <c r="DB46" s="93"/>
      <c r="DC46" s="93"/>
      <c r="DD46" s="93"/>
      <c r="DE46" s="93"/>
      <c r="DF46" s="93"/>
      <c r="DG46" s="93"/>
      <c r="DH46" s="93"/>
      <c r="DI46" s="93"/>
      <c r="DJ46" s="93"/>
      <c r="DK46" s="93"/>
      <c r="DL46" s="93"/>
      <c r="DM46" s="93"/>
      <c r="DN46" s="93"/>
      <c r="DO46" s="93"/>
      <c r="DP46" s="93"/>
      <c r="DQ46" s="93"/>
      <c r="DR46" s="93"/>
      <c r="DS46" s="93"/>
      <c r="DT46" s="93"/>
      <c r="DU46" s="93"/>
      <c r="DV46" s="93"/>
      <c r="DW46" s="93"/>
      <c r="DX46" s="93"/>
      <c r="DY46" s="93"/>
      <c r="DZ46" s="93"/>
      <c r="EA46" s="93"/>
      <c r="EB46" s="93"/>
      <c r="EC46" s="93"/>
      <c r="ED46" s="93"/>
      <c r="EE46" s="93"/>
      <c r="EF46" s="93"/>
      <c r="EG46" s="93"/>
      <c r="EH46" s="93"/>
      <c r="EI46" s="93"/>
      <c r="EJ46" s="93"/>
      <c r="EK46" s="93"/>
      <c r="EL46" s="93"/>
      <c r="EM46" s="93"/>
      <c r="EN46" s="93"/>
      <c r="EO46" s="93"/>
      <c r="EP46" s="93"/>
      <c r="EQ46" s="93"/>
      <c r="ER46" s="93"/>
      <c r="ES46" s="93"/>
      <c r="ET46" s="93"/>
      <c r="EU46" s="93"/>
      <c r="EV46" s="93"/>
      <c r="EW46" s="93"/>
      <c r="EX46" s="93"/>
      <c r="EY46" s="93"/>
      <c r="EZ46" s="93"/>
      <c r="FA46" s="93"/>
      <c r="FB46" s="93"/>
      <c r="FC46" s="93"/>
      <c r="FD46" s="93"/>
      <c r="FE46" s="93"/>
      <c r="FF46" s="93"/>
      <c r="FG46" s="93"/>
      <c r="FH46" s="93"/>
      <c r="FI46" s="93"/>
      <c r="FJ46" s="93"/>
      <c r="FK46" s="93"/>
      <c r="FL46" s="93"/>
      <c r="FM46" s="93"/>
      <c r="FN46" s="93"/>
      <c r="FO46" s="93"/>
      <c r="FP46" s="93"/>
      <c r="FQ46" s="93"/>
      <c r="FR46" s="93"/>
      <c r="FS46" s="93"/>
      <c r="FT46" s="93"/>
      <c r="FU46" s="93"/>
      <c r="FV46" s="93"/>
      <c r="FW46" s="93"/>
      <c r="FX46" s="93"/>
      <c r="FY46" s="93"/>
      <c r="FZ46" s="93"/>
      <c r="GA46" s="93"/>
      <c r="GB46" s="93"/>
      <c r="GC46" s="93"/>
      <c r="GD46" s="93"/>
      <c r="GE46" s="93"/>
      <c r="GF46" s="93"/>
      <c r="GG46" s="93"/>
      <c r="GH46" s="93"/>
      <c r="GI46" s="93"/>
      <c r="GJ46" s="93"/>
      <c r="GK46" s="93"/>
      <c r="GL46" s="93"/>
      <c r="GM46" s="93"/>
      <c r="GN46" s="93"/>
      <c r="GO46" s="93"/>
      <c r="GP46" s="93"/>
      <c r="GQ46" s="93"/>
      <c r="GR46" s="93"/>
      <c r="GS46" s="93"/>
      <c r="GT46" s="93"/>
    </row>
    <row r="47" spans="1:204" ht="16.5" customHeight="1">
      <c r="A47" s="96" t="s">
        <v>105</v>
      </c>
      <c r="B47" s="92"/>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c r="CM47" s="93"/>
      <c r="CN47" s="93"/>
      <c r="CO47" s="93"/>
      <c r="CP47" s="93"/>
      <c r="CQ47" s="93"/>
      <c r="CR47" s="93"/>
      <c r="CS47" s="93"/>
      <c r="CT47" s="93"/>
      <c r="CU47" s="93"/>
      <c r="CV47" s="93"/>
      <c r="CW47" s="93"/>
      <c r="CX47" s="93"/>
      <c r="CY47" s="93"/>
      <c r="CZ47" s="93"/>
      <c r="DA47" s="93"/>
      <c r="DB47" s="93"/>
      <c r="DC47" s="93"/>
      <c r="DD47" s="93"/>
      <c r="DE47" s="93"/>
      <c r="DF47" s="93"/>
      <c r="DG47" s="93"/>
      <c r="DH47" s="93"/>
      <c r="DI47" s="93"/>
      <c r="DJ47" s="93"/>
      <c r="DK47" s="93"/>
      <c r="DL47" s="93"/>
      <c r="DM47" s="93"/>
      <c r="DN47" s="93"/>
      <c r="DO47" s="93"/>
      <c r="DP47" s="93"/>
      <c r="DQ47" s="93"/>
      <c r="DR47" s="93"/>
      <c r="DS47" s="93"/>
      <c r="DT47" s="93"/>
      <c r="DU47" s="93"/>
      <c r="DV47" s="93"/>
      <c r="DW47" s="93"/>
      <c r="DX47" s="93"/>
      <c r="DY47" s="93"/>
      <c r="DZ47" s="93"/>
      <c r="EA47" s="93"/>
      <c r="EB47" s="93"/>
      <c r="EC47" s="93"/>
      <c r="ED47" s="93"/>
      <c r="EE47" s="93"/>
      <c r="EF47" s="93"/>
      <c r="EG47" s="93"/>
      <c r="EH47" s="93"/>
      <c r="EI47" s="93"/>
      <c r="EJ47" s="93"/>
      <c r="EK47" s="93"/>
      <c r="EL47" s="93"/>
      <c r="EM47" s="93"/>
      <c r="EN47" s="93"/>
      <c r="EO47" s="93"/>
      <c r="EP47" s="93"/>
      <c r="EQ47" s="93"/>
      <c r="ER47" s="93"/>
      <c r="ES47" s="93"/>
      <c r="ET47" s="93"/>
      <c r="EU47" s="93"/>
      <c r="EV47" s="93"/>
      <c r="EW47" s="93"/>
      <c r="EX47" s="93"/>
      <c r="EY47" s="93"/>
      <c r="EZ47" s="93"/>
      <c r="FA47" s="93"/>
      <c r="FB47" s="93"/>
      <c r="FC47" s="93"/>
      <c r="FD47" s="93"/>
      <c r="FE47" s="93"/>
      <c r="FF47" s="93"/>
      <c r="FG47" s="93"/>
      <c r="FH47" s="93"/>
      <c r="FI47" s="93"/>
      <c r="FJ47" s="93"/>
      <c r="FK47" s="93"/>
      <c r="FL47" s="93"/>
      <c r="FM47" s="93"/>
      <c r="FN47" s="93"/>
      <c r="FO47" s="93"/>
      <c r="FP47" s="93"/>
      <c r="FQ47" s="93"/>
      <c r="FR47" s="93"/>
      <c r="FS47" s="93"/>
      <c r="FT47" s="93"/>
      <c r="FU47" s="93"/>
      <c r="FV47" s="93"/>
      <c r="FW47" s="93"/>
      <c r="FX47" s="93"/>
      <c r="FY47" s="93"/>
      <c r="FZ47" s="93"/>
      <c r="GA47" s="93"/>
      <c r="GB47" s="93"/>
      <c r="GC47" s="93"/>
      <c r="GD47" s="93"/>
      <c r="GE47" s="93"/>
      <c r="GF47" s="93"/>
      <c r="GG47" s="93"/>
      <c r="GH47" s="93"/>
      <c r="GI47" s="93"/>
      <c r="GJ47" s="93"/>
      <c r="GK47" s="93"/>
      <c r="GL47" s="93"/>
      <c r="GM47" s="93"/>
      <c r="GN47" s="93"/>
      <c r="GO47" s="93"/>
      <c r="GP47" s="93"/>
      <c r="GQ47" s="93"/>
      <c r="GR47" s="93"/>
      <c r="GS47" s="93"/>
      <c r="GT47" s="93"/>
    </row>
    <row r="48" spans="1:204" ht="16.5" customHeight="1">
      <c r="A48" s="96" t="s">
        <v>108</v>
      </c>
      <c r="B48" s="92"/>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c r="CK48" s="93"/>
      <c r="CL48" s="93"/>
      <c r="CM48" s="93"/>
      <c r="CN48" s="93"/>
      <c r="CO48" s="93"/>
      <c r="CP48" s="93"/>
      <c r="CQ48" s="93"/>
      <c r="CR48" s="93"/>
      <c r="CS48" s="93"/>
      <c r="CT48" s="93"/>
      <c r="CU48" s="93"/>
      <c r="CV48" s="93"/>
      <c r="CW48" s="93"/>
      <c r="CX48" s="93"/>
      <c r="CY48" s="93"/>
      <c r="CZ48" s="93"/>
      <c r="DA48" s="93"/>
      <c r="DB48" s="93"/>
      <c r="DC48" s="93"/>
      <c r="DD48" s="93"/>
      <c r="DE48" s="93"/>
      <c r="DF48" s="93"/>
      <c r="DG48" s="93"/>
      <c r="DH48" s="93"/>
      <c r="DI48" s="93"/>
      <c r="DJ48" s="93"/>
      <c r="DK48" s="93"/>
      <c r="DL48" s="93"/>
      <c r="DM48" s="93"/>
      <c r="DN48" s="93"/>
      <c r="DO48" s="93"/>
      <c r="DP48" s="93"/>
      <c r="DQ48" s="93"/>
      <c r="DR48" s="93"/>
      <c r="DS48" s="93"/>
      <c r="DT48" s="93"/>
      <c r="DU48" s="93"/>
      <c r="DV48" s="93"/>
      <c r="DW48" s="93"/>
      <c r="DX48" s="93"/>
      <c r="DY48" s="93"/>
      <c r="DZ48" s="93"/>
      <c r="EA48" s="93"/>
      <c r="EB48" s="93"/>
      <c r="EC48" s="93"/>
      <c r="ED48" s="93"/>
      <c r="EE48" s="93"/>
      <c r="EF48" s="93"/>
      <c r="EG48" s="93"/>
      <c r="EH48" s="93"/>
      <c r="EI48" s="93"/>
      <c r="EJ48" s="93"/>
      <c r="EK48" s="93"/>
      <c r="EL48" s="93"/>
      <c r="EM48" s="93"/>
      <c r="EN48" s="93"/>
      <c r="EO48" s="93"/>
      <c r="EP48" s="93"/>
      <c r="EQ48" s="93"/>
      <c r="ER48" s="93"/>
      <c r="ES48" s="93"/>
      <c r="ET48" s="93"/>
      <c r="EU48" s="93"/>
      <c r="EV48" s="93"/>
      <c r="EW48" s="93"/>
      <c r="EX48" s="93"/>
      <c r="EY48" s="93"/>
      <c r="EZ48" s="93"/>
      <c r="FA48" s="93"/>
      <c r="FB48" s="93"/>
      <c r="FC48" s="93"/>
      <c r="FD48" s="93"/>
      <c r="FE48" s="93"/>
      <c r="FF48" s="93"/>
      <c r="FG48" s="93"/>
      <c r="FH48" s="93"/>
      <c r="FI48" s="93"/>
      <c r="FJ48" s="93"/>
      <c r="FK48" s="93"/>
      <c r="FL48" s="93"/>
      <c r="FM48" s="93"/>
      <c r="FN48" s="93"/>
      <c r="FO48" s="93"/>
      <c r="FP48" s="93"/>
      <c r="FQ48" s="93"/>
      <c r="FR48" s="93"/>
      <c r="FS48" s="93"/>
      <c r="FT48" s="93"/>
      <c r="FU48" s="93"/>
      <c r="FV48" s="93"/>
      <c r="FW48" s="93"/>
      <c r="FX48" s="93"/>
      <c r="FY48" s="93"/>
      <c r="FZ48" s="93"/>
      <c r="GA48" s="93"/>
      <c r="GB48" s="93"/>
      <c r="GC48" s="93"/>
      <c r="GD48" s="93"/>
      <c r="GE48" s="93"/>
      <c r="GF48" s="93"/>
      <c r="GG48" s="93"/>
      <c r="GH48" s="93"/>
      <c r="GI48" s="93"/>
      <c r="GJ48" s="93"/>
      <c r="GK48" s="93"/>
      <c r="GL48" s="93"/>
      <c r="GM48" s="93"/>
      <c r="GN48" s="93"/>
      <c r="GO48" s="93"/>
      <c r="GP48" s="93"/>
      <c r="GQ48" s="93"/>
      <c r="GR48" s="93"/>
      <c r="GS48" s="93"/>
      <c r="GT48" s="93"/>
    </row>
    <row r="49" spans="1:202" ht="16.5" customHeight="1">
      <c r="A49" s="96" t="s">
        <v>96</v>
      </c>
      <c r="B49" s="92"/>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c r="CK49" s="93"/>
      <c r="CL49" s="93"/>
      <c r="CM49" s="93"/>
      <c r="CN49" s="93"/>
      <c r="CO49" s="93"/>
      <c r="CP49" s="93"/>
      <c r="CQ49" s="93"/>
      <c r="CR49" s="93"/>
      <c r="CS49" s="93"/>
      <c r="CT49" s="93"/>
      <c r="CU49" s="93"/>
      <c r="CV49" s="93"/>
      <c r="CW49" s="93"/>
      <c r="CX49" s="93"/>
      <c r="CY49" s="93"/>
      <c r="CZ49" s="93"/>
      <c r="DA49" s="93"/>
      <c r="DB49" s="93"/>
      <c r="DC49" s="93"/>
      <c r="DD49" s="93"/>
      <c r="DE49" s="93"/>
      <c r="DF49" s="93"/>
      <c r="DG49" s="93"/>
      <c r="DH49" s="93"/>
      <c r="DI49" s="93"/>
      <c r="DJ49" s="93"/>
      <c r="DK49" s="93"/>
      <c r="DL49" s="93"/>
      <c r="DM49" s="93"/>
      <c r="DN49" s="93"/>
      <c r="DO49" s="93"/>
      <c r="DP49" s="93"/>
      <c r="DQ49" s="93"/>
      <c r="DR49" s="93"/>
      <c r="DS49" s="93"/>
      <c r="DT49" s="93"/>
      <c r="DU49" s="93"/>
      <c r="DV49" s="93"/>
      <c r="DW49" s="93"/>
      <c r="DX49" s="93"/>
      <c r="DY49" s="93"/>
      <c r="DZ49" s="93"/>
      <c r="EA49" s="93"/>
      <c r="EB49" s="93"/>
      <c r="EC49" s="93"/>
      <c r="ED49" s="93"/>
      <c r="EE49" s="93"/>
      <c r="EF49" s="93"/>
      <c r="EG49" s="93"/>
      <c r="EH49" s="93"/>
      <c r="EI49" s="93"/>
      <c r="EJ49" s="93"/>
      <c r="EK49" s="93"/>
      <c r="EL49" s="93"/>
      <c r="EM49" s="93"/>
      <c r="EN49" s="93"/>
      <c r="EO49" s="93"/>
      <c r="EP49" s="93"/>
      <c r="EQ49" s="93"/>
      <c r="ER49" s="93"/>
      <c r="ES49" s="93"/>
      <c r="ET49" s="93"/>
      <c r="EU49" s="93"/>
      <c r="EV49" s="93"/>
      <c r="EW49" s="93"/>
      <c r="EX49" s="93"/>
      <c r="EY49" s="93"/>
      <c r="EZ49" s="93"/>
      <c r="FA49" s="93"/>
      <c r="FB49" s="93"/>
      <c r="FC49" s="93"/>
      <c r="FD49" s="93"/>
      <c r="FE49" s="93"/>
      <c r="FF49" s="93"/>
      <c r="FG49" s="93"/>
      <c r="FH49" s="93"/>
      <c r="FI49" s="93"/>
      <c r="FJ49" s="93"/>
      <c r="FK49" s="93"/>
      <c r="FL49" s="93"/>
      <c r="FM49" s="93"/>
      <c r="FN49" s="93"/>
      <c r="FO49" s="93"/>
      <c r="FP49" s="93"/>
      <c r="FQ49" s="93"/>
      <c r="FR49" s="93"/>
      <c r="FS49" s="93"/>
      <c r="FT49" s="93"/>
      <c r="FU49" s="93"/>
      <c r="FV49" s="93"/>
      <c r="FW49" s="93"/>
      <c r="FX49" s="93"/>
      <c r="FY49" s="93"/>
      <c r="FZ49" s="93"/>
      <c r="GA49" s="93"/>
      <c r="GB49" s="93"/>
      <c r="GC49" s="93"/>
      <c r="GD49" s="93"/>
      <c r="GE49" s="93"/>
      <c r="GF49" s="93"/>
      <c r="GG49" s="93"/>
      <c r="GH49" s="93"/>
      <c r="GI49" s="93"/>
      <c r="GJ49" s="93"/>
      <c r="GK49" s="93"/>
      <c r="GL49" s="93"/>
      <c r="GM49" s="93"/>
      <c r="GN49" s="93"/>
      <c r="GO49" s="93"/>
      <c r="GP49" s="93"/>
      <c r="GQ49" s="93"/>
      <c r="GR49" s="93"/>
      <c r="GS49" s="93"/>
      <c r="GT49" s="93"/>
    </row>
    <row r="50" spans="1:202" ht="16.5" customHeight="1">
      <c r="A50" s="96" t="s">
        <v>107</v>
      </c>
      <c r="B50" s="92"/>
      <c r="C50" s="93"/>
      <c r="D50" s="93"/>
      <c r="E50" s="93"/>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c r="CV50" s="93"/>
      <c r="CW50" s="93"/>
      <c r="CX50" s="93"/>
      <c r="CY50" s="93"/>
      <c r="CZ50" s="93"/>
      <c r="DA50" s="93"/>
      <c r="DB50" s="93"/>
      <c r="DC50" s="93"/>
      <c r="DD50" s="93"/>
      <c r="DE50" s="93"/>
      <c r="DF50" s="93"/>
      <c r="DG50" s="93"/>
      <c r="DH50" s="93"/>
      <c r="DI50" s="93"/>
      <c r="DJ50" s="93"/>
      <c r="DK50" s="93"/>
      <c r="DL50" s="93"/>
      <c r="DM50" s="93"/>
      <c r="DN50" s="93"/>
      <c r="DO50" s="93"/>
      <c r="DP50" s="93"/>
      <c r="DQ50" s="93"/>
      <c r="DR50" s="93"/>
      <c r="DS50" s="93"/>
      <c r="DT50" s="93"/>
      <c r="DU50" s="93"/>
      <c r="DV50" s="93"/>
      <c r="DW50" s="93"/>
      <c r="DX50" s="93"/>
      <c r="DY50" s="93"/>
      <c r="DZ50" s="93"/>
      <c r="EA50" s="93"/>
      <c r="EB50" s="93"/>
      <c r="EC50" s="93"/>
      <c r="ED50" s="93"/>
      <c r="EE50" s="93"/>
      <c r="EF50" s="93"/>
      <c r="EG50" s="93"/>
      <c r="EH50" s="93"/>
      <c r="EI50" s="93"/>
      <c r="EJ50" s="93"/>
      <c r="EK50" s="93"/>
      <c r="EL50" s="93"/>
      <c r="EM50" s="93"/>
      <c r="EN50" s="93"/>
      <c r="EO50" s="93"/>
      <c r="EP50" s="93"/>
      <c r="EQ50" s="93"/>
      <c r="ER50" s="93"/>
      <c r="ES50" s="93"/>
      <c r="ET50" s="93"/>
      <c r="EU50" s="93"/>
      <c r="EV50" s="93"/>
      <c r="EW50" s="93"/>
      <c r="EX50" s="93"/>
      <c r="EY50" s="93"/>
      <c r="EZ50" s="93"/>
      <c r="FA50" s="93"/>
      <c r="FB50" s="93"/>
      <c r="FC50" s="93"/>
      <c r="FD50" s="93"/>
      <c r="FE50" s="93"/>
      <c r="FF50" s="93"/>
      <c r="FG50" s="93"/>
      <c r="FH50" s="93"/>
      <c r="FI50" s="93"/>
      <c r="FJ50" s="93"/>
      <c r="FK50" s="93"/>
      <c r="FL50" s="93"/>
      <c r="FM50" s="93"/>
      <c r="FN50" s="93"/>
      <c r="FO50" s="93"/>
      <c r="FP50" s="93"/>
      <c r="FQ50" s="93"/>
      <c r="FR50" s="93"/>
      <c r="FS50" s="93"/>
      <c r="FT50" s="93"/>
      <c r="FU50" s="93"/>
      <c r="FV50" s="93"/>
      <c r="FW50" s="93"/>
      <c r="FX50" s="93"/>
      <c r="FY50" s="93"/>
      <c r="FZ50" s="93"/>
      <c r="GA50" s="93"/>
      <c r="GB50" s="93"/>
      <c r="GC50" s="93"/>
      <c r="GD50" s="93"/>
      <c r="GE50" s="93"/>
      <c r="GF50" s="93"/>
      <c r="GG50" s="93"/>
      <c r="GH50" s="93"/>
      <c r="GI50" s="93"/>
      <c r="GJ50" s="93"/>
      <c r="GK50" s="93"/>
      <c r="GL50" s="93"/>
      <c r="GM50" s="93"/>
      <c r="GN50" s="93"/>
      <c r="GO50" s="93"/>
      <c r="GP50" s="93"/>
      <c r="GQ50" s="93"/>
      <c r="GR50" s="93"/>
      <c r="GS50" s="93"/>
      <c r="GT50" s="93"/>
    </row>
    <row r="51" spans="1:202" ht="16.5" customHeight="1">
      <c r="A51" s="96" t="s">
        <v>96</v>
      </c>
      <c r="B51" s="92"/>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c r="CV51" s="93"/>
      <c r="CW51" s="93"/>
      <c r="CX51" s="93"/>
      <c r="CY51" s="93"/>
      <c r="CZ51" s="93"/>
      <c r="DA51" s="93"/>
      <c r="DB51" s="93"/>
      <c r="DC51" s="93"/>
      <c r="DD51" s="93"/>
      <c r="DE51" s="93"/>
      <c r="DF51" s="93"/>
      <c r="DG51" s="93"/>
      <c r="DH51" s="93"/>
      <c r="DI51" s="93"/>
      <c r="DJ51" s="93"/>
      <c r="DK51" s="93"/>
      <c r="DL51" s="93"/>
      <c r="DM51" s="93"/>
      <c r="DN51" s="93"/>
      <c r="DO51" s="93"/>
      <c r="DP51" s="93"/>
      <c r="DQ51" s="93"/>
      <c r="DR51" s="93"/>
      <c r="DS51" s="93"/>
      <c r="DT51" s="93"/>
      <c r="DU51" s="93"/>
      <c r="DV51" s="93"/>
      <c r="DW51" s="93"/>
      <c r="DX51" s="93"/>
      <c r="DY51" s="93"/>
      <c r="DZ51" s="93"/>
      <c r="EA51" s="93"/>
      <c r="EB51" s="93"/>
      <c r="EC51" s="93"/>
      <c r="ED51" s="93"/>
      <c r="EE51" s="93"/>
      <c r="EF51" s="93"/>
      <c r="EG51" s="93"/>
      <c r="EH51" s="93"/>
      <c r="EI51" s="93"/>
      <c r="EJ51" s="93"/>
      <c r="EK51" s="93"/>
      <c r="EL51" s="93"/>
      <c r="EM51" s="93"/>
      <c r="EN51" s="93"/>
      <c r="EO51" s="93"/>
      <c r="EP51" s="93"/>
      <c r="EQ51" s="93"/>
      <c r="ER51" s="93"/>
      <c r="ES51" s="93"/>
      <c r="ET51" s="93"/>
      <c r="EU51" s="93"/>
      <c r="EV51" s="93"/>
      <c r="EW51" s="93"/>
      <c r="EX51" s="93"/>
      <c r="EY51" s="93"/>
      <c r="EZ51" s="93"/>
      <c r="FA51" s="93"/>
      <c r="FB51" s="93"/>
      <c r="FC51" s="93"/>
      <c r="FD51" s="93"/>
      <c r="FE51" s="93"/>
      <c r="FF51" s="93"/>
      <c r="FG51" s="93"/>
      <c r="FH51" s="93"/>
      <c r="FI51" s="93"/>
      <c r="FJ51" s="93"/>
      <c r="FK51" s="93"/>
      <c r="FL51" s="93"/>
      <c r="FM51" s="93"/>
      <c r="FN51" s="93"/>
      <c r="FO51" s="93"/>
      <c r="FP51" s="93"/>
      <c r="FQ51" s="93"/>
      <c r="FR51" s="93"/>
      <c r="FS51" s="93"/>
      <c r="FT51" s="93"/>
      <c r="FU51" s="93"/>
      <c r="FV51" s="93"/>
      <c r="FW51" s="93"/>
      <c r="FX51" s="93"/>
      <c r="FY51" s="93"/>
      <c r="FZ51" s="93"/>
      <c r="GA51" s="93"/>
      <c r="GB51" s="93"/>
      <c r="GC51" s="93"/>
      <c r="GD51" s="93"/>
      <c r="GE51" s="93"/>
      <c r="GF51" s="93"/>
      <c r="GG51" s="93"/>
      <c r="GH51" s="93"/>
      <c r="GI51" s="93"/>
      <c r="GJ51" s="93"/>
      <c r="GK51" s="93"/>
      <c r="GL51" s="93"/>
      <c r="GM51" s="93"/>
      <c r="GN51" s="93"/>
      <c r="GO51" s="93"/>
      <c r="GP51" s="93"/>
      <c r="GQ51" s="93"/>
      <c r="GR51" s="93"/>
      <c r="GS51" s="93"/>
      <c r="GT51" s="93"/>
    </row>
    <row r="52" spans="1:202" ht="16.5" customHeight="1">
      <c r="A52" s="96" t="s">
        <v>107</v>
      </c>
      <c r="B52" s="92"/>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c r="CK52" s="93"/>
      <c r="CL52" s="93"/>
      <c r="CM52" s="93"/>
      <c r="CN52" s="93"/>
      <c r="CO52" s="93"/>
      <c r="CP52" s="93"/>
      <c r="CQ52" s="93"/>
      <c r="CR52" s="93"/>
      <c r="CS52" s="93"/>
      <c r="CT52" s="93"/>
      <c r="CU52" s="93"/>
      <c r="CV52" s="93"/>
      <c r="CW52" s="93"/>
      <c r="CX52" s="93"/>
      <c r="CY52" s="93"/>
      <c r="CZ52" s="93"/>
      <c r="DA52" s="93"/>
      <c r="DB52" s="93"/>
      <c r="DC52" s="93"/>
      <c r="DD52" s="93"/>
      <c r="DE52" s="93"/>
      <c r="DF52" s="93"/>
      <c r="DG52" s="93"/>
      <c r="DH52" s="93"/>
      <c r="DI52" s="93"/>
      <c r="DJ52" s="93"/>
      <c r="DK52" s="93"/>
      <c r="DL52" s="93"/>
      <c r="DM52" s="93"/>
      <c r="DN52" s="93"/>
      <c r="DO52" s="93"/>
      <c r="DP52" s="93"/>
      <c r="DQ52" s="93"/>
      <c r="DR52" s="93"/>
      <c r="DS52" s="93"/>
      <c r="DT52" s="93"/>
      <c r="DU52" s="93"/>
      <c r="DV52" s="93"/>
      <c r="DW52" s="93"/>
      <c r="DX52" s="93"/>
      <c r="DY52" s="93"/>
      <c r="DZ52" s="93"/>
      <c r="EA52" s="93"/>
      <c r="EB52" s="93"/>
      <c r="EC52" s="93"/>
      <c r="ED52" s="93"/>
      <c r="EE52" s="93"/>
      <c r="EF52" s="93"/>
      <c r="EG52" s="93"/>
      <c r="EH52" s="93"/>
      <c r="EI52" s="93"/>
      <c r="EJ52" s="93"/>
      <c r="EK52" s="93"/>
      <c r="EL52" s="93"/>
      <c r="EM52" s="93"/>
      <c r="EN52" s="93"/>
      <c r="EO52" s="93"/>
      <c r="EP52" s="93"/>
      <c r="EQ52" s="93"/>
      <c r="ER52" s="93"/>
      <c r="ES52" s="93"/>
      <c r="ET52" s="93"/>
      <c r="EU52" s="93"/>
      <c r="EV52" s="93"/>
      <c r="EW52" s="93"/>
      <c r="EX52" s="93"/>
      <c r="EY52" s="93"/>
      <c r="EZ52" s="93"/>
      <c r="FA52" s="93"/>
      <c r="FB52" s="93"/>
      <c r="FC52" s="93"/>
      <c r="FD52" s="93"/>
      <c r="FE52" s="93"/>
      <c r="FF52" s="93"/>
      <c r="FG52" s="93"/>
      <c r="FH52" s="93"/>
      <c r="FI52" s="93"/>
      <c r="FJ52" s="93"/>
      <c r="FK52" s="93"/>
      <c r="FL52" s="93"/>
      <c r="FM52" s="93"/>
      <c r="FN52" s="93"/>
      <c r="FO52" s="93"/>
      <c r="FP52" s="93"/>
      <c r="FQ52" s="93"/>
      <c r="FR52" s="93"/>
      <c r="FS52" s="93"/>
      <c r="FT52" s="93"/>
      <c r="FU52" s="93"/>
      <c r="FV52" s="93"/>
      <c r="FW52" s="93"/>
      <c r="FX52" s="93"/>
      <c r="FY52" s="93"/>
      <c r="FZ52" s="93"/>
      <c r="GA52" s="93"/>
      <c r="GB52" s="93"/>
      <c r="GC52" s="93"/>
      <c r="GD52" s="93"/>
      <c r="GE52" s="93"/>
      <c r="GF52" s="93"/>
      <c r="GG52" s="93"/>
      <c r="GH52" s="93"/>
      <c r="GI52" s="93"/>
      <c r="GJ52" s="93"/>
      <c r="GK52" s="93"/>
      <c r="GL52" s="93"/>
      <c r="GM52" s="93"/>
      <c r="GN52" s="93"/>
      <c r="GO52" s="93"/>
      <c r="GP52" s="93"/>
      <c r="GQ52" s="93"/>
      <c r="GR52" s="93"/>
      <c r="GS52" s="93"/>
      <c r="GT52" s="93"/>
    </row>
    <row r="53" spans="1:202" s="28" customFormat="1" ht="21">
      <c r="A53" s="226" t="s">
        <v>238</v>
      </c>
      <c r="B53" s="44"/>
      <c r="C53" s="45">
        <f>-SUM(C54:C61)</f>
        <v>0</v>
      </c>
      <c r="D53" s="45">
        <f t="shared" ref="D53:BO53" si="39">-SUM(D54:D61)</f>
        <v>0</v>
      </c>
      <c r="E53" s="45">
        <f t="shared" si="39"/>
        <v>0</v>
      </c>
      <c r="F53" s="45">
        <f t="shared" si="39"/>
        <v>0</v>
      </c>
      <c r="G53" s="45">
        <f t="shared" si="39"/>
        <v>0</v>
      </c>
      <c r="H53" s="45">
        <f t="shared" si="39"/>
        <v>0</v>
      </c>
      <c r="I53" s="45">
        <f t="shared" si="39"/>
        <v>0</v>
      </c>
      <c r="J53" s="45">
        <f t="shared" si="39"/>
        <v>0</v>
      </c>
      <c r="K53" s="45">
        <f t="shared" si="39"/>
        <v>0</v>
      </c>
      <c r="L53" s="45">
        <f t="shared" si="39"/>
        <v>0</v>
      </c>
      <c r="M53" s="45">
        <f t="shared" si="39"/>
        <v>0</v>
      </c>
      <c r="N53" s="45">
        <f t="shared" si="39"/>
        <v>0</v>
      </c>
      <c r="O53" s="45">
        <f t="shared" si="39"/>
        <v>0</v>
      </c>
      <c r="P53" s="45">
        <f t="shared" si="39"/>
        <v>0</v>
      </c>
      <c r="Q53" s="45">
        <f t="shared" si="39"/>
        <v>0</v>
      </c>
      <c r="R53" s="45">
        <f t="shared" si="39"/>
        <v>0</v>
      </c>
      <c r="S53" s="45">
        <f t="shared" si="39"/>
        <v>0</v>
      </c>
      <c r="T53" s="45">
        <f t="shared" si="39"/>
        <v>0</v>
      </c>
      <c r="U53" s="45">
        <f t="shared" si="39"/>
        <v>0</v>
      </c>
      <c r="V53" s="45">
        <f t="shared" si="39"/>
        <v>0</v>
      </c>
      <c r="W53" s="45">
        <f t="shared" si="39"/>
        <v>0</v>
      </c>
      <c r="X53" s="45">
        <f t="shared" si="39"/>
        <v>0</v>
      </c>
      <c r="Y53" s="45">
        <f t="shared" si="39"/>
        <v>0</v>
      </c>
      <c r="Z53" s="45">
        <f t="shared" si="39"/>
        <v>0</v>
      </c>
      <c r="AA53" s="45">
        <f t="shared" si="39"/>
        <v>0</v>
      </c>
      <c r="AB53" s="45">
        <f t="shared" si="39"/>
        <v>0</v>
      </c>
      <c r="AC53" s="45">
        <f t="shared" si="39"/>
        <v>0</v>
      </c>
      <c r="AD53" s="45">
        <f t="shared" si="39"/>
        <v>0</v>
      </c>
      <c r="AE53" s="45">
        <f t="shared" si="39"/>
        <v>0</v>
      </c>
      <c r="AF53" s="45">
        <f t="shared" si="39"/>
        <v>0</v>
      </c>
      <c r="AG53" s="45">
        <f t="shared" si="39"/>
        <v>0</v>
      </c>
      <c r="AH53" s="45">
        <f t="shared" si="39"/>
        <v>0</v>
      </c>
      <c r="AI53" s="45">
        <f t="shared" si="39"/>
        <v>0</v>
      </c>
      <c r="AJ53" s="45">
        <f t="shared" si="39"/>
        <v>0</v>
      </c>
      <c r="AK53" s="45">
        <f t="shared" si="39"/>
        <v>0</v>
      </c>
      <c r="AL53" s="45">
        <f t="shared" si="39"/>
        <v>0</v>
      </c>
      <c r="AM53" s="45">
        <f t="shared" si="39"/>
        <v>0</v>
      </c>
      <c r="AN53" s="45">
        <f t="shared" si="39"/>
        <v>0</v>
      </c>
      <c r="AO53" s="45">
        <f t="shared" si="39"/>
        <v>0</v>
      </c>
      <c r="AP53" s="45">
        <f t="shared" si="39"/>
        <v>0</v>
      </c>
      <c r="AQ53" s="45">
        <f t="shared" si="39"/>
        <v>0</v>
      </c>
      <c r="AR53" s="45">
        <f t="shared" si="39"/>
        <v>0</v>
      </c>
      <c r="AS53" s="45">
        <f t="shared" si="39"/>
        <v>0</v>
      </c>
      <c r="AT53" s="45">
        <f t="shared" si="39"/>
        <v>0</v>
      </c>
      <c r="AU53" s="45">
        <f t="shared" si="39"/>
        <v>0</v>
      </c>
      <c r="AV53" s="45">
        <f t="shared" si="39"/>
        <v>0</v>
      </c>
      <c r="AW53" s="45">
        <f t="shared" si="39"/>
        <v>0</v>
      </c>
      <c r="AX53" s="45">
        <f t="shared" si="39"/>
        <v>0</v>
      </c>
      <c r="AY53" s="45">
        <f t="shared" si="39"/>
        <v>0</v>
      </c>
      <c r="AZ53" s="45">
        <f t="shared" si="39"/>
        <v>0</v>
      </c>
      <c r="BA53" s="45">
        <f t="shared" si="39"/>
        <v>0</v>
      </c>
      <c r="BB53" s="45">
        <f t="shared" si="39"/>
        <v>0</v>
      </c>
      <c r="BC53" s="45">
        <f t="shared" si="39"/>
        <v>0</v>
      </c>
      <c r="BD53" s="45">
        <f t="shared" si="39"/>
        <v>0</v>
      </c>
      <c r="BE53" s="45">
        <f t="shared" si="39"/>
        <v>0</v>
      </c>
      <c r="BF53" s="45">
        <f t="shared" si="39"/>
        <v>0</v>
      </c>
      <c r="BG53" s="45">
        <f t="shared" si="39"/>
        <v>0</v>
      </c>
      <c r="BH53" s="45">
        <f t="shared" si="39"/>
        <v>0</v>
      </c>
      <c r="BI53" s="45">
        <f t="shared" si="39"/>
        <v>0</v>
      </c>
      <c r="BJ53" s="45">
        <f t="shared" si="39"/>
        <v>0</v>
      </c>
      <c r="BK53" s="45">
        <f t="shared" si="39"/>
        <v>0</v>
      </c>
      <c r="BL53" s="45">
        <f t="shared" si="39"/>
        <v>0</v>
      </c>
      <c r="BM53" s="45">
        <f t="shared" si="39"/>
        <v>0</v>
      </c>
      <c r="BN53" s="45">
        <f t="shared" si="39"/>
        <v>0</v>
      </c>
      <c r="BO53" s="45">
        <f t="shared" si="39"/>
        <v>0</v>
      </c>
      <c r="BP53" s="45">
        <f t="shared" ref="BP53:EA53" si="40">-SUM(BP54:BP61)</f>
        <v>0</v>
      </c>
      <c r="BQ53" s="45">
        <f t="shared" si="40"/>
        <v>0</v>
      </c>
      <c r="BR53" s="45">
        <f t="shared" si="40"/>
        <v>0</v>
      </c>
      <c r="BS53" s="45">
        <f t="shared" si="40"/>
        <v>0</v>
      </c>
      <c r="BT53" s="45">
        <f t="shared" si="40"/>
        <v>0</v>
      </c>
      <c r="BU53" s="45">
        <f t="shared" si="40"/>
        <v>0</v>
      </c>
      <c r="BV53" s="45">
        <f t="shared" si="40"/>
        <v>0</v>
      </c>
      <c r="BW53" s="45">
        <f t="shared" si="40"/>
        <v>0</v>
      </c>
      <c r="BX53" s="45">
        <f t="shared" si="40"/>
        <v>0</v>
      </c>
      <c r="BY53" s="45">
        <f t="shared" si="40"/>
        <v>0</v>
      </c>
      <c r="BZ53" s="45">
        <f t="shared" si="40"/>
        <v>0</v>
      </c>
      <c r="CA53" s="45">
        <f t="shared" si="40"/>
        <v>0</v>
      </c>
      <c r="CB53" s="45">
        <f t="shared" si="40"/>
        <v>0</v>
      </c>
      <c r="CC53" s="45">
        <f t="shared" si="40"/>
        <v>0</v>
      </c>
      <c r="CD53" s="45">
        <f t="shared" si="40"/>
        <v>0</v>
      </c>
      <c r="CE53" s="45">
        <f t="shared" si="40"/>
        <v>0</v>
      </c>
      <c r="CF53" s="45">
        <f t="shared" si="40"/>
        <v>0</v>
      </c>
      <c r="CG53" s="45">
        <f t="shared" si="40"/>
        <v>0</v>
      </c>
      <c r="CH53" s="45">
        <f t="shared" si="40"/>
        <v>0</v>
      </c>
      <c r="CI53" s="45">
        <f t="shared" si="40"/>
        <v>0</v>
      </c>
      <c r="CJ53" s="45">
        <f t="shared" si="40"/>
        <v>0</v>
      </c>
      <c r="CK53" s="45">
        <f t="shared" si="40"/>
        <v>0</v>
      </c>
      <c r="CL53" s="45">
        <f t="shared" si="40"/>
        <v>0</v>
      </c>
      <c r="CM53" s="45">
        <f t="shared" si="40"/>
        <v>0</v>
      </c>
      <c r="CN53" s="45">
        <f t="shared" si="40"/>
        <v>0</v>
      </c>
      <c r="CO53" s="45">
        <f t="shared" si="40"/>
        <v>0</v>
      </c>
      <c r="CP53" s="45">
        <f t="shared" si="40"/>
        <v>0</v>
      </c>
      <c r="CQ53" s="45">
        <f t="shared" si="40"/>
        <v>0</v>
      </c>
      <c r="CR53" s="45">
        <f t="shared" si="40"/>
        <v>0</v>
      </c>
      <c r="CS53" s="45">
        <f t="shared" si="40"/>
        <v>0</v>
      </c>
      <c r="CT53" s="45">
        <f t="shared" si="40"/>
        <v>0</v>
      </c>
      <c r="CU53" s="45">
        <f t="shared" si="40"/>
        <v>0</v>
      </c>
      <c r="CV53" s="45">
        <f t="shared" si="40"/>
        <v>0</v>
      </c>
      <c r="CW53" s="45">
        <f t="shared" si="40"/>
        <v>0</v>
      </c>
      <c r="CX53" s="45">
        <f t="shared" si="40"/>
        <v>0</v>
      </c>
      <c r="CY53" s="45">
        <f t="shared" si="40"/>
        <v>0</v>
      </c>
      <c r="CZ53" s="45">
        <f t="shared" si="40"/>
        <v>0</v>
      </c>
      <c r="DA53" s="45">
        <f t="shared" si="40"/>
        <v>0</v>
      </c>
      <c r="DB53" s="45">
        <f t="shared" si="40"/>
        <v>0</v>
      </c>
      <c r="DC53" s="45">
        <f t="shared" si="40"/>
        <v>0</v>
      </c>
      <c r="DD53" s="45">
        <f t="shared" si="40"/>
        <v>0</v>
      </c>
      <c r="DE53" s="45">
        <f t="shared" si="40"/>
        <v>0</v>
      </c>
      <c r="DF53" s="45">
        <f t="shared" si="40"/>
        <v>0</v>
      </c>
      <c r="DG53" s="45">
        <f t="shared" si="40"/>
        <v>0</v>
      </c>
      <c r="DH53" s="45">
        <f t="shared" si="40"/>
        <v>0</v>
      </c>
      <c r="DI53" s="45">
        <f t="shared" si="40"/>
        <v>0</v>
      </c>
      <c r="DJ53" s="45">
        <f t="shared" si="40"/>
        <v>0</v>
      </c>
      <c r="DK53" s="45">
        <f t="shared" si="40"/>
        <v>0</v>
      </c>
      <c r="DL53" s="45">
        <f t="shared" si="40"/>
        <v>0</v>
      </c>
      <c r="DM53" s="45">
        <f t="shared" si="40"/>
        <v>0</v>
      </c>
      <c r="DN53" s="45">
        <f t="shared" si="40"/>
        <v>0</v>
      </c>
      <c r="DO53" s="45">
        <f t="shared" si="40"/>
        <v>0</v>
      </c>
      <c r="DP53" s="45">
        <f t="shared" si="40"/>
        <v>0</v>
      </c>
      <c r="DQ53" s="45">
        <f t="shared" si="40"/>
        <v>0</v>
      </c>
      <c r="DR53" s="45">
        <f t="shared" si="40"/>
        <v>0</v>
      </c>
      <c r="DS53" s="45">
        <f t="shared" si="40"/>
        <v>0</v>
      </c>
      <c r="DT53" s="45">
        <f t="shared" si="40"/>
        <v>0</v>
      </c>
      <c r="DU53" s="45">
        <f t="shared" si="40"/>
        <v>0</v>
      </c>
      <c r="DV53" s="45">
        <f t="shared" si="40"/>
        <v>0</v>
      </c>
      <c r="DW53" s="45">
        <f t="shared" si="40"/>
        <v>0</v>
      </c>
      <c r="DX53" s="45">
        <f t="shared" si="40"/>
        <v>0</v>
      </c>
      <c r="DY53" s="45">
        <f t="shared" si="40"/>
        <v>0</v>
      </c>
      <c r="DZ53" s="45">
        <f t="shared" si="40"/>
        <v>0</v>
      </c>
      <c r="EA53" s="45">
        <f t="shared" si="40"/>
        <v>0</v>
      </c>
      <c r="EB53" s="45">
        <f t="shared" ref="EB53:GM53" si="41">-SUM(EB54:EB61)</f>
        <v>0</v>
      </c>
      <c r="EC53" s="45">
        <f t="shared" si="41"/>
        <v>0</v>
      </c>
      <c r="ED53" s="45">
        <f t="shared" si="41"/>
        <v>0</v>
      </c>
      <c r="EE53" s="45">
        <f t="shared" si="41"/>
        <v>0</v>
      </c>
      <c r="EF53" s="45">
        <f t="shared" si="41"/>
        <v>0</v>
      </c>
      <c r="EG53" s="45">
        <f t="shared" si="41"/>
        <v>0</v>
      </c>
      <c r="EH53" s="45">
        <f t="shared" si="41"/>
        <v>0</v>
      </c>
      <c r="EI53" s="45">
        <f t="shared" si="41"/>
        <v>0</v>
      </c>
      <c r="EJ53" s="45">
        <f t="shared" si="41"/>
        <v>0</v>
      </c>
      <c r="EK53" s="45">
        <f t="shared" si="41"/>
        <v>0</v>
      </c>
      <c r="EL53" s="45">
        <f t="shared" si="41"/>
        <v>0</v>
      </c>
      <c r="EM53" s="45">
        <f t="shared" si="41"/>
        <v>0</v>
      </c>
      <c r="EN53" s="45">
        <f t="shared" si="41"/>
        <v>0</v>
      </c>
      <c r="EO53" s="45">
        <f t="shared" si="41"/>
        <v>0</v>
      </c>
      <c r="EP53" s="45">
        <f t="shared" si="41"/>
        <v>0</v>
      </c>
      <c r="EQ53" s="45">
        <f t="shared" si="41"/>
        <v>0</v>
      </c>
      <c r="ER53" s="45">
        <f t="shared" si="41"/>
        <v>0</v>
      </c>
      <c r="ES53" s="45">
        <f t="shared" si="41"/>
        <v>0</v>
      </c>
      <c r="ET53" s="45">
        <f t="shared" si="41"/>
        <v>0</v>
      </c>
      <c r="EU53" s="45">
        <f t="shared" si="41"/>
        <v>0</v>
      </c>
      <c r="EV53" s="45">
        <f t="shared" si="41"/>
        <v>0</v>
      </c>
      <c r="EW53" s="45">
        <f t="shared" si="41"/>
        <v>0</v>
      </c>
      <c r="EX53" s="45">
        <f t="shared" si="41"/>
        <v>0</v>
      </c>
      <c r="EY53" s="45">
        <f t="shared" si="41"/>
        <v>0</v>
      </c>
      <c r="EZ53" s="45">
        <f t="shared" si="41"/>
        <v>0</v>
      </c>
      <c r="FA53" s="45">
        <f t="shared" si="41"/>
        <v>0</v>
      </c>
      <c r="FB53" s="45">
        <f t="shared" si="41"/>
        <v>0</v>
      </c>
      <c r="FC53" s="45">
        <f t="shared" si="41"/>
        <v>0</v>
      </c>
      <c r="FD53" s="45">
        <f t="shared" si="41"/>
        <v>0</v>
      </c>
      <c r="FE53" s="45">
        <f t="shared" si="41"/>
        <v>0</v>
      </c>
      <c r="FF53" s="45">
        <f t="shared" si="41"/>
        <v>0</v>
      </c>
      <c r="FG53" s="45">
        <f t="shared" si="41"/>
        <v>0</v>
      </c>
      <c r="FH53" s="45">
        <f t="shared" si="41"/>
        <v>0</v>
      </c>
      <c r="FI53" s="45">
        <f t="shared" si="41"/>
        <v>0</v>
      </c>
      <c r="FJ53" s="45">
        <f t="shared" si="41"/>
        <v>0</v>
      </c>
      <c r="FK53" s="45">
        <f t="shared" si="41"/>
        <v>0</v>
      </c>
      <c r="FL53" s="45">
        <f t="shared" si="41"/>
        <v>0</v>
      </c>
      <c r="FM53" s="45">
        <f t="shared" si="41"/>
        <v>0</v>
      </c>
      <c r="FN53" s="45">
        <f t="shared" si="41"/>
        <v>0</v>
      </c>
      <c r="FO53" s="45">
        <f t="shared" si="41"/>
        <v>0</v>
      </c>
      <c r="FP53" s="45">
        <f t="shared" si="41"/>
        <v>0</v>
      </c>
      <c r="FQ53" s="45">
        <f t="shared" si="41"/>
        <v>0</v>
      </c>
      <c r="FR53" s="45">
        <f t="shared" si="41"/>
        <v>0</v>
      </c>
      <c r="FS53" s="45">
        <f t="shared" si="41"/>
        <v>0</v>
      </c>
      <c r="FT53" s="45">
        <f t="shared" si="41"/>
        <v>0</v>
      </c>
      <c r="FU53" s="45">
        <f t="shared" si="41"/>
        <v>0</v>
      </c>
      <c r="FV53" s="45">
        <f t="shared" si="41"/>
        <v>0</v>
      </c>
      <c r="FW53" s="45">
        <f t="shared" si="41"/>
        <v>0</v>
      </c>
      <c r="FX53" s="45">
        <f t="shared" si="41"/>
        <v>0</v>
      </c>
      <c r="FY53" s="45">
        <f t="shared" si="41"/>
        <v>0</v>
      </c>
      <c r="FZ53" s="45">
        <f t="shared" si="41"/>
        <v>0</v>
      </c>
      <c r="GA53" s="45">
        <f t="shared" si="41"/>
        <v>0</v>
      </c>
      <c r="GB53" s="45">
        <f t="shared" si="41"/>
        <v>0</v>
      </c>
      <c r="GC53" s="45">
        <f t="shared" si="41"/>
        <v>0</v>
      </c>
      <c r="GD53" s="45">
        <f t="shared" si="41"/>
        <v>0</v>
      </c>
      <c r="GE53" s="45">
        <f t="shared" si="41"/>
        <v>0</v>
      </c>
      <c r="GF53" s="45">
        <f t="shared" si="41"/>
        <v>0</v>
      </c>
      <c r="GG53" s="45">
        <f t="shared" si="41"/>
        <v>0</v>
      </c>
      <c r="GH53" s="45">
        <f t="shared" si="41"/>
        <v>0</v>
      </c>
      <c r="GI53" s="45">
        <f t="shared" si="41"/>
        <v>0</v>
      </c>
      <c r="GJ53" s="45">
        <f t="shared" si="41"/>
        <v>0</v>
      </c>
      <c r="GK53" s="45">
        <f t="shared" si="41"/>
        <v>0</v>
      </c>
      <c r="GL53" s="45">
        <f t="shared" si="41"/>
        <v>0</v>
      </c>
      <c r="GM53" s="45">
        <f t="shared" si="41"/>
        <v>0</v>
      </c>
      <c r="GN53" s="45">
        <f t="shared" ref="GN53:GT53" si="42">-SUM(GN54:GN61)</f>
        <v>0</v>
      </c>
      <c r="GO53" s="45">
        <f t="shared" si="42"/>
        <v>0</v>
      </c>
      <c r="GP53" s="45">
        <f t="shared" si="42"/>
        <v>0</v>
      </c>
      <c r="GQ53" s="45">
        <f t="shared" si="42"/>
        <v>0</v>
      </c>
      <c r="GR53" s="45">
        <f t="shared" si="42"/>
        <v>0</v>
      </c>
      <c r="GS53" s="45">
        <f t="shared" si="42"/>
        <v>0</v>
      </c>
      <c r="GT53" s="45">
        <f t="shared" si="42"/>
        <v>0</v>
      </c>
    </row>
    <row r="54" spans="1:202" ht="16.5" customHeight="1">
      <c r="A54" s="96" t="s">
        <v>23</v>
      </c>
      <c r="B54" s="92"/>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3"/>
      <c r="CX54" s="93"/>
      <c r="CY54" s="93"/>
      <c r="CZ54" s="93"/>
      <c r="DA54" s="93"/>
      <c r="DB54" s="93"/>
      <c r="DC54" s="93"/>
      <c r="DD54" s="93"/>
      <c r="DE54" s="93"/>
      <c r="DF54" s="93"/>
      <c r="DG54" s="93"/>
      <c r="DH54" s="93"/>
      <c r="DI54" s="93"/>
      <c r="DJ54" s="93"/>
      <c r="DK54" s="93"/>
      <c r="DL54" s="93"/>
      <c r="DM54" s="93"/>
      <c r="DN54" s="93"/>
      <c r="DO54" s="93"/>
      <c r="DP54" s="93"/>
      <c r="DQ54" s="93"/>
      <c r="DR54" s="93"/>
      <c r="DS54" s="93"/>
      <c r="DT54" s="93"/>
      <c r="DU54" s="93"/>
      <c r="DV54" s="93"/>
      <c r="DW54" s="93"/>
      <c r="DX54" s="93"/>
      <c r="DY54" s="93"/>
      <c r="DZ54" s="93"/>
      <c r="EA54" s="93"/>
      <c r="EB54" s="93"/>
      <c r="EC54" s="93"/>
      <c r="ED54" s="93"/>
      <c r="EE54" s="93"/>
      <c r="EF54" s="93"/>
      <c r="EG54" s="93"/>
      <c r="EH54" s="93"/>
      <c r="EI54" s="93"/>
      <c r="EJ54" s="93"/>
      <c r="EK54" s="93"/>
      <c r="EL54" s="93"/>
      <c r="EM54" s="93"/>
      <c r="EN54" s="93"/>
      <c r="EO54" s="93"/>
      <c r="EP54" s="93"/>
      <c r="EQ54" s="93"/>
      <c r="ER54" s="93"/>
      <c r="ES54" s="93"/>
      <c r="ET54" s="93"/>
      <c r="EU54" s="93"/>
      <c r="EV54" s="93"/>
      <c r="EW54" s="93"/>
      <c r="EX54" s="93"/>
      <c r="EY54" s="93"/>
      <c r="EZ54" s="93"/>
      <c r="FA54" s="93"/>
      <c r="FB54" s="93"/>
      <c r="FC54" s="93"/>
      <c r="FD54" s="93"/>
      <c r="FE54" s="93"/>
      <c r="FF54" s="93"/>
      <c r="FG54" s="93"/>
      <c r="FH54" s="93"/>
      <c r="FI54" s="93"/>
      <c r="FJ54" s="93"/>
      <c r="FK54" s="93"/>
      <c r="FL54" s="93"/>
      <c r="FM54" s="93"/>
      <c r="FN54" s="93"/>
      <c r="FO54" s="93"/>
      <c r="FP54" s="93"/>
      <c r="FQ54" s="93"/>
      <c r="FR54" s="93"/>
      <c r="FS54" s="93"/>
      <c r="FT54" s="93"/>
      <c r="FU54" s="93"/>
      <c r="FV54" s="93"/>
      <c r="FW54" s="93"/>
      <c r="FX54" s="93"/>
      <c r="FY54" s="93"/>
      <c r="FZ54" s="93"/>
      <c r="GA54" s="93"/>
      <c r="GB54" s="93"/>
      <c r="GC54" s="93"/>
      <c r="GD54" s="93"/>
      <c r="GE54" s="93"/>
      <c r="GF54" s="93"/>
      <c r="GG54" s="93"/>
      <c r="GH54" s="93"/>
      <c r="GI54" s="93"/>
      <c r="GJ54" s="93"/>
      <c r="GK54" s="93"/>
      <c r="GL54" s="93"/>
      <c r="GM54" s="93"/>
      <c r="GN54" s="93"/>
      <c r="GO54" s="93"/>
      <c r="GP54" s="93"/>
      <c r="GQ54" s="93"/>
      <c r="GR54" s="93"/>
      <c r="GS54" s="93"/>
      <c r="GT54" s="93"/>
    </row>
    <row r="55" spans="1:202" ht="16.5" customHeight="1">
      <c r="A55" s="96" t="s">
        <v>240</v>
      </c>
      <c r="B55" s="92"/>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c r="CK55" s="93"/>
      <c r="CL55" s="93"/>
      <c r="CM55" s="93"/>
      <c r="CN55" s="93"/>
      <c r="CO55" s="93"/>
      <c r="CP55" s="93"/>
      <c r="CQ55" s="93"/>
      <c r="CR55" s="93"/>
      <c r="CS55" s="93"/>
      <c r="CT55" s="93"/>
      <c r="CU55" s="93"/>
      <c r="CV55" s="93"/>
      <c r="CW55" s="93"/>
      <c r="CX55" s="93"/>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c r="EC55" s="93"/>
      <c r="ED55" s="93"/>
      <c r="EE55" s="93"/>
      <c r="EF55" s="93"/>
      <c r="EG55" s="93"/>
      <c r="EH55" s="93"/>
      <c r="EI55" s="93"/>
      <c r="EJ55" s="93"/>
      <c r="EK55" s="93"/>
      <c r="EL55" s="93"/>
      <c r="EM55" s="93"/>
      <c r="EN55" s="93"/>
      <c r="EO55" s="93"/>
      <c r="EP55" s="93"/>
      <c r="EQ55" s="93"/>
      <c r="ER55" s="93"/>
      <c r="ES55" s="93"/>
      <c r="ET55" s="93"/>
      <c r="EU55" s="93"/>
      <c r="EV55" s="93"/>
      <c r="EW55" s="93"/>
      <c r="EX55" s="93"/>
      <c r="EY55" s="93"/>
      <c r="EZ55" s="93"/>
      <c r="FA55" s="93"/>
      <c r="FB55" s="93"/>
      <c r="FC55" s="93"/>
      <c r="FD55" s="93"/>
      <c r="FE55" s="93"/>
      <c r="FF55" s="93"/>
      <c r="FG55" s="93"/>
      <c r="FH55" s="93"/>
      <c r="FI55" s="93"/>
      <c r="FJ55" s="93"/>
      <c r="FK55" s="93"/>
      <c r="FL55" s="93"/>
      <c r="FM55" s="93"/>
      <c r="FN55" s="93"/>
      <c r="FO55" s="93"/>
      <c r="FP55" s="93"/>
      <c r="FQ55" s="93"/>
      <c r="FR55" s="93"/>
      <c r="FS55" s="93"/>
      <c r="FT55" s="93"/>
      <c r="FU55" s="93"/>
      <c r="FV55" s="93"/>
      <c r="FW55" s="93"/>
      <c r="FX55" s="93"/>
      <c r="FY55" s="93"/>
      <c r="FZ55" s="93"/>
      <c r="GA55" s="93"/>
      <c r="GB55" s="93"/>
      <c r="GC55" s="93"/>
      <c r="GD55" s="93"/>
      <c r="GE55" s="93"/>
      <c r="GF55" s="93"/>
      <c r="GG55" s="93"/>
      <c r="GH55" s="93"/>
      <c r="GI55" s="93"/>
      <c r="GJ55" s="93"/>
      <c r="GK55" s="93"/>
      <c r="GL55" s="93"/>
      <c r="GM55" s="93"/>
      <c r="GN55" s="93"/>
      <c r="GO55" s="93"/>
      <c r="GP55" s="93"/>
      <c r="GQ55" s="93"/>
      <c r="GR55" s="93"/>
      <c r="GS55" s="93"/>
      <c r="GT55" s="93"/>
    </row>
    <row r="56" spans="1:202" ht="16.5" customHeight="1">
      <c r="A56" s="96" t="s">
        <v>11</v>
      </c>
      <c r="B56" s="92"/>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c r="EC56" s="93"/>
      <c r="ED56" s="93"/>
      <c r="EE56" s="93"/>
      <c r="EF56" s="93"/>
      <c r="EG56" s="93"/>
      <c r="EH56" s="93"/>
      <c r="EI56" s="93"/>
      <c r="EJ56" s="93"/>
      <c r="EK56" s="93"/>
      <c r="EL56" s="93"/>
      <c r="EM56" s="93"/>
      <c r="EN56" s="93"/>
      <c r="EO56" s="93"/>
      <c r="EP56" s="93"/>
      <c r="EQ56" s="93"/>
      <c r="ER56" s="93"/>
      <c r="ES56" s="93"/>
      <c r="ET56" s="93"/>
      <c r="EU56" s="93"/>
      <c r="EV56" s="93"/>
      <c r="EW56" s="93"/>
      <c r="EX56" s="93"/>
      <c r="EY56" s="93"/>
      <c r="EZ56" s="93"/>
      <c r="FA56" s="93"/>
      <c r="FB56" s="93"/>
      <c r="FC56" s="93"/>
      <c r="FD56" s="93"/>
      <c r="FE56" s="93"/>
      <c r="FF56" s="93"/>
      <c r="FG56" s="93"/>
      <c r="FH56" s="93"/>
      <c r="FI56" s="93"/>
      <c r="FJ56" s="93"/>
      <c r="FK56" s="93"/>
      <c r="FL56" s="93"/>
      <c r="FM56" s="93"/>
      <c r="FN56" s="93"/>
      <c r="FO56" s="93"/>
      <c r="FP56" s="93"/>
      <c r="FQ56" s="93"/>
      <c r="FR56" s="93"/>
      <c r="FS56" s="93"/>
      <c r="FT56" s="93"/>
      <c r="FU56" s="93"/>
      <c r="FV56" s="93"/>
      <c r="FW56" s="93"/>
      <c r="FX56" s="93"/>
      <c r="FY56" s="93"/>
      <c r="FZ56" s="93"/>
      <c r="GA56" s="93"/>
      <c r="GB56" s="93"/>
      <c r="GC56" s="93"/>
      <c r="GD56" s="93"/>
      <c r="GE56" s="93"/>
      <c r="GF56" s="93"/>
      <c r="GG56" s="93"/>
      <c r="GH56" s="93"/>
      <c r="GI56" s="93"/>
      <c r="GJ56" s="93"/>
      <c r="GK56" s="93"/>
      <c r="GL56" s="93"/>
      <c r="GM56" s="93"/>
      <c r="GN56" s="93"/>
      <c r="GO56" s="93"/>
      <c r="GP56" s="93"/>
      <c r="GQ56" s="93"/>
      <c r="GR56" s="93"/>
      <c r="GS56" s="93"/>
      <c r="GT56" s="93"/>
    </row>
    <row r="57" spans="1:202" ht="16.5" customHeight="1">
      <c r="A57" s="96" t="s">
        <v>23</v>
      </c>
      <c r="B57" s="92"/>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c r="CV57" s="93"/>
      <c r="CW57" s="93"/>
      <c r="CX57" s="93"/>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c r="EC57" s="93"/>
      <c r="ED57" s="93"/>
      <c r="EE57" s="93"/>
      <c r="EF57" s="93"/>
      <c r="EG57" s="93"/>
      <c r="EH57" s="93"/>
      <c r="EI57" s="93"/>
      <c r="EJ57" s="93"/>
      <c r="EK57" s="93"/>
      <c r="EL57" s="93"/>
      <c r="EM57" s="93"/>
      <c r="EN57" s="93"/>
      <c r="EO57" s="93"/>
      <c r="EP57" s="93"/>
      <c r="EQ57" s="93"/>
      <c r="ER57" s="93"/>
      <c r="ES57" s="93"/>
      <c r="ET57" s="93"/>
      <c r="EU57" s="93"/>
      <c r="EV57" s="93"/>
      <c r="EW57" s="93"/>
      <c r="EX57" s="93"/>
      <c r="EY57" s="93"/>
      <c r="EZ57" s="93"/>
      <c r="FA57" s="93"/>
      <c r="FB57" s="93"/>
      <c r="FC57" s="93"/>
      <c r="FD57" s="93"/>
      <c r="FE57" s="93"/>
      <c r="FF57" s="93"/>
      <c r="FG57" s="93"/>
      <c r="FH57" s="93"/>
      <c r="FI57" s="93"/>
      <c r="FJ57" s="93"/>
      <c r="FK57" s="93"/>
      <c r="FL57" s="93"/>
      <c r="FM57" s="93"/>
      <c r="FN57" s="93"/>
      <c r="FO57" s="93"/>
      <c r="FP57" s="93"/>
      <c r="FQ57" s="93"/>
      <c r="FR57" s="93"/>
      <c r="FS57" s="93"/>
      <c r="FT57" s="93"/>
      <c r="FU57" s="93"/>
      <c r="FV57" s="93"/>
      <c r="FW57" s="93"/>
      <c r="FX57" s="93"/>
      <c r="FY57" s="93"/>
      <c r="FZ57" s="93"/>
      <c r="GA57" s="93"/>
      <c r="GB57" s="93"/>
      <c r="GC57" s="93"/>
      <c r="GD57" s="93"/>
      <c r="GE57" s="93"/>
      <c r="GF57" s="93"/>
      <c r="GG57" s="93"/>
      <c r="GH57" s="93"/>
      <c r="GI57" s="93"/>
      <c r="GJ57" s="93"/>
      <c r="GK57" s="93"/>
      <c r="GL57" s="93"/>
      <c r="GM57" s="93"/>
      <c r="GN57" s="93"/>
      <c r="GO57" s="93"/>
      <c r="GP57" s="93"/>
      <c r="GQ57" s="93"/>
      <c r="GR57" s="93"/>
      <c r="GS57" s="93"/>
      <c r="GT57" s="93"/>
    </row>
    <row r="58" spans="1:202" ht="16.5" customHeight="1">
      <c r="A58" s="96" t="s">
        <v>240</v>
      </c>
      <c r="B58" s="92"/>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c r="EC58" s="93"/>
      <c r="ED58" s="93"/>
      <c r="EE58" s="93"/>
      <c r="EF58" s="93"/>
      <c r="EG58" s="93"/>
      <c r="EH58" s="93"/>
      <c r="EI58" s="93"/>
      <c r="EJ58" s="93"/>
      <c r="EK58" s="93"/>
      <c r="EL58" s="93"/>
      <c r="EM58" s="93"/>
      <c r="EN58" s="93"/>
      <c r="EO58" s="93"/>
      <c r="EP58" s="93"/>
      <c r="EQ58" s="93"/>
      <c r="ER58" s="93"/>
      <c r="ES58" s="93"/>
      <c r="ET58" s="93"/>
      <c r="EU58" s="93"/>
      <c r="EV58" s="93"/>
      <c r="EW58" s="93"/>
      <c r="EX58" s="93"/>
      <c r="EY58" s="93"/>
      <c r="EZ58" s="93"/>
      <c r="FA58" s="93"/>
      <c r="FB58" s="93"/>
      <c r="FC58" s="93"/>
      <c r="FD58" s="93"/>
      <c r="FE58" s="93"/>
      <c r="FF58" s="93"/>
      <c r="FG58" s="93"/>
      <c r="FH58" s="93"/>
      <c r="FI58" s="93"/>
      <c r="FJ58" s="93"/>
      <c r="FK58" s="93"/>
      <c r="FL58" s="93"/>
      <c r="FM58" s="93"/>
      <c r="FN58" s="93"/>
      <c r="FO58" s="93"/>
      <c r="FP58" s="93"/>
      <c r="FQ58" s="93"/>
      <c r="FR58" s="93"/>
      <c r="FS58" s="93"/>
      <c r="FT58" s="93"/>
      <c r="FU58" s="93"/>
      <c r="FV58" s="93"/>
      <c r="FW58" s="93"/>
      <c r="FX58" s="93"/>
      <c r="FY58" s="93"/>
      <c r="FZ58" s="93"/>
      <c r="GA58" s="93"/>
      <c r="GB58" s="93"/>
      <c r="GC58" s="93"/>
      <c r="GD58" s="93"/>
      <c r="GE58" s="93"/>
      <c r="GF58" s="93"/>
      <c r="GG58" s="93"/>
      <c r="GH58" s="93"/>
      <c r="GI58" s="93"/>
      <c r="GJ58" s="93"/>
      <c r="GK58" s="93"/>
      <c r="GL58" s="93"/>
      <c r="GM58" s="93"/>
      <c r="GN58" s="93"/>
      <c r="GO58" s="93"/>
      <c r="GP58" s="93"/>
      <c r="GQ58" s="93"/>
      <c r="GR58" s="93"/>
      <c r="GS58" s="93"/>
      <c r="GT58" s="93"/>
    </row>
    <row r="59" spans="1:202" ht="16.5" customHeight="1">
      <c r="A59" s="96" t="s">
        <v>11</v>
      </c>
      <c r="B59" s="92"/>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c r="CV59" s="93"/>
      <c r="CW59" s="93"/>
      <c r="CX59" s="93"/>
      <c r="CY59" s="93"/>
      <c r="CZ59" s="93"/>
      <c r="DA59" s="93"/>
      <c r="DB59" s="93"/>
      <c r="DC59" s="93"/>
      <c r="DD59" s="93"/>
      <c r="DE59" s="93"/>
      <c r="DF59" s="93"/>
      <c r="DG59" s="93"/>
      <c r="DH59" s="93"/>
      <c r="DI59" s="93"/>
      <c r="DJ59" s="93"/>
      <c r="DK59" s="93"/>
      <c r="DL59" s="93"/>
      <c r="DM59" s="93"/>
      <c r="DN59" s="93"/>
      <c r="DO59" s="93"/>
      <c r="DP59" s="93"/>
      <c r="DQ59" s="93"/>
      <c r="DR59" s="93"/>
      <c r="DS59" s="93"/>
      <c r="DT59" s="93"/>
      <c r="DU59" s="93"/>
      <c r="DV59" s="93"/>
      <c r="DW59" s="93"/>
      <c r="DX59" s="93"/>
      <c r="DY59" s="93"/>
      <c r="DZ59" s="93"/>
      <c r="EA59" s="93"/>
      <c r="EB59" s="93"/>
      <c r="EC59" s="93"/>
      <c r="ED59" s="93"/>
      <c r="EE59" s="93"/>
      <c r="EF59" s="93"/>
      <c r="EG59" s="93"/>
      <c r="EH59" s="93"/>
      <c r="EI59" s="93"/>
      <c r="EJ59" s="93"/>
      <c r="EK59" s="93"/>
      <c r="EL59" s="93"/>
      <c r="EM59" s="93"/>
      <c r="EN59" s="93"/>
      <c r="EO59" s="93"/>
      <c r="EP59" s="93"/>
      <c r="EQ59" s="93"/>
      <c r="ER59" s="93"/>
      <c r="ES59" s="93"/>
      <c r="ET59" s="93"/>
      <c r="EU59" s="93"/>
      <c r="EV59" s="93"/>
      <c r="EW59" s="93"/>
      <c r="EX59" s="93"/>
      <c r="EY59" s="93"/>
      <c r="EZ59" s="93"/>
      <c r="FA59" s="93"/>
      <c r="FB59" s="93"/>
      <c r="FC59" s="93"/>
      <c r="FD59" s="93"/>
      <c r="FE59" s="93"/>
      <c r="FF59" s="93"/>
      <c r="FG59" s="93"/>
      <c r="FH59" s="93"/>
      <c r="FI59" s="93"/>
      <c r="FJ59" s="93"/>
      <c r="FK59" s="93"/>
      <c r="FL59" s="93"/>
      <c r="FM59" s="93"/>
      <c r="FN59" s="93"/>
      <c r="FO59" s="93"/>
      <c r="FP59" s="93"/>
      <c r="FQ59" s="93"/>
      <c r="FR59" s="93"/>
      <c r="FS59" s="93"/>
      <c r="FT59" s="93"/>
      <c r="FU59" s="93"/>
      <c r="FV59" s="93"/>
      <c r="FW59" s="93"/>
      <c r="FX59" s="93"/>
      <c r="FY59" s="93"/>
      <c r="FZ59" s="93"/>
      <c r="GA59" s="93"/>
      <c r="GB59" s="93"/>
      <c r="GC59" s="93"/>
      <c r="GD59" s="93"/>
      <c r="GE59" s="93"/>
      <c r="GF59" s="93"/>
      <c r="GG59" s="93"/>
      <c r="GH59" s="93"/>
      <c r="GI59" s="93"/>
      <c r="GJ59" s="93"/>
      <c r="GK59" s="93"/>
      <c r="GL59" s="93"/>
      <c r="GM59" s="93"/>
      <c r="GN59" s="93"/>
      <c r="GO59" s="93"/>
      <c r="GP59" s="93"/>
      <c r="GQ59" s="93"/>
      <c r="GR59" s="93"/>
      <c r="GS59" s="93"/>
      <c r="GT59" s="93"/>
    </row>
    <row r="60" spans="1:202" ht="16.5" customHeight="1">
      <c r="A60" s="96" t="s">
        <v>23</v>
      </c>
      <c r="B60" s="92"/>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c r="CR60" s="93"/>
      <c r="CS60" s="93"/>
      <c r="CT60" s="93"/>
      <c r="CU60" s="93"/>
      <c r="CV60" s="93"/>
      <c r="CW60" s="93"/>
      <c r="CX60" s="93"/>
      <c r="CY60" s="93"/>
      <c r="CZ60" s="93"/>
      <c r="DA60" s="93"/>
      <c r="DB60" s="93"/>
      <c r="DC60" s="93"/>
      <c r="DD60" s="93"/>
      <c r="DE60" s="93"/>
      <c r="DF60" s="93"/>
      <c r="DG60" s="93"/>
      <c r="DH60" s="93"/>
      <c r="DI60" s="93"/>
      <c r="DJ60" s="93"/>
      <c r="DK60" s="93"/>
      <c r="DL60" s="93"/>
      <c r="DM60" s="93"/>
      <c r="DN60" s="93"/>
      <c r="DO60" s="93"/>
      <c r="DP60" s="93"/>
      <c r="DQ60" s="93"/>
      <c r="DR60" s="93"/>
      <c r="DS60" s="93"/>
      <c r="DT60" s="93"/>
      <c r="DU60" s="93"/>
      <c r="DV60" s="93"/>
      <c r="DW60" s="93"/>
      <c r="DX60" s="93"/>
      <c r="DY60" s="93"/>
      <c r="DZ60" s="93"/>
      <c r="EA60" s="93"/>
      <c r="EB60" s="93"/>
      <c r="EC60" s="93"/>
      <c r="ED60" s="93"/>
      <c r="EE60" s="93"/>
      <c r="EF60" s="93"/>
      <c r="EG60" s="93"/>
      <c r="EH60" s="93"/>
      <c r="EI60" s="93"/>
      <c r="EJ60" s="93"/>
      <c r="EK60" s="93"/>
      <c r="EL60" s="93"/>
      <c r="EM60" s="93"/>
      <c r="EN60" s="93"/>
      <c r="EO60" s="93"/>
      <c r="EP60" s="93"/>
      <c r="EQ60" s="93"/>
      <c r="ER60" s="93"/>
      <c r="ES60" s="93"/>
      <c r="ET60" s="93"/>
      <c r="EU60" s="93"/>
      <c r="EV60" s="93"/>
      <c r="EW60" s="93"/>
      <c r="EX60" s="93"/>
      <c r="EY60" s="93"/>
      <c r="EZ60" s="93"/>
      <c r="FA60" s="93"/>
      <c r="FB60" s="93"/>
      <c r="FC60" s="93"/>
      <c r="FD60" s="93"/>
      <c r="FE60" s="93"/>
      <c r="FF60" s="93"/>
      <c r="FG60" s="93"/>
      <c r="FH60" s="93"/>
      <c r="FI60" s="93"/>
      <c r="FJ60" s="93"/>
      <c r="FK60" s="93"/>
      <c r="FL60" s="93"/>
      <c r="FM60" s="93"/>
      <c r="FN60" s="93"/>
      <c r="FO60" s="93"/>
      <c r="FP60" s="93"/>
      <c r="FQ60" s="93"/>
      <c r="FR60" s="93"/>
      <c r="FS60" s="93"/>
      <c r="FT60" s="93"/>
      <c r="FU60" s="93"/>
      <c r="FV60" s="93"/>
      <c r="FW60" s="93"/>
      <c r="FX60" s="93"/>
      <c r="FY60" s="93"/>
      <c r="FZ60" s="93"/>
      <c r="GA60" s="93"/>
      <c r="GB60" s="93"/>
      <c r="GC60" s="93"/>
      <c r="GD60" s="93"/>
      <c r="GE60" s="93"/>
      <c r="GF60" s="93"/>
      <c r="GG60" s="93"/>
      <c r="GH60" s="93"/>
      <c r="GI60" s="93"/>
      <c r="GJ60" s="93"/>
      <c r="GK60" s="93"/>
      <c r="GL60" s="93"/>
      <c r="GM60" s="93"/>
      <c r="GN60" s="93"/>
      <c r="GO60" s="93"/>
      <c r="GP60" s="93"/>
      <c r="GQ60" s="93"/>
      <c r="GR60" s="93"/>
      <c r="GS60" s="93"/>
      <c r="GT60" s="93"/>
    </row>
    <row r="61" spans="1:202" ht="16.5" customHeight="1">
      <c r="A61" s="96" t="s">
        <v>240</v>
      </c>
      <c r="B61" s="92"/>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c r="CR61" s="93"/>
      <c r="CS61" s="93"/>
      <c r="CT61" s="93"/>
      <c r="CU61" s="93"/>
      <c r="CV61" s="93"/>
      <c r="CW61" s="93"/>
      <c r="CX61" s="93"/>
      <c r="CY61" s="93"/>
      <c r="CZ61" s="93"/>
      <c r="DA61" s="93"/>
      <c r="DB61" s="93"/>
      <c r="DC61" s="93"/>
      <c r="DD61" s="93"/>
      <c r="DE61" s="93"/>
      <c r="DF61" s="93"/>
      <c r="DG61" s="93"/>
      <c r="DH61" s="93"/>
      <c r="DI61" s="93"/>
      <c r="DJ61" s="93"/>
      <c r="DK61" s="93"/>
      <c r="DL61" s="93"/>
      <c r="DM61" s="93"/>
      <c r="DN61" s="93"/>
      <c r="DO61" s="93"/>
      <c r="DP61" s="93"/>
      <c r="DQ61" s="93"/>
      <c r="DR61" s="93"/>
      <c r="DS61" s="93"/>
      <c r="DT61" s="93"/>
      <c r="DU61" s="93"/>
      <c r="DV61" s="93"/>
      <c r="DW61" s="93"/>
      <c r="DX61" s="93"/>
      <c r="DY61" s="93"/>
      <c r="DZ61" s="93"/>
      <c r="EA61" s="93"/>
      <c r="EB61" s="93"/>
      <c r="EC61" s="93"/>
      <c r="ED61" s="93"/>
      <c r="EE61" s="93"/>
      <c r="EF61" s="93"/>
      <c r="EG61" s="93"/>
      <c r="EH61" s="93"/>
      <c r="EI61" s="93"/>
      <c r="EJ61" s="93"/>
      <c r="EK61" s="93"/>
      <c r="EL61" s="93"/>
      <c r="EM61" s="93"/>
      <c r="EN61" s="93"/>
      <c r="EO61" s="93"/>
      <c r="EP61" s="93"/>
      <c r="EQ61" s="93"/>
      <c r="ER61" s="93"/>
      <c r="ES61" s="93"/>
      <c r="ET61" s="93"/>
      <c r="EU61" s="93"/>
      <c r="EV61" s="93"/>
      <c r="EW61" s="93"/>
      <c r="EX61" s="93"/>
      <c r="EY61" s="93"/>
      <c r="EZ61" s="93"/>
      <c r="FA61" s="93"/>
      <c r="FB61" s="93"/>
      <c r="FC61" s="93"/>
      <c r="FD61" s="93"/>
      <c r="FE61" s="93"/>
      <c r="FF61" s="93"/>
      <c r="FG61" s="93"/>
      <c r="FH61" s="93"/>
      <c r="FI61" s="93"/>
      <c r="FJ61" s="93"/>
      <c r="FK61" s="93"/>
      <c r="FL61" s="93"/>
      <c r="FM61" s="93"/>
      <c r="FN61" s="93"/>
      <c r="FO61" s="93"/>
      <c r="FP61" s="93"/>
      <c r="FQ61" s="93"/>
      <c r="FR61" s="93"/>
      <c r="FS61" s="93"/>
      <c r="FT61" s="93"/>
      <c r="FU61" s="93"/>
      <c r="FV61" s="93"/>
      <c r="FW61" s="93"/>
      <c r="FX61" s="93"/>
      <c r="FY61" s="93"/>
      <c r="FZ61" s="93"/>
      <c r="GA61" s="93"/>
      <c r="GB61" s="93"/>
      <c r="GC61" s="93"/>
      <c r="GD61" s="93"/>
      <c r="GE61" s="93"/>
      <c r="GF61" s="93"/>
      <c r="GG61" s="93"/>
      <c r="GH61" s="93"/>
      <c r="GI61" s="93"/>
      <c r="GJ61" s="93"/>
      <c r="GK61" s="93"/>
      <c r="GL61" s="93"/>
      <c r="GM61" s="93"/>
      <c r="GN61" s="93"/>
      <c r="GO61" s="93"/>
      <c r="GP61" s="93"/>
      <c r="GQ61" s="93"/>
      <c r="GR61" s="93"/>
      <c r="GS61" s="93"/>
      <c r="GT61" s="93"/>
    </row>
    <row r="62" spans="1:202" s="28" customFormat="1" ht="21">
      <c r="A62" s="41" t="s">
        <v>36</v>
      </c>
      <c r="B62" s="44"/>
      <c r="C62" s="45">
        <f>-SUM(C63:C70)</f>
        <v>0</v>
      </c>
      <c r="D62" s="45">
        <f t="shared" ref="D62:BO62" si="43">-SUM(D63:D70)</f>
        <v>0</v>
      </c>
      <c r="E62" s="45">
        <f t="shared" si="43"/>
        <v>0</v>
      </c>
      <c r="F62" s="45">
        <f t="shared" si="43"/>
        <v>0</v>
      </c>
      <c r="G62" s="45">
        <f t="shared" si="43"/>
        <v>0</v>
      </c>
      <c r="H62" s="45">
        <f t="shared" si="43"/>
        <v>0</v>
      </c>
      <c r="I62" s="45">
        <f t="shared" si="43"/>
        <v>0</v>
      </c>
      <c r="J62" s="45">
        <f t="shared" si="43"/>
        <v>0</v>
      </c>
      <c r="K62" s="45">
        <f t="shared" si="43"/>
        <v>0</v>
      </c>
      <c r="L62" s="45">
        <f t="shared" si="43"/>
        <v>0</v>
      </c>
      <c r="M62" s="45">
        <f t="shared" si="43"/>
        <v>0</v>
      </c>
      <c r="N62" s="45">
        <f t="shared" si="43"/>
        <v>0</v>
      </c>
      <c r="O62" s="45">
        <f t="shared" si="43"/>
        <v>0</v>
      </c>
      <c r="P62" s="45">
        <f t="shared" si="43"/>
        <v>0</v>
      </c>
      <c r="Q62" s="45">
        <f t="shared" si="43"/>
        <v>0</v>
      </c>
      <c r="R62" s="45">
        <f t="shared" si="43"/>
        <v>0</v>
      </c>
      <c r="S62" s="45">
        <f t="shared" si="43"/>
        <v>0</v>
      </c>
      <c r="T62" s="45">
        <f t="shared" si="43"/>
        <v>0</v>
      </c>
      <c r="U62" s="45">
        <f t="shared" si="43"/>
        <v>0</v>
      </c>
      <c r="V62" s="45">
        <f t="shared" si="43"/>
        <v>0</v>
      </c>
      <c r="W62" s="45">
        <f t="shared" si="43"/>
        <v>0</v>
      </c>
      <c r="X62" s="45">
        <f t="shared" si="43"/>
        <v>0</v>
      </c>
      <c r="Y62" s="45">
        <f t="shared" si="43"/>
        <v>0</v>
      </c>
      <c r="Z62" s="45">
        <f t="shared" si="43"/>
        <v>0</v>
      </c>
      <c r="AA62" s="45">
        <f t="shared" si="43"/>
        <v>0</v>
      </c>
      <c r="AB62" s="45">
        <f t="shared" si="43"/>
        <v>0</v>
      </c>
      <c r="AC62" s="45">
        <f t="shared" si="43"/>
        <v>0</v>
      </c>
      <c r="AD62" s="45">
        <f t="shared" si="43"/>
        <v>0</v>
      </c>
      <c r="AE62" s="45">
        <f t="shared" si="43"/>
        <v>0</v>
      </c>
      <c r="AF62" s="45">
        <f t="shared" si="43"/>
        <v>0</v>
      </c>
      <c r="AG62" s="45">
        <f t="shared" si="43"/>
        <v>0</v>
      </c>
      <c r="AH62" s="45">
        <f t="shared" si="43"/>
        <v>0</v>
      </c>
      <c r="AI62" s="45">
        <f t="shared" si="43"/>
        <v>0</v>
      </c>
      <c r="AJ62" s="45">
        <f t="shared" si="43"/>
        <v>0</v>
      </c>
      <c r="AK62" s="45">
        <f t="shared" si="43"/>
        <v>0</v>
      </c>
      <c r="AL62" s="45">
        <f t="shared" si="43"/>
        <v>0</v>
      </c>
      <c r="AM62" s="45">
        <f t="shared" si="43"/>
        <v>0</v>
      </c>
      <c r="AN62" s="45">
        <f t="shared" si="43"/>
        <v>0</v>
      </c>
      <c r="AO62" s="45">
        <f t="shared" si="43"/>
        <v>0</v>
      </c>
      <c r="AP62" s="45">
        <f t="shared" si="43"/>
        <v>0</v>
      </c>
      <c r="AQ62" s="45">
        <f t="shared" si="43"/>
        <v>0</v>
      </c>
      <c r="AR62" s="45">
        <f t="shared" si="43"/>
        <v>0</v>
      </c>
      <c r="AS62" s="45">
        <f t="shared" si="43"/>
        <v>0</v>
      </c>
      <c r="AT62" s="45">
        <f t="shared" si="43"/>
        <v>0</v>
      </c>
      <c r="AU62" s="45">
        <f t="shared" si="43"/>
        <v>0</v>
      </c>
      <c r="AV62" s="45">
        <f t="shared" si="43"/>
        <v>0</v>
      </c>
      <c r="AW62" s="45">
        <f t="shared" si="43"/>
        <v>0</v>
      </c>
      <c r="AX62" s="45">
        <f t="shared" si="43"/>
        <v>0</v>
      </c>
      <c r="AY62" s="45">
        <f t="shared" si="43"/>
        <v>0</v>
      </c>
      <c r="AZ62" s="45">
        <f t="shared" si="43"/>
        <v>0</v>
      </c>
      <c r="BA62" s="45">
        <f t="shared" si="43"/>
        <v>0</v>
      </c>
      <c r="BB62" s="45">
        <f t="shared" si="43"/>
        <v>0</v>
      </c>
      <c r="BC62" s="45">
        <f t="shared" si="43"/>
        <v>0</v>
      </c>
      <c r="BD62" s="45">
        <f t="shared" si="43"/>
        <v>0</v>
      </c>
      <c r="BE62" s="45">
        <f t="shared" si="43"/>
        <v>0</v>
      </c>
      <c r="BF62" s="45">
        <f t="shared" si="43"/>
        <v>0</v>
      </c>
      <c r="BG62" s="45">
        <f t="shared" si="43"/>
        <v>0</v>
      </c>
      <c r="BH62" s="45">
        <f t="shared" si="43"/>
        <v>0</v>
      </c>
      <c r="BI62" s="45">
        <f t="shared" si="43"/>
        <v>0</v>
      </c>
      <c r="BJ62" s="45">
        <f t="shared" si="43"/>
        <v>0</v>
      </c>
      <c r="BK62" s="45">
        <f t="shared" si="43"/>
        <v>0</v>
      </c>
      <c r="BL62" s="45">
        <f t="shared" si="43"/>
        <v>0</v>
      </c>
      <c r="BM62" s="45">
        <f t="shared" si="43"/>
        <v>0</v>
      </c>
      <c r="BN62" s="45">
        <f t="shared" si="43"/>
        <v>0</v>
      </c>
      <c r="BO62" s="45">
        <f t="shared" si="43"/>
        <v>0</v>
      </c>
      <c r="BP62" s="45">
        <f t="shared" ref="BP62:EA62" si="44">-SUM(BP63:BP70)</f>
        <v>0</v>
      </c>
      <c r="BQ62" s="45">
        <f t="shared" si="44"/>
        <v>0</v>
      </c>
      <c r="BR62" s="45">
        <f t="shared" si="44"/>
        <v>0</v>
      </c>
      <c r="BS62" s="45">
        <f t="shared" si="44"/>
        <v>0</v>
      </c>
      <c r="BT62" s="45">
        <f t="shared" si="44"/>
        <v>0</v>
      </c>
      <c r="BU62" s="45">
        <f t="shared" si="44"/>
        <v>0</v>
      </c>
      <c r="BV62" s="45">
        <f t="shared" si="44"/>
        <v>0</v>
      </c>
      <c r="BW62" s="45">
        <f t="shared" si="44"/>
        <v>0</v>
      </c>
      <c r="BX62" s="45">
        <f t="shared" si="44"/>
        <v>0</v>
      </c>
      <c r="BY62" s="45">
        <f t="shared" si="44"/>
        <v>0</v>
      </c>
      <c r="BZ62" s="45">
        <f t="shared" si="44"/>
        <v>0</v>
      </c>
      <c r="CA62" s="45">
        <f t="shared" si="44"/>
        <v>0</v>
      </c>
      <c r="CB62" s="45">
        <f t="shared" si="44"/>
        <v>0</v>
      </c>
      <c r="CC62" s="45">
        <f t="shared" si="44"/>
        <v>0</v>
      </c>
      <c r="CD62" s="45">
        <f t="shared" si="44"/>
        <v>0</v>
      </c>
      <c r="CE62" s="45">
        <f t="shared" si="44"/>
        <v>0</v>
      </c>
      <c r="CF62" s="45">
        <f t="shared" si="44"/>
        <v>0</v>
      </c>
      <c r="CG62" s="45">
        <f t="shared" si="44"/>
        <v>0</v>
      </c>
      <c r="CH62" s="45">
        <f t="shared" si="44"/>
        <v>0</v>
      </c>
      <c r="CI62" s="45">
        <f t="shared" si="44"/>
        <v>0</v>
      </c>
      <c r="CJ62" s="45">
        <f t="shared" si="44"/>
        <v>0</v>
      </c>
      <c r="CK62" s="45">
        <f t="shared" si="44"/>
        <v>0</v>
      </c>
      <c r="CL62" s="45">
        <f t="shared" si="44"/>
        <v>0</v>
      </c>
      <c r="CM62" s="45">
        <f t="shared" si="44"/>
        <v>0</v>
      </c>
      <c r="CN62" s="45">
        <f t="shared" si="44"/>
        <v>0</v>
      </c>
      <c r="CO62" s="45">
        <f t="shared" si="44"/>
        <v>0</v>
      </c>
      <c r="CP62" s="45">
        <f t="shared" si="44"/>
        <v>0</v>
      </c>
      <c r="CQ62" s="45">
        <f t="shared" si="44"/>
        <v>0</v>
      </c>
      <c r="CR62" s="45">
        <f t="shared" si="44"/>
        <v>0</v>
      </c>
      <c r="CS62" s="45">
        <f t="shared" si="44"/>
        <v>0</v>
      </c>
      <c r="CT62" s="45">
        <f t="shared" si="44"/>
        <v>0</v>
      </c>
      <c r="CU62" s="45">
        <f t="shared" si="44"/>
        <v>0</v>
      </c>
      <c r="CV62" s="45">
        <f t="shared" si="44"/>
        <v>0</v>
      </c>
      <c r="CW62" s="45">
        <f t="shared" si="44"/>
        <v>0</v>
      </c>
      <c r="CX62" s="45">
        <f t="shared" si="44"/>
        <v>0</v>
      </c>
      <c r="CY62" s="45">
        <f t="shared" si="44"/>
        <v>0</v>
      </c>
      <c r="CZ62" s="45">
        <f t="shared" si="44"/>
        <v>0</v>
      </c>
      <c r="DA62" s="45">
        <f t="shared" si="44"/>
        <v>0</v>
      </c>
      <c r="DB62" s="45">
        <f t="shared" si="44"/>
        <v>0</v>
      </c>
      <c r="DC62" s="45">
        <f t="shared" si="44"/>
        <v>0</v>
      </c>
      <c r="DD62" s="45">
        <f t="shared" si="44"/>
        <v>0</v>
      </c>
      <c r="DE62" s="45">
        <f t="shared" si="44"/>
        <v>0</v>
      </c>
      <c r="DF62" s="45">
        <f t="shared" si="44"/>
        <v>0</v>
      </c>
      <c r="DG62" s="45">
        <f t="shared" si="44"/>
        <v>0</v>
      </c>
      <c r="DH62" s="45">
        <f t="shared" si="44"/>
        <v>0</v>
      </c>
      <c r="DI62" s="45">
        <f t="shared" si="44"/>
        <v>0</v>
      </c>
      <c r="DJ62" s="45">
        <f t="shared" si="44"/>
        <v>0</v>
      </c>
      <c r="DK62" s="45">
        <f t="shared" si="44"/>
        <v>0</v>
      </c>
      <c r="DL62" s="45">
        <f t="shared" si="44"/>
        <v>0</v>
      </c>
      <c r="DM62" s="45">
        <f t="shared" si="44"/>
        <v>0</v>
      </c>
      <c r="DN62" s="45">
        <f t="shared" si="44"/>
        <v>0</v>
      </c>
      <c r="DO62" s="45">
        <f t="shared" si="44"/>
        <v>0</v>
      </c>
      <c r="DP62" s="45">
        <f t="shared" si="44"/>
        <v>0</v>
      </c>
      <c r="DQ62" s="45">
        <f t="shared" si="44"/>
        <v>0</v>
      </c>
      <c r="DR62" s="45">
        <f t="shared" si="44"/>
        <v>0</v>
      </c>
      <c r="DS62" s="45">
        <f t="shared" si="44"/>
        <v>0</v>
      </c>
      <c r="DT62" s="45">
        <f t="shared" si="44"/>
        <v>0</v>
      </c>
      <c r="DU62" s="45">
        <f t="shared" si="44"/>
        <v>0</v>
      </c>
      <c r="DV62" s="45">
        <f t="shared" si="44"/>
        <v>0</v>
      </c>
      <c r="DW62" s="45">
        <f t="shared" si="44"/>
        <v>0</v>
      </c>
      <c r="DX62" s="45">
        <f t="shared" si="44"/>
        <v>0</v>
      </c>
      <c r="DY62" s="45">
        <f t="shared" si="44"/>
        <v>0</v>
      </c>
      <c r="DZ62" s="45">
        <f t="shared" si="44"/>
        <v>0</v>
      </c>
      <c r="EA62" s="45">
        <f t="shared" si="44"/>
        <v>0</v>
      </c>
      <c r="EB62" s="45">
        <f t="shared" ref="EB62:GM62" si="45">-SUM(EB63:EB70)</f>
        <v>0</v>
      </c>
      <c r="EC62" s="45">
        <f t="shared" si="45"/>
        <v>0</v>
      </c>
      <c r="ED62" s="45">
        <f t="shared" si="45"/>
        <v>0</v>
      </c>
      <c r="EE62" s="45">
        <f t="shared" si="45"/>
        <v>0</v>
      </c>
      <c r="EF62" s="45">
        <f t="shared" si="45"/>
        <v>0</v>
      </c>
      <c r="EG62" s="45">
        <f t="shared" si="45"/>
        <v>0</v>
      </c>
      <c r="EH62" s="45">
        <f t="shared" si="45"/>
        <v>0</v>
      </c>
      <c r="EI62" s="45">
        <f t="shared" si="45"/>
        <v>0</v>
      </c>
      <c r="EJ62" s="45">
        <f t="shared" si="45"/>
        <v>0</v>
      </c>
      <c r="EK62" s="45">
        <f t="shared" si="45"/>
        <v>0</v>
      </c>
      <c r="EL62" s="45">
        <f t="shared" si="45"/>
        <v>0</v>
      </c>
      <c r="EM62" s="45">
        <f t="shared" si="45"/>
        <v>0</v>
      </c>
      <c r="EN62" s="45">
        <f t="shared" si="45"/>
        <v>0</v>
      </c>
      <c r="EO62" s="45">
        <f t="shared" si="45"/>
        <v>0</v>
      </c>
      <c r="EP62" s="45">
        <f t="shared" si="45"/>
        <v>0</v>
      </c>
      <c r="EQ62" s="45">
        <f t="shared" si="45"/>
        <v>0</v>
      </c>
      <c r="ER62" s="45">
        <f t="shared" si="45"/>
        <v>0</v>
      </c>
      <c r="ES62" s="45">
        <f t="shared" si="45"/>
        <v>0</v>
      </c>
      <c r="ET62" s="45">
        <f t="shared" si="45"/>
        <v>0</v>
      </c>
      <c r="EU62" s="45">
        <f t="shared" si="45"/>
        <v>0</v>
      </c>
      <c r="EV62" s="45">
        <f t="shared" si="45"/>
        <v>0</v>
      </c>
      <c r="EW62" s="45">
        <f t="shared" si="45"/>
        <v>0</v>
      </c>
      <c r="EX62" s="45">
        <f t="shared" si="45"/>
        <v>0</v>
      </c>
      <c r="EY62" s="45">
        <f t="shared" si="45"/>
        <v>0</v>
      </c>
      <c r="EZ62" s="45">
        <f t="shared" si="45"/>
        <v>0</v>
      </c>
      <c r="FA62" s="45">
        <f t="shared" si="45"/>
        <v>0</v>
      </c>
      <c r="FB62" s="45">
        <f t="shared" si="45"/>
        <v>0</v>
      </c>
      <c r="FC62" s="45">
        <f t="shared" si="45"/>
        <v>0</v>
      </c>
      <c r="FD62" s="45">
        <f t="shared" si="45"/>
        <v>0</v>
      </c>
      <c r="FE62" s="45">
        <f t="shared" si="45"/>
        <v>0</v>
      </c>
      <c r="FF62" s="45">
        <f t="shared" si="45"/>
        <v>0</v>
      </c>
      <c r="FG62" s="45">
        <f t="shared" si="45"/>
        <v>0</v>
      </c>
      <c r="FH62" s="45">
        <f t="shared" si="45"/>
        <v>0</v>
      </c>
      <c r="FI62" s="45">
        <f t="shared" si="45"/>
        <v>0</v>
      </c>
      <c r="FJ62" s="45">
        <f t="shared" si="45"/>
        <v>0</v>
      </c>
      <c r="FK62" s="45">
        <f t="shared" si="45"/>
        <v>0</v>
      </c>
      <c r="FL62" s="45">
        <f t="shared" si="45"/>
        <v>0</v>
      </c>
      <c r="FM62" s="45">
        <f t="shared" si="45"/>
        <v>0</v>
      </c>
      <c r="FN62" s="45">
        <f t="shared" si="45"/>
        <v>0</v>
      </c>
      <c r="FO62" s="45">
        <f t="shared" si="45"/>
        <v>0</v>
      </c>
      <c r="FP62" s="45">
        <f t="shared" si="45"/>
        <v>0</v>
      </c>
      <c r="FQ62" s="45">
        <f t="shared" si="45"/>
        <v>0</v>
      </c>
      <c r="FR62" s="45">
        <f t="shared" si="45"/>
        <v>0</v>
      </c>
      <c r="FS62" s="45">
        <f t="shared" si="45"/>
        <v>0</v>
      </c>
      <c r="FT62" s="45">
        <f t="shared" si="45"/>
        <v>0</v>
      </c>
      <c r="FU62" s="45">
        <f t="shared" si="45"/>
        <v>0</v>
      </c>
      <c r="FV62" s="45">
        <f t="shared" si="45"/>
        <v>0</v>
      </c>
      <c r="FW62" s="45">
        <f t="shared" si="45"/>
        <v>0</v>
      </c>
      <c r="FX62" s="45">
        <f t="shared" si="45"/>
        <v>0</v>
      </c>
      <c r="FY62" s="45">
        <f t="shared" si="45"/>
        <v>0</v>
      </c>
      <c r="FZ62" s="45">
        <f t="shared" si="45"/>
        <v>0</v>
      </c>
      <c r="GA62" s="45">
        <f t="shared" si="45"/>
        <v>0</v>
      </c>
      <c r="GB62" s="45">
        <f t="shared" si="45"/>
        <v>0</v>
      </c>
      <c r="GC62" s="45">
        <f t="shared" si="45"/>
        <v>0</v>
      </c>
      <c r="GD62" s="45">
        <f t="shared" si="45"/>
        <v>0</v>
      </c>
      <c r="GE62" s="45">
        <f t="shared" si="45"/>
        <v>0</v>
      </c>
      <c r="GF62" s="45">
        <f t="shared" si="45"/>
        <v>0</v>
      </c>
      <c r="GG62" s="45">
        <f t="shared" si="45"/>
        <v>0</v>
      </c>
      <c r="GH62" s="45">
        <f t="shared" si="45"/>
        <v>0</v>
      </c>
      <c r="GI62" s="45">
        <f t="shared" si="45"/>
        <v>0</v>
      </c>
      <c r="GJ62" s="45">
        <f t="shared" si="45"/>
        <v>0</v>
      </c>
      <c r="GK62" s="45">
        <f t="shared" si="45"/>
        <v>0</v>
      </c>
      <c r="GL62" s="45">
        <f t="shared" si="45"/>
        <v>0</v>
      </c>
      <c r="GM62" s="45">
        <f t="shared" si="45"/>
        <v>0</v>
      </c>
      <c r="GN62" s="45">
        <f t="shared" ref="GN62:GT62" si="46">-SUM(GN63:GN70)</f>
        <v>0</v>
      </c>
      <c r="GO62" s="45">
        <f t="shared" si="46"/>
        <v>0</v>
      </c>
      <c r="GP62" s="45">
        <f t="shared" si="46"/>
        <v>0</v>
      </c>
      <c r="GQ62" s="45">
        <f t="shared" si="46"/>
        <v>0</v>
      </c>
      <c r="GR62" s="45">
        <f t="shared" si="46"/>
        <v>0</v>
      </c>
      <c r="GS62" s="45">
        <f t="shared" si="46"/>
        <v>0</v>
      </c>
      <c r="GT62" s="45">
        <f t="shared" si="46"/>
        <v>0</v>
      </c>
    </row>
    <row r="63" spans="1:202" ht="16.5" customHeight="1">
      <c r="A63" s="96" t="s">
        <v>23</v>
      </c>
      <c r="B63" s="92"/>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c r="CR63" s="93"/>
      <c r="CS63" s="93"/>
      <c r="CT63" s="93"/>
      <c r="CU63" s="93"/>
      <c r="CV63" s="93"/>
      <c r="CW63" s="93"/>
      <c r="CX63" s="93"/>
      <c r="CY63" s="93"/>
      <c r="CZ63" s="93"/>
      <c r="DA63" s="93"/>
      <c r="DB63" s="93"/>
      <c r="DC63" s="93"/>
      <c r="DD63" s="93"/>
      <c r="DE63" s="93"/>
      <c r="DF63" s="93"/>
      <c r="DG63" s="93"/>
      <c r="DH63" s="93"/>
      <c r="DI63" s="93"/>
      <c r="DJ63" s="93"/>
      <c r="DK63" s="93"/>
      <c r="DL63" s="93"/>
      <c r="DM63" s="93"/>
      <c r="DN63" s="93"/>
      <c r="DO63" s="93"/>
      <c r="DP63" s="93"/>
      <c r="DQ63" s="93"/>
      <c r="DR63" s="93"/>
      <c r="DS63" s="93"/>
      <c r="DT63" s="93"/>
      <c r="DU63" s="93"/>
      <c r="DV63" s="93"/>
      <c r="DW63" s="93"/>
      <c r="DX63" s="93"/>
      <c r="DY63" s="93"/>
      <c r="DZ63" s="93"/>
      <c r="EA63" s="93"/>
      <c r="EB63" s="93"/>
      <c r="EC63" s="93"/>
      <c r="ED63" s="93"/>
      <c r="EE63" s="93"/>
      <c r="EF63" s="93"/>
      <c r="EG63" s="93"/>
      <c r="EH63" s="93"/>
      <c r="EI63" s="93"/>
      <c r="EJ63" s="93"/>
      <c r="EK63" s="93"/>
      <c r="EL63" s="93"/>
      <c r="EM63" s="93"/>
      <c r="EN63" s="93"/>
      <c r="EO63" s="93"/>
      <c r="EP63" s="93"/>
      <c r="EQ63" s="93"/>
      <c r="ER63" s="93"/>
      <c r="ES63" s="93"/>
      <c r="ET63" s="93"/>
      <c r="EU63" s="93"/>
      <c r="EV63" s="93"/>
      <c r="EW63" s="93"/>
      <c r="EX63" s="93"/>
      <c r="EY63" s="93"/>
      <c r="EZ63" s="93"/>
      <c r="FA63" s="93"/>
      <c r="FB63" s="93"/>
      <c r="FC63" s="93"/>
      <c r="FD63" s="93"/>
      <c r="FE63" s="93"/>
      <c r="FF63" s="93"/>
      <c r="FG63" s="93"/>
      <c r="FH63" s="93"/>
      <c r="FI63" s="93"/>
      <c r="FJ63" s="93"/>
      <c r="FK63" s="93"/>
      <c r="FL63" s="93"/>
      <c r="FM63" s="93"/>
      <c r="FN63" s="93"/>
      <c r="FO63" s="93"/>
      <c r="FP63" s="93"/>
      <c r="FQ63" s="93"/>
      <c r="FR63" s="93"/>
      <c r="FS63" s="93"/>
      <c r="FT63" s="93"/>
      <c r="FU63" s="93"/>
      <c r="FV63" s="93"/>
      <c r="FW63" s="93"/>
      <c r="FX63" s="93"/>
      <c r="FY63" s="93"/>
      <c r="FZ63" s="93"/>
      <c r="GA63" s="93"/>
      <c r="GB63" s="93"/>
      <c r="GC63" s="93"/>
      <c r="GD63" s="93"/>
      <c r="GE63" s="93"/>
      <c r="GF63" s="93"/>
      <c r="GG63" s="93"/>
      <c r="GH63" s="93"/>
      <c r="GI63" s="93"/>
      <c r="GJ63" s="93"/>
      <c r="GK63" s="93"/>
      <c r="GL63" s="93"/>
      <c r="GM63" s="93"/>
      <c r="GN63" s="93"/>
      <c r="GO63" s="93"/>
      <c r="GP63" s="93"/>
      <c r="GQ63" s="93"/>
      <c r="GR63" s="93"/>
      <c r="GS63" s="93"/>
      <c r="GT63" s="93"/>
    </row>
    <row r="64" spans="1:202" ht="16.5" customHeight="1">
      <c r="A64" s="96" t="s">
        <v>117</v>
      </c>
      <c r="B64" s="92"/>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c r="BQ64" s="93"/>
      <c r="BR64" s="93"/>
      <c r="BS64" s="93"/>
      <c r="BT64" s="93"/>
      <c r="BU64" s="93"/>
      <c r="BV64" s="93"/>
      <c r="BW64" s="93"/>
      <c r="BX64" s="93"/>
      <c r="BY64" s="93"/>
      <c r="BZ64" s="93"/>
      <c r="CA64" s="93"/>
      <c r="CB64" s="93"/>
      <c r="CC64" s="93"/>
      <c r="CD64" s="93"/>
      <c r="CE64" s="93"/>
      <c r="CF64" s="93"/>
      <c r="CG64" s="93"/>
      <c r="CH64" s="93"/>
      <c r="CI64" s="93"/>
      <c r="CJ64" s="93"/>
      <c r="CK64" s="93"/>
      <c r="CL64" s="93"/>
      <c r="CM64" s="93"/>
      <c r="CN64" s="93"/>
      <c r="CO64" s="93"/>
      <c r="CP64" s="93"/>
      <c r="CQ64" s="93"/>
      <c r="CR64" s="93"/>
      <c r="CS64" s="93"/>
      <c r="CT64" s="93"/>
      <c r="CU64" s="93"/>
      <c r="CV64" s="93"/>
      <c r="CW64" s="93"/>
      <c r="CX64" s="93"/>
      <c r="CY64" s="93"/>
      <c r="CZ64" s="93"/>
      <c r="DA64" s="93"/>
      <c r="DB64" s="93"/>
      <c r="DC64" s="93"/>
      <c r="DD64" s="93"/>
      <c r="DE64" s="93"/>
      <c r="DF64" s="93"/>
      <c r="DG64" s="93"/>
      <c r="DH64" s="93"/>
      <c r="DI64" s="93"/>
      <c r="DJ64" s="93"/>
      <c r="DK64" s="93"/>
      <c r="DL64" s="93"/>
      <c r="DM64" s="93"/>
      <c r="DN64" s="93"/>
      <c r="DO64" s="93"/>
      <c r="DP64" s="93"/>
      <c r="DQ64" s="93"/>
      <c r="DR64" s="93"/>
      <c r="DS64" s="93"/>
      <c r="DT64" s="93"/>
      <c r="DU64" s="93"/>
      <c r="DV64" s="93"/>
      <c r="DW64" s="93"/>
      <c r="DX64" s="93"/>
      <c r="DY64" s="93"/>
      <c r="DZ64" s="93"/>
      <c r="EA64" s="93"/>
      <c r="EB64" s="93"/>
      <c r="EC64" s="93"/>
      <c r="ED64" s="93"/>
      <c r="EE64" s="93"/>
      <c r="EF64" s="93"/>
      <c r="EG64" s="93"/>
      <c r="EH64" s="93"/>
      <c r="EI64" s="93"/>
      <c r="EJ64" s="93"/>
      <c r="EK64" s="93"/>
      <c r="EL64" s="93"/>
      <c r="EM64" s="93"/>
      <c r="EN64" s="93"/>
      <c r="EO64" s="93"/>
      <c r="EP64" s="93"/>
      <c r="EQ64" s="93"/>
      <c r="ER64" s="93"/>
      <c r="ES64" s="93"/>
      <c r="ET64" s="93"/>
      <c r="EU64" s="93"/>
      <c r="EV64" s="93"/>
      <c r="EW64" s="93"/>
      <c r="EX64" s="93"/>
      <c r="EY64" s="93"/>
      <c r="EZ64" s="93"/>
      <c r="FA64" s="93"/>
      <c r="FB64" s="93"/>
      <c r="FC64" s="93"/>
      <c r="FD64" s="93"/>
      <c r="FE64" s="93"/>
      <c r="FF64" s="93"/>
      <c r="FG64" s="93"/>
      <c r="FH64" s="93"/>
      <c r="FI64" s="93"/>
      <c r="FJ64" s="93"/>
      <c r="FK64" s="93"/>
      <c r="FL64" s="93"/>
      <c r="FM64" s="93"/>
      <c r="FN64" s="93"/>
      <c r="FO64" s="93"/>
      <c r="FP64" s="93"/>
      <c r="FQ64" s="93"/>
      <c r="FR64" s="93"/>
      <c r="FS64" s="93"/>
      <c r="FT64" s="93"/>
      <c r="FU64" s="93"/>
      <c r="FV64" s="93"/>
      <c r="FW64" s="93"/>
      <c r="FX64" s="93"/>
      <c r="FY64" s="93"/>
      <c r="FZ64" s="93"/>
      <c r="GA64" s="93"/>
      <c r="GB64" s="93"/>
      <c r="GC64" s="93"/>
      <c r="GD64" s="93"/>
      <c r="GE64" s="93"/>
      <c r="GF64" s="93"/>
      <c r="GG64" s="93"/>
      <c r="GH64" s="93"/>
      <c r="GI64" s="93"/>
      <c r="GJ64" s="93"/>
      <c r="GK64" s="93"/>
      <c r="GL64" s="93"/>
      <c r="GM64" s="93"/>
      <c r="GN64" s="93"/>
      <c r="GO64" s="93"/>
      <c r="GP64" s="93"/>
      <c r="GQ64" s="93"/>
      <c r="GR64" s="93"/>
      <c r="GS64" s="93"/>
      <c r="GT64" s="93"/>
    </row>
    <row r="65" spans="1:202" ht="16.5" customHeight="1">
      <c r="A65" s="96"/>
      <c r="B65" s="92"/>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c r="BQ65" s="93"/>
      <c r="BR65" s="93"/>
      <c r="BS65" s="93"/>
      <c r="BT65" s="93"/>
      <c r="BU65" s="93"/>
      <c r="BV65" s="93"/>
      <c r="BW65" s="93"/>
      <c r="BX65" s="93"/>
      <c r="BY65" s="93"/>
      <c r="BZ65" s="93"/>
      <c r="CA65" s="93"/>
      <c r="CB65" s="93"/>
      <c r="CC65" s="93"/>
      <c r="CD65" s="93"/>
      <c r="CE65" s="93"/>
      <c r="CF65" s="93"/>
      <c r="CG65" s="93"/>
      <c r="CH65" s="93"/>
      <c r="CI65" s="93"/>
      <c r="CJ65" s="93"/>
      <c r="CK65" s="93"/>
      <c r="CL65" s="93"/>
      <c r="CM65" s="93"/>
      <c r="CN65" s="93"/>
      <c r="CO65" s="93"/>
      <c r="CP65" s="93"/>
      <c r="CQ65" s="93"/>
      <c r="CR65" s="93"/>
      <c r="CS65" s="93"/>
      <c r="CT65" s="93"/>
      <c r="CU65" s="93"/>
      <c r="CV65" s="93"/>
      <c r="CW65" s="93"/>
      <c r="CX65" s="93"/>
      <c r="CY65" s="93"/>
      <c r="CZ65" s="93"/>
      <c r="DA65" s="93"/>
      <c r="DB65" s="93"/>
      <c r="DC65" s="93"/>
      <c r="DD65" s="93"/>
      <c r="DE65" s="93"/>
      <c r="DF65" s="93"/>
      <c r="DG65" s="93"/>
      <c r="DH65" s="93"/>
      <c r="DI65" s="93"/>
      <c r="DJ65" s="93"/>
      <c r="DK65" s="93"/>
      <c r="DL65" s="93"/>
      <c r="DM65" s="93"/>
      <c r="DN65" s="93"/>
      <c r="DO65" s="93"/>
      <c r="DP65" s="93"/>
      <c r="DQ65" s="93"/>
      <c r="DR65" s="93"/>
      <c r="DS65" s="93"/>
      <c r="DT65" s="93"/>
      <c r="DU65" s="93"/>
      <c r="DV65" s="93"/>
      <c r="DW65" s="93"/>
      <c r="DX65" s="93"/>
      <c r="DY65" s="93"/>
      <c r="DZ65" s="93"/>
      <c r="EA65" s="93"/>
      <c r="EB65" s="93"/>
      <c r="EC65" s="93"/>
      <c r="ED65" s="93"/>
      <c r="EE65" s="93"/>
      <c r="EF65" s="93"/>
      <c r="EG65" s="93"/>
      <c r="EH65" s="93"/>
      <c r="EI65" s="93"/>
      <c r="EJ65" s="93"/>
      <c r="EK65" s="93"/>
      <c r="EL65" s="93"/>
      <c r="EM65" s="93"/>
      <c r="EN65" s="93"/>
      <c r="EO65" s="93"/>
      <c r="EP65" s="93"/>
      <c r="EQ65" s="93"/>
      <c r="ER65" s="93"/>
      <c r="ES65" s="93"/>
      <c r="ET65" s="93"/>
      <c r="EU65" s="93"/>
      <c r="EV65" s="93"/>
      <c r="EW65" s="93"/>
      <c r="EX65" s="93"/>
      <c r="EY65" s="93"/>
      <c r="EZ65" s="93"/>
      <c r="FA65" s="93"/>
      <c r="FB65" s="93"/>
      <c r="FC65" s="93"/>
      <c r="FD65" s="93"/>
      <c r="FE65" s="93"/>
      <c r="FF65" s="93"/>
      <c r="FG65" s="93"/>
      <c r="FH65" s="93"/>
      <c r="FI65" s="93"/>
      <c r="FJ65" s="93"/>
      <c r="FK65" s="93"/>
      <c r="FL65" s="93"/>
      <c r="FM65" s="93"/>
      <c r="FN65" s="93"/>
      <c r="FO65" s="93"/>
      <c r="FP65" s="93"/>
      <c r="FQ65" s="93"/>
      <c r="FR65" s="93"/>
      <c r="FS65" s="93"/>
      <c r="FT65" s="93"/>
      <c r="FU65" s="93"/>
      <c r="FV65" s="93"/>
      <c r="FW65" s="93"/>
      <c r="FX65" s="93"/>
      <c r="FY65" s="93"/>
      <c r="FZ65" s="93"/>
      <c r="GA65" s="93"/>
      <c r="GB65" s="93"/>
      <c r="GC65" s="93"/>
      <c r="GD65" s="93"/>
      <c r="GE65" s="93"/>
      <c r="GF65" s="93"/>
      <c r="GG65" s="93"/>
      <c r="GH65" s="93"/>
      <c r="GI65" s="93"/>
      <c r="GJ65" s="93"/>
      <c r="GK65" s="93"/>
      <c r="GL65" s="93"/>
      <c r="GM65" s="93"/>
      <c r="GN65" s="93"/>
      <c r="GO65" s="93"/>
      <c r="GP65" s="93"/>
      <c r="GQ65" s="93"/>
      <c r="GR65" s="93"/>
      <c r="GS65" s="93"/>
      <c r="GT65" s="93"/>
    </row>
    <row r="66" spans="1:202" ht="16.5" customHeight="1">
      <c r="A66" s="96"/>
      <c r="B66" s="92"/>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3"/>
      <c r="BJ66" s="93"/>
      <c r="BK66" s="93"/>
      <c r="BL66" s="93"/>
      <c r="BM66" s="93"/>
      <c r="BN66" s="93"/>
      <c r="BO66" s="93"/>
      <c r="BP66" s="93"/>
      <c r="BQ66" s="93"/>
      <c r="BR66" s="93"/>
      <c r="BS66" s="93"/>
      <c r="BT66" s="93"/>
      <c r="BU66" s="93"/>
      <c r="BV66" s="93"/>
      <c r="BW66" s="93"/>
      <c r="BX66" s="93"/>
      <c r="BY66" s="93"/>
      <c r="BZ66" s="93"/>
      <c r="CA66" s="93"/>
      <c r="CB66" s="93"/>
      <c r="CC66" s="93"/>
      <c r="CD66" s="93"/>
      <c r="CE66" s="93"/>
      <c r="CF66" s="93"/>
      <c r="CG66" s="93"/>
      <c r="CH66" s="93"/>
      <c r="CI66" s="93"/>
      <c r="CJ66" s="93"/>
      <c r="CK66" s="93"/>
      <c r="CL66" s="93"/>
      <c r="CM66" s="93"/>
      <c r="CN66" s="93"/>
      <c r="CO66" s="93"/>
      <c r="CP66" s="93"/>
      <c r="CQ66" s="93"/>
      <c r="CR66" s="93"/>
      <c r="CS66" s="93"/>
      <c r="CT66" s="93"/>
      <c r="CU66" s="93"/>
      <c r="CV66" s="93"/>
      <c r="CW66" s="93"/>
      <c r="CX66" s="93"/>
      <c r="CY66" s="93"/>
      <c r="CZ66" s="93"/>
      <c r="DA66" s="93"/>
      <c r="DB66" s="93"/>
      <c r="DC66" s="93"/>
      <c r="DD66" s="93"/>
      <c r="DE66" s="93"/>
      <c r="DF66" s="93"/>
      <c r="DG66" s="93"/>
      <c r="DH66" s="93"/>
      <c r="DI66" s="93"/>
      <c r="DJ66" s="93"/>
      <c r="DK66" s="93"/>
      <c r="DL66" s="93"/>
      <c r="DM66" s="93"/>
      <c r="DN66" s="93"/>
      <c r="DO66" s="93"/>
      <c r="DP66" s="93"/>
      <c r="DQ66" s="93"/>
      <c r="DR66" s="93"/>
      <c r="DS66" s="93"/>
      <c r="DT66" s="93"/>
      <c r="DU66" s="93"/>
      <c r="DV66" s="93"/>
      <c r="DW66" s="93"/>
      <c r="DX66" s="93"/>
      <c r="DY66" s="93"/>
      <c r="DZ66" s="93"/>
      <c r="EA66" s="93"/>
      <c r="EB66" s="93"/>
      <c r="EC66" s="93"/>
      <c r="ED66" s="93"/>
      <c r="EE66" s="93"/>
      <c r="EF66" s="93"/>
      <c r="EG66" s="93"/>
      <c r="EH66" s="93"/>
      <c r="EI66" s="93"/>
      <c r="EJ66" s="93"/>
      <c r="EK66" s="93"/>
      <c r="EL66" s="93"/>
      <c r="EM66" s="93"/>
      <c r="EN66" s="93"/>
      <c r="EO66" s="93"/>
      <c r="EP66" s="93"/>
      <c r="EQ66" s="93"/>
      <c r="ER66" s="93"/>
      <c r="ES66" s="93"/>
      <c r="ET66" s="93"/>
      <c r="EU66" s="93"/>
      <c r="EV66" s="93"/>
      <c r="EW66" s="93"/>
      <c r="EX66" s="93"/>
      <c r="EY66" s="93"/>
      <c r="EZ66" s="93"/>
      <c r="FA66" s="93"/>
      <c r="FB66" s="93"/>
      <c r="FC66" s="93"/>
      <c r="FD66" s="93"/>
      <c r="FE66" s="93"/>
      <c r="FF66" s="93"/>
      <c r="FG66" s="93"/>
      <c r="FH66" s="93"/>
      <c r="FI66" s="93"/>
      <c r="FJ66" s="93"/>
      <c r="FK66" s="93"/>
      <c r="FL66" s="93"/>
      <c r="FM66" s="93"/>
      <c r="FN66" s="93"/>
      <c r="FO66" s="93"/>
      <c r="FP66" s="93"/>
      <c r="FQ66" s="93"/>
      <c r="FR66" s="93"/>
      <c r="FS66" s="93"/>
      <c r="FT66" s="93"/>
      <c r="FU66" s="93"/>
      <c r="FV66" s="93"/>
      <c r="FW66" s="93"/>
      <c r="FX66" s="93"/>
      <c r="FY66" s="93"/>
      <c r="FZ66" s="93"/>
      <c r="GA66" s="93"/>
      <c r="GB66" s="93"/>
      <c r="GC66" s="93"/>
      <c r="GD66" s="93"/>
      <c r="GE66" s="93"/>
      <c r="GF66" s="93"/>
      <c r="GG66" s="93"/>
      <c r="GH66" s="93"/>
      <c r="GI66" s="93"/>
      <c r="GJ66" s="93"/>
      <c r="GK66" s="93"/>
      <c r="GL66" s="93"/>
      <c r="GM66" s="93"/>
      <c r="GN66" s="93"/>
      <c r="GO66" s="93"/>
      <c r="GP66" s="93"/>
      <c r="GQ66" s="93"/>
      <c r="GR66" s="93"/>
      <c r="GS66" s="93"/>
      <c r="GT66" s="93"/>
    </row>
    <row r="67" spans="1:202" ht="16.5" customHeight="1">
      <c r="A67" s="96"/>
      <c r="B67" s="92"/>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c r="BZ67" s="93"/>
      <c r="CA67" s="93"/>
      <c r="CB67" s="93"/>
      <c r="CC67" s="93"/>
      <c r="CD67" s="93"/>
      <c r="CE67" s="93"/>
      <c r="CF67" s="93"/>
      <c r="CG67" s="93"/>
      <c r="CH67" s="93"/>
      <c r="CI67" s="93"/>
      <c r="CJ67" s="93"/>
      <c r="CK67" s="93"/>
      <c r="CL67" s="93"/>
      <c r="CM67" s="93"/>
      <c r="CN67" s="93"/>
      <c r="CO67" s="93"/>
      <c r="CP67" s="93"/>
      <c r="CQ67" s="93"/>
      <c r="CR67" s="93"/>
      <c r="CS67" s="93"/>
      <c r="CT67" s="93"/>
      <c r="CU67" s="93"/>
      <c r="CV67" s="93"/>
      <c r="CW67" s="93"/>
      <c r="CX67" s="93"/>
      <c r="CY67" s="93"/>
      <c r="CZ67" s="93"/>
      <c r="DA67" s="93"/>
      <c r="DB67" s="93"/>
      <c r="DC67" s="93"/>
      <c r="DD67" s="93"/>
      <c r="DE67" s="93"/>
      <c r="DF67" s="93"/>
      <c r="DG67" s="93"/>
      <c r="DH67" s="93"/>
      <c r="DI67" s="93"/>
      <c r="DJ67" s="93"/>
      <c r="DK67" s="93"/>
      <c r="DL67" s="93"/>
      <c r="DM67" s="93"/>
      <c r="DN67" s="93"/>
      <c r="DO67" s="93"/>
      <c r="DP67" s="93"/>
      <c r="DQ67" s="93"/>
      <c r="DR67" s="93"/>
      <c r="DS67" s="93"/>
      <c r="DT67" s="93"/>
      <c r="DU67" s="93"/>
      <c r="DV67" s="93"/>
      <c r="DW67" s="93"/>
      <c r="DX67" s="93"/>
      <c r="DY67" s="93"/>
      <c r="DZ67" s="93"/>
      <c r="EA67" s="93"/>
      <c r="EB67" s="93"/>
      <c r="EC67" s="93"/>
      <c r="ED67" s="93"/>
      <c r="EE67" s="93"/>
      <c r="EF67" s="93"/>
      <c r="EG67" s="93"/>
      <c r="EH67" s="93"/>
      <c r="EI67" s="93"/>
      <c r="EJ67" s="93"/>
      <c r="EK67" s="93"/>
      <c r="EL67" s="93"/>
      <c r="EM67" s="93"/>
      <c r="EN67" s="93"/>
      <c r="EO67" s="93"/>
      <c r="EP67" s="93"/>
      <c r="EQ67" s="93"/>
      <c r="ER67" s="93"/>
      <c r="ES67" s="93"/>
      <c r="ET67" s="93"/>
      <c r="EU67" s="93"/>
      <c r="EV67" s="93"/>
      <c r="EW67" s="93"/>
      <c r="EX67" s="93"/>
      <c r="EY67" s="93"/>
      <c r="EZ67" s="93"/>
      <c r="FA67" s="93"/>
      <c r="FB67" s="93"/>
      <c r="FC67" s="93"/>
      <c r="FD67" s="93"/>
      <c r="FE67" s="93"/>
      <c r="FF67" s="93"/>
      <c r="FG67" s="93"/>
      <c r="FH67" s="93"/>
      <c r="FI67" s="93"/>
      <c r="FJ67" s="93"/>
      <c r="FK67" s="93"/>
      <c r="FL67" s="93"/>
      <c r="FM67" s="93"/>
      <c r="FN67" s="93"/>
      <c r="FO67" s="93"/>
      <c r="FP67" s="93"/>
      <c r="FQ67" s="93"/>
      <c r="FR67" s="93"/>
      <c r="FS67" s="93"/>
      <c r="FT67" s="93"/>
      <c r="FU67" s="93"/>
      <c r="FV67" s="93"/>
      <c r="FW67" s="93"/>
      <c r="FX67" s="93"/>
      <c r="FY67" s="93"/>
      <c r="FZ67" s="93"/>
      <c r="GA67" s="93"/>
      <c r="GB67" s="93"/>
      <c r="GC67" s="93"/>
      <c r="GD67" s="93"/>
      <c r="GE67" s="93"/>
      <c r="GF67" s="93"/>
      <c r="GG67" s="93"/>
      <c r="GH67" s="93"/>
      <c r="GI67" s="93"/>
      <c r="GJ67" s="93"/>
      <c r="GK67" s="93"/>
      <c r="GL67" s="93"/>
      <c r="GM67" s="93"/>
      <c r="GN67" s="93"/>
      <c r="GO67" s="93"/>
      <c r="GP67" s="93"/>
      <c r="GQ67" s="93"/>
      <c r="GR67" s="93"/>
      <c r="GS67" s="93"/>
      <c r="GT67" s="93"/>
    </row>
    <row r="68" spans="1:202" ht="16.5" customHeight="1">
      <c r="A68" s="96"/>
      <c r="B68" s="92"/>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c r="BZ68" s="93"/>
      <c r="CA68" s="93"/>
      <c r="CB68" s="93"/>
      <c r="CC68" s="93"/>
      <c r="CD68" s="93"/>
      <c r="CE68" s="93"/>
      <c r="CF68" s="93"/>
      <c r="CG68" s="93"/>
      <c r="CH68" s="93"/>
      <c r="CI68" s="93"/>
      <c r="CJ68" s="93"/>
      <c r="CK68" s="93"/>
      <c r="CL68" s="93"/>
      <c r="CM68" s="93"/>
      <c r="CN68" s="93"/>
      <c r="CO68" s="93"/>
      <c r="CP68" s="93"/>
      <c r="CQ68" s="93"/>
      <c r="CR68" s="93"/>
      <c r="CS68" s="93"/>
      <c r="CT68" s="93"/>
      <c r="CU68" s="93"/>
      <c r="CV68" s="93"/>
      <c r="CW68" s="93"/>
      <c r="CX68" s="93"/>
      <c r="CY68" s="93"/>
      <c r="CZ68" s="93"/>
      <c r="DA68" s="93"/>
      <c r="DB68" s="93"/>
      <c r="DC68" s="93"/>
      <c r="DD68" s="93"/>
      <c r="DE68" s="93"/>
      <c r="DF68" s="93"/>
      <c r="DG68" s="93"/>
      <c r="DH68" s="93"/>
      <c r="DI68" s="93"/>
      <c r="DJ68" s="93"/>
      <c r="DK68" s="93"/>
      <c r="DL68" s="93"/>
      <c r="DM68" s="93"/>
      <c r="DN68" s="93"/>
      <c r="DO68" s="93"/>
      <c r="DP68" s="93"/>
      <c r="DQ68" s="93"/>
      <c r="DR68" s="93"/>
      <c r="DS68" s="93"/>
      <c r="DT68" s="93"/>
      <c r="DU68" s="93"/>
      <c r="DV68" s="93"/>
      <c r="DW68" s="93"/>
      <c r="DX68" s="93"/>
      <c r="DY68" s="93"/>
      <c r="DZ68" s="93"/>
      <c r="EA68" s="93"/>
      <c r="EB68" s="93"/>
      <c r="EC68" s="93"/>
      <c r="ED68" s="93"/>
      <c r="EE68" s="93"/>
      <c r="EF68" s="93"/>
      <c r="EG68" s="93"/>
      <c r="EH68" s="93"/>
      <c r="EI68" s="93"/>
      <c r="EJ68" s="93"/>
      <c r="EK68" s="93"/>
      <c r="EL68" s="93"/>
      <c r="EM68" s="93"/>
      <c r="EN68" s="93"/>
      <c r="EO68" s="93"/>
      <c r="EP68" s="93"/>
      <c r="EQ68" s="93"/>
      <c r="ER68" s="93"/>
      <c r="ES68" s="93"/>
      <c r="ET68" s="93"/>
      <c r="EU68" s="93"/>
      <c r="EV68" s="93"/>
      <c r="EW68" s="93"/>
      <c r="EX68" s="93"/>
      <c r="EY68" s="93"/>
      <c r="EZ68" s="93"/>
      <c r="FA68" s="93"/>
      <c r="FB68" s="93"/>
      <c r="FC68" s="93"/>
      <c r="FD68" s="93"/>
      <c r="FE68" s="93"/>
      <c r="FF68" s="93"/>
      <c r="FG68" s="93"/>
      <c r="FH68" s="93"/>
      <c r="FI68" s="93"/>
      <c r="FJ68" s="93"/>
      <c r="FK68" s="93"/>
      <c r="FL68" s="93"/>
      <c r="FM68" s="93"/>
      <c r="FN68" s="93"/>
      <c r="FO68" s="93"/>
      <c r="FP68" s="93"/>
      <c r="FQ68" s="93"/>
      <c r="FR68" s="93"/>
      <c r="FS68" s="93"/>
      <c r="FT68" s="93"/>
      <c r="FU68" s="93"/>
      <c r="FV68" s="93"/>
      <c r="FW68" s="93"/>
      <c r="FX68" s="93"/>
      <c r="FY68" s="93"/>
      <c r="FZ68" s="93"/>
      <c r="GA68" s="93"/>
      <c r="GB68" s="93"/>
      <c r="GC68" s="93"/>
      <c r="GD68" s="93"/>
      <c r="GE68" s="93"/>
      <c r="GF68" s="93"/>
      <c r="GG68" s="93"/>
      <c r="GH68" s="93"/>
      <c r="GI68" s="93"/>
      <c r="GJ68" s="93"/>
      <c r="GK68" s="93"/>
      <c r="GL68" s="93"/>
      <c r="GM68" s="93"/>
      <c r="GN68" s="93"/>
      <c r="GO68" s="93"/>
      <c r="GP68" s="93"/>
      <c r="GQ68" s="93"/>
      <c r="GR68" s="93"/>
      <c r="GS68" s="93"/>
      <c r="GT68" s="93"/>
    </row>
    <row r="69" spans="1:202" ht="16.5" customHeight="1">
      <c r="A69" s="96"/>
      <c r="B69" s="92"/>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3"/>
      <c r="BI69" s="93"/>
      <c r="BJ69" s="93"/>
      <c r="BK69" s="93"/>
      <c r="BL69" s="93"/>
      <c r="BM69" s="93"/>
      <c r="BN69" s="93"/>
      <c r="BO69" s="93"/>
      <c r="BP69" s="93"/>
      <c r="BQ69" s="93"/>
      <c r="BR69" s="93"/>
      <c r="BS69" s="93"/>
      <c r="BT69" s="93"/>
      <c r="BU69" s="93"/>
      <c r="BV69" s="93"/>
      <c r="BW69" s="93"/>
      <c r="BX69" s="93"/>
      <c r="BY69" s="93"/>
      <c r="BZ69" s="93"/>
      <c r="CA69" s="93"/>
      <c r="CB69" s="93"/>
      <c r="CC69" s="93"/>
      <c r="CD69" s="93"/>
      <c r="CE69" s="93"/>
      <c r="CF69" s="93"/>
      <c r="CG69" s="93"/>
      <c r="CH69" s="93"/>
      <c r="CI69" s="93"/>
      <c r="CJ69" s="93"/>
      <c r="CK69" s="93"/>
      <c r="CL69" s="93"/>
      <c r="CM69" s="93"/>
      <c r="CN69" s="93"/>
      <c r="CO69" s="93"/>
      <c r="CP69" s="93"/>
      <c r="CQ69" s="93"/>
      <c r="CR69" s="93"/>
      <c r="CS69" s="93"/>
      <c r="CT69" s="93"/>
      <c r="CU69" s="93"/>
      <c r="CV69" s="93"/>
      <c r="CW69" s="93"/>
      <c r="CX69" s="93"/>
      <c r="CY69" s="93"/>
      <c r="CZ69" s="93"/>
      <c r="DA69" s="93"/>
      <c r="DB69" s="93"/>
      <c r="DC69" s="93"/>
      <c r="DD69" s="93"/>
      <c r="DE69" s="93"/>
      <c r="DF69" s="93"/>
      <c r="DG69" s="93"/>
      <c r="DH69" s="93"/>
      <c r="DI69" s="93"/>
      <c r="DJ69" s="93"/>
      <c r="DK69" s="93"/>
      <c r="DL69" s="93"/>
      <c r="DM69" s="93"/>
      <c r="DN69" s="93"/>
      <c r="DO69" s="93"/>
      <c r="DP69" s="93"/>
      <c r="DQ69" s="93"/>
      <c r="DR69" s="93"/>
      <c r="DS69" s="93"/>
      <c r="DT69" s="93"/>
      <c r="DU69" s="93"/>
      <c r="DV69" s="93"/>
      <c r="DW69" s="93"/>
      <c r="DX69" s="93"/>
      <c r="DY69" s="93"/>
      <c r="DZ69" s="93"/>
      <c r="EA69" s="93"/>
      <c r="EB69" s="93"/>
      <c r="EC69" s="93"/>
      <c r="ED69" s="93"/>
      <c r="EE69" s="93"/>
      <c r="EF69" s="93"/>
      <c r="EG69" s="93"/>
      <c r="EH69" s="93"/>
      <c r="EI69" s="93"/>
      <c r="EJ69" s="93"/>
      <c r="EK69" s="93"/>
      <c r="EL69" s="93"/>
      <c r="EM69" s="93"/>
      <c r="EN69" s="93"/>
      <c r="EO69" s="93"/>
      <c r="EP69" s="93"/>
      <c r="EQ69" s="93"/>
      <c r="ER69" s="93"/>
      <c r="ES69" s="93"/>
      <c r="ET69" s="93"/>
      <c r="EU69" s="93"/>
      <c r="EV69" s="93"/>
      <c r="EW69" s="93"/>
      <c r="EX69" s="93"/>
      <c r="EY69" s="93"/>
      <c r="EZ69" s="93"/>
      <c r="FA69" s="93"/>
      <c r="FB69" s="93"/>
      <c r="FC69" s="93"/>
      <c r="FD69" s="93"/>
      <c r="FE69" s="93"/>
      <c r="FF69" s="93"/>
      <c r="FG69" s="93"/>
      <c r="FH69" s="93"/>
      <c r="FI69" s="93"/>
      <c r="FJ69" s="93"/>
      <c r="FK69" s="93"/>
      <c r="FL69" s="93"/>
      <c r="FM69" s="93"/>
      <c r="FN69" s="93"/>
      <c r="FO69" s="93"/>
      <c r="FP69" s="93"/>
      <c r="FQ69" s="93"/>
      <c r="FR69" s="93"/>
      <c r="FS69" s="93"/>
      <c r="FT69" s="93"/>
      <c r="FU69" s="93"/>
      <c r="FV69" s="93"/>
      <c r="FW69" s="93"/>
      <c r="FX69" s="93"/>
      <c r="FY69" s="93"/>
      <c r="FZ69" s="93"/>
      <c r="GA69" s="93"/>
      <c r="GB69" s="93"/>
      <c r="GC69" s="93"/>
      <c r="GD69" s="93"/>
      <c r="GE69" s="93"/>
      <c r="GF69" s="93"/>
      <c r="GG69" s="93"/>
      <c r="GH69" s="93"/>
      <c r="GI69" s="93"/>
      <c r="GJ69" s="93"/>
      <c r="GK69" s="93"/>
      <c r="GL69" s="93"/>
      <c r="GM69" s="93"/>
      <c r="GN69" s="93"/>
      <c r="GO69" s="93"/>
      <c r="GP69" s="93"/>
      <c r="GQ69" s="93"/>
      <c r="GR69" s="93"/>
      <c r="GS69" s="93"/>
      <c r="GT69" s="93"/>
    </row>
    <row r="70" spans="1:202" ht="16.5" customHeight="1">
      <c r="A70" s="96"/>
      <c r="B70" s="92"/>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3"/>
      <c r="BW70" s="93"/>
      <c r="BX70" s="93"/>
      <c r="BY70" s="93"/>
      <c r="BZ70" s="93"/>
      <c r="CA70" s="93"/>
      <c r="CB70" s="93"/>
      <c r="CC70" s="93"/>
      <c r="CD70" s="93"/>
      <c r="CE70" s="93"/>
      <c r="CF70" s="93"/>
      <c r="CG70" s="93"/>
      <c r="CH70" s="93"/>
      <c r="CI70" s="93"/>
      <c r="CJ70" s="93"/>
      <c r="CK70" s="93"/>
      <c r="CL70" s="93"/>
      <c r="CM70" s="93"/>
      <c r="CN70" s="93"/>
      <c r="CO70" s="93"/>
      <c r="CP70" s="93"/>
      <c r="CQ70" s="93"/>
      <c r="CR70" s="93"/>
      <c r="CS70" s="93"/>
      <c r="CT70" s="93"/>
      <c r="CU70" s="93"/>
      <c r="CV70" s="93"/>
      <c r="CW70" s="93"/>
      <c r="CX70" s="93"/>
      <c r="CY70" s="93"/>
      <c r="CZ70" s="93"/>
      <c r="DA70" s="93"/>
      <c r="DB70" s="93"/>
      <c r="DC70" s="93"/>
      <c r="DD70" s="93"/>
      <c r="DE70" s="93"/>
      <c r="DF70" s="93"/>
      <c r="DG70" s="93"/>
      <c r="DH70" s="93"/>
      <c r="DI70" s="93"/>
      <c r="DJ70" s="93"/>
      <c r="DK70" s="93"/>
      <c r="DL70" s="93"/>
      <c r="DM70" s="93"/>
      <c r="DN70" s="93"/>
      <c r="DO70" s="93"/>
      <c r="DP70" s="93"/>
      <c r="DQ70" s="93"/>
      <c r="DR70" s="93"/>
      <c r="DS70" s="93"/>
      <c r="DT70" s="93"/>
      <c r="DU70" s="93"/>
      <c r="DV70" s="93"/>
      <c r="DW70" s="93"/>
      <c r="DX70" s="93"/>
      <c r="DY70" s="93"/>
      <c r="DZ70" s="93"/>
      <c r="EA70" s="93"/>
      <c r="EB70" s="93"/>
      <c r="EC70" s="93"/>
      <c r="ED70" s="93"/>
      <c r="EE70" s="93"/>
      <c r="EF70" s="93"/>
      <c r="EG70" s="93"/>
      <c r="EH70" s="93"/>
      <c r="EI70" s="93"/>
      <c r="EJ70" s="93"/>
      <c r="EK70" s="93"/>
      <c r="EL70" s="93"/>
      <c r="EM70" s="93"/>
      <c r="EN70" s="93"/>
      <c r="EO70" s="93"/>
      <c r="EP70" s="93"/>
      <c r="EQ70" s="93"/>
      <c r="ER70" s="93"/>
      <c r="ES70" s="93"/>
      <c r="ET70" s="93"/>
      <c r="EU70" s="93"/>
      <c r="EV70" s="93"/>
      <c r="EW70" s="93"/>
      <c r="EX70" s="93"/>
      <c r="EY70" s="93"/>
      <c r="EZ70" s="93"/>
      <c r="FA70" s="93"/>
      <c r="FB70" s="93"/>
      <c r="FC70" s="93"/>
      <c r="FD70" s="93"/>
      <c r="FE70" s="93"/>
      <c r="FF70" s="93"/>
      <c r="FG70" s="93"/>
      <c r="FH70" s="93"/>
      <c r="FI70" s="93"/>
      <c r="FJ70" s="93"/>
      <c r="FK70" s="93"/>
      <c r="FL70" s="93"/>
      <c r="FM70" s="93"/>
      <c r="FN70" s="93"/>
      <c r="FO70" s="93"/>
      <c r="FP70" s="93"/>
      <c r="FQ70" s="93"/>
      <c r="FR70" s="93"/>
      <c r="FS70" s="93"/>
      <c r="FT70" s="93"/>
      <c r="FU70" s="93"/>
      <c r="FV70" s="93"/>
      <c r="FW70" s="93"/>
      <c r="FX70" s="93"/>
      <c r="FY70" s="93"/>
      <c r="FZ70" s="93"/>
      <c r="GA70" s="93"/>
      <c r="GB70" s="93"/>
      <c r="GC70" s="93"/>
      <c r="GD70" s="93"/>
      <c r="GE70" s="93"/>
      <c r="GF70" s="93"/>
      <c r="GG70" s="93"/>
      <c r="GH70" s="93"/>
      <c r="GI70" s="93"/>
      <c r="GJ70" s="93"/>
      <c r="GK70" s="93"/>
      <c r="GL70" s="93"/>
      <c r="GM70" s="93"/>
      <c r="GN70" s="93"/>
      <c r="GO70" s="93"/>
      <c r="GP70" s="93"/>
      <c r="GQ70" s="93"/>
      <c r="GR70" s="93"/>
      <c r="GS70" s="93"/>
      <c r="GT70" s="93"/>
    </row>
    <row r="71" spans="1:202" ht="24">
      <c r="A71" s="52" t="s">
        <v>119</v>
      </c>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c r="CQ71" s="29"/>
      <c r="CR71" s="29"/>
      <c r="CS71" s="29"/>
      <c r="CT71" s="29"/>
      <c r="CU71" s="29"/>
      <c r="CV71" s="29"/>
      <c r="CW71" s="29"/>
      <c r="CX71" s="29"/>
      <c r="CY71" s="29"/>
      <c r="CZ71" s="29"/>
      <c r="DA71" s="29"/>
      <c r="DB71" s="29"/>
      <c r="DC71" s="29"/>
      <c r="DD71" s="29"/>
      <c r="DE71" s="29"/>
      <c r="DF71" s="29"/>
      <c r="DG71" s="29"/>
      <c r="DH71" s="29"/>
      <c r="DI71" s="29"/>
      <c r="DJ71" s="29"/>
      <c r="DK71" s="29"/>
      <c r="DL71" s="29"/>
      <c r="DM71" s="29"/>
      <c r="DN71" s="29"/>
      <c r="DO71" s="29"/>
      <c r="DP71" s="29"/>
      <c r="DQ71" s="29"/>
      <c r="DR71" s="29"/>
      <c r="DS71" s="29"/>
      <c r="DT71" s="29"/>
      <c r="DU71" s="29"/>
      <c r="DV71" s="29"/>
      <c r="DW71" s="29"/>
      <c r="DX71" s="29"/>
      <c r="DY71" s="29"/>
      <c r="DZ71" s="29"/>
      <c r="EA71" s="29"/>
      <c r="EB71" s="29"/>
      <c r="EC71" s="29"/>
      <c r="ED71" s="29"/>
      <c r="EE71" s="29"/>
      <c r="EF71" s="29"/>
      <c r="EG71" s="29"/>
      <c r="EH71" s="29"/>
      <c r="EI71" s="29"/>
      <c r="EJ71" s="29"/>
      <c r="EK71" s="29"/>
      <c r="EL71" s="29"/>
      <c r="EM71" s="29"/>
      <c r="EN71" s="29"/>
      <c r="EO71" s="29"/>
      <c r="EP71" s="29"/>
      <c r="EQ71" s="29"/>
      <c r="ER71" s="29"/>
      <c r="ES71" s="29"/>
      <c r="ET71" s="29"/>
      <c r="EU71" s="29"/>
      <c r="EV71" s="29"/>
      <c r="EW71" s="29"/>
      <c r="EX71" s="29"/>
      <c r="EY71" s="29"/>
      <c r="EZ71" s="29"/>
      <c r="FA71" s="29"/>
      <c r="FB71" s="29"/>
      <c r="FC71" s="29"/>
      <c r="FD71" s="29"/>
      <c r="FE71" s="29"/>
      <c r="FF71" s="29"/>
      <c r="FG71" s="29"/>
      <c r="FH71" s="29"/>
      <c r="FI71" s="29"/>
      <c r="FJ71" s="29"/>
      <c r="FK71" s="29"/>
      <c r="FL71" s="29"/>
      <c r="FM71" s="29"/>
      <c r="FN71" s="29"/>
      <c r="FO71" s="29"/>
      <c r="FP71" s="29"/>
      <c r="FQ71" s="29"/>
      <c r="FR71" s="29"/>
      <c r="FS71" s="29"/>
      <c r="FT71" s="29"/>
      <c r="FU71" s="29"/>
      <c r="FV71" s="29"/>
      <c r="FW71" s="29"/>
      <c r="FX71" s="29"/>
      <c r="FY71" s="29"/>
      <c r="FZ71" s="29"/>
      <c r="GA71" s="29"/>
      <c r="GB71" s="29"/>
      <c r="GC71" s="29"/>
      <c r="GD71" s="29"/>
      <c r="GE71" s="29"/>
      <c r="GF71" s="29"/>
      <c r="GG71" s="29"/>
      <c r="GH71" s="29"/>
      <c r="GI71" s="29"/>
      <c r="GJ71" s="29"/>
      <c r="GK71" s="29"/>
      <c r="GL71" s="29"/>
      <c r="GM71" s="29"/>
      <c r="GN71" s="29"/>
      <c r="GO71" s="29"/>
      <c r="GP71" s="29"/>
      <c r="GQ71" s="29"/>
      <c r="GR71" s="29"/>
      <c r="GS71" s="29"/>
      <c r="GT71" s="29"/>
    </row>
    <row r="72" spans="1:202" s="28" customFormat="1" ht="21">
      <c r="A72" s="226" t="s">
        <v>242</v>
      </c>
      <c r="B72" s="44"/>
      <c r="C72" s="45">
        <f>-SUM(C73:C80)</f>
        <v>0</v>
      </c>
      <c r="D72" s="45">
        <f t="shared" ref="D72" si="47">-SUM(D73:D80)</f>
        <v>0</v>
      </c>
      <c r="E72" s="45">
        <f>-SUM(E73:E80)</f>
        <v>0</v>
      </c>
      <c r="F72" s="45">
        <f t="shared" ref="F72:BQ72" si="48">-SUM(F73:F80)</f>
        <v>0</v>
      </c>
      <c r="G72" s="45">
        <f t="shared" si="48"/>
        <v>0</v>
      </c>
      <c r="H72" s="45">
        <f t="shared" si="48"/>
        <v>0</v>
      </c>
      <c r="I72" s="45">
        <f t="shared" si="48"/>
        <v>0</v>
      </c>
      <c r="J72" s="45">
        <f t="shared" si="48"/>
        <v>0</v>
      </c>
      <c r="K72" s="45">
        <f t="shared" si="48"/>
        <v>0</v>
      </c>
      <c r="L72" s="45">
        <f t="shared" si="48"/>
        <v>0</v>
      </c>
      <c r="M72" s="45">
        <f t="shared" si="48"/>
        <v>0</v>
      </c>
      <c r="N72" s="45">
        <f t="shared" si="48"/>
        <v>0</v>
      </c>
      <c r="O72" s="45">
        <f t="shared" si="48"/>
        <v>0</v>
      </c>
      <c r="P72" s="45">
        <f t="shared" si="48"/>
        <v>0</v>
      </c>
      <c r="Q72" s="45">
        <f t="shared" si="48"/>
        <v>0</v>
      </c>
      <c r="R72" s="45">
        <f t="shared" si="48"/>
        <v>0</v>
      </c>
      <c r="S72" s="45">
        <f t="shared" si="48"/>
        <v>0</v>
      </c>
      <c r="T72" s="45">
        <f t="shared" si="48"/>
        <v>0</v>
      </c>
      <c r="U72" s="45">
        <f t="shared" si="48"/>
        <v>0</v>
      </c>
      <c r="V72" s="45">
        <f t="shared" si="48"/>
        <v>0</v>
      </c>
      <c r="W72" s="45">
        <f t="shared" si="48"/>
        <v>0</v>
      </c>
      <c r="X72" s="45">
        <f t="shared" si="48"/>
        <v>0</v>
      </c>
      <c r="Y72" s="45">
        <f t="shared" si="48"/>
        <v>0</v>
      </c>
      <c r="Z72" s="45">
        <f t="shared" si="48"/>
        <v>0</v>
      </c>
      <c r="AA72" s="45">
        <f t="shared" si="48"/>
        <v>0</v>
      </c>
      <c r="AB72" s="45">
        <f t="shared" si="48"/>
        <v>0</v>
      </c>
      <c r="AC72" s="45">
        <f t="shared" si="48"/>
        <v>0</v>
      </c>
      <c r="AD72" s="45">
        <f t="shared" si="48"/>
        <v>0</v>
      </c>
      <c r="AE72" s="45">
        <f t="shared" si="48"/>
        <v>0</v>
      </c>
      <c r="AF72" s="45">
        <f t="shared" si="48"/>
        <v>0</v>
      </c>
      <c r="AG72" s="45">
        <f t="shared" si="48"/>
        <v>0</v>
      </c>
      <c r="AH72" s="45">
        <f t="shared" si="48"/>
        <v>0</v>
      </c>
      <c r="AI72" s="45">
        <f t="shared" si="48"/>
        <v>0</v>
      </c>
      <c r="AJ72" s="45">
        <f t="shared" si="48"/>
        <v>0</v>
      </c>
      <c r="AK72" s="45">
        <f t="shared" si="48"/>
        <v>0</v>
      </c>
      <c r="AL72" s="45">
        <f t="shared" si="48"/>
        <v>0</v>
      </c>
      <c r="AM72" s="45">
        <f t="shared" si="48"/>
        <v>0</v>
      </c>
      <c r="AN72" s="45">
        <f t="shared" si="48"/>
        <v>0</v>
      </c>
      <c r="AO72" s="45">
        <f t="shared" si="48"/>
        <v>0</v>
      </c>
      <c r="AP72" s="45">
        <f t="shared" si="48"/>
        <v>0</v>
      </c>
      <c r="AQ72" s="45">
        <f t="shared" si="48"/>
        <v>0</v>
      </c>
      <c r="AR72" s="45">
        <f t="shared" si="48"/>
        <v>0</v>
      </c>
      <c r="AS72" s="45">
        <f t="shared" si="48"/>
        <v>0</v>
      </c>
      <c r="AT72" s="45">
        <f t="shared" si="48"/>
        <v>0</v>
      </c>
      <c r="AU72" s="45">
        <f t="shared" si="48"/>
        <v>0</v>
      </c>
      <c r="AV72" s="45">
        <f t="shared" si="48"/>
        <v>0</v>
      </c>
      <c r="AW72" s="45">
        <f t="shared" si="48"/>
        <v>0</v>
      </c>
      <c r="AX72" s="45">
        <f t="shared" si="48"/>
        <v>0</v>
      </c>
      <c r="AY72" s="45">
        <f t="shared" si="48"/>
        <v>0</v>
      </c>
      <c r="AZ72" s="45">
        <f t="shared" si="48"/>
        <v>0</v>
      </c>
      <c r="BA72" s="45">
        <f t="shared" si="48"/>
        <v>0</v>
      </c>
      <c r="BB72" s="45">
        <f t="shared" si="48"/>
        <v>0</v>
      </c>
      <c r="BC72" s="45">
        <f t="shared" si="48"/>
        <v>0</v>
      </c>
      <c r="BD72" s="45">
        <f t="shared" si="48"/>
        <v>0</v>
      </c>
      <c r="BE72" s="45">
        <f t="shared" si="48"/>
        <v>0</v>
      </c>
      <c r="BF72" s="45">
        <f t="shared" si="48"/>
        <v>0</v>
      </c>
      <c r="BG72" s="45">
        <f t="shared" si="48"/>
        <v>0</v>
      </c>
      <c r="BH72" s="45">
        <f t="shared" si="48"/>
        <v>0</v>
      </c>
      <c r="BI72" s="45">
        <f t="shared" si="48"/>
        <v>0</v>
      </c>
      <c r="BJ72" s="45">
        <f t="shared" si="48"/>
        <v>0</v>
      </c>
      <c r="BK72" s="45">
        <f t="shared" si="48"/>
        <v>0</v>
      </c>
      <c r="BL72" s="45">
        <f t="shared" si="48"/>
        <v>0</v>
      </c>
      <c r="BM72" s="45">
        <f t="shared" si="48"/>
        <v>0</v>
      </c>
      <c r="BN72" s="45">
        <f t="shared" si="48"/>
        <v>0</v>
      </c>
      <c r="BO72" s="45">
        <f t="shared" si="48"/>
        <v>0</v>
      </c>
      <c r="BP72" s="45">
        <f t="shared" si="48"/>
        <v>0</v>
      </c>
      <c r="BQ72" s="45">
        <f t="shared" si="48"/>
        <v>0</v>
      </c>
      <c r="BR72" s="45">
        <f t="shared" ref="BR72:EC72" si="49">-SUM(BR73:BR80)</f>
        <v>0</v>
      </c>
      <c r="BS72" s="45">
        <f t="shared" si="49"/>
        <v>0</v>
      </c>
      <c r="BT72" s="45">
        <f t="shared" si="49"/>
        <v>0</v>
      </c>
      <c r="BU72" s="45">
        <f t="shared" si="49"/>
        <v>0</v>
      </c>
      <c r="BV72" s="45">
        <f t="shared" si="49"/>
        <v>0</v>
      </c>
      <c r="BW72" s="45">
        <f t="shared" si="49"/>
        <v>0</v>
      </c>
      <c r="BX72" s="45">
        <f t="shared" si="49"/>
        <v>0</v>
      </c>
      <c r="BY72" s="45">
        <f t="shared" si="49"/>
        <v>0</v>
      </c>
      <c r="BZ72" s="45">
        <f t="shared" si="49"/>
        <v>0</v>
      </c>
      <c r="CA72" s="45">
        <f t="shared" si="49"/>
        <v>0</v>
      </c>
      <c r="CB72" s="45">
        <f t="shared" si="49"/>
        <v>0</v>
      </c>
      <c r="CC72" s="45">
        <f t="shared" si="49"/>
        <v>0</v>
      </c>
      <c r="CD72" s="45">
        <f t="shared" si="49"/>
        <v>0</v>
      </c>
      <c r="CE72" s="45">
        <f t="shared" si="49"/>
        <v>0</v>
      </c>
      <c r="CF72" s="45">
        <f t="shared" si="49"/>
        <v>0</v>
      </c>
      <c r="CG72" s="45">
        <f t="shared" si="49"/>
        <v>0</v>
      </c>
      <c r="CH72" s="45">
        <f t="shared" si="49"/>
        <v>0</v>
      </c>
      <c r="CI72" s="45">
        <f t="shared" si="49"/>
        <v>0</v>
      </c>
      <c r="CJ72" s="45">
        <f t="shared" si="49"/>
        <v>0</v>
      </c>
      <c r="CK72" s="45">
        <f t="shared" si="49"/>
        <v>0</v>
      </c>
      <c r="CL72" s="45">
        <f t="shared" si="49"/>
        <v>0</v>
      </c>
      <c r="CM72" s="45">
        <f t="shared" si="49"/>
        <v>0</v>
      </c>
      <c r="CN72" s="45">
        <f t="shared" si="49"/>
        <v>0</v>
      </c>
      <c r="CO72" s="45">
        <f t="shared" si="49"/>
        <v>0</v>
      </c>
      <c r="CP72" s="45">
        <f t="shared" si="49"/>
        <v>0</v>
      </c>
      <c r="CQ72" s="45">
        <f t="shared" si="49"/>
        <v>0</v>
      </c>
      <c r="CR72" s="45">
        <f t="shared" si="49"/>
        <v>0</v>
      </c>
      <c r="CS72" s="45">
        <f t="shared" si="49"/>
        <v>0</v>
      </c>
      <c r="CT72" s="45">
        <f t="shared" si="49"/>
        <v>0</v>
      </c>
      <c r="CU72" s="45">
        <f t="shared" si="49"/>
        <v>0</v>
      </c>
      <c r="CV72" s="45">
        <f t="shared" si="49"/>
        <v>0</v>
      </c>
      <c r="CW72" s="45">
        <f t="shared" si="49"/>
        <v>0</v>
      </c>
      <c r="CX72" s="45">
        <f t="shared" si="49"/>
        <v>0</v>
      </c>
      <c r="CY72" s="45">
        <f t="shared" si="49"/>
        <v>0</v>
      </c>
      <c r="CZ72" s="45">
        <f t="shared" si="49"/>
        <v>0</v>
      </c>
      <c r="DA72" s="45">
        <f t="shared" si="49"/>
        <v>0</v>
      </c>
      <c r="DB72" s="45">
        <f t="shared" si="49"/>
        <v>0</v>
      </c>
      <c r="DC72" s="45">
        <f t="shared" si="49"/>
        <v>0</v>
      </c>
      <c r="DD72" s="45">
        <f t="shared" si="49"/>
        <v>0</v>
      </c>
      <c r="DE72" s="45">
        <f t="shared" si="49"/>
        <v>0</v>
      </c>
      <c r="DF72" s="45">
        <f t="shared" si="49"/>
        <v>0</v>
      </c>
      <c r="DG72" s="45">
        <f t="shared" si="49"/>
        <v>0</v>
      </c>
      <c r="DH72" s="45">
        <f t="shared" si="49"/>
        <v>0</v>
      </c>
      <c r="DI72" s="45">
        <f t="shared" si="49"/>
        <v>0</v>
      </c>
      <c r="DJ72" s="45">
        <f t="shared" si="49"/>
        <v>0</v>
      </c>
      <c r="DK72" s="45">
        <f t="shared" si="49"/>
        <v>0</v>
      </c>
      <c r="DL72" s="45">
        <f t="shared" si="49"/>
        <v>0</v>
      </c>
      <c r="DM72" s="45">
        <f t="shared" si="49"/>
        <v>0</v>
      </c>
      <c r="DN72" s="45">
        <f t="shared" si="49"/>
        <v>0</v>
      </c>
      <c r="DO72" s="45">
        <f t="shared" si="49"/>
        <v>0</v>
      </c>
      <c r="DP72" s="45">
        <f t="shared" si="49"/>
        <v>0</v>
      </c>
      <c r="DQ72" s="45">
        <f t="shared" si="49"/>
        <v>0</v>
      </c>
      <c r="DR72" s="45">
        <f t="shared" si="49"/>
        <v>0</v>
      </c>
      <c r="DS72" s="45">
        <f t="shared" si="49"/>
        <v>0</v>
      </c>
      <c r="DT72" s="45">
        <f t="shared" si="49"/>
        <v>0</v>
      </c>
      <c r="DU72" s="45">
        <f t="shared" si="49"/>
        <v>0</v>
      </c>
      <c r="DV72" s="45">
        <f t="shared" si="49"/>
        <v>0</v>
      </c>
      <c r="DW72" s="45">
        <f t="shared" si="49"/>
        <v>0</v>
      </c>
      <c r="DX72" s="45">
        <f t="shared" si="49"/>
        <v>0</v>
      </c>
      <c r="DY72" s="45">
        <f t="shared" si="49"/>
        <v>0</v>
      </c>
      <c r="DZ72" s="45">
        <f t="shared" si="49"/>
        <v>0</v>
      </c>
      <c r="EA72" s="45">
        <f t="shared" si="49"/>
        <v>0</v>
      </c>
      <c r="EB72" s="45">
        <f t="shared" si="49"/>
        <v>0</v>
      </c>
      <c r="EC72" s="45">
        <f t="shared" si="49"/>
        <v>0</v>
      </c>
      <c r="ED72" s="45">
        <f t="shared" ref="ED72:GO72" si="50">-SUM(ED73:ED80)</f>
        <v>0</v>
      </c>
      <c r="EE72" s="45">
        <f t="shared" si="50"/>
        <v>0</v>
      </c>
      <c r="EF72" s="45">
        <f t="shared" si="50"/>
        <v>0</v>
      </c>
      <c r="EG72" s="45">
        <f t="shared" si="50"/>
        <v>0</v>
      </c>
      <c r="EH72" s="45">
        <f t="shared" si="50"/>
        <v>0</v>
      </c>
      <c r="EI72" s="45">
        <f t="shared" si="50"/>
        <v>0</v>
      </c>
      <c r="EJ72" s="45">
        <f t="shared" si="50"/>
        <v>0</v>
      </c>
      <c r="EK72" s="45">
        <f t="shared" si="50"/>
        <v>0</v>
      </c>
      <c r="EL72" s="45">
        <f t="shared" si="50"/>
        <v>0</v>
      </c>
      <c r="EM72" s="45">
        <f t="shared" si="50"/>
        <v>0</v>
      </c>
      <c r="EN72" s="45">
        <f t="shared" si="50"/>
        <v>0</v>
      </c>
      <c r="EO72" s="45">
        <f t="shared" si="50"/>
        <v>0</v>
      </c>
      <c r="EP72" s="45">
        <f t="shared" si="50"/>
        <v>0</v>
      </c>
      <c r="EQ72" s="45">
        <f t="shared" si="50"/>
        <v>0</v>
      </c>
      <c r="ER72" s="45">
        <f t="shared" si="50"/>
        <v>0</v>
      </c>
      <c r="ES72" s="45">
        <f t="shared" si="50"/>
        <v>0</v>
      </c>
      <c r="ET72" s="45">
        <f t="shared" si="50"/>
        <v>0</v>
      </c>
      <c r="EU72" s="45">
        <f t="shared" si="50"/>
        <v>0</v>
      </c>
      <c r="EV72" s="45">
        <f t="shared" si="50"/>
        <v>0</v>
      </c>
      <c r="EW72" s="45">
        <f t="shared" si="50"/>
        <v>0</v>
      </c>
      <c r="EX72" s="45">
        <f t="shared" si="50"/>
        <v>0</v>
      </c>
      <c r="EY72" s="45">
        <f t="shared" si="50"/>
        <v>0</v>
      </c>
      <c r="EZ72" s="45">
        <f t="shared" si="50"/>
        <v>0</v>
      </c>
      <c r="FA72" s="45">
        <f t="shared" si="50"/>
        <v>0</v>
      </c>
      <c r="FB72" s="45">
        <f t="shared" si="50"/>
        <v>0</v>
      </c>
      <c r="FC72" s="45">
        <f t="shared" si="50"/>
        <v>0</v>
      </c>
      <c r="FD72" s="45">
        <f t="shared" si="50"/>
        <v>0</v>
      </c>
      <c r="FE72" s="45">
        <f t="shared" si="50"/>
        <v>0</v>
      </c>
      <c r="FF72" s="45">
        <f t="shared" si="50"/>
        <v>0</v>
      </c>
      <c r="FG72" s="45">
        <f t="shared" si="50"/>
        <v>0</v>
      </c>
      <c r="FH72" s="45">
        <f t="shared" si="50"/>
        <v>0</v>
      </c>
      <c r="FI72" s="45">
        <f t="shared" si="50"/>
        <v>0</v>
      </c>
      <c r="FJ72" s="45">
        <f t="shared" si="50"/>
        <v>0</v>
      </c>
      <c r="FK72" s="45">
        <f t="shared" si="50"/>
        <v>0</v>
      </c>
      <c r="FL72" s="45">
        <f t="shared" si="50"/>
        <v>0</v>
      </c>
      <c r="FM72" s="45">
        <f t="shared" si="50"/>
        <v>0</v>
      </c>
      <c r="FN72" s="45">
        <f t="shared" si="50"/>
        <v>0</v>
      </c>
      <c r="FO72" s="45">
        <f t="shared" si="50"/>
        <v>0</v>
      </c>
      <c r="FP72" s="45">
        <f t="shared" si="50"/>
        <v>0</v>
      </c>
      <c r="FQ72" s="45">
        <f t="shared" si="50"/>
        <v>0</v>
      </c>
      <c r="FR72" s="45">
        <f t="shared" si="50"/>
        <v>0</v>
      </c>
      <c r="FS72" s="45">
        <f t="shared" si="50"/>
        <v>0</v>
      </c>
      <c r="FT72" s="45">
        <f t="shared" si="50"/>
        <v>0</v>
      </c>
      <c r="FU72" s="45">
        <f t="shared" si="50"/>
        <v>0</v>
      </c>
      <c r="FV72" s="45">
        <f t="shared" si="50"/>
        <v>0</v>
      </c>
      <c r="FW72" s="45">
        <f t="shared" si="50"/>
        <v>0</v>
      </c>
      <c r="FX72" s="45">
        <f t="shared" si="50"/>
        <v>0</v>
      </c>
      <c r="FY72" s="45">
        <f t="shared" si="50"/>
        <v>0</v>
      </c>
      <c r="FZ72" s="45">
        <f t="shared" si="50"/>
        <v>0</v>
      </c>
      <c r="GA72" s="45">
        <f t="shared" si="50"/>
        <v>0</v>
      </c>
      <c r="GB72" s="45">
        <f t="shared" si="50"/>
        <v>0</v>
      </c>
      <c r="GC72" s="45">
        <f t="shared" si="50"/>
        <v>0</v>
      </c>
      <c r="GD72" s="45">
        <f t="shared" si="50"/>
        <v>0</v>
      </c>
      <c r="GE72" s="45">
        <f t="shared" si="50"/>
        <v>0</v>
      </c>
      <c r="GF72" s="45">
        <f t="shared" si="50"/>
        <v>0</v>
      </c>
      <c r="GG72" s="45">
        <f t="shared" si="50"/>
        <v>0</v>
      </c>
      <c r="GH72" s="45">
        <f t="shared" si="50"/>
        <v>0</v>
      </c>
      <c r="GI72" s="45">
        <f t="shared" si="50"/>
        <v>0</v>
      </c>
      <c r="GJ72" s="45">
        <f t="shared" si="50"/>
        <v>0</v>
      </c>
      <c r="GK72" s="45">
        <f t="shared" si="50"/>
        <v>0</v>
      </c>
      <c r="GL72" s="45">
        <f t="shared" si="50"/>
        <v>0</v>
      </c>
      <c r="GM72" s="45">
        <f t="shared" si="50"/>
        <v>0</v>
      </c>
      <c r="GN72" s="45">
        <f t="shared" si="50"/>
        <v>0</v>
      </c>
      <c r="GO72" s="45">
        <f t="shared" si="50"/>
        <v>0</v>
      </c>
      <c r="GP72" s="45">
        <f t="shared" ref="GP72:GT72" si="51">-SUM(GP73:GP80)</f>
        <v>0</v>
      </c>
      <c r="GQ72" s="45">
        <f t="shared" si="51"/>
        <v>0</v>
      </c>
      <c r="GR72" s="45">
        <f t="shared" si="51"/>
        <v>0</v>
      </c>
      <c r="GS72" s="45">
        <f t="shared" si="51"/>
        <v>0</v>
      </c>
      <c r="GT72" s="45">
        <f t="shared" si="51"/>
        <v>0</v>
      </c>
    </row>
    <row r="73" spans="1:202" ht="16.5" customHeight="1">
      <c r="A73" s="96" t="s">
        <v>107</v>
      </c>
      <c r="B73" s="92"/>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93"/>
      <c r="BP73" s="93"/>
      <c r="BQ73" s="93"/>
      <c r="BR73" s="93"/>
      <c r="BS73" s="93"/>
      <c r="BT73" s="93"/>
      <c r="BU73" s="93"/>
      <c r="BV73" s="93"/>
      <c r="BW73" s="93"/>
      <c r="BX73" s="93"/>
      <c r="BY73" s="93"/>
      <c r="BZ73" s="93"/>
      <c r="CA73" s="93"/>
      <c r="CB73" s="93"/>
      <c r="CC73" s="93"/>
      <c r="CD73" s="93"/>
      <c r="CE73" s="93"/>
      <c r="CF73" s="93"/>
      <c r="CG73" s="93"/>
      <c r="CH73" s="93"/>
      <c r="CI73" s="93"/>
      <c r="CJ73" s="93"/>
      <c r="CK73" s="93"/>
      <c r="CL73" s="93"/>
      <c r="CM73" s="93"/>
      <c r="CN73" s="93"/>
      <c r="CO73" s="93"/>
      <c r="CP73" s="93"/>
      <c r="CQ73" s="93"/>
      <c r="CR73" s="93"/>
      <c r="CS73" s="93"/>
      <c r="CT73" s="93"/>
      <c r="CU73" s="93"/>
      <c r="CV73" s="93"/>
      <c r="CW73" s="93"/>
      <c r="CX73" s="93"/>
      <c r="CY73" s="93"/>
      <c r="CZ73" s="93"/>
      <c r="DA73" s="93"/>
      <c r="DB73" s="93"/>
      <c r="DC73" s="93"/>
      <c r="DD73" s="93"/>
      <c r="DE73" s="93"/>
      <c r="DF73" s="93"/>
      <c r="DG73" s="93"/>
      <c r="DH73" s="93"/>
      <c r="DI73" s="93"/>
      <c r="DJ73" s="93"/>
      <c r="DK73" s="93"/>
      <c r="DL73" s="93"/>
      <c r="DM73" s="93"/>
      <c r="DN73" s="93"/>
      <c r="DO73" s="93"/>
      <c r="DP73" s="93"/>
      <c r="DQ73" s="93"/>
      <c r="DR73" s="93"/>
      <c r="DS73" s="93"/>
      <c r="DT73" s="93"/>
      <c r="DU73" s="93"/>
      <c r="DV73" s="93"/>
      <c r="DW73" s="93"/>
      <c r="DX73" s="93"/>
      <c r="DY73" s="93"/>
      <c r="DZ73" s="93"/>
      <c r="EA73" s="93"/>
      <c r="EB73" s="93"/>
      <c r="EC73" s="93"/>
      <c r="ED73" s="93"/>
      <c r="EE73" s="93"/>
      <c r="EF73" s="93"/>
      <c r="EG73" s="93"/>
      <c r="EH73" s="93"/>
      <c r="EI73" s="93"/>
      <c r="EJ73" s="93"/>
      <c r="EK73" s="93"/>
      <c r="EL73" s="93"/>
      <c r="EM73" s="93"/>
      <c r="EN73" s="93"/>
      <c r="EO73" s="93"/>
      <c r="EP73" s="93"/>
      <c r="EQ73" s="93"/>
      <c r="ER73" s="93"/>
      <c r="ES73" s="93"/>
      <c r="ET73" s="93"/>
      <c r="EU73" s="93"/>
      <c r="EV73" s="93"/>
      <c r="EW73" s="93"/>
      <c r="EX73" s="93"/>
      <c r="EY73" s="93"/>
      <c r="EZ73" s="93"/>
      <c r="FA73" s="93"/>
      <c r="FB73" s="93"/>
      <c r="FC73" s="93"/>
      <c r="FD73" s="93"/>
      <c r="FE73" s="93"/>
      <c r="FF73" s="93"/>
      <c r="FG73" s="93"/>
      <c r="FH73" s="93"/>
      <c r="FI73" s="93"/>
      <c r="FJ73" s="93"/>
      <c r="FK73" s="93"/>
      <c r="FL73" s="93"/>
      <c r="FM73" s="93"/>
      <c r="FN73" s="93"/>
      <c r="FO73" s="93"/>
      <c r="FP73" s="93"/>
      <c r="FQ73" s="93"/>
      <c r="FR73" s="93"/>
      <c r="FS73" s="93"/>
      <c r="FT73" s="93"/>
      <c r="FU73" s="93"/>
      <c r="FV73" s="93"/>
      <c r="FW73" s="93"/>
      <c r="FX73" s="93"/>
      <c r="FY73" s="93"/>
      <c r="FZ73" s="93"/>
      <c r="GA73" s="93"/>
      <c r="GB73" s="93"/>
      <c r="GC73" s="93"/>
      <c r="GD73" s="93"/>
      <c r="GE73" s="93"/>
      <c r="GF73" s="93"/>
      <c r="GG73" s="93"/>
      <c r="GH73" s="93"/>
      <c r="GI73" s="93"/>
      <c r="GJ73" s="93"/>
      <c r="GK73" s="93"/>
      <c r="GL73" s="93"/>
      <c r="GM73" s="93"/>
      <c r="GN73" s="93"/>
      <c r="GO73" s="93"/>
      <c r="GP73" s="93"/>
      <c r="GQ73" s="93"/>
      <c r="GR73" s="93"/>
      <c r="GS73" s="93"/>
      <c r="GT73" s="93"/>
    </row>
    <row r="74" spans="1:202" ht="16.5" customHeight="1">
      <c r="A74" s="96" t="s">
        <v>101</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3"/>
      <c r="BG74" s="93"/>
      <c r="BH74" s="93"/>
      <c r="BI74" s="93"/>
      <c r="BJ74" s="93"/>
      <c r="BK74" s="93"/>
      <c r="BL74" s="93"/>
      <c r="BM74" s="93"/>
      <c r="BN74" s="93"/>
      <c r="BO74" s="93"/>
      <c r="BP74" s="93"/>
      <c r="BQ74" s="93"/>
      <c r="BR74" s="93"/>
      <c r="BS74" s="93"/>
      <c r="BT74" s="93"/>
      <c r="BU74" s="93"/>
      <c r="BV74" s="93"/>
      <c r="BW74" s="93"/>
      <c r="BX74" s="93"/>
      <c r="BY74" s="93"/>
      <c r="BZ74" s="93"/>
      <c r="CA74" s="93"/>
      <c r="CB74" s="93"/>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3"/>
      <c r="ED74" s="93"/>
      <c r="EE74" s="93"/>
      <c r="EF74" s="93"/>
      <c r="EG74" s="93"/>
      <c r="EH74" s="93"/>
      <c r="EI74" s="93"/>
      <c r="EJ74" s="93"/>
      <c r="EK74" s="93"/>
      <c r="EL74" s="93"/>
      <c r="EM74" s="93"/>
      <c r="EN74" s="93"/>
      <c r="EO74" s="93"/>
      <c r="EP74" s="93"/>
      <c r="EQ74" s="93"/>
      <c r="ER74" s="93"/>
      <c r="ES74" s="93"/>
      <c r="ET74" s="93"/>
      <c r="EU74" s="93"/>
      <c r="EV74" s="93"/>
      <c r="EW74" s="93"/>
      <c r="EX74" s="93"/>
      <c r="EY74" s="93"/>
      <c r="EZ74" s="93"/>
      <c r="FA74" s="93"/>
      <c r="FB74" s="93"/>
      <c r="FC74" s="93"/>
      <c r="FD74" s="93"/>
      <c r="FE74" s="93"/>
      <c r="FF74" s="93"/>
      <c r="FG74" s="93"/>
      <c r="FH74" s="93"/>
      <c r="FI74" s="93"/>
      <c r="FJ74" s="93"/>
      <c r="FK74" s="93"/>
      <c r="FL74" s="93"/>
      <c r="FM74" s="93"/>
      <c r="FN74" s="93"/>
      <c r="FO74" s="93"/>
      <c r="FP74" s="93"/>
      <c r="FQ74" s="93"/>
      <c r="FR74" s="93"/>
      <c r="FS74" s="93"/>
      <c r="FT74" s="93"/>
      <c r="FU74" s="93"/>
      <c r="FV74" s="93"/>
      <c r="FW74" s="93"/>
      <c r="FX74" s="93"/>
      <c r="FY74" s="93"/>
      <c r="FZ74" s="93"/>
      <c r="GA74" s="93"/>
      <c r="GB74" s="93"/>
      <c r="GC74" s="93"/>
      <c r="GD74" s="93"/>
      <c r="GE74" s="93"/>
      <c r="GF74" s="93"/>
      <c r="GG74" s="93"/>
      <c r="GH74" s="93"/>
      <c r="GI74" s="93"/>
      <c r="GJ74" s="93"/>
      <c r="GK74" s="93"/>
      <c r="GL74" s="93"/>
      <c r="GM74" s="93"/>
      <c r="GN74" s="93"/>
      <c r="GO74" s="93"/>
      <c r="GP74" s="93"/>
      <c r="GQ74" s="93"/>
      <c r="GR74" s="93"/>
      <c r="GS74" s="93"/>
      <c r="GT74" s="93"/>
    </row>
    <row r="75" spans="1:202" ht="16.5" customHeight="1">
      <c r="A75" s="96" t="s">
        <v>105</v>
      </c>
      <c r="B75" s="92"/>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3"/>
      <c r="BJ75" s="93"/>
      <c r="BK75" s="93"/>
      <c r="BL75" s="93"/>
      <c r="BM75" s="93"/>
      <c r="BN75" s="93"/>
      <c r="BO75" s="93"/>
      <c r="BP75" s="93"/>
      <c r="BQ75" s="93"/>
      <c r="BR75" s="93"/>
      <c r="BS75" s="93"/>
      <c r="BT75" s="93"/>
      <c r="BU75" s="93"/>
      <c r="BV75" s="93"/>
      <c r="BW75" s="93"/>
      <c r="BX75" s="93"/>
      <c r="BY75" s="93"/>
      <c r="BZ75" s="93"/>
      <c r="CA75" s="93"/>
      <c r="CB75" s="93"/>
      <c r="CC75" s="93"/>
      <c r="CD75" s="93"/>
      <c r="CE75" s="93"/>
      <c r="CF75" s="93"/>
      <c r="CG75" s="93"/>
      <c r="CH75" s="93"/>
      <c r="CI75" s="93"/>
      <c r="CJ75" s="93"/>
      <c r="CK75" s="93"/>
      <c r="CL75" s="93"/>
      <c r="CM75" s="93"/>
      <c r="CN75" s="93"/>
      <c r="CO75" s="93"/>
      <c r="CP75" s="93"/>
      <c r="CQ75" s="93"/>
      <c r="CR75" s="93"/>
      <c r="CS75" s="93"/>
      <c r="CT75" s="93"/>
      <c r="CU75" s="93"/>
      <c r="CV75" s="93"/>
      <c r="CW75" s="93"/>
      <c r="CX75" s="93"/>
      <c r="CY75" s="93"/>
      <c r="CZ75" s="93"/>
      <c r="DA75" s="93"/>
      <c r="DB75" s="93"/>
      <c r="DC75" s="93"/>
      <c r="DD75" s="93"/>
      <c r="DE75" s="93"/>
      <c r="DF75" s="93"/>
      <c r="DG75" s="93"/>
      <c r="DH75" s="93"/>
      <c r="DI75" s="93"/>
      <c r="DJ75" s="93"/>
      <c r="DK75" s="93"/>
      <c r="DL75" s="93"/>
      <c r="DM75" s="93"/>
      <c r="DN75" s="93"/>
      <c r="DO75" s="93"/>
      <c r="DP75" s="93"/>
      <c r="DQ75" s="93"/>
      <c r="DR75" s="93"/>
      <c r="DS75" s="93"/>
      <c r="DT75" s="93"/>
      <c r="DU75" s="93"/>
      <c r="DV75" s="93"/>
      <c r="DW75" s="93"/>
      <c r="DX75" s="93"/>
      <c r="DY75" s="93"/>
      <c r="DZ75" s="93"/>
      <c r="EA75" s="93"/>
      <c r="EB75" s="93"/>
      <c r="EC75" s="93"/>
      <c r="ED75" s="93"/>
      <c r="EE75" s="93"/>
      <c r="EF75" s="93"/>
      <c r="EG75" s="93"/>
      <c r="EH75" s="93"/>
      <c r="EI75" s="93"/>
      <c r="EJ75" s="93"/>
      <c r="EK75" s="93"/>
      <c r="EL75" s="93"/>
      <c r="EM75" s="93"/>
      <c r="EN75" s="93"/>
      <c r="EO75" s="93"/>
      <c r="EP75" s="93"/>
      <c r="EQ75" s="93"/>
      <c r="ER75" s="93"/>
      <c r="ES75" s="93"/>
      <c r="ET75" s="93"/>
      <c r="EU75" s="93"/>
      <c r="EV75" s="93"/>
      <c r="EW75" s="93"/>
      <c r="EX75" s="93"/>
      <c r="EY75" s="93"/>
      <c r="EZ75" s="93"/>
      <c r="FA75" s="93"/>
      <c r="FB75" s="93"/>
      <c r="FC75" s="93"/>
      <c r="FD75" s="93"/>
      <c r="FE75" s="93"/>
      <c r="FF75" s="93"/>
      <c r="FG75" s="93"/>
      <c r="FH75" s="93"/>
      <c r="FI75" s="93"/>
      <c r="FJ75" s="93"/>
      <c r="FK75" s="93"/>
      <c r="FL75" s="93"/>
      <c r="FM75" s="93"/>
      <c r="FN75" s="93"/>
      <c r="FO75" s="93"/>
      <c r="FP75" s="93"/>
      <c r="FQ75" s="93"/>
      <c r="FR75" s="93"/>
      <c r="FS75" s="93"/>
      <c r="FT75" s="93"/>
      <c r="FU75" s="93"/>
      <c r="FV75" s="93"/>
      <c r="FW75" s="93"/>
      <c r="FX75" s="93"/>
      <c r="FY75" s="93"/>
      <c r="FZ75" s="93"/>
      <c r="GA75" s="93"/>
      <c r="GB75" s="93"/>
      <c r="GC75" s="93"/>
      <c r="GD75" s="93"/>
      <c r="GE75" s="93"/>
      <c r="GF75" s="93"/>
      <c r="GG75" s="93"/>
      <c r="GH75" s="93"/>
      <c r="GI75" s="93"/>
      <c r="GJ75" s="93"/>
      <c r="GK75" s="93"/>
      <c r="GL75" s="93"/>
      <c r="GM75" s="93"/>
      <c r="GN75" s="93"/>
      <c r="GO75" s="93"/>
      <c r="GP75" s="93"/>
      <c r="GQ75" s="93"/>
      <c r="GR75" s="93"/>
      <c r="GS75" s="93"/>
      <c r="GT75" s="93"/>
    </row>
    <row r="76" spans="1:202" ht="16.5" customHeight="1">
      <c r="A76" s="96" t="s">
        <v>108</v>
      </c>
      <c r="B76" s="92"/>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3"/>
      <c r="BI76" s="93"/>
      <c r="BJ76" s="93"/>
      <c r="BK76" s="93"/>
      <c r="BL76" s="93"/>
      <c r="BM76" s="93"/>
      <c r="BN76" s="93"/>
      <c r="BO76" s="93"/>
      <c r="BP76" s="93"/>
      <c r="BQ76" s="93"/>
      <c r="BR76" s="93"/>
      <c r="BS76" s="93"/>
      <c r="BT76" s="93"/>
      <c r="BU76" s="93"/>
      <c r="BV76" s="93"/>
      <c r="BW76" s="93"/>
      <c r="BX76" s="93"/>
      <c r="BY76" s="93"/>
      <c r="BZ76" s="93"/>
      <c r="CA76" s="93"/>
      <c r="CB76" s="93"/>
      <c r="CC76" s="93"/>
      <c r="CD76" s="93"/>
      <c r="CE76" s="93"/>
      <c r="CF76" s="93"/>
      <c r="CG76" s="93"/>
      <c r="CH76" s="93"/>
      <c r="CI76" s="93"/>
      <c r="CJ76" s="93"/>
      <c r="CK76" s="93"/>
      <c r="CL76" s="93"/>
      <c r="CM76" s="93"/>
      <c r="CN76" s="93"/>
      <c r="CO76" s="93"/>
      <c r="CP76" s="93"/>
      <c r="CQ76" s="93"/>
      <c r="CR76" s="93"/>
      <c r="CS76" s="93"/>
      <c r="CT76" s="93"/>
      <c r="CU76" s="93"/>
      <c r="CV76" s="93"/>
      <c r="CW76" s="93"/>
      <c r="CX76" s="93"/>
      <c r="CY76" s="93"/>
      <c r="CZ76" s="93"/>
      <c r="DA76" s="93"/>
      <c r="DB76" s="93"/>
      <c r="DC76" s="93"/>
      <c r="DD76" s="93"/>
      <c r="DE76" s="93"/>
      <c r="DF76" s="93"/>
      <c r="DG76" s="93"/>
      <c r="DH76" s="93"/>
      <c r="DI76" s="93"/>
      <c r="DJ76" s="93"/>
      <c r="DK76" s="93"/>
      <c r="DL76" s="93"/>
      <c r="DM76" s="93"/>
      <c r="DN76" s="93"/>
      <c r="DO76" s="93"/>
      <c r="DP76" s="93"/>
      <c r="DQ76" s="93"/>
      <c r="DR76" s="93"/>
      <c r="DS76" s="93"/>
      <c r="DT76" s="93"/>
      <c r="DU76" s="93"/>
      <c r="DV76" s="93"/>
      <c r="DW76" s="93"/>
      <c r="DX76" s="93"/>
      <c r="DY76" s="93"/>
      <c r="DZ76" s="93"/>
      <c r="EA76" s="93"/>
      <c r="EB76" s="93"/>
      <c r="EC76" s="93"/>
      <c r="ED76" s="93"/>
      <c r="EE76" s="93"/>
      <c r="EF76" s="93"/>
      <c r="EG76" s="93"/>
      <c r="EH76" s="93"/>
      <c r="EI76" s="93"/>
      <c r="EJ76" s="93"/>
      <c r="EK76" s="93"/>
      <c r="EL76" s="93"/>
      <c r="EM76" s="93"/>
      <c r="EN76" s="93"/>
      <c r="EO76" s="93"/>
      <c r="EP76" s="93"/>
      <c r="EQ76" s="93"/>
      <c r="ER76" s="93"/>
      <c r="ES76" s="93"/>
      <c r="ET76" s="93"/>
      <c r="EU76" s="93"/>
      <c r="EV76" s="93"/>
      <c r="EW76" s="93"/>
      <c r="EX76" s="93"/>
      <c r="EY76" s="93"/>
      <c r="EZ76" s="93"/>
      <c r="FA76" s="93"/>
      <c r="FB76" s="93"/>
      <c r="FC76" s="93"/>
      <c r="FD76" s="93"/>
      <c r="FE76" s="93"/>
      <c r="FF76" s="93"/>
      <c r="FG76" s="93"/>
      <c r="FH76" s="93"/>
      <c r="FI76" s="93"/>
      <c r="FJ76" s="93"/>
      <c r="FK76" s="93"/>
      <c r="FL76" s="93"/>
      <c r="FM76" s="93"/>
      <c r="FN76" s="93"/>
      <c r="FO76" s="93"/>
      <c r="FP76" s="93"/>
      <c r="FQ76" s="93"/>
      <c r="FR76" s="93"/>
      <c r="FS76" s="93"/>
      <c r="FT76" s="93"/>
      <c r="FU76" s="93"/>
      <c r="FV76" s="93"/>
      <c r="FW76" s="93"/>
      <c r="FX76" s="93"/>
      <c r="FY76" s="93"/>
      <c r="FZ76" s="93"/>
      <c r="GA76" s="93"/>
      <c r="GB76" s="93"/>
      <c r="GC76" s="93"/>
      <c r="GD76" s="93"/>
      <c r="GE76" s="93"/>
      <c r="GF76" s="93"/>
      <c r="GG76" s="93"/>
      <c r="GH76" s="93"/>
      <c r="GI76" s="93"/>
      <c r="GJ76" s="93"/>
      <c r="GK76" s="93"/>
      <c r="GL76" s="93"/>
      <c r="GM76" s="93"/>
      <c r="GN76" s="93"/>
      <c r="GO76" s="93"/>
      <c r="GP76" s="93"/>
      <c r="GQ76" s="93"/>
      <c r="GR76" s="93"/>
      <c r="GS76" s="93"/>
      <c r="GT76" s="93"/>
    </row>
    <row r="77" spans="1:202" ht="16.5" customHeight="1">
      <c r="A77" s="96" t="s">
        <v>96</v>
      </c>
      <c r="B77" s="92"/>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3"/>
      <c r="BK77" s="93"/>
      <c r="BL77" s="93"/>
      <c r="BM77" s="93"/>
      <c r="BN77" s="93"/>
      <c r="BO77" s="93"/>
      <c r="BP77" s="93"/>
      <c r="BQ77" s="93"/>
      <c r="BR77" s="93"/>
      <c r="BS77" s="93"/>
      <c r="BT77" s="93"/>
      <c r="BU77" s="93"/>
      <c r="BV77" s="93"/>
      <c r="BW77" s="93"/>
      <c r="BX77" s="93"/>
      <c r="BY77" s="93"/>
      <c r="BZ77" s="93"/>
      <c r="CA77" s="93"/>
      <c r="CB77" s="93"/>
      <c r="CC77" s="93"/>
      <c r="CD77" s="93"/>
      <c r="CE77" s="93"/>
      <c r="CF77" s="93"/>
      <c r="CG77" s="93"/>
      <c r="CH77" s="93"/>
      <c r="CI77" s="93"/>
      <c r="CJ77" s="93"/>
      <c r="CK77" s="93"/>
      <c r="CL77" s="93"/>
      <c r="CM77" s="93"/>
      <c r="CN77" s="93"/>
      <c r="CO77" s="93"/>
      <c r="CP77" s="93"/>
      <c r="CQ77" s="93"/>
      <c r="CR77" s="93"/>
      <c r="CS77" s="93"/>
      <c r="CT77" s="93"/>
      <c r="CU77" s="93"/>
      <c r="CV77" s="93"/>
      <c r="CW77" s="93"/>
      <c r="CX77" s="93"/>
      <c r="CY77" s="93"/>
      <c r="CZ77" s="93"/>
      <c r="DA77" s="93"/>
      <c r="DB77" s="93"/>
      <c r="DC77" s="93"/>
      <c r="DD77" s="93"/>
      <c r="DE77" s="93"/>
      <c r="DF77" s="93"/>
      <c r="DG77" s="93"/>
      <c r="DH77" s="93"/>
      <c r="DI77" s="93"/>
      <c r="DJ77" s="93"/>
      <c r="DK77" s="93"/>
      <c r="DL77" s="93"/>
      <c r="DM77" s="93"/>
      <c r="DN77" s="93"/>
      <c r="DO77" s="93"/>
      <c r="DP77" s="93"/>
      <c r="DQ77" s="93"/>
      <c r="DR77" s="93"/>
      <c r="DS77" s="93"/>
      <c r="DT77" s="93"/>
      <c r="DU77" s="93"/>
      <c r="DV77" s="93"/>
      <c r="DW77" s="93"/>
      <c r="DX77" s="93"/>
      <c r="DY77" s="93"/>
      <c r="DZ77" s="93"/>
      <c r="EA77" s="93"/>
      <c r="EB77" s="93"/>
      <c r="EC77" s="93"/>
      <c r="ED77" s="93"/>
      <c r="EE77" s="93"/>
      <c r="EF77" s="93"/>
      <c r="EG77" s="93"/>
      <c r="EH77" s="93"/>
      <c r="EI77" s="93"/>
      <c r="EJ77" s="93"/>
      <c r="EK77" s="93"/>
      <c r="EL77" s="93"/>
      <c r="EM77" s="93"/>
      <c r="EN77" s="93"/>
      <c r="EO77" s="93"/>
      <c r="EP77" s="93"/>
      <c r="EQ77" s="93"/>
      <c r="ER77" s="93"/>
      <c r="ES77" s="93"/>
      <c r="ET77" s="93"/>
      <c r="EU77" s="93"/>
      <c r="EV77" s="93"/>
      <c r="EW77" s="93"/>
      <c r="EX77" s="93"/>
      <c r="EY77" s="93"/>
      <c r="EZ77" s="93"/>
      <c r="FA77" s="93"/>
      <c r="FB77" s="93"/>
      <c r="FC77" s="93"/>
      <c r="FD77" s="93"/>
      <c r="FE77" s="93"/>
      <c r="FF77" s="93"/>
      <c r="FG77" s="93"/>
      <c r="FH77" s="93"/>
      <c r="FI77" s="93"/>
      <c r="FJ77" s="93"/>
      <c r="FK77" s="93"/>
      <c r="FL77" s="93"/>
      <c r="FM77" s="93"/>
      <c r="FN77" s="93"/>
      <c r="FO77" s="93"/>
      <c r="FP77" s="93"/>
      <c r="FQ77" s="93"/>
      <c r="FR77" s="93"/>
      <c r="FS77" s="93"/>
      <c r="FT77" s="93"/>
      <c r="FU77" s="93"/>
      <c r="FV77" s="93"/>
      <c r="FW77" s="93"/>
      <c r="FX77" s="93"/>
      <c r="FY77" s="93"/>
      <c r="FZ77" s="93"/>
      <c r="GA77" s="93"/>
      <c r="GB77" s="93"/>
      <c r="GC77" s="93"/>
      <c r="GD77" s="93"/>
      <c r="GE77" s="93"/>
      <c r="GF77" s="93"/>
      <c r="GG77" s="93"/>
      <c r="GH77" s="93"/>
      <c r="GI77" s="93"/>
      <c r="GJ77" s="93"/>
      <c r="GK77" s="93"/>
      <c r="GL77" s="93"/>
      <c r="GM77" s="93"/>
      <c r="GN77" s="93"/>
      <c r="GO77" s="93"/>
      <c r="GP77" s="93"/>
      <c r="GQ77" s="93"/>
      <c r="GR77" s="93"/>
      <c r="GS77" s="93"/>
      <c r="GT77" s="93"/>
    </row>
    <row r="78" spans="1:202" ht="16.5" customHeight="1">
      <c r="A78" s="96" t="s">
        <v>107</v>
      </c>
      <c r="B78" s="92"/>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3"/>
      <c r="BJ78" s="93"/>
      <c r="BK78" s="93"/>
      <c r="BL78" s="93"/>
      <c r="BM78" s="93"/>
      <c r="BN78" s="93"/>
      <c r="BO78" s="93"/>
      <c r="BP78" s="93"/>
      <c r="BQ78" s="93"/>
      <c r="BR78" s="93"/>
      <c r="BS78" s="93"/>
      <c r="BT78" s="93"/>
      <c r="BU78" s="93"/>
      <c r="BV78" s="93"/>
      <c r="BW78" s="93"/>
      <c r="BX78" s="93"/>
      <c r="BY78" s="93"/>
      <c r="BZ78" s="93"/>
      <c r="CA78" s="93"/>
      <c r="CB78" s="93"/>
      <c r="CC78" s="93"/>
      <c r="CD78" s="93"/>
      <c r="CE78" s="93"/>
      <c r="CF78" s="93"/>
      <c r="CG78" s="93"/>
      <c r="CH78" s="93"/>
      <c r="CI78" s="93"/>
      <c r="CJ78" s="93"/>
      <c r="CK78" s="93"/>
      <c r="CL78" s="93"/>
      <c r="CM78" s="93"/>
      <c r="CN78" s="93"/>
      <c r="CO78" s="93"/>
      <c r="CP78" s="93"/>
      <c r="CQ78" s="93"/>
      <c r="CR78" s="93"/>
      <c r="CS78" s="93"/>
      <c r="CT78" s="93"/>
      <c r="CU78" s="93"/>
      <c r="CV78" s="93"/>
      <c r="CW78" s="93"/>
      <c r="CX78" s="93"/>
      <c r="CY78" s="93"/>
      <c r="CZ78" s="93"/>
      <c r="DA78" s="93"/>
      <c r="DB78" s="93"/>
      <c r="DC78" s="93"/>
      <c r="DD78" s="93"/>
      <c r="DE78" s="93"/>
      <c r="DF78" s="93"/>
      <c r="DG78" s="93"/>
      <c r="DH78" s="93"/>
      <c r="DI78" s="93"/>
      <c r="DJ78" s="93"/>
      <c r="DK78" s="93"/>
      <c r="DL78" s="93"/>
      <c r="DM78" s="93"/>
      <c r="DN78" s="93"/>
      <c r="DO78" s="93"/>
      <c r="DP78" s="93"/>
      <c r="DQ78" s="93"/>
      <c r="DR78" s="93"/>
      <c r="DS78" s="93"/>
      <c r="DT78" s="93"/>
      <c r="DU78" s="93"/>
      <c r="DV78" s="93"/>
      <c r="DW78" s="93"/>
      <c r="DX78" s="93"/>
      <c r="DY78" s="93"/>
      <c r="DZ78" s="93"/>
      <c r="EA78" s="93"/>
      <c r="EB78" s="93"/>
      <c r="EC78" s="93"/>
      <c r="ED78" s="93"/>
      <c r="EE78" s="93"/>
      <c r="EF78" s="93"/>
      <c r="EG78" s="93"/>
      <c r="EH78" s="93"/>
      <c r="EI78" s="93"/>
      <c r="EJ78" s="93"/>
      <c r="EK78" s="93"/>
      <c r="EL78" s="93"/>
      <c r="EM78" s="93"/>
      <c r="EN78" s="93"/>
      <c r="EO78" s="93"/>
      <c r="EP78" s="93"/>
      <c r="EQ78" s="93"/>
      <c r="ER78" s="93"/>
      <c r="ES78" s="93"/>
      <c r="ET78" s="93"/>
      <c r="EU78" s="93"/>
      <c r="EV78" s="93"/>
      <c r="EW78" s="93"/>
      <c r="EX78" s="93"/>
      <c r="EY78" s="93"/>
      <c r="EZ78" s="93"/>
      <c r="FA78" s="93"/>
      <c r="FB78" s="93"/>
      <c r="FC78" s="93"/>
      <c r="FD78" s="93"/>
      <c r="FE78" s="93"/>
      <c r="FF78" s="93"/>
      <c r="FG78" s="93"/>
      <c r="FH78" s="93"/>
      <c r="FI78" s="93"/>
      <c r="FJ78" s="93"/>
      <c r="FK78" s="93"/>
      <c r="FL78" s="93"/>
      <c r="FM78" s="93"/>
      <c r="FN78" s="93"/>
      <c r="FO78" s="93"/>
      <c r="FP78" s="93"/>
      <c r="FQ78" s="93"/>
      <c r="FR78" s="93"/>
      <c r="FS78" s="93"/>
      <c r="FT78" s="93"/>
      <c r="FU78" s="93"/>
      <c r="FV78" s="93"/>
      <c r="FW78" s="93"/>
      <c r="FX78" s="93"/>
      <c r="FY78" s="93"/>
      <c r="FZ78" s="93"/>
      <c r="GA78" s="93"/>
      <c r="GB78" s="93"/>
      <c r="GC78" s="93"/>
      <c r="GD78" s="93"/>
      <c r="GE78" s="93"/>
      <c r="GF78" s="93"/>
      <c r="GG78" s="93"/>
      <c r="GH78" s="93"/>
      <c r="GI78" s="93"/>
      <c r="GJ78" s="93"/>
      <c r="GK78" s="93"/>
      <c r="GL78" s="93"/>
      <c r="GM78" s="93"/>
      <c r="GN78" s="93"/>
      <c r="GO78" s="93"/>
      <c r="GP78" s="93"/>
      <c r="GQ78" s="93"/>
      <c r="GR78" s="93"/>
      <c r="GS78" s="93"/>
      <c r="GT78" s="93"/>
    </row>
    <row r="79" spans="1:202" ht="16.5" customHeight="1">
      <c r="A79" s="96" t="s">
        <v>96</v>
      </c>
      <c r="B79" s="92"/>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3"/>
      <c r="AX79" s="93"/>
      <c r="AY79" s="93"/>
      <c r="AZ79" s="93"/>
      <c r="BA79" s="93"/>
      <c r="BB79" s="93"/>
      <c r="BC79" s="93"/>
      <c r="BD79" s="93"/>
      <c r="BE79" s="93"/>
      <c r="BF79" s="93"/>
      <c r="BG79" s="93"/>
      <c r="BH79" s="93"/>
      <c r="BI79" s="93"/>
      <c r="BJ79" s="93"/>
      <c r="BK79" s="93"/>
      <c r="BL79" s="93"/>
      <c r="BM79" s="93"/>
      <c r="BN79" s="93"/>
      <c r="BO79" s="93"/>
      <c r="BP79" s="93"/>
      <c r="BQ79" s="93"/>
      <c r="BR79" s="93"/>
      <c r="BS79" s="93"/>
      <c r="BT79" s="93"/>
      <c r="BU79" s="93"/>
      <c r="BV79" s="93"/>
      <c r="BW79" s="93"/>
      <c r="BX79" s="93"/>
      <c r="BY79" s="93"/>
      <c r="BZ79" s="93"/>
      <c r="CA79" s="93"/>
      <c r="CB79" s="93"/>
      <c r="CC79" s="93"/>
      <c r="CD79" s="93"/>
      <c r="CE79" s="93"/>
      <c r="CF79" s="93"/>
      <c r="CG79" s="93"/>
      <c r="CH79" s="93"/>
      <c r="CI79" s="93"/>
      <c r="CJ79" s="93"/>
      <c r="CK79" s="93"/>
      <c r="CL79" s="93"/>
      <c r="CM79" s="93"/>
      <c r="CN79" s="93"/>
      <c r="CO79" s="93"/>
      <c r="CP79" s="93"/>
      <c r="CQ79" s="93"/>
      <c r="CR79" s="93"/>
      <c r="CS79" s="93"/>
      <c r="CT79" s="93"/>
      <c r="CU79" s="93"/>
      <c r="CV79" s="93"/>
      <c r="CW79" s="93"/>
      <c r="CX79" s="93"/>
      <c r="CY79" s="93"/>
      <c r="CZ79" s="93"/>
      <c r="DA79" s="93"/>
      <c r="DB79" s="93"/>
      <c r="DC79" s="93"/>
      <c r="DD79" s="93"/>
      <c r="DE79" s="93"/>
      <c r="DF79" s="93"/>
      <c r="DG79" s="93"/>
      <c r="DH79" s="93"/>
      <c r="DI79" s="93"/>
      <c r="DJ79" s="93"/>
      <c r="DK79" s="93"/>
      <c r="DL79" s="93"/>
      <c r="DM79" s="93"/>
      <c r="DN79" s="93"/>
      <c r="DO79" s="93"/>
      <c r="DP79" s="93"/>
      <c r="DQ79" s="93"/>
      <c r="DR79" s="93"/>
      <c r="DS79" s="93"/>
      <c r="DT79" s="93"/>
      <c r="DU79" s="93"/>
      <c r="DV79" s="93"/>
      <c r="DW79" s="93"/>
      <c r="DX79" s="93"/>
      <c r="DY79" s="93"/>
      <c r="DZ79" s="93"/>
      <c r="EA79" s="93"/>
      <c r="EB79" s="93"/>
      <c r="EC79" s="93"/>
      <c r="ED79" s="93"/>
      <c r="EE79" s="93"/>
      <c r="EF79" s="93"/>
      <c r="EG79" s="93"/>
      <c r="EH79" s="93"/>
      <c r="EI79" s="93"/>
      <c r="EJ79" s="93"/>
      <c r="EK79" s="93"/>
      <c r="EL79" s="93"/>
      <c r="EM79" s="93"/>
      <c r="EN79" s="93"/>
      <c r="EO79" s="93"/>
      <c r="EP79" s="93"/>
      <c r="EQ79" s="93"/>
      <c r="ER79" s="93"/>
      <c r="ES79" s="93"/>
      <c r="ET79" s="93"/>
      <c r="EU79" s="93"/>
      <c r="EV79" s="93"/>
      <c r="EW79" s="93"/>
      <c r="EX79" s="93"/>
      <c r="EY79" s="93"/>
      <c r="EZ79" s="93"/>
      <c r="FA79" s="93"/>
      <c r="FB79" s="93"/>
      <c r="FC79" s="93"/>
      <c r="FD79" s="93"/>
      <c r="FE79" s="93"/>
      <c r="FF79" s="93"/>
      <c r="FG79" s="93"/>
      <c r="FH79" s="93"/>
      <c r="FI79" s="93"/>
      <c r="FJ79" s="93"/>
      <c r="FK79" s="93"/>
      <c r="FL79" s="93"/>
      <c r="FM79" s="93"/>
      <c r="FN79" s="93"/>
      <c r="FO79" s="93"/>
      <c r="FP79" s="93"/>
      <c r="FQ79" s="93"/>
      <c r="FR79" s="93"/>
      <c r="FS79" s="93"/>
      <c r="FT79" s="93"/>
      <c r="FU79" s="93"/>
      <c r="FV79" s="93"/>
      <c r="FW79" s="93"/>
      <c r="FX79" s="93"/>
      <c r="FY79" s="93"/>
      <c r="FZ79" s="93"/>
      <c r="GA79" s="93"/>
      <c r="GB79" s="93"/>
      <c r="GC79" s="93"/>
      <c r="GD79" s="93"/>
      <c r="GE79" s="93"/>
      <c r="GF79" s="93"/>
      <c r="GG79" s="93"/>
      <c r="GH79" s="93"/>
      <c r="GI79" s="93"/>
      <c r="GJ79" s="93"/>
      <c r="GK79" s="93"/>
      <c r="GL79" s="93"/>
      <c r="GM79" s="93"/>
      <c r="GN79" s="93"/>
      <c r="GO79" s="93"/>
      <c r="GP79" s="93"/>
      <c r="GQ79" s="93"/>
      <c r="GR79" s="93"/>
      <c r="GS79" s="93"/>
      <c r="GT79" s="93"/>
    </row>
    <row r="80" spans="1:202" ht="16.5" customHeight="1">
      <c r="A80" s="96" t="s">
        <v>107</v>
      </c>
      <c r="B80" s="92"/>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c r="BE80" s="93"/>
      <c r="BF80" s="93"/>
      <c r="BG80" s="93"/>
      <c r="BH80" s="93"/>
      <c r="BI80" s="93"/>
      <c r="BJ80" s="93"/>
      <c r="BK80" s="93"/>
      <c r="BL80" s="93"/>
      <c r="BM80" s="93"/>
      <c r="BN80" s="93"/>
      <c r="BO80" s="93"/>
      <c r="BP80" s="93"/>
      <c r="BQ80" s="93"/>
      <c r="BR80" s="93"/>
      <c r="BS80" s="93"/>
      <c r="BT80" s="93"/>
      <c r="BU80" s="93"/>
      <c r="BV80" s="93"/>
      <c r="BW80" s="93"/>
      <c r="BX80" s="93"/>
      <c r="BY80" s="93"/>
      <c r="BZ80" s="93"/>
      <c r="CA80" s="93"/>
      <c r="CB80" s="93"/>
      <c r="CC80" s="93"/>
      <c r="CD80" s="93"/>
      <c r="CE80" s="93"/>
      <c r="CF80" s="93"/>
      <c r="CG80" s="93"/>
      <c r="CH80" s="93"/>
      <c r="CI80" s="93"/>
      <c r="CJ80" s="93"/>
      <c r="CK80" s="93"/>
      <c r="CL80" s="93"/>
      <c r="CM80" s="93"/>
      <c r="CN80" s="93"/>
      <c r="CO80" s="93"/>
      <c r="CP80" s="93"/>
      <c r="CQ80" s="93"/>
      <c r="CR80" s="93"/>
      <c r="CS80" s="93"/>
      <c r="CT80" s="93"/>
      <c r="CU80" s="93"/>
      <c r="CV80" s="93"/>
      <c r="CW80" s="93"/>
      <c r="CX80" s="93"/>
      <c r="CY80" s="93"/>
      <c r="CZ80" s="93"/>
      <c r="DA80" s="93"/>
      <c r="DB80" s="93"/>
      <c r="DC80" s="93"/>
      <c r="DD80" s="93"/>
      <c r="DE80" s="93"/>
      <c r="DF80" s="93"/>
      <c r="DG80" s="93"/>
      <c r="DH80" s="93"/>
      <c r="DI80" s="93"/>
      <c r="DJ80" s="93"/>
      <c r="DK80" s="93"/>
      <c r="DL80" s="93"/>
      <c r="DM80" s="93"/>
      <c r="DN80" s="93"/>
      <c r="DO80" s="93"/>
      <c r="DP80" s="93"/>
      <c r="DQ80" s="93"/>
      <c r="DR80" s="93"/>
      <c r="DS80" s="93"/>
      <c r="DT80" s="93"/>
      <c r="DU80" s="93"/>
      <c r="DV80" s="93"/>
      <c r="DW80" s="93"/>
      <c r="DX80" s="93"/>
      <c r="DY80" s="93"/>
      <c r="DZ80" s="93"/>
      <c r="EA80" s="93"/>
      <c r="EB80" s="93"/>
      <c r="EC80" s="93"/>
      <c r="ED80" s="93"/>
      <c r="EE80" s="93"/>
      <c r="EF80" s="93"/>
      <c r="EG80" s="93"/>
      <c r="EH80" s="93"/>
      <c r="EI80" s="93"/>
      <c r="EJ80" s="93"/>
      <c r="EK80" s="93"/>
      <c r="EL80" s="93"/>
      <c r="EM80" s="93"/>
      <c r="EN80" s="93"/>
      <c r="EO80" s="93"/>
      <c r="EP80" s="93"/>
      <c r="EQ80" s="93"/>
      <c r="ER80" s="93"/>
      <c r="ES80" s="93"/>
      <c r="ET80" s="93"/>
      <c r="EU80" s="93"/>
      <c r="EV80" s="93"/>
      <c r="EW80" s="93"/>
      <c r="EX80" s="93"/>
      <c r="EY80" s="93"/>
      <c r="EZ80" s="93"/>
      <c r="FA80" s="93"/>
      <c r="FB80" s="93"/>
      <c r="FC80" s="93"/>
      <c r="FD80" s="93"/>
      <c r="FE80" s="93"/>
      <c r="FF80" s="93"/>
      <c r="FG80" s="93"/>
      <c r="FH80" s="93"/>
      <c r="FI80" s="93"/>
      <c r="FJ80" s="93"/>
      <c r="FK80" s="93"/>
      <c r="FL80" s="93"/>
      <c r="FM80" s="93"/>
      <c r="FN80" s="93"/>
      <c r="FO80" s="93"/>
      <c r="FP80" s="93"/>
      <c r="FQ80" s="93"/>
      <c r="FR80" s="93"/>
      <c r="FS80" s="93"/>
      <c r="FT80" s="93"/>
      <c r="FU80" s="93"/>
      <c r="FV80" s="93"/>
      <c r="FW80" s="93"/>
      <c r="FX80" s="93"/>
      <c r="FY80" s="93"/>
      <c r="FZ80" s="93"/>
      <c r="GA80" s="93"/>
      <c r="GB80" s="93"/>
      <c r="GC80" s="93"/>
      <c r="GD80" s="93"/>
      <c r="GE80" s="93"/>
      <c r="GF80" s="93"/>
      <c r="GG80" s="93"/>
      <c r="GH80" s="93"/>
      <c r="GI80" s="93"/>
      <c r="GJ80" s="93"/>
      <c r="GK80" s="93"/>
      <c r="GL80" s="93"/>
      <c r="GM80" s="93"/>
      <c r="GN80" s="93"/>
      <c r="GO80" s="93"/>
      <c r="GP80" s="93"/>
      <c r="GQ80" s="93"/>
      <c r="GR80" s="93"/>
      <c r="GS80" s="93"/>
      <c r="GT80" s="93"/>
    </row>
    <row r="81" spans="1:202" s="28" customFormat="1" ht="21">
      <c r="A81" s="226" t="s">
        <v>238</v>
      </c>
      <c r="B81" s="44"/>
      <c r="C81" s="45">
        <f>-SUM(C82:C89)</f>
        <v>0</v>
      </c>
      <c r="D81" s="45">
        <f t="shared" ref="D81:BO81" si="52">-SUM(D82:D89)</f>
        <v>0</v>
      </c>
      <c r="E81" s="45">
        <f t="shared" si="52"/>
        <v>0</v>
      </c>
      <c r="F81" s="45">
        <f t="shared" si="52"/>
        <v>0</v>
      </c>
      <c r="G81" s="45">
        <f t="shared" si="52"/>
        <v>0</v>
      </c>
      <c r="H81" s="45">
        <f t="shared" si="52"/>
        <v>0</v>
      </c>
      <c r="I81" s="45">
        <f t="shared" si="52"/>
        <v>0</v>
      </c>
      <c r="J81" s="45">
        <f t="shared" si="52"/>
        <v>0</v>
      </c>
      <c r="K81" s="45">
        <f t="shared" si="52"/>
        <v>0</v>
      </c>
      <c r="L81" s="45">
        <f t="shared" si="52"/>
        <v>0</v>
      </c>
      <c r="M81" s="45">
        <f t="shared" si="52"/>
        <v>0</v>
      </c>
      <c r="N81" s="45">
        <f t="shared" si="52"/>
        <v>0</v>
      </c>
      <c r="O81" s="45">
        <f t="shared" si="52"/>
        <v>0</v>
      </c>
      <c r="P81" s="45">
        <f t="shared" si="52"/>
        <v>0</v>
      </c>
      <c r="Q81" s="45">
        <f t="shared" si="52"/>
        <v>0</v>
      </c>
      <c r="R81" s="45">
        <f t="shared" si="52"/>
        <v>0</v>
      </c>
      <c r="S81" s="45">
        <f t="shared" si="52"/>
        <v>0</v>
      </c>
      <c r="T81" s="45">
        <f t="shared" si="52"/>
        <v>0</v>
      </c>
      <c r="U81" s="45">
        <f t="shared" si="52"/>
        <v>0</v>
      </c>
      <c r="V81" s="45">
        <f t="shared" si="52"/>
        <v>0</v>
      </c>
      <c r="W81" s="45">
        <f t="shared" si="52"/>
        <v>0</v>
      </c>
      <c r="X81" s="45">
        <f t="shared" si="52"/>
        <v>0</v>
      </c>
      <c r="Y81" s="45">
        <f t="shared" si="52"/>
        <v>0</v>
      </c>
      <c r="Z81" s="45">
        <f t="shared" si="52"/>
        <v>0</v>
      </c>
      <c r="AA81" s="45">
        <f t="shared" si="52"/>
        <v>0</v>
      </c>
      <c r="AB81" s="45">
        <f t="shared" si="52"/>
        <v>0</v>
      </c>
      <c r="AC81" s="45">
        <f t="shared" si="52"/>
        <v>0</v>
      </c>
      <c r="AD81" s="45">
        <f t="shared" si="52"/>
        <v>0</v>
      </c>
      <c r="AE81" s="45">
        <f t="shared" si="52"/>
        <v>0</v>
      </c>
      <c r="AF81" s="45">
        <f t="shared" si="52"/>
        <v>0</v>
      </c>
      <c r="AG81" s="45">
        <f t="shared" si="52"/>
        <v>0</v>
      </c>
      <c r="AH81" s="45">
        <f t="shared" si="52"/>
        <v>0</v>
      </c>
      <c r="AI81" s="45">
        <f t="shared" si="52"/>
        <v>0</v>
      </c>
      <c r="AJ81" s="45">
        <f t="shared" si="52"/>
        <v>0</v>
      </c>
      <c r="AK81" s="45">
        <f t="shared" si="52"/>
        <v>0</v>
      </c>
      <c r="AL81" s="45">
        <f t="shared" si="52"/>
        <v>0</v>
      </c>
      <c r="AM81" s="45">
        <f t="shared" si="52"/>
        <v>0</v>
      </c>
      <c r="AN81" s="45">
        <f t="shared" si="52"/>
        <v>0</v>
      </c>
      <c r="AO81" s="45">
        <f t="shared" si="52"/>
        <v>0</v>
      </c>
      <c r="AP81" s="45">
        <f t="shared" si="52"/>
        <v>0</v>
      </c>
      <c r="AQ81" s="45">
        <f t="shared" si="52"/>
        <v>0</v>
      </c>
      <c r="AR81" s="45">
        <f t="shared" si="52"/>
        <v>0</v>
      </c>
      <c r="AS81" s="45">
        <f t="shared" si="52"/>
        <v>0</v>
      </c>
      <c r="AT81" s="45">
        <f t="shared" si="52"/>
        <v>0</v>
      </c>
      <c r="AU81" s="45">
        <f t="shared" si="52"/>
        <v>0</v>
      </c>
      <c r="AV81" s="45">
        <f t="shared" si="52"/>
        <v>0</v>
      </c>
      <c r="AW81" s="45">
        <f t="shared" si="52"/>
        <v>0</v>
      </c>
      <c r="AX81" s="45">
        <f t="shared" si="52"/>
        <v>0</v>
      </c>
      <c r="AY81" s="45">
        <f t="shared" si="52"/>
        <v>0</v>
      </c>
      <c r="AZ81" s="45">
        <f t="shared" si="52"/>
        <v>0</v>
      </c>
      <c r="BA81" s="45">
        <f t="shared" si="52"/>
        <v>0</v>
      </c>
      <c r="BB81" s="45">
        <f t="shared" si="52"/>
        <v>0</v>
      </c>
      <c r="BC81" s="45">
        <f t="shared" si="52"/>
        <v>0</v>
      </c>
      <c r="BD81" s="45">
        <f t="shared" si="52"/>
        <v>0</v>
      </c>
      <c r="BE81" s="45">
        <f t="shared" si="52"/>
        <v>0</v>
      </c>
      <c r="BF81" s="45">
        <f t="shared" si="52"/>
        <v>0</v>
      </c>
      <c r="BG81" s="45">
        <f t="shared" si="52"/>
        <v>0</v>
      </c>
      <c r="BH81" s="45">
        <f t="shared" si="52"/>
        <v>0</v>
      </c>
      <c r="BI81" s="45">
        <f t="shared" si="52"/>
        <v>0</v>
      </c>
      <c r="BJ81" s="45">
        <f t="shared" si="52"/>
        <v>0</v>
      </c>
      <c r="BK81" s="45">
        <f t="shared" si="52"/>
        <v>0</v>
      </c>
      <c r="BL81" s="45">
        <f t="shared" si="52"/>
        <v>0</v>
      </c>
      <c r="BM81" s="45">
        <f t="shared" si="52"/>
        <v>0</v>
      </c>
      <c r="BN81" s="45">
        <f t="shared" si="52"/>
        <v>0</v>
      </c>
      <c r="BO81" s="45">
        <f t="shared" si="52"/>
        <v>0</v>
      </c>
      <c r="BP81" s="45">
        <f t="shared" ref="BP81:EA81" si="53">-SUM(BP82:BP89)</f>
        <v>0</v>
      </c>
      <c r="BQ81" s="45">
        <f t="shared" si="53"/>
        <v>0</v>
      </c>
      <c r="BR81" s="45">
        <f t="shared" si="53"/>
        <v>0</v>
      </c>
      <c r="BS81" s="45">
        <f t="shared" si="53"/>
        <v>0</v>
      </c>
      <c r="BT81" s="45">
        <f t="shared" si="53"/>
        <v>0</v>
      </c>
      <c r="BU81" s="45">
        <f t="shared" si="53"/>
        <v>0</v>
      </c>
      <c r="BV81" s="45">
        <f t="shared" si="53"/>
        <v>0</v>
      </c>
      <c r="BW81" s="45">
        <f t="shared" si="53"/>
        <v>0</v>
      </c>
      <c r="BX81" s="45">
        <f t="shared" si="53"/>
        <v>0</v>
      </c>
      <c r="BY81" s="45">
        <f t="shared" si="53"/>
        <v>0</v>
      </c>
      <c r="BZ81" s="45">
        <f t="shared" si="53"/>
        <v>0</v>
      </c>
      <c r="CA81" s="45">
        <f t="shared" si="53"/>
        <v>0</v>
      </c>
      <c r="CB81" s="45">
        <f t="shared" si="53"/>
        <v>0</v>
      </c>
      <c r="CC81" s="45">
        <f t="shared" si="53"/>
        <v>0</v>
      </c>
      <c r="CD81" s="45">
        <f t="shared" si="53"/>
        <v>0</v>
      </c>
      <c r="CE81" s="45">
        <f t="shared" si="53"/>
        <v>0</v>
      </c>
      <c r="CF81" s="45">
        <f t="shared" si="53"/>
        <v>0</v>
      </c>
      <c r="CG81" s="45">
        <f t="shared" si="53"/>
        <v>0</v>
      </c>
      <c r="CH81" s="45">
        <f t="shared" si="53"/>
        <v>0</v>
      </c>
      <c r="CI81" s="45">
        <f t="shared" si="53"/>
        <v>0</v>
      </c>
      <c r="CJ81" s="45">
        <f t="shared" si="53"/>
        <v>0</v>
      </c>
      <c r="CK81" s="45">
        <f t="shared" si="53"/>
        <v>0</v>
      </c>
      <c r="CL81" s="45">
        <f t="shared" si="53"/>
        <v>0</v>
      </c>
      <c r="CM81" s="45">
        <f t="shared" si="53"/>
        <v>0</v>
      </c>
      <c r="CN81" s="45">
        <f t="shared" si="53"/>
        <v>0</v>
      </c>
      <c r="CO81" s="45">
        <f t="shared" si="53"/>
        <v>0</v>
      </c>
      <c r="CP81" s="45">
        <f t="shared" si="53"/>
        <v>0</v>
      </c>
      <c r="CQ81" s="45">
        <f t="shared" si="53"/>
        <v>0</v>
      </c>
      <c r="CR81" s="45">
        <f t="shared" si="53"/>
        <v>0</v>
      </c>
      <c r="CS81" s="45">
        <f t="shared" si="53"/>
        <v>0</v>
      </c>
      <c r="CT81" s="45">
        <f t="shared" si="53"/>
        <v>0</v>
      </c>
      <c r="CU81" s="45">
        <f t="shared" si="53"/>
        <v>0</v>
      </c>
      <c r="CV81" s="45">
        <f t="shared" si="53"/>
        <v>0</v>
      </c>
      <c r="CW81" s="45">
        <f t="shared" si="53"/>
        <v>0</v>
      </c>
      <c r="CX81" s="45">
        <f t="shared" si="53"/>
        <v>0</v>
      </c>
      <c r="CY81" s="45">
        <f t="shared" si="53"/>
        <v>0</v>
      </c>
      <c r="CZ81" s="45">
        <f t="shared" si="53"/>
        <v>0</v>
      </c>
      <c r="DA81" s="45">
        <f t="shared" si="53"/>
        <v>0</v>
      </c>
      <c r="DB81" s="45">
        <f t="shared" si="53"/>
        <v>0</v>
      </c>
      <c r="DC81" s="45">
        <f t="shared" si="53"/>
        <v>0</v>
      </c>
      <c r="DD81" s="45">
        <f t="shared" si="53"/>
        <v>0</v>
      </c>
      <c r="DE81" s="45">
        <f t="shared" si="53"/>
        <v>0</v>
      </c>
      <c r="DF81" s="45">
        <f t="shared" si="53"/>
        <v>0</v>
      </c>
      <c r="DG81" s="45">
        <f t="shared" si="53"/>
        <v>0</v>
      </c>
      <c r="DH81" s="45">
        <f t="shared" si="53"/>
        <v>0</v>
      </c>
      <c r="DI81" s="45">
        <f t="shared" si="53"/>
        <v>0</v>
      </c>
      <c r="DJ81" s="45">
        <f t="shared" si="53"/>
        <v>0</v>
      </c>
      <c r="DK81" s="45">
        <f t="shared" si="53"/>
        <v>0</v>
      </c>
      <c r="DL81" s="45">
        <f t="shared" si="53"/>
        <v>0</v>
      </c>
      <c r="DM81" s="45">
        <f t="shared" si="53"/>
        <v>0</v>
      </c>
      <c r="DN81" s="45">
        <f t="shared" si="53"/>
        <v>0</v>
      </c>
      <c r="DO81" s="45">
        <f t="shared" si="53"/>
        <v>0</v>
      </c>
      <c r="DP81" s="45">
        <f t="shared" si="53"/>
        <v>0</v>
      </c>
      <c r="DQ81" s="45">
        <f t="shared" si="53"/>
        <v>0</v>
      </c>
      <c r="DR81" s="45">
        <f t="shared" si="53"/>
        <v>0</v>
      </c>
      <c r="DS81" s="45">
        <f t="shared" si="53"/>
        <v>0</v>
      </c>
      <c r="DT81" s="45">
        <f t="shared" si="53"/>
        <v>0</v>
      </c>
      <c r="DU81" s="45">
        <f t="shared" si="53"/>
        <v>0</v>
      </c>
      <c r="DV81" s="45">
        <f t="shared" si="53"/>
        <v>0</v>
      </c>
      <c r="DW81" s="45">
        <f t="shared" si="53"/>
        <v>0</v>
      </c>
      <c r="DX81" s="45">
        <f t="shared" si="53"/>
        <v>0</v>
      </c>
      <c r="DY81" s="45">
        <f t="shared" si="53"/>
        <v>0</v>
      </c>
      <c r="DZ81" s="45">
        <f t="shared" si="53"/>
        <v>0</v>
      </c>
      <c r="EA81" s="45">
        <f t="shared" si="53"/>
        <v>0</v>
      </c>
      <c r="EB81" s="45">
        <f t="shared" ref="EB81:GM81" si="54">-SUM(EB82:EB89)</f>
        <v>0</v>
      </c>
      <c r="EC81" s="45">
        <f t="shared" si="54"/>
        <v>0</v>
      </c>
      <c r="ED81" s="45">
        <f t="shared" si="54"/>
        <v>0</v>
      </c>
      <c r="EE81" s="45">
        <f t="shared" si="54"/>
        <v>0</v>
      </c>
      <c r="EF81" s="45">
        <f t="shared" si="54"/>
        <v>0</v>
      </c>
      <c r="EG81" s="45">
        <f t="shared" si="54"/>
        <v>0</v>
      </c>
      <c r="EH81" s="45">
        <f t="shared" si="54"/>
        <v>0</v>
      </c>
      <c r="EI81" s="45">
        <f t="shared" si="54"/>
        <v>0</v>
      </c>
      <c r="EJ81" s="45">
        <f t="shared" si="54"/>
        <v>0</v>
      </c>
      <c r="EK81" s="45">
        <f t="shared" si="54"/>
        <v>0</v>
      </c>
      <c r="EL81" s="45">
        <f t="shared" si="54"/>
        <v>0</v>
      </c>
      <c r="EM81" s="45">
        <f t="shared" si="54"/>
        <v>0</v>
      </c>
      <c r="EN81" s="45">
        <f t="shared" si="54"/>
        <v>0</v>
      </c>
      <c r="EO81" s="45">
        <f t="shared" si="54"/>
        <v>0</v>
      </c>
      <c r="EP81" s="45">
        <f t="shared" si="54"/>
        <v>0</v>
      </c>
      <c r="EQ81" s="45">
        <f t="shared" si="54"/>
        <v>0</v>
      </c>
      <c r="ER81" s="45">
        <f t="shared" si="54"/>
        <v>0</v>
      </c>
      <c r="ES81" s="45">
        <f t="shared" si="54"/>
        <v>0</v>
      </c>
      <c r="ET81" s="45">
        <f t="shared" si="54"/>
        <v>0</v>
      </c>
      <c r="EU81" s="45">
        <f t="shared" si="54"/>
        <v>0</v>
      </c>
      <c r="EV81" s="45">
        <f t="shared" si="54"/>
        <v>0</v>
      </c>
      <c r="EW81" s="45">
        <f t="shared" si="54"/>
        <v>0</v>
      </c>
      <c r="EX81" s="45">
        <f t="shared" si="54"/>
        <v>0</v>
      </c>
      <c r="EY81" s="45">
        <f t="shared" si="54"/>
        <v>0</v>
      </c>
      <c r="EZ81" s="45">
        <f t="shared" si="54"/>
        <v>0</v>
      </c>
      <c r="FA81" s="45">
        <f t="shared" si="54"/>
        <v>0</v>
      </c>
      <c r="FB81" s="45">
        <f t="shared" si="54"/>
        <v>0</v>
      </c>
      <c r="FC81" s="45">
        <f t="shared" si="54"/>
        <v>0</v>
      </c>
      <c r="FD81" s="45">
        <f t="shared" si="54"/>
        <v>0</v>
      </c>
      <c r="FE81" s="45">
        <f t="shared" si="54"/>
        <v>0</v>
      </c>
      <c r="FF81" s="45">
        <f t="shared" si="54"/>
        <v>0</v>
      </c>
      <c r="FG81" s="45">
        <f t="shared" si="54"/>
        <v>0</v>
      </c>
      <c r="FH81" s="45">
        <f t="shared" si="54"/>
        <v>0</v>
      </c>
      <c r="FI81" s="45">
        <f t="shared" si="54"/>
        <v>0</v>
      </c>
      <c r="FJ81" s="45">
        <f t="shared" si="54"/>
        <v>0</v>
      </c>
      <c r="FK81" s="45">
        <f t="shared" si="54"/>
        <v>0</v>
      </c>
      <c r="FL81" s="45">
        <f t="shared" si="54"/>
        <v>0</v>
      </c>
      <c r="FM81" s="45">
        <f t="shared" si="54"/>
        <v>0</v>
      </c>
      <c r="FN81" s="45">
        <f t="shared" si="54"/>
        <v>0</v>
      </c>
      <c r="FO81" s="45">
        <f t="shared" si="54"/>
        <v>0</v>
      </c>
      <c r="FP81" s="45">
        <f t="shared" si="54"/>
        <v>0</v>
      </c>
      <c r="FQ81" s="45">
        <f t="shared" si="54"/>
        <v>0</v>
      </c>
      <c r="FR81" s="45">
        <f t="shared" si="54"/>
        <v>0</v>
      </c>
      <c r="FS81" s="45">
        <f t="shared" si="54"/>
        <v>0</v>
      </c>
      <c r="FT81" s="45">
        <f t="shared" si="54"/>
        <v>0</v>
      </c>
      <c r="FU81" s="45">
        <f t="shared" si="54"/>
        <v>0</v>
      </c>
      <c r="FV81" s="45">
        <f t="shared" si="54"/>
        <v>0</v>
      </c>
      <c r="FW81" s="45">
        <f t="shared" si="54"/>
        <v>0</v>
      </c>
      <c r="FX81" s="45">
        <f t="shared" si="54"/>
        <v>0</v>
      </c>
      <c r="FY81" s="45">
        <f t="shared" si="54"/>
        <v>0</v>
      </c>
      <c r="FZ81" s="45">
        <f t="shared" si="54"/>
        <v>0</v>
      </c>
      <c r="GA81" s="45">
        <f t="shared" si="54"/>
        <v>0</v>
      </c>
      <c r="GB81" s="45">
        <f t="shared" si="54"/>
        <v>0</v>
      </c>
      <c r="GC81" s="45">
        <f t="shared" si="54"/>
        <v>0</v>
      </c>
      <c r="GD81" s="45">
        <f t="shared" si="54"/>
        <v>0</v>
      </c>
      <c r="GE81" s="45">
        <f t="shared" si="54"/>
        <v>0</v>
      </c>
      <c r="GF81" s="45">
        <f t="shared" si="54"/>
        <v>0</v>
      </c>
      <c r="GG81" s="45">
        <f t="shared" si="54"/>
        <v>0</v>
      </c>
      <c r="GH81" s="45">
        <f t="shared" si="54"/>
        <v>0</v>
      </c>
      <c r="GI81" s="45">
        <f t="shared" si="54"/>
        <v>0</v>
      </c>
      <c r="GJ81" s="45">
        <f t="shared" si="54"/>
        <v>0</v>
      </c>
      <c r="GK81" s="45">
        <f t="shared" si="54"/>
        <v>0</v>
      </c>
      <c r="GL81" s="45">
        <f t="shared" si="54"/>
        <v>0</v>
      </c>
      <c r="GM81" s="45">
        <f t="shared" si="54"/>
        <v>0</v>
      </c>
      <c r="GN81" s="45">
        <f t="shared" ref="GN81:GT81" si="55">-SUM(GN82:GN89)</f>
        <v>0</v>
      </c>
      <c r="GO81" s="45">
        <f t="shared" si="55"/>
        <v>0</v>
      </c>
      <c r="GP81" s="45">
        <f t="shared" si="55"/>
        <v>0</v>
      </c>
      <c r="GQ81" s="45">
        <f t="shared" si="55"/>
        <v>0</v>
      </c>
      <c r="GR81" s="45">
        <f t="shared" si="55"/>
        <v>0</v>
      </c>
      <c r="GS81" s="45">
        <f t="shared" si="55"/>
        <v>0</v>
      </c>
      <c r="GT81" s="45">
        <f t="shared" si="55"/>
        <v>0</v>
      </c>
    </row>
    <row r="82" spans="1:202" ht="16.5" customHeight="1">
      <c r="A82" s="96" t="s">
        <v>23</v>
      </c>
      <c r="B82" s="92"/>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c r="CC82" s="93"/>
      <c r="CD82" s="93"/>
      <c r="CE82" s="93"/>
      <c r="CF82" s="93"/>
      <c r="CG82" s="93"/>
      <c r="CH82" s="93"/>
      <c r="CI82" s="93"/>
      <c r="CJ82" s="93"/>
      <c r="CK82" s="93"/>
      <c r="CL82" s="93"/>
      <c r="CM82" s="93"/>
      <c r="CN82" s="93"/>
      <c r="CO82" s="93"/>
      <c r="CP82" s="93"/>
      <c r="CQ82" s="93"/>
      <c r="CR82" s="93"/>
      <c r="CS82" s="93"/>
      <c r="CT82" s="93"/>
      <c r="CU82" s="93"/>
      <c r="CV82" s="93"/>
      <c r="CW82" s="93"/>
      <c r="CX82" s="93"/>
      <c r="CY82" s="93"/>
      <c r="CZ82" s="93"/>
      <c r="DA82" s="93"/>
      <c r="DB82" s="93"/>
      <c r="DC82" s="93"/>
      <c r="DD82" s="93"/>
      <c r="DE82" s="93"/>
      <c r="DF82" s="93"/>
      <c r="DG82" s="93"/>
      <c r="DH82" s="93"/>
      <c r="DI82" s="93"/>
      <c r="DJ82" s="93"/>
      <c r="DK82" s="93"/>
      <c r="DL82" s="93"/>
      <c r="DM82" s="93"/>
      <c r="DN82" s="93"/>
      <c r="DO82" s="93"/>
      <c r="DP82" s="93"/>
      <c r="DQ82" s="93"/>
      <c r="DR82" s="93"/>
      <c r="DS82" s="93"/>
      <c r="DT82" s="93"/>
      <c r="DU82" s="93"/>
      <c r="DV82" s="93"/>
      <c r="DW82" s="93"/>
      <c r="DX82" s="93"/>
      <c r="DY82" s="93"/>
      <c r="DZ82" s="93"/>
      <c r="EA82" s="93"/>
      <c r="EB82" s="93"/>
      <c r="EC82" s="93"/>
      <c r="ED82" s="93"/>
      <c r="EE82" s="93"/>
      <c r="EF82" s="93"/>
      <c r="EG82" s="93"/>
      <c r="EH82" s="93"/>
      <c r="EI82" s="93"/>
      <c r="EJ82" s="93"/>
      <c r="EK82" s="93"/>
      <c r="EL82" s="93"/>
      <c r="EM82" s="93"/>
      <c r="EN82" s="93"/>
      <c r="EO82" s="93"/>
      <c r="EP82" s="93"/>
      <c r="EQ82" s="93"/>
      <c r="ER82" s="93"/>
      <c r="ES82" s="93"/>
      <c r="ET82" s="93"/>
      <c r="EU82" s="93"/>
      <c r="EV82" s="93"/>
      <c r="EW82" s="93"/>
      <c r="EX82" s="93"/>
      <c r="EY82" s="93"/>
      <c r="EZ82" s="93"/>
      <c r="FA82" s="93"/>
      <c r="FB82" s="93"/>
      <c r="FC82" s="93"/>
      <c r="FD82" s="93"/>
      <c r="FE82" s="93"/>
      <c r="FF82" s="93"/>
      <c r="FG82" s="93"/>
      <c r="FH82" s="93"/>
      <c r="FI82" s="93"/>
      <c r="FJ82" s="93"/>
      <c r="FK82" s="93"/>
      <c r="FL82" s="93"/>
      <c r="FM82" s="93"/>
      <c r="FN82" s="93"/>
      <c r="FO82" s="93"/>
      <c r="FP82" s="93"/>
      <c r="FQ82" s="93"/>
      <c r="FR82" s="93"/>
      <c r="FS82" s="93"/>
      <c r="FT82" s="93"/>
      <c r="FU82" s="93"/>
      <c r="FV82" s="93"/>
      <c r="FW82" s="93"/>
      <c r="FX82" s="93"/>
      <c r="FY82" s="93"/>
      <c r="FZ82" s="93"/>
      <c r="GA82" s="93"/>
      <c r="GB82" s="93"/>
      <c r="GC82" s="93"/>
      <c r="GD82" s="93"/>
      <c r="GE82" s="93"/>
      <c r="GF82" s="93"/>
      <c r="GG82" s="93"/>
      <c r="GH82" s="93"/>
      <c r="GI82" s="93"/>
      <c r="GJ82" s="93"/>
      <c r="GK82" s="93"/>
      <c r="GL82" s="93"/>
      <c r="GM82" s="93"/>
      <c r="GN82" s="93"/>
      <c r="GO82" s="93"/>
      <c r="GP82" s="93"/>
      <c r="GQ82" s="93"/>
      <c r="GR82" s="93"/>
      <c r="GS82" s="93"/>
      <c r="GT82" s="93"/>
    </row>
    <row r="83" spans="1:202" ht="16.5" customHeight="1">
      <c r="A83" s="96" t="s">
        <v>240</v>
      </c>
      <c r="B83" s="92"/>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c r="CC83" s="93"/>
      <c r="CD83" s="93"/>
      <c r="CE83" s="93"/>
      <c r="CF83" s="93"/>
      <c r="CG83" s="93"/>
      <c r="CH83" s="93"/>
      <c r="CI83" s="93"/>
      <c r="CJ83" s="93"/>
      <c r="CK83" s="93"/>
      <c r="CL83" s="93"/>
      <c r="CM83" s="93"/>
      <c r="CN83" s="93"/>
      <c r="CO83" s="93"/>
      <c r="CP83" s="93"/>
      <c r="CQ83" s="93"/>
      <c r="CR83" s="93"/>
      <c r="CS83" s="93"/>
      <c r="CT83" s="93"/>
      <c r="CU83" s="93"/>
      <c r="CV83" s="93"/>
      <c r="CW83" s="93"/>
      <c r="CX83" s="93"/>
      <c r="CY83" s="93"/>
      <c r="CZ83" s="93"/>
      <c r="DA83" s="93"/>
      <c r="DB83" s="93"/>
      <c r="DC83" s="93"/>
      <c r="DD83" s="93"/>
      <c r="DE83" s="93"/>
      <c r="DF83" s="93"/>
      <c r="DG83" s="93"/>
      <c r="DH83" s="93"/>
      <c r="DI83" s="93"/>
      <c r="DJ83" s="93"/>
      <c r="DK83" s="93"/>
      <c r="DL83" s="93"/>
      <c r="DM83" s="93"/>
      <c r="DN83" s="93"/>
      <c r="DO83" s="93"/>
      <c r="DP83" s="93"/>
      <c r="DQ83" s="93"/>
      <c r="DR83" s="93"/>
      <c r="DS83" s="93"/>
      <c r="DT83" s="93"/>
      <c r="DU83" s="93"/>
      <c r="DV83" s="93"/>
      <c r="DW83" s="93"/>
      <c r="DX83" s="93"/>
      <c r="DY83" s="93"/>
      <c r="DZ83" s="93"/>
      <c r="EA83" s="93"/>
      <c r="EB83" s="93"/>
      <c r="EC83" s="93"/>
      <c r="ED83" s="93"/>
      <c r="EE83" s="93"/>
      <c r="EF83" s="93"/>
      <c r="EG83" s="93"/>
      <c r="EH83" s="93"/>
      <c r="EI83" s="93"/>
      <c r="EJ83" s="93"/>
      <c r="EK83" s="93"/>
      <c r="EL83" s="93"/>
      <c r="EM83" s="93"/>
      <c r="EN83" s="93"/>
      <c r="EO83" s="93"/>
      <c r="EP83" s="93"/>
      <c r="EQ83" s="93"/>
      <c r="ER83" s="93"/>
      <c r="ES83" s="93"/>
      <c r="ET83" s="93"/>
      <c r="EU83" s="93"/>
      <c r="EV83" s="93"/>
      <c r="EW83" s="93"/>
      <c r="EX83" s="93"/>
      <c r="EY83" s="93"/>
      <c r="EZ83" s="93"/>
      <c r="FA83" s="93"/>
      <c r="FB83" s="93"/>
      <c r="FC83" s="93"/>
      <c r="FD83" s="93"/>
      <c r="FE83" s="93"/>
      <c r="FF83" s="93"/>
      <c r="FG83" s="93"/>
      <c r="FH83" s="93"/>
      <c r="FI83" s="93"/>
      <c r="FJ83" s="93"/>
      <c r="FK83" s="93"/>
      <c r="FL83" s="93"/>
      <c r="FM83" s="93"/>
      <c r="FN83" s="93"/>
      <c r="FO83" s="93"/>
      <c r="FP83" s="93"/>
      <c r="FQ83" s="93"/>
      <c r="FR83" s="93"/>
      <c r="FS83" s="93"/>
      <c r="FT83" s="93"/>
      <c r="FU83" s="93"/>
      <c r="FV83" s="93"/>
      <c r="FW83" s="93"/>
      <c r="FX83" s="93"/>
      <c r="FY83" s="93"/>
      <c r="FZ83" s="93"/>
      <c r="GA83" s="93"/>
      <c r="GB83" s="93"/>
      <c r="GC83" s="93"/>
      <c r="GD83" s="93"/>
      <c r="GE83" s="93"/>
      <c r="GF83" s="93"/>
      <c r="GG83" s="93"/>
      <c r="GH83" s="93"/>
      <c r="GI83" s="93"/>
      <c r="GJ83" s="93"/>
      <c r="GK83" s="93"/>
      <c r="GL83" s="93"/>
      <c r="GM83" s="93"/>
      <c r="GN83" s="93"/>
      <c r="GO83" s="93"/>
      <c r="GP83" s="93"/>
      <c r="GQ83" s="93"/>
      <c r="GR83" s="93"/>
      <c r="GS83" s="93"/>
      <c r="GT83" s="93"/>
    </row>
    <row r="84" spans="1:202" ht="16.5" customHeight="1">
      <c r="A84" s="96" t="s">
        <v>11</v>
      </c>
      <c r="B84" s="92"/>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c r="CC84" s="93"/>
      <c r="CD84" s="93"/>
      <c r="CE84" s="93"/>
      <c r="CF84" s="93"/>
      <c r="CG84" s="93"/>
      <c r="CH84" s="93"/>
      <c r="CI84" s="93"/>
      <c r="CJ84" s="93"/>
      <c r="CK84" s="93"/>
      <c r="CL84" s="93"/>
      <c r="CM84" s="93"/>
      <c r="CN84" s="93"/>
      <c r="CO84" s="93"/>
      <c r="CP84" s="93"/>
      <c r="CQ84" s="93"/>
      <c r="CR84" s="93"/>
      <c r="CS84" s="93"/>
      <c r="CT84" s="93"/>
      <c r="CU84" s="93"/>
      <c r="CV84" s="93"/>
      <c r="CW84" s="93"/>
      <c r="CX84" s="93"/>
      <c r="CY84" s="93"/>
      <c r="CZ84" s="93"/>
      <c r="DA84" s="93"/>
      <c r="DB84" s="93"/>
      <c r="DC84" s="93"/>
      <c r="DD84" s="93"/>
      <c r="DE84" s="93"/>
      <c r="DF84" s="93"/>
      <c r="DG84" s="93"/>
      <c r="DH84" s="93"/>
      <c r="DI84" s="93"/>
      <c r="DJ84" s="93"/>
      <c r="DK84" s="93"/>
      <c r="DL84" s="93"/>
      <c r="DM84" s="93"/>
      <c r="DN84" s="93"/>
      <c r="DO84" s="93"/>
      <c r="DP84" s="93"/>
      <c r="DQ84" s="93"/>
      <c r="DR84" s="93"/>
      <c r="DS84" s="93"/>
      <c r="DT84" s="93"/>
      <c r="DU84" s="93"/>
      <c r="DV84" s="93"/>
      <c r="DW84" s="93"/>
      <c r="DX84" s="93"/>
      <c r="DY84" s="93"/>
      <c r="DZ84" s="93"/>
      <c r="EA84" s="93"/>
      <c r="EB84" s="93"/>
      <c r="EC84" s="93"/>
      <c r="ED84" s="93"/>
      <c r="EE84" s="93"/>
      <c r="EF84" s="93"/>
      <c r="EG84" s="93"/>
      <c r="EH84" s="93"/>
      <c r="EI84" s="93"/>
      <c r="EJ84" s="93"/>
      <c r="EK84" s="93"/>
      <c r="EL84" s="93"/>
      <c r="EM84" s="93"/>
      <c r="EN84" s="93"/>
      <c r="EO84" s="93"/>
      <c r="EP84" s="93"/>
      <c r="EQ84" s="93"/>
      <c r="ER84" s="93"/>
      <c r="ES84" s="93"/>
      <c r="ET84" s="93"/>
      <c r="EU84" s="93"/>
      <c r="EV84" s="93"/>
      <c r="EW84" s="93"/>
      <c r="EX84" s="93"/>
      <c r="EY84" s="93"/>
      <c r="EZ84" s="93"/>
      <c r="FA84" s="93"/>
      <c r="FB84" s="93"/>
      <c r="FC84" s="93"/>
      <c r="FD84" s="93"/>
      <c r="FE84" s="93"/>
      <c r="FF84" s="93"/>
      <c r="FG84" s="93"/>
      <c r="FH84" s="93"/>
      <c r="FI84" s="93"/>
      <c r="FJ84" s="93"/>
      <c r="FK84" s="93"/>
      <c r="FL84" s="93"/>
      <c r="FM84" s="93"/>
      <c r="FN84" s="93"/>
      <c r="FO84" s="93"/>
      <c r="FP84" s="93"/>
      <c r="FQ84" s="93"/>
      <c r="FR84" s="93"/>
      <c r="FS84" s="93"/>
      <c r="FT84" s="93"/>
      <c r="FU84" s="93"/>
      <c r="FV84" s="93"/>
      <c r="FW84" s="93"/>
      <c r="FX84" s="93"/>
      <c r="FY84" s="93"/>
      <c r="FZ84" s="93"/>
      <c r="GA84" s="93"/>
      <c r="GB84" s="93"/>
      <c r="GC84" s="93"/>
      <c r="GD84" s="93"/>
      <c r="GE84" s="93"/>
      <c r="GF84" s="93"/>
      <c r="GG84" s="93"/>
      <c r="GH84" s="93"/>
      <c r="GI84" s="93"/>
      <c r="GJ84" s="93"/>
      <c r="GK84" s="93"/>
      <c r="GL84" s="93"/>
      <c r="GM84" s="93"/>
      <c r="GN84" s="93"/>
      <c r="GO84" s="93"/>
      <c r="GP84" s="93"/>
      <c r="GQ84" s="93"/>
      <c r="GR84" s="93"/>
      <c r="GS84" s="93"/>
      <c r="GT84" s="93"/>
    </row>
    <row r="85" spans="1:202" ht="16.5" customHeight="1">
      <c r="A85" s="96" t="s">
        <v>23</v>
      </c>
      <c r="B85" s="92"/>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3"/>
      <c r="BG85" s="93"/>
      <c r="BH85" s="93"/>
      <c r="BI85" s="93"/>
      <c r="BJ85" s="93"/>
      <c r="BK85" s="93"/>
      <c r="BL85" s="93"/>
      <c r="BM85" s="93"/>
      <c r="BN85" s="93"/>
      <c r="BO85" s="93"/>
      <c r="BP85" s="93"/>
      <c r="BQ85" s="93"/>
      <c r="BR85" s="93"/>
      <c r="BS85" s="93"/>
      <c r="BT85" s="93"/>
      <c r="BU85" s="93"/>
      <c r="BV85" s="93"/>
      <c r="BW85" s="93"/>
      <c r="BX85" s="93"/>
      <c r="BY85" s="93"/>
      <c r="BZ85" s="93"/>
      <c r="CA85" s="93"/>
      <c r="CB85" s="93"/>
      <c r="CC85" s="93"/>
      <c r="CD85" s="93"/>
      <c r="CE85" s="93"/>
      <c r="CF85" s="93"/>
      <c r="CG85" s="93"/>
      <c r="CH85" s="93"/>
      <c r="CI85" s="93"/>
      <c r="CJ85" s="93"/>
      <c r="CK85" s="93"/>
      <c r="CL85" s="93"/>
      <c r="CM85" s="93"/>
      <c r="CN85" s="93"/>
      <c r="CO85" s="93"/>
      <c r="CP85" s="93"/>
      <c r="CQ85" s="93"/>
      <c r="CR85" s="93"/>
      <c r="CS85" s="93"/>
      <c r="CT85" s="93"/>
      <c r="CU85" s="93"/>
      <c r="CV85" s="93"/>
      <c r="CW85" s="93"/>
      <c r="CX85" s="93"/>
      <c r="CY85" s="93"/>
      <c r="CZ85" s="93"/>
      <c r="DA85" s="93"/>
      <c r="DB85" s="93"/>
      <c r="DC85" s="93"/>
      <c r="DD85" s="93"/>
      <c r="DE85" s="93"/>
      <c r="DF85" s="93"/>
      <c r="DG85" s="93"/>
      <c r="DH85" s="93"/>
      <c r="DI85" s="93"/>
      <c r="DJ85" s="93"/>
      <c r="DK85" s="93"/>
      <c r="DL85" s="93"/>
      <c r="DM85" s="93"/>
      <c r="DN85" s="93"/>
      <c r="DO85" s="93"/>
      <c r="DP85" s="93"/>
      <c r="DQ85" s="93"/>
      <c r="DR85" s="93"/>
      <c r="DS85" s="93"/>
      <c r="DT85" s="93"/>
      <c r="DU85" s="93"/>
      <c r="DV85" s="93"/>
      <c r="DW85" s="93"/>
      <c r="DX85" s="93"/>
      <c r="DY85" s="93"/>
      <c r="DZ85" s="93"/>
      <c r="EA85" s="93"/>
      <c r="EB85" s="93"/>
      <c r="EC85" s="93"/>
      <c r="ED85" s="93"/>
      <c r="EE85" s="93"/>
      <c r="EF85" s="93"/>
      <c r="EG85" s="93"/>
      <c r="EH85" s="93"/>
      <c r="EI85" s="93"/>
      <c r="EJ85" s="93"/>
      <c r="EK85" s="93"/>
      <c r="EL85" s="93"/>
      <c r="EM85" s="93"/>
      <c r="EN85" s="93"/>
      <c r="EO85" s="93"/>
      <c r="EP85" s="93"/>
      <c r="EQ85" s="93"/>
      <c r="ER85" s="93"/>
      <c r="ES85" s="93"/>
      <c r="ET85" s="93"/>
      <c r="EU85" s="93"/>
      <c r="EV85" s="93"/>
      <c r="EW85" s="93"/>
      <c r="EX85" s="93"/>
      <c r="EY85" s="93"/>
      <c r="EZ85" s="93"/>
      <c r="FA85" s="93"/>
      <c r="FB85" s="93"/>
      <c r="FC85" s="93"/>
      <c r="FD85" s="93"/>
      <c r="FE85" s="93"/>
      <c r="FF85" s="93"/>
      <c r="FG85" s="93"/>
      <c r="FH85" s="93"/>
      <c r="FI85" s="93"/>
      <c r="FJ85" s="93"/>
      <c r="FK85" s="93"/>
      <c r="FL85" s="93"/>
      <c r="FM85" s="93"/>
      <c r="FN85" s="93"/>
      <c r="FO85" s="93"/>
      <c r="FP85" s="93"/>
      <c r="FQ85" s="93"/>
      <c r="FR85" s="93"/>
      <c r="FS85" s="93"/>
      <c r="FT85" s="93"/>
      <c r="FU85" s="93"/>
      <c r="FV85" s="93"/>
      <c r="FW85" s="93"/>
      <c r="FX85" s="93"/>
      <c r="FY85" s="93"/>
      <c r="FZ85" s="93"/>
      <c r="GA85" s="93"/>
      <c r="GB85" s="93"/>
      <c r="GC85" s="93"/>
      <c r="GD85" s="93"/>
      <c r="GE85" s="93"/>
      <c r="GF85" s="93"/>
      <c r="GG85" s="93"/>
      <c r="GH85" s="93"/>
      <c r="GI85" s="93"/>
      <c r="GJ85" s="93"/>
      <c r="GK85" s="93"/>
      <c r="GL85" s="93"/>
      <c r="GM85" s="93"/>
      <c r="GN85" s="93"/>
      <c r="GO85" s="93"/>
      <c r="GP85" s="93"/>
      <c r="GQ85" s="93"/>
      <c r="GR85" s="93"/>
      <c r="GS85" s="93"/>
      <c r="GT85" s="93"/>
    </row>
    <row r="86" spans="1:202" ht="16.5" customHeight="1">
      <c r="A86" s="96" t="s">
        <v>240</v>
      </c>
      <c r="B86" s="92"/>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93"/>
      <c r="BT86" s="93"/>
      <c r="BU86" s="93"/>
      <c r="BV86" s="93"/>
      <c r="BW86" s="93"/>
      <c r="BX86" s="93"/>
      <c r="BY86" s="93"/>
      <c r="BZ86" s="93"/>
      <c r="CA86" s="93"/>
      <c r="CB86" s="93"/>
      <c r="CC86" s="93"/>
      <c r="CD86" s="93"/>
      <c r="CE86" s="93"/>
      <c r="CF86" s="93"/>
      <c r="CG86" s="93"/>
      <c r="CH86" s="93"/>
      <c r="CI86" s="93"/>
      <c r="CJ86" s="93"/>
      <c r="CK86" s="93"/>
      <c r="CL86" s="93"/>
      <c r="CM86" s="93"/>
      <c r="CN86" s="93"/>
      <c r="CO86" s="93"/>
      <c r="CP86" s="93"/>
      <c r="CQ86" s="93"/>
      <c r="CR86" s="93"/>
      <c r="CS86" s="93"/>
      <c r="CT86" s="93"/>
      <c r="CU86" s="93"/>
      <c r="CV86" s="93"/>
      <c r="CW86" s="93"/>
      <c r="CX86" s="93"/>
      <c r="CY86" s="93"/>
      <c r="CZ86" s="93"/>
      <c r="DA86" s="93"/>
      <c r="DB86" s="93"/>
      <c r="DC86" s="93"/>
      <c r="DD86" s="93"/>
      <c r="DE86" s="93"/>
      <c r="DF86" s="93"/>
      <c r="DG86" s="93"/>
      <c r="DH86" s="93"/>
      <c r="DI86" s="93"/>
      <c r="DJ86" s="93"/>
      <c r="DK86" s="93"/>
      <c r="DL86" s="93"/>
      <c r="DM86" s="93"/>
      <c r="DN86" s="93"/>
      <c r="DO86" s="93"/>
      <c r="DP86" s="93"/>
      <c r="DQ86" s="93"/>
      <c r="DR86" s="93"/>
      <c r="DS86" s="93"/>
      <c r="DT86" s="93"/>
      <c r="DU86" s="93"/>
      <c r="DV86" s="93"/>
      <c r="DW86" s="93"/>
      <c r="DX86" s="93"/>
      <c r="DY86" s="93"/>
      <c r="DZ86" s="93"/>
      <c r="EA86" s="93"/>
      <c r="EB86" s="93"/>
      <c r="EC86" s="93"/>
      <c r="ED86" s="93"/>
      <c r="EE86" s="93"/>
      <c r="EF86" s="93"/>
      <c r="EG86" s="93"/>
      <c r="EH86" s="93"/>
      <c r="EI86" s="93"/>
      <c r="EJ86" s="93"/>
      <c r="EK86" s="93"/>
      <c r="EL86" s="93"/>
      <c r="EM86" s="93"/>
      <c r="EN86" s="93"/>
      <c r="EO86" s="93"/>
      <c r="EP86" s="93"/>
      <c r="EQ86" s="93"/>
      <c r="ER86" s="93"/>
      <c r="ES86" s="93"/>
      <c r="ET86" s="93"/>
      <c r="EU86" s="93"/>
      <c r="EV86" s="93"/>
      <c r="EW86" s="93"/>
      <c r="EX86" s="93"/>
      <c r="EY86" s="93"/>
      <c r="EZ86" s="93"/>
      <c r="FA86" s="93"/>
      <c r="FB86" s="93"/>
      <c r="FC86" s="93"/>
      <c r="FD86" s="93"/>
      <c r="FE86" s="93"/>
      <c r="FF86" s="93"/>
      <c r="FG86" s="93"/>
      <c r="FH86" s="93"/>
      <c r="FI86" s="93"/>
      <c r="FJ86" s="93"/>
      <c r="FK86" s="93"/>
      <c r="FL86" s="93"/>
      <c r="FM86" s="93"/>
      <c r="FN86" s="93"/>
      <c r="FO86" s="93"/>
      <c r="FP86" s="93"/>
      <c r="FQ86" s="93"/>
      <c r="FR86" s="93"/>
      <c r="FS86" s="93"/>
      <c r="FT86" s="93"/>
      <c r="FU86" s="93"/>
      <c r="FV86" s="93"/>
      <c r="FW86" s="93"/>
      <c r="FX86" s="93"/>
      <c r="FY86" s="93"/>
      <c r="FZ86" s="93"/>
      <c r="GA86" s="93"/>
      <c r="GB86" s="93"/>
      <c r="GC86" s="93"/>
      <c r="GD86" s="93"/>
      <c r="GE86" s="93"/>
      <c r="GF86" s="93"/>
      <c r="GG86" s="93"/>
      <c r="GH86" s="93"/>
      <c r="GI86" s="93"/>
      <c r="GJ86" s="93"/>
      <c r="GK86" s="93"/>
      <c r="GL86" s="93"/>
      <c r="GM86" s="93"/>
      <c r="GN86" s="93"/>
      <c r="GO86" s="93"/>
      <c r="GP86" s="93"/>
      <c r="GQ86" s="93"/>
      <c r="GR86" s="93"/>
      <c r="GS86" s="93"/>
      <c r="GT86" s="93"/>
    </row>
    <row r="87" spans="1:202" ht="16.5" customHeight="1">
      <c r="A87" s="96" t="s">
        <v>11</v>
      </c>
      <c r="B87" s="92"/>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c r="DA87" s="93"/>
      <c r="DB87" s="93"/>
      <c r="DC87" s="93"/>
      <c r="DD87" s="93"/>
      <c r="DE87" s="93"/>
      <c r="DF87" s="93"/>
      <c r="DG87" s="93"/>
      <c r="DH87" s="93"/>
      <c r="DI87" s="93"/>
      <c r="DJ87" s="93"/>
      <c r="DK87" s="93"/>
      <c r="DL87" s="93"/>
      <c r="DM87" s="93"/>
      <c r="DN87" s="93"/>
      <c r="DO87" s="93"/>
      <c r="DP87" s="93"/>
      <c r="DQ87" s="93"/>
      <c r="DR87" s="93"/>
      <c r="DS87" s="93"/>
      <c r="DT87" s="93"/>
      <c r="DU87" s="93"/>
      <c r="DV87" s="93"/>
      <c r="DW87" s="93"/>
      <c r="DX87" s="93"/>
      <c r="DY87" s="93"/>
      <c r="DZ87" s="93"/>
      <c r="EA87" s="93"/>
      <c r="EB87" s="93"/>
      <c r="EC87" s="93"/>
      <c r="ED87" s="93"/>
      <c r="EE87" s="93"/>
      <c r="EF87" s="93"/>
      <c r="EG87" s="93"/>
      <c r="EH87" s="93"/>
      <c r="EI87" s="93"/>
      <c r="EJ87" s="93"/>
      <c r="EK87" s="93"/>
      <c r="EL87" s="93"/>
      <c r="EM87" s="93"/>
      <c r="EN87" s="93"/>
      <c r="EO87" s="93"/>
      <c r="EP87" s="93"/>
      <c r="EQ87" s="93"/>
      <c r="ER87" s="93"/>
      <c r="ES87" s="93"/>
      <c r="ET87" s="93"/>
      <c r="EU87" s="93"/>
      <c r="EV87" s="93"/>
      <c r="EW87" s="93"/>
      <c r="EX87" s="93"/>
      <c r="EY87" s="93"/>
      <c r="EZ87" s="93"/>
      <c r="FA87" s="93"/>
      <c r="FB87" s="93"/>
      <c r="FC87" s="93"/>
      <c r="FD87" s="93"/>
      <c r="FE87" s="93"/>
      <c r="FF87" s="93"/>
      <c r="FG87" s="93"/>
      <c r="FH87" s="93"/>
      <c r="FI87" s="93"/>
      <c r="FJ87" s="93"/>
      <c r="FK87" s="93"/>
      <c r="FL87" s="93"/>
      <c r="FM87" s="93"/>
      <c r="FN87" s="93"/>
      <c r="FO87" s="93"/>
      <c r="FP87" s="93"/>
      <c r="FQ87" s="93"/>
      <c r="FR87" s="93"/>
      <c r="FS87" s="93"/>
      <c r="FT87" s="93"/>
      <c r="FU87" s="93"/>
      <c r="FV87" s="93"/>
      <c r="FW87" s="93"/>
      <c r="FX87" s="93"/>
      <c r="FY87" s="93"/>
      <c r="FZ87" s="93"/>
      <c r="GA87" s="93"/>
      <c r="GB87" s="93"/>
      <c r="GC87" s="93"/>
      <c r="GD87" s="93"/>
      <c r="GE87" s="93"/>
      <c r="GF87" s="93"/>
      <c r="GG87" s="93"/>
      <c r="GH87" s="93"/>
      <c r="GI87" s="93"/>
      <c r="GJ87" s="93"/>
      <c r="GK87" s="93"/>
      <c r="GL87" s="93"/>
      <c r="GM87" s="93"/>
      <c r="GN87" s="93"/>
      <c r="GO87" s="93"/>
      <c r="GP87" s="93"/>
      <c r="GQ87" s="93"/>
      <c r="GR87" s="93"/>
      <c r="GS87" s="93"/>
      <c r="GT87" s="93"/>
    </row>
    <row r="88" spans="1:202" ht="16.5" customHeight="1">
      <c r="A88" s="96" t="s">
        <v>23</v>
      </c>
      <c r="B88" s="92"/>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3"/>
      <c r="BG88" s="93"/>
      <c r="BH88" s="93"/>
      <c r="BI88" s="93"/>
      <c r="BJ88" s="93"/>
      <c r="BK88" s="93"/>
      <c r="BL88" s="93"/>
      <c r="BM88" s="93"/>
      <c r="BN88" s="93"/>
      <c r="BO88" s="93"/>
      <c r="BP88" s="93"/>
      <c r="BQ88" s="93"/>
      <c r="BR88" s="93"/>
      <c r="BS88" s="93"/>
      <c r="BT88" s="93"/>
      <c r="BU88" s="93"/>
      <c r="BV88" s="93"/>
      <c r="BW88" s="93"/>
      <c r="BX88" s="93"/>
      <c r="BY88" s="93"/>
      <c r="BZ88" s="93"/>
      <c r="CA88" s="93"/>
      <c r="CB88" s="93"/>
      <c r="CC88" s="93"/>
      <c r="CD88" s="93"/>
      <c r="CE88" s="93"/>
      <c r="CF88" s="93"/>
      <c r="CG88" s="93"/>
      <c r="CH88" s="93"/>
      <c r="CI88" s="93"/>
      <c r="CJ88" s="93"/>
      <c r="CK88" s="93"/>
      <c r="CL88" s="93"/>
      <c r="CM88" s="93"/>
      <c r="CN88" s="93"/>
      <c r="CO88" s="93"/>
      <c r="CP88" s="93"/>
      <c r="CQ88" s="93"/>
      <c r="CR88" s="93"/>
      <c r="CS88" s="93"/>
      <c r="CT88" s="93"/>
      <c r="CU88" s="93"/>
      <c r="CV88" s="93"/>
      <c r="CW88" s="93"/>
      <c r="CX88" s="93"/>
      <c r="CY88" s="93"/>
      <c r="CZ88" s="93"/>
      <c r="DA88" s="93"/>
      <c r="DB88" s="93"/>
      <c r="DC88" s="93"/>
      <c r="DD88" s="93"/>
      <c r="DE88" s="93"/>
      <c r="DF88" s="93"/>
      <c r="DG88" s="93"/>
      <c r="DH88" s="93"/>
      <c r="DI88" s="93"/>
      <c r="DJ88" s="93"/>
      <c r="DK88" s="93"/>
      <c r="DL88" s="93"/>
      <c r="DM88" s="93"/>
      <c r="DN88" s="93"/>
      <c r="DO88" s="93"/>
      <c r="DP88" s="93"/>
      <c r="DQ88" s="93"/>
      <c r="DR88" s="93"/>
      <c r="DS88" s="93"/>
      <c r="DT88" s="93"/>
      <c r="DU88" s="93"/>
      <c r="DV88" s="93"/>
      <c r="DW88" s="93"/>
      <c r="DX88" s="93"/>
      <c r="DY88" s="93"/>
      <c r="DZ88" s="93"/>
      <c r="EA88" s="93"/>
      <c r="EB88" s="93"/>
      <c r="EC88" s="93"/>
      <c r="ED88" s="93"/>
      <c r="EE88" s="93"/>
      <c r="EF88" s="93"/>
      <c r="EG88" s="93"/>
      <c r="EH88" s="93"/>
      <c r="EI88" s="93"/>
      <c r="EJ88" s="93"/>
      <c r="EK88" s="93"/>
      <c r="EL88" s="93"/>
      <c r="EM88" s="93"/>
      <c r="EN88" s="93"/>
      <c r="EO88" s="93"/>
      <c r="EP88" s="93"/>
      <c r="EQ88" s="93"/>
      <c r="ER88" s="93"/>
      <c r="ES88" s="93"/>
      <c r="ET88" s="93"/>
      <c r="EU88" s="93"/>
      <c r="EV88" s="93"/>
      <c r="EW88" s="93"/>
      <c r="EX88" s="93"/>
      <c r="EY88" s="93"/>
      <c r="EZ88" s="93"/>
      <c r="FA88" s="93"/>
      <c r="FB88" s="93"/>
      <c r="FC88" s="93"/>
      <c r="FD88" s="93"/>
      <c r="FE88" s="93"/>
      <c r="FF88" s="93"/>
      <c r="FG88" s="93"/>
      <c r="FH88" s="93"/>
      <c r="FI88" s="93"/>
      <c r="FJ88" s="93"/>
      <c r="FK88" s="93"/>
      <c r="FL88" s="93"/>
      <c r="FM88" s="93"/>
      <c r="FN88" s="93"/>
      <c r="FO88" s="93"/>
      <c r="FP88" s="93"/>
      <c r="FQ88" s="93"/>
      <c r="FR88" s="93"/>
      <c r="FS88" s="93"/>
      <c r="FT88" s="93"/>
      <c r="FU88" s="93"/>
      <c r="FV88" s="93"/>
      <c r="FW88" s="93"/>
      <c r="FX88" s="93"/>
      <c r="FY88" s="93"/>
      <c r="FZ88" s="93"/>
      <c r="GA88" s="93"/>
      <c r="GB88" s="93"/>
      <c r="GC88" s="93"/>
      <c r="GD88" s="93"/>
      <c r="GE88" s="93"/>
      <c r="GF88" s="93"/>
      <c r="GG88" s="93"/>
      <c r="GH88" s="93"/>
      <c r="GI88" s="93"/>
      <c r="GJ88" s="93"/>
      <c r="GK88" s="93"/>
      <c r="GL88" s="93"/>
      <c r="GM88" s="93"/>
      <c r="GN88" s="93"/>
      <c r="GO88" s="93"/>
      <c r="GP88" s="93"/>
      <c r="GQ88" s="93"/>
      <c r="GR88" s="93"/>
      <c r="GS88" s="93"/>
      <c r="GT88" s="93"/>
    </row>
    <row r="89" spans="1:202" ht="16.5" customHeight="1">
      <c r="A89" s="96" t="s">
        <v>240</v>
      </c>
      <c r="B89" s="92"/>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c r="CS89" s="93"/>
      <c r="CT89" s="93"/>
      <c r="CU89" s="93"/>
      <c r="CV89" s="93"/>
      <c r="CW89" s="93"/>
      <c r="CX89" s="93"/>
      <c r="CY89" s="93"/>
      <c r="CZ89" s="93"/>
      <c r="DA89" s="93"/>
      <c r="DB89" s="93"/>
      <c r="DC89" s="93"/>
      <c r="DD89" s="93"/>
      <c r="DE89" s="93"/>
      <c r="DF89" s="93"/>
      <c r="DG89" s="93"/>
      <c r="DH89" s="93"/>
      <c r="DI89" s="93"/>
      <c r="DJ89" s="93"/>
      <c r="DK89" s="93"/>
      <c r="DL89" s="93"/>
      <c r="DM89" s="93"/>
      <c r="DN89" s="93"/>
      <c r="DO89" s="93"/>
      <c r="DP89" s="93"/>
      <c r="DQ89" s="93"/>
      <c r="DR89" s="93"/>
      <c r="DS89" s="93"/>
      <c r="DT89" s="93"/>
      <c r="DU89" s="93"/>
      <c r="DV89" s="93"/>
      <c r="DW89" s="93"/>
      <c r="DX89" s="93"/>
      <c r="DY89" s="93"/>
      <c r="DZ89" s="93"/>
      <c r="EA89" s="93"/>
      <c r="EB89" s="93"/>
      <c r="EC89" s="93"/>
      <c r="ED89" s="93"/>
      <c r="EE89" s="93"/>
      <c r="EF89" s="93"/>
      <c r="EG89" s="93"/>
      <c r="EH89" s="93"/>
      <c r="EI89" s="93"/>
      <c r="EJ89" s="93"/>
      <c r="EK89" s="93"/>
      <c r="EL89" s="93"/>
      <c r="EM89" s="93"/>
      <c r="EN89" s="93"/>
      <c r="EO89" s="93"/>
      <c r="EP89" s="93"/>
      <c r="EQ89" s="93"/>
      <c r="ER89" s="93"/>
      <c r="ES89" s="93"/>
      <c r="ET89" s="93"/>
      <c r="EU89" s="93"/>
      <c r="EV89" s="93"/>
      <c r="EW89" s="93"/>
      <c r="EX89" s="93"/>
      <c r="EY89" s="93"/>
      <c r="EZ89" s="93"/>
      <c r="FA89" s="93"/>
      <c r="FB89" s="93"/>
      <c r="FC89" s="93"/>
      <c r="FD89" s="93"/>
      <c r="FE89" s="93"/>
      <c r="FF89" s="93"/>
      <c r="FG89" s="93"/>
      <c r="FH89" s="93"/>
      <c r="FI89" s="93"/>
      <c r="FJ89" s="93"/>
      <c r="FK89" s="93"/>
      <c r="FL89" s="93"/>
      <c r="FM89" s="93"/>
      <c r="FN89" s="93"/>
      <c r="FO89" s="93"/>
      <c r="FP89" s="93"/>
      <c r="FQ89" s="93"/>
      <c r="FR89" s="93"/>
      <c r="FS89" s="93"/>
      <c r="FT89" s="93"/>
      <c r="FU89" s="93"/>
      <c r="FV89" s="93"/>
      <c r="FW89" s="93"/>
      <c r="FX89" s="93"/>
      <c r="FY89" s="93"/>
      <c r="FZ89" s="93"/>
      <c r="GA89" s="93"/>
      <c r="GB89" s="93"/>
      <c r="GC89" s="93"/>
      <c r="GD89" s="93"/>
      <c r="GE89" s="93"/>
      <c r="GF89" s="93"/>
      <c r="GG89" s="93"/>
      <c r="GH89" s="93"/>
      <c r="GI89" s="93"/>
      <c r="GJ89" s="93"/>
      <c r="GK89" s="93"/>
      <c r="GL89" s="93"/>
      <c r="GM89" s="93"/>
      <c r="GN89" s="93"/>
      <c r="GO89" s="93"/>
      <c r="GP89" s="93"/>
      <c r="GQ89" s="93"/>
      <c r="GR89" s="93"/>
      <c r="GS89" s="93"/>
      <c r="GT89" s="93"/>
    </row>
    <row r="90" spans="1:202" ht="21">
      <c r="A90" s="51" t="s">
        <v>120</v>
      </c>
      <c r="B90" s="92"/>
      <c r="C90" s="94"/>
      <c r="D90" s="94"/>
      <c r="E90" s="94"/>
      <c r="F90" s="94"/>
      <c r="G90" s="94"/>
      <c r="H90" s="94"/>
      <c r="I90" s="94"/>
      <c r="J90" s="94"/>
      <c r="K90" s="94"/>
      <c r="L90" s="94"/>
      <c r="M90" s="206"/>
      <c r="N90" s="206"/>
      <c r="O90" s="206">
        <f>Приложения!G35</f>
        <v>446.24268959648487</v>
      </c>
      <c r="P90" s="206">
        <f>Приложения!H35</f>
        <v>973.23371178656566</v>
      </c>
      <c r="Q90" s="206">
        <f>Приложения!I35</f>
        <v>2191.2031602237271</v>
      </c>
      <c r="R90" s="206">
        <f>Приложения!J35</f>
        <v>2108.8312323126011</v>
      </c>
      <c r="S90" s="206">
        <f>Приложения!K35</f>
        <v>2283.0512442915815</v>
      </c>
      <c r="T90" s="206">
        <f>Приложения!L35</f>
        <v>2958.1373749988029</v>
      </c>
      <c r="U90" s="206">
        <f>Приложения!M35</f>
        <v>2329.9696057087785</v>
      </c>
      <c r="V90" s="206">
        <f>Приложения!N35</f>
        <v>2580.6501861863458</v>
      </c>
      <c r="W90" s="206">
        <f>Приложения!O35</f>
        <v>3487.9443420361699</v>
      </c>
      <c r="X90" s="206">
        <f>Приложения!P35</f>
        <v>3211.713136023639</v>
      </c>
      <c r="Y90" s="206">
        <f>Приложения!Q35</f>
        <v>2759.7152739458065</v>
      </c>
      <c r="Z90" s="206">
        <f>Приложения!R35</f>
        <v>3588.6139013082088</v>
      </c>
      <c r="AA90" s="206">
        <f>Приложения!S35</f>
        <v>446.24268959648487</v>
      </c>
      <c r="AB90" s="206">
        <f>Приложения!T35</f>
        <v>973.23371178656566</v>
      </c>
      <c r="AC90" s="206">
        <f>Приложения!U35</f>
        <v>2191.2031602237271</v>
      </c>
      <c r="AD90" s="206">
        <f>Приложения!V35</f>
        <v>2108.8312323126011</v>
      </c>
      <c r="AE90" s="206">
        <f>Приложения!W35</f>
        <v>2283.0512442915815</v>
      </c>
      <c r="AF90" s="206">
        <f>Приложения!X35</f>
        <v>2958.1373749988029</v>
      </c>
      <c r="AG90" s="206">
        <f>Приложения!Y35</f>
        <v>2329.9696057087785</v>
      </c>
      <c r="AH90" s="206">
        <f>Приложения!Z35</f>
        <v>2580.6501861863458</v>
      </c>
      <c r="AI90" s="206">
        <f>Приложения!AA35</f>
        <v>3487.9443420361699</v>
      </c>
      <c r="AJ90" s="206">
        <f>Приложения!AB35</f>
        <v>3211.713136023639</v>
      </c>
      <c r="AK90" s="206">
        <f>Приложения!AC35</f>
        <v>2759.7152739458065</v>
      </c>
      <c r="AL90" s="206">
        <f>Приложения!AD35</f>
        <v>3588.6139013082088</v>
      </c>
      <c r="AM90" s="206">
        <f>Приложения!AE35</f>
        <v>446.24268959648487</v>
      </c>
      <c r="AN90" s="206">
        <f>Приложения!AF35</f>
        <v>973.23371178656566</v>
      </c>
      <c r="AO90" s="206">
        <f>Приложения!AG35</f>
        <v>2191.2031602237271</v>
      </c>
      <c r="AP90" s="206">
        <f>Приложения!AH35</f>
        <v>2108.8312323126011</v>
      </c>
      <c r="AQ90" s="206">
        <f>Приложения!AI35</f>
        <v>2283.0512442915815</v>
      </c>
      <c r="AR90" s="206">
        <f>Приложения!AJ35</f>
        <v>2958.1373749988029</v>
      </c>
      <c r="AS90" s="206">
        <f>Приложения!AK35</f>
        <v>2329.9696057087785</v>
      </c>
      <c r="AT90" s="206">
        <f>Приложения!AL35</f>
        <v>2580.6501861863458</v>
      </c>
      <c r="AU90" s="206">
        <f>Приложения!AM35</f>
        <v>3487.9443420361699</v>
      </c>
      <c r="AV90" s="206">
        <f>Приложения!AN35</f>
        <v>3211.713136023639</v>
      </c>
      <c r="AW90" s="206">
        <f>Приложения!AO35</f>
        <v>2759.7152739458065</v>
      </c>
      <c r="AX90" s="206">
        <f>Приложения!AP35</f>
        <v>3588.6139013082088</v>
      </c>
      <c r="AY90" s="206">
        <f>Приложения!AQ35</f>
        <v>446.24268959648487</v>
      </c>
      <c r="AZ90" s="206">
        <f>Приложения!AR35</f>
        <v>973.23371178656566</v>
      </c>
      <c r="BA90" s="206">
        <f>Приложения!AS35</f>
        <v>2191.2031602237271</v>
      </c>
      <c r="BB90" s="206">
        <f>Приложения!AT35</f>
        <v>2108.8312323126011</v>
      </c>
      <c r="BC90" s="206">
        <f>Приложения!AU35</f>
        <v>2283.0512442915815</v>
      </c>
      <c r="BD90" s="206">
        <f>Приложения!AV35</f>
        <v>2958.1373749988029</v>
      </c>
      <c r="BE90" s="206">
        <f>Приложения!AW35</f>
        <v>2329.9696057087785</v>
      </c>
      <c r="BF90" s="206">
        <f>Приложения!AX35</f>
        <v>2580.6501861863458</v>
      </c>
      <c r="BG90" s="206">
        <f>Приложения!AY35</f>
        <v>3487.9443420361699</v>
      </c>
      <c r="BH90" s="206">
        <f>Приложения!AZ35</f>
        <v>3211.713136023639</v>
      </c>
      <c r="BI90" s="206">
        <f>Приложения!BA35</f>
        <v>2759.7152739458065</v>
      </c>
      <c r="BJ90" s="206">
        <f>Приложения!BB35</f>
        <v>3588.6139013082088</v>
      </c>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94"/>
      <c r="EM90" s="94"/>
      <c r="EN90" s="94"/>
      <c r="EO90" s="94"/>
      <c r="EP90" s="94"/>
      <c r="EQ90" s="94"/>
      <c r="ER90" s="94"/>
      <c r="ES90" s="94"/>
      <c r="ET90" s="94"/>
      <c r="EU90" s="94"/>
      <c r="EV90" s="94"/>
      <c r="EW90" s="94"/>
      <c r="EX90" s="94"/>
      <c r="EY90" s="94"/>
      <c r="EZ90" s="94"/>
      <c r="FA90" s="94"/>
      <c r="FB90" s="94"/>
      <c r="FC90" s="94"/>
      <c r="FD90" s="94"/>
      <c r="FE90" s="94"/>
      <c r="FF90" s="94"/>
      <c r="FG90" s="94"/>
      <c r="FH90" s="94"/>
      <c r="FI90" s="94"/>
      <c r="FJ90" s="94"/>
      <c r="FK90" s="94"/>
      <c r="FL90" s="94"/>
      <c r="FM90" s="94"/>
      <c r="FN90" s="94"/>
      <c r="FO90" s="94"/>
      <c r="FP90" s="94"/>
      <c r="FQ90" s="94"/>
      <c r="FR90" s="94"/>
      <c r="FS90" s="94"/>
      <c r="FT90" s="94"/>
      <c r="FU90" s="94"/>
      <c r="FV90" s="94"/>
      <c r="FW90" s="94"/>
      <c r="FX90" s="94"/>
      <c r="FY90" s="94"/>
      <c r="FZ90" s="94"/>
      <c r="GA90" s="94"/>
      <c r="GB90" s="94"/>
      <c r="GC90" s="94"/>
      <c r="GD90" s="94"/>
      <c r="GE90" s="94"/>
      <c r="GF90" s="94"/>
      <c r="GG90" s="94"/>
      <c r="GH90" s="94"/>
      <c r="GI90" s="94"/>
      <c r="GJ90" s="94"/>
      <c r="GK90" s="94"/>
      <c r="GL90" s="94"/>
      <c r="GM90" s="94"/>
      <c r="GN90" s="94"/>
      <c r="GO90" s="94"/>
      <c r="GP90" s="94"/>
      <c r="GQ90" s="94"/>
      <c r="GR90" s="94"/>
      <c r="GS90" s="94"/>
      <c r="GT90" s="94"/>
    </row>
    <row r="91" spans="1:202" s="28" customFormat="1" ht="21">
      <c r="A91" s="41" t="s">
        <v>121</v>
      </c>
      <c r="B91" s="48"/>
      <c r="C91" s="49">
        <f>-SUM(C92:C95)</f>
        <v>0</v>
      </c>
      <c r="D91" s="49">
        <f t="shared" ref="D91:BO91" si="56">-SUM(D92:D95)</f>
        <v>0</v>
      </c>
      <c r="E91" s="49">
        <f>-SUM(E92:E95)</f>
        <v>0</v>
      </c>
      <c r="F91" s="49">
        <f t="shared" si="56"/>
        <v>0</v>
      </c>
      <c r="G91" s="49">
        <f>-SUM(G92:G95)</f>
        <v>0</v>
      </c>
      <c r="H91" s="49">
        <f t="shared" si="56"/>
        <v>0</v>
      </c>
      <c r="I91" s="49">
        <f t="shared" si="56"/>
        <v>0</v>
      </c>
      <c r="J91" s="49">
        <f t="shared" si="56"/>
        <v>0</v>
      </c>
      <c r="K91" s="49">
        <f t="shared" si="56"/>
        <v>0</v>
      </c>
      <c r="L91" s="49">
        <f t="shared" si="56"/>
        <v>0</v>
      </c>
      <c r="M91" s="49">
        <f t="shared" si="56"/>
        <v>0</v>
      </c>
      <c r="N91" s="49">
        <f t="shared" si="56"/>
        <v>0</v>
      </c>
      <c r="O91" s="49">
        <f t="shared" si="56"/>
        <v>0</v>
      </c>
      <c r="P91" s="49">
        <f t="shared" si="56"/>
        <v>0</v>
      </c>
      <c r="Q91" s="49">
        <f t="shared" si="56"/>
        <v>0</v>
      </c>
      <c r="R91" s="49">
        <f t="shared" si="56"/>
        <v>0</v>
      </c>
      <c r="S91" s="49">
        <f t="shared" si="56"/>
        <v>0</v>
      </c>
      <c r="T91" s="49">
        <f t="shared" si="56"/>
        <v>0</v>
      </c>
      <c r="U91" s="49">
        <f t="shared" si="56"/>
        <v>0</v>
      </c>
      <c r="V91" s="49">
        <f t="shared" si="56"/>
        <v>0</v>
      </c>
      <c r="W91" s="49">
        <f t="shared" si="56"/>
        <v>0</v>
      </c>
      <c r="X91" s="49">
        <f t="shared" si="56"/>
        <v>0</v>
      </c>
      <c r="Y91" s="49">
        <f t="shared" si="56"/>
        <v>0</v>
      </c>
      <c r="Z91" s="49">
        <f t="shared" si="56"/>
        <v>0</v>
      </c>
      <c r="AA91" s="49">
        <f t="shared" si="56"/>
        <v>0</v>
      </c>
      <c r="AB91" s="49">
        <f t="shared" si="56"/>
        <v>0</v>
      </c>
      <c r="AC91" s="49">
        <f t="shared" si="56"/>
        <v>0</v>
      </c>
      <c r="AD91" s="49">
        <f t="shared" si="56"/>
        <v>0</v>
      </c>
      <c r="AE91" s="49">
        <f t="shared" si="56"/>
        <v>0</v>
      </c>
      <c r="AF91" s="49">
        <f t="shared" si="56"/>
        <v>0</v>
      </c>
      <c r="AG91" s="49">
        <f t="shared" si="56"/>
        <v>0</v>
      </c>
      <c r="AH91" s="49">
        <f t="shared" si="56"/>
        <v>0</v>
      </c>
      <c r="AI91" s="49">
        <f t="shared" si="56"/>
        <v>0</v>
      </c>
      <c r="AJ91" s="49">
        <f t="shared" si="56"/>
        <v>0</v>
      </c>
      <c r="AK91" s="49">
        <f t="shared" si="56"/>
        <v>0</v>
      </c>
      <c r="AL91" s="49">
        <f t="shared" si="56"/>
        <v>0</v>
      </c>
      <c r="AM91" s="49">
        <f t="shared" si="56"/>
        <v>0</v>
      </c>
      <c r="AN91" s="49">
        <f t="shared" si="56"/>
        <v>0</v>
      </c>
      <c r="AO91" s="49">
        <f t="shared" si="56"/>
        <v>0</v>
      </c>
      <c r="AP91" s="49">
        <f t="shared" si="56"/>
        <v>0</v>
      </c>
      <c r="AQ91" s="49">
        <f t="shared" si="56"/>
        <v>0</v>
      </c>
      <c r="AR91" s="49">
        <f t="shared" si="56"/>
        <v>0</v>
      </c>
      <c r="AS91" s="49">
        <f t="shared" si="56"/>
        <v>0</v>
      </c>
      <c r="AT91" s="49">
        <f t="shared" si="56"/>
        <v>0</v>
      </c>
      <c r="AU91" s="49">
        <f t="shared" si="56"/>
        <v>0</v>
      </c>
      <c r="AV91" s="49">
        <f t="shared" si="56"/>
        <v>0</v>
      </c>
      <c r="AW91" s="49">
        <f t="shared" si="56"/>
        <v>0</v>
      </c>
      <c r="AX91" s="49">
        <f t="shared" si="56"/>
        <v>0</v>
      </c>
      <c r="AY91" s="49">
        <f t="shared" si="56"/>
        <v>0</v>
      </c>
      <c r="AZ91" s="49">
        <f t="shared" si="56"/>
        <v>0</v>
      </c>
      <c r="BA91" s="49">
        <f t="shared" si="56"/>
        <v>0</v>
      </c>
      <c r="BB91" s="49">
        <f t="shared" si="56"/>
        <v>0</v>
      </c>
      <c r="BC91" s="49">
        <f t="shared" si="56"/>
        <v>0</v>
      </c>
      <c r="BD91" s="49">
        <f t="shared" si="56"/>
        <v>0</v>
      </c>
      <c r="BE91" s="49">
        <f t="shared" si="56"/>
        <v>0</v>
      </c>
      <c r="BF91" s="49">
        <f t="shared" si="56"/>
        <v>0</v>
      </c>
      <c r="BG91" s="49">
        <f t="shared" si="56"/>
        <v>0</v>
      </c>
      <c r="BH91" s="49">
        <f t="shared" si="56"/>
        <v>0</v>
      </c>
      <c r="BI91" s="49">
        <f t="shared" si="56"/>
        <v>0</v>
      </c>
      <c r="BJ91" s="49">
        <f t="shared" si="56"/>
        <v>0</v>
      </c>
      <c r="BK91" s="49">
        <f t="shared" si="56"/>
        <v>0</v>
      </c>
      <c r="BL91" s="49">
        <f t="shared" si="56"/>
        <v>0</v>
      </c>
      <c r="BM91" s="49">
        <f t="shared" si="56"/>
        <v>0</v>
      </c>
      <c r="BN91" s="49">
        <f t="shared" si="56"/>
        <v>0</v>
      </c>
      <c r="BO91" s="49">
        <f t="shared" si="56"/>
        <v>0</v>
      </c>
      <c r="BP91" s="49">
        <f t="shared" ref="BP91:EA91" si="57">-SUM(BP92:BP95)</f>
        <v>0</v>
      </c>
      <c r="BQ91" s="49">
        <f t="shared" si="57"/>
        <v>0</v>
      </c>
      <c r="BR91" s="49">
        <f t="shared" si="57"/>
        <v>0</v>
      </c>
      <c r="BS91" s="49">
        <f t="shared" si="57"/>
        <v>0</v>
      </c>
      <c r="BT91" s="49">
        <f t="shared" si="57"/>
        <v>0</v>
      </c>
      <c r="BU91" s="49">
        <f t="shared" si="57"/>
        <v>0</v>
      </c>
      <c r="BV91" s="49">
        <f t="shared" si="57"/>
        <v>0</v>
      </c>
      <c r="BW91" s="49">
        <f t="shared" si="57"/>
        <v>0</v>
      </c>
      <c r="BX91" s="49">
        <f t="shared" si="57"/>
        <v>0</v>
      </c>
      <c r="BY91" s="49">
        <f t="shared" si="57"/>
        <v>0</v>
      </c>
      <c r="BZ91" s="49">
        <f t="shared" si="57"/>
        <v>0</v>
      </c>
      <c r="CA91" s="49">
        <f t="shared" si="57"/>
        <v>0</v>
      </c>
      <c r="CB91" s="49">
        <f t="shared" si="57"/>
        <v>0</v>
      </c>
      <c r="CC91" s="49">
        <f t="shared" si="57"/>
        <v>0</v>
      </c>
      <c r="CD91" s="49">
        <f t="shared" si="57"/>
        <v>0</v>
      </c>
      <c r="CE91" s="49">
        <f t="shared" si="57"/>
        <v>0</v>
      </c>
      <c r="CF91" s="49">
        <f t="shared" si="57"/>
        <v>0</v>
      </c>
      <c r="CG91" s="49">
        <f t="shared" si="57"/>
        <v>0</v>
      </c>
      <c r="CH91" s="49">
        <f t="shared" si="57"/>
        <v>0</v>
      </c>
      <c r="CI91" s="49">
        <f t="shared" si="57"/>
        <v>0</v>
      </c>
      <c r="CJ91" s="49">
        <f t="shared" si="57"/>
        <v>0</v>
      </c>
      <c r="CK91" s="49">
        <f t="shared" si="57"/>
        <v>0</v>
      </c>
      <c r="CL91" s="49">
        <f t="shared" si="57"/>
        <v>0</v>
      </c>
      <c r="CM91" s="49">
        <f t="shared" si="57"/>
        <v>0</v>
      </c>
      <c r="CN91" s="49">
        <f t="shared" si="57"/>
        <v>0</v>
      </c>
      <c r="CO91" s="49">
        <f t="shared" si="57"/>
        <v>0</v>
      </c>
      <c r="CP91" s="49">
        <f t="shared" si="57"/>
        <v>0</v>
      </c>
      <c r="CQ91" s="49">
        <f t="shared" si="57"/>
        <v>0</v>
      </c>
      <c r="CR91" s="49">
        <f t="shared" si="57"/>
        <v>0</v>
      </c>
      <c r="CS91" s="49">
        <f t="shared" si="57"/>
        <v>0</v>
      </c>
      <c r="CT91" s="49">
        <f t="shared" si="57"/>
        <v>0</v>
      </c>
      <c r="CU91" s="49">
        <f t="shared" si="57"/>
        <v>0</v>
      </c>
      <c r="CV91" s="49">
        <f t="shared" si="57"/>
        <v>0</v>
      </c>
      <c r="CW91" s="49">
        <f t="shared" si="57"/>
        <v>0</v>
      </c>
      <c r="CX91" s="49">
        <f t="shared" si="57"/>
        <v>0</v>
      </c>
      <c r="CY91" s="49">
        <f t="shared" si="57"/>
        <v>0</v>
      </c>
      <c r="CZ91" s="49">
        <f t="shared" si="57"/>
        <v>0</v>
      </c>
      <c r="DA91" s="49">
        <f t="shared" si="57"/>
        <v>0</v>
      </c>
      <c r="DB91" s="49">
        <f t="shared" si="57"/>
        <v>0</v>
      </c>
      <c r="DC91" s="49">
        <f t="shared" si="57"/>
        <v>0</v>
      </c>
      <c r="DD91" s="49">
        <f t="shared" si="57"/>
        <v>0</v>
      </c>
      <c r="DE91" s="49">
        <f t="shared" si="57"/>
        <v>0</v>
      </c>
      <c r="DF91" s="49">
        <f t="shared" si="57"/>
        <v>0</v>
      </c>
      <c r="DG91" s="49">
        <f t="shared" si="57"/>
        <v>0</v>
      </c>
      <c r="DH91" s="49">
        <f t="shared" si="57"/>
        <v>0</v>
      </c>
      <c r="DI91" s="49">
        <f t="shared" si="57"/>
        <v>0</v>
      </c>
      <c r="DJ91" s="49">
        <f t="shared" si="57"/>
        <v>0</v>
      </c>
      <c r="DK91" s="49">
        <f t="shared" si="57"/>
        <v>0</v>
      </c>
      <c r="DL91" s="49">
        <f t="shared" si="57"/>
        <v>0</v>
      </c>
      <c r="DM91" s="49">
        <f t="shared" si="57"/>
        <v>0</v>
      </c>
      <c r="DN91" s="49">
        <f t="shared" si="57"/>
        <v>0</v>
      </c>
      <c r="DO91" s="49">
        <f t="shared" si="57"/>
        <v>0</v>
      </c>
      <c r="DP91" s="49">
        <f t="shared" si="57"/>
        <v>0</v>
      </c>
      <c r="DQ91" s="49">
        <f t="shared" si="57"/>
        <v>0</v>
      </c>
      <c r="DR91" s="49">
        <f t="shared" si="57"/>
        <v>0</v>
      </c>
      <c r="DS91" s="49">
        <f t="shared" si="57"/>
        <v>0</v>
      </c>
      <c r="DT91" s="49">
        <f t="shared" si="57"/>
        <v>0</v>
      </c>
      <c r="DU91" s="49">
        <f t="shared" si="57"/>
        <v>0</v>
      </c>
      <c r="DV91" s="49">
        <f t="shared" si="57"/>
        <v>0</v>
      </c>
      <c r="DW91" s="49">
        <f t="shared" si="57"/>
        <v>0</v>
      </c>
      <c r="DX91" s="49">
        <f t="shared" si="57"/>
        <v>0</v>
      </c>
      <c r="DY91" s="49">
        <f t="shared" si="57"/>
        <v>0</v>
      </c>
      <c r="DZ91" s="49">
        <f t="shared" si="57"/>
        <v>0</v>
      </c>
      <c r="EA91" s="49">
        <f t="shared" si="57"/>
        <v>0</v>
      </c>
      <c r="EB91" s="49">
        <f t="shared" ref="EB91:GM91" si="58">-SUM(EB92:EB95)</f>
        <v>0</v>
      </c>
      <c r="EC91" s="49">
        <f t="shared" si="58"/>
        <v>0</v>
      </c>
      <c r="ED91" s="49">
        <f t="shared" si="58"/>
        <v>0</v>
      </c>
      <c r="EE91" s="49">
        <f t="shared" si="58"/>
        <v>0</v>
      </c>
      <c r="EF91" s="49">
        <f t="shared" si="58"/>
        <v>0</v>
      </c>
      <c r="EG91" s="49">
        <f t="shared" si="58"/>
        <v>0</v>
      </c>
      <c r="EH91" s="49">
        <f t="shared" si="58"/>
        <v>0</v>
      </c>
      <c r="EI91" s="49">
        <f t="shared" si="58"/>
        <v>0</v>
      </c>
      <c r="EJ91" s="49">
        <f t="shared" si="58"/>
        <v>0</v>
      </c>
      <c r="EK91" s="49">
        <f t="shared" si="58"/>
        <v>0</v>
      </c>
      <c r="EL91" s="49">
        <f t="shared" si="58"/>
        <v>0</v>
      </c>
      <c r="EM91" s="49">
        <f t="shared" si="58"/>
        <v>0</v>
      </c>
      <c r="EN91" s="49">
        <f t="shared" si="58"/>
        <v>0</v>
      </c>
      <c r="EO91" s="49">
        <f t="shared" si="58"/>
        <v>0</v>
      </c>
      <c r="EP91" s="49">
        <f t="shared" si="58"/>
        <v>0</v>
      </c>
      <c r="EQ91" s="49">
        <f t="shared" si="58"/>
        <v>0</v>
      </c>
      <c r="ER91" s="49">
        <f t="shared" si="58"/>
        <v>0</v>
      </c>
      <c r="ES91" s="49">
        <f t="shared" si="58"/>
        <v>0</v>
      </c>
      <c r="ET91" s="49">
        <f t="shared" si="58"/>
        <v>0</v>
      </c>
      <c r="EU91" s="49">
        <f t="shared" si="58"/>
        <v>0</v>
      </c>
      <c r="EV91" s="49">
        <f t="shared" si="58"/>
        <v>0</v>
      </c>
      <c r="EW91" s="49">
        <f t="shared" si="58"/>
        <v>0</v>
      </c>
      <c r="EX91" s="49">
        <f t="shared" si="58"/>
        <v>0</v>
      </c>
      <c r="EY91" s="49">
        <f t="shared" si="58"/>
        <v>0</v>
      </c>
      <c r="EZ91" s="49">
        <f t="shared" si="58"/>
        <v>0</v>
      </c>
      <c r="FA91" s="49">
        <f t="shared" si="58"/>
        <v>0</v>
      </c>
      <c r="FB91" s="49">
        <f t="shared" si="58"/>
        <v>0</v>
      </c>
      <c r="FC91" s="49">
        <f t="shared" si="58"/>
        <v>0</v>
      </c>
      <c r="FD91" s="49">
        <f t="shared" si="58"/>
        <v>0</v>
      </c>
      <c r="FE91" s="49">
        <f t="shared" si="58"/>
        <v>0</v>
      </c>
      <c r="FF91" s="49">
        <f t="shared" si="58"/>
        <v>0</v>
      </c>
      <c r="FG91" s="49">
        <f t="shared" si="58"/>
        <v>0</v>
      </c>
      <c r="FH91" s="49">
        <f t="shared" si="58"/>
        <v>0</v>
      </c>
      <c r="FI91" s="49">
        <f t="shared" si="58"/>
        <v>0</v>
      </c>
      <c r="FJ91" s="49">
        <f t="shared" si="58"/>
        <v>0</v>
      </c>
      <c r="FK91" s="49">
        <f t="shared" si="58"/>
        <v>0</v>
      </c>
      <c r="FL91" s="49">
        <f t="shared" si="58"/>
        <v>0</v>
      </c>
      <c r="FM91" s="49">
        <f t="shared" si="58"/>
        <v>0</v>
      </c>
      <c r="FN91" s="49">
        <f t="shared" si="58"/>
        <v>0</v>
      </c>
      <c r="FO91" s="49">
        <f t="shared" si="58"/>
        <v>0</v>
      </c>
      <c r="FP91" s="49">
        <f t="shared" si="58"/>
        <v>0</v>
      </c>
      <c r="FQ91" s="49">
        <f t="shared" si="58"/>
        <v>0</v>
      </c>
      <c r="FR91" s="49">
        <f t="shared" si="58"/>
        <v>0</v>
      </c>
      <c r="FS91" s="49">
        <f t="shared" si="58"/>
        <v>0</v>
      </c>
      <c r="FT91" s="49">
        <f t="shared" si="58"/>
        <v>0</v>
      </c>
      <c r="FU91" s="49">
        <f t="shared" si="58"/>
        <v>0</v>
      </c>
      <c r="FV91" s="49">
        <f t="shared" si="58"/>
        <v>0</v>
      </c>
      <c r="FW91" s="49">
        <f t="shared" si="58"/>
        <v>0</v>
      </c>
      <c r="FX91" s="49">
        <f t="shared" si="58"/>
        <v>0</v>
      </c>
      <c r="FY91" s="49">
        <f t="shared" si="58"/>
        <v>0</v>
      </c>
      <c r="FZ91" s="49">
        <f t="shared" si="58"/>
        <v>0</v>
      </c>
      <c r="GA91" s="49">
        <f t="shared" si="58"/>
        <v>0</v>
      </c>
      <c r="GB91" s="49">
        <f t="shared" si="58"/>
        <v>0</v>
      </c>
      <c r="GC91" s="49">
        <f t="shared" si="58"/>
        <v>0</v>
      </c>
      <c r="GD91" s="49">
        <f t="shared" si="58"/>
        <v>0</v>
      </c>
      <c r="GE91" s="49">
        <f t="shared" si="58"/>
        <v>0</v>
      </c>
      <c r="GF91" s="49">
        <f t="shared" si="58"/>
        <v>0</v>
      </c>
      <c r="GG91" s="49">
        <f t="shared" si="58"/>
        <v>0</v>
      </c>
      <c r="GH91" s="49">
        <f t="shared" si="58"/>
        <v>0</v>
      </c>
      <c r="GI91" s="49">
        <f t="shared" si="58"/>
        <v>0</v>
      </c>
      <c r="GJ91" s="49">
        <f t="shared" si="58"/>
        <v>0</v>
      </c>
      <c r="GK91" s="49">
        <f t="shared" si="58"/>
        <v>0</v>
      </c>
      <c r="GL91" s="49">
        <f t="shared" si="58"/>
        <v>0</v>
      </c>
      <c r="GM91" s="49">
        <f t="shared" si="58"/>
        <v>0</v>
      </c>
      <c r="GN91" s="49">
        <f t="shared" ref="GN91:GS91" si="59">-SUM(GN92:GN95)</f>
        <v>0</v>
      </c>
      <c r="GO91" s="49">
        <f t="shared" si="59"/>
        <v>0</v>
      </c>
      <c r="GP91" s="49">
        <f t="shared" si="59"/>
        <v>0</v>
      </c>
      <c r="GQ91" s="49">
        <f t="shared" si="59"/>
        <v>0</v>
      </c>
      <c r="GR91" s="49">
        <f t="shared" si="59"/>
        <v>0</v>
      </c>
      <c r="GS91" s="49">
        <f t="shared" si="59"/>
        <v>0</v>
      </c>
      <c r="GT91" s="49">
        <f>-SUM(GT92:GT95)</f>
        <v>0</v>
      </c>
    </row>
    <row r="92" spans="1:202" ht="16.5" customHeight="1">
      <c r="A92" s="42" t="str">
        <f>'Как есть'!A92</f>
        <v>Складская логистика</v>
      </c>
      <c r="B92" s="92"/>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3"/>
      <c r="BG92" s="93"/>
      <c r="BH92" s="93"/>
      <c r="BI92" s="93"/>
      <c r="BJ92" s="93"/>
      <c r="BK92" s="93"/>
      <c r="BL92" s="93"/>
      <c r="BM92" s="93"/>
      <c r="BN92" s="93"/>
      <c r="BO92" s="93"/>
      <c r="BP92" s="93"/>
      <c r="BQ92" s="93"/>
      <c r="BR92" s="93"/>
      <c r="BS92" s="93"/>
      <c r="BT92" s="93"/>
      <c r="BU92" s="93"/>
      <c r="BV92" s="93"/>
      <c r="BW92" s="93"/>
      <c r="BX92" s="93"/>
      <c r="BY92" s="93"/>
      <c r="BZ92" s="93"/>
      <c r="CA92" s="93"/>
      <c r="CB92" s="93"/>
      <c r="CC92" s="93"/>
      <c r="CD92" s="93"/>
      <c r="CE92" s="93"/>
      <c r="CF92" s="93"/>
      <c r="CG92" s="93"/>
      <c r="CH92" s="93"/>
      <c r="CI92" s="93"/>
      <c r="CJ92" s="93"/>
      <c r="CK92" s="93"/>
      <c r="CL92" s="93"/>
      <c r="CM92" s="93"/>
      <c r="CN92" s="93"/>
      <c r="CO92" s="93"/>
      <c r="CP92" s="93"/>
      <c r="CQ92" s="93"/>
      <c r="CR92" s="93"/>
      <c r="CS92" s="93"/>
      <c r="CT92" s="93"/>
      <c r="CU92" s="93"/>
      <c r="CV92" s="93"/>
      <c r="CW92" s="93"/>
      <c r="CX92" s="93"/>
      <c r="CY92" s="93"/>
      <c r="CZ92" s="93"/>
      <c r="DA92" s="93"/>
      <c r="DB92" s="93"/>
      <c r="DC92" s="93"/>
      <c r="DD92" s="93"/>
      <c r="DE92" s="93"/>
      <c r="DF92" s="93"/>
      <c r="DG92" s="93"/>
      <c r="DH92" s="93"/>
      <c r="DI92" s="93"/>
      <c r="DJ92" s="93"/>
      <c r="DK92" s="93"/>
      <c r="DL92" s="93"/>
      <c r="DM92" s="93"/>
      <c r="DN92" s="93"/>
      <c r="DO92" s="93"/>
      <c r="DP92" s="93"/>
      <c r="DQ92" s="93"/>
      <c r="DR92" s="93"/>
      <c r="DS92" s="93"/>
      <c r="DT92" s="93"/>
      <c r="DU92" s="93"/>
      <c r="DV92" s="93"/>
      <c r="DW92" s="93"/>
      <c r="DX92" s="93"/>
      <c r="DY92" s="93"/>
      <c r="DZ92" s="93"/>
      <c r="EA92" s="93"/>
      <c r="EB92" s="93"/>
      <c r="EC92" s="93"/>
      <c r="ED92" s="93"/>
      <c r="EE92" s="93"/>
      <c r="EF92" s="93"/>
      <c r="EG92" s="93"/>
      <c r="EH92" s="93"/>
      <c r="EI92" s="93"/>
      <c r="EJ92" s="93"/>
      <c r="EK92" s="93"/>
      <c r="EL92" s="93"/>
      <c r="EM92" s="93"/>
      <c r="EN92" s="93"/>
      <c r="EO92" s="93"/>
      <c r="EP92" s="93"/>
      <c r="EQ92" s="93"/>
      <c r="ER92" s="93"/>
      <c r="ES92" s="93"/>
      <c r="ET92" s="93"/>
      <c r="EU92" s="93"/>
      <c r="EV92" s="93"/>
      <c r="EW92" s="93"/>
      <c r="EX92" s="93"/>
      <c r="EY92" s="93"/>
      <c r="EZ92" s="93"/>
      <c r="FA92" s="93"/>
      <c r="FB92" s="93"/>
      <c r="FC92" s="93"/>
      <c r="FD92" s="93"/>
      <c r="FE92" s="93"/>
      <c r="FF92" s="93"/>
      <c r="FG92" s="93"/>
      <c r="FH92" s="93"/>
      <c r="FI92" s="93"/>
      <c r="FJ92" s="93"/>
      <c r="FK92" s="93"/>
      <c r="FL92" s="93"/>
      <c r="FM92" s="93"/>
      <c r="FN92" s="93"/>
      <c r="FO92" s="93"/>
      <c r="FP92" s="93"/>
      <c r="FQ92" s="93"/>
      <c r="FR92" s="93"/>
      <c r="FS92" s="93"/>
      <c r="FT92" s="93"/>
      <c r="FU92" s="93"/>
      <c r="FV92" s="93"/>
      <c r="FW92" s="93"/>
      <c r="FX92" s="93"/>
      <c r="FY92" s="93"/>
      <c r="FZ92" s="93"/>
      <c r="GA92" s="93"/>
      <c r="GB92" s="93"/>
      <c r="GC92" s="93"/>
      <c r="GD92" s="93"/>
      <c r="GE92" s="93"/>
      <c r="GF92" s="93"/>
      <c r="GG92" s="93"/>
      <c r="GH92" s="93"/>
      <c r="GI92" s="93"/>
      <c r="GJ92" s="93"/>
      <c r="GK92" s="93"/>
      <c r="GL92" s="93"/>
      <c r="GM92" s="93"/>
      <c r="GN92" s="93"/>
      <c r="GO92" s="93"/>
      <c r="GP92" s="93"/>
      <c r="GQ92" s="93"/>
      <c r="GR92" s="93"/>
      <c r="GS92" s="93"/>
      <c r="GT92" s="93"/>
    </row>
    <row r="93" spans="1:202" ht="16.5" customHeight="1">
      <c r="A93" s="42" t="str">
        <f>'Как есть'!A93</f>
        <v>Затраты производства</v>
      </c>
      <c r="B93" s="92"/>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93"/>
      <c r="CL93" s="93"/>
      <c r="CM93" s="93"/>
      <c r="CN93" s="93"/>
      <c r="CO93" s="93"/>
      <c r="CP93" s="93"/>
      <c r="CQ93" s="93"/>
      <c r="CR93" s="93"/>
      <c r="CS93" s="93"/>
      <c r="CT93" s="93"/>
      <c r="CU93" s="93"/>
      <c r="CV93" s="93"/>
      <c r="CW93" s="93"/>
      <c r="CX93" s="93"/>
      <c r="CY93" s="93"/>
      <c r="CZ93" s="93"/>
      <c r="DA93" s="93"/>
      <c r="DB93" s="93"/>
      <c r="DC93" s="93"/>
      <c r="DD93" s="93"/>
      <c r="DE93" s="93"/>
      <c r="DF93" s="93"/>
      <c r="DG93" s="93"/>
      <c r="DH93" s="93"/>
      <c r="DI93" s="93"/>
      <c r="DJ93" s="93"/>
      <c r="DK93" s="93"/>
      <c r="DL93" s="93"/>
      <c r="DM93" s="93"/>
      <c r="DN93" s="93"/>
      <c r="DO93" s="93"/>
      <c r="DP93" s="93"/>
      <c r="DQ93" s="93"/>
      <c r="DR93" s="93"/>
      <c r="DS93" s="93"/>
      <c r="DT93" s="93"/>
      <c r="DU93" s="93"/>
      <c r="DV93" s="93"/>
      <c r="DW93" s="93"/>
      <c r="DX93" s="93"/>
      <c r="DY93" s="93"/>
      <c r="DZ93" s="93"/>
      <c r="EA93" s="93"/>
      <c r="EB93" s="93"/>
      <c r="EC93" s="93"/>
      <c r="ED93" s="93"/>
      <c r="EE93" s="93"/>
      <c r="EF93" s="93"/>
      <c r="EG93" s="93"/>
      <c r="EH93" s="93"/>
      <c r="EI93" s="93"/>
      <c r="EJ93" s="93"/>
      <c r="EK93" s="93"/>
      <c r="EL93" s="93"/>
      <c r="EM93" s="93"/>
      <c r="EN93" s="93"/>
      <c r="EO93" s="93"/>
      <c r="EP93" s="93"/>
      <c r="EQ93" s="93"/>
      <c r="ER93" s="93"/>
      <c r="ES93" s="93"/>
      <c r="ET93" s="93"/>
      <c r="EU93" s="93"/>
      <c r="EV93" s="93"/>
      <c r="EW93" s="93"/>
      <c r="EX93" s="93"/>
      <c r="EY93" s="93"/>
      <c r="EZ93" s="93"/>
      <c r="FA93" s="93"/>
      <c r="FB93" s="93"/>
      <c r="FC93" s="93"/>
      <c r="FD93" s="93"/>
      <c r="FE93" s="93"/>
      <c r="FF93" s="93"/>
      <c r="FG93" s="93"/>
      <c r="FH93" s="93"/>
      <c r="FI93" s="93"/>
      <c r="FJ93" s="93"/>
      <c r="FK93" s="93"/>
      <c r="FL93" s="93"/>
      <c r="FM93" s="93"/>
      <c r="FN93" s="93"/>
      <c r="FO93" s="93"/>
      <c r="FP93" s="93"/>
      <c r="FQ93" s="93"/>
      <c r="FR93" s="93"/>
      <c r="FS93" s="93"/>
      <c r="FT93" s="93"/>
      <c r="FU93" s="93"/>
      <c r="FV93" s="93"/>
      <c r="FW93" s="93"/>
      <c r="FX93" s="93"/>
      <c r="FY93" s="93"/>
      <c r="FZ93" s="93"/>
      <c r="GA93" s="93"/>
      <c r="GB93" s="93"/>
      <c r="GC93" s="93"/>
      <c r="GD93" s="93"/>
      <c r="GE93" s="93"/>
      <c r="GF93" s="93"/>
      <c r="GG93" s="93"/>
      <c r="GH93" s="93"/>
      <c r="GI93" s="93"/>
      <c r="GJ93" s="93"/>
      <c r="GK93" s="93"/>
      <c r="GL93" s="93"/>
      <c r="GM93" s="93"/>
      <c r="GN93" s="93"/>
      <c r="GO93" s="93"/>
      <c r="GP93" s="93"/>
      <c r="GQ93" s="93"/>
      <c r="GR93" s="93"/>
      <c r="GS93" s="93"/>
      <c r="GT93" s="93"/>
    </row>
    <row r="94" spans="1:202" ht="16.5" customHeight="1">
      <c r="A94" s="43" t="str">
        <f>'Как есть'!A94</f>
        <v>Транспортная логистика</v>
      </c>
      <c r="B94" s="92"/>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93"/>
      <c r="CE94" s="93"/>
      <c r="CF94" s="93"/>
      <c r="CG94" s="93"/>
      <c r="CH94" s="93"/>
      <c r="CI94" s="93"/>
      <c r="CJ94" s="93"/>
      <c r="CK94" s="93"/>
      <c r="CL94" s="93"/>
      <c r="CM94" s="93"/>
      <c r="CN94" s="93"/>
      <c r="CO94" s="93"/>
      <c r="CP94" s="93"/>
      <c r="CQ94" s="93"/>
      <c r="CR94" s="93"/>
      <c r="CS94" s="93"/>
      <c r="CT94" s="93"/>
      <c r="CU94" s="93"/>
      <c r="CV94" s="93"/>
      <c r="CW94" s="93"/>
      <c r="CX94" s="93"/>
      <c r="CY94" s="93"/>
      <c r="CZ94" s="93"/>
      <c r="DA94" s="93"/>
      <c r="DB94" s="93"/>
      <c r="DC94" s="93"/>
      <c r="DD94" s="93"/>
      <c r="DE94" s="93"/>
      <c r="DF94" s="93"/>
      <c r="DG94" s="93"/>
      <c r="DH94" s="93"/>
      <c r="DI94" s="93"/>
      <c r="DJ94" s="93"/>
      <c r="DK94" s="93"/>
      <c r="DL94" s="93"/>
      <c r="DM94" s="93"/>
      <c r="DN94" s="93"/>
      <c r="DO94" s="93"/>
      <c r="DP94" s="93"/>
      <c r="DQ94" s="93"/>
      <c r="DR94" s="93"/>
      <c r="DS94" s="93"/>
      <c r="DT94" s="93"/>
      <c r="DU94" s="93"/>
      <c r="DV94" s="93"/>
      <c r="DW94" s="93"/>
      <c r="DX94" s="93"/>
      <c r="DY94" s="93"/>
      <c r="DZ94" s="93"/>
      <c r="EA94" s="93"/>
      <c r="EB94" s="93"/>
      <c r="EC94" s="93"/>
      <c r="ED94" s="93"/>
      <c r="EE94" s="93"/>
      <c r="EF94" s="93"/>
      <c r="EG94" s="93"/>
      <c r="EH94" s="93"/>
      <c r="EI94" s="93"/>
      <c r="EJ94" s="93"/>
      <c r="EK94" s="93"/>
      <c r="EL94" s="93"/>
      <c r="EM94" s="93"/>
      <c r="EN94" s="93"/>
      <c r="EO94" s="93"/>
      <c r="EP94" s="93"/>
      <c r="EQ94" s="93"/>
      <c r="ER94" s="93"/>
      <c r="ES94" s="93"/>
      <c r="ET94" s="93"/>
      <c r="EU94" s="93"/>
      <c r="EV94" s="93"/>
      <c r="EW94" s="93"/>
      <c r="EX94" s="93"/>
      <c r="EY94" s="93"/>
      <c r="EZ94" s="93"/>
      <c r="FA94" s="93"/>
      <c r="FB94" s="93"/>
      <c r="FC94" s="93"/>
      <c r="FD94" s="93"/>
      <c r="FE94" s="93"/>
      <c r="FF94" s="93"/>
      <c r="FG94" s="93"/>
      <c r="FH94" s="93"/>
      <c r="FI94" s="93"/>
      <c r="FJ94" s="93"/>
      <c r="FK94" s="93"/>
      <c r="FL94" s="93"/>
      <c r="FM94" s="93"/>
      <c r="FN94" s="93"/>
      <c r="FO94" s="93"/>
      <c r="FP94" s="93"/>
      <c r="FQ94" s="93"/>
      <c r="FR94" s="93"/>
      <c r="FS94" s="93"/>
      <c r="FT94" s="93"/>
      <c r="FU94" s="93"/>
      <c r="FV94" s="93"/>
      <c r="FW94" s="93"/>
      <c r="FX94" s="93"/>
      <c r="FY94" s="93"/>
      <c r="FZ94" s="93"/>
      <c r="GA94" s="93"/>
      <c r="GB94" s="93"/>
      <c r="GC94" s="93"/>
      <c r="GD94" s="93"/>
      <c r="GE94" s="93"/>
      <c r="GF94" s="93"/>
      <c r="GG94" s="93"/>
      <c r="GH94" s="93"/>
      <c r="GI94" s="93"/>
      <c r="GJ94" s="93"/>
      <c r="GK94" s="93"/>
      <c r="GL94" s="93"/>
      <c r="GM94" s="93"/>
      <c r="GN94" s="93"/>
      <c r="GO94" s="93"/>
      <c r="GP94" s="93"/>
      <c r="GQ94" s="93"/>
      <c r="GR94" s="93"/>
      <c r="GS94" s="93"/>
      <c r="GT94" s="93"/>
    </row>
    <row r="95" spans="1:202" ht="16.5" customHeight="1">
      <c r="A95" s="42" t="str">
        <f>'Как есть'!A95</f>
        <v>Потери</v>
      </c>
      <c r="B95" s="92"/>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93"/>
      <c r="CE95" s="93"/>
      <c r="CF95" s="93"/>
      <c r="CG95" s="93"/>
      <c r="CH95" s="93"/>
      <c r="CI95" s="93"/>
      <c r="CJ95" s="93"/>
      <c r="CK95" s="93"/>
      <c r="CL95" s="93"/>
      <c r="CM95" s="93"/>
      <c r="CN95" s="93"/>
      <c r="CO95" s="93"/>
      <c r="CP95" s="93"/>
      <c r="CQ95" s="93"/>
      <c r="CR95" s="93"/>
      <c r="CS95" s="93"/>
      <c r="CT95" s="93"/>
      <c r="CU95" s="93"/>
      <c r="CV95" s="93"/>
      <c r="CW95" s="93"/>
      <c r="CX95" s="93"/>
      <c r="CY95" s="93"/>
      <c r="CZ95" s="93"/>
      <c r="DA95" s="93"/>
      <c r="DB95" s="93"/>
      <c r="DC95" s="93"/>
      <c r="DD95" s="93"/>
      <c r="DE95" s="93"/>
      <c r="DF95" s="93"/>
      <c r="DG95" s="93"/>
      <c r="DH95" s="93"/>
      <c r="DI95" s="93"/>
      <c r="DJ95" s="93"/>
      <c r="DK95" s="93"/>
      <c r="DL95" s="93"/>
      <c r="DM95" s="93"/>
      <c r="DN95" s="93"/>
      <c r="DO95" s="93"/>
      <c r="DP95" s="93"/>
      <c r="DQ95" s="93"/>
      <c r="DR95" s="93"/>
      <c r="DS95" s="93"/>
      <c r="DT95" s="93"/>
      <c r="DU95" s="93"/>
      <c r="DV95" s="93"/>
      <c r="DW95" s="93"/>
      <c r="DX95" s="93"/>
      <c r="DY95" s="93"/>
      <c r="DZ95" s="93"/>
      <c r="EA95" s="93"/>
      <c r="EB95" s="93"/>
      <c r="EC95" s="93"/>
      <c r="ED95" s="93"/>
      <c r="EE95" s="93"/>
      <c r="EF95" s="93"/>
      <c r="EG95" s="93"/>
      <c r="EH95" s="93"/>
      <c r="EI95" s="93"/>
      <c r="EJ95" s="93"/>
      <c r="EK95" s="93"/>
      <c r="EL95" s="93"/>
      <c r="EM95" s="93"/>
      <c r="EN95" s="93"/>
      <c r="EO95" s="93"/>
      <c r="EP95" s="93"/>
      <c r="EQ95" s="93"/>
      <c r="ER95" s="93"/>
      <c r="ES95" s="93"/>
      <c r="ET95" s="93"/>
      <c r="EU95" s="93"/>
      <c r="EV95" s="93"/>
      <c r="EW95" s="93"/>
      <c r="EX95" s="93"/>
      <c r="EY95" s="93"/>
      <c r="EZ95" s="93"/>
      <c r="FA95" s="93"/>
      <c r="FB95" s="93"/>
      <c r="FC95" s="93"/>
      <c r="FD95" s="93"/>
      <c r="FE95" s="93"/>
      <c r="FF95" s="93"/>
      <c r="FG95" s="93"/>
      <c r="FH95" s="93"/>
      <c r="FI95" s="93"/>
      <c r="FJ95" s="93"/>
      <c r="FK95" s="93"/>
      <c r="FL95" s="93"/>
      <c r="FM95" s="93"/>
      <c r="FN95" s="93"/>
      <c r="FO95" s="93"/>
      <c r="FP95" s="93"/>
      <c r="FQ95" s="93"/>
      <c r="FR95" s="93"/>
      <c r="FS95" s="93"/>
      <c r="FT95" s="93"/>
      <c r="FU95" s="93"/>
      <c r="FV95" s="93"/>
      <c r="FW95" s="93"/>
      <c r="FX95" s="93"/>
      <c r="FY95" s="93"/>
      <c r="FZ95" s="93"/>
      <c r="GA95" s="93"/>
      <c r="GB95" s="93"/>
      <c r="GC95" s="93"/>
      <c r="GD95" s="93"/>
      <c r="GE95" s="93"/>
      <c r="GF95" s="93"/>
      <c r="GG95" s="93"/>
      <c r="GH95" s="93"/>
      <c r="GI95" s="93"/>
      <c r="GJ95" s="93"/>
      <c r="GK95" s="93"/>
      <c r="GL95" s="93"/>
      <c r="GM95" s="93"/>
      <c r="GN95" s="93"/>
      <c r="GO95" s="93"/>
      <c r="GP95" s="93"/>
      <c r="GQ95" s="93"/>
      <c r="GR95" s="93"/>
      <c r="GS95" s="93"/>
      <c r="GT95" s="93"/>
    </row>
    <row r="96" spans="1:202" s="28" customFormat="1" ht="21">
      <c r="A96" s="41" t="s">
        <v>22</v>
      </c>
      <c r="B96" s="44"/>
      <c r="C96" s="45">
        <f>IF(C97=0,C90+C91,C97)</f>
        <v>0</v>
      </c>
      <c r="D96" s="45">
        <f>IF(D97=0,D90+D91,D97)</f>
        <v>0</v>
      </c>
      <c r="E96" s="45">
        <f>IF(E97=0,E90+E91,E97)</f>
        <v>0</v>
      </c>
      <c r="F96" s="45">
        <f t="shared" ref="F96:BO96" si="60">IF(F97=0,F90+F91,F97)</f>
        <v>0</v>
      </c>
      <c r="G96" s="45">
        <f t="shared" si="60"/>
        <v>0</v>
      </c>
      <c r="H96" s="45">
        <f t="shared" si="60"/>
        <v>0</v>
      </c>
      <c r="I96" s="45">
        <f t="shared" si="60"/>
        <v>0</v>
      </c>
      <c r="J96" s="45">
        <f t="shared" si="60"/>
        <v>0</v>
      </c>
      <c r="K96" s="45">
        <f t="shared" si="60"/>
        <v>0</v>
      </c>
      <c r="L96" s="45">
        <f t="shared" si="60"/>
        <v>0</v>
      </c>
      <c r="M96" s="45">
        <f t="shared" si="60"/>
        <v>0</v>
      </c>
      <c r="N96" s="45">
        <f t="shared" si="60"/>
        <v>0</v>
      </c>
      <c r="O96" s="45">
        <f t="shared" si="60"/>
        <v>446.24268959648487</v>
      </c>
      <c r="P96" s="45">
        <f t="shared" si="60"/>
        <v>973.23371178656566</v>
      </c>
      <c r="Q96" s="45">
        <f t="shared" si="60"/>
        <v>2191.2031602237271</v>
      </c>
      <c r="R96" s="45">
        <f t="shared" si="60"/>
        <v>2108.8312323126011</v>
      </c>
      <c r="S96" s="45">
        <f t="shared" si="60"/>
        <v>2283.0512442915815</v>
      </c>
      <c r="T96" s="45">
        <f t="shared" si="60"/>
        <v>2958.1373749988029</v>
      </c>
      <c r="U96" s="45">
        <f t="shared" si="60"/>
        <v>2329.9696057087785</v>
      </c>
      <c r="V96" s="45">
        <f t="shared" si="60"/>
        <v>2580.6501861863458</v>
      </c>
      <c r="W96" s="45">
        <f t="shared" si="60"/>
        <v>3487.9443420361699</v>
      </c>
      <c r="X96" s="45">
        <f t="shared" si="60"/>
        <v>3211.713136023639</v>
      </c>
      <c r="Y96" s="45">
        <f t="shared" si="60"/>
        <v>2759.7152739458065</v>
      </c>
      <c r="Z96" s="45">
        <f t="shared" si="60"/>
        <v>3588.6139013082088</v>
      </c>
      <c r="AA96" s="45">
        <f t="shared" si="60"/>
        <v>446.24268959648487</v>
      </c>
      <c r="AB96" s="45">
        <f t="shared" si="60"/>
        <v>973.23371178656566</v>
      </c>
      <c r="AC96" s="45">
        <f t="shared" si="60"/>
        <v>2191.2031602237271</v>
      </c>
      <c r="AD96" s="45">
        <f t="shared" si="60"/>
        <v>2108.8312323126011</v>
      </c>
      <c r="AE96" s="45">
        <f t="shared" si="60"/>
        <v>2283.0512442915815</v>
      </c>
      <c r="AF96" s="45">
        <f t="shared" si="60"/>
        <v>2958.1373749988029</v>
      </c>
      <c r="AG96" s="45">
        <f t="shared" si="60"/>
        <v>2329.9696057087785</v>
      </c>
      <c r="AH96" s="45">
        <f t="shared" si="60"/>
        <v>2580.6501861863458</v>
      </c>
      <c r="AI96" s="45">
        <f t="shared" si="60"/>
        <v>3487.9443420361699</v>
      </c>
      <c r="AJ96" s="45">
        <f t="shared" si="60"/>
        <v>3211.713136023639</v>
      </c>
      <c r="AK96" s="45">
        <f t="shared" si="60"/>
        <v>2759.7152739458065</v>
      </c>
      <c r="AL96" s="45">
        <f t="shared" si="60"/>
        <v>3588.6139013082088</v>
      </c>
      <c r="AM96" s="45">
        <f t="shared" si="60"/>
        <v>446.24268959648487</v>
      </c>
      <c r="AN96" s="45">
        <f t="shared" si="60"/>
        <v>973.23371178656566</v>
      </c>
      <c r="AO96" s="45">
        <f t="shared" si="60"/>
        <v>2191.2031602237271</v>
      </c>
      <c r="AP96" s="45">
        <f t="shared" si="60"/>
        <v>2108.8312323126011</v>
      </c>
      <c r="AQ96" s="45">
        <f t="shared" si="60"/>
        <v>2283.0512442915815</v>
      </c>
      <c r="AR96" s="45">
        <f t="shared" si="60"/>
        <v>2958.1373749988029</v>
      </c>
      <c r="AS96" s="45">
        <f t="shared" si="60"/>
        <v>2329.9696057087785</v>
      </c>
      <c r="AT96" s="45">
        <f t="shared" si="60"/>
        <v>2580.6501861863458</v>
      </c>
      <c r="AU96" s="45">
        <f t="shared" si="60"/>
        <v>3487.9443420361699</v>
      </c>
      <c r="AV96" s="45">
        <f t="shared" si="60"/>
        <v>3211.713136023639</v>
      </c>
      <c r="AW96" s="45">
        <f t="shared" si="60"/>
        <v>2759.7152739458065</v>
      </c>
      <c r="AX96" s="45">
        <f t="shared" si="60"/>
        <v>3588.6139013082088</v>
      </c>
      <c r="AY96" s="45">
        <f t="shared" si="60"/>
        <v>446.24268959648487</v>
      </c>
      <c r="AZ96" s="45">
        <f t="shared" si="60"/>
        <v>973.23371178656566</v>
      </c>
      <c r="BA96" s="45">
        <f t="shared" si="60"/>
        <v>2191.2031602237271</v>
      </c>
      <c r="BB96" s="45">
        <f t="shared" si="60"/>
        <v>2108.8312323126011</v>
      </c>
      <c r="BC96" s="45">
        <f t="shared" si="60"/>
        <v>2283.0512442915815</v>
      </c>
      <c r="BD96" s="45">
        <f t="shared" si="60"/>
        <v>2958.1373749988029</v>
      </c>
      <c r="BE96" s="45">
        <f t="shared" si="60"/>
        <v>2329.9696057087785</v>
      </c>
      <c r="BF96" s="45">
        <f t="shared" si="60"/>
        <v>2580.6501861863458</v>
      </c>
      <c r="BG96" s="45">
        <f t="shared" si="60"/>
        <v>3487.9443420361699</v>
      </c>
      <c r="BH96" s="45">
        <f t="shared" si="60"/>
        <v>3211.713136023639</v>
      </c>
      <c r="BI96" s="45">
        <f t="shared" si="60"/>
        <v>2759.7152739458065</v>
      </c>
      <c r="BJ96" s="45">
        <f t="shared" si="60"/>
        <v>3588.6139013082088</v>
      </c>
      <c r="BK96" s="45">
        <f t="shared" si="60"/>
        <v>0</v>
      </c>
      <c r="BL96" s="45">
        <f t="shared" si="60"/>
        <v>0</v>
      </c>
      <c r="BM96" s="45">
        <f t="shared" si="60"/>
        <v>0</v>
      </c>
      <c r="BN96" s="45">
        <f t="shared" si="60"/>
        <v>0</v>
      </c>
      <c r="BO96" s="45">
        <f t="shared" si="60"/>
        <v>0</v>
      </c>
      <c r="BP96" s="45">
        <f t="shared" ref="BP96:EA96" si="61">IF(BP97=0,BP90+BP91,BP97)</f>
        <v>0</v>
      </c>
      <c r="BQ96" s="45">
        <f t="shared" si="61"/>
        <v>0</v>
      </c>
      <c r="BR96" s="45">
        <f t="shared" si="61"/>
        <v>0</v>
      </c>
      <c r="BS96" s="45">
        <f t="shared" si="61"/>
        <v>0</v>
      </c>
      <c r="BT96" s="45">
        <f t="shared" si="61"/>
        <v>0</v>
      </c>
      <c r="BU96" s="45">
        <f t="shared" si="61"/>
        <v>0</v>
      </c>
      <c r="BV96" s="45">
        <f t="shared" si="61"/>
        <v>0</v>
      </c>
      <c r="BW96" s="45">
        <f t="shared" si="61"/>
        <v>0</v>
      </c>
      <c r="BX96" s="45">
        <f t="shared" si="61"/>
        <v>0</v>
      </c>
      <c r="BY96" s="45">
        <f t="shared" si="61"/>
        <v>0</v>
      </c>
      <c r="BZ96" s="45">
        <f t="shared" si="61"/>
        <v>0</v>
      </c>
      <c r="CA96" s="45">
        <f t="shared" si="61"/>
        <v>0</v>
      </c>
      <c r="CB96" s="45">
        <f t="shared" si="61"/>
        <v>0</v>
      </c>
      <c r="CC96" s="45">
        <f t="shared" si="61"/>
        <v>0</v>
      </c>
      <c r="CD96" s="45">
        <f t="shared" si="61"/>
        <v>0</v>
      </c>
      <c r="CE96" s="45">
        <f t="shared" si="61"/>
        <v>0</v>
      </c>
      <c r="CF96" s="45">
        <f t="shared" si="61"/>
        <v>0</v>
      </c>
      <c r="CG96" s="45">
        <f t="shared" si="61"/>
        <v>0</v>
      </c>
      <c r="CH96" s="45">
        <f t="shared" si="61"/>
        <v>0</v>
      </c>
      <c r="CI96" s="45">
        <f t="shared" si="61"/>
        <v>0</v>
      </c>
      <c r="CJ96" s="45">
        <f t="shared" si="61"/>
        <v>0</v>
      </c>
      <c r="CK96" s="45">
        <f t="shared" si="61"/>
        <v>0</v>
      </c>
      <c r="CL96" s="45">
        <f t="shared" si="61"/>
        <v>0</v>
      </c>
      <c r="CM96" s="45">
        <f t="shared" si="61"/>
        <v>0</v>
      </c>
      <c r="CN96" s="45">
        <f t="shared" si="61"/>
        <v>0</v>
      </c>
      <c r="CO96" s="45">
        <f t="shared" si="61"/>
        <v>0</v>
      </c>
      <c r="CP96" s="45">
        <f t="shared" si="61"/>
        <v>0</v>
      </c>
      <c r="CQ96" s="45">
        <f t="shared" si="61"/>
        <v>0</v>
      </c>
      <c r="CR96" s="45">
        <f t="shared" si="61"/>
        <v>0</v>
      </c>
      <c r="CS96" s="45">
        <f t="shared" si="61"/>
        <v>0</v>
      </c>
      <c r="CT96" s="45">
        <f t="shared" si="61"/>
        <v>0</v>
      </c>
      <c r="CU96" s="45">
        <f t="shared" si="61"/>
        <v>0</v>
      </c>
      <c r="CV96" s="45">
        <f t="shared" si="61"/>
        <v>0</v>
      </c>
      <c r="CW96" s="45">
        <f t="shared" si="61"/>
        <v>0</v>
      </c>
      <c r="CX96" s="45">
        <f t="shared" si="61"/>
        <v>0</v>
      </c>
      <c r="CY96" s="45">
        <f t="shared" si="61"/>
        <v>0</v>
      </c>
      <c r="CZ96" s="45">
        <f t="shared" si="61"/>
        <v>0</v>
      </c>
      <c r="DA96" s="45">
        <f t="shared" si="61"/>
        <v>0</v>
      </c>
      <c r="DB96" s="45">
        <f t="shared" si="61"/>
        <v>0</v>
      </c>
      <c r="DC96" s="45">
        <f t="shared" si="61"/>
        <v>0</v>
      </c>
      <c r="DD96" s="45">
        <f t="shared" si="61"/>
        <v>0</v>
      </c>
      <c r="DE96" s="45">
        <f t="shared" si="61"/>
        <v>0</v>
      </c>
      <c r="DF96" s="45">
        <f t="shared" si="61"/>
        <v>0</v>
      </c>
      <c r="DG96" s="45">
        <f t="shared" si="61"/>
        <v>0</v>
      </c>
      <c r="DH96" s="45">
        <f t="shared" si="61"/>
        <v>0</v>
      </c>
      <c r="DI96" s="45">
        <f t="shared" si="61"/>
        <v>0</v>
      </c>
      <c r="DJ96" s="45">
        <f t="shared" si="61"/>
        <v>0</v>
      </c>
      <c r="DK96" s="45">
        <f t="shared" si="61"/>
        <v>0</v>
      </c>
      <c r="DL96" s="45">
        <f t="shared" si="61"/>
        <v>0</v>
      </c>
      <c r="DM96" s="45">
        <f t="shared" si="61"/>
        <v>0</v>
      </c>
      <c r="DN96" s="45">
        <f t="shared" si="61"/>
        <v>0</v>
      </c>
      <c r="DO96" s="45">
        <f t="shared" si="61"/>
        <v>0</v>
      </c>
      <c r="DP96" s="45">
        <f t="shared" si="61"/>
        <v>0</v>
      </c>
      <c r="DQ96" s="45">
        <f t="shared" si="61"/>
        <v>0</v>
      </c>
      <c r="DR96" s="45">
        <f t="shared" si="61"/>
        <v>0</v>
      </c>
      <c r="DS96" s="45">
        <f t="shared" si="61"/>
        <v>0</v>
      </c>
      <c r="DT96" s="45">
        <f t="shared" si="61"/>
        <v>0</v>
      </c>
      <c r="DU96" s="45">
        <f t="shared" si="61"/>
        <v>0</v>
      </c>
      <c r="DV96" s="45">
        <f t="shared" si="61"/>
        <v>0</v>
      </c>
      <c r="DW96" s="45">
        <f t="shared" si="61"/>
        <v>0</v>
      </c>
      <c r="DX96" s="45">
        <f t="shared" si="61"/>
        <v>0</v>
      </c>
      <c r="DY96" s="45">
        <f t="shared" si="61"/>
        <v>0</v>
      </c>
      <c r="DZ96" s="45">
        <f t="shared" si="61"/>
        <v>0</v>
      </c>
      <c r="EA96" s="45">
        <f t="shared" si="61"/>
        <v>0</v>
      </c>
      <c r="EB96" s="45">
        <f t="shared" ref="EB96:GM96" si="62">IF(EB97=0,EB90+EB91,EB97)</f>
        <v>0</v>
      </c>
      <c r="EC96" s="45">
        <f t="shared" si="62"/>
        <v>0</v>
      </c>
      <c r="ED96" s="45">
        <f t="shared" si="62"/>
        <v>0</v>
      </c>
      <c r="EE96" s="45">
        <f t="shared" si="62"/>
        <v>0</v>
      </c>
      <c r="EF96" s="45">
        <f t="shared" si="62"/>
        <v>0</v>
      </c>
      <c r="EG96" s="45">
        <f t="shared" si="62"/>
        <v>0</v>
      </c>
      <c r="EH96" s="45">
        <f t="shared" si="62"/>
        <v>0</v>
      </c>
      <c r="EI96" s="45">
        <f t="shared" si="62"/>
        <v>0</v>
      </c>
      <c r="EJ96" s="45">
        <f t="shared" si="62"/>
        <v>0</v>
      </c>
      <c r="EK96" s="45">
        <f t="shared" si="62"/>
        <v>0</v>
      </c>
      <c r="EL96" s="45">
        <f t="shared" si="62"/>
        <v>0</v>
      </c>
      <c r="EM96" s="45">
        <f t="shared" si="62"/>
        <v>0</v>
      </c>
      <c r="EN96" s="45">
        <f t="shared" si="62"/>
        <v>0</v>
      </c>
      <c r="EO96" s="45">
        <f t="shared" si="62"/>
        <v>0</v>
      </c>
      <c r="EP96" s="45">
        <f t="shared" si="62"/>
        <v>0</v>
      </c>
      <c r="EQ96" s="45">
        <f t="shared" si="62"/>
        <v>0</v>
      </c>
      <c r="ER96" s="45">
        <f t="shared" si="62"/>
        <v>0</v>
      </c>
      <c r="ES96" s="45">
        <f t="shared" si="62"/>
        <v>0</v>
      </c>
      <c r="ET96" s="45">
        <f t="shared" si="62"/>
        <v>0</v>
      </c>
      <c r="EU96" s="45">
        <f t="shared" si="62"/>
        <v>0</v>
      </c>
      <c r="EV96" s="45">
        <f t="shared" si="62"/>
        <v>0</v>
      </c>
      <c r="EW96" s="45">
        <f t="shared" si="62"/>
        <v>0</v>
      </c>
      <c r="EX96" s="45">
        <f t="shared" si="62"/>
        <v>0</v>
      </c>
      <c r="EY96" s="45">
        <f t="shared" si="62"/>
        <v>0</v>
      </c>
      <c r="EZ96" s="45">
        <f t="shared" si="62"/>
        <v>0</v>
      </c>
      <c r="FA96" s="45">
        <f t="shared" si="62"/>
        <v>0</v>
      </c>
      <c r="FB96" s="45">
        <f t="shared" si="62"/>
        <v>0</v>
      </c>
      <c r="FC96" s="45">
        <f t="shared" si="62"/>
        <v>0</v>
      </c>
      <c r="FD96" s="45">
        <f t="shared" si="62"/>
        <v>0</v>
      </c>
      <c r="FE96" s="45">
        <f t="shared" si="62"/>
        <v>0</v>
      </c>
      <c r="FF96" s="45">
        <f t="shared" si="62"/>
        <v>0</v>
      </c>
      <c r="FG96" s="45">
        <f t="shared" si="62"/>
        <v>0</v>
      </c>
      <c r="FH96" s="45">
        <f t="shared" si="62"/>
        <v>0</v>
      </c>
      <c r="FI96" s="45">
        <f t="shared" si="62"/>
        <v>0</v>
      </c>
      <c r="FJ96" s="45">
        <f t="shared" si="62"/>
        <v>0</v>
      </c>
      <c r="FK96" s="45">
        <f t="shared" si="62"/>
        <v>0</v>
      </c>
      <c r="FL96" s="45">
        <f t="shared" si="62"/>
        <v>0</v>
      </c>
      <c r="FM96" s="45">
        <f t="shared" si="62"/>
        <v>0</v>
      </c>
      <c r="FN96" s="45">
        <f t="shared" si="62"/>
        <v>0</v>
      </c>
      <c r="FO96" s="45">
        <f t="shared" si="62"/>
        <v>0</v>
      </c>
      <c r="FP96" s="45">
        <f t="shared" si="62"/>
        <v>0</v>
      </c>
      <c r="FQ96" s="45">
        <f t="shared" si="62"/>
        <v>0</v>
      </c>
      <c r="FR96" s="45">
        <f t="shared" si="62"/>
        <v>0</v>
      </c>
      <c r="FS96" s="45">
        <f t="shared" si="62"/>
        <v>0</v>
      </c>
      <c r="FT96" s="45">
        <f t="shared" si="62"/>
        <v>0</v>
      </c>
      <c r="FU96" s="45">
        <f t="shared" si="62"/>
        <v>0</v>
      </c>
      <c r="FV96" s="45">
        <f t="shared" si="62"/>
        <v>0</v>
      </c>
      <c r="FW96" s="45">
        <f t="shared" si="62"/>
        <v>0</v>
      </c>
      <c r="FX96" s="45">
        <f t="shared" si="62"/>
        <v>0</v>
      </c>
      <c r="FY96" s="45">
        <f t="shared" si="62"/>
        <v>0</v>
      </c>
      <c r="FZ96" s="45">
        <f t="shared" si="62"/>
        <v>0</v>
      </c>
      <c r="GA96" s="45">
        <f t="shared" si="62"/>
        <v>0</v>
      </c>
      <c r="GB96" s="45">
        <f t="shared" si="62"/>
        <v>0</v>
      </c>
      <c r="GC96" s="45">
        <f t="shared" si="62"/>
        <v>0</v>
      </c>
      <c r="GD96" s="45">
        <f t="shared" si="62"/>
        <v>0</v>
      </c>
      <c r="GE96" s="45">
        <f t="shared" si="62"/>
        <v>0</v>
      </c>
      <c r="GF96" s="45">
        <f t="shared" si="62"/>
        <v>0</v>
      </c>
      <c r="GG96" s="45">
        <f t="shared" si="62"/>
        <v>0</v>
      </c>
      <c r="GH96" s="45">
        <f t="shared" si="62"/>
        <v>0</v>
      </c>
      <c r="GI96" s="45">
        <f t="shared" si="62"/>
        <v>0</v>
      </c>
      <c r="GJ96" s="45">
        <f t="shared" si="62"/>
        <v>0</v>
      </c>
      <c r="GK96" s="45">
        <f t="shared" si="62"/>
        <v>0</v>
      </c>
      <c r="GL96" s="45">
        <f t="shared" si="62"/>
        <v>0</v>
      </c>
      <c r="GM96" s="45">
        <f t="shared" si="62"/>
        <v>0</v>
      </c>
      <c r="GN96" s="45">
        <f t="shared" ref="GN96:GT96" si="63">IF(GN97=0,GN90+GN91,GN97)</f>
        <v>0</v>
      </c>
      <c r="GO96" s="45">
        <f t="shared" si="63"/>
        <v>0</v>
      </c>
      <c r="GP96" s="45">
        <f t="shared" si="63"/>
        <v>0</v>
      </c>
      <c r="GQ96" s="45">
        <f t="shared" si="63"/>
        <v>0</v>
      </c>
      <c r="GR96" s="45">
        <f t="shared" si="63"/>
        <v>0</v>
      </c>
      <c r="GS96" s="45">
        <f t="shared" si="63"/>
        <v>0</v>
      </c>
      <c r="GT96" s="45">
        <f t="shared" si="63"/>
        <v>0</v>
      </c>
    </row>
    <row r="97" spans="1:202" s="28" customFormat="1" ht="21">
      <c r="A97" s="41" t="s">
        <v>146</v>
      </c>
      <c r="B97" s="44"/>
      <c r="C97" s="45">
        <f>C98+C99</f>
        <v>0</v>
      </c>
      <c r="D97" s="45">
        <f t="shared" ref="D97:BO97" si="64">D98+D99</f>
        <v>0</v>
      </c>
      <c r="E97" s="45">
        <f t="shared" si="64"/>
        <v>0</v>
      </c>
      <c r="F97" s="45">
        <f t="shared" si="64"/>
        <v>0</v>
      </c>
      <c r="G97" s="45">
        <f t="shared" si="64"/>
        <v>0</v>
      </c>
      <c r="H97" s="45">
        <f t="shared" si="64"/>
        <v>0</v>
      </c>
      <c r="I97" s="45">
        <f t="shared" si="64"/>
        <v>0</v>
      </c>
      <c r="J97" s="45">
        <f t="shared" si="64"/>
        <v>0</v>
      </c>
      <c r="K97" s="45">
        <f t="shared" si="64"/>
        <v>0</v>
      </c>
      <c r="L97" s="45">
        <f t="shared" si="64"/>
        <v>0</v>
      </c>
      <c r="M97" s="45">
        <f t="shared" si="64"/>
        <v>0</v>
      </c>
      <c r="N97" s="45">
        <f t="shared" si="64"/>
        <v>0</v>
      </c>
      <c r="O97" s="45">
        <f t="shared" si="64"/>
        <v>0</v>
      </c>
      <c r="P97" s="45">
        <f t="shared" si="64"/>
        <v>0</v>
      </c>
      <c r="Q97" s="45">
        <f t="shared" si="64"/>
        <v>0</v>
      </c>
      <c r="R97" s="45">
        <f t="shared" si="64"/>
        <v>0</v>
      </c>
      <c r="S97" s="45">
        <f t="shared" si="64"/>
        <v>0</v>
      </c>
      <c r="T97" s="45">
        <f t="shared" si="64"/>
        <v>0</v>
      </c>
      <c r="U97" s="45">
        <f t="shared" si="64"/>
        <v>0</v>
      </c>
      <c r="V97" s="45">
        <f t="shared" si="64"/>
        <v>0</v>
      </c>
      <c r="W97" s="45">
        <f t="shared" si="64"/>
        <v>0</v>
      </c>
      <c r="X97" s="45">
        <f t="shared" si="64"/>
        <v>0</v>
      </c>
      <c r="Y97" s="45">
        <f t="shared" si="64"/>
        <v>0</v>
      </c>
      <c r="Z97" s="45">
        <f t="shared" si="64"/>
        <v>0</v>
      </c>
      <c r="AA97" s="45">
        <f t="shared" si="64"/>
        <v>0</v>
      </c>
      <c r="AB97" s="45">
        <f t="shared" si="64"/>
        <v>0</v>
      </c>
      <c r="AC97" s="45">
        <f t="shared" si="64"/>
        <v>0</v>
      </c>
      <c r="AD97" s="45">
        <f t="shared" si="64"/>
        <v>0</v>
      </c>
      <c r="AE97" s="45">
        <f t="shared" si="64"/>
        <v>0</v>
      </c>
      <c r="AF97" s="45">
        <f t="shared" si="64"/>
        <v>0</v>
      </c>
      <c r="AG97" s="45">
        <f t="shared" si="64"/>
        <v>0</v>
      </c>
      <c r="AH97" s="45">
        <f t="shared" si="64"/>
        <v>0</v>
      </c>
      <c r="AI97" s="45">
        <f t="shared" si="64"/>
        <v>0</v>
      </c>
      <c r="AJ97" s="45">
        <f t="shared" si="64"/>
        <v>0</v>
      </c>
      <c r="AK97" s="45">
        <f t="shared" si="64"/>
        <v>0</v>
      </c>
      <c r="AL97" s="45">
        <f t="shared" si="64"/>
        <v>0</v>
      </c>
      <c r="AM97" s="45">
        <f t="shared" si="64"/>
        <v>0</v>
      </c>
      <c r="AN97" s="45">
        <f t="shared" si="64"/>
        <v>0</v>
      </c>
      <c r="AO97" s="45">
        <f t="shared" si="64"/>
        <v>0</v>
      </c>
      <c r="AP97" s="45">
        <f t="shared" si="64"/>
        <v>0</v>
      </c>
      <c r="AQ97" s="45">
        <f t="shared" si="64"/>
        <v>0</v>
      </c>
      <c r="AR97" s="45">
        <f t="shared" si="64"/>
        <v>0</v>
      </c>
      <c r="AS97" s="45">
        <f t="shared" si="64"/>
        <v>0</v>
      </c>
      <c r="AT97" s="45">
        <f t="shared" si="64"/>
        <v>0</v>
      </c>
      <c r="AU97" s="45">
        <f t="shared" si="64"/>
        <v>0</v>
      </c>
      <c r="AV97" s="45">
        <f t="shared" si="64"/>
        <v>0</v>
      </c>
      <c r="AW97" s="45">
        <f t="shared" si="64"/>
        <v>0</v>
      </c>
      <c r="AX97" s="45">
        <f t="shared" si="64"/>
        <v>0</v>
      </c>
      <c r="AY97" s="45">
        <f t="shared" si="64"/>
        <v>0</v>
      </c>
      <c r="AZ97" s="45">
        <f t="shared" si="64"/>
        <v>0</v>
      </c>
      <c r="BA97" s="45">
        <f t="shared" si="64"/>
        <v>0</v>
      </c>
      <c r="BB97" s="45">
        <f t="shared" si="64"/>
        <v>0</v>
      </c>
      <c r="BC97" s="45">
        <f t="shared" si="64"/>
        <v>0</v>
      </c>
      <c r="BD97" s="45">
        <f t="shared" si="64"/>
        <v>0</v>
      </c>
      <c r="BE97" s="45">
        <f t="shared" si="64"/>
        <v>0</v>
      </c>
      <c r="BF97" s="45">
        <f t="shared" si="64"/>
        <v>0</v>
      </c>
      <c r="BG97" s="45">
        <f t="shared" si="64"/>
        <v>0</v>
      </c>
      <c r="BH97" s="45">
        <f t="shared" si="64"/>
        <v>0</v>
      </c>
      <c r="BI97" s="45">
        <f t="shared" si="64"/>
        <v>0</v>
      </c>
      <c r="BJ97" s="45">
        <f t="shared" si="64"/>
        <v>0</v>
      </c>
      <c r="BK97" s="45">
        <f t="shared" si="64"/>
        <v>0</v>
      </c>
      <c r="BL97" s="45">
        <f t="shared" si="64"/>
        <v>0</v>
      </c>
      <c r="BM97" s="45">
        <f t="shared" si="64"/>
        <v>0</v>
      </c>
      <c r="BN97" s="45">
        <f t="shared" si="64"/>
        <v>0</v>
      </c>
      <c r="BO97" s="45">
        <f t="shared" si="64"/>
        <v>0</v>
      </c>
      <c r="BP97" s="45">
        <f t="shared" ref="BP97:EA97" si="65">BP98+BP99</f>
        <v>0</v>
      </c>
      <c r="BQ97" s="45">
        <f t="shared" si="65"/>
        <v>0</v>
      </c>
      <c r="BR97" s="45">
        <f t="shared" si="65"/>
        <v>0</v>
      </c>
      <c r="BS97" s="45">
        <f t="shared" si="65"/>
        <v>0</v>
      </c>
      <c r="BT97" s="45">
        <f t="shared" si="65"/>
        <v>0</v>
      </c>
      <c r="BU97" s="45">
        <f t="shared" si="65"/>
        <v>0</v>
      </c>
      <c r="BV97" s="45">
        <f t="shared" si="65"/>
        <v>0</v>
      </c>
      <c r="BW97" s="45">
        <f t="shared" si="65"/>
        <v>0</v>
      </c>
      <c r="BX97" s="45">
        <f t="shared" si="65"/>
        <v>0</v>
      </c>
      <c r="BY97" s="45">
        <f t="shared" si="65"/>
        <v>0</v>
      </c>
      <c r="BZ97" s="45">
        <f t="shared" si="65"/>
        <v>0</v>
      </c>
      <c r="CA97" s="45">
        <f t="shared" si="65"/>
        <v>0</v>
      </c>
      <c r="CB97" s="45">
        <f t="shared" si="65"/>
        <v>0</v>
      </c>
      <c r="CC97" s="45">
        <f t="shared" si="65"/>
        <v>0</v>
      </c>
      <c r="CD97" s="45">
        <f t="shared" si="65"/>
        <v>0</v>
      </c>
      <c r="CE97" s="45">
        <f t="shared" si="65"/>
        <v>0</v>
      </c>
      <c r="CF97" s="45">
        <f t="shared" si="65"/>
        <v>0</v>
      </c>
      <c r="CG97" s="45">
        <f t="shared" si="65"/>
        <v>0</v>
      </c>
      <c r="CH97" s="45">
        <f t="shared" si="65"/>
        <v>0</v>
      </c>
      <c r="CI97" s="45">
        <f t="shared" si="65"/>
        <v>0</v>
      </c>
      <c r="CJ97" s="45">
        <f t="shared" si="65"/>
        <v>0</v>
      </c>
      <c r="CK97" s="45">
        <f t="shared" si="65"/>
        <v>0</v>
      </c>
      <c r="CL97" s="45">
        <f t="shared" si="65"/>
        <v>0</v>
      </c>
      <c r="CM97" s="45">
        <f t="shared" si="65"/>
        <v>0</v>
      </c>
      <c r="CN97" s="45">
        <f t="shared" si="65"/>
        <v>0</v>
      </c>
      <c r="CO97" s="45">
        <f t="shared" si="65"/>
        <v>0</v>
      </c>
      <c r="CP97" s="45">
        <f t="shared" si="65"/>
        <v>0</v>
      </c>
      <c r="CQ97" s="45">
        <f t="shared" si="65"/>
        <v>0</v>
      </c>
      <c r="CR97" s="45">
        <f t="shared" si="65"/>
        <v>0</v>
      </c>
      <c r="CS97" s="45">
        <f t="shared" si="65"/>
        <v>0</v>
      </c>
      <c r="CT97" s="45">
        <f t="shared" si="65"/>
        <v>0</v>
      </c>
      <c r="CU97" s="45">
        <f t="shared" si="65"/>
        <v>0</v>
      </c>
      <c r="CV97" s="45">
        <f t="shared" si="65"/>
        <v>0</v>
      </c>
      <c r="CW97" s="45">
        <f t="shared" si="65"/>
        <v>0</v>
      </c>
      <c r="CX97" s="45">
        <f t="shared" si="65"/>
        <v>0</v>
      </c>
      <c r="CY97" s="45">
        <f t="shared" si="65"/>
        <v>0</v>
      </c>
      <c r="CZ97" s="45">
        <f t="shared" si="65"/>
        <v>0</v>
      </c>
      <c r="DA97" s="45">
        <f t="shared" si="65"/>
        <v>0</v>
      </c>
      <c r="DB97" s="45">
        <f t="shared" si="65"/>
        <v>0</v>
      </c>
      <c r="DC97" s="45">
        <f t="shared" si="65"/>
        <v>0</v>
      </c>
      <c r="DD97" s="45">
        <f t="shared" si="65"/>
        <v>0</v>
      </c>
      <c r="DE97" s="45">
        <f t="shared" si="65"/>
        <v>0</v>
      </c>
      <c r="DF97" s="45">
        <f t="shared" si="65"/>
        <v>0</v>
      </c>
      <c r="DG97" s="45">
        <f t="shared" si="65"/>
        <v>0</v>
      </c>
      <c r="DH97" s="45">
        <f t="shared" si="65"/>
        <v>0</v>
      </c>
      <c r="DI97" s="45">
        <f t="shared" si="65"/>
        <v>0</v>
      </c>
      <c r="DJ97" s="45">
        <f t="shared" si="65"/>
        <v>0</v>
      </c>
      <c r="DK97" s="45">
        <f t="shared" si="65"/>
        <v>0</v>
      </c>
      <c r="DL97" s="45">
        <f t="shared" si="65"/>
        <v>0</v>
      </c>
      <c r="DM97" s="45">
        <f t="shared" si="65"/>
        <v>0</v>
      </c>
      <c r="DN97" s="45">
        <f t="shared" si="65"/>
        <v>0</v>
      </c>
      <c r="DO97" s="45">
        <f t="shared" si="65"/>
        <v>0</v>
      </c>
      <c r="DP97" s="45">
        <f t="shared" si="65"/>
        <v>0</v>
      </c>
      <c r="DQ97" s="45">
        <f t="shared" si="65"/>
        <v>0</v>
      </c>
      <c r="DR97" s="45">
        <f t="shared" si="65"/>
        <v>0</v>
      </c>
      <c r="DS97" s="45">
        <f t="shared" si="65"/>
        <v>0</v>
      </c>
      <c r="DT97" s="45">
        <f t="shared" si="65"/>
        <v>0</v>
      </c>
      <c r="DU97" s="45">
        <f t="shared" si="65"/>
        <v>0</v>
      </c>
      <c r="DV97" s="45">
        <f t="shared" si="65"/>
        <v>0</v>
      </c>
      <c r="DW97" s="45">
        <f t="shared" si="65"/>
        <v>0</v>
      </c>
      <c r="DX97" s="45">
        <f t="shared" si="65"/>
        <v>0</v>
      </c>
      <c r="DY97" s="45">
        <f t="shared" si="65"/>
        <v>0</v>
      </c>
      <c r="DZ97" s="45">
        <f t="shared" si="65"/>
        <v>0</v>
      </c>
      <c r="EA97" s="45">
        <f t="shared" si="65"/>
        <v>0</v>
      </c>
      <c r="EB97" s="45">
        <f t="shared" ref="EB97:GM97" si="66">EB98+EB99</f>
        <v>0</v>
      </c>
      <c r="EC97" s="45">
        <f t="shared" si="66"/>
        <v>0</v>
      </c>
      <c r="ED97" s="45">
        <f t="shared" si="66"/>
        <v>0</v>
      </c>
      <c r="EE97" s="45">
        <f t="shared" si="66"/>
        <v>0</v>
      </c>
      <c r="EF97" s="45">
        <f t="shared" si="66"/>
        <v>0</v>
      </c>
      <c r="EG97" s="45">
        <f t="shared" si="66"/>
        <v>0</v>
      </c>
      <c r="EH97" s="45">
        <f t="shared" si="66"/>
        <v>0</v>
      </c>
      <c r="EI97" s="45">
        <f t="shared" si="66"/>
        <v>0</v>
      </c>
      <c r="EJ97" s="45">
        <f t="shared" si="66"/>
        <v>0</v>
      </c>
      <c r="EK97" s="45">
        <f t="shared" si="66"/>
        <v>0</v>
      </c>
      <c r="EL97" s="45">
        <f t="shared" si="66"/>
        <v>0</v>
      </c>
      <c r="EM97" s="45">
        <f t="shared" si="66"/>
        <v>0</v>
      </c>
      <c r="EN97" s="45">
        <f t="shared" si="66"/>
        <v>0</v>
      </c>
      <c r="EO97" s="45">
        <f t="shared" si="66"/>
        <v>0</v>
      </c>
      <c r="EP97" s="45">
        <f t="shared" si="66"/>
        <v>0</v>
      </c>
      <c r="EQ97" s="45">
        <f t="shared" si="66"/>
        <v>0</v>
      </c>
      <c r="ER97" s="45">
        <f t="shared" si="66"/>
        <v>0</v>
      </c>
      <c r="ES97" s="45">
        <f t="shared" si="66"/>
        <v>0</v>
      </c>
      <c r="ET97" s="45">
        <f t="shared" si="66"/>
        <v>0</v>
      </c>
      <c r="EU97" s="45">
        <f t="shared" si="66"/>
        <v>0</v>
      </c>
      <c r="EV97" s="45">
        <f t="shared" si="66"/>
        <v>0</v>
      </c>
      <c r="EW97" s="45">
        <f t="shared" si="66"/>
        <v>0</v>
      </c>
      <c r="EX97" s="45">
        <f t="shared" si="66"/>
        <v>0</v>
      </c>
      <c r="EY97" s="45">
        <f t="shared" si="66"/>
        <v>0</v>
      </c>
      <c r="EZ97" s="45">
        <f t="shared" si="66"/>
        <v>0</v>
      </c>
      <c r="FA97" s="45">
        <f t="shared" si="66"/>
        <v>0</v>
      </c>
      <c r="FB97" s="45">
        <f t="shared" si="66"/>
        <v>0</v>
      </c>
      <c r="FC97" s="45">
        <f t="shared" si="66"/>
        <v>0</v>
      </c>
      <c r="FD97" s="45">
        <f t="shared" si="66"/>
        <v>0</v>
      </c>
      <c r="FE97" s="45">
        <f t="shared" si="66"/>
        <v>0</v>
      </c>
      <c r="FF97" s="45">
        <f t="shared" si="66"/>
        <v>0</v>
      </c>
      <c r="FG97" s="45">
        <f t="shared" si="66"/>
        <v>0</v>
      </c>
      <c r="FH97" s="45">
        <f t="shared" si="66"/>
        <v>0</v>
      </c>
      <c r="FI97" s="45">
        <f t="shared" si="66"/>
        <v>0</v>
      </c>
      <c r="FJ97" s="45">
        <f t="shared" si="66"/>
        <v>0</v>
      </c>
      <c r="FK97" s="45">
        <f t="shared" si="66"/>
        <v>0</v>
      </c>
      <c r="FL97" s="45">
        <f t="shared" si="66"/>
        <v>0</v>
      </c>
      <c r="FM97" s="45">
        <f t="shared" si="66"/>
        <v>0</v>
      </c>
      <c r="FN97" s="45">
        <f t="shared" si="66"/>
        <v>0</v>
      </c>
      <c r="FO97" s="45">
        <f t="shared" si="66"/>
        <v>0</v>
      </c>
      <c r="FP97" s="45">
        <f t="shared" si="66"/>
        <v>0</v>
      </c>
      <c r="FQ97" s="45">
        <f t="shared" si="66"/>
        <v>0</v>
      </c>
      <c r="FR97" s="45">
        <f t="shared" si="66"/>
        <v>0</v>
      </c>
      <c r="FS97" s="45">
        <f t="shared" si="66"/>
        <v>0</v>
      </c>
      <c r="FT97" s="45">
        <f t="shared" si="66"/>
        <v>0</v>
      </c>
      <c r="FU97" s="45">
        <f t="shared" si="66"/>
        <v>0</v>
      </c>
      <c r="FV97" s="45">
        <f t="shared" si="66"/>
        <v>0</v>
      </c>
      <c r="FW97" s="45">
        <f t="shared" si="66"/>
        <v>0</v>
      </c>
      <c r="FX97" s="45">
        <f t="shared" si="66"/>
        <v>0</v>
      </c>
      <c r="FY97" s="45">
        <f t="shared" si="66"/>
        <v>0</v>
      </c>
      <c r="FZ97" s="45">
        <f t="shared" si="66"/>
        <v>0</v>
      </c>
      <c r="GA97" s="45">
        <f t="shared" si="66"/>
        <v>0</v>
      </c>
      <c r="GB97" s="45">
        <f t="shared" si="66"/>
        <v>0</v>
      </c>
      <c r="GC97" s="45">
        <f t="shared" si="66"/>
        <v>0</v>
      </c>
      <c r="GD97" s="45">
        <f t="shared" si="66"/>
        <v>0</v>
      </c>
      <c r="GE97" s="45">
        <f t="shared" si="66"/>
        <v>0</v>
      </c>
      <c r="GF97" s="45">
        <f t="shared" si="66"/>
        <v>0</v>
      </c>
      <c r="GG97" s="45">
        <f t="shared" si="66"/>
        <v>0</v>
      </c>
      <c r="GH97" s="45">
        <f t="shared" si="66"/>
        <v>0</v>
      </c>
      <c r="GI97" s="45">
        <f t="shared" si="66"/>
        <v>0</v>
      </c>
      <c r="GJ97" s="45">
        <f t="shared" si="66"/>
        <v>0</v>
      </c>
      <c r="GK97" s="45">
        <f t="shared" si="66"/>
        <v>0</v>
      </c>
      <c r="GL97" s="45">
        <f t="shared" si="66"/>
        <v>0</v>
      </c>
      <c r="GM97" s="45">
        <f t="shared" si="66"/>
        <v>0</v>
      </c>
      <c r="GN97" s="45">
        <f t="shared" ref="GN97:GT97" si="67">GN98+GN99</f>
        <v>0</v>
      </c>
      <c r="GO97" s="45">
        <f t="shared" si="67"/>
        <v>0</v>
      </c>
      <c r="GP97" s="45">
        <f t="shared" si="67"/>
        <v>0</v>
      </c>
      <c r="GQ97" s="45">
        <f t="shared" si="67"/>
        <v>0</v>
      </c>
      <c r="GR97" s="45">
        <f t="shared" si="67"/>
        <v>0</v>
      </c>
      <c r="GS97" s="45">
        <f t="shared" si="67"/>
        <v>0</v>
      </c>
      <c r="GT97" s="45">
        <f t="shared" si="67"/>
        <v>0</v>
      </c>
    </row>
    <row r="98" spans="1:202" ht="16.5" customHeight="1">
      <c r="A98" s="97" t="s">
        <v>60</v>
      </c>
      <c r="B98" s="92"/>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3"/>
      <c r="CD98" s="93"/>
      <c r="CE98" s="93"/>
      <c r="CF98" s="93"/>
      <c r="CG98" s="93"/>
      <c r="CH98" s="93"/>
      <c r="CI98" s="93"/>
      <c r="CJ98" s="93"/>
      <c r="CK98" s="93"/>
      <c r="CL98" s="93"/>
      <c r="CM98" s="93"/>
      <c r="CN98" s="93"/>
      <c r="CO98" s="93"/>
      <c r="CP98" s="93"/>
      <c r="CQ98" s="93"/>
      <c r="CR98" s="93"/>
      <c r="CS98" s="93"/>
      <c r="CT98" s="93"/>
      <c r="CU98" s="93"/>
      <c r="CV98" s="93"/>
      <c r="CW98" s="93"/>
      <c r="CX98" s="93"/>
      <c r="CY98" s="93"/>
      <c r="CZ98" s="93"/>
      <c r="DA98" s="93"/>
      <c r="DB98" s="93"/>
      <c r="DC98" s="93"/>
      <c r="DD98" s="93"/>
      <c r="DE98" s="93"/>
      <c r="DF98" s="93"/>
      <c r="DG98" s="93"/>
      <c r="DH98" s="93"/>
      <c r="DI98" s="93"/>
      <c r="DJ98" s="93"/>
      <c r="DK98" s="93"/>
      <c r="DL98" s="93"/>
      <c r="DM98" s="93"/>
      <c r="DN98" s="93"/>
      <c r="DO98" s="93"/>
      <c r="DP98" s="93"/>
      <c r="DQ98" s="93"/>
      <c r="DR98" s="93"/>
      <c r="DS98" s="93"/>
      <c r="DT98" s="93"/>
      <c r="DU98" s="93"/>
      <c r="DV98" s="93"/>
      <c r="DW98" s="93"/>
      <c r="DX98" s="93"/>
      <c r="DY98" s="93"/>
      <c r="DZ98" s="93"/>
      <c r="EA98" s="93"/>
      <c r="EB98" s="93"/>
      <c r="EC98" s="93"/>
      <c r="ED98" s="93"/>
      <c r="EE98" s="93"/>
      <c r="EF98" s="93"/>
      <c r="EG98" s="93"/>
      <c r="EH98" s="93"/>
      <c r="EI98" s="93"/>
      <c r="EJ98" s="93"/>
      <c r="EK98" s="93"/>
      <c r="EL98" s="93"/>
      <c r="EM98" s="93"/>
      <c r="EN98" s="93"/>
      <c r="EO98" s="93"/>
      <c r="EP98" s="93"/>
      <c r="EQ98" s="93"/>
      <c r="ER98" s="93"/>
      <c r="ES98" s="93"/>
      <c r="ET98" s="93"/>
      <c r="EU98" s="93"/>
      <c r="EV98" s="93"/>
      <c r="EW98" s="93"/>
      <c r="EX98" s="93"/>
      <c r="EY98" s="93"/>
      <c r="EZ98" s="93"/>
      <c r="FA98" s="93"/>
      <c r="FB98" s="93"/>
      <c r="FC98" s="93"/>
      <c r="FD98" s="93"/>
      <c r="FE98" s="93"/>
      <c r="FF98" s="93"/>
      <c r="FG98" s="93"/>
      <c r="FH98" s="93"/>
      <c r="FI98" s="93"/>
      <c r="FJ98" s="93"/>
      <c r="FK98" s="93"/>
      <c r="FL98" s="93"/>
      <c r="FM98" s="93"/>
      <c r="FN98" s="93"/>
      <c r="FO98" s="93"/>
      <c r="FP98" s="93"/>
      <c r="FQ98" s="93"/>
      <c r="FR98" s="93"/>
      <c r="FS98" s="93"/>
      <c r="FT98" s="93"/>
      <c r="FU98" s="93"/>
      <c r="FV98" s="93"/>
      <c r="FW98" s="93"/>
      <c r="FX98" s="93"/>
      <c r="FY98" s="93"/>
      <c r="FZ98" s="93"/>
      <c r="GA98" s="93"/>
      <c r="GB98" s="93"/>
      <c r="GC98" s="93"/>
      <c r="GD98" s="93"/>
      <c r="GE98" s="93"/>
      <c r="GF98" s="93"/>
      <c r="GG98" s="93"/>
      <c r="GH98" s="93"/>
      <c r="GI98" s="93"/>
      <c r="GJ98" s="93"/>
      <c r="GK98" s="93"/>
      <c r="GL98" s="93"/>
      <c r="GM98" s="93"/>
      <c r="GN98" s="93"/>
      <c r="GO98" s="93"/>
      <c r="GP98" s="93"/>
      <c r="GQ98" s="93"/>
      <c r="GR98" s="93"/>
      <c r="GS98" s="93"/>
      <c r="GT98" s="93"/>
    </row>
    <row r="99" spans="1:202" ht="16.5" customHeight="1">
      <c r="A99" s="96" t="s">
        <v>61</v>
      </c>
      <c r="B99" s="92"/>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c r="CV99" s="93"/>
      <c r="CW99" s="93"/>
      <c r="CX99" s="93"/>
      <c r="CY99" s="93"/>
      <c r="CZ99" s="93"/>
      <c r="DA99" s="93"/>
      <c r="DB99" s="93"/>
      <c r="DC99" s="93"/>
      <c r="DD99" s="93"/>
      <c r="DE99" s="93"/>
      <c r="DF99" s="93"/>
      <c r="DG99" s="93"/>
      <c r="DH99" s="93"/>
      <c r="DI99" s="93"/>
      <c r="DJ99" s="93"/>
      <c r="DK99" s="93"/>
      <c r="DL99" s="93"/>
      <c r="DM99" s="93"/>
      <c r="DN99" s="93"/>
      <c r="DO99" s="93"/>
      <c r="DP99" s="93"/>
      <c r="DQ99" s="93"/>
      <c r="DR99" s="93"/>
      <c r="DS99" s="93"/>
      <c r="DT99" s="93"/>
      <c r="DU99" s="93"/>
      <c r="DV99" s="93"/>
      <c r="DW99" s="93"/>
      <c r="DX99" s="93"/>
      <c r="DY99" s="93"/>
      <c r="DZ99" s="93"/>
      <c r="EA99" s="93"/>
      <c r="EB99" s="93"/>
      <c r="EC99" s="93"/>
      <c r="ED99" s="93"/>
      <c r="EE99" s="93"/>
      <c r="EF99" s="93"/>
      <c r="EG99" s="93"/>
      <c r="EH99" s="93"/>
      <c r="EI99" s="93"/>
      <c r="EJ99" s="93"/>
      <c r="EK99" s="93"/>
      <c r="EL99" s="93"/>
      <c r="EM99" s="93"/>
      <c r="EN99" s="93"/>
      <c r="EO99" s="93"/>
      <c r="EP99" s="93"/>
      <c r="EQ99" s="93"/>
      <c r="ER99" s="93"/>
      <c r="ES99" s="93"/>
      <c r="ET99" s="93"/>
      <c r="EU99" s="93"/>
      <c r="EV99" s="93"/>
      <c r="EW99" s="93"/>
      <c r="EX99" s="93"/>
      <c r="EY99" s="93"/>
      <c r="EZ99" s="93"/>
      <c r="FA99" s="93"/>
      <c r="FB99" s="93"/>
      <c r="FC99" s="93"/>
      <c r="FD99" s="93"/>
      <c r="FE99" s="93"/>
      <c r="FF99" s="93"/>
      <c r="FG99" s="93"/>
      <c r="FH99" s="93"/>
      <c r="FI99" s="93"/>
      <c r="FJ99" s="93"/>
      <c r="FK99" s="93"/>
      <c r="FL99" s="93"/>
      <c r="FM99" s="93"/>
      <c r="FN99" s="93"/>
      <c r="FO99" s="93"/>
      <c r="FP99" s="93"/>
      <c r="FQ99" s="93"/>
      <c r="FR99" s="93"/>
      <c r="FS99" s="93"/>
      <c r="FT99" s="93"/>
      <c r="FU99" s="93"/>
      <c r="FV99" s="93"/>
      <c r="FW99" s="93"/>
      <c r="FX99" s="93"/>
      <c r="FY99" s="93"/>
      <c r="FZ99" s="93"/>
      <c r="GA99" s="93"/>
      <c r="GB99" s="93"/>
      <c r="GC99" s="93"/>
      <c r="GD99" s="93"/>
      <c r="GE99" s="93"/>
      <c r="GF99" s="93"/>
      <c r="GG99" s="93"/>
      <c r="GH99" s="93"/>
      <c r="GI99" s="93"/>
      <c r="GJ99" s="93"/>
      <c r="GK99" s="93"/>
      <c r="GL99" s="93"/>
      <c r="GM99" s="93"/>
      <c r="GN99" s="93"/>
      <c r="GO99" s="93"/>
      <c r="GP99" s="93"/>
      <c r="GQ99" s="93"/>
      <c r="GR99" s="93"/>
      <c r="GS99" s="93"/>
      <c r="GT99" s="93"/>
    </row>
    <row r="100" spans="1:202" s="28" customFormat="1" ht="21">
      <c r="A100" s="41" t="s">
        <v>36</v>
      </c>
      <c r="B100" s="44"/>
      <c r="C100" s="45">
        <f>-SUMIFS(C101:C108,$A$101:$A$108,"&lt;&gt;Прочие доходы")+SUMIFS(C101:C108,$A$101:$A$108,"Прочие доходы")</f>
        <v>0</v>
      </c>
      <c r="D100" s="45">
        <f t="shared" ref="D100:BO100" si="68">-SUMIFS(D101:D108,$A$101:$A$108,"&lt;&gt;Прочие доходы")+SUMIFS(D101:D108,$A$101:$A$108,"Прочие доходы")</f>
        <v>0</v>
      </c>
      <c r="E100" s="45">
        <f t="shared" si="68"/>
        <v>0</v>
      </c>
      <c r="F100" s="45">
        <f t="shared" si="68"/>
        <v>0</v>
      </c>
      <c r="G100" s="45">
        <f t="shared" si="68"/>
        <v>0</v>
      </c>
      <c r="H100" s="45">
        <f>-SUMIFS(H101:H108,$A$101:$A$108,"&lt;&gt;Прочие доходы")+SUMIFS(H101:H108,$A$101:$A$108,"Прочие доходы")</f>
        <v>0</v>
      </c>
      <c r="I100" s="45">
        <f t="shared" si="68"/>
        <v>0</v>
      </c>
      <c r="J100" s="45">
        <f t="shared" si="68"/>
        <v>0</v>
      </c>
      <c r="K100" s="45">
        <f t="shared" si="68"/>
        <v>0</v>
      </c>
      <c r="L100" s="45">
        <f t="shared" si="68"/>
        <v>0</v>
      </c>
      <c r="M100" s="45">
        <f t="shared" si="68"/>
        <v>0</v>
      </c>
      <c r="N100" s="45">
        <f t="shared" si="68"/>
        <v>0</v>
      </c>
      <c r="O100" s="45">
        <f t="shared" si="68"/>
        <v>0</v>
      </c>
      <c r="P100" s="45">
        <f t="shared" si="68"/>
        <v>0</v>
      </c>
      <c r="Q100" s="45">
        <f t="shared" si="68"/>
        <v>0</v>
      </c>
      <c r="R100" s="45">
        <f t="shared" si="68"/>
        <v>0</v>
      </c>
      <c r="S100" s="45">
        <f t="shared" si="68"/>
        <v>0</v>
      </c>
      <c r="T100" s="45">
        <f t="shared" si="68"/>
        <v>0</v>
      </c>
      <c r="U100" s="45">
        <f t="shared" si="68"/>
        <v>0</v>
      </c>
      <c r="V100" s="45">
        <f t="shared" si="68"/>
        <v>0</v>
      </c>
      <c r="W100" s="45">
        <f t="shared" si="68"/>
        <v>0</v>
      </c>
      <c r="X100" s="45">
        <f t="shared" si="68"/>
        <v>0</v>
      </c>
      <c r="Y100" s="45">
        <f t="shared" si="68"/>
        <v>0</v>
      </c>
      <c r="Z100" s="45">
        <f t="shared" si="68"/>
        <v>0</v>
      </c>
      <c r="AA100" s="45">
        <f t="shared" si="68"/>
        <v>0</v>
      </c>
      <c r="AB100" s="45">
        <f t="shared" si="68"/>
        <v>0</v>
      </c>
      <c r="AC100" s="45">
        <f t="shared" si="68"/>
        <v>0</v>
      </c>
      <c r="AD100" s="45">
        <f t="shared" si="68"/>
        <v>0</v>
      </c>
      <c r="AE100" s="45">
        <f t="shared" si="68"/>
        <v>0</v>
      </c>
      <c r="AF100" s="45">
        <f t="shared" si="68"/>
        <v>0</v>
      </c>
      <c r="AG100" s="45">
        <f t="shared" si="68"/>
        <v>0</v>
      </c>
      <c r="AH100" s="45">
        <f t="shared" si="68"/>
        <v>0</v>
      </c>
      <c r="AI100" s="45">
        <f t="shared" si="68"/>
        <v>0</v>
      </c>
      <c r="AJ100" s="45">
        <f t="shared" si="68"/>
        <v>0</v>
      </c>
      <c r="AK100" s="45">
        <f t="shared" si="68"/>
        <v>0</v>
      </c>
      <c r="AL100" s="45">
        <f t="shared" si="68"/>
        <v>0</v>
      </c>
      <c r="AM100" s="45">
        <f t="shared" si="68"/>
        <v>0</v>
      </c>
      <c r="AN100" s="45">
        <f t="shared" si="68"/>
        <v>0</v>
      </c>
      <c r="AO100" s="45">
        <f t="shared" si="68"/>
        <v>0</v>
      </c>
      <c r="AP100" s="45">
        <f t="shared" si="68"/>
        <v>0</v>
      </c>
      <c r="AQ100" s="45">
        <f t="shared" si="68"/>
        <v>0</v>
      </c>
      <c r="AR100" s="45">
        <f t="shared" si="68"/>
        <v>0</v>
      </c>
      <c r="AS100" s="45">
        <f t="shared" si="68"/>
        <v>0</v>
      </c>
      <c r="AT100" s="45">
        <f t="shared" si="68"/>
        <v>0</v>
      </c>
      <c r="AU100" s="45">
        <f t="shared" si="68"/>
        <v>0</v>
      </c>
      <c r="AV100" s="45">
        <f t="shared" si="68"/>
        <v>0</v>
      </c>
      <c r="AW100" s="45">
        <f t="shared" si="68"/>
        <v>0</v>
      </c>
      <c r="AX100" s="45">
        <f t="shared" si="68"/>
        <v>0</v>
      </c>
      <c r="AY100" s="45">
        <f t="shared" si="68"/>
        <v>0</v>
      </c>
      <c r="AZ100" s="45">
        <f t="shared" si="68"/>
        <v>0</v>
      </c>
      <c r="BA100" s="45">
        <f t="shared" si="68"/>
        <v>0</v>
      </c>
      <c r="BB100" s="45">
        <f t="shared" si="68"/>
        <v>0</v>
      </c>
      <c r="BC100" s="45">
        <f t="shared" si="68"/>
        <v>0</v>
      </c>
      <c r="BD100" s="45">
        <f t="shared" si="68"/>
        <v>0</v>
      </c>
      <c r="BE100" s="45">
        <f t="shared" si="68"/>
        <v>0</v>
      </c>
      <c r="BF100" s="45">
        <f t="shared" si="68"/>
        <v>0</v>
      </c>
      <c r="BG100" s="45">
        <f t="shared" si="68"/>
        <v>0</v>
      </c>
      <c r="BH100" s="45">
        <f t="shared" si="68"/>
        <v>0</v>
      </c>
      <c r="BI100" s="45">
        <f t="shared" si="68"/>
        <v>0</v>
      </c>
      <c r="BJ100" s="45">
        <f t="shared" si="68"/>
        <v>0</v>
      </c>
      <c r="BK100" s="45">
        <f t="shared" si="68"/>
        <v>0</v>
      </c>
      <c r="BL100" s="45">
        <f t="shared" si="68"/>
        <v>0</v>
      </c>
      <c r="BM100" s="45">
        <f t="shared" si="68"/>
        <v>0</v>
      </c>
      <c r="BN100" s="45">
        <f t="shared" si="68"/>
        <v>0</v>
      </c>
      <c r="BO100" s="45">
        <f t="shared" si="68"/>
        <v>0</v>
      </c>
      <c r="BP100" s="45">
        <f t="shared" ref="BP100:EA100" si="69">-SUMIFS(BP101:BP108,$A$101:$A$108,"&lt;&gt;Прочие доходы")+SUMIFS(BP101:BP108,$A$101:$A$108,"Прочие доходы")</f>
        <v>0</v>
      </c>
      <c r="BQ100" s="45">
        <f t="shared" si="69"/>
        <v>0</v>
      </c>
      <c r="BR100" s="45">
        <f t="shared" si="69"/>
        <v>0</v>
      </c>
      <c r="BS100" s="45">
        <f t="shared" si="69"/>
        <v>0</v>
      </c>
      <c r="BT100" s="45">
        <f t="shared" si="69"/>
        <v>0</v>
      </c>
      <c r="BU100" s="45">
        <f t="shared" si="69"/>
        <v>0</v>
      </c>
      <c r="BV100" s="45">
        <f t="shared" si="69"/>
        <v>0</v>
      </c>
      <c r="BW100" s="45">
        <f t="shared" si="69"/>
        <v>0</v>
      </c>
      <c r="BX100" s="45">
        <f t="shared" si="69"/>
        <v>0</v>
      </c>
      <c r="BY100" s="45">
        <f t="shared" si="69"/>
        <v>0</v>
      </c>
      <c r="BZ100" s="45">
        <f t="shared" si="69"/>
        <v>0</v>
      </c>
      <c r="CA100" s="45">
        <f t="shared" si="69"/>
        <v>0</v>
      </c>
      <c r="CB100" s="45">
        <f t="shared" si="69"/>
        <v>0</v>
      </c>
      <c r="CC100" s="45">
        <f t="shared" si="69"/>
        <v>0</v>
      </c>
      <c r="CD100" s="45">
        <f t="shared" si="69"/>
        <v>0</v>
      </c>
      <c r="CE100" s="45">
        <f t="shared" si="69"/>
        <v>0</v>
      </c>
      <c r="CF100" s="45">
        <f t="shared" si="69"/>
        <v>0</v>
      </c>
      <c r="CG100" s="45">
        <f t="shared" si="69"/>
        <v>0</v>
      </c>
      <c r="CH100" s="45">
        <f t="shared" si="69"/>
        <v>0</v>
      </c>
      <c r="CI100" s="45">
        <f t="shared" si="69"/>
        <v>0</v>
      </c>
      <c r="CJ100" s="45">
        <f t="shared" si="69"/>
        <v>0</v>
      </c>
      <c r="CK100" s="45">
        <f t="shared" si="69"/>
        <v>0</v>
      </c>
      <c r="CL100" s="45">
        <f t="shared" si="69"/>
        <v>0</v>
      </c>
      <c r="CM100" s="45">
        <f t="shared" si="69"/>
        <v>0</v>
      </c>
      <c r="CN100" s="45">
        <f t="shared" si="69"/>
        <v>0</v>
      </c>
      <c r="CO100" s="45">
        <f t="shared" si="69"/>
        <v>0</v>
      </c>
      <c r="CP100" s="45">
        <f t="shared" si="69"/>
        <v>0</v>
      </c>
      <c r="CQ100" s="45">
        <f t="shared" si="69"/>
        <v>0</v>
      </c>
      <c r="CR100" s="45">
        <f t="shared" si="69"/>
        <v>0</v>
      </c>
      <c r="CS100" s="45">
        <f t="shared" si="69"/>
        <v>0</v>
      </c>
      <c r="CT100" s="45">
        <f t="shared" si="69"/>
        <v>0</v>
      </c>
      <c r="CU100" s="45">
        <f t="shared" si="69"/>
        <v>0</v>
      </c>
      <c r="CV100" s="45">
        <f t="shared" si="69"/>
        <v>0</v>
      </c>
      <c r="CW100" s="45">
        <f t="shared" si="69"/>
        <v>0</v>
      </c>
      <c r="CX100" s="45">
        <f t="shared" si="69"/>
        <v>0</v>
      </c>
      <c r="CY100" s="45">
        <f t="shared" si="69"/>
        <v>0</v>
      </c>
      <c r="CZ100" s="45">
        <f t="shared" si="69"/>
        <v>0</v>
      </c>
      <c r="DA100" s="45">
        <f t="shared" si="69"/>
        <v>0</v>
      </c>
      <c r="DB100" s="45">
        <f t="shared" si="69"/>
        <v>0</v>
      </c>
      <c r="DC100" s="45">
        <f t="shared" si="69"/>
        <v>0</v>
      </c>
      <c r="DD100" s="45">
        <f t="shared" si="69"/>
        <v>0</v>
      </c>
      <c r="DE100" s="45">
        <f t="shared" si="69"/>
        <v>0</v>
      </c>
      <c r="DF100" s="45">
        <f t="shared" si="69"/>
        <v>0</v>
      </c>
      <c r="DG100" s="45">
        <f t="shared" si="69"/>
        <v>0</v>
      </c>
      <c r="DH100" s="45">
        <f t="shared" si="69"/>
        <v>0</v>
      </c>
      <c r="DI100" s="45">
        <f t="shared" si="69"/>
        <v>0</v>
      </c>
      <c r="DJ100" s="45">
        <f t="shared" si="69"/>
        <v>0</v>
      </c>
      <c r="DK100" s="45">
        <f t="shared" si="69"/>
        <v>0</v>
      </c>
      <c r="DL100" s="45">
        <f t="shared" si="69"/>
        <v>0</v>
      </c>
      <c r="DM100" s="45">
        <f t="shared" si="69"/>
        <v>0</v>
      </c>
      <c r="DN100" s="45">
        <f t="shared" si="69"/>
        <v>0</v>
      </c>
      <c r="DO100" s="45">
        <f t="shared" si="69"/>
        <v>0</v>
      </c>
      <c r="DP100" s="45">
        <f t="shared" si="69"/>
        <v>0</v>
      </c>
      <c r="DQ100" s="45">
        <f t="shared" si="69"/>
        <v>0</v>
      </c>
      <c r="DR100" s="45">
        <f t="shared" si="69"/>
        <v>0</v>
      </c>
      <c r="DS100" s="45">
        <f t="shared" si="69"/>
        <v>0</v>
      </c>
      <c r="DT100" s="45">
        <f t="shared" si="69"/>
        <v>0</v>
      </c>
      <c r="DU100" s="45">
        <f t="shared" si="69"/>
        <v>0</v>
      </c>
      <c r="DV100" s="45">
        <f t="shared" si="69"/>
        <v>0</v>
      </c>
      <c r="DW100" s="45">
        <f t="shared" si="69"/>
        <v>0</v>
      </c>
      <c r="DX100" s="45">
        <f t="shared" si="69"/>
        <v>0</v>
      </c>
      <c r="DY100" s="45">
        <f t="shared" si="69"/>
        <v>0</v>
      </c>
      <c r="DZ100" s="45">
        <f t="shared" si="69"/>
        <v>0</v>
      </c>
      <c r="EA100" s="45">
        <f t="shared" si="69"/>
        <v>0</v>
      </c>
      <c r="EB100" s="45">
        <f t="shared" ref="EB100:GM100" si="70">-SUMIFS(EB101:EB108,$A$101:$A$108,"&lt;&gt;Прочие доходы")+SUMIFS(EB101:EB108,$A$101:$A$108,"Прочие доходы")</f>
        <v>0</v>
      </c>
      <c r="EC100" s="45">
        <f t="shared" si="70"/>
        <v>0</v>
      </c>
      <c r="ED100" s="45">
        <f t="shared" si="70"/>
        <v>0</v>
      </c>
      <c r="EE100" s="45">
        <f t="shared" si="70"/>
        <v>0</v>
      </c>
      <c r="EF100" s="45">
        <f t="shared" si="70"/>
        <v>0</v>
      </c>
      <c r="EG100" s="45">
        <f t="shared" si="70"/>
        <v>0</v>
      </c>
      <c r="EH100" s="45">
        <f t="shared" si="70"/>
        <v>0</v>
      </c>
      <c r="EI100" s="45">
        <f t="shared" si="70"/>
        <v>0</v>
      </c>
      <c r="EJ100" s="45">
        <f t="shared" si="70"/>
        <v>0</v>
      </c>
      <c r="EK100" s="45">
        <f t="shared" si="70"/>
        <v>0</v>
      </c>
      <c r="EL100" s="45">
        <f t="shared" si="70"/>
        <v>0</v>
      </c>
      <c r="EM100" s="45">
        <f t="shared" si="70"/>
        <v>0</v>
      </c>
      <c r="EN100" s="45">
        <f t="shared" si="70"/>
        <v>0</v>
      </c>
      <c r="EO100" s="45">
        <f t="shared" si="70"/>
        <v>0</v>
      </c>
      <c r="EP100" s="45">
        <f t="shared" si="70"/>
        <v>0</v>
      </c>
      <c r="EQ100" s="45">
        <f t="shared" si="70"/>
        <v>0</v>
      </c>
      <c r="ER100" s="45">
        <f t="shared" si="70"/>
        <v>0</v>
      </c>
      <c r="ES100" s="45">
        <f t="shared" si="70"/>
        <v>0</v>
      </c>
      <c r="ET100" s="45">
        <f t="shared" si="70"/>
        <v>0</v>
      </c>
      <c r="EU100" s="45">
        <f t="shared" si="70"/>
        <v>0</v>
      </c>
      <c r="EV100" s="45">
        <f t="shared" si="70"/>
        <v>0</v>
      </c>
      <c r="EW100" s="45">
        <f t="shared" si="70"/>
        <v>0</v>
      </c>
      <c r="EX100" s="45">
        <f t="shared" si="70"/>
        <v>0</v>
      </c>
      <c r="EY100" s="45">
        <f t="shared" si="70"/>
        <v>0</v>
      </c>
      <c r="EZ100" s="45">
        <f t="shared" si="70"/>
        <v>0</v>
      </c>
      <c r="FA100" s="45">
        <f t="shared" si="70"/>
        <v>0</v>
      </c>
      <c r="FB100" s="45">
        <f t="shared" si="70"/>
        <v>0</v>
      </c>
      <c r="FC100" s="45">
        <f t="shared" si="70"/>
        <v>0</v>
      </c>
      <c r="FD100" s="45">
        <f t="shared" si="70"/>
        <v>0</v>
      </c>
      <c r="FE100" s="45">
        <f t="shared" si="70"/>
        <v>0</v>
      </c>
      <c r="FF100" s="45">
        <f t="shared" si="70"/>
        <v>0</v>
      </c>
      <c r="FG100" s="45">
        <f t="shared" si="70"/>
        <v>0</v>
      </c>
      <c r="FH100" s="45">
        <f t="shared" si="70"/>
        <v>0</v>
      </c>
      <c r="FI100" s="45">
        <f t="shared" si="70"/>
        <v>0</v>
      </c>
      <c r="FJ100" s="45">
        <f t="shared" si="70"/>
        <v>0</v>
      </c>
      <c r="FK100" s="45">
        <f t="shared" si="70"/>
        <v>0</v>
      </c>
      <c r="FL100" s="45">
        <f t="shared" si="70"/>
        <v>0</v>
      </c>
      <c r="FM100" s="45">
        <f t="shared" si="70"/>
        <v>0</v>
      </c>
      <c r="FN100" s="45">
        <f t="shared" si="70"/>
        <v>0</v>
      </c>
      <c r="FO100" s="45">
        <f t="shared" si="70"/>
        <v>0</v>
      </c>
      <c r="FP100" s="45">
        <f t="shared" si="70"/>
        <v>0</v>
      </c>
      <c r="FQ100" s="45">
        <f t="shared" si="70"/>
        <v>0</v>
      </c>
      <c r="FR100" s="45">
        <f t="shared" si="70"/>
        <v>0</v>
      </c>
      <c r="FS100" s="45">
        <f t="shared" si="70"/>
        <v>0</v>
      </c>
      <c r="FT100" s="45">
        <f t="shared" si="70"/>
        <v>0</v>
      </c>
      <c r="FU100" s="45">
        <f t="shared" si="70"/>
        <v>0</v>
      </c>
      <c r="FV100" s="45">
        <f t="shared" si="70"/>
        <v>0</v>
      </c>
      <c r="FW100" s="45">
        <f t="shared" si="70"/>
        <v>0</v>
      </c>
      <c r="FX100" s="45">
        <f t="shared" si="70"/>
        <v>0</v>
      </c>
      <c r="FY100" s="45">
        <f t="shared" si="70"/>
        <v>0</v>
      </c>
      <c r="FZ100" s="45">
        <f t="shared" si="70"/>
        <v>0</v>
      </c>
      <c r="GA100" s="45">
        <f t="shared" si="70"/>
        <v>0</v>
      </c>
      <c r="GB100" s="45">
        <f t="shared" si="70"/>
        <v>0</v>
      </c>
      <c r="GC100" s="45">
        <f t="shared" si="70"/>
        <v>0</v>
      </c>
      <c r="GD100" s="45">
        <f t="shared" si="70"/>
        <v>0</v>
      </c>
      <c r="GE100" s="45">
        <f t="shared" si="70"/>
        <v>0</v>
      </c>
      <c r="GF100" s="45">
        <f t="shared" si="70"/>
        <v>0</v>
      </c>
      <c r="GG100" s="45">
        <f t="shared" si="70"/>
        <v>0</v>
      </c>
      <c r="GH100" s="45">
        <f t="shared" si="70"/>
        <v>0</v>
      </c>
      <c r="GI100" s="45">
        <f t="shared" si="70"/>
        <v>0</v>
      </c>
      <c r="GJ100" s="45">
        <f t="shared" si="70"/>
        <v>0</v>
      </c>
      <c r="GK100" s="45">
        <f t="shared" si="70"/>
        <v>0</v>
      </c>
      <c r="GL100" s="45">
        <f t="shared" si="70"/>
        <v>0</v>
      </c>
      <c r="GM100" s="45">
        <f t="shared" si="70"/>
        <v>0</v>
      </c>
      <c r="GN100" s="45">
        <f t="shared" ref="GN100:GT100" si="71">-SUMIFS(GN101:GN108,$A$101:$A$108,"&lt;&gt;Прочие доходы")+SUMIFS(GN101:GN108,$A$101:$A$108,"Прочие доходы")</f>
        <v>0</v>
      </c>
      <c r="GO100" s="45">
        <f t="shared" si="71"/>
        <v>0</v>
      </c>
      <c r="GP100" s="45">
        <f t="shared" si="71"/>
        <v>0</v>
      </c>
      <c r="GQ100" s="45">
        <f t="shared" si="71"/>
        <v>0</v>
      </c>
      <c r="GR100" s="45">
        <f t="shared" si="71"/>
        <v>0</v>
      </c>
      <c r="GS100" s="45">
        <f t="shared" si="71"/>
        <v>0</v>
      </c>
      <c r="GT100" s="45">
        <f t="shared" si="71"/>
        <v>0</v>
      </c>
    </row>
    <row r="101" spans="1:202" ht="16.5" customHeight="1">
      <c r="A101" s="42" t="str">
        <f>'Как есть'!A101</f>
        <v>ФОТ штатного персонала</v>
      </c>
      <c r="B101" s="92"/>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c r="CV101" s="93"/>
      <c r="CW101" s="93"/>
      <c r="CX101" s="93"/>
      <c r="CY101" s="93"/>
      <c r="CZ101" s="93"/>
      <c r="DA101" s="93"/>
      <c r="DB101" s="93"/>
      <c r="DC101" s="93"/>
      <c r="DD101" s="93"/>
      <c r="DE101" s="93"/>
      <c r="DF101" s="93"/>
      <c r="DG101" s="93"/>
      <c r="DH101" s="93"/>
      <c r="DI101" s="93"/>
      <c r="DJ101" s="93"/>
      <c r="DK101" s="93"/>
      <c r="DL101" s="93"/>
      <c r="DM101" s="93"/>
      <c r="DN101" s="93"/>
      <c r="DO101" s="93"/>
      <c r="DP101" s="93"/>
      <c r="DQ101" s="93"/>
      <c r="DR101" s="93"/>
      <c r="DS101" s="93"/>
      <c r="DT101" s="93"/>
      <c r="DU101" s="93"/>
      <c r="DV101" s="93"/>
      <c r="DW101" s="93"/>
      <c r="DX101" s="93"/>
      <c r="DY101" s="93"/>
      <c r="DZ101" s="93"/>
      <c r="EA101" s="93"/>
      <c r="EB101" s="93"/>
      <c r="EC101" s="93"/>
      <c r="ED101" s="93"/>
      <c r="EE101" s="93"/>
      <c r="EF101" s="93"/>
      <c r="EG101" s="93"/>
      <c r="EH101" s="93"/>
      <c r="EI101" s="93"/>
      <c r="EJ101" s="93"/>
      <c r="EK101" s="93"/>
      <c r="EL101" s="93"/>
      <c r="EM101" s="93"/>
      <c r="EN101" s="93"/>
      <c r="EO101" s="93"/>
      <c r="EP101" s="93"/>
      <c r="EQ101" s="93"/>
      <c r="ER101" s="93"/>
      <c r="ES101" s="93"/>
      <c r="ET101" s="93"/>
      <c r="EU101" s="93"/>
      <c r="EV101" s="93"/>
      <c r="EW101" s="93"/>
      <c r="EX101" s="93"/>
      <c r="EY101" s="93"/>
      <c r="EZ101" s="93"/>
      <c r="FA101" s="93"/>
      <c r="FB101" s="93"/>
      <c r="FC101" s="93"/>
      <c r="FD101" s="93"/>
      <c r="FE101" s="93"/>
      <c r="FF101" s="93"/>
      <c r="FG101" s="93"/>
      <c r="FH101" s="93"/>
      <c r="FI101" s="93"/>
      <c r="FJ101" s="93"/>
      <c r="FK101" s="93"/>
      <c r="FL101" s="93"/>
      <c r="FM101" s="93"/>
      <c r="FN101" s="93"/>
      <c r="FO101" s="93"/>
      <c r="FP101" s="93"/>
      <c r="FQ101" s="93"/>
      <c r="FR101" s="93"/>
      <c r="FS101" s="93"/>
      <c r="FT101" s="93"/>
      <c r="FU101" s="93"/>
      <c r="FV101" s="93"/>
      <c r="FW101" s="93"/>
      <c r="FX101" s="93"/>
      <c r="FY101" s="93"/>
      <c r="FZ101" s="93"/>
      <c r="GA101" s="93"/>
      <c r="GB101" s="93"/>
      <c r="GC101" s="93"/>
      <c r="GD101" s="93"/>
      <c r="GE101" s="93"/>
      <c r="GF101" s="93"/>
      <c r="GG101" s="93"/>
      <c r="GH101" s="93"/>
      <c r="GI101" s="93"/>
      <c r="GJ101" s="93"/>
      <c r="GK101" s="93"/>
      <c r="GL101" s="93"/>
      <c r="GM101" s="93"/>
      <c r="GN101" s="93"/>
      <c r="GO101" s="93"/>
      <c r="GP101" s="93"/>
      <c r="GQ101" s="93"/>
      <c r="GR101" s="93"/>
      <c r="GS101" s="93"/>
      <c r="GT101" s="93"/>
    </row>
    <row r="102" spans="1:202" ht="16.5" customHeight="1">
      <c r="A102" s="42" t="str">
        <f>'Как есть'!A102</f>
        <v>Расходы на аутстаф</v>
      </c>
      <c r="B102" s="92"/>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c r="BO102" s="93"/>
      <c r="BP102" s="93"/>
      <c r="BQ102" s="93"/>
      <c r="BR102" s="93"/>
      <c r="BS102" s="93"/>
      <c r="BT102" s="93"/>
      <c r="BU102" s="93"/>
      <c r="BV102" s="93"/>
      <c r="BW102" s="93"/>
      <c r="BX102" s="93"/>
      <c r="BY102" s="93"/>
      <c r="BZ102" s="93"/>
      <c r="CA102" s="93"/>
      <c r="CB102" s="93"/>
      <c r="CC102" s="93"/>
      <c r="CD102" s="93"/>
      <c r="CE102" s="93"/>
      <c r="CF102" s="93"/>
      <c r="CG102" s="93"/>
      <c r="CH102" s="93"/>
      <c r="CI102" s="93"/>
      <c r="CJ102" s="93"/>
      <c r="CK102" s="93"/>
      <c r="CL102" s="93"/>
      <c r="CM102" s="93"/>
      <c r="CN102" s="93"/>
      <c r="CO102" s="93"/>
      <c r="CP102" s="93"/>
      <c r="CQ102" s="93"/>
      <c r="CR102" s="93"/>
      <c r="CS102" s="93"/>
      <c r="CT102" s="93"/>
      <c r="CU102" s="93"/>
      <c r="CV102" s="93"/>
      <c r="CW102" s="93"/>
      <c r="CX102" s="93"/>
      <c r="CY102" s="93"/>
      <c r="CZ102" s="93"/>
      <c r="DA102" s="93"/>
      <c r="DB102" s="93"/>
      <c r="DC102" s="93"/>
      <c r="DD102" s="93"/>
      <c r="DE102" s="93"/>
      <c r="DF102" s="93"/>
      <c r="DG102" s="93"/>
      <c r="DH102" s="93"/>
      <c r="DI102" s="93"/>
      <c r="DJ102" s="93"/>
      <c r="DK102" s="93"/>
      <c r="DL102" s="93"/>
      <c r="DM102" s="93"/>
      <c r="DN102" s="93"/>
      <c r="DO102" s="93"/>
      <c r="DP102" s="93"/>
      <c r="DQ102" s="93"/>
      <c r="DR102" s="93"/>
      <c r="DS102" s="93"/>
      <c r="DT102" s="93"/>
      <c r="DU102" s="93"/>
      <c r="DV102" s="93"/>
      <c r="DW102" s="93"/>
      <c r="DX102" s="93"/>
      <c r="DY102" s="93"/>
      <c r="DZ102" s="93"/>
      <c r="EA102" s="93"/>
      <c r="EB102" s="93"/>
      <c r="EC102" s="93"/>
      <c r="ED102" s="93"/>
      <c r="EE102" s="93"/>
      <c r="EF102" s="93"/>
      <c r="EG102" s="93"/>
      <c r="EH102" s="93"/>
      <c r="EI102" s="93"/>
      <c r="EJ102" s="93"/>
      <c r="EK102" s="93"/>
      <c r="EL102" s="93"/>
      <c r="EM102" s="93"/>
      <c r="EN102" s="93"/>
      <c r="EO102" s="93"/>
      <c r="EP102" s="93"/>
      <c r="EQ102" s="93"/>
      <c r="ER102" s="93"/>
      <c r="ES102" s="93"/>
      <c r="ET102" s="93"/>
      <c r="EU102" s="93"/>
      <c r="EV102" s="93"/>
      <c r="EW102" s="93"/>
      <c r="EX102" s="93"/>
      <c r="EY102" s="93"/>
      <c r="EZ102" s="93"/>
      <c r="FA102" s="93"/>
      <c r="FB102" s="93"/>
      <c r="FC102" s="93"/>
      <c r="FD102" s="93"/>
      <c r="FE102" s="93"/>
      <c r="FF102" s="93"/>
      <c r="FG102" s="93"/>
      <c r="FH102" s="93"/>
      <c r="FI102" s="93"/>
      <c r="FJ102" s="93"/>
      <c r="FK102" s="93"/>
      <c r="FL102" s="93"/>
      <c r="FM102" s="93"/>
      <c r="FN102" s="93"/>
      <c r="FO102" s="93"/>
      <c r="FP102" s="93"/>
      <c r="FQ102" s="93"/>
      <c r="FR102" s="93"/>
      <c r="FS102" s="93"/>
      <c r="FT102" s="93"/>
      <c r="FU102" s="93"/>
      <c r="FV102" s="93"/>
      <c r="FW102" s="93"/>
      <c r="FX102" s="93"/>
      <c r="FY102" s="93"/>
      <c r="FZ102" s="93"/>
      <c r="GA102" s="93"/>
      <c r="GB102" s="93"/>
      <c r="GC102" s="93"/>
      <c r="GD102" s="93"/>
      <c r="GE102" s="93"/>
      <c r="GF102" s="93"/>
      <c r="GG102" s="93"/>
      <c r="GH102" s="93"/>
      <c r="GI102" s="93"/>
      <c r="GJ102" s="93"/>
      <c r="GK102" s="93"/>
      <c r="GL102" s="93"/>
      <c r="GM102" s="93"/>
      <c r="GN102" s="93"/>
      <c r="GO102" s="93"/>
      <c r="GP102" s="93"/>
      <c r="GQ102" s="93"/>
      <c r="GR102" s="93"/>
      <c r="GS102" s="93"/>
      <c r="GT102" s="93"/>
    </row>
    <row r="103" spans="1:202" ht="16.5" customHeight="1">
      <c r="A103" s="42" t="str">
        <f>'Как есть'!A103</f>
        <v>Прочие расходы</v>
      </c>
      <c r="B103" s="92"/>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c r="BL103" s="93"/>
      <c r="BM103" s="93"/>
      <c r="BN103" s="93"/>
      <c r="BO103" s="93"/>
      <c r="BP103" s="93"/>
      <c r="BQ103" s="93"/>
      <c r="BR103" s="93"/>
      <c r="BS103" s="93"/>
      <c r="BT103" s="93"/>
      <c r="BU103" s="93"/>
      <c r="BV103" s="93"/>
      <c r="BW103" s="93"/>
      <c r="BX103" s="93"/>
      <c r="BY103" s="93"/>
      <c r="BZ103" s="93"/>
      <c r="CA103" s="93"/>
      <c r="CB103" s="93"/>
      <c r="CC103" s="93"/>
      <c r="CD103" s="93"/>
      <c r="CE103" s="93"/>
      <c r="CF103" s="93"/>
      <c r="CG103" s="93"/>
      <c r="CH103" s="93"/>
      <c r="CI103" s="93"/>
      <c r="CJ103" s="93"/>
      <c r="CK103" s="93"/>
      <c r="CL103" s="93"/>
      <c r="CM103" s="93"/>
      <c r="CN103" s="93"/>
      <c r="CO103" s="93"/>
      <c r="CP103" s="93"/>
      <c r="CQ103" s="93"/>
      <c r="CR103" s="93"/>
      <c r="CS103" s="93"/>
      <c r="CT103" s="93"/>
      <c r="CU103" s="93"/>
      <c r="CV103" s="93"/>
      <c r="CW103" s="93"/>
      <c r="CX103" s="93"/>
      <c r="CY103" s="93"/>
      <c r="CZ103" s="93"/>
      <c r="DA103" s="93"/>
      <c r="DB103" s="93"/>
      <c r="DC103" s="93"/>
      <c r="DD103" s="93"/>
      <c r="DE103" s="93"/>
      <c r="DF103" s="93"/>
      <c r="DG103" s="93"/>
      <c r="DH103" s="93"/>
      <c r="DI103" s="93"/>
      <c r="DJ103" s="93"/>
      <c r="DK103" s="93"/>
      <c r="DL103" s="93"/>
      <c r="DM103" s="93"/>
      <c r="DN103" s="93"/>
      <c r="DO103" s="93"/>
      <c r="DP103" s="93"/>
      <c r="DQ103" s="93"/>
      <c r="DR103" s="93"/>
      <c r="DS103" s="93"/>
      <c r="DT103" s="93"/>
      <c r="DU103" s="93"/>
      <c r="DV103" s="93"/>
      <c r="DW103" s="93"/>
      <c r="DX103" s="93"/>
      <c r="DY103" s="93"/>
      <c r="DZ103" s="93"/>
      <c r="EA103" s="93"/>
      <c r="EB103" s="93"/>
      <c r="EC103" s="93"/>
      <c r="ED103" s="93"/>
      <c r="EE103" s="93"/>
      <c r="EF103" s="93"/>
      <c r="EG103" s="93"/>
      <c r="EH103" s="93"/>
      <c r="EI103" s="93"/>
      <c r="EJ103" s="93"/>
      <c r="EK103" s="93"/>
      <c r="EL103" s="93"/>
      <c r="EM103" s="93"/>
      <c r="EN103" s="93"/>
      <c r="EO103" s="93"/>
      <c r="EP103" s="93"/>
      <c r="EQ103" s="93"/>
      <c r="ER103" s="93"/>
      <c r="ES103" s="93"/>
      <c r="ET103" s="93"/>
      <c r="EU103" s="93"/>
      <c r="EV103" s="93"/>
      <c r="EW103" s="93"/>
      <c r="EX103" s="93"/>
      <c r="EY103" s="93"/>
      <c r="EZ103" s="93"/>
      <c r="FA103" s="93"/>
      <c r="FB103" s="93"/>
      <c r="FC103" s="93"/>
      <c r="FD103" s="93"/>
      <c r="FE103" s="93"/>
      <c r="FF103" s="93"/>
      <c r="FG103" s="93"/>
      <c r="FH103" s="93"/>
      <c r="FI103" s="93"/>
      <c r="FJ103" s="93"/>
      <c r="FK103" s="93"/>
      <c r="FL103" s="93"/>
      <c r="FM103" s="93"/>
      <c r="FN103" s="93"/>
      <c r="FO103" s="93"/>
      <c r="FP103" s="93"/>
      <c r="FQ103" s="93"/>
      <c r="FR103" s="93"/>
      <c r="FS103" s="93"/>
      <c r="FT103" s="93"/>
      <c r="FU103" s="93"/>
      <c r="FV103" s="93"/>
      <c r="FW103" s="93"/>
      <c r="FX103" s="93"/>
      <c r="FY103" s="93"/>
      <c r="FZ103" s="93"/>
      <c r="GA103" s="93"/>
      <c r="GB103" s="93"/>
      <c r="GC103" s="93"/>
      <c r="GD103" s="93"/>
      <c r="GE103" s="93"/>
      <c r="GF103" s="93"/>
      <c r="GG103" s="93"/>
      <c r="GH103" s="93"/>
      <c r="GI103" s="93"/>
      <c r="GJ103" s="93"/>
      <c r="GK103" s="93"/>
      <c r="GL103" s="93"/>
      <c r="GM103" s="93"/>
      <c r="GN103" s="93"/>
      <c r="GO103" s="93"/>
      <c r="GP103" s="93"/>
      <c r="GQ103" s="93"/>
      <c r="GR103" s="93"/>
      <c r="GS103" s="93"/>
      <c r="GT103" s="93"/>
    </row>
    <row r="104" spans="1:202" ht="16.5" customHeight="1">
      <c r="A104" s="42" t="str">
        <f>'Как есть'!A104</f>
        <v>Прочие доходы</v>
      </c>
      <c r="B104" s="92"/>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c r="BL104" s="93"/>
      <c r="BM104" s="93"/>
      <c r="BN104" s="93"/>
      <c r="BO104" s="93"/>
      <c r="BP104" s="93"/>
      <c r="BQ104" s="93"/>
      <c r="BR104" s="93"/>
      <c r="BS104" s="93"/>
      <c r="BT104" s="93"/>
      <c r="BU104" s="93"/>
      <c r="BV104" s="93"/>
      <c r="BW104" s="93"/>
      <c r="BX104" s="93"/>
      <c r="BY104" s="93"/>
      <c r="BZ104" s="93"/>
      <c r="CA104" s="93"/>
      <c r="CB104" s="93"/>
      <c r="CC104" s="93"/>
      <c r="CD104" s="93"/>
      <c r="CE104" s="93"/>
      <c r="CF104" s="93"/>
      <c r="CG104" s="93"/>
      <c r="CH104" s="93"/>
      <c r="CI104" s="93"/>
      <c r="CJ104" s="93"/>
      <c r="CK104" s="93"/>
      <c r="CL104" s="93"/>
      <c r="CM104" s="93"/>
      <c r="CN104" s="93"/>
      <c r="CO104" s="93"/>
      <c r="CP104" s="93"/>
      <c r="CQ104" s="93"/>
      <c r="CR104" s="93"/>
      <c r="CS104" s="93"/>
      <c r="CT104" s="93"/>
      <c r="CU104" s="93"/>
      <c r="CV104" s="93"/>
      <c r="CW104" s="93"/>
      <c r="CX104" s="93"/>
      <c r="CY104" s="93"/>
      <c r="CZ104" s="93"/>
      <c r="DA104" s="93"/>
      <c r="DB104" s="93"/>
      <c r="DC104" s="93"/>
      <c r="DD104" s="93"/>
      <c r="DE104" s="93"/>
      <c r="DF104" s="93"/>
      <c r="DG104" s="93"/>
      <c r="DH104" s="93"/>
      <c r="DI104" s="93"/>
      <c r="DJ104" s="93"/>
      <c r="DK104" s="93"/>
      <c r="DL104" s="93"/>
      <c r="DM104" s="93"/>
      <c r="DN104" s="93"/>
      <c r="DO104" s="93"/>
      <c r="DP104" s="93"/>
      <c r="DQ104" s="93"/>
      <c r="DR104" s="93"/>
      <c r="DS104" s="93"/>
      <c r="DT104" s="93"/>
      <c r="DU104" s="93"/>
      <c r="DV104" s="93"/>
      <c r="DW104" s="93"/>
      <c r="DX104" s="93"/>
      <c r="DY104" s="93"/>
      <c r="DZ104" s="93"/>
      <c r="EA104" s="93"/>
      <c r="EB104" s="93"/>
      <c r="EC104" s="93"/>
      <c r="ED104" s="93"/>
      <c r="EE104" s="93"/>
      <c r="EF104" s="93"/>
      <c r="EG104" s="93"/>
      <c r="EH104" s="93"/>
      <c r="EI104" s="93"/>
      <c r="EJ104" s="93"/>
      <c r="EK104" s="93"/>
      <c r="EL104" s="93"/>
      <c r="EM104" s="93"/>
      <c r="EN104" s="93"/>
      <c r="EO104" s="93"/>
      <c r="EP104" s="93"/>
      <c r="EQ104" s="93"/>
      <c r="ER104" s="93"/>
      <c r="ES104" s="93"/>
      <c r="ET104" s="93"/>
      <c r="EU104" s="93"/>
      <c r="EV104" s="93"/>
      <c r="EW104" s="93"/>
      <c r="EX104" s="93"/>
      <c r="EY104" s="93"/>
      <c r="EZ104" s="93"/>
      <c r="FA104" s="93"/>
      <c r="FB104" s="93"/>
      <c r="FC104" s="93"/>
      <c r="FD104" s="93"/>
      <c r="FE104" s="93"/>
      <c r="FF104" s="93"/>
      <c r="FG104" s="93"/>
      <c r="FH104" s="93"/>
      <c r="FI104" s="93"/>
      <c r="FJ104" s="93"/>
      <c r="FK104" s="93"/>
      <c r="FL104" s="93"/>
      <c r="FM104" s="93"/>
      <c r="FN104" s="93"/>
      <c r="FO104" s="93"/>
      <c r="FP104" s="93"/>
      <c r="FQ104" s="93"/>
      <c r="FR104" s="93"/>
      <c r="FS104" s="93"/>
      <c r="FT104" s="93"/>
      <c r="FU104" s="93"/>
      <c r="FV104" s="93"/>
      <c r="FW104" s="93"/>
      <c r="FX104" s="93"/>
      <c r="FY104" s="93"/>
      <c r="FZ104" s="93"/>
      <c r="GA104" s="93"/>
      <c r="GB104" s="93"/>
      <c r="GC104" s="93"/>
      <c r="GD104" s="93"/>
      <c r="GE104" s="93"/>
      <c r="GF104" s="93"/>
      <c r="GG104" s="93"/>
      <c r="GH104" s="93"/>
      <c r="GI104" s="93"/>
      <c r="GJ104" s="93"/>
      <c r="GK104" s="93"/>
      <c r="GL104" s="93"/>
      <c r="GM104" s="93"/>
      <c r="GN104" s="93"/>
      <c r="GO104" s="93"/>
      <c r="GP104" s="93"/>
      <c r="GQ104" s="93"/>
      <c r="GR104" s="93"/>
      <c r="GS104" s="93"/>
      <c r="GT104" s="93"/>
    </row>
    <row r="105" spans="1:202" ht="16.5" customHeight="1">
      <c r="A105" s="42" t="str">
        <f>'Как есть'!A105</f>
        <v>Расходы на аренду</v>
      </c>
      <c r="B105" s="92"/>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93"/>
      <c r="CL105" s="93"/>
      <c r="CM105" s="93"/>
      <c r="CN105" s="93"/>
      <c r="CO105" s="93"/>
      <c r="CP105" s="93"/>
      <c r="CQ105" s="93"/>
      <c r="CR105" s="93"/>
      <c r="CS105" s="93"/>
      <c r="CT105" s="93"/>
      <c r="CU105" s="93"/>
      <c r="CV105" s="93"/>
      <c r="CW105" s="93"/>
      <c r="CX105" s="93"/>
      <c r="CY105" s="93"/>
      <c r="CZ105" s="93"/>
      <c r="DA105" s="93"/>
      <c r="DB105" s="93"/>
      <c r="DC105" s="93"/>
      <c r="DD105" s="93"/>
      <c r="DE105" s="93"/>
      <c r="DF105" s="93"/>
      <c r="DG105" s="93"/>
      <c r="DH105" s="93"/>
      <c r="DI105" s="93"/>
      <c r="DJ105" s="93"/>
      <c r="DK105" s="93"/>
      <c r="DL105" s="93"/>
      <c r="DM105" s="93"/>
      <c r="DN105" s="93"/>
      <c r="DO105" s="93"/>
      <c r="DP105" s="93"/>
      <c r="DQ105" s="93"/>
      <c r="DR105" s="93"/>
      <c r="DS105" s="93"/>
      <c r="DT105" s="93"/>
      <c r="DU105" s="93"/>
      <c r="DV105" s="93"/>
      <c r="DW105" s="93"/>
      <c r="DX105" s="93"/>
      <c r="DY105" s="93"/>
      <c r="DZ105" s="93"/>
      <c r="EA105" s="93"/>
      <c r="EB105" s="93"/>
      <c r="EC105" s="93"/>
      <c r="ED105" s="93"/>
      <c r="EE105" s="93"/>
      <c r="EF105" s="93"/>
      <c r="EG105" s="93"/>
      <c r="EH105" s="93"/>
      <c r="EI105" s="93"/>
      <c r="EJ105" s="93"/>
      <c r="EK105" s="93"/>
      <c r="EL105" s="93"/>
      <c r="EM105" s="93"/>
      <c r="EN105" s="93"/>
      <c r="EO105" s="93"/>
      <c r="EP105" s="93"/>
      <c r="EQ105" s="93"/>
      <c r="ER105" s="93"/>
      <c r="ES105" s="93"/>
      <c r="ET105" s="93"/>
      <c r="EU105" s="93"/>
      <c r="EV105" s="93"/>
      <c r="EW105" s="93"/>
      <c r="EX105" s="93"/>
      <c r="EY105" s="93"/>
      <c r="EZ105" s="93"/>
      <c r="FA105" s="93"/>
      <c r="FB105" s="93"/>
      <c r="FC105" s="93"/>
      <c r="FD105" s="93"/>
      <c r="FE105" s="93"/>
      <c r="FF105" s="93"/>
      <c r="FG105" s="93"/>
      <c r="FH105" s="93"/>
      <c r="FI105" s="93"/>
      <c r="FJ105" s="93"/>
      <c r="FK105" s="93"/>
      <c r="FL105" s="93"/>
      <c r="FM105" s="93"/>
      <c r="FN105" s="93"/>
      <c r="FO105" s="93"/>
      <c r="FP105" s="93"/>
      <c r="FQ105" s="93"/>
      <c r="FR105" s="93"/>
      <c r="FS105" s="93"/>
      <c r="FT105" s="93"/>
      <c r="FU105" s="93"/>
      <c r="FV105" s="93"/>
      <c r="FW105" s="93"/>
      <c r="FX105" s="93"/>
      <c r="FY105" s="93"/>
      <c r="FZ105" s="93"/>
      <c r="GA105" s="93"/>
      <c r="GB105" s="93"/>
      <c r="GC105" s="93"/>
      <c r="GD105" s="93"/>
      <c r="GE105" s="93"/>
      <c r="GF105" s="93"/>
      <c r="GG105" s="93"/>
      <c r="GH105" s="93"/>
      <c r="GI105" s="93"/>
      <c r="GJ105" s="93"/>
      <c r="GK105" s="93"/>
      <c r="GL105" s="93"/>
      <c r="GM105" s="93"/>
      <c r="GN105" s="93"/>
      <c r="GO105" s="93"/>
      <c r="GP105" s="93"/>
      <c r="GQ105" s="93"/>
      <c r="GR105" s="93"/>
      <c r="GS105" s="93"/>
      <c r="GT105" s="93"/>
    </row>
    <row r="106" spans="1:202" ht="16.5" customHeight="1">
      <c r="A106" s="42" t="str">
        <f>'Как есть'!A106</f>
        <v>Реклама, маркетинг и PR</v>
      </c>
      <c r="B106" s="92"/>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c r="BI106" s="93"/>
      <c r="BJ106" s="93"/>
      <c r="BK106" s="93"/>
      <c r="BL106" s="93"/>
      <c r="BM106" s="93"/>
      <c r="BN106" s="93"/>
      <c r="BO106" s="93"/>
      <c r="BP106" s="93"/>
      <c r="BQ106" s="93"/>
      <c r="BR106" s="93"/>
      <c r="BS106" s="93"/>
      <c r="BT106" s="93"/>
      <c r="BU106" s="93"/>
      <c r="BV106" s="93"/>
      <c r="BW106" s="93"/>
      <c r="BX106" s="93"/>
      <c r="BY106" s="93"/>
      <c r="BZ106" s="93"/>
      <c r="CA106" s="93"/>
      <c r="CB106" s="93"/>
      <c r="CC106" s="93"/>
      <c r="CD106" s="93"/>
      <c r="CE106" s="93"/>
      <c r="CF106" s="93"/>
      <c r="CG106" s="93"/>
      <c r="CH106" s="93"/>
      <c r="CI106" s="93"/>
      <c r="CJ106" s="93"/>
      <c r="CK106" s="93"/>
      <c r="CL106" s="93"/>
      <c r="CM106" s="93"/>
      <c r="CN106" s="93"/>
      <c r="CO106" s="93"/>
      <c r="CP106" s="93"/>
      <c r="CQ106" s="93"/>
      <c r="CR106" s="93"/>
      <c r="CS106" s="93"/>
      <c r="CT106" s="93"/>
      <c r="CU106" s="93"/>
      <c r="CV106" s="93"/>
      <c r="CW106" s="93"/>
      <c r="CX106" s="93"/>
      <c r="CY106" s="93"/>
      <c r="CZ106" s="93"/>
      <c r="DA106" s="93"/>
      <c r="DB106" s="93"/>
      <c r="DC106" s="93"/>
      <c r="DD106" s="93"/>
      <c r="DE106" s="93"/>
      <c r="DF106" s="93"/>
      <c r="DG106" s="93"/>
      <c r="DH106" s="93"/>
      <c r="DI106" s="93"/>
      <c r="DJ106" s="93"/>
      <c r="DK106" s="93"/>
      <c r="DL106" s="93"/>
      <c r="DM106" s="93"/>
      <c r="DN106" s="93"/>
      <c r="DO106" s="93"/>
      <c r="DP106" s="93"/>
      <c r="DQ106" s="93"/>
      <c r="DR106" s="93"/>
      <c r="DS106" s="93"/>
      <c r="DT106" s="93"/>
      <c r="DU106" s="93"/>
      <c r="DV106" s="93"/>
      <c r="DW106" s="93"/>
      <c r="DX106" s="93"/>
      <c r="DY106" s="93"/>
      <c r="DZ106" s="93"/>
      <c r="EA106" s="93"/>
      <c r="EB106" s="93"/>
      <c r="EC106" s="93"/>
      <c r="ED106" s="93"/>
      <c r="EE106" s="93"/>
      <c r="EF106" s="93"/>
      <c r="EG106" s="93"/>
      <c r="EH106" s="93"/>
      <c r="EI106" s="93"/>
      <c r="EJ106" s="93"/>
      <c r="EK106" s="93"/>
      <c r="EL106" s="93"/>
      <c r="EM106" s="93"/>
      <c r="EN106" s="93"/>
      <c r="EO106" s="93"/>
      <c r="EP106" s="93"/>
      <c r="EQ106" s="93"/>
      <c r="ER106" s="93"/>
      <c r="ES106" s="93"/>
      <c r="ET106" s="93"/>
      <c r="EU106" s="93"/>
      <c r="EV106" s="93"/>
      <c r="EW106" s="93"/>
      <c r="EX106" s="93"/>
      <c r="EY106" s="93"/>
      <c r="EZ106" s="93"/>
      <c r="FA106" s="93"/>
      <c r="FB106" s="93"/>
      <c r="FC106" s="93"/>
      <c r="FD106" s="93"/>
      <c r="FE106" s="93"/>
      <c r="FF106" s="93"/>
      <c r="FG106" s="93"/>
      <c r="FH106" s="93"/>
      <c r="FI106" s="93"/>
      <c r="FJ106" s="93"/>
      <c r="FK106" s="93"/>
      <c r="FL106" s="93"/>
      <c r="FM106" s="93"/>
      <c r="FN106" s="93"/>
      <c r="FO106" s="93"/>
      <c r="FP106" s="93"/>
      <c r="FQ106" s="93"/>
      <c r="FR106" s="93"/>
      <c r="FS106" s="93"/>
      <c r="FT106" s="93"/>
      <c r="FU106" s="93"/>
      <c r="FV106" s="93"/>
      <c r="FW106" s="93"/>
      <c r="FX106" s="93"/>
      <c r="FY106" s="93"/>
      <c r="FZ106" s="93"/>
      <c r="GA106" s="93"/>
      <c r="GB106" s="93"/>
      <c r="GC106" s="93"/>
      <c r="GD106" s="93"/>
      <c r="GE106" s="93"/>
      <c r="GF106" s="93"/>
      <c r="GG106" s="93"/>
      <c r="GH106" s="93"/>
      <c r="GI106" s="93"/>
      <c r="GJ106" s="93"/>
      <c r="GK106" s="93"/>
      <c r="GL106" s="93"/>
      <c r="GM106" s="93"/>
      <c r="GN106" s="93"/>
      <c r="GO106" s="93"/>
      <c r="GP106" s="93"/>
      <c r="GQ106" s="93"/>
      <c r="GR106" s="93"/>
      <c r="GS106" s="93"/>
      <c r="GT106" s="93"/>
    </row>
    <row r="107" spans="1:202" ht="16.5" customHeight="1">
      <c r="A107" s="42" t="str">
        <f>'Как есть'!A107</f>
        <v>Коммунальные расходы и связь</v>
      </c>
      <c r="B107" s="92"/>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c r="BI107" s="93"/>
      <c r="BJ107" s="93"/>
      <c r="BK107" s="93"/>
      <c r="BL107" s="93"/>
      <c r="BM107" s="93"/>
      <c r="BN107" s="93"/>
      <c r="BO107" s="93"/>
      <c r="BP107" s="93"/>
      <c r="BQ107" s="93"/>
      <c r="BR107" s="93"/>
      <c r="BS107" s="93"/>
      <c r="BT107" s="93"/>
      <c r="BU107" s="93"/>
      <c r="BV107" s="93"/>
      <c r="BW107" s="93"/>
      <c r="BX107" s="93"/>
      <c r="BY107" s="93"/>
      <c r="BZ107" s="93"/>
      <c r="CA107" s="93"/>
      <c r="CB107" s="93"/>
      <c r="CC107" s="93"/>
      <c r="CD107" s="93"/>
      <c r="CE107" s="93"/>
      <c r="CF107" s="93"/>
      <c r="CG107" s="93"/>
      <c r="CH107" s="93"/>
      <c r="CI107" s="93"/>
      <c r="CJ107" s="93"/>
      <c r="CK107" s="93"/>
      <c r="CL107" s="93"/>
      <c r="CM107" s="93"/>
      <c r="CN107" s="93"/>
      <c r="CO107" s="93"/>
      <c r="CP107" s="93"/>
      <c r="CQ107" s="93"/>
      <c r="CR107" s="93"/>
      <c r="CS107" s="93"/>
      <c r="CT107" s="93"/>
      <c r="CU107" s="93"/>
      <c r="CV107" s="93"/>
      <c r="CW107" s="93"/>
      <c r="CX107" s="93"/>
      <c r="CY107" s="93"/>
      <c r="CZ107" s="93"/>
      <c r="DA107" s="93"/>
      <c r="DB107" s="93"/>
      <c r="DC107" s="93"/>
      <c r="DD107" s="93"/>
      <c r="DE107" s="93"/>
      <c r="DF107" s="93"/>
      <c r="DG107" s="93"/>
      <c r="DH107" s="93"/>
      <c r="DI107" s="93"/>
      <c r="DJ107" s="93"/>
      <c r="DK107" s="93"/>
      <c r="DL107" s="93"/>
      <c r="DM107" s="93"/>
      <c r="DN107" s="93"/>
      <c r="DO107" s="93"/>
      <c r="DP107" s="93"/>
      <c r="DQ107" s="93"/>
      <c r="DR107" s="93"/>
      <c r="DS107" s="93"/>
      <c r="DT107" s="93"/>
      <c r="DU107" s="93"/>
      <c r="DV107" s="93"/>
      <c r="DW107" s="93"/>
      <c r="DX107" s="93"/>
      <c r="DY107" s="93"/>
      <c r="DZ107" s="93"/>
      <c r="EA107" s="93"/>
      <c r="EB107" s="93"/>
      <c r="EC107" s="93"/>
      <c r="ED107" s="93"/>
      <c r="EE107" s="93"/>
      <c r="EF107" s="93"/>
      <c r="EG107" s="93"/>
      <c r="EH107" s="93"/>
      <c r="EI107" s="93"/>
      <c r="EJ107" s="93"/>
      <c r="EK107" s="93"/>
      <c r="EL107" s="93"/>
      <c r="EM107" s="93"/>
      <c r="EN107" s="93"/>
      <c r="EO107" s="93"/>
      <c r="EP107" s="93"/>
      <c r="EQ107" s="93"/>
      <c r="ER107" s="93"/>
      <c r="ES107" s="93"/>
      <c r="ET107" s="93"/>
      <c r="EU107" s="93"/>
      <c r="EV107" s="93"/>
      <c r="EW107" s="93"/>
      <c r="EX107" s="93"/>
      <c r="EY107" s="93"/>
      <c r="EZ107" s="93"/>
      <c r="FA107" s="93"/>
      <c r="FB107" s="93"/>
      <c r="FC107" s="93"/>
      <c r="FD107" s="93"/>
      <c r="FE107" s="93"/>
      <c r="FF107" s="93"/>
      <c r="FG107" s="93"/>
      <c r="FH107" s="93"/>
      <c r="FI107" s="93"/>
      <c r="FJ107" s="93"/>
      <c r="FK107" s="93"/>
      <c r="FL107" s="93"/>
      <c r="FM107" s="93"/>
      <c r="FN107" s="93"/>
      <c r="FO107" s="93"/>
      <c r="FP107" s="93"/>
      <c r="FQ107" s="93"/>
      <c r="FR107" s="93"/>
      <c r="FS107" s="93"/>
      <c r="FT107" s="93"/>
      <c r="FU107" s="93"/>
      <c r="FV107" s="93"/>
      <c r="FW107" s="93"/>
      <c r="FX107" s="93"/>
      <c r="FY107" s="93"/>
      <c r="FZ107" s="93"/>
      <c r="GA107" s="93"/>
      <c r="GB107" s="93"/>
      <c r="GC107" s="93"/>
      <c r="GD107" s="93"/>
      <c r="GE107" s="93"/>
      <c r="GF107" s="93"/>
      <c r="GG107" s="93"/>
      <c r="GH107" s="93"/>
      <c r="GI107" s="93"/>
      <c r="GJ107" s="93"/>
      <c r="GK107" s="93"/>
      <c r="GL107" s="93"/>
      <c r="GM107" s="93"/>
      <c r="GN107" s="93"/>
      <c r="GO107" s="93"/>
      <c r="GP107" s="93"/>
      <c r="GQ107" s="93"/>
      <c r="GR107" s="93"/>
      <c r="GS107" s="93"/>
      <c r="GT107" s="93"/>
    </row>
    <row r="108" spans="1:202" ht="16.5" customHeight="1">
      <c r="A108" s="42" t="str">
        <f>'Как есть'!A108</f>
        <v>Товарные запасы</v>
      </c>
      <c r="B108" s="92"/>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c r="DA108" s="93"/>
      <c r="DB108" s="93"/>
      <c r="DC108" s="93"/>
      <c r="DD108" s="93"/>
      <c r="DE108" s="93"/>
      <c r="DF108" s="93"/>
      <c r="DG108" s="93"/>
      <c r="DH108" s="93"/>
      <c r="DI108" s="93"/>
      <c r="DJ108" s="93"/>
      <c r="DK108" s="93"/>
      <c r="DL108" s="93"/>
      <c r="DM108" s="93"/>
      <c r="DN108" s="93"/>
      <c r="DO108" s="93"/>
      <c r="DP108" s="93"/>
      <c r="DQ108" s="93"/>
      <c r="DR108" s="93"/>
      <c r="DS108" s="93"/>
      <c r="DT108" s="93"/>
      <c r="DU108" s="93"/>
      <c r="DV108" s="93"/>
      <c r="DW108" s="93"/>
      <c r="DX108" s="93"/>
      <c r="DY108" s="93"/>
      <c r="DZ108" s="93"/>
      <c r="EA108" s="93"/>
      <c r="EB108" s="93"/>
      <c r="EC108" s="93"/>
      <c r="ED108" s="93"/>
      <c r="EE108" s="93"/>
      <c r="EF108" s="93"/>
      <c r="EG108" s="93"/>
      <c r="EH108" s="93"/>
      <c r="EI108" s="93"/>
      <c r="EJ108" s="93"/>
      <c r="EK108" s="93"/>
      <c r="EL108" s="93"/>
      <c r="EM108" s="93"/>
      <c r="EN108" s="93"/>
      <c r="EO108" s="93"/>
      <c r="EP108" s="93"/>
      <c r="EQ108" s="93"/>
      <c r="ER108" s="93"/>
      <c r="ES108" s="93"/>
      <c r="ET108" s="93"/>
      <c r="EU108" s="93"/>
      <c r="EV108" s="93"/>
      <c r="EW108" s="93"/>
      <c r="EX108" s="93"/>
      <c r="EY108" s="93"/>
      <c r="EZ108" s="93"/>
      <c r="FA108" s="93"/>
      <c r="FB108" s="93"/>
      <c r="FC108" s="93"/>
      <c r="FD108" s="93"/>
      <c r="FE108" s="93"/>
      <c r="FF108" s="93"/>
      <c r="FG108" s="93"/>
      <c r="FH108" s="93"/>
      <c r="FI108" s="93"/>
      <c r="FJ108" s="93"/>
      <c r="FK108" s="93"/>
      <c r="FL108" s="93"/>
      <c r="FM108" s="93"/>
      <c r="FN108" s="93"/>
      <c r="FO108" s="93"/>
      <c r="FP108" s="93"/>
      <c r="FQ108" s="93"/>
      <c r="FR108" s="93"/>
      <c r="FS108" s="93"/>
      <c r="FT108" s="93"/>
      <c r="FU108" s="93"/>
      <c r="FV108" s="93"/>
      <c r="FW108" s="93"/>
      <c r="FX108" s="93"/>
      <c r="FY108" s="93"/>
      <c r="FZ108" s="93"/>
      <c r="GA108" s="93"/>
      <c r="GB108" s="93"/>
      <c r="GC108" s="93"/>
      <c r="GD108" s="93"/>
      <c r="GE108" s="93"/>
      <c r="GF108" s="93"/>
      <c r="GG108" s="93"/>
      <c r="GH108" s="93"/>
      <c r="GI108" s="93"/>
      <c r="GJ108" s="93"/>
      <c r="GK108" s="93"/>
      <c r="GL108" s="93"/>
      <c r="GM108" s="93"/>
      <c r="GN108" s="93"/>
      <c r="GO108" s="93"/>
      <c r="GP108" s="93"/>
      <c r="GQ108" s="93"/>
      <c r="GR108" s="93"/>
      <c r="GS108" s="93"/>
      <c r="GT108" s="93"/>
    </row>
    <row r="109" spans="1:202" s="28" customFormat="1" ht="21">
      <c r="A109" s="41" t="s">
        <v>27</v>
      </c>
      <c r="B109" s="50"/>
      <c r="C109" s="45">
        <f>C96+C100+C34+C62</f>
        <v>0</v>
      </c>
      <c r="D109" s="45">
        <f t="shared" ref="D109:BO109" si="72">D96+D100+D34+D62</f>
        <v>0</v>
      </c>
      <c r="E109" s="45">
        <f t="shared" si="72"/>
        <v>0</v>
      </c>
      <c r="F109" s="45">
        <f t="shared" si="72"/>
        <v>0</v>
      </c>
      <c r="G109" s="45">
        <f t="shared" si="72"/>
        <v>0</v>
      </c>
      <c r="H109" s="45">
        <f t="shared" si="72"/>
        <v>0</v>
      </c>
      <c r="I109" s="45">
        <f t="shared" si="72"/>
        <v>0</v>
      </c>
      <c r="J109" s="45">
        <f t="shared" si="72"/>
        <v>0</v>
      </c>
      <c r="K109" s="45">
        <f t="shared" si="72"/>
        <v>0</v>
      </c>
      <c r="L109" s="45">
        <f t="shared" si="72"/>
        <v>0</v>
      </c>
      <c r="M109" s="45">
        <f t="shared" si="72"/>
        <v>0</v>
      </c>
      <c r="N109" s="45">
        <f t="shared" si="72"/>
        <v>0</v>
      </c>
      <c r="O109" s="45">
        <f t="shared" si="72"/>
        <v>446.24268959648487</v>
      </c>
      <c r="P109" s="45">
        <f t="shared" si="72"/>
        <v>973.23371178656566</v>
      </c>
      <c r="Q109" s="45">
        <f t="shared" si="72"/>
        <v>2191.2031602237271</v>
      </c>
      <c r="R109" s="45">
        <f t="shared" si="72"/>
        <v>2108.8312323126011</v>
      </c>
      <c r="S109" s="45">
        <f t="shared" si="72"/>
        <v>2283.0512442915815</v>
      </c>
      <c r="T109" s="45">
        <f t="shared" si="72"/>
        <v>2958.1373749988029</v>
      </c>
      <c r="U109" s="45">
        <f t="shared" si="72"/>
        <v>2329.9696057087785</v>
      </c>
      <c r="V109" s="45">
        <f t="shared" si="72"/>
        <v>2580.6501861863458</v>
      </c>
      <c r="W109" s="45">
        <f t="shared" si="72"/>
        <v>3487.9443420361699</v>
      </c>
      <c r="X109" s="45">
        <f t="shared" si="72"/>
        <v>3211.713136023639</v>
      </c>
      <c r="Y109" s="45">
        <f t="shared" si="72"/>
        <v>2759.7152739458065</v>
      </c>
      <c r="Z109" s="45">
        <f t="shared" si="72"/>
        <v>3588.6139013082088</v>
      </c>
      <c r="AA109" s="45">
        <f t="shared" si="72"/>
        <v>446.24268959648487</v>
      </c>
      <c r="AB109" s="45">
        <f t="shared" si="72"/>
        <v>973.23371178656566</v>
      </c>
      <c r="AC109" s="45">
        <f t="shared" si="72"/>
        <v>2191.2031602237271</v>
      </c>
      <c r="AD109" s="45">
        <f t="shared" si="72"/>
        <v>2108.8312323126011</v>
      </c>
      <c r="AE109" s="45">
        <f t="shared" si="72"/>
        <v>2283.0512442915815</v>
      </c>
      <c r="AF109" s="45">
        <f t="shared" si="72"/>
        <v>2958.1373749988029</v>
      </c>
      <c r="AG109" s="45">
        <f t="shared" si="72"/>
        <v>2329.9696057087785</v>
      </c>
      <c r="AH109" s="45">
        <f t="shared" si="72"/>
        <v>2580.6501861863458</v>
      </c>
      <c r="AI109" s="45">
        <f t="shared" si="72"/>
        <v>3487.9443420361699</v>
      </c>
      <c r="AJ109" s="45">
        <f t="shared" si="72"/>
        <v>3211.713136023639</v>
      </c>
      <c r="AK109" s="45">
        <f t="shared" si="72"/>
        <v>2759.7152739458065</v>
      </c>
      <c r="AL109" s="45">
        <f t="shared" si="72"/>
        <v>3588.6139013082088</v>
      </c>
      <c r="AM109" s="45">
        <f t="shared" si="72"/>
        <v>446.24268959648487</v>
      </c>
      <c r="AN109" s="45">
        <f t="shared" si="72"/>
        <v>973.23371178656566</v>
      </c>
      <c r="AO109" s="45">
        <f t="shared" si="72"/>
        <v>2191.2031602237271</v>
      </c>
      <c r="AP109" s="45">
        <f t="shared" si="72"/>
        <v>2108.8312323126011</v>
      </c>
      <c r="AQ109" s="45">
        <f t="shared" si="72"/>
        <v>2283.0512442915815</v>
      </c>
      <c r="AR109" s="45">
        <f t="shared" si="72"/>
        <v>2958.1373749988029</v>
      </c>
      <c r="AS109" s="45">
        <f t="shared" si="72"/>
        <v>2329.9696057087785</v>
      </c>
      <c r="AT109" s="45">
        <f t="shared" si="72"/>
        <v>2580.6501861863458</v>
      </c>
      <c r="AU109" s="45">
        <f t="shared" si="72"/>
        <v>3487.9443420361699</v>
      </c>
      <c r="AV109" s="45">
        <f t="shared" si="72"/>
        <v>3211.713136023639</v>
      </c>
      <c r="AW109" s="45">
        <f t="shared" si="72"/>
        <v>2759.7152739458065</v>
      </c>
      <c r="AX109" s="45">
        <f t="shared" si="72"/>
        <v>3588.6139013082088</v>
      </c>
      <c r="AY109" s="45">
        <f t="shared" si="72"/>
        <v>446.24268959648487</v>
      </c>
      <c r="AZ109" s="45">
        <f t="shared" si="72"/>
        <v>973.23371178656566</v>
      </c>
      <c r="BA109" s="45">
        <f t="shared" si="72"/>
        <v>2191.2031602237271</v>
      </c>
      <c r="BB109" s="45">
        <f t="shared" si="72"/>
        <v>2108.8312323126011</v>
      </c>
      <c r="BC109" s="45">
        <f t="shared" si="72"/>
        <v>2283.0512442915815</v>
      </c>
      <c r="BD109" s="45">
        <f t="shared" si="72"/>
        <v>2958.1373749988029</v>
      </c>
      <c r="BE109" s="45">
        <f t="shared" si="72"/>
        <v>2329.9696057087785</v>
      </c>
      <c r="BF109" s="45">
        <f t="shared" si="72"/>
        <v>2580.6501861863458</v>
      </c>
      <c r="BG109" s="45">
        <f t="shared" si="72"/>
        <v>3487.9443420361699</v>
      </c>
      <c r="BH109" s="45">
        <f t="shared" si="72"/>
        <v>3211.713136023639</v>
      </c>
      <c r="BI109" s="45">
        <f t="shared" si="72"/>
        <v>2759.7152739458065</v>
      </c>
      <c r="BJ109" s="45">
        <f t="shared" si="72"/>
        <v>3588.6139013082088</v>
      </c>
      <c r="BK109" s="45">
        <f t="shared" si="72"/>
        <v>0</v>
      </c>
      <c r="BL109" s="45">
        <f t="shared" si="72"/>
        <v>0</v>
      </c>
      <c r="BM109" s="45">
        <f t="shared" si="72"/>
        <v>0</v>
      </c>
      <c r="BN109" s="45">
        <f t="shared" si="72"/>
        <v>0</v>
      </c>
      <c r="BO109" s="45">
        <f t="shared" si="72"/>
        <v>0</v>
      </c>
      <c r="BP109" s="45">
        <f t="shared" ref="BP109:EA109" si="73">BP96+BP100+BP34+BP62</f>
        <v>0</v>
      </c>
      <c r="BQ109" s="45">
        <f t="shared" si="73"/>
        <v>0</v>
      </c>
      <c r="BR109" s="45">
        <f t="shared" si="73"/>
        <v>0</v>
      </c>
      <c r="BS109" s="45">
        <f t="shared" si="73"/>
        <v>0</v>
      </c>
      <c r="BT109" s="45">
        <f t="shared" si="73"/>
        <v>0</v>
      </c>
      <c r="BU109" s="45">
        <f t="shared" si="73"/>
        <v>0</v>
      </c>
      <c r="BV109" s="45">
        <f t="shared" si="73"/>
        <v>0</v>
      </c>
      <c r="BW109" s="45">
        <f t="shared" si="73"/>
        <v>0</v>
      </c>
      <c r="BX109" s="45">
        <f t="shared" si="73"/>
        <v>0</v>
      </c>
      <c r="BY109" s="45">
        <f t="shared" si="73"/>
        <v>0</v>
      </c>
      <c r="BZ109" s="45">
        <f t="shared" si="73"/>
        <v>0</v>
      </c>
      <c r="CA109" s="45">
        <f t="shared" si="73"/>
        <v>0</v>
      </c>
      <c r="CB109" s="45">
        <f t="shared" si="73"/>
        <v>0</v>
      </c>
      <c r="CC109" s="45">
        <f t="shared" si="73"/>
        <v>0</v>
      </c>
      <c r="CD109" s="45">
        <f t="shared" si="73"/>
        <v>0</v>
      </c>
      <c r="CE109" s="45">
        <f t="shared" si="73"/>
        <v>0</v>
      </c>
      <c r="CF109" s="45">
        <f t="shared" si="73"/>
        <v>0</v>
      </c>
      <c r="CG109" s="45">
        <f t="shared" si="73"/>
        <v>0</v>
      </c>
      <c r="CH109" s="45">
        <f t="shared" si="73"/>
        <v>0</v>
      </c>
      <c r="CI109" s="45">
        <f t="shared" si="73"/>
        <v>0</v>
      </c>
      <c r="CJ109" s="45">
        <f t="shared" si="73"/>
        <v>0</v>
      </c>
      <c r="CK109" s="45">
        <f t="shared" si="73"/>
        <v>0</v>
      </c>
      <c r="CL109" s="45">
        <f t="shared" si="73"/>
        <v>0</v>
      </c>
      <c r="CM109" s="45">
        <f t="shared" si="73"/>
        <v>0</v>
      </c>
      <c r="CN109" s="45">
        <f t="shared" si="73"/>
        <v>0</v>
      </c>
      <c r="CO109" s="45">
        <f t="shared" si="73"/>
        <v>0</v>
      </c>
      <c r="CP109" s="45">
        <f t="shared" si="73"/>
        <v>0</v>
      </c>
      <c r="CQ109" s="45">
        <f t="shared" si="73"/>
        <v>0</v>
      </c>
      <c r="CR109" s="45">
        <f t="shared" si="73"/>
        <v>0</v>
      </c>
      <c r="CS109" s="45">
        <f t="shared" si="73"/>
        <v>0</v>
      </c>
      <c r="CT109" s="45">
        <f t="shared" si="73"/>
        <v>0</v>
      </c>
      <c r="CU109" s="45">
        <f t="shared" si="73"/>
        <v>0</v>
      </c>
      <c r="CV109" s="45">
        <f t="shared" si="73"/>
        <v>0</v>
      </c>
      <c r="CW109" s="45">
        <f t="shared" si="73"/>
        <v>0</v>
      </c>
      <c r="CX109" s="45">
        <f t="shared" si="73"/>
        <v>0</v>
      </c>
      <c r="CY109" s="45">
        <f t="shared" si="73"/>
        <v>0</v>
      </c>
      <c r="CZ109" s="45">
        <f t="shared" si="73"/>
        <v>0</v>
      </c>
      <c r="DA109" s="45">
        <f t="shared" si="73"/>
        <v>0</v>
      </c>
      <c r="DB109" s="45">
        <f t="shared" si="73"/>
        <v>0</v>
      </c>
      <c r="DC109" s="45">
        <f t="shared" si="73"/>
        <v>0</v>
      </c>
      <c r="DD109" s="45">
        <f t="shared" si="73"/>
        <v>0</v>
      </c>
      <c r="DE109" s="45">
        <f t="shared" si="73"/>
        <v>0</v>
      </c>
      <c r="DF109" s="45">
        <f t="shared" si="73"/>
        <v>0</v>
      </c>
      <c r="DG109" s="45">
        <f t="shared" si="73"/>
        <v>0</v>
      </c>
      <c r="DH109" s="45">
        <f t="shared" si="73"/>
        <v>0</v>
      </c>
      <c r="DI109" s="45">
        <f t="shared" si="73"/>
        <v>0</v>
      </c>
      <c r="DJ109" s="45">
        <f t="shared" si="73"/>
        <v>0</v>
      </c>
      <c r="DK109" s="45">
        <f t="shared" si="73"/>
        <v>0</v>
      </c>
      <c r="DL109" s="45">
        <f t="shared" si="73"/>
        <v>0</v>
      </c>
      <c r="DM109" s="45">
        <f t="shared" si="73"/>
        <v>0</v>
      </c>
      <c r="DN109" s="45">
        <f t="shared" si="73"/>
        <v>0</v>
      </c>
      <c r="DO109" s="45">
        <f t="shared" si="73"/>
        <v>0</v>
      </c>
      <c r="DP109" s="45">
        <f t="shared" si="73"/>
        <v>0</v>
      </c>
      <c r="DQ109" s="45">
        <f t="shared" si="73"/>
        <v>0</v>
      </c>
      <c r="DR109" s="45">
        <f t="shared" si="73"/>
        <v>0</v>
      </c>
      <c r="DS109" s="45">
        <f t="shared" si="73"/>
        <v>0</v>
      </c>
      <c r="DT109" s="45">
        <f t="shared" si="73"/>
        <v>0</v>
      </c>
      <c r="DU109" s="45">
        <f t="shared" si="73"/>
        <v>0</v>
      </c>
      <c r="DV109" s="45">
        <f t="shared" si="73"/>
        <v>0</v>
      </c>
      <c r="DW109" s="45">
        <f t="shared" si="73"/>
        <v>0</v>
      </c>
      <c r="DX109" s="45">
        <f t="shared" si="73"/>
        <v>0</v>
      </c>
      <c r="DY109" s="45">
        <f t="shared" si="73"/>
        <v>0</v>
      </c>
      <c r="DZ109" s="45">
        <f t="shared" si="73"/>
        <v>0</v>
      </c>
      <c r="EA109" s="45">
        <f t="shared" si="73"/>
        <v>0</v>
      </c>
      <c r="EB109" s="45">
        <f t="shared" ref="EB109:GM109" si="74">EB96+EB100+EB34+EB62</f>
        <v>0</v>
      </c>
      <c r="EC109" s="45">
        <f t="shared" si="74"/>
        <v>0</v>
      </c>
      <c r="ED109" s="45">
        <f t="shared" si="74"/>
        <v>0</v>
      </c>
      <c r="EE109" s="45">
        <f t="shared" si="74"/>
        <v>0</v>
      </c>
      <c r="EF109" s="45">
        <f t="shared" si="74"/>
        <v>0</v>
      </c>
      <c r="EG109" s="45">
        <f t="shared" si="74"/>
        <v>0</v>
      </c>
      <c r="EH109" s="45">
        <f t="shared" si="74"/>
        <v>0</v>
      </c>
      <c r="EI109" s="45">
        <f t="shared" si="74"/>
        <v>0</v>
      </c>
      <c r="EJ109" s="45">
        <f t="shared" si="74"/>
        <v>0</v>
      </c>
      <c r="EK109" s="45">
        <f t="shared" si="74"/>
        <v>0</v>
      </c>
      <c r="EL109" s="45">
        <f t="shared" si="74"/>
        <v>0</v>
      </c>
      <c r="EM109" s="45">
        <f t="shared" si="74"/>
        <v>0</v>
      </c>
      <c r="EN109" s="45">
        <f t="shared" si="74"/>
        <v>0</v>
      </c>
      <c r="EO109" s="45">
        <f t="shared" si="74"/>
        <v>0</v>
      </c>
      <c r="EP109" s="45">
        <f t="shared" si="74"/>
        <v>0</v>
      </c>
      <c r="EQ109" s="45">
        <f t="shared" si="74"/>
        <v>0</v>
      </c>
      <c r="ER109" s="45">
        <f t="shared" si="74"/>
        <v>0</v>
      </c>
      <c r="ES109" s="45">
        <f t="shared" si="74"/>
        <v>0</v>
      </c>
      <c r="ET109" s="45">
        <f t="shared" si="74"/>
        <v>0</v>
      </c>
      <c r="EU109" s="45">
        <f t="shared" si="74"/>
        <v>0</v>
      </c>
      <c r="EV109" s="45">
        <f t="shared" si="74"/>
        <v>0</v>
      </c>
      <c r="EW109" s="45">
        <f t="shared" si="74"/>
        <v>0</v>
      </c>
      <c r="EX109" s="45">
        <f t="shared" si="74"/>
        <v>0</v>
      </c>
      <c r="EY109" s="45">
        <f t="shared" si="74"/>
        <v>0</v>
      </c>
      <c r="EZ109" s="45">
        <f t="shared" si="74"/>
        <v>0</v>
      </c>
      <c r="FA109" s="45">
        <f t="shared" si="74"/>
        <v>0</v>
      </c>
      <c r="FB109" s="45">
        <f t="shared" si="74"/>
        <v>0</v>
      </c>
      <c r="FC109" s="45">
        <f t="shared" si="74"/>
        <v>0</v>
      </c>
      <c r="FD109" s="45">
        <f t="shared" si="74"/>
        <v>0</v>
      </c>
      <c r="FE109" s="45">
        <f t="shared" si="74"/>
        <v>0</v>
      </c>
      <c r="FF109" s="45">
        <f t="shared" si="74"/>
        <v>0</v>
      </c>
      <c r="FG109" s="45">
        <f t="shared" si="74"/>
        <v>0</v>
      </c>
      <c r="FH109" s="45">
        <f t="shared" si="74"/>
        <v>0</v>
      </c>
      <c r="FI109" s="45">
        <f t="shared" si="74"/>
        <v>0</v>
      </c>
      <c r="FJ109" s="45">
        <f t="shared" si="74"/>
        <v>0</v>
      </c>
      <c r="FK109" s="45">
        <f t="shared" si="74"/>
        <v>0</v>
      </c>
      <c r="FL109" s="45">
        <f t="shared" si="74"/>
        <v>0</v>
      </c>
      <c r="FM109" s="45">
        <f t="shared" si="74"/>
        <v>0</v>
      </c>
      <c r="FN109" s="45">
        <f t="shared" si="74"/>
        <v>0</v>
      </c>
      <c r="FO109" s="45">
        <f t="shared" si="74"/>
        <v>0</v>
      </c>
      <c r="FP109" s="45">
        <f t="shared" si="74"/>
        <v>0</v>
      </c>
      <c r="FQ109" s="45">
        <f t="shared" si="74"/>
        <v>0</v>
      </c>
      <c r="FR109" s="45">
        <f t="shared" si="74"/>
        <v>0</v>
      </c>
      <c r="FS109" s="45">
        <f t="shared" si="74"/>
        <v>0</v>
      </c>
      <c r="FT109" s="45">
        <f t="shared" si="74"/>
        <v>0</v>
      </c>
      <c r="FU109" s="45">
        <f t="shared" si="74"/>
        <v>0</v>
      </c>
      <c r="FV109" s="45">
        <f t="shared" si="74"/>
        <v>0</v>
      </c>
      <c r="FW109" s="45">
        <f t="shared" si="74"/>
        <v>0</v>
      </c>
      <c r="FX109" s="45">
        <f t="shared" si="74"/>
        <v>0</v>
      </c>
      <c r="FY109" s="45">
        <f t="shared" si="74"/>
        <v>0</v>
      </c>
      <c r="FZ109" s="45">
        <f t="shared" si="74"/>
        <v>0</v>
      </c>
      <c r="GA109" s="45">
        <f t="shared" si="74"/>
        <v>0</v>
      </c>
      <c r="GB109" s="45">
        <f t="shared" si="74"/>
        <v>0</v>
      </c>
      <c r="GC109" s="45">
        <f t="shared" si="74"/>
        <v>0</v>
      </c>
      <c r="GD109" s="45">
        <f t="shared" si="74"/>
        <v>0</v>
      </c>
      <c r="GE109" s="45">
        <f t="shared" si="74"/>
        <v>0</v>
      </c>
      <c r="GF109" s="45">
        <f t="shared" si="74"/>
        <v>0</v>
      </c>
      <c r="GG109" s="45">
        <f t="shared" si="74"/>
        <v>0</v>
      </c>
      <c r="GH109" s="45">
        <f t="shared" si="74"/>
        <v>0</v>
      </c>
      <c r="GI109" s="45">
        <f t="shared" si="74"/>
        <v>0</v>
      </c>
      <c r="GJ109" s="45">
        <f t="shared" si="74"/>
        <v>0</v>
      </c>
      <c r="GK109" s="45">
        <f t="shared" si="74"/>
        <v>0</v>
      </c>
      <c r="GL109" s="45">
        <f t="shared" si="74"/>
        <v>0</v>
      </c>
      <c r="GM109" s="45">
        <f t="shared" si="74"/>
        <v>0</v>
      </c>
      <c r="GN109" s="45">
        <f t="shared" ref="GN109:GT109" si="75">GN96+GN100+GN34+GN62</f>
        <v>0</v>
      </c>
      <c r="GO109" s="45">
        <f t="shared" si="75"/>
        <v>0</v>
      </c>
      <c r="GP109" s="45">
        <f t="shared" si="75"/>
        <v>0</v>
      </c>
      <c r="GQ109" s="45">
        <f t="shared" si="75"/>
        <v>0</v>
      </c>
      <c r="GR109" s="45">
        <f t="shared" si="75"/>
        <v>0</v>
      </c>
      <c r="GS109" s="45">
        <f t="shared" si="75"/>
        <v>0</v>
      </c>
      <c r="GT109" s="45">
        <f t="shared" si="75"/>
        <v>0</v>
      </c>
    </row>
    <row r="110" spans="1:202">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c r="AF110" s="95"/>
      <c r="AG110" s="95"/>
      <c r="AH110" s="95"/>
      <c r="AI110" s="95"/>
      <c r="AJ110" s="95"/>
      <c r="AK110" s="95"/>
      <c r="AL110" s="95"/>
      <c r="AM110" s="95"/>
      <c r="AN110" s="95"/>
      <c r="AO110" s="95"/>
      <c r="AP110" s="95"/>
      <c r="AQ110" s="95"/>
      <c r="AR110" s="95"/>
      <c r="AS110" s="95"/>
      <c r="AT110" s="95"/>
      <c r="AU110" s="95"/>
      <c r="AV110" s="95"/>
      <c r="AW110" s="95"/>
      <c r="AX110" s="95"/>
      <c r="AY110" s="95"/>
      <c r="AZ110" s="95"/>
      <c r="BA110" s="95"/>
      <c r="BB110" s="95"/>
      <c r="BC110" s="95"/>
      <c r="BD110" s="95"/>
      <c r="BE110" s="95"/>
      <c r="BF110" s="95"/>
      <c r="BG110" s="95"/>
      <c r="BH110" s="95"/>
      <c r="BI110" s="95"/>
      <c r="BJ110" s="95"/>
      <c r="BK110" s="95"/>
      <c r="BL110" s="95"/>
      <c r="BM110" s="95"/>
      <c r="BN110" s="95"/>
      <c r="BO110" s="95"/>
      <c r="BP110" s="95"/>
      <c r="BQ110" s="95"/>
      <c r="BR110" s="95"/>
      <c r="BS110" s="95"/>
      <c r="BT110" s="95"/>
      <c r="BU110" s="95"/>
      <c r="BV110" s="95"/>
      <c r="BW110" s="95"/>
      <c r="BX110" s="95"/>
      <c r="BY110" s="95"/>
      <c r="BZ110" s="95"/>
      <c r="CA110" s="95"/>
      <c r="CB110" s="95"/>
      <c r="CC110" s="95"/>
      <c r="CD110" s="95"/>
      <c r="CE110" s="95"/>
      <c r="CF110" s="95"/>
      <c r="CG110" s="95"/>
      <c r="CH110" s="95"/>
      <c r="CI110" s="95"/>
      <c r="CJ110" s="95"/>
      <c r="CK110" s="95"/>
      <c r="CL110" s="95"/>
      <c r="CM110" s="95"/>
      <c r="CN110" s="95"/>
      <c r="CO110" s="95"/>
      <c r="CP110" s="95"/>
      <c r="CQ110" s="95"/>
      <c r="CR110" s="95"/>
      <c r="CS110" s="95"/>
      <c r="CT110" s="95"/>
      <c r="CU110" s="95"/>
      <c r="CV110" s="95"/>
      <c r="CW110" s="95"/>
      <c r="CX110" s="95"/>
      <c r="CY110" s="95"/>
      <c r="CZ110" s="95"/>
      <c r="DA110" s="95"/>
      <c r="DB110" s="95"/>
      <c r="DC110" s="95"/>
      <c r="DD110" s="95"/>
      <c r="DE110" s="95"/>
      <c r="DF110" s="95"/>
      <c r="DG110" s="95"/>
      <c r="DH110" s="95"/>
      <c r="DI110" s="95"/>
      <c r="DJ110" s="95"/>
      <c r="DK110" s="95"/>
      <c r="DL110" s="95"/>
      <c r="DM110" s="95"/>
      <c r="DN110" s="95"/>
      <c r="DO110" s="95"/>
      <c r="DP110" s="95"/>
      <c r="DQ110" s="95"/>
      <c r="DR110" s="95"/>
      <c r="DS110" s="95"/>
      <c r="DT110" s="95"/>
      <c r="DU110" s="95"/>
      <c r="DV110" s="95"/>
      <c r="DW110" s="95"/>
      <c r="DX110" s="95"/>
      <c r="DY110" s="95"/>
      <c r="DZ110" s="95"/>
      <c r="EA110" s="95"/>
      <c r="EB110" s="95"/>
      <c r="EC110" s="95"/>
      <c r="ED110" s="95"/>
      <c r="EE110" s="95"/>
      <c r="EF110" s="95"/>
      <c r="EG110" s="95"/>
      <c r="EH110" s="95"/>
      <c r="EI110" s="95"/>
      <c r="EJ110" s="95"/>
      <c r="EK110" s="95"/>
      <c r="EL110" s="95"/>
      <c r="EM110" s="95"/>
      <c r="EN110" s="95"/>
      <c r="EO110" s="95"/>
      <c r="EP110" s="95"/>
      <c r="EQ110" s="95"/>
      <c r="ER110" s="95"/>
      <c r="ES110" s="95"/>
      <c r="ET110" s="95"/>
      <c r="EU110" s="95"/>
      <c r="EV110" s="95"/>
      <c r="EW110" s="95"/>
      <c r="EX110" s="95"/>
      <c r="EY110" s="95"/>
      <c r="EZ110" s="95"/>
      <c r="FA110" s="95"/>
      <c r="FB110" s="95"/>
      <c r="FC110" s="95"/>
      <c r="FD110" s="95"/>
      <c r="FE110" s="95"/>
      <c r="FF110" s="95"/>
      <c r="FG110" s="95"/>
      <c r="FH110" s="95"/>
      <c r="FI110" s="95"/>
      <c r="FJ110" s="95"/>
      <c r="FK110" s="95"/>
      <c r="FL110" s="95"/>
      <c r="FM110" s="95"/>
      <c r="FN110" s="95"/>
      <c r="FO110" s="95"/>
      <c r="FP110" s="95"/>
      <c r="FQ110" s="95"/>
      <c r="FR110" s="95"/>
      <c r="FS110" s="95"/>
      <c r="FT110" s="95"/>
      <c r="FU110" s="95"/>
      <c r="FV110" s="95"/>
      <c r="FW110" s="95"/>
      <c r="FX110" s="95"/>
      <c r="FY110" s="95"/>
      <c r="FZ110" s="95"/>
      <c r="GA110" s="95"/>
      <c r="GB110" s="95"/>
      <c r="GC110" s="95"/>
      <c r="GD110" s="95"/>
      <c r="GE110" s="95"/>
      <c r="GF110" s="95"/>
      <c r="GG110" s="95"/>
      <c r="GH110" s="95"/>
      <c r="GI110" s="95"/>
      <c r="GJ110" s="95"/>
      <c r="GK110" s="95"/>
      <c r="GL110" s="95"/>
      <c r="GM110" s="95"/>
      <c r="GN110" s="95"/>
      <c r="GO110" s="95"/>
      <c r="GP110" s="95"/>
      <c r="GQ110" s="95"/>
      <c r="GR110" s="95"/>
      <c r="GS110" s="95"/>
      <c r="GT110" s="95"/>
    </row>
    <row r="111" spans="1:202" hidden="1" outlineLevel="1">
      <c r="A111" s="222" t="s">
        <v>228</v>
      </c>
      <c r="B111" s="95"/>
      <c r="C111" s="223">
        <f>1/12</f>
        <v>8.3333333333333329E-2</v>
      </c>
      <c r="D111" s="223">
        <f>1/12</f>
        <v>8.3333333333333329E-2</v>
      </c>
      <c r="E111" s="223">
        <f t="shared" ref="E111:BP111" si="76">1/12</f>
        <v>8.3333333333333329E-2</v>
      </c>
      <c r="F111" s="223">
        <f t="shared" si="76"/>
        <v>8.3333333333333329E-2</v>
      </c>
      <c r="G111" s="223">
        <f t="shared" si="76"/>
        <v>8.3333333333333329E-2</v>
      </c>
      <c r="H111" s="223">
        <f t="shared" si="76"/>
        <v>8.3333333333333329E-2</v>
      </c>
      <c r="I111" s="223">
        <f t="shared" si="76"/>
        <v>8.3333333333333329E-2</v>
      </c>
      <c r="J111" s="223">
        <f t="shared" si="76"/>
        <v>8.3333333333333329E-2</v>
      </c>
      <c r="K111" s="223">
        <f t="shared" si="76"/>
        <v>8.3333333333333329E-2</v>
      </c>
      <c r="L111" s="223">
        <f t="shared" si="76"/>
        <v>8.3333333333333329E-2</v>
      </c>
      <c r="M111" s="223">
        <f t="shared" si="76"/>
        <v>8.3333333333333329E-2</v>
      </c>
      <c r="N111" s="223">
        <f t="shared" si="76"/>
        <v>8.3333333333333329E-2</v>
      </c>
      <c r="O111" s="223">
        <f t="shared" si="76"/>
        <v>8.3333333333333329E-2</v>
      </c>
      <c r="P111" s="223">
        <f t="shared" si="76"/>
        <v>8.3333333333333329E-2</v>
      </c>
      <c r="Q111" s="223">
        <f t="shared" si="76"/>
        <v>8.3333333333333329E-2</v>
      </c>
      <c r="R111" s="223">
        <f t="shared" si="76"/>
        <v>8.3333333333333329E-2</v>
      </c>
      <c r="S111" s="223">
        <f t="shared" si="76"/>
        <v>8.3333333333333329E-2</v>
      </c>
      <c r="T111" s="223">
        <f t="shared" si="76"/>
        <v>8.3333333333333329E-2</v>
      </c>
      <c r="U111" s="223">
        <f t="shared" si="76"/>
        <v>8.3333333333333329E-2</v>
      </c>
      <c r="V111" s="223">
        <f t="shared" si="76"/>
        <v>8.3333333333333329E-2</v>
      </c>
      <c r="W111" s="223">
        <f t="shared" si="76"/>
        <v>8.3333333333333329E-2</v>
      </c>
      <c r="X111" s="223">
        <f t="shared" si="76"/>
        <v>8.3333333333333329E-2</v>
      </c>
      <c r="Y111" s="223">
        <f t="shared" si="76"/>
        <v>8.3333333333333329E-2</v>
      </c>
      <c r="Z111" s="223">
        <f t="shared" si="76"/>
        <v>8.3333333333333329E-2</v>
      </c>
      <c r="AA111" s="223">
        <f t="shared" si="76"/>
        <v>8.3333333333333329E-2</v>
      </c>
      <c r="AB111" s="223">
        <f t="shared" si="76"/>
        <v>8.3333333333333329E-2</v>
      </c>
      <c r="AC111" s="223">
        <f t="shared" si="76"/>
        <v>8.3333333333333329E-2</v>
      </c>
      <c r="AD111" s="223">
        <f t="shared" si="76"/>
        <v>8.3333333333333329E-2</v>
      </c>
      <c r="AE111" s="223">
        <f t="shared" si="76"/>
        <v>8.3333333333333329E-2</v>
      </c>
      <c r="AF111" s="223">
        <f t="shared" si="76"/>
        <v>8.3333333333333329E-2</v>
      </c>
      <c r="AG111" s="223">
        <f t="shared" si="76"/>
        <v>8.3333333333333329E-2</v>
      </c>
      <c r="AH111" s="223">
        <f t="shared" si="76"/>
        <v>8.3333333333333329E-2</v>
      </c>
      <c r="AI111" s="223">
        <f t="shared" si="76"/>
        <v>8.3333333333333329E-2</v>
      </c>
      <c r="AJ111" s="223">
        <f t="shared" si="76"/>
        <v>8.3333333333333329E-2</v>
      </c>
      <c r="AK111" s="223">
        <f t="shared" si="76"/>
        <v>8.3333333333333329E-2</v>
      </c>
      <c r="AL111" s="223">
        <f t="shared" si="76"/>
        <v>8.3333333333333329E-2</v>
      </c>
      <c r="AM111" s="223">
        <f t="shared" si="76"/>
        <v>8.3333333333333329E-2</v>
      </c>
      <c r="AN111" s="223">
        <f t="shared" si="76"/>
        <v>8.3333333333333329E-2</v>
      </c>
      <c r="AO111" s="223">
        <f t="shared" si="76"/>
        <v>8.3333333333333329E-2</v>
      </c>
      <c r="AP111" s="223">
        <f t="shared" si="76"/>
        <v>8.3333333333333329E-2</v>
      </c>
      <c r="AQ111" s="223">
        <f t="shared" si="76"/>
        <v>8.3333333333333329E-2</v>
      </c>
      <c r="AR111" s="223">
        <f t="shared" si="76"/>
        <v>8.3333333333333329E-2</v>
      </c>
      <c r="AS111" s="223">
        <f t="shared" si="76"/>
        <v>8.3333333333333329E-2</v>
      </c>
      <c r="AT111" s="223">
        <f t="shared" si="76"/>
        <v>8.3333333333333329E-2</v>
      </c>
      <c r="AU111" s="223">
        <f t="shared" si="76"/>
        <v>8.3333333333333329E-2</v>
      </c>
      <c r="AV111" s="223">
        <f t="shared" si="76"/>
        <v>8.3333333333333329E-2</v>
      </c>
      <c r="AW111" s="223">
        <f t="shared" si="76"/>
        <v>8.3333333333333329E-2</v>
      </c>
      <c r="AX111" s="223">
        <f t="shared" si="76"/>
        <v>8.3333333333333329E-2</v>
      </c>
      <c r="AY111" s="223">
        <f t="shared" si="76"/>
        <v>8.3333333333333329E-2</v>
      </c>
      <c r="AZ111" s="223">
        <f t="shared" si="76"/>
        <v>8.3333333333333329E-2</v>
      </c>
      <c r="BA111" s="223">
        <f t="shared" si="76"/>
        <v>8.3333333333333329E-2</v>
      </c>
      <c r="BB111" s="223">
        <f t="shared" si="76"/>
        <v>8.3333333333333329E-2</v>
      </c>
      <c r="BC111" s="223">
        <f t="shared" si="76"/>
        <v>8.3333333333333329E-2</v>
      </c>
      <c r="BD111" s="223">
        <f t="shared" si="76"/>
        <v>8.3333333333333329E-2</v>
      </c>
      <c r="BE111" s="223">
        <f t="shared" si="76"/>
        <v>8.3333333333333329E-2</v>
      </c>
      <c r="BF111" s="223">
        <f t="shared" si="76"/>
        <v>8.3333333333333329E-2</v>
      </c>
      <c r="BG111" s="223">
        <f t="shared" si="76"/>
        <v>8.3333333333333329E-2</v>
      </c>
      <c r="BH111" s="223">
        <f t="shared" si="76"/>
        <v>8.3333333333333329E-2</v>
      </c>
      <c r="BI111" s="223">
        <f t="shared" si="76"/>
        <v>8.3333333333333329E-2</v>
      </c>
      <c r="BJ111" s="223">
        <f t="shared" si="76"/>
        <v>8.3333333333333329E-2</v>
      </c>
      <c r="BK111" s="223">
        <f t="shared" si="76"/>
        <v>8.3333333333333329E-2</v>
      </c>
      <c r="BL111" s="223">
        <f t="shared" si="76"/>
        <v>8.3333333333333329E-2</v>
      </c>
      <c r="BM111" s="223">
        <f t="shared" si="76"/>
        <v>8.3333333333333329E-2</v>
      </c>
      <c r="BN111" s="223">
        <f t="shared" si="76"/>
        <v>8.3333333333333329E-2</v>
      </c>
      <c r="BO111" s="223">
        <f t="shared" si="76"/>
        <v>8.3333333333333329E-2</v>
      </c>
      <c r="BP111" s="223">
        <f t="shared" si="76"/>
        <v>8.3333333333333329E-2</v>
      </c>
      <c r="BQ111" s="223">
        <f t="shared" ref="BQ111:EB111" si="77">1/12</f>
        <v>8.3333333333333329E-2</v>
      </c>
      <c r="BR111" s="223">
        <f t="shared" si="77"/>
        <v>8.3333333333333329E-2</v>
      </c>
      <c r="BS111" s="223">
        <f t="shared" si="77"/>
        <v>8.3333333333333329E-2</v>
      </c>
      <c r="BT111" s="223">
        <f t="shared" si="77"/>
        <v>8.3333333333333329E-2</v>
      </c>
      <c r="BU111" s="223">
        <f t="shared" si="77"/>
        <v>8.3333333333333329E-2</v>
      </c>
      <c r="BV111" s="223">
        <f t="shared" si="77"/>
        <v>8.3333333333333329E-2</v>
      </c>
      <c r="BW111" s="223">
        <f t="shared" si="77"/>
        <v>8.3333333333333329E-2</v>
      </c>
      <c r="BX111" s="223">
        <f t="shared" si="77"/>
        <v>8.3333333333333329E-2</v>
      </c>
      <c r="BY111" s="223">
        <f t="shared" si="77"/>
        <v>8.3333333333333329E-2</v>
      </c>
      <c r="BZ111" s="223">
        <f t="shared" si="77"/>
        <v>8.3333333333333329E-2</v>
      </c>
      <c r="CA111" s="223">
        <f t="shared" si="77"/>
        <v>8.3333333333333329E-2</v>
      </c>
      <c r="CB111" s="223">
        <f t="shared" si="77"/>
        <v>8.3333333333333329E-2</v>
      </c>
      <c r="CC111" s="223">
        <f t="shared" si="77"/>
        <v>8.3333333333333329E-2</v>
      </c>
      <c r="CD111" s="223">
        <f t="shared" si="77"/>
        <v>8.3333333333333329E-2</v>
      </c>
      <c r="CE111" s="223">
        <f t="shared" si="77"/>
        <v>8.3333333333333329E-2</v>
      </c>
      <c r="CF111" s="223">
        <f t="shared" si="77"/>
        <v>8.3333333333333329E-2</v>
      </c>
      <c r="CG111" s="223">
        <f t="shared" si="77"/>
        <v>8.3333333333333329E-2</v>
      </c>
      <c r="CH111" s="223">
        <f t="shared" si="77"/>
        <v>8.3333333333333329E-2</v>
      </c>
      <c r="CI111" s="223">
        <f t="shared" si="77"/>
        <v>8.3333333333333329E-2</v>
      </c>
      <c r="CJ111" s="223">
        <f t="shared" si="77"/>
        <v>8.3333333333333329E-2</v>
      </c>
      <c r="CK111" s="223">
        <f t="shared" si="77"/>
        <v>8.3333333333333329E-2</v>
      </c>
      <c r="CL111" s="223">
        <f t="shared" si="77"/>
        <v>8.3333333333333329E-2</v>
      </c>
      <c r="CM111" s="223">
        <f t="shared" si="77"/>
        <v>8.3333333333333329E-2</v>
      </c>
      <c r="CN111" s="223">
        <f t="shared" si="77"/>
        <v>8.3333333333333329E-2</v>
      </c>
      <c r="CO111" s="223">
        <f t="shared" si="77"/>
        <v>8.3333333333333329E-2</v>
      </c>
      <c r="CP111" s="223">
        <f t="shared" si="77"/>
        <v>8.3333333333333329E-2</v>
      </c>
      <c r="CQ111" s="223">
        <f t="shared" si="77"/>
        <v>8.3333333333333329E-2</v>
      </c>
      <c r="CR111" s="223">
        <f t="shared" si="77"/>
        <v>8.3333333333333329E-2</v>
      </c>
      <c r="CS111" s="223">
        <f t="shared" si="77"/>
        <v>8.3333333333333329E-2</v>
      </c>
      <c r="CT111" s="223">
        <f t="shared" si="77"/>
        <v>8.3333333333333329E-2</v>
      </c>
      <c r="CU111" s="223">
        <f t="shared" si="77"/>
        <v>8.3333333333333329E-2</v>
      </c>
      <c r="CV111" s="223">
        <f t="shared" si="77"/>
        <v>8.3333333333333329E-2</v>
      </c>
      <c r="CW111" s="223">
        <f t="shared" si="77"/>
        <v>8.3333333333333329E-2</v>
      </c>
      <c r="CX111" s="223">
        <f t="shared" si="77"/>
        <v>8.3333333333333329E-2</v>
      </c>
      <c r="CY111" s="223">
        <f t="shared" si="77"/>
        <v>8.3333333333333329E-2</v>
      </c>
      <c r="CZ111" s="223">
        <f t="shared" si="77"/>
        <v>8.3333333333333329E-2</v>
      </c>
      <c r="DA111" s="223">
        <f t="shared" si="77"/>
        <v>8.3333333333333329E-2</v>
      </c>
      <c r="DB111" s="223">
        <f t="shared" si="77"/>
        <v>8.3333333333333329E-2</v>
      </c>
      <c r="DC111" s="223">
        <f t="shared" si="77"/>
        <v>8.3333333333333329E-2</v>
      </c>
      <c r="DD111" s="223">
        <f t="shared" si="77"/>
        <v>8.3333333333333329E-2</v>
      </c>
      <c r="DE111" s="223">
        <f t="shared" si="77"/>
        <v>8.3333333333333329E-2</v>
      </c>
      <c r="DF111" s="223">
        <f t="shared" si="77"/>
        <v>8.3333333333333329E-2</v>
      </c>
      <c r="DG111" s="223">
        <f t="shared" si="77"/>
        <v>8.3333333333333329E-2</v>
      </c>
      <c r="DH111" s="223">
        <f t="shared" si="77"/>
        <v>8.3333333333333329E-2</v>
      </c>
      <c r="DI111" s="223">
        <f t="shared" si="77"/>
        <v>8.3333333333333329E-2</v>
      </c>
      <c r="DJ111" s="223">
        <f t="shared" si="77"/>
        <v>8.3333333333333329E-2</v>
      </c>
      <c r="DK111" s="223">
        <f t="shared" si="77"/>
        <v>8.3333333333333329E-2</v>
      </c>
      <c r="DL111" s="223">
        <f t="shared" si="77"/>
        <v>8.3333333333333329E-2</v>
      </c>
      <c r="DM111" s="223">
        <f t="shared" si="77"/>
        <v>8.3333333333333329E-2</v>
      </c>
      <c r="DN111" s="223">
        <f t="shared" si="77"/>
        <v>8.3333333333333329E-2</v>
      </c>
      <c r="DO111" s="223">
        <f t="shared" si="77"/>
        <v>8.3333333333333329E-2</v>
      </c>
      <c r="DP111" s="223">
        <f t="shared" si="77"/>
        <v>8.3333333333333329E-2</v>
      </c>
      <c r="DQ111" s="223">
        <f t="shared" si="77"/>
        <v>8.3333333333333329E-2</v>
      </c>
      <c r="DR111" s="223">
        <f t="shared" si="77"/>
        <v>8.3333333333333329E-2</v>
      </c>
      <c r="DS111" s="223">
        <f t="shared" si="77"/>
        <v>8.3333333333333329E-2</v>
      </c>
      <c r="DT111" s="223">
        <f t="shared" si="77"/>
        <v>8.3333333333333329E-2</v>
      </c>
      <c r="DU111" s="223">
        <f t="shared" si="77"/>
        <v>8.3333333333333329E-2</v>
      </c>
      <c r="DV111" s="223">
        <f t="shared" si="77"/>
        <v>8.3333333333333329E-2</v>
      </c>
      <c r="DW111" s="223">
        <f t="shared" si="77"/>
        <v>8.3333333333333329E-2</v>
      </c>
      <c r="DX111" s="223">
        <f t="shared" si="77"/>
        <v>8.3333333333333329E-2</v>
      </c>
      <c r="DY111" s="223">
        <f t="shared" si="77"/>
        <v>8.3333333333333329E-2</v>
      </c>
      <c r="DZ111" s="223">
        <f t="shared" si="77"/>
        <v>8.3333333333333329E-2</v>
      </c>
      <c r="EA111" s="223">
        <f t="shared" si="77"/>
        <v>8.3333333333333329E-2</v>
      </c>
      <c r="EB111" s="223">
        <f t="shared" si="77"/>
        <v>8.3333333333333329E-2</v>
      </c>
      <c r="EC111" s="223">
        <f t="shared" ref="EC111:GN111" si="78">1/12</f>
        <v>8.3333333333333329E-2</v>
      </c>
      <c r="ED111" s="223">
        <f t="shared" si="78"/>
        <v>8.3333333333333329E-2</v>
      </c>
      <c r="EE111" s="223">
        <f t="shared" si="78"/>
        <v>8.3333333333333329E-2</v>
      </c>
      <c r="EF111" s="223">
        <f t="shared" si="78"/>
        <v>8.3333333333333329E-2</v>
      </c>
      <c r="EG111" s="223">
        <f t="shared" si="78"/>
        <v>8.3333333333333329E-2</v>
      </c>
      <c r="EH111" s="223">
        <f t="shared" si="78"/>
        <v>8.3333333333333329E-2</v>
      </c>
      <c r="EI111" s="223">
        <f t="shared" si="78"/>
        <v>8.3333333333333329E-2</v>
      </c>
      <c r="EJ111" s="223">
        <f t="shared" si="78"/>
        <v>8.3333333333333329E-2</v>
      </c>
      <c r="EK111" s="223">
        <f t="shared" si="78"/>
        <v>8.3333333333333329E-2</v>
      </c>
      <c r="EL111" s="223">
        <f t="shared" si="78"/>
        <v>8.3333333333333329E-2</v>
      </c>
      <c r="EM111" s="223">
        <f t="shared" si="78"/>
        <v>8.3333333333333329E-2</v>
      </c>
      <c r="EN111" s="223">
        <f t="shared" si="78"/>
        <v>8.3333333333333329E-2</v>
      </c>
      <c r="EO111" s="223">
        <f t="shared" si="78"/>
        <v>8.3333333333333329E-2</v>
      </c>
      <c r="EP111" s="223">
        <f t="shared" si="78"/>
        <v>8.3333333333333329E-2</v>
      </c>
      <c r="EQ111" s="223">
        <f t="shared" si="78"/>
        <v>8.3333333333333329E-2</v>
      </c>
      <c r="ER111" s="223">
        <f t="shared" si="78"/>
        <v>8.3333333333333329E-2</v>
      </c>
      <c r="ES111" s="223">
        <f t="shared" si="78"/>
        <v>8.3333333333333329E-2</v>
      </c>
      <c r="ET111" s="223">
        <f t="shared" si="78"/>
        <v>8.3333333333333329E-2</v>
      </c>
      <c r="EU111" s="223">
        <f t="shared" si="78"/>
        <v>8.3333333333333329E-2</v>
      </c>
      <c r="EV111" s="223">
        <f t="shared" si="78"/>
        <v>8.3333333333333329E-2</v>
      </c>
      <c r="EW111" s="223">
        <f t="shared" si="78"/>
        <v>8.3333333333333329E-2</v>
      </c>
      <c r="EX111" s="223">
        <f t="shared" si="78"/>
        <v>8.3333333333333329E-2</v>
      </c>
      <c r="EY111" s="223">
        <f t="shared" si="78"/>
        <v>8.3333333333333329E-2</v>
      </c>
      <c r="EZ111" s="223">
        <f t="shared" si="78"/>
        <v>8.3333333333333329E-2</v>
      </c>
      <c r="FA111" s="223">
        <f t="shared" si="78"/>
        <v>8.3333333333333329E-2</v>
      </c>
      <c r="FB111" s="223">
        <f t="shared" si="78"/>
        <v>8.3333333333333329E-2</v>
      </c>
      <c r="FC111" s="223">
        <f t="shared" si="78"/>
        <v>8.3333333333333329E-2</v>
      </c>
      <c r="FD111" s="223">
        <f t="shared" si="78"/>
        <v>8.3333333333333329E-2</v>
      </c>
      <c r="FE111" s="223">
        <f t="shared" si="78"/>
        <v>8.3333333333333329E-2</v>
      </c>
      <c r="FF111" s="223">
        <f t="shared" si="78"/>
        <v>8.3333333333333329E-2</v>
      </c>
      <c r="FG111" s="223">
        <f t="shared" si="78"/>
        <v>8.3333333333333329E-2</v>
      </c>
      <c r="FH111" s="223">
        <f t="shared" si="78"/>
        <v>8.3333333333333329E-2</v>
      </c>
      <c r="FI111" s="223">
        <f t="shared" si="78"/>
        <v>8.3333333333333329E-2</v>
      </c>
      <c r="FJ111" s="223">
        <f t="shared" si="78"/>
        <v>8.3333333333333329E-2</v>
      </c>
      <c r="FK111" s="223">
        <f t="shared" si="78"/>
        <v>8.3333333333333329E-2</v>
      </c>
      <c r="FL111" s="223">
        <f t="shared" si="78"/>
        <v>8.3333333333333329E-2</v>
      </c>
      <c r="FM111" s="223">
        <f t="shared" si="78"/>
        <v>8.3333333333333329E-2</v>
      </c>
      <c r="FN111" s="223">
        <f t="shared" si="78"/>
        <v>8.3333333333333329E-2</v>
      </c>
      <c r="FO111" s="223">
        <f t="shared" si="78"/>
        <v>8.3333333333333329E-2</v>
      </c>
      <c r="FP111" s="223">
        <f t="shared" si="78"/>
        <v>8.3333333333333329E-2</v>
      </c>
      <c r="FQ111" s="223">
        <f t="shared" si="78"/>
        <v>8.3333333333333329E-2</v>
      </c>
      <c r="FR111" s="223">
        <f t="shared" si="78"/>
        <v>8.3333333333333329E-2</v>
      </c>
      <c r="FS111" s="223">
        <f t="shared" si="78"/>
        <v>8.3333333333333329E-2</v>
      </c>
      <c r="FT111" s="223">
        <f t="shared" si="78"/>
        <v>8.3333333333333329E-2</v>
      </c>
      <c r="FU111" s="223">
        <f t="shared" si="78"/>
        <v>8.3333333333333329E-2</v>
      </c>
      <c r="FV111" s="223">
        <f t="shared" si="78"/>
        <v>8.3333333333333329E-2</v>
      </c>
      <c r="FW111" s="223">
        <f t="shared" si="78"/>
        <v>8.3333333333333329E-2</v>
      </c>
      <c r="FX111" s="223">
        <f t="shared" si="78"/>
        <v>8.3333333333333329E-2</v>
      </c>
      <c r="FY111" s="223">
        <f t="shared" si="78"/>
        <v>8.3333333333333329E-2</v>
      </c>
      <c r="FZ111" s="223">
        <f t="shared" si="78"/>
        <v>8.3333333333333329E-2</v>
      </c>
      <c r="GA111" s="223">
        <f t="shared" si="78"/>
        <v>8.3333333333333329E-2</v>
      </c>
      <c r="GB111" s="223">
        <f t="shared" si="78"/>
        <v>8.3333333333333329E-2</v>
      </c>
      <c r="GC111" s="223">
        <f t="shared" si="78"/>
        <v>8.3333333333333329E-2</v>
      </c>
      <c r="GD111" s="223">
        <f t="shared" si="78"/>
        <v>8.3333333333333329E-2</v>
      </c>
      <c r="GE111" s="223">
        <f t="shared" si="78"/>
        <v>8.3333333333333329E-2</v>
      </c>
      <c r="GF111" s="223">
        <f t="shared" si="78"/>
        <v>8.3333333333333329E-2</v>
      </c>
      <c r="GG111" s="223">
        <f t="shared" si="78"/>
        <v>8.3333333333333329E-2</v>
      </c>
      <c r="GH111" s="223">
        <f t="shared" si="78"/>
        <v>8.3333333333333329E-2</v>
      </c>
      <c r="GI111" s="223">
        <f t="shared" si="78"/>
        <v>8.3333333333333329E-2</v>
      </c>
      <c r="GJ111" s="223">
        <f t="shared" si="78"/>
        <v>8.3333333333333329E-2</v>
      </c>
      <c r="GK111" s="223">
        <f t="shared" si="78"/>
        <v>8.3333333333333329E-2</v>
      </c>
      <c r="GL111" s="223">
        <f t="shared" si="78"/>
        <v>8.3333333333333329E-2</v>
      </c>
      <c r="GM111" s="223">
        <f t="shared" si="78"/>
        <v>8.3333333333333329E-2</v>
      </c>
      <c r="GN111" s="223">
        <f t="shared" si="78"/>
        <v>8.3333333333333329E-2</v>
      </c>
      <c r="GO111" s="223">
        <f t="shared" ref="GO111:GT111" si="79">1/12</f>
        <v>8.3333333333333329E-2</v>
      </c>
      <c r="GP111" s="223">
        <f t="shared" si="79"/>
        <v>8.3333333333333329E-2</v>
      </c>
      <c r="GQ111" s="223">
        <f t="shared" si="79"/>
        <v>8.3333333333333329E-2</v>
      </c>
      <c r="GR111" s="223">
        <f t="shared" si="79"/>
        <v>8.3333333333333329E-2</v>
      </c>
      <c r="GS111" s="223">
        <f t="shared" si="79"/>
        <v>8.3333333333333329E-2</v>
      </c>
      <c r="GT111" s="223">
        <f t="shared" si="79"/>
        <v>8.3333333333333329E-2</v>
      </c>
    </row>
    <row r="112" spans="1:202" hidden="1" outlineLevel="1">
      <c r="A112" s="222" t="s">
        <v>229</v>
      </c>
      <c r="B112" s="95"/>
      <c r="C112" s="223">
        <f>1/(1+C5)^0</f>
        <v>1</v>
      </c>
      <c r="D112" s="223">
        <f t="shared" ref="D112:AI112" si="80">1/(1+D5)^D111</f>
        <v>0.98770783971042153</v>
      </c>
      <c r="E112" s="223">
        <f t="shared" si="80"/>
        <v>0.98770783971042153</v>
      </c>
      <c r="F112" s="223">
        <f t="shared" si="80"/>
        <v>0.98770783971042153</v>
      </c>
      <c r="G112" s="223">
        <f t="shared" si="80"/>
        <v>0.98770783971042153</v>
      </c>
      <c r="H112" s="223">
        <f t="shared" si="80"/>
        <v>0.98770783971042153</v>
      </c>
      <c r="I112" s="223">
        <f t="shared" si="80"/>
        <v>0.98770783971042153</v>
      </c>
      <c r="J112" s="223">
        <f t="shared" si="80"/>
        <v>0.98770783971042153</v>
      </c>
      <c r="K112" s="223">
        <f t="shared" si="80"/>
        <v>0.98770783971042153</v>
      </c>
      <c r="L112" s="223">
        <f t="shared" si="80"/>
        <v>0.98770783971042153</v>
      </c>
      <c r="M112" s="223">
        <f t="shared" si="80"/>
        <v>0.98770783971042153</v>
      </c>
      <c r="N112" s="223">
        <f t="shared" si="80"/>
        <v>0.98770783971042153</v>
      </c>
      <c r="O112" s="223">
        <f t="shared" si="80"/>
        <v>0.98770783971042153</v>
      </c>
      <c r="P112" s="223">
        <f t="shared" si="80"/>
        <v>0.98770783971042153</v>
      </c>
      <c r="Q112" s="223">
        <f t="shared" si="80"/>
        <v>0.98770783971042153</v>
      </c>
      <c r="R112" s="223">
        <f t="shared" si="80"/>
        <v>0.98770783971042153</v>
      </c>
      <c r="S112" s="223">
        <f t="shared" si="80"/>
        <v>0.98770783971042153</v>
      </c>
      <c r="T112" s="223">
        <f t="shared" si="80"/>
        <v>0.98770783971042153</v>
      </c>
      <c r="U112" s="223">
        <f t="shared" si="80"/>
        <v>0.98770783971042153</v>
      </c>
      <c r="V112" s="223">
        <f t="shared" si="80"/>
        <v>0.98770783971042153</v>
      </c>
      <c r="W112" s="223">
        <f t="shared" si="80"/>
        <v>0.98770783971042153</v>
      </c>
      <c r="X112" s="223">
        <f t="shared" si="80"/>
        <v>0.98770783971042153</v>
      </c>
      <c r="Y112" s="223">
        <f t="shared" si="80"/>
        <v>0.98770783971042153</v>
      </c>
      <c r="Z112" s="223">
        <f t="shared" si="80"/>
        <v>0.98770783971042153</v>
      </c>
      <c r="AA112" s="223">
        <f t="shared" si="80"/>
        <v>0.98770783971042153</v>
      </c>
      <c r="AB112" s="223">
        <f t="shared" si="80"/>
        <v>0.98770783971042153</v>
      </c>
      <c r="AC112" s="223">
        <f t="shared" si="80"/>
        <v>0.98770783971042153</v>
      </c>
      <c r="AD112" s="223">
        <f t="shared" si="80"/>
        <v>0.98770783971042153</v>
      </c>
      <c r="AE112" s="223">
        <f t="shared" si="80"/>
        <v>0.98770783971042153</v>
      </c>
      <c r="AF112" s="223">
        <f t="shared" si="80"/>
        <v>0.98770783971042153</v>
      </c>
      <c r="AG112" s="223">
        <f t="shared" si="80"/>
        <v>0.98770783971042153</v>
      </c>
      <c r="AH112" s="223">
        <f t="shared" si="80"/>
        <v>0.98770783971042153</v>
      </c>
      <c r="AI112" s="223">
        <f t="shared" si="80"/>
        <v>0.98770783971042153</v>
      </c>
      <c r="AJ112" s="223">
        <f t="shared" ref="AJ112:BO112" si="81">1/(1+AJ5)^AJ111</f>
        <v>0.98770783971042153</v>
      </c>
      <c r="AK112" s="223">
        <f t="shared" si="81"/>
        <v>0.98770783971042153</v>
      </c>
      <c r="AL112" s="223">
        <f t="shared" si="81"/>
        <v>0.98770783971042153</v>
      </c>
      <c r="AM112" s="223">
        <f t="shared" si="81"/>
        <v>0.98770783971042153</v>
      </c>
      <c r="AN112" s="223">
        <f t="shared" si="81"/>
        <v>0.98770783971042153</v>
      </c>
      <c r="AO112" s="223">
        <f t="shared" si="81"/>
        <v>0.98770783971042153</v>
      </c>
      <c r="AP112" s="223">
        <f t="shared" si="81"/>
        <v>0.98770783971042153</v>
      </c>
      <c r="AQ112" s="223">
        <f t="shared" si="81"/>
        <v>0.98770783971042153</v>
      </c>
      <c r="AR112" s="223">
        <f t="shared" si="81"/>
        <v>0.98770783971042153</v>
      </c>
      <c r="AS112" s="223">
        <f t="shared" si="81"/>
        <v>0.98770783971042153</v>
      </c>
      <c r="AT112" s="223">
        <f t="shared" si="81"/>
        <v>0.98770783971042153</v>
      </c>
      <c r="AU112" s="223">
        <f t="shared" si="81"/>
        <v>0.98770783971042153</v>
      </c>
      <c r="AV112" s="223">
        <f t="shared" si="81"/>
        <v>0.98770783971042153</v>
      </c>
      <c r="AW112" s="223">
        <f t="shared" si="81"/>
        <v>0.98770783971042153</v>
      </c>
      <c r="AX112" s="223">
        <f t="shared" si="81"/>
        <v>0.98770783971042153</v>
      </c>
      <c r="AY112" s="223">
        <f t="shared" si="81"/>
        <v>0.98770783971042153</v>
      </c>
      <c r="AZ112" s="223">
        <f t="shared" si="81"/>
        <v>0.98770783971042153</v>
      </c>
      <c r="BA112" s="223">
        <f t="shared" si="81"/>
        <v>0.98770783971042153</v>
      </c>
      <c r="BB112" s="223">
        <f t="shared" si="81"/>
        <v>0.98770783971042153</v>
      </c>
      <c r="BC112" s="223">
        <f t="shared" si="81"/>
        <v>0.98770783971042153</v>
      </c>
      <c r="BD112" s="223">
        <f t="shared" si="81"/>
        <v>0.98770783971042153</v>
      </c>
      <c r="BE112" s="223">
        <f t="shared" si="81"/>
        <v>0.98770783971042153</v>
      </c>
      <c r="BF112" s="223">
        <f t="shared" si="81"/>
        <v>0.98770783971042153</v>
      </c>
      <c r="BG112" s="223">
        <f t="shared" si="81"/>
        <v>0.98770783971042153</v>
      </c>
      <c r="BH112" s="223">
        <f t="shared" si="81"/>
        <v>0.98770783971042153</v>
      </c>
      <c r="BI112" s="223">
        <f t="shared" si="81"/>
        <v>0.98770783971042153</v>
      </c>
      <c r="BJ112" s="223">
        <f t="shared" si="81"/>
        <v>0.98770783971042153</v>
      </c>
      <c r="BK112" s="223">
        <f t="shared" si="81"/>
        <v>0.98770783971042153</v>
      </c>
      <c r="BL112" s="223">
        <f t="shared" si="81"/>
        <v>0.98770783971042153</v>
      </c>
      <c r="BM112" s="223">
        <f t="shared" si="81"/>
        <v>0.98770783971042153</v>
      </c>
      <c r="BN112" s="223">
        <f t="shared" si="81"/>
        <v>0.98770783971042153</v>
      </c>
      <c r="BO112" s="223">
        <f t="shared" si="81"/>
        <v>0.98770783971042153</v>
      </c>
      <c r="BP112" s="223">
        <f t="shared" ref="BP112:CU112" si="82">1/(1+BP5)^BP111</f>
        <v>0.98770783971042153</v>
      </c>
      <c r="BQ112" s="223">
        <f t="shared" si="82"/>
        <v>0.98770783971042153</v>
      </c>
      <c r="BR112" s="223">
        <f t="shared" si="82"/>
        <v>0.98770783971042153</v>
      </c>
      <c r="BS112" s="223">
        <f t="shared" si="82"/>
        <v>0.98770783971042153</v>
      </c>
      <c r="BT112" s="223">
        <f t="shared" si="82"/>
        <v>0.98770783971042153</v>
      </c>
      <c r="BU112" s="223">
        <f t="shared" si="82"/>
        <v>0.98770783971042153</v>
      </c>
      <c r="BV112" s="223">
        <f t="shared" si="82"/>
        <v>0.98770783971042153</v>
      </c>
      <c r="BW112" s="223">
        <f t="shared" si="82"/>
        <v>0.98770783971042153</v>
      </c>
      <c r="BX112" s="223">
        <f t="shared" si="82"/>
        <v>0.98770783971042153</v>
      </c>
      <c r="BY112" s="223">
        <f t="shared" si="82"/>
        <v>0.98770783971042153</v>
      </c>
      <c r="BZ112" s="223">
        <f t="shared" si="82"/>
        <v>0.98770783971042153</v>
      </c>
      <c r="CA112" s="223">
        <f t="shared" si="82"/>
        <v>0.98770783971042153</v>
      </c>
      <c r="CB112" s="223">
        <f t="shared" si="82"/>
        <v>0.98770783971042153</v>
      </c>
      <c r="CC112" s="223">
        <f t="shared" si="82"/>
        <v>0.98770783971042153</v>
      </c>
      <c r="CD112" s="223">
        <f t="shared" si="82"/>
        <v>0.98770783971042153</v>
      </c>
      <c r="CE112" s="223">
        <f t="shared" si="82"/>
        <v>0.98770783971042153</v>
      </c>
      <c r="CF112" s="223">
        <f t="shared" si="82"/>
        <v>0.98770783971042153</v>
      </c>
      <c r="CG112" s="223">
        <f t="shared" si="82"/>
        <v>0.98770783971042153</v>
      </c>
      <c r="CH112" s="223">
        <f t="shared" si="82"/>
        <v>0.98770783971042153</v>
      </c>
      <c r="CI112" s="223">
        <f t="shared" si="82"/>
        <v>0.98770783971042153</v>
      </c>
      <c r="CJ112" s="223">
        <f t="shared" si="82"/>
        <v>0.98770783971042153</v>
      </c>
      <c r="CK112" s="223">
        <f t="shared" si="82"/>
        <v>0.98770783971042153</v>
      </c>
      <c r="CL112" s="223">
        <f t="shared" si="82"/>
        <v>0.98770783971042153</v>
      </c>
      <c r="CM112" s="223">
        <f t="shared" si="82"/>
        <v>0.98770783971042153</v>
      </c>
      <c r="CN112" s="223">
        <f t="shared" si="82"/>
        <v>0.98770783971042153</v>
      </c>
      <c r="CO112" s="223">
        <f t="shared" si="82"/>
        <v>0.98770783971042153</v>
      </c>
      <c r="CP112" s="223">
        <f t="shared" si="82"/>
        <v>0.98770783971042153</v>
      </c>
      <c r="CQ112" s="223">
        <f t="shared" si="82"/>
        <v>0.98770783971042153</v>
      </c>
      <c r="CR112" s="223">
        <f t="shared" si="82"/>
        <v>0.98770783971042153</v>
      </c>
      <c r="CS112" s="223">
        <f t="shared" si="82"/>
        <v>0.98770783971042153</v>
      </c>
      <c r="CT112" s="223">
        <f t="shared" si="82"/>
        <v>0.98770783971042153</v>
      </c>
      <c r="CU112" s="223">
        <f t="shared" si="82"/>
        <v>0.98770783971042153</v>
      </c>
      <c r="CV112" s="223">
        <f t="shared" ref="CV112:EA112" si="83">1/(1+CV5)^CV111</f>
        <v>0.98770783971042153</v>
      </c>
      <c r="CW112" s="223">
        <f t="shared" si="83"/>
        <v>0.98770783971042153</v>
      </c>
      <c r="CX112" s="223">
        <f t="shared" si="83"/>
        <v>0.98770783971042153</v>
      </c>
      <c r="CY112" s="223">
        <f t="shared" si="83"/>
        <v>0.98770783971042153</v>
      </c>
      <c r="CZ112" s="223">
        <f t="shared" si="83"/>
        <v>0.98770783971042153</v>
      </c>
      <c r="DA112" s="223">
        <f t="shared" si="83"/>
        <v>0.98770783971042153</v>
      </c>
      <c r="DB112" s="223">
        <f t="shared" si="83"/>
        <v>0.98770783971042153</v>
      </c>
      <c r="DC112" s="223">
        <f t="shared" si="83"/>
        <v>0.98770783971042153</v>
      </c>
      <c r="DD112" s="223">
        <f t="shared" si="83"/>
        <v>0.98770783971042153</v>
      </c>
      <c r="DE112" s="223">
        <f t="shared" si="83"/>
        <v>0.98770783971042153</v>
      </c>
      <c r="DF112" s="223">
        <f t="shared" si="83"/>
        <v>0.98770783971042153</v>
      </c>
      <c r="DG112" s="223">
        <f t="shared" si="83"/>
        <v>0.98770783971042153</v>
      </c>
      <c r="DH112" s="223">
        <f t="shared" si="83"/>
        <v>0.98770783971042153</v>
      </c>
      <c r="DI112" s="223">
        <f t="shared" si="83"/>
        <v>0.98770783971042153</v>
      </c>
      <c r="DJ112" s="223">
        <f t="shared" si="83"/>
        <v>0.98770783971042153</v>
      </c>
      <c r="DK112" s="223">
        <f t="shared" si="83"/>
        <v>0.98770783971042153</v>
      </c>
      <c r="DL112" s="223">
        <f t="shared" si="83"/>
        <v>0.98770783971042153</v>
      </c>
      <c r="DM112" s="223">
        <f t="shared" si="83"/>
        <v>0.98770783971042153</v>
      </c>
      <c r="DN112" s="223">
        <f t="shared" si="83"/>
        <v>0.98770783971042153</v>
      </c>
      <c r="DO112" s="223">
        <f t="shared" si="83"/>
        <v>0.98770783971042153</v>
      </c>
      <c r="DP112" s="223">
        <f t="shared" si="83"/>
        <v>0.98770783971042153</v>
      </c>
      <c r="DQ112" s="223">
        <f t="shared" si="83"/>
        <v>0.98770783971042153</v>
      </c>
      <c r="DR112" s="223">
        <f t="shared" si="83"/>
        <v>0.98770783971042153</v>
      </c>
      <c r="DS112" s="223">
        <f t="shared" si="83"/>
        <v>0.98770783971042153</v>
      </c>
      <c r="DT112" s="223">
        <f t="shared" si="83"/>
        <v>0.98770783971042153</v>
      </c>
      <c r="DU112" s="223">
        <f t="shared" si="83"/>
        <v>0.98770783971042153</v>
      </c>
      <c r="DV112" s="223">
        <f t="shared" si="83"/>
        <v>0.98770783971042153</v>
      </c>
      <c r="DW112" s="223">
        <f t="shared" si="83"/>
        <v>0.98770783971042153</v>
      </c>
      <c r="DX112" s="223">
        <f t="shared" si="83"/>
        <v>0.98770783971042153</v>
      </c>
      <c r="DY112" s="223">
        <f t="shared" si="83"/>
        <v>0.98770783971042153</v>
      </c>
      <c r="DZ112" s="223">
        <f t="shared" si="83"/>
        <v>0.98770783971042153</v>
      </c>
      <c r="EA112" s="223">
        <f t="shared" si="83"/>
        <v>0.98770783971042153</v>
      </c>
      <c r="EB112" s="223">
        <f t="shared" ref="EB112:FG112" si="84">1/(1+EB5)^EB111</f>
        <v>0.98770783971042153</v>
      </c>
      <c r="EC112" s="223">
        <f t="shared" si="84"/>
        <v>0.98770783971042153</v>
      </c>
      <c r="ED112" s="223">
        <f t="shared" si="84"/>
        <v>0.98770783971042153</v>
      </c>
      <c r="EE112" s="223">
        <f t="shared" si="84"/>
        <v>0.98770783971042153</v>
      </c>
      <c r="EF112" s="223">
        <f t="shared" si="84"/>
        <v>0.98770783971042153</v>
      </c>
      <c r="EG112" s="223">
        <f t="shared" si="84"/>
        <v>0.98770783971042153</v>
      </c>
      <c r="EH112" s="223">
        <f t="shared" si="84"/>
        <v>0.98770783971042153</v>
      </c>
      <c r="EI112" s="223">
        <f t="shared" si="84"/>
        <v>0.98770783971042153</v>
      </c>
      <c r="EJ112" s="223">
        <f t="shared" si="84"/>
        <v>0.98770783971042153</v>
      </c>
      <c r="EK112" s="223">
        <f t="shared" si="84"/>
        <v>0.98770783971042153</v>
      </c>
      <c r="EL112" s="223">
        <f t="shared" si="84"/>
        <v>0.98770783971042153</v>
      </c>
      <c r="EM112" s="223">
        <f t="shared" si="84"/>
        <v>0.98770783971042153</v>
      </c>
      <c r="EN112" s="223">
        <f t="shared" si="84"/>
        <v>0.98770783971042153</v>
      </c>
      <c r="EO112" s="223">
        <f t="shared" si="84"/>
        <v>0.98770783971042153</v>
      </c>
      <c r="EP112" s="223">
        <f t="shared" si="84"/>
        <v>0.98770783971042153</v>
      </c>
      <c r="EQ112" s="223">
        <f t="shared" si="84"/>
        <v>0.98770783971042153</v>
      </c>
      <c r="ER112" s="223">
        <f t="shared" si="84"/>
        <v>0.98770783971042153</v>
      </c>
      <c r="ES112" s="223">
        <f t="shared" si="84"/>
        <v>0.98770783971042153</v>
      </c>
      <c r="ET112" s="223">
        <f t="shared" si="84"/>
        <v>0.98770783971042153</v>
      </c>
      <c r="EU112" s="223">
        <f t="shared" si="84"/>
        <v>0.98770783971042153</v>
      </c>
      <c r="EV112" s="223">
        <f t="shared" si="84"/>
        <v>0.98770783971042153</v>
      </c>
      <c r="EW112" s="223">
        <f t="shared" si="84"/>
        <v>0.98770783971042153</v>
      </c>
      <c r="EX112" s="223">
        <f t="shared" si="84"/>
        <v>0.98770783971042153</v>
      </c>
      <c r="EY112" s="223">
        <f t="shared" si="84"/>
        <v>0.98770783971042153</v>
      </c>
      <c r="EZ112" s="223">
        <f t="shared" si="84"/>
        <v>0.98770783971042153</v>
      </c>
      <c r="FA112" s="223">
        <f t="shared" si="84"/>
        <v>0.98770783971042153</v>
      </c>
      <c r="FB112" s="223">
        <f t="shared" si="84"/>
        <v>0.98770783971042153</v>
      </c>
      <c r="FC112" s="223">
        <f t="shared" si="84"/>
        <v>0.98770783971042153</v>
      </c>
      <c r="FD112" s="223">
        <f t="shared" si="84"/>
        <v>0.98770783971042153</v>
      </c>
      <c r="FE112" s="223">
        <f t="shared" si="84"/>
        <v>0.98770783971042153</v>
      </c>
      <c r="FF112" s="223">
        <f t="shared" si="84"/>
        <v>0.98770783971042153</v>
      </c>
      <c r="FG112" s="223">
        <f t="shared" si="84"/>
        <v>0.98770783971042153</v>
      </c>
      <c r="FH112" s="223">
        <f t="shared" ref="FH112:GM112" si="85">1/(1+FH5)^FH111</f>
        <v>0.98770783971042153</v>
      </c>
      <c r="FI112" s="223">
        <f t="shared" si="85"/>
        <v>0.98770783971042153</v>
      </c>
      <c r="FJ112" s="223">
        <f t="shared" si="85"/>
        <v>0.98770783971042153</v>
      </c>
      <c r="FK112" s="223">
        <f t="shared" si="85"/>
        <v>0.98770783971042153</v>
      </c>
      <c r="FL112" s="223">
        <f t="shared" si="85"/>
        <v>0.98770783971042153</v>
      </c>
      <c r="FM112" s="223">
        <f t="shared" si="85"/>
        <v>0.98770783971042153</v>
      </c>
      <c r="FN112" s="223">
        <f t="shared" si="85"/>
        <v>0.98770783971042153</v>
      </c>
      <c r="FO112" s="223">
        <f t="shared" si="85"/>
        <v>0.98770783971042153</v>
      </c>
      <c r="FP112" s="223">
        <f t="shared" si="85"/>
        <v>0.98770783971042153</v>
      </c>
      <c r="FQ112" s="223">
        <f t="shared" si="85"/>
        <v>0.98770783971042153</v>
      </c>
      <c r="FR112" s="223">
        <f t="shared" si="85"/>
        <v>0.98770783971042153</v>
      </c>
      <c r="FS112" s="223">
        <f t="shared" si="85"/>
        <v>0.98770783971042153</v>
      </c>
      <c r="FT112" s="223">
        <f t="shared" si="85"/>
        <v>0.98770783971042153</v>
      </c>
      <c r="FU112" s="223">
        <f t="shared" si="85"/>
        <v>0.98770783971042153</v>
      </c>
      <c r="FV112" s="223">
        <f t="shared" si="85"/>
        <v>0.98770783971042153</v>
      </c>
      <c r="FW112" s="223">
        <f t="shared" si="85"/>
        <v>0.98770783971042153</v>
      </c>
      <c r="FX112" s="223">
        <f t="shared" si="85"/>
        <v>0.98770783971042153</v>
      </c>
      <c r="FY112" s="223">
        <f t="shared" si="85"/>
        <v>0.98770783971042153</v>
      </c>
      <c r="FZ112" s="223">
        <f t="shared" si="85"/>
        <v>0.98770783971042153</v>
      </c>
      <c r="GA112" s="223">
        <f t="shared" si="85"/>
        <v>0.98770783971042153</v>
      </c>
      <c r="GB112" s="223">
        <f t="shared" si="85"/>
        <v>0.98770783971042153</v>
      </c>
      <c r="GC112" s="223">
        <f t="shared" si="85"/>
        <v>0.98770783971042153</v>
      </c>
      <c r="GD112" s="223">
        <f t="shared" si="85"/>
        <v>0.98770783971042153</v>
      </c>
      <c r="GE112" s="223">
        <f t="shared" si="85"/>
        <v>0.98770783971042153</v>
      </c>
      <c r="GF112" s="223">
        <f t="shared" si="85"/>
        <v>0.98770783971042153</v>
      </c>
      <c r="GG112" s="223">
        <f t="shared" si="85"/>
        <v>0.98770783971042153</v>
      </c>
      <c r="GH112" s="223">
        <f t="shared" si="85"/>
        <v>0.98770783971042153</v>
      </c>
      <c r="GI112" s="223">
        <f t="shared" si="85"/>
        <v>0.98770783971042153</v>
      </c>
      <c r="GJ112" s="223">
        <f t="shared" si="85"/>
        <v>0.98770783971042153</v>
      </c>
      <c r="GK112" s="223">
        <f t="shared" si="85"/>
        <v>0.98770783971042153</v>
      </c>
      <c r="GL112" s="223">
        <f t="shared" si="85"/>
        <v>0.98770783971042153</v>
      </c>
      <c r="GM112" s="223">
        <f t="shared" si="85"/>
        <v>0.98770783971042153</v>
      </c>
      <c r="GN112" s="223">
        <f t="shared" ref="GN112:GT112" si="86">1/(1+GN5)^GN111</f>
        <v>0.98770783971042153</v>
      </c>
      <c r="GO112" s="223">
        <f t="shared" si="86"/>
        <v>0.98770783971042153</v>
      </c>
      <c r="GP112" s="223">
        <f t="shared" si="86"/>
        <v>0.98770783971042153</v>
      </c>
      <c r="GQ112" s="223">
        <f t="shared" si="86"/>
        <v>0.98770783971042153</v>
      </c>
      <c r="GR112" s="223">
        <f t="shared" si="86"/>
        <v>0.98770783971042153</v>
      </c>
      <c r="GS112" s="223">
        <f t="shared" si="86"/>
        <v>0.98770783971042153</v>
      </c>
      <c r="GT112" s="223">
        <f t="shared" si="86"/>
        <v>0.98770783971042153</v>
      </c>
    </row>
    <row r="113" spans="1:202" hidden="1" outlineLevel="1">
      <c r="A113" s="222" t="s">
        <v>230</v>
      </c>
      <c r="B113" s="95"/>
      <c r="C113" s="223">
        <f>C112</f>
        <v>1</v>
      </c>
      <c r="D113" s="223">
        <f>PRODUCT($C$112:C112)*D112</f>
        <v>0.98770783971042153</v>
      </c>
      <c r="E113" s="223">
        <f>PRODUCT($C$112:D112)*E112</f>
        <v>0.97556677662542779</v>
      </c>
      <c r="F113" s="223">
        <f>PRODUCT($C$112:E112)*F112</f>
        <v>0.9635749534339606</v>
      </c>
      <c r="G113" s="223">
        <f>PRODUCT($C$112:F112)*G112</f>
        <v>0.95173053565532728</v>
      </c>
      <c r="H113" s="223">
        <f>PRODUCT($C$112:G112)*H112</f>
        <v>0.94003171135856567</v>
      </c>
      <c r="I113" s="223">
        <f>PRODUCT($C$112:H112)*I112</f>
        <v>0.92847669088525941</v>
      </c>
      <c r="J113" s="223">
        <f>PRODUCT($C$112:I112)*J112</f>
        <v>0.91706370657576042</v>
      </c>
      <c r="K113" s="223">
        <f>PRODUCT($C$112:J112)*K112</f>
        <v>0.90579101249877625</v>
      </c>
      <c r="L113" s="223">
        <f>PRODUCT($C$112:K112)*L112</f>
        <v>0.89465688418428169</v>
      </c>
      <c r="M113" s="223">
        <f>PRODUCT($C$112:L112)*M112</f>
        <v>0.88365961835971363</v>
      </c>
      <c r="N113" s="223">
        <f>PRODUCT($C$112:M112)*N112</f>
        <v>0.8727975326894083</v>
      </c>
      <c r="O113" s="223">
        <f>PRODUCT($C$112:N112)*O112</f>
        <v>0.86206896551724144</v>
      </c>
      <c r="P113" s="223">
        <f>PRODUCT($C$112:O112)*P112</f>
        <v>0.85147227561243244</v>
      </c>
      <c r="Q113" s="223">
        <f>PRODUCT($C$112:P112)*Q112</f>
        <v>0.84100584191847227</v>
      </c>
      <c r="R113" s="223">
        <f>PRODUCT($C$112:Q112)*R112</f>
        <v>0.83066806330513854</v>
      </c>
      <c r="S113" s="223">
        <f>PRODUCT($C$112:R112)*S112</f>
        <v>0.82045735832355804</v>
      </c>
      <c r="T113" s="223">
        <f>PRODUCT($C$112:S112)*T112</f>
        <v>0.81037216496428077</v>
      </c>
      <c r="U113" s="223">
        <f>PRODUCT($C$112:T112)*U112</f>
        <v>0.80041094041832705</v>
      </c>
      <c r="V113" s="223">
        <f>PRODUCT($C$112:U112)*V112</f>
        <v>0.79057216084117277</v>
      </c>
      <c r="W113" s="223">
        <f>PRODUCT($C$112:V112)*W112</f>
        <v>0.78085432111963471</v>
      </c>
      <c r="X113" s="223">
        <f>PRODUCT($C$112:W112)*X112</f>
        <v>0.77125593464162223</v>
      </c>
      <c r="Y113" s="223">
        <f>PRODUCT($C$112:X112)*Y112</f>
        <v>0.7617755330687187</v>
      </c>
      <c r="Z113" s="223">
        <f>PRODUCT($C$112:Y112)*Z112</f>
        <v>0.75241166611155896</v>
      </c>
      <c r="AA113" s="223">
        <f>PRODUCT($C$112:Z112)*AA112</f>
        <v>0.74316290130796692</v>
      </c>
      <c r="AB113" s="223">
        <f>PRODUCT($C$112:AA112)*AB112</f>
        <v>0.73402782380382126</v>
      </c>
      <c r="AC113" s="223">
        <f>PRODUCT($C$112:AB112)*AC112</f>
        <v>0.72500503613661427</v>
      </c>
      <c r="AD113" s="223">
        <f>PRODUCT($C$112:AC112)*AD112</f>
        <v>0.71609315802167139</v>
      </c>
      <c r="AE113" s="223">
        <f>PRODUCT($C$112:AD112)*AE112</f>
        <v>0.70729082614099859</v>
      </c>
      <c r="AF113" s="223">
        <f>PRODUCT($C$112:AE112)*AF112</f>
        <v>0.69859669393472501</v>
      </c>
      <c r="AG113" s="223">
        <f>PRODUCT($C$112:AF112)*AG112</f>
        <v>0.69000943139510973</v>
      </c>
      <c r="AH113" s="223">
        <f>PRODUCT($C$112:AG112)*AH112</f>
        <v>0.68152772486308011</v>
      </c>
      <c r="AI113" s="223">
        <f>PRODUCT($C$112:AH112)*AI112</f>
        <v>0.67315027682727135</v>
      </c>
      <c r="AJ113" s="223">
        <f>PRODUCT($C$112:AI112)*AJ112</f>
        <v>0.6648758057255364</v>
      </c>
      <c r="AK113" s="223">
        <f>PRODUCT($C$112:AJ112)*AK112</f>
        <v>0.65670304574889549</v>
      </c>
      <c r="AL113" s="223">
        <f>PRODUCT($C$112:AK112)*AL112</f>
        <v>0.64863074664789566</v>
      </c>
      <c r="AM113" s="223">
        <f>PRODUCT($C$112:AL112)*AM112</f>
        <v>0.64065767354135073</v>
      </c>
      <c r="AN113" s="223">
        <f>PRODUCT($C$112:AM112)*AN112</f>
        <v>0.63278260672743203</v>
      </c>
      <c r="AO113" s="223">
        <f>PRODUCT($C$112:AN112)*AO112</f>
        <v>0.62500434149708117</v>
      </c>
      <c r="AP113" s="223">
        <f>PRODUCT($C$112:AO112)*AP112</f>
        <v>0.61732168794971665</v>
      </c>
      <c r="AQ113" s="223">
        <f>PRODUCT($C$112:AP112)*AQ112</f>
        <v>0.60973347081120555</v>
      </c>
      <c r="AR113" s="223">
        <f>PRODUCT($C$112:AQ112)*AR112</f>
        <v>0.60223852925407317</v>
      </c>
      <c r="AS113" s="223">
        <f>PRODUCT($C$112:AR112)*AS112</f>
        <v>0.59483571671992208</v>
      </c>
      <c r="AT113" s="223">
        <f>PRODUCT($C$112:AS112)*AT112</f>
        <v>0.58752390074403449</v>
      </c>
      <c r="AU113" s="223">
        <f>PRODUCT($C$112:AT112)*AU112</f>
        <v>0.58030196278213042</v>
      </c>
      <c r="AV113" s="223">
        <f>PRODUCT($C$112:AU112)*AV112</f>
        <v>0.57316879803925547</v>
      </c>
      <c r="AW113" s="223">
        <f>PRODUCT($C$112:AV112)*AW112</f>
        <v>0.56612331530077187</v>
      </c>
      <c r="AX113" s="223">
        <f>PRODUCT($C$112:AW112)*AX112</f>
        <v>0.55916443676542726</v>
      </c>
      <c r="AY113" s="223">
        <f>PRODUCT($C$112:AX112)*AY112</f>
        <v>0.55229109788047481</v>
      </c>
      <c r="AZ113" s="223">
        <f>PRODUCT($C$112:AY112)*AZ112</f>
        <v>0.54550224717882079</v>
      </c>
      <c r="BA113" s="223">
        <f>PRODUCT($C$112:AZ112)*BA112</f>
        <v>0.53879684611817347</v>
      </c>
      <c r="BB113" s="223">
        <f>PRODUCT($C$112:BA112)*BB112</f>
        <v>0.53217386892216956</v>
      </c>
      <c r="BC113" s="223">
        <f>PRODUCT($C$112:BB112)*BC112</f>
        <v>0.52563230242345316</v>
      </c>
      <c r="BD113" s="223">
        <f>PRODUCT($C$112:BC112)*BD112</f>
        <v>0.51917114590868385</v>
      </c>
      <c r="BE113" s="223">
        <f>PRODUCT($C$112:BD112)*BE112</f>
        <v>0.51278941096545017</v>
      </c>
      <c r="BF113" s="223">
        <f>PRODUCT($C$112:BE112)*BF112</f>
        <v>0.5064861213310643</v>
      </c>
      <c r="BG113" s="223">
        <f>PRODUCT($C$112:BF112)*BG112</f>
        <v>0.50026031274321592</v>
      </c>
      <c r="BH113" s="223">
        <f>PRODUCT($C$112:BG112)*BH112</f>
        <v>0.49411103279246166</v>
      </c>
      <c r="BI113" s="223">
        <f>PRODUCT($C$112:BH112)*BI112</f>
        <v>0.48803734077652755</v>
      </c>
      <c r="BJ113" s="223">
        <f>PRODUCT($C$112:BI112)*BJ112</f>
        <v>0.48203830755640287</v>
      </c>
      <c r="BK113" s="223">
        <f>PRODUCT($C$112:BJ112)*BK112</f>
        <v>0.47611301541420242</v>
      </c>
      <c r="BL113" s="223">
        <f>PRODUCT($C$112:BK112)*BL112</f>
        <v>0.47026055791277649</v>
      </c>
      <c r="BM113" s="223">
        <f>PRODUCT($C$112:BL112)*BM112</f>
        <v>0.46448003975704605</v>
      </c>
      <c r="BN113" s="223">
        <f>PRODUCT($C$112:BM112)*BN112</f>
        <v>0.45877057665704268</v>
      </c>
      <c r="BO113" s="223">
        <f>PRODUCT($C$112:BN112)*BO112</f>
        <v>0.45313129519263196</v>
      </c>
      <c r="BP113" s="223">
        <f>PRODUCT($C$112:BO112)*BP112</f>
        <v>0.44756133267989984</v>
      </c>
      <c r="BQ113" s="223">
        <f>PRODUCT($C$112:BP112)*BQ112</f>
        <v>0.44205983703918117</v>
      </c>
      <c r="BR113" s="223">
        <f>PRODUCT($C$112:BQ112)*BR112</f>
        <v>0.4366259666647106</v>
      </c>
      <c r="BS113" s="223">
        <f>PRODUCT($C$112:BR112)*BS112</f>
        <v>0.43125889029587583</v>
      </c>
      <c r="BT113" s="223">
        <f>PRODUCT($C$112:BS112)*BT112</f>
        <v>0.4259577868900532</v>
      </c>
      <c r="BU113" s="223">
        <f>PRODUCT($C$112:BT112)*BU112</f>
        <v>0.42072184549700659</v>
      </c>
      <c r="BV113" s="223">
        <f>PRODUCT($C$112:BU112)*BV112</f>
        <v>0.41555026513483012</v>
      </c>
      <c r="BW113" s="223">
        <f>PRODUCT($C$112:BV112)*BW112</f>
        <v>0.41044225466741596</v>
      </c>
      <c r="BX113" s="223">
        <f>PRODUCT($C$112:BW112)*BX112</f>
        <v>0.40539703268342808</v>
      </c>
      <c r="BY113" s="223">
        <f>PRODUCT($C$112:BX112)*BY112</f>
        <v>0.4004138273767639</v>
      </c>
      <c r="BZ113" s="223">
        <f>PRODUCT($C$112:BY112)*BZ112</f>
        <v>0.3954918764284851</v>
      </c>
      <c r="CA113" s="223">
        <f>PRODUCT($C$112:BZ112)*CA112</f>
        <v>0.3906304268902</v>
      </c>
      <c r="CB113" s="223">
        <f>PRODUCT($C$112:CA112)*CB112</f>
        <v>0.38582873506887921</v>
      </c>
      <c r="CC113" s="223">
        <f>PRODUCT($C$112:CB112)*CC112</f>
        <v>0.38108606641308723</v>
      </c>
      <c r="CD113" s="223">
        <f>PRODUCT($C$112:CC112)*CD112</f>
        <v>0.37640169540061263</v>
      </c>
      <c r="CE113" s="223">
        <f>PRODUCT($C$112:CD112)*CE112</f>
        <v>0.37177490542747921</v>
      </c>
      <c r="CF113" s="223">
        <f>PRODUCT($C$112:CE112)*CF112</f>
        <v>0.36720498869832174</v>
      </c>
      <c r="CG113" s="223">
        <f>PRODUCT($C$112:CF112)*CG112</f>
        <v>0.3626912461181091</v>
      </c>
      <c r="CH113" s="223">
        <f>PRODUCT($C$112:CG112)*CH112</f>
        <v>0.35823298718519836</v>
      </c>
      <c r="CI113" s="223">
        <f>PRODUCT($C$112:CH112)*CI112</f>
        <v>0.35382952988570338</v>
      </c>
      <c r="CJ113" s="223">
        <f>PRODUCT($C$112:CI112)*CJ112</f>
        <v>0.34948020058916213</v>
      </c>
      <c r="CK113" s="223">
        <f>PRODUCT($C$112:CJ112)*CK112</f>
        <v>0.34518433394548609</v>
      </c>
      <c r="CL113" s="223">
        <f>PRODUCT($C$112:CK112)*CL112</f>
        <v>0.34094127278317682</v>
      </c>
      <c r="CM113" s="223">
        <f>PRODUCT($C$112:CL112)*CM112</f>
        <v>0.3367503680087931</v>
      </c>
      <c r="CN113" s="223">
        <f>PRODUCT($C$112:CM112)*CN112</f>
        <v>0.33261097850765448</v>
      </c>
      <c r="CO113" s="223">
        <f>PRODUCT($C$112:CN112)*CO112</f>
        <v>0.32852247104576487</v>
      </c>
      <c r="CP113" s="223">
        <f>PRODUCT($C$112:CO112)*CP112</f>
        <v>0.32448422017294193</v>
      </c>
      <c r="CQ113" s="223">
        <f>PRODUCT($C$112:CP112)*CQ112</f>
        <v>0.32049560812713723</v>
      </c>
      <c r="CR113" s="223">
        <f>PRODUCT($C$112:CQ112)*CR112</f>
        <v>0.31655602473993255</v>
      </c>
      <c r="CS113" s="223">
        <f>PRODUCT($C$112:CR112)*CS112</f>
        <v>0.31266486734319754</v>
      </c>
      <c r="CT113" s="223">
        <f>PRODUCT($C$112:CS112)*CT112</f>
        <v>0.30882154067689516</v>
      </c>
      <c r="CU113" s="223">
        <f>PRODUCT($C$112:CT112)*CU112</f>
        <v>0.30502545679802018</v>
      </c>
      <c r="CV113" s="223">
        <f>PRODUCT($C$112:CU112)*CV112</f>
        <v>0.30127603499065703</v>
      </c>
      <c r="CW113" s="223">
        <f>PRODUCT($C$112:CV112)*CW112</f>
        <v>0.29757270167714323</v>
      </c>
      <c r="CX113" s="223">
        <f>PRODUCT($C$112:CW112)*CX112</f>
        <v>0.29391489033032486</v>
      </c>
      <c r="CY113" s="223">
        <f>PRODUCT($C$112:CX112)*CY112</f>
        <v>0.29030204138689064</v>
      </c>
      <c r="CZ113" s="223">
        <f>PRODUCT($C$112:CY112)*CZ112</f>
        <v>0.28673360216177113</v>
      </c>
      <c r="DA113" s="223">
        <f>PRODUCT($C$112:CZ112)*DA112</f>
        <v>0.28320902676359039</v>
      </c>
      <c r="DB113" s="223">
        <f>PRODUCT($C$112:DA112)*DB112</f>
        <v>0.27972777601115684</v>
      </c>
      <c r="DC113" s="223">
        <f>PRODUCT($C$112:DB112)*DC112</f>
        <v>0.27628931735098039</v>
      </c>
      <c r="DD113" s="223">
        <f>PRODUCT($C$112:DC112)*DD112</f>
        <v>0.27289312477580391</v>
      </c>
      <c r="DE113" s="223">
        <f>PRODUCT($C$112:DD112)*DE112</f>
        <v>0.26953867874413578</v>
      </c>
      <c r="DF113" s="223">
        <f>PRODUCT($C$112:DE112)*DF112</f>
        <v>0.26622546610077169</v>
      </c>
      <c r="DG113" s="223">
        <f>PRODUCT($C$112:DF112)*DG112</f>
        <v>0.26295297999829326</v>
      </c>
      <c r="DH113" s="223">
        <f>PRODUCT($C$112:DG112)*DH112</f>
        <v>0.25972071981953193</v>
      </c>
      <c r="DI113" s="223">
        <f>PRODUCT($C$112:DH112)*DI112</f>
        <v>0.25652819110098557</v>
      </c>
      <c r="DJ113" s="223">
        <f>PRODUCT($C$112:DI112)*DJ112</f>
        <v>0.25337490545717661</v>
      </c>
      <c r="DK113" s="223">
        <f>PRODUCT($C$112:DJ112)*DK112</f>
        <v>0.25026038050594018</v>
      </c>
      <c r="DL113" s="223">
        <f>PRODUCT($C$112:DK112)*DL112</f>
        <v>0.24718413979463028</v>
      </c>
      <c r="DM113" s="223">
        <f>PRODUCT($C$112:DL112)*DM112</f>
        <v>0.24414571272723312</v>
      </c>
      <c r="DN113" s="223">
        <f>PRODUCT($C$112:DM112)*DN112</f>
        <v>0.24114463449237658</v>
      </c>
      <c r="DO113" s="223">
        <f>PRODUCT($C$112:DN112)*DO112</f>
        <v>0.23818044599222449</v>
      </c>
      <c r="DP113" s="223">
        <f>PRODUCT($C$112:DO112)*DP112</f>
        <v>0.23525269377224478</v>
      </c>
      <c r="DQ113" s="223">
        <f>PRODUCT($C$112:DP112)*DQ112</f>
        <v>0.23236092995184124</v>
      </c>
      <c r="DR113" s="223">
        <f>PRODUCT($C$112:DQ112)*DR112</f>
        <v>0.2295047121558377</v>
      </c>
      <c r="DS113" s="223">
        <f>PRODUCT($C$112:DR112)*DS112</f>
        <v>0.22668360344680458</v>
      </c>
      <c r="DT113" s="223">
        <f>PRODUCT($C$112:DS112)*DT112</f>
        <v>0.2238971722582172</v>
      </c>
      <c r="DU113" s="223">
        <f>PRODUCT($C$112:DT112)*DU112</f>
        <v>0.22114499232843585</v>
      </c>
      <c r="DV113" s="223">
        <f>PRODUCT($C$112:DU112)*DV112</f>
        <v>0.2184266426354971</v>
      </c>
      <c r="DW113" s="223">
        <f>PRODUCT($C$112:DV112)*DW112</f>
        <v>0.21574170733270709</v>
      </c>
      <c r="DX113" s="223">
        <f>PRODUCT($C$112:DW112)*DX112</f>
        <v>0.21308977568502613</v>
      </c>
      <c r="DY113" s="223">
        <f>PRODUCT($C$112:DX112)*DY112</f>
        <v>0.21047044200623546</v>
      </c>
      <c r="DZ113" s="223">
        <f>PRODUCT($C$112:DY112)*DZ112</f>
        <v>0.2078833055968764</v>
      </c>
      <c r="EA113" s="223">
        <f>PRODUCT($C$112:DZ112)*EA112</f>
        <v>0.20532797068295217</v>
      </c>
      <c r="EB113" s="223">
        <f>PRODUCT($C$112:EA112)*EB112</f>
        <v>0.20280404635538346</v>
      </c>
      <c r="EC113" s="223">
        <f>PRODUCT($C$112:EB112)*EC112</f>
        <v>0.20031114651020798</v>
      </c>
      <c r="ED113" s="223">
        <f>PRODUCT($C$112:EC112)*ED112</f>
        <v>0.19784888978951526</v>
      </c>
      <c r="EE113" s="223">
        <f>PRODUCT($C$112:ED112)*EE112</f>
        <v>0.1954168995231074</v>
      </c>
      <c r="EF113" s="223">
        <f>PRODUCT($C$112:EE112)*EF112</f>
        <v>0.19301480367087692</v>
      </c>
      <c r="EG113" s="223">
        <f>PRODUCT($C$112:EF112)*EG112</f>
        <v>0.19064223476589298</v>
      </c>
      <c r="EH113" s="223">
        <f>PRODUCT($C$112:EG112)*EH112</f>
        <v>0.18829882985818719</v>
      </c>
      <c r="EI113" s="223">
        <f>PRODUCT($C$112:EH112)*EI112</f>
        <v>0.18598423045923029</v>
      </c>
      <c r="EJ113" s="223">
        <f>PRODUCT($C$112:EI112)*EJ112</f>
        <v>0.18369808248709152</v>
      </c>
      <c r="EK113" s="223">
        <f>PRODUCT($C$112:EJ112)*EK112</f>
        <v>0.18144003621227198</v>
      </c>
      <c r="EL113" s="223">
        <f>PRODUCT($C$112:EK112)*EL112</f>
        <v>0.1792097462042038</v>
      </c>
      <c r="EM113" s="223">
        <f>PRODUCT($C$112:EL112)*EM112</f>
        <v>0.17700687127840706</v>
      </c>
      <c r="EN113" s="223">
        <f>PRODUCT($C$112:EM112)*EN112</f>
        <v>0.1748310744442961</v>
      </c>
      <c r="EO113" s="223">
        <f>PRODUCT($C$112:EN112)*EO112</f>
        <v>0.17268202285362758</v>
      </c>
      <c r="EP113" s="223">
        <f>PRODUCT($C$112:EO112)*EP112</f>
        <v>0.17055938774958213</v>
      </c>
      <c r="EQ113" s="223">
        <f>PRODUCT($C$112:EP112)*EQ112</f>
        <v>0.16846284441647189</v>
      </c>
      <c r="ER113" s="223">
        <f>PRODUCT($C$112:EQ112)*ER112</f>
        <v>0.16639207213006629</v>
      </c>
      <c r="ES113" s="223">
        <f>PRODUCT($C$112:ER112)*ES112</f>
        <v>0.16434675410852842</v>
      </c>
      <c r="ET113" s="223">
        <f>PRODUCT($C$112:ES112)*ET112</f>
        <v>0.16232657746395446</v>
      </c>
      <c r="EU113" s="223">
        <f>PRODUCT($C$112:ET112)*EU112</f>
        <v>0.16033123315450884</v>
      </c>
      <c r="EV113" s="223">
        <f>PRODUCT($C$112:EU112)*EV112</f>
        <v>0.15836041593714784</v>
      </c>
      <c r="EW113" s="223">
        <f>PRODUCT($C$112:EV112)*EW112</f>
        <v>0.1564138243209241</v>
      </c>
      <c r="EX113" s="223">
        <f>PRODUCT($C$112:EW112)*EX112</f>
        <v>0.15449116052086534</v>
      </c>
      <c r="EY113" s="223">
        <f>PRODUCT($C$112:EX112)*EY112</f>
        <v>0.15259213041241987</v>
      </c>
      <c r="EZ113" s="223">
        <f>PRODUCT($C$112:EY112)*EZ112</f>
        <v>0.15071644348646215</v>
      </c>
      <c r="FA113" s="223">
        <f>PRODUCT($C$112:EZ112)*FA112</f>
        <v>0.14886381280485136</v>
      </c>
      <c r="FB113" s="223">
        <f>PRODUCT($C$112:FA112)*FB112</f>
        <v>0.14703395495653632</v>
      </c>
      <c r="FC113" s="223">
        <f>PRODUCT($C$112:FB112)*FC112</f>
        <v>0.14522659001419991</v>
      </c>
      <c r="FD113" s="223">
        <f>PRODUCT($C$112:FC112)*FD112</f>
        <v>0.14344144149143648</v>
      </c>
      <c r="FE113" s="223">
        <f>PRODUCT($C$112:FD112)*FE112</f>
        <v>0.14167823630045556</v>
      </c>
      <c r="FF113" s="223">
        <f>PRODUCT($C$112:FE112)*FF112</f>
        <v>0.13993670471030559</v>
      </c>
      <c r="FG113" s="223">
        <f>PRODUCT($C$112:FF112)*FG112</f>
        <v>0.1382165803056111</v>
      </c>
      <c r="FH113" s="223">
        <f>PRODUCT($C$112:FG112)*FH112</f>
        <v>0.13651759994581714</v>
      </c>
      <c r="FI113" s="223">
        <f>PRODUCT($C$112:FH112)*FI112</f>
        <v>0.13483950372493461</v>
      </c>
      <c r="FJ113" s="223">
        <f>PRODUCT($C$112:FI112)*FJ112</f>
        <v>0.13318203493178049</v>
      </c>
      <c r="FK113" s="223">
        <f>PRODUCT($C$112:FJ112)*FK112</f>
        <v>0.1315449400107068</v>
      </c>
      <c r="FL113" s="223">
        <f>PRODUCT($C$112:FK112)*FL112</f>
        <v>0.12992796852281221</v>
      </c>
      <c r="FM113" s="223">
        <f>PRODUCT($C$112:FL112)*FM112</f>
        <v>0.1283308731076305</v>
      </c>
      <c r="FN113" s="223">
        <f>PRODUCT($C$112:FM112)*FN112</f>
        <v>0.12675340944528996</v>
      </c>
      <c r="FO113" s="223">
        <f>PRODUCT($C$112:FN112)*FO112</f>
        <v>0.12519533621913789</v>
      </c>
      <c r="FP113" s="223">
        <f>PRODUCT($C$112:FO112)*FP112</f>
        <v>0.12365641507882458</v>
      </c>
      <c r="FQ113" s="223">
        <f>PRODUCT($C$112:FP112)*FQ112</f>
        <v>0.12213641060384102</v>
      </c>
      <c r="FR113" s="223">
        <f>PRODUCT($C$112:FQ112)*FR112</f>
        <v>0.12063509026750484</v>
      </c>
      <c r="FS113" s="223">
        <f>PRODUCT($C$112:FR112)*FS112</f>
        <v>0.1191522244013889</v>
      </c>
      <c r="FT113" s="223">
        <f>PRODUCT($C$112:FS112)*FT112</f>
        <v>0.11768758616018719</v>
      </c>
      <c r="FU113" s="223">
        <f>PRODUCT($C$112:FT112)*FU112</f>
        <v>0.11624095148701259</v>
      </c>
      <c r="FV113" s="223">
        <f>PRODUCT($C$112:FU112)*FV112</f>
        <v>0.11481209907912111</v>
      </c>
      <c r="FW113" s="223">
        <f>PRODUCT($C$112:FV112)*FW112</f>
        <v>0.11340081035405759</v>
      </c>
      <c r="FX113" s="223">
        <f>PRODUCT($C$112:FW112)*FX112</f>
        <v>0.11200686941621743</v>
      </c>
      <c r="FY113" s="223">
        <f>PRODUCT($C$112:FX112)*FY112</f>
        <v>0.11063006302381941</v>
      </c>
      <c r="FZ113" s="223">
        <f>PRODUCT($C$112:FY112)*FZ112</f>
        <v>0.10927018055628444</v>
      </c>
      <c r="GA113" s="223">
        <f>PRODUCT($C$112:FZ112)*GA112</f>
        <v>0.10792701398201542</v>
      </c>
      <c r="GB113" s="223">
        <f>PRODUCT($C$112:GA112)*GB112</f>
        <v>0.1066003578265729</v>
      </c>
      <c r="GC113" s="223">
        <f>PRODUCT($C$112:GB112)*GC112</f>
        <v>0.10529000914124224</v>
      </c>
      <c r="GD113" s="223">
        <f>PRODUCT($C$112:GC112)*GD112</f>
        <v>0.10399576747198691</v>
      </c>
      <c r="GE113" s="223">
        <f>PRODUCT($C$112:GD112)*GE112</f>
        <v>0.10271743482878351</v>
      </c>
      <c r="GF113" s="223">
        <f>PRODUCT($C$112:GE112)*GF112</f>
        <v>0.10145481565533378</v>
      </c>
      <c r="GG113" s="223">
        <f>PRODUCT($C$112:GF112)*GG112</f>
        <v>0.10020771679914878</v>
      </c>
      <c r="GH113" s="223">
        <f>PRODUCT($C$112:GG112)*GH112</f>
        <v>9.8975947482000962E-2</v>
      </c>
      <c r="GI113" s="223">
        <f>PRODUCT($C$112:GH112)*GI112</f>
        <v>9.7759319270739303E-2</v>
      </c>
      <c r="GJ113" s="223">
        <f>PRODUCT($C$112:GI112)*GJ112</f>
        <v>9.65576460484633E-2</v>
      </c>
      <c r="GK113" s="223">
        <f>PRODUCT($C$112:GJ112)*GK112</f>
        <v>9.5370743986051207E-2</v>
      </c>
      <c r="GL113" s="223">
        <f>PRODUCT($C$112:GK112)*GL112</f>
        <v>9.4198431514038311E-2</v>
      </c>
      <c r="GM113" s="223">
        <f>PRODUCT($C$112:GL112)*GM112</f>
        <v>9.3040529294840871E-2</v>
      </c>
      <c r="GN113" s="223">
        <f>PRODUCT($C$112:GM112)*GN112</f>
        <v>9.1896860195321464E-2</v>
      </c>
      <c r="GO113" s="223">
        <f>PRODUCT($C$112:GN112)*GO112</f>
        <v>9.0767249259691596E-2</v>
      </c>
      <c r="GP113" s="223">
        <f>PRODUCT($C$112:GO112)*GP112</f>
        <v>8.9651523682747342E-2</v>
      </c>
      <c r="GQ113" s="223">
        <f>PRODUCT($C$112:GP112)*GQ112</f>
        <v>8.8549512783434065E-2</v>
      </c>
      <c r="GR113" s="223">
        <f>PRODUCT($C$112:GQ112)*GR112</f>
        <v>8.7461047978736009E-2</v>
      </c>
      <c r="GS113" s="223">
        <f>PRODUCT($C$112:GR112)*GS112</f>
        <v>8.6385962757886875E-2</v>
      </c>
      <c r="GT113" s="223">
        <f>PRODUCT($C$112:GS112)*GT112</f>
        <v>8.5324092656897374E-2</v>
      </c>
    </row>
    <row r="114" spans="1:202" collapsed="1">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95"/>
      <c r="GQ114" s="95"/>
      <c r="GR114" s="95"/>
      <c r="GS114" s="95"/>
      <c r="GT114" s="95"/>
    </row>
    <row r="115" spans="1:202">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c r="AF115" s="95"/>
      <c r="AG115" s="95"/>
      <c r="AH115" s="95"/>
      <c r="AI115" s="95"/>
      <c r="AJ115" s="95"/>
      <c r="AK115" s="95"/>
      <c r="AL115" s="95"/>
      <c r="AM115" s="95"/>
      <c r="AN115" s="95"/>
      <c r="AO115" s="95"/>
      <c r="AP115" s="95"/>
      <c r="AQ115" s="95"/>
      <c r="AR115" s="95"/>
      <c r="AS115" s="95"/>
      <c r="AT115" s="95"/>
      <c r="AU115" s="95"/>
      <c r="AV115" s="95"/>
      <c r="AW115" s="95"/>
      <c r="AX115" s="95"/>
      <c r="AY115" s="95"/>
      <c r="AZ115" s="95"/>
      <c r="BA115" s="95"/>
      <c r="BB115" s="95"/>
      <c r="BC115" s="95"/>
      <c r="BD115" s="95"/>
      <c r="BE115" s="95"/>
      <c r="BF115" s="95"/>
      <c r="BG115" s="95"/>
      <c r="BH115" s="95"/>
      <c r="BI115" s="95"/>
      <c r="BJ115" s="95"/>
      <c r="BK115" s="95"/>
      <c r="BL115" s="95"/>
      <c r="BM115" s="95"/>
      <c r="BN115" s="95"/>
      <c r="BO115" s="95"/>
      <c r="BP115" s="95"/>
      <c r="BQ115" s="95"/>
      <c r="BR115" s="95"/>
      <c r="BS115" s="95"/>
      <c r="BT115" s="95"/>
      <c r="BU115" s="95"/>
      <c r="BV115" s="95"/>
      <c r="BW115" s="95"/>
      <c r="BX115" s="95"/>
      <c r="BY115" s="95"/>
      <c r="BZ115" s="95"/>
      <c r="CA115" s="95"/>
      <c r="CB115" s="95"/>
      <c r="CC115" s="95"/>
      <c r="CD115" s="95"/>
      <c r="CE115" s="95"/>
      <c r="CF115" s="95"/>
      <c r="CG115" s="95"/>
      <c r="CH115" s="95"/>
      <c r="CI115" s="95"/>
      <c r="CJ115" s="95"/>
      <c r="CK115" s="95"/>
      <c r="CL115" s="95"/>
      <c r="CM115" s="95"/>
      <c r="CN115" s="95"/>
      <c r="CO115" s="95"/>
      <c r="CP115" s="95"/>
      <c r="CQ115" s="95"/>
      <c r="CR115" s="95"/>
      <c r="CS115" s="95"/>
      <c r="CT115" s="95"/>
      <c r="CU115" s="95"/>
      <c r="CV115" s="95"/>
      <c r="CW115" s="95"/>
      <c r="CX115" s="95"/>
      <c r="CY115" s="95"/>
      <c r="CZ115" s="95"/>
      <c r="DA115" s="95"/>
      <c r="DB115" s="95"/>
      <c r="DC115" s="95"/>
      <c r="DD115" s="95"/>
      <c r="DE115" s="95"/>
      <c r="DF115" s="95"/>
      <c r="DG115" s="95"/>
      <c r="DH115" s="95"/>
      <c r="DI115" s="95"/>
      <c r="DJ115" s="95"/>
      <c r="DK115" s="95"/>
      <c r="DL115" s="95"/>
      <c r="DM115" s="95"/>
      <c r="DN115" s="95"/>
      <c r="DO115" s="95"/>
      <c r="DP115" s="95"/>
      <c r="DQ115" s="95"/>
      <c r="DR115" s="95"/>
      <c r="DS115" s="95"/>
      <c r="DT115" s="95"/>
      <c r="DU115" s="95"/>
      <c r="DV115" s="95"/>
      <c r="DW115" s="95"/>
      <c r="DX115" s="95"/>
      <c r="DY115" s="95"/>
      <c r="DZ115" s="95"/>
      <c r="EA115" s="95"/>
      <c r="EB115" s="95"/>
      <c r="EC115" s="95"/>
      <c r="ED115" s="95"/>
      <c r="EE115" s="95"/>
      <c r="EF115" s="95"/>
      <c r="EG115" s="95"/>
      <c r="EH115" s="95"/>
      <c r="EI115" s="95"/>
      <c r="EJ115" s="95"/>
      <c r="EK115" s="95"/>
      <c r="EL115" s="95"/>
      <c r="EM115" s="95"/>
      <c r="EN115" s="95"/>
      <c r="EO115" s="95"/>
      <c r="EP115" s="95"/>
      <c r="EQ115" s="95"/>
      <c r="ER115" s="95"/>
      <c r="ES115" s="95"/>
      <c r="ET115" s="95"/>
      <c r="EU115" s="95"/>
      <c r="EV115" s="95"/>
      <c r="EW115" s="95"/>
      <c r="EX115" s="95"/>
      <c r="EY115" s="95"/>
      <c r="EZ115" s="95"/>
      <c r="FA115" s="95"/>
      <c r="FB115" s="95"/>
      <c r="FC115" s="95"/>
      <c r="FD115" s="95"/>
      <c r="FE115" s="95"/>
      <c r="FF115" s="95"/>
      <c r="FG115" s="95"/>
      <c r="FH115" s="95"/>
      <c r="FI115" s="95"/>
      <c r="FJ115" s="95"/>
      <c r="FK115" s="95"/>
      <c r="FL115" s="95"/>
      <c r="FM115" s="95"/>
      <c r="FN115" s="95"/>
      <c r="FO115" s="95"/>
      <c r="FP115" s="95"/>
      <c r="FQ115" s="95"/>
      <c r="FR115" s="95"/>
      <c r="FS115" s="95"/>
      <c r="FT115" s="95"/>
      <c r="FU115" s="95"/>
      <c r="FV115" s="95"/>
      <c r="FW115" s="95"/>
      <c r="FX115" s="95"/>
      <c r="FY115" s="95"/>
      <c r="FZ115" s="95"/>
      <c r="GA115" s="95"/>
      <c r="GB115" s="95"/>
      <c r="GC115" s="95"/>
      <c r="GD115" s="95"/>
      <c r="GE115" s="95"/>
      <c r="GF115" s="95"/>
      <c r="GG115" s="95"/>
      <c r="GH115" s="95"/>
      <c r="GI115" s="95"/>
      <c r="GJ115" s="95"/>
      <c r="GK115" s="95"/>
      <c r="GL115" s="95"/>
      <c r="GM115" s="95"/>
      <c r="GN115" s="95"/>
      <c r="GO115" s="95"/>
      <c r="GP115" s="95"/>
      <c r="GQ115" s="95"/>
      <c r="GR115" s="95"/>
      <c r="GS115" s="95"/>
      <c r="GT115" s="95"/>
    </row>
    <row r="116" spans="1:202">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5"/>
      <c r="AS116" s="95"/>
      <c r="AT116" s="95"/>
      <c r="AU116" s="95"/>
      <c r="AV116" s="95"/>
      <c r="AW116" s="95"/>
      <c r="AX116" s="95"/>
      <c r="AY116" s="95"/>
      <c r="AZ116" s="95"/>
      <c r="BA116" s="95"/>
      <c r="BB116" s="95"/>
      <c r="BC116" s="95"/>
      <c r="BD116" s="95"/>
      <c r="BE116" s="95"/>
      <c r="BF116" s="95"/>
      <c r="BG116" s="95"/>
      <c r="BH116" s="95"/>
      <c r="BI116" s="95"/>
      <c r="BJ116" s="95"/>
      <c r="BK116" s="95"/>
      <c r="BL116" s="95"/>
      <c r="BM116" s="95"/>
      <c r="BN116" s="95"/>
      <c r="BO116" s="95"/>
      <c r="BP116" s="95"/>
      <c r="BQ116" s="95"/>
      <c r="BR116" s="95"/>
      <c r="BS116" s="95"/>
      <c r="BT116" s="95"/>
      <c r="BU116" s="95"/>
      <c r="BV116" s="95"/>
      <c r="BW116" s="95"/>
      <c r="BX116" s="95"/>
      <c r="BY116" s="95"/>
      <c r="BZ116" s="95"/>
      <c r="CA116" s="95"/>
      <c r="CB116" s="95"/>
      <c r="CC116" s="95"/>
      <c r="CD116" s="95"/>
      <c r="CE116" s="95"/>
      <c r="CF116" s="95"/>
      <c r="CG116" s="95"/>
      <c r="CH116" s="95"/>
      <c r="CI116" s="95"/>
      <c r="CJ116" s="95"/>
      <c r="CK116" s="95"/>
      <c r="CL116" s="95"/>
      <c r="CM116" s="95"/>
      <c r="CN116" s="95"/>
      <c r="CO116" s="95"/>
      <c r="CP116" s="95"/>
      <c r="CQ116" s="95"/>
      <c r="CR116" s="95"/>
      <c r="CS116" s="95"/>
      <c r="CT116" s="95"/>
      <c r="CU116" s="95"/>
      <c r="CV116" s="95"/>
      <c r="CW116" s="95"/>
      <c r="CX116" s="95"/>
      <c r="CY116" s="95"/>
      <c r="CZ116" s="95"/>
      <c r="DA116" s="95"/>
      <c r="DB116" s="95"/>
      <c r="DC116" s="95"/>
      <c r="DD116" s="95"/>
      <c r="DE116" s="95"/>
      <c r="DF116" s="95"/>
      <c r="DG116" s="95"/>
      <c r="DH116" s="95"/>
      <c r="DI116" s="95"/>
      <c r="DJ116" s="95"/>
      <c r="DK116" s="95"/>
      <c r="DL116" s="95"/>
      <c r="DM116" s="95"/>
      <c r="DN116" s="95"/>
      <c r="DO116" s="95"/>
      <c r="DP116" s="95"/>
      <c r="DQ116" s="95"/>
      <c r="DR116" s="95"/>
      <c r="DS116" s="95"/>
      <c r="DT116" s="95"/>
      <c r="DU116" s="95"/>
      <c r="DV116" s="95"/>
      <c r="DW116" s="95"/>
      <c r="DX116" s="95"/>
      <c r="DY116" s="95"/>
      <c r="DZ116" s="95"/>
      <c r="EA116" s="95"/>
      <c r="EB116" s="95"/>
      <c r="EC116" s="95"/>
      <c r="ED116" s="95"/>
      <c r="EE116" s="95"/>
      <c r="EF116" s="95"/>
      <c r="EG116" s="95"/>
      <c r="EH116" s="95"/>
      <c r="EI116" s="95"/>
      <c r="EJ116" s="95"/>
      <c r="EK116" s="95"/>
      <c r="EL116" s="95"/>
      <c r="EM116" s="95"/>
      <c r="EN116" s="95"/>
      <c r="EO116" s="95"/>
      <c r="EP116" s="95"/>
      <c r="EQ116" s="95"/>
      <c r="ER116" s="95"/>
      <c r="ES116" s="95"/>
      <c r="ET116" s="95"/>
      <c r="EU116" s="95"/>
      <c r="EV116" s="95"/>
      <c r="EW116" s="95"/>
      <c r="EX116" s="95"/>
      <c r="EY116" s="95"/>
      <c r="EZ116" s="95"/>
      <c r="FA116" s="95"/>
      <c r="FB116" s="95"/>
      <c r="FC116" s="95"/>
      <c r="FD116" s="95"/>
      <c r="FE116" s="95"/>
      <c r="FF116" s="95"/>
      <c r="FG116" s="95"/>
      <c r="FH116" s="95"/>
      <c r="FI116" s="95"/>
      <c r="FJ116" s="95"/>
      <c r="FK116" s="95"/>
      <c r="FL116" s="95"/>
      <c r="FM116" s="95"/>
      <c r="FN116" s="95"/>
      <c r="FO116" s="95"/>
      <c r="FP116" s="95"/>
      <c r="FQ116" s="95"/>
      <c r="FR116" s="95"/>
      <c r="FS116" s="95"/>
      <c r="FT116" s="95"/>
      <c r="FU116" s="95"/>
      <c r="FV116" s="95"/>
      <c r="FW116" s="95"/>
      <c r="FX116" s="95"/>
      <c r="FY116" s="95"/>
      <c r="FZ116" s="95"/>
      <c r="GA116" s="95"/>
      <c r="GB116" s="95"/>
      <c r="GC116" s="95"/>
      <c r="GD116" s="95"/>
      <c r="GE116" s="95"/>
      <c r="GF116" s="95"/>
      <c r="GG116" s="95"/>
      <c r="GH116" s="95"/>
      <c r="GI116" s="95"/>
      <c r="GJ116" s="95"/>
      <c r="GK116" s="95"/>
      <c r="GL116" s="95"/>
      <c r="GM116" s="95"/>
      <c r="GN116" s="95"/>
      <c r="GO116" s="95"/>
      <c r="GP116" s="95"/>
      <c r="GQ116" s="95"/>
      <c r="GR116" s="95"/>
      <c r="GS116" s="95"/>
      <c r="GT116" s="95"/>
    </row>
    <row r="117" spans="1:202">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c r="AF117" s="95"/>
      <c r="AG117" s="95"/>
      <c r="AH117" s="95"/>
      <c r="AI117" s="95"/>
      <c r="AJ117" s="95"/>
      <c r="AK117" s="95"/>
      <c r="AL117" s="95"/>
      <c r="AM117" s="95"/>
      <c r="AN117" s="95"/>
      <c r="AO117" s="95"/>
      <c r="AP117" s="95"/>
      <c r="AQ117" s="95"/>
      <c r="AR117" s="95"/>
      <c r="AS117" s="95"/>
      <c r="AT117" s="95"/>
      <c r="AU117" s="95"/>
      <c r="AV117" s="95"/>
      <c r="AW117" s="95"/>
      <c r="AX117" s="95"/>
      <c r="AY117" s="95"/>
      <c r="AZ117" s="95"/>
      <c r="BA117" s="95"/>
      <c r="BB117" s="95"/>
      <c r="BC117" s="95"/>
      <c r="BD117" s="95"/>
      <c r="BE117" s="95"/>
      <c r="BF117" s="95"/>
      <c r="BG117" s="95"/>
      <c r="BH117" s="95"/>
      <c r="BI117" s="95"/>
      <c r="BJ117" s="95"/>
      <c r="BK117" s="95"/>
      <c r="BL117" s="95"/>
      <c r="BM117" s="95"/>
      <c r="BN117" s="95"/>
      <c r="BO117" s="95"/>
      <c r="BP117" s="95"/>
      <c r="BQ117" s="95"/>
      <c r="BR117" s="95"/>
      <c r="BS117" s="95"/>
      <c r="BT117" s="95"/>
      <c r="BU117" s="95"/>
      <c r="BV117" s="95"/>
      <c r="BW117" s="95"/>
      <c r="BX117" s="95"/>
      <c r="BY117" s="95"/>
      <c r="BZ117" s="95"/>
      <c r="CA117" s="95"/>
      <c r="CB117" s="95"/>
      <c r="CC117" s="95"/>
      <c r="CD117" s="95"/>
      <c r="CE117" s="95"/>
      <c r="CF117" s="95"/>
      <c r="CG117" s="95"/>
      <c r="CH117" s="95"/>
      <c r="CI117" s="95"/>
      <c r="CJ117" s="95"/>
      <c r="CK117" s="95"/>
      <c r="CL117" s="95"/>
      <c r="CM117" s="95"/>
      <c r="CN117" s="95"/>
      <c r="CO117" s="95"/>
      <c r="CP117" s="95"/>
      <c r="CQ117" s="95"/>
      <c r="CR117" s="95"/>
      <c r="CS117" s="95"/>
      <c r="CT117" s="95"/>
      <c r="CU117" s="95"/>
      <c r="CV117" s="95"/>
      <c r="CW117" s="95"/>
      <c r="CX117" s="95"/>
      <c r="CY117" s="95"/>
      <c r="CZ117" s="95"/>
      <c r="DA117" s="95"/>
      <c r="DB117" s="95"/>
      <c r="DC117" s="95"/>
      <c r="DD117" s="95"/>
      <c r="DE117" s="95"/>
      <c r="DF117" s="95"/>
      <c r="DG117" s="95"/>
      <c r="DH117" s="95"/>
      <c r="DI117" s="95"/>
      <c r="DJ117" s="95"/>
      <c r="DK117" s="95"/>
      <c r="DL117" s="95"/>
      <c r="DM117" s="95"/>
      <c r="DN117" s="95"/>
      <c r="DO117" s="95"/>
      <c r="DP117" s="95"/>
      <c r="DQ117" s="95"/>
      <c r="DR117" s="95"/>
      <c r="DS117" s="95"/>
      <c r="DT117" s="95"/>
      <c r="DU117" s="95"/>
      <c r="DV117" s="95"/>
      <c r="DW117" s="95"/>
      <c r="DX117" s="95"/>
      <c r="DY117" s="95"/>
      <c r="DZ117" s="95"/>
      <c r="EA117" s="95"/>
      <c r="EB117" s="95"/>
      <c r="EC117" s="95"/>
      <c r="ED117" s="95"/>
      <c r="EE117" s="95"/>
      <c r="EF117" s="95"/>
      <c r="EG117" s="95"/>
      <c r="EH117" s="95"/>
      <c r="EI117" s="95"/>
      <c r="EJ117" s="95"/>
      <c r="EK117" s="95"/>
      <c r="EL117" s="95"/>
      <c r="EM117" s="95"/>
      <c r="EN117" s="95"/>
      <c r="EO117" s="95"/>
      <c r="EP117" s="95"/>
      <c r="EQ117" s="95"/>
      <c r="ER117" s="95"/>
      <c r="ES117" s="95"/>
      <c r="ET117" s="95"/>
      <c r="EU117" s="95"/>
      <c r="EV117" s="95"/>
      <c r="EW117" s="95"/>
      <c r="EX117" s="95"/>
      <c r="EY117" s="95"/>
      <c r="EZ117" s="95"/>
      <c r="FA117" s="95"/>
      <c r="FB117" s="95"/>
      <c r="FC117" s="95"/>
      <c r="FD117" s="95"/>
      <c r="FE117" s="95"/>
      <c r="FF117" s="95"/>
      <c r="FG117" s="95"/>
      <c r="FH117" s="95"/>
      <c r="FI117" s="95"/>
      <c r="FJ117" s="95"/>
      <c r="FK117" s="95"/>
      <c r="FL117" s="95"/>
      <c r="FM117" s="95"/>
      <c r="FN117" s="95"/>
      <c r="FO117" s="95"/>
      <c r="FP117" s="95"/>
      <c r="FQ117" s="95"/>
      <c r="FR117" s="95"/>
      <c r="FS117" s="95"/>
      <c r="FT117" s="95"/>
      <c r="FU117" s="95"/>
      <c r="FV117" s="95"/>
      <c r="FW117" s="95"/>
      <c r="FX117" s="95"/>
      <c r="FY117" s="95"/>
      <c r="FZ117" s="95"/>
      <c r="GA117" s="95"/>
      <c r="GB117" s="95"/>
      <c r="GC117" s="95"/>
      <c r="GD117" s="95"/>
      <c r="GE117" s="95"/>
      <c r="GF117" s="95"/>
      <c r="GG117" s="95"/>
      <c r="GH117" s="95"/>
      <c r="GI117" s="95"/>
      <c r="GJ117" s="95"/>
      <c r="GK117" s="95"/>
      <c r="GL117" s="95"/>
      <c r="GM117" s="95"/>
      <c r="GN117" s="95"/>
      <c r="GO117" s="95"/>
      <c r="GP117" s="95"/>
      <c r="GQ117" s="95"/>
      <c r="GR117" s="95"/>
      <c r="GS117" s="95"/>
      <c r="GT117" s="95"/>
    </row>
    <row r="118" spans="1:202">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c r="AF118" s="95"/>
      <c r="AG118" s="95"/>
      <c r="AH118" s="95"/>
      <c r="AI118" s="95"/>
      <c r="AJ118" s="95"/>
      <c r="AK118" s="95"/>
      <c r="AL118" s="95"/>
      <c r="AM118" s="95"/>
      <c r="AN118" s="95"/>
      <c r="AO118" s="95"/>
      <c r="AP118" s="95"/>
      <c r="AQ118" s="95"/>
      <c r="AR118" s="95"/>
      <c r="AS118" s="95"/>
      <c r="AT118" s="95"/>
      <c r="AU118" s="95"/>
      <c r="AV118" s="95"/>
      <c r="AW118" s="95"/>
      <c r="AX118" s="95"/>
      <c r="AY118" s="95"/>
      <c r="AZ118" s="95"/>
      <c r="BA118" s="95"/>
      <c r="BB118" s="95"/>
      <c r="BC118" s="95"/>
      <c r="BD118" s="95"/>
      <c r="BE118" s="95"/>
      <c r="BF118" s="95"/>
      <c r="BG118" s="95"/>
      <c r="BH118" s="95"/>
      <c r="BI118" s="95"/>
      <c r="BJ118" s="95"/>
      <c r="BK118" s="95"/>
      <c r="BL118" s="95"/>
      <c r="BM118" s="95"/>
      <c r="BN118" s="95"/>
      <c r="BO118" s="95"/>
      <c r="BP118" s="95"/>
      <c r="BQ118" s="95"/>
      <c r="BR118" s="95"/>
      <c r="BS118" s="95"/>
      <c r="BT118" s="95"/>
      <c r="BU118" s="95"/>
      <c r="BV118" s="95"/>
      <c r="BW118" s="95"/>
      <c r="BX118" s="95"/>
      <c r="BY118" s="95"/>
      <c r="BZ118" s="95"/>
      <c r="CA118" s="95"/>
      <c r="CB118" s="95"/>
      <c r="CC118" s="95"/>
      <c r="CD118" s="95"/>
      <c r="CE118" s="95"/>
      <c r="CF118" s="95"/>
      <c r="CG118" s="95"/>
      <c r="CH118" s="95"/>
      <c r="CI118" s="95"/>
      <c r="CJ118" s="95"/>
      <c r="CK118" s="95"/>
      <c r="CL118" s="95"/>
      <c r="CM118" s="95"/>
      <c r="CN118" s="95"/>
      <c r="CO118" s="95"/>
      <c r="CP118" s="95"/>
      <c r="CQ118" s="95"/>
      <c r="CR118" s="95"/>
      <c r="CS118" s="95"/>
      <c r="CT118" s="95"/>
      <c r="CU118" s="95"/>
      <c r="CV118" s="95"/>
      <c r="CW118" s="95"/>
      <c r="CX118" s="95"/>
      <c r="CY118" s="95"/>
      <c r="CZ118" s="95"/>
      <c r="DA118" s="95"/>
      <c r="DB118" s="95"/>
      <c r="DC118" s="95"/>
      <c r="DD118" s="95"/>
      <c r="DE118" s="95"/>
      <c r="DF118" s="95"/>
      <c r="DG118" s="95"/>
      <c r="DH118" s="95"/>
      <c r="DI118" s="95"/>
      <c r="DJ118" s="95"/>
      <c r="DK118" s="95"/>
      <c r="DL118" s="95"/>
      <c r="DM118" s="95"/>
      <c r="DN118" s="95"/>
      <c r="DO118" s="95"/>
      <c r="DP118" s="95"/>
      <c r="DQ118" s="95"/>
      <c r="DR118" s="95"/>
      <c r="DS118" s="95"/>
      <c r="DT118" s="95"/>
      <c r="DU118" s="95"/>
      <c r="DV118" s="95"/>
      <c r="DW118" s="95"/>
      <c r="DX118" s="95"/>
      <c r="DY118" s="95"/>
      <c r="DZ118" s="95"/>
      <c r="EA118" s="95"/>
      <c r="EB118" s="95"/>
      <c r="EC118" s="95"/>
      <c r="ED118" s="95"/>
      <c r="EE118" s="95"/>
      <c r="EF118" s="95"/>
      <c r="EG118" s="95"/>
      <c r="EH118" s="95"/>
      <c r="EI118" s="95"/>
      <c r="EJ118" s="95"/>
      <c r="EK118" s="95"/>
      <c r="EL118" s="95"/>
      <c r="EM118" s="95"/>
      <c r="EN118" s="95"/>
      <c r="EO118" s="95"/>
      <c r="EP118" s="95"/>
      <c r="EQ118" s="95"/>
      <c r="ER118" s="95"/>
      <c r="ES118" s="95"/>
      <c r="ET118" s="95"/>
      <c r="EU118" s="95"/>
      <c r="EV118" s="95"/>
      <c r="EW118" s="95"/>
      <c r="EX118" s="95"/>
      <c r="EY118" s="95"/>
      <c r="EZ118" s="95"/>
      <c r="FA118" s="95"/>
      <c r="FB118" s="95"/>
      <c r="FC118" s="95"/>
      <c r="FD118" s="95"/>
      <c r="FE118" s="95"/>
      <c r="FF118" s="95"/>
      <c r="FG118" s="95"/>
      <c r="FH118" s="95"/>
      <c r="FI118" s="95"/>
      <c r="FJ118" s="95"/>
      <c r="FK118" s="95"/>
      <c r="FL118" s="95"/>
      <c r="FM118" s="95"/>
      <c r="FN118" s="95"/>
      <c r="FO118" s="95"/>
      <c r="FP118" s="95"/>
      <c r="FQ118" s="95"/>
      <c r="FR118" s="95"/>
      <c r="FS118" s="95"/>
      <c r="FT118" s="95"/>
      <c r="FU118" s="95"/>
      <c r="FV118" s="95"/>
      <c r="FW118" s="95"/>
      <c r="FX118" s="95"/>
      <c r="FY118" s="95"/>
      <c r="FZ118" s="95"/>
      <c r="GA118" s="95"/>
      <c r="GB118" s="95"/>
      <c r="GC118" s="95"/>
      <c r="GD118" s="95"/>
      <c r="GE118" s="95"/>
      <c r="GF118" s="95"/>
      <c r="GG118" s="95"/>
      <c r="GH118" s="95"/>
      <c r="GI118" s="95"/>
      <c r="GJ118" s="95"/>
      <c r="GK118" s="95"/>
      <c r="GL118" s="95"/>
      <c r="GM118" s="95"/>
      <c r="GN118" s="95"/>
      <c r="GO118" s="95"/>
      <c r="GP118" s="95"/>
      <c r="GQ118" s="95"/>
      <c r="GR118" s="95"/>
      <c r="GS118" s="95"/>
      <c r="GT118" s="95"/>
    </row>
  </sheetData>
  <sheetProtection password="94F0" sheet="1" objects="1" scenarios="1"/>
  <dataValidations count="2">
    <dataValidation type="list" allowBlank="1" showInputMessage="1" showErrorMessage="1" sqref="A35:A42 A63:A70" xr:uid="{00000000-0002-0000-0300-000000000000}">
      <formula1>OPEX_группы_СПП</formula1>
    </dataValidation>
    <dataValidation type="decimal" operator="greaterThanOrEqual" allowBlank="1" showInputMessage="1" showErrorMessage="1" errorTitle="Отрицательное значение" error="Внесено значение со знаком &quot;-&quot;. В ТЭО ФП вносятся только положительные значения. Проверьте логику заполнения статьи, см. Инструкцию, п. 2" sqref="C54:GT61 C73:GT90 C101:GT108 C92:GT95 C26:GT33 C35:GT42 C63:GT70 C45:GT52 C98:GT99 C17:GT24" xr:uid="{F6EA78AA-63EF-4F9B-83B4-5FD0F6B49016}">
      <formula1>0</formula1>
    </dataValidation>
  </dataValidations>
  <pageMargins left="0.7" right="0.7" top="0.75" bottom="0.75" header="0.3" footer="0.3"/>
  <pageSetup paperSize="9" orientation="portrait" r:id="rId1"/>
  <customProperties>
    <customPr name="_pios_id" r:id="rId2"/>
    <customPr name="CofWorksheetType" r:id="rId3"/>
  </customProperties>
  <extLst>
    <ext xmlns:x14="http://schemas.microsoft.com/office/spreadsheetml/2009/9/main" uri="{CCE6A557-97BC-4b89-ADB6-D9C93CAAB3DF}">
      <x14:dataValidations xmlns:xm="http://schemas.microsoft.com/office/excel/2006/main" count="2">
        <x14:dataValidation type="list" allowBlank="1" showInputMessage="1" showErrorMessage="1" xr:uid="{E12B15DC-971D-44F9-983B-2A8745101AFF}">
          <x14:formula1>
            <xm:f>Справочник!$A$3:$A$27</xm:f>
          </x14:formula1>
          <xm:sqref>A17:A24 A45:A52 A73:A80</xm:sqref>
        </x14:dataValidation>
        <x14:dataValidation type="list" allowBlank="1" showInputMessage="1" showErrorMessage="1" xr:uid="{60C7CD33-F741-40F4-BCB8-2768B3698E1B}">
          <x14:formula1>
            <xm:f>Справочник!$E$3:$E$7</xm:f>
          </x14:formula1>
          <xm:sqref>A54:A61 A26:A33 A82:A89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0"/>
  <dimension ref="A1:GT351"/>
  <sheetViews>
    <sheetView topLeftCell="A278" zoomScale="55" zoomScaleNormal="70" workbookViewId="0">
      <selection activeCell="A289" sqref="A289:XFD289"/>
    </sheetView>
  </sheetViews>
  <sheetFormatPr baseColWidth="10" defaultColWidth="8.6640625" defaultRowHeight="15" outlineLevelRow="1"/>
  <cols>
    <col min="1" max="1" width="58.83203125" bestFit="1" customWidth="1"/>
    <col min="2" max="2" width="13.5" bestFit="1" customWidth="1"/>
    <col min="3" max="3" width="13" bestFit="1" customWidth="1"/>
    <col min="4" max="4" width="13.5" bestFit="1" customWidth="1"/>
    <col min="5" max="61" width="10.1640625" bestFit="1" customWidth="1"/>
    <col min="202" max="202" width="10.1640625" bestFit="1" customWidth="1"/>
  </cols>
  <sheetData>
    <row r="1" spans="1:202">
      <c r="B1">
        <f t="shared" ref="B1:BD1" si="0">IF(OR(B289&lt;&gt;0),1,0)</f>
        <v>1</v>
      </c>
      <c r="C1">
        <f t="shared" si="0"/>
        <v>1</v>
      </c>
      <c r="D1">
        <f t="shared" si="0"/>
        <v>1</v>
      </c>
      <c r="E1">
        <f t="shared" si="0"/>
        <v>1</v>
      </c>
      <c r="F1">
        <f t="shared" si="0"/>
        <v>1</v>
      </c>
      <c r="G1">
        <f t="shared" si="0"/>
        <v>1</v>
      </c>
      <c r="H1">
        <f t="shared" si="0"/>
        <v>1</v>
      </c>
      <c r="I1">
        <f t="shared" si="0"/>
        <v>1</v>
      </c>
      <c r="J1">
        <f t="shared" si="0"/>
        <v>1</v>
      </c>
      <c r="K1">
        <f t="shared" si="0"/>
        <v>1</v>
      </c>
      <c r="L1">
        <f t="shared" si="0"/>
        <v>1</v>
      </c>
      <c r="M1">
        <f t="shared" si="0"/>
        <v>1</v>
      </c>
      <c r="N1">
        <f t="shared" si="0"/>
        <v>1</v>
      </c>
      <c r="O1">
        <f t="shared" si="0"/>
        <v>1</v>
      </c>
      <c r="P1">
        <f t="shared" si="0"/>
        <v>1</v>
      </c>
      <c r="Q1">
        <f t="shared" si="0"/>
        <v>1</v>
      </c>
      <c r="R1">
        <f t="shared" si="0"/>
        <v>1</v>
      </c>
      <c r="S1">
        <f t="shared" si="0"/>
        <v>1</v>
      </c>
      <c r="T1">
        <f t="shared" si="0"/>
        <v>1</v>
      </c>
      <c r="U1">
        <f t="shared" si="0"/>
        <v>1</v>
      </c>
      <c r="V1">
        <f t="shared" si="0"/>
        <v>1</v>
      </c>
      <c r="W1">
        <f t="shared" si="0"/>
        <v>1</v>
      </c>
      <c r="X1">
        <f t="shared" si="0"/>
        <v>1</v>
      </c>
      <c r="Y1">
        <f t="shared" si="0"/>
        <v>1</v>
      </c>
      <c r="Z1">
        <f t="shared" si="0"/>
        <v>1</v>
      </c>
      <c r="AA1">
        <f t="shared" si="0"/>
        <v>1</v>
      </c>
      <c r="AB1">
        <f t="shared" si="0"/>
        <v>1</v>
      </c>
      <c r="AC1">
        <f t="shared" si="0"/>
        <v>1</v>
      </c>
      <c r="AD1">
        <f t="shared" si="0"/>
        <v>1</v>
      </c>
      <c r="AE1">
        <f t="shared" si="0"/>
        <v>1</v>
      </c>
      <c r="AF1">
        <f t="shared" si="0"/>
        <v>1</v>
      </c>
      <c r="AG1">
        <f t="shared" si="0"/>
        <v>1</v>
      </c>
      <c r="AH1">
        <f t="shared" si="0"/>
        <v>1</v>
      </c>
      <c r="AI1">
        <f t="shared" si="0"/>
        <v>1</v>
      </c>
      <c r="AJ1">
        <f t="shared" si="0"/>
        <v>1</v>
      </c>
      <c r="AK1">
        <f t="shared" si="0"/>
        <v>1</v>
      </c>
      <c r="AL1">
        <f t="shared" si="0"/>
        <v>1</v>
      </c>
      <c r="AM1">
        <f t="shared" si="0"/>
        <v>1</v>
      </c>
      <c r="AN1">
        <f t="shared" si="0"/>
        <v>1</v>
      </c>
      <c r="AO1">
        <f t="shared" si="0"/>
        <v>1</v>
      </c>
      <c r="AP1">
        <f t="shared" si="0"/>
        <v>1</v>
      </c>
      <c r="AQ1">
        <f t="shared" si="0"/>
        <v>1</v>
      </c>
      <c r="AR1">
        <f t="shared" si="0"/>
        <v>1</v>
      </c>
      <c r="AS1">
        <f t="shared" si="0"/>
        <v>1</v>
      </c>
      <c r="AT1">
        <f t="shared" si="0"/>
        <v>1</v>
      </c>
      <c r="AU1">
        <f t="shared" si="0"/>
        <v>1</v>
      </c>
      <c r="AV1">
        <f t="shared" si="0"/>
        <v>1</v>
      </c>
      <c r="AW1">
        <f t="shared" si="0"/>
        <v>1</v>
      </c>
      <c r="AX1">
        <f t="shared" si="0"/>
        <v>1</v>
      </c>
      <c r="AY1">
        <f t="shared" si="0"/>
        <v>1</v>
      </c>
      <c r="AZ1">
        <f t="shared" si="0"/>
        <v>1</v>
      </c>
      <c r="BA1">
        <f t="shared" si="0"/>
        <v>1</v>
      </c>
      <c r="BB1">
        <f t="shared" si="0"/>
        <v>1</v>
      </c>
      <c r="BC1">
        <f t="shared" si="0"/>
        <v>1</v>
      </c>
      <c r="BD1">
        <f t="shared" si="0"/>
        <v>1</v>
      </c>
      <c r="BE1">
        <f t="shared" ref="BE1:BJ1" si="1">IF(OR(BE289&lt;&gt;0),1,0)</f>
        <v>1</v>
      </c>
      <c r="BF1">
        <f t="shared" si="1"/>
        <v>1</v>
      </c>
      <c r="BG1">
        <f t="shared" si="1"/>
        <v>1</v>
      </c>
      <c r="BH1">
        <f t="shared" si="1"/>
        <v>1</v>
      </c>
      <c r="BI1">
        <f t="shared" si="1"/>
        <v>1</v>
      </c>
      <c r="BJ1">
        <f t="shared" si="1"/>
        <v>0</v>
      </c>
      <c r="BK1">
        <f t="shared" ref="BK1:DV1" si="2">IF(OR(BK289&lt;&gt;0),1,0)</f>
        <v>0</v>
      </c>
      <c r="BL1">
        <f t="shared" si="2"/>
        <v>0</v>
      </c>
      <c r="BM1">
        <f t="shared" si="2"/>
        <v>0</v>
      </c>
      <c r="BN1">
        <f t="shared" si="2"/>
        <v>0</v>
      </c>
      <c r="BO1">
        <f t="shared" si="2"/>
        <v>0</v>
      </c>
      <c r="BP1">
        <f t="shared" si="2"/>
        <v>0</v>
      </c>
      <c r="BQ1">
        <f t="shared" si="2"/>
        <v>0</v>
      </c>
      <c r="BR1">
        <f t="shared" si="2"/>
        <v>0</v>
      </c>
      <c r="BS1">
        <f t="shared" si="2"/>
        <v>0</v>
      </c>
      <c r="BT1">
        <f t="shared" si="2"/>
        <v>0</v>
      </c>
      <c r="BU1">
        <f t="shared" si="2"/>
        <v>0</v>
      </c>
      <c r="BV1">
        <f t="shared" si="2"/>
        <v>0</v>
      </c>
      <c r="BW1">
        <f t="shared" si="2"/>
        <v>0</v>
      </c>
      <c r="BX1">
        <f t="shared" si="2"/>
        <v>0</v>
      </c>
      <c r="BY1">
        <f t="shared" si="2"/>
        <v>0</v>
      </c>
      <c r="BZ1">
        <f t="shared" si="2"/>
        <v>0</v>
      </c>
      <c r="CA1">
        <f t="shared" si="2"/>
        <v>0</v>
      </c>
      <c r="CB1">
        <f t="shared" si="2"/>
        <v>0</v>
      </c>
      <c r="CC1">
        <f t="shared" si="2"/>
        <v>0</v>
      </c>
      <c r="CD1">
        <f t="shared" si="2"/>
        <v>0</v>
      </c>
      <c r="CE1">
        <f t="shared" si="2"/>
        <v>0</v>
      </c>
      <c r="CF1">
        <f t="shared" si="2"/>
        <v>0</v>
      </c>
      <c r="CG1">
        <f t="shared" si="2"/>
        <v>0</v>
      </c>
      <c r="CH1">
        <f t="shared" si="2"/>
        <v>0</v>
      </c>
      <c r="CI1">
        <f t="shared" si="2"/>
        <v>0</v>
      </c>
      <c r="CJ1">
        <f t="shared" si="2"/>
        <v>0</v>
      </c>
      <c r="CK1">
        <f t="shared" si="2"/>
        <v>0</v>
      </c>
      <c r="CL1">
        <f t="shared" si="2"/>
        <v>0</v>
      </c>
      <c r="CM1">
        <f t="shared" si="2"/>
        <v>0</v>
      </c>
      <c r="CN1">
        <f t="shared" si="2"/>
        <v>0</v>
      </c>
      <c r="CO1">
        <f t="shared" si="2"/>
        <v>0</v>
      </c>
      <c r="CP1">
        <f t="shared" si="2"/>
        <v>0</v>
      </c>
      <c r="CQ1">
        <f t="shared" si="2"/>
        <v>0</v>
      </c>
      <c r="CR1">
        <f t="shared" si="2"/>
        <v>0</v>
      </c>
      <c r="CS1">
        <f t="shared" si="2"/>
        <v>0</v>
      </c>
      <c r="CT1">
        <f t="shared" si="2"/>
        <v>0</v>
      </c>
      <c r="CU1">
        <f t="shared" si="2"/>
        <v>0</v>
      </c>
      <c r="CV1">
        <f t="shared" si="2"/>
        <v>0</v>
      </c>
      <c r="CW1">
        <f t="shared" si="2"/>
        <v>0</v>
      </c>
      <c r="CX1">
        <f t="shared" si="2"/>
        <v>0</v>
      </c>
      <c r="CY1">
        <f t="shared" si="2"/>
        <v>0</v>
      </c>
      <c r="CZ1">
        <f t="shared" si="2"/>
        <v>0</v>
      </c>
      <c r="DA1">
        <f t="shared" si="2"/>
        <v>0</v>
      </c>
      <c r="DB1">
        <f t="shared" si="2"/>
        <v>0</v>
      </c>
      <c r="DC1">
        <f t="shared" si="2"/>
        <v>0</v>
      </c>
      <c r="DD1">
        <f t="shared" si="2"/>
        <v>0</v>
      </c>
      <c r="DE1">
        <f t="shared" si="2"/>
        <v>0</v>
      </c>
      <c r="DF1">
        <f t="shared" si="2"/>
        <v>0</v>
      </c>
      <c r="DG1">
        <f t="shared" si="2"/>
        <v>0</v>
      </c>
      <c r="DH1">
        <f t="shared" si="2"/>
        <v>0</v>
      </c>
      <c r="DI1">
        <f t="shared" si="2"/>
        <v>0</v>
      </c>
      <c r="DJ1">
        <f t="shared" si="2"/>
        <v>0</v>
      </c>
      <c r="DK1">
        <f t="shared" si="2"/>
        <v>0</v>
      </c>
      <c r="DL1">
        <f t="shared" si="2"/>
        <v>0</v>
      </c>
      <c r="DM1">
        <f t="shared" si="2"/>
        <v>0</v>
      </c>
      <c r="DN1">
        <f t="shared" si="2"/>
        <v>0</v>
      </c>
      <c r="DO1">
        <f t="shared" si="2"/>
        <v>0</v>
      </c>
      <c r="DP1">
        <f t="shared" si="2"/>
        <v>0</v>
      </c>
      <c r="DQ1">
        <f t="shared" si="2"/>
        <v>0</v>
      </c>
      <c r="DR1">
        <f t="shared" si="2"/>
        <v>0</v>
      </c>
      <c r="DS1">
        <f t="shared" si="2"/>
        <v>0</v>
      </c>
      <c r="DT1">
        <f t="shared" si="2"/>
        <v>0</v>
      </c>
      <c r="DU1">
        <f t="shared" si="2"/>
        <v>0</v>
      </c>
      <c r="DV1">
        <f t="shared" si="2"/>
        <v>0</v>
      </c>
      <c r="DW1">
        <f t="shared" ref="DW1:GH1" si="3">IF(OR(DW289&lt;&gt;0),1,0)</f>
        <v>0</v>
      </c>
      <c r="DX1">
        <f t="shared" si="3"/>
        <v>0</v>
      </c>
      <c r="DY1">
        <f t="shared" si="3"/>
        <v>0</v>
      </c>
      <c r="DZ1">
        <f t="shared" si="3"/>
        <v>0</v>
      </c>
      <c r="EA1">
        <f t="shared" si="3"/>
        <v>0</v>
      </c>
      <c r="EB1">
        <f t="shared" si="3"/>
        <v>0</v>
      </c>
      <c r="EC1">
        <f t="shared" si="3"/>
        <v>0</v>
      </c>
      <c r="ED1">
        <f t="shared" si="3"/>
        <v>0</v>
      </c>
      <c r="EE1">
        <f t="shared" si="3"/>
        <v>0</v>
      </c>
      <c r="EF1">
        <f t="shared" si="3"/>
        <v>0</v>
      </c>
      <c r="EG1">
        <f t="shared" si="3"/>
        <v>0</v>
      </c>
      <c r="EH1">
        <f t="shared" si="3"/>
        <v>0</v>
      </c>
      <c r="EI1">
        <f t="shared" si="3"/>
        <v>0</v>
      </c>
      <c r="EJ1">
        <f t="shared" si="3"/>
        <v>0</v>
      </c>
      <c r="EK1">
        <f t="shared" si="3"/>
        <v>0</v>
      </c>
      <c r="EL1">
        <f t="shared" si="3"/>
        <v>0</v>
      </c>
      <c r="EM1">
        <f t="shared" si="3"/>
        <v>0</v>
      </c>
      <c r="EN1">
        <f t="shared" si="3"/>
        <v>0</v>
      </c>
      <c r="EO1">
        <f t="shared" si="3"/>
        <v>0</v>
      </c>
      <c r="EP1">
        <f t="shared" si="3"/>
        <v>0</v>
      </c>
      <c r="EQ1">
        <f t="shared" si="3"/>
        <v>0</v>
      </c>
      <c r="ER1">
        <f t="shared" si="3"/>
        <v>0</v>
      </c>
      <c r="ES1">
        <f t="shared" si="3"/>
        <v>0</v>
      </c>
      <c r="ET1">
        <f t="shared" si="3"/>
        <v>0</v>
      </c>
      <c r="EU1">
        <f t="shared" si="3"/>
        <v>0</v>
      </c>
      <c r="EV1">
        <f t="shared" si="3"/>
        <v>0</v>
      </c>
      <c r="EW1">
        <f t="shared" si="3"/>
        <v>0</v>
      </c>
      <c r="EX1">
        <f t="shared" si="3"/>
        <v>0</v>
      </c>
      <c r="EY1">
        <f t="shared" si="3"/>
        <v>0</v>
      </c>
      <c r="EZ1">
        <f t="shared" si="3"/>
        <v>0</v>
      </c>
      <c r="FA1">
        <f t="shared" si="3"/>
        <v>0</v>
      </c>
      <c r="FB1">
        <f t="shared" si="3"/>
        <v>0</v>
      </c>
      <c r="FC1">
        <f t="shared" si="3"/>
        <v>0</v>
      </c>
      <c r="FD1">
        <f t="shared" si="3"/>
        <v>0</v>
      </c>
      <c r="FE1">
        <f t="shared" si="3"/>
        <v>0</v>
      </c>
      <c r="FF1">
        <f t="shared" si="3"/>
        <v>0</v>
      </c>
      <c r="FG1">
        <f t="shared" si="3"/>
        <v>0</v>
      </c>
      <c r="FH1">
        <f t="shared" si="3"/>
        <v>0</v>
      </c>
      <c r="FI1">
        <f t="shared" si="3"/>
        <v>0</v>
      </c>
      <c r="FJ1">
        <f t="shared" si="3"/>
        <v>0</v>
      </c>
      <c r="FK1">
        <f t="shared" si="3"/>
        <v>0</v>
      </c>
      <c r="FL1">
        <f t="shared" si="3"/>
        <v>0</v>
      </c>
      <c r="FM1">
        <f t="shared" si="3"/>
        <v>0</v>
      </c>
      <c r="FN1">
        <f t="shared" si="3"/>
        <v>0</v>
      </c>
      <c r="FO1">
        <f t="shared" si="3"/>
        <v>0</v>
      </c>
      <c r="FP1">
        <f t="shared" si="3"/>
        <v>0</v>
      </c>
      <c r="FQ1">
        <f t="shared" si="3"/>
        <v>0</v>
      </c>
      <c r="FR1">
        <f t="shared" si="3"/>
        <v>0</v>
      </c>
      <c r="FS1">
        <f t="shared" si="3"/>
        <v>0</v>
      </c>
      <c r="FT1">
        <f t="shared" si="3"/>
        <v>0</v>
      </c>
      <c r="FU1">
        <f t="shared" si="3"/>
        <v>0</v>
      </c>
      <c r="FV1">
        <f t="shared" si="3"/>
        <v>0</v>
      </c>
      <c r="FW1">
        <f t="shared" si="3"/>
        <v>0</v>
      </c>
      <c r="FX1">
        <f t="shared" si="3"/>
        <v>0</v>
      </c>
      <c r="FY1">
        <f t="shared" si="3"/>
        <v>0</v>
      </c>
      <c r="FZ1">
        <f t="shared" si="3"/>
        <v>0</v>
      </c>
      <c r="GA1">
        <f t="shared" si="3"/>
        <v>0</v>
      </c>
      <c r="GB1">
        <f t="shared" si="3"/>
        <v>0</v>
      </c>
      <c r="GC1">
        <f t="shared" si="3"/>
        <v>0</v>
      </c>
      <c r="GD1">
        <f t="shared" si="3"/>
        <v>0</v>
      </c>
      <c r="GE1">
        <f t="shared" si="3"/>
        <v>0</v>
      </c>
      <c r="GF1">
        <f t="shared" si="3"/>
        <v>0</v>
      </c>
      <c r="GG1">
        <f t="shared" si="3"/>
        <v>0</v>
      </c>
      <c r="GH1">
        <f t="shared" si="3"/>
        <v>0</v>
      </c>
      <c r="GI1">
        <f t="shared" ref="GI1:GT1" si="4">IF(OR(GI289&lt;&gt;0),1,0)</f>
        <v>0</v>
      </c>
      <c r="GJ1">
        <f t="shared" si="4"/>
        <v>0</v>
      </c>
      <c r="GK1">
        <f t="shared" si="4"/>
        <v>0</v>
      </c>
      <c r="GL1">
        <f t="shared" si="4"/>
        <v>0</v>
      </c>
      <c r="GM1">
        <f t="shared" si="4"/>
        <v>0</v>
      </c>
      <c r="GN1">
        <f t="shared" si="4"/>
        <v>0</v>
      </c>
      <c r="GO1">
        <f t="shared" si="4"/>
        <v>0</v>
      </c>
      <c r="GP1">
        <f t="shared" si="4"/>
        <v>0</v>
      </c>
      <c r="GQ1">
        <f t="shared" si="4"/>
        <v>0</v>
      </c>
      <c r="GR1">
        <f t="shared" si="4"/>
        <v>0</v>
      </c>
      <c r="GS1">
        <f t="shared" si="4"/>
        <v>0</v>
      </c>
      <c r="GT1">
        <f t="shared" si="4"/>
        <v>0</v>
      </c>
    </row>
    <row r="2" spans="1:202">
      <c r="B2" t="str">
        <f>TEXT(B4,"МММГГ")</f>
        <v>янв26</v>
      </c>
      <c r="C2" t="str">
        <f t="shared" ref="C2:BN2" si="5">TEXT(C4,"МММГГ")</f>
        <v>февр26</v>
      </c>
      <c r="D2" t="str">
        <f t="shared" si="5"/>
        <v>март26</v>
      </c>
      <c r="E2" t="str">
        <f t="shared" si="5"/>
        <v>апр26</v>
      </c>
      <c r="F2" t="str">
        <f t="shared" si="5"/>
        <v>май26</v>
      </c>
      <c r="G2" t="str">
        <f t="shared" si="5"/>
        <v>июнь26</v>
      </c>
      <c r="H2" t="str">
        <f t="shared" si="5"/>
        <v>июль26</v>
      </c>
      <c r="I2" t="str">
        <f t="shared" si="5"/>
        <v>авг26</v>
      </c>
      <c r="J2" t="str">
        <f t="shared" si="5"/>
        <v>сент26</v>
      </c>
      <c r="K2" t="str">
        <f t="shared" si="5"/>
        <v>окт26</v>
      </c>
      <c r="L2" t="str">
        <f t="shared" si="5"/>
        <v>нояб26</v>
      </c>
      <c r="M2" t="str">
        <f t="shared" si="5"/>
        <v>дек26</v>
      </c>
      <c r="N2" t="str">
        <f t="shared" si="5"/>
        <v>янв27</v>
      </c>
      <c r="O2" t="str">
        <f t="shared" si="5"/>
        <v>февр27</v>
      </c>
      <c r="P2" t="str">
        <f t="shared" si="5"/>
        <v>март27</v>
      </c>
      <c r="Q2" t="str">
        <f t="shared" si="5"/>
        <v>апр27</v>
      </c>
      <c r="R2" t="str">
        <f t="shared" si="5"/>
        <v>май27</v>
      </c>
      <c r="S2" t="str">
        <f t="shared" si="5"/>
        <v>июнь27</v>
      </c>
      <c r="T2" t="str">
        <f t="shared" si="5"/>
        <v>июль27</v>
      </c>
      <c r="U2" t="str">
        <f t="shared" si="5"/>
        <v>авг27</v>
      </c>
      <c r="V2" t="str">
        <f t="shared" si="5"/>
        <v>сент27</v>
      </c>
      <c r="W2" t="str">
        <f t="shared" si="5"/>
        <v>окт27</v>
      </c>
      <c r="X2" t="str">
        <f t="shared" si="5"/>
        <v>нояб27</v>
      </c>
      <c r="Y2" t="str">
        <f t="shared" si="5"/>
        <v>дек27</v>
      </c>
      <c r="Z2" t="str">
        <f t="shared" si="5"/>
        <v>янв28</v>
      </c>
      <c r="AA2" t="str">
        <f t="shared" si="5"/>
        <v>февр28</v>
      </c>
      <c r="AB2" t="str">
        <f t="shared" si="5"/>
        <v>март28</v>
      </c>
      <c r="AC2" t="str">
        <f t="shared" si="5"/>
        <v>апр28</v>
      </c>
      <c r="AD2" t="str">
        <f t="shared" si="5"/>
        <v>май28</v>
      </c>
      <c r="AE2" t="str">
        <f t="shared" si="5"/>
        <v>июнь28</v>
      </c>
      <c r="AF2" t="str">
        <f t="shared" si="5"/>
        <v>июль28</v>
      </c>
      <c r="AG2" t="str">
        <f t="shared" si="5"/>
        <v>авг28</v>
      </c>
      <c r="AH2" t="str">
        <f t="shared" si="5"/>
        <v>сент28</v>
      </c>
      <c r="AI2" t="str">
        <f t="shared" si="5"/>
        <v>окт28</v>
      </c>
      <c r="AJ2" t="str">
        <f t="shared" si="5"/>
        <v>нояб28</v>
      </c>
      <c r="AK2" t="str">
        <f t="shared" si="5"/>
        <v>дек28</v>
      </c>
      <c r="AL2" t="str">
        <f t="shared" si="5"/>
        <v>янв29</v>
      </c>
      <c r="AM2" t="str">
        <f t="shared" si="5"/>
        <v>февр29</v>
      </c>
      <c r="AN2" t="str">
        <f t="shared" si="5"/>
        <v>март29</v>
      </c>
      <c r="AO2" t="str">
        <f t="shared" si="5"/>
        <v>апр29</v>
      </c>
      <c r="AP2" t="str">
        <f t="shared" si="5"/>
        <v>май29</v>
      </c>
      <c r="AQ2" t="str">
        <f t="shared" si="5"/>
        <v>июнь29</v>
      </c>
      <c r="AR2" t="str">
        <f t="shared" si="5"/>
        <v>июль29</v>
      </c>
      <c r="AS2" t="str">
        <f t="shared" si="5"/>
        <v>авг29</v>
      </c>
      <c r="AT2" t="str">
        <f t="shared" si="5"/>
        <v>сент29</v>
      </c>
      <c r="AU2" t="str">
        <f t="shared" si="5"/>
        <v>окт29</v>
      </c>
      <c r="AV2" t="str">
        <f t="shared" si="5"/>
        <v>нояб29</v>
      </c>
      <c r="AW2" t="str">
        <f t="shared" si="5"/>
        <v>дек29</v>
      </c>
      <c r="AX2" t="str">
        <f t="shared" si="5"/>
        <v>янв30</v>
      </c>
      <c r="AY2" t="str">
        <f t="shared" si="5"/>
        <v>февр30</v>
      </c>
      <c r="AZ2" t="str">
        <f t="shared" si="5"/>
        <v>март30</v>
      </c>
      <c r="BA2" t="str">
        <f t="shared" si="5"/>
        <v>апр30</v>
      </c>
      <c r="BB2" t="str">
        <f t="shared" si="5"/>
        <v>май30</v>
      </c>
      <c r="BC2" t="str">
        <f t="shared" si="5"/>
        <v>июнь30</v>
      </c>
      <c r="BD2" t="str">
        <f t="shared" si="5"/>
        <v>июль30</v>
      </c>
      <c r="BE2" t="str">
        <f t="shared" si="5"/>
        <v>авг30</v>
      </c>
      <c r="BF2" t="str">
        <f t="shared" si="5"/>
        <v>сент30</v>
      </c>
      <c r="BG2" t="str">
        <f t="shared" si="5"/>
        <v>окт30</v>
      </c>
      <c r="BH2" t="str">
        <f t="shared" si="5"/>
        <v>нояб30</v>
      </c>
      <c r="BI2" t="str">
        <f t="shared" si="5"/>
        <v>дек30</v>
      </c>
      <c r="BJ2" t="str">
        <f t="shared" si="5"/>
        <v/>
      </c>
      <c r="BK2" t="str">
        <f t="shared" si="5"/>
        <v/>
      </c>
      <c r="BL2" t="str">
        <f t="shared" si="5"/>
        <v/>
      </c>
      <c r="BM2" t="str">
        <f t="shared" si="5"/>
        <v/>
      </c>
      <c r="BN2" t="str">
        <f t="shared" si="5"/>
        <v/>
      </c>
      <c r="BO2" t="str">
        <f t="shared" ref="BO2:DZ2" si="6">TEXT(BO4,"МММГГ")</f>
        <v/>
      </c>
      <c r="BP2" t="str">
        <f t="shared" si="6"/>
        <v/>
      </c>
      <c r="BQ2" t="str">
        <f t="shared" si="6"/>
        <v/>
      </c>
      <c r="BR2" t="str">
        <f t="shared" si="6"/>
        <v/>
      </c>
      <c r="BS2" t="str">
        <f t="shared" si="6"/>
        <v/>
      </c>
      <c r="BT2" t="str">
        <f t="shared" si="6"/>
        <v/>
      </c>
      <c r="BU2" t="str">
        <f t="shared" si="6"/>
        <v/>
      </c>
      <c r="BV2" t="str">
        <f t="shared" si="6"/>
        <v/>
      </c>
      <c r="BW2" t="str">
        <f t="shared" si="6"/>
        <v/>
      </c>
      <c r="BX2" t="str">
        <f t="shared" si="6"/>
        <v/>
      </c>
      <c r="BY2" t="str">
        <f t="shared" si="6"/>
        <v/>
      </c>
      <c r="BZ2" t="str">
        <f t="shared" si="6"/>
        <v/>
      </c>
      <c r="CA2" t="str">
        <f t="shared" si="6"/>
        <v/>
      </c>
      <c r="CB2" t="str">
        <f t="shared" si="6"/>
        <v/>
      </c>
      <c r="CC2" t="str">
        <f t="shared" si="6"/>
        <v/>
      </c>
      <c r="CD2" t="str">
        <f t="shared" si="6"/>
        <v/>
      </c>
      <c r="CE2" t="str">
        <f t="shared" si="6"/>
        <v/>
      </c>
      <c r="CF2" t="str">
        <f t="shared" si="6"/>
        <v/>
      </c>
      <c r="CG2" t="str">
        <f t="shared" si="6"/>
        <v/>
      </c>
      <c r="CH2" t="str">
        <f t="shared" si="6"/>
        <v/>
      </c>
      <c r="CI2" t="str">
        <f t="shared" si="6"/>
        <v/>
      </c>
      <c r="CJ2" t="str">
        <f t="shared" si="6"/>
        <v/>
      </c>
      <c r="CK2" t="str">
        <f t="shared" si="6"/>
        <v/>
      </c>
      <c r="CL2" t="str">
        <f t="shared" si="6"/>
        <v/>
      </c>
      <c r="CM2" t="str">
        <f t="shared" si="6"/>
        <v/>
      </c>
      <c r="CN2" t="str">
        <f t="shared" si="6"/>
        <v/>
      </c>
      <c r="CO2" t="str">
        <f t="shared" si="6"/>
        <v/>
      </c>
      <c r="CP2" t="str">
        <f t="shared" si="6"/>
        <v/>
      </c>
      <c r="CQ2" t="str">
        <f t="shared" si="6"/>
        <v/>
      </c>
      <c r="CR2" t="str">
        <f t="shared" si="6"/>
        <v/>
      </c>
      <c r="CS2" t="str">
        <f t="shared" si="6"/>
        <v/>
      </c>
      <c r="CT2" t="str">
        <f t="shared" si="6"/>
        <v/>
      </c>
      <c r="CU2" t="str">
        <f t="shared" si="6"/>
        <v/>
      </c>
      <c r="CV2" t="str">
        <f t="shared" si="6"/>
        <v/>
      </c>
      <c r="CW2" t="str">
        <f t="shared" si="6"/>
        <v/>
      </c>
      <c r="CX2" t="str">
        <f t="shared" si="6"/>
        <v/>
      </c>
      <c r="CY2" t="str">
        <f t="shared" si="6"/>
        <v/>
      </c>
      <c r="CZ2" t="str">
        <f t="shared" si="6"/>
        <v/>
      </c>
      <c r="DA2" t="str">
        <f t="shared" si="6"/>
        <v/>
      </c>
      <c r="DB2" t="str">
        <f t="shared" si="6"/>
        <v/>
      </c>
      <c r="DC2" t="str">
        <f t="shared" si="6"/>
        <v/>
      </c>
      <c r="DD2" t="str">
        <f t="shared" si="6"/>
        <v/>
      </c>
      <c r="DE2" t="str">
        <f t="shared" si="6"/>
        <v/>
      </c>
      <c r="DF2" t="str">
        <f t="shared" si="6"/>
        <v/>
      </c>
      <c r="DG2" t="str">
        <f t="shared" si="6"/>
        <v/>
      </c>
      <c r="DH2" t="str">
        <f t="shared" si="6"/>
        <v/>
      </c>
      <c r="DI2" t="str">
        <f t="shared" si="6"/>
        <v/>
      </c>
      <c r="DJ2" t="str">
        <f t="shared" si="6"/>
        <v/>
      </c>
      <c r="DK2" t="str">
        <f t="shared" si="6"/>
        <v/>
      </c>
      <c r="DL2" t="str">
        <f t="shared" si="6"/>
        <v/>
      </c>
      <c r="DM2" t="str">
        <f t="shared" si="6"/>
        <v/>
      </c>
      <c r="DN2" t="str">
        <f t="shared" si="6"/>
        <v/>
      </c>
      <c r="DO2" t="str">
        <f t="shared" si="6"/>
        <v/>
      </c>
      <c r="DP2" t="str">
        <f t="shared" si="6"/>
        <v/>
      </c>
      <c r="DQ2" t="str">
        <f t="shared" si="6"/>
        <v/>
      </c>
      <c r="DR2" t="str">
        <f t="shared" si="6"/>
        <v/>
      </c>
      <c r="DS2" t="str">
        <f t="shared" si="6"/>
        <v/>
      </c>
      <c r="DT2" t="str">
        <f t="shared" si="6"/>
        <v/>
      </c>
      <c r="DU2" t="str">
        <f t="shared" si="6"/>
        <v/>
      </c>
      <c r="DV2" t="str">
        <f t="shared" si="6"/>
        <v/>
      </c>
      <c r="DW2" t="str">
        <f t="shared" si="6"/>
        <v/>
      </c>
      <c r="DX2" t="str">
        <f t="shared" si="6"/>
        <v/>
      </c>
      <c r="DY2" t="str">
        <f t="shared" si="6"/>
        <v/>
      </c>
      <c r="DZ2" t="str">
        <f t="shared" si="6"/>
        <v/>
      </c>
      <c r="EA2" t="str">
        <f t="shared" ref="EA2:GL2" si="7">TEXT(EA4,"МММГГ")</f>
        <v/>
      </c>
      <c r="EB2" t="str">
        <f t="shared" si="7"/>
        <v/>
      </c>
      <c r="EC2" t="str">
        <f t="shared" si="7"/>
        <v/>
      </c>
      <c r="ED2" t="str">
        <f t="shared" si="7"/>
        <v/>
      </c>
      <c r="EE2" t="str">
        <f t="shared" si="7"/>
        <v/>
      </c>
      <c r="EF2" t="str">
        <f t="shared" si="7"/>
        <v/>
      </c>
      <c r="EG2" t="str">
        <f t="shared" si="7"/>
        <v/>
      </c>
      <c r="EH2" t="str">
        <f t="shared" si="7"/>
        <v/>
      </c>
      <c r="EI2" t="str">
        <f t="shared" si="7"/>
        <v/>
      </c>
      <c r="EJ2" t="str">
        <f t="shared" si="7"/>
        <v/>
      </c>
      <c r="EK2" t="str">
        <f t="shared" si="7"/>
        <v/>
      </c>
      <c r="EL2" t="str">
        <f t="shared" si="7"/>
        <v/>
      </c>
      <c r="EM2" t="str">
        <f t="shared" si="7"/>
        <v/>
      </c>
      <c r="EN2" t="str">
        <f t="shared" si="7"/>
        <v/>
      </c>
      <c r="EO2" t="str">
        <f t="shared" si="7"/>
        <v/>
      </c>
      <c r="EP2" t="str">
        <f t="shared" si="7"/>
        <v/>
      </c>
      <c r="EQ2" t="str">
        <f t="shared" si="7"/>
        <v/>
      </c>
      <c r="ER2" t="str">
        <f t="shared" si="7"/>
        <v/>
      </c>
      <c r="ES2" t="str">
        <f t="shared" si="7"/>
        <v/>
      </c>
      <c r="ET2" t="str">
        <f t="shared" si="7"/>
        <v/>
      </c>
      <c r="EU2" t="str">
        <f t="shared" si="7"/>
        <v/>
      </c>
      <c r="EV2" t="str">
        <f t="shared" si="7"/>
        <v/>
      </c>
      <c r="EW2" t="str">
        <f t="shared" si="7"/>
        <v/>
      </c>
      <c r="EX2" t="str">
        <f t="shared" si="7"/>
        <v/>
      </c>
      <c r="EY2" t="str">
        <f t="shared" si="7"/>
        <v/>
      </c>
      <c r="EZ2" t="str">
        <f t="shared" si="7"/>
        <v/>
      </c>
      <c r="FA2" t="str">
        <f t="shared" si="7"/>
        <v/>
      </c>
      <c r="FB2" t="str">
        <f t="shared" si="7"/>
        <v/>
      </c>
      <c r="FC2" t="str">
        <f t="shared" si="7"/>
        <v/>
      </c>
      <c r="FD2" t="str">
        <f t="shared" si="7"/>
        <v/>
      </c>
      <c r="FE2" t="str">
        <f t="shared" si="7"/>
        <v/>
      </c>
      <c r="FF2" t="str">
        <f t="shared" si="7"/>
        <v/>
      </c>
      <c r="FG2" t="str">
        <f t="shared" si="7"/>
        <v/>
      </c>
      <c r="FH2" t="str">
        <f t="shared" si="7"/>
        <v/>
      </c>
      <c r="FI2" t="str">
        <f t="shared" si="7"/>
        <v/>
      </c>
      <c r="FJ2" t="str">
        <f t="shared" si="7"/>
        <v/>
      </c>
      <c r="FK2" t="str">
        <f t="shared" si="7"/>
        <v/>
      </c>
      <c r="FL2" t="str">
        <f t="shared" si="7"/>
        <v/>
      </c>
      <c r="FM2" t="str">
        <f t="shared" si="7"/>
        <v/>
      </c>
      <c r="FN2" t="str">
        <f t="shared" si="7"/>
        <v/>
      </c>
      <c r="FO2" t="str">
        <f t="shared" si="7"/>
        <v/>
      </c>
      <c r="FP2" t="str">
        <f t="shared" si="7"/>
        <v/>
      </c>
      <c r="FQ2" t="str">
        <f t="shared" si="7"/>
        <v/>
      </c>
      <c r="FR2" t="str">
        <f t="shared" si="7"/>
        <v/>
      </c>
      <c r="FS2" t="str">
        <f t="shared" si="7"/>
        <v/>
      </c>
      <c r="FT2" t="str">
        <f t="shared" si="7"/>
        <v/>
      </c>
      <c r="FU2" t="str">
        <f t="shared" si="7"/>
        <v/>
      </c>
      <c r="FV2" t="str">
        <f t="shared" si="7"/>
        <v/>
      </c>
      <c r="FW2" t="str">
        <f t="shared" si="7"/>
        <v/>
      </c>
      <c r="FX2" t="str">
        <f t="shared" si="7"/>
        <v/>
      </c>
      <c r="FY2" t="str">
        <f t="shared" si="7"/>
        <v/>
      </c>
      <c r="FZ2" t="str">
        <f t="shared" si="7"/>
        <v/>
      </c>
      <c r="GA2" t="str">
        <f t="shared" si="7"/>
        <v/>
      </c>
      <c r="GB2" t="str">
        <f t="shared" si="7"/>
        <v/>
      </c>
      <c r="GC2" t="str">
        <f t="shared" si="7"/>
        <v/>
      </c>
      <c r="GD2" t="str">
        <f t="shared" si="7"/>
        <v/>
      </c>
      <c r="GE2" t="str">
        <f t="shared" si="7"/>
        <v/>
      </c>
      <c r="GF2" t="str">
        <f t="shared" si="7"/>
        <v/>
      </c>
      <c r="GG2" t="str">
        <f t="shared" si="7"/>
        <v/>
      </c>
      <c r="GH2" t="str">
        <f t="shared" si="7"/>
        <v/>
      </c>
      <c r="GI2" t="str">
        <f t="shared" si="7"/>
        <v/>
      </c>
      <c r="GJ2" t="str">
        <f t="shared" si="7"/>
        <v/>
      </c>
      <c r="GK2" t="str">
        <f t="shared" si="7"/>
        <v/>
      </c>
      <c r="GL2" t="str">
        <f t="shared" si="7"/>
        <v/>
      </c>
      <c r="GM2" t="str">
        <f t="shared" ref="GM2:GT2" si="8">TEXT(GM4,"МММГГ")</f>
        <v/>
      </c>
      <c r="GN2" t="str">
        <f t="shared" si="8"/>
        <v/>
      </c>
      <c r="GO2" t="str">
        <f t="shared" si="8"/>
        <v/>
      </c>
      <c r="GP2" t="str">
        <f t="shared" si="8"/>
        <v/>
      </c>
      <c r="GQ2" t="str">
        <f t="shared" si="8"/>
        <v/>
      </c>
      <c r="GR2" t="str">
        <f t="shared" si="8"/>
        <v/>
      </c>
      <c r="GS2" t="str">
        <f t="shared" si="8"/>
        <v/>
      </c>
      <c r="GT2" t="str">
        <f t="shared" si="8"/>
        <v>янв00</v>
      </c>
    </row>
    <row r="3" spans="1:202">
      <c r="A3" s="57" t="s">
        <v>141</v>
      </c>
      <c r="B3">
        <f>'Как есть'!C9</f>
        <v>2026</v>
      </c>
      <c r="C3">
        <f>'Как есть'!D9</f>
        <v>2026</v>
      </c>
      <c r="D3">
        <f>'Как есть'!E9</f>
        <v>2026</v>
      </c>
      <c r="E3">
        <f>'Как есть'!F9</f>
        <v>2026</v>
      </c>
      <c r="F3">
        <f>'Как есть'!G9</f>
        <v>2026</v>
      </c>
      <c r="G3">
        <f>'Как есть'!H9</f>
        <v>2026</v>
      </c>
      <c r="H3">
        <f>'Как есть'!I9</f>
        <v>2026</v>
      </c>
      <c r="I3">
        <f>'Как есть'!J9</f>
        <v>2026</v>
      </c>
      <c r="J3">
        <f>'Как есть'!K9</f>
        <v>2026</v>
      </c>
      <c r="K3">
        <f>'Как есть'!L9</f>
        <v>2026</v>
      </c>
      <c r="L3">
        <f>'Как есть'!M9</f>
        <v>2026</v>
      </c>
      <c r="M3">
        <f>'Как есть'!N9</f>
        <v>2026</v>
      </c>
      <c r="N3">
        <f>'Как есть'!O9</f>
        <v>2027</v>
      </c>
      <c r="O3">
        <f>'Как есть'!P9</f>
        <v>2027</v>
      </c>
      <c r="P3">
        <f>'Как есть'!Q9</f>
        <v>2027</v>
      </c>
      <c r="Q3">
        <f>'Как есть'!R9</f>
        <v>2027</v>
      </c>
      <c r="R3">
        <f>'Как есть'!S9</f>
        <v>2027</v>
      </c>
      <c r="S3">
        <f>'Как есть'!T9</f>
        <v>2027</v>
      </c>
      <c r="T3">
        <f>'Как есть'!U9</f>
        <v>2027</v>
      </c>
      <c r="U3">
        <f>'Как есть'!V9</f>
        <v>2027</v>
      </c>
      <c r="V3">
        <f>'Как есть'!W9</f>
        <v>2027</v>
      </c>
      <c r="W3">
        <f>'Как есть'!X9</f>
        <v>2027</v>
      </c>
      <c r="X3">
        <f>'Как есть'!Y9</f>
        <v>2027</v>
      </c>
      <c r="Y3">
        <f>'Как есть'!Z9</f>
        <v>2027</v>
      </c>
      <c r="Z3">
        <f>'Как есть'!AA9</f>
        <v>2028</v>
      </c>
      <c r="AA3">
        <f>'Как есть'!AB9</f>
        <v>2028</v>
      </c>
      <c r="AB3">
        <f>'Как есть'!AC9</f>
        <v>2028</v>
      </c>
      <c r="AC3">
        <f>'Как есть'!AD9</f>
        <v>2028</v>
      </c>
      <c r="AD3">
        <f>'Как есть'!AE9</f>
        <v>2028</v>
      </c>
      <c r="AE3">
        <f>'Как есть'!AF9</f>
        <v>2028</v>
      </c>
      <c r="AF3">
        <f>'Как есть'!AG9</f>
        <v>2028</v>
      </c>
      <c r="AG3">
        <f>'Как есть'!AH9</f>
        <v>2028</v>
      </c>
      <c r="AH3">
        <f>'Как есть'!AI9</f>
        <v>2028</v>
      </c>
      <c r="AI3">
        <f>'Как есть'!AJ9</f>
        <v>2028</v>
      </c>
      <c r="AJ3">
        <f>'Как есть'!AK9</f>
        <v>2028</v>
      </c>
      <c r="AK3">
        <f>'Как есть'!AL9</f>
        <v>2028</v>
      </c>
      <c r="AL3">
        <f>'Как есть'!AM9</f>
        <v>2029</v>
      </c>
      <c r="AM3">
        <f>'Как есть'!AN9</f>
        <v>2029</v>
      </c>
      <c r="AN3">
        <f>'Как есть'!AO9</f>
        <v>2029</v>
      </c>
      <c r="AO3">
        <f>'Как есть'!AP9</f>
        <v>2029</v>
      </c>
      <c r="AP3">
        <f>'Как есть'!AQ9</f>
        <v>2029</v>
      </c>
      <c r="AQ3">
        <f>'Как есть'!AR9</f>
        <v>2029</v>
      </c>
      <c r="AR3">
        <f>'Как есть'!AS9</f>
        <v>2029</v>
      </c>
      <c r="AS3">
        <f>'Как есть'!AT9</f>
        <v>2029</v>
      </c>
      <c r="AT3">
        <f>'Как есть'!AU9</f>
        <v>2029</v>
      </c>
      <c r="AU3">
        <f>'Как есть'!AV9</f>
        <v>2029</v>
      </c>
      <c r="AV3">
        <f>'Как есть'!AW9</f>
        <v>2029</v>
      </c>
      <c r="AW3">
        <f>'Как есть'!AX9</f>
        <v>2029</v>
      </c>
      <c r="AX3">
        <f>'Как есть'!AY9</f>
        <v>2030</v>
      </c>
      <c r="AY3">
        <f>'Как есть'!AZ9</f>
        <v>2030</v>
      </c>
      <c r="AZ3">
        <f>'Как есть'!BA9</f>
        <v>2030</v>
      </c>
      <c r="BA3">
        <f>'Как есть'!BB9</f>
        <v>2030</v>
      </c>
      <c r="BB3">
        <f>'Как есть'!BC9</f>
        <v>2030</v>
      </c>
      <c r="BC3">
        <f>'Как есть'!BD9</f>
        <v>2030</v>
      </c>
      <c r="BD3">
        <f>'Как есть'!BE9</f>
        <v>2030</v>
      </c>
      <c r="BE3">
        <f>'Как есть'!BF9</f>
        <v>2030</v>
      </c>
      <c r="BF3">
        <f>'Как есть'!BG9</f>
        <v>2030</v>
      </c>
      <c r="BG3">
        <f>'Как есть'!BH9</f>
        <v>2030</v>
      </c>
      <c r="BH3">
        <f>'Как есть'!BI9</f>
        <v>2030</v>
      </c>
      <c r="BI3">
        <f>'Как есть'!BJ9</f>
        <v>2030</v>
      </c>
      <c r="BJ3" t="str">
        <f>'Как есть'!BK9</f>
        <v/>
      </c>
      <c r="BK3" t="str">
        <f>'Как есть'!BL9</f>
        <v/>
      </c>
      <c r="BL3" t="str">
        <f>'Как есть'!BM9</f>
        <v/>
      </c>
      <c r="BM3" t="str">
        <f>'Как есть'!BN9</f>
        <v/>
      </c>
      <c r="BN3" t="str">
        <f>'Как есть'!BO9</f>
        <v/>
      </c>
      <c r="BO3" t="str">
        <f>'Как есть'!BP9</f>
        <v/>
      </c>
      <c r="BP3" t="str">
        <f>'Как есть'!BQ9</f>
        <v/>
      </c>
      <c r="BQ3" t="str">
        <f>'Как есть'!BR9</f>
        <v/>
      </c>
      <c r="BR3" t="str">
        <f>'Как есть'!BS9</f>
        <v/>
      </c>
      <c r="BS3" t="str">
        <f>'Как есть'!BT9</f>
        <v/>
      </c>
      <c r="BT3" t="str">
        <f>'Как есть'!BU9</f>
        <v/>
      </c>
      <c r="BU3" t="str">
        <f>'Как есть'!BV9</f>
        <v/>
      </c>
      <c r="BV3" t="str">
        <f>'Как есть'!BW9</f>
        <v/>
      </c>
      <c r="BW3" t="str">
        <f>'Как есть'!BX9</f>
        <v/>
      </c>
      <c r="BX3" t="str">
        <f>'Как есть'!BY9</f>
        <v/>
      </c>
      <c r="BY3" t="str">
        <f>'Как есть'!BZ9</f>
        <v/>
      </c>
      <c r="BZ3" t="str">
        <f>'Как есть'!CA9</f>
        <v/>
      </c>
      <c r="CA3" t="str">
        <f>'Как есть'!CB9</f>
        <v/>
      </c>
      <c r="CB3" t="str">
        <f>'Как есть'!CC9</f>
        <v/>
      </c>
      <c r="CC3" t="str">
        <f>'Как есть'!CD9</f>
        <v/>
      </c>
      <c r="CD3" t="str">
        <f>'Как есть'!CE9</f>
        <v/>
      </c>
      <c r="CE3" t="str">
        <f>'Как есть'!CF9</f>
        <v/>
      </c>
      <c r="CF3" t="str">
        <f>'Как есть'!CG9</f>
        <v/>
      </c>
      <c r="CG3" t="str">
        <f>'Как есть'!CH9</f>
        <v/>
      </c>
      <c r="CH3" t="str">
        <f>'Как есть'!CI9</f>
        <v/>
      </c>
      <c r="CI3" t="str">
        <f>'Как есть'!CJ9</f>
        <v/>
      </c>
      <c r="CJ3" t="str">
        <f>'Как есть'!CK9</f>
        <v/>
      </c>
      <c r="CK3" t="str">
        <f>'Как есть'!CL9</f>
        <v/>
      </c>
      <c r="CL3" t="str">
        <f>'Как есть'!CM9</f>
        <v/>
      </c>
      <c r="CM3" t="str">
        <f>'Как есть'!CN9</f>
        <v/>
      </c>
      <c r="CN3" t="str">
        <f>'Как есть'!CO9</f>
        <v/>
      </c>
      <c r="CO3" t="str">
        <f>'Как есть'!CP9</f>
        <v/>
      </c>
      <c r="CP3" t="str">
        <f>'Как есть'!CQ9</f>
        <v/>
      </c>
      <c r="CQ3" t="str">
        <f>'Как есть'!CR9</f>
        <v/>
      </c>
      <c r="CR3" t="str">
        <f>'Как есть'!CS9</f>
        <v/>
      </c>
      <c r="CS3" t="str">
        <f>'Как есть'!CT9</f>
        <v/>
      </c>
      <c r="CT3" t="str">
        <f>'Как есть'!CU9</f>
        <v/>
      </c>
      <c r="CU3" t="str">
        <f>'Как есть'!CV9</f>
        <v/>
      </c>
      <c r="CV3" t="str">
        <f>'Как есть'!CW9</f>
        <v/>
      </c>
      <c r="CW3" t="str">
        <f>'Как есть'!CX9</f>
        <v/>
      </c>
      <c r="CX3" t="str">
        <f>'Как есть'!CY9</f>
        <v/>
      </c>
      <c r="CY3" t="str">
        <f>'Как есть'!CZ9</f>
        <v/>
      </c>
      <c r="CZ3" t="str">
        <f>'Как есть'!DA9</f>
        <v/>
      </c>
      <c r="DA3" t="str">
        <f>'Как есть'!DB9</f>
        <v/>
      </c>
      <c r="DB3" t="str">
        <f>'Как есть'!DC9</f>
        <v/>
      </c>
      <c r="DC3" t="str">
        <f>'Как есть'!DD9</f>
        <v/>
      </c>
      <c r="DD3" t="str">
        <f>'Как есть'!DE9</f>
        <v/>
      </c>
      <c r="DE3" t="str">
        <f>'Как есть'!DF9</f>
        <v/>
      </c>
      <c r="DF3" t="str">
        <f>'Как есть'!DG9</f>
        <v/>
      </c>
      <c r="DG3" t="str">
        <f>'Как есть'!DH9</f>
        <v/>
      </c>
      <c r="DH3" t="str">
        <f>'Как есть'!DI9</f>
        <v/>
      </c>
      <c r="DI3" t="str">
        <f>'Как есть'!DJ9</f>
        <v/>
      </c>
      <c r="DJ3" t="str">
        <f>'Как есть'!DK9</f>
        <v/>
      </c>
      <c r="DK3" t="str">
        <f>'Как есть'!DL9</f>
        <v/>
      </c>
      <c r="DL3" t="str">
        <f>'Как есть'!DM9</f>
        <v/>
      </c>
      <c r="DM3" t="str">
        <f>'Как есть'!DN9</f>
        <v/>
      </c>
      <c r="DN3" t="str">
        <f>'Как есть'!DO9</f>
        <v/>
      </c>
      <c r="DO3" t="str">
        <f>'Как есть'!DP9</f>
        <v/>
      </c>
      <c r="DP3" t="str">
        <f>'Как есть'!DQ9</f>
        <v/>
      </c>
      <c r="DQ3" t="str">
        <f>'Как есть'!DR9</f>
        <v/>
      </c>
      <c r="DR3" t="str">
        <f>'Как есть'!DS9</f>
        <v/>
      </c>
      <c r="DS3" t="str">
        <f>'Как есть'!DT9</f>
        <v/>
      </c>
      <c r="DT3" t="str">
        <f>'Как есть'!DU9</f>
        <v/>
      </c>
      <c r="DU3" t="str">
        <f>'Как есть'!DV9</f>
        <v/>
      </c>
      <c r="DV3" t="str">
        <f>'Как есть'!DW9</f>
        <v/>
      </c>
      <c r="DW3" t="str">
        <f>'Как есть'!DX9</f>
        <v/>
      </c>
      <c r="DX3" t="str">
        <f>'Как есть'!DY9</f>
        <v/>
      </c>
      <c r="DY3" t="str">
        <f>'Как есть'!DZ9</f>
        <v/>
      </c>
      <c r="DZ3" t="str">
        <f>'Как есть'!EA9</f>
        <v/>
      </c>
      <c r="EA3" t="str">
        <f>'Как есть'!EB9</f>
        <v/>
      </c>
      <c r="EB3" t="str">
        <f>'Как есть'!EC9</f>
        <v/>
      </c>
      <c r="EC3" t="str">
        <f>'Как есть'!ED9</f>
        <v/>
      </c>
      <c r="ED3" t="str">
        <f>'Как есть'!EE9</f>
        <v/>
      </c>
      <c r="EE3" t="str">
        <f>'Как есть'!EF9</f>
        <v/>
      </c>
      <c r="EF3" t="str">
        <f>'Как есть'!EG9</f>
        <v/>
      </c>
      <c r="EG3" t="str">
        <f>'Как есть'!EH9</f>
        <v/>
      </c>
      <c r="EH3" t="str">
        <f>'Как есть'!EI9</f>
        <v/>
      </c>
      <c r="EI3" t="str">
        <f>'Как есть'!EJ9</f>
        <v/>
      </c>
      <c r="EJ3" t="str">
        <f>'Как есть'!EK9</f>
        <v/>
      </c>
      <c r="EK3" t="str">
        <f>'Как есть'!EL9</f>
        <v/>
      </c>
      <c r="EL3" t="str">
        <f>'Как есть'!EM9</f>
        <v/>
      </c>
      <c r="EM3" t="str">
        <f>'Как есть'!EN9</f>
        <v/>
      </c>
      <c r="EN3" t="str">
        <f>'Как есть'!EO9</f>
        <v/>
      </c>
      <c r="EO3" t="str">
        <f>'Как есть'!EP9</f>
        <v/>
      </c>
      <c r="EP3" t="str">
        <f>'Как есть'!EQ9</f>
        <v/>
      </c>
      <c r="EQ3" t="str">
        <f>'Как есть'!ER9</f>
        <v/>
      </c>
      <c r="ER3" t="str">
        <f>'Как есть'!ES9</f>
        <v/>
      </c>
      <c r="ES3" t="str">
        <f>'Как есть'!ET9</f>
        <v/>
      </c>
      <c r="ET3" t="str">
        <f>'Как есть'!EU9</f>
        <v/>
      </c>
      <c r="EU3" t="str">
        <f>'Как есть'!EV9</f>
        <v/>
      </c>
      <c r="EV3" t="str">
        <f>'Как есть'!EW9</f>
        <v/>
      </c>
      <c r="EW3" t="str">
        <f>'Как есть'!EX9</f>
        <v/>
      </c>
      <c r="EX3" t="str">
        <f>'Как есть'!EY9</f>
        <v/>
      </c>
      <c r="EY3" t="str">
        <f>'Как есть'!EZ9</f>
        <v/>
      </c>
      <c r="EZ3" t="str">
        <f>'Как есть'!FA9</f>
        <v/>
      </c>
      <c r="FA3" t="str">
        <f>'Как есть'!FB9</f>
        <v/>
      </c>
      <c r="FB3" t="str">
        <f>'Как есть'!FC9</f>
        <v/>
      </c>
      <c r="FC3" t="str">
        <f>'Как есть'!FD9</f>
        <v/>
      </c>
      <c r="FD3" t="str">
        <f>'Как есть'!FE9</f>
        <v/>
      </c>
      <c r="FE3" t="str">
        <f>'Как есть'!FF9</f>
        <v/>
      </c>
      <c r="FF3" t="str">
        <f>'Как есть'!FG9</f>
        <v/>
      </c>
      <c r="FG3" t="str">
        <f>'Как есть'!FH9</f>
        <v/>
      </c>
      <c r="FH3" t="str">
        <f>'Как есть'!FI9</f>
        <v/>
      </c>
      <c r="FI3" t="str">
        <f>'Как есть'!FJ9</f>
        <v/>
      </c>
      <c r="FJ3" t="str">
        <f>'Как есть'!FK9</f>
        <v/>
      </c>
      <c r="FK3" t="str">
        <f>'Как есть'!FL9</f>
        <v/>
      </c>
      <c r="FL3" t="str">
        <f>'Как есть'!FM9</f>
        <v/>
      </c>
      <c r="FM3" t="str">
        <f>'Как есть'!FN9</f>
        <v/>
      </c>
      <c r="FN3" t="str">
        <f>'Как есть'!FO9</f>
        <v/>
      </c>
      <c r="FO3" t="str">
        <f>'Как есть'!FP9</f>
        <v/>
      </c>
      <c r="FP3" t="str">
        <f>'Как есть'!FQ9</f>
        <v/>
      </c>
      <c r="FQ3" t="str">
        <f>'Как есть'!FR9</f>
        <v/>
      </c>
      <c r="FR3" t="str">
        <f>'Как есть'!FS9</f>
        <v/>
      </c>
      <c r="FS3" t="str">
        <f>'Как есть'!FT9</f>
        <v/>
      </c>
      <c r="FT3" t="str">
        <f>'Как есть'!FU9</f>
        <v/>
      </c>
      <c r="FU3" t="str">
        <f>'Как есть'!FV9</f>
        <v/>
      </c>
      <c r="FV3" t="str">
        <f>'Как есть'!FW9</f>
        <v/>
      </c>
      <c r="FW3" t="str">
        <f>'Как есть'!FX9</f>
        <v/>
      </c>
      <c r="FX3" t="str">
        <f>'Как есть'!FY9</f>
        <v/>
      </c>
      <c r="FY3" t="str">
        <f>'Как есть'!FZ9</f>
        <v/>
      </c>
      <c r="FZ3" t="str">
        <f>'Как есть'!GA9</f>
        <v/>
      </c>
      <c r="GA3" t="str">
        <f>'Как есть'!GB9</f>
        <v/>
      </c>
      <c r="GB3" t="str">
        <f>'Как есть'!GC9</f>
        <v/>
      </c>
      <c r="GC3" t="str">
        <f>'Как есть'!GD9</f>
        <v/>
      </c>
      <c r="GD3" t="str">
        <f>'Как есть'!GE9</f>
        <v/>
      </c>
      <c r="GE3" t="str">
        <f>'Как есть'!GF9</f>
        <v/>
      </c>
      <c r="GF3" t="str">
        <f>'Как есть'!GG9</f>
        <v/>
      </c>
      <c r="GG3" t="str">
        <f>'Как есть'!GH9</f>
        <v/>
      </c>
      <c r="GH3" t="str">
        <f>'Как есть'!GI9</f>
        <v/>
      </c>
      <c r="GI3" t="str">
        <f>'Как есть'!GJ9</f>
        <v/>
      </c>
      <c r="GJ3" t="str">
        <f>'Как есть'!GK9</f>
        <v/>
      </c>
      <c r="GK3" t="str">
        <f>'Как есть'!GL9</f>
        <v/>
      </c>
      <c r="GL3" t="str">
        <f>'Как есть'!GM9</f>
        <v/>
      </c>
      <c r="GM3" t="str">
        <f>'Как есть'!GN9</f>
        <v/>
      </c>
      <c r="GN3" t="str">
        <f>'Как есть'!GO9</f>
        <v/>
      </c>
      <c r="GO3" t="str">
        <f>'Как есть'!GP9</f>
        <v/>
      </c>
      <c r="GP3" t="str">
        <f>'Как есть'!GQ9</f>
        <v/>
      </c>
      <c r="GQ3" t="str">
        <f>'Как есть'!GR9</f>
        <v/>
      </c>
      <c r="GR3" t="str">
        <f>'Как есть'!GS9</f>
        <v/>
      </c>
      <c r="GS3" t="str">
        <f>'Как есть'!GT9</f>
        <v/>
      </c>
      <c r="GT3">
        <f>'Как есть'!GU9</f>
        <v>0</v>
      </c>
    </row>
    <row r="4" spans="1:202">
      <c r="A4" s="57" t="s">
        <v>140</v>
      </c>
      <c r="B4" s="235">
        <f>'Как есть'!C14</f>
        <v>46023</v>
      </c>
      <c r="C4" s="235">
        <f>'Как есть'!D14</f>
        <v>46054</v>
      </c>
      <c r="D4" s="235">
        <f>'Как есть'!E14</f>
        <v>46082</v>
      </c>
      <c r="E4" s="235">
        <f>'Как есть'!F14</f>
        <v>46113</v>
      </c>
      <c r="F4" s="235">
        <f>'Как есть'!G14</f>
        <v>46143</v>
      </c>
      <c r="G4" s="235">
        <f>'Как есть'!H14</f>
        <v>46174</v>
      </c>
      <c r="H4" s="235">
        <f>'Как есть'!I14</f>
        <v>46204</v>
      </c>
      <c r="I4" s="235">
        <f>'Как есть'!J14</f>
        <v>46235</v>
      </c>
      <c r="J4" s="235">
        <f>'Как есть'!K14</f>
        <v>46266</v>
      </c>
      <c r="K4" s="235">
        <f>'Как есть'!L14</f>
        <v>46296</v>
      </c>
      <c r="L4" s="235">
        <f>'Как есть'!M14</f>
        <v>46327</v>
      </c>
      <c r="M4" s="235">
        <f>'Как есть'!N14</f>
        <v>46357</v>
      </c>
      <c r="N4" s="235">
        <f>'Как есть'!O14</f>
        <v>46388</v>
      </c>
      <c r="O4" s="235">
        <f>'Как есть'!P14</f>
        <v>46419</v>
      </c>
      <c r="P4" s="235">
        <f>'Как есть'!Q14</f>
        <v>46447</v>
      </c>
      <c r="Q4" s="235">
        <f>'Как есть'!R14</f>
        <v>46478</v>
      </c>
      <c r="R4" s="235">
        <f>'Как есть'!S14</f>
        <v>46508</v>
      </c>
      <c r="S4" s="235">
        <f>'Как есть'!T14</f>
        <v>46539</v>
      </c>
      <c r="T4" s="235">
        <f>'Как есть'!U14</f>
        <v>46569</v>
      </c>
      <c r="U4" s="235">
        <f>'Как есть'!V14</f>
        <v>46600</v>
      </c>
      <c r="V4" s="235">
        <f>'Как есть'!W14</f>
        <v>46631</v>
      </c>
      <c r="W4" s="235">
        <f>'Как есть'!X14</f>
        <v>46661</v>
      </c>
      <c r="X4" s="235">
        <f>'Как есть'!Y14</f>
        <v>46692</v>
      </c>
      <c r="Y4" s="235">
        <f>'Как есть'!Z14</f>
        <v>46722</v>
      </c>
      <c r="Z4" s="235">
        <f>'Как есть'!AA14</f>
        <v>46753</v>
      </c>
      <c r="AA4" s="235">
        <f>'Как есть'!AB14</f>
        <v>46784</v>
      </c>
      <c r="AB4" s="235">
        <f>'Как есть'!AC14</f>
        <v>46813</v>
      </c>
      <c r="AC4" s="235">
        <f>'Как есть'!AD14</f>
        <v>46844</v>
      </c>
      <c r="AD4" s="235">
        <f>'Как есть'!AE14</f>
        <v>46874</v>
      </c>
      <c r="AE4" s="235">
        <f>'Как есть'!AF14</f>
        <v>46905</v>
      </c>
      <c r="AF4" s="235">
        <f>'Как есть'!AG14</f>
        <v>46935</v>
      </c>
      <c r="AG4" s="235">
        <f>'Как есть'!AH14</f>
        <v>46966</v>
      </c>
      <c r="AH4" s="235">
        <f>'Как есть'!AI14</f>
        <v>46997</v>
      </c>
      <c r="AI4" s="235">
        <f>'Как есть'!AJ14</f>
        <v>47027</v>
      </c>
      <c r="AJ4" s="235">
        <f>'Как есть'!AK14</f>
        <v>47058</v>
      </c>
      <c r="AK4" s="235">
        <f>'Как есть'!AL14</f>
        <v>47088</v>
      </c>
      <c r="AL4" s="235">
        <f>'Как есть'!AM14</f>
        <v>47119</v>
      </c>
      <c r="AM4" s="235">
        <f>'Как есть'!AN14</f>
        <v>47150</v>
      </c>
      <c r="AN4" s="235">
        <f>'Как есть'!AO14</f>
        <v>47178</v>
      </c>
      <c r="AO4" s="235">
        <f>'Как есть'!AP14</f>
        <v>47209</v>
      </c>
      <c r="AP4" s="235">
        <f>'Как есть'!AQ14</f>
        <v>47239</v>
      </c>
      <c r="AQ4" s="235">
        <f>'Как есть'!AR14</f>
        <v>47270</v>
      </c>
      <c r="AR4" s="235">
        <f>'Как есть'!AS14</f>
        <v>47300</v>
      </c>
      <c r="AS4" s="235">
        <f>'Как есть'!AT14</f>
        <v>47331</v>
      </c>
      <c r="AT4" s="235">
        <f>'Как есть'!AU14</f>
        <v>47362</v>
      </c>
      <c r="AU4" s="235">
        <f>'Как есть'!AV14</f>
        <v>47392</v>
      </c>
      <c r="AV4" s="235">
        <f>'Как есть'!AW14</f>
        <v>47423</v>
      </c>
      <c r="AW4" s="235">
        <f>'Как есть'!AX14</f>
        <v>47453</v>
      </c>
      <c r="AX4" s="235">
        <f>'Как есть'!AY14</f>
        <v>47484</v>
      </c>
      <c r="AY4" s="235">
        <f>'Как есть'!AZ14</f>
        <v>47515</v>
      </c>
      <c r="AZ4" s="235">
        <f>'Как есть'!BA14</f>
        <v>47543</v>
      </c>
      <c r="BA4" s="235">
        <f>'Как есть'!BB14</f>
        <v>47574</v>
      </c>
      <c r="BB4" s="235">
        <f>'Как есть'!BC14</f>
        <v>47604</v>
      </c>
      <c r="BC4" s="235">
        <f>'Как есть'!BD14</f>
        <v>47635</v>
      </c>
      <c r="BD4" s="235">
        <f>'Как есть'!BE14</f>
        <v>47665</v>
      </c>
      <c r="BE4" s="235">
        <f>'Как есть'!BF14</f>
        <v>47696</v>
      </c>
      <c r="BF4" s="235">
        <f>'Как есть'!BG14</f>
        <v>47727</v>
      </c>
      <c r="BG4" s="235">
        <f>'Как есть'!BH14</f>
        <v>47757</v>
      </c>
      <c r="BH4" s="235">
        <f>'Как есть'!BI14</f>
        <v>47788</v>
      </c>
      <c r="BI4" s="235">
        <f>'Как есть'!BJ14</f>
        <v>47818</v>
      </c>
      <c r="BJ4" s="235" t="str">
        <f>'Как есть'!BK14</f>
        <v/>
      </c>
      <c r="BK4" s="235" t="str">
        <f>'Как есть'!BL14</f>
        <v/>
      </c>
      <c r="BL4" s="235" t="str">
        <f>'Как есть'!BM14</f>
        <v/>
      </c>
      <c r="BM4" s="235" t="str">
        <f>'Как есть'!BN14</f>
        <v/>
      </c>
      <c r="BN4" s="235" t="str">
        <f>'Как есть'!BO14</f>
        <v/>
      </c>
      <c r="BO4" s="235" t="str">
        <f>'Как есть'!BP14</f>
        <v/>
      </c>
      <c r="BP4" s="235" t="str">
        <f>'Как есть'!BQ14</f>
        <v/>
      </c>
      <c r="BQ4" s="235" t="str">
        <f>'Как есть'!BR14</f>
        <v/>
      </c>
      <c r="BR4" s="235" t="str">
        <f>'Как есть'!BS14</f>
        <v/>
      </c>
      <c r="BS4" s="235" t="str">
        <f>'Как есть'!BT14</f>
        <v/>
      </c>
      <c r="BT4" s="235" t="str">
        <f>'Как есть'!BU14</f>
        <v/>
      </c>
      <c r="BU4" s="235" t="str">
        <f>'Как есть'!BV14</f>
        <v/>
      </c>
      <c r="BV4" s="235" t="str">
        <f>'Как есть'!BW14</f>
        <v/>
      </c>
      <c r="BW4" s="235" t="str">
        <f>'Как есть'!BX14</f>
        <v/>
      </c>
      <c r="BX4" s="235" t="str">
        <f>'Как есть'!BY14</f>
        <v/>
      </c>
      <c r="BY4" s="235" t="str">
        <f>'Как есть'!BZ14</f>
        <v/>
      </c>
      <c r="BZ4" s="235" t="str">
        <f>'Как есть'!CA14</f>
        <v/>
      </c>
      <c r="CA4" s="235" t="str">
        <f>'Как есть'!CB14</f>
        <v/>
      </c>
      <c r="CB4" s="235" t="str">
        <f>'Как есть'!CC14</f>
        <v/>
      </c>
      <c r="CC4" s="235" t="str">
        <f>'Как есть'!CD14</f>
        <v/>
      </c>
      <c r="CD4" s="235" t="str">
        <f>'Как есть'!CE14</f>
        <v/>
      </c>
      <c r="CE4" s="235" t="str">
        <f>'Как есть'!CF14</f>
        <v/>
      </c>
      <c r="CF4" s="235" t="str">
        <f>'Как есть'!CG14</f>
        <v/>
      </c>
      <c r="CG4" s="235" t="str">
        <f>'Как есть'!CH14</f>
        <v/>
      </c>
      <c r="CH4" s="235" t="str">
        <f>'Как есть'!CI14</f>
        <v/>
      </c>
      <c r="CI4" s="235" t="str">
        <f>'Как есть'!CJ14</f>
        <v/>
      </c>
      <c r="CJ4" s="235" t="str">
        <f>'Как есть'!CK14</f>
        <v/>
      </c>
      <c r="CK4" s="235" t="str">
        <f>'Как есть'!CL14</f>
        <v/>
      </c>
      <c r="CL4" s="235" t="str">
        <f>'Как есть'!CM14</f>
        <v/>
      </c>
      <c r="CM4" s="235" t="str">
        <f>'Как есть'!CN14</f>
        <v/>
      </c>
      <c r="CN4" s="235" t="str">
        <f>'Как есть'!CO14</f>
        <v/>
      </c>
      <c r="CO4" s="235" t="str">
        <f>'Как есть'!CP14</f>
        <v/>
      </c>
      <c r="CP4" s="235" t="str">
        <f>'Как есть'!CQ14</f>
        <v/>
      </c>
      <c r="CQ4" s="235" t="str">
        <f>'Как есть'!CR14</f>
        <v/>
      </c>
      <c r="CR4" s="235" t="str">
        <f>'Как есть'!CS14</f>
        <v/>
      </c>
      <c r="CS4" s="235" t="str">
        <f>'Как есть'!CT14</f>
        <v/>
      </c>
      <c r="CT4" s="235" t="str">
        <f>'Как есть'!CU14</f>
        <v/>
      </c>
      <c r="CU4" s="235" t="str">
        <f>'Как есть'!CV14</f>
        <v/>
      </c>
      <c r="CV4" s="235" t="str">
        <f>'Как есть'!CW14</f>
        <v/>
      </c>
      <c r="CW4" s="235" t="str">
        <f>'Как есть'!CX14</f>
        <v/>
      </c>
      <c r="CX4" s="235" t="str">
        <f>'Как есть'!CY14</f>
        <v/>
      </c>
      <c r="CY4" s="235" t="str">
        <f>'Как есть'!CZ14</f>
        <v/>
      </c>
      <c r="CZ4" s="235" t="str">
        <f>'Как есть'!DA14</f>
        <v/>
      </c>
      <c r="DA4" s="235" t="str">
        <f>'Как есть'!DB14</f>
        <v/>
      </c>
      <c r="DB4" s="235" t="str">
        <f>'Как есть'!DC14</f>
        <v/>
      </c>
      <c r="DC4" s="235" t="str">
        <f>'Как есть'!DD14</f>
        <v/>
      </c>
      <c r="DD4" s="235" t="str">
        <f>'Как есть'!DE14</f>
        <v/>
      </c>
      <c r="DE4" s="235" t="str">
        <f>'Как есть'!DF14</f>
        <v/>
      </c>
      <c r="DF4" s="235" t="str">
        <f>'Как есть'!DG14</f>
        <v/>
      </c>
      <c r="DG4" s="235" t="str">
        <f>'Как есть'!DH14</f>
        <v/>
      </c>
      <c r="DH4" s="235" t="str">
        <f>'Как есть'!DI14</f>
        <v/>
      </c>
      <c r="DI4" s="235" t="str">
        <f>'Как есть'!DJ14</f>
        <v/>
      </c>
      <c r="DJ4" s="235" t="str">
        <f>'Как есть'!DK14</f>
        <v/>
      </c>
      <c r="DK4" s="235" t="str">
        <f>'Как есть'!DL14</f>
        <v/>
      </c>
      <c r="DL4" s="235" t="str">
        <f>'Как есть'!DM14</f>
        <v/>
      </c>
      <c r="DM4" s="235" t="str">
        <f>'Как есть'!DN14</f>
        <v/>
      </c>
      <c r="DN4" s="235" t="str">
        <f>'Как есть'!DO14</f>
        <v/>
      </c>
      <c r="DO4" s="235" t="str">
        <f>'Как есть'!DP14</f>
        <v/>
      </c>
      <c r="DP4" s="235" t="str">
        <f>'Как есть'!DQ14</f>
        <v/>
      </c>
      <c r="DQ4" s="235" t="str">
        <f>'Как есть'!DR14</f>
        <v/>
      </c>
      <c r="DR4" s="235" t="str">
        <f>'Как есть'!DS14</f>
        <v/>
      </c>
      <c r="DS4" s="235" t="str">
        <f>'Как есть'!DT14</f>
        <v/>
      </c>
      <c r="DT4" s="235" t="str">
        <f>'Как есть'!DU14</f>
        <v/>
      </c>
      <c r="DU4" s="235" t="str">
        <f>'Как есть'!DV14</f>
        <v/>
      </c>
      <c r="DV4" s="235" t="str">
        <f>'Как есть'!DW14</f>
        <v/>
      </c>
      <c r="DW4" s="235" t="str">
        <f>'Как есть'!DX14</f>
        <v/>
      </c>
      <c r="DX4" s="235" t="str">
        <f>'Как есть'!DY14</f>
        <v/>
      </c>
      <c r="DY4" s="235" t="str">
        <f>'Как есть'!DZ14</f>
        <v/>
      </c>
      <c r="DZ4" s="235" t="str">
        <f>'Как есть'!EA14</f>
        <v/>
      </c>
      <c r="EA4" s="235" t="str">
        <f>'Как есть'!EB14</f>
        <v/>
      </c>
      <c r="EB4" s="235" t="str">
        <f>'Как есть'!EC14</f>
        <v/>
      </c>
      <c r="EC4" s="235" t="str">
        <f>'Как есть'!ED14</f>
        <v/>
      </c>
      <c r="ED4" s="235" t="str">
        <f>'Как есть'!EE14</f>
        <v/>
      </c>
      <c r="EE4" s="235" t="str">
        <f>'Как есть'!EF14</f>
        <v/>
      </c>
      <c r="EF4" s="235" t="str">
        <f>'Как есть'!EG14</f>
        <v/>
      </c>
      <c r="EG4" s="235" t="str">
        <f>'Как есть'!EH14</f>
        <v/>
      </c>
      <c r="EH4" s="235" t="str">
        <f>'Как есть'!EI14</f>
        <v/>
      </c>
      <c r="EI4" s="235" t="str">
        <f>'Как есть'!EJ14</f>
        <v/>
      </c>
      <c r="EJ4" s="235" t="str">
        <f>'Как есть'!EK14</f>
        <v/>
      </c>
      <c r="EK4" s="235" t="str">
        <f>'Как есть'!EL14</f>
        <v/>
      </c>
      <c r="EL4" s="235" t="str">
        <f>'Как есть'!EM14</f>
        <v/>
      </c>
      <c r="EM4" s="235" t="str">
        <f>'Как есть'!EN14</f>
        <v/>
      </c>
      <c r="EN4" s="235" t="str">
        <f>'Как есть'!EO14</f>
        <v/>
      </c>
      <c r="EO4" s="235" t="str">
        <f>'Как есть'!EP14</f>
        <v/>
      </c>
      <c r="EP4" s="235" t="str">
        <f>'Как есть'!EQ14</f>
        <v/>
      </c>
      <c r="EQ4" s="235" t="str">
        <f>'Как есть'!ER14</f>
        <v/>
      </c>
      <c r="ER4" s="235" t="str">
        <f>'Как есть'!ES14</f>
        <v/>
      </c>
      <c r="ES4" s="235" t="str">
        <f>'Как есть'!ET14</f>
        <v/>
      </c>
      <c r="ET4" s="235" t="str">
        <f>'Как есть'!EU14</f>
        <v/>
      </c>
      <c r="EU4" s="235" t="str">
        <f>'Как есть'!EV14</f>
        <v/>
      </c>
      <c r="EV4" s="235" t="str">
        <f>'Как есть'!EW14</f>
        <v/>
      </c>
      <c r="EW4" s="235" t="str">
        <f>'Как есть'!EX14</f>
        <v/>
      </c>
      <c r="EX4" s="235" t="str">
        <f>'Как есть'!EY14</f>
        <v/>
      </c>
      <c r="EY4" s="235" t="str">
        <f>'Как есть'!EZ14</f>
        <v/>
      </c>
      <c r="EZ4" s="235" t="str">
        <f>'Как есть'!FA14</f>
        <v/>
      </c>
      <c r="FA4" s="235" t="str">
        <f>'Как есть'!FB14</f>
        <v/>
      </c>
      <c r="FB4" s="235" t="str">
        <f>'Как есть'!FC14</f>
        <v/>
      </c>
      <c r="FC4" s="235" t="str">
        <f>'Как есть'!FD14</f>
        <v/>
      </c>
      <c r="FD4" s="235" t="str">
        <f>'Как есть'!FE14</f>
        <v/>
      </c>
      <c r="FE4" s="235" t="str">
        <f>'Как есть'!FF14</f>
        <v/>
      </c>
      <c r="FF4" s="235" t="str">
        <f>'Как есть'!FG14</f>
        <v/>
      </c>
      <c r="FG4" s="235" t="str">
        <f>'Как есть'!FH14</f>
        <v/>
      </c>
      <c r="FH4" s="235" t="str">
        <f>'Как есть'!FI14</f>
        <v/>
      </c>
      <c r="FI4" s="235" t="str">
        <f>'Как есть'!FJ14</f>
        <v/>
      </c>
      <c r="FJ4" s="235" t="str">
        <f>'Как есть'!FK14</f>
        <v/>
      </c>
      <c r="FK4" s="235" t="str">
        <f>'Как есть'!FL14</f>
        <v/>
      </c>
      <c r="FL4" s="235" t="str">
        <f>'Как есть'!FM14</f>
        <v/>
      </c>
      <c r="FM4" s="235" t="str">
        <f>'Как есть'!FN14</f>
        <v/>
      </c>
      <c r="FN4" s="235" t="str">
        <f>'Как есть'!FO14</f>
        <v/>
      </c>
      <c r="FO4" s="235" t="str">
        <f>'Как есть'!FP14</f>
        <v/>
      </c>
      <c r="FP4" s="235" t="str">
        <f>'Как есть'!FQ14</f>
        <v/>
      </c>
      <c r="FQ4" s="235" t="str">
        <f>'Как есть'!FR14</f>
        <v/>
      </c>
      <c r="FR4" s="235" t="str">
        <f>'Как есть'!FS14</f>
        <v/>
      </c>
      <c r="FS4" s="235" t="str">
        <f>'Как есть'!FT14</f>
        <v/>
      </c>
      <c r="FT4" s="235" t="str">
        <f>'Как есть'!FU14</f>
        <v/>
      </c>
      <c r="FU4" s="235" t="str">
        <f>'Как есть'!FV14</f>
        <v/>
      </c>
      <c r="FV4" s="235" t="str">
        <f>'Как есть'!FW14</f>
        <v/>
      </c>
      <c r="FW4" s="235" t="str">
        <f>'Как есть'!FX14</f>
        <v/>
      </c>
      <c r="FX4" s="235" t="str">
        <f>'Как есть'!FY14</f>
        <v/>
      </c>
      <c r="FY4" s="235" t="str">
        <f>'Как есть'!FZ14</f>
        <v/>
      </c>
      <c r="FZ4" s="235" t="str">
        <f>'Как есть'!GA14</f>
        <v/>
      </c>
      <c r="GA4" s="235" t="str">
        <f>'Как есть'!GB14</f>
        <v/>
      </c>
      <c r="GB4" s="235" t="str">
        <f>'Как есть'!GC14</f>
        <v/>
      </c>
      <c r="GC4" s="235" t="str">
        <f>'Как есть'!GD14</f>
        <v/>
      </c>
      <c r="GD4" s="235" t="str">
        <f>'Как есть'!GE14</f>
        <v/>
      </c>
      <c r="GE4" s="235" t="str">
        <f>'Как есть'!GF14</f>
        <v/>
      </c>
      <c r="GF4" s="235" t="str">
        <f>'Как есть'!GG14</f>
        <v/>
      </c>
      <c r="GG4" s="235" t="str">
        <f>'Как есть'!GH14</f>
        <v/>
      </c>
      <c r="GH4" s="235" t="str">
        <f>'Как есть'!GI14</f>
        <v/>
      </c>
      <c r="GI4" s="235" t="str">
        <f>'Как есть'!GJ14</f>
        <v/>
      </c>
      <c r="GJ4" s="235" t="str">
        <f>'Как есть'!GK14</f>
        <v/>
      </c>
      <c r="GK4" s="235" t="str">
        <f>'Как есть'!GL14</f>
        <v/>
      </c>
      <c r="GL4" s="235" t="str">
        <f>'Как есть'!GM14</f>
        <v/>
      </c>
      <c r="GM4" s="235" t="str">
        <f>'Как есть'!GN14</f>
        <v/>
      </c>
      <c r="GN4" s="235" t="str">
        <f>'Как есть'!GO14</f>
        <v/>
      </c>
      <c r="GO4" s="235" t="str">
        <f>'Как есть'!GP14</f>
        <v/>
      </c>
      <c r="GP4" s="235" t="str">
        <f>'Как есть'!GQ14</f>
        <v/>
      </c>
      <c r="GQ4" s="235" t="str">
        <f>'Как есть'!GR14</f>
        <v/>
      </c>
      <c r="GR4" s="235" t="str">
        <f>'Как есть'!GS14</f>
        <v/>
      </c>
      <c r="GS4" s="235" t="str">
        <f>'Как есть'!GT14</f>
        <v/>
      </c>
      <c r="GT4" s="235">
        <f>'Как есть'!GU14</f>
        <v>0</v>
      </c>
    </row>
    <row r="5" spans="1:202">
      <c r="A5" s="242" t="s">
        <v>63</v>
      </c>
      <c r="B5">
        <f>SUMIF('Как есть'!$A:$A,Доп.расчеты!$A5,'Как есть'!C:C)</f>
        <v>0</v>
      </c>
      <c r="C5">
        <f>SUMIF('Как есть'!$A:$A,Доп.расчеты!$A5,'Как есть'!D:D)</f>
        <v>0</v>
      </c>
      <c r="D5">
        <f>SUMIF('Как есть'!$A:$A,Доп.расчеты!$A5,'Как есть'!E:E)</f>
        <v>0</v>
      </c>
      <c r="E5">
        <f>SUMIF('Как есть'!$A:$A,Доп.расчеты!$A5,'Как есть'!F:F)</f>
        <v>0</v>
      </c>
      <c r="F5">
        <f>SUMIF('Как есть'!$A:$A,Доп.расчеты!$A5,'Как есть'!G:G)</f>
        <v>0</v>
      </c>
      <c r="G5">
        <f>SUMIF('Как есть'!$A:$A,Доп.расчеты!$A5,'Как есть'!H:H)</f>
        <v>0</v>
      </c>
      <c r="H5">
        <f>SUMIF('Как есть'!$A:$A,Доп.расчеты!$A5,'Как есть'!I:I)</f>
        <v>0</v>
      </c>
      <c r="I5">
        <f>SUMIF('Как есть'!$A:$A,Доп.расчеты!$A5,'Как есть'!J:J)</f>
        <v>0</v>
      </c>
      <c r="J5">
        <f>SUMIF('Как есть'!$A:$A,Доп.расчеты!$A5,'Как есть'!K:K)</f>
        <v>0</v>
      </c>
      <c r="K5">
        <f>SUMIF('Как есть'!$A:$A,Доп.расчеты!$A5,'Как есть'!L:L)</f>
        <v>0</v>
      </c>
      <c r="L5">
        <f>SUMIF('Как есть'!$A:$A,Доп.расчеты!$A5,'Как есть'!M:M)</f>
        <v>0</v>
      </c>
      <c r="M5">
        <f>SUMIF('Как есть'!$A:$A,Доп.расчеты!$A5,'Как есть'!N:N)</f>
        <v>0</v>
      </c>
      <c r="N5">
        <f>SUMIF('Как есть'!$A:$A,Доп.расчеты!$A5,'Как есть'!O:O)</f>
        <v>0</v>
      </c>
      <c r="O5">
        <f>SUMIF('Как есть'!$A:$A,Доп.расчеты!$A5,'Как есть'!P:P)</f>
        <v>0</v>
      </c>
      <c r="P5">
        <f>SUMIF('Как есть'!$A:$A,Доп.расчеты!$A5,'Как есть'!Q:Q)</f>
        <v>0</v>
      </c>
      <c r="Q5">
        <f>SUMIF('Как есть'!$A:$A,Доп.расчеты!$A5,'Как есть'!R:R)</f>
        <v>0</v>
      </c>
      <c r="R5">
        <f>SUMIF('Как есть'!$A:$A,Доп.расчеты!$A5,'Как есть'!S:S)</f>
        <v>0</v>
      </c>
      <c r="S5">
        <f>SUMIF('Как есть'!$A:$A,Доп.расчеты!$A5,'Как есть'!T:T)</f>
        <v>0</v>
      </c>
      <c r="T5">
        <f>SUMIF('Как есть'!$A:$A,Доп.расчеты!$A5,'Как есть'!U:U)</f>
        <v>0</v>
      </c>
      <c r="U5">
        <f>SUMIF('Как есть'!$A:$A,Доп.расчеты!$A5,'Как есть'!V:V)</f>
        <v>0</v>
      </c>
      <c r="V5">
        <f>SUMIF('Как есть'!$A:$A,Доп.расчеты!$A5,'Как есть'!W:W)</f>
        <v>0</v>
      </c>
      <c r="W5">
        <f>SUMIF('Как есть'!$A:$A,Доп.расчеты!$A5,'Как есть'!X:X)</f>
        <v>0</v>
      </c>
      <c r="X5">
        <f>SUMIF('Как есть'!$A:$A,Доп.расчеты!$A5,'Как есть'!Y:Y)</f>
        <v>0</v>
      </c>
      <c r="Y5">
        <f>SUMIF('Как есть'!$A:$A,Доп.расчеты!$A5,'Как есть'!Z:Z)</f>
        <v>0</v>
      </c>
      <c r="Z5">
        <f>SUMIF('Как есть'!$A:$A,Доп.расчеты!$A5,'Как есть'!AA:AA)</f>
        <v>0</v>
      </c>
      <c r="AA5">
        <f>SUMIF('Как есть'!$A:$A,Доп.расчеты!$A5,'Как есть'!AB:AB)</f>
        <v>0</v>
      </c>
      <c r="AB5">
        <f>SUMIF('Как есть'!$A:$A,Доп.расчеты!$A5,'Как есть'!AC:AC)</f>
        <v>0</v>
      </c>
      <c r="AC5">
        <f>SUMIF('Как есть'!$A:$A,Доп.расчеты!$A5,'Как есть'!AD:AD)</f>
        <v>0</v>
      </c>
      <c r="AD5">
        <f>SUMIF('Как есть'!$A:$A,Доп.расчеты!$A5,'Как есть'!AE:AE)</f>
        <v>0</v>
      </c>
      <c r="AE5">
        <f>SUMIF('Как есть'!$A:$A,Доп.расчеты!$A5,'Как есть'!AF:AF)</f>
        <v>0</v>
      </c>
      <c r="AF5">
        <f>SUMIF('Как есть'!$A:$A,Доп.расчеты!$A5,'Как есть'!AG:AG)</f>
        <v>0</v>
      </c>
      <c r="AG5">
        <f>SUMIF('Как есть'!$A:$A,Доп.расчеты!$A5,'Как есть'!AH:AH)</f>
        <v>0</v>
      </c>
      <c r="AH5">
        <f>SUMIF('Как есть'!$A:$A,Доп.расчеты!$A5,'Как есть'!AI:AI)</f>
        <v>0</v>
      </c>
      <c r="AI5">
        <f>SUMIF('Как есть'!$A:$A,Доп.расчеты!$A5,'Как есть'!AJ:AJ)</f>
        <v>0</v>
      </c>
      <c r="AJ5">
        <f>SUMIF('Как есть'!$A:$A,Доп.расчеты!$A5,'Как есть'!AK:AK)</f>
        <v>0</v>
      </c>
      <c r="AK5">
        <f>SUMIF('Как есть'!$A:$A,Доп.расчеты!$A5,'Как есть'!AL:AL)</f>
        <v>0</v>
      </c>
      <c r="AL5">
        <f>SUMIF('Как есть'!$A:$A,Доп.расчеты!$A5,'Как есть'!AM:AM)</f>
        <v>0</v>
      </c>
      <c r="AM5">
        <f>SUMIF('Как есть'!$A:$A,Доп.расчеты!$A5,'Как есть'!AN:AN)</f>
        <v>0</v>
      </c>
      <c r="AN5">
        <f>SUMIF('Как есть'!$A:$A,Доп.расчеты!$A5,'Как есть'!AO:AO)</f>
        <v>0</v>
      </c>
      <c r="AO5">
        <f>SUMIF('Как есть'!$A:$A,Доп.расчеты!$A5,'Как есть'!AP:AP)</f>
        <v>0</v>
      </c>
      <c r="AP5">
        <f>SUMIF('Как есть'!$A:$A,Доп.расчеты!$A5,'Как есть'!AQ:AQ)</f>
        <v>0</v>
      </c>
      <c r="AQ5">
        <f>SUMIF('Как есть'!$A:$A,Доп.расчеты!$A5,'Как есть'!AR:AR)</f>
        <v>0</v>
      </c>
      <c r="AR5">
        <f>SUMIF('Как есть'!$A:$A,Доп.расчеты!$A5,'Как есть'!AS:AS)</f>
        <v>0</v>
      </c>
      <c r="AS5">
        <f>SUMIF('Как есть'!$A:$A,Доп.расчеты!$A5,'Как есть'!AT:AT)</f>
        <v>0</v>
      </c>
      <c r="AT5">
        <f>SUMIF('Как есть'!$A:$A,Доп.расчеты!$A5,'Как есть'!AU:AU)</f>
        <v>0</v>
      </c>
      <c r="AU5">
        <f>SUMIF('Как есть'!$A:$A,Доп.расчеты!$A5,'Как есть'!AV:AV)</f>
        <v>0</v>
      </c>
      <c r="AV5">
        <f>SUMIF('Как есть'!$A:$A,Доп.расчеты!$A5,'Как есть'!AW:AW)</f>
        <v>0</v>
      </c>
      <c r="AW5">
        <f>SUMIF('Как есть'!$A:$A,Доп.расчеты!$A5,'Как есть'!AX:AX)</f>
        <v>0</v>
      </c>
      <c r="AX5">
        <f>SUMIF('Как есть'!$A:$A,Доп.расчеты!$A5,'Как есть'!AY:AY)</f>
        <v>0</v>
      </c>
      <c r="AY5">
        <f>SUMIF('Как есть'!$A:$A,Доп.расчеты!$A5,'Как есть'!AZ:AZ)</f>
        <v>0</v>
      </c>
      <c r="AZ5">
        <f>SUMIF('Как есть'!$A:$A,Доп.расчеты!$A5,'Как есть'!BA:BA)</f>
        <v>0</v>
      </c>
      <c r="BA5">
        <f>SUMIF('Как есть'!$A:$A,Доп.расчеты!$A5,'Как есть'!BB:BB)</f>
        <v>0</v>
      </c>
      <c r="BB5">
        <f>SUMIF('Как есть'!$A:$A,Доп.расчеты!$A5,'Как есть'!BC:BC)</f>
        <v>0</v>
      </c>
      <c r="BC5">
        <f>SUMIF('Как есть'!$A:$A,Доп.расчеты!$A5,'Как есть'!BD:BD)</f>
        <v>0</v>
      </c>
      <c r="BD5">
        <f>SUMIF('Как есть'!$A:$A,Доп.расчеты!$A5,'Как есть'!BE:BE)</f>
        <v>0</v>
      </c>
      <c r="BE5">
        <f>SUMIF('Как есть'!$A:$A,Доп.расчеты!$A5,'Как есть'!BF:BF)</f>
        <v>0</v>
      </c>
      <c r="BF5">
        <f>SUMIF('Как есть'!$A:$A,Доп.расчеты!$A5,'Как есть'!BG:BG)</f>
        <v>0</v>
      </c>
      <c r="BG5">
        <f>SUMIF('Как есть'!$A:$A,Доп.расчеты!$A5,'Как есть'!BH:BH)</f>
        <v>0</v>
      </c>
      <c r="BH5">
        <f>SUMIF('Как есть'!$A:$A,Доп.расчеты!$A5,'Как есть'!BI:BI)</f>
        <v>0</v>
      </c>
      <c r="BI5">
        <f>SUMIF('Как есть'!$A:$A,Доп.расчеты!$A5,'Как есть'!BJ:BJ)</f>
        <v>0</v>
      </c>
      <c r="BJ5">
        <f>SUMIF('Как есть'!$A:$A,Доп.расчеты!$A5,'Как есть'!BK:BK)</f>
        <v>0</v>
      </c>
      <c r="BK5">
        <f>SUMIF('Как есть'!$A:$A,Доп.расчеты!$A5,'Как есть'!BL:BL)</f>
        <v>0</v>
      </c>
      <c r="BL5">
        <f>SUMIF('Как есть'!$A:$A,Доп.расчеты!$A5,'Как есть'!BM:BM)</f>
        <v>0</v>
      </c>
      <c r="BM5">
        <f>SUMIF('Как есть'!$A:$A,Доп.расчеты!$A5,'Как есть'!BN:BN)</f>
        <v>0</v>
      </c>
      <c r="BN5">
        <f>SUMIF('Как есть'!$A:$A,Доп.расчеты!$A5,'Как есть'!BO:BO)</f>
        <v>0</v>
      </c>
      <c r="BO5">
        <f>SUMIF('Как есть'!$A:$A,Доп.расчеты!$A5,'Как есть'!BP:BP)</f>
        <v>0</v>
      </c>
      <c r="BP5">
        <f>SUMIF('Как есть'!$A:$A,Доп.расчеты!$A5,'Как есть'!BQ:BQ)</f>
        <v>0</v>
      </c>
      <c r="BQ5">
        <f>SUMIF('Как есть'!$A:$A,Доп.расчеты!$A5,'Как есть'!BR:BR)</f>
        <v>0</v>
      </c>
      <c r="BR5">
        <f>SUMIF('Как есть'!$A:$A,Доп.расчеты!$A5,'Как есть'!BS:BS)</f>
        <v>0</v>
      </c>
      <c r="BS5">
        <f>SUMIF('Как есть'!$A:$A,Доп.расчеты!$A5,'Как есть'!BT:BT)</f>
        <v>0</v>
      </c>
      <c r="BT5">
        <f>SUMIF('Как есть'!$A:$A,Доп.расчеты!$A5,'Как есть'!BU:BU)</f>
        <v>0</v>
      </c>
      <c r="BU5">
        <f>SUMIF('Как есть'!$A:$A,Доп.расчеты!$A5,'Как есть'!BV:BV)</f>
        <v>0</v>
      </c>
      <c r="BV5">
        <f>SUMIF('Как есть'!$A:$A,Доп.расчеты!$A5,'Как есть'!BW:BW)</f>
        <v>0</v>
      </c>
      <c r="BW5">
        <f>SUMIF('Как есть'!$A:$A,Доп.расчеты!$A5,'Как есть'!BX:BX)</f>
        <v>0</v>
      </c>
      <c r="BX5">
        <f>SUMIF('Как есть'!$A:$A,Доп.расчеты!$A5,'Как есть'!BY:BY)</f>
        <v>0</v>
      </c>
      <c r="BY5">
        <f>SUMIF('Как есть'!$A:$A,Доп.расчеты!$A5,'Как есть'!BZ:BZ)</f>
        <v>0</v>
      </c>
      <c r="BZ5">
        <f>SUMIF('Как есть'!$A:$A,Доп.расчеты!$A5,'Как есть'!CA:CA)</f>
        <v>0</v>
      </c>
      <c r="CA5">
        <f>SUMIF('Как есть'!$A:$A,Доп.расчеты!$A5,'Как есть'!CB:CB)</f>
        <v>0</v>
      </c>
      <c r="CB5">
        <f>SUMIF('Как есть'!$A:$A,Доп.расчеты!$A5,'Как есть'!CC:CC)</f>
        <v>0</v>
      </c>
      <c r="CC5">
        <f>SUMIF('Как есть'!$A:$A,Доп.расчеты!$A5,'Как есть'!CD:CD)</f>
        <v>0</v>
      </c>
      <c r="CD5">
        <f>SUMIF('Как есть'!$A:$A,Доп.расчеты!$A5,'Как есть'!CE:CE)</f>
        <v>0</v>
      </c>
      <c r="CE5">
        <f>SUMIF('Как есть'!$A:$A,Доп.расчеты!$A5,'Как есть'!CF:CF)</f>
        <v>0</v>
      </c>
      <c r="CF5">
        <f>SUMIF('Как есть'!$A:$A,Доп.расчеты!$A5,'Как есть'!CG:CG)</f>
        <v>0</v>
      </c>
      <c r="CG5">
        <f>SUMIF('Как есть'!$A:$A,Доп.расчеты!$A5,'Как есть'!CH:CH)</f>
        <v>0</v>
      </c>
      <c r="CH5">
        <f>SUMIF('Как есть'!$A:$A,Доп.расчеты!$A5,'Как есть'!CI:CI)</f>
        <v>0</v>
      </c>
      <c r="CI5">
        <f>SUMIF('Как есть'!$A:$A,Доп.расчеты!$A5,'Как есть'!CJ:CJ)</f>
        <v>0</v>
      </c>
      <c r="CJ5">
        <f>SUMIF('Как есть'!$A:$A,Доп.расчеты!$A5,'Как есть'!CK:CK)</f>
        <v>0</v>
      </c>
      <c r="CK5">
        <f>SUMIF('Как есть'!$A:$A,Доп.расчеты!$A5,'Как есть'!CL:CL)</f>
        <v>0</v>
      </c>
      <c r="CL5">
        <f>SUMIF('Как есть'!$A:$A,Доп.расчеты!$A5,'Как есть'!CM:CM)</f>
        <v>0</v>
      </c>
      <c r="CM5">
        <f>SUMIF('Как есть'!$A:$A,Доп.расчеты!$A5,'Как есть'!CN:CN)</f>
        <v>0</v>
      </c>
      <c r="CN5">
        <f>SUMIF('Как есть'!$A:$A,Доп.расчеты!$A5,'Как есть'!CO:CO)</f>
        <v>0</v>
      </c>
      <c r="CO5">
        <f>SUMIF('Как есть'!$A:$A,Доп.расчеты!$A5,'Как есть'!CP:CP)</f>
        <v>0</v>
      </c>
      <c r="CP5">
        <f>SUMIF('Как есть'!$A:$A,Доп.расчеты!$A5,'Как есть'!CQ:CQ)</f>
        <v>0</v>
      </c>
      <c r="CQ5">
        <f>SUMIF('Как есть'!$A:$A,Доп.расчеты!$A5,'Как есть'!CR:CR)</f>
        <v>0</v>
      </c>
      <c r="CR5">
        <f>SUMIF('Как есть'!$A:$A,Доп.расчеты!$A5,'Как есть'!CS:CS)</f>
        <v>0</v>
      </c>
      <c r="CS5">
        <f>SUMIF('Как есть'!$A:$A,Доп.расчеты!$A5,'Как есть'!CT:CT)</f>
        <v>0</v>
      </c>
      <c r="CT5">
        <f>SUMIF('Как есть'!$A:$A,Доп.расчеты!$A5,'Как есть'!CU:CU)</f>
        <v>0</v>
      </c>
      <c r="CU5">
        <f>SUMIF('Как есть'!$A:$A,Доп.расчеты!$A5,'Как есть'!CV:CV)</f>
        <v>0</v>
      </c>
      <c r="CV5">
        <f>SUMIF('Как есть'!$A:$A,Доп.расчеты!$A5,'Как есть'!CW:CW)</f>
        <v>0</v>
      </c>
      <c r="CW5">
        <f>SUMIF('Как есть'!$A:$A,Доп.расчеты!$A5,'Как есть'!CX:CX)</f>
        <v>0</v>
      </c>
      <c r="CX5">
        <f>SUMIF('Как есть'!$A:$A,Доп.расчеты!$A5,'Как есть'!CY:CY)</f>
        <v>0</v>
      </c>
      <c r="CY5">
        <f>SUMIF('Как есть'!$A:$A,Доп.расчеты!$A5,'Как есть'!CZ:CZ)</f>
        <v>0</v>
      </c>
      <c r="CZ5">
        <f>SUMIF('Как есть'!$A:$A,Доп.расчеты!$A5,'Как есть'!DA:DA)</f>
        <v>0</v>
      </c>
      <c r="DA5">
        <f>SUMIF('Как есть'!$A:$A,Доп.расчеты!$A5,'Как есть'!DB:DB)</f>
        <v>0</v>
      </c>
      <c r="DB5">
        <f>SUMIF('Как есть'!$A:$A,Доп.расчеты!$A5,'Как есть'!DC:DC)</f>
        <v>0</v>
      </c>
      <c r="DC5">
        <f>SUMIF('Как есть'!$A:$A,Доп.расчеты!$A5,'Как есть'!DD:DD)</f>
        <v>0</v>
      </c>
      <c r="DD5">
        <f>SUMIF('Как есть'!$A:$A,Доп.расчеты!$A5,'Как есть'!DE:DE)</f>
        <v>0</v>
      </c>
      <c r="DE5">
        <f>SUMIF('Как есть'!$A:$A,Доп.расчеты!$A5,'Как есть'!DF:DF)</f>
        <v>0</v>
      </c>
      <c r="DF5">
        <f>SUMIF('Как есть'!$A:$A,Доп.расчеты!$A5,'Как есть'!DG:DG)</f>
        <v>0</v>
      </c>
      <c r="DG5">
        <f>SUMIF('Как есть'!$A:$A,Доп.расчеты!$A5,'Как есть'!DH:DH)</f>
        <v>0</v>
      </c>
      <c r="DH5">
        <f>SUMIF('Как есть'!$A:$A,Доп.расчеты!$A5,'Как есть'!DI:DI)</f>
        <v>0</v>
      </c>
      <c r="DI5">
        <f>SUMIF('Как есть'!$A:$A,Доп.расчеты!$A5,'Как есть'!DJ:DJ)</f>
        <v>0</v>
      </c>
      <c r="DJ5">
        <f>SUMIF('Как есть'!$A:$A,Доп.расчеты!$A5,'Как есть'!DK:DK)</f>
        <v>0</v>
      </c>
      <c r="DK5">
        <f>SUMIF('Как есть'!$A:$A,Доп.расчеты!$A5,'Как есть'!DL:DL)</f>
        <v>0</v>
      </c>
      <c r="DL5">
        <f>SUMIF('Как есть'!$A:$A,Доп.расчеты!$A5,'Как есть'!DM:DM)</f>
        <v>0</v>
      </c>
      <c r="DM5">
        <f>SUMIF('Как есть'!$A:$A,Доп.расчеты!$A5,'Как есть'!DN:DN)</f>
        <v>0</v>
      </c>
      <c r="DN5">
        <f>SUMIF('Как есть'!$A:$A,Доп.расчеты!$A5,'Как есть'!DO:DO)</f>
        <v>0</v>
      </c>
      <c r="DO5">
        <f>SUMIF('Как есть'!$A:$A,Доп.расчеты!$A5,'Как есть'!DP:DP)</f>
        <v>0</v>
      </c>
      <c r="DP5">
        <f>SUMIF('Как есть'!$A:$A,Доп.расчеты!$A5,'Как есть'!DQ:DQ)</f>
        <v>0</v>
      </c>
      <c r="DQ5">
        <f>SUMIF('Как есть'!$A:$A,Доп.расчеты!$A5,'Как есть'!DR:DR)</f>
        <v>0</v>
      </c>
      <c r="DR5">
        <f>SUMIF('Как есть'!$A:$A,Доп.расчеты!$A5,'Как есть'!DS:DS)</f>
        <v>0</v>
      </c>
      <c r="DS5">
        <f>SUMIF('Как есть'!$A:$A,Доп.расчеты!$A5,'Как есть'!DT:DT)</f>
        <v>0</v>
      </c>
      <c r="DT5">
        <f>SUMIF('Как есть'!$A:$A,Доп.расчеты!$A5,'Как есть'!DU:DU)</f>
        <v>0</v>
      </c>
      <c r="DU5">
        <f>SUMIF('Как есть'!$A:$A,Доп.расчеты!$A5,'Как есть'!DV:DV)</f>
        <v>0</v>
      </c>
      <c r="DV5">
        <f>SUMIF('Как есть'!$A:$A,Доп.расчеты!$A5,'Как есть'!DW:DW)</f>
        <v>0</v>
      </c>
      <c r="DW5">
        <f>SUMIF('Как есть'!$A:$A,Доп.расчеты!$A5,'Как есть'!DX:DX)</f>
        <v>0</v>
      </c>
      <c r="DX5">
        <f>SUMIF('Как есть'!$A:$A,Доп.расчеты!$A5,'Как есть'!DY:DY)</f>
        <v>0</v>
      </c>
      <c r="DY5">
        <f>SUMIF('Как есть'!$A:$A,Доп.расчеты!$A5,'Как есть'!DZ:DZ)</f>
        <v>0</v>
      </c>
      <c r="DZ5">
        <f>SUMIF('Как есть'!$A:$A,Доп.расчеты!$A5,'Как есть'!EA:EA)</f>
        <v>0</v>
      </c>
      <c r="EA5">
        <f>SUMIF('Как есть'!$A:$A,Доп.расчеты!$A5,'Как есть'!EB:EB)</f>
        <v>0</v>
      </c>
      <c r="EB5">
        <f>SUMIF('Как есть'!$A:$A,Доп.расчеты!$A5,'Как есть'!EC:EC)</f>
        <v>0</v>
      </c>
      <c r="EC5">
        <f>SUMIF('Как есть'!$A:$A,Доп.расчеты!$A5,'Как есть'!ED:ED)</f>
        <v>0</v>
      </c>
      <c r="ED5">
        <f>SUMIF('Как есть'!$A:$A,Доп.расчеты!$A5,'Как есть'!EE:EE)</f>
        <v>0</v>
      </c>
      <c r="EE5">
        <f>SUMIF('Как есть'!$A:$A,Доп.расчеты!$A5,'Как есть'!EF:EF)</f>
        <v>0</v>
      </c>
      <c r="EF5">
        <f>SUMIF('Как есть'!$A:$A,Доп.расчеты!$A5,'Как есть'!EG:EG)</f>
        <v>0</v>
      </c>
      <c r="EG5">
        <f>SUMIF('Как есть'!$A:$A,Доп.расчеты!$A5,'Как есть'!EH:EH)</f>
        <v>0</v>
      </c>
      <c r="EH5">
        <f>SUMIF('Как есть'!$A:$A,Доп.расчеты!$A5,'Как есть'!EI:EI)</f>
        <v>0</v>
      </c>
      <c r="EI5">
        <f>SUMIF('Как есть'!$A:$A,Доп.расчеты!$A5,'Как есть'!EJ:EJ)</f>
        <v>0</v>
      </c>
      <c r="EJ5">
        <f>SUMIF('Как есть'!$A:$A,Доп.расчеты!$A5,'Как есть'!EK:EK)</f>
        <v>0</v>
      </c>
      <c r="EK5">
        <f>SUMIF('Как есть'!$A:$A,Доп.расчеты!$A5,'Как есть'!EL:EL)</f>
        <v>0</v>
      </c>
      <c r="EL5">
        <f>SUMIF('Как есть'!$A:$A,Доп.расчеты!$A5,'Как есть'!EM:EM)</f>
        <v>0</v>
      </c>
      <c r="EM5">
        <f>SUMIF('Как есть'!$A:$A,Доп.расчеты!$A5,'Как есть'!EN:EN)</f>
        <v>0</v>
      </c>
      <c r="EN5">
        <f>SUMIF('Как есть'!$A:$A,Доп.расчеты!$A5,'Как есть'!EO:EO)</f>
        <v>0</v>
      </c>
      <c r="EO5">
        <f>SUMIF('Как есть'!$A:$A,Доп.расчеты!$A5,'Как есть'!EP:EP)</f>
        <v>0</v>
      </c>
      <c r="EP5">
        <f>SUMIF('Как есть'!$A:$A,Доп.расчеты!$A5,'Как есть'!EQ:EQ)</f>
        <v>0</v>
      </c>
      <c r="EQ5">
        <f>SUMIF('Как есть'!$A:$A,Доп.расчеты!$A5,'Как есть'!ER:ER)</f>
        <v>0</v>
      </c>
      <c r="ER5">
        <f>SUMIF('Как есть'!$A:$A,Доп.расчеты!$A5,'Как есть'!ES:ES)</f>
        <v>0</v>
      </c>
      <c r="ES5">
        <f>SUMIF('Как есть'!$A:$A,Доп.расчеты!$A5,'Как есть'!ET:ET)</f>
        <v>0</v>
      </c>
      <c r="ET5">
        <f>SUMIF('Как есть'!$A:$A,Доп.расчеты!$A5,'Как есть'!EU:EU)</f>
        <v>0</v>
      </c>
      <c r="EU5">
        <f>SUMIF('Как есть'!$A:$A,Доп.расчеты!$A5,'Как есть'!EV:EV)</f>
        <v>0</v>
      </c>
      <c r="EV5">
        <f>SUMIF('Как есть'!$A:$A,Доп.расчеты!$A5,'Как есть'!EW:EW)</f>
        <v>0</v>
      </c>
      <c r="EW5">
        <f>SUMIF('Как есть'!$A:$A,Доп.расчеты!$A5,'Как есть'!EX:EX)</f>
        <v>0</v>
      </c>
      <c r="EX5">
        <f>SUMIF('Как есть'!$A:$A,Доп.расчеты!$A5,'Как есть'!EY:EY)</f>
        <v>0</v>
      </c>
      <c r="EY5">
        <f>SUMIF('Как есть'!$A:$A,Доп.расчеты!$A5,'Как есть'!EZ:EZ)</f>
        <v>0</v>
      </c>
      <c r="EZ5">
        <f>SUMIF('Как есть'!$A:$A,Доп.расчеты!$A5,'Как есть'!FA:FA)</f>
        <v>0</v>
      </c>
      <c r="FA5">
        <f>SUMIF('Как есть'!$A:$A,Доп.расчеты!$A5,'Как есть'!FB:FB)</f>
        <v>0</v>
      </c>
      <c r="FB5">
        <f>SUMIF('Как есть'!$A:$A,Доп.расчеты!$A5,'Как есть'!FC:FC)</f>
        <v>0</v>
      </c>
      <c r="FC5">
        <f>SUMIF('Как есть'!$A:$A,Доп.расчеты!$A5,'Как есть'!FD:FD)</f>
        <v>0</v>
      </c>
      <c r="FD5">
        <f>SUMIF('Как есть'!$A:$A,Доп.расчеты!$A5,'Как есть'!FE:FE)</f>
        <v>0</v>
      </c>
      <c r="FE5">
        <f>SUMIF('Как есть'!$A:$A,Доп.расчеты!$A5,'Как есть'!FF:FF)</f>
        <v>0</v>
      </c>
      <c r="FF5">
        <f>SUMIF('Как есть'!$A:$A,Доп.расчеты!$A5,'Как есть'!FG:FG)</f>
        <v>0</v>
      </c>
      <c r="FG5">
        <f>SUMIF('Как есть'!$A:$A,Доп.расчеты!$A5,'Как есть'!FH:FH)</f>
        <v>0</v>
      </c>
      <c r="FH5">
        <f>SUMIF('Как есть'!$A:$A,Доп.расчеты!$A5,'Как есть'!FI:FI)</f>
        <v>0</v>
      </c>
      <c r="FI5">
        <f>SUMIF('Как есть'!$A:$A,Доп.расчеты!$A5,'Как есть'!FJ:FJ)</f>
        <v>0</v>
      </c>
      <c r="FJ5">
        <f>SUMIF('Как есть'!$A:$A,Доп.расчеты!$A5,'Как есть'!FK:FK)</f>
        <v>0</v>
      </c>
      <c r="FK5">
        <f>SUMIF('Как есть'!$A:$A,Доп.расчеты!$A5,'Как есть'!FL:FL)</f>
        <v>0</v>
      </c>
      <c r="FL5">
        <f>SUMIF('Как есть'!$A:$A,Доп.расчеты!$A5,'Как есть'!FM:FM)</f>
        <v>0</v>
      </c>
      <c r="FM5">
        <f>SUMIF('Как есть'!$A:$A,Доп.расчеты!$A5,'Как есть'!FN:FN)</f>
        <v>0</v>
      </c>
      <c r="FN5">
        <f>SUMIF('Как есть'!$A:$A,Доп.расчеты!$A5,'Как есть'!FO:FO)</f>
        <v>0</v>
      </c>
      <c r="FO5">
        <f>SUMIF('Как есть'!$A:$A,Доп.расчеты!$A5,'Как есть'!FP:FP)</f>
        <v>0</v>
      </c>
      <c r="FP5">
        <f>SUMIF('Как есть'!$A:$A,Доп.расчеты!$A5,'Как есть'!FQ:FQ)</f>
        <v>0</v>
      </c>
      <c r="FQ5">
        <f>SUMIF('Как есть'!$A:$A,Доп.расчеты!$A5,'Как есть'!FR:FR)</f>
        <v>0</v>
      </c>
      <c r="FR5">
        <f>SUMIF('Как есть'!$A:$A,Доп.расчеты!$A5,'Как есть'!FS:FS)</f>
        <v>0</v>
      </c>
      <c r="FS5">
        <f>SUMIF('Как есть'!$A:$A,Доп.расчеты!$A5,'Как есть'!FT:FT)</f>
        <v>0</v>
      </c>
      <c r="FT5">
        <f>SUMIF('Как есть'!$A:$A,Доп.расчеты!$A5,'Как есть'!FU:FU)</f>
        <v>0</v>
      </c>
      <c r="FU5">
        <f>SUMIF('Как есть'!$A:$A,Доп.расчеты!$A5,'Как есть'!FV:FV)</f>
        <v>0</v>
      </c>
      <c r="FV5">
        <f>SUMIF('Как есть'!$A:$A,Доп.расчеты!$A5,'Как есть'!FW:FW)</f>
        <v>0</v>
      </c>
      <c r="FW5">
        <f>SUMIF('Как есть'!$A:$A,Доп.расчеты!$A5,'Как есть'!FX:FX)</f>
        <v>0</v>
      </c>
      <c r="FX5">
        <f>SUMIF('Как есть'!$A:$A,Доп.расчеты!$A5,'Как есть'!FY:FY)</f>
        <v>0</v>
      </c>
      <c r="FY5">
        <f>SUMIF('Как есть'!$A:$A,Доп.расчеты!$A5,'Как есть'!FZ:FZ)</f>
        <v>0</v>
      </c>
      <c r="FZ5">
        <f>SUMIF('Как есть'!$A:$A,Доп.расчеты!$A5,'Как есть'!GA:GA)</f>
        <v>0</v>
      </c>
      <c r="GA5">
        <f>SUMIF('Как есть'!$A:$A,Доп.расчеты!$A5,'Как есть'!GB:GB)</f>
        <v>0</v>
      </c>
      <c r="GB5">
        <f>SUMIF('Как есть'!$A:$A,Доп.расчеты!$A5,'Как есть'!GC:GC)</f>
        <v>0</v>
      </c>
      <c r="GC5">
        <f>SUMIF('Как есть'!$A:$A,Доп.расчеты!$A5,'Как есть'!GD:GD)</f>
        <v>0</v>
      </c>
      <c r="GD5">
        <f>SUMIF('Как есть'!$A:$A,Доп.расчеты!$A5,'Как есть'!GE:GE)</f>
        <v>0</v>
      </c>
      <c r="GE5">
        <f>SUMIF('Как есть'!$A:$A,Доп.расчеты!$A5,'Как есть'!GF:GF)</f>
        <v>0</v>
      </c>
      <c r="GF5">
        <f>SUMIF('Как есть'!$A:$A,Доп.расчеты!$A5,'Как есть'!GG:GG)</f>
        <v>0</v>
      </c>
      <c r="GG5">
        <f>SUMIF('Как есть'!$A:$A,Доп.расчеты!$A5,'Как есть'!GH:GH)</f>
        <v>0</v>
      </c>
      <c r="GH5">
        <f>SUMIF('Как есть'!$A:$A,Доп.расчеты!$A5,'Как есть'!GI:GI)</f>
        <v>0</v>
      </c>
      <c r="GI5">
        <f>SUMIF('Как есть'!$A:$A,Доп.расчеты!$A5,'Как есть'!GJ:GJ)</f>
        <v>0</v>
      </c>
      <c r="GJ5">
        <f>SUMIF('Как есть'!$A:$A,Доп.расчеты!$A5,'Как есть'!GK:GK)</f>
        <v>0</v>
      </c>
      <c r="GK5">
        <f>SUMIF('Как есть'!$A:$A,Доп.расчеты!$A5,'Как есть'!GL:GL)</f>
        <v>0</v>
      </c>
      <c r="GL5">
        <f>SUMIF('Как есть'!$A:$A,Доп.расчеты!$A5,'Как есть'!GM:GM)</f>
        <v>0</v>
      </c>
      <c r="GM5">
        <f>SUMIF('Как есть'!$A:$A,Доп.расчеты!$A5,'Как есть'!GN:GN)</f>
        <v>0</v>
      </c>
      <c r="GN5">
        <f>SUMIF('Как есть'!$A:$A,Доп.расчеты!$A5,'Как есть'!GO:GO)</f>
        <v>0</v>
      </c>
      <c r="GO5">
        <f>SUMIF('Как есть'!$A:$A,Доп.расчеты!$A5,'Как есть'!GP:GP)</f>
        <v>0</v>
      </c>
      <c r="GP5">
        <f>SUMIF('Как есть'!$A:$A,Доп.расчеты!$A5,'Как есть'!GQ:GQ)</f>
        <v>0</v>
      </c>
      <c r="GQ5">
        <f>SUMIF('Как есть'!$A:$A,Доп.расчеты!$A5,'Как есть'!GR:GR)</f>
        <v>0</v>
      </c>
      <c r="GR5">
        <f>SUMIF('Как есть'!$A:$A,Доп.расчеты!$A5,'Как есть'!GS:GS)</f>
        <v>0</v>
      </c>
      <c r="GS5">
        <f>SUMIF('Как есть'!$A:$A,Доп.расчеты!$A5,'Как есть'!GT:GT)</f>
        <v>0</v>
      </c>
      <c r="GT5">
        <f>SUMIF('Как есть'!$A:$A,Доп.расчеты!$A5,'Как есть'!GU:GU)</f>
        <v>0</v>
      </c>
    </row>
    <row r="6" spans="1:202">
      <c r="A6" s="242" t="s">
        <v>62</v>
      </c>
      <c r="B6">
        <f>SUMIF('Как есть'!$A:$A,Доп.расчеты!$A6,'Как есть'!C:C)</f>
        <v>0</v>
      </c>
      <c r="C6">
        <f>SUMIF('Как есть'!$A:$A,Доп.расчеты!$A6,'Как есть'!D:D)</f>
        <v>0</v>
      </c>
      <c r="D6">
        <f>SUMIF('Как есть'!$A:$A,Доп.расчеты!$A6,'Как есть'!E:E)</f>
        <v>0</v>
      </c>
      <c r="E6">
        <f>SUMIF('Как есть'!$A:$A,Доп.расчеты!$A6,'Как есть'!F:F)</f>
        <v>0</v>
      </c>
      <c r="F6">
        <f>SUMIF('Как есть'!$A:$A,Доп.расчеты!$A6,'Как есть'!G:G)</f>
        <v>0</v>
      </c>
      <c r="G6">
        <f>SUMIF('Как есть'!$A:$A,Доп.расчеты!$A6,'Как есть'!H:H)</f>
        <v>0</v>
      </c>
      <c r="H6">
        <f>SUMIF('Как есть'!$A:$A,Доп.расчеты!$A6,'Как есть'!I:I)</f>
        <v>0</v>
      </c>
      <c r="I6">
        <f>SUMIF('Как есть'!$A:$A,Доп.расчеты!$A6,'Как есть'!J:J)</f>
        <v>0</v>
      </c>
      <c r="J6">
        <f>SUMIF('Как есть'!$A:$A,Доп.расчеты!$A6,'Как есть'!K:K)</f>
        <v>0</v>
      </c>
      <c r="K6">
        <f>SUMIF('Как есть'!$A:$A,Доп.расчеты!$A6,'Как есть'!L:L)</f>
        <v>0</v>
      </c>
      <c r="L6">
        <f>SUMIF('Как есть'!$A:$A,Доп.расчеты!$A6,'Как есть'!M:M)</f>
        <v>0</v>
      </c>
      <c r="M6">
        <f>SUMIF('Как есть'!$A:$A,Доп.расчеты!$A6,'Как есть'!N:N)</f>
        <v>0</v>
      </c>
      <c r="N6">
        <f>SUMIF('Как есть'!$A:$A,Доп.расчеты!$A6,'Как есть'!O:O)</f>
        <v>0</v>
      </c>
      <c r="O6">
        <f>SUMIF('Как есть'!$A:$A,Доп.расчеты!$A6,'Как есть'!P:P)</f>
        <v>0</v>
      </c>
      <c r="P6">
        <f>SUMIF('Как есть'!$A:$A,Доп.расчеты!$A6,'Как есть'!Q:Q)</f>
        <v>0</v>
      </c>
      <c r="Q6">
        <f>SUMIF('Как есть'!$A:$A,Доп.расчеты!$A6,'Как есть'!R:R)</f>
        <v>0</v>
      </c>
      <c r="R6">
        <f>SUMIF('Как есть'!$A:$A,Доп.расчеты!$A6,'Как есть'!S:S)</f>
        <v>0</v>
      </c>
      <c r="S6">
        <f>SUMIF('Как есть'!$A:$A,Доп.расчеты!$A6,'Как есть'!T:T)</f>
        <v>0</v>
      </c>
      <c r="T6">
        <f>SUMIF('Как есть'!$A:$A,Доп.расчеты!$A6,'Как есть'!U:U)</f>
        <v>0</v>
      </c>
      <c r="U6">
        <f>SUMIF('Как есть'!$A:$A,Доп.расчеты!$A6,'Как есть'!V:V)</f>
        <v>0</v>
      </c>
      <c r="V6">
        <f>SUMIF('Как есть'!$A:$A,Доп.расчеты!$A6,'Как есть'!W:W)</f>
        <v>0</v>
      </c>
      <c r="W6">
        <f>SUMIF('Как есть'!$A:$A,Доп.расчеты!$A6,'Как есть'!X:X)</f>
        <v>0</v>
      </c>
      <c r="X6">
        <f>SUMIF('Как есть'!$A:$A,Доп.расчеты!$A6,'Как есть'!Y:Y)</f>
        <v>0</v>
      </c>
      <c r="Y6">
        <f>SUMIF('Как есть'!$A:$A,Доп.расчеты!$A6,'Как есть'!Z:Z)</f>
        <v>0</v>
      </c>
      <c r="Z6">
        <f>SUMIF('Как есть'!$A:$A,Доп.расчеты!$A6,'Как есть'!AA:AA)</f>
        <v>0</v>
      </c>
      <c r="AA6">
        <f>SUMIF('Как есть'!$A:$A,Доп.расчеты!$A6,'Как есть'!AB:AB)</f>
        <v>0</v>
      </c>
      <c r="AB6">
        <f>SUMIF('Как есть'!$A:$A,Доп.расчеты!$A6,'Как есть'!AC:AC)</f>
        <v>0</v>
      </c>
      <c r="AC6">
        <f>SUMIF('Как есть'!$A:$A,Доп.расчеты!$A6,'Как есть'!AD:AD)</f>
        <v>0</v>
      </c>
      <c r="AD6">
        <f>SUMIF('Как есть'!$A:$A,Доп.расчеты!$A6,'Как есть'!AE:AE)</f>
        <v>0</v>
      </c>
      <c r="AE6">
        <f>SUMIF('Как есть'!$A:$A,Доп.расчеты!$A6,'Как есть'!AF:AF)</f>
        <v>0</v>
      </c>
      <c r="AF6">
        <f>SUMIF('Как есть'!$A:$A,Доп.расчеты!$A6,'Как есть'!AG:AG)</f>
        <v>0</v>
      </c>
      <c r="AG6">
        <f>SUMIF('Как есть'!$A:$A,Доп.расчеты!$A6,'Как есть'!AH:AH)</f>
        <v>0</v>
      </c>
      <c r="AH6">
        <f>SUMIF('Как есть'!$A:$A,Доп.расчеты!$A6,'Как есть'!AI:AI)</f>
        <v>0</v>
      </c>
      <c r="AI6">
        <f>SUMIF('Как есть'!$A:$A,Доп.расчеты!$A6,'Как есть'!AJ:AJ)</f>
        <v>0</v>
      </c>
      <c r="AJ6">
        <f>SUMIF('Как есть'!$A:$A,Доп.расчеты!$A6,'Как есть'!AK:AK)</f>
        <v>0</v>
      </c>
      <c r="AK6">
        <f>SUMIF('Как есть'!$A:$A,Доп.расчеты!$A6,'Как есть'!AL:AL)</f>
        <v>0</v>
      </c>
      <c r="AL6">
        <f>SUMIF('Как есть'!$A:$A,Доп.расчеты!$A6,'Как есть'!AM:AM)</f>
        <v>0</v>
      </c>
      <c r="AM6">
        <f>SUMIF('Как есть'!$A:$A,Доп.расчеты!$A6,'Как есть'!AN:AN)</f>
        <v>0</v>
      </c>
      <c r="AN6">
        <f>SUMIF('Как есть'!$A:$A,Доп.расчеты!$A6,'Как есть'!AO:AO)</f>
        <v>0</v>
      </c>
      <c r="AO6">
        <f>SUMIF('Как есть'!$A:$A,Доп.расчеты!$A6,'Как есть'!AP:AP)</f>
        <v>0</v>
      </c>
      <c r="AP6">
        <f>SUMIF('Как есть'!$A:$A,Доп.расчеты!$A6,'Как есть'!AQ:AQ)</f>
        <v>0</v>
      </c>
      <c r="AQ6">
        <f>SUMIF('Как есть'!$A:$A,Доп.расчеты!$A6,'Как есть'!AR:AR)</f>
        <v>0</v>
      </c>
      <c r="AR6">
        <f>SUMIF('Как есть'!$A:$A,Доп.расчеты!$A6,'Как есть'!AS:AS)</f>
        <v>0</v>
      </c>
      <c r="AS6">
        <f>SUMIF('Как есть'!$A:$A,Доп.расчеты!$A6,'Как есть'!AT:AT)</f>
        <v>0</v>
      </c>
      <c r="AT6">
        <f>SUMIF('Как есть'!$A:$A,Доп.расчеты!$A6,'Как есть'!AU:AU)</f>
        <v>0</v>
      </c>
      <c r="AU6">
        <f>SUMIF('Как есть'!$A:$A,Доп.расчеты!$A6,'Как есть'!AV:AV)</f>
        <v>0</v>
      </c>
      <c r="AV6">
        <f>SUMIF('Как есть'!$A:$A,Доп.расчеты!$A6,'Как есть'!AW:AW)</f>
        <v>0</v>
      </c>
      <c r="AW6">
        <f>SUMIF('Как есть'!$A:$A,Доп.расчеты!$A6,'Как есть'!AX:AX)</f>
        <v>0</v>
      </c>
      <c r="AX6">
        <f>SUMIF('Как есть'!$A:$A,Доп.расчеты!$A6,'Как есть'!AY:AY)</f>
        <v>0</v>
      </c>
      <c r="AY6">
        <f>SUMIF('Как есть'!$A:$A,Доп.расчеты!$A6,'Как есть'!AZ:AZ)</f>
        <v>0</v>
      </c>
      <c r="AZ6">
        <f>SUMIF('Как есть'!$A:$A,Доп.расчеты!$A6,'Как есть'!BA:BA)</f>
        <v>0</v>
      </c>
      <c r="BA6">
        <f>SUMIF('Как есть'!$A:$A,Доп.расчеты!$A6,'Как есть'!BB:BB)</f>
        <v>0</v>
      </c>
      <c r="BB6">
        <f>SUMIF('Как есть'!$A:$A,Доп.расчеты!$A6,'Как есть'!BC:BC)</f>
        <v>0</v>
      </c>
      <c r="BC6">
        <f>SUMIF('Как есть'!$A:$A,Доп.расчеты!$A6,'Как есть'!BD:BD)</f>
        <v>0</v>
      </c>
      <c r="BD6">
        <f>SUMIF('Как есть'!$A:$A,Доп.расчеты!$A6,'Как есть'!BE:BE)</f>
        <v>0</v>
      </c>
      <c r="BE6">
        <f>SUMIF('Как есть'!$A:$A,Доп.расчеты!$A6,'Как есть'!BF:BF)</f>
        <v>0</v>
      </c>
      <c r="BF6">
        <f>SUMIF('Как есть'!$A:$A,Доп.расчеты!$A6,'Как есть'!BG:BG)</f>
        <v>0</v>
      </c>
      <c r="BG6">
        <f>SUMIF('Как есть'!$A:$A,Доп.расчеты!$A6,'Как есть'!BH:BH)</f>
        <v>0</v>
      </c>
      <c r="BH6">
        <f>SUMIF('Как есть'!$A:$A,Доп.расчеты!$A6,'Как есть'!BI:BI)</f>
        <v>0</v>
      </c>
      <c r="BI6">
        <f>SUMIF('Как есть'!$A:$A,Доп.расчеты!$A6,'Как есть'!BJ:BJ)</f>
        <v>0</v>
      </c>
      <c r="BJ6">
        <f>SUMIF('Как есть'!$A:$A,Доп.расчеты!$A6,'Как есть'!BK:BK)</f>
        <v>0</v>
      </c>
      <c r="BK6">
        <f>SUMIF('Как есть'!$A:$A,Доп.расчеты!$A6,'Как есть'!BL:BL)</f>
        <v>0</v>
      </c>
      <c r="BL6">
        <f>SUMIF('Как есть'!$A:$A,Доп.расчеты!$A6,'Как есть'!BM:BM)</f>
        <v>0</v>
      </c>
      <c r="BM6">
        <f>SUMIF('Как есть'!$A:$A,Доп.расчеты!$A6,'Как есть'!BN:BN)</f>
        <v>0</v>
      </c>
      <c r="BN6">
        <f>SUMIF('Как есть'!$A:$A,Доп.расчеты!$A6,'Как есть'!BO:BO)</f>
        <v>0</v>
      </c>
      <c r="BO6">
        <f>SUMIF('Как есть'!$A:$A,Доп.расчеты!$A6,'Как есть'!BP:BP)</f>
        <v>0</v>
      </c>
      <c r="BP6">
        <f>SUMIF('Как есть'!$A:$A,Доп.расчеты!$A6,'Как есть'!BQ:BQ)</f>
        <v>0</v>
      </c>
      <c r="BQ6">
        <f>SUMIF('Как есть'!$A:$A,Доп.расчеты!$A6,'Как есть'!BR:BR)</f>
        <v>0</v>
      </c>
      <c r="BR6">
        <f>SUMIF('Как есть'!$A:$A,Доп.расчеты!$A6,'Как есть'!BS:BS)</f>
        <v>0</v>
      </c>
      <c r="BS6">
        <f>SUMIF('Как есть'!$A:$A,Доп.расчеты!$A6,'Как есть'!BT:BT)</f>
        <v>0</v>
      </c>
      <c r="BT6">
        <f>SUMIF('Как есть'!$A:$A,Доп.расчеты!$A6,'Как есть'!BU:BU)</f>
        <v>0</v>
      </c>
      <c r="BU6">
        <f>SUMIF('Как есть'!$A:$A,Доп.расчеты!$A6,'Как есть'!BV:BV)</f>
        <v>0</v>
      </c>
      <c r="BV6">
        <f>SUMIF('Как есть'!$A:$A,Доп.расчеты!$A6,'Как есть'!BW:BW)</f>
        <v>0</v>
      </c>
      <c r="BW6">
        <f>SUMIF('Как есть'!$A:$A,Доп.расчеты!$A6,'Как есть'!BX:BX)</f>
        <v>0</v>
      </c>
      <c r="BX6">
        <f>SUMIF('Как есть'!$A:$A,Доп.расчеты!$A6,'Как есть'!BY:BY)</f>
        <v>0</v>
      </c>
      <c r="BY6">
        <f>SUMIF('Как есть'!$A:$A,Доп.расчеты!$A6,'Как есть'!BZ:BZ)</f>
        <v>0</v>
      </c>
      <c r="BZ6">
        <f>SUMIF('Как есть'!$A:$A,Доп.расчеты!$A6,'Как есть'!CA:CA)</f>
        <v>0</v>
      </c>
      <c r="CA6">
        <f>SUMIF('Как есть'!$A:$A,Доп.расчеты!$A6,'Как есть'!CB:CB)</f>
        <v>0</v>
      </c>
      <c r="CB6">
        <f>SUMIF('Как есть'!$A:$A,Доп.расчеты!$A6,'Как есть'!CC:CC)</f>
        <v>0</v>
      </c>
      <c r="CC6">
        <f>SUMIF('Как есть'!$A:$A,Доп.расчеты!$A6,'Как есть'!CD:CD)</f>
        <v>0</v>
      </c>
      <c r="CD6">
        <f>SUMIF('Как есть'!$A:$A,Доп.расчеты!$A6,'Как есть'!CE:CE)</f>
        <v>0</v>
      </c>
      <c r="CE6">
        <f>SUMIF('Как есть'!$A:$A,Доп.расчеты!$A6,'Как есть'!CF:CF)</f>
        <v>0</v>
      </c>
      <c r="CF6">
        <f>SUMIF('Как есть'!$A:$A,Доп.расчеты!$A6,'Как есть'!CG:CG)</f>
        <v>0</v>
      </c>
      <c r="CG6">
        <f>SUMIF('Как есть'!$A:$A,Доп.расчеты!$A6,'Как есть'!CH:CH)</f>
        <v>0</v>
      </c>
      <c r="CH6">
        <f>SUMIF('Как есть'!$A:$A,Доп.расчеты!$A6,'Как есть'!CI:CI)</f>
        <v>0</v>
      </c>
      <c r="CI6">
        <f>SUMIF('Как есть'!$A:$A,Доп.расчеты!$A6,'Как есть'!CJ:CJ)</f>
        <v>0</v>
      </c>
      <c r="CJ6">
        <f>SUMIF('Как есть'!$A:$A,Доп.расчеты!$A6,'Как есть'!CK:CK)</f>
        <v>0</v>
      </c>
      <c r="CK6">
        <f>SUMIF('Как есть'!$A:$A,Доп.расчеты!$A6,'Как есть'!CL:CL)</f>
        <v>0</v>
      </c>
      <c r="CL6">
        <f>SUMIF('Как есть'!$A:$A,Доп.расчеты!$A6,'Как есть'!CM:CM)</f>
        <v>0</v>
      </c>
      <c r="CM6">
        <f>SUMIF('Как есть'!$A:$A,Доп.расчеты!$A6,'Как есть'!CN:CN)</f>
        <v>0</v>
      </c>
      <c r="CN6">
        <f>SUMIF('Как есть'!$A:$A,Доп.расчеты!$A6,'Как есть'!CO:CO)</f>
        <v>0</v>
      </c>
      <c r="CO6">
        <f>SUMIF('Как есть'!$A:$A,Доп.расчеты!$A6,'Как есть'!CP:CP)</f>
        <v>0</v>
      </c>
      <c r="CP6">
        <f>SUMIF('Как есть'!$A:$A,Доп.расчеты!$A6,'Как есть'!CQ:CQ)</f>
        <v>0</v>
      </c>
      <c r="CQ6">
        <f>SUMIF('Как есть'!$A:$A,Доп.расчеты!$A6,'Как есть'!CR:CR)</f>
        <v>0</v>
      </c>
      <c r="CR6">
        <f>SUMIF('Как есть'!$A:$A,Доп.расчеты!$A6,'Как есть'!CS:CS)</f>
        <v>0</v>
      </c>
      <c r="CS6">
        <f>SUMIF('Как есть'!$A:$A,Доп.расчеты!$A6,'Как есть'!CT:CT)</f>
        <v>0</v>
      </c>
      <c r="CT6">
        <f>SUMIF('Как есть'!$A:$A,Доп.расчеты!$A6,'Как есть'!CU:CU)</f>
        <v>0</v>
      </c>
      <c r="CU6">
        <f>SUMIF('Как есть'!$A:$A,Доп.расчеты!$A6,'Как есть'!CV:CV)</f>
        <v>0</v>
      </c>
      <c r="CV6">
        <f>SUMIF('Как есть'!$A:$A,Доп.расчеты!$A6,'Как есть'!CW:CW)</f>
        <v>0</v>
      </c>
      <c r="CW6">
        <f>SUMIF('Как есть'!$A:$A,Доп.расчеты!$A6,'Как есть'!CX:CX)</f>
        <v>0</v>
      </c>
      <c r="CX6">
        <f>SUMIF('Как есть'!$A:$A,Доп.расчеты!$A6,'Как есть'!CY:CY)</f>
        <v>0</v>
      </c>
      <c r="CY6">
        <f>SUMIF('Как есть'!$A:$A,Доп.расчеты!$A6,'Как есть'!CZ:CZ)</f>
        <v>0</v>
      </c>
      <c r="CZ6">
        <f>SUMIF('Как есть'!$A:$A,Доп.расчеты!$A6,'Как есть'!DA:DA)</f>
        <v>0</v>
      </c>
      <c r="DA6">
        <f>SUMIF('Как есть'!$A:$A,Доп.расчеты!$A6,'Как есть'!DB:DB)</f>
        <v>0</v>
      </c>
      <c r="DB6">
        <f>SUMIF('Как есть'!$A:$A,Доп.расчеты!$A6,'Как есть'!DC:DC)</f>
        <v>0</v>
      </c>
      <c r="DC6">
        <f>SUMIF('Как есть'!$A:$A,Доп.расчеты!$A6,'Как есть'!DD:DD)</f>
        <v>0</v>
      </c>
      <c r="DD6">
        <f>SUMIF('Как есть'!$A:$A,Доп.расчеты!$A6,'Как есть'!DE:DE)</f>
        <v>0</v>
      </c>
      <c r="DE6">
        <f>SUMIF('Как есть'!$A:$A,Доп.расчеты!$A6,'Как есть'!DF:DF)</f>
        <v>0</v>
      </c>
      <c r="DF6">
        <f>SUMIF('Как есть'!$A:$A,Доп.расчеты!$A6,'Как есть'!DG:DG)</f>
        <v>0</v>
      </c>
      <c r="DG6">
        <f>SUMIF('Как есть'!$A:$A,Доп.расчеты!$A6,'Как есть'!DH:DH)</f>
        <v>0</v>
      </c>
      <c r="DH6">
        <f>SUMIF('Как есть'!$A:$A,Доп.расчеты!$A6,'Как есть'!DI:DI)</f>
        <v>0</v>
      </c>
      <c r="DI6">
        <f>SUMIF('Как есть'!$A:$A,Доп.расчеты!$A6,'Как есть'!DJ:DJ)</f>
        <v>0</v>
      </c>
      <c r="DJ6">
        <f>SUMIF('Как есть'!$A:$A,Доп.расчеты!$A6,'Как есть'!DK:DK)</f>
        <v>0</v>
      </c>
      <c r="DK6">
        <f>SUMIF('Как есть'!$A:$A,Доп.расчеты!$A6,'Как есть'!DL:DL)</f>
        <v>0</v>
      </c>
      <c r="DL6">
        <f>SUMIF('Как есть'!$A:$A,Доп.расчеты!$A6,'Как есть'!DM:DM)</f>
        <v>0</v>
      </c>
      <c r="DM6">
        <f>SUMIF('Как есть'!$A:$A,Доп.расчеты!$A6,'Как есть'!DN:DN)</f>
        <v>0</v>
      </c>
      <c r="DN6">
        <f>SUMIF('Как есть'!$A:$A,Доп.расчеты!$A6,'Как есть'!DO:DO)</f>
        <v>0</v>
      </c>
      <c r="DO6">
        <f>SUMIF('Как есть'!$A:$A,Доп.расчеты!$A6,'Как есть'!DP:DP)</f>
        <v>0</v>
      </c>
      <c r="DP6">
        <f>SUMIF('Как есть'!$A:$A,Доп.расчеты!$A6,'Как есть'!DQ:DQ)</f>
        <v>0</v>
      </c>
      <c r="DQ6">
        <f>SUMIF('Как есть'!$A:$A,Доп.расчеты!$A6,'Как есть'!DR:DR)</f>
        <v>0</v>
      </c>
      <c r="DR6">
        <f>SUMIF('Как есть'!$A:$A,Доп.расчеты!$A6,'Как есть'!DS:DS)</f>
        <v>0</v>
      </c>
      <c r="DS6">
        <f>SUMIF('Как есть'!$A:$A,Доп.расчеты!$A6,'Как есть'!DT:DT)</f>
        <v>0</v>
      </c>
      <c r="DT6">
        <f>SUMIF('Как есть'!$A:$A,Доп.расчеты!$A6,'Как есть'!DU:DU)</f>
        <v>0</v>
      </c>
      <c r="DU6">
        <f>SUMIF('Как есть'!$A:$A,Доп.расчеты!$A6,'Как есть'!DV:DV)</f>
        <v>0</v>
      </c>
      <c r="DV6">
        <f>SUMIF('Как есть'!$A:$A,Доп.расчеты!$A6,'Как есть'!DW:DW)</f>
        <v>0</v>
      </c>
      <c r="DW6">
        <f>SUMIF('Как есть'!$A:$A,Доп.расчеты!$A6,'Как есть'!DX:DX)</f>
        <v>0</v>
      </c>
      <c r="DX6">
        <f>SUMIF('Как есть'!$A:$A,Доп.расчеты!$A6,'Как есть'!DY:DY)</f>
        <v>0</v>
      </c>
      <c r="DY6">
        <f>SUMIF('Как есть'!$A:$A,Доп.расчеты!$A6,'Как есть'!DZ:DZ)</f>
        <v>0</v>
      </c>
      <c r="DZ6">
        <f>SUMIF('Как есть'!$A:$A,Доп.расчеты!$A6,'Как есть'!EA:EA)</f>
        <v>0</v>
      </c>
      <c r="EA6">
        <f>SUMIF('Как есть'!$A:$A,Доп.расчеты!$A6,'Как есть'!EB:EB)</f>
        <v>0</v>
      </c>
      <c r="EB6">
        <f>SUMIF('Как есть'!$A:$A,Доп.расчеты!$A6,'Как есть'!EC:EC)</f>
        <v>0</v>
      </c>
      <c r="EC6">
        <f>SUMIF('Как есть'!$A:$A,Доп.расчеты!$A6,'Как есть'!ED:ED)</f>
        <v>0</v>
      </c>
      <c r="ED6">
        <f>SUMIF('Как есть'!$A:$A,Доп.расчеты!$A6,'Как есть'!EE:EE)</f>
        <v>0</v>
      </c>
      <c r="EE6">
        <f>SUMIF('Как есть'!$A:$A,Доп.расчеты!$A6,'Как есть'!EF:EF)</f>
        <v>0</v>
      </c>
      <c r="EF6">
        <f>SUMIF('Как есть'!$A:$A,Доп.расчеты!$A6,'Как есть'!EG:EG)</f>
        <v>0</v>
      </c>
      <c r="EG6">
        <f>SUMIF('Как есть'!$A:$A,Доп.расчеты!$A6,'Как есть'!EH:EH)</f>
        <v>0</v>
      </c>
      <c r="EH6">
        <f>SUMIF('Как есть'!$A:$A,Доп.расчеты!$A6,'Как есть'!EI:EI)</f>
        <v>0</v>
      </c>
      <c r="EI6">
        <f>SUMIF('Как есть'!$A:$A,Доп.расчеты!$A6,'Как есть'!EJ:EJ)</f>
        <v>0</v>
      </c>
      <c r="EJ6">
        <f>SUMIF('Как есть'!$A:$A,Доп.расчеты!$A6,'Как есть'!EK:EK)</f>
        <v>0</v>
      </c>
      <c r="EK6">
        <f>SUMIF('Как есть'!$A:$A,Доп.расчеты!$A6,'Как есть'!EL:EL)</f>
        <v>0</v>
      </c>
      <c r="EL6">
        <f>SUMIF('Как есть'!$A:$A,Доп.расчеты!$A6,'Как есть'!EM:EM)</f>
        <v>0</v>
      </c>
      <c r="EM6">
        <f>SUMIF('Как есть'!$A:$A,Доп.расчеты!$A6,'Как есть'!EN:EN)</f>
        <v>0</v>
      </c>
      <c r="EN6">
        <f>SUMIF('Как есть'!$A:$A,Доп.расчеты!$A6,'Как есть'!EO:EO)</f>
        <v>0</v>
      </c>
      <c r="EO6">
        <f>SUMIF('Как есть'!$A:$A,Доп.расчеты!$A6,'Как есть'!EP:EP)</f>
        <v>0</v>
      </c>
      <c r="EP6">
        <f>SUMIF('Как есть'!$A:$A,Доп.расчеты!$A6,'Как есть'!EQ:EQ)</f>
        <v>0</v>
      </c>
      <c r="EQ6">
        <f>SUMIF('Как есть'!$A:$A,Доп.расчеты!$A6,'Как есть'!ER:ER)</f>
        <v>0</v>
      </c>
      <c r="ER6">
        <f>SUMIF('Как есть'!$A:$A,Доп.расчеты!$A6,'Как есть'!ES:ES)</f>
        <v>0</v>
      </c>
      <c r="ES6">
        <f>SUMIF('Как есть'!$A:$A,Доп.расчеты!$A6,'Как есть'!ET:ET)</f>
        <v>0</v>
      </c>
      <c r="ET6">
        <f>SUMIF('Как есть'!$A:$A,Доп.расчеты!$A6,'Как есть'!EU:EU)</f>
        <v>0</v>
      </c>
      <c r="EU6">
        <f>SUMIF('Как есть'!$A:$A,Доп.расчеты!$A6,'Как есть'!EV:EV)</f>
        <v>0</v>
      </c>
      <c r="EV6">
        <f>SUMIF('Как есть'!$A:$A,Доп.расчеты!$A6,'Как есть'!EW:EW)</f>
        <v>0</v>
      </c>
      <c r="EW6">
        <f>SUMIF('Как есть'!$A:$A,Доп.расчеты!$A6,'Как есть'!EX:EX)</f>
        <v>0</v>
      </c>
      <c r="EX6">
        <f>SUMIF('Как есть'!$A:$A,Доп.расчеты!$A6,'Как есть'!EY:EY)</f>
        <v>0</v>
      </c>
      <c r="EY6">
        <f>SUMIF('Как есть'!$A:$A,Доп.расчеты!$A6,'Как есть'!EZ:EZ)</f>
        <v>0</v>
      </c>
      <c r="EZ6">
        <f>SUMIF('Как есть'!$A:$A,Доп.расчеты!$A6,'Как есть'!FA:FA)</f>
        <v>0</v>
      </c>
      <c r="FA6">
        <f>SUMIF('Как есть'!$A:$A,Доп.расчеты!$A6,'Как есть'!FB:FB)</f>
        <v>0</v>
      </c>
      <c r="FB6">
        <f>SUMIF('Как есть'!$A:$A,Доп.расчеты!$A6,'Как есть'!FC:FC)</f>
        <v>0</v>
      </c>
      <c r="FC6">
        <f>SUMIF('Как есть'!$A:$A,Доп.расчеты!$A6,'Как есть'!FD:FD)</f>
        <v>0</v>
      </c>
      <c r="FD6">
        <f>SUMIF('Как есть'!$A:$A,Доп.расчеты!$A6,'Как есть'!FE:FE)</f>
        <v>0</v>
      </c>
      <c r="FE6">
        <f>SUMIF('Как есть'!$A:$A,Доп.расчеты!$A6,'Как есть'!FF:FF)</f>
        <v>0</v>
      </c>
      <c r="FF6">
        <f>SUMIF('Как есть'!$A:$A,Доп.расчеты!$A6,'Как есть'!FG:FG)</f>
        <v>0</v>
      </c>
      <c r="FG6">
        <f>SUMIF('Как есть'!$A:$A,Доп.расчеты!$A6,'Как есть'!FH:FH)</f>
        <v>0</v>
      </c>
      <c r="FH6">
        <f>SUMIF('Как есть'!$A:$A,Доп.расчеты!$A6,'Как есть'!FI:FI)</f>
        <v>0</v>
      </c>
      <c r="FI6">
        <f>SUMIF('Как есть'!$A:$A,Доп.расчеты!$A6,'Как есть'!FJ:FJ)</f>
        <v>0</v>
      </c>
      <c r="FJ6">
        <f>SUMIF('Как есть'!$A:$A,Доп.расчеты!$A6,'Как есть'!FK:FK)</f>
        <v>0</v>
      </c>
      <c r="FK6">
        <f>SUMIF('Как есть'!$A:$A,Доп.расчеты!$A6,'Как есть'!FL:FL)</f>
        <v>0</v>
      </c>
      <c r="FL6">
        <f>SUMIF('Как есть'!$A:$A,Доп.расчеты!$A6,'Как есть'!FM:FM)</f>
        <v>0</v>
      </c>
      <c r="FM6">
        <f>SUMIF('Как есть'!$A:$A,Доп.расчеты!$A6,'Как есть'!FN:FN)</f>
        <v>0</v>
      </c>
      <c r="FN6">
        <f>SUMIF('Как есть'!$A:$A,Доп.расчеты!$A6,'Как есть'!FO:FO)</f>
        <v>0</v>
      </c>
      <c r="FO6">
        <f>SUMIF('Как есть'!$A:$A,Доп.расчеты!$A6,'Как есть'!FP:FP)</f>
        <v>0</v>
      </c>
      <c r="FP6">
        <f>SUMIF('Как есть'!$A:$A,Доп.расчеты!$A6,'Как есть'!FQ:FQ)</f>
        <v>0</v>
      </c>
      <c r="FQ6">
        <f>SUMIF('Как есть'!$A:$A,Доп.расчеты!$A6,'Как есть'!FR:FR)</f>
        <v>0</v>
      </c>
      <c r="FR6">
        <f>SUMIF('Как есть'!$A:$A,Доп.расчеты!$A6,'Как есть'!FS:FS)</f>
        <v>0</v>
      </c>
      <c r="FS6">
        <f>SUMIF('Как есть'!$A:$A,Доп.расчеты!$A6,'Как есть'!FT:FT)</f>
        <v>0</v>
      </c>
      <c r="FT6">
        <f>SUMIF('Как есть'!$A:$A,Доп.расчеты!$A6,'Как есть'!FU:FU)</f>
        <v>0</v>
      </c>
      <c r="FU6">
        <f>SUMIF('Как есть'!$A:$A,Доп.расчеты!$A6,'Как есть'!FV:FV)</f>
        <v>0</v>
      </c>
      <c r="FV6">
        <f>SUMIF('Как есть'!$A:$A,Доп.расчеты!$A6,'Как есть'!FW:FW)</f>
        <v>0</v>
      </c>
      <c r="FW6">
        <f>SUMIF('Как есть'!$A:$A,Доп.расчеты!$A6,'Как есть'!FX:FX)</f>
        <v>0</v>
      </c>
      <c r="FX6">
        <f>SUMIF('Как есть'!$A:$A,Доп.расчеты!$A6,'Как есть'!FY:FY)</f>
        <v>0</v>
      </c>
      <c r="FY6">
        <f>SUMIF('Как есть'!$A:$A,Доп.расчеты!$A6,'Как есть'!FZ:FZ)</f>
        <v>0</v>
      </c>
      <c r="FZ6">
        <f>SUMIF('Как есть'!$A:$A,Доп.расчеты!$A6,'Как есть'!GA:GA)</f>
        <v>0</v>
      </c>
      <c r="GA6">
        <f>SUMIF('Как есть'!$A:$A,Доп.расчеты!$A6,'Как есть'!GB:GB)</f>
        <v>0</v>
      </c>
      <c r="GB6">
        <f>SUMIF('Как есть'!$A:$A,Доп.расчеты!$A6,'Как есть'!GC:GC)</f>
        <v>0</v>
      </c>
      <c r="GC6">
        <f>SUMIF('Как есть'!$A:$A,Доп.расчеты!$A6,'Как есть'!GD:GD)</f>
        <v>0</v>
      </c>
      <c r="GD6">
        <f>SUMIF('Как есть'!$A:$A,Доп.расчеты!$A6,'Как есть'!GE:GE)</f>
        <v>0</v>
      </c>
      <c r="GE6">
        <f>SUMIF('Как есть'!$A:$A,Доп.расчеты!$A6,'Как есть'!GF:GF)</f>
        <v>0</v>
      </c>
      <c r="GF6">
        <f>SUMIF('Как есть'!$A:$A,Доп.расчеты!$A6,'Как есть'!GG:GG)</f>
        <v>0</v>
      </c>
      <c r="GG6">
        <f>SUMIF('Как есть'!$A:$A,Доп.расчеты!$A6,'Как есть'!GH:GH)</f>
        <v>0</v>
      </c>
      <c r="GH6">
        <f>SUMIF('Как есть'!$A:$A,Доп.расчеты!$A6,'Как есть'!GI:GI)</f>
        <v>0</v>
      </c>
      <c r="GI6">
        <f>SUMIF('Как есть'!$A:$A,Доп.расчеты!$A6,'Как есть'!GJ:GJ)</f>
        <v>0</v>
      </c>
      <c r="GJ6">
        <f>SUMIF('Как есть'!$A:$A,Доп.расчеты!$A6,'Как есть'!GK:GK)</f>
        <v>0</v>
      </c>
      <c r="GK6">
        <f>SUMIF('Как есть'!$A:$A,Доп.расчеты!$A6,'Как есть'!GL:GL)</f>
        <v>0</v>
      </c>
      <c r="GL6">
        <f>SUMIF('Как есть'!$A:$A,Доп.расчеты!$A6,'Как есть'!GM:GM)</f>
        <v>0</v>
      </c>
      <c r="GM6">
        <f>SUMIF('Как есть'!$A:$A,Доп.расчеты!$A6,'Как есть'!GN:GN)</f>
        <v>0</v>
      </c>
      <c r="GN6">
        <f>SUMIF('Как есть'!$A:$A,Доп.расчеты!$A6,'Как есть'!GO:GO)</f>
        <v>0</v>
      </c>
      <c r="GO6">
        <f>SUMIF('Как есть'!$A:$A,Доп.расчеты!$A6,'Как есть'!GP:GP)</f>
        <v>0</v>
      </c>
      <c r="GP6">
        <f>SUMIF('Как есть'!$A:$A,Доп.расчеты!$A6,'Как есть'!GQ:GQ)</f>
        <v>0</v>
      </c>
      <c r="GQ6">
        <f>SUMIF('Как есть'!$A:$A,Доп.расчеты!$A6,'Как есть'!GR:GR)</f>
        <v>0</v>
      </c>
      <c r="GR6">
        <f>SUMIF('Как есть'!$A:$A,Доп.расчеты!$A6,'Как есть'!GS:GS)</f>
        <v>0</v>
      </c>
      <c r="GS6">
        <f>SUMIF('Как есть'!$A:$A,Доп.расчеты!$A6,'Как есть'!GT:GT)</f>
        <v>0</v>
      </c>
      <c r="GT6">
        <f>SUMIF('Как есть'!$A:$A,Доп.расчеты!$A6,'Как есть'!GU:GU)</f>
        <v>0</v>
      </c>
    </row>
    <row r="7" spans="1:202">
      <c r="A7" s="242" t="s">
        <v>21</v>
      </c>
      <c r="B7">
        <f>SUMIF('Как есть'!$A:$A,Доп.расчеты!$A7,'Как есть'!C:C)</f>
        <v>0</v>
      </c>
      <c r="C7">
        <f>SUMIF('Как есть'!$A:$A,Доп.расчеты!$A7,'Как есть'!D:D)</f>
        <v>0</v>
      </c>
      <c r="D7">
        <f>SUMIF('Как есть'!$A:$A,Доп.расчеты!$A7,'Как есть'!E:E)</f>
        <v>0</v>
      </c>
      <c r="E7">
        <f>SUMIF('Как есть'!$A:$A,Доп.расчеты!$A7,'Как есть'!F:F)</f>
        <v>0</v>
      </c>
      <c r="F7">
        <f>SUMIF('Как есть'!$A:$A,Доп.расчеты!$A7,'Как есть'!G:G)</f>
        <v>0</v>
      </c>
      <c r="G7">
        <f>SUMIF('Как есть'!$A:$A,Доп.расчеты!$A7,'Как есть'!H:H)</f>
        <v>0</v>
      </c>
      <c r="H7">
        <f>SUMIF('Как есть'!$A:$A,Доп.расчеты!$A7,'Как есть'!I:I)</f>
        <v>0</v>
      </c>
      <c r="I7">
        <f>SUMIF('Как есть'!$A:$A,Доп.расчеты!$A7,'Как есть'!J:J)</f>
        <v>0</v>
      </c>
      <c r="J7">
        <f>SUMIF('Как есть'!$A:$A,Доп.расчеты!$A7,'Как есть'!K:K)</f>
        <v>0</v>
      </c>
      <c r="K7">
        <f>SUMIF('Как есть'!$A:$A,Доп.расчеты!$A7,'Как есть'!L:L)</f>
        <v>0</v>
      </c>
      <c r="L7">
        <f>SUMIF('Как есть'!$A:$A,Доп.расчеты!$A7,'Как есть'!M:M)</f>
        <v>0</v>
      </c>
      <c r="M7">
        <f>SUMIF('Как есть'!$A:$A,Доп.расчеты!$A7,'Как есть'!N:N)</f>
        <v>0</v>
      </c>
      <c r="N7">
        <f>SUMIF('Как есть'!$A:$A,Доп.расчеты!$A7,'Как есть'!O:O)</f>
        <v>0</v>
      </c>
      <c r="O7">
        <f>SUMIF('Как есть'!$A:$A,Доп.расчеты!$A7,'Как есть'!P:P)</f>
        <v>0</v>
      </c>
      <c r="P7">
        <f>SUMIF('Как есть'!$A:$A,Доп.расчеты!$A7,'Как есть'!Q:Q)</f>
        <v>0</v>
      </c>
      <c r="Q7">
        <f>SUMIF('Как есть'!$A:$A,Доп.расчеты!$A7,'Как есть'!R:R)</f>
        <v>0</v>
      </c>
      <c r="R7">
        <f>SUMIF('Как есть'!$A:$A,Доп.расчеты!$A7,'Как есть'!S:S)</f>
        <v>0</v>
      </c>
      <c r="S7">
        <f>SUMIF('Как есть'!$A:$A,Доп.расчеты!$A7,'Как есть'!T:T)</f>
        <v>0</v>
      </c>
      <c r="T7">
        <f>SUMIF('Как есть'!$A:$A,Доп.расчеты!$A7,'Как есть'!U:U)</f>
        <v>0</v>
      </c>
      <c r="U7">
        <f>SUMIF('Как есть'!$A:$A,Доп.расчеты!$A7,'Как есть'!V:V)</f>
        <v>0</v>
      </c>
      <c r="V7">
        <f>SUMIF('Как есть'!$A:$A,Доп.расчеты!$A7,'Как есть'!W:W)</f>
        <v>0</v>
      </c>
      <c r="W7">
        <f>SUMIF('Как есть'!$A:$A,Доп.расчеты!$A7,'Как есть'!X:X)</f>
        <v>0</v>
      </c>
      <c r="X7">
        <f>SUMIF('Как есть'!$A:$A,Доп.расчеты!$A7,'Как есть'!Y:Y)</f>
        <v>0</v>
      </c>
      <c r="Y7">
        <f>SUMIF('Как есть'!$A:$A,Доп.расчеты!$A7,'Как есть'!Z:Z)</f>
        <v>0</v>
      </c>
      <c r="Z7">
        <f>SUMIF('Как есть'!$A:$A,Доп.расчеты!$A7,'Как есть'!AA:AA)</f>
        <v>0</v>
      </c>
      <c r="AA7">
        <f>SUMIF('Как есть'!$A:$A,Доп.расчеты!$A7,'Как есть'!AB:AB)</f>
        <v>0</v>
      </c>
      <c r="AB7">
        <f>SUMIF('Как есть'!$A:$A,Доп.расчеты!$A7,'Как есть'!AC:AC)</f>
        <v>0</v>
      </c>
      <c r="AC7">
        <f>SUMIF('Как есть'!$A:$A,Доп.расчеты!$A7,'Как есть'!AD:AD)</f>
        <v>0</v>
      </c>
      <c r="AD7">
        <f>SUMIF('Как есть'!$A:$A,Доп.расчеты!$A7,'Как есть'!AE:AE)</f>
        <v>0</v>
      </c>
      <c r="AE7">
        <f>SUMIF('Как есть'!$A:$A,Доп.расчеты!$A7,'Как есть'!AF:AF)</f>
        <v>0</v>
      </c>
      <c r="AF7">
        <f>SUMIF('Как есть'!$A:$A,Доп.расчеты!$A7,'Как есть'!AG:AG)</f>
        <v>0</v>
      </c>
      <c r="AG7">
        <f>SUMIF('Как есть'!$A:$A,Доп.расчеты!$A7,'Как есть'!AH:AH)</f>
        <v>0</v>
      </c>
      <c r="AH7">
        <f>SUMIF('Как есть'!$A:$A,Доп.расчеты!$A7,'Как есть'!AI:AI)</f>
        <v>0</v>
      </c>
      <c r="AI7">
        <f>SUMIF('Как есть'!$A:$A,Доп.расчеты!$A7,'Как есть'!AJ:AJ)</f>
        <v>0</v>
      </c>
      <c r="AJ7">
        <f>SUMIF('Как есть'!$A:$A,Доп.расчеты!$A7,'Как есть'!AK:AK)</f>
        <v>0</v>
      </c>
      <c r="AK7">
        <f>SUMIF('Как есть'!$A:$A,Доп.расчеты!$A7,'Как есть'!AL:AL)</f>
        <v>0</v>
      </c>
      <c r="AL7">
        <f>SUMIF('Как есть'!$A:$A,Доп.расчеты!$A7,'Как есть'!AM:AM)</f>
        <v>0</v>
      </c>
      <c r="AM7">
        <f>SUMIF('Как есть'!$A:$A,Доп.расчеты!$A7,'Как есть'!AN:AN)</f>
        <v>0</v>
      </c>
      <c r="AN7">
        <f>SUMIF('Как есть'!$A:$A,Доп.расчеты!$A7,'Как есть'!AO:AO)</f>
        <v>0</v>
      </c>
      <c r="AO7">
        <f>SUMIF('Как есть'!$A:$A,Доп.расчеты!$A7,'Как есть'!AP:AP)</f>
        <v>0</v>
      </c>
      <c r="AP7">
        <f>SUMIF('Как есть'!$A:$A,Доп.расчеты!$A7,'Как есть'!AQ:AQ)</f>
        <v>0</v>
      </c>
      <c r="AQ7">
        <f>SUMIF('Как есть'!$A:$A,Доп.расчеты!$A7,'Как есть'!AR:AR)</f>
        <v>0</v>
      </c>
      <c r="AR7">
        <f>SUMIF('Как есть'!$A:$A,Доп.расчеты!$A7,'Как есть'!AS:AS)</f>
        <v>0</v>
      </c>
      <c r="AS7">
        <f>SUMIF('Как есть'!$A:$A,Доп.расчеты!$A7,'Как есть'!AT:AT)</f>
        <v>0</v>
      </c>
      <c r="AT7">
        <f>SUMIF('Как есть'!$A:$A,Доп.расчеты!$A7,'Как есть'!AU:AU)</f>
        <v>0</v>
      </c>
      <c r="AU7">
        <f>SUMIF('Как есть'!$A:$A,Доп.расчеты!$A7,'Как есть'!AV:AV)</f>
        <v>0</v>
      </c>
      <c r="AV7">
        <f>SUMIF('Как есть'!$A:$A,Доп.расчеты!$A7,'Как есть'!AW:AW)</f>
        <v>0</v>
      </c>
      <c r="AW7">
        <f>SUMIF('Как есть'!$A:$A,Доп.расчеты!$A7,'Как есть'!AX:AX)</f>
        <v>0</v>
      </c>
      <c r="AX7">
        <f>SUMIF('Как есть'!$A:$A,Доп.расчеты!$A7,'Как есть'!AY:AY)</f>
        <v>0</v>
      </c>
      <c r="AY7">
        <f>SUMIF('Как есть'!$A:$A,Доп.расчеты!$A7,'Как есть'!AZ:AZ)</f>
        <v>0</v>
      </c>
      <c r="AZ7">
        <f>SUMIF('Как есть'!$A:$A,Доп.расчеты!$A7,'Как есть'!BA:BA)</f>
        <v>0</v>
      </c>
      <c r="BA7">
        <f>SUMIF('Как есть'!$A:$A,Доп.расчеты!$A7,'Как есть'!BB:BB)</f>
        <v>0</v>
      </c>
      <c r="BB7">
        <f>SUMIF('Как есть'!$A:$A,Доп.расчеты!$A7,'Как есть'!BC:BC)</f>
        <v>0</v>
      </c>
      <c r="BC7">
        <f>SUMIF('Как есть'!$A:$A,Доп.расчеты!$A7,'Как есть'!BD:BD)</f>
        <v>0</v>
      </c>
      <c r="BD7">
        <f>SUMIF('Как есть'!$A:$A,Доп.расчеты!$A7,'Как есть'!BE:BE)</f>
        <v>0</v>
      </c>
      <c r="BE7">
        <f>SUMIF('Как есть'!$A:$A,Доп.расчеты!$A7,'Как есть'!BF:BF)</f>
        <v>0</v>
      </c>
      <c r="BF7">
        <f>SUMIF('Как есть'!$A:$A,Доп.расчеты!$A7,'Как есть'!BG:BG)</f>
        <v>0</v>
      </c>
      <c r="BG7">
        <f>SUMIF('Как есть'!$A:$A,Доп.расчеты!$A7,'Как есть'!BH:BH)</f>
        <v>0</v>
      </c>
      <c r="BH7">
        <f>SUMIF('Как есть'!$A:$A,Доп.расчеты!$A7,'Как есть'!BI:BI)</f>
        <v>0</v>
      </c>
      <c r="BI7">
        <f>SUMIF('Как есть'!$A:$A,Доп.расчеты!$A7,'Как есть'!BJ:BJ)</f>
        <v>0</v>
      </c>
      <c r="BJ7">
        <f>SUMIF('Как есть'!$A:$A,Доп.расчеты!$A7,'Как есть'!BK:BK)</f>
        <v>0</v>
      </c>
      <c r="BK7">
        <f>SUMIF('Как есть'!$A:$A,Доп.расчеты!$A7,'Как есть'!BL:BL)</f>
        <v>0</v>
      </c>
      <c r="BL7">
        <f>SUMIF('Как есть'!$A:$A,Доп.расчеты!$A7,'Как есть'!BM:BM)</f>
        <v>0</v>
      </c>
      <c r="BM7">
        <f>SUMIF('Как есть'!$A:$A,Доп.расчеты!$A7,'Как есть'!BN:BN)</f>
        <v>0</v>
      </c>
      <c r="BN7">
        <f>SUMIF('Как есть'!$A:$A,Доп.расчеты!$A7,'Как есть'!BO:BO)</f>
        <v>0</v>
      </c>
      <c r="BO7">
        <f>SUMIF('Как есть'!$A:$A,Доп.расчеты!$A7,'Как есть'!BP:BP)</f>
        <v>0</v>
      </c>
      <c r="BP7">
        <f>SUMIF('Как есть'!$A:$A,Доп.расчеты!$A7,'Как есть'!BQ:BQ)</f>
        <v>0</v>
      </c>
      <c r="BQ7">
        <f>SUMIF('Как есть'!$A:$A,Доп.расчеты!$A7,'Как есть'!BR:BR)</f>
        <v>0</v>
      </c>
      <c r="BR7">
        <f>SUMIF('Как есть'!$A:$A,Доп.расчеты!$A7,'Как есть'!BS:BS)</f>
        <v>0</v>
      </c>
      <c r="BS7">
        <f>SUMIF('Как есть'!$A:$A,Доп.расчеты!$A7,'Как есть'!BT:BT)</f>
        <v>0</v>
      </c>
      <c r="BT7">
        <f>SUMIF('Как есть'!$A:$A,Доп.расчеты!$A7,'Как есть'!BU:BU)</f>
        <v>0</v>
      </c>
      <c r="BU7">
        <f>SUMIF('Как есть'!$A:$A,Доп.расчеты!$A7,'Как есть'!BV:BV)</f>
        <v>0</v>
      </c>
      <c r="BV7">
        <f>SUMIF('Как есть'!$A:$A,Доп.расчеты!$A7,'Как есть'!BW:BW)</f>
        <v>0</v>
      </c>
      <c r="BW7">
        <f>SUMIF('Как есть'!$A:$A,Доп.расчеты!$A7,'Как есть'!BX:BX)</f>
        <v>0</v>
      </c>
      <c r="BX7">
        <f>SUMIF('Как есть'!$A:$A,Доп.расчеты!$A7,'Как есть'!BY:BY)</f>
        <v>0</v>
      </c>
      <c r="BY7">
        <f>SUMIF('Как есть'!$A:$A,Доп.расчеты!$A7,'Как есть'!BZ:BZ)</f>
        <v>0</v>
      </c>
      <c r="BZ7">
        <f>SUMIF('Как есть'!$A:$A,Доп.расчеты!$A7,'Как есть'!CA:CA)</f>
        <v>0</v>
      </c>
      <c r="CA7">
        <f>SUMIF('Как есть'!$A:$A,Доп.расчеты!$A7,'Как есть'!CB:CB)</f>
        <v>0</v>
      </c>
      <c r="CB7">
        <f>SUMIF('Как есть'!$A:$A,Доп.расчеты!$A7,'Как есть'!CC:CC)</f>
        <v>0</v>
      </c>
      <c r="CC7">
        <f>SUMIF('Как есть'!$A:$A,Доп.расчеты!$A7,'Как есть'!CD:CD)</f>
        <v>0</v>
      </c>
      <c r="CD7">
        <f>SUMIF('Как есть'!$A:$A,Доп.расчеты!$A7,'Как есть'!CE:CE)</f>
        <v>0</v>
      </c>
      <c r="CE7">
        <f>SUMIF('Как есть'!$A:$A,Доп.расчеты!$A7,'Как есть'!CF:CF)</f>
        <v>0</v>
      </c>
      <c r="CF7">
        <f>SUMIF('Как есть'!$A:$A,Доп.расчеты!$A7,'Как есть'!CG:CG)</f>
        <v>0</v>
      </c>
      <c r="CG7">
        <f>SUMIF('Как есть'!$A:$A,Доп.расчеты!$A7,'Как есть'!CH:CH)</f>
        <v>0</v>
      </c>
      <c r="CH7">
        <f>SUMIF('Как есть'!$A:$A,Доп.расчеты!$A7,'Как есть'!CI:CI)</f>
        <v>0</v>
      </c>
      <c r="CI7">
        <f>SUMIF('Как есть'!$A:$A,Доп.расчеты!$A7,'Как есть'!CJ:CJ)</f>
        <v>0</v>
      </c>
      <c r="CJ7">
        <f>SUMIF('Как есть'!$A:$A,Доп.расчеты!$A7,'Как есть'!CK:CK)</f>
        <v>0</v>
      </c>
      <c r="CK7">
        <f>SUMIF('Как есть'!$A:$A,Доп.расчеты!$A7,'Как есть'!CL:CL)</f>
        <v>0</v>
      </c>
      <c r="CL7">
        <f>SUMIF('Как есть'!$A:$A,Доп.расчеты!$A7,'Как есть'!CM:CM)</f>
        <v>0</v>
      </c>
      <c r="CM7">
        <f>SUMIF('Как есть'!$A:$A,Доп.расчеты!$A7,'Как есть'!CN:CN)</f>
        <v>0</v>
      </c>
      <c r="CN7">
        <f>SUMIF('Как есть'!$A:$A,Доп.расчеты!$A7,'Как есть'!CO:CO)</f>
        <v>0</v>
      </c>
      <c r="CO7">
        <f>SUMIF('Как есть'!$A:$A,Доп.расчеты!$A7,'Как есть'!CP:CP)</f>
        <v>0</v>
      </c>
      <c r="CP7">
        <f>SUMIF('Как есть'!$A:$A,Доп.расчеты!$A7,'Как есть'!CQ:CQ)</f>
        <v>0</v>
      </c>
      <c r="CQ7">
        <f>SUMIF('Как есть'!$A:$A,Доп.расчеты!$A7,'Как есть'!CR:CR)</f>
        <v>0</v>
      </c>
      <c r="CR7">
        <f>SUMIF('Как есть'!$A:$A,Доп.расчеты!$A7,'Как есть'!CS:CS)</f>
        <v>0</v>
      </c>
      <c r="CS7">
        <f>SUMIF('Как есть'!$A:$A,Доп.расчеты!$A7,'Как есть'!CT:CT)</f>
        <v>0</v>
      </c>
      <c r="CT7">
        <f>SUMIF('Как есть'!$A:$A,Доп.расчеты!$A7,'Как есть'!CU:CU)</f>
        <v>0</v>
      </c>
      <c r="CU7">
        <f>SUMIF('Как есть'!$A:$A,Доп.расчеты!$A7,'Как есть'!CV:CV)</f>
        <v>0</v>
      </c>
      <c r="CV7">
        <f>SUMIF('Как есть'!$A:$A,Доп.расчеты!$A7,'Как есть'!CW:CW)</f>
        <v>0</v>
      </c>
      <c r="CW7">
        <f>SUMIF('Как есть'!$A:$A,Доп.расчеты!$A7,'Как есть'!CX:CX)</f>
        <v>0</v>
      </c>
      <c r="CX7">
        <f>SUMIF('Как есть'!$A:$A,Доп.расчеты!$A7,'Как есть'!CY:CY)</f>
        <v>0</v>
      </c>
      <c r="CY7">
        <f>SUMIF('Как есть'!$A:$A,Доп.расчеты!$A7,'Как есть'!CZ:CZ)</f>
        <v>0</v>
      </c>
      <c r="CZ7">
        <f>SUMIF('Как есть'!$A:$A,Доп.расчеты!$A7,'Как есть'!DA:DA)</f>
        <v>0</v>
      </c>
      <c r="DA7">
        <f>SUMIF('Как есть'!$A:$A,Доп.расчеты!$A7,'Как есть'!DB:DB)</f>
        <v>0</v>
      </c>
      <c r="DB7">
        <f>SUMIF('Как есть'!$A:$A,Доп.расчеты!$A7,'Как есть'!DC:DC)</f>
        <v>0</v>
      </c>
      <c r="DC7">
        <f>SUMIF('Как есть'!$A:$A,Доп.расчеты!$A7,'Как есть'!DD:DD)</f>
        <v>0</v>
      </c>
      <c r="DD7">
        <f>SUMIF('Как есть'!$A:$A,Доп.расчеты!$A7,'Как есть'!DE:DE)</f>
        <v>0</v>
      </c>
      <c r="DE7">
        <f>SUMIF('Как есть'!$A:$A,Доп.расчеты!$A7,'Как есть'!DF:DF)</f>
        <v>0</v>
      </c>
      <c r="DF7">
        <f>SUMIF('Как есть'!$A:$A,Доп.расчеты!$A7,'Как есть'!DG:DG)</f>
        <v>0</v>
      </c>
      <c r="DG7">
        <f>SUMIF('Как есть'!$A:$A,Доп.расчеты!$A7,'Как есть'!DH:DH)</f>
        <v>0</v>
      </c>
      <c r="DH7">
        <f>SUMIF('Как есть'!$A:$A,Доп.расчеты!$A7,'Как есть'!DI:DI)</f>
        <v>0</v>
      </c>
      <c r="DI7">
        <f>SUMIF('Как есть'!$A:$A,Доп.расчеты!$A7,'Как есть'!DJ:DJ)</f>
        <v>0</v>
      </c>
      <c r="DJ7">
        <f>SUMIF('Как есть'!$A:$A,Доп.расчеты!$A7,'Как есть'!DK:DK)</f>
        <v>0</v>
      </c>
      <c r="DK7">
        <f>SUMIF('Как есть'!$A:$A,Доп.расчеты!$A7,'Как есть'!DL:DL)</f>
        <v>0</v>
      </c>
      <c r="DL7">
        <f>SUMIF('Как есть'!$A:$A,Доп.расчеты!$A7,'Как есть'!DM:DM)</f>
        <v>0</v>
      </c>
      <c r="DM7">
        <f>SUMIF('Как есть'!$A:$A,Доп.расчеты!$A7,'Как есть'!DN:DN)</f>
        <v>0</v>
      </c>
      <c r="DN7">
        <f>SUMIF('Как есть'!$A:$A,Доп.расчеты!$A7,'Как есть'!DO:DO)</f>
        <v>0</v>
      </c>
      <c r="DO7">
        <f>SUMIF('Как есть'!$A:$A,Доп.расчеты!$A7,'Как есть'!DP:DP)</f>
        <v>0</v>
      </c>
      <c r="DP7">
        <f>SUMIF('Как есть'!$A:$A,Доп.расчеты!$A7,'Как есть'!DQ:DQ)</f>
        <v>0</v>
      </c>
      <c r="DQ7">
        <f>SUMIF('Как есть'!$A:$A,Доп.расчеты!$A7,'Как есть'!DR:DR)</f>
        <v>0</v>
      </c>
      <c r="DR7">
        <f>SUMIF('Как есть'!$A:$A,Доп.расчеты!$A7,'Как есть'!DS:DS)</f>
        <v>0</v>
      </c>
      <c r="DS7">
        <f>SUMIF('Как есть'!$A:$A,Доп.расчеты!$A7,'Как есть'!DT:DT)</f>
        <v>0</v>
      </c>
      <c r="DT7">
        <f>SUMIF('Как есть'!$A:$A,Доп.расчеты!$A7,'Как есть'!DU:DU)</f>
        <v>0</v>
      </c>
      <c r="DU7">
        <f>SUMIF('Как есть'!$A:$A,Доп.расчеты!$A7,'Как есть'!DV:DV)</f>
        <v>0</v>
      </c>
      <c r="DV7">
        <f>SUMIF('Как есть'!$A:$A,Доп.расчеты!$A7,'Как есть'!DW:DW)</f>
        <v>0</v>
      </c>
      <c r="DW7">
        <f>SUMIF('Как есть'!$A:$A,Доп.расчеты!$A7,'Как есть'!DX:DX)</f>
        <v>0</v>
      </c>
      <c r="DX7">
        <f>SUMIF('Как есть'!$A:$A,Доп.расчеты!$A7,'Как есть'!DY:DY)</f>
        <v>0</v>
      </c>
      <c r="DY7">
        <f>SUMIF('Как есть'!$A:$A,Доп.расчеты!$A7,'Как есть'!DZ:DZ)</f>
        <v>0</v>
      </c>
      <c r="DZ7">
        <f>SUMIF('Как есть'!$A:$A,Доп.расчеты!$A7,'Как есть'!EA:EA)</f>
        <v>0</v>
      </c>
      <c r="EA7">
        <f>SUMIF('Как есть'!$A:$A,Доп.расчеты!$A7,'Как есть'!EB:EB)</f>
        <v>0</v>
      </c>
      <c r="EB7">
        <f>SUMIF('Как есть'!$A:$A,Доп.расчеты!$A7,'Как есть'!EC:EC)</f>
        <v>0</v>
      </c>
      <c r="EC7">
        <f>SUMIF('Как есть'!$A:$A,Доп.расчеты!$A7,'Как есть'!ED:ED)</f>
        <v>0</v>
      </c>
      <c r="ED7">
        <f>SUMIF('Как есть'!$A:$A,Доп.расчеты!$A7,'Как есть'!EE:EE)</f>
        <v>0</v>
      </c>
      <c r="EE7">
        <f>SUMIF('Как есть'!$A:$A,Доп.расчеты!$A7,'Как есть'!EF:EF)</f>
        <v>0</v>
      </c>
      <c r="EF7">
        <f>SUMIF('Как есть'!$A:$A,Доп.расчеты!$A7,'Как есть'!EG:EG)</f>
        <v>0</v>
      </c>
      <c r="EG7">
        <f>SUMIF('Как есть'!$A:$A,Доп.расчеты!$A7,'Как есть'!EH:EH)</f>
        <v>0</v>
      </c>
      <c r="EH7">
        <f>SUMIF('Как есть'!$A:$A,Доп.расчеты!$A7,'Как есть'!EI:EI)</f>
        <v>0</v>
      </c>
      <c r="EI7">
        <f>SUMIF('Как есть'!$A:$A,Доп.расчеты!$A7,'Как есть'!EJ:EJ)</f>
        <v>0</v>
      </c>
      <c r="EJ7">
        <f>SUMIF('Как есть'!$A:$A,Доп.расчеты!$A7,'Как есть'!EK:EK)</f>
        <v>0</v>
      </c>
      <c r="EK7">
        <f>SUMIF('Как есть'!$A:$A,Доп.расчеты!$A7,'Как есть'!EL:EL)</f>
        <v>0</v>
      </c>
      <c r="EL7">
        <f>SUMIF('Как есть'!$A:$A,Доп.расчеты!$A7,'Как есть'!EM:EM)</f>
        <v>0</v>
      </c>
      <c r="EM7">
        <f>SUMIF('Как есть'!$A:$A,Доп.расчеты!$A7,'Как есть'!EN:EN)</f>
        <v>0</v>
      </c>
      <c r="EN7">
        <f>SUMIF('Как есть'!$A:$A,Доп.расчеты!$A7,'Как есть'!EO:EO)</f>
        <v>0</v>
      </c>
      <c r="EO7">
        <f>SUMIF('Как есть'!$A:$A,Доп.расчеты!$A7,'Как есть'!EP:EP)</f>
        <v>0</v>
      </c>
      <c r="EP7">
        <f>SUMIF('Как есть'!$A:$A,Доп.расчеты!$A7,'Как есть'!EQ:EQ)</f>
        <v>0</v>
      </c>
      <c r="EQ7">
        <f>SUMIF('Как есть'!$A:$A,Доп.расчеты!$A7,'Как есть'!ER:ER)</f>
        <v>0</v>
      </c>
      <c r="ER7">
        <f>SUMIF('Как есть'!$A:$A,Доп.расчеты!$A7,'Как есть'!ES:ES)</f>
        <v>0</v>
      </c>
      <c r="ES7">
        <f>SUMIF('Как есть'!$A:$A,Доп.расчеты!$A7,'Как есть'!ET:ET)</f>
        <v>0</v>
      </c>
      <c r="ET7">
        <f>SUMIF('Как есть'!$A:$A,Доп.расчеты!$A7,'Как есть'!EU:EU)</f>
        <v>0</v>
      </c>
      <c r="EU7">
        <f>SUMIF('Как есть'!$A:$A,Доп.расчеты!$A7,'Как есть'!EV:EV)</f>
        <v>0</v>
      </c>
      <c r="EV7">
        <f>SUMIF('Как есть'!$A:$A,Доп.расчеты!$A7,'Как есть'!EW:EW)</f>
        <v>0</v>
      </c>
      <c r="EW7">
        <f>SUMIF('Как есть'!$A:$A,Доп.расчеты!$A7,'Как есть'!EX:EX)</f>
        <v>0</v>
      </c>
      <c r="EX7">
        <f>SUMIF('Как есть'!$A:$A,Доп.расчеты!$A7,'Как есть'!EY:EY)</f>
        <v>0</v>
      </c>
      <c r="EY7">
        <f>SUMIF('Как есть'!$A:$A,Доп.расчеты!$A7,'Как есть'!EZ:EZ)</f>
        <v>0</v>
      </c>
      <c r="EZ7">
        <f>SUMIF('Как есть'!$A:$A,Доп.расчеты!$A7,'Как есть'!FA:FA)</f>
        <v>0</v>
      </c>
      <c r="FA7">
        <f>SUMIF('Как есть'!$A:$A,Доп.расчеты!$A7,'Как есть'!FB:FB)</f>
        <v>0</v>
      </c>
      <c r="FB7">
        <f>SUMIF('Как есть'!$A:$A,Доп.расчеты!$A7,'Как есть'!FC:FC)</f>
        <v>0</v>
      </c>
      <c r="FC7">
        <f>SUMIF('Как есть'!$A:$A,Доп.расчеты!$A7,'Как есть'!FD:FD)</f>
        <v>0</v>
      </c>
      <c r="FD7">
        <f>SUMIF('Как есть'!$A:$A,Доп.расчеты!$A7,'Как есть'!FE:FE)</f>
        <v>0</v>
      </c>
      <c r="FE7">
        <f>SUMIF('Как есть'!$A:$A,Доп.расчеты!$A7,'Как есть'!FF:FF)</f>
        <v>0</v>
      </c>
      <c r="FF7">
        <f>SUMIF('Как есть'!$A:$A,Доп.расчеты!$A7,'Как есть'!FG:FG)</f>
        <v>0</v>
      </c>
      <c r="FG7">
        <f>SUMIF('Как есть'!$A:$A,Доп.расчеты!$A7,'Как есть'!FH:FH)</f>
        <v>0</v>
      </c>
      <c r="FH7">
        <f>SUMIF('Как есть'!$A:$A,Доп.расчеты!$A7,'Как есть'!FI:FI)</f>
        <v>0</v>
      </c>
      <c r="FI7">
        <f>SUMIF('Как есть'!$A:$A,Доп.расчеты!$A7,'Как есть'!FJ:FJ)</f>
        <v>0</v>
      </c>
      <c r="FJ7">
        <f>SUMIF('Как есть'!$A:$A,Доп.расчеты!$A7,'Как есть'!FK:FK)</f>
        <v>0</v>
      </c>
      <c r="FK7">
        <f>SUMIF('Как есть'!$A:$A,Доп.расчеты!$A7,'Как есть'!FL:FL)</f>
        <v>0</v>
      </c>
      <c r="FL7">
        <f>SUMIF('Как есть'!$A:$A,Доп.расчеты!$A7,'Как есть'!FM:FM)</f>
        <v>0</v>
      </c>
      <c r="FM7">
        <f>SUMIF('Как есть'!$A:$A,Доп.расчеты!$A7,'Как есть'!FN:FN)</f>
        <v>0</v>
      </c>
      <c r="FN7">
        <f>SUMIF('Как есть'!$A:$A,Доп.расчеты!$A7,'Как есть'!FO:FO)</f>
        <v>0</v>
      </c>
      <c r="FO7">
        <f>SUMIF('Как есть'!$A:$A,Доп.расчеты!$A7,'Как есть'!FP:FP)</f>
        <v>0</v>
      </c>
      <c r="FP7">
        <f>SUMIF('Как есть'!$A:$A,Доп.расчеты!$A7,'Как есть'!FQ:FQ)</f>
        <v>0</v>
      </c>
      <c r="FQ7">
        <f>SUMIF('Как есть'!$A:$A,Доп.расчеты!$A7,'Как есть'!FR:FR)</f>
        <v>0</v>
      </c>
      <c r="FR7">
        <f>SUMIF('Как есть'!$A:$A,Доп.расчеты!$A7,'Как есть'!FS:FS)</f>
        <v>0</v>
      </c>
      <c r="FS7">
        <f>SUMIF('Как есть'!$A:$A,Доп.расчеты!$A7,'Как есть'!FT:FT)</f>
        <v>0</v>
      </c>
      <c r="FT7">
        <f>SUMIF('Как есть'!$A:$A,Доп.расчеты!$A7,'Как есть'!FU:FU)</f>
        <v>0</v>
      </c>
      <c r="FU7">
        <f>SUMIF('Как есть'!$A:$A,Доп.расчеты!$A7,'Как есть'!FV:FV)</f>
        <v>0</v>
      </c>
      <c r="FV7">
        <f>SUMIF('Как есть'!$A:$A,Доп.расчеты!$A7,'Как есть'!FW:FW)</f>
        <v>0</v>
      </c>
      <c r="FW7">
        <f>SUMIF('Как есть'!$A:$A,Доп.расчеты!$A7,'Как есть'!FX:FX)</f>
        <v>0</v>
      </c>
      <c r="FX7">
        <f>SUMIF('Как есть'!$A:$A,Доп.расчеты!$A7,'Как есть'!FY:FY)</f>
        <v>0</v>
      </c>
      <c r="FY7">
        <f>SUMIF('Как есть'!$A:$A,Доп.расчеты!$A7,'Как есть'!FZ:FZ)</f>
        <v>0</v>
      </c>
      <c r="FZ7">
        <f>SUMIF('Как есть'!$A:$A,Доп.расчеты!$A7,'Как есть'!GA:GA)</f>
        <v>0</v>
      </c>
      <c r="GA7">
        <f>SUMIF('Как есть'!$A:$A,Доп.расчеты!$A7,'Как есть'!GB:GB)</f>
        <v>0</v>
      </c>
      <c r="GB7">
        <f>SUMIF('Как есть'!$A:$A,Доп.расчеты!$A7,'Как есть'!GC:GC)</f>
        <v>0</v>
      </c>
      <c r="GC7">
        <f>SUMIF('Как есть'!$A:$A,Доп.расчеты!$A7,'Как есть'!GD:GD)</f>
        <v>0</v>
      </c>
      <c r="GD7">
        <f>SUMIF('Как есть'!$A:$A,Доп.расчеты!$A7,'Как есть'!GE:GE)</f>
        <v>0</v>
      </c>
      <c r="GE7">
        <f>SUMIF('Как есть'!$A:$A,Доп.расчеты!$A7,'Как есть'!GF:GF)</f>
        <v>0</v>
      </c>
      <c r="GF7">
        <f>SUMIF('Как есть'!$A:$A,Доп.расчеты!$A7,'Как есть'!GG:GG)</f>
        <v>0</v>
      </c>
      <c r="GG7">
        <f>SUMIF('Как есть'!$A:$A,Доп.расчеты!$A7,'Как есть'!GH:GH)</f>
        <v>0</v>
      </c>
      <c r="GH7">
        <f>SUMIF('Как есть'!$A:$A,Доп.расчеты!$A7,'Как есть'!GI:GI)</f>
        <v>0</v>
      </c>
      <c r="GI7">
        <f>SUMIF('Как есть'!$A:$A,Доп.расчеты!$A7,'Как есть'!GJ:GJ)</f>
        <v>0</v>
      </c>
      <c r="GJ7">
        <f>SUMIF('Как есть'!$A:$A,Доп.расчеты!$A7,'Как есть'!GK:GK)</f>
        <v>0</v>
      </c>
      <c r="GK7">
        <f>SUMIF('Как есть'!$A:$A,Доп.расчеты!$A7,'Как есть'!GL:GL)</f>
        <v>0</v>
      </c>
      <c r="GL7">
        <f>SUMIF('Как есть'!$A:$A,Доп.расчеты!$A7,'Как есть'!GM:GM)</f>
        <v>0</v>
      </c>
      <c r="GM7">
        <f>SUMIF('Как есть'!$A:$A,Доп.расчеты!$A7,'Как есть'!GN:GN)</f>
        <v>0</v>
      </c>
      <c r="GN7">
        <f>SUMIF('Как есть'!$A:$A,Доп.расчеты!$A7,'Как есть'!GO:GO)</f>
        <v>0</v>
      </c>
      <c r="GO7">
        <f>SUMIF('Как есть'!$A:$A,Доп.расчеты!$A7,'Как есть'!GP:GP)</f>
        <v>0</v>
      </c>
      <c r="GP7">
        <f>SUMIF('Как есть'!$A:$A,Доп.расчеты!$A7,'Как есть'!GQ:GQ)</f>
        <v>0</v>
      </c>
      <c r="GQ7">
        <f>SUMIF('Как есть'!$A:$A,Доп.расчеты!$A7,'Как есть'!GR:GR)</f>
        <v>0</v>
      </c>
      <c r="GR7">
        <f>SUMIF('Как есть'!$A:$A,Доп.расчеты!$A7,'Как есть'!GS:GS)</f>
        <v>0</v>
      </c>
      <c r="GS7">
        <f>SUMIF('Как есть'!$A:$A,Доп.расчеты!$A7,'Как есть'!GT:GT)</f>
        <v>0</v>
      </c>
      <c r="GT7">
        <f>SUMIF('Как есть'!$A:$A,Доп.расчеты!$A7,'Как есть'!GU:GU)</f>
        <v>0</v>
      </c>
    </row>
    <row r="8" spans="1:202">
      <c r="A8" s="242" t="s">
        <v>15</v>
      </c>
      <c r="B8">
        <f>SUMIF('Как есть'!$A:$A,Доп.расчеты!$A8,'Как есть'!C:C)</f>
        <v>0</v>
      </c>
      <c r="C8">
        <f>SUMIF('Как есть'!$A:$A,Доп.расчеты!$A8,'Как есть'!D:D)</f>
        <v>0</v>
      </c>
      <c r="D8">
        <f>SUMIF('Как есть'!$A:$A,Доп.расчеты!$A8,'Как есть'!E:E)</f>
        <v>0</v>
      </c>
      <c r="E8">
        <f>SUMIF('Как есть'!$A:$A,Доп.расчеты!$A8,'Как есть'!F:F)</f>
        <v>0</v>
      </c>
      <c r="F8">
        <f>SUMIF('Как есть'!$A:$A,Доп.расчеты!$A8,'Как есть'!G:G)</f>
        <v>0</v>
      </c>
      <c r="G8">
        <f>SUMIF('Как есть'!$A:$A,Доп.расчеты!$A8,'Как есть'!H:H)</f>
        <v>0</v>
      </c>
      <c r="H8">
        <f>SUMIF('Как есть'!$A:$A,Доп.расчеты!$A8,'Как есть'!I:I)</f>
        <v>0</v>
      </c>
      <c r="I8">
        <f>SUMIF('Как есть'!$A:$A,Доп.расчеты!$A8,'Как есть'!J:J)</f>
        <v>0</v>
      </c>
      <c r="J8">
        <f>SUMIF('Как есть'!$A:$A,Доп.расчеты!$A8,'Как есть'!K:K)</f>
        <v>0</v>
      </c>
      <c r="K8">
        <f>SUMIF('Как есть'!$A:$A,Доп.расчеты!$A8,'Как есть'!L:L)</f>
        <v>0</v>
      </c>
      <c r="L8">
        <f>SUMIF('Как есть'!$A:$A,Доп.расчеты!$A8,'Как есть'!M:M)</f>
        <v>0</v>
      </c>
      <c r="M8">
        <f>SUMIF('Как есть'!$A:$A,Доп.расчеты!$A8,'Как есть'!N:N)</f>
        <v>0</v>
      </c>
      <c r="N8">
        <f>SUMIF('Как есть'!$A:$A,Доп.расчеты!$A8,'Как есть'!O:O)</f>
        <v>0</v>
      </c>
      <c r="O8">
        <f>SUMIF('Как есть'!$A:$A,Доп.расчеты!$A8,'Как есть'!P:P)</f>
        <v>0</v>
      </c>
      <c r="P8">
        <f>SUMIF('Как есть'!$A:$A,Доп.расчеты!$A8,'Как есть'!Q:Q)</f>
        <v>0</v>
      </c>
      <c r="Q8">
        <f>SUMIF('Как есть'!$A:$A,Доп.расчеты!$A8,'Как есть'!R:R)</f>
        <v>0</v>
      </c>
      <c r="R8">
        <f>SUMIF('Как есть'!$A:$A,Доп.расчеты!$A8,'Как есть'!S:S)</f>
        <v>0</v>
      </c>
      <c r="S8">
        <f>SUMIF('Как есть'!$A:$A,Доп.расчеты!$A8,'Как есть'!T:T)</f>
        <v>0</v>
      </c>
      <c r="T8">
        <f>SUMIF('Как есть'!$A:$A,Доп.расчеты!$A8,'Как есть'!U:U)</f>
        <v>0</v>
      </c>
      <c r="U8">
        <f>SUMIF('Как есть'!$A:$A,Доп.расчеты!$A8,'Как есть'!V:V)</f>
        <v>0</v>
      </c>
      <c r="V8">
        <f>SUMIF('Как есть'!$A:$A,Доп.расчеты!$A8,'Как есть'!W:W)</f>
        <v>0</v>
      </c>
      <c r="W8">
        <f>SUMIF('Как есть'!$A:$A,Доп.расчеты!$A8,'Как есть'!X:X)</f>
        <v>0</v>
      </c>
      <c r="X8">
        <f>SUMIF('Как есть'!$A:$A,Доп.расчеты!$A8,'Как есть'!Y:Y)</f>
        <v>0</v>
      </c>
      <c r="Y8">
        <f>SUMIF('Как есть'!$A:$A,Доп.расчеты!$A8,'Как есть'!Z:Z)</f>
        <v>0</v>
      </c>
      <c r="Z8">
        <f>SUMIF('Как есть'!$A:$A,Доп.расчеты!$A8,'Как есть'!AA:AA)</f>
        <v>0</v>
      </c>
      <c r="AA8">
        <f>SUMIF('Как есть'!$A:$A,Доп.расчеты!$A8,'Как есть'!AB:AB)</f>
        <v>0</v>
      </c>
      <c r="AB8">
        <f>SUMIF('Как есть'!$A:$A,Доп.расчеты!$A8,'Как есть'!AC:AC)</f>
        <v>0</v>
      </c>
      <c r="AC8">
        <f>SUMIF('Как есть'!$A:$A,Доп.расчеты!$A8,'Как есть'!AD:AD)</f>
        <v>0</v>
      </c>
      <c r="AD8">
        <f>SUMIF('Как есть'!$A:$A,Доп.расчеты!$A8,'Как есть'!AE:AE)</f>
        <v>0</v>
      </c>
      <c r="AE8">
        <f>SUMIF('Как есть'!$A:$A,Доп.расчеты!$A8,'Как есть'!AF:AF)</f>
        <v>0</v>
      </c>
      <c r="AF8">
        <f>SUMIF('Как есть'!$A:$A,Доп.расчеты!$A8,'Как есть'!AG:AG)</f>
        <v>0</v>
      </c>
      <c r="AG8">
        <f>SUMIF('Как есть'!$A:$A,Доп.расчеты!$A8,'Как есть'!AH:AH)</f>
        <v>0</v>
      </c>
      <c r="AH8">
        <f>SUMIF('Как есть'!$A:$A,Доп.расчеты!$A8,'Как есть'!AI:AI)</f>
        <v>0</v>
      </c>
      <c r="AI8">
        <f>SUMIF('Как есть'!$A:$A,Доп.расчеты!$A8,'Как есть'!AJ:AJ)</f>
        <v>0</v>
      </c>
      <c r="AJ8">
        <f>SUMIF('Как есть'!$A:$A,Доп.расчеты!$A8,'Как есть'!AK:AK)</f>
        <v>0</v>
      </c>
      <c r="AK8">
        <f>SUMIF('Как есть'!$A:$A,Доп.расчеты!$A8,'Как есть'!AL:AL)</f>
        <v>0</v>
      </c>
      <c r="AL8">
        <f>SUMIF('Как есть'!$A:$A,Доп.расчеты!$A8,'Как есть'!AM:AM)</f>
        <v>0</v>
      </c>
      <c r="AM8">
        <f>SUMIF('Как есть'!$A:$A,Доп.расчеты!$A8,'Как есть'!AN:AN)</f>
        <v>0</v>
      </c>
      <c r="AN8">
        <f>SUMIF('Как есть'!$A:$A,Доп.расчеты!$A8,'Как есть'!AO:AO)</f>
        <v>0</v>
      </c>
      <c r="AO8">
        <f>SUMIF('Как есть'!$A:$A,Доп.расчеты!$A8,'Как есть'!AP:AP)</f>
        <v>0</v>
      </c>
      <c r="AP8">
        <f>SUMIF('Как есть'!$A:$A,Доп.расчеты!$A8,'Как есть'!AQ:AQ)</f>
        <v>0</v>
      </c>
      <c r="AQ8">
        <f>SUMIF('Как есть'!$A:$A,Доп.расчеты!$A8,'Как есть'!AR:AR)</f>
        <v>0</v>
      </c>
      <c r="AR8">
        <f>SUMIF('Как есть'!$A:$A,Доп.расчеты!$A8,'Как есть'!AS:AS)</f>
        <v>0</v>
      </c>
      <c r="AS8">
        <f>SUMIF('Как есть'!$A:$A,Доп.расчеты!$A8,'Как есть'!AT:AT)</f>
        <v>0</v>
      </c>
      <c r="AT8">
        <f>SUMIF('Как есть'!$A:$A,Доп.расчеты!$A8,'Как есть'!AU:AU)</f>
        <v>0</v>
      </c>
      <c r="AU8">
        <f>SUMIF('Как есть'!$A:$A,Доп.расчеты!$A8,'Как есть'!AV:AV)</f>
        <v>0</v>
      </c>
      <c r="AV8">
        <f>SUMIF('Как есть'!$A:$A,Доп.расчеты!$A8,'Как есть'!AW:AW)</f>
        <v>0</v>
      </c>
      <c r="AW8">
        <f>SUMIF('Как есть'!$A:$A,Доп.расчеты!$A8,'Как есть'!AX:AX)</f>
        <v>0</v>
      </c>
      <c r="AX8">
        <f>SUMIF('Как есть'!$A:$A,Доп.расчеты!$A8,'Как есть'!AY:AY)</f>
        <v>0</v>
      </c>
      <c r="AY8">
        <f>SUMIF('Как есть'!$A:$A,Доп.расчеты!$A8,'Как есть'!AZ:AZ)</f>
        <v>0</v>
      </c>
      <c r="AZ8">
        <f>SUMIF('Как есть'!$A:$A,Доп.расчеты!$A8,'Как есть'!BA:BA)</f>
        <v>0</v>
      </c>
      <c r="BA8">
        <f>SUMIF('Как есть'!$A:$A,Доп.расчеты!$A8,'Как есть'!BB:BB)</f>
        <v>0</v>
      </c>
      <c r="BB8">
        <f>SUMIF('Как есть'!$A:$A,Доп.расчеты!$A8,'Как есть'!BC:BC)</f>
        <v>0</v>
      </c>
      <c r="BC8">
        <f>SUMIF('Как есть'!$A:$A,Доп.расчеты!$A8,'Как есть'!BD:BD)</f>
        <v>0</v>
      </c>
      <c r="BD8">
        <f>SUMIF('Как есть'!$A:$A,Доп.расчеты!$A8,'Как есть'!BE:BE)</f>
        <v>0</v>
      </c>
      <c r="BE8">
        <f>SUMIF('Как есть'!$A:$A,Доп.расчеты!$A8,'Как есть'!BF:BF)</f>
        <v>0</v>
      </c>
      <c r="BF8">
        <f>SUMIF('Как есть'!$A:$A,Доп.расчеты!$A8,'Как есть'!BG:BG)</f>
        <v>0</v>
      </c>
      <c r="BG8">
        <f>SUMIF('Как есть'!$A:$A,Доп.расчеты!$A8,'Как есть'!BH:BH)</f>
        <v>0</v>
      </c>
      <c r="BH8">
        <f>SUMIF('Как есть'!$A:$A,Доп.расчеты!$A8,'Как есть'!BI:BI)</f>
        <v>0</v>
      </c>
      <c r="BI8">
        <f>SUMIF('Как есть'!$A:$A,Доп.расчеты!$A8,'Как есть'!BJ:BJ)</f>
        <v>0</v>
      </c>
      <c r="BJ8">
        <f>SUMIF('Как есть'!$A:$A,Доп.расчеты!$A8,'Как есть'!BK:BK)</f>
        <v>0</v>
      </c>
      <c r="BK8">
        <f>SUMIF('Как есть'!$A:$A,Доп.расчеты!$A8,'Как есть'!BL:BL)</f>
        <v>0</v>
      </c>
      <c r="BL8">
        <f>SUMIF('Как есть'!$A:$A,Доп.расчеты!$A8,'Как есть'!BM:BM)</f>
        <v>0</v>
      </c>
      <c r="BM8">
        <f>SUMIF('Как есть'!$A:$A,Доп.расчеты!$A8,'Как есть'!BN:BN)</f>
        <v>0</v>
      </c>
      <c r="BN8">
        <f>SUMIF('Как есть'!$A:$A,Доп.расчеты!$A8,'Как есть'!BO:BO)</f>
        <v>0</v>
      </c>
      <c r="BO8">
        <f>SUMIF('Как есть'!$A:$A,Доп.расчеты!$A8,'Как есть'!BP:BP)</f>
        <v>0</v>
      </c>
      <c r="BP8">
        <f>SUMIF('Как есть'!$A:$A,Доп.расчеты!$A8,'Как есть'!BQ:BQ)</f>
        <v>0</v>
      </c>
      <c r="BQ8">
        <f>SUMIF('Как есть'!$A:$A,Доп.расчеты!$A8,'Как есть'!BR:BR)</f>
        <v>0</v>
      </c>
      <c r="BR8">
        <f>SUMIF('Как есть'!$A:$A,Доп.расчеты!$A8,'Как есть'!BS:BS)</f>
        <v>0</v>
      </c>
      <c r="BS8">
        <f>SUMIF('Как есть'!$A:$A,Доп.расчеты!$A8,'Как есть'!BT:BT)</f>
        <v>0</v>
      </c>
      <c r="BT8">
        <f>SUMIF('Как есть'!$A:$A,Доп.расчеты!$A8,'Как есть'!BU:BU)</f>
        <v>0</v>
      </c>
      <c r="BU8">
        <f>SUMIF('Как есть'!$A:$A,Доп.расчеты!$A8,'Как есть'!BV:BV)</f>
        <v>0</v>
      </c>
      <c r="BV8">
        <f>SUMIF('Как есть'!$A:$A,Доп.расчеты!$A8,'Как есть'!BW:BW)</f>
        <v>0</v>
      </c>
      <c r="BW8">
        <f>SUMIF('Как есть'!$A:$A,Доп.расчеты!$A8,'Как есть'!BX:BX)</f>
        <v>0</v>
      </c>
      <c r="BX8">
        <f>SUMIF('Как есть'!$A:$A,Доп.расчеты!$A8,'Как есть'!BY:BY)</f>
        <v>0</v>
      </c>
      <c r="BY8">
        <f>SUMIF('Как есть'!$A:$A,Доп.расчеты!$A8,'Как есть'!BZ:BZ)</f>
        <v>0</v>
      </c>
      <c r="BZ8">
        <f>SUMIF('Как есть'!$A:$A,Доп.расчеты!$A8,'Как есть'!CA:CA)</f>
        <v>0</v>
      </c>
      <c r="CA8">
        <f>SUMIF('Как есть'!$A:$A,Доп.расчеты!$A8,'Как есть'!CB:CB)</f>
        <v>0</v>
      </c>
      <c r="CB8">
        <f>SUMIF('Как есть'!$A:$A,Доп.расчеты!$A8,'Как есть'!CC:CC)</f>
        <v>0</v>
      </c>
      <c r="CC8">
        <f>SUMIF('Как есть'!$A:$A,Доп.расчеты!$A8,'Как есть'!CD:CD)</f>
        <v>0</v>
      </c>
      <c r="CD8">
        <f>SUMIF('Как есть'!$A:$A,Доп.расчеты!$A8,'Как есть'!CE:CE)</f>
        <v>0</v>
      </c>
      <c r="CE8">
        <f>SUMIF('Как есть'!$A:$A,Доп.расчеты!$A8,'Как есть'!CF:CF)</f>
        <v>0</v>
      </c>
      <c r="CF8">
        <f>SUMIF('Как есть'!$A:$A,Доп.расчеты!$A8,'Как есть'!CG:CG)</f>
        <v>0</v>
      </c>
      <c r="CG8">
        <f>SUMIF('Как есть'!$A:$A,Доп.расчеты!$A8,'Как есть'!CH:CH)</f>
        <v>0</v>
      </c>
      <c r="CH8">
        <f>SUMIF('Как есть'!$A:$A,Доп.расчеты!$A8,'Как есть'!CI:CI)</f>
        <v>0</v>
      </c>
      <c r="CI8">
        <f>SUMIF('Как есть'!$A:$A,Доп.расчеты!$A8,'Как есть'!CJ:CJ)</f>
        <v>0</v>
      </c>
      <c r="CJ8">
        <f>SUMIF('Как есть'!$A:$A,Доп.расчеты!$A8,'Как есть'!CK:CK)</f>
        <v>0</v>
      </c>
      <c r="CK8">
        <f>SUMIF('Как есть'!$A:$A,Доп.расчеты!$A8,'Как есть'!CL:CL)</f>
        <v>0</v>
      </c>
      <c r="CL8">
        <f>SUMIF('Как есть'!$A:$A,Доп.расчеты!$A8,'Как есть'!CM:CM)</f>
        <v>0</v>
      </c>
      <c r="CM8">
        <f>SUMIF('Как есть'!$A:$A,Доп.расчеты!$A8,'Как есть'!CN:CN)</f>
        <v>0</v>
      </c>
      <c r="CN8">
        <f>SUMIF('Как есть'!$A:$A,Доп.расчеты!$A8,'Как есть'!CO:CO)</f>
        <v>0</v>
      </c>
      <c r="CO8">
        <f>SUMIF('Как есть'!$A:$A,Доп.расчеты!$A8,'Как есть'!CP:CP)</f>
        <v>0</v>
      </c>
      <c r="CP8">
        <f>SUMIF('Как есть'!$A:$A,Доп.расчеты!$A8,'Как есть'!CQ:CQ)</f>
        <v>0</v>
      </c>
      <c r="CQ8">
        <f>SUMIF('Как есть'!$A:$A,Доп.расчеты!$A8,'Как есть'!CR:CR)</f>
        <v>0</v>
      </c>
      <c r="CR8">
        <f>SUMIF('Как есть'!$A:$A,Доп.расчеты!$A8,'Как есть'!CS:CS)</f>
        <v>0</v>
      </c>
      <c r="CS8">
        <f>SUMIF('Как есть'!$A:$A,Доп.расчеты!$A8,'Как есть'!CT:CT)</f>
        <v>0</v>
      </c>
      <c r="CT8">
        <f>SUMIF('Как есть'!$A:$A,Доп.расчеты!$A8,'Как есть'!CU:CU)</f>
        <v>0</v>
      </c>
      <c r="CU8">
        <f>SUMIF('Как есть'!$A:$A,Доп.расчеты!$A8,'Как есть'!CV:CV)</f>
        <v>0</v>
      </c>
      <c r="CV8">
        <f>SUMIF('Как есть'!$A:$A,Доп.расчеты!$A8,'Как есть'!CW:CW)</f>
        <v>0</v>
      </c>
      <c r="CW8">
        <f>SUMIF('Как есть'!$A:$A,Доп.расчеты!$A8,'Как есть'!CX:CX)</f>
        <v>0</v>
      </c>
      <c r="CX8">
        <f>SUMIF('Как есть'!$A:$A,Доп.расчеты!$A8,'Как есть'!CY:CY)</f>
        <v>0</v>
      </c>
      <c r="CY8">
        <f>SUMIF('Как есть'!$A:$A,Доп.расчеты!$A8,'Как есть'!CZ:CZ)</f>
        <v>0</v>
      </c>
      <c r="CZ8">
        <f>SUMIF('Как есть'!$A:$A,Доп.расчеты!$A8,'Как есть'!DA:DA)</f>
        <v>0</v>
      </c>
      <c r="DA8">
        <f>SUMIF('Как есть'!$A:$A,Доп.расчеты!$A8,'Как есть'!DB:DB)</f>
        <v>0</v>
      </c>
      <c r="DB8">
        <f>SUMIF('Как есть'!$A:$A,Доп.расчеты!$A8,'Как есть'!DC:DC)</f>
        <v>0</v>
      </c>
      <c r="DC8">
        <f>SUMIF('Как есть'!$A:$A,Доп.расчеты!$A8,'Как есть'!DD:DD)</f>
        <v>0</v>
      </c>
      <c r="DD8">
        <f>SUMIF('Как есть'!$A:$A,Доп.расчеты!$A8,'Как есть'!DE:DE)</f>
        <v>0</v>
      </c>
      <c r="DE8">
        <f>SUMIF('Как есть'!$A:$A,Доп.расчеты!$A8,'Как есть'!DF:DF)</f>
        <v>0</v>
      </c>
      <c r="DF8">
        <f>SUMIF('Как есть'!$A:$A,Доп.расчеты!$A8,'Как есть'!DG:DG)</f>
        <v>0</v>
      </c>
      <c r="DG8">
        <f>SUMIF('Как есть'!$A:$A,Доп.расчеты!$A8,'Как есть'!DH:DH)</f>
        <v>0</v>
      </c>
      <c r="DH8">
        <f>SUMIF('Как есть'!$A:$A,Доп.расчеты!$A8,'Как есть'!DI:DI)</f>
        <v>0</v>
      </c>
      <c r="DI8">
        <f>SUMIF('Как есть'!$A:$A,Доп.расчеты!$A8,'Как есть'!DJ:DJ)</f>
        <v>0</v>
      </c>
      <c r="DJ8">
        <f>SUMIF('Как есть'!$A:$A,Доп.расчеты!$A8,'Как есть'!DK:DK)</f>
        <v>0</v>
      </c>
      <c r="DK8">
        <f>SUMIF('Как есть'!$A:$A,Доп.расчеты!$A8,'Как есть'!DL:DL)</f>
        <v>0</v>
      </c>
      <c r="DL8">
        <f>SUMIF('Как есть'!$A:$A,Доп.расчеты!$A8,'Как есть'!DM:DM)</f>
        <v>0</v>
      </c>
      <c r="DM8">
        <f>SUMIF('Как есть'!$A:$A,Доп.расчеты!$A8,'Как есть'!DN:DN)</f>
        <v>0</v>
      </c>
      <c r="DN8">
        <f>SUMIF('Как есть'!$A:$A,Доп.расчеты!$A8,'Как есть'!DO:DO)</f>
        <v>0</v>
      </c>
      <c r="DO8">
        <f>SUMIF('Как есть'!$A:$A,Доп.расчеты!$A8,'Как есть'!DP:DP)</f>
        <v>0</v>
      </c>
      <c r="DP8">
        <f>SUMIF('Как есть'!$A:$A,Доп.расчеты!$A8,'Как есть'!DQ:DQ)</f>
        <v>0</v>
      </c>
      <c r="DQ8">
        <f>SUMIF('Как есть'!$A:$A,Доп.расчеты!$A8,'Как есть'!DR:DR)</f>
        <v>0</v>
      </c>
      <c r="DR8">
        <f>SUMIF('Как есть'!$A:$A,Доп.расчеты!$A8,'Как есть'!DS:DS)</f>
        <v>0</v>
      </c>
      <c r="DS8">
        <f>SUMIF('Как есть'!$A:$A,Доп.расчеты!$A8,'Как есть'!DT:DT)</f>
        <v>0</v>
      </c>
      <c r="DT8">
        <f>SUMIF('Как есть'!$A:$A,Доп.расчеты!$A8,'Как есть'!DU:DU)</f>
        <v>0</v>
      </c>
      <c r="DU8">
        <f>SUMIF('Как есть'!$A:$A,Доп.расчеты!$A8,'Как есть'!DV:DV)</f>
        <v>0</v>
      </c>
      <c r="DV8">
        <f>SUMIF('Как есть'!$A:$A,Доп.расчеты!$A8,'Как есть'!DW:DW)</f>
        <v>0</v>
      </c>
      <c r="DW8">
        <f>SUMIF('Как есть'!$A:$A,Доп.расчеты!$A8,'Как есть'!DX:DX)</f>
        <v>0</v>
      </c>
      <c r="DX8">
        <f>SUMIF('Как есть'!$A:$A,Доп.расчеты!$A8,'Как есть'!DY:DY)</f>
        <v>0</v>
      </c>
      <c r="DY8">
        <f>SUMIF('Как есть'!$A:$A,Доп.расчеты!$A8,'Как есть'!DZ:DZ)</f>
        <v>0</v>
      </c>
      <c r="DZ8">
        <f>SUMIF('Как есть'!$A:$A,Доп.расчеты!$A8,'Как есть'!EA:EA)</f>
        <v>0</v>
      </c>
      <c r="EA8">
        <f>SUMIF('Как есть'!$A:$A,Доп.расчеты!$A8,'Как есть'!EB:EB)</f>
        <v>0</v>
      </c>
      <c r="EB8">
        <f>SUMIF('Как есть'!$A:$A,Доп.расчеты!$A8,'Как есть'!EC:EC)</f>
        <v>0</v>
      </c>
      <c r="EC8">
        <f>SUMIF('Как есть'!$A:$A,Доп.расчеты!$A8,'Как есть'!ED:ED)</f>
        <v>0</v>
      </c>
      <c r="ED8">
        <f>SUMIF('Как есть'!$A:$A,Доп.расчеты!$A8,'Как есть'!EE:EE)</f>
        <v>0</v>
      </c>
      <c r="EE8">
        <f>SUMIF('Как есть'!$A:$A,Доп.расчеты!$A8,'Как есть'!EF:EF)</f>
        <v>0</v>
      </c>
      <c r="EF8">
        <f>SUMIF('Как есть'!$A:$A,Доп.расчеты!$A8,'Как есть'!EG:EG)</f>
        <v>0</v>
      </c>
      <c r="EG8">
        <f>SUMIF('Как есть'!$A:$A,Доп.расчеты!$A8,'Как есть'!EH:EH)</f>
        <v>0</v>
      </c>
      <c r="EH8">
        <f>SUMIF('Как есть'!$A:$A,Доп.расчеты!$A8,'Как есть'!EI:EI)</f>
        <v>0</v>
      </c>
      <c r="EI8">
        <f>SUMIF('Как есть'!$A:$A,Доп.расчеты!$A8,'Как есть'!EJ:EJ)</f>
        <v>0</v>
      </c>
      <c r="EJ8">
        <f>SUMIF('Как есть'!$A:$A,Доп.расчеты!$A8,'Как есть'!EK:EK)</f>
        <v>0</v>
      </c>
      <c r="EK8">
        <f>SUMIF('Как есть'!$A:$A,Доп.расчеты!$A8,'Как есть'!EL:EL)</f>
        <v>0</v>
      </c>
      <c r="EL8">
        <f>SUMIF('Как есть'!$A:$A,Доп.расчеты!$A8,'Как есть'!EM:EM)</f>
        <v>0</v>
      </c>
      <c r="EM8">
        <f>SUMIF('Как есть'!$A:$A,Доп.расчеты!$A8,'Как есть'!EN:EN)</f>
        <v>0</v>
      </c>
      <c r="EN8">
        <f>SUMIF('Как есть'!$A:$A,Доп.расчеты!$A8,'Как есть'!EO:EO)</f>
        <v>0</v>
      </c>
      <c r="EO8">
        <f>SUMIF('Как есть'!$A:$A,Доп.расчеты!$A8,'Как есть'!EP:EP)</f>
        <v>0</v>
      </c>
      <c r="EP8">
        <f>SUMIF('Как есть'!$A:$A,Доп.расчеты!$A8,'Как есть'!EQ:EQ)</f>
        <v>0</v>
      </c>
      <c r="EQ8">
        <f>SUMIF('Как есть'!$A:$A,Доп.расчеты!$A8,'Как есть'!ER:ER)</f>
        <v>0</v>
      </c>
      <c r="ER8">
        <f>SUMIF('Как есть'!$A:$A,Доп.расчеты!$A8,'Как есть'!ES:ES)</f>
        <v>0</v>
      </c>
      <c r="ES8">
        <f>SUMIF('Как есть'!$A:$A,Доп.расчеты!$A8,'Как есть'!ET:ET)</f>
        <v>0</v>
      </c>
      <c r="ET8">
        <f>SUMIF('Как есть'!$A:$A,Доп.расчеты!$A8,'Как есть'!EU:EU)</f>
        <v>0</v>
      </c>
      <c r="EU8">
        <f>SUMIF('Как есть'!$A:$A,Доп.расчеты!$A8,'Как есть'!EV:EV)</f>
        <v>0</v>
      </c>
      <c r="EV8">
        <f>SUMIF('Как есть'!$A:$A,Доп.расчеты!$A8,'Как есть'!EW:EW)</f>
        <v>0</v>
      </c>
      <c r="EW8">
        <f>SUMIF('Как есть'!$A:$A,Доп.расчеты!$A8,'Как есть'!EX:EX)</f>
        <v>0</v>
      </c>
      <c r="EX8">
        <f>SUMIF('Как есть'!$A:$A,Доп.расчеты!$A8,'Как есть'!EY:EY)</f>
        <v>0</v>
      </c>
      <c r="EY8">
        <f>SUMIF('Как есть'!$A:$A,Доп.расчеты!$A8,'Как есть'!EZ:EZ)</f>
        <v>0</v>
      </c>
      <c r="EZ8">
        <f>SUMIF('Как есть'!$A:$A,Доп.расчеты!$A8,'Как есть'!FA:FA)</f>
        <v>0</v>
      </c>
      <c r="FA8">
        <f>SUMIF('Как есть'!$A:$A,Доп.расчеты!$A8,'Как есть'!FB:FB)</f>
        <v>0</v>
      </c>
      <c r="FB8">
        <f>SUMIF('Как есть'!$A:$A,Доп.расчеты!$A8,'Как есть'!FC:FC)</f>
        <v>0</v>
      </c>
      <c r="FC8">
        <f>SUMIF('Как есть'!$A:$A,Доп.расчеты!$A8,'Как есть'!FD:FD)</f>
        <v>0</v>
      </c>
      <c r="FD8">
        <f>SUMIF('Как есть'!$A:$A,Доп.расчеты!$A8,'Как есть'!FE:FE)</f>
        <v>0</v>
      </c>
      <c r="FE8">
        <f>SUMIF('Как есть'!$A:$A,Доп.расчеты!$A8,'Как есть'!FF:FF)</f>
        <v>0</v>
      </c>
      <c r="FF8">
        <f>SUMIF('Как есть'!$A:$A,Доп.расчеты!$A8,'Как есть'!FG:FG)</f>
        <v>0</v>
      </c>
      <c r="FG8">
        <f>SUMIF('Как есть'!$A:$A,Доп.расчеты!$A8,'Как есть'!FH:FH)</f>
        <v>0</v>
      </c>
      <c r="FH8">
        <f>SUMIF('Как есть'!$A:$A,Доп.расчеты!$A8,'Как есть'!FI:FI)</f>
        <v>0</v>
      </c>
      <c r="FI8">
        <f>SUMIF('Как есть'!$A:$A,Доп.расчеты!$A8,'Как есть'!FJ:FJ)</f>
        <v>0</v>
      </c>
      <c r="FJ8">
        <f>SUMIF('Как есть'!$A:$A,Доп.расчеты!$A8,'Как есть'!FK:FK)</f>
        <v>0</v>
      </c>
      <c r="FK8">
        <f>SUMIF('Как есть'!$A:$A,Доп.расчеты!$A8,'Как есть'!FL:FL)</f>
        <v>0</v>
      </c>
      <c r="FL8">
        <f>SUMIF('Как есть'!$A:$A,Доп.расчеты!$A8,'Как есть'!FM:FM)</f>
        <v>0</v>
      </c>
      <c r="FM8">
        <f>SUMIF('Как есть'!$A:$A,Доп.расчеты!$A8,'Как есть'!FN:FN)</f>
        <v>0</v>
      </c>
      <c r="FN8">
        <f>SUMIF('Как есть'!$A:$A,Доп.расчеты!$A8,'Как есть'!FO:FO)</f>
        <v>0</v>
      </c>
      <c r="FO8">
        <f>SUMIF('Как есть'!$A:$A,Доп.расчеты!$A8,'Как есть'!FP:FP)</f>
        <v>0</v>
      </c>
      <c r="FP8">
        <f>SUMIF('Как есть'!$A:$A,Доп.расчеты!$A8,'Как есть'!FQ:FQ)</f>
        <v>0</v>
      </c>
      <c r="FQ8">
        <f>SUMIF('Как есть'!$A:$A,Доп.расчеты!$A8,'Как есть'!FR:FR)</f>
        <v>0</v>
      </c>
      <c r="FR8">
        <f>SUMIF('Как есть'!$A:$A,Доп.расчеты!$A8,'Как есть'!FS:FS)</f>
        <v>0</v>
      </c>
      <c r="FS8">
        <f>SUMIF('Как есть'!$A:$A,Доп.расчеты!$A8,'Как есть'!FT:FT)</f>
        <v>0</v>
      </c>
      <c r="FT8">
        <f>SUMIF('Как есть'!$A:$A,Доп.расчеты!$A8,'Как есть'!FU:FU)</f>
        <v>0</v>
      </c>
      <c r="FU8">
        <f>SUMIF('Как есть'!$A:$A,Доп.расчеты!$A8,'Как есть'!FV:FV)</f>
        <v>0</v>
      </c>
      <c r="FV8">
        <f>SUMIF('Как есть'!$A:$A,Доп.расчеты!$A8,'Как есть'!FW:FW)</f>
        <v>0</v>
      </c>
      <c r="FW8">
        <f>SUMIF('Как есть'!$A:$A,Доп.расчеты!$A8,'Как есть'!FX:FX)</f>
        <v>0</v>
      </c>
      <c r="FX8">
        <f>SUMIF('Как есть'!$A:$A,Доп.расчеты!$A8,'Как есть'!FY:FY)</f>
        <v>0</v>
      </c>
      <c r="FY8">
        <f>SUMIF('Как есть'!$A:$A,Доп.расчеты!$A8,'Как есть'!FZ:FZ)</f>
        <v>0</v>
      </c>
      <c r="FZ8">
        <f>SUMIF('Как есть'!$A:$A,Доп.расчеты!$A8,'Как есть'!GA:GA)</f>
        <v>0</v>
      </c>
      <c r="GA8">
        <f>SUMIF('Как есть'!$A:$A,Доп.расчеты!$A8,'Как есть'!GB:GB)</f>
        <v>0</v>
      </c>
      <c r="GB8">
        <f>SUMIF('Как есть'!$A:$A,Доп.расчеты!$A8,'Как есть'!GC:GC)</f>
        <v>0</v>
      </c>
      <c r="GC8">
        <f>SUMIF('Как есть'!$A:$A,Доп.расчеты!$A8,'Как есть'!GD:GD)</f>
        <v>0</v>
      </c>
      <c r="GD8">
        <f>SUMIF('Как есть'!$A:$A,Доп.расчеты!$A8,'Как есть'!GE:GE)</f>
        <v>0</v>
      </c>
      <c r="GE8">
        <f>SUMIF('Как есть'!$A:$A,Доп.расчеты!$A8,'Как есть'!GF:GF)</f>
        <v>0</v>
      </c>
      <c r="GF8">
        <f>SUMIF('Как есть'!$A:$A,Доп.расчеты!$A8,'Как есть'!GG:GG)</f>
        <v>0</v>
      </c>
      <c r="GG8">
        <f>SUMIF('Как есть'!$A:$A,Доп.расчеты!$A8,'Как есть'!GH:GH)</f>
        <v>0</v>
      </c>
      <c r="GH8">
        <f>SUMIF('Как есть'!$A:$A,Доп.расчеты!$A8,'Как есть'!GI:GI)</f>
        <v>0</v>
      </c>
      <c r="GI8">
        <f>SUMIF('Как есть'!$A:$A,Доп.расчеты!$A8,'Как есть'!GJ:GJ)</f>
        <v>0</v>
      </c>
      <c r="GJ8">
        <f>SUMIF('Как есть'!$A:$A,Доп.расчеты!$A8,'Как есть'!GK:GK)</f>
        <v>0</v>
      </c>
      <c r="GK8">
        <f>SUMIF('Как есть'!$A:$A,Доп.расчеты!$A8,'Как есть'!GL:GL)</f>
        <v>0</v>
      </c>
      <c r="GL8">
        <f>SUMIF('Как есть'!$A:$A,Доп.расчеты!$A8,'Как есть'!GM:GM)</f>
        <v>0</v>
      </c>
      <c r="GM8">
        <f>SUMIF('Как есть'!$A:$A,Доп.расчеты!$A8,'Как есть'!GN:GN)</f>
        <v>0</v>
      </c>
      <c r="GN8">
        <f>SUMIF('Как есть'!$A:$A,Доп.расчеты!$A8,'Как есть'!GO:GO)</f>
        <v>0</v>
      </c>
      <c r="GO8">
        <f>SUMIF('Как есть'!$A:$A,Доп.расчеты!$A8,'Как есть'!GP:GP)</f>
        <v>0</v>
      </c>
      <c r="GP8">
        <f>SUMIF('Как есть'!$A:$A,Доп.расчеты!$A8,'Как есть'!GQ:GQ)</f>
        <v>0</v>
      </c>
      <c r="GQ8">
        <f>SUMIF('Как есть'!$A:$A,Доп.расчеты!$A8,'Как есть'!GR:GR)</f>
        <v>0</v>
      </c>
      <c r="GR8">
        <f>SUMIF('Как есть'!$A:$A,Доп.расчеты!$A8,'Как есть'!GS:GS)</f>
        <v>0</v>
      </c>
      <c r="GS8">
        <f>SUMIF('Как есть'!$A:$A,Доп.расчеты!$A8,'Как есть'!GT:GT)</f>
        <v>0</v>
      </c>
      <c r="GT8">
        <f>SUMIF('Как есть'!$A:$A,Доп.расчеты!$A8,'Как есть'!GU:GU)</f>
        <v>0</v>
      </c>
    </row>
    <row r="10" spans="1:202">
      <c r="A10" s="58"/>
    </row>
    <row r="11" spans="1:202">
      <c r="A11" s="57" t="s">
        <v>139</v>
      </c>
    </row>
    <row r="12" spans="1:202">
      <c r="A12" s="242" t="s">
        <v>63</v>
      </c>
      <c r="B12">
        <f>SUMIF('Как будет'!$A:$A,Доп.расчеты!$A12,'Как будет'!C:C)</f>
        <v>0</v>
      </c>
      <c r="C12">
        <f>SUMIF('Как будет'!$A:$A,Доп.расчеты!$A12,'Как будет'!D:D)</f>
        <v>0</v>
      </c>
      <c r="D12">
        <f>SUMIF('Как будет'!$A:$A,Доп.расчеты!$A12,'Как будет'!E:E)</f>
        <v>0</v>
      </c>
      <c r="E12">
        <f>SUMIF('Как будет'!$A:$A,Доп.расчеты!$A12,'Как будет'!F:F)</f>
        <v>0</v>
      </c>
      <c r="F12">
        <f>SUMIF('Как будет'!$A:$A,Доп.расчеты!$A12,'Как будет'!G:G)</f>
        <v>0</v>
      </c>
      <c r="G12">
        <f>SUMIF('Как будет'!$A:$A,Доп.расчеты!$A12,'Как будет'!H:H)</f>
        <v>0</v>
      </c>
      <c r="H12">
        <f>SUMIF('Как будет'!$A:$A,Доп.расчеты!$A12,'Как будет'!I:I)</f>
        <v>0</v>
      </c>
      <c r="I12">
        <f>SUMIF('Как будет'!$A:$A,Доп.расчеты!$A12,'Как будет'!J:J)</f>
        <v>0</v>
      </c>
      <c r="J12">
        <f>SUMIF('Как будет'!$A:$A,Доп.расчеты!$A12,'Как будет'!K:K)</f>
        <v>0</v>
      </c>
      <c r="K12">
        <f>SUMIF('Как будет'!$A:$A,Доп.расчеты!$A12,'Как будет'!L:L)</f>
        <v>0</v>
      </c>
      <c r="L12">
        <f>SUMIF('Как будет'!$A:$A,Доп.расчеты!$A12,'Как будет'!M:M)</f>
        <v>0</v>
      </c>
      <c r="M12">
        <f>SUMIF('Как будет'!$A:$A,Доп.расчеты!$A12,'Как будет'!N:N)</f>
        <v>0</v>
      </c>
      <c r="N12">
        <f>SUMIF('Как будет'!$A:$A,Доп.расчеты!$A12,'Как будет'!O:O)</f>
        <v>0</v>
      </c>
      <c r="O12">
        <f>SUMIF('Как будет'!$A:$A,Доп.расчеты!$A12,'Как будет'!P:P)</f>
        <v>0</v>
      </c>
      <c r="P12">
        <f>SUMIF('Как будет'!$A:$A,Доп.расчеты!$A12,'Как будет'!Q:Q)</f>
        <v>0</v>
      </c>
      <c r="Q12">
        <f>SUMIF('Как будет'!$A:$A,Доп.расчеты!$A12,'Как будет'!R:R)</f>
        <v>0</v>
      </c>
      <c r="R12">
        <f>SUMIF('Как будет'!$A:$A,Доп.расчеты!$A12,'Как будет'!S:S)</f>
        <v>0</v>
      </c>
      <c r="S12">
        <f>SUMIF('Как будет'!$A:$A,Доп.расчеты!$A12,'Как будет'!T:T)</f>
        <v>0</v>
      </c>
      <c r="T12">
        <f>SUMIF('Как будет'!$A:$A,Доп.расчеты!$A12,'Как будет'!U:U)</f>
        <v>0</v>
      </c>
      <c r="U12">
        <f>SUMIF('Как будет'!$A:$A,Доп.расчеты!$A12,'Как будет'!V:V)</f>
        <v>0</v>
      </c>
      <c r="V12">
        <f>SUMIF('Как будет'!$A:$A,Доп.расчеты!$A12,'Как будет'!W:W)</f>
        <v>0</v>
      </c>
      <c r="W12">
        <f>SUMIF('Как будет'!$A:$A,Доп.расчеты!$A12,'Как будет'!X:X)</f>
        <v>0</v>
      </c>
      <c r="X12">
        <f>SUMIF('Как будет'!$A:$A,Доп.расчеты!$A12,'Как будет'!Y:Y)</f>
        <v>0</v>
      </c>
      <c r="Y12">
        <f>SUMIF('Как будет'!$A:$A,Доп.расчеты!$A12,'Как будет'!Z:Z)</f>
        <v>0</v>
      </c>
      <c r="Z12">
        <f>SUMIF('Как будет'!$A:$A,Доп.расчеты!$A12,'Как будет'!AA:AA)</f>
        <v>0</v>
      </c>
      <c r="AA12">
        <f>SUMIF('Как будет'!$A:$A,Доп.расчеты!$A12,'Как будет'!AB:AB)</f>
        <v>0</v>
      </c>
      <c r="AB12">
        <f>SUMIF('Как будет'!$A:$A,Доп.расчеты!$A12,'Как будет'!AC:AC)</f>
        <v>0</v>
      </c>
      <c r="AC12">
        <f>SUMIF('Как будет'!$A:$A,Доп.расчеты!$A12,'Как будет'!AD:AD)</f>
        <v>0</v>
      </c>
      <c r="AD12">
        <f>SUMIF('Как будет'!$A:$A,Доп.расчеты!$A12,'Как будет'!AE:AE)</f>
        <v>0</v>
      </c>
      <c r="AE12">
        <f>SUMIF('Как будет'!$A:$A,Доп.расчеты!$A12,'Как будет'!AF:AF)</f>
        <v>0</v>
      </c>
      <c r="AF12">
        <f>SUMIF('Как будет'!$A:$A,Доп.расчеты!$A12,'Как будет'!AG:AG)</f>
        <v>0</v>
      </c>
      <c r="AG12">
        <f>SUMIF('Как будет'!$A:$A,Доп.расчеты!$A12,'Как будет'!AH:AH)</f>
        <v>0</v>
      </c>
      <c r="AH12">
        <f>SUMIF('Как будет'!$A:$A,Доп.расчеты!$A12,'Как будет'!AI:AI)</f>
        <v>0</v>
      </c>
      <c r="AI12">
        <f>SUMIF('Как будет'!$A:$A,Доп.расчеты!$A12,'Как будет'!AJ:AJ)</f>
        <v>0</v>
      </c>
      <c r="AJ12">
        <f>SUMIF('Как будет'!$A:$A,Доп.расчеты!$A12,'Как будет'!AK:AK)</f>
        <v>0</v>
      </c>
      <c r="AK12">
        <f>SUMIF('Как будет'!$A:$A,Доп.расчеты!$A12,'Как будет'!AL:AL)</f>
        <v>0</v>
      </c>
      <c r="AL12">
        <f>SUMIF('Как будет'!$A:$A,Доп.расчеты!$A12,'Как будет'!AM:AM)</f>
        <v>0</v>
      </c>
      <c r="AM12">
        <f>SUMIF('Как будет'!$A:$A,Доп.расчеты!$A12,'Как будет'!AN:AN)</f>
        <v>0</v>
      </c>
      <c r="AN12">
        <f>SUMIF('Как будет'!$A:$A,Доп.расчеты!$A12,'Как будет'!AO:AO)</f>
        <v>0</v>
      </c>
      <c r="AO12">
        <f>SUMIF('Как будет'!$A:$A,Доп.расчеты!$A12,'Как будет'!AP:AP)</f>
        <v>0</v>
      </c>
      <c r="AP12">
        <f>SUMIF('Как будет'!$A:$A,Доп.расчеты!$A12,'Как будет'!AQ:AQ)</f>
        <v>0</v>
      </c>
      <c r="AQ12">
        <f>SUMIF('Как будет'!$A:$A,Доп.расчеты!$A12,'Как будет'!AR:AR)</f>
        <v>0</v>
      </c>
      <c r="AR12">
        <f>SUMIF('Как будет'!$A:$A,Доп.расчеты!$A12,'Как будет'!AS:AS)</f>
        <v>0</v>
      </c>
      <c r="AS12">
        <f>SUMIF('Как будет'!$A:$A,Доп.расчеты!$A12,'Как будет'!AT:AT)</f>
        <v>0</v>
      </c>
      <c r="AT12">
        <f>SUMIF('Как будет'!$A:$A,Доп.расчеты!$A12,'Как будет'!AU:AU)</f>
        <v>0</v>
      </c>
      <c r="AU12">
        <f>SUMIF('Как будет'!$A:$A,Доп.расчеты!$A12,'Как будет'!AV:AV)</f>
        <v>0</v>
      </c>
      <c r="AV12">
        <f>SUMIF('Как будет'!$A:$A,Доп.расчеты!$A12,'Как будет'!AW:AW)</f>
        <v>0</v>
      </c>
      <c r="AW12">
        <f>SUMIF('Как будет'!$A:$A,Доп.расчеты!$A12,'Как будет'!AX:AX)</f>
        <v>0</v>
      </c>
      <c r="AX12">
        <f>SUMIF('Как будет'!$A:$A,Доп.расчеты!$A12,'Как будет'!AY:AY)</f>
        <v>0</v>
      </c>
      <c r="AY12">
        <f>SUMIF('Как будет'!$A:$A,Доп.расчеты!$A12,'Как будет'!AZ:AZ)</f>
        <v>0</v>
      </c>
      <c r="AZ12">
        <f>SUMIF('Как будет'!$A:$A,Доп.расчеты!$A12,'Как будет'!BA:BA)</f>
        <v>0</v>
      </c>
      <c r="BA12">
        <f>SUMIF('Как будет'!$A:$A,Доп.расчеты!$A12,'Как будет'!BB:BB)</f>
        <v>0</v>
      </c>
      <c r="BB12">
        <f>SUMIF('Как будет'!$A:$A,Доп.расчеты!$A12,'Как будет'!BC:BC)</f>
        <v>0</v>
      </c>
      <c r="BC12">
        <f>SUMIF('Как будет'!$A:$A,Доп.расчеты!$A12,'Как будет'!BD:BD)</f>
        <v>0</v>
      </c>
      <c r="BD12">
        <f>SUMIF('Как будет'!$A:$A,Доп.расчеты!$A12,'Как будет'!BE:BE)</f>
        <v>0</v>
      </c>
      <c r="BE12">
        <f>SUMIF('Как будет'!$A:$A,Доп.расчеты!$A12,'Как будет'!BF:BF)</f>
        <v>0</v>
      </c>
      <c r="BF12">
        <f>SUMIF('Как будет'!$A:$A,Доп.расчеты!$A12,'Как будет'!BG:BG)</f>
        <v>0</v>
      </c>
      <c r="BG12">
        <f>SUMIF('Как будет'!$A:$A,Доп.расчеты!$A12,'Как будет'!BH:BH)</f>
        <v>0</v>
      </c>
      <c r="BH12">
        <f>SUMIF('Как будет'!$A:$A,Доп.расчеты!$A12,'Как будет'!BI:BI)</f>
        <v>0</v>
      </c>
      <c r="BI12">
        <f>SUMIF('Как будет'!$A:$A,Доп.расчеты!$A12,'Как будет'!BJ:BJ)</f>
        <v>0</v>
      </c>
      <c r="BJ12">
        <f>SUMIF('Как будет'!$A:$A,Доп.расчеты!$A12,'Как будет'!BK:BK)</f>
        <v>0</v>
      </c>
      <c r="BK12">
        <f>SUMIF('Как будет'!$A:$A,Доп.расчеты!$A12,'Как будет'!BL:BL)</f>
        <v>0</v>
      </c>
      <c r="BL12">
        <f>SUMIF('Как будет'!$A:$A,Доп.расчеты!$A12,'Как будет'!BM:BM)</f>
        <v>0</v>
      </c>
      <c r="BM12">
        <f>SUMIF('Как будет'!$A:$A,Доп.расчеты!$A12,'Как будет'!BN:BN)</f>
        <v>0</v>
      </c>
      <c r="BN12">
        <f>SUMIF('Как будет'!$A:$A,Доп.расчеты!$A12,'Как будет'!BO:BO)</f>
        <v>0</v>
      </c>
      <c r="BO12">
        <f>SUMIF('Как будет'!$A:$A,Доп.расчеты!$A12,'Как будет'!BP:BP)</f>
        <v>0</v>
      </c>
      <c r="BP12">
        <f>SUMIF('Как будет'!$A:$A,Доп.расчеты!$A12,'Как будет'!BQ:BQ)</f>
        <v>0</v>
      </c>
      <c r="BQ12">
        <f>SUMIF('Как будет'!$A:$A,Доп.расчеты!$A12,'Как будет'!BR:BR)</f>
        <v>0</v>
      </c>
      <c r="BR12">
        <f>SUMIF('Как будет'!$A:$A,Доп.расчеты!$A12,'Как будет'!BS:BS)</f>
        <v>0</v>
      </c>
      <c r="BS12">
        <f>SUMIF('Как будет'!$A:$A,Доп.расчеты!$A12,'Как будет'!BT:BT)</f>
        <v>0</v>
      </c>
      <c r="BT12">
        <f>SUMIF('Как будет'!$A:$A,Доп.расчеты!$A12,'Как будет'!BU:BU)</f>
        <v>0</v>
      </c>
      <c r="BU12">
        <f>SUMIF('Как будет'!$A:$A,Доп.расчеты!$A12,'Как будет'!BV:BV)</f>
        <v>0</v>
      </c>
      <c r="BV12">
        <f>SUMIF('Как будет'!$A:$A,Доп.расчеты!$A12,'Как будет'!BW:BW)</f>
        <v>0</v>
      </c>
      <c r="BW12">
        <f>SUMIF('Как будет'!$A:$A,Доп.расчеты!$A12,'Как будет'!BX:BX)</f>
        <v>0</v>
      </c>
      <c r="BX12">
        <f>SUMIF('Как будет'!$A:$A,Доп.расчеты!$A12,'Как будет'!BY:BY)</f>
        <v>0</v>
      </c>
      <c r="BY12">
        <f>SUMIF('Как будет'!$A:$A,Доп.расчеты!$A12,'Как будет'!BZ:BZ)</f>
        <v>0</v>
      </c>
      <c r="BZ12">
        <f>SUMIF('Как будет'!$A:$A,Доп.расчеты!$A12,'Как будет'!CA:CA)</f>
        <v>0</v>
      </c>
      <c r="CA12">
        <f>SUMIF('Как будет'!$A:$A,Доп.расчеты!$A12,'Как будет'!CB:CB)</f>
        <v>0</v>
      </c>
      <c r="CB12">
        <f>SUMIF('Как будет'!$A:$A,Доп.расчеты!$A12,'Как будет'!CC:CC)</f>
        <v>0</v>
      </c>
      <c r="CC12">
        <f>SUMIF('Как будет'!$A:$A,Доп.расчеты!$A12,'Как будет'!CD:CD)</f>
        <v>0</v>
      </c>
      <c r="CD12">
        <f>SUMIF('Как будет'!$A:$A,Доп.расчеты!$A12,'Как будет'!CE:CE)</f>
        <v>0</v>
      </c>
      <c r="CE12">
        <f>SUMIF('Как будет'!$A:$A,Доп.расчеты!$A12,'Как будет'!CF:CF)</f>
        <v>0</v>
      </c>
      <c r="CF12">
        <f>SUMIF('Как будет'!$A:$A,Доп.расчеты!$A12,'Как будет'!CG:CG)</f>
        <v>0</v>
      </c>
      <c r="CG12">
        <f>SUMIF('Как будет'!$A:$A,Доп.расчеты!$A12,'Как будет'!CH:CH)</f>
        <v>0</v>
      </c>
      <c r="CH12">
        <f>SUMIF('Как будет'!$A:$A,Доп.расчеты!$A12,'Как будет'!CI:CI)</f>
        <v>0</v>
      </c>
      <c r="CI12">
        <f>SUMIF('Как будет'!$A:$A,Доп.расчеты!$A12,'Как будет'!CJ:CJ)</f>
        <v>0</v>
      </c>
      <c r="CJ12">
        <f>SUMIF('Как будет'!$A:$A,Доп.расчеты!$A12,'Как будет'!CK:CK)</f>
        <v>0</v>
      </c>
      <c r="CK12">
        <f>SUMIF('Как будет'!$A:$A,Доп.расчеты!$A12,'Как будет'!CL:CL)</f>
        <v>0</v>
      </c>
      <c r="CL12">
        <f>SUMIF('Как будет'!$A:$A,Доп.расчеты!$A12,'Как будет'!CM:CM)</f>
        <v>0</v>
      </c>
      <c r="CM12">
        <f>SUMIF('Как будет'!$A:$A,Доп.расчеты!$A12,'Как будет'!CN:CN)</f>
        <v>0</v>
      </c>
      <c r="CN12">
        <f>SUMIF('Как будет'!$A:$A,Доп.расчеты!$A12,'Как будет'!CO:CO)</f>
        <v>0</v>
      </c>
      <c r="CO12">
        <f>SUMIF('Как будет'!$A:$A,Доп.расчеты!$A12,'Как будет'!CP:CP)</f>
        <v>0</v>
      </c>
      <c r="CP12">
        <f>SUMIF('Как будет'!$A:$A,Доп.расчеты!$A12,'Как будет'!CQ:CQ)</f>
        <v>0</v>
      </c>
      <c r="CQ12">
        <f>SUMIF('Как будет'!$A:$A,Доп.расчеты!$A12,'Как будет'!CR:CR)</f>
        <v>0</v>
      </c>
      <c r="CR12">
        <f>SUMIF('Как будет'!$A:$A,Доп.расчеты!$A12,'Как будет'!CS:CS)</f>
        <v>0</v>
      </c>
      <c r="CS12">
        <f>SUMIF('Как будет'!$A:$A,Доп.расчеты!$A12,'Как будет'!CT:CT)</f>
        <v>0</v>
      </c>
      <c r="CT12">
        <f>SUMIF('Как будет'!$A:$A,Доп.расчеты!$A12,'Как будет'!CU:CU)</f>
        <v>0</v>
      </c>
      <c r="CU12">
        <f>SUMIF('Как будет'!$A:$A,Доп.расчеты!$A12,'Как будет'!CV:CV)</f>
        <v>0</v>
      </c>
      <c r="CV12">
        <f>SUMIF('Как будет'!$A:$A,Доп.расчеты!$A12,'Как будет'!CW:CW)</f>
        <v>0</v>
      </c>
      <c r="CW12">
        <f>SUMIF('Как будет'!$A:$A,Доп.расчеты!$A12,'Как будет'!CX:CX)</f>
        <v>0</v>
      </c>
      <c r="CX12">
        <f>SUMIF('Как будет'!$A:$A,Доп.расчеты!$A12,'Как будет'!CY:CY)</f>
        <v>0</v>
      </c>
      <c r="CY12">
        <f>SUMIF('Как будет'!$A:$A,Доп.расчеты!$A12,'Как будет'!CZ:CZ)</f>
        <v>0</v>
      </c>
      <c r="CZ12">
        <f>SUMIF('Как будет'!$A:$A,Доп.расчеты!$A12,'Как будет'!DA:DA)</f>
        <v>0</v>
      </c>
      <c r="DA12">
        <f>SUMIF('Как будет'!$A:$A,Доп.расчеты!$A12,'Как будет'!DB:DB)</f>
        <v>0</v>
      </c>
      <c r="DB12">
        <f>SUMIF('Как будет'!$A:$A,Доп.расчеты!$A12,'Как будет'!DC:DC)</f>
        <v>0</v>
      </c>
      <c r="DC12">
        <f>SUMIF('Как будет'!$A:$A,Доп.расчеты!$A12,'Как будет'!DD:DD)</f>
        <v>0</v>
      </c>
      <c r="DD12">
        <f>SUMIF('Как будет'!$A:$A,Доп.расчеты!$A12,'Как будет'!DE:DE)</f>
        <v>0</v>
      </c>
      <c r="DE12">
        <f>SUMIF('Как будет'!$A:$A,Доп.расчеты!$A12,'Как будет'!DF:DF)</f>
        <v>0</v>
      </c>
      <c r="DF12">
        <f>SUMIF('Как будет'!$A:$A,Доп.расчеты!$A12,'Как будет'!DG:DG)</f>
        <v>0</v>
      </c>
      <c r="DG12">
        <f>SUMIF('Как будет'!$A:$A,Доп.расчеты!$A12,'Как будет'!DH:DH)</f>
        <v>0</v>
      </c>
      <c r="DH12">
        <f>SUMIF('Как будет'!$A:$A,Доп.расчеты!$A12,'Как будет'!DI:DI)</f>
        <v>0</v>
      </c>
      <c r="DI12">
        <f>SUMIF('Как будет'!$A:$A,Доп.расчеты!$A12,'Как будет'!DJ:DJ)</f>
        <v>0</v>
      </c>
      <c r="DJ12">
        <f>SUMIF('Как будет'!$A:$A,Доп.расчеты!$A12,'Как будет'!DK:DK)</f>
        <v>0</v>
      </c>
      <c r="DK12">
        <f>SUMIF('Как будет'!$A:$A,Доп.расчеты!$A12,'Как будет'!DL:DL)</f>
        <v>0</v>
      </c>
      <c r="DL12">
        <f>SUMIF('Как будет'!$A:$A,Доп.расчеты!$A12,'Как будет'!DM:DM)</f>
        <v>0</v>
      </c>
      <c r="DM12">
        <f>SUMIF('Как будет'!$A:$A,Доп.расчеты!$A12,'Как будет'!DN:DN)</f>
        <v>0</v>
      </c>
      <c r="DN12">
        <f>SUMIF('Как будет'!$A:$A,Доп.расчеты!$A12,'Как будет'!DO:DO)</f>
        <v>0</v>
      </c>
      <c r="DO12">
        <f>SUMIF('Как будет'!$A:$A,Доп.расчеты!$A12,'Как будет'!DP:DP)</f>
        <v>0</v>
      </c>
      <c r="DP12">
        <f>SUMIF('Как будет'!$A:$A,Доп.расчеты!$A12,'Как будет'!DQ:DQ)</f>
        <v>0</v>
      </c>
      <c r="DQ12">
        <f>SUMIF('Как будет'!$A:$A,Доп.расчеты!$A12,'Как будет'!DR:DR)</f>
        <v>0</v>
      </c>
      <c r="DR12">
        <f>SUMIF('Как будет'!$A:$A,Доп.расчеты!$A12,'Как будет'!DS:DS)</f>
        <v>0</v>
      </c>
      <c r="DS12">
        <f>SUMIF('Как будет'!$A:$A,Доп.расчеты!$A12,'Как будет'!DT:DT)</f>
        <v>0</v>
      </c>
      <c r="DT12">
        <f>SUMIF('Как будет'!$A:$A,Доп.расчеты!$A12,'Как будет'!DU:DU)</f>
        <v>0</v>
      </c>
      <c r="DU12">
        <f>SUMIF('Как будет'!$A:$A,Доп.расчеты!$A12,'Как будет'!DV:DV)</f>
        <v>0</v>
      </c>
      <c r="DV12">
        <f>SUMIF('Как будет'!$A:$A,Доп.расчеты!$A12,'Как будет'!DW:DW)</f>
        <v>0</v>
      </c>
      <c r="DW12">
        <f>SUMIF('Как будет'!$A:$A,Доп.расчеты!$A12,'Как будет'!DX:DX)</f>
        <v>0</v>
      </c>
      <c r="DX12">
        <f>SUMIF('Как будет'!$A:$A,Доп.расчеты!$A12,'Как будет'!DY:DY)</f>
        <v>0</v>
      </c>
      <c r="DY12">
        <f>SUMIF('Как будет'!$A:$A,Доп.расчеты!$A12,'Как будет'!DZ:DZ)</f>
        <v>0</v>
      </c>
      <c r="DZ12">
        <f>SUMIF('Как будет'!$A:$A,Доп.расчеты!$A12,'Как будет'!EA:EA)</f>
        <v>0</v>
      </c>
      <c r="EA12">
        <f>SUMIF('Как будет'!$A:$A,Доп.расчеты!$A12,'Как будет'!EB:EB)</f>
        <v>0</v>
      </c>
      <c r="EB12">
        <f>SUMIF('Как будет'!$A:$A,Доп.расчеты!$A12,'Как будет'!EC:EC)</f>
        <v>0</v>
      </c>
      <c r="EC12">
        <f>SUMIF('Как будет'!$A:$A,Доп.расчеты!$A12,'Как будет'!ED:ED)</f>
        <v>0</v>
      </c>
      <c r="ED12">
        <f>SUMIF('Как будет'!$A:$A,Доп.расчеты!$A12,'Как будет'!EE:EE)</f>
        <v>0</v>
      </c>
      <c r="EE12">
        <f>SUMIF('Как будет'!$A:$A,Доп.расчеты!$A12,'Как будет'!EF:EF)</f>
        <v>0</v>
      </c>
      <c r="EF12">
        <f>SUMIF('Как будет'!$A:$A,Доп.расчеты!$A12,'Как будет'!EG:EG)</f>
        <v>0</v>
      </c>
      <c r="EG12">
        <f>SUMIF('Как будет'!$A:$A,Доп.расчеты!$A12,'Как будет'!EH:EH)</f>
        <v>0</v>
      </c>
      <c r="EH12">
        <f>SUMIF('Как будет'!$A:$A,Доп.расчеты!$A12,'Как будет'!EI:EI)</f>
        <v>0</v>
      </c>
      <c r="EI12">
        <f>SUMIF('Как будет'!$A:$A,Доп.расчеты!$A12,'Как будет'!EJ:EJ)</f>
        <v>0</v>
      </c>
      <c r="EJ12">
        <f>SUMIF('Как будет'!$A:$A,Доп.расчеты!$A12,'Как будет'!EK:EK)</f>
        <v>0</v>
      </c>
      <c r="EK12">
        <f>SUMIF('Как будет'!$A:$A,Доп.расчеты!$A12,'Как будет'!EL:EL)</f>
        <v>0</v>
      </c>
      <c r="EL12">
        <f>SUMIF('Как будет'!$A:$A,Доп.расчеты!$A12,'Как будет'!EM:EM)</f>
        <v>0</v>
      </c>
      <c r="EM12">
        <f>SUMIF('Как будет'!$A:$A,Доп.расчеты!$A12,'Как будет'!EN:EN)</f>
        <v>0</v>
      </c>
      <c r="EN12">
        <f>SUMIF('Как будет'!$A:$A,Доп.расчеты!$A12,'Как будет'!EO:EO)</f>
        <v>0</v>
      </c>
      <c r="EO12">
        <f>SUMIF('Как будет'!$A:$A,Доп.расчеты!$A12,'Как будет'!EP:EP)</f>
        <v>0</v>
      </c>
      <c r="EP12">
        <f>SUMIF('Как будет'!$A:$A,Доп.расчеты!$A12,'Как будет'!EQ:EQ)</f>
        <v>0</v>
      </c>
      <c r="EQ12">
        <f>SUMIF('Как будет'!$A:$A,Доп.расчеты!$A12,'Как будет'!ER:ER)</f>
        <v>0</v>
      </c>
      <c r="ER12">
        <f>SUMIF('Как будет'!$A:$A,Доп.расчеты!$A12,'Как будет'!ES:ES)</f>
        <v>0</v>
      </c>
      <c r="ES12">
        <f>SUMIF('Как будет'!$A:$A,Доп.расчеты!$A12,'Как будет'!ET:ET)</f>
        <v>0</v>
      </c>
      <c r="ET12">
        <f>SUMIF('Как будет'!$A:$A,Доп.расчеты!$A12,'Как будет'!EU:EU)</f>
        <v>0</v>
      </c>
      <c r="EU12">
        <f>SUMIF('Как будет'!$A:$A,Доп.расчеты!$A12,'Как будет'!EV:EV)</f>
        <v>0</v>
      </c>
      <c r="EV12">
        <f>SUMIF('Как будет'!$A:$A,Доп.расчеты!$A12,'Как будет'!EW:EW)</f>
        <v>0</v>
      </c>
      <c r="EW12">
        <f>SUMIF('Как будет'!$A:$A,Доп.расчеты!$A12,'Как будет'!EX:EX)</f>
        <v>0</v>
      </c>
      <c r="EX12">
        <f>SUMIF('Как будет'!$A:$A,Доп.расчеты!$A12,'Как будет'!EY:EY)</f>
        <v>0</v>
      </c>
      <c r="EY12">
        <f>SUMIF('Как будет'!$A:$A,Доп.расчеты!$A12,'Как будет'!EZ:EZ)</f>
        <v>0</v>
      </c>
      <c r="EZ12">
        <f>SUMIF('Как будет'!$A:$A,Доп.расчеты!$A12,'Как будет'!FA:FA)</f>
        <v>0</v>
      </c>
      <c r="FA12">
        <f>SUMIF('Как будет'!$A:$A,Доп.расчеты!$A12,'Как будет'!FB:FB)</f>
        <v>0</v>
      </c>
      <c r="FB12">
        <f>SUMIF('Как будет'!$A:$A,Доп.расчеты!$A12,'Как будет'!FC:FC)</f>
        <v>0</v>
      </c>
      <c r="FC12">
        <f>SUMIF('Как будет'!$A:$A,Доп.расчеты!$A12,'Как будет'!FD:FD)</f>
        <v>0</v>
      </c>
      <c r="FD12">
        <f>SUMIF('Как будет'!$A:$A,Доп.расчеты!$A12,'Как будет'!FE:FE)</f>
        <v>0</v>
      </c>
      <c r="FE12">
        <f>SUMIF('Как будет'!$A:$A,Доп.расчеты!$A12,'Как будет'!FF:FF)</f>
        <v>0</v>
      </c>
      <c r="FF12">
        <f>SUMIF('Как будет'!$A:$A,Доп.расчеты!$A12,'Как будет'!FG:FG)</f>
        <v>0</v>
      </c>
      <c r="FG12">
        <f>SUMIF('Как будет'!$A:$A,Доп.расчеты!$A12,'Как будет'!FH:FH)</f>
        <v>0</v>
      </c>
      <c r="FH12">
        <f>SUMIF('Как будет'!$A:$A,Доп.расчеты!$A12,'Как будет'!FI:FI)</f>
        <v>0</v>
      </c>
      <c r="FI12">
        <f>SUMIF('Как будет'!$A:$A,Доп.расчеты!$A12,'Как будет'!FJ:FJ)</f>
        <v>0</v>
      </c>
      <c r="FJ12">
        <f>SUMIF('Как будет'!$A:$A,Доп.расчеты!$A12,'Как будет'!FK:FK)</f>
        <v>0</v>
      </c>
      <c r="FK12">
        <f>SUMIF('Как будет'!$A:$A,Доп.расчеты!$A12,'Как будет'!FL:FL)</f>
        <v>0</v>
      </c>
      <c r="FL12">
        <f>SUMIF('Как будет'!$A:$A,Доп.расчеты!$A12,'Как будет'!FM:FM)</f>
        <v>0</v>
      </c>
      <c r="FM12">
        <f>SUMIF('Как будет'!$A:$A,Доп.расчеты!$A12,'Как будет'!FN:FN)</f>
        <v>0</v>
      </c>
      <c r="FN12">
        <f>SUMIF('Как будет'!$A:$A,Доп.расчеты!$A12,'Как будет'!FO:FO)</f>
        <v>0</v>
      </c>
      <c r="FO12">
        <f>SUMIF('Как будет'!$A:$A,Доп.расчеты!$A12,'Как будет'!FP:FP)</f>
        <v>0</v>
      </c>
      <c r="FP12">
        <f>SUMIF('Как будет'!$A:$A,Доп.расчеты!$A12,'Как будет'!FQ:FQ)</f>
        <v>0</v>
      </c>
      <c r="FQ12">
        <f>SUMIF('Как будет'!$A:$A,Доп.расчеты!$A12,'Как будет'!FR:FR)</f>
        <v>0</v>
      </c>
      <c r="FR12">
        <f>SUMIF('Как будет'!$A:$A,Доп.расчеты!$A12,'Как будет'!FS:FS)</f>
        <v>0</v>
      </c>
      <c r="FS12">
        <f>SUMIF('Как будет'!$A:$A,Доп.расчеты!$A12,'Как будет'!FT:FT)</f>
        <v>0</v>
      </c>
      <c r="FT12">
        <f>SUMIF('Как будет'!$A:$A,Доп.расчеты!$A12,'Как будет'!FU:FU)</f>
        <v>0</v>
      </c>
      <c r="FU12">
        <f>SUMIF('Как будет'!$A:$A,Доп.расчеты!$A12,'Как будет'!FV:FV)</f>
        <v>0</v>
      </c>
      <c r="FV12">
        <f>SUMIF('Как будет'!$A:$A,Доп.расчеты!$A12,'Как будет'!FW:FW)</f>
        <v>0</v>
      </c>
      <c r="FW12">
        <f>SUMIF('Как будет'!$A:$A,Доп.расчеты!$A12,'Как будет'!FX:FX)</f>
        <v>0</v>
      </c>
      <c r="FX12">
        <f>SUMIF('Как будет'!$A:$A,Доп.расчеты!$A12,'Как будет'!FY:FY)</f>
        <v>0</v>
      </c>
      <c r="FY12">
        <f>SUMIF('Как будет'!$A:$A,Доп.расчеты!$A12,'Как будет'!FZ:FZ)</f>
        <v>0</v>
      </c>
      <c r="FZ12">
        <f>SUMIF('Как будет'!$A:$A,Доп.расчеты!$A12,'Как будет'!GA:GA)</f>
        <v>0</v>
      </c>
      <c r="GA12">
        <f>SUMIF('Как будет'!$A:$A,Доп.расчеты!$A12,'Как будет'!GB:GB)</f>
        <v>0</v>
      </c>
      <c r="GB12">
        <f>SUMIF('Как будет'!$A:$A,Доп.расчеты!$A12,'Как будет'!GC:GC)</f>
        <v>0</v>
      </c>
      <c r="GC12">
        <f>SUMIF('Как будет'!$A:$A,Доп.расчеты!$A12,'Как будет'!GD:GD)</f>
        <v>0</v>
      </c>
      <c r="GD12">
        <f>SUMIF('Как будет'!$A:$A,Доп.расчеты!$A12,'Как будет'!GE:GE)</f>
        <v>0</v>
      </c>
      <c r="GE12">
        <f>SUMIF('Как будет'!$A:$A,Доп.расчеты!$A12,'Как будет'!GF:GF)</f>
        <v>0</v>
      </c>
      <c r="GF12">
        <f>SUMIF('Как будет'!$A:$A,Доп.расчеты!$A12,'Как будет'!GG:GG)</f>
        <v>0</v>
      </c>
      <c r="GG12">
        <f>SUMIF('Как будет'!$A:$A,Доп.расчеты!$A12,'Как будет'!GH:GH)</f>
        <v>0</v>
      </c>
      <c r="GH12">
        <f>SUMIF('Как будет'!$A:$A,Доп.расчеты!$A12,'Как будет'!GI:GI)</f>
        <v>0</v>
      </c>
      <c r="GI12">
        <f>SUMIF('Как будет'!$A:$A,Доп.расчеты!$A12,'Как будет'!GJ:GJ)</f>
        <v>0</v>
      </c>
      <c r="GJ12">
        <f>SUMIF('Как будет'!$A:$A,Доп.расчеты!$A12,'Как будет'!GK:GK)</f>
        <v>0</v>
      </c>
      <c r="GK12">
        <f>SUMIF('Как будет'!$A:$A,Доп.расчеты!$A12,'Как будет'!GL:GL)</f>
        <v>0</v>
      </c>
      <c r="GL12">
        <f>SUMIF('Как будет'!$A:$A,Доп.расчеты!$A12,'Как будет'!GM:GM)</f>
        <v>0</v>
      </c>
      <c r="GM12">
        <f>SUMIF('Как будет'!$A:$A,Доп.расчеты!$A12,'Как будет'!GN:GN)</f>
        <v>0</v>
      </c>
      <c r="GN12">
        <f>SUMIF('Как будет'!$A:$A,Доп.расчеты!$A12,'Как будет'!GO:GO)</f>
        <v>0</v>
      </c>
      <c r="GO12">
        <f>SUMIF('Как будет'!$A:$A,Доп.расчеты!$A12,'Как будет'!GP:GP)</f>
        <v>0</v>
      </c>
      <c r="GP12">
        <f>SUMIF('Как будет'!$A:$A,Доп.расчеты!$A12,'Как будет'!GQ:GQ)</f>
        <v>0</v>
      </c>
      <c r="GQ12">
        <f>SUMIF('Как будет'!$A:$A,Доп.расчеты!$A12,'Как будет'!GR:GR)</f>
        <v>0</v>
      </c>
      <c r="GR12">
        <f>SUMIF('Как будет'!$A:$A,Доп.расчеты!$A12,'Как будет'!GS:GS)</f>
        <v>0</v>
      </c>
      <c r="GS12">
        <f>SUMIF('Как будет'!$A:$A,Доп.расчеты!$A12,'Как будет'!GT:GT)</f>
        <v>0</v>
      </c>
      <c r="GT12">
        <f>SUMIF('Как будет'!$A:$A,Доп.расчеты!$A12,'Как будет'!GU:GU)</f>
        <v>0</v>
      </c>
    </row>
    <row r="13" spans="1:202">
      <c r="A13" s="242" t="s">
        <v>62</v>
      </c>
      <c r="B13">
        <f>SUMIF('Как будет'!$A:$A,Доп.расчеты!$A13,'Как будет'!C:C)</f>
        <v>0</v>
      </c>
      <c r="C13">
        <f>SUMIF('Как будет'!$A:$A,Доп.расчеты!$A13,'Как будет'!D:D)</f>
        <v>0</v>
      </c>
      <c r="D13">
        <f>SUMIF('Как будет'!$A:$A,Доп.расчеты!$A13,'Как будет'!E:E)</f>
        <v>0</v>
      </c>
      <c r="E13">
        <f>SUMIF('Как будет'!$A:$A,Доп.расчеты!$A13,'Как будет'!F:F)</f>
        <v>0</v>
      </c>
      <c r="F13">
        <f>SUMIF('Как будет'!$A:$A,Доп.расчеты!$A13,'Как будет'!G:G)</f>
        <v>0</v>
      </c>
      <c r="G13">
        <f>SUMIF('Как будет'!$A:$A,Доп.расчеты!$A13,'Как будет'!H:H)</f>
        <v>0</v>
      </c>
      <c r="H13">
        <f>SUMIF('Как будет'!$A:$A,Доп.расчеты!$A13,'Как будет'!I:I)</f>
        <v>0</v>
      </c>
      <c r="I13">
        <f>SUMIF('Как будет'!$A:$A,Доп.расчеты!$A13,'Как будет'!J:J)</f>
        <v>0</v>
      </c>
      <c r="J13">
        <f>SUMIF('Как будет'!$A:$A,Доп.расчеты!$A13,'Как будет'!K:K)</f>
        <v>0</v>
      </c>
      <c r="K13">
        <f>SUMIF('Как будет'!$A:$A,Доп.расчеты!$A13,'Как будет'!L:L)</f>
        <v>0</v>
      </c>
      <c r="L13">
        <f>SUMIF('Как будет'!$A:$A,Доп.расчеты!$A13,'Как будет'!M:M)</f>
        <v>0</v>
      </c>
      <c r="M13">
        <f>SUMIF('Как будет'!$A:$A,Доп.расчеты!$A13,'Как будет'!N:N)</f>
        <v>0</v>
      </c>
      <c r="N13">
        <f>SUMIF('Как будет'!$A:$A,Доп.расчеты!$A13,'Как будет'!O:O)</f>
        <v>0</v>
      </c>
      <c r="O13">
        <f>SUMIF('Как будет'!$A:$A,Доп.расчеты!$A13,'Как будет'!P:P)</f>
        <v>0</v>
      </c>
      <c r="P13">
        <f>SUMIF('Как будет'!$A:$A,Доп.расчеты!$A13,'Как будет'!Q:Q)</f>
        <v>0</v>
      </c>
      <c r="Q13">
        <f>SUMIF('Как будет'!$A:$A,Доп.расчеты!$A13,'Как будет'!R:R)</f>
        <v>0</v>
      </c>
      <c r="R13">
        <f>SUMIF('Как будет'!$A:$A,Доп.расчеты!$A13,'Как будет'!S:S)</f>
        <v>0</v>
      </c>
      <c r="S13">
        <f>SUMIF('Как будет'!$A:$A,Доп.расчеты!$A13,'Как будет'!T:T)</f>
        <v>0</v>
      </c>
      <c r="T13">
        <f>SUMIF('Как будет'!$A:$A,Доп.расчеты!$A13,'Как будет'!U:U)</f>
        <v>0</v>
      </c>
      <c r="U13">
        <f>SUMIF('Как будет'!$A:$A,Доп.расчеты!$A13,'Как будет'!V:V)</f>
        <v>0</v>
      </c>
      <c r="V13">
        <f>SUMIF('Как будет'!$A:$A,Доп.расчеты!$A13,'Как будет'!W:W)</f>
        <v>0</v>
      </c>
      <c r="W13">
        <f>SUMIF('Как будет'!$A:$A,Доп.расчеты!$A13,'Как будет'!X:X)</f>
        <v>0</v>
      </c>
      <c r="X13">
        <f>SUMIF('Как будет'!$A:$A,Доп.расчеты!$A13,'Как будет'!Y:Y)</f>
        <v>0</v>
      </c>
      <c r="Y13">
        <f>SUMIF('Как будет'!$A:$A,Доп.расчеты!$A13,'Как будет'!Z:Z)</f>
        <v>0</v>
      </c>
      <c r="Z13">
        <f>SUMIF('Как будет'!$A:$A,Доп.расчеты!$A13,'Как будет'!AA:AA)</f>
        <v>0</v>
      </c>
      <c r="AA13">
        <f>SUMIF('Как будет'!$A:$A,Доп.расчеты!$A13,'Как будет'!AB:AB)</f>
        <v>0</v>
      </c>
      <c r="AB13">
        <f>SUMIF('Как будет'!$A:$A,Доп.расчеты!$A13,'Как будет'!AC:AC)</f>
        <v>0</v>
      </c>
      <c r="AC13">
        <f>SUMIF('Как будет'!$A:$A,Доп.расчеты!$A13,'Как будет'!AD:AD)</f>
        <v>0</v>
      </c>
      <c r="AD13">
        <f>SUMIF('Как будет'!$A:$A,Доп.расчеты!$A13,'Как будет'!AE:AE)</f>
        <v>0</v>
      </c>
      <c r="AE13">
        <f>SUMIF('Как будет'!$A:$A,Доп.расчеты!$A13,'Как будет'!AF:AF)</f>
        <v>0</v>
      </c>
      <c r="AF13">
        <f>SUMIF('Как будет'!$A:$A,Доп.расчеты!$A13,'Как будет'!AG:AG)</f>
        <v>0</v>
      </c>
      <c r="AG13">
        <f>SUMIF('Как будет'!$A:$A,Доп.расчеты!$A13,'Как будет'!AH:AH)</f>
        <v>0</v>
      </c>
      <c r="AH13">
        <f>SUMIF('Как будет'!$A:$A,Доп.расчеты!$A13,'Как будет'!AI:AI)</f>
        <v>0</v>
      </c>
      <c r="AI13">
        <f>SUMIF('Как будет'!$A:$A,Доп.расчеты!$A13,'Как будет'!AJ:AJ)</f>
        <v>0</v>
      </c>
      <c r="AJ13">
        <f>SUMIF('Как будет'!$A:$A,Доп.расчеты!$A13,'Как будет'!AK:AK)</f>
        <v>0</v>
      </c>
      <c r="AK13">
        <f>SUMIF('Как будет'!$A:$A,Доп.расчеты!$A13,'Как будет'!AL:AL)</f>
        <v>0</v>
      </c>
      <c r="AL13">
        <f>SUMIF('Как будет'!$A:$A,Доп.расчеты!$A13,'Как будет'!AM:AM)</f>
        <v>0</v>
      </c>
      <c r="AM13">
        <f>SUMIF('Как будет'!$A:$A,Доп.расчеты!$A13,'Как будет'!AN:AN)</f>
        <v>0</v>
      </c>
      <c r="AN13">
        <f>SUMIF('Как будет'!$A:$A,Доп.расчеты!$A13,'Как будет'!AO:AO)</f>
        <v>0</v>
      </c>
      <c r="AO13">
        <f>SUMIF('Как будет'!$A:$A,Доп.расчеты!$A13,'Как будет'!AP:AP)</f>
        <v>0</v>
      </c>
      <c r="AP13">
        <f>SUMIF('Как будет'!$A:$A,Доп.расчеты!$A13,'Как будет'!AQ:AQ)</f>
        <v>0</v>
      </c>
      <c r="AQ13">
        <f>SUMIF('Как будет'!$A:$A,Доп.расчеты!$A13,'Как будет'!AR:AR)</f>
        <v>0</v>
      </c>
      <c r="AR13">
        <f>SUMIF('Как будет'!$A:$A,Доп.расчеты!$A13,'Как будет'!AS:AS)</f>
        <v>0</v>
      </c>
      <c r="AS13">
        <f>SUMIF('Как будет'!$A:$A,Доп.расчеты!$A13,'Как будет'!AT:AT)</f>
        <v>0</v>
      </c>
      <c r="AT13">
        <f>SUMIF('Как будет'!$A:$A,Доп.расчеты!$A13,'Как будет'!AU:AU)</f>
        <v>0</v>
      </c>
      <c r="AU13">
        <f>SUMIF('Как будет'!$A:$A,Доп.расчеты!$A13,'Как будет'!AV:AV)</f>
        <v>0</v>
      </c>
      <c r="AV13">
        <f>SUMIF('Как будет'!$A:$A,Доп.расчеты!$A13,'Как будет'!AW:AW)</f>
        <v>0</v>
      </c>
      <c r="AW13">
        <f>SUMIF('Как будет'!$A:$A,Доп.расчеты!$A13,'Как будет'!AX:AX)</f>
        <v>0</v>
      </c>
      <c r="AX13">
        <f>SUMIF('Как будет'!$A:$A,Доп.расчеты!$A13,'Как будет'!AY:AY)</f>
        <v>0</v>
      </c>
      <c r="AY13">
        <f>SUMIF('Как будет'!$A:$A,Доп.расчеты!$A13,'Как будет'!AZ:AZ)</f>
        <v>0</v>
      </c>
      <c r="AZ13">
        <f>SUMIF('Как будет'!$A:$A,Доп.расчеты!$A13,'Как будет'!BA:BA)</f>
        <v>0</v>
      </c>
      <c r="BA13">
        <f>SUMIF('Как будет'!$A:$A,Доп.расчеты!$A13,'Как будет'!BB:BB)</f>
        <v>0</v>
      </c>
      <c r="BB13">
        <f>SUMIF('Как будет'!$A:$A,Доп.расчеты!$A13,'Как будет'!BC:BC)</f>
        <v>0</v>
      </c>
      <c r="BC13">
        <f>SUMIF('Как будет'!$A:$A,Доп.расчеты!$A13,'Как будет'!BD:BD)</f>
        <v>0</v>
      </c>
      <c r="BD13">
        <f>SUMIF('Как будет'!$A:$A,Доп.расчеты!$A13,'Как будет'!BE:BE)</f>
        <v>0</v>
      </c>
      <c r="BE13">
        <f>SUMIF('Как будет'!$A:$A,Доп.расчеты!$A13,'Как будет'!BF:BF)</f>
        <v>0</v>
      </c>
      <c r="BF13">
        <f>SUMIF('Как будет'!$A:$A,Доп.расчеты!$A13,'Как будет'!BG:BG)</f>
        <v>0</v>
      </c>
      <c r="BG13">
        <f>SUMIF('Как будет'!$A:$A,Доп.расчеты!$A13,'Как будет'!BH:BH)</f>
        <v>0</v>
      </c>
      <c r="BH13">
        <f>SUMIF('Как будет'!$A:$A,Доп.расчеты!$A13,'Как будет'!BI:BI)</f>
        <v>0</v>
      </c>
      <c r="BI13">
        <f>SUMIF('Как будет'!$A:$A,Доп.расчеты!$A13,'Как будет'!BJ:BJ)</f>
        <v>0</v>
      </c>
      <c r="BJ13">
        <f>SUMIF('Как будет'!$A:$A,Доп.расчеты!$A13,'Как будет'!BK:BK)</f>
        <v>0</v>
      </c>
      <c r="BK13">
        <f>SUMIF('Как будет'!$A:$A,Доп.расчеты!$A13,'Как будет'!BL:BL)</f>
        <v>0</v>
      </c>
      <c r="BL13">
        <f>SUMIF('Как будет'!$A:$A,Доп.расчеты!$A13,'Как будет'!BM:BM)</f>
        <v>0</v>
      </c>
      <c r="BM13">
        <f>SUMIF('Как будет'!$A:$A,Доп.расчеты!$A13,'Как будет'!BN:BN)</f>
        <v>0</v>
      </c>
      <c r="BN13">
        <f>SUMIF('Как будет'!$A:$A,Доп.расчеты!$A13,'Как будет'!BO:BO)</f>
        <v>0</v>
      </c>
      <c r="BO13">
        <f>SUMIF('Как будет'!$A:$A,Доп.расчеты!$A13,'Как будет'!BP:BP)</f>
        <v>0</v>
      </c>
      <c r="BP13">
        <f>SUMIF('Как будет'!$A:$A,Доп.расчеты!$A13,'Как будет'!BQ:BQ)</f>
        <v>0</v>
      </c>
      <c r="BQ13">
        <f>SUMIF('Как будет'!$A:$A,Доп.расчеты!$A13,'Как будет'!BR:BR)</f>
        <v>0</v>
      </c>
      <c r="BR13">
        <f>SUMIF('Как будет'!$A:$A,Доп.расчеты!$A13,'Как будет'!BS:BS)</f>
        <v>0</v>
      </c>
      <c r="BS13">
        <f>SUMIF('Как будет'!$A:$A,Доп.расчеты!$A13,'Как будет'!BT:BT)</f>
        <v>0</v>
      </c>
      <c r="BT13">
        <f>SUMIF('Как будет'!$A:$A,Доп.расчеты!$A13,'Как будет'!BU:BU)</f>
        <v>0</v>
      </c>
      <c r="BU13">
        <f>SUMIF('Как будет'!$A:$A,Доп.расчеты!$A13,'Как будет'!BV:BV)</f>
        <v>0</v>
      </c>
      <c r="BV13">
        <f>SUMIF('Как будет'!$A:$A,Доп.расчеты!$A13,'Как будет'!BW:BW)</f>
        <v>0</v>
      </c>
      <c r="BW13">
        <f>SUMIF('Как будет'!$A:$A,Доп.расчеты!$A13,'Как будет'!BX:BX)</f>
        <v>0</v>
      </c>
      <c r="BX13">
        <f>SUMIF('Как будет'!$A:$A,Доп.расчеты!$A13,'Как будет'!BY:BY)</f>
        <v>0</v>
      </c>
      <c r="BY13">
        <f>SUMIF('Как будет'!$A:$A,Доп.расчеты!$A13,'Как будет'!BZ:BZ)</f>
        <v>0</v>
      </c>
      <c r="BZ13">
        <f>SUMIF('Как будет'!$A:$A,Доп.расчеты!$A13,'Как будет'!CA:CA)</f>
        <v>0</v>
      </c>
      <c r="CA13">
        <f>SUMIF('Как будет'!$A:$A,Доп.расчеты!$A13,'Как будет'!CB:CB)</f>
        <v>0</v>
      </c>
      <c r="CB13">
        <f>SUMIF('Как будет'!$A:$A,Доп.расчеты!$A13,'Как будет'!CC:CC)</f>
        <v>0</v>
      </c>
      <c r="CC13">
        <f>SUMIF('Как будет'!$A:$A,Доп.расчеты!$A13,'Как будет'!CD:CD)</f>
        <v>0</v>
      </c>
      <c r="CD13">
        <f>SUMIF('Как будет'!$A:$A,Доп.расчеты!$A13,'Как будет'!CE:CE)</f>
        <v>0</v>
      </c>
      <c r="CE13">
        <f>SUMIF('Как будет'!$A:$A,Доп.расчеты!$A13,'Как будет'!CF:CF)</f>
        <v>0</v>
      </c>
      <c r="CF13">
        <f>SUMIF('Как будет'!$A:$A,Доп.расчеты!$A13,'Как будет'!CG:CG)</f>
        <v>0</v>
      </c>
      <c r="CG13">
        <f>SUMIF('Как будет'!$A:$A,Доп.расчеты!$A13,'Как будет'!CH:CH)</f>
        <v>0</v>
      </c>
      <c r="CH13">
        <f>SUMIF('Как будет'!$A:$A,Доп.расчеты!$A13,'Как будет'!CI:CI)</f>
        <v>0</v>
      </c>
      <c r="CI13">
        <f>SUMIF('Как будет'!$A:$A,Доп.расчеты!$A13,'Как будет'!CJ:CJ)</f>
        <v>0</v>
      </c>
      <c r="CJ13">
        <f>SUMIF('Как будет'!$A:$A,Доп.расчеты!$A13,'Как будет'!CK:CK)</f>
        <v>0</v>
      </c>
      <c r="CK13">
        <f>SUMIF('Как будет'!$A:$A,Доп.расчеты!$A13,'Как будет'!CL:CL)</f>
        <v>0</v>
      </c>
      <c r="CL13">
        <f>SUMIF('Как будет'!$A:$A,Доп.расчеты!$A13,'Как будет'!CM:CM)</f>
        <v>0</v>
      </c>
      <c r="CM13">
        <f>SUMIF('Как будет'!$A:$A,Доп.расчеты!$A13,'Как будет'!CN:CN)</f>
        <v>0</v>
      </c>
      <c r="CN13">
        <f>SUMIF('Как будет'!$A:$A,Доп.расчеты!$A13,'Как будет'!CO:CO)</f>
        <v>0</v>
      </c>
      <c r="CO13">
        <f>SUMIF('Как будет'!$A:$A,Доп.расчеты!$A13,'Как будет'!CP:CP)</f>
        <v>0</v>
      </c>
      <c r="CP13">
        <f>SUMIF('Как будет'!$A:$A,Доп.расчеты!$A13,'Как будет'!CQ:CQ)</f>
        <v>0</v>
      </c>
      <c r="CQ13">
        <f>SUMIF('Как будет'!$A:$A,Доп.расчеты!$A13,'Как будет'!CR:CR)</f>
        <v>0</v>
      </c>
      <c r="CR13">
        <f>SUMIF('Как будет'!$A:$A,Доп.расчеты!$A13,'Как будет'!CS:CS)</f>
        <v>0</v>
      </c>
      <c r="CS13">
        <f>SUMIF('Как будет'!$A:$A,Доп.расчеты!$A13,'Как будет'!CT:CT)</f>
        <v>0</v>
      </c>
      <c r="CT13">
        <f>SUMIF('Как будет'!$A:$A,Доп.расчеты!$A13,'Как будет'!CU:CU)</f>
        <v>0</v>
      </c>
      <c r="CU13">
        <f>SUMIF('Как будет'!$A:$A,Доп.расчеты!$A13,'Как будет'!CV:CV)</f>
        <v>0</v>
      </c>
      <c r="CV13">
        <f>SUMIF('Как будет'!$A:$A,Доп.расчеты!$A13,'Как будет'!CW:CW)</f>
        <v>0</v>
      </c>
      <c r="CW13">
        <f>SUMIF('Как будет'!$A:$A,Доп.расчеты!$A13,'Как будет'!CX:CX)</f>
        <v>0</v>
      </c>
      <c r="CX13">
        <f>SUMIF('Как будет'!$A:$A,Доп.расчеты!$A13,'Как будет'!CY:CY)</f>
        <v>0</v>
      </c>
      <c r="CY13">
        <f>SUMIF('Как будет'!$A:$A,Доп.расчеты!$A13,'Как будет'!CZ:CZ)</f>
        <v>0</v>
      </c>
      <c r="CZ13">
        <f>SUMIF('Как будет'!$A:$A,Доп.расчеты!$A13,'Как будет'!DA:DA)</f>
        <v>0</v>
      </c>
      <c r="DA13">
        <f>SUMIF('Как будет'!$A:$A,Доп.расчеты!$A13,'Как будет'!DB:DB)</f>
        <v>0</v>
      </c>
      <c r="DB13">
        <f>SUMIF('Как будет'!$A:$A,Доп.расчеты!$A13,'Как будет'!DC:DC)</f>
        <v>0</v>
      </c>
      <c r="DC13">
        <f>SUMIF('Как будет'!$A:$A,Доп.расчеты!$A13,'Как будет'!DD:DD)</f>
        <v>0</v>
      </c>
      <c r="DD13">
        <f>SUMIF('Как будет'!$A:$A,Доп.расчеты!$A13,'Как будет'!DE:DE)</f>
        <v>0</v>
      </c>
      <c r="DE13">
        <f>SUMIF('Как будет'!$A:$A,Доп.расчеты!$A13,'Как будет'!DF:DF)</f>
        <v>0</v>
      </c>
      <c r="DF13">
        <f>SUMIF('Как будет'!$A:$A,Доп.расчеты!$A13,'Как будет'!DG:DG)</f>
        <v>0</v>
      </c>
      <c r="DG13">
        <f>SUMIF('Как будет'!$A:$A,Доп.расчеты!$A13,'Как будет'!DH:DH)</f>
        <v>0</v>
      </c>
      <c r="DH13">
        <f>SUMIF('Как будет'!$A:$A,Доп.расчеты!$A13,'Как будет'!DI:DI)</f>
        <v>0</v>
      </c>
      <c r="DI13">
        <f>SUMIF('Как будет'!$A:$A,Доп.расчеты!$A13,'Как будет'!DJ:DJ)</f>
        <v>0</v>
      </c>
      <c r="DJ13">
        <f>SUMIF('Как будет'!$A:$A,Доп.расчеты!$A13,'Как будет'!DK:DK)</f>
        <v>0</v>
      </c>
      <c r="DK13">
        <f>SUMIF('Как будет'!$A:$A,Доп.расчеты!$A13,'Как будет'!DL:DL)</f>
        <v>0</v>
      </c>
      <c r="DL13">
        <f>SUMIF('Как будет'!$A:$A,Доп.расчеты!$A13,'Как будет'!DM:DM)</f>
        <v>0</v>
      </c>
      <c r="DM13">
        <f>SUMIF('Как будет'!$A:$A,Доп.расчеты!$A13,'Как будет'!DN:DN)</f>
        <v>0</v>
      </c>
      <c r="DN13">
        <f>SUMIF('Как будет'!$A:$A,Доп.расчеты!$A13,'Как будет'!DO:DO)</f>
        <v>0</v>
      </c>
      <c r="DO13">
        <f>SUMIF('Как будет'!$A:$A,Доп.расчеты!$A13,'Как будет'!DP:DP)</f>
        <v>0</v>
      </c>
      <c r="DP13">
        <f>SUMIF('Как будет'!$A:$A,Доп.расчеты!$A13,'Как будет'!DQ:DQ)</f>
        <v>0</v>
      </c>
      <c r="DQ13">
        <f>SUMIF('Как будет'!$A:$A,Доп.расчеты!$A13,'Как будет'!DR:DR)</f>
        <v>0</v>
      </c>
      <c r="DR13">
        <f>SUMIF('Как будет'!$A:$A,Доп.расчеты!$A13,'Как будет'!DS:DS)</f>
        <v>0</v>
      </c>
      <c r="DS13">
        <f>SUMIF('Как будет'!$A:$A,Доп.расчеты!$A13,'Как будет'!DT:DT)</f>
        <v>0</v>
      </c>
      <c r="DT13">
        <f>SUMIF('Как будет'!$A:$A,Доп.расчеты!$A13,'Как будет'!DU:DU)</f>
        <v>0</v>
      </c>
      <c r="DU13">
        <f>SUMIF('Как будет'!$A:$A,Доп.расчеты!$A13,'Как будет'!DV:DV)</f>
        <v>0</v>
      </c>
      <c r="DV13">
        <f>SUMIF('Как будет'!$A:$A,Доп.расчеты!$A13,'Как будет'!DW:DW)</f>
        <v>0</v>
      </c>
      <c r="DW13">
        <f>SUMIF('Как будет'!$A:$A,Доп.расчеты!$A13,'Как будет'!DX:DX)</f>
        <v>0</v>
      </c>
      <c r="DX13">
        <f>SUMIF('Как будет'!$A:$A,Доп.расчеты!$A13,'Как будет'!DY:DY)</f>
        <v>0</v>
      </c>
      <c r="DY13">
        <f>SUMIF('Как будет'!$A:$A,Доп.расчеты!$A13,'Как будет'!DZ:DZ)</f>
        <v>0</v>
      </c>
      <c r="DZ13">
        <f>SUMIF('Как будет'!$A:$A,Доп.расчеты!$A13,'Как будет'!EA:EA)</f>
        <v>0</v>
      </c>
      <c r="EA13">
        <f>SUMIF('Как будет'!$A:$A,Доп.расчеты!$A13,'Как будет'!EB:EB)</f>
        <v>0</v>
      </c>
      <c r="EB13">
        <f>SUMIF('Как будет'!$A:$A,Доп.расчеты!$A13,'Как будет'!EC:EC)</f>
        <v>0</v>
      </c>
      <c r="EC13">
        <f>SUMIF('Как будет'!$A:$A,Доп.расчеты!$A13,'Как будет'!ED:ED)</f>
        <v>0</v>
      </c>
      <c r="ED13">
        <f>SUMIF('Как будет'!$A:$A,Доп.расчеты!$A13,'Как будет'!EE:EE)</f>
        <v>0</v>
      </c>
      <c r="EE13">
        <f>SUMIF('Как будет'!$A:$A,Доп.расчеты!$A13,'Как будет'!EF:EF)</f>
        <v>0</v>
      </c>
      <c r="EF13">
        <f>SUMIF('Как будет'!$A:$A,Доп.расчеты!$A13,'Как будет'!EG:EG)</f>
        <v>0</v>
      </c>
      <c r="EG13">
        <f>SUMIF('Как будет'!$A:$A,Доп.расчеты!$A13,'Как будет'!EH:EH)</f>
        <v>0</v>
      </c>
      <c r="EH13">
        <f>SUMIF('Как будет'!$A:$A,Доп.расчеты!$A13,'Как будет'!EI:EI)</f>
        <v>0</v>
      </c>
      <c r="EI13">
        <f>SUMIF('Как будет'!$A:$A,Доп.расчеты!$A13,'Как будет'!EJ:EJ)</f>
        <v>0</v>
      </c>
      <c r="EJ13">
        <f>SUMIF('Как будет'!$A:$A,Доп.расчеты!$A13,'Как будет'!EK:EK)</f>
        <v>0</v>
      </c>
      <c r="EK13">
        <f>SUMIF('Как будет'!$A:$A,Доп.расчеты!$A13,'Как будет'!EL:EL)</f>
        <v>0</v>
      </c>
      <c r="EL13">
        <f>SUMIF('Как будет'!$A:$A,Доп.расчеты!$A13,'Как будет'!EM:EM)</f>
        <v>0</v>
      </c>
      <c r="EM13">
        <f>SUMIF('Как будет'!$A:$A,Доп.расчеты!$A13,'Как будет'!EN:EN)</f>
        <v>0</v>
      </c>
      <c r="EN13">
        <f>SUMIF('Как будет'!$A:$A,Доп.расчеты!$A13,'Как будет'!EO:EO)</f>
        <v>0</v>
      </c>
      <c r="EO13">
        <f>SUMIF('Как будет'!$A:$A,Доп.расчеты!$A13,'Как будет'!EP:EP)</f>
        <v>0</v>
      </c>
      <c r="EP13">
        <f>SUMIF('Как будет'!$A:$A,Доп.расчеты!$A13,'Как будет'!EQ:EQ)</f>
        <v>0</v>
      </c>
      <c r="EQ13">
        <f>SUMIF('Как будет'!$A:$A,Доп.расчеты!$A13,'Как будет'!ER:ER)</f>
        <v>0</v>
      </c>
      <c r="ER13">
        <f>SUMIF('Как будет'!$A:$A,Доп.расчеты!$A13,'Как будет'!ES:ES)</f>
        <v>0</v>
      </c>
      <c r="ES13">
        <f>SUMIF('Как будет'!$A:$A,Доп.расчеты!$A13,'Как будет'!ET:ET)</f>
        <v>0</v>
      </c>
      <c r="ET13">
        <f>SUMIF('Как будет'!$A:$A,Доп.расчеты!$A13,'Как будет'!EU:EU)</f>
        <v>0</v>
      </c>
      <c r="EU13">
        <f>SUMIF('Как будет'!$A:$A,Доп.расчеты!$A13,'Как будет'!EV:EV)</f>
        <v>0</v>
      </c>
      <c r="EV13">
        <f>SUMIF('Как будет'!$A:$A,Доп.расчеты!$A13,'Как будет'!EW:EW)</f>
        <v>0</v>
      </c>
      <c r="EW13">
        <f>SUMIF('Как будет'!$A:$A,Доп.расчеты!$A13,'Как будет'!EX:EX)</f>
        <v>0</v>
      </c>
      <c r="EX13">
        <f>SUMIF('Как будет'!$A:$A,Доп.расчеты!$A13,'Как будет'!EY:EY)</f>
        <v>0</v>
      </c>
      <c r="EY13">
        <f>SUMIF('Как будет'!$A:$A,Доп.расчеты!$A13,'Как будет'!EZ:EZ)</f>
        <v>0</v>
      </c>
      <c r="EZ13">
        <f>SUMIF('Как будет'!$A:$A,Доп.расчеты!$A13,'Как будет'!FA:FA)</f>
        <v>0</v>
      </c>
      <c r="FA13">
        <f>SUMIF('Как будет'!$A:$A,Доп.расчеты!$A13,'Как будет'!FB:FB)</f>
        <v>0</v>
      </c>
      <c r="FB13">
        <f>SUMIF('Как будет'!$A:$A,Доп.расчеты!$A13,'Как будет'!FC:FC)</f>
        <v>0</v>
      </c>
      <c r="FC13">
        <f>SUMIF('Как будет'!$A:$A,Доп.расчеты!$A13,'Как будет'!FD:FD)</f>
        <v>0</v>
      </c>
      <c r="FD13">
        <f>SUMIF('Как будет'!$A:$A,Доп.расчеты!$A13,'Как будет'!FE:FE)</f>
        <v>0</v>
      </c>
      <c r="FE13">
        <f>SUMIF('Как будет'!$A:$A,Доп.расчеты!$A13,'Как будет'!FF:FF)</f>
        <v>0</v>
      </c>
      <c r="FF13">
        <f>SUMIF('Как будет'!$A:$A,Доп.расчеты!$A13,'Как будет'!FG:FG)</f>
        <v>0</v>
      </c>
      <c r="FG13">
        <f>SUMIF('Как будет'!$A:$A,Доп.расчеты!$A13,'Как будет'!FH:FH)</f>
        <v>0</v>
      </c>
      <c r="FH13">
        <f>SUMIF('Как будет'!$A:$A,Доп.расчеты!$A13,'Как будет'!FI:FI)</f>
        <v>0</v>
      </c>
      <c r="FI13">
        <f>SUMIF('Как будет'!$A:$A,Доп.расчеты!$A13,'Как будет'!FJ:FJ)</f>
        <v>0</v>
      </c>
      <c r="FJ13">
        <f>SUMIF('Как будет'!$A:$A,Доп.расчеты!$A13,'Как будет'!FK:FK)</f>
        <v>0</v>
      </c>
      <c r="FK13">
        <f>SUMIF('Как будет'!$A:$A,Доп.расчеты!$A13,'Как будет'!FL:FL)</f>
        <v>0</v>
      </c>
      <c r="FL13">
        <f>SUMIF('Как будет'!$A:$A,Доп.расчеты!$A13,'Как будет'!FM:FM)</f>
        <v>0</v>
      </c>
      <c r="FM13">
        <f>SUMIF('Как будет'!$A:$A,Доп.расчеты!$A13,'Как будет'!FN:FN)</f>
        <v>0</v>
      </c>
      <c r="FN13">
        <f>SUMIF('Как будет'!$A:$A,Доп.расчеты!$A13,'Как будет'!FO:FO)</f>
        <v>0</v>
      </c>
      <c r="FO13">
        <f>SUMIF('Как будет'!$A:$A,Доп.расчеты!$A13,'Как будет'!FP:FP)</f>
        <v>0</v>
      </c>
      <c r="FP13">
        <f>SUMIF('Как будет'!$A:$A,Доп.расчеты!$A13,'Как будет'!FQ:FQ)</f>
        <v>0</v>
      </c>
      <c r="FQ13">
        <f>SUMIF('Как будет'!$A:$A,Доп.расчеты!$A13,'Как будет'!FR:FR)</f>
        <v>0</v>
      </c>
      <c r="FR13">
        <f>SUMIF('Как будет'!$A:$A,Доп.расчеты!$A13,'Как будет'!FS:FS)</f>
        <v>0</v>
      </c>
      <c r="FS13">
        <f>SUMIF('Как будет'!$A:$A,Доп.расчеты!$A13,'Как будет'!FT:FT)</f>
        <v>0</v>
      </c>
      <c r="FT13">
        <f>SUMIF('Как будет'!$A:$A,Доп.расчеты!$A13,'Как будет'!FU:FU)</f>
        <v>0</v>
      </c>
      <c r="FU13">
        <f>SUMIF('Как будет'!$A:$A,Доп.расчеты!$A13,'Как будет'!FV:FV)</f>
        <v>0</v>
      </c>
      <c r="FV13">
        <f>SUMIF('Как будет'!$A:$A,Доп.расчеты!$A13,'Как будет'!FW:FW)</f>
        <v>0</v>
      </c>
      <c r="FW13">
        <f>SUMIF('Как будет'!$A:$A,Доп.расчеты!$A13,'Как будет'!FX:FX)</f>
        <v>0</v>
      </c>
      <c r="FX13">
        <f>SUMIF('Как будет'!$A:$A,Доп.расчеты!$A13,'Как будет'!FY:FY)</f>
        <v>0</v>
      </c>
      <c r="FY13">
        <f>SUMIF('Как будет'!$A:$A,Доп.расчеты!$A13,'Как будет'!FZ:FZ)</f>
        <v>0</v>
      </c>
      <c r="FZ13">
        <f>SUMIF('Как будет'!$A:$A,Доп.расчеты!$A13,'Как будет'!GA:GA)</f>
        <v>0</v>
      </c>
      <c r="GA13">
        <f>SUMIF('Как будет'!$A:$A,Доп.расчеты!$A13,'Как будет'!GB:GB)</f>
        <v>0</v>
      </c>
      <c r="GB13">
        <f>SUMIF('Как будет'!$A:$A,Доп.расчеты!$A13,'Как будет'!GC:GC)</f>
        <v>0</v>
      </c>
      <c r="GC13">
        <f>SUMIF('Как будет'!$A:$A,Доп.расчеты!$A13,'Как будет'!GD:GD)</f>
        <v>0</v>
      </c>
      <c r="GD13">
        <f>SUMIF('Как будет'!$A:$A,Доп.расчеты!$A13,'Как будет'!GE:GE)</f>
        <v>0</v>
      </c>
      <c r="GE13">
        <f>SUMIF('Как будет'!$A:$A,Доп.расчеты!$A13,'Как будет'!GF:GF)</f>
        <v>0</v>
      </c>
      <c r="GF13">
        <f>SUMIF('Как будет'!$A:$A,Доп.расчеты!$A13,'Как будет'!GG:GG)</f>
        <v>0</v>
      </c>
      <c r="GG13">
        <f>SUMIF('Как будет'!$A:$A,Доп.расчеты!$A13,'Как будет'!GH:GH)</f>
        <v>0</v>
      </c>
      <c r="GH13">
        <f>SUMIF('Как будет'!$A:$A,Доп.расчеты!$A13,'Как будет'!GI:GI)</f>
        <v>0</v>
      </c>
      <c r="GI13">
        <f>SUMIF('Как будет'!$A:$A,Доп.расчеты!$A13,'Как будет'!GJ:GJ)</f>
        <v>0</v>
      </c>
      <c r="GJ13">
        <f>SUMIF('Как будет'!$A:$A,Доп.расчеты!$A13,'Как будет'!GK:GK)</f>
        <v>0</v>
      </c>
      <c r="GK13">
        <f>SUMIF('Как будет'!$A:$A,Доп.расчеты!$A13,'Как будет'!GL:GL)</f>
        <v>0</v>
      </c>
      <c r="GL13">
        <f>SUMIF('Как будет'!$A:$A,Доп.расчеты!$A13,'Как будет'!GM:GM)</f>
        <v>0</v>
      </c>
      <c r="GM13">
        <f>SUMIF('Как будет'!$A:$A,Доп.расчеты!$A13,'Как будет'!GN:GN)</f>
        <v>0</v>
      </c>
      <c r="GN13">
        <f>SUMIF('Как будет'!$A:$A,Доп.расчеты!$A13,'Как будет'!GO:GO)</f>
        <v>0</v>
      </c>
      <c r="GO13">
        <f>SUMIF('Как будет'!$A:$A,Доп.расчеты!$A13,'Как будет'!GP:GP)</f>
        <v>0</v>
      </c>
      <c r="GP13">
        <f>SUMIF('Как будет'!$A:$A,Доп.расчеты!$A13,'Как будет'!GQ:GQ)</f>
        <v>0</v>
      </c>
      <c r="GQ13">
        <f>SUMIF('Как будет'!$A:$A,Доп.расчеты!$A13,'Как будет'!GR:GR)</f>
        <v>0</v>
      </c>
      <c r="GR13">
        <f>SUMIF('Как будет'!$A:$A,Доп.расчеты!$A13,'Как будет'!GS:GS)</f>
        <v>0</v>
      </c>
      <c r="GS13">
        <f>SUMIF('Как будет'!$A:$A,Доп.расчеты!$A13,'Как будет'!GT:GT)</f>
        <v>0</v>
      </c>
      <c r="GT13">
        <f>SUMIF('Как будет'!$A:$A,Доп.расчеты!$A13,'Как будет'!GU:GU)</f>
        <v>0</v>
      </c>
    </row>
    <row r="14" spans="1:202">
      <c r="A14" s="242" t="s">
        <v>21</v>
      </c>
      <c r="B14">
        <f>SUMIF('Как будет'!$A:$A,Доп.расчеты!$A14,'Как будет'!C:C)</f>
        <v>0</v>
      </c>
      <c r="C14">
        <f>SUMIF('Как будет'!$A:$A,Доп.расчеты!$A14,'Как будет'!D:D)</f>
        <v>0</v>
      </c>
      <c r="D14">
        <f>SUMIF('Как будет'!$A:$A,Доп.расчеты!$A14,'Как будет'!E:E)</f>
        <v>0</v>
      </c>
      <c r="E14">
        <f>SUMIF('Как будет'!$A:$A,Доп.расчеты!$A14,'Как будет'!F:F)</f>
        <v>0</v>
      </c>
      <c r="F14">
        <f>SUMIF('Как будет'!$A:$A,Доп.расчеты!$A14,'Как будет'!G:G)</f>
        <v>0</v>
      </c>
      <c r="G14">
        <f>SUMIF('Как будет'!$A:$A,Доп.расчеты!$A14,'Как будет'!H:H)</f>
        <v>0</v>
      </c>
      <c r="H14">
        <f>SUMIF('Как будет'!$A:$A,Доп.расчеты!$A14,'Как будет'!I:I)</f>
        <v>0</v>
      </c>
      <c r="I14">
        <f>SUMIF('Как будет'!$A:$A,Доп.расчеты!$A14,'Как будет'!J:J)</f>
        <v>0</v>
      </c>
      <c r="J14">
        <f>SUMIF('Как будет'!$A:$A,Доп.расчеты!$A14,'Как будет'!K:K)</f>
        <v>0</v>
      </c>
      <c r="K14">
        <f>SUMIF('Как будет'!$A:$A,Доп.расчеты!$A14,'Как будет'!L:L)</f>
        <v>0</v>
      </c>
      <c r="L14">
        <f>SUMIF('Как будет'!$A:$A,Доп.расчеты!$A14,'Как будет'!M:M)</f>
        <v>0</v>
      </c>
      <c r="M14">
        <f>SUMIF('Как будет'!$A:$A,Доп.расчеты!$A14,'Как будет'!N:N)</f>
        <v>0</v>
      </c>
      <c r="N14">
        <f>SUMIF('Как будет'!$A:$A,Доп.расчеты!$A14,'Как будет'!O:O)</f>
        <v>0</v>
      </c>
      <c r="O14">
        <f>SUMIF('Как будет'!$A:$A,Доп.расчеты!$A14,'Как будет'!P:P)</f>
        <v>0</v>
      </c>
      <c r="P14">
        <f>SUMIF('Как будет'!$A:$A,Доп.расчеты!$A14,'Как будет'!Q:Q)</f>
        <v>0</v>
      </c>
      <c r="Q14">
        <f>SUMIF('Как будет'!$A:$A,Доп.расчеты!$A14,'Как будет'!R:R)</f>
        <v>0</v>
      </c>
      <c r="R14">
        <f>SUMIF('Как будет'!$A:$A,Доп.расчеты!$A14,'Как будет'!S:S)</f>
        <v>0</v>
      </c>
      <c r="S14">
        <f>SUMIF('Как будет'!$A:$A,Доп.расчеты!$A14,'Как будет'!T:T)</f>
        <v>0</v>
      </c>
      <c r="T14">
        <f>SUMIF('Как будет'!$A:$A,Доп.расчеты!$A14,'Как будет'!U:U)</f>
        <v>0</v>
      </c>
      <c r="U14">
        <f>SUMIF('Как будет'!$A:$A,Доп.расчеты!$A14,'Как будет'!V:V)</f>
        <v>0</v>
      </c>
      <c r="V14">
        <f>SUMIF('Как будет'!$A:$A,Доп.расчеты!$A14,'Как будет'!W:W)</f>
        <v>0</v>
      </c>
      <c r="W14">
        <f>SUMIF('Как будет'!$A:$A,Доп.расчеты!$A14,'Как будет'!X:X)</f>
        <v>0</v>
      </c>
      <c r="X14">
        <f>SUMIF('Как будет'!$A:$A,Доп.расчеты!$A14,'Как будет'!Y:Y)</f>
        <v>0</v>
      </c>
      <c r="Y14">
        <f>SUMIF('Как будет'!$A:$A,Доп.расчеты!$A14,'Как будет'!Z:Z)</f>
        <v>0</v>
      </c>
      <c r="Z14">
        <f>SUMIF('Как будет'!$A:$A,Доп.расчеты!$A14,'Как будет'!AA:AA)</f>
        <v>0</v>
      </c>
      <c r="AA14">
        <f>SUMIF('Как будет'!$A:$A,Доп.расчеты!$A14,'Как будет'!AB:AB)</f>
        <v>0</v>
      </c>
      <c r="AB14">
        <f>SUMIF('Как будет'!$A:$A,Доп.расчеты!$A14,'Как будет'!AC:AC)</f>
        <v>0</v>
      </c>
      <c r="AC14">
        <f>SUMIF('Как будет'!$A:$A,Доп.расчеты!$A14,'Как будет'!AD:AD)</f>
        <v>0</v>
      </c>
      <c r="AD14">
        <f>SUMIF('Как будет'!$A:$A,Доп.расчеты!$A14,'Как будет'!AE:AE)</f>
        <v>0</v>
      </c>
      <c r="AE14">
        <f>SUMIF('Как будет'!$A:$A,Доп.расчеты!$A14,'Как будет'!AF:AF)</f>
        <v>0</v>
      </c>
      <c r="AF14">
        <f>SUMIF('Как будет'!$A:$A,Доп.расчеты!$A14,'Как будет'!AG:AG)</f>
        <v>0</v>
      </c>
      <c r="AG14">
        <f>SUMIF('Как будет'!$A:$A,Доп.расчеты!$A14,'Как будет'!AH:AH)</f>
        <v>0</v>
      </c>
      <c r="AH14">
        <f>SUMIF('Как будет'!$A:$A,Доп.расчеты!$A14,'Как будет'!AI:AI)</f>
        <v>0</v>
      </c>
      <c r="AI14">
        <f>SUMIF('Как будет'!$A:$A,Доп.расчеты!$A14,'Как будет'!AJ:AJ)</f>
        <v>0</v>
      </c>
      <c r="AJ14">
        <f>SUMIF('Как будет'!$A:$A,Доп.расчеты!$A14,'Как будет'!AK:AK)</f>
        <v>0</v>
      </c>
      <c r="AK14">
        <f>SUMIF('Как будет'!$A:$A,Доп.расчеты!$A14,'Как будет'!AL:AL)</f>
        <v>0</v>
      </c>
      <c r="AL14">
        <f>SUMIF('Как будет'!$A:$A,Доп.расчеты!$A14,'Как будет'!AM:AM)</f>
        <v>0</v>
      </c>
      <c r="AM14">
        <f>SUMIF('Как будет'!$A:$A,Доп.расчеты!$A14,'Как будет'!AN:AN)</f>
        <v>0</v>
      </c>
      <c r="AN14">
        <f>SUMIF('Как будет'!$A:$A,Доп.расчеты!$A14,'Как будет'!AO:AO)</f>
        <v>0</v>
      </c>
      <c r="AO14">
        <f>SUMIF('Как будет'!$A:$A,Доп.расчеты!$A14,'Как будет'!AP:AP)</f>
        <v>0</v>
      </c>
      <c r="AP14">
        <f>SUMIF('Как будет'!$A:$A,Доп.расчеты!$A14,'Как будет'!AQ:AQ)</f>
        <v>0</v>
      </c>
      <c r="AQ14">
        <f>SUMIF('Как будет'!$A:$A,Доп.расчеты!$A14,'Как будет'!AR:AR)</f>
        <v>0</v>
      </c>
      <c r="AR14">
        <f>SUMIF('Как будет'!$A:$A,Доп.расчеты!$A14,'Как будет'!AS:AS)</f>
        <v>0</v>
      </c>
      <c r="AS14">
        <f>SUMIF('Как будет'!$A:$A,Доп.расчеты!$A14,'Как будет'!AT:AT)</f>
        <v>0</v>
      </c>
      <c r="AT14">
        <f>SUMIF('Как будет'!$A:$A,Доп.расчеты!$A14,'Как будет'!AU:AU)</f>
        <v>0</v>
      </c>
      <c r="AU14">
        <f>SUMIF('Как будет'!$A:$A,Доп.расчеты!$A14,'Как будет'!AV:AV)</f>
        <v>0</v>
      </c>
      <c r="AV14">
        <f>SUMIF('Как будет'!$A:$A,Доп.расчеты!$A14,'Как будет'!AW:AW)</f>
        <v>0</v>
      </c>
      <c r="AW14">
        <f>SUMIF('Как будет'!$A:$A,Доп.расчеты!$A14,'Как будет'!AX:AX)</f>
        <v>0</v>
      </c>
      <c r="AX14">
        <f>SUMIF('Как будет'!$A:$A,Доп.расчеты!$A14,'Как будет'!AY:AY)</f>
        <v>0</v>
      </c>
      <c r="AY14">
        <f>SUMIF('Как будет'!$A:$A,Доп.расчеты!$A14,'Как будет'!AZ:AZ)</f>
        <v>0</v>
      </c>
      <c r="AZ14">
        <f>SUMIF('Как будет'!$A:$A,Доп.расчеты!$A14,'Как будет'!BA:BA)</f>
        <v>0</v>
      </c>
      <c r="BA14">
        <f>SUMIF('Как будет'!$A:$A,Доп.расчеты!$A14,'Как будет'!BB:BB)</f>
        <v>0</v>
      </c>
      <c r="BB14">
        <f>SUMIF('Как будет'!$A:$A,Доп.расчеты!$A14,'Как будет'!BC:BC)</f>
        <v>0</v>
      </c>
      <c r="BC14">
        <f>SUMIF('Как будет'!$A:$A,Доп.расчеты!$A14,'Как будет'!BD:BD)</f>
        <v>0</v>
      </c>
      <c r="BD14">
        <f>SUMIF('Как будет'!$A:$A,Доп.расчеты!$A14,'Как будет'!BE:BE)</f>
        <v>0</v>
      </c>
      <c r="BE14">
        <f>SUMIF('Как будет'!$A:$A,Доп.расчеты!$A14,'Как будет'!BF:BF)</f>
        <v>0</v>
      </c>
      <c r="BF14">
        <f>SUMIF('Как будет'!$A:$A,Доп.расчеты!$A14,'Как будет'!BG:BG)</f>
        <v>0</v>
      </c>
      <c r="BG14">
        <f>SUMIF('Как будет'!$A:$A,Доп.расчеты!$A14,'Как будет'!BH:BH)</f>
        <v>0</v>
      </c>
      <c r="BH14">
        <f>SUMIF('Как будет'!$A:$A,Доп.расчеты!$A14,'Как будет'!BI:BI)</f>
        <v>0</v>
      </c>
      <c r="BI14">
        <f>SUMIF('Как будет'!$A:$A,Доп.расчеты!$A14,'Как будет'!BJ:BJ)</f>
        <v>0</v>
      </c>
      <c r="BJ14">
        <f>SUMIF('Как будет'!$A:$A,Доп.расчеты!$A14,'Как будет'!BK:BK)</f>
        <v>0</v>
      </c>
      <c r="BK14">
        <f>SUMIF('Как будет'!$A:$A,Доп.расчеты!$A14,'Как будет'!BL:BL)</f>
        <v>0</v>
      </c>
      <c r="BL14">
        <f>SUMIF('Как будет'!$A:$A,Доп.расчеты!$A14,'Как будет'!BM:BM)</f>
        <v>0</v>
      </c>
      <c r="BM14">
        <f>SUMIF('Как будет'!$A:$A,Доп.расчеты!$A14,'Как будет'!BN:BN)</f>
        <v>0</v>
      </c>
      <c r="BN14">
        <f>SUMIF('Как будет'!$A:$A,Доп.расчеты!$A14,'Как будет'!BO:BO)</f>
        <v>0</v>
      </c>
      <c r="BO14">
        <f>SUMIF('Как будет'!$A:$A,Доп.расчеты!$A14,'Как будет'!BP:BP)</f>
        <v>0</v>
      </c>
      <c r="BP14">
        <f>SUMIF('Как будет'!$A:$A,Доп.расчеты!$A14,'Как будет'!BQ:BQ)</f>
        <v>0</v>
      </c>
      <c r="BQ14">
        <f>SUMIF('Как будет'!$A:$A,Доп.расчеты!$A14,'Как будет'!BR:BR)</f>
        <v>0</v>
      </c>
      <c r="BR14">
        <f>SUMIF('Как будет'!$A:$A,Доп.расчеты!$A14,'Как будет'!BS:BS)</f>
        <v>0</v>
      </c>
      <c r="BS14">
        <f>SUMIF('Как будет'!$A:$A,Доп.расчеты!$A14,'Как будет'!BT:BT)</f>
        <v>0</v>
      </c>
      <c r="BT14">
        <f>SUMIF('Как будет'!$A:$A,Доп.расчеты!$A14,'Как будет'!BU:BU)</f>
        <v>0</v>
      </c>
      <c r="BU14">
        <f>SUMIF('Как будет'!$A:$A,Доп.расчеты!$A14,'Как будет'!BV:BV)</f>
        <v>0</v>
      </c>
      <c r="BV14">
        <f>SUMIF('Как будет'!$A:$A,Доп.расчеты!$A14,'Как будет'!BW:BW)</f>
        <v>0</v>
      </c>
      <c r="BW14">
        <f>SUMIF('Как будет'!$A:$A,Доп.расчеты!$A14,'Как будет'!BX:BX)</f>
        <v>0</v>
      </c>
      <c r="BX14">
        <f>SUMIF('Как будет'!$A:$A,Доп.расчеты!$A14,'Как будет'!BY:BY)</f>
        <v>0</v>
      </c>
      <c r="BY14">
        <f>SUMIF('Как будет'!$A:$A,Доп.расчеты!$A14,'Как будет'!BZ:BZ)</f>
        <v>0</v>
      </c>
      <c r="BZ14">
        <f>SUMIF('Как будет'!$A:$A,Доп.расчеты!$A14,'Как будет'!CA:CA)</f>
        <v>0</v>
      </c>
      <c r="CA14">
        <f>SUMIF('Как будет'!$A:$A,Доп.расчеты!$A14,'Как будет'!CB:CB)</f>
        <v>0</v>
      </c>
      <c r="CB14">
        <f>SUMIF('Как будет'!$A:$A,Доп.расчеты!$A14,'Как будет'!CC:CC)</f>
        <v>0</v>
      </c>
      <c r="CC14">
        <f>SUMIF('Как будет'!$A:$A,Доп.расчеты!$A14,'Как будет'!CD:CD)</f>
        <v>0</v>
      </c>
      <c r="CD14">
        <f>SUMIF('Как будет'!$A:$A,Доп.расчеты!$A14,'Как будет'!CE:CE)</f>
        <v>0</v>
      </c>
      <c r="CE14">
        <f>SUMIF('Как будет'!$A:$A,Доп.расчеты!$A14,'Как будет'!CF:CF)</f>
        <v>0</v>
      </c>
      <c r="CF14">
        <f>SUMIF('Как будет'!$A:$A,Доп.расчеты!$A14,'Как будет'!CG:CG)</f>
        <v>0</v>
      </c>
      <c r="CG14">
        <f>SUMIF('Как будет'!$A:$A,Доп.расчеты!$A14,'Как будет'!CH:CH)</f>
        <v>0</v>
      </c>
      <c r="CH14">
        <f>SUMIF('Как будет'!$A:$A,Доп.расчеты!$A14,'Как будет'!CI:CI)</f>
        <v>0</v>
      </c>
      <c r="CI14">
        <f>SUMIF('Как будет'!$A:$A,Доп.расчеты!$A14,'Как будет'!CJ:CJ)</f>
        <v>0</v>
      </c>
      <c r="CJ14">
        <f>SUMIF('Как будет'!$A:$A,Доп.расчеты!$A14,'Как будет'!CK:CK)</f>
        <v>0</v>
      </c>
      <c r="CK14">
        <f>SUMIF('Как будет'!$A:$A,Доп.расчеты!$A14,'Как будет'!CL:CL)</f>
        <v>0</v>
      </c>
      <c r="CL14">
        <f>SUMIF('Как будет'!$A:$A,Доп.расчеты!$A14,'Как будет'!CM:CM)</f>
        <v>0</v>
      </c>
      <c r="CM14">
        <f>SUMIF('Как будет'!$A:$A,Доп.расчеты!$A14,'Как будет'!CN:CN)</f>
        <v>0</v>
      </c>
      <c r="CN14">
        <f>SUMIF('Как будет'!$A:$A,Доп.расчеты!$A14,'Как будет'!CO:CO)</f>
        <v>0</v>
      </c>
      <c r="CO14">
        <f>SUMIF('Как будет'!$A:$A,Доп.расчеты!$A14,'Как будет'!CP:CP)</f>
        <v>0</v>
      </c>
      <c r="CP14">
        <f>SUMIF('Как будет'!$A:$A,Доп.расчеты!$A14,'Как будет'!CQ:CQ)</f>
        <v>0</v>
      </c>
      <c r="CQ14">
        <f>SUMIF('Как будет'!$A:$A,Доп.расчеты!$A14,'Как будет'!CR:CR)</f>
        <v>0</v>
      </c>
      <c r="CR14">
        <f>SUMIF('Как будет'!$A:$A,Доп.расчеты!$A14,'Как будет'!CS:CS)</f>
        <v>0</v>
      </c>
      <c r="CS14">
        <f>SUMIF('Как будет'!$A:$A,Доп.расчеты!$A14,'Как будет'!CT:CT)</f>
        <v>0</v>
      </c>
      <c r="CT14">
        <f>SUMIF('Как будет'!$A:$A,Доп.расчеты!$A14,'Как будет'!CU:CU)</f>
        <v>0</v>
      </c>
      <c r="CU14">
        <f>SUMIF('Как будет'!$A:$A,Доп.расчеты!$A14,'Как будет'!CV:CV)</f>
        <v>0</v>
      </c>
      <c r="CV14">
        <f>SUMIF('Как будет'!$A:$A,Доп.расчеты!$A14,'Как будет'!CW:CW)</f>
        <v>0</v>
      </c>
      <c r="CW14">
        <f>SUMIF('Как будет'!$A:$A,Доп.расчеты!$A14,'Как будет'!CX:CX)</f>
        <v>0</v>
      </c>
      <c r="CX14">
        <f>SUMIF('Как будет'!$A:$A,Доп.расчеты!$A14,'Как будет'!CY:CY)</f>
        <v>0</v>
      </c>
      <c r="CY14">
        <f>SUMIF('Как будет'!$A:$A,Доп.расчеты!$A14,'Как будет'!CZ:CZ)</f>
        <v>0</v>
      </c>
      <c r="CZ14">
        <f>SUMIF('Как будет'!$A:$A,Доп.расчеты!$A14,'Как будет'!DA:DA)</f>
        <v>0</v>
      </c>
      <c r="DA14">
        <f>SUMIF('Как будет'!$A:$A,Доп.расчеты!$A14,'Как будет'!DB:DB)</f>
        <v>0</v>
      </c>
      <c r="DB14">
        <f>SUMIF('Как будет'!$A:$A,Доп.расчеты!$A14,'Как будет'!DC:DC)</f>
        <v>0</v>
      </c>
      <c r="DC14">
        <f>SUMIF('Как будет'!$A:$A,Доп.расчеты!$A14,'Как будет'!DD:DD)</f>
        <v>0</v>
      </c>
      <c r="DD14">
        <f>SUMIF('Как будет'!$A:$A,Доп.расчеты!$A14,'Как будет'!DE:DE)</f>
        <v>0</v>
      </c>
      <c r="DE14">
        <f>SUMIF('Как будет'!$A:$A,Доп.расчеты!$A14,'Как будет'!DF:DF)</f>
        <v>0</v>
      </c>
      <c r="DF14">
        <f>SUMIF('Как будет'!$A:$A,Доп.расчеты!$A14,'Как будет'!DG:DG)</f>
        <v>0</v>
      </c>
      <c r="DG14">
        <f>SUMIF('Как будет'!$A:$A,Доп.расчеты!$A14,'Как будет'!DH:DH)</f>
        <v>0</v>
      </c>
      <c r="DH14">
        <f>SUMIF('Как будет'!$A:$A,Доп.расчеты!$A14,'Как будет'!DI:DI)</f>
        <v>0</v>
      </c>
      <c r="DI14">
        <f>SUMIF('Как будет'!$A:$A,Доп.расчеты!$A14,'Как будет'!DJ:DJ)</f>
        <v>0</v>
      </c>
      <c r="DJ14">
        <f>SUMIF('Как будет'!$A:$A,Доп.расчеты!$A14,'Как будет'!DK:DK)</f>
        <v>0</v>
      </c>
      <c r="DK14">
        <f>SUMIF('Как будет'!$A:$A,Доп.расчеты!$A14,'Как будет'!DL:DL)</f>
        <v>0</v>
      </c>
      <c r="DL14">
        <f>SUMIF('Как будет'!$A:$A,Доп.расчеты!$A14,'Как будет'!DM:DM)</f>
        <v>0</v>
      </c>
      <c r="DM14">
        <f>SUMIF('Как будет'!$A:$A,Доп.расчеты!$A14,'Как будет'!DN:DN)</f>
        <v>0</v>
      </c>
      <c r="DN14">
        <f>SUMIF('Как будет'!$A:$A,Доп.расчеты!$A14,'Как будет'!DO:DO)</f>
        <v>0</v>
      </c>
      <c r="DO14">
        <f>SUMIF('Как будет'!$A:$A,Доп.расчеты!$A14,'Как будет'!DP:DP)</f>
        <v>0</v>
      </c>
      <c r="DP14">
        <f>SUMIF('Как будет'!$A:$A,Доп.расчеты!$A14,'Как будет'!DQ:DQ)</f>
        <v>0</v>
      </c>
      <c r="DQ14">
        <f>SUMIF('Как будет'!$A:$A,Доп.расчеты!$A14,'Как будет'!DR:DR)</f>
        <v>0</v>
      </c>
      <c r="DR14">
        <f>SUMIF('Как будет'!$A:$A,Доп.расчеты!$A14,'Как будет'!DS:DS)</f>
        <v>0</v>
      </c>
      <c r="DS14">
        <f>SUMIF('Как будет'!$A:$A,Доп.расчеты!$A14,'Как будет'!DT:DT)</f>
        <v>0</v>
      </c>
      <c r="DT14">
        <f>SUMIF('Как будет'!$A:$A,Доп.расчеты!$A14,'Как будет'!DU:DU)</f>
        <v>0</v>
      </c>
      <c r="DU14">
        <f>SUMIF('Как будет'!$A:$A,Доп.расчеты!$A14,'Как будет'!DV:DV)</f>
        <v>0</v>
      </c>
      <c r="DV14">
        <f>SUMIF('Как будет'!$A:$A,Доп.расчеты!$A14,'Как будет'!DW:DW)</f>
        <v>0</v>
      </c>
      <c r="DW14">
        <f>SUMIF('Как будет'!$A:$A,Доп.расчеты!$A14,'Как будет'!DX:DX)</f>
        <v>0</v>
      </c>
      <c r="DX14">
        <f>SUMIF('Как будет'!$A:$A,Доп.расчеты!$A14,'Как будет'!DY:DY)</f>
        <v>0</v>
      </c>
      <c r="DY14">
        <f>SUMIF('Как будет'!$A:$A,Доп.расчеты!$A14,'Как будет'!DZ:DZ)</f>
        <v>0</v>
      </c>
      <c r="DZ14">
        <f>SUMIF('Как будет'!$A:$A,Доп.расчеты!$A14,'Как будет'!EA:EA)</f>
        <v>0</v>
      </c>
      <c r="EA14">
        <f>SUMIF('Как будет'!$A:$A,Доп.расчеты!$A14,'Как будет'!EB:EB)</f>
        <v>0</v>
      </c>
      <c r="EB14">
        <f>SUMIF('Как будет'!$A:$A,Доп.расчеты!$A14,'Как будет'!EC:EC)</f>
        <v>0</v>
      </c>
      <c r="EC14">
        <f>SUMIF('Как будет'!$A:$A,Доп.расчеты!$A14,'Как будет'!ED:ED)</f>
        <v>0</v>
      </c>
      <c r="ED14">
        <f>SUMIF('Как будет'!$A:$A,Доп.расчеты!$A14,'Как будет'!EE:EE)</f>
        <v>0</v>
      </c>
      <c r="EE14">
        <f>SUMIF('Как будет'!$A:$A,Доп.расчеты!$A14,'Как будет'!EF:EF)</f>
        <v>0</v>
      </c>
      <c r="EF14">
        <f>SUMIF('Как будет'!$A:$A,Доп.расчеты!$A14,'Как будет'!EG:EG)</f>
        <v>0</v>
      </c>
      <c r="EG14">
        <f>SUMIF('Как будет'!$A:$A,Доп.расчеты!$A14,'Как будет'!EH:EH)</f>
        <v>0</v>
      </c>
      <c r="EH14">
        <f>SUMIF('Как будет'!$A:$A,Доп.расчеты!$A14,'Как будет'!EI:EI)</f>
        <v>0</v>
      </c>
      <c r="EI14">
        <f>SUMIF('Как будет'!$A:$A,Доп.расчеты!$A14,'Как будет'!EJ:EJ)</f>
        <v>0</v>
      </c>
      <c r="EJ14">
        <f>SUMIF('Как будет'!$A:$A,Доп.расчеты!$A14,'Как будет'!EK:EK)</f>
        <v>0</v>
      </c>
      <c r="EK14">
        <f>SUMIF('Как будет'!$A:$A,Доп.расчеты!$A14,'Как будет'!EL:EL)</f>
        <v>0</v>
      </c>
      <c r="EL14">
        <f>SUMIF('Как будет'!$A:$A,Доп.расчеты!$A14,'Как будет'!EM:EM)</f>
        <v>0</v>
      </c>
      <c r="EM14">
        <f>SUMIF('Как будет'!$A:$A,Доп.расчеты!$A14,'Как будет'!EN:EN)</f>
        <v>0</v>
      </c>
      <c r="EN14">
        <f>SUMIF('Как будет'!$A:$A,Доп.расчеты!$A14,'Как будет'!EO:EO)</f>
        <v>0</v>
      </c>
      <c r="EO14">
        <f>SUMIF('Как будет'!$A:$A,Доп.расчеты!$A14,'Как будет'!EP:EP)</f>
        <v>0</v>
      </c>
      <c r="EP14">
        <f>SUMIF('Как будет'!$A:$A,Доп.расчеты!$A14,'Как будет'!EQ:EQ)</f>
        <v>0</v>
      </c>
      <c r="EQ14">
        <f>SUMIF('Как будет'!$A:$A,Доп.расчеты!$A14,'Как будет'!ER:ER)</f>
        <v>0</v>
      </c>
      <c r="ER14">
        <f>SUMIF('Как будет'!$A:$A,Доп.расчеты!$A14,'Как будет'!ES:ES)</f>
        <v>0</v>
      </c>
      <c r="ES14">
        <f>SUMIF('Как будет'!$A:$A,Доп.расчеты!$A14,'Как будет'!ET:ET)</f>
        <v>0</v>
      </c>
      <c r="ET14">
        <f>SUMIF('Как будет'!$A:$A,Доп.расчеты!$A14,'Как будет'!EU:EU)</f>
        <v>0</v>
      </c>
      <c r="EU14">
        <f>SUMIF('Как будет'!$A:$A,Доп.расчеты!$A14,'Как будет'!EV:EV)</f>
        <v>0</v>
      </c>
      <c r="EV14">
        <f>SUMIF('Как будет'!$A:$A,Доп.расчеты!$A14,'Как будет'!EW:EW)</f>
        <v>0</v>
      </c>
      <c r="EW14">
        <f>SUMIF('Как будет'!$A:$A,Доп.расчеты!$A14,'Как будет'!EX:EX)</f>
        <v>0</v>
      </c>
      <c r="EX14">
        <f>SUMIF('Как будет'!$A:$A,Доп.расчеты!$A14,'Как будет'!EY:EY)</f>
        <v>0</v>
      </c>
      <c r="EY14">
        <f>SUMIF('Как будет'!$A:$A,Доп.расчеты!$A14,'Как будет'!EZ:EZ)</f>
        <v>0</v>
      </c>
      <c r="EZ14">
        <f>SUMIF('Как будет'!$A:$A,Доп.расчеты!$A14,'Как будет'!FA:FA)</f>
        <v>0</v>
      </c>
      <c r="FA14">
        <f>SUMIF('Как будет'!$A:$A,Доп.расчеты!$A14,'Как будет'!FB:FB)</f>
        <v>0</v>
      </c>
      <c r="FB14">
        <f>SUMIF('Как будет'!$A:$A,Доп.расчеты!$A14,'Как будет'!FC:FC)</f>
        <v>0</v>
      </c>
      <c r="FC14">
        <f>SUMIF('Как будет'!$A:$A,Доп.расчеты!$A14,'Как будет'!FD:FD)</f>
        <v>0</v>
      </c>
      <c r="FD14">
        <f>SUMIF('Как будет'!$A:$A,Доп.расчеты!$A14,'Как будет'!FE:FE)</f>
        <v>0</v>
      </c>
      <c r="FE14">
        <f>SUMIF('Как будет'!$A:$A,Доп.расчеты!$A14,'Как будет'!FF:FF)</f>
        <v>0</v>
      </c>
      <c r="FF14">
        <f>SUMIF('Как будет'!$A:$A,Доп.расчеты!$A14,'Как будет'!FG:FG)</f>
        <v>0</v>
      </c>
      <c r="FG14">
        <f>SUMIF('Как будет'!$A:$A,Доп.расчеты!$A14,'Как будет'!FH:FH)</f>
        <v>0</v>
      </c>
      <c r="FH14">
        <f>SUMIF('Как будет'!$A:$A,Доп.расчеты!$A14,'Как будет'!FI:FI)</f>
        <v>0</v>
      </c>
      <c r="FI14">
        <f>SUMIF('Как будет'!$A:$A,Доп.расчеты!$A14,'Как будет'!FJ:FJ)</f>
        <v>0</v>
      </c>
      <c r="FJ14">
        <f>SUMIF('Как будет'!$A:$A,Доп.расчеты!$A14,'Как будет'!FK:FK)</f>
        <v>0</v>
      </c>
      <c r="FK14">
        <f>SUMIF('Как будет'!$A:$A,Доп.расчеты!$A14,'Как будет'!FL:FL)</f>
        <v>0</v>
      </c>
      <c r="FL14">
        <f>SUMIF('Как будет'!$A:$A,Доп.расчеты!$A14,'Как будет'!FM:FM)</f>
        <v>0</v>
      </c>
      <c r="FM14">
        <f>SUMIF('Как будет'!$A:$A,Доп.расчеты!$A14,'Как будет'!FN:FN)</f>
        <v>0</v>
      </c>
      <c r="FN14">
        <f>SUMIF('Как будет'!$A:$A,Доп.расчеты!$A14,'Как будет'!FO:FO)</f>
        <v>0</v>
      </c>
      <c r="FO14">
        <f>SUMIF('Как будет'!$A:$A,Доп.расчеты!$A14,'Как будет'!FP:FP)</f>
        <v>0</v>
      </c>
      <c r="FP14">
        <f>SUMIF('Как будет'!$A:$A,Доп.расчеты!$A14,'Как будет'!FQ:FQ)</f>
        <v>0</v>
      </c>
      <c r="FQ14">
        <f>SUMIF('Как будет'!$A:$A,Доп.расчеты!$A14,'Как будет'!FR:FR)</f>
        <v>0</v>
      </c>
      <c r="FR14">
        <f>SUMIF('Как будет'!$A:$A,Доп.расчеты!$A14,'Как будет'!FS:FS)</f>
        <v>0</v>
      </c>
      <c r="FS14">
        <f>SUMIF('Как будет'!$A:$A,Доп.расчеты!$A14,'Как будет'!FT:FT)</f>
        <v>0</v>
      </c>
      <c r="FT14">
        <f>SUMIF('Как будет'!$A:$A,Доп.расчеты!$A14,'Как будет'!FU:FU)</f>
        <v>0</v>
      </c>
      <c r="FU14">
        <f>SUMIF('Как будет'!$A:$A,Доп.расчеты!$A14,'Как будет'!FV:FV)</f>
        <v>0</v>
      </c>
      <c r="FV14">
        <f>SUMIF('Как будет'!$A:$A,Доп.расчеты!$A14,'Как будет'!FW:FW)</f>
        <v>0</v>
      </c>
      <c r="FW14">
        <f>SUMIF('Как будет'!$A:$A,Доп.расчеты!$A14,'Как будет'!FX:FX)</f>
        <v>0</v>
      </c>
      <c r="FX14">
        <f>SUMIF('Как будет'!$A:$A,Доп.расчеты!$A14,'Как будет'!FY:FY)</f>
        <v>0</v>
      </c>
      <c r="FY14">
        <f>SUMIF('Как будет'!$A:$A,Доп.расчеты!$A14,'Как будет'!FZ:FZ)</f>
        <v>0</v>
      </c>
      <c r="FZ14">
        <f>SUMIF('Как будет'!$A:$A,Доп.расчеты!$A14,'Как будет'!GA:GA)</f>
        <v>0</v>
      </c>
      <c r="GA14">
        <f>SUMIF('Как будет'!$A:$A,Доп.расчеты!$A14,'Как будет'!GB:GB)</f>
        <v>0</v>
      </c>
      <c r="GB14">
        <f>SUMIF('Как будет'!$A:$A,Доп.расчеты!$A14,'Как будет'!GC:GC)</f>
        <v>0</v>
      </c>
      <c r="GC14">
        <f>SUMIF('Как будет'!$A:$A,Доп.расчеты!$A14,'Как будет'!GD:GD)</f>
        <v>0</v>
      </c>
      <c r="GD14">
        <f>SUMIF('Как будет'!$A:$A,Доп.расчеты!$A14,'Как будет'!GE:GE)</f>
        <v>0</v>
      </c>
      <c r="GE14">
        <f>SUMIF('Как будет'!$A:$A,Доп.расчеты!$A14,'Как будет'!GF:GF)</f>
        <v>0</v>
      </c>
      <c r="GF14">
        <f>SUMIF('Как будет'!$A:$A,Доп.расчеты!$A14,'Как будет'!GG:GG)</f>
        <v>0</v>
      </c>
      <c r="GG14">
        <f>SUMIF('Как будет'!$A:$A,Доп.расчеты!$A14,'Как будет'!GH:GH)</f>
        <v>0</v>
      </c>
      <c r="GH14">
        <f>SUMIF('Как будет'!$A:$A,Доп.расчеты!$A14,'Как будет'!GI:GI)</f>
        <v>0</v>
      </c>
      <c r="GI14">
        <f>SUMIF('Как будет'!$A:$A,Доп.расчеты!$A14,'Как будет'!GJ:GJ)</f>
        <v>0</v>
      </c>
      <c r="GJ14">
        <f>SUMIF('Как будет'!$A:$A,Доп.расчеты!$A14,'Как будет'!GK:GK)</f>
        <v>0</v>
      </c>
      <c r="GK14">
        <f>SUMIF('Как будет'!$A:$A,Доп.расчеты!$A14,'Как будет'!GL:GL)</f>
        <v>0</v>
      </c>
      <c r="GL14">
        <f>SUMIF('Как будет'!$A:$A,Доп.расчеты!$A14,'Как будет'!GM:GM)</f>
        <v>0</v>
      </c>
      <c r="GM14">
        <f>SUMIF('Как будет'!$A:$A,Доп.расчеты!$A14,'Как будет'!GN:GN)</f>
        <v>0</v>
      </c>
      <c r="GN14">
        <f>SUMIF('Как будет'!$A:$A,Доп.расчеты!$A14,'Как будет'!GO:GO)</f>
        <v>0</v>
      </c>
      <c r="GO14">
        <f>SUMIF('Как будет'!$A:$A,Доп.расчеты!$A14,'Как будет'!GP:GP)</f>
        <v>0</v>
      </c>
      <c r="GP14">
        <f>SUMIF('Как будет'!$A:$A,Доп.расчеты!$A14,'Как будет'!GQ:GQ)</f>
        <v>0</v>
      </c>
      <c r="GQ14">
        <f>SUMIF('Как будет'!$A:$A,Доп.расчеты!$A14,'Как будет'!GR:GR)</f>
        <v>0</v>
      </c>
      <c r="GR14">
        <f>SUMIF('Как будет'!$A:$A,Доп.расчеты!$A14,'Как будет'!GS:GS)</f>
        <v>0</v>
      </c>
      <c r="GS14">
        <f>SUMIF('Как будет'!$A:$A,Доп.расчеты!$A14,'Как будет'!GT:GT)</f>
        <v>0</v>
      </c>
      <c r="GT14">
        <f>SUMIF('Как будет'!$A:$A,Доп.расчеты!$A14,'Как будет'!GU:GU)</f>
        <v>0</v>
      </c>
    </row>
    <row r="15" spans="1:202">
      <c r="A15" s="242" t="s">
        <v>15</v>
      </c>
      <c r="B15">
        <f>SUMIF('Как будет'!$A:$A,Доп.расчеты!$A15,'Как будет'!C:C)</f>
        <v>0</v>
      </c>
      <c r="C15">
        <f>SUMIF('Как будет'!$A:$A,Доп.расчеты!$A15,'Как будет'!D:D)</f>
        <v>0</v>
      </c>
      <c r="D15">
        <f>SUMIF('Как будет'!$A:$A,Доп.расчеты!$A15,'Как будет'!E:E)</f>
        <v>0</v>
      </c>
      <c r="E15">
        <f>SUMIF('Как будет'!$A:$A,Доп.расчеты!$A15,'Как будет'!F:F)</f>
        <v>0</v>
      </c>
      <c r="F15">
        <f>SUMIF('Как будет'!$A:$A,Доп.расчеты!$A15,'Как будет'!G:G)</f>
        <v>0</v>
      </c>
      <c r="G15">
        <f>SUMIF('Как будет'!$A:$A,Доп.расчеты!$A15,'Как будет'!H:H)</f>
        <v>0</v>
      </c>
      <c r="H15">
        <f>SUMIF('Как будет'!$A:$A,Доп.расчеты!$A15,'Как будет'!I:I)</f>
        <v>0</v>
      </c>
      <c r="I15">
        <f>SUMIF('Как будет'!$A:$A,Доп.расчеты!$A15,'Как будет'!J:J)</f>
        <v>0</v>
      </c>
      <c r="J15">
        <f>SUMIF('Как будет'!$A:$A,Доп.расчеты!$A15,'Как будет'!K:K)</f>
        <v>0</v>
      </c>
      <c r="K15">
        <f>SUMIF('Как будет'!$A:$A,Доп.расчеты!$A15,'Как будет'!L:L)</f>
        <v>0</v>
      </c>
      <c r="L15">
        <f>SUMIF('Как будет'!$A:$A,Доп.расчеты!$A15,'Как будет'!M:M)</f>
        <v>0</v>
      </c>
      <c r="M15">
        <f>SUMIF('Как будет'!$A:$A,Доп.расчеты!$A15,'Как будет'!N:N)</f>
        <v>0</v>
      </c>
      <c r="N15">
        <f>SUMIF('Как будет'!$A:$A,Доп.расчеты!$A15,'Как будет'!O:O)</f>
        <v>0</v>
      </c>
      <c r="O15">
        <f>SUMIF('Как будет'!$A:$A,Доп.расчеты!$A15,'Как будет'!P:P)</f>
        <v>0</v>
      </c>
      <c r="P15">
        <f>SUMIF('Как будет'!$A:$A,Доп.расчеты!$A15,'Как будет'!Q:Q)</f>
        <v>0</v>
      </c>
      <c r="Q15">
        <f>SUMIF('Как будет'!$A:$A,Доп.расчеты!$A15,'Как будет'!R:R)</f>
        <v>0</v>
      </c>
      <c r="R15">
        <f>SUMIF('Как будет'!$A:$A,Доп.расчеты!$A15,'Как будет'!S:S)</f>
        <v>0</v>
      </c>
      <c r="S15">
        <f>SUMIF('Как будет'!$A:$A,Доп.расчеты!$A15,'Как будет'!T:T)</f>
        <v>0</v>
      </c>
      <c r="T15">
        <f>SUMIF('Как будет'!$A:$A,Доп.расчеты!$A15,'Как будет'!U:U)</f>
        <v>0</v>
      </c>
      <c r="U15">
        <f>SUMIF('Как будет'!$A:$A,Доп.расчеты!$A15,'Как будет'!V:V)</f>
        <v>0</v>
      </c>
      <c r="V15">
        <f>SUMIF('Как будет'!$A:$A,Доп.расчеты!$A15,'Как будет'!W:W)</f>
        <v>0</v>
      </c>
      <c r="W15">
        <f>SUMIF('Как будет'!$A:$A,Доп.расчеты!$A15,'Как будет'!X:X)</f>
        <v>0</v>
      </c>
      <c r="X15">
        <f>SUMIF('Как будет'!$A:$A,Доп.расчеты!$A15,'Как будет'!Y:Y)</f>
        <v>0</v>
      </c>
      <c r="Y15">
        <f>SUMIF('Как будет'!$A:$A,Доп.расчеты!$A15,'Как будет'!Z:Z)</f>
        <v>0</v>
      </c>
      <c r="Z15">
        <f>SUMIF('Как будет'!$A:$A,Доп.расчеты!$A15,'Как будет'!AA:AA)</f>
        <v>0</v>
      </c>
      <c r="AA15">
        <f>SUMIF('Как будет'!$A:$A,Доп.расчеты!$A15,'Как будет'!AB:AB)</f>
        <v>0</v>
      </c>
      <c r="AB15">
        <f>SUMIF('Как будет'!$A:$A,Доп.расчеты!$A15,'Как будет'!AC:AC)</f>
        <v>0</v>
      </c>
      <c r="AC15">
        <f>SUMIF('Как будет'!$A:$A,Доп.расчеты!$A15,'Как будет'!AD:AD)</f>
        <v>0</v>
      </c>
      <c r="AD15">
        <f>SUMIF('Как будет'!$A:$A,Доп.расчеты!$A15,'Как будет'!AE:AE)</f>
        <v>0</v>
      </c>
      <c r="AE15">
        <f>SUMIF('Как будет'!$A:$A,Доп.расчеты!$A15,'Как будет'!AF:AF)</f>
        <v>0</v>
      </c>
      <c r="AF15">
        <f>SUMIF('Как будет'!$A:$A,Доп.расчеты!$A15,'Как будет'!AG:AG)</f>
        <v>0</v>
      </c>
      <c r="AG15">
        <f>SUMIF('Как будет'!$A:$A,Доп.расчеты!$A15,'Как будет'!AH:AH)</f>
        <v>0</v>
      </c>
      <c r="AH15">
        <f>SUMIF('Как будет'!$A:$A,Доп.расчеты!$A15,'Как будет'!AI:AI)</f>
        <v>0</v>
      </c>
      <c r="AI15">
        <f>SUMIF('Как будет'!$A:$A,Доп.расчеты!$A15,'Как будет'!AJ:AJ)</f>
        <v>0</v>
      </c>
      <c r="AJ15">
        <f>SUMIF('Как будет'!$A:$A,Доп.расчеты!$A15,'Как будет'!AK:AK)</f>
        <v>0</v>
      </c>
      <c r="AK15">
        <f>SUMIF('Как будет'!$A:$A,Доп.расчеты!$A15,'Как будет'!AL:AL)</f>
        <v>0</v>
      </c>
      <c r="AL15">
        <f>SUMIF('Как будет'!$A:$A,Доп.расчеты!$A15,'Как будет'!AM:AM)</f>
        <v>0</v>
      </c>
      <c r="AM15">
        <f>SUMIF('Как будет'!$A:$A,Доп.расчеты!$A15,'Как будет'!AN:AN)</f>
        <v>0</v>
      </c>
      <c r="AN15">
        <f>SUMIF('Как будет'!$A:$A,Доп.расчеты!$A15,'Как будет'!AO:AO)</f>
        <v>0</v>
      </c>
      <c r="AO15">
        <f>SUMIF('Как будет'!$A:$A,Доп.расчеты!$A15,'Как будет'!AP:AP)</f>
        <v>0</v>
      </c>
      <c r="AP15">
        <f>SUMIF('Как будет'!$A:$A,Доп.расчеты!$A15,'Как будет'!AQ:AQ)</f>
        <v>0</v>
      </c>
      <c r="AQ15">
        <f>SUMIF('Как будет'!$A:$A,Доп.расчеты!$A15,'Как будет'!AR:AR)</f>
        <v>0</v>
      </c>
      <c r="AR15">
        <f>SUMIF('Как будет'!$A:$A,Доп.расчеты!$A15,'Как будет'!AS:AS)</f>
        <v>0</v>
      </c>
      <c r="AS15">
        <f>SUMIF('Как будет'!$A:$A,Доп.расчеты!$A15,'Как будет'!AT:AT)</f>
        <v>0</v>
      </c>
      <c r="AT15">
        <f>SUMIF('Как будет'!$A:$A,Доп.расчеты!$A15,'Как будет'!AU:AU)</f>
        <v>0</v>
      </c>
      <c r="AU15">
        <f>SUMIF('Как будет'!$A:$A,Доп.расчеты!$A15,'Как будет'!AV:AV)</f>
        <v>0</v>
      </c>
      <c r="AV15">
        <f>SUMIF('Как будет'!$A:$A,Доп.расчеты!$A15,'Как будет'!AW:AW)</f>
        <v>0</v>
      </c>
      <c r="AW15">
        <f>SUMIF('Как будет'!$A:$A,Доп.расчеты!$A15,'Как будет'!AX:AX)</f>
        <v>0</v>
      </c>
      <c r="AX15">
        <f>SUMIF('Как будет'!$A:$A,Доп.расчеты!$A15,'Как будет'!AY:AY)</f>
        <v>0</v>
      </c>
      <c r="AY15">
        <f>SUMIF('Как будет'!$A:$A,Доп.расчеты!$A15,'Как будет'!AZ:AZ)</f>
        <v>0</v>
      </c>
      <c r="AZ15">
        <f>SUMIF('Как будет'!$A:$A,Доп.расчеты!$A15,'Как будет'!BA:BA)</f>
        <v>0</v>
      </c>
      <c r="BA15">
        <f>SUMIF('Как будет'!$A:$A,Доп.расчеты!$A15,'Как будет'!BB:BB)</f>
        <v>0</v>
      </c>
      <c r="BB15">
        <f>SUMIF('Как будет'!$A:$A,Доп.расчеты!$A15,'Как будет'!BC:BC)</f>
        <v>0</v>
      </c>
      <c r="BC15">
        <f>SUMIF('Как будет'!$A:$A,Доп.расчеты!$A15,'Как будет'!BD:BD)</f>
        <v>0</v>
      </c>
      <c r="BD15">
        <f>SUMIF('Как будет'!$A:$A,Доп.расчеты!$A15,'Как будет'!BE:BE)</f>
        <v>0</v>
      </c>
      <c r="BE15">
        <f>SUMIF('Как будет'!$A:$A,Доп.расчеты!$A15,'Как будет'!BF:BF)</f>
        <v>0</v>
      </c>
      <c r="BF15">
        <f>SUMIF('Как будет'!$A:$A,Доп.расчеты!$A15,'Как будет'!BG:BG)</f>
        <v>0</v>
      </c>
      <c r="BG15">
        <f>SUMIF('Как будет'!$A:$A,Доп.расчеты!$A15,'Как будет'!BH:BH)</f>
        <v>0</v>
      </c>
      <c r="BH15">
        <f>SUMIF('Как будет'!$A:$A,Доп.расчеты!$A15,'Как будет'!BI:BI)</f>
        <v>0</v>
      </c>
      <c r="BI15">
        <f>SUMIF('Как будет'!$A:$A,Доп.расчеты!$A15,'Как будет'!BJ:BJ)</f>
        <v>0</v>
      </c>
      <c r="BJ15">
        <f>SUMIF('Как будет'!$A:$A,Доп.расчеты!$A15,'Как будет'!BK:BK)</f>
        <v>0</v>
      </c>
      <c r="BK15">
        <f>SUMIF('Как будет'!$A:$A,Доп.расчеты!$A15,'Как будет'!BL:BL)</f>
        <v>0</v>
      </c>
      <c r="BL15">
        <f>SUMIF('Как будет'!$A:$A,Доп.расчеты!$A15,'Как будет'!BM:BM)</f>
        <v>0</v>
      </c>
      <c r="BM15">
        <f>SUMIF('Как будет'!$A:$A,Доп.расчеты!$A15,'Как будет'!BN:BN)</f>
        <v>0</v>
      </c>
      <c r="BN15">
        <f>SUMIF('Как будет'!$A:$A,Доп.расчеты!$A15,'Как будет'!BO:BO)</f>
        <v>0</v>
      </c>
      <c r="BO15">
        <f>SUMIF('Как будет'!$A:$A,Доп.расчеты!$A15,'Как будет'!BP:BP)</f>
        <v>0</v>
      </c>
      <c r="BP15">
        <f>SUMIF('Как будет'!$A:$A,Доп.расчеты!$A15,'Как будет'!BQ:BQ)</f>
        <v>0</v>
      </c>
      <c r="BQ15">
        <f>SUMIF('Как будет'!$A:$A,Доп.расчеты!$A15,'Как будет'!BR:BR)</f>
        <v>0</v>
      </c>
      <c r="BR15">
        <f>SUMIF('Как будет'!$A:$A,Доп.расчеты!$A15,'Как будет'!BS:BS)</f>
        <v>0</v>
      </c>
      <c r="BS15">
        <f>SUMIF('Как будет'!$A:$A,Доп.расчеты!$A15,'Как будет'!BT:BT)</f>
        <v>0</v>
      </c>
      <c r="BT15">
        <f>SUMIF('Как будет'!$A:$A,Доп.расчеты!$A15,'Как будет'!BU:BU)</f>
        <v>0</v>
      </c>
      <c r="BU15">
        <f>SUMIF('Как будет'!$A:$A,Доп.расчеты!$A15,'Как будет'!BV:BV)</f>
        <v>0</v>
      </c>
      <c r="BV15">
        <f>SUMIF('Как будет'!$A:$A,Доп.расчеты!$A15,'Как будет'!BW:BW)</f>
        <v>0</v>
      </c>
      <c r="BW15">
        <f>SUMIF('Как будет'!$A:$A,Доп.расчеты!$A15,'Как будет'!BX:BX)</f>
        <v>0</v>
      </c>
      <c r="BX15">
        <f>SUMIF('Как будет'!$A:$A,Доп.расчеты!$A15,'Как будет'!BY:BY)</f>
        <v>0</v>
      </c>
      <c r="BY15">
        <f>SUMIF('Как будет'!$A:$A,Доп.расчеты!$A15,'Как будет'!BZ:BZ)</f>
        <v>0</v>
      </c>
      <c r="BZ15">
        <f>SUMIF('Как будет'!$A:$A,Доп.расчеты!$A15,'Как будет'!CA:CA)</f>
        <v>0</v>
      </c>
      <c r="CA15">
        <f>SUMIF('Как будет'!$A:$A,Доп.расчеты!$A15,'Как будет'!CB:CB)</f>
        <v>0</v>
      </c>
      <c r="CB15">
        <f>SUMIF('Как будет'!$A:$A,Доп.расчеты!$A15,'Как будет'!CC:CC)</f>
        <v>0</v>
      </c>
      <c r="CC15">
        <f>SUMIF('Как будет'!$A:$A,Доп.расчеты!$A15,'Как будет'!CD:CD)</f>
        <v>0</v>
      </c>
      <c r="CD15">
        <f>SUMIF('Как будет'!$A:$A,Доп.расчеты!$A15,'Как будет'!CE:CE)</f>
        <v>0</v>
      </c>
      <c r="CE15">
        <f>SUMIF('Как будет'!$A:$A,Доп.расчеты!$A15,'Как будет'!CF:CF)</f>
        <v>0</v>
      </c>
      <c r="CF15">
        <f>SUMIF('Как будет'!$A:$A,Доп.расчеты!$A15,'Как будет'!CG:CG)</f>
        <v>0</v>
      </c>
      <c r="CG15">
        <f>SUMIF('Как будет'!$A:$A,Доп.расчеты!$A15,'Как будет'!CH:CH)</f>
        <v>0</v>
      </c>
      <c r="CH15">
        <f>SUMIF('Как будет'!$A:$A,Доп.расчеты!$A15,'Как будет'!CI:CI)</f>
        <v>0</v>
      </c>
      <c r="CI15">
        <f>SUMIF('Как будет'!$A:$A,Доп.расчеты!$A15,'Как будет'!CJ:CJ)</f>
        <v>0</v>
      </c>
      <c r="CJ15">
        <f>SUMIF('Как будет'!$A:$A,Доп.расчеты!$A15,'Как будет'!CK:CK)</f>
        <v>0</v>
      </c>
      <c r="CK15">
        <f>SUMIF('Как будет'!$A:$A,Доп.расчеты!$A15,'Как будет'!CL:CL)</f>
        <v>0</v>
      </c>
      <c r="CL15">
        <f>SUMIF('Как будет'!$A:$A,Доп.расчеты!$A15,'Как будет'!CM:CM)</f>
        <v>0</v>
      </c>
      <c r="CM15">
        <f>SUMIF('Как будет'!$A:$A,Доп.расчеты!$A15,'Как будет'!CN:CN)</f>
        <v>0</v>
      </c>
      <c r="CN15">
        <f>SUMIF('Как будет'!$A:$A,Доп.расчеты!$A15,'Как будет'!CO:CO)</f>
        <v>0</v>
      </c>
      <c r="CO15">
        <f>SUMIF('Как будет'!$A:$A,Доп.расчеты!$A15,'Как будет'!CP:CP)</f>
        <v>0</v>
      </c>
      <c r="CP15">
        <f>SUMIF('Как будет'!$A:$A,Доп.расчеты!$A15,'Как будет'!CQ:CQ)</f>
        <v>0</v>
      </c>
      <c r="CQ15">
        <f>SUMIF('Как будет'!$A:$A,Доп.расчеты!$A15,'Как будет'!CR:CR)</f>
        <v>0</v>
      </c>
      <c r="CR15">
        <f>SUMIF('Как будет'!$A:$A,Доп.расчеты!$A15,'Как будет'!CS:CS)</f>
        <v>0</v>
      </c>
      <c r="CS15">
        <f>SUMIF('Как будет'!$A:$A,Доп.расчеты!$A15,'Как будет'!CT:CT)</f>
        <v>0</v>
      </c>
      <c r="CT15">
        <f>SUMIF('Как будет'!$A:$A,Доп.расчеты!$A15,'Как будет'!CU:CU)</f>
        <v>0</v>
      </c>
      <c r="CU15">
        <f>SUMIF('Как будет'!$A:$A,Доп.расчеты!$A15,'Как будет'!CV:CV)</f>
        <v>0</v>
      </c>
      <c r="CV15">
        <f>SUMIF('Как будет'!$A:$A,Доп.расчеты!$A15,'Как будет'!CW:CW)</f>
        <v>0</v>
      </c>
      <c r="CW15">
        <f>SUMIF('Как будет'!$A:$A,Доп.расчеты!$A15,'Как будет'!CX:CX)</f>
        <v>0</v>
      </c>
      <c r="CX15">
        <f>SUMIF('Как будет'!$A:$A,Доп.расчеты!$A15,'Как будет'!CY:CY)</f>
        <v>0</v>
      </c>
      <c r="CY15">
        <f>SUMIF('Как будет'!$A:$A,Доп.расчеты!$A15,'Как будет'!CZ:CZ)</f>
        <v>0</v>
      </c>
      <c r="CZ15">
        <f>SUMIF('Как будет'!$A:$A,Доп.расчеты!$A15,'Как будет'!DA:DA)</f>
        <v>0</v>
      </c>
      <c r="DA15">
        <f>SUMIF('Как будет'!$A:$A,Доп.расчеты!$A15,'Как будет'!DB:DB)</f>
        <v>0</v>
      </c>
      <c r="DB15">
        <f>SUMIF('Как будет'!$A:$A,Доп.расчеты!$A15,'Как будет'!DC:DC)</f>
        <v>0</v>
      </c>
      <c r="DC15">
        <f>SUMIF('Как будет'!$A:$A,Доп.расчеты!$A15,'Как будет'!DD:DD)</f>
        <v>0</v>
      </c>
      <c r="DD15">
        <f>SUMIF('Как будет'!$A:$A,Доп.расчеты!$A15,'Как будет'!DE:DE)</f>
        <v>0</v>
      </c>
      <c r="DE15">
        <f>SUMIF('Как будет'!$A:$A,Доп.расчеты!$A15,'Как будет'!DF:DF)</f>
        <v>0</v>
      </c>
      <c r="DF15">
        <f>SUMIF('Как будет'!$A:$A,Доп.расчеты!$A15,'Как будет'!DG:DG)</f>
        <v>0</v>
      </c>
      <c r="DG15">
        <f>SUMIF('Как будет'!$A:$A,Доп.расчеты!$A15,'Как будет'!DH:DH)</f>
        <v>0</v>
      </c>
      <c r="DH15">
        <f>SUMIF('Как будет'!$A:$A,Доп.расчеты!$A15,'Как будет'!DI:DI)</f>
        <v>0</v>
      </c>
      <c r="DI15">
        <f>SUMIF('Как будет'!$A:$A,Доп.расчеты!$A15,'Как будет'!DJ:DJ)</f>
        <v>0</v>
      </c>
      <c r="DJ15">
        <f>SUMIF('Как будет'!$A:$A,Доп.расчеты!$A15,'Как будет'!DK:DK)</f>
        <v>0</v>
      </c>
      <c r="DK15">
        <f>SUMIF('Как будет'!$A:$A,Доп.расчеты!$A15,'Как будет'!DL:DL)</f>
        <v>0</v>
      </c>
      <c r="DL15">
        <f>SUMIF('Как будет'!$A:$A,Доп.расчеты!$A15,'Как будет'!DM:DM)</f>
        <v>0</v>
      </c>
      <c r="DM15">
        <f>SUMIF('Как будет'!$A:$A,Доп.расчеты!$A15,'Как будет'!DN:DN)</f>
        <v>0</v>
      </c>
      <c r="DN15">
        <f>SUMIF('Как будет'!$A:$A,Доп.расчеты!$A15,'Как будет'!DO:DO)</f>
        <v>0</v>
      </c>
      <c r="DO15">
        <f>SUMIF('Как будет'!$A:$A,Доп.расчеты!$A15,'Как будет'!DP:DP)</f>
        <v>0</v>
      </c>
      <c r="DP15">
        <f>SUMIF('Как будет'!$A:$A,Доп.расчеты!$A15,'Как будет'!DQ:DQ)</f>
        <v>0</v>
      </c>
      <c r="DQ15">
        <f>SUMIF('Как будет'!$A:$A,Доп.расчеты!$A15,'Как будет'!DR:DR)</f>
        <v>0</v>
      </c>
      <c r="DR15">
        <f>SUMIF('Как будет'!$A:$A,Доп.расчеты!$A15,'Как будет'!DS:DS)</f>
        <v>0</v>
      </c>
      <c r="DS15">
        <f>SUMIF('Как будет'!$A:$A,Доп.расчеты!$A15,'Как будет'!DT:DT)</f>
        <v>0</v>
      </c>
      <c r="DT15">
        <f>SUMIF('Как будет'!$A:$A,Доп.расчеты!$A15,'Как будет'!DU:DU)</f>
        <v>0</v>
      </c>
      <c r="DU15">
        <f>SUMIF('Как будет'!$A:$A,Доп.расчеты!$A15,'Как будет'!DV:DV)</f>
        <v>0</v>
      </c>
      <c r="DV15">
        <f>SUMIF('Как будет'!$A:$A,Доп.расчеты!$A15,'Как будет'!DW:DW)</f>
        <v>0</v>
      </c>
      <c r="DW15">
        <f>SUMIF('Как будет'!$A:$A,Доп.расчеты!$A15,'Как будет'!DX:DX)</f>
        <v>0</v>
      </c>
      <c r="DX15">
        <f>SUMIF('Как будет'!$A:$A,Доп.расчеты!$A15,'Как будет'!DY:DY)</f>
        <v>0</v>
      </c>
      <c r="DY15">
        <f>SUMIF('Как будет'!$A:$A,Доп.расчеты!$A15,'Как будет'!DZ:DZ)</f>
        <v>0</v>
      </c>
      <c r="DZ15">
        <f>SUMIF('Как будет'!$A:$A,Доп.расчеты!$A15,'Как будет'!EA:EA)</f>
        <v>0</v>
      </c>
      <c r="EA15">
        <f>SUMIF('Как будет'!$A:$A,Доп.расчеты!$A15,'Как будет'!EB:EB)</f>
        <v>0</v>
      </c>
      <c r="EB15">
        <f>SUMIF('Как будет'!$A:$A,Доп.расчеты!$A15,'Как будет'!EC:EC)</f>
        <v>0</v>
      </c>
      <c r="EC15">
        <f>SUMIF('Как будет'!$A:$A,Доп.расчеты!$A15,'Как будет'!ED:ED)</f>
        <v>0</v>
      </c>
      <c r="ED15">
        <f>SUMIF('Как будет'!$A:$A,Доп.расчеты!$A15,'Как будет'!EE:EE)</f>
        <v>0</v>
      </c>
      <c r="EE15">
        <f>SUMIF('Как будет'!$A:$A,Доп.расчеты!$A15,'Как будет'!EF:EF)</f>
        <v>0</v>
      </c>
      <c r="EF15">
        <f>SUMIF('Как будет'!$A:$A,Доп.расчеты!$A15,'Как будет'!EG:EG)</f>
        <v>0</v>
      </c>
      <c r="EG15">
        <f>SUMIF('Как будет'!$A:$A,Доп.расчеты!$A15,'Как будет'!EH:EH)</f>
        <v>0</v>
      </c>
      <c r="EH15">
        <f>SUMIF('Как будет'!$A:$A,Доп.расчеты!$A15,'Как будет'!EI:EI)</f>
        <v>0</v>
      </c>
      <c r="EI15">
        <f>SUMIF('Как будет'!$A:$A,Доп.расчеты!$A15,'Как будет'!EJ:EJ)</f>
        <v>0</v>
      </c>
      <c r="EJ15">
        <f>SUMIF('Как будет'!$A:$A,Доп.расчеты!$A15,'Как будет'!EK:EK)</f>
        <v>0</v>
      </c>
      <c r="EK15">
        <f>SUMIF('Как будет'!$A:$A,Доп.расчеты!$A15,'Как будет'!EL:EL)</f>
        <v>0</v>
      </c>
      <c r="EL15">
        <f>SUMIF('Как будет'!$A:$A,Доп.расчеты!$A15,'Как будет'!EM:EM)</f>
        <v>0</v>
      </c>
      <c r="EM15">
        <f>SUMIF('Как будет'!$A:$A,Доп.расчеты!$A15,'Как будет'!EN:EN)</f>
        <v>0</v>
      </c>
      <c r="EN15">
        <f>SUMIF('Как будет'!$A:$A,Доп.расчеты!$A15,'Как будет'!EO:EO)</f>
        <v>0</v>
      </c>
      <c r="EO15">
        <f>SUMIF('Как будет'!$A:$A,Доп.расчеты!$A15,'Как будет'!EP:EP)</f>
        <v>0</v>
      </c>
      <c r="EP15">
        <f>SUMIF('Как будет'!$A:$A,Доп.расчеты!$A15,'Как будет'!EQ:EQ)</f>
        <v>0</v>
      </c>
      <c r="EQ15">
        <f>SUMIF('Как будет'!$A:$A,Доп.расчеты!$A15,'Как будет'!ER:ER)</f>
        <v>0</v>
      </c>
      <c r="ER15">
        <f>SUMIF('Как будет'!$A:$A,Доп.расчеты!$A15,'Как будет'!ES:ES)</f>
        <v>0</v>
      </c>
      <c r="ES15">
        <f>SUMIF('Как будет'!$A:$A,Доп.расчеты!$A15,'Как будет'!ET:ET)</f>
        <v>0</v>
      </c>
      <c r="ET15">
        <f>SUMIF('Как будет'!$A:$A,Доп.расчеты!$A15,'Как будет'!EU:EU)</f>
        <v>0</v>
      </c>
      <c r="EU15">
        <f>SUMIF('Как будет'!$A:$A,Доп.расчеты!$A15,'Как будет'!EV:EV)</f>
        <v>0</v>
      </c>
      <c r="EV15">
        <f>SUMIF('Как будет'!$A:$A,Доп.расчеты!$A15,'Как будет'!EW:EW)</f>
        <v>0</v>
      </c>
      <c r="EW15">
        <f>SUMIF('Как будет'!$A:$A,Доп.расчеты!$A15,'Как будет'!EX:EX)</f>
        <v>0</v>
      </c>
      <c r="EX15">
        <f>SUMIF('Как будет'!$A:$A,Доп.расчеты!$A15,'Как будет'!EY:EY)</f>
        <v>0</v>
      </c>
      <c r="EY15">
        <f>SUMIF('Как будет'!$A:$A,Доп.расчеты!$A15,'Как будет'!EZ:EZ)</f>
        <v>0</v>
      </c>
      <c r="EZ15">
        <f>SUMIF('Как будет'!$A:$A,Доп.расчеты!$A15,'Как будет'!FA:FA)</f>
        <v>0</v>
      </c>
      <c r="FA15">
        <f>SUMIF('Как будет'!$A:$A,Доп.расчеты!$A15,'Как будет'!FB:FB)</f>
        <v>0</v>
      </c>
      <c r="FB15">
        <f>SUMIF('Как будет'!$A:$A,Доп.расчеты!$A15,'Как будет'!FC:FC)</f>
        <v>0</v>
      </c>
      <c r="FC15">
        <f>SUMIF('Как будет'!$A:$A,Доп.расчеты!$A15,'Как будет'!FD:FD)</f>
        <v>0</v>
      </c>
      <c r="FD15">
        <f>SUMIF('Как будет'!$A:$A,Доп.расчеты!$A15,'Как будет'!FE:FE)</f>
        <v>0</v>
      </c>
      <c r="FE15">
        <f>SUMIF('Как будет'!$A:$A,Доп.расчеты!$A15,'Как будет'!FF:FF)</f>
        <v>0</v>
      </c>
      <c r="FF15">
        <f>SUMIF('Как будет'!$A:$A,Доп.расчеты!$A15,'Как будет'!FG:FG)</f>
        <v>0</v>
      </c>
      <c r="FG15">
        <f>SUMIF('Как будет'!$A:$A,Доп.расчеты!$A15,'Как будет'!FH:FH)</f>
        <v>0</v>
      </c>
      <c r="FH15">
        <f>SUMIF('Как будет'!$A:$A,Доп.расчеты!$A15,'Как будет'!FI:FI)</f>
        <v>0</v>
      </c>
      <c r="FI15">
        <f>SUMIF('Как будет'!$A:$A,Доп.расчеты!$A15,'Как будет'!FJ:FJ)</f>
        <v>0</v>
      </c>
      <c r="FJ15">
        <f>SUMIF('Как будет'!$A:$A,Доп.расчеты!$A15,'Как будет'!FK:FK)</f>
        <v>0</v>
      </c>
      <c r="FK15">
        <f>SUMIF('Как будет'!$A:$A,Доп.расчеты!$A15,'Как будет'!FL:FL)</f>
        <v>0</v>
      </c>
      <c r="FL15">
        <f>SUMIF('Как будет'!$A:$A,Доп.расчеты!$A15,'Как будет'!FM:FM)</f>
        <v>0</v>
      </c>
      <c r="FM15">
        <f>SUMIF('Как будет'!$A:$A,Доп.расчеты!$A15,'Как будет'!FN:FN)</f>
        <v>0</v>
      </c>
      <c r="FN15">
        <f>SUMIF('Как будет'!$A:$A,Доп.расчеты!$A15,'Как будет'!FO:FO)</f>
        <v>0</v>
      </c>
      <c r="FO15">
        <f>SUMIF('Как будет'!$A:$A,Доп.расчеты!$A15,'Как будет'!FP:FP)</f>
        <v>0</v>
      </c>
      <c r="FP15">
        <f>SUMIF('Как будет'!$A:$A,Доп.расчеты!$A15,'Как будет'!FQ:FQ)</f>
        <v>0</v>
      </c>
      <c r="FQ15">
        <f>SUMIF('Как будет'!$A:$A,Доп.расчеты!$A15,'Как будет'!FR:FR)</f>
        <v>0</v>
      </c>
      <c r="FR15">
        <f>SUMIF('Как будет'!$A:$A,Доп.расчеты!$A15,'Как будет'!FS:FS)</f>
        <v>0</v>
      </c>
      <c r="FS15">
        <f>SUMIF('Как будет'!$A:$A,Доп.расчеты!$A15,'Как будет'!FT:FT)</f>
        <v>0</v>
      </c>
      <c r="FT15">
        <f>SUMIF('Как будет'!$A:$A,Доп.расчеты!$A15,'Как будет'!FU:FU)</f>
        <v>0</v>
      </c>
      <c r="FU15">
        <f>SUMIF('Как будет'!$A:$A,Доп.расчеты!$A15,'Как будет'!FV:FV)</f>
        <v>0</v>
      </c>
      <c r="FV15">
        <f>SUMIF('Как будет'!$A:$A,Доп.расчеты!$A15,'Как будет'!FW:FW)</f>
        <v>0</v>
      </c>
      <c r="FW15">
        <f>SUMIF('Как будет'!$A:$A,Доп.расчеты!$A15,'Как будет'!FX:FX)</f>
        <v>0</v>
      </c>
      <c r="FX15">
        <f>SUMIF('Как будет'!$A:$A,Доп.расчеты!$A15,'Как будет'!FY:FY)</f>
        <v>0</v>
      </c>
      <c r="FY15">
        <f>SUMIF('Как будет'!$A:$A,Доп.расчеты!$A15,'Как будет'!FZ:FZ)</f>
        <v>0</v>
      </c>
      <c r="FZ15">
        <f>SUMIF('Как будет'!$A:$A,Доп.расчеты!$A15,'Как будет'!GA:GA)</f>
        <v>0</v>
      </c>
      <c r="GA15">
        <f>SUMIF('Как будет'!$A:$A,Доп.расчеты!$A15,'Как будет'!GB:GB)</f>
        <v>0</v>
      </c>
      <c r="GB15">
        <f>SUMIF('Как будет'!$A:$A,Доп.расчеты!$A15,'Как будет'!GC:GC)</f>
        <v>0</v>
      </c>
      <c r="GC15">
        <f>SUMIF('Как будет'!$A:$A,Доп.расчеты!$A15,'Как будет'!GD:GD)</f>
        <v>0</v>
      </c>
      <c r="GD15">
        <f>SUMIF('Как будет'!$A:$A,Доп.расчеты!$A15,'Как будет'!GE:GE)</f>
        <v>0</v>
      </c>
      <c r="GE15">
        <f>SUMIF('Как будет'!$A:$A,Доп.расчеты!$A15,'Как будет'!GF:GF)</f>
        <v>0</v>
      </c>
      <c r="GF15">
        <f>SUMIF('Как будет'!$A:$A,Доп.расчеты!$A15,'Как будет'!GG:GG)</f>
        <v>0</v>
      </c>
      <c r="GG15">
        <f>SUMIF('Как будет'!$A:$A,Доп.расчеты!$A15,'Как будет'!GH:GH)</f>
        <v>0</v>
      </c>
      <c r="GH15">
        <f>SUMIF('Как будет'!$A:$A,Доп.расчеты!$A15,'Как будет'!GI:GI)</f>
        <v>0</v>
      </c>
      <c r="GI15">
        <f>SUMIF('Как будет'!$A:$A,Доп.расчеты!$A15,'Как будет'!GJ:GJ)</f>
        <v>0</v>
      </c>
      <c r="GJ15">
        <f>SUMIF('Как будет'!$A:$A,Доп.расчеты!$A15,'Как будет'!GK:GK)</f>
        <v>0</v>
      </c>
      <c r="GK15">
        <f>SUMIF('Как будет'!$A:$A,Доп.расчеты!$A15,'Как будет'!GL:GL)</f>
        <v>0</v>
      </c>
      <c r="GL15">
        <f>SUMIF('Как будет'!$A:$A,Доп.расчеты!$A15,'Как будет'!GM:GM)</f>
        <v>0</v>
      </c>
      <c r="GM15">
        <f>SUMIF('Как будет'!$A:$A,Доп.расчеты!$A15,'Как будет'!GN:GN)</f>
        <v>0</v>
      </c>
      <c r="GN15">
        <f>SUMIF('Как будет'!$A:$A,Доп.расчеты!$A15,'Как будет'!GO:GO)</f>
        <v>0</v>
      </c>
      <c r="GO15">
        <f>SUMIF('Как будет'!$A:$A,Доп.расчеты!$A15,'Как будет'!GP:GP)</f>
        <v>0</v>
      </c>
      <c r="GP15">
        <f>SUMIF('Как будет'!$A:$A,Доп.расчеты!$A15,'Как будет'!GQ:GQ)</f>
        <v>0</v>
      </c>
      <c r="GQ15">
        <f>SUMIF('Как будет'!$A:$A,Доп.расчеты!$A15,'Как будет'!GR:GR)</f>
        <v>0</v>
      </c>
      <c r="GR15">
        <f>SUMIF('Как будет'!$A:$A,Доп.расчеты!$A15,'Как будет'!GS:GS)</f>
        <v>0</v>
      </c>
      <c r="GS15">
        <f>SUMIF('Как будет'!$A:$A,Доп.расчеты!$A15,'Как будет'!GT:GT)</f>
        <v>0</v>
      </c>
      <c r="GT15">
        <f>SUMIF('Как будет'!$A:$A,Доп.расчеты!$A15,'Как будет'!GU:GU)</f>
        <v>0</v>
      </c>
    </row>
    <row r="18" spans="1:202">
      <c r="A18" s="57" t="s">
        <v>142</v>
      </c>
    </row>
    <row r="19" spans="1:202">
      <c r="A19" s="236" t="s">
        <v>122</v>
      </c>
      <c r="B19">
        <f>SUMIF('Как есть'!$A101:$A108,Доп.расчеты!$A19,'Как есть'!C101:C108)</f>
        <v>0</v>
      </c>
      <c r="C19">
        <f>SUMIF('Как есть'!$A101:$A108,Доп.расчеты!$A19,'Как есть'!D101:D108)</f>
        <v>0</v>
      </c>
      <c r="D19">
        <f>SUMIF('Как есть'!$A101:$A108,Доп.расчеты!$A19,'Как есть'!E101:E108)</f>
        <v>0</v>
      </c>
      <c r="E19">
        <f>SUMIF('Как есть'!$A101:$A108,Доп.расчеты!$A19,'Как есть'!F101:F108)</f>
        <v>0</v>
      </c>
      <c r="F19">
        <f>SUMIF('Как есть'!$A101:$A108,Доп.расчеты!$A19,'Как есть'!G101:G108)</f>
        <v>0</v>
      </c>
      <c r="G19">
        <f>SUMIF('Как есть'!$A101:$A108,Доп.расчеты!$A19,'Как есть'!H101:H108)</f>
        <v>0</v>
      </c>
      <c r="H19">
        <f>SUMIF('Как есть'!$A101:$A108,Доп.расчеты!$A19,'Как есть'!I101:I108)</f>
        <v>0</v>
      </c>
      <c r="I19">
        <f>SUMIF('Как есть'!$A101:$A108,Доп.расчеты!$A19,'Как есть'!J101:J108)</f>
        <v>0</v>
      </c>
      <c r="J19">
        <f>SUMIF('Как есть'!$A101:$A108,Доп.расчеты!$A19,'Как есть'!K101:K108)</f>
        <v>0</v>
      </c>
      <c r="K19">
        <f>SUMIF('Как есть'!$A101:$A108,Доп.расчеты!$A19,'Как есть'!L101:L108)</f>
        <v>0</v>
      </c>
      <c r="L19">
        <f>SUMIF('Как есть'!$A101:$A108,Доп.расчеты!$A19,'Как есть'!M101:M108)</f>
        <v>0</v>
      </c>
      <c r="M19">
        <f>SUMIF('Как есть'!$A101:$A108,Доп.расчеты!$A19,'Как есть'!N101:N108)</f>
        <v>0</v>
      </c>
      <c r="N19">
        <f>SUMIF('Как есть'!$A101:$A108,Доп.расчеты!$A19,'Как есть'!O101:O108)</f>
        <v>0</v>
      </c>
      <c r="O19">
        <f>SUMIF('Как есть'!$A101:$A108,Доп.расчеты!$A19,'Как есть'!P101:P108)</f>
        <v>0</v>
      </c>
      <c r="P19">
        <f>SUMIF('Как есть'!$A101:$A108,Доп.расчеты!$A19,'Как есть'!Q101:Q108)</f>
        <v>0</v>
      </c>
      <c r="Q19">
        <f>SUMIF('Как есть'!$A101:$A108,Доп.расчеты!$A19,'Как есть'!R101:R108)</f>
        <v>0</v>
      </c>
      <c r="R19">
        <f>SUMIF('Как есть'!$A101:$A108,Доп.расчеты!$A19,'Как есть'!S101:S108)</f>
        <v>0</v>
      </c>
      <c r="S19">
        <f>SUMIF('Как есть'!$A101:$A108,Доп.расчеты!$A19,'Как есть'!T101:T108)</f>
        <v>0</v>
      </c>
      <c r="T19">
        <f>SUMIF('Как есть'!$A101:$A108,Доп.расчеты!$A19,'Как есть'!U101:U108)</f>
        <v>0</v>
      </c>
      <c r="U19">
        <f>SUMIF('Как есть'!$A101:$A108,Доп.расчеты!$A19,'Как есть'!V101:V108)</f>
        <v>0</v>
      </c>
      <c r="V19">
        <f>SUMIF('Как есть'!$A101:$A108,Доп.расчеты!$A19,'Как есть'!W101:W108)</f>
        <v>0</v>
      </c>
      <c r="W19">
        <f>SUMIF('Как есть'!$A101:$A108,Доп.расчеты!$A19,'Как есть'!X101:X108)</f>
        <v>0</v>
      </c>
      <c r="X19">
        <f>SUMIF('Как есть'!$A101:$A108,Доп.расчеты!$A19,'Как есть'!Y101:Y108)</f>
        <v>0</v>
      </c>
      <c r="Y19">
        <f>SUMIF('Как есть'!$A101:$A108,Доп.расчеты!$A19,'Как есть'!Z101:Z108)</f>
        <v>0</v>
      </c>
      <c r="Z19">
        <f>SUMIF('Как есть'!$A101:$A108,Доп.расчеты!$A19,'Как есть'!AA101:AA108)</f>
        <v>0</v>
      </c>
      <c r="AA19">
        <f>SUMIF('Как есть'!$A101:$A108,Доп.расчеты!$A19,'Как есть'!AB101:AB108)</f>
        <v>0</v>
      </c>
      <c r="AB19">
        <f>SUMIF('Как есть'!$A101:$A108,Доп.расчеты!$A19,'Как есть'!AC101:AC108)</f>
        <v>0</v>
      </c>
      <c r="AC19">
        <f>SUMIF('Как есть'!$A101:$A108,Доп.расчеты!$A19,'Как есть'!AD101:AD108)</f>
        <v>0</v>
      </c>
      <c r="AD19">
        <f>SUMIF('Как есть'!$A101:$A108,Доп.расчеты!$A19,'Как есть'!AE101:AE108)</f>
        <v>0</v>
      </c>
      <c r="AE19">
        <f>SUMIF('Как есть'!$A101:$A108,Доп.расчеты!$A19,'Как есть'!AF101:AF108)</f>
        <v>0</v>
      </c>
      <c r="AF19">
        <f>SUMIF('Как есть'!$A101:$A108,Доп.расчеты!$A19,'Как есть'!AG101:AG108)</f>
        <v>0</v>
      </c>
      <c r="AG19">
        <f>SUMIF('Как есть'!$A101:$A108,Доп.расчеты!$A19,'Как есть'!AH101:AH108)</f>
        <v>0</v>
      </c>
      <c r="AH19">
        <f>SUMIF('Как есть'!$A101:$A108,Доп.расчеты!$A19,'Как есть'!AI101:AI108)</f>
        <v>0</v>
      </c>
      <c r="AI19">
        <f>SUMIF('Как есть'!$A101:$A108,Доп.расчеты!$A19,'Как есть'!AJ101:AJ108)</f>
        <v>0</v>
      </c>
      <c r="AJ19">
        <f>SUMIF('Как есть'!$A101:$A108,Доп.расчеты!$A19,'Как есть'!AK101:AK108)</f>
        <v>0</v>
      </c>
      <c r="AK19">
        <f>SUMIF('Как есть'!$A101:$A108,Доп.расчеты!$A19,'Как есть'!AL101:AL108)</f>
        <v>0</v>
      </c>
      <c r="AL19">
        <f>SUMIF('Как есть'!$A101:$A108,Доп.расчеты!$A19,'Как есть'!AM101:AM108)</f>
        <v>0</v>
      </c>
      <c r="AM19">
        <f>SUMIF('Как есть'!$A101:$A108,Доп.расчеты!$A19,'Как есть'!AN101:AN108)</f>
        <v>0</v>
      </c>
      <c r="AN19">
        <f>SUMIF('Как есть'!$A101:$A108,Доп.расчеты!$A19,'Как есть'!AO101:AO108)</f>
        <v>0</v>
      </c>
      <c r="AO19">
        <f>SUMIF('Как есть'!$A101:$A108,Доп.расчеты!$A19,'Как есть'!AP101:AP108)</f>
        <v>0</v>
      </c>
      <c r="AP19">
        <f>SUMIF('Как есть'!$A101:$A108,Доп.расчеты!$A19,'Как есть'!AQ101:AQ108)</f>
        <v>0</v>
      </c>
      <c r="AQ19">
        <f>SUMIF('Как есть'!$A101:$A108,Доп.расчеты!$A19,'Как есть'!AR101:AR108)</f>
        <v>0</v>
      </c>
      <c r="AR19">
        <f>SUMIF('Как есть'!$A101:$A108,Доп.расчеты!$A19,'Как есть'!AS101:AS108)</f>
        <v>0</v>
      </c>
      <c r="AS19">
        <f>SUMIF('Как есть'!$A101:$A108,Доп.расчеты!$A19,'Как есть'!AT101:AT108)</f>
        <v>0</v>
      </c>
      <c r="AT19">
        <f>SUMIF('Как есть'!$A101:$A108,Доп.расчеты!$A19,'Как есть'!AU101:AU108)</f>
        <v>0</v>
      </c>
      <c r="AU19">
        <f>SUMIF('Как есть'!$A101:$A108,Доп.расчеты!$A19,'Как есть'!AV101:AV108)</f>
        <v>0</v>
      </c>
      <c r="AV19">
        <f>SUMIF('Как есть'!$A101:$A108,Доп.расчеты!$A19,'Как есть'!AW101:AW108)</f>
        <v>0</v>
      </c>
      <c r="AW19">
        <f>SUMIF('Как есть'!$A101:$A108,Доп.расчеты!$A19,'Как есть'!AX101:AX108)</f>
        <v>0</v>
      </c>
      <c r="AX19">
        <f>SUMIF('Как есть'!$A101:$A108,Доп.расчеты!$A19,'Как есть'!AY101:AY108)</f>
        <v>0</v>
      </c>
      <c r="AY19">
        <f>SUMIF('Как есть'!$A101:$A108,Доп.расчеты!$A19,'Как есть'!AZ101:AZ108)</f>
        <v>0</v>
      </c>
      <c r="AZ19">
        <f>SUMIF('Как есть'!$A101:$A108,Доп.расчеты!$A19,'Как есть'!BA101:BA108)</f>
        <v>0</v>
      </c>
      <c r="BA19">
        <f>SUMIF('Как есть'!$A101:$A108,Доп.расчеты!$A19,'Как есть'!BB101:BB108)</f>
        <v>0</v>
      </c>
      <c r="BB19">
        <f>SUMIF('Как есть'!$A101:$A108,Доп.расчеты!$A19,'Как есть'!BC101:BC108)</f>
        <v>0</v>
      </c>
      <c r="BC19">
        <f>SUMIF('Как есть'!$A101:$A108,Доп.расчеты!$A19,'Как есть'!BD101:BD108)</f>
        <v>0</v>
      </c>
      <c r="BD19">
        <f>SUMIF('Как есть'!$A101:$A108,Доп.расчеты!$A19,'Как есть'!BE101:BE108)</f>
        <v>0</v>
      </c>
      <c r="BE19">
        <f>SUMIF('Как есть'!$A101:$A108,Доп.расчеты!$A19,'Как есть'!BF101:BF108)</f>
        <v>0</v>
      </c>
      <c r="BF19">
        <f>SUMIF('Как есть'!$A101:$A108,Доп.расчеты!$A19,'Как есть'!BG101:BG108)</f>
        <v>0</v>
      </c>
      <c r="BG19">
        <f>SUMIF('Как есть'!$A101:$A108,Доп.расчеты!$A19,'Как есть'!BH101:BH108)</f>
        <v>0</v>
      </c>
      <c r="BH19">
        <f>SUMIF('Как есть'!$A101:$A108,Доп.расчеты!$A19,'Как есть'!BI101:BI108)</f>
        <v>0</v>
      </c>
      <c r="BI19">
        <f>SUMIF('Как есть'!$A101:$A108,Доп.расчеты!$A19,'Как есть'!BJ101:BJ108)</f>
        <v>0</v>
      </c>
      <c r="BJ19">
        <f>SUMIF('Как есть'!$A101:$A108,Доп.расчеты!$A19,'Как есть'!BK101:BK108)</f>
        <v>0</v>
      </c>
      <c r="BK19">
        <f>SUMIF('Как есть'!$A101:$A108,Доп.расчеты!$A19,'Как есть'!BL101:BL108)</f>
        <v>0</v>
      </c>
      <c r="BL19">
        <f>SUMIF('Как есть'!$A101:$A108,Доп.расчеты!$A19,'Как есть'!BM101:BM108)</f>
        <v>0</v>
      </c>
      <c r="BM19">
        <f>SUMIF('Как есть'!$A101:$A108,Доп.расчеты!$A19,'Как есть'!BN101:BN108)</f>
        <v>0</v>
      </c>
      <c r="BN19">
        <f>SUMIF('Как есть'!$A101:$A108,Доп.расчеты!$A19,'Как есть'!BO101:BO108)</f>
        <v>0</v>
      </c>
      <c r="BO19">
        <f>SUMIF('Как есть'!$A101:$A108,Доп.расчеты!$A19,'Как есть'!BP101:BP108)</f>
        <v>0</v>
      </c>
      <c r="BP19">
        <f>SUMIF('Как есть'!$A101:$A108,Доп.расчеты!$A19,'Как есть'!BQ101:BQ108)</f>
        <v>0</v>
      </c>
      <c r="BQ19">
        <f>SUMIF('Как есть'!$A101:$A108,Доп.расчеты!$A19,'Как есть'!BR101:BR108)</f>
        <v>0</v>
      </c>
      <c r="BR19">
        <f>SUMIF('Как есть'!$A101:$A108,Доп.расчеты!$A19,'Как есть'!BS101:BS108)</f>
        <v>0</v>
      </c>
      <c r="BS19">
        <f>SUMIF('Как есть'!$A101:$A108,Доп.расчеты!$A19,'Как есть'!BT101:BT108)</f>
        <v>0</v>
      </c>
      <c r="BT19">
        <f>SUMIF('Как есть'!$A101:$A108,Доп.расчеты!$A19,'Как есть'!BU101:BU108)</f>
        <v>0</v>
      </c>
      <c r="BU19">
        <f>SUMIF('Как есть'!$A101:$A108,Доп.расчеты!$A19,'Как есть'!BV101:BV108)</f>
        <v>0</v>
      </c>
      <c r="BV19">
        <f>SUMIF('Как есть'!$A101:$A108,Доп.расчеты!$A19,'Как есть'!BW101:BW108)</f>
        <v>0</v>
      </c>
      <c r="BW19">
        <f>SUMIF('Как есть'!$A101:$A108,Доп.расчеты!$A19,'Как есть'!BX101:BX108)</f>
        <v>0</v>
      </c>
      <c r="BX19">
        <f>SUMIF('Как есть'!$A101:$A108,Доп.расчеты!$A19,'Как есть'!BY101:BY108)</f>
        <v>0</v>
      </c>
      <c r="BY19">
        <f>SUMIF('Как есть'!$A101:$A108,Доп.расчеты!$A19,'Как есть'!BZ101:BZ108)</f>
        <v>0</v>
      </c>
      <c r="BZ19">
        <f>SUMIF('Как есть'!$A101:$A108,Доп.расчеты!$A19,'Как есть'!CA101:CA108)</f>
        <v>0</v>
      </c>
      <c r="CA19">
        <f>SUMIF('Как есть'!$A101:$A108,Доп.расчеты!$A19,'Как есть'!CB101:CB108)</f>
        <v>0</v>
      </c>
      <c r="CB19">
        <f>SUMIF('Как есть'!$A101:$A108,Доп.расчеты!$A19,'Как есть'!CC101:CC108)</f>
        <v>0</v>
      </c>
      <c r="CC19">
        <f>SUMIF('Как есть'!$A101:$A108,Доп.расчеты!$A19,'Как есть'!CD101:CD108)</f>
        <v>0</v>
      </c>
      <c r="CD19">
        <f>SUMIF('Как есть'!$A101:$A108,Доп.расчеты!$A19,'Как есть'!CE101:CE108)</f>
        <v>0</v>
      </c>
      <c r="CE19">
        <f>SUMIF('Как есть'!$A101:$A108,Доп.расчеты!$A19,'Как есть'!CF101:CF108)</f>
        <v>0</v>
      </c>
      <c r="CF19">
        <f>SUMIF('Как есть'!$A101:$A108,Доп.расчеты!$A19,'Как есть'!CG101:CG108)</f>
        <v>0</v>
      </c>
      <c r="CG19">
        <f>SUMIF('Как есть'!$A101:$A108,Доп.расчеты!$A19,'Как есть'!CH101:CH108)</f>
        <v>0</v>
      </c>
      <c r="CH19">
        <f>SUMIF('Как есть'!$A101:$A108,Доп.расчеты!$A19,'Как есть'!CI101:CI108)</f>
        <v>0</v>
      </c>
      <c r="CI19">
        <f>SUMIF('Как есть'!$A101:$A108,Доп.расчеты!$A19,'Как есть'!CJ101:CJ108)</f>
        <v>0</v>
      </c>
      <c r="CJ19">
        <f>SUMIF('Как есть'!$A101:$A108,Доп.расчеты!$A19,'Как есть'!CK101:CK108)</f>
        <v>0</v>
      </c>
      <c r="CK19">
        <f>SUMIF('Как есть'!$A101:$A108,Доп.расчеты!$A19,'Как есть'!CL101:CL108)</f>
        <v>0</v>
      </c>
      <c r="CL19">
        <f>SUMIF('Как есть'!$A101:$A108,Доп.расчеты!$A19,'Как есть'!CM101:CM108)</f>
        <v>0</v>
      </c>
      <c r="CM19">
        <f>SUMIF('Как есть'!$A101:$A108,Доп.расчеты!$A19,'Как есть'!CN101:CN108)</f>
        <v>0</v>
      </c>
      <c r="CN19">
        <f>SUMIF('Как есть'!$A101:$A108,Доп.расчеты!$A19,'Как есть'!CO101:CO108)</f>
        <v>0</v>
      </c>
      <c r="CO19">
        <f>SUMIF('Как есть'!$A101:$A108,Доп.расчеты!$A19,'Как есть'!CP101:CP108)</f>
        <v>0</v>
      </c>
      <c r="CP19">
        <f>SUMIF('Как есть'!$A101:$A108,Доп.расчеты!$A19,'Как есть'!CQ101:CQ108)</f>
        <v>0</v>
      </c>
      <c r="CQ19">
        <f>SUMIF('Как есть'!$A101:$A108,Доп.расчеты!$A19,'Как есть'!CR101:CR108)</f>
        <v>0</v>
      </c>
      <c r="CR19">
        <f>SUMIF('Как есть'!$A101:$A108,Доп.расчеты!$A19,'Как есть'!CS101:CS108)</f>
        <v>0</v>
      </c>
      <c r="CS19">
        <f>SUMIF('Как есть'!$A101:$A108,Доп.расчеты!$A19,'Как есть'!CT101:CT108)</f>
        <v>0</v>
      </c>
      <c r="CT19">
        <f>SUMIF('Как есть'!$A101:$A108,Доп.расчеты!$A19,'Как есть'!CU101:CU108)</f>
        <v>0</v>
      </c>
      <c r="CU19">
        <f>SUMIF('Как есть'!$A101:$A108,Доп.расчеты!$A19,'Как есть'!CV101:CV108)</f>
        <v>0</v>
      </c>
      <c r="CV19">
        <f>SUMIF('Как есть'!$A101:$A108,Доп.расчеты!$A19,'Как есть'!CW101:CW108)</f>
        <v>0</v>
      </c>
      <c r="CW19">
        <f>SUMIF('Как есть'!$A101:$A108,Доп.расчеты!$A19,'Как есть'!CX101:CX108)</f>
        <v>0</v>
      </c>
      <c r="CX19">
        <f>SUMIF('Как есть'!$A101:$A108,Доп.расчеты!$A19,'Как есть'!CY101:CY108)</f>
        <v>0</v>
      </c>
      <c r="CY19">
        <f>SUMIF('Как есть'!$A101:$A108,Доп.расчеты!$A19,'Как есть'!CZ101:CZ108)</f>
        <v>0</v>
      </c>
      <c r="CZ19">
        <f>SUMIF('Как есть'!$A101:$A108,Доп.расчеты!$A19,'Как есть'!DA101:DA108)</f>
        <v>0</v>
      </c>
      <c r="DA19">
        <f>SUMIF('Как есть'!$A101:$A108,Доп.расчеты!$A19,'Как есть'!DB101:DB108)</f>
        <v>0</v>
      </c>
      <c r="DB19">
        <f>SUMIF('Как есть'!$A101:$A108,Доп.расчеты!$A19,'Как есть'!DC101:DC108)</f>
        <v>0</v>
      </c>
      <c r="DC19">
        <f>SUMIF('Как есть'!$A101:$A108,Доп.расчеты!$A19,'Как есть'!DD101:DD108)</f>
        <v>0</v>
      </c>
      <c r="DD19">
        <f>SUMIF('Как есть'!$A101:$A108,Доп.расчеты!$A19,'Как есть'!DE101:DE108)</f>
        <v>0</v>
      </c>
      <c r="DE19">
        <f>SUMIF('Как есть'!$A101:$A108,Доп.расчеты!$A19,'Как есть'!DF101:DF108)</f>
        <v>0</v>
      </c>
      <c r="DF19">
        <f>SUMIF('Как есть'!$A101:$A108,Доп.расчеты!$A19,'Как есть'!DG101:DG108)</f>
        <v>0</v>
      </c>
      <c r="DG19">
        <f>SUMIF('Как есть'!$A101:$A108,Доп.расчеты!$A19,'Как есть'!DH101:DH108)</f>
        <v>0</v>
      </c>
      <c r="DH19">
        <f>SUMIF('Как есть'!$A101:$A108,Доп.расчеты!$A19,'Как есть'!DI101:DI108)</f>
        <v>0</v>
      </c>
      <c r="DI19">
        <f>SUMIF('Как есть'!$A101:$A108,Доп.расчеты!$A19,'Как есть'!DJ101:DJ108)</f>
        <v>0</v>
      </c>
      <c r="DJ19">
        <f>SUMIF('Как есть'!$A101:$A108,Доп.расчеты!$A19,'Как есть'!DK101:DK108)</f>
        <v>0</v>
      </c>
      <c r="DK19">
        <f>SUMIF('Как есть'!$A101:$A108,Доп.расчеты!$A19,'Как есть'!DL101:DL108)</f>
        <v>0</v>
      </c>
      <c r="DL19">
        <f>SUMIF('Как есть'!$A101:$A108,Доп.расчеты!$A19,'Как есть'!DM101:DM108)</f>
        <v>0</v>
      </c>
      <c r="DM19">
        <f>SUMIF('Как есть'!$A101:$A108,Доп.расчеты!$A19,'Как есть'!DN101:DN108)</f>
        <v>0</v>
      </c>
      <c r="DN19">
        <f>SUMIF('Как есть'!$A101:$A108,Доп.расчеты!$A19,'Как есть'!DO101:DO108)</f>
        <v>0</v>
      </c>
      <c r="DO19">
        <f>SUMIF('Как есть'!$A101:$A108,Доп.расчеты!$A19,'Как есть'!DP101:DP108)</f>
        <v>0</v>
      </c>
      <c r="DP19">
        <f>SUMIF('Как есть'!$A101:$A108,Доп.расчеты!$A19,'Как есть'!DQ101:DQ108)</f>
        <v>0</v>
      </c>
      <c r="DQ19">
        <f>SUMIF('Как есть'!$A101:$A108,Доп.расчеты!$A19,'Как есть'!DR101:DR108)</f>
        <v>0</v>
      </c>
      <c r="DR19">
        <f>SUMIF('Как есть'!$A101:$A108,Доп.расчеты!$A19,'Как есть'!DS101:DS108)</f>
        <v>0</v>
      </c>
      <c r="DS19">
        <f>SUMIF('Как есть'!$A101:$A108,Доп.расчеты!$A19,'Как есть'!DT101:DT108)</f>
        <v>0</v>
      </c>
      <c r="DT19">
        <f>SUMIF('Как есть'!$A101:$A108,Доп.расчеты!$A19,'Как есть'!DU101:DU108)</f>
        <v>0</v>
      </c>
      <c r="DU19">
        <f>SUMIF('Как есть'!$A101:$A108,Доп.расчеты!$A19,'Как есть'!DV101:DV108)</f>
        <v>0</v>
      </c>
      <c r="DV19">
        <f>SUMIF('Как есть'!$A101:$A108,Доп.расчеты!$A19,'Как есть'!DW101:DW108)</f>
        <v>0</v>
      </c>
      <c r="DW19">
        <f>SUMIF('Как есть'!$A101:$A108,Доп.расчеты!$A19,'Как есть'!DX101:DX108)</f>
        <v>0</v>
      </c>
      <c r="DX19">
        <f>SUMIF('Как есть'!$A101:$A108,Доп.расчеты!$A19,'Как есть'!DY101:DY108)</f>
        <v>0</v>
      </c>
      <c r="DY19">
        <f>SUMIF('Как есть'!$A101:$A108,Доп.расчеты!$A19,'Как есть'!DZ101:DZ108)</f>
        <v>0</v>
      </c>
      <c r="DZ19">
        <f>SUMIF('Как есть'!$A101:$A108,Доп.расчеты!$A19,'Как есть'!EA101:EA108)</f>
        <v>0</v>
      </c>
      <c r="EA19">
        <f>SUMIF('Как есть'!$A101:$A108,Доп.расчеты!$A19,'Как есть'!EB101:EB108)</f>
        <v>0</v>
      </c>
      <c r="EB19">
        <f>SUMIF('Как есть'!$A101:$A108,Доп.расчеты!$A19,'Как есть'!EC101:EC108)</f>
        <v>0</v>
      </c>
      <c r="EC19">
        <f>SUMIF('Как есть'!$A101:$A108,Доп.расчеты!$A19,'Как есть'!ED101:ED108)</f>
        <v>0</v>
      </c>
      <c r="ED19">
        <f>SUMIF('Как есть'!$A101:$A108,Доп.расчеты!$A19,'Как есть'!EE101:EE108)</f>
        <v>0</v>
      </c>
      <c r="EE19">
        <f>SUMIF('Как есть'!$A101:$A108,Доп.расчеты!$A19,'Как есть'!EF101:EF108)</f>
        <v>0</v>
      </c>
      <c r="EF19">
        <f>SUMIF('Как есть'!$A101:$A108,Доп.расчеты!$A19,'Как есть'!EG101:EG108)</f>
        <v>0</v>
      </c>
      <c r="EG19">
        <f>SUMIF('Как есть'!$A101:$A108,Доп.расчеты!$A19,'Как есть'!EH101:EH108)</f>
        <v>0</v>
      </c>
      <c r="EH19">
        <f>SUMIF('Как есть'!$A101:$A108,Доп.расчеты!$A19,'Как есть'!EI101:EI108)</f>
        <v>0</v>
      </c>
      <c r="EI19">
        <f>SUMIF('Как есть'!$A101:$A108,Доп.расчеты!$A19,'Как есть'!EJ101:EJ108)</f>
        <v>0</v>
      </c>
      <c r="EJ19">
        <f>SUMIF('Как есть'!$A101:$A108,Доп.расчеты!$A19,'Как есть'!EK101:EK108)</f>
        <v>0</v>
      </c>
      <c r="EK19">
        <f>SUMIF('Как есть'!$A101:$A108,Доп.расчеты!$A19,'Как есть'!EL101:EL108)</f>
        <v>0</v>
      </c>
      <c r="EL19">
        <f>SUMIF('Как есть'!$A101:$A108,Доп.расчеты!$A19,'Как есть'!EM101:EM108)</f>
        <v>0</v>
      </c>
      <c r="EM19">
        <f>SUMIF('Как есть'!$A101:$A108,Доп.расчеты!$A19,'Как есть'!EN101:EN108)</f>
        <v>0</v>
      </c>
      <c r="EN19">
        <f>SUMIF('Как есть'!$A101:$A108,Доп.расчеты!$A19,'Как есть'!EO101:EO108)</f>
        <v>0</v>
      </c>
      <c r="EO19">
        <f>SUMIF('Как есть'!$A101:$A108,Доп.расчеты!$A19,'Как есть'!EP101:EP108)</f>
        <v>0</v>
      </c>
      <c r="EP19">
        <f>SUMIF('Как есть'!$A101:$A108,Доп.расчеты!$A19,'Как есть'!EQ101:EQ108)</f>
        <v>0</v>
      </c>
      <c r="EQ19">
        <f>SUMIF('Как есть'!$A101:$A108,Доп.расчеты!$A19,'Как есть'!ER101:ER108)</f>
        <v>0</v>
      </c>
      <c r="ER19">
        <f>SUMIF('Как есть'!$A101:$A108,Доп.расчеты!$A19,'Как есть'!ES101:ES108)</f>
        <v>0</v>
      </c>
      <c r="ES19">
        <f>SUMIF('Как есть'!$A101:$A108,Доп.расчеты!$A19,'Как есть'!ET101:ET108)</f>
        <v>0</v>
      </c>
      <c r="ET19">
        <f>SUMIF('Как есть'!$A101:$A108,Доп.расчеты!$A19,'Как есть'!EU101:EU108)</f>
        <v>0</v>
      </c>
      <c r="EU19">
        <f>SUMIF('Как есть'!$A101:$A108,Доп.расчеты!$A19,'Как есть'!EV101:EV108)</f>
        <v>0</v>
      </c>
      <c r="EV19">
        <f>SUMIF('Как есть'!$A101:$A108,Доп.расчеты!$A19,'Как есть'!EW101:EW108)</f>
        <v>0</v>
      </c>
      <c r="EW19">
        <f>SUMIF('Как есть'!$A101:$A108,Доп.расчеты!$A19,'Как есть'!EX101:EX108)</f>
        <v>0</v>
      </c>
      <c r="EX19">
        <f>SUMIF('Как есть'!$A101:$A108,Доп.расчеты!$A19,'Как есть'!EY101:EY108)</f>
        <v>0</v>
      </c>
      <c r="EY19">
        <f>SUMIF('Как есть'!$A101:$A108,Доп.расчеты!$A19,'Как есть'!EZ101:EZ108)</f>
        <v>0</v>
      </c>
      <c r="EZ19">
        <f>SUMIF('Как есть'!$A101:$A108,Доп.расчеты!$A19,'Как есть'!FA101:FA108)</f>
        <v>0</v>
      </c>
      <c r="FA19">
        <f>SUMIF('Как есть'!$A101:$A108,Доп.расчеты!$A19,'Как есть'!FB101:FB108)</f>
        <v>0</v>
      </c>
      <c r="FB19">
        <f>SUMIF('Как есть'!$A101:$A108,Доп.расчеты!$A19,'Как есть'!FC101:FC108)</f>
        <v>0</v>
      </c>
      <c r="FC19">
        <f>SUMIF('Как есть'!$A101:$A108,Доп.расчеты!$A19,'Как есть'!FD101:FD108)</f>
        <v>0</v>
      </c>
      <c r="FD19">
        <f>SUMIF('Как есть'!$A101:$A108,Доп.расчеты!$A19,'Как есть'!FE101:FE108)</f>
        <v>0</v>
      </c>
      <c r="FE19">
        <f>SUMIF('Как есть'!$A101:$A108,Доп.расчеты!$A19,'Как есть'!FF101:FF108)</f>
        <v>0</v>
      </c>
      <c r="FF19">
        <f>SUMIF('Как есть'!$A101:$A108,Доп.расчеты!$A19,'Как есть'!FG101:FG108)</f>
        <v>0</v>
      </c>
      <c r="FG19">
        <f>SUMIF('Как есть'!$A101:$A108,Доп.расчеты!$A19,'Как есть'!FH101:FH108)</f>
        <v>0</v>
      </c>
      <c r="FH19">
        <f>SUMIF('Как есть'!$A101:$A108,Доп.расчеты!$A19,'Как есть'!FI101:FI108)</f>
        <v>0</v>
      </c>
      <c r="FI19">
        <f>SUMIF('Как есть'!$A101:$A108,Доп.расчеты!$A19,'Как есть'!FJ101:FJ108)</f>
        <v>0</v>
      </c>
      <c r="FJ19">
        <f>SUMIF('Как есть'!$A101:$A108,Доп.расчеты!$A19,'Как есть'!FK101:FK108)</f>
        <v>0</v>
      </c>
      <c r="FK19">
        <f>SUMIF('Как есть'!$A101:$A108,Доп.расчеты!$A19,'Как есть'!FL101:FL108)</f>
        <v>0</v>
      </c>
      <c r="FL19">
        <f>SUMIF('Как есть'!$A101:$A108,Доп.расчеты!$A19,'Как есть'!FM101:FM108)</f>
        <v>0</v>
      </c>
      <c r="FM19">
        <f>SUMIF('Как есть'!$A101:$A108,Доп.расчеты!$A19,'Как есть'!FN101:FN108)</f>
        <v>0</v>
      </c>
      <c r="FN19">
        <f>SUMIF('Как есть'!$A101:$A108,Доп.расчеты!$A19,'Как есть'!FO101:FO108)</f>
        <v>0</v>
      </c>
      <c r="FO19">
        <f>SUMIF('Как есть'!$A101:$A108,Доп.расчеты!$A19,'Как есть'!FP101:FP108)</f>
        <v>0</v>
      </c>
      <c r="FP19">
        <f>SUMIF('Как есть'!$A101:$A108,Доп.расчеты!$A19,'Как есть'!FQ101:FQ108)</f>
        <v>0</v>
      </c>
      <c r="FQ19">
        <f>SUMIF('Как есть'!$A101:$A108,Доп.расчеты!$A19,'Как есть'!FR101:FR108)</f>
        <v>0</v>
      </c>
      <c r="FR19">
        <f>SUMIF('Как есть'!$A101:$A108,Доп.расчеты!$A19,'Как есть'!FS101:FS108)</f>
        <v>0</v>
      </c>
      <c r="FS19">
        <f>SUMIF('Как есть'!$A101:$A108,Доп.расчеты!$A19,'Как есть'!FT101:FT108)</f>
        <v>0</v>
      </c>
      <c r="FT19">
        <f>SUMIF('Как есть'!$A101:$A108,Доп.расчеты!$A19,'Как есть'!FU101:FU108)</f>
        <v>0</v>
      </c>
      <c r="FU19">
        <f>SUMIF('Как есть'!$A101:$A108,Доп.расчеты!$A19,'Как есть'!FV101:FV108)</f>
        <v>0</v>
      </c>
      <c r="FV19">
        <f>SUMIF('Как есть'!$A101:$A108,Доп.расчеты!$A19,'Как есть'!FW101:FW108)</f>
        <v>0</v>
      </c>
      <c r="FW19">
        <f>SUMIF('Как есть'!$A101:$A108,Доп.расчеты!$A19,'Как есть'!FX101:FX108)</f>
        <v>0</v>
      </c>
      <c r="FX19">
        <f>SUMIF('Как есть'!$A101:$A108,Доп.расчеты!$A19,'Как есть'!FY101:FY108)</f>
        <v>0</v>
      </c>
      <c r="FY19">
        <f>SUMIF('Как есть'!$A101:$A108,Доп.расчеты!$A19,'Как есть'!FZ101:FZ108)</f>
        <v>0</v>
      </c>
      <c r="FZ19">
        <f>SUMIF('Как есть'!$A101:$A108,Доп.расчеты!$A19,'Как есть'!GA101:GA108)</f>
        <v>0</v>
      </c>
      <c r="GA19">
        <f>SUMIF('Как есть'!$A101:$A108,Доп.расчеты!$A19,'Как есть'!GB101:GB108)</f>
        <v>0</v>
      </c>
      <c r="GB19">
        <f>SUMIF('Как есть'!$A101:$A108,Доп.расчеты!$A19,'Как есть'!GC101:GC108)</f>
        <v>0</v>
      </c>
      <c r="GC19">
        <f>SUMIF('Как есть'!$A101:$A108,Доп.расчеты!$A19,'Как есть'!GD101:GD108)</f>
        <v>0</v>
      </c>
      <c r="GD19">
        <f>SUMIF('Как есть'!$A101:$A108,Доп.расчеты!$A19,'Как есть'!GE101:GE108)</f>
        <v>0</v>
      </c>
      <c r="GE19">
        <f>SUMIF('Как есть'!$A101:$A108,Доп.расчеты!$A19,'Как есть'!GF101:GF108)</f>
        <v>0</v>
      </c>
      <c r="GF19">
        <f>SUMIF('Как есть'!$A101:$A108,Доп.расчеты!$A19,'Как есть'!GG101:GG108)</f>
        <v>0</v>
      </c>
      <c r="GG19">
        <f>SUMIF('Как есть'!$A101:$A108,Доп.расчеты!$A19,'Как есть'!GH101:GH108)</f>
        <v>0</v>
      </c>
      <c r="GH19">
        <f>SUMIF('Как есть'!$A101:$A108,Доп.расчеты!$A19,'Как есть'!GI101:GI108)</f>
        <v>0</v>
      </c>
      <c r="GI19">
        <f>SUMIF('Как есть'!$A101:$A108,Доп.расчеты!$A19,'Как есть'!GJ101:GJ108)</f>
        <v>0</v>
      </c>
      <c r="GJ19">
        <f>SUMIF('Как есть'!$A101:$A108,Доп.расчеты!$A19,'Как есть'!GK101:GK108)</f>
        <v>0</v>
      </c>
      <c r="GK19">
        <f>SUMIF('Как есть'!$A101:$A108,Доп.расчеты!$A19,'Как есть'!GL101:GL108)</f>
        <v>0</v>
      </c>
      <c r="GL19">
        <f>SUMIF('Как есть'!$A101:$A108,Доп.расчеты!$A19,'Как есть'!GM101:GM108)</f>
        <v>0</v>
      </c>
      <c r="GM19">
        <f>SUMIF('Как есть'!$A101:$A108,Доп.расчеты!$A19,'Как есть'!GN101:GN108)</f>
        <v>0</v>
      </c>
      <c r="GN19">
        <f>SUMIF('Как есть'!$A101:$A108,Доп.расчеты!$A19,'Как есть'!GO101:GO108)</f>
        <v>0</v>
      </c>
      <c r="GO19">
        <f>SUMIF('Как есть'!$A101:$A108,Доп.расчеты!$A19,'Как есть'!GP101:GP108)</f>
        <v>0</v>
      </c>
      <c r="GP19">
        <f>SUMIF('Как есть'!$A101:$A108,Доп.расчеты!$A19,'Как есть'!GQ101:GQ108)</f>
        <v>0</v>
      </c>
      <c r="GQ19">
        <f>SUMIF('Как есть'!$A101:$A108,Доп.расчеты!$A19,'Как есть'!GR101:GR108)</f>
        <v>0</v>
      </c>
      <c r="GR19">
        <f>SUMIF('Как есть'!$A101:$A108,Доп.расчеты!$A19,'Как есть'!GS101:GS108)</f>
        <v>0</v>
      </c>
      <c r="GS19">
        <f>SUMIF('Как есть'!$A101:$A108,Доп.расчеты!$A19,'Как есть'!GT101:GT108)</f>
        <v>0</v>
      </c>
      <c r="GT19">
        <f>SUMIF('Как есть'!$A101:$A108,Доп.расчеты!$A19,'Как есть'!GU101:GU108)</f>
        <v>0</v>
      </c>
    </row>
    <row r="20" spans="1:202">
      <c r="A20" s="236" t="s">
        <v>123</v>
      </c>
      <c r="B20">
        <f>SUMIF('Как есть'!$A101:$A108,Доп.расчеты!$A20,'Как есть'!C101:C108)</f>
        <v>0</v>
      </c>
      <c r="C20">
        <f>SUMIF('Как есть'!$A101:$A108,Доп.расчеты!$A20,'Как есть'!D101:D108)</f>
        <v>0</v>
      </c>
      <c r="D20">
        <f>SUMIF('Как есть'!$A101:$A108,Доп.расчеты!$A20,'Как есть'!E101:E108)</f>
        <v>0</v>
      </c>
      <c r="E20">
        <f>SUMIF('Как есть'!$A101:$A108,Доп.расчеты!$A20,'Как есть'!F101:F108)</f>
        <v>0</v>
      </c>
      <c r="F20">
        <f>SUMIF('Как есть'!$A101:$A108,Доп.расчеты!$A20,'Как есть'!G101:G108)</f>
        <v>0</v>
      </c>
      <c r="G20">
        <f>SUMIF('Как есть'!$A101:$A108,Доп.расчеты!$A20,'Как есть'!H101:H108)</f>
        <v>0</v>
      </c>
      <c r="H20">
        <f>SUMIF('Как есть'!$A101:$A108,Доп.расчеты!$A20,'Как есть'!I101:I108)</f>
        <v>0</v>
      </c>
      <c r="I20">
        <f>SUMIF('Как есть'!$A101:$A108,Доп.расчеты!$A20,'Как есть'!J101:J108)</f>
        <v>0</v>
      </c>
      <c r="J20">
        <f>SUMIF('Как есть'!$A101:$A108,Доп.расчеты!$A20,'Как есть'!K101:K108)</f>
        <v>0</v>
      </c>
      <c r="K20">
        <f>SUMIF('Как есть'!$A101:$A108,Доп.расчеты!$A20,'Как есть'!L101:L108)</f>
        <v>0</v>
      </c>
      <c r="L20">
        <f>SUMIF('Как есть'!$A101:$A108,Доп.расчеты!$A20,'Как есть'!M101:M108)</f>
        <v>0</v>
      </c>
      <c r="M20">
        <f>SUMIF('Как есть'!$A101:$A108,Доп.расчеты!$A20,'Как есть'!N101:N108)</f>
        <v>0</v>
      </c>
      <c r="N20">
        <f>SUMIF('Как есть'!$A101:$A108,Доп.расчеты!$A20,'Как есть'!O101:O108)</f>
        <v>0</v>
      </c>
      <c r="O20">
        <f>SUMIF('Как есть'!$A101:$A108,Доп.расчеты!$A20,'Как есть'!P101:P108)</f>
        <v>0</v>
      </c>
      <c r="P20">
        <f>SUMIF('Как есть'!$A101:$A108,Доп.расчеты!$A20,'Как есть'!Q101:Q108)</f>
        <v>0</v>
      </c>
      <c r="Q20">
        <f>SUMIF('Как есть'!$A101:$A108,Доп.расчеты!$A20,'Как есть'!R101:R108)</f>
        <v>0</v>
      </c>
      <c r="R20">
        <f>SUMIF('Как есть'!$A101:$A108,Доп.расчеты!$A20,'Как есть'!S101:S108)</f>
        <v>0</v>
      </c>
      <c r="S20">
        <f>SUMIF('Как есть'!$A101:$A108,Доп.расчеты!$A20,'Как есть'!T101:T108)</f>
        <v>0</v>
      </c>
      <c r="T20">
        <f>SUMIF('Как есть'!$A101:$A108,Доп.расчеты!$A20,'Как есть'!U101:U108)</f>
        <v>0</v>
      </c>
      <c r="U20">
        <f>SUMIF('Как есть'!$A101:$A108,Доп.расчеты!$A20,'Как есть'!V101:V108)</f>
        <v>0</v>
      </c>
      <c r="V20">
        <f>SUMIF('Как есть'!$A101:$A108,Доп.расчеты!$A20,'Как есть'!W101:W108)</f>
        <v>0</v>
      </c>
      <c r="W20">
        <f>SUMIF('Как есть'!$A101:$A108,Доп.расчеты!$A20,'Как есть'!X101:X108)</f>
        <v>0</v>
      </c>
      <c r="X20">
        <f>SUMIF('Как есть'!$A101:$A108,Доп.расчеты!$A20,'Как есть'!Y101:Y108)</f>
        <v>0</v>
      </c>
      <c r="Y20">
        <f>SUMIF('Как есть'!$A101:$A108,Доп.расчеты!$A20,'Как есть'!Z101:Z108)</f>
        <v>0</v>
      </c>
      <c r="Z20">
        <f>SUMIF('Как есть'!$A101:$A108,Доп.расчеты!$A20,'Как есть'!AA101:AA108)</f>
        <v>0</v>
      </c>
      <c r="AA20">
        <f>SUMIF('Как есть'!$A101:$A108,Доп.расчеты!$A20,'Как есть'!AB101:AB108)</f>
        <v>0</v>
      </c>
      <c r="AB20">
        <f>SUMIF('Как есть'!$A101:$A108,Доп.расчеты!$A20,'Как есть'!AC101:AC108)</f>
        <v>0</v>
      </c>
      <c r="AC20">
        <f>SUMIF('Как есть'!$A101:$A108,Доп.расчеты!$A20,'Как есть'!AD101:AD108)</f>
        <v>0</v>
      </c>
      <c r="AD20">
        <f>SUMIF('Как есть'!$A101:$A108,Доп.расчеты!$A20,'Как есть'!AE101:AE108)</f>
        <v>0</v>
      </c>
      <c r="AE20">
        <f>SUMIF('Как есть'!$A101:$A108,Доп.расчеты!$A20,'Как есть'!AF101:AF108)</f>
        <v>0</v>
      </c>
      <c r="AF20">
        <f>SUMIF('Как есть'!$A101:$A108,Доп.расчеты!$A20,'Как есть'!AG101:AG108)</f>
        <v>0</v>
      </c>
      <c r="AG20">
        <f>SUMIF('Как есть'!$A101:$A108,Доп.расчеты!$A20,'Как есть'!AH101:AH108)</f>
        <v>0</v>
      </c>
      <c r="AH20">
        <f>SUMIF('Как есть'!$A101:$A108,Доп.расчеты!$A20,'Как есть'!AI101:AI108)</f>
        <v>0</v>
      </c>
      <c r="AI20">
        <f>SUMIF('Как есть'!$A101:$A108,Доп.расчеты!$A20,'Как есть'!AJ101:AJ108)</f>
        <v>0</v>
      </c>
      <c r="AJ20">
        <f>SUMIF('Как есть'!$A101:$A108,Доп.расчеты!$A20,'Как есть'!AK101:AK108)</f>
        <v>0</v>
      </c>
      <c r="AK20">
        <f>SUMIF('Как есть'!$A101:$A108,Доп.расчеты!$A20,'Как есть'!AL101:AL108)</f>
        <v>0</v>
      </c>
      <c r="AL20">
        <f>SUMIF('Как есть'!$A101:$A108,Доп.расчеты!$A20,'Как есть'!AM101:AM108)</f>
        <v>0</v>
      </c>
      <c r="AM20">
        <f>SUMIF('Как есть'!$A101:$A108,Доп.расчеты!$A20,'Как есть'!AN101:AN108)</f>
        <v>0</v>
      </c>
      <c r="AN20">
        <f>SUMIF('Как есть'!$A101:$A108,Доп.расчеты!$A20,'Как есть'!AO101:AO108)</f>
        <v>0</v>
      </c>
      <c r="AO20">
        <f>SUMIF('Как есть'!$A101:$A108,Доп.расчеты!$A20,'Как есть'!AP101:AP108)</f>
        <v>0</v>
      </c>
      <c r="AP20">
        <f>SUMIF('Как есть'!$A101:$A108,Доп.расчеты!$A20,'Как есть'!AQ101:AQ108)</f>
        <v>0</v>
      </c>
      <c r="AQ20">
        <f>SUMIF('Как есть'!$A101:$A108,Доп.расчеты!$A20,'Как есть'!AR101:AR108)</f>
        <v>0</v>
      </c>
      <c r="AR20">
        <f>SUMIF('Как есть'!$A101:$A108,Доп.расчеты!$A20,'Как есть'!AS101:AS108)</f>
        <v>0</v>
      </c>
      <c r="AS20">
        <f>SUMIF('Как есть'!$A101:$A108,Доп.расчеты!$A20,'Как есть'!AT101:AT108)</f>
        <v>0</v>
      </c>
      <c r="AT20">
        <f>SUMIF('Как есть'!$A101:$A108,Доп.расчеты!$A20,'Как есть'!AU101:AU108)</f>
        <v>0</v>
      </c>
      <c r="AU20">
        <f>SUMIF('Как есть'!$A101:$A108,Доп.расчеты!$A20,'Как есть'!AV101:AV108)</f>
        <v>0</v>
      </c>
      <c r="AV20">
        <f>SUMIF('Как есть'!$A101:$A108,Доп.расчеты!$A20,'Как есть'!AW101:AW108)</f>
        <v>0</v>
      </c>
      <c r="AW20">
        <f>SUMIF('Как есть'!$A101:$A108,Доп.расчеты!$A20,'Как есть'!AX101:AX108)</f>
        <v>0</v>
      </c>
      <c r="AX20">
        <f>SUMIF('Как есть'!$A101:$A108,Доп.расчеты!$A20,'Как есть'!AY101:AY108)</f>
        <v>0</v>
      </c>
      <c r="AY20">
        <f>SUMIF('Как есть'!$A101:$A108,Доп.расчеты!$A20,'Как есть'!AZ101:AZ108)</f>
        <v>0</v>
      </c>
      <c r="AZ20">
        <f>SUMIF('Как есть'!$A101:$A108,Доп.расчеты!$A20,'Как есть'!BA101:BA108)</f>
        <v>0</v>
      </c>
      <c r="BA20">
        <f>SUMIF('Как есть'!$A101:$A108,Доп.расчеты!$A20,'Как есть'!BB101:BB108)</f>
        <v>0</v>
      </c>
      <c r="BB20">
        <f>SUMIF('Как есть'!$A101:$A108,Доп.расчеты!$A20,'Как есть'!BC101:BC108)</f>
        <v>0</v>
      </c>
      <c r="BC20">
        <f>SUMIF('Как есть'!$A101:$A108,Доп.расчеты!$A20,'Как есть'!BD101:BD108)</f>
        <v>0</v>
      </c>
      <c r="BD20">
        <f>SUMIF('Как есть'!$A101:$A108,Доп.расчеты!$A20,'Как есть'!BE101:BE108)</f>
        <v>0</v>
      </c>
      <c r="BE20">
        <f>SUMIF('Как есть'!$A101:$A108,Доп.расчеты!$A20,'Как есть'!BF101:BF108)</f>
        <v>0</v>
      </c>
      <c r="BF20">
        <f>SUMIF('Как есть'!$A101:$A108,Доп.расчеты!$A20,'Как есть'!BG101:BG108)</f>
        <v>0</v>
      </c>
      <c r="BG20">
        <f>SUMIF('Как есть'!$A101:$A108,Доп.расчеты!$A20,'Как есть'!BH101:BH108)</f>
        <v>0</v>
      </c>
      <c r="BH20">
        <f>SUMIF('Как есть'!$A101:$A108,Доп.расчеты!$A20,'Как есть'!BI101:BI108)</f>
        <v>0</v>
      </c>
      <c r="BI20">
        <f>SUMIF('Как есть'!$A101:$A108,Доп.расчеты!$A20,'Как есть'!BJ101:BJ108)</f>
        <v>0</v>
      </c>
      <c r="BJ20">
        <f>SUMIF('Как есть'!$A101:$A108,Доп.расчеты!$A20,'Как есть'!BK101:BK108)</f>
        <v>0</v>
      </c>
      <c r="BK20">
        <f>SUMIF('Как есть'!$A101:$A108,Доп.расчеты!$A20,'Как есть'!BL101:BL108)</f>
        <v>0</v>
      </c>
      <c r="BL20">
        <f>SUMIF('Как есть'!$A101:$A108,Доп.расчеты!$A20,'Как есть'!BM101:BM108)</f>
        <v>0</v>
      </c>
      <c r="BM20">
        <f>SUMIF('Как есть'!$A101:$A108,Доп.расчеты!$A20,'Как есть'!BN101:BN108)</f>
        <v>0</v>
      </c>
      <c r="BN20">
        <f>SUMIF('Как есть'!$A101:$A108,Доп.расчеты!$A20,'Как есть'!BO101:BO108)</f>
        <v>0</v>
      </c>
      <c r="BO20">
        <f>SUMIF('Как есть'!$A101:$A108,Доп.расчеты!$A20,'Как есть'!BP101:BP108)</f>
        <v>0</v>
      </c>
      <c r="BP20">
        <f>SUMIF('Как есть'!$A101:$A108,Доп.расчеты!$A20,'Как есть'!BQ101:BQ108)</f>
        <v>0</v>
      </c>
      <c r="BQ20">
        <f>SUMIF('Как есть'!$A101:$A108,Доп.расчеты!$A20,'Как есть'!BR101:BR108)</f>
        <v>0</v>
      </c>
      <c r="BR20">
        <f>SUMIF('Как есть'!$A101:$A108,Доп.расчеты!$A20,'Как есть'!BS101:BS108)</f>
        <v>0</v>
      </c>
      <c r="BS20">
        <f>SUMIF('Как есть'!$A101:$A108,Доп.расчеты!$A20,'Как есть'!BT101:BT108)</f>
        <v>0</v>
      </c>
      <c r="BT20">
        <f>SUMIF('Как есть'!$A101:$A108,Доп.расчеты!$A20,'Как есть'!BU101:BU108)</f>
        <v>0</v>
      </c>
      <c r="BU20">
        <f>SUMIF('Как есть'!$A101:$A108,Доп.расчеты!$A20,'Как есть'!BV101:BV108)</f>
        <v>0</v>
      </c>
      <c r="BV20">
        <f>SUMIF('Как есть'!$A101:$A108,Доп.расчеты!$A20,'Как есть'!BW101:BW108)</f>
        <v>0</v>
      </c>
      <c r="BW20">
        <f>SUMIF('Как есть'!$A101:$A108,Доп.расчеты!$A20,'Как есть'!BX101:BX108)</f>
        <v>0</v>
      </c>
      <c r="BX20">
        <f>SUMIF('Как есть'!$A101:$A108,Доп.расчеты!$A20,'Как есть'!BY101:BY108)</f>
        <v>0</v>
      </c>
      <c r="BY20">
        <f>SUMIF('Как есть'!$A101:$A108,Доп.расчеты!$A20,'Как есть'!BZ101:BZ108)</f>
        <v>0</v>
      </c>
      <c r="BZ20">
        <f>SUMIF('Как есть'!$A101:$A108,Доп.расчеты!$A20,'Как есть'!CA101:CA108)</f>
        <v>0</v>
      </c>
      <c r="CA20">
        <f>SUMIF('Как есть'!$A101:$A108,Доп.расчеты!$A20,'Как есть'!CB101:CB108)</f>
        <v>0</v>
      </c>
      <c r="CB20">
        <f>SUMIF('Как есть'!$A101:$A108,Доп.расчеты!$A20,'Как есть'!CC101:CC108)</f>
        <v>0</v>
      </c>
      <c r="CC20">
        <f>SUMIF('Как есть'!$A101:$A108,Доп.расчеты!$A20,'Как есть'!CD101:CD108)</f>
        <v>0</v>
      </c>
      <c r="CD20">
        <f>SUMIF('Как есть'!$A101:$A108,Доп.расчеты!$A20,'Как есть'!CE101:CE108)</f>
        <v>0</v>
      </c>
      <c r="CE20">
        <f>SUMIF('Как есть'!$A101:$A108,Доп.расчеты!$A20,'Как есть'!CF101:CF108)</f>
        <v>0</v>
      </c>
      <c r="CF20">
        <f>SUMIF('Как есть'!$A101:$A108,Доп.расчеты!$A20,'Как есть'!CG101:CG108)</f>
        <v>0</v>
      </c>
      <c r="CG20">
        <f>SUMIF('Как есть'!$A101:$A108,Доп.расчеты!$A20,'Как есть'!CH101:CH108)</f>
        <v>0</v>
      </c>
      <c r="CH20">
        <f>SUMIF('Как есть'!$A101:$A108,Доп.расчеты!$A20,'Как есть'!CI101:CI108)</f>
        <v>0</v>
      </c>
      <c r="CI20">
        <f>SUMIF('Как есть'!$A101:$A108,Доп.расчеты!$A20,'Как есть'!CJ101:CJ108)</f>
        <v>0</v>
      </c>
      <c r="CJ20">
        <f>SUMIF('Как есть'!$A101:$A108,Доп.расчеты!$A20,'Как есть'!CK101:CK108)</f>
        <v>0</v>
      </c>
      <c r="CK20">
        <f>SUMIF('Как есть'!$A101:$A108,Доп.расчеты!$A20,'Как есть'!CL101:CL108)</f>
        <v>0</v>
      </c>
      <c r="CL20">
        <f>SUMIF('Как есть'!$A101:$A108,Доп.расчеты!$A20,'Как есть'!CM101:CM108)</f>
        <v>0</v>
      </c>
      <c r="CM20">
        <f>SUMIF('Как есть'!$A101:$A108,Доп.расчеты!$A20,'Как есть'!CN101:CN108)</f>
        <v>0</v>
      </c>
      <c r="CN20">
        <f>SUMIF('Как есть'!$A101:$A108,Доп.расчеты!$A20,'Как есть'!CO101:CO108)</f>
        <v>0</v>
      </c>
      <c r="CO20">
        <f>SUMIF('Как есть'!$A101:$A108,Доп.расчеты!$A20,'Как есть'!CP101:CP108)</f>
        <v>0</v>
      </c>
      <c r="CP20">
        <f>SUMIF('Как есть'!$A101:$A108,Доп.расчеты!$A20,'Как есть'!CQ101:CQ108)</f>
        <v>0</v>
      </c>
      <c r="CQ20">
        <f>SUMIF('Как есть'!$A101:$A108,Доп.расчеты!$A20,'Как есть'!CR101:CR108)</f>
        <v>0</v>
      </c>
      <c r="CR20">
        <f>SUMIF('Как есть'!$A101:$A108,Доп.расчеты!$A20,'Как есть'!CS101:CS108)</f>
        <v>0</v>
      </c>
      <c r="CS20">
        <f>SUMIF('Как есть'!$A101:$A108,Доп.расчеты!$A20,'Как есть'!CT101:CT108)</f>
        <v>0</v>
      </c>
      <c r="CT20">
        <f>SUMIF('Как есть'!$A101:$A108,Доп.расчеты!$A20,'Как есть'!CU101:CU108)</f>
        <v>0</v>
      </c>
      <c r="CU20">
        <f>SUMIF('Как есть'!$A101:$A108,Доп.расчеты!$A20,'Как есть'!CV101:CV108)</f>
        <v>0</v>
      </c>
      <c r="CV20">
        <f>SUMIF('Как есть'!$A101:$A108,Доп.расчеты!$A20,'Как есть'!CW101:CW108)</f>
        <v>0</v>
      </c>
      <c r="CW20">
        <f>SUMIF('Как есть'!$A101:$A108,Доп.расчеты!$A20,'Как есть'!CX101:CX108)</f>
        <v>0</v>
      </c>
      <c r="CX20">
        <f>SUMIF('Как есть'!$A101:$A108,Доп.расчеты!$A20,'Как есть'!CY101:CY108)</f>
        <v>0</v>
      </c>
      <c r="CY20">
        <f>SUMIF('Как есть'!$A101:$A108,Доп.расчеты!$A20,'Как есть'!CZ101:CZ108)</f>
        <v>0</v>
      </c>
      <c r="CZ20">
        <f>SUMIF('Как есть'!$A101:$A108,Доп.расчеты!$A20,'Как есть'!DA101:DA108)</f>
        <v>0</v>
      </c>
      <c r="DA20">
        <f>SUMIF('Как есть'!$A101:$A108,Доп.расчеты!$A20,'Как есть'!DB101:DB108)</f>
        <v>0</v>
      </c>
      <c r="DB20">
        <f>SUMIF('Как есть'!$A101:$A108,Доп.расчеты!$A20,'Как есть'!DC101:DC108)</f>
        <v>0</v>
      </c>
      <c r="DC20">
        <f>SUMIF('Как есть'!$A101:$A108,Доп.расчеты!$A20,'Как есть'!DD101:DD108)</f>
        <v>0</v>
      </c>
      <c r="DD20">
        <f>SUMIF('Как есть'!$A101:$A108,Доп.расчеты!$A20,'Как есть'!DE101:DE108)</f>
        <v>0</v>
      </c>
      <c r="DE20">
        <f>SUMIF('Как есть'!$A101:$A108,Доп.расчеты!$A20,'Как есть'!DF101:DF108)</f>
        <v>0</v>
      </c>
      <c r="DF20">
        <f>SUMIF('Как есть'!$A101:$A108,Доп.расчеты!$A20,'Как есть'!DG101:DG108)</f>
        <v>0</v>
      </c>
      <c r="DG20">
        <f>SUMIF('Как есть'!$A101:$A108,Доп.расчеты!$A20,'Как есть'!DH101:DH108)</f>
        <v>0</v>
      </c>
      <c r="DH20">
        <f>SUMIF('Как есть'!$A101:$A108,Доп.расчеты!$A20,'Как есть'!DI101:DI108)</f>
        <v>0</v>
      </c>
      <c r="DI20">
        <f>SUMIF('Как есть'!$A101:$A108,Доп.расчеты!$A20,'Как есть'!DJ101:DJ108)</f>
        <v>0</v>
      </c>
      <c r="DJ20">
        <f>SUMIF('Как есть'!$A101:$A108,Доп.расчеты!$A20,'Как есть'!DK101:DK108)</f>
        <v>0</v>
      </c>
      <c r="DK20">
        <f>SUMIF('Как есть'!$A101:$A108,Доп.расчеты!$A20,'Как есть'!DL101:DL108)</f>
        <v>0</v>
      </c>
      <c r="DL20">
        <f>SUMIF('Как есть'!$A101:$A108,Доп.расчеты!$A20,'Как есть'!DM101:DM108)</f>
        <v>0</v>
      </c>
      <c r="DM20">
        <f>SUMIF('Как есть'!$A101:$A108,Доп.расчеты!$A20,'Как есть'!DN101:DN108)</f>
        <v>0</v>
      </c>
      <c r="DN20">
        <f>SUMIF('Как есть'!$A101:$A108,Доп.расчеты!$A20,'Как есть'!DO101:DO108)</f>
        <v>0</v>
      </c>
      <c r="DO20">
        <f>SUMIF('Как есть'!$A101:$A108,Доп.расчеты!$A20,'Как есть'!DP101:DP108)</f>
        <v>0</v>
      </c>
      <c r="DP20">
        <f>SUMIF('Как есть'!$A101:$A108,Доп.расчеты!$A20,'Как есть'!DQ101:DQ108)</f>
        <v>0</v>
      </c>
      <c r="DQ20">
        <f>SUMIF('Как есть'!$A101:$A108,Доп.расчеты!$A20,'Как есть'!DR101:DR108)</f>
        <v>0</v>
      </c>
      <c r="DR20">
        <f>SUMIF('Как есть'!$A101:$A108,Доп.расчеты!$A20,'Как есть'!DS101:DS108)</f>
        <v>0</v>
      </c>
      <c r="DS20">
        <f>SUMIF('Как есть'!$A101:$A108,Доп.расчеты!$A20,'Как есть'!DT101:DT108)</f>
        <v>0</v>
      </c>
      <c r="DT20">
        <f>SUMIF('Как есть'!$A101:$A108,Доп.расчеты!$A20,'Как есть'!DU101:DU108)</f>
        <v>0</v>
      </c>
      <c r="DU20">
        <f>SUMIF('Как есть'!$A101:$A108,Доп.расчеты!$A20,'Как есть'!DV101:DV108)</f>
        <v>0</v>
      </c>
      <c r="DV20">
        <f>SUMIF('Как есть'!$A101:$A108,Доп.расчеты!$A20,'Как есть'!DW101:DW108)</f>
        <v>0</v>
      </c>
      <c r="DW20">
        <f>SUMIF('Как есть'!$A101:$A108,Доп.расчеты!$A20,'Как есть'!DX101:DX108)</f>
        <v>0</v>
      </c>
      <c r="DX20">
        <f>SUMIF('Как есть'!$A101:$A108,Доп.расчеты!$A20,'Как есть'!DY101:DY108)</f>
        <v>0</v>
      </c>
      <c r="DY20">
        <f>SUMIF('Как есть'!$A101:$A108,Доп.расчеты!$A20,'Как есть'!DZ101:DZ108)</f>
        <v>0</v>
      </c>
      <c r="DZ20">
        <f>SUMIF('Как есть'!$A101:$A108,Доп.расчеты!$A20,'Как есть'!EA101:EA108)</f>
        <v>0</v>
      </c>
      <c r="EA20">
        <f>SUMIF('Как есть'!$A101:$A108,Доп.расчеты!$A20,'Как есть'!EB101:EB108)</f>
        <v>0</v>
      </c>
      <c r="EB20">
        <f>SUMIF('Как есть'!$A101:$A108,Доп.расчеты!$A20,'Как есть'!EC101:EC108)</f>
        <v>0</v>
      </c>
      <c r="EC20">
        <f>SUMIF('Как есть'!$A101:$A108,Доп.расчеты!$A20,'Как есть'!ED101:ED108)</f>
        <v>0</v>
      </c>
      <c r="ED20">
        <f>SUMIF('Как есть'!$A101:$A108,Доп.расчеты!$A20,'Как есть'!EE101:EE108)</f>
        <v>0</v>
      </c>
      <c r="EE20">
        <f>SUMIF('Как есть'!$A101:$A108,Доп.расчеты!$A20,'Как есть'!EF101:EF108)</f>
        <v>0</v>
      </c>
      <c r="EF20">
        <f>SUMIF('Как есть'!$A101:$A108,Доп.расчеты!$A20,'Как есть'!EG101:EG108)</f>
        <v>0</v>
      </c>
      <c r="EG20">
        <f>SUMIF('Как есть'!$A101:$A108,Доп.расчеты!$A20,'Как есть'!EH101:EH108)</f>
        <v>0</v>
      </c>
      <c r="EH20">
        <f>SUMIF('Как есть'!$A101:$A108,Доп.расчеты!$A20,'Как есть'!EI101:EI108)</f>
        <v>0</v>
      </c>
      <c r="EI20">
        <f>SUMIF('Как есть'!$A101:$A108,Доп.расчеты!$A20,'Как есть'!EJ101:EJ108)</f>
        <v>0</v>
      </c>
      <c r="EJ20">
        <f>SUMIF('Как есть'!$A101:$A108,Доп.расчеты!$A20,'Как есть'!EK101:EK108)</f>
        <v>0</v>
      </c>
      <c r="EK20">
        <f>SUMIF('Как есть'!$A101:$A108,Доп.расчеты!$A20,'Как есть'!EL101:EL108)</f>
        <v>0</v>
      </c>
      <c r="EL20">
        <f>SUMIF('Как есть'!$A101:$A108,Доп.расчеты!$A20,'Как есть'!EM101:EM108)</f>
        <v>0</v>
      </c>
      <c r="EM20">
        <f>SUMIF('Как есть'!$A101:$A108,Доп.расчеты!$A20,'Как есть'!EN101:EN108)</f>
        <v>0</v>
      </c>
      <c r="EN20">
        <f>SUMIF('Как есть'!$A101:$A108,Доп.расчеты!$A20,'Как есть'!EO101:EO108)</f>
        <v>0</v>
      </c>
      <c r="EO20">
        <f>SUMIF('Как есть'!$A101:$A108,Доп.расчеты!$A20,'Как есть'!EP101:EP108)</f>
        <v>0</v>
      </c>
      <c r="EP20">
        <f>SUMIF('Как есть'!$A101:$A108,Доп.расчеты!$A20,'Как есть'!EQ101:EQ108)</f>
        <v>0</v>
      </c>
      <c r="EQ20">
        <f>SUMIF('Как есть'!$A101:$A108,Доп.расчеты!$A20,'Как есть'!ER101:ER108)</f>
        <v>0</v>
      </c>
      <c r="ER20">
        <f>SUMIF('Как есть'!$A101:$A108,Доп.расчеты!$A20,'Как есть'!ES101:ES108)</f>
        <v>0</v>
      </c>
      <c r="ES20">
        <f>SUMIF('Как есть'!$A101:$A108,Доп.расчеты!$A20,'Как есть'!ET101:ET108)</f>
        <v>0</v>
      </c>
      <c r="ET20">
        <f>SUMIF('Как есть'!$A101:$A108,Доп.расчеты!$A20,'Как есть'!EU101:EU108)</f>
        <v>0</v>
      </c>
      <c r="EU20">
        <f>SUMIF('Как есть'!$A101:$A108,Доп.расчеты!$A20,'Как есть'!EV101:EV108)</f>
        <v>0</v>
      </c>
      <c r="EV20">
        <f>SUMIF('Как есть'!$A101:$A108,Доп.расчеты!$A20,'Как есть'!EW101:EW108)</f>
        <v>0</v>
      </c>
      <c r="EW20">
        <f>SUMIF('Как есть'!$A101:$A108,Доп.расчеты!$A20,'Как есть'!EX101:EX108)</f>
        <v>0</v>
      </c>
      <c r="EX20">
        <f>SUMIF('Как есть'!$A101:$A108,Доп.расчеты!$A20,'Как есть'!EY101:EY108)</f>
        <v>0</v>
      </c>
      <c r="EY20">
        <f>SUMIF('Как есть'!$A101:$A108,Доп.расчеты!$A20,'Как есть'!EZ101:EZ108)</f>
        <v>0</v>
      </c>
      <c r="EZ20">
        <f>SUMIF('Как есть'!$A101:$A108,Доп.расчеты!$A20,'Как есть'!FA101:FA108)</f>
        <v>0</v>
      </c>
      <c r="FA20">
        <f>SUMIF('Как есть'!$A101:$A108,Доп.расчеты!$A20,'Как есть'!FB101:FB108)</f>
        <v>0</v>
      </c>
      <c r="FB20">
        <f>SUMIF('Как есть'!$A101:$A108,Доп.расчеты!$A20,'Как есть'!FC101:FC108)</f>
        <v>0</v>
      </c>
      <c r="FC20">
        <f>SUMIF('Как есть'!$A101:$A108,Доп.расчеты!$A20,'Как есть'!FD101:FD108)</f>
        <v>0</v>
      </c>
      <c r="FD20">
        <f>SUMIF('Как есть'!$A101:$A108,Доп.расчеты!$A20,'Как есть'!FE101:FE108)</f>
        <v>0</v>
      </c>
      <c r="FE20">
        <f>SUMIF('Как есть'!$A101:$A108,Доп.расчеты!$A20,'Как есть'!FF101:FF108)</f>
        <v>0</v>
      </c>
      <c r="FF20">
        <f>SUMIF('Как есть'!$A101:$A108,Доп.расчеты!$A20,'Как есть'!FG101:FG108)</f>
        <v>0</v>
      </c>
      <c r="FG20">
        <f>SUMIF('Как есть'!$A101:$A108,Доп.расчеты!$A20,'Как есть'!FH101:FH108)</f>
        <v>0</v>
      </c>
      <c r="FH20">
        <f>SUMIF('Как есть'!$A101:$A108,Доп.расчеты!$A20,'Как есть'!FI101:FI108)</f>
        <v>0</v>
      </c>
      <c r="FI20">
        <f>SUMIF('Как есть'!$A101:$A108,Доп.расчеты!$A20,'Как есть'!FJ101:FJ108)</f>
        <v>0</v>
      </c>
      <c r="FJ20">
        <f>SUMIF('Как есть'!$A101:$A108,Доп.расчеты!$A20,'Как есть'!FK101:FK108)</f>
        <v>0</v>
      </c>
      <c r="FK20">
        <f>SUMIF('Как есть'!$A101:$A108,Доп.расчеты!$A20,'Как есть'!FL101:FL108)</f>
        <v>0</v>
      </c>
      <c r="FL20">
        <f>SUMIF('Как есть'!$A101:$A108,Доп.расчеты!$A20,'Как есть'!FM101:FM108)</f>
        <v>0</v>
      </c>
      <c r="FM20">
        <f>SUMIF('Как есть'!$A101:$A108,Доп.расчеты!$A20,'Как есть'!FN101:FN108)</f>
        <v>0</v>
      </c>
      <c r="FN20">
        <f>SUMIF('Как есть'!$A101:$A108,Доп.расчеты!$A20,'Как есть'!FO101:FO108)</f>
        <v>0</v>
      </c>
      <c r="FO20">
        <f>SUMIF('Как есть'!$A101:$A108,Доп.расчеты!$A20,'Как есть'!FP101:FP108)</f>
        <v>0</v>
      </c>
      <c r="FP20">
        <f>SUMIF('Как есть'!$A101:$A108,Доп.расчеты!$A20,'Как есть'!FQ101:FQ108)</f>
        <v>0</v>
      </c>
      <c r="FQ20">
        <f>SUMIF('Как есть'!$A101:$A108,Доп.расчеты!$A20,'Как есть'!FR101:FR108)</f>
        <v>0</v>
      </c>
      <c r="FR20">
        <f>SUMIF('Как есть'!$A101:$A108,Доп.расчеты!$A20,'Как есть'!FS101:FS108)</f>
        <v>0</v>
      </c>
      <c r="FS20">
        <f>SUMIF('Как есть'!$A101:$A108,Доп.расчеты!$A20,'Как есть'!FT101:FT108)</f>
        <v>0</v>
      </c>
      <c r="FT20">
        <f>SUMIF('Как есть'!$A101:$A108,Доп.расчеты!$A20,'Как есть'!FU101:FU108)</f>
        <v>0</v>
      </c>
      <c r="FU20">
        <f>SUMIF('Как есть'!$A101:$A108,Доп.расчеты!$A20,'Как есть'!FV101:FV108)</f>
        <v>0</v>
      </c>
      <c r="FV20">
        <f>SUMIF('Как есть'!$A101:$A108,Доп.расчеты!$A20,'Как есть'!FW101:FW108)</f>
        <v>0</v>
      </c>
      <c r="FW20">
        <f>SUMIF('Как есть'!$A101:$A108,Доп.расчеты!$A20,'Как есть'!FX101:FX108)</f>
        <v>0</v>
      </c>
      <c r="FX20">
        <f>SUMIF('Как есть'!$A101:$A108,Доп.расчеты!$A20,'Как есть'!FY101:FY108)</f>
        <v>0</v>
      </c>
      <c r="FY20">
        <f>SUMIF('Как есть'!$A101:$A108,Доп.расчеты!$A20,'Как есть'!FZ101:FZ108)</f>
        <v>0</v>
      </c>
      <c r="FZ20">
        <f>SUMIF('Как есть'!$A101:$A108,Доп.расчеты!$A20,'Как есть'!GA101:GA108)</f>
        <v>0</v>
      </c>
      <c r="GA20">
        <f>SUMIF('Как есть'!$A101:$A108,Доп.расчеты!$A20,'Как есть'!GB101:GB108)</f>
        <v>0</v>
      </c>
      <c r="GB20">
        <f>SUMIF('Как есть'!$A101:$A108,Доп.расчеты!$A20,'Как есть'!GC101:GC108)</f>
        <v>0</v>
      </c>
      <c r="GC20">
        <f>SUMIF('Как есть'!$A101:$A108,Доп.расчеты!$A20,'Как есть'!GD101:GD108)</f>
        <v>0</v>
      </c>
      <c r="GD20">
        <f>SUMIF('Как есть'!$A101:$A108,Доп.расчеты!$A20,'Как есть'!GE101:GE108)</f>
        <v>0</v>
      </c>
      <c r="GE20">
        <f>SUMIF('Как есть'!$A101:$A108,Доп.расчеты!$A20,'Как есть'!GF101:GF108)</f>
        <v>0</v>
      </c>
      <c r="GF20">
        <f>SUMIF('Как есть'!$A101:$A108,Доп.расчеты!$A20,'Как есть'!GG101:GG108)</f>
        <v>0</v>
      </c>
      <c r="GG20">
        <f>SUMIF('Как есть'!$A101:$A108,Доп.расчеты!$A20,'Как есть'!GH101:GH108)</f>
        <v>0</v>
      </c>
      <c r="GH20">
        <f>SUMIF('Как есть'!$A101:$A108,Доп.расчеты!$A20,'Как есть'!GI101:GI108)</f>
        <v>0</v>
      </c>
      <c r="GI20">
        <f>SUMIF('Как есть'!$A101:$A108,Доп.расчеты!$A20,'Как есть'!GJ101:GJ108)</f>
        <v>0</v>
      </c>
      <c r="GJ20">
        <f>SUMIF('Как есть'!$A101:$A108,Доп.расчеты!$A20,'Как есть'!GK101:GK108)</f>
        <v>0</v>
      </c>
      <c r="GK20">
        <f>SUMIF('Как есть'!$A101:$A108,Доп.расчеты!$A20,'Как есть'!GL101:GL108)</f>
        <v>0</v>
      </c>
      <c r="GL20">
        <f>SUMIF('Как есть'!$A101:$A108,Доп.расчеты!$A20,'Как есть'!GM101:GM108)</f>
        <v>0</v>
      </c>
      <c r="GM20">
        <f>SUMIF('Как есть'!$A101:$A108,Доп.расчеты!$A20,'Как есть'!GN101:GN108)</f>
        <v>0</v>
      </c>
      <c r="GN20">
        <f>SUMIF('Как есть'!$A101:$A108,Доп.расчеты!$A20,'Как есть'!GO101:GO108)</f>
        <v>0</v>
      </c>
      <c r="GO20">
        <f>SUMIF('Как есть'!$A101:$A108,Доп.расчеты!$A20,'Как есть'!GP101:GP108)</f>
        <v>0</v>
      </c>
      <c r="GP20">
        <f>SUMIF('Как есть'!$A101:$A108,Доп.расчеты!$A20,'Как есть'!GQ101:GQ108)</f>
        <v>0</v>
      </c>
      <c r="GQ20">
        <f>SUMIF('Как есть'!$A101:$A108,Доп.расчеты!$A20,'Как есть'!GR101:GR108)</f>
        <v>0</v>
      </c>
      <c r="GR20">
        <f>SUMIF('Как есть'!$A101:$A108,Доп.расчеты!$A20,'Как есть'!GS101:GS108)</f>
        <v>0</v>
      </c>
      <c r="GS20">
        <f>SUMIF('Как есть'!$A101:$A108,Доп.расчеты!$A20,'Как есть'!GT101:GT108)</f>
        <v>0</v>
      </c>
      <c r="GT20">
        <f>SUMIF('Как есть'!$A101:$A108,Доп.расчеты!$A20,'Как есть'!GU101:GU108)</f>
        <v>0</v>
      </c>
    </row>
    <row r="21" spans="1:202">
      <c r="A21" s="236" t="s">
        <v>124</v>
      </c>
      <c r="B21">
        <f>SUMIF('Как есть'!$A101:$A108,Доп.расчеты!$A21,'Как есть'!C101:C108)</f>
        <v>0</v>
      </c>
      <c r="C21">
        <f>SUMIF('Как есть'!$A101:$A108,Доп.расчеты!$A21,'Как есть'!D101:D108)</f>
        <v>0</v>
      </c>
      <c r="D21">
        <f>SUMIF('Как есть'!$A101:$A108,Доп.расчеты!$A21,'Как есть'!E101:E108)</f>
        <v>0</v>
      </c>
      <c r="E21">
        <f>SUMIF('Как есть'!$A101:$A108,Доп.расчеты!$A21,'Как есть'!F101:F108)</f>
        <v>0</v>
      </c>
      <c r="F21">
        <f>SUMIF('Как есть'!$A101:$A108,Доп.расчеты!$A21,'Как есть'!G101:G108)</f>
        <v>0</v>
      </c>
      <c r="G21">
        <f>SUMIF('Как есть'!$A101:$A108,Доп.расчеты!$A21,'Как есть'!H101:H108)</f>
        <v>0</v>
      </c>
      <c r="H21">
        <f>SUMIF('Как есть'!$A101:$A108,Доп.расчеты!$A21,'Как есть'!I101:I108)</f>
        <v>0</v>
      </c>
      <c r="I21">
        <f>SUMIF('Как есть'!$A101:$A108,Доп.расчеты!$A21,'Как есть'!J101:J108)</f>
        <v>0</v>
      </c>
      <c r="J21">
        <f>SUMIF('Как есть'!$A101:$A108,Доп.расчеты!$A21,'Как есть'!K101:K108)</f>
        <v>0</v>
      </c>
      <c r="K21">
        <f>SUMIF('Как есть'!$A101:$A108,Доп.расчеты!$A21,'Как есть'!L101:L108)</f>
        <v>0</v>
      </c>
      <c r="L21">
        <f>SUMIF('Как есть'!$A101:$A108,Доп.расчеты!$A21,'Как есть'!M101:M108)</f>
        <v>0</v>
      </c>
      <c r="M21">
        <f>SUMIF('Как есть'!$A101:$A108,Доп.расчеты!$A21,'Как есть'!N101:N108)</f>
        <v>0</v>
      </c>
      <c r="N21">
        <f>SUMIF('Как есть'!$A101:$A108,Доп.расчеты!$A21,'Как есть'!O101:O108)</f>
        <v>0</v>
      </c>
      <c r="O21">
        <f>SUMIF('Как есть'!$A101:$A108,Доп.расчеты!$A21,'Как есть'!P101:P108)</f>
        <v>0</v>
      </c>
      <c r="P21">
        <f>SUMIF('Как есть'!$A101:$A108,Доп.расчеты!$A21,'Как есть'!Q101:Q108)</f>
        <v>0</v>
      </c>
      <c r="Q21">
        <f>SUMIF('Как есть'!$A101:$A108,Доп.расчеты!$A21,'Как есть'!R101:R108)</f>
        <v>0</v>
      </c>
      <c r="R21">
        <f>SUMIF('Как есть'!$A101:$A108,Доп.расчеты!$A21,'Как есть'!S101:S108)</f>
        <v>0</v>
      </c>
      <c r="S21">
        <f>SUMIF('Как есть'!$A101:$A108,Доп.расчеты!$A21,'Как есть'!T101:T108)</f>
        <v>0</v>
      </c>
      <c r="T21">
        <f>SUMIF('Как есть'!$A101:$A108,Доп.расчеты!$A21,'Как есть'!U101:U108)</f>
        <v>0</v>
      </c>
      <c r="U21">
        <f>SUMIF('Как есть'!$A101:$A108,Доп.расчеты!$A21,'Как есть'!V101:V108)</f>
        <v>0</v>
      </c>
      <c r="V21">
        <f>SUMIF('Как есть'!$A101:$A108,Доп.расчеты!$A21,'Как есть'!W101:W108)</f>
        <v>0</v>
      </c>
      <c r="W21">
        <f>SUMIF('Как есть'!$A101:$A108,Доп.расчеты!$A21,'Как есть'!X101:X108)</f>
        <v>0</v>
      </c>
      <c r="X21">
        <f>SUMIF('Как есть'!$A101:$A108,Доп.расчеты!$A21,'Как есть'!Y101:Y108)</f>
        <v>0</v>
      </c>
      <c r="Y21">
        <f>SUMIF('Как есть'!$A101:$A108,Доп.расчеты!$A21,'Как есть'!Z101:Z108)</f>
        <v>0</v>
      </c>
      <c r="Z21">
        <f>SUMIF('Как есть'!$A101:$A108,Доп.расчеты!$A21,'Как есть'!AA101:AA108)</f>
        <v>0</v>
      </c>
      <c r="AA21">
        <f>SUMIF('Как есть'!$A101:$A108,Доп.расчеты!$A21,'Как есть'!AB101:AB108)</f>
        <v>0</v>
      </c>
      <c r="AB21">
        <f>SUMIF('Как есть'!$A101:$A108,Доп.расчеты!$A21,'Как есть'!AC101:AC108)</f>
        <v>0</v>
      </c>
      <c r="AC21">
        <f>SUMIF('Как есть'!$A101:$A108,Доп.расчеты!$A21,'Как есть'!AD101:AD108)</f>
        <v>0</v>
      </c>
      <c r="AD21">
        <f>SUMIF('Как есть'!$A101:$A108,Доп.расчеты!$A21,'Как есть'!AE101:AE108)</f>
        <v>0</v>
      </c>
      <c r="AE21">
        <f>SUMIF('Как есть'!$A101:$A108,Доп.расчеты!$A21,'Как есть'!AF101:AF108)</f>
        <v>0</v>
      </c>
      <c r="AF21">
        <f>SUMIF('Как есть'!$A101:$A108,Доп.расчеты!$A21,'Как есть'!AG101:AG108)</f>
        <v>0</v>
      </c>
      <c r="AG21">
        <f>SUMIF('Как есть'!$A101:$A108,Доп.расчеты!$A21,'Как есть'!AH101:AH108)</f>
        <v>0</v>
      </c>
      <c r="AH21">
        <f>SUMIF('Как есть'!$A101:$A108,Доп.расчеты!$A21,'Как есть'!AI101:AI108)</f>
        <v>0</v>
      </c>
      <c r="AI21">
        <f>SUMIF('Как есть'!$A101:$A108,Доп.расчеты!$A21,'Как есть'!AJ101:AJ108)</f>
        <v>0</v>
      </c>
      <c r="AJ21">
        <f>SUMIF('Как есть'!$A101:$A108,Доп.расчеты!$A21,'Как есть'!AK101:AK108)</f>
        <v>0</v>
      </c>
      <c r="AK21">
        <f>SUMIF('Как есть'!$A101:$A108,Доп.расчеты!$A21,'Как есть'!AL101:AL108)</f>
        <v>0</v>
      </c>
      <c r="AL21">
        <f>SUMIF('Как есть'!$A101:$A108,Доп.расчеты!$A21,'Как есть'!AM101:AM108)</f>
        <v>0</v>
      </c>
      <c r="AM21">
        <f>SUMIF('Как есть'!$A101:$A108,Доп.расчеты!$A21,'Как есть'!AN101:AN108)</f>
        <v>0</v>
      </c>
      <c r="AN21">
        <f>SUMIF('Как есть'!$A101:$A108,Доп.расчеты!$A21,'Как есть'!AO101:AO108)</f>
        <v>0</v>
      </c>
      <c r="AO21">
        <f>SUMIF('Как есть'!$A101:$A108,Доп.расчеты!$A21,'Как есть'!AP101:AP108)</f>
        <v>0</v>
      </c>
      <c r="AP21">
        <f>SUMIF('Как есть'!$A101:$A108,Доп.расчеты!$A21,'Как есть'!AQ101:AQ108)</f>
        <v>0</v>
      </c>
      <c r="AQ21">
        <f>SUMIF('Как есть'!$A101:$A108,Доп.расчеты!$A21,'Как есть'!AR101:AR108)</f>
        <v>0</v>
      </c>
      <c r="AR21">
        <f>SUMIF('Как есть'!$A101:$A108,Доп.расчеты!$A21,'Как есть'!AS101:AS108)</f>
        <v>0</v>
      </c>
      <c r="AS21">
        <f>SUMIF('Как есть'!$A101:$A108,Доп.расчеты!$A21,'Как есть'!AT101:AT108)</f>
        <v>0</v>
      </c>
      <c r="AT21">
        <f>SUMIF('Как есть'!$A101:$A108,Доп.расчеты!$A21,'Как есть'!AU101:AU108)</f>
        <v>0</v>
      </c>
      <c r="AU21">
        <f>SUMIF('Как есть'!$A101:$A108,Доп.расчеты!$A21,'Как есть'!AV101:AV108)</f>
        <v>0</v>
      </c>
      <c r="AV21">
        <f>SUMIF('Как есть'!$A101:$A108,Доп.расчеты!$A21,'Как есть'!AW101:AW108)</f>
        <v>0</v>
      </c>
      <c r="AW21">
        <f>SUMIF('Как есть'!$A101:$A108,Доп.расчеты!$A21,'Как есть'!AX101:AX108)</f>
        <v>0</v>
      </c>
      <c r="AX21">
        <f>SUMIF('Как есть'!$A101:$A108,Доп.расчеты!$A21,'Как есть'!AY101:AY108)</f>
        <v>0</v>
      </c>
      <c r="AY21">
        <f>SUMIF('Как есть'!$A101:$A108,Доп.расчеты!$A21,'Как есть'!AZ101:AZ108)</f>
        <v>0</v>
      </c>
      <c r="AZ21">
        <f>SUMIF('Как есть'!$A101:$A108,Доп.расчеты!$A21,'Как есть'!BA101:BA108)</f>
        <v>0</v>
      </c>
      <c r="BA21">
        <f>SUMIF('Как есть'!$A101:$A108,Доп.расчеты!$A21,'Как есть'!BB101:BB108)</f>
        <v>0</v>
      </c>
      <c r="BB21">
        <f>SUMIF('Как есть'!$A101:$A108,Доп.расчеты!$A21,'Как есть'!BC101:BC108)</f>
        <v>0</v>
      </c>
      <c r="BC21">
        <f>SUMIF('Как есть'!$A101:$A108,Доп.расчеты!$A21,'Как есть'!BD101:BD108)</f>
        <v>0</v>
      </c>
      <c r="BD21">
        <f>SUMIF('Как есть'!$A101:$A108,Доп.расчеты!$A21,'Как есть'!BE101:BE108)</f>
        <v>0</v>
      </c>
      <c r="BE21">
        <f>SUMIF('Как есть'!$A101:$A108,Доп.расчеты!$A21,'Как есть'!BF101:BF108)</f>
        <v>0</v>
      </c>
      <c r="BF21">
        <f>SUMIF('Как есть'!$A101:$A108,Доп.расчеты!$A21,'Как есть'!BG101:BG108)</f>
        <v>0</v>
      </c>
      <c r="BG21">
        <f>SUMIF('Как есть'!$A101:$A108,Доп.расчеты!$A21,'Как есть'!BH101:BH108)</f>
        <v>0</v>
      </c>
      <c r="BH21">
        <f>SUMIF('Как есть'!$A101:$A108,Доп.расчеты!$A21,'Как есть'!BI101:BI108)</f>
        <v>0</v>
      </c>
      <c r="BI21">
        <f>SUMIF('Как есть'!$A101:$A108,Доп.расчеты!$A21,'Как есть'!BJ101:BJ108)</f>
        <v>0</v>
      </c>
      <c r="BJ21">
        <f>SUMIF('Как есть'!$A101:$A108,Доп.расчеты!$A21,'Как есть'!BK101:BK108)</f>
        <v>0</v>
      </c>
      <c r="BK21">
        <f>SUMIF('Как есть'!$A101:$A108,Доп.расчеты!$A21,'Как есть'!BL101:BL108)</f>
        <v>0</v>
      </c>
      <c r="BL21">
        <f>SUMIF('Как есть'!$A101:$A108,Доп.расчеты!$A21,'Как есть'!BM101:BM108)</f>
        <v>0</v>
      </c>
      <c r="BM21">
        <f>SUMIF('Как есть'!$A101:$A108,Доп.расчеты!$A21,'Как есть'!BN101:BN108)</f>
        <v>0</v>
      </c>
      <c r="BN21">
        <f>SUMIF('Как есть'!$A101:$A108,Доп.расчеты!$A21,'Как есть'!BO101:BO108)</f>
        <v>0</v>
      </c>
      <c r="BO21">
        <f>SUMIF('Как есть'!$A101:$A108,Доп.расчеты!$A21,'Как есть'!BP101:BP108)</f>
        <v>0</v>
      </c>
      <c r="BP21">
        <f>SUMIF('Как есть'!$A101:$A108,Доп.расчеты!$A21,'Как есть'!BQ101:BQ108)</f>
        <v>0</v>
      </c>
      <c r="BQ21">
        <f>SUMIF('Как есть'!$A101:$A108,Доп.расчеты!$A21,'Как есть'!BR101:BR108)</f>
        <v>0</v>
      </c>
      <c r="BR21">
        <f>SUMIF('Как есть'!$A101:$A108,Доп.расчеты!$A21,'Как есть'!BS101:BS108)</f>
        <v>0</v>
      </c>
      <c r="BS21">
        <f>SUMIF('Как есть'!$A101:$A108,Доп.расчеты!$A21,'Как есть'!BT101:BT108)</f>
        <v>0</v>
      </c>
      <c r="BT21">
        <f>SUMIF('Как есть'!$A101:$A108,Доп.расчеты!$A21,'Как есть'!BU101:BU108)</f>
        <v>0</v>
      </c>
      <c r="BU21">
        <f>SUMIF('Как есть'!$A101:$A108,Доп.расчеты!$A21,'Как есть'!BV101:BV108)</f>
        <v>0</v>
      </c>
      <c r="BV21">
        <f>SUMIF('Как есть'!$A101:$A108,Доп.расчеты!$A21,'Как есть'!BW101:BW108)</f>
        <v>0</v>
      </c>
      <c r="BW21">
        <f>SUMIF('Как есть'!$A101:$A108,Доп.расчеты!$A21,'Как есть'!BX101:BX108)</f>
        <v>0</v>
      </c>
      <c r="BX21">
        <f>SUMIF('Как есть'!$A101:$A108,Доп.расчеты!$A21,'Как есть'!BY101:BY108)</f>
        <v>0</v>
      </c>
      <c r="BY21">
        <f>SUMIF('Как есть'!$A101:$A108,Доп.расчеты!$A21,'Как есть'!BZ101:BZ108)</f>
        <v>0</v>
      </c>
      <c r="BZ21">
        <f>SUMIF('Как есть'!$A101:$A108,Доп.расчеты!$A21,'Как есть'!CA101:CA108)</f>
        <v>0</v>
      </c>
      <c r="CA21">
        <f>SUMIF('Как есть'!$A101:$A108,Доп.расчеты!$A21,'Как есть'!CB101:CB108)</f>
        <v>0</v>
      </c>
      <c r="CB21">
        <f>SUMIF('Как есть'!$A101:$A108,Доп.расчеты!$A21,'Как есть'!CC101:CC108)</f>
        <v>0</v>
      </c>
      <c r="CC21">
        <f>SUMIF('Как есть'!$A101:$A108,Доп.расчеты!$A21,'Как есть'!CD101:CD108)</f>
        <v>0</v>
      </c>
      <c r="CD21">
        <f>SUMIF('Как есть'!$A101:$A108,Доп.расчеты!$A21,'Как есть'!CE101:CE108)</f>
        <v>0</v>
      </c>
      <c r="CE21">
        <f>SUMIF('Как есть'!$A101:$A108,Доп.расчеты!$A21,'Как есть'!CF101:CF108)</f>
        <v>0</v>
      </c>
      <c r="CF21">
        <f>SUMIF('Как есть'!$A101:$A108,Доп.расчеты!$A21,'Как есть'!CG101:CG108)</f>
        <v>0</v>
      </c>
      <c r="CG21">
        <f>SUMIF('Как есть'!$A101:$A108,Доп.расчеты!$A21,'Как есть'!CH101:CH108)</f>
        <v>0</v>
      </c>
      <c r="CH21">
        <f>SUMIF('Как есть'!$A101:$A108,Доп.расчеты!$A21,'Как есть'!CI101:CI108)</f>
        <v>0</v>
      </c>
      <c r="CI21">
        <f>SUMIF('Как есть'!$A101:$A108,Доп.расчеты!$A21,'Как есть'!CJ101:CJ108)</f>
        <v>0</v>
      </c>
      <c r="CJ21">
        <f>SUMIF('Как есть'!$A101:$A108,Доп.расчеты!$A21,'Как есть'!CK101:CK108)</f>
        <v>0</v>
      </c>
      <c r="CK21">
        <f>SUMIF('Как есть'!$A101:$A108,Доп.расчеты!$A21,'Как есть'!CL101:CL108)</f>
        <v>0</v>
      </c>
      <c r="CL21">
        <f>SUMIF('Как есть'!$A101:$A108,Доп.расчеты!$A21,'Как есть'!CM101:CM108)</f>
        <v>0</v>
      </c>
      <c r="CM21">
        <f>SUMIF('Как есть'!$A101:$A108,Доп.расчеты!$A21,'Как есть'!CN101:CN108)</f>
        <v>0</v>
      </c>
      <c r="CN21">
        <f>SUMIF('Как есть'!$A101:$A108,Доп.расчеты!$A21,'Как есть'!CO101:CO108)</f>
        <v>0</v>
      </c>
      <c r="CO21">
        <f>SUMIF('Как есть'!$A101:$A108,Доп.расчеты!$A21,'Как есть'!CP101:CP108)</f>
        <v>0</v>
      </c>
      <c r="CP21">
        <f>SUMIF('Как есть'!$A101:$A108,Доп.расчеты!$A21,'Как есть'!CQ101:CQ108)</f>
        <v>0</v>
      </c>
      <c r="CQ21">
        <f>SUMIF('Как есть'!$A101:$A108,Доп.расчеты!$A21,'Как есть'!CR101:CR108)</f>
        <v>0</v>
      </c>
      <c r="CR21">
        <f>SUMIF('Как есть'!$A101:$A108,Доп.расчеты!$A21,'Как есть'!CS101:CS108)</f>
        <v>0</v>
      </c>
      <c r="CS21">
        <f>SUMIF('Как есть'!$A101:$A108,Доп.расчеты!$A21,'Как есть'!CT101:CT108)</f>
        <v>0</v>
      </c>
      <c r="CT21">
        <f>SUMIF('Как есть'!$A101:$A108,Доп.расчеты!$A21,'Как есть'!CU101:CU108)</f>
        <v>0</v>
      </c>
      <c r="CU21">
        <f>SUMIF('Как есть'!$A101:$A108,Доп.расчеты!$A21,'Как есть'!CV101:CV108)</f>
        <v>0</v>
      </c>
      <c r="CV21">
        <f>SUMIF('Как есть'!$A101:$A108,Доп.расчеты!$A21,'Как есть'!CW101:CW108)</f>
        <v>0</v>
      </c>
      <c r="CW21">
        <f>SUMIF('Как есть'!$A101:$A108,Доп.расчеты!$A21,'Как есть'!CX101:CX108)</f>
        <v>0</v>
      </c>
      <c r="CX21">
        <f>SUMIF('Как есть'!$A101:$A108,Доп.расчеты!$A21,'Как есть'!CY101:CY108)</f>
        <v>0</v>
      </c>
      <c r="CY21">
        <f>SUMIF('Как есть'!$A101:$A108,Доп.расчеты!$A21,'Как есть'!CZ101:CZ108)</f>
        <v>0</v>
      </c>
      <c r="CZ21">
        <f>SUMIF('Как есть'!$A101:$A108,Доп.расчеты!$A21,'Как есть'!DA101:DA108)</f>
        <v>0</v>
      </c>
      <c r="DA21">
        <f>SUMIF('Как есть'!$A101:$A108,Доп.расчеты!$A21,'Как есть'!DB101:DB108)</f>
        <v>0</v>
      </c>
      <c r="DB21">
        <f>SUMIF('Как есть'!$A101:$A108,Доп.расчеты!$A21,'Как есть'!DC101:DC108)</f>
        <v>0</v>
      </c>
      <c r="DC21">
        <f>SUMIF('Как есть'!$A101:$A108,Доп.расчеты!$A21,'Как есть'!DD101:DD108)</f>
        <v>0</v>
      </c>
      <c r="DD21">
        <f>SUMIF('Как есть'!$A101:$A108,Доп.расчеты!$A21,'Как есть'!DE101:DE108)</f>
        <v>0</v>
      </c>
      <c r="DE21">
        <f>SUMIF('Как есть'!$A101:$A108,Доп.расчеты!$A21,'Как есть'!DF101:DF108)</f>
        <v>0</v>
      </c>
      <c r="DF21">
        <f>SUMIF('Как есть'!$A101:$A108,Доп.расчеты!$A21,'Как есть'!DG101:DG108)</f>
        <v>0</v>
      </c>
      <c r="DG21">
        <f>SUMIF('Как есть'!$A101:$A108,Доп.расчеты!$A21,'Как есть'!DH101:DH108)</f>
        <v>0</v>
      </c>
      <c r="DH21">
        <f>SUMIF('Как есть'!$A101:$A108,Доп.расчеты!$A21,'Как есть'!DI101:DI108)</f>
        <v>0</v>
      </c>
      <c r="DI21">
        <f>SUMIF('Как есть'!$A101:$A108,Доп.расчеты!$A21,'Как есть'!DJ101:DJ108)</f>
        <v>0</v>
      </c>
      <c r="DJ21">
        <f>SUMIF('Как есть'!$A101:$A108,Доп.расчеты!$A21,'Как есть'!DK101:DK108)</f>
        <v>0</v>
      </c>
      <c r="DK21">
        <f>SUMIF('Как есть'!$A101:$A108,Доп.расчеты!$A21,'Как есть'!DL101:DL108)</f>
        <v>0</v>
      </c>
      <c r="DL21">
        <f>SUMIF('Как есть'!$A101:$A108,Доп.расчеты!$A21,'Как есть'!DM101:DM108)</f>
        <v>0</v>
      </c>
      <c r="DM21">
        <f>SUMIF('Как есть'!$A101:$A108,Доп.расчеты!$A21,'Как есть'!DN101:DN108)</f>
        <v>0</v>
      </c>
      <c r="DN21">
        <f>SUMIF('Как есть'!$A101:$A108,Доп.расчеты!$A21,'Как есть'!DO101:DO108)</f>
        <v>0</v>
      </c>
      <c r="DO21">
        <f>SUMIF('Как есть'!$A101:$A108,Доп.расчеты!$A21,'Как есть'!DP101:DP108)</f>
        <v>0</v>
      </c>
      <c r="DP21">
        <f>SUMIF('Как есть'!$A101:$A108,Доп.расчеты!$A21,'Как есть'!DQ101:DQ108)</f>
        <v>0</v>
      </c>
      <c r="DQ21">
        <f>SUMIF('Как есть'!$A101:$A108,Доп.расчеты!$A21,'Как есть'!DR101:DR108)</f>
        <v>0</v>
      </c>
      <c r="DR21">
        <f>SUMIF('Как есть'!$A101:$A108,Доп.расчеты!$A21,'Как есть'!DS101:DS108)</f>
        <v>0</v>
      </c>
      <c r="DS21">
        <f>SUMIF('Как есть'!$A101:$A108,Доп.расчеты!$A21,'Как есть'!DT101:DT108)</f>
        <v>0</v>
      </c>
      <c r="DT21">
        <f>SUMIF('Как есть'!$A101:$A108,Доп.расчеты!$A21,'Как есть'!DU101:DU108)</f>
        <v>0</v>
      </c>
      <c r="DU21">
        <f>SUMIF('Как есть'!$A101:$A108,Доп.расчеты!$A21,'Как есть'!DV101:DV108)</f>
        <v>0</v>
      </c>
      <c r="DV21">
        <f>SUMIF('Как есть'!$A101:$A108,Доп.расчеты!$A21,'Как есть'!DW101:DW108)</f>
        <v>0</v>
      </c>
      <c r="DW21">
        <f>SUMIF('Как есть'!$A101:$A108,Доп.расчеты!$A21,'Как есть'!DX101:DX108)</f>
        <v>0</v>
      </c>
      <c r="DX21">
        <f>SUMIF('Как есть'!$A101:$A108,Доп.расчеты!$A21,'Как есть'!DY101:DY108)</f>
        <v>0</v>
      </c>
      <c r="DY21">
        <f>SUMIF('Как есть'!$A101:$A108,Доп.расчеты!$A21,'Как есть'!DZ101:DZ108)</f>
        <v>0</v>
      </c>
      <c r="DZ21">
        <f>SUMIF('Как есть'!$A101:$A108,Доп.расчеты!$A21,'Как есть'!EA101:EA108)</f>
        <v>0</v>
      </c>
      <c r="EA21">
        <f>SUMIF('Как есть'!$A101:$A108,Доп.расчеты!$A21,'Как есть'!EB101:EB108)</f>
        <v>0</v>
      </c>
      <c r="EB21">
        <f>SUMIF('Как есть'!$A101:$A108,Доп.расчеты!$A21,'Как есть'!EC101:EC108)</f>
        <v>0</v>
      </c>
      <c r="EC21">
        <f>SUMIF('Как есть'!$A101:$A108,Доп.расчеты!$A21,'Как есть'!ED101:ED108)</f>
        <v>0</v>
      </c>
      <c r="ED21">
        <f>SUMIF('Как есть'!$A101:$A108,Доп.расчеты!$A21,'Как есть'!EE101:EE108)</f>
        <v>0</v>
      </c>
      <c r="EE21">
        <f>SUMIF('Как есть'!$A101:$A108,Доп.расчеты!$A21,'Как есть'!EF101:EF108)</f>
        <v>0</v>
      </c>
      <c r="EF21">
        <f>SUMIF('Как есть'!$A101:$A108,Доп.расчеты!$A21,'Как есть'!EG101:EG108)</f>
        <v>0</v>
      </c>
      <c r="EG21">
        <f>SUMIF('Как есть'!$A101:$A108,Доп.расчеты!$A21,'Как есть'!EH101:EH108)</f>
        <v>0</v>
      </c>
      <c r="EH21">
        <f>SUMIF('Как есть'!$A101:$A108,Доп.расчеты!$A21,'Как есть'!EI101:EI108)</f>
        <v>0</v>
      </c>
      <c r="EI21">
        <f>SUMIF('Как есть'!$A101:$A108,Доп.расчеты!$A21,'Как есть'!EJ101:EJ108)</f>
        <v>0</v>
      </c>
      <c r="EJ21">
        <f>SUMIF('Как есть'!$A101:$A108,Доп.расчеты!$A21,'Как есть'!EK101:EK108)</f>
        <v>0</v>
      </c>
      <c r="EK21">
        <f>SUMIF('Как есть'!$A101:$A108,Доп.расчеты!$A21,'Как есть'!EL101:EL108)</f>
        <v>0</v>
      </c>
      <c r="EL21">
        <f>SUMIF('Как есть'!$A101:$A108,Доп.расчеты!$A21,'Как есть'!EM101:EM108)</f>
        <v>0</v>
      </c>
      <c r="EM21">
        <f>SUMIF('Как есть'!$A101:$A108,Доп.расчеты!$A21,'Как есть'!EN101:EN108)</f>
        <v>0</v>
      </c>
      <c r="EN21">
        <f>SUMIF('Как есть'!$A101:$A108,Доп.расчеты!$A21,'Как есть'!EO101:EO108)</f>
        <v>0</v>
      </c>
      <c r="EO21">
        <f>SUMIF('Как есть'!$A101:$A108,Доп.расчеты!$A21,'Как есть'!EP101:EP108)</f>
        <v>0</v>
      </c>
      <c r="EP21">
        <f>SUMIF('Как есть'!$A101:$A108,Доп.расчеты!$A21,'Как есть'!EQ101:EQ108)</f>
        <v>0</v>
      </c>
      <c r="EQ21">
        <f>SUMIF('Как есть'!$A101:$A108,Доп.расчеты!$A21,'Как есть'!ER101:ER108)</f>
        <v>0</v>
      </c>
      <c r="ER21">
        <f>SUMIF('Как есть'!$A101:$A108,Доп.расчеты!$A21,'Как есть'!ES101:ES108)</f>
        <v>0</v>
      </c>
      <c r="ES21">
        <f>SUMIF('Как есть'!$A101:$A108,Доп.расчеты!$A21,'Как есть'!ET101:ET108)</f>
        <v>0</v>
      </c>
      <c r="ET21">
        <f>SUMIF('Как есть'!$A101:$A108,Доп.расчеты!$A21,'Как есть'!EU101:EU108)</f>
        <v>0</v>
      </c>
      <c r="EU21">
        <f>SUMIF('Как есть'!$A101:$A108,Доп.расчеты!$A21,'Как есть'!EV101:EV108)</f>
        <v>0</v>
      </c>
      <c r="EV21">
        <f>SUMIF('Как есть'!$A101:$A108,Доп.расчеты!$A21,'Как есть'!EW101:EW108)</f>
        <v>0</v>
      </c>
      <c r="EW21">
        <f>SUMIF('Как есть'!$A101:$A108,Доп.расчеты!$A21,'Как есть'!EX101:EX108)</f>
        <v>0</v>
      </c>
      <c r="EX21">
        <f>SUMIF('Как есть'!$A101:$A108,Доп.расчеты!$A21,'Как есть'!EY101:EY108)</f>
        <v>0</v>
      </c>
      <c r="EY21">
        <f>SUMIF('Как есть'!$A101:$A108,Доп.расчеты!$A21,'Как есть'!EZ101:EZ108)</f>
        <v>0</v>
      </c>
      <c r="EZ21">
        <f>SUMIF('Как есть'!$A101:$A108,Доп.расчеты!$A21,'Как есть'!FA101:FA108)</f>
        <v>0</v>
      </c>
      <c r="FA21">
        <f>SUMIF('Как есть'!$A101:$A108,Доп.расчеты!$A21,'Как есть'!FB101:FB108)</f>
        <v>0</v>
      </c>
      <c r="FB21">
        <f>SUMIF('Как есть'!$A101:$A108,Доп.расчеты!$A21,'Как есть'!FC101:FC108)</f>
        <v>0</v>
      </c>
      <c r="FC21">
        <f>SUMIF('Как есть'!$A101:$A108,Доп.расчеты!$A21,'Как есть'!FD101:FD108)</f>
        <v>0</v>
      </c>
      <c r="FD21">
        <f>SUMIF('Как есть'!$A101:$A108,Доп.расчеты!$A21,'Как есть'!FE101:FE108)</f>
        <v>0</v>
      </c>
      <c r="FE21">
        <f>SUMIF('Как есть'!$A101:$A108,Доп.расчеты!$A21,'Как есть'!FF101:FF108)</f>
        <v>0</v>
      </c>
      <c r="FF21">
        <f>SUMIF('Как есть'!$A101:$A108,Доп.расчеты!$A21,'Как есть'!FG101:FG108)</f>
        <v>0</v>
      </c>
      <c r="FG21">
        <f>SUMIF('Как есть'!$A101:$A108,Доп.расчеты!$A21,'Как есть'!FH101:FH108)</f>
        <v>0</v>
      </c>
      <c r="FH21">
        <f>SUMIF('Как есть'!$A101:$A108,Доп.расчеты!$A21,'Как есть'!FI101:FI108)</f>
        <v>0</v>
      </c>
      <c r="FI21">
        <f>SUMIF('Как есть'!$A101:$A108,Доп.расчеты!$A21,'Как есть'!FJ101:FJ108)</f>
        <v>0</v>
      </c>
      <c r="FJ21">
        <f>SUMIF('Как есть'!$A101:$A108,Доп.расчеты!$A21,'Как есть'!FK101:FK108)</f>
        <v>0</v>
      </c>
      <c r="FK21">
        <f>SUMIF('Как есть'!$A101:$A108,Доп.расчеты!$A21,'Как есть'!FL101:FL108)</f>
        <v>0</v>
      </c>
      <c r="FL21">
        <f>SUMIF('Как есть'!$A101:$A108,Доп.расчеты!$A21,'Как есть'!FM101:FM108)</f>
        <v>0</v>
      </c>
      <c r="FM21">
        <f>SUMIF('Как есть'!$A101:$A108,Доп.расчеты!$A21,'Как есть'!FN101:FN108)</f>
        <v>0</v>
      </c>
      <c r="FN21">
        <f>SUMIF('Как есть'!$A101:$A108,Доп.расчеты!$A21,'Как есть'!FO101:FO108)</f>
        <v>0</v>
      </c>
      <c r="FO21">
        <f>SUMIF('Как есть'!$A101:$A108,Доп.расчеты!$A21,'Как есть'!FP101:FP108)</f>
        <v>0</v>
      </c>
      <c r="FP21">
        <f>SUMIF('Как есть'!$A101:$A108,Доп.расчеты!$A21,'Как есть'!FQ101:FQ108)</f>
        <v>0</v>
      </c>
      <c r="FQ21">
        <f>SUMIF('Как есть'!$A101:$A108,Доп.расчеты!$A21,'Как есть'!FR101:FR108)</f>
        <v>0</v>
      </c>
      <c r="FR21">
        <f>SUMIF('Как есть'!$A101:$A108,Доп.расчеты!$A21,'Как есть'!FS101:FS108)</f>
        <v>0</v>
      </c>
      <c r="FS21">
        <f>SUMIF('Как есть'!$A101:$A108,Доп.расчеты!$A21,'Как есть'!FT101:FT108)</f>
        <v>0</v>
      </c>
      <c r="FT21">
        <f>SUMIF('Как есть'!$A101:$A108,Доп.расчеты!$A21,'Как есть'!FU101:FU108)</f>
        <v>0</v>
      </c>
      <c r="FU21">
        <f>SUMIF('Как есть'!$A101:$A108,Доп.расчеты!$A21,'Как есть'!FV101:FV108)</f>
        <v>0</v>
      </c>
      <c r="FV21">
        <f>SUMIF('Как есть'!$A101:$A108,Доп.расчеты!$A21,'Как есть'!FW101:FW108)</f>
        <v>0</v>
      </c>
      <c r="FW21">
        <f>SUMIF('Как есть'!$A101:$A108,Доп.расчеты!$A21,'Как есть'!FX101:FX108)</f>
        <v>0</v>
      </c>
      <c r="FX21">
        <f>SUMIF('Как есть'!$A101:$A108,Доп.расчеты!$A21,'Как есть'!FY101:FY108)</f>
        <v>0</v>
      </c>
      <c r="FY21">
        <f>SUMIF('Как есть'!$A101:$A108,Доп.расчеты!$A21,'Как есть'!FZ101:FZ108)</f>
        <v>0</v>
      </c>
      <c r="FZ21">
        <f>SUMIF('Как есть'!$A101:$A108,Доп.расчеты!$A21,'Как есть'!GA101:GA108)</f>
        <v>0</v>
      </c>
      <c r="GA21">
        <f>SUMIF('Как есть'!$A101:$A108,Доп.расчеты!$A21,'Как есть'!GB101:GB108)</f>
        <v>0</v>
      </c>
      <c r="GB21">
        <f>SUMIF('Как есть'!$A101:$A108,Доп.расчеты!$A21,'Как есть'!GC101:GC108)</f>
        <v>0</v>
      </c>
      <c r="GC21">
        <f>SUMIF('Как есть'!$A101:$A108,Доп.расчеты!$A21,'Как есть'!GD101:GD108)</f>
        <v>0</v>
      </c>
      <c r="GD21">
        <f>SUMIF('Как есть'!$A101:$A108,Доп.расчеты!$A21,'Как есть'!GE101:GE108)</f>
        <v>0</v>
      </c>
      <c r="GE21">
        <f>SUMIF('Как есть'!$A101:$A108,Доп.расчеты!$A21,'Как есть'!GF101:GF108)</f>
        <v>0</v>
      </c>
      <c r="GF21">
        <f>SUMIF('Как есть'!$A101:$A108,Доп.расчеты!$A21,'Как есть'!GG101:GG108)</f>
        <v>0</v>
      </c>
      <c r="GG21">
        <f>SUMIF('Как есть'!$A101:$A108,Доп.расчеты!$A21,'Как есть'!GH101:GH108)</f>
        <v>0</v>
      </c>
      <c r="GH21">
        <f>SUMIF('Как есть'!$A101:$A108,Доп.расчеты!$A21,'Как есть'!GI101:GI108)</f>
        <v>0</v>
      </c>
      <c r="GI21">
        <f>SUMIF('Как есть'!$A101:$A108,Доп.расчеты!$A21,'Как есть'!GJ101:GJ108)</f>
        <v>0</v>
      </c>
      <c r="GJ21">
        <f>SUMIF('Как есть'!$A101:$A108,Доп.расчеты!$A21,'Как есть'!GK101:GK108)</f>
        <v>0</v>
      </c>
      <c r="GK21">
        <f>SUMIF('Как есть'!$A101:$A108,Доп.расчеты!$A21,'Как есть'!GL101:GL108)</f>
        <v>0</v>
      </c>
      <c r="GL21">
        <f>SUMIF('Как есть'!$A101:$A108,Доп.расчеты!$A21,'Как есть'!GM101:GM108)</f>
        <v>0</v>
      </c>
      <c r="GM21">
        <f>SUMIF('Как есть'!$A101:$A108,Доп.расчеты!$A21,'Как есть'!GN101:GN108)</f>
        <v>0</v>
      </c>
      <c r="GN21">
        <f>SUMIF('Как есть'!$A101:$A108,Доп.расчеты!$A21,'Как есть'!GO101:GO108)</f>
        <v>0</v>
      </c>
      <c r="GO21">
        <f>SUMIF('Как есть'!$A101:$A108,Доп.расчеты!$A21,'Как есть'!GP101:GP108)</f>
        <v>0</v>
      </c>
      <c r="GP21">
        <f>SUMIF('Как есть'!$A101:$A108,Доп.расчеты!$A21,'Как есть'!GQ101:GQ108)</f>
        <v>0</v>
      </c>
      <c r="GQ21">
        <f>SUMIF('Как есть'!$A101:$A108,Доп.расчеты!$A21,'Как есть'!GR101:GR108)</f>
        <v>0</v>
      </c>
      <c r="GR21">
        <f>SUMIF('Как есть'!$A101:$A108,Доп.расчеты!$A21,'Как есть'!GS101:GS108)</f>
        <v>0</v>
      </c>
      <c r="GS21">
        <f>SUMIF('Как есть'!$A101:$A108,Доп.расчеты!$A21,'Как есть'!GT101:GT108)</f>
        <v>0</v>
      </c>
      <c r="GT21">
        <f>SUMIF('Как есть'!$A101:$A108,Доп.расчеты!$A21,'Как есть'!GU101:GU108)</f>
        <v>0</v>
      </c>
    </row>
    <row r="22" spans="1:202">
      <c r="A22" s="236" t="s">
        <v>113</v>
      </c>
      <c r="B22">
        <f>SUMIF('Как есть'!$A101:$A108,Доп.расчеты!$A22,'Как есть'!C101:C108)</f>
        <v>0</v>
      </c>
      <c r="C22">
        <f>SUMIF('Как есть'!$A101:$A108,Доп.расчеты!$A22,'Как есть'!D101:D108)</f>
        <v>0</v>
      </c>
      <c r="D22">
        <f>SUMIF('Как есть'!$A101:$A108,Доп.расчеты!$A22,'Как есть'!E101:E108)</f>
        <v>0</v>
      </c>
      <c r="E22">
        <f>SUMIF('Как есть'!$A101:$A108,Доп.расчеты!$A22,'Как есть'!F101:F108)</f>
        <v>0</v>
      </c>
      <c r="F22">
        <f>SUMIF('Как есть'!$A101:$A108,Доп.расчеты!$A22,'Как есть'!G101:G108)</f>
        <v>0</v>
      </c>
      <c r="G22">
        <f>SUMIF('Как есть'!$A101:$A108,Доп.расчеты!$A22,'Как есть'!H101:H108)</f>
        <v>0</v>
      </c>
      <c r="H22">
        <f>SUMIF('Как есть'!$A101:$A108,Доп.расчеты!$A22,'Как есть'!I101:I108)</f>
        <v>0</v>
      </c>
      <c r="I22">
        <f>SUMIF('Как есть'!$A101:$A108,Доп.расчеты!$A22,'Как есть'!J101:J108)</f>
        <v>0</v>
      </c>
      <c r="J22">
        <f>SUMIF('Как есть'!$A101:$A108,Доп.расчеты!$A22,'Как есть'!K101:K108)</f>
        <v>0</v>
      </c>
      <c r="K22">
        <f>SUMIF('Как есть'!$A101:$A108,Доп.расчеты!$A22,'Как есть'!L101:L108)</f>
        <v>0</v>
      </c>
      <c r="L22">
        <f>SUMIF('Как есть'!$A101:$A108,Доп.расчеты!$A22,'Как есть'!M101:M108)</f>
        <v>0</v>
      </c>
      <c r="M22">
        <f>SUMIF('Как есть'!$A101:$A108,Доп.расчеты!$A22,'Как есть'!N101:N108)</f>
        <v>0</v>
      </c>
      <c r="N22">
        <f>SUMIF('Как есть'!$A101:$A108,Доп.расчеты!$A22,'Как есть'!O101:O108)</f>
        <v>0</v>
      </c>
      <c r="O22">
        <f>SUMIF('Как есть'!$A101:$A108,Доп.расчеты!$A22,'Как есть'!P101:P108)</f>
        <v>0</v>
      </c>
      <c r="P22">
        <f>SUMIF('Как есть'!$A101:$A108,Доп.расчеты!$A22,'Как есть'!Q101:Q108)</f>
        <v>0</v>
      </c>
      <c r="Q22">
        <f>SUMIF('Как есть'!$A101:$A108,Доп.расчеты!$A22,'Как есть'!R101:R108)</f>
        <v>0</v>
      </c>
      <c r="R22">
        <f>SUMIF('Как есть'!$A101:$A108,Доп.расчеты!$A22,'Как есть'!S101:S108)</f>
        <v>0</v>
      </c>
      <c r="S22">
        <f>SUMIF('Как есть'!$A101:$A108,Доп.расчеты!$A22,'Как есть'!T101:T108)</f>
        <v>0</v>
      </c>
      <c r="T22">
        <f>SUMIF('Как есть'!$A101:$A108,Доп.расчеты!$A22,'Как есть'!U101:U108)</f>
        <v>0</v>
      </c>
      <c r="U22">
        <f>SUMIF('Как есть'!$A101:$A108,Доп.расчеты!$A22,'Как есть'!V101:V108)</f>
        <v>0</v>
      </c>
      <c r="V22">
        <f>SUMIF('Как есть'!$A101:$A108,Доп.расчеты!$A22,'Как есть'!W101:W108)</f>
        <v>0</v>
      </c>
      <c r="W22">
        <f>SUMIF('Как есть'!$A101:$A108,Доп.расчеты!$A22,'Как есть'!X101:X108)</f>
        <v>0</v>
      </c>
      <c r="X22">
        <f>SUMIF('Как есть'!$A101:$A108,Доп.расчеты!$A22,'Как есть'!Y101:Y108)</f>
        <v>0</v>
      </c>
      <c r="Y22">
        <f>SUMIF('Как есть'!$A101:$A108,Доп.расчеты!$A22,'Как есть'!Z101:Z108)</f>
        <v>0</v>
      </c>
      <c r="Z22">
        <f>SUMIF('Как есть'!$A101:$A108,Доп.расчеты!$A22,'Как есть'!AA101:AA108)</f>
        <v>0</v>
      </c>
      <c r="AA22">
        <f>SUMIF('Как есть'!$A101:$A108,Доп.расчеты!$A22,'Как есть'!AB101:AB108)</f>
        <v>0</v>
      </c>
      <c r="AB22">
        <f>SUMIF('Как есть'!$A101:$A108,Доп.расчеты!$A22,'Как есть'!AC101:AC108)</f>
        <v>0</v>
      </c>
      <c r="AC22">
        <f>SUMIF('Как есть'!$A101:$A108,Доп.расчеты!$A22,'Как есть'!AD101:AD108)</f>
        <v>0</v>
      </c>
      <c r="AD22">
        <f>SUMIF('Как есть'!$A101:$A108,Доп.расчеты!$A22,'Как есть'!AE101:AE108)</f>
        <v>0</v>
      </c>
      <c r="AE22">
        <f>SUMIF('Как есть'!$A101:$A108,Доп.расчеты!$A22,'Как есть'!AF101:AF108)</f>
        <v>0</v>
      </c>
      <c r="AF22">
        <f>SUMIF('Как есть'!$A101:$A108,Доп.расчеты!$A22,'Как есть'!AG101:AG108)</f>
        <v>0</v>
      </c>
      <c r="AG22">
        <f>SUMIF('Как есть'!$A101:$A108,Доп.расчеты!$A22,'Как есть'!AH101:AH108)</f>
        <v>0</v>
      </c>
      <c r="AH22">
        <f>SUMIF('Как есть'!$A101:$A108,Доп.расчеты!$A22,'Как есть'!AI101:AI108)</f>
        <v>0</v>
      </c>
      <c r="AI22">
        <f>SUMIF('Как есть'!$A101:$A108,Доп.расчеты!$A22,'Как есть'!AJ101:AJ108)</f>
        <v>0</v>
      </c>
      <c r="AJ22">
        <f>SUMIF('Как есть'!$A101:$A108,Доп.расчеты!$A22,'Как есть'!AK101:AK108)</f>
        <v>0</v>
      </c>
      <c r="AK22">
        <f>SUMIF('Как есть'!$A101:$A108,Доп.расчеты!$A22,'Как есть'!AL101:AL108)</f>
        <v>0</v>
      </c>
      <c r="AL22">
        <f>SUMIF('Как есть'!$A101:$A108,Доп.расчеты!$A22,'Как есть'!AM101:AM108)</f>
        <v>0</v>
      </c>
      <c r="AM22">
        <f>SUMIF('Как есть'!$A101:$A108,Доп.расчеты!$A22,'Как есть'!AN101:AN108)</f>
        <v>0</v>
      </c>
      <c r="AN22">
        <f>SUMIF('Как есть'!$A101:$A108,Доп.расчеты!$A22,'Как есть'!AO101:AO108)</f>
        <v>0</v>
      </c>
      <c r="AO22">
        <f>SUMIF('Как есть'!$A101:$A108,Доп.расчеты!$A22,'Как есть'!AP101:AP108)</f>
        <v>0</v>
      </c>
      <c r="AP22">
        <f>SUMIF('Как есть'!$A101:$A108,Доп.расчеты!$A22,'Как есть'!AQ101:AQ108)</f>
        <v>0</v>
      </c>
      <c r="AQ22">
        <f>SUMIF('Как есть'!$A101:$A108,Доп.расчеты!$A22,'Как есть'!AR101:AR108)</f>
        <v>0</v>
      </c>
      <c r="AR22">
        <f>SUMIF('Как есть'!$A101:$A108,Доп.расчеты!$A22,'Как есть'!AS101:AS108)</f>
        <v>0</v>
      </c>
      <c r="AS22">
        <f>SUMIF('Как есть'!$A101:$A108,Доп.расчеты!$A22,'Как есть'!AT101:AT108)</f>
        <v>0</v>
      </c>
      <c r="AT22">
        <f>SUMIF('Как есть'!$A101:$A108,Доп.расчеты!$A22,'Как есть'!AU101:AU108)</f>
        <v>0</v>
      </c>
      <c r="AU22">
        <f>SUMIF('Как есть'!$A101:$A108,Доп.расчеты!$A22,'Как есть'!AV101:AV108)</f>
        <v>0</v>
      </c>
      <c r="AV22">
        <f>SUMIF('Как есть'!$A101:$A108,Доп.расчеты!$A22,'Как есть'!AW101:AW108)</f>
        <v>0</v>
      </c>
      <c r="AW22">
        <f>SUMIF('Как есть'!$A101:$A108,Доп.расчеты!$A22,'Как есть'!AX101:AX108)</f>
        <v>0</v>
      </c>
      <c r="AX22">
        <f>SUMIF('Как есть'!$A101:$A108,Доп.расчеты!$A22,'Как есть'!AY101:AY108)</f>
        <v>0</v>
      </c>
      <c r="AY22">
        <f>SUMIF('Как есть'!$A101:$A108,Доп.расчеты!$A22,'Как есть'!AZ101:AZ108)</f>
        <v>0</v>
      </c>
      <c r="AZ22">
        <f>SUMIF('Как есть'!$A101:$A108,Доп.расчеты!$A22,'Как есть'!BA101:BA108)</f>
        <v>0</v>
      </c>
      <c r="BA22">
        <f>SUMIF('Как есть'!$A101:$A108,Доп.расчеты!$A22,'Как есть'!BB101:BB108)</f>
        <v>0</v>
      </c>
      <c r="BB22">
        <f>SUMIF('Как есть'!$A101:$A108,Доп.расчеты!$A22,'Как есть'!BC101:BC108)</f>
        <v>0</v>
      </c>
      <c r="BC22">
        <f>SUMIF('Как есть'!$A101:$A108,Доп.расчеты!$A22,'Как есть'!BD101:BD108)</f>
        <v>0</v>
      </c>
      <c r="BD22">
        <f>SUMIF('Как есть'!$A101:$A108,Доп.расчеты!$A22,'Как есть'!BE101:BE108)</f>
        <v>0</v>
      </c>
      <c r="BE22">
        <f>SUMIF('Как есть'!$A101:$A108,Доп.расчеты!$A22,'Как есть'!BF101:BF108)</f>
        <v>0</v>
      </c>
      <c r="BF22">
        <f>SUMIF('Как есть'!$A101:$A108,Доп.расчеты!$A22,'Как есть'!BG101:BG108)</f>
        <v>0</v>
      </c>
      <c r="BG22">
        <f>SUMIF('Как есть'!$A101:$A108,Доп.расчеты!$A22,'Как есть'!BH101:BH108)</f>
        <v>0</v>
      </c>
      <c r="BH22">
        <f>SUMIF('Как есть'!$A101:$A108,Доп.расчеты!$A22,'Как есть'!BI101:BI108)</f>
        <v>0</v>
      </c>
      <c r="BI22">
        <f>SUMIF('Как есть'!$A101:$A108,Доп.расчеты!$A22,'Как есть'!BJ101:BJ108)</f>
        <v>0</v>
      </c>
      <c r="BJ22">
        <f>SUMIF('Как есть'!$A101:$A108,Доп.расчеты!$A22,'Как есть'!BK101:BK108)</f>
        <v>0</v>
      </c>
      <c r="BK22">
        <f>SUMIF('Как есть'!$A101:$A108,Доп.расчеты!$A22,'Как есть'!BL101:BL108)</f>
        <v>0</v>
      </c>
      <c r="BL22">
        <f>SUMIF('Как есть'!$A101:$A108,Доп.расчеты!$A22,'Как есть'!BM101:BM108)</f>
        <v>0</v>
      </c>
      <c r="BM22">
        <f>SUMIF('Как есть'!$A101:$A108,Доп.расчеты!$A22,'Как есть'!BN101:BN108)</f>
        <v>0</v>
      </c>
      <c r="BN22">
        <f>SUMIF('Как есть'!$A101:$A108,Доп.расчеты!$A22,'Как есть'!BO101:BO108)</f>
        <v>0</v>
      </c>
      <c r="BO22">
        <f>SUMIF('Как есть'!$A101:$A108,Доп.расчеты!$A22,'Как есть'!BP101:BP108)</f>
        <v>0</v>
      </c>
      <c r="BP22">
        <f>SUMIF('Как есть'!$A101:$A108,Доп.расчеты!$A22,'Как есть'!BQ101:BQ108)</f>
        <v>0</v>
      </c>
      <c r="BQ22">
        <f>SUMIF('Как есть'!$A101:$A108,Доп.расчеты!$A22,'Как есть'!BR101:BR108)</f>
        <v>0</v>
      </c>
      <c r="BR22">
        <f>SUMIF('Как есть'!$A101:$A108,Доп.расчеты!$A22,'Как есть'!BS101:BS108)</f>
        <v>0</v>
      </c>
      <c r="BS22">
        <f>SUMIF('Как есть'!$A101:$A108,Доп.расчеты!$A22,'Как есть'!BT101:BT108)</f>
        <v>0</v>
      </c>
      <c r="BT22">
        <f>SUMIF('Как есть'!$A101:$A108,Доп.расчеты!$A22,'Как есть'!BU101:BU108)</f>
        <v>0</v>
      </c>
      <c r="BU22">
        <f>SUMIF('Как есть'!$A101:$A108,Доп.расчеты!$A22,'Как есть'!BV101:BV108)</f>
        <v>0</v>
      </c>
      <c r="BV22">
        <f>SUMIF('Как есть'!$A101:$A108,Доп.расчеты!$A22,'Как есть'!BW101:BW108)</f>
        <v>0</v>
      </c>
      <c r="BW22">
        <f>SUMIF('Как есть'!$A101:$A108,Доп.расчеты!$A22,'Как есть'!BX101:BX108)</f>
        <v>0</v>
      </c>
      <c r="BX22">
        <f>SUMIF('Как есть'!$A101:$A108,Доп.расчеты!$A22,'Как есть'!BY101:BY108)</f>
        <v>0</v>
      </c>
      <c r="BY22">
        <f>SUMIF('Как есть'!$A101:$A108,Доп.расчеты!$A22,'Как есть'!BZ101:BZ108)</f>
        <v>0</v>
      </c>
      <c r="BZ22">
        <f>SUMIF('Как есть'!$A101:$A108,Доп.расчеты!$A22,'Как есть'!CA101:CA108)</f>
        <v>0</v>
      </c>
      <c r="CA22">
        <f>SUMIF('Как есть'!$A101:$A108,Доп.расчеты!$A22,'Как есть'!CB101:CB108)</f>
        <v>0</v>
      </c>
      <c r="CB22">
        <f>SUMIF('Как есть'!$A101:$A108,Доп.расчеты!$A22,'Как есть'!CC101:CC108)</f>
        <v>0</v>
      </c>
      <c r="CC22">
        <f>SUMIF('Как есть'!$A101:$A108,Доп.расчеты!$A22,'Как есть'!CD101:CD108)</f>
        <v>0</v>
      </c>
      <c r="CD22">
        <f>SUMIF('Как есть'!$A101:$A108,Доп.расчеты!$A22,'Как есть'!CE101:CE108)</f>
        <v>0</v>
      </c>
      <c r="CE22">
        <f>SUMIF('Как есть'!$A101:$A108,Доп.расчеты!$A22,'Как есть'!CF101:CF108)</f>
        <v>0</v>
      </c>
      <c r="CF22">
        <f>SUMIF('Как есть'!$A101:$A108,Доп.расчеты!$A22,'Как есть'!CG101:CG108)</f>
        <v>0</v>
      </c>
      <c r="CG22">
        <f>SUMIF('Как есть'!$A101:$A108,Доп.расчеты!$A22,'Как есть'!CH101:CH108)</f>
        <v>0</v>
      </c>
      <c r="CH22">
        <f>SUMIF('Как есть'!$A101:$A108,Доп.расчеты!$A22,'Как есть'!CI101:CI108)</f>
        <v>0</v>
      </c>
      <c r="CI22">
        <f>SUMIF('Как есть'!$A101:$A108,Доп.расчеты!$A22,'Как есть'!CJ101:CJ108)</f>
        <v>0</v>
      </c>
      <c r="CJ22">
        <f>SUMIF('Как есть'!$A101:$A108,Доп.расчеты!$A22,'Как есть'!CK101:CK108)</f>
        <v>0</v>
      </c>
      <c r="CK22">
        <f>SUMIF('Как есть'!$A101:$A108,Доп.расчеты!$A22,'Как есть'!CL101:CL108)</f>
        <v>0</v>
      </c>
      <c r="CL22">
        <f>SUMIF('Как есть'!$A101:$A108,Доп.расчеты!$A22,'Как есть'!CM101:CM108)</f>
        <v>0</v>
      </c>
      <c r="CM22">
        <f>SUMIF('Как есть'!$A101:$A108,Доп.расчеты!$A22,'Как есть'!CN101:CN108)</f>
        <v>0</v>
      </c>
      <c r="CN22">
        <f>SUMIF('Как есть'!$A101:$A108,Доп.расчеты!$A22,'Как есть'!CO101:CO108)</f>
        <v>0</v>
      </c>
      <c r="CO22">
        <f>SUMIF('Как есть'!$A101:$A108,Доп.расчеты!$A22,'Как есть'!CP101:CP108)</f>
        <v>0</v>
      </c>
      <c r="CP22">
        <f>SUMIF('Как есть'!$A101:$A108,Доп.расчеты!$A22,'Как есть'!CQ101:CQ108)</f>
        <v>0</v>
      </c>
      <c r="CQ22">
        <f>SUMIF('Как есть'!$A101:$A108,Доп.расчеты!$A22,'Как есть'!CR101:CR108)</f>
        <v>0</v>
      </c>
      <c r="CR22">
        <f>SUMIF('Как есть'!$A101:$A108,Доп.расчеты!$A22,'Как есть'!CS101:CS108)</f>
        <v>0</v>
      </c>
      <c r="CS22">
        <f>SUMIF('Как есть'!$A101:$A108,Доп.расчеты!$A22,'Как есть'!CT101:CT108)</f>
        <v>0</v>
      </c>
      <c r="CT22">
        <f>SUMIF('Как есть'!$A101:$A108,Доп.расчеты!$A22,'Как есть'!CU101:CU108)</f>
        <v>0</v>
      </c>
      <c r="CU22">
        <f>SUMIF('Как есть'!$A101:$A108,Доп.расчеты!$A22,'Как есть'!CV101:CV108)</f>
        <v>0</v>
      </c>
      <c r="CV22">
        <f>SUMIF('Как есть'!$A101:$A108,Доп.расчеты!$A22,'Как есть'!CW101:CW108)</f>
        <v>0</v>
      </c>
      <c r="CW22">
        <f>SUMIF('Как есть'!$A101:$A108,Доп.расчеты!$A22,'Как есть'!CX101:CX108)</f>
        <v>0</v>
      </c>
      <c r="CX22">
        <f>SUMIF('Как есть'!$A101:$A108,Доп.расчеты!$A22,'Как есть'!CY101:CY108)</f>
        <v>0</v>
      </c>
      <c r="CY22">
        <f>SUMIF('Как есть'!$A101:$A108,Доп.расчеты!$A22,'Как есть'!CZ101:CZ108)</f>
        <v>0</v>
      </c>
      <c r="CZ22">
        <f>SUMIF('Как есть'!$A101:$A108,Доп.расчеты!$A22,'Как есть'!DA101:DA108)</f>
        <v>0</v>
      </c>
      <c r="DA22">
        <f>SUMIF('Как есть'!$A101:$A108,Доп.расчеты!$A22,'Как есть'!DB101:DB108)</f>
        <v>0</v>
      </c>
      <c r="DB22">
        <f>SUMIF('Как есть'!$A101:$A108,Доп.расчеты!$A22,'Как есть'!DC101:DC108)</f>
        <v>0</v>
      </c>
      <c r="DC22">
        <f>SUMIF('Как есть'!$A101:$A108,Доп.расчеты!$A22,'Как есть'!DD101:DD108)</f>
        <v>0</v>
      </c>
      <c r="DD22">
        <f>SUMIF('Как есть'!$A101:$A108,Доп.расчеты!$A22,'Как есть'!DE101:DE108)</f>
        <v>0</v>
      </c>
      <c r="DE22">
        <f>SUMIF('Как есть'!$A101:$A108,Доп.расчеты!$A22,'Как есть'!DF101:DF108)</f>
        <v>0</v>
      </c>
      <c r="DF22">
        <f>SUMIF('Как есть'!$A101:$A108,Доп.расчеты!$A22,'Как есть'!DG101:DG108)</f>
        <v>0</v>
      </c>
      <c r="DG22">
        <f>SUMIF('Как есть'!$A101:$A108,Доп.расчеты!$A22,'Как есть'!DH101:DH108)</f>
        <v>0</v>
      </c>
      <c r="DH22">
        <f>SUMIF('Как есть'!$A101:$A108,Доп.расчеты!$A22,'Как есть'!DI101:DI108)</f>
        <v>0</v>
      </c>
      <c r="DI22">
        <f>SUMIF('Как есть'!$A101:$A108,Доп.расчеты!$A22,'Как есть'!DJ101:DJ108)</f>
        <v>0</v>
      </c>
      <c r="DJ22">
        <f>SUMIF('Как есть'!$A101:$A108,Доп.расчеты!$A22,'Как есть'!DK101:DK108)</f>
        <v>0</v>
      </c>
      <c r="DK22">
        <f>SUMIF('Как есть'!$A101:$A108,Доп.расчеты!$A22,'Как есть'!DL101:DL108)</f>
        <v>0</v>
      </c>
      <c r="DL22">
        <f>SUMIF('Как есть'!$A101:$A108,Доп.расчеты!$A22,'Как есть'!DM101:DM108)</f>
        <v>0</v>
      </c>
      <c r="DM22">
        <f>SUMIF('Как есть'!$A101:$A108,Доп.расчеты!$A22,'Как есть'!DN101:DN108)</f>
        <v>0</v>
      </c>
      <c r="DN22">
        <f>SUMIF('Как есть'!$A101:$A108,Доп.расчеты!$A22,'Как есть'!DO101:DO108)</f>
        <v>0</v>
      </c>
      <c r="DO22">
        <f>SUMIF('Как есть'!$A101:$A108,Доп.расчеты!$A22,'Как есть'!DP101:DP108)</f>
        <v>0</v>
      </c>
      <c r="DP22">
        <f>SUMIF('Как есть'!$A101:$A108,Доп.расчеты!$A22,'Как есть'!DQ101:DQ108)</f>
        <v>0</v>
      </c>
      <c r="DQ22">
        <f>SUMIF('Как есть'!$A101:$A108,Доп.расчеты!$A22,'Как есть'!DR101:DR108)</f>
        <v>0</v>
      </c>
      <c r="DR22">
        <f>SUMIF('Как есть'!$A101:$A108,Доп.расчеты!$A22,'Как есть'!DS101:DS108)</f>
        <v>0</v>
      </c>
      <c r="DS22">
        <f>SUMIF('Как есть'!$A101:$A108,Доп.расчеты!$A22,'Как есть'!DT101:DT108)</f>
        <v>0</v>
      </c>
      <c r="DT22">
        <f>SUMIF('Как есть'!$A101:$A108,Доп.расчеты!$A22,'Как есть'!DU101:DU108)</f>
        <v>0</v>
      </c>
      <c r="DU22">
        <f>SUMIF('Как есть'!$A101:$A108,Доп.расчеты!$A22,'Как есть'!DV101:DV108)</f>
        <v>0</v>
      </c>
      <c r="DV22">
        <f>SUMIF('Как есть'!$A101:$A108,Доп.расчеты!$A22,'Как есть'!DW101:DW108)</f>
        <v>0</v>
      </c>
      <c r="DW22">
        <f>SUMIF('Как есть'!$A101:$A108,Доп.расчеты!$A22,'Как есть'!DX101:DX108)</f>
        <v>0</v>
      </c>
      <c r="DX22">
        <f>SUMIF('Как есть'!$A101:$A108,Доп.расчеты!$A22,'Как есть'!DY101:DY108)</f>
        <v>0</v>
      </c>
      <c r="DY22">
        <f>SUMIF('Как есть'!$A101:$A108,Доп.расчеты!$A22,'Как есть'!DZ101:DZ108)</f>
        <v>0</v>
      </c>
      <c r="DZ22">
        <f>SUMIF('Как есть'!$A101:$A108,Доп.расчеты!$A22,'Как есть'!EA101:EA108)</f>
        <v>0</v>
      </c>
      <c r="EA22">
        <f>SUMIF('Как есть'!$A101:$A108,Доп.расчеты!$A22,'Как есть'!EB101:EB108)</f>
        <v>0</v>
      </c>
      <c r="EB22">
        <f>SUMIF('Как есть'!$A101:$A108,Доп.расчеты!$A22,'Как есть'!EC101:EC108)</f>
        <v>0</v>
      </c>
      <c r="EC22">
        <f>SUMIF('Как есть'!$A101:$A108,Доп.расчеты!$A22,'Как есть'!ED101:ED108)</f>
        <v>0</v>
      </c>
      <c r="ED22">
        <f>SUMIF('Как есть'!$A101:$A108,Доп.расчеты!$A22,'Как есть'!EE101:EE108)</f>
        <v>0</v>
      </c>
      <c r="EE22">
        <f>SUMIF('Как есть'!$A101:$A108,Доп.расчеты!$A22,'Как есть'!EF101:EF108)</f>
        <v>0</v>
      </c>
      <c r="EF22">
        <f>SUMIF('Как есть'!$A101:$A108,Доп.расчеты!$A22,'Как есть'!EG101:EG108)</f>
        <v>0</v>
      </c>
      <c r="EG22">
        <f>SUMIF('Как есть'!$A101:$A108,Доп.расчеты!$A22,'Как есть'!EH101:EH108)</f>
        <v>0</v>
      </c>
      <c r="EH22">
        <f>SUMIF('Как есть'!$A101:$A108,Доп.расчеты!$A22,'Как есть'!EI101:EI108)</f>
        <v>0</v>
      </c>
      <c r="EI22">
        <f>SUMIF('Как есть'!$A101:$A108,Доп.расчеты!$A22,'Как есть'!EJ101:EJ108)</f>
        <v>0</v>
      </c>
      <c r="EJ22">
        <f>SUMIF('Как есть'!$A101:$A108,Доп.расчеты!$A22,'Как есть'!EK101:EK108)</f>
        <v>0</v>
      </c>
      <c r="EK22">
        <f>SUMIF('Как есть'!$A101:$A108,Доп.расчеты!$A22,'Как есть'!EL101:EL108)</f>
        <v>0</v>
      </c>
      <c r="EL22">
        <f>SUMIF('Как есть'!$A101:$A108,Доп.расчеты!$A22,'Как есть'!EM101:EM108)</f>
        <v>0</v>
      </c>
      <c r="EM22">
        <f>SUMIF('Как есть'!$A101:$A108,Доп.расчеты!$A22,'Как есть'!EN101:EN108)</f>
        <v>0</v>
      </c>
      <c r="EN22">
        <f>SUMIF('Как есть'!$A101:$A108,Доп.расчеты!$A22,'Как есть'!EO101:EO108)</f>
        <v>0</v>
      </c>
      <c r="EO22">
        <f>SUMIF('Как есть'!$A101:$A108,Доп.расчеты!$A22,'Как есть'!EP101:EP108)</f>
        <v>0</v>
      </c>
      <c r="EP22">
        <f>SUMIF('Как есть'!$A101:$A108,Доп.расчеты!$A22,'Как есть'!EQ101:EQ108)</f>
        <v>0</v>
      </c>
      <c r="EQ22">
        <f>SUMIF('Как есть'!$A101:$A108,Доп.расчеты!$A22,'Как есть'!ER101:ER108)</f>
        <v>0</v>
      </c>
      <c r="ER22">
        <f>SUMIF('Как есть'!$A101:$A108,Доп.расчеты!$A22,'Как есть'!ES101:ES108)</f>
        <v>0</v>
      </c>
      <c r="ES22">
        <f>SUMIF('Как есть'!$A101:$A108,Доп.расчеты!$A22,'Как есть'!ET101:ET108)</f>
        <v>0</v>
      </c>
      <c r="ET22">
        <f>SUMIF('Как есть'!$A101:$A108,Доп.расчеты!$A22,'Как есть'!EU101:EU108)</f>
        <v>0</v>
      </c>
      <c r="EU22">
        <f>SUMIF('Как есть'!$A101:$A108,Доп.расчеты!$A22,'Как есть'!EV101:EV108)</f>
        <v>0</v>
      </c>
      <c r="EV22">
        <f>SUMIF('Как есть'!$A101:$A108,Доп.расчеты!$A22,'Как есть'!EW101:EW108)</f>
        <v>0</v>
      </c>
      <c r="EW22">
        <f>SUMIF('Как есть'!$A101:$A108,Доп.расчеты!$A22,'Как есть'!EX101:EX108)</f>
        <v>0</v>
      </c>
      <c r="EX22">
        <f>SUMIF('Как есть'!$A101:$A108,Доп.расчеты!$A22,'Как есть'!EY101:EY108)</f>
        <v>0</v>
      </c>
      <c r="EY22">
        <f>SUMIF('Как есть'!$A101:$A108,Доп.расчеты!$A22,'Как есть'!EZ101:EZ108)</f>
        <v>0</v>
      </c>
      <c r="EZ22">
        <f>SUMIF('Как есть'!$A101:$A108,Доп.расчеты!$A22,'Как есть'!FA101:FA108)</f>
        <v>0</v>
      </c>
      <c r="FA22">
        <f>SUMIF('Как есть'!$A101:$A108,Доп.расчеты!$A22,'Как есть'!FB101:FB108)</f>
        <v>0</v>
      </c>
      <c r="FB22">
        <f>SUMIF('Как есть'!$A101:$A108,Доп.расчеты!$A22,'Как есть'!FC101:FC108)</f>
        <v>0</v>
      </c>
      <c r="FC22">
        <f>SUMIF('Как есть'!$A101:$A108,Доп.расчеты!$A22,'Как есть'!FD101:FD108)</f>
        <v>0</v>
      </c>
      <c r="FD22">
        <f>SUMIF('Как есть'!$A101:$A108,Доп.расчеты!$A22,'Как есть'!FE101:FE108)</f>
        <v>0</v>
      </c>
      <c r="FE22">
        <f>SUMIF('Как есть'!$A101:$A108,Доп.расчеты!$A22,'Как есть'!FF101:FF108)</f>
        <v>0</v>
      </c>
      <c r="FF22">
        <f>SUMIF('Как есть'!$A101:$A108,Доп.расчеты!$A22,'Как есть'!FG101:FG108)</f>
        <v>0</v>
      </c>
      <c r="FG22">
        <f>SUMIF('Как есть'!$A101:$A108,Доп.расчеты!$A22,'Как есть'!FH101:FH108)</f>
        <v>0</v>
      </c>
      <c r="FH22">
        <f>SUMIF('Как есть'!$A101:$A108,Доп.расчеты!$A22,'Как есть'!FI101:FI108)</f>
        <v>0</v>
      </c>
      <c r="FI22">
        <f>SUMIF('Как есть'!$A101:$A108,Доп.расчеты!$A22,'Как есть'!FJ101:FJ108)</f>
        <v>0</v>
      </c>
      <c r="FJ22">
        <f>SUMIF('Как есть'!$A101:$A108,Доп.расчеты!$A22,'Как есть'!FK101:FK108)</f>
        <v>0</v>
      </c>
      <c r="FK22">
        <f>SUMIF('Как есть'!$A101:$A108,Доп.расчеты!$A22,'Как есть'!FL101:FL108)</f>
        <v>0</v>
      </c>
      <c r="FL22">
        <f>SUMIF('Как есть'!$A101:$A108,Доп.расчеты!$A22,'Как есть'!FM101:FM108)</f>
        <v>0</v>
      </c>
      <c r="FM22">
        <f>SUMIF('Как есть'!$A101:$A108,Доп.расчеты!$A22,'Как есть'!FN101:FN108)</f>
        <v>0</v>
      </c>
      <c r="FN22">
        <f>SUMIF('Как есть'!$A101:$A108,Доп.расчеты!$A22,'Как есть'!FO101:FO108)</f>
        <v>0</v>
      </c>
      <c r="FO22">
        <f>SUMIF('Как есть'!$A101:$A108,Доп.расчеты!$A22,'Как есть'!FP101:FP108)</f>
        <v>0</v>
      </c>
      <c r="FP22">
        <f>SUMIF('Как есть'!$A101:$A108,Доп.расчеты!$A22,'Как есть'!FQ101:FQ108)</f>
        <v>0</v>
      </c>
      <c r="FQ22">
        <f>SUMIF('Как есть'!$A101:$A108,Доп.расчеты!$A22,'Как есть'!FR101:FR108)</f>
        <v>0</v>
      </c>
      <c r="FR22">
        <f>SUMIF('Как есть'!$A101:$A108,Доп.расчеты!$A22,'Как есть'!FS101:FS108)</f>
        <v>0</v>
      </c>
      <c r="FS22">
        <f>SUMIF('Как есть'!$A101:$A108,Доп.расчеты!$A22,'Как есть'!FT101:FT108)</f>
        <v>0</v>
      </c>
      <c r="FT22">
        <f>SUMIF('Как есть'!$A101:$A108,Доп.расчеты!$A22,'Как есть'!FU101:FU108)</f>
        <v>0</v>
      </c>
      <c r="FU22">
        <f>SUMIF('Как есть'!$A101:$A108,Доп.расчеты!$A22,'Как есть'!FV101:FV108)</f>
        <v>0</v>
      </c>
      <c r="FV22">
        <f>SUMIF('Как есть'!$A101:$A108,Доп.расчеты!$A22,'Как есть'!FW101:FW108)</f>
        <v>0</v>
      </c>
      <c r="FW22">
        <f>SUMIF('Как есть'!$A101:$A108,Доп.расчеты!$A22,'Как есть'!FX101:FX108)</f>
        <v>0</v>
      </c>
      <c r="FX22">
        <f>SUMIF('Как есть'!$A101:$A108,Доп.расчеты!$A22,'Как есть'!FY101:FY108)</f>
        <v>0</v>
      </c>
      <c r="FY22">
        <f>SUMIF('Как есть'!$A101:$A108,Доп.расчеты!$A22,'Как есть'!FZ101:FZ108)</f>
        <v>0</v>
      </c>
      <c r="FZ22">
        <f>SUMIF('Как есть'!$A101:$A108,Доп.расчеты!$A22,'Как есть'!GA101:GA108)</f>
        <v>0</v>
      </c>
      <c r="GA22">
        <f>SUMIF('Как есть'!$A101:$A108,Доп.расчеты!$A22,'Как есть'!GB101:GB108)</f>
        <v>0</v>
      </c>
      <c r="GB22">
        <f>SUMIF('Как есть'!$A101:$A108,Доп.расчеты!$A22,'Как есть'!GC101:GC108)</f>
        <v>0</v>
      </c>
      <c r="GC22">
        <f>SUMIF('Как есть'!$A101:$A108,Доп.расчеты!$A22,'Как есть'!GD101:GD108)</f>
        <v>0</v>
      </c>
      <c r="GD22">
        <f>SUMIF('Как есть'!$A101:$A108,Доп.расчеты!$A22,'Как есть'!GE101:GE108)</f>
        <v>0</v>
      </c>
      <c r="GE22">
        <f>SUMIF('Как есть'!$A101:$A108,Доп.расчеты!$A22,'Как есть'!GF101:GF108)</f>
        <v>0</v>
      </c>
      <c r="GF22">
        <f>SUMIF('Как есть'!$A101:$A108,Доп.расчеты!$A22,'Как есть'!GG101:GG108)</f>
        <v>0</v>
      </c>
      <c r="GG22">
        <f>SUMIF('Как есть'!$A101:$A108,Доп.расчеты!$A22,'Как есть'!GH101:GH108)</f>
        <v>0</v>
      </c>
      <c r="GH22">
        <f>SUMIF('Как есть'!$A101:$A108,Доп.расчеты!$A22,'Как есть'!GI101:GI108)</f>
        <v>0</v>
      </c>
      <c r="GI22">
        <f>SUMIF('Как есть'!$A101:$A108,Доп.расчеты!$A22,'Как есть'!GJ101:GJ108)</f>
        <v>0</v>
      </c>
      <c r="GJ22">
        <f>SUMIF('Как есть'!$A101:$A108,Доп.расчеты!$A22,'Как есть'!GK101:GK108)</f>
        <v>0</v>
      </c>
      <c r="GK22">
        <f>SUMIF('Как есть'!$A101:$A108,Доп.расчеты!$A22,'Как есть'!GL101:GL108)</f>
        <v>0</v>
      </c>
      <c r="GL22">
        <f>SUMIF('Как есть'!$A101:$A108,Доп.расчеты!$A22,'Как есть'!GM101:GM108)</f>
        <v>0</v>
      </c>
      <c r="GM22">
        <f>SUMIF('Как есть'!$A101:$A108,Доп.расчеты!$A22,'Как есть'!GN101:GN108)</f>
        <v>0</v>
      </c>
      <c r="GN22">
        <f>SUMIF('Как есть'!$A101:$A108,Доп.расчеты!$A22,'Как есть'!GO101:GO108)</f>
        <v>0</v>
      </c>
      <c r="GO22">
        <f>SUMIF('Как есть'!$A101:$A108,Доп.расчеты!$A22,'Как есть'!GP101:GP108)</f>
        <v>0</v>
      </c>
      <c r="GP22">
        <f>SUMIF('Как есть'!$A101:$A108,Доп.расчеты!$A22,'Как есть'!GQ101:GQ108)</f>
        <v>0</v>
      </c>
      <c r="GQ22">
        <f>SUMIF('Как есть'!$A101:$A108,Доп.расчеты!$A22,'Как есть'!GR101:GR108)</f>
        <v>0</v>
      </c>
      <c r="GR22">
        <f>SUMIF('Как есть'!$A101:$A108,Доп.расчеты!$A22,'Как есть'!GS101:GS108)</f>
        <v>0</v>
      </c>
      <c r="GS22">
        <f>SUMIF('Как есть'!$A101:$A108,Доп.расчеты!$A22,'Как есть'!GT101:GT108)</f>
        <v>0</v>
      </c>
      <c r="GT22">
        <f>SUMIF('Как есть'!$A101:$A108,Доп.расчеты!$A22,'Как есть'!GU101:GU108)</f>
        <v>0</v>
      </c>
    </row>
    <row r="23" spans="1:202">
      <c r="A23" s="236" t="s">
        <v>125</v>
      </c>
      <c r="B23">
        <f>SUMIF('Как есть'!$A101:$A108,Доп.расчеты!$A23,'Как есть'!C101:C108)</f>
        <v>0</v>
      </c>
      <c r="C23">
        <f>SUMIF('Как есть'!$A101:$A108,Доп.расчеты!$A23,'Как есть'!D101:D108)</f>
        <v>0</v>
      </c>
      <c r="D23">
        <f>SUMIF('Как есть'!$A101:$A108,Доп.расчеты!$A23,'Как есть'!E101:E108)</f>
        <v>0</v>
      </c>
      <c r="E23">
        <f>SUMIF('Как есть'!$A101:$A108,Доп.расчеты!$A23,'Как есть'!F101:F108)</f>
        <v>0</v>
      </c>
      <c r="F23">
        <f>SUMIF('Как есть'!$A101:$A108,Доп.расчеты!$A23,'Как есть'!G101:G108)</f>
        <v>0</v>
      </c>
      <c r="G23">
        <f>SUMIF('Как есть'!$A101:$A108,Доп.расчеты!$A23,'Как есть'!H101:H108)</f>
        <v>0</v>
      </c>
      <c r="H23">
        <f>SUMIF('Как есть'!$A101:$A108,Доп.расчеты!$A23,'Как есть'!I101:I108)</f>
        <v>0</v>
      </c>
      <c r="I23">
        <f>SUMIF('Как есть'!$A101:$A108,Доп.расчеты!$A23,'Как есть'!J101:J108)</f>
        <v>0</v>
      </c>
      <c r="J23">
        <f>SUMIF('Как есть'!$A101:$A108,Доп.расчеты!$A23,'Как есть'!K101:K108)</f>
        <v>0</v>
      </c>
      <c r="K23">
        <f>SUMIF('Как есть'!$A101:$A108,Доп.расчеты!$A23,'Как есть'!L101:L108)</f>
        <v>0</v>
      </c>
      <c r="L23">
        <f>SUMIF('Как есть'!$A101:$A108,Доп.расчеты!$A23,'Как есть'!M101:M108)</f>
        <v>0</v>
      </c>
      <c r="M23">
        <f>SUMIF('Как есть'!$A101:$A108,Доп.расчеты!$A23,'Как есть'!N101:N108)</f>
        <v>0</v>
      </c>
      <c r="N23">
        <f>SUMIF('Как есть'!$A101:$A108,Доп.расчеты!$A23,'Как есть'!O101:O108)</f>
        <v>0</v>
      </c>
      <c r="O23">
        <f>SUMIF('Как есть'!$A101:$A108,Доп.расчеты!$A23,'Как есть'!P101:P108)</f>
        <v>0</v>
      </c>
      <c r="P23">
        <f>SUMIF('Как есть'!$A101:$A108,Доп.расчеты!$A23,'Как есть'!Q101:Q108)</f>
        <v>0</v>
      </c>
      <c r="Q23">
        <f>SUMIF('Как есть'!$A101:$A108,Доп.расчеты!$A23,'Как есть'!R101:R108)</f>
        <v>0</v>
      </c>
      <c r="R23">
        <f>SUMIF('Как есть'!$A101:$A108,Доп.расчеты!$A23,'Как есть'!S101:S108)</f>
        <v>0</v>
      </c>
      <c r="S23">
        <f>SUMIF('Как есть'!$A101:$A108,Доп.расчеты!$A23,'Как есть'!T101:T108)</f>
        <v>0</v>
      </c>
      <c r="T23">
        <f>SUMIF('Как есть'!$A101:$A108,Доп.расчеты!$A23,'Как есть'!U101:U108)</f>
        <v>0</v>
      </c>
      <c r="U23">
        <f>SUMIF('Как есть'!$A101:$A108,Доп.расчеты!$A23,'Как есть'!V101:V108)</f>
        <v>0</v>
      </c>
      <c r="V23">
        <f>SUMIF('Как есть'!$A101:$A108,Доп.расчеты!$A23,'Как есть'!W101:W108)</f>
        <v>0</v>
      </c>
      <c r="W23">
        <f>SUMIF('Как есть'!$A101:$A108,Доп.расчеты!$A23,'Как есть'!X101:X108)</f>
        <v>0</v>
      </c>
      <c r="X23">
        <f>SUMIF('Как есть'!$A101:$A108,Доп.расчеты!$A23,'Как есть'!Y101:Y108)</f>
        <v>0</v>
      </c>
      <c r="Y23">
        <f>SUMIF('Как есть'!$A101:$A108,Доп.расчеты!$A23,'Как есть'!Z101:Z108)</f>
        <v>0</v>
      </c>
      <c r="Z23">
        <f>SUMIF('Как есть'!$A101:$A108,Доп.расчеты!$A23,'Как есть'!AA101:AA108)</f>
        <v>0</v>
      </c>
      <c r="AA23">
        <f>SUMIF('Как есть'!$A101:$A108,Доп.расчеты!$A23,'Как есть'!AB101:AB108)</f>
        <v>0</v>
      </c>
      <c r="AB23">
        <f>SUMIF('Как есть'!$A101:$A108,Доп.расчеты!$A23,'Как есть'!AC101:AC108)</f>
        <v>0</v>
      </c>
      <c r="AC23">
        <f>SUMIF('Как есть'!$A101:$A108,Доп.расчеты!$A23,'Как есть'!AD101:AD108)</f>
        <v>0</v>
      </c>
      <c r="AD23">
        <f>SUMIF('Как есть'!$A101:$A108,Доп.расчеты!$A23,'Как есть'!AE101:AE108)</f>
        <v>0</v>
      </c>
      <c r="AE23">
        <f>SUMIF('Как есть'!$A101:$A108,Доп.расчеты!$A23,'Как есть'!AF101:AF108)</f>
        <v>0</v>
      </c>
      <c r="AF23">
        <f>SUMIF('Как есть'!$A101:$A108,Доп.расчеты!$A23,'Как есть'!AG101:AG108)</f>
        <v>0</v>
      </c>
      <c r="AG23">
        <f>SUMIF('Как есть'!$A101:$A108,Доп.расчеты!$A23,'Как есть'!AH101:AH108)</f>
        <v>0</v>
      </c>
      <c r="AH23">
        <f>SUMIF('Как есть'!$A101:$A108,Доп.расчеты!$A23,'Как есть'!AI101:AI108)</f>
        <v>0</v>
      </c>
      <c r="AI23">
        <f>SUMIF('Как есть'!$A101:$A108,Доп.расчеты!$A23,'Как есть'!AJ101:AJ108)</f>
        <v>0</v>
      </c>
      <c r="AJ23">
        <f>SUMIF('Как есть'!$A101:$A108,Доп.расчеты!$A23,'Как есть'!AK101:AK108)</f>
        <v>0</v>
      </c>
      <c r="AK23">
        <f>SUMIF('Как есть'!$A101:$A108,Доп.расчеты!$A23,'Как есть'!AL101:AL108)</f>
        <v>0</v>
      </c>
      <c r="AL23">
        <f>SUMIF('Как есть'!$A101:$A108,Доп.расчеты!$A23,'Как есть'!AM101:AM108)</f>
        <v>0</v>
      </c>
      <c r="AM23">
        <f>SUMIF('Как есть'!$A101:$A108,Доп.расчеты!$A23,'Как есть'!AN101:AN108)</f>
        <v>0</v>
      </c>
      <c r="AN23">
        <f>SUMIF('Как есть'!$A101:$A108,Доп.расчеты!$A23,'Как есть'!AO101:AO108)</f>
        <v>0</v>
      </c>
      <c r="AO23">
        <f>SUMIF('Как есть'!$A101:$A108,Доп.расчеты!$A23,'Как есть'!AP101:AP108)</f>
        <v>0</v>
      </c>
      <c r="AP23">
        <f>SUMIF('Как есть'!$A101:$A108,Доп.расчеты!$A23,'Как есть'!AQ101:AQ108)</f>
        <v>0</v>
      </c>
      <c r="AQ23">
        <f>SUMIF('Как есть'!$A101:$A108,Доп.расчеты!$A23,'Как есть'!AR101:AR108)</f>
        <v>0</v>
      </c>
      <c r="AR23">
        <f>SUMIF('Как есть'!$A101:$A108,Доп.расчеты!$A23,'Как есть'!AS101:AS108)</f>
        <v>0</v>
      </c>
      <c r="AS23">
        <f>SUMIF('Как есть'!$A101:$A108,Доп.расчеты!$A23,'Как есть'!AT101:AT108)</f>
        <v>0</v>
      </c>
      <c r="AT23">
        <f>SUMIF('Как есть'!$A101:$A108,Доп.расчеты!$A23,'Как есть'!AU101:AU108)</f>
        <v>0</v>
      </c>
      <c r="AU23">
        <f>SUMIF('Как есть'!$A101:$A108,Доп.расчеты!$A23,'Как есть'!AV101:AV108)</f>
        <v>0</v>
      </c>
      <c r="AV23">
        <f>SUMIF('Как есть'!$A101:$A108,Доп.расчеты!$A23,'Как есть'!AW101:AW108)</f>
        <v>0</v>
      </c>
      <c r="AW23">
        <f>SUMIF('Как есть'!$A101:$A108,Доп.расчеты!$A23,'Как есть'!AX101:AX108)</f>
        <v>0</v>
      </c>
      <c r="AX23">
        <f>SUMIF('Как есть'!$A101:$A108,Доп.расчеты!$A23,'Как есть'!AY101:AY108)</f>
        <v>0</v>
      </c>
      <c r="AY23">
        <f>SUMIF('Как есть'!$A101:$A108,Доп.расчеты!$A23,'Как есть'!AZ101:AZ108)</f>
        <v>0</v>
      </c>
      <c r="AZ23">
        <f>SUMIF('Как есть'!$A101:$A108,Доп.расчеты!$A23,'Как есть'!BA101:BA108)</f>
        <v>0</v>
      </c>
      <c r="BA23">
        <f>SUMIF('Как есть'!$A101:$A108,Доп.расчеты!$A23,'Как есть'!BB101:BB108)</f>
        <v>0</v>
      </c>
      <c r="BB23">
        <f>SUMIF('Как есть'!$A101:$A108,Доп.расчеты!$A23,'Как есть'!BC101:BC108)</f>
        <v>0</v>
      </c>
      <c r="BC23">
        <f>SUMIF('Как есть'!$A101:$A108,Доп.расчеты!$A23,'Как есть'!BD101:BD108)</f>
        <v>0</v>
      </c>
      <c r="BD23">
        <f>SUMIF('Как есть'!$A101:$A108,Доп.расчеты!$A23,'Как есть'!BE101:BE108)</f>
        <v>0</v>
      </c>
      <c r="BE23">
        <f>SUMIF('Как есть'!$A101:$A108,Доп.расчеты!$A23,'Как есть'!BF101:BF108)</f>
        <v>0</v>
      </c>
      <c r="BF23">
        <f>SUMIF('Как есть'!$A101:$A108,Доп.расчеты!$A23,'Как есть'!BG101:BG108)</f>
        <v>0</v>
      </c>
      <c r="BG23">
        <f>SUMIF('Как есть'!$A101:$A108,Доп.расчеты!$A23,'Как есть'!BH101:BH108)</f>
        <v>0</v>
      </c>
      <c r="BH23">
        <f>SUMIF('Как есть'!$A101:$A108,Доп.расчеты!$A23,'Как есть'!BI101:BI108)</f>
        <v>0</v>
      </c>
      <c r="BI23">
        <f>SUMIF('Как есть'!$A101:$A108,Доп.расчеты!$A23,'Как есть'!BJ101:BJ108)</f>
        <v>0</v>
      </c>
      <c r="BJ23">
        <f>SUMIF('Как есть'!$A101:$A108,Доп.расчеты!$A23,'Как есть'!BK101:BK108)</f>
        <v>0</v>
      </c>
      <c r="BK23">
        <f>SUMIF('Как есть'!$A101:$A108,Доп.расчеты!$A23,'Как есть'!BL101:BL108)</f>
        <v>0</v>
      </c>
      <c r="BL23">
        <f>SUMIF('Как есть'!$A101:$A108,Доп.расчеты!$A23,'Как есть'!BM101:BM108)</f>
        <v>0</v>
      </c>
      <c r="BM23">
        <f>SUMIF('Как есть'!$A101:$A108,Доп.расчеты!$A23,'Как есть'!BN101:BN108)</f>
        <v>0</v>
      </c>
      <c r="BN23">
        <f>SUMIF('Как есть'!$A101:$A108,Доп.расчеты!$A23,'Как есть'!BO101:BO108)</f>
        <v>0</v>
      </c>
      <c r="BO23">
        <f>SUMIF('Как есть'!$A101:$A108,Доп.расчеты!$A23,'Как есть'!BP101:BP108)</f>
        <v>0</v>
      </c>
      <c r="BP23">
        <f>SUMIF('Как есть'!$A101:$A108,Доп.расчеты!$A23,'Как есть'!BQ101:BQ108)</f>
        <v>0</v>
      </c>
      <c r="BQ23">
        <f>SUMIF('Как есть'!$A101:$A108,Доп.расчеты!$A23,'Как есть'!BR101:BR108)</f>
        <v>0</v>
      </c>
      <c r="BR23">
        <f>SUMIF('Как есть'!$A101:$A108,Доп.расчеты!$A23,'Как есть'!BS101:BS108)</f>
        <v>0</v>
      </c>
      <c r="BS23">
        <f>SUMIF('Как есть'!$A101:$A108,Доп.расчеты!$A23,'Как есть'!BT101:BT108)</f>
        <v>0</v>
      </c>
      <c r="BT23">
        <f>SUMIF('Как есть'!$A101:$A108,Доп.расчеты!$A23,'Как есть'!BU101:BU108)</f>
        <v>0</v>
      </c>
      <c r="BU23">
        <f>SUMIF('Как есть'!$A101:$A108,Доп.расчеты!$A23,'Как есть'!BV101:BV108)</f>
        <v>0</v>
      </c>
      <c r="BV23">
        <f>SUMIF('Как есть'!$A101:$A108,Доп.расчеты!$A23,'Как есть'!BW101:BW108)</f>
        <v>0</v>
      </c>
      <c r="BW23">
        <f>SUMIF('Как есть'!$A101:$A108,Доп.расчеты!$A23,'Как есть'!BX101:BX108)</f>
        <v>0</v>
      </c>
      <c r="BX23">
        <f>SUMIF('Как есть'!$A101:$A108,Доп.расчеты!$A23,'Как есть'!BY101:BY108)</f>
        <v>0</v>
      </c>
      <c r="BY23">
        <f>SUMIF('Как есть'!$A101:$A108,Доп.расчеты!$A23,'Как есть'!BZ101:BZ108)</f>
        <v>0</v>
      </c>
      <c r="BZ23">
        <f>SUMIF('Как есть'!$A101:$A108,Доп.расчеты!$A23,'Как есть'!CA101:CA108)</f>
        <v>0</v>
      </c>
      <c r="CA23">
        <f>SUMIF('Как есть'!$A101:$A108,Доп.расчеты!$A23,'Как есть'!CB101:CB108)</f>
        <v>0</v>
      </c>
      <c r="CB23">
        <f>SUMIF('Как есть'!$A101:$A108,Доп.расчеты!$A23,'Как есть'!CC101:CC108)</f>
        <v>0</v>
      </c>
      <c r="CC23">
        <f>SUMIF('Как есть'!$A101:$A108,Доп.расчеты!$A23,'Как есть'!CD101:CD108)</f>
        <v>0</v>
      </c>
      <c r="CD23">
        <f>SUMIF('Как есть'!$A101:$A108,Доп.расчеты!$A23,'Как есть'!CE101:CE108)</f>
        <v>0</v>
      </c>
      <c r="CE23">
        <f>SUMIF('Как есть'!$A101:$A108,Доп.расчеты!$A23,'Как есть'!CF101:CF108)</f>
        <v>0</v>
      </c>
      <c r="CF23">
        <f>SUMIF('Как есть'!$A101:$A108,Доп.расчеты!$A23,'Как есть'!CG101:CG108)</f>
        <v>0</v>
      </c>
      <c r="CG23">
        <f>SUMIF('Как есть'!$A101:$A108,Доп.расчеты!$A23,'Как есть'!CH101:CH108)</f>
        <v>0</v>
      </c>
      <c r="CH23">
        <f>SUMIF('Как есть'!$A101:$A108,Доп.расчеты!$A23,'Как есть'!CI101:CI108)</f>
        <v>0</v>
      </c>
      <c r="CI23">
        <f>SUMIF('Как есть'!$A101:$A108,Доп.расчеты!$A23,'Как есть'!CJ101:CJ108)</f>
        <v>0</v>
      </c>
      <c r="CJ23">
        <f>SUMIF('Как есть'!$A101:$A108,Доп.расчеты!$A23,'Как есть'!CK101:CK108)</f>
        <v>0</v>
      </c>
      <c r="CK23">
        <f>SUMIF('Как есть'!$A101:$A108,Доп.расчеты!$A23,'Как есть'!CL101:CL108)</f>
        <v>0</v>
      </c>
      <c r="CL23">
        <f>SUMIF('Как есть'!$A101:$A108,Доп.расчеты!$A23,'Как есть'!CM101:CM108)</f>
        <v>0</v>
      </c>
      <c r="CM23">
        <f>SUMIF('Как есть'!$A101:$A108,Доп.расчеты!$A23,'Как есть'!CN101:CN108)</f>
        <v>0</v>
      </c>
      <c r="CN23">
        <f>SUMIF('Как есть'!$A101:$A108,Доп.расчеты!$A23,'Как есть'!CO101:CO108)</f>
        <v>0</v>
      </c>
      <c r="CO23">
        <f>SUMIF('Как есть'!$A101:$A108,Доп.расчеты!$A23,'Как есть'!CP101:CP108)</f>
        <v>0</v>
      </c>
      <c r="CP23">
        <f>SUMIF('Как есть'!$A101:$A108,Доп.расчеты!$A23,'Как есть'!CQ101:CQ108)</f>
        <v>0</v>
      </c>
      <c r="CQ23">
        <f>SUMIF('Как есть'!$A101:$A108,Доп.расчеты!$A23,'Как есть'!CR101:CR108)</f>
        <v>0</v>
      </c>
      <c r="CR23">
        <f>SUMIF('Как есть'!$A101:$A108,Доп.расчеты!$A23,'Как есть'!CS101:CS108)</f>
        <v>0</v>
      </c>
      <c r="CS23">
        <f>SUMIF('Как есть'!$A101:$A108,Доп.расчеты!$A23,'Как есть'!CT101:CT108)</f>
        <v>0</v>
      </c>
      <c r="CT23">
        <f>SUMIF('Как есть'!$A101:$A108,Доп.расчеты!$A23,'Как есть'!CU101:CU108)</f>
        <v>0</v>
      </c>
      <c r="CU23">
        <f>SUMIF('Как есть'!$A101:$A108,Доп.расчеты!$A23,'Как есть'!CV101:CV108)</f>
        <v>0</v>
      </c>
      <c r="CV23">
        <f>SUMIF('Как есть'!$A101:$A108,Доп.расчеты!$A23,'Как есть'!CW101:CW108)</f>
        <v>0</v>
      </c>
      <c r="CW23">
        <f>SUMIF('Как есть'!$A101:$A108,Доп.расчеты!$A23,'Как есть'!CX101:CX108)</f>
        <v>0</v>
      </c>
      <c r="CX23">
        <f>SUMIF('Как есть'!$A101:$A108,Доп.расчеты!$A23,'Как есть'!CY101:CY108)</f>
        <v>0</v>
      </c>
      <c r="CY23">
        <f>SUMIF('Как есть'!$A101:$A108,Доп.расчеты!$A23,'Как есть'!CZ101:CZ108)</f>
        <v>0</v>
      </c>
      <c r="CZ23">
        <f>SUMIF('Как есть'!$A101:$A108,Доп.расчеты!$A23,'Как есть'!DA101:DA108)</f>
        <v>0</v>
      </c>
      <c r="DA23">
        <f>SUMIF('Как есть'!$A101:$A108,Доп.расчеты!$A23,'Как есть'!DB101:DB108)</f>
        <v>0</v>
      </c>
      <c r="DB23">
        <f>SUMIF('Как есть'!$A101:$A108,Доп.расчеты!$A23,'Как есть'!DC101:DC108)</f>
        <v>0</v>
      </c>
      <c r="DC23">
        <f>SUMIF('Как есть'!$A101:$A108,Доп.расчеты!$A23,'Как есть'!DD101:DD108)</f>
        <v>0</v>
      </c>
      <c r="DD23">
        <f>SUMIF('Как есть'!$A101:$A108,Доп.расчеты!$A23,'Как есть'!DE101:DE108)</f>
        <v>0</v>
      </c>
      <c r="DE23">
        <f>SUMIF('Как есть'!$A101:$A108,Доп.расчеты!$A23,'Как есть'!DF101:DF108)</f>
        <v>0</v>
      </c>
      <c r="DF23">
        <f>SUMIF('Как есть'!$A101:$A108,Доп.расчеты!$A23,'Как есть'!DG101:DG108)</f>
        <v>0</v>
      </c>
      <c r="DG23">
        <f>SUMIF('Как есть'!$A101:$A108,Доп.расчеты!$A23,'Как есть'!DH101:DH108)</f>
        <v>0</v>
      </c>
      <c r="DH23">
        <f>SUMIF('Как есть'!$A101:$A108,Доп.расчеты!$A23,'Как есть'!DI101:DI108)</f>
        <v>0</v>
      </c>
      <c r="DI23">
        <f>SUMIF('Как есть'!$A101:$A108,Доп.расчеты!$A23,'Как есть'!DJ101:DJ108)</f>
        <v>0</v>
      </c>
      <c r="DJ23">
        <f>SUMIF('Как есть'!$A101:$A108,Доп.расчеты!$A23,'Как есть'!DK101:DK108)</f>
        <v>0</v>
      </c>
      <c r="DK23">
        <f>SUMIF('Как есть'!$A101:$A108,Доп.расчеты!$A23,'Как есть'!DL101:DL108)</f>
        <v>0</v>
      </c>
      <c r="DL23">
        <f>SUMIF('Как есть'!$A101:$A108,Доп.расчеты!$A23,'Как есть'!DM101:DM108)</f>
        <v>0</v>
      </c>
      <c r="DM23">
        <f>SUMIF('Как есть'!$A101:$A108,Доп.расчеты!$A23,'Как есть'!DN101:DN108)</f>
        <v>0</v>
      </c>
      <c r="DN23">
        <f>SUMIF('Как есть'!$A101:$A108,Доп.расчеты!$A23,'Как есть'!DO101:DO108)</f>
        <v>0</v>
      </c>
      <c r="DO23">
        <f>SUMIF('Как есть'!$A101:$A108,Доп.расчеты!$A23,'Как есть'!DP101:DP108)</f>
        <v>0</v>
      </c>
      <c r="DP23">
        <f>SUMIF('Как есть'!$A101:$A108,Доп.расчеты!$A23,'Как есть'!DQ101:DQ108)</f>
        <v>0</v>
      </c>
      <c r="DQ23">
        <f>SUMIF('Как есть'!$A101:$A108,Доп.расчеты!$A23,'Как есть'!DR101:DR108)</f>
        <v>0</v>
      </c>
      <c r="DR23">
        <f>SUMIF('Как есть'!$A101:$A108,Доп.расчеты!$A23,'Как есть'!DS101:DS108)</f>
        <v>0</v>
      </c>
      <c r="DS23">
        <f>SUMIF('Как есть'!$A101:$A108,Доп.расчеты!$A23,'Как есть'!DT101:DT108)</f>
        <v>0</v>
      </c>
      <c r="DT23">
        <f>SUMIF('Как есть'!$A101:$A108,Доп.расчеты!$A23,'Как есть'!DU101:DU108)</f>
        <v>0</v>
      </c>
      <c r="DU23">
        <f>SUMIF('Как есть'!$A101:$A108,Доп.расчеты!$A23,'Как есть'!DV101:DV108)</f>
        <v>0</v>
      </c>
      <c r="DV23">
        <f>SUMIF('Как есть'!$A101:$A108,Доп.расчеты!$A23,'Как есть'!DW101:DW108)</f>
        <v>0</v>
      </c>
      <c r="DW23">
        <f>SUMIF('Как есть'!$A101:$A108,Доп.расчеты!$A23,'Как есть'!DX101:DX108)</f>
        <v>0</v>
      </c>
      <c r="DX23">
        <f>SUMIF('Как есть'!$A101:$A108,Доп.расчеты!$A23,'Как есть'!DY101:DY108)</f>
        <v>0</v>
      </c>
      <c r="DY23">
        <f>SUMIF('Как есть'!$A101:$A108,Доп.расчеты!$A23,'Как есть'!DZ101:DZ108)</f>
        <v>0</v>
      </c>
      <c r="DZ23">
        <f>SUMIF('Как есть'!$A101:$A108,Доп.расчеты!$A23,'Как есть'!EA101:EA108)</f>
        <v>0</v>
      </c>
      <c r="EA23">
        <f>SUMIF('Как есть'!$A101:$A108,Доп.расчеты!$A23,'Как есть'!EB101:EB108)</f>
        <v>0</v>
      </c>
      <c r="EB23">
        <f>SUMIF('Как есть'!$A101:$A108,Доп.расчеты!$A23,'Как есть'!EC101:EC108)</f>
        <v>0</v>
      </c>
      <c r="EC23">
        <f>SUMIF('Как есть'!$A101:$A108,Доп.расчеты!$A23,'Как есть'!ED101:ED108)</f>
        <v>0</v>
      </c>
      <c r="ED23">
        <f>SUMIF('Как есть'!$A101:$A108,Доп.расчеты!$A23,'Как есть'!EE101:EE108)</f>
        <v>0</v>
      </c>
      <c r="EE23">
        <f>SUMIF('Как есть'!$A101:$A108,Доп.расчеты!$A23,'Как есть'!EF101:EF108)</f>
        <v>0</v>
      </c>
      <c r="EF23">
        <f>SUMIF('Как есть'!$A101:$A108,Доп.расчеты!$A23,'Как есть'!EG101:EG108)</f>
        <v>0</v>
      </c>
      <c r="EG23">
        <f>SUMIF('Как есть'!$A101:$A108,Доп.расчеты!$A23,'Как есть'!EH101:EH108)</f>
        <v>0</v>
      </c>
      <c r="EH23">
        <f>SUMIF('Как есть'!$A101:$A108,Доп.расчеты!$A23,'Как есть'!EI101:EI108)</f>
        <v>0</v>
      </c>
      <c r="EI23">
        <f>SUMIF('Как есть'!$A101:$A108,Доп.расчеты!$A23,'Как есть'!EJ101:EJ108)</f>
        <v>0</v>
      </c>
      <c r="EJ23">
        <f>SUMIF('Как есть'!$A101:$A108,Доп.расчеты!$A23,'Как есть'!EK101:EK108)</f>
        <v>0</v>
      </c>
      <c r="EK23">
        <f>SUMIF('Как есть'!$A101:$A108,Доп.расчеты!$A23,'Как есть'!EL101:EL108)</f>
        <v>0</v>
      </c>
      <c r="EL23">
        <f>SUMIF('Как есть'!$A101:$A108,Доп.расчеты!$A23,'Как есть'!EM101:EM108)</f>
        <v>0</v>
      </c>
      <c r="EM23">
        <f>SUMIF('Как есть'!$A101:$A108,Доп.расчеты!$A23,'Как есть'!EN101:EN108)</f>
        <v>0</v>
      </c>
      <c r="EN23">
        <f>SUMIF('Как есть'!$A101:$A108,Доп.расчеты!$A23,'Как есть'!EO101:EO108)</f>
        <v>0</v>
      </c>
      <c r="EO23">
        <f>SUMIF('Как есть'!$A101:$A108,Доп.расчеты!$A23,'Как есть'!EP101:EP108)</f>
        <v>0</v>
      </c>
      <c r="EP23">
        <f>SUMIF('Как есть'!$A101:$A108,Доп.расчеты!$A23,'Как есть'!EQ101:EQ108)</f>
        <v>0</v>
      </c>
      <c r="EQ23">
        <f>SUMIF('Как есть'!$A101:$A108,Доп.расчеты!$A23,'Как есть'!ER101:ER108)</f>
        <v>0</v>
      </c>
      <c r="ER23">
        <f>SUMIF('Как есть'!$A101:$A108,Доп.расчеты!$A23,'Как есть'!ES101:ES108)</f>
        <v>0</v>
      </c>
      <c r="ES23">
        <f>SUMIF('Как есть'!$A101:$A108,Доп.расчеты!$A23,'Как есть'!ET101:ET108)</f>
        <v>0</v>
      </c>
      <c r="ET23">
        <f>SUMIF('Как есть'!$A101:$A108,Доп.расчеты!$A23,'Как есть'!EU101:EU108)</f>
        <v>0</v>
      </c>
      <c r="EU23">
        <f>SUMIF('Как есть'!$A101:$A108,Доп.расчеты!$A23,'Как есть'!EV101:EV108)</f>
        <v>0</v>
      </c>
      <c r="EV23">
        <f>SUMIF('Как есть'!$A101:$A108,Доп.расчеты!$A23,'Как есть'!EW101:EW108)</f>
        <v>0</v>
      </c>
      <c r="EW23">
        <f>SUMIF('Как есть'!$A101:$A108,Доп.расчеты!$A23,'Как есть'!EX101:EX108)</f>
        <v>0</v>
      </c>
      <c r="EX23">
        <f>SUMIF('Как есть'!$A101:$A108,Доп.расчеты!$A23,'Как есть'!EY101:EY108)</f>
        <v>0</v>
      </c>
      <c r="EY23">
        <f>SUMIF('Как есть'!$A101:$A108,Доп.расчеты!$A23,'Как есть'!EZ101:EZ108)</f>
        <v>0</v>
      </c>
      <c r="EZ23">
        <f>SUMIF('Как есть'!$A101:$A108,Доп.расчеты!$A23,'Как есть'!FA101:FA108)</f>
        <v>0</v>
      </c>
      <c r="FA23">
        <f>SUMIF('Как есть'!$A101:$A108,Доп.расчеты!$A23,'Как есть'!FB101:FB108)</f>
        <v>0</v>
      </c>
      <c r="FB23">
        <f>SUMIF('Как есть'!$A101:$A108,Доп.расчеты!$A23,'Как есть'!FC101:FC108)</f>
        <v>0</v>
      </c>
      <c r="FC23">
        <f>SUMIF('Как есть'!$A101:$A108,Доп.расчеты!$A23,'Как есть'!FD101:FD108)</f>
        <v>0</v>
      </c>
      <c r="FD23">
        <f>SUMIF('Как есть'!$A101:$A108,Доп.расчеты!$A23,'Как есть'!FE101:FE108)</f>
        <v>0</v>
      </c>
      <c r="FE23">
        <f>SUMIF('Как есть'!$A101:$A108,Доп.расчеты!$A23,'Как есть'!FF101:FF108)</f>
        <v>0</v>
      </c>
      <c r="FF23">
        <f>SUMIF('Как есть'!$A101:$A108,Доп.расчеты!$A23,'Как есть'!FG101:FG108)</f>
        <v>0</v>
      </c>
      <c r="FG23">
        <f>SUMIF('Как есть'!$A101:$A108,Доп.расчеты!$A23,'Как есть'!FH101:FH108)</f>
        <v>0</v>
      </c>
      <c r="FH23">
        <f>SUMIF('Как есть'!$A101:$A108,Доп.расчеты!$A23,'Как есть'!FI101:FI108)</f>
        <v>0</v>
      </c>
      <c r="FI23">
        <f>SUMIF('Как есть'!$A101:$A108,Доп.расчеты!$A23,'Как есть'!FJ101:FJ108)</f>
        <v>0</v>
      </c>
      <c r="FJ23">
        <f>SUMIF('Как есть'!$A101:$A108,Доп.расчеты!$A23,'Как есть'!FK101:FK108)</f>
        <v>0</v>
      </c>
      <c r="FK23">
        <f>SUMIF('Как есть'!$A101:$A108,Доп.расчеты!$A23,'Как есть'!FL101:FL108)</f>
        <v>0</v>
      </c>
      <c r="FL23">
        <f>SUMIF('Как есть'!$A101:$A108,Доп.расчеты!$A23,'Как есть'!FM101:FM108)</f>
        <v>0</v>
      </c>
      <c r="FM23">
        <f>SUMIF('Как есть'!$A101:$A108,Доп.расчеты!$A23,'Как есть'!FN101:FN108)</f>
        <v>0</v>
      </c>
      <c r="FN23">
        <f>SUMIF('Как есть'!$A101:$A108,Доп.расчеты!$A23,'Как есть'!FO101:FO108)</f>
        <v>0</v>
      </c>
      <c r="FO23">
        <f>SUMIF('Как есть'!$A101:$A108,Доп.расчеты!$A23,'Как есть'!FP101:FP108)</f>
        <v>0</v>
      </c>
      <c r="FP23">
        <f>SUMIF('Как есть'!$A101:$A108,Доп.расчеты!$A23,'Как есть'!FQ101:FQ108)</f>
        <v>0</v>
      </c>
      <c r="FQ23">
        <f>SUMIF('Как есть'!$A101:$A108,Доп.расчеты!$A23,'Как есть'!FR101:FR108)</f>
        <v>0</v>
      </c>
      <c r="FR23">
        <f>SUMIF('Как есть'!$A101:$A108,Доп.расчеты!$A23,'Как есть'!FS101:FS108)</f>
        <v>0</v>
      </c>
      <c r="FS23">
        <f>SUMIF('Как есть'!$A101:$A108,Доп.расчеты!$A23,'Как есть'!FT101:FT108)</f>
        <v>0</v>
      </c>
      <c r="FT23">
        <f>SUMIF('Как есть'!$A101:$A108,Доп.расчеты!$A23,'Как есть'!FU101:FU108)</f>
        <v>0</v>
      </c>
      <c r="FU23">
        <f>SUMIF('Как есть'!$A101:$A108,Доп.расчеты!$A23,'Как есть'!FV101:FV108)</f>
        <v>0</v>
      </c>
      <c r="FV23">
        <f>SUMIF('Как есть'!$A101:$A108,Доп.расчеты!$A23,'Как есть'!FW101:FW108)</f>
        <v>0</v>
      </c>
      <c r="FW23">
        <f>SUMIF('Как есть'!$A101:$A108,Доп.расчеты!$A23,'Как есть'!FX101:FX108)</f>
        <v>0</v>
      </c>
      <c r="FX23">
        <f>SUMIF('Как есть'!$A101:$A108,Доп.расчеты!$A23,'Как есть'!FY101:FY108)</f>
        <v>0</v>
      </c>
      <c r="FY23">
        <f>SUMIF('Как есть'!$A101:$A108,Доп.расчеты!$A23,'Как есть'!FZ101:FZ108)</f>
        <v>0</v>
      </c>
      <c r="FZ23">
        <f>SUMIF('Как есть'!$A101:$A108,Доп.расчеты!$A23,'Как есть'!GA101:GA108)</f>
        <v>0</v>
      </c>
      <c r="GA23">
        <f>SUMIF('Как есть'!$A101:$A108,Доп.расчеты!$A23,'Как есть'!GB101:GB108)</f>
        <v>0</v>
      </c>
      <c r="GB23">
        <f>SUMIF('Как есть'!$A101:$A108,Доп.расчеты!$A23,'Как есть'!GC101:GC108)</f>
        <v>0</v>
      </c>
      <c r="GC23">
        <f>SUMIF('Как есть'!$A101:$A108,Доп.расчеты!$A23,'Как есть'!GD101:GD108)</f>
        <v>0</v>
      </c>
      <c r="GD23">
        <f>SUMIF('Как есть'!$A101:$A108,Доп.расчеты!$A23,'Как есть'!GE101:GE108)</f>
        <v>0</v>
      </c>
      <c r="GE23">
        <f>SUMIF('Как есть'!$A101:$A108,Доп.расчеты!$A23,'Как есть'!GF101:GF108)</f>
        <v>0</v>
      </c>
      <c r="GF23">
        <f>SUMIF('Как есть'!$A101:$A108,Доп.расчеты!$A23,'Как есть'!GG101:GG108)</f>
        <v>0</v>
      </c>
      <c r="GG23">
        <f>SUMIF('Как есть'!$A101:$A108,Доп.расчеты!$A23,'Как есть'!GH101:GH108)</f>
        <v>0</v>
      </c>
      <c r="GH23">
        <f>SUMIF('Как есть'!$A101:$A108,Доп.расчеты!$A23,'Как есть'!GI101:GI108)</f>
        <v>0</v>
      </c>
      <c r="GI23">
        <f>SUMIF('Как есть'!$A101:$A108,Доп.расчеты!$A23,'Как есть'!GJ101:GJ108)</f>
        <v>0</v>
      </c>
      <c r="GJ23">
        <f>SUMIF('Как есть'!$A101:$A108,Доп.расчеты!$A23,'Как есть'!GK101:GK108)</f>
        <v>0</v>
      </c>
      <c r="GK23">
        <f>SUMIF('Как есть'!$A101:$A108,Доп.расчеты!$A23,'Как есть'!GL101:GL108)</f>
        <v>0</v>
      </c>
      <c r="GL23">
        <f>SUMIF('Как есть'!$A101:$A108,Доп.расчеты!$A23,'Как есть'!GM101:GM108)</f>
        <v>0</v>
      </c>
      <c r="GM23">
        <f>SUMIF('Как есть'!$A101:$A108,Доп.расчеты!$A23,'Как есть'!GN101:GN108)</f>
        <v>0</v>
      </c>
      <c r="GN23">
        <f>SUMIF('Как есть'!$A101:$A108,Доп.расчеты!$A23,'Как есть'!GO101:GO108)</f>
        <v>0</v>
      </c>
      <c r="GO23">
        <f>SUMIF('Как есть'!$A101:$A108,Доп.расчеты!$A23,'Как есть'!GP101:GP108)</f>
        <v>0</v>
      </c>
      <c r="GP23">
        <f>SUMIF('Как есть'!$A101:$A108,Доп.расчеты!$A23,'Как есть'!GQ101:GQ108)</f>
        <v>0</v>
      </c>
      <c r="GQ23">
        <f>SUMIF('Как есть'!$A101:$A108,Доп.расчеты!$A23,'Как есть'!GR101:GR108)</f>
        <v>0</v>
      </c>
      <c r="GR23">
        <f>SUMIF('Как есть'!$A101:$A108,Доп.расчеты!$A23,'Как есть'!GS101:GS108)</f>
        <v>0</v>
      </c>
      <c r="GS23">
        <f>SUMIF('Как есть'!$A101:$A108,Доп.расчеты!$A23,'Как есть'!GT101:GT108)</f>
        <v>0</v>
      </c>
      <c r="GT23">
        <f>SUMIF('Как есть'!$A101:$A108,Доп.расчеты!$A23,'Как есть'!GU101:GU108)</f>
        <v>0</v>
      </c>
    </row>
    <row r="24" spans="1:202">
      <c r="A24" s="236" t="s">
        <v>10</v>
      </c>
      <c r="B24">
        <f>SUMIF('Как есть'!$A101:$A108,Доп.расчеты!$A24,'Как есть'!C101:C108)</f>
        <v>0</v>
      </c>
      <c r="C24">
        <f>SUMIF('Как есть'!$A101:$A108,Доп.расчеты!$A24,'Как есть'!D101:D108)</f>
        <v>0</v>
      </c>
      <c r="D24">
        <f>SUMIF('Как есть'!$A101:$A108,Доп.расчеты!$A24,'Как есть'!E101:E108)</f>
        <v>0</v>
      </c>
      <c r="E24">
        <f>SUMIF('Как есть'!$A101:$A108,Доп.расчеты!$A24,'Как есть'!F101:F108)</f>
        <v>0</v>
      </c>
      <c r="F24">
        <f>SUMIF('Как есть'!$A101:$A108,Доп.расчеты!$A24,'Как есть'!G101:G108)</f>
        <v>0</v>
      </c>
      <c r="G24">
        <f>SUMIF('Как есть'!$A101:$A108,Доп.расчеты!$A24,'Как есть'!H101:H108)</f>
        <v>0</v>
      </c>
      <c r="H24">
        <f>SUMIF('Как есть'!$A101:$A108,Доп.расчеты!$A24,'Как есть'!I101:I108)</f>
        <v>0</v>
      </c>
      <c r="I24">
        <f>SUMIF('Как есть'!$A101:$A108,Доп.расчеты!$A24,'Как есть'!J101:J108)</f>
        <v>0</v>
      </c>
      <c r="J24">
        <f>SUMIF('Как есть'!$A101:$A108,Доп.расчеты!$A24,'Как есть'!K101:K108)</f>
        <v>0</v>
      </c>
      <c r="K24">
        <f>SUMIF('Как есть'!$A101:$A108,Доп.расчеты!$A24,'Как есть'!L101:L108)</f>
        <v>0</v>
      </c>
      <c r="L24">
        <f>SUMIF('Как есть'!$A101:$A108,Доп.расчеты!$A24,'Как есть'!M101:M108)</f>
        <v>0</v>
      </c>
      <c r="M24">
        <f>SUMIF('Как есть'!$A101:$A108,Доп.расчеты!$A24,'Как есть'!N101:N108)</f>
        <v>0</v>
      </c>
      <c r="N24">
        <f>SUMIF('Как есть'!$A101:$A108,Доп.расчеты!$A24,'Как есть'!O101:O108)</f>
        <v>0</v>
      </c>
      <c r="O24">
        <f>SUMIF('Как есть'!$A101:$A108,Доп.расчеты!$A24,'Как есть'!P101:P108)</f>
        <v>0</v>
      </c>
      <c r="P24">
        <f>SUMIF('Как есть'!$A101:$A108,Доп.расчеты!$A24,'Как есть'!Q101:Q108)</f>
        <v>0</v>
      </c>
      <c r="Q24">
        <f>SUMIF('Как есть'!$A101:$A108,Доп.расчеты!$A24,'Как есть'!R101:R108)</f>
        <v>0</v>
      </c>
      <c r="R24">
        <f>SUMIF('Как есть'!$A101:$A108,Доп.расчеты!$A24,'Как есть'!S101:S108)</f>
        <v>0</v>
      </c>
      <c r="S24">
        <f>SUMIF('Как есть'!$A101:$A108,Доп.расчеты!$A24,'Как есть'!T101:T108)</f>
        <v>0</v>
      </c>
      <c r="T24">
        <f>SUMIF('Как есть'!$A101:$A108,Доп.расчеты!$A24,'Как есть'!U101:U108)</f>
        <v>0</v>
      </c>
      <c r="U24">
        <f>SUMIF('Как есть'!$A101:$A108,Доп.расчеты!$A24,'Как есть'!V101:V108)</f>
        <v>0</v>
      </c>
      <c r="V24">
        <f>SUMIF('Как есть'!$A101:$A108,Доп.расчеты!$A24,'Как есть'!W101:W108)</f>
        <v>0</v>
      </c>
      <c r="W24">
        <f>SUMIF('Как есть'!$A101:$A108,Доп.расчеты!$A24,'Как есть'!X101:X108)</f>
        <v>0</v>
      </c>
      <c r="X24">
        <f>SUMIF('Как есть'!$A101:$A108,Доп.расчеты!$A24,'Как есть'!Y101:Y108)</f>
        <v>0</v>
      </c>
      <c r="Y24">
        <f>SUMIF('Как есть'!$A101:$A108,Доп.расчеты!$A24,'Как есть'!Z101:Z108)</f>
        <v>0</v>
      </c>
      <c r="Z24">
        <f>SUMIF('Как есть'!$A101:$A108,Доп.расчеты!$A24,'Как есть'!AA101:AA108)</f>
        <v>0</v>
      </c>
      <c r="AA24">
        <f>SUMIF('Как есть'!$A101:$A108,Доп.расчеты!$A24,'Как есть'!AB101:AB108)</f>
        <v>0</v>
      </c>
      <c r="AB24">
        <f>SUMIF('Как есть'!$A101:$A108,Доп.расчеты!$A24,'Как есть'!AC101:AC108)</f>
        <v>0</v>
      </c>
      <c r="AC24">
        <f>SUMIF('Как есть'!$A101:$A108,Доп.расчеты!$A24,'Как есть'!AD101:AD108)</f>
        <v>0</v>
      </c>
      <c r="AD24">
        <f>SUMIF('Как есть'!$A101:$A108,Доп.расчеты!$A24,'Как есть'!AE101:AE108)</f>
        <v>0</v>
      </c>
      <c r="AE24">
        <f>SUMIF('Как есть'!$A101:$A108,Доп.расчеты!$A24,'Как есть'!AF101:AF108)</f>
        <v>0</v>
      </c>
      <c r="AF24">
        <f>SUMIF('Как есть'!$A101:$A108,Доп.расчеты!$A24,'Как есть'!AG101:AG108)</f>
        <v>0</v>
      </c>
      <c r="AG24">
        <f>SUMIF('Как есть'!$A101:$A108,Доп.расчеты!$A24,'Как есть'!AH101:AH108)</f>
        <v>0</v>
      </c>
      <c r="AH24">
        <f>SUMIF('Как есть'!$A101:$A108,Доп.расчеты!$A24,'Как есть'!AI101:AI108)</f>
        <v>0</v>
      </c>
      <c r="AI24">
        <f>SUMIF('Как есть'!$A101:$A108,Доп.расчеты!$A24,'Как есть'!AJ101:AJ108)</f>
        <v>0</v>
      </c>
      <c r="AJ24">
        <f>SUMIF('Как есть'!$A101:$A108,Доп.расчеты!$A24,'Как есть'!AK101:AK108)</f>
        <v>0</v>
      </c>
      <c r="AK24">
        <f>SUMIF('Как есть'!$A101:$A108,Доп.расчеты!$A24,'Как есть'!AL101:AL108)</f>
        <v>0</v>
      </c>
      <c r="AL24">
        <f>SUMIF('Как есть'!$A101:$A108,Доп.расчеты!$A24,'Как есть'!AM101:AM108)</f>
        <v>0</v>
      </c>
      <c r="AM24">
        <f>SUMIF('Как есть'!$A101:$A108,Доп.расчеты!$A24,'Как есть'!AN101:AN108)</f>
        <v>0</v>
      </c>
      <c r="AN24">
        <f>SUMIF('Как есть'!$A101:$A108,Доп.расчеты!$A24,'Как есть'!AO101:AO108)</f>
        <v>0</v>
      </c>
      <c r="AO24">
        <f>SUMIF('Как есть'!$A101:$A108,Доп.расчеты!$A24,'Как есть'!AP101:AP108)</f>
        <v>0</v>
      </c>
      <c r="AP24">
        <f>SUMIF('Как есть'!$A101:$A108,Доп.расчеты!$A24,'Как есть'!AQ101:AQ108)</f>
        <v>0</v>
      </c>
      <c r="AQ24">
        <f>SUMIF('Как есть'!$A101:$A108,Доп.расчеты!$A24,'Как есть'!AR101:AR108)</f>
        <v>0</v>
      </c>
      <c r="AR24">
        <f>SUMIF('Как есть'!$A101:$A108,Доп.расчеты!$A24,'Как есть'!AS101:AS108)</f>
        <v>0</v>
      </c>
      <c r="AS24">
        <f>SUMIF('Как есть'!$A101:$A108,Доп.расчеты!$A24,'Как есть'!AT101:AT108)</f>
        <v>0</v>
      </c>
      <c r="AT24">
        <f>SUMIF('Как есть'!$A101:$A108,Доп.расчеты!$A24,'Как есть'!AU101:AU108)</f>
        <v>0</v>
      </c>
      <c r="AU24">
        <f>SUMIF('Как есть'!$A101:$A108,Доп.расчеты!$A24,'Как есть'!AV101:AV108)</f>
        <v>0</v>
      </c>
      <c r="AV24">
        <f>SUMIF('Как есть'!$A101:$A108,Доп.расчеты!$A24,'Как есть'!AW101:AW108)</f>
        <v>0</v>
      </c>
      <c r="AW24">
        <f>SUMIF('Как есть'!$A101:$A108,Доп.расчеты!$A24,'Как есть'!AX101:AX108)</f>
        <v>0</v>
      </c>
      <c r="AX24">
        <f>SUMIF('Как есть'!$A101:$A108,Доп.расчеты!$A24,'Как есть'!AY101:AY108)</f>
        <v>0</v>
      </c>
      <c r="AY24">
        <f>SUMIF('Как есть'!$A101:$A108,Доп.расчеты!$A24,'Как есть'!AZ101:AZ108)</f>
        <v>0</v>
      </c>
      <c r="AZ24">
        <f>SUMIF('Как есть'!$A101:$A108,Доп.расчеты!$A24,'Как есть'!BA101:BA108)</f>
        <v>0</v>
      </c>
      <c r="BA24">
        <f>SUMIF('Как есть'!$A101:$A108,Доп.расчеты!$A24,'Как есть'!BB101:BB108)</f>
        <v>0</v>
      </c>
      <c r="BB24">
        <f>SUMIF('Как есть'!$A101:$A108,Доп.расчеты!$A24,'Как есть'!BC101:BC108)</f>
        <v>0</v>
      </c>
      <c r="BC24">
        <f>SUMIF('Как есть'!$A101:$A108,Доп.расчеты!$A24,'Как есть'!BD101:BD108)</f>
        <v>0</v>
      </c>
      <c r="BD24">
        <f>SUMIF('Как есть'!$A101:$A108,Доп.расчеты!$A24,'Как есть'!BE101:BE108)</f>
        <v>0</v>
      </c>
      <c r="BE24">
        <f>SUMIF('Как есть'!$A101:$A108,Доп.расчеты!$A24,'Как есть'!BF101:BF108)</f>
        <v>0</v>
      </c>
      <c r="BF24">
        <f>SUMIF('Как есть'!$A101:$A108,Доп.расчеты!$A24,'Как есть'!BG101:BG108)</f>
        <v>0</v>
      </c>
      <c r="BG24">
        <f>SUMIF('Как есть'!$A101:$A108,Доп.расчеты!$A24,'Как есть'!BH101:BH108)</f>
        <v>0</v>
      </c>
      <c r="BH24">
        <f>SUMIF('Как есть'!$A101:$A108,Доп.расчеты!$A24,'Как есть'!BI101:BI108)</f>
        <v>0</v>
      </c>
      <c r="BI24">
        <f>SUMIF('Как есть'!$A101:$A108,Доп.расчеты!$A24,'Как есть'!BJ101:BJ108)</f>
        <v>0</v>
      </c>
      <c r="BJ24">
        <f>SUMIF('Как есть'!$A101:$A108,Доп.расчеты!$A24,'Как есть'!BK101:BK108)</f>
        <v>0</v>
      </c>
      <c r="BK24">
        <f>SUMIF('Как есть'!$A101:$A108,Доп.расчеты!$A24,'Как есть'!BL101:BL108)</f>
        <v>0</v>
      </c>
      <c r="BL24">
        <f>SUMIF('Как есть'!$A101:$A108,Доп.расчеты!$A24,'Как есть'!BM101:BM108)</f>
        <v>0</v>
      </c>
      <c r="BM24">
        <f>SUMIF('Как есть'!$A101:$A108,Доп.расчеты!$A24,'Как есть'!BN101:BN108)</f>
        <v>0</v>
      </c>
      <c r="BN24">
        <f>SUMIF('Как есть'!$A101:$A108,Доп.расчеты!$A24,'Как есть'!BO101:BO108)</f>
        <v>0</v>
      </c>
      <c r="BO24">
        <f>SUMIF('Как есть'!$A101:$A108,Доп.расчеты!$A24,'Как есть'!BP101:BP108)</f>
        <v>0</v>
      </c>
      <c r="BP24">
        <f>SUMIF('Как есть'!$A101:$A108,Доп.расчеты!$A24,'Как есть'!BQ101:BQ108)</f>
        <v>0</v>
      </c>
      <c r="BQ24">
        <f>SUMIF('Как есть'!$A101:$A108,Доп.расчеты!$A24,'Как есть'!BR101:BR108)</f>
        <v>0</v>
      </c>
      <c r="BR24">
        <f>SUMIF('Как есть'!$A101:$A108,Доп.расчеты!$A24,'Как есть'!BS101:BS108)</f>
        <v>0</v>
      </c>
      <c r="BS24">
        <f>SUMIF('Как есть'!$A101:$A108,Доп.расчеты!$A24,'Как есть'!BT101:BT108)</f>
        <v>0</v>
      </c>
      <c r="BT24">
        <f>SUMIF('Как есть'!$A101:$A108,Доп.расчеты!$A24,'Как есть'!BU101:BU108)</f>
        <v>0</v>
      </c>
      <c r="BU24">
        <f>SUMIF('Как есть'!$A101:$A108,Доп.расчеты!$A24,'Как есть'!BV101:BV108)</f>
        <v>0</v>
      </c>
      <c r="BV24">
        <f>SUMIF('Как есть'!$A101:$A108,Доп.расчеты!$A24,'Как есть'!BW101:BW108)</f>
        <v>0</v>
      </c>
      <c r="BW24">
        <f>SUMIF('Как есть'!$A101:$A108,Доп.расчеты!$A24,'Как есть'!BX101:BX108)</f>
        <v>0</v>
      </c>
      <c r="BX24">
        <f>SUMIF('Как есть'!$A101:$A108,Доп.расчеты!$A24,'Как есть'!BY101:BY108)</f>
        <v>0</v>
      </c>
      <c r="BY24">
        <f>SUMIF('Как есть'!$A101:$A108,Доп.расчеты!$A24,'Как есть'!BZ101:BZ108)</f>
        <v>0</v>
      </c>
      <c r="BZ24">
        <f>SUMIF('Как есть'!$A101:$A108,Доп.расчеты!$A24,'Как есть'!CA101:CA108)</f>
        <v>0</v>
      </c>
      <c r="CA24">
        <f>SUMIF('Как есть'!$A101:$A108,Доп.расчеты!$A24,'Как есть'!CB101:CB108)</f>
        <v>0</v>
      </c>
      <c r="CB24">
        <f>SUMIF('Как есть'!$A101:$A108,Доп.расчеты!$A24,'Как есть'!CC101:CC108)</f>
        <v>0</v>
      </c>
      <c r="CC24">
        <f>SUMIF('Как есть'!$A101:$A108,Доп.расчеты!$A24,'Как есть'!CD101:CD108)</f>
        <v>0</v>
      </c>
      <c r="CD24">
        <f>SUMIF('Как есть'!$A101:$A108,Доп.расчеты!$A24,'Как есть'!CE101:CE108)</f>
        <v>0</v>
      </c>
      <c r="CE24">
        <f>SUMIF('Как есть'!$A101:$A108,Доп.расчеты!$A24,'Как есть'!CF101:CF108)</f>
        <v>0</v>
      </c>
      <c r="CF24">
        <f>SUMIF('Как есть'!$A101:$A108,Доп.расчеты!$A24,'Как есть'!CG101:CG108)</f>
        <v>0</v>
      </c>
      <c r="CG24">
        <f>SUMIF('Как есть'!$A101:$A108,Доп.расчеты!$A24,'Как есть'!CH101:CH108)</f>
        <v>0</v>
      </c>
      <c r="CH24">
        <f>SUMIF('Как есть'!$A101:$A108,Доп.расчеты!$A24,'Как есть'!CI101:CI108)</f>
        <v>0</v>
      </c>
      <c r="CI24">
        <f>SUMIF('Как есть'!$A101:$A108,Доп.расчеты!$A24,'Как есть'!CJ101:CJ108)</f>
        <v>0</v>
      </c>
      <c r="CJ24">
        <f>SUMIF('Как есть'!$A101:$A108,Доп.расчеты!$A24,'Как есть'!CK101:CK108)</f>
        <v>0</v>
      </c>
      <c r="CK24">
        <f>SUMIF('Как есть'!$A101:$A108,Доп.расчеты!$A24,'Как есть'!CL101:CL108)</f>
        <v>0</v>
      </c>
      <c r="CL24">
        <f>SUMIF('Как есть'!$A101:$A108,Доп.расчеты!$A24,'Как есть'!CM101:CM108)</f>
        <v>0</v>
      </c>
      <c r="CM24">
        <f>SUMIF('Как есть'!$A101:$A108,Доп.расчеты!$A24,'Как есть'!CN101:CN108)</f>
        <v>0</v>
      </c>
      <c r="CN24">
        <f>SUMIF('Как есть'!$A101:$A108,Доп.расчеты!$A24,'Как есть'!CO101:CO108)</f>
        <v>0</v>
      </c>
      <c r="CO24">
        <f>SUMIF('Как есть'!$A101:$A108,Доп.расчеты!$A24,'Как есть'!CP101:CP108)</f>
        <v>0</v>
      </c>
      <c r="CP24">
        <f>SUMIF('Как есть'!$A101:$A108,Доп.расчеты!$A24,'Как есть'!CQ101:CQ108)</f>
        <v>0</v>
      </c>
      <c r="CQ24">
        <f>SUMIF('Как есть'!$A101:$A108,Доп.расчеты!$A24,'Как есть'!CR101:CR108)</f>
        <v>0</v>
      </c>
      <c r="CR24">
        <f>SUMIF('Как есть'!$A101:$A108,Доп.расчеты!$A24,'Как есть'!CS101:CS108)</f>
        <v>0</v>
      </c>
      <c r="CS24">
        <f>SUMIF('Как есть'!$A101:$A108,Доп.расчеты!$A24,'Как есть'!CT101:CT108)</f>
        <v>0</v>
      </c>
      <c r="CT24">
        <f>SUMIF('Как есть'!$A101:$A108,Доп.расчеты!$A24,'Как есть'!CU101:CU108)</f>
        <v>0</v>
      </c>
      <c r="CU24">
        <f>SUMIF('Как есть'!$A101:$A108,Доп.расчеты!$A24,'Как есть'!CV101:CV108)</f>
        <v>0</v>
      </c>
      <c r="CV24">
        <f>SUMIF('Как есть'!$A101:$A108,Доп.расчеты!$A24,'Как есть'!CW101:CW108)</f>
        <v>0</v>
      </c>
      <c r="CW24">
        <f>SUMIF('Как есть'!$A101:$A108,Доп.расчеты!$A24,'Как есть'!CX101:CX108)</f>
        <v>0</v>
      </c>
      <c r="CX24">
        <f>SUMIF('Как есть'!$A101:$A108,Доп.расчеты!$A24,'Как есть'!CY101:CY108)</f>
        <v>0</v>
      </c>
      <c r="CY24">
        <f>SUMIF('Как есть'!$A101:$A108,Доп.расчеты!$A24,'Как есть'!CZ101:CZ108)</f>
        <v>0</v>
      </c>
      <c r="CZ24">
        <f>SUMIF('Как есть'!$A101:$A108,Доп.расчеты!$A24,'Как есть'!DA101:DA108)</f>
        <v>0</v>
      </c>
      <c r="DA24">
        <f>SUMIF('Как есть'!$A101:$A108,Доп.расчеты!$A24,'Как есть'!DB101:DB108)</f>
        <v>0</v>
      </c>
      <c r="DB24">
        <f>SUMIF('Как есть'!$A101:$A108,Доп.расчеты!$A24,'Как есть'!DC101:DC108)</f>
        <v>0</v>
      </c>
      <c r="DC24">
        <f>SUMIF('Как есть'!$A101:$A108,Доп.расчеты!$A24,'Как есть'!DD101:DD108)</f>
        <v>0</v>
      </c>
      <c r="DD24">
        <f>SUMIF('Как есть'!$A101:$A108,Доп.расчеты!$A24,'Как есть'!DE101:DE108)</f>
        <v>0</v>
      </c>
      <c r="DE24">
        <f>SUMIF('Как есть'!$A101:$A108,Доп.расчеты!$A24,'Как есть'!DF101:DF108)</f>
        <v>0</v>
      </c>
      <c r="DF24">
        <f>SUMIF('Как есть'!$A101:$A108,Доп.расчеты!$A24,'Как есть'!DG101:DG108)</f>
        <v>0</v>
      </c>
      <c r="DG24">
        <f>SUMIF('Как есть'!$A101:$A108,Доп.расчеты!$A24,'Как есть'!DH101:DH108)</f>
        <v>0</v>
      </c>
      <c r="DH24">
        <f>SUMIF('Как есть'!$A101:$A108,Доп.расчеты!$A24,'Как есть'!DI101:DI108)</f>
        <v>0</v>
      </c>
      <c r="DI24">
        <f>SUMIF('Как есть'!$A101:$A108,Доп.расчеты!$A24,'Как есть'!DJ101:DJ108)</f>
        <v>0</v>
      </c>
      <c r="DJ24">
        <f>SUMIF('Как есть'!$A101:$A108,Доп.расчеты!$A24,'Как есть'!DK101:DK108)</f>
        <v>0</v>
      </c>
      <c r="DK24">
        <f>SUMIF('Как есть'!$A101:$A108,Доп.расчеты!$A24,'Как есть'!DL101:DL108)</f>
        <v>0</v>
      </c>
      <c r="DL24">
        <f>SUMIF('Как есть'!$A101:$A108,Доп.расчеты!$A24,'Как есть'!DM101:DM108)</f>
        <v>0</v>
      </c>
      <c r="DM24">
        <f>SUMIF('Как есть'!$A101:$A108,Доп.расчеты!$A24,'Как есть'!DN101:DN108)</f>
        <v>0</v>
      </c>
      <c r="DN24">
        <f>SUMIF('Как есть'!$A101:$A108,Доп.расчеты!$A24,'Как есть'!DO101:DO108)</f>
        <v>0</v>
      </c>
      <c r="DO24">
        <f>SUMIF('Как есть'!$A101:$A108,Доп.расчеты!$A24,'Как есть'!DP101:DP108)</f>
        <v>0</v>
      </c>
      <c r="DP24">
        <f>SUMIF('Как есть'!$A101:$A108,Доп.расчеты!$A24,'Как есть'!DQ101:DQ108)</f>
        <v>0</v>
      </c>
      <c r="DQ24">
        <f>SUMIF('Как есть'!$A101:$A108,Доп.расчеты!$A24,'Как есть'!DR101:DR108)</f>
        <v>0</v>
      </c>
      <c r="DR24">
        <f>SUMIF('Как есть'!$A101:$A108,Доп.расчеты!$A24,'Как есть'!DS101:DS108)</f>
        <v>0</v>
      </c>
      <c r="DS24">
        <f>SUMIF('Как есть'!$A101:$A108,Доп.расчеты!$A24,'Как есть'!DT101:DT108)</f>
        <v>0</v>
      </c>
      <c r="DT24">
        <f>SUMIF('Как есть'!$A101:$A108,Доп.расчеты!$A24,'Как есть'!DU101:DU108)</f>
        <v>0</v>
      </c>
      <c r="DU24">
        <f>SUMIF('Как есть'!$A101:$A108,Доп.расчеты!$A24,'Как есть'!DV101:DV108)</f>
        <v>0</v>
      </c>
      <c r="DV24">
        <f>SUMIF('Как есть'!$A101:$A108,Доп.расчеты!$A24,'Как есть'!DW101:DW108)</f>
        <v>0</v>
      </c>
      <c r="DW24">
        <f>SUMIF('Как есть'!$A101:$A108,Доп.расчеты!$A24,'Как есть'!DX101:DX108)</f>
        <v>0</v>
      </c>
      <c r="DX24">
        <f>SUMIF('Как есть'!$A101:$A108,Доп.расчеты!$A24,'Как есть'!DY101:DY108)</f>
        <v>0</v>
      </c>
      <c r="DY24">
        <f>SUMIF('Как есть'!$A101:$A108,Доп.расчеты!$A24,'Как есть'!DZ101:DZ108)</f>
        <v>0</v>
      </c>
      <c r="DZ24">
        <f>SUMIF('Как есть'!$A101:$A108,Доп.расчеты!$A24,'Как есть'!EA101:EA108)</f>
        <v>0</v>
      </c>
      <c r="EA24">
        <f>SUMIF('Как есть'!$A101:$A108,Доп.расчеты!$A24,'Как есть'!EB101:EB108)</f>
        <v>0</v>
      </c>
      <c r="EB24">
        <f>SUMIF('Как есть'!$A101:$A108,Доп.расчеты!$A24,'Как есть'!EC101:EC108)</f>
        <v>0</v>
      </c>
      <c r="EC24">
        <f>SUMIF('Как есть'!$A101:$A108,Доп.расчеты!$A24,'Как есть'!ED101:ED108)</f>
        <v>0</v>
      </c>
      <c r="ED24">
        <f>SUMIF('Как есть'!$A101:$A108,Доп.расчеты!$A24,'Как есть'!EE101:EE108)</f>
        <v>0</v>
      </c>
      <c r="EE24">
        <f>SUMIF('Как есть'!$A101:$A108,Доп.расчеты!$A24,'Как есть'!EF101:EF108)</f>
        <v>0</v>
      </c>
      <c r="EF24">
        <f>SUMIF('Как есть'!$A101:$A108,Доп.расчеты!$A24,'Как есть'!EG101:EG108)</f>
        <v>0</v>
      </c>
      <c r="EG24">
        <f>SUMIF('Как есть'!$A101:$A108,Доп.расчеты!$A24,'Как есть'!EH101:EH108)</f>
        <v>0</v>
      </c>
      <c r="EH24">
        <f>SUMIF('Как есть'!$A101:$A108,Доп.расчеты!$A24,'Как есть'!EI101:EI108)</f>
        <v>0</v>
      </c>
      <c r="EI24">
        <f>SUMIF('Как есть'!$A101:$A108,Доп.расчеты!$A24,'Как есть'!EJ101:EJ108)</f>
        <v>0</v>
      </c>
      <c r="EJ24">
        <f>SUMIF('Как есть'!$A101:$A108,Доп.расчеты!$A24,'Как есть'!EK101:EK108)</f>
        <v>0</v>
      </c>
      <c r="EK24">
        <f>SUMIF('Как есть'!$A101:$A108,Доп.расчеты!$A24,'Как есть'!EL101:EL108)</f>
        <v>0</v>
      </c>
      <c r="EL24">
        <f>SUMIF('Как есть'!$A101:$A108,Доп.расчеты!$A24,'Как есть'!EM101:EM108)</f>
        <v>0</v>
      </c>
      <c r="EM24">
        <f>SUMIF('Как есть'!$A101:$A108,Доп.расчеты!$A24,'Как есть'!EN101:EN108)</f>
        <v>0</v>
      </c>
      <c r="EN24">
        <f>SUMIF('Как есть'!$A101:$A108,Доп.расчеты!$A24,'Как есть'!EO101:EO108)</f>
        <v>0</v>
      </c>
      <c r="EO24">
        <f>SUMIF('Как есть'!$A101:$A108,Доп.расчеты!$A24,'Как есть'!EP101:EP108)</f>
        <v>0</v>
      </c>
      <c r="EP24">
        <f>SUMIF('Как есть'!$A101:$A108,Доп.расчеты!$A24,'Как есть'!EQ101:EQ108)</f>
        <v>0</v>
      </c>
      <c r="EQ24">
        <f>SUMIF('Как есть'!$A101:$A108,Доп.расчеты!$A24,'Как есть'!ER101:ER108)</f>
        <v>0</v>
      </c>
      <c r="ER24">
        <f>SUMIF('Как есть'!$A101:$A108,Доп.расчеты!$A24,'Как есть'!ES101:ES108)</f>
        <v>0</v>
      </c>
      <c r="ES24">
        <f>SUMIF('Как есть'!$A101:$A108,Доп.расчеты!$A24,'Как есть'!ET101:ET108)</f>
        <v>0</v>
      </c>
      <c r="ET24">
        <f>SUMIF('Как есть'!$A101:$A108,Доп.расчеты!$A24,'Как есть'!EU101:EU108)</f>
        <v>0</v>
      </c>
      <c r="EU24">
        <f>SUMIF('Как есть'!$A101:$A108,Доп.расчеты!$A24,'Как есть'!EV101:EV108)</f>
        <v>0</v>
      </c>
      <c r="EV24">
        <f>SUMIF('Как есть'!$A101:$A108,Доп.расчеты!$A24,'Как есть'!EW101:EW108)</f>
        <v>0</v>
      </c>
      <c r="EW24">
        <f>SUMIF('Как есть'!$A101:$A108,Доп.расчеты!$A24,'Как есть'!EX101:EX108)</f>
        <v>0</v>
      </c>
      <c r="EX24">
        <f>SUMIF('Как есть'!$A101:$A108,Доп.расчеты!$A24,'Как есть'!EY101:EY108)</f>
        <v>0</v>
      </c>
      <c r="EY24">
        <f>SUMIF('Как есть'!$A101:$A108,Доп.расчеты!$A24,'Как есть'!EZ101:EZ108)</f>
        <v>0</v>
      </c>
      <c r="EZ24">
        <f>SUMIF('Как есть'!$A101:$A108,Доп.расчеты!$A24,'Как есть'!FA101:FA108)</f>
        <v>0</v>
      </c>
      <c r="FA24">
        <f>SUMIF('Как есть'!$A101:$A108,Доп.расчеты!$A24,'Как есть'!FB101:FB108)</f>
        <v>0</v>
      </c>
      <c r="FB24">
        <f>SUMIF('Как есть'!$A101:$A108,Доп.расчеты!$A24,'Как есть'!FC101:FC108)</f>
        <v>0</v>
      </c>
      <c r="FC24">
        <f>SUMIF('Как есть'!$A101:$A108,Доп.расчеты!$A24,'Как есть'!FD101:FD108)</f>
        <v>0</v>
      </c>
      <c r="FD24">
        <f>SUMIF('Как есть'!$A101:$A108,Доп.расчеты!$A24,'Как есть'!FE101:FE108)</f>
        <v>0</v>
      </c>
      <c r="FE24">
        <f>SUMIF('Как есть'!$A101:$A108,Доп.расчеты!$A24,'Как есть'!FF101:FF108)</f>
        <v>0</v>
      </c>
      <c r="FF24">
        <f>SUMIF('Как есть'!$A101:$A108,Доп.расчеты!$A24,'Как есть'!FG101:FG108)</f>
        <v>0</v>
      </c>
      <c r="FG24">
        <f>SUMIF('Как есть'!$A101:$A108,Доп.расчеты!$A24,'Как есть'!FH101:FH108)</f>
        <v>0</v>
      </c>
      <c r="FH24">
        <f>SUMIF('Как есть'!$A101:$A108,Доп.расчеты!$A24,'Как есть'!FI101:FI108)</f>
        <v>0</v>
      </c>
      <c r="FI24">
        <f>SUMIF('Как есть'!$A101:$A108,Доп.расчеты!$A24,'Как есть'!FJ101:FJ108)</f>
        <v>0</v>
      </c>
      <c r="FJ24">
        <f>SUMIF('Как есть'!$A101:$A108,Доп.расчеты!$A24,'Как есть'!FK101:FK108)</f>
        <v>0</v>
      </c>
      <c r="FK24">
        <f>SUMIF('Как есть'!$A101:$A108,Доп.расчеты!$A24,'Как есть'!FL101:FL108)</f>
        <v>0</v>
      </c>
      <c r="FL24">
        <f>SUMIF('Как есть'!$A101:$A108,Доп.расчеты!$A24,'Как есть'!FM101:FM108)</f>
        <v>0</v>
      </c>
      <c r="FM24">
        <f>SUMIF('Как есть'!$A101:$A108,Доп.расчеты!$A24,'Как есть'!FN101:FN108)</f>
        <v>0</v>
      </c>
      <c r="FN24">
        <f>SUMIF('Как есть'!$A101:$A108,Доп.расчеты!$A24,'Как есть'!FO101:FO108)</f>
        <v>0</v>
      </c>
      <c r="FO24">
        <f>SUMIF('Как есть'!$A101:$A108,Доп.расчеты!$A24,'Как есть'!FP101:FP108)</f>
        <v>0</v>
      </c>
      <c r="FP24">
        <f>SUMIF('Как есть'!$A101:$A108,Доп.расчеты!$A24,'Как есть'!FQ101:FQ108)</f>
        <v>0</v>
      </c>
      <c r="FQ24">
        <f>SUMIF('Как есть'!$A101:$A108,Доп.расчеты!$A24,'Как есть'!FR101:FR108)</f>
        <v>0</v>
      </c>
      <c r="FR24">
        <f>SUMIF('Как есть'!$A101:$A108,Доп.расчеты!$A24,'Как есть'!FS101:FS108)</f>
        <v>0</v>
      </c>
      <c r="FS24">
        <f>SUMIF('Как есть'!$A101:$A108,Доп.расчеты!$A24,'Как есть'!FT101:FT108)</f>
        <v>0</v>
      </c>
      <c r="FT24">
        <f>SUMIF('Как есть'!$A101:$A108,Доп.расчеты!$A24,'Как есть'!FU101:FU108)</f>
        <v>0</v>
      </c>
      <c r="FU24">
        <f>SUMIF('Как есть'!$A101:$A108,Доп.расчеты!$A24,'Как есть'!FV101:FV108)</f>
        <v>0</v>
      </c>
      <c r="FV24">
        <f>SUMIF('Как есть'!$A101:$A108,Доп.расчеты!$A24,'Как есть'!FW101:FW108)</f>
        <v>0</v>
      </c>
      <c r="FW24">
        <f>SUMIF('Как есть'!$A101:$A108,Доп.расчеты!$A24,'Как есть'!FX101:FX108)</f>
        <v>0</v>
      </c>
      <c r="FX24">
        <f>SUMIF('Как есть'!$A101:$A108,Доп.расчеты!$A24,'Как есть'!FY101:FY108)</f>
        <v>0</v>
      </c>
      <c r="FY24">
        <f>SUMIF('Как есть'!$A101:$A108,Доп.расчеты!$A24,'Как есть'!FZ101:FZ108)</f>
        <v>0</v>
      </c>
      <c r="FZ24">
        <f>SUMIF('Как есть'!$A101:$A108,Доп.расчеты!$A24,'Как есть'!GA101:GA108)</f>
        <v>0</v>
      </c>
      <c r="GA24">
        <f>SUMIF('Как есть'!$A101:$A108,Доп.расчеты!$A24,'Как есть'!GB101:GB108)</f>
        <v>0</v>
      </c>
      <c r="GB24">
        <f>SUMIF('Как есть'!$A101:$A108,Доп.расчеты!$A24,'Как есть'!GC101:GC108)</f>
        <v>0</v>
      </c>
      <c r="GC24">
        <f>SUMIF('Как есть'!$A101:$A108,Доп.расчеты!$A24,'Как есть'!GD101:GD108)</f>
        <v>0</v>
      </c>
      <c r="GD24">
        <f>SUMIF('Как есть'!$A101:$A108,Доп.расчеты!$A24,'Как есть'!GE101:GE108)</f>
        <v>0</v>
      </c>
      <c r="GE24">
        <f>SUMIF('Как есть'!$A101:$A108,Доп.расчеты!$A24,'Как есть'!GF101:GF108)</f>
        <v>0</v>
      </c>
      <c r="GF24">
        <f>SUMIF('Как есть'!$A101:$A108,Доп.расчеты!$A24,'Как есть'!GG101:GG108)</f>
        <v>0</v>
      </c>
      <c r="GG24">
        <f>SUMIF('Как есть'!$A101:$A108,Доп.расчеты!$A24,'Как есть'!GH101:GH108)</f>
        <v>0</v>
      </c>
      <c r="GH24">
        <f>SUMIF('Как есть'!$A101:$A108,Доп.расчеты!$A24,'Как есть'!GI101:GI108)</f>
        <v>0</v>
      </c>
      <c r="GI24">
        <f>SUMIF('Как есть'!$A101:$A108,Доп.расчеты!$A24,'Как есть'!GJ101:GJ108)</f>
        <v>0</v>
      </c>
      <c r="GJ24">
        <f>SUMIF('Как есть'!$A101:$A108,Доп.расчеты!$A24,'Как есть'!GK101:GK108)</f>
        <v>0</v>
      </c>
      <c r="GK24">
        <f>SUMIF('Как есть'!$A101:$A108,Доп.расчеты!$A24,'Как есть'!GL101:GL108)</f>
        <v>0</v>
      </c>
      <c r="GL24">
        <f>SUMIF('Как есть'!$A101:$A108,Доп.расчеты!$A24,'Как есть'!GM101:GM108)</f>
        <v>0</v>
      </c>
      <c r="GM24">
        <f>SUMIF('Как есть'!$A101:$A108,Доп.расчеты!$A24,'Как есть'!GN101:GN108)</f>
        <v>0</v>
      </c>
      <c r="GN24">
        <f>SUMIF('Как есть'!$A101:$A108,Доп.расчеты!$A24,'Как есть'!GO101:GO108)</f>
        <v>0</v>
      </c>
      <c r="GO24">
        <f>SUMIF('Как есть'!$A101:$A108,Доп.расчеты!$A24,'Как есть'!GP101:GP108)</f>
        <v>0</v>
      </c>
      <c r="GP24">
        <f>SUMIF('Как есть'!$A101:$A108,Доп.расчеты!$A24,'Как есть'!GQ101:GQ108)</f>
        <v>0</v>
      </c>
      <c r="GQ24">
        <f>SUMIF('Как есть'!$A101:$A108,Доп.расчеты!$A24,'Как есть'!GR101:GR108)</f>
        <v>0</v>
      </c>
      <c r="GR24">
        <f>SUMIF('Как есть'!$A101:$A108,Доп.расчеты!$A24,'Как есть'!GS101:GS108)</f>
        <v>0</v>
      </c>
      <c r="GS24">
        <f>SUMIF('Как есть'!$A101:$A108,Доп.расчеты!$A24,'Как есть'!GT101:GT108)</f>
        <v>0</v>
      </c>
      <c r="GT24">
        <f>SUMIF('Как есть'!$A101:$A108,Доп.расчеты!$A24,'Как есть'!GU101:GU108)</f>
        <v>0</v>
      </c>
    </row>
    <row r="25" spans="1:202">
      <c r="A25" s="236" t="s">
        <v>11</v>
      </c>
      <c r="B25">
        <f>SUMIF('Как есть'!$A101:$A108,Доп.расчеты!$A25,'Как есть'!C101:C108)</f>
        <v>0</v>
      </c>
      <c r="C25">
        <f>SUMIF('Как есть'!$A101:$A108,Доп.расчеты!$A25,'Как есть'!D101:D108)</f>
        <v>0</v>
      </c>
      <c r="D25">
        <f>SUMIF('Как есть'!$A101:$A108,Доп.расчеты!$A25,'Как есть'!E101:E108)</f>
        <v>0</v>
      </c>
      <c r="E25">
        <f>SUMIF('Как есть'!$A101:$A108,Доп.расчеты!$A25,'Как есть'!F101:F108)</f>
        <v>0</v>
      </c>
      <c r="F25">
        <f>SUMIF('Как есть'!$A101:$A108,Доп.расчеты!$A25,'Как есть'!G101:G108)</f>
        <v>0</v>
      </c>
      <c r="G25">
        <f>SUMIF('Как есть'!$A101:$A108,Доп.расчеты!$A25,'Как есть'!H101:H108)</f>
        <v>0</v>
      </c>
      <c r="H25">
        <f>SUMIF('Как есть'!$A101:$A108,Доп.расчеты!$A25,'Как есть'!I101:I108)</f>
        <v>0</v>
      </c>
      <c r="I25">
        <f>SUMIF('Как есть'!$A101:$A108,Доп.расчеты!$A25,'Как есть'!J101:J108)</f>
        <v>0</v>
      </c>
      <c r="J25">
        <f>SUMIF('Как есть'!$A101:$A108,Доп.расчеты!$A25,'Как есть'!K101:K108)</f>
        <v>0</v>
      </c>
      <c r="K25">
        <f>SUMIF('Как есть'!$A101:$A108,Доп.расчеты!$A25,'Как есть'!L101:L108)</f>
        <v>0</v>
      </c>
      <c r="L25">
        <f>SUMIF('Как есть'!$A101:$A108,Доп.расчеты!$A25,'Как есть'!M101:M108)</f>
        <v>0</v>
      </c>
      <c r="M25">
        <f>SUMIF('Как есть'!$A101:$A108,Доп.расчеты!$A25,'Как есть'!N101:N108)</f>
        <v>0</v>
      </c>
      <c r="N25">
        <f>SUMIF('Как есть'!$A101:$A108,Доп.расчеты!$A25,'Как есть'!O101:O108)</f>
        <v>0</v>
      </c>
      <c r="O25">
        <f>SUMIF('Как есть'!$A101:$A108,Доп.расчеты!$A25,'Как есть'!P101:P108)</f>
        <v>0</v>
      </c>
      <c r="P25">
        <f>SUMIF('Как есть'!$A101:$A108,Доп.расчеты!$A25,'Как есть'!Q101:Q108)</f>
        <v>0</v>
      </c>
      <c r="Q25">
        <f>SUMIF('Как есть'!$A101:$A108,Доп.расчеты!$A25,'Как есть'!R101:R108)</f>
        <v>0</v>
      </c>
      <c r="R25">
        <f>SUMIF('Как есть'!$A101:$A108,Доп.расчеты!$A25,'Как есть'!S101:S108)</f>
        <v>0</v>
      </c>
      <c r="S25">
        <f>SUMIF('Как есть'!$A101:$A108,Доп.расчеты!$A25,'Как есть'!T101:T108)</f>
        <v>0</v>
      </c>
      <c r="T25">
        <f>SUMIF('Как есть'!$A101:$A108,Доп.расчеты!$A25,'Как есть'!U101:U108)</f>
        <v>0</v>
      </c>
      <c r="U25">
        <f>SUMIF('Как есть'!$A101:$A108,Доп.расчеты!$A25,'Как есть'!V101:V108)</f>
        <v>0</v>
      </c>
      <c r="V25">
        <f>SUMIF('Как есть'!$A101:$A108,Доп.расчеты!$A25,'Как есть'!W101:W108)</f>
        <v>0</v>
      </c>
      <c r="W25">
        <f>SUMIF('Как есть'!$A101:$A108,Доп.расчеты!$A25,'Как есть'!X101:X108)</f>
        <v>0</v>
      </c>
      <c r="X25">
        <f>SUMIF('Как есть'!$A101:$A108,Доп.расчеты!$A25,'Как есть'!Y101:Y108)</f>
        <v>0</v>
      </c>
      <c r="Y25">
        <f>SUMIF('Как есть'!$A101:$A108,Доп.расчеты!$A25,'Как есть'!Z101:Z108)</f>
        <v>0</v>
      </c>
      <c r="Z25">
        <f>SUMIF('Как есть'!$A101:$A108,Доп.расчеты!$A25,'Как есть'!AA101:AA108)</f>
        <v>0</v>
      </c>
      <c r="AA25">
        <f>SUMIF('Как есть'!$A101:$A108,Доп.расчеты!$A25,'Как есть'!AB101:AB108)</f>
        <v>0</v>
      </c>
      <c r="AB25">
        <f>SUMIF('Как есть'!$A101:$A108,Доп.расчеты!$A25,'Как есть'!AC101:AC108)</f>
        <v>0</v>
      </c>
      <c r="AC25">
        <f>SUMIF('Как есть'!$A101:$A108,Доп.расчеты!$A25,'Как есть'!AD101:AD108)</f>
        <v>0</v>
      </c>
      <c r="AD25">
        <f>SUMIF('Как есть'!$A101:$A108,Доп.расчеты!$A25,'Как есть'!AE101:AE108)</f>
        <v>0</v>
      </c>
      <c r="AE25">
        <f>SUMIF('Как есть'!$A101:$A108,Доп.расчеты!$A25,'Как есть'!AF101:AF108)</f>
        <v>0</v>
      </c>
      <c r="AF25">
        <f>SUMIF('Как есть'!$A101:$A108,Доп.расчеты!$A25,'Как есть'!AG101:AG108)</f>
        <v>0</v>
      </c>
      <c r="AG25">
        <f>SUMIF('Как есть'!$A101:$A108,Доп.расчеты!$A25,'Как есть'!AH101:AH108)</f>
        <v>0</v>
      </c>
      <c r="AH25">
        <f>SUMIF('Как есть'!$A101:$A108,Доп.расчеты!$A25,'Как есть'!AI101:AI108)</f>
        <v>0</v>
      </c>
      <c r="AI25">
        <f>SUMIF('Как есть'!$A101:$A108,Доп.расчеты!$A25,'Как есть'!AJ101:AJ108)</f>
        <v>0</v>
      </c>
      <c r="AJ25">
        <f>SUMIF('Как есть'!$A101:$A108,Доп.расчеты!$A25,'Как есть'!AK101:AK108)</f>
        <v>0</v>
      </c>
      <c r="AK25">
        <f>SUMIF('Как есть'!$A101:$A108,Доп.расчеты!$A25,'Как есть'!AL101:AL108)</f>
        <v>0</v>
      </c>
      <c r="AL25">
        <f>SUMIF('Как есть'!$A101:$A108,Доп.расчеты!$A25,'Как есть'!AM101:AM108)</f>
        <v>0</v>
      </c>
      <c r="AM25">
        <f>SUMIF('Как есть'!$A101:$A108,Доп.расчеты!$A25,'Как есть'!AN101:AN108)</f>
        <v>0</v>
      </c>
      <c r="AN25">
        <f>SUMIF('Как есть'!$A101:$A108,Доп.расчеты!$A25,'Как есть'!AO101:AO108)</f>
        <v>0</v>
      </c>
      <c r="AO25">
        <f>SUMIF('Как есть'!$A101:$A108,Доп.расчеты!$A25,'Как есть'!AP101:AP108)</f>
        <v>0</v>
      </c>
      <c r="AP25">
        <f>SUMIF('Как есть'!$A101:$A108,Доп.расчеты!$A25,'Как есть'!AQ101:AQ108)</f>
        <v>0</v>
      </c>
      <c r="AQ25">
        <f>SUMIF('Как есть'!$A101:$A108,Доп.расчеты!$A25,'Как есть'!AR101:AR108)</f>
        <v>0</v>
      </c>
      <c r="AR25">
        <f>SUMIF('Как есть'!$A101:$A108,Доп.расчеты!$A25,'Как есть'!AS101:AS108)</f>
        <v>0</v>
      </c>
      <c r="AS25">
        <f>SUMIF('Как есть'!$A101:$A108,Доп.расчеты!$A25,'Как есть'!AT101:AT108)</f>
        <v>0</v>
      </c>
      <c r="AT25">
        <f>SUMIF('Как есть'!$A101:$A108,Доп.расчеты!$A25,'Как есть'!AU101:AU108)</f>
        <v>0</v>
      </c>
      <c r="AU25">
        <f>SUMIF('Как есть'!$A101:$A108,Доп.расчеты!$A25,'Как есть'!AV101:AV108)</f>
        <v>0</v>
      </c>
      <c r="AV25">
        <f>SUMIF('Как есть'!$A101:$A108,Доп.расчеты!$A25,'Как есть'!AW101:AW108)</f>
        <v>0</v>
      </c>
      <c r="AW25">
        <f>SUMIF('Как есть'!$A101:$A108,Доп.расчеты!$A25,'Как есть'!AX101:AX108)</f>
        <v>0</v>
      </c>
      <c r="AX25">
        <f>SUMIF('Как есть'!$A101:$A108,Доп.расчеты!$A25,'Как есть'!AY101:AY108)</f>
        <v>0</v>
      </c>
      <c r="AY25">
        <f>SUMIF('Как есть'!$A101:$A108,Доп.расчеты!$A25,'Как есть'!AZ101:AZ108)</f>
        <v>0</v>
      </c>
      <c r="AZ25">
        <f>SUMIF('Как есть'!$A101:$A108,Доп.расчеты!$A25,'Как есть'!BA101:BA108)</f>
        <v>0</v>
      </c>
      <c r="BA25">
        <f>SUMIF('Как есть'!$A101:$A108,Доп.расчеты!$A25,'Как есть'!BB101:BB108)</f>
        <v>0</v>
      </c>
      <c r="BB25">
        <f>SUMIF('Как есть'!$A101:$A108,Доп.расчеты!$A25,'Как есть'!BC101:BC108)</f>
        <v>0</v>
      </c>
      <c r="BC25">
        <f>SUMIF('Как есть'!$A101:$A108,Доп.расчеты!$A25,'Как есть'!BD101:BD108)</f>
        <v>0</v>
      </c>
      <c r="BD25">
        <f>SUMIF('Как есть'!$A101:$A108,Доп.расчеты!$A25,'Как есть'!BE101:BE108)</f>
        <v>0</v>
      </c>
      <c r="BE25">
        <f>SUMIF('Как есть'!$A101:$A108,Доп.расчеты!$A25,'Как есть'!BF101:BF108)</f>
        <v>0</v>
      </c>
      <c r="BF25">
        <f>SUMIF('Как есть'!$A101:$A108,Доп.расчеты!$A25,'Как есть'!BG101:BG108)</f>
        <v>0</v>
      </c>
      <c r="BG25">
        <f>SUMIF('Как есть'!$A101:$A108,Доп.расчеты!$A25,'Как есть'!BH101:BH108)</f>
        <v>0</v>
      </c>
      <c r="BH25">
        <f>SUMIF('Как есть'!$A101:$A108,Доп.расчеты!$A25,'Как есть'!BI101:BI108)</f>
        <v>0</v>
      </c>
      <c r="BI25">
        <f>SUMIF('Как есть'!$A101:$A108,Доп.расчеты!$A25,'Как есть'!BJ101:BJ108)</f>
        <v>0</v>
      </c>
      <c r="BJ25">
        <f>SUMIF('Как есть'!$A101:$A108,Доп.расчеты!$A25,'Как есть'!BK101:BK108)</f>
        <v>0</v>
      </c>
      <c r="BK25">
        <f>SUMIF('Как есть'!$A101:$A108,Доп.расчеты!$A25,'Как есть'!BL101:BL108)</f>
        <v>0</v>
      </c>
      <c r="BL25">
        <f>SUMIF('Как есть'!$A101:$A108,Доп.расчеты!$A25,'Как есть'!BM101:BM108)</f>
        <v>0</v>
      </c>
      <c r="BM25">
        <f>SUMIF('Как есть'!$A101:$A108,Доп.расчеты!$A25,'Как есть'!BN101:BN108)</f>
        <v>0</v>
      </c>
      <c r="BN25">
        <f>SUMIF('Как есть'!$A101:$A108,Доп.расчеты!$A25,'Как есть'!BO101:BO108)</f>
        <v>0</v>
      </c>
      <c r="BO25">
        <f>SUMIF('Как есть'!$A101:$A108,Доп.расчеты!$A25,'Как есть'!BP101:BP108)</f>
        <v>0</v>
      </c>
      <c r="BP25">
        <f>SUMIF('Как есть'!$A101:$A108,Доп.расчеты!$A25,'Как есть'!BQ101:BQ108)</f>
        <v>0</v>
      </c>
      <c r="BQ25">
        <f>SUMIF('Как есть'!$A101:$A108,Доп.расчеты!$A25,'Как есть'!BR101:BR108)</f>
        <v>0</v>
      </c>
      <c r="BR25">
        <f>SUMIF('Как есть'!$A101:$A108,Доп.расчеты!$A25,'Как есть'!BS101:BS108)</f>
        <v>0</v>
      </c>
      <c r="BS25">
        <f>SUMIF('Как есть'!$A101:$A108,Доп.расчеты!$A25,'Как есть'!BT101:BT108)</f>
        <v>0</v>
      </c>
      <c r="BT25">
        <f>SUMIF('Как есть'!$A101:$A108,Доп.расчеты!$A25,'Как есть'!BU101:BU108)</f>
        <v>0</v>
      </c>
      <c r="BU25">
        <f>SUMIF('Как есть'!$A101:$A108,Доп.расчеты!$A25,'Как есть'!BV101:BV108)</f>
        <v>0</v>
      </c>
      <c r="BV25">
        <f>SUMIF('Как есть'!$A101:$A108,Доп.расчеты!$A25,'Как есть'!BW101:BW108)</f>
        <v>0</v>
      </c>
      <c r="BW25">
        <f>SUMIF('Как есть'!$A101:$A108,Доп.расчеты!$A25,'Как есть'!BX101:BX108)</f>
        <v>0</v>
      </c>
      <c r="BX25">
        <f>SUMIF('Как есть'!$A101:$A108,Доп.расчеты!$A25,'Как есть'!BY101:BY108)</f>
        <v>0</v>
      </c>
      <c r="BY25">
        <f>SUMIF('Как есть'!$A101:$A108,Доп.расчеты!$A25,'Как есть'!BZ101:BZ108)</f>
        <v>0</v>
      </c>
      <c r="BZ25">
        <f>SUMIF('Как есть'!$A101:$A108,Доп.расчеты!$A25,'Как есть'!CA101:CA108)</f>
        <v>0</v>
      </c>
      <c r="CA25">
        <f>SUMIF('Как есть'!$A101:$A108,Доп.расчеты!$A25,'Как есть'!CB101:CB108)</f>
        <v>0</v>
      </c>
      <c r="CB25">
        <f>SUMIF('Как есть'!$A101:$A108,Доп.расчеты!$A25,'Как есть'!CC101:CC108)</f>
        <v>0</v>
      </c>
      <c r="CC25">
        <f>SUMIF('Как есть'!$A101:$A108,Доп.расчеты!$A25,'Как есть'!CD101:CD108)</f>
        <v>0</v>
      </c>
      <c r="CD25">
        <f>SUMIF('Как есть'!$A101:$A108,Доп.расчеты!$A25,'Как есть'!CE101:CE108)</f>
        <v>0</v>
      </c>
      <c r="CE25">
        <f>SUMIF('Как есть'!$A101:$A108,Доп.расчеты!$A25,'Как есть'!CF101:CF108)</f>
        <v>0</v>
      </c>
      <c r="CF25">
        <f>SUMIF('Как есть'!$A101:$A108,Доп.расчеты!$A25,'Как есть'!CG101:CG108)</f>
        <v>0</v>
      </c>
      <c r="CG25">
        <f>SUMIF('Как есть'!$A101:$A108,Доп.расчеты!$A25,'Как есть'!CH101:CH108)</f>
        <v>0</v>
      </c>
      <c r="CH25">
        <f>SUMIF('Как есть'!$A101:$A108,Доп.расчеты!$A25,'Как есть'!CI101:CI108)</f>
        <v>0</v>
      </c>
      <c r="CI25">
        <f>SUMIF('Как есть'!$A101:$A108,Доп.расчеты!$A25,'Как есть'!CJ101:CJ108)</f>
        <v>0</v>
      </c>
      <c r="CJ25">
        <f>SUMIF('Как есть'!$A101:$A108,Доп.расчеты!$A25,'Как есть'!CK101:CK108)</f>
        <v>0</v>
      </c>
      <c r="CK25">
        <f>SUMIF('Как есть'!$A101:$A108,Доп.расчеты!$A25,'Как есть'!CL101:CL108)</f>
        <v>0</v>
      </c>
      <c r="CL25">
        <f>SUMIF('Как есть'!$A101:$A108,Доп.расчеты!$A25,'Как есть'!CM101:CM108)</f>
        <v>0</v>
      </c>
      <c r="CM25">
        <f>SUMIF('Как есть'!$A101:$A108,Доп.расчеты!$A25,'Как есть'!CN101:CN108)</f>
        <v>0</v>
      </c>
      <c r="CN25">
        <f>SUMIF('Как есть'!$A101:$A108,Доп.расчеты!$A25,'Как есть'!CO101:CO108)</f>
        <v>0</v>
      </c>
      <c r="CO25">
        <f>SUMIF('Как есть'!$A101:$A108,Доп.расчеты!$A25,'Как есть'!CP101:CP108)</f>
        <v>0</v>
      </c>
      <c r="CP25">
        <f>SUMIF('Как есть'!$A101:$A108,Доп.расчеты!$A25,'Как есть'!CQ101:CQ108)</f>
        <v>0</v>
      </c>
      <c r="CQ25">
        <f>SUMIF('Как есть'!$A101:$A108,Доп.расчеты!$A25,'Как есть'!CR101:CR108)</f>
        <v>0</v>
      </c>
      <c r="CR25">
        <f>SUMIF('Как есть'!$A101:$A108,Доп.расчеты!$A25,'Как есть'!CS101:CS108)</f>
        <v>0</v>
      </c>
      <c r="CS25">
        <f>SUMIF('Как есть'!$A101:$A108,Доп.расчеты!$A25,'Как есть'!CT101:CT108)</f>
        <v>0</v>
      </c>
      <c r="CT25">
        <f>SUMIF('Как есть'!$A101:$A108,Доп.расчеты!$A25,'Как есть'!CU101:CU108)</f>
        <v>0</v>
      </c>
      <c r="CU25">
        <f>SUMIF('Как есть'!$A101:$A108,Доп.расчеты!$A25,'Как есть'!CV101:CV108)</f>
        <v>0</v>
      </c>
      <c r="CV25">
        <f>SUMIF('Как есть'!$A101:$A108,Доп.расчеты!$A25,'Как есть'!CW101:CW108)</f>
        <v>0</v>
      </c>
      <c r="CW25">
        <f>SUMIF('Как есть'!$A101:$A108,Доп.расчеты!$A25,'Как есть'!CX101:CX108)</f>
        <v>0</v>
      </c>
      <c r="CX25">
        <f>SUMIF('Как есть'!$A101:$A108,Доп.расчеты!$A25,'Как есть'!CY101:CY108)</f>
        <v>0</v>
      </c>
      <c r="CY25">
        <f>SUMIF('Как есть'!$A101:$A108,Доп.расчеты!$A25,'Как есть'!CZ101:CZ108)</f>
        <v>0</v>
      </c>
      <c r="CZ25">
        <f>SUMIF('Как есть'!$A101:$A108,Доп.расчеты!$A25,'Как есть'!DA101:DA108)</f>
        <v>0</v>
      </c>
      <c r="DA25">
        <f>SUMIF('Как есть'!$A101:$A108,Доп.расчеты!$A25,'Как есть'!DB101:DB108)</f>
        <v>0</v>
      </c>
      <c r="DB25">
        <f>SUMIF('Как есть'!$A101:$A108,Доп.расчеты!$A25,'Как есть'!DC101:DC108)</f>
        <v>0</v>
      </c>
      <c r="DC25">
        <f>SUMIF('Как есть'!$A101:$A108,Доп.расчеты!$A25,'Как есть'!DD101:DD108)</f>
        <v>0</v>
      </c>
      <c r="DD25">
        <f>SUMIF('Как есть'!$A101:$A108,Доп.расчеты!$A25,'Как есть'!DE101:DE108)</f>
        <v>0</v>
      </c>
      <c r="DE25">
        <f>SUMIF('Как есть'!$A101:$A108,Доп.расчеты!$A25,'Как есть'!DF101:DF108)</f>
        <v>0</v>
      </c>
      <c r="DF25">
        <f>SUMIF('Как есть'!$A101:$A108,Доп.расчеты!$A25,'Как есть'!DG101:DG108)</f>
        <v>0</v>
      </c>
      <c r="DG25">
        <f>SUMIF('Как есть'!$A101:$A108,Доп.расчеты!$A25,'Как есть'!DH101:DH108)</f>
        <v>0</v>
      </c>
      <c r="DH25">
        <f>SUMIF('Как есть'!$A101:$A108,Доп.расчеты!$A25,'Как есть'!DI101:DI108)</f>
        <v>0</v>
      </c>
      <c r="DI25">
        <f>SUMIF('Как есть'!$A101:$A108,Доп.расчеты!$A25,'Как есть'!DJ101:DJ108)</f>
        <v>0</v>
      </c>
      <c r="DJ25">
        <f>SUMIF('Как есть'!$A101:$A108,Доп.расчеты!$A25,'Как есть'!DK101:DK108)</f>
        <v>0</v>
      </c>
      <c r="DK25">
        <f>SUMIF('Как есть'!$A101:$A108,Доп.расчеты!$A25,'Как есть'!DL101:DL108)</f>
        <v>0</v>
      </c>
      <c r="DL25">
        <f>SUMIF('Как есть'!$A101:$A108,Доп.расчеты!$A25,'Как есть'!DM101:DM108)</f>
        <v>0</v>
      </c>
      <c r="DM25">
        <f>SUMIF('Как есть'!$A101:$A108,Доп.расчеты!$A25,'Как есть'!DN101:DN108)</f>
        <v>0</v>
      </c>
      <c r="DN25">
        <f>SUMIF('Как есть'!$A101:$A108,Доп.расчеты!$A25,'Как есть'!DO101:DO108)</f>
        <v>0</v>
      </c>
      <c r="DO25">
        <f>SUMIF('Как есть'!$A101:$A108,Доп.расчеты!$A25,'Как есть'!DP101:DP108)</f>
        <v>0</v>
      </c>
      <c r="DP25">
        <f>SUMIF('Как есть'!$A101:$A108,Доп.расчеты!$A25,'Как есть'!DQ101:DQ108)</f>
        <v>0</v>
      </c>
      <c r="DQ25">
        <f>SUMIF('Как есть'!$A101:$A108,Доп.расчеты!$A25,'Как есть'!DR101:DR108)</f>
        <v>0</v>
      </c>
      <c r="DR25">
        <f>SUMIF('Как есть'!$A101:$A108,Доп.расчеты!$A25,'Как есть'!DS101:DS108)</f>
        <v>0</v>
      </c>
      <c r="DS25">
        <f>SUMIF('Как есть'!$A101:$A108,Доп.расчеты!$A25,'Как есть'!DT101:DT108)</f>
        <v>0</v>
      </c>
      <c r="DT25">
        <f>SUMIF('Как есть'!$A101:$A108,Доп.расчеты!$A25,'Как есть'!DU101:DU108)</f>
        <v>0</v>
      </c>
      <c r="DU25">
        <f>SUMIF('Как есть'!$A101:$A108,Доп.расчеты!$A25,'Как есть'!DV101:DV108)</f>
        <v>0</v>
      </c>
      <c r="DV25">
        <f>SUMIF('Как есть'!$A101:$A108,Доп.расчеты!$A25,'Как есть'!DW101:DW108)</f>
        <v>0</v>
      </c>
      <c r="DW25">
        <f>SUMIF('Как есть'!$A101:$A108,Доп.расчеты!$A25,'Как есть'!DX101:DX108)</f>
        <v>0</v>
      </c>
      <c r="DX25">
        <f>SUMIF('Как есть'!$A101:$A108,Доп.расчеты!$A25,'Как есть'!DY101:DY108)</f>
        <v>0</v>
      </c>
      <c r="DY25">
        <f>SUMIF('Как есть'!$A101:$A108,Доп.расчеты!$A25,'Как есть'!DZ101:DZ108)</f>
        <v>0</v>
      </c>
      <c r="DZ25">
        <f>SUMIF('Как есть'!$A101:$A108,Доп.расчеты!$A25,'Как есть'!EA101:EA108)</f>
        <v>0</v>
      </c>
      <c r="EA25">
        <f>SUMIF('Как есть'!$A101:$A108,Доп.расчеты!$A25,'Как есть'!EB101:EB108)</f>
        <v>0</v>
      </c>
      <c r="EB25">
        <f>SUMIF('Как есть'!$A101:$A108,Доп.расчеты!$A25,'Как есть'!EC101:EC108)</f>
        <v>0</v>
      </c>
      <c r="EC25">
        <f>SUMIF('Как есть'!$A101:$A108,Доп.расчеты!$A25,'Как есть'!ED101:ED108)</f>
        <v>0</v>
      </c>
      <c r="ED25">
        <f>SUMIF('Как есть'!$A101:$A108,Доп.расчеты!$A25,'Как есть'!EE101:EE108)</f>
        <v>0</v>
      </c>
      <c r="EE25">
        <f>SUMIF('Как есть'!$A101:$A108,Доп.расчеты!$A25,'Как есть'!EF101:EF108)</f>
        <v>0</v>
      </c>
      <c r="EF25">
        <f>SUMIF('Как есть'!$A101:$A108,Доп.расчеты!$A25,'Как есть'!EG101:EG108)</f>
        <v>0</v>
      </c>
      <c r="EG25">
        <f>SUMIF('Как есть'!$A101:$A108,Доп.расчеты!$A25,'Как есть'!EH101:EH108)</f>
        <v>0</v>
      </c>
      <c r="EH25">
        <f>SUMIF('Как есть'!$A101:$A108,Доп.расчеты!$A25,'Как есть'!EI101:EI108)</f>
        <v>0</v>
      </c>
      <c r="EI25">
        <f>SUMIF('Как есть'!$A101:$A108,Доп.расчеты!$A25,'Как есть'!EJ101:EJ108)</f>
        <v>0</v>
      </c>
      <c r="EJ25">
        <f>SUMIF('Как есть'!$A101:$A108,Доп.расчеты!$A25,'Как есть'!EK101:EK108)</f>
        <v>0</v>
      </c>
      <c r="EK25">
        <f>SUMIF('Как есть'!$A101:$A108,Доп.расчеты!$A25,'Как есть'!EL101:EL108)</f>
        <v>0</v>
      </c>
      <c r="EL25">
        <f>SUMIF('Как есть'!$A101:$A108,Доп.расчеты!$A25,'Как есть'!EM101:EM108)</f>
        <v>0</v>
      </c>
      <c r="EM25">
        <f>SUMIF('Как есть'!$A101:$A108,Доп.расчеты!$A25,'Как есть'!EN101:EN108)</f>
        <v>0</v>
      </c>
      <c r="EN25">
        <f>SUMIF('Как есть'!$A101:$A108,Доп.расчеты!$A25,'Как есть'!EO101:EO108)</f>
        <v>0</v>
      </c>
      <c r="EO25">
        <f>SUMIF('Как есть'!$A101:$A108,Доп.расчеты!$A25,'Как есть'!EP101:EP108)</f>
        <v>0</v>
      </c>
      <c r="EP25">
        <f>SUMIF('Как есть'!$A101:$A108,Доп.расчеты!$A25,'Как есть'!EQ101:EQ108)</f>
        <v>0</v>
      </c>
      <c r="EQ25">
        <f>SUMIF('Как есть'!$A101:$A108,Доп.расчеты!$A25,'Как есть'!ER101:ER108)</f>
        <v>0</v>
      </c>
      <c r="ER25">
        <f>SUMIF('Как есть'!$A101:$A108,Доп.расчеты!$A25,'Как есть'!ES101:ES108)</f>
        <v>0</v>
      </c>
      <c r="ES25">
        <f>SUMIF('Как есть'!$A101:$A108,Доп.расчеты!$A25,'Как есть'!ET101:ET108)</f>
        <v>0</v>
      </c>
      <c r="ET25">
        <f>SUMIF('Как есть'!$A101:$A108,Доп.расчеты!$A25,'Как есть'!EU101:EU108)</f>
        <v>0</v>
      </c>
      <c r="EU25">
        <f>SUMIF('Как есть'!$A101:$A108,Доп.расчеты!$A25,'Как есть'!EV101:EV108)</f>
        <v>0</v>
      </c>
      <c r="EV25">
        <f>SUMIF('Как есть'!$A101:$A108,Доп.расчеты!$A25,'Как есть'!EW101:EW108)</f>
        <v>0</v>
      </c>
      <c r="EW25">
        <f>SUMIF('Как есть'!$A101:$A108,Доп.расчеты!$A25,'Как есть'!EX101:EX108)</f>
        <v>0</v>
      </c>
      <c r="EX25">
        <f>SUMIF('Как есть'!$A101:$A108,Доп.расчеты!$A25,'Как есть'!EY101:EY108)</f>
        <v>0</v>
      </c>
      <c r="EY25">
        <f>SUMIF('Как есть'!$A101:$A108,Доп.расчеты!$A25,'Как есть'!EZ101:EZ108)</f>
        <v>0</v>
      </c>
      <c r="EZ25">
        <f>SUMIF('Как есть'!$A101:$A108,Доп.расчеты!$A25,'Как есть'!FA101:FA108)</f>
        <v>0</v>
      </c>
      <c r="FA25">
        <f>SUMIF('Как есть'!$A101:$A108,Доп.расчеты!$A25,'Как есть'!FB101:FB108)</f>
        <v>0</v>
      </c>
      <c r="FB25">
        <f>SUMIF('Как есть'!$A101:$A108,Доп.расчеты!$A25,'Как есть'!FC101:FC108)</f>
        <v>0</v>
      </c>
      <c r="FC25">
        <f>SUMIF('Как есть'!$A101:$A108,Доп.расчеты!$A25,'Как есть'!FD101:FD108)</f>
        <v>0</v>
      </c>
      <c r="FD25">
        <f>SUMIF('Как есть'!$A101:$A108,Доп.расчеты!$A25,'Как есть'!FE101:FE108)</f>
        <v>0</v>
      </c>
      <c r="FE25">
        <f>SUMIF('Как есть'!$A101:$A108,Доп.расчеты!$A25,'Как есть'!FF101:FF108)</f>
        <v>0</v>
      </c>
      <c r="FF25">
        <f>SUMIF('Как есть'!$A101:$A108,Доп.расчеты!$A25,'Как есть'!FG101:FG108)</f>
        <v>0</v>
      </c>
      <c r="FG25">
        <f>SUMIF('Как есть'!$A101:$A108,Доп.расчеты!$A25,'Как есть'!FH101:FH108)</f>
        <v>0</v>
      </c>
      <c r="FH25">
        <f>SUMIF('Как есть'!$A101:$A108,Доп.расчеты!$A25,'Как есть'!FI101:FI108)</f>
        <v>0</v>
      </c>
      <c r="FI25">
        <f>SUMIF('Как есть'!$A101:$A108,Доп.расчеты!$A25,'Как есть'!FJ101:FJ108)</f>
        <v>0</v>
      </c>
      <c r="FJ25">
        <f>SUMIF('Как есть'!$A101:$A108,Доп.расчеты!$A25,'Как есть'!FK101:FK108)</f>
        <v>0</v>
      </c>
      <c r="FK25">
        <f>SUMIF('Как есть'!$A101:$A108,Доп.расчеты!$A25,'Как есть'!FL101:FL108)</f>
        <v>0</v>
      </c>
      <c r="FL25">
        <f>SUMIF('Как есть'!$A101:$A108,Доп.расчеты!$A25,'Как есть'!FM101:FM108)</f>
        <v>0</v>
      </c>
      <c r="FM25">
        <f>SUMIF('Как есть'!$A101:$A108,Доп.расчеты!$A25,'Как есть'!FN101:FN108)</f>
        <v>0</v>
      </c>
      <c r="FN25">
        <f>SUMIF('Как есть'!$A101:$A108,Доп.расчеты!$A25,'Как есть'!FO101:FO108)</f>
        <v>0</v>
      </c>
      <c r="FO25">
        <f>SUMIF('Как есть'!$A101:$A108,Доп.расчеты!$A25,'Как есть'!FP101:FP108)</f>
        <v>0</v>
      </c>
      <c r="FP25">
        <f>SUMIF('Как есть'!$A101:$A108,Доп.расчеты!$A25,'Как есть'!FQ101:FQ108)</f>
        <v>0</v>
      </c>
      <c r="FQ25">
        <f>SUMIF('Как есть'!$A101:$A108,Доп.расчеты!$A25,'Как есть'!FR101:FR108)</f>
        <v>0</v>
      </c>
      <c r="FR25">
        <f>SUMIF('Как есть'!$A101:$A108,Доп.расчеты!$A25,'Как есть'!FS101:FS108)</f>
        <v>0</v>
      </c>
      <c r="FS25">
        <f>SUMIF('Как есть'!$A101:$A108,Доп.расчеты!$A25,'Как есть'!FT101:FT108)</f>
        <v>0</v>
      </c>
      <c r="FT25">
        <f>SUMIF('Как есть'!$A101:$A108,Доп.расчеты!$A25,'Как есть'!FU101:FU108)</f>
        <v>0</v>
      </c>
      <c r="FU25">
        <f>SUMIF('Как есть'!$A101:$A108,Доп.расчеты!$A25,'Как есть'!FV101:FV108)</f>
        <v>0</v>
      </c>
      <c r="FV25">
        <f>SUMIF('Как есть'!$A101:$A108,Доп.расчеты!$A25,'Как есть'!FW101:FW108)</f>
        <v>0</v>
      </c>
      <c r="FW25">
        <f>SUMIF('Как есть'!$A101:$A108,Доп.расчеты!$A25,'Как есть'!FX101:FX108)</f>
        <v>0</v>
      </c>
      <c r="FX25">
        <f>SUMIF('Как есть'!$A101:$A108,Доп.расчеты!$A25,'Как есть'!FY101:FY108)</f>
        <v>0</v>
      </c>
      <c r="FY25">
        <f>SUMIF('Как есть'!$A101:$A108,Доп.расчеты!$A25,'Как есть'!FZ101:FZ108)</f>
        <v>0</v>
      </c>
      <c r="FZ25">
        <f>SUMIF('Как есть'!$A101:$A108,Доп.расчеты!$A25,'Как есть'!GA101:GA108)</f>
        <v>0</v>
      </c>
      <c r="GA25">
        <f>SUMIF('Как есть'!$A101:$A108,Доп.расчеты!$A25,'Как есть'!GB101:GB108)</f>
        <v>0</v>
      </c>
      <c r="GB25">
        <f>SUMIF('Как есть'!$A101:$A108,Доп.расчеты!$A25,'Как есть'!GC101:GC108)</f>
        <v>0</v>
      </c>
      <c r="GC25">
        <f>SUMIF('Как есть'!$A101:$A108,Доп.расчеты!$A25,'Как есть'!GD101:GD108)</f>
        <v>0</v>
      </c>
      <c r="GD25">
        <f>SUMIF('Как есть'!$A101:$A108,Доп.расчеты!$A25,'Как есть'!GE101:GE108)</f>
        <v>0</v>
      </c>
      <c r="GE25">
        <f>SUMIF('Как есть'!$A101:$A108,Доп.расчеты!$A25,'Как есть'!GF101:GF108)</f>
        <v>0</v>
      </c>
      <c r="GF25">
        <f>SUMIF('Как есть'!$A101:$A108,Доп.расчеты!$A25,'Как есть'!GG101:GG108)</f>
        <v>0</v>
      </c>
      <c r="GG25">
        <f>SUMIF('Как есть'!$A101:$A108,Доп.расчеты!$A25,'Как есть'!GH101:GH108)</f>
        <v>0</v>
      </c>
      <c r="GH25">
        <f>SUMIF('Как есть'!$A101:$A108,Доп.расчеты!$A25,'Как есть'!GI101:GI108)</f>
        <v>0</v>
      </c>
      <c r="GI25">
        <f>SUMIF('Как есть'!$A101:$A108,Доп.расчеты!$A25,'Как есть'!GJ101:GJ108)</f>
        <v>0</v>
      </c>
      <c r="GJ25">
        <f>SUMIF('Как есть'!$A101:$A108,Доп.расчеты!$A25,'Как есть'!GK101:GK108)</f>
        <v>0</v>
      </c>
      <c r="GK25">
        <f>SUMIF('Как есть'!$A101:$A108,Доп.расчеты!$A25,'Как есть'!GL101:GL108)</f>
        <v>0</v>
      </c>
      <c r="GL25">
        <f>SUMIF('Как есть'!$A101:$A108,Доп.расчеты!$A25,'Как есть'!GM101:GM108)</f>
        <v>0</v>
      </c>
      <c r="GM25">
        <f>SUMIF('Как есть'!$A101:$A108,Доп.расчеты!$A25,'Как есть'!GN101:GN108)</f>
        <v>0</v>
      </c>
      <c r="GN25">
        <f>SUMIF('Как есть'!$A101:$A108,Доп.расчеты!$A25,'Как есть'!GO101:GO108)</f>
        <v>0</v>
      </c>
      <c r="GO25">
        <f>SUMIF('Как есть'!$A101:$A108,Доп.расчеты!$A25,'Как есть'!GP101:GP108)</f>
        <v>0</v>
      </c>
      <c r="GP25">
        <f>SUMIF('Как есть'!$A101:$A108,Доп.расчеты!$A25,'Как есть'!GQ101:GQ108)</f>
        <v>0</v>
      </c>
      <c r="GQ25">
        <f>SUMIF('Как есть'!$A101:$A108,Доп.расчеты!$A25,'Как есть'!GR101:GR108)</f>
        <v>0</v>
      </c>
      <c r="GR25">
        <f>SUMIF('Как есть'!$A101:$A108,Доп.расчеты!$A25,'Как есть'!GS101:GS108)</f>
        <v>0</v>
      </c>
      <c r="GS25">
        <f>SUMIF('Как есть'!$A101:$A108,Доп.расчеты!$A25,'Как есть'!GT101:GT108)</f>
        <v>0</v>
      </c>
      <c r="GT25">
        <f>SUMIF('Как есть'!$A101:$A108,Доп.расчеты!$A25,'Как есть'!GU101:GU108)</f>
        <v>0</v>
      </c>
    </row>
    <row r="26" spans="1:202">
      <c r="A26" s="236" t="s">
        <v>12</v>
      </c>
      <c r="B26">
        <f>SUMIF('Как есть'!$A101:$A108,Доп.расчеты!$A26,'Как есть'!C101:C108)</f>
        <v>0</v>
      </c>
      <c r="C26">
        <f>SUMIF('Как есть'!$A101:$A108,Доп.расчеты!$A26,'Как есть'!D101:D108)</f>
        <v>0</v>
      </c>
      <c r="D26">
        <f>SUMIF('Как есть'!$A101:$A108,Доп.расчеты!$A26,'Как есть'!E101:E108)</f>
        <v>0</v>
      </c>
      <c r="E26">
        <f>SUMIF('Как есть'!$A101:$A108,Доп.расчеты!$A26,'Как есть'!F101:F108)</f>
        <v>0</v>
      </c>
      <c r="F26">
        <f>SUMIF('Как есть'!$A101:$A108,Доп.расчеты!$A26,'Как есть'!G101:G108)</f>
        <v>0</v>
      </c>
      <c r="G26">
        <f>SUMIF('Как есть'!$A101:$A108,Доп.расчеты!$A26,'Как есть'!H101:H108)</f>
        <v>0</v>
      </c>
      <c r="H26">
        <f>SUMIF('Как есть'!$A101:$A108,Доп.расчеты!$A26,'Как есть'!I101:I108)</f>
        <v>0</v>
      </c>
      <c r="I26">
        <f>SUMIF('Как есть'!$A101:$A108,Доп.расчеты!$A26,'Как есть'!J101:J108)</f>
        <v>0</v>
      </c>
      <c r="J26">
        <f>SUMIF('Как есть'!$A101:$A108,Доп.расчеты!$A26,'Как есть'!K101:K108)</f>
        <v>0</v>
      </c>
      <c r="K26">
        <f>SUMIF('Как есть'!$A101:$A108,Доп.расчеты!$A26,'Как есть'!L101:L108)</f>
        <v>0</v>
      </c>
      <c r="L26">
        <f>SUMIF('Как есть'!$A101:$A108,Доп.расчеты!$A26,'Как есть'!M101:M108)</f>
        <v>0</v>
      </c>
      <c r="M26">
        <f>SUMIF('Как есть'!$A101:$A108,Доп.расчеты!$A26,'Как есть'!N101:N108)</f>
        <v>0</v>
      </c>
      <c r="N26">
        <f>SUMIF('Как есть'!$A101:$A108,Доп.расчеты!$A26,'Как есть'!O101:O108)</f>
        <v>0</v>
      </c>
      <c r="O26">
        <f>SUMIF('Как есть'!$A101:$A108,Доп.расчеты!$A26,'Как есть'!P101:P108)</f>
        <v>0</v>
      </c>
      <c r="P26">
        <f>SUMIF('Как есть'!$A101:$A108,Доп.расчеты!$A26,'Как есть'!Q101:Q108)</f>
        <v>0</v>
      </c>
      <c r="Q26">
        <f>SUMIF('Как есть'!$A101:$A108,Доп.расчеты!$A26,'Как есть'!R101:R108)</f>
        <v>0</v>
      </c>
      <c r="R26">
        <f>SUMIF('Как есть'!$A101:$A108,Доп.расчеты!$A26,'Как есть'!S101:S108)</f>
        <v>0</v>
      </c>
      <c r="S26">
        <f>SUMIF('Как есть'!$A101:$A108,Доп.расчеты!$A26,'Как есть'!T101:T108)</f>
        <v>0</v>
      </c>
      <c r="T26">
        <f>SUMIF('Как есть'!$A101:$A108,Доп.расчеты!$A26,'Как есть'!U101:U108)</f>
        <v>0</v>
      </c>
      <c r="U26">
        <f>SUMIF('Как есть'!$A101:$A108,Доп.расчеты!$A26,'Как есть'!V101:V108)</f>
        <v>0</v>
      </c>
      <c r="V26">
        <f>SUMIF('Как есть'!$A101:$A108,Доп.расчеты!$A26,'Как есть'!W101:W108)</f>
        <v>0</v>
      </c>
      <c r="W26">
        <f>SUMIF('Как есть'!$A101:$A108,Доп.расчеты!$A26,'Как есть'!X101:X108)</f>
        <v>0</v>
      </c>
      <c r="X26">
        <f>SUMIF('Как есть'!$A101:$A108,Доп.расчеты!$A26,'Как есть'!Y101:Y108)</f>
        <v>0</v>
      </c>
      <c r="Y26">
        <f>SUMIF('Как есть'!$A101:$A108,Доп.расчеты!$A26,'Как есть'!Z101:Z108)</f>
        <v>0</v>
      </c>
      <c r="Z26">
        <f>SUMIF('Как есть'!$A101:$A108,Доп.расчеты!$A26,'Как есть'!AA101:AA108)</f>
        <v>0</v>
      </c>
      <c r="AA26">
        <f>SUMIF('Как есть'!$A101:$A108,Доп.расчеты!$A26,'Как есть'!AB101:AB108)</f>
        <v>0</v>
      </c>
      <c r="AB26">
        <f>SUMIF('Как есть'!$A101:$A108,Доп.расчеты!$A26,'Как есть'!AC101:AC108)</f>
        <v>0</v>
      </c>
      <c r="AC26">
        <f>SUMIF('Как есть'!$A101:$A108,Доп.расчеты!$A26,'Как есть'!AD101:AD108)</f>
        <v>0</v>
      </c>
      <c r="AD26">
        <f>SUMIF('Как есть'!$A101:$A108,Доп.расчеты!$A26,'Как есть'!AE101:AE108)</f>
        <v>0</v>
      </c>
      <c r="AE26">
        <f>SUMIF('Как есть'!$A101:$A108,Доп.расчеты!$A26,'Как есть'!AF101:AF108)</f>
        <v>0</v>
      </c>
      <c r="AF26">
        <f>SUMIF('Как есть'!$A101:$A108,Доп.расчеты!$A26,'Как есть'!AG101:AG108)</f>
        <v>0</v>
      </c>
      <c r="AG26">
        <f>SUMIF('Как есть'!$A101:$A108,Доп.расчеты!$A26,'Как есть'!AH101:AH108)</f>
        <v>0</v>
      </c>
      <c r="AH26">
        <f>SUMIF('Как есть'!$A101:$A108,Доп.расчеты!$A26,'Как есть'!AI101:AI108)</f>
        <v>0</v>
      </c>
      <c r="AI26">
        <f>SUMIF('Как есть'!$A101:$A108,Доп.расчеты!$A26,'Как есть'!AJ101:AJ108)</f>
        <v>0</v>
      </c>
      <c r="AJ26">
        <f>SUMIF('Как есть'!$A101:$A108,Доп.расчеты!$A26,'Как есть'!AK101:AK108)</f>
        <v>0</v>
      </c>
      <c r="AK26">
        <f>SUMIF('Как есть'!$A101:$A108,Доп.расчеты!$A26,'Как есть'!AL101:AL108)</f>
        <v>0</v>
      </c>
      <c r="AL26">
        <f>SUMIF('Как есть'!$A101:$A108,Доп.расчеты!$A26,'Как есть'!AM101:AM108)</f>
        <v>0</v>
      </c>
      <c r="AM26">
        <f>SUMIF('Как есть'!$A101:$A108,Доп.расчеты!$A26,'Как есть'!AN101:AN108)</f>
        <v>0</v>
      </c>
      <c r="AN26">
        <f>SUMIF('Как есть'!$A101:$A108,Доп.расчеты!$A26,'Как есть'!AO101:AO108)</f>
        <v>0</v>
      </c>
      <c r="AO26">
        <f>SUMIF('Как есть'!$A101:$A108,Доп.расчеты!$A26,'Как есть'!AP101:AP108)</f>
        <v>0</v>
      </c>
      <c r="AP26">
        <f>SUMIF('Как есть'!$A101:$A108,Доп.расчеты!$A26,'Как есть'!AQ101:AQ108)</f>
        <v>0</v>
      </c>
      <c r="AQ26">
        <f>SUMIF('Как есть'!$A101:$A108,Доп.расчеты!$A26,'Как есть'!AR101:AR108)</f>
        <v>0</v>
      </c>
      <c r="AR26">
        <f>SUMIF('Как есть'!$A101:$A108,Доп.расчеты!$A26,'Как есть'!AS101:AS108)</f>
        <v>0</v>
      </c>
      <c r="AS26">
        <f>SUMIF('Как есть'!$A101:$A108,Доп.расчеты!$A26,'Как есть'!AT101:AT108)</f>
        <v>0</v>
      </c>
      <c r="AT26">
        <f>SUMIF('Как есть'!$A101:$A108,Доп.расчеты!$A26,'Как есть'!AU101:AU108)</f>
        <v>0</v>
      </c>
      <c r="AU26">
        <f>SUMIF('Как есть'!$A101:$A108,Доп.расчеты!$A26,'Как есть'!AV101:AV108)</f>
        <v>0</v>
      </c>
      <c r="AV26">
        <f>SUMIF('Как есть'!$A101:$A108,Доп.расчеты!$A26,'Как есть'!AW101:AW108)</f>
        <v>0</v>
      </c>
      <c r="AW26">
        <f>SUMIF('Как есть'!$A101:$A108,Доп.расчеты!$A26,'Как есть'!AX101:AX108)</f>
        <v>0</v>
      </c>
      <c r="AX26">
        <f>SUMIF('Как есть'!$A101:$A108,Доп.расчеты!$A26,'Как есть'!AY101:AY108)</f>
        <v>0</v>
      </c>
      <c r="AY26">
        <f>SUMIF('Как есть'!$A101:$A108,Доп.расчеты!$A26,'Как есть'!AZ101:AZ108)</f>
        <v>0</v>
      </c>
      <c r="AZ26">
        <f>SUMIF('Как есть'!$A101:$A108,Доп.расчеты!$A26,'Как есть'!BA101:BA108)</f>
        <v>0</v>
      </c>
      <c r="BA26">
        <f>SUMIF('Как есть'!$A101:$A108,Доп.расчеты!$A26,'Как есть'!BB101:BB108)</f>
        <v>0</v>
      </c>
      <c r="BB26">
        <f>SUMIF('Как есть'!$A101:$A108,Доп.расчеты!$A26,'Как есть'!BC101:BC108)</f>
        <v>0</v>
      </c>
      <c r="BC26">
        <f>SUMIF('Как есть'!$A101:$A108,Доп.расчеты!$A26,'Как есть'!BD101:BD108)</f>
        <v>0</v>
      </c>
      <c r="BD26">
        <f>SUMIF('Как есть'!$A101:$A108,Доп.расчеты!$A26,'Как есть'!BE101:BE108)</f>
        <v>0</v>
      </c>
      <c r="BE26">
        <f>SUMIF('Как есть'!$A101:$A108,Доп.расчеты!$A26,'Как есть'!BF101:BF108)</f>
        <v>0</v>
      </c>
      <c r="BF26">
        <f>SUMIF('Как есть'!$A101:$A108,Доп.расчеты!$A26,'Как есть'!BG101:BG108)</f>
        <v>0</v>
      </c>
      <c r="BG26">
        <f>SUMIF('Как есть'!$A101:$A108,Доп.расчеты!$A26,'Как есть'!BH101:BH108)</f>
        <v>0</v>
      </c>
      <c r="BH26">
        <f>SUMIF('Как есть'!$A101:$A108,Доп.расчеты!$A26,'Как есть'!BI101:BI108)</f>
        <v>0</v>
      </c>
      <c r="BI26">
        <f>SUMIF('Как есть'!$A101:$A108,Доп.расчеты!$A26,'Как есть'!BJ101:BJ108)</f>
        <v>0</v>
      </c>
      <c r="BJ26">
        <f>SUMIF('Как есть'!$A101:$A108,Доп.расчеты!$A26,'Как есть'!BK101:BK108)</f>
        <v>0</v>
      </c>
      <c r="BK26">
        <f>SUMIF('Как есть'!$A101:$A108,Доп.расчеты!$A26,'Как есть'!BL101:BL108)</f>
        <v>0</v>
      </c>
      <c r="BL26">
        <f>SUMIF('Как есть'!$A101:$A108,Доп.расчеты!$A26,'Как есть'!BM101:BM108)</f>
        <v>0</v>
      </c>
      <c r="BM26">
        <f>SUMIF('Как есть'!$A101:$A108,Доп.расчеты!$A26,'Как есть'!BN101:BN108)</f>
        <v>0</v>
      </c>
      <c r="BN26">
        <f>SUMIF('Как есть'!$A101:$A108,Доп.расчеты!$A26,'Как есть'!BO101:BO108)</f>
        <v>0</v>
      </c>
      <c r="BO26">
        <f>SUMIF('Как есть'!$A101:$A108,Доп.расчеты!$A26,'Как есть'!BP101:BP108)</f>
        <v>0</v>
      </c>
      <c r="BP26">
        <f>SUMIF('Как есть'!$A101:$A108,Доп.расчеты!$A26,'Как есть'!BQ101:BQ108)</f>
        <v>0</v>
      </c>
      <c r="BQ26">
        <f>SUMIF('Как есть'!$A101:$A108,Доп.расчеты!$A26,'Как есть'!BR101:BR108)</f>
        <v>0</v>
      </c>
      <c r="BR26">
        <f>SUMIF('Как есть'!$A101:$A108,Доп.расчеты!$A26,'Как есть'!BS101:BS108)</f>
        <v>0</v>
      </c>
      <c r="BS26">
        <f>SUMIF('Как есть'!$A101:$A108,Доп.расчеты!$A26,'Как есть'!BT101:BT108)</f>
        <v>0</v>
      </c>
      <c r="BT26">
        <f>SUMIF('Как есть'!$A101:$A108,Доп.расчеты!$A26,'Как есть'!BU101:BU108)</f>
        <v>0</v>
      </c>
      <c r="BU26">
        <f>SUMIF('Как есть'!$A101:$A108,Доп.расчеты!$A26,'Как есть'!BV101:BV108)</f>
        <v>0</v>
      </c>
      <c r="BV26">
        <f>SUMIF('Как есть'!$A101:$A108,Доп.расчеты!$A26,'Как есть'!BW101:BW108)</f>
        <v>0</v>
      </c>
      <c r="BW26">
        <f>SUMIF('Как есть'!$A101:$A108,Доп.расчеты!$A26,'Как есть'!BX101:BX108)</f>
        <v>0</v>
      </c>
      <c r="BX26">
        <f>SUMIF('Как есть'!$A101:$A108,Доп.расчеты!$A26,'Как есть'!BY101:BY108)</f>
        <v>0</v>
      </c>
      <c r="BY26">
        <f>SUMIF('Как есть'!$A101:$A108,Доп.расчеты!$A26,'Как есть'!BZ101:BZ108)</f>
        <v>0</v>
      </c>
      <c r="BZ26">
        <f>SUMIF('Как есть'!$A101:$A108,Доп.расчеты!$A26,'Как есть'!CA101:CA108)</f>
        <v>0</v>
      </c>
      <c r="CA26">
        <f>SUMIF('Как есть'!$A101:$A108,Доп.расчеты!$A26,'Как есть'!CB101:CB108)</f>
        <v>0</v>
      </c>
      <c r="CB26">
        <f>SUMIF('Как есть'!$A101:$A108,Доп.расчеты!$A26,'Как есть'!CC101:CC108)</f>
        <v>0</v>
      </c>
      <c r="CC26">
        <f>SUMIF('Как есть'!$A101:$A108,Доп.расчеты!$A26,'Как есть'!CD101:CD108)</f>
        <v>0</v>
      </c>
      <c r="CD26">
        <f>SUMIF('Как есть'!$A101:$A108,Доп.расчеты!$A26,'Как есть'!CE101:CE108)</f>
        <v>0</v>
      </c>
      <c r="CE26">
        <f>SUMIF('Как есть'!$A101:$A108,Доп.расчеты!$A26,'Как есть'!CF101:CF108)</f>
        <v>0</v>
      </c>
      <c r="CF26">
        <f>SUMIF('Как есть'!$A101:$A108,Доп.расчеты!$A26,'Как есть'!CG101:CG108)</f>
        <v>0</v>
      </c>
      <c r="CG26">
        <f>SUMIF('Как есть'!$A101:$A108,Доп.расчеты!$A26,'Как есть'!CH101:CH108)</f>
        <v>0</v>
      </c>
      <c r="CH26">
        <f>SUMIF('Как есть'!$A101:$A108,Доп.расчеты!$A26,'Как есть'!CI101:CI108)</f>
        <v>0</v>
      </c>
      <c r="CI26">
        <f>SUMIF('Как есть'!$A101:$A108,Доп.расчеты!$A26,'Как есть'!CJ101:CJ108)</f>
        <v>0</v>
      </c>
      <c r="CJ26">
        <f>SUMIF('Как есть'!$A101:$A108,Доп.расчеты!$A26,'Как есть'!CK101:CK108)</f>
        <v>0</v>
      </c>
      <c r="CK26">
        <f>SUMIF('Как есть'!$A101:$A108,Доп.расчеты!$A26,'Как есть'!CL101:CL108)</f>
        <v>0</v>
      </c>
      <c r="CL26">
        <f>SUMIF('Как есть'!$A101:$A108,Доп.расчеты!$A26,'Как есть'!CM101:CM108)</f>
        <v>0</v>
      </c>
      <c r="CM26">
        <f>SUMIF('Как есть'!$A101:$A108,Доп.расчеты!$A26,'Как есть'!CN101:CN108)</f>
        <v>0</v>
      </c>
      <c r="CN26">
        <f>SUMIF('Как есть'!$A101:$A108,Доп.расчеты!$A26,'Как есть'!CO101:CO108)</f>
        <v>0</v>
      </c>
      <c r="CO26">
        <f>SUMIF('Как есть'!$A101:$A108,Доп.расчеты!$A26,'Как есть'!CP101:CP108)</f>
        <v>0</v>
      </c>
      <c r="CP26">
        <f>SUMIF('Как есть'!$A101:$A108,Доп.расчеты!$A26,'Как есть'!CQ101:CQ108)</f>
        <v>0</v>
      </c>
      <c r="CQ26">
        <f>SUMIF('Как есть'!$A101:$A108,Доп.расчеты!$A26,'Как есть'!CR101:CR108)</f>
        <v>0</v>
      </c>
      <c r="CR26">
        <f>SUMIF('Как есть'!$A101:$A108,Доп.расчеты!$A26,'Как есть'!CS101:CS108)</f>
        <v>0</v>
      </c>
      <c r="CS26">
        <f>SUMIF('Как есть'!$A101:$A108,Доп.расчеты!$A26,'Как есть'!CT101:CT108)</f>
        <v>0</v>
      </c>
      <c r="CT26">
        <f>SUMIF('Как есть'!$A101:$A108,Доп.расчеты!$A26,'Как есть'!CU101:CU108)</f>
        <v>0</v>
      </c>
      <c r="CU26">
        <f>SUMIF('Как есть'!$A101:$A108,Доп.расчеты!$A26,'Как есть'!CV101:CV108)</f>
        <v>0</v>
      </c>
      <c r="CV26">
        <f>SUMIF('Как есть'!$A101:$A108,Доп.расчеты!$A26,'Как есть'!CW101:CW108)</f>
        <v>0</v>
      </c>
      <c r="CW26">
        <f>SUMIF('Как есть'!$A101:$A108,Доп.расчеты!$A26,'Как есть'!CX101:CX108)</f>
        <v>0</v>
      </c>
      <c r="CX26">
        <f>SUMIF('Как есть'!$A101:$A108,Доп.расчеты!$A26,'Как есть'!CY101:CY108)</f>
        <v>0</v>
      </c>
      <c r="CY26">
        <f>SUMIF('Как есть'!$A101:$A108,Доп.расчеты!$A26,'Как есть'!CZ101:CZ108)</f>
        <v>0</v>
      </c>
      <c r="CZ26">
        <f>SUMIF('Как есть'!$A101:$A108,Доп.расчеты!$A26,'Как есть'!DA101:DA108)</f>
        <v>0</v>
      </c>
      <c r="DA26">
        <f>SUMIF('Как есть'!$A101:$A108,Доп.расчеты!$A26,'Как есть'!DB101:DB108)</f>
        <v>0</v>
      </c>
      <c r="DB26">
        <f>SUMIF('Как есть'!$A101:$A108,Доп.расчеты!$A26,'Как есть'!DC101:DC108)</f>
        <v>0</v>
      </c>
      <c r="DC26">
        <f>SUMIF('Как есть'!$A101:$A108,Доп.расчеты!$A26,'Как есть'!DD101:DD108)</f>
        <v>0</v>
      </c>
      <c r="DD26">
        <f>SUMIF('Как есть'!$A101:$A108,Доп.расчеты!$A26,'Как есть'!DE101:DE108)</f>
        <v>0</v>
      </c>
      <c r="DE26">
        <f>SUMIF('Как есть'!$A101:$A108,Доп.расчеты!$A26,'Как есть'!DF101:DF108)</f>
        <v>0</v>
      </c>
      <c r="DF26">
        <f>SUMIF('Как есть'!$A101:$A108,Доп.расчеты!$A26,'Как есть'!DG101:DG108)</f>
        <v>0</v>
      </c>
      <c r="DG26">
        <f>SUMIF('Как есть'!$A101:$A108,Доп.расчеты!$A26,'Как есть'!DH101:DH108)</f>
        <v>0</v>
      </c>
      <c r="DH26">
        <f>SUMIF('Как есть'!$A101:$A108,Доп.расчеты!$A26,'Как есть'!DI101:DI108)</f>
        <v>0</v>
      </c>
      <c r="DI26">
        <f>SUMIF('Как есть'!$A101:$A108,Доп.расчеты!$A26,'Как есть'!DJ101:DJ108)</f>
        <v>0</v>
      </c>
      <c r="DJ26">
        <f>SUMIF('Как есть'!$A101:$A108,Доп.расчеты!$A26,'Как есть'!DK101:DK108)</f>
        <v>0</v>
      </c>
      <c r="DK26">
        <f>SUMIF('Как есть'!$A101:$A108,Доп.расчеты!$A26,'Как есть'!DL101:DL108)</f>
        <v>0</v>
      </c>
      <c r="DL26">
        <f>SUMIF('Как есть'!$A101:$A108,Доп.расчеты!$A26,'Как есть'!DM101:DM108)</f>
        <v>0</v>
      </c>
      <c r="DM26">
        <f>SUMIF('Как есть'!$A101:$A108,Доп.расчеты!$A26,'Как есть'!DN101:DN108)</f>
        <v>0</v>
      </c>
      <c r="DN26">
        <f>SUMIF('Как есть'!$A101:$A108,Доп.расчеты!$A26,'Как есть'!DO101:DO108)</f>
        <v>0</v>
      </c>
      <c r="DO26">
        <f>SUMIF('Как есть'!$A101:$A108,Доп.расчеты!$A26,'Как есть'!DP101:DP108)</f>
        <v>0</v>
      </c>
      <c r="DP26">
        <f>SUMIF('Как есть'!$A101:$A108,Доп.расчеты!$A26,'Как есть'!DQ101:DQ108)</f>
        <v>0</v>
      </c>
      <c r="DQ26">
        <f>SUMIF('Как есть'!$A101:$A108,Доп.расчеты!$A26,'Как есть'!DR101:DR108)</f>
        <v>0</v>
      </c>
      <c r="DR26">
        <f>SUMIF('Как есть'!$A101:$A108,Доп.расчеты!$A26,'Как есть'!DS101:DS108)</f>
        <v>0</v>
      </c>
      <c r="DS26">
        <f>SUMIF('Как есть'!$A101:$A108,Доп.расчеты!$A26,'Как есть'!DT101:DT108)</f>
        <v>0</v>
      </c>
      <c r="DT26">
        <f>SUMIF('Как есть'!$A101:$A108,Доп.расчеты!$A26,'Как есть'!DU101:DU108)</f>
        <v>0</v>
      </c>
      <c r="DU26">
        <f>SUMIF('Как есть'!$A101:$A108,Доп.расчеты!$A26,'Как есть'!DV101:DV108)</f>
        <v>0</v>
      </c>
      <c r="DV26">
        <f>SUMIF('Как есть'!$A101:$A108,Доп.расчеты!$A26,'Как есть'!DW101:DW108)</f>
        <v>0</v>
      </c>
      <c r="DW26">
        <f>SUMIF('Как есть'!$A101:$A108,Доп.расчеты!$A26,'Как есть'!DX101:DX108)</f>
        <v>0</v>
      </c>
      <c r="DX26">
        <f>SUMIF('Как есть'!$A101:$A108,Доп.расчеты!$A26,'Как есть'!DY101:DY108)</f>
        <v>0</v>
      </c>
      <c r="DY26">
        <f>SUMIF('Как есть'!$A101:$A108,Доп.расчеты!$A26,'Как есть'!DZ101:DZ108)</f>
        <v>0</v>
      </c>
      <c r="DZ26">
        <f>SUMIF('Как есть'!$A101:$A108,Доп.расчеты!$A26,'Как есть'!EA101:EA108)</f>
        <v>0</v>
      </c>
      <c r="EA26">
        <f>SUMIF('Как есть'!$A101:$A108,Доп.расчеты!$A26,'Как есть'!EB101:EB108)</f>
        <v>0</v>
      </c>
      <c r="EB26">
        <f>SUMIF('Как есть'!$A101:$A108,Доп.расчеты!$A26,'Как есть'!EC101:EC108)</f>
        <v>0</v>
      </c>
      <c r="EC26">
        <f>SUMIF('Как есть'!$A101:$A108,Доп.расчеты!$A26,'Как есть'!ED101:ED108)</f>
        <v>0</v>
      </c>
      <c r="ED26">
        <f>SUMIF('Как есть'!$A101:$A108,Доп.расчеты!$A26,'Как есть'!EE101:EE108)</f>
        <v>0</v>
      </c>
      <c r="EE26">
        <f>SUMIF('Как есть'!$A101:$A108,Доп.расчеты!$A26,'Как есть'!EF101:EF108)</f>
        <v>0</v>
      </c>
      <c r="EF26">
        <f>SUMIF('Как есть'!$A101:$A108,Доп.расчеты!$A26,'Как есть'!EG101:EG108)</f>
        <v>0</v>
      </c>
      <c r="EG26">
        <f>SUMIF('Как есть'!$A101:$A108,Доп.расчеты!$A26,'Как есть'!EH101:EH108)</f>
        <v>0</v>
      </c>
      <c r="EH26">
        <f>SUMIF('Как есть'!$A101:$A108,Доп.расчеты!$A26,'Как есть'!EI101:EI108)</f>
        <v>0</v>
      </c>
      <c r="EI26">
        <f>SUMIF('Как есть'!$A101:$A108,Доп.расчеты!$A26,'Как есть'!EJ101:EJ108)</f>
        <v>0</v>
      </c>
      <c r="EJ26">
        <f>SUMIF('Как есть'!$A101:$A108,Доп.расчеты!$A26,'Как есть'!EK101:EK108)</f>
        <v>0</v>
      </c>
      <c r="EK26">
        <f>SUMIF('Как есть'!$A101:$A108,Доп.расчеты!$A26,'Как есть'!EL101:EL108)</f>
        <v>0</v>
      </c>
      <c r="EL26">
        <f>SUMIF('Как есть'!$A101:$A108,Доп.расчеты!$A26,'Как есть'!EM101:EM108)</f>
        <v>0</v>
      </c>
      <c r="EM26">
        <f>SUMIF('Как есть'!$A101:$A108,Доп.расчеты!$A26,'Как есть'!EN101:EN108)</f>
        <v>0</v>
      </c>
      <c r="EN26">
        <f>SUMIF('Как есть'!$A101:$A108,Доп.расчеты!$A26,'Как есть'!EO101:EO108)</f>
        <v>0</v>
      </c>
      <c r="EO26">
        <f>SUMIF('Как есть'!$A101:$A108,Доп.расчеты!$A26,'Как есть'!EP101:EP108)</f>
        <v>0</v>
      </c>
      <c r="EP26">
        <f>SUMIF('Как есть'!$A101:$A108,Доп.расчеты!$A26,'Как есть'!EQ101:EQ108)</f>
        <v>0</v>
      </c>
      <c r="EQ26">
        <f>SUMIF('Как есть'!$A101:$A108,Доп.расчеты!$A26,'Как есть'!ER101:ER108)</f>
        <v>0</v>
      </c>
      <c r="ER26">
        <f>SUMIF('Как есть'!$A101:$A108,Доп.расчеты!$A26,'Как есть'!ES101:ES108)</f>
        <v>0</v>
      </c>
      <c r="ES26">
        <f>SUMIF('Как есть'!$A101:$A108,Доп.расчеты!$A26,'Как есть'!ET101:ET108)</f>
        <v>0</v>
      </c>
      <c r="ET26">
        <f>SUMIF('Как есть'!$A101:$A108,Доп.расчеты!$A26,'Как есть'!EU101:EU108)</f>
        <v>0</v>
      </c>
      <c r="EU26">
        <f>SUMIF('Как есть'!$A101:$A108,Доп.расчеты!$A26,'Как есть'!EV101:EV108)</f>
        <v>0</v>
      </c>
      <c r="EV26">
        <f>SUMIF('Как есть'!$A101:$A108,Доп.расчеты!$A26,'Как есть'!EW101:EW108)</f>
        <v>0</v>
      </c>
      <c r="EW26">
        <f>SUMIF('Как есть'!$A101:$A108,Доп.расчеты!$A26,'Как есть'!EX101:EX108)</f>
        <v>0</v>
      </c>
      <c r="EX26">
        <f>SUMIF('Как есть'!$A101:$A108,Доп.расчеты!$A26,'Как есть'!EY101:EY108)</f>
        <v>0</v>
      </c>
      <c r="EY26">
        <f>SUMIF('Как есть'!$A101:$A108,Доп.расчеты!$A26,'Как есть'!EZ101:EZ108)</f>
        <v>0</v>
      </c>
      <c r="EZ26">
        <f>SUMIF('Как есть'!$A101:$A108,Доп.расчеты!$A26,'Как есть'!FA101:FA108)</f>
        <v>0</v>
      </c>
      <c r="FA26">
        <f>SUMIF('Как есть'!$A101:$A108,Доп.расчеты!$A26,'Как есть'!FB101:FB108)</f>
        <v>0</v>
      </c>
      <c r="FB26">
        <f>SUMIF('Как есть'!$A101:$A108,Доп.расчеты!$A26,'Как есть'!FC101:FC108)</f>
        <v>0</v>
      </c>
      <c r="FC26">
        <f>SUMIF('Как есть'!$A101:$A108,Доп.расчеты!$A26,'Как есть'!FD101:FD108)</f>
        <v>0</v>
      </c>
      <c r="FD26">
        <f>SUMIF('Как есть'!$A101:$A108,Доп.расчеты!$A26,'Как есть'!FE101:FE108)</f>
        <v>0</v>
      </c>
      <c r="FE26">
        <f>SUMIF('Как есть'!$A101:$A108,Доп.расчеты!$A26,'Как есть'!FF101:FF108)</f>
        <v>0</v>
      </c>
      <c r="FF26">
        <f>SUMIF('Как есть'!$A101:$A108,Доп.расчеты!$A26,'Как есть'!FG101:FG108)</f>
        <v>0</v>
      </c>
      <c r="FG26">
        <f>SUMIF('Как есть'!$A101:$A108,Доп.расчеты!$A26,'Как есть'!FH101:FH108)</f>
        <v>0</v>
      </c>
      <c r="FH26">
        <f>SUMIF('Как есть'!$A101:$A108,Доп.расчеты!$A26,'Как есть'!FI101:FI108)</f>
        <v>0</v>
      </c>
      <c r="FI26">
        <f>SUMIF('Как есть'!$A101:$A108,Доп.расчеты!$A26,'Как есть'!FJ101:FJ108)</f>
        <v>0</v>
      </c>
      <c r="FJ26">
        <f>SUMIF('Как есть'!$A101:$A108,Доп.расчеты!$A26,'Как есть'!FK101:FK108)</f>
        <v>0</v>
      </c>
      <c r="FK26">
        <f>SUMIF('Как есть'!$A101:$A108,Доп.расчеты!$A26,'Как есть'!FL101:FL108)</f>
        <v>0</v>
      </c>
      <c r="FL26">
        <f>SUMIF('Как есть'!$A101:$A108,Доп.расчеты!$A26,'Как есть'!FM101:FM108)</f>
        <v>0</v>
      </c>
      <c r="FM26">
        <f>SUMIF('Как есть'!$A101:$A108,Доп.расчеты!$A26,'Как есть'!FN101:FN108)</f>
        <v>0</v>
      </c>
      <c r="FN26">
        <f>SUMIF('Как есть'!$A101:$A108,Доп.расчеты!$A26,'Как есть'!FO101:FO108)</f>
        <v>0</v>
      </c>
      <c r="FO26">
        <f>SUMIF('Как есть'!$A101:$A108,Доп.расчеты!$A26,'Как есть'!FP101:FP108)</f>
        <v>0</v>
      </c>
      <c r="FP26">
        <f>SUMIF('Как есть'!$A101:$A108,Доп.расчеты!$A26,'Как есть'!FQ101:FQ108)</f>
        <v>0</v>
      </c>
      <c r="FQ26">
        <f>SUMIF('Как есть'!$A101:$A108,Доп.расчеты!$A26,'Как есть'!FR101:FR108)</f>
        <v>0</v>
      </c>
      <c r="FR26">
        <f>SUMIF('Как есть'!$A101:$A108,Доп.расчеты!$A26,'Как есть'!FS101:FS108)</f>
        <v>0</v>
      </c>
      <c r="FS26">
        <f>SUMIF('Как есть'!$A101:$A108,Доп.расчеты!$A26,'Как есть'!FT101:FT108)</f>
        <v>0</v>
      </c>
      <c r="FT26">
        <f>SUMIF('Как есть'!$A101:$A108,Доп.расчеты!$A26,'Как есть'!FU101:FU108)</f>
        <v>0</v>
      </c>
      <c r="FU26">
        <f>SUMIF('Как есть'!$A101:$A108,Доп.расчеты!$A26,'Как есть'!FV101:FV108)</f>
        <v>0</v>
      </c>
      <c r="FV26">
        <f>SUMIF('Как есть'!$A101:$A108,Доп.расчеты!$A26,'Как есть'!FW101:FW108)</f>
        <v>0</v>
      </c>
      <c r="FW26">
        <f>SUMIF('Как есть'!$A101:$A108,Доп.расчеты!$A26,'Как есть'!FX101:FX108)</f>
        <v>0</v>
      </c>
      <c r="FX26">
        <f>SUMIF('Как есть'!$A101:$A108,Доп.расчеты!$A26,'Как есть'!FY101:FY108)</f>
        <v>0</v>
      </c>
      <c r="FY26">
        <f>SUMIF('Как есть'!$A101:$A108,Доп.расчеты!$A26,'Как есть'!FZ101:FZ108)</f>
        <v>0</v>
      </c>
      <c r="FZ26">
        <f>SUMIF('Как есть'!$A101:$A108,Доп.расчеты!$A26,'Как есть'!GA101:GA108)</f>
        <v>0</v>
      </c>
      <c r="GA26">
        <f>SUMIF('Как есть'!$A101:$A108,Доп.расчеты!$A26,'Как есть'!GB101:GB108)</f>
        <v>0</v>
      </c>
      <c r="GB26">
        <f>SUMIF('Как есть'!$A101:$A108,Доп.расчеты!$A26,'Как есть'!GC101:GC108)</f>
        <v>0</v>
      </c>
      <c r="GC26">
        <f>SUMIF('Как есть'!$A101:$A108,Доп.расчеты!$A26,'Как есть'!GD101:GD108)</f>
        <v>0</v>
      </c>
      <c r="GD26">
        <f>SUMIF('Как есть'!$A101:$A108,Доп.расчеты!$A26,'Как есть'!GE101:GE108)</f>
        <v>0</v>
      </c>
      <c r="GE26">
        <f>SUMIF('Как есть'!$A101:$A108,Доп.расчеты!$A26,'Как есть'!GF101:GF108)</f>
        <v>0</v>
      </c>
      <c r="GF26">
        <f>SUMIF('Как есть'!$A101:$A108,Доп.расчеты!$A26,'Как есть'!GG101:GG108)</f>
        <v>0</v>
      </c>
      <c r="GG26">
        <f>SUMIF('Как есть'!$A101:$A108,Доп.расчеты!$A26,'Как есть'!GH101:GH108)</f>
        <v>0</v>
      </c>
      <c r="GH26">
        <f>SUMIF('Как есть'!$A101:$A108,Доп.расчеты!$A26,'Как есть'!GI101:GI108)</f>
        <v>0</v>
      </c>
      <c r="GI26">
        <f>SUMIF('Как есть'!$A101:$A108,Доп.расчеты!$A26,'Как есть'!GJ101:GJ108)</f>
        <v>0</v>
      </c>
      <c r="GJ26">
        <f>SUMIF('Как есть'!$A101:$A108,Доп.расчеты!$A26,'Как есть'!GK101:GK108)</f>
        <v>0</v>
      </c>
      <c r="GK26">
        <f>SUMIF('Как есть'!$A101:$A108,Доп.расчеты!$A26,'Как есть'!GL101:GL108)</f>
        <v>0</v>
      </c>
      <c r="GL26">
        <f>SUMIF('Как есть'!$A101:$A108,Доп.расчеты!$A26,'Как есть'!GM101:GM108)</f>
        <v>0</v>
      </c>
      <c r="GM26">
        <f>SUMIF('Как есть'!$A101:$A108,Доп.расчеты!$A26,'Как есть'!GN101:GN108)</f>
        <v>0</v>
      </c>
      <c r="GN26">
        <f>SUMIF('Как есть'!$A101:$A108,Доп.расчеты!$A26,'Как есть'!GO101:GO108)</f>
        <v>0</v>
      </c>
      <c r="GO26">
        <f>SUMIF('Как есть'!$A101:$A108,Доп.расчеты!$A26,'Как есть'!GP101:GP108)</f>
        <v>0</v>
      </c>
      <c r="GP26">
        <f>SUMIF('Как есть'!$A101:$A108,Доп.расчеты!$A26,'Как есть'!GQ101:GQ108)</f>
        <v>0</v>
      </c>
      <c r="GQ26">
        <f>SUMIF('Как есть'!$A101:$A108,Доп.расчеты!$A26,'Как есть'!GR101:GR108)</f>
        <v>0</v>
      </c>
      <c r="GR26">
        <f>SUMIF('Как есть'!$A101:$A108,Доп.расчеты!$A26,'Как есть'!GS101:GS108)</f>
        <v>0</v>
      </c>
      <c r="GS26">
        <f>SUMIF('Как есть'!$A101:$A108,Доп.расчеты!$A26,'Как есть'!GT101:GT108)</f>
        <v>0</v>
      </c>
      <c r="GT26">
        <f>SUMIF('Как есть'!$A101:$A108,Доп.расчеты!$A26,'Как есть'!GU101:GU108)</f>
        <v>0</v>
      </c>
    </row>
    <row r="27" spans="1:202">
      <c r="A27" s="236" t="s">
        <v>13</v>
      </c>
      <c r="B27">
        <f>SUMIF('Как есть'!$A101:$A108,Доп.расчеты!$A27,'Как есть'!C101:C108)</f>
        <v>0</v>
      </c>
      <c r="C27">
        <f>SUMIF('Как есть'!$A101:$A108,Доп.расчеты!$A27,'Как есть'!D101:D108)</f>
        <v>0</v>
      </c>
      <c r="D27">
        <f>SUMIF('Как есть'!$A101:$A108,Доп.расчеты!$A27,'Как есть'!E101:E108)</f>
        <v>0</v>
      </c>
      <c r="E27">
        <f>SUMIF('Как есть'!$A101:$A108,Доп.расчеты!$A27,'Как есть'!F101:F108)</f>
        <v>0</v>
      </c>
      <c r="F27">
        <f>SUMIF('Как есть'!$A101:$A108,Доп.расчеты!$A27,'Как есть'!G101:G108)</f>
        <v>0</v>
      </c>
      <c r="G27">
        <f>SUMIF('Как есть'!$A101:$A108,Доп.расчеты!$A27,'Как есть'!H101:H108)</f>
        <v>0</v>
      </c>
      <c r="H27">
        <f>SUMIF('Как есть'!$A101:$A108,Доп.расчеты!$A27,'Как есть'!I101:I108)</f>
        <v>0</v>
      </c>
      <c r="I27">
        <f>SUMIF('Как есть'!$A101:$A108,Доп.расчеты!$A27,'Как есть'!J101:J108)</f>
        <v>0</v>
      </c>
      <c r="J27">
        <f>SUMIF('Как есть'!$A101:$A108,Доп.расчеты!$A27,'Как есть'!K101:K108)</f>
        <v>0</v>
      </c>
      <c r="K27">
        <f>SUMIF('Как есть'!$A101:$A108,Доп.расчеты!$A27,'Как есть'!L101:L108)</f>
        <v>0</v>
      </c>
      <c r="L27">
        <f>SUMIF('Как есть'!$A101:$A108,Доп.расчеты!$A27,'Как есть'!M101:M108)</f>
        <v>0</v>
      </c>
      <c r="M27">
        <f>SUMIF('Как есть'!$A101:$A108,Доп.расчеты!$A27,'Как есть'!N101:N108)</f>
        <v>0</v>
      </c>
      <c r="N27">
        <f>SUMIF('Как есть'!$A101:$A108,Доп.расчеты!$A27,'Как есть'!O101:O108)</f>
        <v>0</v>
      </c>
      <c r="O27">
        <f>SUMIF('Как есть'!$A101:$A108,Доп.расчеты!$A27,'Как есть'!P101:P108)</f>
        <v>0</v>
      </c>
      <c r="P27">
        <f>SUMIF('Как есть'!$A101:$A108,Доп.расчеты!$A27,'Как есть'!Q101:Q108)</f>
        <v>0</v>
      </c>
      <c r="Q27">
        <f>SUMIF('Как есть'!$A101:$A108,Доп.расчеты!$A27,'Как есть'!R101:R108)</f>
        <v>0</v>
      </c>
      <c r="R27">
        <f>SUMIF('Как есть'!$A101:$A108,Доп.расчеты!$A27,'Как есть'!S101:S108)</f>
        <v>0</v>
      </c>
      <c r="S27">
        <f>SUMIF('Как есть'!$A101:$A108,Доп.расчеты!$A27,'Как есть'!T101:T108)</f>
        <v>0</v>
      </c>
      <c r="T27">
        <f>SUMIF('Как есть'!$A101:$A108,Доп.расчеты!$A27,'Как есть'!U101:U108)</f>
        <v>0</v>
      </c>
      <c r="U27">
        <f>SUMIF('Как есть'!$A101:$A108,Доп.расчеты!$A27,'Как есть'!V101:V108)</f>
        <v>0</v>
      </c>
      <c r="V27">
        <f>SUMIF('Как есть'!$A101:$A108,Доп.расчеты!$A27,'Как есть'!W101:W108)</f>
        <v>0</v>
      </c>
      <c r="W27">
        <f>SUMIF('Как есть'!$A101:$A108,Доп.расчеты!$A27,'Как есть'!X101:X108)</f>
        <v>0</v>
      </c>
      <c r="X27">
        <f>SUMIF('Как есть'!$A101:$A108,Доп.расчеты!$A27,'Как есть'!Y101:Y108)</f>
        <v>0</v>
      </c>
      <c r="Y27">
        <f>SUMIF('Как есть'!$A101:$A108,Доп.расчеты!$A27,'Как есть'!Z101:Z108)</f>
        <v>0</v>
      </c>
      <c r="Z27">
        <f>SUMIF('Как есть'!$A101:$A108,Доп.расчеты!$A27,'Как есть'!AA101:AA108)</f>
        <v>0</v>
      </c>
      <c r="AA27">
        <f>SUMIF('Как есть'!$A101:$A108,Доп.расчеты!$A27,'Как есть'!AB101:AB108)</f>
        <v>0</v>
      </c>
      <c r="AB27">
        <f>SUMIF('Как есть'!$A101:$A108,Доп.расчеты!$A27,'Как есть'!AC101:AC108)</f>
        <v>0</v>
      </c>
      <c r="AC27">
        <f>SUMIF('Как есть'!$A101:$A108,Доп.расчеты!$A27,'Как есть'!AD101:AD108)</f>
        <v>0</v>
      </c>
      <c r="AD27">
        <f>SUMIF('Как есть'!$A101:$A108,Доп.расчеты!$A27,'Как есть'!AE101:AE108)</f>
        <v>0</v>
      </c>
      <c r="AE27">
        <f>SUMIF('Как есть'!$A101:$A108,Доп.расчеты!$A27,'Как есть'!AF101:AF108)</f>
        <v>0</v>
      </c>
      <c r="AF27">
        <f>SUMIF('Как есть'!$A101:$A108,Доп.расчеты!$A27,'Как есть'!AG101:AG108)</f>
        <v>0</v>
      </c>
      <c r="AG27">
        <f>SUMIF('Как есть'!$A101:$A108,Доп.расчеты!$A27,'Как есть'!AH101:AH108)</f>
        <v>0</v>
      </c>
      <c r="AH27">
        <f>SUMIF('Как есть'!$A101:$A108,Доп.расчеты!$A27,'Как есть'!AI101:AI108)</f>
        <v>0</v>
      </c>
      <c r="AI27">
        <f>SUMIF('Как есть'!$A101:$A108,Доп.расчеты!$A27,'Как есть'!AJ101:AJ108)</f>
        <v>0</v>
      </c>
      <c r="AJ27">
        <f>SUMIF('Как есть'!$A101:$A108,Доп.расчеты!$A27,'Как есть'!AK101:AK108)</f>
        <v>0</v>
      </c>
      <c r="AK27">
        <f>SUMIF('Как есть'!$A101:$A108,Доп.расчеты!$A27,'Как есть'!AL101:AL108)</f>
        <v>0</v>
      </c>
      <c r="AL27">
        <f>SUMIF('Как есть'!$A101:$A108,Доп.расчеты!$A27,'Как есть'!AM101:AM108)</f>
        <v>0</v>
      </c>
      <c r="AM27">
        <f>SUMIF('Как есть'!$A101:$A108,Доп.расчеты!$A27,'Как есть'!AN101:AN108)</f>
        <v>0</v>
      </c>
      <c r="AN27">
        <f>SUMIF('Как есть'!$A101:$A108,Доп.расчеты!$A27,'Как есть'!AO101:AO108)</f>
        <v>0</v>
      </c>
      <c r="AO27">
        <f>SUMIF('Как есть'!$A101:$A108,Доп.расчеты!$A27,'Как есть'!AP101:AP108)</f>
        <v>0</v>
      </c>
      <c r="AP27">
        <f>SUMIF('Как есть'!$A101:$A108,Доп.расчеты!$A27,'Как есть'!AQ101:AQ108)</f>
        <v>0</v>
      </c>
      <c r="AQ27">
        <f>SUMIF('Как есть'!$A101:$A108,Доп.расчеты!$A27,'Как есть'!AR101:AR108)</f>
        <v>0</v>
      </c>
      <c r="AR27">
        <f>SUMIF('Как есть'!$A101:$A108,Доп.расчеты!$A27,'Как есть'!AS101:AS108)</f>
        <v>0</v>
      </c>
      <c r="AS27">
        <f>SUMIF('Как есть'!$A101:$A108,Доп.расчеты!$A27,'Как есть'!AT101:AT108)</f>
        <v>0</v>
      </c>
      <c r="AT27">
        <f>SUMIF('Как есть'!$A101:$A108,Доп.расчеты!$A27,'Как есть'!AU101:AU108)</f>
        <v>0</v>
      </c>
      <c r="AU27">
        <f>SUMIF('Как есть'!$A101:$A108,Доп.расчеты!$A27,'Как есть'!AV101:AV108)</f>
        <v>0</v>
      </c>
      <c r="AV27">
        <f>SUMIF('Как есть'!$A101:$A108,Доп.расчеты!$A27,'Как есть'!AW101:AW108)</f>
        <v>0</v>
      </c>
      <c r="AW27">
        <f>SUMIF('Как есть'!$A101:$A108,Доп.расчеты!$A27,'Как есть'!AX101:AX108)</f>
        <v>0</v>
      </c>
      <c r="AX27">
        <f>SUMIF('Как есть'!$A101:$A108,Доп.расчеты!$A27,'Как есть'!AY101:AY108)</f>
        <v>0</v>
      </c>
      <c r="AY27">
        <f>SUMIF('Как есть'!$A101:$A108,Доп.расчеты!$A27,'Как есть'!AZ101:AZ108)</f>
        <v>0</v>
      </c>
      <c r="AZ27">
        <f>SUMIF('Как есть'!$A101:$A108,Доп.расчеты!$A27,'Как есть'!BA101:BA108)</f>
        <v>0</v>
      </c>
      <c r="BA27">
        <f>SUMIF('Как есть'!$A101:$A108,Доп.расчеты!$A27,'Как есть'!BB101:BB108)</f>
        <v>0</v>
      </c>
      <c r="BB27">
        <f>SUMIF('Как есть'!$A101:$A108,Доп.расчеты!$A27,'Как есть'!BC101:BC108)</f>
        <v>0</v>
      </c>
      <c r="BC27">
        <f>SUMIF('Как есть'!$A101:$A108,Доп.расчеты!$A27,'Как есть'!BD101:BD108)</f>
        <v>0</v>
      </c>
      <c r="BD27">
        <f>SUMIF('Как есть'!$A101:$A108,Доп.расчеты!$A27,'Как есть'!BE101:BE108)</f>
        <v>0</v>
      </c>
      <c r="BE27">
        <f>SUMIF('Как есть'!$A101:$A108,Доп.расчеты!$A27,'Как есть'!BF101:BF108)</f>
        <v>0</v>
      </c>
      <c r="BF27">
        <f>SUMIF('Как есть'!$A101:$A108,Доп.расчеты!$A27,'Как есть'!BG101:BG108)</f>
        <v>0</v>
      </c>
      <c r="BG27">
        <f>SUMIF('Как есть'!$A101:$A108,Доп.расчеты!$A27,'Как есть'!BH101:BH108)</f>
        <v>0</v>
      </c>
      <c r="BH27">
        <f>SUMIF('Как есть'!$A101:$A108,Доп.расчеты!$A27,'Как есть'!BI101:BI108)</f>
        <v>0</v>
      </c>
      <c r="BI27">
        <f>SUMIF('Как есть'!$A101:$A108,Доп.расчеты!$A27,'Как есть'!BJ101:BJ108)</f>
        <v>0</v>
      </c>
      <c r="BJ27">
        <f>SUMIF('Как есть'!$A101:$A108,Доп.расчеты!$A27,'Как есть'!BK101:BK108)</f>
        <v>0</v>
      </c>
      <c r="BK27">
        <f>SUMIF('Как есть'!$A101:$A108,Доп.расчеты!$A27,'Как есть'!BL101:BL108)</f>
        <v>0</v>
      </c>
      <c r="BL27">
        <f>SUMIF('Как есть'!$A101:$A108,Доп.расчеты!$A27,'Как есть'!BM101:BM108)</f>
        <v>0</v>
      </c>
      <c r="BM27">
        <f>SUMIF('Как есть'!$A101:$A108,Доп.расчеты!$A27,'Как есть'!BN101:BN108)</f>
        <v>0</v>
      </c>
      <c r="BN27">
        <f>SUMIF('Как есть'!$A101:$A108,Доп.расчеты!$A27,'Как есть'!BO101:BO108)</f>
        <v>0</v>
      </c>
      <c r="BO27">
        <f>SUMIF('Как есть'!$A101:$A108,Доп.расчеты!$A27,'Как есть'!BP101:BP108)</f>
        <v>0</v>
      </c>
      <c r="BP27">
        <f>SUMIF('Как есть'!$A101:$A108,Доп.расчеты!$A27,'Как есть'!BQ101:BQ108)</f>
        <v>0</v>
      </c>
      <c r="BQ27">
        <f>SUMIF('Как есть'!$A101:$A108,Доп.расчеты!$A27,'Как есть'!BR101:BR108)</f>
        <v>0</v>
      </c>
      <c r="BR27">
        <f>SUMIF('Как есть'!$A101:$A108,Доп.расчеты!$A27,'Как есть'!BS101:BS108)</f>
        <v>0</v>
      </c>
      <c r="BS27">
        <f>SUMIF('Как есть'!$A101:$A108,Доп.расчеты!$A27,'Как есть'!BT101:BT108)</f>
        <v>0</v>
      </c>
      <c r="BT27">
        <f>SUMIF('Как есть'!$A101:$A108,Доп.расчеты!$A27,'Как есть'!BU101:BU108)</f>
        <v>0</v>
      </c>
      <c r="BU27">
        <f>SUMIF('Как есть'!$A101:$A108,Доп.расчеты!$A27,'Как есть'!BV101:BV108)</f>
        <v>0</v>
      </c>
      <c r="BV27">
        <f>SUMIF('Как есть'!$A101:$A108,Доп.расчеты!$A27,'Как есть'!BW101:BW108)</f>
        <v>0</v>
      </c>
      <c r="BW27">
        <f>SUMIF('Как есть'!$A101:$A108,Доп.расчеты!$A27,'Как есть'!BX101:BX108)</f>
        <v>0</v>
      </c>
      <c r="BX27">
        <f>SUMIF('Как есть'!$A101:$A108,Доп.расчеты!$A27,'Как есть'!BY101:BY108)</f>
        <v>0</v>
      </c>
      <c r="BY27">
        <f>SUMIF('Как есть'!$A101:$A108,Доп.расчеты!$A27,'Как есть'!BZ101:BZ108)</f>
        <v>0</v>
      </c>
      <c r="BZ27">
        <f>SUMIF('Как есть'!$A101:$A108,Доп.расчеты!$A27,'Как есть'!CA101:CA108)</f>
        <v>0</v>
      </c>
      <c r="CA27">
        <f>SUMIF('Как есть'!$A101:$A108,Доп.расчеты!$A27,'Как есть'!CB101:CB108)</f>
        <v>0</v>
      </c>
      <c r="CB27">
        <f>SUMIF('Как есть'!$A101:$A108,Доп.расчеты!$A27,'Как есть'!CC101:CC108)</f>
        <v>0</v>
      </c>
      <c r="CC27">
        <f>SUMIF('Как есть'!$A101:$A108,Доп.расчеты!$A27,'Как есть'!CD101:CD108)</f>
        <v>0</v>
      </c>
      <c r="CD27">
        <f>SUMIF('Как есть'!$A101:$A108,Доп.расчеты!$A27,'Как есть'!CE101:CE108)</f>
        <v>0</v>
      </c>
      <c r="CE27">
        <f>SUMIF('Как есть'!$A101:$A108,Доп.расчеты!$A27,'Как есть'!CF101:CF108)</f>
        <v>0</v>
      </c>
      <c r="CF27">
        <f>SUMIF('Как есть'!$A101:$A108,Доп.расчеты!$A27,'Как есть'!CG101:CG108)</f>
        <v>0</v>
      </c>
      <c r="CG27">
        <f>SUMIF('Как есть'!$A101:$A108,Доп.расчеты!$A27,'Как есть'!CH101:CH108)</f>
        <v>0</v>
      </c>
      <c r="CH27">
        <f>SUMIF('Как есть'!$A101:$A108,Доп.расчеты!$A27,'Как есть'!CI101:CI108)</f>
        <v>0</v>
      </c>
      <c r="CI27">
        <f>SUMIF('Как есть'!$A101:$A108,Доп.расчеты!$A27,'Как есть'!CJ101:CJ108)</f>
        <v>0</v>
      </c>
      <c r="CJ27">
        <f>SUMIF('Как есть'!$A101:$A108,Доп.расчеты!$A27,'Как есть'!CK101:CK108)</f>
        <v>0</v>
      </c>
      <c r="CK27">
        <f>SUMIF('Как есть'!$A101:$A108,Доп.расчеты!$A27,'Как есть'!CL101:CL108)</f>
        <v>0</v>
      </c>
      <c r="CL27">
        <f>SUMIF('Как есть'!$A101:$A108,Доп.расчеты!$A27,'Как есть'!CM101:CM108)</f>
        <v>0</v>
      </c>
      <c r="CM27">
        <f>SUMIF('Как есть'!$A101:$A108,Доп.расчеты!$A27,'Как есть'!CN101:CN108)</f>
        <v>0</v>
      </c>
      <c r="CN27">
        <f>SUMIF('Как есть'!$A101:$A108,Доп.расчеты!$A27,'Как есть'!CO101:CO108)</f>
        <v>0</v>
      </c>
      <c r="CO27">
        <f>SUMIF('Как есть'!$A101:$A108,Доп.расчеты!$A27,'Как есть'!CP101:CP108)</f>
        <v>0</v>
      </c>
      <c r="CP27">
        <f>SUMIF('Как есть'!$A101:$A108,Доп.расчеты!$A27,'Как есть'!CQ101:CQ108)</f>
        <v>0</v>
      </c>
      <c r="CQ27">
        <f>SUMIF('Как есть'!$A101:$A108,Доп.расчеты!$A27,'Как есть'!CR101:CR108)</f>
        <v>0</v>
      </c>
      <c r="CR27">
        <f>SUMIF('Как есть'!$A101:$A108,Доп.расчеты!$A27,'Как есть'!CS101:CS108)</f>
        <v>0</v>
      </c>
      <c r="CS27">
        <f>SUMIF('Как есть'!$A101:$A108,Доп.расчеты!$A27,'Как есть'!CT101:CT108)</f>
        <v>0</v>
      </c>
      <c r="CT27">
        <f>SUMIF('Как есть'!$A101:$A108,Доп.расчеты!$A27,'Как есть'!CU101:CU108)</f>
        <v>0</v>
      </c>
      <c r="CU27">
        <f>SUMIF('Как есть'!$A101:$A108,Доп.расчеты!$A27,'Как есть'!CV101:CV108)</f>
        <v>0</v>
      </c>
      <c r="CV27">
        <f>SUMIF('Как есть'!$A101:$A108,Доп.расчеты!$A27,'Как есть'!CW101:CW108)</f>
        <v>0</v>
      </c>
      <c r="CW27">
        <f>SUMIF('Как есть'!$A101:$A108,Доп.расчеты!$A27,'Как есть'!CX101:CX108)</f>
        <v>0</v>
      </c>
      <c r="CX27">
        <f>SUMIF('Как есть'!$A101:$A108,Доп.расчеты!$A27,'Как есть'!CY101:CY108)</f>
        <v>0</v>
      </c>
      <c r="CY27">
        <f>SUMIF('Как есть'!$A101:$A108,Доп.расчеты!$A27,'Как есть'!CZ101:CZ108)</f>
        <v>0</v>
      </c>
      <c r="CZ27">
        <f>SUMIF('Как есть'!$A101:$A108,Доп.расчеты!$A27,'Как есть'!DA101:DA108)</f>
        <v>0</v>
      </c>
      <c r="DA27">
        <f>SUMIF('Как есть'!$A101:$A108,Доп.расчеты!$A27,'Как есть'!DB101:DB108)</f>
        <v>0</v>
      </c>
      <c r="DB27">
        <f>SUMIF('Как есть'!$A101:$A108,Доп.расчеты!$A27,'Как есть'!DC101:DC108)</f>
        <v>0</v>
      </c>
      <c r="DC27">
        <f>SUMIF('Как есть'!$A101:$A108,Доп.расчеты!$A27,'Как есть'!DD101:DD108)</f>
        <v>0</v>
      </c>
      <c r="DD27">
        <f>SUMIF('Как есть'!$A101:$A108,Доп.расчеты!$A27,'Как есть'!DE101:DE108)</f>
        <v>0</v>
      </c>
      <c r="DE27">
        <f>SUMIF('Как есть'!$A101:$A108,Доп.расчеты!$A27,'Как есть'!DF101:DF108)</f>
        <v>0</v>
      </c>
      <c r="DF27">
        <f>SUMIF('Как есть'!$A101:$A108,Доп.расчеты!$A27,'Как есть'!DG101:DG108)</f>
        <v>0</v>
      </c>
      <c r="DG27">
        <f>SUMIF('Как есть'!$A101:$A108,Доп.расчеты!$A27,'Как есть'!DH101:DH108)</f>
        <v>0</v>
      </c>
      <c r="DH27">
        <f>SUMIF('Как есть'!$A101:$A108,Доп.расчеты!$A27,'Как есть'!DI101:DI108)</f>
        <v>0</v>
      </c>
      <c r="DI27">
        <f>SUMIF('Как есть'!$A101:$A108,Доп.расчеты!$A27,'Как есть'!DJ101:DJ108)</f>
        <v>0</v>
      </c>
      <c r="DJ27">
        <f>SUMIF('Как есть'!$A101:$A108,Доп.расчеты!$A27,'Как есть'!DK101:DK108)</f>
        <v>0</v>
      </c>
      <c r="DK27">
        <f>SUMIF('Как есть'!$A101:$A108,Доп.расчеты!$A27,'Как есть'!DL101:DL108)</f>
        <v>0</v>
      </c>
      <c r="DL27">
        <f>SUMIF('Как есть'!$A101:$A108,Доп.расчеты!$A27,'Как есть'!DM101:DM108)</f>
        <v>0</v>
      </c>
      <c r="DM27">
        <f>SUMIF('Как есть'!$A101:$A108,Доп.расчеты!$A27,'Как есть'!DN101:DN108)</f>
        <v>0</v>
      </c>
      <c r="DN27">
        <f>SUMIF('Как есть'!$A101:$A108,Доп.расчеты!$A27,'Как есть'!DO101:DO108)</f>
        <v>0</v>
      </c>
      <c r="DO27">
        <f>SUMIF('Как есть'!$A101:$A108,Доп.расчеты!$A27,'Как есть'!DP101:DP108)</f>
        <v>0</v>
      </c>
      <c r="DP27">
        <f>SUMIF('Как есть'!$A101:$A108,Доп.расчеты!$A27,'Как есть'!DQ101:DQ108)</f>
        <v>0</v>
      </c>
      <c r="DQ27">
        <f>SUMIF('Как есть'!$A101:$A108,Доп.расчеты!$A27,'Как есть'!DR101:DR108)</f>
        <v>0</v>
      </c>
      <c r="DR27">
        <f>SUMIF('Как есть'!$A101:$A108,Доп.расчеты!$A27,'Как есть'!DS101:DS108)</f>
        <v>0</v>
      </c>
      <c r="DS27">
        <f>SUMIF('Как есть'!$A101:$A108,Доп.расчеты!$A27,'Как есть'!DT101:DT108)</f>
        <v>0</v>
      </c>
      <c r="DT27">
        <f>SUMIF('Как есть'!$A101:$A108,Доп.расчеты!$A27,'Как есть'!DU101:DU108)</f>
        <v>0</v>
      </c>
      <c r="DU27">
        <f>SUMIF('Как есть'!$A101:$A108,Доп.расчеты!$A27,'Как есть'!DV101:DV108)</f>
        <v>0</v>
      </c>
      <c r="DV27">
        <f>SUMIF('Как есть'!$A101:$A108,Доп.расчеты!$A27,'Как есть'!DW101:DW108)</f>
        <v>0</v>
      </c>
      <c r="DW27">
        <f>SUMIF('Как есть'!$A101:$A108,Доп.расчеты!$A27,'Как есть'!DX101:DX108)</f>
        <v>0</v>
      </c>
      <c r="DX27">
        <f>SUMIF('Как есть'!$A101:$A108,Доп.расчеты!$A27,'Как есть'!DY101:DY108)</f>
        <v>0</v>
      </c>
      <c r="DY27">
        <f>SUMIF('Как есть'!$A101:$A108,Доп.расчеты!$A27,'Как есть'!DZ101:DZ108)</f>
        <v>0</v>
      </c>
      <c r="DZ27">
        <f>SUMIF('Как есть'!$A101:$A108,Доп.расчеты!$A27,'Как есть'!EA101:EA108)</f>
        <v>0</v>
      </c>
      <c r="EA27">
        <f>SUMIF('Как есть'!$A101:$A108,Доп.расчеты!$A27,'Как есть'!EB101:EB108)</f>
        <v>0</v>
      </c>
      <c r="EB27">
        <f>SUMIF('Как есть'!$A101:$A108,Доп.расчеты!$A27,'Как есть'!EC101:EC108)</f>
        <v>0</v>
      </c>
      <c r="EC27">
        <f>SUMIF('Как есть'!$A101:$A108,Доп.расчеты!$A27,'Как есть'!ED101:ED108)</f>
        <v>0</v>
      </c>
      <c r="ED27">
        <f>SUMIF('Как есть'!$A101:$A108,Доп.расчеты!$A27,'Как есть'!EE101:EE108)</f>
        <v>0</v>
      </c>
      <c r="EE27">
        <f>SUMIF('Как есть'!$A101:$A108,Доп.расчеты!$A27,'Как есть'!EF101:EF108)</f>
        <v>0</v>
      </c>
      <c r="EF27">
        <f>SUMIF('Как есть'!$A101:$A108,Доп.расчеты!$A27,'Как есть'!EG101:EG108)</f>
        <v>0</v>
      </c>
      <c r="EG27">
        <f>SUMIF('Как есть'!$A101:$A108,Доп.расчеты!$A27,'Как есть'!EH101:EH108)</f>
        <v>0</v>
      </c>
      <c r="EH27">
        <f>SUMIF('Как есть'!$A101:$A108,Доп.расчеты!$A27,'Как есть'!EI101:EI108)</f>
        <v>0</v>
      </c>
      <c r="EI27">
        <f>SUMIF('Как есть'!$A101:$A108,Доп.расчеты!$A27,'Как есть'!EJ101:EJ108)</f>
        <v>0</v>
      </c>
      <c r="EJ27">
        <f>SUMIF('Как есть'!$A101:$A108,Доп.расчеты!$A27,'Как есть'!EK101:EK108)</f>
        <v>0</v>
      </c>
      <c r="EK27">
        <f>SUMIF('Как есть'!$A101:$A108,Доп.расчеты!$A27,'Как есть'!EL101:EL108)</f>
        <v>0</v>
      </c>
      <c r="EL27">
        <f>SUMIF('Как есть'!$A101:$A108,Доп.расчеты!$A27,'Как есть'!EM101:EM108)</f>
        <v>0</v>
      </c>
      <c r="EM27">
        <f>SUMIF('Как есть'!$A101:$A108,Доп.расчеты!$A27,'Как есть'!EN101:EN108)</f>
        <v>0</v>
      </c>
      <c r="EN27">
        <f>SUMIF('Как есть'!$A101:$A108,Доп.расчеты!$A27,'Как есть'!EO101:EO108)</f>
        <v>0</v>
      </c>
      <c r="EO27">
        <f>SUMIF('Как есть'!$A101:$A108,Доп.расчеты!$A27,'Как есть'!EP101:EP108)</f>
        <v>0</v>
      </c>
      <c r="EP27">
        <f>SUMIF('Как есть'!$A101:$A108,Доп.расчеты!$A27,'Как есть'!EQ101:EQ108)</f>
        <v>0</v>
      </c>
      <c r="EQ27">
        <f>SUMIF('Как есть'!$A101:$A108,Доп.расчеты!$A27,'Как есть'!ER101:ER108)</f>
        <v>0</v>
      </c>
      <c r="ER27">
        <f>SUMIF('Как есть'!$A101:$A108,Доп.расчеты!$A27,'Как есть'!ES101:ES108)</f>
        <v>0</v>
      </c>
      <c r="ES27">
        <f>SUMIF('Как есть'!$A101:$A108,Доп.расчеты!$A27,'Как есть'!ET101:ET108)</f>
        <v>0</v>
      </c>
      <c r="ET27">
        <f>SUMIF('Как есть'!$A101:$A108,Доп.расчеты!$A27,'Как есть'!EU101:EU108)</f>
        <v>0</v>
      </c>
      <c r="EU27">
        <f>SUMIF('Как есть'!$A101:$A108,Доп.расчеты!$A27,'Как есть'!EV101:EV108)</f>
        <v>0</v>
      </c>
      <c r="EV27">
        <f>SUMIF('Как есть'!$A101:$A108,Доп.расчеты!$A27,'Как есть'!EW101:EW108)</f>
        <v>0</v>
      </c>
      <c r="EW27">
        <f>SUMIF('Как есть'!$A101:$A108,Доп.расчеты!$A27,'Как есть'!EX101:EX108)</f>
        <v>0</v>
      </c>
      <c r="EX27">
        <f>SUMIF('Как есть'!$A101:$A108,Доп.расчеты!$A27,'Как есть'!EY101:EY108)</f>
        <v>0</v>
      </c>
      <c r="EY27">
        <f>SUMIF('Как есть'!$A101:$A108,Доп.расчеты!$A27,'Как есть'!EZ101:EZ108)</f>
        <v>0</v>
      </c>
      <c r="EZ27">
        <f>SUMIF('Как есть'!$A101:$A108,Доп.расчеты!$A27,'Как есть'!FA101:FA108)</f>
        <v>0</v>
      </c>
      <c r="FA27">
        <f>SUMIF('Как есть'!$A101:$A108,Доп.расчеты!$A27,'Как есть'!FB101:FB108)</f>
        <v>0</v>
      </c>
      <c r="FB27">
        <f>SUMIF('Как есть'!$A101:$A108,Доп.расчеты!$A27,'Как есть'!FC101:FC108)</f>
        <v>0</v>
      </c>
      <c r="FC27">
        <f>SUMIF('Как есть'!$A101:$A108,Доп.расчеты!$A27,'Как есть'!FD101:FD108)</f>
        <v>0</v>
      </c>
      <c r="FD27">
        <f>SUMIF('Как есть'!$A101:$A108,Доп.расчеты!$A27,'Как есть'!FE101:FE108)</f>
        <v>0</v>
      </c>
      <c r="FE27">
        <f>SUMIF('Как есть'!$A101:$A108,Доп.расчеты!$A27,'Как есть'!FF101:FF108)</f>
        <v>0</v>
      </c>
      <c r="FF27">
        <f>SUMIF('Как есть'!$A101:$A108,Доп.расчеты!$A27,'Как есть'!FG101:FG108)</f>
        <v>0</v>
      </c>
      <c r="FG27">
        <f>SUMIF('Как есть'!$A101:$A108,Доп.расчеты!$A27,'Как есть'!FH101:FH108)</f>
        <v>0</v>
      </c>
      <c r="FH27">
        <f>SUMIF('Как есть'!$A101:$A108,Доп.расчеты!$A27,'Как есть'!FI101:FI108)</f>
        <v>0</v>
      </c>
      <c r="FI27">
        <f>SUMIF('Как есть'!$A101:$A108,Доп.расчеты!$A27,'Как есть'!FJ101:FJ108)</f>
        <v>0</v>
      </c>
      <c r="FJ27">
        <f>SUMIF('Как есть'!$A101:$A108,Доп.расчеты!$A27,'Как есть'!FK101:FK108)</f>
        <v>0</v>
      </c>
      <c r="FK27">
        <f>SUMIF('Как есть'!$A101:$A108,Доп.расчеты!$A27,'Как есть'!FL101:FL108)</f>
        <v>0</v>
      </c>
      <c r="FL27">
        <f>SUMIF('Как есть'!$A101:$A108,Доп.расчеты!$A27,'Как есть'!FM101:FM108)</f>
        <v>0</v>
      </c>
      <c r="FM27">
        <f>SUMIF('Как есть'!$A101:$A108,Доп.расчеты!$A27,'Как есть'!FN101:FN108)</f>
        <v>0</v>
      </c>
      <c r="FN27">
        <f>SUMIF('Как есть'!$A101:$A108,Доп.расчеты!$A27,'Как есть'!FO101:FO108)</f>
        <v>0</v>
      </c>
      <c r="FO27">
        <f>SUMIF('Как есть'!$A101:$A108,Доп.расчеты!$A27,'Как есть'!FP101:FP108)</f>
        <v>0</v>
      </c>
      <c r="FP27">
        <f>SUMIF('Как есть'!$A101:$A108,Доп.расчеты!$A27,'Как есть'!FQ101:FQ108)</f>
        <v>0</v>
      </c>
      <c r="FQ27">
        <f>SUMIF('Как есть'!$A101:$A108,Доп.расчеты!$A27,'Как есть'!FR101:FR108)</f>
        <v>0</v>
      </c>
      <c r="FR27">
        <f>SUMIF('Как есть'!$A101:$A108,Доп.расчеты!$A27,'Как есть'!FS101:FS108)</f>
        <v>0</v>
      </c>
      <c r="FS27">
        <f>SUMIF('Как есть'!$A101:$A108,Доп.расчеты!$A27,'Как есть'!FT101:FT108)</f>
        <v>0</v>
      </c>
      <c r="FT27">
        <f>SUMIF('Как есть'!$A101:$A108,Доп.расчеты!$A27,'Как есть'!FU101:FU108)</f>
        <v>0</v>
      </c>
      <c r="FU27">
        <f>SUMIF('Как есть'!$A101:$A108,Доп.расчеты!$A27,'Как есть'!FV101:FV108)</f>
        <v>0</v>
      </c>
      <c r="FV27">
        <f>SUMIF('Как есть'!$A101:$A108,Доп.расчеты!$A27,'Как есть'!FW101:FW108)</f>
        <v>0</v>
      </c>
      <c r="FW27">
        <f>SUMIF('Как есть'!$A101:$A108,Доп.расчеты!$A27,'Как есть'!FX101:FX108)</f>
        <v>0</v>
      </c>
      <c r="FX27">
        <f>SUMIF('Как есть'!$A101:$A108,Доп.расчеты!$A27,'Как есть'!FY101:FY108)</f>
        <v>0</v>
      </c>
      <c r="FY27">
        <f>SUMIF('Как есть'!$A101:$A108,Доп.расчеты!$A27,'Как есть'!FZ101:FZ108)</f>
        <v>0</v>
      </c>
      <c r="FZ27">
        <f>SUMIF('Как есть'!$A101:$A108,Доп.расчеты!$A27,'Как есть'!GA101:GA108)</f>
        <v>0</v>
      </c>
      <c r="GA27">
        <f>SUMIF('Как есть'!$A101:$A108,Доп.расчеты!$A27,'Как есть'!GB101:GB108)</f>
        <v>0</v>
      </c>
      <c r="GB27">
        <f>SUMIF('Как есть'!$A101:$A108,Доп.расчеты!$A27,'Как есть'!GC101:GC108)</f>
        <v>0</v>
      </c>
      <c r="GC27">
        <f>SUMIF('Как есть'!$A101:$A108,Доп.расчеты!$A27,'Как есть'!GD101:GD108)</f>
        <v>0</v>
      </c>
      <c r="GD27">
        <f>SUMIF('Как есть'!$A101:$A108,Доп.расчеты!$A27,'Как есть'!GE101:GE108)</f>
        <v>0</v>
      </c>
      <c r="GE27">
        <f>SUMIF('Как есть'!$A101:$A108,Доп.расчеты!$A27,'Как есть'!GF101:GF108)</f>
        <v>0</v>
      </c>
      <c r="GF27">
        <f>SUMIF('Как есть'!$A101:$A108,Доп.расчеты!$A27,'Как есть'!GG101:GG108)</f>
        <v>0</v>
      </c>
      <c r="GG27">
        <f>SUMIF('Как есть'!$A101:$A108,Доп.расчеты!$A27,'Как есть'!GH101:GH108)</f>
        <v>0</v>
      </c>
      <c r="GH27">
        <f>SUMIF('Как есть'!$A101:$A108,Доп.расчеты!$A27,'Как есть'!GI101:GI108)</f>
        <v>0</v>
      </c>
      <c r="GI27">
        <f>SUMIF('Как есть'!$A101:$A108,Доп.расчеты!$A27,'Как есть'!GJ101:GJ108)</f>
        <v>0</v>
      </c>
      <c r="GJ27">
        <f>SUMIF('Как есть'!$A101:$A108,Доп.расчеты!$A27,'Как есть'!GK101:GK108)</f>
        <v>0</v>
      </c>
      <c r="GK27">
        <f>SUMIF('Как есть'!$A101:$A108,Доп.расчеты!$A27,'Как есть'!GL101:GL108)</f>
        <v>0</v>
      </c>
      <c r="GL27">
        <f>SUMIF('Как есть'!$A101:$A108,Доп.расчеты!$A27,'Как есть'!GM101:GM108)</f>
        <v>0</v>
      </c>
      <c r="GM27">
        <f>SUMIF('Как есть'!$A101:$A108,Доп.расчеты!$A27,'Как есть'!GN101:GN108)</f>
        <v>0</v>
      </c>
      <c r="GN27">
        <f>SUMIF('Как есть'!$A101:$A108,Доп.расчеты!$A27,'Как есть'!GO101:GO108)</f>
        <v>0</v>
      </c>
      <c r="GO27">
        <f>SUMIF('Как есть'!$A101:$A108,Доп.расчеты!$A27,'Как есть'!GP101:GP108)</f>
        <v>0</v>
      </c>
      <c r="GP27">
        <f>SUMIF('Как есть'!$A101:$A108,Доп.расчеты!$A27,'Как есть'!GQ101:GQ108)</f>
        <v>0</v>
      </c>
      <c r="GQ27">
        <f>SUMIF('Как есть'!$A101:$A108,Доп.расчеты!$A27,'Как есть'!GR101:GR108)</f>
        <v>0</v>
      </c>
      <c r="GR27">
        <f>SUMIF('Как есть'!$A101:$A108,Доп.расчеты!$A27,'Как есть'!GS101:GS108)</f>
        <v>0</v>
      </c>
      <c r="GS27">
        <f>SUMIF('Как есть'!$A101:$A108,Доп.расчеты!$A27,'Как есть'!GT101:GT108)</f>
        <v>0</v>
      </c>
      <c r="GT27">
        <f>SUMIF('Как есть'!$A101:$A108,Доп.расчеты!$A27,'Как есть'!GU101:GU108)</f>
        <v>0</v>
      </c>
    </row>
    <row r="28" spans="1:202">
      <c r="A28" s="236" t="s">
        <v>14</v>
      </c>
      <c r="B28">
        <f>SUMIF('Как есть'!$A101:$A108,Доп.расчеты!$A28,'Как есть'!C101:C108)</f>
        <v>0</v>
      </c>
      <c r="C28">
        <f>SUMIF('Как есть'!$A101:$A108,Доп.расчеты!$A28,'Как есть'!D101:D108)</f>
        <v>0</v>
      </c>
      <c r="D28">
        <f>SUMIF('Как есть'!$A101:$A108,Доп.расчеты!$A28,'Как есть'!E101:E108)</f>
        <v>0</v>
      </c>
      <c r="E28">
        <f>SUMIF('Как есть'!$A101:$A108,Доп.расчеты!$A28,'Как есть'!F101:F108)</f>
        <v>0</v>
      </c>
      <c r="F28">
        <f>SUMIF('Как есть'!$A101:$A108,Доп.расчеты!$A28,'Как есть'!G101:G108)</f>
        <v>0</v>
      </c>
      <c r="G28">
        <f>SUMIF('Как есть'!$A101:$A108,Доп.расчеты!$A28,'Как есть'!H101:H108)</f>
        <v>0</v>
      </c>
      <c r="H28">
        <f>SUMIF('Как есть'!$A101:$A108,Доп.расчеты!$A28,'Как есть'!I101:I108)</f>
        <v>0</v>
      </c>
      <c r="I28">
        <f>SUMIF('Как есть'!$A101:$A108,Доп.расчеты!$A28,'Как есть'!J101:J108)</f>
        <v>0</v>
      </c>
      <c r="J28">
        <f>SUMIF('Как есть'!$A101:$A108,Доп.расчеты!$A28,'Как есть'!K101:K108)</f>
        <v>0</v>
      </c>
      <c r="K28">
        <f>SUMIF('Как есть'!$A101:$A108,Доп.расчеты!$A28,'Как есть'!L101:L108)</f>
        <v>0</v>
      </c>
      <c r="L28">
        <f>SUMIF('Как есть'!$A101:$A108,Доп.расчеты!$A28,'Как есть'!M101:M108)</f>
        <v>0</v>
      </c>
      <c r="M28">
        <f>SUMIF('Как есть'!$A101:$A108,Доп.расчеты!$A28,'Как есть'!N101:N108)</f>
        <v>0</v>
      </c>
      <c r="N28">
        <f>SUMIF('Как есть'!$A101:$A108,Доп.расчеты!$A28,'Как есть'!O101:O108)</f>
        <v>0</v>
      </c>
      <c r="O28">
        <f>SUMIF('Как есть'!$A101:$A108,Доп.расчеты!$A28,'Как есть'!P101:P108)</f>
        <v>0</v>
      </c>
      <c r="P28">
        <f>SUMIF('Как есть'!$A101:$A108,Доп.расчеты!$A28,'Как есть'!Q101:Q108)</f>
        <v>0</v>
      </c>
      <c r="Q28">
        <f>SUMIF('Как есть'!$A101:$A108,Доп.расчеты!$A28,'Как есть'!R101:R108)</f>
        <v>0</v>
      </c>
      <c r="R28">
        <f>SUMIF('Как есть'!$A101:$A108,Доп.расчеты!$A28,'Как есть'!S101:S108)</f>
        <v>0</v>
      </c>
      <c r="S28">
        <f>SUMIF('Как есть'!$A101:$A108,Доп.расчеты!$A28,'Как есть'!T101:T108)</f>
        <v>0</v>
      </c>
      <c r="T28">
        <f>SUMIF('Как есть'!$A101:$A108,Доп.расчеты!$A28,'Как есть'!U101:U108)</f>
        <v>0</v>
      </c>
      <c r="U28">
        <f>SUMIF('Как есть'!$A101:$A108,Доп.расчеты!$A28,'Как есть'!V101:V108)</f>
        <v>0</v>
      </c>
      <c r="V28">
        <f>SUMIF('Как есть'!$A101:$A108,Доп.расчеты!$A28,'Как есть'!W101:W108)</f>
        <v>0</v>
      </c>
      <c r="W28">
        <f>SUMIF('Как есть'!$A101:$A108,Доп.расчеты!$A28,'Как есть'!X101:X108)</f>
        <v>0</v>
      </c>
      <c r="X28">
        <f>SUMIF('Как есть'!$A101:$A108,Доп.расчеты!$A28,'Как есть'!Y101:Y108)</f>
        <v>0</v>
      </c>
      <c r="Y28">
        <f>SUMIF('Как есть'!$A101:$A108,Доп.расчеты!$A28,'Как есть'!Z101:Z108)</f>
        <v>0</v>
      </c>
      <c r="Z28">
        <f>SUMIF('Как есть'!$A101:$A108,Доп.расчеты!$A28,'Как есть'!AA101:AA108)</f>
        <v>0</v>
      </c>
      <c r="AA28">
        <f>SUMIF('Как есть'!$A101:$A108,Доп.расчеты!$A28,'Как есть'!AB101:AB108)</f>
        <v>0</v>
      </c>
      <c r="AB28">
        <f>SUMIF('Как есть'!$A101:$A108,Доп.расчеты!$A28,'Как есть'!AC101:AC108)</f>
        <v>0</v>
      </c>
      <c r="AC28">
        <f>SUMIF('Как есть'!$A101:$A108,Доп.расчеты!$A28,'Как есть'!AD101:AD108)</f>
        <v>0</v>
      </c>
      <c r="AD28">
        <f>SUMIF('Как есть'!$A101:$A108,Доп.расчеты!$A28,'Как есть'!AE101:AE108)</f>
        <v>0</v>
      </c>
      <c r="AE28">
        <f>SUMIF('Как есть'!$A101:$A108,Доп.расчеты!$A28,'Как есть'!AF101:AF108)</f>
        <v>0</v>
      </c>
      <c r="AF28">
        <f>SUMIF('Как есть'!$A101:$A108,Доп.расчеты!$A28,'Как есть'!AG101:AG108)</f>
        <v>0</v>
      </c>
      <c r="AG28">
        <f>SUMIF('Как есть'!$A101:$A108,Доп.расчеты!$A28,'Как есть'!AH101:AH108)</f>
        <v>0</v>
      </c>
      <c r="AH28">
        <f>SUMIF('Как есть'!$A101:$A108,Доп.расчеты!$A28,'Как есть'!AI101:AI108)</f>
        <v>0</v>
      </c>
      <c r="AI28">
        <f>SUMIF('Как есть'!$A101:$A108,Доп.расчеты!$A28,'Как есть'!AJ101:AJ108)</f>
        <v>0</v>
      </c>
      <c r="AJ28">
        <f>SUMIF('Как есть'!$A101:$A108,Доп.расчеты!$A28,'Как есть'!AK101:AK108)</f>
        <v>0</v>
      </c>
      <c r="AK28">
        <f>SUMIF('Как есть'!$A101:$A108,Доп.расчеты!$A28,'Как есть'!AL101:AL108)</f>
        <v>0</v>
      </c>
      <c r="AL28">
        <f>SUMIF('Как есть'!$A101:$A108,Доп.расчеты!$A28,'Как есть'!AM101:AM108)</f>
        <v>0</v>
      </c>
      <c r="AM28">
        <f>SUMIF('Как есть'!$A101:$A108,Доп.расчеты!$A28,'Как есть'!AN101:AN108)</f>
        <v>0</v>
      </c>
      <c r="AN28">
        <f>SUMIF('Как есть'!$A101:$A108,Доп.расчеты!$A28,'Как есть'!AO101:AO108)</f>
        <v>0</v>
      </c>
      <c r="AO28">
        <f>SUMIF('Как есть'!$A101:$A108,Доп.расчеты!$A28,'Как есть'!AP101:AP108)</f>
        <v>0</v>
      </c>
      <c r="AP28">
        <f>SUMIF('Как есть'!$A101:$A108,Доп.расчеты!$A28,'Как есть'!AQ101:AQ108)</f>
        <v>0</v>
      </c>
      <c r="AQ28">
        <f>SUMIF('Как есть'!$A101:$A108,Доп.расчеты!$A28,'Как есть'!AR101:AR108)</f>
        <v>0</v>
      </c>
      <c r="AR28">
        <f>SUMIF('Как есть'!$A101:$A108,Доп.расчеты!$A28,'Как есть'!AS101:AS108)</f>
        <v>0</v>
      </c>
      <c r="AS28">
        <f>SUMIF('Как есть'!$A101:$A108,Доп.расчеты!$A28,'Как есть'!AT101:AT108)</f>
        <v>0</v>
      </c>
      <c r="AT28">
        <f>SUMIF('Как есть'!$A101:$A108,Доп.расчеты!$A28,'Как есть'!AU101:AU108)</f>
        <v>0</v>
      </c>
      <c r="AU28">
        <f>SUMIF('Как есть'!$A101:$A108,Доп.расчеты!$A28,'Как есть'!AV101:AV108)</f>
        <v>0</v>
      </c>
      <c r="AV28">
        <f>SUMIF('Как есть'!$A101:$A108,Доп.расчеты!$A28,'Как есть'!AW101:AW108)</f>
        <v>0</v>
      </c>
      <c r="AW28">
        <f>SUMIF('Как есть'!$A101:$A108,Доп.расчеты!$A28,'Как есть'!AX101:AX108)</f>
        <v>0</v>
      </c>
      <c r="AX28">
        <f>SUMIF('Как есть'!$A101:$A108,Доп.расчеты!$A28,'Как есть'!AY101:AY108)</f>
        <v>0</v>
      </c>
      <c r="AY28">
        <f>SUMIF('Как есть'!$A101:$A108,Доп.расчеты!$A28,'Как есть'!AZ101:AZ108)</f>
        <v>0</v>
      </c>
      <c r="AZ28">
        <f>SUMIF('Как есть'!$A101:$A108,Доп.расчеты!$A28,'Как есть'!BA101:BA108)</f>
        <v>0</v>
      </c>
      <c r="BA28">
        <f>SUMIF('Как есть'!$A101:$A108,Доп.расчеты!$A28,'Как есть'!BB101:BB108)</f>
        <v>0</v>
      </c>
      <c r="BB28">
        <f>SUMIF('Как есть'!$A101:$A108,Доп.расчеты!$A28,'Как есть'!BC101:BC108)</f>
        <v>0</v>
      </c>
      <c r="BC28">
        <f>SUMIF('Как есть'!$A101:$A108,Доп.расчеты!$A28,'Как есть'!BD101:BD108)</f>
        <v>0</v>
      </c>
      <c r="BD28">
        <f>SUMIF('Как есть'!$A101:$A108,Доп.расчеты!$A28,'Как есть'!BE101:BE108)</f>
        <v>0</v>
      </c>
      <c r="BE28">
        <f>SUMIF('Как есть'!$A101:$A108,Доп.расчеты!$A28,'Как есть'!BF101:BF108)</f>
        <v>0</v>
      </c>
      <c r="BF28">
        <f>SUMIF('Как есть'!$A101:$A108,Доп.расчеты!$A28,'Как есть'!BG101:BG108)</f>
        <v>0</v>
      </c>
      <c r="BG28">
        <f>SUMIF('Как есть'!$A101:$A108,Доп.расчеты!$A28,'Как есть'!BH101:BH108)</f>
        <v>0</v>
      </c>
      <c r="BH28">
        <f>SUMIF('Как есть'!$A101:$A108,Доп.расчеты!$A28,'Как есть'!BI101:BI108)</f>
        <v>0</v>
      </c>
      <c r="BI28">
        <f>SUMIF('Как есть'!$A101:$A108,Доп.расчеты!$A28,'Как есть'!BJ101:BJ108)</f>
        <v>0</v>
      </c>
      <c r="BJ28">
        <f>SUMIF('Как есть'!$A101:$A108,Доп.расчеты!$A28,'Как есть'!BK101:BK108)</f>
        <v>0</v>
      </c>
      <c r="BK28">
        <f>SUMIF('Как есть'!$A101:$A108,Доп.расчеты!$A28,'Как есть'!BL101:BL108)</f>
        <v>0</v>
      </c>
      <c r="BL28">
        <f>SUMIF('Как есть'!$A101:$A108,Доп.расчеты!$A28,'Как есть'!BM101:BM108)</f>
        <v>0</v>
      </c>
      <c r="BM28">
        <f>SUMIF('Как есть'!$A101:$A108,Доп.расчеты!$A28,'Как есть'!BN101:BN108)</f>
        <v>0</v>
      </c>
      <c r="BN28">
        <f>SUMIF('Как есть'!$A101:$A108,Доп.расчеты!$A28,'Как есть'!BO101:BO108)</f>
        <v>0</v>
      </c>
      <c r="BO28">
        <f>SUMIF('Как есть'!$A101:$A108,Доп.расчеты!$A28,'Как есть'!BP101:BP108)</f>
        <v>0</v>
      </c>
      <c r="BP28">
        <f>SUMIF('Как есть'!$A101:$A108,Доп.расчеты!$A28,'Как есть'!BQ101:BQ108)</f>
        <v>0</v>
      </c>
      <c r="BQ28">
        <f>SUMIF('Как есть'!$A101:$A108,Доп.расчеты!$A28,'Как есть'!BR101:BR108)</f>
        <v>0</v>
      </c>
      <c r="BR28">
        <f>SUMIF('Как есть'!$A101:$A108,Доп.расчеты!$A28,'Как есть'!BS101:BS108)</f>
        <v>0</v>
      </c>
      <c r="BS28">
        <f>SUMIF('Как есть'!$A101:$A108,Доп.расчеты!$A28,'Как есть'!BT101:BT108)</f>
        <v>0</v>
      </c>
      <c r="BT28">
        <f>SUMIF('Как есть'!$A101:$A108,Доп.расчеты!$A28,'Как есть'!BU101:BU108)</f>
        <v>0</v>
      </c>
      <c r="BU28">
        <f>SUMIF('Как есть'!$A101:$A108,Доп.расчеты!$A28,'Как есть'!BV101:BV108)</f>
        <v>0</v>
      </c>
      <c r="BV28">
        <f>SUMIF('Как есть'!$A101:$A108,Доп.расчеты!$A28,'Как есть'!BW101:BW108)</f>
        <v>0</v>
      </c>
      <c r="BW28">
        <f>SUMIF('Как есть'!$A101:$A108,Доп.расчеты!$A28,'Как есть'!BX101:BX108)</f>
        <v>0</v>
      </c>
      <c r="BX28">
        <f>SUMIF('Как есть'!$A101:$A108,Доп.расчеты!$A28,'Как есть'!BY101:BY108)</f>
        <v>0</v>
      </c>
      <c r="BY28">
        <f>SUMIF('Как есть'!$A101:$A108,Доп.расчеты!$A28,'Как есть'!BZ101:BZ108)</f>
        <v>0</v>
      </c>
      <c r="BZ28">
        <f>SUMIF('Как есть'!$A101:$A108,Доп.расчеты!$A28,'Как есть'!CA101:CA108)</f>
        <v>0</v>
      </c>
      <c r="CA28">
        <f>SUMIF('Как есть'!$A101:$A108,Доп.расчеты!$A28,'Как есть'!CB101:CB108)</f>
        <v>0</v>
      </c>
      <c r="CB28">
        <f>SUMIF('Как есть'!$A101:$A108,Доп.расчеты!$A28,'Как есть'!CC101:CC108)</f>
        <v>0</v>
      </c>
      <c r="CC28">
        <f>SUMIF('Как есть'!$A101:$A108,Доп.расчеты!$A28,'Как есть'!CD101:CD108)</f>
        <v>0</v>
      </c>
      <c r="CD28">
        <f>SUMIF('Как есть'!$A101:$A108,Доп.расчеты!$A28,'Как есть'!CE101:CE108)</f>
        <v>0</v>
      </c>
      <c r="CE28">
        <f>SUMIF('Как есть'!$A101:$A108,Доп.расчеты!$A28,'Как есть'!CF101:CF108)</f>
        <v>0</v>
      </c>
      <c r="CF28">
        <f>SUMIF('Как есть'!$A101:$A108,Доп.расчеты!$A28,'Как есть'!CG101:CG108)</f>
        <v>0</v>
      </c>
      <c r="CG28">
        <f>SUMIF('Как есть'!$A101:$A108,Доп.расчеты!$A28,'Как есть'!CH101:CH108)</f>
        <v>0</v>
      </c>
      <c r="CH28">
        <f>SUMIF('Как есть'!$A101:$A108,Доп.расчеты!$A28,'Как есть'!CI101:CI108)</f>
        <v>0</v>
      </c>
      <c r="CI28">
        <f>SUMIF('Как есть'!$A101:$A108,Доп.расчеты!$A28,'Как есть'!CJ101:CJ108)</f>
        <v>0</v>
      </c>
      <c r="CJ28">
        <f>SUMIF('Как есть'!$A101:$A108,Доп.расчеты!$A28,'Как есть'!CK101:CK108)</f>
        <v>0</v>
      </c>
      <c r="CK28">
        <f>SUMIF('Как есть'!$A101:$A108,Доп.расчеты!$A28,'Как есть'!CL101:CL108)</f>
        <v>0</v>
      </c>
      <c r="CL28">
        <f>SUMIF('Как есть'!$A101:$A108,Доп.расчеты!$A28,'Как есть'!CM101:CM108)</f>
        <v>0</v>
      </c>
      <c r="CM28">
        <f>SUMIF('Как есть'!$A101:$A108,Доп.расчеты!$A28,'Как есть'!CN101:CN108)</f>
        <v>0</v>
      </c>
      <c r="CN28">
        <f>SUMIF('Как есть'!$A101:$A108,Доп.расчеты!$A28,'Как есть'!CO101:CO108)</f>
        <v>0</v>
      </c>
      <c r="CO28">
        <f>SUMIF('Как есть'!$A101:$A108,Доп.расчеты!$A28,'Как есть'!CP101:CP108)</f>
        <v>0</v>
      </c>
      <c r="CP28">
        <f>SUMIF('Как есть'!$A101:$A108,Доп.расчеты!$A28,'Как есть'!CQ101:CQ108)</f>
        <v>0</v>
      </c>
      <c r="CQ28">
        <f>SUMIF('Как есть'!$A101:$A108,Доп.расчеты!$A28,'Как есть'!CR101:CR108)</f>
        <v>0</v>
      </c>
      <c r="CR28">
        <f>SUMIF('Как есть'!$A101:$A108,Доп.расчеты!$A28,'Как есть'!CS101:CS108)</f>
        <v>0</v>
      </c>
      <c r="CS28">
        <f>SUMIF('Как есть'!$A101:$A108,Доп.расчеты!$A28,'Как есть'!CT101:CT108)</f>
        <v>0</v>
      </c>
      <c r="CT28">
        <f>SUMIF('Как есть'!$A101:$A108,Доп.расчеты!$A28,'Как есть'!CU101:CU108)</f>
        <v>0</v>
      </c>
      <c r="CU28">
        <f>SUMIF('Как есть'!$A101:$A108,Доп.расчеты!$A28,'Как есть'!CV101:CV108)</f>
        <v>0</v>
      </c>
      <c r="CV28">
        <f>SUMIF('Как есть'!$A101:$A108,Доп.расчеты!$A28,'Как есть'!CW101:CW108)</f>
        <v>0</v>
      </c>
      <c r="CW28">
        <f>SUMIF('Как есть'!$A101:$A108,Доп.расчеты!$A28,'Как есть'!CX101:CX108)</f>
        <v>0</v>
      </c>
      <c r="CX28">
        <f>SUMIF('Как есть'!$A101:$A108,Доп.расчеты!$A28,'Как есть'!CY101:CY108)</f>
        <v>0</v>
      </c>
      <c r="CY28">
        <f>SUMIF('Как есть'!$A101:$A108,Доп.расчеты!$A28,'Как есть'!CZ101:CZ108)</f>
        <v>0</v>
      </c>
      <c r="CZ28">
        <f>SUMIF('Как есть'!$A101:$A108,Доп.расчеты!$A28,'Как есть'!DA101:DA108)</f>
        <v>0</v>
      </c>
      <c r="DA28">
        <f>SUMIF('Как есть'!$A101:$A108,Доп.расчеты!$A28,'Как есть'!DB101:DB108)</f>
        <v>0</v>
      </c>
      <c r="DB28">
        <f>SUMIF('Как есть'!$A101:$A108,Доп.расчеты!$A28,'Как есть'!DC101:DC108)</f>
        <v>0</v>
      </c>
      <c r="DC28">
        <f>SUMIF('Как есть'!$A101:$A108,Доп.расчеты!$A28,'Как есть'!DD101:DD108)</f>
        <v>0</v>
      </c>
      <c r="DD28">
        <f>SUMIF('Как есть'!$A101:$A108,Доп.расчеты!$A28,'Как есть'!DE101:DE108)</f>
        <v>0</v>
      </c>
      <c r="DE28">
        <f>SUMIF('Как есть'!$A101:$A108,Доп.расчеты!$A28,'Как есть'!DF101:DF108)</f>
        <v>0</v>
      </c>
      <c r="DF28">
        <f>SUMIF('Как есть'!$A101:$A108,Доп.расчеты!$A28,'Как есть'!DG101:DG108)</f>
        <v>0</v>
      </c>
      <c r="DG28">
        <f>SUMIF('Как есть'!$A101:$A108,Доп.расчеты!$A28,'Как есть'!DH101:DH108)</f>
        <v>0</v>
      </c>
      <c r="DH28">
        <f>SUMIF('Как есть'!$A101:$A108,Доп.расчеты!$A28,'Как есть'!DI101:DI108)</f>
        <v>0</v>
      </c>
      <c r="DI28">
        <f>SUMIF('Как есть'!$A101:$A108,Доп.расчеты!$A28,'Как есть'!DJ101:DJ108)</f>
        <v>0</v>
      </c>
      <c r="DJ28">
        <f>SUMIF('Как есть'!$A101:$A108,Доп.расчеты!$A28,'Как есть'!DK101:DK108)</f>
        <v>0</v>
      </c>
      <c r="DK28">
        <f>SUMIF('Как есть'!$A101:$A108,Доп.расчеты!$A28,'Как есть'!DL101:DL108)</f>
        <v>0</v>
      </c>
      <c r="DL28">
        <f>SUMIF('Как есть'!$A101:$A108,Доп.расчеты!$A28,'Как есть'!DM101:DM108)</f>
        <v>0</v>
      </c>
      <c r="DM28">
        <f>SUMIF('Как есть'!$A101:$A108,Доп.расчеты!$A28,'Как есть'!DN101:DN108)</f>
        <v>0</v>
      </c>
      <c r="DN28">
        <f>SUMIF('Как есть'!$A101:$A108,Доп.расчеты!$A28,'Как есть'!DO101:DO108)</f>
        <v>0</v>
      </c>
      <c r="DO28">
        <f>SUMIF('Как есть'!$A101:$A108,Доп.расчеты!$A28,'Как есть'!DP101:DP108)</f>
        <v>0</v>
      </c>
      <c r="DP28">
        <f>SUMIF('Как есть'!$A101:$A108,Доп.расчеты!$A28,'Как есть'!DQ101:DQ108)</f>
        <v>0</v>
      </c>
      <c r="DQ28">
        <f>SUMIF('Как есть'!$A101:$A108,Доп.расчеты!$A28,'Как есть'!DR101:DR108)</f>
        <v>0</v>
      </c>
      <c r="DR28">
        <f>SUMIF('Как есть'!$A101:$A108,Доп.расчеты!$A28,'Как есть'!DS101:DS108)</f>
        <v>0</v>
      </c>
      <c r="DS28">
        <f>SUMIF('Как есть'!$A101:$A108,Доп.расчеты!$A28,'Как есть'!DT101:DT108)</f>
        <v>0</v>
      </c>
      <c r="DT28">
        <f>SUMIF('Как есть'!$A101:$A108,Доп.расчеты!$A28,'Как есть'!DU101:DU108)</f>
        <v>0</v>
      </c>
      <c r="DU28">
        <f>SUMIF('Как есть'!$A101:$A108,Доп.расчеты!$A28,'Как есть'!DV101:DV108)</f>
        <v>0</v>
      </c>
      <c r="DV28">
        <f>SUMIF('Как есть'!$A101:$A108,Доп.расчеты!$A28,'Как есть'!DW101:DW108)</f>
        <v>0</v>
      </c>
      <c r="DW28">
        <f>SUMIF('Как есть'!$A101:$A108,Доп.расчеты!$A28,'Как есть'!DX101:DX108)</f>
        <v>0</v>
      </c>
      <c r="DX28">
        <f>SUMIF('Как есть'!$A101:$A108,Доп.расчеты!$A28,'Как есть'!DY101:DY108)</f>
        <v>0</v>
      </c>
      <c r="DY28">
        <f>SUMIF('Как есть'!$A101:$A108,Доп.расчеты!$A28,'Как есть'!DZ101:DZ108)</f>
        <v>0</v>
      </c>
      <c r="DZ28">
        <f>SUMIF('Как есть'!$A101:$A108,Доп.расчеты!$A28,'Как есть'!EA101:EA108)</f>
        <v>0</v>
      </c>
      <c r="EA28">
        <f>SUMIF('Как есть'!$A101:$A108,Доп.расчеты!$A28,'Как есть'!EB101:EB108)</f>
        <v>0</v>
      </c>
      <c r="EB28">
        <f>SUMIF('Как есть'!$A101:$A108,Доп.расчеты!$A28,'Как есть'!EC101:EC108)</f>
        <v>0</v>
      </c>
      <c r="EC28">
        <f>SUMIF('Как есть'!$A101:$A108,Доп.расчеты!$A28,'Как есть'!ED101:ED108)</f>
        <v>0</v>
      </c>
      <c r="ED28">
        <f>SUMIF('Как есть'!$A101:$A108,Доп.расчеты!$A28,'Как есть'!EE101:EE108)</f>
        <v>0</v>
      </c>
      <c r="EE28">
        <f>SUMIF('Как есть'!$A101:$A108,Доп.расчеты!$A28,'Как есть'!EF101:EF108)</f>
        <v>0</v>
      </c>
      <c r="EF28">
        <f>SUMIF('Как есть'!$A101:$A108,Доп.расчеты!$A28,'Как есть'!EG101:EG108)</f>
        <v>0</v>
      </c>
      <c r="EG28">
        <f>SUMIF('Как есть'!$A101:$A108,Доп.расчеты!$A28,'Как есть'!EH101:EH108)</f>
        <v>0</v>
      </c>
      <c r="EH28">
        <f>SUMIF('Как есть'!$A101:$A108,Доп.расчеты!$A28,'Как есть'!EI101:EI108)</f>
        <v>0</v>
      </c>
      <c r="EI28">
        <f>SUMIF('Как есть'!$A101:$A108,Доп.расчеты!$A28,'Как есть'!EJ101:EJ108)</f>
        <v>0</v>
      </c>
      <c r="EJ28">
        <f>SUMIF('Как есть'!$A101:$A108,Доп.расчеты!$A28,'Как есть'!EK101:EK108)</f>
        <v>0</v>
      </c>
      <c r="EK28">
        <f>SUMIF('Как есть'!$A101:$A108,Доп.расчеты!$A28,'Как есть'!EL101:EL108)</f>
        <v>0</v>
      </c>
      <c r="EL28">
        <f>SUMIF('Как есть'!$A101:$A108,Доп.расчеты!$A28,'Как есть'!EM101:EM108)</f>
        <v>0</v>
      </c>
      <c r="EM28">
        <f>SUMIF('Как есть'!$A101:$A108,Доп.расчеты!$A28,'Как есть'!EN101:EN108)</f>
        <v>0</v>
      </c>
      <c r="EN28">
        <f>SUMIF('Как есть'!$A101:$A108,Доп.расчеты!$A28,'Как есть'!EO101:EO108)</f>
        <v>0</v>
      </c>
      <c r="EO28">
        <f>SUMIF('Как есть'!$A101:$A108,Доп.расчеты!$A28,'Как есть'!EP101:EP108)</f>
        <v>0</v>
      </c>
      <c r="EP28">
        <f>SUMIF('Как есть'!$A101:$A108,Доп.расчеты!$A28,'Как есть'!EQ101:EQ108)</f>
        <v>0</v>
      </c>
      <c r="EQ28">
        <f>SUMIF('Как есть'!$A101:$A108,Доп.расчеты!$A28,'Как есть'!ER101:ER108)</f>
        <v>0</v>
      </c>
      <c r="ER28">
        <f>SUMIF('Как есть'!$A101:$A108,Доп.расчеты!$A28,'Как есть'!ES101:ES108)</f>
        <v>0</v>
      </c>
      <c r="ES28">
        <f>SUMIF('Как есть'!$A101:$A108,Доп.расчеты!$A28,'Как есть'!ET101:ET108)</f>
        <v>0</v>
      </c>
      <c r="ET28">
        <f>SUMIF('Как есть'!$A101:$A108,Доп.расчеты!$A28,'Как есть'!EU101:EU108)</f>
        <v>0</v>
      </c>
      <c r="EU28">
        <f>SUMIF('Как есть'!$A101:$A108,Доп.расчеты!$A28,'Как есть'!EV101:EV108)</f>
        <v>0</v>
      </c>
      <c r="EV28">
        <f>SUMIF('Как есть'!$A101:$A108,Доп.расчеты!$A28,'Как есть'!EW101:EW108)</f>
        <v>0</v>
      </c>
      <c r="EW28">
        <f>SUMIF('Как есть'!$A101:$A108,Доп.расчеты!$A28,'Как есть'!EX101:EX108)</f>
        <v>0</v>
      </c>
      <c r="EX28">
        <f>SUMIF('Как есть'!$A101:$A108,Доп.расчеты!$A28,'Как есть'!EY101:EY108)</f>
        <v>0</v>
      </c>
      <c r="EY28">
        <f>SUMIF('Как есть'!$A101:$A108,Доп.расчеты!$A28,'Как есть'!EZ101:EZ108)</f>
        <v>0</v>
      </c>
      <c r="EZ28">
        <f>SUMIF('Как есть'!$A101:$A108,Доп.расчеты!$A28,'Как есть'!FA101:FA108)</f>
        <v>0</v>
      </c>
      <c r="FA28">
        <f>SUMIF('Как есть'!$A101:$A108,Доп.расчеты!$A28,'Как есть'!FB101:FB108)</f>
        <v>0</v>
      </c>
      <c r="FB28">
        <f>SUMIF('Как есть'!$A101:$A108,Доп.расчеты!$A28,'Как есть'!FC101:FC108)</f>
        <v>0</v>
      </c>
      <c r="FC28">
        <f>SUMIF('Как есть'!$A101:$A108,Доп.расчеты!$A28,'Как есть'!FD101:FD108)</f>
        <v>0</v>
      </c>
      <c r="FD28">
        <f>SUMIF('Как есть'!$A101:$A108,Доп.расчеты!$A28,'Как есть'!FE101:FE108)</f>
        <v>0</v>
      </c>
      <c r="FE28">
        <f>SUMIF('Как есть'!$A101:$A108,Доп.расчеты!$A28,'Как есть'!FF101:FF108)</f>
        <v>0</v>
      </c>
      <c r="FF28">
        <f>SUMIF('Как есть'!$A101:$A108,Доп.расчеты!$A28,'Как есть'!FG101:FG108)</f>
        <v>0</v>
      </c>
      <c r="FG28">
        <f>SUMIF('Как есть'!$A101:$A108,Доп.расчеты!$A28,'Как есть'!FH101:FH108)</f>
        <v>0</v>
      </c>
      <c r="FH28">
        <f>SUMIF('Как есть'!$A101:$A108,Доп.расчеты!$A28,'Как есть'!FI101:FI108)</f>
        <v>0</v>
      </c>
      <c r="FI28">
        <f>SUMIF('Как есть'!$A101:$A108,Доп.расчеты!$A28,'Как есть'!FJ101:FJ108)</f>
        <v>0</v>
      </c>
      <c r="FJ28">
        <f>SUMIF('Как есть'!$A101:$A108,Доп.расчеты!$A28,'Как есть'!FK101:FK108)</f>
        <v>0</v>
      </c>
      <c r="FK28">
        <f>SUMIF('Как есть'!$A101:$A108,Доп.расчеты!$A28,'Как есть'!FL101:FL108)</f>
        <v>0</v>
      </c>
      <c r="FL28">
        <f>SUMIF('Как есть'!$A101:$A108,Доп.расчеты!$A28,'Как есть'!FM101:FM108)</f>
        <v>0</v>
      </c>
      <c r="FM28">
        <f>SUMIF('Как есть'!$A101:$A108,Доп.расчеты!$A28,'Как есть'!FN101:FN108)</f>
        <v>0</v>
      </c>
      <c r="FN28">
        <f>SUMIF('Как есть'!$A101:$A108,Доп.расчеты!$A28,'Как есть'!FO101:FO108)</f>
        <v>0</v>
      </c>
      <c r="FO28">
        <f>SUMIF('Как есть'!$A101:$A108,Доп.расчеты!$A28,'Как есть'!FP101:FP108)</f>
        <v>0</v>
      </c>
      <c r="FP28">
        <f>SUMIF('Как есть'!$A101:$A108,Доп.расчеты!$A28,'Как есть'!FQ101:FQ108)</f>
        <v>0</v>
      </c>
      <c r="FQ28">
        <f>SUMIF('Как есть'!$A101:$A108,Доп.расчеты!$A28,'Как есть'!FR101:FR108)</f>
        <v>0</v>
      </c>
      <c r="FR28">
        <f>SUMIF('Как есть'!$A101:$A108,Доп.расчеты!$A28,'Как есть'!FS101:FS108)</f>
        <v>0</v>
      </c>
      <c r="FS28">
        <f>SUMIF('Как есть'!$A101:$A108,Доп.расчеты!$A28,'Как есть'!FT101:FT108)</f>
        <v>0</v>
      </c>
      <c r="FT28">
        <f>SUMIF('Как есть'!$A101:$A108,Доп.расчеты!$A28,'Как есть'!FU101:FU108)</f>
        <v>0</v>
      </c>
      <c r="FU28">
        <f>SUMIF('Как есть'!$A101:$A108,Доп.расчеты!$A28,'Как есть'!FV101:FV108)</f>
        <v>0</v>
      </c>
      <c r="FV28">
        <f>SUMIF('Как есть'!$A101:$A108,Доп.расчеты!$A28,'Как есть'!FW101:FW108)</f>
        <v>0</v>
      </c>
      <c r="FW28">
        <f>SUMIF('Как есть'!$A101:$A108,Доп.расчеты!$A28,'Как есть'!FX101:FX108)</f>
        <v>0</v>
      </c>
      <c r="FX28">
        <f>SUMIF('Как есть'!$A101:$A108,Доп.расчеты!$A28,'Как есть'!FY101:FY108)</f>
        <v>0</v>
      </c>
      <c r="FY28">
        <f>SUMIF('Как есть'!$A101:$A108,Доп.расчеты!$A28,'Как есть'!FZ101:FZ108)</f>
        <v>0</v>
      </c>
      <c r="FZ28">
        <f>SUMIF('Как есть'!$A101:$A108,Доп.расчеты!$A28,'Как есть'!GA101:GA108)</f>
        <v>0</v>
      </c>
      <c r="GA28">
        <f>SUMIF('Как есть'!$A101:$A108,Доп.расчеты!$A28,'Как есть'!GB101:GB108)</f>
        <v>0</v>
      </c>
      <c r="GB28">
        <f>SUMIF('Как есть'!$A101:$A108,Доп.расчеты!$A28,'Как есть'!GC101:GC108)</f>
        <v>0</v>
      </c>
      <c r="GC28">
        <f>SUMIF('Как есть'!$A101:$A108,Доп.расчеты!$A28,'Как есть'!GD101:GD108)</f>
        <v>0</v>
      </c>
      <c r="GD28">
        <f>SUMIF('Как есть'!$A101:$A108,Доп.расчеты!$A28,'Как есть'!GE101:GE108)</f>
        <v>0</v>
      </c>
      <c r="GE28">
        <f>SUMIF('Как есть'!$A101:$A108,Доп.расчеты!$A28,'Как есть'!GF101:GF108)</f>
        <v>0</v>
      </c>
      <c r="GF28">
        <f>SUMIF('Как есть'!$A101:$A108,Доп.расчеты!$A28,'Как есть'!GG101:GG108)</f>
        <v>0</v>
      </c>
      <c r="GG28">
        <f>SUMIF('Как есть'!$A101:$A108,Доп.расчеты!$A28,'Как есть'!GH101:GH108)</f>
        <v>0</v>
      </c>
      <c r="GH28">
        <f>SUMIF('Как есть'!$A101:$A108,Доп.расчеты!$A28,'Как есть'!GI101:GI108)</f>
        <v>0</v>
      </c>
      <c r="GI28">
        <f>SUMIF('Как есть'!$A101:$A108,Доп.расчеты!$A28,'Как есть'!GJ101:GJ108)</f>
        <v>0</v>
      </c>
      <c r="GJ28">
        <f>SUMIF('Как есть'!$A101:$A108,Доп.расчеты!$A28,'Как есть'!GK101:GK108)</f>
        <v>0</v>
      </c>
      <c r="GK28">
        <f>SUMIF('Как есть'!$A101:$A108,Доп.расчеты!$A28,'Как есть'!GL101:GL108)</f>
        <v>0</v>
      </c>
      <c r="GL28">
        <f>SUMIF('Как есть'!$A101:$A108,Доп.расчеты!$A28,'Как есть'!GM101:GM108)</f>
        <v>0</v>
      </c>
      <c r="GM28">
        <f>SUMIF('Как есть'!$A101:$A108,Доп.расчеты!$A28,'Как есть'!GN101:GN108)</f>
        <v>0</v>
      </c>
      <c r="GN28">
        <f>SUMIF('Как есть'!$A101:$A108,Доп.расчеты!$A28,'Как есть'!GO101:GO108)</f>
        <v>0</v>
      </c>
      <c r="GO28">
        <f>SUMIF('Как есть'!$A101:$A108,Доп.расчеты!$A28,'Как есть'!GP101:GP108)</f>
        <v>0</v>
      </c>
      <c r="GP28">
        <f>SUMIF('Как есть'!$A101:$A108,Доп.расчеты!$A28,'Как есть'!GQ101:GQ108)</f>
        <v>0</v>
      </c>
      <c r="GQ28">
        <f>SUMIF('Как есть'!$A101:$A108,Доп.расчеты!$A28,'Как есть'!GR101:GR108)</f>
        <v>0</v>
      </c>
      <c r="GR28">
        <f>SUMIF('Как есть'!$A101:$A108,Доп.расчеты!$A28,'Как есть'!GS101:GS108)</f>
        <v>0</v>
      </c>
      <c r="GS28">
        <f>SUMIF('Как есть'!$A101:$A108,Доп.расчеты!$A28,'Как есть'!GT101:GT108)</f>
        <v>0</v>
      </c>
      <c r="GT28">
        <f>SUMIF('Как есть'!$A101:$A108,Доп.расчеты!$A28,'Как есть'!GU101:GU108)</f>
        <v>0</v>
      </c>
    </row>
    <row r="29" spans="1:202">
      <c r="A29" s="236" t="s">
        <v>117</v>
      </c>
      <c r="B29">
        <f>SUMIF('Как есть'!$A101:$A108,Доп.расчеты!$A29,'Как есть'!C101:C108)</f>
        <v>0</v>
      </c>
      <c r="C29">
        <f>SUMIF('Как есть'!$A101:$A108,Доп.расчеты!$A29,'Как есть'!D101:D108)</f>
        <v>0</v>
      </c>
      <c r="D29">
        <f>SUMIF('Как есть'!$A101:$A108,Доп.расчеты!$A29,'Как есть'!E101:E108)</f>
        <v>0</v>
      </c>
      <c r="E29">
        <f>SUMIF('Как есть'!$A101:$A108,Доп.расчеты!$A29,'Как есть'!F101:F108)</f>
        <v>0</v>
      </c>
      <c r="F29">
        <f>SUMIF('Как есть'!$A101:$A108,Доп.расчеты!$A29,'Как есть'!G101:G108)</f>
        <v>0</v>
      </c>
      <c r="G29">
        <f>SUMIF('Как есть'!$A101:$A108,Доп.расчеты!$A29,'Как есть'!H101:H108)</f>
        <v>0</v>
      </c>
      <c r="H29">
        <f>SUMIF('Как есть'!$A101:$A108,Доп.расчеты!$A29,'Как есть'!I101:I108)</f>
        <v>0</v>
      </c>
      <c r="I29">
        <f>SUMIF('Как есть'!$A101:$A108,Доп.расчеты!$A29,'Как есть'!J101:J108)</f>
        <v>0</v>
      </c>
      <c r="J29">
        <f>SUMIF('Как есть'!$A101:$A108,Доп.расчеты!$A29,'Как есть'!K101:K108)</f>
        <v>0</v>
      </c>
      <c r="K29">
        <f>SUMIF('Как есть'!$A101:$A108,Доп.расчеты!$A29,'Как есть'!L101:L108)</f>
        <v>0</v>
      </c>
      <c r="L29">
        <f>SUMIF('Как есть'!$A101:$A108,Доп.расчеты!$A29,'Как есть'!M101:M108)</f>
        <v>0</v>
      </c>
      <c r="M29">
        <f>SUMIF('Как есть'!$A101:$A108,Доп.расчеты!$A29,'Как есть'!N101:N108)</f>
        <v>0</v>
      </c>
      <c r="N29">
        <f>SUMIF('Как есть'!$A101:$A108,Доп.расчеты!$A29,'Как есть'!O101:O108)</f>
        <v>0</v>
      </c>
      <c r="O29">
        <f>SUMIF('Как есть'!$A101:$A108,Доп.расчеты!$A29,'Как есть'!P101:P108)</f>
        <v>0</v>
      </c>
      <c r="P29">
        <f>SUMIF('Как есть'!$A101:$A108,Доп.расчеты!$A29,'Как есть'!Q101:Q108)</f>
        <v>0</v>
      </c>
      <c r="Q29">
        <f>SUMIF('Как есть'!$A101:$A108,Доп.расчеты!$A29,'Как есть'!R101:R108)</f>
        <v>0</v>
      </c>
      <c r="R29">
        <f>SUMIF('Как есть'!$A101:$A108,Доп.расчеты!$A29,'Как есть'!S101:S108)</f>
        <v>0</v>
      </c>
      <c r="S29">
        <f>SUMIF('Как есть'!$A101:$A108,Доп.расчеты!$A29,'Как есть'!T101:T108)</f>
        <v>0</v>
      </c>
      <c r="T29">
        <f>SUMIF('Как есть'!$A101:$A108,Доп.расчеты!$A29,'Как есть'!U101:U108)</f>
        <v>0</v>
      </c>
      <c r="U29">
        <f>SUMIF('Как есть'!$A101:$A108,Доп.расчеты!$A29,'Как есть'!V101:V108)</f>
        <v>0</v>
      </c>
      <c r="V29">
        <f>SUMIF('Как есть'!$A101:$A108,Доп.расчеты!$A29,'Как есть'!W101:W108)</f>
        <v>0</v>
      </c>
      <c r="W29">
        <f>SUMIF('Как есть'!$A101:$A108,Доп.расчеты!$A29,'Как есть'!X101:X108)</f>
        <v>0</v>
      </c>
      <c r="X29">
        <f>SUMIF('Как есть'!$A101:$A108,Доп.расчеты!$A29,'Как есть'!Y101:Y108)</f>
        <v>0</v>
      </c>
      <c r="Y29">
        <f>SUMIF('Как есть'!$A101:$A108,Доп.расчеты!$A29,'Как есть'!Z101:Z108)</f>
        <v>0</v>
      </c>
      <c r="Z29">
        <f>SUMIF('Как есть'!$A101:$A108,Доп.расчеты!$A29,'Как есть'!AA101:AA108)</f>
        <v>0</v>
      </c>
      <c r="AA29">
        <f>SUMIF('Как есть'!$A101:$A108,Доп.расчеты!$A29,'Как есть'!AB101:AB108)</f>
        <v>0</v>
      </c>
      <c r="AB29">
        <f>SUMIF('Как есть'!$A101:$A108,Доп.расчеты!$A29,'Как есть'!AC101:AC108)</f>
        <v>0</v>
      </c>
      <c r="AC29">
        <f>SUMIF('Как есть'!$A101:$A108,Доп.расчеты!$A29,'Как есть'!AD101:AD108)</f>
        <v>0</v>
      </c>
      <c r="AD29">
        <f>SUMIF('Как есть'!$A101:$A108,Доп.расчеты!$A29,'Как есть'!AE101:AE108)</f>
        <v>0</v>
      </c>
      <c r="AE29">
        <f>SUMIF('Как есть'!$A101:$A108,Доп.расчеты!$A29,'Как есть'!AF101:AF108)</f>
        <v>0</v>
      </c>
      <c r="AF29">
        <f>SUMIF('Как есть'!$A101:$A108,Доп.расчеты!$A29,'Как есть'!AG101:AG108)</f>
        <v>0</v>
      </c>
      <c r="AG29">
        <f>SUMIF('Как есть'!$A101:$A108,Доп.расчеты!$A29,'Как есть'!AH101:AH108)</f>
        <v>0</v>
      </c>
      <c r="AH29">
        <f>SUMIF('Как есть'!$A101:$A108,Доп.расчеты!$A29,'Как есть'!AI101:AI108)</f>
        <v>0</v>
      </c>
      <c r="AI29">
        <f>SUMIF('Как есть'!$A101:$A108,Доп.расчеты!$A29,'Как есть'!AJ101:AJ108)</f>
        <v>0</v>
      </c>
      <c r="AJ29">
        <f>SUMIF('Как есть'!$A101:$A108,Доп.расчеты!$A29,'Как есть'!AK101:AK108)</f>
        <v>0</v>
      </c>
      <c r="AK29">
        <f>SUMIF('Как есть'!$A101:$A108,Доп.расчеты!$A29,'Как есть'!AL101:AL108)</f>
        <v>0</v>
      </c>
      <c r="AL29">
        <f>SUMIF('Как есть'!$A101:$A108,Доп.расчеты!$A29,'Как есть'!AM101:AM108)</f>
        <v>0</v>
      </c>
      <c r="AM29">
        <f>SUMIF('Как есть'!$A101:$A108,Доп.расчеты!$A29,'Как есть'!AN101:AN108)</f>
        <v>0</v>
      </c>
      <c r="AN29">
        <f>SUMIF('Как есть'!$A101:$A108,Доп.расчеты!$A29,'Как есть'!AO101:AO108)</f>
        <v>0</v>
      </c>
      <c r="AO29">
        <f>SUMIF('Как есть'!$A101:$A108,Доп.расчеты!$A29,'Как есть'!AP101:AP108)</f>
        <v>0</v>
      </c>
      <c r="AP29">
        <f>SUMIF('Как есть'!$A101:$A108,Доп.расчеты!$A29,'Как есть'!AQ101:AQ108)</f>
        <v>0</v>
      </c>
      <c r="AQ29">
        <f>SUMIF('Как есть'!$A101:$A108,Доп.расчеты!$A29,'Как есть'!AR101:AR108)</f>
        <v>0</v>
      </c>
      <c r="AR29">
        <f>SUMIF('Как есть'!$A101:$A108,Доп.расчеты!$A29,'Как есть'!AS101:AS108)</f>
        <v>0</v>
      </c>
      <c r="AS29">
        <f>SUMIF('Как есть'!$A101:$A108,Доп.расчеты!$A29,'Как есть'!AT101:AT108)</f>
        <v>0</v>
      </c>
      <c r="AT29">
        <f>SUMIF('Как есть'!$A101:$A108,Доп.расчеты!$A29,'Как есть'!AU101:AU108)</f>
        <v>0</v>
      </c>
      <c r="AU29">
        <f>SUMIF('Как есть'!$A101:$A108,Доп.расчеты!$A29,'Как есть'!AV101:AV108)</f>
        <v>0</v>
      </c>
      <c r="AV29">
        <f>SUMIF('Как есть'!$A101:$A108,Доп.расчеты!$A29,'Как есть'!AW101:AW108)</f>
        <v>0</v>
      </c>
      <c r="AW29">
        <f>SUMIF('Как есть'!$A101:$A108,Доп.расчеты!$A29,'Как есть'!AX101:AX108)</f>
        <v>0</v>
      </c>
      <c r="AX29">
        <f>SUMIF('Как есть'!$A101:$A108,Доп.расчеты!$A29,'Как есть'!AY101:AY108)</f>
        <v>0</v>
      </c>
      <c r="AY29">
        <f>SUMIF('Как есть'!$A101:$A108,Доп.расчеты!$A29,'Как есть'!AZ101:AZ108)</f>
        <v>0</v>
      </c>
      <c r="AZ29">
        <f>SUMIF('Как есть'!$A101:$A108,Доп.расчеты!$A29,'Как есть'!BA101:BA108)</f>
        <v>0</v>
      </c>
      <c r="BA29">
        <f>SUMIF('Как есть'!$A101:$A108,Доп.расчеты!$A29,'Как есть'!BB101:BB108)</f>
        <v>0</v>
      </c>
      <c r="BB29">
        <f>SUMIF('Как есть'!$A101:$A108,Доп.расчеты!$A29,'Как есть'!BC101:BC108)</f>
        <v>0</v>
      </c>
      <c r="BC29">
        <f>SUMIF('Как есть'!$A101:$A108,Доп.расчеты!$A29,'Как есть'!BD101:BD108)</f>
        <v>0</v>
      </c>
      <c r="BD29">
        <f>SUMIF('Как есть'!$A101:$A108,Доп.расчеты!$A29,'Как есть'!BE101:BE108)</f>
        <v>0</v>
      </c>
      <c r="BE29">
        <f>SUMIF('Как есть'!$A101:$A108,Доп.расчеты!$A29,'Как есть'!BF101:BF108)</f>
        <v>0</v>
      </c>
      <c r="BF29">
        <f>SUMIF('Как есть'!$A101:$A108,Доп.расчеты!$A29,'Как есть'!BG101:BG108)</f>
        <v>0</v>
      </c>
      <c r="BG29">
        <f>SUMIF('Как есть'!$A101:$A108,Доп.расчеты!$A29,'Как есть'!BH101:BH108)</f>
        <v>0</v>
      </c>
      <c r="BH29">
        <f>SUMIF('Как есть'!$A101:$A108,Доп.расчеты!$A29,'Как есть'!BI101:BI108)</f>
        <v>0</v>
      </c>
      <c r="BI29">
        <f>SUMIF('Как есть'!$A101:$A108,Доп.расчеты!$A29,'Как есть'!BJ101:BJ108)</f>
        <v>0</v>
      </c>
      <c r="BJ29">
        <f>SUMIF('Как есть'!$A101:$A108,Доп.расчеты!$A29,'Как есть'!BK101:BK108)</f>
        <v>0</v>
      </c>
      <c r="BK29">
        <f>SUMIF('Как есть'!$A101:$A108,Доп.расчеты!$A29,'Как есть'!BL101:BL108)</f>
        <v>0</v>
      </c>
      <c r="BL29">
        <f>SUMIF('Как есть'!$A101:$A108,Доп.расчеты!$A29,'Как есть'!BM101:BM108)</f>
        <v>0</v>
      </c>
      <c r="BM29">
        <f>SUMIF('Как есть'!$A101:$A108,Доп.расчеты!$A29,'Как есть'!BN101:BN108)</f>
        <v>0</v>
      </c>
      <c r="BN29">
        <f>SUMIF('Как есть'!$A101:$A108,Доп.расчеты!$A29,'Как есть'!BO101:BO108)</f>
        <v>0</v>
      </c>
      <c r="BO29">
        <f>SUMIF('Как есть'!$A101:$A108,Доп.расчеты!$A29,'Как есть'!BP101:BP108)</f>
        <v>0</v>
      </c>
      <c r="BP29">
        <f>SUMIF('Как есть'!$A101:$A108,Доп.расчеты!$A29,'Как есть'!BQ101:BQ108)</f>
        <v>0</v>
      </c>
      <c r="BQ29">
        <f>SUMIF('Как есть'!$A101:$A108,Доп.расчеты!$A29,'Как есть'!BR101:BR108)</f>
        <v>0</v>
      </c>
      <c r="BR29">
        <f>SUMIF('Как есть'!$A101:$A108,Доп.расчеты!$A29,'Как есть'!BS101:BS108)</f>
        <v>0</v>
      </c>
      <c r="BS29">
        <f>SUMIF('Как есть'!$A101:$A108,Доп.расчеты!$A29,'Как есть'!BT101:BT108)</f>
        <v>0</v>
      </c>
      <c r="BT29">
        <f>SUMIF('Как есть'!$A101:$A108,Доп.расчеты!$A29,'Как есть'!BU101:BU108)</f>
        <v>0</v>
      </c>
      <c r="BU29">
        <f>SUMIF('Как есть'!$A101:$A108,Доп.расчеты!$A29,'Как есть'!BV101:BV108)</f>
        <v>0</v>
      </c>
      <c r="BV29">
        <f>SUMIF('Как есть'!$A101:$A108,Доп.расчеты!$A29,'Как есть'!BW101:BW108)</f>
        <v>0</v>
      </c>
      <c r="BW29">
        <f>SUMIF('Как есть'!$A101:$A108,Доп.расчеты!$A29,'Как есть'!BX101:BX108)</f>
        <v>0</v>
      </c>
      <c r="BX29">
        <f>SUMIF('Как есть'!$A101:$A108,Доп.расчеты!$A29,'Как есть'!BY101:BY108)</f>
        <v>0</v>
      </c>
      <c r="BY29">
        <f>SUMIF('Как есть'!$A101:$A108,Доп.расчеты!$A29,'Как есть'!BZ101:BZ108)</f>
        <v>0</v>
      </c>
      <c r="BZ29">
        <f>SUMIF('Как есть'!$A101:$A108,Доп.расчеты!$A29,'Как есть'!CA101:CA108)</f>
        <v>0</v>
      </c>
      <c r="CA29">
        <f>SUMIF('Как есть'!$A101:$A108,Доп.расчеты!$A29,'Как есть'!CB101:CB108)</f>
        <v>0</v>
      </c>
      <c r="CB29">
        <f>SUMIF('Как есть'!$A101:$A108,Доп.расчеты!$A29,'Как есть'!CC101:CC108)</f>
        <v>0</v>
      </c>
      <c r="CC29">
        <f>SUMIF('Как есть'!$A101:$A108,Доп.расчеты!$A29,'Как есть'!CD101:CD108)</f>
        <v>0</v>
      </c>
      <c r="CD29">
        <f>SUMIF('Как есть'!$A101:$A108,Доп.расчеты!$A29,'Как есть'!CE101:CE108)</f>
        <v>0</v>
      </c>
      <c r="CE29">
        <f>SUMIF('Как есть'!$A101:$A108,Доп.расчеты!$A29,'Как есть'!CF101:CF108)</f>
        <v>0</v>
      </c>
      <c r="CF29">
        <f>SUMIF('Как есть'!$A101:$A108,Доп.расчеты!$A29,'Как есть'!CG101:CG108)</f>
        <v>0</v>
      </c>
      <c r="CG29">
        <f>SUMIF('Как есть'!$A101:$A108,Доп.расчеты!$A29,'Как есть'!CH101:CH108)</f>
        <v>0</v>
      </c>
      <c r="CH29">
        <f>SUMIF('Как есть'!$A101:$A108,Доп.расчеты!$A29,'Как есть'!CI101:CI108)</f>
        <v>0</v>
      </c>
      <c r="CI29">
        <f>SUMIF('Как есть'!$A101:$A108,Доп.расчеты!$A29,'Как есть'!CJ101:CJ108)</f>
        <v>0</v>
      </c>
      <c r="CJ29">
        <f>SUMIF('Как есть'!$A101:$A108,Доп.расчеты!$A29,'Как есть'!CK101:CK108)</f>
        <v>0</v>
      </c>
      <c r="CK29">
        <f>SUMIF('Как есть'!$A101:$A108,Доп.расчеты!$A29,'Как есть'!CL101:CL108)</f>
        <v>0</v>
      </c>
      <c r="CL29">
        <f>SUMIF('Как есть'!$A101:$A108,Доп.расчеты!$A29,'Как есть'!CM101:CM108)</f>
        <v>0</v>
      </c>
      <c r="CM29">
        <f>SUMIF('Как есть'!$A101:$A108,Доп.расчеты!$A29,'Как есть'!CN101:CN108)</f>
        <v>0</v>
      </c>
      <c r="CN29">
        <f>SUMIF('Как есть'!$A101:$A108,Доп.расчеты!$A29,'Как есть'!CO101:CO108)</f>
        <v>0</v>
      </c>
      <c r="CO29">
        <f>SUMIF('Как есть'!$A101:$A108,Доп.расчеты!$A29,'Как есть'!CP101:CP108)</f>
        <v>0</v>
      </c>
      <c r="CP29">
        <f>SUMIF('Как есть'!$A101:$A108,Доп.расчеты!$A29,'Как есть'!CQ101:CQ108)</f>
        <v>0</v>
      </c>
      <c r="CQ29">
        <f>SUMIF('Как есть'!$A101:$A108,Доп.расчеты!$A29,'Как есть'!CR101:CR108)</f>
        <v>0</v>
      </c>
      <c r="CR29">
        <f>SUMIF('Как есть'!$A101:$A108,Доп.расчеты!$A29,'Как есть'!CS101:CS108)</f>
        <v>0</v>
      </c>
      <c r="CS29">
        <f>SUMIF('Как есть'!$A101:$A108,Доп.расчеты!$A29,'Как есть'!CT101:CT108)</f>
        <v>0</v>
      </c>
      <c r="CT29">
        <f>SUMIF('Как есть'!$A101:$A108,Доп.расчеты!$A29,'Как есть'!CU101:CU108)</f>
        <v>0</v>
      </c>
      <c r="CU29">
        <f>SUMIF('Как есть'!$A101:$A108,Доп.расчеты!$A29,'Как есть'!CV101:CV108)</f>
        <v>0</v>
      </c>
      <c r="CV29">
        <f>SUMIF('Как есть'!$A101:$A108,Доп.расчеты!$A29,'Как есть'!CW101:CW108)</f>
        <v>0</v>
      </c>
      <c r="CW29">
        <f>SUMIF('Как есть'!$A101:$A108,Доп.расчеты!$A29,'Как есть'!CX101:CX108)</f>
        <v>0</v>
      </c>
      <c r="CX29">
        <f>SUMIF('Как есть'!$A101:$A108,Доп.расчеты!$A29,'Как есть'!CY101:CY108)</f>
        <v>0</v>
      </c>
      <c r="CY29">
        <f>SUMIF('Как есть'!$A101:$A108,Доп.расчеты!$A29,'Как есть'!CZ101:CZ108)</f>
        <v>0</v>
      </c>
      <c r="CZ29">
        <f>SUMIF('Как есть'!$A101:$A108,Доп.расчеты!$A29,'Как есть'!DA101:DA108)</f>
        <v>0</v>
      </c>
      <c r="DA29">
        <f>SUMIF('Как есть'!$A101:$A108,Доп.расчеты!$A29,'Как есть'!DB101:DB108)</f>
        <v>0</v>
      </c>
      <c r="DB29">
        <f>SUMIF('Как есть'!$A101:$A108,Доп.расчеты!$A29,'Как есть'!DC101:DC108)</f>
        <v>0</v>
      </c>
      <c r="DC29">
        <f>SUMIF('Как есть'!$A101:$A108,Доп.расчеты!$A29,'Как есть'!DD101:DD108)</f>
        <v>0</v>
      </c>
      <c r="DD29">
        <f>SUMIF('Как есть'!$A101:$A108,Доп.расчеты!$A29,'Как есть'!DE101:DE108)</f>
        <v>0</v>
      </c>
      <c r="DE29">
        <f>SUMIF('Как есть'!$A101:$A108,Доп.расчеты!$A29,'Как есть'!DF101:DF108)</f>
        <v>0</v>
      </c>
      <c r="DF29">
        <f>SUMIF('Как есть'!$A101:$A108,Доп.расчеты!$A29,'Как есть'!DG101:DG108)</f>
        <v>0</v>
      </c>
      <c r="DG29">
        <f>SUMIF('Как есть'!$A101:$A108,Доп.расчеты!$A29,'Как есть'!DH101:DH108)</f>
        <v>0</v>
      </c>
      <c r="DH29">
        <f>SUMIF('Как есть'!$A101:$A108,Доп.расчеты!$A29,'Как есть'!DI101:DI108)</f>
        <v>0</v>
      </c>
      <c r="DI29">
        <f>SUMIF('Как есть'!$A101:$A108,Доп.расчеты!$A29,'Как есть'!DJ101:DJ108)</f>
        <v>0</v>
      </c>
      <c r="DJ29">
        <f>SUMIF('Как есть'!$A101:$A108,Доп.расчеты!$A29,'Как есть'!DK101:DK108)</f>
        <v>0</v>
      </c>
      <c r="DK29">
        <f>SUMIF('Как есть'!$A101:$A108,Доп.расчеты!$A29,'Как есть'!DL101:DL108)</f>
        <v>0</v>
      </c>
      <c r="DL29">
        <f>SUMIF('Как есть'!$A101:$A108,Доп.расчеты!$A29,'Как есть'!DM101:DM108)</f>
        <v>0</v>
      </c>
      <c r="DM29">
        <f>SUMIF('Как есть'!$A101:$A108,Доп.расчеты!$A29,'Как есть'!DN101:DN108)</f>
        <v>0</v>
      </c>
      <c r="DN29">
        <f>SUMIF('Как есть'!$A101:$A108,Доп.расчеты!$A29,'Как есть'!DO101:DO108)</f>
        <v>0</v>
      </c>
      <c r="DO29">
        <f>SUMIF('Как есть'!$A101:$A108,Доп.расчеты!$A29,'Как есть'!DP101:DP108)</f>
        <v>0</v>
      </c>
      <c r="DP29">
        <f>SUMIF('Как есть'!$A101:$A108,Доп.расчеты!$A29,'Как есть'!DQ101:DQ108)</f>
        <v>0</v>
      </c>
      <c r="DQ29">
        <f>SUMIF('Как есть'!$A101:$A108,Доп.расчеты!$A29,'Как есть'!DR101:DR108)</f>
        <v>0</v>
      </c>
      <c r="DR29">
        <f>SUMIF('Как есть'!$A101:$A108,Доп.расчеты!$A29,'Как есть'!DS101:DS108)</f>
        <v>0</v>
      </c>
      <c r="DS29">
        <f>SUMIF('Как есть'!$A101:$A108,Доп.расчеты!$A29,'Как есть'!DT101:DT108)</f>
        <v>0</v>
      </c>
      <c r="DT29">
        <f>SUMIF('Как есть'!$A101:$A108,Доп.расчеты!$A29,'Как есть'!DU101:DU108)</f>
        <v>0</v>
      </c>
      <c r="DU29">
        <f>SUMIF('Как есть'!$A101:$A108,Доп.расчеты!$A29,'Как есть'!DV101:DV108)</f>
        <v>0</v>
      </c>
      <c r="DV29">
        <f>SUMIF('Как есть'!$A101:$A108,Доп.расчеты!$A29,'Как есть'!DW101:DW108)</f>
        <v>0</v>
      </c>
      <c r="DW29">
        <f>SUMIF('Как есть'!$A101:$A108,Доп.расчеты!$A29,'Как есть'!DX101:DX108)</f>
        <v>0</v>
      </c>
      <c r="DX29">
        <f>SUMIF('Как есть'!$A101:$A108,Доп.расчеты!$A29,'Как есть'!DY101:DY108)</f>
        <v>0</v>
      </c>
      <c r="DY29">
        <f>SUMIF('Как есть'!$A101:$A108,Доп.расчеты!$A29,'Как есть'!DZ101:DZ108)</f>
        <v>0</v>
      </c>
      <c r="DZ29">
        <f>SUMIF('Как есть'!$A101:$A108,Доп.расчеты!$A29,'Как есть'!EA101:EA108)</f>
        <v>0</v>
      </c>
      <c r="EA29">
        <f>SUMIF('Как есть'!$A101:$A108,Доп.расчеты!$A29,'Как есть'!EB101:EB108)</f>
        <v>0</v>
      </c>
      <c r="EB29">
        <f>SUMIF('Как есть'!$A101:$A108,Доп.расчеты!$A29,'Как есть'!EC101:EC108)</f>
        <v>0</v>
      </c>
      <c r="EC29">
        <f>SUMIF('Как есть'!$A101:$A108,Доп.расчеты!$A29,'Как есть'!ED101:ED108)</f>
        <v>0</v>
      </c>
      <c r="ED29">
        <f>SUMIF('Как есть'!$A101:$A108,Доп.расчеты!$A29,'Как есть'!EE101:EE108)</f>
        <v>0</v>
      </c>
      <c r="EE29">
        <f>SUMIF('Как есть'!$A101:$A108,Доп.расчеты!$A29,'Как есть'!EF101:EF108)</f>
        <v>0</v>
      </c>
      <c r="EF29">
        <f>SUMIF('Как есть'!$A101:$A108,Доп.расчеты!$A29,'Как есть'!EG101:EG108)</f>
        <v>0</v>
      </c>
      <c r="EG29">
        <f>SUMIF('Как есть'!$A101:$A108,Доп.расчеты!$A29,'Как есть'!EH101:EH108)</f>
        <v>0</v>
      </c>
      <c r="EH29">
        <f>SUMIF('Как есть'!$A101:$A108,Доп.расчеты!$A29,'Как есть'!EI101:EI108)</f>
        <v>0</v>
      </c>
      <c r="EI29">
        <f>SUMIF('Как есть'!$A101:$A108,Доп.расчеты!$A29,'Как есть'!EJ101:EJ108)</f>
        <v>0</v>
      </c>
      <c r="EJ29">
        <f>SUMIF('Как есть'!$A101:$A108,Доп.расчеты!$A29,'Как есть'!EK101:EK108)</f>
        <v>0</v>
      </c>
      <c r="EK29">
        <f>SUMIF('Как есть'!$A101:$A108,Доп.расчеты!$A29,'Как есть'!EL101:EL108)</f>
        <v>0</v>
      </c>
      <c r="EL29">
        <f>SUMIF('Как есть'!$A101:$A108,Доп.расчеты!$A29,'Как есть'!EM101:EM108)</f>
        <v>0</v>
      </c>
      <c r="EM29">
        <f>SUMIF('Как есть'!$A101:$A108,Доп.расчеты!$A29,'Как есть'!EN101:EN108)</f>
        <v>0</v>
      </c>
      <c r="EN29">
        <f>SUMIF('Как есть'!$A101:$A108,Доп.расчеты!$A29,'Как есть'!EO101:EO108)</f>
        <v>0</v>
      </c>
      <c r="EO29">
        <f>SUMIF('Как есть'!$A101:$A108,Доп.расчеты!$A29,'Как есть'!EP101:EP108)</f>
        <v>0</v>
      </c>
      <c r="EP29">
        <f>SUMIF('Как есть'!$A101:$A108,Доп.расчеты!$A29,'Как есть'!EQ101:EQ108)</f>
        <v>0</v>
      </c>
      <c r="EQ29">
        <f>SUMIF('Как есть'!$A101:$A108,Доп.расчеты!$A29,'Как есть'!ER101:ER108)</f>
        <v>0</v>
      </c>
      <c r="ER29">
        <f>SUMIF('Как есть'!$A101:$A108,Доп.расчеты!$A29,'Как есть'!ES101:ES108)</f>
        <v>0</v>
      </c>
      <c r="ES29">
        <f>SUMIF('Как есть'!$A101:$A108,Доп.расчеты!$A29,'Как есть'!ET101:ET108)</f>
        <v>0</v>
      </c>
      <c r="ET29">
        <f>SUMIF('Как есть'!$A101:$A108,Доп.расчеты!$A29,'Как есть'!EU101:EU108)</f>
        <v>0</v>
      </c>
      <c r="EU29">
        <f>SUMIF('Как есть'!$A101:$A108,Доп.расчеты!$A29,'Как есть'!EV101:EV108)</f>
        <v>0</v>
      </c>
      <c r="EV29">
        <f>SUMIF('Как есть'!$A101:$A108,Доп.расчеты!$A29,'Как есть'!EW101:EW108)</f>
        <v>0</v>
      </c>
      <c r="EW29">
        <f>SUMIF('Как есть'!$A101:$A108,Доп.расчеты!$A29,'Как есть'!EX101:EX108)</f>
        <v>0</v>
      </c>
      <c r="EX29">
        <f>SUMIF('Как есть'!$A101:$A108,Доп.расчеты!$A29,'Как есть'!EY101:EY108)</f>
        <v>0</v>
      </c>
      <c r="EY29">
        <f>SUMIF('Как есть'!$A101:$A108,Доп.расчеты!$A29,'Как есть'!EZ101:EZ108)</f>
        <v>0</v>
      </c>
      <c r="EZ29">
        <f>SUMIF('Как есть'!$A101:$A108,Доп.расчеты!$A29,'Как есть'!FA101:FA108)</f>
        <v>0</v>
      </c>
      <c r="FA29">
        <f>SUMIF('Как есть'!$A101:$A108,Доп.расчеты!$A29,'Как есть'!FB101:FB108)</f>
        <v>0</v>
      </c>
      <c r="FB29">
        <f>SUMIF('Как есть'!$A101:$A108,Доп.расчеты!$A29,'Как есть'!FC101:FC108)</f>
        <v>0</v>
      </c>
      <c r="FC29">
        <f>SUMIF('Как есть'!$A101:$A108,Доп.расчеты!$A29,'Как есть'!FD101:FD108)</f>
        <v>0</v>
      </c>
      <c r="FD29">
        <f>SUMIF('Как есть'!$A101:$A108,Доп.расчеты!$A29,'Как есть'!FE101:FE108)</f>
        <v>0</v>
      </c>
      <c r="FE29">
        <f>SUMIF('Как есть'!$A101:$A108,Доп.расчеты!$A29,'Как есть'!FF101:FF108)</f>
        <v>0</v>
      </c>
      <c r="FF29">
        <f>SUMIF('Как есть'!$A101:$A108,Доп.расчеты!$A29,'Как есть'!FG101:FG108)</f>
        <v>0</v>
      </c>
      <c r="FG29">
        <f>SUMIF('Как есть'!$A101:$A108,Доп.расчеты!$A29,'Как есть'!FH101:FH108)</f>
        <v>0</v>
      </c>
      <c r="FH29">
        <f>SUMIF('Как есть'!$A101:$A108,Доп.расчеты!$A29,'Как есть'!FI101:FI108)</f>
        <v>0</v>
      </c>
      <c r="FI29">
        <f>SUMIF('Как есть'!$A101:$A108,Доп.расчеты!$A29,'Как есть'!FJ101:FJ108)</f>
        <v>0</v>
      </c>
      <c r="FJ29">
        <f>SUMIF('Как есть'!$A101:$A108,Доп.расчеты!$A29,'Как есть'!FK101:FK108)</f>
        <v>0</v>
      </c>
      <c r="FK29">
        <f>SUMIF('Как есть'!$A101:$A108,Доп.расчеты!$A29,'Как есть'!FL101:FL108)</f>
        <v>0</v>
      </c>
      <c r="FL29">
        <f>SUMIF('Как есть'!$A101:$A108,Доп.расчеты!$A29,'Как есть'!FM101:FM108)</f>
        <v>0</v>
      </c>
      <c r="FM29">
        <f>SUMIF('Как есть'!$A101:$A108,Доп.расчеты!$A29,'Как есть'!FN101:FN108)</f>
        <v>0</v>
      </c>
      <c r="FN29">
        <f>SUMIF('Как есть'!$A101:$A108,Доп.расчеты!$A29,'Как есть'!FO101:FO108)</f>
        <v>0</v>
      </c>
      <c r="FO29">
        <f>SUMIF('Как есть'!$A101:$A108,Доп.расчеты!$A29,'Как есть'!FP101:FP108)</f>
        <v>0</v>
      </c>
      <c r="FP29">
        <f>SUMIF('Как есть'!$A101:$A108,Доп.расчеты!$A29,'Как есть'!FQ101:FQ108)</f>
        <v>0</v>
      </c>
      <c r="FQ29">
        <f>SUMIF('Как есть'!$A101:$A108,Доп.расчеты!$A29,'Как есть'!FR101:FR108)</f>
        <v>0</v>
      </c>
      <c r="FR29">
        <f>SUMIF('Как есть'!$A101:$A108,Доп.расчеты!$A29,'Как есть'!FS101:FS108)</f>
        <v>0</v>
      </c>
      <c r="FS29">
        <f>SUMIF('Как есть'!$A101:$A108,Доп.расчеты!$A29,'Как есть'!FT101:FT108)</f>
        <v>0</v>
      </c>
      <c r="FT29">
        <f>SUMIF('Как есть'!$A101:$A108,Доп.расчеты!$A29,'Как есть'!FU101:FU108)</f>
        <v>0</v>
      </c>
      <c r="FU29">
        <f>SUMIF('Как есть'!$A101:$A108,Доп.расчеты!$A29,'Как есть'!FV101:FV108)</f>
        <v>0</v>
      </c>
      <c r="FV29">
        <f>SUMIF('Как есть'!$A101:$A108,Доп.расчеты!$A29,'Как есть'!FW101:FW108)</f>
        <v>0</v>
      </c>
      <c r="FW29">
        <f>SUMIF('Как есть'!$A101:$A108,Доп.расчеты!$A29,'Как есть'!FX101:FX108)</f>
        <v>0</v>
      </c>
      <c r="FX29">
        <f>SUMIF('Как есть'!$A101:$A108,Доп.расчеты!$A29,'Как есть'!FY101:FY108)</f>
        <v>0</v>
      </c>
      <c r="FY29">
        <f>SUMIF('Как есть'!$A101:$A108,Доп.расчеты!$A29,'Как есть'!FZ101:FZ108)</f>
        <v>0</v>
      </c>
      <c r="FZ29">
        <f>SUMIF('Как есть'!$A101:$A108,Доп.расчеты!$A29,'Как есть'!GA101:GA108)</f>
        <v>0</v>
      </c>
      <c r="GA29">
        <f>SUMIF('Как есть'!$A101:$A108,Доп.расчеты!$A29,'Как есть'!GB101:GB108)</f>
        <v>0</v>
      </c>
      <c r="GB29">
        <f>SUMIF('Как есть'!$A101:$A108,Доп.расчеты!$A29,'Как есть'!GC101:GC108)</f>
        <v>0</v>
      </c>
      <c r="GC29">
        <f>SUMIF('Как есть'!$A101:$A108,Доп.расчеты!$A29,'Как есть'!GD101:GD108)</f>
        <v>0</v>
      </c>
      <c r="GD29">
        <f>SUMIF('Как есть'!$A101:$A108,Доп.расчеты!$A29,'Как есть'!GE101:GE108)</f>
        <v>0</v>
      </c>
      <c r="GE29">
        <f>SUMIF('Как есть'!$A101:$A108,Доп.расчеты!$A29,'Как есть'!GF101:GF108)</f>
        <v>0</v>
      </c>
      <c r="GF29">
        <f>SUMIF('Как есть'!$A101:$A108,Доп.расчеты!$A29,'Как есть'!GG101:GG108)</f>
        <v>0</v>
      </c>
      <c r="GG29">
        <f>SUMIF('Как есть'!$A101:$A108,Доп.расчеты!$A29,'Как есть'!GH101:GH108)</f>
        <v>0</v>
      </c>
      <c r="GH29">
        <f>SUMIF('Как есть'!$A101:$A108,Доп.расчеты!$A29,'Как есть'!GI101:GI108)</f>
        <v>0</v>
      </c>
      <c r="GI29">
        <f>SUMIF('Как есть'!$A101:$A108,Доп.расчеты!$A29,'Как есть'!GJ101:GJ108)</f>
        <v>0</v>
      </c>
      <c r="GJ29">
        <f>SUMIF('Как есть'!$A101:$A108,Доп.расчеты!$A29,'Как есть'!GK101:GK108)</f>
        <v>0</v>
      </c>
      <c r="GK29">
        <f>SUMIF('Как есть'!$A101:$A108,Доп.расчеты!$A29,'Как есть'!GL101:GL108)</f>
        <v>0</v>
      </c>
      <c r="GL29">
        <f>SUMIF('Как есть'!$A101:$A108,Доп.расчеты!$A29,'Как есть'!GM101:GM108)</f>
        <v>0</v>
      </c>
      <c r="GM29">
        <f>SUMIF('Как есть'!$A101:$A108,Доп.расчеты!$A29,'Как есть'!GN101:GN108)</f>
        <v>0</v>
      </c>
      <c r="GN29">
        <f>SUMIF('Как есть'!$A101:$A108,Доп.расчеты!$A29,'Как есть'!GO101:GO108)</f>
        <v>0</v>
      </c>
      <c r="GO29">
        <f>SUMIF('Как есть'!$A101:$A108,Доп.расчеты!$A29,'Как есть'!GP101:GP108)</f>
        <v>0</v>
      </c>
      <c r="GP29">
        <f>SUMIF('Как есть'!$A101:$A108,Доп.расчеты!$A29,'Как есть'!GQ101:GQ108)</f>
        <v>0</v>
      </c>
      <c r="GQ29">
        <f>SUMIF('Как есть'!$A101:$A108,Доп.расчеты!$A29,'Как есть'!GR101:GR108)</f>
        <v>0</v>
      </c>
      <c r="GR29">
        <f>SUMIF('Как есть'!$A101:$A108,Доп.расчеты!$A29,'Как есть'!GS101:GS108)</f>
        <v>0</v>
      </c>
      <c r="GS29">
        <f>SUMIF('Как есть'!$A101:$A108,Доп.расчеты!$A29,'Как есть'!GT101:GT108)</f>
        <v>0</v>
      </c>
      <c r="GT29">
        <f>SUMIF('Как есть'!$A101:$A108,Доп.расчеты!$A29,'Как есть'!GU101:GU108)</f>
        <v>0</v>
      </c>
    </row>
    <row r="30" spans="1:202">
      <c r="A30" s="236" t="s">
        <v>126</v>
      </c>
      <c r="B30">
        <f>SUMIF('Как есть'!$A101:$A108,Доп.расчеты!$A30,'Как есть'!C101:C108)</f>
        <v>0</v>
      </c>
      <c r="C30">
        <f>SUMIF('Как есть'!$A101:$A108,Доп.расчеты!$A30,'Как есть'!D101:D108)</f>
        <v>0</v>
      </c>
      <c r="D30">
        <f>SUMIF('Как есть'!$A101:$A108,Доп.расчеты!$A30,'Как есть'!E101:E108)</f>
        <v>0</v>
      </c>
      <c r="E30">
        <f>SUMIF('Как есть'!$A101:$A108,Доп.расчеты!$A30,'Как есть'!F101:F108)</f>
        <v>0</v>
      </c>
      <c r="F30">
        <f>SUMIF('Как есть'!$A101:$A108,Доп.расчеты!$A30,'Как есть'!G101:G108)</f>
        <v>0</v>
      </c>
      <c r="G30">
        <f>SUMIF('Как есть'!$A101:$A108,Доп.расчеты!$A30,'Как есть'!H101:H108)</f>
        <v>0</v>
      </c>
      <c r="H30">
        <f>SUMIF('Как есть'!$A101:$A108,Доп.расчеты!$A30,'Как есть'!I101:I108)</f>
        <v>0</v>
      </c>
      <c r="I30">
        <f>SUMIF('Как есть'!$A101:$A108,Доп.расчеты!$A30,'Как есть'!J101:J108)</f>
        <v>0</v>
      </c>
      <c r="J30">
        <f>SUMIF('Как есть'!$A101:$A108,Доп.расчеты!$A30,'Как есть'!K101:K108)</f>
        <v>0</v>
      </c>
      <c r="K30">
        <f>SUMIF('Как есть'!$A101:$A108,Доп.расчеты!$A30,'Как есть'!L101:L108)</f>
        <v>0</v>
      </c>
      <c r="L30">
        <f>SUMIF('Как есть'!$A101:$A108,Доп.расчеты!$A30,'Как есть'!M101:M108)</f>
        <v>0</v>
      </c>
      <c r="M30">
        <f>SUMIF('Как есть'!$A101:$A108,Доп.расчеты!$A30,'Как есть'!N101:N108)</f>
        <v>0</v>
      </c>
      <c r="N30">
        <f>SUMIF('Как есть'!$A101:$A108,Доп.расчеты!$A30,'Как есть'!O101:O108)</f>
        <v>0</v>
      </c>
      <c r="O30">
        <f>SUMIF('Как есть'!$A101:$A108,Доп.расчеты!$A30,'Как есть'!P101:P108)</f>
        <v>0</v>
      </c>
      <c r="P30">
        <f>SUMIF('Как есть'!$A101:$A108,Доп.расчеты!$A30,'Как есть'!Q101:Q108)</f>
        <v>0</v>
      </c>
      <c r="Q30">
        <f>SUMIF('Как есть'!$A101:$A108,Доп.расчеты!$A30,'Как есть'!R101:R108)</f>
        <v>0</v>
      </c>
      <c r="R30">
        <f>SUMIF('Как есть'!$A101:$A108,Доп.расчеты!$A30,'Как есть'!S101:S108)</f>
        <v>0</v>
      </c>
      <c r="S30">
        <f>SUMIF('Как есть'!$A101:$A108,Доп.расчеты!$A30,'Как есть'!T101:T108)</f>
        <v>0</v>
      </c>
      <c r="T30">
        <f>SUMIF('Как есть'!$A101:$A108,Доп.расчеты!$A30,'Как есть'!U101:U108)</f>
        <v>0</v>
      </c>
      <c r="U30">
        <f>SUMIF('Как есть'!$A101:$A108,Доп.расчеты!$A30,'Как есть'!V101:V108)</f>
        <v>0</v>
      </c>
      <c r="V30">
        <f>SUMIF('Как есть'!$A101:$A108,Доп.расчеты!$A30,'Как есть'!W101:W108)</f>
        <v>0</v>
      </c>
      <c r="W30">
        <f>SUMIF('Как есть'!$A101:$A108,Доп.расчеты!$A30,'Как есть'!X101:X108)</f>
        <v>0</v>
      </c>
      <c r="X30">
        <f>SUMIF('Как есть'!$A101:$A108,Доп.расчеты!$A30,'Как есть'!Y101:Y108)</f>
        <v>0</v>
      </c>
      <c r="Y30">
        <f>SUMIF('Как есть'!$A101:$A108,Доп.расчеты!$A30,'Как есть'!Z101:Z108)</f>
        <v>0</v>
      </c>
      <c r="Z30">
        <f>SUMIF('Как есть'!$A101:$A108,Доп.расчеты!$A30,'Как есть'!AA101:AA108)</f>
        <v>0</v>
      </c>
      <c r="AA30">
        <f>SUMIF('Как есть'!$A101:$A108,Доп.расчеты!$A30,'Как есть'!AB101:AB108)</f>
        <v>0</v>
      </c>
      <c r="AB30">
        <f>SUMIF('Как есть'!$A101:$A108,Доп.расчеты!$A30,'Как есть'!AC101:AC108)</f>
        <v>0</v>
      </c>
      <c r="AC30">
        <f>SUMIF('Как есть'!$A101:$A108,Доп.расчеты!$A30,'Как есть'!AD101:AD108)</f>
        <v>0</v>
      </c>
      <c r="AD30">
        <f>SUMIF('Как есть'!$A101:$A108,Доп.расчеты!$A30,'Как есть'!AE101:AE108)</f>
        <v>0</v>
      </c>
      <c r="AE30">
        <f>SUMIF('Как есть'!$A101:$A108,Доп.расчеты!$A30,'Как есть'!AF101:AF108)</f>
        <v>0</v>
      </c>
      <c r="AF30">
        <f>SUMIF('Как есть'!$A101:$A108,Доп.расчеты!$A30,'Как есть'!AG101:AG108)</f>
        <v>0</v>
      </c>
      <c r="AG30">
        <f>SUMIF('Как есть'!$A101:$A108,Доп.расчеты!$A30,'Как есть'!AH101:AH108)</f>
        <v>0</v>
      </c>
      <c r="AH30">
        <f>SUMIF('Как есть'!$A101:$A108,Доп.расчеты!$A30,'Как есть'!AI101:AI108)</f>
        <v>0</v>
      </c>
      <c r="AI30">
        <f>SUMIF('Как есть'!$A101:$A108,Доп.расчеты!$A30,'Как есть'!AJ101:AJ108)</f>
        <v>0</v>
      </c>
      <c r="AJ30">
        <f>SUMIF('Как есть'!$A101:$A108,Доп.расчеты!$A30,'Как есть'!AK101:AK108)</f>
        <v>0</v>
      </c>
      <c r="AK30">
        <f>SUMIF('Как есть'!$A101:$A108,Доп.расчеты!$A30,'Как есть'!AL101:AL108)</f>
        <v>0</v>
      </c>
      <c r="AL30">
        <f>SUMIF('Как есть'!$A101:$A108,Доп.расчеты!$A30,'Как есть'!AM101:AM108)</f>
        <v>0</v>
      </c>
      <c r="AM30">
        <f>SUMIF('Как есть'!$A101:$A108,Доп.расчеты!$A30,'Как есть'!AN101:AN108)</f>
        <v>0</v>
      </c>
      <c r="AN30">
        <f>SUMIF('Как есть'!$A101:$A108,Доп.расчеты!$A30,'Как есть'!AO101:AO108)</f>
        <v>0</v>
      </c>
      <c r="AO30">
        <f>SUMIF('Как есть'!$A101:$A108,Доп.расчеты!$A30,'Как есть'!AP101:AP108)</f>
        <v>0</v>
      </c>
      <c r="AP30">
        <f>SUMIF('Как есть'!$A101:$A108,Доп.расчеты!$A30,'Как есть'!AQ101:AQ108)</f>
        <v>0</v>
      </c>
      <c r="AQ30">
        <f>SUMIF('Как есть'!$A101:$A108,Доп.расчеты!$A30,'Как есть'!AR101:AR108)</f>
        <v>0</v>
      </c>
      <c r="AR30">
        <f>SUMIF('Как есть'!$A101:$A108,Доп.расчеты!$A30,'Как есть'!AS101:AS108)</f>
        <v>0</v>
      </c>
      <c r="AS30">
        <f>SUMIF('Как есть'!$A101:$A108,Доп.расчеты!$A30,'Как есть'!AT101:AT108)</f>
        <v>0</v>
      </c>
      <c r="AT30">
        <f>SUMIF('Как есть'!$A101:$A108,Доп.расчеты!$A30,'Как есть'!AU101:AU108)</f>
        <v>0</v>
      </c>
      <c r="AU30">
        <f>SUMIF('Как есть'!$A101:$A108,Доп.расчеты!$A30,'Как есть'!AV101:AV108)</f>
        <v>0</v>
      </c>
      <c r="AV30">
        <f>SUMIF('Как есть'!$A101:$A108,Доп.расчеты!$A30,'Как есть'!AW101:AW108)</f>
        <v>0</v>
      </c>
      <c r="AW30">
        <f>SUMIF('Как есть'!$A101:$A108,Доп.расчеты!$A30,'Как есть'!AX101:AX108)</f>
        <v>0</v>
      </c>
      <c r="AX30">
        <f>SUMIF('Как есть'!$A101:$A108,Доп.расчеты!$A30,'Как есть'!AY101:AY108)</f>
        <v>0</v>
      </c>
      <c r="AY30">
        <f>SUMIF('Как есть'!$A101:$A108,Доп.расчеты!$A30,'Как есть'!AZ101:AZ108)</f>
        <v>0</v>
      </c>
      <c r="AZ30">
        <f>SUMIF('Как есть'!$A101:$A108,Доп.расчеты!$A30,'Как есть'!BA101:BA108)</f>
        <v>0</v>
      </c>
      <c r="BA30">
        <f>SUMIF('Как есть'!$A101:$A108,Доп.расчеты!$A30,'Как есть'!BB101:BB108)</f>
        <v>0</v>
      </c>
      <c r="BB30">
        <f>SUMIF('Как есть'!$A101:$A108,Доп.расчеты!$A30,'Как есть'!BC101:BC108)</f>
        <v>0</v>
      </c>
      <c r="BC30">
        <f>SUMIF('Как есть'!$A101:$A108,Доп.расчеты!$A30,'Как есть'!BD101:BD108)</f>
        <v>0</v>
      </c>
      <c r="BD30">
        <f>SUMIF('Как есть'!$A101:$A108,Доп.расчеты!$A30,'Как есть'!BE101:BE108)</f>
        <v>0</v>
      </c>
      <c r="BE30">
        <f>SUMIF('Как есть'!$A101:$A108,Доп.расчеты!$A30,'Как есть'!BF101:BF108)</f>
        <v>0</v>
      </c>
      <c r="BF30">
        <f>SUMIF('Как есть'!$A101:$A108,Доп.расчеты!$A30,'Как есть'!BG101:BG108)</f>
        <v>0</v>
      </c>
      <c r="BG30">
        <f>SUMIF('Как есть'!$A101:$A108,Доп.расчеты!$A30,'Как есть'!BH101:BH108)</f>
        <v>0</v>
      </c>
      <c r="BH30">
        <f>SUMIF('Как есть'!$A101:$A108,Доп.расчеты!$A30,'Как есть'!BI101:BI108)</f>
        <v>0</v>
      </c>
      <c r="BI30">
        <f>SUMIF('Как есть'!$A101:$A108,Доп.расчеты!$A30,'Как есть'!BJ101:BJ108)</f>
        <v>0</v>
      </c>
      <c r="BJ30">
        <f>SUMIF('Как есть'!$A101:$A108,Доп.расчеты!$A30,'Как есть'!BK101:BK108)</f>
        <v>0</v>
      </c>
      <c r="BK30">
        <f>SUMIF('Как есть'!$A101:$A108,Доп.расчеты!$A30,'Как есть'!BL101:BL108)</f>
        <v>0</v>
      </c>
      <c r="BL30">
        <f>SUMIF('Как есть'!$A101:$A108,Доп.расчеты!$A30,'Как есть'!BM101:BM108)</f>
        <v>0</v>
      </c>
      <c r="BM30">
        <f>SUMIF('Как есть'!$A101:$A108,Доп.расчеты!$A30,'Как есть'!BN101:BN108)</f>
        <v>0</v>
      </c>
      <c r="BN30">
        <f>SUMIF('Как есть'!$A101:$A108,Доп.расчеты!$A30,'Как есть'!BO101:BO108)</f>
        <v>0</v>
      </c>
      <c r="BO30">
        <f>SUMIF('Как есть'!$A101:$A108,Доп.расчеты!$A30,'Как есть'!BP101:BP108)</f>
        <v>0</v>
      </c>
      <c r="BP30">
        <f>SUMIF('Как есть'!$A101:$A108,Доп.расчеты!$A30,'Как есть'!BQ101:BQ108)</f>
        <v>0</v>
      </c>
      <c r="BQ30">
        <f>SUMIF('Как есть'!$A101:$A108,Доп.расчеты!$A30,'Как есть'!BR101:BR108)</f>
        <v>0</v>
      </c>
      <c r="BR30">
        <f>SUMIF('Как есть'!$A101:$A108,Доп.расчеты!$A30,'Как есть'!BS101:BS108)</f>
        <v>0</v>
      </c>
      <c r="BS30">
        <f>SUMIF('Как есть'!$A101:$A108,Доп.расчеты!$A30,'Как есть'!BT101:BT108)</f>
        <v>0</v>
      </c>
      <c r="BT30">
        <f>SUMIF('Как есть'!$A101:$A108,Доп.расчеты!$A30,'Как есть'!BU101:BU108)</f>
        <v>0</v>
      </c>
      <c r="BU30">
        <f>SUMIF('Как есть'!$A101:$A108,Доп.расчеты!$A30,'Как есть'!BV101:BV108)</f>
        <v>0</v>
      </c>
      <c r="BV30">
        <f>SUMIF('Как есть'!$A101:$A108,Доп.расчеты!$A30,'Как есть'!BW101:BW108)</f>
        <v>0</v>
      </c>
      <c r="BW30">
        <f>SUMIF('Как есть'!$A101:$A108,Доп.расчеты!$A30,'Как есть'!BX101:BX108)</f>
        <v>0</v>
      </c>
      <c r="BX30">
        <f>SUMIF('Как есть'!$A101:$A108,Доп.расчеты!$A30,'Как есть'!BY101:BY108)</f>
        <v>0</v>
      </c>
      <c r="BY30">
        <f>SUMIF('Как есть'!$A101:$A108,Доп.расчеты!$A30,'Как есть'!BZ101:BZ108)</f>
        <v>0</v>
      </c>
      <c r="BZ30">
        <f>SUMIF('Как есть'!$A101:$A108,Доп.расчеты!$A30,'Как есть'!CA101:CA108)</f>
        <v>0</v>
      </c>
      <c r="CA30">
        <f>SUMIF('Как есть'!$A101:$A108,Доп.расчеты!$A30,'Как есть'!CB101:CB108)</f>
        <v>0</v>
      </c>
      <c r="CB30">
        <f>SUMIF('Как есть'!$A101:$A108,Доп.расчеты!$A30,'Как есть'!CC101:CC108)</f>
        <v>0</v>
      </c>
      <c r="CC30">
        <f>SUMIF('Как есть'!$A101:$A108,Доп.расчеты!$A30,'Как есть'!CD101:CD108)</f>
        <v>0</v>
      </c>
      <c r="CD30">
        <f>SUMIF('Как есть'!$A101:$A108,Доп.расчеты!$A30,'Как есть'!CE101:CE108)</f>
        <v>0</v>
      </c>
      <c r="CE30">
        <f>SUMIF('Как есть'!$A101:$A108,Доп.расчеты!$A30,'Как есть'!CF101:CF108)</f>
        <v>0</v>
      </c>
      <c r="CF30">
        <f>SUMIF('Как есть'!$A101:$A108,Доп.расчеты!$A30,'Как есть'!CG101:CG108)</f>
        <v>0</v>
      </c>
      <c r="CG30">
        <f>SUMIF('Как есть'!$A101:$A108,Доп.расчеты!$A30,'Как есть'!CH101:CH108)</f>
        <v>0</v>
      </c>
      <c r="CH30">
        <f>SUMIF('Как есть'!$A101:$A108,Доп.расчеты!$A30,'Как есть'!CI101:CI108)</f>
        <v>0</v>
      </c>
      <c r="CI30">
        <f>SUMIF('Как есть'!$A101:$A108,Доп.расчеты!$A30,'Как есть'!CJ101:CJ108)</f>
        <v>0</v>
      </c>
      <c r="CJ30">
        <f>SUMIF('Как есть'!$A101:$A108,Доп.расчеты!$A30,'Как есть'!CK101:CK108)</f>
        <v>0</v>
      </c>
      <c r="CK30">
        <f>SUMIF('Как есть'!$A101:$A108,Доп.расчеты!$A30,'Как есть'!CL101:CL108)</f>
        <v>0</v>
      </c>
      <c r="CL30">
        <f>SUMIF('Как есть'!$A101:$A108,Доп.расчеты!$A30,'Как есть'!CM101:CM108)</f>
        <v>0</v>
      </c>
      <c r="CM30">
        <f>SUMIF('Как есть'!$A101:$A108,Доп.расчеты!$A30,'Как есть'!CN101:CN108)</f>
        <v>0</v>
      </c>
      <c r="CN30">
        <f>SUMIF('Как есть'!$A101:$A108,Доп.расчеты!$A30,'Как есть'!CO101:CO108)</f>
        <v>0</v>
      </c>
      <c r="CO30">
        <f>SUMIF('Как есть'!$A101:$A108,Доп.расчеты!$A30,'Как есть'!CP101:CP108)</f>
        <v>0</v>
      </c>
      <c r="CP30">
        <f>SUMIF('Как есть'!$A101:$A108,Доп.расчеты!$A30,'Как есть'!CQ101:CQ108)</f>
        <v>0</v>
      </c>
      <c r="CQ30">
        <f>SUMIF('Как есть'!$A101:$A108,Доп.расчеты!$A30,'Как есть'!CR101:CR108)</f>
        <v>0</v>
      </c>
      <c r="CR30">
        <f>SUMIF('Как есть'!$A101:$A108,Доп.расчеты!$A30,'Как есть'!CS101:CS108)</f>
        <v>0</v>
      </c>
      <c r="CS30">
        <f>SUMIF('Как есть'!$A101:$A108,Доп.расчеты!$A30,'Как есть'!CT101:CT108)</f>
        <v>0</v>
      </c>
      <c r="CT30">
        <f>SUMIF('Как есть'!$A101:$A108,Доп.расчеты!$A30,'Как есть'!CU101:CU108)</f>
        <v>0</v>
      </c>
      <c r="CU30">
        <f>SUMIF('Как есть'!$A101:$A108,Доп.расчеты!$A30,'Как есть'!CV101:CV108)</f>
        <v>0</v>
      </c>
      <c r="CV30">
        <f>SUMIF('Как есть'!$A101:$A108,Доп.расчеты!$A30,'Как есть'!CW101:CW108)</f>
        <v>0</v>
      </c>
      <c r="CW30">
        <f>SUMIF('Как есть'!$A101:$A108,Доп.расчеты!$A30,'Как есть'!CX101:CX108)</f>
        <v>0</v>
      </c>
      <c r="CX30">
        <f>SUMIF('Как есть'!$A101:$A108,Доп.расчеты!$A30,'Как есть'!CY101:CY108)</f>
        <v>0</v>
      </c>
      <c r="CY30">
        <f>SUMIF('Как есть'!$A101:$A108,Доп.расчеты!$A30,'Как есть'!CZ101:CZ108)</f>
        <v>0</v>
      </c>
      <c r="CZ30">
        <f>SUMIF('Как есть'!$A101:$A108,Доп.расчеты!$A30,'Как есть'!DA101:DA108)</f>
        <v>0</v>
      </c>
      <c r="DA30">
        <f>SUMIF('Как есть'!$A101:$A108,Доп.расчеты!$A30,'Как есть'!DB101:DB108)</f>
        <v>0</v>
      </c>
      <c r="DB30">
        <f>SUMIF('Как есть'!$A101:$A108,Доп.расчеты!$A30,'Как есть'!DC101:DC108)</f>
        <v>0</v>
      </c>
      <c r="DC30">
        <f>SUMIF('Как есть'!$A101:$A108,Доп.расчеты!$A30,'Как есть'!DD101:DD108)</f>
        <v>0</v>
      </c>
      <c r="DD30">
        <f>SUMIF('Как есть'!$A101:$A108,Доп.расчеты!$A30,'Как есть'!DE101:DE108)</f>
        <v>0</v>
      </c>
      <c r="DE30">
        <f>SUMIF('Как есть'!$A101:$A108,Доп.расчеты!$A30,'Как есть'!DF101:DF108)</f>
        <v>0</v>
      </c>
      <c r="DF30">
        <f>SUMIF('Как есть'!$A101:$A108,Доп.расчеты!$A30,'Как есть'!DG101:DG108)</f>
        <v>0</v>
      </c>
      <c r="DG30">
        <f>SUMIF('Как есть'!$A101:$A108,Доп.расчеты!$A30,'Как есть'!DH101:DH108)</f>
        <v>0</v>
      </c>
      <c r="DH30">
        <f>SUMIF('Как есть'!$A101:$A108,Доп.расчеты!$A30,'Как есть'!DI101:DI108)</f>
        <v>0</v>
      </c>
      <c r="DI30">
        <f>SUMIF('Как есть'!$A101:$A108,Доп.расчеты!$A30,'Как есть'!DJ101:DJ108)</f>
        <v>0</v>
      </c>
      <c r="DJ30">
        <f>SUMIF('Как есть'!$A101:$A108,Доп.расчеты!$A30,'Как есть'!DK101:DK108)</f>
        <v>0</v>
      </c>
      <c r="DK30">
        <f>SUMIF('Как есть'!$A101:$A108,Доп.расчеты!$A30,'Как есть'!DL101:DL108)</f>
        <v>0</v>
      </c>
      <c r="DL30">
        <f>SUMIF('Как есть'!$A101:$A108,Доп.расчеты!$A30,'Как есть'!DM101:DM108)</f>
        <v>0</v>
      </c>
      <c r="DM30">
        <f>SUMIF('Как есть'!$A101:$A108,Доп.расчеты!$A30,'Как есть'!DN101:DN108)</f>
        <v>0</v>
      </c>
      <c r="DN30">
        <f>SUMIF('Как есть'!$A101:$A108,Доп.расчеты!$A30,'Как есть'!DO101:DO108)</f>
        <v>0</v>
      </c>
      <c r="DO30">
        <f>SUMIF('Как есть'!$A101:$A108,Доп.расчеты!$A30,'Как есть'!DP101:DP108)</f>
        <v>0</v>
      </c>
      <c r="DP30">
        <f>SUMIF('Как есть'!$A101:$A108,Доп.расчеты!$A30,'Как есть'!DQ101:DQ108)</f>
        <v>0</v>
      </c>
      <c r="DQ30">
        <f>SUMIF('Как есть'!$A101:$A108,Доп.расчеты!$A30,'Как есть'!DR101:DR108)</f>
        <v>0</v>
      </c>
      <c r="DR30">
        <f>SUMIF('Как есть'!$A101:$A108,Доп.расчеты!$A30,'Как есть'!DS101:DS108)</f>
        <v>0</v>
      </c>
      <c r="DS30">
        <f>SUMIF('Как есть'!$A101:$A108,Доп.расчеты!$A30,'Как есть'!DT101:DT108)</f>
        <v>0</v>
      </c>
      <c r="DT30">
        <f>SUMIF('Как есть'!$A101:$A108,Доп.расчеты!$A30,'Как есть'!DU101:DU108)</f>
        <v>0</v>
      </c>
      <c r="DU30">
        <f>SUMIF('Как есть'!$A101:$A108,Доп.расчеты!$A30,'Как есть'!DV101:DV108)</f>
        <v>0</v>
      </c>
      <c r="DV30">
        <f>SUMIF('Как есть'!$A101:$A108,Доп.расчеты!$A30,'Как есть'!DW101:DW108)</f>
        <v>0</v>
      </c>
      <c r="DW30">
        <f>SUMIF('Как есть'!$A101:$A108,Доп.расчеты!$A30,'Как есть'!DX101:DX108)</f>
        <v>0</v>
      </c>
      <c r="DX30">
        <f>SUMIF('Как есть'!$A101:$A108,Доп.расчеты!$A30,'Как есть'!DY101:DY108)</f>
        <v>0</v>
      </c>
      <c r="DY30">
        <f>SUMIF('Как есть'!$A101:$A108,Доп.расчеты!$A30,'Как есть'!DZ101:DZ108)</f>
        <v>0</v>
      </c>
      <c r="DZ30">
        <f>SUMIF('Как есть'!$A101:$A108,Доп.расчеты!$A30,'Как есть'!EA101:EA108)</f>
        <v>0</v>
      </c>
      <c r="EA30">
        <f>SUMIF('Как есть'!$A101:$A108,Доп.расчеты!$A30,'Как есть'!EB101:EB108)</f>
        <v>0</v>
      </c>
      <c r="EB30">
        <f>SUMIF('Как есть'!$A101:$A108,Доп.расчеты!$A30,'Как есть'!EC101:EC108)</f>
        <v>0</v>
      </c>
      <c r="EC30">
        <f>SUMIF('Как есть'!$A101:$A108,Доп.расчеты!$A30,'Как есть'!ED101:ED108)</f>
        <v>0</v>
      </c>
      <c r="ED30">
        <f>SUMIF('Как есть'!$A101:$A108,Доп.расчеты!$A30,'Как есть'!EE101:EE108)</f>
        <v>0</v>
      </c>
      <c r="EE30">
        <f>SUMIF('Как есть'!$A101:$A108,Доп.расчеты!$A30,'Как есть'!EF101:EF108)</f>
        <v>0</v>
      </c>
      <c r="EF30">
        <f>SUMIF('Как есть'!$A101:$A108,Доп.расчеты!$A30,'Как есть'!EG101:EG108)</f>
        <v>0</v>
      </c>
      <c r="EG30">
        <f>SUMIF('Как есть'!$A101:$A108,Доп.расчеты!$A30,'Как есть'!EH101:EH108)</f>
        <v>0</v>
      </c>
      <c r="EH30">
        <f>SUMIF('Как есть'!$A101:$A108,Доп.расчеты!$A30,'Как есть'!EI101:EI108)</f>
        <v>0</v>
      </c>
      <c r="EI30">
        <f>SUMIF('Как есть'!$A101:$A108,Доп.расчеты!$A30,'Как есть'!EJ101:EJ108)</f>
        <v>0</v>
      </c>
      <c r="EJ30">
        <f>SUMIF('Как есть'!$A101:$A108,Доп.расчеты!$A30,'Как есть'!EK101:EK108)</f>
        <v>0</v>
      </c>
      <c r="EK30">
        <f>SUMIF('Как есть'!$A101:$A108,Доп.расчеты!$A30,'Как есть'!EL101:EL108)</f>
        <v>0</v>
      </c>
      <c r="EL30">
        <f>SUMIF('Как есть'!$A101:$A108,Доп.расчеты!$A30,'Как есть'!EM101:EM108)</f>
        <v>0</v>
      </c>
      <c r="EM30">
        <f>SUMIF('Как есть'!$A101:$A108,Доп.расчеты!$A30,'Как есть'!EN101:EN108)</f>
        <v>0</v>
      </c>
      <c r="EN30">
        <f>SUMIF('Как есть'!$A101:$A108,Доп.расчеты!$A30,'Как есть'!EO101:EO108)</f>
        <v>0</v>
      </c>
      <c r="EO30">
        <f>SUMIF('Как есть'!$A101:$A108,Доп.расчеты!$A30,'Как есть'!EP101:EP108)</f>
        <v>0</v>
      </c>
      <c r="EP30">
        <f>SUMIF('Как есть'!$A101:$A108,Доп.расчеты!$A30,'Как есть'!EQ101:EQ108)</f>
        <v>0</v>
      </c>
      <c r="EQ30">
        <f>SUMIF('Как есть'!$A101:$A108,Доп.расчеты!$A30,'Как есть'!ER101:ER108)</f>
        <v>0</v>
      </c>
      <c r="ER30">
        <f>SUMIF('Как есть'!$A101:$A108,Доп.расчеты!$A30,'Как есть'!ES101:ES108)</f>
        <v>0</v>
      </c>
      <c r="ES30">
        <f>SUMIF('Как есть'!$A101:$A108,Доп.расчеты!$A30,'Как есть'!ET101:ET108)</f>
        <v>0</v>
      </c>
      <c r="ET30">
        <f>SUMIF('Как есть'!$A101:$A108,Доп.расчеты!$A30,'Как есть'!EU101:EU108)</f>
        <v>0</v>
      </c>
      <c r="EU30">
        <f>SUMIF('Как есть'!$A101:$A108,Доп.расчеты!$A30,'Как есть'!EV101:EV108)</f>
        <v>0</v>
      </c>
      <c r="EV30">
        <f>SUMIF('Как есть'!$A101:$A108,Доп.расчеты!$A30,'Как есть'!EW101:EW108)</f>
        <v>0</v>
      </c>
      <c r="EW30">
        <f>SUMIF('Как есть'!$A101:$A108,Доп.расчеты!$A30,'Как есть'!EX101:EX108)</f>
        <v>0</v>
      </c>
      <c r="EX30">
        <f>SUMIF('Как есть'!$A101:$A108,Доп.расчеты!$A30,'Как есть'!EY101:EY108)</f>
        <v>0</v>
      </c>
      <c r="EY30">
        <f>SUMIF('Как есть'!$A101:$A108,Доп.расчеты!$A30,'Как есть'!EZ101:EZ108)</f>
        <v>0</v>
      </c>
      <c r="EZ30">
        <f>SUMIF('Как есть'!$A101:$A108,Доп.расчеты!$A30,'Как есть'!FA101:FA108)</f>
        <v>0</v>
      </c>
      <c r="FA30">
        <f>SUMIF('Как есть'!$A101:$A108,Доп.расчеты!$A30,'Как есть'!FB101:FB108)</f>
        <v>0</v>
      </c>
      <c r="FB30">
        <f>SUMIF('Как есть'!$A101:$A108,Доп.расчеты!$A30,'Как есть'!FC101:FC108)</f>
        <v>0</v>
      </c>
      <c r="FC30">
        <f>SUMIF('Как есть'!$A101:$A108,Доп.расчеты!$A30,'Как есть'!FD101:FD108)</f>
        <v>0</v>
      </c>
      <c r="FD30">
        <f>SUMIF('Как есть'!$A101:$A108,Доп.расчеты!$A30,'Как есть'!FE101:FE108)</f>
        <v>0</v>
      </c>
      <c r="FE30">
        <f>SUMIF('Как есть'!$A101:$A108,Доп.расчеты!$A30,'Как есть'!FF101:FF108)</f>
        <v>0</v>
      </c>
      <c r="FF30">
        <f>SUMIF('Как есть'!$A101:$A108,Доп.расчеты!$A30,'Как есть'!FG101:FG108)</f>
        <v>0</v>
      </c>
      <c r="FG30">
        <f>SUMIF('Как есть'!$A101:$A108,Доп.расчеты!$A30,'Как есть'!FH101:FH108)</f>
        <v>0</v>
      </c>
      <c r="FH30">
        <f>SUMIF('Как есть'!$A101:$A108,Доп.расчеты!$A30,'Как есть'!FI101:FI108)</f>
        <v>0</v>
      </c>
      <c r="FI30">
        <f>SUMIF('Как есть'!$A101:$A108,Доп.расчеты!$A30,'Как есть'!FJ101:FJ108)</f>
        <v>0</v>
      </c>
      <c r="FJ30">
        <f>SUMIF('Как есть'!$A101:$A108,Доп.расчеты!$A30,'Как есть'!FK101:FK108)</f>
        <v>0</v>
      </c>
      <c r="FK30">
        <f>SUMIF('Как есть'!$A101:$A108,Доп.расчеты!$A30,'Как есть'!FL101:FL108)</f>
        <v>0</v>
      </c>
      <c r="FL30">
        <f>SUMIF('Как есть'!$A101:$A108,Доп.расчеты!$A30,'Как есть'!FM101:FM108)</f>
        <v>0</v>
      </c>
      <c r="FM30">
        <f>SUMIF('Как есть'!$A101:$A108,Доп.расчеты!$A30,'Как есть'!FN101:FN108)</f>
        <v>0</v>
      </c>
      <c r="FN30">
        <f>SUMIF('Как есть'!$A101:$A108,Доп.расчеты!$A30,'Как есть'!FO101:FO108)</f>
        <v>0</v>
      </c>
      <c r="FO30">
        <f>SUMIF('Как есть'!$A101:$A108,Доп.расчеты!$A30,'Как есть'!FP101:FP108)</f>
        <v>0</v>
      </c>
      <c r="FP30">
        <f>SUMIF('Как есть'!$A101:$A108,Доп.расчеты!$A30,'Как есть'!FQ101:FQ108)</f>
        <v>0</v>
      </c>
      <c r="FQ30">
        <f>SUMIF('Как есть'!$A101:$A108,Доп.расчеты!$A30,'Как есть'!FR101:FR108)</f>
        <v>0</v>
      </c>
      <c r="FR30">
        <f>SUMIF('Как есть'!$A101:$A108,Доп.расчеты!$A30,'Как есть'!FS101:FS108)</f>
        <v>0</v>
      </c>
      <c r="FS30">
        <f>SUMIF('Как есть'!$A101:$A108,Доп.расчеты!$A30,'Как есть'!FT101:FT108)</f>
        <v>0</v>
      </c>
      <c r="FT30">
        <f>SUMIF('Как есть'!$A101:$A108,Доп.расчеты!$A30,'Как есть'!FU101:FU108)</f>
        <v>0</v>
      </c>
      <c r="FU30">
        <f>SUMIF('Как есть'!$A101:$A108,Доп.расчеты!$A30,'Как есть'!FV101:FV108)</f>
        <v>0</v>
      </c>
      <c r="FV30">
        <f>SUMIF('Как есть'!$A101:$A108,Доп.расчеты!$A30,'Как есть'!FW101:FW108)</f>
        <v>0</v>
      </c>
      <c r="FW30">
        <f>SUMIF('Как есть'!$A101:$A108,Доп.расчеты!$A30,'Как есть'!FX101:FX108)</f>
        <v>0</v>
      </c>
      <c r="FX30">
        <f>SUMIF('Как есть'!$A101:$A108,Доп.расчеты!$A30,'Как есть'!FY101:FY108)</f>
        <v>0</v>
      </c>
      <c r="FY30">
        <f>SUMIF('Как есть'!$A101:$A108,Доп.расчеты!$A30,'Как есть'!FZ101:FZ108)</f>
        <v>0</v>
      </c>
      <c r="FZ30">
        <f>SUMIF('Как есть'!$A101:$A108,Доп.расчеты!$A30,'Как есть'!GA101:GA108)</f>
        <v>0</v>
      </c>
      <c r="GA30">
        <f>SUMIF('Как есть'!$A101:$A108,Доп.расчеты!$A30,'Как есть'!GB101:GB108)</f>
        <v>0</v>
      </c>
      <c r="GB30">
        <f>SUMIF('Как есть'!$A101:$A108,Доп.расчеты!$A30,'Как есть'!GC101:GC108)</f>
        <v>0</v>
      </c>
      <c r="GC30">
        <f>SUMIF('Как есть'!$A101:$A108,Доп.расчеты!$A30,'Как есть'!GD101:GD108)</f>
        <v>0</v>
      </c>
      <c r="GD30">
        <f>SUMIF('Как есть'!$A101:$A108,Доп.расчеты!$A30,'Как есть'!GE101:GE108)</f>
        <v>0</v>
      </c>
      <c r="GE30">
        <f>SUMIF('Как есть'!$A101:$A108,Доп.расчеты!$A30,'Как есть'!GF101:GF108)</f>
        <v>0</v>
      </c>
      <c r="GF30">
        <f>SUMIF('Как есть'!$A101:$A108,Доп.расчеты!$A30,'Как есть'!GG101:GG108)</f>
        <v>0</v>
      </c>
      <c r="GG30">
        <f>SUMIF('Как есть'!$A101:$A108,Доп.расчеты!$A30,'Как есть'!GH101:GH108)</f>
        <v>0</v>
      </c>
      <c r="GH30">
        <f>SUMIF('Как есть'!$A101:$A108,Доп.расчеты!$A30,'Как есть'!GI101:GI108)</f>
        <v>0</v>
      </c>
      <c r="GI30">
        <f>SUMIF('Как есть'!$A101:$A108,Доп.расчеты!$A30,'Как есть'!GJ101:GJ108)</f>
        <v>0</v>
      </c>
      <c r="GJ30">
        <f>SUMIF('Как есть'!$A101:$A108,Доп.расчеты!$A30,'Как есть'!GK101:GK108)</f>
        <v>0</v>
      </c>
      <c r="GK30">
        <f>SUMIF('Как есть'!$A101:$A108,Доп.расчеты!$A30,'Как есть'!GL101:GL108)</f>
        <v>0</v>
      </c>
      <c r="GL30">
        <f>SUMIF('Как есть'!$A101:$A108,Доп.расчеты!$A30,'Как есть'!GM101:GM108)</f>
        <v>0</v>
      </c>
      <c r="GM30">
        <f>SUMIF('Как есть'!$A101:$A108,Доп.расчеты!$A30,'Как есть'!GN101:GN108)</f>
        <v>0</v>
      </c>
      <c r="GN30">
        <f>SUMIF('Как есть'!$A101:$A108,Доп.расчеты!$A30,'Как есть'!GO101:GO108)</f>
        <v>0</v>
      </c>
      <c r="GO30">
        <f>SUMIF('Как есть'!$A101:$A108,Доп.расчеты!$A30,'Как есть'!GP101:GP108)</f>
        <v>0</v>
      </c>
      <c r="GP30">
        <f>SUMIF('Как есть'!$A101:$A108,Доп.расчеты!$A30,'Как есть'!GQ101:GQ108)</f>
        <v>0</v>
      </c>
      <c r="GQ30">
        <f>SUMIF('Как есть'!$A101:$A108,Доп.расчеты!$A30,'Как есть'!GR101:GR108)</f>
        <v>0</v>
      </c>
      <c r="GR30">
        <f>SUMIF('Как есть'!$A101:$A108,Доп.расчеты!$A30,'Как есть'!GS101:GS108)</f>
        <v>0</v>
      </c>
      <c r="GS30">
        <f>SUMIF('Как есть'!$A101:$A108,Доп.расчеты!$A30,'Как есть'!GT101:GT108)</f>
        <v>0</v>
      </c>
      <c r="GT30">
        <f>SUMIF('Как есть'!$A101:$A108,Доп.расчеты!$A30,'Как есть'!GU101:GU108)</f>
        <v>0</v>
      </c>
    </row>
    <row r="31" spans="1:202">
      <c r="A31" s="61" t="s">
        <v>147</v>
      </c>
      <c r="B31">
        <f>SUMIF('Как есть'!$A101:$A108,Доп.расчеты!$A31,'Как есть'!C101:C108)</f>
        <v>0</v>
      </c>
      <c r="C31">
        <f>SUMIF('Как есть'!$A101:$A108,Доп.расчеты!$A31,'Как есть'!D101:D108)</f>
        <v>0</v>
      </c>
      <c r="D31">
        <f>SUMIF('Как есть'!$A101:$A108,Доп.расчеты!$A31,'Как есть'!E101:E108)</f>
        <v>0</v>
      </c>
      <c r="E31">
        <f>SUMIF('Как есть'!$A101:$A108,Доп.расчеты!$A31,'Как есть'!F101:F108)</f>
        <v>0</v>
      </c>
      <c r="F31">
        <f>SUMIF('Как есть'!$A101:$A108,Доп.расчеты!$A31,'Как есть'!G101:G108)</f>
        <v>0</v>
      </c>
      <c r="G31">
        <f>SUMIF('Как есть'!$A101:$A108,Доп.расчеты!$A31,'Как есть'!H101:H108)</f>
        <v>0</v>
      </c>
      <c r="H31">
        <f>SUMIF('Как есть'!$A101:$A108,Доп.расчеты!$A31,'Как есть'!I101:I108)</f>
        <v>0</v>
      </c>
      <c r="I31">
        <f>SUMIF('Как есть'!$A101:$A108,Доп.расчеты!$A31,'Как есть'!J101:J108)</f>
        <v>0</v>
      </c>
      <c r="J31">
        <f>SUMIF('Как есть'!$A101:$A108,Доп.расчеты!$A31,'Как есть'!K101:K108)</f>
        <v>0</v>
      </c>
      <c r="K31">
        <f>SUMIF('Как есть'!$A101:$A108,Доп.расчеты!$A31,'Как есть'!L101:L108)</f>
        <v>0</v>
      </c>
      <c r="L31">
        <f>SUMIF('Как есть'!$A101:$A108,Доп.расчеты!$A31,'Как есть'!M101:M108)</f>
        <v>0</v>
      </c>
      <c r="M31">
        <f>SUMIF('Как есть'!$A101:$A108,Доп.расчеты!$A31,'Как есть'!N101:N108)</f>
        <v>0</v>
      </c>
      <c r="N31">
        <f>SUMIF('Как есть'!$A101:$A108,Доп.расчеты!$A31,'Как есть'!O101:O108)</f>
        <v>0</v>
      </c>
      <c r="O31">
        <f>SUMIF('Как есть'!$A101:$A108,Доп.расчеты!$A31,'Как есть'!P101:P108)</f>
        <v>0</v>
      </c>
      <c r="P31">
        <f>SUMIF('Как есть'!$A101:$A108,Доп.расчеты!$A31,'Как есть'!Q101:Q108)</f>
        <v>0</v>
      </c>
      <c r="Q31">
        <f>SUMIF('Как есть'!$A101:$A108,Доп.расчеты!$A31,'Как есть'!R101:R108)</f>
        <v>0</v>
      </c>
      <c r="R31">
        <f>SUMIF('Как есть'!$A101:$A108,Доп.расчеты!$A31,'Как есть'!S101:S108)</f>
        <v>0</v>
      </c>
      <c r="S31">
        <f>SUMIF('Как есть'!$A101:$A108,Доп.расчеты!$A31,'Как есть'!T101:T108)</f>
        <v>0</v>
      </c>
      <c r="T31">
        <f>SUMIF('Как есть'!$A101:$A108,Доп.расчеты!$A31,'Как есть'!U101:U108)</f>
        <v>0</v>
      </c>
      <c r="U31">
        <f>SUMIF('Как есть'!$A101:$A108,Доп.расчеты!$A31,'Как есть'!V101:V108)</f>
        <v>0</v>
      </c>
      <c r="V31">
        <f>SUMIF('Как есть'!$A101:$A108,Доп.расчеты!$A31,'Как есть'!W101:W108)</f>
        <v>0</v>
      </c>
      <c r="W31">
        <f>SUMIF('Как есть'!$A101:$A108,Доп.расчеты!$A31,'Как есть'!X101:X108)</f>
        <v>0</v>
      </c>
      <c r="X31">
        <f>SUMIF('Как есть'!$A101:$A108,Доп.расчеты!$A31,'Как есть'!Y101:Y108)</f>
        <v>0</v>
      </c>
      <c r="Y31">
        <f>SUMIF('Как есть'!$A101:$A108,Доп.расчеты!$A31,'Как есть'!Z101:Z108)</f>
        <v>0</v>
      </c>
      <c r="Z31">
        <f>SUMIF('Как есть'!$A101:$A108,Доп.расчеты!$A31,'Как есть'!AA101:AA108)</f>
        <v>0</v>
      </c>
      <c r="AA31">
        <f>SUMIF('Как есть'!$A101:$A108,Доп.расчеты!$A31,'Как есть'!AB101:AB108)</f>
        <v>0</v>
      </c>
      <c r="AB31">
        <f>SUMIF('Как есть'!$A101:$A108,Доп.расчеты!$A31,'Как есть'!AC101:AC108)</f>
        <v>0</v>
      </c>
      <c r="AC31">
        <f>SUMIF('Как есть'!$A101:$A108,Доп.расчеты!$A31,'Как есть'!AD101:AD108)</f>
        <v>0</v>
      </c>
      <c r="AD31">
        <f>SUMIF('Как есть'!$A101:$A108,Доп.расчеты!$A31,'Как есть'!AE101:AE108)</f>
        <v>0</v>
      </c>
      <c r="AE31">
        <f>SUMIF('Как есть'!$A101:$A108,Доп.расчеты!$A31,'Как есть'!AF101:AF108)</f>
        <v>0</v>
      </c>
      <c r="AF31">
        <f>SUMIF('Как есть'!$A101:$A108,Доп.расчеты!$A31,'Как есть'!AG101:AG108)</f>
        <v>0</v>
      </c>
      <c r="AG31">
        <f>SUMIF('Как есть'!$A101:$A108,Доп.расчеты!$A31,'Как есть'!AH101:AH108)</f>
        <v>0</v>
      </c>
      <c r="AH31">
        <f>SUMIF('Как есть'!$A101:$A108,Доп.расчеты!$A31,'Как есть'!AI101:AI108)</f>
        <v>0</v>
      </c>
      <c r="AI31">
        <f>SUMIF('Как есть'!$A101:$A108,Доп.расчеты!$A31,'Как есть'!AJ101:AJ108)</f>
        <v>0</v>
      </c>
      <c r="AJ31">
        <f>SUMIF('Как есть'!$A101:$A108,Доп.расчеты!$A31,'Как есть'!AK101:AK108)</f>
        <v>0</v>
      </c>
      <c r="AK31">
        <f>SUMIF('Как есть'!$A101:$A108,Доп.расчеты!$A31,'Как есть'!AL101:AL108)</f>
        <v>0</v>
      </c>
      <c r="AL31">
        <f>SUMIF('Как есть'!$A101:$A108,Доп.расчеты!$A31,'Как есть'!AM101:AM108)</f>
        <v>0</v>
      </c>
      <c r="AM31">
        <f>SUMIF('Как есть'!$A101:$A108,Доп.расчеты!$A31,'Как есть'!AN101:AN108)</f>
        <v>0</v>
      </c>
      <c r="AN31">
        <f>SUMIF('Как есть'!$A101:$A108,Доп.расчеты!$A31,'Как есть'!AO101:AO108)</f>
        <v>0</v>
      </c>
      <c r="AO31">
        <f>SUMIF('Как есть'!$A101:$A108,Доп.расчеты!$A31,'Как есть'!AP101:AP108)</f>
        <v>0</v>
      </c>
      <c r="AP31">
        <f>SUMIF('Как есть'!$A101:$A108,Доп.расчеты!$A31,'Как есть'!AQ101:AQ108)</f>
        <v>0</v>
      </c>
      <c r="AQ31">
        <f>SUMIF('Как есть'!$A101:$A108,Доп.расчеты!$A31,'Как есть'!AR101:AR108)</f>
        <v>0</v>
      </c>
      <c r="AR31">
        <f>SUMIF('Как есть'!$A101:$A108,Доп.расчеты!$A31,'Как есть'!AS101:AS108)</f>
        <v>0</v>
      </c>
      <c r="AS31">
        <f>SUMIF('Как есть'!$A101:$A108,Доп.расчеты!$A31,'Как есть'!AT101:AT108)</f>
        <v>0</v>
      </c>
      <c r="AT31">
        <f>SUMIF('Как есть'!$A101:$A108,Доп.расчеты!$A31,'Как есть'!AU101:AU108)</f>
        <v>0</v>
      </c>
      <c r="AU31">
        <f>SUMIF('Как есть'!$A101:$A108,Доп.расчеты!$A31,'Как есть'!AV101:AV108)</f>
        <v>0</v>
      </c>
      <c r="AV31">
        <f>SUMIF('Как есть'!$A101:$A108,Доп.расчеты!$A31,'Как есть'!AW101:AW108)</f>
        <v>0</v>
      </c>
      <c r="AW31">
        <f>SUMIF('Как есть'!$A101:$A108,Доп.расчеты!$A31,'Как есть'!AX101:AX108)</f>
        <v>0</v>
      </c>
      <c r="AX31">
        <f>SUMIF('Как есть'!$A101:$A108,Доп.расчеты!$A31,'Как есть'!AY101:AY108)</f>
        <v>0</v>
      </c>
      <c r="AY31">
        <f>SUMIF('Как есть'!$A101:$A108,Доп.расчеты!$A31,'Как есть'!AZ101:AZ108)</f>
        <v>0</v>
      </c>
      <c r="AZ31">
        <f>SUMIF('Как есть'!$A101:$A108,Доп.расчеты!$A31,'Как есть'!BA101:BA108)</f>
        <v>0</v>
      </c>
      <c r="BA31">
        <f>SUMIF('Как есть'!$A101:$A108,Доп.расчеты!$A31,'Как есть'!BB101:BB108)</f>
        <v>0</v>
      </c>
      <c r="BB31">
        <f>SUMIF('Как есть'!$A101:$A108,Доп.расчеты!$A31,'Как есть'!BC101:BC108)</f>
        <v>0</v>
      </c>
      <c r="BC31">
        <f>SUMIF('Как есть'!$A101:$A108,Доп.расчеты!$A31,'Как есть'!BD101:BD108)</f>
        <v>0</v>
      </c>
      <c r="BD31">
        <f>SUMIF('Как есть'!$A101:$A108,Доп.расчеты!$A31,'Как есть'!BE101:BE108)</f>
        <v>0</v>
      </c>
      <c r="BE31">
        <f>SUMIF('Как есть'!$A101:$A108,Доп.расчеты!$A31,'Как есть'!BF101:BF108)</f>
        <v>0</v>
      </c>
      <c r="BF31">
        <f>SUMIF('Как есть'!$A101:$A108,Доп.расчеты!$A31,'Как есть'!BG101:BG108)</f>
        <v>0</v>
      </c>
      <c r="BG31">
        <f>SUMIF('Как есть'!$A101:$A108,Доп.расчеты!$A31,'Как есть'!BH101:BH108)</f>
        <v>0</v>
      </c>
      <c r="BH31">
        <f>SUMIF('Как есть'!$A101:$A108,Доп.расчеты!$A31,'Как есть'!BI101:BI108)</f>
        <v>0</v>
      </c>
      <c r="BI31">
        <f>SUMIF('Как есть'!$A101:$A108,Доп.расчеты!$A31,'Как есть'!BJ101:BJ108)</f>
        <v>0</v>
      </c>
      <c r="BJ31">
        <f>SUMIF('Как есть'!$A101:$A108,Доп.расчеты!$A31,'Как есть'!BK101:BK108)</f>
        <v>0</v>
      </c>
      <c r="BK31">
        <f>SUMIF('Как есть'!$A101:$A108,Доп.расчеты!$A31,'Как есть'!BL101:BL108)</f>
        <v>0</v>
      </c>
      <c r="BL31">
        <f>SUMIF('Как есть'!$A101:$A108,Доп.расчеты!$A31,'Как есть'!BM101:BM108)</f>
        <v>0</v>
      </c>
      <c r="BM31">
        <f>SUMIF('Как есть'!$A101:$A108,Доп.расчеты!$A31,'Как есть'!BN101:BN108)</f>
        <v>0</v>
      </c>
      <c r="BN31">
        <f>SUMIF('Как есть'!$A101:$A108,Доп.расчеты!$A31,'Как есть'!BO101:BO108)</f>
        <v>0</v>
      </c>
      <c r="BO31">
        <f>SUMIF('Как есть'!$A101:$A108,Доп.расчеты!$A31,'Как есть'!BP101:BP108)</f>
        <v>0</v>
      </c>
      <c r="BP31">
        <f>SUMIF('Как есть'!$A101:$A108,Доп.расчеты!$A31,'Как есть'!BQ101:BQ108)</f>
        <v>0</v>
      </c>
      <c r="BQ31">
        <f>SUMIF('Как есть'!$A101:$A108,Доп.расчеты!$A31,'Как есть'!BR101:BR108)</f>
        <v>0</v>
      </c>
      <c r="BR31">
        <f>SUMIF('Как есть'!$A101:$A108,Доп.расчеты!$A31,'Как есть'!BS101:BS108)</f>
        <v>0</v>
      </c>
      <c r="BS31">
        <f>SUMIF('Как есть'!$A101:$A108,Доп.расчеты!$A31,'Как есть'!BT101:BT108)</f>
        <v>0</v>
      </c>
      <c r="BT31">
        <f>SUMIF('Как есть'!$A101:$A108,Доп.расчеты!$A31,'Как есть'!BU101:BU108)</f>
        <v>0</v>
      </c>
      <c r="BU31">
        <f>SUMIF('Как есть'!$A101:$A108,Доп.расчеты!$A31,'Как есть'!BV101:BV108)</f>
        <v>0</v>
      </c>
      <c r="BV31">
        <f>SUMIF('Как есть'!$A101:$A108,Доп.расчеты!$A31,'Как есть'!BW101:BW108)</f>
        <v>0</v>
      </c>
      <c r="BW31">
        <f>SUMIF('Как есть'!$A101:$A108,Доп.расчеты!$A31,'Как есть'!BX101:BX108)</f>
        <v>0</v>
      </c>
      <c r="BX31">
        <f>SUMIF('Как есть'!$A101:$A108,Доп.расчеты!$A31,'Как есть'!BY101:BY108)</f>
        <v>0</v>
      </c>
      <c r="BY31">
        <f>SUMIF('Как есть'!$A101:$A108,Доп.расчеты!$A31,'Как есть'!BZ101:BZ108)</f>
        <v>0</v>
      </c>
      <c r="BZ31">
        <f>SUMIF('Как есть'!$A101:$A108,Доп.расчеты!$A31,'Как есть'!CA101:CA108)</f>
        <v>0</v>
      </c>
      <c r="CA31">
        <f>SUMIF('Как есть'!$A101:$A108,Доп.расчеты!$A31,'Как есть'!CB101:CB108)</f>
        <v>0</v>
      </c>
      <c r="CB31">
        <f>SUMIF('Как есть'!$A101:$A108,Доп.расчеты!$A31,'Как есть'!CC101:CC108)</f>
        <v>0</v>
      </c>
      <c r="CC31">
        <f>SUMIF('Как есть'!$A101:$A108,Доп.расчеты!$A31,'Как есть'!CD101:CD108)</f>
        <v>0</v>
      </c>
      <c r="CD31">
        <f>SUMIF('Как есть'!$A101:$A108,Доп.расчеты!$A31,'Как есть'!CE101:CE108)</f>
        <v>0</v>
      </c>
      <c r="CE31">
        <f>SUMIF('Как есть'!$A101:$A108,Доп.расчеты!$A31,'Как есть'!CF101:CF108)</f>
        <v>0</v>
      </c>
      <c r="CF31">
        <f>SUMIF('Как есть'!$A101:$A108,Доп.расчеты!$A31,'Как есть'!CG101:CG108)</f>
        <v>0</v>
      </c>
      <c r="CG31">
        <f>SUMIF('Как есть'!$A101:$A108,Доп.расчеты!$A31,'Как есть'!CH101:CH108)</f>
        <v>0</v>
      </c>
      <c r="CH31">
        <f>SUMIF('Как есть'!$A101:$A108,Доп.расчеты!$A31,'Как есть'!CI101:CI108)</f>
        <v>0</v>
      </c>
      <c r="CI31">
        <f>SUMIF('Как есть'!$A101:$A108,Доп.расчеты!$A31,'Как есть'!CJ101:CJ108)</f>
        <v>0</v>
      </c>
      <c r="CJ31">
        <f>SUMIF('Как есть'!$A101:$A108,Доп.расчеты!$A31,'Как есть'!CK101:CK108)</f>
        <v>0</v>
      </c>
      <c r="CK31">
        <f>SUMIF('Как есть'!$A101:$A108,Доп.расчеты!$A31,'Как есть'!CL101:CL108)</f>
        <v>0</v>
      </c>
      <c r="CL31">
        <f>SUMIF('Как есть'!$A101:$A108,Доп.расчеты!$A31,'Как есть'!CM101:CM108)</f>
        <v>0</v>
      </c>
      <c r="CM31">
        <f>SUMIF('Как есть'!$A101:$A108,Доп.расчеты!$A31,'Как есть'!CN101:CN108)</f>
        <v>0</v>
      </c>
      <c r="CN31">
        <f>SUMIF('Как есть'!$A101:$A108,Доп.расчеты!$A31,'Как есть'!CO101:CO108)</f>
        <v>0</v>
      </c>
      <c r="CO31">
        <f>SUMIF('Как есть'!$A101:$A108,Доп.расчеты!$A31,'Как есть'!CP101:CP108)</f>
        <v>0</v>
      </c>
      <c r="CP31">
        <f>SUMIF('Как есть'!$A101:$A108,Доп.расчеты!$A31,'Как есть'!CQ101:CQ108)</f>
        <v>0</v>
      </c>
      <c r="CQ31">
        <f>SUMIF('Как есть'!$A101:$A108,Доп.расчеты!$A31,'Как есть'!CR101:CR108)</f>
        <v>0</v>
      </c>
      <c r="CR31">
        <f>SUMIF('Как есть'!$A101:$A108,Доп.расчеты!$A31,'Как есть'!CS101:CS108)</f>
        <v>0</v>
      </c>
      <c r="CS31">
        <f>SUMIF('Как есть'!$A101:$A108,Доп.расчеты!$A31,'Как есть'!CT101:CT108)</f>
        <v>0</v>
      </c>
      <c r="CT31">
        <f>SUMIF('Как есть'!$A101:$A108,Доп.расчеты!$A31,'Как есть'!CU101:CU108)</f>
        <v>0</v>
      </c>
      <c r="CU31">
        <f>SUMIF('Как есть'!$A101:$A108,Доп.расчеты!$A31,'Как есть'!CV101:CV108)</f>
        <v>0</v>
      </c>
      <c r="CV31">
        <f>SUMIF('Как есть'!$A101:$A108,Доп.расчеты!$A31,'Как есть'!CW101:CW108)</f>
        <v>0</v>
      </c>
      <c r="CW31">
        <f>SUMIF('Как есть'!$A101:$A108,Доп.расчеты!$A31,'Как есть'!CX101:CX108)</f>
        <v>0</v>
      </c>
      <c r="CX31">
        <f>SUMIF('Как есть'!$A101:$A108,Доп.расчеты!$A31,'Как есть'!CY101:CY108)</f>
        <v>0</v>
      </c>
      <c r="CY31">
        <f>SUMIF('Как есть'!$A101:$A108,Доп.расчеты!$A31,'Как есть'!CZ101:CZ108)</f>
        <v>0</v>
      </c>
      <c r="CZ31">
        <f>SUMIF('Как есть'!$A101:$A108,Доп.расчеты!$A31,'Как есть'!DA101:DA108)</f>
        <v>0</v>
      </c>
      <c r="DA31">
        <f>SUMIF('Как есть'!$A101:$A108,Доп.расчеты!$A31,'Как есть'!DB101:DB108)</f>
        <v>0</v>
      </c>
      <c r="DB31">
        <f>SUMIF('Как есть'!$A101:$A108,Доп.расчеты!$A31,'Как есть'!DC101:DC108)</f>
        <v>0</v>
      </c>
      <c r="DC31">
        <f>SUMIF('Как есть'!$A101:$A108,Доп.расчеты!$A31,'Как есть'!DD101:DD108)</f>
        <v>0</v>
      </c>
      <c r="DD31">
        <f>SUMIF('Как есть'!$A101:$A108,Доп.расчеты!$A31,'Как есть'!DE101:DE108)</f>
        <v>0</v>
      </c>
      <c r="DE31">
        <f>SUMIF('Как есть'!$A101:$A108,Доп.расчеты!$A31,'Как есть'!DF101:DF108)</f>
        <v>0</v>
      </c>
      <c r="DF31">
        <f>SUMIF('Как есть'!$A101:$A108,Доп.расчеты!$A31,'Как есть'!DG101:DG108)</f>
        <v>0</v>
      </c>
      <c r="DG31">
        <f>SUMIF('Как есть'!$A101:$A108,Доп.расчеты!$A31,'Как есть'!DH101:DH108)</f>
        <v>0</v>
      </c>
      <c r="DH31">
        <f>SUMIF('Как есть'!$A101:$A108,Доп.расчеты!$A31,'Как есть'!DI101:DI108)</f>
        <v>0</v>
      </c>
      <c r="DI31">
        <f>SUMIF('Как есть'!$A101:$A108,Доп.расчеты!$A31,'Как есть'!DJ101:DJ108)</f>
        <v>0</v>
      </c>
      <c r="DJ31">
        <f>SUMIF('Как есть'!$A101:$A108,Доп.расчеты!$A31,'Как есть'!DK101:DK108)</f>
        <v>0</v>
      </c>
      <c r="DK31">
        <f>SUMIF('Как есть'!$A101:$A108,Доп.расчеты!$A31,'Как есть'!DL101:DL108)</f>
        <v>0</v>
      </c>
      <c r="DL31">
        <f>SUMIF('Как есть'!$A101:$A108,Доп.расчеты!$A31,'Как есть'!DM101:DM108)</f>
        <v>0</v>
      </c>
      <c r="DM31">
        <f>SUMIF('Как есть'!$A101:$A108,Доп.расчеты!$A31,'Как есть'!DN101:DN108)</f>
        <v>0</v>
      </c>
      <c r="DN31">
        <f>SUMIF('Как есть'!$A101:$A108,Доп.расчеты!$A31,'Как есть'!DO101:DO108)</f>
        <v>0</v>
      </c>
      <c r="DO31">
        <f>SUMIF('Как есть'!$A101:$A108,Доп.расчеты!$A31,'Как есть'!DP101:DP108)</f>
        <v>0</v>
      </c>
      <c r="DP31">
        <f>SUMIF('Как есть'!$A101:$A108,Доп.расчеты!$A31,'Как есть'!DQ101:DQ108)</f>
        <v>0</v>
      </c>
      <c r="DQ31">
        <f>SUMIF('Как есть'!$A101:$A108,Доп.расчеты!$A31,'Как есть'!DR101:DR108)</f>
        <v>0</v>
      </c>
      <c r="DR31">
        <f>SUMIF('Как есть'!$A101:$A108,Доп.расчеты!$A31,'Как есть'!DS101:DS108)</f>
        <v>0</v>
      </c>
      <c r="DS31">
        <f>SUMIF('Как есть'!$A101:$A108,Доп.расчеты!$A31,'Как есть'!DT101:DT108)</f>
        <v>0</v>
      </c>
      <c r="DT31">
        <f>SUMIF('Как есть'!$A101:$A108,Доп.расчеты!$A31,'Как есть'!DU101:DU108)</f>
        <v>0</v>
      </c>
      <c r="DU31">
        <f>SUMIF('Как есть'!$A101:$A108,Доп.расчеты!$A31,'Как есть'!DV101:DV108)</f>
        <v>0</v>
      </c>
      <c r="DV31">
        <f>SUMIF('Как есть'!$A101:$A108,Доп.расчеты!$A31,'Как есть'!DW101:DW108)</f>
        <v>0</v>
      </c>
      <c r="DW31">
        <f>SUMIF('Как есть'!$A101:$A108,Доп.расчеты!$A31,'Как есть'!DX101:DX108)</f>
        <v>0</v>
      </c>
      <c r="DX31">
        <f>SUMIF('Как есть'!$A101:$A108,Доп.расчеты!$A31,'Как есть'!DY101:DY108)</f>
        <v>0</v>
      </c>
      <c r="DY31">
        <f>SUMIF('Как есть'!$A101:$A108,Доп.расчеты!$A31,'Как есть'!DZ101:DZ108)</f>
        <v>0</v>
      </c>
      <c r="DZ31">
        <f>SUMIF('Как есть'!$A101:$A108,Доп.расчеты!$A31,'Как есть'!EA101:EA108)</f>
        <v>0</v>
      </c>
      <c r="EA31">
        <f>SUMIF('Как есть'!$A101:$A108,Доп.расчеты!$A31,'Как есть'!EB101:EB108)</f>
        <v>0</v>
      </c>
      <c r="EB31">
        <f>SUMIF('Как есть'!$A101:$A108,Доп.расчеты!$A31,'Как есть'!EC101:EC108)</f>
        <v>0</v>
      </c>
      <c r="EC31">
        <f>SUMIF('Как есть'!$A101:$A108,Доп.расчеты!$A31,'Как есть'!ED101:ED108)</f>
        <v>0</v>
      </c>
      <c r="ED31">
        <f>SUMIF('Как есть'!$A101:$A108,Доп.расчеты!$A31,'Как есть'!EE101:EE108)</f>
        <v>0</v>
      </c>
      <c r="EE31">
        <f>SUMIF('Как есть'!$A101:$A108,Доп.расчеты!$A31,'Как есть'!EF101:EF108)</f>
        <v>0</v>
      </c>
      <c r="EF31">
        <f>SUMIF('Как есть'!$A101:$A108,Доп.расчеты!$A31,'Как есть'!EG101:EG108)</f>
        <v>0</v>
      </c>
      <c r="EG31">
        <f>SUMIF('Как есть'!$A101:$A108,Доп.расчеты!$A31,'Как есть'!EH101:EH108)</f>
        <v>0</v>
      </c>
      <c r="EH31">
        <f>SUMIF('Как есть'!$A101:$A108,Доп.расчеты!$A31,'Как есть'!EI101:EI108)</f>
        <v>0</v>
      </c>
      <c r="EI31">
        <f>SUMIF('Как есть'!$A101:$A108,Доп.расчеты!$A31,'Как есть'!EJ101:EJ108)</f>
        <v>0</v>
      </c>
      <c r="EJ31">
        <f>SUMIF('Как есть'!$A101:$A108,Доп.расчеты!$A31,'Как есть'!EK101:EK108)</f>
        <v>0</v>
      </c>
      <c r="EK31">
        <f>SUMIF('Как есть'!$A101:$A108,Доп.расчеты!$A31,'Как есть'!EL101:EL108)</f>
        <v>0</v>
      </c>
      <c r="EL31">
        <f>SUMIF('Как есть'!$A101:$A108,Доп.расчеты!$A31,'Как есть'!EM101:EM108)</f>
        <v>0</v>
      </c>
      <c r="EM31">
        <f>SUMIF('Как есть'!$A101:$A108,Доп.расчеты!$A31,'Как есть'!EN101:EN108)</f>
        <v>0</v>
      </c>
      <c r="EN31">
        <f>SUMIF('Как есть'!$A101:$A108,Доп.расчеты!$A31,'Как есть'!EO101:EO108)</f>
        <v>0</v>
      </c>
      <c r="EO31">
        <f>SUMIF('Как есть'!$A101:$A108,Доп.расчеты!$A31,'Как есть'!EP101:EP108)</f>
        <v>0</v>
      </c>
      <c r="EP31">
        <f>SUMIF('Как есть'!$A101:$A108,Доп.расчеты!$A31,'Как есть'!EQ101:EQ108)</f>
        <v>0</v>
      </c>
      <c r="EQ31">
        <f>SUMIF('Как есть'!$A101:$A108,Доп.расчеты!$A31,'Как есть'!ER101:ER108)</f>
        <v>0</v>
      </c>
      <c r="ER31">
        <f>SUMIF('Как есть'!$A101:$A108,Доп.расчеты!$A31,'Как есть'!ES101:ES108)</f>
        <v>0</v>
      </c>
      <c r="ES31">
        <f>SUMIF('Как есть'!$A101:$A108,Доп.расчеты!$A31,'Как есть'!ET101:ET108)</f>
        <v>0</v>
      </c>
      <c r="ET31">
        <f>SUMIF('Как есть'!$A101:$A108,Доп.расчеты!$A31,'Как есть'!EU101:EU108)</f>
        <v>0</v>
      </c>
      <c r="EU31">
        <f>SUMIF('Как есть'!$A101:$A108,Доп.расчеты!$A31,'Как есть'!EV101:EV108)</f>
        <v>0</v>
      </c>
      <c r="EV31">
        <f>SUMIF('Как есть'!$A101:$A108,Доп.расчеты!$A31,'Как есть'!EW101:EW108)</f>
        <v>0</v>
      </c>
      <c r="EW31">
        <f>SUMIF('Как есть'!$A101:$A108,Доп.расчеты!$A31,'Как есть'!EX101:EX108)</f>
        <v>0</v>
      </c>
      <c r="EX31">
        <f>SUMIF('Как есть'!$A101:$A108,Доп.расчеты!$A31,'Как есть'!EY101:EY108)</f>
        <v>0</v>
      </c>
      <c r="EY31">
        <f>SUMIF('Как есть'!$A101:$A108,Доп.расчеты!$A31,'Как есть'!EZ101:EZ108)</f>
        <v>0</v>
      </c>
      <c r="EZ31">
        <f>SUMIF('Как есть'!$A101:$A108,Доп.расчеты!$A31,'Как есть'!FA101:FA108)</f>
        <v>0</v>
      </c>
      <c r="FA31">
        <f>SUMIF('Как есть'!$A101:$A108,Доп.расчеты!$A31,'Как есть'!FB101:FB108)</f>
        <v>0</v>
      </c>
      <c r="FB31">
        <f>SUMIF('Как есть'!$A101:$A108,Доп.расчеты!$A31,'Как есть'!FC101:FC108)</f>
        <v>0</v>
      </c>
      <c r="FC31">
        <f>SUMIF('Как есть'!$A101:$A108,Доп.расчеты!$A31,'Как есть'!FD101:FD108)</f>
        <v>0</v>
      </c>
      <c r="FD31">
        <f>SUMIF('Как есть'!$A101:$A108,Доп.расчеты!$A31,'Как есть'!FE101:FE108)</f>
        <v>0</v>
      </c>
      <c r="FE31">
        <f>SUMIF('Как есть'!$A101:$A108,Доп.расчеты!$A31,'Как есть'!FF101:FF108)</f>
        <v>0</v>
      </c>
      <c r="FF31">
        <f>SUMIF('Как есть'!$A101:$A108,Доп.расчеты!$A31,'Как есть'!FG101:FG108)</f>
        <v>0</v>
      </c>
      <c r="FG31">
        <f>SUMIF('Как есть'!$A101:$A108,Доп.расчеты!$A31,'Как есть'!FH101:FH108)</f>
        <v>0</v>
      </c>
      <c r="FH31">
        <f>SUMIF('Как есть'!$A101:$A108,Доп.расчеты!$A31,'Как есть'!FI101:FI108)</f>
        <v>0</v>
      </c>
      <c r="FI31">
        <f>SUMIF('Как есть'!$A101:$A108,Доп.расчеты!$A31,'Как есть'!FJ101:FJ108)</f>
        <v>0</v>
      </c>
      <c r="FJ31">
        <f>SUMIF('Как есть'!$A101:$A108,Доп.расчеты!$A31,'Как есть'!FK101:FK108)</f>
        <v>0</v>
      </c>
      <c r="FK31">
        <f>SUMIF('Как есть'!$A101:$A108,Доп.расчеты!$A31,'Как есть'!FL101:FL108)</f>
        <v>0</v>
      </c>
      <c r="FL31">
        <f>SUMIF('Как есть'!$A101:$A108,Доп.расчеты!$A31,'Как есть'!FM101:FM108)</f>
        <v>0</v>
      </c>
      <c r="FM31">
        <f>SUMIF('Как есть'!$A101:$A108,Доп.расчеты!$A31,'Как есть'!FN101:FN108)</f>
        <v>0</v>
      </c>
      <c r="FN31">
        <f>SUMIF('Как есть'!$A101:$A108,Доп.расчеты!$A31,'Как есть'!FO101:FO108)</f>
        <v>0</v>
      </c>
      <c r="FO31">
        <f>SUMIF('Как есть'!$A101:$A108,Доп.расчеты!$A31,'Как есть'!FP101:FP108)</f>
        <v>0</v>
      </c>
      <c r="FP31">
        <f>SUMIF('Как есть'!$A101:$A108,Доп.расчеты!$A31,'Как есть'!FQ101:FQ108)</f>
        <v>0</v>
      </c>
      <c r="FQ31">
        <f>SUMIF('Как есть'!$A101:$A108,Доп.расчеты!$A31,'Как есть'!FR101:FR108)</f>
        <v>0</v>
      </c>
      <c r="FR31">
        <f>SUMIF('Как есть'!$A101:$A108,Доп.расчеты!$A31,'Как есть'!FS101:FS108)</f>
        <v>0</v>
      </c>
      <c r="FS31">
        <f>SUMIF('Как есть'!$A101:$A108,Доп.расчеты!$A31,'Как есть'!FT101:FT108)</f>
        <v>0</v>
      </c>
      <c r="FT31">
        <f>SUMIF('Как есть'!$A101:$A108,Доп.расчеты!$A31,'Как есть'!FU101:FU108)</f>
        <v>0</v>
      </c>
      <c r="FU31">
        <f>SUMIF('Как есть'!$A101:$A108,Доп.расчеты!$A31,'Как есть'!FV101:FV108)</f>
        <v>0</v>
      </c>
      <c r="FV31">
        <f>SUMIF('Как есть'!$A101:$A108,Доп.расчеты!$A31,'Как есть'!FW101:FW108)</f>
        <v>0</v>
      </c>
      <c r="FW31">
        <f>SUMIF('Как есть'!$A101:$A108,Доп.расчеты!$A31,'Как есть'!FX101:FX108)</f>
        <v>0</v>
      </c>
      <c r="FX31">
        <f>SUMIF('Как есть'!$A101:$A108,Доп.расчеты!$A31,'Как есть'!FY101:FY108)</f>
        <v>0</v>
      </c>
      <c r="FY31">
        <f>SUMIF('Как есть'!$A101:$A108,Доп.расчеты!$A31,'Как есть'!FZ101:FZ108)</f>
        <v>0</v>
      </c>
      <c r="FZ31">
        <f>SUMIF('Как есть'!$A101:$A108,Доп.расчеты!$A31,'Как есть'!GA101:GA108)</f>
        <v>0</v>
      </c>
      <c r="GA31">
        <f>SUMIF('Как есть'!$A101:$A108,Доп.расчеты!$A31,'Как есть'!GB101:GB108)</f>
        <v>0</v>
      </c>
      <c r="GB31">
        <f>SUMIF('Как есть'!$A101:$A108,Доп.расчеты!$A31,'Как есть'!GC101:GC108)</f>
        <v>0</v>
      </c>
      <c r="GC31">
        <f>SUMIF('Как есть'!$A101:$A108,Доп.расчеты!$A31,'Как есть'!GD101:GD108)</f>
        <v>0</v>
      </c>
      <c r="GD31">
        <f>SUMIF('Как есть'!$A101:$A108,Доп.расчеты!$A31,'Как есть'!GE101:GE108)</f>
        <v>0</v>
      </c>
      <c r="GE31">
        <f>SUMIF('Как есть'!$A101:$A108,Доп.расчеты!$A31,'Как есть'!GF101:GF108)</f>
        <v>0</v>
      </c>
      <c r="GF31">
        <f>SUMIF('Как есть'!$A101:$A108,Доп.расчеты!$A31,'Как есть'!GG101:GG108)</f>
        <v>0</v>
      </c>
      <c r="GG31">
        <f>SUMIF('Как есть'!$A101:$A108,Доп.расчеты!$A31,'Как есть'!GH101:GH108)</f>
        <v>0</v>
      </c>
      <c r="GH31">
        <f>SUMIF('Как есть'!$A101:$A108,Доп.расчеты!$A31,'Как есть'!GI101:GI108)</f>
        <v>0</v>
      </c>
      <c r="GI31">
        <f>SUMIF('Как есть'!$A101:$A108,Доп.расчеты!$A31,'Как есть'!GJ101:GJ108)</f>
        <v>0</v>
      </c>
      <c r="GJ31">
        <f>SUMIF('Как есть'!$A101:$A108,Доп.расчеты!$A31,'Как есть'!GK101:GK108)</f>
        <v>0</v>
      </c>
      <c r="GK31">
        <f>SUMIF('Как есть'!$A101:$A108,Доп.расчеты!$A31,'Как есть'!GL101:GL108)</f>
        <v>0</v>
      </c>
      <c r="GL31">
        <f>SUMIF('Как есть'!$A101:$A108,Доп.расчеты!$A31,'Как есть'!GM101:GM108)</f>
        <v>0</v>
      </c>
      <c r="GM31">
        <f>SUMIF('Как есть'!$A101:$A108,Доп.расчеты!$A31,'Как есть'!GN101:GN108)</f>
        <v>0</v>
      </c>
      <c r="GN31">
        <f>SUMIF('Как есть'!$A101:$A108,Доп.расчеты!$A31,'Как есть'!GO101:GO108)</f>
        <v>0</v>
      </c>
      <c r="GO31">
        <f>SUMIF('Как есть'!$A101:$A108,Доп.расчеты!$A31,'Как есть'!GP101:GP108)</f>
        <v>0</v>
      </c>
      <c r="GP31">
        <f>SUMIF('Как есть'!$A101:$A108,Доп.расчеты!$A31,'Как есть'!GQ101:GQ108)</f>
        <v>0</v>
      </c>
      <c r="GQ31">
        <f>SUMIF('Как есть'!$A101:$A108,Доп.расчеты!$A31,'Как есть'!GR101:GR108)</f>
        <v>0</v>
      </c>
      <c r="GR31">
        <f>SUMIF('Как есть'!$A101:$A108,Доп.расчеты!$A31,'Как есть'!GS101:GS108)</f>
        <v>0</v>
      </c>
      <c r="GS31">
        <f>SUMIF('Как есть'!$A101:$A108,Доп.расчеты!$A31,'Как есть'!GT101:GT108)</f>
        <v>0</v>
      </c>
      <c r="GT31">
        <f>SUMIF('Как есть'!$A101:$A108,Доп.расчеты!$A31,'Как есть'!GU101:GU108)</f>
        <v>0</v>
      </c>
    </row>
    <row r="32" spans="1:202">
      <c r="A32" s="236"/>
    </row>
    <row r="33" spans="1:202">
      <c r="A33" s="236"/>
    </row>
    <row r="34" spans="1:202">
      <c r="A34" s="57" t="s">
        <v>143</v>
      </c>
    </row>
    <row r="35" spans="1:202">
      <c r="A35" s="236" t="s">
        <v>122</v>
      </c>
      <c r="B35">
        <f>SUMIF('Как будет'!$A101:$A108,Доп.расчеты!$A35,'Как будет'!C101:C108)</f>
        <v>0</v>
      </c>
      <c r="C35">
        <f>SUMIF('Как будет'!$A101:$A108,Доп.расчеты!$A35,'Как будет'!D101:D108)</f>
        <v>0</v>
      </c>
      <c r="D35">
        <f>SUMIF('Как будет'!$A101:$A108,Доп.расчеты!$A35,'Как будет'!E101:E108)</f>
        <v>0</v>
      </c>
      <c r="E35">
        <f>SUMIF('Как будет'!$A101:$A108,Доп.расчеты!$A35,'Как будет'!F101:F108)</f>
        <v>0</v>
      </c>
      <c r="F35">
        <f>SUMIF('Как будет'!$A101:$A108,Доп.расчеты!$A35,'Как будет'!G101:G108)</f>
        <v>0</v>
      </c>
      <c r="G35">
        <f>SUMIF('Как будет'!$A101:$A108,Доп.расчеты!$A35,'Как будет'!H101:H108)</f>
        <v>0</v>
      </c>
      <c r="H35">
        <f>SUMIF('Как будет'!$A101:$A108,Доп.расчеты!$A35,'Как будет'!I101:I108)</f>
        <v>0</v>
      </c>
      <c r="I35">
        <f>SUMIF('Как будет'!$A101:$A108,Доп.расчеты!$A35,'Как будет'!J101:J108)</f>
        <v>0</v>
      </c>
      <c r="J35">
        <f>SUMIF('Как будет'!$A101:$A108,Доп.расчеты!$A35,'Как будет'!K101:K108)</f>
        <v>0</v>
      </c>
      <c r="K35">
        <f>SUMIF('Как будет'!$A101:$A108,Доп.расчеты!$A35,'Как будет'!L101:L108)</f>
        <v>0</v>
      </c>
      <c r="L35">
        <f>SUMIF('Как будет'!$A101:$A108,Доп.расчеты!$A35,'Как будет'!M101:M108)</f>
        <v>0</v>
      </c>
      <c r="M35">
        <f>SUMIF('Как будет'!$A101:$A108,Доп.расчеты!$A35,'Как будет'!N101:N108)</f>
        <v>0</v>
      </c>
      <c r="N35">
        <f>SUMIF('Как будет'!$A101:$A108,Доп.расчеты!$A35,'Как будет'!O101:O108)</f>
        <v>0</v>
      </c>
      <c r="O35">
        <f>SUMIF('Как будет'!$A101:$A108,Доп.расчеты!$A35,'Как будет'!P101:P108)</f>
        <v>0</v>
      </c>
      <c r="P35">
        <f>SUMIF('Как будет'!$A101:$A108,Доп.расчеты!$A35,'Как будет'!Q101:Q108)</f>
        <v>0</v>
      </c>
      <c r="Q35">
        <f>SUMIF('Как будет'!$A101:$A108,Доп.расчеты!$A35,'Как будет'!R101:R108)</f>
        <v>0</v>
      </c>
      <c r="R35">
        <f>SUMIF('Как будет'!$A101:$A108,Доп.расчеты!$A35,'Как будет'!S101:S108)</f>
        <v>0</v>
      </c>
      <c r="S35">
        <f>SUMIF('Как будет'!$A101:$A108,Доп.расчеты!$A35,'Как будет'!T101:T108)</f>
        <v>0</v>
      </c>
      <c r="T35">
        <f>SUMIF('Как будет'!$A101:$A108,Доп.расчеты!$A35,'Как будет'!U101:U108)</f>
        <v>0</v>
      </c>
      <c r="U35">
        <f>SUMIF('Как будет'!$A101:$A108,Доп.расчеты!$A35,'Как будет'!V101:V108)</f>
        <v>0</v>
      </c>
      <c r="V35">
        <f>SUMIF('Как будет'!$A101:$A108,Доп.расчеты!$A35,'Как будет'!W101:W108)</f>
        <v>0</v>
      </c>
      <c r="W35">
        <f>SUMIF('Как будет'!$A101:$A108,Доп.расчеты!$A35,'Как будет'!X101:X108)</f>
        <v>0</v>
      </c>
      <c r="X35">
        <f>SUMIF('Как будет'!$A101:$A108,Доп.расчеты!$A35,'Как будет'!Y101:Y108)</f>
        <v>0</v>
      </c>
      <c r="Y35">
        <f>SUMIF('Как будет'!$A101:$A108,Доп.расчеты!$A35,'Как будет'!Z101:Z108)</f>
        <v>0</v>
      </c>
      <c r="Z35">
        <f>SUMIF('Как будет'!$A101:$A108,Доп.расчеты!$A35,'Как будет'!AA101:AA108)</f>
        <v>0</v>
      </c>
      <c r="AA35">
        <f>SUMIF('Как будет'!$A101:$A108,Доп.расчеты!$A35,'Как будет'!AB101:AB108)</f>
        <v>0</v>
      </c>
      <c r="AB35">
        <f>SUMIF('Как будет'!$A101:$A108,Доп.расчеты!$A35,'Как будет'!AC101:AC108)</f>
        <v>0</v>
      </c>
      <c r="AC35">
        <f>SUMIF('Как будет'!$A101:$A108,Доп.расчеты!$A35,'Как будет'!AD101:AD108)</f>
        <v>0</v>
      </c>
      <c r="AD35">
        <f>SUMIF('Как будет'!$A101:$A108,Доп.расчеты!$A35,'Как будет'!AE101:AE108)</f>
        <v>0</v>
      </c>
      <c r="AE35">
        <f>SUMIF('Как будет'!$A101:$A108,Доп.расчеты!$A35,'Как будет'!AF101:AF108)</f>
        <v>0</v>
      </c>
      <c r="AF35">
        <f>SUMIF('Как будет'!$A101:$A108,Доп.расчеты!$A35,'Как будет'!AG101:AG108)</f>
        <v>0</v>
      </c>
      <c r="AG35">
        <f>SUMIF('Как будет'!$A101:$A108,Доп.расчеты!$A35,'Как будет'!AH101:AH108)</f>
        <v>0</v>
      </c>
      <c r="AH35">
        <f>SUMIF('Как будет'!$A101:$A108,Доп.расчеты!$A35,'Как будет'!AI101:AI108)</f>
        <v>0</v>
      </c>
      <c r="AI35">
        <f>SUMIF('Как будет'!$A101:$A108,Доп.расчеты!$A35,'Как будет'!AJ101:AJ108)</f>
        <v>0</v>
      </c>
      <c r="AJ35">
        <f>SUMIF('Как будет'!$A101:$A108,Доп.расчеты!$A35,'Как будет'!AK101:AK108)</f>
        <v>0</v>
      </c>
      <c r="AK35">
        <f>SUMIF('Как будет'!$A101:$A108,Доп.расчеты!$A35,'Как будет'!AL101:AL108)</f>
        <v>0</v>
      </c>
      <c r="AL35">
        <f>SUMIF('Как будет'!$A101:$A108,Доп.расчеты!$A35,'Как будет'!AM101:AM108)</f>
        <v>0</v>
      </c>
      <c r="AM35">
        <f>SUMIF('Как будет'!$A101:$A108,Доп.расчеты!$A35,'Как будет'!AN101:AN108)</f>
        <v>0</v>
      </c>
      <c r="AN35">
        <f>SUMIF('Как будет'!$A101:$A108,Доп.расчеты!$A35,'Как будет'!AO101:AO108)</f>
        <v>0</v>
      </c>
      <c r="AO35">
        <f>SUMIF('Как будет'!$A101:$A108,Доп.расчеты!$A35,'Как будет'!AP101:AP108)</f>
        <v>0</v>
      </c>
      <c r="AP35">
        <f>SUMIF('Как будет'!$A101:$A108,Доп.расчеты!$A35,'Как будет'!AQ101:AQ108)</f>
        <v>0</v>
      </c>
      <c r="AQ35">
        <f>SUMIF('Как будет'!$A101:$A108,Доп.расчеты!$A35,'Как будет'!AR101:AR108)</f>
        <v>0</v>
      </c>
      <c r="AR35">
        <f>SUMIF('Как будет'!$A101:$A108,Доп.расчеты!$A35,'Как будет'!AS101:AS108)</f>
        <v>0</v>
      </c>
      <c r="AS35">
        <f>SUMIF('Как будет'!$A101:$A108,Доп.расчеты!$A35,'Как будет'!AT101:AT108)</f>
        <v>0</v>
      </c>
      <c r="AT35">
        <f>SUMIF('Как будет'!$A101:$A108,Доп.расчеты!$A35,'Как будет'!AU101:AU108)</f>
        <v>0</v>
      </c>
      <c r="AU35">
        <f>SUMIF('Как будет'!$A101:$A108,Доп.расчеты!$A35,'Как будет'!AV101:AV108)</f>
        <v>0</v>
      </c>
      <c r="AV35">
        <f>SUMIF('Как будет'!$A101:$A108,Доп.расчеты!$A35,'Как будет'!AW101:AW108)</f>
        <v>0</v>
      </c>
      <c r="AW35">
        <f>SUMIF('Как будет'!$A101:$A108,Доп.расчеты!$A35,'Как будет'!AX101:AX108)</f>
        <v>0</v>
      </c>
      <c r="AX35">
        <f>SUMIF('Как будет'!$A101:$A108,Доп.расчеты!$A35,'Как будет'!AY101:AY108)</f>
        <v>0</v>
      </c>
      <c r="AY35">
        <f>SUMIF('Как будет'!$A101:$A108,Доп.расчеты!$A35,'Как будет'!AZ101:AZ108)</f>
        <v>0</v>
      </c>
      <c r="AZ35">
        <f>SUMIF('Как будет'!$A101:$A108,Доп.расчеты!$A35,'Как будет'!BA101:BA108)</f>
        <v>0</v>
      </c>
      <c r="BA35">
        <f>SUMIF('Как будет'!$A101:$A108,Доп.расчеты!$A35,'Как будет'!BB101:BB108)</f>
        <v>0</v>
      </c>
      <c r="BB35">
        <f>SUMIF('Как будет'!$A101:$A108,Доп.расчеты!$A35,'Как будет'!BC101:BC108)</f>
        <v>0</v>
      </c>
      <c r="BC35">
        <f>SUMIF('Как будет'!$A101:$A108,Доп.расчеты!$A35,'Как будет'!BD101:BD108)</f>
        <v>0</v>
      </c>
      <c r="BD35">
        <f>SUMIF('Как будет'!$A101:$A108,Доп.расчеты!$A35,'Как будет'!BE101:BE108)</f>
        <v>0</v>
      </c>
      <c r="BE35">
        <f>SUMIF('Как будет'!$A101:$A108,Доп.расчеты!$A35,'Как будет'!BF101:BF108)</f>
        <v>0</v>
      </c>
      <c r="BF35">
        <f>SUMIF('Как будет'!$A101:$A108,Доп.расчеты!$A35,'Как будет'!BG101:BG108)</f>
        <v>0</v>
      </c>
      <c r="BG35">
        <f>SUMIF('Как будет'!$A101:$A108,Доп.расчеты!$A35,'Как будет'!BH101:BH108)</f>
        <v>0</v>
      </c>
      <c r="BH35">
        <f>SUMIF('Как будет'!$A101:$A108,Доп.расчеты!$A35,'Как будет'!BI101:BI108)</f>
        <v>0</v>
      </c>
      <c r="BI35">
        <f>SUMIF('Как будет'!$A101:$A108,Доп.расчеты!$A35,'Как будет'!BJ101:BJ108)</f>
        <v>0</v>
      </c>
      <c r="BJ35">
        <f>SUMIF('Как будет'!$A101:$A108,Доп.расчеты!$A35,'Как будет'!BK101:BK108)</f>
        <v>0</v>
      </c>
      <c r="BK35">
        <f>SUMIF('Как будет'!$A101:$A108,Доп.расчеты!$A35,'Как будет'!BL101:BL108)</f>
        <v>0</v>
      </c>
      <c r="BL35">
        <f>SUMIF('Как будет'!$A101:$A108,Доп.расчеты!$A35,'Как будет'!BM101:BM108)</f>
        <v>0</v>
      </c>
      <c r="BM35">
        <f>SUMIF('Как будет'!$A101:$A108,Доп.расчеты!$A35,'Как будет'!BN101:BN108)</f>
        <v>0</v>
      </c>
      <c r="BN35">
        <f>SUMIF('Как будет'!$A101:$A108,Доп.расчеты!$A35,'Как будет'!BO101:BO108)</f>
        <v>0</v>
      </c>
      <c r="BO35">
        <f>SUMIF('Как будет'!$A101:$A108,Доп.расчеты!$A35,'Как будет'!BP101:BP108)</f>
        <v>0</v>
      </c>
      <c r="BP35">
        <f>SUMIF('Как будет'!$A101:$A108,Доп.расчеты!$A35,'Как будет'!BQ101:BQ108)</f>
        <v>0</v>
      </c>
      <c r="BQ35">
        <f>SUMIF('Как будет'!$A101:$A108,Доп.расчеты!$A35,'Как будет'!BR101:BR108)</f>
        <v>0</v>
      </c>
      <c r="BR35">
        <f>SUMIF('Как будет'!$A101:$A108,Доп.расчеты!$A35,'Как будет'!BS101:BS108)</f>
        <v>0</v>
      </c>
      <c r="BS35">
        <f>SUMIF('Как будет'!$A101:$A108,Доп.расчеты!$A35,'Как будет'!BT101:BT108)</f>
        <v>0</v>
      </c>
      <c r="BT35">
        <f>SUMIF('Как будет'!$A101:$A108,Доп.расчеты!$A35,'Как будет'!BU101:BU108)</f>
        <v>0</v>
      </c>
      <c r="BU35">
        <f>SUMIF('Как будет'!$A101:$A108,Доп.расчеты!$A35,'Как будет'!BV101:BV108)</f>
        <v>0</v>
      </c>
      <c r="BV35">
        <f>SUMIF('Как будет'!$A101:$A108,Доп.расчеты!$A35,'Как будет'!BW101:BW108)</f>
        <v>0</v>
      </c>
      <c r="BW35">
        <f>SUMIF('Как будет'!$A101:$A108,Доп.расчеты!$A35,'Как будет'!BX101:BX108)</f>
        <v>0</v>
      </c>
      <c r="BX35">
        <f>SUMIF('Как будет'!$A101:$A108,Доп.расчеты!$A35,'Как будет'!BY101:BY108)</f>
        <v>0</v>
      </c>
      <c r="BY35">
        <f>SUMIF('Как будет'!$A101:$A108,Доп.расчеты!$A35,'Как будет'!BZ101:BZ108)</f>
        <v>0</v>
      </c>
      <c r="BZ35">
        <f>SUMIF('Как будет'!$A101:$A108,Доп.расчеты!$A35,'Как будет'!CA101:CA108)</f>
        <v>0</v>
      </c>
      <c r="CA35">
        <f>SUMIF('Как будет'!$A101:$A108,Доп.расчеты!$A35,'Как будет'!CB101:CB108)</f>
        <v>0</v>
      </c>
      <c r="CB35">
        <f>SUMIF('Как будет'!$A101:$A108,Доп.расчеты!$A35,'Как будет'!CC101:CC108)</f>
        <v>0</v>
      </c>
      <c r="CC35">
        <f>SUMIF('Как будет'!$A101:$A108,Доп.расчеты!$A35,'Как будет'!CD101:CD108)</f>
        <v>0</v>
      </c>
      <c r="CD35">
        <f>SUMIF('Как будет'!$A101:$A108,Доп.расчеты!$A35,'Как будет'!CE101:CE108)</f>
        <v>0</v>
      </c>
      <c r="CE35">
        <f>SUMIF('Как будет'!$A101:$A108,Доп.расчеты!$A35,'Как будет'!CF101:CF108)</f>
        <v>0</v>
      </c>
      <c r="CF35">
        <f>SUMIF('Как будет'!$A101:$A108,Доп.расчеты!$A35,'Как будет'!CG101:CG108)</f>
        <v>0</v>
      </c>
      <c r="CG35">
        <f>SUMIF('Как будет'!$A101:$A108,Доп.расчеты!$A35,'Как будет'!CH101:CH108)</f>
        <v>0</v>
      </c>
      <c r="CH35">
        <f>SUMIF('Как будет'!$A101:$A108,Доп.расчеты!$A35,'Как будет'!CI101:CI108)</f>
        <v>0</v>
      </c>
      <c r="CI35">
        <f>SUMIF('Как будет'!$A101:$A108,Доп.расчеты!$A35,'Как будет'!CJ101:CJ108)</f>
        <v>0</v>
      </c>
      <c r="CJ35">
        <f>SUMIF('Как будет'!$A101:$A108,Доп.расчеты!$A35,'Как будет'!CK101:CK108)</f>
        <v>0</v>
      </c>
      <c r="CK35">
        <f>SUMIF('Как будет'!$A101:$A108,Доп.расчеты!$A35,'Как будет'!CL101:CL108)</f>
        <v>0</v>
      </c>
      <c r="CL35">
        <f>SUMIF('Как будет'!$A101:$A108,Доп.расчеты!$A35,'Как будет'!CM101:CM108)</f>
        <v>0</v>
      </c>
      <c r="CM35">
        <f>SUMIF('Как будет'!$A101:$A108,Доп.расчеты!$A35,'Как будет'!CN101:CN108)</f>
        <v>0</v>
      </c>
      <c r="CN35">
        <f>SUMIF('Как будет'!$A101:$A108,Доп.расчеты!$A35,'Как будет'!CO101:CO108)</f>
        <v>0</v>
      </c>
      <c r="CO35">
        <f>SUMIF('Как будет'!$A101:$A108,Доп.расчеты!$A35,'Как будет'!CP101:CP108)</f>
        <v>0</v>
      </c>
      <c r="CP35">
        <f>SUMIF('Как будет'!$A101:$A108,Доп.расчеты!$A35,'Как будет'!CQ101:CQ108)</f>
        <v>0</v>
      </c>
      <c r="CQ35">
        <f>SUMIF('Как будет'!$A101:$A108,Доп.расчеты!$A35,'Как будет'!CR101:CR108)</f>
        <v>0</v>
      </c>
      <c r="CR35">
        <f>SUMIF('Как будет'!$A101:$A108,Доп.расчеты!$A35,'Как будет'!CS101:CS108)</f>
        <v>0</v>
      </c>
      <c r="CS35">
        <f>SUMIF('Как будет'!$A101:$A108,Доп.расчеты!$A35,'Как будет'!CT101:CT108)</f>
        <v>0</v>
      </c>
      <c r="CT35">
        <f>SUMIF('Как будет'!$A101:$A108,Доп.расчеты!$A35,'Как будет'!CU101:CU108)</f>
        <v>0</v>
      </c>
      <c r="CU35">
        <f>SUMIF('Как будет'!$A101:$A108,Доп.расчеты!$A35,'Как будет'!CV101:CV108)</f>
        <v>0</v>
      </c>
      <c r="CV35">
        <f>SUMIF('Как будет'!$A101:$A108,Доп.расчеты!$A35,'Как будет'!CW101:CW108)</f>
        <v>0</v>
      </c>
      <c r="CW35">
        <f>SUMIF('Как будет'!$A101:$A108,Доп.расчеты!$A35,'Как будет'!CX101:CX108)</f>
        <v>0</v>
      </c>
      <c r="CX35">
        <f>SUMIF('Как будет'!$A101:$A108,Доп.расчеты!$A35,'Как будет'!CY101:CY108)</f>
        <v>0</v>
      </c>
      <c r="CY35">
        <f>SUMIF('Как будет'!$A101:$A108,Доп.расчеты!$A35,'Как будет'!CZ101:CZ108)</f>
        <v>0</v>
      </c>
      <c r="CZ35">
        <f>SUMIF('Как будет'!$A101:$A108,Доп.расчеты!$A35,'Как будет'!DA101:DA108)</f>
        <v>0</v>
      </c>
      <c r="DA35">
        <f>SUMIF('Как будет'!$A101:$A108,Доп.расчеты!$A35,'Как будет'!DB101:DB108)</f>
        <v>0</v>
      </c>
      <c r="DB35">
        <f>SUMIF('Как будет'!$A101:$A108,Доп.расчеты!$A35,'Как будет'!DC101:DC108)</f>
        <v>0</v>
      </c>
      <c r="DC35">
        <f>SUMIF('Как будет'!$A101:$A108,Доп.расчеты!$A35,'Как будет'!DD101:DD108)</f>
        <v>0</v>
      </c>
      <c r="DD35">
        <f>SUMIF('Как будет'!$A101:$A108,Доп.расчеты!$A35,'Как будет'!DE101:DE108)</f>
        <v>0</v>
      </c>
      <c r="DE35">
        <f>SUMIF('Как будет'!$A101:$A108,Доп.расчеты!$A35,'Как будет'!DF101:DF108)</f>
        <v>0</v>
      </c>
      <c r="DF35">
        <f>SUMIF('Как будет'!$A101:$A108,Доп.расчеты!$A35,'Как будет'!DG101:DG108)</f>
        <v>0</v>
      </c>
      <c r="DG35">
        <f>SUMIF('Как будет'!$A101:$A108,Доп.расчеты!$A35,'Как будет'!DH101:DH108)</f>
        <v>0</v>
      </c>
      <c r="DH35">
        <f>SUMIF('Как будет'!$A101:$A108,Доп.расчеты!$A35,'Как будет'!DI101:DI108)</f>
        <v>0</v>
      </c>
      <c r="DI35">
        <f>SUMIF('Как будет'!$A101:$A108,Доп.расчеты!$A35,'Как будет'!DJ101:DJ108)</f>
        <v>0</v>
      </c>
      <c r="DJ35">
        <f>SUMIF('Как будет'!$A101:$A108,Доп.расчеты!$A35,'Как будет'!DK101:DK108)</f>
        <v>0</v>
      </c>
      <c r="DK35">
        <f>SUMIF('Как будет'!$A101:$A108,Доп.расчеты!$A35,'Как будет'!DL101:DL108)</f>
        <v>0</v>
      </c>
      <c r="DL35">
        <f>SUMIF('Как будет'!$A101:$A108,Доп.расчеты!$A35,'Как будет'!DM101:DM108)</f>
        <v>0</v>
      </c>
      <c r="DM35">
        <f>SUMIF('Как будет'!$A101:$A108,Доп.расчеты!$A35,'Как будет'!DN101:DN108)</f>
        <v>0</v>
      </c>
      <c r="DN35">
        <f>SUMIF('Как будет'!$A101:$A108,Доп.расчеты!$A35,'Как будет'!DO101:DO108)</f>
        <v>0</v>
      </c>
      <c r="DO35">
        <f>SUMIF('Как будет'!$A101:$A108,Доп.расчеты!$A35,'Как будет'!DP101:DP108)</f>
        <v>0</v>
      </c>
      <c r="DP35">
        <f>SUMIF('Как будет'!$A101:$A108,Доп.расчеты!$A35,'Как будет'!DQ101:DQ108)</f>
        <v>0</v>
      </c>
      <c r="DQ35">
        <f>SUMIF('Как будет'!$A101:$A108,Доп.расчеты!$A35,'Как будет'!DR101:DR108)</f>
        <v>0</v>
      </c>
      <c r="DR35">
        <f>SUMIF('Как будет'!$A101:$A108,Доп.расчеты!$A35,'Как будет'!DS101:DS108)</f>
        <v>0</v>
      </c>
      <c r="DS35">
        <f>SUMIF('Как будет'!$A101:$A108,Доп.расчеты!$A35,'Как будет'!DT101:DT108)</f>
        <v>0</v>
      </c>
      <c r="DT35">
        <f>SUMIF('Как будет'!$A101:$A108,Доп.расчеты!$A35,'Как будет'!DU101:DU108)</f>
        <v>0</v>
      </c>
      <c r="DU35">
        <f>SUMIF('Как будет'!$A101:$A108,Доп.расчеты!$A35,'Как будет'!DV101:DV108)</f>
        <v>0</v>
      </c>
      <c r="DV35">
        <f>SUMIF('Как будет'!$A101:$A108,Доп.расчеты!$A35,'Как будет'!DW101:DW108)</f>
        <v>0</v>
      </c>
      <c r="DW35">
        <f>SUMIF('Как будет'!$A101:$A108,Доп.расчеты!$A35,'Как будет'!DX101:DX108)</f>
        <v>0</v>
      </c>
      <c r="DX35">
        <f>SUMIF('Как будет'!$A101:$A108,Доп.расчеты!$A35,'Как будет'!DY101:DY108)</f>
        <v>0</v>
      </c>
      <c r="DY35">
        <f>SUMIF('Как будет'!$A101:$A108,Доп.расчеты!$A35,'Как будет'!DZ101:DZ108)</f>
        <v>0</v>
      </c>
      <c r="DZ35">
        <f>SUMIF('Как будет'!$A101:$A108,Доп.расчеты!$A35,'Как будет'!EA101:EA108)</f>
        <v>0</v>
      </c>
      <c r="EA35">
        <f>SUMIF('Как будет'!$A101:$A108,Доп.расчеты!$A35,'Как будет'!EB101:EB108)</f>
        <v>0</v>
      </c>
      <c r="EB35">
        <f>SUMIF('Как будет'!$A101:$A108,Доп.расчеты!$A35,'Как будет'!EC101:EC108)</f>
        <v>0</v>
      </c>
      <c r="EC35">
        <f>SUMIF('Как будет'!$A101:$A108,Доп.расчеты!$A35,'Как будет'!ED101:ED108)</f>
        <v>0</v>
      </c>
      <c r="ED35">
        <f>SUMIF('Как будет'!$A101:$A108,Доп.расчеты!$A35,'Как будет'!EE101:EE108)</f>
        <v>0</v>
      </c>
      <c r="EE35">
        <f>SUMIF('Как будет'!$A101:$A108,Доп.расчеты!$A35,'Как будет'!EF101:EF108)</f>
        <v>0</v>
      </c>
      <c r="EF35">
        <f>SUMIF('Как будет'!$A101:$A108,Доп.расчеты!$A35,'Как будет'!EG101:EG108)</f>
        <v>0</v>
      </c>
      <c r="EG35">
        <f>SUMIF('Как будет'!$A101:$A108,Доп.расчеты!$A35,'Как будет'!EH101:EH108)</f>
        <v>0</v>
      </c>
      <c r="EH35">
        <f>SUMIF('Как будет'!$A101:$A108,Доп.расчеты!$A35,'Как будет'!EI101:EI108)</f>
        <v>0</v>
      </c>
      <c r="EI35">
        <f>SUMIF('Как будет'!$A101:$A108,Доп.расчеты!$A35,'Как будет'!EJ101:EJ108)</f>
        <v>0</v>
      </c>
      <c r="EJ35">
        <f>SUMIF('Как будет'!$A101:$A108,Доп.расчеты!$A35,'Как будет'!EK101:EK108)</f>
        <v>0</v>
      </c>
      <c r="EK35">
        <f>SUMIF('Как будет'!$A101:$A108,Доп.расчеты!$A35,'Как будет'!EL101:EL108)</f>
        <v>0</v>
      </c>
      <c r="EL35">
        <f>SUMIF('Как будет'!$A101:$A108,Доп.расчеты!$A35,'Как будет'!EM101:EM108)</f>
        <v>0</v>
      </c>
      <c r="EM35">
        <f>SUMIF('Как будет'!$A101:$A108,Доп.расчеты!$A35,'Как будет'!EN101:EN108)</f>
        <v>0</v>
      </c>
      <c r="EN35">
        <f>SUMIF('Как будет'!$A101:$A108,Доп.расчеты!$A35,'Как будет'!EO101:EO108)</f>
        <v>0</v>
      </c>
      <c r="EO35">
        <f>SUMIF('Как будет'!$A101:$A108,Доп.расчеты!$A35,'Как будет'!EP101:EP108)</f>
        <v>0</v>
      </c>
      <c r="EP35">
        <f>SUMIF('Как будет'!$A101:$A108,Доп.расчеты!$A35,'Как будет'!EQ101:EQ108)</f>
        <v>0</v>
      </c>
      <c r="EQ35">
        <f>SUMIF('Как будет'!$A101:$A108,Доп.расчеты!$A35,'Как будет'!ER101:ER108)</f>
        <v>0</v>
      </c>
      <c r="ER35">
        <f>SUMIF('Как будет'!$A101:$A108,Доп.расчеты!$A35,'Как будет'!ES101:ES108)</f>
        <v>0</v>
      </c>
      <c r="ES35">
        <f>SUMIF('Как будет'!$A101:$A108,Доп.расчеты!$A35,'Как будет'!ET101:ET108)</f>
        <v>0</v>
      </c>
      <c r="ET35">
        <f>SUMIF('Как будет'!$A101:$A108,Доп.расчеты!$A35,'Как будет'!EU101:EU108)</f>
        <v>0</v>
      </c>
      <c r="EU35">
        <f>SUMIF('Как будет'!$A101:$A108,Доп.расчеты!$A35,'Как будет'!EV101:EV108)</f>
        <v>0</v>
      </c>
      <c r="EV35">
        <f>SUMIF('Как будет'!$A101:$A108,Доп.расчеты!$A35,'Как будет'!EW101:EW108)</f>
        <v>0</v>
      </c>
      <c r="EW35">
        <f>SUMIF('Как будет'!$A101:$A108,Доп.расчеты!$A35,'Как будет'!EX101:EX108)</f>
        <v>0</v>
      </c>
      <c r="EX35">
        <f>SUMIF('Как будет'!$A101:$A108,Доп.расчеты!$A35,'Как будет'!EY101:EY108)</f>
        <v>0</v>
      </c>
      <c r="EY35">
        <f>SUMIF('Как будет'!$A101:$A108,Доп.расчеты!$A35,'Как будет'!EZ101:EZ108)</f>
        <v>0</v>
      </c>
      <c r="EZ35">
        <f>SUMIF('Как будет'!$A101:$A108,Доп.расчеты!$A35,'Как будет'!FA101:FA108)</f>
        <v>0</v>
      </c>
      <c r="FA35">
        <f>SUMIF('Как будет'!$A101:$A108,Доп.расчеты!$A35,'Как будет'!FB101:FB108)</f>
        <v>0</v>
      </c>
      <c r="FB35">
        <f>SUMIF('Как будет'!$A101:$A108,Доп.расчеты!$A35,'Как будет'!FC101:FC108)</f>
        <v>0</v>
      </c>
      <c r="FC35">
        <f>SUMIF('Как будет'!$A101:$A108,Доп.расчеты!$A35,'Как будет'!FD101:FD108)</f>
        <v>0</v>
      </c>
      <c r="FD35">
        <f>SUMIF('Как будет'!$A101:$A108,Доп.расчеты!$A35,'Как будет'!FE101:FE108)</f>
        <v>0</v>
      </c>
      <c r="FE35">
        <f>SUMIF('Как будет'!$A101:$A108,Доп.расчеты!$A35,'Как будет'!FF101:FF108)</f>
        <v>0</v>
      </c>
      <c r="FF35">
        <f>SUMIF('Как будет'!$A101:$A108,Доп.расчеты!$A35,'Как будет'!FG101:FG108)</f>
        <v>0</v>
      </c>
      <c r="FG35">
        <f>SUMIF('Как будет'!$A101:$A108,Доп.расчеты!$A35,'Как будет'!FH101:FH108)</f>
        <v>0</v>
      </c>
      <c r="FH35">
        <f>SUMIF('Как будет'!$A101:$A108,Доп.расчеты!$A35,'Как будет'!FI101:FI108)</f>
        <v>0</v>
      </c>
      <c r="FI35">
        <f>SUMIF('Как будет'!$A101:$A108,Доп.расчеты!$A35,'Как будет'!FJ101:FJ108)</f>
        <v>0</v>
      </c>
      <c r="FJ35">
        <f>SUMIF('Как будет'!$A101:$A108,Доп.расчеты!$A35,'Как будет'!FK101:FK108)</f>
        <v>0</v>
      </c>
      <c r="FK35">
        <f>SUMIF('Как будет'!$A101:$A108,Доп.расчеты!$A35,'Как будет'!FL101:FL108)</f>
        <v>0</v>
      </c>
      <c r="FL35">
        <f>SUMIF('Как будет'!$A101:$A108,Доп.расчеты!$A35,'Как будет'!FM101:FM108)</f>
        <v>0</v>
      </c>
      <c r="FM35">
        <f>SUMIF('Как будет'!$A101:$A108,Доп.расчеты!$A35,'Как будет'!FN101:FN108)</f>
        <v>0</v>
      </c>
      <c r="FN35">
        <f>SUMIF('Как будет'!$A101:$A108,Доп.расчеты!$A35,'Как будет'!FO101:FO108)</f>
        <v>0</v>
      </c>
      <c r="FO35">
        <f>SUMIF('Как будет'!$A101:$A108,Доп.расчеты!$A35,'Как будет'!FP101:FP108)</f>
        <v>0</v>
      </c>
      <c r="FP35">
        <f>SUMIF('Как будет'!$A101:$A108,Доп.расчеты!$A35,'Как будет'!FQ101:FQ108)</f>
        <v>0</v>
      </c>
      <c r="FQ35">
        <f>SUMIF('Как будет'!$A101:$A108,Доп.расчеты!$A35,'Как будет'!FR101:FR108)</f>
        <v>0</v>
      </c>
      <c r="FR35">
        <f>SUMIF('Как будет'!$A101:$A108,Доп.расчеты!$A35,'Как будет'!FS101:FS108)</f>
        <v>0</v>
      </c>
      <c r="FS35">
        <f>SUMIF('Как будет'!$A101:$A108,Доп.расчеты!$A35,'Как будет'!FT101:FT108)</f>
        <v>0</v>
      </c>
      <c r="FT35">
        <f>SUMIF('Как будет'!$A101:$A108,Доп.расчеты!$A35,'Как будет'!FU101:FU108)</f>
        <v>0</v>
      </c>
      <c r="FU35">
        <f>SUMIF('Как будет'!$A101:$A108,Доп.расчеты!$A35,'Как будет'!FV101:FV108)</f>
        <v>0</v>
      </c>
      <c r="FV35">
        <f>SUMIF('Как будет'!$A101:$A108,Доп.расчеты!$A35,'Как будет'!FW101:FW108)</f>
        <v>0</v>
      </c>
      <c r="FW35">
        <f>SUMIF('Как будет'!$A101:$A108,Доп.расчеты!$A35,'Как будет'!FX101:FX108)</f>
        <v>0</v>
      </c>
      <c r="FX35">
        <f>SUMIF('Как будет'!$A101:$A108,Доп.расчеты!$A35,'Как будет'!FY101:FY108)</f>
        <v>0</v>
      </c>
      <c r="FY35">
        <f>SUMIF('Как будет'!$A101:$A108,Доп.расчеты!$A35,'Как будет'!FZ101:FZ108)</f>
        <v>0</v>
      </c>
      <c r="FZ35">
        <f>SUMIF('Как будет'!$A101:$A108,Доп.расчеты!$A35,'Как будет'!GA101:GA108)</f>
        <v>0</v>
      </c>
      <c r="GA35">
        <f>SUMIF('Как будет'!$A101:$A108,Доп.расчеты!$A35,'Как будет'!GB101:GB108)</f>
        <v>0</v>
      </c>
      <c r="GB35">
        <f>SUMIF('Как будет'!$A101:$A108,Доп.расчеты!$A35,'Как будет'!GC101:GC108)</f>
        <v>0</v>
      </c>
      <c r="GC35">
        <f>SUMIF('Как будет'!$A101:$A108,Доп.расчеты!$A35,'Как будет'!GD101:GD108)</f>
        <v>0</v>
      </c>
      <c r="GD35">
        <f>SUMIF('Как будет'!$A101:$A108,Доп.расчеты!$A35,'Как будет'!GE101:GE108)</f>
        <v>0</v>
      </c>
      <c r="GE35">
        <f>SUMIF('Как будет'!$A101:$A108,Доп.расчеты!$A35,'Как будет'!GF101:GF108)</f>
        <v>0</v>
      </c>
      <c r="GF35">
        <f>SUMIF('Как будет'!$A101:$A108,Доп.расчеты!$A35,'Как будет'!GG101:GG108)</f>
        <v>0</v>
      </c>
      <c r="GG35">
        <f>SUMIF('Как будет'!$A101:$A108,Доп.расчеты!$A35,'Как будет'!GH101:GH108)</f>
        <v>0</v>
      </c>
      <c r="GH35">
        <f>SUMIF('Как будет'!$A101:$A108,Доп.расчеты!$A35,'Как будет'!GI101:GI108)</f>
        <v>0</v>
      </c>
      <c r="GI35">
        <f>SUMIF('Как будет'!$A101:$A108,Доп.расчеты!$A35,'Как будет'!GJ101:GJ108)</f>
        <v>0</v>
      </c>
      <c r="GJ35">
        <f>SUMIF('Как будет'!$A101:$A108,Доп.расчеты!$A35,'Как будет'!GK101:GK108)</f>
        <v>0</v>
      </c>
      <c r="GK35">
        <f>SUMIF('Как будет'!$A101:$A108,Доп.расчеты!$A35,'Как будет'!GL101:GL108)</f>
        <v>0</v>
      </c>
      <c r="GL35">
        <f>SUMIF('Как будет'!$A101:$A108,Доп.расчеты!$A35,'Как будет'!GM101:GM108)</f>
        <v>0</v>
      </c>
      <c r="GM35">
        <f>SUMIF('Как будет'!$A101:$A108,Доп.расчеты!$A35,'Как будет'!GN101:GN108)</f>
        <v>0</v>
      </c>
      <c r="GN35">
        <f>SUMIF('Как будет'!$A101:$A108,Доп.расчеты!$A35,'Как будет'!GO101:GO108)</f>
        <v>0</v>
      </c>
      <c r="GO35">
        <f>SUMIF('Как будет'!$A101:$A108,Доп.расчеты!$A35,'Как будет'!GP101:GP108)</f>
        <v>0</v>
      </c>
      <c r="GP35">
        <f>SUMIF('Как будет'!$A101:$A108,Доп.расчеты!$A35,'Как будет'!GQ101:GQ108)</f>
        <v>0</v>
      </c>
      <c r="GQ35">
        <f>SUMIF('Как будет'!$A101:$A108,Доп.расчеты!$A35,'Как будет'!GR101:GR108)</f>
        <v>0</v>
      </c>
      <c r="GR35">
        <f>SUMIF('Как будет'!$A101:$A108,Доп.расчеты!$A35,'Как будет'!GS101:GS108)</f>
        <v>0</v>
      </c>
      <c r="GS35">
        <f>SUMIF('Как будет'!$A101:$A108,Доп.расчеты!$A35,'Как будет'!GT101:GT108)</f>
        <v>0</v>
      </c>
      <c r="GT35">
        <f>SUMIF('Как будет'!$A101:$A108,Доп.расчеты!$A35,'Как будет'!GU101:GU108)</f>
        <v>0</v>
      </c>
    </row>
    <row r="36" spans="1:202">
      <c r="A36" s="236" t="s">
        <v>123</v>
      </c>
      <c r="B36">
        <f>SUMIF('Как будет'!$A101:$A108,Доп.расчеты!$A36,'Как будет'!C101:C108)</f>
        <v>0</v>
      </c>
      <c r="C36">
        <f>SUMIF('Как будет'!$A101:$A108,Доп.расчеты!$A36,'Как будет'!D101:D108)</f>
        <v>0</v>
      </c>
      <c r="D36">
        <f>SUMIF('Как будет'!$A101:$A108,Доп.расчеты!$A36,'Как будет'!E101:E108)</f>
        <v>0</v>
      </c>
      <c r="E36">
        <f>SUMIF('Как будет'!$A101:$A108,Доп.расчеты!$A36,'Как будет'!F101:F108)</f>
        <v>0</v>
      </c>
      <c r="F36">
        <f>SUMIF('Как будет'!$A101:$A108,Доп.расчеты!$A36,'Как будет'!G101:G108)</f>
        <v>0</v>
      </c>
      <c r="G36">
        <f>SUMIF('Как будет'!$A101:$A108,Доп.расчеты!$A36,'Как будет'!H101:H108)</f>
        <v>0</v>
      </c>
      <c r="H36">
        <f>SUMIF('Как будет'!$A101:$A108,Доп.расчеты!$A36,'Как будет'!I101:I108)</f>
        <v>0</v>
      </c>
      <c r="I36">
        <f>SUMIF('Как будет'!$A101:$A108,Доп.расчеты!$A36,'Как будет'!J101:J108)</f>
        <v>0</v>
      </c>
      <c r="J36">
        <f>SUMIF('Как будет'!$A101:$A108,Доп.расчеты!$A36,'Как будет'!K101:K108)</f>
        <v>0</v>
      </c>
      <c r="K36">
        <f>SUMIF('Как будет'!$A101:$A108,Доп.расчеты!$A36,'Как будет'!L101:L108)</f>
        <v>0</v>
      </c>
      <c r="L36">
        <f>SUMIF('Как будет'!$A101:$A108,Доп.расчеты!$A36,'Как будет'!M101:M108)</f>
        <v>0</v>
      </c>
      <c r="M36">
        <f>SUMIF('Как будет'!$A101:$A108,Доп.расчеты!$A36,'Как будет'!N101:N108)</f>
        <v>0</v>
      </c>
      <c r="N36">
        <f>SUMIF('Как будет'!$A101:$A108,Доп.расчеты!$A36,'Как будет'!O101:O108)</f>
        <v>0</v>
      </c>
      <c r="O36">
        <f>SUMIF('Как будет'!$A101:$A108,Доп.расчеты!$A36,'Как будет'!P101:P108)</f>
        <v>0</v>
      </c>
      <c r="P36">
        <f>SUMIF('Как будет'!$A101:$A108,Доп.расчеты!$A36,'Как будет'!Q101:Q108)</f>
        <v>0</v>
      </c>
      <c r="Q36">
        <f>SUMIF('Как будет'!$A101:$A108,Доп.расчеты!$A36,'Как будет'!R101:R108)</f>
        <v>0</v>
      </c>
      <c r="R36">
        <f>SUMIF('Как будет'!$A101:$A108,Доп.расчеты!$A36,'Как будет'!S101:S108)</f>
        <v>0</v>
      </c>
      <c r="S36">
        <f>SUMIF('Как будет'!$A101:$A108,Доп.расчеты!$A36,'Как будет'!T101:T108)</f>
        <v>0</v>
      </c>
      <c r="T36">
        <f>SUMIF('Как будет'!$A101:$A108,Доп.расчеты!$A36,'Как будет'!U101:U108)</f>
        <v>0</v>
      </c>
      <c r="U36">
        <f>SUMIF('Как будет'!$A101:$A108,Доп.расчеты!$A36,'Как будет'!V101:V108)</f>
        <v>0</v>
      </c>
      <c r="V36">
        <f>SUMIF('Как будет'!$A101:$A108,Доп.расчеты!$A36,'Как будет'!W101:W108)</f>
        <v>0</v>
      </c>
      <c r="W36">
        <f>SUMIF('Как будет'!$A101:$A108,Доп.расчеты!$A36,'Как будет'!X101:X108)</f>
        <v>0</v>
      </c>
      <c r="X36">
        <f>SUMIF('Как будет'!$A101:$A108,Доп.расчеты!$A36,'Как будет'!Y101:Y108)</f>
        <v>0</v>
      </c>
      <c r="Y36">
        <f>SUMIF('Как будет'!$A101:$A108,Доп.расчеты!$A36,'Как будет'!Z101:Z108)</f>
        <v>0</v>
      </c>
      <c r="Z36">
        <f>SUMIF('Как будет'!$A101:$A108,Доп.расчеты!$A36,'Как будет'!AA101:AA108)</f>
        <v>0</v>
      </c>
      <c r="AA36">
        <f>SUMIF('Как будет'!$A101:$A108,Доп.расчеты!$A36,'Как будет'!AB101:AB108)</f>
        <v>0</v>
      </c>
      <c r="AB36">
        <f>SUMIF('Как будет'!$A101:$A108,Доп.расчеты!$A36,'Как будет'!AC101:AC108)</f>
        <v>0</v>
      </c>
      <c r="AC36">
        <f>SUMIF('Как будет'!$A101:$A108,Доп.расчеты!$A36,'Как будет'!AD101:AD108)</f>
        <v>0</v>
      </c>
      <c r="AD36">
        <f>SUMIF('Как будет'!$A101:$A108,Доп.расчеты!$A36,'Как будет'!AE101:AE108)</f>
        <v>0</v>
      </c>
      <c r="AE36">
        <f>SUMIF('Как будет'!$A101:$A108,Доп.расчеты!$A36,'Как будет'!AF101:AF108)</f>
        <v>0</v>
      </c>
      <c r="AF36">
        <f>SUMIF('Как будет'!$A101:$A108,Доп.расчеты!$A36,'Как будет'!AG101:AG108)</f>
        <v>0</v>
      </c>
      <c r="AG36">
        <f>SUMIF('Как будет'!$A101:$A108,Доп.расчеты!$A36,'Как будет'!AH101:AH108)</f>
        <v>0</v>
      </c>
      <c r="AH36">
        <f>SUMIF('Как будет'!$A101:$A108,Доп.расчеты!$A36,'Как будет'!AI101:AI108)</f>
        <v>0</v>
      </c>
      <c r="AI36">
        <f>SUMIF('Как будет'!$A101:$A108,Доп.расчеты!$A36,'Как будет'!AJ101:AJ108)</f>
        <v>0</v>
      </c>
      <c r="AJ36">
        <f>SUMIF('Как будет'!$A101:$A108,Доп.расчеты!$A36,'Как будет'!AK101:AK108)</f>
        <v>0</v>
      </c>
      <c r="AK36">
        <f>SUMIF('Как будет'!$A101:$A108,Доп.расчеты!$A36,'Как будет'!AL101:AL108)</f>
        <v>0</v>
      </c>
      <c r="AL36">
        <f>SUMIF('Как будет'!$A101:$A108,Доп.расчеты!$A36,'Как будет'!AM101:AM108)</f>
        <v>0</v>
      </c>
      <c r="AM36">
        <f>SUMIF('Как будет'!$A101:$A108,Доп.расчеты!$A36,'Как будет'!AN101:AN108)</f>
        <v>0</v>
      </c>
      <c r="AN36">
        <f>SUMIF('Как будет'!$A101:$A108,Доп.расчеты!$A36,'Как будет'!AO101:AO108)</f>
        <v>0</v>
      </c>
      <c r="AO36">
        <f>SUMIF('Как будет'!$A101:$A108,Доп.расчеты!$A36,'Как будет'!AP101:AP108)</f>
        <v>0</v>
      </c>
      <c r="AP36">
        <f>SUMIF('Как будет'!$A101:$A108,Доп.расчеты!$A36,'Как будет'!AQ101:AQ108)</f>
        <v>0</v>
      </c>
      <c r="AQ36">
        <f>SUMIF('Как будет'!$A101:$A108,Доп.расчеты!$A36,'Как будет'!AR101:AR108)</f>
        <v>0</v>
      </c>
      <c r="AR36">
        <f>SUMIF('Как будет'!$A101:$A108,Доп.расчеты!$A36,'Как будет'!AS101:AS108)</f>
        <v>0</v>
      </c>
      <c r="AS36">
        <f>SUMIF('Как будет'!$A101:$A108,Доп.расчеты!$A36,'Как будет'!AT101:AT108)</f>
        <v>0</v>
      </c>
      <c r="AT36">
        <f>SUMIF('Как будет'!$A101:$A108,Доп.расчеты!$A36,'Как будет'!AU101:AU108)</f>
        <v>0</v>
      </c>
      <c r="AU36">
        <f>SUMIF('Как будет'!$A101:$A108,Доп.расчеты!$A36,'Как будет'!AV101:AV108)</f>
        <v>0</v>
      </c>
      <c r="AV36">
        <f>SUMIF('Как будет'!$A101:$A108,Доп.расчеты!$A36,'Как будет'!AW101:AW108)</f>
        <v>0</v>
      </c>
      <c r="AW36">
        <f>SUMIF('Как будет'!$A101:$A108,Доп.расчеты!$A36,'Как будет'!AX101:AX108)</f>
        <v>0</v>
      </c>
      <c r="AX36">
        <f>SUMIF('Как будет'!$A101:$A108,Доп.расчеты!$A36,'Как будет'!AY101:AY108)</f>
        <v>0</v>
      </c>
      <c r="AY36">
        <f>SUMIF('Как будет'!$A101:$A108,Доп.расчеты!$A36,'Как будет'!AZ101:AZ108)</f>
        <v>0</v>
      </c>
      <c r="AZ36">
        <f>SUMIF('Как будет'!$A101:$A108,Доп.расчеты!$A36,'Как будет'!BA101:BA108)</f>
        <v>0</v>
      </c>
      <c r="BA36">
        <f>SUMIF('Как будет'!$A101:$A108,Доп.расчеты!$A36,'Как будет'!BB101:BB108)</f>
        <v>0</v>
      </c>
      <c r="BB36">
        <f>SUMIF('Как будет'!$A101:$A108,Доп.расчеты!$A36,'Как будет'!BC101:BC108)</f>
        <v>0</v>
      </c>
      <c r="BC36">
        <f>SUMIF('Как будет'!$A101:$A108,Доп.расчеты!$A36,'Как будет'!BD101:BD108)</f>
        <v>0</v>
      </c>
      <c r="BD36">
        <f>SUMIF('Как будет'!$A101:$A108,Доп.расчеты!$A36,'Как будет'!BE101:BE108)</f>
        <v>0</v>
      </c>
      <c r="BE36">
        <f>SUMIF('Как будет'!$A101:$A108,Доп.расчеты!$A36,'Как будет'!BF101:BF108)</f>
        <v>0</v>
      </c>
      <c r="BF36">
        <f>SUMIF('Как будет'!$A101:$A108,Доп.расчеты!$A36,'Как будет'!BG101:BG108)</f>
        <v>0</v>
      </c>
      <c r="BG36">
        <f>SUMIF('Как будет'!$A101:$A108,Доп.расчеты!$A36,'Как будет'!BH101:BH108)</f>
        <v>0</v>
      </c>
      <c r="BH36">
        <f>SUMIF('Как будет'!$A101:$A108,Доп.расчеты!$A36,'Как будет'!BI101:BI108)</f>
        <v>0</v>
      </c>
      <c r="BI36">
        <f>SUMIF('Как будет'!$A101:$A108,Доп.расчеты!$A36,'Как будет'!BJ101:BJ108)</f>
        <v>0</v>
      </c>
      <c r="BJ36">
        <f>SUMIF('Как будет'!$A101:$A108,Доп.расчеты!$A36,'Как будет'!BK101:BK108)</f>
        <v>0</v>
      </c>
      <c r="BK36">
        <f>SUMIF('Как будет'!$A101:$A108,Доп.расчеты!$A36,'Как будет'!BL101:BL108)</f>
        <v>0</v>
      </c>
      <c r="BL36">
        <f>SUMIF('Как будет'!$A101:$A108,Доп.расчеты!$A36,'Как будет'!BM101:BM108)</f>
        <v>0</v>
      </c>
      <c r="BM36">
        <f>SUMIF('Как будет'!$A101:$A108,Доп.расчеты!$A36,'Как будет'!BN101:BN108)</f>
        <v>0</v>
      </c>
      <c r="BN36">
        <f>SUMIF('Как будет'!$A101:$A108,Доп.расчеты!$A36,'Как будет'!BO101:BO108)</f>
        <v>0</v>
      </c>
      <c r="BO36">
        <f>SUMIF('Как будет'!$A101:$A108,Доп.расчеты!$A36,'Как будет'!BP101:BP108)</f>
        <v>0</v>
      </c>
      <c r="BP36">
        <f>SUMIF('Как будет'!$A101:$A108,Доп.расчеты!$A36,'Как будет'!BQ101:BQ108)</f>
        <v>0</v>
      </c>
      <c r="BQ36">
        <f>SUMIF('Как будет'!$A101:$A108,Доп.расчеты!$A36,'Как будет'!BR101:BR108)</f>
        <v>0</v>
      </c>
      <c r="BR36">
        <f>SUMIF('Как будет'!$A101:$A108,Доп.расчеты!$A36,'Как будет'!BS101:BS108)</f>
        <v>0</v>
      </c>
      <c r="BS36">
        <f>SUMIF('Как будет'!$A101:$A108,Доп.расчеты!$A36,'Как будет'!BT101:BT108)</f>
        <v>0</v>
      </c>
      <c r="BT36">
        <f>SUMIF('Как будет'!$A101:$A108,Доп.расчеты!$A36,'Как будет'!BU101:BU108)</f>
        <v>0</v>
      </c>
      <c r="BU36">
        <f>SUMIF('Как будет'!$A101:$A108,Доп.расчеты!$A36,'Как будет'!BV101:BV108)</f>
        <v>0</v>
      </c>
      <c r="BV36">
        <f>SUMIF('Как будет'!$A101:$A108,Доп.расчеты!$A36,'Как будет'!BW101:BW108)</f>
        <v>0</v>
      </c>
      <c r="BW36">
        <f>SUMIF('Как будет'!$A101:$A108,Доп.расчеты!$A36,'Как будет'!BX101:BX108)</f>
        <v>0</v>
      </c>
      <c r="BX36">
        <f>SUMIF('Как будет'!$A101:$A108,Доп.расчеты!$A36,'Как будет'!BY101:BY108)</f>
        <v>0</v>
      </c>
      <c r="BY36">
        <f>SUMIF('Как будет'!$A101:$A108,Доп.расчеты!$A36,'Как будет'!BZ101:BZ108)</f>
        <v>0</v>
      </c>
      <c r="BZ36">
        <f>SUMIF('Как будет'!$A101:$A108,Доп.расчеты!$A36,'Как будет'!CA101:CA108)</f>
        <v>0</v>
      </c>
      <c r="CA36">
        <f>SUMIF('Как будет'!$A101:$A108,Доп.расчеты!$A36,'Как будет'!CB101:CB108)</f>
        <v>0</v>
      </c>
      <c r="CB36">
        <f>SUMIF('Как будет'!$A101:$A108,Доп.расчеты!$A36,'Как будет'!CC101:CC108)</f>
        <v>0</v>
      </c>
      <c r="CC36">
        <f>SUMIF('Как будет'!$A101:$A108,Доп.расчеты!$A36,'Как будет'!CD101:CD108)</f>
        <v>0</v>
      </c>
      <c r="CD36">
        <f>SUMIF('Как будет'!$A101:$A108,Доп.расчеты!$A36,'Как будет'!CE101:CE108)</f>
        <v>0</v>
      </c>
      <c r="CE36">
        <f>SUMIF('Как будет'!$A101:$A108,Доп.расчеты!$A36,'Как будет'!CF101:CF108)</f>
        <v>0</v>
      </c>
      <c r="CF36">
        <f>SUMIF('Как будет'!$A101:$A108,Доп.расчеты!$A36,'Как будет'!CG101:CG108)</f>
        <v>0</v>
      </c>
      <c r="CG36">
        <f>SUMIF('Как будет'!$A101:$A108,Доп.расчеты!$A36,'Как будет'!CH101:CH108)</f>
        <v>0</v>
      </c>
      <c r="CH36">
        <f>SUMIF('Как будет'!$A101:$A108,Доп.расчеты!$A36,'Как будет'!CI101:CI108)</f>
        <v>0</v>
      </c>
      <c r="CI36">
        <f>SUMIF('Как будет'!$A101:$A108,Доп.расчеты!$A36,'Как будет'!CJ101:CJ108)</f>
        <v>0</v>
      </c>
      <c r="CJ36">
        <f>SUMIF('Как будет'!$A101:$A108,Доп.расчеты!$A36,'Как будет'!CK101:CK108)</f>
        <v>0</v>
      </c>
      <c r="CK36">
        <f>SUMIF('Как будет'!$A101:$A108,Доп.расчеты!$A36,'Как будет'!CL101:CL108)</f>
        <v>0</v>
      </c>
      <c r="CL36">
        <f>SUMIF('Как будет'!$A101:$A108,Доп.расчеты!$A36,'Как будет'!CM101:CM108)</f>
        <v>0</v>
      </c>
      <c r="CM36">
        <f>SUMIF('Как будет'!$A101:$A108,Доп.расчеты!$A36,'Как будет'!CN101:CN108)</f>
        <v>0</v>
      </c>
      <c r="CN36">
        <f>SUMIF('Как будет'!$A101:$A108,Доп.расчеты!$A36,'Как будет'!CO101:CO108)</f>
        <v>0</v>
      </c>
      <c r="CO36">
        <f>SUMIF('Как будет'!$A101:$A108,Доп.расчеты!$A36,'Как будет'!CP101:CP108)</f>
        <v>0</v>
      </c>
      <c r="CP36">
        <f>SUMIF('Как будет'!$A101:$A108,Доп.расчеты!$A36,'Как будет'!CQ101:CQ108)</f>
        <v>0</v>
      </c>
      <c r="CQ36">
        <f>SUMIF('Как будет'!$A101:$A108,Доп.расчеты!$A36,'Как будет'!CR101:CR108)</f>
        <v>0</v>
      </c>
      <c r="CR36">
        <f>SUMIF('Как будет'!$A101:$A108,Доп.расчеты!$A36,'Как будет'!CS101:CS108)</f>
        <v>0</v>
      </c>
      <c r="CS36">
        <f>SUMIF('Как будет'!$A101:$A108,Доп.расчеты!$A36,'Как будет'!CT101:CT108)</f>
        <v>0</v>
      </c>
      <c r="CT36">
        <f>SUMIF('Как будет'!$A101:$A108,Доп.расчеты!$A36,'Как будет'!CU101:CU108)</f>
        <v>0</v>
      </c>
      <c r="CU36">
        <f>SUMIF('Как будет'!$A101:$A108,Доп.расчеты!$A36,'Как будет'!CV101:CV108)</f>
        <v>0</v>
      </c>
      <c r="CV36">
        <f>SUMIF('Как будет'!$A101:$A108,Доп.расчеты!$A36,'Как будет'!CW101:CW108)</f>
        <v>0</v>
      </c>
      <c r="CW36">
        <f>SUMIF('Как будет'!$A101:$A108,Доп.расчеты!$A36,'Как будет'!CX101:CX108)</f>
        <v>0</v>
      </c>
      <c r="CX36">
        <f>SUMIF('Как будет'!$A101:$A108,Доп.расчеты!$A36,'Как будет'!CY101:CY108)</f>
        <v>0</v>
      </c>
      <c r="CY36">
        <f>SUMIF('Как будет'!$A101:$A108,Доп.расчеты!$A36,'Как будет'!CZ101:CZ108)</f>
        <v>0</v>
      </c>
      <c r="CZ36">
        <f>SUMIF('Как будет'!$A101:$A108,Доп.расчеты!$A36,'Как будет'!DA101:DA108)</f>
        <v>0</v>
      </c>
      <c r="DA36">
        <f>SUMIF('Как будет'!$A101:$A108,Доп.расчеты!$A36,'Как будет'!DB101:DB108)</f>
        <v>0</v>
      </c>
      <c r="DB36">
        <f>SUMIF('Как будет'!$A101:$A108,Доп.расчеты!$A36,'Как будет'!DC101:DC108)</f>
        <v>0</v>
      </c>
      <c r="DC36">
        <f>SUMIF('Как будет'!$A101:$A108,Доп.расчеты!$A36,'Как будет'!DD101:DD108)</f>
        <v>0</v>
      </c>
      <c r="DD36">
        <f>SUMIF('Как будет'!$A101:$A108,Доп.расчеты!$A36,'Как будет'!DE101:DE108)</f>
        <v>0</v>
      </c>
      <c r="DE36">
        <f>SUMIF('Как будет'!$A101:$A108,Доп.расчеты!$A36,'Как будет'!DF101:DF108)</f>
        <v>0</v>
      </c>
      <c r="DF36">
        <f>SUMIF('Как будет'!$A101:$A108,Доп.расчеты!$A36,'Как будет'!DG101:DG108)</f>
        <v>0</v>
      </c>
      <c r="DG36">
        <f>SUMIF('Как будет'!$A101:$A108,Доп.расчеты!$A36,'Как будет'!DH101:DH108)</f>
        <v>0</v>
      </c>
      <c r="DH36">
        <f>SUMIF('Как будет'!$A101:$A108,Доп.расчеты!$A36,'Как будет'!DI101:DI108)</f>
        <v>0</v>
      </c>
      <c r="DI36">
        <f>SUMIF('Как будет'!$A101:$A108,Доп.расчеты!$A36,'Как будет'!DJ101:DJ108)</f>
        <v>0</v>
      </c>
      <c r="DJ36">
        <f>SUMIF('Как будет'!$A101:$A108,Доп.расчеты!$A36,'Как будет'!DK101:DK108)</f>
        <v>0</v>
      </c>
      <c r="DK36">
        <f>SUMIF('Как будет'!$A101:$A108,Доп.расчеты!$A36,'Как будет'!DL101:DL108)</f>
        <v>0</v>
      </c>
      <c r="DL36">
        <f>SUMIF('Как будет'!$A101:$A108,Доп.расчеты!$A36,'Как будет'!DM101:DM108)</f>
        <v>0</v>
      </c>
      <c r="DM36">
        <f>SUMIF('Как будет'!$A101:$A108,Доп.расчеты!$A36,'Как будет'!DN101:DN108)</f>
        <v>0</v>
      </c>
      <c r="DN36">
        <f>SUMIF('Как будет'!$A101:$A108,Доп.расчеты!$A36,'Как будет'!DO101:DO108)</f>
        <v>0</v>
      </c>
      <c r="DO36">
        <f>SUMIF('Как будет'!$A101:$A108,Доп.расчеты!$A36,'Как будет'!DP101:DP108)</f>
        <v>0</v>
      </c>
      <c r="DP36">
        <f>SUMIF('Как будет'!$A101:$A108,Доп.расчеты!$A36,'Как будет'!DQ101:DQ108)</f>
        <v>0</v>
      </c>
      <c r="DQ36">
        <f>SUMIF('Как будет'!$A101:$A108,Доп.расчеты!$A36,'Как будет'!DR101:DR108)</f>
        <v>0</v>
      </c>
      <c r="DR36">
        <f>SUMIF('Как будет'!$A101:$A108,Доп.расчеты!$A36,'Как будет'!DS101:DS108)</f>
        <v>0</v>
      </c>
      <c r="DS36">
        <f>SUMIF('Как будет'!$A101:$A108,Доп.расчеты!$A36,'Как будет'!DT101:DT108)</f>
        <v>0</v>
      </c>
      <c r="DT36">
        <f>SUMIF('Как будет'!$A101:$A108,Доп.расчеты!$A36,'Как будет'!DU101:DU108)</f>
        <v>0</v>
      </c>
      <c r="DU36">
        <f>SUMIF('Как будет'!$A101:$A108,Доп.расчеты!$A36,'Как будет'!DV101:DV108)</f>
        <v>0</v>
      </c>
      <c r="DV36">
        <f>SUMIF('Как будет'!$A101:$A108,Доп.расчеты!$A36,'Как будет'!DW101:DW108)</f>
        <v>0</v>
      </c>
      <c r="DW36">
        <f>SUMIF('Как будет'!$A101:$A108,Доп.расчеты!$A36,'Как будет'!DX101:DX108)</f>
        <v>0</v>
      </c>
      <c r="DX36">
        <f>SUMIF('Как будет'!$A101:$A108,Доп.расчеты!$A36,'Как будет'!DY101:DY108)</f>
        <v>0</v>
      </c>
      <c r="DY36">
        <f>SUMIF('Как будет'!$A101:$A108,Доп.расчеты!$A36,'Как будет'!DZ101:DZ108)</f>
        <v>0</v>
      </c>
      <c r="DZ36">
        <f>SUMIF('Как будет'!$A101:$A108,Доп.расчеты!$A36,'Как будет'!EA101:EA108)</f>
        <v>0</v>
      </c>
      <c r="EA36">
        <f>SUMIF('Как будет'!$A101:$A108,Доп.расчеты!$A36,'Как будет'!EB101:EB108)</f>
        <v>0</v>
      </c>
      <c r="EB36">
        <f>SUMIF('Как будет'!$A101:$A108,Доп.расчеты!$A36,'Как будет'!EC101:EC108)</f>
        <v>0</v>
      </c>
      <c r="EC36">
        <f>SUMIF('Как будет'!$A101:$A108,Доп.расчеты!$A36,'Как будет'!ED101:ED108)</f>
        <v>0</v>
      </c>
      <c r="ED36">
        <f>SUMIF('Как будет'!$A101:$A108,Доп.расчеты!$A36,'Как будет'!EE101:EE108)</f>
        <v>0</v>
      </c>
      <c r="EE36">
        <f>SUMIF('Как будет'!$A101:$A108,Доп.расчеты!$A36,'Как будет'!EF101:EF108)</f>
        <v>0</v>
      </c>
      <c r="EF36">
        <f>SUMIF('Как будет'!$A101:$A108,Доп.расчеты!$A36,'Как будет'!EG101:EG108)</f>
        <v>0</v>
      </c>
      <c r="EG36">
        <f>SUMIF('Как будет'!$A101:$A108,Доп.расчеты!$A36,'Как будет'!EH101:EH108)</f>
        <v>0</v>
      </c>
      <c r="EH36">
        <f>SUMIF('Как будет'!$A101:$A108,Доп.расчеты!$A36,'Как будет'!EI101:EI108)</f>
        <v>0</v>
      </c>
      <c r="EI36">
        <f>SUMIF('Как будет'!$A101:$A108,Доп.расчеты!$A36,'Как будет'!EJ101:EJ108)</f>
        <v>0</v>
      </c>
      <c r="EJ36">
        <f>SUMIF('Как будет'!$A101:$A108,Доп.расчеты!$A36,'Как будет'!EK101:EK108)</f>
        <v>0</v>
      </c>
      <c r="EK36">
        <f>SUMIF('Как будет'!$A101:$A108,Доп.расчеты!$A36,'Как будет'!EL101:EL108)</f>
        <v>0</v>
      </c>
      <c r="EL36">
        <f>SUMIF('Как будет'!$A101:$A108,Доп.расчеты!$A36,'Как будет'!EM101:EM108)</f>
        <v>0</v>
      </c>
      <c r="EM36">
        <f>SUMIF('Как будет'!$A101:$A108,Доп.расчеты!$A36,'Как будет'!EN101:EN108)</f>
        <v>0</v>
      </c>
      <c r="EN36">
        <f>SUMIF('Как будет'!$A101:$A108,Доп.расчеты!$A36,'Как будет'!EO101:EO108)</f>
        <v>0</v>
      </c>
      <c r="EO36">
        <f>SUMIF('Как будет'!$A101:$A108,Доп.расчеты!$A36,'Как будет'!EP101:EP108)</f>
        <v>0</v>
      </c>
      <c r="EP36">
        <f>SUMIF('Как будет'!$A101:$A108,Доп.расчеты!$A36,'Как будет'!EQ101:EQ108)</f>
        <v>0</v>
      </c>
      <c r="EQ36">
        <f>SUMIF('Как будет'!$A101:$A108,Доп.расчеты!$A36,'Как будет'!ER101:ER108)</f>
        <v>0</v>
      </c>
      <c r="ER36">
        <f>SUMIF('Как будет'!$A101:$A108,Доп.расчеты!$A36,'Как будет'!ES101:ES108)</f>
        <v>0</v>
      </c>
      <c r="ES36">
        <f>SUMIF('Как будет'!$A101:$A108,Доп.расчеты!$A36,'Как будет'!ET101:ET108)</f>
        <v>0</v>
      </c>
      <c r="ET36">
        <f>SUMIF('Как будет'!$A101:$A108,Доп.расчеты!$A36,'Как будет'!EU101:EU108)</f>
        <v>0</v>
      </c>
      <c r="EU36">
        <f>SUMIF('Как будет'!$A101:$A108,Доп.расчеты!$A36,'Как будет'!EV101:EV108)</f>
        <v>0</v>
      </c>
      <c r="EV36">
        <f>SUMIF('Как будет'!$A101:$A108,Доп.расчеты!$A36,'Как будет'!EW101:EW108)</f>
        <v>0</v>
      </c>
      <c r="EW36">
        <f>SUMIF('Как будет'!$A101:$A108,Доп.расчеты!$A36,'Как будет'!EX101:EX108)</f>
        <v>0</v>
      </c>
      <c r="EX36">
        <f>SUMIF('Как будет'!$A101:$A108,Доп.расчеты!$A36,'Как будет'!EY101:EY108)</f>
        <v>0</v>
      </c>
      <c r="EY36">
        <f>SUMIF('Как будет'!$A101:$A108,Доп.расчеты!$A36,'Как будет'!EZ101:EZ108)</f>
        <v>0</v>
      </c>
      <c r="EZ36">
        <f>SUMIF('Как будет'!$A101:$A108,Доп.расчеты!$A36,'Как будет'!FA101:FA108)</f>
        <v>0</v>
      </c>
      <c r="FA36">
        <f>SUMIF('Как будет'!$A101:$A108,Доп.расчеты!$A36,'Как будет'!FB101:FB108)</f>
        <v>0</v>
      </c>
      <c r="FB36">
        <f>SUMIF('Как будет'!$A101:$A108,Доп.расчеты!$A36,'Как будет'!FC101:FC108)</f>
        <v>0</v>
      </c>
      <c r="FC36">
        <f>SUMIF('Как будет'!$A101:$A108,Доп.расчеты!$A36,'Как будет'!FD101:FD108)</f>
        <v>0</v>
      </c>
      <c r="FD36">
        <f>SUMIF('Как будет'!$A101:$A108,Доп.расчеты!$A36,'Как будет'!FE101:FE108)</f>
        <v>0</v>
      </c>
      <c r="FE36">
        <f>SUMIF('Как будет'!$A101:$A108,Доп.расчеты!$A36,'Как будет'!FF101:FF108)</f>
        <v>0</v>
      </c>
      <c r="FF36">
        <f>SUMIF('Как будет'!$A101:$A108,Доп.расчеты!$A36,'Как будет'!FG101:FG108)</f>
        <v>0</v>
      </c>
      <c r="FG36">
        <f>SUMIF('Как будет'!$A101:$A108,Доп.расчеты!$A36,'Как будет'!FH101:FH108)</f>
        <v>0</v>
      </c>
      <c r="FH36">
        <f>SUMIF('Как будет'!$A101:$A108,Доп.расчеты!$A36,'Как будет'!FI101:FI108)</f>
        <v>0</v>
      </c>
      <c r="FI36">
        <f>SUMIF('Как будет'!$A101:$A108,Доп.расчеты!$A36,'Как будет'!FJ101:FJ108)</f>
        <v>0</v>
      </c>
      <c r="FJ36">
        <f>SUMIF('Как будет'!$A101:$A108,Доп.расчеты!$A36,'Как будет'!FK101:FK108)</f>
        <v>0</v>
      </c>
      <c r="FK36">
        <f>SUMIF('Как будет'!$A101:$A108,Доп.расчеты!$A36,'Как будет'!FL101:FL108)</f>
        <v>0</v>
      </c>
      <c r="FL36">
        <f>SUMIF('Как будет'!$A101:$A108,Доп.расчеты!$A36,'Как будет'!FM101:FM108)</f>
        <v>0</v>
      </c>
      <c r="FM36">
        <f>SUMIF('Как будет'!$A101:$A108,Доп.расчеты!$A36,'Как будет'!FN101:FN108)</f>
        <v>0</v>
      </c>
      <c r="FN36">
        <f>SUMIF('Как будет'!$A101:$A108,Доп.расчеты!$A36,'Как будет'!FO101:FO108)</f>
        <v>0</v>
      </c>
      <c r="FO36">
        <f>SUMIF('Как будет'!$A101:$A108,Доп.расчеты!$A36,'Как будет'!FP101:FP108)</f>
        <v>0</v>
      </c>
      <c r="FP36">
        <f>SUMIF('Как будет'!$A101:$A108,Доп.расчеты!$A36,'Как будет'!FQ101:FQ108)</f>
        <v>0</v>
      </c>
      <c r="FQ36">
        <f>SUMIF('Как будет'!$A101:$A108,Доп.расчеты!$A36,'Как будет'!FR101:FR108)</f>
        <v>0</v>
      </c>
      <c r="FR36">
        <f>SUMIF('Как будет'!$A101:$A108,Доп.расчеты!$A36,'Как будет'!FS101:FS108)</f>
        <v>0</v>
      </c>
      <c r="FS36">
        <f>SUMIF('Как будет'!$A101:$A108,Доп.расчеты!$A36,'Как будет'!FT101:FT108)</f>
        <v>0</v>
      </c>
      <c r="FT36">
        <f>SUMIF('Как будет'!$A101:$A108,Доп.расчеты!$A36,'Как будет'!FU101:FU108)</f>
        <v>0</v>
      </c>
      <c r="FU36">
        <f>SUMIF('Как будет'!$A101:$A108,Доп.расчеты!$A36,'Как будет'!FV101:FV108)</f>
        <v>0</v>
      </c>
      <c r="FV36">
        <f>SUMIF('Как будет'!$A101:$A108,Доп.расчеты!$A36,'Как будет'!FW101:FW108)</f>
        <v>0</v>
      </c>
      <c r="FW36">
        <f>SUMIF('Как будет'!$A101:$A108,Доп.расчеты!$A36,'Как будет'!FX101:FX108)</f>
        <v>0</v>
      </c>
      <c r="FX36">
        <f>SUMIF('Как будет'!$A101:$A108,Доп.расчеты!$A36,'Как будет'!FY101:FY108)</f>
        <v>0</v>
      </c>
      <c r="FY36">
        <f>SUMIF('Как будет'!$A101:$A108,Доп.расчеты!$A36,'Как будет'!FZ101:FZ108)</f>
        <v>0</v>
      </c>
      <c r="FZ36">
        <f>SUMIF('Как будет'!$A101:$A108,Доп.расчеты!$A36,'Как будет'!GA101:GA108)</f>
        <v>0</v>
      </c>
      <c r="GA36">
        <f>SUMIF('Как будет'!$A101:$A108,Доп.расчеты!$A36,'Как будет'!GB101:GB108)</f>
        <v>0</v>
      </c>
      <c r="GB36">
        <f>SUMIF('Как будет'!$A101:$A108,Доп.расчеты!$A36,'Как будет'!GC101:GC108)</f>
        <v>0</v>
      </c>
      <c r="GC36">
        <f>SUMIF('Как будет'!$A101:$A108,Доп.расчеты!$A36,'Как будет'!GD101:GD108)</f>
        <v>0</v>
      </c>
      <c r="GD36">
        <f>SUMIF('Как будет'!$A101:$A108,Доп.расчеты!$A36,'Как будет'!GE101:GE108)</f>
        <v>0</v>
      </c>
      <c r="GE36">
        <f>SUMIF('Как будет'!$A101:$A108,Доп.расчеты!$A36,'Как будет'!GF101:GF108)</f>
        <v>0</v>
      </c>
      <c r="GF36">
        <f>SUMIF('Как будет'!$A101:$A108,Доп.расчеты!$A36,'Как будет'!GG101:GG108)</f>
        <v>0</v>
      </c>
      <c r="GG36">
        <f>SUMIF('Как будет'!$A101:$A108,Доп.расчеты!$A36,'Как будет'!GH101:GH108)</f>
        <v>0</v>
      </c>
      <c r="GH36">
        <f>SUMIF('Как будет'!$A101:$A108,Доп.расчеты!$A36,'Как будет'!GI101:GI108)</f>
        <v>0</v>
      </c>
      <c r="GI36">
        <f>SUMIF('Как будет'!$A101:$A108,Доп.расчеты!$A36,'Как будет'!GJ101:GJ108)</f>
        <v>0</v>
      </c>
      <c r="GJ36">
        <f>SUMIF('Как будет'!$A101:$A108,Доп.расчеты!$A36,'Как будет'!GK101:GK108)</f>
        <v>0</v>
      </c>
      <c r="GK36">
        <f>SUMIF('Как будет'!$A101:$A108,Доп.расчеты!$A36,'Как будет'!GL101:GL108)</f>
        <v>0</v>
      </c>
      <c r="GL36">
        <f>SUMIF('Как будет'!$A101:$A108,Доп.расчеты!$A36,'Как будет'!GM101:GM108)</f>
        <v>0</v>
      </c>
      <c r="GM36">
        <f>SUMIF('Как будет'!$A101:$A108,Доп.расчеты!$A36,'Как будет'!GN101:GN108)</f>
        <v>0</v>
      </c>
      <c r="GN36">
        <f>SUMIF('Как будет'!$A101:$A108,Доп.расчеты!$A36,'Как будет'!GO101:GO108)</f>
        <v>0</v>
      </c>
      <c r="GO36">
        <f>SUMIF('Как будет'!$A101:$A108,Доп.расчеты!$A36,'Как будет'!GP101:GP108)</f>
        <v>0</v>
      </c>
      <c r="GP36">
        <f>SUMIF('Как будет'!$A101:$A108,Доп.расчеты!$A36,'Как будет'!GQ101:GQ108)</f>
        <v>0</v>
      </c>
      <c r="GQ36">
        <f>SUMIF('Как будет'!$A101:$A108,Доп.расчеты!$A36,'Как будет'!GR101:GR108)</f>
        <v>0</v>
      </c>
      <c r="GR36">
        <f>SUMIF('Как будет'!$A101:$A108,Доп.расчеты!$A36,'Как будет'!GS101:GS108)</f>
        <v>0</v>
      </c>
      <c r="GS36">
        <f>SUMIF('Как будет'!$A101:$A108,Доп.расчеты!$A36,'Как будет'!GT101:GT108)</f>
        <v>0</v>
      </c>
      <c r="GT36">
        <f>SUMIF('Как будет'!$A101:$A108,Доп.расчеты!$A36,'Как будет'!GU101:GU108)</f>
        <v>0</v>
      </c>
    </row>
    <row r="37" spans="1:202">
      <c r="A37" s="236" t="s">
        <v>124</v>
      </c>
      <c r="B37">
        <f>SUMIF('Как будет'!$A101:$A108,Доп.расчеты!$A37,'Как будет'!C101:C108)</f>
        <v>0</v>
      </c>
      <c r="C37">
        <f>SUMIF('Как будет'!$A101:$A108,Доп.расчеты!$A37,'Как будет'!D101:D108)</f>
        <v>0</v>
      </c>
      <c r="D37">
        <f>SUMIF('Как будет'!$A101:$A108,Доп.расчеты!$A37,'Как будет'!E101:E108)</f>
        <v>0</v>
      </c>
      <c r="E37">
        <f>SUMIF('Как будет'!$A101:$A108,Доп.расчеты!$A37,'Как будет'!F101:F108)</f>
        <v>0</v>
      </c>
      <c r="F37">
        <f>SUMIF('Как будет'!$A101:$A108,Доп.расчеты!$A37,'Как будет'!G101:G108)</f>
        <v>0</v>
      </c>
      <c r="G37">
        <f>SUMIF('Как будет'!$A101:$A108,Доп.расчеты!$A37,'Как будет'!H101:H108)</f>
        <v>0</v>
      </c>
      <c r="H37">
        <f>SUMIF('Как будет'!$A101:$A108,Доп.расчеты!$A37,'Как будет'!I101:I108)</f>
        <v>0</v>
      </c>
      <c r="I37">
        <f>SUMIF('Как будет'!$A101:$A108,Доп.расчеты!$A37,'Как будет'!J101:J108)</f>
        <v>0</v>
      </c>
      <c r="J37">
        <f>SUMIF('Как будет'!$A101:$A108,Доп.расчеты!$A37,'Как будет'!K101:K108)</f>
        <v>0</v>
      </c>
      <c r="K37">
        <f>SUMIF('Как будет'!$A101:$A108,Доп.расчеты!$A37,'Как будет'!L101:L108)</f>
        <v>0</v>
      </c>
      <c r="L37">
        <f>SUMIF('Как будет'!$A101:$A108,Доп.расчеты!$A37,'Как будет'!M101:M108)</f>
        <v>0</v>
      </c>
      <c r="M37">
        <f>SUMIF('Как будет'!$A101:$A108,Доп.расчеты!$A37,'Как будет'!N101:N108)</f>
        <v>0</v>
      </c>
      <c r="N37">
        <f>SUMIF('Как будет'!$A101:$A108,Доп.расчеты!$A37,'Как будет'!O101:O108)</f>
        <v>0</v>
      </c>
      <c r="O37">
        <f>SUMIF('Как будет'!$A101:$A108,Доп.расчеты!$A37,'Как будет'!P101:P108)</f>
        <v>0</v>
      </c>
      <c r="P37">
        <f>SUMIF('Как будет'!$A101:$A108,Доп.расчеты!$A37,'Как будет'!Q101:Q108)</f>
        <v>0</v>
      </c>
      <c r="Q37">
        <f>SUMIF('Как будет'!$A101:$A108,Доп.расчеты!$A37,'Как будет'!R101:R108)</f>
        <v>0</v>
      </c>
      <c r="R37">
        <f>SUMIF('Как будет'!$A101:$A108,Доп.расчеты!$A37,'Как будет'!S101:S108)</f>
        <v>0</v>
      </c>
      <c r="S37">
        <f>SUMIF('Как будет'!$A101:$A108,Доп.расчеты!$A37,'Как будет'!T101:T108)</f>
        <v>0</v>
      </c>
      <c r="T37">
        <f>SUMIF('Как будет'!$A101:$A108,Доп.расчеты!$A37,'Как будет'!U101:U108)</f>
        <v>0</v>
      </c>
      <c r="U37">
        <f>SUMIF('Как будет'!$A101:$A108,Доп.расчеты!$A37,'Как будет'!V101:V108)</f>
        <v>0</v>
      </c>
      <c r="V37">
        <f>SUMIF('Как будет'!$A101:$A108,Доп.расчеты!$A37,'Как будет'!W101:W108)</f>
        <v>0</v>
      </c>
      <c r="W37">
        <f>SUMIF('Как будет'!$A101:$A108,Доп.расчеты!$A37,'Как будет'!X101:X108)</f>
        <v>0</v>
      </c>
      <c r="X37">
        <f>SUMIF('Как будет'!$A101:$A108,Доп.расчеты!$A37,'Как будет'!Y101:Y108)</f>
        <v>0</v>
      </c>
      <c r="Y37">
        <f>SUMIF('Как будет'!$A101:$A108,Доп.расчеты!$A37,'Как будет'!Z101:Z108)</f>
        <v>0</v>
      </c>
      <c r="Z37">
        <f>SUMIF('Как будет'!$A101:$A108,Доп.расчеты!$A37,'Как будет'!AA101:AA108)</f>
        <v>0</v>
      </c>
      <c r="AA37">
        <f>SUMIF('Как будет'!$A101:$A108,Доп.расчеты!$A37,'Как будет'!AB101:AB108)</f>
        <v>0</v>
      </c>
      <c r="AB37">
        <f>SUMIF('Как будет'!$A101:$A108,Доп.расчеты!$A37,'Как будет'!AC101:AC108)</f>
        <v>0</v>
      </c>
      <c r="AC37">
        <f>SUMIF('Как будет'!$A101:$A108,Доп.расчеты!$A37,'Как будет'!AD101:AD108)</f>
        <v>0</v>
      </c>
      <c r="AD37">
        <f>SUMIF('Как будет'!$A101:$A108,Доп.расчеты!$A37,'Как будет'!AE101:AE108)</f>
        <v>0</v>
      </c>
      <c r="AE37">
        <f>SUMIF('Как будет'!$A101:$A108,Доп.расчеты!$A37,'Как будет'!AF101:AF108)</f>
        <v>0</v>
      </c>
      <c r="AF37">
        <f>SUMIF('Как будет'!$A101:$A108,Доп.расчеты!$A37,'Как будет'!AG101:AG108)</f>
        <v>0</v>
      </c>
      <c r="AG37">
        <f>SUMIF('Как будет'!$A101:$A108,Доп.расчеты!$A37,'Как будет'!AH101:AH108)</f>
        <v>0</v>
      </c>
      <c r="AH37">
        <f>SUMIF('Как будет'!$A101:$A108,Доп.расчеты!$A37,'Как будет'!AI101:AI108)</f>
        <v>0</v>
      </c>
      <c r="AI37">
        <f>SUMIF('Как будет'!$A101:$A108,Доп.расчеты!$A37,'Как будет'!AJ101:AJ108)</f>
        <v>0</v>
      </c>
      <c r="AJ37">
        <f>SUMIF('Как будет'!$A101:$A108,Доп.расчеты!$A37,'Как будет'!AK101:AK108)</f>
        <v>0</v>
      </c>
      <c r="AK37">
        <f>SUMIF('Как будет'!$A101:$A108,Доп.расчеты!$A37,'Как будет'!AL101:AL108)</f>
        <v>0</v>
      </c>
      <c r="AL37">
        <f>SUMIF('Как будет'!$A101:$A108,Доп.расчеты!$A37,'Как будет'!AM101:AM108)</f>
        <v>0</v>
      </c>
      <c r="AM37">
        <f>SUMIF('Как будет'!$A101:$A108,Доп.расчеты!$A37,'Как будет'!AN101:AN108)</f>
        <v>0</v>
      </c>
      <c r="AN37">
        <f>SUMIF('Как будет'!$A101:$A108,Доп.расчеты!$A37,'Как будет'!AO101:AO108)</f>
        <v>0</v>
      </c>
      <c r="AO37">
        <f>SUMIF('Как будет'!$A101:$A108,Доп.расчеты!$A37,'Как будет'!AP101:AP108)</f>
        <v>0</v>
      </c>
      <c r="AP37">
        <f>SUMIF('Как будет'!$A101:$A108,Доп.расчеты!$A37,'Как будет'!AQ101:AQ108)</f>
        <v>0</v>
      </c>
      <c r="AQ37">
        <f>SUMIF('Как будет'!$A101:$A108,Доп.расчеты!$A37,'Как будет'!AR101:AR108)</f>
        <v>0</v>
      </c>
      <c r="AR37">
        <f>SUMIF('Как будет'!$A101:$A108,Доп.расчеты!$A37,'Как будет'!AS101:AS108)</f>
        <v>0</v>
      </c>
      <c r="AS37">
        <f>SUMIF('Как будет'!$A101:$A108,Доп.расчеты!$A37,'Как будет'!AT101:AT108)</f>
        <v>0</v>
      </c>
      <c r="AT37">
        <f>SUMIF('Как будет'!$A101:$A108,Доп.расчеты!$A37,'Как будет'!AU101:AU108)</f>
        <v>0</v>
      </c>
      <c r="AU37">
        <f>SUMIF('Как будет'!$A101:$A108,Доп.расчеты!$A37,'Как будет'!AV101:AV108)</f>
        <v>0</v>
      </c>
      <c r="AV37">
        <f>SUMIF('Как будет'!$A101:$A108,Доп.расчеты!$A37,'Как будет'!AW101:AW108)</f>
        <v>0</v>
      </c>
      <c r="AW37">
        <f>SUMIF('Как будет'!$A101:$A108,Доп.расчеты!$A37,'Как будет'!AX101:AX108)</f>
        <v>0</v>
      </c>
      <c r="AX37">
        <f>SUMIF('Как будет'!$A101:$A108,Доп.расчеты!$A37,'Как будет'!AY101:AY108)</f>
        <v>0</v>
      </c>
      <c r="AY37">
        <f>SUMIF('Как будет'!$A101:$A108,Доп.расчеты!$A37,'Как будет'!AZ101:AZ108)</f>
        <v>0</v>
      </c>
      <c r="AZ37">
        <f>SUMIF('Как будет'!$A101:$A108,Доп.расчеты!$A37,'Как будет'!BA101:BA108)</f>
        <v>0</v>
      </c>
      <c r="BA37">
        <f>SUMIF('Как будет'!$A101:$A108,Доп.расчеты!$A37,'Как будет'!BB101:BB108)</f>
        <v>0</v>
      </c>
      <c r="BB37">
        <f>SUMIF('Как будет'!$A101:$A108,Доп.расчеты!$A37,'Как будет'!BC101:BC108)</f>
        <v>0</v>
      </c>
      <c r="BC37">
        <f>SUMIF('Как будет'!$A101:$A108,Доп.расчеты!$A37,'Как будет'!BD101:BD108)</f>
        <v>0</v>
      </c>
      <c r="BD37">
        <f>SUMIF('Как будет'!$A101:$A108,Доп.расчеты!$A37,'Как будет'!BE101:BE108)</f>
        <v>0</v>
      </c>
      <c r="BE37">
        <f>SUMIF('Как будет'!$A101:$A108,Доп.расчеты!$A37,'Как будет'!BF101:BF108)</f>
        <v>0</v>
      </c>
      <c r="BF37">
        <f>SUMIF('Как будет'!$A101:$A108,Доп.расчеты!$A37,'Как будет'!BG101:BG108)</f>
        <v>0</v>
      </c>
      <c r="BG37">
        <f>SUMIF('Как будет'!$A101:$A108,Доп.расчеты!$A37,'Как будет'!BH101:BH108)</f>
        <v>0</v>
      </c>
      <c r="BH37">
        <f>SUMIF('Как будет'!$A101:$A108,Доп.расчеты!$A37,'Как будет'!BI101:BI108)</f>
        <v>0</v>
      </c>
      <c r="BI37">
        <f>SUMIF('Как будет'!$A101:$A108,Доп.расчеты!$A37,'Как будет'!BJ101:BJ108)</f>
        <v>0</v>
      </c>
      <c r="BJ37">
        <f>SUMIF('Как будет'!$A101:$A108,Доп.расчеты!$A37,'Как будет'!BK101:BK108)</f>
        <v>0</v>
      </c>
      <c r="BK37">
        <f>SUMIF('Как будет'!$A101:$A108,Доп.расчеты!$A37,'Как будет'!BL101:BL108)</f>
        <v>0</v>
      </c>
      <c r="BL37">
        <f>SUMIF('Как будет'!$A101:$A108,Доп.расчеты!$A37,'Как будет'!BM101:BM108)</f>
        <v>0</v>
      </c>
      <c r="BM37">
        <f>SUMIF('Как будет'!$A101:$A108,Доп.расчеты!$A37,'Как будет'!BN101:BN108)</f>
        <v>0</v>
      </c>
      <c r="BN37">
        <f>SUMIF('Как будет'!$A101:$A108,Доп.расчеты!$A37,'Как будет'!BO101:BO108)</f>
        <v>0</v>
      </c>
      <c r="BO37">
        <f>SUMIF('Как будет'!$A101:$A108,Доп.расчеты!$A37,'Как будет'!BP101:BP108)</f>
        <v>0</v>
      </c>
      <c r="BP37">
        <f>SUMIF('Как будет'!$A101:$A108,Доп.расчеты!$A37,'Как будет'!BQ101:BQ108)</f>
        <v>0</v>
      </c>
      <c r="BQ37">
        <f>SUMIF('Как будет'!$A101:$A108,Доп.расчеты!$A37,'Как будет'!BR101:BR108)</f>
        <v>0</v>
      </c>
      <c r="BR37">
        <f>SUMIF('Как будет'!$A101:$A108,Доп.расчеты!$A37,'Как будет'!BS101:BS108)</f>
        <v>0</v>
      </c>
      <c r="BS37">
        <f>SUMIF('Как будет'!$A101:$A108,Доп.расчеты!$A37,'Как будет'!BT101:BT108)</f>
        <v>0</v>
      </c>
      <c r="BT37">
        <f>SUMIF('Как будет'!$A101:$A108,Доп.расчеты!$A37,'Как будет'!BU101:BU108)</f>
        <v>0</v>
      </c>
      <c r="BU37">
        <f>SUMIF('Как будет'!$A101:$A108,Доп.расчеты!$A37,'Как будет'!BV101:BV108)</f>
        <v>0</v>
      </c>
      <c r="BV37">
        <f>SUMIF('Как будет'!$A101:$A108,Доп.расчеты!$A37,'Как будет'!BW101:BW108)</f>
        <v>0</v>
      </c>
      <c r="BW37">
        <f>SUMIF('Как будет'!$A101:$A108,Доп.расчеты!$A37,'Как будет'!BX101:BX108)</f>
        <v>0</v>
      </c>
      <c r="BX37">
        <f>SUMIF('Как будет'!$A101:$A108,Доп.расчеты!$A37,'Как будет'!BY101:BY108)</f>
        <v>0</v>
      </c>
      <c r="BY37">
        <f>SUMIF('Как будет'!$A101:$A108,Доп.расчеты!$A37,'Как будет'!BZ101:BZ108)</f>
        <v>0</v>
      </c>
      <c r="BZ37">
        <f>SUMIF('Как будет'!$A101:$A108,Доп.расчеты!$A37,'Как будет'!CA101:CA108)</f>
        <v>0</v>
      </c>
      <c r="CA37">
        <f>SUMIF('Как будет'!$A101:$A108,Доп.расчеты!$A37,'Как будет'!CB101:CB108)</f>
        <v>0</v>
      </c>
      <c r="CB37">
        <f>SUMIF('Как будет'!$A101:$A108,Доп.расчеты!$A37,'Как будет'!CC101:CC108)</f>
        <v>0</v>
      </c>
      <c r="CC37">
        <f>SUMIF('Как будет'!$A101:$A108,Доп.расчеты!$A37,'Как будет'!CD101:CD108)</f>
        <v>0</v>
      </c>
      <c r="CD37">
        <f>SUMIF('Как будет'!$A101:$A108,Доп.расчеты!$A37,'Как будет'!CE101:CE108)</f>
        <v>0</v>
      </c>
      <c r="CE37">
        <f>SUMIF('Как будет'!$A101:$A108,Доп.расчеты!$A37,'Как будет'!CF101:CF108)</f>
        <v>0</v>
      </c>
      <c r="CF37">
        <f>SUMIF('Как будет'!$A101:$A108,Доп.расчеты!$A37,'Как будет'!CG101:CG108)</f>
        <v>0</v>
      </c>
      <c r="CG37">
        <f>SUMIF('Как будет'!$A101:$A108,Доп.расчеты!$A37,'Как будет'!CH101:CH108)</f>
        <v>0</v>
      </c>
      <c r="CH37">
        <f>SUMIF('Как будет'!$A101:$A108,Доп.расчеты!$A37,'Как будет'!CI101:CI108)</f>
        <v>0</v>
      </c>
      <c r="CI37">
        <f>SUMIF('Как будет'!$A101:$A108,Доп.расчеты!$A37,'Как будет'!CJ101:CJ108)</f>
        <v>0</v>
      </c>
      <c r="CJ37">
        <f>SUMIF('Как будет'!$A101:$A108,Доп.расчеты!$A37,'Как будет'!CK101:CK108)</f>
        <v>0</v>
      </c>
      <c r="CK37">
        <f>SUMIF('Как будет'!$A101:$A108,Доп.расчеты!$A37,'Как будет'!CL101:CL108)</f>
        <v>0</v>
      </c>
      <c r="CL37">
        <f>SUMIF('Как будет'!$A101:$A108,Доп.расчеты!$A37,'Как будет'!CM101:CM108)</f>
        <v>0</v>
      </c>
      <c r="CM37">
        <f>SUMIF('Как будет'!$A101:$A108,Доп.расчеты!$A37,'Как будет'!CN101:CN108)</f>
        <v>0</v>
      </c>
      <c r="CN37">
        <f>SUMIF('Как будет'!$A101:$A108,Доп.расчеты!$A37,'Как будет'!CO101:CO108)</f>
        <v>0</v>
      </c>
      <c r="CO37">
        <f>SUMIF('Как будет'!$A101:$A108,Доп.расчеты!$A37,'Как будет'!CP101:CP108)</f>
        <v>0</v>
      </c>
      <c r="CP37">
        <f>SUMIF('Как будет'!$A101:$A108,Доп.расчеты!$A37,'Как будет'!CQ101:CQ108)</f>
        <v>0</v>
      </c>
      <c r="CQ37">
        <f>SUMIF('Как будет'!$A101:$A108,Доп.расчеты!$A37,'Как будет'!CR101:CR108)</f>
        <v>0</v>
      </c>
      <c r="CR37">
        <f>SUMIF('Как будет'!$A101:$A108,Доп.расчеты!$A37,'Как будет'!CS101:CS108)</f>
        <v>0</v>
      </c>
      <c r="CS37">
        <f>SUMIF('Как будет'!$A101:$A108,Доп.расчеты!$A37,'Как будет'!CT101:CT108)</f>
        <v>0</v>
      </c>
      <c r="CT37">
        <f>SUMIF('Как будет'!$A101:$A108,Доп.расчеты!$A37,'Как будет'!CU101:CU108)</f>
        <v>0</v>
      </c>
      <c r="CU37">
        <f>SUMIF('Как будет'!$A101:$A108,Доп.расчеты!$A37,'Как будет'!CV101:CV108)</f>
        <v>0</v>
      </c>
      <c r="CV37">
        <f>SUMIF('Как будет'!$A101:$A108,Доп.расчеты!$A37,'Как будет'!CW101:CW108)</f>
        <v>0</v>
      </c>
      <c r="CW37">
        <f>SUMIF('Как будет'!$A101:$A108,Доп.расчеты!$A37,'Как будет'!CX101:CX108)</f>
        <v>0</v>
      </c>
      <c r="CX37">
        <f>SUMIF('Как будет'!$A101:$A108,Доп.расчеты!$A37,'Как будет'!CY101:CY108)</f>
        <v>0</v>
      </c>
      <c r="CY37">
        <f>SUMIF('Как будет'!$A101:$A108,Доп.расчеты!$A37,'Как будет'!CZ101:CZ108)</f>
        <v>0</v>
      </c>
      <c r="CZ37">
        <f>SUMIF('Как будет'!$A101:$A108,Доп.расчеты!$A37,'Как будет'!DA101:DA108)</f>
        <v>0</v>
      </c>
      <c r="DA37">
        <f>SUMIF('Как будет'!$A101:$A108,Доп.расчеты!$A37,'Как будет'!DB101:DB108)</f>
        <v>0</v>
      </c>
      <c r="DB37">
        <f>SUMIF('Как будет'!$A101:$A108,Доп.расчеты!$A37,'Как будет'!DC101:DC108)</f>
        <v>0</v>
      </c>
      <c r="DC37">
        <f>SUMIF('Как будет'!$A101:$A108,Доп.расчеты!$A37,'Как будет'!DD101:DD108)</f>
        <v>0</v>
      </c>
      <c r="DD37">
        <f>SUMIF('Как будет'!$A101:$A108,Доп.расчеты!$A37,'Как будет'!DE101:DE108)</f>
        <v>0</v>
      </c>
      <c r="DE37">
        <f>SUMIF('Как будет'!$A101:$A108,Доп.расчеты!$A37,'Как будет'!DF101:DF108)</f>
        <v>0</v>
      </c>
      <c r="DF37">
        <f>SUMIF('Как будет'!$A101:$A108,Доп.расчеты!$A37,'Как будет'!DG101:DG108)</f>
        <v>0</v>
      </c>
      <c r="DG37">
        <f>SUMIF('Как будет'!$A101:$A108,Доп.расчеты!$A37,'Как будет'!DH101:DH108)</f>
        <v>0</v>
      </c>
      <c r="DH37">
        <f>SUMIF('Как будет'!$A101:$A108,Доп.расчеты!$A37,'Как будет'!DI101:DI108)</f>
        <v>0</v>
      </c>
      <c r="DI37">
        <f>SUMIF('Как будет'!$A101:$A108,Доп.расчеты!$A37,'Как будет'!DJ101:DJ108)</f>
        <v>0</v>
      </c>
      <c r="DJ37">
        <f>SUMIF('Как будет'!$A101:$A108,Доп.расчеты!$A37,'Как будет'!DK101:DK108)</f>
        <v>0</v>
      </c>
      <c r="DK37">
        <f>SUMIF('Как будет'!$A101:$A108,Доп.расчеты!$A37,'Как будет'!DL101:DL108)</f>
        <v>0</v>
      </c>
      <c r="DL37">
        <f>SUMIF('Как будет'!$A101:$A108,Доп.расчеты!$A37,'Как будет'!DM101:DM108)</f>
        <v>0</v>
      </c>
      <c r="DM37">
        <f>SUMIF('Как будет'!$A101:$A108,Доп.расчеты!$A37,'Как будет'!DN101:DN108)</f>
        <v>0</v>
      </c>
      <c r="DN37">
        <f>SUMIF('Как будет'!$A101:$A108,Доп.расчеты!$A37,'Как будет'!DO101:DO108)</f>
        <v>0</v>
      </c>
      <c r="DO37">
        <f>SUMIF('Как будет'!$A101:$A108,Доп.расчеты!$A37,'Как будет'!DP101:DP108)</f>
        <v>0</v>
      </c>
      <c r="DP37">
        <f>SUMIF('Как будет'!$A101:$A108,Доп.расчеты!$A37,'Как будет'!DQ101:DQ108)</f>
        <v>0</v>
      </c>
      <c r="DQ37">
        <f>SUMIF('Как будет'!$A101:$A108,Доп.расчеты!$A37,'Как будет'!DR101:DR108)</f>
        <v>0</v>
      </c>
      <c r="DR37">
        <f>SUMIF('Как будет'!$A101:$A108,Доп.расчеты!$A37,'Как будет'!DS101:DS108)</f>
        <v>0</v>
      </c>
      <c r="DS37">
        <f>SUMIF('Как будет'!$A101:$A108,Доп.расчеты!$A37,'Как будет'!DT101:DT108)</f>
        <v>0</v>
      </c>
      <c r="DT37">
        <f>SUMIF('Как будет'!$A101:$A108,Доп.расчеты!$A37,'Как будет'!DU101:DU108)</f>
        <v>0</v>
      </c>
      <c r="DU37">
        <f>SUMIF('Как будет'!$A101:$A108,Доп.расчеты!$A37,'Как будет'!DV101:DV108)</f>
        <v>0</v>
      </c>
      <c r="DV37">
        <f>SUMIF('Как будет'!$A101:$A108,Доп.расчеты!$A37,'Как будет'!DW101:DW108)</f>
        <v>0</v>
      </c>
      <c r="DW37">
        <f>SUMIF('Как будет'!$A101:$A108,Доп.расчеты!$A37,'Как будет'!DX101:DX108)</f>
        <v>0</v>
      </c>
      <c r="DX37">
        <f>SUMIF('Как будет'!$A101:$A108,Доп.расчеты!$A37,'Как будет'!DY101:DY108)</f>
        <v>0</v>
      </c>
      <c r="DY37">
        <f>SUMIF('Как будет'!$A101:$A108,Доп.расчеты!$A37,'Как будет'!DZ101:DZ108)</f>
        <v>0</v>
      </c>
      <c r="DZ37">
        <f>SUMIF('Как будет'!$A101:$A108,Доп.расчеты!$A37,'Как будет'!EA101:EA108)</f>
        <v>0</v>
      </c>
      <c r="EA37">
        <f>SUMIF('Как будет'!$A101:$A108,Доп.расчеты!$A37,'Как будет'!EB101:EB108)</f>
        <v>0</v>
      </c>
      <c r="EB37">
        <f>SUMIF('Как будет'!$A101:$A108,Доп.расчеты!$A37,'Как будет'!EC101:EC108)</f>
        <v>0</v>
      </c>
      <c r="EC37">
        <f>SUMIF('Как будет'!$A101:$A108,Доп.расчеты!$A37,'Как будет'!ED101:ED108)</f>
        <v>0</v>
      </c>
      <c r="ED37">
        <f>SUMIF('Как будет'!$A101:$A108,Доп.расчеты!$A37,'Как будет'!EE101:EE108)</f>
        <v>0</v>
      </c>
      <c r="EE37">
        <f>SUMIF('Как будет'!$A101:$A108,Доп.расчеты!$A37,'Как будет'!EF101:EF108)</f>
        <v>0</v>
      </c>
      <c r="EF37">
        <f>SUMIF('Как будет'!$A101:$A108,Доп.расчеты!$A37,'Как будет'!EG101:EG108)</f>
        <v>0</v>
      </c>
      <c r="EG37">
        <f>SUMIF('Как будет'!$A101:$A108,Доп.расчеты!$A37,'Как будет'!EH101:EH108)</f>
        <v>0</v>
      </c>
      <c r="EH37">
        <f>SUMIF('Как будет'!$A101:$A108,Доп.расчеты!$A37,'Как будет'!EI101:EI108)</f>
        <v>0</v>
      </c>
      <c r="EI37">
        <f>SUMIF('Как будет'!$A101:$A108,Доп.расчеты!$A37,'Как будет'!EJ101:EJ108)</f>
        <v>0</v>
      </c>
      <c r="EJ37">
        <f>SUMIF('Как будет'!$A101:$A108,Доп.расчеты!$A37,'Как будет'!EK101:EK108)</f>
        <v>0</v>
      </c>
      <c r="EK37">
        <f>SUMIF('Как будет'!$A101:$A108,Доп.расчеты!$A37,'Как будет'!EL101:EL108)</f>
        <v>0</v>
      </c>
      <c r="EL37">
        <f>SUMIF('Как будет'!$A101:$A108,Доп.расчеты!$A37,'Как будет'!EM101:EM108)</f>
        <v>0</v>
      </c>
      <c r="EM37">
        <f>SUMIF('Как будет'!$A101:$A108,Доп.расчеты!$A37,'Как будет'!EN101:EN108)</f>
        <v>0</v>
      </c>
      <c r="EN37">
        <f>SUMIF('Как будет'!$A101:$A108,Доп.расчеты!$A37,'Как будет'!EO101:EO108)</f>
        <v>0</v>
      </c>
      <c r="EO37">
        <f>SUMIF('Как будет'!$A101:$A108,Доп.расчеты!$A37,'Как будет'!EP101:EP108)</f>
        <v>0</v>
      </c>
      <c r="EP37">
        <f>SUMIF('Как будет'!$A101:$A108,Доп.расчеты!$A37,'Как будет'!EQ101:EQ108)</f>
        <v>0</v>
      </c>
      <c r="EQ37">
        <f>SUMIF('Как будет'!$A101:$A108,Доп.расчеты!$A37,'Как будет'!ER101:ER108)</f>
        <v>0</v>
      </c>
      <c r="ER37">
        <f>SUMIF('Как будет'!$A101:$A108,Доп.расчеты!$A37,'Как будет'!ES101:ES108)</f>
        <v>0</v>
      </c>
      <c r="ES37">
        <f>SUMIF('Как будет'!$A101:$A108,Доп.расчеты!$A37,'Как будет'!ET101:ET108)</f>
        <v>0</v>
      </c>
      <c r="ET37">
        <f>SUMIF('Как будет'!$A101:$A108,Доп.расчеты!$A37,'Как будет'!EU101:EU108)</f>
        <v>0</v>
      </c>
      <c r="EU37">
        <f>SUMIF('Как будет'!$A101:$A108,Доп.расчеты!$A37,'Как будет'!EV101:EV108)</f>
        <v>0</v>
      </c>
      <c r="EV37">
        <f>SUMIF('Как будет'!$A101:$A108,Доп.расчеты!$A37,'Как будет'!EW101:EW108)</f>
        <v>0</v>
      </c>
      <c r="EW37">
        <f>SUMIF('Как будет'!$A101:$A108,Доп.расчеты!$A37,'Как будет'!EX101:EX108)</f>
        <v>0</v>
      </c>
      <c r="EX37">
        <f>SUMIF('Как будет'!$A101:$A108,Доп.расчеты!$A37,'Как будет'!EY101:EY108)</f>
        <v>0</v>
      </c>
      <c r="EY37">
        <f>SUMIF('Как будет'!$A101:$A108,Доп.расчеты!$A37,'Как будет'!EZ101:EZ108)</f>
        <v>0</v>
      </c>
      <c r="EZ37">
        <f>SUMIF('Как будет'!$A101:$A108,Доп.расчеты!$A37,'Как будет'!FA101:FA108)</f>
        <v>0</v>
      </c>
      <c r="FA37">
        <f>SUMIF('Как будет'!$A101:$A108,Доп.расчеты!$A37,'Как будет'!FB101:FB108)</f>
        <v>0</v>
      </c>
      <c r="FB37">
        <f>SUMIF('Как будет'!$A101:$A108,Доп.расчеты!$A37,'Как будет'!FC101:FC108)</f>
        <v>0</v>
      </c>
      <c r="FC37">
        <f>SUMIF('Как будет'!$A101:$A108,Доп.расчеты!$A37,'Как будет'!FD101:FD108)</f>
        <v>0</v>
      </c>
      <c r="FD37">
        <f>SUMIF('Как будет'!$A101:$A108,Доп.расчеты!$A37,'Как будет'!FE101:FE108)</f>
        <v>0</v>
      </c>
      <c r="FE37">
        <f>SUMIF('Как будет'!$A101:$A108,Доп.расчеты!$A37,'Как будет'!FF101:FF108)</f>
        <v>0</v>
      </c>
      <c r="FF37">
        <f>SUMIF('Как будет'!$A101:$A108,Доп.расчеты!$A37,'Как будет'!FG101:FG108)</f>
        <v>0</v>
      </c>
      <c r="FG37">
        <f>SUMIF('Как будет'!$A101:$A108,Доп.расчеты!$A37,'Как будет'!FH101:FH108)</f>
        <v>0</v>
      </c>
      <c r="FH37">
        <f>SUMIF('Как будет'!$A101:$A108,Доп.расчеты!$A37,'Как будет'!FI101:FI108)</f>
        <v>0</v>
      </c>
      <c r="FI37">
        <f>SUMIF('Как будет'!$A101:$A108,Доп.расчеты!$A37,'Как будет'!FJ101:FJ108)</f>
        <v>0</v>
      </c>
      <c r="FJ37">
        <f>SUMIF('Как будет'!$A101:$A108,Доп.расчеты!$A37,'Как будет'!FK101:FK108)</f>
        <v>0</v>
      </c>
      <c r="FK37">
        <f>SUMIF('Как будет'!$A101:$A108,Доп.расчеты!$A37,'Как будет'!FL101:FL108)</f>
        <v>0</v>
      </c>
      <c r="FL37">
        <f>SUMIF('Как будет'!$A101:$A108,Доп.расчеты!$A37,'Как будет'!FM101:FM108)</f>
        <v>0</v>
      </c>
      <c r="FM37">
        <f>SUMIF('Как будет'!$A101:$A108,Доп.расчеты!$A37,'Как будет'!FN101:FN108)</f>
        <v>0</v>
      </c>
      <c r="FN37">
        <f>SUMIF('Как будет'!$A101:$A108,Доп.расчеты!$A37,'Как будет'!FO101:FO108)</f>
        <v>0</v>
      </c>
      <c r="FO37">
        <f>SUMIF('Как будет'!$A101:$A108,Доп.расчеты!$A37,'Как будет'!FP101:FP108)</f>
        <v>0</v>
      </c>
      <c r="FP37">
        <f>SUMIF('Как будет'!$A101:$A108,Доп.расчеты!$A37,'Как будет'!FQ101:FQ108)</f>
        <v>0</v>
      </c>
      <c r="FQ37">
        <f>SUMIF('Как будет'!$A101:$A108,Доп.расчеты!$A37,'Как будет'!FR101:FR108)</f>
        <v>0</v>
      </c>
      <c r="FR37">
        <f>SUMIF('Как будет'!$A101:$A108,Доп.расчеты!$A37,'Как будет'!FS101:FS108)</f>
        <v>0</v>
      </c>
      <c r="FS37">
        <f>SUMIF('Как будет'!$A101:$A108,Доп.расчеты!$A37,'Как будет'!FT101:FT108)</f>
        <v>0</v>
      </c>
      <c r="FT37">
        <f>SUMIF('Как будет'!$A101:$A108,Доп.расчеты!$A37,'Как будет'!FU101:FU108)</f>
        <v>0</v>
      </c>
      <c r="FU37">
        <f>SUMIF('Как будет'!$A101:$A108,Доп.расчеты!$A37,'Как будет'!FV101:FV108)</f>
        <v>0</v>
      </c>
      <c r="FV37">
        <f>SUMIF('Как будет'!$A101:$A108,Доп.расчеты!$A37,'Как будет'!FW101:FW108)</f>
        <v>0</v>
      </c>
      <c r="FW37">
        <f>SUMIF('Как будет'!$A101:$A108,Доп.расчеты!$A37,'Как будет'!FX101:FX108)</f>
        <v>0</v>
      </c>
      <c r="FX37">
        <f>SUMIF('Как будет'!$A101:$A108,Доп.расчеты!$A37,'Как будет'!FY101:FY108)</f>
        <v>0</v>
      </c>
      <c r="FY37">
        <f>SUMIF('Как будет'!$A101:$A108,Доп.расчеты!$A37,'Как будет'!FZ101:FZ108)</f>
        <v>0</v>
      </c>
      <c r="FZ37">
        <f>SUMIF('Как будет'!$A101:$A108,Доп.расчеты!$A37,'Как будет'!GA101:GA108)</f>
        <v>0</v>
      </c>
      <c r="GA37">
        <f>SUMIF('Как будет'!$A101:$A108,Доп.расчеты!$A37,'Как будет'!GB101:GB108)</f>
        <v>0</v>
      </c>
      <c r="GB37">
        <f>SUMIF('Как будет'!$A101:$A108,Доп.расчеты!$A37,'Как будет'!GC101:GC108)</f>
        <v>0</v>
      </c>
      <c r="GC37">
        <f>SUMIF('Как будет'!$A101:$A108,Доп.расчеты!$A37,'Как будет'!GD101:GD108)</f>
        <v>0</v>
      </c>
      <c r="GD37">
        <f>SUMIF('Как будет'!$A101:$A108,Доп.расчеты!$A37,'Как будет'!GE101:GE108)</f>
        <v>0</v>
      </c>
      <c r="GE37">
        <f>SUMIF('Как будет'!$A101:$A108,Доп.расчеты!$A37,'Как будет'!GF101:GF108)</f>
        <v>0</v>
      </c>
      <c r="GF37">
        <f>SUMIF('Как будет'!$A101:$A108,Доп.расчеты!$A37,'Как будет'!GG101:GG108)</f>
        <v>0</v>
      </c>
      <c r="GG37">
        <f>SUMIF('Как будет'!$A101:$A108,Доп.расчеты!$A37,'Как будет'!GH101:GH108)</f>
        <v>0</v>
      </c>
      <c r="GH37">
        <f>SUMIF('Как будет'!$A101:$A108,Доп.расчеты!$A37,'Как будет'!GI101:GI108)</f>
        <v>0</v>
      </c>
      <c r="GI37">
        <f>SUMIF('Как будет'!$A101:$A108,Доп.расчеты!$A37,'Как будет'!GJ101:GJ108)</f>
        <v>0</v>
      </c>
      <c r="GJ37">
        <f>SUMIF('Как будет'!$A101:$A108,Доп.расчеты!$A37,'Как будет'!GK101:GK108)</f>
        <v>0</v>
      </c>
      <c r="GK37">
        <f>SUMIF('Как будет'!$A101:$A108,Доп.расчеты!$A37,'Как будет'!GL101:GL108)</f>
        <v>0</v>
      </c>
      <c r="GL37">
        <f>SUMIF('Как будет'!$A101:$A108,Доп.расчеты!$A37,'Как будет'!GM101:GM108)</f>
        <v>0</v>
      </c>
      <c r="GM37">
        <f>SUMIF('Как будет'!$A101:$A108,Доп.расчеты!$A37,'Как будет'!GN101:GN108)</f>
        <v>0</v>
      </c>
      <c r="GN37">
        <f>SUMIF('Как будет'!$A101:$A108,Доп.расчеты!$A37,'Как будет'!GO101:GO108)</f>
        <v>0</v>
      </c>
      <c r="GO37">
        <f>SUMIF('Как будет'!$A101:$A108,Доп.расчеты!$A37,'Как будет'!GP101:GP108)</f>
        <v>0</v>
      </c>
      <c r="GP37">
        <f>SUMIF('Как будет'!$A101:$A108,Доп.расчеты!$A37,'Как будет'!GQ101:GQ108)</f>
        <v>0</v>
      </c>
      <c r="GQ37">
        <f>SUMIF('Как будет'!$A101:$A108,Доп.расчеты!$A37,'Как будет'!GR101:GR108)</f>
        <v>0</v>
      </c>
      <c r="GR37">
        <f>SUMIF('Как будет'!$A101:$A108,Доп.расчеты!$A37,'Как будет'!GS101:GS108)</f>
        <v>0</v>
      </c>
      <c r="GS37">
        <f>SUMIF('Как будет'!$A101:$A108,Доп.расчеты!$A37,'Как будет'!GT101:GT108)</f>
        <v>0</v>
      </c>
      <c r="GT37">
        <f>SUMIF('Как будет'!$A101:$A108,Доп.расчеты!$A37,'Как будет'!GU101:GU108)</f>
        <v>0</v>
      </c>
    </row>
    <row r="38" spans="1:202">
      <c r="A38" s="236" t="s">
        <v>113</v>
      </c>
      <c r="B38">
        <f>SUMIF('Как будет'!$A101:$A108,Доп.расчеты!$A38,'Как будет'!C101:C108)</f>
        <v>0</v>
      </c>
      <c r="C38">
        <f>SUMIF('Как будет'!$A101:$A108,Доп.расчеты!$A38,'Как будет'!D101:D108)</f>
        <v>0</v>
      </c>
      <c r="D38">
        <f>SUMIF('Как будет'!$A101:$A108,Доп.расчеты!$A38,'Как будет'!E101:E108)</f>
        <v>0</v>
      </c>
      <c r="E38">
        <f>SUMIF('Как будет'!$A101:$A108,Доп.расчеты!$A38,'Как будет'!F101:F108)</f>
        <v>0</v>
      </c>
      <c r="F38">
        <f>SUMIF('Как будет'!$A101:$A108,Доп.расчеты!$A38,'Как будет'!G101:G108)</f>
        <v>0</v>
      </c>
      <c r="G38">
        <f>SUMIF('Как будет'!$A101:$A108,Доп.расчеты!$A38,'Как будет'!H101:H108)</f>
        <v>0</v>
      </c>
      <c r="H38">
        <f>SUMIF('Как будет'!$A101:$A108,Доп.расчеты!$A38,'Как будет'!I101:I108)</f>
        <v>0</v>
      </c>
      <c r="I38">
        <f>SUMIF('Как будет'!$A101:$A108,Доп.расчеты!$A38,'Как будет'!J101:J108)</f>
        <v>0</v>
      </c>
      <c r="J38">
        <f>SUMIF('Как будет'!$A101:$A108,Доп.расчеты!$A38,'Как будет'!K101:K108)</f>
        <v>0</v>
      </c>
      <c r="K38">
        <f>SUMIF('Как будет'!$A101:$A108,Доп.расчеты!$A38,'Как будет'!L101:L108)</f>
        <v>0</v>
      </c>
      <c r="L38">
        <f>SUMIF('Как будет'!$A101:$A108,Доп.расчеты!$A38,'Как будет'!M101:M108)</f>
        <v>0</v>
      </c>
      <c r="M38">
        <f>SUMIF('Как будет'!$A101:$A108,Доп.расчеты!$A38,'Как будет'!N101:N108)</f>
        <v>0</v>
      </c>
      <c r="N38">
        <f>SUMIF('Как будет'!$A101:$A108,Доп.расчеты!$A38,'Как будет'!O101:O108)</f>
        <v>0</v>
      </c>
      <c r="O38">
        <f>SUMIF('Как будет'!$A101:$A108,Доп.расчеты!$A38,'Как будет'!P101:P108)</f>
        <v>0</v>
      </c>
      <c r="P38">
        <f>SUMIF('Как будет'!$A101:$A108,Доп.расчеты!$A38,'Как будет'!Q101:Q108)</f>
        <v>0</v>
      </c>
      <c r="Q38">
        <f>SUMIF('Как будет'!$A101:$A108,Доп.расчеты!$A38,'Как будет'!R101:R108)</f>
        <v>0</v>
      </c>
      <c r="R38">
        <f>SUMIF('Как будет'!$A101:$A108,Доп.расчеты!$A38,'Как будет'!S101:S108)</f>
        <v>0</v>
      </c>
      <c r="S38">
        <f>SUMIF('Как будет'!$A101:$A108,Доп.расчеты!$A38,'Как будет'!T101:T108)</f>
        <v>0</v>
      </c>
      <c r="T38">
        <f>SUMIF('Как будет'!$A101:$A108,Доп.расчеты!$A38,'Как будет'!U101:U108)</f>
        <v>0</v>
      </c>
      <c r="U38">
        <f>SUMIF('Как будет'!$A101:$A108,Доп.расчеты!$A38,'Как будет'!V101:V108)</f>
        <v>0</v>
      </c>
      <c r="V38">
        <f>SUMIF('Как будет'!$A101:$A108,Доп.расчеты!$A38,'Как будет'!W101:W108)</f>
        <v>0</v>
      </c>
      <c r="W38">
        <f>SUMIF('Как будет'!$A101:$A108,Доп.расчеты!$A38,'Как будет'!X101:X108)</f>
        <v>0</v>
      </c>
      <c r="X38">
        <f>SUMIF('Как будет'!$A101:$A108,Доп.расчеты!$A38,'Как будет'!Y101:Y108)</f>
        <v>0</v>
      </c>
      <c r="Y38">
        <f>SUMIF('Как будет'!$A101:$A108,Доп.расчеты!$A38,'Как будет'!Z101:Z108)</f>
        <v>0</v>
      </c>
      <c r="Z38">
        <f>SUMIF('Как будет'!$A101:$A108,Доп.расчеты!$A38,'Как будет'!AA101:AA108)</f>
        <v>0</v>
      </c>
      <c r="AA38">
        <f>SUMIF('Как будет'!$A101:$A108,Доп.расчеты!$A38,'Как будет'!AB101:AB108)</f>
        <v>0</v>
      </c>
      <c r="AB38">
        <f>SUMIF('Как будет'!$A101:$A108,Доп.расчеты!$A38,'Как будет'!AC101:AC108)</f>
        <v>0</v>
      </c>
      <c r="AC38">
        <f>SUMIF('Как будет'!$A101:$A108,Доп.расчеты!$A38,'Как будет'!AD101:AD108)</f>
        <v>0</v>
      </c>
      <c r="AD38">
        <f>SUMIF('Как будет'!$A101:$A108,Доп.расчеты!$A38,'Как будет'!AE101:AE108)</f>
        <v>0</v>
      </c>
      <c r="AE38">
        <f>SUMIF('Как будет'!$A101:$A108,Доп.расчеты!$A38,'Как будет'!AF101:AF108)</f>
        <v>0</v>
      </c>
      <c r="AF38">
        <f>SUMIF('Как будет'!$A101:$A108,Доп.расчеты!$A38,'Как будет'!AG101:AG108)</f>
        <v>0</v>
      </c>
      <c r="AG38">
        <f>SUMIF('Как будет'!$A101:$A108,Доп.расчеты!$A38,'Как будет'!AH101:AH108)</f>
        <v>0</v>
      </c>
      <c r="AH38">
        <f>SUMIF('Как будет'!$A101:$A108,Доп.расчеты!$A38,'Как будет'!AI101:AI108)</f>
        <v>0</v>
      </c>
      <c r="AI38">
        <f>SUMIF('Как будет'!$A101:$A108,Доп.расчеты!$A38,'Как будет'!AJ101:AJ108)</f>
        <v>0</v>
      </c>
      <c r="AJ38">
        <f>SUMIF('Как будет'!$A101:$A108,Доп.расчеты!$A38,'Как будет'!AK101:AK108)</f>
        <v>0</v>
      </c>
      <c r="AK38">
        <f>SUMIF('Как будет'!$A101:$A108,Доп.расчеты!$A38,'Как будет'!AL101:AL108)</f>
        <v>0</v>
      </c>
      <c r="AL38">
        <f>SUMIF('Как будет'!$A101:$A108,Доп.расчеты!$A38,'Как будет'!AM101:AM108)</f>
        <v>0</v>
      </c>
      <c r="AM38">
        <f>SUMIF('Как будет'!$A101:$A108,Доп.расчеты!$A38,'Как будет'!AN101:AN108)</f>
        <v>0</v>
      </c>
      <c r="AN38">
        <f>SUMIF('Как будет'!$A101:$A108,Доп.расчеты!$A38,'Как будет'!AO101:AO108)</f>
        <v>0</v>
      </c>
      <c r="AO38">
        <f>SUMIF('Как будет'!$A101:$A108,Доп.расчеты!$A38,'Как будет'!AP101:AP108)</f>
        <v>0</v>
      </c>
      <c r="AP38">
        <f>SUMIF('Как будет'!$A101:$A108,Доп.расчеты!$A38,'Как будет'!AQ101:AQ108)</f>
        <v>0</v>
      </c>
      <c r="AQ38">
        <f>SUMIF('Как будет'!$A101:$A108,Доп.расчеты!$A38,'Как будет'!AR101:AR108)</f>
        <v>0</v>
      </c>
      <c r="AR38">
        <f>SUMIF('Как будет'!$A101:$A108,Доп.расчеты!$A38,'Как будет'!AS101:AS108)</f>
        <v>0</v>
      </c>
      <c r="AS38">
        <f>SUMIF('Как будет'!$A101:$A108,Доп.расчеты!$A38,'Как будет'!AT101:AT108)</f>
        <v>0</v>
      </c>
      <c r="AT38">
        <f>SUMIF('Как будет'!$A101:$A108,Доп.расчеты!$A38,'Как будет'!AU101:AU108)</f>
        <v>0</v>
      </c>
      <c r="AU38">
        <f>SUMIF('Как будет'!$A101:$A108,Доп.расчеты!$A38,'Как будет'!AV101:AV108)</f>
        <v>0</v>
      </c>
      <c r="AV38">
        <f>SUMIF('Как будет'!$A101:$A108,Доп.расчеты!$A38,'Как будет'!AW101:AW108)</f>
        <v>0</v>
      </c>
      <c r="AW38">
        <f>SUMIF('Как будет'!$A101:$A108,Доп.расчеты!$A38,'Как будет'!AX101:AX108)</f>
        <v>0</v>
      </c>
      <c r="AX38">
        <f>SUMIF('Как будет'!$A101:$A108,Доп.расчеты!$A38,'Как будет'!AY101:AY108)</f>
        <v>0</v>
      </c>
      <c r="AY38">
        <f>SUMIF('Как будет'!$A101:$A108,Доп.расчеты!$A38,'Как будет'!AZ101:AZ108)</f>
        <v>0</v>
      </c>
      <c r="AZ38">
        <f>SUMIF('Как будет'!$A101:$A108,Доп.расчеты!$A38,'Как будет'!BA101:BA108)</f>
        <v>0</v>
      </c>
      <c r="BA38">
        <f>SUMIF('Как будет'!$A101:$A108,Доп.расчеты!$A38,'Как будет'!BB101:BB108)</f>
        <v>0</v>
      </c>
      <c r="BB38">
        <f>SUMIF('Как будет'!$A101:$A108,Доп.расчеты!$A38,'Как будет'!BC101:BC108)</f>
        <v>0</v>
      </c>
      <c r="BC38">
        <f>SUMIF('Как будет'!$A101:$A108,Доп.расчеты!$A38,'Как будет'!BD101:BD108)</f>
        <v>0</v>
      </c>
      <c r="BD38">
        <f>SUMIF('Как будет'!$A101:$A108,Доп.расчеты!$A38,'Как будет'!BE101:BE108)</f>
        <v>0</v>
      </c>
      <c r="BE38">
        <f>SUMIF('Как будет'!$A101:$A108,Доп.расчеты!$A38,'Как будет'!BF101:BF108)</f>
        <v>0</v>
      </c>
      <c r="BF38">
        <f>SUMIF('Как будет'!$A101:$A108,Доп.расчеты!$A38,'Как будет'!BG101:BG108)</f>
        <v>0</v>
      </c>
      <c r="BG38">
        <f>SUMIF('Как будет'!$A101:$A108,Доп.расчеты!$A38,'Как будет'!BH101:BH108)</f>
        <v>0</v>
      </c>
      <c r="BH38">
        <f>SUMIF('Как будет'!$A101:$A108,Доп.расчеты!$A38,'Как будет'!BI101:BI108)</f>
        <v>0</v>
      </c>
      <c r="BI38">
        <f>SUMIF('Как будет'!$A101:$A108,Доп.расчеты!$A38,'Как будет'!BJ101:BJ108)</f>
        <v>0</v>
      </c>
      <c r="BJ38">
        <f>SUMIF('Как будет'!$A101:$A108,Доп.расчеты!$A38,'Как будет'!BK101:BK108)</f>
        <v>0</v>
      </c>
      <c r="BK38">
        <f>SUMIF('Как будет'!$A101:$A108,Доп.расчеты!$A38,'Как будет'!BL101:BL108)</f>
        <v>0</v>
      </c>
      <c r="BL38">
        <f>SUMIF('Как будет'!$A101:$A108,Доп.расчеты!$A38,'Как будет'!BM101:BM108)</f>
        <v>0</v>
      </c>
      <c r="BM38">
        <f>SUMIF('Как будет'!$A101:$A108,Доп.расчеты!$A38,'Как будет'!BN101:BN108)</f>
        <v>0</v>
      </c>
      <c r="BN38">
        <f>SUMIF('Как будет'!$A101:$A108,Доп.расчеты!$A38,'Как будет'!BO101:BO108)</f>
        <v>0</v>
      </c>
      <c r="BO38">
        <f>SUMIF('Как будет'!$A101:$A108,Доп.расчеты!$A38,'Как будет'!BP101:BP108)</f>
        <v>0</v>
      </c>
      <c r="BP38">
        <f>SUMIF('Как будет'!$A101:$A108,Доп.расчеты!$A38,'Как будет'!BQ101:BQ108)</f>
        <v>0</v>
      </c>
      <c r="BQ38">
        <f>SUMIF('Как будет'!$A101:$A108,Доп.расчеты!$A38,'Как будет'!BR101:BR108)</f>
        <v>0</v>
      </c>
      <c r="BR38">
        <f>SUMIF('Как будет'!$A101:$A108,Доп.расчеты!$A38,'Как будет'!BS101:BS108)</f>
        <v>0</v>
      </c>
      <c r="BS38">
        <f>SUMIF('Как будет'!$A101:$A108,Доп.расчеты!$A38,'Как будет'!BT101:BT108)</f>
        <v>0</v>
      </c>
      <c r="BT38">
        <f>SUMIF('Как будет'!$A101:$A108,Доп.расчеты!$A38,'Как будет'!BU101:BU108)</f>
        <v>0</v>
      </c>
      <c r="BU38">
        <f>SUMIF('Как будет'!$A101:$A108,Доп.расчеты!$A38,'Как будет'!BV101:BV108)</f>
        <v>0</v>
      </c>
      <c r="BV38">
        <f>SUMIF('Как будет'!$A101:$A108,Доп.расчеты!$A38,'Как будет'!BW101:BW108)</f>
        <v>0</v>
      </c>
      <c r="BW38">
        <f>SUMIF('Как будет'!$A101:$A108,Доп.расчеты!$A38,'Как будет'!BX101:BX108)</f>
        <v>0</v>
      </c>
      <c r="BX38">
        <f>SUMIF('Как будет'!$A101:$A108,Доп.расчеты!$A38,'Как будет'!BY101:BY108)</f>
        <v>0</v>
      </c>
      <c r="BY38">
        <f>SUMIF('Как будет'!$A101:$A108,Доп.расчеты!$A38,'Как будет'!BZ101:BZ108)</f>
        <v>0</v>
      </c>
      <c r="BZ38">
        <f>SUMIF('Как будет'!$A101:$A108,Доп.расчеты!$A38,'Как будет'!CA101:CA108)</f>
        <v>0</v>
      </c>
      <c r="CA38">
        <f>SUMIF('Как будет'!$A101:$A108,Доп.расчеты!$A38,'Как будет'!CB101:CB108)</f>
        <v>0</v>
      </c>
      <c r="CB38">
        <f>SUMIF('Как будет'!$A101:$A108,Доп.расчеты!$A38,'Как будет'!CC101:CC108)</f>
        <v>0</v>
      </c>
      <c r="CC38">
        <f>SUMIF('Как будет'!$A101:$A108,Доп.расчеты!$A38,'Как будет'!CD101:CD108)</f>
        <v>0</v>
      </c>
      <c r="CD38">
        <f>SUMIF('Как будет'!$A101:$A108,Доп.расчеты!$A38,'Как будет'!CE101:CE108)</f>
        <v>0</v>
      </c>
      <c r="CE38">
        <f>SUMIF('Как будет'!$A101:$A108,Доп.расчеты!$A38,'Как будет'!CF101:CF108)</f>
        <v>0</v>
      </c>
      <c r="CF38">
        <f>SUMIF('Как будет'!$A101:$A108,Доп.расчеты!$A38,'Как будет'!CG101:CG108)</f>
        <v>0</v>
      </c>
      <c r="CG38">
        <f>SUMIF('Как будет'!$A101:$A108,Доп.расчеты!$A38,'Как будет'!CH101:CH108)</f>
        <v>0</v>
      </c>
      <c r="CH38">
        <f>SUMIF('Как будет'!$A101:$A108,Доп.расчеты!$A38,'Как будет'!CI101:CI108)</f>
        <v>0</v>
      </c>
      <c r="CI38">
        <f>SUMIF('Как будет'!$A101:$A108,Доп.расчеты!$A38,'Как будет'!CJ101:CJ108)</f>
        <v>0</v>
      </c>
      <c r="CJ38">
        <f>SUMIF('Как будет'!$A101:$A108,Доп.расчеты!$A38,'Как будет'!CK101:CK108)</f>
        <v>0</v>
      </c>
      <c r="CK38">
        <f>SUMIF('Как будет'!$A101:$A108,Доп.расчеты!$A38,'Как будет'!CL101:CL108)</f>
        <v>0</v>
      </c>
      <c r="CL38">
        <f>SUMIF('Как будет'!$A101:$A108,Доп.расчеты!$A38,'Как будет'!CM101:CM108)</f>
        <v>0</v>
      </c>
      <c r="CM38">
        <f>SUMIF('Как будет'!$A101:$A108,Доп.расчеты!$A38,'Как будет'!CN101:CN108)</f>
        <v>0</v>
      </c>
      <c r="CN38">
        <f>SUMIF('Как будет'!$A101:$A108,Доп.расчеты!$A38,'Как будет'!CO101:CO108)</f>
        <v>0</v>
      </c>
      <c r="CO38">
        <f>SUMIF('Как будет'!$A101:$A108,Доп.расчеты!$A38,'Как будет'!CP101:CP108)</f>
        <v>0</v>
      </c>
      <c r="CP38">
        <f>SUMIF('Как будет'!$A101:$A108,Доп.расчеты!$A38,'Как будет'!CQ101:CQ108)</f>
        <v>0</v>
      </c>
      <c r="CQ38">
        <f>SUMIF('Как будет'!$A101:$A108,Доп.расчеты!$A38,'Как будет'!CR101:CR108)</f>
        <v>0</v>
      </c>
      <c r="CR38">
        <f>SUMIF('Как будет'!$A101:$A108,Доп.расчеты!$A38,'Как будет'!CS101:CS108)</f>
        <v>0</v>
      </c>
      <c r="CS38">
        <f>SUMIF('Как будет'!$A101:$A108,Доп.расчеты!$A38,'Как будет'!CT101:CT108)</f>
        <v>0</v>
      </c>
      <c r="CT38">
        <f>SUMIF('Как будет'!$A101:$A108,Доп.расчеты!$A38,'Как будет'!CU101:CU108)</f>
        <v>0</v>
      </c>
      <c r="CU38">
        <f>SUMIF('Как будет'!$A101:$A108,Доп.расчеты!$A38,'Как будет'!CV101:CV108)</f>
        <v>0</v>
      </c>
      <c r="CV38">
        <f>SUMIF('Как будет'!$A101:$A108,Доп.расчеты!$A38,'Как будет'!CW101:CW108)</f>
        <v>0</v>
      </c>
      <c r="CW38">
        <f>SUMIF('Как будет'!$A101:$A108,Доп.расчеты!$A38,'Как будет'!CX101:CX108)</f>
        <v>0</v>
      </c>
      <c r="CX38">
        <f>SUMIF('Как будет'!$A101:$A108,Доп.расчеты!$A38,'Как будет'!CY101:CY108)</f>
        <v>0</v>
      </c>
      <c r="CY38">
        <f>SUMIF('Как будет'!$A101:$A108,Доп.расчеты!$A38,'Как будет'!CZ101:CZ108)</f>
        <v>0</v>
      </c>
      <c r="CZ38">
        <f>SUMIF('Как будет'!$A101:$A108,Доп.расчеты!$A38,'Как будет'!DA101:DA108)</f>
        <v>0</v>
      </c>
      <c r="DA38">
        <f>SUMIF('Как будет'!$A101:$A108,Доп.расчеты!$A38,'Как будет'!DB101:DB108)</f>
        <v>0</v>
      </c>
      <c r="DB38">
        <f>SUMIF('Как будет'!$A101:$A108,Доп.расчеты!$A38,'Как будет'!DC101:DC108)</f>
        <v>0</v>
      </c>
      <c r="DC38">
        <f>SUMIF('Как будет'!$A101:$A108,Доп.расчеты!$A38,'Как будет'!DD101:DD108)</f>
        <v>0</v>
      </c>
      <c r="DD38">
        <f>SUMIF('Как будет'!$A101:$A108,Доп.расчеты!$A38,'Как будет'!DE101:DE108)</f>
        <v>0</v>
      </c>
      <c r="DE38">
        <f>SUMIF('Как будет'!$A101:$A108,Доп.расчеты!$A38,'Как будет'!DF101:DF108)</f>
        <v>0</v>
      </c>
      <c r="DF38">
        <f>SUMIF('Как будет'!$A101:$A108,Доп.расчеты!$A38,'Как будет'!DG101:DG108)</f>
        <v>0</v>
      </c>
      <c r="DG38">
        <f>SUMIF('Как будет'!$A101:$A108,Доп.расчеты!$A38,'Как будет'!DH101:DH108)</f>
        <v>0</v>
      </c>
      <c r="DH38">
        <f>SUMIF('Как будет'!$A101:$A108,Доп.расчеты!$A38,'Как будет'!DI101:DI108)</f>
        <v>0</v>
      </c>
      <c r="DI38">
        <f>SUMIF('Как будет'!$A101:$A108,Доп.расчеты!$A38,'Как будет'!DJ101:DJ108)</f>
        <v>0</v>
      </c>
      <c r="DJ38">
        <f>SUMIF('Как будет'!$A101:$A108,Доп.расчеты!$A38,'Как будет'!DK101:DK108)</f>
        <v>0</v>
      </c>
      <c r="DK38">
        <f>SUMIF('Как будет'!$A101:$A108,Доп.расчеты!$A38,'Как будет'!DL101:DL108)</f>
        <v>0</v>
      </c>
      <c r="DL38">
        <f>SUMIF('Как будет'!$A101:$A108,Доп.расчеты!$A38,'Как будет'!DM101:DM108)</f>
        <v>0</v>
      </c>
      <c r="DM38">
        <f>SUMIF('Как будет'!$A101:$A108,Доп.расчеты!$A38,'Как будет'!DN101:DN108)</f>
        <v>0</v>
      </c>
      <c r="DN38">
        <f>SUMIF('Как будет'!$A101:$A108,Доп.расчеты!$A38,'Как будет'!DO101:DO108)</f>
        <v>0</v>
      </c>
      <c r="DO38">
        <f>SUMIF('Как будет'!$A101:$A108,Доп.расчеты!$A38,'Как будет'!DP101:DP108)</f>
        <v>0</v>
      </c>
      <c r="DP38">
        <f>SUMIF('Как будет'!$A101:$A108,Доп.расчеты!$A38,'Как будет'!DQ101:DQ108)</f>
        <v>0</v>
      </c>
      <c r="DQ38">
        <f>SUMIF('Как будет'!$A101:$A108,Доп.расчеты!$A38,'Как будет'!DR101:DR108)</f>
        <v>0</v>
      </c>
      <c r="DR38">
        <f>SUMIF('Как будет'!$A101:$A108,Доп.расчеты!$A38,'Как будет'!DS101:DS108)</f>
        <v>0</v>
      </c>
      <c r="DS38">
        <f>SUMIF('Как будет'!$A101:$A108,Доп.расчеты!$A38,'Как будет'!DT101:DT108)</f>
        <v>0</v>
      </c>
      <c r="DT38">
        <f>SUMIF('Как будет'!$A101:$A108,Доп.расчеты!$A38,'Как будет'!DU101:DU108)</f>
        <v>0</v>
      </c>
      <c r="DU38">
        <f>SUMIF('Как будет'!$A101:$A108,Доп.расчеты!$A38,'Как будет'!DV101:DV108)</f>
        <v>0</v>
      </c>
      <c r="DV38">
        <f>SUMIF('Как будет'!$A101:$A108,Доп.расчеты!$A38,'Как будет'!DW101:DW108)</f>
        <v>0</v>
      </c>
      <c r="DW38">
        <f>SUMIF('Как будет'!$A101:$A108,Доп.расчеты!$A38,'Как будет'!DX101:DX108)</f>
        <v>0</v>
      </c>
      <c r="DX38">
        <f>SUMIF('Как будет'!$A101:$A108,Доп.расчеты!$A38,'Как будет'!DY101:DY108)</f>
        <v>0</v>
      </c>
      <c r="DY38">
        <f>SUMIF('Как будет'!$A101:$A108,Доп.расчеты!$A38,'Как будет'!DZ101:DZ108)</f>
        <v>0</v>
      </c>
      <c r="DZ38">
        <f>SUMIF('Как будет'!$A101:$A108,Доп.расчеты!$A38,'Как будет'!EA101:EA108)</f>
        <v>0</v>
      </c>
      <c r="EA38">
        <f>SUMIF('Как будет'!$A101:$A108,Доп.расчеты!$A38,'Как будет'!EB101:EB108)</f>
        <v>0</v>
      </c>
      <c r="EB38">
        <f>SUMIF('Как будет'!$A101:$A108,Доп.расчеты!$A38,'Как будет'!EC101:EC108)</f>
        <v>0</v>
      </c>
      <c r="EC38">
        <f>SUMIF('Как будет'!$A101:$A108,Доп.расчеты!$A38,'Как будет'!ED101:ED108)</f>
        <v>0</v>
      </c>
      <c r="ED38">
        <f>SUMIF('Как будет'!$A101:$A108,Доп.расчеты!$A38,'Как будет'!EE101:EE108)</f>
        <v>0</v>
      </c>
      <c r="EE38">
        <f>SUMIF('Как будет'!$A101:$A108,Доп.расчеты!$A38,'Как будет'!EF101:EF108)</f>
        <v>0</v>
      </c>
      <c r="EF38">
        <f>SUMIF('Как будет'!$A101:$A108,Доп.расчеты!$A38,'Как будет'!EG101:EG108)</f>
        <v>0</v>
      </c>
      <c r="EG38">
        <f>SUMIF('Как будет'!$A101:$A108,Доп.расчеты!$A38,'Как будет'!EH101:EH108)</f>
        <v>0</v>
      </c>
      <c r="EH38">
        <f>SUMIF('Как будет'!$A101:$A108,Доп.расчеты!$A38,'Как будет'!EI101:EI108)</f>
        <v>0</v>
      </c>
      <c r="EI38">
        <f>SUMIF('Как будет'!$A101:$A108,Доп.расчеты!$A38,'Как будет'!EJ101:EJ108)</f>
        <v>0</v>
      </c>
      <c r="EJ38">
        <f>SUMIF('Как будет'!$A101:$A108,Доп.расчеты!$A38,'Как будет'!EK101:EK108)</f>
        <v>0</v>
      </c>
      <c r="EK38">
        <f>SUMIF('Как будет'!$A101:$A108,Доп.расчеты!$A38,'Как будет'!EL101:EL108)</f>
        <v>0</v>
      </c>
      <c r="EL38">
        <f>SUMIF('Как будет'!$A101:$A108,Доп.расчеты!$A38,'Как будет'!EM101:EM108)</f>
        <v>0</v>
      </c>
      <c r="EM38">
        <f>SUMIF('Как будет'!$A101:$A108,Доп.расчеты!$A38,'Как будет'!EN101:EN108)</f>
        <v>0</v>
      </c>
      <c r="EN38">
        <f>SUMIF('Как будет'!$A101:$A108,Доп.расчеты!$A38,'Как будет'!EO101:EO108)</f>
        <v>0</v>
      </c>
      <c r="EO38">
        <f>SUMIF('Как будет'!$A101:$A108,Доп.расчеты!$A38,'Как будет'!EP101:EP108)</f>
        <v>0</v>
      </c>
      <c r="EP38">
        <f>SUMIF('Как будет'!$A101:$A108,Доп.расчеты!$A38,'Как будет'!EQ101:EQ108)</f>
        <v>0</v>
      </c>
      <c r="EQ38">
        <f>SUMIF('Как будет'!$A101:$A108,Доп.расчеты!$A38,'Как будет'!ER101:ER108)</f>
        <v>0</v>
      </c>
      <c r="ER38">
        <f>SUMIF('Как будет'!$A101:$A108,Доп.расчеты!$A38,'Как будет'!ES101:ES108)</f>
        <v>0</v>
      </c>
      <c r="ES38">
        <f>SUMIF('Как будет'!$A101:$A108,Доп.расчеты!$A38,'Как будет'!ET101:ET108)</f>
        <v>0</v>
      </c>
      <c r="ET38">
        <f>SUMIF('Как будет'!$A101:$A108,Доп.расчеты!$A38,'Как будет'!EU101:EU108)</f>
        <v>0</v>
      </c>
      <c r="EU38">
        <f>SUMIF('Как будет'!$A101:$A108,Доп.расчеты!$A38,'Как будет'!EV101:EV108)</f>
        <v>0</v>
      </c>
      <c r="EV38">
        <f>SUMIF('Как будет'!$A101:$A108,Доп.расчеты!$A38,'Как будет'!EW101:EW108)</f>
        <v>0</v>
      </c>
      <c r="EW38">
        <f>SUMIF('Как будет'!$A101:$A108,Доп.расчеты!$A38,'Как будет'!EX101:EX108)</f>
        <v>0</v>
      </c>
      <c r="EX38">
        <f>SUMIF('Как будет'!$A101:$A108,Доп.расчеты!$A38,'Как будет'!EY101:EY108)</f>
        <v>0</v>
      </c>
      <c r="EY38">
        <f>SUMIF('Как будет'!$A101:$A108,Доп.расчеты!$A38,'Как будет'!EZ101:EZ108)</f>
        <v>0</v>
      </c>
      <c r="EZ38">
        <f>SUMIF('Как будет'!$A101:$A108,Доп.расчеты!$A38,'Как будет'!FA101:FA108)</f>
        <v>0</v>
      </c>
      <c r="FA38">
        <f>SUMIF('Как будет'!$A101:$A108,Доп.расчеты!$A38,'Как будет'!FB101:FB108)</f>
        <v>0</v>
      </c>
      <c r="FB38">
        <f>SUMIF('Как будет'!$A101:$A108,Доп.расчеты!$A38,'Как будет'!FC101:FC108)</f>
        <v>0</v>
      </c>
      <c r="FC38">
        <f>SUMIF('Как будет'!$A101:$A108,Доп.расчеты!$A38,'Как будет'!FD101:FD108)</f>
        <v>0</v>
      </c>
      <c r="FD38">
        <f>SUMIF('Как будет'!$A101:$A108,Доп.расчеты!$A38,'Как будет'!FE101:FE108)</f>
        <v>0</v>
      </c>
      <c r="FE38">
        <f>SUMIF('Как будет'!$A101:$A108,Доп.расчеты!$A38,'Как будет'!FF101:FF108)</f>
        <v>0</v>
      </c>
      <c r="FF38">
        <f>SUMIF('Как будет'!$A101:$A108,Доп.расчеты!$A38,'Как будет'!FG101:FG108)</f>
        <v>0</v>
      </c>
      <c r="FG38">
        <f>SUMIF('Как будет'!$A101:$A108,Доп.расчеты!$A38,'Как будет'!FH101:FH108)</f>
        <v>0</v>
      </c>
      <c r="FH38">
        <f>SUMIF('Как будет'!$A101:$A108,Доп.расчеты!$A38,'Как будет'!FI101:FI108)</f>
        <v>0</v>
      </c>
      <c r="FI38">
        <f>SUMIF('Как будет'!$A101:$A108,Доп.расчеты!$A38,'Как будет'!FJ101:FJ108)</f>
        <v>0</v>
      </c>
      <c r="FJ38">
        <f>SUMIF('Как будет'!$A101:$A108,Доп.расчеты!$A38,'Как будет'!FK101:FK108)</f>
        <v>0</v>
      </c>
      <c r="FK38">
        <f>SUMIF('Как будет'!$A101:$A108,Доп.расчеты!$A38,'Как будет'!FL101:FL108)</f>
        <v>0</v>
      </c>
      <c r="FL38">
        <f>SUMIF('Как будет'!$A101:$A108,Доп.расчеты!$A38,'Как будет'!FM101:FM108)</f>
        <v>0</v>
      </c>
      <c r="FM38">
        <f>SUMIF('Как будет'!$A101:$A108,Доп.расчеты!$A38,'Как будет'!FN101:FN108)</f>
        <v>0</v>
      </c>
      <c r="FN38">
        <f>SUMIF('Как будет'!$A101:$A108,Доп.расчеты!$A38,'Как будет'!FO101:FO108)</f>
        <v>0</v>
      </c>
      <c r="FO38">
        <f>SUMIF('Как будет'!$A101:$A108,Доп.расчеты!$A38,'Как будет'!FP101:FP108)</f>
        <v>0</v>
      </c>
      <c r="FP38">
        <f>SUMIF('Как будет'!$A101:$A108,Доп.расчеты!$A38,'Как будет'!FQ101:FQ108)</f>
        <v>0</v>
      </c>
      <c r="FQ38">
        <f>SUMIF('Как будет'!$A101:$A108,Доп.расчеты!$A38,'Как будет'!FR101:FR108)</f>
        <v>0</v>
      </c>
      <c r="FR38">
        <f>SUMIF('Как будет'!$A101:$A108,Доп.расчеты!$A38,'Как будет'!FS101:FS108)</f>
        <v>0</v>
      </c>
      <c r="FS38">
        <f>SUMIF('Как будет'!$A101:$A108,Доп.расчеты!$A38,'Как будет'!FT101:FT108)</f>
        <v>0</v>
      </c>
      <c r="FT38">
        <f>SUMIF('Как будет'!$A101:$A108,Доп.расчеты!$A38,'Как будет'!FU101:FU108)</f>
        <v>0</v>
      </c>
      <c r="FU38">
        <f>SUMIF('Как будет'!$A101:$A108,Доп.расчеты!$A38,'Как будет'!FV101:FV108)</f>
        <v>0</v>
      </c>
      <c r="FV38">
        <f>SUMIF('Как будет'!$A101:$A108,Доп.расчеты!$A38,'Как будет'!FW101:FW108)</f>
        <v>0</v>
      </c>
      <c r="FW38">
        <f>SUMIF('Как будет'!$A101:$A108,Доп.расчеты!$A38,'Как будет'!FX101:FX108)</f>
        <v>0</v>
      </c>
      <c r="FX38">
        <f>SUMIF('Как будет'!$A101:$A108,Доп.расчеты!$A38,'Как будет'!FY101:FY108)</f>
        <v>0</v>
      </c>
      <c r="FY38">
        <f>SUMIF('Как будет'!$A101:$A108,Доп.расчеты!$A38,'Как будет'!FZ101:FZ108)</f>
        <v>0</v>
      </c>
      <c r="FZ38">
        <f>SUMIF('Как будет'!$A101:$A108,Доп.расчеты!$A38,'Как будет'!GA101:GA108)</f>
        <v>0</v>
      </c>
      <c r="GA38">
        <f>SUMIF('Как будет'!$A101:$A108,Доп.расчеты!$A38,'Как будет'!GB101:GB108)</f>
        <v>0</v>
      </c>
      <c r="GB38">
        <f>SUMIF('Как будет'!$A101:$A108,Доп.расчеты!$A38,'Как будет'!GC101:GC108)</f>
        <v>0</v>
      </c>
      <c r="GC38">
        <f>SUMIF('Как будет'!$A101:$A108,Доп.расчеты!$A38,'Как будет'!GD101:GD108)</f>
        <v>0</v>
      </c>
      <c r="GD38">
        <f>SUMIF('Как будет'!$A101:$A108,Доп.расчеты!$A38,'Как будет'!GE101:GE108)</f>
        <v>0</v>
      </c>
      <c r="GE38">
        <f>SUMIF('Как будет'!$A101:$A108,Доп.расчеты!$A38,'Как будет'!GF101:GF108)</f>
        <v>0</v>
      </c>
      <c r="GF38">
        <f>SUMIF('Как будет'!$A101:$A108,Доп.расчеты!$A38,'Как будет'!GG101:GG108)</f>
        <v>0</v>
      </c>
      <c r="GG38">
        <f>SUMIF('Как будет'!$A101:$A108,Доп.расчеты!$A38,'Как будет'!GH101:GH108)</f>
        <v>0</v>
      </c>
      <c r="GH38">
        <f>SUMIF('Как будет'!$A101:$A108,Доп.расчеты!$A38,'Как будет'!GI101:GI108)</f>
        <v>0</v>
      </c>
      <c r="GI38">
        <f>SUMIF('Как будет'!$A101:$A108,Доп.расчеты!$A38,'Как будет'!GJ101:GJ108)</f>
        <v>0</v>
      </c>
      <c r="GJ38">
        <f>SUMIF('Как будет'!$A101:$A108,Доп.расчеты!$A38,'Как будет'!GK101:GK108)</f>
        <v>0</v>
      </c>
      <c r="GK38">
        <f>SUMIF('Как будет'!$A101:$A108,Доп.расчеты!$A38,'Как будет'!GL101:GL108)</f>
        <v>0</v>
      </c>
      <c r="GL38">
        <f>SUMIF('Как будет'!$A101:$A108,Доп.расчеты!$A38,'Как будет'!GM101:GM108)</f>
        <v>0</v>
      </c>
      <c r="GM38">
        <f>SUMIF('Как будет'!$A101:$A108,Доп.расчеты!$A38,'Как будет'!GN101:GN108)</f>
        <v>0</v>
      </c>
      <c r="GN38">
        <f>SUMIF('Как будет'!$A101:$A108,Доп.расчеты!$A38,'Как будет'!GO101:GO108)</f>
        <v>0</v>
      </c>
      <c r="GO38">
        <f>SUMIF('Как будет'!$A101:$A108,Доп.расчеты!$A38,'Как будет'!GP101:GP108)</f>
        <v>0</v>
      </c>
      <c r="GP38">
        <f>SUMIF('Как будет'!$A101:$A108,Доп.расчеты!$A38,'Как будет'!GQ101:GQ108)</f>
        <v>0</v>
      </c>
      <c r="GQ38">
        <f>SUMIF('Как будет'!$A101:$A108,Доп.расчеты!$A38,'Как будет'!GR101:GR108)</f>
        <v>0</v>
      </c>
      <c r="GR38">
        <f>SUMIF('Как будет'!$A101:$A108,Доп.расчеты!$A38,'Как будет'!GS101:GS108)</f>
        <v>0</v>
      </c>
      <c r="GS38">
        <f>SUMIF('Как будет'!$A101:$A108,Доп.расчеты!$A38,'Как будет'!GT101:GT108)</f>
        <v>0</v>
      </c>
      <c r="GT38">
        <f>SUMIF('Как будет'!$A101:$A108,Доп.расчеты!$A38,'Как будет'!GU101:GU108)</f>
        <v>0</v>
      </c>
    </row>
    <row r="39" spans="1:202">
      <c r="A39" s="236" t="s">
        <v>125</v>
      </c>
      <c r="B39">
        <f>SUMIF('Как будет'!$A101:$A108,Доп.расчеты!$A39,'Как будет'!C101:C108)</f>
        <v>0</v>
      </c>
      <c r="C39">
        <f>SUMIF('Как будет'!$A101:$A108,Доп.расчеты!$A39,'Как будет'!D101:D108)</f>
        <v>0</v>
      </c>
      <c r="D39">
        <f>SUMIF('Как будет'!$A101:$A108,Доп.расчеты!$A39,'Как будет'!E101:E108)</f>
        <v>0</v>
      </c>
      <c r="E39">
        <f>SUMIF('Как будет'!$A101:$A108,Доп.расчеты!$A39,'Как будет'!F101:F108)</f>
        <v>0</v>
      </c>
      <c r="F39">
        <f>SUMIF('Как будет'!$A101:$A108,Доп.расчеты!$A39,'Как будет'!G101:G108)</f>
        <v>0</v>
      </c>
      <c r="G39">
        <f>SUMIF('Как будет'!$A101:$A108,Доп.расчеты!$A39,'Как будет'!H101:H108)</f>
        <v>0</v>
      </c>
      <c r="H39">
        <f>SUMIF('Как будет'!$A101:$A108,Доп.расчеты!$A39,'Как будет'!I101:I108)</f>
        <v>0</v>
      </c>
      <c r="I39">
        <f>SUMIF('Как будет'!$A101:$A108,Доп.расчеты!$A39,'Как будет'!J101:J108)</f>
        <v>0</v>
      </c>
      <c r="J39">
        <f>SUMIF('Как будет'!$A101:$A108,Доп.расчеты!$A39,'Как будет'!K101:K108)</f>
        <v>0</v>
      </c>
      <c r="K39">
        <f>SUMIF('Как будет'!$A101:$A108,Доп.расчеты!$A39,'Как будет'!L101:L108)</f>
        <v>0</v>
      </c>
      <c r="L39">
        <f>SUMIF('Как будет'!$A101:$A108,Доп.расчеты!$A39,'Как будет'!M101:M108)</f>
        <v>0</v>
      </c>
      <c r="M39">
        <f>SUMIF('Как будет'!$A101:$A108,Доп.расчеты!$A39,'Как будет'!N101:N108)</f>
        <v>0</v>
      </c>
      <c r="N39">
        <f>SUMIF('Как будет'!$A101:$A108,Доп.расчеты!$A39,'Как будет'!O101:O108)</f>
        <v>0</v>
      </c>
      <c r="O39">
        <f>SUMIF('Как будет'!$A101:$A108,Доп.расчеты!$A39,'Как будет'!P101:P108)</f>
        <v>0</v>
      </c>
      <c r="P39">
        <f>SUMIF('Как будет'!$A101:$A108,Доп.расчеты!$A39,'Как будет'!Q101:Q108)</f>
        <v>0</v>
      </c>
      <c r="Q39">
        <f>SUMIF('Как будет'!$A101:$A108,Доп.расчеты!$A39,'Как будет'!R101:R108)</f>
        <v>0</v>
      </c>
      <c r="R39">
        <f>SUMIF('Как будет'!$A101:$A108,Доп.расчеты!$A39,'Как будет'!S101:S108)</f>
        <v>0</v>
      </c>
      <c r="S39">
        <f>SUMIF('Как будет'!$A101:$A108,Доп.расчеты!$A39,'Как будет'!T101:T108)</f>
        <v>0</v>
      </c>
      <c r="T39">
        <f>SUMIF('Как будет'!$A101:$A108,Доп.расчеты!$A39,'Как будет'!U101:U108)</f>
        <v>0</v>
      </c>
      <c r="U39">
        <f>SUMIF('Как будет'!$A101:$A108,Доп.расчеты!$A39,'Как будет'!V101:V108)</f>
        <v>0</v>
      </c>
      <c r="V39">
        <f>SUMIF('Как будет'!$A101:$A108,Доп.расчеты!$A39,'Как будет'!W101:W108)</f>
        <v>0</v>
      </c>
      <c r="W39">
        <f>SUMIF('Как будет'!$A101:$A108,Доп.расчеты!$A39,'Как будет'!X101:X108)</f>
        <v>0</v>
      </c>
      <c r="X39">
        <f>SUMIF('Как будет'!$A101:$A108,Доп.расчеты!$A39,'Как будет'!Y101:Y108)</f>
        <v>0</v>
      </c>
      <c r="Y39">
        <f>SUMIF('Как будет'!$A101:$A108,Доп.расчеты!$A39,'Как будет'!Z101:Z108)</f>
        <v>0</v>
      </c>
      <c r="Z39">
        <f>SUMIF('Как будет'!$A101:$A108,Доп.расчеты!$A39,'Как будет'!AA101:AA108)</f>
        <v>0</v>
      </c>
      <c r="AA39">
        <f>SUMIF('Как будет'!$A101:$A108,Доп.расчеты!$A39,'Как будет'!AB101:AB108)</f>
        <v>0</v>
      </c>
      <c r="AB39">
        <f>SUMIF('Как будет'!$A101:$A108,Доп.расчеты!$A39,'Как будет'!AC101:AC108)</f>
        <v>0</v>
      </c>
      <c r="AC39">
        <f>SUMIF('Как будет'!$A101:$A108,Доп.расчеты!$A39,'Как будет'!AD101:AD108)</f>
        <v>0</v>
      </c>
      <c r="AD39">
        <f>SUMIF('Как будет'!$A101:$A108,Доп.расчеты!$A39,'Как будет'!AE101:AE108)</f>
        <v>0</v>
      </c>
      <c r="AE39">
        <f>SUMIF('Как будет'!$A101:$A108,Доп.расчеты!$A39,'Как будет'!AF101:AF108)</f>
        <v>0</v>
      </c>
      <c r="AF39">
        <f>SUMIF('Как будет'!$A101:$A108,Доп.расчеты!$A39,'Как будет'!AG101:AG108)</f>
        <v>0</v>
      </c>
      <c r="AG39">
        <f>SUMIF('Как будет'!$A101:$A108,Доп.расчеты!$A39,'Как будет'!AH101:AH108)</f>
        <v>0</v>
      </c>
      <c r="AH39">
        <f>SUMIF('Как будет'!$A101:$A108,Доп.расчеты!$A39,'Как будет'!AI101:AI108)</f>
        <v>0</v>
      </c>
      <c r="AI39">
        <f>SUMIF('Как будет'!$A101:$A108,Доп.расчеты!$A39,'Как будет'!AJ101:AJ108)</f>
        <v>0</v>
      </c>
      <c r="AJ39">
        <f>SUMIF('Как будет'!$A101:$A108,Доп.расчеты!$A39,'Как будет'!AK101:AK108)</f>
        <v>0</v>
      </c>
      <c r="AK39">
        <f>SUMIF('Как будет'!$A101:$A108,Доп.расчеты!$A39,'Как будет'!AL101:AL108)</f>
        <v>0</v>
      </c>
      <c r="AL39">
        <f>SUMIF('Как будет'!$A101:$A108,Доп.расчеты!$A39,'Как будет'!AM101:AM108)</f>
        <v>0</v>
      </c>
      <c r="AM39">
        <f>SUMIF('Как будет'!$A101:$A108,Доп.расчеты!$A39,'Как будет'!AN101:AN108)</f>
        <v>0</v>
      </c>
      <c r="AN39">
        <f>SUMIF('Как будет'!$A101:$A108,Доп.расчеты!$A39,'Как будет'!AO101:AO108)</f>
        <v>0</v>
      </c>
      <c r="AO39">
        <f>SUMIF('Как будет'!$A101:$A108,Доп.расчеты!$A39,'Как будет'!AP101:AP108)</f>
        <v>0</v>
      </c>
      <c r="AP39">
        <f>SUMIF('Как будет'!$A101:$A108,Доп.расчеты!$A39,'Как будет'!AQ101:AQ108)</f>
        <v>0</v>
      </c>
      <c r="AQ39">
        <f>SUMIF('Как будет'!$A101:$A108,Доп.расчеты!$A39,'Как будет'!AR101:AR108)</f>
        <v>0</v>
      </c>
      <c r="AR39">
        <f>SUMIF('Как будет'!$A101:$A108,Доп.расчеты!$A39,'Как будет'!AS101:AS108)</f>
        <v>0</v>
      </c>
      <c r="AS39">
        <f>SUMIF('Как будет'!$A101:$A108,Доп.расчеты!$A39,'Как будет'!AT101:AT108)</f>
        <v>0</v>
      </c>
      <c r="AT39">
        <f>SUMIF('Как будет'!$A101:$A108,Доп.расчеты!$A39,'Как будет'!AU101:AU108)</f>
        <v>0</v>
      </c>
      <c r="AU39">
        <f>SUMIF('Как будет'!$A101:$A108,Доп.расчеты!$A39,'Как будет'!AV101:AV108)</f>
        <v>0</v>
      </c>
      <c r="AV39">
        <f>SUMIF('Как будет'!$A101:$A108,Доп.расчеты!$A39,'Как будет'!AW101:AW108)</f>
        <v>0</v>
      </c>
      <c r="AW39">
        <f>SUMIF('Как будет'!$A101:$A108,Доп.расчеты!$A39,'Как будет'!AX101:AX108)</f>
        <v>0</v>
      </c>
      <c r="AX39">
        <f>SUMIF('Как будет'!$A101:$A108,Доп.расчеты!$A39,'Как будет'!AY101:AY108)</f>
        <v>0</v>
      </c>
      <c r="AY39">
        <f>SUMIF('Как будет'!$A101:$A108,Доп.расчеты!$A39,'Как будет'!AZ101:AZ108)</f>
        <v>0</v>
      </c>
      <c r="AZ39">
        <f>SUMIF('Как будет'!$A101:$A108,Доп.расчеты!$A39,'Как будет'!BA101:BA108)</f>
        <v>0</v>
      </c>
      <c r="BA39">
        <f>SUMIF('Как будет'!$A101:$A108,Доп.расчеты!$A39,'Как будет'!BB101:BB108)</f>
        <v>0</v>
      </c>
      <c r="BB39">
        <f>SUMIF('Как будет'!$A101:$A108,Доп.расчеты!$A39,'Как будет'!BC101:BC108)</f>
        <v>0</v>
      </c>
      <c r="BC39">
        <f>SUMIF('Как будет'!$A101:$A108,Доп.расчеты!$A39,'Как будет'!BD101:BD108)</f>
        <v>0</v>
      </c>
      <c r="BD39">
        <f>SUMIF('Как будет'!$A101:$A108,Доп.расчеты!$A39,'Как будет'!BE101:BE108)</f>
        <v>0</v>
      </c>
      <c r="BE39">
        <f>SUMIF('Как будет'!$A101:$A108,Доп.расчеты!$A39,'Как будет'!BF101:BF108)</f>
        <v>0</v>
      </c>
      <c r="BF39">
        <f>SUMIF('Как будет'!$A101:$A108,Доп.расчеты!$A39,'Как будет'!BG101:BG108)</f>
        <v>0</v>
      </c>
      <c r="BG39">
        <f>SUMIF('Как будет'!$A101:$A108,Доп.расчеты!$A39,'Как будет'!BH101:BH108)</f>
        <v>0</v>
      </c>
      <c r="BH39">
        <f>SUMIF('Как будет'!$A101:$A108,Доп.расчеты!$A39,'Как будет'!BI101:BI108)</f>
        <v>0</v>
      </c>
      <c r="BI39">
        <f>SUMIF('Как будет'!$A101:$A108,Доп.расчеты!$A39,'Как будет'!BJ101:BJ108)</f>
        <v>0</v>
      </c>
      <c r="BJ39">
        <f>SUMIF('Как будет'!$A101:$A108,Доп.расчеты!$A39,'Как будет'!BK101:BK108)</f>
        <v>0</v>
      </c>
      <c r="BK39">
        <f>SUMIF('Как будет'!$A101:$A108,Доп.расчеты!$A39,'Как будет'!BL101:BL108)</f>
        <v>0</v>
      </c>
      <c r="BL39">
        <f>SUMIF('Как будет'!$A101:$A108,Доп.расчеты!$A39,'Как будет'!BM101:BM108)</f>
        <v>0</v>
      </c>
      <c r="BM39">
        <f>SUMIF('Как будет'!$A101:$A108,Доп.расчеты!$A39,'Как будет'!BN101:BN108)</f>
        <v>0</v>
      </c>
      <c r="BN39">
        <f>SUMIF('Как будет'!$A101:$A108,Доп.расчеты!$A39,'Как будет'!BO101:BO108)</f>
        <v>0</v>
      </c>
      <c r="BO39">
        <f>SUMIF('Как будет'!$A101:$A108,Доп.расчеты!$A39,'Как будет'!BP101:BP108)</f>
        <v>0</v>
      </c>
      <c r="BP39">
        <f>SUMIF('Как будет'!$A101:$A108,Доп.расчеты!$A39,'Как будет'!BQ101:BQ108)</f>
        <v>0</v>
      </c>
      <c r="BQ39">
        <f>SUMIF('Как будет'!$A101:$A108,Доп.расчеты!$A39,'Как будет'!BR101:BR108)</f>
        <v>0</v>
      </c>
      <c r="BR39">
        <f>SUMIF('Как будет'!$A101:$A108,Доп.расчеты!$A39,'Как будет'!BS101:BS108)</f>
        <v>0</v>
      </c>
      <c r="BS39">
        <f>SUMIF('Как будет'!$A101:$A108,Доп.расчеты!$A39,'Как будет'!BT101:BT108)</f>
        <v>0</v>
      </c>
      <c r="BT39">
        <f>SUMIF('Как будет'!$A101:$A108,Доп.расчеты!$A39,'Как будет'!BU101:BU108)</f>
        <v>0</v>
      </c>
      <c r="BU39">
        <f>SUMIF('Как будет'!$A101:$A108,Доп.расчеты!$A39,'Как будет'!BV101:BV108)</f>
        <v>0</v>
      </c>
      <c r="BV39">
        <f>SUMIF('Как будет'!$A101:$A108,Доп.расчеты!$A39,'Как будет'!BW101:BW108)</f>
        <v>0</v>
      </c>
      <c r="BW39">
        <f>SUMIF('Как будет'!$A101:$A108,Доп.расчеты!$A39,'Как будет'!BX101:BX108)</f>
        <v>0</v>
      </c>
      <c r="BX39">
        <f>SUMIF('Как будет'!$A101:$A108,Доп.расчеты!$A39,'Как будет'!BY101:BY108)</f>
        <v>0</v>
      </c>
      <c r="BY39">
        <f>SUMIF('Как будет'!$A101:$A108,Доп.расчеты!$A39,'Как будет'!BZ101:BZ108)</f>
        <v>0</v>
      </c>
      <c r="BZ39">
        <f>SUMIF('Как будет'!$A101:$A108,Доп.расчеты!$A39,'Как будет'!CA101:CA108)</f>
        <v>0</v>
      </c>
      <c r="CA39">
        <f>SUMIF('Как будет'!$A101:$A108,Доп.расчеты!$A39,'Как будет'!CB101:CB108)</f>
        <v>0</v>
      </c>
      <c r="CB39">
        <f>SUMIF('Как будет'!$A101:$A108,Доп.расчеты!$A39,'Как будет'!CC101:CC108)</f>
        <v>0</v>
      </c>
      <c r="CC39">
        <f>SUMIF('Как будет'!$A101:$A108,Доп.расчеты!$A39,'Как будет'!CD101:CD108)</f>
        <v>0</v>
      </c>
      <c r="CD39">
        <f>SUMIF('Как будет'!$A101:$A108,Доп.расчеты!$A39,'Как будет'!CE101:CE108)</f>
        <v>0</v>
      </c>
      <c r="CE39">
        <f>SUMIF('Как будет'!$A101:$A108,Доп.расчеты!$A39,'Как будет'!CF101:CF108)</f>
        <v>0</v>
      </c>
      <c r="CF39">
        <f>SUMIF('Как будет'!$A101:$A108,Доп.расчеты!$A39,'Как будет'!CG101:CG108)</f>
        <v>0</v>
      </c>
      <c r="CG39">
        <f>SUMIF('Как будет'!$A101:$A108,Доп.расчеты!$A39,'Как будет'!CH101:CH108)</f>
        <v>0</v>
      </c>
      <c r="CH39">
        <f>SUMIF('Как будет'!$A101:$A108,Доп.расчеты!$A39,'Как будет'!CI101:CI108)</f>
        <v>0</v>
      </c>
      <c r="CI39">
        <f>SUMIF('Как будет'!$A101:$A108,Доп.расчеты!$A39,'Как будет'!CJ101:CJ108)</f>
        <v>0</v>
      </c>
      <c r="CJ39">
        <f>SUMIF('Как будет'!$A101:$A108,Доп.расчеты!$A39,'Как будет'!CK101:CK108)</f>
        <v>0</v>
      </c>
      <c r="CK39">
        <f>SUMIF('Как будет'!$A101:$A108,Доп.расчеты!$A39,'Как будет'!CL101:CL108)</f>
        <v>0</v>
      </c>
      <c r="CL39">
        <f>SUMIF('Как будет'!$A101:$A108,Доп.расчеты!$A39,'Как будет'!CM101:CM108)</f>
        <v>0</v>
      </c>
      <c r="CM39">
        <f>SUMIF('Как будет'!$A101:$A108,Доп.расчеты!$A39,'Как будет'!CN101:CN108)</f>
        <v>0</v>
      </c>
      <c r="CN39">
        <f>SUMIF('Как будет'!$A101:$A108,Доп.расчеты!$A39,'Как будет'!CO101:CO108)</f>
        <v>0</v>
      </c>
      <c r="CO39">
        <f>SUMIF('Как будет'!$A101:$A108,Доп.расчеты!$A39,'Как будет'!CP101:CP108)</f>
        <v>0</v>
      </c>
      <c r="CP39">
        <f>SUMIF('Как будет'!$A101:$A108,Доп.расчеты!$A39,'Как будет'!CQ101:CQ108)</f>
        <v>0</v>
      </c>
      <c r="CQ39">
        <f>SUMIF('Как будет'!$A101:$A108,Доп.расчеты!$A39,'Как будет'!CR101:CR108)</f>
        <v>0</v>
      </c>
      <c r="CR39">
        <f>SUMIF('Как будет'!$A101:$A108,Доп.расчеты!$A39,'Как будет'!CS101:CS108)</f>
        <v>0</v>
      </c>
      <c r="CS39">
        <f>SUMIF('Как будет'!$A101:$A108,Доп.расчеты!$A39,'Как будет'!CT101:CT108)</f>
        <v>0</v>
      </c>
      <c r="CT39">
        <f>SUMIF('Как будет'!$A101:$A108,Доп.расчеты!$A39,'Как будет'!CU101:CU108)</f>
        <v>0</v>
      </c>
      <c r="CU39">
        <f>SUMIF('Как будет'!$A101:$A108,Доп.расчеты!$A39,'Как будет'!CV101:CV108)</f>
        <v>0</v>
      </c>
      <c r="CV39">
        <f>SUMIF('Как будет'!$A101:$A108,Доп.расчеты!$A39,'Как будет'!CW101:CW108)</f>
        <v>0</v>
      </c>
      <c r="CW39">
        <f>SUMIF('Как будет'!$A101:$A108,Доп.расчеты!$A39,'Как будет'!CX101:CX108)</f>
        <v>0</v>
      </c>
      <c r="CX39">
        <f>SUMIF('Как будет'!$A101:$A108,Доп.расчеты!$A39,'Как будет'!CY101:CY108)</f>
        <v>0</v>
      </c>
      <c r="CY39">
        <f>SUMIF('Как будет'!$A101:$A108,Доп.расчеты!$A39,'Как будет'!CZ101:CZ108)</f>
        <v>0</v>
      </c>
      <c r="CZ39">
        <f>SUMIF('Как будет'!$A101:$A108,Доп.расчеты!$A39,'Как будет'!DA101:DA108)</f>
        <v>0</v>
      </c>
      <c r="DA39">
        <f>SUMIF('Как будет'!$A101:$A108,Доп.расчеты!$A39,'Как будет'!DB101:DB108)</f>
        <v>0</v>
      </c>
      <c r="DB39">
        <f>SUMIF('Как будет'!$A101:$A108,Доп.расчеты!$A39,'Как будет'!DC101:DC108)</f>
        <v>0</v>
      </c>
      <c r="DC39">
        <f>SUMIF('Как будет'!$A101:$A108,Доп.расчеты!$A39,'Как будет'!DD101:DD108)</f>
        <v>0</v>
      </c>
      <c r="DD39">
        <f>SUMIF('Как будет'!$A101:$A108,Доп.расчеты!$A39,'Как будет'!DE101:DE108)</f>
        <v>0</v>
      </c>
      <c r="DE39">
        <f>SUMIF('Как будет'!$A101:$A108,Доп.расчеты!$A39,'Как будет'!DF101:DF108)</f>
        <v>0</v>
      </c>
      <c r="DF39">
        <f>SUMIF('Как будет'!$A101:$A108,Доп.расчеты!$A39,'Как будет'!DG101:DG108)</f>
        <v>0</v>
      </c>
      <c r="DG39">
        <f>SUMIF('Как будет'!$A101:$A108,Доп.расчеты!$A39,'Как будет'!DH101:DH108)</f>
        <v>0</v>
      </c>
      <c r="DH39">
        <f>SUMIF('Как будет'!$A101:$A108,Доп.расчеты!$A39,'Как будет'!DI101:DI108)</f>
        <v>0</v>
      </c>
      <c r="DI39">
        <f>SUMIF('Как будет'!$A101:$A108,Доп.расчеты!$A39,'Как будет'!DJ101:DJ108)</f>
        <v>0</v>
      </c>
      <c r="DJ39">
        <f>SUMIF('Как будет'!$A101:$A108,Доп.расчеты!$A39,'Как будет'!DK101:DK108)</f>
        <v>0</v>
      </c>
      <c r="DK39">
        <f>SUMIF('Как будет'!$A101:$A108,Доп.расчеты!$A39,'Как будет'!DL101:DL108)</f>
        <v>0</v>
      </c>
      <c r="DL39">
        <f>SUMIF('Как будет'!$A101:$A108,Доп.расчеты!$A39,'Как будет'!DM101:DM108)</f>
        <v>0</v>
      </c>
      <c r="DM39">
        <f>SUMIF('Как будет'!$A101:$A108,Доп.расчеты!$A39,'Как будет'!DN101:DN108)</f>
        <v>0</v>
      </c>
      <c r="DN39">
        <f>SUMIF('Как будет'!$A101:$A108,Доп.расчеты!$A39,'Как будет'!DO101:DO108)</f>
        <v>0</v>
      </c>
      <c r="DO39">
        <f>SUMIF('Как будет'!$A101:$A108,Доп.расчеты!$A39,'Как будет'!DP101:DP108)</f>
        <v>0</v>
      </c>
      <c r="DP39">
        <f>SUMIF('Как будет'!$A101:$A108,Доп.расчеты!$A39,'Как будет'!DQ101:DQ108)</f>
        <v>0</v>
      </c>
      <c r="DQ39">
        <f>SUMIF('Как будет'!$A101:$A108,Доп.расчеты!$A39,'Как будет'!DR101:DR108)</f>
        <v>0</v>
      </c>
      <c r="DR39">
        <f>SUMIF('Как будет'!$A101:$A108,Доп.расчеты!$A39,'Как будет'!DS101:DS108)</f>
        <v>0</v>
      </c>
      <c r="DS39">
        <f>SUMIF('Как будет'!$A101:$A108,Доп.расчеты!$A39,'Как будет'!DT101:DT108)</f>
        <v>0</v>
      </c>
      <c r="DT39">
        <f>SUMIF('Как будет'!$A101:$A108,Доп.расчеты!$A39,'Как будет'!DU101:DU108)</f>
        <v>0</v>
      </c>
      <c r="DU39">
        <f>SUMIF('Как будет'!$A101:$A108,Доп.расчеты!$A39,'Как будет'!DV101:DV108)</f>
        <v>0</v>
      </c>
      <c r="DV39">
        <f>SUMIF('Как будет'!$A101:$A108,Доп.расчеты!$A39,'Как будет'!DW101:DW108)</f>
        <v>0</v>
      </c>
      <c r="DW39">
        <f>SUMIF('Как будет'!$A101:$A108,Доп.расчеты!$A39,'Как будет'!DX101:DX108)</f>
        <v>0</v>
      </c>
      <c r="DX39">
        <f>SUMIF('Как будет'!$A101:$A108,Доп.расчеты!$A39,'Как будет'!DY101:DY108)</f>
        <v>0</v>
      </c>
      <c r="DY39">
        <f>SUMIF('Как будет'!$A101:$A108,Доп.расчеты!$A39,'Как будет'!DZ101:DZ108)</f>
        <v>0</v>
      </c>
      <c r="DZ39">
        <f>SUMIF('Как будет'!$A101:$A108,Доп.расчеты!$A39,'Как будет'!EA101:EA108)</f>
        <v>0</v>
      </c>
      <c r="EA39">
        <f>SUMIF('Как будет'!$A101:$A108,Доп.расчеты!$A39,'Как будет'!EB101:EB108)</f>
        <v>0</v>
      </c>
      <c r="EB39">
        <f>SUMIF('Как будет'!$A101:$A108,Доп.расчеты!$A39,'Как будет'!EC101:EC108)</f>
        <v>0</v>
      </c>
      <c r="EC39">
        <f>SUMIF('Как будет'!$A101:$A108,Доп.расчеты!$A39,'Как будет'!ED101:ED108)</f>
        <v>0</v>
      </c>
      <c r="ED39">
        <f>SUMIF('Как будет'!$A101:$A108,Доп.расчеты!$A39,'Как будет'!EE101:EE108)</f>
        <v>0</v>
      </c>
      <c r="EE39">
        <f>SUMIF('Как будет'!$A101:$A108,Доп.расчеты!$A39,'Как будет'!EF101:EF108)</f>
        <v>0</v>
      </c>
      <c r="EF39">
        <f>SUMIF('Как будет'!$A101:$A108,Доп.расчеты!$A39,'Как будет'!EG101:EG108)</f>
        <v>0</v>
      </c>
      <c r="EG39">
        <f>SUMIF('Как будет'!$A101:$A108,Доп.расчеты!$A39,'Как будет'!EH101:EH108)</f>
        <v>0</v>
      </c>
      <c r="EH39">
        <f>SUMIF('Как будет'!$A101:$A108,Доп.расчеты!$A39,'Как будет'!EI101:EI108)</f>
        <v>0</v>
      </c>
      <c r="EI39">
        <f>SUMIF('Как будет'!$A101:$A108,Доп.расчеты!$A39,'Как будет'!EJ101:EJ108)</f>
        <v>0</v>
      </c>
      <c r="EJ39">
        <f>SUMIF('Как будет'!$A101:$A108,Доп.расчеты!$A39,'Как будет'!EK101:EK108)</f>
        <v>0</v>
      </c>
      <c r="EK39">
        <f>SUMIF('Как будет'!$A101:$A108,Доп.расчеты!$A39,'Как будет'!EL101:EL108)</f>
        <v>0</v>
      </c>
      <c r="EL39">
        <f>SUMIF('Как будет'!$A101:$A108,Доп.расчеты!$A39,'Как будет'!EM101:EM108)</f>
        <v>0</v>
      </c>
      <c r="EM39">
        <f>SUMIF('Как будет'!$A101:$A108,Доп.расчеты!$A39,'Как будет'!EN101:EN108)</f>
        <v>0</v>
      </c>
      <c r="EN39">
        <f>SUMIF('Как будет'!$A101:$A108,Доп.расчеты!$A39,'Как будет'!EO101:EO108)</f>
        <v>0</v>
      </c>
      <c r="EO39">
        <f>SUMIF('Как будет'!$A101:$A108,Доп.расчеты!$A39,'Как будет'!EP101:EP108)</f>
        <v>0</v>
      </c>
      <c r="EP39">
        <f>SUMIF('Как будет'!$A101:$A108,Доп.расчеты!$A39,'Как будет'!EQ101:EQ108)</f>
        <v>0</v>
      </c>
      <c r="EQ39">
        <f>SUMIF('Как будет'!$A101:$A108,Доп.расчеты!$A39,'Как будет'!ER101:ER108)</f>
        <v>0</v>
      </c>
      <c r="ER39">
        <f>SUMIF('Как будет'!$A101:$A108,Доп.расчеты!$A39,'Как будет'!ES101:ES108)</f>
        <v>0</v>
      </c>
      <c r="ES39">
        <f>SUMIF('Как будет'!$A101:$A108,Доп.расчеты!$A39,'Как будет'!ET101:ET108)</f>
        <v>0</v>
      </c>
      <c r="ET39">
        <f>SUMIF('Как будет'!$A101:$A108,Доп.расчеты!$A39,'Как будет'!EU101:EU108)</f>
        <v>0</v>
      </c>
      <c r="EU39">
        <f>SUMIF('Как будет'!$A101:$A108,Доп.расчеты!$A39,'Как будет'!EV101:EV108)</f>
        <v>0</v>
      </c>
      <c r="EV39">
        <f>SUMIF('Как будет'!$A101:$A108,Доп.расчеты!$A39,'Как будет'!EW101:EW108)</f>
        <v>0</v>
      </c>
      <c r="EW39">
        <f>SUMIF('Как будет'!$A101:$A108,Доп.расчеты!$A39,'Как будет'!EX101:EX108)</f>
        <v>0</v>
      </c>
      <c r="EX39">
        <f>SUMIF('Как будет'!$A101:$A108,Доп.расчеты!$A39,'Как будет'!EY101:EY108)</f>
        <v>0</v>
      </c>
      <c r="EY39">
        <f>SUMIF('Как будет'!$A101:$A108,Доп.расчеты!$A39,'Как будет'!EZ101:EZ108)</f>
        <v>0</v>
      </c>
      <c r="EZ39">
        <f>SUMIF('Как будет'!$A101:$A108,Доп.расчеты!$A39,'Как будет'!FA101:FA108)</f>
        <v>0</v>
      </c>
      <c r="FA39">
        <f>SUMIF('Как будет'!$A101:$A108,Доп.расчеты!$A39,'Как будет'!FB101:FB108)</f>
        <v>0</v>
      </c>
      <c r="FB39">
        <f>SUMIF('Как будет'!$A101:$A108,Доп.расчеты!$A39,'Как будет'!FC101:FC108)</f>
        <v>0</v>
      </c>
      <c r="FC39">
        <f>SUMIF('Как будет'!$A101:$A108,Доп.расчеты!$A39,'Как будет'!FD101:FD108)</f>
        <v>0</v>
      </c>
      <c r="FD39">
        <f>SUMIF('Как будет'!$A101:$A108,Доп.расчеты!$A39,'Как будет'!FE101:FE108)</f>
        <v>0</v>
      </c>
      <c r="FE39">
        <f>SUMIF('Как будет'!$A101:$A108,Доп.расчеты!$A39,'Как будет'!FF101:FF108)</f>
        <v>0</v>
      </c>
      <c r="FF39">
        <f>SUMIF('Как будет'!$A101:$A108,Доп.расчеты!$A39,'Как будет'!FG101:FG108)</f>
        <v>0</v>
      </c>
      <c r="FG39">
        <f>SUMIF('Как будет'!$A101:$A108,Доп.расчеты!$A39,'Как будет'!FH101:FH108)</f>
        <v>0</v>
      </c>
      <c r="FH39">
        <f>SUMIF('Как будет'!$A101:$A108,Доп.расчеты!$A39,'Как будет'!FI101:FI108)</f>
        <v>0</v>
      </c>
      <c r="FI39">
        <f>SUMIF('Как будет'!$A101:$A108,Доп.расчеты!$A39,'Как будет'!FJ101:FJ108)</f>
        <v>0</v>
      </c>
      <c r="FJ39">
        <f>SUMIF('Как будет'!$A101:$A108,Доп.расчеты!$A39,'Как будет'!FK101:FK108)</f>
        <v>0</v>
      </c>
      <c r="FK39">
        <f>SUMIF('Как будет'!$A101:$A108,Доп.расчеты!$A39,'Как будет'!FL101:FL108)</f>
        <v>0</v>
      </c>
      <c r="FL39">
        <f>SUMIF('Как будет'!$A101:$A108,Доп.расчеты!$A39,'Как будет'!FM101:FM108)</f>
        <v>0</v>
      </c>
      <c r="FM39">
        <f>SUMIF('Как будет'!$A101:$A108,Доп.расчеты!$A39,'Как будет'!FN101:FN108)</f>
        <v>0</v>
      </c>
      <c r="FN39">
        <f>SUMIF('Как будет'!$A101:$A108,Доп.расчеты!$A39,'Как будет'!FO101:FO108)</f>
        <v>0</v>
      </c>
      <c r="FO39">
        <f>SUMIF('Как будет'!$A101:$A108,Доп.расчеты!$A39,'Как будет'!FP101:FP108)</f>
        <v>0</v>
      </c>
      <c r="FP39">
        <f>SUMIF('Как будет'!$A101:$A108,Доп.расчеты!$A39,'Как будет'!FQ101:FQ108)</f>
        <v>0</v>
      </c>
      <c r="FQ39">
        <f>SUMIF('Как будет'!$A101:$A108,Доп.расчеты!$A39,'Как будет'!FR101:FR108)</f>
        <v>0</v>
      </c>
      <c r="FR39">
        <f>SUMIF('Как будет'!$A101:$A108,Доп.расчеты!$A39,'Как будет'!FS101:FS108)</f>
        <v>0</v>
      </c>
      <c r="FS39">
        <f>SUMIF('Как будет'!$A101:$A108,Доп.расчеты!$A39,'Как будет'!FT101:FT108)</f>
        <v>0</v>
      </c>
      <c r="FT39">
        <f>SUMIF('Как будет'!$A101:$A108,Доп.расчеты!$A39,'Как будет'!FU101:FU108)</f>
        <v>0</v>
      </c>
      <c r="FU39">
        <f>SUMIF('Как будет'!$A101:$A108,Доп.расчеты!$A39,'Как будет'!FV101:FV108)</f>
        <v>0</v>
      </c>
      <c r="FV39">
        <f>SUMIF('Как будет'!$A101:$A108,Доп.расчеты!$A39,'Как будет'!FW101:FW108)</f>
        <v>0</v>
      </c>
      <c r="FW39">
        <f>SUMIF('Как будет'!$A101:$A108,Доп.расчеты!$A39,'Как будет'!FX101:FX108)</f>
        <v>0</v>
      </c>
      <c r="FX39">
        <f>SUMIF('Как будет'!$A101:$A108,Доп.расчеты!$A39,'Как будет'!FY101:FY108)</f>
        <v>0</v>
      </c>
      <c r="FY39">
        <f>SUMIF('Как будет'!$A101:$A108,Доп.расчеты!$A39,'Как будет'!FZ101:FZ108)</f>
        <v>0</v>
      </c>
      <c r="FZ39">
        <f>SUMIF('Как будет'!$A101:$A108,Доп.расчеты!$A39,'Как будет'!GA101:GA108)</f>
        <v>0</v>
      </c>
      <c r="GA39">
        <f>SUMIF('Как будет'!$A101:$A108,Доп.расчеты!$A39,'Как будет'!GB101:GB108)</f>
        <v>0</v>
      </c>
      <c r="GB39">
        <f>SUMIF('Как будет'!$A101:$A108,Доп.расчеты!$A39,'Как будет'!GC101:GC108)</f>
        <v>0</v>
      </c>
      <c r="GC39">
        <f>SUMIF('Как будет'!$A101:$A108,Доп.расчеты!$A39,'Как будет'!GD101:GD108)</f>
        <v>0</v>
      </c>
      <c r="GD39">
        <f>SUMIF('Как будет'!$A101:$A108,Доп.расчеты!$A39,'Как будет'!GE101:GE108)</f>
        <v>0</v>
      </c>
      <c r="GE39">
        <f>SUMIF('Как будет'!$A101:$A108,Доп.расчеты!$A39,'Как будет'!GF101:GF108)</f>
        <v>0</v>
      </c>
      <c r="GF39">
        <f>SUMIF('Как будет'!$A101:$A108,Доп.расчеты!$A39,'Как будет'!GG101:GG108)</f>
        <v>0</v>
      </c>
      <c r="GG39">
        <f>SUMIF('Как будет'!$A101:$A108,Доп.расчеты!$A39,'Как будет'!GH101:GH108)</f>
        <v>0</v>
      </c>
      <c r="GH39">
        <f>SUMIF('Как будет'!$A101:$A108,Доп.расчеты!$A39,'Как будет'!GI101:GI108)</f>
        <v>0</v>
      </c>
      <c r="GI39">
        <f>SUMIF('Как будет'!$A101:$A108,Доп.расчеты!$A39,'Как будет'!GJ101:GJ108)</f>
        <v>0</v>
      </c>
      <c r="GJ39">
        <f>SUMIF('Как будет'!$A101:$A108,Доп.расчеты!$A39,'Как будет'!GK101:GK108)</f>
        <v>0</v>
      </c>
      <c r="GK39">
        <f>SUMIF('Как будет'!$A101:$A108,Доп.расчеты!$A39,'Как будет'!GL101:GL108)</f>
        <v>0</v>
      </c>
      <c r="GL39">
        <f>SUMIF('Как будет'!$A101:$A108,Доп.расчеты!$A39,'Как будет'!GM101:GM108)</f>
        <v>0</v>
      </c>
      <c r="GM39">
        <f>SUMIF('Как будет'!$A101:$A108,Доп.расчеты!$A39,'Как будет'!GN101:GN108)</f>
        <v>0</v>
      </c>
      <c r="GN39">
        <f>SUMIF('Как будет'!$A101:$A108,Доп.расчеты!$A39,'Как будет'!GO101:GO108)</f>
        <v>0</v>
      </c>
      <c r="GO39">
        <f>SUMIF('Как будет'!$A101:$A108,Доп.расчеты!$A39,'Как будет'!GP101:GP108)</f>
        <v>0</v>
      </c>
      <c r="GP39">
        <f>SUMIF('Как будет'!$A101:$A108,Доп.расчеты!$A39,'Как будет'!GQ101:GQ108)</f>
        <v>0</v>
      </c>
      <c r="GQ39">
        <f>SUMIF('Как будет'!$A101:$A108,Доп.расчеты!$A39,'Как будет'!GR101:GR108)</f>
        <v>0</v>
      </c>
      <c r="GR39">
        <f>SUMIF('Как будет'!$A101:$A108,Доп.расчеты!$A39,'Как будет'!GS101:GS108)</f>
        <v>0</v>
      </c>
      <c r="GS39">
        <f>SUMIF('Как будет'!$A101:$A108,Доп.расчеты!$A39,'Как будет'!GT101:GT108)</f>
        <v>0</v>
      </c>
      <c r="GT39">
        <f>SUMIF('Как будет'!$A101:$A108,Доп.расчеты!$A39,'Как будет'!GU101:GU108)</f>
        <v>0</v>
      </c>
    </row>
    <row r="40" spans="1:202">
      <c r="A40" s="236" t="s">
        <v>10</v>
      </c>
      <c r="B40">
        <f>SUMIF('Как будет'!$A101:$A108,Доп.расчеты!$A40,'Как будет'!C101:C108)</f>
        <v>0</v>
      </c>
      <c r="C40">
        <f>SUMIF('Как будет'!$A101:$A108,Доп.расчеты!$A40,'Как будет'!D101:D108)</f>
        <v>0</v>
      </c>
      <c r="D40">
        <f>SUMIF('Как будет'!$A101:$A108,Доп.расчеты!$A40,'Как будет'!E101:E108)</f>
        <v>0</v>
      </c>
      <c r="E40">
        <f>SUMIF('Как будет'!$A101:$A108,Доп.расчеты!$A40,'Как будет'!F101:F108)</f>
        <v>0</v>
      </c>
      <c r="F40">
        <f>SUMIF('Как будет'!$A101:$A108,Доп.расчеты!$A40,'Как будет'!G101:G108)</f>
        <v>0</v>
      </c>
      <c r="G40">
        <f>SUMIF('Как будет'!$A101:$A108,Доп.расчеты!$A40,'Как будет'!H101:H108)</f>
        <v>0</v>
      </c>
      <c r="H40">
        <f>SUMIF('Как будет'!$A101:$A108,Доп.расчеты!$A40,'Как будет'!I101:I108)</f>
        <v>0</v>
      </c>
      <c r="I40">
        <f>SUMIF('Как будет'!$A101:$A108,Доп.расчеты!$A40,'Как будет'!J101:J108)</f>
        <v>0</v>
      </c>
      <c r="J40">
        <f>SUMIF('Как будет'!$A101:$A108,Доп.расчеты!$A40,'Как будет'!K101:K108)</f>
        <v>0</v>
      </c>
      <c r="K40">
        <f>SUMIF('Как будет'!$A101:$A108,Доп.расчеты!$A40,'Как будет'!L101:L108)</f>
        <v>0</v>
      </c>
      <c r="L40">
        <f>SUMIF('Как будет'!$A101:$A108,Доп.расчеты!$A40,'Как будет'!M101:M108)</f>
        <v>0</v>
      </c>
      <c r="M40">
        <f>SUMIF('Как будет'!$A101:$A108,Доп.расчеты!$A40,'Как будет'!N101:N108)</f>
        <v>0</v>
      </c>
      <c r="N40">
        <f>SUMIF('Как будет'!$A101:$A108,Доп.расчеты!$A40,'Как будет'!O101:O108)</f>
        <v>0</v>
      </c>
      <c r="O40">
        <f>SUMIF('Как будет'!$A101:$A108,Доп.расчеты!$A40,'Как будет'!P101:P108)</f>
        <v>0</v>
      </c>
      <c r="P40">
        <f>SUMIF('Как будет'!$A101:$A108,Доп.расчеты!$A40,'Как будет'!Q101:Q108)</f>
        <v>0</v>
      </c>
      <c r="Q40">
        <f>SUMIF('Как будет'!$A101:$A108,Доп.расчеты!$A40,'Как будет'!R101:R108)</f>
        <v>0</v>
      </c>
      <c r="R40">
        <f>SUMIF('Как будет'!$A101:$A108,Доп.расчеты!$A40,'Как будет'!S101:S108)</f>
        <v>0</v>
      </c>
      <c r="S40">
        <f>SUMIF('Как будет'!$A101:$A108,Доп.расчеты!$A40,'Как будет'!T101:T108)</f>
        <v>0</v>
      </c>
      <c r="T40">
        <f>SUMIF('Как будет'!$A101:$A108,Доп.расчеты!$A40,'Как будет'!U101:U108)</f>
        <v>0</v>
      </c>
      <c r="U40">
        <f>SUMIF('Как будет'!$A101:$A108,Доп.расчеты!$A40,'Как будет'!V101:V108)</f>
        <v>0</v>
      </c>
      <c r="V40">
        <f>SUMIF('Как будет'!$A101:$A108,Доп.расчеты!$A40,'Как будет'!W101:W108)</f>
        <v>0</v>
      </c>
      <c r="W40">
        <f>SUMIF('Как будет'!$A101:$A108,Доп.расчеты!$A40,'Как будет'!X101:X108)</f>
        <v>0</v>
      </c>
      <c r="X40">
        <f>SUMIF('Как будет'!$A101:$A108,Доп.расчеты!$A40,'Как будет'!Y101:Y108)</f>
        <v>0</v>
      </c>
      <c r="Y40">
        <f>SUMIF('Как будет'!$A101:$A108,Доп.расчеты!$A40,'Как будет'!Z101:Z108)</f>
        <v>0</v>
      </c>
      <c r="Z40">
        <f>SUMIF('Как будет'!$A101:$A108,Доп.расчеты!$A40,'Как будет'!AA101:AA108)</f>
        <v>0</v>
      </c>
      <c r="AA40">
        <f>SUMIF('Как будет'!$A101:$A108,Доп.расчеты!$A40,'Как будет'!AB101:AB108)</f>
        <v>0</v>
      </c>
      <c r="AB40">
        <f>SUMIF('Как будет'!$A101:$A108,Доп.расчеты!$A40,'Как будет'!AC101:AC108)</f>
        <v>0</v>
      </c>
      <c r="AC40">
        <f>SUMIF('Как будет'!$A101:$A108,Доп.расчеты!$A40,'Как будет'!AD101:AD108)</f>
        <v>0</v>
      </c>
      <c r="AD40">
        <f>SUMIF('Как будет'!$A101:$A108,Доп.расчеты!$A40,'Как будет'!AE101:AE108)</f>
        <v>0</v>
      </c>
      <c r="AE40">
        <f>SUMIF('Как будет'!$A101:$A108,Доп.расчеты!$A40,'Как будет'!AF101:AF108)</f>
        <v>0</v>
      </c>
      <c r="AF40">
        <f>SUMIF('Как будет'!$A101:$A108,Доп.расчеты!$A40,'Как будет'!AG101:AG108)</f>
        <v>0</v>
      </c>
      <c r="AG40">
        <f>SUMIF('Как будет'!$A101:$A108,Доп.расчеты!$A40,'Как будет'!AH101:AH108)</f>
        <v>0</v>
      </c>
      <c r="AH40">
        <f>SUMIF('Как будет'!$A101:$A108,Доп.расчеты!$A40,'Как будет'!AI101:AI108)</f>
        <v>0</v>
      </c>
      <c r="AI40">
        <f>SUMIF('Как будет'!$A101:$A108,Доп.расчеты!$A40,'Как будет'!AJ101:AJ108)</f>
        <v>0</v>
      </c>
      <c r="AJ40">
        <f>SUMIF('Как будет'!$A101:$A108,Доп.расчеты!$A40,'Как будет'!AK101:AK108)</f>
        <v>0</v>
      </c>
      <c r="AK40">
        <f>SUMIF('Как будет'!$A101:$A108,Доп.расчеты!$A40,'Как будет'!AL101:AL108)</f>
        <v>0</v>
      </c>
      <c r="AL40">
        <f>SUMIF('Как будет'!$A101:$A108,Доп.расчеты!$A40,'Как будет'!AM101:AM108)</f>
        <v>0</v>
      </c>
      <c r="AM40">
        <f>SUMIF('Как будет'!$A101:$A108,Доп.расчеты!$A40,'Как будет'!AN101:AN108)</f>
        <v>0</v>
      </c>
      <c r="AN40">
        <f>SUMIF('Как будет'!$A101:$A108,Доп.расчеты!$A40,'Как будет'!AO101:AO108)</f>
        <v>0</v>
      </c>
      <c r="AO40">
        <f>SUMIF('Как будет'!$A101:$A108,Доп.расчеты!$A40,'Как будет'!AP101:AP108)</f>
        <v>0</v>
      </c>
      <c r="AP40">
        <f>SUMIF('Как будет'!$A101:$A108,Доп.расчеты!$A40,'Как будет'!AQ101:AQ108)</f>
        <v>0</v>
      </c>
      <c r="AQ40">
        <f>SUMIF('Как будет'!$A101:$A108,Доп.расчеты!$A40,'Как будет'!AR101:AR108)</f>
        <v>0</v>
      </c>
      <c r="AR40">
        <f>SUMIF('Как будет'!$A101:$A108,Доп.расчеты!$A40,'Как будет'!AS101:AS108)</f>
        <v>0</v>
      </c>
      <c r="AS40">
        <f>SUMIF('Как будет'!$A101:$A108,Доп.расчеты!$A40,'Как будет'!AT101:AT108)</f>
        <v>0</v>
      </c>
      <c r="AT40">
        <f>SUMIF('Как будет'!$A101:$A108,Доп.расчеты!$A40,'Как будет'!AU101:AU108)</f>
        <v>0</v>
      </c>
      <c r="AU40">
        <f>SUMIF('Как будет'!$A101:$A108,Доп.расчеты!$A40,'Как будет'!AV101:AV108)</f>
        <v>0</v>
      </c>
      <c r="AV40">
        <f>SUMIF('Как будет'!$A101:$A108,Доп.расчеты!$A40,'Как будет'!AW101:AW108)</f>
        <v>0</v>
      </c>
      <c r="AW40">
        <f>SUMIF('Как будет'!$A101:$A108,Доп.расчеты!$A40,'Как будет'!AX101:AX108)</f>
        <v>0</v>
      </c>
      <c r="AX40">
        <f>SUMIF('Как будет'!$A101:$A108,Доп.расчеты!$A40,'Как будет'!AY101:AY108)</f>
        <v>0</v>
      </c>
      <c r="AY40">
        <f>SUMIF('Как будет'!$A101:$A108,Доп.расчеты!$A40,'Как будет'!AZ101:AZ108)</f>
        <v>0</v>
      </c>
      <c r="AZ40">
        <f>SUMIF('Как будет'!$A101:$A108,Доп.расчеты!$A40,'Как будет'!BA101:BA108)</f>
        <v>0</v>
      </c>
      <c r="BA40">
        <f>SUMIF('Как будет'!$A101:$A108,Доп.расчеты!$A40,'Как будет'!BB101:BB108)</f>
        <v>0</v>
      </c>
      <c r="BB40">
        <f>SUMIF('Как будет'!$A101:$A108,Доп.расчеты!$A40,'Как будет'!BC101:BC108)</f>
        <v>0</v>
      </c>
      <c r="BC40">
        <f>SUMIF('Как будет'!$A101:$A108,Доп.расчеты!$A40,'Как будет'!BD101:BD108)</f>
        <v>0</v>
      </c>
      <c r="BD40">
        <f>SUMIF('Как будет'!$A101:$A108,Доп.расчеты!$A40,'Как будет'!BE101:BE108)</f>
        <v>0</v>
      </c>
      <c r="BE40">
        <f>SUMIF('Как будет'!$A101:$A108,Доп.расчеты!$A40,'Как будет'!BF101:BF108)</f>
        <v>0</v>
      </c>
      <c r="BF40">
        <f>SUMIF('Как будет'!$A101:$A108,Доп.расчеты!$A40,'Как будет'!BG101:BG108)</f>
        <v>0</v>
      </c>
      <c r="BG40">
        <f>SUMIF('Как будет'!$A101:$A108,Доп.расчеты!$A40,'Как будет'!BH101:BH108)</f>
        <v>0</v>
      </c>
      <c r="BH40">
        <f>SUMIF('Как будет'!$A101:$A108,Доп.расчеты!$A40,'Как будет'!BI101:BI108)</f>
        <v>0</v>
      </c>
      <c r="BI40">
        <f>SUMIF('Как будет'!$A101:$A108,Доп.расчеты!$A40,'Как будет'!BJ101:BJ108)</f>
        <v>0</v>
      </c>
      <c r="BJ40">
        <f>SUMIF('Как будет'!$A101:$A108,Доп.расчеты!$A40,'Как будет'!BK101:BK108)</f>
        <v>0</v>
      </c>
      <c r="BK40">
        <f>SUMIF('Как будет'!$A101:$A108,Доп.расчеты!$A40,'Как будет'!BL101:BL108)</f>
        <v>0</v>
      </c>
      <c r="BL40">
        <f>SUMIF('Как будет'!$A101:$A108,Доп.расчеты!$A40,'Как будет'!BM101:BM108)</f>
        <v>0</v>
      </c>
      <c r="BM40">
        <f>SUMIF('Как будет'!$A101:$A108,Доп.расчеты!$A40,'Как будет'!BN101:BN108)</f>
        <v>0</v>
      </c>
      <c r="BN40">
        <f>SUMIF('Как будет'!$A101:$A108,Доп.расчеты!$A40,'Как будет'!BO101:BO108)</f>
        <v>0</v>
      </c>
      <c r="BO40">
        <f>SUMIF('Как будет'!$A101:$A108,Доп.расчеты!$A40,'Как будет'!BP101:BP108)</f>
        <v>0</v>
      </c>
      <c r="BP40">
        <f>SUMIF('Как будет'!$A101:$A108,Доп.расчеты!$A40,'Как будет'!BQ101:BQ108)</f>
        <v>0</v>
      </c>
      <c r="BQ40">
        <f>SUMIF('Как будет'!$A101:$A108,Доп.расчеты!$A40,'Как будет'!BR101:BR108)</f>
        <v>0</v>
      </c>
      <c r="BR40">
        <f>SUMIF('Как будет'!$A101:$A108,Доп.расчеты!$A40,'Как будет'!BS101:BS108)</f>
        <v>0</v>
      </c>
      <c r="BS40">
        <f>SUMIF('Как будет'!$A101:$A108,Доп.расчеты!$A40,'Как будет'!BT101:BT108)</f>
        <v>0</v>
      </c>
      <c r="BT40">
        <f>SUMIF('Как будет'!$A101:$A108,Доп.расчеты!$A40,'Как будет'!BU101:BU108)</f>
        <v>0</v>
      </c>
      <c r="BU40">
        <f>SUMIF('Как будет'!$A101:$A108,Доп.расчеты!$A40,'Как будет'!BV101:BV108)</f>
        <v>0</v>
      </c>
      <c r="BV40">
        <f>SUMIF('Как будет'!$A101:$A108,Доп.расчеты!$A40,'Как будет'!BW101:BW108)</f>
        <v>0</v>
      </c>
      <c r="BW40">
        <f>SUMIF('Как будет'!$A101:$A108,Доп.расчеты!$A40,'Как будет'!BX101:BX108)</f>
        <v>0</v>
      </c>
      <c r="BX40">
        <f>SUMIF('Как будет'!$A101:$A108,Доп.расчеты!$A40,'Как будет'!BY101:BY108)</f>
        <v>0</v>
      </c>
      <c r="BY40">
        <f>SUMIF('Как будет'!$A101:$A108,Доп.расчеты!$A40,'Как будет'!BZ101:BZ108)</f>
        <v>0</v>
      </c>
      <c r="BZ40">
        <f>SUMIF('Как будет'!$A101:$A108,Доп.расчеты!$A40,'Как будет'!CA101:CA108)</f>
        <v>0</v>
      </c>
      <c r="CA40">
        <f>SUMIF('Как будет'!$A101:$A108,Доп.расчеты!$A40,'Как будет'!CB101:CB108)</f>
        <v>0</v>
      </c>
      <c r="CB40">
        <f>SUMIF('Как будет'!$A101:$A108,Доп.расчеты!$A40,'Как будет'!CC101:CC108)</f>
        <v>0</v>
      </c>
      <c r="CC40">
        <f>SUMIF('Как будет'!$A101:$A108,Доп.расчеты!$A40,'Как будет'!CD101:CD108)</f>
        <v>0</v>
      </c>
      <c r="CD40">
        <f>SUMIF('Как будет'!$A101:$A108,Доп.расчеты!$A40,'Как будет'!CE101:CE108)</f>
        <v>0</v>
      </c>
      <c r="CE40">
        <f>SUMIF('Как будет'!$A101:$A108,Доп.расчеты!$A40,'Как будет'!CF101:CF108)</f>
        <v>0</v>
      </c>
      <c r="CF40">
        <f>SUMIF('Как будет'!$A101:$A108,Доп.расчеты!$A40,'Как будет'!CG101:CG108)</f>
        <v>0</v>
      </c>
      <c r="CG40">
        <f>SUMIF('Как будет'!$A101:$A108,Доп.расчеты!$A40,'Как будет'!CH101:CH108)</f>
        <v>0</v>
      </c>
      <c r="CH40">
        <f>SUMIF('Как будет'!$A101:$A108,Доп.расчеты!$A40,'Как будет'!CI101:CI108)</f>
        <v>0</v>
      </c>
      <c r="CI40">
        <f>SUMIF('Как будет'!$A101:$A108,Доп.расчеты!$A40,'Как будет'!CJ101:CJ108)</f>
        <v>0</v>
      </c>
      <c r="CJ40">
        <f>SUMIF('Как будет'!$A101:$A108,Доп.расчеты!$A40,'Как будет'!CK101:CK108)</f>
        <v>0</v>
      </c>
      <c r="CK40">
        <f>SUMIF('Как будет'!$A101:$A108,Доп.расчеты!$A40,'Как будет'!CL101:CL108)</f>
        <v>0</v>
      </c>
      <c r="CL40">
        <f>SUMIF('Как будет'!$A101:$A108,Доп.расчеты!$A40,'Как будет'!CM101:CM108)</f>
        <v>0</v>
      </c>
      <c r="CM40">
        <f>SUMIF('Как будет'!$A101:$A108,Доп.расчеты!$A40,'Как будет'!CN101:CN108)</f>
        <v>0</v>
      </c>
      <c r="CN40">
        <f>SUMIF('Как будет'!$A101:$A108,Доп.расчеты!$A40,'Как будет'!CO101:CO108)</f>
        <v>0</v>
      </c>
      <c r="CO40">
        <f>SUMIF('Как будет'!$A101:$A108,Доп.расчеты!$A40,'Как будет'!CP101:CP108)</f>
        <v>0</v>
      </c>
      <c r="CP40">
        <f>SUMIF('Как будет'!$A101:$A108,Доп.расчеты!$A40,'Как будет'!CQ101:CQ108)</f>
        <v>0</v>
      </c>
      <c r="CQ40">
        <f>SUMIF('Как будет'!$A101:$A108,Доп.расчеты!$A40,'Как будет'!CR101:CR108)</f>
        <v>0</v>
      </c>
      <c r="CR40">
        <f>SUMIF('Как будет'!$A101:$A108,Доп.расчеты!$A40,'Как будет'!CS101:CS108)</f>
        <v>0</v>
      </c>
      <c r="CS40">
        <f>SUMIF('Как будет'!$A101:$A108,Доп.расчеты!$A40,'Как будет'!CT101:CT108)</f>
        <v>0</v>
      </c>
      <c r="CT40">
        <f>SUMIF('Как будет'!$A101:$A108,Доп.расчеты!$A40,'Как будет'!CU101:CU108)</f>
        <v>0</v>
      </c>
      <c r="CU40">
        <f>SUMIF('Как будет'!$A101:$A108,Доп.расчеты!$A40,'Как будет'!CV101:CV108)</f>
        <v>0</v>
      </c>
      <c r="CV40">
        <f>SUMIF('Как будет'!$A101:$A108,Доп.расчеты!$A40,'Как будет'!CW101:CW108)</f>
        <v>0</v>
      </c>
      <c r="CW40">
        <f>SUMIF('Как будет'!$A101:$A108,Доп.расчеты!$A40,'Как будет'!CX101:CX108)</f>
        <v>0</v>
      </c>
      <c r="CX40">
        <f>SUMIF('Как будет'!$A101:$A108,Доп.расчеты!$A40,'Как будет'!CY101:CY108)</f>
        <v>0</v>
      </c>
      <c r="CY40">
        <f>SUMIF('Как будет'!$A101:$A108,Доп.расчеты!$A40,'Как будет'!CZ101:CZ108)</f>
        <v>0</v>
      </c>
      <c r="CZ40">
        <f>SUMIF('Как будет'!$A101:$A108,Доп.расчеты!$A40,'Как будет'!DA101:DA108)</f>
        <v>0</v>
      </c>
      <c r="DA40">
        <f>SUMIF('Как будет'!$A101:$A108,Доп.расчеты!$A40,'Как будет'!DB101:DB108)</f>
        <v>0</v>
      </c>
      <c r="DB40">
        <f>SUMIF('Как будет'!$A101:$A108,Доп.расчеты!$A40,'Как будет'!DC101:DC108)</f>
        <v>0</v>
      </c>
      <c r="DC40">
        <f>SUMIF('Как будет'!$A101:$A108,Доп.расчеты!$A40,'Как будет'!DD101:DD108)</f>
        <v>0</v>
      </c>
      <c r="DD40">
        <f>SUMIF('Как будет'!$A101:$A108,Доп.расчеты!$A40,'Как будет'!DE101:DE108)</f>
        <v>0</v>
      </c>
      <c r="DE40">
        <f>SUMIF('Как будет'!$A101:$A108,Доп.расчеты!$A40,'Как будет'!DF101:DF108)</f>
        <v>0</v>
      </c>
      <c r="DF40">
        <f>SUMIF('Как будет'!$A101:$A108,Доп.расчеты!$A40,'Как будет'!DG101:DG108)</f>
        <v>0</v>
      </c>
      <c r="DG40">
        <f>SUMIF('Как будет'!$A101:$A108,Доп.расчеты!$A40,'Как будет'!DH101:DH108)</f>
        <v>0</v>
      </c>
      <c r="DH40">
        <f>SUMIF('Как будет'!$A101:$A108,Доп.расчеты!$A40,'Как будет'!DI101:DI108)</f>
        <v>0</v>
      </c>
      <c r="DI40">
        <f>SUMIF('Как будет'!$A101:$A108,Доп.расчеты!$A40,'Как будет'!DJ101:DJ108)</f>
        <v>0</v>
      </c>
      <c r="DJ40">
        <f>SUMIF('Как будет'!$A101:$A108,Доп.расчеты!$A40,'Как будет'!DK101:DK108)</f>
        <v>0</v>
      </c>
      <c r="DK40">
        <f>SUMIF('Как будет'!$A101:$A108,Доп.расчеты!$A40,'Как будет'!DL101:DL108)</f>
        <v>0</v>
      </c>
      <c r="DL40">
        <f>SUMIF('Как будет'!$A101:$A108,Доп.расчеты!$A40,'Как будет'!DM101:DM108)</f>
        <v>0</v>
      </c>
      <c r="DM40">
        <f>SUMIF('Как будет'!$A101:$A108,Доп.расчеты!$A40,'Как будет'!DN101:DN108)</f>
        <v>0</v>
      </c>
      <c r="DN40">
        <f>SUMIF('Как будет'!$A101:$A108,Доп.расчеты!$A40,'Как будет'!DO101:DO108)</f>
        <v>0</v>
      </c>
      <c r="DO40">
        <f>SUMIF('Как будет'!$A101:$A108,Доп.расчеты!$A40,'Как будет'!DP101:DP108)</f>
        <v>0</v>
      </c>
      <c r="DP40">
        <f>SUMIF('Как будет'!$A101:$A108,Доп.расчеты!$A40,'Как будет'!DQ101:DQ108)</f>
        <v>0</v>
      </c>
      <c r="DQ40">
        <f>SUMIF('Как будет'!$A101:$A108,Доп.расчеты!$A40,'Как будет'!DR101:DR108)</f>
        <v>0</v>
      </c>
      <c r="DR40">
        <f>SUMIF('Как будет'!$A101:$A108,Доп.расчеты!$A40,'Как будет'!DS101:DS108)</f>
        <v>0</v>
      </c>
      <c r="DS40">
        <f>SUMIF('Как будет'!$A101:$A108,Доп.расчеты!$A40,'Как будет'!DT101:DT108)</f>
        <v>0</v>
      </c>
      <c r="DT40">
        <f>SUMIF('Как будет'!$A101:$A108,Доп.расчеты!$A40,'Как будет'!DU101:DU108)</f>
        <v>0</v>
      </c>
      <c r="DU40">
        <f>SUMIF('Как будет'!$A101:$A108,Доп.расчеты!$A40,'Как будет'!DV101:DV108)</f>
        <v>0</v>
      </c>
      <c r="DV40">
        <f>SUMIF('Как будет'!$A101:$A108,Доп.расчеты!$A40,'Как будет'!DW101:DW108)</f>
        <v>0</v>
      </c>
      <c r="DW40">
        <f>SUMIF('Как будет'!$A101:$A108,Доп.расчеты!$A40,'Как будет'!DX101:DX108)</f>
        <v>0</v>
      </c>
      <c r="DX40">
        <f>SUMIF('Как будет'!$A101:$A108,Доп.расчеты!$A40,'Как будет'!DY101:DY108)</f>
        <v>0</v>
      </c>
      <c r="DY40">
        <f>SUMIF('Как будет'!$A101:$A108,Доп.расчеты!$A40,'Как будет'!DZ101:DZ108)</f>
        <v>0</v>
      </c>
      <c r="DZ40">
        <f>SUMIF('Как будет'!$A101:$A108,Доп.расчеты!$A40,'Как будет'!EA101:EA108)</f>
        <v>0</v>
      </c>
      <c r="EA40">
        <f>SUMIF('Как будет'!$A101:$A108,Доп.расчеты!$A40,'Как будет'!EB101:EB108)</f>
        <v>0</v>
      </c>
      <c r="EB40">
        <f>SUMIF('Как будет'!$A101:$A108,Доп.расчеты!$A40,'Как будет'!EC101:EC108)</f>
        <v>0</v>
      </c>
      <c r="EC40">
        <f>SUMIF('Как будет'!$A101:$A108,Доп.расчеты!$A40,'Как будет'!ED101:ED108)</f>
        <v>0</v>
      </c>
      <c r="ED40">
        <f>SUMIF('Как будет'!$A101:$A108,Доп.расчеты!$A40,'Как будет'!EE101:EE108)</f>
        <v>0</v>
      </c>
      <c r="EE40">
        <f>SUMIF('Как будет'!$A101:$A108,Доп.расчеты!$A40,'Как будет'!EF101:EF108)</f>
        <v>0</v>
      </c>
      <c r="EF40">
        <f>SUMIF('Как будет'!$A101:$A108,Доп.расчеты!$A40,'Как будет'!EG101:EG108)</f>
        <v>0</v>
      </c>
      <c r="EG40">
        <f>SUMIF('Как будет'!$A101:$A108,Доп.расчеты!$A40,'Как будет'!EH101:EH108)</f>
        <v>0</v>
      </c>
      <c r="EH40">
        <f>SUMIF('Как будет'!$A101:$A108,Доп.расчеты!$A40,'Как будет'!EI101:EI108)</f>
        <v>0</v>
      </c>
      <c r="EI40">
        <f>SUMIF('Как будет'!$A101:$A108,Доп.расчеты!$A40,'Как будет'!EJ101:EJ108)</f>
        <v>0</v>
      </c>
      <c r="EJ40">
        <f>SUMIF('Как будет'!$A101:$A108,Доп.расчеты!$A40,'Как будет'!EK101:EK108)</f>
        <v>0</v>
      </c>
      <c r="EK40">
        <f>SUMIF('Как будет'!$A101:$A108,Доп.расчеты!$A40,'Как будет'!EL101:EL108)</f>
        <v>0</v>
      </c>
      <c r="EL40">
        <f>SUMIF('Как будет'!$A101:$A108,Доп.расчеты!$A40,'Как будет'!EM101:EM108)</f>
        <v>0</v>
      </c>
      <c r="EM40">
        <f>SUMIF('Как будет'!$A101:$A108,Доп.расчеты!$A40,'Как будет'!EN101:EN108)</f>
        <v>0</v>
      </c>
      <c r="EN40">
        <f>SUMIF('Как будет'!$A101:$A108,Доп.расчеты!$A40,'Как будет'!EO101:EO108)</f>
        <v>0</v>
      </c>
      <c r="EO40">
        <f>SUMIF('Как будет'!$A101:$A108,Доп.расчеты!$A40,'Как будет'!EP101:EP108)</f>
        <v>0</v>
      </c>
      <c r="EP40">
        <f>SUMIF('Как будет'!$A101:$A108,Доп.расчеты!$A40,'Как будет'!EQ101:EQ108)</f>
        <v>0</v>
      </c>
      <c r="EQ40">
        <f>SUMIF('Как будет'!$A101:$A108,Доп.расчеты!$A40,'Как будет'!ER101:ER108)</f>
        <v>0</v>
      </c>
      <c r="ER40">
        <f>SUMIF('Как будет'!$A101:$A108,Доп.расчеты!$A40,'Как будет'!ES101:ES108)</f>
        <v>0</v>
      </c>
      <c r="ES40">
        <f>SUMIF('Как будет'!$A101:$A108,Доп.расчеты!$A40,'Как будет'!ET101:ET108)</f>
        <v>0</v>
      </c>
      <c r="ET40">
        <f>SUMIF('Как будет'!$A101:$A108,Доп.расчеты!$A40,'Как будет'!EU101:EU108)</f>
        <v>0</v>
      </c>
      <c r="EU40">
        <f>SUMIF('Как будет'!$A101:$A108,Доп.расчеты!$A40,'Как будет'!EV101:EV108)</f>
        <v>0</v>
      </c>
      <c r="EV40">
        <f>SUMIF('Как будет'!$A101:$A108,Доп.расчеты!$A40,'Как будет'!EW101:EW108)</f>
        <v>0</v>
      </c>
      <c r="EW40">
        <f>SUMIF('Как будет'!$A101:$A108,Доп.расчеты!$A40,'Как будет'!EX101:EX108)</f>
        <v>0</v>
      </c>
      <c r="EX40">
        <f>SUMIF('Как будет'!$A101:$A108,Доп.расчеты!$A40,'Как будет'!EY101:EY108)</f>
        <v>0</v>
      </c>
      <c r="EY40">
        <f>SUMIF('Как будет'!$A101:$A108,Доп.расчеты!$A40,'Как будет'!EZ101:EZ108)</f>
        <v>0</v>
      </c>
      <c r="EZ40">
        <f>SUMIF('Как будет'!$A101:$A108,Доп.расчеты!$A40,'Как будет'!FA101:FA108)</f>
        <v>0</v>
      </c>
      <c r="FA40">
        <f>SUMIF('Как будет'!$A101:$A108,Доп.расчеты!$A40,'Как будет'!FB101:FB108)</f>
        <v>0</v>
      </c>
      <c r="FB40">
        <f>SUMIF('Как будет'!$A101:$A108,Доп.расчеты!$A40,'Как будет'!FC101:FC108)</f>
        <v>0</v>
      </c>
      <c r="FC40">
        <f>SUMIF('Как будет'!$A101:$A108,Доп.расчеты!$A40,'Как будет'!FD101:FD108)</f>
        <v>0</v>
      </c>
      <c r="FD40">
        <f>SUMIF('Как будет'!$A101:$A108,Доп.расчеты!$A40,'Как будет'!FE101:FE108)</f>
        <v>0</v>
      </c>
      <c r="FE40">
        <f>SUMIF('Как будет'!$A101:$A108,Доп.расчеты!$A40,'Как будет'!FF101:FF108)</f>
        <v>0</v>
      </c>
      <c r="FF40">
        <f>SUMIF('Как будет'!$A101:$A108,Доп.расчеты!$A40,'Как будет'!FG101:FG108)</f>
        <v>0</v>
      </c>
      <c r="FG40">
        <f>SUMIF('Как будет'!$A101:$A108,Доп.расчеты!$A40,'Как будет'!FH101:FH108)</f>
        <v>0</v>
      </c>
      <c r="FH40">
        <f>SUMIF('Как будет'!$A101:$A108,Доп.расчеты!$A40,'Как будет'!FI101:FI108)</f>
        <v>0</v>
      </c>
      <c r="FI40">
        <f>SUMIF('Как будет'!$A101:$A108,Доп.расчеты!$A40,'Как будет'!FJ101:FJ108)</f>
        <v>0</v>
      </c>
      <c r="FJ40">
        <f>SUMIF('Как будет'!$A101:$A108,Доп.расчеты!$A40,'Как будет'!FK101:FK108)</f>
        <v>0</v>
      </c>
      <c r="FK40">
        <f>SUMIF('Как будет'!$A101:$A108,Доп.расчеты!$A40,'Как будет'!FL101:FL108)</f>
        <v>0</v>
      </c>
      <c r="FL40">
        <f>SUMIF('Как будет'!$A101:$A108,Доп.расчеты!$A40,'Как будет'!FM101:FM108)</f>
        <v>0</v>
      </c>
      <c r="FM40">
        <f>SUMIF('Как будет'!$A101:$A108,Доп.расчеты!$A40,'Как будет'!FN101:FN108)</f>
        <v>0</v>
      </c>
      <c r="FN40">
        <f>SUMIF('Как будет'!$A101:$A108,Доп.расчеты!$A40,'Как будет'!FO101:FO108)</f>
        <v>0</v>
      </c>
      <c r="FO40">
        <f>SUMIF('Как будет'!$A101:$A108,Доп.расчеты!$A40,'Как будет'!FP101:FP108)</f>
        <v>0</v>
      </c>
      <c r="FP40">
        <f>SUMIF('Как будет'!$A101:$A108,Доп.расчеты!$A40,'Как будет'!FQ101:FQ108)</f>
        <v>0</v>
      </c>
      <c r="FQ40">
        <f>SUMIF('Как будет'!$A101:$A108,Доп.расчеты!$A40,'Как будет'!FR101:FR108)</f>
        <v>0</v>
      </c>
      <c r="FR40">
        <f>SUMIF('Как будет'!$A101:$A108,Доп.расчеты!$A40,'Как будет'!FS101:FS108)</f>
        <v>0</v>
      </c>
      <c r="FS40">
        <f>SUMIF('Как будет'!$A101:$A108,Доп.расчеты!$A40,'Как будет'!FT101:FT108)</f>
        <v>0</v>
      </c>
      <c r="FT40">
        <f>SUMIF('Как будет'!$A101:$A108,Доп.расчеты!$A40,'Как будет'!FU101:FU108)</f>
        <v>0</v>
      </c>
      <c r="FU40">
        <f>SUMIF('Как будет'!$A101:$A108,Доп.расчеты!$A40,'Как будет'!FV101:FV108)</f>
        <v>0</v>
      </c>
      <c r="FV40">
        <f>SUMIF('Как будет'!$A101:$A108,Доп.расчеты!$A40,'Как будет'!FW101:FW108)</f>
        <v>0</v>
      </c>
      <c r="FW40">
        <f>SUMIF('Как будет'!$A101:$A108,Доп.расчеты!$A40,'Как будет'!FX101:FX108)</f>
        <v>0</v>
      </c>
      <c r="FX40">
        <f>SUMIF('Как будет'!$A101:$A108,Доп.расчеты!$A40,'Как будет'!FY101:FY108)</f>
        <v>0</v>
      </c>
      <c r="FY40">
        <f>SUMIF('Как будет'!$A101:$A108,Доп.расчеты!$A40,'Как будет'!FZ101:FZ108)</f>
        <v>0</v>
      </c>
      <c r="FZ40">
        <f>SUMIF('Как будет'!$A101:$A108,Доп.расчеты!$A40,'Как будет'!GA101:GA108)</f>
        <v>0</v>
      </c>
      <c r="GA40">
        <f>SUMIF('Как будет'!$A101:$A108,Доп.расчеты!$A40,'Как будет'!GB101:GB108)</f>
        <v>0</v>
      </c>
      <c r="GB40">
        <f>SUMIF('Как будет'!$A101:$A108,Доп.расчеты!$A40,'Как будет'!GC101:GC108)</f>
        <v>0</v>
      </c>
      <c r="GC40">
        <f>SUMIF('Как будет'!$A101:$A108,Доп.расчеты!$A40,'Как будет'!GD101:GD108)</f>
        <v>0</v>
      </c>
      <c r="GD40">
        <f>SUMIF('Как будет'!$A101:$A108,Доп.расчеты!$A40,'Как будет'!GE101:GE108)</f>
        <v>0</v>
      </c>
      <c r="GE40">
        <f>SUMIF('Как будет'!$A101:$A108,Доп.расчеты!$A40,'Как будет'!GF101:GF108)</f>
        <v>0</v>
      </c>
      <c r="GF40">
        <f>SUMIF('Как будет'!$A101:$A108,Доп.расчеты!$A40,'Как будет'!GG101:GG108)</f>
        <v>0</v>
      </c>
      <c r="GG40">
        <f>SUMIF('Как будет'!$A101:$A108,Доп.расчеты!$A40,'Как будет'!GH101:GH108)</f>
        <v>0</v>
      </c>
      <c r="GH40">
        <f>SUMIF('Как будет'!$A101:$A108,Доп.расчеты!$A40,'Как будет'!GI101:GI108)</f>
        <v>0</v>
      </c>
      <c r="GI40">
        <f>SUMIF('Как будет'!$A101:$A108,Доп.расчеты!$A40,'Как будет'!GJ101:GJ108)</f>
        <v>0</v>
      </c>
      <c r="GJ40">
        <f>SUMIF('Как будет'!$A101:$A108,Доп.расчеты!$A40,'Как будет'!GK101:GK108)</f>
        <v>0</v>
      </c>
      <c r="GK40">
        <f>SUMIF('Как будет'!$A101:$A108,Доп.расчеты!$A40,'Как будет'!GL101:GL108)</f>
        <v>0</v>
      </c>
      <c r="GL40">
        <f>SUMIF('Как будет'!$A101:$A108,Доп.расчеты!$A40,'Как будет'!GM101:GM108)</f>
        <v>0</v>
      </c>
      <c r="GM40">
        <f>SUMIF('Как будет'!$A101:$A108,Доп.расчеты!$A40,'Как будет'!GN101:GN108)</f>
        <v>0</v>
      </c>
      <c r="GN40">
        <f>SUMIF('Как будет'!$A101:$A108,Доп.расчеты!$A40,'Как будет'!GO101:GO108)</f>
        <v>0</v>
      </c>
      <c r="GO40">
        <f>SUMIF('Как будет'!$A101:$A108,Доп.расчеты!$A40,'Как будет'!GP101:GP108)</f>
        <v>0</v>
      </c>
      <c r="GP40">
        <f>SUMIF('Как будет'!$A101:$A108,Доп.расчеты!$A40,'Как будет'!GQ101:GQ108)</f>
        <v>0</v>
      </c>
      <c r="GQ40">
        <f>SUMIF('Как будет'!$A101:$A108,Доп.расчеты!$A40,'Как будет'!GR101:GR108)</f>
        <v>0</v>
      </c>
      <c r="GR40">
        <f>SUMIF('Как будет'!$A101:$A108,Доп.расчеты!$A40,'Как будет'!GS101:GS108)</f>
        <v>0</v>
      </c>
      <c r="GS40">
        <f>SUMIF('Как будет'!$A101:$A108,Доп.расчеты!$A40,'Как будет'!GT101:GT108)</f>
        <v>0</v>
      </c>
      <c r="GT40">
        <f>SUMIF('Как будет'!$A101:$A108,Доп.расчеты!$A40,'Как будет'!GU101:GU108)</f>
        <v>0</v>
      </c>
    </row>
    <row r="41" spans="1:202">
      <c r="A41" s="236" t="s">
        <v>11</v>
      </c>
      <c r="B41">
        <f>SUMIF('Как будет'!$A101:$A108,Доп.расчеты!$A41,'Как будет'!C101:C108)</f>
        <v>0</v>
      </c>
      <c r="C41">
        <f>SUMIF('Как будет'!$A101:$A108,Доп.расчеты!$A41,'Как будет'!D101:D108)</f>
        <v>0</v>
      </c>
      <c r="D41">
        <f>SUMIF('Как будет'!$A101:$A108,Доп.расчеты!$A41,'Как будет'!E101:E108)</f>
        <v>0</v>
      </c>
      <c r="E41">
        <f>SUMIF('Как будет'!$A101:$A108,Доп.расчеты!$A41,'Как будет'!F101:F108)</f>
        <v>0</v>
      </c>
      <c r="F41">
        <f>SUMIF('Как будет'!$A101:$A108,Доп.расчеты!$A41,'Как будет'!G101:G108)</f>
        <v>0</v>
      </c>
      <c r="G41">
        <f>SUMIF('Как будет'!$A101:$A108,Доп.расчеты!$A41,'Как будет'!H101:H108)</f>
        <v>0</v>
      </c>
      <c r="H41">
        <f>SUMIF('Как будет'!$A101:$A108,Доп.расчеты!$A41,'Как будет'!I101:I108)</f>
        <v>0</v>
      </c>
      <c r="I41">
        <f>SUMIF('Как будет'!$A101:$A108,Доп.расчеты!$A41,'Как будет'!J101:J108)</f>
        <v>0</v>
      </c>
      <c r="J41">
        <f>SUMIF('Как будет'!$A101:$A108,Доп.расчеты!$A41,'Как будет'!K101:K108)</f>
        <v>0</v>
      </c>
      <c r="K41">
        <f>SUMIF('Как будет'!$A101:$A108,Доп.расчеты!$A41,'Как будет'!L101:L108)</f>
        <v>0</v>
      </c>
      <c r="L41">
        <f>SUMIF('Как будет'!$A101:$A108,Доп.расчеты!$A41,'Как будет'!M101:M108)</f>
        <v>0</v>
      </c>
      <c r="M41">
        <f>SUMIF('Как будет'!$A101:$A108,Доп.расчеты!$A41,'Как будет'!N101:N108)</f>
        <v>0</v>
      </c>
      <c r="N41">
        <f>SUMIF('Как будет'!$A101:$A108,Доп.расчеты!$A41,'Как будет'!O101:O108)</f>
        <v>0</v>
      </c>
      <c r="O41">
        <f>SUMIF('Как будет'!$A101:$A108,Доп.расчеты!$A41,'Как будет'!P101:P108)</f>
        <v>0</v>
      </c>
      <c r="P41">
        <f>SUMIF('Как будет'!$A101:$A108,Доп.расчеты!$A41,'Как будет'!Q101:Q108)</f>
        <v>0</v>
      </c>
      <c r="Q41">
        <f>SUMIF('Как будет'!$A101:$A108,Доп.расчеты!$A41,'Как будет'!R101:R108)</f>
        <v>0</v>
      </c>
      <c r="R41">
        <f>SUMIF('Как будет'!$A101:$A108,Доп.расчеты!$A41,'Как будет'!S101:S108)</f>
        <v>0</v>
      </c>
      <c r="S41">
        <f>SUMIF('Как будет'!$A101:$A108,Доп.расчеты!$A41,'Как будет'!T101:T108)</f>
        <v>0</v>
      </c>
      <c r="T41">
        <f>SUMIF('Как будет'!$A101:$A108,Доп.расчеты!$A41,'Как будет'!U101:U108)</f>
        <v>0</v>
      </c>
      <c r="U41">
        <f>SUMIF('Как будет'!$A101:$A108,Доп.расчеты!$A41,'Как будет'!V101:V108)</f>
        <v>0</v>
      </c>
      <c r="V41">
        <f>SUMIF('Как будет'!$A101:$A108,Доп.расчеты!$A41,'Как будет'!W101:W108)</f>
        <v>0</v>
      </c>
      <c r="W41">
        <f>SUMIF('Как будет'!$A101:$A108,Доп.расчеты!$A41,'Как будет'!X101:X108)</f>
        <v>0</v>
      </c>
      <c r="X41">
        <f>SUMIF('Как будет'!$A101:$A108,Доп.расчеты!$A41,'Как будет'!Y101:Y108)</f>
        <v>0</v>
      </c>
      <c r="Y41">
        <f>SUMIF('Как будет'!$A101:$A108,Доп.расчеты!$A41,'Как будет'!Z101:Z108)</f>
        <v>0</v>
      </c>
      <c r="Z41">
        <f>SUMIF('Как будет'!$A101:$A108,Доп.расчеты!$A41,'Как будет'!AA101:AA108)</f>
        <v>0</v>
      </c>
      <c r="AA41">
        <f>SUMIF('Как будет'!$A101:$A108,Доп.расчеты!$A41,'Как будет'!AB101:AB108)</f>
        <v>0</v>
      </c>
      <c r="AB41">
        <f>SUMIF('Как будет'!$A101:$A108,Доп.расчеты!$A41,'Как будет'!AC101:AC108)</f>
        <v>0</v>
      </c>
      <c r="AC41">
        <f>SUMIF('Как будет'!$A101:$A108,Доп.расчеты!$A41,'Как будет'!AD101:AD108)</f>
        <v>0</v>
      </c>
      <c r="AD41">
        <f>SUMIF('Как будет'!$A101:$A108,Доп.расчеты!$A41,'Как будет'!AE101:AE108)</f>
        <v>0</v>
      </c>
      <c r="AE41">
        <f>SUMIF('Как будет'!$A101:$A108,Доп.расчеты!$A41,'Как будет'!AF101:AF108)</f>
        <v>0</v>
      </c>
      <c r="AF41">
        <f>SUMIF('Как будет'!$A101:$A108,Доп.расчеты!$A41,'Как будет'!AG101:AG108)</f>
        <v>0</v>
      </c>
      <c r="AG41">
        <f>SUMIF('Как будет'!$A101:$A108,Доп.расчеты!$A41,'Как будет'!AH101:AH108)</f>
        <v>0</v>
      </c>
      <c r="AH41">
        <f>SUMIF('Как будет'!$A101:$A108,Доп.расчеты!$A41,'Как будет'!AI101:AI108)</f>
        <v>0</v>
      </c>
      <c r="AI41">
        <f>SUMIF('Как будет'!$A101:$A108,Доп.расчеты!$A41,'Как будет'!AJ101:AJ108)</f>
        <v>0</v>
      </c>
      <c r="AJ41">
        <f>SUMIF('Как будет'!$A101:$A108,Доп.расчеты!$A41,'Как будет'!AK101:AK108)</f>
        <v>0</v>
      </c>
      <c r="AK41">
        <f>SUMIF('Как будет'!$A101:$A108,Доп.расчеты!$A41,'Как будет'!AL101:AL108)</f>
        <v>0</v>
      </c>
      <c r="AL41">
        <f>SUMIF('Как будет'!$A101:$A108,Доп.расчеты!$A41,'Как будет'!AM101:AM108)</f>
        <v>0</v>
      </c>
      <c r="AM41">
        <f>SUMIF('Как будет'!$A101:$A108,Доп.расчеты!$A41,'Как будет'!AN101:AN108)</f>
        <v>0</v>
      </c>
      <c r="AN41">
        <f>SUMIF('Как будет'!$A101:$A108,Доп.расчеты!$A41,'Как будет'!AO101:AO108)</f>
        <v>0</v>
      </c>
      <c r="AO41">
        <f>SUMIF('Как будет'!$A101:$A108,Доп.расчеты!$A41,'Как будет'!AP101:AP108)</f>
        <v>0</v>
      </c>
      <c r="AP41">
        <f>SUMIF('Как будет'!$A101:$A108,Доп.расчеты!$A41,'Как будет'!AQ101:AQ108)</f>
        <v>0</v>
      </c>
      <c r="AQ41">
        <f>SUMIF('Как будет'!$A101:$A108,Доп.расчеты!$A41,'Как будет'!AR101:AR108)</f>
        <v>0</v>
      </c>
      <c r="AR41">
        <f>SUMIF('Как будет'!$A101:$A108,Доп.расчеты!$A41,'Как будет'!AS101:AS108)</f>
        <v>0</v>
      </c>
      <c r="AS41">
        <f>SUMIF('Как будет'!$A101:$A108,Доп.расчеты!$A41,'Как будет'!AT101:AT108)</f>
        <v>0</v>
      </c>
      <c r="AT41">
        <f>SUMIF('Как будет'!$A101:$A108,Доп.расчеты!$A41,'Как будет'!AU101:AU108)</f>
        <v>0</v>
      </c>
      <c r="AU41">
        <f>SUMIF('Как будет'!$A101:$A108,Доп.расчеты!$A41,'Как будет'!AV101:AV108)</f>
        <v>0</v>
      </c>
      <c r="AV41">
        <f>SUMIF('Как будет'!$A101:$A108,Доп.расчеты!$A41,'Как будет'!AW101:AW108)</f>
        <v>0</v>
      </c>
      <c r="AW41">
        <f>SUMIF('Как будет'!$A101:$A108,Доп.расчеты!$A41,'Как будет'!AX101:AX108)</f>
        <v>0</v>
      </c>
      <c r="AX41">
        <f>SUMIF('Как будет'!$A101:$A108,Доп.расчеты!$A41,'Как будет'!AY101:AY108)</f>
        <v>0</v>
      </c>
      <c r="AY41">
        <f>SUMIF('Как будет'!$A101:$A108,Доп.расчеты!$A41,'Как будет'!AZ101:AZ108)</f>
        <v>0</v>
      </c>
      <c r="AZ41">
        <f>SUMIF('Как будет'!$A101:$A108,Доп.расчеты!$A41,'Как будет'!BA101:BA108)</f>
        <v>0</v>
      </c>
      <c r="BA41">
        <f>SUMIF('Как будет'!$A101:$A108,Доп.расчеты!$A41,'Как будет'!BB101:BB108)</f>
        <v>0</v>
      </c>
      <c r="BB41">
        <f>SUMIF('Как будет'!$A101:$A108,Доп.расчеты!$A41,'Как будет'!BC101:BC108)</f>
        <v>0</v>
      </c>
      <c r="BC41">
        <f>SUMIF('Как будет'!$A101:$A108,Доп.расчеты!$A41,'Как будет'!BD101:BD108)</f>
        <v>0</v>
      </c>
      <c r="BD41">
        <f>SUMIF('Как будет'!$A101:$A108,Доп.расчеты!$A41,'Как будет'!BE101:BE108)</f>
        <v>0</v>
      </c>
      <c r="BE41">
        <f>SUMIF('Как будет'!$A101:$A108,Доп.расчеты!$A41,'Как будет'!BF101:BF108)</f>
        <v>0</v>
      </c>
      <c r="BF41">
        <f>SUMIF('Как будет'!$A101:$A108,Доп.расчеты!$A41,'Как будет'!BG101:BG108)</f>
        <v>0</v>
      </c>
      <c r="BG41">
        <f>SUMIF('Как будет'!$A101:$A108,Доп.расчеты!$A41,'Как будет'!BH101:BH108)</f>
        <v>0</v>
      </c>
      <c r="BH41">
        <f>SUMIF('Как будет'!$A101:$A108,Доп.расчеты!$A41,'Как будет'!BI101:BI108)</f>
        <v>0</v>
      </c>
      <c r="BI41">
        <f>SUMIF('Как будет'!$A101:$A108,Доп.расчеты!$A41,'Как будет'!BJ101:BJ108)</f>
        <v>0</v>
      </c>
      <c r="BJ41">
        <f>SUMIF('Как будет'!$A101:$A108,Доп.расчеты!$A41,'Как будет'!BK101:BK108)</f>
        <v>0</v>
      </c>
      <c r="BK41">
        <f>SUMIF('Как будет'!$A101:$A108,Доп.расчеты!$A41,'Как будет'!BL101:BL108)</f>
        <v>0</v>
      </c>
      <c r="BL41">
        <f>SUMIF('Как будет'!$A101:$A108,Доп.расчеты!$A41,'Как будет'!BM101:BM108)</f>
        <v>0</v>
      </c>
      <c r="BM41">
        <f>SUMIF('Как будет'!$A101:$A108,Доп.расчеты!$A41,'Как будет'!BN101:BN108)</f>
        <v>0</v>
      </c>
      <c r="BN41">
        <f>SUMIF('Как будет'!$A101:$A108,Доп.расчеты!$A41,'Как будет'!BO101:BO108)</f>
        <v>0</v>
      </c>
      <c r="BO41">
        <f>SUMIF('Как будет'!$A101:$A108,Доп.расчеты!$A41,'Как будет'!BP101:BP108)</f>
        <v>0</v>
      </c>
      <c r="BP41">
        <f>SUMIF('Как будет'!$A101:$A108,Доп.расчеты!$A41,'Как будет'!BQ101:BQ108)</f>
        <v>0</v>
      </c>
      <c r="BQ41">
        <f>SUMIF('Как будет'!$A101:$A108,Доп.расчеты!$A41,'Как будет'!BR101:BR108)</f>
        <v>0</v>
      </c>
      <c r="BR41">
        <f>SUMIF('Как будет'!$A101:$A108,Доп.расчеты!$A41,'Как будет'!BS101:BS108)</f>
        <v>0</v>
      </c>
      <c r="BS41">
        <f>SUMIF('Как будет'!$A101:$A108,Доп.расчеты!$A41,'Как будет'!BT101:BT108)</f>
        <v>0</v>
      </c>
      <c r="BT41">
        <f>SUMIF('Как будет'!$A101:$A108,Доп.расчеты!$A41,'Как будет'!BU101:BU108)</f>
        <v>0</v>
      </c>
      <c r="BU41">
        <f>SUMIF('Как будет'!$A101:$A108,Доп.расчеты!$A41,'Как будет'!BV101:BV108)</f>
        <v>0</v>
      </c>
      <c r="BV41">
        <f>SUMIF('Как будет'!$A101:$A108,Доп.расчеты!$A41,'Как будет'!BW101:BW108)</f>
        <v>0</v>
      </c>
      <c r="BW41">
        <f>SUMIF('Как будет'!$A101:$A108,Доп.расчеты!$A41,'Как будет'!BX101:BX108)</f>
        <v>0</v>
      </c>
      <c r="BX41">
        <f>SUMIF('Как будет'!$A101:$A108,Доп.расчеты!$A41,'Как будет'!BY101:BY108)</f>
        <v>0</v>
      </c>
      <c r="BY41">
        <f>SUMIF('Как будет'!$A101:$A108,Доп.расчеты!$A41,'Как будет'!BZ101:BZ108)</f>
        <v>0</v>
      </c>
      <c r="BZ41">
        <f>SUMIF('Как будет'!$A101:$A108,Доп.расчеты!$A41,'Как будет'!CA101:CA108)</f>
        <v>0</v>
      </c>
      <c r="CA41">
        <f>SUMIF('Как будет'!$A101:$A108,Доп.расчеты!$A41,'Как будет'!CB101:CB108)</f>
        <v>0</v>
      </c>
      <c r="CB41">
        <f>SUMIF('Как будет'!$A101:$A108,Доп.расчеты!$A41,'Как будет'!CC101:CC108)</f>
        <v>0</v>
      </c>
      <c r="CC41">
        <f>SUMIF('Как будет'!$A101:$A108,Доп.расчеты!$A41,'Как будет'!CD101:CD108)</f>
        <v>0</v>
      </c>
      <c r="CD41">
        <f>SUMIF('Как будет'!$A101:$A108,Доп.расчеты!$A41,'Как будет'!CE101:CE108)</f>
        <v>0</v>
      </c>
      <c r="CE41">
        <f>SUMIF('Как будет'!$A101:$A108,Доп.расчеты!$A41,'Как будет'!CF101:CF108)</f>
        <v>0</v>
      </c>
      <c r="CF41">
        <f>SUMIF('Как будет'!$A101:$A108,Доп.расчеты!$A41,'Как будет'!CG101:CG108)</f>
        <v>0</v>
      </c>
      <c r="CG41">
        <f>SUMIF('Как будет'!$A101:$A108,Доп.расчеты!$A41,'Как будет'!CH101:CH108)</f>
        <v>0</v>
      </c>
      <c r="CH41">
        <f>SUMIF('Как будет'!$A101:$A108,Доп.расчеты!$A41,'Как будет'!CI101:CI108)</f>
        <v>0</v>
      </c>
      <c r="CI41">
        <f>SUMIF('Как будет'!$A101:$A108,Доп.расчеты!$A41,'Как будет'!CJ101:CJ108)</f>
        <v>0</v>
      </c>
      <c r="CJ41">
        <f>SUMIF('Как будет'!$A101:$A108,Доп.расчеты!$A41,'Как будет'!CK101:CK108)</f>
        <v>0</v>
      </c>
      <c r="CK41">
        <f>SUMIF('Как будет'!$A101:$A108,Доп.расчеты!$A41,'Как будет'!CL101:CL108)</f>
        <v>0</v>
      </c>
      <c r="CL41">
        <f>SUMIF('Как будет'!$A101:$A108,Доп.расчеты!$A41,'Как будет'!CM101:CM108)</f>
        <v>0</v>
      </c>
      <c r="CM41">
        <f>SUMIF('Как будет'!$A101:$A108,Доп.расчеты!$A41,'Как будет'!CN101:CN108)</f>
        <v>0</v>
      </c>
      <c r="CN41">
        <f>SUMIF('Как будет'!$A101:$A108,Доп.расчеты!$A41,'Как будет'!CO101:CO108)</f>
        <v>0</v>
      </c>
      <c r="CO41">
        <f>SUMIF('Как будет'!$A101:$A108,Доп.расчеты!$A41,'Как будет'!CP101:CP108)</f>
        <v>0</v>
      </c>
      <c r="CP41">
        <f>SUMIF('Как будет'!$A101:$A108,Доп.расчеты!$A41,'Как будет'!CQ101:CQ108)</f>
        <v>0</v>
      </c>
      <c r="CQ41">
        <f>SUMIF('Как будет'!$A101:$A108,Доп.расчеты!$A41,'Как будет'!CR101:CR108)</f>
        <v>0</v>
      </c>
      <c r="CR41">
        <f>SUMIF('Как будет'!$A101:$A108,Доп.расчеты!$A41,'Как будет'!CS101:CS108)</f>
        <v>0</v>
      </c>
      <c r="CS41">
        <f>SUMIF('Как будет'!$A101:$A108,Доп.расчеты!$A41,'Как будет'!CT101:CT108)</f>
        <v>0</v>
      </c>
      <c r="CT41">
        <f>SUMIF('Как будет'!$A101:$A108,Доп.расчеты!$A41,'Как будет'!CU101:CU108)</f>
        <v>0</v>
      </c>
      <c r="CU41">
        <f>SUMIF('Как будет'!$A101:$A108,Доп.расчеты!$A41,'Как будет'!CV101:CV108)</f>
        <v>0</v>
      </c>
      <c r="CV41">
        <f>SUMIF('Как будет'!$A101:$A108,Доп.расчеты!$A41,'Как будет'!CW101:CW108)</f>
        <v>0</v>
      </c>
      <c r="CW41">
        <f>SUMIF('Как будет'!$A101:$A108,Доп.расчеты!$A41,'Как будет'!CX101:CX108)</f>
        <v>0</v>
      </c>
      <c r="CX41">
        <f>SUMIF('Как будет'!$A101:$A108,Доп.расчеты!$A41,'Как будет'!CY101:CY108)</f>
        <v>0</v>
      </c>
      <c r="CY41">
        <f>SUMIF('Как будет'!$A101:$A108,Доп.расчеты!$A41,'Как будет'!CZ101:CZ108)</f>
        <v>0</v>
      </c>
      <c r="CZ41">
        <f>SUMIF('Как будет'!$A101:$A108,Доп.расчеты!$A41,'Как будет'!DA101:DA108)</f>
        <v>0</v>
      </c>
      <c r="DA41">
        <f>SUMIF('Как будет'!$A101:$A108,Доп.расчеты!$A41,'Как будет'!DB101:DB108)</f>
        <v>0</v>
      </c>
      <c r="DB41">
        <f>SUMIF('Как будет'!$A101:$A108,Доп.расчеты!$A41,'Как будет'!DC101:DC108)</f>
        <v>0</v>
      </c>
      <c r="DC41">
        <f>SUMIF('Как будет'!$A101:$A108,Доп.расчеты!$A41,'Как будет'!DD101:DD108)</f>
        <v>0</v>
      </c>
      <c r="DD41">
        <f>SUMIF('Как будет'!$A101:$A108,Доп.расчеты!$A41,'Как будет'!DE101:DE108)</f>
        <v>0</v>
      </c>
      <c r="DE41">
        <f>SUMIF('Как будет'!$A101:$A108,Доп.расчеты!$A41,'Как будет'!DF101:DF108)</f>
        <v>0</v>
      </c>
      <c r="DF41">
        <f>SUMIF('Как будет'!$A101:$A108,Доп.расчеты!$A41,'Как будет'!DG101:DG108)</f>
        <v>0</v>
      </c>
      <c r="DG41">
        <f>SUMIF('Как будет'!$A101:$A108,Доп.расчеты!$A41,'Как будет'!DH101:DH108)</f>
        <v>0</v>
      </c>
      <c r="DH41">
        <f>SUMIF('Как будет'!$A101:$A108,Доп.расчеты!$A41,'Как будет'!DI101:DI108)</f>
        <v>0</v>
      </c>
      <c r="DI41">
        <f>SUMIF('Как будет'!$A101:$A108,Доп.расчеты!$A41,'Как будет'!DJ101:DJ108)</f>
        <v>0</v>
      </c>
      <c r="DJ41">
        <f>SUMIF('Как будет'!$A101:$A108,Доп.расчеты!$A41,'Как будет'!DK101:DK108)</f>
        <v>0</v>
      </c>
      <c r="DK41">
        <f>SUMIF('Как будет'!$A101:$A108,Доп.расчеты!$A41,'Как будет'!DL101:DL108)</f>
        <v>0</v>
      </c>
      <c r="DL41">
        <f>SUMIF('Как будет'!$A101:$A108,Доп.расчеты!$A41,'Как будет'!DM101:DM108)</f>
        <v>0</v>
      </c>
      <c r="DM41">
        <f>SUMIF('Как будет'!$A101:$A108,Доп.расчеты!$A41,'Как будет'!DN101:DN108)</f>
        <v>0</v>
      </c>
      <c r="DN41">
        <f>SUMIF('Как будет'!$A101:$A108,Доп.расчеты!$A41,'Как будет'!DO101:DO108)</f>
        <v>0</v>
      </c>
      <c r="DO41">
        <f>SUMIF('Как будет'!$A101:$A108,Доп.расчеты!$A41,'Как будет'!DP101:DP108)</f>
        <v>0</v>
      </c>
      <c r="DP41">
        <f>SUMIF('Как будет'!$A101:$A108,Доп.расчеты!$A41,'Как будет'!DQ101:DQ108)</f>
        <v>0</v>
      </c>
      <c r="DQ41">
        <f>SUMIF('Как будет'!$A101:$A108,Доп.расчеты!$A41,'Как будет'!DR101:DR108)</f>
        <v>0</v>
      </c>
      <c r="DR41">
        <f>SUMIF('Как будет'!$A101:$A108,Доп.расчеты!$A41,'Как будет'!DS101:DS108)</f>
        <v>0</v>
      </c>
      <c r="DS41">
        <f>SUMIF('Как будет'!$A101:$A108,Доп.расчеты!$A41,'Как будет'!DT101:DT108)</f>
        <v>0</v>
      </c>
      <c r="DT41">
        <f>SUMIF('Как будет'!$A101:$A108,Доп.расчеты!$A41,'Как будет'!DU101:DU108)</f>
        <v>0</v>
      </c>
      <c r="DU41">
        <f>SUMIF('Как будет'!$A101:$A108,Доп.расчеты!$A41,'Как будет'!DV101:DV108)</f>
        <v>0</v>
      </c>
      <c r="DV41">
        <f>SUMIF('Как будет'!$A101:$A108,Доп.расчеты!$A41,'Как будет'!DW101:DW108)</f>
        <v>0</v>
      </c>
      <c r="DW41">
        <f>SUMIF('Как будет'!$A101:$A108,Доп.расчеты!$A41,'Как будет'!DX101:DX108)</f>
        <v>0</v>
      </c>
      <c r="DX41">
        <f>SUMIF('Как будет'!$A101:$A108,Доп.расчеты!$A41,'Как будет'!DY101:DY108)</f>
        <v>0</v>
      </c>
      <c r="DY41">
        <f>SUMIF('Как будет'!$A101:$A108,Доп.расчеты!$A41,'Как будет'!DZ101:DZ108)</f>
        <v>0</v>
      </c>
      <c r="DZ41">
        <f>SUMIF('Как будет'!$A101:$A108,Доп.расчеты!$A41,'Как будет'!EA101:EA108)</f>
        <v>0</v>
      </c>
      <c r="EA41">
        <f>SUMIF('Как будет'!$A101:$A108,Доп.расчеты!$A41,'Как будет'!EB101:EB108)</f>
        <v>0</v>
      </c>
      <c r="EB41">
        <f>SUMIF('Как будет'!$A101:$A108,Доп.расчеты!$A41,'Как будет'!EC101:EC108)</f>
        <v>0</v>
      </c>
      <c r="EC41">
        <f>SUMIF('Как будет'!$A101:$A108,Доп.расчеты!$A41,'Как будет'!ED101:ED108)</f>
        <v>0</v>
      </c>
      <c r="ED41">
        <f>SUMIF('Как будет'!$A101:$A108,Доп.расчеты!$A41,'Как будет'!EE101:EE108)</f>
        <v>0</v>
      </c>
      <c r="EE41">
        <f>SUMIF('Как будет'!$A101:$A108,Доп.расчеты!$A41,'Как будет'!EF101:EF108)</f>
        <v>0</v>
      </c>
      <c r="EF41">
        <f>SUMIF('Как будет'!$A101:$A108,Доп.расчеты!$A41,'Как будет'!EG101:EG108)</f>
        <v>0</v>
      </c>
      <c r="EG41">
        <f>SUMIF('Как будет'!$A101:$A108,Доп.расчеты!$A41,'Как будет'!EH101:EH108)</f>
        <v>0</v>
      </c>
      <c r="EH41">
        <f>SUMIF('Как будет'!$A101:$A108,Доп.расчеты!$A41,'Как будет'!EI101:EI108)</f>
        <v>0</v>
      </c>
      <c r="EI41">
        <f>SUMIF('Как будет'!$A101:$A108,Доп.расчеты!$A41,'Как будет'!EJ101:EJ108)</f>
        <v>0</v>
      </c>
      <c r="EJ41">
        <f>SUMIF('Как будет'!$A101:$A108,Доп.расчеты!$A41,'Как будет'!EK101:EK108)</f>
        <v>0</v>
      </c>
      <c r="EK41">
        <f>SUMIF('Как будет'!$A101:$A108,Доп.расчеты!$A41,'Как будет'!EL101:EL108)</f>
        <v>0</v>
      </c>
      <c r="EL41">
        <f>SUMIF('Как будет'!$A101:$A108,Доп.расчеты!$A41,'Как будет'!EM101:EM108)</f>
        <v>0</v>
      </c>
      <c r="EM41">
        <f>SUMIF('Как будет'!$A101:$A108,Доп.расчеты!$A41,'Как будет'!EN101:EN108)</f>
        <v>0</v>
      </c>
      <c r="EN41">
        <f>SUMIF('Как будет'!$A101:$A108,Доп.расчеты!$A41,'Как будет'!EO101:EO108)</f>
        <v>0</v>
      </c>
      <c r="EO41">
        <f>SUMIF('Как будет'!$A101:$A108,Доп.расчеты!$A41,'Как будет'!EP101:EP108)</f>
        <v>0</v>
      </c>
      <c r="EP41">
        <f>SUMIF('Как будет'!$A101:$A108,Доп.расчеты!$A41,'Как будет'!EQ101:EQ108)</f>
        <v>0</v>
      </c>
      <c r="EQ41">
        <f>SUMIF('Как будет'!$A101:$A108,Доп.расчеты!$A41,'Как будет'!ER101:ER108)</f>
        <v>0</v>
      </c>
      <c r="ER41">
        <f>SUMIF('Как будет'!$A101:$A108,Доп.расчеты!$A41,'Как будет'!ES101:ES108)</f>
        <v>0</v>
      </c>
      <c r="ES41">
        <f>SUMIF('Как будет'!$A101:$A108,Доп.расчеты!$A41,'Как будет'!ET101:ET108)</f>
        <v>0</v>
      </c>
      <c r="ET41">
        <f>SUMIF('Как будет'!$A101:$A108,Доп.расчеты!$A41,'Как будет'!EU101:EU108)</f>
        <v>0</v>
      </c>
      <c r="EU41">
        <f>SUMIF('Как будет'!$A101:$A108,Доп.расчеты!$A41,'Как будет'!EV101:EV108)</f>
        <v>0</v>
      </c>
      <c r="EV41">
        <f>SUMIF('Как будет'!$A101:$A108,Доп.расчеты!$A41,'Как будет'!EW101:EW108)</f>
        <v>0</v>
      </c>
      <c r="EW41">
        <f>SUMIF('Как будет'!$A101:$A108,Доп.расчеты!$A41,'Как будет'!EX101:EX108)</f>
        <v>0</v>
      </c>
      <c r="EX41">
        <f>SUMIF('Как будет'!$A101:$A108,Доп.расчеты!$A41,'Как будет'!EY101:EY108)</f>
        <v>0</v>
      </c>
      <c r="EY41">
        <f>SUMIF('Как будет'!$A101:$A108,Доп.расчеты!$A41,'Как будет'!EZ101:EZ108)</f>
        <v>0</v>
      </c>
      <c r="EZ41">
        <f>SUMIF('Как будет'!$A101:$A108,Доп.расчеты!$A41,'Как будет'!FA101:FA108)</f>
        <v>0</v>
      </c>
      <c r="FA41">
        <f>SUMIF('Как будет'!$A101:$A108,Доп.расчеты!$A41,'Как будет'!FB101:FB108)</f>
        <v>0</v>
      </c>
      <c r="FB41">
        <f>SUMIF('Как будет'!$A101:$A108,Доп.расчеты!$A41,'Как будет'!FC101:FC108)</f>
        <v>0</v>
      </c>
      <c r="FC41">
        <f>SUMIF('Как будет'!$A101:$A108,Доп.расчеты!$A41,'Как будет'!FD101:FD108)</f>
        <v>0</v>
      </c>
      <c r="FD41">
        <f>SUMIF('Как будет'!$A101:$A108,Доп.расчеты!$A41,'Как будет'!FE101:FE108)</f>
        <v>0</v>
      </c>
      <c r="FE41">
        <f>SUMIF('Как будет'!$A101:$A108,Доп.расчеты!$A41,'Как будет'!FF101:FF108)</f>
        <v>0</v>
      </c>
      <c r="FF41">
        <f>SUMIF('Как будет'!$A101:$A108,Доп.расчеты!$A41,'Как будет'!FG101:FG108)</f>
        <v>0</v>
      </c>
      <c r="FG41">
        <f>SUMIF('Как будет'!$A101:$A108,Доп.расчеты!$A41,'Как будет'!FH101:FH108)</f>
        <v>0</v>
      </c>
      <c r="FH41">
        <f>SUMIF('Как будет'!$A101:$A108,Доп.расчеты!$A41,'Как будет'!FI101:FI108)</f>
        <v>0</v>
      </c>
      <c r="FI41">
        <f>SUMIF('Как будет'!$A101:$A108,Доп.расчеты!$A41,'Как будет'!FJ101:FJ108)</f>
        <v>0</v>
      </c>
      <c r="FJ41">
        <f>SUMIF('Как будет'!$A101:$A108,Доп.расчеты!$A41,'Как будет'!FK101:FK108)</f>
        <v>0</v>
      </c>
      <c r="FK41">
        <f>SUMIF('Как будет'!$A101:$A108,Доп.расчеты!$A41,'Как будет'!FL101:FL108)</f>
        <v>0</v>
      </c>
      <c r="FL41">
        <f>SUMIF('Как будет'!$A101:$A108,Доп.расчеты!$A41,'Как будет'!FM101:FM108)</f>
        <v>0</v>
      </c>
      <c r="FM41">
        <f>SUMIF('Как будет'!$A101:$A108,Доп.расчеты!$A41,'Как будет'!FN101:FN108)</f>
        <v>0</v>
      </c>
      <c r="FN41">
        <f>SUMIF('Как будет'!$A101:$A108,Доп.расчеты!$A41,'Как будет'!FO101:FO108)</f>
        <v>0</v>
      </c>
      <c r="FO41">
        <f>SUMIF('Как будет'!$A101:$A108,Доп.расчеты!$A41,'Как будет'!FP101:FP108)</f>
        <v>0</v>
      </c>
      <c r="FP41">
        <f>SUMIF('Как будет'!$A101:$A108,Доп.расчеты!$A41,'Как будет'!FQ101:FQ108)</f>
        <v>0</v>
      </c>
      <c r="FQ41">
        <f>SUMIF('Как будет'!$A101:$A108,Доп.расчеты!$A41,'Как будет'!FR101:FR108)</f>
        <v>0</v>
      </c>
      <c r="FR41">
        <f>SUMIF('Как будет'!$A101:$A108,Доп.расчеты!$A41,'Как будет'!FS101:FS108)</f>
        <v>0</v>
      </c>
      <c r="FS41">
        <f>SUMIF('Как будет'!$A101:$A108,Доп.расчеты!$A41,'Как будет'!FT101:FT108)</f>
        <v>0</v>
      </c>
      <c r="FT41">
        <f>SUMIF('Как будет'!$A101:$A108,Доп.расчеты!$A41,'Как будет'!FU101:FU108)</f>
        <v>0</v>
      </c>
      <c r="FU41">
        <f>SUMIF('Как будет'!$A101:$A108,Доп.расчеты!$A41,'Как будет'!FV101:FV108)</f>
        <v>0</v>
      </c>
      <c r="FV41">
        <f>SUMIF('Как будет'!$A101:$A108,Доп.расчеты!$A41,'Как будет'!FW101:FW108)</f>
        <v>0</v>
      </c>
      <c r="FW41">
        <f>SUMIF('Как будет'!$A101:$A108,Доп.расчеты!$A41,'Как будет'!FX101:FX108)</f>
        <v>0</v>
      </c>
      <c r="FX41">
        <f>SUMIF('Как будет'!$A101:$A108,Доп.расчеты!$A41,'Как будет'!FY101:FY108)</f>
        <v>0</v>
      </c>
      <c r="FY41">
        <f>SUMIF('Как будет'!$A101:$A108,Доп.расчеты!$A41,'Как будет'!FZ101:FZ108)</f>
        <v>0</v>
      </c>
      <c r="FZ41">
        <f>SUMIF('Как будет'!$A101:$A108,Доп.расчеты!$A41,'Как будет'!GA101:GA108)</f>
        <v>0</v>
      </c>
      <c r="GA41">
        <f>SUMIF('Как будет'!$A101:$A108,Доп.расчеты!$A41,'Как будет'!GB101:GB108)</f>
        <v>0</v>
      </c>
      <c r="GB41">
        <f>SUMIF('Как будет'!$A101:$A108,Доп.расчеты!$A41,'Как будет'!GC101:GC108)</f>
        <v>0</v>
      </c>
      <c r="GC41">
        <f>SUMIF('Как будет'!$A101:$A108,Доп.расчеты!$A41,'Как будет'!GD101:GD108)</f>
        <v>0</v>
      </c>
      <c r="GD41">
        <f>SUMIF('Как будет'!$A101:$A108,Доп.расчеты!$A41,'Как будет'!GE101:GE108)</f>
        <v>0</v>
      </c>
      <c r="GE41">
        <f>SUMIF('Как будет'!$A101:$A108,Доп.расчеты!$A41,'Как будет'!GF101:GF108)</f>
        <v>0</v>
      </c>
      <c r="GF41">
        <f>SUMIF('Как будет'!$A101:$A108,Доп.расчеты!$A41,'Как будет'!GG101:GG108)</f>
        <v>0</v>
      </c>
      <c r="GG41">
        <f>SUMIF('Как будет'!$A101:$A108,Доп.расчеты!$A41,'Как будет'!GH101:GH108)</f>
        <v>0</v>
      </c>
      <c r="GH41">
        <f>SUMIF('Как будет'!$A101:$A108,Доп.расчеты!$A41,'Как будет'!GI101:GI108)</f>
        <v>0</v>
      </c>
      <c r="GI41">
        <f>SUMIF('Как будет'!$A101:$A108,Доп.расчеты!$A41,'Как будет'!GJ101:GJ108)</f>
        <v>0</v>
      </c>
      <c r="GJ41">
        <f>SUMIF('Как будет'!$A101:$A108,Доп.расчеты!$A41,'Как будет'!GK101:GK108)</f>
        <v>0</v>
      </c>
      <c r="GK41">
        <f>SUMIF('Как будет'!$A101:$A108,Доп.расчеты!$A41,'Как будет'!GL101:GL108)</f>
        <v>0</v>
      </c>
      <c r="GL41">
        <f>SUMIF('Как будет'!$A101:$A108,Доп.расчеты!$A41,'Как будет'!GM101:GM108)</f>
        <v>0</v>
      </c>
      <c r="GM41">
        <f>SUMIF('Как будет'!$A101:$A108,Доп.расчеты!$A41,'Как будет'!GN101:GN108)</f>
        <v>0</v>
      </c>
      <c r="GN41">
        <f>SUMIF('Как будет'!$A101:$A108,Доп.расчеты!$A41,'Как будет'!GO101:GO108)</f>
        <v>0</v>
      </c>
      <c r="GO41">
        <f>SUMIF('Как будет'!$A101:$A108,Доп.расчеты!$A41,'Как будет'!GP101:GP108)</f>
        <v>0</v>
      </c>
      <c r="GP41">
        <f>SUMIF('Как будет'!$A101:$A108,Доп.расчеты!$A41,'Как будет'!GQ101:GQ108)</f>
        <v>0</v>
      </c>
      <c r="GQ41">
        <f>SUMIF('Как будет'!$A101:$A108,Доп.расчеты!$A41,'Как будет'!GR101:GR108)</f>
        <v>0</v>
      </c>
      <c r="GR41">
        <f>SUMIF('Как будет'!$A101:$A108,Доп.расчеты!$A41,'Как будет'!GS101:GS108)</f>
        <v>0</v>
      </c>
      <c r="GS41">
        <f>SUMIF('Как будет'!$A101:$A108,Доп.расчеты!$A41,'Как будет'!GT101:GT108)</f>
        <v>0</v>
      </c>
      <c r="GT41">
        <f>SUMIF('Как будет'!$A101:$A108,Доп.расчеты!$A41,'Как будет'!GU101:GU108)</f>
        <v>0</v>
      </c>
    </row>
    <row r="42" spans="1:202">
      <c r="A42" s="236" t="s">
        <v>12</v>
      </c>
      <c r="B42">
        <f>SUMIF('Как будет'!$A101:$A108,Доп.расчеты!$A42,'Как будет'!C101:C108)</f>
        <v>0</v>
      </c>
      <c r="C42">
        <f>SUMIF('Как будет'!$A101:$A108,Доп.расчеты!$A42,'Как будет'!D101:D108)</f>
        <v>0</v>
      </c>
      <c r="D42">
        <f>SUMIF('Как будет'!$A101:$A108,Доп.расчеты!$A42,'Как будет'!E101:E108)</f>
        <v>0</v>
      </c>
      <c r="E42">
        <f>SUMIF('Как будет'!$A101:$A108,Доп.расчеты!$A42,'Как будет'!F101:F108)</f>
        <v>0</v>
      </c>
      <c r="F42">
        <f>SUMIF('Как будет'!$A101:$A108,Доп.расчеты!$A42,'Как будет'!G101:G108)</f>
        <v>0</v>
      </c>
      <c r="G42">
        <f>SUMIF('Как будет'!$A101:$A108,Доп.расчеты!$A42,'Как будет'!H101:H108)</f>
        <v>0</v>
      </c>
      <c r="H42">
        <f>SUMIF('Как будет'!$A101:$A108,Доп.расчеты!$A42,'Как будет'!I101:I108)</f>
        <v>0</v>
      </c>
      <c r="I42">
        <f>SUMIF('Как будет'!$A101:$A108,Доп.расчеты!$A42,'Как будет'!J101:J108)</f>
        <v>0</v>
      </c>
      <c r="J42">
        <f>SUMIF('Как будет'!$A101:$A108,Доп.расчеты!$A42,'Как будет'!K101:K108)</f>
        <v>0</v>
      </c>
      <c r="K42">
        <f>SUMIF('Как будет'!$A101:$A108,Доп.расчеты!$A42,'Как будет'!L101:L108)</f>
        <v>0</v>
      </c>
      <c r="L42">
        <f>SUMIF('Как будет'!$A101:$A108,Доп.расчеты!$A42,'Как будет'!M101:M108)</f>
        <v>0</v>
      </c>
      <c r="M42">
        <f>SUMIF('Как будет'!$A101:$A108,Доп.расчеты!$A42,'Как будет'!N101:N108)</f>
        <v>0</v>
      </c>
      <c r="N42">
        <f>SUMIF('Как будет'!$A101:$A108,Доп.расчеты!$A42,'Как будет'!O101:O108)</f>
        <v>0</v>
      </c>
      <c r="O42">
        <f>SUMIF('Как будет'!$A101:$A108,Доп.расчеты!$A42,'Как будет'!P101:P108)</f>
        <v>0</v>
      </c>
      <c r="P42">
        <f>SUMIF('Как будет'!$A101:$A108,Доп.расчеты!$A42,'Как будет'!Q101:Q108)</f>
        <v>0</v>
      </c>
      <c r="Q42">
        <f>SUMIF('Как будет'!$A101:$A108,Доп.расчеты!$A42,'Как будет'!R101:R108)</f>
        <v>0</v>
      </c>
      <c r="R42">
        <f>SUMIF('Как будет'!$A101:$A108,Доп.расчеты!$A42,'Как будет'!S101:S108)</f>
        <v>0</v>
      </c>
      <c r="S42">
        <f>SUMIF('Как будет'!$A101:$A108,Доп.расчеты!$A42,'Как будет'!T101:T108)</f>
        <v>0</v>
      </c>
      <c r="T42">
        <f>SUMIF('Как будет'!$A101:$A108,Доп.расчеты!$A42,'Как будет'!U101:U108)</f>
        <v>0</v>
      </c>
      <c r="U42">
        <f>SUMIF('Как будет'!$A101:$A108,Доп.расчеты!$A42,'Как будет'!V101:V108)</f>
        <v>0</v>
      </c>
      <c r="V42">
        <f>SUMIF('Как будет'!$A101:$A108,Доп.расчеты!$A42,'Как будет'!W101:W108)</f>
        <v>0</v>
      </c>
      <c r="W42">
        <f>SUMIF('Как будет'!$A101:$A108,Доп.расчеты!$A42,'Как будет'!X101:X108)</f>
        <v>0</v>
      </c>
      <c r="X42">
        <f>SUMIF('Как будет'!$A101:$A108,Доп.расчеты!$A42,'Как будет'!Y101:Y108)</f>
        <v>0</v>
      </c>
      <c r="Y42">
        <f>SUMIF('Как будет'!$A101:$A108,Доп.расчеты!$A42,'Как будет'!Z101:Z108)</f>
        <v>0</v>
      </c>
      <c r="Z42">
        <f>SUMIF('Как будет'!$A101:$A108,Доп.расчеты!$A42,'Как будет'!AA101:AA108)</f>
        <v>0</v>
      </c>
      <c r="AA42">
        <f>SUMIF('Как будет'!$A101:$A108,Доп.расчеты!$A42,'Как будет'!AB101:AB108)</f>
        <v>0</v>
      </c>
      <c r="AB42">
        <f>SUMIF('Как будет'!$A101:$A108,Доп.расчеты!$A42,'Как будет'!AC101:AC108)</f>
        <v>0</v>
      </c>
      <c r="AC42">
        <f>SUMIF('Как будет'!$A101:$A108,Доп.расчеты!$A42,'Как будет'!AD101:AD108)</f>
        <v>0</v>
      </c>
      <c r="AD42">
        <f>SUMIF('Как будет'!$A101:$A108,Доп.расчеты!$A42,'Как будет'!AE101:AE108)</f>
        <v>0</v>
      </c>
      <c r="AE42">
        <f>SUMIF('Как будет'!$A101:$A108,Доп.расчеты!$A42,'Как будет'!AF101:AF108)</f>
        <v>0</v>
      </c>
      <c r="AF42">
        <f>SUMIF('Как будет'!$A101:$A108,Доп.расчеты!$A42,'Как будет'!AG101:AG108)</f>
        <v>0</v>
      </c>
      <c r="AG42">
        <f>SUMIF('Как будет'!$A101:$A108,Доп.расчеты!$A42,'Как будет'!AH101:AH108)</f>
        <v>0</v>
      </c>
      <c r="AH42">
        <f>SUMIF('Как будет'!$A101:$A108,Доп.расчеты!$A42,'Как будет'!AI101:AI108)</f>
        <v>0</v>
      </c>
      <c r="AI42">
        <f>SUMIF('Как будет'!$A101:$A108,Доп.расчеты!$A42,'Как будет'!AJ101:AJ108)</f>
        <v>0</v>
      </c>
      <c r="AJ42">
        <f>SUMIF('Как будет'!$A101:$A108,Доп.расчеты!$A42,'Как будет'!AK101:AK108)</f>
        <v>0</v>
      </c>
      <c r="AK42">
        <f>SUMIF('Как будет'!$A101:$A108,Доп.расчеты!$A42,'Как будет'!AL101:AL108)</f>
        <v>0</v>
      </c>
      <c r="AL42">
        <f>SUMIF('Как будет'!$A101:$A108,Доп.расчеты!$A42,'Как будет'!AM101:AM108)</f>
        <v>0</v>
      </c>
      <c r="AM42">
        <f>SUMIF('Как будет'!$A101:$A108,Доп.расчеты!$A42,'Как будет'!AN101:AN108)</f>
        <v>0</v>
      </c>
      <c r="AN42">
        <f>SUMIF('Как будет'!$A101:$A108,Доп.расчеты!$A42,'Как будет'!AO101:AO108)</f>
        <v>0</v>
      </c>
      <c r="AO42">
        <f>SUMIF('Как будет'!$A101:$A108,Доп.расчеты!$A42,'Как будет'!AP101:AP108)</f>
        <v>0</v>
      </c>
      <c r="AP42">
        <f>SUMIF('Как будет'!$A101:$A108,Доп.расчеты!$A42,'Как будет'!AQ101:AQ108)</f>
        <v>0</v>
      </c>
      <c r="AQ42">
        <f>SUMIF('Как будет'!$A101:$A108,Доп.расчеты!$A42,'Как будет'!AR101:AR108)</f>
        <v>0</v>
      </c>
      <c r="AR42">
        <f>SUMIF('Как будет'!$A101:$A108,Доп.расчеты!$A42,'Как будет'!AS101:AS108)</f>
        <v>0</v>
      </c>
      <c r="AS42">
        <f>SUMIF('Как будет'!$A101:$A108,Доп.расчеты!$A42,'Как будет'!AT101:AT108)</f>
        <v>0</v>
      </c>
      <c r="AT42">
        <f>SUMIF('Как будет'!$A101:$A108,Доп.расчеты!$A42,'Как будет'!AU101:AU108)</f>
        <v>0</v>
      </c>
      <c r="AU42">
        <f>SUMIF('Как будет'!$A101:$A108,Доп.расчеты!$A42,'Как будет'!AV101:AV108)</f>
        <v>0</v>
      </c>
      <c r="AV42">
        <f>SUMIF('Как будет'!$A101:$A108,Доп.расчеты!$A42,'Как будет'!AW101:AW108)</f>
        <v>0</v>
      </c>
      <c r="AW42">
        <f>SUMIF('Как будет'!$A101:$A108,Доп.расчеты!$A42,'Как будет'!AX101:AX108)</f>
        <v>0</v>
      </c>
      <c r="AX42">
        <f>SUMIF('Как будет'!$A101:$A108,Доп.расчеты!$A42,'Как будет'!AY101:AY108)</f>
        <v>0</v>
      </c>
      <c r="AY42">
        <f>SUMIF('Как будет'!$A101:$A108,Доп.расчеты!$A42,'Как будет'!AZ101:AZ108)</f>
        <v>0</v>
      </c>
      <c r="AZ42">
        <f>SUMIF('Как будет'!$A101:$A108,Доп.расчеты!$A42,'Как будет'!BA101:BA108)</f>
        <v>0</v>
      </c>
      <c r="BA42">
        <f>SUMIF('Как будет'!$A101:$A108,Доп.расчеты!$A42,'Как будет'!BB101:BB108)</f>
        <v>0</v>
      </c>
      <c r="BB42">
        <f>SUMIF('Как будет'!$A101:$A108,Доп.расчеты!$A42,'Как будет'!BC101:BC108)</f>
        <v>0</v>
      </c>
      <c r="BC42">
        <f>SUMIF('Как будет'!$A101:$A108,Доп.расчеты!$A42,'Как будет'!BD101:BD108)</f>
        <v>0</v>
      </c>
      <c r="BD42">
        <f>SUMIF('Как будет'!$A101:$A108,Доп.расчеты!$A42,'Как будет'!BE101:BE108)</f>
        <v>0</v>
      </c>
      <c r="BE42">
        <f>SUMIF('Как будет'!$A101:$A108,Доп.расчеты!$A42,'Как будет'!BF101:BF108)</f>
        <v>0</v>
      </c>
      <c r="BF42">
        <f>SUMIF('Как будет'!$A101:$A108,Доп.расчеты!$A42,'Как будет'!BG101:BG108)</f>
        <v>0</v>
      </c>
      <c r="BG42">
        <f>SUMIF('Как будет'!$A101:$A108,Доп.расчеты!$A42,'Как будет'!BH101:BH108)</f>
        <v>0</v>
      </c>
      <c r="BH42">
        <f>SUMIF('Как будет'!$A101:$A108,Доп.расчеты!$A42,'Как будет'!BI101:BI108)</f>
        <v>0</v>
      </c>
      <c r="BI42">
        <f>SUMIF('Как будет'!$A101:$A108,Доп.расчеты!$A42,'Как будет'!BJ101:BJ108)</f>
        <v>0</v>
      </c>
      <c r="BJ42">
        <f>SUMIF('Как будет'!$A101:$A108,Доп.расчеты!$A42,'Как будет'!BK101:BK108)</f>
        <v>0</v>
      </c>
      <c r="BK42">
        <f>SUMIF('Как будет'!$A101:$A108,Доп.расчеты!$A42,'Как будет'!BL101:BL108)</f>
        <v>0</v>
      </c>
      <c r="BL42">
        <f>SUMIF('Как будет'!$A101:$A108,Доп.расчеты!$A42,'Как будет'!BM101:BM108)</f>
        <v>0</v>
      </c>
      <c r="BM42">
        <f>SUMIF('Как будет'!$A101:$A108,Доп.расчеты!$A42,'Как будет'!BN101:BN108)</f>
        <v>0</v>
      </c>
      <c r="BN42">
        <f>SUMIF('Как будет'!$A101:$A108,Доп.расчеты!$A42,'Как будет'!BO101:BO108)</f>
        <v>0</v>
      </c>
      <c r="BO42">
        <f>SUMIF('Как будет'!$A101:$A108,Доп.расчеты!$A42,'Как будет'!BP101:BP108)</f>
        <v>0</v>
      </c>
      <c r="BP42">
        <f>SUMIF('Как будет'!$A101:$A108,Доп.расчеты!$A42,'Как будет'!BQ101:BQ108)</f>
        <v>0</v>
      </c>
      <c r="BQ42">
        <f>SUMIF('Как будет'!$A101:$A108,Доп.расчеты!$A42,'Как будет'!BR101:BR108)</f>
        <v>0</v>
      </c>
      <c r="BR42">
        <f>SUMIF('Как будет'!$A101:$A108,Доп.расчеты!$A42,'Как будет'!BS101:BS108)</f>
        <v>0</v>
      </c>
      <c r="BS42">
        <f>SUMIF('Как будет'!$A101:$A108,Доп.расчеты!$A42,'Как будет'!BT101:BT108)</f>
        <v>0</v>
      </c>
      <c r="BT42">
        <f>SUMIF('Как будет'!$A101:$A108,Доп.расчеты!$A42,'Как будет'!BU101:BU108)</f>
        <v>0</v>
      </c>
      <c r="BU42">
        <f>SUMIF('Как будет'!$A101:$A108,Доп.расчеты!$A42,'Как будет'!BV101:BV108)</f>
        <v>0</v>
      </c>
      <c r="BV42">
        <f>SUMIF('Как будет'!$A101:$A108,Доп.расчеты!$A42,'Как будет'!BW101:BW108)</f>
        <v>0</v>
      </c>
      <c r="BW42">
        <f>SUMIF('Как будет'!$A101:$A108,Доп.расчеты!$A42,'Как будет'!BX101:BX108)</f>
        <v>0</v>
      </c>
      <c r="BX42">
        <f>SUMIF('Как будет'!$A101:$A108,Доп.расчеты!$A42,'Как будет'!BY101:BY108)</f>
        <v>0</v>
      </c>
      <c r="BY42">
        <f>SUMIF('Как будет'!$A101:$A108,Доп.расчеты!$A42,'Как будет'!BZ101:BZ108)</f>
        <v>0</v>
      </c>
      <c r="BZ42">
        <f>SUMIF('Как будет'!$A101:$A108,Доп.расчеты!$A42,'Как будет'!CA101:CA108)</f>
        <v>0</v>
      </c>
      <c r="CA42">
        <f>SUMIF('Как будет'!$A101:$A108,Доп.расчеты!$A42,'Как будет'!CB101:CB108)</f>
        <v>0</v>
      </c>
      <c r="CB42">
        <f>SUMIF('Как будет'!$A101:$A108,Доп.расчеты!$A42,'Как будет'!CC101:CC108)</f>
        <v>0</v>
      </c>
      <c r="CC42">
        <f>SUMIF('Как будет'!$A101:$A108,Доп.расчеты!$A42,'Как будет'!CD101:CD108)</f>
        <v>0</v>
      </c>
      <c r="CD42">
        <f>SUMIF('Как будет'!$A101:$A108,Доп.расчеты!$A42,'Как будет'!CE101:CE108)</f>
        <v>0</v>
      </c>
      <c r="CE42">
        <f>SUMIF('Как будет'!$A101:$A108,Доп.расчеты!$A42,'Как будет'!CF101:CF108)</f>
        <v>0</v>
      </c>
      <c r="CF42">
        <f>SUMIF('Как будет'!$A101:$A108,Доп.расчеты!$A42,'Как будет'!CG101:CG108)</f>
        <v>0</v>
      </c>
      <c r="CG42">
        <f>SUMIF('Как будет'!$A101:$A108,Доп.расчеты!$A42,'Как будет'!CH101:CH108)</f>
        <v>0</v>
      </c>
      <c r="CH42">
        <f>SUMIF('Как будет'!$A101:$A108,Доп.расчеты!$A42,'Как будет'!CI101:CI108)</f>
        <v>0</v>
      </c>
      <c r="CI42">
        <f>SUMIF('Как будет'!$A101:$A108,Доп.расчеты!$A42,'Как будет'!CJ101:CJ108)</f>
        <v>0</v>
      </c>
      <c r="CJ42">
        <f>SUMIF('Как будет'!$A101:$A108,Доп.расчеты!$A42,'Как будет'!CK101:CK108)</f>
        <v>0</v>
      </c>
      <c r="CK42">
        <f>SUMIF('Как будет'!$A101:$A108,Доп.расчеты!$A42,'Как будет'!CL101:CL108)</f>
        <v>0</v>
      </c>
      <c r="CL42">
        <f>SUMIF('Как будет'!$A101:$A108,Доп.расчеты!$A42,'Как будет'!CM101:CM108)</f>
        <v>0</v>
      </c>
      <c r="CM42">
        <f>SUMIF('Как будет'!$A101:$A108,Доп.расчеты!$A42,'Как будет'!CN101:CN108)</f>
        <v>0</v>
      </c>
      <c r="CN42">
        <f>SUMIF('Как будет'!$A101:$A108,Доп.расчеты!$A42,'Как будет'!CO101:CO108)</f>
        <v>0</v>
      </c>
      <c r="CO42">
        <f>SUMIF('Как будет'!$A101:$A108,Доп.расчеты!$A42,'Как будет'!CP101:CP108)</f>
        <v>0</v>
      </c>
      <c r="CP42">
        <f>SUMIF('Как будет'!$A101:$A108,Доп.расчеты!$A42,'Как будет'!CQ101:CQ108)</f>
        <v>0</v>
      </c>
      <c r="CQ42">
        <f>SUMIF('Как будет'!$A101:$A108,Доп.расчеты!$A42,'Как будет'!CR101:CR108)</f>
        <v>0</v>
      </c>
      <c r="CR42">
        <f>SUMIF('Как будет'!$A101:$A108,Доп.расчеты!$A42,'Как будет'!CS101:CS108)</f>
        <v>0</v>
      </c>
      <c r="CS42">
        <f>SUMIF('Как будет'!$A101:$A108,Доп.расчеты!$A42,'Как будет'!CT101:CT108)</f>
        <v>0</v>
      </c>
      <c r="CT42">
        <f>SUMIF('Как будет'!$A101:$A108,Доп.расчеты!$A42,'Как будет'!CU101:CU108)</f>
        <v>0</v>
      </c>
      <c r="CU42">
        <f>SUMIF('Как будет'!$A101:$A108,Доп.расчеты!$A42,'Как будет'!CV101:CV108)</f>
        <v>0</v>
      </c>
      <c r="CV42">
        <f>SUMIF('Как будет'!$A101:$A108,Доп.расчеты!$A42,'Как будет'!CW101:CW108)</f>
        <v>0</v>
      </c>
      <c r="CW42">
        <f>SUMIF('Как будет'!$A101:$A108,Доп.расчеты!$A42,'Как будет'!CX101:CX108)</f>
        <v>0</v>
      </c>
      <c r="CX42">
        <f>SUMIF('Как будет'!$A101:$A108,Доп.расчеты!$A42,'Как будет'!CY101:CY108)</f>
        <v>0</v>
      </c>
      <c r="CY42">
        <f>SUMIF('Как будет'!$A101:$A108,Доп.расчеты!$A42,'Как будет'!CZ101:CZ108)</f>
        <v>0</v>
      </c>
      <c r="CZ42">
        <f>SUMIF('Как будет'!$A101:$A108,Доп.расчеты!$A42,'Как будет'!DA101:DA108)</f>
        <v>0</v>
      </c>
      <c r="DA42">
        <f>SUMIF('Как будет'!$A101:$A108,Доп.расчеты!$A42,'Как будет'!DB101:DB108)</f>
        <v>0</v>
      </c>
      <c r="DB42">
        <f>SUMIF('Как будет'!$A101:$A108,Доп.расчеты!$A42,'Как будет'!DC101:DC108)</f>
        <v>0</v>
      </c>
      <c r="DC42">
        <f>SUMIF('Как будет'!$A101:$A108,Доп.расчеты!$A42,'Как будет'!DD101:DD108)</f>
        <v>0</v>
      </c>
      <c r="DD42">
        <f>SUMIF('Как будет'!$A101:$A108,Доп.расчеты!$A42,'Как будет'!DE101:DE108)</f>
        <v>0</v>
      </c>
      <c r="DE42">
        <f>SUMIF('Как будет'!$A101:$A108,Доп.расчеты!$A42,'Как будет'!DF101:DF108)</f>
        <v>0</v>
      </c>
      <c r="DF42">
        <f>SUMIF('Как будет'!$A101:$A108,Доп.расчеты!$A42,'Как будет'!DG101:DG108)</f>
        <v>0</v>
      </c>
      <c r="DG42">
        <f>SUMIF('Как будет'!$A101:$A108,Доп.расчеты!$A42,'Как будет'!DH101:DH108)</f>
        <v>0</v>
      </c>
      <c r="DH42">
        <f>SUMIF('Как будет'!$A101:$A108,Доп.расчеты!$A42,'Как будет'!DI101:DI108)</f>
        <v>0</v>
      </c>
      <c r="DI42">
        <f>SUMIF('Как будет'!$A101:$A108,Доп.расчеты!$A42,'Как будет'!DJ101:DJ108)</f>
        <v>0</v>
      </c>
      <c r="DJ42">
        <f>SUMIF('Как будет'!$A101:$A108,Доп.расчеты!$A42,'Как будет'!DK101:DK108)</f>
        <v>0</v>
      </c>
      <c r="DK42">
        <f>SUMIF('Как будет'!$A101:$A108,Доп.расчеты!$A42,'Как будет'!DL101:DL108)</f>
        <v>0</v>
      </c>
      <c r="DL42">
        <f>SUMIF('Как будет'!$A101:$A108,Доп.расчеты!$A42,'Как будет'!DM101:DM108)</f>
        <v>0</v>
      </c>
      <c r="DM42">
        <f>SUMIF('Как будет'!$A101:$A108,Доп.расчеты!$A42,'Как будет'!DN101:DN108)</f>
        <v>0</v>
      </c>
      <c r="DN42">
        <f>SUMIF('Как будет'!$A101:$A108,Доп.расчеты!$A42,'Как будет'!DO101:DO108)</f>
        <v>0</v>
      </c>
      <c r="DO42">
        <f>SUMIF('Как будет'!$A101:$A108,Доп.расчеты!$A42,'Как будет'!DP101:DP108)</f>
        <v>0</v>
      </c>
      <c r="DP42">
        <f>SUMIF('Как будет'!$A101:$A108,Доп.расчеты!$A42,'Как будет'!DQ101:DQ108)</f>
        <v>0</v>
      </c>
      <c r="DQ42">
        <f>SUMIF('Как будет'!$A101:$A108,Доп.расчеты!$A42,'Как будет'!DR101:DR108)</f>
        <v>0</v>
      </c>
      <c r="DR42">
        <f>SUMIF('Как будет'!$A101:$A108,Доп.расчеты!$A42,'Как будет'!DS101:DS108)</f>
        <v>0</v>
      </c>
      <c r="DS42">
        <f>SUMIF('Как будет'!$A101:$A108,Доп.расчеты!$A42,'Как будет'!DT101:DT108)</f>
        <v>0</v>
      </c>
      <c r="DT42">
        <f>SUMIF('Как будет'!$A101:$A108,Доп.расчеты!$A42,'Как будет'!DU101:DU108)</f>
        <v>0</v>
      </c>
      <c r="DU42">
        <f>SUMIF('Как будет'!$A101:$A108,Доп.расчеты!$A42,'Как будет'!DV101:DV108)</f>
        <v>0</v>
      </c>
      <c r="DV42">
        <f>SUMIF('Как будет'!$A101:$A108,Доп.расчеты!$A42,'Как будет'!DW101:DW108)</f>
        <v>0</v>
      </c>
      <c r="DW42">
        <f>SUMIF('Как будет'!$A101:$A108,Доп.расчеты!$A42,'Как будет'!DX101:DX108)</f>
        <v>0</v>
      </c>
      <c r="DX42">
        <f>SUMIF('Как будет'!$A101:$A108,Доп.расчеты!$A42,'Как будет'!DY101:DY108)</f>
        <v>0</v>
      </c>
      <c r="DY42">
        <f>SUMIF('Как будет'!$A101:$A108,Доп.расчеты!$A42,'Как будет'!DZ101:DZ108)</f>
        <v>0</v>
      </c>
      <c r="DZ42">
        <f>SUMIF('Как будет'!$A101:$A108,Доп.расчеты!$A42,'Как будет'!EA101:EA108)</f>
        <v>0</v>
      </c>
      <c r="EA42">
        <f>SUMIF('Как будет'!$A101:$A108,Доп.расчеты!$A42,'Как будет'!EB101:EB108)</f>
        <v>0</v>
      </c>
      <c r="EB42">
        <f>SUMIF('Как будет'!$A101:$A108,Доп.расчеты!$A42,'Как будет'!EC101:EC108)</f>
        <v>0</v>
      </c>
      <c r="EC42">
        <f>SUMIF('Как будет'!$A101:$A108,Доп.расчеты!$A42,'Как будет'!ED101:ED108)</f>
        <v>0</v>
      </c>
      <c r="ED42">
        <f>SUMIF('Как будет'!$A101:$A108,Доп.расчеты!$A42,'Как будет'!EE101:EE108)</f>
        <v>0</v>
      </c>
      <c r="EE42">
        <f>SUMIF('Как будет'!$A101:$A108,Доп.расчеты!$A42,'Как будет'!EF101:EF108)</f>
        <v>0</v>
      </c>
      <c r="EF42">
        <f>SUMIF('Как будет'!$A101:$A108,Доп.расчеты!$A42,'Как будет'!EG101:EG108)</f>
        <v>0</v>
      </c>
      <c r="EG42">
        <f>SUMIF('Как будет'!$A101:$A108,Доп.расчеты!$A42,'Как будет'!EH101:EH108)</f>
        <v>0</v>
      </c>
      <c r="EH42">
        <f>SUMIF('Как будет'!$A101:$A108,Доп.расчеты!$A42,'Как будет'!EI101:EI108)</f>
        <v>0</v>
      </c>
      <c r="EI42">
        <f>SUMIF('Как будет'!$A101:$A108,Доп.расчеты!$A42,'Как будет'!EJ101:EJ108)</f>
        <v>0</v>
      </c>
      <c r="EJ42">
        <f>SUMIF('Как будет'!$A101:$A108,Доп.расчеты!$A42,'Как будет'!EK101:EK108)</f>
        <v>0</v>
      </c>
      <c r="EK42">
        <f>SUMIF('Как будет'!$A101:$A108,Доп.расчеты!$A42,'Как будет'!EL101:EL108)</f>
        <v>0</v>
      </c>
      <c r="EL42">
        <f>SUMIF('Как будет'!$A101:$A108,Доп.расчеты!$A42,'Как будет'!EM101:EM108)</f>
        <v>0</v>
      </c>
      <c r="EM42">
        <f>SUMIF('Как будет'!$A101:$A108,Доп.расчеты!$A42,'Как будет'!EN101:EN108)</f>
        <v>0</v>
      </c>
      <c r="EN42">
        <f>SUMIF('Как будет'!$A101:$A108,Доп.расчеты!$A42,'Как будет'!EO101:EO108)</f>
        <v>0</v>
      </c>
      <c r="EO42">
        <f>SUMIF('Как будет'!$A101:$A108,Доп.расчеты!$A42,'Как будет'!EP101:EP108)</f>
        <v>0</v>
      </c>
      <c r="EP42">
        <f>SUMIF('Как будет'!$A101:$A108,Доп.расчеты!$A42,'Как будет'!EQ101:EQ108)</f>
        <v>0</v>
      </c>
      <c r="EQ42">
        <f>SUMIF('Как будет'!$A101:$A108,Доп.расчеты!$A42,'Как будет'!ER101:ER108)</f>
        <v>0</v>
      </c>
      <c r="ER42">
        <f>SUMIF('Как будет'!$A101:$A108,Доп.расчеты!$A42,'Как будет'!ES101:ES108)</f>
        <v>0</v>
      </c>
      <c r="ES42">
        <f>SUMIF('Как будет'!$A101:$A108,Доп.расчеты!$A42,'Как будет'!ET101:ET108)</f>
        <v>0</v>
      </c>
      <c r="ET42">
        <f>SUMIF('Как будет'!$A101:$A108,Доп.расчеты!$A42,'Как будет'!EU101:EU108)</f>
        <v>0</v>
      </c>
      <c r="EU42">
        <f>SUMIF('Как будет'!$A101:$A108,Доп.расчеты!$A42,'Как будет'!EV101:EV108)</f>
        <v>0</v>
      </c>
      <c r="EV42">
        <f>SUMIF('Как будет'!$A101:$A108,Доп.расчеты!$A42,'Как будет'!EW101:EW108)</f>
        <v>0</v>
      </c>
      <c r="EW42">
        <f>SUMIF('Как будет'!$A101:$A108,Доп.расчеты!$A42,'Как будет'!EX101:EX108)</f>
        <v>0</v>
      </c>
      <c r="EX42">
        <f>SUMIF('Как будет'!$A101:$A108,Доп.расчеты!$A42,'Как будет'!EY101:EY108)</f>
        <v>0</v>
      </c>
      <c r="EY42">
        <f>SUMIF('Как будет'!$A101:$A108,Доп.расчеты!$A42,'Как будет'!EZ101:EZ108)</f>
        <v>0</v>
      </c>
      <c r="EZ42">
        <f>SUMIF('Как будет'!$A101:$A108,Доп.расчеты!$A42,'Как будет'!FA101:FA108)</f>
        <v>0</v>
      </c>
      <c r="FA42">
        <f>SUMIF('Как будет'!$A101:$A108,Доп.расчеты!$A42,'Как будет'!FB101:FB108)</f>
        <v>0</v>
      </c>
      <c r="FB42">
        <f>SUMIF('Как будет'!$A101:$A108,Доп.расчеты!$A42,'Как будет'!FC101:FC108)</f>
        <v>0</v>
      </c>
      <c r="FC42">
        <f>SUMIF('Как будет'!$A101:$A108,Доп.расчеты!$A42,'Как будет'!FD101:FD108)</f>
        <v>0</v>
      </c>
      <c r="FD42">
        <f>SUMIF('Как будет'!$A101:$A108,Доп.расчеты!$A42,'Как будет'!FE101:FE108)</f>
        <v>0</v>
      </c>
      <c r="FE42">
        <f>SUMIF('Как будет'!$A101:$A108,Доп.расчеты!$A42,'Как будет'!FF101:FF108)</f>
        <v>0</v>
      </c>
      <c r="FF42">
        <f>SUMIF('Как будет'!$A101:$A108,Доп.расчеты!$A42,'Как будет'!FG101:FG108)</f>
        <v>0</v>
      </c>
      <c r="FG42">
        <f>SUMIF('Как будет'!$A101:$A108,Доп.расчеты!$A42,'Как будет'!FH101:FH108)</f>
        <v>0</v>
      </c>
      <c r="FH42">
        <f>SUMIF('Как будет'!$A101:$A108,Доп.расчеты!$A42,'Как будет'!FI101:FI108)</f>
        <v>0</v>
      </c>
      <c r="FI42">
        <f>SUMIF('Как будет'!$A101:$A108,Доп.расчеты!$A42,'Как будет'!FJ101:FJ108)</f>
        <v>0</v>
      </c>
      <c r="FJ42">
        <f>SUMIF('Как будет'!$A101:$A108,Доп.расчеты!$A42,'Как будет'!FK101:FK108)</f>
        <v>0</v>
      </c>
      <c r="FK42">
        <f>SUMIF('Как будет'!$A101:$A108,Доп.расчеты!$A42,'Как будет'!FL101:FL108)</f>
        <v>0</v>
      </c>
      <c r="FL42">
        <f>SUMIF('Как будет'!$A101:$A108,Доп.расчеты!$A42,'Как будет'!FM101:FM108)</f>
        <v>0</v>
      </c>
      <c r="FM42">
        <f>SUMIF('Как будет'!$A101:$A108,Доп.расчеты!$A42,'Как будет'!FN101:FN108)</f>
        <v>0</v>
      </c>
      <c r="FN42">
        <f>SUMIF('Как будет'!$A101:$A108,Доп.расчеты!$A42,'Как будет'!FO101:FO108)</f>
        <v>0</v>
      </c>
      <c r="FO42">
        <f>SUMIF('Как будет'!$A101:$A108,Доп.расчеты!$A42,'Как будет'!FP101:FP108)</f>
        <v>0</v>
      </c>
      <c r="FP42">
        <f>SUMIF('Как будет'!$A101:$A108,Доп.расчеты!$A42,'Как будет'!FQ101:FQ108)</f>
        <v>0</v>
      </c>
      <c r="FQ42">
        <f>SUMIF('Как будет'!$A101:$A108,Доп.расчеты!$A42,'Как будет'!FR101:FR108)</f>
        <v>0</v>
      </c>
      <c r="FR42">
        <f>SUMIF('Как будет'!$A101:$A108,Доп.расчеты!$A42,'Как будет'!FS101:FS108)</f>
        <v>0</v>
      </c>
      <c r="FS42">
        <f>SUMIF('Как будет'!$A101:$A108,Доп.расчеты!$A42,'Как будет'!FT101:FT108)</f>
        <v>0</v>
      </c>
      <c r="FT42">
        <f>SUMIF('Как будет'!$A101:$A108,Доп.расчеты!$A42,'Как будет'!FU101:FU108)</f>
        <v>0</v>
      </c>
      <c r="FU42">
        <f>SUMIF('Как будет'!$A101:$A108,Доп.расчеты!$A42,'Как будет'!FV101:FV108)</f>
        <v>0</v>
      </c>
      <c r="FV42">
        <f>SUMIF('Как будет'!$A101:$A108,Доп.расчеты!$A42,'Как будет'!FW101:FW108)</f>
        <v>0</v>
      </c>
      <c r="FW42">
        <f>SUMIF('Как будет'!$A101:$A108,Доп.расчеты!$A42,'Как будет'!FX101:FX108)</f>
        <v>0</v>
      </c>
      <c r="FX42">
        <f>SUMIF('Как будет'!$A101:$A108,Доп.расчеты!$A42,'Как будет'!FY101:FY108)</f>
        <v>0</v>
      </c>
      <c r="FY42">
        <f>SUMIF('Как будет'!$A101:$A108,Доп.расчеты!$A42,'Как будет'!FZ101:FZ108)</f>
        <v>0</v>
      </c>
      <c r="FZ42">
        <f>SUMIF('Как будет'!$A101:$A108,Доп.расчеты!$A42,'Как будет'!GA101:GA108)</f>
        <v>0</v>
      </c>
      <c r="GA42">
        <f>SUMIF('Как будет'!$A101:$A108,Доп.расчеты!$A42,'Как будет'!GB101:GB108)</f>
        <v>0</v>
      </c>
      <c r="GB42">
        <f>SUMIF('Как будет'!$A101:$A108,Доп.расчеты!$A42,'Как будет'!GC101:GC108)</f>
        <v>0</v>
      </c>
      <c r="GC42">
        <f>SUMIF('Как будет'!$A101:$A108,Доп.расчеты!$A42,'Как будет'!GD101:GD108)</f>
        <v>0</v>
      </c>
      <c r="GD42">
        <f>SUMIF('Как будет'!$A101:$A108,Доп.расчеты!$A42,'Как будет'!GE101:GE108)</f>
        <v>0</v>
      </c>
      <c r="GE42">
        <f>SUMIF('Как будет'!$A101:$A108,Доп.расчеты!$A42,'Как будет'!GF101:GF108)</f>
        <v>0</v>
      </c>
      <c r="GF42">
        <f>SUMIF('Как будет'!$A101:$A108,Доп.расчеты!$A42,'Как будет'!GG101:GG108)</f>
        <v>0</v>
      </c>
      <c r="GG42">
        <f>SUMIF('Как будет'!$A101:$A108,Доп.расчеты!$A42,'Как будет'!GH101:GH108)</f>
        <v>0</v>
      </c>
      <c r="GH42">
        <f>SUMIF('Как будет'!$A101:$A108,Доп.расчеты!$A42,'Как будет'!GI101:GI108)</f>
        <v>0</v>
      </c>
      <c r="GI42">
        <f>SUMIF('Как будет'!$A101:$A108,Доп.расчеты!$A42,'Как будет'!GJ101:GJ108)</f>
        <v>0</v>
      </c>
      <c r="GJ42">
        <f>SUMIF('Как будет'!$A101:$A108,Доп.расчеты!$A42,'Как будет'!GK101:GK108)</f>
        <v>0</v>
      </c>
      <c r="GK42">
        <f>SUMIF('Как будет'!$A101:$A108,Доп.расчеты!$A42,'Как будет'!GL101:GL108)</f>
        <v>0</v>
      </c>
      <c r="GL42">
        <f>SUMIF('Как будет'!$A101:$A108,Доп.расчеты!$A42,'Как будет'!GM101:GM108)</f>
        <v>0</v>
      </c>
      <c r="GM42">
        <f>SUMIF('Как будет'!$A101:$A108,Доп.расчеты!$A42,'Как будет'!GN101:GN108)</f>
        <v>0</v>
      </c>
      <c r="GN42">
        <f>SUMIF('Как будет'!$A101:$A108,Доп.расчеты!$A42,'Как будет'!GO101:GO108)</f>
        <v>0</v>
      </c>
      <c r="GO42">
        <f>SUMIF('Как будет'!$A101:$A108,Доп.расчеты!$A42,'Как будет'!GP101:GP108)</f>
        <v>0</v>
      </c>
      <c r="GP42">
        <f>SUMIF('Как будет'!$A101:$A108,Доп.расчеты!$A42,'Как будет'!GQ101:GQ108)</f>
        <v>0</v>
      </c>
      <c r="GQ42">
        <f>SUMIF('Как будет'!$A101:$A108,Доп.расчеты!$A42,'Как будет'!GR101:GR108)</f>
        <v>0</v>
      </c>
      <c r="GR42">
        <f>SUMIF('Как будет'!$A101:$A108,Доп.расчеты!$A42,'Как будет'!GS101:GS108)</f>
        <v>0</v>
      </c>
      <c r="GS42">
        <f>SUMIF('Как будет'!$A101:$A108,Доп.расчеты!$A42,'Как будет'!GT101:GT108)</f>
        <v>0</v>
      </c>
      <c r="GT42">
        <f>SUMIF('Как будет'!$A101:$A108,Доп.расчеты!$A42,'Как будет'!GU101:GU108)</f>
        <v>0</v>
      </c>
    </row>
    <row r="43" spans="1:202">
      <c r="A43" s="236" t="s">
        <v>13</v>
      </c>
      <c r="B43">
        <f>SUMIF('Как будет'!$A101:$A108,Доп.расчеты!$A43,'Как будет'!C101:C108)</f>
        <v>0</v>
      </c>
      <c r="C43">
        <f>SUMIF('Как будет'!$A101:$A108,Доп.расчеты!$A43,'Как будет'!D101:D108)</f>
        <v>0</v>
      </c>
      <c r="D43">
        <f>SUMIF('Как будет'!$A101:$A108,Доп.расчеты!$A43,'Как будет'!E101:E108)</f>
        <v>0</v>
      </c>
      <c r="E43">
        <f>SUMIF('Как будет'!$A101:$A108,Доп.расчеты!$A43,'Как будет'!F101:F108)</f>
        <v>0</v>
      </c>
      <c r="F43">
        <f>SUMIF('Как будет'!$A101:$A108,Доп.расчеты!$A43,'Как будет'!G101:G108)</f>
        <v>0</v>
      </c>
      <c r="G43">
        <f>SUMIF('Как будет'!$A101:$A108,Доп.расчеты!$A43,'Как будет'!H101:H108)</f>
        <v>0</v>
      </c>
      <c r="H43">
        <f>SUMIF('Как будет'!$A101:$A108,Доп.расчеты!$A43,'Как будет'!I101:I108)</f>
        <v>0</v>
      </c>
      <c r="I43">
        <f>SUMIF('Как будет'!$A101:$A108,Доп.расчеты!$A43,'Как будет'!J101:J108)</f>
        <v>0</v>
      </c>
      <c r="J43">
        <f>SUMIF('Как будет'!$A101:$A108,Доп.расчеты!$A43,'Как будет'!K101:K108)</f>
        <v>0</v>
      </c>
      <c r="K43">
        <f>SUMIF('Как будет'!$A101:$A108,Доп.расчеты!$A43,'Как будет'!L101:L108)</f>
        <v>0</v>
      </c>
      <c r="L43">
        <f>SUMIF('Как будет'!$A101:$A108,Доп.расчеты!$A43,'Как будет'!M101:M108)</f>
        <v>0</v>
      </c>
      <c r="M43">
        <f>SUMIF('Как будет'!$A101:$A108,Доп.расчеты!$A43,'Как будет'!N101:N108)</f>
        <v>0</v>
      </c>
      <c r="N43">
        <f>SUMIF('Как будет'!$A101:$A108,Доп.расчеты!$A43,'Как будет'!O101:O108)</f>
        <v>0</v>
      </c>
      <c r="O43">
        <f>SUMIF('Как будет'!$A101:$A108,Доп.расчеты!$A43,'Как будет'!P101:P108)</f>
        <v>0</v>
      </c>
      <c r="P43">
        <f>SUMIF('Как будет'!$A101:$A108,Доп.расчеты!$A43,'Как будет'!Q101:Q108)</f>
        <v>0</v>
      </c>
      <c r="Q43">
        <f>SUMIF('Как будет'!$A101:$A108,Доп.расчеты!$A43,'Как будет'!R101:R108)</f>
        <v>0</v>
      </c>
      <c r="R43">
        <f>SUMIF('Как будет'!$A101:$A108,Доп.расчеты!$A43,'Как будет'!S101:S108)</f>
        <v>0</v>
      </c>
      <c r="S43">
        <f>SUMIF('Как будет'!$A101:$A108,Доп.расчеты!$A43,'Как будет'!T101:T108)</f>
        <v>0</v>
      </c>
      <c r="T43">
        <f>SUMIF('Как будет'!$A101:$A108,Доп.расчеты!$A43,'Как будет'!U101:U108)</f>
        <v>0</v>
      </c>
      <c r="U43">
        <f>SUMIF('Как будет'!$A101:$A108,Доп.расчеты!$A43,'Как будет'!V101:V108)</f>
        <v>0</v>
      </c>
      <c r="V43">
        <f>SUMIF('Как будет'!$A101:$A108,Доп.расчеты!$A43,'Как будет'!W101:W108)</f>
        <v>0</v>
      </c>
      <c r="W43">
        <f>SUMIF('Как будет'!$A101:$A108,Доп.расчеты!$A43,'Как будет'!X101:X108)</f>
        <v>0</v>
      </c>
      <c r="X43">
        <f>SUMIF('Как будет'!$A101:$A108,Доп.расчеты!$A43,'Как будет'!Y101:Y108)</f>
        <v>0</v>
      </c>
      <c r="Y43">
        <f>SUMIF('Как будет'!$A101:$A108,Доп.расчеты!$A43,'Как будет'!Z101:Z108)</f>
        <v>0</v>
      </c>
      <c r="Z43">
        <f>SUMIF('Как будет'!$A101:$A108,Доп.расчеты!$A43,'Как будет'!AA101:AA108)</f>
        <v>0</v>
      </c>
      <c r="AA43">
        <f>SUMIF('Как будет'!$A101:$A108,Доп.расчеты!$A43,'Как будет'!AB101:AB108)</f>
        <v>0</v>
      </c>
      <c r="AB43">
        <f>SUMIF('Как будет'!$A101:$A108,Доп.расчеты!$A43,'Как будет'!AC101:AC108)</f>
        <v>0</v>
      </c>
      <c r="AC43">
        <f>SUMIF('Как будет'!$A101:$A108,Доп.расчеты!$A43,'Как будет'!AD101:AD108)</f>
        <v>0</v>
      </c>
      <c r="AD43">
        <f>SUMIF('Как будет'!$A101:$A108,Доп.расчеты!$A43,'Как будет'!AE101:AE108)</f>
        <v>0</v>
      </c>
      <c r="AE43">
        <f>SUMIF('Как будет'!$A101:$A108,Доп.расчеты!$A43,'Как будет'!AF101:AF108)</f>
        <v>0</v>
      </c>
      <c r="AF43">
        <f>SUMIF('Как будет'!$A101:$A108,Доп.расчеты!$A43,'Как будет'!AG101:AG108)</f>
        <v>0</v>
      </c>
      <c r="AG43">
        <f>SUMIF('Как будет'!$A101:$A108,Доп.расчеты!$A43,'Как будет'!AH101:AH108)</f>
        <v>0</v>
      </c>
      <c r="AH43">
        <f>SUMIF('Как будет'!$A101:$A108,Доп.расчеты!$A43,'Как будет'!AI101:AI108)</f>
        <v>0</v>
      </c>
      <c r="AI43">
        <f>SUMIF('Как будет'!$A101:$A108,Доп.расчеты!$A43,'Как будет'!AJ101:AJ108)</f>
        <v>0</v>
      </c>
      <c r="AJ43">
        <f>SUMIF('Как будет'!$A101:$A108,Доп.расчеты!$A43,'Как будет'!AK101:AK108)</f>
        <v>0</v>
      </c>
      <c r="AK43">
        <f>SUMIF('Как будет'!$A101:$A108,Доп.расчеты!$A43,'Как будет'!AL101:AL108)</f>
        <v>0</v>
      </c>
      <c r="AL43">
        <f>SUMIF('Как будет'!$A101:$A108,Доп.расчеты!$A43,'Как будет'!AM101:AM108)</f>
        <v>0</v>
      </c>
      <c r="AM43">
        <f>SUMIF('Как будет'!$A101:$A108,Доп.расчеты!$A43,'Как будет'!AN101:AN108)</f>
        <v>0</v>
      </c>
      <c r="AN43">
        <f>SUMIF('Как будет'!$A101:$A108,Доп.расчеты!$A43,'Как будет'!AO101:AO108)</f>
        <v>0</v>
      </c>
      <c r="AO43">
        <f>SUMIF('Как будет'!$A101:$A108,Доп.расчеты!$A43,'Как будет'!AP101:AP108)</f>
        <v>0</v>
      </c>
      <c r="AP43">
        <f>SUMIF('Как будет'!$A101:$A108,Доп.расчеты!$A43,'Как будет'!AQ101:AQ108)</f>
        <v>0</v>
      </c>
      <c r="AQ43">
        <f>SUMIF('Как будет'!$A101:$A108,Доп.расчеты!$A43,'Как будет'!AR101:AR108)</f>
        <v>0</v>
      </c>
      <c r="AR43">
        <f>SUMIF('Как будет'!$A101:$A108,Доп.расчеты!$A43,'Как будет'!AS101:AS108)</f>
        <v>0</v>
      </c>
      <c r="AS43">
        <f>SUMIF('Как будет'!$A101:$A108,Доп.расчеты!$A43,'Как будет'!AT101:AT108)</f>
        <v>0</v>
      </c>
      <c r="AT43">
        <f>SUMIF('Как будет'!$A101:$A108,Доп.расчеты!$A43,'Как будет'!AU101:AU108)</f>
        <v>0</v>
      </c>
      <c r="AU43">
        <f>SUMIF('Как будет'!$A101:$A108,Доп.расчеты!$A43,'Как будет'!AV101:AV108)</f>
        <v>0</v>
      </c>
      <c r="AV43">
        <f>SUMIF('Как будет'!$A101:$A108,Доп.расчеты!$A43,'Как будет'!AW101:AW108)</f>
        <v>0</v>
      </c>
      <c r="AW43">
        <f>SUMIF('Как будет'!$A101:$A108,Доп.расчеты!$A43,'Как будет'!AX101:AX108)</f>
        <v>0</v>
      </c>
      <c r="AX43">
        <f>SUMIF('Как будет'!$A101:$A108,Доп.расчеты!$A43,'Как будет'!AY101:AY108)</f>
        <v>0</v>
      </c>
      <c r="AY43">
        <f>SUMIF('Как будет'!$A101:$A108,Доп.расчеты!$A43,'Как будет'!AZ101:AZ108)</f>
        <v>0</v>
      </c>
      <c r="AZ43">
        <f>SUMIF('Как будет'!$A101:$A108,Доп.расчеты!$A43,'Как будет'!BA101:BA108)</f>
        <v>0</v>
      </c>
      <c r="BA43">
        <f>SUMIF('Как будет'!$A101:$A108,Доп.расчеты!$A43,'Как будет'!BB101:BB108)</f>
        <v>0</v>
      </c>
      <c r="BB43">
        <f>SUMIF('Как будет'!$A101:$A108,Доп.расчеты!$A43,'Как будет'!BC101:BC108)</f>
        <v>0</v>
      </c>
      <c r="BC43">
        <f>SUMIF('Как будет'!$A101:$A108,Доп.расчеты!$A43,'Как будет'!BD101:BD108)</f>
        <v>0</v>
      </c>
      <c r="BD43">
        <f>SUMIF('Как будет'!$A101:$A108,Доп.расчеты!$A43,'Как будет'!BE101:BE108)</f>
        <v>0</v>
      </c>
      <c r="BE43">
        <f>SUMIF('Как будет'!$A101:$A108,Доп.расчеты!$A43,'Как будет'!BF101:BF108)</f>
        <v>0</v>
      </c>
      <c r="BF43">
        <f>SUMIF('Как будет'!$A101:$A108,Доп.расчеты!$A43,'Как будет'!BG101:BG108)</f>
        <v>0</v>
      </c>
      <c r="BG43">
        <f>SUMIF('Как будет'!$A101:$A108,Доп.расчеты!$A43,'Как будет'!BH101:BH108)</f>
        <v>0</v>
      </c>
      <c r="BH43">
        <f>SUMIF('Как будет'!$A101:$A108,Доп.расчеты!$A43,'Как будет'!BI101:BI108)</f>
        <v>0</v>
      </c>
      <c r="BI43">
        <f>SUMIF('Как будет'!$A101:$A108,Доп.расчеты!$A43,'Как будет'!BJ101:BJ108)</f>
        <v>0</v>
      </c>
      <c r="BJ43">
        <f>SUMIF('Как будет'!$A101:$A108,Доп.расчеты!$A43,'Как будет'!BK101:BK108)</f>
        <v>0</v>
      </c>
      <c r="BK43">
        <f>SUMIF('Как будет'!$A101:$A108,Доп.расчеты!$A43,'Как будет'!BL101:BL108)</f>
        <v>0</v>
      </c>
      <c r="BL43">
        <f>SUMIF('Как будет'!$A101:$A108,Доп.расчеты!$A43,'Как будет'!BM101:BM108)</f>
        <v>0</v>
      </c>
      <c r="BM43">
        <f>SUMIF('Как будет'!$A101:$A108,Доп.расчеты!$A43,'Как будет'!BN101:BN108)</f>
        <v>0</v>
      </c>
      <c r="BN43">
        <f>SUMIF('Как будет'!$A101:$A108,Доп.расчеты!$A43,'Как будет'!BO101:BO108)</f>
        <v>0</v>
      </c>
      <c r="BO43">
        <f>SUMIF('Как будет'!$A101:$A108,Доп.расчеты!$A43,'Как будет'!BP101:BP108)</f>
        <v>0</v>
      </c>
      <c r="BP43">
        <f>SUMIF('Как будет'!$A101:$A108,Доп.расчеты!$A43,'Как будет'!BQ101:BQ108)</f>
        <v>0</v>
      </c>
      <c r="BQ43">
        <f>SUMIF('Как будет'!$A101:$A108,Доп.расчеты!$A43,'Как будет'!BR101:BR108)</f>
        <v>0</v>
      </c>
      <c r="BR43">
        <f>SUMIF('Как будет'!$A101:$A108,Доп.расчеты!$A43,'Как будет'!BS101:BS108)</f>
        <v>0</v>
      </c>
      <c r="BS43">
        <f>SUMIF('Как будет'!$A101:$A108,Доп.расчеты!$A43,'Как будет'!BT101:BT108)</f>
        <v>0</v>
      </c>
      <c r="BT43">
        <f>SUMIF('Как будет'!$A101:$A108,Доп.расчеты!$A43,'Как будет'!BU101:BU108)</f>
        <v>0</v>
      </c>
      <c r="BU43">
        <f>SUMIF('Как будет'!$A101:$A108,Доп.расчеты!$A43,'Как будет'!BV101:BV108)</f>
        <v>0</v>
      </c>
      <c r="BV43">
        <f>SUMIF('Как будет'!$A101:$A108,Доп.расчеты!$A43,'Как будет'!BW101:BW108)</f>
        <v>0</v>
      </c>
      <c r="BW43">
        <f>SUMIF('Как будет'!$A101:$A108,Доп.расчеты!$A43,'Как будет'!BX101:BX108)</f>
        <v>0</v>
      </c>
      <c r="BX43">
        <f>SUMIF('Как будет'!$A101:$A108,Доп.расчеты!$A43,'Как будет'!BY101:BY108)</f>
        <v>0</v>
      </c>
      <c r="BY43">
        <f>SUMIF('Как будет'!$A101:$A108,Доп.расчеты!$A43,'Как будет'!BZ101:BZ108)</f>
        <v>0</v>
      </c>
      <c r="BZ43">
        <f>SUMIF('Как будет'!$A101:$A108,Доп.расчеты!$A43,'Как будет'!CA101:CA108)</f>
        <v>0</v>
      </c>
      <c r="CA43">
        <f>SUMIF('Как будет'!$A101:$A108,Доп.расчеты!$A43,'Как будет'!CB101:CB108)</f>
        <v>0</v>
      </c>
      <c r="CB43">
        <f>SUMIF('Как будет'!$A101:$A108,Доп.расчеты!$A43,'Как будет'!CC101:CC108)</f>
        <v>0</v>
      </c>
      <c r="CC43">
        <f>SUMIF('Как будет'!$A101:$A108,Доп.расчеты!$A43,'Как будет'!CD101:CD108)</f>
        <v>0</v>
      </c>
      <c r="CD43">
        <f>SUMIF('Как будет'!$A101:$A108,Доп.расчеты!$A43,'Как будет'!CE101:CE108)</f>
        <v>0</v>
      </c>
      <c r="CE43">
        <f>SUMIF('Как будет'!$A101:$A108,Доп.расчеты!$A43,'Как будет'!CF101:CF108)</f>
        <v>0</v>
      </c>
      <c r="CF43">
        <f>SUMIF('Как будет'!$A101:$A108,Доп.расчеты!$A43,'Как будет'!CG101:CG108)</f>
        <v>0</v>
      </c>
      <c r="CG43">
        <f>SUMIF('Как будет'!$A101:$A108,Доп.расчеты!$A43,'Как будет'!CH101:CH108)</f>
        <v>0</v>
      </c>
      <c r="CH43">
        <f>SUMIF('Как будет'!$A101:$A108,Доп.расчеты!$A43,'Как будет'!CI101:CI108)</f>
        <v>0</v>
      </c>
      <c r="CI43">
        <f>SUMIF('Как будет'!$A101:$A108,Доп.расчеты!$A43,'Как будет'!CJ101:CJ108)</f>
        <v>0</v>
      </c>
      <c r="CJ43">
        <f>SUMIF('Как будет'!$A101:$A108,Доп.расчеты!$A43,'Как будет'!CK101:CK108)</f>
        <v>0</v>
      </c>
      <c r="CK43">
        <f>SUMIF('Как будет'!$A101:$A108,Доп.расчеты!$A43,'Как будет'!CL101:CL108)</f>
        <v>0</v>
      </c>
      <c r="CL43">
        <f>SUMIF('Как будет'!$A101:$A108,Доп.расчеты!$A43,'Как будет'!CM101:CM108)</f>
        <v>0</v>
      </c>
      <c r="CM43">
        <f>SUMIF('Как будет'!$A101:$A108,Доп.расчеты!$A43,'Как будет'!CN101:CN108)</f>
        <v>0</v>
      </c>
      <c r="CN43">
        <f>SUMIF('Как будет'!$A101:$A108,Доп.расчеты!$A43,'Как будет'!CO101:CO108)</f>
        <v>0</v>
      </c>
      <c r="CO43">
        <f>SUMIF('Как будет'!$A101:$A108,Доп.расчеты!$A43,'Как будет'!CP101:CP108)</f>
        <v>0</v>
      </c>
      <c r="CP43">
        <f>SUMIF('Как будет'!$A101:$A108,Доп.расчеты!$A43,'Как будет'!CQ101:CQ108)</f>
        <v>0</v>
      </c>
      <c r="CQ43">
        <f>SUMIF('Как будет'!$A101:$A108,Доп.расчеты!$A43,'Как будет'!CR101:CR108)</f>
        <v>0</v>
      </c>
      <c r="CR43">
        <f>SUMIF('Как будет'!$A101:$A108,Доп.расчеты!$A43,'Как будет'!CS101:CS108)</f>
        <v>0</v>
      </c>
      <c r="CS43">
        <f>SUMIF('Как будет'!$A101:$A108,Доп.расчеты!$A43,'Как будет'!CT101:CT108)</f>
        <v>0</v>
      </c>
      <c r="CT43">
        <f>SUMIF('Как будет'!$A101:$A108,Доп.расчеты!$A43,'Как будет'!CU101:CU108)</f>
        <v>0</v>
      </c>
      <c r="CU43">
        <f>SUMIF('Как будет'!$A101:$A108,Доп.расчеты!$A43,'Как будет'!CV101:CV108)</f>
        <v>0</v>
      </c>
      <c r="CV43">
        <f>SUMIF('Как будет'!$A101:$A108,Доп.расчеты!$A43,'Как будет'!CW101:CW108)</f>
        <v>0</v>
      </c>
      <c r="CW43">
        <f>SUMIF('Как будет'!$A101:$A108,Доп.расчеты!$A43,'Как будет'!CX101:CX108)</f>
        <v>0</v>
      </c>
      <c r="CX43">
        <f>SUMIF('Как будет'!$A101:$A108,Доп.расчеты!$A43,'Как будет'!CY101:CY108)</f>
        <v>0</v>
      </c>
      <c r="CY43">
        <f>SUMIF('Как будет'!$A101:$A108,Доп.расчеты!$A43,'Как будет'!CZ101:CZ108)</f>
        <v>0</v>
      </c>
      <c r="CZ43">
        <f>SUMIF('Как будет'!$A101:$A108,Доп.расчеты!$A43,'Как будет'!DA101:DA108)</f>
        <v>0</v>
      </c>
      <c r="DA43">
        <f>SUMIF('Как будет'!$A101:$A108,Доп.расчеты!$A43,'Как будет'!DB101:DB108)</f>
        <v>0</v>
      </c>
      <c r="DB43">
        <f>SUMIF('Как будет'!$A101:$A108,Доп.расчеты!$A43,'Как будет'!DC101:DC108)</f>
        <v>0</v>
      </c>
      <c r="DC43">
        <f>SUMIF('Как будет'!$A101:$A108,Доп.расчеты!$A43,'Как будет'!DD101:DD108)</f>
        <v>0</v>
      </c>
      <c r="DD43">
        <f>SUMIF('Как будет'!$A101:$A108,Доп.расчеты!$A43,'Как будет'!DE101:DE108)</f>
        <v>0</v>
      </c>
      <c r="DE43">
        <f>SUMIF('Как будет'!$A101:$A108,Доп.расчеты!$A43,'Как будет'!DF101:DF108)</f>
        <v>0</v>
      </c>
      <c r="DF43">
        <f>SUMIF('Как будет'!$A101:$A108,Доп.расчеты!$A43,'Как будет'!DG101:DG108)</f>
        <v>0</v>
      </c>
      <c r="DG43">
        <f>SUMIF('Как будет'!$A101:$A108,Доп.расчеты!$A43,'Как будет'!DH101:DH108)</f>
        <v>0</v>
      </c>
      <c r="DH43">
        <f>SUMIF('Как будет'!$A101:$A108,Доп.расчеты!$A43,'Как будет'!DI101:DI108)</f>
        <v>0</v>
      </c>
      <c r="DI43">
        <f>SUMIF('Как будет'!$A101:$A108,Доп.расчеты!$A43,'Как будет'!DJ101:DJ108)</f>
        <v>0</v>
      </c>
      <c r="DJ43">
        <f>SUMIF('Как будет'!$A101:$A108,Доп.расчеты!$A43,'Как будет'!DK101:DK108)</f>
        <v>0</v>
      </c>
      <c r="DK43">
        <f>SUMIF('Как будет'!$A101:$A108,Доп.расчеты!$A43,'Как будет'!DL101:DL108)</f>
        <v>0</v>
      </c>
      <c r="DL43">
        <f>SUMIF('Как будет'!$A101:$A108,Доп.расчеты!$A43,'Как будет'!DM101:DM108)</f>
        <v>0</v>
      </c>
      <c r="DM43">
        <f>SUMIF('Как будет'!$A101:$A108,Доп.расчеты!$A43,'Как будет'!DN101:DN108)</f>
        <v>0</v>
      </c>
      <c r="DN43">
        <f>SUMIF('Как будет'!$A101:$A108,Доп.расчеты!$A43,'Как будет'!DO101:DO108)</f>
        <v>0</v>
      </c>
      <c r="DO43">
        <f>SUMIF('Как будет'!$A101:$A108,Доп.расчеты!$A43,'Как будет'!DP101:DP108)</f>
        <v>0</v>
      </c>
      <c r="DP43">
        <f>SUMIF('Как будет'!$A101:$A108,Доп.расчеты!$A43,'Как будет'!DQ101:DQ108)</f>
        <v>0</v>
      </c>
      <c r="DQ43">
        <f>SUMIF('Как будет'!$A101:$A108,Доп.расчеты!$A43,'Как будет'!DR101:DR108)</f>
        <v>0</v>
      </c>
      <c r="DR43">
        <f>SUMIF('Как будет'!$A101:$A108,Доп.расчеты!$A43,'Как будет'!DS101:DS108)</f>
        <v>0</v>
      </c>
      <c r="DS43">
        <f>SUMIF('Как будет'!$A101:$A108,Доп.расчеты!$A43,'Как будет'!DT101:DT108)</f>
        <v>0</v>
      </c>
      <c r="DT43">
        <f>SUMIF('Как будет'!$A101:$A108,Доп.расчеты!$A43,'Как будет'!DU101:DU108)</f>
        <v>0</v>
      </c>
      <c r="DU43">
        <f>SUMIF('Как будет'!$A101:$A108,Доп.расчеты!$A43,'Как будет'!DV101:DV108)</f>
        <v>0</v>
      </c>
      <c r="DV43">
        <f>SUMIF('Как будет'!$A101:$A108,Доп.расчеты!$A43,'Как будет'!DW101:DW108)</f>
        <v>0</v>
      </c>
      <c r="DW43">
        <f>SUMIF('Как будет'!$A101:$A108,Доп.расчеты!$A43,'Как будет'!DX101:DX108)</f>
        <v>0</v>
      </c>
      <c r="DX43">
        <f>SUMIF('Как будет'!$A101:$A108,Доп.расчеты!$A43,'Как будет'!DY101:DY108)</f>
        <v>0</v>
      </c>
      <c r="DY43">
        <f>SUMIF('Как будет'!$A101:$A108,Доп.расчеты!$A43,'Как будет'!DZ101:DZ108)</f>
        <v>0</v>
      </c>
      <c r="DZ43">
        <f>SUMIF('Как будет'!$A101:$A108,Доп.расчеты!$A43,'Как будет'!EA101:EA108)</f>
        <v>0</v>
      </c>
      <c r="EA43">
        <f>SUMIF('Как будет'!$A101:$A108,Доп.расчеты!$A43,'Как будет'!EB101:EB108)</f>
        <v>0</v>
      </c>
      <c r="EB43">
        <f>SUMIF('Как будет'!$A101:$A108,Доп.расчеты!$A43,'Как будет'!EC101:EC108)</f>
        <v>0</v>
      </c>
      <c r="EC43">
        <f>SUMIF('Как будет'!$A101:$A108,Доп.расчеты!$A43,'Как будет'!ED101:ED108)</f>
        <v>0</v>
      </c>
      <c r="ED43">
        <f>SUMIF('Как будет'!$A101:$A108,Доп.расчеты!$A43,'Как будет'!EE101:EE108)</f>
        <v>0</v>
      </c>
      <c r="EE43">
        <f>SUMIF('Как будет'!$A101:$A108,Доп.расчеты!$A43,'Как будет'!EF101:EF108)</f>
        <v>0</v>
      </c>
      <c r="EF43">
        <f>SUMIF('Как будет'!$A101:$A108,Доп.расчеты!$A43,'Как будет'!EG101:EG108)</f>
        <v>0</v>
      </c>
      <c r="EG43">
        <f>SUMIF('Как будет'!$A101:$A108,Доп.расчеты!$A43,'Как будет'!EH101:EH108)</f>
        <v>0</v>
      </c>
      <c r="EH43">
        <f>SUMIF('Как будет'!$A101:$A108,Доп.расчеты!$A43,'Как будет'!EI101:EI108)</f>
        <v>0</v>
      </c>
      <c r="EI43">
        <f>SUMIF('Как будет'!$A101:$A108,Доп.расчеты!$A43,'Как будет'!EJ101:EJ108)</f>
        <v>0</v>
      </c>
      <c r="EJ43">
        <f>SUMIF('Как будет'!$A101:$A108,Доп.расчеты!$A43,'Как будет'!EK101:EK108)</f>
        <v>0</v>
      </c>
      <c r="EK43">
        <f>SUMIF('Как будет'!$A101:$A108,Доп.расчеты!$A43,'Как будет'!EL101:EL108)</f>
        <v>0</v>
      </c>
      <c r="EL43">
        <f>SUMIF('Как будет'!$A101:$A108,Доп.расчеты!$A43,'Как будет'!EM101:EM108)</f>
        <v>0</v>
      </c>
      <c r="EM43">
        <f>SUMIF('Как будет'!$A101:$A108,Доп.расчеты!$A43,'Как будет'!EN101:EN108)</f>
        <v>0</v>
      </c>
      <c r="EN43">
        <f>SUMIF('Как будет'!$A101:$A108,Доп.расчеты!$A43,'Как будет'!EO101:EO108)</f>
        <v>0</v>
      </c>
      <c r="EO43">
        <f>SUMIF('Как будет'!$A101:$A108,Доп.расчеты!$A43,'Как будет'!EP101:EP108)</f>
        <v>0</v>
      </c>
      <c r="EP43">
        <f>SUMIF('Как будет'!$A101:$A108,Доп.расчеты!$A43,'Как будет'!EQ101:EQ108)</f>
        <v>0</v>
      </c>
      <c r="EQ43">
        <f>SUMIF('Как будет'!$A101:$A108,Доп.расчеты!$A43,'Как будет'!ER101:ER108)</f>
        <v>0</v>
      </c>
      <c r="ER43">
        <f>SUMIF('Как будет'!$A101:$A108,Доп.расчеты!$A43,'Как будет'!ES101:ES108)</f>
        <v>0</v>
      </c>
      <c r="ES43">
        <f>SUMIF('Как будет'!$A101:$A108,Доп.расчеты!$A43,'Как будет'!ET101:ET108)</f>
        <v>0</v>
      </c>
      <c r="ET43">
        <f>SUMIF('Как будет'!$A101:$A108,Доп.расчеты!$A43,'Как будет'!EU101:EU108)</f>
        <v>0</v>
      </c>
      <c r="EU43">
        <f>SUMIF('Как будет'!$A101:$A108,Доп.расчеты!$A43,'Как будет'!EV101:EV108)</f>
        <v>0</v>
      </c>
      <c r="EV43">
        <f>SUMIF('Как будет'!$A101:$A108,Доп.расчеты!$A43,'Как будет'!EW101:EW108)</f>
        <v>0</v>
      </c>
      <c r="EW43">
        <f>SUMIF('Как будет'!$A101:$A108,Доп.расчеты!$A43,'Как будет'!EX101:EX108)</f>
        <v>0</v>
      </c>
      <c r="EX43">
        <f>SUMIF('Как будет'!$A101:$A108,Доп.расчеты!$A43,'Как будет'!EY101:EY108)</f>
        <v>0</v>
      </c>
      <c r="EY43">
        <f>SUMIF('Как будет'!$A101:$A108,Доп.расчеты!$A43,'Как будет'!EZ101:EZ108)</f>
        <v>0</v>
      </c>
      <c r="EZ43">
        <f>SUMIF('Как будет'!$A101:$A108,Доп.расчеты!$A43,'Как будет'!FA101:FA108)</f>
        <v>0</v>
      </c>
      <c r="FA43">
        <f>SUMIF('Как будет'!$A101:$A108,Доп.расчеты!$A43,'Как будет'!FB101:FB108)</f>
        <v>0</v>
      </c>
      <c r="FB43">
        <f>SUMIF('Как будет'!$A101:$A108,Доп.расчеты!$A43,'Как будет'!FC101:FC108)</f>
        <v>0</v>
      </c>
      <c r="FC43">
        <f>SUMIF('Как будет'!$A101:$A108,Доп.расчеты!$A43,'Как будет'!FD101:FD108)</f>
        <v>0</v>
      </c>
      <c r="FD43">
        <f>SUMIF('Как будет'!$A101:$A108,Доп.расчеты!$A43,'Как будет'!FE101:FE108)</f>
        <v>0</v>
      </c>
      <c r="FE43">
        <f>SUMIF('Как будет'!$A101:$A108,Доп.расчеты!$A43,'Как будет'!FF101:FF108)</f>
        <v>0</v>
      </c>
      <c r="FF43">
        <f>SUMIF('Как будет'!$A101:$A108,Доп.расчеты!$A43,'Как будет'!FG101:FG108)</f>
        <v>0</v>
      </c>
      <c r="FG43">
        <f>SUMIF('Как будет'!$A101:$A108,Доп.расчеты!$A43,'Как будет'!FH101:FH108)</f>
        <v>0</v>
      </c>
      <c r="FH43">
        <f>SUMIF('Как будет'!$A101:$A108,Доп.расчеты!$A43,'Как будет'!FI101:FI108)</f>
        <v>0</v>
      </c>
      <c r="FI43">
        <f>SUMIF('Как будет'!$A101:$A108,Доп.расчеты!$A43,'Как будет'!FJ101:FJ108)</f>
        <v>0</v>
      </c>
      <c r="FJ43">
        <f>SUMIF('Как будет'!$A101:$A108,Доп.расчеты!$A43,'Как будет'!FK101:FK108)</f>
        <v>0</v>
      </c>
      <c r="FK43">
        <f>SUMIF('Как будет'!$A101:$A108,Доп.расчеты!$A43,'Как будет'!FL101:FL108)</f>
        <v>0</v>
      </c>
      <c r="FL43">
        <f>SUMIF('Как будет'!$A101:$A108,Доп.расчеты!$A43,'Как будет'!FM101:FM108)</f>
        <v>0</v>
      </c>
      <c r="FM43">
        <f>SUMIF('Как будет'!$A101:$A108,Доп.расчеты!$A43,'Как будет'!FN101:FN108)</f>
        <v>0</v>
      </c>
      <c r="FN43">
        <f>SUMIF('Как будет'!$A101:$A108,Доп.расчеты!$A43,'Как будет'!FO101:FO108)</f>
        <v>0</v>
      </c>
      <c r="FO43">
        <f>SUMIF('Как будет'!$A101:$A108,Доп.расчеты!$A43,'Как будет'!FP101:FP108)</f>
        <v>0</v>
      </c>
      <c r="FP43">
        <f>SUMIF('Как будет'!$A101:$A108,Доп.расчеты!$A43,'Как будет'!FQ101:FQ108)</f>
        <v>0</v>
      </c>
      <c r="FQ43">
        <f>SUMIF('Как будет'!$A101:$A108,Доп.расчеты!$A43,'Как будет'!FR101:FR108)</f>
        <v>0</v>
      </c>
      <c r="FR43">
        <f>SUMIF('Как будет'!$A101:$A108,Доп.расчеты!$A43,'Как будет'!FS101:FS108)</f>
        <v>0</v>
      </c>
      <c r="FS43">
        <f>SUMIF('Как будет'!$A101:$A108,Доп.расчеты!$A43,'Как будет'!FT101:FT108)</f>
        <v>0</v>
      </c>
      <c r="FT43">
        <f>SUMIF('Как будет'!$A101:$A108,Доп.расчеты!$A43,'Как будет'!FU101:FU108)</f>
        <v>0</v>
      </c>
      <c r="FU43">
        <f>SUMIF('Как будет'!$A101:$A108,Доп.расчеты!$A43,'Как будет'!FV101:FV108)</f>
        <v>0</v>
      </c>
      <c r="FV43">
        <f>SUMIF('Как будет'!$A101:$A108,Доп.расчеты!$A43,'Как будет'!FW101:FW108)</f>
        <v>0</v>
      </c>
      <c r="FW43">
        <f>SUMIF('Как будет'!$A101:$A108,Доп.расчеты!$A43,'Как будет'!FX101:FX108)</f>
        <v>0</v>
      </c>
      <c r="FX43">
        <f>SUMIF('Как будет'!$A101:$A108,Доп.расчеты!$A43,'Как будет'!FY101:FY108)</f>
        <v>0</v>
      </c>
      <c r="FY43">
        <f>SUMIF('Как будет'!$A101:$A108,Доп.расчеты!$A43,'Как будет'!FZ101:FZ108)</f>
        <v>0</v>
      </c>
      <c r="FZ43">
        <f>SUMIF('Как будет'!$A101:$A108,Доп.расчеты!$A43,'Как будет'!GA101:GA108)</f>
        <v>0</v>
      </c>
      <c r="GA43">
        <f>SUMIF('Как будет'!$A101:$A108,Доп.расчеты!$A43,'Как будет'!GB101:GB108)</f>
        <v>0</v>
      </c>
      <c r="GB43">
        <f>SUMIF('Как будет'!$A101:$A108,Доп.расчеты!$A43,'Как будет'!GC101:GC108)</f>
        <v>0</v>
      </c>
      <c r="GC43">
        <f>SUMIF('Как будет'!$A101:$A108,Доп.расчеты!$A43,'Как будет'!GD101:GD108)</f>
        <v>0</v>
      </c>
      <c r="GD43">
        <f>SUMIF('Как будет'!$A101:$A108,Доп.расчеты!$A43,'Как будет'!GE101:GE108)</f>
        <v>0</v>
      </c>
      <c r="GE43">
        <f>SUMIF('Как будет'!$A101:$A108,Доп.расчеты!$A43,'Как будет'!GF101:GF108)</f>
        <v>0</v>
      </c>
      <c r="GF43">
        <f>SUMIF('Как будет'!$A101:$A108,Доп.расчеты!$A43,'Как будет'!GG101:GG108)</f>
        <v>0</v>
      </c>
      <c r="GG43">
        <f>SUMIF('Как будет'!$A101:$A108,Доп.расчеты!$A43,'Как будет'!GH101:GH108)</f>
        <v>0</v>
      </c>
      <c r="GH43">
        <f>SUMIF('Как будет'!$A101:$A108,Доп.расчеты!$A43,'Как будет'!GI101:GI108)</f>
        <v>0</v>
      </c>
      <c r="GI43">
        <f>SUMIF('Как будет'!$A101:$A108,Доп.расчеты!$A43,'Как будет'!GJ101:GJ108)</f>
        <v>0</v>
      </c>
      <c r="GJ43">
        <f>SUMIF('Как будет'!$A101:$A108,Доп.расчеты!$A43,'Как будет'!GK101:GK108)</f>
        <v>0</v>
      </c>
      <c r="GK43">
        <f>SUMIF('Как будет'!$A101:$A108,Доп.расчеты!$A43,'Как будет'!GL101:GL108)</f>
        <v>0</v>
      </c>
      <c r="GL43">
        <f>SUMIF('Как будет'!$A101:$A108,Доп.расчеты!$A43,'Как будет'!GM101:GM108)</f>
        <v>0</v>
      </c>
      <c r="GM43">
        <f>SUMIF('Как будет'!$A101:$A108,Доп.расчеты!$A43,'Как будет'!GN101:GN108)</f>
        <v>0</v>
      </c>
      <c r="GN43">
        <f>SUMIF('Как будет'!$A101:$A108,Доп.расчеты!$A43,'Как будет'!GO101:GO108)</f>
        <v>0</v>
      </c>
      <c r="GO43">
        <f>SUMIF('Как будет'!$A101:$A108,Доп.расчеты!$A43,'Как будет'!GP101:GP108)</f>
        <v>0</v>
      </c>
      <c r="GP43">
        <f>SUMIF('Как будет'!$A101:$A108,Доп.расчеты!$A43,'Как будет'!GQ101:GQ108)</f>
        <v>0</v>
      </c>
      <c r="GQ43">
        <f>SUMIF('Как будет'!$A101:$A108,Доп.расчеты!$A43,'Как будет'!GR101:GR108)</f>
        <v>0</v>
      </c>
      <c r="GR43">
        <f>SUMIF('Как будет'!$A101:$A108,Доп.расчеты!$A43,'Как будет'!GS101:GS108)</f>
        <v>0</v>
      </c>
      <c r="GS43">
        <f>SUMIF('Как будет'!$A101:$A108,Доп.расчеты!$A43,'Как будет'!GT101:GT108)</f>
        <v>0</v>
      </c>
      <c r="GT43">
        <f>SUMIF('Как будет'!$A101:$A108,Доп.расчеты!$A43,'Как будет'!GU101:GU108)</f>
        <v>0</v>
      </c>
    </row>
    <row r="44" spans="1:202">
      <c r="A44" s="236" t="s">
        <v>14</v>
      </c>
      <c r="B44">
        <f>SUMIF('Как будет'!$A101:$A108,Доп.расчеты!$A44,'Как будет'!C101:C108)</f>
        <v>0</v>
      </c>
      <c r="C44">
        <f>SUMIF('Как будет'!$A101:$A108,Доп.расчеты!$A44,'Как будет'!D101:D108)</f>
        <v>0</v>
      </c>
      <c r="D44">
        <f>SUMIF('Как будет'!$A101:$A108,Доп.расчеты!$A44,'Как будет'!E101:E108)</f>
        <v>0</v>
      </c>
      <c r="E44">
        <f>SUMIF('Как будет'!$A101:$A108,Доп.расчеты!$A44,'Как будет'!F101:F108)</f>
        <v>0</v>
      </c>
      <c r="F44">
        <f>SUMIF('Как будет'!$A101:$A108,Доп.расчеты!$A44,'Как будет'!G101:G108)</f>
        <v>0</v>
      </c>
      <c r="G44">
        <f>SUMIF('Как будет'!$A101:$A108,Доп.расчеты!$A44,'Как будет'!H101:H108)</f>
        <v>0</v>
      </c>
      <c r="H44">
        <f>SUMIF('Как будет'!$A101:$A108,Доп.расчеты!$A44,'Как будет'!I101:I108)</f>
        <v>0</v>
      </c>
      <c r="I44">
        <f>SUMIF('Как будет'!$A101:$A108,Доп.расчеты!$A44,'Как будет'!J101:J108)</f>
        <v>0</v>
      </c>
      <c r="J44">
        <f>SUMIF('Как будет'!$A101:$A108,Доп.расчеты!$A44,'Как будет'!K101:K108)</f>
        <v>0</v>
      </c>
      <c r="K44">
        <f>SUMIF('Как будет'!$A101:$A108,Доп.расчеты!$A44,'Как будет'!L101:L108)</f>
        <v>0</v>
      </c>
      <c r="L44">
        <f>SUMIF('Как будет'!$A101:$A108,Доп.расчеты!$A44,'Как будет'!M101:M108)</f>
        <v>0</v>
      </c>
      <c r="M44">
        <f>SUMIF('Как будет'!$A101:$A108,Доп.расчеты!$A44,'Как будет'!N101:N108)</f>
        <v>0</v>
      </c>
      <c r="N44">
        <f>SUMIF('Как будет'!$A101:$A108,Доп.расчеты!$A44,'Как будет'!O101:O108)</f>
        <v>0</v>
      </c>
      <c r="O44">
        <f>SUMIF('Как будет'!$A101:$A108,Доп.расчеты!$A44,'Как будет'!P101:P108)</f>
        <v>0</v>
      </c>
      <c r="P44">
        <f>SUMIF('Как будет'!$A101:$A108,Доп.расчеты!$A44,'Как будет'!Q101:Q108)</f>
        <v>0</v>
      </c>
      <c r="Q44">
        <f>SUMIF('Как будет'!$A101:$A108,Доп.расчеты!$A44,'Как будет'!R101:R108)</f>
        <v>0</v>
      </c>
      <c r="R44">
        <f>SUMIF('Как будет'!$A101:$A108,Доп.расчеты!$A44,'Как будет'!S101:S108)</f>
        <v>0</v>
      </c>
      <c r="S44">
        <f>SUMIF('Как будет'!$A101:$A108,Доп.расчеты!$A44,'Как будет'!T101:T108)</f>
        <v>0</v>
      </c>
      <c r="T44">
        <f>SUMIF('Как будет'!$A101:$A108,Доп.расчеты!$A44,'Как будет'!U101:U108)</f>
        <v>0</v>
      </c>
      <c r="U44">
        <f>SUMIF('Как будет'!$A101:$A108,Доп.расчеты!$A44,'Как будет'!V101:V108)</f>
        <v>0</v>
      </c>
      <c r="V44">
        <f>SUMIF('Как будет'!$A101:$A108,Доп.расчеты!$A44,'Как будет'!W101:W108)</f>
        <v>0</v>
      </c>
      <c r="W44">
        <f>SUMIF('Как будет'!$A101:$A108,Доп.расчеты!$A44,'Как будет'!X101:X108)</f>
        <v>0</v>
      </c>
      <c r="X44">
        <f>SUMIF('Как будет'!$A101:$A108,Доп.расчеты!$A44,'Как будет'!Y101:Y108)</f>
        <v>0</v>
      </c>
      <c r="Y44">
        <f>SUMIF('Как будет'!$A101:$A108,Доп.расчеты!$A44,'Как будет'!Z101:Z108)</f>
        <v>0</v>
      </c>
      <c r="Z44">
        <f>SUMIF('Как будет'!$A101:$A108,Доп.расчеты!$A44,'Как будет'!AA101:AA108)</f>
        <v>0</v>
      </c>
      <c r="AA44">
        <f>SUMIF('Как будет'!$A101:$A108,Доп.расчеты!$A44,'Как будет'!AB101:AB108)</f>
        <v>0</v>
      </c>
      <c r="AB44">
        <f>SUMIF('Как будет'!$A101:$A108,Доп.расчеты!$A44,'Как будет'!AC101:AC108)</f>
        <v>0</v>
      </c>
      <c r="AC44">
        <f>SUMIF('Как будет'!$A101:$A108,Доп.расчеты!$A44,'Как будет'!AD101:AD108)</f>
        <v>0</v>
      </c>
      <c r="AD44">
        <f>SUMIF('Как будет'!$A101:$A108,Доп.расчеты!$A44,'Как будет'!AE101:AE108)</f>
        <v>0</v>
      </c>
      <c r="AE44">
        <f>SUMIF('Как будет'!$A101:$A108,Доп.расчеты!$A44,'Как будет'!AF101:AF108)</f>
        <v>0</v>
      </c>
      <c r="AF44">
        <f>SUMIF('Как будет'!$A101:$A108,Доп.расчеты!$A44,'Как будет'!AG101:AG108)</f>
        <v>0</v>
      </c>
      <c r="AG44">
        <f>SUMIF('Как будет'!$A101:$A108,Доп.расчеты!$A44,'Как будет'!AH101:AH108)</f>
        <v>0</v>
      </c>
      <c r="AH44">
        <f>SUMIF('Как будет'!$A101:$A108,Доп.расчеты!$A44,'Как будет'!AI101:AI108)</f>
        <v>0</v>
      </c>
      <c r="AI44">
        <f>SUMIF('Как будет'!$A101:$A108,Доп.расчеты!$A44,'Как будет'!AJ101:AJ108)</f>
        <v>0</v>
      </c>
      <c r="AJ44">
        <f>SUMIF('Как будет'!$A101:$A108,Доп.расчеты!$A44,'Как будет'!AK101:AK108)</f>
        <v>0</v>
      </c>
      <c r="AK44">
        <f>SUMIF('Как будет'!$A101:$A108,Доп.расчеты!$A44,'Как будет'!AL101:AL108)</f>
        <v>0</v>
      </c>
      <c r="AL44">
        <f>SUMIF('Как будет'!$A101:$A108,Доп.расчеты!$A44,'Как будет'!AM101:AM108)</f>
        <v>0</v>
      </c>
      <c r="AM44">
        <f>SUMIF('Как будет'!$A101:$A108,Доп.расчеты!$A44,'Как будет'!AN101:AN108)</f>
        <v>0</v>
      </c>
      <c r="AN44">
        <f>SUMIF('Как будет'!$A101:$A108,Доп.расчеты!$A44,'Как будет'!AO101:AO108)</f>
        <v>0</v>
      </c>
      <c r="AO44">
        <f>SUMIF('Как будет'!$A101:$A108,Доп.расчеты!$A44,'Как будет'!AP101:AP108)</f>
        <v>0</v>
      </c>
      <c r="AP44">
        <f>SUMIF('Как будет'!$A101:$A108,Доп.расчеты!$A44,'Как будет'!AQ101:AQ108)</f>
        <v>0</v>
      </c>
      <c r="AQ44">
        <f>SUMIF('Как будет'!$A101:$A108,Доп.расчеты!$A44,'Как будет'!AR101:AR108)</f>
        <v>0</v>
      </c>
      <c r="AR44">
        <f>SUMIF('Как будет'!$A101:$A108,Доп.расчеты!$A44,'Как будет'!AS101:AS108)</f>
        <v>0</v>
      </c>
      <c r="AS44">
        <f>SUMIF('Как будет'!$A101:$A108,Доп.расчеты!$A44,'Как будет'!AT101:AT108)</f>
        <v>0</v>
      </c>
      <c r="AT44">
        <f>SUMIF('Как будет'!$A101:$A108,Доп.расчеты!$A44,'Как будет'!AU101:AU108)</f>
        <v>0</v>
      </c>
      <c r="AU44">
        <f>SUMIF('Как будет'!$A101:$A108,Доп.расчеты!$A44,'Как будет'!AV101:AV108)</f>
        <v>0</v>
      </c>
      <c r="AV44">
        <f>SUMIF('Как будет'!$A101:$A108,Доп.расчеты!$A44,'Как будет'!AW101:AW108)</f>
        <v>0</v>
      </c>
      <c r="AW44">
        <f>SUMIF('Как будет'!$A101:$A108,Доп.расчеты!$A44,'Как будет'!AX101:AX108)</f>
        <v>0</v>
      </c>
      <c r="AX44">
        <f>SUMIF('Как будет'!$A101:$A108,Доп.расчеты!$A44,'Как будет'!AY101:AY108)</f>
        <v>0</v>
      </c>
      <c r="AY44">
        <f>SUMIF('Как будет'!$A101:$A108,Доп.расчеты!$A44,'Как будет'!AZ101:AZ108)</f>
        <v>0</v>
      </c>
      <c r="AZ44">
        <f>SUMIF('Как будет'!$A101:$A108,Доп.расчеты!$A44,'Как будет'!BA101:BA108)</f>
        <v>0</v>
      </c>
      <c r="BA44">
        <f>SUMIF('Как будет'!$A101:$A108,Доп.расчеты!$A44,'Как будет'!BB101:BB108)</f>
        <v>0</v>
      </c>
      <c r="BB44">
        <f>SUMIF('Как будет'!$A101:$A108,Доп.расчеты!$A44,'Как будет'!BC101:BC108)</f>
        <v>0</v>
      </c>
      <c r="BC44">
        <f>SUMIF('Как будет'!$A101:$A108,Доп.расчеты!$A44,'Как будет'!BD101:BD108)</f>
        <v>0</v>
      </c>
      <c r="BD44">
        <f>SUMIF('Как будет'!$A101:$A108,Доп.расчеты!$A44,'Как будет'!BE101:BE108)</f>
        <v>0</v>
      </c>
      <c r="BE44">
        <f>SUMIF('Как будет'!$A101:$A108,Доп.расчеты!$A44,'Как будет'!BF101:BF108)</f>
        <v>0</v>
      </c>
      <c r="BF44">
        <f>SUMIF('Как будет'!$A101:$A108,Доп.расчеты!$A44,'Как будет'!BG101:BG108)</f>
        <v>0</v>
      </c>
      <c r="BG44">
        <f>SUMIF('Как будет'!$A101:$A108,Доп.расчеты!$A44,'Как будет'!BH101:BH108)</f>
        <v>0</v>
      </c>
      <c r="BH44">
        <f>SUMIF('Как будет'!$A101:$A108,Доп.расчеты!$A44,'Как будет'!BI101:BI108)</f>
        <v>0</v>
      </c>
      <c r="BI44">
        <f>SUMIF('Как будет'!$A101:$A108,Доп.расчеты!$A44,'Как будет'!BJ101:BJ108)</f>
        <v>0</v>
      </c>
      <c r="BJ44">
        <f>SUMIF('Как будет'!$A101:$A108,Доп.расчеты!$A44,'Как будет'!BK101:BK108)</f>
        <v>0</v>
      </c>
      <c r="BK44">
        <f>SUMIF('Как будет'!$A101:$A108,Доп.расчеты!$A44,'Как будет'!BL101:BL108)</f>
        <v>0</v>
      </c>
      <c r="BL44">
        <f>SUMIF('Как будет'!$A101:$A108,Доп.расчеты!$A44,'Как будет'!BM101:BM108)</f>
        <v>0</v>
      </c>
      <c r="BM44">
        <f>SUMIF('Как будет'!$A101:$A108,Доп.расчеты!$A44,'Как будет'!BN101:BN108)</f>
        <v>0</v>
      </c>
      <c r="BN44">
        <f>SUMIF('Как будет'!$A101:$A108,Доп.расчеты!$A44,'Как будет'!BO101:BO108)</f>
        <v>0</v>
      </c>
      <c r="BO44">
        <f>SUMIF('Как будет'!$A101:$A108,Доп.расчеты!$A44,'Как будет'!BP101:BP108)</f>
        <v>0</v>
      </c>
      <c r="BP44">
        <f>SUMIF('Как будет'!$A101:$A108,Доп.расчеты!$A44,'Как будет'!BQ101:BQ108)</f>
        <v>0</v>
      </c>
      <c r="BQ44">
        <f>SUMIF('Как будет'!$A101:$A108,Доп.расчеты!$A44,'Как будет'!BR101:BR108)</f>
        <v>0</v>
      </c>
      <c r="BR44">
        <f>SUMIF('Как будет'!$A101:$A108,Доп.расчеты!$A44,'Как будет'!BS101:BS108)</f>
        <v>0</v>
      </c>
      <c r="BS44">
        <f>SUMIF('Как будет'!$A101:$A108,Доп.расчеты!$A44,'Как будет'!BT101:BT108)</f>
        <v>0</v>
      </c>
      <c r="BT44">
        <f>SUMIF('Как будет'!$A101:$A108,Доп.расчеты!$A44,'Как будет'!BU101:BU108)</f>
        <v>0</v>
      </c>
      <c r="BU44">
        <f>SUMIF('Как будет'!$A101:$A108,Доп.расчеты!$A44,'Как будет'!BV101:BV108)</f>
        <v>0</v>
      </c>
      <c r="BV44">
        <f>SUMIF('Как будет'!$A101:$A108,Доп.расчеты!$A44,'Как будет'!BW101:BW108)</f>
        <v>0</v>
      </c>
      <c r="BW44">
        <f>SUMIF('Как будет'!$A101:$A108,Доп.расчеты!$A44,'Как будет'!BX101:BX108)</f>
        <v>0</v>
      </c>
      <c r="BX44">
        <f>SUMIF('Как будет'!$A101:$A108,Доп.расчеты!$A44,'Как будет'!BY101:BY108)</f>
        <v>0</v>
      </c>
      <c r="BY44">
        <f>SUMIF('Как будет'!$A101:$A108,Доп.расчеты!$A44,'Как будет'!BZ101:BZ108)</f>
        <v>0</v>
      </c>
      <c r="BZ44">
        <f>SUMIF('Как будет'!$A101:$A108,Доп.расчеты!$A44,'Как будет'!CA101:CA108)</f>
        <v>0</v>
      </c>
      <c r="CA44">
        <f>SUMIF('Как будет'!$A101:$A108,Доп.расчеты!$A44,'Как будет'!CB101:CB108)</f>
        <v>0</v>
      </c>
      <c r="CB44">
        <f>SUMIF('Как будет'!$A101:$A108,Доп.расчеты!$A44,'Как будет'!CC101:CC108)</f>
        <v>0</v>
      </c>
      <c r="CC44">
        <f>SUMIF('Как будет'!$A101:$A108,Доп.расчеты!$A44,'Как будет'!CD101:CD108)</f>
        <v>0</v>
      </c>
      <c r="CD44">
        <f>SUMIF('Как будет'!$A101:$A108,Доп.расчеты!$A44,'Как будет'!CE101:CE108)</f>
        <v>0</v>
      </c>
      <c r="CE44">
        <f>SUMIF('Как будет'!$A101:$A108,Доп.расчеты!$A44,'Как будет'!CF101:CF108)</f>
        <v>0</v>
      </c>
      <c r="CF44">
        <f>SUMIF('Как будет'!$A101:$A108,Доп.расчеты!$A44,'Как будет'!CG101:CG108)</f>
        <v>0</v>
      </c>
      <c r="CG44">
        <f>SUMIF('Как будет'!$A101:$A108,Доп.расчеты!$A44,'Как будет'!CH101:CH108)</f>
        <v>0</v>
      </c>
      <c r="CH44">
        <f>SUMIF('Как будет'!$A101:$A108,Доп.расчеты!$A44,'Как будет'!CI101:CI108)</f>
        <v>0</v>
      </c>
      <c r="CI44">
        <f>SUMIF('Как будет'!$A101:$A108,Доп.расчеты!$A44,'Как будет'!CJ101:CJ108)</f>
        <v>0</v>
      </c>
      <c r="CJ44">
        <f>SUMIF('Как будет'!$A101:$A108,Доп.расчеты!$A44,'Как будет'!CK101:CK108)</f>
        <v>0</v>
      </c>
      <c r="CK44">
        <f>SUMIF('Как будет'!$A101:$A108,Доп.расчеты!$A44,'Как будет'!CL101:CL108)</f>
        <v>0</v>
      </c>
      <c r="CL44">
        <f>SUMIF('Как будет'!$A101:$A108,Доп.расчеты!$A44,'Как будет'!CM101:CM108)</f>
        <v>0</v>
      </c>
      <c r="CM44">
        <f>SUMIF('Как будет'!$A101:$A108,Доп.расчеты!$A44,'Как будет'!CN101:CN108)</f>
        <v>0</v>
      </c>
      <c r="CN44">
        <f>SUMIF('Как будет'!$A101:$A108,Доп.расчеты!$A44,'Как будет'!CO101:CO108)</f>
        <v>0</v>
      </c>
      <c r="CO44">
        <f>SUMIF('Как будет'!$A101:$A108,Доп.расчеты!$A44,'Как будет'!CP101:CP108)</f>
        <v>0</v>
      </c>
      <c r="CP44">
        <f>SUMIF('Как будет'!$A101:$A108,Доп.расчеты!$A44,'Как будет'!CQ101:CQ108)</f>
        <v>0</v>
      </c>
      <c r="CQ44">
        <f>SUMIF('Как будет'!$A101:$A108,Доп.расчеты!$A44,'Как будет'!CR101:CR108)</f>
        <v>0</v>
      </c>
      <c r="CR44">
        <f>SUMIF('Как будет'!$A101:$A108,Доп.расчеты!$A44,'Как будет'!CS101:CS108)</f>
        <v>0</v>
      </c>
      <c r="CS44">
        <f>SUMIF('Как будет'!$A101:$A108,Доп.расчеты!$A44,'Как будет'!CT101:CT108)</f>
        <v>0</v>
      </c>
      <c r="CT44">
        <f>SUMIF('Как будет'!$A101:$A108,Доп.расчеты!$A44,'Как будет'!CU101:CU108)</f>
        <v>0</v>
      </c>
      <c r="CU44">
        <f>SUMIF('Как будет'!$A101:$A108,Доп.расчеты!$A44,'Как будет'!CV101:CV108)</f>
        <v>0</v>
      </c>
      <c r="CV44">
        <f>SUMIF('Как будет'!$A101:$A108,Доп.расчеты!$A44,'Как будет'!CW101:CW108)</f>
        <v>0</v>
      </c>
      <c r="CW44">
        <f>SUMIF('Как будет'!$A101:$A108,Доп.расчеты!$A44,'Как будет'!CX101:CX108)</f>
        <v>0</v>
      </c>
      <c r="CX44">
        <f>SUMIF('Как будет'!$A101:$A108,Доп.расчеты!$A44,'Как будет'!CY101:CY108)</f>
        <v>0</v>
      </c>
      <c r="CY44">
        <f>SUMIF('Как будет'!$A101:$A108,Доп.расчеты!$A44,'Как будет'!CZ101:CZ108)</f>
        <v>0</v>
      </c>
      <c r="CZ44">
        <f>SUMIF('Как будет'!$A101:$A108,Доп.расчеты!$A44,'Как будет'!DA101:DA108)</f>
        <v>0</v>
      </c>
      <c r="DA44">
        <f>SUMIF('Как будет'!$A101:$A108,Доп.расчеты!$A44,'Как будет'!DB101:DB108)</f>
        <v>0</v>
      </c>
      <c r="DB44">
        <f>SUMIF('Как будет'!$A101:$A108,Доп.расчеты!$A44,'Как будет'!DC101:DC108)</f>
        <v>0</v>
      </c>
      <c r="DC44">
        <f>SUMIF('Как будет'!$A101:$A108,Доп.расчеты!$A44,'Как будет'!DD101:DD108)</f>
        <v>0</v>
      </c>
      <c r="DD44">
        <f>SUMIF('Как будет'!$A101:$A108,Доп.расчеты!$A44,'Как будет'!DE101:DE108)</f>
        <v>0</v>
      </c>
      <c r="DE44">
        <f>SUMIF('Как будет'!$A101:$A108,Доп.расчеты!$A44,'Как будет'!DF101:DF108)</f>
        <v>0</v>
      </c>
      <c r="DF44">
        <f>SUMIF('Как будет'!$A101:$A108,Доп.расчеты!$A44,'Как будет'!DG101:DG108)</f>
        <v>0</v>
      </c>
      <c r="DG44">
        <f>SUMIF('Как будет'!$A101:$A108,Доп.расчеты!$A44,'Как будет'!DH101:DH108)</f>
        <v>0</v>
      </c>
      <c r="DH44">
        <f>SUMIF('Как будет'!$A101:$A108,Доп.расчеты!$A44,'Как будет'!DI101:DI108)</f>
        <v>0</v>
      </c>
      <c r="DI44">
        <f>SUMIF('Как будет'!$A101:$A108,Доп.расчеты!$A44,'Как будет'!DJ101:DJ108)</f>
        <v>0</v>
      </c>
      <c r="DJ44">
        <f>SUMIF('Как будет'!$A101:$A108,Доп.расчеты!$A44,'Как будет'!DK101:DK108)</f>
        <v>0</v>
      </c>
      <c r="DK44">
        <f>SUMIF('Как будет'!$A101:$A108,Доп.расчеты!$A44,'Как будет'!DL101:DL108)</f>
        <v>0</v>
      </c>
      <c r="DL44">
        <f>SUMIF('Как будет'!$A101:$A108,Доп.расчеты!$A44,'Как будет'!DM101:DM108)</f>
        <v>0</v>
      </c>
      <c r="DM44">
        <f>SUMIF('Как будет'!$A101:$A108,Доп.расчеты!$A44,'Как будет'!DN101:DN108)</f>
        <v>0</v>
      </c>
      <c r="DN44">
        <f>SUMIF('Как будет'!$A101:$A108,Доп.расчеты!$A44,'Как будет'!DO101:DO108)</f>
        <v>0</v>
      </c>
      <c r="DO44">
        <f>SUMIF('Как будет'!$A101:$A108,Доп.расчеты!$A44,'Как будет'!DP101:DP108)</f>
        <v>0</v>
      </c>
      <c r="DP44">
        <f>SUMIF('Как будет'!$A101:$A108,Доп.расчеты!$A44,'Как будет'!DQ101:DQ108)</f>
        <v>0</v>
      </c>
      <c r="DQ44">
        <f>SUMIF('Как будет'!$A101:$A108,Доп.расчеты!$A44,'Как будет'!DR101:DR108)</f>
        <v>0</v>
      </c>
      <c r="DR44">
        <f>SUMIF('Как будет'!$A101:$A108,Доп.расчеты!$A44,'Как будет'!DS101:DS108)</f>
        <v>0</v>
      </c>
      <c r="DS44">
        <f>SUMIF('Как будет'!$A101:$A108,Доп.расчеты!$A44,'Как будет'!DT101:DT108)</f>
        <v>0</v>
      </c>
      <c r="DT44">
        <f>SUMIF('Как будет'!$A101:$A108,Доп.расчеты!$A44,'Как будет'!DU101:DU108)</f>
        <v>0</v>
      </c>
      <c r="DU44">
        <f>SUMIF('Как будет'!$A101:$A108,Доп.расчеты!$A44,'Как будет'!DV101:DV108)</f>
        <v>0</v>
      </c>
      <c r="DV44">
        <f>SUMIF('Как будет'!$A101:$A108,Доп.расчеты!$A44,'Как будет'!DW101:DW108)</f>
        <v>0</v>
      </c>
      <c r="DW44">
        <f>SUMIF('Как будет'!$A101:$A108,Доп.расчеты!$A44,'Как будет'!DX101:DX108)</f>
        <v>0</v>
      </c>
      <c r="DX44">
        <f>SUMIF('Как будет'!$A101:$A108,Доп.расчеты!$A44,'Как будет'!DY101:DY108)</f>
        <v>0</v>
      </c>
      <c r="DY44">
        <f>SUMIF('Как будет'!$A101:$A108,Доп.расчеты!$A44,'Как будет'!DZ101:DZ108)</f>
        <v>0</v>
      </c>
      <c r="DZ44">
        <f>SUMIF('Как будет'!$A101:$A108,Доп.расчеты!$A44,'Как будет'!EA101:EA108)</f>
        <v>0</v>
      </c>
      <c r="EA44">
        <f>SUMIF('Как будет'!$A101:$A108,Доп.расчеты!$A44,'Как будет'!EB101:EB108)</f>
        <v>0</v>
      </c>
      <c r="EB44">
        <f>SUMIF('Как будет'!$A101:$A108,Доп.расчеты!$A44,'Как будет'!EC101:EC108)</f>
        <v>0</v>
      </c>
      <c r="EC44">
        <f>SUMIF('Как будет'!$A101:$A108,Доп.расчеты!$A44,'Как будет'!ED101:ED108)</f>
        <v>0</v>
      </c>
      <c r="ED44">
        <f>SUMIF('Как будет'!$A101:$A108,Доп.расчеты!$A44,'Как будет'!EE101:EE108)</f>
        <v>0</v>
      </c>
      <c r="EE44">
        <f>SUMIF('Как будет'!$A101:$A108,Доп.расчеты!$A44,'Как будет'!EF101:EF108)</f>
        <v>0</v>
      </c>
      <c r="EF44">
        <f>SUMIF('Как будет'!$A101:$A108,Доп.расчеты!$A44,'Как будет'!EG101:EG108)</f>
        <v>0</v>
      </c>
      <c r="EG44">
        <f>SUMIF('Как будет'!$A101:$A108,Доп.расчеты!$A44,'Как будет'!EH101:EH108)</f>
        <v>0</v>
      </c>
      <c r="EH44">
        <f>SUMIF('Как будет'!$A101:$A108,Доп.расчеты!$A44,'Как будет'!EI101:EI108)</f>
        <v>0</v>
      </c>
      <c r="EI44">
        <f>SUMIF('Как будет'!$A101:$A108,Доп.расчеты!$A44,'Как будет'!EJ101:EJ108)</f>
        <v>0</v>
      </c>
      <c r="EJ44">
        <f>SUMIF('Как будет'!$A101:$A108,Доп.расчеты!$A44,'Как будет'!EK101:EK108)</f>
        <v>0</v>
      </c>
      <c r="EK44">
        <f>SUMIF('Как будет'!$A101:$A108,Доп.расчеты!$A44,'Как будет'!EL101:EL108)</f>
        <v>0</v>
      </c>
      <c r="EL44">
        <f>SUMIF('Как будет'!$A101:$A108,Доп.расчеты!$A44,'Как будет'!EM101:EM108)</f>
        <v>0</v>
      </c>
      <c r="EM44">
        <f>SUMIF('Как будет'!$A101:$A108,Доп.расчеты!$A44,'Как будет'!EN101:EN108)</f>
        <v>0</v>
      </c>
      <c r="EN44">
        <f>SUMIF('Как будет'!$A101:$A108,Доп.расчеты!$A44,'Как будет'!EO101:EO108)</f>
        <v>0</v>
      </c>
      <c r="EO44">
        <f>SUMIF('Как будет'!$A101:$A108,Доп.расчеты!$A44,'Как будет'!EP101:EP108)</f>
        <v>0</v>
      </c>
      <c r="EP44">
        <f>SUMIF('Как будет'!$A101:$A108,Доп.расчеты!$A44,'Как будет'!EQ101:EQ108)</f>
        <v>0</v>
      </c>
      <c r="EQ44">
        <f>SUMIF('Как будет'!$A101:$A108,Доп.расчеты!$A44,'Как будет'!ER101:ER108)</f>
        <v>0</v>
      </c>
      <c r="ER44">
        <f>SUMIF('Как будет'!$A101:$A108,Доп.расчеты!$A44,'Как будет'!ES101:ES108)</f>
        <v>0</v>
      </c>
      <c r="ES44">
        <f>SUMIF('Как будет'!$A101:$A108,Доп.расчеты!$A44,'Как будет'!ET101:ET108)</f>
        <v>0</v>
      </c>
      <c r="ET44">
        <f>SUMIF('Как будет'!$A101:$A108,Доп.расчеты!$A44,'Как будет'!EU101:EU108)</f>
        <v>0</v>
      </c>
      <c r="EU44">
        <f>SUMIF('Как будет'!$A101:$A108,Доп.расчеты!$A44,'Как будет'!EV101:EV108)</f>
        <v>0</v>
      </c>
      <c r="EV44">
        <f>SUMIF('Как будет'!$A101:$A108,Доп.расчеты!$A44,'Как будет'!EW101:EW108)</f>
        <v>0</v>
      </c>
      <c r="EW44">
        <f>SUMIF('Как будет'!$A101:$A108,Доп.расчеты!$A44,'Как будет'!EX101:EX108)</f>
        <v>0</v>
      </c>
      <c r="EX44">
        <f>SUMIF('Как будет'!$A101:$A108,Доп.расчеты!$A44,'Как будет'!EY101:EY108)</f>
        <v>0</v>
      </c>
      <c r="EY44">
        <f>SUMIF('Как будет'!$A101:$A108,Доп.расчеты!$A44,'Как будет'!EZ101:EZ108)</f>
        <v>0</v>
      </c>
      <c r="EZ44">
        <f>SUMIF('Как будет'!$A101:$A108,Доп.расчеты!$A44,'Как будет'!FA101:FA108)</f>
        <v>0</v>
      </c>
      <c r="FA44">
        <f>SUMIF('Как будет'!$A101:$A108,Доп.расчеты!$A44,'Как будет'!FB101:FB108)</f>
        <v>0</v>
      </c>
      <c r="FB44">
        <f>SUMIF('Как будет'!$A101:$A108,Доп.расчеты!$A44,'Как будет'!FC101:FC108)</f>
        <v>0</v>
      </c>
      <c r="FC44">
        <f>SUMIF('Как будет'!$A101:$A108,Доп.расчеты!$A44,'Как будет'!FD101:FD108)</f>
        <v>0</v>
      </c>
      <c r="FD44">
        <f>SUMIF('Как будет'!$A101:$A108,Доп.расчеты!$A44,'Как будет'!FE101:FE108)</f>
        <v>0</v>
      </c>
      <c r="FE44">
        <f>SUMIF('Как будет'!$A101:$A108,Доп.расчеты!$A44,'Как будет'!FF101:FF108)</f>
        <v>0</v>
      </c>
      <c r="FF44">
        <f>SUMIF('Как будет'!$A101:$A108,Доп.расчеты!$A44,'Как будет'!FG101:FG108)</f>
        <v>0</v>
      </c>
      <c r="FG44">
        <f>SUMIF('Как будет'!$A101:$A108,Доп.расчеты!$A44,'Как будет'!FH101:FH108)</f>
        <v>0</v>
      </c>
      <c r="FH44">
        <f>SUMIF('Как будет'!$A101:$A108,Доп.расчеты!$A44,'Как будет'!FI101:FI108)</f>
        <v>0</v>
      </c>
      <c r="FI44">
        <f>SUMIF('Как будет'!$A101:$A108,Доп.расчеты!$A44,'Как будет'!FJ101:FJ108)</f>
        <v>0</v>
      </c>
      <c r="FJ44">
        <f>SUMIF('Как будет'!$A101:$A108,Доп.расчеты!$A44,'Как будет'!FK101:FK108)</f>
        <v>0</v>
      </c>
      <c r="FK44">
        <f>SUMIF('Как будет'!$A101:$A108,Доп.расчеты!$A44,'Как будет'!FL101:FL108)</f>
        <v>0</v>
      </c>
      <c r="FL44">
        <f>SUMIF('Как будет'!$A101:$A108,Доп.расчеты!$A44,'Как будет'!FM101:FM108)</f>
        <v>0</v>
      </c>
      <c r="FM44">
        <f>SUMIF('Как будет'!$A101:$A108,Доп.расчеты!$A44,'Как будет'!FN101:FN108)</f>
        <v>0</v>
      </c>
      <c r="FN44">
        <f>SUMIF('Как будет'!$A101:$A108,Доп.расчеты!$A44,'Как будет'!FO101:FO108)</f>
        <v>0</v>
      </c>
      <c r="FO44">
        <f>SUMIF('Как будет'!$A101:$A108,Доп.расчеты!$A44,'Как будет'!FP101:FP108)</f>
        <v>0</v>
      </c>
      <c r="FP44">
        <f>SUMIF('Как будет'!$A101:$A108,Доп.расчеты!$A44,'Как будет'!FQ101:FQ108)</f>
        <v>0</v>
      </c>
      <c r="FQ44">
        <f>SUMIF('Как будет'!$A101:$A108,Доп.расчеты!$A44,'Как будет'!FR101:FR108)</f>
        <v>0</v>
      </c>
      <c r="FR44">
        <f>SUMIF('Как будет'!$A101:$A108,Доп.расчеты!$A44,'Как будет'!FS101:FS108)</f>
        <v>0</v>
      </c>
      <c r="FS44">
        <f>SUMIF('Как будет'!$A101:$A108,Доп.расчеты!$A44,'Как будет'!FT101:FT108)</f>
        <v>0</v>
      </c>
      <c r="FT44">
        <f>SUMIF('Как будет'!$A101:$A108,Доп.расчеты!$A44,'Как будет'!FU101:FU108)</f>
        <v>0</v>
      </c>
      <c r="FU44">
        <f>SUMIF('Как будет'!$A101:$A108,Доп.расчеты!$A44,'Как будет'!FV101:FV108)</f>
        <v>0</v>
      </c>
      <c r="FV44">
        <f>SUMIF('Как будет'!$A101:$A108,Доп.расчеты!$A44,'Как будет'!FW101:FW108)</f>
        <v>0</v>
      </c>
      <c r="FW44">
        <f>SUMIF('Как будет'!$A101:$A108,Доп.расчеты!$A44,'Как будет'!FX101:FX108)</f>
        <v>0</v>
      </c>
      <c r="FX44">
        <f>SUMIF('Как будет'!$A101:$A108,Доп.расчеты!$A44,'Как будет'!FY101:FY108)</f>
        <v>0</v>
      </c>
      <c r="FY44">
        <f>SUMIF('Как будет'!$A101:$A108,Доп.расчеты!$A44,'Как будет'!FZ101:FZ108)</f>
        <v>0</v>
      </c>
      <c r="FZ44">
        <f>SUMIF('Как будет'!$A101:$A108,Доп.расчеты!$A44,'Как будет'!GA101:GA108)</f>
        <v>0</v>
      </c>
      <c r="GA44">
        <f>SUMIF('Как будет'!$A101:$A108,Доп.расчеты!$A44,'Как будет'!GB101:GB108)</f>
        <v>0</v>
      </c>
      <c r="GB44">
        <f>SUMIF('Как будет'!$A101:$A108,Доп.расчеты!$A44,'Как будет'!GC101:GC108)</f>
        <v>0</v>
      </c>
      <c r="GC44">
        <f>SUMIF('Как будет'!$A101:$A108,Доп.расчеты!$A44,'Как будет'!GD101:GD108)</f>
        <v>0</v>
      </c>
      <c r="GD44">
        <f>SUMIF('Как будет'!$A101:$A108,Доп.расчеты!$A44,'Как будет'!GE101:GE108)</f>
        <v>0</v>
      </c>
      <c r="GE44">
        <f>SUMIF('Как будет'!$A101:$A108,Доп.расчеты!$A44,'Как будет'!GF101:GF108)</f>
        <v>0</v>
      </c>
      <c r="GF44">
        <f>SUMIF('Как будет'!$A101:$A108,Доп.расчеты!$A44,'Как будет'!GG101:GG108)</f>
        <v>0</v>
      </c>
      <c r="GG44">
        <f>SUMIF('Как будет'!$A101:$A108,Доп.расчеты!$A44,'Как будет'!GH101:GH108)</f>
        <v>0</v>
      </c>
      <c r="GH44">
        <f>SUMIF('Как будет'!$A101:$A108,Доп.расчеты!$A44,'Как будет'!GI101:GI108)</f>
        <v>0</v>
      </c>
      <c r="GI44">
        <f>SUMIF('Как будет'!$A101:$A108,Доп.расчеты!$A44,'Как будет'!GJ101:GJ108)</f>
        <v>0</v>
      </c>
      <c r="GJ44">
        <f>SUMIF('Как будет'!$A101:$A108,Доп.расчеты!$A44,'Как будет'!GK101:GK108)</f>
        <v>0</v>
      </c>
      <c r="GK44">
        <f>SUMIF('Как будет'!$A101:$A108,Доп.расчеты!$A44,'Как будет'!GL101:GL108)</f>
        <v>0</v>
      </c>
      <c r="GL44">
        <f>SUMIF('Как будет'!$A101:$A108,Доп.расчеты!$A44,'Как будет'!GM101:GM108)</f>
        <v>0</v>
      </c>
      <c r="GM44">
        <f>SUMIF('Как будет'!$A101:$A108,Доп.расчеты!$A44,'Как будет'!GN101:GN108)</f>
        <v>0</v>
      </c>
      <c r="GN44">
        <f>SUMIF('Как будет'!$A101:$A108,Доп.расчеты!$A44,'Как будет'!GO101:GO108)</f>
        <v>0</v>
      </c>
      <c r="GO44">
        <f>SUMIF('Как будет'!$A101:$A108,Доп.расчеты!$A44,'Как будет'!GP101:GP108)</f>
        <v>0</v>
      </c>
      <c r="GP44">
        <f>SUMIF('Как будет'!$A101:$A108,Доп.расчеты!$A44,'Как будет'!GQ101:GQ108)</f>
        <v>0</v>
      </c>
      <c r="GQ44">
        <f>SUMIF('Как будет'!$A101:$A108,Доп.расчеты!$A44,'Как будет'!GR101:GR108)</f>
        <v>0</v>
      </c>
      <c r="GR44">
        <f>SUMIF('Как будет'!$A101:$A108,Доп.расчеты!$A44,'Как будет'!GS101:GS108)</f>
        <v>0</v>
      </c>
      <c r="GS44">
        <f>SUMIF('Как будет'!$A101:$A108,Доп.расчеты!$A44,'Как будет'!GT101:GT108)</f>
        <v>0</v>
      </c>
      <c r="GT44">
        <f>SUMIF('Как будет'!$A101:$A108,Доп.расчеты!$A44,'Как будет'!GU101:GU108)</f>
        <v>0</v>
      </c>
    </row>
    <row r="45" spans="1:202">
      <c r="A45" s="236" t="s">
        <v>117</v>
      </c>
      <c r="B45">
        <f>SUMIF('Как будет'!$A101:$A108,Доп.расчеты!$A45,'Как будет'!C101:C108)</f>
        <v>0</v>
      </c>
      <c r="C45">
        <f>SUMIF('Как будет'!$A101:$A108,Доп.расчеты!$A45,'Как будет'!D101:D108)</f>
        <v>0</v>
      </c>
      <c r="D45">
        <f>SUMIF('Как будет'!$A101:$A108,Доп.расчеты!$A45,'Как будет'!E101:E108)</f>
        <v>0</v>
      </c>
      <c r="E45">
        <f>SUMIF('Как будет'!$A101:$A108,Доп.расчеты!$A45,'Как будет'!F101:F108)</f>
        <v>0</v>
      </c>
      <c r="F45">
        <f>SUMIF('Как будет'!$A101:$A108,Доп.расчеты!$A45,'Как будет'!G101:G108)</f>
        <v>0</v>
      </c>
      <c r="G45">
        <f>SUMIF('Как будет'!$A101:$A108,Доп.расчеты!$A45,'Как будет'!H101:H108)</f>
        <v>0</v>
      </c>
      <c r="H45">
        <f>SUMIF('Как будет'!$A101:$A108,Доп.расчеты!$A45,'Как будет'!I101:I108)</f>
        <v>0</v>
      </c>
      <c r="I45">
        <f>SUMIF('Как будет'!$A101:$A108,Доп.расчеты!$A45,'Как будет'!J101:J108)</f>
        <v>0</v>
      </c>
      <c r="J45">
        <f>SUMIF('Как будет'!$A101:$A108,Доп.расчеты!$A45,'Как будет'!K101:K108)</f>
        <v>0</v>
      </c>
      <c r="K45">
        <f>SUMIF('Как будет'!$A101:$A108,Доп.расчеты!$A45,'Как будет'!L101:L108)</f>
        <v>0</v>
      </c>
      <c r="L45">
        <f>SUMIF('Как будет'!$A101:$A108,Доп.расчеты!$A45,'Как будет'!M101:M108)</f>
        <v>0</v>
      </c>
      <c r="M45">
        <f>SUMIF('Как будет'!$A101:$A108,Доп.расчеты!$A45,'Как будет'!N101:N108)</f>
        <v>0</v>
      </c>
      <c r="N45">
        <f>SUMIF('Как будет'!$A101:$A108,Доп.расчеты!$A45,'Как будет'!O101:O108)</f>
        <v>0</v>
      </c>
      <c r="O45">
        <f>SUMIF('Как будет'!$A101:$A108,Доп.расчеты!$A45,'Как будет'!P101:P108)</f>
        <v>0</v>
      </c>
      <c r="P45">
        <f>SUMIF('Как будет'!$A101:$A108,Доп.расчеты!$A45,'Как будет'!Q101:Q108)</f>
        <v>0</v>
      </c>
      <c r="Q45">
        <f>SUMIF('Как будет'!$A101:$A108,Доп.расчеты!$A45,'Как будет'!R101:R108)</f>
        <v>0</v>
      </c>
      <c r="R45">
        <f>SUMIF('Как будет'!$A101:$A108,Доп.расчеты!$A45,'Как будет'!S101:S108)</f>
        <v>0</v>
      </c>
      <c r="S45">
        <f>SUMIF('Как будет'!$A101:$A108,Доп.расчеты!$A45,'Как будет'!T101:T108)</f>
        <v>0</v>
      </c>
      <c r="T45">
        <f>SUMIF('Как будет'!$A101:$A108,Доп.расчеты!$A45,'Как будет'!U101:U108)</f>
        <v>0</v>
      </c>
      <c r="U45">
        <f>SUMIF('Как будет'!$A101:$A108,Доп.расчеты!$A45,'Как будет'!V101:V108)</f>
        <v>0</v>
      </c>
      <c r="V45">
        <f>SUMIF('Как будет'!$A101:$A108,Доп.расчеты!$A45,'Как будет'!W101:W108)</f>
        <v>0</v>
      </c>
      <c r="W45">
        <f>SUMIF('Как будет'!$A101:$A108,Доп.расчеты!$A45,'Как будет'!X101:X108)</f>
        <v>0</v>
      </c>
      <c r="X45">
        <f>SUMIF('Как будет'!$A101:$A108,Доп.расчеты!$A45,'Как будет'!Y101:Y108)</f>
        <v>0</v>
      </c>
      <c r="Y45">
        <f>SUMIF('Как будет'!$A101:$A108,Доп.расчеты!$A45,'Как будет'!Z101:Z108)</f>
        <v>0</v>
      </c>
      <c r="Z45">
        <f>SUMIF('Как будет'!$A101:$A108,Доп.расчеты!$A45,'Как будет'!AA101:AA108)</f>
        <v>0</v>
      </c>
      <c r="AA45">
        <f>SUMIF('Как будет'!$A101:$A108,Доп.расчеты!$A45,'Как будет'!AB101:AB108)</f>
        <v>0</v>
      </c>
      <c r="AB45">
        <f>SUMIF('Как будет'!$A101:$A108,Доп.расчеты!$A45,'Как будет'!AC101:AC108)</f>
        <v>0</v>
      </c>
      <c r="AC45">
        <f>SUMIF('Как будет'!$A101:$A108,Доп.расчеты!$A45,'Как будет'!AD101:AD108)</f>
        <v>0</v>
      </c>
      <c r="AD45">
        <f>SUMIF('Как будет'!$A101:$A108,Доп.расчеты!$A45,'Как будет'!AE101:AE108)</f>
        <v>0</v>
      </c>
      <c r="AE45">
        <f>SUMIF('Как будет'!$A101:$A108,Доп.расчеты!$A45,'Как будет'!AF101:AF108)</f>
        <v>0</v>
      </c>
      <c r="AF45">
        <f>SUMIF('Как будет'!$A101:$A108,Доп.расчеты!$A45,'Как будет'!AG101:AG108)</f>
        <v>0</v>
      </c>
      <c r="AG45">
        <f>SUMIF('Как будет'!$A101:$A108,Доп.расчеты!$A45,'Как будет'!AH101:AH108)</f>
        <v>0</v>
      </c>
      <c r="AH45">
        <f>SUMIF('Как будет'!$A101:$A108,Доп.расчеты!$A45,'Как будет'!AI101:AI108)</f>
        <v>0</v>
      </c>
      <c r="AI45">
        <f>SUMIF('Как будет'!$A101:$A108,Доп.расчеты!$A45,'Как будет'!AJ101:AJ108)</f>
        <v>0</v>
      </c>
      <c r="AJ45">
        <f>SUMIF('Как будет'!$A101:$A108,Доп.расчеты!$A45,'Как будет'!AK101:AK108)</f>
        <v>0</v>
      </c>
      <c r="AK45">
        <f>SUMIF('Как будет'!$A101:$A108,Доп.расчеты!$A45,'Как будет'!AL101:AL108)</f>
        <v>0</v>
      </c>
      <c r="AL45">
        <f>SUMIF('Как будет'!$A101:$A108,Доп.расчеты!$A45,'Как будет'!AM101:AM108)</f>
        <v>0</v>
      </c>
      <c r="AM45">
        <f>SUMIF('Как будет'!$A101:$A108,Доп.расчеты!$A45,'Как будет'!AN101:AN108)</f>
        <v>0</v>
      </c>
      <c r="AN45">
        <f>SUMIF('Как будет'!$A101:$A108,Доп.расчеты!$A45,'Как будет'!AO101:AO108)</f>
        <v>0</v>
      </c>
      <c r="AO45">
        <f>SUMIF('Как будет'!$A101:$A108,Доп.расчеты!$A45,'Как будет'!AP101:AP108)</f>
        <v>0</v>
      </c>
      <c r="AP45">
        <f>SUMIF('Как будет'!$A101:$A108,Доп.расчеты!$A45,'Как будет'!AQ101:AQ108)</f>
        <v>0</v>
      </c>
      <c r="AQ45">
        <f>SUMIF('Как будет'!$A101:$A108,Доп.расчеты!$A45,'Как будет'!AR101:AR108)</f>
        <v>0</v>
      </c>
      <c r="AR45">
        <f>SUMIF('Как будет'!$A101:$A108,Доп.расчеты!$A45,'Как будет'!AS101:AS108)</f>
        <v>0</v>
      </c>
      <c r="AS45">
        <f>SUMIF('Как будет'!$A101:$A108,Доп.расчеты!$A45,'Как будет'!AT101:AT108)</f>
        <v>0</v>
      </c>
      <c r="AT45">
        <f>SUMIF('Как будет'!$A101:$A108,Доп.расчеты!$A45,'Как будет'!AU101:AU108)</f>
        <v>0</v>
      </c>
      <c r="AU45">
        <f>SUMIF('Как будет'!$A101:$A108,Доп.расчеты!$A45,'Как будет'!AV101:AV108)</f>
        <v>0</v>
      </c>
      <c r="AV45">
        <f>SUMIF('Как будет'!$A101:$A108,Доп.расчеты!$A45,'Как будет'!AW101:AW108)</f>
        <v>0</v>
      </c>
      <c r="AW45">
        <f>SUMIF('Как будет'!$A101:$A108,Доп.расчеты!$A45,'Как будет'!AX101:AX108)</f>
        <v>0</v>
      </c>
      <c r="AX45">
        <f>SUMIF('Как будет'!$A101:$A108,Доп.расчеты!$A45,'Как будет'!AY101:AY108)</f>
        <v>0</v>
      </c>
      <c r="AY45">
        <f>SUMIF('Как будет'!$A101:$A108,Доп.расчеты!$A45,'Как будет'!AZ101:AZ108)</f>
        <v>0</v>
      </c>
      <c r="AZ45">
        <f>SUMIF('Как будет'!$A101:$A108,Доп.расчеты!$A45,'Как будет'!BA101:BA108)</f>
        <v>0</v>
      </c>
      <c r="BA45">
        <f>SUMIF('Как будет'!$A101:$A108,Доп.расчеты!$A45,'Как будет'!BB101:BB108)</f>
        <v>0</v>
      </c>
      <c r="BB45">
        <f>SUMIF('Как будет'!$A101:$A108,Доп.расчеты!$A45,'Как будет'!BC101:BC108)</f>
        <v>0</v>
      </c>
      <c r="BC45">
        <f>SUMIF('Как будет'!$A101:$A108,Доп.расчеты!$A45,'Как будет'!BD101:BD108)</f>
        <v>0</v>
      </c>
      <c r="BD45">
        <f>SUMIF('Как будет'!$A101:$A108,Доп.расчеты!$A45,'Как будет'!BE101:BE108)</f>
        <v>0</v>
      </c>
      <c r="BE45">
        <f>SUMIF('Как будет'!$A101:$A108,Доп.расчеты!$A45,'Как будет'!BF101:BF108)</f>
        <v>0</v>
      </c>
      <c r="BF45">
        <f>SUMIF('Как будет'!$A101:$A108,Доп.расчеты!$A45,'Как будет'!BG101:BG108)</f>
        <v>0</v>
      </c>
      <c r="BG45">
        <f>SUMIF('Как будет'!$A101:$A108,Доп.расчеты!$A45,'Как будет'!BH101:BH108)</f>
        <v>0</v>
      </c>
      <c r="BH45">
        <f>SUMIF('Как будет'!$A101:$A108,Доп.расчеты!$A45,'Как будет'!BI101:BI108)</f>
        <v>0</v>
      </c>
      <c r="BI45">
        <f>SUMIF('Как будет'!$A101:$A108,Доп.расчеты!$A45,'Как будет'!BJ101:BJ108)</f>
        <v>0</v>
      </c>
      <c r="BJ45">
        <f>SUMIF('Как будет'!$A101:$A108,Доп.расчеты!$A45,'Как будет'!BK101:BK108)</f>
        <v>0</v>
      </c>
      <c r="BK45">
        <f>SUMIF('Как будет'!$A101:$A108,Доп.расчеты!$A45,'Как будет'!BL101:BL108)</f>
        <v>0</v>
      </c>
      <c r="BL45">
        <f>SUMIF('Как будет'!$A101:$A108,Доп.расчеты!$A45,'Как будет'!BM101:BM108)</f>
        <v>0</v>
      </c>
      <c r="BM45">
        <f>SUMIF('Как будет'!$A101:$A108,Доп.расчеты!$A45,'Как будет'!BN101:BN108)</f>
        <v>0</v>
      </c>
      <c r="BN45">
        <f>SUMIF('Как будет'!$A101:$A108,Доп.расчеты!$A45,'Как будет'!BO101:BO108)</f>
        <v>0</v>
      </c>
      <c r="BO45">
        <f>SUMIF('Как будет'!$A101:$A108,Доп.расчеты!$A45,'Как будет'!BP101:BP108)</f>
        <v>0</v>
      </c>
      <c r="BP45">
        <f>SUMIF('Как будет'!$A101:$A108,Доп.расчеты!$A45,'Как будет'!BQ101:BQ108)</f>
        <v>0</v>
      </c>
      <c r="BQ45">
        <f>SUMIF('Как будет'!$A101:$A108,Доп.расчеты!$A45,'Как будет'!BR101:BR108)</f>
        <v>0</v>
      </c>
      <c r="BR45">
        <f>SUMIF('Как будет'!$A101:$A108,Доп.расчеты!$A45,'Как будет'!BS101:BS108)</f>
        <v>0</v>
      </c>
      <c r="BS45">
        <f>SUMIF('Как будет'!$A101:$A108,Доп.расчеты!$A45,'Как будет'!BT101:BT108)</f>
        <v>0</v>
      </c>
      <c r="BT45">
        <f>SUMIF('Как будет'!$A101:$A108,Доп.расчеты!$A45,'Как будет'!BU101:BU108)</f>
        <v>0</v>
      </c>
      <c r="BU45">
        <f>SUMIF('Как будет'!$A101:$A108,Доп.расчеты!$A45,'Как будет'!BV101:BV108)</f>
        <v>0</v>
      </c>
      <c r="BV45">
        <f>SUMIF('Как будет'!$A101:$A108,Доп.расчеты!$A45,'Как будет'!BW101:BW108)</f>
        <v>0</v>
      </c>
      <c r="BW45">
        <f>SUMIF('Как будет'!$A101:$A108,Доп.расчеты!$A45,'Как будет'!BX101:BX108)</f>
        <v>0</v>
      </c>
      <c r="BX45">
        <f>SUMIF('Как будет'!$A101:$A108,Доп.расчеты!$A45,'Как будет'!BY101:BY108)</f>
        <v>0</v>
      </c>
      <c r="BY45">
        <f>SUMIF('Как будет'!$A101:$A108,Доп.расчеты!$A45,'Как будет'!BZ101:BZ108)</f>
        <v>0</v>
      </c>
      <c r="BZ45">
        <f>SUMIF('Как будет'!$A101:$A108,Доп.расчеты!$A45,'Как будет'!CA101:CA108)</f>
        <v>0</v>
      </c>
      <c r="CA45">
        <f>SUMIF('Как будет'!$A101:$A108,Доп.расчеты!$A45,'Как будет'!CB101:CB108)</f>
        <v>0</v>
      </c>
      <c r="CB45">
        <f>SUMIF('Как будет'!$A101:$A108,Доп.расчеты!$A45,'Как будет'!CC101:CC108)</f>
        <v>0</v>
      </c>
      <c r="CC45">
        <f>SUMIF('Как будет'!$A101:$A108,Доп.расчеты!$A45,'Как будет'!CD101:CD108)</f>
        <v>0</v>
      </c>
      <c r="CD45">
        <f>SUMIF('Как будет'!$A101:$A108,Доп.расчеты!$A45,'Как будет'!CE101:CE108)</f>
        <v>0</v>
      </c>
      <c r="CE45">
        <f>SUMIF('Как будет'!$A101:$A108,Доп.расчеты!$A45,'Как будет'!CF101:CF108)</f>
        <v>0</v>
      </c>
      <c r="CF45">
        <f>SUMIF('Как будет'!$A101:$A108,Доп.расчеты!$A45,'Как будет'!CG101:CG108)</f>
        <v>0</v>
      </c>
      <c r="CG45">
        <f>SUMIF('Как будет'!$A101:$A108,Доп.расчеты!$A45,'Как будет'!CH101:CH108)</f>
        <v>0</v>
      </c>
      <c r="CH45">
        <f>SUMIF('Как будет'!$A101:$A108,Доп.расчеты!$A45,'Как будет'!CI101:CI108)</f>
        <v>0</v>
      </c>
      <c r="CI45">
        <f>SUMIF('Как будет'!$A101:$A108,Доп.расчеты!$A45,'Как будет'!CJ101:CJ108)</f>
        <v>0</v>
      </c>
      <c r="CJ45">
        <f>SUMIF('Как будет'!$A101:$A108,Доп.расчеты!$A45,'Как будет'!CK101:CK108)</f>
        <v>0</v>
      </c>
      <c r="CK45">
        <f>SUMIF('Как будет'!$A101:$A108,Доп.расчеты!$A45,'Как будет'!CL101:CL108)</f>
        <v>0</v>
      </c>
      <c r="CL45">
        <f>SUMIF('Как будет'!$A101:$A108,Доп.расчеты!$A45,'Как будет'!CM101:CM108)</f>
        <v>0</v>
      </c>
      <c r="CM45">
        <f>SUMIF('Как будет'!$A101:$A108,Доп.расчеты!$A45,'Как будет'!CN101:CN108)</f>
        <v>0</v>
      </c>
      <c r="CN45">
        <f>SUMIF('Как будет'!$A101:$A108,Доп.расчеты!$A45,'Как будет'!CO101:CO108)</f>
        <v>0</v>
      </c>
      <c r="CO45">
        <f>SUMIF('Как будет'!$A101:$A108,Доп.расчеты!$A45,'Как будет'!CP101:CP108)</f>
        <v>0</v>
      </c>
      <c r="CP45">
        <f>SUMIF('Как будет'!$A101:$A108,Доп.расчеты!$A45,'Как будет'!CQ101:CQ108)</f>
        <v>0</v>
      </c>
      <c r="CQ45">
        <f>SUMIF('Как будет'!$A101:$A108,Доп.расчеты!$A45,'Как будет'!CR101:CR108)</f>
        <v>0</v>
      </c>
      <c r="CR45">
        <f>SUMIF('Как будет'!$A101:$A108,Доп.расчеты!$A45,'Как будет'!CS101:CS108)</f>
        <v>0</v>
      </c>
      <c r="CS45">
        <f>SUMIF('Как будет'!$A101:$A108,Доп.расчеты!$A45,'Как будет'!CT101:CT108)</f>
        <v>0</v>
      </c>
      <c r="CT45">
        <f>SUMIF('Как будет'!$A101:$A108,Доп.расчеты!$A45,'Как будет'!CU101:CU108)</f>
        <v>0</v>
      </c>
      <c r="CU45">
        <f>SUMIF('Как будет'!$A101:$A108,Доп.расчеты!$A45,'Как будет'!CV101:CV108)</f>
        <v>0</v>
      </c>
      <c r="CV45">
        <f>SUMIF('Как будет'!$A101:$A108,Доп.расчеты!$A45,'Как будет'!CW101:CW108)</f>
        <v>0</v>
      </c>
      <c r="CW45">
        <f>SUMIF('Как будет'!$A101:$A108,Доп.расчеты!$A45,'Как будет'!CX101:CX108)</f>
        <v>0</v>
      </c>
      <c r="CX45">
        <f>SUMIF('Как будет'!$A101:$A108,Доп.расчеты!$A45,'Как будет'!CY101:CY108)</f>
        <v>0</v>
      </c>
      <c r="CY45">
        <f>SUMIF('Как будет'!$A101:$A108,Доп.расчеты!$A45,'Как будет'!CZ101:CZ108)</f>
        <v>0</v>
      </c>
      <c r="CZ45">
        <f>SUMIF('Как будет'!$A101:$A108,Доп.расчеты!$A45,'Как будет'!DA101:DA108)</f>
        <v>0</v>
      </c>
      <c r="DA45">
        <f>SUMIF('Как будет'!$A101:$A108,Доп.расчеты!$A45,'Как будет'!DB101:DB108)</f>
        <v>0</v>
      </c>
      <c r="DB45">
        <f>SUMIF('Как будет'!$A101:$A108,Доп.расчеты!$A45,'Как будет'!DC101:DC108)</f>
        <v>0</v>
      </c>
      <c r="DC45">
        <f>SUMIF('Как будет'!$A101:$A108,Доп.расчеты!$A45,'Как будет'!DD101:DD108)</f>
        <v>0</v>
      </c>
      <c r="DD45">
        <f>SUMIF('Как будет'!$A101:$A108,Доп.расчеты!$A45,'Как будет'!DE101:DE108)</f>
        <v>0</v>
      </c>
      <c r="DE45">
        <f>SUMIF('Как будет'!$A101:$A108,Доп.расчеты!$A45,'Как будет'!DF101:DF108)</f>
        <v>0</v>
      </c>
      <c r="DF45">
        <f>SUMIF('Как будет'!$A101:$A108,Доп.расчеты!$A45,'Как будет'!DG101:DG108)</f>
        <v>0</v>
      </c>
      <c r="DG45">
        <f>SUMIF('Как будет'!$A101:$A108,Доп.расчеты!$A45,'Как будет'!DH101:DH108)</f>
        <v>0</v>
      </c>
      <c r="DH45">
        <f>SUMIF('Как будет'!$A101:$A108,Доп.расчеты!$A45,'Как будет'!DI101:DI108)</f>
        <v>0</v>
      </c>
      <c r="DI45">
        <f>SUMIF('Как будет'!$A101:$A108,Доп.расчеты!$A45,'Как будет'!DJ101:DJ108)</f>
        <v>0</v>
      </c>
      <c r="DJ45">
        <f>SUMIF('Как будет'!$A101:$A108,Доп.расчеты!$A45,'Как будет'!DK101:DK108)</f>
        <v>0</v>
      </c>
      <c r="DK45">
        <f>SUMIF('Как будет'!$A101:$A108,Доп.расчеты!$A45,'Как будет'!DL101:DL108)</f>
        <v>0</v>
      </c>
      <c r="DL45">
        <f>SUMIF('Как будет'!$A101:$A108,Доп.расчеты!$A45,'Как будет'!DM101:DM108)</f>
        <v>0</v>
      </c>
      <c r="DM45">
        <f>SUMIF('Как будет'!$A101:$A108,Доп.расчеты!$A45,'Как будет'!DN101:DN108)</f>
        <v>0</v>
      </c>
      <c r="DN45">
        <f>SUMIF('Как будет'!$A101:$A108,Доп.расчеты!$A45,'Как будет'!DO101:DO108)</f>
        <v>0</v>
      </c>
      <c r="DO45">
        <f>SUMIF('Как будет'!$A101:$A108,Доп.расчеты!$A45,'Как будет'!DP101:DP108)</f>
        <v>0</v>
      </c>
      <c r="DP45">
        <f>SUMIF('Как будет'!$A101:$A108,Доп.расчеты!$A45,'Как будет'!DQ101:DQ108)</f>
        <v>0</v>
      </c>
      <c r="DQ45">
        <f>SUMIF('Как будет'!$A101:$A108,Доп.расчеты!$A45,'Как будет'!DR101:DR108)</f>
        <v>0</v>
      </c>
      <c r="DR45">
        <f>SUMIF('Как будет'!$A101:$A108,Доп.расчеты!$A45,'Как будет'!DS101:DS108)</f>
        <v>0</v>
      </c>
      <c r="DS45">
        <f>SUMIF('Как будет'!$A101:$A108,Доп.расчеты!$A45,'Как будет'!DT101:DT108)</f>
        <v>0</v>
      </c>
      <c r="DT45">
        <f>SUMIF('Как будет'!$A101:$A108,Доп.расчеты!$A45,'Как будет'!DU101:DU108)</f>
        <v>0</v>
      </c>
      <c r="DU45">
        <f>SUMIF('Как будет'!$A101:$A108,Доп.расчеты!$A45,'Как будет'!DV101:DV108)</f>
        <v>0</v>
      </c>
      <c r="DV45">
        <f>SUMIF('Как будет'!$A101:$A108,Доп.расчеты!$A45,'Как будет'!DW101:DW108)</f>
        <v>0</v>
      </c>
      <c r="DW45">
        <f>SUMIF('Как будет'!$A101:$A108,Доп.расчеты!$A45,'Как будет'!DX101:DX108)</f>
        <v>0</v>
      </c>
      <c r="DX45">
        <f>SUMIF('Как будет'!$A101:$A108,Доп.расчеты!$A45,'Как будет'!DY101:DY108)</f>
        <v>0</v>
      </c>
      <c r="DY45">
        <f>SUMIF('Как будет'!$A101:$A108,Доп.расчеты!$A45,'Как будет'!DZ101:DZ108)</f>
        <v>0</v>
      </c>
      <c r="DZ45">
        <f>SUMIF('Как будет'!$A101:$A108,Доп.расчеты!$A45,'Как будет'!EA101:EA108)</f>
        <v>0</v>
      </c>
      <c r="EA45">
        <f>SUMIF('Как будет'!$A101:$A108,Доп.расчеты!$A45,'Как будет'!EB101:EB108)</f>
        <v>0</v>
      </c>
      <c r="EB45">
        <f>SUMIF('Как будет'!$A101:$A108,Доп.расчеты!$A45,'Как будет'!EC101:EC108)</f>
        <v>0</v>
      </c>
      <c r="EC45">
        <f>SUMIF('Как будет'!$A101:$A108,Доп.расчеты!$A45,'Как будет'!ED101:ED108)</f>
        <v>0</v>
      </c>
      <c r="ED45">
        <f>SUMIF('Как будет'!$A101:$A108,Доп.расчеты!$A45,'Как будет'!EE101:EE108)</f>
        <v>0</v>
      </c>
      <c r="EE45">
        <f>SUMIF('Как будет'!$A101:$A108,Доп.расчеты!$A45,'Как будет'!EF101:EF108)</f>
        <v>0</v>
      </c>
      <c r="EF45">
        <f>SUMIF('Как будет'!$A101:$A108,Доп.расчеты!$A45,'Как будет'!EG101:EG108)</f>
        <v>0</v>
      </c>
      <c r="EG45">
        <f>SUMIF('Как будет'!$A101:$A108,Доп.расчеты!$A45,'Как будет'!EH101:EH108)</f>
        <v>0</v>
      </c>
      <c r="EH45">
        <f>SUMIF('Как будет'!$A101:$A108,Доп.расчеты!$A45,'Как будет'!EI101:EI108)</f>
        <v>0</v>
      </c>
      <c r="EI45">
        <f>SUMIF('Как будет'!$A101:$A108,Доп.расчеты!$A45,'Как будет'!EJ101:EJ108)</f>
        <v>0</v>
      </c>
      <c r="EJ45">
        <f>SUMIF('Как будет'!$A101:$A108,Доп.расчеты!$A45,'Как будет'!EK101:EK108)</f>
        <v>0</v>
      </c>
      <c r="EK45">
        <f>SUMIF('Как будет'!$A101:$A108,Доп.расчеты!$A45,'Как будет'!EL101:EL108)</f>
        <v>0</v>
      </c>
      <c r="EL45">
        <f>SUMIF('Как будет'!$A101:$A108,Доп.расчеты!$A45,'Как будет'!EM101:EM108)</f>
        <v>0</v>
      </c>
      <c r="EM45">
        <f>SUMIF('Как будет'!$A101:$A108,Доп.расчеты!$A45,'Как будет'!EN101:EN108)</f>
        <v>0</v>
      </c>
      <c r="EN45">
        <f>SUMIF('Как будет'!$A101:$A108,Доп.расчеты!$A45,'Как будет'!EO101:EO108)</f>
        <v>0</v>
      </c>
      <c r="EO45">
        <f>SUMIF('Как будет'!$A101:$A108,Доп.расчеты!$A45,'Как будет'!EP101:EP108)</f>
        <v>0</v>
      </c>
      <c r="EP45">
        <f>SUMIF('Как будет'!$A101:$A108,Доп.расчеты!$A45,'Как будет'!EQ101:EQ108)</f>
        <v>0</v>
      </c>
      <c r="EQ45">
        <f>SUMIF('Как будет'!$A101:$A108,Доп.расчеты!$A45,'Как будет'!ER101:ER108)</f>
        <v>0</v>
      </c>
      <c r="ER45">
        <f>SUMIF('Как будет'!$A101:$A108,Доп.расчеты!$A45,'Как будет'!ES101:ES108)</f>
        <v>0</v>
      </c>
      <c r="ES45">
        <f>SUMIF('Как будет'!$A101:$A108,Доп.расчеты!$A45,'Как будет'!ET101:ET108)</f>
        <v>0</v>
      </c>
      <c r="ET45">
        <f>SUMIF('Как будет'!$A101:$A108,Доп.расчеты!$A45,'Как будет'!EU101:EU108)</f>
        <v>0</v>
      </c>
      <c r="EU45">
        <f>SUMIF('Как будет'!$A101:$A108,Доп.расчеты!$A45,'Как будет'!EV101:EV108)</f>
        <v>0</v>
      </c>
      <c r="EV45">
        <f>SUMIF('Как будет'!$A101:$A108,Доп.расчеты!$A45,'Как будет'!EW101:EW108)</f>
        <v>0</v>
      </c>
      <c r="EW45">
        <f>SUMIF('Как будет'!$A101:$A108,Доп.расчеты!$A45,'Как будет'!EX101:EX108)</f>
        <v>0</v>
      </c>
      <c r="EX45">
        <f>SUMIF('Как будет'!$A101:$A108,Доп.расчеты!$A45,'Как будет'!EY101:EY108)</f>
        <v>0</v>
      </c>
      <c r="EY45">
        <f>SUMIF('Как будет'!$A101:$A108,Доп.расчеты!$A45,'Как будет'!EZ101:EZ108)</f>
        <v>0</v>
      </c>
      <c r="EZ45">
        <f>SUMIF('Как будет'!$A101:$A108,Доп.расчеты!$A45,'Как будет'!FA101:FA108)</f>
        <v>0</v>
      </c>
      <c r="FA45">
        <f>SUMIF('Как будет'!$A101:$A108,Доп.расчеты!$A45,'Как будет'!FB101:FB108)</f>
        <v>0</v>
      </c>
      <c r="FB45">
        <f>SUMIF('Как будет'!$A101:$A108,Доп.расчеты!$A45,'Как будет'!FC101:FC108)</f>
        <v>0</v>
      </c>
      <c r="FC45">
        <f>SUMIF('Как будет'!$A101:$A108,Доп.расчеты!$A45,'Как будет'!FD101:FD108)</f>
        <v>0</v>
      </c>
      <c r="FD45">
        <f>SUMIF('Как будет'!$A101:$A108,Доп.расчеты!$A45,'Как будет'!FE101:FE108)</f>
        <v>0</v>
      </c>
      <c r="FE45">
        <f>SUMIF('Как будет'!$A101:$A108,Доп.расчеты!$A45,'Как будет'!FF101:FF108)</f>
        <v>0</v>
      </c>
      <c r="FF45">
        <f>SUMIF('Как будет'!$A101:$A108,Доп.расчеты!$A45,'Как будет'!FG101:FG108)</f>
        <v>0</v>
      </c>
      <c r="FG45">
        <f>SUMIF('Как будет'!$A101:$A108,Доп.расчеты!$A45,'Как будет'!FH101:FH108)</f>
        <v>0</v>
      </c>
      <c r="FH45">
        <f>SUMIF('Как будет'!$A101:$A108,Доп.расчеты!$A45,'Как будет'!FI101:FI108)</f>
        <v>0</v>
      </c>
      <c r="FI45">
        <f>SUMIF('Как будет'!$A101:$A108,Доп.расчеты!$A45,'Как будет'!FJ101:FJ108)</f>
        <v>0</v>
      </c>
      <c r="FJ45">
        <f>SUMIF('Как будет'!$A101:$A108,Доп.расчеты!$A45,'Как будет'!FK101:FK108)</f>
        <v>0</v>
      </c>
      <c r="FK45">
        <f>SUMIF('Как будет'!$A101:$A108,Доп.расчеты!$A45,'Как будет'!FL101:FL108)</f>
        <v>0</v>
      </c>
      <c r="FL45">
        <f>SUMIF('Как будет'!$A101:$A108,Доп.расчеты!$A45,'Как будет'!FM101:FM108)</f>
        <v>0</v>
      </c>
      <c r="FM45">
        <f>SUMIF('Как будет'!$A101:$A108,Доп.расчеты!$A45,'Как будет'!FN101:FN108)</f>
        <v>0</v>
      </c>
      <c r="FN45">
        <f>SUMIF('Как будет'!$A101:$A108,Доп.расчеты!$A45,'Как будет'!FO101:FO108)</f>
        <v>0</v>
      </c>
      <c r="FO45">
        <f>SUMIF('Как будет'!$A101:$A108,Доп.расчеты!$A45,'Как будет'!FP101:FP108)</f>
        <v>0</v>
      </c>
      <c r="FP45">
        <f>SUMIF('Как будет'!$A101:$A108,Доп.расчеты!$A45,'Как будет'!FQ101:FQ108)</f>
        <v>0</v>
      </c>
      <c r="FQ45">
        <f>SUMIF('Как будет'!$A101:$A108,Доп.расчеты!$A45,'Как будет'!FR101:FR108)</f>
        <v>0</v>
      </c>
      <c r="FR45">
        <f>SUMIF('Как будет'!$A101:$A108,Доп.расчеты!$A45,'Как будет'!FS101:FS108)</f>
        <v>0</v>
      </c>
      <c r="FS45">
        <f>SUMIF('Как будет'!$A101:$A108,Доп.расчеты!$A45,'Как будет'!FT101:FT108)</f>
        <v>0</v>
      </c>
      <c r="FT45">
        <f>SUMIF('Как будет'!$A101:$A108,Доп.расчеты!$A45,'Как будет'!FU101:FU108)</f>
        <v>0</v>
      </c>
      <c r="FU45">
        <f>SUMIF('Как будет'!$A101:$A108,Доп.расчеты!$A45,'Как будет'!FV101:FV108)</f>
        <v>0</v>
      </c>
      <c r="FV45">
        <f>SUMIF('Как будет'!$A101:$A108,Доп.расчеты!$A45,'Как будет'!FW101:FW108)</f>
        <v>0</v>
      </c>
      <c r="FW45">
        <f>SUMIF('Как будет'!$A101:$A108,Доп.расчеты!$A45,'Как будет'!FX101:FX108)</f>
        <v>0</v>
      </c>
      <c r="FX45">
        <f>SUMIF('Как будет'!$A101:$A108,Доп.расчеты!$A45,'Как будет'!FY101:FY108)</f>
        <v>0</v>
      </c>
      <c r="FY45">
        <f>SUMIF('Как будет'!$A101:$A108,Доп.расчеты!$A45,'Как будет'!FZ101:FZ108)</f>
        <v>0</v>
      </c>
      <c r="FZ45">
        <f>SUMIF('Как будет'!$A101:$A108,Доп.расчеты!$A45,'Как будет'!GA101:GA108)</f>
        <v>0</v>
      </c>
      <c r="GA45">
        <f>SUMIF('Как будет'!$A101:$A108,Доп.расчеты!$A45,'Как будет'!GB101:GB108)</f>
        <v>0</v>
      </c>
      <c r="GB45">
        <f>SUMIF('Как будет'!$A101:$A108,Доп.расчеты!$A45,'Как будет'!GC101:GC108)</f>
        <v>0</v>
      </c>
      <c r="GC45">
        <f>SUMIF('Как будет'!$A101:$A108,Доп.расчеты!$A45,'Как будет'!GD101:GD108)</f>
        <v>0</v>
      </c>
      <c r="GD45">
        <f>SUMIF('Как будет'!$A101:$A108,Доп.расчеты!$A45,'Как будет'!GE101:GE108)</f>
        <v>0</v>
      </c>
      <c r="GE45">
        <f>SUMIF('Как будет'!$A101:$A108,Доп.расчеты!$A45,'Как будет'!GF101:GF108)</f>
        <v>0</v>
      </c>
      <c r="GF45">
        <f>SUMIF('Как будет'!$A101:$A108,Доп.расчеты!$A45,'Как будет'!GG101:GG108)</f>
        <v>0</v>
      </c>
      <c r="GG45">
        <f>SUMIF('Как будет'!$A101:$A108,Доп.расчеты!$A45,'Как будет'!GH101:GH108)</f>
        <v>0</v>
      </c>
      <c r="GH45">
        <f>SUMIF('Как будет'!$A101:$A108,Доп.расчеты!$A45,'Как будет'!GI101:GI108)</f>
        <v>0</v>
      </c>
      <c r="GI45">
        <f>SUMIF('Как будет'!$A101:$A108,Доп.расчеты!$A45,'Как будет'!GJ101:GJ108)</f>
        <v>0</v>
      </c>
      <c r="GJ45">
        <f>SUMIF('Как будет'!$A101:$A108,Доп.расчеты!$A45,'Как будет'!GK101:GK108)</f>
        <v>0</v>
      </c>
      <c r="GK45">
        <f>SUMIF('Как будет'!$A101:$A108,Доп.расчеты!$A45,'Как будет'!GL101:GL108)</f>
        <v>0</v>
      </c>
      <c r="GL45">
        <f>SUMIF('Как будет'!$A101:$A108,Доп.расчеты!$A45,'Как будет'!GM101:GM108)</f>
        <v>0</v>
      </c>
      <c r="GM45">
        <f>SUMIF('Как будет'!$A101:$A108,Доп.расчеты!$A45,'Как будет'!GN101:GN108)</f>
        <v>0</v>
      </c>
      <c r="GN45">
        <f>SUMIF('Как будет'!$A101:$A108,Доп.расчеты!$A45,'Как будет'!GO101:GO108)</f>
        <v>0</v>
      </c>
      <c r="GO45">
        <f>SUMIF('Как будет'!$A101:$A108,Доп.расчеты!$A45,'Как будет'!GP101:GP108)</f>
        <v>0</v>
      </c>
      <c r="GP45">
        <f>SUMIF('Как будет'!$A101:$A108,Доп.расчеты!$A45,'Как будет'!GQ101:GQ108)</f>
        <v>0</v>
      </c>
      <c r="GQ45">
        <f>SUMIF('Как будет'!$A101:$A108,Доп.расчеты!$A45,'Как будет'!GR101:GR108)</f>
        <v>0</v>
      </c>
      <c r="GR45">
        <f>SUMIF('Как будет'!$A101:$A108,Доп.расчеты!$A45,'Как будет'!GS101:GS108)</f>
        <v>0</v>
      </c>
      <c r="GS45">
        <f>SUMIF('Как будет'!$A101:$A108,Доп.расчеты!$A45,'Как будет'!GT101:GT108)</f>
        <v>0</v>
      </c>
      <c r="GT45">
        <f>SUMIF('Как будет'!$A101:$A108,Доп.расчеты!$A45,'Как будет'!GU101:GU108)</f>
        <v>0</v>
      </c>
    </row>
    <row r="46" spans="1:202">
      <c r="A46" s="236" t="s">
        <v>126</v>
      </c>
      <c r="B46">
        <f>SUMIF('Как будет'!$A101:$A108,Доп.расчеты!$A46,'Как будет'!C101:C108)</f>
        <v>0</v>
      </c>
      <c r="C46">
        <f>SUMIF('Как будет'!$A101:$A108,Доп.расчеты!$A46,'Как будет'!D101:D108)</f>
        <v>0</v>
      </c>
      <c r="D46">
        <f>SUMIF('Как будет'!$A101:$A108,Доп.расчеты!$A46,'Как будет'!E101:E108)</f>
        <v>0</v>
      </c>
      <c r="E46">
        <f>SUMIF('Как будет'!$A101:$A108,Доп.расчеты!$A46,'Как будет'!F101:F108)</f>
        <v>0</v>
      </c>
      <c r="F46">
        <f>SUMIF('Как будет'!$A101:$A108,Доп.расчеты!$A46,'Как будет'!G101:G108)</f>
        <v>0</v>
      </c>
      <c r="G46">
        <f>SUMIF('Как будет'!$A101:$A108,Доп.расчеты!$A46,'Как будет'!H101:H108)</f>
        <v>0</v>
      </c>
      <c r="H46">
        <f>SUMIF('Как будет'!$A101:$A108,Доп.расчеты!$A46,'Как будет'!I101:I108)</f>
        <v>0</v>
      </c>
      <c r="I46">
        <f>SUMIF('Как будет'!$A101:$A108,Доп.расчеты!$A46,'Как будет'!J101:J108)</f>
        <v>0</v>
      </c>
      <c r="J46">
        <f>SUMIF('Как будет'!$A101:$A108,Доп.расчеты!$A46,'Как будет'!K101:K108)</f>
        <v>0</v>
      </c>
      <c r="K46">
        <f>SUMIF('Как будет'!$A101:$A108,Доп.расчеты!$A46,'Как будет'!L101:L108)</f>
        <v>0</v>
      </c>
      <c r="L46">
        <f>SUMIF('Как будет'!$A101:$A108,Доп.расчеты!$A46,'Как будет'!M101:M108)</f>
        <v>0</v>
      </c>
      <c r="M46">
        <f>SUMIF('Как будет'!$A101:$A108,Доп.расчеты!$A46,'Как будет'!N101:N108)</f>
        <v>0</v>
      </c>
      <c r="N46">
        <f>SUMIF('Как будет'!$A101:$A108,Доп.расчеты!$A46,'Как будет'!O101:O108)</f>
        <v>0</v>
      </c>
      <c r="O46">
        <f>SUMIF('Как будет'!$A101:$A108,Доп.расчеты!$A46,'Как будет'!P101:P108)</f>
        <v>0</v>
      </c>
      <c r="P46">
        <f>SUMIF('Как будет'!$A101:$A108,Доп.расчеты!$A46,'Как будет'!Q101:Q108)</f>
        <v>0</v>
      </c>
      <c r="Q46">
        <f>SUMIF('Как будет'!$A101:$A108,Доп.расчеты!$A46,'Как будет'!R101:R108)</f>
        <v>0</v>
      </c>
      <c r="R46">
        <f>SUMIF('Как будет'!$A101:$A108,Доп.расчеты!$A46,'Как будет'!S101:S108)</f>
        <v>0</v>
      </c>
      <c r="S46">
        <f>SUMIF('Как будет'!$A101:$A108,Доп.расчеты!$A46,'Как будет'!T101:T108)</f>
        <v>0</v>
      </c>
      <c r="T46">
        <f>SUMIF('Как будет'!$A101:$A108,Доп.расчеты!$A46,'Как будет'!U101:U108)</f>
        <v>0</v>
      </c>
      <c r="U46">
        <f>SUMIF('Как будет'!$A101:$A108,Доп.расчеты!$A46,'Как будет'!V101:V108)</f>
        <v>0</v>
      </c>
      <c r="V46">
        <f>SUMIF('Как будет'!$A101:$A108,Доп.расчеты!$A46,'Как будет'!W101:W108)</f>
        <v>0</v>
      </c>
      <c r="W46">
        <f>SUMIF('Как будет'!$A101:$A108,Доп.расчеты!$A46,'Как будет'!X101:X108)</f>
        <v>0</v>
      </c>
      <c r="X46">
        <f>SUMIF('Как будет'!$A101:$A108,Доп.расчеты!$A46,'Как будет'!Y101:Y108)</f>
        <v>0</v>
      </c>
      <c r="Y46">
        <f>SUMIF('Как будет'!$A101:$A108,Доп.расчеты!$A46,'Как будет'!Z101:Z108)</f>
        <v>0</v>
      </c>
      <c r="Z46">
        <f>SUMIF('Как будет'!$A101:$A108,Доп.расчеты!$A46,'Как будет'!AA101:AA108)</f>
        <v>0</v>
      </c>
      <c r="AA46">
        <f>SUMIF('Как будет'!$A101:$A108,Доп.расчеты!$A46,'Как будет'!AB101:AB108)</f>
        <v>0</v>
      </c>
      <c r="AB46">
        <f>SUMIF('Как будет'!$A101:$A108,Доп.расчеты!$A46,'Как будет'!AC101:AC108)</f>
        <v>0</v>
      </c>
      <c r="AC46">
        <f>SUMIF('Как будет'!$A101:$A108,Доп.расчеты!$A46,'Как будет'!AD101:AD108)</f>
        <v>0</v>
      </c>
      <c r="AD46">
        <f>SUMIF('Как будет'!$A101:$A108,Доп.расчеты!$A46,'Как будет'!AE101:AE108)</f>
        <v>0</v>
      </c>
      <c r="AE46">
        <f>SUMIF('Как будет'!$A101:$A108,Доп.расчеты!$A46,'Как будет'!AF101:AF108)</f>
        <v>0</v>
      </c>
      <c r="AF46">
        <f>SUMIF('Как будет'!$A101:$A108,Доп.расчеты!$A46,'Как будет'!AG101:AG108)</f>
        <v>0</v>
      </c>
      <c r="AG46">
        <f>SUMIF('Как будет'!$A101:$A108,Доп.расчеты!$A46,'Как будет'!AH101:AH108)</f>
        <v>0</v>
      </c>
      <c r="AH46">
        <f>SUMIF('Как будет'!$A101:$A108,Доп.расчеты!$A46,'Как будет'!AI101:AI108)</f>
        <v>0</v>
      </c>
      <c r="AI46">
        <f>SUMIF('Как будет'!$A101:$A108,Доп.расчеты!$A46,'Как будет'!AJ101:AJ108)</f>
        <v>0</v>
      </c>
      <c r="AJ46">
        <f>SUMIF('Как будет'!$A101:$A108,Доп.расчеты!$A46,'Как будет'!AK101:AK108)</f>
        <v>0</v>
      </c>
      <c r="AK46">
        <f>SUMIF('Как будет'!$A101:$A108,Доп.расчеты!$A46,'Как будет'!AL101:AL108)</f>
        <v>0</v>
      </c>
      <c r="AL46">
        <f>SUMIF('Как будет'!$A101:$A108,Доп.расчеты!$A46,'Как будет'!AM101:AM108)</f>
        <v>0</v>
      </c>
      <c r="AM46">
        <f>SUMIF('Как будет'!$A101:$A108,Доп.расчеты!$A46,'Как будет'!AN101:AN108)</f>
        <v>0</v>
      </c>
      <c r="AN46">
        <f>SUMIF('Как будет'!$A101:$A108,Доп.расчеты!$A46,'Как будет'!AO101:AO108)</f>
        <v>0</v>
      </c>
      <c r="AO46">
        <f>SUMIF('Как будет'!$A101:$A108,Доп.расчеты!$A46,'Как будет'!AP101:AP108)</f>
        <v>0</v>
      </c>
      <c r="AP46">
        <f>SUMIF('Как будет'!$A101:$A108,Доп.расчеты!$A46,'Как будет'!AQ101:AQ108)</f>
        <v>0</v>
      </c>
      <c r="AQ46">
        <f>SUMIF('Как будет'!$A101:$A108,Доп.расчеты!$A46,'Как будет'!AR101:AR108)</f>
        <v>0</v>
      </c>
      <c r="AR46">
        <f>SUMIF('Как будет'!$A101:$A108,Доп.расчеты!$A46,'Как будет'!AS101:AS108)</f>
        <v>0</v>
      </c>
      <c r="AS46">
        <f>SUMIF('Как будет'!$A101:$A108,Доп.расчеты!$A46,'Как будет'!AT101:AT108)</f>
        <v>0</v>
      </c>
      <c r="AT46">
        <f>SUMIF('Как будет'!$A101:$A108,Доп.расчеты!$A46,'Как будет'!AU101:AU108)</f>
        <v>0</v>
      </c>
      <c r="AU46">
        <f>SUMIF('Как будет'!$A101:$A108,Доп.расчеты!$A46,'Как будет'!AV101:AV108)</f>
        <v>0</v>
      </c>
      <c r="AV46">
        <f>SUMIF('Как будет'!$A101:$A108,Доп.расчеты!$A46,'Как будет'!AW101:AW108)</f>
        <v>0</v>
      </c>
      <c r="AW46">
        <f>SUMIF('Как будет'!$A101:$A108,Доп.расчеты!$A46,'Как будет'!AX101:AX108)</f>
        <v>0</v>
      </c>
      <c r="AX46">
        <f>SUMIF('Как будет'!$A101:$A108,Доп.расчеты!$A46,'Как будет'!AY101:AY108)</f>
        <v>0</v>
      </c>
      <c r="AY46">
        <f>SUMIF('Как будет'!$A101:$A108,Доп.расчеты!$A46,'Как будет'!AZ101:AZ108)</f>
        <v>0</v>
      </c>
      <c r="AZ46">
        <f>SUMIF('Как будет'!$A101:$A108,Доп.расчеты!$A46,'Как будет'!BA101:BA108)</f>
        <v>0</v>
      </c>
      <c r="BA46">
        <f>SUMIF('Как будет'!$A101:$A108,Доп.расчеты!$A46,'Как будет'!BB101:BB108)</f>
        <v>0</v>
      </c>
      <c r="BB46">
        <f>SUMIF('Как будет'!$A101:$A108,Доп.расчеты!$A46,'Как будет'!BC101:BC108)</f>
        <v>0</v>
      </c>
      <c r="BC46">
        <f>SUMIF('Как будет'!$A101:$A108,Доп.расчеты!$A46,'Как будет'!BD101:BD108)</f>
        <v>0</v>
      </c>
      <c r="BD46">
        <f>SUMIF('Как будет'!$A101:$A108,Доп.расчеты!$A46,'Как будет'!BE101:BE108)</f>
        <v>0</v>
      </c>
      <c r="BE46">
        <f>SUMIF('Как будет'!$A101:$A108,Доп.расчеты!$A46,'Как будет'!BF101:BF108)</f>
        <v>0</v>
      </c>
      <c r="BF46">
        <f>SUMIF('Как будет'!$A101:$A108,Доп.расчеты!$A46,'Как будет'!BG101:BG108)</f>
        <v>0</v>
      </c>
      <c r="BG46">
        <f>SUMIF('Как будет'!$A101:$A108,Доп.расчеты!$A46,'Как будет'!BH101:BH108)</f>
        <v>0</v>
      </c>
      <c r="BH46">
        <f>SUMIF('Как будет'!$A101:$A108,Доп.расчеты!$A46,'Как будет'!BI101:BI108)</f>
        <v>0</v>
      </c>
      <c r="BI46">
        <f>SUMIF('Как будет'!$A101:$A108,Доп.расчеты!$A46,'Как будет'!BJ101:BJ108)</f>
        <v>0</v>
      </c>
      <c r="BJ46">
        <f>SUMIF('Как будет'!$A101:$A108,Доп.расчеты!$A46,'Как будет'!BK101:BK108)</f>
        <v>0</v>
      </c>
      <c r="BK46">
        <f>SUMIF('Как будет'!$A101:$A108,Доп.расчеты!$A46,'Как будет'!BL101:BL108)</f>
        <v>0</v>
      </c>
      <c r="BL46">
        <f>SUMIF('Как будет'!$A101:$A108,Доп.расчеты!$A46,'Как будет'!BM101:BM108)</f>
        <v>0</v>
      </c>
      <c r="BM46">
        <f>SUMIF('Как будет'!$A101:$A108,Доп.расчеты!$A46,'Как будет'!BN101:BN108)</f>
        <v>0</v>
      </c>
      <c r="BN46">
        <f>SUMIF('Как будет'!$A101:$A108,Доп.расчеты!$A46,'Как будет'!BO101:BO108)</f>
        <v>0</v>
      </c>
      <c r="BO46">
        <f>SUMIF('Как будет'!$A101:$A108,Доп.расчеты!$A46,'Как будет'!BP101:BP108)</f>
        <v>0</v>
      </c>
      <c r="BP46">
        <f>SUMIF('Как будет'!$A101:$A108,Доп.расчеты!$A46,'Как будет'!BQ101:BQ108)</f>
        <v>0</v>
      </c>
      <c r="BQ46">
        <f>SUMIF('Как будет'!$A101:$A108,Доп.расчеты!$A46,'Как будет'!BR101:BR108)</f>
        <v>0</v>
      </c>
      <c r="BR46">
        <f>SUMIF('Как будет'!$A101:$A108,Доп.расчеты!$A46,'Как будет'!BS101:BS108)</f>
        <v>0</v>
      </c>
      <c r="BS46">
        <f>SUMIF('Как будет'!$A101:$A108,Доп.расчеты!$A46,'Как будет'!BT101:BT108)</f>
        <v>0</v>
      </c>
      <c r="BT46">
        <f>SUMIF('Как будет'!$A101:$A108,Доп.расчеты!$A46,'Как будет'!BU101:BU108)</f>
        <v>0</v>
      </c>
      <c r="BU46">
        <f>SUMIF('Как будет'!$A101:$A108,Доп.расчеты!$A46,'Как будет'!BV101:BV108)</f>
        <v>0</v>
      </c>
      <c r="BV46">
        <f>SUMIF('Как будет'!$A101:$A108,Доп.расчеты!$A46,'Как будет'!BW101:BW108)</f>
        <v>0</v>
      </c>
      <c r="BW46">
        <f>SUMIF('Как будет'!$A101:$A108,Доп.расчеты!$A46,'Как будет'!BX101:BX108)</f>
        <v>0</v>
      </c>
      <c r="BX46">
        <f>SUMIF('Как будет'!$A101:$A108,Доп.расчеты!$A46,'Как будет'!BY101:BY108)</f>
        <v>0</v>
      </c>
      <c r="BY46">
        <f>SUMIF('Как будет'!$A101:$A108,Доп.расчеты!$A46,'Как будет'!BZ101:BZ108)</f>
        <v>0</v>
      </c>
      <c r="BZ46">
        <f>SUMIF('Как будет'!$A101:$A108,Доп.расчеты!$A46,'Как будет'!CA101:CA108)</f>
        <v>0</v>
      </c>
      <c r="CA46">
        <f>SUMIF('Как будет'!$A101:$A108,Доп.расчеты!$A46,'Как будет'!CB101:CB108)</f>
        <v>0</v>
      </c>
      <c r="CB46">
        <f>SUMIF('Как будет'!$A101:$A108,Доп.расчеты!$A46,'Как будет'!CC101:CC108)</f>
        <v>0</v>
      </c>
      <c r="CC46">
        <f>SUMIF('Как будет'!$A101:$A108,Доп.расчеты!$A46,'Как будет'!CD101:CD108)</f>
        <v>0</v>
      </c>
      <c r="CD46">
        <f>SUMIF('Как будет'!$A101:$A108,Доп.расчеты!$A46,'Как будет'!CE101:CE108)</f>
        <v>0</v>
      </c>
      <c r="CE46">
        <f>SUMIF('Как будет'!$A101:$A108,Доп.расчеты!$A46,'Как будет'!CF101:CF108)</f>
        <v>0</v>
      </c>
      <c r="CF46">
        <f>SUMIF('Как будет'!$A101:$A108,Доп.расчеты!$A46,'Как будет'!CG101:CG108)</f>
        <v>0</v>
      </c>
      <c r="CG46">
        <f>SUMIF('Как будет'!$A101:$A108,Доп.расчеты!$A46,'Как будет'!CH101:CH108)</f>
        <v>0</v>
      </c>
      <c r="CH46">
        <f>SUMIF('Как будет'!$A101:$A108,Доп.расчеты!$A46,'Как будет'!CI101:CI108)</f>
        <v>0</v>
      </c>
      <c r="CI46">
        <f>SUMIF('Как будет'!$A101:$A108,Доп.расчеты!$A46,'Как будет'!CJ101:CJ108)</f>
        <v>0</v>
      </c>
      <c r="CJ46">
        <f>SUMIF('Как будет'!$A101:$A108,Доп.расчеты!$A46,'Как будет'!CK101:CK108)</f>
        <v>0</v>
      </c>
      <c r="CK46">
        <f>SUMIF('Как будет'!$A101:$A108,Доп.расчеты!$A46,'Как будет'!CL101:CL108)</f>
        <v>0</v>
      </c>
      <c r="CL46">
        <f>SUMIF('Как будет'!$A101:$A108,Доп.расчеты!$A46,'Как будет'!CM101:CM108)</f>
        <v>0</v>
      </c>
      <c r="CM46">
        <f>SUMIF('Как будет'!$A101:$A108,Доп.расчеты!$A46,'Как будет'!CN101:CN108)</f>
        <v>0</v>
      </c>
      <c r="CN46">
        <f>SUMIF('Как будет'!$A101:$A108,Доп.расчеты!$A46,'Как будет'!CO101:CO108)</f>
        <v>0</v>
      </c>
      <c r="CO46">
        <f>SUMIF('Как будет'!$A101:$A108,Доп.расчеты!$A46,'Как будет'!CP101:CP108)</f>
        <v>0</v>
      </c>
      <c r="CP46">
        <f>SUMIF('Как будет'!$A101:$A108,Доп.расчеты!$A46,'Как будет'!CQ101:CQ108)</f>
        <v>0</v>
      </c>
      <c r="CQ46">
        <f>SUMIF('Как будет'!$A101:$A108,Доп.расчеты!$A46,'Как будет'!CR101:CR108)</f>
        <v>0</v>
      </c>
      <c r="CR46">
        <f>SUMIF('Как будет'!$A101:$A108,Доп.расчеты!$A46,'Как будет'!CS101:CS108)</f>
        <v>0</v>
      </c>
      <c r="CS46">
        <f>SUMIF('Как будет'!$A101:$A108,Доп.расчеты!$A46,'Как будет'!CT101:CT108)</f>
        <v>0</v>
      </c>
      <c r="CT46">
        <f>SUMIF('Как будет'!$A101:$A108,Доп.расчеты!$A46,'Как будет'!CU101:CU108)</f>
        <v>0</v>
      </c>
      <c r="CU46">
        <f>SUMIF('Как будет'!$A101:$A108,Доп.расчеты!$A46,'Как будет'!CV101:CV108)</f>
        <v>0</v>
      </c>
      <c r="CV46">
        <f>SUMIF('Как будет'!$A101:$A108,Доп.расчеты!$A46,'Как будет'!CW101:CW108)</f>
        <v>0</v>
      </c>
      <c r="CW46">
        <f>SUMIF('Как будет'!$A101:$A108,Доп.расчеты!$A46,'Как будет'!CX101:CX108)</f>
        <v>0</v>
      </c>
      <c r="CX46">
        <f>SUMIF('Как будет'!$A101:$A108,Доп.расчеты!$A46,'Как будет'!CY101:CY108)</f>
        <v>0</v>
      </c>
      <c r="CY46">
        <f>SUMIF('Как будет'!$A101:$A108,Доп.расчеты!$A46,'Как будет'!CZ101:CZ108)</f>
        <v>0</v>
      </c>
      <c r="CZ46">
        <f>SUMIF('Как будет'!$A101:$A108,Доп.расчеты!$A46,'Как будет'!DA101:DA108)</f>
        <v>0</v>
      </c>
      <c r="DA46">
        <f>SUMIF('Как будет'!$A101:$A108,Доп.расчеты!$A46,'Как будет'!DB101:DB108)</f>
        <v>0</v>
      </c>
      <c r="DB46">
        <f>SUMIF('Как будет'!$A101:$A108,Доп.расчеты!$A46,'Как будет'!DC101:DC108)</f>
        <v>0</v>
      </c>
      <c r="DC46">
        <f>SUMIF('Как будет'!$A101:$A108,Доп.расчеты!$A46,'Как будет'!DD101:DD108)</f>
        <v>0</v>
      </c>
      <c r="DD46">
        <f>SUMIF('Как будет'!$A101:$A108,Доп.расчеты!$A46,'Как будет'!DE101:DE108)</f>
        <v>0</v>
      </c>
      <c r="DE46">
        <f>SUMIF('Как будет'!$A101:$A108,Доп.расчеты!$A46,'Как будет'!DF101:DF108)</f>
        <v>0</v>
      </c>
      <c r="DF46">
        <f>SUMIF('Как будет'!$A101:$A108,Доп.расчеты!$A46,'Как будет'!DG101:DG108)</f>
        <v>0</v>
      </c>
      <c r="DG46">
        <f>SUMIF('Как будет'!$A101:$A108,Доп.расчеты!$A46,'Как будет'!DH101:DH108)</f>
        <v>0</v>
      </c>
      <c r="DH46">
        <f>SUMIF('Как будет'!$A101:$A108,Доп.расчеты!$A46,'Как будет'!DI101:DI108)</f>
        <v>0</v>
      </c>
      <c r="DI46">
        <f>SUMIF('Как будет'!$A101:$A108,Доп.расчеты!$A46,'Как будет'!DJ101:DJ108)</f>
        <v>0</v>
      </c>
      <c r="DJ46">
        <f>SUMIF('Как будет'!$A101:$A108,Доп.расчеты!$A46,'Как будет'!DK101:DK108)</f>
        <v>0</v>
      </c>
      <c r="DK46">
        <f>SUMIF('Как будет'!$A101:$A108,Доп.расчеты!$A46,'Как будет'!DL101:DL108)</f>
        <v>0</v>
      </c>
      <c r="DL46">
        <f>SUMIF('Как будет'!$A101:$A108,Доп.расчеты!$A46,'Как будет'!DM101:DM108)</f>
        <v>0</v>
      </c>
      <c r="DM46">
        <f>SUMIF('Как будет'!$A101:$A108,Доп.расчеты!$A46,'Как будет'!DN101:DN108)</f>
        <v>0</v>
      </c>
      <c r="DN46">
        <f>SUMIF('Как будет'!$A101:$A108,Доп.расчеты!$A46,'Как будет'!DO101:DO108)</f>
        <v>0</v>
      </c>
      <c r="DO46">
        <f>SUMIF('Как будет'!$A101:$A108,Доп.расчеты!$A46,'Как будет'!DP101:DP108)</f>
        <v>0</v>
      </c>
      <c r="DP46">
        <f>SUMIF('Как будет'!$A101:$A108,Доп.расчеты!$A46,'Как будет'!DQ101:DQ108)</f>
        <v>0</v>
      </c>
      <c r="DQ46">
        <f>SUMIF('Как будет'!$A101:$A108,Доп.расчеты!$A46,'Как будет'!DR101:DR108)</f>
        <v>0</v>
      </c>
      <c r="DR46">
        <f>SUMIF('Как будет'!$A101:$A108,Доп.расчеты!$A46,'Как будет'!DS101:DS108)</f>
        <v>0</v>
      </c>
      <c r="DS46">
        <f>SUMIF('Как будет'!$A101:$A108,Доп.расчеты!$A46,'Как будет'!DT101:DT108)</f>
        <v>0</v>
      </c>
      <c r="DT46">
        <f>SUMIF('Как будет'!$A101:$A108,Доп.расчеты!$A46,'Как будет'!DU101:DU108)</f>
        <v>0</v>
      </c>
      <c r="DU46">
        <f>SUMIF('Как будет'!$A101:$A108,Доп.расчеты!$A46,'Как будет'!DV101:DV108)</f>
        <v>0</v>
      </c>
      <c r="DV46">
        <f>SUMIF('Как будет'!$A101:$A108,Доп.расчеты!$A46,'Как будет'!DW101:DW108)</f>
        <v>0</v>
      </c>
      <c r="DW46">
        <f>SUMIF('Как будет'!$A101:$A108,Доп.расчеты!$A46,'Как будет'!DX101:DX108)</f>
        <v>0</v>
      </c>
      <c r="DX46">
        <f>SUMIF('Как будет'!$A101:$A108,Доп.расчеты!$A46,'Как будет'!DY101:DY108)</f>
        <v>0</v>
      </c>
      <c r="DY46">
        <f>SUMIF('Как будет'!$A101:$A108,Доп.расчеты!$A46,'Как будет'!DZ101:DZ108)</f>
        <v>0</v>
      </c>
      <c r="DZ46">
        <f>SUMIF('Как будет'!$A101:$A108,Доп.расчеты!$A46,'Как будет'!EA101:EA108)</f>
        <v>0</v>
      </c>
      <c r="EA46">
        <f>SUMIF('Как будет'!$A101:$A108,Доп.расчеты!$A46,'Как будет'!EB101:EB108)</f>
        <v>0</v>
      </c>
      <c r="EB46">
        <f>SUMIF('Как будет'!$A101:$A108,Доп.расчеты!$A46,'Как будет'!EC101:EC108)</f>
        <v>0</v>
      </c>
      <c r="EC46">
        <f>SUMIF('Как будет'!$A101:$A108,Доп.расчеты!$A46,'Как будет'!ED101:ED108)</f>
        <v>0</v>
      </c>
      <c r="ED46">
        <f>SUMIF('Как будет'!$A101:$A108,Доп.расчеты!$A46,'Как будет'!EE101:EE108)</f>
        <v>0</v>
      </c>
      <c r="EE46">
        <f>SUMIF('Как будет'!$A101:$A108,Доп.расчеты!$A46,'Как будет'!EF101:EF108)</f>
        <v>0</v>
      </c>
      <c r="EF46">
        <f>SUMIF('Как будет'!$A101:$A108,Доп.расчеты!$A46,'Как будет'!EG101:EG108)</f>
        <v>0</v>
      </c>
      <c r="EG46">
        <f>SUMIF('Как будет'!$A101:$A108,Доп.расчеты!$A46,'Как будет'!EH101:EH108)</f>
        <v>0</v>
      </c>
      <c r="EH46">
        <f>SUMIF('Как будет'!$A101:$A108,Доп.расчеты!$A46,'Как будет'!EI101:EI108)</f>
        <v>0</v>
      </c>
      <c r="EI46">
        <f>SUMIF('Как будет'!$A101:$A108,Доп.расчеты!$A46,'Как будет'!EJ101:EJ108)</f>
        <v>0</v>
      </c>
      <c r="EJ46">
        <f>SUMIF('Как будет'!$A101:$A108,Доп.расчеты!$A46,'Как будет'!EK101:EK108)</f>
        <v>0</v>
      </c>
      <c r="EK46">
        <f>SUMIF('Как будет'!$A101:$A108,Доп.расчеты!$A46,'Как будет'!EL101:EL108)</f>
        <v>0</v>
      </c>
      <c r="EL46">
        <f>SUMIF('Как будет'!$A101:$A108,Доп.расчеты!$A46,'Как будет'!EM101:EM108)</f>
        <v>0</v>
      </c>
      <c r="EM46">
        <f>SUMIF('Как будет'!$A101:$A108,Доп.расчеты!$A46,'Как будет'!EN101:EN108)</f>
        <v>0</v>
      </c>
      <c r="EN46">
        <f>SUMIF('Как будет'!$A101:$A108,Доп.расчеты!$A46,'Как будет'!EO101:EO108)</f>
        <v>0</v>
      </c>
      <c r="EO46">
        <f>SUMIF('Как будет'!$A101:$A108,Доп.расчеты!$A46,'Как будет'!EP101:EP108)</f>
        <v>0</v>
      </c>
      <c r="EP46">
        <f>SUMIF('Как будет'!$A101:$A108,Доп.расчеты!$A46,'Как будет'!EQ101:EQ108)</f>
        <v>0</v>
      </c>
      <c r="EQ46">
        <f>SUMIF('Как будет'!$A101:$A108,Доп.расчеты!$A46,'Как будет'!ER101:ER108)</f>
        <v>0</v>
      </c>
      <c r="ER46">
        <f>SUMIF('Как будет'!$A101:$A108,Доп.расчеты!$A46,'Как будет'!ES101:ES108)</f>
        <v>0</v>
      </c>
      <c r="ES46">
        <f>SUMIF('Как будет'!$A101:$A108,Доп.расчеты!$A46,'Как будет'!ET101:ET108)</f>
        <v>0</v>
      </c>
      <c r="ET46">
        <f>SUMIF('Как будет'!$A101:$A108,Доп.расчеты!$A46,'Как будет'!EU101:EU108)</f>
        <v>0</v>
      </c>
      <c r="EU46">
        <f>SUMIF('Как будет'!$A101:$A108,Доп.расчеты!$A46,'Как будет'!EV101:EV108)</f>
        <v>0</v>
      </c>
      <c r="EV46">
        <f>SUMIF('Как будет'!$A101:$A108,Доп.расчеты!$A46,'Как будет'!EW101:EW108)</f>
        <v>0</v>
      </c>
      <c r="EW46">
        <f>SUMIF('Как будет'!$A101:$A108,Доп.расчеты!$A46,'Как будет'!EX101:EX108)</f>
        <v>0</v>
      </c>
      <c r="EX46">
        <f>SUMIF('Как будет'!$A101:$A108,Доп.расчеты!$A46,'Как будет'!EY101:EY108)</f>
        <v>0</v>
      </c>
      <c r="EY46">
        <f>SUMIF('Как будет'!$A101:$A108,Доп.расчеты!$A46,'Как будет'!EZ101:EZ108)</f>
        <v>0</v>
      </c>
      <c r="EZ46">
        <f>SUMIF('Как будет'!$A101:$A108,Доп.расчеты!$A46,'Как будет'!FA101:FA108)</f>
        <v>0</v>
      </c>
      <c r="FA46">
        <f>SUMIF('Как будет'!$A101:$A108,Доп.расчеты!$A46,'Как будет'!FB101:FB108)</f>
        <v>0</v>
      </c>
      <c r="FB46">
        <f>SUMIF('Как будет'!$A101:$A108,Доп.расчеты!$A46,'Как будет'!FC101:FC108)</f>
        <v>0</v>
      </c>
      <c r="FC46">
        <f>SUMIF('Как будет'!$A101:$A108,Доп.расчеты!$A46,'Как будет'!FD101:FD108)</f>
        <v>0</v>
      </c>
      <c r="FD46">
        <f>SUMIF('Как будет'!$A101:$A108,Доп.расчеты!$A46,'Как будет'!FE101:FE108)</f>
        <v>0</v>
      </c>
      <c r="FE46">
        <f>SUMIF('Как будет'!$A101:$A108,Доп.расчеты!$A46,'Как будет'!FF101:FF108)</f>
        <v>0</v>
      </c>
      <c r="FF46">
        <f>SUMIF('Как будет'!$A101:$A108,Доп.расчеты!$A46,'Как будет'!FG101:FG108)</f>
        <v>0</v>
      </c>
      <c r="FG46">
        <f>SUMIF('Как будет'!$A101:$A108,Доп.расчеты!$A46,'Как будет'!FH101:FH108)</f>
        <v>0</v>
      </c>
      <c r="FH46">
        <f>SUMIF('Как будет'!$A101:$A108,Доп.расчеты!$A46,'Как будет'!FI101:FI108)</f>
        <v>0</v>
      </c>
      <c r="FI46">
        <f>SUMIF('Как будет'!$A101:$A108,Доп.расчеты!$A46,'Как будет'!FJ101:FJ108)</f>
        <v>0</v>
      </c>
      <c r="FJ46">
        <f>SUMIF('Как будет'!$A101:$A108,Доп.расчеты!$A46,'Как будет'!FK101:FK108)</f>
        <v>0</v>
      </c>
      <c r="FK46">
        <f>SUMIF('Как будет'!$A101:$A108,Доп.расчеты!$A46,'Как будет'!FL101:FL108)</f>
        <v>0</v>
      </c>
      <c r="FL46">
        <f>SUMIF('Как будет'!$A101:$A108,Доп.расчеты!$A46,'Как будет'!FM101:FM108)</f>
        <v>0</v>
      </c>
      <c r="FM46">
        <f>SUMIF('Как будет'!$A101:$A108,Доп.расчеты!$A46,'Как будет'!FN101:FN108)</f>
        <v>0</v>
      </c>
      <c r="FN46">
        <f>SUMIF('Как будет'!$A101:$A108,Доп.расчеты!$A46,'Как будет'!FO101:FO108)</f>
        <v>0</v>
      </c>
      <c r="FO46">
        <f>SUMIF('Как будет'!$A101:$A108,Доп.расчеты!$A46,'Как будет'!FP101:FP108)</f>
        <v>0</v>
      </c>
      <c r="FP46">
        <f>SUMIF('Как будет'!$A101:$A108,Доп.расчеты!$A46,'Как будет'!FQ101:FQ108)</f>
        <v>0</v>
      </c>
      <c r="FQ46">
        <f>SUMIF('Как будет'!$A101:$A108,Доп.расчеты!$A46,'Как будет'!FR101:FR108)</f>
        <v>0</v>
      </c>
      <c r="FR46">
        <f>SUMIF('Как будет'!$A101:$A108,Доп.расчеты!$A46,'Как будет'!FS101:FS108)</f>
        <v>0</v>
      </c>
      <c r="FS46">
        <f>SUMIF('Как будет'!$A101:$A108,Доп.расчеты!$A46,'Как будет'!FT101:FT108)</f>
        <v>0</v>
      </c>
      <c r="FT46">
        <f>SUMIF('Как будет'!$A101:$A108,Доп.расчеты!$A46,'Как будет'!FU101:FU108)</f>
        <v>0</v>
      </c>
      <c r="FU46">
        <f>SUMIF('Как будет'!$A101:$A108,Доп.расчеты!$A46,'Как будет'!FV101:FV108)</f>
        <v>0</v>
      </c>
      <c r="FV46">
        <f>SUMIF('Как будет'!$A101:$A108,Доп.расчеты!$A46,'Как будет'!FW101:FW108)</f>
        <v>0</v>
      </c>
      <c r="FW46">
        <f>SUMIF('Как будет'!$A101:$A108,Доп.расчеты!$A46,'Как будет'!FX101:FX108)</f>
        <v>0</v>
      </c>
      <c r="FX46">
        <f>SUMIF('Как будет'!$A101:$A108,Доп.расчеты!$A46,'Как будет'!FY101:FY108)</f>
        <v>0</v>
      </c>
      <c r="FY46">
        <f>SUMIF('Как будет'!$A101:$A108,Доп.расчеты!$A46,'Как будет'!FZ101:FZ108)</f>
        <v>0</v>
      </c>
      <c r="FZ46">
        <f>SUMIF('Как будет'!$A101:$A108,Доп.расчеты!$A46,'Как будет'!GA101:GA108)</f>
        <v>0</v>
      </c>
      <c r="GA46">
        <f>SUMIF('Как будет'!$A101:$A108,Доп.расчеты!$A46,'Как будет'!GB101:GB108)</f>
        <v>0</v>
      </c>
      <c r="GB46">
        <f>SUMIF('Как будет'!$A101:$A108,Доп.расчеты!$A46,'Как будет'!GC101:GC108)</f>
        <v>0</v>
      </c>
      <c r="GC46">
        <f>SUMIF('Как будет'!$A101:$A108,Доп.расчеты!$A46,'Как будет'!GD101:GD108)</f>
        <v>0</v>
      </c>
      <c r="GD46">
        <f>SUMIF('Как будет'!$A101:$A108,Доп.расчеты!$A46,'Как будет'!GE101:GE108)</f>
        <v>0</v>
      </c>
      <c r="GE46">
        <f>SUMIF('Как будет'!$A101:$A108,Доп.расчеты!$A46,'Как будет'!GF101:GF108)</f>
        <v>0</v>
      </c>
      <c r="GF46">
        <f>SUMIF('Как будет'!$A101:$A108,Доп.расчеты!$A46,'Как будет'!GG101:GG108)</f>
        <v>0</v>
      </c>
      <c r="GG46">
        <f>SUMIF('Как будет'!$A101:$A108,Доп.расчеты!$A46,'Как будет'!GH101:GH108)</f>
        <v>0</v>
      </c>
      <c r="GH46">
        <f>SUMIF('Как будет'!$A101:$A108,Доп.расчеты!$A46,'Как будет'!GI101:GI108)</f>
        <v>0</v>
      </c>
      <c r="GI46">
        <f>SUMIF('Как будет'!$A101:$A108,Доп.расчеты!$A46,'Как будет'!GJ101:GJ108)</f>
        <v>0</v>
      </c>
      <c r="GJ46">
        <f>SUMIF('Как будет'!$A101:$A108,Доп.расчеты!$A46,'Как будет'!GK101:GK108)</f>
        <v>0</v>
      </c>
      <c r="GK46">
        <f>SUMIF('Как будет'!$A101:$A108,Доп.расчеты!$A46,'Как будет'!GL101:GL108)</f>
        <v>0</v>
      </c>
      <c r="GL46">
        <f>SUMIF('Как будет'!$A101:$A108,Доп.расчеты!$A46,'Как будет'!GM101:GM108)</f>
        <v>0</v>
      </c>
      <c r="GM46">
        <f>SUMIF('Как будет'!$A101:$A108,Доп.расчеты!$A46,'Как будет'!GN101:GN108)</f>
        <v>0</v>
      </c>
      <c r="GN46">
        <f>SUMIF('Как будет'!$A101:$A108,Доп.расчеты!$A46,'Как будет'!GO101:GO108)</f>
        <v>0</v>
      </c>
      <c r="GO46">
        <f>SUMIF('Как будет'!$A101:$A108,Доп.расчеты!$A46,'Как будет'!GP101:GP108)</f>
        <v>0</v>
      </c>
      <c r="GP46">
        <f>SUMIF('Как будет'!$A101:$A108,Доп.расчеты!$A46,'Как будет'!GQ101:GQ108)</f>
        <v>0</v>
      </c>
      <c r="GQ46">
        <f>SUMIF('Как будет'!$A101:$A108,Доп.расчеты!$A46,'Как будет'!GR101:GR108)</f>
        <v>0</v>
      </c>
      <c r="GR46">
        <f>SUMIF('Как будет'!$A101:$A108,Доп.расчеты!$A46,'Как будет'!GS101:GS108)</f>
        <v>0</v>
      </c>
      <c r="GS46">
        <f>SUMIF('Как будет'!$A101:$A108,Доп.расчеты!$A46,'Как будет'!GT101:GT108)</f>
        <v>0</v>
      </c>
      <c r="GT46">
        <f>SUMIF('Как будет'!$A101:$A108,Доп.расчеты!$A46,'Как будет'!GU101:GU108)</f>
        <v>0</v>
      </c>
    </row>
    <row r="47" spans="1:202">
      <c r="A47" s="61" t="s">
        <v>147</v>
      </c>
      <c r="B47">
        <f>SUMIF('Как будет'!$A101:$A108,Доп.расчеты!$A47,'Как будет'!C101:C108)</f>
        <v>0</v>
      </c>
      <c r="C47">
        <f>SUMIF('Как будет'!$A101:$A108,Доп.расчеты!$A47,'Как будет'!D101:D108)</f>
        <v>0</v>
      </c>
      <c r="D47">
        <f>SUMIF('Как будет'!$A101:$A108,Доп.расчеты!$A47,'Как будет'!E101:E108)</f>
        <v>0</v>
      </c>
      <c r="E47">
        <f>SUMIF('Как будет'!$A101:$A108,Доп.расчеты!$A47,'Как будет'!F101:F108)</f>
        <v>0</v>
      </c>
      <c r="F47">
        <f>SUMIF('Как будет'!$A101:$A108,Доп.расчеты!$A47,'Как будет'!G101:G108)</f>
        <v>0</v>
      </c>
      <c r="G47">
        <f>SUMIF('Как будет'!$A101:$A108,Доп.расчеты!$A47,'Как будет'!H101:H108)</f>
        <v>0</v>
      </c>
      <c r="H47">
        <f>SUMIF('Как будет'!$A101:$A108,Доп.расчеты!$A47,'Как будет'!I101:I108)</f>
        <v>0</v>
      </c>
      <c r="I47">
        <f>SUMIF('Как будет'!$A101:$A108,Доп.расчеты!$A47,'Как будет'!J101:J108)</f>
        <v>0</v>
      </c>
      <c r="J47">
        <f>SUMIF('Как будет'!$A101:$A108,Доп.расчеты!$A47,'Как будет'!K101:K108)</f>
        <v>0</v>
      </c>
      <c r="K47">
        <f>SUMIF('Как будет'!$A101:$A108,Доп.расчеты!$A47,'Как будет'!L101:L108)</f>
        <v>0</v>
      </c>
      <c r="L47">
        <f>SUMIF('Как будет'!$A101:$A108,Доп.расчеты!$A47,'Как будет'!M101:M108)</f>
        <v>0</v>
      </c>
      <c r="M47">
        <f>SUMIF('Как будет'!$A101:$A108,Доп.расчеты!$A47,'Как будет'!N101:N108)</f>
        <v>0</v>
      </c>
      <c r="N47">
        <f>SUMIF('Как будет'!$A101:$A108,Доп.расчеты!$A47,'Как будет'!O101:O108)</f>
        <v>0</v>
      </c>
      <c r="O47">
        <f>SUMIF('Как будет'!$A101:$A108,Доп.расчеты!$A47,'Как будет'!P101:P108)</f>
        <v>0</v>
      </c>
      <c r="P47">
        <f>SUMIF('Как будет'!$A101:$A108,Доп.расчеты!$A47,'Как будет'!Q101:Q108)</f>
        <v>0</v>
      </c>
      <c r="Q47">
        <f>SUMIF('Как будет'!$A101:$A108,Доп.расчеты!$A47,'Как будет'!R101:R108)</f>
        <v>0</v>
      </c>
      <c r="R47">
        <f>SUMIF('Как будет'!$A101:$A108,Доп.расчеты!$A47,'Как будет'!S101:S108)</f>
        <v>0</v>
      </c>
      <c r="S47">
        <f>SUMIF('Как будет'!$A101:$A108,Доп.расчеты!$A47,'Как будет'!T101:T108)</f>
        <v>0</v>
      </c>
      <c r="T47">
        <f>SUMIF('Как будет'!$A101:$A108,Доп.расчеты!$A47,'Как будет'!U101:U108)</f>
        <v>0</v>
      </c>
      <c r="U47">
        <f>SUMIF('Как будет'!$A101:$A108,Доп.расчеты!$A47,'Как будет'!V101:V108)</f>
        <v>0</v>
      </c>
      <c r="V47">
        <f>SUMIF('Как будет'!$A101:$A108,Доп.расчеты!$A47,'Как будет'!W101:W108)</f>
        <v>0</v>
      </c>
      <c r="W47">
        <f>SUMIF('Как будет'!$A101:$A108,Доп.расчеты!$A47,'Как будет'!X101:X108)</f>
        <v>0</v>
      </c>
      <c r="X47">
        <f>SUMIF('Как будет'!$A101:$A108,Доп.расчеты!$A47,'Как будет'!Y101:Y108)</f>
        <v>0</v>
      </c>
      <c r="Y47">
        <f>SUMIF('Как будет'!$A101:$A108,Доп.расчеты!$A47,'Как будет'!Z101:Z108)</f>
        <v>0</v>
      </c>
      <c r="Z47">
        <f>SUMIF('Как будет'!$A101:$A108,Доп.расчеты!$A47,'Как будет'!AA101:AA108)</f>
        <v>0</v>
      </c>
      <c r="AA47">
        <f>SUMIF('Как будет'!$A101:$A108,Доп.расчеты!$A47,'Как будет'!AB101:AB108)</f>
        <v>0</v>
      </c>
      <c r="AB47">
        <f>SUMIF('Как будет'!$A101:$A108,Доп.расчеты!$A47,'Как будет'!AC101:AC108)</f>
        <v>0</v>
      </c>
      <c r="AC47">
        <f>SUMIF('Как будет'!$A101:$A108,Доп.расчеты!$A47,'Как будет'!AD101:AD108)</f>
        <v>0</v>
      </c>
      <c r="AD47">
        <f>SUMIF('Как будет'!$A101:$A108,Доп.расчеты!$A47,'Как будет'!AE101:AE108)</f>
        <v>0</v>
      </c>
      <c r="AE47">
        <f>SUMIF('Как будет'!$A101:$A108,Доп.расчеты!$A47,'Как будет'!AF101:AF108)</f>
        <v>0</v>
      </c>
      <c r="AF47">
        <f>SUMIF('Как будет'!$A101:$A108,Доп.расчеты!$A47,'Как будет'!AG101:AG108)</f>
        <v>0</v>
      </c>
      <c r="AG47">
        <f>SUMIF('Как будет'!$A101:$A108,Доп.расчеты!$A47,'Как будет'!AH101:AH108)</f>
        <v>0</v>
      </c>
      <c r="AH47">
        <f>SUMIF('Как будет'!$A101:$A108,Доп.расчеты!$A47,'Как будет'!AI101:AI108)</f>
        <v>0</v>
      </c>
      <c r="AI47">
        <f>SUMIF('Как будет'!$A101:$A108,Доп.расчеты!$A47,'Как будет'!AJ101:AJ108)</f>
        <v>0</v>
      </c>
      <c r="AJ47">
        <f>SUMIF('Как будет'!$A101:$A108,Доп.расчеты!$A47,'Как будет'!AK101:AK108)</f>
        <v>0</v>
      </c>
      <c r="AK47">
        <f>SUMIF('Как будет'!$A101:$A108,Доп.расчеты!$A47,'Как будет'!AL101:AL108)</f>
        <v>0</v>
      </c>
      <c r="AL47">
        <f>SUMIF('Как будет'!$A101:$A108,Доп.расчеты!$A47,'Как будет'!AM101:AM108)</f>
        <v>0</v>
      </c>
      <c r="AM47">
        <f>SUMIF('Как будет'!$A101:$A108,Доп.расчеты!$A47,'Как будет'!AN101:AN108)</f>
        <v>0</v>
      </c>
      <c r="AN47">
        <f>SUMIF('Как будет'!$A101:$A108,Доп.расчеты!$A47,'Как будет'!AO101:AO108)</f>
        <v>0</v>
      </c>
      <c r="AO47">
        <f>SUMIF('Как будет'!$A101:$A108,Доп.расчеты!$A47,'Как будет'!AP101:AP108)</f>
        <v>0</v>
      </c>
      <c r="AP47">
        <f>SUMIF('Как будет'!$A101:$A108,Доп.расчеты!$A47,'Как будет'!AQ101:AQ108)</f>
        <v>0</v>
      </c>
      <c r="AQ47">
        <f>SUMIF('Как будет'!$A101:$A108,Доп.расчеты!$A47,'Как будет'!AR101:AR108)</f>
        <v>0</v>
      </c>
      <c r="AR47">
        <f>SUMIF('Как будет'!$A101:$A108,Доп.расчеты!$A47,'Как будет'!AS101:AS108)</f>
        <v>0</v>
      </c>
      <c r="AS47">
        <f>SUMIF('Как будет'!$A101:$A108,Доп.расчеты!$A47,'Как будет'!AT101:AT108)</f>
        <v>0</v>
      </c>
      <c r="AT47">
        <f>SUMIF('Как будет'!$A101:$A108,Доп.расчеты!$A47,'Как будет'!AU101:AU108)</f>
        <v>0</v>
      </c>
      <c r="AU47">
        <f>SUMIF('Как будет'!$A101:$A108,Доп.расчеты!$A47,'Как будет'!AV101:AV108)</f>
        <v>0</v>
      </c>
      <c r="AV47">
        <f>SUMIF('Как будет'!$A101:$A108,Доп.расчеты!$A47,'Как будет'!AW101:AW108)</f>
        <v>0</v>
      </c>
      <c r="AW47">
        <f>SUMIF('Как будет'!$A101:$A108,Доп.расчеты!$A47,'Как будет'!AX101:AX108)</f>
        <v>0</v>
      </c>
      <c r="AX47">
        <f>SUMIF('Как будет'!$A101:$A108,Доп.расчеты!$A47,'Как будет'!AY101:AY108)</f>
        <v>0</v>
      </c>
      <c r="AY47">
        <f>SUMIF('Как будет'!$A101:$A108,Доп.расчеты!$A47,'Как будет'!AZ101:AZ108)</f>
        <v>0</v>
      </c>
      <c r="AZ47">
        <f>SUMIF('Как будет'!$A101:$A108,Доп.расчеты!$A47,'Как будет'!BA101:BA108)</f>
        <v>0</v>
      </c>
      <c r="BA47">
        <f>SUMIF('Как будет'!$A101:$A108,Доп.расчеты!$A47,'Как будет'!BB101:BB108)</f>
        <v>0</v>
      </c>
      <c r="BB47">
        <f>SUMIF('Как будет'!$A101:$A108,Доп.расчеты!$A47,'Как будет'!BC101:BC108)</f>
        <v>0</v>
      </c>
      <c r="BC47">
        <f>SUMIF('Как будет'!$A101:$A108,Доп.расчеты!$A47,'Как будет'!BD101:BD108)</f>
        <v>0</v>
      </c>
      <c r="BD47">
        <f>SUMIF('Как будет'!$A101:$A108,Доп.расчеты!$A47,'Как будет'!BE101:BE108)</f>
        <v>0</v>
      </c>
      <c r="BE47">
        <f>SUMIF('Как будет'!$A101:$A108,Доп.расчеты!$A47,'Как будет'!BF101:BF108)</f>
        <v>0</v>
      </c>
      <c r="BF47">
        <f>SUMIF('Как будет'!$A101:$A108,Доп.расчеты!$A47,'Как будет'!BG101:BG108)</f>
        <v>0</v>
      </c>
      <c r="BG47">
        <f>SUMIF('Как будет'!$A101:$A108,Доп.расчеты!$A47,'Как будет'!BH101:BH108)</f>
        <v>0</v>
      </c>
      <c r="BH47">
        <f>SUMIF('Как будет'!$A101:$A108,Доп.расчеты!$A47,'Как будет'!BI101:BI108)</f>
        <v>0</v>
      </c>
      <c r="BI47">
        <f>SUMIF('Как будет'!$A101:$A108,Доп.расчеты!$A47,'Как будет'!BJ101:BJ108)</f>
        <v>0</v>
      </c>
      <c r="BJ47">
        <f>SUMIF('Как будет'!$A101:$A108,Доп.расчеты!$A47,'Как будет'!BK101:BK108)</f>
        <v>0</v>
      </c>
      <c r="BK47">
        <f>SUMIF('Как будет'!$A101:$A108,Доп.расчеты!$A47,'Как будет'!BL101:BL108)</f>
        <v>0</v>
      </c>
      <c r="BL47">
        <f>SUMIF('Как будет'!$A101:$A108,Доп.расчеты!$A47,'Как будет'!BM101:BM108)</f>
        <v>0</v>
      </c>
      <c r="BM47">
        <f>SUMIF('Как будет'!$A101:$A108,Доп.расчеты!$A47,'Как будет'!BN101:BN108)</f>
        <v>0</v>
      </c>
      <c r="BN47">
        <f>SUMIF('Как будет'!$A101:$A108,Доп.расчеты!$A47,'Как будет'!BO101:BO108)</f>
        <v>0</v>
      </c>
      <c r="BO47">
        <f>SUMIF('Как будет'!$A101:$A108,Доп.расчеты!$A47,'Как будет'!BP101:BP108)</f>
        <v>0</v>
      </c>
      <c r="BP47">
        <f>SUMIF('Как будет'!$A101:$A108,Доп.расчеты!$A47,'Как будет'!BQ101:BQ108)</f>
        <v>0</v>
      </c>
      <c r="BQ47">
        <f>SUMIF('Как будет'!$A101:$A108,Доп.расчеты!$A47,'Как будет'!BR101:BR108)</f>
        <v>0</v>
      </c>
      <c r="BR47">
        <f>SUMIF('Как будет'!$A101:$A108,Доп.расчеты!$A47,'Как будет'!BS101:BS108)</f>
        <v>0</v>
      </c>
      <c r="BS47">
        <f>SUMIF('Как будет'!$A101:$A108,Доп.расчеты!$A47,'Как будет'!BT101:BT108)</f>
        <v>0</v>
      </c>
      <c r="BT47">
        <f>SUMIF('Как будет'!$A101:$A108,Доп.расчеты!$A47,'Как будет'!BU101:BU108)</f>
        <v>0</v>
      </c>
      <c r="BU47">
        <f>SUMIF('Как будет'!$A101:$A108,Доп.расчеты!$A47,'Как будет'!BV101:BV108)</f>
        <v>0</v>
      </c>
      <c r="BV47">
        <f>SUMIF('Как будет'!$A101:$A108,Доп.расчеты!$A47,'Как будет'!BW101:BW108)</f>
        <v>0</v>
      </c>
      <c r="BW47">
        <f>SUMIF('Как будет'!$A101:$A108,Доп.расчеты!$A47,'Как будет'!BX101:BX108)</f>
        <v>0</v>
      </c>
      <c r="BX47">
        <f>SUMIF('Как будет'!$A101:$A108,Доп.расчеты!$A47,'Как будет'!BY101:BY108)</f>
        <v>0</v>
      </c>
      <c r="BY47">
        <f>SUMIF('Как будет'!$A101:$A108,Доп.расчеты!$A47,'Как будет'!BZ101:BZ108)</f>
        <v>0</v>
      </c>
      <c r="BZ47">
        <f>SUMIF('Как будет'!$A101:$A108,Доп.расчеты!$A47,'Как будет'!CA101:CA108)</f>
        <v>0</v>
      </c>
      <c r="CA47">
        <f>SUMIF('Как будет'!$A101:$A108,Доп.расчеты!$A47,'Как будет'!CB101:CB108)</f>
        <v>0</v>
      </c>
      <c r="CB47">
        <f>SUMIF('Как будет'!$A101:$A108,Доп.расчеты!$A47,'Как будет'!CC101:CC108)</f>
        <v>0</v>
      </c>
      <c r="CC47">
        <f>SUMIF('Как будет'!$A101:$A108,Доп.расчеты!$A47,'Как будет'!CD101:CD108)</f>
        <v>0</v>
      </c>
      <c r="CD47">
        <f>SUMIF('Как будет'!$A101:$A108,Доп.расчеты!$A47,'Как будет'!CE101:CE108)</f>
        <v>0</v>
      </c>
      <c r="CE47">
        <f>SUMIF('Как будет'!$A101:$A108,Доп.расчеты!$A47,'Как будет'!CF101:CF108)</f>
        <v>0</v>
      </c>
      <c r="CF47">
        <f>SUMIF('Как будет'!$A101:$A108,Доп.расчеты!$A47,'Как будет'!CG101:CG108)</f>
        <v>0</v>
      </c>
      <c r="CG47">
        <f>SUMIF('Как будет'!$A101:$A108,Доп.расчеты!$A47,'Как будет'!CH101:CH108)</f>
        <v>0</v>
      </c>
      <c r="CH47">
        <f>SUMIF('Как будет'!$A101:$A108,Доп.расчеты!$A47,'Как будет'!CI101:CI108)</f>
        <v>0</v>
      </c>
      <c r="CI47">
        <f>SUMIF('Как будет'!$A101:$A108,Доп.расчеты!$A47,'Как будет'!CJ101:CJ108)</f>
        <v>0</v>
      </c>
      <c r="CJ47">
        <f>SUMIF('Как будет'!$A101:$A108,Доп.расчеты!$A47,'Как будет'!CK101:CK108)</f>
        <v>0</v>
      </c>
      <c r="CK47">
        <f>SUMIF('Как будет'!$A101:$A108,Доп.расчеты!$A47,'Как будет'!CL101:CL108)</f>
        <v>0</v>
      </c>
      <c r="CL47">
        <f>SUMIF('Как будет'!$A101:$A108,Доп.расчеты!$A47,'Как будет'!CM101:CM108)</f>
        <v>0</v>
      </c>
      <c r="CM47">
        <f>SUMIF('Как будет'!$A101:$A108,Доп.расчеты!$A47,'Как будет'!CN101:CN108)</f>
        <v>0</v>
      </c>
      <c r="CN47">
        <f>SUMIF('Как будет'!$A101:$A108,Доп.расчеты!$A47,'Как будет'!CO101:CO108)</f>
        <v>0</v>
      </c>
      <c r="CO47">
        <f>SUMIF('Как будет'!$A101:$A108,Доп.расчеты!$A47,'Как будет'!CP101:CP108)</f>
        <v>0</v>
      </c>
      <c r="CP47">
        <f>SUMIF('Как будет'!$A101:$A108,Доп.расчеты!$A47,'Как будет'!CQ101:CQ108)</f>
        <v>0</v>
      </c>
      <c r="CQ47">
        <f>SUMIF('Как будет'!$A101:$A108,Доп.расчеты!$A47,'Как будет'!CR101:CR108)</f>
        <v>0</v>
      </c>
      <c r="CR47">
        <f>SUMIF('Как будет'!$A101:$A108,Доп.расчеты!$A47,'Как будет'!CS101:CS108)</f>
        <v>0</v>
      </c>
      <c r="CS47">
        <f>SUMIF('Как будет'!$A101:$A108,Доп.расчеты!$A47,'Как будет'!CT101:CT108)</f>
        <v>0</v>
      </c>
      <c r="CT47">
        <f>SUMIF('Как будет'!$A101:$A108,Доп.расчеты!$A47,'Как будет'!CU101:CU108)</f>
        <v>0</v>
      </c>
      <c r="CU47">
        <f>SUMIF('Как будет'!$A101:$A108,Доп.расчеты!$A47,'Как будет'!CV101:CV108)</f>
        <v>0</v>
      </c>
      <c r="CV47">
        <f>SUMIF('Как будет'!$A101:$A108,Доп.расчеты!$A47,'Как будет'!CW101:CW108)</f>
        <v>0</v>
      </c>
      <c r="CW47">
        <f>SUMIF('Как будет'!$A101:$A108,Доп.расчеты!$A47,'Как будет'!CX101:CX108)</f>
        <v>0</v>
      </c>
      <c r="CX47">
        <f>SUMIF('Как будет'!$A101:$A108,Доп.расчеты!$A47,'Как будет'!CY101:CY108)</f>
        <v>0</v>
      </c>
      <c r="CY47">
        <f>SUMIF('Как будет'!$A101:$A108,Доп.расчеты!$A47,'Как будет'!CZ101:CZ108)</f>
        <v>0</v>
      </c>
      <c r="CZ47">
        <f>SUMIF('Как будет'!$A101:$A108,Доп.расчеты!$A47,'Как будет'!DA101:DA108)</f>
        <v>0</v>
      </c>
      <c r="DA47">
        <f>SUMIF('Как будет'!$A101:$A108,Доп.расчеты!$A47,'Как будет'!DB101:DB108)</f>
        <v>0</v>
      </c>
      <c r="DB47">
        <f>SUMIF('Как будет'!$A101:$A108,Доп.расчеты!$A47,'Как будет'!DC101:DC108)</f>
        <v>0</v>
      </c>
      <c r="DC47">
        <f>SUMIF('Как будет'!$A101:$A108,Доп.расчеты!$A47,'Как будет'!DD101:DD108)</f>
        <v>0</v>
      </c>
      <c r="DD47">
        <f>SUMIF('Как будет'!$A101:$A108,Доп.расчеты!$A47,'Как будет'!DE101:DE108)</f>
        <v>0</v>
      </c>
      <c r="DE47">
        <f>SUMIF('Как будет'!$A101:$A108,Доп.расчеты!$A47,'Как будет'!DF101:DF108)</f>
        <v>0</v>
      </c>
      <c r="DF47">
        <f>SUMIF('Как будет'!$A101:$A108,Доп.расчеты!$A47,'Как будет'!DG101:DG108)</f>
        <v>0</v>
      </c>
      <c r="DG47">
        <f>SUMIF('Как будет'!$A101:$A108,Доп.расчеты!$A47,'Как будет'!DH101:DH108)</f>
        <v>0</v>
      </c>
      <c r="DH47">
        <f>SUMIF('Как будет'!$A101:$A108,Доп.расчеты!$A47,'Как будет'!DI101:DI108)</f>
        <v>0</v>
      </c>
      <c r="DI47">
        <f>SUMIF('Как будет'!$A101:$A108,Доп.расчеты!$A47,'Как будет'!DJ101:DJ108)</f>
        <v>0</v>
      </c>
      <c r="DJ47">
        <f>SUMIF('Как будет'!$A101:$A108,Доп.расчеты!$A47,'Как будет'!DK101:DK108)</f>
        <v>0</v>
      </c>
      <c r="DK47">
        <f>SUMIF('Как будет'!$A101:$A108,Доп.расчеты!$A47,'Как будет'!DL101:DL108)</f>
        <v>0</v>
      </c>
      <c r="DL47">
        <f>SUMIF('Как будет'!$A101:$A108,Доп.расчеты!$A47,'Как будет'!DM101:DM108)</f>
        <v>0</v>
      </c>
      <c r="DM47">
        <f>SUMIF('Как будет'!$A101:$A108,Доп.расчеты!$A47,'Как будет'!DN101:DN108)</f>
        <v>0</v>
      </c>
      <c r="DN47">
        <f>SUMIF('Как будет'!$A101:$A108,Доп.расчеты!$A47,'Как будет'!DO101:DO108)</f>
        <v>0</v>
      </c>
      <c r="DO47">
        <f>SUMIF('Как будет'!$A101:$A108,Доп.расчеты!$A47,'Как будет'!DP101:DP108)</f>
        <v>0</v>
      </c>
      <c r="DP47">
        <f>SUMIF('Как будет'!$A101:$A108,Доп.расчеты!$A47,'Как будет'!DQ101:DQ108)</f>
        <v>0</v>
      </c>
      <c r="DQ47">
        <f>SUMIF('Как будет'!$A101:$A108,Доп.расчеты!$A47,'Как будет'!DR101:DR108)</f>
        <v>0</v>
      </c>
      <c r="DR47">
        <f>SUMIF('Как будет'!$A101:$A108,Доп.расчеты!$A47,'Как будет'!DS101:DS108)</f>
        <v>0</v>
      </c>
      <c r="DS47">
        <f>SUMIF('Как будет'!$A101:$A108,Доп.расчеты!$A47,'Как будет'!DT101:DT108)</f>
        <v>0</v>
      </c>
      <c r="DT47">
        <f>SUMIF('Как будет'!$A101:$A108,Доп.расчеты!$A47,'Как будет'!DU101:DU108)</f>
        <v>0</v>
      </c>
      <c r="DU47">
        <f>SUMIF('Как будет'!$A101:$A108,Доп.расчеты!$A47,'Как будет'!DV101:DV108)</f>
        <v>0</v>
      </c>
      <c r="DV47">
        <f>SUMIF('Как будет'!$A101:$A108,Доп.расчеты!$A47,'Как будет'!DW101:DW108)</f>
        <v>0</v>
      </c>
      <c r="DW47">
        <f>SUMIF('Как будет'!$A101:$A108,Доп.расчеты!$A47,'Как будет'!DX101:DX108)</f>
        <v>0</v>
      </c>
      <c r="DX47">
        <f>SUMIF('Как будет'!$A101:$A108,Доп.расчеты!$A47,'Как будет'!DY101:DY108)</f>
        <v>0</v>
      </c>
      <c r="DY47">
        <f>SUMIF('Как будет'!$A101:$A108,Доп.расчеты!$A47,'Как будет'!DZ101:DZ108)</f>
        <v>0</v>
      </c>
      <c r="DZ47">
        <f>SUMIF('Как будет'!$A101:$A108,Доп.расчеты!$A47,'Как будет'!EA101:EA108)</f>
        <v>0</v>
      </c>
      <c r="EA47">
        <f>SUMIF('Как будет'!$A101:$A108,Доп.расчеты!$A47,'Как будет'!EB101:EB108)</f>
        <v>0</v>
      </c>
      <c r="EB47">
        <f>SUMIF('Как будет'!$A101:$A108,Доп.расчеты!$A47,'Как будет'!EC101:EC108)</f>
        <v>0</v>
      </c>
      <c r="EC47">
        <f>SUMIF('Как будет'!$A101:$A108,Доп.расчеты!$A47,'Как будет'!ED101:ED108)</f>
        <v>0</v>
      </c>
      <c r="ED47">
        <f>SUMIF('Как будет'!$A101:$A108,Доп.расчеты!$A47,'Как будет'!EE101:EE108)</f>
        <v>0</v>
      </c>
      <c r="EE47">
        <f>SUMIF('Как будет'!$A101:$A108,Доп.расчеты!$A47,'Как будет'!EF101:EF108)</f>
        <v>0</v>
      </c>
      <c r="EF47">
        <f>SUMIF('Как будет'!$A101:$A108,Доп.расчеты!$A47,'Как будет'!EG101:EG108)</f>
        <v>0</v>
      </c>
      <c r="EG47">
        <f>SUMIF('Как будет'!$A101:$A108,Доп.расчеты!$A47,'Как будет'!EH101:EH108)</f>
        <v>0</v>
      </c>
      <c r="EH47">
        <f>SUMIF('Как будет'!$A101:$A108,Доп.расчеты!$A47,'Как будет'!EI101:EI108)</f>
        <v>0</v>
      </c>
      <c r="EI47">
        <f>SUMIF('Как будет'!$A101:$A108,Доп.расчеты!$A47,'Как будет'!EJ101:EJ108)</f>
        <v>0</v>
      </c>
      <c r="EJ47">
        <f>SUMIF('Как будет'!$A101:$A108,Доп.расчеты!$A47,'Как будет'!EK101:EK108)</f>
        <v>0</v>
      </c>
      <c r="EK47">
        <f>SUMIF('Как будет'!$A101:$A108,Доп.расчеты!$A47,'Как будет'!EL101:EL108)</f>
        <v>0</v>
      </c>
      <c r="EL47">
        <f>SUMIF('Как будет'!$A101:$A108,Доп.расчеты!$A47,'Как будет'!EM101:EM108)</f>
        <v>0</v>
      </c>
      <c r="EM47">
        <f>SUMIF('Как будет'!$A101:$A108,Доп.расчеты!$A47,'Как будет'!EN101:EN108)</f>
        <v>0</v>
      </c>
      <c r="EN47">
        <f>SUMIF('Как будет'!$A101:$A108,Доп.расчеты!$A47,'Как будет'!EO101:EO108)</f>
        <v>0</v>
      </c>
      <c r="EO47">
        <f>SUMIF('Как будет'!$A101:$A108,Доп.расчеты!$A47,'Как будет'!EP101:EP108)</f>
        <v>0</v>
      </c>
      <c r="EP47">
        <f>SUMIF('Как будет'!$A101:$A108,Доп.расчеты!$A47,'Как будет'!EQ101:EQ108)</f>
        <v>0</v>
      </c>
      <c r="EQ47">
        <f>SUMIF('Как будет'!$A101:$A108,Доп.расчеты!$A47,'Как будет'!ER101:ER108)</f>
        <v>0</v>
      </c>
      <c r="ER47">
        <f>SUMIF('Как будет'!$A101:$A108,Доп.расчеты!$A47,'Как будет'!ES101:ES108)</f>
        <v>0</v>
      </c>
      <c r="ES47">
        <f>SUMIF('Как будет'!$A101:$A108,Доп.расчеты!$A47,'Как будет'!ET101:ET108)</f>
        <v>0</v>
      </c>
      <c r="ET47">
        <f>SUMIF('Как будет'!$A101:$A108,Доп.расчеты!$A47,'Как будет'!EU101:EU108)</f>
        <v>0</v>
      </c>
      <c r="EU47">
        <f>SUMIF('Как будет'!$A101:$A108,Доп.расчеты!$A47,'Как будет'!EV101:EV108)</f>
        <v>0</v>
      </c>
      <c r="EV47">
        <f>SUMIF('Как будет'!$A101:$A108,Доп.расчеты!$A47,'Как будет'!EW101:EW108)</f>
        <v>0</v>
      </c>
      <c r="EW47">
        <f>SUMIF('Как будет'!$A101:$A108,Доп.расчеты!$A47,'Как будет'!EX101:EX108)</f>
        <v>0</v>
      </c>
      <c r="EX47">
        <f>SUMIF('Как будет'!$A101:$A108,Доп.расчеты!$A47,'Как будет'!EY101:EY108)</f>
        <v>0</v>
      </c>
      <c r="EY47">
        <f>SUMIF('Как будет'!$A101:$A108,Доп.расчеты!$A47,'Как будет'!EZ101:EZ108)</f>
        <v>0</v>
      </c>
      <c r="EZ47">
        <f>SUMIF('Как будет'!$A101:$A108,Доп.расчеты!$A47,'Как будет'!FA101:FA108)</f>
        <v>0</v>
      </c>
      <c r="FA47">
        <f>SUMIF('Как будет'!$A101:$A108,Доп.расчеты!$A47,'Как будет'!FB101:FB108)</f>
        <v>0</v>
      </c>
      <c r="FB47">
        <f>SUMIF('Как будет'!$A101:$A108,Доп.расчеты!$A47,'Как будет'!FC101:FC108)</f>
        <v>0</v>
      </c>
      <c r="FC47">
        <f>SUMIF('Как будет'!$A101:$A108,Доп.расчеты!$A47,'Как будет'!FD101:FD108)</f>
        <v>0</v>
      </c>
      <c r="FD47">
        <f>SUMIF('Как будет'!$A101:$A108,Доп.расчеты!$A47,'Как будет'!FE101:FE108)</f>
        <v>0</v>
      </c>
      <c r="FE47">
        <f>SUMIF('Как будет'!$A101:$A108,Доп.расчеты!$A47,'Как будет'!FF101:FF108)</f>
        <v>0</v>
      </c>
      <c r="FF47">
        <f>SUMIF('Как будет'!$A101:$A108,Доп.расчеты!$A47,'Как будет'!FG101:FG108)</f>
        <v>0</v>
      </c>
      <c r="FG47">
        <f>SUMIF('Как будет'!$A101:$A108,Доп.расчеты!$A47,'Как будет'!FH101:FH108)</f>
        <v>0</v>
      </c>
      <c r="FH47">
        <f>SUMIF('Как будет'!$A101:$A108,Доп.расчеты!$A47,'Как будет'!FI101:FI108)</f>
        <v>0</v>
      </c>
      <c r="FI47">
        <f>SUMIF('Как будет'!$A101:$A108,Доп.расчеты!$A47,'Как будет'!FJ101:FJ108)</f>
        <v>0</v>
      </c>
      <c r="FJ47">
        <f>SUMIF('Как будет'!$A101:$A108,Доп.расчеты!$A47,'Как будет'!FK101:FK108)</f>
        <v>0</v>
      </c>
      <c r="FK47">
        <f>SUMIF('Как будет'!$A101:$A108,Доп.расчеты!$A47,'Как будет'!FL101:FL108)</f>
        <v>0</v>
      </c>
      <c r="FL47">
        <f>SUMIF('Как будет'!$A101:$A108,Доп.расчеты!$A47,'Как будет'!FM101:FM108)</f>
        <v>0</v>
      </c>
      <c r="FM47">
        <f>SUMIF('Как будет'!$A101:$A108,Доп.расчеты!$A47,'Как будет'!FN101:FN108)</f>
        <v>0</v>
      </c>
      <c r="FN47">
        <f>SUMIF('Как будет'!$A101:$A108,Доп.расчеты!$A47,'Как будет'!FO101:FO108)</f>
        <v>0</v>
      </c>
      <c r="FO47">
        <f>SUMIF('Как будет'!$A101:$A108,Доп.расчеты!$A47,'Как будет'!FP101:FP108)</f>
        <v>0</v>
      </c>
      <c r="FP47">
        <f>SUMIF('Как будет'!$A101:$A108,Доп.расчеты!$A47,'Как будет'!FQ101:FQ108)</f>
        <v>0</v>
      </c>
      <c r="FQ47">
        <f>SUMIF('Как будет'!$A101:$A108,Доп.расчеты!$A47,'Как будет'!FR101:FR108)</f>
        <v>0</v>
      </c>
      <c r="FR47">
        <f>SUMIF('Как будет'!$A101:$A108,Доп.расчеты!$A47,'Как будет'!FS101:FS108)</f>
        <v>0</v>
      </c>
      <c r="FS47">
        <f>SUMIF('Как будет'!$A101:$A108,Доп.расчеты!$A47,'Как будет'!FT101:FT108)</f>
        <v>0</v>
      </c>
      <c r="FT47">
        <f>SUMIF('Как будет'!$A101:$A108,Доп.расчеты!$A47,'Как будет'!FU101:FU108)</f>
        <v>0</v>
      </c>
      <c r="FU47">
        <f>SUMIF('Как будет'!$A101:$A108,Доп.расчеты!$A47,'Как будет'!FV101:FV108)</f>
        <v>0</v>
      </c>
      <c r="FV47">
        <f>SUMIF('Как будет'!$A101:$A108,Доп.расчеты!$A47,'Как будет'!FW101:FW108)</f>
        <v>0</v>
      </c>
      <c r="FW47">
        <f>SUMIF('Как будет'!$A101:$A108,Доп.расчеты!$A47,'Как будет'!FX101:FX108)</f>
        <v>0</v>
      </c>
      <c r="FX47">
        <f>SUMIF('Как будет'!$A101:$A108,Доп.расчеты!$A47,'Как будет'!FY101:FY108)</f>
        <v>0</v>
      </c>
      <c r="FY47">
        <f>SUMIF('Как будет'!$A101:$A108,Доп.расчеты!$A47,'Как будет'!FZ101:FZ108)</f>
        <v>0</v>
      </c>
      <c r="FZ47">
        <f>SUMIF('Как будет'!$A101:$A108,Доп.расчеты!$A47,'Как будет'!GA101:GA108)</f>
        <v>0</v>
      </c>
      <c r="GA47">
        <f>SUMIF('Как будет'!$A101:$A108,Доп.расчеты!$A47,'Как будет'!GB101:GB108)</f>
        <v>0</v>
      </c>
      <c r="GB47">
        <f>SUMIF('Как будет'!$A101:$A108,Доп.расчеты!$A47,'Как будет'!GC101:GC108)</f>
        <v>0</v>
      </c>
      <c r="GC47">
        <f>SUMIF('Как будет'!$A101:$A108,Доп.расчеты!$A47,'Как будет'!GD101:GD108)</f>
        <v>0</v>
      </c>
      <c r="GD47">
        <f>SUMIF('Как будет'!$A101:$A108,Доп.расчеты!$A47,'Как будет'!GE101:GE108)</f>
        <v>0</v>
      </c>
      <c r="GE47">
        <f>SUMIF('Как будет'!$A101:$A108,Доп.расчеты!$A47,'Как будет'!GF101:GF108)</f>
        <v>0</v>
      </c>
      <c r="GF47">
        <f>SUMIF('Как будет'!$A101:$A108,Доп.расчеты!$A47,'Как будет'!GG101:GG108)</f>
        <v>0</v>
      </c>
      <c r="GG47">
        <f>SUMIF('Как будет'!$A101:$A108,Доп.расчеты!$A47,'Как будет'!GH101:GH108)</f>
        <v>0</v>
      </c>
      <c r="GH47">
        <f>SUMIF('Как будет'!$A101:$A108,Доп.расчеты!$A47,'Как будет'!GI101:GI108)</f>
        <v>0</v>
      </c>
      <c r="GI47">
        <f>SUMIF('Как будет'!$A101:$A108,Доп.расчеты!$A47,'Как будет'!GJ101:GJ108)</f>
        <v>0</v>
      </c>
      <c r="GJ47">
        <f>SUMIF('Как будет'!$A101:$A108,Доп.расчеты!$A47,'Как будет'!GK101:GK108)</f>
        <v>0</v>
      </c>
      <c r="GK47">
        <f>SUMIF('Как будет'!$A101:$A108,Доп.расчеты!$A47,'Как будет'!GL101:GL108)</f>
        <v>0</v>
      </c>
      <c r="GL47">
        <f>SUMIF('Как будет'!$A101:$A108,Доп.расчеты!$A47,'Как будет'!GM101:GM108)</f>
        <v>0</v>
      </c>
      <c r="GM47">
        <f>SUMIF('Как будет'!$A101:$A108,Доп.расчеты!$A47,'Как будет'!GN101:GN108)</f>
        <v>0</v>
      </c>
      <c r="GN47">
        <f>SUMIF('Как будет'!$A101:$A108,Доп.расчеты!$A47,'Как будет'!GO101:GO108)</f>
        <v>0</v>
      </c>
      <c r="GO47">
        <f>SUMIF('Как будет'!$A101:$A108,Доп.расчеты!$A47,'Как будет'!GP101:GP108)</f>
        <v>0</v>
      </c>
      <c r="GP47">
        <f>SUMIF('Как будет'!$A101:$A108,Доп.расчеты!$A47,'Как будет'!GQ101:GQ108)</f>
        <v>0</v>
      </c>
      <c r="GQ47">
        <f>SUMIF('Как будет'!$A101:$A108,Доп.расчеты!$A47,'Как будет'!GR101:GR108)</f>
        <v>0</v>
      </c>
      <c r="GR47">
        <f>SUMIF('Как будет'!$A101:$A108,Доп.расчеты!$A47,'Как будет'!GS101:GS108)</f>
        <v>0</v>
      </c>
      <c r="GS47">
        <f>SUMIF('Как будет'!$A101:$A108,Доп.расчеты!$A47,'Как будет'!GT101:GT108)</f>
        <v>0</v>
      </c>
      <c r="GT47">
        <f>SUMIF('Как будет'!$A101:$A108,Доп.расчеты!$A47,'Как будет'!GU101:GU108)</f>
        <v>0</v>
      </c>
    </row>
    <row r="48" spans="1:202">
      <c r="A48" s="236"/>
    </row>
    <row r="49" spans="1:202">
      <c r="A49" s="236"/>
    </row>
    <row r="50" spans="1:202">
      <c r="A50" s="57" t="s">
        <v>246</v>
      </c>
    </row>
    <row r="51" spans="1:202">
      <c r="A51" s="237" t="s">
        <v>88</v>
      </c>
      <c r="B51">
        <f>SUMIF('Как есть'!$A$73:$A$80,Доп.расчеты!$A51,'Как есть'!C$73:C$80)</f>
        <v>0</v>
      </c>
      <c r="C51">
        <f>SUMIF('Как есть'!$A$73:$A$80,Доп.расчеты!$A51,'Как есть'!D$73:D$80)</f>
        <v>0</v>
      </c>
      <c r="D51">
        <f>SUMIF('Как есть'!$A$73:$A$80,Доп.расчеты!$A51,'Как есть'!E$73:E$80)</f>
        <v>0</v>
      </c>
      <c r="E51">
        <f>SUMIF('Как есть'!$A$73:$A$80,Доп.расчеты!$A51,'Как есть'!F$73:F$80)</f>
        <v>0</v>
      </c>
      <c r="F51">
        <f>SUMIF('Как есть'!$A$73:$A$80,Доп.расчеты!$A51,'Как есть'!G$73:G$80)</f>
        <v>0</v>
      </c>
      <c r="G51">
        <f>SUMIF('Как есть'!$A$73:$A$80,Доп.расчеты!$A51,'Как есть'!H$73:H$80)</f>
        <v>0</v>
      </c>
      <c r="H51">
        <f>SUMIF('Как есть'!$A$73:$A$80,Доп.расчеты!$A51,'Как есть'!I$73:I$80)</f>
        <v>0</v>
      </c>
      <c r="I51">
        <f>SUMIF('Как есть'!$A$73:$A$80,Доп.расчеты!$A51,'Как есть'!J$73:J$80)</f>
        <v>0</v>
      </c>
      <c r="J51">
        <f>SUMIF('Как есть'!$A$73:$A$80,Доп.расчеты!$A51,'Как есть'!K$73:K$80)</f>
        <v>0</v>
      </c>
      <c r="K51">
        <f>SUMIF('Как есть'!$A$73:$A$80,Доп.расчеты!$A51,'Как есть'!L$73:L$80)</f>
        <v>0</v>
      </c>
      <c r="L51">
        <f>SUMIF('Как есть'!$A$73:$A$80,Доп.расчеты!$A51,'Как есть'!M$73:M$80)</f>
        <v>0</v>
      </c>
      <c r="M51">
        <f>SUMIF('Как есть'!$A$73:$A$80,Доп.расчеты!$A51,'Как есть'!N$73:N$80)</f>
        <v>0</v>
      </c>
      <c r="N51">
        <f>SUMIF('Как есть'!$A$73:$A$80,Доп.расчеты!$A51,'Как есть'!O$73:O$80)</f>
        <v>0</v>
      </c>
      <c r="O51">
        <f>SUMIF('Как есть'!$A$73:$A$80,Доп.расчеты!$A51,'Как есть'!P$73:P$80)</f>
        <v>0</v>
      </c>
      <c r="P51">
        <f>SUMIF('Как есть'!$A$73:$A$80,Доп.расчеты!$A51,'Как есть'!Q$73:Q$80)</f>
        <v>0</v>
      </c>
      <c r="Q51">
        <f>SUMIF('Как есть'!$A$73:$A$80,Доп.расчеты!$A51,'Как есть'!R$73:R$80)</f>
        <v>0</v>
      </c>
      <c r="R51">
        <f>SUMIF('Как есть'!$A$73:$A$80,Доп.расчеты!$A51,'Как есть'!S$73:S$80)</f>
        <v>0</v>
      </c>
      <c r="S51">
        <f>SUMIF('Как есть'!$A$73:$A$80,Доп.расчеты!$A51,'Как есть'!T$73:T$80)</f>
        <v>0</v>
      </c>
      <c r="T51">
        <f>SUMIF('Как есть'!$A$73:$A$80,Доп.расчеты!$A51,'Как есть'!U$73:U$80)</f>
        <v>0</v>
      </c>
      <c r="U51">
        <f>SUMIF('Как есть'!$A$73:$A$80,Доп.расчеты!$A51,'Как есть'!V$73:V$80)</f>
        <v>0</v>
      </c>
      <c r="V51">
        <f>SUMIF('Как есть'!$A$73:$A$80,Доп.расчеты!$A51,'Как есть'!W$73:W$80)</f>
        <v>0</v>
      </c>
      <c r="W51">
        <f>SUMIF('Как есть'!$A$73:$A$80,Доп.расчеты!$A51,'Как есть'!X$73:X$80)</f>
        <v>0</v>
      </c>
      <c r="X51">
        <f>SUMIF('Как есть'!$A$73:$A$80,Доп.расчеты!$A51,'Как есть'!Y$73:Y$80)</f>
        <v>0</v>
      </c>
      <c r="Y51">
        <f>SUMIF('Как есть'!$A$73:$A$80,Доп.расчеты!$A51,'Как есть'!Z$73:Z$80)</f>
        <v>0</v>
      </c>
      <c r="Z51">
        <f>SUMIF('Как есть'!$A$73:$A$80,Доп.расчеты!$A51,'Как есть'!AA$73:AA$80)</f>
        <v>0</v>
      </c>
      <c r="AA51">
        <f>SUMIF('Как есть'!$A$73:$A$80,Доп.расчеты!$A51,'Как есть'!AB$73:AB$80)</f>
        <v>0</v>
      </c>
      <c r="AB51">
        <f>SUMIF('Как есть'!$A$73:$A$80,Доп.расчеты!$A51,'Как есть'!AC$73:AC$80)</f>
        <v>0</v>
      </c>
      <c r="AC51">
        <f>SUMIF('Как есть'!$A$73:$A$80,Доп.расчеты!$A51,'Как есть'!AD$73:AD$80)</f>
        <v>0</v>
      </c>
      <c r="AD51">
        <f>SUMIF('Как есть'!$A$73:$A$80,Доп.расчеты!$A51,'Как есть'!AE$73:AE$80)</f>
        <v>0</v>
      </c>
      <c r="AE51">
        <f>SUMIF('Как есть'!$A$73:$A$80,Доп.расчеты!$A51,'Как есть'!AF$73:AF$80)</f>
        <v>0</v>
      </c>
      <c r="AF51">
        <f>SUMIF('Как есть'!$A$73:$A$80,Доп.расчеты!$A51,'Как есть'!AG$73:AG$80)</f>
        <v>0</v>
      </c>
      <c r="AG51">
        <f>SUMIF('Как есть'!$A$73:$A$80,Доп.расчеты!$A51,'Как есть'!AH$73:AH$80)</f>
        <v>0</v>
      </c>
      <c r="AH51">
        <f>SUMIF('Как есть'!$A$73:$A$80,Доп.расчеты!$A51,'Как есть'!AI$73:AI$80)</f>
        <v>0</v>
      </c>
      <c r="AI51">
        <f>SUMIF('Как есть'!$A$73:$A$80,Доп.расчеты!$A51,'Как есть'!AJ$73:AJ$80)</f>
        <v>0</v>
      </c>
      <c r="AJ51">
        <f>SUMIF('Как есть'!$A$73:$A$80,Доп.расчеты!$A51,'Как есть'!AK$73:AK$80)</f>
        <v>0</v>
      </c>
      <c r="AK51">
        <f>SUMIF('Как есть'!$A$73:$A$80,Доп.расчеты!$A51,'Как есть'!AL$73:AL$80)</f>
        <v>0</v>
      </c>
      <c r="AL51">
        <f>SUMIF('Как есть'!$A$73:$A$80,Доп.расчеты!$A51,'Как есть'!AM$73:AM$80)</f>
        <v>0</v>
      </c>
      <c r="AM51">
        <f>SUMIF('Как есть'!$A$73:$A$80,Доп.расчеты!$A51,'Как есть'!AN$73:AN$80)</f>
        <v>0</v>
      </c>
      <c r="AN51">
        <f>SUMIF('Как есть'!$A$73:$A$80,Доп.расчеты!$A51,'Как есть'!AO$73:AO$80)</f>
        <v>0</v>
      </c>
      <c r="AO51">
        <f>SUMIF('Как есть'!$A$73:$A$80,Доп.расчеты!$A51,'Как есть'!AP$73:AP$80)</f>
        <v>0</v>
      </c>
      <c r="AP51">
        <f>SUMIF('Как есть'!$A$73:$A$80,Доп.расчеты!$A51,'Как есть'!AQ$73:AQ$80)</f>
        <v>0</v>
      </c>
      <c r="AQ51">
        <f>SUMIF('Как есть'!$A$73:$A$80,Доп.расчеты!$A51,'Как есть'!AR$73:AR$80)</f>
        <v>0</v>
      </c>
      <c r="AR51">
        <f>SUMIF('Как есть'!$A$73:$A$80,Доп.расчеты!$A51,'Как есть'!AS$73:AS$80)</f>
        <v>0</v>
      </c>
      <c r="AS51">
        <f>SUMIF('Как есть'!$A$73:$A$80,Доп.расчеты!$A51,'Как есть'!AT$73:AT$80)</f>
        <v>0</v>
      </c>
      <c r="AT51">
        <f>SUMIF('Как есть'!$A$73:$A$80,Доп.расчеты!$A51,'Как есть'!AU$73:AU$80)</f>
        <v>0</v>
      </c>
      <c r="AU51">
        <f>SUMIF('Как есть'!$A$73:$A$80,Доп.расчеты!$A51,'Как есть'!AV$73:AV$80)</f>
        <v>0</v>
      </c>
      <c r="AV51">
        <f>SUMIF('Как есть'!$A$73:$A$80,Доп.расчеты!$A51,'Как есть'!AW$73:AW$80)</f>
        <v>0</v>
      </c>
      <c r="AW51">
        <f>SUMIF('Как есть'!$A$73:$A$80,Доп.расчеты!$A51,'Как есть'!AX$73:AX$80)</f>
        <v>0</v>
      </c>
      <c r="AX51">
        <f>SUMIF('Как есть'!$A$73:$A$80,Доп.расчеты!$A51,'Как есть'!AY$73:AY$80)</f>
        <v>0</v>
      </c>
      <c r="AY51">
        <f>SUMIF('Как есть'!$A$73:$A$80,Доп.расчеты!$A51,'Как есть'!AZ$73:AZ$80)</f>
        <v>0</v>
      </c>
      <c r="AZ51">
        <f>SUMIF('Как есть'!$A$73:$A$80,Доп.расчеты!$A51,'Как есть'!BA$73:BA$80)</f>
        <v>0</v>
      </c>
      <c r="BA51">
        <f>SUMIF('Как есть'!$A$73:$A$80,Доп.расчеты!$A51,'Как есть'!BB$73:BB$80)</f>
        <v>0</v>
      </c>
      <c r="BB51">
        <f>SUMIF('Как есть'!$A$73:$A$80,Доп.расчеты!$A51,'Как есть'!BC$73:BC$80)</f>
        <v>0</v>
      </c>
      <c r="BC51">
        <f>SUMIF('Как есть'!$A$73:$A$80,Доп.расчеты!$A51,'Как есть'!BD$73:BD$80)</f>
        <v>0</v>
      </c>
      <c r="BD51">
        <f>SUMIF('Как есть'!$A$73:$A$80,Доп.расчеты!$A51,'Как есть'!BE$73:BE$80)</f>
        <v>0</v>
      </c>
      <c r="BE51">
        <f>SUMIF('Как есть'!$A$73:$A$80,Доп.расчеты!$A51,'Как есть'!BF$73:BF$80)</f>
        <v>0</v>
      </c>
      <c r="BF51">
        <f>SUMIF('Как есть'!$A$73:$A$80,Доп.расчеты!$A51,'Как есть'!BG$73:BG$80)</f>
        <v>0</v>
      </c>
      <c r="BG51">
        <f>SUMIF('Как есть'!$A$73:$A$80,Доп.расчеты!$A51,'Как есть'!BH$73:BH$80)</f>
        <v>0</v>
      </c>
      <c r="BH51">
        <f>SUMIF('Как есть'!$A$73:$A$80,Доп.расчеты!$A51,'Как есть'!BI$73:BI$80)</f>
        <v>0</v>
      </c>
      <c r="BI51">
        <f>SUMIF('Как есть'!$A$73:$A$80,Доп.расчеты!$A51,'Как есть'!BJ$73:BJ$80)</f>
        <v>0</v>
      </c>
      <c r="BJ51">
        <f>SUMIF('Как есть'!$A$73:$A$80,Доп.расчеты!$A51,'Как есть'!BK$73:BK$80)</f>
        <v>0</v>
      </c>
      <c r="BK51">
        <f>SUMIF('Как есть'!$A$73:$A$80,Доп.расчеты!$A51,'Как есть'!BL$73:BL$80)</f>
        <v>0</v>
      </c>
      <c r="BL51">
        <f>SUMIF('Как есть'!$A$73:$A$80,Доп.расчеты!$A51,'Как есть'!BM$73:BM$80)</f>
        <v>0</v>
      </c>
      <c r="BM51">
        <f>SUMIF('Как есть'!$A$73:$A$80,Доп.расчеты!$A51,'Как есть'!BN$73:BN$80)</f>
        <v>0</v>
      </c>
      <c r="BN51">
        <f>SUMIF('Как есть'!$A$73:$A$80,Доп.расчеты!$A51,'Как есть'!BO$73:BO$80)</f>
        <v>0</v>
      </c>
      <c r="BO51">
        <f>SUMIF('Как есть'!$A$73:$A$80,Доп.расчеты!$A51,'Как есть'!BP$73:BP$80)</f>
        <v>0</v>
      </c>
      <c r="BP51">
        <f>SUMIF('Как есть'!$A$73:$A$80,Доп.расчеты!$A51,'Как есть'!BQ$73:BQ$80)</f>
        <v>0</v>
      </c>
      <c r="BQ51">
        <f>SUMIF('Как есть'!$A$73:$A$80,Доп.расчеты!$A51,'Как есть'!BR$73:BR$80)</f>
        <v>0</v>
      </c>
      <c r="BR51">
        <f>SUMIF('Как есть'!$A$73:$A$80,Доп.расчеты!$A51,'Как есть'!BS$73:BS$80)</f>
        <v>0</v>
      </c>
      <c r="BS51">
        <f>SUMIF('Как есть'!$A$73:$A$80,Доп.расчеты!$A51,'Как есть'!BT$73:BT$80)</f>
        <v>0</v>
      </c>
      <c r="BT51">
        <f>SUMIF('Как есть'!$A$73:$A$80,Доп.расчеты!$A51,'Как есть'!BU$73:BU$80)</f>
        <v>0</v>
      </c>
      <c r="BU51">
        <f>SUMIF('Как есть'!$A$73:$A$80,Доп.расчеты!$A51,'Как есть'!BV$73:BV$80)</f>
        <v>0</v>
      </c>
      <c r="BV51">
        <f>SUMIF('Как есть'!$A$73:$A$80,Доп.расчеты!$A51,'Как есть'!BW$73:BW$80)</f>
        <v>0</v>
      </c>
      <c r="BW51">
        <f>SUMIF('Как есть'!$A$73:$A$80,Доп.расчеты!$A51,'Как есть'!BX$73:BX$80)</f>
        <v>0</v>
      </c>
      <c r="BX51">
        <f>SUMIF('Как есть'!$A$73:$A$80,Доп.расчеты!$A51,'Как есть'!BY$73:BY$80)</f>
        <v>0</v>
      </c>
      <c r="BY51">
        <f>SUMIF('Как есть'!$A$73:$A$80,Доп.расчеты!$A51,'Как есть'!BZ$73:BZ$80)</f>
        <v>0</v>
      </c>
      <c r="BZ51">
        <f>SUMIF('Как есть'!$A$73:$A$80,Доп.расчеты!$A51,'Как есть'!CA$73:CA$80)</f>
        <v>0</v>
      </c>
      <c r="CA51">
        <f>SUMIF('Как есть'!$A$73:$A$80,Доп.расчеты!$A51,'Как есть'!CB$73:CB$80)</f>
        <v>0</v>
      </c>
      <c r="CB51">
        <f>SUMIF('Как есть'!$A$73:$A$80,Доп.расчеты!$A51,'Как есть'!CC$73:CC$80)</f>
        <v>0</v>
      </c>
      <c r="CC51">
        <f>SUMIF('Как есть'!$A$73:$A$80,Доп.расчеты!$A51,'Как есть'!CD$73:CD$80)</f>
        <v>0</v>
      </c>
      <c r="CD51">
        <f>SUMIF('Как есть'!$A$73:$A$80,Доп.расчеты!$A51,'Как есть'!CE$73:CE$80)</f>
        <v>0</v>
      </c>
      <c r="CE51">
        <f>SUMIF('Как есть'!$A$73:$A$80,Доп.расчеты!$A51,'Как есть'!CF$73:CF$80)</f>
        <v>0</v>
      </c>
      <c r="CF51">
        <f>SUMIF('Как есть'!$A$73:$A$80,Доп.расчеты!$A51,'Как есть'!CG$73:CG$80)</f>
        <v>0</v>
      </c>
      <c r="CG51">
        <f>SUMIF('Как есть'!$A$73:$A$80,Доп.расчеты!$A51,'Как есть'!CH$73:CH$80)</f>
        <v>0</v>
      </c>
      <c r="CH51">
        <f>SUMIF('Как есть'!$A$73:$A$80,Доп.расчеты!$A51,'Как есть'!CI$73:CI$80)</f>
        <v>0</v>
      </c>
      <c r="CI51">
        <f>SUMIF('Как есть'!$A$73:$A$80,Доп.расчеты!$A51,'Как есть'!CJ$73:CJ$80)</f>
        <v>0</v>
      </c>
      <c r="CJ51">
        <f>SUMIF('Как есть'!$A$73:$A$80,Доп.расчеты!$A51,'Как есть'!CK$73:CK$80)</f>
        <v>0</v>
      </c>
      <c r="CK51">
        <f>SUMIF('Как есть'!$A$73:$A$80,Доп.расчеты!$A51,'Как есть'!CL$73:CL$80)</f>
        <v>0</v>
      </c>
      <c r="CL51">
        <f>SUMIF('Как есть'!$A$73:$A$80,Доп.расчеты!$A51,'Как есть'!CM$73:CM$80)</f>
        <v>0</v>
      </c>
      <c r="CM51">
        <f>SUMIF('Как есть'!$A$73:$A$80,Доп.расчеты!$A51,'Как есть'!CN$73:CN$80)</f>
        <v>0</v>
      </c>
      <c r="CN51">
        <f>SUMIF('Как есть'!$A$73:$A$80,Доп.расчеты!$A51,'Как есть'!CO$73:CO$80)</f>
        <v>0</v>
      </c>
      <c r="CO51">
        <f>SUMIF('Как есть'!$A$73:$A$80,Доп.расчеты!$A51,'Как есть'!CP$73:CP$80)</f>
        <v>0</v>
      </c>
      <c r="CP51">
        <f>SUMIF('Как есть'!$A$73:$A$80,Доп.расчеты!$A51,'Как есть'!CQ$73:CQ$80)</f>
        <v>0</v>
      </c>
      <c r="CQ51">
        <f>SUMIF('Как есть'!$A$73:$A$80,Доп.расчеты!$A51,'Как есть'!CR$73:CR$80)</f>
        <v>0</v>
      </c>
      <c r="CR51">
        <f>SUMIF('Как есть'!$A$73:$A$80,Доп.расчеты!$A51,'Как есть'!CS$73:CS$80)</f>
        <v>0</v>
      </c>
      <c r="CS51">
        <f>SUMIF('Как есть'!$A$73:$A$80,Доп.расчеты!$A51,'Как есть'!CT$73:CT$80)</f>
        <v>0</v>
      </c>
      <c r="CT51">
        <f>SUMIF('Как есть'!$A$73:$A$80,Доп.расчеты!$A51,'Как есть'!CU$73:CU$80)</f>
        <v>0</v>
      </c>
      <c r="CU51">
        <f>SUMIF('Как есть'!$A$73:$A$80,Доп.расчеты!$A51,'Как есть'!CV$73:CV$80)</f>
        <v>0</v>
      </c>
      <c r="CV51">
        <f>SUMIF('Как есть'!$A$73:$A$80,Доп.расчеты!$A51,'Как есть'!CW$73:CW$80)</f>
        <v>0</v>
      </c>
      <c r="CW51">
        <f>SUMIF('Как есть'!$A$73:$A$80,Доп.расчеты!$A51,'Как есть'!CX$73:CX$80)</f>
        <v>0</v>
      </c>
      <c r="CX51">
        <f>SUMIF('Как есть'!$A$73:$A$80,Доп.расчеты!$A51,'Как есть'!CY$73:CY$80)</f>
        <v>0</v>
      </c>
      <c r="CY51">
        <f>SUMIF('Как есть'!$A$73:$A$80,Доп.расчеты!$A51,'Как есть'!CZ$73:CZ$80)</f>
        <v>0</v>
      </c>
      <c r="CZ51">
        <f>SUMIF('Как есть'!$A$73:$A$80,Доп.расчеты!$A51,'Как есть'!DA$73:DA$80)</f>
        <v>0</v>
      </c>
      <c r="DA51">
        <f>SUMIF('Как есть'!$A$73:$A$80,Доп.расчеты!$A51,'Как есть'!DB$73:DB$80)</f>
        <v>0</v>
      </c>
      <c r="DB51">
        <f>SUMIF('Как есть'!$A$73:$A$80,Доп.расчеты!$A51,'Как есть'!DC$73:DC$80)</f>
        <v>0</v>
      </c>
      <c r="DC51">
        <f>SUMIF('Как есть'!$A$73:$A$80,Доп.расчеты!$A51,'Как есть'!DD$73:DD$80)</f>
        <v>0</v>
      </c>
      <c r="DD51">
        <f>SUMIF('Как есть'!$A$73:$A$80,Доп.расчеты!$A51,'Как есть'!DE$73:DE$80)</f>
        <v>0</v>
      </c>
      <c r="DE51">
        <f>SUMIF('Как есть'!$A$73:$A$80,Доп.расчеты!$A51,'Как есть'!DF$73:DF$80)</f>
        <v>0</v>
      </c>
      <c r="DF51">
        <f>SUMIF('Как есть'!$A$73:$A$80,Доп.расчеты!$A51,'Как есть'!DG$73:DG$80)</f>
        <v>0</v>
      </c>
      <c r="DG51">
        <f>SUMIF('Как есть'!$A$73:$A$80,Доп.расчеты!$A51,'Как есть'!DH$73:DH$80)</f>
        <v>0</v>
      </c>
      <c r="DH51">
        <f>SUMIF('Как есть'!$A$73:$A$80,Доп.расчеты!$A51,'Как есть'!DI$73:DI$80)</f>
        <v>0</v>
      </c>
      <c r="DI51">
        <f>SUMIF('Как есть'!$A$73:$A$80,Доп.расчеты!$A51,'Как есть'!DJ$73:DJ$80)</f>
        <v>0</v>
      </c>
      <c r="DJ51">
        <f>SUMIF('Как есть'!$A$73:$A$80,Доп.расчеты!$A51,'Как есть'!DK$73:DK$80)</f>
        <v>0</v>
      </c>
      <c r="DK51">
        <f>SUMIF('Как есть'!$A$73:$A$80,Доп.расчеты!$A51,'Как есть'!DL$73:DL$80)</f>
        <v>0</v>
      </c>
      <c r="DL51">
        <f>SUMIF('Как есть'!$A$73:$A$80,Доп.расчеты!$A51,'Как есть'!DM$73:DM$80)</f>
        <v>0</v>
      </c>
      <c r="DM51">
        <f>SUMIF('Как есть'!$A$73:$A$80,Доп.расчеты!$A51,'Как есть'!DN$73:DN$80)</f>
        <v>0</v>
      </c>
      <c r="DN51">
        <f>SUMIF('Как есть'!$A$73:$A$80,Доп.расчеты!$A51,'Как есть'!DO$73:DO$80)</f>
        <v>0</v>
      </c>
      <c r="DO51">
        <f>SUMIF('Как есть'!$A$73:$A$80,Доп.расчеты!$A51,'Как есть'!DP$73:DP$80)</f>
        <v>0</v>
      </c>
      <c r="DP51">
        <f>SUMIF('Как есть'!$A$73:$A$80,Доп.расчеты!$A51,'Как есть'!DQ$73:DQ$80)</f>
        <v>0</v>
      </c>
      <c r="DQ51">
        <f>SUMIF('Как есть'!$A$73:$A$80,Доп.расчеты!$A51,'Как есть'!DR$73:DR$80)</f>
        <v>0</v>
      </c>
      <c r="DR51">
        <f>SUMIF('Как есть'!$A$73:$A$80,Доп.расчеты!$A51,'Как есть'!DS$73:DS$80)</f>
        <v>0</v>
      </c>
      <c r="DS51">
        <f>SUMIF('Как есть'!$A$73:$A$80,Доп.расчеты!$A51,'Как есть'!DT$73:DT$80)</f>
        <v>0</v>
      </c>
      <c r="DT51">
        <f>SUMIF('Как есть'!$A$73:$A$80,Доп.расчеты!$A51,'Как есть'!DU$73:DU$80)</f>
        <v>0</v>
      </c>
      <c r="DU51">
        <f>SUMIF('Как есть'!$A$73:$A$80,Доп.расчеты!$A51,'Как есть'!DV$73:DV$80)</f>
        <v>0</v>
      </c>
      <c r="DV51">
        <f>SUMIF('Как есть'!$A$73:$A$80,Доп.расчеты!$A51,'Как есть'!DW$73:DW$80)</f>
        <v>0</v>
      </c>
      <c r="DW51">
        <f>SUMIF('Как есть'!$A$73:$A$80,Доп.расчеты!$A51,'Как есть'!DX$73:DX$80)</f>
        <v>0</v>
      </c>
      <c r="DX51">
        <f>SUMIF('Как есть'!$A$73:$A$80,Доп.расчеты!$A51,'Как есть'!DY$73:DY$80)</f>
        <v>0</v>
      </c>
      <c r="DY51">
        <f>SUMIF('Как есть'!$A$73:$A$80,Доп.расчеты!$A51,'Как есть'!DZ$73:DZ$80)</f>
        <v>0</v>
      </c>
      <c r="DZ51">
        <f>SUMIF('Как есть'!$A$73:$A$80,Доп.расчеты!$A51,'Как есть'!EA$73:EA$80)</f>
        <v>0</v>
      </c>
      <c r="EA51">
        <f>SUMIF('Как есть'!$A$73:$A$80,Доп.расчеты!$A51,'Как есть'!EB$73:EB$80)</f>
        <v>0</v>
      </c>
      <c r="EB51">
        <f>SUMIF('Как есть'!$A$73:$A$80,Доп.расчеты!$A51,'Как есть'!EC$73:EC$80)</f>
        <v>0</v>
      </c>
      <c r="EC51">
        <f>SUMIF('Как есть'!$A$73:$A$80,Доп.расчеты!$A51,'Как есть'!ED$73:ED$80)</f>
        <v>0</v>
      </c>
      <c r="ED51">
        <f>SUMIF('Как есть'!$A$73:$A$80,Доп.расчеты!$A51,'Как есть'!EE$73:EE$80)</f>
        <v>0</v>
      </c>
      <c r="EE51">
        <f>SUMIF('Как есть'!$A$73:$A$80,Доп.расчеты!$A51,'Как есть'!EF$73:EF$80)</f>
        <v>0</v>
      </c>
      <c r="EF51">
        <f>SUMIF('Как есть'!$A$73:$A$80,Доп.расчеты!$A51,'Как есть'!EG$73:EG$80)</f>
        <v>0</v>
      </c>
      <c r="EG51">
        <f>SUMIF('Как есть'!$A$73:$A$80,Доп.расчеты!$A51,'Как есть'!EH$73:EH$80)</f>
        <v>0</v>
      </c>
      <c r="EH51">
        <f>SUMIF('Как есть'!$A$73:$A$80,Доп.расчеты!$A51,'Как есть'!EI$73:EI$80)</f>
        <v>0</v>
      </c>
      <c r="EI51">
        <f>SUMIF('Как есть'!$A$73:$A$80,Доп.расчеты!$A51,'Как есть'!EJ$73:EJ$80)</f>
        <v>0</v>
      </c>
      <c r="EJ51">
        <f>SUMIF('Как есть'!$A$73:$A$80,Доп.расчеты!$A51,'Как есть'!EK$73:EK$80)</f>
        <v>0</v>
      </c>
      <c r="EK51">
        <f>SUMIF('Как есть'!$A$73:$A$80,Доп.расчеты!$A51,'Как есть'!EL$73:EL$80)</f>
        <v>0</v>
      </c>
      <c r="EL51">
        <f>SUMIF('Как есть'!$A$73:$A$80,Доп.расчеты!$A51,'Как есть'!EM$73:EM$80)</f>
        <v>0</v>
      </c>
      <c r="EM51">
        <f>SUMIF('Как есть'!$A$73:$A$80,Доп.расчеты!$A51,'Как есть'!EN$73:EN$80)</f>
        <v>0</v>
      </c>
      <c r="EN51">
        <f>SUMIF('Как есть'!$A$73:$A$80,Доп.расчеты!$A51,'Как есть'!EO$73:EO$80)</f>
        <v>0</v>
      </c>
      <c r="EO51">
        <f>SUMIF('Как есть'!$A$73:$A$80,Доп.расчеты!$A51,'Как есть'!EP$73:EP$80)</f>
        <v>0</v>
      </c>
      <c r="EP51">
        <f>SUMIF('Как есть'!$A$73:$A$80,Доп.расчеты!$A51,'Как есть'!EQ$73:EQ$80)</f>
        <v>0</v>
      </c>
      <c r="EQ51">
        <f>SUMIF('Как есть'!$A$73:$A$80,Доп.расчеты!$A51,'Как есть'!ER$73:ER$80)</f>
        <v>0</v>
      </c>
      <c r="ER51">
        <f>SUMIF('Как есть'!$A$73:$A$80,Доп.расчеты!$A51,'Как есть'!ES$73:ES$80)</f>
        <v>0</v>
      </c>
      <c r="ES51">
        <f>SUMIF('Как есть'!$A$73:$A$80,Доп.расчеты!$A51,'Как есть'!ET$73:ET$80)</f>
        <v>0</v>
      </c>
      <c r="ET51">
        <f>SUMIF('Как есть'!$A$73:$A$80,Доп.расчеты!$A51,'Как есть'!EU$73:EU$80)</f>
        <v>0</v>
      </c>
      <c r="EU51">
        <f>SUMIF('Как есть'!$A$73:$A$80,Доп.расчеты!$A51,'Как есть'!EV$73:EV$80)</f>
        <v>0</v>
      </c>
      <c r="EV51">
        <f>SUMIF('Как есть'!$A$73:$A$80,Доп.расчеты!$A51,'Как есть'!EW$73:EW$80)</f>
        <v>0</v>
      </c>
      <c r="EW51">
        <f>SUMIF('Как есть'!$A$73:$A$80,Доп.расчеты!$A51,'Как есть'!EX$73:EX$80)</f>
        <v>0</v>
      </c>
      <c r="EX51">
        <f>SUMIF('Как есть'!$A$73:$A$80,Доп.расчеты!$A51,'Как есть'!EY$73:EY$80)</f>
        <v>0</v>
      </c>
      <c r="EY51">
        <f>SUMIF('Как есть'!$A$73:$A$80,Доп.расчеты!$A51,'Как есть'!EZ$73:EZ$80)</f>
        <v>0</v>
      </c>
      <c r="EZ51">
        <f>SUMIF('Как есть'!$A$73:$A$80,Доп.расчеты!$A51,'Как есть'!FA$73:FA$80)</f>
        <v>0</v>
      </c>
      <c r="FA51">
        <f>SUMIF('Как есть'!$A$73:$A$80,Доп.расчеты!$A51,'Как есть'!FB$73:FB$80)</f>
        <v>0</v>
      </c>
      <c r="FB51">
        <f>SUMIF('Как есть'!$A$73:$A$80,Доп.расчеты!$A51,'Как есть'!FC$73:FC$80)</f>
        <v>0</v>
      </c>
      <c r="FC51">
        <f>SUMIF('Как есть'!$A$73:$A$80,Доп.расчеты!$A51,'Как есть'!FD$73:FD$80)</f>
        <v>0</v>
      </c>
      <c r="FD51">
        <f>SUMIF('Как есть'!$A$73:$A$80,Доп.расчеты!$A51,'Как есть'!FE$73:FE$80)</f>
        <v>0</v>
      </c>
      <c r="FE51">
        <f>SUMIF('Как есть'!$A$73:$A$80,Доп.расчеты!$A51,'Как есть'!FF$73:FF$80)</f>
        <v>0</v>
      </c>
      <c r="FF51">
        <f>SUMIF('Как есть'!$A$73:$A$80,Доп.расчеты!$A51,'Как есть'!FG$73:FG$80)</f>
        <v>0</v>
      </c>
      <c r="FG51">
        <f>SUMIF('Как есть'!$A$73:$A$80,Доп.расчеты!$A51,'Как есть'!FH$73:FH$80)</f>
        <v>0</v>
      </c>
      <c r="FH51">
        <f>SUMIF('Как есть'!$A$73:$A$80,Доп.расчеты!$A51,'Как есть'!FI$73:FI$80)</f>
        <v>0</v>
      </c>
      <c r="FI51">
        <f>SUMIF('Как есть'!$A$73:$A$80,Доп.расчеты!$A51,'Как есть'!FJ$73:FJ$80)</f>
        <v>0</v>
      </c>
      <c r="FJ51">
        <f>SUMIF('Как есть'!$A$73:$A$80,Доп.расчеты!$A51,'Как есть'!FK$73:FK$80)</f>
        <v>0</v>
      </c>
      <c r="FK51">
        <f>SUMIF('Как есть'!$A$73:$A$80,Доп.расчеты!$A51,'Как есть'!FL$73:FL$80)</f>
        <v>0</v>
      </c>
      <c r="FL51">
        <f>SUMIF('Как есть'!$A$73:$A$80,Доп.расчеты!$A51,'Как есть'!FM$73:FM$80)</f>
        <v>0</v>
      </c>
      <c r="FM51">
        <f>SUMIF('Как есть'!$A$73:$A$80,Доп.расчеты!$A51,'Как есть'!FN$73:FN$80)</f>
        <v>0</v>
      </c>
      <c r="FN51">
        <f>SUMIF('Как есть'!$A$73:$A$80,Доп.расчеты!$A51,'Как есть'!FO$73:FO$80)</f>
        <v>0</v>
      </c>
      <c r="FO51">
        <f>SUMIF('Как есть'!$A$73:$A$80,Доп.расчеты!$A51,'Как есть'!FP$73:FP$80)</f>
        <v>0</v>
      </c>
      <c r="FP51">
        <f>SUMIF('Как есть'!$A$73:$A$80,Доп.расчеты!$A51,'Как есть'!FQ$73:FQ$80)</f>
        <v>0</v>
      </c>
      <c r="FQ51">
        <f>SUMIF('Как есть'!$A$73:$A$80,Доп.расчеты!$A51,'Как есть'!FR$73:FR$80)</f>
        <v>0</v>
      </c>
      <c r="FR51">
        <f>SUMIF('Как есть'!$A$73:$A$80,Доп.расчеты!$A51,'Как есть'!FS$73:FS$80)</f>
        <v>0</v>
      </c>
      <c r="FS51">
        <f>SUMIF('Как есть'!$A$73:$A$80,Доп.расчеты!$A51,'Как есть'!FT$73:FT$80)</f>
        <v>0</v>
      </c>
      <c r="FT51">
        <f>SUMIF('Как есть'!$A$73:$A$80,Доп.расчеты!$A51,'Как есть'!FU$73:FU$80)</f>
        <v>0</v>
      </c>
      <c r="FU51">
        <f>SUMIF('Как есть'!$A$73:$A$80,Доп.расчеты!$A51,'Как есть'!FV$73:FV$80)</f>
        <v>0</v>
      </c>
      <c r="FV51">
        <f>SUMIF('Как есть'!$A$73:$A$80,Доп.расчеты!$A51,'Как есть'!FW$73:FW$80)</f>
        <v>0</v>
      </c>
      <c r="FW51">
        <f>SUMIF('Как есть'!$A$73:$A$80,Доп.расчеты!$A51,'Как есть'!FX$73:FX$80)</f>
        <v>0</v>
      </c>
      <c r="FX51">
        <f>SUMIF('Как есть'!$A$73:$A$80,Доп.расчеты!$A51,'Как есть'!FY$73:FY$80)</f>
        <v>0</v>
      </c>
      <c r="FY51">
        <f>SUMIF('Как есть'!$A$73:$A$80,Доп.расчеты!$A51,'Как есть'!FZ$73:FZ$80)</f>
        <v>0</v>
      </c>
      <c r="FZ51">
        <f>SUMIF('Как есть'!$A$73:$A$80,Доп.расчеты!$A51,'Как есть'!GA$73:GA$80)</f>
        <v>0</v>
      </c>
      <c r="GA51">
        <f>SUMIF('Как есть'!$A$73:$A$80,Доп.расчеты!$A51,'Как есть'!GB$73:GB$80)</f>
        <v>0</v>
      </c>
      <c r="GB51">
        <f>SUMIF('Как есть'!$A$73:$A$80,Доп.расчеты!$A51,'Как есть'!GC$73:GC$80)</f>
        <v>0</v>
      </c>
      <c r="GC51">
        <f>SUMIF('Как есть'!$A$73:$A$80,Доп.расчеты!$A51,'Как есть'!GD$73:GD$80)</f>
        <v>0</v>
      </c>
      <c r="GD51">
        <f>SUMIF('Как есть'!$A$73:$A$80,Доп.расчеты!$A51,'Как есть'!GE$73:GE$80)</f>
        <v>0</v>
      </c>
      <c r="GE51">
        <f>SUMIF('Как есть'!$A$73:$A$80,Доп.расчеты!$A51,'Как есть'!GF$73:GF$80)</f>
        <v>0</v>
      </c>
      <c r="GF51">
        <f>SUMIF('Как есть'!$A$73:$A$80,Доп.расчеты!$A51,'Как есть'!GG$73:GG$80)</f>
        <v>0</v>
      </c>
      <c r="GG51">
        <f>SUMIF('Как есть'!$A$73:$A$80,Доп.расчеты!$A51,'Как есть'!GH$73:GH$80)</f>
        <v>0</v>
      </c>
      <c r="GH51">
        <f>SUMIF('Как есть'!$A$73:$A$80,Доп.расчеты!$A51,'Как есть'!GI$73:GI$80)</f>
        <v>0</v>
      </c>
      <c r="GI51">
        <f>SUMIF('Как есть'!$A$73:$A$80,Доп.расчеты!$A51,'Как есть'!GJ$73:GJ$80)</f>
        <v>0</v>
      </c>
      <c r="GJ51">
        <f>SUMIF('Как есть'!$A$73:$A$80,Доп.расчеты!$A51,'Как есть'!GK$73:GK$80)</f>
        <v>0</v>
      </c>
      <c r="GK51">
        <f>SUMIF('Как есть'!$A$73:$A$80,Доп.расчеты!$A51,'Как есть'!GL$73:GL$80)</f>
        <v>0</v>
      </c>
      <c r="GL51">
        <f>SUMIF('Как есть'!$A$73:$A$80,Доп.расчеты!$A51,'Как есть'!GM$73:GM$80)</f>
        <v>0</v>
      </c>
      <c r="GM51">
        <f>SUMIF('Как есть'!$A$73:$A$80,Доп.расчеты!$A51,'Как есть'!GN$73:GN$80)</f>
        <v>0</v>
      </c>
      <c r="GN51">
        <f>SUMIF('Как есть'!$A$73:$A$80,Доп.расчеты!$A51,'Как есть'!GO$73:GO$80)</f>
        <v>0</v>
      </c>
      <c r="GO51">
        <f>SUMIF('Как есть'!$A$73:$A$80,Доп.расчеты!$A51,'Как есть'!GP$73:GP$80)</f>
        <v>0</v>
      </c>
      <c r="GP51">
        <f>SUMIF('Как есть'!$A$73:$A$80,Доп.расчеты!$A51,'Как есть'!GQ$73:GQ$80)</f>
        <v>0</v>
      </c>
      <c r="GQ51">
        <f>SUMIF('Как есть'!$A$73:$A$80,Доп.расчеты!$A51,'Как есть'!GR$73:GR$80)</f>
        <v>0</v>
      </c>
      <c r="GR51">
        <f>SUMIF('Как есть'!$A$73:$A$80,Доп.расчеты!$A51,'Как есть'!GS$73:GS$80)</f>
        <v>0</v>
      </c>
      <c r="GS51">
        <f>SUMIF('Как есть'!$A$73:$A$80,Доп.расчеты!$A51,'Как есть'!GT$73:GT$80)</f>
        <v>0</v>
      </c>
      <c r="GT51">
        <f>SUMIF('Как есть'!$A$73:$A$80,Доп.расчеты!$A51,'Как есть'!GU$73:GU$80)</f>
        <v>0</v>
      </c>
    </row>
    <row r="52" spans="1:202">
      <c r="A52" s="237" t="s">
        <v>89</v>
      </c>
      <c r="B52">
        <f>SUMIF('Как есть'!$A$73:$A$80,Доп.расчеты!$A52,'Как есть'!C$73:C$80)</f>
        <v>0</v>
      </c>
      <c r="C52">
        <f>SUMIF('Как есть'!$A$73:$A$80,Доп.расчеты!$A52,'Как есть'!D$73:D$80)</f>
        <v>0</v>
      </c>
      <c r="D52">
        <f>SUMIF('Как есть'!$A$73:$A$80,Доп.расчеты!$A52,'Как есть'!E$73:E$80)</f>
        <v>0</v>
      </c>
      <c r="E52">
        <f>SUMIF('Как есть'!$A$73:$A$80,Доп.расчеты!$A52,'Как есть'!F$73:F$80)</f>
        <v>0</v>
      </c>
      <c r="F52">
        <f>SUMIF('Как есть'!$A$73:$A$80,Доп.расчеты!$A52,'Как есть'!G$73:G$80)</f>
        <v>0</v>
      </c>
      <c r="G52">
        <f>SUMIF('Как есть'!$A$73:$A$80,Доп.расчеты!$A52,'Как есть'!H$73:H$80)</f>
        <v>0</v>
      </c>
      <c r="H52">
        <f>SUMIF('Как есть'!$A$73:$A$80,Доп.расчеты!$A52,'Как есть'!I$73:I$80)</f>
        <v>0</v>
      </c>
      <c r="I52">
        <f>SUMIF('Как есть'!$A$73:$A$80,Доп.расчеты!$A52,'Как есть'!J$73:J$80)</f>
        <v>0</v>
      </c>
      <c r="J52">
        <f>SUMIF('Как есть'!$A$73:$A$80,Доп.расчеты!$A52,'Как есть'!K$73:K$80)</f>
        <v>0</v>
      </c>
      <c r="K52">
        <f>SUMIF('Как есть'!$A$73:$A$80,Доп.расчеты!$A52,'Как есть'!L$73:L$80)</f>
        <v>0</v>
      </c>
      <c r="L52">
        <f>SUMIF('Как есть'!$A$73:$A$80,Доп.расчеты!$A52,'Как есть'!M$73:M$80)</f>
        <v>0</v>
      </c>
      <c r="M52">
        <f>SUMIF('Как есть'!$A$73:$A$80,Доп.расчеты!$A52,'Как есть'!N$73:N$80)</f>
        <v>0</v>
      </c>
      <c r="N52">
        <f>SUMIF('Как есть'!$A$73:$A$80,Доп.расчеты!$A52,'Как есть'!O$73:O$80)</f>
        <v>0</v>
      </c>
      <c r="O52">
        <f>SUMIF('Как есть'!$A$73:$A$80,Доп.расчеты!$A52,'Как есть'!P$73:P$80)</f>
        <v>0</v>
      </c>
      <c r="P52">
        <f>SUMIF('Как есть'!$A$73:$A$80,Доп.расчеты!$A52,'Как есть'!Q$73:Q$80)</f>
        <v>0</v>
      </c>
      <c r="Q52">
        <f>SUMIF('Как есть'!$A$73:$A$80,Доп.расчеты!$A52,'Как есть'!R$73:R$80)</f>
        <v>0</v>
      </c>
      <c r="R52">
        <f>SUMIF('Как есть'!$A$73:$A$80,Доп.расчеты!$A52,'Как есть'!S$73:S$80)</f>
        <v>0</v>
      </c>
      <c r="S52">
        <f>SUMIF('Как есть'!$A$73:$A$80,Доп.расчеты!$A52,'Как есть'!T$73:T$80)</f>
        <v>0</v>
      </c>
      <c r="T52">
        <f>SUMIF('Как есть'!$A$73:$A$80,Доп.расчеты!$A52,'Как есть'!U$73:U$80)</f>
        <v>0</v>
      </c>
      <c r="U52">
        <f>SUMIF('Как есть'!$A$73:$A$80,Доп.расчеты!$A52,'Как есть'!V$73:V$80)</f>
        <v>0</v>
      </c>
      <c r="V52">
        <f>SUMIF('Как есть'!$A$73:$A$80,Доп.расчеты!$A52,'Как есть'!W$73:W$80)</f>
        <v>0</v>
      </c>
      <c r="W52">
        <f>SUMIF('Как есть'!$A$73:$A$80,Доп.расчеты!$A52,'Как есть'!X$73:X$80)</f>
        <v>0</v>
      </c>
      <c r="X52">
        <f>SUMIF('Как есть'!$A$73:$A$80,Доп.расчеты!$A52,'Как есть'!Y$73:Y$80)</f>
        <v>0</v>
      </c>
      <c r="Y52">
        <f>SUMIF('Как есть'!$A$73:$A$80,Доп.расчеты!$A52,'Как есть'!Z$73:Z$80)</f>
        <v>0</v>
      </c>
      <c r="Z52">
        <f>SUMIF('Как есть'!$A$73:$A$80,Доп.расчеты!$A52,'Как есть'!AA$73:AA$80)</f>
        <v>0</v>
      </c>
      <c r="AA52">
        <f>SUMIF('Как есть'!$A$73:$A$80,Доп.расчеты!$A52,'Как есть'!AB$73:AB$80)</f>
        <v>0</v>
      </c>
      <c r="AB52">
        <f>SUMIF('Как есть'!$A$73:$A$80,Доп.расчеты!$A52,'Как есть'!AC$73:AC$80)</f>
        <v>0</v>
      </c>
      <c r="AC52">
        <f>SUMIF('Как есть'!$A$73:$A$80,Доп.расчеты!$A52,'Как есть'!AD$73:AD$80)</f>
        <v>0</v>
      </c>
      <c r="AD52">
        <f>SUMIF('Как есть'!$A$73:$A$80,Доп.расчеты!$A52,'Как есть'!AE$73:AE$80)</f>
        <v>0</v>
      </c>
      <c r="AE52">
        <f>SUMIF('Как есть'!$A$73:$A$80,Доп.расчеты!$A52,'Как есть'!AF$73:AF$80)</f>
        <v>0</v>
      </c>
      <c r="AF52">
        <f>SUMIF('Как есть'!$A$73:$A$80,Доп.расчеты!$A52,'Как есть'!AG$73:AG$80)</f>
        <v>0</v>
      </c>
      <c r="AG52">
        <f>SUMIF('Как есть'!$A$73:$A$80,Доп.расчеты!$A52,'Как есть'!AH$73:AH$80)</f>
        <v>0</v>
      </c>
      <c r="AH52">
        <f>SUMIF('Как есть'!$A$73:$A$80,Доп.расчеты!$A52,'Как есть'!AI$73:AI$80)</f>
        <v>0</v>
      </c>
      <c r="AI52">
        <f>SUMIF('Как есть'!$A$73:$A$80,Доп.расчеты!$A52,'Как есть'!AJ$73:AJ$80)</f>
        <v>0</v>
      </c>
      <c r="AJ52">
        <f>SUMIF('Как есть'!$A$73:$A$80,Доп.расчеты!$A52,'Как есть'!AK$73:AK$80)</f>
        <v>0</v>
      </c>
      <c r="AK52">
        <f>SUMIF('Как есть'!$A$73:$A$80,Доп.расчеты!$A52,'Как есть'!AL$73:AL$80)</f>
        <v>0</v>
      </c>
      <c r="AL52">
        <f>SUMIF('Как есть'!$A$73:$A$80,Доп.расчеты!$A52,'Как есть'!AM$73:AM$80)</f>
        <v>0</v>
      </c>
      <c r="AM52">
        <f>SUMIF('Как есть'!$A$73:$A$80,Доп.расчеты!$A52,'Как есть'!AN$73:AN$80)</f>
        <v>0</v>
      </c>
      <c r="AN52">
        <f>SUMIF('Как есть'!$A$73:$A$80,Доп.расчеты!$A52,'Как есть'!AO$73:AO$80)</f>
        <v>0</v>
      </c>
      <c r="AO52">
        <f>SUMIF('Как есть'!$A$73:$A$80,Доп.расчеты!$A52,'Как есть'!AP$73:AP$80)</f>
        <v>0</v>
      </c>
      <c r="AP52">
        <f>SUMIF('Как есть'!$A$73:$A$80,Доп.расчеты!$A52,'Как есть'!AQ$73:AQ$80)</f>
        <v>0</v>
      </c>
      <c r="AQ52">
        <f>SUMIF('Как есть'!$A$73:$A$80,Доп.расчеты!$A52,'Как есть'!AR$73:AR$80)</f>
        <v>0</v>
      </c>
      <c r="AR52">
        <f>SUMIF('Как есть'!$A$73:$A$80,Доп.расчеты!$A52,'Как есть'!AS$73:AS$80)</f>
        <v>0</v>
      </c>
      <c r="AS52">
        <f>SUMIF('Как есть'!$A$73:$A$80,Доп.расчеты!$A52,'Как есть'!AT$73:AT$80)</f>
        <v>0</v>
      </c>
      <c r="AT52">
        <f>SUMIF('Как есть'!$A$73:$A$80,Доп.расчеты!$A52,'Как есть'!AU$73:AU$80)</f>
        <v>0</v>
      </c>
      <c r="AU52">
        <f>SUMIF('Как есть'!$A$73:$A$80,Доп.расчеты!$A52,'Как есть'!AV$73:AV$80)</f>
        <v>0</v>
      </c>
      <c r="AV52">
        <f>SUMIF('Как есть'!$A$73:$A$80,Доп.расчеты!$A52,'Как есть'!AW$73:AW$80)</f>
        <v>0</v>
      </c>
      <c r="AW52">
        <f>SUMIF('Как есть'!$A$73:$A$80,Доп.расчеты!$A52,'Как есть'!AX$73:AX$80)</f>
        <v>0</v>
      </c>
      <c r="AX52">
        <f>SUMIF('Как есть'!$A$73:$A$80,Доп.расчеты!$A52,'Как есть'!AY$73:AY$80)</f>
        <v>0</v>
      </c>
      <c r="AY52">
        <f>SUMIF('Как есть'!$A$73:$A$80,Доп.расчеты!$A52,'Как есть'!AZ$73:AZ$80)</f>
        <v>0</v>
      </c>
      <c r="AZ52">
        <f>SUMIF('Как есть'!$A$73:$A$80,Доп.расчеты!$A52,'Как есть'!BA$73:BA$80)</f>
        <v>0</v>
      </c>
      <c r="BA52">
        <f>SUMIF('Как есть'!$A$73:$A$80,Доп.расчеты!$A52,'Как есть'!BB$73:BB$80)</f>
        <v>0</v>
      </c>
      <c r="BB52">
        <f>SUMIF('Как есть'!$A$73:$A$80,Доп.расчеты!$A52,'Как есть'!BC$73:BC$80)</f>
        <v>0</v>
      </c>
      <c r="BC52">
        <f>SUMIF('Как есть'!$A$73:$A$80,Доп.расчеты!$A52,'Как есть'!BD$73:BD$80)</f>
        <v>0</v>
      </c>
      <c r="BD52">
        <f>SUMIF('Как есть'!$A$73:$A$80,Доп.расчеты!$A52,'Как есть'!BE$73:BE$80)</f>
        <v>0</v>
      </c>
      <c r="BE52">
        <f>SUMIF('Как есть'!$A$73:$A$80,Доп.расчеты!$A52,'Как есть'!BF$73:BF$80)</f>
        <v>0</v>
      </c>
      <c r="BF52">
        <f>SUMIF('Как есть'!$A$73:$A$80,Доп.расчеты!$A52,'Как есть'!BG$73:BG$80)</f>
        <v>0</v>
      </c>
      <c r="BG52">
        <f>SUMIF('Как есть'!$A$73:$A$80,Доп.расчеты!$A52,'Как есть'!BH$73:BH$80)</f>
        <v>0</v>
      </c>
      <c r="BH52">
        <f>SUMIF('Как есть'!$A$73:$A$80,Доп.расчеты!$A52,'Как есть'!BI$73:BI$80)</f>
        <v>0</v>
      </c>
      <c r="BI52">
        <f>SUMIF('Как есть'!$A$73:$A$80,Доп.расчеты!$A52,'Как есть'!BJ$73:BJ$80)</f>
        <v>0</v>
      </c>
      <c r="BJ52">
        <f>SUMIF('Как есть'!$A$73:$A$80,Доп.расчеты!$A52,'Как есть'!BK$73:BK$80)</f>
        <v>0</v>
      </c>
      <c r="BK52">
        <f>SUMIF('Как есть'!$A$73:$A$80,Доп.расчеты!$A52,'Как есть'!BL$73:BL$80)</f>
        <v>0</v>
      </c>
      <c r="BL52">
        <f>SUMIF('Как есть'!$A$73:$A$80,Доп.расчеты!$A52,'Как есть'!BM$73:BM$80)</f>
        <v>0</v>
      </c>
      <c r="BM52">
        <f>SUMIF('Как есть'!$A$73:$A$80,Доп.расчеты!$A52,'Как есть'!BN$73:BN$80)</f>
        <v>0</v>
      </c>
      <c r="BN52">
        <f>SUMIF('Как есть'!$A$73:$A$80,Доп.расчеты!$A52,'Как есть'!BO$73:BO$80)</f>
        <v>0</v>
      </c>
      <c r="BO52">
        <f>SUMIF('Как есть'!$A$73:$A$80,Доп.расчеты!$A52,'Как есть'!BP$73:BP$80)</f>
        <v>0</v>
      </c>
      <c r="BP52">
        <f>SUMIF('Как есть'!$A$73:$A$80,Доп.расчеты!$A52,'Как есть'!BQ$73:BQ$80)</f>
        <v>0</v>
      </c>
      <c r="BQ52">
        <f>SUMIF('Как есть'!$A$73:$A$80,Доп.расчеты!$A52,'Как есть'!BR$73:BR$80)</f>
        <v>0</v>
      </c>
      <c r="BR52">
        <f>SUMIF('Как есть'!$A$73:$A$80,Доп.расчеты!$A52,'Как есть'!BS$73:BS$80)</f>
        <v>0</v>
      </c>
      <c r="BS52">
        <f>SUMIF('Как есть'!$A$73:$A$80,Доп.расчеты!$A52,'Как есть'!BT$73:BT$80)</f>
        <v>0</v>
      </c>
      <c r="BT52">
        <f>SUMIF('Как есть'!$A$73:$A$80,Доп.расчеты!$A52,'Как есть'!BU$73:BU$80)</f>
        <v>0</v>
      </c>
      <c r="BU52">
        <f>SUMIF('Как есть'!$A$73:$A$80,Доп.расчеты!$A52,'Как есть'!BV$73:BV$80)</f>
        <v>0</v>
      </c>
      <c r="BV52">
        <f>SUMIF('Как есть'!$A$73:$A$80,Доп.расчеты!$A52,'Как есть'!BW$73:BW$80)</f>
        <v>0</v>
      </c>
      <c r="BW52">
        <f>SUMIF('Как есть'!$A$73:$A$80,Доп.расчеты!$A52,'Как есть'!BX$73:BX$80)</f>
        <v>0</v>
      </c>
      <c r="BX52">
        <f>SUMIF('Как есть'!$A$73:$A$80,Доп.расчеты!$A52,'Как есть'!BY$73:BY$80)</f>
        <v>0</v>
      </c>
      <c r="BY52">
        <f>SUMIF('Как есть'!$A$73:$A$80,Доп.расчеты!$A52,'Как есть'!BZ$73:BZ$80)</f>
        <v>0</v>
      </c>
      <c r="BZ52">
        <f>SUMIF('Как есть'!$A$73:$A$80,Доп.расчеты!$A52,'Как есть'!CA$73:CA$80)</f>
        <v>0</v>
      </c>
      <c r="CA52">
        <f>SUMIF('Как есть'!$A$73:$A$80,Доп.расчеты!$A52,'Как есть'!CB$73:CB$80)</f>
        <v>0</v>
      </c>
      <c r="CB52">
        <f>SUMIF('Как есть'!$A$73:$A$80,Доп.расчеты!$A52,'Как есть'!CC$73:CC$80)</f>
        <v>0</v>
      </c>
      <c r="CC52">
        <f>SUMIF('Как есть'!$A$73:$A$80,Доп.расчеты!$A52,'Как есть'!CD$73:CD$80)</f>
        <v>0</v>
      </c>
      <c r="CD52">
        <f>SUMIF('Как есть'!$A$73:$A$80,Доп.расчеты!$A52,'Как есть'!CE$73:CE$80)</f>
        <v>0</v>
      </c>
      <c r="CE52">
        <f>SUMIF('Как есть'!$A$73:$A$80,Доп.расчеты!$A52,'Как есть'!CF$73:CF$80)</f>
        <v>0</v>
      </c>
      <c r="CF52">
        <f>SUMIF('Как есть'!$A$73:$A$80,Доп.расчеты!$A52,'Как есть'!CG$73:CG$80)</f>
        <v>0</v>
      </c>
      <c r="CG52">
        <f>SUMIF('Как есть'!$A$73:$A$80,Доп.расчеты!$A52,'Как есть'!CH$73:CH$80)</f>
        <v>0</v>
      </c>
      <c r="CH52">
        <f>SUMIF('Как есть'!$A$73:$A$80,Доп.расчеты!$A52,'Как есть'!CI$73:CI$80)</f>
        <v>0</v>
      </c>
      <c r="CI52">
        <f>SUMIF('Как есть'!$A$73:$A$80,Доп.расчеты!$A52,'Как есть'!CJ$73:CJ$80)</f>
        <v>0</v>
      </c>
      <c r="CJ52">
        <f>SUMIF('Как есть'!$A$73:$A$80,Доп.расчеты!$A52,'Как есть'!CK$73:CK$80)</f>
        <v>0</v>
      </c>
      <c r="CK52">
        <f>SUMIF('Как есть'!$A$73:$A$80,Доп.расчеты!$A52,'Как есть'!CL$73:CL$80)</f>
        <v>0</v>
      </c>
      <c r="CL52">
        <f>SUMIF('Как есть'!$A$73:$A$80,Доп.расчеты!$A52,'Как есть'!CM$73:CM$80)</f>
        <v>0</v>
      </c>
      <c r="CM52">
        <f>SUMIF('Как есть'!$A$73:$A$80,Доп.расчеты!$A52,'Как есть'!CN$73:CN$80)</f>
        <v>0</v>
      </c>
      <c r="CN52">
        <f>SUMIF('Как есть'!$A$73:$A$80,Доп.расчеты!$A52,'Как есть'!CO$73:CO$80)</f>
        <v>0</v>
      </c>
      <c r="CO52">
        <f>SUMIF('Как есть'!$A$73:$A$80,Доп.расчеты!$A52,'Как есть'!CP$73:CP$80)</f>
        <v>0</v>
      </c>
      <c r="CP52">
        <f>SUMIF('Как есть'!$A$73:$A$80,Доп.расчеты!$A52,'Как есть'!CQ$73:CQ$80)</f>
        <v>0</v>
      </c>
      <c r="CQ52">
        <f>SUMIF('Как есть'!$A$73:$A$80,Доп.расчеты!$A52,'Как есть'!CR$73:CR$80)</f>
        <v>0</v>
      </c>
      <c r="CR52">
        <f>SUMIF('Как есть'!$A$73:$A$80,Доп.расчеты!$A52,'Как есть'!CS$73:CS$80)</f>
        <v>0</v>
      </c>
      <c r="CS52">
        <f>SUMIF('Как есть'!$A$73:$A$80,Доп.расчеты!$A52,'Как есть'!CT$73:CT$80)</f>
        <v>0</v>
      </c>
      <c r="CT52">
        <f>SUMIF('Как есть'!$A$73:$A$80,Доп.расчеты!$A52,'Как есть'!CU$73:CU$80)</f>
        <v>0</v>
      </c>
      <c r="CU52">
        <f>SUMIF('Как есть'!$A$73:$A$80,Доп.расчеты!$A52,'Как есть'!CV$73:CV$80)</f>
        <v>0</v>
      </c>
      <c r="CV52">
        <f>SUMIF('Как есть'!$A$73:$A$80,Доп.расчеты!$A52,'Как есть'!CW$73:CW$80)</f>
        <v>0</v>
      </c>
      <c r="CW52">
        <f>SUMIF('Как есть'!$A$73:$A$80,Доп.расчеты!$A52,'Как есть'!CX$73:CX$80)</f>
        <v>0</v>
      </c>
      <c r="CX52">
        <f>SUMIF('Как есть'!$A$73:$A$80,Доп.расчеты!$A52,'Как есть'!CY$73:CY$80)</f>
        <v>0</v>
      </c>
      <c r="CY52">
        <f>SUMIF('Как есть'!$A$73:$A$80,Доп.расчеты!$A52,'Как есть'!CZ$73:CZ$80)</f>
        <v>0</v>
      </c>
      <c r="CZ52">
        <f>SUMIF('Как есть'!$A$73:$A$80,Доп.расчеты!$A52,'Как есть'!DA$73:DA$80)</f>
        <v>0</v>
      </c>
      <c r="DA52">
        <f>SUMIF('Как есть'!$A$73:$A$80,Доп.расчеты!$A52,'Как есть'!DB$73:DB$80)</f>
        <v>0</v>
      </c>
      <c r="DB52">
        <f>SUMIF('Как есть'!$A$73:$A$80,Доп.расчеты!$A52,'Как есть'!DC$73:DC$80)</f>
        <v>0</v>
      </c>
      <c r="DC52">
        <f>SUMIF('Как есть'!$A$73:$A$80,Доп.расчеты!$A52,'Как есть'!DD$73:DD$80)</f>
        <v>0</v>
      </c>
      <c r="DD52">
        <f>SUMIF('Как есть'!$A$73:$A$80,Доп.расчеты!$A52,'Как есть'!DE$73:DE$80)</f>
        <v>0</v>
      </c>
      <c r="DE52">
        <f>SUMIF('Как есть'!$A$73:$A$80,Доп.расчеты!$A52,'Как есть'!DF$73:DF$80)</f>
        <v>0</v>
      </c>
      <c r="DF52">
        <f>SUMIF('Как есть'!$A$73:$A$80,Доп.расчеты!$A52,'Как есть'!DG$73:DG$80)</f>
        <v>0</v>
      </c>
      <c r="DG52">
        <f>SUMIF('Как есть'!$A$73:$A$80,Доп.расчеты!$A52,'Как есть'!DH$73:DH$80)</f>
        <v>0</v>
      </c>
      <c r="DH52">
        <f>SUMIF('Как есть'!$A$73:$A$80,Доп.расчеты!$A52,'Как есть'!DI$73:DI$80)</f>
        <v>0</v>
      </c>
      <c r="DI52">
        <f>SUMIF('Как есть'!$A$73:$A$80,Доп.расчеты!$A52,'Как есть'!DJ$73:DJ$80)</f>
        <v>0</v>
      </c>
      <c r="DJ52">
        <f>SUMIF('Как есть'!$A$73:$A$80,Доп.расчеты!$A52,'Как есть'!DK$73:DK$80)</f>
        <v>0</v>
      </c>
      <c r="DK52">
        <f>SUMIF('Как есть'!$A$73:$A$80,Доп.расчеты!$A52,'Как есть'!DL$73:DL$80)</f>
        <v>0</v>
      </c>
      <c r="DL52">
        <f>SUMIF('Как есть'!$A$73:$A$80,Доп.расчеты!$A52,'Как есть'!DM$73:DM$80)</f>
        <v>0</v>
      </c>
      <c r="DM52">
        <f>SUMIF('Как есть'!$A$73:$A$80,Доп.расчеты!$A52,'Как есть'!DN$73:DN$80)</f>
        <v>0</v>
      </c>
      <c r="DN52">
        <f>SUMIF('Как есть'!$A$73:$A$80,Доп.расчеты!$A52,'Как есть'!DO$73:DO$80)</f>
        <v>0</v>
      </c>
      <c r="DO52">
        <f>SUMIF('Как есть'!$A$73:$A$80,Доп.расчеты!$A52,'Как есть'!DP$73:DP$80)</f>
        <v>0</v>
      </c>
      <c r="DP52">
        <f>SUMIF('Как есть'!$A$73:$A$80,Доп.расчеты!$A52,'Как есть'!DQ$73:DQ$80)</f>
        <v>0</v>
      </c>
      <c r="DQ52">
        <f>SUMIF('Как есть'!$A$73:$A$80,Доп.расчеты!$A52,'Как есть'!DR$73:DR$80)</f>
        <v>0</v>
      </c>
      <c r="DR52">
        <f>SUMIF('Как есть'!$A$73:$A$80,Доп.расчеты!$A52,'Как есть'!DS$73:DS$80)</f>
        <v>0</v>
      </c>
      <c r="DS52">
        <f>SUMIF('Как есть'!$A$73:$A$80,Доп.расчеты!$A52,'Как есть'!DT$73:DT$80)</f>
        <v>0</v>
      </c>
      <c r="DT52">
        <f>SUMIF('Как есть'!$A$73:$A$80,Доп.расчеты!$A52,'Как есть'!DU$73:DU$80)</f>
        <v>0</v>
      </c>
      <c r="DU52">
        <f>SUMIF('Как есть'!$A$73:$A$80,Доп.расчеты!$A52,'Как есть'!DV$73:DV$80)</f>
        <v>0</v>
      </c>
      <c r="DV52">
        <f>SUMIF('Как есть'!$A$73:$A$80,Доп.расчеты!$A52,'Как есть'!DW$73:DW$80)</f>
        <v>0</v>
      </c>
      <c r="DW52">
        <f>SUMIF('Как есть'!$A$73:$A$80,Доп.расчеты!$A52,'Как есть'!DX$73:DX$80)</f>
        <v>0</v>
      </c>
      <c r="DX52">
        <f>SUMIF('Как есть'!$A$73:$A$80,Доп.расчеты!$A52,'Как есть'!DY$73:DY$80)</f>
        <v>0</v>
      </c>
      <c r="DY52">
        <f>SUMIF('Как есть'!$A$73:$A$80,Доп.расчеты!$A52,'Как есть'!DZ$73:DZ$80)</f>
        <v>0</v>
      </c>
      <c r="DZ52">
        <f>SUMIF('Как есть'!$A$73:$A$80,Доп.расчеты!$A52,'Как есть'!EA$73:EA$80)</f>
        <v>0</v>
      </c>
      <c r="EA52">
        <f>SUMIF('Как есть'!$A$73:$A$80,Доп.расчеты!$A52,'Как есть'!EB$73:EB$80)</f>
        <v>0</v>
      </c>
      <c r="EB52">
        <f>SUMIF('Как есть'!$A$73:$A$80,Доп.расчеты!$A52,'Как есть'!EC$73:EC$80)</f>
        <v>0</v>
      </c>
      <c r="EC52">
        <f>SUMIF('Как есть'!$A$73:$A$80,Доп.расчеты!$A52,'Как есть'!ED$73:ED$80)</f>
        <v>0</v>
      </c>
      <c r="ED52">
        <f>SUMIF('Как есть'!$A$73:$A$80,Доп.расчеты!$A52,'Как есть'!EE$73:EE$80)</f>
        <v>0</v>
      </c>
      <c r="EE52">
        <f>SUMIF('Как есть'!$A$73:$A$80,Доп.расчеты!$A52,'Как есть'!EF$73:EF$80)</f>
        <v>0</v>
      </c>
      <c r="EF52">
        <f>SUMIF('Как есть'!$A$73:$A$80,Доп.расчеты!$A52,'Как есть'!EG$73:EG$80)</f>
        <v>0</v>
      </c>
      <c r="EG52">
        <f>SUMIF('Как есть'!$A$73:$A$80,Доп.расчеты!$A52,'Как есть'!EH$73:EH$80)</f>
        <v>0</v>
      </c>
      <c r="EH52">
        <f>SUMIF('Как есть'!$A$73:$A$80,Доп.расчеты!$A52,'Как есть'!EI$73:EI$80)</f>
        <v>0</v>
      </c>
      <c r="EI52">
        <f>SUMIF('Как есть'!$A$73:$A$80,Доп.расчеты!$A52,'Как есть'!EJ$73:EJ$80)</f>
        <v>0</v>
      </c>
      <c r="EJ52">
        <f>SUMIF('Как есть'!$A$73:$A$80,Доп.расчеты!$A52,'Как есть'!EK$73:EK$80)</f>
        <v>0</v>
      </c>
      <c r="EK52">
        <f>SUMIF('Как есть'!$A$73:$A$80,Доп.расчеты!$A52,'Как есть'!EL$73:EL$80)</f>
        <v>0</v>
      </c>
      <c r="EL52">
        <f>SUMIF('Как есть'!$A$73:$A$80,Доп.расчеты!$A52,'Как есть'!EM$73:EM$80)</f>
        <v>0</v>
      </c>
      <c r="EM52">
        <f>SUMIF('Как есть'!$A$73:$A$80,Доп.расчеты!$A52,'Как есть'!EN$73:EN$80)</f>
        <v>0</v>
      </c>
      <c r="EN52">
        <f>SUMIF('Как есть'!$A$73:$A$80,Доп.расчеты!$A52,'Как есть'!EO$73:EO$80)</f>
        <v>0</v>
      </c>
      <c r="EO52">
        <f>SUMIF('Как есть'!$A$73:$A$80,Доп.расчеты!$A52,'Как есть'!EP$73:EP$80)</f>
        <v>0</v>
      </c>
      <c r="EP52">
        <f>SUMIF('Как есть'!$A$73:$A$80,Доп.расчеты!$A52,'Как есть'!EQ$73:EQ$80)</f>
        <v>0</v>
      </c>
      <c r="EQ52">
        <f>SUMIF('Как есть'!$A$73:$A$80,Доп.расчеты!$A52,'Как есть'!ER$73:ER$80)</f>
        <v>0</v>
      </c>
      <c r="ER52">
        <f>SUMIF('Как есть'!$A$73:$A$80,Доп.расчеты!$A52,'Как есть'!ES$73:ES$80)</f>
        <v>0</v>
      </c>
      <c r="ES52">
        <f>SUMIF('Как есть'!$A$73:$A$80,Доп.расчеты!$A52,'Как есть'!ET$73:ET$80)</f>
        <v>0</v>
      </c>
      <c r="ET52">
        <f>SUMIF('Как есть'!$A$73:$A$80,Доп.расчеты!$A52,'Как есть'!EU$73:EU$80)</f>
        <v>0</v>
      </c>
      <c r="EU52">
        <f>SUMIF('Как есть'!$A$73:$A$80,Доп.расчеты!$A52,'Как есть'!EV$73:EV$80)</f>
        <v>0</v>
      </c>
      <c r="EV52">
        <f>SUMIF('Как есть'!$A$73:$A$80,Доп.расчеты!$A52,'Как есть'!EW$73:EW$80)</f>
        <v>0</v>
      </c>
      <c r="EW52">
        <f>SUMIF('Как есть'!$A$73:$A$80,Доп.расчеты!$A52,'Как есть'!EX$73:EX$80)</f>
        <v>0</v>
      </c>
      <c r="EX52">
        <f>SUMIF('Как есть'!$A$73:$A$80,Доп.расчеты!$A52,'Как есть'!EY$73:EY$80)</f>
        <v>0</v>
      </c>
      <c r="EY52">
        <f>SUMIF('Как есть'!$A$73:$A$80,Доп.расчеты!$A52,'Как есть'!EZ$73:EZ$80)</f>
        <v>0</v>
      </c>
      <c r="EZ52">
        <f>SUMIF('Как есть'!$A$73:$A$80,Доп.расчеты!$A52,'Как есть'!FA$73:FA$80)</f>
        <v>0</v>
      </c>
      <c r="FA52">
        <f>SUMIF('Как есть'!$A$73:$A$80,Доп.расчеты!$A52,'Как есть'!FB$73:FB$80)</f>
        <v>0</v>
      </c>
      <c r="FB52">
        <f>SUMIF('Как есть'!$A$73:$A$80,Доп.расчеты!$A52,'Как есть'!FC$73:FC$80)</f>
        <v>0</v>
      </c>
      <c r="FC52">
        <f>SUMIF('Как есть'!$A$73:$A$80,Доп.расчеты!$A52,'Как есть'!FD$73:FD$80)</f>
        <v>0</v>
      </c>
      <c r="FD52">
        <f>SUMIF('Как есть'!$A$73:$A$80,Доп.расчеты!$A52,'Как есть'!FE$73:FE$80)</f>
        <v>0</v>
      </c>
      <c r="FE52">
        <f>SUMIF('Как есть'!$A$73:$A$80,Доп.расчеты!$A52,'Как есть'!FF$73:FF$80)</f>
        <v>0</v>
      </c>
      <c r="FF52">
        <f>SUMIF('Как есть'!$A$73:$A$80,Доп.расчеты!$A52,'Как есть'!FG$73:FG$80)</f>
        <v>0</v>
      </c>
      <c r="FG52">
        <f>SUMIF('Как есть'!$A$73:$A$80,Доп.расчеты!$A52,'Как есть'!FH$73:FH$80)</f>
        <v>0</v>
      </c>
      <c r="FH52">
        <f>SUMIF('Как есть'!$A$73:$A$80,Доп.расчеты!$A52,'Как есть'!FI$73:FI$80)</f>
        <v>0</v>
      </c>
      <c r="FI52">
        <f>SUMIF('Как есть'!$A$73:$A$80,Доп.расчеты!$A52,'Как есть'!FJ$73:FJ$80)</f>
        <v>0</v>
      </c>
      <c r="FJ52">
        <f>SUMIF('Как есть'!$A$73:$A$80,Доп.расчеты!$A52,'Как есть'!FK$73:FK$80)</f>
        <v>0</v>
      </c>
      <c r="FK52">
        <f>SUMIF('Как есть'!$A$73:$A$80,Доп.расчеты!$A52,'Как есть'!FL$73:FL$80)</f>
        <v>0</v>
      </c>
      <c r="FL52">
        <f>SUMIF('Как есть'!$A$73:$A$80,Доп.расчеты!$A52,'Как есть'!FM$73:FM$80)</f>
        <v>0</v>
      </c>
      <c r="FM52">
        <f>SUMIF('Как есть'!$A$73:$A$80,Доп.расчеты!$A52,'Как есть'!FN$73:FN$80)</f>
        <v>0</v>
      </c>
      <c r="FN52">
        <f>SUMIF('Как есть'!$A$73:$A$80,Доп.расчеты!$A52,'Как есть'!FO$73:FO$80)</f>
        <v>0</v>
      </c>
      <c r="FO52">
        <f>SUMIF('Как есть'!$A$73:$A$80,Доп.расчеты!$A52,'Как есть'!FP$73:FP$80)</f>
        <v>0</v>
      </c>
      <c r="FP52">
        <f>SUMIF('Как есть'!$A$73:$A$80,Доп.расчеты!$A52,'Как есть'!FQ$73:FQ$80)</f>
        <v>0</v>
      </c>
      <c r="FQ52">
        <f>SUMIF('Как есть'!$A$73:$A$80,Доп.расчеты!$A52,'Как есть'!FR$73:FR$80)</f>
        <v>0</v>
      </c>
      <c r="FR52">
        <f>SUMIF('Как есть'!$A$73:$A$80,Доп.расчеты!$A52,'Как есть'!FS$73:FS$80)</f>
        <v>0</v>
      </c>
      <c r="FS52">
        <f>SUMIF('Как есть'!$A$73:$A$80,Доп.расчеты!$A52,'Как есть'!FT$73:FT$80)</f>
        <v>0</v>
      </c>
      <c r="FT52">
        <f>SUMIF('Как есть'!$A$73:$A$80,Доп.расчеты!$A52,'Как есть'!FU$73:FU$80)</f>
        <v>0</v>
      </c>
      <c r="FU52">
        <f>SUMIF('Как есть'!$A$73:$A$80,Доп.расчеты!$A52,'Как есть'!FV$73:FV$80)</f>
        <v>0</v>
      </c>
      <c r="FV52">
        <f>SUMIF('Как есть'!$A$73:$A$80,Доп.расчеты!$A52,'Как есть'!FW$73:FW$80)</f>
        <v>0</v>
      </c>
      <c r="FW52">
        <f>SUMIF('Как есть'!$A$73:$A$80,Доп.расчеты!$A52,'Как есть'!FX$73:FX$80)</f>
        <v>0</v>
      </c>
      <c r="FX52">
        <f>SUMIF('Как есть'!$A$73:$A$80,Доп.расчеты!$A52,'Как есть'!FY$73:FY$80)</f>
        <v>0</v>
      </c>
      <c r="FY52">
        <f>SUMIF('Как есть'!$A$73:$A$80,Доп.расчеты!$A52,'Как есть'!FZ$73:FZ$80)</f>
        <v>0</v>
      </c>
      <c r="FZ52">
        <f>SUMIF('Как есть'!$A$73:$A$80,Доп.расчеты!$A52,'Как есть'!GA$73:GA$80)</f>
        <v>0</v>
      </c>
      <c r="GA52">
        <f>SUMIF('Как есть'!$A$73:$A$80,Доп.расчеты!$A52,'Как есть'!GB$73:GB$80)</f>
        <v>0</v>
      </c>
      <c r="GB52">
        <f>SUMIF('Как есть'!$A$73:$A$80,Доп.расчеты!$A52,'Как есть'!GC$73:GC$80)</f>
        <v>0</v>
      </c>
      <c r="GC52">
        <f>SUMIF('Как есть'!$A$73:$A$80,Доп.расчеты!$A52,'Как есть'!GD$73:GD$80)</f>
        <v>0</v>
      </c>
      <c r="GD52">
        <f>SUMIF('Как есть'!$A$73:$A$80,Доп.расчеты!$A52,'Как есть'!GE$73:GE$80)</f>
        <v>0</v>
      </c>
      <c r="GE52">
        <f>SUMIF('Как есть'!$A$73:$A$80,Доп.расчеты!$A52,'Как есть'!GF$73:GF$80)</f>
        <v>0</v>
      </c>
      <c r="GF52">
        <f>SUMIF('Как есть'!$A$73:$A$80,Доп.расчеты!$A52,'Как есть'!GG$73:GG$80)</f>
        <v>0</v>
      </c>
      <c r="GG52">
        <f>SUMIF('Как есть'!$A$73:$A$80,Доп.расчеты!$A52,'Как есть'!GH$73:GH$80)</f>
        <v>0</v>
      </c>
      <c r="GH52">
        <f>SUMIF('Как есть'!$A$73:$A$80,Доп.расчеты!$A52,'Как есть'!GI$73:GI$80)</f>
        <v>0</v>
      </c>
      <c r="GI52">
        <f>SUMIF('Как есть'!$A$73:$A$80,Доп.расчеты!$A52,'Как есть'!GJ$73:GJ$80)</f>
        <v>0</v>
      </c>
      <c r="GJ52">
        <f>SUMIF('Как есть'!$A$73:$A$80,Доп.расчеты!$A52,'Как есть'!GK$73:GK$80)</f>
        <v>0</v>
      </c>
      <c r="GK52">
        <f>SUMIF('Как есть'!$A$73:$A$80,Доп.расчеты!$A52,'Как есть'!GL$73:GL$80)</f>
        <v>0</v>
      </c>
      <c r="GL52">
        <f>SUMIF('Как есть'!$A$73:$A$80,Доп.расчеты!$A52,'Как есть'!GM$73:GM$80)</f>
        <v>0</v>
      </c>
      <c r="GM52">
        <f>SUMIF('Как есть'!$A$73:$A$80,Доп.расчеты!$A52,'Как есть'!GN$73:GN$80)</f>
        <v>0</v>
      </c>
      <c r="GN52">
        <f>SUMIF('Как есть'!$A$73:$A$80,Доп.расчеты!$A52,'Как есть'!GO$73:GO$80)</f>
        <v>0</v>
      </c>
      <c r="GO52">
        <f>SUMIF('Как есть'!$A$73:$A$80,Доп.расчеты!$A52,'Как есть'!GP$73:GP$80)</f>
        <v>0</v>
      </c>
      <c r="GP52">
        <f>SUMIF('Как есть'!$A$73:$A$80,Доп.расчеты!$A52,'Как есть'!GQ$73:GQ$80)</f>
        <v>0</v>
      </c>
      <c r="GQ52">
        <f>SUMIF('Как есть'!$A$73:$A$80,Доп.расчеты!$A52,'Как есть'!GR$73:GR$80)</f>
        <v>0</v>
      </c>
      <c r="GR52">
        <f>SUMIF('Как есть'!$A$73:$A$80,Доп.расчеты!$A52,'Как есть'!GS$73:GS$80)</f>
        <v>0</v>
      </c>
      <c r="GS52">
        <f>SUMIF('Как есть'!$A$73:$A$80,Доп.расчеты!$A52,'Как есть'!GT$73:GT$80)</f>
        <v>0</v>
      </c>
      <c r="GT52">
        <f>SUMIF('Как есть'!$A$73:$A$80,Доп.расчеты!$A52,'Как есть'!GU$73:GU$80)</f>
        <v>0</v>
      </c>
    </row>
    <row r="53" spans="1:202">
      <c r="A53" s="237" t="s">
        <v>90</v>
      </c>
      <c r="B53">
        <f>SUMIF('Как есть'!$A$73:$A$80,Доп.расчеты!$A53,'Как есть'!C$73:C$80)</f>
        <v>0</v>
      </c>
      <c r="C53">
        <f>SUMIF('Как есть'!$A$73:$A$80,Доп.расчеты!$A53,'Как есть'!D$73:D$80)</f>
        <v>0</v>
      </c>
      <c r="D53">
        <f>SUMIF('Как есть'!$A$73:$A$80,Доп.расчеты!$A53,'Как есть'!E$73:E$80)</f>
        <v>0</v>
      </c>
      <c r="E53">
        <f>SUMIF('Как есть'!$A$73:$A$80,Доп.расчеты!$A53,'Как есть'!F$73:F$80)</f>
        <v>0</v>
      </c>
      <c r="F53">
        <f>SUMIF('Как есть'!$A$73:$A$80,Доп.расчеты!$A53,'Как есть'!G$73:G$80)</f>
        <v>0</v>
      </c>
      <c r="G53">
        <f>SUMIF('Как есть'!$A$73:$A$80,Доп.расчеты!$A53,'Как есть'!H$73:H$80)</f>
        <v>0</v>
      </c>
      <c r="H53">
        <f>SUMIF('Как есть'!$A$73:$A$80,Доп.расчеты!$A53,'Как есть'!I$73:I$80)</f>
        <v>0</v>
      </c>
      <c r="I53">
        <f>SUMIF('Как есть'!$A$73:$A$80,Доп.расчеты!$A53,'Как есть'!J$73:J$80)</f>
        <v>0</v>
      </c>
      <c r="J53">
        <f>SUMIF('Как есть'!$A$73:$A$80,Доп.расчеты!$A53,'Как есть'!K$73:K$80)</f>
        <v>0</v>
      </c>
      <c r="K53">
        <f>SUMIF('Как есть'!$A$73:$A$80,Доп.расчеты!$A53,'Как есть'!L$73:L$80)</f>
        <v>0</v>
      </c>
      <c r="L53">
        <f>SUMIF('Как есть'!$A$73:$A$80,Доп.расчеты!$A53,'Как есть'!M$73:M$80)</f>
        <v>0</v>
      </c>
      <c r="M53">
        <f>SUMIF('Как есть'!$A$73:$A$80,Доп.расчеты!$A53,'Как есть'!N$73:N$80)</f>
        <v>0</v>
      </c>
      <c r="N53">
        <f>SUMIF('Как есть'!$A$73:$A$80,Доп.расчеты!$A53,'Как есть'!O$73:O$80)</f>
        <v>0</v>
      </c>
      <c r="O53">
        <f>SUMIF('Как есть'!$A$73:$A$80,Доп.расчеты!$A53,'Как есть'!P$73:P$80)</f>
        <v>0</v>
      </c>
      <c r="P53">
        <f>SUMIF('Как есть'!$A$73:$A$80,Доп.расчеты!$A53,'Как есть'!Q$73:Q$80)</f>
        <v>0</v>
      </c>
      <c r="Q53">
        <f>SUMIF('Как есть'!$A$73:$A$80,Доп.расчеты!$A53,'Как есть'!R$73:R$80)</f>
        <v>0</v>
      </c>
      <c r="R53">
        <f>SUMIF('Как есть'!$A$73:$A$80,Доп.расчеты!$A53,'Как есть'!S$73:S$80)</f>
        <v>0</v>
      </c>
      <c r="S53">
        <f>SUMIF('Как есть'!$A$73:$A$80,Доп.расчеты!$A53,'Как есть'!T$73:T$80)</f>
        <v>0</v>
      </c>
      <c r="T53">
        <f>SUMIF('Как есть'!$A$73:$A$80,Доп.расчеты!$A53,'Как есть'!U$73:U$80)</f>
        <v>0</v>
      </c>
      <c r="U53">
        <f>SUMIF('Как есть'!$A$73:$A$80,Доп.расчеты!$A53,'Как есть'!V$73:V$80)</f>
        <v>0</v>
      </c>
      <c r="V53">
        <f>SUMIF('Как есть'!$A$73:$A$80,Доп.расчеты!$A53,'Как есть'!W$73:W$80)</f>
        <v>0</v>
      </c>
      <c r="W53">
        <f>SUMIF('Как есть'!$A$73:$A$80,Доп.расчеты!$A53,'Как есть'!X$73:X$80)</f>
        <v>0</v>
      </c>
      <c r="X53">
        <f>SUMIF('Как есть'!$A$73:$A$80,Доп.расчеты!$A53,'Как есть'!Y$73:Y$80)</f>
        <v>0</v>
      </c>
      <c r="Y53">
        <f>SUMIF('Как есть'!$A$73:$A$80,Доп.расчеты!$A53,'Как есть'!Z$73:Z$80)</f>
        <v>0</v>
      </c>
      <c r="Z53">
        <f>SUMIF('Как есть'!$A$73:$A$80,Доп.расчеты!$A53,'Как есть'!AA$73:AA$80)</f>
        <v>0</v>
      </c>
      <c r="AA53">
        <f>SUMIF('Как есть'!$A$73:$A$80,Доп.расчеты!$A53,'Как есть'!AB$73:AB$80)</f>
        <v>0</v>
      </c>
      <c r="AB53">
        <f>SUMIF('Как есть'!$A$73:$A$80,Доп.расчеты!$A53,'Как есть'!AC$73:AC$80)</f>
        <v>0</v>
      </c>
      <c r="AC53">
        <f>SUMIF('Как есть'!$A$73:$A$80,Доп.расчеты!$A53,'Как есть'!AD$73:AD$80)</f>
        <v>0</v>
      </c>
      <c r="AD53">
        <f>SUMIF('Как есть'!$A$73:$A$80,Доп.расчеты!$A53,'Как есть'!AE$73:AE$80)</f>
        <v>0</v>
      </c>
      <c r="AE53">
        <f>SUMIF('Как есть'!$A$73:$A$80,Доп.расчеты!$A53,'Как есть'!AF$73:AF$80)</f>
        <v>0</v>
      </c>
      <c r="AF53">
        <f>SUMIF('Как есть'!$A$73:$A$80,Доп.расчеты!$A53,'Как есть'!AG$73:AG$80)</f>
        <v>0</v>
      </c>
      <c r="AG53">
        <f>SUMIF('Как есть'!$A$73:$A$80,Доп.расчеты!$A53,'Как есть'!AH$73:AH$80)</f>
        <v>0</v>
      </c>
      <c r="AH53">
        <f>SUMIF('Как есть'!$A$73:$A$80,Доп.расчеты!$A53,'Как есть'!AI$73:AI$80)</f>
        <v>0</v>
      </c>
      <c r="AI53">
        <f>SUMIF('Как есть'!$A$73:$A$80,Доп.расчеты!$A53,'Как есть'!AJ$73:AJ$80)</f>
        <v>0</v>
      </c>
      <c r="AJ53">
        <f>SUMIF('Как есть'!$A$73:$A$80,Доп.расчеты!$A53,'Как есть'!AK$73:AK$80)</f>
        <v>0</v>
      </c>
      <c r="AK53">
        <f>SUMIF('Как есть'!$A$73:$A$80,Доп.расчеты!$A53,'Как есть'!AL$73:AL$80)</f>
        <v>0</v>
      </c>
      <c r="AL53">
        <f>SUMIF('Как есть'!$A$73:$A$80,Доп.расчеты!$A53,'Как есть'!AM$73:AM$80)</f>
        <v>0</v>
      </c>
      <c r="AM53">
        <f>SUMIF('Как есть'!$A$73:$A$80,Доп.расчеты!$A53,'Как есть'!AN$73:AN$80)</f>
        <v>0</v>
      </c>
      <c r="AN53">
        <f>SUMIF('Как есть'!$A$73:$A$80,Доп.расчеты!$A53,'Как есть'!AO$73:AO$80)</f>
        <v>0</v>
      </c>
      <c r="AO53">
        <f>SUMIF('Как есть'!$A$73:$A$80,Доп.расчеты!$A53,'Как есть'!AP$73:AP$80)</f>
        <v>0</v>
      </c>
      <c r="AP53">
        <f>SUMIF('Как есть'!$A$73:$A$80,Доп.расчеты!$A53,'Как есть'!AQ$73:AQ$80)</f>
        <v>0</v>
      </c>
      <c r="AQ53">
        <f>SUMIF('Как есть'!$A$73:$A$80,Доп.расчеты!$A53,'Как есть'!AR$73:AR$80)</f>
        <v>0</v>
      </c>
      <c r="AR53">
        <f>SUMIF('Как есть'!$A$73:$A$80,Доп.расчеты!$A53,'Как есть'!AS$73:AS$80)</f>
        <v>0</v>
      </c>
      <c r="AS53">
        <f>SUMIF('Как есть'!$A$73:$A$80,Доп.расчеты!$A53,'Как есть'!AT$73:AT$80)</f>
        <v>0</v>
      </c>
      <c r="AT53">
        <f>SUMIF('Как есть'!$A$73:$A$80,Доп.расчеты!$A53,'Как есть'!AU$73:AU$80)</f>
        <v>0</v>
      </c>
      <c r="AU53">
        <f>SUMIF('Как есть'!$A$73:$A$80,Доп.расчеты!$A53,'Как есть'!AV$73:AV$80)</f>
        <v>0</v>
      </c>
      <c r="AV53">
        <f>SUMIF('Как есть'!$A$73:$A$80,Доп.расчеты!$A53,'Как есть'!AW$73:AW$80)</f>
        <v>0</v>
      </c>
      <c r="AW53">
        <f>SUMIF('Как есть'!$A$73:$A$80,Доп.расчеты!$A53,'Как есть'!AX$73:AX$80)</f>
        <v>0</v>
      </c>
      <c r="AX53">
        <f>SUMIF('Как есть'!$A$73:$A$80,Доп.расчеты!$A53,'Как есть'!AY$73:AY$80)</f>
        <v>0</v>
      </c>
      <c r="AY53">
        <f>SUMIF('Как есть'!$A$73:$A$80,Доп.расчеты!$A53,'Как есть'!AZ$73:AZ$80)</f>
        <v>0</v>
      </c>
      <c r="AZ53">
        <f>SUMIF('Как есть'!$A$73:$A$80,Доп.расчеты!$A53,'Как есть'!BA$73:BA$80)</f>
        <v>0</v>
      </c>
      <c r="BA53">
        <f>SUMIF('Как есть'!$A$73:$A$80,Доп.расчеты!$A53,'Как есть'!BB$73:BB$80)</f>
        <v>0</v>
      </c>
      <c r="BB53">
        <f>SUMIF('Как есть'!$A$73:$A$80,Доп.расчеты!$A53,'Как есть'!BC$73:BC$80)</f>
        <v>0</v>
      </c>
      <c r="BC53">
        <f>SUMIF('Как есть'!$A$73:$A$80,Доп.расчеты!$A53,'Как есть'!BD$73:BD$80)</f>
        <v>0</v>
      </c>
      <c r="BD53">
        <f>SUMIF('Как есть'!$A$73:$A$80,Доп.расчеты!$A53,'Как есть'!BE$73:BE$80)</f>
        <v>0</v>
      </c>
      <c r="BE53">
        <f>SUMIF('Как есть'!$A$73:$A$80,Доп.расчеты!$A53,'Как есть'!BF$73:BF$80)</f>
        <v>0</v>
      </c>
      <c r="BF53">
        <f>SUMIF('Как есть'!$A$73:$A$80,Доп.расчеты!$A53,'Как есть'!BG$73:BG$80)</f>
        <v>0</v>
      </c>
      <c r="BG53">
        <f>SUMIF('Как есть'!$A$73:$A$80,Доп.расчеты!$A53,'Как есть'!BH$73:BH$80)</f>
        <v>0</v>
      </c>
      <c r="BH53">
        <f>SUMIF('Как есть'!$A$73:$A$80,Доп.расчеты!$A53,'Как есть'!BI$73:BI$80)</f>
        <v>0</v>
      </c>
      <c r="BI53">
        <f>SUMIF('Как есть'!$A$73:$A$80,Доп.расчеты!$A53,'Как есть'!BJ$73:BJ$80)</f>
        <v>0</v>
      </c>
      <c r="BJ53">
        <f>SUMIF('Как есть'!$A$73:$A$80,Доп.расчеты!$A53,'Как есть'!BK$73:BK$80)</f>
        <v>0</v>
      </c>
      <c r="BK53">
        <f>SUMIF('Как есть'!$A$73:$A$80,Доп.расчеты!$A53,'Как есть'!BL$73:BL$80)</f>
        <v>0</v>
      </c>
      <c r="BL53">
        <f>SUMIF('Как есть'!$A$73:$A$80,Доп.расчеты!$A53,'Как есть'!BM$73:BM$80)</f>
        <v>0</v>
      </c>
      <c r="BM53">
        <f>SUMIF('Как есть'!$A$73:$A$80,Доп.расчеты!$A53,'Как есть'!BN$73:BN$80)</f>
        <v>0</v>
      </c>
      <c r="BN53">
        <f>SUMIF('Как есть'!$A$73:$A$80,Доп.расчеты!$A53,'Как есть'!BO$73:BO$80)</f>
        <v>0</v>
      </c>
      <c r="BO53">
        <f>SUMIF('Как есть'!$A$73:$A$80,Доп.расчеты!$A53,'Как есть'!BP$73:BP$80)</f>
        <v>0</v>
      </c>
      <c r="BP53">
        <f>SUMIF('Как есть'!$A$73:$A$80,Доп.расчеты!$A53,'Как есть'!BQ$73:BQ$80)</f>
        <v>0</v>
      </c>
      <c r="BQ53">
        <f>SUMIF('Как есть'!$A$73:$A$80,Доп.расчеты!$A53,'Как есть'!BR$73:BR$80)</f>
        <v>0</v>
      </c>
      <c r="BR53">
        <f>SUMIF('Как есть'!$A$73:$A$80,Доп.расчеты!$A53,'Как есть'!BS$73:BS$80)</f>
        <v>0</v>
      </c>
      <c r="BS53">
        <f>SUMIF('Как есть'!$A$73:$A$80,Доп.расчеты!$A53,'Как есть'!BT$73:BT$80)</f>
        <v>0</v>
      </c>
      <c r="BT53">
        <f>SUMIF('Как есть'!$A$73:$A$80,Доп.расчеты!$A53,'Как есть'!BU$73:BU$80)</f>
        <v>0</v>
      </c>
      <c r="BU53">
        <f>SUMIF('Как есть'!$A$73:$A$80,Доп.расчеты!$A53,'Как есть'!BV$73:BV$80)</f>
        <v>0</v>
      </c>
      <c r="BV53">
        <f>SUMIF('Как есть'!$A$73:$A$80,Доп.расчеты!$A53,'Как есть'!BW$73:BW$80)</f>
        <v>0</v>
      </c>
      <c r="BW53">
        <f>SUMIF('Как есть'!$A$73:$A$80,Доп.расчеты!$A53,'Как есть'!BX$73:BX$80)</f>
        <v>0</v>
      </c>
      <c r="BX53">
        <f>SUMIF('Как есть'!$A$73:$A$80,Доп.расчеты!$A53,'Как есть'!BY$73:BY$80)</f>
        <v>0</v>
      </c>
      <c r="BY53">
        <f>SUMIF('Как есть'!$A$73:$A$80,Доп.расчеты!$A53,'Как есть'!BZ$73:BZ$80)</f>
        <v>0</v>
      </c>
      <c r="BZ53">
        <f>SUMIF('Как есть'!$A$73:$A$80,Доп.расчеты!$A53,'Как есть'!CA$73:CA$80)</f>
        <v>0</v>
      </c>
      <c r="CA53">
        <f>SUMIF('Как есть'!$A$73:$A$80,Доп.расчеты!$A53,'Как есть'!CB$73:CB$80)</f>
        <v>0</v>
      </c>
      <c r="CB53">
        <f>SUMIF('Как есть'!$A$73:$A$80,Доп.расчеты!$A53,'Как есть'!CC$73:CC$80)</f>
        <v>0</v>
      </c>
      <c r="CC53">
        <f>SUMIF('Как есть'!$A$73:$A$80,Доп.расчеты!$A53,'Как есть'!CD$73:CD$80)</f>
        <v>0</v>
      </c>
      <c r="CD53">
        <f>SUMIF('Как есть'!$A$73:$A$80,Доп.расчеты!$A53,'Как есть'!CE$73:CE$80)</f>
        <v>0</v>
      </c>
      <c r="CE53">
        <f>SUMIF('Как есть'!$A$73:$A$80,Доп.расчеты!$A53,'Как есть'!CF$73:CF$80)</f>
        <v>0</v>
      </c>
      <c r="CF53">
        <f>SUMIF('Как есть'!$A$73:$A$80,Доп.расчеты!$A53,'Как есть'!CG$73:CG$80)</f>
        <v>0</v>
      </c>
      <c r="CG53">
        <f>SUMIF('Как есть'!$A$73:$A$80,Доп.расчеты!$A53,'Как есть'!CH$73:CH$80)</f>
        <v>0</v>
      </c>
      <c r="CH53">
        <f>SUMIF('Как есть'!$A$73:$A$80,Доп.расчеты!$A53,'Как есть'!CI$73:CI$80)</f>
        <v>0</v>
      </c>
      <c r="CI53">
        <f>SUMIF('Как есть'!$A$73:$A$80,Доп.расчеты!$A53,'Как есть'!CJ$73:CJ$80)</f>
        <v>0</v>
      </c>
      <c r="CJ53">
        <f>SUMIF('Как есть'!$A$73:$A$80,Доп.расчеты!$A53,'Как есть'!CK$73:CK$80)</f>
        <v>0</v>
      </c>
      <c r="CK53">
        <f>SUMIF('Как есть'!$A$73:$A$80,Доп.расчеты!$A53,'Как есть'!CL$73:CL$80)</f>
        <v>0</v>
      </c>
      <c r="CL53">
        <f>SUMIF('Как есть'!$A$73:$A$80,Доп.расчеты!$A53,'Как есть'!CM$73:CM$80)</f>
        <v>0</v>
      </c>
      <c r="CM53">
        <f>SUMIF('Как есть'!$A$73:$A$80,Доп.расчеты!$A53,'Как есть'!CN$73:CN$80)</f>
        <v>0</v>
      </c>
      <c r="CN53">
        <f>SUMIF('Как есть'!$A$73:$A$80,Доп.расчеты!$A53,'Как есть'!CO$73:CO$80)</f>
        <v>0</v>
      </c>
      <c r="CO53">
        <f>SUMIF('Как есть'!$A$73:$A$80,Доп.расчеты!$A53,'Как есть'!CP$73:CP$80)</f>
        <v>0</v>
      </c>
      <c r="CP53">
        <f>SUMIF('Как есть'!$A$73:$A$80,Доп.расчеты!$A53,'Как есть'!CQ$73:CQ$80)</f>
        <v>0</v>
      </c>
      <c r="CQ53">
        <f>SUMIF('Как есть'!$A$73:$A$80,Доп.расчеты!$A53,'Как есть'!CR$73:CR$80)</f>
        <v>0</v>
      </c>
      <c r="CR53">
        <f>SUMIF('Как есть'!$A$73:$A$80,Доп.расчеты!$A53,'Как есть'!CS$73:CS$80)</f>
        <v>0</v>
      </c>
      <c r="CS53">
        <f>SUMIF('Как есть'!$A$73:$A$80,Доп.расчеты!$A53,'Как есть'!CT$73:CT$80)</f>
        <v>0</v>
      </c>
      <c r="CT53">
        <f>SUMIF('Как есть'!$A$73:$A$80,Доп.расчеты!$A53,'Как есть'!CU$73:CU$80)</f>
        <v>0</v>
      </c>
      <c r="CU53">
        <f>SUMIF('Как есть'!$A$73:$A$80,Доп.расчеты!$A53,'Как есть'!CV$73:CV$80)</f>
        <v>0</v>
      </c>
      <c r="CV53">
        <f>SUMIF('Как есть'!$A$73:$A$80,Доп.расчеты!$A53,'Как есть'!CW$73:CW$80)</f>
        <v>0</v>
      </c>
      <c r="CW53">
        <f>SUMIF('Как есть'!$A$73:$A$80,Доп.расчеты!$A53,'Как есть'!CX$73:CX$80)</f>
        <v>0</v>
      </c>
      <c r="CX53">
        <f>SUMIF('Как есть'!$A$73:$A$80,Доп.расчеты!$A53,'Как есть'!CY$73:CY$80)</f>
        <v>0</v>
      </c>
      <c r="CY53">
        <f>SUMIF('Как есть'!$A$73:$A$80,Доп.расчеты!$A53,'Как есть'!CZ$73:CZ$80)</f>
        <v>0</v>
      </c>
      <c r="CZ53">
        <f>SUMIF('Как есть'!$A$73:$A$80,Доп.расчеты!$A53,'Как есть'!DA$73:DA$80)</f>
        <v>0</v>
      </c>
      <c r="DA53">
        <f>SUMIF('Как есть'!$A$73:$A$80,Доп.расчеты!$A53,'Как есть'!DB$73:DB$80)</f>
        <v>0</v>
      </c>
      <c r="DB53">
        <f>SUMIF('Как есть'!$A$73:$A$80,Доп.расчеты!$A53,'Как есть'!DC$73:DC$80)</f>
        <v>0</v>
      </c>
      <c r="DC53">
        <f>SUMIF('Как есть'!$A$73:$A$80,Доп.расчеты!$A53,'Как есть'!DD$73:DD$80)</f>
        <v>0</v>
      </c>
      <c r="DD53">
        <f>SUMIF('Как есть'!$A$73:$A$80,Доп.расчеты!$A53,'Как есть'!DE$73:DE$80)</f>
        <v>0</v>
      </c>
      <c r="DE53">
        <f>SUMIF('Как есть'!$A$73:$A$80,Доп.расчеты!$A53,'Как есть'!DF$73:DF$80)</f>
        <v>0</v>
      </c>
      <c r="DF53">
        <f>SUMIF('Как есть'!$A$73:$A$80,Доп.расчеты!$A53,'Как есть'!DG$73:DG$80)</f>
        <v>0</v>
      </c>
      <c r="DG53">
        <f>SUMIF('Как есть'!$A$73:$A$80,Доп.расчеты!$A53,'Как есть'!DH$73:DH$80)</f>
        <v>0</v>
      </c>
      <c r="DH53">
        <f>SUMIF('Как есть'!$A$73:$A$80,Доп.расчеты!$A53,'Как есть'!DI$73:DI$80)</f>
        <v>0</v>
      </c>
      <c r="DI53">
        <f>SUMIF('Как есть'!$A$73:$A$80,Доп.расчеты!$A53,'Как есть'!DJ$73:DJ$80)</f>
        <v>0</v>
      </c>
      <c r="DJ53">
        <f>SUMIF('Как есть'!$A$73:$A$80,Доп.расчеты!$A53,'Как есть'!DK$73:DK$80)</f>
        <v>0</v>
      </c>
      <c r="DK53">
        <f>SUMIF('Как есть'!$A$73:$A$80,Доп.расчеты!$A53,'Как есть'!DL$73:DL$80)</f>
        <v>0</v>
      </c>
      <c r="DL53">
        <f>SUMIF('Как есть'!$A$73:$A$80,Доп.расчеты!$A53,'Как есть'!DM$73:DM$80)</f>
        <v>0</v>
      </c>
      <c r="DM53">
        <f>SUMIF('Как есть'!$A$73:$A$80,Доп.расчеты!$A53,'Как есть'!DN$73:DN$80)</f>
        <v>0</v>
      </c>
      <c r="DN53">
        <f>SUMIF('Как есть'!$A$73:$A$80,Доп.расчеты!$A53,'Как есть'!DO$73:DO$80)</f>
        <v>0</v>
      </c>
      <c r="DO53">
        <f>SUMIF('Как есть'!$A$73:$A$80,Доп.расчеты!$A53,'Как есть'!DP$73:DP$80)</f>
        <v>0</v>
      </c>
      <c r="DP53">
        <f>SUMIF('Как есть'!$A$73:$A$80,Доп.расчеты!$A53,'Как есть'!DQ$73:DQ$80)</f>
        <v>0</v>
      </c>
      <c r="DQ53">
        <f>SUMIF('Как есть'!$A$73:$A$80,Доп.расчеты!$A53,'Как есть'!DR$73:DR$80)</f>
        <v>0</v>
      </c>
      <c r="DR53">
        <f>SUMIF('Как есть'!$A$73:$A$80,Доп.расчеты!$A53,'Как есть'!DS$73:DS$80)</f>
        <v>0</v>
      </c>
      <c r="DS53">
        <f>SUMIF('Как есть'!$A$73:$A$80,Доп.расчеты!$A53,'Как есть'!DT$73:DT$80)</f>
        <v>0</v>
      </c>
      <c r="DT53">
        <f>SUMIF('Как есть'!$A$73:$A$80,Доп.расчеты!$A53,'Как есть'!DU$73:DU$80)</f>
        <v>0</v>
      </c>
      <c r="DU53">
        <f>SUMIF('Как есть'!$A$73:$A$80,Доп.расчеты!$A53,'Как есть'!DV$73:DV$80)</f>
        <v>0</v>
      </c>
      <c r="DV53">
        <f>SUMIF('Как есть'!$A$73:$A$80,Доп.расчеты!$A53,'Как есть'!DW$73:DW$80)</f>
        <v>0</v>
      </c>
      <c r="DW53">
        <f>SUMIF('Как есть'!$A$73:$A$80,Доп.расчеты!$A53,'Как есть'!DX$73:DX$80)</f>
        <v>0</v>
      </c>
      <c r="DX53">
        <f>SUMIF('Как есть'!$A$73:$A$80,Доп.расчеты!$A53,'Как есть'!DY$73:DY$80)</f>
        <v>0</v>
      </c>
      <c r="DY53">
        <f>SUMIF('Как есть'!$A$73:$A$80,Доп.расчеты!$A53,'Как есть'!DZ$73:DZ$80)</f>
        <v>0</v>
      </c>
      <c r="DZ53">
        <f>SUMIF('Как есть'!$A$73:$A$80,Доп.расчеты!$A53,'Как есть'!EA$73:EA$80)</f>
        <v>0</v>
      </c>
      <c r="EA53">
        <f>SUMIF('Как есть'!$A$73:$A$80,Доп.расчеты!$A53,'Как есть'!EB$73:EB$80)</f>
        <v>0</v>
      </c>
      <c r="EB53">
        <f>SUMIF('Как есть'!$A$73:$A$80,Доп.расчеты!$A53,'Как есть'!EC$73:EC$80)</f>
        <v>0</v>
      </c>
      <c r="EC53">
        <f>SUMIF('Как есть'!$A$73:$A$80,Доп.расчеты!$A53,'Как есть'!ED$73:ED$80)</f>
        <v>0</v>
      </c>
      <c r="ED53">
        <f>SUMIF('Как есть'!$A$73:$A$80,Доп.расчеты!$A53,'Как есть'!EE$73:EE$80)</f>
        <v>0</v>
      </c>
      <c r="EE53">
        <f>SUMIF('Как есть'!$A$73:$A$80,Доп.расчеты!$A53,'Как есть'!EF$73:EF$80)</f>
        <v>0</v>
      </c>
      <c r="EF53">
        <f>SUMIF('Как есть'!$A$73:$A$80,Доп.расчеты!$A53,'Как есть'!EG$73:EG$80)</f>
        <v>0</v>
      </c>
      <c r="EG53">
        <f>SUMIF('Как есть'!$A$73:$A$80,Доп.расчеты!$A53,'Как есть'!EH$73:EH$80)</f>
        <v>0</v>
      </c>
      <c r="EH53">
        <f>SUMIF('Как есть'!$A$73:$A$80,Доп.расчеты!$A53,'Как есть'!EI$73:EI$80)</f>
        <v>0</v>
      </c>
      <c r="EI53">
        <f>SUMIF('Как есть'!$A$73:$A$80,Доп.расчеты!$A53,'Как есть'!EJ$73:EJ$80)</f>
        <v>0</v>
      </c>
      <c r="EJ53">
        <f>SUMIF('Как есть'!$A$73:$A$80,Доп.расчеты!$A53,'Как есть'!EK$73:EK$80)</f>
        <v>0</v>
      </c>
      <c r="EK53">
        <f>SUMIF('Как есть'!$A$73:$A$80,Доп.расчеты!$A53,'Как есть'!EL$73:EL$80)</f>
        <v>0</v>
      </c>
      <c r="EL53">
        <f>SUMIF('Как есть'!$A$73:$A$80,Доп.расчеты!$A53,'Как есть'!EM$73:EM$80)</f>
        <v>0</v>
      </c>
      <c r="EM53">
        <f>SUMIF('Как есть'!$A$73:$A$80,Доп.расчеты!$A53,'Как есть'!EN$73:EN$80)</f>
        <v>0</v>
      </c>
      <c r="EN53">
        <f>SUMIF('Как есть'!$A$73:$A$80,Доп.расчеты!$A53,'Как есть'!EO$73:EO$80)</f>
        <v>0</v>
      </c>
      <c r="EO53">
        <f>SUMIF('Как есть'!$A$73:$A$80,Доп.расчеты!$A53,'Как есть'!EP$73:EP$80)</f>
        <v>0</v>
      </c>
      <c r="EP53">
        <f>SUMIF('Как есть'!$A$73:$A$80,Доп.расчеты!$A53,'Как есть'!EQ$73:EQ$80)</f>
        <v>0</v>
      </c>
      <c r="EQ53">
        <f>SUMIF('Как есть'!$A$73:$A$80,Доп.расчеты!$A53,'Как есть'!ER$73:ER$80)</f>
        <v>0</v>
      </c>
      <c r="ER53">
        <f>SUMIF('Как есть'!$A$73:$A$80,Доп.расчеты!$A53,'Как есть'!ES$73:ES$80)</f>
        <v>0</v>
      </c>
      <c r="ES53">
        <f>SUMIF('Как есть'!$A$73:$A$80,Доп.расчеты!$A53,'Как есть'!ET$73:ET$80)</f>
        <v>0</v>
      </c>
      <c r="ET53">
        <f>SUMIF('Как есть'!$A$73:$A$80,Доп.расчеты!$A53,'Как есть'!EU$73:EU$80)</f>
        <v>0</v>
      </c>
      <c r="EU53">
        <f>SUMIF('Как есть'!$A$73:$A$80,Доп.расчеты!$A53,'Как есть'!EV$73:EV$80)</f>
        <v>0</v>
      </c>
      <c r="EV53">
        <f>SUMIF('Как есть'!$A$73:$A$80,Доп.расчеты!$A53,'Как есть'!EW$73:EW$80)</f>
        <v>0</v>
      </c>
      <c r="EW53">
        <f>SUMIF('Как есть'!$A$73:$A$80,Доп.расчеты!$A53,'Как есть'!EX$73:EX$80)</f>
        <v>0</v>
      </c>
      <c r="EX53">
        <f>SUMIF('Как есть'!$A$73:$A$80,Доп.расчеты!$A53,'Как есть'!EY$73:EY$80)</f>
        <v>0</v>
      </c>
      <c r="EY53">
        <f>SUMIF('Как есть'!$A$73:$A$80,Доп.расчеты!$A53,'Как есть'!EZ$73:EZ$80)</f>
        <v>0</v>
      </c>
      <c r="EZ53">
        <f>SUMIF('Как есть'!$A$73:$A$80,Доп.расчеты!$A53,'Как есть'!FA$73:FA$80)</f>
        <v>0</v>
      </c>
      <c r="FA53">
        <f>SUMIF('Как есть'!$A$73:$A$80,Доп.расчеты!$A53,'Как есть'!FB$73:FB$80)</f>
        <v>0</v>
      </c>
      <c r="FB53">
        <f>SUMIF('Как есть'!$A$73:$A$80,Доп.расчеты!$A53,'Как есть'!FC$73:FC$80)</f>
        <v>0</v>
      </c>
      <c r="FC53">
        <f>SUMIF('Как есть'!$A$73:$A$80,Доп.расчеты!$A53,'Как есть'!FD$73:FD$80)</f>
        <v>0</v>
      </c>
      <c r="FD53">
        <f>SUMIF('Как есть'!$A$73:$A$80,Доп.расчеты!$A53,'Как есть'!FE$73:FE$80)</f>
        <v>0</v>
      </c>
      <c r="FE53">
        <f>SUMIF('Как есть'!$A$73:$A$80,Доп.расчеты!$A53,'Как есть'!FF$73:FF$80)</f>
        <v>0</v>
      </c>
      <c r="FF53">
        <f>SUMIF('Как есть'!$A$73:$A$80,Доп.расчеты!$A53,'Как есть'!FG$73:FG$80)</f>
        <v>0</v>
      </c>
      <c r="FG53">
        <f>SUMIF('Как есть'!$A$73:$A$80,Доп.расчеты!$A53,'Как есть'!FH$73:FH$80)</f>
        <v>0</v>
      </c>
      <c r="FH53">
        <f>SUMIF('Как есть'!$A$73:$A$80,Доп.расчеты!$A53,'Как есть'!FI$73:FI$80)</f>
        <v>0</v>
      </c>
      <c r="FI53">
        <f>SUMIF('Как есть'!$A$73:$A$80,Доп.расчеты!$A53,'Как есть'!FJ$73:FJ$80)</f>
        <v>0</v>
      </c>
      <c r="FJ53">
        <f>SUMIF('Как есть'!$A$73:$A$80,Доп.расчеты!$A53,'Как есть'!FK$73:FK$80)</f>
        <v>0</v>
      </c>
      <c r="FK53">
        <f>SUMIF('Как есть'!$A$73:$A$80,Доп.расчеты!$A53,'Как есть'!FL$73:FL$80)</f>
        <v>0</v>
      </c>
      <c r="FL53">
        <f>SUMIF('Как есть'!$A$73:$A$80,Доп.расчеты!$A53,'Как есть'!FM$73:FM$80)</f>
        <v>0</v>
      </c>
      <c r="FM53">
        <f>SUMIF('Как есть'!$A$73:$A$80,Доп.расчеты!$A53,'Как есть'!FN$73:FN$80)</f>
        <v>0</v>
      </c>
      <c r="FN53">
        <f>SUMIF('Как есть'!$A$73:$A$80,Доп.расчеты!$A53,'Как есть'!FO$73:FO$80)</f>
        <v>0</v>
      </c>
      <c r="FO53">
        <f>SUMIF('Как есть'!$A$73:$A$80,Доп.расчеты!$A53,'Как есть'!FP$73:FP$80)</f>
        <v>0</v>
      </c>
      <c r="FP53">
        <f>SUMIF('Как есть'!$A$73:$A$80,Доп.расчеты!$A53,'Как есть'!FQ$73:FQ$80)</f>
        <v>0</v>
      </c>
      <c r="FQ53">
        <f>SUMIF('Как есть'!$A$73:$A$80,Доп.расчеты!$A53,'Как есть'!FR$73:FR$80)</f>
        <v>0</v>
      </c>
      <c r="FR53">
        <f>SUMIF('Как есть'!$A$73:$A$80,Доп.расчеты!$A53,'Как есть'!FS$73:FS$80)</f>
        <v>0</v>
      </c>
      <c r="FS53">
        <f>SUMIF('Как есть'!$A$73:$A$80,Доп.расчеты!$A53,'Как есть'!FT$73:FT$80)</f>
        <v>0</v>
      </c>
      <c r="FT53">
        <f>SUMIF('Как есть'!$A$73:$A$80,Доп.расчеты!$A53,'Как есть'!FU$73:FU$80)</f>
        <v>0</v>
      </c>
      <c r="FU53">
        <f>SUMIF('Как есть'!$A$73:$A$80,Доп.расчеты!$A53,'Как есть'!FV$73:FV$80)</f>
        <v>0</v>
      </c>
      <c r="FV53">
        <f>SUMIF('Как есть'!$A$73:$A$80,Доп.расчеты!$A53,'Как есть'!FW$73:FW$80)</f>
        <v>0</v>
      </c>
      <c r="FW53">
        <f>SUMIF('Как есть'!$A$73:$A$80,Доп.расчеты!$A53,'Как есть'!FX$73:FX$80)</f>
        <v>0</v>
      </c>
      <c r="FX53">
        <f>SUMIF('Как есть'!$A$73:$A$80,Доп.расчеты!$A53,'Как есть'!FY$73:FY$80)</f>
        <v>0</v>
      </c>
      <c r="FY53">
        <f>SUMIF('Как есть'!$A$73:$A$80,Доп.расчеты!$A53,'Как есть'!FZ$73:FZ$80)</f>
        <v>0</v>
      </c>
      <c r="FZ53">
        <f>SUMIF('Как есть'!$A$73:$A$80,Доп.расчеты!$A53,'Как есть'!GA$73:GA$80)</f>
        <v>0</v>
      </c>
      <c r="GA53">
        <f>SUMIF('Как есть'!$A$73:$A$80,Доп.расчеты!$A53,'Как есть'!GB$73:GB$80)</f>
        <v>0</v>
      </c>
      <c r="GB53">
        <f>SUMIF('Как есть'!$A$73:$A$80,Доп.расчеты!$A53,'Как есть'!GC$73:GC$80)</f>
        <v>0</v>
      </c>
      <c r="GC53">
        <f>SUMIF('Как есть'!$A$73:$A$80,Доп.расчеты!$A53,'Как есть'!GD$73:GD$80)</f>
        <v>0</v>
      </c>
      <c r="GD53">
        <f>SUMIF('Как есть'!$A$73:$A$80,Доп.расчеты!$A53,'Как есть'!GE$73:GE$80)</f>
        <v>0</v>
      </c>
      <c r="GE53">
        <f>SUMIF('Как есть'!$A$73:$A$80,Доп.расчеты!$A53,'Как есть'!GF$73:GF$80)</f>
        <v>0</v>
      </c>
      <c r="GF53">
        <f>SUMIF('Как есть'!$A$73:$A$80,Доп.расчеты!$A53,'Как есть'!GG$73:GG$80)</f>
        <v>0</v>
      </c>
      <c r="GG53">
        <f>SUMIF('Как есть'!$A$73:$A$80,Доп.расчеты!$A53,'Как есть'!GH$73:GH$80)</f>
        <v>0</v>
      </c>
      <c r="GH53">
        <f>SUMIF('Как есть'!$A$73:$A$80,Доп.расчеты!$A53,'Как есть'!GI$73:GI$80)</f>
        <v>0</v>
      </c>
      <c r="GI53">
        <f>SUMIF('Как есть'!$A$73:$A$80,Доп.расчеты!$A53,'Как есть'!GJ$73:GJ$80)</f>
        <v>0</v>
      </c>
      <c r="GJ53">
        <f>SUMIF('Как есть'!$A$73:$A$80,Доп.расчеты!$A53,'Как есть'!GK$73:GK$80)</f>
        <v>0</v>
      </c>
      <c r="GK53">
        <f>SUMIF('Как есть'!$A$73:$A$80,Доп.расчеты!$A53,'Как есть'!GL$73:GL$80)</f>
        <v>0</v>
      </c>
      <c r="GL53">
        <f>SUMIF('Как есть'!$A$73:$A$80,Доп.расчеты!$A53,'Как есть'!GM$73:GM$80)</f>
        <v>0</v>
      </c>
      <c r="GM53">
        <f>SUMIF('Как есть'!$A$73:$A$80,Доп.расчеты!$A53,'Как есть'!GN$73:GN$80)</f>
        <v>0</v>
      </c>
      <c r="GN53">
        <f>SUMIF('Как есть'!$A$73:$A$80,Доп.расчеты!$A53,'Как есть'!GO$73:GO$80)</f>
        <v>0</v>
      </c>
      <c r="GO53">
        <f>SUMIF('Как есть'!$A$73:$A$80,Доп.расчеты!$A53,'Как есть'!GP$73:GP$80)</f>
        <v>0</v>
      </c>
      <c r="GP53">
        <f>SUMIF('Как есть'!$A$73:$A$80,Доп.расчеты!$A53,'Как есть'!GQ$73:GQ$80)</f>
        <v>0</v>
      </c>
      <c r="GQ53">
        <f>SUMIF('Как есть'!$A$73:$A$80,Доп.расчеты!$A53,'Как есть'!GR$73:GR$80)</f>
        <v>0</v>
      </c>
      <c r="GR53">
        <f>SUMIF('Как есть'!$A$73:$A$80,Доп.расчеты!$A53,'Как есть'!GS$73:GS$80)</f>
        <v>0</v>
      </c>
      <c r="GS53">
        <f>SUMIF('Как есть'!$A$73:$A$80,Доп.расчеты!$A53,'Как есть'!GT$73:GT$80)</f>
        <v>0</v>
      </c>
      <c r="GT53">
        <f>SUMIF('Как есть'!$A$73:$A$80,Доп.расчеты!$A53,'Как есть'!GU$73:GU$80)</f>
        <v>0</v>
      </c>
    </row>
    <row r="54" spans="1:202">
      <c r="A54" s="237" t="s">
        <v>91</v>
      </c>
      <c r="B54">
        <f>SUMIF('Как есть'!$A$73:$A$80,Доп.расчеты!$A54,'Как есть'!C$73:C$80)</f>
        <v>0</v>
      </c>
      <c r="C54">
        <f>SUMIF('Как есть'!$A$73:$A$80,Доп.расчеты!$A54,'Как есть'!D$73:D$80)</f>
        <v>0</v>
      </c>
      <c r="D54">
        <f>SUMIF('Как есть'!$A$73:$A$80,Доп.расчеты!$A54,'Как есть'!E$73:E$80)</f>
        <v>0</v>
      </c>
      <c r="E54">
        <f>SUMIF('Как есть'!$A$73:$A$80,Доп.расчеты!$A54,'Как есть'!F$73:F$80)</f>
        <v>0</v>
      </c>
      <c r="F54">
        <f>SUMIF('Как есть'!$A$73:$A$80,Доп.расчеты!$A54,'Как есть'!G$73:G$80)</f>
        <v>0</v>
      </c>
      <c r="G54">
        <f>SUMIF('Как есть'!$A$73:$A$80,Доп.расчеты!$A54,'Как есть'!H$73:H$80)</f>
        <v>0</v>
      </c>
      <c r="H54">
        <f>SUMIF('Как есть'!$A$73:$A$80,Доп.расчеты!$A54,'Как есть'!I$73:I$80)</f>
        <v>0</v>
      </c>
      <c r="I54">
        <f>SUMIF('Как есть'!$A$73:$A$80,Доп.расчеты!$A54,'Как есть'!J$73:J$80)</f>
        <v>0</v>
      </c>
      <c r="J54">
        <f>SUMIF('Как есть'!$A$73:$A$80,Доп.расчеты!$A54,'Как есть'!K$73:K$80)</f>
        <v>0</v>
      </c>
      <c r="K54">
        <f>SUMIF('Как есть'!$A$73:$A$80,Доп.расчеты!$A54,'Как есть'!L$73:L$80)</f>
        <v>0</v>
      </c>
      <c r="L54">
        <f>SUMIF('Как есть'!$A$73:$A$80,Доп.расчеты!$A54,'Как есть'!M$73:M$80)</f>
        <v>0</v>
      </c>
      <c r="M54">
        <f>SUMIF('Как есть'!$A$73:$A$80,Доп.расчеты!$A54,'Как есть'!N$73:N$80)</f>
        <v>0</v>
      </c>
      <c r="N54">
        <f>SUMIF('Как есть'!$A$73:$A$80,Доп.расчеты!$A54,'Как есть'!O$73:O$80)</f>
        <v>0</v>
      </c>
      <c r="O54">
        <f>SUMIF('Как есть'!$A$73:$A$80,Доп.расчеты!$A54,'Как есть'!P$73:P$80)</f>
        <v>0</v>
      </c>
      <c r="P54">
        <f>SUMIF('Как есть'!$A$73:$A$80,Доп.расчеты!$A54,'Как есть'!Q$73:Q$80)</f>
        <v>0</v>
      </c>
      <c r="Q54">
        <f>SUMIF('Как есть'!$A$73:$A$80,Доп.расчеты!$A54,'Как есть'!R$73:R$80)</f>
        <v>0</v>
      </c>
      <c r="R54">
        <f>SUMIF('Как есть'!$A$73:$A$80,Доп.расчеты!$A54,'Как есть'!S$73:S$80)</f>
        <v>0</v>
      </c>
      <c r="S54">
        <f>SUMIF('Как есть'!$A$73:$A$80,Доп.расчеты!$A54,'Как есть'!T$73:T$80)</f>
        <v>0</v>
      </c>
      <c r="T54">
        <f>SUMIF('Как есть'!$A$73:$A$80,Доп.расчеты!$A54,'Как есть'!U$73:U$80)</f>
        <v>0</v>
      </c>
      <c r="U54">
        <f>SUMIF('Как есть'!$A$73:$A$80,Доп.расчеты!$A54,'Как есть'!V$73:V$80)</f>
        <v>0</v>
      </c>
      <c r="V54">
        <f>SUMIF('Как есть'!$A$73:$A$80,Доп.расчеты!$A54,'Как есть'!W$73:W$80)</f>
        <v>0</v>
      </c>
      <c r="W54">
        <f>SUMIF('Как есть'!$A$73:$A$80,Доп.расчеты!$A54,'Как есть'!X$73:X$80)</f>
        <v>0</v>
      </c>
      <c r="X54">
        <f>SUMIF('Как есть'!$A$73:$A$80,Доп.расчеты!$A54,'Как есть'!Y$73:Y$80)</f>
        <v>0</v>
      </c>
      <c r="Y54">
        <f>SUMIF('Как есть'!$A$73:$A$80,Доп.расчеты!$A54,'Как есть'!Z$73:Z$80)</f>
        <v>0</v>
      </c>
      <c r="Z54">
        <f>SUMIF('Как есть'!$A$73:$A$80,Доп.расчеты!$A54,'Как есть'!AA$73:AA$80)</f>
        <v>0</v>
      </c>
      <c r="AA54">
        <f>SUMIF('Как есть'!$A$73:$A$80,Доп.расчеты!$A54,'Как есть'!AB$73:AB$80)</f>
        <v>0</v>
      </c>
      <c r="AB54">
        <f>SUMIF('Как есть'!$A$73:$A$80,Доп.расчеты!$A54,'Как есть'!AC$73:AC$80)</f>
        <v>0</v>
      </c>
      <c r="AC54">
        <f>SUMIF('Как есть'!$A$73:$A$80,Доп.расчеты!$A54,'Как есть'!AD$73:AD$80)</f>
        <v>0</v>
      </c>
      <c r="AD54">
        <f>SUMIF('Как есть'!$A$73:$A$80,Доп.расчеты!$A54,'Как есть'!AE$73:AE$80)</f>
        <v>0</v>
      </c>
      <c r="AE54">
        <f>SUMIF('Как есть'!$A$73:$A$80,Доп.расчеты!$A54,'Как есть'!AF$73:AF$80)</f>
        <v>0</v>
      </c>
      <c r="AF54">
        <f>SUMIF('Как есть'!$A$73:$A$80,Доп.расчеты!$A54,'Как есть'!AG$73:AG$80)</f>
        <v>0</v>
      </c>
      <c r="AG54">
        <f>SUMIF('Как есть'!$A$73:$A$80,Доп.расчеты!$A54,'Как есть'!AH$73:AH$80)</f>
        <v>0</v>
      </c>
      <c r="AH54">
        <f>SUMIF('Как есть'!$A$73:$A$80,Доп.расчеты!$A54,'Как есть'!AI$73:AI$80)</f>
        <v>0</v>
      </c>
      <c r="AI54">
        <f>SUMIF('Как есть'!$A$73:$A$80,Доп.расчеты!$A54,'Как есть'!AJ$73:AJ$80)</f>
        <v>0</v>
      </c>
      <c r="AJ54">
        <f>SUMIF('Как есть'!$A$73:$A$80,Доп.расчеты!$A54,'Как есть'!AK$73:AK$80)</f>
        <v>0</v>
      </c>
      <c r="AK54">
        <f>SUMIF('Как есть'!$A$73:$A$80,Доп.расчеты!$A54,'Как есть'!AL$73:AL$80)</f>
        <v>0</v>
      </c>
      <c r="AL54">
        <f>SUMIF('Как есть'!$A$73:$A$80,Доп.расчеты!$A54,'Как есть'!AM$73:AM$80)</f>
        <v>0</v>
      </c>
      <c r="AM54">
        <f>SUMIF('Как есть'!$A$73:$A$80,Доп.расчеты!$A54,'Как есть'!AN$73:AN$80)</f>
        <v>0</v>
      </c>
      <c r="AN54">
        <f>SUMIF('Как есть'!$A$73:$A$80,Доп.расчеты!$A54,'Как есть'!AO$73:AO$80)</f>
        <v>0</v>
      </c>
      <c r="AO54">
        <f>SUMIF('Как есть'!$A$73:$A$80,Доп.расчеты!$A54,'Как есть'!AP$73:AP$80)</f>
        <v>0</v>
      </c>
      <c r="AP54">
        <f>SUMIF('Как есть'!$A$73:$A$80,Доп.расчеты!$A54,'Как есть'!AQ$73:AQ$80)</f>
        <v>0</v>
      </c>
      <c r="AQ54">
        <f>SUMIF('Как есть'!$A$73:$A$80,Доп.расчеты!$A54,'Как есть'!AR$73:AR$80)</f>
        <v>0</v>
      </c>
      <c r="AR54">
        <f>SUMIF('Как есть'!$A$73:$A$80,Доп.расчеты!$A54,'Как есть'!AS$73:AS$80)</f>
        <v>0</v>
      </c>
      <c r="AS54">
        <f>SUMIF('Как есть'!$A$73:$A$80,Доп.расчеты!$A54,'Как есть'!AT$73:AT$80)</f>
        <v>0</v>
      </c>
      <c r="AT54">
        <f>SUMIF('Как есть'!$A$73:$A$80,Доп.расчеты!$A54,'Как есть'!AU$73:AU$80)</f>
        <v>0</v>
      </c>
      <c r="AU54">
        <f>SUMIF('Как есть'!$A$73:$A$80,Доп.расчеты!$A54,'Как есть'!AV$73:AV$80)</f>
        <v>0</v>
      </c>
      <c r="AV54">
        <f>SUMIF('Как есть'!$A$73:$A$80,Доп.расчеты!$A54,'Как есть'!AW$73:AW$80)</f>
        <v>0</v>
      </c>
      <c r="AW54">
        <f>SUMIF('Как есть'!$A$73:$A$80,Доп.расчеты!$A54,'Как есть'!AX$73:AX$80)</f>
        <v>0</v>
      </c>
      <c r="AX54">
        <f>SUMIF('Как есть'!$A$73:$A$80,Доп.расчеты!$A54,'Как есть'!AY$73:AY$80)</f>
        <v>0</v>
      </c>
      <c r="AY54">
        <f>SUMIF('Как есть'!$A$73:$A$80,Доп.расчеты!$A54,'Как есть'!AZ$73:AZ$80)</f>
        <v>0</v>
      </c>
      <c r="AZ54">
        <f>SUMIF('Как есть'!$A$73:$A$80,Доп.расчеты!$A54,'Как есть'!BA$73:BA$80)</f>
        <v>0</v>
      </c>
      <c r="BA54">
        <f>SUMIF('Как есть'!$A$73:$A$80,Доп.расчеты!$A54,'Как есть'!BB$73:BB$80)</f>
        <v>0</v>
      </c>
      <c r="BB54">
        <f>SUMIF('Как есть'!$A$73:$A$80,Доп.расчеты!$A54,'Как есть'!BC$73:BC$80)</f>
        <v>0</v>
      </c>
      <c r="BC54">
        <f>SUMIF('Как есть'!$A$73:$A$80,Доп.расчеты!$A54,'Как есть'!BD$73:BD$80)</f>
        <v>0</v>
      </c>
      <c r="BD54">
        <f>SUMIF('Как есть'!$A$73:$A$80,Доп.расчеты!$A54,'Как есть'!BE$73:BE$80)</f>
        <v>0</v>
      </c>
      <c r="BE54">
        <f>SUMIF('Как есть'!$A$73:$A$80,Доп.расчеты!$A54,'Как есть'!BF$73:BF$80)</f>
        <v>0</v>
      </c>
      <c r="BF54">
        <f>SUMIF('Как есть'!$A$73:$A$80,Доп.расчеты!$A54,'Как есть'!BG$73:BG$80)</f>
        <v>0</v>
      </c>
      <c r="BG54">
        <f>SUMIF('Как есть'!$A$73:$A$80,Доп.расчеты!$A54,'Как есть'!BH$73:BH$80)</f>
        <v>0</v>
      </c>
      <c r="BH54">
        <f>SUMIF('Как есть'!$A$73:$A$80,Доп.расчеты!$A54,'Как есть'!BI$73:BI$80)</f>
        <v>0</v>
      </c>
      <c r="BI54">
        <f>SUMIF('Как есть'!$A$73:$A$80,Доп.расчеты!$A54,'Как есть'!BJ$73:BJ$80)</f>
        <v>0</v>
      </c>
      <c r="BJ54">
        <f>SUMIF('Как есть'!$A$73:$A$80,Доп.расчеты!$A54,'Как есть'!BK$73:BK$80)</f>
        <v>0</v>
      </c>
      <c r="BK54">
        <f>SUMIF('Как есть'!$A$73:$A$80,Доп.расчеты!$A54,'Как есть'!BL$73:BL$80)</f>
        <v>0</v>
      </c>
      <c r="BL54">
        <f>SUMIF('Как есть'!$A$73:$A$80,Доп.расчеты!$A54,'Как есть'!BM$73:BM$80)</f>
        <v>0</v>
      </c>
      <c r="BM54">
        <f>SUMIF('Как есть'!$A$73:$A$80,Доп.расчеты!$A54,'Как есть'!BN$73:BN$80)</f>
        <v>0</v>
      </c>
      <c r="BN54">
        <f>SUMIF('Как есть'!$A$73:$A$80,Доп.расчеты!$A54,'Как есть'!BO$73:BO$80)</f>
        <v>0</v>
      </c>
      <c r="BO54">
        <f>SUMIF('Как есть'!$A$73:$A$80,Доп.расчеты!$A54,'Как есть'!BP$73:BP$80)</f>
        <v>0</v>
      </c>
      <c r="BP54">
        <f>SUMIF('Как есть'!$A$73:$A$80,Доп.расчеты!$A54,'Как есть'!BQ$73:BQ$80)</f>
        <v>0</v>
      </c>
      <c r="BQ54">
        <f>SUMIF('Как есть'!$A$73:$A$80,Доп.расчеты!$A54,'Как есть'!BR$73:BR$80)</f>
        <v>0</v>
      </c>
      <c r="BR54">
        <f>SUMIF('Как есть'!$A$73:$A$80,Доп.расчеты!$A54,'Как есть'!BS$73:BS$80)</f>
        <v>0</v>
      </c>
      <c r="BS54">
        <f>SUMIF('Как есть'!$A$73:$A$80,Доп.расчеты!$A54,'Как есть'!BT$73:BT$80)</f>
        <v>0</v>
      </c>
      <c r="BT54">
        <f>SUMIF('Как есть'!$A$73:$A$80,Доп.расчеты!$A54,'Как есть'!BU$73:BU$80)</f>
        <v>0</v>
      </c>
      <c r="BU54">
        <f>SUMIF('Как есть'!$A$73:$A$80,Доп.расчеты!$A54,'Как есть'!BV$73:BV$80)</f>
        <v>0</v>
      </c>
      <c r="BV54">
        <f>SUMIF('Как есть'!$A$73:$A$80,Доп.расчеты!$A54,'Как есть'!BW$73:BW$80)</f>
        <v>0</v>
      </c>
      <c r="BW54">
        <f>SUMIF('Как есть'!$A$73:$A$80,Доп.расчеты!$A54,'Как есть'!BX$73:BX$80)</f>
        <v>0</v>
      </c>
      <c r="BX54">
        <f>SUMIF('Как есть'!$A$73:$A$80,Доп.расчеты!$A54,'Как есть'!BY$73:BY$80)</f>
        <v>0</v>
      </c>
      <c r="BY54">
        <f>SUMIF('Как есть'!$A$73:$A$80,Доп.расчеты!$A54,'Как есть'!BZ$73:BZ$80)</f>
        <v>0</v>
      </c>
      <c r="BZ54">
        <f>SUMIF('Как есть'!$A$73:$A$80,Доп.расчеты!$A54,'Как есть'!CA$73:CA$80)</f>
        <v>0</v>
      </c>
      <c r="CA54">
        <f>SUMIF('Как есть'!$A$73:$A$80,Доп.расчеты!$A54,'Как есть'!CB$73:CB$80)</f>
        <v>0</v>
      </c>
      <c r="CB54">
        <f>SUMIF('Как есть'!$A$73:$A$80,Доп.расчеты!$A54,'Как есть'!CC$73:CC$80)</f>
        <v>0</v>
      </c>
      <c r="CC54">
        <f>SUMIF('Как есть'!$A$73:$A$80,Доп.расчеты!$A54,'Как есть'!CD$73:CD$80)</f>
        <v>0</v>
      </c>
      <c r="CD54">
        <f>SUMIF('Как есть'!$A$73:$A$80,Доп.расчеты!$A54,'Как есть'!CE$73:CE$80)</f>
        <v>0</v>
      </c>
      <c r="CE54">
        <f>SUMIF('Как есть'!$A$73:$A$80,Доп.расчеты!$A54,'Как есть'!CF$73:CF$80)</f>
        <v>0</v>
      </c>
      <c r="CF54">
        <f>SUMIF('Как есть'!$A$73:$A$80,Доп.расчеты!$A54,'Как есть'!CG$73:CG$80)</f>
        <v>0</v>
      </c>
      <c r="CG54">
        <f>SUMIF('Как есть'!$A$73:$A$80,Доп.расчеты!$A54,'Как есть'!CH$73:CH$80)</f>
        <v>0</v>
      </c>
      <c r="CH54">
        <f>SUMIF('Как есть'!$A$73:$A$80,Доп.расчеты!$A54,'Как есть'!CI$73:CI$80)</f>
        <v>0</v>
      </c>
      <c r="CI54">
        <f>SUMIF('Как есть'!$A$73:$A$80,Доп.расчеты!$A54,'Как есть'!CJ$73:CJ$80)</f>
        <v>0</v>
      </c>
      <c r="CJ54">
        <f>SUMIF('Как есть'!$A$73:$A$80,Доп.расчеты!$A54,'Как есть'!CK$73:CK$80)</f>
        <v>0</v>
      </c>
      <c r="CK54">
        <f>SUMIF('Как есть'!$A$73:$A$80,Доп.расчеты!$A54,'Как есть'!CL$73:CL$80)</f>
        <v>0</v>
      </c>
      <c r="CL54">
        <f>SUMIF('Как есть'!$A$73:$A$80,Доп.расчеты!$A54,'Как есть'!CM$73:CM$80)</f>
        <v>0</v>
      </c>
      <c r="CM54">
        <f>SUMIF('Как есть'!$A$73:$A$80,Доп.расчеты!$A54,'Как есть'!CN$73:CN$80)</f>
        <v>0</v>
      </c>
      <c r="CN54">
        <f>SUMIF('Как есть'!$A$73:$A$80,Доп.расчеты!$A54,'Как есть'!CO$73:CO$80)</f>
        <v>0</v>
      </c>
      <c r="CO54">
        <f>SUMIF('Как есть'!$A$73:$A$80,Доп.расчеты!$A54,'Как есть'!CP$73:CP$80)</f>
        <v>0</v>
      </c>
      <c r="CP54">
        <f>SUMIF('Как есть'!$A$73:$A$80,Доп.расчеты!$A54,'Как есть'!CQ$73:CQ$80)</f>
        <v>0</v>
      </c>
      <c r="CQ54">
        <f>SUMIF('Как есть'!$A$73:$A$80,Доп.расчеты!$A54,'Как есть'!CR$73:CR$80)</f>
        <v>0</v>
      </c>
      <c r="CR54">
        <f>SUMIF('Как есть'!$A$73:$A$80,Доп.расчеты!$A54,'Как есть'!CS$73:CS$80)</f>
        <v>0</v>
      </c>
      <c r="CS54">
        <f>SUMIF('Как есть'!$A$73:$A$80,Доп.расчеты!$A54,'Как есть'!CT$73:CT$80)</f>
        <v>0</v>
      </c>
      <c r="CT54">
        <f>SUMIF('Как есть'!$A$73:$A$80,Доп.расчеты!$A54,'Как есть'!CU$73:CU$80)</f>
        <v>0</v>
      </c>
      <c r="CU54">
        <f>SUMIF('Как есть'!$A$73:$A$80,Доп.расчеты!$A54,'Как есть'!CV$73:CV$80)</f>
        <v>0</v>
      </c>
      <c r="CV54">
        <f>SUMIF('Как есть'!$A$73:$A$80,Доп.расчеты!$A54,'Как есть'!CW$73:CW$80)</f>
        <v>0</v>
      </c>
      <c r="CW54">
        <f>SUMIF('Как есть'!$A$73:$A$80,Доп.расчеты!$A54,'Как есть'!CX$73:CX$80)</f>
        <v>0</v>
      </c>
      <c r="CX54">
        <f>SUMIF('Как есть'!$A$73:$A$80,Доп.расчеты!$A54,'Как есть'!CY$73:CY$80)</f>
        <v>0</v>
      </c>
      <c r="CY54">
        <f>SUMIF('Как есть'!$A$73:$A$80,Доп.расчеты!$A54,'Как есть'!CZ$73:CZ$80)</f>
        <v>0</v>
      </c>
      <c r="CZ54">
        <f>SUMIF('Как есть'!$A$73:$A$80,Доп.расчеты!$A54,'Как есть'!DA$73:DA$80)</f>
        <v>0</v>
      </c>
      <c r="DA54">
        <f>SUMIF('Как есть'!$A$73:$A$80,Доп.расчеты!$A54,'Как есть'!DB$73:DB$80)</f>
        <v>0</v>
      </c>
      <c r="DB54">
        <f>SUMIF('Как есть'!$A$73:$A$80,Доп.расчеты!$A54,'Как есть'!DC$73:DC$80)</f>
        <v>0</v>
      </c>
      <c r="DC54">
        <f>SUMIF('Как есть'!$A$73:$A$80,Доп.расчеты!$A54,'Как есть'!DD$73:DD$80)</f>
        <v>0</v>
      </c>
      <c r="DD54">
        <f>SUMIF('Как есть'!$A$73:$A$80,Доп.расчеты!$A54,'Как есть'!DE$73:DE$80)</f>
        <v>0</v>
      </c>
      <c r="DE54">
        <f>SUMIF('Как есть'!$A$73:$A$80,Доп.расчеты!$A54,'Как есть'!DF$73:DF$80)</f>
        <v>0</v>
      </c>
      <c r="DF54">
        <f>SUMIF('Как есть'!$A$73:$A$80,Доп.расчеты!$A54,'Как есть'!DG$73:DG$80)</f>
        <v>0</v>
      </c>
      <c r="DG54">
        <f>SUMIF('Как есть'!$A$73:$A$80,Доп.расчеты!$A54,'Как есть'!DH$73:DH$80)</f>
        <v>0</v>
      </c>
      <c r="DH54">
        <f>SUMIF('Как есть'!$A$73:$A$80,Доп.расчеты!$A54,'Как есть'!DI$73:DI$80)</f>
        <v>0</v>
      </c>
      <c r="DI54">
        <f>SUMIF('Как есть'!$A$73:$A$80,Доп.расчеты!$A54,'Как есть'!DJ$73:DJ$80)</f>
        <v>0</v>
      </c>
      <c r="DJ54">
        <f>SUMIF('Как есть'!$A$73:$A$80,Доп.расчеты!$A54,'Как есть'!DK$73:DK$80)</f>
        <v>0</v>
      </c>
      <c r="DK54">
        <f>SUMIF('Как есть'!$A$73:$A$80,Доп.расчеты!$A54,'Как есть'!DL$73:DL$80)</f>
        <v>0</v>
      </c>
      <c r="DL54">
        <f>SUMIF('Как есть'!$A$73:$A$80,Доп.расчеты!$A54,'Как есть'!DM$73:DM$80)</f>
        <v>0</v>
      </c>
      <c r="DM54">
        <f>SUMIF('Как есть'!$A$73:$A$80,Доп.расчеты!$A54,'Как есть'!DN$73:DN$80)</f>
        <v>0</v>
      </c>
      <c r="DN54">
        <f>SUMIF('Как есть'!$A$73:$A$80,Доп.расчеты!$A54,'Как есть'!DO$73:DO$80)</f>
        <v>0</v>
      </c>
      <c r="DO54">
        <f>SUMIF('Как есть'!$A$73:$A$80,Доп.расчеты!$A54,'Как есть'!DP$73:DP$80)</f>
        <v>0</v>
      </c>
      <c r="DP54">
        <f>SUMIF('Как есть'!$A$73:$A$80,Доп.расчеты!$A54,'Как есть'!DQ$73:DQ$80)</f>
        <v>0</v>
      </c>
      <c r="DQ54">
        <f>SUMIF('Как есть'!$A$73:$A$80,Доп.расчеты!$A54,'Как есть'!DR$73:DR$80)</f>
        <v>0</v>
      </c>
      <c r="DR54">
        <f>SUMIF('Как есть'!$A$73:$A$80,Доп.расчеты!$A54,'Как есть'!DS$73:DS$80)</f>
        <v>0</v>
      </c>
      <c r="DS54">
        <f>SUMIF('Как есть'!$A$73:$A$80,Доп.расчеты!$A54,'Как есть'!DT$73:DT$80)</f>
        <v>0</v>
      </c>
      <c r="DT54">
        <f>SUMIF('Как есть'!$A$73:$A$80,Доп.расчеты!$A54,'Как есть'!DU$73:DU$80)</f>
        <v>0</v>
      </c>
      <c r="DU54">
        <f>SUMIF('Как есть'!$A$73:$A$80,Доп.расчеты!$A54,'Как есть'!DV$73:DV$80)</f>
        <v>0</v>
      </c>
      <c r="DV54">
        <f>SUMIF('Как есть'!$A$73:$A$80,Доп.расчеты!$A54,'Как есть'!DW$73:DW$80)</f>
        <v>0</v>
      </c>
      <c r="DW54">
        <f>SUMIF('Как есть'!$A$73:$A$80,Доп.расчеты!$A54,'Как есть'!DX$73:DX$80)</f>
        <v>0</v>
      </c>
      <c r="DX54">
        <f>SUMIF('Как есть'!$A$73:$A$80,Доп.расчеты!$A54,'Как есть'!DY$73:DY$80)</f>
        <v>0</v>
      </c>
      <c r="DY54">
        <f>SUMIF('Как есть'!$A$73:$A$80,Доп.расчеты!$A54,'Как есть'!DZ$73:DZ$80)</f>
        <v>0</v>
      </c>
      <c r="DZ54">
        <f>SUMIF('Как есть'!$A$73:$A$80,Доп.расчеты!$A54,'Как есть'!EA$73:EA$80)</f>
        <v>0</v>
      </c>
      <c r="EA54">
        <f>SUMIF('Как есть'!$A$73:$A$80,Доп.расчеты!$A54,'Как есть'!EB$73:EB$80)</f>
        <v>0</v>
      </c>
      <c r="EB54">
        <f>SUMIF('Как есть'!$A$73:$A$80,Доп.расчеты!$A54,'Как есть'!EC$73:EC$80)</f>
        <v>0</v>
      </c>
      <c r="EC54">
        <f>SUMIF('Как есть'!$A$73:$A$80,Доп.расчеты!$A54,'Как есть'!ED$73:ED$80)</f>
        <v>0</v>
      </c>
      <c r="ED54">
        <f>SUMIF('Как есть'!$A$73:$A$80,Доп.расчеты!$A54,'Как есть'!EE$73:EE$80)</f>
        <v>0</v>
      </c>
      <c r="EE54">
        <f>SUMIF('Как есть'!$A$73:$A$80,Доп.расчеты!$A54,'Как есть'!EF$73:EF$80)</f>
        <v>0</v>
      </c>
      <c r="EF54">
        <f>SUMIF('Как есть'!$A$73:$A$80,Доп.расчеты!$A54,'Как есть'!EG$73:EG$80)</f>
        <v>0</v>
      </c>
      <c r="EG54">
        <f>SUMIF('Как есть'!$A$73:$A$80,Доп.расчеты!$A54,'Как есть'!EH$73:EH$80)</f>
        <v>0</v>
      </c>
      <c r="EH54">
        <f>SUMIF('Как есть'!$A$73:$A$80,Доп.расчеты!$A54,'Как есть'!EI$73:EI$80)</f>
        <v>0</v>
      </c>
      <c r="EI54">
        <f>SUMIF('Как есть'!$A$73:$A$80,Доп.расчеты!$A54,'Как есть'!EJ$73:EJ$80)</f>
        <v>0</v>
      </c>
      <c r="EJ54">
        <f>SUMIF('Как есть'!$A$73:$A$80,Доп.расчеты!$A54,'Как есть'!EK$73:EK$80)</f>
        <v>0</v>
      </c>
      <c r="EK54">
        <f>SUMIF('Как есть'!$A$73:$A$80,Доп.расчеты!$A54,'Как есть'!EL$73:EL$80)</f>
        <v>0</v>
      </c>
      <c r="EL54">
        <f>SUMIF('Как есть'!$A$73:$A$80,Доп.расчеты!$A54,'Как есть'!EM$73:EM$80)</f>
        <v>0</v>
      </c>
      <c r="EM54">
        <f>SUMIF('Как есть'!$A$73:$A$80,Доп.расчеты!$A54,'Как есть'!EN$73:EN$80)</f>
        <v>0</v>
      </c>
      <c r="EN54">
        <f>SUMIF('Как есть'!$A$73:$A$80,Доп.расчеты!$A54,'Как есть'!EO$73:EO$80)</f>
        <v>0</v>
      </c>
      <c r="EO54">
        <f>SUMIF('Как есть'!$A$73:$A$80,Доп.расчеты!$A54,'Как есть'!EP$73:EP$80)</f>
        <v>0</v>
      </c>
      <c r="EP54">
        <f>SUMIF('Как есть'!$A$73:$A$80,Доп.расчеты!$A54,'Как есть'!EQ$73:EQ$80)</f>
        <v>0</v>
      </c>
      <c r="EQ54">
        <f>SUMIF('Как есть'!$A$73:$A$80,Доп.расчеты!$A54,'Как есть'!ER$73:ER$80)</f>
        <v>0</v>
      </c>
      <c r="ER54">
        <f>SUMIF('Как есть'!$A$73:$A$80,Доп.расчеты!$A54,'Как есть'!ES$73:ES$80)</f>
        <v>0</v>
      </c>
      <c r="ES54">
        <f>SUMIF('Как есть'!$A$73:$A$80,Доп.расчеты!$A54,'Как есть'!ET$73:ET$80)</f>
        <v>0</v>
      </c>
      <c r="ET54">
        <f>SUMIF('Как есть'!$A$73:$A$80,Доп.расчеты!$A54,'Как есть'!EU$73:EU$80)</f>
        <v>0</v>
      </c>
      <c r="EU54">
        <f>SUMIF('Как есть'!$A$73:$A$80,Доп.расчеты!$A54,'Как есть'!EV$73:EV$80)</f>
        <v>0</v>
      </c>
      <c r="EV54">
        <f>SUMIF('Как есть'!$A$73:$A$80,Доп.расчеты!$A54,'Как есть'!EW$73:EW$80)</f>
        <v>0</v>
      </c>
      <c r="EW54">
        <f>SUMIF('Как есть'!$A$73:$A$80,Доп.расчеты!$A54,'Как есть'!EX$73:EX$80)</f>
        <v>0</v>
      </c>
      <c r="EX54">
        <f>SUMIF('Как есть'!$A$73:$A$80,Доп.расчеты!$A54,'Как есть'!EY$73:EY$80)</f>
        <v>0</v>
      </c>
      <c r="EY54">
        <f>SUMIF('Как есть'!$A$73:$A$80,Доп.расчеты!$A54,'Как есть'!EZ$73:EZ$80)</f>
        <v>0</v>
      </c>
      <c r="EZ54">
        <f>SUMIF('Как есть'!$A$73:$A$80,Доп.расчеты!$A54,'Как есть'!FA$73:FA$80)</f>
        <v>0</v>
      </c>
      <c r="FA54">
        <f>SUMIF('Как есть'!$A$73:$A$80,Доп.расчеты!$A54,'Как есть'!FB$73:FB$80)</f>
        <v>0</v>
      </c>
      <c r="FB54">
        <f>SUMIF('Как есть'!$A$73:$A$80,Доп.расчеты!$A54,'Как есть'!FC$73:FC$80)</f>
        <v>0</v>
      </c>
      <c r="FC54">
        <f>SUMIF('Как есть'!$A$73:$A$80,Доп.расчеты!$A54,'Как есть'!FD$73:FD$80)</f>
        <v>0</v>
      </c>
      <c r="FD54">
        <f>SUMIF('Как есть'!$A$73:$A$80,Доп.расчеты!$A54,'Как есть'!FE$73:FE$80)</f>
        <v>0</v>
      </c>
      <c r="FE54">
        <f>SUMIF('Как есть'!$A$73:$A$80,Доп.расчеты!$A54,'Как есть'!FF$73:FF$80)</f>
        <v>0</v>
      </c>
      <c r="FF54">
        <f>SUMIF('Как есть'!$A$73:$A$80,Доп.расчеты!$A54,'Как есть'!FG$73:FG$80)</f>
        <v>0</v>
      </c>
      <c r="FG54">
        <f>SUMIF('Как есть'!$A$73:$A$80,Доп.расчеты!$A54,'Как есть'!FH$73:FH$80)</f>
        <v>0</v>
      </c>
      <c r="FH54">
        <f>SUMIF('Как есть'!$A$73:$A$80,Доп.расчеты!$A54,'Как есть'!FI$73:FI$80)</f>
        <v>0</v>
      </c>
      <c r="FI54">
        <f>SUMIF('Как есть'!$A$73:$A$80,Доп.расчеты!$A54,'Как есть'!FJ$73:FJ$80)</f>
        <v>0</v>
      </c>
      <c r="FJ54">
        <f>SUMIF('Как есть'!$A$73:$A$80,Доп.расчеты!$A54,'Как есть'!FK$73:FK$80)</f>
        <v>0</v>
      </c>
      <c r="FK54">
        <f>SUMIF('Как есть'!$A$73:$A$80,Доп.расчеты!$A54,'Как есть'!FL$73:FL$80)</f>
        <v>0</v>
      </c>
      <c r="FL54">
        <f>SUMIF('Как есть'!$A$73:$A$80,Доп.расчеты!$A54,'Как есть'!FM$73:FM$80)</f>
        <v>0</v>
      </c>
      <c r="FM54">
        <f>SUMIF('Как есть'!$A$73:$A$80,Доп.расчеты!$A54,'Как есть'!FN$73:FN$80)</f>
        <v>0</v>
      </c>
      <c r="FN54">
        <f>SUMIF('Как есть'!$A$73:$A$80,Доп.расчеты!$A54,'Как есть'!FO$73:FO$80)</f>
        <v>0</v>
      </c>
      <c r="FO54">
        <f>SUMIF('Как есть'!$A$73:$A$80,Доп.расчеты!$A54,'Как есть'!FP$73:FP$80)</f>
        <v>0</v>
      </c>
      <c r="FP54">
        <f>SUMIF('Как есть'!$A$73:$A$80,Доп.расчеты!$A54,'Как есть'!FQ$73:FQ$80)</f>
        <v>0</v>
      </c>
      <c r="FQ54">
        <f>SUMIF('Как есть'!$A$73:$A$80,Доп.расчеты!$A54,'Как есть'!FR$73:FR$80)</f>
        <v>0</v>
      </c>
      <c r="FR54">
        <f>SUMIF('Как есть'!$A$73:$A$80,Доп.расчеты!$A54,'Как есть'!FS$73:FS$80)</f>
        <v>0</v>
      </c>
      <c r="FS54">
        <f>SUMIF('Как есть'!$A$73:$A$80,Доп.расчеты!$A54,'Как есть'!FT$73:FT$80)</f>
        <v>0</v>
      </c>
      <c r="FT54">
        <f>SUMIF('Как есть'!$A$73:$A$80,Доп.расчеты!$A54,'Как есть'!FU$73:FU$80)</f>
        <v>0</v>
      </c>
      <c r="FU54">
        <f>SUMIF('Как есть'!$A$73:$A$80,Доп.расчеты!$A54,'Как есть'!FV$73:FV$80)</f>
        <v>0</v>
      </c>
      <c r="FV54">
        <f>SUMIF('Как есть'!$A$73:$A$80,Доп.расчеты!$A54,'Как есть'!FW$73:FW$80)</f>
        <v>0</v>
      </c>
      <c r="FW54">
        <f>SUMIF('Как есть'!$A$73:$A$80,Доп.расчеты!$A54,'Как есть'!FX$73:FX$80)</f>
        <v>0</v>
      </c>
      <c r="FX54">
        <f>SUMIF('Как есть'!$A$73:$A$80,Доп.расчеты!$A54,'Как есть'!FY$73:FY$80)</f>
        <v>0</v>
      </c>
      <c r="FY54">
        <f>SUMIF('Как есть'!$A$73:$A$80,Доп.расчеты!$A54,'Как есть'!FZ$73:FZ$80)</f>
        <v>0</v>
      </c>
      <c r="FZ54">
        <f>SUMIF('Как есть'!$A$73:$A$80,Доп.расчеты!$A54,'Как есть'!GA$73:GA$80)</f>
        <v>0</v>
      </c>
      <c r="GA54">
        <f>SUMIF('Как есть'!$A$73:$A$80,Доп.расчеты!$A54,'Как есть'!GB$73:GB$80)</f>
        <v>0</v>
      </c>
      <c r="GB54">
        <f>SUMIF('Как есть'!$A$73:$A$80,Доп.расчеты!$A54,'Как есть'!GC$73:GC$80)</f>
        <v>0</v>
      </c>
      <c r="GC54">
        <f>SUMIF('Как есть'!$A$73:$A$80,Доп.расчеты!$A54,'Как есть'!GD$73:GD$80)</f>
        <v>0</v>
      </c>
      <c r="GD54">
        <f>SUMIF('Как есть'!$A$73:$A$80,Доп.расчеты!$A54,'Как есть'!GE$73:GE$80)</f>
        <v>0</v>
      </c>
      <c r="GE54">
        <f>SUMIF('Как есть'!$A$73:$A$80,Доп.расчеты!$A54,'Как есть'!GF$73:GF$80)</f>
        <v>0</v>
      </c>
      <c r="GF54">
        <f>SUMIF('Как есть'!$A$73:$A$80,Доп.расчеты!$A54,'Как есть'!GG$73:GG$80)</f>
        <v>0</v>
      </c>
      <c r="GG54">
        <f>SUMIF('Как есть'!$A$73:$A$80,Доп.расчеты!$A54,'Как есть'!GH$73:GH$80)</f>
        <v>0</v>
      </c>
      <c r="GH54">
        <f>SUMIF('Как есть'!$A$73:$A$80,Доп.расчеты!$A54,'Как есть'!GI$73:GI$80)</f>
        <v>0</v>
      </c>
      <c r="GI54">
        <f>SUMIF('Как есть'!$A$73:$A$80,Доп.расчеты!$A54,'Как есть'!GJ$73:GJ$80)</f>
        <v>0</v>
      </c>
      <c r="GJ54">
        <f>SUMIF('Как есть'!$A$73:$A$80,Доп.расчеты!$A54,'Как есть'!GK$73:GK$80)</f>
        <v>0</v>
      </c>
      <c r="GK54">
        <f>SUMIF('Как есть'!$A$73:$A$80,Доп.расчеты!$A54,'Как есть'!GL$73:GL$80)</f>
        <v>0</v>
      </c>
      <c r="GL54">
        <f>SUMIF('Как есть'!$A$73:$A$80,Доп.расчеты!$A54,'Как есть'!GM$73:GM$80)</f>
        <v>0</v>
      </c>
      <c r="GM54">
        <f>SUMIF('Как есть'!$A$73:$A$80,Доп.расчеты!$A54,'Как есть'!GN$73:GN$80)</f>
        <v>0</v>
      </c>
      <c r="GN54">
        <f>SUMIF('Как есть'!$A$73:$A$80,Доп.расчеты!$A54,'Как есть'!GO$73:GO$80)</f>
        <v>0</v>
      </c>
      <c r="GO54">
        <f>SUMIF('Как есть'!$A$73:$A$80,Доп.расчеты!$A54,'Как есть'!GP$73:GP$80)</f>
        <v>0</v>
      </c>
      <c r="GP54">
        <f>SUMIF('Как есть'!$A$73:$A$80,Доп.расчеты!$A54,'Как есть'!GQ$73:GQ$80)</f>
        <v>0</v>
      </c>
      <c r="GQ54">
        <f>SUMIF('Как есть'!$A$73:$A$80,Доп.расчеты!$A54,'Как есть'!GR$73:GR$80)</f>
        <v>0</v>
      </c>
      <c r="GR54">
        <f>SUMIF('Как есть'!$A$73:$A$80,Доп.расчеты!$A54,'Как есть'!GS$73:GS$80)</f>
        <v>0</v>
      </c>
      <c r="GS54">
        <f>SUMIF('Как есть'!$A$73:$A$80,Доп.расчеты!$A54,'Как есть'!GT$73:GT$80)</f>
        <v>0</v>
      </c>
      <c r="GT54">
        <f>SUMIF('Как есть'!$A$73:$A$80,Доп.расчеты!$A54,'Как есть'!GU$73:GU$80)</f>
        <v>0</v>
      </c>
    </row>
    <row r="55" spans="1:202">
      <c r="A55" s="237" t="s">
        <v>92</v>
      </c>
      <c r="B55">
        <f>SUMIF('Как есть'!$A$73:$A$80,Доп.расчеты!$A55,'Как есть'!C$73:C$80)</f>
        <v>0</v>
      </c>
      <c r="C55">
        <f>SUMIF('Как есть'!$A$73:$A$80,Доп.расчеты!$A55,'Как есть'!D$73:D$80)</f>
        <v>0</v>
      </c>
      <c r="D55">
        <f>SUMIF('Как есть'!$A$73:$A$80,Доп.расчеты!$A55,'Как есть'!E$73:E$80)</f>
        <v>0</v>
      </c>
      <c r="E55">
        <f>SUMIF('Как есть'!$A$73:$A$80,Доп.расчеты!$A55,'Как есть'!F$73:F$80)</f>
        <v>0</v>
      </c>
      <c r="F55">
        <f>SUMIF('Как есть'!$A$73:$A$80,Доп.расчеты!$A55,'Как есть'!G$73:G$80)</f>
        <v>0</v>
      </c>
      <c r="G55">
        <f>SUMIF('Как есть'!$A$73:$A$80,Доп.расчеты!$A55,'Как есть'!H$73:H$80)</f>
        <v>0</v>
      </c>
      <c r="H55">
        <f>SUMIF('Как есть'!$A$73:$A$80,Доп.расчеты!$A55,'Как есть'!I$73:I$80)</f>
        <v>0</v>
      </c>
      <c r="I55">
        <f>SUMIF('Как есть'!$A$73:$A$80,Доп.расчеты!$A55,'Как есть'!J$73:J$80)</f>
        <v>0</v>
      </c>
      <c r="J55">
        <f>SUMIF('Как есть'!$A$73:$A$80,Доп.расчеты!$A55,'Как есть'!K$73:K$80)</f>
        <v>0</v>
      </c>
      <c r="K55">
        <f>SUMIF('Как есть'!$A$73:$A$80,Доп.расчеты!$A55,'Как есть'!L$73:L$80)</f>
        <v>0</v>
      </c>
      <c r="L55">
        <f>SUMIF('Как есть'!$A$73:$A$80,Доп.расчеты!$A55,'Как есть'!M$73:M$80)</f>
        <v>0</v>
      </c>
      <c r="M55">
        <f>SUMIF('Как есть'!$A$73:$A$80,Доп.расчеты!$A55,'Как есть'!N$73:N$80)</f>
        <v>0</v>
      </c>
      <c r="N55">
        <f>SUMIF('Как есть'!$A$73:$A$80,Доп.расчеты!$A55,'Как есть'!O$73:O$80)</f>
        <v>0</v>
      </c>
      <c r="O55">
        <f>SUMIF('Как есть'!$A$73:$A$80,Доп.расчеты!$A55,'Как есть'!P$73:P$80)</f>
        <v>0</v>
      </c>
      <c r="P55">
        <f>SUMIF('Как есть'!$A$73:$A$80,Доп.расчеты!$A55,'Как есть'!Q$73:Q$80)</f>
        <v>0</v>
      </c>
      <c r="Q55">
        <f>SUMIF('Как есть'!$A$73:$A$80,Доп.расчеты!$A55,'Как есть'!R$73:R$80)</f>
        <v>0</v>
      </c>
      <c r="R55">
        <f>SUMIF('Как есть'!$A$73:$A$80,Доп.расчеты!$A55,'Как есть'!S$73:S$80)</f>
        <v>0</v>
      </c>
      <c r="S55">
        <f>SUMIF('Как есть'!$A$73:$A$80,Доп.расчеты!$A55,'Как есть'!T$73:T$80)</f>
        <v>0</v>
      </c>
      <c r="T55">
        <f>SUMIF('Как есть'!$A$73:$A$80,Доп.расчеты!$A55,'Как есть'!U$73:U$80)</f>
        <v>0</v>
      </c>
      <c r="U55">
        <f>SUMIF('Как есть'!$A$73:$A$80,Доп.расчеты!$A55,'Как есть'!V$73:V$80)</f>
        <v>0</v>
      </c>
      <c r="V55">
        <f>SUMIF('Как есть'!$A$73:$A$80,Доп.расчеты!$A55,'Как есть'!W$73:W$80)</f>
        <v>0</v>
      </c>
      <c r="W55">
        <f>SUMIF('Как есть'!$A$73:$A$80,Доп.расчеты!$A55,'Как есть'!X$73:X$80)</f>
        <v>0</v>
      </c>
      <c r="X55">
        <f>SUMIF('Как есть'!$A$73:$A$80,Доп.расчеты!$A55,'Как есть'!Y$73:Y$80)</f>
        <v>0</v>
      </c>
      <c r="Y55">
        <f>SUMIF('Как есть'!$A$73:$A$80,Доп.расчеты!$A55,'Как есть'!Z$73:Z$80)</f>
        <v>0</v>
      </c>
      <c r="Z55">
        <f>SUMIF('Как есть'!$A$73:$A$80,Доп.расчеты!$A55,'Как есть'!AA$73:AA$80)</f>
        <v>0</v>
      </c>
      <c r="AA55">
        <f>SUMIF('Как есть'!$A$73:$A$80,Доп.расчеты!$A55,'Как есть'!AB$73:AB$80)</f>
        <v>0</v>
      </c>
      <c r="AB55">
        <f>SUMIF('Как есть'!$A$73:$A$80,Доп.расчеты!$A55,'Как есть'!AC$73:AC$80)</f>
        <v>0</v>
      </c>
      <c r="AC55">
        <f>SUMIF('Как есть'!$A$73:$A$80,Доп.расчеты!$A55,'Как есть'!AD$73:AD$80)</f>
        <v>0</v>
      </c>
      <c r="AD55">
        <f>SUMIF('Как есть'!$A$73:$A$80,Доп.расчеты!$A55,'Как есть'!AE$73:AE$80)</f>
        <v>0</v>
      </c>
      <c r="AE55">
        <f>SUMIF('Как есть'!$A$73:$A$80,Доп.расчеты!$A55,'Как есть'!AF$73:AF$80)</f>
        <v>0</v>
      </c>
      <c r="AF55">
        <f>SUMIF('Как есть'!$A$73:$A$80,Доп.расчеты!$A55,'Как есть'!AG$73:AG$80)</f>
        <v>0</v>
      </c>
      <c r="AG55">
        <f>SUMIF('Как есть'!$A$73:$A$80,Доп.расчеты!$A55,'Как есть'!AH$73:AH$80)</f>
        <v>0</v>
      </c>
      <c r="AH55">
        <f>SUMIF('Как есть'!$A$73:$A$80,Доп.расчеты!$A55,'Как есть'!AI$73:AI$80)</f>
        <v>0</v>
      </c>
      <c r="AI55">
        <f>SUMIF('Как есть'!$A$73:$A$80,Доп.расчеты!$A55,'Как есть'!AJ$73:AJ$80)</f>
        <v>0</v>
      </c>
      <c r="AJ55">
        <f>SUMIF('Как есть'!$A$73:$A$80,Доп.расчеты!$A55,'Как есть'!AK$73:AK$80)</f>
        <v>0</v>
      </c>
      <c r="AK55">
        <f>SUMIF('Как есть'!$A$73:$A$80,Доп.расчеты!$A55,'Как есть'!AL$73:AL$80)</f>
        <v>0</v>
      </c>
      <c r="AL55">
        <f>SUMIF('Как есть'!$A$73:$A$80,Доп.расчеты!$A55,'Как есть'!AM$73:AM$80)</f>
        <v>0</v>
      </c>
      <c r="AM55">
        <f>SUMIF('Как есть'!$A$73:$A$80,Доп.расчеты!$A55,'Как есть'!AN$73:AN$80)</f>
        <v>0</v>
      </c>
      <c r="AN55">
        <f>SUMIF('Как есть'!$A$73:$A$80,Доп.расчеты!$A55,'Как есть'!AO$73:AO$80)</f>
        <v>0</v>
      </c>
      <c r="AO55">
        <f>SUMIF('Как есть'!$A$73:$A$80,Доп.расчеты!$A55,'Как есть'!AP$73:AP$80)</f>
        <v>0</v>
      </c>
      <c r="AP55">
        <f>SUMIF('Как есть'!$A$73:$A$80,Доп.расчеты!$A55,'Как есть'!AQ$73:AQ$80)</f>
        <v>0</v>
      </c>
      <c r="AQ55">
        <f>SUMIF('Как есть'!$A$73:$A$80,Доп.расчеты!$A55,'Как есть'!AR$73:AR$80)</f>
        <v>0</v>
      </c>
      <c r="AR55">
        <f>SUMIF('Как есть'!$A$73:$A$80,Доп.расчеты!$A55,'Как есть'!AS$73:AS$80)</f>
        <v>0</v>
      </c>
      <c r="AS55">
        <f>SUMIF('Как есть'!$A$73:$A$80,Доп.расчеты!$A55,'Как есть'!AT$73:AT$80)</f>
        <v>0</v>
      </c>
      <c r="AT55">
        <f>SUMIF('Как есть'!$A$73:$A$80,Доп.расчеты!$A55,'Как есть'!AU$73:AU$80)</f>
        <v>0</v>
      </c>
      <c r="AU55">
        <f>SUMIF('Как есть'!$A$73:$A$80,Доп.расчеты!$A55,'Как есть'!AV$73:AV$80)</f>
        <v>0</v>
      </c>
      <c r="AV55">
        <f>SUMIF('Как есть'!$A$73:$A$80,Доп.расчеты!$A55,'Как есть'!AW$73:AW$80)</f>
        <v>0</v>
      </c>
      <c r="AW55">
        <f>SUMIF('Как есть'!$A$73:$A$80,Доп.расчеты!$A55,'Как есть'!AX$73:AX$80)</f>
        <v>0</v>
      </c>
      <c r="AX55">
        <f>SUMIF('Как есть'!$A$73:$A$80,Доп.расчеты!$A55,'Как есть'!AY$73:AY$80)</f>
        <v>0</v>
      </c>
      <c r="AY55">
        <f>SUMIF('Как есть'!$A$73:$A$80,Доп.расчеты!$A55,'Как есть'!AZ$73:AZ$80)</f>
        <v>0</v>
      </c>
      <c r="AZ55">
        <f>SUMIF('Как есть'!$A$73:$A$80,Доп.расчеты!$A55,'Как есть'!BA$73:BA$80)</f>
        <v>0</v>
      </c>
      <c r="BA55">
        <f>SUMIF('Как есть'!$A$73:$A$80,Доп.расчеты!$A55,'Как есть'!BB$73:BB$80)</f>
        <v>0</v>
      </c>
      <c r="BB55">
        <f>SUMIF('Как есть'!$A$73:$A$80,Доп.расчеты!$A55,'Как есть'!BC$73:BC$80)</f>
        <v>0</v>
      </c>
      <c r="BC55">
        <f>SUMIF('Как есть'!$A$73:$A$80,Доп.расчеты!$A55,'Как есть'!BD$73:BD$80)</f>
        <v>0</v>
      </c>
      <c r="BD55">
        <f>SUMIF('Как есть'!$A$73:$A$80,Доп.расчеты!$A55,'Как есть'!BE$73:BE$80)</f>
        <v>0</v>
      </c>
      <c r="BE55">
        <f>SUMIF('Как есть'!$A$73:$A$80,Доп.расчеты!$A55,'Как есть'!BF$73:BF$80)</f>
        <v>0</v>
      </c>
      <c r="BF55">
        <f>SUMIF('Как есть'!$A$73:$A$80,Доп.расчеты!$A55,'Как есть'!BG$73:BG$80)</f>
        <v>0</v>
      </c>
      <c r="BG55">
        <f>SUMIF('Как есть'!$A$73:$A$80,Доп.расчеты!$A55,'Как есть'!BH$73:BH$80)</f>
        <v>0</v>
      </c>
      <c r="BH55">
        <f>SUMIF('Как есть'!$A$73:$A$80,Доп.расчеты!$A55,'Как есть'!BI$73:BI$80)</f>
        <v>0</v>
      </c>
      <c r="BI55">
        <f>SUMIF('Как есть'!$A$73:$A$80,Доп.расчеты!$A55,'Как есть'!BJ$73:BJ$80)</f>
        <v>0</v>
      </c>
      <c r="BJ55">
        <f>SUMIF('Как есть'!$A$73:$A$80,Доп.расчеты!$A55,'Как есть'!BK$73:BK$80)</f>
        <v>0</v>
      </c>
      <c r="BK55">
        <f>SUMIF('Как есть'!$A$73:$A$80,Доп.расчеты!$A55,'Как есть'!BL$73:BL$80)</f>
        <v>0</v>
      </c>
      <c r="BL55">
        <f>SUMIF('Как есть'!$A$73:$A$80,Доп.расчеты!$A55,'Как есть'!BM$73:BM$80)</f>
        <v>0</v>
      </c>
      <c r="BM55">
        <f>SUMIF('Как есть'!$A$73:$A$80,Доп.расчеты!$A55,'Как есть'!BN$73:BN$80)</f>
        <v>0</v>
      </c>
      <c r="BN55">
        <f>SUMIF('Как есть'!$A$73:$A$80,Доп.расчеты!$A55,'Как есть'!BO$73:BO$80)</f>
        <v>0</v>
      </c>
      <c r="BO55">
        <f>SUMIF('Как есть'!$A$73:$A$80,Доп.расчеты!$A55,'Как есть'!BP$73:BP$80)</f>
        <v>0</v>
      </c>
      <c r="BP55">
        <f>SUMIF('Как есть'!$A$73:$A$80,Доп.расчеты!$A55,'Как есть'!BQ$73:BQ$80)</f>
        <v>0</v>
      </c>
      <c r="BQ55">
        <f>SUMIF('Как есть'!$A$73:$A$80,Доп.расчеты!$A55,'Как есть'!BR$73:BR$80)</f>
        <v>0</v>
      </c>
      <c r="BR55">
        <f>SUMIF('Как есть'!$A$73:$A$80,Доп.расчеты!$A55,'Как есть'!BS$73:BS$80)</f>
        <v>0</v>
      </c>
      <c r="BS55">
        <f>SUMIF('Как есть'!$A$73:$A$80,Доп.расчеты!$A55,'Как есть'!BT$73:BT$80)</f>
        <v>0</v>
      </c>
      <c r="BT55">
        <f>SUMIF('Как есть'!$A$73:$A$80,Доп.расчеты!$A55,'Как есть'!BU$73:BU$80)</f>
        <v>0</v>
      </c>
      <c r="BU55">
        <f>SUMIF('Как есть'!$A$73:$A$80,Доп.расчеты!$A55,'Как есть'!BV$73:BV$80)</f>
        <v>0</v>
      </c>
      <c r="BV55">
        <f>SUMIF('Как есть'!$A$73:$A$80,Доп.расчеты!$A55,'Как есть'!BW$73:BW$80)</f>
        <v>0</v>
      </c>
      <c r="BW55">
        <f>SUMIF('Как есть'!$A$73:$A$80,Доп.расчеты!$A55,'Как есть'!BX$73:BX$80)</f>
        <v>0</v>
      </c>
      <c r="BX55">
        <f>SUMIF('Как есть'!$A$73:$A$80,Доп.расчеты!$A55,'Как есть'!BY$73:BY$80)</f>
        <v>0</v>
      </c>
      <c r="BY55">
        <f>SUMIF('Как есть'!$A$73:$A$80,Доп.расчеты!$A55,'Как есть'!BZ$73:BZ$80)</f>
        <v>0</v>
      </c>
      <c r="BZ55">
        <f>SUMIF('Как есть'!$A$73:$A$80,Доп.расчеты!$A55,'Как есть'!CA$73:CA$80)</f>
        <v>0</v>
      </c>
      <c r="CA55">
        <f>SUMIF('Как есть'!$A$73:$A$80,Доп.расчеты!$A55,'Как есть'!CB$73:CB$80)</f>
        <v>0</v>
      </c>
      <c r="CB55">
        <f>SUMIF('Как есть'!$A$73:$A$80,Доп.расчеты!$A55,'Как есть'!CC$73:CC$80)</f>
        <v>0</v>
      </c>
      <c r="CC55">
        <f>SUMIF('Как есть'!$A$73:$A$80,Доп.расчеты!$A55,'Как есть'!CD$73:CD$80)</f>
        <v>0</v>
      </c>
      <c r="CD55">
        <f>SUMIF('Как есть'!$A$73:$A$80,Доп.расчеты!$A55,'Как есть'!CE$73:CE$80)</f>
        <v>0</v>
      </c>
      <c r="CE55">
        <f>SUMIF('Как есть'!$A$73:$A$80,Доп.расчеты!$A55,'Как есть'!CF$73:CF$80)</f>
        <v>0</v>
      </c>
      <c r="CF55">
        <f>SUMIF('Как есть'!$A$73:$A$80,Доп.расчеты!$A55,'Как есть'!CG$73:CG$80)</f>
        <v>0</v>
      </c>
      <c r="CG55">
        <f>SUMIF('Как есть'!$A$73:$A$80,Доп.расчеты!$A55,'Как есть'!CH$73:CH$80)</f>
        <v>0</v>
      </c>
      <c r="CH55">
        <f>SUMIF('Как есть'!$A$73:$A$80,Доп.расчеты!$A55,'Как есть'!CI$73:CI$80)</f>
        <v>0</v>
      </c>
      <c r="CI55">
        <f>SUMIF('Как есть'!$A$73:$A$80,Доп.расчеты!$A55,'Как есть'!CJ$73:CJ$80)</f>
        <v>0</v>
      </c>
      <c r="CJ55">
        <f>SUMIF('Как есть'!$A$73:$A$80,Доп.расчеты!$A55,'Как есть'!CK$73:CK$80)</f>
        <v>0</v>
      </c>
      <c r="CK55">
        <f>SUMIF('Как есть'!$A$73:$A$80,Доп.расчеты!$A55,'Как есть'!CL$73:CL$80)</f>
        <v>0</v>
      </c>
      <c r="CL55">
        <f>SUMIF('Как есть'!$A$73:$A$80,Доп.расчеты!$A55,'Как есть'!CM$73:CM$80)</f>
        <v>0</v>
      </c>
      <c r="CM55">
        <f>SUMIF('Как есть'!$A$73:$A$80,Доп.расчеты!$A55,'Как есть'!CN$73:CN$80)</f>
        <v>0</v>
      </c>
      <c r="CN55">
        <f>SUMIF('Как есть'!$A$73:$A$80,Доп.расчеты!$A55,'Как есть'!CO$73:CO$80)</f>
        <v>0</v>
      </c>
      <c r="CO55">
        <f>SUMIF('Как есть'!$A$73:$A$80,Доп.расчеты!$A55,'Как есть'!CP$73:CP$80)</f>
        <v>0</v>
      </c>
      <c r="CP55">
        <f>SUMIF('Как есть'!$A$73:$A$80,Доп.расчеты!$A55,'Как есть'!CQ$73:CQ$80)</f>
        <v>0</v>
      </c>
      <c r="CQ55">
        <f>SUMIF('Как есть'!$A$73:$A$80,Доп.расчеты!$A55,'Как есть'!CR$73:CR$80)</f>
        <v>0</v>
      </c>
      <c r="CR55">
        <f>SUMIF('Как есть'!$A$73:$A$80,Доп.расчеты!$A55,'Как есть'!CS$73:CS$80)</f>
        <v>0</v>
      </c>
      <c r="CS55">
        <f>SUMIF('Как есть'!$A$73:$A$80,Доп.расчеты!$A55,'Как есть'!CT$73:CT$80)</f>
        <v>0</v>
      </c>
      <c r="CT55">
        <f>SUMIF('Как есть'!$A$73:$A$80,Доп.расчеты!$A55,'Как есть'!CU$73:CU$80)</f>
        <v>0</v>
      </c>
      <c r="CU55">
        <f>SUMIF('Как есть'!$A$73:$A$80,Доп.расчеты!$A55,'Как есть'!CV$73:CV$80)</f>
        <v>0</v>
      </c>
      <c r="CV55">
        <f>SUMIF('Как есть'!$A$73:$A$80,Доп.расчеты!$A55,'Как есть'!CW$73:CW$80)</f>
        <v>0</v>
      </c>
      <c r="CW55">
        <f>SUMIF('Как есть'!$A$73:$A$80,Доп.расчеты!$A55,'Как есть'!CX$73:CX$80)</f>
        <v>0</v>
      </c>
      <c r="CX55">
        <f>SUMIF('Как есть'!$A$73:$A$80,Доп.расчеты!$A55,'Как есть'!CY$73:CY$80)</f>
        <v>0</v>
      </c>
      <c r="CY55">
        <f>SUMIF('Как есть'!$A$73:$A$80,Доп.расчеты!$A55,'Как есть'!CZ$73:CZ$80)</f>
        <v>0</v>
      </c>
      <c r="CZ55">
        <f>SUMIF('Как есть'!$A$73:$A$80,Доп.расчеты!$A55,'Как есть'!DA$73:DA$80)</f>
        <v>0</v>
      </c>
      <c r="DA55">
        <f>SUMIF('Как есть'!$A$73:$A$80,Доп.расчеты!$A55,'Как есть'!DB$73:DB$80)</f>
        <v>0</v>
      </c>
      <c r="DB55">
        <f>SUMIF('Как есть'!$A$73:$A$80,Доп.расчеты!$A55,'Как есть'!DC$73:DC$80)</f>
        <v>0</v>
      </c>
      <c r="DC55">
        <f>SUMIF('Как есть'!$A$73:$A$80,Доп.расчеты!$A55,'Как есть'!DD$73:DD$80)</f>
        <v>0</v>
      </c>
      <c r="DD55">
        <f>SUMIF('Как есть'!$A$73:$A$80,Доп.расчеты!$A55,'Как есть'!DE$73:DE$80)</f>
        <v>0</v>
      </c>
      <c r="DE55">
        <f>SUMIF('Как есть'!$A$73:$A$80,Доп.расчеты!$A55,'Как есть'!DF$73:DF$80)</f>
        <v>0</v>
      </c>
      <c r="DF55">
        <f>SUMIF('Как есть'!$A$73:$A$80,Доп.расчеты!$A55,'Как есть'!DG$73:DG$80)</f>
        <v>0</v>
      </c>
      <c r="DG55">
        <f>SUMIF('Как есть'!$A$73:$A$80,Доп.расчеты!$A55,'Как есть'!DH$73:DH$80)</f>
        <v>0</v>
      </c>
      <c r="DH55">
        <f>SUMIF('Как есть'!$A$73:$A$80,Доп.расчеты!$A55,'Как есть'!DI$73:DI$80)</f>
        <v>0</v>
      </c>
      <c r="DI55">
        <f>SUMIF('Как есть'!$A$73:$A$80,Доп.расчеты!$A55,'Как есть'!DJ$73:DJ$80)</f>
        <v>0</v>
      </c>
      <c r="DJ55">
        <f>SUMIF('Как есть'!$A$73:$A$80,Доп.расчеты!$A55,'Как есть'!DK$73:DK$80)</f>
        <v>0</v>
      </c>
      <c r="DK55">
        <f>SUMIF('Как есть'!$A$73:$A$80,Доп.расчеты!$A55,'Как есть'!DL$73:DL$80)</f>
        <v>0</v>
      </c>
      <c r="DL55">
        <f>SUMIF('Как есть'!$A$73:$A$80,Доп.расчеты!$A55,'Как есть'!DM$73:DM$80)</f>
        <v>0</v>
      </c>
      <c r="DM55">
        <f>SUMIF('Как есть'!$A$73:$A$80,Доп.расчеты!$A55,'Как есть'!DN$73:DN$80)</f>
        <v>0</v>
      </c>
      <c r="DN55">
        <f>SUMIF('Как есть'!$A$73:$A$80,Доп.расчеты!$A55,'Как есть'!DO$73:DO$80)</f>
        <v>0</v>
      </c>
      <c r="DO55">
        <f>SUMIF('Как есть'!$A$73:$A$80,Доп.расчеты!$A55,'Как есть'!DP$73:DP$80)</f>
        <v>0</v>
      </c>
      <c r="DP55">
        <f>SUMIF('Как есть'!$A$73:$A$80,Доп.расчеты!$A55,'Как есть'!DQ$73:DQ$80)</f>
        <v>0</v>
      </c>
      <c r="DQ55">
        <f>SUMIF('Как есть'!$A$73:$A$80,Доп.расчеты!$A55,'Как есть'!DR$73:DR$80)</f>
        <v>0</v>
      </c>
      <c r="DR55">
        <f>SUMIF('Как есть'!$A$73:$A$80,Доп.расчеты!$A55,'Как есть'!DS$73:DS$80)</f>
        <v>0</v>
      </c>
      <c r="DS55">
        <f>SUMIF('Как есть'!$A$73:$A$80,Доп.расчеты!$A55,'Как есть'!DT$73:DT$80)</f>
        <v>0</v>
      </c>
      <c r="DT55">
        <f>SUMIF('Как есть'!$A$73:$A$80,Доп.расчеты!$A55,'Как есть'!DU$73:DU$80)</f>
        <v>0</v>
      </c>
      <c r="DU55">
        <f>SUMIF('Как есть'!$A$73:$A$80,Доп.расчеты!$A55,'Как есть'!DV$73:DV$80)</f>
        <v>0</v>
      </c>
      <c r="DV55">
        <f>SUMIF('Как есть'!$A$73:$A$80,Доп.расчеты!$A55,'Как есть'!DW$73:DW$80)</f>
        <v>0</v>
      </c>
      <c r="DW55">
        <f>SUMIF('Как есть'!$A$73:$A$80,Доп.расчеты!$A55,'Как есть'!DX$73:DX$80)</f>
        <v>0</v>
      </c>
      <c r="DX55">
        <f>SUMIF('Как есть'!$A$73:$A$80,Доп.расчеты!$A55,'Как есть'!DY$73:DY$80)</f>
        <v>0</v>
      </c>
      <c r="DY55">
        <f>SUMIF('Как есть'!$A$73:$A$80,Доп.расчеты!$A55,'Как есть'!DZ$73:DZ$80)</f>
        <v>0</v>
      </c>
      <c r="DZ55">
        <f>SUMIF('Как есть'!$A$73:$A$80,Доп.расчеты!$A55,'Как есть'!EA$73:EA$80)</f>
        <v>0</v>
      </c>
      <c r="EA55">
        <f>SUMIF('Как есть'!$A$73:$A$80,Доп.расчеты!$A55,'Как есть'!EB$73:EB$80)</f>
        <v>0</v>
      </c>
      <c r="EB55">
        <f>SUMIF('Как есть'!$A$73:$A$80,Доп.расчеты!$A55,'Как есть'!EC$73:EC$80)</f>
        <v>0</v>
      </c>
      <c r="EC55">
        <f>SUMIF('Как есть'!$A$73:$A$80,Доп.расчеты!$A55,'Как есть'!ED$73:ED$80)</f>
        <v>0</v>
      </c>
      <c r="ED55">
        <f>SUMIF('Как есть'!$A$73:$A$80,Доп.расчеты!$A55,'Как есть'!EE$73:EE$80)</f>
        <v>0</v>
      </c>
      <c r="EE55">
        <f>SUMIF('Как есть'!$A$73:$A$80,Доп.расчеты!$A55,'Как есть'!EF$73:EF$80)</f>
        <v>0</v>
      </c>
      <c r="EF55">
        <f>SUMIF('Как есть'!$A$73:$A$80,Доп.расчеты!$A55,'Как есть'!EG$73:EG$80)</f>
        <v>0</v>
      </c>
      <c r="EG55">
        <f>SUMIF('Как есть'!$A$73:$A$80,Доп.расчеты!$A55,'Как есть'!EH$73:EH$80)</f>
        <v>0</v>
      </c>
      <c r="EH55">
        <f>SUMIF('Как есть'!$A$73:$A$80,Доп.расчеты!$A55,'Как есть'!EI$73:EI$80)</f>
        <v>0</v>
      </c>
      <c r="EI55">
        <f>SUMIF('Как есть'!$A$73:$A$80,Доп.расчеты!$A55,'Как есть'!EJ$73:EJ$80)</f>
        <v>0</v>
      </c>
      <c r="EJ55">
        <f>SUMIF('Как есть'!$A$73:$A$80,Доп.расчеты!$A55,'Как есть'!EK$73:EK$80)</f>
        <v>0</v>
      </c>
      <c r="EK55">
        <f>SUMIF('Как есть'!$A$73:$A$80,Доп.расчеты!$A55,'Как есть'!EL$73:EL$80)</f>
        <v>0</v>
      </c>
      <c r="EL55">
        <f>SUMIF('Как есть'!$A$73:$A$80,Доп.расчеты!$A55,'Как есть'!EM$73:EM$80)</f>
        <v>0</v>
      </c>
      <c r="EM55">
        <f>SUMIF('Как есть'!$A$73:$A$80,Доп.расчеты!$A55,'Как есть'!EN$73:EN$80)</f>
        <v>0</v>
      </c>
      <c r="EN55">
        <f>SUMIF('Как есть'!$A$73:$A$80,Доп.расчеты!$A55,'Как есть'!EO$73:EO$80)</f>
        <v>0</v>
      </c>
      <c r="EO55">
        <f>SUMIF('Как есть'!$A$73:$A$80,Доп.расчеты!$A55,'Как есть'!EP$73:EP$80)</f>
        <v>0</v>
      </c>
      <c r="EP55">
        <f>SUMIF('Как есть'!$A$73:$A$80,Доп.расчеты!$A55,'Как есть'!EQ$73:EQ$80)</f>
        <v>0</v>
      </c>
      <c r="EQ55">
        <f>SUMIF('Как есть'!$A$73:$A$80,Доп.расчеты!$A55,'Как есть'!ER$73:ER$80)</f>
        <v>0</v>
      </c>
      <c r="ER55">
        <f>SUMIF('Как есть'!$A$73:$A$80,Доп.расчеты!$A55,'Как есть'!ES$73:ES$80)</f>
        <v>0</v>
      </c>
      <c r="ES55">
        <f>SUMIF('Как есть'!$A$73:$A$80,Доп.расчеты!$A55,'Как есть'!ET$73:ET$80)</f>
        <v>0</v>
      </c>
      <c r="ET55">
        <f>SUMIF('Как есть'!$A$73:$A$80,Доп.расчеты!$A55,'Как есть'!EU$73:EU$80)</f>
        <v>0</v>
      </c>
      <c r="EU55">
        <f>SUMIF('Как есть'!$A$73:$A$80,Доп.расчеты!$A55,'Как есть'!EV$73:EV$80)</f>
        <v>0</v>
      </c>
      <c r="EV55">
        <f>SUMIF('Как есть'!$A$73:$A$80,Доп.расчеты!$A55,'Как есть'!EW$73:EW$80)</f>
        <v>0</v>
      </c>
      <c r="EW55">
        <f>SUMIF('Как есть'!$A$73:$A$80,Доп.расчеты!$A55,'Как есть'!EX$73:EX$80)</f>
        <v>0</v>
      </c>
      <c r="EX55">
        <f>SUMIF('Как есть'!$A$73:$A$80,Доп.расчеты!$A55,'Как есть'!EY$73:EY$80)</f>
        <v>0</v>
      </c>
      <c r="EY55">
        <f>SUMIF('Как есть'!$A$73:$A$80,Доп.расчеты!$A55,'Как есть'!EZ$73:EZ$80)</f>
        <v>0</v>
      </c>
      <c r="EZ55">
        <f>SUMIF('Как есть'!$A$73:$A$80,Доп.расчеты!$A55,'Как есть'!FA$73:FA$80)</f>
        <v>0</v>
      </c>
      <c r="FA55">
        <f>SUMIF('Как есть'!$A$73:$A$80,Доп.расчеты!$A55,'Как есть'!FB$73:FB$80)</f>
        <v>0</v>
      </c>
      <c r="FB55">
        <f>SUMIF('Как есть'!$A$73:$A$80,Доп.расчеты!$A55,'Как есть'!FC$73:FC$80)</f>
        <v>0</v>
      </c>
      <c r="FC55">
        <f>SUMIF('Как есть'!$A$73:$A$80,Доп.расчеты!$A55,'Как есть'!FD$73:FD$80)</f>
        <v>0</v>
      </c>
      <c r="FD55">
        <f>SUMIF('Как есть'!$A$73:$A$80,Доп.расчеты!$A55,'Как есть'!FE$73:FE$80)</f>
        <v>0</v>
      </c>
      <c r="FE55">
        <f>SUMIF('Как есть'!$A$73:$A$80,Доп.расчеты!$A55,'Как есть'!FF$73:FF$80)</f>
        <v>0</v>
      </c>
      <c r="FF55">
        <f>SUMIF('Как есть'!$A$73:$A$80,Доп.расчеты!$A55,'Как есть'!FG$73:FG$80)</f>
        <v>0</v>
      </c>
      <c r="FG55">
        <f>SUMIF('Как есть'!$A$73:$A$80,Доп.расчеты!$A55,'Как есть'!FH$73:FH$80)</f>
        <v>0</v>
      </c>
      <c r="FH55">
        <f>SUMIF('Как есть'!$A$73:$A$80,Доп.расчеты!$A55,'Как есть'!FI$73:FI$80)</f>
        <v>0</v>
      </c>
      <c r="FI55">
        <f>SUMIF('Как есть'!$A$73:$A$80,Доп.расчеты!$A55,'Как есть'!FJ$73:FJ$80)</f>
        <v>0</v>
      </c>
      <c r="FJ55">
        <f>SUMIF('Как есть'!$A$73:$A$80,Доп.расчеты!$A55,'Как есть'!FK$73:FK$80)</f>
        <v>0</v>
      </c>
      <c r="FK55">
        <f>SUMIF('Как есть'!$A$73:$A$80,Доп.расчеты!$A55,'Как есть'!FL$73:FL$80)</f>
        <v>0</v>
      </c>
      <c r="FL55">
        <f>SUMIF('Как есть'!$A$73:$A$80,Доп.расчеты!$A55,'Как есть'!FM$73:FM$80)</f>
        <v>0</v>
      </c>
      <c r="FM55">
        <f>SUMIF('Как есть'!$A$73:$A$80,Доп.расчеты!$A55,'Как есть'!FN$73:FN$80)</f>
        <v>0</v>
      </c>
      <c r="FN55">
        <f>SUMIF('Как есть'!$A$73:$A$80,Доп.расчеты!$A55,'Как есть'!FO$73:FO$80)</f>
        <v>0</v>
      </c>
      <c r="FO55">
        <f>SUMIF('Как есть'!$A$73:$A$80,Доп.расчеты!$A55,'Как есть'!FP$73:FP$80)</f>
        <v>0</v>
      </c>
      <c r="FP55">
        <f>SUMIF('Как есть'!$A$73:$A$80,Доп.расчеты!$A55,'Как есть'!FQ$73:FQ$80)</f>
        <v>0</v>
      </c>
      <c r="FQ55">
        <f>SUMIF('Как есть'!$A$73:$A$80,Доп.расчеты!$A55,'Как есть'!FR$73:FR$80)</f>
        <v>0</v>
      </c>
      <c r="FR55">
        <f>SUMIF('Как есть'!$A$73:$A$80,Доп.расчеты!$A55,'Как есть'!FS$73:FS$80)</f>
        <v>0</v>
      </c>
      <c r="FS55">
        <f>SUMIF('Как есть'!$A$73:$A$80,Доп.расчеты!$A55,'Как есть'!FT$73:FT$80)</f>
        <v>0</v>
      </c>
      <c r="FT55">
        <f>SUMIF('Как есть'!$A$73:$A$80,Доп.расчеты!$A55,'Как есть'!FU$73:FU$80)</f>
        <v>0</v>
      </c>
      <c r="FU55">
        <f>SUMIF('Как есть'!$A$73:$A$80,Доп.расчеты!$A55,'Как есть'!FV$73:FV$80)</f>
        <v>0</v>
      </c>
      <c r="FV55">
        <f>SUMIF('Как есть'!$A$73:$A$80,Доп.расчеты!$A55,'Как есть'!FW$73:FW$80)</f>
        <v>0</v>
      </c>
      <c r="FW55">
        <f>SUMIF('Как есть'!$A$73:$A$80,Доп.расчеты!$A55,'Как есть'!FX$73:FX$80)</f>
        <v>0</v>
      </c>
      <c r="FX55">
        <f>SUMIF('Как есть'!$A$73:$A$80,Доп.расчеты!$A55,'Как есть'!FY$73:FY$80)</f>
        <v>0</v>
      </c>
      <c r="FY55">
        <f>SUMIF('Как есть'!$A$73:$A$80,Доп.расчеты!$A55,'Как есть'!FZ$73:FZ$80)</f>
        <v>0</v>
      </c>
      <c r="FZ55">
        <f>SUMIF('Как есть'!$A$73:$A$80,Доп.расчеты!$A55,'Как есть'!GA$73:GA$80)</f>
        <v>0</v>
      </c>
      <c r="GA55">
        <f>SUMIF('Как есть'!$A$73:$A$80,Доп.расчеты!$A55,'Как есть'!GB$73:GB$80)</f>
        <v>0</v>
      </c>
      <c r="GB55">
        <f>SUMIF('Как есть'!$A$73:$A$80,Доп.расчеты!$A55,'Как есть'!GC$73:GC$80)</f>
        <v>0</v>
      </c>
      <c r="GC55">
        <f>SUMIF('Как есть'!$A$73:$A$80,Доп.расчеты!$A55,'Как есть'!GD$73:GD$80)</f>
        <v>0</v>
      </c>
      <c r="GD55">
        <f>SUMIF('Как есть'!$A$73:$A$80,Доп.расчеты!$A55,'Как есть'!GE$73:GE$80)</f>
        <v>0</v>
      </c>
      <c r="GE55">
        <f>SUMIF('Как есть'!$A$73:$A$80,Доп.расчеты!$A55,'Как есть'!GF$73:GF$80)</f>
        <v>0</v>
      </c>
      <c r="GF55">
        <f>SUMIF('Как есть'!$A$73:$A$80,Доп.расчеты!$A55,'Как есть'!GG$73:GG$80)</f>
        <v>0</v>
      </c>
      <c r="GG55">
        <f>SUMIF('Как есть'!$A$73:$A$80,Доп.расчеты!$A55,'Как есть'!GH$73:GH$80)</f>
        <v>0</v>
      </c>
      <c r="GH55">
        <f>SUMIF('Как есть'!$A$73:$A$80,Доп.расчеты!$A55,'Как есть'!GI$73:GI$80)</f>
        <v>0</v>
      </c>
      <c r="GI55">
        <f>SUMIF('Как есть'!$A$73:$A$80,Доп.расчеты!$A55,'Как есть'!GJ$73:GJ$80)</f>
        <v>0</v>
      </c>
      <c r="GJ55">
        <f>SUMIF('Как есть'!$A$73:$A$80,Доп.расчеты!$A55,'Как есть'!GK$73:GK$80)</f>
        <v>0</v>
      </c>
      <c r="GK55">
        <f>SUMIF('Как есть'!$A$73:$A$80,Доп.расчеты!$A55,'Как есть'!GL$73:GL$80)</f>
        <v>0</v>
      </c>
      <c r="GL55">
        <f>SUMIF('Как есть'!$A$73:$A$80,Доп.расчеты!$A55,'Как есть'!GM$73:GM$80)</f>
        <v>0</v>
      </c>
      <c r="GM55">
        <f>SUMIF('Как есть'!$A$73:$A$80,Доп.расчеты!$A55,'Как есть'!GN$73:GN$80)</f>
        <v>0</v>
      </c>
      <c r="GN55">
        <f>SUMIF('Как есть'!$A$73:$A$80,Доп.расчеты!$A55,'Как есть'!GO$73:GO$80)</f>
        <v>0</v>
      </c>
      <c r="GO55">
        <f>SUMIF('Как есть'!$A$73:$A$80,Доп.расчеты!$A55,'Как есть'!GP$73:GP$80)</f>
        <v>0</v>
      </c>
      <c r="GP55">
        <f>SUMIF('Как есть'!$A$73:$A$80,Доп.расчеты!$A55,'Как есть'!GQ$73:GQ$80)</f>
        <v>0</v>
      </c>
      <c r="GQ55">
        <f>SUMIF('Как есть'!$A$73:$A$80,Доп.расчеты!$A55,'Как есть'!GR$73:GR$80)</f>
        <v>0</v>
      </c>
      <c r="GR55">
        <f>SUMIF('Как есть'!$A$73:$A$80,Доп.расчеты!$A55,'Как есть'!GS$73:GS$80)</f>
        <v>0</v>
      </c>
      <c r="GS55">
        <f>SUMIF('Как есть'!$A$73:$A$80,Доп.расчеты!$A55,'Как есть'!GT$73:GT$80)</f>
        <v>0</v>
      </c>
      <c r="GT55">
        <f>SUMIF('Как есть'!$A$73:$A$80,Доп.расчеты!$A55,'Как есть'!GU$73:GU$80)</f>
        <v>0</v>
      </c>
    </row>
    <row r="56" spans="1:202">
      <c r="A56" s="237" t="s">
        <v>93</v>
      </c>
      <c r="B56">
        <f>SUMIF('Как есть'!$A$73:$A$80,Доп.расчеты!$A56,'Как есть'!C$73:C$80)</f>
        <v>0</v>
      </c>
      <c r="C56">
        <f>SUMIF('Как есть'!$A$73:$A$80,Доп.расчеты!$A56,'Как есть'!D$73:D$80)</f>
        <v>0</v>
      </c>
      <c r="D56">
        <f>SUMIF('Как есть'!$A$73:$A$80,Доп.расчеты!$A56,'Как есть'!E$73:E$80)</f>
        <v>0</v>
      </c>
      <c r="E56">
        <f>SUMIF('Как есть'!$A$73:$A$80,Доп.расчеты!$A56,'Как есть'!F$73:F$80)</f>
        <v>0</v>
      </c>
      <c r="F56">
        <f>SUMIF('Как есть'!$A$73:$A$80,Доп.расчеты!$A56,'Как есть'!G$73:G$80)</f>
        <v>0</v>
      </c>
      <c r="G56">
        <f>SUMIF('Как есть'!$A$73:$A$80,Доп.расчеты!$A56,'Как есть'!H$73:H$80)</f>
        <v>0</v>
      </c>
      <c r="H56">
        <f>SUMIF('Как есть'!$A$73:$A$80,Доп.расчеты!$A56,'Как есть'!I$73:I$80)</f>
        <v>0</v>
      </c>
      <c r="I56">
        <f>SUMIF('Как есть'!$A$73:$A$80,Доп.расчеты!$A56,'Как есть'!J$73:J$80)</f>
        <v>0</v>
      </c>
      <c r="J56">
        <f>SUMIF('Как есть'!$A$73:$A$80,Доп.расчеты!$A56,'Как есть'!K$73:K$80)</f>
        <v>0</v>
      </c>
      <c r="K56">
        <f>SUMIF('Как есть'!$A$73:$A$80,Доп.расчеты!$A56,'Как есть'!L$73:L$80)</f>
        <v>0</v>
      </c>
      <c r="L56">
        <f>SUMIF('Как есть'!$A$73:$A$80,Доп.расчеты!$A56,'Как есть'!M$73:M$80)</f>
        <v>0</v>
      </c>
      <c r="M56">
        <f>SUMIF('Как есть'!$A$73:$A$80,Доп.расчеты!$A56,'Как есть'!N$73:N$80)</f>
        <v>0</v>
      </c>
      <c r="N56">
        <f>SUMIF('Как есть'!$A$73:$A$80,Доп.расчеты!$A56,'Как есть'!O$73:O$80)</f>
        <v>0</v>
      </c>
      <c r="O56">
        <f>SUMIF('Как есть'!$A$73:$A$80,Доп.расчеты!$A56,'Как есть'!P$73:P$80)</f>
        <v>0</v>
      </c>
      <c r="P56">
        <f>SUMIF('Как есть'!$A$73:$A$80,Доп.расчеты!$A56,'Как есть'!Q$73:Q$80)</f>
        <v>0</v>
      </c>
      <c r="Q56">
        <f>SUMIF('Как есть'!$A$73:$A$80,Доп.расчеты!$A56,'Как есть'!R$73:R$80)</f>
        <v>0</v>
      </c>
      <c r="R56">
        <f>SUMIF('Как есть'!$A$73:$A$80,Доп.расчеты!$A56,'Как есть'!S$73:S$80)</f>
        <v>0</v>
      </c>
      <c r="S56">
        <f>SUMIF('Как есть'!$A$73:$A$80,Доп.расчеты!$A56,'Как есть'!T$73:T$80)</f>
        <v>0</v>
      </c>
      <c r="T56">
        <f>SUMIF('Как есть'!$A$73:$A$80,Доп.расчеты!$A56,'Как есть'!U$73:U$80)</f>
        <v>0</v>
      </c>
      <c r="U56">
        <f>SUMIF('Как есть'!$A$73:$A$80,Доп.расчеты!$A56,'Как есть'!V$73:V$80)</f>
        <v>0</v>
      </c>
      <c r="V56">
        <f>SUMIF('Как есть'!$A$73:$A$80,Доп.расчеты!$A56,'Как есть'!W$73:W$80)</f>
        <v>0</v>
      </c>
      <c r="W56">
        <f>SUMIF('Как есть'!$A$73:$A$80,Доп.расчеты!$A56,'Как есть'!X$73:X$80)</f>
        <v>0</v>
      </c>
      <c r="X56">
        <f>SUMIF('Как есть'!$A$73:$A$80,Доп.расчеты!$A56,'Как есть'!Y$73:Y$80)</f>
        <v>0</v>
      </c>
      <c r="Y56">
        <f>SUMIF('Как есть'!$A$73:$A$80,Доп.расчеты!$A56,'Как есть'!Z$73:Z$80)</f>
        <v>0</v>
      </c>
      <c r="Z56">
        <f>SUMIF('Как есть'!$A$73:$A$80,Доп.расчеты!$A56,'Как есть'!AA$73:AA$80)</f>
        <v>0</v>
      </c>
      <c r="AA56">
        <f>SUMIF('Как есть'!$A$73:$A$80,Доп.расчеты!$A56,'Как есть'!AB$73:AB$80)</f>
        <v>0</v>
      </c>
      <c r="AB56">
        <f>SUMIF('Как есть'!$A$73:$A$80,Доп.расчеты!$A56,'Как есть'!AC$73:AC$80)</f>
        <v>0</v>
      </c>
      <c r="AC56">
        <f>SUMIF('Как есть'!$A$73:$A$80,Доп.расчеты!$A56,'Как есть'!AD$73:AD$80)</f>
        <v>0</v>
      </c>
      <c r="AD56">
        <f>SUMIF('Как есть'!$A$73:$A$80,Доп.расчеты!$A56,'Как есть'!AE$73:AE$80)</f>
        <v>0</v>
      </c>
      <c r="AE56">
        <f>SUMIF('Как есть'!$A$73:$A$80,Доп.расчеты!$A56,'Как есть'!AF$73:AF$80)</f>
        <v>0</v>
      </c>
      <c r="AF56">
        <f>SUMIF('Как есть'!$A$73:$A$80,Доп.расчеты!$A56,'Как есть'!AG$73:AG$80)</f>
        <v>0</v>
      </c>
      <c r="AG56">
        <f>SUMIF('Как есть'!$A$73:$A$80,Доп.расчеты!$A56,'Как есть'!AH$73:AH$80)</f>
        <v>0</v>
      </c>
      <c r="AH56">
        <f>SUMIF('Как есть'!$A$73:$A$80,Доп.расчеты!$A56,'Как есть'!AI$73:AI$80)</f>
        <v>0</v>
      </c>
      <c r="AI56">
        <f>SUMIF('Как есть'!$A$73:$A$80,Доп.расчеты!$A56,'Как есть'!AJ$73:AJ$80)</f>
        <v>0</v>
      </c>
      <c r="AJ56">
        <f>SUMIF('Как есть'!$A$73:$A$80,Доп.расчеты!$A56,'Как есть'!AK$73:AK$80)</f>
        <v>0</v>
      </c>
      <c r="AK56">
        <f>SUMIF('Как есть'!$A$73:$A$80,Доп.расчеты!$A56,'Как есть'!AL$73:AL$80)</f>
        <v>0</v>
      </c>
      <c r="AL56">
        <f>SUMIF('Как есть'!$A$73:$A$80,Доп.расчеты!$A56,'Как есть'!AM$73:AM$80)</f>
        <v>0</v>
      </c>
      <c r="AM56">
        <f>SUMIF('Как есть'!$A$73:$A$80,Доп.расчеты!$A56,'Как есть'!AN$73:AN$80)</f>
        <v>0</v>
      </c>
      <c r="AN56">
        <f>SUMIF('Как есть'!$A$73:$A$80,Доп.расчеты!$A56,'Как есть'!AO$73:AO$80)</f>
        <v>0</v>
      </c>
      <c r="AO56">
        <f>SUMIF('Как есть'!$A$73:$A$80,Доп.расчеты!$A56,'Как есть'!AP$73:AP$80)</f>
        <v>0</v>
      </c>
      <c r="AP56">
        <f>SUMIF('Как есть'!$A$73:$A$80,Доп.расчеты!$A56,'Как есть'!AQ$73:AQ$80)</f>
        <v>0</v>
      </c>
      <c r="AQ56">
        <f>SUMIF('Как есть'!$A$73:$A$80,Доп.расчеты!$A56,'Как есть'!AR$73:AR$80)</f>
        <v>0</v>
      </c>
      <c r="AR56">
        <f>SUMIF('Как есть'!$A$73:$A$80,Доп.расчеты!$A56,'Как есть'!AS$73:AS$80)</f>
        <v>0</v>
      </c>
      <c r="AS56">
        <f>SUMIF('Как есть'!$A$73:$A$80,Доп.расчеты!$A56,'Как есть'!AT$73:AT$80)</f>
        <v>0</v>
      </c>
      <c r="AT56">
        <f>SUMIF('Как есть'!$A$73:$A$80,Доп.расчеты!$A56,'Как есть'!AU$73:AU$80)</f>
        <v>0</v>
      </c>
      <c r="AU56">
        <f>SUMIF('Как есть'!$A$73:$A$80,Доп.расчеты!$A56,'Как есть'!AV$73:AV$80)</f>
        <v>0</v>
      </c>
      <c r="AV56">
        <f>SUMIF('Как есть'!$A$73:$A$80,Доп.расчеты!$A56,'Как есть'!AW$73:AW$80)</f>
        <v>0</v>
      </c>
      <c r="AW56">
        <f>SUMIF('Как есть'!$A$73:$A$80,Доп.расчеты!$A56,'Как есть'!AX$73:AX$80)</f>
        <v>0</v>
      </c>
      <c r="AX56">
        <f>SUMIF('Как есть'!$A$73:$A$80,Доп.расчеты!$A56,'Как есть'!AY$73:AY$80)</f>
        <v>0</v>
      </c>
      <c r="AY56">
        <f>SUMIF('Как есть'!$A$73:$A$80,Доп.расчеты!$A56,'Как есть'!AZ$73:AZ$80)</f>
        <v>0</v>
      </c>
      <c r="AZ56">
        <f>SUMIF('Как есть'!$A$73:$A$80,Доп.расчеты!$A56,'Как есть'!BA$73:BA$80)</f>
        <v>0</v>
      </c>
      <c r="BA56">
        <f>SUMIF('Как есть'!$A$73:$A$80,Доп.расчеты!$A56,'Как есть'!BB$73:BB$80)</f>
        <v>0</v>
      </c>
      <c r="BB56">
        <f>SUMIF('Как есть'!$A$73:$A$80,Доп.расчеты!$A56,'Как есть'!BC$73:BC$80)</f>
        <v>0</v>
      </c>
      <c r="BC56">
        <f>SUMIF('Как есть'!$A$73:$A$80,Доп.расчеты!$A56,'Как есть'!BD$73:BD$80)</f>
        <v>0</v>
      </c>
      <c r="BD56">
        <f>SUMIF('Как есть'!$A$73:$A$80,Доп.расчеты!$A56,'Как есть'!BE$73:BE$80)</f>
        <v>0</v>
      </c>
      <c r="BE56">
        <f>SUMIF('Как есть'!$A$73:$A$80,Доп.расчеты!$A56,'Как есть'!BF$73:BF$80)</f>
        <v>0</v>
      </c>
      <c r="BF56">
        <f>SUMIF('Как есть'!$A$73:$A$80,Доп.расчеты!$A56,'Как есть'!BG$73:BG$80)</f>
        <v>0</v>
      </c>
      <c r="BG56">
        <f>SUMIF('Как есть'!$A$73:$A$80,Доп.расчеты!$A56,'Как есть'!BH$73:BH$80)</f>
        <v>0</v>
      </c>
      <c r="BH56">
        <f>SUMIF('Как есть'!$A$73:$A$80,Доп.расчеты!$A56,'Как есть'!BI$73:BI$80)</f>
        <v>0</v>
      </c>
      <c r="BI56">
        <f>SUMIF('Как есть'!$A$73:$A$80,Доп.расчеты!$A56,'Как есть'!BJ$73:BJ$80)</f>
        <v>0</v>
      </c>
      <c r="BJ56">
        <f>SUMIF('Как есть'!$A$73:$A$80,Доп.расчеты!$A56,'Как есть'!BK$73:BK$80)</f>
        <v>0</v>
      </c>
      <c r="BK56">
        <f>SUMIF('Как есть'!$A$73:$A$80,Доп.расчеты!$A56,'Как есть'!BL$73:BL$80)</f>
        <v>0</v>
      </c>
      <c r="BL56">
        <f>SUMIF('Как есть'!$A$73:$A$80,Доп.расчеты!$A56,'Как есть'!BM$73:BM$80)</f>
        <v>0</v>
      </c>
      <c r="BM56">
        <f>SUMIF('Как есть'!$A$73:$A$80,Доп.расчеты!$A56,'Как есть'!BN$73:BN$80)</f>
        <v>0</v>
      </c>
      <c r="BN56">
        <f>SUMIF('Как есть'!$A$73:$A$80,Доп.расчеты!$A56,'Как есть'!BO$73:BO$80)</f>
        <v>0</v>
      </c>
      <c r="BO56">
        <f>SUMIF('Как есть'!$A$73:$A$80,Доп.расчеты!$A56,'Как есть'!BP$73:BP$80)</f>
        <v>0</v>
      </c>
      <c r="BP56">
        <f>SUMIF('Как есть'!$A$73:$A$80,Доп.расчеты!$A56,'Как есть'!BQ$73:BQ$80)</f>
        <v>0</v>
      </c>
      <c r="BQ56">
        <f>SUMIF('Как есть'!$A$73:$A$80,Доп.расчеты!$A56,'Как есть'!BR$73:BR$80)</f>
        <v>0</v>
      </c>
      <c r="BR56">
        <f>SUMIF('Как есть'!$A$73:$A$80,Доп.расчеты!$A56,'Как есть'!BS$73:BS$80)</f>
        <v>0</v>
      </c>
      <c r="BS56">
        <f>SUMIF('Как есть'!$A$73:$A$80,Доп.расчеты!$A56,'Как есть'!BT$73:BT$80)</f>
        <v>0</v>
      </c>
      <c r="BT56">
        <f>SUMIF('Как есть'!$A$73:$A$80,Доп.расчеты!$A56,'Как есть'!BU$73:BU$80)</f>
        <v>0</v>
      </c>
      <c r="BU56">
        <f>SUMIF('Как есть'!$A$73:$A$80,Доп.расчеты!$A56,'Как есть'!BV$73:BV$80)</f>
        <v>0</v>
      </c>
      <c r="BV56">
        <f>SUMIF('Как есть'!$A$73:$A$80,Доп.расчеты!$A56,'Как есть'!BW$73:BW$80)</f>
        <v>0</v>
      </c>
      <c r="BW56">
        <f>SUMIF('Как есть'!$A$73:$A$80,Доп.расчеты!$A56,'Как есть'!BX$73:BX$80)</f>
        <v>0</v>
      </c>
      <c r="BX56">
        <f>SUMIF('Как есть'!$A$73:$A$80,Доп.расчеты!$A56,'Как есть'!BY$73:BY$80)</f>
        <v>0</v>
      </c>
      <c r="BY56">
        <f>SUMIF('Как есть'!$A$73:$A$80,Доп.расчеты!$A56,'Как есть'!BZ$73:BZ$80)</f>
        <v>0</v>
      </c>
      <c r="BZ56">
        <f>SUMIF('Как есть'!$A$73:$A$80,Доп.расчеты!$A56,'Как есть'!CA$73:CA$80)</f>
        <v>0</v>
      </c>
      <c r="CA56">
        <f>SUMIF('Как есть'!$A$73:$A$80,Доп.расчеты!$A56,'Как есть'!CB$73:CB$80)</f>
        <v>0</v>
      </c>
      <c r="CB56">
        <f>SUMIF('Как есть'!$A$73:$A$80,Доп.расчеты!$A56,'Как есть'!CC$73:CC$80)</f>
        <v>0</v>
      </c>
      <c r="CC56">
        <f>SUMIF('Как есть'!$A$73:$A$80,Доп.расчеты!$A56,'Как есть'!CD$73:CD$80)</f>
        <v>0</v>
      </c>
      <c r="CD56">
        <f>SUMIF('Как есть'!$A$73:$A$80,Доп.расчеты!$A56,'Как есть'!CE$73:CE$80)</f>
        <v>0</v>
      </c>
      <c r="CE56">
        <f>SUMIF('Как есть'!$A$73:$A$80,Доп.расчеты!$A56,'Как есть'!CF$73:CF$80)</f>
        <v>0</v>
      </c>
      <c r="CF56">
        <f>SUMIF('Как есть'!$A$73:$A$80,Доп.расчеты!$A56,'Как есть'!CG$73:CG$80)</f>
        <v>0</v>
      </c>
      <c r="CG56">
        <f>SUMIF('Как есть'!$A$73:$A$80,Доп.расчеты!$A56,'Как есть'!CH$73:CH$80)</f>
        <v>0</v>
      </c>
      <c r="CH56">
        <f>SUMIF('Как есть'!$A$73:$A$80,Доп.расчеты!$A56,'Как есть'!CI$73:CI$80)</f>
        <v>0</v>
      </c>
      <c r="CI56">
        <f>SUMIF('Как есть'!$A$73:$A$80,Доп.расчеты!$A56,'Как есть'!CJ$73:CJ$80)</f>
        <v>0</v>
      </c>
      <c r="CJ56">
        <f>SUMIF('Как есть'!$A$73:$A$80,Доп.расчеты!$A56,'Как есть'!CK$73:CK$80)</f>
        <v>0</v>
      </c>
      <c r="CK56">
        <f>SUMIF('Как есть'!$A$73:$A$80,Доп.расчеты!$A56,'Как есть'!CL$73:CL$80)</f>
        <v>0</v>
      </c>
      <c r="CL56">
        <f>SUMIF('Как есть'!$A$73:$A$80,Доп.расчеты!$A56,'Как есть'!CM$73:CM$80)</f>
        <v>0</v>
      </c>
      <c r="CM56">
        <f>SUMIF('Как есть'!$A$73:$A$80,Доп.расчеты!$A56,'Как есть'!CN$73:CN$80)</f>
        <v>0</v>
      </c>
      <c r="CN56">
        <f>SUMIF('Как есть'!$A$73:$A$80,Доп.расчеты!$A56,'Как есть'!CO$73:CO$80)</f>
        <v>0</v>
      </c>
      <c r="CO56">
        <f>SUMIF('Как есть'!$A$73:$A$80,Доп.расчеты!$A56,'Как есть'!CP$73:CP$80)</f>
        <v>0</v>
      </c>
      <c r="CP56">
        <f>SUMIF('Как есть'!$A$73:$A$80,Доп.расчеты!$A56,'Как есть'!CQ$73:CQ$80)</f>
        <v>0</v>
      </c>
      <c r="CQ56">
        <f>SUMIF('Как есть'!$A$73:$A$80,Доп.расчеты!$A56,'Как есть'!CR$73:CR$80)</f>
        <v>0</v>
      </c>
      <c r="CR56">
        <f>SUMIF('Как есть'!$A$73:$A$80,Доп.расчеты!$A56,'Как есть'!CS$73:CS$80)</f>
        <v>0</v>
      </c>
      <c r="CS56">
        <f>SUMIF('Как есть'!$A$73:$A$80,Доп.расчеты!$A56,'Как есть'!CT$73:CT$80)</f>
        <v>0</v>
      </c>
      <c r="CT56">
        <f>SUMIF('Как есть'!$A$73:$A$80,Доп.расчеты!$A56,'Как есть'!CU$73:CU$80)</f>
        <v>0</v>
      </c>
      <c r="CU56">
        <f>SUMIF('Как есть'!$A$73:$A$80,Доп.расчеты!$A56,'Как есть'!CV$73:CV$80)</f>
        <v>0</v>
      </c>
      <c r="CV56">
        <f>SUMIF('Как есть'!$A$73:$A$80,Доп.расчеты!$A56,'Как есть'!CW$73:CW$80)</f>
        <v>0</v>
      </c>
      <c r="CW56">
        <f>SUMIF('Как есть'!$A$73:$A$80,Доп.расчеты!$A56,'Как есть'!CX$73:CX$80)</f>
        <v>0</v>
      </c>
      <c r="CX56">
        <f>SUMIF('Как есть'!$A$73:$A$80,Доп.расчеты!$A56,'Как есть'!CY$73:CY$80)</f>
        <v>0</v>
      </c>
      <c r="CY56">
        <f>SUMIF('Как есть'!$A$73:$A$80,Доп.расчеты!$A56,'Как есть'!CZ$73:CZ$80)</f>
        <v>0</v>
      </c>
      <c r="CZ56">
        <f>SUMIF('Как есть'!$A$73:$A$80,Доп.расчеты!$A56,'Как есть'!DA$73:DA$80)</f>
        <v>0</v>
      </c>
      <c r="DA56">
        <f>SUMIF('Как есть'!$A$73:$A$80,Доп.расчеты!$A56,'Как есть'!DB$73:DB$80)</f>
        <v>0</v>
      </c>
      <c r="DB56">
        <f>SUMIF('Как есть'!$A$73:$A$80,Доп.расчеты!$A56,'Как есть'!DC$73:DC$80)</f>
        <v>0</v>
      </c>
      <c r="DC56">
        <f>SUMIF('Как есть'!$A$73:$A$80,Доп.расчеты!$A56,'Как есть'!DD$73:DD$80)</f>
        <v>0</v>
      </c>
      <c r="DD56">
        <f>SUMIF('Как есть'!$A$73:$A$80,Доп.расчеты!$A56,'Как есть'!DE$73:DE$80)</f>
        <v>0</v>
      </c>
      <c r="DE56">
        <f>SUMIF('Как есть'!$A$73:$A$80,Доп.расчеты!$A56,'Как есть'!DF$73:DF$80)</f>
        <v>0</v>
      </c>
      <c r="DF56">
        <f>SUMIF('Как есть'!$A$73:$A$80,Доп.расчеты!$A56,'Как есть'!DG$73:DG$80)</f>
        <v>0</v>
      </c>
      <c r="DG56">
        <f>SUMIF('Как есть'!$A$73:$A$80,Доп.расчеты!$A56,'Как есть'!DH$73:DH$80)</f>
        <v>0</v>
      </c>
      <c r="DH56">
        <f>SUMIF('Как есть'!$A$73:$A$80,Доп.расчеты!$A56,'Как есть'!DI$73:DI$80)</f>
        <v>0</v>
      </c>
      <c r="DI56">
        <f>SUMIF('Как есть'!$A$73:$A$80,Доп.расчеты!$A56,'Как есть'!DJ$73:DJ$80)</f>
        <v>0</v>
      </c>
      <c r="DJ56">
        <f>SUMIF('Как есть'!$A$73:$A$80,Доп.расчеты!$A56,'Как есть'!DK$73:DK$80)</f>
        <v>0</v>
      </c>
      <c r="DK56">
        <f>SUMIF('Как есть'!$A$73:$A$80,Доп.расчеты!$A56,'Как есть'!DL$73:DL$80)</f>
        <v>0</v>
      </c>
      <c r="DL56">
        <f>SUMIF('Как есть'!$A$73:$A$80,Доп.расчеты!$A56,'Как есть'!DM$73:DM$80)</f>
        <v>0</v>
      </c>
      <c r="DM56">
        <f>SUMIF('Как есть'!$A$73:$A$80,Доп.расчеты!$A56,'Как есть'!DN$73:DN$80)</f>
        <v>0</v>
      </c>
      <c r="DN56">
        <f>SUMIF('Как есть'!$A$73:$A$80,Доп.расчеты!$A56,'Как есть'!DO$73:DO$80)</f>
        <v>0</v>
      </c>
      <c r="DO56">
        <f>SUMIF('Как есть'!$A$73:$A$80,Доп.расчеты!$A56,'Как есть'!DP$73:DP$80)</f>
        <v>0</v>
      </c>
      <c r="DP56">
        <f>SUMIF('Как есть'!$A$73:$A$80,Доп.расчеты!$A56,'Как есть'!DQ$73:DQ$80)</f>
        <v>0</v>
      </c>
      <c r="DQ56">
        <f>SUMIF('Как есть'!$A$73:$A$80,Доп.расчеты!$A56,'Как есть'!DR$73:DR$80)</f>
        <v>0</v>
      </c>
      <c r="DR56">
        <f>SUMIF('Как есть'!$A$73:$A$80,Доп.расчеты!$A56,'Как есть'!DS$73:DS$80)</f>
        <v>0</v>
      </c>
      <c r="DS56">
        <f>SUMIF('Как есть'!$A$73:$A$80,Доп.расчеты!$A56,'Как есть'!DT$73:DT$80)</f>
        <v>0</v>
      </c>
      <c r="DT56">
        <f>SUMIF('Как есть'!$A$73:$A$80,Доп.расчеты!$A56,'Как есть'!DU$73:DU$80)</f>
        <v>0</v>
      </c>
      <c r="DU56">
        <f>SUMIF('Как есть'!$A$73:$A$80,Доп.расчеты!$A56,'Как есть'!DV$73:DV$80)</f>
        <v>0</v>
      </c>
      <c r="DV56">
        <f>SUMIF('Как есть'!$A$73:$A$80,Доп.расчеты!$A56,'Как есть'!DW$73:DW$80)</f>
        <v>0</v>
      </c>
      <c r="DW56">
        <f>SUMIF('Как есть'!$A$73:$A$80,Доп.расчеты!$A56,'Как есть'!DX$73:DX$80)</f>
        <v>0</v>
      </c>
      <c r="DX56">
        <f>SUMIF('Как есть'!$A$73:$A$80,Доп.расчеты!$A56,'Как есть'!DY$73:DY$80)</f>
        <v>0</v>
      </c>
      <c r="DY56">
        <f>SUMIF('Как есть'!$A$73:$A$80,Доп.расчеты!$A56,'Как есть'!DZ$73:DZ$80)</f>
        <v>0</v>
      </c>
      <c r="DZ56">
        <f>SUMIF('Как есть'!$A$73:$A$80,Доп.расчеты!$A56,'Как есть'!EA$73:EA$80)</f>
        <v>0</v>
      </c>
      <c r="EA56">
        <f>SUMIF('Как есть'!$A$73:$A$80,Доп.расчеты!$A56,'Как есть'!EB$73:EB$80)</f>
        <v>0</v>
      </c>
      <c r="EB56">
        <f>SUMIF('Как есть'!$A$73:$A$80,Доп.расчеты!$A56,'Как есть'!EC$73:EC$80)</f>
        <v>0</v>
      </c>
      <c r="EC56">
        <f>SUMIF('Как есть'!$A$73:$A$80,Доп.расчеты!$A56,'Как есть'!ED$73:ED$80)</f>
        <v>0</v>
      </c>
      <c r="ED56">
        <f>SUMIF('Как есть'!$A$73:$A$80,Доп.расчеты!$A56,'Как есть'!EE$73:EE$80)</f>
        <v>0</v>
      </c>
      <c r="EE56">
        <f>SUMIF('Как есть'!$A$73:$A$80,Доп.расчеты!$A56,'Как есть'!EF$73:EF$80)</f>
        <v>0</v>
      </c>
      <c r="EF56">
        <f>SUMIF('Как есть'!$A$73:$A$80,Доп.расчеты!$A56,'Как есть'!EG$73:EG$80)</f>
        <v>0</v>
      </c>
      <c r="EG56">
        <f>SUMIF('Как есть'!$A$73:$A$80,Доп.расчеты!$A56,'Как есть'!EH$73:EH$80)</f>
        <v>0</v>
      </c>
      <c r="EH56">
        <f>SUMIF('Как есть'!$A$73:$A$80,Доп.расчеты!$A56,'Как есть'!EI$73:EI$80)</f>
        <v>0</v>
      </c>
      <c r="EI56">
        <f>SUMIF('Как есть'!$A$73:$A$80,Доп.расчеты!$A56,'Как есть'!EJ$73:EJ$80)</f>
        <v>0</v>
      </c>
      <c r="EJ56">
        <f>SUMIF('Как есть'!$A$73:$A$80,Доп.расчеты!$A56,'Как есть'!EK$73:EK$80)</f>
        <v>0</v>
      </c>
      <c r="EK56">
        <f>SUMIF('Как есть'!$A$73:$A$80,Доп.расчеты!$A56,'Как есть'!EL$73:EL$80)</f>
        <v>0</v>
      </c>
      <c r="EL56">
        <f>SUMIF('Как есть'!$A$73:$A$80,Доп.расчеты!$A56,'Как есть'!EM$73:EM$80)</f>
        <v>0</v>
      </c>
      <c r="EM56">
        <f>SUMIF('Как есть'!$A$73:$A$80,Доп.расчеты!$A56,'Как есть'!EN$73:EN$80)</f>
        <v>0</v>
      </c>
      <c r="EN56">
        <f>SUMIF('Как есть'!$A$73:$A$80,Доп.расчеты!$A56,'Как есть'!EO$73:EO$80)</f>
        <v>0</v>
      </c>
      <c r="EO56">
        <f>SUMIF('Как есть'!$A$73:$A$80,Доп.расчеты!$A56,'Как есть'!EP$73:EP$80)</f>
        <v>0</v>
      </c>
      <c r="EP56">
        <f>SUMIF('Как есть'!$A$73:$A$80,Доп.расчеты!$A56,'Как есть'!EQ$73:EQ$80)</f>
        <v>0</v>
      </c>
      <c r="EQ56">
        <f>SUMIF('Как есть'!$A$73:$A$80,Доп.расчеты!$A56,'Как есть'!ER$73:ER$80)</f>
        <v>0</v>
      </c>
      <c r="ER56">
        <f>SUMIF('Как есть'!$A$73:$A$80,Доп.расчеты!$A56,'Как есть'!ES$73:ES$80)</f>
        <v>0</v>
      </c>
      <c r="ES56">
        <f>SUMIF('Как есть'!$A$73:$A$80,Доп.расчеты!$A56,'Как есть'!ET$73:ET$80)</f>
        <v>0</v>
      </c>
      <c r="ET56">
        <f>SUMIF('Как есть'!$A$73:$A$80,Доп.расчеты!$A56,'Как есть'!EU$73:EU$80)</f>
        <v>0</v>
      </c>
      <c r="EU56">
        <f>SUMIF('Как есть'!$A$73:$A$80,Доп.расчеты!$A56,'Как есть'!EV$73:EV$80)</f>
        <v>0</v>
      </c>
      <c r="EV56">
        <f>SUMIF('Как есть'!$A$73:$A$80,Доп.расчеты!$A56,'Как есть'!EW$73:EW$80)</f>
        <v>0</v>
      </c>
      <c r="EW56">
        <f>SUMIF('Как есть'!$A$73:$A$80,Доп.расчеты!$A56,'Как есть'!EX$73:EX$80)</f>
        <v>0</v>
      </c>
      <c r="EX56">
        <f>SUMIF('Как есть'!$A$73:$A$80,Доп.расчеты!$A56,'Как есть'!EY$73:EY$80)</f>
        <v>0</v>
      </c>
      <c r="EY56">
        <f>SUMIF('Как есть'!$A$73:$A$80,Доп.расчеты!$A56,'Как есть'!EZ$73:EZ$80)</f>
        <v>0</v>
      </c>
      <c r="EZ56">
        <f>SUMIF('Как есть'!$A$73:$A$80,Доп.расчеты!$A56,'Как есть'!FA$73:FA$80)</f>
        <v>0</v>
      </c>
      <c r="FA56">
        <f>SUMIF('Как есть'!$A$73:$A$80,Доп.расчеты!$A56,'Как есть'!FB$73:FB$80)</f>
        <v>0</v>
      </c>
      <c r="FB56">
        <f>SUMIF('Как есть'!$A$73:$A$80,Доп.расчеты!$A56,'Как есть'!FC$73:FC$80)</f>
        <v>0</v>
      </c>
      <c r="FC56">
        <f>SUMIF('Как есть'!$A$73:$A$80,Доп.расчеты!$A56,'Как есть'!FD$73:FD$80)</f>
        <v>0</v>
      </c>
      <c r="FD56">
        <f>SUMIF('Как есть'!$A$73:$A$80,Доп.расчеты!$A56,'Как есть'!FE$73:FE$80)</f>
        <v>0</v>
      </c>
      <c r="FE56">
        <f>SUMIF('Как есть'!$A$73:$A$80,Доп.расчеты!$A56,'Как есть'!FF$73:FF$80)</f>
        <v>0</v>
      </c>
      <c r="FF56">
        <f>SUMIF('Как есть'!$A$73:$A$80,Доп.расчеты!$A56,'Как есть'!FG$73:FG$80)</f>
        <v>0</v>
      </c>
      <c r="FG56">
        <f>SUMIF('Как есть'!$A$73:$A$80,Доп.расчеты!$A56,'Как есть'!FH$73:FH$80)</f>
        <v>0</v>
      </c>
      <c r="FH56">
        <f>SUMIF('Как есть'!$A$73:$A$80,Доп.расчеты!$A56,'Как есть'!FI$73:FI$80)</f>
        <v>0</v>
      </c>
      <c r="FI56">
        <f>SUMIF('Как есть'!$A$73:$A$80,Доп.расчеты!$A56,'Как есть'!FJ$73:FJ$80)</f>
        <v>0</v>
      </c>
      <c r="FJ56">
        <f>SUMIF('Как есть'!$A$73:$A$80,Доп.расчеты!$A56,'Как есть'!FK$73:FK$80)</f>
        <v>0</v>
      </c>
      <c r="FK56">
        <f>SUMIF('Как есть'!$A$73:$A$80,Доп.расчеты!$A56,'Как есть'!FL$73:FL$80)</f>
        <v>0</v>
      </c>
      <c r="FL56">
        <f>SUMIF('Как есть'!$A$73:$A$80,Доп.расчеты!$A56,'Как есть'!FM$73:FM$80)</f>
        <v>0</v>
      </c>
      <c r="FM56">
        <f>SUMIF('Как есть'!$A$73:$A$80,Доп.расчеты!$A56,'Как есть'!FN$73:FN$80)</f>
        <v>0</v>
      </c>
      <c r="FN56">
        <f>SUMIF('Как есть'!$A$73:$A$80,Доп.расчеты!$A56,'Как есть'!FO$73:FO$80)</f>
        <v>0</v>
      </c>
      <c r="FO56">
        <f>SUMIF('Как есть'!$A$73:$A$80,Доп.расчеты!$A56,'Как есть'!FP$73:FP$80)</f>
        <v>0</v>
      </c>
      <c r="FP56">
        <f>SUMIF('Как есть'!$A$73:$A$80,Доп.расчеты!$A56,'Как есть'!FQ$73:FQ$80)</f>
        <v>0</v>
      </c>
      <c r="FQ56">
        <f>SUMIF('Как есть'!$A$73:$A$80,Доп.расчеты!$A56,'Как есть'!FR$73:FR$80)</f>
        <v>0</v>
      </c>
      <c r="FR56">
        <f>SUMIF('Как есть'!$A$73:$A$80,Доп.расчеты!$A56,'Как есть'!FS$73:FS$80)</f>
        <v>0</v>
      </c>
      <c r="FS56">
        <f>SUMIF('Как есть'!$A$73:$A$80,Доп.расчеты!$A56,'Как есть'!FT$73:FT$80)</f>
        <v>0</v>
      </c>
      <c r="FT56">
        <f>SUMIF('Как есть'!$A$73:$A$80,Доп.расчеты!$A56,'Как есть'!FU$73:FU$80)</f>
        <v>0</v>
      </c>
      <c r="FU56">
        <f>SUMIF('Как есть'!$A$73:$A$80,Доп.расчеты!$A56,'Как есть'!FV$73:FV$80)</f>
        <v>0</v>
      </c>
      <c r="FV56">
        <f>SUMIF('Как есть'!$A$73:$A$80,Доп.расчеты!$A56,'Как есть'!FW$73:FW$80)</f>
        <v>0</v>
      </c>
      <c r="FW56">
        <f>SUMIF('Как есть'!$A$73:$A$80,Доп.расчеты!$A56,'Как есть'!FX$73:FX$80)</f>
        <v>0</v>
      </c>
      <c r="FX56">
        <f>SUMIF('Как есть'!$A$73:$A$80,Доп.расчеты!$A56,'Как есть'!FY$73:FY$80)</f>
        <v>0</v>
      </c>
      <c r="FY56">
        <f>SUMIF('Как есть'!$A$73:$A$80,Доп.расчеты!$A56,'Как есть'!FZ$73:FZ$80)</f>
        <v>0</v>
      </c>
      <c r="FZ56">
        <f>SUMIF('Как есть'!$A$73:$A$80,Доп.расчеты!$A56,'Как есть'!GA$73:GA$80)</f>
        <v>0</v>
      </c>
      <c r="GA56">
        <f>SUMIF('Как есть'!$A$73:$A$80,Доп.расчеты!$A56,'Как есть'!GB$73:GB$80)</f>
        <v>0</v>
      </c>
      <c r="GB56">
        <f>SUMIF('Как есть'!$A$73:$A$80,Доп.расчеты!$A56,'Как есть'!GC$73:GC$80)</f>
        <v>0</v>
      </c>
      <c r="GC56">
        <f>SUMIF('Как есть'!$A$73:$A$80,Доп.расчеты!$A56,'Как есть'!GD$73:GD$80)</f>
        <v>0</v>
      </c>
      <c r="GD56">
        <f>SUMIF('Как есть'!$A$73:$A$80,Доп.расчеты!$A56,'Как есть'!GE$73:GE$80)</f>
        <v>0</v>
      </c>
      <c r="GE56">
        <f>SUMIF('Как есть'!$A$73:$A$80,Доп.расчеты!$A56,'Как есть'!GF$73:GF$80)</f>
        <v>0</v>
      </c>
      <c r="GF56">
        <f>SUMIF('Как есть'!$A$73:$A$80,Доп.расчеты!$A56,'Как есть'!GG$73:GG$80)</f>
        <v>0</v>
      </c>
      <c r="GG56">
        <f>SUMIF('Как есть'!$A$73:$A$80,Доп.расчеты!$A56,'Как есть'!GH$73:GH$80)</f>
        <v>0</v>
      </c>
      <c r="GH56">
        <f>SUMIF('Как есть'!$A$73:$A$80,Доп.расчеты!$A56,'Как есть'!GI$73:GI$80)</f>
        <v>0</v>
      </c>
      <c r="GI56">
        <f>SUMIF('Как есть'!$A$73:$A$80,Доп.расчеты!$A56,'Как есть'!GJ$73:GJ$80)</f>
        <v>0</v>
      </c>
      <c r="GJ56">
        <f>SUMIF('Как есть'!$A$73:$A$80,Доп.расчеты!$A56,'Как есть'!GK$73:GK$80)</f>
        <v>0</v>
      </c>
      <c r="GK56">
        <f>SUMIF('Как есть'!$A$73:$A$80,Доп.расчеты!$A56,'Как есть'!GL$73:GL$80)</f>
        <v>0</v>
      </c>
      <c r="GL56">
        <f>SUMIF('Как есть'!$A$73:$A$80,Доп.расчеты!$A56,'Как есть'!GM$73:GM$80)</f>
        <v>0</v>
      </c>
      <c r="GM56">
        <f>SUMIF('Как есть'!$A$73:$A$80,Доп.расчеты!$A56,'Как есть'!GN$73:GN$80)</f>
        <v>0</v>
      </c>
      <c r="GN56">
        <f>SUMIF('Как есть'!$A$73:$A$80,Доп.расчеты!$A56,'Как есть'!GO$73:GO$80)</f>
        <v>0</v>
      </c>
      <c r="GO56">
        <f>SUMIF('Как есть'!$A$73:$A$80,Доп.расчеты!$A56,'Как есть'!GP$73:GP$80)</f>
        <v>0</v>
      </c>
      <c r="GP56">
        <f>SUMIF('Как есть'!$A$73:$A$80,Доп.расчеты!$A56,'Как есть'!GQ$73:GQ$80)</f>
        <v>0</v>
      </c>
      <c r="GQ56">
        <f>SUMIF('Как есть'!$A$73:$A$80,Доп.расчеты!$A56,'Как есть'!GR$73:GR$80)</f>
        <v>0</v>
      </c>
      <c r="GR56">
        <f>SUMIF('Как есть'!$A$73:$A$80,Доп.расчеты!$A56,'Как есть'!GS$73:GS$80)</f>
        <v>0</v>
      </c>
      <c r="GS56">
        <f>SUMIF('Как есть'!$A$73:$A$80,Доп.расчеты!$A56,'Как есть'!GT$73:GT$80)</f>
        <v>0</v>
      </c>
      <c r="GT56">
        <f>SUMIF('Как есть'!$A$73:$A$80,Доп.расчеты!$A56,'Как есть'!GU$73:GU$80)</f>
        <v>0</v>
      </c>
    </row>
    <row r="57" spans="1:202">
      <c r="A57" s="237" t="s">
        <v>94</v>
      </c>
      <c r="B57">
        <f>SUMIF('Как есть'!$A$73:$A$80,Доп.расчеты!$A57,'Как есть'!C$73:C$80)</f>
        <v>0</v>
      </c>
      <c r="C57">
        <f>SUMIF('Как есть'!$A$73:$A$80,Доп.расчеты!$A57,'Как есть'!D$73:D$80)</f>
        <v>0</v>
      </c>
      <c r="D57">
        <f>SUMIF('Как есть'!$A$73:$A$80,Доп.расчеты!$A57,'Как есть'!E$73:E$80)</f>
        <v>0</v>
      </c>
      <c r="E57">
        <f>SUMIF('Как есть'!$A$73:$A$80,Доп.расчеты!$A57,'Как есть'!F$73:F$80)</f>
        <v>0</v>
      </c>
      <c r="F57">
        <f>SUMIF('Как есть'!$A$73:$A$80,Доп.расчеты!$A57,'Как есть'!G$73:G$80)</f>
        <v>0</v>
      </c>
      <c r="G57">
        <f>SUMIF('Как есть'!$A$73:$A$80,Доп.расчеты!$A57,'Как есть'!H$73:H$80)</f>
        <v>0</v>
      </c>
      <c r="H57">
        <f>SUMIF('Как есть'!$A$73:$A$80,Доп.расчеты!$A57,'Как есть'!I$73:I$80)</f>
        <v>0</v>
      </c>
      <c r="I57">
        <f>SUMIF('Как есть'!$A$73:$A$80,Доп.расчеты!$A57,'Как есть'!J$73:J$80)</f>
        <v>0</v>
      </c>
      <c r="J57">
        <f>SUMIF('Как есть'!$A$73:$A$80,Доп.расчеты!$A57,'Как есть'!K$73:K$80)</f>
        <v>0</v>
      </c>
      <c r="K57">
        <f>SUMIF('Как есть'!$A$73:$A$80,Доп.расчеты!$A57,'Как есть'!L$73:L$80)</f>
        <v>0</v>
      </c>
      <c r="L57">
        <f>SUMIF('Как есть'!$A$73:$A$80,Доп.расчеты!$A57,'Как есть'!M$73:M$80)</f>
        <v>0</v>
      </c>
      <c r="M57">
        <f>SUMIF('Как есть'!$A$73:$A$80,Доп.расчеты!$A57,'Как есть'!N$73:N$80)</f>
        <v>0</v>
      </c>
      <c r="N57">
        <f>SUMIF('Как есть'!$A$73:$A$80,Доп.расчеты!$A57,'Как есть'!O$73:O$80)</f>
        <v>0</v>
      </c>
      <c r="O57">
        <f>SUMIF('Как есть'!$A$73:$A$80,Доп.расчеты!$A57,'Как есть'!P$73:P$80)</f>
        <v>0</v>
      </c>
      <c r="P57">
        <f>SUMIF('Как есть'!$A$73:$A$80,Доп.расчеты!$A57,'Как есть'!Q$73:Q$80)</f>
        <v>0</v>
      </c>
      <c r="Q57">
        <f>SUMIF('Как есть'!$A$73:$A$80,Доп.расчеты!$A57,'Как есть'!R$73:R$80)</f>
        <v>0</v>
      </c>
      <c r="R57">
        <f>SUMIF('Как есть'!$A$73:$A$80,Доп.расчеты!$A57,'Как есть'!S$73:S$80)</f>
        <v>0</v>
      </c>
      <c r="S57">
        <f>SUMIF('Как есть'!$A$73:$A$80,Доп.расчеты!$A57,'Как есть'!T$73:T$80)</f>
        <v>0</v>
      </c>
      <c r="T57">
        <f>SUMIF('Как есть'!$A$73:$A$80,Доп.расчеты!$A57,'Как есть'!U$73:U$80)</f>
        <v>0</v>
      </c>
      <c r="U57">
        <f>SUMIF('Как есть'!$A$73:$A$80,Доп.расчеты!$A57,'Как есть'!V$73:V$80)</f>
        <v>0</v>
      </c>
      <c r="V57">
        <f>SUMIF('Как есть'!$A$73:$A$80,Доп.расчеты!$A57,'Как есть'!W$73:W$80)</f>
        <v>0</v>
      </c>
      <c r="W57">
        <f>SUMIF('Как есть'!$A$73:$A$80,Доп.расчеты!$A57,'Как есть'!X$73:X$80)</f>
        <v>0</v>
      </c>
      <c r="X57">
        <f>SUMIF('Как есть'!$A$73:$A$80,Доп.расчеты!$A57,'Как есть'!Y$73:Y$80)</f>
        <v>0</v>
      </c>
      <c r="Y57">
        <f>SUMIF('Как есть'!$A$73:$A$80,Доп.расчеты!$A57,'Как есть'!Z$73:Z$80)</f>
        <v>0</v>
      </c>
      <c r="Z57">
        <f>SUMIF('Как есть'!$A$73:$A$80,Доп.расчеты!$A57,'Как есть'!AA$73:AA$80)</f>
        <v>0</v>
      </c>
      <c r="AA57">
        <f>SUMIF('Как есть'!$A$73:$A$80,Доп.расчеты!$A57,'Как есть'!AB$73:AB$80)</f>
        <v>0</v>
      </c>
      <c r="AB57">
        <f>SUMIF('Как есть'!$A$73:$A$80,Доп.расчеты!$A57,'Как есть'!AC$73:AC$80)</f>
        <v>0</v>
      </c>
      <c r="AC57">
        <f>SUMIF('Как есть'!$A$73:$A$80,Доп.расчеты!$A57,'Как есть'!AD$73:AD$80)</f>
        <v>0</v>
      </c>
      <c r="AD57">
        <f>SUMIF('Как есть'!$A$73:$A$80,Доп.расчеты!$A57,'Как есть'!AE$73:AE$80)</f>
        <v>0</v>
      </c>
      <c r="AE57">
        <f>SUMIF('Как есть'!$A$73:$A$80,Доп.расчеты!$A57,'Как есть'!AF$73:AF$80)</f>
        <v>0</v>
      </c>
      <c r="AF57">
        <f>SUMIF('Как есть'!$A$73:$A$80,Доп.расчеты!$A57,'Как есть'!AG$73:AG$80)</f>
        <v>0</v>
      </c>
      <c r="AG57">
        <f>SUMIF('Как есть'!$A$73:$A$80,Доп.расчеты!$A57,'Как есть'!AH$73:AH$80)</f>
        <v>0</v>
      </c>
      <c r="AH57">
        <f>SUMIF('Как есть'!$A$73:$A$80,Доп.расчеты!$A57,'Как есть'!AI$73:AI$80)</f>
        <v>0</v>
      </c>
      <c r="AI57">
        <f>SUMIF('Как есть'!$A$73:$A$80,Доп.расчеты!$A57,'Как есть'!AJ$73:AJ$80)</f>
        <v>0</v>
      </c>
      <c r="AJ57">
        <f>SUMIF('Как есть'!$A$73:$A$80,Доп.расчеты!$A57,'Как есть'!AK$73:AK$80)</f>
        <v>0</v>
      </c>
      <c r="AK57">
        <f>SUMIF('Как есть'!$A$73:$A$80,Доп.расчеты!$A57,'Как есть'!AL$73:AL$80)</f>
        <v>0</v>
      </c>
      <c r="AL57">
        <f>SUMIF('Как есть'!$A$73:$A$80,Доп.расчеты!$A57,'Как есть'!AM$73:AM$80)</f>
        <v>0</v>
      </c>
      <c r="AM57">
        <f>SUMIF('Как есть'!$A$73:$A$80,Доп.расчеты!$A57,'Как есть'!AN$73:AN$80)</f>
        <v>0</v>
      </c>
      <c r="AN57">
        <f>SUMIF('Как есть'!$A$73:$A$80,Доп.расчеты!$A57,'Как есть'!AO$73:AO$80)</f>
        <v>0</v>
      </c>
      <c r="AO57">
        <f>SUMIF('Как есть'!$A$73:$A$80,Доп.расчеты!$A57,'Как есть'!AP$73:AP$80)</f>
        <v>0</v>
      </c>
      <c r="AP57">
        <f>SUMIF('Как есть'!$A$73:$A$80,Доп.расчеты!$A57,'Как есть'!AQ$73:AQ$80)</f>
        <v>0</v>
      </c>
      <c r="AQ57">
        <f>SUMIF('Как есть'!$A$73:$A$80,Доп.расчеты!$A57,'Как есть'!AR$73:AR$80)</f>
        <v>0</v>
      </c>
      <c r="AR57">
        <f>SUMIF('Как есть'!$A$73:$A$80,Доп.расчеты!$A57,'Как есть'!AS$73:AS$80)</f>
        <v>0</v>
      </c>
      <c r="AS57">
        <f>SUMIF('Как есть'!$A$73:$A$80,Доп.расчеты!$A57,'Как есть'!AT$73:AT$80)</f>
        <v>0</v>
      </c>
      <c r="AT57">
        <f>SUMIF('Как есть'!$A$73:$A$80,Доп.расчеты!$A57,'Как есть'!AU$73:AU$80)</f>
        <v>0</v>
      </c>
      <c r="AU57">
        <f>SUMIF('Как есть'!$A$73:$A$80,Доп.расчеты!$A57,'Как есть'!AV$73:AV$80)</f>
        <v>0</v>
      </c>
      <c r="AV57">
        <f>SUMIF('Как есть'!$A$73:$A$80,Доп.расчеты!$A57,'Как есть'!AW$73:AW$80)</f>
        <v>0</v>
      </c>
      <c r="AW57">
        <f>SUMIF('Как есть'!$A$73:$A$80,Доп.расчеты!$A57,'Как есть'!AX$73:AX$80)</f>
        <v>0</v>
      </c>
      <c r="AX57">
        <f>SUMIF('Как есть'!$A$73:$A$80,Доп.расчеты!$A57,'Как есть'!AY$73:AY$80)</f>
        <v>0</v>
      </c>
      <c r="AY57">
        <f>SUMIF('Как есть'!$A$73:$A$80,Доп.расчеты!$A57,'Как есть'!AZ$73:AZ$80)</f>
        <v>0</v>
      </c>
      <c r="AZ57">
        <f>SUMIF('Как есть'!$A$73:$A$80,Доп.расчеты!$A57,'Как есть'!BA$73:BA$80)</f>
        <v>0</v>
      </c>
      <c r="BA57">
        <f>SUMIF('Как есть'!$A$73:$A$80,Доп.расчеты!$A57,'Как есть'!BB$73:BB$80)</f>
        <v>0</v>
      </c>
      <c r="BB57">
        <f>SUMIF('Как есть'!$A$73:$A$80,Доп.расчеты!$A57,'Как есть'!BC$73:BC$80)</f>
        <v>0</v>
      </c>
      <c r="BC57">
        <f>SUMIF('Как есть'!$A$73:$A$80,Доп.расчеты!$A57,'Как есть'!BD$73:BD$80)</f>
        <v>0</v>
      </c>
      <c r="BD57">
        <f>SUMIF('Как есть'!$A$73:$A$80,Доп.расчеты!$A57,'Как есть'!BE$73:BE$80)</f>
        <v>0</v>
      </c>
      <c r="BE57">
        <f>SUMIF('Как есть'!$A$73:$A$80,Доп.расчеты!$A57,'Как есть'!BF$73:BF$80)</f>
        <v>0</v>
      </c>
      <c r="BF57">
        <f>SUMIF('Как есть'!$A$73:$A$80,Доп.расчеты!$A57,'Как есть'!BG$73:BG$80)</f>
        <v>0</v>
      </c>
      <c r="BG57">
        <f>SUMIF('Как есть'!$A$73:$A$80,Доп.расчеты!$A57,'Как есть'!BH$73:BH$80)</f>
        <v>0</v>
      </c>
      <c r="BH57">
        <f>SUMIF('Как есть'!$A$73:$A$80,Доп.расчеты!$A57,'Как есть'!BI$73:BI$80)</f>
        <v>0</v>
      </c>
      <c r="BI57">
        <f>SUMIF('Как есть'!$A$73:$A$80,Доп.расчеты!$A57,'Как есть'!BJ$73:BJ$80)</f>
        <v>0</v>
      </c>
      <c r="BJ57">
        <f>SUMIF('Как есть'!$A$73:$A$80,Доп.расчеты!$A57,'Как есть'!BK$73:BK$80)</f>
        <v>0</v>
      </c>
      <c r="BK57">
        <f>SUMIF('Как есть'!$A$73:$A$80,Доп.расчеты!$A57,'Как есть'!BL$73:BL$80)</f>
        <v>0</v>
      </c>
      <c r="BL57">
        <f>SUMIF('Как есть'!$A$73:$A$80,Доп.расчеты!$A57,'Как есть'!BM$73:BM$80)</f>
        <v>0</v>
      </c>
      <c r="BM57">
        <f>SUMIF('Как есть'!$A$73:$A$80,Доп.расчеты!$A57,'Как есть'!BN$73:BN$80)</f>
        <v>0</v>
      </c>
      <c r="BN57">
        <f>SUMIF('Как есть'!$A$73:$A$80,Доп.расчеты!$A57,'Как есть'!BO$73:BO$80)</f>
        <v>0</v>
      </c>
      <c r="BO57">
        <f>SUMIF('Как есть'!$A$73:$A$80,Доп.расчеты!$A57,'Как есть'!BP$73:BP$80)</f>
        <v>0</v>
      </c>
      <c r="BP57">
        <f>SUMIF('Как есть'!$A$73:$A$80,Доп.расчеты!$A57,'Как есть'!BQ$73:BQ$80)</f>
        <v>0</v>
      </c>
      <c r="BQ57">
        <f>SUMIF('Как есть'!$A$73:$A$80,Доп.расчеты!$A57,'Как есть'!BR$73:BR$80)</f>
        <v>0</v>
      </c>
      <c r="BR57">
        <f>SUMIF('Как есть'!$A$73:$A$80,Доп.расчеты!$A57,'Как есть'!BS$73:BS$80)</f>
        <v>0</v>
      </c>
      <c r="BS57">
        <f>SUMIF('Как есть'!$A$73:$A$80,Доп.расчеты!$A57,'Как есть'!BT$73:BT$80)</f>
        <v>0</v>
      </c>
      <c r="BT57">
        <f>SUMIF('Как есть'!$A$73:$A$80,Доп.расчеты!$A57,'Как есть'!BU$73:BU$80)</f>
        <v>0</v>
      </c>
      <c r="BU57">
        <f>SUMIF('Как есть'!$A$73:$A$80,Доп.расчеты!$A57,'Как есть'!BV$73:BV$80)</f>
        <v>0</v>
      </c>
      <c r="BV57">
        <f>SUMIF('Как есть'!$A$73:$A$80,Доп.расчеты!$A57,'Как есть'!BW$73:BW$80)</f>
        <v>0</v>
      </c>
      <c r="BW57">
        <f>SUMIF('Как есть'!$A$73:$A$80,Доп.расчеты!$A57,'Как есть'!BX$73:BX$80)</f>
        <v>0</v>
      </c>
      <c r="BX57">
        <f>SUMIF('Как есть'!$A$73:$A$80,Доп.расчеты!$A57,'Как есть'!BY$73:BY$80)</f>
        <v>0</v>
      </c>
      <c r="BY57">
        <f>SUMIF('Как есть'!$A$73:$A$80,Доп.расчеты!$A57,'Как есть'!BZ$73:BZ$80)</f>
        <v>0</v>
      </c>
      <c r="BZ57">
        <f>SUMIF('Как есть'!$A$73:$A$80,Доп.расчеты!$A57,'Как есть'!CA$73:CA$80)</f>
        <v>0</v>
      </c>
      <c r="CA57">
        <f>SUMIF('Как есть'!$A$73:$A$80,Доп.расчеты!$A57,'Как есть'!CB$73:CB$80)</f>
        <v>0</v>
      </c>
      <c r="CB57">
        <f>SUMIF('Как есть'!$A$73:$A$80,Доп.расчеты!$A57,'Как есть'!CC$73:CC$80)</f>
        <v>0</v>
      </c>
      <c r="CC57">
        <f>SUMIF('Как есть'!$A$73:$A$80,Доп.расчеты!$A57,'Как есть'!CD$73:CD$80)</f>
        <v>0</v>
      </c>
      <c r="CD57">
        <f>SUMIF('Как есть'!$A$73:$A$80,Доп.расчеты!$A57,'Как есть'!CE$73:CE$80)</f>
        <v>0</v>
      </c>
      <c r="CE57">
        <f>SUMIF('Как есть'!$A$73:$A$80,Доп.расчеты!$A57,'Как есть'!CF$73:CF$80)</f>
        <v>0</v>
      </c>
      <c r="CF57">
        <f>SUMIF('Как есть'!$A$73:$A$80,Доп.расчеты!$A57,'Как есть'!CG$73:CG$80)</f>
        <v>0</v>
      </c>
      <c r="CG57">
        <f>SUMIF('Как есть'!$A$73:$A$80,Доп.расчеты!$A57,'Как есть'!CH$73:CH$80)</f>
        <v>0</v>
      </c>
      <c r="CH57">
        <f>SUMIF('Как есть'!$A$73:$A$80,Доп.расчеты!$A57,'Как есть'!CI$73:CI$80)</f>
        <v>0</v>
      </c>
      <c r="CI57">
        <f>SUMIF('Как есть'!$A$73:$A$80,Доп.расчеты!$A57,'Как есть'!CJ$73:CJ$80)</f>
        <v>0</v>
      </c>
      <c r="CJ57">
        <f>SUMIF('Как есть'!$A$73:$A$80,Доп.расчеты!$A57,'Как есть'!CK$73:CK$80)</f>
        <v>0</v>
      </c>
      <c r="CK57">
        <f>SUMIF('Как есть'!$A$73:$A$80,Доп.расчеты!$A57,'Как есть'!CL$73:CL$80)</f>
        <v>0</v>
      </c>
      <c r="CL57">
        <f>SUMIF('Как есть'!$A$73:$A$80,Доп.расчеты!$A57,'Как есть'!CM$73:CM$80)</f>
        <v>0</v>
      </c>
      <c r="CM57">
        <f>SUMIF('Как есть'!$A$73:$A$80,Доп.расчеты!$A57,'Как есть'!CN$73:CN$80)</f>
        <v>0</v>
      </c>
      <c r="CN57">
        <f>SUMIF('Как есть'!$A$73:$A$80,Доп.расчеты!$A57,'Как есть'!CO$73:CO$80)</f>
        <v>0</v>
      </c>
      <c r="CO57">
        <f>SUMIF('Как есть'!$A$73:$A$80,Доп.расчеты!$A57,'Как есть'!CP$73:CP$80)</f>
        <v>0</v>
      </c>
      <c r="CP57">
        <f>SUMIF('Как есть'!$A$73:$A$80,Доп.расчеты!$A57,'Как есть'!CQ$73:CQ$80)</f>
        <v>0</v>
      </c>
      <c r="CQ57">
        <f>SUMIF('Как есть'!$A$73:$A$80,Доп.расчеты!$A57,'Как есть'!CR$73:CR$80)</f>
        <v>0</v>
      </c>
      <c r="CR57">
        <f>SUMIF('Как есть'!$A$73:$A$80,Доп.расчеты!$A57,'Как есть'!CS$73:CS$80)</f>
        <v>0</v>
      </c>
      <c r="CS57">
        <f>SUMIF('Как есть'!$A$73:$A$80,Доп.расчеты!$A57,'Как есть'!CT$73:CT$80)</f>
        <v>0</v>
      </c>
      <c r="CT57">
        <f>SUMIF('Как есть'!$A$73:$A$80,Доп.расчеты!$A57,'Как есть'!CU$73:CU$80)</f>
        <v>0</v>
      </c>
      <c r="CU57">
        <f>SUMIF('Как есть'!$A$73:$A$80,Доп.расчеты!$A57,'Как есть'!CV$73:CV$80)</f>
        <v>0</v>
      </c>
      <c r="CV57">
        <f>SUMIF('Как есть'!$A$73:$A$80,Доп.расчеты!$A57,'Как есть'!CW$73:CW$80)</f>
        <v>0</v>
      </c>
      <c r="CW57">
        <f>SUMIF('Как есть'!$A$73:$A$80,Доп.расчеты!$A57,'Как есть'!CX$73:CX$80)</f>
        <v>0</v>
      </c>
      <c r="CX57">
        <f>SUMIF('Как есть'!$A$73:$A$80,Доп.расчеты!$A57,'Как есть'!CY$73:CY$80)</f>
        <v>0</v>
      </c>
      <c r="CY57">
        <f>SUMIF('Как есть'!$A$73:$A$80,Доп.расчеты!$A57,'Как есть'!CZ$73:CZ$80)</f>
        <v>0</v>
      </c>
      <c r="CZ57">
        <f>SUMIF('Как есть'!$A$73:$A$80,Доп.расчеты!$A57,'Как есть'!DA$73:DA$80)</f>
        <v>0</v>
      </c>
      <c r="DA57">
        <f>SUMIF('Как есть'!$A$73:$A$80,Доп.расчеты!$A57,'Как есть'!DB$73:DB$80)</f>
        <v>0</v>
      </c>
      <c r="DB57">
        <f>SUMIF('Как есть'!$A$73:$A$80,Доп.расчеты!$A57,'Как есть'!DC$73:DC$80)</f>
        <v>0</v>
      </c>
      <c r="DC57">
        <f>SUMIF('Как есть'!$A$73:$A$80,Доп.расчеты!$A57,'Как есть'!DD$73:DD$80)</f>
        <v>0</v>
      </c>
      <c r="DD57">
        <f>SUMIF('Как есть'!$A$73:$A$80,Доп.расчеты!$A57,'Как есть'!DE$73:DE$80)</f>
        <v>0</v>
      </c>
      <c r="DE57">
        <f>SUMIF('Как есть'!$A$73:$A$80,Доп.расчеты!$A57,'Как есть'!DF$73:DF$80)</f>
        <v>0</v>
      </c>
      <c r="DF57">
        <f>SUMIF('Как есть'!$A$73:$A$80,Доп.расчеты!$A57,'Как есть'!DG$73:DG$80)</f>
        <v>0</v>
      </c>
      <c r="DG57">
        <f>SUMIF('Как есть'!$A$73:$A$80,Доп.расчеты!$A57,'Как есть'!DH$73:DH$80)</f>
        <v>0</v>
      </c>
      <c r="DH57">
        <f>SUMIF('Как есть'!$A$73:$A$80,Доп.расчеты!$A57,'Как есть'!DI$73:DI$80)</f>
        <v>0</v>
      </c>
      <c r="DI57">
        <f>SUMIF('Как есть'!$A$73:$A$80,Доп.расчеты!$A57,'Как есть'!DJ$73:DJ$80)</f>
        <v>0</v>
      </c>
      <c r="DJ57">
        <f>SUMIF('Как есть'!$A$73:$A$80,Доп.расчеты!$A57,'Как есть'!DK$73:DK$80)</f>
        <v>0</v>
      </c>
      <c r="DK57">
        <f>SUMIF('Как есть'!$A$73:$A$80,Доп.расчеты!$A57,'Как есть'!DL$73:DL$80)</f>
        <v>0</v>
      </c>
      <c r="DL57">
        <f>SUMIF('Как есть'!$A$73:$A$80,Доп.расчеты!$A57,'Как есть'!DM$73:DM$80)</f>
        <v>0</v>
      </c>
      <c r="DM57">
        <f>SUMIF('Как есть'!$A$73:$A$80,Доп.расчеты!$A57,'Как есть'!DN$73:DN$80)</f>
        <v>0</v>
      </c>
      <c r="DN57">
        <f>SUMIF('Как есть'!$A$73:$A$80,Доп.расчеты!$A57,'Как есть'!DO$73:DO$80)</f>
        <v>0</v>
      </c>
      <c r="DO57">
        <f>SUMIF('Как есть'!$A$73:$A$80,Доп.расчеты!$A57,'Как есть'!DP$73:DP$80)</f>
        <v>0</v>
      </c>
      <c r="DP57">
        <f>SUMIF('Как есть'!$A$73:$A$80,Доп.расчеты!$A57,'Как есть'!DQ$73:DQ$80)</f>
        <v>0</v>
      </c>
      <c r="DQ57">
        <f>SUMIF('Как есть'!$A$73:$A$80,Доп.расчеты!$A57,'Как есть'!DR$73:DR$80)</f>
        <v>0</v>
      </c>
      <c r="DR57">
        <f>SUMIF('Как есть'!$A$73:$A$80,Доп.расчеты!$A57,'Как есть'!DS$73:DS$80)</f>
        <v>0</v>
      </c>
      <c r="DS57">
        <f>SUMIF('Как есть'!$A$73:$A$80,Доп.расчеты!$A57,'Как есть'!DT$73:DT$80)</f>
        <v>0</v>
      </c>
      <c r="DT57">
        <f>SUMIF('Как есть'!$A$73:$A$80,Доп.расчеты!$A57,'Как есть'!DU$73:DU$80)</f>
        <v>0</v>
      </c>
      <c r="DU57">
        <f>SUMIF('Как есть'!$A$73:$A$80,Доп.расчеты!$A57,'Как есть'!DV$73:DV$80)</f>
        <v>0</v>
      </c>
      <c r="DV57">
        <f>SUMIF('Как есть'!$A$73:$A$80,Доп.расчеты!$A57,'Как есть'!DW$73:DW$80)</f>
        <v>0</v>
      </c>
      <c r="DW57">
        <f>SUMIF('Как есть'!$A$73:$A$80,Доп.расчеты!$A57,'Как есть'!DX$73:DX$80)</f>
        <v>0</v>
      </c>
      <c r="DX57">
        <f>SUMIF('Как есть'!$A$73:$A$80,Доп.расчеты!$A57,'Как есть'!DY$73:DY$80)</f>
        <v>0</v>
      </c>
      <c r="DY57">
        <f>SUMIF('Как есть'!$A$73:$A$80,Доп.расчеты!$A57,'Как есть'!DZ$73:DZ$80)</f>
        <v>0</v>
      </c>
      <c r="DZ57">
        <f>SUMIF('Как есть'!$A$73:$A$80,Доп.расчеты!$A57,'Как есть'!EA$73:EA$80)</f>
        <v>0</v>
      </c>
      <c r="EA57">
        <f>SUMIF('Как есть'!$A$73:$A$80,Доп.расчеты!$A57,'Как есть'!EB$73:EB$80)</f>
        <v>0</v>
      </c>
      <c r="EB57">
        <f>SUMIF('Как есть'!$A$73:$A$80,Доп.расчеты!$A57,'Как есть'!EC$73:EC$80)</f>
        <v>0</v>
      </c>
      <c r="EC57">
        <f>SUMIF('Как есть'!$A$73:$A$80,Доп.расчеты!$A57,'Как есть'!ED$73:ED$80)</f>
        <v>0</v>
      </c>
      <c r="ED57">
        <f>SUMIF('Как есть'!$A$73:$A$80,Доп.расчеты!$A57,'Как есть'!EE$73:EE$80)</f>
        <v>0</v>
      </c>
      <c r="EE57">
        <f>SUMIF('Как есть'!$A$73:$A$80,Доп.расчеты!$A57,'Как есть'!EF$73:EF$80)</f>
        <v>0</v>
      </c>
      <c r="EF57">
        <f>SUMIF('Как есть'!$A$73:$A$80,Доп.расчеты!$A57,'Как есть'!EG$73:EG$80)</f>
        <v>0</v>
      </c>
      <c r="EG57">
        <f>SUMIF('Как есть'!$A$73:$A$80,Доп.расчеты!$A57,'Как есть'!EH$73:EH$80)</f>
        <v>0</v>
      </c>
      <c r="EH57">
        <f>SUMIF('Как есть'!$A$73:$A$80,Доп.расчеты!$A57,'Как есть'!EI$73:EI$80)</f>
        <v>0</v>
      </c>
      <c r="EI57">
        <f>SUMIF('Как есть'!$A$73:$A$80,Доп.расчеты!$A57,'Как есть'!EJ$73:EJ$80)</f>
        <v>0</v>
      </c>
      <c r="EJ57">
        <f>SUMIF('Как есть'!$A$73:$A$80,Доп.расчеты!$A57,'Как есть'!EK$73:EK$80)</f>
        <v>0</v>
      </c>
      <c r="EK57">
        <f>SUMIF('Как есть'!$A$73:$A$80,Доп.расчеты!$A57,'Как есть'!EL$73:EL$80)</f>
        <v>0</v>
      </c>
      <c r="EL57">
        <f>SUMIF('Как есть'!$A$73:$A$80,Доп.расчеты!$A57,'Как есть'!EM$73:EM$80)</f>
        <v>0</v>
      </c>
      <c r="EM57">
        <f>SUMIF('Как есть'!$A$73:$A$80,Доп.расчеты!$A57,'Как есть'!EN$73:EN$80)</f>
        <v>0</v>
      </c>
      <c r="EN57">
        <f>SUMIF('Как есть'!$A$73:$A$80,Доп.расчеты!$A57,'Как есть'!EO$73:EO$80)</f>
        <v>0</v>
      </c>
      <c r="EO57">
        <f>SUMIF('Как есть'!$A$73:$A$80,Доп.расчеты!$A57,'Как есть'!EP$73:EP$80)</f>
        <v>0</v>
      </c>
      <c r="EP57">
        <f>SUMIF('Как есть'!$A$73:$A$80,Доп.расчеты!$A57,'Как есть'!EQ$73:EQ$80)</f>
        <v>0</v>
      </c>
      <c r="EQ57">
        <f>SUMIF('Как есть'!$A$73:$A$80,Доп.расчеты!$A57,'Как есть'!ER$73:ER$80)</f>
        <v>0</v>
      </c>
      <c r="ER57">
        <f>SUMIF('Как есть'!$A$73:$A$80,Доп.расчеты!$A57,'Как есть'!ES$73:ES$80)</f>
        <v>0</v>
      </c>
      <c r="ES57">
        <f>SUMIF('Как есть'!$A$73:$A$80,Доп.расчеты!$A57,'Как есть'!ET$73:ET$80)</f>
        <v>0</v>
      </c>
      <c r="ET57">
        <f>SUMIF('Как есть'!$A$73:$A$80,Доп.расчеты!$A57,'Как есть'!EU$73:EU$80)</f>
        <v>0</v>
      </c>
      <c r="EU57">
        <f>SUMIF('Как есть'!$A$73:$A$80,Доп.расчеты!$A57,'Как есть'!EV$73:EV$80)</f>
        <v>0</v>
      </c>
      <c r="EV57">
        <f>SUMIF('Как есть'!$A$73:$A$80,Доп.расчеты!$A57,'Как есть'!EW$73:EW$80)</f>
        <v>0</v>
      </c>
      <c r="EW57">
        <f>SUMIF('Как есть'!$A$73:$A$80,Доп.расчеты!$A57,'Как есть'!EX$73:EX$80)</f>
        <v>0</v>
      </c>
      <c r="EX57">
        <f>SUMIF('Как есть'!$A$73:$A$80,Доп.расчеты!$A57,'Как есть'!EY$73:EY$80)</f>
        <v>0</v>
      </c>
      <c r="EY57">
        <f>SUMIF('Как есть'!$A$73:$A$80,Доп.расчеты!$A57,'Как есть'!EZ$73:EZ$80)</f>
        <v>0</v>
      </c>
      <c r="EZ57">
        <f>SUMIF('Как есть'!$A$73:$A$80,Доп.расчеты!$A57,'Как есть'!FA$73:FA$80)</f>
        <v>0</v>
      </c>
      <c r="FA57">
        <f>SUMIF('Как есть'!$A$73:$A$80,Доп.расчеты!$A57,'Как есть'!FB$73:FB$80)</f>
        <v>0</v>
      </c>
      <c r="FB57">
        <f>SUMIF('Как есть'!$A$73:$A$80,Доп.расчеты!$A57,'Как есть'!FC$73:FC$80)</f>
        <v>0</v>
      </c>
      <c r="FC57">
        <f>SUMIF('Как есть'!$A$73:$A$80,Доп.расчеты!$A57,'Как есть'!FD$73:FD$80)</f>
        <v>0</v>
      </c>
      <c r="FD57">
        <f>SUMIF('Как есть'!$A$73:$A$80,Доп.расчеты!$A57,'Как есть'!FE$73:FE$80)</f>
        <v>0</v>
      </c>
      <c r="FE57">
        <f>SUMIF('Как есть'!$A$73:$A$80,Доп.расчеты!$A57,'Как есть'!FF$73:FF$80)</f>
        <v>0</v>
      </c>
      <c r="FF57">
        <f>SUMIF('Как есть'!$A$73:$A$80,Доп.расчеты!$A57,'Как есть'!FG$73:FG$80)</f>
        <v>0</v>
      </c>
      <c r="FG57">
        <f>SUMIF('Как есть'!$A$73:$A$80,Доп.расчеты!$A57,'Как есть'!FH$73:FH$80)</f>
        <v>0</v>
      </c>
      <c r="FH57">
        <f>SUMIF('Как есть'!$A$73:$A$80,Доп.расчеты!$A57,'Как есть'!FI$73:FI$80)</f>
        <v>0</v>
      </c>
      <c r="FI57">
        <f>SUMIF('Как есть'!$A$73:$A$80,Доп.расчеты!$A57,'Как есть'!FJ$73:FJ$80)</f>
        <v>0</v>
      </c>
      <c r="FJ57">
        <f>SUMIF('Как есть'!$A$73:$A$80,Доп.расчеты!$A57,'Как есть'!FK$73:FK$80)</f>
        <v>0</v>
      </c>
      <c r="FK57">
        <f>SUMIF('Как есть'!$A$73:$A$80,Доп.расчеты!$A57,'Как есть'!FL$73:FL$80)</f>
        <v>0</v>
      </c>
      <c r="FL57">
        <f>SUMIF('Как есть'!$A$73:$A$80,Доп.расчеты!$A57,'Как есть'!FM$73:FM$80)</f>
        <v>0</v>
      </c>
      <c r="FM57">
        <f>SUMIF('Как есть'!$A$73:$A$80,Доп.расчеты!$A57,'Как есть'!FN$73:FN$80)</f>
        <v>0</v>
      </c>
      <c r="FN57">
        <f>SUMIF('Как есть'!$A$73:$A$80,Доп.расчеты!$A57,'Как есть'!FO$73:FO$80)</f>
        <v>0</v>
      </c>
      <c r="FO57">
        <f>SUMIF('Как есть'!$A$73:$A$80,Доп.расчеты!$A57,'Как есть'!FP$73:FP$80)</f>
        <v>0</v>
      </c>
      <c r="FP57">
        <f>SUMIF('Как есть'!$A$73:$A$80,Доп.расчеты!$A57,'Как есть'!FQ$73:FQ$80)</f>
        <v>0</v>
      </c>
      <c r="FQ57">
        <f>SUMIF('Как есть'!$A$73:$A$80,Доп.расчеты!$A57,'Как есть'!FR$73:FR$80)</f>
        <v>0</v>
      </c>
      <c r="FR57">
        <f>SUMIF('Как есть'!$A$73:$A$80,Доп.расчеты!$A57,'Как есть'!FS$73:FS$80)</f>
        <v>0</v>
      </c>
      <c r="FS57">
        <f>SUMIF('Как есть'!$A$73:$A$80,Доп.расчеты!$A57,'Как есть'!FT$73:FT$80)</f>
        <v>0</v>
      </c>
      <c r="FT57">
        <f>SUMIF('Как есть'!$A$73:$A$80,Доп.расчеты!$A57,'Как есть'!FU$73:FU$80)</f>
        <v>0</v>
      </c>
      <c r="FU57">
        <f>SUMIF('Как есть'!$A$73:$A$80,Доп.расчеты!$A57,'Как есть'!FV$73:FV$80)</f>
        <v>0</v>
      </c>
      <c r="FV57">
        <f>SUMIF('Как есть'!$A$73:$A$80,Доп.расчеты!$A57,'Как есть'!FW$73:FW$80)</f>
        <v>0</v>
      </c>
      <c r="FW57">
        <f>SUMIF('Как есть'!$A$73:$A$80,Доп.расчеты!$A57,'Как есть'!FX$73:FX$80)</f>
        <v>0</v>
      </c>
      <c r="FX57">
        <f>SUMIF('Как есть'!$A$73:$A$80,Доп.расчеты!$A57,'Как есть'!FY$73:FY$80)</f>
        <v>0</v>
      </c>
      <c r="FY57">
        <f>SUMIF('Как есть'!$A$73:$A$80,Доп.расчеты!$A57,'Как есть'!FZ$73:FZ$80)</f>
        <v>0</v>
      </c>
      <c r="FZ57">
        <f>SUMIF('Как есть'!$A$73:$A$80,Доп.расчеты!$A57,'Как есть'!GA$73:GA$80)</f>
        <v>0</v>
      </c>
      <c r="GA57">
        <f>SUMIF('Как есть'!$A$73:$A$80,Доп.расчеты!$A57,'Как есть'!GB$73:GB$80)</f>
        <v>0</v>
      </c>
      <c r="GB57">
        <f>SUMIF('Как есть'!$A$73:$A$80,Доп.расчеты!$A57,'Как есть'!GC$73:GC$80)</f>
        <v>0</v>
      </c>
      <c r="GC57">
        <f>SUMIF('Как есть'!$A$73:$A$80,Доп.расчеты!$A57,'Как есть'!GD$73:GD$80)</f>
        <v>0</v>
      </c>
      <c r="GD57">
        <f>SUMIF('Как есть'!$A$73:$A$80,Доп.расчеты!$A57,'Как есть'!GE$73:GE$80)</f>
        <v>0</v>
      </c>
      <c r="GE57">
        <f>SUMIF('Как есть'!$A$73:$A$80,Доп.расчеты!$A57,'Как есть'!GF$73:GF$80)</f>
        <v>0</v>
      </c>
      <c r="GF57">
        <f>SUMIF('Как есть'!$A$73:$A$80,Доп.расчеты!$A57,'Как есть'!GG$73:GG$80)</f>
        <v>0</v>
      </c>
      <c r="GG57">
        <f>SUMIF('Как есть'!$A$73:$A$80,Доп.расчеты!$A57,'Как есть'!GH$73:GH$80)</f>
        <v>0</v>
      </c>
      <c r="GH57">
        <f>SUMIF('Как есть'!$A$73:$A$80,Доп.расчеты!$A57,'Как есть'!GI$73:GI$80)</f>
        <v>0</v>
      </c>
      <c r="GI57">
        <f>SUMIF('Как есть'!$A$73:$A$80,Доп.расчеты!$A57,'Как есть'!GJ$73:GJ$80)</f>
        <v>0</v>
      </c>
      <c r="GJ57">
        <f>SUMIF('Как есть'!$A$73:$A$80,Доп.расчеты!$A57,'Как есть'!GK$73:GK$80)</f>
        <v>0</v>
      </c>
      <c r="GK57">
        <f>SUMIF('Как есть'!$A$73:$A$80,Доп.расчеты!$A57,'Как есть'!GL$73:GL$80)</f>
        <v>0</v>
      </c>
      <c r="GL57">
        <f>SUMIF('Как есть'!$A$73:$A$80,Доп.расчеты!$A57,'Как есть'!GM$73:GM$80)</f>
        <v>0</v>
      </c>
      <c r="GM57">
        <f>SUMIF('Как есть'!$A$73:$A$80,Доп.расчеты!$A57,'Как есть'!GN$73:GN$80)</f>
        <v>0</v>
      </c>
      <c r="GN57">
        <f>SUMIF('Как есть'!$A$73:$A$80,Доп.расчеты!$A57,'Как есть'!GO$73:GO$80)</f>
        <v>0</v>
      </c>
      <c r="GO57">
        <f>SUMIF('Как есть'!$A$73:$A$80,Доп.расчеты!$A57,'Как есть'!GP$73:GP$80)</f>
        <v>0</v>
      </c>
      <c r="GP57">
        <f>SUMIF('Как есть'!$A$73:$A$80,Доп.расчеты!$A57,'Как есть'!GQ$73:GQ$80)</f>
        <v>0</v>
      </c>
      <c r="GQ57">
        <f>SUMIF('Как есть'!$A$73:$A$80,Доп.расчеты!$A57,'Как есть'!GR$73:GR$80)</f>
        <v>0</v>
      </c>
      <c r="GR57">
        <f>SUMIF('Как есть'!$A$73:$A$80,Доп.расчеты!$A57,'Как есть'!GS$73:GS$80)</f>
        <v>0</v>
      </c>
      <c r="GS57">
        <f>SUMIF('Как есть'!$A$73:$A$80,Доп.расчеты!$A57,'Как есть'!GT$73:GT$80)</f>
        <v>0</v>
      </c>
      <c r="GT57">
        <f>SUMIF('Как есть'!$A$73:$A$80,Доп.расчеты!$A57,'Как есть'!GU$73:GU$80)</f>
        <v>0</v>
      </c>
    </row>
    <row r="58" spans="1:202">
      <c r="A58" s="237" t="s">
        <v>95</v>
      </c>
      <c r="B58">
        <f>SUMIF('Как есть'!$A$73:$A$80,Доп.расчеты!$A58,'Как есть'!C$73:C$80)</f>
        <v>0</v>
      </c>
      <c r="C58">
        <f>SUMIF('Как есть'!$A$73:$A$80,Доп.расчеты!$A58,'Как есть'!D$73:D$80)</f>
        <v>0</v>
      </c>
      <c r="D58">
        <f>SUMIF('Как есть'!$A$73:$A$80,Доп.расчеты!$A58,'Как есть'!E$73:E$80)</f>
        <v>0</v>
      </c>
      <c r="E58">
        <f>SUMIF('Как есть'!$A$73:$A$80,Доп.расчеты!$A58,'Как есть'!F$73:F$80)</f>
        <v>0</v>
      </c>
      <c r="F58">
        <f>SUMIF('Как есть'!$A$73:$A$80,Доп.расчеты!$A58,'Как есть'!G$73:G$80)</f>
        <v>0</v>
      </c>
      <c r="G58">
        <f>SUMIF('Как есть'!$A$73:$A$80,Доп.расчеты!$A58,'Как есть'!H$73:H$80)</f>
        <v>0</v>
      </c>
      <c r="H58">
        <f>SUMIF('Как есть'!$A$73:$A$80,Доп.расчеты!$A58,'Как есть'!I$73:I$80)</f>
        <v>0</v>
      </c>
      <c r="I58">
        <f>SUMIF('Как есть'!$A$73:$A$80,Доп.расчеты!$A58,'Как есть'!J$73:J$80)</f>
        <v>0</v>
      </c>
      <c r="J58">
        <f>SUMIF('Как есть'!$A$73:$A$80,Доп.расчеты!$A58,'Как есть'!K$73:K$80)</f>
        <v>0</v>
      </c>
      <c r="K58">
        <f>SUMIF('Как есть'!$A$73:$A$80,Доп.расчеты!$A58,'Как есть'!L$73:L$80)</f>
        <v>0</v>
      </c>
      <c r="L58">
        <f>SUMIF('Как есть'!$A$73:$A$80,Доп.расчеты!$A58,'Как есть'!M$73:M$80)</f>
        <v>0</v>
      </c>
      <c r="M58">
        <f>SUMIF('Как есть'!$A$73:$A$80,Доп.расчеты!$A58,'Как есть'!N$73:N$80)</f>
        <v>0</v>
      </c>
      <c r="N58">
        <f>SUMIF('Как есть'!$A$73:$A$80,Доп.расчеты!$A58,'Как есть'!O$73:O$80)</f>
        <v>0</v>
      </c>
      <c r="O58">
        <f>SUMIF('Как есть'!$A$73:$A$80,Доп.расчеты!$A58,'Как есть'!P$73:P$80)</f>
        <v>0</v>
      </c>
      <c r="P58">
        <f>SUMIF('Как есть'!$A$73:$A$80,Доп.расчеты!$A58,'Как есть'!Q$73:Q$80)</f>
        <v>0</v>
      </c>
      <c r="Q58">
        <f>SUMIF('Как есть'!$A$73:$A$80,Доп.расчеты!$A58,'Как есть'!R$73:R$80)</f>
        <v>0</v>
      </c>
      <c r="R58">
        <f>SUMIF('Как есть'!$A$73:$A$80,Доп.расчеты!$A58,'Как есть'!S$73:S$80)</f>
        <v>0</v>
      </c>
      <c r="S58">
        <f>SUMIF('Как есть'!$A$73:$A$80,Доп.расчеты!$A58,'Как есть'!T$73:T$80)</f>
        <v>0</v>
      </c>
      <c r="T58">
        <f>SUMIF('Как есть'!$A$73:$A$80,Доп.расчеты!$A58,'Как есть'!U$73:U$80)</f>
        <v>0</v>
      </c>
      <c r="U58">
        <f>SUMIF('Как есть'!$A$73:$A$80,Доп.расчеты!$A58,'Как есть'!V$73:V$80)</f>
        <v>0</v>
      </c>
      <c r="V58">
        <f>SUMIF('Как есть'!$A$73:$A$80,Доп.расчеты!$A58,'Как есть'!W$73:W$80)</f>
        <v>0</v>
      </c>
      <c r="W58">
        <f>SUMIF('Как есть'!$A$73:$A$80,Доп.расчеты!$A58,'Как есть'!X$73:X$80)</f>
        <v>0</v>
      </c>
      <c r="X58">
        <f>SUMIF('Как есть'!$A$73:$A$80,Доп.расчеты!$A58,'Как есть'!Y$73:Y$80)</f>
        <v>0</v>
      </c>
      <c r="Y58">
        <f>SUMIF('Как есть'!$A$73:$A$80,Доп.расчеты!$A58,'Как есть'!Z$73:Z$80)</f>
        <v>0</v>
      </c>
      <c r="Z58">
        <f>SUMIF('Как есть'!$A$73:$A$80,Доп.расчеты!$A58,'Как есть'!AA$73:AA$80)</f>
        <v>0</v>
      </c>
      <c r="AA58">
        <f>SUMIF('Как есть'!$A$73:$A$80,Доп.расчеты!$A58,'Как есть'!AB$73:AB$80)</f>
        <v>0</v>
      </c>
      <c r="AB58">
        <f>SUMIF('Как есть'!$A$73:$A$80,Доп.расчеты!$A58,'Как есть'!AC$73:AC$80)</f>
        <v>0</v>
      </c>
      <c r="AC58">
        <f>SUMIF('Как есть'!$A$73:$A$80,Доп.расчеты!$A58,'Как есть'!AD$73:AD$80)</f>
        <v>0</v>
      </c>
      <c r="AD58">
        <f>SUMIF('Как есть'!$A$73:$A$80,Доп.расчеты!$A58,'Как есть'!AE$73:AE$80)</f>
        <v>0</v>
      </c>
      <c r="AE58">
        <f>SUMIF('Как есть'!$A$73:$A$80,Доп.расчеты!$A58,'Как есть'!AF$73:AF$80)</f>
        <v>0</v>
      </c>
      <c r="AF58">
        <f>SUMIF('Как есть'!$A$73:$A$80,Доп.расчеты!$A58,'Как есть'!AG$73:AG$80)</f>
        <v>0</v>
      </c>
      <c r="AG58">
        <f>SUMIF('Как есть'!$A$73:$A$80,Доп.расчеты!$A58,'Как есть'!AH$73:AH$80)</f>
        <v>0</v>
      </c>
      <c r="AH58">
        <f>SUMIF('Как есть'!$A$73:$A$80,Доп.расчеты!$A58,'Как есть'!AI$73:AI$80)</f>
        <v>0</v>
      </c>
      <c r="AI58">
        <f>SUMIF('Как есть'!$A$73:$A$80,Доп.расчеты!$A58,'Как есть'!AJ$73:AJ$80)</f>
        <v>0</v>
      </c>
      <c r="AJ58">
        <f>SUMIF('Как есть'!$A$73:$A$80,Доп.расчеты!$A58,'Как есть'!AK$73:AK$80)</f>
        <v>0</v>
      </c>
      <c r="AK58">
        <f>SUMIF('Как есть'!$A$73:$A$80,Доп.расчеты!$A58,'Как есть'!AL$73:AL$80)</f>
        <v>0</v>
      </c>
      <c r="AL58">
        <f>SUMIF('Как есть'!$A$73:$A$80,Доп.расчеты!$A58,'Как есть'!AM$73:AM$80)</f>
        <v>0</v>
      </c>
      <c r="AM58">
        <f>SUMIF('Как есть'!$A$73:$A$80,Доп.расчеты!$A58,'Как есть'!AN$73:AN$80)</f>
        <v>0</v>
      </c>
      <c r="AN58">
        <f>SUMIF('Как есть'!$A$73:$A$80,Доп.расчеты!$A58,'Как есть'!AO$73:AO$80)</f>
        <v>0</v>
      </c>
      <c r="AO58">
        <f>SUMIF('Как есть'!$A$73:$A$80,Доп.расчеты!$A58,'Как есть'!AP$73:AP$80)</f>
        <v>0</v>
      </c>
      <c r="AP58">
        <f>SUMIF('Как есть'!$A$73:$A$80,Доп.расчеты!$A58,'Как есть'!AQ$73:AQ$80)</f>
        <v>0</v>
      </c>
      <c r="AQ58">
        <f>SUMIF('Как есть'!$A$73:$A$80,Доп.расчеты!$A58,'Как есть'!AR$73:AR$80)</f>
        <v>0</v>
      </c>
      <c r="AR58">
        <f>SUMIF('Как есть'!$A$73:$A$80,Доп.расчеты!$A58,'Как есть'!AS$73:AS$80)</f>
        <v>0</v>
      </c>
      <c r="AS58">
        <f>SUMIF('Как есть'!$A$73:$A$80,Доп.расчеты!$A58,'Как есть'!AT$73:AT$80)</f>
        <v>0</v>
      </c>
      <c r="AT58">
        <f>SUMIF('Как есть'!$A$73:$A$80,Доп.расчеты!$A58,'Как есть'!AU$73:AU$80)</f>
        <v>0</v>
      </c>
      <c r="AU58">
        <f>SUMIF('Как есть'!$A$73:$A$80,Доп.расчеты!$A58,'Как есть'!AV$73:AV$80)</f>
        <v>0</v>
      </c>
      <c r="AV58">
        <f>SUMIF('Как есть'!$A$73:$A$80,Доп.расчеты!$A58,'Как есть'!AW$73:AW$80)</f>
        <v>0</v>
      </c>
      <c r="AW58">
        <f>SUMIF('Как есть'!$A$73:$A$80,Доп.расчеты!$A58,'Как есть'!AX$73:AX$80)</f>
        <v>0</v>
      </c>
      <c r="AX58">
        <f>SUMIF('Как есть'!$A$73:$A$80,Доп.расчеты!$A58,'Как есть'!AY$73:AY$80)</f>
        <v>0</v>
      </c>
      <c r="AY58">
        <f>SUMIF('Как есть'!$A$73:$A$80,Доп.расчеты!$A58,'Как есть'!AZ$73:AZ$80)</f>
        <v>0</v>
      </c>
      <c r="AZ58">
        <f>SUMIF('Как есть'!$A$73:$A$80,Доп.расчеты!$A58,'Как есть'!BA$73:BA$80)</f>
        <v>0</v>
      </c>
      <c r="BA58">
        <f>SUMIF('Как есть'!$A$73:$A$80,Доп.расчеты!$A58,'Как есть'!BB$73:BB$80)</f>
        <v>0</v>
      </c>
      <c r="BB58">
        <f>SUMIF('Как есть'!$A$73:$A$80,Доп.расчеты!$A58,'Как есть'!BC$73:BC$80)</f>
        <v>0</v>
      </c>
      <c r="BC58">
        <f>SUMIF('Как есть'!$A$73:$A$80,Доп.расчеты!$A58,'Как есть'!BD$73:BD$80)</f>
        <v>0</v>
      </c>
      <c r="BD58">
        <f>SUMIF('Как есть'!$A$73:$A$80,Доп.расчеты!$A58,'Как есть'!BE$73:BE$80)</f>
        <v>0</v>
      </c>
      <c r="BE58">
        <f>SUMIF('Как есть'!$A$73:$A$80,Доп.расчеты!$A58,'Как есть'!BF$73:BF$80)</f>
        <v>0</v>
      </c>
      <c r="BF58">
        <f>SUMIF('Как есть'!$A$73:$A$80,Доп.расчеты!$A58,'Как есть'!BG$73:BG$80)</f>
        <v>0</v>
      </c>
      <c r="BG58">
        <f>SUMIF('Как есть'!$A$73:$A$80,Доп.расчеты!$A58,'Как есть'!BH$73:BH$80)</f>
        <v>0</v>
      </c>
      <c r="BH58">
        <f>SUMIF('Как есть'!$A$73:$A$80,Доп.расчеты!$A58,'Как есть'!BI$73:BI$80)</f>
        <v>0</v>
      </c>
      <c r="BI58">
        <f>SUMIF('Как есть'!$A$73:$A$80,Доп.расчеты!$A58,'Как есть'!BJ$73:BJ$80)</f>
        <v>0</v>
      </c>
      <c r="BJ58">
        <f>SUMIF('Как есть'!$A$73:$A$80,Доп.расчеты!$A58,'Как есть'!BK$73:BK$80)</f>
        <v>0</v>
      </c>
      <c r="BK58">
        <f>SUMIF('Как есть'!$A$73:$A$80,Доп.расчеты!$A58,'Как есть'!BL$73:BL$80)</f>
        <v>0</v>
      </c>
      <c r="BL58">
        <f>SUMIF('Как есть'!$A$73:$A$80,Доп.расчеты!$A58,'Как есть'!BM$73:BM$80)</f>
        <v>0</v>
      </c>
      <c r="BM58">
        <f>SUMIF('Как есть'!$A$73:$A$80,Доп.расчеты!$A58,'Как есть'!BN$73:BN$80)</f>
        <v>0</v>
      </c>
      <c r="BN58">
        <f>SUMIF('Как есть'!$A$73:$A$80,Доп.расчеты!$A58,'Как есть'!BO$73:BO$80)</f>
        <v>0</v>
      </c>
      <c r="BO58">
        <f>SUMIF('Как есть'!$A$73:$A$80,Доп.расчеты!$A58,'Как есть'!BP$73:BP$80)</f>
        <v>0</v>
      </c>
      <c r="BP58">
        <f>SUMIF('Как есть'!$A$73:$A$80,Доп.расчеты!$A58,'Как есть'!BQ$73:BQ$80)</f>
        <v>0</v>
      </c>
      <c r="BQ58">
        <f>SUMIF('Как есть'!$A$73:$A$80,Доп.расчеты!$A58,'Как есть'!BR$73:BR$80)</f>
        <v>0</v>
      </c>
      <c r="BR58">
        <f>SUMIF('Как есть'!$A$73:$A$80,Доп.расчеты!$A58,'Как есть'!BS$73:BS$80)</f>
        <v>0</v>
      </c>
      <c r="BS58">
        <f>SUMIF('Как есть'!$A$73:$A$80,Доп.расчеты!$A58,'Как есть'!BT$73:BT$80)</f>
        <v>0</v>
      </c>
      <c r="BT58">
        <f>SUMIF('Как есть'!$A$73:$A$80,Доп.расчеты!$A58,'Как есть'!BU$73:BU$80)</f>
        <v>0</v>
      </c>
      <c r="BU58">
        <f>SUMIF('Как есть'!$A$73:$A$80,Доп.расчеты!$A58,'Как есть'!BV$73:BV$80)</f>
        <v>0</v>
      </c>
      <c r="BV58">
        <f>SUMIF('Как есть'!$A$73:$A$80,Доп.расчеты!$A58,'Как есть'!BW$73:BW$80)</f>
        <v>0</v>
      </c>
      <c r="BW58">
        <f>SUMIF('Как есть'!$A$73:$A$80,Доп.расчеты!$A58,'Как есть'!BX$73:BX$80)</f>
        <v>0</v>
      </c>
      <c r="BX58">
        <f>SUMIF('Как есть'!$A$73:$A$80,Доп.расчеты!$A58,'Как есть'!BY$73:BY$80)</f>
        <v>0</v>
      </c>
      <c r="BY58">
        <f>SUMIF('Как есть'!$A$73:$A$80,Доп.расчеты!$A58,'Как есть'!BZ$73:BZ$80)</f>
        <v>0</v>
      </c>
      <c r="BZ58">
        <f>SUMIF('Как есть'!$A$73:$A$80,Доп.расчеты!$A58,'Как есть'!CA$73:CA$80)</f>
        <v>0</v>
      </c>
      <c r="CA58">
        <f>SUMIF('Как есть'!$A$73:$A$80,Доп.расчеты!$A58,'Как есть'!CB$73:CB$80)</f>
        <v>0</v>
      </c>
      <c r="CB58">
        <f>SUMIF('Как есть'!$A$73:$A$80,Доп.расчеты!$A58,'Как есть'!CC$73:CC$80)</f>
        <v>0</v>
      </c>
      <c r="CC58">
        <f>SUMIF('Как есть'!$A$73:$A$80,Доп.расчеты!$A58,'Как есть'!CD$73:CD$80)</f>
        <v>0</v>
      </c>
      <c r="CD58">
        <f>SUMIF('Как есть'!$A$73:$A$80,Доп.расчеты!$A58,'Как есть'!CE$73:CE$80)</f>
        <v>0</v>
      </c>
      <c r="CE58">
        <f>SUMIF('Как есть'!$A$73:$A$80,Доп.расчеты!$A58,'Как есть'!CF$73:CF$80)</f>
        <v>0</v>
      </c>
      <c r="CF58">
        <f>SUMIF('Как есть'!$A$73:$A$80,Доп.расчеты!$A58,'Как есть'!CG$73:CG$80)</f>
        <v>0</v>
      </c>
      <c r="CG58">
        <f>SUMIF('Как есть'!$A$73:$A$80,Доп.расчеты!$A58,'Как есть'!CH$73:CH$80)</f>
        <v>0</v>
      </c>
      <c r="CH58">
        <f>SUMIF('Как есть'!$A$73:$A$80,Доп.расчеты!$A58,'Как есть'!CI$73:CI$80)</f>
        <v>0</v>
      </c>
      <c r="CI58">
        <f>SUMIF('Как есть'!$A$73:$A$80,Доп.расчеты!$A58,'Как есть'!CJ$73:CJ$80)</f>
        <v>0</v>
      </c>
      <c r="CJ58">
        <f>SUMIF('Как есть'!$A$73:$A$80,Доп.расчеты!$A58,'Как есть'!CK$73:CK$80)</f>
        <v>0</v>
      </c>
      <c r="CK58">
        <f>SUMIF('Как есть'!$A$73:$A$80,Доп.расчеты!$A58,'Как есть'!CL$73:CL$80)</f>
        <v>0</v>
      </c>
      <c r="CL58">
        <f>SUMIF('Как есть'!$A$73:$A$80,Доп.расчеты!$A58,'Как есть'!CM$73:CM$80)</f>
        <v>0</v>
      </c>
      <c r="CM58">
        <f>SUMIF('Как есть'!$A$73:$A$80,Доп.расчеты!$A58,'Как есть'!CN$73:CN$80)</f>
        <v>0</v>
      </c>
      <c r="CN58">
        <f>SUMIF('Как есть'!$A$73:$A$80,Доп.расчеты!$A58,'Как есть'!CO$73:CO$80)</f>
        <v>0</v>
      </c>
      <c r="CO58">
        <f>SUMIF('Как есть'!$A$73:$A$80,Доп.расчеты!$A58,'Как есть'!CP$73:CP$80)</f>
        <v>0</v>
      </c>
      <c r="CP58">
        <f>SUMIF('Как есть'!$A$73:$A$80,Доп.расчеты!$A58,'Как есть'!CQ$73:CQ$80)</f>
        <v>0</v>
      </c>
      <c r="CQ58">
        <f>SUMIF('Как есть'!$A$73:$A$80,Доп.расчеты!$A58,'Как есть'!CR$73:CR$80)</f>
        <v>0</v>
      </c>
      <c r="CR58">
        <f>SUMIF('Как есть'!$A$73:$A$80,Доп.расчеты!$A58,'Как есть'!CS$73:CS$80)</f>
        <v>0</v>
      </c>
      <c r="CS58">
        <f>SUMIF('Как есть'!$A$73:$A$80,Доп.расчеты!$A58,'Как есть'!CT$73:CT$80)</f>
        <v>0</v>
      </c>
      <c r="CT58">
        <f>SUMIF('Как есть'!$A$73:$A$80,Доп.расчеты!$A58,'Как есть'!CU$73:CU$80)</f>
        <v>0</v>
      </c>
      <c r="CU58">
        <f>SUMIF('Как есть'!$A$73:$A$80,Доп.расчеты!$A58,'Как есть'!CV$73:CV$80)</f>
        <v>0</v>
      </c>
      <c r="CV58">
        <f>SUMIF('Как есть'!$A$73:$A$80,Доп.расчеты!$A58,'Как есть'!CW$73:CW$80)</f>
        <v>0</v>
      </c>
      <c r="CW58">
        <f>SUMIF('Как есть'!$A$73:$A$80,Доп.расчеты!$A58,'Как есть'!CX$73:CX$80)</f>
        <v>0</v>
      </c>
      <c r="CX58">
        <f>SUMIF('Как есть'!$A$73:$A$80,Доп.расчеты!$A58,'Как есть'!CY$73:CY$80)</f>
        <v>0</v>
      </c>
      <c r="CY58">
        <f>SUMIF('Как есть'!$A$73:$A$80,Доп.расчеты!$A58,'Как есть'!CZ$73:CZ$80)</f>
        <v>0</v>
      </c>
      <c r="CZ58">
        <f>SUMIF('Как есть'!$A$73:$A$80,Доп.расчеты!$A58,'Как есть'!DA$73:DA$80)</f>
        <v>0</v>
      </c>
      <c r="DA58">
        <f>SUMIF('Как есть'!$A$73:$A$80,Доп.расчеты!$A58,'Как есть'!DB$73:DB$80)</f>
        <v>0</v>
      </c>
      <c r="DB58">
        <f>SUMIF('Как есть'!$A$73:$A$80,Доп.расчеты!$A58,'Как есть'!DC$73:DC$80)</f>
        <v>0</v>
      </c>
      <c r="DC58">
        <f>SUMIF('Как есть'!$A$73:$A$80,Доп.расчеты!$A58,'Как есть'!DD$73:DD$80)</f>
        <v>0</v>
      </c>
      <c r="DD58">
        <f>SUMIF('Как есть'!$A$73:$A$80,Доп.расчеты!$A58,'Как есть'!DE$73:DE$80)</f>
        <v>0</v>
      </c>
      <c r="DE58">
        <f>SUMIF('Как есть'!$A$73:$A$80,Доп.расчеты!$A58,'Как есть'!DF$73:DF$80)</f>
        <v>0</v>
      </c>
      <c r="DF58">
        <f>SUMIF('Как есть'!$A$73:$A$80,Доп.расчеты!$A58,'Как есть'!DG$73:DG$80)</f>
        <v>0</v>
      </c>
      <c r="DG58">
        <f>SUMIF('Как есть'!$A$73:$A$80,Доп.расчеты!$A58,'Как есть'!DH$73:DH$80)</f>
        <v>0</v>
      </c>
      <c r="DH58">
        <f>SUMIF('Как есть'!$A$73:$A$80,Доп.расчеты!$A58,'Как есть'!DI$73:DI$80)</f>
        <v>0</v>
      </c>
      <c r="DI58">
        <f>SUMIF('Как есть'!$A$73:$A$80,Доп.расчеты!$A58,'Как есть'!DJ$73:DJ$80)</f>
        <v>0</v>
      </c>
      <c r="DJ58">
        <f>SUMIF('Как есть'!$A$73:$A$80,Доп.расчеты!$A58,'Как есть'!DK$73:DK$80)</f>
        <v>0</v>
      </c>
      <c r="DK58">
        <f>SUMIF('Как есть'!$A$73:$A$80,Доп.расчеты!$A58,'Как есть'!DL$73:DL$80)</f>
        <v>0</v>
      </c>
      <c r="DL58">
        <f>SUMIF('Как есть'!$A$73:$A$80,Доп.расчеты!$A58,'Как есть'!DM$73:DM$80)</f>
        <v>0</v>
      </c>
      <c r="DM58">
        <f>SUMIF('Как есть'!$A$73:$A$80,Доп.расчеты!$A58,'Как есть'!DN$73:DN$80)</f>
        <v>0</v>
      </c>
      <c r="DN58">
        <f>SUMIF('Как есть'!$A$73:$A$80,Доп.расчеты!$A58,'Как есть'!DO$73:DO$80)</f>
        <v>0</v>
      </c>
      <c r="DO58">
        <f>SUMIF('Как есть'!$A$73:$A$80,Доп.расчеты!$A58,'Как есть'!DP$73:DP$80)</f>
        <v>0</v>
      </c>
      <c r="DP58">
        <f>SUMIF('Как есть'!$A$73:$A$80,Доп.расчеты!$A58,'Как есть'!DQ$73:DQ$80)</f>
        <v>0</v>
      </c>
      <c r="DQ58">
        <f>SUMIF('Как есть'!$A$73:$A$80,Доп.расчеты!$A58,'Как есть'!DR$73:DR$80)</f>
        <v>0</v>
      </c>
      <c r="DR58">
        <f>SUMIF('Как есть'!$A$73:$A$80,Доп.расчеты!$A58,'Как есть'!DS$73:DS$80)</f>
        <v>0</v>
      </c>
      <c r="DS58">
        <f>SUMIF('Как есть'!$A$73:$A$80,Доп.расчеты!$A58,'Как есть'!DT$73:DT$80)</f>
        <v>0</v>
      </c>
      <c r="DT58">
        <f>SUMIF('Как есть'!$A$73:$A$80,Доп.расчеты!$A58,'Как есть'!DU$73:DU$80)</f>
        <v>0</v>
      </c>
      <c r="DU58">
        <f>SUMIF('Как есть'!$A$73:$A$80,Доп.расчеты!$A58,'Как есть'!DV$73:DV$80)</f>
        <v>0</v>
      </c>
      <c r="DV58">
        <f>SUMIF('Как есть'!$A$73:$A$80,Доп.расчеты!$A58,'Как есть'!DW$73:DW$80)</f>
        <v>0</v>
      </c>
      <c r="DW58">
        <f>SUMIF('Как есть'!$A$73:$A$80,Доп.расчеты!$A58,'Как есть'!DX$73:DX$80)</f>
        <v>0</v>
      </c>
      <c r="DX58">
        <f>SUMIF('Как есть'!$A$73:$A$80,Доп.расчеты!$A58,'Как есть'!DY$73:DY$80)</f>
        <v>0</v>
      </c>
      <c r="DY58">
        <f>SUMIF('Как есть'!$A$73:$A$80,Доп.расчеты!$A58,'Как есть'!DZ$73:DZ$80)</f>
        <v>0</v>
      </c>
      <c r="DZ58">
        <f>SUMIF('Как есть'!$A$73:$A$80,Доп.расчеты!$A58,'Как есть'!EA$73:EA$80)</f>
        <v>0</v>
      </c>
      <c r="EA58">
        <f>SUMIF('Как есть'!$A$73:$A$80,Доп.расчеты!$A58,'Как есть'!EB$73:EB$80)</f>
        <v>0</v>
      </c>
      <c r="EB58">
        <f>SUMIF('Как есть'!$A$73:$A$80,Доп.расчеты!$A58,'Как есть'!EC$73:EC$80)</f>
        <v>0</v>
      </c>
      <c r="EC58">
        <f>SUMIF('Как есть'!$A$73:$A$80,Доп.расчеты!$A58,'Как есть'!ED$73:ED$80)</f>
        <v>0</v>
      </c>
      <c r="ED58">
        <f>SUMIF('Как есть'!$A$73:$A$80,Доп.расчеты!$A58,'Как есть'!EE$73:EE$80)</f>
        <v>0</v>
      </c>
      <c r="EE58">
        <f>SUMIF('Как есть'!$A$73:$A$80,Доп.расчеты!$A58,'Как есть'!EF$73:EF$80)</f>
        <v>0</v>
      </c>
      <c r="EF58">
        <f>SUMIF('Как есть'!$A$73:$A$80,Доп.расчеты!$A58,'Как есть'!EG$73:EG$80)</f>
        <v>0</v>
      </c>
      <c r="EG58">
        <f>SUMIF('Как есть'!$A$73:$A$80,Доп.расчеты!$A58,'Как есть'!EH$73:EH$80)</f>
        <v>0</v>
      </c>
      <c r="EH58">
        <f>SUMIF('Как есть'!$A$73:$A$80,Доп.расчеты!$A58,'Как есть'!EI$73:EI$80)</f>
        <v>0</v>
      </c>
      <c r="EI58">
        <f>SUMIF('Как есть'!$A$73:$A$80,Доп.расчеты!$A58,'Как есть'!EJ$73:EJ$80)</f>
        <v>0</v>
      </c>
      <c r="EJ58">
        <f>SUMIF('Как есть'!$A$73:$A$80,Доп.расчеты!$A58,'Как есть'!EK$73:EK$80)</f>
        <v>0</v>
      </c>
      <c r="EK58">
        <f>SUMIF('Как есть'!$A$73:$A$80,Доп.расчеты!$A58,'Как есть'!EL$73:EL$80)</f>
        <v>0</v>
      </c>
      <c r="EL58">
        <f>SUMIF('Как есть'!$A$73:$A$80,Доп.расчеты!$A58,'Как есть'!EM$73:EM$80)</f>
        <v>0</v>
      </c>
      <c r="EM58">
        <f>SUMIF('Как есть'!$A$73:$A$80,Доп.расчеты!$A58,'Как есть'!EN$73:EN$80)</f>
        <v>0</v>
      </c>
      <c r="EN58">
        <f>SUMIF('Как есть'!$A$73:$A$80,Доп.расчеты!$A58,'Как есть'!EO$73:EO$80)</f>
        <v>0</v>
      </c>
      <c r="EO58">
        <f>SUMIF('Как есть'!$A$73:$A$80,Доп.расчеты!$A58,'Как есть'!EP$73:EP$80)</f>
        <v>0</v>
      </c>
      <c r="EP58">
        <f>SUMIF('Как есть'!$A$73:$A$80,Доп.расчеты!$A58,'Как есть'!EQ$73:EQ$80)</f>
        <v>0</v>
      </c>
      <c r="EQ58">
        <f>SUMIF('Как есть'!$A$73:$A$80,Доп.расчеты!$A58,'Как есть'!ER$73:ER$80)</f>
        <v>0</v>
      </c>
      <c r="ER58">
        <f>SUMIF('Как есть'!$A$73:$A$80,Доп.расчеты!$A58,'Как есть'!ES$73:ES$80)</f>
        <v>0</v>
      </c>
      <c r="ES58">
        <f>SUMIF('Как есть'!$A$73:$A$80,Доп.расчеты!$A58,'Как есть'!ET$73:ET$80)</f>
        <v>0</v>
      </c>
      <c r="ET58">
        <f>SUMIF('Как есть'!$A$73:$A$80,Доп.расчеты!$A58,'Как есть'!EU$73:EU$80)</f>
        <v>0</v>
      </c>
      <c r="EU58">
        <f>SUMIF('Как есть'!$A$73:$A$80,Доп.расчеты!$A58,'Как есть'!EV$73:EV$80)</f>
        <v>0</v>
      </c>
      <c r="EV58">
        <f>SUMIF('Как есть'!$A$73:$A$80,Доп.расчеты!$A58,'Как есть'!EW$73:EW$80)</f>
        <v>0</v>
      </c>
      <c r="EW58">
        <f>SUMIF('Как есть'!$A$73:$A$80,Доп.расчеты!$A58,'Как есть'!EX$73:EX$80)</f>
        <v>0</v>
      </c>
      <c r="EX58">
        <f>SUMIF('Как есть'!$A$73:$A$80,Доп.расчеты!$A58,'Как есть'!EY$73:EY$80)</f>
        <v>0</v>
      </c>
      <c r="EY58">
        <f>SUMIF('Как есть'!$A$73:$A$80,Доп.расчеты!$A58,'Как есть'!EZ$73:EZ$80)</f>
        <v>0</v>
      </c>
      <c r="EZ58">
        <f>SUMIF('Как есть'!$A$73:$A$80,Доп.расчеты!$A58,'Как есть'!FA$73:FA$80)</f>
        <v>0</v>
      </c>
      <c r="FA58">
        <f>SUMIF('Как есть'!$A$73:$A$80,Доп.расчеты!$A58,'Как есть'!FB$73:FB$80)</f>
        <v>0</v>
      </c>
      <c r="FB58">
        <f>SUMIF('Как есть'!$A$73:$A$80,Доп.расчеты!$A58,'Как есть'!FC$73:FC$80)</f>
        <v>0</v>
      </c>
      <c r="FC58">
        <f>SUMIF('Как есть'!$A$73:$A$80,Доп.расчеты!$A58,'Как есть'!FD$73:FD$80)</f>
        <v>0</v>
      </c>
      <c r="FD58">
        <f>SUMIF('Как есть'!$A$73:$A$80,Доп.расчеты!$A58,'Как есть'!FE$73:FE$80)</f>
        <v>0</v>
      </c>
      <c r="FE58">
        <f>SUMIF('Как есть'!$A$73:$A$80,Доп.расчеты!$A58,'Как есть'!FF$73:FF$80)</f>
        <v>0</v>
      </c>
      <c r="FF58">
        <f>SUMIF('Как есть'!$A$73:$A$80,Доп.расчеты!$A58,'Как есть'!FG$73:FG$80)</f>
        <v>0</v>
      </c>
      <c r="FG58">
        <f>SUMIF('Как есть'!$A$73:$A$80,Доп.расчеты!$A58,'Как есть'!FH$73:FH$80)</f>
        <v>0</v>
      </c>
      <c r="FH58">
        <f>SUMIF('Как есть'!$A$73:$A$80,Доп.расчеты!$A58,'Как есть'!FI$73:FI$80)</f>
        <v>0</v>
      </c>
      <c r="FI58">
        <f>SUMIF('Как есть'!$A$73:$A$80,Доп.расчеты!$A58,'Как есть'!FJ$73:FJ$80)</f>
        <v>0</v>
      </c>
      <c r="FJ58">
        <f>SUMIF('Как есть'!$A$73:$A$80,Доп.расчеты!$A58,'Как есть'!FK$73:FK$80)</f>
        <v>0</v>
      </c>
      <c r="FK58">
        <f>SUMIF('Как есть'!$A$73:$A$80,Доп.расчеты!$A58,'Как есть'!FL$73:FL$80)</f>
        <v>0</v>
      </c>
      <c r="FL58">
        <f>SUMIF('Как есть'!$A$73:$A$80,Доп.расчеты!$A58,'Как есть'!FM$73:FM$80)</f>
        <v>0</v>
      </c>
      <c r="FM58">
        <f>SUMIF('Как есть'!$A$73:$A$80,Доп.расчеты!$A58,'Как есть'!FN$73:FN$80)</f>
        <v>0</v>
      </c>
      <c r="FN58">
        <f>SUMIF('Как есть'!$A$73:$A$80,Доп.расчеты!$A58,'Как есть'!FO$73:FO$80)</f>
        <v>0</v>
      </c>
      <c r="FO58">
        <f>SUMIF('Как есть'!$A$73:$A$80,Доп.расчеты!$A58,'Как есть'!FP$73:FP$80)</f>
        <v>0</v>
      </c>
      <c r="FP58">
        <f>SUMIF('Как есть'!$A$73:$A$80,Доп.расчеты!$A58,'Как есть'!FQ$73:FQ$80)</f>
        <v>0</v>
      </c>
      <c r="FQ58">
        <f>SUMIF('Как есть'!$A$73:$A$80,Доп.расчеты!$A58,'Как есть'!FR$73:FR$80)</f>
        <v>0</v>
      </c>
      <c r="FR58">
        <f>SUMIF('Как есть'!$A$73:$A$80,Доп.расчеты!$A58,'Как есть'!FS$73:FS$80)</f>
        <v>0</v>
      </c>
      <c r="FS58">
        <f>SUMIF('Как есть'!$A$73:$A$80,Доп.расчеты!$A58,'Как есть'!FT$73:FT$80)</f>
        <v>0</v>
      </c>
      <c r="FT58">
        <f>SUMIF('Как есть'!$A$73:$A$80,Доп.расчеты!$A58,'Как есть'!FU$73:FU$80)</f>
        <v>0</v>
      </c>
      <c r="FU58">
        <f>SUMIF('Как есть'!$A$73:$A$80,Доп.расчеты!$A58,'Как есть'!FV$73:FV$80)</f>
        <v>0</v>
      </c>
      <c r="FV58">
        <f>SUMIF('Как есть'!$A$73:$A$80,Доп.расчеты!$A58,'Как есть'!FW$73:FW$80)</f>
        <v>0</v>
      </c>
      <c r="FW58">
        <f>SUMIF('Как есть'!$A$73:$A$80,Доп.расчеты!$A58,'Как есть'!FX$73:FX$80)</f>
        <v>0</v>
      </c>
      <c r="FX58">
        <f>SUMIF('Как есть'!$A$73:$A$80,Доп.расчеты!$A58,'Как есть'!FY$73:FY$80)</f>
        <v>0</v>
      </c>
      <c r="FY58">
        <f>SUMIF('Как есть'!$A$73:$A$80,Доп.расчеты!$A58,'Как есть'!FZ$73:FZ$80)</f>
        <v>0</v>
      </c>
      <c r="FZ58">
        <f>SUMIF('Как есть'!$A$73:$A$80,Доп.расчеты!$A58,'Как есть'!GA$73:GA$80)</f>
        <v>0</v>
      </c>
      <c r="GA58">
        <f>SUMIF('Как есть'!$A$73:$A$80,Доп.расчеты!$A58,'Как есть'!GB$73:GB$80)</f>
        <v>0</v>
      </c>
      <c r="GB58">
        <f>SUMIF('Как есть'!$A$73:$A$80,Доп.расчеты!$A58,'Как есть'!GC$73:GC$80)</f>
        <v>0</v>
      </c>
      <c r="GC58">
        <f>SUMIF('Как есть'!$A$73:$A$80,Доп.расчеты!$A58,'Как есть'!GD$73:GD$80)</f>
        <v>0</v>
      </c>
      <c r="GD58">
        <f>SUMIF('Как есть'!$A$73:$A$80,Доп.расчеты!$A58,'Как есть'!GE$73:GE$80)</f>
        <v>0</v>
      </c>
      <c r="GE58">
        <f>SUMIF('Как есть'!$A$73:$A$80,Доп.расчеты!$A58,'Как есть'!GF$73:GF$80)</f>
        <v>0</v>
      </c>
      <c r="GF58">
        <f>SUMIF('Как есть'!$A$73:$A$80,Доп.расчеты!$A58,'Как есть'!GG$73:GG$80)</f>
        <v>0</v>
      </c>
      <c r="GG58">
        <f>SUMIF('Как есть'!$A$73:$A$80,Доп.расчеты!$A58,'Как есть'!GH$73:GH$80)</f>
        <v>0</v>
      </c>
      <c r="GH58">
        <f>SUMIF('Как есть'!$A$73:$A$80,Доп.расчеты!$A58,'Как есть'!GI$73:GI$80)</f>
        <v>0</v>
      </c>
      <c r="GI58">
        <f>SUMIF('Как есть'!$A$73:$A$80,Доп.расчеты!$A58,'Как есть'!GJ$73:GJ$80)</f>
        <v>0</v>
      </c>
      <c r="GJ58">
        <f>SUMIF('Как есть'!$A$73:$A$80,Доп.расчеты!$A58,'Как есть'!GK$73:GK$80)</f>
        <v>0</v>
      </c>
      <c r="GK58">
        <f>SUMIF('Как есть'!$A$73:$A$80,Доп.расчеты!$A58,'Как есть'!GL$73:GL$80)</f>
        <v>0</v>
      </c>
      <c r="GL58">
        <f>SUMIF('Как есть'!$A$73:$A$80,Доп.расчеты!$A58,'Как есть'!GM$73:GM$80)</f>
        <v>0</v>
      </c>
      <c r="GM58">
        <f>SUMIF('Как есть'!$A$73:$A$80,Доп.расчеты!$A58,'Как есть'!GN$73:GN$80)</f>
        <v>0</v>
      </c>
      <c r="GN58">
        <f>SUMIF('Как есть'!$A$73:$A$80,Доп.расчеты!$A58,'Как есть'!GO$73:GO$80)</f>
        <v>0</v>
      </c>
      <c r="GO58">
        <f>SUMIF('Как есть'!$A$73:$A$80,Доп.расчеты!$A58,'Как есть'!GP$73:GP$80)</f>
        <v>0</v>
      </c>
      <c r="GP58">
        <f>SUMIF('Как есть'!$A$73:$A$80,Доп.расчеты!$A58,'Как есть'!GQ$73:GQ$80)</f>
        <v>0</v>
      </c>
      <c r="GQ58">
        <f>SUMIF('Как есть'!$A$73:$A$80,Доп.расчеты!$A58,'Как есть'!GR$73:GR$80)</f>
        <v>0</v>
      </c>
      <c r="GR58">
        <f>SUMIF('Как есть'!$A$73:$A$80,Доп.расчеты!$A58,'Как есть'!GS$73:GS$80)</f>
        <v>0</v>
      </c>
      <c r="GS58">
        <f>SUMIF('Как есть'!$A$73:$A$80,Доп.расчеты!$A58,'Как есть'!GT$73:GT$80)</f>
        <v>0</v>
      </c>
      <c r="GT58">
        <f>SUMIF('Как есть'!$A$73:$A$80,Доп.расчеты!$A58,'Как есть'!GU$73:GU$80)</f>
        <v>0</v>
      </c>
    </row>
    <row r="59" spans="1:202">
      <c r="A59" s="237" t="s">
        <v>96</v>
      </c>
      <c r="B59">
        <f>SUMIF('Как есть'!$A$73:$A$80,Доп.расчеты!$A59,'Как есть'!C$73:C$80)</f>
        <v>0</v>
      </c>
      <c r="C59">
        <f>SUMIF('Как есть'!$A$73:$A$80,Доп.расчеты!$A59,'Как есть'!D$73:D$80)</f>
        <v>0</v>
      </c>
      <c r="D59">
        <f>SUMIF('Как есть'!$A$73:$A$80,Доп.расчеты!$A59,'Как есть'!E$73:E$80)</f>
        <v>0</v>
      </c>
      <c r="E59">
        <f>SUMIF('Как есть'!$A$73:$A$80,Доп.расчеты!$A59,'Как есть'!F$73:F$80)</f>
        <v>0</v>
      </c>
      <c r="F59">
        <f>SUMIF('Как есть'!$A$73:$A$80,Доп.расчеты!$A59,'Как есть'!G$73:G$80)</f>
        <v>0</v>
      </c>
      <c r="G59">
        <f>SUMIF('Как есть'!$A$73:$A$80,Доп.расчеты!$A59,'Как есть'!H$73:H$80)</f>
        <v>0</v>
      </c>
      <c r="H59">
        <f>SUMIF('Как есть'!$A$73:$A$80,Доп.расчеты!$A59,'Как есть'!I$73:I$80)</f>
        <v>0</v>
      </c>
      <c r="I59">
        <f>SUMIF('Как есть'!$A$73:$A$80,Доп.расчеты!$A59,'Как есть'!J$73:J$80)</f>
        <v>0</v>
      </c>
      <c r="J59">
        <f>SUMIF('Как есть'!$A$73:$A$80,Доп.расчеты!$A59,'Как есть'!K$73:K$80)</f>
        <v>0</v>
      </c>
      <c r="K59">
        <f>SUMIF('Как есть'!$A$73:$A$80,Доп.расчеты!$A59,'Как есть'!L$73:L$80)</f>
        <v>0</v>
      </c>
      <c r="L59">
        <f>SUMIF('Как есть'!$A$73:$A$80,Доп.расчеты!$A59,'Как есть'!M$73:M$80)</f>
        <v>0</v>
      </c>
      <c r="M59">
        <f>SUMIF('Как есть'!$A$73:$A$80,Доп.расчеты!$A59,'Как есть'!N$73:N$80)</f>
        <v>0</v>
      </c>
      <c r="N59">
        <f>SUMIF('Как есть'!$A$73:$A$80,Доп.расчеты!$A59,'Как есть'!O$73:O$80)</f>
        <v>0</v>
      </c>
      <c r="O59">
        <f>SUMIF('Как есть'!$A$73:$A$80,Доп.расчеты!$A59,'Как есть'!P$73:P$80)</f>
        <v>0</v>
      </c>
      <c r="P59">
        <f>SUMIF('Как есть'!$A$73:$A$80,Доп.расчеты!$A59,'Как есть'!Q$73:Q$80)</f>
        <v>0</v>
      </c>
      <c r="Q59">
        <f>SUMIF('Как есть'!$A$73:$A$80,Доп.расчеты!$A59,'Как есть'!R$73:R$80)</f>
        <v>0</v>
      </c>
      <c r="R59">
        <f>SUMIF('Как есть'!$A$73:$A$80,Доп.расчеты!$A59,'Как есть'!S$73:S$80)</f>
        <v>0</v>
      </c>
      <c r="S59">
        <f>SUMIF('Как есть'!$A$73:$A$80,Доп.расчеты!$A59,'Как есть'!T$73:T$80)</f>
        <v>0</v>
      </c>
      <c r="T59">
        <f>SUMIF('Как есть'!$A$73:$A$80,Доп.расчеты!$A59,'Как есть'!U$73:U$80)</f>
        <v>0</v>
      </c>
      <c r="U59">
        <f>SUMIF('Как есть'!$A$73:$A$80,Доп.расчеты!$A59,'Как есть'!V$73:V$80)</f>
        <v>0</v>
      </c>
      <c r="V59">
        <f>SUMIF('Как есть'!$A$73:$A$80,Доп.расчеты!$A59,'Как есть'!W$73:W$80)</f>
        <v>0</v>
      </c>
      <c r="W59">
        <f>SUMIF('Как есть'!$A$73:$A$80,Доп.расчеты!$A59,'Как есть'!X$73:X$80)</f>
        <v>0</v>
      </c>
      <c r="X59">
        <f>SUMIF('Как есть'!$A$73:$A$80,Доп.расчеты!$A59,'Как есть'!Y$73:Y$80)</f>
        <v>0</v>
      </c>
      <c r="Y59">
        <f>SUMIF('Как есть'!$A$73:$A$80,Доп.расчеты!$A59,'Как есть'!Z$73:Z$80)</f>
        <v>0</v>
      </c>
      <c r="Z59">
        <f>SUMIF('Как есть'!$A$73:$A$80,Доп.расчеты!$A59,'Как есть'!AA$73:AA$80)</f>
        <v>0</v>
      </c>
      <c r="AA59">
        <f>SUMIF('Как есть'!$A$73:$A$80,Доп.расчеты!$A59,'Как есть'!AB$73:AB$80)</f>
        <v>0</v>
      </c>
      <c r="AB59">
        <f>SUMIF('Как есть'!$A$73:$A$80,Доп.расчеты!$A59,'Как есть'!AC$73:AC$80)</f>
        <v>0</v>
      </c>
      <c r="AC59">
        <f>SUMIF('Как есть'!$A$73:$A$80,Доп.расчеты!$A59,'Как есть'!AD$73:AD$80)</f>
        <v>0</v>
      </c>
      <c r="AD59">
        <f>SUMIF('Как есть'!$A$73:$A$80,Доп.расчеты!$A59,'Как есть'!AE$73:AE$80)</f>
        <v>0</v>
      </c>
      <c r="AE59">
        <f>SUMIF('Как есть'!$A$73:$A$80,Доп.расчеты!$A59,'Как есть'!AF$73:AF$80)</f>
        <v>0</v>
      </c>
      <c r="AF59">
        <f>SUMIF('Как есть'!$A$73:$A$80,Доп.расчеты!$A59,'Как есть'!AG$73:AG$80)</f>
        <v>0</v>
      </c>
      <c r="AG59">
        <f>SUMIF('Как есть'!$A$73:$A$80,Доп.расчеты!$A59,'Как есть'!AH$73:AH$80)</f>
        <v>0</v>
      </c>
      <c r="AH59">
        <f>SUMIF('Как есть'!$A$73:$A$80,Доп.расчеты!$A59,'Как есть'!AI$73:AI$80)</f>
        <v>0</v>
      </c>
      <c r="AI59">
        <f>SUMIF('Как есть'!$A$73:$A$80,Доп.расчеты!$A59,'Как есть'!AJ$73:AJ$80)</f>
        <v>0</v>
      </c>
      <c r="AJ59">
        <f>SUMIF('Как есть'!$A$73:$A$80,Доп.расчеты!$A59,'Как есть'!AK$73:AK$80)</f>
        <v>0</v>
      </c>
      <c r="AK59">
        <f>SUMIF('Как есть'!$A$73:$A$80,Доп.расчеты!$A59,'Как есть'!AL$73:AL$80)</f>
        <v>0</v>
      </c>
      <c r="AL59">
        <f>SUMIF('Как есть'!$A$73:$A$80,Доп.расчеты!$A59,'Как есть'!AM$73:AM$80)</f>
        <v>0</v>
      </c>
      <c r="AM59">
        <f>SUMIF('Как есть'!$A$73:$A$80,Доп.расчеты!$A59,'Как есть'!AN$73:AN$80)</f>
        <v>0</v>
      </c>
      <c r="AN59">
        <f>SUMIF('Как есть'!$A$73:$A$80,Доп.расчеты!$A59,'Как есть'!AO$73:AO$80)</f>
        <v>0</v>
      </c>
      <c r="AO59">
        <f>SUMIF('Как есть'!$A$73:$A$80,Доп.расчеты!$A59,'Как есть'!AP$73:AP$80)</f>
        <v>0</v>
      </c>
      <c r="AP59">
        <f>SUMIF('Как есть'!$A$73:$A$80,Доп.расчеты!$A59,'Как есть'!AQ$73:AQ$80)</f>
        <v>0</v>
      </c>
      <c r="AQ59">
        <f>SUMIF('Как есть'!$A$73:$A$80,Доп.расчеты!$A59,'Как есть'!AR$73:AR$80)</f>
        <v>0</v>
      </c>
      <c r="AR59">
        <f>SUMIF('Как есть'!$A$73:$A$80,Доп.расчеты!$A59,'Как есть'!AS$73:AS$80)</f>
        <v>0</v>
      </c>
      <c r="AS59">
        <f>SUMIF('Как есть'!$A$73:$A$80,Доп.расчеты!$A59,'Как есть'!AT$73:AT$80)</f>
        <v>0</v>
      </c>
      <c r="AT59">
        <f>SUMIF('Как есть'!$A$73:$A$80,Доп.расчеты!$A59,'Как есть'!AU$73:AU$80)</f>
        <v>0</v>
      </c>
      <c r="AU59">
        <f>SUMIF('Как есть'!$A$73:$A$80,Доп.расчеты!$A59,'Как есть'!AV$73:AV$80)</f>
        <v>0</v>
      </c>
      <c r="AV59">
        <f>SUMIF('Как есть'!$A$73:$A$80,Доп.расчеты!$A59,'Как есть'!AW$73:AW$80)</f>
        <v>0</v>
      </c>
      <c r="AW59">
        <f>SUMIF('Как есть'!$A$73:$A$80,Доп.расчеты!$A59,'Как есть'!AX$73:AX$80)</f>
        <v>0</v>
      </c>
      <c r="AX59">
        <f>SUMIF('Как есть'!$A$73:$A$80,Доп.расчеты!$A59,'Как есть'!AY$73:AY$80)</f>
        <v>0</v>
      </c>
      <c r="AY59">
        <f>SUMIF('Как есть'!$A$73:$A$80,Доп.расчеты!$A59,'Как есть'!AZ$73:AZ$80)</f>
        <v>0</v>
      </c>
      <c r="AZ59">
        <f>SUMIF('Как есть'!$A$73:$A$80,Доп.расчеты!$A59,'Как есть'!BA$73:BA$80)</f>
        <v>0</v>
      </c>
      <c r="BA59">
        <f>SUMIF('Как есть'!$A$73:$A$80,Доп.расчеты!$A59,'Как есть'!BB$73:BB$80)</f>
        <v>0</v>
      </c>
      <c r="BB59">
        <f>SUMIF('Как есть'!$A$73:$A$80,Доп.расчеты!$A59,'Как есть'!BC$73:BC$80)</f>
        <v>0</v>
      </c>
      <c r="BC59">
        <f>SUMIF('Как есть'!$A$73:$A$80,Доп.расчеты!$A59,'Как есть'!BD$73:BD$80)</f>
        <v>0</v>
      </c>
      <c r="BD59">
        <f>SUMIF('Как есть'!$A$73:$A$80,Доп.расчеты!$A59,'Как есть'!BE$73:BE$80)</f>
        <v>0</v>
      </c>
      <c r="BE59">
        <f>SUMIF('Как есть'!$A$73:$A$80,Доп.расчеты!$A59,'Как есть'!BF$73:BF$80)</f>
        <v>0</v>
      </c>
      <c r="BF59">
        <f>SUMIF('Как есть'!$A$73:$A$80,Доп.расчеты!$A59,'Как есть'!BG$73:BG$80)</f>
        <v>0</v>
      </c>
      <c r="BG59">
        <f>SUMIF('Как есть'!$A$73:$A$80,Доп.расчеты!$A59,'Как есть'!BH$73:BH$80)</f>
        <v>0</v>
      </c>
      <c r="BH59">
        <f>SUMIF('Как есть'!$A$73:$A$80,Доп.расчеты!$A59,'Как есть'!BI$73:BI$80)</f>
        <v>0</v>
      </c>
      <c r="BI59">
        <f>SUMIF('Как есть'!$A$73:$A$80,Доп.расчеты!$A59,'Как есть'!BJ$73:BJ$80)</f>
        <v>0</v>
      </c>
      <c r="BJ59">
        <f>SUMIF('Как есть'!$A$73:$A$80,Доп.расчеты!$A59,'Как есть'!BK$73:BK$80)</f>
        <v>0</v>
      </c>
      <c r="BK59">
        <f>SUMIF('Как есть'!$A$73:$A$80,Доп.расчеты!$A59,'Как есть'!BL$73:BL$80)</f>
        <v>0</v>
      </c>
      <c r="BL59">
        <f>SUMIF('Как есть'!$A$73:$A$80,Доп.расчеты!$A59,'Как есть'!BM$73:BM$80)</f>
        <v>0</v>
      </c>
      <c r="BM59">
        <f>SUMIF('Как есть'!$A$73:$A$80,Доп.расчеты!$A59,'Как есть'!BN$73:BN$80)</f>
        <v>0</v>
      </c>
      <c r="BN59">
        <f>SUMIF('Как есть'!$A$73:$A$80,Доп.расчеты!$A59,'Как есть'!BO$73:BO$80)</f>
        <v>0</v>
      </c>
      <c r="BO59">
        <f>SUMIF('Как есть'!$A$73:$A$80,Доп.расчеты!$A59,'Как есть'!BP$73:BP$80)</f>
        <v>0</v>
      </c>
      <c r="BP59">
        <f>SUMIF('Как есть'!$A$73:$A$80,Доп.расчеты!$A59,'Как есть'!BQ$73:BQ$80)</f>
        <v>0</v>
      </c>
      <c r="BQ59">
        <f>SUMIF('Как есть'!$A$73:$A$80,Доп.расчеты!$A59,'Как есть'!BR$73:BR$80)</f>
        <v>0</v>
      </c>
      <c r="BR59">
        <f>SUMIF('Как есть'!$A$73:$A$80,Доп.расчеты!$A59,'Как есть'!BS$73:BS$80)</f>
        <v>0</v>
      </c>
      <c r="BS59">
        <f>SUMIF('Как есть'!$A$73:$A$80,Доп.расчеты!$A59,'Как есть'!BT$73:BT$80)</f>
        <v>0</v>
      </c>
      <c r="BT59">
        <f>SUMIF('Как есть'!$A$73:$A$80,Доп.расчеты!$A59,'Как есть'!BU$73:BU$80)</f>
        <v>0</v>
      </c>
      <c r="BU59">
        <f>SUMIF('Как есть'!$A$73:$A$80,Доп.расчеты!$A59,'Как есть'!BV$73:BV$80)</f>
        <v>0</v>
      </c>
      <c r="BV59">
        <f>SUMIF('Как есть'!$A$73:$A$80,Доп.расчеты!$A59,'Как есть'!BW$73:BW$80)</f>
        <v>0</v>
      </c>
      <c r="BW59">
        <f>SUMIF('Как есть'!$A$73:$A$80,Доп.расчеты!$A59,'Как есть'!BX$73:BX$80)</f>
        <v>0</v>
      </c>
      <c r="BX59">
        <f>SUMIF('Как есть'!$A$73:$A$80,Доп.расчеты!$A59,'Как есть'!BY$73:BY$80)</f>
        <v>0</v>
      </c>
      <c r="BY59">
        <f>SUMIF('Как есть'!$A$73:$A$80,Доп.расчеты!$A59,'Как есть'!BZ$73:BZ$80)</f>
        <v>0</v>
      </c>
      <c r="BZ59">
        <f>SUMIF('Как есть'!$A$73:$A$80,Доп.расчеты!$A59,'Как есть'!CA$73:CA$80)</f>
        <v>0</v>
      </c>
      <c r="CA59">
        <f>SUMIF('Как есть'!$A$73:$A$80,Доп.расчеты!$A59,'Как есть'!CB$73:CB$80)</f>
        <v>0</v>
      </c>
      <c r="CB59">
        <f>SUMIF('Как есть'!$A$73:$A$80,Доп.расчеты!$A59,'Как есть'!CC$73:CC$80)</f>
        <v>0</v>
      </c>
      <c r="CC59">
        <f>SUMIF('Как есть'!$A$73:$A$80,Доп.расчеты!$A59,'Как есть'!CD$73:CD$80)</f>
        <v>0</v>
      </c>
      <c r="CD59">
        <f>SUMIF('Как есть'!$A$73:$A$80,Доп.расчеты!$A59,'Как есть'!CE$73:CE$80)</f>
        <v>0</v>
      </c>
      <c r="CE59">
        <f>SUMIF('Как есть'!$A$73:$A$80,Доп.расчеты!$A59,'Как есть'!CF$73:CF$80)</f>
        <v>0</v>
      </c>
      <c r="CF59">
        <f>SUMIF('Как есть'!$A$73:$A$80,Доп.расчеты!$A59,'Как есть'!CG$73:CG$80)</f>
        <v>0</v>
      </c>
      <c r="CG59">
        <f>SUMIF('Как есть'!$A$73:$A$80,Доп.расчеты!$A59,'Как есть'!CH$73:CH$80)</f>
        <v>0</v>
      </c>
      <c r="CH59">
        <f>SUMIF('Как есть'!$A$73:$A$80,Доп.расчеты!$A59,'Как есть'!CI$73:CI$80)</f>
        <v>0</v>
      </c>
      <c r="CI59">
        <f>SUMIF('Как есть'!$A$73:$A$80,Доп.расчеты!$A59,'Как есть'!CJ$73:CJ$80)</f>
        <v>0</v>
      </c>
      <c r="CJ59">
        <f>SUMIF('Как есть'!$A$73:$A$80,Доп.расчеты!$A59,'Как есть'!CK$73:CK$80)</f>
        <v>0</v>
      </c>
      <c r="CK59">
        <f>SUMIF('Как есть'!$A$73:$A$80,Доп.расчеты!$A59,'Как есть'!CL$73:CL$80)</f>
        <v>0</v>
      </c>
      <c r="CL59">
        <f>SUMIF('Как есть'!$A$73:$A$80,Доп.расчеты!$A59,'Как есть'!CM$73:CM$80)</f>
        <v>0</v>
      </c>
      <c r="CM59">
        <f>SUMIF('Как есть'!$A$73:$A$80,Доп.расчеты!$A59,'Как есть'!CN$73:CN$80)</f>
        <v>0</v>
      </c>
      <c r="CN59">
        <f>SUMIF('Как есть'!$A$73:$A$80,Доп.расчеты!$A59,'Как есть'!CO$73:CO$80)</f>
        <v>0</v>
      </c>
      <c r="CO59">
        <f>SUMIF('Как есть'!$A$73:$A$80,Доп.расчеты!$A59,'Как есть'!CP$73:CP$80)</f>
        <v>0</v>
      </c>
      <c r="CP59">
        <f>SUMIF('Как есть'!$A$73:$A$80,Доп.расчеты!$A59,'Как есть'!CQ$73:CQ$80)</f>
        <v>0</v>
      </c>
      <c r="CQ59">
        <f>SUMIF('Как есть'!$A$73:$A$80,Доп.расчеты!$A59,'Как есть'!CR$73:CR$80)</f>
        <v>0</v>
      </c>
      <c r="CR59">
        <f>SUMIF('Как есть'!$A$73:$A$80,Доп.расчеты!$A59,'Как есть'!CS$73:CS$80)</f>
        <v>0</v>
      </c>
      <c r="CS59">
        <f>SUMIF('Как есть'!$A$73:$A$80,Доп.расчеты!$A59,'Как есть'!CT$73:CT$80)</f>
        <v>0</v>
      </c>
      <c r="CT59">
        <f>SUMIF('Как есть'!$A$73:$A$80,Доп.расчеты!$A59,'Как есть'!CU$73:CU$80)</f>
        <v>0</v>
      </c>
      <c r="CU59">
        <f>SUMIF('Как есть'!$A$73:$A$80,Доп.расчеты!$A59,'Как есть'!CV$73:CV$80)</f>
        <v>0</v>
      </c>
      <c r="CV59">
        <f>SUMIF('Как есть'!$A$73:$A$80,Доп.расчеты!$A59,'Как есть'!CW$73:CW$80)</f>
        <v>0</v>
      </c>
      <c r="CW59">
        <f>SUMIF('Как есть'!$A$73:$A$80,Доп.расчеты!$A59,'Как есть'!CX$73:CX$80)</f>
        <v>0</v>
      </c>
      <c r="CX59">
        <f>SUMIF('Как есть'!$A$73:$A$80,Доп.расчеты!$A59,'Как есть'!CY$73:CY$80)</f>
        <v>0</v>
      </c>
      <c r="CY59">
        <f>SUMIF('Как есть'!$A$73:$A$80,Доп.расчеты!$A59,'Как есть'!CZ$73:CZ$80)</f>
        <v>0</v>
      </c>
      <c r="CZ59">
        <f>SUMIF('Как есть'!$A$73:$A$80,Доп.расчеты!$A59,'Как есть'!DA$73:DA$80)</f>
        <v>0</v>
      </c>
      <c r="DA59">
        <f>SUMIF('Как есть'!$A$73:$A$80,Доп.расчеты!$A59,'Как есть'!DB$73:DB$80)</f>
        <v>0</v>
      </c>
      <c r="DB59">
        <f>SUMIF('Как есть'!$A$73:$A$80,Доп.расчеты!$A59,'Как есть'!DC$73:DC$80)</f>
        <v>0</v>
      </c>
      <c r="DC59">
        <f>SUMIF('Как есть'!$A$73:$A$80,Доп.расчеты!$A59,'Как есть'!DD$73:DD$80)</f>
        <v>0</v>
      </c>
      <c r="DD59">
        <f>SUMIF('Как есть'!$A$73:$A$80,Доп.расчеты!$A59,'Как есть'!DE$73:DE$80)</f>
        <v>0</v>
      </c>
      <c r="DE59">
        <f>SUMIF('Как есть'!$A$73:$A$80,Доп.расчеты!$A59,'Как есть'!DF$73:DF$80)</f>
        <v>0</v>
      </c>
      <c r="DF59">
        <f>SUMIF('Как есть'!$A$73:$A$80,Доп.расчеты!$A59,'Как есть'!DG$73:DG$80)</f>
        <v>0</v>
      </c>
      <c r="DG59">
        <f>SUMIF('Как есть'!$A$73:$A$80,Доп.расчеты!$A59,'Как есть'!DH$73:DH$80)</f>
        <v>0</v>
      </c>
      <c r="DH59">
        <f>SUMIF('Как есть'!$A$73:$A$80,Доп.расчеты!$A59,'Как есть'!DI$73:DI$80)</f>
        <v>0</v>
      </c>
      <c r="DI59">
        <f>SUMIF('Как есть'!$A$73:$A$80,Доп.расчеты!$A59,'Как есть'!DJ$73:DJ$80)</f>
        <v>0</v>
      </c>
      <c r="DJ59">
        <f>SUMIF('Как есть'!$A$73:$A$80,Доп.расчеты!$A59,'Как есть'!DK$73:DK$80)</f>
        <v>0</v>
      </c>
      <c r="DK59">
        <f>SUMIF('Как есть'!$A$73:$A$80,Доп.расчеты!$A59,'Как есть'!DL$73:DL$80)</f>
        <v>0</v>
      </c>
      <c r="DL59">
        <f>SUMIF('Как есть'!$A$73:$A$80,Доп.расчеты!$A59,'Как есть'!DM$73:DM$80)</f>
        <v>0</v>
      </c>
      <c r="DM59">
        <f>SUMIF('Как есть'!$A$73:$A$80,Доп.расчеты!$A59,'Как есть'!DN$73:DN$80)</f>
        <v>0</v>
      </c>
      <c r="DN59">
        <f>SUMIF('Как есть'!$A$73:$A$80,Доп.расчеты!$A59,'Как есть'!DO$73:DO$80)</f>
        <v>0</v>
      </c>
      <c r="DO59">
        <f>SUMIF('Как есть'!$A$73:$A$80,Доп.расчеты!$A59,'Как есть'!DP$73:DP$80)</f>
        <v>0</v>
      </c>
      <c r="DP59">
        <f>SUMIF('Как есть'!$A$73:$A$80,Доп.расчеты!$A59,'Как есть'!DQ$73:DQ$80)</f>
        <v>0</v>
      </c>
      <c r="DQ59">
        <f>SUMIF('Как есть'!$A$73:$A$80,Доп.расчеты!$A59,'Как есть'!DR$73:DR$80)</f>
        <v>0</v>
      </c>
      <c r="DR59">
        <f>SUMIF('Как есть'!$A$73:$A$80,Доп.расчеты!$A59,'Как есть'!DS$73:DS$80)</f>
        <v>0</v>
      </c>
      <c r="DS59">
        <f>SUMIF('Как есть'!$A$73:$A$80,Доп.расчеты!$A59,'Как есть'!DT$73:DT$80)</f>
        <v>0</v>
      </c>
      <c r="DT59">
        <f>SUMIF('Как есть'!$A$73:$A$80,Доп.расчеты!$A59,'Как есть'!DU$73:DU$80)</f>
        <v>0</v>
      </c>
      <c r="DU59">
        <f>SUMIF('Как есть'!$A$73:$A$80,Доп.расчеты!$A59,'Как есть'!DV$73:DV$80)</f>
        <v>0</v>
      </c>
      <c r="DV59">
        <f>SUMIF('Как есть'!$A$73:$A$80,Доп.расчеты!$A59,'Как есть'!DW$73:DW$80)</f>
        <v>0</v>
      </c>
      <c r="DW59">
        <f>SUMIF('Как есть'!$A$73:$A$80,Доп.расчеты!$A59,'Как есть'!DX$73:DX$80)</f>
        <v>0</v>
      </c>
      <c r="DX59">
        <f>SUMIF('Как есть'!$A$73:$A$80,Доп.расчеты!$A59,'Как есть'!DY$73:DY$80)</f>
        <v>0</v>
      </c>
      <c r="DY59">
        <f>SUMIF('Как есть'!$A$73:$A$80,Доп.расчеты!$A59,'Как есть'!DZ$73:DZ$80)</f>
        <v>0</v>
      </c>
      <c r="DZ59">
        <f>SUMIF('Как есть'!$A$73:$A$80,Доп.расчеты!$A59,'Как есть'!EA$73:EA$80)</f>
        <v>0</v>
      </c>
      <c r="EA59">
        <f>SUMIF('Как есть'!$A$73:$A$80,Доп.расчеты!$A59,'Как есть'!EB$73:EB$80)</f>
        <v>0</v>
      </c>
      <c r="EB59">
        <f>SUMIF('Как есть'!$A$73:$A$80,Доп.расчеты!$A59,'Как есть'!EC$73:EC$80)</f>
        <v>0</v>
      </c>
      <c r="EC59">
        <f>SUMIF('Как есть'!$A$73:$A$80,Доп.расчеты!$A59,'Как есть'!ED$73:ED$80)</f>
        <v>0</v>
      </c>
      <c r="ED59">
        <f>SUMIF('Как есть'!$A$73:$A$80,Доп.расчеты!$A59,'Как есть'!EE$73:EE$80)</f>
        <v>0</v>
      </c>
      <c r="EE59">
        <f>SUMIF('Как есть'!$A$73:$A$80,Доп.расчеты!$A59,'Как есть'!EF$73:EF$80)</f>
        <v>0</v>
      </c>
      <c r="EF59">
        <f>SUMIF('Как есть'!$A$73:$A$80,Доп.расчеты!$A59,'Как есть'!EG$73:EG$80)</f>
        <v>0</v>
      </c>
      <c r="EG59">
        <f>SUMIF('Как есть'!$A$73:$A$80,Доп.расчеты!$A59,'Как есть'!EH$73:EH$80)</f>
        <v>0</v>
      </c>
      <c r="EH59">
        <f>SUMIF('Как есть'!$A$73:$A$80,Доп.расчеты!$A59,'Как есть'!EI$73:EI$80)</f>
        <v>0</v>
      </c>
      <c r="EI59">
        <f>SUMIF('Как есть'!$A$73:$A$80,Доп.расчеты!$A59,'Как есть'!EJ$73:EJ$80)</f>
        <v>0</v>
      </c>
      <c r="EJ59">
        <f>SUMIF('Как есть'!$A$73:$A$80,Доп.расчеты!$A59,'Как есть'!EK$73:EK$80)</f>
        <v>0</v>
      </c>
      <c r="EK59">
        <f>SUMIF('Как есть'!$A$73:$A$80,Доп.расчеты!$A59,'Как есть'!EL$73:EL$80)</f>
        <v>0</v>
      </c>
      <c r="EL59">
        <f>SUMIF('Как есть'!$A$73:$A$80,Доп.расчеты!$A59,'Как есть'!EM$73:EM$80)</f>
        <v>0</v>
      </c>
      <c r="EM59">
        <f>SUMIF('Как есть'!$A$73:$A$80,Доп.расчеты!$A59,'Как есть'!EN$73:EN$80)</f>
        <v>0</v>
      </c>
      <c r="EN59">
        <f>SUMIF('Как есть'!$A$73:$A$80,Доп.расчеты!$A59,'Как есть'!EO$73:EO$80)</f>
        <v>0</v>
      </c>
      <c r="EO59">
        <f>SUMIF('Как есть'!$A$73:$A$80,Доп.расчеты!$A59,'Как есть'!EP$73:EP$80)</f>
        <v>0</v>
      </c>
      <c r="EP59">
        <f>SUMIF('Как есть'!$A$73:$A$80,Доп.расчеты!$A59,'Как есть'!EQ$73:EQ$80)</f>
        <v>0</v>
      </c>
      <c r="EQ59">
        <f>SUMIF('Как есть'!$A$73:$A$80,Доп.расчеты!$A59,'Как есть'!ER$73:ER$80)</f>
        <v>0</v>
      </c>
      <c r="ER59">
        <f>SUMIF('Как есть'!$A$73:$A$80,Доп.расчеты!$A59,'Как есть'!ES$73:ES$80)</f>
        <v>0</v>
      </c>
      <c r="ES59">
        <f>SUMIF('Как есть'!$A$73:$A$80,Доп.расчеты!$A59,'Как есть'!ET$73:ET$80)</f>
        <v>0</v>
      </c>
      <c r="ET59">
        <f>SUMIF('Как есть'!$A$73:$A$80,Доп.расчеты!$A59,'Как есть'!EU$73:EU$80)</f>
        <v>0</v>
      </c>
      <c r="EU59">
        <f>SUMIF('Как есть'!$A$73:$A$80,Доп.расчеты!$A59,'Как есть'!EV$73:EV$80)</f>
        <v>0</v>
      </c>
      <c r="EV59">
        <f>SUMIF('Как есть'!$A$73:$A$80,Доп.расчеты!$A59,'Как есть'!EW$73:EW$80)</f>
        <v>0</v>
      </c>
      <c r="EW59">
        <f>SUMIF('Как есть'!$A$73:$A$80,Доп.расчеты!$A59,'Как есть'!EX$73:EX$80)</f>
        <v>0</v>
      </c>
      <c r="EX59">
        <f>SUMIF('Как есть'!$A$73:$A$80,Доп.расчеты!$A59,'Как есть'!EY$73:EY$80)</f>
        <v>0</v>
      </c>
      <c r="EY59">
        <f>SUMIF('Как есть'!$A$73:$A$80,Доп.расчеты!$A59,'Как есть'!EZ$73:EZ$80)</f>
        <v>0</v>
      </c>
      <c r="EZ59">
        <f>SUMIF('Как есть'!$A$73:$A$80,Доп.расчеты!$A59,'Как есть'!FA$73:FA$80)</f>
        <v>0</v>
      </c>
      <c r="FA59">
        <f>SUMIF('Как есть'!$A$73:$A$80,Доп.расчеты!$A59,'Как есть'!FB$73:FB$80)</f>
        <v>0</v>
      </c>
      <c r="FB59">
        <f>SUMIF('Как есть'!$A$73:$A$80,Доп.расчеты!$A59,'Как есть'!FC$73:FC$80)</f>
        <v>0</v>
      </c>
      <c r="FC59">
        <f>SUMIF('Как есть'!$A$73:$A$80,Доп.расчеты!$A59,'Как есть'!FD$73:FD$80)</f>
        <v>0</v>
      </c>
      <c r="FD59">
        <f>SUMIF('Как есть'!$A$73:$A$80,Доп.расчеты!$A59,'Как есть'!FE$73:FE$80)</f>
        <v>0</v>
      </c>
      <c r="FE59">
        <f>SUMIF('Как есть'!$A$73:$A$80,Доп.расчеты!$A59,'Как есть'!FF$73:FF$80)</f>
        <v>0</v>
      </c>
      <c r="FF59">
        <f>SUMIF('Как есть'!$A$73:$A$80,Доп.расчеты!$A59,'Как есть'!FG$73:FG$80)</f>
        <v>0</v>
      </c>
      <c r="FG59">
        <f>SUMIF('Как есть'!$A$73:$A$80,Доп.расчеты!$A59,'Как есть'!FH$73:FH$80)</f>
        <v>0</v>
      </c>
      <c r="FH59">
        <f>SUMIF('Как есть'!$A$73:$A$80,Доп.расчеты!$A59,'Как есть'!FI$73:FI$80)</f>
        <v>0</v>
      </c>
      <c r="FI59">
        <f>SUMIF('Как есть'!$A$73:$A$80,Доп.расчеты!$A59,'Как есть'!FJ$73:FJ$80)</f>
        <v>0</v>
      </c>
      <c r="FJ59">
        <f>SUMIF('Как есть'!$A$73:$A$80,Доп.расчеты!$A59,'Как есть'!FK$73:FK$80)</f>
        <v>0</v>
      </c>
      <c r="FK59">
        <f>SUMIF('Как есть'!$A$73:$A$80,Доп.расчеты!$A59,'Как есть'!FL$73:FL$80)</f>
        <v>0</v>
      </c>
      <c r="FL59">
        <f>SUMIF('Как есть'!$A$73:$A$80,Доп.расчеты!$A59,'Как есть'!FM$73:FM$80)</f>
        <v>0</v>
      </c>
      <c r="FM59">
        <f>SUMIF('Как есть'!$A$73:$A$80,Доп.расчеты!$A59,'Как есть'!FN$73:FN$80)</f>
        <v>0</v>
      </c>
      <c r="FN59">
        <f>SUMIF('Как есть'!$A$73:$A$80,Доп.расчеты!$A59,'Как есть'!FO$73:FO$80)</f>
        <v>0</v>
      </c>
      <c r="FO59">
        <f>SUMIF('Как есть'!$A$73:$A$80,Доп.расчеты!$A59,'Как есть'!FP$73:FP$80)</f>
        <v>0</v>
      </c>
      <c r="FP59">
        <f>SUMIF('Как есть'!$A$73:$A$80,Доп.расчеты!$A59,'Как есть'!FQ$73:FQ$80)</f>
        <v>0</v>
      </c>
      <c r="FQ59">
        <f>SUMIF('Как есть'!$A$73:$A$80,Доп.расчеты!$A59,'Как есть'!FR$73:FR$80)</f>
        <v>0</v>
      </c>
      <c r="FR59">
        <f>SUMIF('Как есть'!$A$73:$A$80,Доп.расчеты!$A59,'Как есть'!FS$73:FS$80)</f>
        <v>0</v>
      </c>
      <c r="FS59">
        <f>SUMIF('Как есть'!$A$73:$A$80,Доп.расчеты!$A59,'Как есть'!FT$73:FT$80)</f>
        <v>0</v>
      </c>
      <c r="FT59">
        <f>SUMIF('Как есть'!$A$73:$A$80,Доп.расчеты!$A59,'Как есть'!FU$73:FU$80)</f>
        <v>0</v>
      </c>
      <c r="FU59">
        <f>SUMIF('Как есть'!$A$73:$A$80,Доп.расчеты!$A59,'Как есть'!FV$73:FV$80)</f>
        <v>0</v>
      </c>
      <c r="FV59">
        <f>SUMIF('Как есть'!$A$73:$A$80,Доп.расчеты!$A59,'Как есть'!FW$73:FW$80)</f>
        <v>0</v>
      </c>
      <c r="FW59">
        <f>SUMIF('Как есть'!$A$73:$A$80,Доп.расчеты!$A59,'Как есть'!FX$73:FX$80)</f>
        <v>0</v>
      </c>
      <c r="FX59">
        <f>SUMIF('Как есть'!$A$73:$A$80,Доп.расчеты!$A59,'Как есть'!FY$73:FY$80)</f>
        <v>0</v>
      </c>
      <c r="FY59">
        <f>SUMIF('Как есть'!$A$73:$A$80,Доп.расчеты!$A59,'Как есть'!FZ$73:FZ$80)</f>
        <v>0</v>
      </c>
      <c r="FZ59">
        <f>SUMIF('Как есть'!$A$73:$A$80,Доп.расчеты!$A59,'Как есть'!GA$73:GA$80)</f>
        <v>0</v>
      </c>
      <c r="GA59">
        <f>SUMIF('Как есть'!$A$73:$A$80,Доп.расчеты!$A59,'Как есть'!GB$73:GB$80)</f>
        <v>0</v>
      </c>
      <c r="GB59">
        <f>SUMIF('Как есть'!$A$73:$A$80,Доп.расчеты!$A59,'Как есть'!GC$73:GC$80)</f>
        <v>0</v>
      </c>
      <c r="GC59">
        <f>SUMIF('Как есть'!$A$73:$A$80,Доп.расчеты!$A59,'Как есть'!GD$73:GD$80)</f>
        <v>0</v>
      </c>
      <c r="GD59">
        <f>SUMIF('Как есть'!$A$73:$A$80,Доп.расчеты!$A59,'Как есть'!GE$73:GE$80)</f>
        <v>0</v>
      </c>
      <c r="GE59">
        <f>SUMIF('Как есть'!$A$73:$A$80,Доп.расчеты!$A59,'Как есть'!GF$73:GF$80)</f>
        <v>0</v>
      </c>
      <c r="GF59">
        <f>SUMIF('Как есть'!$A$73:$A$80,Доп.расчеты!$A59,'Как есть'!GG$73:GG$80)</f>
        <v>0</v>
      </c>
      <c r="GG59">
        <f>SUMIF('Как есть'!$A$73:$A$80,Доп.расчеты!$A59,'Как есть'!GH$73:GH$80)</f>
        <v>0</v>
      </c>
      <c r="GH59">
        <f>SUMIF('Как есть'!$A$73:$A$80,Доп.расчеты!$A59,'Как есть'!GI$73:GI$80)</f>
        <v>0</v>
      </c>
      <c r="GI59">
        <f>SUMIF('Как есть'!$A$73:$A$80,Доп.расчеты!$A59,'Как есть'!GJ$73:GJ$80)</f>
        <v>0</v>
      </c>
      <c r="GJ59">
        <f>SUMIF('Как есть'!$A$73:$A$80,Доп.расчеты!$A59,'Как есть'!GK$73:GK$80)</f>
        <v>0</v>
      </c>
      <c r="GK59">
        <f>SUMIF('Как есть'!$A$73:$A$80,Доп.расчеты!$A59,'Как есть'!GL$73:GL$80)</f>
        <v>0</v>
      </c>
      <c r="GL59">
        <f>SUMIF('Как есть'!$A$73:$A$80,Доп.расчеты!$A59,'Как есть'!GM$73:GM$80)</f>
        <v>0</v>
      </c>
      <c r="GM59">
        <f>SUMIF('Как есть'!$A$73:$A$80,Доп.расчеты!$A59,'Как есть'!GN$73:GN$80)</f>
        <v>0</v>
      </c>
      <c r="GN59">
        <f>SUMIF('Как есть'!$A$73:$A$80,Доп.расчеты!$A59,'Как есть'!GO$73:GO$80)</f>
        <v>0</v>
      </c>
      <c r="GO59">
        <f>SUMIF('Как есть'!$A$73:$A$80,Доп.расчеты!$A59,'Как есть'!GP$73:GP$80)</f>
        <v>0</v>
      </c>
      <c r="GP59">
        <f>SUMIF('Как есть'!$A$73:$A$80,Доп.расчеты!$A59,'Как есть'!GQ$73:GQ$80)</f>
        <v>0</v>
      </c>
      <c r="GQ59">
        <f>SUMIF('Как есть'!$A$73:$A$80,Доп.расчеты!$A59,'Как есть'!GR$73:GR$80)</f>
        <v>0</v>
      </c>
      <c r="GR59">
        <f>SUMIF('Как есть'!$A$73:$A$80,Доп.расчеты!$A59,'Как есть'!GS$73:GS$80)</f>
        <v>0</v>
      </c>
      <c r="GS59">
        <f>SUMIF('Как есть'!$A$73:$A$80,Доп.расчеты!$A59,'Как есть'!GT$73:GT$80)</f>
        <v>0</v>
      </c>
      <c r="GT59">
        <f>SUMIF('Как есть'!$A$73:$A$80,Доп.расчеты!$A59,'Как есть'!GU$73:GU$80)</f>
        <v>0</v>
      </c>
    </row>
    <row r="60" spans="1:202">
      <c r="A60" s="237" t="s">
        <v>97</v>
      </c>
      <c r="B60">
        <f>SUMIF('Как есть'!$A$73:$A$80,Доп.расчеты!$A60,'Как есть'!C$73:C$80)</f>
        <v>0</v>
      </c>
      <c r="C60">
        <f>SUMIF('Как есть'!$A$73:$A$80,Доп.расчеты!$A60,'Как есть'!D$73:D$80)</f>
        <v>0</v>
      </c>
      <c r="D60">
        <f>SUMIF('Как есть'!$A$73:$A$80,Доп.расчеты!$A60,'Как есть'!E$73:E$80)</f>
        <v>0</v>
      </c>
      <c r="E60">
        <f>SUMIF('Как есть'!$A$73:$A$80,Доп.расчеты!$A60,'Как есть'!F$73:F$80)</f>
        <v>0</v>
      </c>
      <c r="F60">
        <f>SUMIF('Как есть'!$A$73:$A$80,Доп.расчеты!$A60,'Как есть'!G$73:G$80)</f>
        <v>0</v>
      </c>
      <c r="G60">
        <f>SUMIF('Как есть'!$A$73:$A$80,Доп.расчеты!$A60,'Как есть'!H$73:H$80)</f>
        <v>0</v>
      </c>
      <c r="H60">
        <f>SUMIF('Как есть'!$A$73:$A$80,Доп.расчеты!$A60,'Как есть'!I$73:I$80)</f>
        <v>0</v>
      </c>
      <c r="I60">
        <f>SUMIF('Как есть'!$A$73:$A$80,Доп.расчеты!$A60,'Как есть'!J$73:J$80)</f>
        <v>0</v>
      </c>
      <c r="J60">
        <f>SUMIF('Как есть'!$A$73:$A$80,Доп.расчеты!$A60,'Как есть'!K$73:K$80)</f>
        <v>0</v>
      </c>
      <c r="K60">
        <f>SUMIF('Как есть'!$A$73:$A$80,Доп.расчеты!$A60,'Как есть'!L$73:L$80)</f>
        <v>0</v>
      </c>
      <c r="L60">
        <f>SUMIF('Как есть'!$A$73:$A$80,Доп.расчеты!$A60,'Как есть'!M$73:M$80)</f>
        <v>0</v>
      </c>
      <c r="M60">
        <f>SUMIF('Как есть'!$A$73:$A$80,Доп.расчеты!$A60,'Как есть'!N$73:N$80)</f>
        <v>0</v>
      </c>
      <c r="N60">
        <f>SUMIF('Как есть'!$A$73:$A$80,Доп.расчеты!$A60,'Как есть'!O$73:O$80)</f>
        <v>0</v>
      </c>
      <c r="O60">
        <f>SUMIF('Как есть'!$A$73:$A$80,Доп.расчеты!$A60,'Как есть'!P$73:P$80)</f>
        <v>0</v>
      </c>
      <c r="P60">
        <f>SUMIF('Как есть'!$A$73:$A$80,Доп.расчеты!$A60,'Как есть'!Q$73:Q$80)</f>
        <v>0</v>
      </c>
      <c r="Q60">
        <f>SUMIF('Как есть'!$A$73:$A$80,Доп.расчеты!$A60,'Как есть'!R$73:R$80)</f>
        <v>0</v>
      </c>
      <c r="R60">
        <f>SUMIF('Как есть'!$A$73:$A$80,Доп.расчеты!$A60,'Как есть'!S$73:S$80)</f>
        <v>0</v>
      </c>
      <c r="S60">
        <f>SUMIF('Как есть'!$A$73:$A$80,Доп.расчеты!$A60,'Как есть'!T$73:T$80)</f>
        <v>0</v>
      </c>
      <c r="T60">
        <f>SUMIF('Как есть'!$A$73:$A$80,Доп.расчеты!$A60,'Как есть'!U$73:U$80)</f>
        <v>0</v>
      </c>
      <c r="U60">
        <f>SUMIF('Как есть'!$A$73:$A$80,Доп.расчеты!$A60,'Как есть'!V$73:V$80)</f>
        <v>0</v>
      </c>
      <c r="V60">
        <f>SUMIF('Как есть'!$A$73:$A$80,Доп.расчеты!$A60,'Как есть'!W$73:W$80)</f>
        <v>0</v>
      </c>
      <c r="W60">
        <f>SUMIF('Как есть'!$A$73:$A$80,Доп.расчеты!$A60,'Как есть'!X$73:X$80)</f>
        <v>0</v>
      </c>
      <c r="X60">
        <f>SUMIF('Как есть'!$A$73:$A$80,Доп.расчеты!$A60,'Как есть'!Y$73:Y$80)</f>
        <v>0</v>
      </c>
      <c r="Y60">
        <f>SUMIF('Как есть'!$A$73:$A$80,Доп.расчеты!$A60,'Как есть'!Z$73:Z$80)</f>
        <v>0</v>
      </c>
      <c r="Z60">
        <f>SUMIF('Как есть'!$A$73:$A$80,Доп.расчеты!$A60,'Как есть'!AA$73:AA$80)</f>
        <v>0</v>
      </c>
      <c r="AA60">
        <f>SUMIF('Как есть'!$A$73:$A$80,Доп.расчеты!$A60,'Как есть'!AB$73:AB$80)</f>
        <v>0</v>
      </c>
      <c r="AB60">
        <f>SUMIF('Как есть'!$A$73:$A$80,Доп.расчеты!$A60,'Как есть'!AC$73:AC$80)</f>
        <v>0</v>
      </c>
      <c r="AC60">
        <f>SUMIF('Как есть'!$A$73:$A$80,Доп.расчеты!$A60,'Как есть'!AD$73:AD$80)</f>
        <v>0</v>
      </c>
      <c r="AD60">
        <f>SUMIF('Как есть'!$A$73:$A$80,Доп.расчеты!$A60,'Как есть'!AE$73:AE$80)</f>
        <v>0</v>
      </c>
      <c r="AE60">
        <f>SUMIF('Как есть'!$A$73:$A$80,Доп.расчеты!$A60,'Как есть'!AF$73:AF$80)</f>
        <v>0</v>
      </c>
      <c r="AF60">
        <f>SUMIF('Как есть'!$A$73:$A$80,Доп.расчеты!$A60,'Как есть'!AG$73:AG$80)</f>
        <v>0</v>
      </c>
      <c r="AG60">
        <f>SUMIF('Как есть'!$A$73:$A$80,Доп.расчеты!$A60,'Как есть'!AH$73:AH$80)</f>
        <v>0</v>
      </c>
      <c r="AH60">
        <f>SUMIF('Как есть'!$A$73:$A$80,Доп.расчеты!$A60,'Как есть'!AI$73:AI$80)</f>
        <v>0</v>
      </c>
      <c r="AI60">
        <f>SUMIF('Как есть'!$A$73:$A$80,Доп.расчеты!$A60,'Как есть'!AJ$73:AJ$80)</f>
        <v>0</v>
      </c>
      <c r="AJ60">
        <f>SUMIF('Как есть'!$A$73:$A$80,Доп.расчеты!$A60,'Как есть'!AK$73:AK$80)</f>
        <v>0</v>
      </c>
      <c r="AK60">
        <f>SUMIF('Как есть'!$A$73:$A$80,Доп.расчеты!$A60,'Как есть'!AL$73:AL$80)</f>
        <v>0</v>
      </c>
      <c r="AL60">
        <f>SUMIF('Как есть'!$A$73:$A$80,Доп.расчеты!$A60,'Как есть'!AM$73:AM$80)</f>
        <v>0</v>
      </c>
      <c r="AM60">
        <f>SUMIF('Как есть'!$A$73:$A$80,Доп.расчеты!$A60,'Как есть'!AN$73:AN$80)</f>
        <v>0</v>
      </c>
      <c r="AN60">
        <f>SUMIF('Как есть'!$A$73:$A$80,Доп.расчеты!$A60,'Как есть'!AO$73:AO$80)</f>
        <v>0</v>
      </c>
      <c r="AO60">
        <f>SUMIF('Как есть'!$A$73:$A$80,Доп.расчеты!$A60,'Как есть'!AP$73:AP$80)</f>
        <v>0</v>
      </c>
      <c r="AP60">
        <f>SUMIF('Как есть'!$A$73:$A$80,Доп.расчеты!$A60,'Как есть'!AQ$73:AQ$80)</f>
        <v>0</v>
      </c>
      <c r="AQ60">
        <f>SUMIF('Как есть'!$A$73:$A$80,Доп.расчеты!$A60,'Как есть'!AR$73:AR$80)</f>
        <v>0</v>
      </c>
      <c r="AR60">
        <f>SUMIF('Как есть'!$A$73:$A$80,Доп.расчеты!$A60,'Как есть'!AS$73:AS$80)</f>
        <v>0</v>
      </c>
      <c r="AS60">
        <f>SUMIF('Как есть'!$A$73:$A$80,Доп.расчеты!$A60,'Как есть'!AT$73:AT$80)</f>
        <v>0</v>
      </c>
      <c r="AT60">
        <f>SUMIF('Как есть'!$A$73:$A$80,Доп.расчеты!$A60,'Как есть'!AU$73:AU$80)</f>
        <v>0</v>
      </c>
      <c r="AU60">
        <f>SUMIF('Как есть'!$A$73:$A$80,Доп.расчеты!$A60,'Как есть'!AV$73:AV$80)</f>
        <v>0</v>
      </c>
      <c r="AV60">
        <f>SUMIF('Как есть'!$A$73:$A$80,Доп.расчеты!$A60,'Как есть'!AW$73:AW$80)</f>
        <v>0</v>
      </c>
      <c r="AW60">
        <f>SUMIF('Как есть'!$A$73:$A$80,Доп.расчеты!$A60,'Как есть'!AX$73:AX$80)</f>
        <v>0</v>
      </c>
      <c r="AX60">
        <f>SUMIF('Как есть'!$A$73:$A$80,Доп.расчеты!$A60,'Как есть'!AY$73:AY$80)</f>
        <v>0</v>
      </c>
      <c r="AY60">
        <f>SUMIF('Как есть'!$A$73:$A$80,Доп.расчеты!$A60,'Как есть'!AZ$73:AZ$80)</f>
        <v>0</v>
      </c>
      <c r="AZ60">
        <f>SUMIF('Как есть'!$A$73:$A$80,Доп.расчеты!$A60,'Как есть'!BA$73:BA$80)</f>
        <v>0</v>
      </c>
      <c r="BA60">
        <f>SUMIF('Как есть'!$A$73:$A$80,Доп.расчеты!$A60,'Как есть'!BB$73:BB$80)</f>
        <v>0</v>
      </c>
      <c r="BB60">
        <f>SUMIF('Как есть'!$A$73:$A$80,Доп.расчеты!$A60,'Как есть'!BC$73:BC$80)</f>
        <v>0</v>
      </c>
      <c r="BC60">
        <f>SUMIF('Как есть'!$A$73:$A$80,Доп.расчеты!$A60,'Как есть'!BD$73:BD$80)</f>
        <v>0</v>
      </c>
      <c r="BD60">
        <f>SUMIF('Как есть'!$A$73:$A$80,Доп.расчеты!$A60,'Как есть'!BE$73:BE$80)</f>
        <v>0</v>
      </c>
      <c r="BE60">
        <f>SUMIF('Как есть'!$A$73:$A$80,Доп.расчеты!$A60,'Как есть'!BF$73:BF$80)</f>
        <v>0</v>
      </c>
      <c r="BF60">
        <f>SUMIF('Как есть'!$A$73:$A$80,Доп.расчеты!$A60,'Как есть'!BG$73:BG$80)</f>
        <v>0</v>
      </c>
      <c r="BG60">
        <f>SUMIF('Как есть'!$A$73:$A$80,Доп.расчеты!$A60,'Как есть'!BH$73:BH$80)</f>
        <v>0</v>
      </c>
      <c r="BH60">
        <f>SUMIF('Как есть'!$A$73:$A$80,Доп.расчеты!$A60,'Как есть'!BI$73:BI$80)</f>
        <v>0</v>
      </c>
      <c r="BI60">
        <f>SUMIF('Как есть'!$A$73:$A$80,Доп.расчеты!$A60,'Как есть'!BJ$73:BJ$80)</f>
        <v>0</v>
      </c>
      <c r="BJ60">
        <f>SUMIF('Как есть'!$A$73:$A$80,Доп.расчеты!$A60,'Как есть'!BK$73:BK$80)</f>
        <v>0</v>
      </c>
      <c r="BK60">
        <f>SUMIF('Как есть'!$A$73:$A$80,Доп.расчеты!$A60,'Как есть'!BL$73:BL$80)</f>
        <v>0</v>
      </c>
      <c r="BL60">
        <f>SUMIF('Как есть'!$A$73:$A$80,Доп.расчеты!$A60,'Как есть'!BM$73:BM$80)</f>
        <v>0</v>
      </c>
      <c r="BM60">
        <f>SUMIF('Как есть'!$A$73:$A$80,Доп.расчеты!$A60,'Как есть'!BN$73:BN$80)</f>
        <v>0</v>
      </c>
      <c r="BN60">
        <f>SUMIF('Как есть'!$A$73:$A$80,Доп.расчеты!$A60,'Как есть'!BO$73:BO$80)</f>
        <v>0</v>
      </c>
      <c r="BO60">
        <f>SUMIF('Как есть'!$A$73:$A$80,Доп.расчеты!$A60,'Как есть'!BP$73:BP$80)</f>
        <v>0</v>
      </c>
      <c r="BP60">
        <f>SUMIF('Как есть'!$A$73:$A$80,Доп.расчеты!$A60,'Как есть'!BQ$73:BQ$80)</f>
        <v>0</v>
      </c>
      <c r="BQ60">
        <f>SUMIF('Как есть'!$A$73:$A$80,Доп.расчеты!$A60,'Как есть'!BR$73:BR$80)</f>
        <v>0</v>
      </c>
      <c r="BR60">
        <f>SUMIF('Как есть'!$A$73:$A$80,Доп.расчеты!$A60,'Как есть'!BS$73:BS$80)</f>
        <v>0</v>
      </c>
      <c r="BS60">
        <f>SUMIF('Как есть'!$A$73:$A$80,Доп.расчеты!$A60,'Как есть'!BT$73:BT$80)</f>
        <v>0</v>
      </c>
      <c r="BT60">
        <f>SUMIF('Как есть'!$A$73:$A$80,Доп.расчеты!$A60,'Как есть'!BU$73:BU$80)</f>
        <v>0</v>
      </c>
      <c r="BU60">
        <f>SUMIF('Как есть'!$A$73:$A$80,Доп.расчеты!$A60,'Как есть'!BV$73:BV$80)</f>
        <v>0</v>
      </c>
      <c r="BV60">
        <f>SUMIF('Как есть'!$A$73:$A$80,Доп.расчеты!$A60,'Как есть'!BW$73:BW$80)</f>
        <v>0</v>
      </c>
      <c r="BW60">
        <f>SUMIF('Как есть'!$A$73:$A$80,Доп.расчеты!$A60,'Как есть'!BX$73:BX$80)</f>
        <v>0</v>
      </c>
      <c r="BX60">
        <f>SUMIF('Как есть'!$A$73:$A$80,Доп.расчеты!$A60,'Как есть'!BY$73:BY$80)</f>
        <v>0</v>
      </c>
      <c r="BY60">
        <f>SUMIF('Как есть'!$A$73:$A$80,Доп.расчеты!$A60,'Как есть'!BZ$73:BZ$80)</f>
        <v>0</v>
      </c>
      <c r="BZ60">
        <f>SUMIF('Как есть'!$A$73:$A$80,Доп.расчеты!$A60,'Как есть'!CA$73:CA$80)</f>
        <v>0</v>
      </c>
      <c r="CA60">
        <f>SUMIF('Как есть'!$A$73:$A$80,Доп.расчеты!$A60,'Как есть'!CB$73:CB$80)</f>
        <v>0</v>
      </c>
      <c r="CB60">
        <f>SUMIF('Как есть'!$A$73:$A$80,Доп.расчеты!$A60,'Как есть'!CC$73:CC$80)</f>
        <v>0</v>
      </c>
      <c r="CC60">
        <f>SUMIF('Как есть'!$A$73:$A$80,Доп.расчеты!$A60,'Как есть'!CD$73:CD$80)</f>
        <v>0</v>
      </c>
      <c r="CD60">
        <f>SUMIF('Как есть'!$A$73:$A$80,Доп.расчеты!$A60,'Как есть'!CE$73:CE$80)</f>
        <v>0</v>
      </c>
      <c r="CE60">
        <f>SUMIF('Как есть'!$A$73:$A$80,Доп.расчеты!$A60,'Как есть'!CF$73:CF$80)</f>
        <v>0</v>
      </c>
      <c r="CF60">
        <f>SUMIF('Как есть'!$A$73:$A$80,Доп.расчеты!$A60,'Как есть'!CG$73:CG$80)</f>
        <v>0</v>
      </c>
      <c r="CG60">
        <f>SUMIF('Как есть'!$A$73:$A$80,Доп.расчеты!$A60,'Как есть'!CH$73:CH$80)</f>
        <v>0</v>
      </c>
      <c r="CH60">
        <f>SUMIF('Как есть'!$A$73:$A$80,Доп.расчеты!$A60,'Как есть'!CI$73:CI$80)</f>
        <v>0</v>
      </c>
      <c r="CI60">
        <f>SUMIF('Как есть'!$A$73:$A$80,Доп.расчеты!$A60,'Как есть'!CJ$73:CJ$80)</f>
        <v>0</v>
      </c>
      <c r="CJ60">
        <f>SUMIF('Как есть'!$A$73:$A$80,Доп.расчеты!$A60,'Как есть'!CK$73:CK$80)</f>
        <v>0</v>
      </c>
      <c r="CK60">
        <f>SUMIF('Как есть'!$A$73:$A$80,Доп.расчеты!$A60,'Как есть'!CL$73:CL$80)</f>
        <v>0</v>
      </c>
      <c r="CL60">
        <f>SUMIF('Как есть'!$A$73:$A$80,Доп.расчеты!$A60,'Как есть'!CM$73:CM$80)</f>
        <v>0</v>
      </c>
      <c r="CM60">
        <f>SUMIF('Как есть'!$A$73:$A$80,Доп.расчеты!$A60,'Как есть'!CN$73:CN$80)</f>
        <v>0</v>
      </c>
      <c r="CN60">
        <f>SUMIF('Как есть'!$A$73:$A$80,Доп.расчеты!$A60,'Как есть'!CO$73:CO$80)</f>
        <v>0</v>
      </c>
      <c r="CO60">
        <f>SUMIF('Как есть'!$A$73:$A$80,Доп.расчеты!$A60,'Как есть'!CP$73:CP$80)</f>
        <v>0</v>
      </c>
      <c r="CP60">
        <f>SUMIF('Как есть'!$A$73:$A$80,Доп.расчеты!$A60,'Как есть'!CQ$73:CQ$80)</f>
        <v>0</v>
      </c>
      <c r="CQ60">
        <f>SUMIF('Как есть'!$A$73:$A$80,Доп.расчеты!$A60,'Как есть'!CR$73:CR$80)</f>
        <v>0</v>
      </c>
      <c r="CR60">
        <f>SUMIF('Как есть'!$A$73:$A$80,Доп.расчеты!$A60,'Как есть'!CS$73:CS$80)</f>
        <v>0</v>
      </c>
      <c r="CS60">
        <f>SUMIF('Как есть'!$A$73:$A$80,Доп.расчеты!$A60,'Как есть'!CT$73:CT$80)</f>
        <v>0</v>
      </c>
      <c r="CT60">
        <f>SUMIF('Как есть'!$A$73:$A$80,Доп.расчеты!$A60,'Как есть'!CU$73:CU$80)</f>
        <v>0</v>
      </c>
      <c r="CU60">
        <f>SUMIF('Как есть'!$A$73:$A$80,Доп.расчеты!$A60,'Как есть'!CV$73:CV$80)</f>
        <v>0</v>
      </c>
      <c r="CV60">
        <f>SUMIF('Как есть'!$A$73:$A$80,Доп.расчеты!$A60,'Как есть'!CW$73:CW$80)</f>
        <v>0</v>
      </c>
      <c r="CW60">
        <f>SUMIF('Как есть'!$A$73:$A$80,Доп.расчеты!$A60,'Как есть'!CX$73:CX$80)</f>
        <v>0</v>
      </c>
      <c r="CX60">
        <f>SUMIF('Как есть'!$A$73:$A$80,Доп.расчеты!$A60,'Как есть'!CY$73:CY$80)</f>
        <v>0</v>
      </c>
      <c r="CY60">
        <f>SUMIF('Как есть'!$A$73:$A$80,Доп.расчеты!$A60,'Как есть'!CZ$73:CZ$80)</f>
        <v>0</v>
      </c>
      <c r="CZ60">
        <f>SUMIF('Как есть'!$A$73:$A$80,Доп.расчеты!$A60,'Как есть'!DA$73:DA$80)</f>
        <v>0</v>
      </c>
      <c r="DA60">
        <f>SUMIF('Как есть'!$A$73:$A$80,Доп.расчеты!$A60,'Как есть'!DB$73:DB$80)</f>
        <v>0</v>
      </c>
      <c r="DB60">
        <f>SUMIF('Как есть'!$A$73:$A$80,Доп.расчеты!$A60,'Как есть'!DC$73:DC$80)</f>
        <v>0</v>
      </c>
      <c r="DC60">
        <f>SUMIF('Как есть'!$A$73:$A$80,Доп.расчеты!$A60,'Как есть'!DD$73:DD$80)</f>
        <v>0</v>
      </c>
      <c r="DD60">
        <f>SUMIF('Как есть'!$A$73:$A$80,Доп.расчеты!$A60,'Как есть'!DE$73:DE$80)</f>
        <v>0</v>
      </c>
      <c r="DE60">
        <f>SUMIF('Как есть'!$A$73:$A$80,Доп.расчеты!$A60,'Как есть'!DF$73:DF$80)</f>
        <v>0</v>
      </c>
      <c r="DF60">
        <f>SUMIF('Как есть'!$A$73:$A$80,Доп.расчеты!$A60,'Как есть'!DG$73:DG$80)</f>
        <v>0</v>
      </c>
      <c r="DG60">
        <f>SUMIF('Как есть'!$A$73:$A$80,Доп.расчеты!$A60,'Как есть'!DH$73:DH$80)</f>
        <v>0</v>
      </c>
      <c r="DH60">
        <f>SUMIF('Как есть'!$A$73:$A$80,Доп.расчеты!$A60,'Как есть'!DI$73:DI$80)</f>
        <v>0</v>
      </c>
      <c r="DI60">
        <f>SUMIF('Как есть'!$A$73:$A$80,Доп.расчеты!$A60,'Как есть'!DJ$73:DJ$80)</f>
        <v>0</v>
      </c>
      <c r="DJ60">
        <f>SUMIF('Как есть'!$A$73:$A$80,Доп.расчеты!$A60,'Как есть'!DK$73:DK$80)</f>
        <v>0</v>
      </c>
      <c r="DK60">
        <f>SUMIF('Как есть'!$A$73:$A$80,Доп.расчеты!$A60,'Как есть'!DL$73:DL$80)</f>
        <v>0</v>
      </c>
      <c r="DL60">
        <f>SUMIF('Как есть'!$A$73:$A$80,Доп.расчеты!$A60,'Как есть'!DM$73:DM$80)</f>
        <v>0</v>
      </c>
      <c r="DM60">
        <f>SUMIF('Как есть'!$A$73:$A$80,Доп.расчеты!$A60,'Как есть'!DN$73:DN$80)</f>
        <v>0</v>
      </c>
      <c r="DN60">
        <f>SUMIF('Как есть'!$A$73:$A$80,Доп.расчеты!$A60,'Как есть'!DO$73:DO$80)</f>
        <v>0</v>
      </c>
      <c r="DO60">
        <f>SUMIF('Как есть'!$A$73:$A$80,Доп.расчеты!$A60,'Как есть'!DP$73:DP$80)</f>
        <v>0</v>
      </c>
      <c r="DP60">
        <f>SUMIF('Как есть'!$A$73:$A$80,Доп.расчеты!$A60,'Как есть'!DQ$73:DQ$80)</f>
        <v>0</v>
      </c>
      <c r="DQ60">
        <f>SUMIF('Как есть'!$A$73:$A$80,Доп.расчеты!$A60,'Как есть'!DR$73:DR$80)</f>
        <v>0</v>
      </c>
      <c r="DR60">
        <f>SUMIF('Как есть'!$A$73:$A$80,Доп.расчеты!$A60,'Как есть'!DS$73:DS$80)</f>
        <v>0</v>
      </c>
      <c r="DS60">
        <f>SUMIF('Как есть'!$A$73:$A$80,Доп.расчеты!$A60,'Как есть'!DT$73:DT$80)</f>
        <v>0</v>
      </c>
      <c r="DT60">
        <f>SUMIF('Как есть'!$A$73:$A$80,Доп.расчеты!$A60,'Как есть'!DU$73:DU$80)</f>
        <v>0</v>
      </c>
      <c r="DU60">
        <f>SUMIF('Как есть'!$A$73:$A$80,Доп.расчеты!$A60,'Как есть'!DV$73:DV$80)</f>
        <v>0</v>
      </c>
      <c r="DV60">
        <f>SUMIF('Как есть'!$A$73:$A$80,Доп.расчеты!$A60,'Как есть'!DW$73:DW$80)</f>
        <v>0</v>
      </c>
      <c r="DW60">
        <f>SUMIF('Как есть'!$A$73:$A$80,Доп.расчеты!$A60,'Как есть'!DX$73:DX$80)</f>
        <v>0</v>
      </c>
      <c r="DX60">
        <f>SUMIF('Как есть'!$A$73:$A$80,Доп.расчеты!$A60,'Как есть'!DY$73:DY$80)</f>
        <v>0</v>
      </c>
      <c r="DY60">
        <f>SUMIF('Как есть'!$A$73:$A$80,Доп.расчеты!$A60,'Как есть'!DZ$73:DZ$80)</f>
        <v>0</v>
      </c>
      <c r="DZ60">
        <f>SUMIF('Как есть'!$A$73:$A$80,Доп.расчеты!$A60,'Как есть'!EA$73:EA$80)</f>
        <v>0</v>
      </c>
      <c r="EA60">
        <f>SUMIF('Как есть'!$A$73:$A$80,Доп.расчеты!$A60,'Как есть'!EB$73:EB$80)</f>
        <v>0</v>
      </c>
      <c r="EB60">
        <f>SUMIF('Как есть'!$A$73:$A$80,Доп.расчеты!$A60,'Как есть'!EC$73:EC$80)</f>
        <v>0</v>
      </c>
      <c r="EC60">
        <f>SUMIF('Как есть'!$A$73:$A$80,Доп.расчеты!$A60,'Как есть'!ED$73:ED$80)</f>
        <v>0</v>
      </c>
      <c r="ED60">
        <f>SUMIF('Как есть'!$A$73:$A$80,Доп.расчеты!$A60,'Как есть'!EE$73:EE$80)</f>
        <v>0</v>
      </c>
      <c r="EE60">
        <f>SUMIF('Как есть'!$A$73:$A$80,Доп.расчеты!$A60,'Как есть'!EF$73:EF$80)</f>
        <v>0</v>
      </c>
      <c r="EF60">
        <f>SUMIF('Как есть'!$A$73:$A$80,Доп.расчеты!$A60,'Как есть'!EG$73:EG$80)</f>
        <v>0</v>
      </c>
      <c r="EG60">
        <f>SUMIF('Как есть'!$A$73:$A$80,Доп.расчеты!$A60,'Как есть'!EH$73:EH$80)</f>
        <v>0</v>
      </c>
      <c r="EH60">
        <f>SUMIF('Как есть'!$A$73:$A$80,Доп.расчеты!$A60,'Как есть'!EI$73:EI$80)</f>
        <v>0</v>
      </c>
      <c r="EI60">
        <f>SUMIF('Как есть'!$A$73:$A$80,Доп.расчеты!$A60,'Как есть'!EJ$73:EJ$80)</f>
        <v>0</v>
      </c>
      <c r="EJ60">
        <f>SUMIF('Как есть'!$A$73:$A$80,Доп.расчеты!$A60,'Как есть'!EK$73:EK$80)</f>
        <v>0</v>
      </c>
      <c r="EK60">
        <f>SUMIF('Как есть'!$A$73:$A$80,Доп.расчеты!$A60,'Как есть'!EL$73:EL$80)</f>
        <v>0</v>
      </c>
      <c r="EL60">
        <f>SUMIF('Как есть'!$A$73:$A$80,Доп.расчеты!$A60,'Как есть'!EM$73:EM$80)</f>
        <v>0</v>
      </c>
      <c r="EM60">
        <f>SUMIF('Как есть'!$A$73:$A$80,Доп.расчеты!$A60,'Как есть'!EN$73:EN$80)</f>
        <v>0</v>
      </c>
      <c r="EN60">
        <f>SUMIF('Как есть'!$A$73:$A$80,Доп.расчеты!$A60,'Как есть'!EO$73:EO$80)</f>
        <v>0</v>
      </c>
      <c r="EO60">
        <f>SUMIF('Как есть'!$A$73:$A$80,Доп.расчеты!$A60,'Как есть'!EP$73:EP$80)</f>
        <v>0</v>
      </c>
      <c r="EP60">
        <f>SUMIF('Как есть'!$A$73:$A$80,Доп.расчеты!$A60,'Как есть'!EQ$73:EQ$80)</f>
        <v>0</v>
      </c>
      <c r="EQ60">
        <f>SUMIF('Как есть'!$A$73:$A$80,Доп.расчеты!$A60,'Как есть'!ER$73:ER$80)</f>
        <v>0</v>
      </c>
      <c r="ER60">
        <f>SUMIF('Как есть'!$A$73:$A$80,Доп.расчеты!$A60,'Как есть'!ES$73:ES$80)</f>
        <v>0</v>
      </c>
      <c r="ES60">
        <f>SUMIF('Как есть'!$A$73:$A$80,Доп.расчеты!$A60,'Как есть'!ET$73:ET$80)</f>
        <v>0</v>
      </c>
      <c r="ET60">
        <f>SUMIF('Как есть'!$A$73:$A$80,Доп.расчеты!$A60,'Как есть'!EU$73:EU$80)</f>
        <v>0</v>
      </c>
      <c r="EU60">
        <f>SUMIF('Как есть'!$A$73:$A$80,Доп.расчеты!$A60,'Как есть'!EV$73:EV$80)</f>
        <v>0</v>
      </c>
      <c r="EV60">
        <f>SUMIF('Как есть'!$A$73:$A$80,Доп.расчеты!$A60,'Как есть'!EW$73:EW$80)</f>
        <v>0</v>
      </c>
      <c r="EW60">
        <f>SUMIF('Как есть'!$A$73:$A$80,Доп.расчеты!$A60,'Как есть'!EX$73:EX$80)</f>
        <v>0</v>
      </c>
      <c r="EX60">
        <f>SUMIF('Как есть'!$A$73:$A$80,Доп.расчеты!$A60,'Как есть'!EY$73:EY$80)</f>
        <v>0</v>
      </c>
      <c r="EY60">
        <f>SUMIF('Как есть'!$A$73:$A$80,Доп.расчеты!$A60,'Как есть'!EZ$73:EZ$80)</f>
        <v>0</v>
      </c>
      <c r="EZ60">
        <f>SUMIF('Как есть'!$A$73:$A$80,Доп.расчеты!$A60,'Как есть'!FA$73:FA$80)</f>
        <v>0</v>
      </c>
      <c r="FA60">
        <f>SUMIF('Как есть'!$A$73:$A$80,Доп.расчеты!$A60,'Как есть'!FB$73:FB$80)</f>
        <v>0</v>
      </c>
      <c r="FB60">
        <f>SUMIF('Как есть'!$A$73:$A$80,Доп.расчеты!$A60,'Как есть'!FC$73:FC$80)</f>
        <v>0</v>
      </c>
      <c r="FC60">
        <f>SUMIF('Как есть'!$A$73:$A$80,Доп.расчеты!$A60,'Как есть'!FD$73:FD$80)</f>
        <v>0</v>
      </c>
      <c r="FD60">
        <f>SUMIF('Как есть'!$A$73:$A$80,Доп.расчеты!$A60,'Как есть'!FE$73:FE$80)</f>
        <v>0</v>
      </c>
      <c r="FE60">
        <f>SUMIF('Как есть'!$A$73:$A$80,Доп.расчеты!$A60,'Как есть'!FF$73:FF$80)</f>
        <v>0</v>
      </c>
      <c r="FF60">
        <f>SUMIF('Как есть'!$A$73:$A$80,Доп.расчеты!$A60,'Как есть'!FG$73:FG$80)</f>
        <v>0</v>
      </c>
      <c r="FG60">
        <f>SUMIF('Как есть'!$A$73:$A$80,Доп.расчеты!$A60,'Как есть'!FH$73:FH$80)</f>
        <v>0</v>
      </c>
      <c r="FH60">
        <f>SUMIF('Как есть'!$A$73:$A$80,Доп.расчеты!$A60,'Как есть'!FI$73:FI$80)</f>
        <v>0</v>
      </c>
      <c r="FI60">
        <f>SUMIF('Как есть'!$A$73:$A$80,Доп.расчеты!$A60,'Как есть'!FJ$73:FJ$80)</f>
        <v>0</v>
      </c>
      <c r="FJ60">
        <f>SUMIF('Как есть'!$A$73:$A$80,Доп.расчеты!$A60,'Как есть'!FK$73:FK$80)</f>
        <v>0</v>
      </c>
      <c r="FK60">
        <f>SUMIF('Как есть'!$A$73:$A$80,Доп.расчеты!$A60,'Как есть'!FL$73:FL$80)</f>
        <v>0</v>
      </c>
      <c r="FL60">
        <f>SUMIF('Как есть'!$A$73:$A$80,Доп.расчеты!$A60,'Как есть'!FM$73:FM$80)</f>
        <v>0</v>
      </c>
      <c r="FM60">
        <f>SUMIF('Как есть'!$A$73:$A$80,Доп.расчеты!$A60,'Как есть'!FN$73:FN$80)</f>
        <v>0</v>
      </c>
      <c r="FN60">
        <f>SUMIF('Как есть'!$A$73:$A$80,Доп.расчеты!$A60,'Как есть'!FO$73:FO$80)</f>
        <v>0</v>
      </c>
      <c r="FO60">
        <f>SUMIF('Как есть'!$A$73:$A$80,Доп.расчеты!$A60,'Как есть'!FP$73:FP$80)</f>
        <v>0</v>
      </c>
      <c r="FP60">
        <f>SUMIF('Как есть'!$A$73:$A$80,Доп.расчеты!$A60,'Как есть'!FQ$73:FQ$80)</f>
        <v>0</v>
      </c>
      <c r="FQ60">
        <f>SUMIF('Как есть'!$A$73:$A$80,Доп.расчеты!$A60,'Как есть'!FR$73:FR$80)</f>
        <v>0</v>
      </c>
      <c r="FR60">
        <f>SUMIF('Как есть'!$A$73:$A$80,Доп.расчеты!$A60,'Как есть'!FS$73:FS$80)</f>
        <v>0</v>
      </c>
      <c r="FS60">
        <f>SUMIF('Как есть'!$A$73:$A$80,Доп.расчеты!$A60,'Как есть'!FT$73:FT$80)</f>
        <v>0</v>
      </c>
      <c r="FT60">
        <f>SUMIF('Как есть'!$A$73:$A$80,Доп.расчеты!$A60,'Как есть'!FU$73:FU$80)</f>
        <v>0</v>
      </c>
      <c r="FU60">
        <f>SUMIF('Как есть'!$A$73:$A$80,Доп.расчеты!$A60,'Как есть'!FV$73:FV$80)</f>
        <v>0</v>
      </c>
      <c r="FV60">
        <f>SUMIF('Как есть'!$A$73:$A$80,Доп.расчеты!$A60,'Как есть'!FW$73:FW$80)</f>
        <v>0</v>
      </c>
      <c r="FW60">
        <f>SUMIF('Как есть'!$A$73:$A$80,Доп.расчеты!$A60,'Как есть'!FX$73:FX$80)</f>
        <v>0</v>
      </c>
      <c r="FX60">
        <f>SUMIF('Как есть'!$A$73:$A$80,Доп.расчеты!$A60,'Как есть'!FY$73:FY$80)</f>
        <v>0</v>
      </c>
      <c r="FY60">
        <f>SUMIF('Как есть'!$A$73:$A$80,Доп.расчеты!$A60,'Как есть'!FZ$73:FZ$80)</f>
        <v>0</v>
      </c>
      <c r="FZ60">
        <f>SUMIF('Как есть'!$A$73:$A$80,Доп.расчеты!$A60,'Как есть'!GA$73:GA$80)</f>
        <v>0</v>
      </c>
      <c r="GA60">
        <f>SUMIF('Как есть'!$A$73:$A$80,Доп.расчеты!$A60,'Как есть'!GB$73:GB$80)</f>
        <v>0</v>
      </c>
      <c r="GB60">
        <f>SUMIF('Как есть'!$A$73:$A$80,Доп.расчеты!$A60,'Как есть'!GC$73:GC$80)</f>
        <v>0</v>
      </c>
      <c r="GC60">
        <f>SUMIF('Как есть'!$A$73:$A$80,Доп.расчеты!$A60,'Как есть'!GD$73:GD$80)</f>
        <v>0</v>
      </c>
      <c r="GD60">
        <f>SUMIF('Как есть'!$A$73:$A$80,Доп.расчеты!$A60,'Как есть'!GE$73:GE$80)</f>
        <v>0</v>
      </c>
      <c r="GE60">
        <f>SUMIF('Как есть'!$A$73:$A$80,Доп.расчеты!$A60,'Как есть'!GF$73:GF$80)</f>
        <v>0</v>
      </c>
      <c r="GF60">
        <f>SUMIF('Как есть'!$A$73:$A$80,Доп.расчеты!$A60,'Как есть'!GG$73:GG$80)</f>
        <v>0</v>
      </c>
      <c r="GG60">
        <f>SUMIF('Как есть'!$A$73:$A$80,Доп.расчеты!$A60,'Как есть'!GH$73:GH$80)</f>
        <v>0</v>
      </c>
      <c r="GH60">
        <f>SUMIF('Как есть'!$A$73:$A$80,Доп.расчеты!$A60,'Как есть'!GI$73:GI$80)</f>
        <v>0</v>
      </c>
      <c r="GI60">
        <f>SUMIF('Как есть'!$A$73:$A$80,Доп.расчеты!$A60,'Как есть'!GJ$73:GJ$80)</f>
        <v>0</v>
      </c>
      <c r="GJ60">
        <f>SUMIF('Как есть'!$A$73:$A$80,Доп.расчеты!$A60,'Как есть'!GK$73:GK$80)</f>
        <v>0</v>
      </c>
      <c r="GK60">
        <f>SUMIF('Как есть'!$A$73:$A$80,Доп.расчеты!$A60,'Как есть'!GL$73:GL$80)</f>
        <v>0</v>
      </c>
      <c r="GL60">
        <f>SUMIF('Как есть'!$A$73:$A$80,Доп.расчеты!$A60,'Как есть'!GM$73:GM$80)</f>
        <v>0</v>
      </c>
      <c r="GM60">
        <f>SUMIF('Как есть'!$A$73:$A$80,Доп.расчеты!$A60,'Как есть'!GN$73:GN$80)</f>
        <v>0</v>
      </c>
      <c r="GN60">
        <f>SUMIF('Как есть'!$A$73:$A$80,Доп.расчеты!$A60,'Как есть'!GO$73:GO$80)</f>
        <v>0</v>
      </c>
      <c r="GO60">
        <f>SUMIF('Как есть'!$A$73:$A$80,Доп.расчеты!$A60,'Как есть'!GP$73:GP$80)</f>
        <v>0</v>
      </c>
      <c r="GP60">
        <f>SUMIF('Как есть'!$A$73:$A$80,Доп.расчеты!$A60,'Как есть'!GQ$73:GQ$80)</f>
        <v>0</v>
      </c>
      <c r="GQ60">
        <f>SUMIF('Как есть'!$A$73:$A$80,Доп.расчеты!$A60,'Как есть'!GR$73:GR$80)</f>
        <v>0</v>
      </c>
      <c r="GR60">
        <f>SUMIF('Как есть'!$A$73:$A$80,Доп.расчеты!$A60,'Как есть'!GS$73:GS$80)</f>
        <v>0</v>
      </c>
      <c r="GS60">
        <f>SUMIF('Как есть'!$A$73:$A$80,Доп.расчеты!$A60,'Как есть'!GT$73:GT$80)</f>
        <v>0</v>
      </c>
      <c r="GT60">
        <f>SUMIF('Как есть'!$A$73:$A$80,Доп.расчеты!$A60,'Как есть'!GU$73:GU$80)</f>
        <v>0</v>
      </c>
    </row>
    <row r="61" spans="1:202">
      <c r="A61" s="237" t="s">
        <v>98</v>
      </c>
      <c r="B61">
        <f>SUMIF('Как есть'!$A$73:$A$80,Доп.расчеты!$A61,'Как есть'!C$73:C$80)</f>
        <v>0</v>
      </c>
      <c r="C61">
        <f>SUMIF('Как есть'!$A$73:$A$80,Доп.расчеты!$A61,'Как есть'!D$73:D$80)</f>
        <v>0</v>
      </c>
      <c r="D61">
        <f>SUMIF('Как есть'!$A$73:$A$80,Доп.расчеты!$A61,'Как есть'!E$73:E$80)</f>
        <v>0</v>
      </c>
      <c r="E61">
        <f>SUMIF('Как есть'!$A$73:$A$80,Доп.расчеты!$A61,'Как есть'!F$73:F$80)</f>
        <v>0</v>
      </c>
      <c r="F61">
        <f>SUMIF('Как есть'!$A$73:$A$80,Доп.расчеты!$A61,'Как есть'!G$73:G$80)</f>
        <v>0</v>
      </c>
      <c r="G61">
        <f>SUMIF('Как есть'!$A$73:$A$80,Доп.расчеты!$A61,'Как есть'!H$73:H$80)</f>
        <v>0</v>
      </c>
      <c r="H61">
        <f>SUMIF('Как есть'!$A$73:$A$80,Доп.расчеты!$A61,'Как есть'!I$73:I$80)</f>
        <v>0</v>
      </c>
      <c r="I61">
        <f>SUMIF('Как есть'!$A$73:$A$80,Доп.расчеты!$A61,'Как есть'!J$73:J$80)</f>
        <v>0</v>
      </c>
      <c r="J61">
        <f>SUMIF('Как есть'!$A$73:$A$80,Доп.расчеты!$A61,'Как есть'!K$73:K$80)</f>
        <v>0</v>
      </c>
      <c r="K61">
        <f>SUMIF('Как есть'!$A$73:$A$80,Доп.расчеты!$A61,'Как есть'!L$73:L$80)</f>
        <v>0</v>
      </c>
      <c r="L61">
        <f>SUMIF('Как есть'!$A$73:$A$80,Доп.расчеты!$A61,'Как есть'!M$73:M$80)</f>
        <v>0</v>
      </c>
      <c r="M61">
        <f>SUMIF('Как есть'!$A$73:$A$80,Доп.расчеты!$A61,'Как есть'!N$73:N$80)</f>
        <v>0</v>
      </c>
      <c r="N61">
        <f>SUMIF('Как есть'!$A$73:$A$80,Доп.расчеты!$A61,'Как есть'!O$73:O$80)</f>
        <v>0</v>
      </c>
      <c r="O61">
        <f>SUMIF('Как есть'!$A$73:$A$80,Доп.расчеты!$A61,'Как есть'!P$73:P$80)</f>
        <v>0</v>
      </c>
      <c r="P61">
        <f>SUMIF('Как есть'!$A$73:$A$80,Доп.расчеты!$A61,'Как есть'!Q$73:Q$80)</f>
        <v>0</v>
      </c>
      <c r="Q61">
        <f>SUMIF('Как есть'!$A$73:$A$80,Доп.расчеты!$A61,'Как есть'!R$73:R$80)</f>
        <v>0</v>
      </c>
      <c r="R61">
        <f>SUMIF('Как есть'!$A$73:$A$80,Доп.расчеты!$A61,'Как есть'!S$73:S$80)</f>
        <v>0</v>
      </c>
      <c r="S61">
        <f>SUMIF('Как есть'!$A$73:$A$80,Доп.расчеты!$A61,'Как есть'!T$73:T$80)</f>
        <v>0</v>
      </c>
      <c r="T61">
        <f>SUMIF('Как есть'!$A$73:$A$80,Доп.расчеты!$A61,'Как есть'!U$73:U$80)</f>
        <v>0</v>
      </c>
      <c r="U61">
        <f>SUMIF('Как есть'!$A$73:$A$80,Доп.расчеты!$A61,'Как есть'!V$73:V$80)</f>
        <v>0</v>
      </c>
      <c r="V61">
        <f>SUMIF('Как есть'!$A$73:$A$80,Доп.расчеты!$A61,'Как есть'!W$73:W$80)</f>
        <v>0</v>
      </c>
      <c r="W61">
        <f>SUMIF('Как есть'!$A$73:$A$80,Доп.расчеты!$A61,'Как есть'!X$73:X$80)</f>
        <v>0</v>
      </c>
      <c r="X61">
        <f>SUMIF('Как есть'!$A$73:$A$80,Доп.расчеты!$A61,'Как есть'!Y$73:Y$80)</f>
        <v>0</v>
      </c>
      <c r="Y61">
        <f>SUMIF('Как есть'!$A$73:$A$80,Доп.расчеты!$A61,'Как есть'!Z$73:Z$80)</f>
        <v>0</v>
      </c>
      <c r="Z61">
        <f>SUMIF('Как есть'!$A$73:$A$80,Доп.расчеты!$A61,'Как есть'!AA$73:AA$80)</f>
        <v>0</v>
      </c>
      <c r="AA61">
        <f>SUMIF('Как есть'!$A$73:$A$80,Доп.расчеты!$A61,'Как есть'!AB$73:AB$80)</f>
        <v>0</v>
      </c>
      <c r="AB61">
        <f>SUMIF('Как есть'!$A$73:$A$80,Доп.расчеты!$A61,'Как есть'!AC$73:AC$80)</f>
        <v>0</v>
      </c>
      <c r="AC61">
        <f>SUMIF('Как есть'!$A$73:$A$80,Доп.расчеты!$A61,'Как есть'!AD$73:AD$80)</f>
        <v>0</v>
      </c>
      <c r="AD61">
        <f>SUMIF('Как есть'!$A$73:$A$80,Доп.расчеты!$A61,'Как есть'!AE$73:AE$80)</f>
        <v>0</v>
      </c>
      <c r="AE61">
        <f>SUMIF('Как есть'!$A$73:$A$80,Доп.расчеты!$A61,'Как есть'!AF$73:AF$80)</f>
        <v>0</v>
      </c>
      <c r="AF61">
        <f>SUMIF('Как есть'!$A$73:$A$80,Доп.расчеты!$A61,'Как есть'!AG$73:AG$80)</f>
        <v>0</v>
      </c>
      <c r="AG61">
        <f>SUMIF('Как есть'!$A$73:$A$80,Доп.расчеты!$A61,'Как есть'!AH$73:AH$80)</f>
        <v>0</v>
      </c>
      <c r="AH61">
        <f>SUMIF('Как есть'!$A$73:$A$80,Доп.расчеты!$A61,'Как есть'!AI$73:AI$80)</f>
        <v>0</v>
      </c>
      <c r="AI61">
        <f>SUMIF('Как есть'!$A$73:$A$80,Доп.расчеты!$A61,'Как есть'!AJ$73:AJ$80)</f>
        <v>0</v>
      </c>
      <c r="AJ61">
        <f>SUMIF('Как есть'!$A$73:$A$80,Доп.расчеты!$A61,'Как есть'!AK$73:AK$80)</f>
        <v>0</v>
      </c>
      <c r="AK61">
        <f>SUMIF('Как есть'!$A$73:$A$80,Доп.расчеты!$A61,'Как есть'!AL$73:AL$80)</f>
        <v>0</v>
      </c>
      <c r="AL61">
        <f>SUMIF('Как есть'!$A$73:$A$80,Доп.расчеты!$A61,'Как есть'!AM$73:AM$80)</f>
        <v>0</v>
      </c>
      <c r="AM61">
        <f>SUMIF('Как есть'!$A$73:$A$80,Доп.расчеты!$A61,'Как есть'!AN$73:AN$80)</f>
        <v>0</v>
      </c>
      <c r="AN61">
        <f>SUMIF('Как есть'!$A$73:$A$80,Доп.расчеты!$A61,'Как есть'!AO$73:AO$80)</f>
        <v>0</v>
      </c>
      <c r="AO61">
        <f>SUMIF('Как есть'!$A$73:$A$80,Доп.расчеты!$A61,'Как есть'!AP$73:AP$80)</f>
        <v>0</v>
      </c>
      <c r="AP61">
        <f>SUMIF('Как есть'!$A$73:$A$80,Доп.расчеты!$A61,'Как есть'!AQ$73:AQ$80)</f>
        <v>0</v>
      </c>
      <c r="AQ61">
        <f>SUMIF('Как есть'!$A$73:$A$80,Доп.расчеты!$A61,'Как есть'!AR$73:AR$80)</f>
        <v>0</v>
      </c>
      <c r="AR61">
        <f>SUMIF('Как есть'!$A$73:$A$80,Доп.расчеты!$A61,'Как есть'!AS$73:AS$80)</f>
        <v>0</v>
      </c>
      <c r="AS61">
        <f>SUMIF('Как есть'!$A$73:$A$80,Доп.расчеты!$A61,'Как есть'!AT$73:AT$80)</f>
        <v>0</v>
      </c>
      <c r="AT61">
        <f>SUMIF('Как есть'!$A$73:$A$80,Доп.расчеты!$A61,'Как есть'!AU$73:AU$80)</f>
        <v>0</v>
      </c>
      <c r="AU61">
        <f>SUMIF('Как есть'!$A$73:$A$80,Доп.расчеты!$A61,'Как есть'!AV$73:AV$80)</f>
        <v>0</v>
      </c>
      <c r="AV61">
        <f>SUMIF('Как есть'!$A$73:$A$80,Доп.расчеты!$A61,'Как есть'!AW$73:AW$80)</f>
        <v>0</v>
      </c>
      <c r="AW61">
        <f>SUMIF('Как есть'!$A$73:$A$80,Доп.расчеты!$A61,'Как есть'!AX$73:AX$80)</f>
        <v>0</v>
      </c>
      <c r="AX61">
        <f>SUMIF('Как есть'!$A$73:$A$80,Доп.расчеты!$A61,'Как есть'!AY$73:AY$80)</f>
        <v>0</v>
      </c>
      <c r="AY61">
        <f>SUMIF('Как есть'!$A$73:$A$80,Доп.расчеты!$A61,'Как есть'!AZ$73:AZ$80)</f>
        <v>0</v>
      </c>
      <c r="AZ61">
        <f>SUMIF('Как есть'!$A$73:$A$80,Доп.расчеты!$A61,'Как есть'!BA$73:BA$80)</f>
        <v>0</v>
      </c>
      <c r="BA61">
        <f>SUMIF('Как есть'!$A$73:$A$80,Доп.расчеты!$A61,'Как есть'!BB$73:BB$80)</f>
        <v>0</v>
      </c>
      <c r="BB61">
        <f>SUMIF('Как есть'!$A$73:$A$80,Доп.расчеты!$A61,'Как есть'!BC$73:BC$80)</f>
        <v>0</v>
      </c>
      <c r="BC61">
        <f>SUMIF('Как есть'!$A$73:$A$80,Доп.расчеты!$A61,'Как есть'!BD$73:BD$80)</f>
        <v>0</v>
      </c>
      <c r="BD61">
        <f>SUMIF('Как есть'!$A$73:$A$80,Доп.расчеты!$A61,'Как есть'!BE$73:BE$80)</f>
        <v>0</v>
      </c>
      <c r="BE61">
        <f>SUMIF('Как есть'!$A$73:$A$80,Доп.расчеты!$A61,'Как есть'!BF$73:BF$80)</f>
        <v>0</v>
      </c>
      <c r="BF61">
        <f>SUMIF('Как есть'!$A$73:$A$80,Доп.расчеты!$A61,'Как есть'!BG$73:BG$80)</f>
        <v>0</v>
      </c>
      <c r="BG61">
        <f>SUMIF('Как есть'!$A$73:$A$80,Доп.расчеты!$A61,'Как есть'!BH$73:BH$80)</f>
        <v>0</v>
      </c>
      <c r="BH61">
        <f>SUMIF('Как есть'!$A$73:$A$80,Доп.расчеты!$A61,'Как есть'!BI$73:BI$80)</f>
        <v>0</v>
      </c>
      <c r="BI61">
        <f>SUMIF('Как есть'!$A$73:$A$80,Доп.расчеты!$A61,'Как есть'!BJ$73:BJ$80)</f>
        <v>0</v>
      </c>
      <c r="BJ61">
        <f>SUMIF('Как есть'!$A$73:$A$80,Доп.расчеты!$A61,'Как есть'!BK$73:BK$80)</f>
        <v>0</v>
      </c>
      <c r="BK61">
        <f>SUMIF('Как есть'!$A$73:$A$80,Доп.расчеты!$A61,'Как есть'!BL$73:BL$80)</f>
        <v>0</v>
      </c>
      <c r="BL61">
        <f>SUMIF('Как есть'!$A$73:$A$80,Доп.расчеты!$A61,'Как есть'!BM$73:BM$80)</f>
        <v>0</v>
      </c>
      <c r="BM61">
        <f>SUMIF('Как есть'!$A$73:$A$80,Доп.расчеты!$A61,'Как есть'!BN$73:BN$80)</f>
        <v>0</v>
      </c>
      <c r="BN61">
        <f>SUMIF('Как есть'!$A$73:$A$80,Доп.расчеты!$A61,'Как есть'!BO$73:BO$80)</f>
        <v>0</v>
      </c>
      <c r="BO61">
        <f>SUMIF('Как есть'!$A$73:$A$80,Доп.расчеты!$A61,'Как есть'!BP$73:BP$80)</f>
        <v>0</v>
      </c>
      <c r="BP61">
        <f>SUMIF('Как есть'!$A$73:$A$80,Доп.расчеты!$A61,'Как есть'!BQ$73:BQ$80)</f>
        <v>0</v>
      </c>
      <c r="BQ61">
        <f>SUMIF('Как есть'!$A$73:$A$80,Доп.расчеты!$A61,'Как есть'!BR$73:BR$80)</f>
        <v>0</v>
      </c>
      <c r="BR61">
        <f>SUMIF('Как есть'!$A$73:$A$80,Доп.расчеты!$A61,'Как есть'!BS$73:BS$80)</f>
        <v>0</v>
      </c>
      <c r="BS61">
        <f>SUMIF('Как есть'!$A$73:$A$80,Доп.расчеты!$A61,'Как есть'!BT$73:BT$80)</f>
        <v>0</v>
      </c>
      <c r="BT61">
        <f>SUMIF('Как есть'!$A$73:$A$80,Доп.расчеты!$A61,'Как есть'!BU$73:BU$80)</f>
        <v>0</v>
      </c>
      <c r="BU61">
        <f>SUMIF('Как есть'!$A$73:$A$80,Доп.расчеты!$A61,'Как есть'!BV$73:BV$80)</f>
        <v>0</v>
      </c>
      <c r="BV61">
        <f>SUMIF('Как есть'!$A$73:$A$80,Доп.расчеты!$A61,'Как есть'!BW$73:BW$80)</f>
        <v>0</v>
      </c>
      <c r="BW61">
        <f>SUMIF('Как есть'!$A$73:$A$80,Доп.расчеты!$A61,'Как есть'!BX$73:BX$80)</f>
        <v>0</v>
      </c>
      <c r="BX61">
        <f>SUMIF('Как есть'!$A$73:$A$80,Доп.расчеты!$A61,'Как есть'!BY$73:BY$80)</f>
        <v>0</v>
      </c>
      <c r="BY61">
        <f>SUMIF('Как есть'!$A$73:$A$80,Доп.расчеты!$A61,'Как есть'!BZ$73:BZ$80)</f>
        <v>0</v>
      </c>
      <c r="BZ61">
        <f>SUMIF('Как есть'!$A$73:$A$80,Доп.расчеты!$A61,'Как есть'!CA$73:CA$80)</f>
        <v>0</v>
      </c>
      <c r="CA61">
        <f>SUMIF('Как есть'!$A$73:$A$80,Доп.расчеты!$A61,'Как есть'!CB$73:CB$80)</f>
        <v>0</v>
      </c>
      <c r="CB61">
        <f>SUMIF('Как есть'!$A$73:$A$80,Доп.расчеты!$A61,'Как есть'!CC$73:CC$80)</f>
        <v>0</v>
      </c>
      <c r="CC61">
        <f>SUMIF('Как есть'!$A$73:$A$80,Доп.расчеты!$A61,'Как есть'!CD$73:CD$80)</f>
        <v>0</v>
      </c>
      <c r="CD61">
        <f>SUMIF('Как есть'!$A$73:$A$80,Доп.расчеты!$A61,'Как есть'!CE$73:CE$80)</f>
        <v>0</v>
      </c>
      <c r="CE61">
        <f>SUMIF('Как есть'!$A$73:$A$80,Доп.расчеты!$A61,'Как есть'!CF$73:CF$80)</f>
        <v>0</v>
      </c>
      <c r="CF61">
        <f>SUMIF('Как есть'!$A$73:$A$80,Доп.расчеты!$A61,'Как есть'!CG$73:CG$80)</f>
        <v>0</v>
      </c>
      <c r="CG61">
        <f>SUMIF('Как есть'!$A$73:$A$80,Доп.расчеты!$A61,'Как есть'!CH$73:CH$80)</f>
        <v>0</v>
      </c>
      <c r="CH61">
        <f>SUMIF('Как есть'!$A$73:$A$80,Доп.расчеты!$A61,'Как есть'!CI$73:CI$80)</f>
        <v>0</v>
      </c>
      <c r="CI61">
        <f>SUMIF('Как есть'!$A$73:$A$80,Доп.расчеты!$A61,'Как есть'!CJ$73:CJ$80)</f>
        <v>0</v>
      </c>
      <c r="CJ61">
        <f>SUMIF('Как есть'!$A$73:$A$80,Доп.расчеты!$A61,'Как есть'!CK$73:CK$80)</f>
        <v>0</v>
      </c>
      <c r="CK61">
        <f>SUMIF('Как есть'!$A$73:$A$80,Доп.расчеты!$A61,'Как есть'!CL$73:CL$80)</f>
        <v>0</v>
      </c>
      <c r="CL61">
        <f>SUMIF('Как есть'!$A$73:$A$80,Доп.расчеты!$A61,'Как есть'!CM$73:CM$80)</f>
        <v>0</v>
      </c>
      <c r="CM61">
        <f>SUMIF('Как есть'!$A$73:$A$80,Доп.расчеты!$A61,'Как есть'!CN$73:CN$80)</f>
        <v>0</v>
      </c>
      <c r="CN61">
        <f>SUMIF('Как есть'!$A$73:$A$80,Доп.расчеты!$A61,'Как есть'!CO$73:CO$80)</f>
        <v>0</v>
      </c>
      <c r="CO61">
        <f>SUMIF('Как есть'!$A$73:$A$80,Доп.расчеты!$A61,'Как есть'!CP$73:CP$80)</f>
        <v>0</v>
      </c>
      <c r="CP61">
        <f>SUMIF('Как есть'!$A$73:$A$80,Доп.расчеты!$A61,'Как есть'!CQ$73:CQ$80)</f>
        <v>0</v>
      </c>
      <c r="CQ61">
        <f>SUMIF('Как есть'!$A$73:$A$80,Доп.расчеты!$A61,'Как есть'!CR$73:CR$80)</f>
        <v>0</v>
      </c>
      <c r="CR61">
        <f>SUMIF('Как есть'!$A$73:$A$80,Доп.расчеты!$A61,'Как есть'!CS$73:CS$80)</f>
        <v>0</v>
      </c>
      <c r="CS61">
        <f>SUMIF('Как есть'!$A$73:$A$80,Доп.расчеты!$A61,'Как есть'!CT$73:CT$80)</f>
        <v>0</v>
      </c>
      <c r="CT61">
        <f>SUMIF('Как есть'!$A$73:$A$80,Доп.расчеты!$A61,'Как есть'!CU$73:CU$80)</f>
        <v>0</v>
      </c>
      <c r="CU61">
        <f>SUMIF('Как есть'!$A$73:$A$80,Доп.расчеты!$A61,'Как есть'!CV$73:CV$80)</f>
        <v>0</v>
      </c>
      <c r="CV61">
        <f>SUMIF('Как есть'!$A$73:$A$80,Доп.расчеты!$A61,'Как есть'!CW$73:CW$80)</f>
        <v>0</v>
      </c>
      <c r="CW61">
        <f>SUMIF('Как есть'!$A$73:$A$80,Доп.расчеты!$A61,'Как есть'!CX$73:CX$80)</f>
        <v>0</v>
      </c>
      <c r="CX61">
        <f>SUMIF('Как есть'!$A$73:$A$80,Доп.расчеты!$A61,'Как есть'!CY$73:CY$80)</f>
        <v>0</v>
      </c>
      <c r="CY61">
        <f>SUMIF('Как есть'!$A$73:$A$80,Доп.расчеты!$A61,'Как есть'!CZ$73:CZ$80)</f>
        <v>0</v>
      </c>
      <c r="CZ61">
        <f>SUMIF('Как есть'!$A$73:$A$80,Доп.расчеты!$A61,'Как есть'!DA$73:DA$80)</f>
        <v>0</v>
      </c>
      <c r="DA61">
        <f>SUMIF('Как есть'!$A$73:$A$80,Доп.расчеты!$A61,'Как есть'!DB$73:DB$80)</f>
        <v>0</v>
      </c>
      <c r="DB61">
        <f>SUMIF('Как есть'!$A$73:$A$80,Доп.расчеты!$A61,'Как есть'!DC$73:DC$80)</f>
        <v>0</v>
      </c>
      <c r="DC61">
        <f>SUMIF('Как есть'!$A$73:$A$80,Доп.расчеты!$A61,'Как есть'!DD$73:DD$80)</f>
        <v>0</v>
      </c>
      <c r="DD61">
        <f>SUMIF('Как есть'!$A$73:$A$80,Доп.расчеты!$A61,'Как есть'!DE$73:DE$80)</f>
        <v>0</v>
      </c>
      <c r="DE61">
        <f>SUMIF('Как есть'!$A$73:$A$80,Доп.расчеты!$A61,'Как есть'!DF$73:DF$80)</f>
        <v>0</v>
      </c>
      <c r="DF61">
        <f>SUMIF('Как есть'!$A$73:$A$80,Доп.расчеты!$A61,'Как есть'!DG$73:DG$80)</f>
        <v>0</v>
      </c>
      <c r="DG61">
        <f>SUMIF('Как есть'!$A$73:$A$80,Доп.расчеты!$A61,'Как есть'!DH$73:DH$80)</f>
        <v>0</v>
      </c>
      <c r="DH61">
        <f>SUMIF('Как есть'!$A$73:$A$80,Доп.расчеты!$A61,'Как есть'!DI$73:DI$80)</f>
        <v>0</v>
      </c>
      <c r="DI61">
        <f>SUMIF('Как есть'!$A$73:$A$80,Доп.расчеты!$A61,'Как есть'!DJ$73:DJ$80)</f>
        <v>0</v>
      </c>
      <c r="DJ61">
        <f>SUMIF('Как есть'!$A$73:$A$80,Доп.расчеты!$A61,'Как есть'!DK$73:DK$80)</f>
        <v>0</v>
      </c>
      <c r="DK61">
        <f>SUMIF('Как есть'!$A$73:$A$80,Доп.расчеты!$A61,'Как есть'!DL$73:DL$80)</f>
        <v>0</v>
      </c>
      <c r="DL61">
        <f>SUMIF('Как есть'!$A$73:$A$80,Доп.расчеты!$A61,'Как есть'!DM$73:DM$80)</f>
        <v>0</v>
      </c>
      <c r="DM61">
        <f>SUMIF('Как есть'!$A$73:$A$80,Доп.расчеты!$A61,'Как есть'!DN$73:DN$80)</f>
        <v>0</v>
      </c>
      <c r="DN61">
        <f>SUMIF('Как есть'!$A$73:$A$80,Доп.расчеты!$A61,'Как есть'!DO$73:DO$80)</f>
        <v>0</v>
      </c>
      <c r="DO61">
        <f>SUMIF('Как есть'!$A$73:$A$80,Доп.расчеты!$A61,'Как есть'!DP$73:DP$80)</f>
        <v>0</v>
      </c>
      <c r="DP61">
        <f>SUMIF('Как есть'!$A$73:$A$80,Доп.расчеты!$A61,'Как есть'!DQ$73:DQ$80)</f>
        <v>0</v>
      </c>
      <c r="DQ61">
        <f>SUMIF('Как есть'!$A$73:$A$80,Доп.расчеты!$A61,'Как есть'!DR$73:DR$80)</f>
        <v>0</v>
      </c>
      <c r="DR61">
        <f>SUMIF('Как есть'!$A$73:$A$80,Доп.расчеты!$A61,'Как есть'!DS$73:DS$80)</f>
        <v>0</v>
      </c>
      <c r="DS61">
        <f>SUMIF('Как есть'!$A$73:$A$80,Доп.расчеты!$A61,'Как есть'!DT$73:DT$80)</f>
        <v>0</v>
      </c>
      <c r="DT61">
        <f>SUMIF('Как есть'!$A$73:$A$80,Доп.расчеты!$A61,'Как есть'!DU$73:DU$80)</f>
        <v>0</v>
      </c>
      <c r="DU61">
        <f>SUMIF('Как есть'!$A$73:$A$80,Доп.расчеты!$A61,'Как есть'!DV$73:DV$80)</f>
        <v>0</v>
      </c>
      <c r="DV61">
        <f>SUMIF('Как есть'!$A$73:$A$80,Доп.расчеты!$A61,'Как есть'!DW$73:DW$80)</f>
        <v>0</v>
      </c>
      <c r="DW61">
        <f>SUMIF('Как есть'!$A$73:$A$80,Доп.расчеты!$A61,'Как есть'!DX$73:DX$80)</f>
        <v>0</v>
      </c>
      <c r="DX61">
        <f>SUMIF('Как есть'!$A$73:$A$80,Доп.расчеты!$A61,'Как есть'!DY$73:DY$80)</f>
        <v>0</v>
      </c>
      <c r="DY61">
        <f>SUMIF('Как есть'!$A$73:$A$80,Доп.расчеты!$A61,'Как есть'!DZ$73:DZ$80)</f>
        <v>0</v>
      </c>
      <c r="DZ61">
        <f>SUMIF('Как есть'!$A$73:$A$80,Доп.расчеты!$A61,'Как есть'!EA$73:EA$80)</f>
        <v>0</v>
      </c>
      <c r="EA61">
        <f>SUMIF('Как есть'!$A$73:$A$80,Доп.расчеты!$A61,'Как есть'!EB$73:EB$80)</f>
        <v>0</v>
      </c>
      <c r="EB61">
        <f>SUMIF('Как есть'!$A$73:$A$80,Доп.расчеты!$A61,'Как есть'!EC$73:EC$80)</f>
        <v>0</v>
      </c>
      <c r="EC61">
        <f>SUMIF('Как есть'!$A$73:$A$80,Доп.расчеты!$A61,'Как есть'!ED$73:ED$80)</f>
        <v>0</v>
      </c>
      <c r="ED61">
        <f>SUMIF('Как есть'!$A$73:$A$80,Доп.расчеты!$A61,'Как есть'!EE$73:EE$80)</f>
        <v>0</v>
      </c>
      <c r="EE61">
        <f>SUMIF('Как есть'!$A$73:$A$80,Доп.расчеты!$A61,'Как есть'!EF$73:EF$80)</f>
        <v>0</v>
      </c>
      <c r="EF61">
        <f>SUMIF('Как есть'!$A$73:$A$80,Доп.расчеты!$A61,'Как есть'!EG$73:EG$80)</f>
        <v>0</v>
      </c>
      <c r="EG61">
        <f>SUMIF('Как есть'!$A$73:$A$80,Доп.расчеты!$A61,'Как есть'!EH$73:EH$80)</f>
        <v>0</v>
      </c>
      <c r="EH61">
        <f>SUMIF('Как есть'!$A$73:$A$80,Доп.расчеты!$A61,'Как есть'!EI$73:EI$80)</f>
        <v>0</v>
      </c>
      <c r="EI61">
        <f>SUMIF('Как есть'!$A$73:$A$80,Доп.расчеты!$A61,'Как есть'!EJ$73:EJ$80)</f>
        <v>0</v>
      </c>
      <c r="EJ61">
        <f>SUMIF('Как есть'!$A$73:$A$80,Доп.расчеты!$A61,'Как есть'!EK$73:EK$80)</f>
        <v>0</v>
      </c>
      <c r="EK61">
        <f>SUMIF('Как есть'!$A$73:$A$80,Доп.расчеты!$A61,'Как есть'!EL$73:EL$80)</f>
        <v>0</v>
      </c>
      <c r="EL61">
        <f>SUMIF('Как есть'!$A$73:$A$80,Доп.расчеты!$A61,'Как есть'!EM$73:EM$80)</f>
        <v>0</v>
      </c>
      <c r="EM61">
        <f>SUMIF('Как есть'!$A$73:$A$80,Доп.расчеты!$A61,'Как есть'!EN$73:EN$80)</f>
        <v>0</v>
      </c>
      <c r="EN61">
        <f>SUMIF('Как есть'!$A$73:$A$80,Доп.расчеты!$A61,'Как есть'!EO$73:EO$80)</f>
        <v>0</v>
      </c>
      <c r="EO61">
        <f>SUMIF('Как есть'!$A$73:$A$80,Доп.расчеты!$A61,'Как есть'!EP$73:EP$80)</f>
        <v>0</v>
      </c>
      <c r="EP61">
        <f>SUMIF('Как есть'!$A$73:$A$80,Доп.расчеты!$A61,'Как есть'!EQ$73:EQ$80)</f>
        <v>0</v>
      </c>
      <c r="EQ61">
        <f>SUMIF('Как есть'!$A$73:$A$80,Доп.расчеты!$A61,'Как есть'!ER$73:ER$80)</f>
        <v>0</v>
      </c>
      <c r="ER61">
        <f>SUMIF('Как есть'!$A$73:$A$80,Доп.расчеты!$A61,'Как есть'!ES$73:ES$80)</f>
        <v>0</v>
      </c>
      <c r="ES61">
        <f>SUMIF('Как есть'!$A$73:$A$80,Доп.расчеты!$A61,'Как есть'!ET$73:ET$80)</f>
        <v>0</v>
      </c>
      <c r="ET61">
        <f>SUMIF('Как есть'!$A$73:$A$80,Доп.расчеты!$A61,'Как есть'!EU$73:EU$80)</f>
        <v>0</v>
      </c>
      <c r="EU61">
        <f>SUMIF('Как есть'!$A$73:$A$80,Доп.расчеты!$A61,'Как есть'!EV$73:EV$80)</f>
        <v>0</v>
      </c>
      <c r="EV61">
        <f>SUMIF('Как есть'!$A$73:$A$80,Доп.расчеты!$A61,'Как есть'!EW$73:EW$80)</f>
        <v>0</v>
      </c>
      <c r="EW61">
        <f>SUMIF('Как есть'!$A$73:$A$80,Доп.расчеты!$A61,'Как есть'!EX$73:EX$80)</f>
        <v>0</v>
      </c>
      <c r="EX61">
        <f>SUMIF('Как есть'!$A$73:$A$80,Доп.расчеты!$A61,'Как есть'!EY$73:EY$80)</f>
        <v>0</v>
      </c>
      <c r="EY61">
        <f>SUMIF('Как есть'!$A$73:$A$80,Доп.расчеты!$A61,'Как есть'!EZ$73:EZ$80)</f>
        <v>0</v>
      </c>
      <c r="EZ61">
        <f>SUMIF('Как есть'!$A$73:$A$80,Доп.расчеты!$A61,'Как есть'!FA$73:FA$80)</f>
        <v>0</v>
      </c>
      <c r="FA61">
        <f>SUMIF('Как есть'!$A$73:$A$80,Доп.расчеты!$A61,'Как есть'!FB$73:FB$80)</f>
        <v>0</v>
      </c>
      <c r="FB61">
        <f>SUMIF('Как есть'!$A$73:$A$80,Доп.расчеты!$A61,'Как есть'!FC$73:FC$80)</f>
        <v>0</v>
      </c>
      <c r="FC61">
        <f>SUMIF('Как есть'!$A$73:$A$80,Доп.расчеты!$A61,'Как есть'!FD$73:FD$80)</f>
        <v>0</v>
      </c>
      <c r="FD61">
        <f>SUMIF('Как есть'!$A$73:$A$80,Доп.расчеты!$A61,'Как есть'!FE$73:FE$80)</f>
        <v>0</v>
      </c>
      <c r="FE61">
        <f>SUMIF('Как есть'!$A$73:$A$80,Доп.расчеты!$A61,'Как есть'!FF$73:FF$80)</f>
        <v>0</v>
      </c>
      <c r="FF61">
        <f>SUMIF('Как есть'!$A$73:$A$80,Доп.расчеты!$A61,'Как есть'!FG$73:FG$80)</f>
        <v>0</v>
      </c>
      <c r="FG61">
        <f>SUMIF('Как есть'!$A$73:$A$80,Доп.расчеты!$A61,'Как есть'!FH$73:FH$80)</f>
        <v>0</v>
      </c>
      <c r="FH61">
        <f>SUMIF('Как есть'!$A$73:$A$80,Доп.расчеты!$A61,'Как есть'!FI$73:FI$80)</f>
        <v>0</v>
      </c>
      <c r="FI61">
        <f>SUMIF('Как есть'!$A$73:$A$80,Доп.расчеты!$A61,'Как есть'!FJ$73:FJ$80)</f>
        <v>0</v>
      </c>
      <c r="FJ61">
        <f>SUMIF('Как есть'!$A$73:$A$80,Доп.расчеты!$A61,'Как есть'!FK$73:FK$80)</f>
        <v>0</v>
      </c>
      <c r="FK61">
        <f>SUMIF('Как есть'!$A$73:$A$80,Доп.расчеты!$A61,'Как есть'!FL$73:FL$80)</f>
        <v>0</v>
      </c>
      <c r="FL61">
        <f>SUMIF('Как есть'!$A$73:$A$80,Доп.расчеты!$A61,'Как есть'!FM$73:FM$80)</f>
        <v>0</v>
      </c>
      <c r="FM61">
        <f>SUMIF('Как есть'!$A$73:$A$80,Доп.расчеты!$A61,'Как есть'!FN$73:FN$80)</f>
        <v>0</v>
      </c>
      <c r="FN61">
        <f>SUMIF('Как есть'!$A$73:$A$80,Доп.расчеты!$A61,'Как есть'!FO$73:FO$80)</f>
        <v>0</v>
      </c>
      <c r="FO61">
        <f>SUMIF('Как есть'!$A$73:$A$80,Доп.расчеты!$A61,'Как есть'!FP$73:FP$80)</f>
        <v>0</v>
      </c>
      <c r="FP61">
        <f>SUMIF('Как есть'!$A$73:$A$80,Доп.расчеты!$A61,'Как есть'!FQ$73:FQ$80)</f>
        <v>0</v>
      </c>
      <c r="FQ61">
        <f>SUMIF('Как есть'!$A$73:$A$80,Доп.расчеты!$A61,'Как есть'!FR$73:FR$80)</f>
        <v>0</v>
      </c>
      <c r="FR61">
        <f>SUMIF('Как есть'!$A$73:$A$80,Доп.расчеты!$A61,'Как есть'!FS$73:FS$80)</f>
        <v>0</v>
      </c>
      <c r="FS61">
        <f>SUMIF('Как есть'!$A$73:$A$80,Доп.расчеты!$A61,'Как есть'!FT$73:FT$80)</f>
        <v>0</v>
      </c>
      <c r="FT61">
        <f>SUMIF('Как есть'!$A$73:$A$80,Доп.расчеты!$A61,'Как есть'!FU$73:FU$80)</f>
        <v>0</v>
      </c>
      <c r="FU61">
        <f>SUMIF('Как есть'!$A$73:$A$80,Доп.расчеты!$A61,'Как есть'!FV$73:FV$80)</f>
        <v>0</v>
      </c>
      <c r="FV61">
        <f>SUMIF('Как есть'!$A$73:$A$80,Доп.расчеты!$A61,'Как есть'!FW$73:FW$80)</f>
        <v>0</v>
      </c>
      <c r="FW61">
        <f>SUMIF('Как есть'!$A$73:$A$80,Доп.расчеты!$A61,'Как есть'!FX$73:FX$80)</f>
        <v>0</v>
      </c>
      <c r="FX61">
        <f>SUMIF('Как есть'!$A$73:$A$80,Доп.расчеты!$A61,'Как есть'!FY$73:FY$80)</f>
        <v>0</v>
      </c>
      <c r="FY61">
        <f>SUMIF('Как есть'!$A$73:$A$80,Доп.расчеты!$A61,'Как есть'!FZ$73:FZ$80)</f>
        <v>0</v>
      </c>
      <c r="FZ61">
        <f>SUMIF('Как есть'!$A$73:$A$80,Доп.расчеты!$A61,'Как есть'!GA$73:GA$80)</f>
        <v>0</v>
      </c>
      <c r="GA61">
        <f>SUMIF('Как есть'!$A$73:$A$80,Доп.расчеты!$A61,'Как есть'!GB$73:GB$80)</f>
        <v>0</v>
      </c>
      <c r="GB61">
        <f>SUMIF('Как есть'!$A$73:$A$80,Доп.расчеты!$A61,'Как есть'!GC$73:GC$80)</f>
        <v>0</v>
      </c>
      <c r="GC61">
        <f>SUMIF('Как есть'!$A$73:$A$80,Доп.расчеты!$A61,'Как есть'!GD$73:GD$80)</f>
        <v>0</v>
      </c>
      <c r="GD61">
        <f>SUMIF('Как есть'!$A$73:$A$80,Доп.расчеты!$A61,'Как есть'!GE$73:GE$80)</f>
        <v>0</v>
      </c>
      <c r="GE61">
        <f>SUMIF('Как есть'!$A$73:$A$80,Доп.расчеты!$A61,'Как есть'!GF$73:GF$80)</f>
        <v>0</v>
      </c>
      <c r="GF61">
        <f>SUMIF('Как есть'!$A$73:$A$80,Доп.расчеты!$A61,'Как есть'!GG$73:GG$80)</f>
        <v>0</v>
      </c>
      <c r="GG61">
        <f>SUMIF('Как есть'!$A$73:$A$80,Доп.расчеты!$A61,'Как есть'!GH$73:GH$80)</f>
        <v>0</v>
      </c>
      <c r="GH61">
        <f>SUMIF('Как есть'!$A$73:$A$80,Доп.расчеты!$A61,'Как есть'!GI$73:GI$80)</f>
        <v>0</v>
      </c>
      <c r="GI61">
        <f>SUMIF('Как есть'!$A$73:$A$80,Доп.расчеты!$A61,'Как есть'!GJ$73:GJ$80)</f>
        <v>0</v>
      </c>
      <c r="GJ61">
        <f>SUMIF('Как есть'!$A$73:$A$80,Доп.расчеты!$A61,'Как есть'!GK$73:GK$80)</f>
        <v>0</v>
      </c>
      <c r="GK61">
        <f>SUMIF('Как есть'!$A$73:$A$80,Доп.расчеты!$A61,'Как есть'!GL$73:GL$80)</f>
        <v>0</v>
      </c>
      <c r="GL61">
        <f>SUMIF('Как есть'!$A$73:$A$80,Доп.расчеты!$A61,'Как есть'!GM$73:GM$80)</f>
        <v>0</v>
      </c>
      <c r="GM61">
        <f>SUMIF('Как есть'!$A$73:$A$80,Доп.расчеты!$A61,'Как есть'!GN$73:GN$80)</f>
        <v>0</v>
      </c>
      <c r="GN61">
        <f>SUMIF('Как есть'!$A$73:$A$80,Доп.расчеты!$A61,'Как есть'!GO$73:GO$80)</f>
        <v>0</v>
      </c>
      <c r="GO61">
        <f>SUMIF('Как есть'!$A$73:$A$80,Доп.расчеты!$A61,'Как есть'!GP$73:GP$80)</f>
        <v>0</v>
      </c>
      <c r="GP61">
        <f>SUMIF('Как есть'!$A$73:$A$80,Доп.расчеты!$A61,'Как есть'!GQ$73:GQ$80)</f>
        <v>0</v>
      </c>
      <c r="GQ61">
        <f>SUMIF('Как есть'!$A$73:$A$80,Доп.расчеты!$A61,'Как есть'!GR$73:GR$80)</f>
        <v>0</v>
      </c>
      <c r="GR61">
        <f>SUMIF('Как есть'!$A$73:$A$80,Доп.расчеты!$A61,'Как есть'!GS$73:GS$80)</f>
        <v>0</v>
      </c>
      <c r="GS61">
        <f>SUMIF('Как есть'!$A$73:$A$80,Доп.расчеты!$A61,'Как есть'!GT$73:GT$80)</f>
        <v>0</v>
      </c>
      <c r="GT61">
        <f>SUMIF('Как есть'!$A$73:$A$80,Доп.расчеты!$A61,'Как есть'!GU$73:GU$80)</f>
        <v>0</v>
      </c>
    </row>
    <row r="62" spans="1:202">
      <c r="A62" s="237" t="s">
        <v>99</v>
      </c>
      <c r="B62">
        <f>SUMIF('Как есть'!$A$73:$A$80,Доп.расчеты!$A62,'Как есть'!C$73:C$80)</f>
        <v>0</v>
      </c>
      <c r="C62">
        <f>SUMIF('Как есть'!$A$73:$A$80,Доп.расчеты!$A62,'Как есть'!D$73:D$80)</f>
        <v>0</v>
      </c>
      <c r="D62">
        <f>SUMIF('Как есть'!$A$73:$A$80,Доп.расчеты!$A62,'Как есть'!E$73:E$80)</f>
        <v>0</v>
      </c>
      <c r="E62">
        <f>SUMIF('Как есть'!$A$73:$A$80,Доп.расчеты!$A62,'Как есть'!F$73:F$80)</f>
        <v>0</v>
      </c>
      <c r="F62">
        <f>SUMIF('Как есть'!$A$73:$A$80,Доп.расчеты!$A62,'Как есть'!G$73:G$80)</f>
        <v>0</v>
      </c>
      <c r="G62">
        <f>SUMIF('Как есть'!$A$73:$A$80,Доп.расчеты!$A62,'Как есть'!H$73:H$80)</f>
        <v>0</v>
      </c>
      <c r="H62">
        <f>SUMIF('Как есть'!$A$73:$A$80,Доп.расчеты!$A62,'Как есть'!I$73:I$80)</f>
        <v>0</v>
      </c>
      <c r="I62">
        <f>SUMIF('Как есть'!$A$73:$A$80,Доп.расчеты!$A62,'Как есть'!J$73:J$80)</f>
        <v>0</v>
      </c>
      <c r="J62">
        <f>SUMIF('Как есть'!$A$73:$A$80,Доп.расчеты!$A62,'Как есть'!K$73:K$80)</f>
        <v>0</v>
      </c>
      <c r="K62">
        <f>SUMIF('Как есть'!$A$73:$A$80,Доп.расчеты!$A62,'Как есть'!L$73:L$80)</f>
        <v>0</v>
      </c>
      <c r="L62">
        <f>SUMIF('Как есть'!$A$73:$A$80,Доп.расчеты!$A62,'Как есть'!M$73:M$80)</f>
        <v>0</v>
      </c>
      <c r="M62">
        <f>SUMIF('Как есть'!$A$73:$A$80,Доп.расчеты!$A62,'Как есть'!N$73:N$80)</f>
        <v>0</v>
      </c>
      <c r="N62">
        <f>SUMIF('Как есть'!$A$73:$A$80,Доп.расчеты!$A62,'Как есть'!O$73:O$80)</f>
        <v>0</v>
      </c>
      <c r="O62">
        <f>SUMIF('Как есть'!$A$73:$A$80,Доп.расчеты!$A62,'Как есть'!P$73:P$80)</f>
        <v>0</v>
      </c>
      <c r="P62">
        <f>SUMIF('Как есть'!$A$73:$A$80,Доп.расчеты!$A62,'Как есть'!Q$73:Q$80)</f>
        <v>0</v>
      </c>
      <c r="Q62">
        <f>SUMIF('Как есть'!$A$73:$A$80,Доп.расчеты!$A62,'Как есть'!R$73:R$80)</f>
        <v>0</v>
      </c>
      <c r="R62">
        <f>SUMIF('Как есть'!$A$73:$A$80,Доп.расчеты!$A62,'Как есть'!S$73:S$80)</f>
        <v>0</v>
      </c>
      <c r="S62">
        <f>SUMIF('Как есть'!$A$73:$A$80,Доп.расчеты!$A62,'Как есть'!T$73:T$80)</f>
        <v>0</v>
      </c>
      <c r="T62">
        <f>SUMIF('Как есть'!$A$73:$A$80,Доп.расчеты!$A62,'Как есть'!U$73:U$80)</f>
        <v>0</v>
      </c>
      <c r="U62">
        <f>SUMIF('Как есть'!$A$73:$A$80,Доп.расчеты!$A62,'Как есть'!V$73:V$80)</f>
        <v>0</v>
      </c>
      <c r="V62">
        <f>SUMIF('Как есть'!$A$73:$A$80,Доп.расчеты!$A62,'Как есть'!W$73:W$80)</f>
        <v>0</v>
      </c>
      <c r="W62">
        <f>SUMIF('Как есть'!$A$73:$A$80,Доп.расчеты!$A62,'Как есть'!X$73:X$80)</f>
        <v>0</v>
      </c>
      <c r="X62">
        <f>SUMIF('Как есть'!$A$73:$A$80,Доп.расчеты!$A62,'Как есть'!Y$73:Y$80)</f>
        <v>0</v>
      </c>
      <c r="Y62">
        <f>SUMIF('Как есть'!$A$73:$A$80,Доп.расчеты!$A62,'Как есть'!Z$73:Z$80)</f>
        <v>0</v>
      </c>
      <c r="Z62">
        <f>SUMIF('Как есть'!$A$73:$A$80,Доп.расчеты!$A62,'Как есть'!AA$73:AA$80)</f>
        <v>0</v>
      </c>
      <c r="AA62">
        <f>SUMIF('Как есть'!$A$73:$A$80,Доп.расчеты!$A62,'Как есть'!AB$73:AB$80)</f>
        <v>0</v>
      </c>
      <c r="AB62">
        <f>SUMIF('Как есть'!$A$73:$A$80,Доп.расчеты!$A62,'Как есть'!AC$73:AC$80)</f>
        <v>0</v>
      </c>
      <c r="AC62">
        <f>SUMIF('Как есть'!$A$73:$A$80,Доп.расчеты!$A62,'Как есть'!AD$73:AD$80)</f>
        <v>0</v>
      </c>
      <c r="AD62">
        <f>SUMIF('Как есть'!$A$73:$A$80,Доп.расчеты!$A62,'Как есть'!AE$73:AE$80)</f>
        <v>0</v>
      </c>
      <c r="AE62">
        <f>SUMIF('Как есть'!$A$73:$A$80,Доп.расчеты!$A62,'Как есть'!AF$73:AF$80)</f>
        <v>0</v>
      </c>
      <c r="AF62">
        <f>SUMIF('Как есть'!$A$73:$A$80,Доп.расчеты!$A62,'Как есть'!AG$73:AG$80)</f>
        <v>0</v>
      </c>
      <c r="AG62">
        <f>SUMIF('Как есть'!$A$73:$A$80,Доп.расчеты!$A62,'Как есть'!AH$73:AH$80)</f>
        <v>0</v>
      </c>
      <c r="AH62">
        <f>SUMIF('Как есть'!$A$73:$A$80,Доп.расчеты!$A62,'Как есть'!AI$73:AI$80)</f>
        <v>0</v>
      </c>
      <c r="AI62">
        <f>SUMIF('Как есть'!$A$73:$A$80,Доп.расчеты!$A62,'Как есть'!AJ$73:AJ$80)</f>
        <v>0</v>
      </c>
      <c r="AJ62">
        <f>SUMIF('Как есть'!$A$73:$A$80,Доп.расчеты!$A62,'Как есть'!AK$73:AK$80)</f>
        <v>0</v>
      </c>
      <c r="AK62">
        <f>SUMIF('Как есть'!$A$73:$A$80,Доп.расчеты!$A62,'Как есть'!AL$73:AL$80)</f>
        <v>0</v>
      </c>
      <c r="AL62">
        <f>SUMIF('Как есть'!$A$73:$A$80,Доп.расчеты!$A62,'Как есть'!AM$73:AM$80)</f>
        <v>0</v>
      </c>
      <c r="AM62">
        <f>SUMIF('Как есть'!$A$73:$A$80,Доп.расчеты!$A62,'Как есть'!AN$73:AN$80)</f>
        <v>0</v>
      </c>
      <c r="AN62">
        <f>SUMIF('Как есть'!$A$73:$A$80,Доп.расчеты!$A62,'Как есть'!AO$73:AO$80)</f>
        <v>0</v>
      </c>
      <c r="AO62">
        <f>SUMIF('Как есть'!$A$73:$A$80,Доп.расчеты!$A62,'Как есть'!AP$73:AP$80)</f>
        <v>0</v>
      </c>
      <c r="AP62">
        <f>SUMIF('Как есть'!$A$73:$A$80,Доп.расчеты!$A62,'Как есть'!AQ$73:AQ$80)</f>
        <v>0</v>
      </c>
      <c r="AQ62">
        <f>SUMIF('Как есть'!$A$73:$A$80,Доп.расчеты!$A62,'Как есть'!AR$73:AR$80)</f>
        <v>0</v>
      </c>
      <c r="AR62">
        <f>SUMIF('Как есть'!$A$73:$A$80,Доп.расчеты!$A62,'Как есть'!AS$73:AS$80)</f>
        <v>0</v>
      </c>
      <c r="AS62">
        <f>SUMIF('Как есть'!$A$73:$A$80,Доп.расчеты!$A62,'Как есть'!AT$73:AT$80)</f>
        <v>0</v>
      </c>
      <c r="AT62">
        <f>SUMIF('Как есть'!$A$73:$A$80,Доп.расчеты!$A62,'Как есть'!AU$73:AU$80)</f>
        <v>0</v>
      </c>
      <c r="AU62">
        <f>SUMIF('Как есть'!$A$73:$A$80,Доп.расчеты!$A62,'Как есть'!AV$73:AV$80)</f>
        <v>0</v>
      </c>
      <c r="AV62">
        <f>SUMIF('Как есть'!$A$73:$A$80,Доп.расчеты!$A62,'Как есть'!AW$73:AW$80)</f>
        <v>0</v>
      </c>
      <c r="AW62">
        <f>SUMIF('Как есть'!$A$73:$A$80,Доп.расчеты!$A62,'Как есть'!AX$73:AX$80)</f>
        <v>0</v>
      </c>
      <c r="AX62">
        <f>SUMIF('Как есть'!$A$73:$A$80,Доп.расчеты!$A62,'Как есть'!AY$73:AY$80)</f>
        <v>0</v>
      </c>
      <c r="AY62">
        <f>SUMIF('Как есть'!$A$73:$A$80,Доп.расчеты!$A62,'Как есть'!AZ$73:AZ$80)</f>
        <v>0</v>
      </c>
      <c r="AZ62">
        <f>SUMIF('Как есть'!$A$73:$A$80,Доп.расчеты!$A62,'Как есть'!BA$73:BA$80)</f>
        <v>0</v>
      </c>
      <c r="BA62">
        <f>SUMIF('Как есть'!$A$73:$A$80,Доп.расчеты!$A62,'Как есть'!BB$73:BB$80)</f>
        <v>0</v>
      </c>
      <c r="BB62">
        <f>SUMIF('Как есть'!$A$73:$A$80,Доп.расчеты!$A62,'Как есть'!BC$73:BC$80)</f>
        <v>0</v>
      </c>
      <c r="BC62">
        <f>SUMIF('Как есть'!$A$73:$A$80,Доп.расчеты!$A62,'Как есть'!BD$73:BD$80)</f>
        <v>0</v>
      </c>
      <c r="BD62">
        <f>SUMIF('Как есть'!$A$73:$A$80,Доп.расчеты!$A62,'Как есть'!BE$73:BE$80)</f>
        <v>0</v>
      </c>
      <c r="BE62">
        <f>SUMIF('Как есть'!$A$73:$A$80,Доп.расчеты!$A62,'Как есть'!BF$73:BF$80)</f>
        <v>0</v>
      </c>
      <c r="BF62">
        <f>SUMIF('Как есть'!$A$73:$A$80,Доп.расчеты!$A62,'Как есть'!BG$73:BG$80)</f>
        <v>0</v>
      </c>
      <c r="BG62">
        <f>SUMIF('Как есть'!$A$73:$A$80,Доп.расчеты!$A62,'Как есть'!BH$73:BH$80)</f>
        <v>0</v>
      </c>
      <c r="BH62">
        <f>SUMIF('Как есть'!$A$73:$A$80,Доп.расчеты!$A62,'Как есть'!BI$73:BI$80)</f>
        <v>0</v>
      </c>
      <c r="BI62">
        <f>SUMIF('Как есть'!$A$73:$A$80,Доп.расчеты!$A62,'Как есть'!BJ$73:BJ$80)</f>
        <v>0</v>
      </c>
      <c r="BJ62">
        <f>SUMIF('Как есть'!$A$73:$A$80,Доп.расчеты!$A62,'Как есть'!BK$73:BK$80)</f>
        <v>0</v>
      </c>
      <c r="BK62">
        <f>SUMIF('Как есть'!$A$73:$A$80,Доп.расчеты!$A62,'Как есть'!BL$73:BL$80)</f>
        <v>0</v>
      </c>
      <c r="BL62">
        <f>SUMIF('Как есть'!$A$73:$A$80,Доп.расчеты!$A62,'Как есть'!BM$73:BM$80)</f>
        <v>0</v>
      </c>
      <c r="BM62">
        <f>SUMIF('Как есть'!$A$73:$A$80,Доп.расчеты!$A62,'Как есть'!BN$73:BN$80)</f>
        <v>0</v>
      </c>
      <c r="BN62">
        <f>SUMIF('Как есть'!$A$73:$A$80,Доп.расчеты!$A62,'Как есть'!BO$73:BO$80)</f>
        <v>0</v>
      </c>
      <c r="BO62">
        <f>SUMIF('Как есть'!$A$73:$A$80,Доп.расчеты!$A62,'Как есть'!BP$73:BP$80)</f>
        <v>0</v>
      </c>
      <c r="BP62">
        <f>SUMIF('Как есть'!$A$73:$A$80,Доп.расчеты!$A62,'Как есть'!BQ$73:BQ$80)</f>
        <v>0</v>
      </c>
      <c r="BQ62">
        <f>SUMIF('Как есть'!$A$73:$A$80,Доп.расчеты!$A62,'Как есть'!BR$73:BR$80)</f>
        <v>0</v>
      </c>
      <c r="BR62">
        <f>SUMIF('Как есть'!$A$73:$A$80,Доп.расчеты!$A62,'Как есть'!BS$73:BS$80)</f>
        <v>0</v>
      </c>
      <c r="BS62">
        <f>SUMIF('Как есть'!$A$73:$A$80,Доп.расчеты!$A62,'Как есть'!BT$73:BT$80)</f>
        <v>0</v>
      </c>
      <c r="BT62">
        <f>SUMIF('Как есть'!$A$73:$A$80,Доп.расчеты!$A62,'Как есть'!BU$73:BU$80)</f>
        <v>0</v>
      </c>
      <c r="BU62">
        <f>SUMIF('Как есть'!$A$73:$A$80,Доп.расчеты!$A62,'Как есть'!BV$73:BV$80)</f>
        <v>0</v>
      </c>
      <c r="BV62">
        <f>SUMIF('Как есть'!$A$73:$A$80,Доп.расчеты!$A62,'Как есть'!BW$73:BW$80)</f>
        <v>0</v>
      </c>
      <c r="BW62">
        <f>SUMIF('Как есть'!$A$73:$A$80,Доп.расчеты!$A62,'Как есть'!BX$73:BX$80)</f>
        <v>0</v>
      </c>
      <c r="BX62">
        <f>SUMIF('Как есть'!$A$73:$A$80,Доп.расчеты!$A62,'Как есть'!BY$73:BY$80)</f>
        <v>0</v>
      </c>
      <c r="BY62">
        <f>SUMIF('Как есть'!$A$73:$A$80,Доп.расчеты!$A62,'Как есть'!BZ$73:BZ$80)</f>
        <v>0</v>
      </c>
      <c r="BZ62">
        <f>SUMIF('Как есть'!$A$73:$A$80,Доп.расчеты!$A62,'Как есть'!CA$73:CA$80)</f>
        <v>0</v>
      </c>
      <c r="CA62">
        <f>SUMIF('Как есть'!$A$73:$A$80,Доп.расчеты!$A62,'Как есть'!CB$73:CB$80)</f>
        <v>0</v>
      </c>
      <c r="CB62">
        <f>SUMIF('Как есть'!$A$73:$A$80,Доп.расчеты!$A62,'Как есть'!CC$73:CC$80)</f>
        <v>0</v>
      </c>
      <c r="CC62">
        <f>SUMIF('Как есть'!$A$73:$A$80,Доп.расчеты!$A62,'Как есть'!CD$73:CD$80)</f>
        <v>0</v>
      </c>
      <c r="CD62">
        <f>SUMIF('Как есть'!$A$73:$A$80,Доп.расчеты!$A62,'Как есть'!CE$73:CE$80)</f>
        <v>0</v>
      </c>
      <c r="CE62">
        <f>SUMIF('Как есть'!$A$73:$A$80,Доп.расчеты!$A62,'Как есть'!CF$73:CF$80)</f>
        <v>0</v>
      </c>
      <c r="CF62">
        <f>SUMIF('Как есть'!$A$73:$A$80,Доп.расчеты!$A62,'Как есть'!CG$73:CG$80)</f>
        <v>0</v>
      </c>
      <c r="CG62">
        <f>SUMIF('Как есть'!$A$73:$A$80,Доп.расчеты!$A62,'Как есть'!CH$73:CH$80)</f>
        <v>0</v>
      </c>
      <c r="CH62">
        <f>SUMIF('Как есть'!$A$73:$A$80,Доп.расчеты!$A62,'Как есть'!CI$73:CI$80)</f>
        <v>0</v>
      </c>
      <c r="CI62">
        <f>SUMIF('Как есть'!$A$73:$A$80,Доп.расчеты!$A62,'Как есть'!CJ$73:CJ$80)</f>
        <v>0</v>
      </c>
      <c r="CJ62">
        <f>SUMIF('Как есть'!$A$73:$A$80,Доп.расчеты!$A62,'Как есть'!CK$73:CK$80)</f>
        <v>0</v>
      </c>
      <c r="CK62">
        <f>SUMIF('Как есть'!$A$73:$A$80,Доп.расчеты!$A62,'Как есть'!CL$73:CL$80)</f>
        <v>0</v>
      </c>
      <c r="CL62">
        <f>SUMIF('Как есть'!$A$73:$A$80,Доп.расчеты!$A62,'Как есть'!CM$73:CM$80)</f>
        <v>0</v>
      </c>
      <c r="CM62">
        <f>SUMIF('Как есть'!$A$73:$A$80,Доп.расчеты!$A62,'Как есть'!CN$73:CN$80)</f>
        <v>0</v>
      </c>
      <c r="CN62">
        <f>SUMIF('Как есть'!$A$73:$A$80,Доп.расчеты!$A62,'Как есть'!CO$73:CO$80)</f>
        <v>0</v>
      </c>
      <c r="CO62">
        <f>SUMIF('Как есть'!$A$73:$A$80,Доп.расчеты!$A62,'Как есть'!CP$73:CP$80)</f>
        <v>0</v>
      </c>
      <c r="CP62">
        <f>SUMIF('Как есть'!$A$73:$A$80,Доп.расчеты!$A62,'Как есть'!CQ$73:CQ$80)</f>
        <v>0</v>
      </c>
      <c r="CQ62">
        <f>SUMIF('Как есть'!$A$73:$A$80,Доп.расчеты!$A62,'Как есть'!CR$73:CR$80)</f>
        <v>0</v>
      </c>
      <c r="CR62">
        <f>SUMIF('Как есть'!$A$73:$A$80,Доп.расчеты!$A62,'Как есть'!CS$73:CS$80)</f>
        <v>0</v>
      </c>
      <c r="CS62">
        <f>SUMIF('Как есть'!$A$73:$A$80,Доп.расчеты!$A62,'Как есть'!CT$73:CT$80)</f>
        <v>0</v>
      </c>
      <c r="CT62">
        <f>SUMIF('Как есть'!$A$73:$A$80,Доп.расчеты!$A62,'Как есть'!CU$73:CU$80)</f>
        <v>0</v>
      </c>
      <c r="CU62">
        <f>SUMIF('Как есть'!$A$73:$A$80,Доп.расчеты!$A62,'Как есть'!CV$73:CV$80)</f>
        <v>0</v>
      </c>
      <c r="CV62">
        <f>SUMIF('Как есть'!$A$73:$A$80,Доп.расчеты!$A62,'Как есть'!CW$73:CW$80)</f>
        <v>0</v>
      </c>
      <c r="CW62">
        <f>SUMIF('Как есть'!$A$73:$A$80,Доп.расчеты!$A62,'Как есть'!CX$73:CX$80)</f>
        <v>0</v>
      </c>
      <c r="CX62">
        <f>SUMIF('Как есть'!$A$73:$A$80,Доп.расчеты!$A62,'Как есть'!CY$73:CY$80)</f>
        <v>0</v>
      </c>
      <c r="CY62">
        <f>SUMIF('Как есть'!$A$73:$A$80,Доп.расчеты!$A62,'Как есть'!CZ$73:CZ$80)</f>
        <v>0</v>
      </c>
      <c r="CZ62">
        <f>SUMIF('Как есть'!$A$73:$A$80,Доп.расчеты!$A62,'Как есть'!DA$73:DA$80)</f>
        <v>0</v>
      </c>
      <c r="DA62">
        <f>SUMIF('Как есть'!$A$73:$A$80,Доп.расчеты!$A62,'Как есть'!DB$73:DB$80)</f>
        <v>0</v>
      </c>
      <c r="DB62">
        <f>SUMIF('Как есть'!$A$73:$A$80,Доп.расчеты!$A62,'Как есть'!DC$73:DC$80)</f>
        <v>0</v>
      </c>
      <c r="DC62">
        <f>SUMIF('Как есть'!$A$73:$A$80,Доп.расчеты!$A62,'Как есть'!DD$73:DD$80)</f>
        <v>0</v>
      </c>
      <c r="DD62">
        <f>SUMIF('Как есть'!$A$73:$A$80,Доп.расчеты!$A62,'Как есть'!DE$73:DE$80)</f>
        <v>0</v>
      </c>
      <c r="DE62">
        <f>SUMIF('Как есть'!$A$73:$A$80,Доп.расчеты!$A62,'Как есть'!DF$73:DF$80)</f>
        <v>0</v>
      </c>
      <c r="DF62">
        <f>SUMIF('Как есть'!$A$73:$A$80,Доп.расчеты!$A62,'Как есть'!DG$73:DG$80)</f>
        <v>0</v>
      </c>
      <c r="DG62">
        <f>SUMIF('Как есть'!$A$73:$A$80,Доп.расчеты!$A62,'Как есть'!DH$73:DH$80)</f>
        <v>0</v>
      </c>
      <c r="DH62">
        <f>SUMIF('Как есть'!$A$73:$A$80,Доп.расчеты!$A62,'Как есть'!DI$73:DI$80)</f>
        <v>0</v>
      </c>
      <c r="DI62">
        <f>SUMIF('Как есть'!$A$73:$A$80,Доп.расчеты!$A62,'Как есть'!DJ$73:DJ$80)</f>
        <v>0</v>
      </c>
      <c r="DJ62">
        <f>SUMIF('Как есть'!$A$73:$A$80,Доп.расчеты!$A62,'Как есть'!DK$73:DK$80)</f>
        <v>0</v>
      </c>
      <c r="DK62">
        <f>SUMIF('Как есть'!$A$73:$A$80,Доп.расчеты!$A62,'Как есть'!DL$73:DL$80)</f>
        <v>0</v>
      </c>
      <c r="DL62">
        <f>SUMIF('Как есть'!$A$73:$A$80,Доп.расчеты!$A62,'Как есть'!DM$73:DM$80)</f>
        <v>0</v>
      </c>
      <c r="DM62">
        <f>SUMIF('Как есть'!$A$73:$A$80,Доп.расчеты!$A62,'Как есть'!DN$73:DN$80)</f>
        <v>0</v>
      </c>
      <c r="DN62">
        <f>SUMIF('Как есть'!$A$73:$A$80,Доп.расчеты!$A62,'Как есть'!DO$73:DO$80)</f>
        <v>0</v>
      </c>
      <c r="DO62">
        <f>SUMIF('Как есть'!$A$73:$A$80,Доп.расчеты!$A62,'Как есть'!DP$73:DP$80)</f>
        <v>0</v>
      </c>
      <c r="DP62">
        <f>SUMIF('Как есть'!$A$73:$A$80,Доп.расчеты!$A62,'Как есть'!DQ$73:DQ$80)</f>
        <v>0</v>
      </c>
      <c r="DQ62">
        <f>SUMIF('Как есть'!$A$73:$A$80,Доп.расчеты!$A62,'Как есть'!DR$73:DR$80)</f>
        <v>0</v>
      </c>
      <c r="DR62">
        <f>SUMIF('Как есть'!$A$73:$A$80,Доп.расчеты!$A62,'Как есть'!DS$73:DS$80)</f>
        <v>0</v>
      </c>
      <c r="DS62">
        <f>SUMIF('Как есть'!$A$73:$A$80,Доп.расчеты!$A62,'Как есть'!DT$73:DT$80)</f>
        <v>0</v>
      </c>
      <c r="DT62">
        <f>SUMIF('Как есть'!$A$73:$A$80,Доп.расчеты!$A62,'Как есть'!DU$73:DU$80)</f>
        <v>0</v>
      </c>
      <c r="DU62">
        <f>SUMIF('Как есть'!$A$73:$A$80,Доп.расчеты!$A62,'Как есть'!DV$73:DV$80)</f>
        <v>0</v>
      </c>
      <c r="DV62">
        <f>SUMIF('Как есть'!$A$73:$A$80,Доп.расчеты!$A62,'Как есть'!DW$73:DW$80)</f>
        <v>0</v>
      </c>
      <c r="DW62">
        <f>SUMIF('Как есть'!$A$73:$A$80,Доп.расчеты!$A62,'Как есть'!DX$73:DX$80)</f>
        <v>0</v>
      </c>
      <c r="DX62">
        <f>SUMIF('Как есть'!$A$73:$A$80,Доп.расчеты!$A62,'Как есть'!DY$73:DY$80)</f>
        <v>0</v>
      </c>
      <c r="DY62">
        <f>SUMIF('Как есть'!$A$73:$A$80,Доп.расчеты!$A62,'Как есть'!DZ$73:DZ$80)</f>
        <v>0</v>
      </c>
      <c r="DZ62">
        <f>SUMIF('Как есть'!$A$73:$A$80,Доп.расчеты!$A62,'Как есть'!EA$73:EA$80)</f>
        <v>0</v>
      </c>
      <c r="EA62">
        <f>SUMIF('Как есть'!$A$73:$A$80,Доп.расчеты!$A62,'Как есть'!EB$73:EB$80)</f>
        <v>0</v>
      </c>
      <c r="EB62">
        <f>SUMIF('Как есть'!$A$73:$A$80,Доп.расчеты!$A62,'Как есть'!EC$73:EC$80)</f>
        <v>0</v>
      </c>
      <c r="EC62">
        <f>SUMIF('Как есть'!$A$73:$A$80,Доп.расчеты!$A62,'Как есть'!ED$73:ED$80)</f>
        <v>0</v>
      </c>
      <c r="ED62">
        <f>SUMIF('Как есть'!$A$73:$A$80,Доп.расчеты!$A62,'Как есть'!EE$73:EE$80)</f>
        <v>0</v>
      </c>
      <c r="EE62">
        <f>SUMIF('Как есть'!$A$73:$A$80,Доп.расчеты!$A62,'Как есть'!EF$73:EF$80)</f>
        <v>0</v>
      </c>
      <c r="EF62">
        <f>SUMIF('Как есть'!$A$73:$A$80,Доп.расчеты!$A62,'Как есть'!EG$73:EG$80)</f>
        <v>0</v>
      </c>
      <c r="EG62">
        <f>SUMIF('Как есть'!$A$73:$A$80,Доп.расчеты!$A62,'Как есть'!EH$73:EH$80)</f>
        <v>0</v>
      </c>
      <c r="EH62">
        <f>SUMIF('Как есть'!$A$73:$A$80,Доп.расчеты!$A62,'Как есть'!EI$73:EI$80)</f>
        <v>0</v>
      </c>
      <c r="EI62">
        <f>SUMIF('Как есть'!$A$73:$A$80,Доп.расчеты!$A62,'Как есть'!EJ$73:EJ$80)</f>
        <v>0</v>
      </c>
      <c r="EJ62">
        <f>SUMIF('Как есть'!$A$73:$A$80,Доп.расчеты!$A62,'Как есть'!EK$73:EK$80)</f>
        <v>0</v>
      </c>
      <c r="EK62">
        <f>SUMIF('Как есть'!$A$73:$A$80,Доп.расчеты!$A62,'Как есть'!EL$73:EL$80)</f>
        <v>0</v>
      </c>
      <c r="EL62">
        <f>SUMIF('Как есть'!$A$73:$A$80,Доп.расчеты!$A62,'Как есть'!EM$73:EM$80)</f>
        <v>0</v>
      </c>
      <c r="EM62">
        <f>SUMIF('Как есть'!$A$73:$A$80,Доп.расчеты!$A62,'Как есть'!EN$73:EN$80)</f>
        <v>0</v>
      </c>
      <c r="EN62">
        <f>SUMIF('Как есть'!$A$73:$A$80,Доп.расчеты!$A62,'Как есть'!EO$73:EO$80)</f>
        <v>0</v>
      </c>
      <c r="EO62">
        <f>SUMIF('Как есть'!$A$73:$A$80,Доп.расчеты!$A62,'Как есть'!EP$73:EP$80)</f>
        <v>0</v>
      </c>
      <c r="EP62">
        <f>SUMIF('Как есть'!$A$73:$A$80,Доп.расчеты!$A62,'Как есть'!EQ$73:EQ$80)</f>
        <v>0</v>
      </c>
      <c r="EQ62">
        <f>SUMIF('Как есть'!$A$73:$A$80,Доп.расчеты!$A62,'Как есть'!ER$73:ER$80)</f>
        <v>0</v>
      </c>
      <c r="ER62">
        <f>SUMIF('Как есть'!$A$73:$A$80,Доп.расчеты!$A62,'Как есть'!ES$73:ES$80)</f>
        <v>0</v>
      </c>
      <c r="ES62">
        <f>SUMIF('Как есть'!$A$73:$A$80,Доп.расчеты!$A62,'Как есть'!ET$73:ET$80)</f>
        <v>0</v>
      </c>
      <c r="ET62">
        <f>SUMIF('Как есть'!$A$73:$A$80,Доп.расчеты!$A62,'Как есть'!EU$73:EU$80)</f>
        <v>0</v>
      </c>
      <c r="EU62">
        <f>SUMIF('Как есть'!$A$73:$A$80,Доп.расчеты!$A62,'Как есть'!EV$73:EV$80)</f>
        <v>0</v>
      </c>
      <c r="EV62">
        <f>SUMIF('Как есть'!$A$73:$A$80,Доп.расчеты!$A62,'Как есть'!EW$73:EW$80)</f>
        <v>0</v>
      </c>
      <c r="EW62">
        <f>SUMIF('Как есть'!$A$73:$A$80,Доп.расчеты!$A62,'Как есть'!EX$73:EX$80)</f>
        <v>0</v>
      </c>
      <c r="EX62">
        <f>SUMIF('Как есть'!$A$73:$A$80,Доп.расчеты!$A62,'Как есть'!EY$73:EY$80)</f>
        <v>0</v>
      </c>
      <c r="EY62">
        <f>SUMIF('Как есть'!$A$73:$A$80,Доп.расчеты!$A62,'Как есть'!EZ$73:EZ$80)</f>
        <v>0</v>
      </c>
      <c r="EZ62">
        <f>SUMIF('Как есть'!$A$73:$A$80,Доп.расчеты!$A62,'Как есть'!FA$73:FA$80)</f>
        <v>0</v>
      </c>
      <c r="FA62">
        <f>SUMIF('Как есть'!$A$73:$A$80,Доп.расчеты!$A62,'Как есть'!FB$73:FB$80)</f>
        <v>0</v>
      </c>
      <c r="FB62">
        <f>SUMIF('Как есть'!$A$73:$A$80,Доп.расчеты!$A62,'Как есть'!FC$73:FC$80)</f>
        <v>0</v>
      </c>
      <c r="FC62">
        <f>SUMIF('Как есть'!$A$73:$A$80,Доп.расчеты!$A62,'Как есть'!FD$73:FD$80)</f>
        <v>0</v>
      </c>
      <c r="FD62">
        <f>SUMIF('Как есть'!$A$73:$A$80,Доп.расчеты!$A62,'Как есть'!FE$73:FE$80)</f>
        <v>0</v>
      </c>
      <c r="FE62">
        <f>SUMIF('Как есть'!$A$73:$A$80,Доп.расчеты!$A62,'Как есть'!FF$73:FF$80)</f>
        <v>0</v>
      </c>
      <c r="FF62">
        <f>SUMIF('Как есть'!$A$73:$A$80,Доп.расчеты!$A62,'Как есть'!FG$73:FG$80)</f>
        <v>0</v>
      </c>
      <c r="FG62">
        <f>SUMIF('Как есть'!$A$73:$A$80,Доп.расчеты!$A62,'Как есть'!FH$73:FH$80)</f>
        <v>0</v>
      </c>
      <c r="FH62">
        <f>SUMIF('Как есть'!$A$73:$A$80,Доп.расчеты!$A62,'Как есть'!FI$73:FI$80)</f>
        <v>0</v>
      </c>
      <c r="FI62">
        <f>SUMIF('Как есть'!$A$73:$A$80,Доп.расчеты!$A62,'Как есть'!FJ$73:FJ$80)</f>
        <v>0</v>
      </c>
      <c r="FJ62">
        <f>SUMIF('Как есть'!$A$73:$A$80,Доп.расчеты!$A62,'Как есть'!FK$73:FK$80)</f>
        <v>0</v>
      </c>
      <c r="FK62">
        <f>SUMIF('Как есть'!$A$73:$A$80,Доп.расчеты!$A62,'Как есть'!FL$73:FL$80)</f>
        <v>0</v>
      </c>
      <c r="FL62">
        <f>SUMIF('Как есть'!$A$73:$A$80,Доп.расчеты!$A62,'Как есть'!FM$73:FM$80)</f>
        <v>0</v>
      </c>
      <c r="FM62">
        <f>SUMIF('Как есть'!$A$73:$A$80,Доп.расчеты!$A62,'Как есть'!FN$73:FN$80)</f>
        <v>0</v>
      </c>
      <c r="FN62">
        <f>SUMIF('Как есть'!$A$73:$A$80,Доп.расчеты!$A62,'Как есть'!FO$73:FO$80)</f>
        <v>0</v>
      </c>
      <c r="FO62">
        <f>SUMIF('Как есть'!$A$73:$A$80,Доп.расчеты!$A62,'Как есть'!FP$73:FP$80)</f>
        <v>0</v>
      </c>
      <c r="FP62">
        <f>SUMIF('Как есть'!$A$73:$A$80,Доп.расчеты!$A62,'Как есть'!FQ$73:FQ$80)</f>
        <v>0</v>
      </c>
      <c r="FQ62">
        <f>SUMIF('Как есть'!$A$73:$A$80,Доп.расчеты!$A62,'Как есть'!FR$73:FR$80)</f>
        <v>0</v>
      </c>
      <c r="FR62">
        <f>SUMIF('Как есть'!$A$73:$A$80,Доп.расчеты!$A62,'Как есть'!FS$73:FS$80)</f>
        <v>0</v>
      </c>
      <c r="FS62">
        <f>SUMIF('Как есть'!$A$73:$A$80,Доп.расчеты!$A62,'Как есть'!FT$73:FT$80)</f>
        <v>0</v>
      </c>
      <c r="FT62">
        <f>SUMIF('Как есть'!$A$73:$A$80,Доп.расчеты!$A62,'Как есть'!FU$73:FU$80)</f>
        <v>0</v>
      </c>
      <c r="FU62">
        <f>SUMIF('Как есть'!$A$73:$A$80,Доп.расчеты!$A62,'Как есть'!FV$73:FV$80)</f>
        <v>0</v>
      </c>
      <c r="FV62">
        <f>SUMIF('Как есть'!$A$73:$A$80,Доп.расчеты!$A62,'Как есть'!FW$73:FW$80)</f>
        <v>0</v>
      </c>
      <c r="FW62">
        <f>SUMIF('Как есть'!$A$73:$A$80,Доп.расчеты!$A62,'Как есть'!FX$73:FX$80)</f>
        <v>0</v>
      </c>
      <c r="FX62">
        <f>SUMIF('Как есть'!$A$73:$A$80,Доп.расчеты!$A62,'Как есть'!FY$73:FY$80)</f>
        <v>0</v>
      </c>
      <c r="FY62">
        <f>SUMIF('Как есть'!$A$73:$A$80,Доп.расчеты!$A62,'Как есть'!FZ$73:FZ$80)</f>
        <v>0</v>
      </c>
      <c r="FZ62">
        <f>SUMIF('Как есть'!$A$73:$A$80,Доп.расчеты!$A62,'Как есть'!GA$73:GA$80)</f>
        <v>0</v>
      </c>
      <c r="GA62">
        <f>SUMIF('Как есть'!$A$73:$A$80,Доп.расчеты!$A62,'Как есть'!GB$73:GB$80)</f>
        <v>0</v>
      </c>
      <c r="GB62">
        <f>SUMIF('Как есть'!$A$73:$A$80,Доп.расчеты!$A62,'Как есть'!GC$73:GC$80)</f>
        <v>0</v>
      </c>
      <c r="GC62">
        <f>SUMIF('Как есть'!$A$73:$A$80,Доп.расчеты!$A62,'Как есть'!GD$73:GD$80)</f>
        <v>0</v>
      </c>
      <c r="GD62">
        <f>SUMIF('Как есть'!$A$73:$A$80,Доп.расчеты!$A62,'Как есть'!GE$73:GE$80)</f>
        <v>0</v>
      </c>
      <c r="GE62">
        <f>SUMIF('Как есть'!$A$73:$A$80,Доп.расчеты!$A62,'Как есть'!GF$73:GF$80)</f>
        <v>0</v>
      </c>
      <c r="GF62">
        <f>SUMIF('Как есть'!$A$73:$A$80,Доп.расчеты!$A62,'Как есть'!GG$73:GG$80)</f>
        <v>0</v>
      </c>
      <c r="GG62">
        <f>SUMIF('Как есть'!$A$73:$A$80,Доп.расчеты!$A62,'Как есть'!GH$73:GH$80)</f>
        <v>0</v>
      </c>
      <c r="GH62">
        <f>SUMIF('Как есть'!$A$73:$A$80,Доп.расчеты!$A62,'Как есть'!GI$73:GI$80)</f>
        <v>0</v>
      </c>
      <c r="GI62">
        <f>SUMIF('Как есть'!$A$73:$A$80,Доп.расчеты!$A62,'Как есть'!GJ$73:GJ$80)</f>
        <v>0</v>
      </c>
      <c r="GJ62">
        <f>SUMIF('Как есть'!$A$73:$A$80,Доп.расчеты!$A62,'Как есть'!GK$73:GK$80)</f>
        <v>0</v>
      </c>
      <c r="GK62">
        <f>SUMIF('Как есть'!$A$73:$A$80,Доп.расчеты!$A62,'Как есть'!GL$73:GL$80)</f>
        <v>0</v>
      </c>
      <c r="GL62">
        <f>SUMIF('Как есть'!$A$73:$A$80,Доп.расчеты!$A62,'Как есть'!GM$73:GM$80)</f>
        <v>0</v>
      </c>
      <c r="GM62">
        <f>SUMIF('Как есть'!$A$73:$A$80,Доп.расчеты!$A62,'Как есть'!GN$73:GN$80)</f>
        <v>0</v>
      </c>
      <c r="GN62">
        <f>SUMIF('Как есть'!$A$73:$A$80,Доп.расчеты!$A62,'Как есть'!GO$73:GO$80)</f>
        <v>0</v>
      </c>
      <c r="GO62">
        <f>SUMIF('Как есть'!$A$73:$A$80,Доп.расчеты!$A62,'Как есть'!GP$73:GP$80)</f>
        <v>0</v>
      </c>
      <c r="GP62">
        <f>SUMIF('Как есть'!$A$73:$A$80,Доп.расчеты!$A62,'Как есть'!GQ$73:GQ$80)</f>
        <v>0</v>
      </c>
      <c r="GQ62">
        <f>SUMIF('Как есть'!$A$73:$A$80,Доп.расчеты!$A62,'Как есть'!GR$73:GR$80)</f>
        <v>0</v>
      </c>
      <c r="GR62">
        <f>SUMIF('Как есть'!$A$73:$A$80,Доп.расчеты!$A62,'Как есть'!GS$73:GS$80)</f>
        <v>0</v>
      </c>
      <c r="GS62">
        <f>SUMIF('Как есть'!$A$73:$A$80,Доп.расчеты!$A62,'Как есть'!GT$73:GT$80)</f>
        <v>0</v>
      </c>
      <c r="GT62">
        <f>SUMIF('Как есть'!$A$73:$A$80,Доп.расчеты!$A62,'Как есть'!GU$73:GU$80)</f>
        <v>0</v>
      </c>
    </row>
    <row r="63" spans="1:202">
      <c r="A63" s="237" t="s">
        <v>100</v>
      </c>
      <c r="B63">
        <f>SUMIF('Как есть'!$A$73:$A$80,Доп.расчеты!$A63,'Как есть'!C$73:C$80)</f>
        <v>0</v>
      </c>
      <c r="C63">
        <f>SUMIF('Как есть'!$A$73:$A$80,Доп.расчеты!$A63,'Как есть'!D$73:D$80)</f>
        <v>0</v>
      </c>
      <c r="D63">
        <f>SUMIF('Как есть'!$A$73:$A$80,Доп.расчеты!$A63,'Как есть'!E$73:E$80)</f>
        <v>0</v>
      </c>
      <c r="E63">
        <f>SUMIF('Как есть'!$A$73:$A$80,Доп.расчеты!$A63,'Как есть'!F$73:F$80)</f>
        <v>0</v>
      </c>
      <c r="F63">
        <f>SUMIF('Как есть'!$A$73:$A$80,Доп.расчеты!$A63,'Как есть'!G$73:G$80)</f>
        <v>0</v>
      </c>
      <c r="G63">
        <f>SUMIF('Как есть'!$A$73:$A$80,Доп.расчеты!$A63,'Как есть'!H$73:H$80)</f>
        <v>0</v>
      </c>
      <c r="H63">
        <f>SUMIF('Как есть'!$A$73:$A$80,Доп.расчеты!$A63,'Как есть'!I$73:I$80)</f>
        <v>0</v>
      </c>
      <c r="I63">
        <f>SUMIF('Как есть'!$A$73:$A$80,Доп.расчеты!$A63,'Как есть'!J$73:J$80)</f>
        <v>0</v>
      </c>
      <c r="J63">
        <f>SUMIF('Как есть'!$A$73:$A$80,Доп.расчеты!$A63,'Как есть'!K$73:K$80)</f>
        <v>0</v>
      </c>
      <c r="K63">
        <f>SUMIF('Как есть'!$A$73:$A$80,Доп.расчеты!$A63,'Как есть'!L$73:L$80)</f>
        <v>0</v>
      </c>
      <c r="L63">
        <f>SUMIF('Как есть'!$A$73:$A$80,Доп.расчеты!$A63,'Как есть'!M$73:M$80)</f>
        <v>0</v>
      </c>
      <c r="M63">
        <f>SUMIF('Как есть'!$A$73:$A$80,Доп.расчеты!$A63,'Как есть'!N$73:N$80)</f>
        <v>0</v>
      </c>
      <c r="N63">
        <f>SUMIF('Как есть'!$A$73:$A$80,Доп.расчеты!$A63,'Как есть'!O$73:O$80)</f>
        <v>0</v>
      </c>
      <c r="O63">
        <f>SUMIF('Как есть'!$A$73:$A$80,Доп.расчеты!$A63,'Как есть'!P$73:P$80)</f>
        <v>0</v>
      </c>
      <c r="P63">
        <f>SUMIF('Как есть'!$A$73:$A$80,Доп.расчеты!$A63,'Как есть'!Q$73:Q$80)</f>
        <v>0</v>
      </c>
      <c r="Q63">
        <f>SUMIF('Как есть'!$A$73:$A$80,Доп.расчеты!$A63,'Как есть'!R$73:R$80)</f>
        <v>0</v>
      </c>
      <c r="R63">
        <f>SUMIF('Как есть'!$A$73:$A$80,Доп.расчеты!$A63,'Как есть'!S$73:S$80)</f>
        <v>0</v>
      </c>
      <c r="S63">
        <f>SUMIF('Как есть'!$A$73:$A$80,Доп.расчеты!$A63,'Как есть'!T$73:T$80)</f>
        <v>0</v>
      </c>
      <c r="T63">
        <f>SUMIF('Как есть'!$A$73:$A$80,Доп.расчеты!$A63,'Как есть'!U$73:U$80)</f>
        <v>0</v>
      </c>
      <c r="U63">
        <f>SUMIF('Как есть'!$A$73:$A$80,Доп.расчеты!$A63,'Как есть'!V$73:V$80)</f>
        <v>0</v>
      </c>
      <c r="V63">
        <f>SUMIF('Как есть'!$A$73:$A$80,Доп.расчеты!$A63,'Как есть'!W$73:W$80)</f>
        <v>0</v>
      </c>
      <c r="W63">
        <f>SUMIF('Как есть'!$A$73:$A$80,Доп.расчеты!$A63,'Как есть'!X$73:X$80)</f>
        <v>0</v>
      </c>
      <c r="X63">
        <f>SUMIF('Как есть'!$A$73:$A$80,Доп.расчеты!$A63,'Как есть'!Y$73:Y$80)</f>
        <v>0</v>
      </c>
      <c r="Y63">
        <f>SUMIF('Как есть'!$A$73:$A$80,Доп.расчеты!$A63,'Как есть'!Z$73:Z$80)</f>
        <v>0</v>
      </c>
      <c r="Z63">
        <f>SUMIF('Как есть'!$A$73:$A$80,Доп.расчеты!$A63,'Как есть'!AA$73:AA$80)</f>
        <v>0</v>
      </c>
      <c r="AA63">
        <f>SUMIF('Как есть'!$A$73:$A$80,Доп.расчеты!$A63,'Как есть'!AB$73:AB$80)</f>
        <v>0</v>
      </c>
      <c r="AB63">
        <f>SUMIF('Как есть'!$A$73:$A$80,Доп.расчеты!$A63,'Как есть'!AC$73:AC$80)</f>
        <v>0</v>
      </c>
      <c r="AC63">
        <f>SUMIF('Как есть'!$A$73:$A$80,Доп.расчеты!$A63,'Как есть'!AD$73:AD$80)</f>
        <v>0</v>
      </c>
      <c r="AD63">
        <f>SUMIF('Как есть'!$A$73:$A$80,Доп.расчеты!$A63,'Как есть'!AE$73:AE$80)</f>
        <v>0</v>
      </c>
      <c r="AE63">
        <f>SUMIF('Как есть'!$A$73:$A$80,Доп.расчеты!$A63,'Как есть'!AF$73:AF$80)</f>
        <v>0</v>
      </c>
      <c r="AF63">
        <f>SUMIF('Как есть'!$A$73:$A$80,Доп.расчеты!$A63,'Как есть'!AG$73:AG$80)</f>
        <v>0</v>
      </c>
      <c r="AG63">
        <f>SUMIF('Как есть'!$A$73:$A$80,Доп.расчеты!$A63,'Как есть'!AH$73:AH$80)</f>
        <v>0</v>
      </c>
      <c r="AH63">
        <f>SUMIF('Как есть'!$A$73:$A$80,Доп.расчеты!$A63,'Как есть'!AI$73:AI$80)</f>
        <v>0</v>
      </c>
      <c r="AI63">
        <f>SUMIF('Как есть'!$A$73:$A$80,Доп.расчеты!$A63,'Как есть'!AJ$73:AJ$80)</f>
        <v>0</v>
      </c>
      <c r="AJ63">
        <f>SUMIF('Как есть'!$A$73:$A$80,Доп.расчеты!$A63,'Как есть'!AK$73:AK$80)</f>
        <v>0</v>
      </c>
      <c r="AK63">
        <f>SUMIF('Как есть'!$A$73:$A$80,Доп.расчеты!$A63,'Как есть'!AL$73:AL$80)</f>
        <v>0</v>
      </c>
      <c r="AL63">
        <f>SUMIF('Как есть'!$A$73:$A$80,Доп.расчеты!$A63,'Как есть'!AM$73:AM$80)</f>
        <v>0</v>
      </c>
      <c r="AM63">
        <f>SUMIF('Как есть'!$A$73:$A$80,Доп.расчеты!$A63,'Как есть'!AN$73:AN$80)</f>
        <v>0</v>
      </c>
      <c r="AN63">
        <f>SUMIF('Как есть'!$A$73:$A$80,Доп.расчеты!$A63,'Как есть'!AO$73:AO$80)</f>
        <v>0</v>
      </c>
      <c r="AO63">
        <f>SUMIF('Как есть'!$A$73:$A$80,Доп.расчеты!$A63,'Как есть'!AP$73:AP$80)</f>
        <v>0</v>
      </c>
      <c r="AP63">
        <f>SUMIF('Как есть'!$A$73:$A$80,Доп.расчеты!$A63,'Как есть'!AQ$73:AQ$80)</f>
        <v>0</v>
      </c>
      <c r="AQ63">
        <f>SUMIF('Как есть'!$A$73:$A$80,Доп.расчеты!$A63,'Как есть'!AR$73:AR$80)</f>
        <v>0</v>
      </c>
      <c r="AR63">
        <f>SUMIF('Как есть'!$A$73:$A$80,Доп.расчеты!$A63,'Как есть'!AS$73:AS$80)</f>
        <v>0</v>
      </c>
      <c r="AS63">
        <f>SUMIF('Как есть'!$A$73:$A$80,Доп.расчеты!$A63,'Как есть'!AT$73:AT$80)</f>
        <v>0</v>
      </c>
      <c r="AT63">
        <f>SUMIF('Как есть'!$A$73:$A$80,Доп.расчеты!$A63,'Как есть'!AU$73:AU$80)</f>
        <v>0</v>
      </c>
      <c r="AU63">
        <f>SUMIF('Как есть'!$A$73:$A$80,Доп.расчеты!$A63,'Как есть'!AV$73:AV$80)</f>
        <v>0</v>
      </c>
      <c r="AV63">
        <f>SUMIF('Как есть'!$A$73:$A$80,Доп.расчеты!$A63,'Как есть'!AW$73:AW$80)</f>
        <v>0</v>
      </c>
      <c r="AW63">
        <f>SUMIF('Как есть'!$A$73:$A$80,Доп.расчеты!$A63,'Как есть'!AX$73:AX$80)</f>
        <v>0</v>
      </c>
      <c r="AX63">
        <f>SUMIF('Как есть'!$A$73:$A$80,Доп.расчеты!$A63,'Как есть'!AY$73:AY$80)</f>
        <v>0</v>
      </c>
      <c r="AY63">
        <f>SUMIF('Как есть'!$A$73:$A$80,Доп.расчеты!$A63,'Как есть'!AZ$73:AZ$80)</f>
        <v>0</v>
      </c>
      <c r="AZ63">
        <f>SUMIF('Как есть'!$A$73:$A$80,Доп.расчеты!$A63,'Как есть'!BA$73:BA$80)</f>
        <v>0</v>
      </c>
      <c r="BA63">
        <f>SUMIF('Как есть'!$A$73:$A$80,Доп.расчеты!$A63,'Как есть'!BB$73:BB$80)</f>
        <v>0</v>
      </c>
      <c r="BB63">
        <f>SUMIF('Как есть'!$A$73:$A$80,Доп.расчеты!$A63,'Как есть'!BC$73:BC$80)</f>
        <v>0</v>
      </c>
      <c r="BC63">
        <f>SUMIF('Как есть'!$A$73:$A$80,Доп.расчеты!$A63,'Как есть'!BD$73:BD$80)</f>
        <v>0</v>
      </c>
      <c r="BD63">
        <f>SUMIF('Как есть'!$A$73:$A$80,Доп.расчеты!$A63,'Как есть'!BE$73:BE$80)</f>
        <v>0</v>
      </c>
      <c r="BE63">
        <f>SUMIF('Как есть'!$A$73:$A$80,Доп.расчеты!$A63,'Как есть'!BF$73:BF$80)</f>
        <v>0</v>
      </c>
      <c r="BF63">
        <f>SUMIF('Как есть'!$A$73:$A$80,Доп.расчеты!$A63,'Как есть'!BG$73:BG$80)</f>
        <v>0</v>
      </c>
      <c r="BG63">
        <f>SUMIF('Как есть'!$A$73:$A$80,Доп.расчеты!$A63,'Как есть'!BH$73:BH$80)</f>
        <v>0</v>
      </c>
      <c r="BH63">
        <f>SUMIF('Как есть'!$A$73:$A$80,Доп.расчеты!$A63,'Как есть'!BI$73:BI$80)</f>
        <v>0</v>
      </c>
      <c r="BI63">
        <f>SUMIF('Как есть'!$A$73:$A$80,Доп.расчеты!$A63,'Как есть'!BJ$73:BJ$80)</f>
        <v>0</v>
      </c>
      <c r="BJ63">
        <f>SUMIF('Как есть'!$A$73:$A$80,Доп.расчеты!$A63,'Как есть'!BK$73:BK$80)</f>
        <v>0</v>
      </c>
      <c r="BK63">
        <f>SUMIF('Как есть'!$A$73:$A$80,Доп.расчеты!$A63,'Как есть'!BL$73:BL$80)</f>
        <v>0</v>
      </c>
      <c r="BL63">
        <f>SUMIF('Как есть'!$A$73:$A$80,Доп.расчеты!$A63,'Как есть'!BM$73:BM$80)</f>
        <v>0</v>
      </c>
      <c r="BM63">
        <f>SUMIF('Как есть'!$A$73:$A$80,Доп.расчеты!$A63,'Как есть'!BN$73:BN$80)</f>
        <v>0</v>
      </c>
      <c r="BN63">
        <f>SUMIF('Как есть'!$A$73:$A$80,Доп.расчеты!$A63,'Как есть'!BO$73:BO$80)</f>
        <v>0</v>
      </c>
      <c r="BO63">
        <f>SUMIF('Как есть'!$A$73:$A$80,Доп.расчеты!$A63,'Как есть'!BP$73:BP$80)</f>
        <v>0</v>
      </c>
      <c r="BP63">
        <f>SUMIF('Как есть'!$A$73:$A$80,Доп.расчеты!$A63,'Как есть'!BQ$73:BQ$80)</f>
        <v>0</v>
      </c>
      <c r="BQ63">
        <f>SUMIF('Как есть'!$A$73:$A$80,Доп.расчеты!$A63,'Как есть'!BR$73:BR$80)</f>
        <v>0</v>
      </c>
      <c r="BR63">
        <f>SUMIF('Как есть'!$A$73:$A$80,Доп.расчеты!$A63,'Как есть'!BS$73:BS$80)</f>
        <v>0</v>
      </c>
      <c r="BS63">
        <f>SUMIF('Как есть'!$A$73:$A$80,Доп.расчеты!$A63,'Как есть'!BT$73:BT$80)</f>
        <v>0</v>
      </c>
      <c r="BT63">
        <f>SUMIF('Как есть'!$A$73:$A$80,Доп.расчеты!$A63,'Как есть'!BU$73:BU$80)</f>
        <v>0</v>
      </c>
      <c r="BU63">
        <f>SUMIF('Как есть'!$A$73:$A$80,Доп.расчеты!$A63,'Как есть'!BV$73:BV$80)</f>
        <v>0</v>
      </c>
      <c r="BV63">
        <f>SUMIF('Как есть'!$A$73:$A$80,Доп.расчеты!$A63,'Как есть'!BW$73:BW$80)</f>
        <v>0</v>
      </c>
      <c r="BW63">
        <f>SUMIF('Как есть'!$A$73:$A$80,Доп.расчеты!$A63,'Как есть'!BX$73:BX$80)</f>
        <v>0</v>
      </c>
      <c r="BX63">
        <f>SUMIF('Как есть'!$A$73:$A$80,Доп.расчеты!$A63,'Как есть'!BY$73:BY$80)</f>
        <v>0</v>
      </c>
      <c r="BY63">
        <f>SUMIF('Как есть'!$A$73:$A$80,Доп.расчеты!$A63,'Как есть'!BZ$73:BZ$80)</f>
        <v>0</v>
      </c>
      <c r="BZ63">
        <f>SUMIF('Как есть'!$A$73:$A$80,Доп.расчеты!$A63,'Как есть'!CA$73:CA$80)</f>
        <v>0</v>
      </c>
      <c r="CA63">
        <f>SUMIF('Как есть'!$A$73:$A$80,Доп.расчеты!$A63,'Как есть'!CB$73:CB$80)</f>
        <v>0</v>
      </c>
      <c r="CB63">
        <f>SUMIF('Как есть'!$A$73:$A$80,Доп.расчеты!$A63,'Как есть'!CC$73:CC$80)</f>
        <v>0</v>
      </c>
      <c r="CC63">
        <f>SUMIF('Как есть'!$A$73:$A$80,Доп.расчеты!$A63,'Как есть'!CD$73:CD$80)</f>
        <v>0</v>
      </c>
      <c r="CD63">
        <f>SUMIF('Как есть'!$A$73:$A$80,Доп.расчеты!$A63,'Как есть'!CE$73:CE$80)</f>
        <v>0</v>
      </c>
      <c r="CE63">
        <f>SUMIF('Как есть'!$A$73:$A$80,Доп.расчеты!$A63,'Как есть'!CF$73:CF$80)</f>
        <v>0</v>
      </c>
      <c r="CF63">
        <f>SUMIF('Как есть'!$A$73:$A$80,Доп.расчеты!$A63,'Как есть'!CG$73:CG$80)</f>
        <v>0</v>
      </c>
      <c r="CG63">
        <f>SUMIF('Как есть'!$A$73:$A$80,Доп.расчеты!$A63,'Как есть'!CH$73:CH$80)</f>
        <v>0</v>
      </c>
      <c r="CH63">
        <f>SUMIF('Как есть'!$A$73:$A$80,Доп.расчеты!$A63,'Как есть'!CI$73:CI$80)</f>
        <v>0</v>
      </c>
      <c r="CI63">
        <f>SUMIF('Как есть'!$A$73:$A$80,Доп.расчеты!$A63,'Как есть'!CJ$73:CJ$80)</f>
        <v>0</v>
      </c>
      <c r="CJ63">
        <f>SUMIF('Как есть'!$A$73:$A$80,Доп.расчеты!$A63,'Как есть'!CK$73:CK$80)</f>
        <v>0</v>
      </c>
      <c r="CK63">
        <f>SUMIF('Как есть'!$A$73:$A$80,Доп.расчеты!$A63,'Как есть'!CL$73:CL$80)</f>
        <v>0</v>
      </c>
      <c r="CL63">
        <f>SUMIF('Как есть'!$A$73:$A$80,Доп.расчеты!$A63,'Как есть'!CM$73:CM$80)</f>
        <v>0</v>
      </c>
      <c r="CM63">
        <f>SUMIF('Как есть'!$A$73:$A$80,Доп.расчеты!$A63,'Как есть'!CN$73:CN$80)</f>
        <v>0</v>
      </c>
      <c r="CN63">
        <f>SUMIF('Как есть'!$A$73:$A$80,Доп.расчеты!$A63,'Как есть'!CO$73:CO$80)</f>
        <v>0</v>
      </c>
      <c r="CO63">
        <f>SUMIF('Как есть'!$A$73:$A$80,Доп.расчеты!$A63,'Как есть'!CP$73:CP$80)</f>
        <v>0</v>
      </c>
      <c r="CP63">
        <f>SUMIF('Как есть'!$A$73:$A$80,Доп.расчеты!$A63,'Как есть'!CQ$73:CQ$80)</f>
        <v>0</v>
      </c>
      <c r="CQ63">
        <f>SUMIF('Как есть'!$A$73:$A$80,Доп.расчеты!$A63,'Как есть'!CR$73:CR$80)</f>
        <v>0</v>
      </c>
      <c r="CR63">
        <f>SUMIF('Как есть'!$A$73:$A$80,Доп.расчеты!$A63,'Как есть'!CS$73:CS$80)</f>
        <v>0</v>
      </c>
      <c r="CS63">
        <f>SUMIF('Как есть'!$A$73:$A$80,Доп.расчеты!$A63,'Как есть'!CT$73:CT$80)</f>
        <v>0</v>
      </c>
      <c r="CT63">
        <f>SUMIF('Как есть'!$A$73:$A$80,Доп.расчеты!$A63,'Как есть'!CU$73:CU$80)</f>
        <v>0</v>
      </c>
      <c r="CU63">
        <f>SUMIF('Как есть'!$A$73:$A$80,Доп.расчеты!$A63,'Как есть'!CV$73:CV$80)</f>
        <v>0</v>
      </c>
      <c r="CV63">
        <f>SUMIF('Как есть'!$A$73:$A$80,Доп.расчеты!$A63,'Как есть'!CW$73:CW$80)</f>
        <v>0</v>
      </c>
      <c r="CW63">
        <f>SUMIF('Как есть'!$A$73:$A$80,Доп.расчеты!$A63,'Как есть'!CX$73:CX$80)</f>
        <v>0</v>
      </c>
      <c r="CX63">
        <f>SUMIF('Как есть'!$A$73:$A$80,Доп.расчеты!$A63,'Как есть'!CY$73:CY$80)</f>
        <v>0</v>
      </c>
      <c r="CY63">
        <f>SUMIF('Как есть'!$A$73:$A$80,Доп.расчеты!$A63,'Как есть'!CZ$73:CZ$80)</f>
        <v>0</v>
      </c>
      <c r="CZ63">
        <f>SUMIF('Как есть'!$A$73:$A$80,Доп.расчеты!$A63,'Как есть'!DA$73:DA$80)</f>
        <v>0</v>
      </c>
      <c r="DA63">
        <f>SUMIF('Как есть'!$A$73:$A$80,Доп.расчеты!$A63,'Как есть'!DB$73:DB$80)</f>
        <v>0</v>
      </c>
      <c r="DB63">
        <f>SUMIF('Как есть'!$A$73:$A$80,Доп.расчеты!$A63,'Как есть'!DC$73:DC$80)</f>
        <v>0</v>
      </c>
      <c r="DC63">
        <f>SUMIF('Как есть'!$A$73:$A$80,Доп.расчеты!$A63,'Как есть'!DD$73:DD$80)</f>
        <v>0</v>
      </c>
      <c r="DD63">
        <f>SUMIF('Как есть'!$A$73:$A$80,Доп.расчеты!$A63,'Как есть'!DE$73:DE$80)</f>
        <v>0</v>
      </c>
      <c r="DE63">
        <f>SUMIF('Как есть'!$A$73:$A$80,Доп.расчеты!$A63,'Как есть'!DF$73:DF$80)</f>
        <v>0</v>
      </c>
      <c r="DF63">
        <f>SUMIF('Как есть'!$A$73:$A$80,Доп.расчеты!$A63,'Как есть'!DG$73:DG$80)</f>
        <v>0</v>
      </c>
      <c r="DG63">
        <f>SUMIF('Как есть'!$A$73:$A$80,Доп.расчеты!$A63,'Как есть'!DH$73:DH$80)</f>
        <v>0</v>
      </c>
      <c r="DH63">
        <f>SUMIF('Как есть'!$A$73:$A$80,Доп.расчеты!$A63,'Как есть'!DI$73:DI$80)</f>
        <v>0</v>
      </c>
      <c r="DI63">
        <f>SUMIF('Как есть'!$A$73:$A$80,Доп.расчеты!$A63,'Как есть'!DJ$73:DJ$80)</f>
        <v>0</v>
      </c>
      <c r="DJ63">
        <f>SUMIF('Как есть'!$A$73:$A$80,Доп.расчеты!$A63,'Как есть'!DK$73:DK$80)</f>
        <v>0</v>
      </c>
      <c r="DK63">
        <f>SUMIF('Как есть'!$A$73:$A$80,Доп.расчеты!$A63,'Как есть'!DL$73:DL$80)</f>
        <v>0</v>
      </c>
      <c r="DL63">
        <f>SUMIF('Как есть'!$A$73:$A$80,Доп.расчеты!$A63,'Как есть'!DM$73:DM$80)</f>
        <v>0</v>
      </c>
      <c r="DM63">
        <f>SUMIF('Как есть'!$A$73:$A$80,Доп.расчеты!$A63,'Как есть'!DN$73:DN$80)</f>
        <v>0</v>
      </c>
      <c r="DN63">
        <f>SUMIF('Как есть'!$A$73:$A$80,Доп.расчеты!$A63,'Как есть'!DO$73:DO$80)</f>
        <v>0</v>
      </c>
      <c r="DO63">
        <f>SUMIF('Как есть'!$A$73:$A$80,Доп.расчеты!$A63,'Как есть'!DP$73:DP$80)</f>
        <v>0</v>
      </c>
      <c r="DP63">
        <f>SUMIF('Как есть'!$A$73:$A$80,Доп.расчеты!$A63,'Как есть'!DQ$73:DQ$80)</f>
        <v>0</v>
      </c>
      <c r="DQ63">
        <f>SUMIF('Как есть'!$A$73:$A$80,Доп.расчеты!$A63,'Как есть'!DR$73:DR$80)</f>
        <v>0</v>
      </c>
      <c r="DR63">
        <f>SUMIF('Как есть'!$A$73:$A$80,Доп.расчеты!$A63,'Как есть'!DS$73:DS$80)</f>
        <v>0</v>
      </c>
      <c r="DS63">
        <f>SUMIF('Как есть'!$A$73:$A$80,Доп.расчеты!$A63,'Как есть'!DT$73:DT$80)</f>
        <v>0</v>
      </c>
      <c r="DT63">
        <f>SUMIF('Как есть'!$A$73:$A$80,Доп.расчеты!$A63,'Как есть'!DU$73:DU$80)</f>
        <v>0</v>
      </c>
      <c r="DU63">
        <f>SUMIF('Как есть'!$A$73:$A$80,Доп.расчеты!$A63,'Как есть'!DV$73:DV$80)</f>
        <v>0</v>
      </c>
      <c r="DV63">
        <f>SUMIF('Как есть'!$A$73:$A$80,Доп.расчеты!$A63,'Как есть'!DW$73:DW$80)</f>
        <v>0</v>
      </c>
      <c r="DW63">
        <f>SUMIF('Как есть'!$A$73:$A$80,Доп.расчеты!$A63,'Как есть'!DX$73:DX$80)</f>
        <v>0</v>
      </c>
      <c r="DX63">
        <f>SUMIF('Как есть'!$A$73:$A$80,Доп.расчеты!$A63,'Как есть'!DY$73:DY$80)</f>
        <v>0</v>
      </c>
      <c r="DY63">
        <f>SUMIF('Как есть'!$A$73:$A$80,Доп.расчеты!$A63,'Как есть'!DZ$73:DZ$80)</f>
        <v>0</v>
      </c>
      <c r="DZ63">
        <f>SUMIF('Как есть'!$A$73:$A$80,Доп.расчеты!$A63,'Как есть'!EA$73:EA$80)</f>
        <v>0</v>
      </c>
      <c r="EA63">
        <f>SUMIF('Как есть'!$A$73:$A$80,Доп.расчеты!$A63,'Как есть'!EB$73:EB$80)</f>
        <v>0</v>
      </c>
      <c r="EB63">
        <f>SUMIF('Как есть'!$A$73:$A$80,Доп.расчеты!$A63,'Как есть'!EC$73:EC$80)</f>
        <v>0</v>
      </c>
      <c r="EC63">
        <f>SUMIF('Как есть'!$A$73:$A$80,Доп.расчеты!$A63,'Как есть'!ED$73:ED$80)</f>
        <v>0</v>
      </c>
      <c r="ED63">
        <f>SUMIF('Как есть'!$A$73:$A$80,Доп.расчеты!$A63,'Как есть'!EE$73:EE$80)</f>
        <v>0</v>
      </c>
      <c r="EE63">
        <f>SUMIF('Как есть'!$A$73:$A$80,Доп.расчеты!$A63,'Как есть'!EF$73:EF$80)</f>
        <v>0</v>
      </c>
      <c r="EF63">
        <f>SUMIF('Как есть'!$A$73:$A$80,Доп.расчеты!$A63,'Как есть'!EG$73:EG$80)</f>
        <v>0</v>
      </c>
      <c r="EG63">
        <f>SUMIF('Как есть'!$A$73:$A$80,Доп.расчеты!$A63,'Как есть'!EH$73:EH$80)</f>
        <v>0</v>
      </c>
      <c r="EH63">
        <f>SUMIF('Как есть'!$A$73:$A$80,Доп.расчеты!$A63,'Как есть'!EI$73:EI$80)</f>
        <v>0</v>
      </c>
      <c r="EI63">
        <f>SUMIF('Как есть'!$A$73:$A$80,Доп.расчеты!$A63,'Как есть'!EJ$73:EJ$80)</f>
        <v>0</v>
      </c>
      <c r="EJ63">
        <f>SUMIF('Как есть'!$A$73:$A$80,Доп.расчеты!$A63,'Как есть'!EK$73:EK$80)</f>
        <v>0</v>
      </c>
      <c r="EK63">
        <f>SUMIF('Как есть'!$A$73:$A$80,Доп.расчеты!$A63,'Как есть'!EL$73:EL$80)</f>
        <v>0</v>
      </c>
      <c r="EL63">
        <f>SUMIF('Как есть'!$A$73:$A$80,Доп.расчеты!$A63,'Как есть'!EM$73:EM$80)</f>
        <v>0</v>
      </c>
      <c r="EM63">
        <f>SUMIF('Как есть'!$A$73:$A$80,Доп.расчеты!$A63,'Как есть'!EN$73:EN$80)</f>
        <v>0</v>
      </c>
      <c r="EN63">
        <f>SUMIF('Как есть'!$A$73:$A$80,Доп.расчеты!$A63,'Как есть'!EO$73:EO$80)</f>
        <v>0</v>
      </c>
      <c r="EO63">
        <f>SUMIF('Как есть'!$A$73:$A$80,Доп.расчеты!$A63,'Как есть'!EP$73:EP$80)</f>
        <v>0</v>
      </c>
      <c r="EP63">
        <f>SUMIF('Как есть'!$A$73:$A$80,Доп.расчеты!$A63,'Как есть'!EQ$73:EQ$80)</f>
        <v>0</v>
      </c>
      <c r="EQ63">
        <f>SUMIF('Как есть'!$A$73:$A$80,Доп.расчеты!$A63,'Как есть'!ER$73:ER$80)</f>
        <v>0</v>
      </c>
      <c r="ER63">
        <f>SUMIF('Как есть'!$A$73:$A$80,Доп.расчеты!$A63,'Как есть'!ES$73:ES$80)</f>
        <v>0</v>
      </c>
      <c r="ES63">
        <f>SUMIF('Как есть'!$A$73:$A$80,Доп.расчеты!$A63,'Как есть'!ET$73:ET$80)</f>
        <v>0</v>
      </c>
      <c r="ET63">
        <f>SUMIF('Как есть'!$A$73:$A$80,Доп.расчеты!$A63,'Как есть'!EU$73:EU$80)</f>
        <v>0</v>
      </c>
      <c r="EU63">
        <f>SUMIF('Как есть'!$A$73:$A$80,Доп.расчеты!$A63,'Как есть'!EV$73:EV$80)</f>
        <v>0</v>
      </c>
      <c r="EV63">
        <f>SUMIF('Как есть'!$A$73:$A$80,Доп.расчеты!$A63,'Как есть'!EW$73:EW$80)</f>
        <v>0</v>
      </c>
      <c r="EW63">
        <f>SUMIF('Как есть'!$A$73:$A$80,Доп.расчеты!$A63,'Как есть'!EX$73:EX$80)</f>
        <v>0</v>
      </c>
      <c r="EX63">
        <f>SUMIF('Как есть'!$A$73:$A$80,Доп.расчеты!$A63,'Как есть'!EY$73:EY$80)</f>
        <v>0</v>
      </c>
      <c r="EY63">
        <f>SUMIF('Как есть'!$A$73:$A$80,Доп.расчеты!$A63,'Как есть'!EZ$73:EZ$80)</f>
        <v>0</v>
      </c>
      <c r="EZ63">
        <f>SUMIF('Как есть'!$A$73:$A$80,Доп.расчеты!$A63,'Как есть'!FA$73:FA$80)</f>
        <v>0</v>
      </c>
      <c r="FA63">
        <f>SUMIF('Как есть'!$A$73:$A$80,Доп.расчеты!$A63,'Как есть'!FB$73:FB$80)</f>
        <v>0</v>
      </c>
      <c r="FB63">
        <f>SUMIF('Как есть'!$A$73:$A$80,Доп.расчеты!$A63,'Как есть'!FC$73:FC$80)</f>
        <v>0</v>
      </c>
      <c r="FC63">
        <f>SUMIF('Как есть'!$A$73:$A$80,Доп.расчеты!$A63,'Как есть'!FD$73:FD$80)</f>
        <v>0</v>
      </c>
      <c r="FD63">
        <f>SUMIF('Как есть'!$A$73:$A$80,Доп.расчеты!$A63,'Как есть'!FE$73:FE$80)</f>
        <v>0</v>
      </c>
      <c r="FE63">
        <f>SUMIF('Как есть'!$A$73:$A$80,Доп.расчеты!$A63,'Как есть'!FF$73:FF$80)</f>
        <v>0</v>
      </c>
      <c r="FF63">
        <f>SUMIF('Как есть'!$A$73:$A$80,Доп.расчеты!$A63,'Как есть'!FG$73:FG$80)</f>
        <v>0</v>
      </c>
      <c r="FG63">
        <f>SUMIF('Как есть'!$A$73:$A$80,Доп.расчеты!$A63,'Как есть'!FH$73:FH$80)</f>
        <v>0</v>
      </c>
      <c r="FH63">
        <f>SUMIF('Как есть'!$A$73:$A$80,Доп.расчеты!$A63,'Как есть'!FI$73:FI$80)</f>
        <v>0</v>
      </c>
      <c r="FI63">
        <f>SUMIF('Как есть'!$A$73:$A$80,Доп.расчеты!$A63,'Как есть'!FJ$73:FJ$80)</f>
        <v>0</v>
      </c>
      <c r="FJ63">
        <f>SUMIF('Как есть'!$A$73:$A$80,Доп.расчеты!$A63,'Как есть'!FK$73:FK$80)</f>
        <v>0</v>
      </c>
      <c r="FK63">
        <f>SUMIF('Как есть'!$A$73:$A$80,Доп.расчеты!$A63,'Как есть'!FL$73:FL$80)</f>
        <v>0</v>
      </c>
      <c r="FL63">
        <f>SUMIF('Как есть'!$A$73:$A$80,Доп.расчеты!$A63,'Как есть'!FM$73:FM$80)</f>
        <v>0</v>
      </c>
      <c r="FM63">
        <f>SUMIF('Как есть'!$A$73:$A$80,Доп.расчеты!$A63,'Как есть'!FN$73:FN$80)</f>
        <v>0</v>
      </c>
      <c r="FN63">
        <f>SUMIF('Как есть'!$A$73:$A$80,Доп.расчеты!$A63,'Как есть'!FO$73:FO$80)</f>
        <v>0</v>
      </c>
      <c r="FO63">
        <f>SUMIF('Как есть'!$A$73:$A$80,Доп.расчеты!$A63,'Как есть'!FP$73:FP$80)</f>
        <v>0</v>
      </c>
      <c r="FP63">
        <f>SUMIF('Как есть'!$A$73:$A$80,Доп.расчеты!$A63,'Как есть'!FQ$73:FQ$80)</f>
        <v>0</v>
      </c>
      <c r="FQ63">
        <f>SUMIF('Как есть'!$A$73:$A$80,Доп.расчеты!$A63,'Как есть'!FR$73:FR$80)</f>
        <v>0</v>
      </c>
      <c r="FR63">
        <f>SUMIF('Как есть'!$A$73:$A$80,Доп.расчеты!$A63,'Как есть'!FS$73:FS$80)</f>
        <v>0</v>
      </c>
      <c r="FS63">
        <f>SUMIF('Как есть'!$A$73:$A$80,Доп.расчеты!$A63,'Как есть'!FT$73:FT$80)</f>
        <v>0</v>
      </c>
      <c r="FT63">
        <f>SUMIF('Как есть'!$A$73:$A$80,Доп.расчеты!$A63,'Как есть'!FU$73:FU$80)</f>
        <v>0</v>
      </c>
      <c r="FU63">
        <f>SUMIF('Как есть'!$A$73:$A$80,Доп.расчеты!$A63,'Как есть'!FV$73:FV$80)</f>
        <v>0</v>
      </c>
      <c r="FV63">
        <f>SUMIF('Как есть'!$A$73:$A$80,Доп.расчеты!$A63,'Как есть'!FW$73:FW$80)</f>
        <v>0</v>
      </c>
      <c r="FW63">
        <f>SUMIF('Как есть'!$A$73:$A$80,Доп.расчеты!$A63,'Как есть'!FX$73:FX$80)</f>
        <v>0</v>
      </c>
      <c r="FX63">
        <f>SUMIF('Как есть'!$A$73:$A$80,Доп.расчеты!$A63,'Как есть'!FY$73:FY$80)</f>
        <v>0</v>
      </c>
      <c r="FY63">
        <f>SUMIF('Как есть'!$A$73:$A$80,Доп.расчеты!$A63,'Как есть'!FZ$73:FZ$80)</f>
        <v>0</v>
      </c>
      <c r="FZ63">
        <f>SUMIF('Как есть'!$A$73:$A$80,Доп.расчеты!$A63,'Как есть'!GA$73:GA$80)</f>
        <v>0</v>
      </c>
      <c r="GA63">
        <f>SUMIF('Как есть'!$A$73:$A$80,Доп.расчеты!$A63,'Как есть'!GB$73:GB$80)</f>
        <v>0</v>
      </c>
      <c r="GB63">
        <f>SUMIF('Как есть'!$A$73:$A$80,Доп.расчеты!$A63,'Как есть'!GC$73:GC$80)</f>
        <v>0</v>
      </c>
      <c r="GC63">
        <f>SUMIF('Как есть'!$A$73:$A$80,Доп.расчеты!$A63,'Как есть'!GD$73:GD$80)</f>
        <v>0</v>
      </c>
      <c r="GD63">
        <f>SUMIF('Как есть'!$A$73:$A$80,Доп.расчеты!$A63,'Как есть'!GE$73:GE$80)</f>
        <v>0</v>
      </c>
      <c r="GE63">
        <f>SUMIF('Как есть'!$A$73:$A$80,Доп.расчеты!$A63,'Как есть'!GF$73:GF$80)</f>
        <v>0</v>
      </c>
      <c r="GF63">
        <f>SUMIF('Как есть'!$A$73:$A$80,Доп.расчеты!$A63,'Как есть'!GG$73:GG$80)</f>
        <v>0</v>
      </c>
      <c r="GG63">
        <f>SUMIF('Как есть'!$A$73:$A$80,Доп.расчеты!$A63,'Как есть'!GH$73:GH$80)</f>
        <v>0</v>
      </c>
      <c r="GH63">
        <f>SUMIF('Как есть'!$A$73:$A$80,Доп.расчеты!$A63,'Как есть'!GI$73:GI$80)</f>
        <v>0</v>
      </c>
      <c r="GI63">
        <f>SUMIF('Как есть'!$A$73:$A$80,Доп.расчеты!$A63,'Как есть'!GJ$73:GJ$80)</f>
        <v>0</v>
      </c>
      <c r="GJ63">
        <f>SUMIF('Как есть'!$A$73:$A$80,Доп.расчеты!$A63,'Как есть'!GK$73:GK$80)</f>
        <v>0</v>
      </c>
      <c r="GK63">
        <f>SUMIF('Как есть'!$A$73:$A$80,Доп.расчеты!$A63,'Как есть'!GL$73:GL$80)</f>
        <v>0</v>
      </c>
      <c r="GL63">
        <f>SUMIF('Как есть'!$A$73:$A$80,Доп.расчеты!$A63,'Как есть'!GM$73:GM$80)</f>
        <v>0</v>
      </c>
      <c r="GM63">
        <f>SUMIF('Как есть'!$A$73:$A$80,Доп.расчеты!$A63,'Как есть'!GN$73:GN$80)</f>
        <v>0</v>
      </c>
      <c r="GN63">
        <f>SUMIF('Как есть'!$A$73:$A$80,Доп.расчеты!$A63,'Как есть'!GO$73:GO$80)</f>
        <v>0</v>
      </c>
      <c r="GO63">
        <f>SUMIF('Как есть'!$A$73:$A$80,Доп.расчеты!$A63,'Как есть'!GP$73:GP$80)</f>
        <v>0</v>
      </c>
      <c r="GP63">
        <f>SUMIF('Как есть'!$A$73:$A$80,Доп.расчеты!$A63,'Как есть'!GQ$73:GQ$80)</f>
        <v>0</v>
      </c>
      <c r="GQ63">
        <f>SUMIF('Как есть'!$A$73:$A$80,Доп.расчеты!$A63,'Как есть'!GR$73:GR$80)</f>
        <v>0</v>
      </c>
      <c r="GR63">
        <f>SUMIF('Как есть'!$A$73:$A$80,Доп.расчеты!$A63,'Как есть'!GS$73:GS$80)</f>
        <v>0</v>
      </c>
      <c r="GS63">
        <f>SUMIF('Как есть'!$A$73:$A$80,Доп.расчеты!$A63,'Как есть'!GT$73:GT$80)</f>
        <v>0</v>
      </c>
      <c r="GT63">
        <f>SUMIF('Как есть'!$A$73:$A$80,Доп.расчеты!$A63,'Как есть'!GU$73:GU$80)</f>
        <v>0</v>
      </c>
    </row>
    <row r="64" spans="1:202">
      <c r="A64" s="237" t="s">
        <v>101</v>
      </c>
      <c r="B64">
        <f>SUMIF('Как есть'!$A$73:$A$80,Доп.расчеты!$A64,'Как есть'!C$73:C$80)</f>
        <v>0</v>
      </c>
      <c r="C64">
        <f>SUMIF('Как есть'!$A$73:$A$80,Доп.расчеты!$A64,'Как есть'!D$73:D$80)</f>
        <v>0</v>
      </c>
      <c r="D64">
        <f>SUMIF('Как есть'!$A$73:$A$80,Доп.расчеты!$A64,'Как есть'!E$73:E$80)</f>
        <v>0</v>
      </c>
      <c r="E64">
        <f>SUMIF('Как есть'!$A$73:$A$80,Доп.расчеты!$A64,'Как есть'!F$73:F$80)</f>
        <v>0</v>
      </c>
      <c r="F64">
        <f>SUMIF('Как есть'!$A$73:$A$80,Доп.расчеты!$A64,'Как есть'!G$73:G$80)</f>
        <v>0</v>
      </c>
      <c r="G64">
        <f>SUMIF('Как есть'!$A$73:$A$80,Доп.расчеты!$A64,'Как есть'!H$73:H$80)</f>
        <v>0</v>
      </c>
      <c r="H64">
        <f>SUMIF('Как есть'!$A$73:$A$80,Доп.расчеты!$A64,'Как есть'!I$73:I$80)</f>
        <v>0</v>
      </c>
      <c r="I64">
        <f>SUMIF('Как есть'!$A$73:$A$80,Доп.расчеты!$A64,'Как есть'!J$73:J$80)</f>
        <v>0</v>
      </c>
      <c r="J64">
        <f>SUMIF('Как есть'!$A$73:$A$80,Доп.расчеты!$A64,'Как есть'!K$73:K$80)</f>
        <v>0</v>
      </c>
      <c r="K64">
        <f>SUMIF('Как есть'!$A$73:$A$80,Доп.расчеты!$A64,'Как есть'!L$73:L$80)</f>
        <v>0</v>
      </c>
      <c r="L64">
        <f>SUMIF('Как есть'!$A$73:$A$80,Доп.расчеты!$A64,'Как есть'!M$73:M$80)</f>
        <v>0</v>
      </c>
      <c r="M64">
        <f>SUMIF('Как есть'!$A$73:$A$80,Доп.расчеты!$A64,'Как есть'!N$73:N$80)</f>
        <v>0</v>
      </c>
      <c r="N64">
        <f>SUMIF('Как есть'!$A$73:$A$80,Доп.расчеты!$A64,'Как есть'!O$73:O$80)</f>
        <v>0</v>
      </c>
      <c r="O64">
        <f>SUMIF('Как есть'!$A$73:$A$80,Доп.расчеты!$A64,'Как есть'!P$73:P$80)</f>
        <v>0</v>
      </c>
      <c r="P64">
        <f>SUMIF('Как есть'!$A$73:$A$80,Доп.расчеты!$A64,'Как есть'!Q$73:Q$80)</f>
        <v>0</v>
      </c>
      <c r="Q64">
        <f>SUMIF('Как есть'!$A$73:$A$80,Доп.расчеты!$A64,'Как есть'!R$73:R$80)</f>
        <v>0</v>
      </c>
      <c r="R64">
        <f>SUMIF('Как есть'!$A$73:$A$80,Доп.расчеты!$A64,'Как есть'!S$73:S$80)</f>
        <v>0</v>
      </c>
      <c r="S64">
        <f>SUMIF('Как есть'!$A$73:$A$80,Доп.расчеты!$A64,'Как есть'!T$73:T$80)</f>
        <v>0</v>
      </c>
      <c r="T64">
        <f>SUMIF('Как есть'!$A$73:$A$80,Доп.расчеты!$A64,'Как есть'!U$73:U$80)</f>
        <v>0</v>
      </c>
      <c r="U64">
        <f>SUMIF('Как есть'!$A$73:$A$80,Доп.расчеты!$A64,'Как есть'!V$73:V$80)</f>
        <v>0</v>
      </c>
      <c r="V64">
        <f>SUMIF('Как есть'!$A$73:$A$80,Доп.расчеты!$A64,'Как есть'!W$73:W$80)</f>
        <v>0</v>
      </c>
      <c r="W64">
        <f>SUMIF('Как есть'!$A$73:$A$80,Доп.расчеты!$A64,'Как есть'!X$73:X$80)</f>
        <v>0</v>
      </c>
      <c r="X64">
        <f>SUMIF('Как есть'!$A$73:$A$80,Доп.расчеты!$A64,'Как есть'!Y$73:Y$80)</f>
        <v>0</v>
      </c>
      <c r="Y64">
        <f>SUMIF('Как есть'!$A$73:$A$80,Доп.расчеты!$A64,'Как есть'!Z$73:Z$80)</f>
        <v>0</v>
      </c>
      <c r="Z64">
        <f>SUMIF('Как есть'!$A$73:$A$80,Доп.расчеты!$A64,'Как есть'!AA$73:AA$80)</f>
        <v>0</v>
      </c>
      <c r="AA64">
        <f>SUMIF('Как есть'!$A$73:$A$80,Доп.расчеты!$A64,'Как есть'!AB$73:AB$80)</f>
        <v>0</v>
      </c>
      <c r="AB64">
        <f>SUMIF('Как есть'!$A$73:$A$80,Доп.расчеты!$A64,'Как есть'!AC$73:AC$80)</f>
        <v>0</v>
      </c>
      <c r="AC64">
        <f>SUMIF('Как есть'!$A$73:$A$80,Доп.расчеты!$A64,'Как есть'!AD$73:AD$80)</f>
        <v>0</v>
      </c>
      <c r="AD64">
        <f>SUMIF('Как есть'!$A$73:$A$80,Доп.расчеты!$A64,'Как есть'!AE$73:AE$80)</f>
        <v>0</v>
      </c>
      <c r="AE64">
        <f>SUMIF('Как есть'!$A$73:$A$80,Доп.расчеты!$A64,'Как есть'!AF$73:AF$80)</f>
        <v>0</v>
      </c>
      <c r="AF64">
        <f>SUMIF('Как есть'!$A$73:$A$80,Доп.расчеты!$A64,'Как есть'!AG$73:AG$80)</f>
        <v>0</v>
      </c>
      <c r="AG64">
        <f>SUMIF('Как есть'!$A$73:$A$80,Доп.расчеты!$A64,'Как есть'!AH$73:AH$80)</f>
        <v>0</v>
      </c>
      <c r="AH64">
        <f>SUMIF('Как есть'!$A$73:$A$80,Доп.расчеты!$A64,'Как есть'!AI$73:AI$80)</f>
        <v>0</v>
      </c>
      <c r="AI64">
        <f>SUMIF('Как есть'!$A$73:$A$80,Доп.расчеты!$A64,'Как есть'!AJ$73:AJ$80)</f>
        <v>0</v>
      </c>
      <c r="AJ64">
        <f>SUMIF('Как есть'!$A$73:$A$80,Доп.расчеты!$A64,'Как есть'!AK$73:AK$80)</f>
        <v>0</v>
      </c>
      <c r="AK64">
        <f>SUMIF('Как есть'!$A$73:$A$80,Доп.расчеты!$A64,'Как есть'!AL$73:AL$80)</f>
        <v>0</v>
      </c>
      <c r="AL64">
        <f>SUMIF('Как есть'!$A$73:$A$80,Доп.расчеты!$A64,'Как есть'!AM$73:AM$80)</f>
        <v>0</v>
      </c>
      <c r="AM64">
        <f>SUMIF('Как есть'!$A$73:$A$80,Доп.расчеты!$A64,'Как есть'!AN$73:AN$80)</f>
        <v>0</v>
      </c>
      <c r="AN64">
        <f>SUMIF('Как есть'!$A$73:$A$80,Доп.расчеты!$A64,'Как есть'!AO$73:AO$80)</f>
        <v>0</v>
      </c>
      <c r="AO64">
        <f>SUMIF('Как есть'!$A$73:$A$80,Доп.расчеты!$A64,'Как есть'!AP$73:AP$80)</f>
        <v>0</v>
      </c>
      <c r="AP64">
        <f>SUMIF('Как есть'!$A$73:$A$80,Доп.расчеты!$A64,'Как есть'!AQ$73:AQ$80)</f>
        <v>0</v>
      </c>
      <c r="AQ64">
        <f>SUMIF('Как есть'!$A$73:$A$80,Доп.расчеты!$A64,'Как есть'!AR$73:AR$80)</f>
        <v>0</v>
      </c>
      <c r="AR64">
        <f>SUMIF('Как есть'!$A$73:$A$80,Доп.расчеты!$A64,'Как есть'!AS$73:AS$80)</f>
        <v>0</v>
      </c>
      <c r="AS64">
        <f>SUMIF('Как есть'!$A$73:$A$80,Доп.расчеты!$A64,'Как есть'!AT$73:AT$80)</f>
        <v>0</v>
      </c>
      <c r="AT64">
        <f>SUMIF('Как есть'!$A$73:$A$80,Доп.расчеты!$A64,'Как есть'!AU$73:AU$80)</f>
        <v>0</v>
      </c>
      <c r="AU64">
        <f>SUMIF('Как есть'!$A$73:$A$80,Доп.расчеты!$A64,'Как есть'!AV$73:AV$80)</f>
        <v>0</v>
      </c>
      <c r="AV64">
        <f>SUMIF('Как есть'!$A$73:$A$80,Доп.расчеты!$A64,'Как есть'!AW$73:AW$80)</f>
        <v>0</v>
      </c>
      <c r="AW64">
        <f>SUMIF('Как есть'!$A$73:$A$80,Доп.расчеты!$A64,'Как есть'!AX$73:AX$80)</f>
        <v>0</v>
      </c>
      <c r="AX64">
        <f>SUMIF('Как есть'!$A$73:$A$80,Доп.расчеты!$A64,'Как есть'!AY$73:AY$80)</f>
        <v>0</v>
      </c>
      <c r="AY64">
        <f>SUMIF('Как есть'!$A$73:$A$80,Доп.расчеты!$A64,'Как есть'!AZ$73:AZ$80)</f>
        <v>0</v>
      </c>
      <c r="AZ64">
        <f>SUMIF('Как есть'!$A$73:$A$80,Доп.расчеты!$A64,'Как есть'!BA$73:BA$80)</f>
        <v>0</v>
      </c>
      <c r="BA64">
        <f>SUMIF('Как есть'!$A$73:$A$80,Доп.расчеты!$A64,'Как есть'!BB$73:BB$80)</f>
        <v>0</v>
      </c>
      <c r="BB64">
        <f>SUMIF('Как есть'!$A$73:$A$80,Доп.расчеты!$A64,'Как есть'!BC$73:BC$80)</f>
        <v>0</v>
      </c>
      <c r="BC64">
        <f>SUMIF('Как есть'!$A$73:$A$80,Доп.расчеты!$A64,'Как есть'!BD$73:BD$80)</f>
        <v>0</v>
      </c>
      <c r="BD64">
        <f>SUMIF('Как есть'!$A$73:$A$80,Доп.расчеты!$A64,'Как есть'!BE$73:BE$80)</f>
        <v>0</v>
      </c>
      <c r="BE64">
        <f>SUMIF('Как есть'!$A$73:$A$80,Доп.расчеты!$A64,'Как есть'!BF$73:BF$80)</f>
        <v>0</v>
      </c>
      <c r="BF64">
        <f>SUMIF('Как есть'!$A$73:$A$80,Доп.расчеты!$A64,'Как есть'!BG$73:BG$80)</f>
        <v>0</v>
      </c>
      <c r="BG64">
        <f>SUMIF('Как есть'!$A$73:$A$80,Доп.расчеты!$A64,'Как есть'!BH$73:BH$80)</f>
        <v>0</v>
      </c>
      <c r="BH64">
        <f>SUMIF('Как есть'!$A$73:$A$80,Доп.расчеты!$A64,'Как есть'!BI$73:BI$80)</f>
        <v>0</v>
      </c>
      <c r="BI64">
        <f>SUMIF('Как есть'!$A$73:$A$80,Доп.расчеты!$A64,'Как есть'!BJ$73:BJ$80)</f>
        <v>0</v>
      </c>
      <c r="BJ64">
        <f>SUMIF('Как есть'!$A$73:$A$80,Доп.расчеты!$A64,'Как есть'!BK$73:BK$80)</f>
        <v>0</v>
      </c>
      <c r="BK64">
        <f>SUMIF('Как есть'!$A$73:$A$80,Доп.расчеты!$A64,'Как есть'!BL$73:BL$80)</f>
        <v>0</v>
      </c>
      <c r="BL64">
        <f>SUMIF('Как есть'!$A$73:$A$80,Доп.расчеты!$A64,'Как есть'!BM$73:BM$80)</f>
        <v>0</v>
      </c>
      <c r="BM64">
        <f>SUMIF('Как есть'!$A$73:$A$80,Доп.расчеты!$A64,'Как есть'!BN$73:BN$80)</f>
        <v>0</v>
      </c>
      <c r="BN64">
        <f>SUMIF('Как есть'!$A$73:$A$80,Доп.расчеты!$A64,'Как есть'!BO$73:BO$80)</f>
        <v>0</v>
      </c>
      <c r="BO64">
        <f>SUMIF('Как есть'!$A$73:$A$80,Доп.расчеты!$A64,'Как есть'!BP$73:BP$80)</f>
        <v>0</v>
      </c>
      <c r="BP64">
        <f>SUMIF('Как есть'!$A$73:$A$80,Доп.расчеты!$A64,'Как есть'!BQ$73:BQ$80)</f>
        <v>0</v>
      </c>
      <c r="BQ64">
        <f>SUMIF('Как есть'!$A$73:$A$80,Доп.расчеты!$A64,'Как есть'!BR$73:BR$80)</f>
        <v>0</v>
      </c>
      <c r="BR64">
        <f>SUMIF('Как есть'!$A$73:$A$80,Доп.расчеты!$A64,'Как есть'!BS$73:BS$80)</f>
        <v>0</v>
      </c>
      <c r="BS64">
        <f>SUMIF('Как есть'!$A$73:$A$80,Доп.расчеты!$A64,'Как есть'!BT$73:BT$80)</f>
        <v>0</v>
      </c>
      <c r="BT64">
        <f>SUMIF('Как есть'!$A$73:$A$80,Доп.расчеты!$A64,'Как есть'!BU$73:BU$80)</f>
        <v>0</v>
      </c>
      <c r="BU64">
        <f>SUMIF('Как есть'!$A$73:$A$80,Доп.расчеты!$A64,'Как есть'!BV$73:BV$80)</f>
        <v>0</v>
      </c>
      <c r="BV64">
        <f>SUMIF('Как есть'!$A$73:$A$80,Доп.расчеты!$A64,'Как есть'!BW$73:BW$80)</f>
        <v>0</v>
      </c>
      <c r="BW64">
        <f>SUMIF('Как есть'!$A$73:$A$80,Доп.расчеты!$A64,'Как есть'!BX$73:BX$80)</f>
        <v>0</v>
      </c>
      <c r="BX64">
        <f>SUMIF('Как есть'!$A$73:$A$80,Доп.расчеты!$A64,'Как есть'!BY$73:BY$80)</f>
        <v>0</v>
      </c>
      <c r="BY64">
        <f>SUMIF('Как есть'!$A$73:$A$80,Доп.расчеты!$A64,'Как есть'!BZ$73:BZ$80)</f>
        <v>0</v>
      </c>
      <c r="BZ64">
        <f>SUMIF('Как есть'!$A$73:$A$80,Доп.расчеты!$A64,'Как есть'!CA$73:CA$80)</f>
        <v>0</v>
      </c>
      <c r="CA64">
        <f>SUMIF('Как есть'!$A$73:$A$80,Доп.расчеты!$A64,'Как есть'!CB$73:CB$80)</f>
        <v>0</v>
      </c>
      <c r="CB64">
        <f>SUMIF('Как есть'!$A$73:$A$80,Доп.расчеты!$A64,'Как есть'!CC$73:CC$80)</f>
        <v>0</v>
      </c>
      <c r="CC64">
        <f>SUMIF('Как есть'!$A$73:$A$80,Доп.расчеты!$A64,'Как есть'!CD$73:CD$80)</f>
        <v>0</v>
      </c>
      <c r="CD64">
        <f>SUMIF('Как есть'!$A$73:$A$80,Доп.расчеты!$A64,'Как есть'!CE$73:CE$80)</f>
        <v>0</v>
      </c>
      <c r="CE64">
        <f>SUMIF('Как есть'!$A$73:$A$80,Доп.расчеты!$A64,'Как есть'!CF$73:CF$80)</f>
        <v>0</v>
      </c>
      <c r="CF64">
        <f>SUMIF('Как есть'!$A$73:$A$80,Доп.расчеты!$A64,'Как есть'!CG$73:CG$80)</f>
        <v>0</v>
      </c>
      <c r="CG64">
        <f>SUMIF('Как есть'!$A$73:$A$80,Доп.расчеты!$A64,'Как есть'!CH$73:CH$80)</f>
        <v>0</v>
      </c>
      <c r="CH64">
        <f>SUMIF('Как есть'!$A$73:$A$80,Доп.расчеты!$A64,'Как есть'!CI$73:CI$80)</f>
        <v>0</v>
      </c>
      <c r="CI64">
        <f>SUMIF('Как есть'!$A$73:$A$80,Доп.расчеты!$A64,'Как есть'!CJ$73:CJ$80)</f>
        <v>0</v>
      </c>
      <c r="CJ64">
        <f>SUMIF('Как есть'!$A$73:$A$80,Доп.расчеты!$A64,'Как есть'!CK$73:CK$80)</f>
        <v>0</v>
      </c>
      <c r="CK64">
        <f>SUMIF('Как есть'!$A$73:$A$80,Доп.расчеты!$A64,'Как есть'!CL$73:CL$80)</f>
        <v>0</v>
      </c>
      <c r="CL64">
        <f>SUMIF('Как есть'!$A$73:$A$80,Доп.расчеты!$A64,'Как есть'!CM$73:CM$80)</f>
        <v>0</v>
      </c>
      <c r="CM64">
        <f>SUMIF('Как есть'!$A$73:$A$80,Доп.расчеты!$A64,'Как есть'!CN$73:CN$80)</f>
        <v>0</v>
      </c>
      <c r="CN64">
        <f>SUMIF('Как есть'!$A$73:$A$80,Доп.расчеты!$A64,'Как есть'!CO$73:CO$80)</f>
        <v>0</v>
      </c>
      <c r="CO64">
        <f>SUMIF('Как есть'!$A$73:$A$80,Доп.расчеты!$A64,'Как есть'!CP$73:CP$80)</f>
        <v>0</v>
      </c>
      <c r="CP64">
        <f>SUMIF('Как есть'!$A$73:$A$80,Доп.расчеты!$A64,'Как есть'!CQ$73:CQ$80)</f>
        <v>0</v>
      </c>
      <c r="CQ64">
        <f>SUMIF('Как есть'!$A$73:$A$80,Доп.расчеты!$A64,'Как есть'!CR$73:CR$80)</f>
        <v>0</v>
      </c>
      <c r="CR64">
        <f>SUMIF('Как есть'!$A$73:$A$80,Доп.расчеты!$A64,'Как есть'!CS$73:CS$80)</f>
        <v>0</v>
      </c>
      <c r="CS64">
        <f>SUMIF('Как есть'!$A$73:$A$80,Доп.расчеты!$A64,'Как есть'!CT$73:CT$80)</f>
        <v>0</v>
      </c>
      <c r="CT64">
        <f>SUMIF('Как есть'!$A$73:$A$80,Доп.расчеты!$A64,'Как есть'!CU$73:CU$80)</f>
        <v>0</v>
      </c>
      <c r="CU64">
        <f>SUMIF('Как есть'!$A$73:$A$80,Доп.расчеты!$A64,'Как есть'!CV$73:CV$80)</f>
        <v>0</v>
      </c>
      <c r="CV64">
        <f>SUMIF('Как есть'!$A$73:$A$80,Доп.расчеты!$A64,'Как есть'!CW$73:CW$80)</f>
        <v>0</v>
      </c>
      <c r="CW64">
        <f>SUMIF('Как есть'!$A$73:$A$80,Доп.расчеты!$A64,'Как есть'!CX$73:CX$80)</f>
        <v>0</v>
      </c>
      <c r="CX64">
        <f>SUMIF('Как есть'!$A$73:$A$80,Доп.расчеты!$A64,'Как есть'!CY$73:CY$80)</f>
        <v>0</v>
      </c>
      <c r="CY64">
        <f>SUMIF('Как есть'!$A$73:$A$80,Доп.расчеты!$A64,'Как есть'!CZ$73:CZ$80)</f>
        <v>0</v>
      </c>
      <c r="CZ64">
        <f>SUMIF('Как есть'!$A$73:$A$80,Доп.расчеты!$A64,'Как есть'!DA$73:DA$80)</f>
        <v>0</v>
      </c>
      <c r="DA64">
        <f>SUMIF('Как есть'!$A$73:$A$80,Доп.расчеты!$A64,'Как есть'!DB$73:DB$80)</f>
        <v>0</v>
      </c>
      <c r="DB64">
        <f>SUMIF('Как есть'!$A$73:$A$80,Доп.расчеты!$A64,'Как есть'!DC$73:DC$80)</f>
        <v>0</v>
      </c>
      <c r="DC64">
        <f>SUMIF('Как есть'!$A$73:$A$80,Доп.расчеты!$A64,'Как есть'!DD$73:DD$80)</f>
        <v>0</v>
      </c>
      <c r="DD64">
        <f>SUMIF('Как есть'!$A$73:$A$80,Доп.расчеты!$A64,'Как есть'!DE$73:DE$80)</f>
        <v>0</v>
      </c>
      <c r="DE64">
        <f>SUMIF('Как есть'!$A$73:$A$80,Доп.расчеты!$A64,'Как есть'!DF$73:DF$80)</f>
        <v>0</v>
      </c>
      <c r="DF64">
        <f>SUMIF('Как есть'!$A$73:$A$80,Доп.расчеты!$A64,'Как есть'!DG$73:DG$80)</f>
        <v>0</v>
      </c>
      <c r="DG64">
        <f>SUMIF('Как есть'!$A$73:$A$80,Доп.расчеты!$A64,'Как есть'!DH$73:DH$80)</f>
        <v>0</v>
      </c>
      <c r="DH64">
        <f>SUMIF('Как есть'!$A$73:$A$80,Доп.расчеты!$A64,'Как есть'!DI$73:DI$80)</f>
        <v>0</v>
      </c>
      <c r="DI64">
        <f>SUMIF('Как есть'!$A$73:$A$80,Доп.расчеты!$A64,'Как есть'!DJ$73:DJ$80)</f>
        <v>0</v>
      </c>
      <c r="DJ64">
        <f>SUMIF('Как есть'!$A$73:$A$80,Доп.расчеты!$A64,'Как есть'!DK$73:DK$80)</f>
        <v>0</v>
      </c>
      <c r="DK64">
        <f>SUMIF('Как есть'!$A$73:$A$80,Доп.расчеты!$A64,'Как есть'!DL$73:DL$80)</f>
        <v>0</v>
      </c>
      <c r="DL64">
        <f>SUMIF('Как есть'!$A$73:$A$80,Доп.расчеты!$A64,'Как есть'!DM$73:DM$80)</f>
        <v>0</v>
      </c>
      <c r="DM64">
        <f>SUMIF('Как есть'!$A$73:$A$80,Доп.расчеты!$A64,'Как есть'!DN$73:DN$80)</f>
        <v>0</v>
      </c>
      <c r="DN64">
        <f>SUMIF('Как есть'!$A$73:$A$80,Доп.расчеты!$A64,'Как есть'!DO$73:DO$80)</f>
        <v>0</v>
      </c>
      <c r="DO64">
        <f>SUMIF('Как есть'!$A$73:$A$80,Доп.расчеты!$A64,'Как есть'!DP$73:DP$80)</f>
        <v>0</v>
      </c>
      <c r="DP64">
        <f>SUMIF('Как есть'!$A$73:$A$80,Доп.расчеты!$A64,'Как есть'!DQ$73:DQ$80)</f>
        <v>0</v>
      </c>
      <c r="DQ64">
        <f>SUMIF('Как есть'!$A$73:$A$80,Доп.расчеты!$A64,'Как есть'!DR$73:DR$80)</f>
        <v>0</v>
      </c>
      <c r="DR64">
        <f>SUMIF('Как есть'!$A$73:$A$80,Доп.расчеты!$A64,'Как есть'!DS$73:DS$80)</f>
        <v>0</v>
      </c>
      <c r="DS64">
        <f>SUMIF('Как есть'!$A$73:$A$80,Доп.расчеты!$A64,'Как есть'!DT$73:DT$80)</f>
        <v>0</v>
      </c>
      <c r="DT64">
        <f>SUMIF('Как есть'!$A$73:$A$80,Доп.расчеты!$A64,'Как есть'!DU$73:DU$80)</f>
        <v>0</v>
      </c>
      <c r="DU64">
        <f>SUMIF('Как есть'!$A$73:$A$80,Доп.расчеты!$A64,'Как есть'!DV$73:DV$80)</f>
        <v>0</v>
      </c>
      <c r="DV64">
        <f>SUMIF('Как есть'!$A$73:$A$80,Доп.расчеты!$A64,'Как есть'!DW$73:DW$80)</f>
        <v>0</v>
      </c>
      <c r="DW64">
        <f>SUMIF('Как есть'!$A$73:$A$80,Доп.расчеты!$A64,'Как есть'!DX$73:DX$80)</f>
        <v>0</v>
      </c>
      <c r="DX64">
        <f>SUMIF('Как есть'!$A$73:$A$80,Доп.расчеты!$A64,'Как есть'!DY$73:DY$80)</f>
        <v>0</v>
      </c>
      <c r="DY64">
        <f>SUMIF('Как есть'!$A$73:$A$80,Доп.расчеты!$A64,'Как есть'!DZ$73:DZ$80)</f>
        <v>0</v>
      </c>
      <c r="DZ64">
        <f>SUMIF('Как есть'!$A$73:$A$80,Доп.расчеты!$A64,'Как есть'!EA$73:EA$80)</f>
        <v>0</v>
      </c>
      <c r="EA64">
        <f>SUMIF('Как есть'!$A$73:$A$80,Доп.расчеты!$A64,'Как есть'!EB$73:EB$80)</f>
        <v>0</v>
      </c>
      <c r="EB64">
        <f>SUMIF('Как есть'!$A$73:$A$80,Доп.расчеты!$A64,'Как есть'!EC$73:EC$80)</f>
        <v>0</v>
      </c>
      <c r="EC64">
        <f>SUMIF('Как есть'!$A$73:$A$80,Доп.расчеты!$A64,'Как есть'!ED$73:ED$80)</f>
        <v>0</v>
      </c>
      <c r="ED64">
        <f>SUMIF('Как есть'!$A$73:$A$80,Доп.расчеты!$A64,'Как есть'!EE$73:EE$80)</f>
        <v>0</v>
      </c>
      <c r="EE64">
        <f>SUMIF('Как есть'!$A$73:$A$80,Доп.расчеты!$A64,'Как есть'!EF$73:EF$80)</f>
        <v>0</v>
      </c>
      <c r="EF64">
        <f>SUMIF('Как есть'!$A$73:$A$80,Доп.расчеты!$A64,'Как есть'!EG$73:EG$80)</f>
        <v>0</v>
      </c>
      <c r="EG64">
        <f>SUMIF('Как есть'!$A$73:$A$80,Доп.расчеты!$A64,'Как есть'!EH$73:EH$80)</f>
        <v>0</v>
      </c>
      <c r="EH64">
        <f>SUMIF('Как есть'!$A$73:$A$80,Доп.расчеты!$A64,'Как есть'!EI$73:EI$80)</f>
        <v>0</v>
      </c>
      <c r="EI64">
        <f>SUMIF('Как есть'!$A$73:$A$80,Доп.расчеты!$A64,'Как есть'!EJ$73:EJ$80)</f>
        <v>0</v>
      </c>
      <c r="EJ64">
        <f>SUMIF('Как есть'!$A$73:$A$80,Доп.расчеты!$A64,'Как есть'!EK$73:EK$80)</f>
        <v>0</v>
      </c>
      <c r="EK64">
        <f>SUMIF('Как есть'!$A$73:$A$80,Доп.расчеты!$A64,'Как есть'!EL$73:EL$80)</f>
        <v>0</v>
      </c>
      <c r="EL64">
        <f>SUMIF('Как есть'!$A$73:$A$80,Доп.расчеты!$A64,'Как есть'!EM$73:EM$80)</f>
        <v>0</v>
      </c>
      <c r="EM64">
        <f>SUMIF('Как есть'!$A$73:$A$80,Доп.расчеты!$A64,'Как есть'!EN$73:EN$80)</f>
        <v>0</v>
      </c>
      <c r="EN64">
        <f>SUMIF('Как есть'!$A$73:$A$80,Доп.расчеты!$A64,'Как есть'!EO$73:EO$80)</f>
        <v>0</v>
      </c>
      <c r="EO64">
        <f>SUMIF('Как есть'!$A$73:$A$80,Доп.расчеты!$A64,'Как есть'!EP$73:EP$80)</f>
        <v>0</v>
      </c>
      <c r="EP64">
        <f>SUMIF('Как есть'!$A$73:$A$80,Доп.расчеты!$A64,'Как есть'!EQ$73:EQ$80)</f>
        <v>0</v>
      </c>
      <c r="EQ64">
        <f>SUMIF('Как есть'!$A$73:$A$80,Доп.расчеты!$A64,'Как есть'!ER$73:ER$80)</f>
        <v>0</v>
      </c>
      <c r="ER64">
        <f>SUMIF('Как есть'!$A$73:$A$80,Доп.расчеты!$A64,'Как есть'!ES$73:ES$80)</f>
        <v>0</v>
      </c>
      <c r="ES64">
        <f>SUMIF('Как есть'!$A$73:$A$80,Доп.расчеты!$A64,'Как есть'!ET$73:ET$80)</f>
        <v>0</v>
      </c>
      <c r="ET64">
        <f>SUMIF('Как есть'!$A$73:$A$80,Доп.расчеты!$A64,'Как есть'!EU$73:EU$80)</f>
        <v>0</v>
      </c>
      <c r="EU64">
        <f>SUMIF('Как есть'!$A$73:$A$80,Доп.расчеты!$A64,'Как есть'!EV$73:EV$80)</f>
        <v>0</v>
      </c>
      <c r="EV64">
        <f>SUMIF('Как есть'!$A$73:$A$80,Доп.расчеты!$A64,'Как есть'!EW$73:EW$80)</f>
        <v>0</v>
      </c>
      <c r="EW64">
        <f>SUMIF('Как есть'!$A$73:$A$80,Доп.расчеты!$A64,'Как есть'!EX$73:EX$80)</f>
        <v>0</v>
      </c>
      <c r="EX64">
        <f>SUMIF('Как есть'!$A$73:$A$80,Доп.расчеты!$A64,'Как есть'!EY$73:EY$80)</f>
        <v>0</v>
      </c>
      <c r="EY64">
        <f>SUMIF('Как есть'!$A$73:$A$80,Доп.расчеты!$A64,'Как есть'!EZ$73:EZ$80)</f>
        <v>0</v>
      </c>
      <c r="EZ64">
        <f>SUMIF('Как есть'!$A$73:$A$80,Доп.расчеты!$A64,'Как есть'!FA$73:FA$80)</f>
        <v>0</v>
      </c>
      <c r="FA64">
        <f>SUMIF('Как есть'!$A$73:$A$80,Доп.расчеты!$A64,'Как есть'!FB$73:FB$80)</f>
        <v>0</v>
      </c>
      <c r="FB64">
        <f>SUMIF('Как есть'!$A$73:$A$80,Доп.расчеты!$A64,'Как есть'!FC$73:FC$80)</f>
        <v>0</v>
      </c>
      <c r="FC64">
        <f>SUMIF('Как есть'!$A$73:$A$80,Доп.расчеты!$A64,'Как есть'!FD$73:FD$80)</f>
        <v>0</v>
      </c>
      <c r="FD64">
        <f>SUMIF('Как есть'!$A$73:$A$80,Доп.расчеты!$A64,'Как есть'!FE$73:FE$80)</f>
        <v>0</v>
      </c>
      <c r="FE64">
        <f>SUMIF('Как есть'!$A$73:$A$80,Доп.расчеты!$A64,'Как есть'!FF$73:FF$80)</f>
        <v>0</v>
      </c>
      <c r="FF64">
        <f>SUMIF('Как есть'!$A$73:$A$80,Доп.расчеты!$A64,'Как есть'!FG$73:FG$80)</f>
        <v>0</v>
      </c>
      <c r="FG64">
        <f>SUMIF('Как есть'!$A$73:$A$80,Доп.расчеты!$A64,'Как есть'!FH$73:FH$80)</f>
        <v>0</v>
      </c>
      <c r="FH64">
        <f>SUMIF('Как есть'!$A$73:$A$80,Доп.расчеты!$A64,'Как есть'!FI$73:FI$80)</f>
        <v>0</v>
      </c>
      <c r="FI64">
        <f>SUMIF('Как есть'!$A$73:$A$80,Доп.расчеты!$A64,'Как есть'!FJ$73:FJ$80)</f>
        <v>0</v>
      </c>
      <c r="FJ64">
        <f>SUMIF('Как есть'!$A$73:$A$80,Доп.расчеты!$A64,'Как есть'!FK$73:FK$80)</f>
        <v>0</v>
      </c>
      <c r="FK64">
        <f>SUMIF('Как есть'!$A$73:$A$80,Доп.расчеты!$A64,'Как есть'!FL$73:FL$80)</f>
        <v>0</v>
      </c>
      <c r="FL64">
        <f>SUMIF('Как есть'!$A$73:$A$80,Доп.расчеты!$A64,'Как есть'!FM$73:FM$80)</f>
        <v>0</v>
      </c>
      <c r="FM64">
        <f>SUMIF('Как есть'!$A$73:$A$80,Доп.расчеты!$A64,'Как есть'!FN$73:FN$80)</f>
        <v>0</v>
      </c>
      <c r="FN64">
        <f>SUMIF('Как есть'!$A$73:$A$80,Доп.расчеты!$A64,'Как есть'!FO$73:FO$80)</f>
        <v>0</v>
      </c>
      <c r="FO64">
        <f>SUMIF('Как есть'!$A$73:$A$80,Доп.расчеты!$A64,'Как есть'!FP$73:FP$80)</f>
        <v>0</v>
      </c>
      <c r="FP64">
        <f>SUMIF('Как есть'!$A$73:$A$80,Доп.расчеты!$A64,'Как есть'!FQ$73:FQ$80)</f>
        <v>0</v>
      </c>
      <c r="FQ64">
        <f>SUMIF('Как есть'!$A$73:$A$80,Доп.расчеты!$A64,'Как есть'!FR$73:FR$80)</f>
        <v>0</v>
      </c>
      <c r="FR64">
        <f>SUMIF('Как есть'!$A$73:$A$80,Доп.расчеты!$A64,'Как есть'!FS$73:FS$80)</f>
        <v>0</v>
      </c>
      <c r="FS64">
        <f>SUMIF('Как есть'!$A$73:$A$80,Доп.расчеты!$A64,'Как есть'!FT$73:FT$80)</f>
        <v>0</v>
      </c>
      <c r="FT64">
        <f>SUMIF('Как есть'!$A$73:$A$80,Доп.расчеты!$A64,'Как есть'!FU$73:FU$80)</f>
        <v>0</v>
      </c>
      <c r="FU64">
        <f>SUMIF('Как есть'!$A$73:$A$80,Доп.расчеты!$A64,'Как есть'!FV$73:FV$80)</f>
        <v>0</v>
      </c>
      <c r="FV64">
        <f>SUMIF('Как есть'!$A$73:$A$80,Доп.расчеты!$A64,'Как есть'!FW$73:FW$80)</f>
        <v>0</v>
      </c>
      <c r="FW64">
        <f>SUMIF('Как есть'!$A$73:$A$80,Доп.расчеты!$A64,'Как есть'!FX$73:FX$80)</f>
        <v>0</v>
      </c>
      <c r="FX64">
        <f>SUMIF('Как есть'!$A$73:$A$80,Доп.расчеты!$A64,'Как есть'!FY$73:FY$80)</f>
        <v>0</v>
      </c>
      <c r="FY64">
        <f>SUMIF('Как есть'!$A$73:$A$80,Доп.расчеты!$A64,'Как есть'!FZ$73:FZ$80)</f>
        <v>0</v>
      </c>
      <c r="FZ64">
        <f>SUMIF('Как есть'!$A$73:$A$80,Доп.расчеты!$A64,'Как есть'!GA$73:GA$80)</f>
        <v>0</v>
      </c>
      <c r="GA64">
        <f>SUMIF('Как есть'!$A$73:$A$80,Доп.расчеты!$A64,'Как есть'!GB$73:GB$80)</f>
        <v>0</v>
      </c>
      <c r="GB64">
        <f>SUMIF('Как есть'!$A$73:$A$80,Доп.расчеты!$A64,'Как есть'!GC$73:GC$80)</f>
        <v>0</v>
      </c>
      <c r="GC64">
        <f>SUMIF('Как есть'!$A$73:$A$80,Доп.расчеты!$A64,'Как есть'!GD$73:GD$80)</f>
        <v>0</v>
      </c>
      <c r="GD64">
        <f>SUMIF('Как есть'!$A$73:$A$80,Доп.расчеты!$A64,'Как есть'!GE$73:GE$80)</f>
        <v>0</v>
      </c>
      <c r="GE64">
        <f>SUMIF('Как есть'!$A$73:$A$80,Доп.расчеты!$A64,'Как есть'!GF$73:GF$80)</f>
        <v>0</v>
      </c>
      <c r="GF64">
        <f>SUMIF('Как есть'!$A$73:$A$80,Доп.расчеты!$A64,'Как есть'!GG$73:GG$80)</f>
        <v>0</v>
      </c>
      <c r="GG64">
        <f>SUMIF('Как есть'!$A$73:$A$80,Доп.расчеты!$A64,'Как есть'!GH$73:GH$80)</f>
        <v>0</v>
      </c>
      <c r="GH64">
        <f>SUMIF('Как есть'!$A$73:$A$80,Доп.расчеты!$A64,'Как есть'!GI$73:GI$80)</f>
        <v>0</v>
      </c>
      <c r="GI64">
        <f>SUMIF('Как есть'!$A$73:$A$80,Доп.расчеты!$A64,'Как есть'!GJ$73:GJ$80)</f>
        <v>0</v>
      </c>
      <c r="GJ64">
        <f>SUMIF('Как есть'!$A$73:$A$80,Доп.расчеты!$A64,'Как есть'!GK$73:GK$80)</f>
        <v>0</v>
      </c>
      <c r="GK64">
        <f>SUMIF('Как есть'!$A$73:$A$80,Доп.расчеты!$A64,'Как есть'!GL$73:GL$80)</f>
        <v>0</v>
      </c>
      <c r="GL64">
        <f>SUMIF('Как есть'!$A$73:$A$80,Доп.расчеты!$A64,'Как есть'!GM$73:GM$80)</f>
        <v>0</v>
      </c>
      <c r="GM64">
        <f>SUMIF('Как есть'!$A$73:$A$80,Доп.расчеты!$A64,'Как есть'!GN$73:GN$80)</f>
        <v>0</v>
      </c>
      <c r="GN64">
        <f>SUMIF('Как есть'!$A$73:$A$80,Доп.расчеты!$A64,'Как есть'!GO$73:GO$80)</f>
        <v>0</v>
      </c>
      <c r="GO64">
        <f>SUMIF('Как есть'!$A$73:$A$80,Доп.расчеты!$A64,'Как есть'!GP$73:GP$80)</f>
        <v>0</v>
      </c>
      <c r="GP64">
        <f>SUMIF('Как есть'!$A$73:$A$80,Доп.расчеты!$A64,'Как есть'!GQ$73:GQ$80)</f>
        <v>0</v>
      </c>
      <c r="GQ64">
        <f>SUMIF('Как есть'!$A$73:$A$80,Доп.расчеты!$A64,'Как есть'!GR$73:GR$80)</f>
        <v>0</v>
      </c>
      <c r="GR64">
        <f>SUMIF('Как есть'!$A$73:$A$80,Доп.расчеты!$A64,'Как есть'!GS$73:GS$80)</f>
        <v>0</v>
      </c>
      <c r="GS64">
        <f>SUMIF('Как есть'!$A$73:$A$80,Доп.расчеты!$A64,'Как есть'!GT$73:GT$80)</f>
        <v>0</v>
      </c>
      <c r="GT64">
        <f>SUMIF('Как есть'!$A$73:$A$80,Доп.расчеты!$A64,'Как есть'!GU$73:GU$80)</f>
        <v>0</v>
      </c>
    </row>
    <row r="65" spans="1:202">
      <c r="A65" s="237" t="s">
        <v>102</v>
      </c>
      <c r="B65">
        <f>SUMIF('Как есть'!$A$73:$A$80,Доп.расчеты!$A65,'Как есть'!C$73:C$80)</f>
        <v>0</v>
      </c>
      <c r="C65">
        <f>SUMIF('Как есть'!$A$73:$A$80,Доп.расчеты!$A65,'Как есть'!D$73:D$80)</f>
        <v>0</v>
      </c>
      <c r="D65">
        <f>SUMIF('Как есть'!$A$73:$A$80,Доп.расчеты!$A65,'Как есть'!E$73:E$80)</f>
        <v>0</v>
      </c>
      <c r="E65">
        <f>SUMIF('Как есть'!$A$73:$A$80,Доп.расчеты!$A65,'Как есть'!F$73:F$80)</f>
        <v>0</v>
      </c>
      <c r="F65">
        <f>SUMIF('Как есть'!$A$73:$A$80,Доп.расчеты!$A65,'Как есть'!G$73:G$80)</f>
        <v>0</v>
      </c>
      <c r="G65">
        <f>SUMIF('Как есть'!$A$73:$A$80,Доп.расчеты!$A65,'Как есть'!H$73:H$80)</f>
        <v>0</v>
      </c>
      <c r="H65">
        <f>SUMIF('Как есть'!$A$73:$A$80,Доп.расчеты!$A65,'Как есть'!I$73:I$80)</f>
        <v>0</v>
      </c>
      <c r="I65">
        <f>SUMIF('Как есть'!$A$73:$A$80,Доп.расчеты!$A65,'Как есть'!J$73:J$80)</f>
        <v>0</v>
      </c>
      <c r="J65">
        <f>SUMIF('Как есть'!$A$73:$A$80,Доп.расчеты!$A65,'Как есть'!K$73:K$80)</f>
        <v>0</v>
      </c>
      <c r="K65">
        <f>SUMIF('Как есть'!$A$73:$A$80,Доп.расчеты!$A65,'Как есть'!L$73:L$80)</f>
        <v>0</v>
      </c>
      <c r="L65">
        <f>SUMIF('Как есть'!$A$73:$A$80,Доп.расчеты!$A65,'Как есть'!M$73:M$80)</f>
        <v>0</v>
      </c>
      <c r="M65">
        <f>SUMIF('Как есть'!$A$73:$A$80,Доп.расчеты!$A65,'Как есть'!N$73:N$80)</f>
        <v>0</v>
      </c>
      <c r="N65">
        <f>SUMIF('Как есть'!$A$73:$A$80,Доп.расчеты!$A65,'Как есть'!O$73:O$80)</f>
        <v>0</v>
      </c>
      <c r="O65">
        <f>SUMIF('Как есть'!$A$73:$A$80,Доп.расчеты!$A65,'Как есть'!P$73:P$80)</f>
        <v>0</v>
      </c>
      <c r="P65">
        <f>SUMIF('Как есть'!$A$73:$A$80,Доп.расчеты!$A65,'Как есть'!Q$73:Q$80)</f>
        <v>0</v>
      </c>
      <c r="Q65">
        <f>SUMIF('Как есть'!$A$73:$A$80,Доп.расчеты!$A65,'Как есть'!R$73:R$80)</f>
        <v>0</v>
      </c>
      <c r="R65">
        <f>SUMIF('Как есть'!$A$73:$A$80,Доп.расчеты!$A65,'Как есть'!S$73:S$80)</f>
        <v>0</v>
      </c>
      <c r="S65">
        <f>SUMIF('Как есть'!$A$73:$A$80,Доп.расчеты!$A65,'Как есть'!T$73:T$80)</f>
        <v>0</v>
      </c>
      <c r="T65">
        <f>SUMIF('Как есть'!$A$73:$A$80,Доп.расчеты!$A65,'Как есть'!U$73:U$80)</f>
        <v>0</v>
      </c>
      <c r="U65">
        <f>SUMIF('Как есть'!$A$73:$A$80,Доп.расчеты!$A65,'Как есть'!V$73:V$80)</f>
        <v>0</v>
      </c>
      <c r="V65">
        <f>SUMIF('Как есть'!$A$73:$A$80,Доп.расчеты!$A65,'Как есть'!W$73:W$80)</f>
        <v>0</v>
      </c>
      <c r="W65">
        <f>SUMIF('Как есть'!$A$73:$A$80,Доп.расчеты!$A65,'Как есть'!X$73:X$80)</f>
        <v>0</v>
      </c>
      <c r="X65">
        <f>SUMIF('Как есть'!$A$73:$A$80,Доп.расчеты!$A65,'Как есть'!Y$73:Y$80)</f>
        <v>0</v>
      </c>
      <c r="Y65">
        <f>SUMIF('Как есть'!$A$73:$A$80,Доп.расчеты!$A65,'Как есть'!Z$73:Z$80)</f>
        <v>0</v>
      </c>
      <c r="Z65">
        <f>SUMIF('Как есть'!$A$73:$A$80,Доп.расчеты!$A65,'Как есть'!AA$73:AA$80)</f>
        <v>0</v>
      </c>
      <c r="AA65">
        <f>SUMIF('Как есть'!$A$73:$A$80,Доп.расчеты!$A65,'Как есть'!AB$73:AB$80)</f>
        <v>0</v>
      </c>
      <c r="AB65">
        <f>SUMIF('Как есть'!$A$73:$A$80,Доп.расчеты!$A65,'Как есть'!AC$73:AC$80)</f>
        <v>0</v>
      </c>
      <c r="AC65">
        <f>SUMIF('Как есть'!$A$73:$A$80,Доп.расчеты!$A65,'Как есть'!AD$73:AD$80)</f>
        <v>0</v>
      </c>
      <c r="AD65">
        <f>SUMIF('Как есть'!$A$73:$A$80,Доп.расчеты!$A65,'Как есть'!AE$73:AE$80)</f>
        <v>0</v>
      </c>
      <c r="AE65">
        <f>SUMIF('Как есть'!$A$73:$A$80,Доп.расчеты!$A65,'Как есть'!AF$73:AF$80)</f>
        <v>0</v>
      </c>
      <c r="AF65">
        <f>SUMIF('Как есть'!$A$73:$A$80,Доп.расчеты!$A65,'Как есть'!AG$73:AG$80)</f>
        <v>0</v>
      </c>
      <c r="AG65">
        <f>SUMIF('Как есть'!$A$73:$A$80,Доп.расчеты!$A65,'Как есть'!AH$73:AH$80)</f>
        <v>0</v>
      </c>
      <c r="AH65">
        <f>SUMIF('Как есть'!$A$73:$A$80,Доп.расчеты!$A65,'Как есть'!AI$73:AI$80)</f>
        <v>0</v>
      </c>
      <c r="AI65">
        <f>SUMIF('Как есть'!$A$73:$A$80,Доп.расчеты!$A65,'Как есть'!AJ$73:AJ$80)</f>
        <v>0</v>
      </c>
      <c r="AJ65">
        <f>SUMIF('Как есть'!$A$73:$A$80,Доп.расчеты!$A65,'Как есть'!AK$73:AK$80)</f>
        <v>0</v>
      </c>
      <c r="AK65">
        <f>SUMIF('Как есть'!$A$73:$A$80,Доп.расчеты!$A65,'Как есть'!AL$73:AL$80)</f>
        <v>0</v>
      </c>
      <c r="AL65">
        <f>SUMIF('Как есть'!$A$73:$A$80,Доп.расчеты!$A65,'Как есть'!AM$73:AM$80)</f>
        <v>0</v>
      </c>
      <c r="AM65">
        <f>SUMIF('Как есть'!$A$73:$A$80,Доп.расчеты!$A65,'Как есть'!AN$73:AN$80)</f>
        <v>0</v>
      </c>
      <c r="AN65">
        <f>SUMIF('Как есть'!$A$73:$A$80,Доп.расчеты!$A65,'Как есть'!AO$73:AO$80)</f>
        <v>0</v>
      </c>
      <c r="AO65">
        <f>SUMIF('Как есть'!$A$73:$A$80,Доп.расчеты!$A65,'Как есть'!AP$73:AP$80)</f>
        <v>0</v>
      </c>
      <c r="AP65">
        <f>SUMIF('Как есть'!$A$73:$A$80,Доп.расчеты!$A65,'Как есть'!AQ$73:AQ$80)</f>
        <v>0</v>
      </c>
      <c r="AQ65">
        <f>SUMIF('Как есть'!$A$73:$A$80,Доп.расчеты!$A65,'Как есть'!AR$73:AR$80)</f>
        <v>0</v>
      </c>
      <c r="AR65">
        <f>SUMIF('Как есть'!$A$73:$A$80,Доп.расчеты!$A65,'Как есть'!AS$73:AS$80)</f>
        <v>0</v>
      </c>
      <c r="AS65">
        <f>SUMIF('Как есть'!$A$73:$A$80,Доп.расчеты!$A65,'Как есть'!AT$73:AT$80)</f>
        <v>0</v>
      </c>
      <c r="AT65">
        <f>SUMIF('Как есть'!$A$73:$A$80,Доп.расчеты!$A65,'Как есть'!AU$73:AU$80)</f>
        <v>0</v>
      </c>
      <c r="AU65">
        <f>SUMIF('Как есть'!$A$73:$A$80,Доп.расчеты!$A65,'Как есть'!AV$73:AV$80)</f>
        <v>0</v>
      </c>
      <c r="AV65">
        <f>SUMIF('Как есть'!$A$73:$A$80,Доп.расчеты!$A65,'Как есть'!AW$73:AW$80)</f>
        <v>0</v>
      </c>
      <c r="AW65">
        <f>SUMIF('Как есть'!$A$73:$A$80,Доп.расчеты!$A65,'Как есть'!AX$73:AX$80)</f>
        <v>0</v>
      </c>
      <c r="AX65">
        <f>SUMIF('Как есть'!$A$73:$A$80,Доп.расчеты!$A65,'Как есть'!AY$73:AY$80)</f>
        <v>0</v>
      </c>
      <c r="AY65">
        <f>SUMIF('Как есть'!$A$73:$A$80,Доп.расчеты!$A65,'Как есть'!AZ$73:AZ$80)</f>
        <v>0</v>
      </c>
      <c r="AZ65">
        <f>SUMIF('Как есть'!$A$73:$A$80,Доп.расчеты!$A65,'Как есть'!BA$73:BA$80)</f>
        <v>0</v>
      </c>
      <c r="BA65">
        <f>SUMIF('Как есть'!$A$73:$A$80,Доп.расчеты!$A65,'Как есть'!BB$73:BB$80)</f>
        <v>0</v>
      </c>
      <c r="BB65">
        <f>SUMIF('Как есть'!$A$73:$A$80,Доп.расчеты!$A65,'Как есть'!BC$73:BC$80)</f>
        <v>0</v>
      </c>
      <c r="BC65">
        <f>SUMIF('Как есть'!$A$73:$A$80,Доп.расчеты!$A65,'Как есть'!BD$73:BD$80)</f>
        <v>0</v>
      </c>
      <c r="BD65">
        <f>SUMIF('Как есть'!$A$73:$A$80,Доп.расчеты!$A65,'Как есть'!BE$73:BE$80)</f>
        <v>0</v>
      </c>
      <c r="BE65">
        <f>SUMIF('Как есть'!$A$73:$A$80,Доп.расчеты!$A65,'Как есть'!BF$73:BF$80)</f>
        <v>0</v>
      </c>
      <c r="BF65">
        <f>SUMIF('Как есть'!$A$73:$A$80,Доп.расчеты!$A65,'Как есть'!BG$73:BG$80)</f>
        <v>0</v>
      </c>
      <c r="BG65">
        <f>SUMIF('Как есть'!$A$73:$A$80,Доп.расчеты!$A65,'Как есть'!BH$73:BH$80)</f>
        <v>0</v>
      </c>
      <c r="BH65">
        <f>SUMIF('Как есть'!$A$73:$A$80,Доп.расчеты!$A65,'Как есть'!BI$73:BI$80)</f>
        <v>0</v>
      </c>
      <c r="BI65">
        <f>SUMIF('Как есть'!$A$73:$A$80,Доп.расчеты!$A65,'Как есть'!BJ$73:BJ$80)</f>
        <v>0</v>
      </c>
      <c r="BJ65">
        <f>SUMIF('Как есть'!$A$73:$A$80,Доп.расчеты!$A65,'Как есть'!BK$73:BK$80)</f>
        <v>0</v>
      </c>
      <c r="BK65">
        <f>SUMIF('Как есть'!$A$73:$A$80,Доп.расчеты!$A65,'Как есть'!BL$73:BL$80)</f>
        <v>0</v>
      </c>
      <c r="BL65">
        <f>SUMIF('Как есть'!$A$73:$A$80,Доп.расчеты!$A65,'Как есть'!BM$73:BM$80)</f>
        <v>0</v>
      </c>
      <c r="BM65">
        <f>SUMIF('Как есть'!$A$73:$A$80,Доп.расчеты!$A65,'Как есть'!BN$73:BN$80)</f>
        <v>0</v>
      </c>
      <c r="BN65">
        <f>SUMIF('Как есть'!$A$73:$A$80,Доп.расчеты!$A65,'Как есть'!BO$73:BO$80)</f>
        <v>0</v>
      </c>
      <c r="BO65">
        <f>SUMIF('Как есть'!$A$73:$A$80,Доп.расчеты!$A65,'Как есть'!BP$73:BP$80)</f>
        <v>0</v>
      </c>
      <c r="BP65">
        <f>SUMIF('Как есть'!$A$73:$A$80,Доп.расчеты!$A65,'Как есть'!BQ$73:BQ$80)</f>
        <v>0</v>
      </c>
      <c r="BQ65">
        <f>SUMIF('Как есть'!$A$73:$A$80,Доп.расчеты!$A65,'Как есть'!BR$73:BR$80)</f>
        <v>0</v>
      </c>
      <c r="BR65">
        <f>SUMIF('Как есть'!$A$73:$A$80,Доп.расчеты!$A65,'Как есть'!BS$73:BS$80)</f>
        <v>0</v>
      </c>
      <c r="BS65">
        <f>SUMIF('Как есть'!$A$73:$A$80,Доп.расчеты!$A65,'Как есть'!BT$73:BT$80)</f>
        <v>0</v>
      </c>
      <c r="BT65">
        <f>SUMIF('Как есть'!$A$73:$A$80,Доп.расчеты!$A65,'Как есть'!BU$73:BU$80)</f>
        <v>0</v>
      </c>
      <c r="BU65">
        <f>SUMIF('Как есть'!$A$73:$A$80,Доп.расчеты!$A65,'Как есть'!BV$73:BV$80)</f>
        <v>0</v>
      </c>
      <c r="BV65">
        <f>SUMIF('Как есть'!$A$73:$A$80,Доп.расчеты!$A65,'Как есть'!BW$73:BW$80)</f>
        <v>0</v>
      </c>
      <c r="BW65">
        <f>SUMIF('Как есть'!$A$73:$A$80,Доп.расчеты!$A65,'Как есть'!BX$73:BX$80)</f>
        <v>0</v>
      </c>
      <c r="BX65">
        <f>SUMIF('Как есть'!$A$73:$A$80,Доп.расчеты!$A65,'Как есть'!BY$73:BY$80)</f>
        <v>0</v>
      </c>
      <c r="BY65">
        <f>SUMIF('Как есть'!$A$73:$A$80,Доп.расчеты!$A65,'Как есть'!BZ$73:BZ$80)</f>
        <v>0</v>
      </c>
      <c r="BZ65">
        <f>SUMIF('Как есть'!$A$73:$A$80,Доп.расчеты!$A65,'Как есть'!CA$73:CA$80)</f>
        <v>0</v>
      </c>
      <c r="CA65">
        <f>SUMIF('Как есть'!$A$73:$A$80,Доп.расчеты!$A65,'Как есть'!CB$73:CB$80)</f>
        <v>0</v>
      </c>
      <c r="CB65">
        <f>SUMIF('Как есть'!$A$73:$A$80,Доп.расчеты!$A65,'Как есть'!CC$73:CC$80)</f>
        <v>0</v>
      </c>
      <c r="CC65">
        <f>SUMIF('Как есть'!$A$73:$A$80,Доп.расчеты!$A65,'Как есть'!CD$73:CD$80)</f>
        <v>0</v>
      </c>
      <c r="CD65">
        <f>SUMIF('Как есть'!$A$73:$A$80,Доп.расчеты!$A65,'Как есть'!CE$73:CE$80)</f>
        <v>0</v>
      </c>
      <c r="CE65">
        <f>SUMIF('Как есть'!$A$73:$A$80,Доп.расчеты!$A65,'Как есть'!CF$73:CF$80)</f>
        <v>0</v>
      </c>
      <c r="CF65">
        <f>SUMIF('Как есть'!$A$73:$A$80,Доп.расчеты!$A65,'Как есть'!CG$73:CG$80)</f>
        <v>0</v>
      </c>
      <c r="CG65">
        <f>SUMIF('Как есть'!$A$73:$A$80,Доп.расчеты!$A65,'Как есть'!CH$73:CH$80)</f>
        <v>0</v>
      </c>
      <c r="CH65">
        <f>SUMIF('Как есть'!$A$73:$A$80,Доп.расчеты!$A65,'Как есть'!CI$73:CI$80)</f>
        <v>0</v>
      </c>
      <c r="CI65">
        <f>SUMIF('Как есть'!$A$73:$A$80,Доп.расчеты!$A65,'Как есть'!CJ$73:CJ$80)</f>
        <v>0</v>
      </c>
      <c r="CJ65">
        <f>SUMIF('Как есть'!$A$73:$A$80,Доп.расчеты!$A65,'Как есть'!CK$73:CK$80)</f>
        <v>0</v>
      </c>
      <c r="CK65">
        <f>SUMIF('Как есть'!$A$73:$A$80,Доп.расчеты!$A65,'Как есть'!CL$73:CL$80)</f>
        <v>0</v>
      </c>
      <c r="CL65">
        <f>SUMIF('Как есть'!$A$73:$A$80,Доп.расчеты!$A65,'Как есть'!CM$73:CM$80)</f>
        <v>0</v>
      </c>
      <c r="CM65">
        <f>SUMIF('Как есть'!$A$73:$A$80,Доп.расчеты!$A65,'Как есть'!CN$73:CN$80)</f>
        <v>0</v>
      </c>
      <c r="CN65">
        <f>SUMIF('Как есть'!$A$73:$A$80,Доп.расчеты!$A65,'Как есть'!CO$73:CO$80)</f>
        <v>0</v>
      </c>
      <c r="CO65">
        <f>SUMIF('Как есть'!$A$73:$A$80,Доп.расчеты!$A65,'Как есть'!CP$73:CP$80)</f>
        <v>0</v>
      </c>
      <c r="CP65">
        <f>SUMIF('Как есть'!$A$73:$A$80,Доп.расчеты!$A65,'Как есть'!CQ$73:CQ$80)</f>
        <v>0</v>
      </c>
      <c r="CQ65">
        <f>SUMIF('Как есть'!$A$73:$A$80,Доп.расчеты!$A65,'Как есть'!CR$73:CR$80)</f>
        <v>0</v>
      </c>
      <c r="CR65">
        <f>SUMIF('Как есть'!$A$73:$A$80,Доп.расчеты!$A65,'Как есть'!CS$73:CS$80)</f>
        <v>0</v>
      </c>
      <c r="CS65">
        <f>SUMIF('Как есть'!$A$73:$A$80,Доп.расчеты!$A65,'Как есть'!CT$73:CT$80)</f>
        <v>0</v>
      </c>
      <c r="CT65">
        <f>SUMIF('Как есть'!$A$73:$A$80,Доп.расчеты!$A65,'Как есть'!CU$73:CU$80)</f>
        <v>0</v>
      </c>
      <c r="CU65">
        <f>SUMIF('Как есть'!$A$73:$A$80,Доп.расчеты!$A65,'Как есть'!CV$73:CV$80)</f>
        <v>0</v>
      </c>
      <c r="CV65">
        <f>SUMIF('Как есть'!$A$73:$A$80,Доп.расчеты!$A65,'Как есть'!CW$73:CW$80)</f>
        <v>0</v>
      </c>
      <c r="CW65">
        <f>SUMIF('Как есть'!$A$73:$A$80,Доп.расчеты!$A65,'Как есть'!CX$73:CX$80)</f>
        <v>0</v>
      </c>
      <c r="CX65">
        <f>SUMIF('Как есть'!$A$73:$A$80,Доп.расчеты!$A65,'Как есть'!CY$73:CY$80)</f>
        <v>0</v>
      </c>
      <c r="CY65">
        <f>SUMIF('Как есть'!$A$73:$A$80,Доп.расчеты!$A65,'Как есть'!CZ$73:CZ$80)</f>
        <v>0</v>
      </c>
      <c r="CZ65">
        <f>SUMIF('Как есть'!$A$73:$A$80,Доп.расчеты!$A65,'Как есть'!DA$73:DA$80)</f>
        <v>0</v>
      </c>
      <c r="DA65">
        <f>SUMIF('Как есть'!$A$73:$A$80,Доп.расчеты!$A65,'Как есть'!DB$73:DB$80)</f>
        <v>0</v>
      </c>
      <c r="DB65">
        <f>SUMIF('Как есть'!$A$73:$A$80,Доп.расчеты!$A65,'Как есть'!DC$73:DC$80)</f>
        <v>0</v>
      </c>
      <c r="DC65">
        <f>SUMIF('Как есть'!$A$73:$A$80,Доп.расчеты!$A65,'Как есть'!DD$73:DD$80)</f>
        <v>0</v>
      </c>
      <c r="DD65">
        <f>SUMIF('Как есть'!$A$73:$A$80,Доп.расчеты!$A65,'Как есть'!DE$73:DE$80)</f>
        <v>0</v>
      </c>
      <c r="DE65">
        <f>SUMIF('Как есть'!$A$73:$A$80,Доп.расчеты!$A65,'Как есть'!DF$73:DF$80)</f>
        <v>0</v>
      </c>
      <c r="DF65">
        <f>SUMIF('Как есть'!$A$73:$A$80,Доп.расчеты!$A65,'Как есть'!DG$73:DG$80)</f>
        <v>0</v>
      </c>
      <c r="DG65">
        <f>SUMIF('Как есть'!$A$73:$A$80,Доп.расчеты!$A65,'Как есть'!DH$73:DH$80)</f>
        <v>0</v>
      </c>
      <c r="DH65">
        <f>SUMIF('Как есть'!$A$73:$A$80,Доп.расчеты!$A65,'Как есть'!DI$73:DI$80)</f>
        <v>0</v>
      </c>
      <c r="DI65">
        <f>SUMIF('Как есть'!$A$73:$A$80,Доп.расчеты!$A65,'Как есть'!DJ$73:DJ$80)</f>
        <v>0</v>
      </c>
      <c r="DJ65">
        <f>SUMIF('Как есть'!$A$73:$A$80,Доп.расчеты!$A65,'Как есть'!DK$73:DK$80)</f>
        <v>0</v>
      </c>
      <c r="DK65">
        <f>SUMIF('Как есть'!$A$73:$A$80,Доп.расчеты!$A65,'Как есть'!DL$73:DL$80)</f>
        <v>0</v>
      </c>
      <c r="DL65">
        <f>SUMIF('Как есть'!$A$73:$A$80,Доп.расчеты!$A65,'Как есть'!DM$73:DM$80)</f>
        <v>0</v>
      </c>
      <c r="DM65">
        <f>SUMIF('Как есть'!$A$73:$A$80,Доп.расчеты!$A65,'Как есть'!DN$73:DN$80)</f>
        <v>0</v>
      </c>
      <c r="DN65">
        <f>SUMIF('Как есть'!$A$73:$A$80,Доп.расчеты!$A65,'Как есть'!DO$73:DO$80)</f>
        <v>0</v>
      </c>
      <c r="DO65">
        <f>SUMIF('Как есть'!$A$73:$A$80,Доп.расчеты!$A65,'Как есть'!DP$73:DP$80)</f>
        <v>0</v>
      </c>
      <c r="DP65">
        <f>SUMIF('Как есть'!$A$73:$A$80,Доп.расчеты!$A65,'Как есть'!DQ$73:DQ$80)</f>
        <v>0</v>
      </c>
      <c r="DQ65">
        <f>SUMIF('Как есть'!$A$73:$A$80,Доп.расчеты!$A65,'Как есть'!DR$73:DR$80)</f>
        <v>0</v>
      </c>
      <c r="DR65">
        <f>SUMIF('Как есть'!$A$73:$A$80,Доп.расчеты!$A65,'Как есть'!DS$73:DS$80)</f>
        <v>0</v>
      </c>
      <c r="DS65">
        <f>SUMIF('Как есть'!$A$73:$A$80,Доп.расчеты!$A65,'Как есть'!DT$73:DT$80)</f>
        <v>0</v>
      </c>
      <c r="DT65">
        <f>SUMIF('Как есть'!$A$73:$A$80,Доп.расчеты!$A65,'Как есть'!DU$73:DU$80)</f>
        <v>0</v>
      </c>
      <c r="DU65">
        <f>SUMIF('Как есть'!$A$73:$A$80,Доп.расчеты!$A65,'Как есть'!DV$73:DV$80)</f>
        <v>0</v>
      </c>
      <c r="DV65">
        <f>SUMIF('Как есть'!$A$73:$A$80,Доп.расчеты!$A65,'Как есть'!DW$73:DW$80)</f>
        <v>0</v>
      </c>
      <c r="DW65">
        <f>SUMIF('Как есть'!$A$73:$A$80,Доп.расчеты!$A65,'Как есть'!DX$73:DX$80)</f>
        <v>0</v>
      </c>
      <c r="DX65">
        <f>SUMIF('Как есть'!$A$73:$A$80,Доп.расчеты!$A65,'Как есть'!DY$73:DY$80)</f>
        <v>0</v>
      </c>
      <c r="DY65">
        <f>SUMIF('Как есть'!$A$73:$A$80,Доп.расчеты!$A65,'Как есть'!DZ$73:DZ$80)</f>
        <v>0</v>
      </c>
      <c r="DZ65">
        <f>SUMIF('Как есть'!$A$73:$A$80,Доп.расчеты!$A65,'Как есть'!EA$73:EA$80)</f>
        <v>0</v>
      </c>
      <c r="EA65">
        <f>SUMIF('Как есть'!$A$73:$A$80,Доп.расчеты!$A65,'Как есть'!EB$73:EB$80)</f>
        <v>0</v>
      </c>
      <c r="EB65">
        <f>SUMIF('Как есть'!$A$73:$A$80,Доп.расчеты!$A65,'Как есть'!EC$73:EC$80)</f>
        <v>0</v>
      </c>
      <c r="EC65">
        <f>SUMIF('Как есть'!$A$73:$A$80,Доп.расчеты!$A65,'Как есть'!ED$73:ED$80)</f>
        <v>0</v>
      </c>
      <c r="ED65">
        <f>SUMIF('Как есть'!$A$73:$A$80,Доп.расчеты!$A65,'Как есть'!EE$73:EE$80)</f>
        <v>0</v>
      </c>
      <c r="EE65">
        <f>SUMIF('Как есть'!$A$73:$A$80,Доп.расчеты!$A65,'Как есть'!EF$73:EF$80)</f>
        <v>0</v>
      </c>
      <c r="EF65">
        <f>SUMIF('Как есть'!$A$73:$A$80,Доп.расчеты!$A65,'Как есть'!EG$73:EG$80)</f>
        <v>0</v>
      </c>
      <c r="EG65">
        <f>SUMIF('Как есть'!$A$73:$A$80,Доп.расчеты!$A65,'Как есть'!EH$73:EH$80)</f>
        <v>0</v>
      </c>
      <c r="EH65">
        <f>SUMIF('Как есть'!$A$73:$A$80,Доп.расчеты!$A65,'Как есть'!EI$73:EI$80)</f>
        <v>0</v>
      </c>
      <c r="EI65">
        <f>SUMIF('Как есть'!$A$73:$A$80,Доп.расчеты!$A65,'Как есть'!EJ$73:EJ$80)</f>
        <v>0</v>
      </c>
      <c r="EJ65">
        <f>SUMIF('Как есть'!$A$73:$A$80,Доп.расчеты!$A65,'Как есть'!EK$73:EK$80)</f>
        <v>0</v>
      </c>
      <c r="EK65">
        <f>SUMIF('Как есть'!$A$73:$A$80,Доп.расчеты!$A65,'Как есть'!EL$73:EL$80)</f>
        <v>0</v>
      </c>
      <c r="EL65">
        <f>SUMIF('Как есть'!$A$73:$A$80,Доп.расчеты!$A65,'Как есть'!EM$73:EM$80)</f>
        <v>0</v>
      </c>
      <c r="EM65">
        <f>SUMIF('Как есть'!$A$73:$A$80,Доп.расчеты!$A65,'Как есть'!EN$73:EN$80)</f>
        <v>0</v>
      </c>
      <c r="EN65">
        <f>SUMIF('Как есть'!$A$73:$A$80,Доп.расчеты!$A65,'Как есть'!EO$73:EO$80)</f>
        <v>0</v>
      </c>
      <c r="EO65">
        <f>SUMIF('Как есть'!$A$73:$A$80,Доп.расчеты!$A65,'Как есть'!EP$73:EP$80)</f>
        <v>0</v>
      </c>
      <c r="EP65">
        <f>SUMIF('Как есть'!$A$73:$A$80,Доп.расчеты!$A65,'Как есть'!EQ$73:EQ$80)</f>
        <v>0</v>
      </c>
      <c r="EQ65">
        <f>SUMIF('Как есть'!$A$73:$A$80,Доп.расчеты!$A65,'Как есть'!ER$73:ER$80)</f>
        <v>0</v>
      </c>
      <c r="ER65">
        <f>SUMIF('Как есть'!$A$73:$A$80,Доп.расчеты!$A65,'Как есть'!ES$73:ES$80)</f>
        <v>0</v>
      </c>
      <c r="ES65">
        <f>SUMIF('Как есть'!$A$73:$A$80,Доп.расчеты!$A65,'Как есть'!ET$73:ET$80)</f>
        <v>0</v>
      </c>
      <c r="ET65">
        <f>SUMIF('Как есть'!$A$73:$A$80,Доп.расчеты!$A65,'Как есть'!EU$73:EU$80)</f>
        <v>0</v>
      </c>
      <c r="EU65">
        <f>SUMIF('Как есть'!$A$73:$A$80,Доп.расчеты!$A65,'Как есть'!EV$73:EV$80)</f>
        <v>0</v>
      </c>
      <c r="EV65">
        <f>SUMIF('Как есть'!$A$73:$A$80,Доп.расчеты!$A65,'Как есть'!EW$73:EW$80)</f>
        <v>0</v>
      </c>
      <c r="EW65">
        <f>SUMIF('Как есть'!$A$73:$A$80,Доп.расчеты!$A65,'Как есть'!EX$73:EX$80)</f>
        <v>0</v>
      </c>
      <c r="EX65">
        <f>SUMIF('Как есть'!$A$73:$A$80,Доп.расчеты!$A65,'Как есть'!EY$73:EY$80)</f>
        <v>0</v>
      </c>
      <c r="EY65">
        <f>SUMIF('Как есть'!$A$73:$A$80,Доп.расчеты!$A65,'Как есть'!EZ$73:EZ$80)</f>
        <v>0</v>
      </c>
      <c r="EZ65">
        <f>SUMIF('Как есть'!$A$73:$A$80,Доп.расчеты!$A65,'Как есть'!FA$73:FA$80)</f>
        <v>0</v>
      </c>
      <c r="FA65">
        <f>SUMIF('Как есть'!$A$73:$A$80,Доп.расчеты!$A65,'Как есть'!FB$73:FB$80)</f>
        <v>0</v>
      </c>
      <c r="FB65">
        <f>SUMIF('Как есть'!$A$73:$A$80,Доп.расчеты!$A65,'Как есть'!FC$73:FC$80)</f>
        <v>0</v>
      </c>
      <c r="FC65">
        <f>SUMIF('Как есть'!$A$73:$A$80,Доп.расчеты!$A65,'Как есть'!FD$73:FD$80)</f>
        <v>0</v>
      </c>
      <c r="FD65">
        <f>SUMIF('Как есть'!$A$73:$A$80,Доп.расчеты!$A65,'Как есть'!FE$73:FE$80)</f>
        <v>0</v>
      </c>
      <c r="FE65">
        <f>SUMIF('Как есть'!$A$73:$A$80,Доп.расчеты!$A65,'Как есть'!FF$73:FF$80)</f>
        <v>0</v>
      </c>
      <c r="FF65">
        <f>SUMIF('Как есть'!$A$73:$A$80,Доп.расчеты!$A65,'Как есть'!FG$73:FG$80)</f>
        <v>0</v>
      </c>
      <c r="FG65">
        <f>SUMIF('Как есть'!$A$73:$A$80,Доп.расчеты!$A65,'Как есть'!FH$73:FH$80)</f>
        <v>0</v>
      </c>
      <c r="FH65">
        <f>SUMIF('Как есть'!$A$73:$A$80,Доп.расчеты!$A65,'Как есть'!FI$73:FI$80)</f>
        <v>0</v>
      </c>
      <c r="FI65">
        <f>SUMIF('Как есть'!$A$73:$A$80,Доп.расчеты!$A65,'Как есть'!FJ$73:FJ$80)</f>
        <v>0</v>
      </c>
      <c r="FJ65">
        <f>SUMIF('Как есть'!$A$73:$A$80,Доп.расчеты!$A65,'Как есть'!FK$73:FK$80)</f>
        <v>0</v>
      </c>
      <c r="FK65">
        <f>SUMIF('Как есть'!$A$73:$A$80,Доп.расчеты!$A65,'Как есть'!FL$73:FL$80)</f>
        <v>0</v>
      </c>
      <c r="FL65">
        <f>SUMIF('Как есть'!$A$73:$A$80,Доп.расчеты!$A65,'Как есть'!FM$73:FM$80)</f>
        <v>0</v>
      </c>
      <c r="FM65">
        <f>SUMIF('Как есть'!$A$73:$A$80,Доп.расчеты!$A65,'Как есть'!FN$73:FN$80)</f>
        <v>0</v>
      </c>
      <c r="FN65">
        <f>SUMIF('Как есть'!$A$73:$A$80,Доп.расчеты!$A65,'Как есть'!FO$73:FO$80)</f>
        <v>0</v>
      </c>
      <c r="FO65">
        <f>SUMIF('Как есть'!$A$73:$A$80,Доп.расчеты!$A65,'Как есть'!FP$73:FP$80)</f>
        <v>0</v>
      </c>
      <c r="FP65">
        <f>SUMIF('Как есть'!$A$73:$A$80,Доп.расчеты!$A65,'Как есть'!FQ$73:FQ$80)</f>
        <v>0</v>
      </c>
      <c r="FQ65">
        <f>SUMIF('Как есть'!$A$73:$A$80,Доп.расчеты!$A65,'Как есть'!FR$73:FR$80)</f>
        <v>0</v>
      </c>
      <c r="FR65">
        <f>SUMIF('Как есть'!$A$73:$A$80,Доп.расчеты!$A65,'Как есть'!FS$73:FS$80)</f>
        <v>0</v>
      </c>
      <c r="FS65">
        <f>SUMIF('Как есть'!$A$73:$A$80,Доп.расчеты!$A65,'Как есть'!FT$73:FT$80)</f>
        <v>0</v>
      </c>
      <c r="FT65">
        <f>SUMIF('Как есть'!$A$73:$A$80,Доп.расчеты!$A65,'Как есть'!FU$73:FU$80)</f>
        <v>0</v>
      </c>
      <c r="FU65">
        <f>SUMIF('Как есть'!$A$73:$A$80,Доп.расчеты!$A65,'Как есть'!FV$73:FV$80)</f>
        <v>0</v>
      </c>
      <c r="FV65">
        <f>SUMIF('Как есть'!$A$73:$A$80,Доп.расчеты!$A65,'Как есть'!FW$73:FW$80)</f>
        <v>0</v>
      </c>
      <c r="FW65">
        <f>SUMIF('Как есть'!$A$73:$A$80,Доп.расчеты!$A65,'Как есть'!FX$73:FX$80)</f>
        <v>0</v>
      </c>
      <c r="FX65">
        <f>SUMIF('Как есть'!$A$73:$A$80,Доп.расчеты!$A65,'Как есть'!FY$73:FY$80)</f>
        <v>0</v>
      </c>
      <c r="FY65">
        <f>SUMIF('Как есть'!$A$73:$A$80,Доп.расчеты!$A65,'Как есть'!FZ$73:FZ$80)</f>
        <v>0</v>
      </c>
      <c r="FZ65">
        <f>SUMIF('Как есть'!$A$73:$A$80,Доп.расчеты!$A65,'Как есть'!GA$73:GA$80)</f>
        <v>0</v>
      </c>
      <c r="GA65">
        <f>SUMIF('Как есть'!$A$73:$A$80,Доп.расчеты!$A65,'Как есть'!GB$73:GB$80)</f>
        <v>0</v>
      </c>
      <c r="GB65">
        <f>SUMIF('Как есть'!$A$73:$A$80,Доп.расчеты!$A65,'Как есть'!GC$73:GC$80)</f>
        <v>0</v>
      </c>
      <c r="GC65">
        <f>SUMIF('Как есть'!$A$73:$A$80,Доп.расчеты!$A65,'Как есть'!GD$73:GD$80)</f>
        <v>0</v>
      </c>
      <c r="GD65">
        <f>SUMIF('Как есть'!$A$73:$A$80,Доп.расчеты!$A65,'Как есть'!GE$73:GE$80)</f>
        <v>0</v>
      </c>
      <c r="GE65">
        <f>SUMIF('Как есть'!$A$73:$A$80,Доп.расчеты!$A65,'Как есть'!GF$73:GF$80)</f>
        <v>0</v>
      </c>
      <c r="GF65">
        <f>SUMIF('Как есть'!$A$73:$A$80,Доп.расчеты!$A65,'Как есть'!GG$73:GG$80)</f>
        <v>0</v>
      </c>
      <c r="GG65">
        <f>SUMIF('Как есть'!$A$73:$A$80,Доп.расчеты!$A65,'Как есть'!GH$73:GH$80)</f>
        <v>0</v>
      </c>
      <c r="GH65">
        <f>SUMIF('Как есть'!$A$73:$A$80,Доп.расчеты!$A65,'Как есть'!GI$73:GI$80)</f>
        <v>0</v>
      </c>
      <c r="GI65">
        <f>SUMIF('Как есть'!$A$73:$A$80,Доп.расчеты!$A65,'Как есть'!GJ$73:GJ$80)</f>
        <v>0</v>
      </c>
      <c r="GJ65">
        <f>SUMIF('Как есть'!$A$73:$A$80,Доп.расчеты!$A65,'Как есть'!GK$73:GK$80)</f>
        <v>0</v>
      </c>
      <c r="GK65">
        <f>SUMIF('Как есть'!$A$73:$A$80,Доп.расчеты!$A65,'Как есть'!GL$73:GL$80)</f>
        <v>0</v>
      </c>
      <c r="GL65">
        <f>SUMIF('Как есть'!$A$73:$A$80,Доп.расчеты!$A65,'Как есть'!GM$73:GM$80)</f>
        <v>0</v>
      </c>
      <c r="GM65">
        <f>SUMIF('Как есть'!$A$73:$A$80,Доп.расчеты!$A65,'Как есть'!GN$73:GN$80)</f>
        <v>0</v>
      </c>
      <c r="GN65">
        <f>SUMIF('Как есть'!$A$73:$A$80,Доп.расчеты!$A65,'Как есть'!GO$73:GO$80)</f>
        <v>0</v>
      </c>
      <c r="GO65">
        <f>SUMIF('Как есть'!$A$73:$A$80,Доп.расчеты!$A65,'Как есть'!GP$73:GP$80)</f>
        <v>0</v>
      </c>
      <c r="GP65">
        <f>SUMIF('Как есть'!$A$73:$A$80,Доп.расчеты!$A65,'Как есть'!GQ$73:GQ$80)</f>
        <v>0</v>
      </c>
      <c r="GQ65">
        <f>SUMIF('Как есть'!$A$73:$A$80,Доп.расчеты!$A65,'Как есть'!GR$73:GR$80)</f>
        <v>0</v>
      </c>
      <c r="GR65">
        <f>SUMIF('Как есть'!$A$73:$A$80,Доп.расчеты!$A65,'Как есть'!GS$73:GS$80)</f>
        <v>0</v>
      </c>
      <c r="GS65">
        <f>SUMIF('Как есть'!$A$73:$A$80,Доп.расчеты!$A65,'Как есть'!GT$73:GT$80)</f>
        <v>0</v>
      </c>
      <c r="GT65">
        <f>SUMIF('Как есть'!$A$73:$A$80,Доп.расчеты!$A65,'Как есть'!GU$73:GU$80)</f>
        <v>0</v>
      </c>
    </row>
    <row r="66" spans="1:202">
      <c r="A66" s="237" t="s">
        <v>103</v>
      </c>
      <c r="B66">
        <f>SUMIF('Как есть'!$A$73:$A$80,Доп.расчеты!$A66,'Как есть'!C$73:C$80)</f>
        <v>0</v>
      </c>
      <c r="C66">
        <f>SUMIF('Как есть'!$A$73:$A$80,Доп.расчеты!$A66,'Как есть'!D$73:D$80)</f>
        <v>0</v>
      </c>
      <c r="D66">
        <f>SUMIF('Как есть'!$A$73:$A$80,Доп.расчеты!$A66,'Как есть'!E$73:E$80)</f>
        <v>0</v>
      </c>
      <c r="E66">
        <f>SUMIF('Как есть'!$A$73:$A$80,Доп.расчеты!$A66,'Как есть'!F$73:F$80)</f>
        <v>0</v>
      </c>
      <c r="F66">
        <f>SUMIF('Как есть'!$A$73:$A$80,Доп.расчеты!$A66,'Как есть'!G$73:G$80)</f>
        <v>0</v>
      </c>
      <c r="G66">
        <f>SUMIF('Как есть'!$A$73:$A$80,Доп.расчеты!$A66,'Как есть'!H$73:H$80)</f>
        <v>0</v>
      </c>
      <c r="H66">
        <f>SUMIF('Как есть'!$A$73:$A$80,Доп.расчеты!$A66,'Как есть'!I$73:I$80)</f>
        <v>0</v>
      </c>
      <c r="I66">
        <f>SUMIF('Как есть'!$A$73:$A$80,Доп.расчеты!$A66,'Как есть'!J$73:J$80)</f>
        <v>0</v>
      </c>
      <c r="J66">
        <f>SUMIF('Как есть'!$A$73:$A$80,Доп.расчеты!$A66,'Как есть'!K$73:K$80)</f>
        <v>0</v>
      </c>
      <c r="K66">
        <f>SUMIF('Как есть'!$A$73:$A$80,Доп.расчеты!$A66,'Как есть'!L$73:L$80)</f>
        <v>0</v>
      </c>
      <c r="L66">
        <f>SUMIF('Как есть'!$A$73:$A$80,Доп.расчеты!$A66,'Как есть'!M$73:M$80)</f>
        <v>0</v>
      </c>
      <c r="M66">
        <f>SUMIF('Как есть'!$A$73:$A$80,Доп.расчеты!$A66,'Как есть'!N$73:N$80)</f>
        <v>0</v>
      </c>
      <c r="N66">
        <f>SUMIF('Как есть'!$A$73:$A$80,Доп.расчеты!$A66,'Как есть'!O$73:O$80)</f>
        <v>0</v>
      </c>
      <c r="O66">
        <f>SUMIF('Как есть'!$A$73:$A$80,Доп.расчеты!$A66,'Как есть'!P$73:P$80)</f>
        <v>0</v>
      </c>
      <c r="P66">
        <f>SUMIF('Как есть'!$A$73:$A$80,Доп.расчеты!$A66,'Как есть'!Q$73:Q$80)</f>
        <v>0</v>
      </c>
      <c r="Q66">
        <f>SUMIF('Как есть'!$A$73:$A$80,Доп.расчеты!$A66,'Как есть'!R$73:R$80)</f>
        <v>0</v>
      </c>
      <c r="R66">
        <f>SUMIF('Как есть'!$A$73:$A$80,Доп.расчеты!$A66,'Как есть'!S$73:S$80)</f>
        <v>0</v>
      </c>
      <c r="S66">
        <f>SUMIF('Как есть'!$A$73:$A$80,Доп.расчеты!$A66,'Как есть'!T$73:T$80)</f>
        <v>0</v>
      </c>
      <c r="T66">
        <f>SUMIF('Как есть'!$A$73:$A$80,Доп.расчеты!$A66,'Как есть'!U$73:U$80)</f>
        <v>0</v>
      </c>
      <c r="U66">
        <f>SUMIF('Как есть'!$A$73:$A$80,Доп.расчеты!$A66,'Как есть'!V$73:V$80)</f>
        <v>0</v>
      </c>
      <c r="V66">
        <f>SUMIF('Как есть'!$A$73:$A$80,Доп.расчеты!$A66,'Как есть'!W$73:W$80)</f>
        <v>0</v>
      </c>
      <c r="W66">
        <f>SUMIF('Как есть'!$A$73:$A$80,Доп.расчеты!$A66,'Как есть'!X$73:X$80)</f>
        <v>0</v>
      </c>
      <c r="X66">
        <f>SUMIF('Как есть'!$A$73:$A$80,Доп.расчеты!$A66,'Как есть'!Y$73:Y$80)</f>
        <v>0</v>
      </c>
      <c r="Y66">
        <f>SUMIF('Как есть'!$A$73:$A$80,Доп.расчеты!$A66,'Как есть'!Z$73:Z$80)</f>
        <v>0</v>
      </c>
      <c r="Z66">
        <f>SUMIF('Как есть'!$A$73:$A$80,Доп.расчеты!$A66,'Как есть'!AA$73:AA$80)</f>
        <v>0</v>
      </c>
      <c r="AA66">
        <f>SUMIF('Как есть'!$A$73:$A$80,Доп.расчеты!$A66,'Как есть'!AB$73:AB$80)</f>
        <v>0</v>
      </c>
      <c r="AB66">
        <f>SUMIF('Как есть'!$A$73:$A$80,Доп.расчеты!$A66,'Как есть'!AC$73:AC$80)</f>
        <v>0</v>
      </c>
      <c r="AC66">
        <f>SUMIF('Как есть'!$A$73:$A$80,Доп.расчеты!$A66,'Как есть'!AD$73:AD$80)</f>
        <v>0</v>
      </c>
      <c r="AD66">
        <f>SUMIF('Как есть'!$A$73:$A$80,Доп.расчеты!$A66,'Как есть'!AE$73:AE$80)</f>
        <v>0</v>
      </c>
      <c r="AE66">
        <f>SUMIF('Как есть'!$A$73:$A$80,Доп.расчеты!$A66,'Как есть'!AF$73:AF$80)</f>
        <v>0</v>
      </c>
      <c r="AF66">
        <f>SUMIF('Как есть'!$A$73:$A$80,Доп.расчеты!$A66,'Как есть'!AG$73:AG$80)</f>
        <v>0</v>
      </c>
      <c r="AG66">
        <f>SUMIF('Как есть'!$A$73:$A$80,Доп.расчеты!$A66,'Как есть'!AH$73:AH$80)</f>
        <v>0</v>
      </c>
      <c r="AH66">
        <f>SUMIF('Как есть'!$A$73:$A$80,Доп.расчеты!$A66,'Как есть'!AI$73:AI$80)</f>
        <v>0</v>
      </c>
      <c r="AI66">
        <f>SUMIF('Как есть'!$A$73:$A$80,Доп.расчеты!$A66,'Как есть'!AJ$73:AJ$80)</f>
        <v>0</v>
      </c>
      <c r="AJ66">
        <f>SUMIF('Как есть'!$A$73:$A$80,Доп.расчеты!$A66,'Как есть'!AK$73:AK$80)</f>
        <v>0</v>
      </c>
      <c r="AK66">
        <f>SUMIF('Как есть'!$A$73:$A$80,Доп.расчеты!$A66,'Как есть'!AL$73:AL$80)</f>
        <v>0</v>
      </c>
      <c r="AL66">
        <f>SUMIF('Как есть'!$A$73:$A$80,Доп.расчеты!$A66,'Как есть'!AM$73:AM$80)</f>
        <v>0</v>
      </c>
      <c r="AM66">
        <f>SUMIF('Как есть'!$A$73:$A$80,Доп.расчеты!$A66,'Как есть'!AN$73:AN$80)</f>
        <v>0</v>
      </c>
      <c r="AN66">
        <f>SUMIF('Как есть'!$A$73:$A$80,Доп.расчеты!$A66,'Как есть'!AO$73:AO$80)</f>
        <v>0</v>
      </c>
      <c r="AO66">
        <f>SUMIF('Как есть'!$A$73:$A$80,Доп.расчеты!$A66,'Как есть'!AP$73:AP$80)</f>
        <v>0</v>
      </c>
      <c r="AP66">
        <f>SUMIF('Как есть'!$A$73:$A$80,Доп.расчеты!$A66,'Как есть'!AQ$73:AQ$80)</f>
        <v>0</v>
      </c>
      <c r="AQ66">
        <f>SUMIF('Как есть'!$A$73:$A$80,Доп.расчеты!$A66,'Как есть'!AR$73:AR$80)</f>
        <v>0</v>
      </c>
      <c r="AR66">
        <f>SUMIF('Как есть'!$A$73:$A$80,Доп.расчеты!$A66,'Как есть'!AS$73:AS$80)</f>
        <v>0</v>
      </c>
      <c r="AS66">
        <f>SUMIF('Как есть'!$A$73:$A$80,Доп.расчеты!$A66,'Как есть'!AT$73:AT$80)</f>
        <v>0</v>
      </c>
      <c r="AT66">
        <f>SUMIF('Как есть'!$A$73:$A$80,Доп.расчеты!$A66,'Как есть'!AU$73:AU$80)</f>
        <v>0</v>
      </c>
      <c r="AU66">
        <f>SUMIF('Как есть'!$A$73:$A$80,Доп.расчеты!$A66,'Как есть'!AV$73:AV$80)</f>
        <v>0</v>
      </c>
      <c r="AV66">
        <f>SUMIF('Как есть'!$A$73:$A$80,Доп.расчеты!$A66,'Как есть'!AW$73:AW$80)</f>
        <v>0</v>
      </c>
      <c r="AW66">
        <f>SUMIF('Как есть'!$A$73:$A$80,Доп.расчеты!$A66,'Как есть'!AX$73:AX$80)</f>
        <v>0</v>
      </c>
      <c r="AX66">
        <f>SUMIF('Как есть'!$A$73:$A$80,Доп.расчеты!$A66,'Как есть'!AY$73:AY$80)</f>
        <v>0</v>
      </c>
      <c r="AY66">
        <f>SUMIF('Как есть'!$A$73:$A$80,Доп.расчеты!$A66,'Как есть'!AZ$73:AZ$80)</f>
        <v>0</v>
      </c>
      <c r="AZ66">
        <f>SUMIF('Как есть'!$A$73:$A$80,Доп.расчеты!$A66,'Как есть'!BA$73:BA$80)</f>
        <v>0</v>
      </c>
      <c r="BA66">
        <f>SUMIF('Как есть'!$A$73:$A$80,Доп.расчеты!$A66,'Как есть'!BB$73:BB$80)</f>
        <v>0</v>
      </c>
      <c r="BB66">
        <f>SUMIF('Как есть'!$A$73:$A$80,Доп.расчеты!$A66,'Как есть'!BC$73:BC$80)</f>
        <v>0</v>
      </c>
      <c r="BC66">
        <f>SUMIF('Как есть'!$A$73:$A$80,Доп.расчеты!$A66,'Как есть'!BD$73:BD$80)</f>
        <v>0</v>
      </c>
      <c r="BD66">
        <f>SUMIF('Как есть'!$A$73:$A$80,Доп.расчеты!$A66,'Как есть'!BE$73:BE$80)</f>
        <v>0</v>
      </c>
      <c r="BE66">
        <f>SUMIF('Как есть'!$A$73:$A$80,Доп.расчеты!$A66,'Как есть'!BF$73:BF$80)</f>
        <v>0</v>
      </c>
      <c r="BF66">
        <f>SUMIF('Как есть'!$A$73:$A$80,Доп.расчеты!$A66,'Как есть'!BG$73:BG$80)</f>
        <v>0</v>
      </c>
      <c r="BG66">
        <f>SUMIF('Как есть'!$A$73:$A$80,Доп.расчеты!$A66,'Как есть'!BH$73:BH$80)</f>
        <v>0</v>
      </c>
      <c r="BH66">
        <f>SUMIF('Как есть'!$A$73:$A$80,Доп.расчеты!$A66,'Как есть'!BI$73:BI$80)</f>
        <v>0</v>
      </c>
      <c r="BI66">
        <f>SUMIF('Как есть'!$A$73:$A$80,Доп.расчеты!$A66,'Как есть'!BJ$73:BJ$80)</f>
        <v>0</v>
      </c>
      <c r="BJ66">
        <f>SUMIF('Как есть'!$A$73:$A$80,Доп.расчеты!$A66,'Как есть'!BK$73:BK$80)</f>
        <v>0</v>
      </c>
      <c r="BK66">
        <f>SUMIF('Как есть'!$A$73:$A$80,Доп.расчеты!$A66,'Как есть'!BL$73:BL$80)</f>
        <v>0</v>
      </c>
      <c r="BL66">
        <f>SUMIF('Как есть'!$A$73:$A$80,Доп.расчеты!$A66,'Как есть'!BM$73:BM$80)</f>
        <v>0</v>
      </c>
      <c r="BM66">
        <f>SUMIF('Как есть'!$A$73:$A$80,Доп.расчеты!$A66,'Как есть'!BN$73:BN$80)</f>
        <v>0</v>
      </c>
      <c r="BN66">
        <f>SUMIF('Как есть'!$A$73:$A$80,Доп.расчеты!$A66,'Как есть'!BO$73:BO$80)</f>
        <v>0</v>
      </c>
      <c r="BO66">
        <f>SUMIF('Как есть'!$A$73:$A$80,Доп.расчеты!$A66,'Как есть'!BP$73:BP$80)</f>
        <v>0</v>
      </c>
      <c r="BP66">
        <f>SUMIF('Как есть'!$A$73:$A$80,Доп.расчеты!$A66,'Как есть'!BQ$73:BQ$80)</f>
        <v>0</v>
      </c>
      <c r="BQ66">
        <f>SUMIF('Как есть'!$A$73:$A$80,Доп.расчеты!$A66,'Как есть'!BR$73:BR$80)</f>
        <v>0</v>
      </c>
      <c r="BR66">
        <f>SUMIF('Как есть'!$A$73:$A$80,Доп.расчеты!$A66,'Как есть'!BS$73:BS$80)</f>
        <v>0</v>
      </c>
      <c r="BS66">
        <f>SUMIF('Как есть'!$A$73:$A$80,Доп.расчеты!$A66,'Как есть'!BT$73:BT$80)</f>
        <v>0</v>
      </c>
      <c r="BT66">
        <f>SUMIF('Как есть'!$A$73:$A$80,Доп.расчеты!$A66,'Как есть'!BU$73:BU$80)</f>
        <v>0</v>
      </c>
      <c r="BU66">
        <f>SUMIF('Как есть'!$A$73:$A$80,Доп.расчеты!$A66,'Как есть'!BV$73:BV$80)</f>
        <v>0</v>
      </c>
      <c r="BV66">
        <f>SUMIF('Как есть'!$A$73:$A$80,Доп.расчеты!$A66,'Как есть'!BW$73:BW$80)</f>
        <v>0</v>
      </c>
      <c r="BW66">
        <f>SUMIF('Как есть'!$A$73:$A$80,Доп.расчеты!$A66,'Как есть'!BX$73:BX$80)</f>
        <v>0</v>
      </c>
      <c r="BX66">
        <f>SUMIF('Как есть'!$A$73:$A$80,Доп.расчеты!$A66,'Как есть'!BY$73:BY$80)</f>
        <v>0</v>
      </c>
      <c r="BY66">
        <f>SUMIF('Как есть'!$A$73:$A$80,Доп.расчеты!$A66,'Как есть'!BZ$73:BZ$80)</f>
        <v>0</v>
      </c>
      <c r="BZ66">
        <f>SUMIF('Как есть'!$A$73:$A$80,Доп.расчеты!$A66,'Как есть'!CA$73:CA$80)</f>
        <v>0</v>
      </c>
      <c r="CA66">
        <f>SUMIF('Как есть'!$A$73:$A$80,Доп.расчеты!$A66,'Как есть'!CB$73:CB$80)</f>
        <v>0</v>
      </c>
      <c r="CB66">
        <f>SUMIF('Как есть'!$A$73:$A$80,Доп.расчеты!$A66,'Как есть'!CC$73:CC$80)</f>
        <v>0</v>
      </c>
      <c r="CC66">
        <f>SUMIF('Как есть'!$A$73:$A$80,Доп.расчеты!$A66,'Как есть'!CD$73:CD$80)</f>
        <v>0</v>
      </c>
      <c r="CD66">
        <f>SUMIF('Как есть'!$A$73:$A$80,Доп.расчеты!$A66,'Как есть'!CE$73:CE$80)</f>
        <v>0</v>
      </c>
      <c r="CE66">
        <f>SUMIF('Как есть'!$A$73:$A$80,Доп.расчеты!$A66,'Как есть'!CF$73:CF$80)</f>
        <v>0</v>
      </c>
      <c r="CF66">
        <f>SUMIF('Как есть'!$A$73:$A$80,Доп.расчеты!$A66,'Как есть'!CG$73:CG$80)</f>
        <v>0</v>
      </c>
      <c r="CG66">
        <f>SUMIF('Как есть'!$A$73:$A$80,Доп.расчеты!$A66,'Как есть'!CH$73:CH$80)</f>
        <v>0</v>
      </c>
      <c r="CH66">
        <f>SUMIF('Как есть'!$A$73:$A$80,Доп.расчеты!$A66,'Как есть'!CI$73:CI$80)</f>
        <v>0</v>
      </c>
      <c r="CI66">
        <f>SUMIF('Как есть'!$A$73:$A$80,Доп.расчеты!$A66,'Как есть'!CJ$73:CJ$80)</f>
        <v>0</v>
      </c>
      <c r="CJ66">
        <f>SUMIF('Как есть'!$A$73:$A$80,Доп.расчеты!$A66,'Как есть'!CK$73:CK$80)</f>
        <v>0</v>
      </c>
      <c r="CK66">
        <f>SUMIF('Как есть'!$A$73:$A$80,Доп.расчеты!$A66,'Как есть'!CL$73:CL$80)</f>
        <v>0</v>
      </c>
      <c r="CL66">
        <f>SUMIF('Как есть'!$A$73:$A$80,Доп.расчеты!$A66,'Как есть'!CM$73:CM$80)</f>
        <v>0</v>
      </c>
      <c r="CM66">
        <f>SUMIF('Как есть'!$A$73:$A$80,Доп.расчеты!$A66,'Как есть'!CN$73:CN$80)</f>
        <v>0</v>
      </c>
      <c r="CN66">
        <f>SUMIF('Как есть'!$A$73:$A$80,Доп.расчеты!$A66,'Как есть'!CO$73:CO$80)</f>
        <v>0</v>
      </c>
      <c r="CO66">
        <f>SUMIF('Как есть'!$A$73:$A$80,Доп.расчеты!$A66,'Как есть'!CP$73:CP$80)</f>
        <v>0</v>
      </c>
      <c r="CP66">
        <f>SUMIF('Как есть'!$A$73:$A$80,Доп.расчеты!$A66,'Как есть'!CQ$73:CQ$80)</f>
        <v>0</v>
      </c>
      <c r="CQ66">
        <f>SUMIF('Как есть'!$A$73:$A$80,Доп.расчеты!$A66,'Как есть'!CR$73:CR$80)</f>
        <v>0</v>
      </c>
      <c r="CR66">
        <f>SUMIF('Как есть'!$A$73:$A$80,Доп.расчеты!$A66,'Как есть'!CS$73:CS$80)</f>
        <v>0</v>
      </c>
      <c r="CS66">
        <f>SUMIF('Как есть'!$A$73:$A$80,Доп.расчеты!$A66,'Как есть'!CT$73:CT$80)</f>
        <v>0</v>
      </c>
      <c r="CT66">
        <f>SUMIF('Как есть'!$A$73:$A$80,Доп.расчеты!$A66,'Как есть'!CU$73:CU$80)</f>
        <v>0</v>
      </c>
      <c r="CU66">
        <f>SUMIF('Как есть'!$A$73:$A$80,Доп.расчеты!$A66,'Как есть'!CV$73:CV$80)</f>
        <v>0</v>
      </c>
      <c r="CV66">
        <f>SUMIF('Как есть'!$A$73:$A$80,Доп.расчеты!$A66,'Как есть'!CW$73:CW$80)</f>
        <v>0</v>
      </c>
      <c r="CW66">
        <f>SUMIF('Как есть'!$A$73:$A$80,Доп.расчеты!$A66,'Как есть'!CX$73:CX$80)</f>
        <v>0</v>
      </c>
      <c r="CX66">
        <f>SUMIF('Как есть'!$A$73:$A$80,Доп.расчеты!$A66,'Как есть'!CY$73:CY$80)</f>
        <v>0</v>
      </c>
      <c r="CY66">
        <f>SUMIF('Как есть'!$A$73:$A$80,Доп.расчеты!$A66,'Как есть'!CZ$73:CZ$80)</f>
        <v>0</v>
      </c>
      <c r="CZ66">
        <f>SUMIF('Как есть'!$A$73:$A$80,Доп.расчеты!$A66,'Как есть'!DA$73:DA$80)</f>
        <v>0</v>
      </c>
      <c r="DA66">
        <f>SUMIF('Как есть'!$A$73:$A$80,Доп.расчеты!$A66,'Как есть'!DB$73:DB$80)</f>
        <v>0</v>
      </c>
      <c r="DB66">
        <f>SUMIF('Как есть'!$A$73:$A$80,Доп.расчеты!$A66,'Как есть'!DC$73:DC$80)</f>
        <v>0</v>
      </c>
      <c r="DC66">
        <f>SUMIF('Как есть'!$A$73:$A$80,Доп.расчеты!$A66,'Как есть'!DD$73:DD$80)</f>
        <v>0</v>
      </c>
      <c r="DD66">
        <f>SUMIF('Как есть'!$A$73:$A$80,Доп.расчеты!$A66,'Как есть'!DE$73:DE$80)</f>
        <v>0</v>
      </c>
      <c r="DE66">
        <f>SUMIF('Как есть'!$A$73:$A$80,Доп.расчеты!$A66,'Как есть'!DF$73:DF$80)</f>
        <v>0</v>
      </c>
      <c r="DF66">
        <f>SUMIF('Как есть'!$A$73:$A$80,Доп.расчеты!$A66,'Как есть'!DG$73:DG$80)</f>
        <v>0</v>
      </c>
      <c r="DG66">
        <f>SUMIF('Как есть'!$A$73:$A$80,Доп.расчеты!$A66,'Как есть'!DH$73:DH$80)</f>
        <v>0</v>
      </c>
      <c r="DH66">
        <f>SUMIF('Как есть'!$A$73:$A$80,Доп.расчеты!$A66,'Как есть'!DI$73:DI$80)</f>
        <v>0</v>
      </c>
      <c r="DI66">
        <f>SUMIF('Как есть'!$A$73:$A$80,Доп.расчеты!$A66,'Как есть'!DJ$73:DJ$80)</f>
        <v>0</v>
      </c>
      <c r="DJ66">
        <f>SUMIF('Как есть'!$A$73:$A$80,Доп.расчеты!$A66,'Как есть'!DK$73:DK$80)</f>
        <v>0</v>
      </c>
      <c r="DK66">
        <f>SUMIF('Как есть'!$A$73:$A$80,Доп.расчеты!$A66,'Как есть'!DL$73:DL$80)</f>
        <v>0</v>
      </c>
      <c r="DL66">
        <f>SUMIF('Как есть'!$A$73:$A$80,Доп.расчеты!$A66,'Как есть'!DM$73:DM$80)</f>
        <v>0</v>
      </c>
      <c r="DM66">
        <f>SUMIF('Как есть'!$A$73:$A$80,Доп.расчеты!$A66,'Как есть'!DN$73:DN$80)</f>
        <v>0</v>
      </c>
      <c r="DN66">
        <f>SUMIF('Как есть'!$A$73:$A$80,Доп.расчеты!$A66,'Как есть'!DO$73:DO$80)</f>
        <v>0</v>
      </c>
      <c r="DO66">
        <f>SUMIF('Как есть'!$A$73:$A$80,Доп.расчеты!$A66,'Как есть'!DP$73:DP$80)</f>
        <v>0</v>
      </c>
      <c r="DP66">
        <f>SUMIF('Как есть'!$A$73:$A$80,Доп.расчеты!$A66,'Как есть'!DQ$73:DQ$80)</f>
        <v>0</v>
      </c>
      <c r="DQ66">
        <f>SUMIF('Как есть'!$A$73:$A$80,Доп.расчеты!$A66,'Как есть'!DR$73:DR$80)</f>
        <v>0</v>
      </c>
      <c r="DR66">
        <f>SUMIF('Как есть'!$A$73:$A$80,Доп.расчеты!$A66,'Как есть'!DS$73:DS$80)</f>
        <v>0</v>
      </c>
      <c r="DS66">
        <f>SUMIF('Как есть'!$A$73:$A$80,Доп.расчеты!$A66,'Как есть'!DT$73:DT$80)</f>
        <v>0</v>
      </c>
      <c r="DT66">
        <f>SUMIF('Как есть'!$A$73:$A$80,Доп.расчеты!$A66,'Как есть'!DU$73:DU$80)</f>
        <v>0</v>
      </c>
      <c r="DU66">
        <f>SUMIF('Как есть'!$A$73:$A$80,Доп.расчеты!$A66,'Как есть'!DV$73:DV$80)</f>
        <v>0</v>
      </c>
      <c r="DV66">
        <f>SUMIF('Как есть'!$A$73:$A$80,Доп.расчеты!$A66,'Как есть'!DW$73:DW$80)</f>
        <v>0</v>
      </c>
      <c r="DW66">
        <f>SUMIF('Как есть'!$A$73:$A$80,Доп.расчеты!$A66,'Как есть'!DX$73:DX$80)</f>
        <v>0</v>
      </c>
      <c r="DX66">
        <f>SUMIF('Как есть'!$A$73:$A$80,Доп.расчеты!$A66,'Как есть'!DY$73:DY$80)</f>
        <v>0</v>
      </c>
      <c r="DY66">
        <f>SUMIF('Как есть'!$A$73:$A$80,Доп.расчеты!$A66,'Как есть'!DZ$73:DZ$80)</f>
        <v>0</v>
      </c>
      <c r="DZ66">
        <f>SUMIF('Как есть'!$A$73:$A$80,Доп.расчеты!$A66,'Как есть'!EA$73:EA$80)</f>
        <v>0</v>
      </c>
      <c r="EA66">
        <f>SUMIF('Как есть'!$A$73:$A$80,Доп.расчеты!$A66,'Как есть'!EB$73:EB$80)</f>
        <v>0</v>
      </c>
      <c r="EB66">
        <f>SUMIF('Как есть'!$A$73:$A$80,Доп.расчеты!$A66,'Как есть'!EC$73:EC$80)</f>
        <v>0</v>
      </c>
      <c r="EC66">
        <f>SUMIF('Как есть'!$A$73:$A$80,Доп.расчеты!$A66,'Как есть'!ED$73:ED$80)</f>
        <v>0</v>
      </c>
      <c r="ED66">
        <f>SUMIF('Как есть'!$A$73:$A$80,Доп.расчеты!$A66,'Как есть'!EE$73:EE$80)</f>
        <v>0</v>
      </c>
      <c r="EE66">
        <f>SUMIF('Как есть'!$A$73:$A$80,Доп.расчеты!$A66,'Как есть'!EF$73:EF$80)</f>
        <v>0</v>
      </c>
      <c r="EF66">
        <f>SUMIF('Как есть'!$A$73:$A$80,Доп.расчеты!$A66,'Как есть'!EG$73:EG$80)</f>
        <v>0</v>
      </c>
      <c r="EG66">
        <f>SUMIF('Как есть'!$A$73:$A$80,Доп.расчеты!$A66,'Как есть'!EH$73:EH$80)</f>
        <v>0</v>
      </c>
      <c r="EH66">
        <f>SUMIF('Как есть'!$A$73:$A$80,Доп.расчеты!$A66,'Как есть'!EI$73:EI$80)</f>
        <v>0</v>
      </c>
      <c r="EI66">
        <f>SUMIF('Как есть'!$A$73:$A$80,Доп.расчеты!$A66,'Как есть'!EJ$73:EJ$80)</f>
        <v>0</v>
      </c>
      <c r="EJ66">
        <f>SUMIF('Как есть'!$A$73:$A$80,Доп.расчеты!$A66,'Как есть'!EK$73:EK$80)</f>
        <v>0</v>
      </c>
      <c r="EK66">
        <f>SUMIF('Как есть'!$A$73:$A$80,Доп.расчеты!$A66,'Как есть'!EL$73:EL$80)</f>
        <v>0</v>
      </c>
      <c r="EL66">
        <f>SUMIF('Как есть'!$A$73:$A$80,Доп.расчеты!$A66,'Как есть'!EM$73:EM$80)</f>
        <v>0</v>
      </c>
      <c r="EM66">
        <f>SUMIF('Как есть'!$A$73:$A$80,Доп.расчеты!$A66,'Как есть'!EN$73:EN$80)</f>
        <v>0</v>
      </c>
      <c r="EN66">
        <f>SUMIF('Как есть'!$A$73:$A$80,Доп.расчеты!$A66,'Как есть'!EO$73:EO$80)</f>
        <v>0</v>
      </c>
      <c r="EO66">
        <f>SUMIF('Как есть'!$A$73:$A$80,Доп.расчеты!$A66,'Как есть'!EP$73:EP$80)</f>
        <v>0</v>
      </c>
      <c r="EP66">
        <f>SUMIF('Как есть'!$A$73:$A$80,Доп.расчеты!$A66,'Как есть'!EQ$73:EQ$80)</f>
        <v>0</v>
      </c>
      <c r="EQ66">
        <f>SUMIF('Как есть'!$A$73:$A$80,Доп.расчеты!$A66,'Как есть'!ER$73:ER$80)</f>
        <v>0</v>
      </c>
      <c r="ER66">
        <f>SUMIF('Как есть'!$A$73:$A$80,Доп.расчеты!$A66,'Как есть'!ES$73:ES$80)</f>
        <v>0</v>
      </c>
      <c r="ES66">
        <f>SUMIF('Как есть'!$A$73:$A$80,Доп.расчеты!$A66,'Как есть'!ET$73:ET$80)</f>
        <v>0</v>
      </c>
      <c r="ET66">
        <f>SUMIF('Как есть'!$A$73:$A$80,Доп.расчеты!$A66,'Как есть'!EU$73:EU$80)</f>
        <v>0</v>
      </c>
      <c r="EU66">
        <f>SUMIF('Как есть'!$A$73:$A$80,Доп.расчеты!$A66,'Как есть'!EV$73:EV$80)</f>
        <v>0</v>
      </c>
      <c r="EV66">
        <f>SUMIF('Как есть'!$A$73:$A$80,Доп.расчеты!$A66,'Как есть'!EW$73:EW$80)</f>
        <v>0</v>
      </c>
      <c r="EW66">
        <f>SUMIF('Как есть'!$A$73:$A$80,Доп.расчеты!$A66,'Как есть'!EX$73:EX$80)</f>
        <v>0</v>
      </c>
      <c r="EX66">
        <f>SUMIF('Как есть'!$A$73:$A$80,Доп.расчеты!$A66,'Как есть'!EY$73:EY$80)</f>
        <v>0</v>
      </c>
      <c r="EY66">
        <f>SUMIF('Как есть'!$A$73:$A$80,Доп.расчеты!$A66,'Как есть'!EZ$73:EZ$80)</f>
        <v>0</v>
      </c>
      <c r="EZ66">
        <f>SUMIF('Как есть'!$A$73:$A$80,Доп.расчеты!$A66,'Как есть'!FA$73:FA$80)</f>
        <v>0</v>
      </c>
      <c r="FA66">
        <f>SUMIF('Как есть'!$A$73:$A$80,Доп.расчеты!$A66,'Как есть'!FB$73:FB$80)</f>
        <v>0</v>
      </c>
      <c r="FB66">
        <f>SUMIF('Как есть'!$A$73:$A$80,Доп.расчеты!$A66,'Как есть'!FC$73:FC$80)</f>
        <v>0</v>
      </c>
      <c r="FC66">
        <f>SUMIF('Как есть'!$A$73:$A$80,Доп.расчеты!$A66,'Как есть'!FD$73:FD$80)</f>
        <v>0</v>
      </c>
      <c r="FD66">
        <f>SUMIF('Как есть'!$A$73:$A$80,Доп.расчеты!$A66,'Как есть'!FE$73:FE$80)</f>
        <v>0</v>
      </c>
      <c r="FE66">
        <f>SUMIF('Как есть'!$A$73:$A$80,Доп.расчеты!$A66,'Как есть'!FF$73:FF$80)</f>
        <v>0</v>
      </c>
      <c r="FF66">
        <f>SUMIF('Как есть'!$A$73:$A$80,Доп.расчеты!$A66,'Как есть'!FG$73:FG$80)</f>
        <v>0</v>
      </c>
      <c r="FG66">
        <f>SUMIF('Как есть'!$A$73:$A$80,Доп.расчеты!$A66,'Как есть'!FH$73:FH$80)</f>
        <v>0</v>
      </c>
      <c r="FH66">
        <f>SUMIF('Как есть'!$A$73:$A$80,Доп.расчеты!$A66,'Как есть'!FI$73:FI$80)</f>
        <v>0</v>
      </c>
      <c r="FI66">
        <f>SUMIF('Как есть'!$A$73:$A$80,Доп.расчеты!$A66,'Как есть'!FJ$73:FJ$80)</f>
        <v>0</v>
      </c>
      <c r="FJ66">
        <f>SUMIF('Как есть'!$A$73:$A$80,Доп.расчеты!$A66,'Как есть'!FK$73:FK$80)</f>
        <v>0</v>
      </c>
      <c r="FK66">
        <f>SUMIF('Как есть'!$A$73:$A$80,Доп.расчеты!$A66,'Как есть'!FL$73:FL$80)</f>
        <v>0</v>
      </c>
      <c r="FL66">
        <f>SUMIF('Как есть'!$A$73:$A$80,Доп.расчеты!$A66,'Как есть'!FM$73:FM$80)</f>
        <v>0</v>
      </c>
      <c r="FM66">
        <f>SUMIF('Как есть'!$A$73:$A$80,Доп.расчеты!$A66,'Как есть'!FN$73:FN$80)</f>
        <v>0</v>
      </c>
      <c r="FN66">
        <f>SUMIF('Как есть'!$A$73:$A$80,Доп.расчеты!$A66,'Как есть'!FO$73:FO$80)</f>
        <v>0</v>
      </c>
      <c r="FO66">
        <f>SUMIF('Как есть'!$A$73:$A$80,Доп.расчеты!$A66,'Как есть'!FP$73:FP$80)</f>
        <v>0</v>
      </c>
      <c r="FP66">
        <f>SUMIF('Как есть'!$A$73:$A$80,Доп.расчеты!$A66,'Как есть'!FQ$73:FQ$80)</f>
        <v>0</v>
      </c>
      <c r="FQ66">
        <f>SUMIF('Как есть'!$A$73:$A$80,Доп.расчеты!$A66,'Как есть'!FR$73:FR$80)</f>
        <v>0</v>
      </c>
      <c r="FR66">
        <f>SUMIF('Как есть'!$A$73:$A$80,Доп.расчеты!$A66,'Как есть'!FS$73:FS$80)</f>
        <v>0</v>
      </c>
      <c r="FS66">
        <f>SUMIF('Как есть'!$A$73:$A$80,Доп.расчеты!$A66,'Как есть'!FT$73:FT$80)</f>
        <v>0</v>
      </c>
      <c r="FT66">
        <f>SUMIF('Как есть'!$A$73:$A$80,Доп.расчеты!$A66,'Как есть'!FU$73:FU$80)</f>
        <v>0</v>
      </c>
      <c r="FU66">
        <f>SUMIF('Как есть'!$A$73:$A$80,Доп.расчеты!$A66,'Как есть'!FV$73:FV$80)</f>
        <v>0</v>
      </c>
      <c r="FV66">
        <f>SUMIF('Как есть'!$A$73:$A$80,Доп.расчеты!$A66,'Как есть'!FW$73:FW$80)</f>
        <v>0</v>
      </c>
      <c r="FW66">
        <f>SUMIF('Как есть'!$A$73:$A$80,Доп.расчеты!$A66,'Как есть'!FX$73:FX$80)</f>
        <v>0</v>
      </c>
      <c r="FX66">
        <f>SUMIF('Как есть'!$A$73:$A$80,Доп.расчеты!$A66,'Как есть'!FY$73:FY$80)</f>
        <v>0</v>
      </c>
      <c r="FY66">
        <f>SUMIF('Как есть'!$A$73:$A$80,Доп.расчеты!$A66,'Как есть'!FZ$73:FZ$80)</f>
        <v>0</v>
      </c>
      <c r="FZ66">
        <f>SUMIF('Как есть'!$A$73:$A$80,Доп.расчеты!$A66,'Как есть'!GA$73:GA$80)</f>
        <v>0</v>
      </c>
      <c r="GA66">
        <f>SUMIF('Как есть'!$A$73:$A$80,Доп.расчеты!$A66,'Как есть'!GB$73:GB$80)</f>
        <v>0</v>
      </c>
      <c r="GB66">
        <f>SUMIF('Как есть'!$A$73:$A$80,Доп.расчеты!$A66,'Как есть'!GC$73:GC$80)</f>
        <v>0</v>
      </c>
      <c r="GC66">
        <f>SUMIF('Как есть'!$A$73:$A$80,Доп.расчеты!$A66,'Как есть'!GD$73:GD$80)</f>
        <v>0</v>
      </c>
      <c r="GD66">
        <f>SUMIF('Как есть'!$A$73:$A$80,Доп.расчеты!$A66,'Как есть'!GE$73:GE$80)</f>
        <v>0</v>
      </c>
      <c r="GE66">
        <f>SUMIF('Как есть'!$A$73:$A$80,Доп.расчеты!$A66,'Как есть'!GF$73:GF$80)</f>
        <v>0</v>
      </c>
      <c r="GF66">
        <f>SUMIF('Как есть'!$A$73:$A$80,Доп.расчеты!$A66,'Как есть'!GG$73:GG$80)</f>
        <v>0</v>
      </c>
      <c r="GG66">
        <f>SUMIF('Как есть'!$A$73:$A$80,Доп.расчеты!$A66,'Как есть'!GH$73:GH$80)</f>
        <v>0</v>
      </c>
      <c r="GH66">
        <f>SUMIF('Как есть'!$A$73:$A$80,Доп.расчеты!$A66,'Как есть'!GI$73:GI$80)</f>
        <v>0</v>
      </c>
      <c r="GI66">
        <f>SUMIF('Как есть'!$A$73:$A$80,Доп.расчеты!$A66,'Как есть'!GJ$73:GJ$80)</f>
        <v>0</v>
      </c>
      <c r="GJ66">
        <f>SUMIF('Как есть'!$A$73:$A$80,Доп.расчеты!$A66,'Как есть'!GK$73:GK$80)</f>
        <v>0</v>
      </c>
      <c r="GK66">
        <f>SUMIF('Как есть'!$A$73:$A$80,Доп.расчеты!$A66,'Как есть'!GL$73:GL$80)</f>
        <v>0</v>
      </c>
      <c r="GL66">
        <f>SUMIF('Как есть'!$A$73:$A$80,Доп.расчеты!$A66,'Как есть'!GM$73:GM$80)</f>
        <v>0</v>
      </c>
      <c r="GM66">
        <f>SUMIF('Как есть'!$A$73:$A$80,Доп.расчеты!$A66,'Как есть'!GN$73:GN$80)</f>
        <v>0</v>
      </c>
      <c r="GN66">
        <f>SUMIF('Как есть'!$A$73:$A$80,Доп.расчеты!$A66,'Как есть'!GO$73:GO$80)</f>
        <v>0</v>
      </c>
      <c r="GO66">
        <f>SUMIF('Как есть'!$A$73:$A$80,Доп.расчеты!$A66,'Как есть'!GP$73:GP$80)</f>
        <v>0</v>
      </c>
      <c r="GP66">
        <f>SUMIF('Как есть'!$A$73:$A$80,Доп.расчеты!$A66,'Как есть'!GQ$73:GQ$80)</f>
        <v>0</v>
      </c>
      <c r="GQ66">
        <f>SUMIF('Как есть'!$A$73:$A$80,Доп.расчеты!$A66,'Как есть'!GR$73:GR$80)</f>
        <v>0</v>
      </c>
      <c r="GR66">
        <f>SUMIF('Как есть'!$A$73:$A$80,Доп.расчеты!$A66,'Как есть'!GS$73:GS$80)</f>
        <v>0</v>
      </c>
      <c r="GS66">
        <f>SUMIF('Как есть'!$A$73:$A$80,Доп.расчеты!$A66,'Как есть'!GT$73:GT$80)</f>
        <v>0</v>
      </c>
      <c r="GT66">
        <f>SUMIF('Как есть'!$A$73:$A$80,Доп.расчеты!$A66,'Как есть'!GU$73:GU$80)</f>
        <v>0</v>
      </c>
    </row>
    <row r="67" spans="1:202">
      <c r="A67" s="237" t="s">
        <v>104</v>
      </c>
      <c r="B67">
        <f>SUMIF('Как есть'!$A$73:$A$80,Доп.расчеты!$A67,'Как есть'!C$73:C$80)</f>
        <v>0</v>
      </c>
      <c r="C67">
        <f>SUMIF('Как есть'!$A$73:$A$80,Доп.расчеты!$A67,'Как есть'!D$73:D$80)</f>
        <v>0</v>
      </c>
      <c r="D67">
        <f>SUMIF('Как есть'!$A$73:$A$80,Доп.расчеты!$A67,'Как есть'!E$73:E$80)</f>
        <v>0</v>
      </c>
      <c r="E67">
        <f>SUMIF('Как есть'!$A$73:$A$80,Доп.расчеты!$A67,'Как есть'!F$73:F$80)</f>
        <v>0</v>
      </c>
      <c r="F67">
        <f>SUMIF('Как есть'!$A$73:$A$80,Доп.расчеты!$A67,'Как есть'!G$73:G$80)</f>
        <v>0</v>
      </c>
      <c r="G67">
        <f>SUMIF('Как есть'!$A$73:$A$80,Доп.расчеты!$A67,'Как есть'!H$73:H$80)</f>
        <v>0</v>
      </c>
      <c r="H67">
        <f>SUMIF('Как есть'!$A$73:$A$80,Доп.расчеты!$A67,'Как есть'!I$73:I$80)</f>
        <v>0</v>
      </c>
      <c r="I67">
        <f>SUMIF('Как есть'!$A$73:$A$80,Доп.расчеты!$A67,'Как есть'!J$73:J$80)</f>
        <v>0</v>
      </c>
      <c r="J67">
        <f>SUMIF('Как есть'!$A$73:$A$80,Доп.расчеты!$A67,'Как есть'!K$73:K$80)</f>
        <v>0</v>
      </c>
      <c r="K67">
        <f>SUMIF('Как есть'!$A$73:$A$80,Доп.расчеты!$A67,'Как есть'!L$73:L$80)</f>
        <v>0</v>
      </c>
      <c r="L67">
        <f>SUMIF('Как есть'!$A$73:$A$80,Доп.расчеты!$A67,'Как есть'!M$73:M$80)</f>
        <v>0</v>
      </c>
      <c r="M67">
        <f>SUMIF('Как есть'!$A$73:$A$80,Доп.расчеты!$A67,'Как есть'!N$73:N$80)</f>
        <v>0</v>
      </c>
      <c r="N67">
        <f>SUMIF('Как есть'!$A$73:$A$80,Доп.расчеты!$A67,'Как есть'!O$73:O$80)</f>
        <v>0</v>
      </c>
      <c r="O67">
        <f>SUMIF('Как есть'!$A$73:$A$80,Доп.расчеты!$A67,'Как есть'!P$73:P$80)</f>
        <v>0</v>
      </c>
      <c r="P67">
        <f>SUMIF('Как есть'!$A$73:$A$80,Доп.расчеты!$A67,'Как есть'!Q$73:Q$80)</f>
        <v>0</v>
      </c>
      <c r="Q67">
        <f>SUMIF('Как есть'!$A$73:$A$80,Доп.расчеты!$A67,'Как есть'!R$73:R$80)</f>
        <v>0</v>
      </c>
      <c r="R67">
        <f>SUMIF('Как есть'!$A$73:$A$80,Доп.расчеты!$A67,'Как есть'!S$73:S$80)</f>
        <v>0</v>
      </c>
      <c r="S67">
        <f>SUMIF('Как есть'!$A$73:$A$80,Доп.расчеты!$A67,'Как есть'!T$73:T$80)</f>
        <v>0</v>
      </c>
      <c r="T67">
        <f>SUMIF('Как есть'!$A$73:$A$80,Доп.расчеты!$A67,'Как есть'!U$73:U$80)</f>
        <v>0</v>
      </c>
      <c r="U67">
        <f>SUMIF('Как есть'!$A$73:$A$80,Доп.расчеты!$A67,'Как есть'!V$73:V$80)</f>
        <v>0</v>
      </c>
      <c r="V67">
        <f>SUMIF('Как есть'!$A$73:$A$80,Доп.расчеты!$A67,'Как есть'!W$73:W$80)</f>
        <v>0</v>
      </c>
      <c r="W67">
        <f>SUMIF('Как есть'!$A$73:$A$80,Доп.расчеты!$A67,'Как есть'!X$73:X$80)</f>
        <v>0</v>
      </c>
      <c r="X67">
        <f>SUMIF('Как есть'!$A$73:$A$80,Доп.расчеты!$A67,'Как есть'!Y$73:Y$80)</f>
        <v>0</v>
      </c>
      <c r="Y67">
        <f>SUMIF('Как есть'!$A$73:$A$80,Доп.расчеты!$A67,'Как есть'!Z$73:Z$80)</f>
        <v>0</v>
      </c>
      <c r="Z67">
        <f>SUMIF('Как есть'!$A$73:$A$80,Доп.расчеты!$A67,'Как есть'!AA$73:AA$80)</f>
        <v>0</v>
      </c>
      <c r="AA67">
        <f>SUMIF('Как есть'!$A$73:$A$80,Доп.расчеты!$A67,'Как есть'!AB$73:AB$80)</f>
        <v>0</v>
      </c>
      <c r="AB67">
        <f>SUMIF('Как есть'!$A$73:$A$80,Доп.расчеты!$A67,'Как есть'!AC$73:AC$80)</f>
        <v>0</v>
      </c>
      <c r="AC67">
        <f>SUMIF('Как есть'!$A$73:$A$80,Доп.расчеты!$A67,'Как есть'!AD$73:AD$80)</f>
        <v>0</v>
      </c>
      <c r="AD67">
        <f>SUMIF('Как есть'!$A$73:$A$80,Доп.расчеты!$A67,'Как есть'!AE$73:AE$80)</f>
        <v>0</v>
      </c>
      <c r="AE67">
        <f>SUMIF('Как есть'!$A$73:$A$80,Доп.расчеты!$A67,'Как есть'!AF$73:AF$80)</f>
        <v>0</v>
      </c>
      <c r="AF67">
        <f>SUMIF('Как есть'!$A$73:$A$80,Доп.расчеты!$A67,'Как есть'!AG$73:AG$80)</f>
        <v>0</v>
      </c>
      <c r="AG67">
        <f>SUMIF('Как есть'!$A$73:$A$80,Доп.расчеты!$A67,'Как есть'!AH$73:AH$80)</f>
        <v>0</v>
      </c>
      <c r="AH67">
        <f>SUMIF('Как есть'!$A$73:$A$80,Доп.расчеты!$A67,'Как есть'!AI$73:AI$80)</f>
        <v>0</v>
      </c>
      <c r="AI67">
        <f>SUMIF('Как есть'!$A$73:$A$80,Доп.расчеты!$A67,'Как есть'!AJ$73:AJ$80)</f>
        <v>0</v>
      </c>
      <c r="AJ67">
        <f>SUMIF('Как есть'!$A$73:$A$80,Доп.расчеты!$A67,'Как есть'!AK$73:AK$80)</f>
        <v>0</v>
      </c>
      <c r="AK67">
        <f>SUMIF('Как есть'!$A$73:$A$80,Доп.расчеты!$A67,'Как есть'!AL$73:AL$80)</f>
        <v>0</v>
      </c>
      <c r="AL67">
        <f>SUMIF('Как есть'!$A$73:$A$80,Доп.расчеты!$A67,'Как есть'!AM$73:AM$80)</f>
        <v>0</v>
      </c>
      <c r="AM67">
        <f>SUMIF('Как есть'!$A$73:$A$80,Доп.расчеты!$A67,'Как есть'!AN$73:AN$80)</f>
        <v>0</v>
      </c>
      <c r="AN67">
        <f>SUMIF('Как есть'!$A$73:$A$80,Доп.расчеты!$A67,'Как есть'!AO$73:AO$80)</f>
        <v>0</v>
      </c>
      <c r="AO67">
        <f>SUMIF('Как есть'!$A$73:$A$80,Доп.расчеты!$A67,'Как есть'!AP$73:AP$80)</f>
        <v>0</v>
      </c>
      <c r="AP67">
        <f>SUMIF('Как есть'!$A$73:$A$80,Доп.расчеты!$A67,'Как есть'!AQ$73:AQ$80)</f>
        <v>0</v>
      </c>
      <c r="AQ67">
        <f>SUMIF('Как есть'!$A$73:$A$80,Доп.расчеты!$A67,'Как есть'!AR$73:AR$80)</f>
        <v>0</v>
      </c>
      <c r="AR67">
        <f>SUMIF('Как есть'!$A$73:$A$80,Доп.расчеты!$A67,'Как есть'!AS$73:AS$80)</f>
        <v>0</v>
      </c>
      <c r="AS67">
        <f>SUMIF('Как есть'!$A$73:$A$80,Доп.расчеты!$A67,'Как есть'!AT$73:AT$80)</f>
        <v>0</v>
      </c>
      <c r="AT67">
        <f>SUMIF('Как есть'!$A$73:$A$80,Доп.расчеты!$A67,'Как есть'!AU$73:AU$80)</f>
        <v>0</v>
      </c>
      <c r="AU67">
        <f>SUMIF('Как есть'!$A$73:$A$80,Доп.расчеты!$A67,'Как есть'!AV$73:AV$80)</f>
        <v>0</v>
      </c>
      <c r="AV67">
        <f>SUMIF('Как есть'!$A$73:$A$80,Доп.расчеты!$A67,'Как есть'!AW$73:AW$80)</f>
        <v>0</v>
      </c>
      <c r="AW67">
        <f>SUMIF('Как есть'!$A$73:$A$80,Доп.расчеты!$A67,'Как есть'!AX$73:AX$80)</f>
        <v>0</v>
      </c>
      <c r="AX67">
        <f>SUMIF('Как есть'!$A$73:$A$80,Доп.расчеты!$A67,'Как есть'!AY$73:AY$80)</f>
        <v>0</v>
      </c>
      <c r="AY67">
        <f>SUMIF('Как есть'!$A$73:$A$80,Доп.расчеты!$A67,'Как есть'!AZ$73:AZ$80)</f>
        <v>0</v>
      </c>
      <c r="AZ67">
        <f>SUMIF('Как есть'!$A$73:$A$80,Доп.расчеты!$A67,'Как есть'!BA$73:BA$80)</f>
        <v>0</v>
      </c>
      <c r="BA67">
        <f>SUMIF('Как есть'!$A$73:$A$80,Доп.расчеты!$A67,'Как есть'!BB$73:BB$80)</f>
        <v>0</v>
      </c>
      <c r="BB67">
        <f>SUMIF('Как есть'!$A$73:$A$80,Доп.расчеты!$A67,'Как есть'!BC$73:BC$80)</f>
        <v>0</v>
      </c>
      <c r="BC67">
        <f>SUMIF('Как есть'!$A$73:$A$80,Доп.расчеты!$A67,'Как есть'!BD$73:BD$80)</f>
        <v>0</v>
      </c>
      <c r="BD67">
        <f>SUMIF('Как есть'!$A$73:$A$80,Доп.расчеты!$A67,'Как есть'!BE$73:BE$80)</f>
        <v>0</v>
      </c>
      <c r="BE67">
        <f>SUMIF('Как есть'!$A$73:$A$80,Доп.расчеты!$A67,'Как есть'!BF$73:BF$80)</f>
        <v>0</v>
      </c>
      <c r="BF67">
        <f>SUMIF('Как есть'!$A$73:$A$80,Доп.расчеты!$A67,'Как есть'!BG$73:BG$80)</f>
        <v>0</v>
      </c>
      <c r="BG67">
        <f>SUMIF('Как есть'!$A$73:$A$80,Доп.расчеты!$A67,'Как есть'!BH$73:BH$80)</f>
        <v>0</v>
      </c>
      <c r="BH67">
        <f>SUMIF('Как есть'!$A$73:$A$80,Доп.расчеты!$A67,'Как есть'!BI$73:BI$80)</f>
        <v>0</v>
      </c>
      <c r="BI67">
        <f>SUMIF('Как есть'!$A$73:$A$80,Доп.расчеты!$A67,'Как есть'!BJ$73:BJ$80)</f>
        <v>0</v>
      </c>
      <c r="BJ67">
        <f>SUMIF('Как есть'!$A$73:$A$80,Доп.расчеты!$A67,'Как есть'!BK$73:BK$80)</f>
        <v>0</v>
      </c>
      <c r="BK67">
        <f>SUMIF('Как есть'!$A$73:$A$80,Доп.расчеты!$A67,'Как есть'!BL$73:BL$80)</f>
        <v>0</v>
      </c>
      <c r="BL67">
        <f>SUMIF('Как есть'!$A$73:$A$80,Доп.расчеты!$A67,'Как есть'!BM$73:BM$80)</f>
        <v>0</v>
      </c>
      <c r="BM67">
        <f>SUMIF('Как есть'!$A$73:$A$80,Доп.расчеты!$A67,'Как есть'!BN$73:BN$80)</f>
        <v>0</v>
      </c>
      <c r="BN67">
        <f>SUMIF('Как есть'!$A$73:$A$80,Доп.расчеты!$A67,'Как есть'!BO$73:BO$80)</f>
        <v>0</v>
      </c>
      <c r="BO67">
        <f>SUMIF('Как есть'!$A$73:$A$80,Доп.расчеты!$A67,'Как есть'!BP$73:BP$80)</f>
        <v>0</v>
      </c>
      <c r="BP67">
        <f>SUMIF('Как есть'!$A$73:$A$80,Доп.расчеты!$A67,'Как есть'!BQ$73:BQ$80)</f>
        <v>0</v>
      </c>
      <c r="BQ67">
        <f>SUMIF('Как есть'!$A$73:$A$80,Доп.расчеты!$A67,'Как есть'!BR$73:BR$80)</f>
        <v>0</v>
      </c>
      <c r="BR67">
        <f>SUMIF('Как есть'!$A$73:$A$80,Доп.расчеты!$A67,'Как есть'!BS$73:BS$80)</f>
        <v>0</v>
      </c>
      <c r="BS67">
        <f>SUMIF('Как есть'!$A$73:$A$80,Доп.расчеты!$A67,'Как есть'!BT$73:BT$80)</f>
        <v>0</v>
      </c>
      <c r="BT67">
        <f>SUMIF('Как есть'!$A$73:$A$80,Доп.расчеты!$A67,'Как есть'!BU$73:BU$80)</f>
        <v>0</v>
      </c>
      <c r="BU67">
        <f>SUMIF('Как есть'!$A$73:$A$80,Доп.расчеты!$A67,'Как есть'!BV$73:BV$80)</f>
        <v>0</v>
      </c>
      <c r="BV67">
        <f>SUMIF('Как есть'!$A$73:$A$80,Доп.расчеты!$A67,'Как есть'!BW$73:BW$80)</f>
        <v>0</v>
      </c>
      <c r="BW67">
        <f>SUMIF('Как есть'!$A$73:$A$80,Доп.расчеты!$A67,'Как есть'!BX$73:BX$80)</f>
        <v>0</v>
      </c>
      <c r="BX67">
        <f>SUMIF('Как есть'!$A$73:$A$80,Доп.расчеты!$A67,'Как есть'!BY$73:BY$80)</f>
        <v>0</v>
      </c>
      <c r="BY67">
        <f>SUMIF('Как есть'!$A$73:$A$80,Доп.расчеты!$A67,'Как есть'!BZ$73:BZ$80)</f>
        <v>0</v>
      </c>
      <c r="BZ67">
        <f>SUMIF('Как есть'!$A$73:$A$80,Доп.расчеты!$A67,'Как есть'!CA$73:CA$80)</f>
        <v>0</v>
      </c>
      <c r="CA67">
        <f>SUMIF('Как есть'!$A$73:$A$80,Доп.расчеты!$A67,'Как есть'!CB$73:CB$80)</f>
        <v>0</v>
      </c>
      <c r="CB67">
        <f>SUMIF('Как есть'!$A$73:$A$80,Доп.расчеты!$A67,'Как есть'!CC$73:CC$80)</f>
        <v>0</v>
      </c>
      <c r="CC67">
        <f>SUMIF('Как есть'!$A$73:$A$80,Доп.расчеты!$A67,'Как есть'!CD$73:CD$80)</f>
        <v>0</v>
      </c>
      <c r="CD67">
        <f>SUMIF('Как есть'!$A$73:$A$80,Доп.расчеты!$A67,'Как есть'!CE$73:CE$80)</f>
        <v>0</v>
      </c>
      <c r="CE67">
        <f>SUMIF('Как есть'!$A$73:$A$80,Доп.расчеты!$A67,'Как есть'!CF$73:CF$80)</f>
        <v>0</v>
      </c>
      <c r="CF67">
        <f>SUMIF('Как есть'!$A$73:$A$80,Доп.расчеты!$A67,'Как есть'!CG$73:CG$80)</f>
        <v>0</v>
      </c>
      <c r="CG67">
        <f>SUMIF('Как есть'!$A$73:$A$80,Доп.расчеты!$A67,'Как есть'!CH$73:CH$80)</f>
        <v>0</v>
      </c>
      <c r="CH67">
        <f>SUMIF('Как есть'!$A$73:$A$80,Доп.расчеты!$A67,'Как есть'!CI$73:CI$80)</f>
        <v>0</v>
      </c>
      <c r="CI67">
        <f>SUMIF('Как есть'!$A$73:$A$80,Доп.расчеты!$A67,'Как есть'!CJ$73:CJ$80)</f>
        <v>0</v>
      </c>
      <c r="CJ67">
        <f>SUMIF('Как есть'!$A$73:$A$80,Доп.расчеты!$A67,'Как есть'!CK$73:CK$80)</f>
        <v>0</v>
      </c>
      <c r="CK67">
        <f>SUMIF('Как есть'!$A$73:$A$80,Доп.расчеты!$A67,'Как есть'!CL$73:CL$80)</f>
        <v>0</v>
      </c>
      <c r="CL67">
        <f>SUMIF('Как есть'!$A$73:$A$80,Доп.расчеты!$A67,'Как есть'!CM$73:CM$80)</f>
        <v>0</v>
      </c>
      <c r="CM67">
        <f>SUMIF('Как есть'!$A$73:$A$80,Доп.расчеты!$A67,'Как есть'!CN$73:CN$80)</f>
        <v>0</v>
      </c>
      <c r="CN67">
        <f>SUMIF('Как есть'!$A$73:$A$80,Доп.расчеты!$A67,'Как есть'!CO$73:CO$80)</f>
        <v>0</v>
      </c>
      <c r="CO67">
        <f>SUMIF('Как есть'!$A$73:$A$80,Доп.расчеты!$A67,'Как есть'!CP$73:CP$80)</f>
        <v>0</v>
      </c>
      <c r="CP67">
        <f>SUMIF('Как есть'!$A$73:$A$80,Доп.расчеты!$A67,'Как есть'!CQ$73:CQ$80)</f>
        <v>0</v>
      </c>
      <c r="CQ67">
        <f>SUMIF('Как есть'!$A$73:$A$80,Доп.расчеты!$A67,'Как есть'!CR$73:CR$80)</f>
        <v>0</v>
      </c>
      <c r="CR67">
        <f>SUMIF('Как есть'!$A$73:$A$80,Доп.расчеты!$A67,'Как есть'!CS$73:CS$80)</f>
        <v>0</v>
      </c>
      <c r="CS67">
        <f>SUMIF('Как есть'!$A$73:$A$80,Доп.расчеты!$A67,'Как есть'!CT$73:CT$80)</f>
        <v>0</v>
      </c>
      <c r="CT67">
        <f>SUMIF('Как есть'!$A$73:$A$80,Доп.расчеты!$A67,'Как есть'!CU$73:CU$80)</f>
        <v>0</v>
      </c>
      <c r="CU67">
        <f>SUMIF('Как есть'!$A$73:$A$80,Доп.расчеты!$A67,'Как есть'!CV$73:CV$80)</f>
        <v>0</v>
      </c>
      <c r="CV67">
        <f>SUMIF('Как есть'!$A$73:$A$80,Доп.расчеты!$A67,'Как есть'!CW$73:CW$80)</f>
        <v>0</v>
      </c>
      <c r="CW67">
        <f>SUMIF('Как есть'!$A$73:$A$80,Доп.расчеты!$A67,'Как есть'!CX$73:CX$80)</f>
        <v>0</v>
      </c>
      <c r="CX67">
        <f>SUMIF('Как есть'!$A$73:$A$80,Доп.расчеты!$A67,'Как есть'!CY$73:CY$80)</f>
        <v>0</v>
      </c>
      <c r="CY67">
        <f>SUMIF('Как есть'!$A$73:$A$80,Доп.расчеты!$A67,'Как есть'!CZ$73:CZ$80)</f>
        <v>0</v>
      </c>
      <c r="CZ67">
        <f>SUMIF('Как есть'!$A$73:$A$80,Доп.расчеты!$A67,'Как есть'!DA$73:DA$80)</f>
        <v>0</v>
      </c>
      <c r="DA67">
        <f>SUMIF('Как есть'!$A$73:$A$80,Доп.расчеты!$A67,'Как есть'!DB$73:DB$80)</f>
        <v>0</v>
      </c>
      <c r="DB67">
        <f>SUMIF('Как есть'!$A$73:$A$80,Доп.расчеты!$A67,'Как есть'!DC$73:DC$80)</f>
        <v>0</v>
      </c>
      <c r="DC67">
        <f>SUMIF('Как есть'!$A$73:$A$80,Доп.расчеты!$A67,'Как есть'!DD$73:DD$80)</f>
        <v>0</v>
      </c>
      <c r="DD67">
        <f>SUMIF('Как есть'!$A$73:$A$80,Доп.расчеты!$A67,'Как есть'!DE$73:DE$80)</f>
        <v>0</v>
      </c>
      <c r="DE67">
        <f>SUMIF('Как есть'!$A$73:$A$80,Доп.расчеты!$A67,'Как есть'!DF$73:DF$80)</f>
        <v>0</v>
      </c>
      <c r="DF67">
        <f>SUMIF('Как есть'!$A$73:$A$80,Доп.расчеты!$A67,'Как есть'!DG$73:DG$80)</f>
        <v>0</v>
      </c>
      <c r="DG67">
        <f>SUMIF('Как есть'!$A$73:$A$80,Доп.расчеты!$A67,'Как есть'!DH$73:DH$80)</f>
        <v>0</v>
      </c>
      <c r="DH67">
        <f>SUMIF('Как есть'!$A$73:$A$80,Доп.расчеты!$A67,'Как есть'!DI$73:DI$80)</f>
        <v>0</v>
      </c>
      <c r="DI67">
        <f>SUMIF('Как есть'!$A$73:$A$80,Доп.расчеты!$A67,'Как есть'!DJ$73:DJ$80)</f>
        <v>0</v>
      </c>
      <c r="DJ67">
        <f>SUMIF('Как есть'!$A$73:$A$80,Доп.расчеты!$A67,'Как есть'!DK$73:DK$80)</f>
        <v>0</v>
      </c>
      <c r="DK67">
        <f>SUMIF('Как есть'!$A$73:$A$80,Доп.расчеты!$A67,'Как есть'!DL$73:DL$80)</f>
        <v>0</v>
      </c>
      <c r="DL67">
        <f>SUMIF('Как есть'!$A$73:$A$80,Доп.расчеты!$A67,'Как есть'!DM$73:DM$80)</f>
        <v>0</v>
      </c>
      <c r="DM67">
        <f>SUMIF('Как есть'!$A$73:$A$80,Доп.расчеты!$A67,'Как есть'!DN$73:DN$80)</f>
        <v>0</v>
      </c>
      <c r="DN67">
        <f>SUMIF('Как есть'!$A$73:$A$80,Доп.расчеты!$A67,'Как есть'!DO$73:DO$80)</f>
        <v>0</v>
      </c>
      <c r="DO67">
        <f>SUMIF('Как есть'!$A$73:$A$80,Доп.расчеты!$A67,'Как есть'!DP$73:DP$80)</f>
        <v>0</v>
      </c>
      <c r="DP67">
        <f>SUMIF('Как есть'!$A$73:$A$80,Доп.расчеты!$A67,'Как есть'!DQ$73:DQ$80)</f>
        <v>0</v>
      </c>
      <c r="DQ67">
        <f>SUMIF('Как есть'!$A$73:$A$80,Доп.расчеты!$A67,'Как есть'!DR$73:DR$80)</f>
        <v>0</v>
      </c>
      <c r="DR67">
        <f>SUMIF('Как есть'!$A$73:$A$80,Доп.расчеты!$A67,'Как есть'!DS$73:DS$80)</f>
        <v>0</v>
      </c>
      <c r="DS67">
        <f>SUMIF('Как есть'!$A$73:$A$80,Доп.расчеты!$A67,'Как есть'!DT$73:DT$80)</f>
        <v>0</v>
      </c>
      <c r="DT67">
        <f>SUMIF('Как есть'!$A$73:$A$80,Доп.расчеты!$A67,'Как есть'!DU$73:DU$80)</f>
        <v>0</v>
      </c>
      <c r="DU67">
        <f>SUMIF('Как есть'!$A$73:$A$80,Доп.расчеты!$A67,'Как есть'!DV$73:DV$80)</f>
        <v>0</v>
      </c>
      <c r="DV67">
        <f>SUMIF('Как есть'!$A$73:$A$80,Доп.расчеты!$A67,'Как есть'!DW$73:DW$80)</f>
        <v>0</v>
      </c>
      <c r="DW67">
        <f>SUMIF('Как есть'!$A$73:$A$80,Доп.расчеты!$A67,'Как есть'!DX$73:DX$80)</f>
        <v>0</v>
      </c>
      <c r="DX67">
        <f>SUMIF('Как есть'!$A$73:$A$80,Доп.расчеты!$A67,'Как есть'!DY$73:DY$80)</f>
        <v>0</v>
      </c>
      <c r="DY67">
        <f>SUMIF('Как есть'!$A$73:$A$80,Доп.расчеты!$A67,'Как есть'!DZ$73:DZ$80)</f>
        <v>0</v>
      </c>
      <c r="DZ67">
        <f>SUMIF('Как есть'!$A$73:$A$80,Доп.расчеты!$A67,'Как есть'!EA$73:EA$80)</f>
        <v>0</v>
      </c>
      <c r="EA67">
        <f>SUMIF('Как есть'!$A$73:$A$80,Доп.расчеты!$A67,'Как есть'!EB$73:EB$80)</f>
        <v>0</v>
      </c>
      <c r="EB67">
        <f>SUMIF('Как есть'!$A$73:$A$80,Доп.расчеты!$A67,'Как есть'!EC$73:EC$80)</f>
        <v>0</v>
      </c>
      <c r="EC67">
        <f>SUMIF('Как есть'!$A$73:$A$80,Доп.расчеты!$A67,'Как есть'!ED$73:ED$80)</f>
        <v>0</v>
      </c>
      <c r="ED67">
        <f>SUMIF('Как есть'!$A$73:$A$80,Доп.расчеты!$A67,'Как есть'!EE$73:EE$80)</f>
        <v>0</v>
      </c>
      <c r="EE67">
        <f>SUMIF('Как есть'!$A$73:$A$80,Доп.расчеты!$A67,'Как есть'!EF$73:EF$80)</f>
        <v>0</v>
      </c>
      <c r="EF67">
        <f>SUMIF('Как есть'!$A$73:$A$80,Доп.расчеты!$A67,'Как есть'!EG$73:EG$80)</f>
        <v>0</v>
      </c>
      <c r="EG67">
        <f>SUMIF('Как есть'!$A$73:$A$80,Доп.расчеты!$A67,'Как есть'!EH$73:EH$80)</f>
        <v>0</v>
      </c>
      <c r="EH67">
        <f>SUMIF('Как есть'!$A$73:$A$80,Доп.расчеты!$A67,'Как есть'!EI$73:EI$80)</f>
        <v>0</v>
      </c>
      <c r="EI67">
        <f>SUMIF('Как есть'!$A$73:$A$80,Доп.расчеты!$A67,'Как есть'!EJ$73:EJ$80)</f>
        <v>0</v>
      </c>
      <c r="EJ67">
        <f>SUMIF('Как есть'!$A$73:$A$80,Доп.расчеты!$A67,'Как есть'!EK$73:EK$80)</f>
        <v>0</v>
      </c>
      <c r="EK67">
        <f>SUMIF('Как есть'!$A$73:$A$80,Доп.расчеты!$A67,'Как есть'!EL$73:EL$80)</f>
        <v>0</v>
      </c>
      <c r="EL67">
        <f>SUMIF('Как есть'!$A$73:$A$80,Доп.расчеты!$A67,'Как есть'!EM$73:EM$80)</f>
        <v>0</v>
      </c>
      <c r="EM67">
        <f>SUMIF('Как есть'!$A$73:$A$80,Доп.расчеты!$A67,'Как есть'!EN$73:EN$80)</f>
        <v>0</v>
      </c>
      <c r="EN67">
        <f>SUMIF('Как есть'!$A$73:$A$80,Доп.расчеты!$A67,'Как есть'!EO$73:EO$80)</f>
        <v>0</v>
      </c>
      <c r="EO67">
        <f>SUMIF('Как есть'!$A$73:$A$80,Доп.расчеты!$A67,'Как есть'!EP$73:EP$80)</f>
        <v>0</v>
      </c>
      <c r="EP67">
        <f>SUMIF('Как есть'!$A$73:$A$80,Доп.расчеты!$A67,'Как есть'!EQ$73:EQ$80)</f>
        <v>0</v>
      </c>
      <c r="EQ67">
        <f>SUMIF('Как есть'!$A$73:$A$80,Доп.расчеты!$A67,'Как есть'!ER$73:ER$80)</f>
        <v>0</v>
      </c>
      <c r="ER67">
        <f>SUMIF('Как есть'!$A$73:$A$80,Доп.расчеты!$A67,'Как есть'!ES$73:ES$80)</f>
        <v>0</v>
      </c>
      <c r="ES67">
        <f>SUMIF('Как есть'!$A$73:$A$80,Доп.расчеты!$A67,'Как есть'!ET$73:ET$80)</f>
        <v>0</v>
      </c>
      <c r="ET67">
        <f>SUMIF('Как есть'!$A$73:$A$80,Доп.расчеты!$A67,'Как есть'!EU$73:EU$80)</f>
        <v>0</v>
      </c>
      <c r="EU67">
        <f>SUMIF('Как есть'!$A$73:$A$80,Доп.расчеты!$A67,'Как есть'!EV$73:EV$80)</f>
        <v>0</v>
      </c>
      <c r="EV67">
        <f>SUMIF('Как есть'!$A$73:$A$80,Доп.расчеты!$A67,'Как есть'!EW$73:EW$80)</f>
        <v>0</v>
      </c>
      <c r="EW67">
        <f>SUMIF('Как есть'!$A$73:$A$80,Доп.расчеты!$A67,'Как есть'!EX$73:EX$80)</f>
        <v>0</v>
      </c>
      <c r="EX67">
        <f>SUMIF('Как есть'!$A$73:$A$80,Доп.расчеты!$A67,'Как есть'!EY$73:EY$80)</f>
        <v>0</v>
      </c>
      <c r="EY67">
        <f>SUMIF('Как есть'!$A$73:$A$80,Доп.расчеты!$A67,'Как есть'!EZ$73:EZ$80)</f>
        <v>0</v>
      </c>
      <c r="EZ67">
        <f>SUMIF('Как есть'!$A$73:$A$80,Доп.расчеты!$A67,'Как есть'!FA$73:FA$80)</f>
        <v>0</v>
      </c>
      <c r="FA67">
        <f>SUMIF('Как есть'!$A$73:$A$80,Доп.расчеты!$A67,'Как есть'!FB$73:FB$80)</f>
        <v>0</v>
      </c>
      <c r="FB67">
        <f>SUMIF('Как есть'!$A$73:$A$80,Доп.расчеты!$A67,'Как есть'!FC$73:FC$80)</f>
        <v>0</v>
      </c>
      <c r="FC67">
        <f>SUMIF('Как есть'!$A$73:$A$80,Доп.расчеты!$A67,'Как есть'!FD$73:FD$80)</f>
        <v>0</v>
      </c>
      <c r="FD67">
        <f>SUMIF('Как есть'!$A$73:$A$80,Доп.расчеты!$A67,'Как есть'!FE$73:FE$80)</f>
        <v>0</v>
      </c>
      <c r="FE67">
        <f>SUMIF('Как есть'!$A$73:$A$80,Доп.расчеты!$A67,'Как есть'!FF$73:FF$80)</f>
        <v>0</v>
      </c>
      <c r="FF67">
        <f>SUMIF('Как есть'!$A$73:$A$80,Доп.расчеты!$A67,'Как есть'!FG$73:FG$80)</f>
        <v>0</v>
      </c>
      <c r="FG67">
        <f>SUMIF('Как есть'!$A$73:$A$80,Доп.расчеты!$A67,'Как есть'!FH$73:FH$80)</f>
        <v>0</v>
      </c>
      <c r="FH67">
        <f>SUMIF('Как есть'!$A$73:$A$80,Доп.расчеты!$A67,'Как есть'!FI$73:FI$80)</f>
        <v>0</v>
      </c>
      <c r="FI67">
        <f>SUMIF('Как есть'!$A$73:$A$80,Доп.расчеты!$A67,'Как есть'!FJ$73:FJ$80)</f>
        <v>0</v>
      </c>
      <c r="FJ67">
        <f>SUMIF('Как есть'!$A$73:$A$80,Доп.расчеты!$A67,'Как есть'!FK$73:FK$80)</f>
        <v>0</v>
      </c>
      <c r="FK67">
        <f>SUMIF('Как есть'!$A$73:$A$80,Доп.расчеты!$A67,'Как есть'!FL$73:FL$80)</f>
        <v>0</v>
      </c>
      <c r="FL67">
        <f>SUMIF('Как есть'!$A$73:$A$80,Доп.расчеты!$A67,'Как есть'!FM$73:FM$80)</f>
        <v>0</v>
      </c>
      <c r="FM67">
        <f>SUMIF('Как есть'!$A$73:$A$80,Доп.расчеты!$A67,'Как есть'!FN$73:FN$80)</f>
        <v>0</v>
      </c>
      <c r="FN67">
        <f>SUMIF('Как есть'!$A$73:$A$80,Доп.расчеты!$A67,'Как есть'!FO$73:FO$80)</f>
        <v>0</v>
      </c>
      <c r="FO67">
        <f>SUMIF('Как есть'!$A$73:$A$80,Доп.расчеты!$A67,'Как есть'!FP$73:FP$80)</f>
        <v>0</v>
      </c>
      <c r="FP67">
        <f>SUMIF('Как есть'!$A$73:$A$80,Доп.расчеты!$A67,'Как есть'!FQ$73:FQ$80)</f>
        <v>0</v>
      </c>
      <c r="FQ67">
        <f>SUMIF('Как есть'!$A$73:$A$80,Доп.расчеты!$A67,'Как есть'!FR$73:FR$80)</f>
        <v>0</v>
      </c>
      <c r="FR67">
        <f>SUMIF('Как есть'!$A$73:$A$80,Доп.расчеты!$A67,'Как есть'!FS$73:FS$80)</f>
        <v>0</v>
      </c>
      <c r="FS67">
        <f>SUMIF('Как есть'!$A$73:$A$80,Доп.расчеты!$A67,'Как есть'!FT$73:FT$80)</f>
        <v>0</v>
      </c>
      <c r="FT67">
        <f>SUMIF('Как есть'!$A$73:$A$80,Доп.расчеты!$A67,'Как есть'!FU$73:FU$80)</f>
        <v>0</v>
      </c>
      <c r="FU67">
        <f>SUMIF('Как есть'!$A$73:$A$80,Доп.расчеты!$A67,'Как есть'!FV$73:FV$80)</f>
        <v>0</v>
      </c>
      <c r="FV67">
        <f>SUMIF('Как есть'!$A$73:$A$80,Доп.расчеты!$A67,'Как есть'!FW$73:FW$80)</f>
        <v>0</v>
      </c>
      <c r="FW67">
        <f>SUMIF('Как есть'!$A$73:$A$80,Доп.расчеты!$A67,'Как есть'!FX$73:FX$80)</f>
        <v>0</v>
      </c>
      <c r="FX67">
        <f>SUMIF('Как есть'!$A$73:$A$80,Доп.расчеты!$A67,'Как есть'!FY$73:FY$80)</f>
        <v>0</v>
      </c>
      <c r="FY67">
        <f>SUMIF('Как есть'!$A$73:$A$80,Доп.расчеты!$A67,'Как есть'!FZ$73:FZ$80)</f>
        <v>0</v>
      </c>
      <c r="FZ67">
        <f>SUMIF('Как есть'!$A$73:$A$80,Доп.расчеты!$A67,'Как есть'!GA$73:GA$80)</f>
        <v>0</v>
      </c>
      <c r="GA67">
        <f>SUMIF('Как есть'!$A$73:$A$80,Доп.расчеты!$A67,'Как есть'!GB$73:GB$80)</f>
        <v>0</v>
      </c>
      <c r="GB67">
        <f>SUMIF('Как есть'!$A$73:$A$80,Доп.расчеты!$A67,'Как есть'!GC$73:GC$80)</f>
        <v>0</v>
      </c>
      <c r="GC67">
        <f>SUMIF('Как есть'!$A$73:$A$80,Доп.расчеты!$A67,'Как есть'!GD$73:GD$80)</f>
        <v>0</v>
      </c>
      <c r="GD67">
        <f>SUMIF('Как есть'!$A$73:$A$80,Доп.расчеты!$A67,'Как есть'!GE$73:GE$80)</f>
        <v>0</v>
      </c>
      <c r="GE67">
        <f>SUMIF('Как есть'!$A$73:$A$80,Доп.расчеты!$A67,'Как есть'!GF$73:GF$80)</f>
        <v>0</v>
      </c>
      <c r="GF67">
        <f>SUMIF('Как есть'!$A$73:$A$80,Доп.расчеты!$A67,'Как есть'!GG$73:GG$80)</f>
        <v>0</v>
      </c>
      <c r="GG67">
        <f>SUMIF('Как есть'!$A$73:$A$80,Доп.расчеты!$A67,'Как есть'!GH$73:GH$80)</f>
        <v>0</v>
      </c>
      <c r="GH67">
        <f>SUMIF('Как есть'!$A$73:$A$80,Доп.расчеты!$A67,'Как есть'!GI$73:GI$80)</f>
        <v>0</v>
      </c>
      <c r="GI67">
        <f>SUMIF('Как есть'!$A$73:$A$80,Доп.расчеты!$A67,'Как есть'!GJ$73:GJ$80)</f>
        <v>0</v>
      </c>
      <c r="GJ67">
        <f>SUMIF('Как есть'!$A$73:$A$80,Доп.расчеты!$A67,'Как есть'!GK$73:GK$80)</f>
        <v>0</v>
      </c>
      <c r="GK67">
        <f>SUMIF('Как есть'!$A$73:$A$80,Доп.расчеты!$A67,'Как есть'!GL$73:GL$80)</f>
        <v>0</v>
      </c>
      <c r="GL67">
        <f>SUMIF('Как есть'!$A$73:$A$80,Доп.расчеты!$A67,'Как есть'!GM$73:GM$80)</f>
        <v>0</v>
      </c>
      <c r="GM67">
        <f>SUMIF('Как есть'!$A$73:$A$80,Доп.расчеты!$A67,'Как есть'!GN$73:GN$80)</f>
        <v>0</v>
      </c>
      <c r="GN67">
        <f>SUMIF('Как есть'!$A$73:$A$80,Доп.расчеты!$A67,'Как есть'!GO$73:GO$80)</f>
        <v>0</v>
      </c>
      <c r="GO67">
        <f>SUMIF('Как есть'!$A$73:$A$80,Доп.расчеты!$A67,'Как есть'!GP$73:GP$80)</f>
        <v>0</v>
      </c>
      <c r="GP67">
        <f>SUMIF('Как есть'!$A$73:$A$80,Доп.расчеты!$A67,'Как есть'!GQ$73:GQ$80)</f>
        <v>0</v>
      </c>
      <c r="GQ67">
        <f>SUMIF('Как есть'!$A$73:$A$80,Доп.расчеты!$A67,'Как есть'!GR$73:GR$80)</f>
        <v>0</v>
      </c>
      <c r="GR67">
        <f>SUMIF('Как есть'!$A$73:$A$80,Доп.расчеты!$A67,'Как есть'!GS$73:GS$80)</f>
        <v>0</v>
      </c>
      <c r="GS67">
        <f>SUMIF('Как есть'!$A$73:$A$80,Доп.расчеты!$A67,'Как есть'!GT$73:GT$80)</f>
        <v>0</v>
      </c>
      <c r="GT67">
        <f>SUMIF('Как есть'!$A$73:$A$80,Доп.расчеты!$A67,'Как есть'!GU$73:GU$80)</f>
        <v>0</v>
      </c>
    </row>
    <row r="68" spans="1:202">
      <c r="A68" s="237" t="s">
        <v>105</v>
      </c>
      <c r="B68">
        <f>SUMIF('Как есть'!$A$73:$A$80,Доп.расчеты!$A68,'Как есть'!C$73:C$80)</f>
        <v>0</v>
      </c>
      <c r="C68">
        <f>SUMIF('Как есть'!$A$73:$A$80,Доп.расчеты!$A68,'Как есть'!D$73:D$80)</f>
        <v>0</v>
      </c>
      <c r="D68">
        <f>SUMIF('Как есть'!$A$73:$A$80,Доп.расчеты!$A68,'Как есть'!E$73:E$80)</f>
        <v>0</v>
      </c>
      <c r="E68">
        <f>SUMIF('Как есть'!$A$73:$A$80,Доп.расчеты!$A68,'Как есть'!F$73:F$80)</f>
        <v>0</v>
      </c>
      <c r="F68">
        <f>SUMIF('Как есть'!$A$73:$A$80,Доп.расчеты!$A68,'Как есть'!G$73:G$80)</f>
        <v>0</v>
      </c>
      <c r="G68">
        <f>SUMIF('Как есть'!$A$73:$A$80,Доп.расчеты!$A68,'Как есть'!H$73:H$80)</f>
        <v>0</v>
      </c>
      <c r="H68">
        <f>SUMIF('Как есть'!$A$73:$A$80,Доп.расчеты!$A68,'Как есть'!I$73:I$80)</f>
        <v>0</v>
      </c>
      <c r="I68">
        <f>SUMIF('Как есть'!$A$73:$A$80,Доп.расчеты!$A68,'Как есть'!J$73:J$80)</f>
        <v>0</v>
      </c>
      <c r="J68">
        <f>SUMIF('Как есть'!$A$73:$A$80,Доп.расчеты!$A68,'Как есть'!K$73:K$80)</f>
        <v>0</v>
      </c>
      <c r="K68">
        <f>SUMIF('Как есть'!$A$73:$A$80,Доп.расчеты!$A68,'Как есть'!L$73:L$80)</f>
        <v>0</v>
      </c>
      <c r="L68">
        <f>SUMIF('Как есть'!$A$73:$A$80,Доп.расчеты!$A68,'Как есть'!M$73:M$80)</f>
        <v>0</v>
      </c>
      <c r="M68">
        <f>SUMIF('Как есть'!$A$73:$A$80,Доп.расчеты!$A68,'Как есть'!N$73:N$80)</f>
        <v>0</v>
      </c>
      <c r="N68">
        <f>SUMIF('Как есть'!$A$73:$A$80,Доп.расчеты!$A68,'Как есть'!O$73:O$80)</f>
        <v>0</v>
      </c>
      <c r="O68">
        <f>SUMIF('Как есть'!$A$73:$A$80,Доп.расчеты!$A68,'Как есть'!P$73:P$80)</f>
        <v>0</v>
      </c>
      <c r="P68">
        <f>SUMIF('Как есть'!$A$73:$A$80,Доп.расчеты!$A68,'Как есть'!Q$73:Q$80)</f>
        <v>0</v>
      </c>
      <c r="Q68">
        <f>SUMIF('Как есть'!$A$73:$A$80,Доп.расчеты!$A68,'Как есть'!R$73:R$80)</f>
        <v>0</v>
      </c>
      <c r="R68">
        <f>SUMIF('Как есть'!$A$73:$A$80,Доп.расчеты!$A68,'Как есть'!S$73:S$80)</f>
        <v>0</v>
      </c>
      <c r="S68">
        <f>SUMIF('Как есть'!$A$73:$A$80,Доп.расчеты!$A68,'Как есть'!T$73:T$80)</f>
        <v>0</v>
      </c>
      <c r="T68">
        <f>SUMIF('Как есть'!$A$73:$A$80,Доп.расчеты!$A68,'Как есть'!U$73:U$80)</f>
        <v>0</v>
      </c>
      <c r="U68">
        <f>SUMIF('Как есть'!$A$73:$A$80,Доп.расчеты!$A68,'Как есть'!V$73:V$80)</f>
        <v>0</v>
      </c>
      <c r="V68">
        <f>SUMIF('Как есть'!$A$73:$A$80,Доп.расчеты!$A68,'Как есть'!W$73:W$80)</f>
        <v>0</v>
      </c>
      <c r="W68">
        <f>SUMIF('Как есть'!$A$73:$A$80,Доп.расчеты!$A68,'Как есть'!X$73:X$80)</f>
        <v>0</v>
      </c>
      <c r="X68">
        <f>SUMIF('Как есть'!$A$73:$A$80,Доп.расчеты!$A68,'Как есть'!Y$73:Y$80)</f>
        <v>0</v>
      </c>
      <c r="Y68">
        <f>SUMIF('Как есть'!$A$73:$A$80,Доп.расчеты!$A68,'Как есть'!Z$73:Z$80)</f>
        <v>0</v>
      </c>
      <c r="Z68">
        <f>SUMIF('Как есть'!$A$73:$A$80,Доп.расчеты!$A68,'Как есть'!AA$73:AA$80)</f>
        <v>0</v>
      </c>
      <c r="AA68">
        <f>SUMIF('Как есть'!$A$73:$A$80,Доп.расчеты!$A68,'Как есть'!AB$73:AB$80)</f>
        <v>0</v>
      </c>
      <c r="AB68">
        <f>SUMIF('Как есть'!$A$73:$A$80,Доп.расчеты!$A68,'Как есть'!AC$73:AC$80)</f>
        <v>0</v>
      </c>
      <c r="AC68">
        <f>SUMIF('Как есть'!$A$73:$A$80,Доп.расчеты!$A68,'Как есть'!AD$73:AD$80)</f>
        <v>0</v>
      </c>
      <c r="AD68">
        <f>SUMIF('Как есть'!$A$73:$A$80,Доп.расчеты!$A68,'Как есть'!AE$73:AE$80)</f>
        <v>0</v>
      </c>
      <c r="AE68">
        <f>SUMIF('Как есть'!$A$73:$A$80,Доп.расчеты!$A68,'Как есть'!AF$73:AF$80)</f>
        <v>0</v>
      </c>
      <c r="AF68">
        <f>SUMIF('Как есть'!$A$73:$A$80,Доп.расчеты!$A68,'Как есть'!AG$73:AG$80)</f>
        <v>0</v>
      </c>
      <c r="AG68">
        <f>SUMIF('Как есть'!$A$73:$A$80,Доп.расчеты!$A68,'Как есть'!AH$73:AH$80)</f>
        <v>0</v>
      </c>
      <c r="AH68">
        <f>SUMIF('Как есть'!$A$73:$A$80,Доп.расчеты!$A68,'Как есть'!AI$73:AI$80)</f>
        <v>0</v>
      </c>
      <c r="AI68">
        <f>SUMIF('Как есть'!$A$73:$A$80,Доп.расчеты!$A68,'Как есть'!AJ$73:AJ$80)</f>
        <v>0</v>
      </c>
      <c r="AJ68">
        <f>SUMIF('Как есть'!$A$73:$A$80,Доп.расчеты!$A68,'Как есть'!AK$73:AK$80)</f>
        <v>0</v>
      </c>
      <c r="AK68">
        <f>SUMIF('Как есть'!$A$73:$A$80,Доп.расчеты!$A68,'Как есть'!AL$73:AL$80)</f>
        <v>0</v>
      </c>
      <c r="AL68">
        <f>SUMIF('Как есть'!$A$73:$A$80,Доп.расчеты!$A68,'Как есть'!AM$73:AM$80)</f>
        <v>0</v>
      </c>
      <c r="AM68">
        <f>SUMIF('Как есть'!$A$73:$A$80,Доп.расчеты!$A68,'Как есть'!AN$73:AN$80)</f>
        <v>0</v>
      </c>
      <c r="AN68">
        <f>SUMIF('Как есть'!$A$73:$A$80,Доп.расчеты!$A68,'Как есть'!AO$73:AO$80)</f>
        <v>0</v>
      </c>
      <c r="AO68">
        <f>SUMIF('Как есть'!$A$73:$A$80,Доп.расчеты!$A68,'Как есть'!AP$73:AP$80)</f>
        <v>0</v>
      </c>
      <c r="AP68">
        <f>SUMIF('Как есть'!$A$73:$A$80,Доп.расчеты!$A68,'Как есть'!AQ$73:AQ$80)</f>
        <v>0</v>
      </c>
      <c r="AQ68">
        <f>SUMIF('Как есть'!$A$73:$A$80,Доп.расчеты!$A68,'Как есть'!AR$73:AR$80)</f>
        <v>0</v>
      </c>
      <c r="AR68">
        <f>SUMIF('Как есть'!$A$73:$A$80,Доп.расчеты!$A68,'Как есть'!AS$73:AS$80)</f>
        <v>0</v>
      </c>
      <c r="AS68">
        <f>SUMIF('Как есть'!$A$73:$A$80,Доп.расчеты!$A68,'Как есть'!AT$73:AT$80)</f>
        <v>0</v>
      </c>
      <c r="AT68">
        <f>SUMIF('Как есть'!$A$73:$A$80,Доп.расчеты!$A68,'Как есть'!AU$73:AU$80)</f>
        <v>0</v>
      </c>
      <c r="AU68">
        <f>SUMIF('Как есть'!$A$73:$A$80,Доп.расчеты!$A68,'Как есть'!AV$73:AV$80)</f>
        <v>0</v>
      </c>
      <c r="AV68">
        <f>SUMIF('Как есть'!$A$73:$A$80,Доп.расчеты!$A68,'Как есть'!AW$73:AW$80)</f>
        <v>0</v>
      </c>
      <c r="AW68">
        <f>SUMIF('Как есть'!$A$73:$A$80,Доп.расчеты!$A68,'Как есть'!AX$73:AX$80)</f>
        <v>0</v>
      </c>
      <c r="AX68">
        <f>SUMIF('Как есть'!$A$73:$A$80,Доп.расчеты!$A68,'Как есть'!AY$73:AY$80)</f>
        <v>0</v>
      </c>
      <c r="AY68">
        <f>SUMIF('Как есть'!$A$73:$A$80,Доп.расчеты!$A68,'Как есть'!AZ$73:AZ$80)</f>
        <v>0</v>
      </c>
      <c r="AZ68">
        <f>SUMIF('Как есть'!$A$73:$A$80,Доп.расчеты!$A68,'Как есть'!BA$73:BA$80)</f>
        <v>0</v>
      </c>
      <c r="BA68">
        <f>SUMIF('Как есть'!$A$73:$A$80,Доп.расчеты!$A68,'Как есть'!BB$73:BB$80)</f>
        <v>0</v>
      </c>
      <c r="BB68">
        <f>SUMIF('Как есть'!$A$73:$A$80,Доп.расчеты!$A68,'Как есть'!BC$73:BC$80)</f>
        <v>0</v>
      </c>
      <c r="BC68">
        <f>SUMIF('Как есть'!$A$73:$A$80,Доп.расчеты!$A68,'Как есть'!BD$73:BD$80)</f>
        <v>0</v>
      </c>
      <c r="BD68">
        <f>SUMIF('Как есть'!$A$73:$A$80,Доп.расчеты!$A68,'Как есть'!BE$73:BE$80)</f>
        <v>0</v>
      </c>
      <c r="BE68">
        <f>SUMIF('Как есть'!$A$73:$A$80,Доп.расчеты!$A68,'Как есть'!BF$73:BF$80)</f>
        <v>0</v>
      </c>
      <c r="BF68">
        <f>SUMIF('Как есть'!$A$73:$A$80,Доп.расчеты!$A68,'Как есть'!BG$73:BG$80)</f>
        <v>0</v>
      </c>
      <c r="BG68">
        <f>SUMIF('Как есть'!$A$73:$A$80,Доп.расчеты!$A68,'Как есть'!BH$73:BH$80)</f>
        <v>0</v>
      </c>
      <c r="BH68">
        <f>SUMIF('Как есть'!$A$73:$A$80,Доп.расчеты!$A68,'Как есть'!BI$73:BI$80)</f>
        <v>0</v>
      </c>
      <c r="BI68">
        <f>SUMIF('Как есть'!$A$73:$A$80,Доп.расчеты!$A68,'Как есть'!BJ$73:BJ$80)</f>
        <v>0</v>
      </c>
      <c r="BJ68">
        <f>SUMIF('Как есть'!$A$73:$A$80,Доп.расчеты!$A68,'Как есть'!BK$73:BK$80)</f>
        <v>0</v>
      </c>
      <c r="BK68">
        <f>SUMIF('Как есть'!$A$73:$A$80,Доп.расчеты!$A68,'Как есть'!BL$73:BL$80)</f>
        <v>0</v>
      </c>
      <c r="BL68">
        <f>SUMIF('Как есть'!$A$73:$A$80,Доп.расчеты!$A68,'Как есть'!BM$73:BM$80)</f>
        <v>0</v>
      </c>
      <c r="BM68">
        <f>SUMIF('Как есть'!$A$73:$A$80,Доп.расчеты!$A68,'Как есть'!BN$73:BN$80)</f>
        <v>0</v>
      </c>
      <c r="BN68">
        <f>SUMIF('Как есть'!$A$73:$A$80,Доп.расчеты!$A68,'Как есть'!BO$73:BO$80)</f>
        <v>0</v>
      </c>
      <c r="BO68">
        <f>SUMIF('Как есть'!$A$73:$A$80,Доп.расчеты!$A68,'Как есть'!BP$73:BP$80)</f>
        <v>0</v>
      </c>
      <c r="BP68">
        <f>SUMIF('Как есть'!$A$73:$A$80,Доп.расчеты!$A68,'Как есть'!BQ$73:BQ$80)</f>
        <v>0</v>
      </c>
      <c r="BQ68">
        <f>SUMIF('Как есть'!$A$73:$A$80,Доп.расчеты!$A68,'Как есть'!BR$73:BR$80)</f>
        <v>0</v>
      </c>
      <c r="BR68">
        <f>SUMIF('Как есть'!$A$73:$A$80,Доп.расчеты!$A68,'Как есть'!BS$73:BS$80)</f>
        <v>0</v>
      </c>
      <c r="BS68">
        <f>SUMIF('Как есть'!$A$73:$A$80,Доп.расчеты!$A68,'Как есть'!BT$73:BT$80)</f>
        <v>0</v>
      </c>
      <c r="BT68">
        <f>SUMIF('Как есть'!$A$73:$A$80,Доп.расчеты!$A68,'Как есть'!BU$73:BU$80)</f>
        <v>0</v>
      </c>
      <c r="BU68">
        <f>SUMIF('Как есть'!$A$73:$A$80,Доп.расчеты!$A68,'Как есть'!BV$73:BV$80)</f>
        <v>0</v>
      </c>
      <c r="BV68">
        <f>SUMIF('Как есть'!$A$73:$A$80,Доп.расчеты!$A68,'Как есть'!BW$73:BW$80)</f>
        <v>0</v>
      </c>
      <c r="BW68">
        <f>SUMIF('Как есть'!$A$73:$A$80,Доп.расчеты!$A68,'Как есть'!BX$73:BX$80)</f>
        <v>0</v>
      </c>
      <c r="BX68">
        <f>SUMIF('Как есть'!$A$73:$A$80,Доп.расчеты!$A68,'Как есть'!BY$73:BY$80)</f>
        <v>0</v>
      </c>
      <c r="BY68">
        <f>SUMIF('Как есть'!$A$73:$A$80,Доп.расчеты!$A68,'Как есть'!BZ$73:BZ$80)</f>
        <v>0</v>
      </c>
      <c r="BZ68">
        <f>SUMIF('Как есть'!$A$73:$A$80,Доп.расчеты!$A68,'Как есть'!CA$73:CA$80)</f>
        <v>0</v>
      </c>
      <c r="CA68">
        <f>SUMIF('Как есть'!$A$73:$A$80,Доп.расчеты!$A68,'Как есть'!CB$73:CB$80)</f>
        <v>0</v>
      </c>
      <c r="CB68">
        <f>SUMIF('Как есть'!$A$73:$A$80,Доп.расчеты!$A68,'Как есть'!CC$73:CC$80)</f>
        <v>0</v>
      </c>
      <c r="CC68">
        <f>SUMIF('Как есть'!$A$73:$A$80,Доп.расчеты!$A68,'Как есть'!CD$73:CD$80)</f>
        <v>0</v>
      </c>
      <c r="CD68">
        <f>SUMIF('Как есть'!$A$73:$A$80,Доп.расчеты!$A68,'Как есть'!CE$73:CE$80)</f>
        <v>0</v>
      </c>
      <c r="CE68">
        <f>SUMIF('Как есть'!$A$73:$A$80,Доп.расчеты!$A68,'Как есть'!CF$73:CF$80)</f>
        <v>0</v>
      </c>
      <c r="CF68">
        <f>SUMIF('Как есть'!$A$73:$A$80,Доп.расчеты!$A68,'Как есть'!CG$73:CG$80)</f>
        <v>0</v>
      </c>
      <c r="CG68">
        <f>SUMIF('Как есть'!$A$73:$A$80,Доп.расчеты!$A68,'Как есть'!CH$73:CH$80)</f>
        <v>0</v>
      </c>
      <c r="CH68">
        <f>SUMIF('Как есть'!$A$73:$A$80,Доп.расчеты!$A68,'Как есть'!CI$73:CI$80)</f>
        <v>0</v>
      </c>
      <c r="CI68">
        <f>SUMIF('Как есть'!$A$73:$A$80,Доп.расчеты!$A68,'Как есть'!CJ$73:CJ$80)</f>
        <v>0</v>
      </c>
      <c r="CJ68">
        <f>SUMIF('Как есть'!$A$73:$A$80,Доп.расчеты!$A68,'Как есть'!CK$73:CK$80)</f>
        <v>0</v>
      </c>
      <c r="CK68">
        <f>SUMIF('Как есть'!$A$73:$A$80,Доп.расчеты!$A68,'Как есть'!CL$73:CL$80)</f>
        <v>0</v>
      </c>
      <c r="CL68">
        <f>SUMIF('Как есть'!$A$73:$A$80,Доп.расчеты!$A68,'Как есть'!CM$73:CM$80)</f>
        <v>0</v>
      </c>
      <c r="CM68">
        <f>SUMIF('Как есть'!$A$73:$A$80,Доп.расчеты!$A68,'Как есть'!CN$73:CN$80)</f>
        <v>0</v>
      </c>
      <c r="CN68">
        <f>SUMIF('Как есть'!$A$73:$A$80,Доп.расчеты!$A68,'Как есть'!CO$73:CO$80)</f>
        <v>0</v>
      </c>
      <c r="CO68">
        <f>SUMIF('Как есть'!$A$73:$A$80,Доп.расчеты!$A68,'Как есть'!CP$73:CP$80)</f>
        <v>0</v>
      </c>
      <c r="CP68">
        <f>SUMIF('Как есть'!$A$73:$A$80,Доп.расчеты!$A68,'Как есть'!CQ$73:CQ$80)</f>
        <v>0</v>
      </c>
      <c r="CQ68">
        <f>SUMIF('Как есть'!$A$73:$A$80,Доп.расчеты!$A68,'Как есть'!CR$73:CR$80)</f>
        <v>0</v>
      </c>
      <c r="CR68">
        <f>SUMIF('Как есть'!$A$73:$A$80,Доп.расчеты!$A68,'Как есть'!CS$73:CS$80)</f>
        <v>0</v>
      </c>
      <c r="CS68">
        <f>SUMIF('Как есть'!$A$73:$A$80,Доп.расчеты!$A68,'Как есть'!CT$73:CT$80)</f>
        <v>0</v>
      </c>
      <c r="CT68">
        <f>SUMIF('Как есть'!$A$73:$A$80,Доп.расчеты!$A68,'Как есть'!CU$73:CU$80)</f>
        <v>0</v>
      </c>
      <c r="CU68">
        <f>SUMIF('Как есть'!$A$73:$A$80,Доп.расчеты!$A68,'Как есть'!CV$73:CV$80)</f>
        <v>0</v>
      </c>
      <c r="CV68">
        <f>SUMIF('Как есть'!$A$73:$A$80,Доп.расчеты!$A68,'Как есть'!CW$73:CW$80)</f>
        <v>0</v>
      </c>
      <c r="CW68">
        <f>SUMIF('Как есть'!$A$73:$A$80,Доп.расчеты!$A68,'Как есть'!CX$73:CX$80)</f>
        <v>0</v>
      </c>
      <c r="CX68">
        <f>SUMIF('Как есть'!$A$73:$A$80,Доп.расчеты!$A68,'Как есть'!CY$73:CY$80)</f>
        <v>0</v>
      </c>
      <c r="CY68">
        <f>SUMIF('Как есть'!$A$73:$A$80,Доп.расчеты!$A68,'Как есть'!CZ$73:CZ$80)</f>
        <v>0</v>
      </c>
      <c r="CZ68">
        <f>SUMIF('Как есть'!$A$73:$A$80,Доп.расчеты!$A68,'Как есть'!DA$73:DA$80)</f>
        <v>0</v>
      </c>
      <c r="DA68">
        <f>SUMIF('Как есть'!$A$73:$A$80,Доп.расчеты!$A68,'Как есть'!DB$73:DB$80)</f>
        <v>0</v>
      </c>
      <c r="DB68">
        <f>SUMIF('Как есть'!$A$73:$A$80,Доп.расчеты!$A68,'Как есть'!DC$73:DC$80)</f>
        <v>0</v>
      </c>
      <c r="DC68">
        <f>SUMIF('Как есть'!$A$73:$A$80,Доп.расчеты!$A68,'Как есть'!DD$73:DD$80)</f>
        <v>0</v>
      </c>
      <c r="DD68">
        <f>SUMIF('Как есть'!$A$73:$A$80,Доп.расчеты!$A68,'Как есть'!DE$73:DE$80)</f>
        <v>0</v>
      </c>
      <c r="DE68">
        <f>SUMIF('Как есть'!$A$73:$A$80,Доп.расчеты!$A68,'Как есть'!DF$73:DF$80)</f>
        <v>0</v>
      </c>
      <c r="DF68">
        <f>SUMIF('Как есть'!$A$73:$A$80,Доп.расчеты!$A68,'Как есть'!DG$73:DG$80)</f>
        <v>0</v>
      </c>
      <c r="DG68">
        <f>SUMIF('Как есть'!$A$73:$A$80,Доп.расчеты!$A68,'Как есть'!DH$73:DH$80)</f>
        <v>0</v>
      </c>
      <c r="DH68">
        <f>SUMIF('Как есть'!$A$73:$A$80,Доп.расчеты!$A68,'Как есть'!DI$73:DI$80)</f>
        <v>0</v>
      </c>
      <c r="DI68">
        <f>SUMIF('Как есть'!$A$73:$A$80,Доп.расчеты!$A68,'Как есть'!DJ$73:DJ$80)</f>
        <v>0</v>
      </c>
      <c r="DJ68">
        <f>SUMIF('Как есть'!$A$73:$A$80,Доп.расчеты!$A68,'Как есть'!DK$73:DK$80)</f>
        <v>0</v>
      </c>
      <c r="DK68">
        <f>SUMIF('Как есть'!$A$73:$A$80,Доп.расчеты!$A68,'Как есть'!DL$73:DL$80)</f>
        <v>0</v>
      </c>
      <c r="DL68">
        <f>SUMIF('Как есть'!$A$73:$A$80,Доп.расчеты!$A68,'Как есть'!DM$73:DM$80)</f>
        <v>0</v>
      </c>
      <c r="DM68">
        <f>SUMIF('Как есть'!$A$73:$A$80,Доп.расчеты!$A68,'Как есть'!DN$73:DN$80)</f>
        <v>0</v>
      </c>
      <c r="DN68">
        <f>SUMIF('Как есть'!$A$73:$A$80,Доп.расчеты!$A68,'Как есть'!DO$73:DO$80)</f>
        <v>0</v>
      </c>
      <c r="DO68">
        <f>SUMIF('Как есть'!$A$73:$A$80,Доп.расчеты!$A68,'Как есть'!DP$73:DP$80)</f>
        <v>0</v>
      </c>
      <c r="DP68">
        <f>SUMIF('Как есть'!$A$73:$A$80,Доп.расчеты!$A68,'Как есть'!DQ$73:DQ$80)</f>
        <v>0</v>
      </c>
      <c r="DQ68">
        <f>SUMIF('Как есть'!$A$73:$A$80,Доп.расчеты!$A68,'Как есть'!DR$73:DR$80)</f>
        <v>0</v>
      </c>
      <c r="DR68">
        <f>SUMIF('Как есть'!$A$73:$A$80,Доп.расчеты!$A68,'Как есть'!DS$73:DS$80)</f>
        <v>0</v>
      </c>
      <c r="DS68">
        <f>SUMIF('Как есть'!$A$73:$A$80,Доп.расчеты!$A68,'Как есть'!DT$73:DT$80)</f>
        <v>0</v>
      </c>
      <c r="DT68">
        <f>SUMIF('Как есть'!$A$73:$A$80,Доп.расчеты!$A68,'Как есть'!DU$73:DU$80)</f>
        <v>0</v>
      </c>
      <c r="DU68">
        <f>SUMIF('Как есть'!$A$73:$A$80,Доп.расчеты!$A68,'Как есть'!DV$73:DV$80)</f>
        <v>0</v>
      </c>
      <c r="DV68">
        <f>SUMIF('Как есть'!$A$73:$A$80,Доп.расчеты!$A68,'Как есть'!DW$73:DW$80)</f>
        <v>0</v>
      </c>
      <c r="DW68">
        <f>SUMIF('Как есть'!$A$73:$A$80,Доп.расчеты!$A68,'Как есть'!DX$73:DX$80)</f>
        <v>0</v>
      </c>
      <c r="DX68">
        <f>SUMIF('Как есть'!$A$73:$A$80,Доп.расчеты!$A68,'Как есть'!DY$73:DY$80)</f>
        <v>0</v>
      </c>
      <c r="DY68">
        <f>SUMIF('Как есть'!$A$73:$A$80,Доп.расчеты!$A68,'Как есть'!DZ$73:DZ$80)</f>
        <v>0</v>
      </c>
      <c r="DZ68">
        <f>SUMIF('Как есть'!$A$73:$A$80,Доп.расчеты!$A68,'Как есть'!EA$73:EA$80)</f>
        <v>0</v>
      </c>
      <c r="EA68">
        <f>SUMIF('Как есть'!$A$73:$A$80,Доп.расчеты!$A68,'Как есть'!EB$73:EB$80)</f>
        <v>0</v>
      </c>
      <c r="EB68">
        <f>SUMIF('Как есть'!$A$73:$A$80,Доп.расчеты!$A68,'Как есть'!EC$73:EC$80)</f>
        <v>0</v>
      </c>
      <c r="EC68">
        <f>SUMIF('Как есть'!$A$73:$A$80,Доп.расчеты!$A68,'Как есть'!ED$73:ED$80)</f>
        <v>0</v>
      </c>
      <c r="ED68">
        <f>SUMIF('Как есть'!$A$73:$A$80,Доп.расчеты!$A68,'Как есть'!EE$73:EE$80)</f>
        <v>0</v>
      </c>
      <c r="EE68">
        <f>SUMIF('Как есть'!$A$73:$A$80,Доп.расчеты!$A68,'Как есть'!EF$73:EF$80)</f>
        <v>0</v>
      </c>
      <c r="EF68">
        <f>SUMIF('Как есть'!$A$73:$A$80,Доп.расчеты!$A68,'Как есть'!EG$73:EG$80)</f>
        <v>0</v>
      </c>
      <c r="EG68">
        <f>SUMIF('Как есть'!$A$73:$A$80,Доп.расчеты!$A68,'Как есть'!EH$73:EH$80)</f>
        <v>0</v>
      </c>
      <c r="EH68">
        <f>SUMIF('Как есть'!$A$73:$A$80,Доп.расчеты!$A68,'Как есть'!EI$73:EI$80)</f>
        <v>0</v>
      </c>
      <c r="EI68">
        <f>SUMIF('Как есть'!$A$73:$A$80,Доп.расчеты!$A68,'Как есть'!EJ$73:EJ$80)</f>
        <v>0</v>
      </c>
      <c r="EJ68">
        <f>SUMIF('Как есть'!$A$73:$A$80,Доп.расчеты!$A68,'Как есть'!EK$73:EK$80)</f>
        <v>0</v>
      </c>
      <c r="EK68">
        <f>SUMIF('Как есть'!$A$73:$A$80,Доп.расчеты!$A68,'Как есть'!EL$73:EL$80)</f>
        <v>0</v>
      </c>
      <c r="EL68">
        <f>SUMIF('Как есть'!$A$73:$A$80,Доп.расчеты!$A68,'Как есть'!EM$73:EM$80)</f>
        <v>0</v>
      </c>
      <c r="EM68">
        <f>SUMIF('Как есть'!$A$73:$A$80,Доп.расчеты!$A68,'Как есть'!EN$73:EN$80)</f>
        <v>0</v>
      </c>
      <c r="EN68">
        <f>SUMIF('Как есть'!$A$73:$A$80,Доп.расчеты!$A68,'Как есть'!EO$73:EO$80)</f>
        <v>0</v>
      </c>
      <c r="EO68">
        <f>SUMIF('Как есть'!$A$73:$A$80,Доп.расчеты!$A68,'Как есть'!EP$73:EP$80)</f>
        <v>0</v>
      </c>
      <c r="EP68">
        <f>SUMIF('Как есть'!$A$73:$A$80,Доп.расчеты!$A68,'Как есть'!EQ$73:EQ$80)</f>
        <v>0</v>
      </c>
      <c r="EQ68">
        <f>SUMIF('Как есть'!$A$73:$A$80,Доп.расчеты!$A68,'Как есть'!ER$73:ER$80)</f>
        <v>0</v>
      </c>
      <c r="ER68">
        <f>SUMIF('Как есть'!$A$73:$A$80,Доп.расчеты!$A68,'Как есть'!ES$73:ES$80)</f>
        <v>0</v>
      </c>
      <c r="ES68">
        <f>SUMIF('Как есть'!$A$73:$A$80,Доп.расчеты!$A68,'Как есть'!ET$73:ET$80)</f>
        <v>0</v>
      </c>
      <c r="ET68">
        <f>SUMIF('Как есть'!$A$73:$A$80,Доп.расчеты!$A68,'Как есть'!EU$73:EU$80)</f>
        <v>0</v>
      </c>
      <c r="EU68">
        <f>SUMIF('Как есть'!$A$73:$A$80,Доп.расчеты!$A68,'Как есть'!EV$73:EV$80)</f>
        <v>0</v>
      </c>
      <c r="EV68">
        <f>SUMIF('Как есть'!$A$73:$A$80,Доп.расчеты!$A68,'Как есть'!EW$73:EW$80)</f>
        <v>0</v>
      </c>
      <c r="EW68">
        <f>SUMIF('Как есть'!$A$73:$A$80,Доп.расчеты!$A68,'Как есть'!EX$73:EX$80)</f>
        <v>0</v>
      </c>
      <c r="EX68">
        <f>SUMIF('Как есть'!$A$73:$A$80,Доп.расчеты!$A68,'Как есть'!EY$73:EY$80)</f>
        <v>0</v>
      </c>
      <c r="EY68">
        <f>SUMIF('Как есть'!$A$73:$A$80,Доп.расчеты!$A68,'Как есть'!EZ$73:EZ$80)</f>
        <v>0</v>
      </c>
      <c r="EZ68">
        <f>SUMIF('Как есть'!$A$73:$A$80,Доп.расчеты!$A68,'Как есть'!FA$73:FA$80)</f>
        <v>0</v>
      </c>
      <c r="FA68">
        <f>SUMIF('Как есть'!$A$73:$A$80,Доп.расчеты!$A68,'Как есть'!FB$73:FB$80)</f>
        <v>0</v>
      </c>
      <c r="FB68">
        <f>SUMIF('Как есть'!$A$73:$A$80,Доп.расчеты!$A68,'Как есть'!FC$73:FC$80)</f>
        <v>0</v>
      </c>
      <c r="FC68">
        <f>SUMIF('Как есть'!$A$73:$A$80,Доп.расчеты!$A68,'Как есть'!FD$73:FD$80)</f>
        <v>0</v>
      </c>
      <c r="FD68">
        <f>SUMIF('Как есть'!$A$73:$A$80,Доп.расчеты!$A68,'Как есть'!FE$73:FE$80)</f>
        <v>0</v>
      </c>
      <c r="FE68">
        <f>SUMIF('Как есть'!$A$73:$A$80,Доп.расчеты!$A68,'Как есть'!FF$73:FF$80)</f>
        <v>0</v>
      </c>
      <c r="FF68">
        <f>SUMIF('Как есть'!$A$73:$A$80,Доп.расчеты!$A68,'Как есть'!FG$73:FG$80)</f>
        <v>0</v>
      </c>
      <c r="FG68">
        <f>SUMIF('Как есть'!$A$73:$A$80,Доп.расчеты!$A68,'Как есть'!FH$73:FH$80)</f>
        <v>0</v>
      </c>
      <c r="FH68">
        <f>SUMIF('Как есть'!$A$73:$A$80,Доп.расчеты!$A68,'Как есть'!FI$73:FI$80)</f>
        <v>0</v>
      </c>
      <c r="FI68">
        <f>SUMIF('Как есть'!$A$73:$A$80,Доп.расчеты!$A68,'Как есть'!FJ$73:FJ$80)</f>
        <v>0</v>
      </c>
      <c r="FJ68">
        <f>SUMIF('Как есть'!$A$73:$A$80,Доп.расчеты!$A68,'Как есть'!FK$73:FK$80)</f>
        <v>0</v>
      </c>
      <c r="FK68">
        <f>SUMIF('Как есть'!$A$73:$A$80,Доп.расчеты!$A68,'Как есть'!FL$73:FL$80)</f>
        <v>0</v>
      </c>
      <c r="FL68">
        <f>SUMIF('Как есть'!$A$73:$A$80,Доп.расчеты!$A68,'Как есть'!FM$73:FM$80)</f>
        <v>0</v>
      </c>
      <c r="FM68">
        <f>SUMIF('Как есть'!$A$73:$A$80,Доп.расчеты!$A68,'Как есть'!FN$73:FN$80)</f>
        <v>0</v>
      </c>
      <c r="FN68">
        <f>SUMIF('Как есть'!$A$73:$A$80,Доп.расчеты!$A68,'Как есть'!FO$73:FO$80)</f>
        <v>0</v>
      </c>
      <c r="FO68">
        <f>SUMIF('Как есть'!$A$73:$A$80,Доп.расчеты!$A68,'Как есть'!FP$73:FP$80)</f>
        <v>0</v>
      </c>
      <c r="FP68">
        <f>SUMIF('Как есть'!$A$73:$A$80,Доп.расчеты!$A68,'Как есть'!FQ$73:FQ$80)</f>
        <v>0</v>
      </c>
      <c r="FQ68">
        <f>SUMIF('Как есть'!$A$73:$A$80,Доп.расчеты!$A68,'Как есть'!FR$73:FR$80)</f>
        <v>0</v>
      </c>
      <c r="FR68">
        <f>SUMIF('Как есть'!$A$73:$A$80,Доп.расчеты!$A68,'Как есть'!FS$73:FS$80)</f>
        <v>0</v>
      </c>
      <c r="FS68">
        <f>SUMIF('Как есть'!$A$73:$A$80,Доп.расчеты!$A68,'Как есть'!FT$73:FT$80)</f>
        <v>0</v>
      </c>
      <c r="FT68">
        <f>SUMIF('Как есть'!$A$73:$A$80,Доп.расчеты!$A68,'Как есть'!FU$73:FU$80)</f>
        <v>0</v>
      </c>
      <c r="FU68">
        <f>SUMIF('Как есть'!$A$73:$A$80,Доп.расчеты!$A68,'Как есть'!FV$73:FV$80)</f>
        <v>0</v>
      </c>
      <c r="FV68">
        <f>SUMIF('Как есть'!$A$73:$A$80,Доп.расчеты!$A68,'Как есть'!FW$73:FW$80)</f>
        <v>0</v>
      </c>
      <c r="FW68">
        <f>SUMIF('Как есть'!$A$73:$A$80,Доп.расчеты!$A68,'Как есть'!FX$73:FX$80)</f>
        <v>0</v>
      </c>
      <c r="FX68">
        <f>SUMIF('Как есть'!$A$73:$A$80,Доп.расчеты!$A68,'Как есть'!FY$73:FY$80)</f>
        <v>0</v>
      </c>
      <c r="FY68">
        <f>SUMIF('Как есть'!$A$73:$A$80,Доп.расчеты!$A68,'Как есть'!FZ$73:FZ$80)</f>
        <v>0</v>
      </c>
      <c r="FZ68">
        <f>SUMIF('Как есть'!$A$73:$A$80,Доп.расчеты!$A68,'Как есть'!GA$73:GA$80)</f>
        <v>0</v>
      </c>
      <c r="GA68">
        <f>SUMIF('Как есть'!$A$73:$A$80,Доп.расчеты!$A68,'Как есть'!GB$73:GB$80)</f>
        <v>0</v>
      </c>
      <c r="GB68">
        <f>SUMIF('Как есть'!$A$73:$A$80,Доп.расчеты!$A68,'Как есть'!GC$73:GC$80)</f>
        <v>0</v>
      </c>
      <c r="GC68">
        <f>SUMIF('Как есть'!$A$73:$A$80,Доп.расчеты!$A68,'Как есть'!GD$73:GD$80)</f>
        <v>0</v>
      </c>
      <c r="GD68">
        <f>SUMIF('Как есть'!$A$73:$A$80,Доп.расчеты!$A68,'Как есть'!GE$73:GE$80)</f>
        <v>0</v>
      </c>
      <c r="GE68">
        <f>SUMIF('Как есть'!$A$73:$A$80,Доп.расчеты!$A68,'Как есть'!GF$73:GF$80)</f>
        <v>0</v>
      </c>
      <c r="GF68">
        <f>SUMIF('Как есть'!$A$73:$A$80,Доп.расчеты!$A68,'Как есть'!GG$73:GG$80)</f>
        <v>0</v>
      </c>
      <c r="GG68">
        <f>SUMIF('Как есть'!$A$73:$A$80,Доп.расчеты!$A68,'Как есть'!GH$73:GH$80)</f>
        <v>0</v>
      </c>
      <c r="GH68">
        <f>SUMIF('Как есть'!$A$73:$A$80,Доп.расчеты!$A68,'Как есть'!GI$73:GI$80)</f>
        <v>0</v>
      </c>
      <c r="GI68">
        <f>SUMIF('Как есть'!$A$73:$A$80,Доп.расчеты!$A68,'Как есть'!GJ$73:GJ$80)</f>
        <v>0</v>
      </c>
      <c r="GJ68">
        <f>SUMIF('Как есть'!$A$73:$A$80,Доп.расчеты!$A68,'Как есть'!GK$73:GK$80)</f>
        <v>0</v>
      </c>
      <c r="GK68">
        <f>SUMIF('Как есть'!$A$73:$A$80,Доп.расчеты!$A68,'Как есть'!GL$73:GL$80)</f>
        <v>0</v>
      </c>
      <c r="GL68">
        <f>SUMIF('Как есть'!$A$73:$A$80,Доп.расчеты!$A68,'Как есть'!GM$73:GM$80)</f>
        <v>0</v>
      </c>
      <c r="GM68">
        <f>SUMIF('Как есть'!$A$73:$A$80,Доп.расчеты!$A68,'Как есть'!GN$73:GN$80)</f>
        <v>0</v>
      </c>
      <c r="GN68">
        <f>SUMIF('Как есть'!$A$73:$A$80,Доп.расчеты!$A68,'Как есть'!GO$73:GO$80)</f>
        <v>0</v>
      </c>
      <c r="GO68">
        <f>SUMIF('Как есть'!$A$73:$A$80,Доп.расчеты!$A68,'Как есть'!GP$73:GP$80)</f>
        <v>0</v>
      </c>
      <c r="GP68">
        <f>SUMIF('Как есть'!$A$73:$A$80,Доп.расчеты!$A68,'Как есть'!GQ$73:GQ$80)</f>
        <v>0</v>
      </c>
      <c r="GQ68">
        <f>SUMIF('Как есть'!$A$73:$A$80,Доп.расчеты!$A68,'Как есть'!GR$73:GR$80)</f>
        <v>0</v>
      </c>
      <c r="GR68">
        <f>SUMIF('Как есть'!$A$73:$A$80,Доп.расчеты!$A68,'Как есть'!GS$73:GS$80)</f>
        <v>0</v>
      </c>
      <c r="GS68">
        <f>SUMIF('Как есть'!$A$73:$A$80,Доп.расчеты!$A68,'Как есть'!GT$73:GT$80)</f>
        <v>0</v>
      </c>
      <c r="GT68">
        <f>SUMIF('Как есть'!$A$73:$A$80,Доп.расчеты!$A68,'Как есть'!GU$73:GU$80)</f>
        <v>0</v>
      </c>
    </row>
    <row r="69" spans="1:202">
      <c r="A69" s="237" t="s">
        <v>106</v>
      </c>
      <c r="B69">
        <f>SUMIF('Как есть'!$A$73:$A$80,Доп.расчеты!$A69,'Как есть'!C$73:C$80)</f>
        <v>0</v>
      </c>
      <c r="C69">
        <f>SUMIF('Как есть'!$A$73:$A$80,Доп.расчеты!$A69,'Как есть'!D$73:D$80)</f>
        <v>0</v>
      </c>
      <c r="D69">
        <f>SUMIF('Как есть'!$A$73:$A$80,Доп.расчеты!$A69,'Как есть'!E$73:E$80)</f>
        <v>0</v>
      </c>
      <c r="E69">
        <f>SUMIF('Как есть'!$A$73:$A$80,Доп.расчеты!$A69,'Как есть'!F$73:F$80)</f>
        <v>0</v>
      </c>
      <c r="F69">
        <f>SUMIF('Как есть'!$A$73:$A$80,Доп.расчеты!$A69,'Как есть'!G$73:G$80)</f>
        <v>0</v>
      </c>
      <c r="G69">
        <f>SUMIF('Как есть'!$A$73:$A$80,Доп.расчеты!$A69,'Как есть'!H$73:H$80)</f>
        <v>0</v>
      </c>
      <c r="H69">
        <f>SUMIF('Как есть'!$A$73:$A$80,Доп.расчеты!$A69,'Как есть'!I$73:I$80)</f>
        <v>0</v>
      </c>
      <c r="I69">
        <f>SUMIF('Как есть'!$A$73:$A$80,Доп.расчеты!$A69,'Как есть'!J$73:J$80)</f>
        <v>0</v>
      </c>
      <c r="J69">
        <f>SUMIF('Как есть'!$A$73:$A$80,Доп.расчеты!$A69,'Как есть'!K$73:K$80)</f>
        <v>0</v>
      </c>
      <c r="K69">
        <f>SUMIF('Как есть'!$A$73:$A$80,Доп.расчеты!$A69,'Как есть'!L$73:L$80)</f>
        <v>0</v>
      </c>
      <c r="L69">
        <f>SUMIF('Как есть'!$A$73:$A$80,Доп.расчеты!$A69,'Как есть'!M$73:M$80)</f>
        <v>0</v>
      </c>
      <c r="M69">
        <f>SUMIF('Как есть'!$A$73:$A$80,Доп.расчеты!$A69,'Как есть'!N$73:N$80)</f>
        <v>0</v>
      </c>
      <c r="N69">
        <f>SUMIF('Как есть'!$A$73:$A$80,Доп.расчеты!$A69,'Как есть'!O$73:O$80)</f>
        <v>0</v>
      </c>
      <c r="O69">
        <f>SUMIF('Как есть'!$A$73:$A$80,Доп.расчеты!$A69,'Как есть'!P$73:P$80)</f>
        <v>0</v>
      </c>
      <c r="P69">
        <f>SUMIF('Как есть'!$A$73:$A$80,Доп.расчеты!$A69,'Как есть'!Q$73:Q$80)</f>
        <v>0</v>
      </c>
      <c r="Q69">
        <f>SUMIF('Как есть'!$A$73:$A$80,Доп.расчеты!$A69,'Как есть'!R$73:R$80)</f>
        <v>0</v>
      </c>
      <c r="R69">
        <f>SUMIF('Как есть'!$A$73:$A$80,Доп.расчеты!$A69,'Как есть'!S$73:S$80)</f>
        <v>0</v>
      </c>
      <c r="S69">
        <f>SUMIF('Как есть'!$A$73:$A$80,Доп.расчеты!$A69,'Как есть'!T$73:T$80)</f>
        <v>0</v>
      </c>
      <c r="T69">
        <f>SUMIF('Как есть'!$A$73:$A$80,Доп.расчеты!$A69,'Как есть'!U$73:U$80)</f>
        <v>0</v>
      </c>
      <c r="U69">
        <f>SUMIF('Как есть'!$A$73:$A$80,Доп.расчеты!$A69,'Как есть'!V$73:V$80)</f>
        <v>0</v>
      </c>
      <c r="V69">
        <f>SUMIF('Как есть'!$A$73:$A$80,Доп.расчеты!$A69,'Как есть'!W$73:W$80)</f>
        <v>0</v>
      </c>
      <c r="W69">
        <f>SUMIF('Как есть'!$A$73:$A$80,Доп.расчеты!$A69,'Как есть'!X$73:X$80)</f>
        <v>0</v>
      </c>
      <c r="X69">
        <f>SUMIF('Как есть'!$A$73:$A$80,Доп.расчеты!$A69,'Как есть'!Y$73:Y$80)</f>
        <v>0</v>
      </c>
      <c r="Y69">
        <f>SUMIF('Как есть'!$A$73:$A$80,Доп.расчеты!$A69,'Как есть'!Z$73:Z$80)</f>
        <v>0</v>
      </c>
      <c r="Z69">
        <f>SUMIF('Как есть'!$A$73:$A$80,Доп.расчеты!$A69,'Как есть'!AA$73:AA$80)</f>
        <v>0</v>
      </c>
      <c r="AA69">
        <f>SUMIF('Как есть'!$A$73:$A$80,Доп.расчеты!$A69,'Как есть'!AB$73:AB$80)</f>
        <v>0</v>
      </c>
      <c r="AB69">
        <f>SUMIF('Как есть'!$A$73:$A$80,Доп.расчеты!$A69,'Как есть'!AC$73:AC$80)</f>
        <v>0</v>
      </c>
      <c r="AC69">
        <f>SUMIF('Как есть'!$A$73:$A$80,Доп.расчеты!$A69,'Как есть'!AD$73:AD$80)</f>
        <v>0</v>
      </c>
      <c r="AD69">
        <f>SUMIF('Как есть'!$A$73:$A$80,Доп.расчеты!$A69,'Как есть'!AE$73:AE$80)</f>
        <v>0</v>
      </c>
      <c r="AE69">
        <f>SUMIF('Как есть'!$A$73:$A$80,Доп.расчеты!$A69,'Как есть'!AF$73:AF$80)</f>
        <v>0</v>
      </c>
      <c r="AF69">
        <f>SUMIF('Как есть'!$A$73:$A$80,Доп.расчеты!$A69,'Как есть'!AG$73:AG$80)</f>
        <v>0</v>
      </c>
      <c r="AG69">
        <f>SUMIF('Как есть'!$A$73:$A$80,Доп.расчеты!$A69,'Как есть'!AH$73:AH$80)</f>
        <v>0</v>
      </c>
      <c r="AH69">
        <f>SUMIF('Как есть'!$A$73:$A$80,Доп.расчеты!$A69,'Как есть'!AI$73:AI$80)</f>
        <v>0</v>
      </c>
      <c r="AI69">
        <f>SUMIF('Как есть'!$A$73:$A$80,Доп.расчеты!$A69,'Как есть'!AJ$73:AJ$80)</f>
        <v>0</v>
      </c>
      <c r="AJ69">
        <f>SUMIF('Как есть'!$A$73:$A$80,Доп.расчеты!$A69,'Как есть'!AK$73:AK$80)</f>
        <v>0</v>
      </c>
      <c r="AK69">
        <f>SUMIF('Как есть'!$A$73:$A$80,Доп.расчеты!$A69,'Как есть'!AL$73:AL$80)</f>
        <v>0</v>
      </c>
      <c r="AL69">
        <f>SUMIF('Как есть'!$A$73:$A$80,Доп.расчеты!$A69,'Как есть'!AM$73:AM$80)</f>
        <v>0</v>
      </c>
      <c r="AM69">
        <f>SUMIF('Как есть'!$A$73:$A$80,Доп.расчеты!$A69,'Как есть'!AN$73:AN$80)</f>
        <v>0</v>
      </c>
      <c r="AN69">
        <f>SUMIF('Как есть'!$A$73:$A$80,Доп.расчеты!$A69,'Как есть'!AO$73:AO$80)</f>
        <v>0</v>
      </c>
      <c r="AO69">
        <f>SUMIF('Как есть'!$A$73:$A$80,Доп.расчеты!$A69,'Как есть'!AP$73:AP$80)</f>
        <v>0</v>
      </c>
      <c r="AP69">
        <f>SUMIF('Как есть'!$A$73:$A$80,Доп.расчеты!$A69,'Как есть'!AQ$73:AQ$80)</f>
        <v>0</v>
      </c>
      <c r="AQ69">
        <f>SUMIF('Как есть'!$A$73:$A$80,Доп.расчеты!$A69,'Как есть'!AR$73:AR$80)</f>
        <v>0</v>
      </c>
      <c r="AR69">
        <f>SUMIF('Как есть'!$A$73:$A$80,Доп.расчеты!$A69,'Как есть'!AS$73:AS$80)</f>
        <v>0</v>
      </c>
      <c r="AS69">
        <f>SUMIF('Как есть'!$A$73:$A$80,Доп.расчеты!$A69,'Как есть'!AT$73:AT$80)</f>
        <v>0</v>
      </c>
      <c r="AT69">
        <f>SUMIF('Как есть'!$A$73:$A$80,Доп.расчеты!$A69,'Как есть'!AU$73:AU$80)</f>
        <v>0</v>
      </c>
      <c r="AU69">
        <f>SUMIF('Как есть'!$A$73:$A$80,Доп.расчеты!$A69,'Как есть'!AV$73:AV$80)</f>
        <v>0</v>
      </c>
      <c r="AV69">
        <f>SUMIF('Как есть'!$A$73:$A$80,Доп.расчеты!$A69,'Как есть'!AW$73:AW$80)</f>
        <v>0</v>
      </c>
      <c r="AW69">
        <f>SUMIF('Как есть'!$A$73:$A$80,Доп.расчеты!$A69,'Как есть'!AX$73:AX$80)</f>
        <v>0</v>
      </c>
      <c r="AX69">
        <f>SUMIF('Как есть'!$A$73:$A$80,Доп.расчеты!$A69,'Как есть'!AY$73:AY$80)</f>
        <v>0</v>
      </c>
      <c r="AY69">
        <f>SUMIF('Как есть'!$A$73:$A$80,Доп.расчеты!$A69,'Как есть'!AZ$73:AZ$80)</f>
        <v>0</v>
      </c>
      <c r="AZ69">
        <f>SUMIF('Как есть'!$A$73:$A$80,Доп.расчеты!$A69,'Как есть'!BA$73:BA$80)</f>
        <v>0</v>
      </c>
      <c r="BA69">
        <f>SUMIF('Как есть'!$A$73:$A$80,Доп.расчеты!$A69,'Как есть'!BB$73:BB$80)</f>
        <v>0</v>
      </c>
      <c r="BB69">
        <f>SUMIF('Как есть'!$A$73:$A$80,Доп.расчеты!$A69,'Как есть'!BC$73:BC$80)</f>
        <v>0</v>
      </c>
      <c r="BC69">
        <f>SUMIF('Как есть'!$A$73:$A$80,Доп.расчеты!$A69,'Как есть'!BD$73:BD$80)</f>
        <v>0</v>
      </c>
      <c r="BD69">
        <f>SUMIF('Как есть'!$A$73:$A$80,Доп.расчеты!$A69,'Как есть'!BE$73:BE$80)</f>
        <v>0</v>
      </c>
      <c r="BE69">
        <f>SUMIF('Как есть'!$A$73:$A$80,Доп.расчеты!$A69,'Как есть'!BF$73:BF$80)</f>
        <v>0</v>
      </c>
      <c r="BF69">
        <f>SUMIF('Как есть'!$A$73:$A$80,Доп.расчеты!$A69,'Как есть'!BG$73:BG$80)</f>
        <v>0</v>
      </c>
      <c r="BG69">
        <f>SUMIF('Как есть'!$A$73:$A$80,Доп.расчеты!$A69,'Как есть'!BH$73:BH$80)</f>
        <v>0</v>
      </c>
      <c r="BH69">
        <f>SUMIF('Как есть'!$A$73:$A$80,Доп.расчеты!$A69,'Как есть'!BI$73:BI$80)</f>
        <v>0</v>
      </c>
      <c r="BI69">
        <f>SUMIF('Как есть'!$A$73:$A$80,Доп.расчеты!$A69,'Как есть'!BJ$73:BJ$80)</f>
        <v>0</v>
      </c>
      <c r="BJ69">
        <f>SUMIF('Как есть'!$A$73:$A$80,Доп.расчеты!$A69,'Как есть'!BK$73:BK$80)</f>
        <v>0</v>
      </c>
      <c r="BK69">
        <f>SUMIF('Как есть'!$A$73:$A$80,Доп.расчеты!$A69,'Как есть'!BL$73:BL$80)</f>
        <v>0</v>
      </c>
      <c r="BL69">
        <f>SUMIF('Как есть'!$A$73:$A$80,Доп.расчеты!$A69,'Как есть'!BM$73:BM$80)</f>
        <v>0</v>
      </c>
      <c r="BM69">
        <f>SUMIF('Как есть'!$A$73:$A$80,Доп.расчеты!$A69,'Как есть'!BN$73:BN$80)</f>
        <v>0</v>
      </c>
      <c r="BN69">
        <f>SUMIF('Как есть'!$A$73:$A$80,Доп.расчеты!$A69,'Как есть'!BO$73:BO$80)</f>
        <v>0</v>
      </c>
      <c r="BO69">
        <f>SUMIF('Как есть'!$A$73:$A$80,Доп.расчеты!$A69,'Как есть'!BP$73:BP$80)</f>
        <v>0</v>
      </c>
      <c r="BP69">
        <f>SUMIF('Как есть'!$A$73:$A$80,Доп.расчеты!$A69,'Как есть'!BQ$73:BQ$80)</f>
        <v>0</v>
      </c>
      <c r="BQ69">
        <f>SUMIF('Как есть'!$A$73:$A$80,Доп.расчеты!$A69,'Как есть'!BR$73:BR$80)</f>
        <v>0</v>
      </c>
      <c r="BR69">
        <f>SUMIF('Как есть'!$A$73:$A$80,Доп.расчеты!$A69,'Как есть'!BS$73:BS$80)</f>
        <v>0</v>
      </c>
      <c r="BS69">
        <f>SUMIF('Как есть'!$A$73:$A$80,Доп.расчеты!$A69,'Как есть'!BT$73:BT$80)</f>
        <v>0</v>
      </c>
      <c r="BT69">
        <f>SUMIF('Как есть'!$A$73:$A$80,Доп.расчеты!$A69,'Как есть'!BU$73:BU$80)</f>
        <v>0</v>
      </c>
      <c r="BU69">
        <f>SUMIF('Как есть'!$A$73:$A$80,Доп.расчеты!$A69,'Как есть'!BV$73:BV$80)</f>
        <v>0</v>
      </c>
      <c r="BV69">
        <f>SUMIF('Как есть'!$A$73:$A$80,Доп.расчеты!$A69,'Как есть'!BW$73:BW$80)</f>
        <v>0</v>
      </c>
      <c r="BW69">
        <f>SUMIF('Как есть'!$A$73:$A$80,Доп.расчеты!$A69,'Как есть'!BX$73:BX$80)</f>
        <v>0</v>
      </c>
      <c r="BX69">
        <f>SUMIF('Как есть'!$A$73:$A$80,Доп.расчеты!$A69,'Как есть'!BY$73:BY$80)</f>
        <v>0</v>
      </c>
      <c r="BY69">
        <f>SUMIF('Как есть'!$A$73:$A$80,Доп.расчеты!$A69,'Как есть'!BZ$73:BZ$80)</f>
        <v>0</v>
      </c>
      <c r="BZ69">
        <f>SUMIF('Как есть'!$A$73:$A$80,Доп.расчеты!$A69,'Как есть'!CA$73:CA$80)</f>
        <v>0</v>
      </c>
      <c r="CA69">
        <f>SUMIF('Как есть'!$A$73:$A$80,Доп.расчеты!$A69,'Как есть'!CB$73:CB$80)</f>
        <v>0</v>
      </c>
      <c r="CB69">
        <f>SUMIF('Как есть'!$A$73:$A$80,Доп.расчеты!$A69,'Как есть'!CC$73:CC$80)</f>
        <v>0</v>
      </c>
      <c r="CC69">
        <f>SUMIF('Как есть'!$A$73:$A$80,Доп.расчеты!$A69,'Как есть'!CD$73:CD$80)</f>
        <v>0</v>
      </c>
      <c r="CD69">
        <f>SUMIF('Как есть'!$A$73:$A$80,Доп.расчеты!$A69,'Как есть'!CE$73:CE$80)</f>
        <v>0</v>
      </c>
      <c r="CE69">
        <f>SUMIF('Как есть'!$A$73:$A$80,Доп.расчеты!$A69,'Как есть'!CF$73:CF$80)</f>
        <v>0</v>
      </c>
      <c r="CF69">
        <f>SUMIF('Как есть'!$A$73:$A$80,Доп.расчеты!$A69,'Как есть'!CG$73:CG$80)</f>
        <v>0</v>
      </c>
      <c r="CG69">
        <f>SUMIF('Как есть'!$A$73:$A$80,Доп.расчеты!$A69,'Как есть'!CH$73:CH$80)</f>
        <v>0</v>
      </c>
      <c r="CH69">
        <f>SUMIF('Как есть'!$A$73:$A$80,Доп.расчеты!$A69,'Как есть'!CI$73:CI$80)</f>
        <v>0</v>
      </c>
      <c r="CI69">
        <f>SUMIF('Как есть'!$A$73:$A$80,Доп.расчеты!$A69,'Как есть'!CJ$73:CJ$80)</f>
        <v>0</v>
      </c>
      <c r="CJ69">
        <f>SUMIF('Как есть'!$A$73:$A$80,Доп.расчеты!$A69,'Как есть'!CK$73:CK$80)</f>
        <v>0</v>
      </c>
      <c r="CK69">
        <f>SUMIF('Как есть'!$A$73:$A$80,Доп.расчеты!$A69,'Как есть'!CL$73:CL$80)</f>
        <v>0</v>
      </c>
      <c r="CL69">
        <f>SUMIF('Как есть'!$A$73:$A$80,Доп.расчеты!$A69,'Как есть'!CM$73:CM$80)</f>
        <v>0</v>
      </c>
      <c r="CM69">
        <f>SUMIF('Как есть'!$A$73:$A$80,Доп.расчеты!$A69,'Как есть'!CN$73:CN$80)</f>
        <v>0</v>
      </c>
      <c r="CN69">
        <f>SUMIF('Как есть'!$A$73:$A$80,Доп.расчеты!$A69,'Как есть'!CO$73:CO$80)</f>
        <v>0</v>
      </c>
      <c r="CO69">
        <f>SUMIF('Как есть'!$A$73:$A$80,Доп.расчеты!$A69,'Как есть'!CP$73:CP$80)</f>
        <v>0</v>
      </c>
      <c r="CP69">
        <f>SUMIF('Как есть'!$A$73:$A$80,Доп.расчеты!$A69,'Как есть'!CQ$73:CQ$80)</f>
        <v>0</v>
      </c>
      <c r="CQ69">
        <f>SUMIF('Как есть'!$A$73:$A$80,Доп.расчеты!$A69,'Как есть'!CR$73:CR$80)</f>
        <v>0</v>
      </c>
      <c r="CR69">
        <f>SUMIF('Как есть'!$A$73:$A$80,Доп.расчеты!$A69,'Как есть'!CS$73:CS$80)</f>
        <v>0</v>
      </c>
      <c r="CS69">
        <f>SUMIF('Как есть'!$A$73:$A$80,Доп.расчеты!$A69,'Как есть'!CT$73:CT$80)</f>
        <v>0</v>
      </c>
      <c r="CT69">
        <f>SUMIF('Как есть'!$A$73:$A$80,Доп.расчеты!$A69,'Как есть'!CU$73:CU$80)</f>
        <v>0</v>
      </c>
      <c r="CU69">
        <f>SUMIF('Как есть'!$A$73:$A$80,Доп.расчеты!$A69,'Как есть'!CV$73:CV$80)</f>
        <v>0</v>
      </c>
      <c r="CV69">
        <f>SUMIF('Как есть'!$A$73:$A$80,Доп.расчеты!$A69,'Как есть'!CW$73:CW$80)</f>
        <v>0</v>
      </c>
      <c r="CW69">
        <f>SUMIF('Как есть'!$A$73:$A$80,Доп.расчеты!$A69,'Как есть'!CX$73:CX$80)</f>
        <v>0</v>
      </c>
      <c r="CX69">
        <f>SUMIF('Как есть'!$A$73:$A$80,Доп.расчеты!$A69,'Как есть'!CY$73:CY$80)</f>
        <v>0</v>
      </c>
      <c r="CY69">
        <f>SUMIF('Как есть'!$A$73:$A$80,Доп.расчеты!$A69,'Как есть'!CZ$73:CZ$80)</f>
        <v>0</v>
      </c>
      <c r="CZ69">
        <f>SUMIF('Как есть'!$A$73:$A$80,Доп.расчеты!$A69,'Как есть'!DA$73:DA$80)</f>
        <v>0</v>
      </c>
      <c r="DA69">
        <f>SUMIF('Как есть'!$A$73:$A$80,Доп.расчеты!$A69,'Как есть'!DB$73:DB$80)</f>
        <v>0</v>
      </c>
      <c r="DB69">
        <f>SUMIF('Как есть'!$A$73:$A$80,Доп.расчеты!$A69,'Как есть'!DC$73:DC$80)</f>
        <v>0</v>
      </c>
      <c r="DC69">
        <f>SUMIF('Как есть'!$A$73:$A$80,Доп.расчеты!$A69,'Как есть'!DD$73:DD$80)</f>
        <v>0</v>
      </c>
      <c r="DD69">
        <f>SUMIF('Как есть'!$A$73:$A$80,Доп.расчеты!$A69,'Как есть'!DE$73:DE$80)</f>
        <v>0</v>
      </c>
      <c r="DE69">
        <f>SUMIF('Как есть'!$A$73:$A$80,Доп.расчеты!$A69,'Как есть'!DF$73:DF$80)</f>
        <v>0</v>
      </c>
      <c r="DF69">
        <f>SUMIF('Как есть'!$A$73:$A$80,Доп.расчеты!$A69,'Как есть'!DG$73:DG$80)</f>
        <v>0</v>
      </c>
      <c r="DG69">
        <f>SUMIF('Как есть'!$A$73:$A$80,Доп.расчеты!$A69,'Как есть'!DH$73:DH$80)</f>
        <v>0</v>
      </c>
      <c r="DH69">
        <f>SUMIF('Как есть'!$A$73:$A$80,Доп.расчеты!$A69,'Как есть'!DI$73:DI$80)</f>
        <v>0</v>
      </c>
      <c r="DI69">
        <f>SUMIF('Как есть'!$A$73:$A$80,Доп.расчеты!$A69,'Как есть'!DJ$73:DJ$80)</f>
        <v>0</v>
      </c>
      <c r="DJ69">
        <f>SUMIF('Как есть'!$A$73:$A$80,Доп.расчеты!$A69,'Как есть'!DK$73:DK$80)</f>
        <v>0</v>
      </c>
      <c r="DK69">
        <f>SUMIF('Как есть'!$A$73:$A$80,Доп.расчеты!$A69,'Как есть'!DL$73:DL$80)</f>
        <v>0</v>
      </c>
      <c r="DL69">
        <f>SUMIF('Как есть'!$A$73:$A$80,Доп.расчеты!$A69,'Как есть'!DM$73:DM$80)</f>
        <v>0</v>
      </c>
      <c r="DM69">
        <f>SUMIF('Как есть'!$A$73:$A$80,Доп.расчеты!$A69,'Как есть'!DN$73:DN$80)</f>
        <v>0</v>
      </c>
      <c r="DN69">
        <f>SUMIF('Как есть'!$A$73:$A$80,Доп.расчеты!$A69,'Как есть'!DO$73:DO$80)</f>
        <v>0</v>
      </c>
      <c r="DO69">
        <f>SUMIF('Как есть'!$A$73:$A$80,Доп.расчеты!$A69,'Как есть'!DP$73:DP$80)</f>
        <v>0</v>
      </c>
      <c r="DP69">
        <f>SUMIF('Как есть'!$A$73:$A$80,Доп.расчеты!$A69,'Как есть'!DQ$73:DQ$80)</f>
        <v>0</v>
      </c>
      <c r="DQ69">
        <f>SUMIF('Как есть'!$A$73:$A$80,Доп.расчеты!$A69,'Как есть'!DR$73:DR$80)</f>
        <v>0</v>
      </c>
      <c r="DR69">
        <f>SUMIF('Как есть'!$A$73:$A$80,Доп.расчеты!$A69,'Как есть'!DS$73:DS$80)</f>
        <v>0</v>
      </c>
      <c r="DS69">
        <f>SUMIF('Как есть'!$A$73:$A$80,Доп.расчеты!$A69,'Как есть'!DT$73:DT$80)</f>
        <v>0</v>
      </c>
      <c r="DT69">
        <f>SUMIF('Как есть'!$A$73:$A$80,Доп.расчеты!$A69,'Как есть'!DU$73:DU$80)</f>
        <v>0</v>
      </c>
      <c r="DU69">
        <f>SUMIF('Как есть'!$A$73:$A$80,Доп.расчеты!$A69,'Как есть'!DV$73:DV$80)</f>
        <v>0</v>
      </c>
      <c r="DV69">
        <f>SUMIF('Как есть'!$A$73:$A$80,Доп.расчеты!$A69,'Как есть'!DW$73:DW$80)</f>
        <v>0</v>
      </c>
      <c r="DW69">
        <f>SUMIF('Как есть'!$A$73:$A$80,Доп.расчеты!$A69,'Как есть'!DX$73:DX$80)</f>
        <v>0</v>
      </c>
      <c r="DX69">
        <f>SUMIF('Как есть'!$A$73:$A$80,Доп.расчеты!$A69,'Как есть'!DY$73:DY$80)</f>
        <v>0</v>
      </c>
      <c r="DY69">
        <f>SUMIF('Как есть'!$A$73:$A$80,Доп.расчеты!$A69,'Как есть'!DZ$73:DZ$80)</f>
        <v>0</v>
      </c>
      <c r="DZ69">
        <f>SUMIF('Как есть'!$A$73:$A$80,Доп.расчеты!$A69,'Как есть'!EA$73:EA$80)</f>
        <v>0</v>
      </c>
      <c r="EA69">
        <f>SUMIF('Как есть'!$A$73:$A$80,Доп.расчеты!$A69,'Как есть'!EB$73:EB$80)</f>
        <v>0</v>
      </c>
      <c r="EB69">
        <f>SUMIF('Как есть'!$A$73:$A$80,Доп.расчеты!$A69,'Как есть'!EC$73:EC$80)</f>
        <v>0</v>
      </c>
      <c r="EC69">
        <f>SUMIF('Как есть'!$A$73:$A$80,Доп.расчеты!$A69,'Как есть'!ED$73:ED$80)</f>
        <v>0</v>
      </c>
      <c r="ED69">
        <f>SUMIF('Как есть'!$A$73:$A$80,Доп.расчеты!$A69,'Как есть'!EE$73:EE$80)</f>
        <v>0</v>
      </c>
      <c r="EE69">
        <f>SUMIF('Как есть'!$A$73:$A$80,Доп.расчеты!$A69,'Как есть'!EF$73:EF$80)</f>
        <v>0</v>
      </c>
      <c r="EF69">
        <f>SUMIF('Как есть'!$A$73:$A$80,Доп.расчеты!$A69,'Как есть'!EG$73:EG$80)</f>
        <v>0</v>
      </c>
      <c r="EG69">
        <f>SUMIF('Как есть'!$A$73:$A$80,Доп.расчеты!$A69,'Как есть'!EH$73:EH$80)</f>
        <v>0</v>
      </c>
      <c r="EH69">
        <f>SUMIF('Как есть'!$A$73:$A$80,Доп.расчеты!$A69,'Как есть'!EI$73:EI$80)</f>
        <v>0</v>
      </c>
      <c r="EI69">
        <f>SUMIF('Как есть'!$A$73:$A$80,Доп.расчеты!$A69,'Как есть'!EJ$73:EJ$80)</f>
        <v>0</v>
      </c>
      <c r="EJ69">
        <f>SUMIF('Как есть'!$A$73:$A$80,Доп.расчеты!$A69,'Как есть'!EK$73:EK$80)</f>
        <v>0</v>
      </c>
      <c r="EK69">
        <f>SUMIF('Как есть'!$A$73:$A$80,Доп.расчеты!$A69,'Как есть'!EL$73:EL$80)</f>
        <v>0</v>
      </c>
      <c r="EL69">
        <f>SUMIF('Как есть'!$A$73:$A$80,Доп.расчеты!$A69,'Как есть'!EM$73:EM$80)</f>
        <v>0</v>
      </c>
      <c r="EM69">
        <f>SUMIF('Как есть'!$A$73:$A$80,Доп.расчеты!$A69,'Как есть'!EN$73:EN$80)</f>
        <v>0</v>
      </c>
      <c r="EN69">
        <f>SUMIF('Как есть'!$A$73:$A$80,Доп.расчеты!$A69,'Как есть'!EO$73:EO$80)</f>
        <v>0</v>
      </c>
      <c r="EO69">
        <f>SUMIF('Как есть'!$A$73:$A$80,Доп.расчеты!$A69,'Как есть'!EP$73:EP$80)</f>
        <v>0</v>
      </c>
      <c r="EP69">
        <f>SUMIF('Как есть'!$A$73:$A$80,Доп.расчеты!$A69,'Как есть'!EQ$73:EQ$80)</f>
        <v>0</v>
      </c>
      <c r="EQ69">
        <f>SUMIF('Как есть'!$A$73:$A$80,Доп.расчеты!$A69,'Как есть'!ER$73:ER$80)</f>
        <v>0</v>
      </c>
      <c r="ER69">
        <f>SUMIF('Как есть'!$A$73:$A$80,Доп.расчеты!$A69,'Как есть'!ES$73:ES$80)</f>
        <v>0</v>
      </c>
      <c r="ES69">
        <f>SUMIF('Как есть'!$A$73:$A$80,Доп.расчеты!$A69,'Как есть'!ET$73:ET$80)</f>
        <v>0</v>
      </c>
      <c r="ET69">
        <f>SUMIF('Как есть'!$A$73:$A$80,Доп.расчеты!$A69,'Как есть'!EU$73:EU$80)</f>
        <v>0</v>
      </c>
      <c r="EU69">
        <f>SUMIF('Как есть'!$A$73:$A$80,Доп.расчеты!$A69,'Как есть'!EV$73:EV$80)</f>
        <v>0</v>
      </c>
      <c r="EV69">
        <f>SUMIF('Как есть'!$A$73:$A$80,Доп.расчеты!$A69,'Как есть'!EW$73:EW$80)</f>
        <v>0</v>
      </c>
      <c r="EW69">
        <f>SUMIF('Как есть'!$A$73:$A$80,Доп.расчеты!$A69,'Как есть'!EX$73:EX$80)</f>
        <v>0</v>
      </c>
      <c r="EX69">
        <f>SUMIF('Как есть'!$A$73:$A$80,Доп.расчеты!$A69,'Как есть'!EY$73:EY$80)</f>
        <v>0</v>
      </c>
      <c r="EY69">
        <f>SUMIF('Как есть'!$A$73:$A$80,Доп.расчеты!$A69,'Как есть'!EZ$73:EZ$80)</f>
        <v>0</v>
      </c>
      <c r="EZ69">
        <f>SUMIF('Как есть'!$A$73:$A$80,Доп.расчеты!$A69,'Как есть'!FA$73:FA$80)</f>
        <v>0</v>
      </c>
      <c r="FA69">
        <f>SUMIF('Как есть'!$A$73:$A$80,Доп.расчеты!$A69,'Как есть'!FB$73:FB$80)</f>
        <v>0</v>
      </c>
      <c r="FB69">
        <f>SUMIF('Как есть'!$A$73:$A$80,Доп.расчеты!$A69,'Как есть'!FC$73:FC$80)</f>
        <v>0</v>
      </c>
      <c r="FC69">
        <f>SUMIF('Как есть'!$A$73:$A$80,Доп.расчеты!$A69,'Как есть'!FD$73:FD$80)</f>
        <v>0</v>
      </c>
      <c r="FD69">
        <f>SUMIF('Как есть'!$A$73:$A$80,Доп.расчеты!$A69,'Как есть'!FE$73:FE$80)</f>
        <v>0</v>
      </c>
      <c r="FE69">
        <f>SUMIF('Как есть'!$A$73:$A$80,Доп.расчеты!$A69,'Как есть'!FF$73:FF$80)</f>
        <v>0</v>
      </c>
      <c r="FF69">
        <f>SUMIF('Как есть'!$A$73:$A$80,Доп.расчеты!$A69,'Как есть'!FG$73:FG$80)</f>
        <v>0</v>
      </c>
      <c r="FG69">
        <f>SUMIF('Как есть'!$A$73:$A$80,Доп.расчеты!$A69,'Как есть'!FH$73:FH$80)</f>
        <v>0</v>
      </c>
      <c r="FH69">
        <f>SUMIF('Как есть'!$A$73:$A$80,Доп.расчеты!$A69,'Как есть'!FI$73:FI$80)</f>
        <v>0</v>
      </c>
      <c r="FI69">
        <f>SUMIF('Как есть'!$A$73:$A$80,Доп.расчеты!$A69,'Как есть'!FJ$73:FJ$80)</f>
        <v>0</v>
      </c>
      <c r="FJ69">
        <f>SUMIF('Как есть'!$A$73:$A$80,Доп.расчеты!$A69,'Как есть'!FK$73:FK$80)</f>
        <v>0</v>
      </c>
      <c r="FK69">
        <f>SUMIF('Как есть'!$A$73:$A$80,Доп.расчеты!$A69,'Как есть'!FL$73:FL$80)</f>
        <v>0</v>
      </c>
      <c r="FL69">
        <f>SUMIF('Как есть'!$A$73:$A$80,Доп.расчеты!$A69,'Как есть'!FM$73:FM$80)</f>
        <v>0</v>
      </c>
      <c r="FM69">
        <f>SUMIF('Как есть'!$A$73:$A$80,Доп.расчеты!$A69,'Как есть'!FN$73:FN$80)</f>
        <v>0</v>
      </c>
      <c r="FN69">
        <f>SUMIF('Как есть'!$A$73:$A$80,Доп.расчеты!$A69,'Как есть'!FO$73:FO$80)</f>
        <v>0</v>
      </c>
      <c r="FO69">
        <f>SUMIF('Как есть'!$A$73:$A$80,Доп.расчеты!$A69,'Как есть'!FP$73:FP$80)</f>
        <v>0</v>
      </c>
      <c r="FP69">
        <f>SUMIF('Как есть'!$A$73:$A$80,Доп.расчеты!$A69,'Как есть'!FQ$73:FQ$80)</f>
        <v>0</v>
      </c>
      <c r="FQ69">
        <f>SUMIF('Как есть'!$A$73:$A$80,Доп.расчеты!$A69,'Как есть'!FR$73:FR$80)</f>
        <v>0</v>
      </c>
      <c r="FR69">
        <f>SUMIF('Как есть'!$A$73:$A$80,Доп.расчеты!$A69,'Как есть'!FS$73:FS$80)</f>
        <v>0</v>
      </c>
      <c r="FS69">
        <f>SUMIF('Как есть'!$A$73:$A$80,Доп.расчеты!$A69,'Как есть'!FT$73:FT$80)</f>
        <v>0</v>
      </c>
      <c r="FT69">
        <f>SUMIF('Как есть'!$A$73:$A$80,Доп.расчеты!$A69,'Как есть'!FU$73:FU$80)</f>
        <v>0</v>
      </c>
      <c r="FU69">
        <f>SUMIF('Как есть'!$A$73:$A$80,Доп.расчеты!$A69,'Как есть'!FV$73:FV$80)</f>
        <v>0</v>
      </c>
      <c r="FV69">
        <f>SUMIF('Как есть'!$A$73:$A$80,Доп.расчеты!$A69,'Как есть'!FW$73:FW$80)</f>
        <v>0</v>
      </c>
      <c r="FW69">
        <f>SUMIF('Как есть'!$A$73:$A$80,Доп.расчеты!$A69,'Как есть'!FX$73:FX$80)</f>
        <v>0</v>
      </c>
      <c r="FX69">
        <f>SUMIF('Как есть'!$A$73:$A$80,Доп.расчеты!$A69,'Как есть'!FY$73:FY$80)</f>
        <v>0</v>
      </c>
      <c r="FY69">
        <f>SUMIF('Как есть'!$A$73:$A$80,Доп.расчеты!$A69,'Как есть'!FZ$73:FZ$80)</f>
        <v>0</v>
      </c>
      <c r="FZ69">
        <f>SUMIF('Как есть'!$A$73:$A$80,Доп.расчеты!$A69,'Как есть'!GA$73:GA$80)</f>
        <v>0</v>
      </c>
      <c r="GA69">
        <f>SUMIF('Как есть'!$A$73:$A$80,Доп.расчеты!$A69,'Как есть'!GB$73:GB$80)</f>
        <v>0</v>
      </c>
      <c r="GB69">
        <f>SUMIF('Как есть'!$A$73:$A$80,Доп.расчеты!$A69,'Как есть'!GC$73:GC$80)</f>
        <v>0</v>
      </c>
      <c r="GC69">
        <f>SUMIF('Как есть'!$A$73:$A$80,Доп.расчеты!$A69,'Как есть'!GD$73:GD$80)</f>
        <v>0</v>
      </c>
      <c r="GD69">
        <f>SUMIF('Как есть'!$A$73:$A$80,Доп.расчеты!$A69,'Как есть'!GE$73:GE$80)</f>
        <v>0</v>
      </c>
      <c r="GE69">
        <f>SUMIF('Как есть'!$A$73:$A$80,Доп.расчеты!$A69,'Как есть'!GF$73:GF$80)</f>
        <v>0</v>
      </c>
      <c r="GF69">
        <f>SUMIF('Как есть'!$A$73:$A$80,Доп.расчеты!$A69,'Как есть'!GG$73:GG$80)</f>
        <v>0</v>
      </c>
      <c r="GG69">
        <f>SUMIF('Как есть'!$A$73:$A$80,Доп.расчеты!$A69,'Как есть'!GH$73:GH$80)</f>
        <v>0</v>
      </c>
      <c r="GH69">
        <f>SUMIF('Как есть'!$A$73:$A$80,Доп.расчеты!$A69,'Как есть'!GI$73:GI$80)</f>
        <v>0</v>
      </c>
      <c r="GI69">
        <f>SUMIF('Как есть'!$A$73:$A$80,Доп.расчеты!$A69,'Как есть'!GJ$73:GJ$80)</f>
        <v>0</v>
      </c>
      <c r="GJ69">
        <f>SUMIF('Как есть'!$A$73:$A$80,Доп.расчеты!$A69,'Как есть'!GK$73:GK$80)</f>
        <v>0</v>
      </c>
      <c r="GK69">
        <f>SUMIF('Как есть'!$A$73:$A$80,Доп.расчеты!$A69,'Как есть'!GL$73:GL$80)</f>
        <v>0</v>
      </c>
      <c r="GL69">
        <f>SUMIF('Как есть'!$A$73:$A$80,Доп.расчеты!$A69,'Как есть'!GM$73:GM$80)</f>
        <v>0</v>
      </c>
      <c r="GM69">
        <f>SUMIF('Как есть'!$A$73:$A$80,Доп.расчеты!$A69,'Как есть'!GN$73:GN$80)</f>
        <v>0</v>
      </c>
      <c r="GN69">
        <f>SUMIF('Как есть'!$A$73:$A$80,Доп.расчеты!$A69,'Как есть'!GO$73:GO$80)</f>
        <v>0</v>
      </c>
      <c r="GO69">
        <f>SUMIF('Как есть'!$A$73:$A$80,Доп.расчеты!$A69,'Как есть'!GP$73:GP$80)</f>
        <v>0</v>
      </c>
      <c r="GP69">
        <f>SUMIF('Как есть'!$A$73:$A$80,Доп.расчеты!$A69,'Как есть'!GQ$73:GQ$80)</f>
        <v>0</v>
      </c>
      <c r="GQ69">
        <f>SUMIF('Как есть'!$A$73:$A$80,Доп.расчеты!$A69,'Как есть'!GR$73:GR$80)</f>
        <v>0</v>
      </c>
      <c r="GR69">
        <f>SUMIF('Как есть'!$A$73:$A$80,Доп.расчеты!$A69,'Как есть'!GS$73:GS$80)</f>
        <v>0</v>
      </c>
      <c r="GS69">
        <f>SUMIF('Как есть'!$A$73:$A$80,Доп.расчеты!$A69,'Как есть'!GT$73:GT$80)</f>
        <v>0</v>
      </c>
      <c r="GT69">
        <f>SUMIF('Как есть'!$A$73:$A$80,Доп.расчеты!$A69,'Как есть'!GU$73:GU$80)</f>
        <v>0</v>
      </c>
    </row>
    <row r="70" spans="1:202">
      <c r="A70" s="237" t="s">
        <v>107</v>
      </c>
      <c r="B70">
        <f>SUMIF('Как есть'!$A$73:$A$80,Доп.расчеты!$A70,'Как есть'!C$73:C$80)</f>
        <v>0</v>
      </c>
      <c r="C70">
        <f>SUMIF('Как есть'!$A$73:$A$80,Доп.расчеты!$A70,'Как есть'!D$73:D$80)</f>
        <v>0</v>
      </c>
      <c r="D70">
        <f>SUMIF('Как есть'!$A$73:$A$80,Доп.расчеты!$A70,'Как есть'!E$73:E$80)</f>
        <v>0</v>
      </c>
      <c r="E70">
        <f>SUMIF('Как есть'!$A$73:$A$80,Доп.расчеты!$A70,'Как есть'!F$73:F$80)</f>
        <v>0</v>
      </c>
      <c r="F70">
        <f>SUMIF('Как есть'!$A$73:$A$80,Доп.расчеты!$A70,'Как есть'!G$73:G$80)</f>
        <v>0</v>
      </c>
      <c r="G70">
        <f>SUMIF('Как есть'!$A$73:$A$80,Доп.расчеты!$A70,'Как есть'!H$73:H$80)</f>
        <v>0</v>
      </c>
      <c r="H70">
        <f>SUMIF('Как есть'!$A$73:$A$80,Доп.расчеты!$A70,'Как есть'!I$73:I$80)</f>
        <v>0</v>
      </c>
      <c r="I70">
        <f>SUMIF('Как есть'!$A$73:$A$80,Доп.расчеты!$A70,'Как есть'!J$73:J$80)</f>
        <v>0</v>
      </c>
      <c r="J70">
        <f>SUMIF('Как есть'!$A$73:$A$80,Доп.расчеты!$A70,'Как есть'!K$73:K$80)</f>
        <v>0</v>
      </c>
      <c r="K70">
        <f>SUMIF('Как есть'!$A$73:$A$80,Доп.расчеты!$A70,'Как есть'!L$73:L$80)</f>
        <v>0</v>
      </c>
      <c r="L70">
        <f>SUMIF('Как есть'!$A$73:$A$80,Доп.расчеты!$A70,'Как есть'!M$73:M$80)</f>
        <v>0</v>
      </c>
      <c r="M70">
        <f>SUMIF('Как есть'!$A$73:$A$80,Доп.расчеты!$A70,'Как есть'!N$73:N$80)</f>
        <v>0</v>
      </c>
      <c r="N70">
        <f>SUMIF('Как есть'!$A$73:$A$80,Доп.расчеты!$A70,'Как есть'!O$73:O$80)</f>
        <v>0</v>
      </c>
      <c r="O70">
        <f>SUMIF('Как есть'!$A$73:$A$80,Доп.расчеты!$A70,'Как есть'!P$73:P$80)</f>
        <v>0</v>
      </c>
      <c r="P70">
        <f>SUMIF('Как есть'!$A$73:$A$80,Доп.расчеты!$A70,'Как есть'!Q$73:Q$80)</f>
        <v>0</v>
      </c>
      <c r="Q70">
        <f>SUMIF('Как есть'!$A$73:$A$80,Доп.расчеты!$A70,'Как есть'!R$73:R$80)</f>
        <v>0</v>
      </c>
      <c r="R70">
        <f>SUMIF('Как есть'!$A$73:$A$80,Доп.расчеты!$A70,'Как есть'!S$73:S$80)</f>
        <v>0</v>
      </c>
      <c r="S70">
        <f>SUMIF('Как есть'!$A$73:$A$80,Доп.расчеты!$A70,'Как есть'!T$73:T$80)</f>
        <v>0</v>
      </c>
      <c r="T70">
        <f>SUMIF('Как есть'!$A$73:$A$80,Доп.расчеты!$A70,'Как есть'!U$73:U$80)</f>
        <v>0</v>
      </c>
      <c r="U70">
        <f>SUMIF('Как есть'!$A$73:$A$80,Доп.расчеты!$A70,'Как есть'!V$73:V$80)</f>
        <v>0</v>
      </c>
      <c r="V70">
        <f>SUMIF('Как есть'!$A$73:$A$80,Доп.расчеты!$A70,'Как есть'!W$73:W$80)</f>
        <v>0</v>
      </c>
      <c r="W70">
        <f>SUMIF('Как есть'!$A$73:$A$80,Доп.расчеты!$A70,'Как есть'!X$73:X$80)</f>
        <v>0</v>
      </c>
      <c r="X70">
        <f>SUMIF('Как есть'!$A$73:$A$80,Доп.расчеты!$A70,'Как есть'!Y$73:Y$80)</f>
        <v>0</v>
      </c>
      <c r="Y70">
        <f>SUMIF('Как есть'!$A$73:$A$80,Доп.расчеты!$A70,'Как есть'!Z$73:Z$80)</f>
        <v>0</v>
      </c>
      <c r="Z70">
        <f>SUMIF('Как есть'!$A$73:$A$80,Доп.расчеты!$A70,'Как есть'!AA$73:AA$80)</f>
        <v>0</v>
      </c>
      <c r="AA70">
        <f>SUMIF('Как есть'!$A$73:$A$80,Доп.расчеты!$A70,'Как есть'!AB$73:AB$80)</f>
        <v>0</v>
      </c>
      <c r="AB70">
        <f>SUMIF('Как есть'!$A$73:$A$80,Доп.расчеты!$A70,'Как есть'!AC$73:AC$80)</f>
        <v>0</v>
      </c>
      <c r="AC70">
        <f>SUMIF('Как есть'!$A$73:$A$80,Доп.расчеты!$A70,'Как есть'!AD$73:AD$80)</f>
        <v>0</v>
      </c>
      <c r="AD70">
        <f>SUMIF('Как есть'!$A$73:$A$80,Доп.расчеты!$A70,'Как есть'!AE$73:AE$80)</f>
        <v>0</v>
      </c>
      <c r="AE70">
        <f>SUMIF('Как есть'!$A$73:$A$80,Доп.расчеты!$A70,'Как есть'!AF$73:AF$80)</f>
        <v>0</v>
      </c>
      <c r="AF70">
        <f>SUMIF('Как есть'!$A$73:$A$80,Доп.расчеты!$A70,'Как есть'!AG$73:AG$80)</f>
        <v>0</v>
      </c>
      <c r="AG70">
        <f>SUMIF('Как есть'!$A$73:$A$80,Доп.расчеты!$A70,'Как есть'!AH$73:AH$80)</f>
        <v>0</v>
      </c>
      <c r="AH70">
        <f>SUMIF('Как есть'!$A$73:$A$80,Доп.расчеты!$A70,'Как есть'!AI$73:AI$80)</f>
        <v>0</v>
      </c>
      <c r="AI70">
        <f>SUMIF('Как есть'!$A$73:$A$80,Доп.расчеты!$A70,'Как есть'!AJ$73:AJ$80)</f>
        <v>0</v>
      </c>
      <c r="AJ70">
        <f>SUMIF('Как есть'!$A$73:$A$80,Доп.расчеты!$A70,'Как есть'!AK$73:AK$80)</f>
        <v>0</v>
      </c>
      <c r="AK70">
        <f>SUMIF('Как есть'!$A$73:$A$80,Доп.расчеты!$A70,'Как есть'!AL$73:AL$80)</f>
        <v>0</v>
      </c>
      <c r="AL70">
        <f>SUMIF('Как есть'!$A$73:$A$80,Доп.расчеты!$A70,'Как есть'!AM$73:AM$80)</f>
        <v>0</v>
      </c>
      <c r="AM70">
        <f>SUMIF('Как есть'!$A$73:$A$80,Доп.расчеты!$A70,'Как есть'!AN$73:AN$80)</f>
        <v>0</v>
      </c>
      <c r="AN70">
        <f>SUMIF('Как есть'!$A$73:$A$80,Доп.расчеты!$A70,'Как есть'!AO$73:AO$80)</f>
        <v>0</v>
      </c>
      <c r="AO70">
        <f>SUMIF('Как есть'!$A$73:$A$80,Доп.расчеты!$A70,'Как есть'!AP$73:AP$80)</f>
        <v>0</v>
      </c>
      <c r="AP70">
        <f>SUMIF('Как есть'!$A$73:$A$80,Доп.расчеты!$A70,'Как есть'!AQ$73:AQ$80)</f>
        <v>0</v>
      </c>
      <c r="AQ70">
        <f>SUMIF('Как есть'!$A$73:$A$80,Доп.расчеты!$A70,'Как есть'!AR$73:AR$80)</f>
        <v>0</v>
      </c>
      <c r="AR70">
        <f>SUMIF('Как есть'!$A$73:$A$80,Доп.расчеты!$A70,'Как есть'!AS$73:AS$80)</f>
        <v>0</v>
      </c>
      <c r="AS70">
        <f>SUMIF('Как есть'!$A$73:$A$80,Доп.расчеты!$A70,'Как есть'!AT$73:AT$80)</f>
        <v>0</v>
      </c>
      <c r="AT70">
        <f>SUMIF('Как есть'!$A$73:$A$80,Доп.расчеты!$A70,'Как есть'!AU$73:AU$80)</f>
        <v>0</v>
      </c>
      <c r="AU70">
        <f>SUMIF('Как есть'!$A$73:$A$80,Доп.расчеты!$A70,'Как есть'!AV$73:AV$80)</f>
        <v>0</v>
      </c>
      <c r="AV70">
        <f>SUMIF('Как есть'!$A$73:$A$80,Доп.расчеты!$A70,'Как есть'!AW$73:AW$80)</f>
        <v>0</v>
      </c>
      <c r="AW70">
        <f>SUMIF('Как есть'!$A$73:$A$80,Доп.расчеты!$A70,'Как есть'!AX$73:AX$80)</f>
        <v>0</v>
      </c>
      <c r="AX70">
        <f>SUMIF('Как есть'!$A$73:$A$80,Доп.расчеты!$A70,'Как есть'!AY$73:AY$80)</f>
        <v>0</v>
      </c>
      <c r="AY70">
        <f>SUMIF('Как есть'!$A$73:$A$80,Доп.расчеты!$A70,'Как есть'!AZ$73:AZ$80)</f>
        <v>0</v>
      </c>
      <c r="AZ70">
        <f>SUMIF('Как есть'!$A$73:$A$80,Доп.расчеты!$A70,'Как есть'!BA$73:BA$80)</f>
        <v>0</v>
      </c>
      <c r="BA70">
        <f>SUMIF('Как есть'!$A$73:$A$80,Доп.расчеты!$A70,'Как есть'!BB$73:BB$80)</f>
        <v>0</v>
      </c>
      <c r="BB70">
        <f>SUMIF('Как есть'!$A$73:$A$80,Доп.расчеты!$A70,'Как есть'!BC$73:BC$80)</f>
        <v>0</v>
      </c>
      <c r="BC70">
        <f>SUMIF('Как есть'!$A$73:$A$80,Доп.расчеты!$A70,'Как есть'!BD$73:BD$80)</f>
        <v>0</v>
      </c>
      <c r="BD70">
        <f>SUMIF('Как есть'!$A$73:$A$80,Доп.расчеты!$A70,'Как есть'!BE$73:BE$80)</f>
        <v>0</v>
      </c>
      <c r="BE70">
        <f>SUMIF('Как есть'!$A$73:$A$80,Доп.расчеты!$A70,'Как есть'!BF$73:BF$80)</f>
        <v>0</v>
      </c>
      <c r="BF70">
        <f>SUMIF('Как есть'!$A$73:$A$80,Доп.расчеты!$A70,'Как есть'!BG$73:BG$80)</f>
        <v>0</v>
      </c>
      <c r="BG70">
        <f>SUMIF('Как есть'!$A$73:$A$80,Доп.расчеты!$A70,'Как есть'!BH$73:BH$80)</f>
        <v>0</v>
      </c>
      <c r="BH70">
        <f>SUMIF('Как есть'!$A$73:$A$80,Доп.расчеты!$A70,'Как есть'!BI$73:BI$80)</f>
        <v>0</v>
      </c>
      <c r="BI70">
        <f>SUMIF('Как есть'!$A$73:$A$80,Доп.расчеты!$A70,'Как есть'!BJ$73:BJ$80)</f>
        <v>0</v>
      </c>
      <c r="BJ70">
        <f>SUMIF('Как есть'!$A$73:$A$80,Доп.расчеты!$A70,'Как есть'!BK$73:BK$80)</f>
        <v>0</v>
      </c>
      <c r="BK70">
        <f>SUMIF('Как есть'!$A$73:$A$80,Доп.расчеты!$A70,'Как есть'!BL$73:BL$80)</f>
        <v>0</v>
      </c>
      <c r="BL70">
        <f>SUMIF('Как есть'!$A$73:$A$80,Доп.расчеты!$A70,'Как есть'!BM$73:BM$80)</f>
        <v>0</v>
      </c>
      <c r="BM70">
        <f>SUMIF('Как есть'!$A$73:$A$80,Доп.расчеты!$A70,'Как есть'!BN$73:BN$80)</f>
        <v>0</v>
      </c>
      <c r="BN70">
        <f>SUMIF('Как есть'!$A$73:$A$80,Доп.расчеты!$A70,'Как есть'!BO$73:BO$80)</f>
        <v>0</v>
      </c>
      <c r="BO70">
        <f>SUMIF('Как есть'!$A$73:$A$80,Доп.расчеты!$A70,'Как есть'!BP$73:BP$80)</f>
        <v>0</v>
      </c>
      <c r="BP70">
        <f>SUMIF('Как есть'!$A$73:$A$80,Доп.расчеты!$A70,'Как есть'!BQ$73:BQ$80)</f>
        <v>0</v>
      </c>
      <c r="BQ70">
        <f>SUMIF('Как есть'!$A$73:$A$80,Доп.расчеты!$A70,'Как есть'!BR$73:BR$80)</f>
        <v>0</v>
      </c>
      <c r="BR70">
        <f>SUMIF('Как есть'!$A$73:$A$80,Доп.расчеты!$A70,'Как есть'!BS$73:BS$80)</f>
        <v>0</v>
      </c>
      <c r="BS70">
        <f>SUMIF('Как есть'!$A$73:$A$80,Доп.расчеты!$A70,'Как есть'!BT$73:BT$80)</f>
        <v>0</v>
      </c>
      <c r="BT70">
        <f>SUMIF('Как есть'!$A$73:$A$80,Доп.расчеты!$A70,'Как есть'!BU$73:BU$80)</f>
        <v>0</v>
      </c>
      <c r="BU70">
        <f>SUMIF('Как есть'!$A$73:$A$80,Доп.расчеты!$A70,'Как есть'!BV$73:BV$80)</f>
        <v>0</v>
      </c>
      <c r="BV70">
        <f>SUMIF('Как есть'!$A$73:$A$80,Доп.расчеты!$A70,'Как есть'!BW$73:BW$80)</f>
        <v>0</v>
      </c>
      <c r="BW70">
        <f>SUMIF('Как есть'!$A$73:$A$80,Доп.расчеты!$A70,'Как есть'!BX$73:BX$80)</f>
        <v>0</v>
      </c>
      <c r="BX70">
        <f>SUMIF('Как есть'!$A$73:$A$80,Доп.расчеты!$A70,'Как есть'!BY$73:BY$80)</f>
        <v>0</v>
      </c>
      <c r="BY70">
        <f>SUMIF('Как есть'!$A$73:$A$80,Доп.расчеты!$A70,'Как есть'!BZ$73:BZ$80)</f>
        <v>0</v>
      </c>
      <c r="BZ70">
        <f>SUMIF('Как есть'!$A$73:$A$80,Доп.расчеты!$A70,'Как есть'!CA$73:CA$80)</f>
        <v>0</v>
      </c>
      <c r="CA70">
        <f>SUMIF('Как есть'!$A$73:$A$80,Доп.расчеты!$A70,'Как есть'!CB$73:CB$80)</f>
        <v>0</v>
      </c>
      <c r="CB70">
        <f>SUMIF('Как есть'!$A$73:$A$80,Доп.расчеты!$A70,'Как есть'!CC$73:CC$80)</f>
        <v>0</v>
      </c>
      <c r="CC70">
        <f>SUMIF('Как есть'!$A$73:$A$80,Доп.расчеты!$A70,'Как есть'!CD$73:CD$80)</f>
        <v>0</v>
      </c>
      <c r="CD70">
        <f>SUMIF('Как есть'!$A$73:$A$80,Доп.расчеты!$A70,'Как есть'!CE$73:CE$80)</f>
        <v>0</v>
      </c>
      <c r="CE70">
        <f>SUMIF('Как есть'!$A$73:$A$80,Доп.расчеты!$A70,'Как есть'!CF$73:CF$80)</f>
        <v>0</v>
      </c>
      <c r="CF70">
        <f>SUMIF('Как есть'!$A$73:$A$80,Доп.расчеты!$A70,'Как есть'!CG$73:CG$80)</f>
        <v>0</v>
      </c>
      <c r="CG70">
        <f>SUMIF('Как есть'!$A$73:$A$80,Доп.расчеты!$A70,'Как есть'!CH$73:CH$80)</f>
        <v>0</v>
      </c>
      <c r="CH70">
        <f>SUMIF('Как есть'!$A$73:$A$80,Доп.расчеты!$A70,'Как есть'!CI$73:CI$80)</f>
        <v>0</v>
      </c>
      <c r="CI70">
        <f>SUMIF('Как есть'!$A$73:$A$80,Доп.расчеты!$A70,'Как есть'!CJ$73:CJ$80)</f>
        <v>0</v>
      </c>
      <c r="CJ70">
        <f>SUMIF('Как есть'!$A$73:$A$80,Доп.расчеты!$A70,'Как есть'!CK$73:CK$80)</f>
        <v>0</v>
      </c>
      <c r="CK70">
        <f>SUMIF('Как есть'!$A$73:$A$80,Доп.расчеты!$A70,'Как есть'!CL$73:CL$80)</f>
        <v>0</v>
      </c>
      <c r="CL70">
        <f>SUMIF('Как есть'!$A$73:$A$80,Доп.расчеты!$A70,'Как есть'!CM$73:CM$80)</f>
        <v>0</v>
      </c>
      <c r="CM70">
        <f>SUMIF('Как есть'!$A$73:$A$80,Доп.расчеты!$A70,'Как есть'!CN$73:CN$80)</f>
        <v>0</v>
      </c>
      <c r="CN70">
        <f>SUMIF('Как есть'!$A$73:$A$80,Доп.расчеты!$A70,'Как есть'!CO$73:CO$80)</f>
        <v>0</v>
      </c>
      <c r="CO70">
        <f>SUMIF('Как есть'!$A$73:$A$80,Доп.расчеты!$A70,'Как есть'!CP$73:CP$80)</f>
        <v>0</v>
      </c>
      <c r="CP70">
        <f>SUMIF('Как есть'!$A$73:$A$80,Доп.расчеты!$A70,'Как есть'!CQ$73:CQ$80)</f>
        <v>0</v>
      </c>
      <c r="CQ70">
        <f>SUMIF('Как есть'!$A$73:$A$80,Доп.расчеты!$A70,'Как есть'!CR$73:CR$80)</f>
        <v>0</v>
      </c>
      <c r="CR70">
        <f>SUMIF('Как есть'!$A$73:$A$80,Доп.расчеты!$A70,'Как есть'!CS$73:CS$80)</f>
        <v>0</v>
      </c>
      <c r="CS70">
        <f>SUMIF('Как есть'!$A$73:$A$80,Доп.расчеты!$A70,'Как есть'!CT$73:CT$80)</f>
        <v>0</v>
      </c>
      <c r="CT70">
        <f>SUMIF('Как есть'!$A$73:$A$80,Доп.расчеты!$A70,'Как есть'!CU$73:CU$80)</f>
        <v>0</v>
      </c>
      <c r="CU70">
        <f>SUMIF('Как есть'!$A$73:$A$80,Доп.расчеты!$A70,'Как есть'!CV$73:CV$80)</f>
        <v>0</v>
      </c>
      <c r="CV70">
        <f>SUMIF('Как есть'!$A$73:$A$80,Доп.расчеты!$A70,'Как есть'!CW$73:CW$80)</f>
        <v>0</v>
      </c>
      <c r="CW70">
        <f>SUMIF('Как есть'!$A$73:$A$80,Доп.расчеты!$A70,'Как есть'!CX$73:CX$80)</f>
        <v>0</v>
      </c>
      <c r="CX70">
        <f>SUMIF('Как есть'!$A$73:$A$80,Доп.расчеты!$A70,'Как есть'!CY$73:CY$80)</f>
        <v>0</v>
      </c>
      <c r="CY70">
        <f>SUMIF('Как есть'!$A$73:$A$80,Доп.расчеты!$A70,'Как есть'!CZ$73:CZ$80)</f>
        <v>0</v>
      </c>
      <c r="CZ70">
        <f>SUMIF('Как есть'!$A$73:$A$80,Доп.расчеты!$A70,'Как есть'!DA$73:DA$80)</f>
        <v>0</v>
      </c>
      <c r="DA70">
        <f>SUMIF('Как есть'!$A$73:$A$80,Доп.расчеты!$A70,'Как есть'!DB$73:DB$80)</f>
        <v>0</v>
      </c>
      <c r="DB70">
        <f>SUMIF('Как есть'!$A$73:$A$80,Доп.расчеты!$A70,'Как есть'!DC$73:DC$80)</f>
        <v>0</v>
      </c>
      <c r="DC70">
        <f>SUMIF('Как есть'!$A$73:$A$80,Доп.расчеты!$A70,'Как есть'!DD$73:DD$80)</f>
        <v>0</v>
      </c>
      <c r="DD70">
        <f>SUMIF('Как есть'!$A$73:$A$80,Доп.расчеты!$A70,'Как есть'!DE$73:DE$80)</f>
        <v>0</v>
      </c>
      <c r="DE70">
        <f>SUMIF('Как есть'!$A$73:$A$80,Доп.расчеты!$A70,'Как есть'!DF$73:DF$80)</f>
        <v>0</v>
      </c>
      <c r="DF70">
        <f>SUMIF('Как есть'!$A$73:$A$80,Доп.расчеты!$A70,'Как есть'!DG$73:DG$80)</f>
        <v>0</v>
      </c>
      <c r="DG70">
        <f>SUMIF('Как есть'!$A$73:$A$80,Доп.расчеты!$A70,'Как есть'!DH$73:DH$80)</f>
        <v>0</v>
      </c>
      <c r="DH70">
        <f>SUMIF('Как есть'!$A$73:$A$80,Доп.расчеты!$A70,'Как есть'!DI$73:DI$80)</f>
        <v>0</v>
      </c>
      <c r="DI70">
        <f>SUMIF('Как есть'!$A$73:$A$80,Доп.расчеты!$A70,'Как есть'!DJ$73:DJ$80)</f>
        <v>0</v>
      </c>
      <c r="DJ70">
        <f>SUMIF('Как есть'!$A$73:$A$80,Доп.расчеты!$A70,'Как есть'!DK$73:DK$80)</f>
        <v>0</v>
      </c>
      <c r="DK70">
        <f>SUMIF('Как есть'!$A$73:$A$80,Доп.расчеты!$A70,'Как есть'!DL$73:DL$80)</f>
        <v>0</v>
      </c>
      <c r="DL70">
        <f>SUMIF('Как есть'!$A$73:$A$80,Доп.расчеты!$A70,'Как есть'!DM$73:DM$80)</f>
        <v>0</v>
      </c>
      <c r="DM70">
        <f>SUMIF('Как есть'!$A$73:$A$80,Доп.расчеты!$A70,'Как есть'!DN$73:DN$80)</f>
        <v>0</v>
      </c>
      <c r="DN70">
        <f>SUMIF('Как есть'!$A$73:$A$80,Доп.расчеты!$A70,'Как есть'!DO$73:DO$80)</f>
        <v>0</v>
      </c>
      <c r="DO70">
        <f>SUMIF('Как есть'!$A$73:$A$80,Доп.расчеты!$A70,'Как есть'!DP$73:DP$80)</f>
        <v>0</v>
      </c>
      <c r="DP70">
        <f>SUMIF('Как есть'!$A$73:$A$80,Доп.расчеты!$A70,'Как есть'!DQ$73:DQ$80)</f>
        <v>0</v>
      </c>
      <c r="DQ70">
        <f>SUMIF('Как есть'!$A$73:$A$80,Доп.расчеты!$A70,'Как есть'!DR$73:DR$80)</f>
        <v>0</v>
      </c>
      <c r="DR70">
        <f>SUMIF('Как есть'!$A$73:$A$80,Доп.расчеты!$A70,'Как есть'!DS$73:DS$80)</f>
        <v>0</v>
      </c>
      <c r="DS70">
        <f>SUMIF('Как есть'!$A$73:$A$80,Доп.расчеты!$A70,'Как есть'!DT$73:DT$80)</f>
        <v>0</v>
      </c>
      <c r="DT70">
        <f>SUMIF('Как есть'!$A$73:$A$80,Доп.расчеты!$A70,'Как есть'!DU$73:DU$80)</f>
        <v>0</v>
      </c>
      <c r="DU70">
        <f>SUMIF('Как есть'!$A$73:$A$80,Доп.расчеты!$A70,'Как есть'!DV$73:DV$80)</f>
        <v>0</v>
      </c>
      <c r="DV70">
        <f>SUMIF('Как есть'!$A$73:$A$80,Доп.расчеты!$A70,'Как есть'!DW$73:DW$80)</f>
        <v>0</v>
      </c>
      <c r="DW70">
        <f>SUMIF('Как есть'!$A$73:$A$80,Доп.расчеты!$A70,'Как есть'!DX$73:DX$80)</f>
        <v>0</v>
      </c>
      <c r="DX70">
        <f>SUMIF('Как есть'!$A$73:$A$80,Доп.расчеты!$A70,'Как есть'!DY$73:DY$80)</f>
        <v>0</v>
      </c>
      <c r="DY70">
        <f>SUMIF('Как есть'!$A$73:$A$80,Доп.расчеты!$A70,'Как есть'!DZ$73:DZ$80)</f>
        <v>0</v>
      </c>
      <c r="DZ70">
        <f>SUMIF('Как есть'!$A$73:$A$80,Доп.расчеты!$A70,'Как есть'!EA$73:EA$80)</f>
        <v>0</v>
      </c>
      <c r="EA70">
        <f>SUMIF('Как есть'!$A$73:$A$80,Доп.расчеты!$A70,'Как есть'!EB$73:EB$80)</f>
        <v>0</v>
      </c>
      <c r="EB70">
        <f>SUMIF('Как есть'!$A$73:$A$80,Доп.расчеты!$A70,'Как есть'!EC$73:EC$80)</f>
        <v>0</v>
      </c>
      <c r="EC70">
        <f>SUMIF('Как есть'!$A$73:$A$80,Доп.расчеты!$A70,'Как есть'!ED$73:ED$80)</f>
        <v>0</v>
      </c>
      <c r="ED70">
        <f>SUMIF('Как есть'!$A$73:$A$80,Доп.расчеты!$A70,'Как есть'!EE$73:EE$80)</f>
        <v>0</v>
      </c>
      <c r="EE70">
        <f>SUMIF('Как есть'!$A$73:$A$80,Доп.расчеты!$A70,'Как есть'!EF$73:EF$80)</f>
        <v>0</v>
      </c>
      <c r="EF70">
        <f>SUMIF('Как есть'!$A$73:$A$80,Доп.расчеты!$A70,'Как есть'!EG$73:EG$80)</f>
        <v>0</v>
      </c>
      <c r="EG70">
        <f>SUMIF('Как есть'!$A$73:$A$80,Доп.расчеты!$A70,'Как есть'!EH$73:EH$80)</f>
        <v>0</v>
      </c>
      <c r="EH70">
        <f>SUMIF('Как есть'!$A$73:$A$80,Доп.расчеты!$A70,'Как есть'!EI$73:EI$80)</f>
        <v>0</v>
      </c>
      <c r="EI70">
        <f>SUMIF('Как есть'!$A$73:$A$80,Доп.расчеты!$A70,'Как есть'!EJ$73:EJ$80)</f>
        <v>0</v>
      </c>
      <c r="EJ70">
        <f>SUMIF('Как есть'!$A$73:$A$80,Доп.расчеты!$A70,'Как есть'!EK$73:EK$80)</f>
        <v>0</v>
      </c>
      <c r="EK70">
        <f>SUMIF('Как есть'!$A$73:$A$80,Доп.расчеты!$A70,'Как есть'!EL$73:EL$80)</f>
        <v>0</v>
      </c>
      <c r="EL70">
        <f>SUMIF('Как есть'!$A$73:$A$80,Доп.расчеты!$A70,'Как есть'!EM$73:EM$80)</f>
        <v>0</v>
      </c>
      <c r="EM70">
        <f>SUMIF('Как есть'!$A$73:$A$80,Доп.расчеты!$A70,'Как есть'!EN$73:EN$80)</f>
        <v>0</v>
      </c>
      <c r="EN70">
        <f>SUMIF('Как есть'!$A$73:$A$80,Доп.расчеты!$A70,'Как есть'!EO$73:EO$80)</f>
        <v>0</v>
      </c>
      <c r="EO70">
        <f>SUMIF('Как есть'!$A$73:$A$80,Доп.расчеты!$A70,'Как есть'!EP$73:EP$80)</f>
        <v>0</v>
      </c>
      <c r="EP70">
        <f>SUMIF('Как есть'!$A$73:$A$80,Доп.расчеты!$A70,'Как есть'!EQ$73:EQ$80)</f>
        <v>0</v>
      </c>
      <c r="EQ70">
        <f>SUMIF('Как есть'!$A$73:$A$80,Доп.расчеты!$A70,'Как есть'!ER$73:ER$80)</f>
        <v>0</v>
      </c>
      <c r="ER70">
        <f>SUMIF('Как есть'!$A$73:$A$80,Доп.расчеты!$A70,'Как есть'!ES$73:ES$80)</f>
        <v>0</v>
      </c>
      <c r="ES70">
        <f>SUMIF('Как есть'!$A$73:$A$80,Доп.расчеты!$A70,'Как есть'!ET$73:ET$80)</f>
        <v>0</v>
      </c>
      <c r="ET70">
        <f>SUMIF('Как есть'!$A$73:$A$80,Доп.расчеты!$A70,'Как есть'!EU$73:EU$80)</f>
        <v>0</v>
      </c>
      <c r="EU70">
        <f>SUMIF('Как есть'!$A$73:$A$80,Доп.расчеты!$A70,'Как есть'!EV$73:EV$80)</f>
        <v>0</v>
      </c>
      <c r="EV70">
        <f>SUMIF('Как есть'!$A$73:$A$80,Доп.расчеты!$A70,'Как есть'!EW$73:EW$80)</f>
        <v>0</v>
      </c>
      <c r="EW70">
        <f>SUMIF('Как есть'!$A$73:$A$80,Доп.расчеты!$A70,'Как есть'!EX$73:EX$80)</f>
        <v>0</v>
      </c>
      <c r="EX70">
        <f>SUMIF('Как есть'!$A$73:$A$80,Доп.расчеты!$A70,'Как есть'!EY$73:EY$80)</f>
        <v>0</v>
      </c>
      <c r="EY70">
        <f>SUMIF('Как есть'!$A$73:$A$80,Доп.расчеты!$A70,'Как есть'!EZ$73:EZ$80)</f>
        <v>0</v>
      </c>
      <c r="EZ70">
        <f>SUMIF('Как есть'!$A$73:$A$80,Доп.расчеты!$A70,'Как есть'!FA$73:FA$80)</f>
        <v>0</v>
      </c>
      <c r="FA70">
        <f>SUMIF('Как есть'!$A$73:$A$80,Доп.расчеты!$A70,'Как есть'!FB$73:FB$80)</f>
        <v>0</v>
      </c>
      <c r="FB70">
        <f>SUMIF('Как есть'!$A$73:$A$80,Доп.расчеты!$A70,'Как есть'!FC$73:FC$80)</f>
        <v>0</v>
      </c>
      <c r="FC70">
        <f>SUMIF('Как есть'!$A$73:$A$80,Доп.расчеты!$A70,'Как есть'!FD$73:FD$80)</f>
        <v>0</v>
      </c>
      <c r="FD70">
        <f>SUMIF('Как есть'!$A$73:$A$80,Доп.расчеты!$A70,'Как есть'!FE$73:FE$80)</f>
        <v>0</v>
      </c>
      <c r="FE70">
        <f>SUMIF('Как есть'!$A$73:$A$80,Доп.расчеты!$A70,'Как есть'!FF$73:FF$80)</f>
        <v>0</v>
      </c>
      <c r="FF70">
        <f>SUMIF('Как есть'!$A$73:$A$80,Доп.расчеты!$A70,'Как есть'!FG$73:FG$80)</f>
        <v>0</v>
      </c>
      <c r="FG70">
        <f>SUMIF('Как есть'!$A$73:$A$80,Доп.расчеты!$A70,'Как есть'!FH$73:FH$80)</f>
        <v>0</v>
      </c>
      <c r="FH70">
        <f>SUMIF('Как есть'!$A$73:$A$80,Доп.расчеты!$A70,'Как есть'!FI$73:FI$80)</f>
        <v>0</v>
      </c>
      <c r="FI70">
        <f>SUMIF('Как есть'!$A$73:$A$80,Доп.расчеты!$A70,'Как есть'!FJ$73:FJ$80)</f>
        <v>0</v>
      </c>
      <c r="FJ70">
        <f>SUMIF('Как есть'!$A$73:$A$80,Доп.расчеты!$A70,'Как есть'!FK$73:FK$80)</f>
        <v>0</v>
      </c>
      <c r="FK70">
        <f>SUMIF('Как есть'!$A$73:$A$80,Доп.расчеты!$A70,'Как есть'!FL$73:FL$80)</f>
        <v>0</v>
      </c>
      <c r="FL70">
        <f>SUMIF('Как есть'!$A$73:$A$80,Доп.расчеты!$A70,'Как есть'!FM$73:FM$80)</f>
        <v>0</v>
      </c>
      <c r="FM70">
        <f>SUMIF('Как есть'!$A$73:$A$80,Доп.расчеты!$A70,'Как есть'!FN$73:FN$80)</f>
        <v>0</v>
      </c>
      <c r="FN70">
        <f>SUMIF('Как есть'!$A$73:$A$80,Доп.расчеты!$A70,'Как есть'!FO$73:FO$80)</f>
        <v>0</v>
      </c>
      <c r="FO70">
        <f>SUMIF('Как есть'!$A$73:$A$80,Доп.расчеты!$A70,'Как есть'!FP$73:FP$80)</f>
        <v>0</v>
      </c>
      <c r="FP70">
        <f>SUMIF('Как есть'!$A$73:$A$80,Доп.расчеты!$A70,'Как есть'!FQ$73:FQ$80)</f>
        <v>0</v>
      </c>
      <c r="FQ70">
        <f>SUMIF('Как есть'!$A$73:$A$80,Доп.расчеты!$A70,'Как есть'!FR$73:FR$80)</f>
        <v>0</v>
      </c>
      <c r="FR70">
        <f>SUMIF('Как есть'!$A$73:$A$80,Доп.расчеты!$A70,'Как есть'!FS$73:FS$80)</f>
        <v>0</v>
      </c>
      <c r="FS70">
        <f>SUMIF('Как есть'!$A$73:$A$80,Доп.расчеты!$A70,'Как есть'!FT$73:FT$80)</f>
        <v>0</v>
      </c>
      <c r="FT70">
        <f>SUMIF('Как есть'!$A$73:$A$80,Доп.расчеты!$A70,'Как есть'!FU$73:FU$80)</f>
        <v>0</v>
      </c>
      <c r="FU70">
        <f>SUMIF('Как есть'!$A$73:$A$80,Доп.расчеты!$A70,'Как есть'!FV$73:FV$80)</f>
        <v>0</v>
      </c>
      <c r="FV70">
        <f>SUMIF('Как есть'!$A$73:$A$80,Доп.расчеты!$A70,'Как есть'!FW$73:FW$80)</f>
        <v>0</v>
      </c>
      <c r="FW70">
        <f>SUMIF('Как есть'!$A$73:$A$80,Доп.расчеты!$A70,'Как есть'!FX$73:FX$80)</f>
        <v>0</v>
      </c>
      <c r="FX70">
        <f>SUMIF('Как есть'!$A$73:$A$80,Доп.расчеты!$A70,'Как есть'!FY$73:FY$80)</f>
        <v>0</v>
      </c>
      <c r="FY70">
        <f>SUMIF('Как есть'!$A$73:$A$80,Доп.расчеты!$A70,'Как есть'!FZ$73:FZ$80)</f>
        <v>0</v>
      </c>
      <c r="FZ70">
        <f>SUMIF('Как есть'!$A$73:$A$80,Доп.расчеты!$A70,'Как есть'!GA$73:GA$80)</f>
        <v>0</v>
      </c>
      <c r="GA70">
        <f>SUMIF('Как есть'!$A$73:$A$80,Доп.расчеты!$A70,'Как есть'!GB$73:GB$80)</f>
        <v>0</v>
      </c>
      <c r="GB70">
        <f>SUMIF('Как есть'!$A$73:$A$80,Доп.расчеты!$A70,'Как есть'!GC$73:GC$80)</f>
        <v>0</v>
      </c>
      <c r="GC70">
        <f>SUMIF('Как есть'!$A$73:$A$80,Доп.расчеты!$A70,'Как есть'!GD$73:GD$80)</f>
        <v>0</v>
      </c>
      <c r="GD70">
        <f>SUMIF('Как есть'!$A$73:$A$80,Доп.расчеты!$A70,'Как есть'!GE$73:GE$80)</f>
        <v>0</v>
      </c>
      <c r="GE70">
        <f>SUMIF('Как есть'!$A$73:$A$80,Доп.расчеты!$A70,'Как есть'!GF$73:GF$80)</f>
        <v>0</v>
      </c>
      <c r="GF70">
        <f>SUMIF('Как есть'!$A$73:$A$80,Доп.расчеты!$A70,'Как есть'!GG$73:GG$80)</f>
        <v>0</v>
      </c>
      <c r="GG70">
        <f>SUMIF('Как есть'!$A$73:$A$80,Доп.расчеты!$A70,'Как есть'!GH$73:GH$80)</f>
        <v>0</v>
      </c>
      <c r="GH70">
        <f>SUMIF('Как есть'!$A$73:$A$80,Доп.расчеты!$A70,'Как есть'!GI$73:GI$80)</f>
        <v>0</v>
      </c>
      <c r="GI70">
        <f>SUMIF('Как есть'!$A$73:$A$80,Доп.расчеты!$A70,'Как есть'!GJ$73:GJ$80)</f>
        <v>0</v>
      </c>
      <c r="GJ70">
        <f>SUMIF('Как есть'!$A$73:$A$80,Доп.расчеты!$A70,'Как есть'!GK$73:GK$80)</f>
        <v>0</v>
      </c>
      <c r="GK70">
        <f>SUMIF('Как есть'!$A$73:$A$80,Доп.расчеты!$A70,'Как есть'!GL$73:GL$80)</f>
        <v>0</v>
      </c>
      <c r="GL70">
        <f>SUMIF('Как есть'!$A$73:$A$80,Доп.расчеты!$A70,'Как есть'!GM$73:GM$80)</f>
        <v>0</v>
      </c>
      <c r="GM70">
        <f>SUMIF('Как есть'!$A$73:$A$80,Доп.расчеты!$A70,'Как есть'!GN$73:GN$80)</f>
        <v>0</v>
      </c>
      <c r="GN70">
        <f>SUMIF('Как есть'!$A$73:$A$80,Доп.расчеты!$A70,'Как есть'!GO$73:GO$80)</f>
        <v>0</v>
      </c>
      <c r="GO70">
        <f>SUMIF('Как есть'!$A$73:$A$80,Доп.расчеты!$A70,'Как есть'!GP$73:GP$80)</f>
        <v>0</v>
      </c>
      <c r="GP70">
        <f>SUMIF('Как есть'!$A$73:$A$80,Доп.расчеты!$A70,'Как есть'!GQ$73:GQ$80)</f>
        <v>0</v>
      </c>
      <c r="GQ70">
        <f>SUMIF('Как есть'!$A$73:$A$80,Доп.расчеты!$A70,'Как есть'!GR$73:GR$80)</f>
        <v>0</v>
      </c>
      <c r="GR70">
        <f>SUMIF('Как есть'!$A$73:$A$80,Доп.расчеты!$A70,'Как есть'!GS$73:GS$80)</f>
        <v>0</v>
      </c>
      <c r="GS70">
        <f>SUMIF('Как есть'!$A$73:$A$80,Доп.расчеты!$A70,'Как есть'!GT$73:GT$80)</f>
        <v>0</v>
      </c>
      <c r="GT70">
        <f>SUMIF('Как есть'!$A$73:$A$80,Доп.расчеты!$A70,'Как есть'!GU$73:GU$80)</f>
        <v>0</v>
      </c>
    </row>
    <row r="71" spans="1:202">
      <c r="A71" s="237" t="s">
        <v>108</v>
      </c>
      <c r="B71">
        <f>SUMIF('Как есть'!$A$73:$A$80,Доп.расчеты!$A71,'Как есть'!C$73:C$80)</f>
        <v>0</v>
      </c>
      <c r="C71">
        <f>SUMIF('Как есть'!$A$73:$A$80,Доп.расчеты!$A71,'Как есть'!D$73:D$80)</f>
        <v>0</v>
      </c>
      <c r="D71">
        <f>SUMIF('Как есть'!$A$73:$A$80,Доп.расчеты!$A71,'Как есть'!E$73:E$80)</f>
        <v>0</v>
      </c>
      <c r="E71">
        <f>SUMIF('Как есть'!$A$73:$A$80,Доп.расчеты!$A71,'Как есть'!F$73:F$80)</f>
        <v>0</v>
      </c>
      <c r="F71">
        <f>SUMIF('Как есть'!$A$73:$A$80,Доп.расчеты!$A71,'Как есть'!G$73:G$80)</f>
        <v>0</v>
      </c>
      <c r="G71">
        <f>SUMIF('Как есть'!$A$73:$A$80,Доп.расчеты!$A71,'Как есть'!H$73:H$80)</f>
        <v>0</v>
      </c>
      <c r="H71">
        <f>SUMIF('Как есть'!$A$73:$A$80,Доп.расчеты!$A71,'Как есть'!I$73:I$80)</f>
        <v>0</v>
      </c>
      <c r="I71">
        <f>SUMIF('Как есть'!$A$73:$A$80,Доп.расчеты!$A71,'Как есть'!J$73:J$80)</f>
        <v>0</v>
      </c>
      <c r="J71">
        <f>SUMIF('Как есть'!$A$73:$A$80,Доп.расчеты!$A71,'Как есть'!K$73:K$80)</f>
        <v>0</v>
      </c>
      <c r="K71">
        <f>SUMIF('Как есть'!$A$73:$A$80,Доп.расчеты!$A71,'Как есть'!L$73:L$80)</f>
        <v>0</v>
      </c>
      <c r="L71">
        <f>SUMIF('Как есть'!$A$73:$A$80,Доп.расчеты!$A71,'Как есть'!M$73:M$80)</f>
        <v>0</v>
      </c>
      <c r="M71">
        <f>SUMIF('Как есть'!$A$73:$A$80,Доп.расчеты!$A71,'Как есть'!N$73:N$80)</f>
        <v>0</v>
      </c>
      <c r="N71">
        <f>SUMIF('Как есть'!$A$73:$A$80,Доп.расчеты!$A71,'Как есть'!O$73:O$80)</f>
        <v>0</v>
      </c>
      <c r="O71">
        <f>SUMIF('Как есть'!$A$73:$A$80,Доп.расчеты!$A71,'Как есть'!P$73:P$80)</f>
        <v>0</v>
      </c>
      <c r="P71">
        <f>SUMIF('Как есть'!$A$73:$A$80,Доп.расчеты!$A71,'Как есть'!Q$73:Q$80)</f>
        <v>0</v>
      </c>
      <c r="Q71">
        <f>SUMIF('Как есть'!$A$73:$A$80,Доп.расчеты!$A71,'Как есть'!R$73:R$80)</f>
        <v>0</v>
      </c>
      <c r="R71">
        <f>SUMIF('Как есть'!$A$73:$A$80,Доп.расчеты!$A71,'Как есть'!S$73:S$80)</f>
        <v>0</v>
      </c>
      <c r="S71">
        <f>SUMIF('Как есть'!$A$73:$A$80,Доп.расчеты!$A71,'Как есть'!T$73:T$80)</f>
        <v>0</v>
      </c>
      <c r="T71">
        <f>SUMIF('Как есть'!$A$73:$A$80,Доп.расчеты!$A71,'Как есть'!U$73:U$80)</f>
        <v>0</v>
      </c>
      <c r="U71">
        <f>SUMIF('Как есть'!$A$73:$A$80,Доп.расчеты!$A71,'Как есть'!V$73:V$80)</f>
        <v>0</v>
      </c>
      <c r="V71">
        <f>SUMIF('Как есть'!$A$73:$A$80,Доп.расчеты!$A71,'Как есть'!W$73:W$80)</f>
        <v>0</v>
      </c>
      <c r="W71">
        <f>SUMIF('Как есть'!$A$73:$A$80,Доп.расчеты!$A71,'Как есть'!X$73:X$80)</f>
        <v>0</v>
      </c>
      <c r="X71">
        <f>SUMIF('Как есть'!$A$73:$A$80,Доп.расчеты!$A71,'Как есть'!Y$73:Y$80)</f>
        <v>0</v>
      </c>
      <c r="Y71">
        <f>SUMIF('Как есть'!$A$73:$A$80,Доп.расчеты!$A71,'Как есть'!Z$73:Z$80)</f>
        <v>0</v>
      </c>
      <c r="Z71">
        <f>SUMIF('Как есть'!$A$73:$A$80,Доп.расчеты!$A71,'Как есть'!AA$73:AA$80)</f>
        <v>0</v>
      </c>
      <c r="AA71">
        <f>SUMIF('Как есть'!$A$73:$A$80,Доп.расчеты!$A71,'Как есть'!AB$73:AB$80)</f>
        <v>0</v>
      </c>
      <c r="AB71">
        <f>SUMIF('Как есть'!$A$73:$A$80,Доп.расчеты!$A71,'Как есть'!AC$73:AC$80)</f>
        <v>0</v>
      </c>
      <c r="AC71">
        <f>SUMIF('Как есть'!$A$73:$A$80,Доп.расчеты!$A71,'Как есть'!AD$73:AD$80)</f>
        <v>0</v>
      </c>
      <c r="AD71">
        <f>SUMIF('Как есть'!$A$73:$A$80,Доп.расчеты!$A71,'Как есть'!AE$73:AE$80)</f>
        <v>0</v>
      </c>
      <c r="AE71">
        <f>SUMIF('Как есть'!$A$73:$A$80,Доп.расчеты!$A71,'Как есть'!AF$73:AF$80)</f>
        <v>0</v>
      </c>
      <c r="AF71">
        <f>SUMIF('Как есть'!$A$73:$A$80,Доп.расчеты!$A71,'Как есть'!AG$73:AG$80)</f>
        <v>0</v>
      </c>
      <c r="AG71">
        <f>SUMIF('Как есть'!$A$73:$A$80,Доп.расчеты!$A71,'Как есть'!AH$73:AH$80)</f>
        <v>0</v>
      </c>
      <c r="AH71">
        <f>SUMIF('Как есть'!$A$73:$A$80,Доп.расчеты!$A71,'Как есть'!AI$73:AI$80)</f>
        <v>0</v>
      </c>
      <c r="AI71">
        <f>SUMIF('Как есть'!$A$73:$A$80,Доп.расчеты!$A71,'Как есть'!AJ$73:AJ$80)</f>
        <v>0</v>
      </c>
      <c r="AJ71">
        <f>SUMIF('Как есть'!$A$73:$A$80,Доп.расчеты!$A71,'Как есть'!AK$73:AK$80)</f>
        <v>0</v>
      </c>
      <c r="AK71">
        <f>SUMIF('Как есть'!$A$73:$A$80,Доп.расчеты!$A71,'Как есть'!AL$73:AL$80)</f>
        <v>0</v>
      </c>
      <c r="AL71">
        <f>SUMIF('Как есть'!$A$73:$A$80,Доп.расчеты!$A71,'Как есть'!AM$73:AM$80)</f>
        <v>0</v>
      </c>
      <c r="AM71">
        <f>SUMIF('Как есть'!$A$73:$A$80,Доп.расчеты!$A71,'Как есть'!AN$73:AN$80)</f>
        <v>0</v>
      </c>
      <c r="AN71">
        <f>SUMIF('Как есть'!$A$73:$A$80,Доп.расчеты!$A71,'Как есть'!AO$73:AO$80)</f>
        <v>0</v>
      </c>
      <c r="AO71">
        <f>SUMIF('Как есть'!$A$73:$A$80,Доп.расчеты!$A71,'Как есть'!AP$73:AP$80)</f>
        <v>0</v>
      </c>
      <c r="AP71">
        <f>SUMIF('Как есть'!$A$73:$A$80,Доп.расчеты!$A71,'Как есть'!AQ$73:AQ$80)</f>
        <v>0</v>
      </c>
      <c r="AQ71">
        <f>SUMIF('Как есть'!$A$73:$A$80,Доп.расчеты!$A71,'Как есть'!AR$73:AR$80)</f>
        <v>0</v>
      </c>
      <c r="AR71">
        <f>SUMIF('Как есть'!$A$73:$A$80,Доп.расчеты!$A71,'Как есть'!AS$73:AS$80)</f>
        <v>0</v>
      </c>
      <c r="AS71">
        <f>SUMIF('Как есть'!$A$73:$A$80,Доп.расчеты!$A71,'Как есть'!AT$73:AT$80)</f>
        <v>0</v>
      </c>
      <c r="AT71">
        <f>SUMIF('Как есть'!$A$73:$A$80,Доп.расчеты!$A71,'Как есть'!AU$73:AU$80)</f>
        <v>0</v>
      </c>
      <c r="AU71">
        <f>SUMIF('Как есть'!$A$73:$A$80,Доп.расчеты!$A71,'Как есть'!AV$73:AV$80)</f>
        <v>0</v>
      </c>
      <c r="AV71">
        <f>SUMIF('Как есть'!$A$73:$A$80,Доп.расчеты!$A71,'Как есть'!AW$73:AW$80)</f>
        <v>0</v>
      </c>
      <c r="AW71">
        <f>SUMIF('Как есть'!$A$73:$A$80,Доп.расчеты!$A71,'Как есть'!AX$73:AX$80)</f>
        <v>0</v>
      </c>
      <c r="AX71">
        <f>SUMIF('Как есть'!$A$73:$A$80,Доп.расчеты!$A71,'Как есть'!AY$73:AY$80)</f>
        <v>0</v>
      </c>
      <c r="AY71">
        <f>SUMIF('Как есть'!$A$73:$A$80,Доп.расчеты!$A71,'Как есть'!AZ$73:AZ$80)</f>
        <v>0</v>
      </c>
      <c r="AZ71">
        <f>SUMIF('Как есть'!$A$73:$A$80,Доп.расчеты!$A71,'Как есть'!BA$73:BA$80)</f>
        <v>0</v>
      </c>
      <c r="BA71">
        <f>SUMIF('Как есть'!$A$73:$A$80,Доп.расчеты!$A71,'Как есть'!BB$73:BB$80)</f>
        <v>0</v>
      </c>
      <c r="BB71">
        <f>SUMIF('Как есть'!$A$73:$A$80,Доп.расчеты!$A71,'Как есть'!BC$73:BC$80)</f>
        <v>0</v>
      </c>
      <c r="BC71">
        <f>SUMIF('Как есть'!$A$73:$A$80,Доп.расчеты!$A71,'Как есть'!BD$73:BD$80)</f>
        <v>0</v>
      </c>
      <c r="BD71">
        <f>SUMIF('Как есть'!$A$73:$A$80,Доп.расчеты!$A71,'Как есть'!BE$73:BE$80)</f>
        <v>0</v>
      </c>
      <c r="BE71">
        <f>SUMIF('Как есть'!$A$73:$A$80,Доп.расчеты!$A71,'Как есть'!BF$73:BF$80)</f>
        <v>0</v>
      </c>
      <c r="BF71">
        <f>SUMIF('Как есть'!$A$73:$A$80,Доп.расчеты!$A71,'Как есть'!BG$73:BG$80)</f>
        <v>0</v>
      </c>
      <c r="BG71">
        <f>SUMIF('Как есть'!$A$73:$A$80,Доп.расчеты!$A71,'Как есть'!BH$73:BH$80)</f>
        <v>0</v>
      </c>
      <c r="BH71">
        <f>SUMIF('Как есть'!$A$73:$A$80,Доп.расчеты!$A71,'Как есть'!BI$73:BI$80)</f>
        <v>0</v>
      </c>
      <c r="BI71">
        <f>SUMIF('Как есть'!$A$73:$A$80,Доп.расчеты!$A71,'Как есть'!BJ$73:BJ$80)</f>
        <v>0</v>
      </c>
      <c r="BJ71">
        <f>SUMIF('Как есть'!$A$73:$A$80,Доп.расчеты!$A71,'Как есть'!BK$73:BK$80)</f>
        <v>0</v>
      </c>
      <c r="BK71">
        <f>SUMIF('Как есть'!$A$73:$A$80,Доп.расчеты!$A71,'Как есть'!BL$73:BL$80)</f>
        <v>0</v>
      </c>
      <c r="BL71">
        <f>SUMIF('Как есть'!$A$73:$A$80,Доп.расчеты!$A71,'Как есть'!BM$73:BM$80)</f>
        <v>0</v>
      </c>
      <c r="BM71">
        <f>SUMIF('Как есть'!$A$73:$A$80,Доп.расчеты!$A71,'Как есть'!BN$73:BN$80)</f>
        <v>0</v>
      </c>
      <c r="BN71">
        <f>SUMIF('Как есть'!$A$73:$A$80,Доп.расчеты!$A71,'Как есть'!BO$73:BO$80)</f>
        <v>0</v>
      </c>
      <c r="BO71">
        <f>SUMIF('Как есть'!$A$73:$A$80,Доп.расчеты!$A71,'Как есть'!BP$73:BP$80)</f>
        <v>0</v>
      </c>
      <c r="BP71">
        <f>SUMIF('Как есть'!$A$73:$A$80,Доп.расчеты!$A71,'Как есть'!BQ$73:BQ$80)</f>
        <v>0</v>
      </c>
      <c r="BQ71">
        <f>SUMIF('Как есть'!$A$73:$A$80,Доп.расчеты!$A71,'Как есть'!BR$73:BR$80)</f>
        <v>0</v>
      </c>
      <c r="BR71">
        <f>SUMIF('Как есть'!$A$73:$A$80,Доп.расчеты!$A71,'Как есть'!BS$73:BS$80)</f>
        <v>0</v>
      </c>
      <c r="BS71">
        <f>SUMIF('Как есть'!$A$73:$A$80,Доп.расчеты!$A71,'Как есть'!BT$73:BT$80)</f>
        <v>0</v>
      </c>
      <c r="BT71">
        <f>SUMIF('Как есть'!$A$73:$A$80,Доп.расчеты!$A71,'Как есть'!BU$73:BU$80)</f>
        <v>0</v>
      </c>
      <c r="BU71">
        <f>SUMIF('Как есть'!$A$73:$A$80,Доп.расчеты!$A71,'Как есть'!BV$73:BV$80)</f>
        <v>0</v>
      </c>
      <c r="BV71">
        <f>SUMIF('Как есть'!$A$73:$A$80,Доп.расчеты!$A71,'Как есть'!BW$73:BW$80)</f>
        <v>0</v>
      </c>
      <c r="BW71">
        <f>SUMIF('Как есть'!$A$73:$A$80,Доп.расчеты!$A71,'Как есть'!BX$73:BX$80)</f>
        <v>0</v>
      </c>
      <c r="BX71">
        <f>SUMIF('Как есть'!$A$73:$A$80,Доп.расчеты!$A71,'Как есть'!BY$73:BY$80)</f>
        <v>0</v>
      </c>
      <c r="BY71">
        <f>SUMIF('Как есть'!$A$73:$A$80,Доп.расчеты!$A71,'Как есть'!BZ$73:BZ$80)</f>
        <v>0</v>
      </c>
      <c r="BZ71">
        <f>SUMIF('Как есть'!$A$73:$A$80,Доп.расчеты!$A71,'Как есть'!CA$73:CA$80)</f>
        <v>0</v>
      </c>
      <c r="CA71">
        <f>SUMIF('Как есть'!$A$73:$A$80,Доп.расчеты!$A71,'Как есть'!CB$73:CB$80)</f>
        <v>0</v>
      </c>
      <c r="CB71">
        <f>SUMIF('Как есть'!$A$73:$A$80,Доп.расчеты!$A71,'Как есть'!CC$73:CC$80)</f>
        <v>0</v>
      </c>
      <c r="CC71">
        <f>SUMIF('Как есть'!$A$73:$A$80,Доп.расчеты!$A71,'Как есть'!CD$73:CD$80)</f>
        <v>0</v>
      </c>
      <c r="CD71">
        <f>SUMIF('Как есть'!$A$73:$A$80,Доп.расчеты!$A71,'Как есть'!CE$73:CE$80)</f>
        <v>0</v>
      </c>
      <c r="CE71">
        <f>SUMIF('Как есть'!$A$73:$A$80,Доп.расчеты!$A71,'Как есть'!CF$73:CF$80)</f>
        <v>0</v>
      </c>
      <c r="CF71">
        <f>SUMIF('Как есть'!$A$73:$A$80,Доп.расчеты!$A71,'Как есть'!CG$73:CG$80)</f>
        <v>0</v>
      </c>
      <c r="CG71">
        <f>SUMIF('Как есть'!$A$73:$A$80,Доп.расчеты!$A71,'Как есть'!CH$73:CH$80)</f>
        <v>0</v>
      </c>
      <c r="CH71">
        <f>SUMIF('Как есть'!$A$73:$A$80,Доп.расчеты!$A71,'Как есть'!CI$73:CI$80)</f>
        <v>0</v>
      </c>
      <c r="CI71">
        <f>SUMIF('Как есть'!$A$73:$A$80,Доп.расчеты!$A71,'Как есть'!CJ$73:CJ$80)</f>
        <v>0</v>
      </c>
      <c r="CJ71">
        <f>SUMIF('Как есть'!$A$73:$A$80,Доп.расчеты!$A71,'Как есть'!CK$73:CK$80)</f>
        <v>0</v>
      </c>
      <c r="CK71">
        <f>SUMIF('Как есть'!$A$73:$A$80,Доп.расчеты!$A71,'Как есть'!CL$73:CL$80)</f>
        <v>0</v>
      </c>
      <c r="CL71">
        <f>SUMIF('Как есть'!$A$73:$A$80,Доп.расчеты!$A71,'Как есть'!CM$73:CM$80)</f>
        <v>0</v>
      </c>
      <c r="CM71">
        <f>SUMIF('Как есть'!$A$73:$A$80,Доп.расчеты!$A71,'Как есть'!CN$73:CN$80)</f>
        <v>0</v>
      </c>
      <c r="CN71">
        <f>SUMIF('Как есть'!$A$73:$A$80,Доп.расчеты!$A71,'Как есть'!CO$73:CO$80)</f>
        <v>0</v>
      </c>
      <c r="CO71">
        <f>SUMIF('Как есть'!$A$73:$A$80,Доп.расчеты!$A71,'Как есть'!CP$73:CP$80)</f>
        <v>0</v>
      </c>
      <c r="CP71">
        <f>SUMIF('Как есть'!$A$73:$A$80,Доп.расчеты!$A71,'Как есть'!CQ$73:CQ$80)</f>
        <v>0</v>
      </c>
      <c r="CQ71">
        <f>SUMIF('Как есть'!$A$73:$A$80,Доп.расчеты!$A71,'Как есть'!CR$73:CR$80)</f>
        <v>0</v>
      </c>
      <c r="CR71">
        <f>SUMIF('Как есть'!$A$73:$A$80,Доп.расчеты!$A71,'Как есть'!CS$73:CS$80)</f>
        <v>0</v>
      </c>
      <c r="CS71">
        <f>SUMIF('Как есть'!$A$73:$A$80,Доп.расчеты!$A71,'Как есть'!CT$73:CT$80)</f>
        <v>0</v>
      </c>
      <c r="CT71">
        <f>SUMIF('Как есть'!$A$73:$A$80,Доп.расчеты!$A71,'Как есть'!CU$73:CU$80)</f>
        <v>0</v>
      </c>
      <c r="CU71">
        <f>SUMIF('Как есть'!$A$73:$A$80,Доп.расчеты!$A71,'Как есть'!CV$73:CV$80)</f>
        <v>0</v>
      </c>
      <c r="CV71">
        <f>SUMIF('Как есть'!$A$73:$A$80,Доп.расчеты!$A71,'Как есть'!CW$73:CW$80)</f>
        <v>0</v>
      </c>
      <c r="CW71">
        <f>SUMIF('Как есть'!$A$73:$A$80,Доп.расчеты!$A71,'Как есть'!CX$73:CX$80)</f>
        <v>0</v>
      </c>
      <c r="CX71">
        <f>SUMIF('Как есть'!$A$73:$A$80,Доп.расчеты!$A71,'Как есть'!CY$73:CY$80)</f>
        <v>0</v>
      </c>
      <c r="CY71">
        <f>SUMIF('Как есть'!$A$73:$A$80,Доп.расчеты!$A71,'Как есть'!CZ$73:CZ$80)</f>
        <v>0</v>
      </c>
      <c r="CZ71">
        <f>SUMIF('Как есть'!$A$73:$A$80,Доп.расчеты!$A71,'Как есть'!DA$73:DA$80)</f>
        <v>0</v>
      </c>
      <c r="DA71">
        <f>SUMIF('Как есть'!$A$73:$A$80,Доп.расчеты!$A71,'Как есть'!DB$73:DB$80)</f>
        <v>0</v>
      </c>
      <c r="DB71">
        <f>SUMIF('Как есть'!$A$73:$A$80,Доп.расчеты!$A71,'Как есть'!DC$73:DC$80)</f>
        <v>0</v>
      </c>
      <c r="DC71">
        <f>SUMIF('Как есть'!$A$73:$A$80,Доп.расчеты!$A71,'Как есть'!DD$73:DD$80)</f>
        <v>0</v>
      </c>
      <c r="DD71">
        <f>SUMIF('Как есть'!$A$73:$A$80,Доп.расчеты!$A71,'Как есть'!DE$73:DE$80)</f>
        <v>0</v>
      </c>
      <c r="DE71">
        <f>SUMIF('Как есть'!$A$73:$A$80,Доп.расчеты!$A71,'Как есть'!DF$73:DF$80)</f>
        <v>0</v>
      </c>
      <c r="DF71">
        <f>SUMIF('Как есть'!$A$73:$A$80,Доп.расчеты!$A71,'Как есть'!DG$73:DG$80)</f>
        <v>0</v>
      </c>
      <c r="DG71">
        <f>SUMIF('Как есть'!$A$73:$A$80,Доп.расчеты!$A71,'Как есть'!DH$73:DH$80)</f>
        <v>0</v>
      </c>
      <c r="DH71">
        <f>SUMIF('Как есть'!$A$73:$A$80,Доп.расчеты!$A71,'Как есть'!DI$73:DI$80)</f>
        <v>0</v>
      </c>
      <c r="DI71">
        <f>SUMIF('Как есть'!$A$73:$A$80,Доп.расчеты!$A71,'Как есть'!DJ$73:DJ$80)</f>
        <v>0</v>
      </c>
      <c r="DJ71">
        <f>SUMIF('Как есть'!$A$73:$A$80,Доп.расчеты!$A71,'Как есть'!DK$73:DK$80)</f>
        <v>0</v>
      </c>
      <c r="DK71">
        <f>SUMIF('Как есть'!$A$73:$A$80,Доп.расчеты!$A71,'Как есть'!DL$73:DL$80)</f>
        <v>0</v>
      </c>
      <c r="DL71">
        <f>SUMIF('Как есть'!$A$73:$A$80,Доп.расчеты!$A71,'Как есть'!DM$73:DM$80)</f>
        <v>0</v>
      </c>
      <c r="DM71">
        <f>SUMIF('Как есть'!$A$73:$A$80,Доп.расчеты!$A71,'Как есть'!DN$73:DN$80)</f>
        <v>0</v>
      </c>
      <c r="DN71">
        <f>SUMIF('Как есть'!$A$73:$A$80,Доп.расчеты!$A71,'Как есть'!DO$73:DO$80)</f>
        <v>0</v>
      </c>
      <c r="DO71">
        <f>SUMIF('Как есть'!$A$73:$A$80,Доп.расчеты!$A71,'Как есть'!DP$73:DP$80)</f>
        <v>0</v>
      </c>
      <c r="DP71">
        <f>SUMIF('Как есть'!$A$73:$A$80,Доп.расчеты!$A71,'Как есть'!DQ$73:DQ$80)</f>
        <v>0</v>
      </c>
      <c r="DQ71">
        <f>SUMIF('Как есть'!$A$73:$A$80,Доп.расчеты!$A71,'Как есть'!DR$73:DR$80)</f>
        <v>0</v>
      </c>
      <c r="DR71">
        <f>SUMIF('Как есть'!$A$73:$A$80,Доп.расчеты!$A71,'Как есть'!DS$73:DS$80)</f>
        <v>0</v>
      </c>
      <c r="DS71">
        <f>SUMIF('Как есть'!$A$73:$A$80,Доп.расчеты!$A71,'Как есть'!DT$73:DT$80)</f>
        <v>0</v>
      </c>
      <c r="DT71">
        <f>SUMIF('Как есть'!$A$73:$A$80,Доп.расчеты!$A71,'Как есть'!DU$73:DU$80)</f>
        <v>0</v>
      </c>
      <c r="DU71">
        <f>SUMIF('Как есть'!$A$73:$A$80,Доп.расчеты!$A71,'Как есть'!DV$73:DV$80)</f>
        <v>0</v>
      </c>
      <c r="DV71">
        <f>SUMIF('Как есть'!$A$73:$A$80,Доп.расчеты!$A71,'Как есть'!DW$73:DW$80)</f>
        <v>0</v>
      </c>
      <c r="DW71">
        <f>SUMIF('Как есть'!$A$73:$A$80,Доп.расчеты!$A71,'Как есть'!DX$73:DX$80)</f>
        <v>0</v>
      </c>
      <c r="DX71">
        <f>SUMIF('Как есть'!$A$73:$A$80,Доп.расчеты!$A71,'Как есть'!DY$73:DY$80)</f>
        <v>0</v>
      </c>
      <c r="DY71">
        <f>SUMIF('Как есть'!$A$73:$A$80,Доп.расчеты!$A71,'Как есть'!DZ$73:DZ$80)</f>
        <v>0</v>
      </c>
      <c r="DZ71">
        <f>SUMIF('Как есть'!$A$73:$A$80,Доп.расчеты!$A71,'Как есть'!EA$73:EA$80)</f>
        <v>0</v>
      </c>
      <c r="EA71">
        <f>SUMIF('Как есть'!$A$73:$A$80,Доп.расчеты!$A71,'Как есть'!EB$73:EB$80)</f>
        <v>0</v>
      </c>
      <c r="EB71">
        <f>SUMIF('Как есть'!$A$73:$A$80,Доп.расчеты!$A71,'Как есть'!EC$73:EC$80)</f>
        <v>0</v>
      </c>
      <c r="EC71">
        <f>SUMIF('Как есть'!$A$73:$A$80,Доп.расчеты!$A71,'Как есть'!ED$73:ED$80)</f>
        <v>0</v>
      </c>
      <c r="ED71">
        <f>SUMIF('Как есть'!$A$73:$A$80,Доп.расчеты!$A71,'Как есть'!EE$73:EE$80)</f>
        <v>0</v>
      </c>
      <c r="EE71">
        <f>SUMIF('Как есть'!$A$73:$A$80,Доп.расчеты!$A71,'Как есть'!EF$73:EF$80)</f>
        <v>0</v>
      </c>
      <c r="EF71">
        <f>SUMIF('Как есть'!$A$73:$A$80,Доп.расчеты!$A71,'Как есть'!EG$73:EG$80)</f>
        <v>0</v>
      </c>
      <c r="EG71">
        <f>SUMIF('Как есть'!$A$73:$A$80,Доп.расчеты!$A71,'Как есть'!EH$73:EH$80)</f>
        <v>0</v>
      </c>
      <c r="EH71">
        <f>SUMIF('Как есть'!$A$73:$A$80,Доп.расчеты!$A71,'Как есть'!EI$73:EI$80)</f>
        <v>0</v>
      </c>
      <c r="EI71">
        <f>SUMIF('Как есть'!$A$73:$A$80,Доп.расчеты!$A71,'Как есть'!EJ$73:EJ$80)</f>
        <v>0</v>
      </c>
      <c r="EJ71">
        <f>SUMIF('Как есть'!$A$73:$A$80,Доп.расчеты!$A71,'Как есть'!EK$73:EK$80)</f>
        <v>0</v>
      </c>
      <c r="EK71">
        <f>SUMIF('Как есть'!$A$73:$A$80,Доп.расчеты!$A71,'Как есть'!EL$73:EL$80)</f>
        <v>0</v>
      </c>
      <c r="EL71">
        <f>SUMIF('Как есть'!$A$73:$A$80,Доп.расчеты!$A71,'Как есть'!EM$73:EM$80)</f>
        <v>0</v>
      </c>
      <c r="EM71">
        <f>SUMIF('Как есть'!$A$73:$A$80,Доп.расчеты!$A71,'Как есть'!EN$73:EN$80)</f>
        <v>0</v>
      </c>
      <c r="EN71">
        <f>SUMIF('Как есть'!$A$73:$A$80,Доп.расчеты!$A71,'Как есть'!EO$73:EO$80)</f>
        <v>0</v>
      </c>
      <c r="EO71">
        <f>SUMIF('Как есть'!$A$73:$A$80,Доп.расчеты!$A71,'Как есть'!EP$73:EP$80)</f>
        <v>0</v>
      </c>
      <c r="EP71">
        <f>SUMIF('Как есть'!$A$73:$A$80,Доп.расчеты!$A71,'Как есть'!EQ$73:EQ$80)</f>
        <v>0</v>
      </c>
      <c r="EQ71">
        <f>SUMIF('Как есть'!$A$73:$A$80,Доп.расчеты!$A71,'Как есть'!ER$73:ER$80)</f>
        <v>0</v>
      </c>
      <c r="ER71">
        <f>SUMIF('Как есть'!$A$73:$A$80,Доп.расчеты!$A71,'Как есть'!ES$73:ES$80)</f>
        <v>0</v>
      </c>
      <c r="ES71">
        <f>SUMIF('Как есть'!$A$73:$A$80,Доп.расчеты!$A71,'Как есть'!ET$73:ET$80)</f>
        <v>0</v>
      </c>
      <c r="ET71">
        <f>SUMIF('Как есть'!$A$73:$A$80,Доп.расчеты!$A71,'Как есть'!EU$73:EU$80)</f>
        <v>0</v>
      </c>
      <c r="EU71">
        <f>SUMIF('Как есть'!$A$73:$A$80,Доп.расчеты!$A71,'Как есть'!EV$73:EV$80)</f>
        <v>0</v>
      </c>
      <c r="EV71">
        <f>SUMIF('Как есть'!$A$73:$A$80,Доп.расчеты!$A71,'Как есть'!EW$73:EW$80)</f>
        <v>0</v>
      </c>
      <c r="EW71">
        <f>SUMIF('Как есть'!$A$73:$A$80,Доп.расчеты!$A71,'Как есть'!EX$73:EX$80)</f>
        <v>0</v>
      </c>
      <c r="EX71">
        <f>SUMIF('Как есть'!$A$73:$A$80,Доп.расчеты!$A71,'Как есть'!EY$73:EY$80)</f>
        <v>0</v>
      </c>
      <c r="EY71">
        <f>SUMIF('Как есть'!$A$73:$A$80,Доп.расчеты!$A71,'Как есть'!EZ$73:EZ$80)</f>
        <v>0</v>
      </c>
      <c r="EZ71">
        <f>SUMIF('Как есть'!$A$73:$A$80,Доп.расчеты!$A71,'Как есть'!FA$73:FA$80)</f>
        <v>0</v>
      </c>
      <c r="FA71">
        <f>SUMIF('Как есть'!$A$73:$A$80,Доп.расчеты!$A71,'Как есть'!FB$73:FB$80)</f>
        <v>0</v>
      </c>
      <c r="FB71">
        <f>SUMIF('Как есть'!$A$73:$A$80,Доп.расчеты!$A71,'Как есть'!FC$73:FC$80)</f>
        <v>0</v>
      </c>
      <c r="FC71">
        <f>SUMIF('Как есть'!$A$73:$A$80,Доп.расчеты!$A71,'Как есть'!FD$73:FD$80)</f>
        <v>0</v>
      </c>
      <c r="FD71">
        <f>SUMIF('Как есть'!$A$73:$A$80,Доп.расчеты!$A71,'Как есть'!FE$73:FE$80)</f>
        <v>0</v>
      </c>
      <c r="FE71">
        <f>SUMIF('Как есть'!$A$73:$A$80,Доп.расчеты!$A71,'Как есть'!FF$73:FF$80)</f>
        <v>0</v>
      </c>
      <c r="FF71">
        <f>SUMIF('Как есть'!$A$73:$A$80,Доп.расчеты!$A71,'Как есть'!FG$73:FG$80)</f>
        <v>0</v>
      </c>
      <c r="FG71">
        <f>SUMIF('Как есть'!$A$73:$A$80,Доп.расчеты!$A71,'Как есть'!FH$73:FH$80)</f>
        <v>0</v>
      </c>
      <c r="FH71">
        <f>SUMIF('Как есть'!$A$73:$A$80,Доп.расчеты!$A71,'Как есть'!FI$73:FI$80)</f>
        <v>0</v>
      </c>
      <c r="FI71">
        <f>SUMIF('Как есть'!$A$73:$A$80,Доп.расчеты!$A71,'Как есть'!FJ$73:FJ$80)</f>
        <v>0</v>
      </c>
      <c r="FJ71">
        <f>SUMIF('Как есть'!$A$73:$A$80,Доп.расчеты!$A71,'Как есть'!FK$73:FK$80)</f>
        <v>0</v>
      </c>
      <c r="FK71">
        <f>SUMIF('Как есть'!$A$73:$A$80,Доп.расчеты!$A71,'Как есть'!FL$73:FL$80)</f>
        <v>0</v>
      </c>
      <c r="FL71">
        <f>SUMIF('Как есть'!$A$73:$A$80,Доп.расчеты!$A71,'Как есть'!FM$73:FM$80)</f>
        <v>0</v>
      </c>
      <c r="FM71">
        <f>SUMIF('Как есть'!$A$73:$A$80,Доп.расчеты!$A71,'Как есть'!FN$73:FN$80)</f>
        <v>0</v>
      </c>
      <c r="FN71">
        <f>SUMIF('Как есть'!$A$73:$A$80,Доп.расчеты!$A71,'Как есть'!FO$73:FO$80)</f>
        <v>0</v>
      </c>
      <c r="FO71">
        <f>SUMIF('Как есть'!$A$73:$A$80,Доп.расчеты!$A71,'Как есть'!FP$73:FP$80)</f>
        <v>0</v>
      </c>
      <c r="FP71">
        <f>SUMIF('Как есть'!$A$73:$A$80,Доп.расчеты!$A71,'Как есть'!FQ$73:FQ$80)</f>
        <v>0</v>
      </c>
      <c r="FQ71">
        <f>SUMIF('Как есть'!$A$73:$A$80,Доп.расчеты!$A71,'Как есть'!FR$73:FR$80)</f>
        <v>0</v>
      </c>
      <c r="FR71">
        <f>SUMIF('Как есть'!$A$73:$A$80,Доп.расчеты!$A71,'Как есть'!FS$73:FS$80)</f>
        <v>0</v>
      </c>
      <c r="FS71">
        <f>SUMIF('Как есть'!$A$73:$A$80,Доп.расчеты!$A71,'Как есть'!FT$73:FT$80)</f>
        <v>0</v>
      </c>
      <c r="FT71">
        <f>SUMIF('Как есть'!$A$73:$A$80,Доп.расчеты!$A71,'Как есть'!FU$73:FU$80)</f>
        <v>0</v>
      </c>
      <c r="FU71">
        <f>SUMIF('Как есть'!$A$73:$A$80,Доп.расчеты!$A71,'Как есть'!FV$73:FV$80)</f>
        <v>0</v>
      </c>
      <c r="FV71">
        <f>SUMIF('Как есть'!$A$73:$A$80,Доп.расчеты!$A71,'Как есть'!FW$73:FW$80)</f>
        <v>0</v>
      </c>
      <c r="FW71">
        <f>SUMIF('Как есть'!$A$73:$A$80,Доп.расчеты!$A71,'Как есть'!FX$73:FX$80)</f>
        <v>0</v>
      </c>
      <c r="FX71">
        <f>SUMIF('Как есть'!$A$73:$A$80,Доп.расчеты!$A71,'Как есть'!FY$73:FY$80)</f>
        <v>0</v>
      </c>
      <c r="FY71">
        <f>SUMIF('Как есть'!$A$73:$A$80,Доп.расчеты!$A71,'Как есть'!FZ$73:FZ$80)</f>
        <v>0</v>
      </c>
      <c r="FZ71">
        <f>SUMIF('Как есть'!$A$73:$A$80,Доп.расчеты!$A71,'Как есть'!GA$73:GA$80)</f>
        <v>0</v>
      </c>
      <c r="GA71">
        <f>SUMIF('Как есть'!$A$73:$A$80,Доп.расчеты!$A71,'Как есть'!GB$73:GB$80)</f>
        <v>0</v>
      </c>
      <c r="GB71">
        <f>SUMIF('Как есть'!$A$73:$A$80,Доп.расчеты!$A71,'Как есть'!GC$73:GC$80)</f>
        <v>0</v>
      </c>
      <c r="GC71">
        <f>SUMIF('Как есть'!$A$73:$A$80,Доп.расчеты!$A71,'Как есть'!GD$73:GD$80)</f>
        <v>0</v>
      </c>
      <c r="GD71">
        <f>SUMIF('Как есть'!$A$73:$A$80,Доп.расчеты!$A71,'Как есть'!GE$73:GE$80)</f>
        <v>0</v>
      </c>
      <c r="GE71">
        <f>SUMIF('Как есть'!$A$73:$A$80,Доп.расчеты!$A71,'Как есть'!GF$73:GF$80)</f>
        <v>0</v>
      </c>
      <c r="GF71">
        <f>SUMIF('Как есть'!$A$73:$A$80,Доп.расчеты!$A71,'Как есть'!GG$73:GG$80)</f>
        <v>0</v>
      </c>
      <c r="GG71">
        <f>SUMIF('Как есть'!$A$73:$A$80,Доп.расчеты!$A71,'Как есть'!GH$73:GH$80)</f>
        <v>0</v>
      </c>
      <c r="GH71">
        <f>SUMIF('Как есть'!$A$73:$A$80,Доп.расчеты!$A71,'Как есть'!GI$73:GI$80)</f>
        <v>0</v>
      </c>
      <c r="GI71">
        <f>SUMIF('Как есть'!$A$73:$A$80,Доп.расчеты!$A71,'Как есть'!GJ$73:GJ$80)</f>
        <v>0</v>
      </c>
      <c r="GJ71">
        <f>SUMIF('Как есть'!$A$73:$A$80,Доп.расчеты!$A71,'Как есть'!GK$73:GK$80)</f>
        <v>0</v>
      </c>
      <c r="GK71">
        <f>SUMIF('Как есть'!$A$73:$A$80,Доп.расчеты!$A71,'Как есть'!GL$73:GL$80)</f>
        <v>0</v>
      </c>
      <c r="GL71">
        <f>SUMIF('Как есть'!$A$73:$A$80,Доп.расчеты!$A71,'Как есть'!GM$73:GM$80)</f>
        <v>0</v>
      </c>
      <c r="GM71">
        <f>SUMIF('Как есть'!$A$73:$A$80,Доп.расчеты!$A71,'Как есть'!GN$73:GN$80)</f>
        <v>0</v>
      </c>
      <c r="GN71">
        <f>SUMIF('Как есть'!$A$73:$A$80,Доп.расчеты!$A71,'Как есть'!GO$73:GO$80)</f>
        <v>0</v>
      </c>
      <c r="GO71">
        <f>SUMIF('Как есть'!$A$73:$A$80,Доп.расчеты!$A71,'Как есть'!GP$73:GP$80)</f>
        <v>0</v>
      </c>
      <c r="GP71">
        <f>SUMIF('Как есть'!$A$73:$A$80,Доп.расчеты!$A71,'Как есть'!GQ$73:GQ$80)</f>
        <v>0</v>
      </c>
      <c r="GQ71">
        <f>SUMIF('Как есть'!$A$73:$A$80,Доп.расчеты!$A71,'Как есть'!GR$73:GR$80)</f>
        <v>0</v>
      </c>
      <c r="GR71">
        <f>SUMIF('Как есть'!$A$73:$A$80,Доп.расчеты!$A71,'Как есть'!GS$73:GS$80)</f>
        <v>0</v>
      </c>
      <c r="GS71">
        <f>SUMIF('Как есть'!$A$73:$A$80,Доп.расчеты!$A71,'Как есть'!GT$73:GT$80)</f>
        <v>0</v>
      </c>
      <c r="GT71">
        <f>SUMIF('Как есть'!$A$73:$A$80,Доп.расчеты!$A71,'Как есть'!GU$73:GU$80)</f>
        <v>0</v>
      </c>
    </row>
    <row r="72" spans="1:202">
      <c r="A72" s="237" t="s">
        <v>109</v>
      </c>
      <c r="B72">
        <f>SUMIF('Как есть'!$A$73:$A$80,Доп.расчеты!$A72,'Как есть'!C$73:C$80)</f>
        <v>0</v>
      </c>
      <c r="C72">
        <f>SUMIF('Как есть'!$A$73:$A$80,Доп.расчеты!$A72,'Как есть'!D$73:D$80)</f>
        <v>0</v>
      </c>
      <c r="D72">
        <f>SUMIF('Как есть'!$A$73:$A$80,Доп.расчеты!$A72,'Как есть'!E$73:E$80)</f>
        <v>0</v>
      </c>
      <c r="E72">
        <f>SUMIF('Как есть'!$A$73:$A$80,Доп.расчеты!$A72,'Как есть'!F$73:F$80)</f>
        <v>0</v>
      </c>
      <c r="F72">
        <f>SUMIF('Как есть'!$A$73:$A$80,Доп.расчеты!$A72,'Как есть'!G$73:G$80)</f>
        <v>0</v>
      </c>
      <c r="G72">
        <f>SUMIF('Как есть'!$A$73:$A$80,Доп.расчеты!$A72,'Как есть'!H$73:H$80)</f>
        <v>0</v>
      </c>
      <c r="H72">
        <f>SUMIF('Как есть'!$A$73:$A$80,Доп.расчеты!$A72,'Как есть'!I$73:I$80)</f>
        <v>0</v>
      </c>
      <c r="I72">
        <f>SUMIF('Как есть'!$A$73:$A$80,Доп.расчеты!$A72,'Как есть'!J$73:J$80)</f>
        <v>0</v>
      </c>
      <c r="J72">
        <f>SUMIF('Как есть'!$A$73:$A$80,Доп.расчеты!$A72,'Как есть'!K$73:K$80)</f>
        <v>0</v>
      </c>
      <c r="K72">
        <f>SUMIF('Как есть'!$A$73:$A$80,Доп.расчеты!$A72,'Как есть'!L$73:L$80)</f>
        <v>0</v>
      </c>
      <c r="L72">
        <f>SUMIF('Как есть'!$A$73:$A$80,Доп.расчеты!$A72,'Как есть'!M$73:M$80)</f>
        <v>0</v>
      </c>
      <c r="M72">
        <f>SUMIF('Как есть'!$A$73:$A$80,Доп.расчеты!$A72,'Как есть'!N$73:N$80)</f>
        <v>0</v>
      </c>
      <c r="N72">
        <f>SUMIF('Как есть'!$A$73:$A$80,Доп.расчеты!$A72,'Как есть'!O$73:O$80)</f>
        <v>0</v>
      </c>
      <c r="O72">
        <f>SUMIF('Как есть'!$A$73:$A$80,Доп.расчеты!$A72,'Как есть'!P$73:P$80)</f>
        <v>0</v>
      </c>
      <c r="P72">
        <f>SUMIF('Как есть'!$A$73:$A$80,Доп.расчеты!$A72,'Как есть'!Q$73:Q$80)</f>
        <v>0</v>
      </c>
      <c r="Q72">
        <f>SUMIF('Как есть'!$A$73:$A$80,Доп.расчеты!$A72,'Как есть'!R$73:R$80)</f>
        <v>0</v>
      </c>
      <c r="R72">
        <f>SUMIF('Как есть'!$A$73:$A$80,Доп.расчеты!$A72,'Как есть'!S$73:S$80)</f>
        <v>0</v>
      </c>
      <c r="S72">
        <f>SUMIF('Как есть'!$A$73:$A$80,Доп.расчеты!$A72,'Как есть'!T$73:T$80)</f>
        <v>0</v>
      </c>
      <c r="T72">
        <f>SUMIF('Как есть'!$A$73:$A$80,Доп.расчеты!$A72,'Как есть'!U$73:U$80)</f>
        <v>0</v>
      </c>
      <c r="U72">
        <f>SUMIF('Как есть'!$A$73:$A$80,Доп.расчеты!$A72,'Как есть'!V$73:V$80)</f>
        <v>0</v>
      </c>
      <c r="V72">
        <f>SUMIF('Как есть'!$A$73:$A$80,Доп.расчеты!$A72,'Как есть'!W$73:W$80)</f>
        <v>0</v>
      </c>
      <c r="W72">
        <f>SUMIF('Как есть'!$A$73:$A$80,Доп.расчеты!$A72,'Как есть'!X$73:X$80)</f>
        <v>0</v>
      </c>
      <c r="X72">
        <f>SUMIF('Как есть'!$A$73:$A$80,Доп.расчеты!$A72,'Как есть'!Y$73:Y$80)</f>
        <v>0</v>
      </c>
      <c r="Y72">
        <f>SUMIF('Как есть'!$A$73:$A$80,Доп.расчеты!$A72,'Как есть'!Z$73:Z$80)</f>
        <v>0</v>
      </c>
      <c r="Z72">
        <f>SUMIF('Как есть'!$A$73:$A$80,Доп.расчеты!$A72,'Как есть'!AA$73:AA$80)</f>
        <v>0</v>
      </c>
      <c r="AA72">
        <f>SUMIF('Как есть'!$A$73:$A$80,Доп.расчеты!$A72,'Как есть'!AB$73:AB$80)</f>
        <v>0</v>
      </c>
      <c r="AB72">
        <f>SUMIF('Как есть'!$A$73:$A$80,Доп.расчеты!$A72,'Как есть'!AC$73:AC$80)</f>
        <v>0</v>
      </c>
      <c r="AC72">
        <f>SUMIF('Как есть'!$A$73:$A$80,Доп.расчеты!$A72,'Как есть'!AD$73:AD$80)</f>
        <v>0</v>
      </c>
      <c r="AD72">
        <f>SUMIF('Как есть'!$A$73:$A$80,Доп.расчеты!$A72,'Как есть'!AE$73:AE$80)</f>
        <v>0</v>
      </c>
      <c r="AE72">
        <f>SUMIF('Как есть'!$A$73:$A$80,Доп.расчеты!$A72,'Как есть'!AF$73:AF$80)</f>
        <v>0</v>
      </c>
      <c r="AF72">
        <f>SUMIF('Как есть'!$A$73:$A$80,Доп.расчеты!$A72,'Как есть'!AG$73:AG$80)</f>
        <v>0</v>
      </c>
      <c r="AG72">
        <f>SUMIF('Как есть'!$A$73:$A$80,Доп.расчеты!$A72,'Как есть'!AH$73:AH$80)</f>
        <v>0</v>
      </c>
      <c r="AH72">
        <f>SUMIF('Как есть'!$A$73:$A$80,Доп.расчеты!$A72,'Как есть'!AI$73:AI$80)</f>
        <v>0</v>
      </c>
      <c r="AI72">
        <f>SUMIF('Как есть'!$A$73:$A$80,Доп.расчеты!$A72,'Как есть'!AJ$73:AJ$80)</f>
        <v>0</v>
      </c>
      <c r="AJ72">
        <f>SUMIF('Как есть'!$A$73:$A$80,Доп.расчеты!$A72,'Как есть'!AK$73:AK$80)</f>
        <v>0</v>
      </c>
      <c r="AK72">
        <f>SUMIF('Как есть'!$A$73:$A$80,Доп.расчеты!$A72,'Как есть'!AL$73:AL$80)</f>
        <v>0</v>
      </c>
      <c r="AL72">
        <f>SUMIF('Как есть'!$A$73:$A$80,Доп.расчеты!$A72,'Как есть'!AM$73:AM$80)</f>
        <v>0</v>
      </c>
      <c r="AM72">
        <f>SUMIF('Как есть'!$A$73:$A$80,Доп.расчеты!$A72,'Как есть'!AN$73:AN$80)</f>
        <v>0</v>
      </c>
      <c r="AN72">
        <f>SUMIF('Как есть'!$A$73:$A$80,Доп.расчеты!$A72,'Как есть'!AO$73:AO$80)</f>
        <v>0</v>
      </c>
      <c r="AO72">
        <f>SUMIF('Как есть'!$A$73:$A$80,Доп.расчеты!$A72,'Как есть'!AP$73:AP$80)</f>
        <v>0</v>
      </c>
      <c r="AP72">
        <f>SUMIF('Как есть'!$A$73:$A$80,Доп.расчеты!$A72,'Как есть'!AQ$73:AQ$80)</f>
        <v>0</v>
      </c>
      <c r="AQ72">
        <f>SUMIF('Как есть'!$A$73:$A$80,Доп.расчеты!$A72,'Как есть'!AR$73:AR$80)</f>
        <v>0</v>
      </c>
      <c r="AR72">
        <f>SUMIF('Как есть'!$A$73:$A$80,Доп.расчеты!$A72,'Как есть'!AS$73:AS$80)</f>
        <v>0</v>
      </c>
      <c r="AS72">
        <f>SUMIF('Как есть'!$A$73:$A$80,Доп.расчеты!$A72,'Как есть'!AT$73:AT$80)</f>
        <v>0</v>
      </c>
      <c r="AT72">
        <f>SUMIF('Как есть'!$A$73:$A$80,Доп.расчеты!$A72,'Как есть'!AU$73:AU$80)</f>
        <v>0</v>
      </c>
      <c r="AU72">
        <f>SUMIF('Как есть'!$A$73:$A$80,Доп.расчеты!$A72,'Как есть'!AV$73:AV$80)</f>
        <v>0</v>
      </c>
      <c r="AV72">
        <f>SUMIF('Как есть'!$A$73:$A$80,Доп.расчеты!$A72,'Как есть'!AW$73:AW$80)</f>
        <v>0</v>
      </c>
      <c r="AW72">
        <f>SUMIF('Как есть'!$A$73:$A$80,Доп.расчеты!$A72,'Как есть'!AX$73:AX$80)</f>
        <v>0</v>
      </c>
      <c r="AX72">
        <f>SUMIF('Как есть'!$A$73:$A$80,Доп.расчеты!$A72,'Как есть'!AY$73:AY$80)</f>
        <v>0</v>
      </c>
      <c r="AY72">
        <f>SUMIF('Как есть'!$A$73:$A$80,Доп.расчеты!$A72,'Как есть'!AZ$73:AZ$80)</f>
        <v>0</v>
      </c>
      <c r="AZ72">
        <f>SUMIF('Как есть'!$A$73:$A$80,Доп.расчеты!$A72,'Как есть'!BA$73:BA$80)</f>
        <v>0</v>
      </c>
      <c r="BA72">
        <f>SUMIF('Как есть'!$A$73:$A$80,Доп.расчеты!$A72,'Как есть'!BB$73:BB$80)</f>
        <v>0</v>
      </c>
      <c r="BB72">
        <f>SUMIF('Как есть'!$A$73:$A$80,Доп.расчеты!$A72,'Как есть'!BC$73:BC$80)</f>
        <v>0</v>
      </c>
      <c r="BC72">
        <f>SUMIF('Как есть'!$A$73:$A$80,Доп.расчеты!$A72,'Как есть'!BD$73:BD$80)</f>
        <v>0</v>
      </c>
      <c r="BD72">
        <f>SUMIF('Как есть'!$A$73:$A$80,Доп.расчеты!$A72,'Как есть'!BE$73:BE$80)</f>
        <v>0</v>
      </c>
      <c r="BE72">
        <f>SUMIF('Как есть'!$A$73:$A$80,Доп.расчеты!$A72,'Как есть'!BF$73:BF$80)</f>
        <v>0</v>
      </c>
      <c r="BF72">
        <f>SUMIF('Как есть'!$A$73:$A$80,Доп.расчеты!$A72,'Как есть'!BG$73:BG$80)</f>
        <v>0</v>
      </c>
      <c r="BG72">
        <f>SUMIF('Как есть'!$A$73:$A$80,Доп.расчеты!$A72,'Как есть'!BH$73:BH$80)</f>
        <v>0</v>
      </c>
      <c r="BH72">
        <f>SUMIF('Как есть'!$A$73:$A$80,Доп.расчеты!$A72,'Как есть'!BI$73:BI$80)</f>
        <v>0</v>
      </c>
      <c r="BI72">
        <f>SUMIF('Как есть'!$A$73:$A$80,Доп.расчеты!$A72,'Как есть'!BJ$73:BJ$80)</f>
        <v>0</v>
      </c>
      <c r="BJ72">
        <f>SUMIF('Как есть'!$A$73:$A$80,Доп.расчеты!$A72,'Как есть'!BK$73:BK$80)</f>
        <v>0</v>
      </c>
      <c r="BK72">
        <f>SUMIF('Как есть'!$A$73:$A$80,Доп.расчеты!$A72,'Как есть'!BL$73:BL$80)</f>
        <v>0</v>
      </c>
      <c r="BL72">
        <f>SUMIF('Как есть'!$A$73:$A$80,Доп.расчеты!$A72,'Как есть'!BM$73:BM$80)</f>
        <v>0</v>
      </c>
      <c r="BM72">
        <f>SUMIF('Как есть'!$A$73:$A$80,Доп.расчеты!$A72,'Как есть'!BN$73:BN$80)</f>
        <v>0</v>
      </c>
      <c r="BN72">
        <f>SUMIF('Как есть'!$A$73:$A$80,Доп.расчеты!$A72,'Как есть'!BO$73:BO$80)</f>
        <v>0</v>
      </c>
      <c r="BO72">
        <f>SUMIF('Как есть'!$A$73:$A$80,Доп.расчеты!$A72,'Как есть'!BP$73:BP$80)</f>
        <v>0</v>
      </c>
      <c r="BP72">
        <f>SUMIF('Как есть'!$A$73:$A$80,Доп.расчеты!$A72,'Как есть'!BQ$73:BQ$80)</f>
        <v>0</v>
      </c>
      <c r="BQ72">
        <f>SUMIF('Как есть'!$A$73:$A$80,Доп.расчеты!$A72,'Как есть'!BR$73:BR$80)</f>
        <v>0</v>
      </c>
      <c r="BR72">
        <f>SUMIF('Как есть'!$A$73:$A$80,Доп.расчеты!$A72,'Как есть'!BS$73:BS$80)</f>
        <v>0</v>
      </c>
      <c r="BS72">
        <f>SUMIF('Как есть'!$A$73:$A$80,Доп.расчеты!$A72,'Как есть'!BT$73:BT$80)</f>
        <v>0</v>
      </c>
      <c r="BT72">
        <f>SUMIF('Как есть'!$A$73:$A$80,Доп.расчеты!$A72,'Как есть'!BU$73:BU$80)</f>
        <v>0</v>
      </c>
      <c r="BU72">
        <f>SUMIF('Как есть'!$A$73:$A$80,Доп.расчеты!$A72,'Как есть'!BV$73:BV$80)</f>
        <v>0</v>
      </c>
      <c r="BV72">
        <f>SUMIF('Как есть'!$A$73:$A$80,Доп.расчеты!$A72,'Как есть'!BW$73:BW$80)</f>
        <v>0</v>
      </c>
      <c r="BW72">
        <f>SUMIF('Как есть'!$A$73:$A$80,Доп.расчеты!$A72,'Как есть'!BX$73:BX$80)</f>
        <v>0</v>
      </c>
      <c r="BX72">
        <f>SUMIF('Как есть'!$A$73:$A$80,Доп.расчеты!$A72,'Как есть'!BY$73:BY$80)</f>
        <v>0</v>
      </c>
      <c r="BY72">
        <f>SUMIF('Как есть'!$A$73:$A$80,Доп.расчеты!$A72,'Как есть'!BZ$73:BZ$80)</f>
        <v>0</v>
      </c>
      <c r="BZ72">
        <f>SUMIF('Как есть'!$A$73:$A$80,Доп.расчеты!$A72,'Как есть'!CA$73:CA$80)</f>
        <v>0</v>
      </c>
      <c r="CA72">
        <f>SUMIF('Как есть'!$A$73:$A$80,Доп.расчеты!$A72,'Как есть'!CB$73:CB$80)</f>
        <v>0</v>
      </c>
      <c r="CB72">
        <f>SUMIF('Как есть'!$A$73:$A$80,Доп.расчеты!$A72,'Как есть'!CC$73:CC$80)</f>
        <v>0</v>
      </c>
      <c r="CC72">
        <f>SUMIF('Как есть'!$A$73:$A$80,Доп.расчеты!$A72,'Как есть'!CD$73:CD$80)</f>
        <v>0</v>
      </c>
      <c r="CD72">
        <f>SUMIF('Как есть'!$A$73:$A$80,Доп.расчеты!$A72,'Как есть'!CE$73:CE$80)</f>
        <v>0</v>
      </c>
      <c r="CE72">
        <f>SUMIF('Как есть'!$A$73:$A$80,Доп.расчеты!$A72,'Как есть'!CF$73:CF$80)</f>
        <v>0</v>
      </c>
      <c r="CF72">
        <f>SUMIF('Как есть'!$A$73:$A$80,Доп.расчеты!$A72,'Как есть'!CG$73:CG$80)</f>
        <v>0</v>
      </c>
      <c r="CG72">
        <f>SUMIF('Как есть'!$A$73:$A$80,Доп.расчеты!$A72,'Как есть'!CH$73:CH$80)</f>
        <v>0</v>
      </c>
      <c r="CH72">
        <f>SUMIF('Как есть'!$A$73:$A$80,Доп.расчеты!$A72,'Как есть'!CI$73:CI$80)</f>
        <v>0</v>
      </c>
      <c r="CI72">
        <f>SUMIF('Как есть'!$A$73:$A$80,Доп.расчеты!$A72,'Как есть'!CJ$73:CJ$80)</f>
        <v>0</v>
      </c>
      <c r="CJ72">
        <f>SUMIF('Как есть'!$A$73:$A$80,Доп.расчеты!$A72,'Как есть'!CK$73:CK$80)</f>
        <v>0</v>
      </c>
      <c r="CK72">
        <f>SUMIF('Как есть'!$A$73:$A$80,Доп.расчеты!$A72,'Как есть'!CL$73:CL$80)</f>
        <v>0</v>
      </c>
      <c r="CL72">
        <f>SUMIF('Как есть'!$A$73:$A$80,Доп.расчеты!$A72,'Как есть'!CM$73:CM$80)</f>
        <v>0</v>
      </c>
      <c r="CM72">
        <f>SUMIF('Как есть'!$A$73:$A$80,Доп.расчеты!$A72,'Как есть'!CN$73:CN$80)</f>
        <v>0</v>
      </c>
      <c r="CN72">
        <f>SUMIF('Как есть'!$A$73:$A$80,Доп.расчеты!$A72,'Как есть'!CO$73:CO$80)</f>
        <v>0</v>
      </c>
      <c r="CO72">
        <f>SUMIF('Как есть'!$A$73:$A$80,Доп.расчеты!$A72,'Как есть'!CP$73:CP$80)</f>
        <v>0</v>
      </c>
      <c r="CP72">
        <f>SUMIF('Как есть'!$A$73:$A$80,Доп.расчеты!$A72,'Как есть'!CQ$73:CQ$80)</f>
        <v>0</v>
      </c>
      <c r="CQ72">
        <f>SUMIF('Как есть'!$A$73:$A$80,Доп.расчеты!$A72,'Как есть'!CR$73:CR$80)</f>
        <v>0</v>
      </c>
      <c r="CR72">
        <f>SUMIF('Как есть'!$A$73:$A$80,Доп.расчеты!$A72,'Как есть'!CS$73:CS$80)</f>
        <v>0</v>
      </c>
      <c r="CS72">
        <f>SUMIF('Как есть'!$A$73:$A$80,Доп.расчеты!$A72,'Как есть'!CT$73:CT$80)</f>
        <v>0</v>
      </c>
      <c r="CT72">
        <f>SUMIF('Как есть'!$A$73:$A$80,Доп.расчеты!$A72,'Как есть'!CU$73:CU$80)</f>
        <v>0</v>
      </c>
      <c r="CU72">
        <f>SUMIF('Как есть'!$A$73:$A$80,Доп.расчеты!$A72,'Как есть'!CV$73:CV$80)</f>
        <v>0</v>
      </c>
      <c r="CV72">
        <f>SUMIF('Как есть'!$A$73:$A$80,Доп.расчеты!$A72,'Как есть'!CW$73:CW$80)</f>
        <v>0</v>
      </c>
      <c r="CW72">
        <f>SUMIF('Как есть'!$A$73:$A$80,Доп.расчеты!$A72,'Как есть'!CX$73:CX$80)</f>
        <v>0</v>
      </c>
      <c r="CX72">
        <f>SUMIF('Как есть'!$A$73:$A$80,Доп.расчеты!$A72,'Как есть'!CY$73:CY$80)</f>
        <v>0</v>
      </c>
      <c r="CY72">
        <f>SUMIF('Как есть'!$A$73:$A$80,Доп.расчеты!$A72,'Как есть'!CZ$73:CZ$80)</f>
        <v>0</v>
      </c>
      <c r="CZ72">
        <f>SUMIF('Как есть'!$A$73:$A$80,Доп.расчеты!$A72,'Как есть'!DA$73:DA$80)</f>
        <v>0</v>
      </c>
      <c r="DA72">
        <f>SUMIF('Как есть'!$A$73:$A$80,Доп.расчеты!$A72,'Как есть'!DB$73:DB$80)</f>
        <v>0</v>
      </c>
      <c r="DB72">
        <f>SUMIF('Как есть'!$A$73:$A$80,Доп.расчеты!$A72,'Как есть'!DC$73:DC$80)</f>
        <v>0</v>
      </c>
      <c r="DC72">
        <f>SUMIF('Как есть'!$A$73:$A$80,Доп.расчеты!$A72,'Как есть'!DD$73:DD$80)</f>
        <v>0</v>
      </c>
      <c r="DD72">
        <f>SUMIF('Как есть'!$A$73:$A$80,Доп.расчеты!$A72,'Как есть'!DE$73:DE$80)</f>
        <v>0</v>
      </c>
      <c r="DE72">
        <f>SUMIF('Как есть'!$A$73:$A$80,Доп.расчеты!$A72,'Как есть'!DF$73:DF$80)</f>
        <v>0</v>
      </c>
      <c r="DF72">
        <f>SUMIF('Как есть'!$A$73:$A$80,Доп.расчеты!$A72,'Как есть'!DG$73:DG$80)</f>
        <v>0</v>
      </c>
      <c r="DG72">
        <f>SUMIF('Как есть'!$A$73:$A$80,Доп.расчеты!$A72,'Как есть'!DH$73:DH$80)</f>
        <v>0</v>
      </c>
      <c r="DH72">
        <f>SUMIF('Как есть'!$A$73:$A$80,Доп.расчеты!$A72,'Как есть'!DI$73:DI$80)</f>
        <v>0</v>
      </c>
      <c r="DI72">
        <f>SUMIF('Как есть'!$A$73:$A$80,Доп.расчеты!$A72,'Как есть'!DJ$73:DJ$80)</f>
        <v>0</v>
      </c>
      <c r="DJ72">
        <f>SUMIF('Как есть'!$A$73:$A$80,Доп.расчеты!$A72,'Как есть'!DK$73:DK$80)</f>
        <v>0</v>
      </c>
      <c r="DK72">
        <f>SUMIF('Как есть'!$A$73:$A$80,Доп.расчеты!$A72,'Как есть'!DL$73:DL$80)</f>
        <v>0</v>
      </c>
      <c r="DL72">
        <f>SUMIF('Как есть'!$A$73:$A$80,Доп.расчеты!$A72,'Как есть'!DM$73:DM$80)</f>
        <v>0</v>
      </c>
      <c r="DM72">
        <f>SUMIF('Как есть'!$A$73:$A$80,Доп.расчеты!$A72,'Как есть'!DN$73:DN$80)</f>
        <v>0</v>
      </c>
      <c r="DN72">
        <f>SUMIF('Как есть'!$A$73:$A$80,Доп.расчеты!$A72,'Как есть'!DO$73:DO$80)</f>
        <v>0</v>
      </c>
      <c r="DO72">
        <f>SUMIF('Как есть'!$A$73:$A$80,Доп.расчеты!$A72,'Как есть'!DP$73:DP$80)</f>
        <v>0</v>
      </c>
      <c r="DP72">
        <f>SUMIF('Как есть'!$A$73:$A$80,Доп.расчеты!$A72,'Как есть'!DQ$73:DQ$80)</f>
        <v>0</v>
      </c>
      <c r="DQ72">
        <f>SUMIF('Как есть'!$A$73:$A$80,Доп.расчеты!$A72,'Как есть'!DR$73:DR$80)</f>
        <v>0</v>
      </c>
      <c r="DR72">
        <f>SUMIF('Как есть'!$A$73:$A$80,Доп.расчеты!$A72,'Как есть'!DS$73:DS$80)</f>
        <v>0</v>
      </c>
      <c r="DS72">
        <f>SUMIF('Как есть'!$A$73:$A$80,Доп.расчеты!$A72,'Как есть'!DT$73:DT$80)</f>
        <v>0</v>
      </c>
      <c r="DT72">
        <f>SUMIF('Как есть'!$A$73:$A$80,Доп.расчеты!$A72,'Как есть'!DU$73:DU$80)</f>
        <v>0</v>
      </c>
      <c r="DU72">
        <f>SUMIF('Как есть'!$A$73:$A$80,Доп.расчеты!$A72,'Как есть'!DV$73:DV$80)</f>
        <v>0</v>
      </c>
      <c r="DV72">
        <f>SUMIF('Как есть'!$A$73:$A$80,Доп.расчеты!$A72,'Как есть'!DW$73:DW$80)</f>
        <v>0</v>
      </c>
      <c r="DW72">
        <f>SUMIF('Как есть'!$A$73:$A$80,Доп.расчеты!$A72,'Как есть'!DX$73:DX$80)</f>
        <v>0</v>
      </c>
      <c r="DX72">
        <f>SUMIF('Как есть'!$A$73:$A$80,Доп.расчеты!$A72,'Как есть'!DY$73:DY$80)</f>
        <v>0</v>
      </c>
      <c r="DY72">
        <f>SUMIF('Как есть'!$A$73:$A$80,Доп.расчеты!$A72,'Как есть'!DZ$73:DZ$80)</f>
        <v>0</v>
      </c>
      <c r="DZ72">
        <f>SUMIF('Как есть'!$A$73:$A$80,Доп.расчеты!$A72,'Как есть'!EA$73:EA$80)</f>
        <v>0</v>
      </c>
      <c r="EA72">
        <f>SUMIF('Как есть'!$A$73:$A$80,Доп.расчеты!$A72,'Как есть'!EB$73:EB$80)</f>
        <v>0</v>
      </c>
      <c r="EB72">
        <f>SUMIF('Как есть'!$A$73:$A$80,Доп.расчеты!$A72,'Как есть'!EC$73:EC$80)</f>
        <v>0</v>
      </c>
      <c r="EC72">
        <f>SUMIF('Как есть'!$A$73:$A$80,Доп.расчеты!$A72,'Как есть'!ED$73:ED$80)</f>
        <v>0</v>
      </c>
      <c r="ED72">
        <f>SUMIF('Как есть'!$A$73:$A$80,Доп.расчеты!$A72,'Как есть'!EE$73:EE$80)</f>
        <v>0</v>
      </c>
      <c r="EE72">
        <f>SUMIF('Как есть'!$A$73:$A$80,Доп.расчеты!$A72,'Как есть'!EF$73:EF$80)</f>
        <v>0</v>
      </c>
      <c r="EF72">
        <f>SUMIF('Как есть'!$A$73:$A$80,Доп.расчеты!$A72,'Как есть'!EG$73:EG$80)</f>
        <v>0</v>
      </c>
      <c r="EG72">
        <f>SUMIF('Как есть'!$A$73:$A$80,Доп.расчеты!$A72,'Как есть'!EH$73:EH$80)</f>
        <v>0</v>
      </c>
      <c r="EH72">
        <f>SUMIF('Как есть'!$A$73:$A$80,Доп.расчеты!$A72,'Как есть'!EI$73:EI$80)</f>
        <v>0</v>
      </c>
      <c r="EI72">
        <f>SUMIF('Как есть'!$A$73:$A$80,Доп.расчеты!$A72,'Как есть'!EJ$73:EJ$80)</f>
        <v>0</v>
      </c>
      <c r="EJ72">
        <f>SUMIF('Как есть'!$A$73:$A$80,Доп.расчеты!$A72,'Как есть'!EK$73:EK$80)</f>
        <v>0</v>
      </c>
      <c r="EK72">
        <f>SUMIF('Как есть'!$A$73:$A$80,Доп.расчеты!$A72,'Как есть'!EL$73:EL$80)</f>
        <v>0</v>
      </c>
      <c r="EL72">
        <f>SUMIF('Как есть'!$A$73:$A$80,Доп.расчеты!$A72,'Как есть'!EM$73:EM$80)</f>
        <v>0</v>
      </c>
      <c r="EM72">
        <f>SUMIF('Как есть'!$A$73:$A$80,Доп.расчеты!$A72,'Как есть'!EN$73:EN$80)</f>
        <v>0</v>
      </c>
      <c r="EN72">
        <f>SUMIF('Как есть'!$A$73:$A$80,Доп.расчеты!$A72,'Как есть'!EO$73:EO$80)</f>
        <v>0</v>
      </c>
      <c r="EO72">
        <f>SUMIF('Как есть'!$A$73:$A$80,Доп.расчеты!$A72,'Как есть'!EP$73:EP$80)</f>
        <v>0</v>
      </c>
      <c r="EP72">
        <f>SUMIF('Как есть'!$A$73:$A$80,Доп.расчеты!$A72,'Как есть'!EQ$73:EQ$80)</f>
        <v>0</v>
      </c>
      <c r="EQ72">
        <f>SUMIF('Как есть'!$A$73:$A$80,Доп.расчеты!$A72,'Как есть'!ER$73:ER$80)</f>
        <v>0</v>
      </c>
      <c r="ER72">
        <f>SUMIF('Как есть'!$A$73:$A$80,Доп.расчеты!$A72,'Как есть'!ES$73:ES$80)</f>
        <v>0</v>
      </c>
      <c r="ES72">
        <f>SUMIF('Как есть'!$A$73:$A$80,Доп.расчеты!$A72,'Как есть'!ET$73:ET$80)</f>
        <v>0</v>
      </c>
      <c r="ET72">
        <f>SUMIF('Как есть'!$A$73:$A$80,Доп.расчеты!$A72,'Как есть'!EU$73:EU$80)</f>
        <v>0</v>
      </c>
      <c r="EU72">
        <f>SUMIF('Как есть'!$A$73:$A$80,Доп.расчеты!$A72,'Как есть'!EV$73:EV$80)</f>
        <v>0</v>
      </c>
      <c r="EV72">
        <f>SUMIF('Как есть'!$A$73:$A$80,Доп.расчеты!$A72,'Как есть'!EW$73:EW$80)</f>
        <v>0</v>
      </c>
      <c r="EW72">
        <f>SUMIF('Как есть'!$A$73:$A$80,Доп.расчеты!$A72,'Как есть'!EX$73:EX$80)</f>
        <v>0</v>
      </c>
      <c r="EX72">
        <f>SUMIF('Как есть'!$A$73:$A$80,Доп.расчеты!$A72,'Как есть'!EY$73:EY$80)</f>
        <v>0</v>
      </c>
      <c r="EY72">
        <f>SUMIF('Как есть'!$A$73:$A$80,Доп.расчеты!$A72,'Как есть'!EZ$73:EZ$80)</f>
        <v>0</v>
      </c>
      <c r="EZ72">
        <f>SUMIF('Как есть'!$A$73:$A$80,Доп.расчеты!$A72,'Как есть'!FA$73:FA$80)</f>
        <v>0</v>
      </c>
      <c r="FA72">
        <f>SUMIF('Как есть'!$A$73:$A$80,Доп.расчеты!$A72,'Как есть'!FB$73:FB$80)</f>
        <v>0</v>
      </c>
      <c r="FB72">
        <f>SUMIF('Как есть'!$A$73:$A$80,Доп.расчеты!$A72,'Как есть'!FC$73:FC$80)</f>
        <v>0</v>
      </c>
      <c r="FC72">
        <f>SUMIF('Как есть'!$A$73:$A$80,Доп.расчеты!$A72,'Как есть'!FD$73:FD$80)</f>
        <v>0</v>
      </c>
      <c r="FD72">
        <f>SUMIF('Как есть'!$A$73:$A$80,Доп.расчеты!$A72,'Как есть'!FE$73:FE$80)</f>
        <v>0</v>
      </c>
      <c r="FE72">
        <f>SUMIF('Как есть'!$A$73:$A$80,Доп.расчеты!$A72,'Как есть'!FF$73:FF$80)</f>
        <v>0</v>
      </c>
      <c r="FF72">
        <f>SUMIF('Как есть'!$A$73:$A$80,Доп.расчеты!$A72,'Как есть'!FG$73:FG$80)</f>
        <v>0</v>
      </c>
      <c r="FG72">
        <f>SUMIF('Как есть'!$A$73:$A$80,Доп.расчеты!$A72,'Как есть'!FH$73:FH$80)</f>
        <v>0</v>
      </c>
      <c r="FH72">
        <f>SUMIF('Как есть'!$A$73:$A$80,Доп.расчеты!$A72,'Как есть'!FI$73:FI$80)</f>
        <v>0</v>
      </c>
      <c r="FI72">
        <f>SUMIF('Как есть'!$A$73:$A$80,Доп.расчеты!$A72,'Как есть'!FJ$73:FJ$80)</f>
        <v>0</v>
      </c>
      <c r="FJ72">
        <f>SUMIF('Как есть'!$A$73:$A$80,Доп.расчеты!$A72,'Как есть'!FK$73:FK$80)</f>
        <v>0</v>
      </c>
      <c r="FK72">
        <f>SUMIF('Как есть'!$A$73:$A$80,Доп.расчеты!$A72,'Как есть'!FL$73:FL$80)</f>
        <v>0</v>
      </c>
      <c r="FL72">
        <f>SUMIF('Как есть'!$A$73:$A$80,Доп.расчеты!$A72,'Как есть'!FM$73:FM$80)</f>
        <v>0</v>
      </c>
      <c r="FM72">
        <f>SUMIF('Как есть'!$A$73:$A$80,Доп.расчеты!$A72,'Как есть'!FN$73:FN$80)</f>
        <v>0</v>
      </c>
      <c r="FN72">
        <f>SUMIF('Как есть'!$A$73:$A$80,Доп.расчеты!$A72,'Как есть'!FO$73:FO$80)</f>
        <v>0</v>
      </c>
      <c r="FO72">
        <f>SUMIF('Как есть'!$A$73:$A$80,Доп.расчеты!$A72,'Как есть'!FP$73:FP$80)</f>
        <v>0</v>
      </c>
      <c r="FP72">
        <f>SUMIF('Как есть'!$A$73:$A$80,Доп.расчеты!$A72,'Как есть'!FQ$73:FQ$80)</f>
        <v>0</v>
      </c>
      <c r="FQ72">
        <f>SUMIF('Как есть'!$A$73:$A$80,Доп.расчеты!$A72,'Как есть'!FR$73:FR$80)</f>
        <v>0</v>
      </c>
      <c r="FR72">
        <f>SUMIF('Как есть'!$A$73:$A$80,Доп.расчеты!$A72,'Как есть'!FS$73:FS$80)</f>
        <v>0</v>
      </c>
      <c r="FS72">
        <f>SUMIF('Как есть'!$A$73:$A$80,Доп.расчеты!$A72,'Как есть'!FT$73:FT$80)</f>
        <v>0</v>
      </c>
      <c r="FT72">
        <f>SUMIF('Как есть'!$A$73:$A$80,Доп.расчеты!$A72,'Как есть'!FU$73:FU$80)</f>
        <v>0</v>
      </c>
      <c r="FU72">
        <f>SUMIF('Как есть'!$A$73:$A$80,Доп.расчеты!$A72,'Как есть'!FV$73:FV$80)</f>
        <v>0</v>
      </c>
      <c r="FV72">
        <f>SUMIF('Как есть'!$A$73:$A$80,Доп.расчеты!$A72,'Как есть'!FW$73:FW$80)</f>
        <v>0</v>
      </c>
      <c r="FW72">
        <f>SUMIF('Как есть'!$A$73:$A$80,Доп.расчеты!$A72,'Как есть'!FX$73:FX$80)</f>
        <v>0</v>
      </c>
      <c r="FX72">
        <f>SUMIF('Как есть'!$A$73:$A$80,Доп.расчеты!$A72,'Как есть'!FY$73:FY$80)</f>
        <v>0</v>
      </c>
      <c r="FY72">
        <f>SUMIF('Как есть'!$A$73:$A$80,Доп.расчеты!$A72,'Как есть'!FZ$73:FZ$80)</f>
        <v>0</v>
      </c>
      <c r="FZ72">
        <f>SUMIF('Как есть'!$A$73:$A$80,Доп.расчеты!$A72,'Как есть'!GA$73:GA$80)</f>
        <v>0</v>
      </c>
      <c r="GA72">
        <f>SUMIF('Как есть'!$A$73:$A$80,Доп.расчеты!$A72,'Как есть'!GB$73:GB$80)</f>
        <v>0</v>
      </c>
      <c r="GB72">
        <f>SUMIF('Как есть'!$A$73:$A$80,Доп.расчеты!$A72,'Как есть'!GC$73:GC$80)</f>
        <v>0</v>
      </c>
      <c r="GC72">
        <f>SUMIF('Как есть'!$A$73:$A$80,Доп.расчеты!$A72,'Как есть'!GD$73:GD$80)</f>
        <v>0</v>
      </c>
      <c r="GD72">
        <f>SUMIF('Как есть'!$A$73:$A$80,Доп.расчеты!$A72,'Как есть'!GE$73:GE$80)</f>
        <v>0</v>
      </c>
      <c r="GE72">
        <f>SUMIF('Как есть'!$A$73:$A$80,Доп.расчеты!$A72,'Как есть'!GF$73:GF$80)</f>
        <v>0</v>
      </c>
      <c r="GF72">
        <f>SUMIF('Как есть'!$A$73:$A$80,Доп.расчеты!$A72,'Как есть'!GG$73:GG$80)</f>
        <v>0</v>
      </c>
      <c r="GG72">
        <f>SUMIF('Как есть'!$A$73:$A$80,Доп.расчеты!$A72,'Как есть'!GH$73:GH$80)</f>
        <v>0</v>
      </c>
      <c r="GH72">
        <f>SUMIF('Как есть'!$A$73:$A$80,Доп.расчеты!$A72,'Как есть'!GI$73:GI$80)</f>
        <v>0</v>
      </c>
      <c r="GI72">
        <f>SUMIF('Как есть'!$A$73:$A$80,Доп.расчеты!$A72,'Как есть'!GJ$73:GJ$80)</f>
        <v>0</v>
      </c>
      <c r="GJ72">
        <f>SUMIF('Как есть'!$A$73:$A$80,Доп.расчеты!$A72,'Как есть'!GK$73:GK$80)</f>
        <v>0</v>
      </c>
      <c r="GK72">
        <f>SUMIF('Как есть'!$A$73:$A$80,Доп.расчеты!$A72,'Как есть'!GL$73:GL$80)</f>
        <v>0</v>
      </c>
      <c r="GL72">
        <f>SUMIF('Как есть'!$A$73:$A$80,Доп.расчеты!$A72,'Как есть'!GM$73:GM$80)</f>
        <v>0</v>
      </c>
      <c r="GM72">
        <f>SUMIF('Как есть'!$A$73:$A$80,Доп.расчеты!$A72,'Как есть'!GN$73:GN$80)</f>
        <v>0</v>
      </c>
      <c r="GN72">
        <f>SUMIF('Как есть'!$A$73:$A$80,Доп.расчеты!$A72,'Как есть'!GO$73:GO$80)</f>
        <v>0</v>
      </c>
      <c r="GO72">
        <f>SUMIF('Как есть'!$A$73:$A$80,Доп.расчеты!$A72,'Как есть'!GP$73:GP$80)</f>
        <v>0</v>
      </c>
      <c r="GP72">
        <f>SUMIF('Как есть'!$A$73:$A$80,Доп.расчеты!$A72,'Как есть'!GQ$73:GQ$80)</f>
        <v>0</v>
      </c>
      <c r="GQ72">
        <f>SUMIF('Как есть'!$A$73:$A$80,Доп.расчеты!$A72,'Как есть'!GR$73:GR$80)</f>
        <v>0</v>
      </c>
      <c r="GR72">
        <f>SUMIF('Как есть'!$A$73:$A$80,Доп.расчеты!$A72,'Как есть'!GS$73:GS$80)</f>
        <v>0</v>
      </c>
      <c r="GS72">
        <f>SUMIF('Как есть'!$A$73:$A$80,Доп.расчеты!$A72,'Как есть'!GT$73:GT$80)</f>
        <v>0</v>
      </c>
      <c r="GT72">
        <f>SUMIF('Как есть'!$A$73:$A$80,Доп.расчеты!$A72,'Как есть'!GU$73:GU$80)</f>
        <v>0</v>
      </c>
    </row>
    <row r="73" spans="1:202">
      <c r="A73" s="237" t="s">
        <v>110</v>
      </c>
      <c r="B73">
        <f>SUMIF('Как есть'!$A$73:$A$80,Доп.расчеты!$A73,'Как есть'!C$73:C$80)</f>
        <v>0</v>
      </c>
      <c r="C73">
        <f>SUMIF('Как есть'!$A$73:$A$80,Доп.расчеты!$A73,'Как есть'!D$73:D$80)</f>
        <v>0</v>
      </c>
      <c r="D73">
        <f>SUMIF('Как есть'!$A$73:$A$80,Доп.расчеты!$A73,'Как есть'!E$73:E$80)</f>
        <v>0</v>
      </c>
      <c r="E73">
        <f>SUMIF('Как есть'!$A$73:$A$80,Доп.расчеты!$A73,'Как есть'!F$73:F$80)</f>
        <v>0</v>
      </c>
      <c r="F73">
        <f>SUMIF('Как есть'!$A$73:$A$80,Доп.расчеты!$A73,'Как есть'!G$73:G$80)</f>
        <v>0</v>
      </c>
      <c r="G73">
        <f>SUMIF('Как есть'!$A$73:$A$80,Доп.расчеты!$A73,'Как есть'!H$73:H$80)</f>
        <v>0</v>
      </c>
      <c r="H73">
        <f>SUMIF('Как есть'!$A$73:$A$80,Доп.расчеты!$A73,'Как есть'!I$73:I$80)</f>
        <v>0</v>
      </c>
      <c r="I73">
        <f>SUMIF('Как есть'!$A$73:$A$80,Доп.расчеты!$A73,'Как есть'!J$73:J$80)</f>
        <v>0</v>
      </c>
      <c r="J73">
        <f>SUMIF('Как есть'!$A$73:$A$80,Доп.расчеты!$A73,'Как есть'!K$73:K$80)</f>
        <v>0</v>
      </c>
      <c r="K73">
        <f>SUMIF('Как есть'!$A$73:$A$80,Доп.расчеты!$A73,'Как есть'!L$73:L$80)</f>
        <v>0</v>
      </c>
      <c r="L73">
        <f>SUMIF('Как есть'!$A$73:$A$80,Доп.расчеты!$A73,'Как есть'!M$73:M$80)</f>
        <v>0</v>
      </c>
      <c r="M73">
        <f>SUMIF('Как есть'!$A$73:$A$80,Доп.расчеты!$A73,'Как есть'!N$73:N$80)</f>
        <v>0</v>
      </c>
      <c r="N73">
        <f>SUMIF('Как есть'!$A$73:$A$80,Доп.расчеты!$A73,'Как есть'!O$73:O$80)</f>
        <v>0</v>
      </c>
      <c r="O73">
        <f>SUMIF('Как есть'!$A$73:$A$80,Доп.расчеты!$A73,'Как есть'!P$73:P$80)</f>
        <v>0</v>
      </c>
      <c r="P73">
        <f>SUMIF('Как есть'!$A$73:$A$80,Доп.расчеты!$A73,'Как есть'!Q$73:Q$80)</f>
        <v>0</v>
      </c>
      <c r="Q73">
        <f>SUMIF('Как есть'!$A$73:$A$80,Доп.расчеты!$A73,'Как есть'!R$73:R$80)</f>
        <v>0</v>
      </c>
      <c r="R73">
        <f>SUMIF('Как есть'!$A$73:$A$80,Доп.расчеты!$A73,'Как есть'!S$73:S$80)</f>
        <v>0</v>
      </c>
      <c r="S73">
        <f>SUMIF('Как есть'!$A$73:$A$80,Доп.расчеты!$A73,'Как есть'!T$73:T$80)</f>
        <v>0</v>
      </c>
      <c r="T73">
        <f>SUMIF('Как есть'!$A$73:$A$80,Доп.расчеты!$A73,'Как есть'!U$73:U$80)</f>
        <v>0</v>
      </c>
      <c r="U73">
        <f>SUMIF('Как есть'!$A$73:$A$80,Доп.расчеты!$A73,'Как есть'!V$73:V$80)</f>
        <v>0</v>
      </c>
      <c r="V73">
        <f>SUMIF('Как есть'!$A$73:$A$80,Доп.расчеты!$A73,'Как есть'!W$73:W$80)</f>
        <v>0</v>
      </c>
      <c r="W73">
        <f>SUMIF('Как есть'!$A$73:$A$80,Доп.расчеты!$A73,'Как есть'!X$73:X$80)</f>
        <v>0</v>
      </c>
      <c r="X73">
        <f>SUMIF('Как есть'!$A$73:$A$80,Доп.расчеты!$A73,'Как есть'!Y$73:Y$80)</f>
        <v>0</v>
      </c>
      <c r="Y73">
        <f>SUMIF('Как есть'!$A$73:$A$80,Доп.расчеты!$A73,'Как есть'!Z$73:Z$80)</f>
        <v>0</v>
      </c>
      <c r="Z73">
        <f>SUMIF('Как есть'!$A$73:$A$80,Доп.расчеты!$A73,'Как есть'!AA$73:AA$80)</f>
        <v>0</v>
      </c>
      <c r="AA73">
        <f>SUMIF('Как есть'!$A$73:$A$80,Доп.расчеты!$A73,'Как есть'!AB$73:AB$80)</f>
        <v>0</v>
      </c>
      <c r="AB73">
        <f>SUMIF('Как есть'!$A$73:$A$80,Доп.расчеты!$A73,'Как есть'!AC$73:AC$80)</f>
        <v>0</v>
      </c>
      <c r="AC73">
        <f>SUMIF('Как есть'!$A$73:$A$80,Доп.расчеты!$A73,'Как есть'!AD$73:AD$80)</f>
        <v>0</v>
      </c>
      <c r="AD73">
        <f>SUMIF('Как есть'!$A$73:$A$80,Доп.расчеты!$A73,'Как есть'!AE$73:AE$80)</f>
        <v>0</v>
      </c>
      <c r="AE73">
        <f>SUMIF('Как есть'!$A$73:$A$80,Доп.расчеты!$A73,'Как есть'!AF$73:AF$80)</f>
        <v>0</v>
      </c>
      <c r="AF73">
        <f>SUMIF('Как есть'!$A$73:$A$80,Доп.расчеты!$A73,'Как есть'!AG$73:AG$80)</f>
        <v>0</v>
      </c>
      <c r="AG73">
        <f>SUMIF('Как есть'!$A$73:$A$80,Доп.расчеты!$A73,'Как есть'!AH$73:AH$80)</f>
        <v>0</v>
      </c>
      <c r="AH73">
        <f>SUMIF('Как есть'!$A$73:$A$80,Доп.расчеты!$A73,'Как есть'!AI$73:AI$80)</f>
        <v>0</v>
      </c>
      <c r="AI73">
        <f>SUMIF('Как есть'!$A$73:$A$80,Доп.расчеты!$A73,'Как есть'!AJ$73:AJ$80)</f>
        <v>0</v>
      </c>
      <c r="AJ73">
        <f>SUMIF('Как есть'!$A$73:$A$80,Доп.расчеты!$A73,'Как есть'!AK$73:AK$80)</f>
        <v>0</v>
      </c>
      <c r="AK73">
        <f>SUMIF('Как есть'!$A$73:$A$80,Доп.расчеты!$A73,'Как есть'!AL$73:AL$80)</f>
        <v>0</v>
      </c>
      <c r="AL73">
        <f>SUMIF('Как есть'!$A$73:$A$80,Доп.расчеты!$A73,'Как есть'!AM$73:AM$80)</f>
        <v>0</v>
      </c>
      <c r="AM73">
        <f>SUMIF('Как есть'!$A$73:$A$80,Доп.расчеты!$A73,'Как есть'!AN$73:AN$80)</f>
        <v>0</v>
      </c>
      <c r="AN73">
        <f>SUMIF('Как есть'!$A$73:$A$80,Доп.расчеты!$A73,'Как есть'!AO$73:AO$80)</f>
        <v>0</v>
      </c>
      <c r="AO73">
        <f>SUMIF('Как есть'!$A$73:$A$80,Доп.расчеты!$A73,'Как есть'!AP$73:AP$80)</f>
        <v>0</v>
      </c>
      <c r="AP73">
        <f>SUMIF('Как есть'!$A$73:$A$80,Доп.расчеты!$A73,'Как есть'!AQ$73:AQ$80)</f>
        <v>0</v>
      </c>
      <c r="AQ73">
        <f>SUMIF('Как есть'!$A$73:$A$80,Доп.расчеты!$A73,'Как есть'!AR$73:AR$80)</f>
        <v>0</v>
      </c>
      <c r="AR73">
        <f>SUMIF('Как есть'!$A$73:$A$80,Доп.расчеты!$A73,'Как есть'!AS$73:AS$80)</f>
        <v>0</v>
      </c>
      <c r="AS73">
        <f>SUMIF('Как есть'!$A$73:$A$80,Доп.расчеты!$A73,'Как есть'!AT$73:AT$80)</f>
        <v>0</v>
      </c>
      <c r="AT73">
        <f>SUMIF('Как есть'!$A$73:$A$80,Доп.расчеты!$A73,'Как есть'!AU$73:AU$80)</f>
        <v>0</v>
      </c>
      <c r="AU73">
        <f>SUMIF('Как есть'!$A$73:$A$80,Доп.расчеты!$A73,'Как есть'!AV$73:AV$80)</f>
        <v>0</v>
      </c>
      <c r="AV73">
        <f>SUMIF('Как есть'!$A$73:$A$80,Доп.расчеты!$A73,'Как есть'!AW$73:AW$80)</f>
        <v>0</v>
      </c>
      <c r="AW73">
        <f>SUMIF('Как есть'!$A$73:$A$80,Доп.расчеты!$A73,'Как есть'!AX$73:AX$80)</f>
        <v>0</v>
      </c>
      <c r="AX73">
        <f>SUMIF('Как есть'!$A$73:$A$80,Доп.расчеты!$A73,'Как есть'!AY$73:AY$80)</f>
        <v>0</v>
      </c>
      <c r="AY73">
        <f>SUMIF('Как есть'!$A$73:$A$80,Доп.расчеты!$A73,'Как есть'!AZ$73:AZ$80)</f>
        <v>0</v>
      </c>
      <c r="AZ73">
        <f>SUMIF('Как есть'!$A$73:$A$80,Доп.расчеты!$A73,'Как есть'!BA$73:BA$80)</f>
        <v>0</v>
      </c>
      <c r="BA73">
        <f>SUMIF('Как есть'!$A$73:$A$80,Доп.расчеты!$A73,'Как есть'!BB$73:BB$80)</f>
        <v>0</v>
      </c>
      <c r="BB73">
        <f>SUMIF('Как есть'!$A$73:$A$80,Доп.расчеты!$A73,'Как есть'!BC$73:BC$80)</f>
        <v>0</v>
      </c>
      <c r="BC73">
        <f>SUMIF('Как есть'!$A$73:$A$80,Доп.расчеты!$A73,'Как есть'!BD$73:BD$80)</f>
        <v>0</v>
      </c>
      <c r="BD73">
        <f>SUMIF('Как есть'!$A$73:$A$80,Доп.расчеты!$A73,'Как есть'!BE$73:BE$80)</f>
        <v>0</v>
      </c>
      <c r="BE73">
        <f>SUMIF('Как есть'!$A$73:$A$80,Доп.расчеты!$A73,'Как есть'!BF$73:BF$80)</f>
        <v>0</v>
      </c>
      <c r="BF73">
        <f>SUMIF('Как есть'!$A$73:$A$80,Доп.расчеты!$A73,'Как есть'!BG$73:BG$80)</f>
        <v>0</v>
      </c>
      <c r="BG73">
        <f>SUMIF('Как есть'!$A$73:$A$80,Доп.расчеты!$A73,'Как есть'!BH$73:BH$80)</f>
        <v>0</v>
      </c>
      <c r="BH73">
        <f>SUMIF('Как есть'!$A$73:$A$80,Доп.расчеты!$A73,'Как есть'!BI$73:BI$80)</f>
        <v>0</v>
      </c>
      <c r="BI73">
        <f>SUMIF('Как есть'!$A$73:$A$80,Доп.расчеты!$A73,'Как есть'!BJ$73:BJ$80)</f>
        <v>0</v>
      </c>
      <c r="BJ73">
        <f>SUMIF('Как есть'!$A$73:$A$80,Доп.расчеты!$A73,'Как есть'!BK$73:BK$80)</f>
        <v>0</v>
      </c>
      <c r="BK73">
        <f>SUMIF('Как есть'!$A$73:$A$80,Доп.расчеты!$A73,'Как есть'!BL$73:BL$80)</f>
        <v>0</v>
      </c>
      <c r="BL73">
        <f>SUMIF('Как есть'!$A$73:$A$80,Доп.расчеты!$A73,'Как есть'!BM$73:BM$80)</f>
        <v>0</v>
      </c>
      <c r="BM73">
        <f>SUMIF('Как есть'!$A$73:$A$80,Доп.расчеты!$A73,'Как есть'!BN$73:BN$80)</f>
        <v>0</v>
      </c>
      <c r="BN73">
        <f>SUMIF('Как есть'!$A$73:$A$80,Доп.расчеты!$A73,'Как есть'!BO$73:BO$80)</f>
        <v>0</v>
      </c>
      <c r="BO73">
        <f>SUMIF('Как есть'!$A$73:$A$80,Доп.расчеты!$A73,'Как есть'!BP$73:BP$80)</f>
        <v>0</v>
      </c>
      <c r="BP73">
        <f>SUMIF('Как есть'!$A$73:$A$80,Доп.расчеты!$A73,'Как есть'!BQ$73:BQ$80)</f>
        <v>0</v>
      </c>
      <c r="BQ73">
        <f>SUMIF('Как есть'!$A$73:$A$80,Доп.расчеты!$A73,'Как есть'!BR$73:BR$80)</f>
        <v>0</v>
      </c>
      <c r="BR73">
        <f>SUMIF('Как есть'!$A$73:$A$80,Доп.расчеты!$A73,'Как есть'!BS$73:BS$80)</f>
        <v>0</v>
      </c>
      <c r="BS73">
        <f>SUMIF('Как есть'!$A$73:$A$80,Доп.расчеты!$A73,'Как есть'!BT$73:BT$80)</f>
        <v>0</v>
      </c>
      <c r="BT73">
        <f>SUMIF('Как есть'!$A$73:$A$80,Доп.расчеты!$A73,'Как есть'!BU$73:BU$80)</f>
        <v>0</v>
      </c>
      <c r="BU73">
        <f>SUMIF('Как есть'!$A$73:$A$80,Доп.расчеты!$A73,'Как есть'!BV$73:BV$80)</f>
        <v>0</v>
      </c>
      <c r="BV73">
        <f>SUMIF('Как есть'!$A$73:$A$80,Доп.расчеты!$A73,'Как есть'!BW$73:BW$80)</f>
        <v>0</v>
      </c>
      <c r="BW73">
        <f>SUMIF('Как есть'!$A$73:$A$80,Доп.расчеты!$A73,'Как есть'!BX$73:BX$80)</f>
        <v>0</v>
      </c>
      <c r="BX73">
        <f>SUMIF('Как есть'!$A$73:$A$80,Доп.расчеты!$A73,'Как есть'!BY$73:BY$80)</f>
        <v>0</v>
      </c>
      <c r="BY73">
        <f>SUMIF('Как есть'!$A$73:$A$80,Доп.расчеты!$A73,'Как есть'!BZ$73:BZ$80)</f>
        <v>0</v>
      </c>
      <c r="BZ73">
        <f>SUMIF('Как есть'!$A$73:$A$80,Доп.расчеты!$A73,'Как есть'!CA$73:CA$80)</f>
        <v>0</v>
      </c>
      <c r="CA73">
        <f>SUMIF('Как есть'!$A$73:$A$80,Доп.расчеты!$A73,'Как есть'!CB$73:CB$80)</f>
        <v>0</v>
      </c>
      <c r="CB73">
        <f>SUMIF('Как есть'!$A$73:$A$80,Доп.расчеты!$A73,'Как есть'!CC$73:CC$80)</f>
        <v>0</v>
      </c>
      <c r="CC73">
        <f>SUMIF('Как есть'!$A$73:$A$80,Доп.расчеты!$A73,'Как есть'!CD$73:CD$80)</f>
        <v>0</v>
      </c>
      <c r="CD73">
        <f>SUMIF('Как есть'!$A$73:$A$80,Доп.расчеты!$A73,'Как есть'!CE$73:CE$80)</f>
        <v>0</v>
      </c>
      <c r="CE73">
        <f>SUMIF('Как есть'!$A$73:$A$80,Доп.расчеты!$A73,'Как есть'!CF$73:CF$80)</f>
        <v>0</v>
      </c>
      <c r="CF73">
        <f>SUMIF('Как есть'!$A$73:$A$80,Доп.расчеты!$A73,'Как есть'!CG$73:CG$80)</f>
        <v>0</v>
      </c>
      <c r="CG73">
        <f>SUMIF('Как есть'!$A$73:$A$80,Доп.расчеты!$A73,'Как есть'!CH$73:CH$80)</f>
        <v>0</v>
      </c>
      <c r="CH73">
        <f>SUMIF('Как есть'!$A$73:$A$80,Доп.расчеты!$A73,'Как есть'!CI$73:CI$80)</f>
        <v>0</v>
      </c>
      <c r="CI73">
        <f>SUMIF('Как есть'!$A$73:$A$80,Доп.расчеты!$A73,'Как есть'!CJ$73:CJ$80)</f>
        <v>0</v>
      </c>
      <c r="CJ73">
        <f>SUMIF('Как есть'!$A$73:$A$80,Доп.расчеты!$A73,'Как есть'!CK$73:CK$80)</f>
        <v>0</v>
      </c>
      <c r="CK73">
        <f>SUMIF('Как есть'!$A$73:$A$80,Доп.расчеты!$A73,'Как есть'!CL$73:CL$80)</f>
        <v>0</v>
      </c>
      <c r="CL73">
        <f>SUMIF('Как есть'!$A$73:$A$80,Доп.расчеты!$A73,'Как есть'!CM$73:CM$80)</f>
        <v>0</v>
      </c>
      <c r="CM73">
        <f>SUMIF('Как есть'!$A$73:$A$80,Доп.расчеты!$A73,'Как есть'!CN$73:CN$80)</f>
        <v>0</v>
      </c>
      <c r="CN73">
        <f>SUMIF('Как есть'!$A$73:$A$80,Доп.расчеты!$A73,'Как есть'!CO$73:CO$80)</f>
        <v>0</v>
      </c>
      <c r="CO73">
        <f>SUMIF('Как есть'!$A$73:$A$80,Доп.расчеты!$A73,'Как есть'!CP$73:CP$80)</f>
        <v>0</v>
      </c>
      <c r="CP73">
        <f>SUMIF('Как есть'!$A$73:$A$80,Доп.расчеты!$A73,'Как есть'!CQ$73:CQ$80)</f>
        <v>0</v>
      </c>
      <c r="CQ73">
        <f>SUMIF('Как есть'!$A$73:$A$80,Доп.расчеты!$A73,'Как есть'!CR$73:CR$80)</f>
        <v>0</v>
      </c>
      <c r="CR73">
        <f>SUMIF('Как есть'!$A$73:$A$80,Доп.расчеты!$A73,'Как есть'!CS$73:CS$80)</f>
        <v>0</v>
      </c>
      <c r="CS73">
        <f>SUMIF('Как есть'!$A$73:$A$80,Доп.расчеты!$A73,'Как есть'!CT$73:CT$80)</f>
        <v>0</v>
      </c>
      <c r="CT73">
        <f>SUMIF('Как есть'!$A$73:$A$80,Доп.расчеты!$A73,'Как есть'!CU$73:CU$80)</f>
        <v>0</v>
      </c>
      <c r="CU73">
        <f>SUMIF('Как есть'!$A$73:$A$80,Доп.расчеты!$A73,'Как есть'!CV$73:CV$80)</f>
        <v>0</v>
      </c>
      <c r="CV73">
        <f>SUMIF('Как есть'!$A$73:$A$80,Доп.расчеты!$A73,'Как есть'!CW$73:CW$80)</f>
        <v>0</v>
      </c>
      <c r="CW73">
        <f>SUMIF('Как есть'!$A$73:$A$80,Доп.расчеты!$A73,'Как есть'!CX$73:CX$80)</f>
        <v>0</v>
      </c>
      <c r="CX73">
        <f>SUMIF('Как есть'!$A$73:$A$80,Доп.расчеты!$A73,'Как есть'!CY$73:CY$80)</f>
        <v>0</v>
      </c>
      <c r="CY73">
        <f>SUMIF('Как есть'!$A$73:$A$80,Доп.расчеты!$A73,'Как есть'!CZ$73:CZ$80)</f>
        <v>0</v>
      </c>
      <c r="CZ73">
        <f>SUMIF('Как есть'!$A$73:$A$80,Доп.расчеты!$A73,'Как есть'!DA$73:DA$80)</f>
        <v>0</v>
      </c>
      <c r="DA73">
        <f>SUMIF('Как есть'!$A$73:$A$80,Доп.расчеты!$A73,'Как есть'!DB$73:DB$80)</f>
        <v>0</v>
      </c>
      <c r="DB73">
        <f>SUMIF('Как есть'!$A$73:$A$80,Доп.расчеты!$A73,'Как есть'!DC$73:DC$80)</f>
        <v>0</v>
      </c>
      <c r="DC73">
        <f>SUMIF('Как есть'!$A$73:$A$80,Доп.расчеты!$A73,'Как есть'!DD$73:DD$80)</f>
        <v>0</v>
      </c>
      <c r="DD73">
        <f>SUMIF('Как есть'!$A$73:$A$80,Доп.расчеты!$A73,'Как есть'!DE$73:DE$80)</f>
        <v>0</v>
      </c>
      <c r="DE73">
        <f>SUMIF('Как есть'!$A$73:$A$80,Доп.расчеты!$A73,'Как есть'!DF$73:DF$80)</f>
        <v>0</v>
      </c>
      <c r="DF73">
        <f>SUMIF('Как есть'!$A$73:$A$80,Доп.расчеты!$A73,'Как есть'!DG$73:DG$80)</f>
        <v>0</v>
      </c>
      <c r="DG73">
        <f>SUMIF('Как есть'!$A$73:$A$80,Доп.расчеты!$A73,'Как есть'!DH$73:DH$80)</f>
        <v>0</v>
      </c>
      <c r="DH73">
        <f>SUMIF('Как есть'!$A$73:$A$80,Доп.расчеты!$A73,'Как есть'!DI$73:DI$80)</f>
        <v>0</v>
      </c>
      <c r="DI73">
        <f>SUMIF('Как есть'!$A$73:$A$80,Доп.расчеты!$A73,'Как есть'!DJ$73:DJ$80)</f>
        <v>0</v>
      </c>
      <c r="DJ73">
        <f>SUMIF('Как есть'!$A$73:$A$80,Доп.расчеты!$A73,'Как есть'!DK$73:DK$80)</f>
        <v>0</v>
      </c>
      <c r="DK73">
        <f>SUMIF('Как есть'!$A$73:$A$80,Доп.расчеты!$A73,'Как есть'!DL$73:DL$80)</f>
        <v>0</v>
      </c>
      <c r="DL73">
        <f>SUMIF('Как есть'!$A$73:$A$80,Доп.расчеты!$A73,'Как есть'!DM$73:DM$80)</f>
        <v>0</v>
      </c>
      <c r="DM73">
        <f>SUMIF('Как есть'!$A$73:$A$80,Доп.расчеты!$A73,'Как есть'!DN$73:DN$80)</f>
        <v>0</v>
      </c>
      <c r="DN73">
        <f>SUMIF('Как есть'!$A$73:$A$80,Доп.расчеты!$A73,'Как есть'!DO$73:DO$80)</f>
        <v>0</v>
      </c>
      <c r="DO73">
        <f>SUMIF('Как есть'!$A$73:$A$80,Доп.расчеты!$A73,'Как есть'!DP$73:DP$80)</f>
        <v>0</v>
      </c>
      <c r="DP73">
        <f>SUMIF('Как есть'!$A$73:$A$80,Доп.расчеты!$A73,'Как есть'!DQ$73:DQ$80)</f>
        <v>0</v>
      </c>
      <c r="DQ73">
        <f>SUMIF('Как есть'!$A$73:$A$80,Доп.расчеты!$A73,'Как есть'!DR$73:DR$80)</f>
        <v>0</v>
      </c>
      <c r="DR73">
        <f>SUMIF('Как есть'!$A$73:$A$80,Доп.расчеты!$A73,'Как есть'!DS$73:DS$80)</f>
        <v>0</v>
      </c>
      <c r="DS73">
        <f>SUMIF('Как есть'!$A$73:$A$80,Доп.расчеты!$A73,'Как есть'!DT$73:DT$80)</f>
        <v>0</v>
      </c>
      <c r="DT73">
        <f>SUMIF('Как есть'!$A$73:$A$80,Доп.расчеты!$A73,'Как есть'!DU$73:DU$80)</f>
        <v>0</v>
      </c>
      <c r="DU73">
        <f>SUMIF('Как есть'!$A$73:$A$80,Доп.расчеты!$A73,'Как есть'!DV$73:DV$80)</f>
        <v>0</v>
      </c>
      <c r="DV73">
        <f>SUMIF('Как есть'!$A$73:$A$80,Доп.расчеты!$A73,'Как есть'!DW$73:DW$80)</f>
        <v>0</v>
      </c>
      <c r="DW73">
        <f>SUMIF('Как есть'!$A$73:$A$80,Доп.расчеты!$A73,'Как есть'!DX$73:DX$80)</f>
        <v>0</v>
      </c>
      <c r="DX73">
        <f>SUMIF('Как есть'!$A$73:$A$80,Доп.расчеты!$A73,'Как есть'!DY$73:DY$80)</f>
        <v>0</v>
      </c>
      <c r="DY73">
        <f>SUMIF('Как есть'!$A$73:$A$80,Доп.расчеты!$A73,'Как есть'!DZ$73:DZ$80)</f>
        <v>0</v>
      </c>
      <c r="DZ73">
        <f>SUMIF('Как есть'!$A$73:$A$80,Доп.расчеты!$A73,'Как есть'!EA$73:EA$80)</f>
        <v>0</v>
      </c>
      <c r="EA73">
        <f>SUMIF('Как есть'!$A$73:$A$80,Доп.расчеты!$A73,'Как есть'!EB$73:EB$80)</f>
        <v>0</v>
      </c>
      <c r="EB73">
        <f>SUMIF('Как есть'!$A$73:$A$80,Доп.расчеты!$A73,'Как есть'!EC$73:EC$80)</f>
        <v>0</v>
      </c>
      <c r="EC73">
        <f>SUMIF('Как есть'!$A$73:$A$80,Доп.расчеты!$A73,'Как есть'!ED$73:ED$80)</f>
        <v>0</v>
      </c>
      <c r="ED73">
        <f>SUMIF('Как есть'!$A$73:$A$80,Доп.расчеты!$A73,'Как есть'!EE$73:EE$80)</f>
        <v>0</v>
      </c>
      <c r="EE73">
        <f>SUMIF('Как есть'!$A$73:$A$80,Доп.расчеты!$A73,'Как есть'!EF$73:EF$80)</f>
        <v>0</v>
      </c>
      <c r="EF73">
        <f>SUMIF('Как есть'!$A$73:$A$80,Доп.расчеты!$A73,'Как есть'!EG$73:EG$80)</f>
        <v>0</v>
      </c>
      <c r="EG73">
        <f>SUMIF('Как есть'!$A$73:$A$80,Доп.расчеты!$A73,'Как есть'!EH$73:EH$80)</f>
        <v>0</v>
      </c>
      <c r="EH73">
        <f>SUMIF('Как есть'!$A$73:$A$80,Доп.расчеты!$A73,'Как есть'!EI$73:EI$80)</f>
        <v>0</v>
      </c>
      <c r="EI73">
        <f>SUMIF('Как есть'!$A$73:$A$80,Доп.расчеты!$A73,'Как есть'!EJ$73:EJ$80)</f>
        <v>0</v>
      </c>
      <c r="EJ73">
        <f>SUMIF('Как есть'!$A$73:$A$80,Доп.расчеты!$A73,'Как есть'!EK$73:EK$80)</f>
        <v>0</v>
      </c>
      <c r="EK73">
        <f>SUMIF('Как есть'!$A$73:$A$80,Доп.расчеты!$A73,'Как есть'!EL$73:EL$80)</f>
        <v>0</v>
      </c>
      <c r="EL73">
        <f>SUMIF('Как есть'!$A$73:$A$80,Доп.расчеты!$A73,'Как есть'!EM$73:EM$80)</f>
        <v>0</v>
      </c>
      <c r="EM73">
        <f>SUMIF('Как есть'!$A$73:$A$80,Доп.расчеты!$A73,'Как есть'!EN$73:EN$80)</f>
        <v>0</v>
      </c>
      <c r="EN73">
        <f>SUMIF('Как есть'!$A$73:$A$80,Доп.расчеты!$A73,'Как есть'!EO$73:EO$80)</f>
        <v>0</v>
      </c>
      <c r="EO73">
        <f>SUMIF('Как есть'!$A$73:$A$80,Доп.расчеты!$A73,'Как есть'!EP$73:EP$80)</f>
        <v>0</v>
      </c>
      <c r="EP73">
        <f>SUMIF('Как есть'!$A$73:$A$80,Доп.расчеты!$A73,'Как есть'!EQ$73:EQ$80)</f>
        <v>0</v>
      </c>
      <c r="EQ73">
        <f>SUMIF('Как есть'!$A$73:$A$80,Доп.расчеты!$A73,'Как есть'!ER$73:ER$80)</f>
        <v>0</v>
      </c>
      <c r="ER73">
        <f>SUMIF('Как есть'!$A$73:$A$80,Доп.расчеты!$A73,'Как есть'!ES$73:ES$80)</f>
        <v>0</v>
      </c>
      <c r="ES73">
        <f>SUMIF('Как есть'!$A$73:$A$80,Доп.расчеты!$A73,'Как есть'!ET$73:ET$80)</f>
        <v>0</v>
      </c>
      <c r="ET73">
        <f>SUMIF('Как есть'!$A$73:$A$80,Доп.расчеты!$A73,'Как есть'!EU$73:EU$80)</f>
        <v>0</v>
      </c>
      <c r="EU73">
        <f>SUMIF('Как есть'!$A$73:$A$80,Доп.расчеты!$A73,'Как есть'!EV$73:EV$80)</f>
        <v>0</v>
      </c>
      <c r="EV73">
        <f>SUMIF('Как есть'!$A$73:$A$80,Доп.расчеты!$A73,'Как есть'!EW$73:EW$80)</f>
        <v>0</v>
      </c>
      <c r="EW73">
        <f>SUMIF('Как есть'!$A$73:$A$80,Доп.расчеты!$A73,'Как есть'!EX$73:EX$80)</f>
        <v>0</v>
      </c>
      <c r="EX73">
        <f>SUMIF('Как есть'!$A$73:$A$80,Доп.расчеты!$A73,'Как есть'!EY$73:EY$80)</f>
        <v>0</v>
      </c>
      <c r="EY73">
        <f>SUMIF('Как есть'!$A$73:$A$80,Доп.расчеты!$A73,'Как есть'!EZ$73:EZ$80)</f>
        <v>0</v>
      </c>
      <c r="EZ73">
        <f>SUMIF('Как есть'!$A$73:$A$80,Доп.расчеты!$A73,'Как есть'!FA$73:FA$80)</f>
        <v>0</v>
      </c>
      <c r="FA73">
        <f>SUMIF('Как есть'!$A$73:$A$80,Доп.расчеты!$A73,'Как есть'!FB$73:FB$80)</f>
        <v>0</v>
      </c>
      <c r="FB73">
        <f>SUMIF('Как есть'!$A$73:$A$80,Доп.расчеты!$A73,'Как есть'!FC$73:FC$80)</f>
        <v>0</v>
      </c>
      <c r="FC73">
        <f>SUMIF('Как есть'!$A$73:$A$80,Доп.расчеты!$A73,'Как есть'!FD$73:FD$80)</f>
        <v>0</v>
      </c>
      <c r="FD73">
        <f>SUMIF('Как есть'!$A$73:$A$80,Доп.расчеты!$A73,'Как есть'!FE$73:FE$80)</f>
        <v>0</v>
      </c>
      <c r="FE73">
        <f>SUMIF('Как есть'!$A$73:$A$80,Доп.расчеты!$A73,'Как есть'!FF$73:FF$80)</f>
        <v>0</v>
      </c>
      <c r="FF73">
        <f>SUMIF('Как есть'!$A$73:$A$80,Доп.расчеты!$A73,'Как есть'!FG$73:FG$80)</f>
        <v>0</v>
      </c>
      <c r="FG73">
        <f>SUMIF('Как есть'!$A$73:$A$80,Доп.расчеты!$A73,'Как есть'!FH$73:FH$80)</f>
        <v>0</v>
      </c>
      <c r="FH73">
        <f>SUMIF('Как есть'!$A$73:$A$80,Доп.расчеты!$A73,'Как есть'!FI$73:FI$80)</f>
        <v>0</v>
      </c>
      <c r="FI73">
        <f>SUMIF('Как есть'!$A$73:$A$80,Доп.расчеты!$A73,'Как есть'!FJ$73:FJ$80)</f>
        <v>0</v>
      </c>
      <c r="FJ73">
        <f>SUMIF('Как есть'!$A$73:$A$80,Доп.расчеты!$A73,'Как есть'!FK$73:FK$80)</f>
        <v>0</v>
      </c>
      <c r="FK73">
        <f>SUMIF('Как есть'!$A$73:$A$80,Доп.расчеты!$A73,'Как есть'!FL$73:FL$80)</f>
        <v>0</v>
      </c>
      <c r="FL73">
        <f>SUMIF('Как есть'!$A$73:$A$80,Доп.расчеты!$A73,'Как есть'!FM$73:FM$80)</f>
        <v>0</v>
      </c>
      <c r="FM73">
        <f>SUMIF('Как есть'!$A$73:$A$80,Доп.расчеты!$A73,'Как есть'!FN$73:FN$80)</f>
        <v>0</v>
      </c>
      <c r="FN73">
        <f>SUMIF('Как есть'!$A$73:$A$80,Доп.расчеты!$A73,'Как есть'!FO$73:FO$80)</f>
        <v>0</v>
      </c>
      <c r="FO73">
        <f>SUMIF('Как есть'!$A$73:$A$80,Доп.расчеты!$A73,'Как есть'!FP$73:FP$80)</f>
        <v>0</v>
      </c>
      <c r="FP73">
        <f>SUMIF('Как есть'!$A$73:$A$80,Доп.расчеты!$A73,'Как есть'!FQ$73:FQ$80)</f>
        <v>0</v>
      </c>
      <c r="FQ73">
        <f>SUMIF('Как есть'!$A$73:$A$80,Доп.расчеты!$A73,'Как есть'!FR$73:FR$80)</f>
        <v>0</v>
      </c>
      <c r="FR73">
        <f>SUMIF('Как есть'!$A$73:$A$80,Доп.расчеты!$A73,'Как есть'!FS$73:FS$80)</f>
        <v>0</v>
      </c>
      <c r="FS73">
        <f>SUMIF('Как есть'!$A$73:$A$80,Доп.расчеты!$A73,'Как есть'!FT$73:FT$80)</f>
        <v>0</v>
      </c>
      <c r="FT73">
        <f>SUMIF('Как есть'!$A$73:$A$80,Доп.расчеты!$A73,'Как есть'!FU$73:FU$80)</f>
        <v>0</v>
      </c>
      <c r="FU73">
        <f>SUMIF('Как есть'!$A$73:$A$80,Доп.расчеты!$A73,'Как есть'!FV$73:FV$80)</f>
        <v>0</v>
      </c>
      <c r="FV73">
        <f>SUMIF('Как есть'!$A$73:$A$80,Доп.расчеты!$A73,'Как есть'!FW$73:FW$80)</f>
        <v>0</v>
      </c>
      <c r="FW73">
        <f>SUMIF('Как есть'!$A$73:$A$80,Доп.расчеты!$A73,'Как есть'!FX$73:FX$80)</f>
        <v>0</v>
      </c>
      <c r="FX73">
        <f>SUMIF('Как есть'!$A$73:$A$80,Доп.расчеты!$A73,'Как есть'!FY$73:FY$80)</f>
        <v>0</v>
      </c>
      <c r="FY73">
        <f>SUMIF('Как есть'!$A$73:$A$80,Доп.расчеты!$A73,'Как есть'!FZ$73:FZ$80)</f>
        <v>0</v>
      </c>
      <c r="FZ73">
        <f>SUMIF('Как есть'!$A$73:$A$80,Доп.расчеты!$A73,'Как есть'!GA$73:GA$80)</f>
        <v>0</v>
      </c>
      <c r="GA73">
        <f>SUMIF('Как есть'!$A$73:$A$80,Доп.расчеты!$A73,'Как есть'!GB$73:GB$80)</f>
        <v>0</v>
      </c>
      <c r="GB73">
        <f>SUMIF('Как есть'!$A$73:$A$80,Доп.расчеты!$A73,'Как есть'!GC$73:GC$80)</f>
        <v>0</v>
      </c>
      <c r="GC73">
        <f>SUMIF('Как есть'!$A$73:$A$80,Доп.расчеты!$A73,'Как есть'!GD$73:GD$80)</f>
        <v>0</v>
      </c>
      <c r="GD73">
        <f>SUMIF('Как есть'!$A$73:$A$80,Доп.расчеты!$A73,'Как есть'!GE$73:GE$80)</f>
        <v>0</v>
      </c>
      <c r="GE73">
        <f>SUMIF('Как есть'!$A$73:$A$80,Доп.расчеты!$A73,'Как есть'!GF$73:GF$80)</f>
        <v>0</v>
      </c>
      <c r="GF73">
        <f>SUMIF('Как есть'!$A$73:$A$80,Доп.расчеты!$A73,'Как есть'!GG$73:GG$80)</f>
        <v>0</v>
      </c>
      <c r="GG73">
        <f>SUMIF('Как есть'!$A$73:$A$80,Доп.расчеты!$A73,'Как есть'!GH$73:GH$80)</f>
        <v>0</v>
      </c>
      <c r="GH73">
        <f>SUMIF('Как есть'!$A$73:$A$80,Доп.расчеты!$A73,'Как есть'!GI$73:GI$80)</f>
        <v>0</v>
      </c>
      <c r="GI73">
        <f>SUMIF('Как есть'!$A$73:$A$80,Доп.расчеты!$A73,'Как есть'!GJ$73:GJ$80)</f>
        <v>0</v>
      </c>
      <c r="GJ73">
        <f>SUMIF('Как есть'!$A$73:$A$80,Доп.расчеты!$A73,'Как есть'!GK$73:GK$80)</f>
        <v>0</v>
      </c>
      <c r="GK73">
        <f>SUMIF('Как есть'!$A$73:$A$80,Доп.расчеты!$A73,'Как есть'!GL$73:GL$80)</f>
        <v>0</v>
      </c>
      <c r="GL73">
        <f>SUMIF('Как есть'!$A$73:$A$80,Доп.расчеты!$A73,'Как есть'!GM$73:GM$80)</f>
        <v>0</v>
      </c>
      <c r="GM73">
        <f>SUMIF('Как есть'!$A$73:$A$80,Доп.расчеты!$A73,'Как есть'!GN$73:GN$80)</f>
        <v>0</v>
      </c>
      <c r="GN73">
        <f>SUMIF('Как есть'!$A$73:$A$80,Доп.расчеты!$A73,'Как есть'!GO$73:GO$80)</f>
        <v>0</v>
      </c>
      <c r="GO73">
        <f>SUMIF('Как есть'!$A$73:$A$80,Доп.расчеты!$A73,'Как есть'!GP$73:GP$80)</f>
        <v>0</v>
      </c>
      <c r="GP73">
        <f>SUMIF('Как есть'!$A$73:$A$80,Доп.расчеты!$A73,'Как есть'!GQ$73:GQ$80)</f>
        <v>0</v>
      </c>
      <c r="GQ73">
        <f>SUMIF('Как есть'!$A$73:$A$80,Доп.расчеты!$A73,'Как есть'!GR$73:GR$80)</f>
        <v>0</v>
      </c>
      <c r="GR73">
        <f>SUMIF('Как есть'!$A$73:$A$80,Доп.расчеты!$A73,'Как есть'!GS$73:GS$80)</f>
        <v>0</v>
      </c>
      <c r="GS73">
        <f>SUMIF('Как есть'!$A$73:$A$80,Доп.расчеты!$A73,'Как есть'!GT$73:GT$80)</f>
        <v>0</v>
      </c>
      <c r="GT73">
        <f>SUMIF('Как есть'!$A$73:$A$80,Доп.расчеты!$A73,'Как есть'!GU$73:GU$80)</f>
        <v>0</v>
      </c>
    </row>
    <row r="74" spans="1:202">
      <c r="A74" s="237" t="s">
        <v>111</v>
      </c>
      <c r="B74">
        <f>SUMIF('Как есть'!$A$73:$A$80,Доп.расчеты!$A74,'Как есть'!C$73:C$80)</f>
        <v>0</v>
      </c>
      <c r="C74">
        <f>SUMIF('Как есть'!$A$73:$A$80,Доп.расчеты!$A74,'Как есть'!D$73:D$80)</f>
        <v>0</v>
      </c>
      <c r="D74">
        <f>SUMIF('Как есть'!$A$73:$A$80,Доп.расчеты!$A74,'Как есть'!E$73:E$80)</f>
        <v>0</v>
      </c>
      <c r="E74">
        <f>SUMIF('Как есть'!$A$73:$A$80,Доп.расчеты!$A74,'Как есть'!F$73:F$80)</f>
        <v>0</v>
      </c>
      <c r="F74">
        <f>SUMIF('Как есть'!$A$73:$A$80,Доп.расчеты!$A74,'Как есть'!G$73:G$80)</f>
        <v>0</v>
      </c>
      <c r="G74">
        <f>SUMIF('Как есть'!$A$73:$A$80,Доп.расчеты!$A74,'Как есть'!H$73:H$80)</f>
        <v>0</v>
      </c>
      <c r="H74">
        <f>SUMIF('Как есть'!$A$73:$A$80,Доп.расчеты!$A74,'Как есть'!I$73:I$80)</f>
        <v>0</v>
      </c>
      <c r="I74">
        <f>SUMIF('Как есть'!$A$73:$A$80,Доп.расчеты!$A74,'Как есть'!J$73:J$80)</f>
        <v>0</v>
      </c>
      <c r="J74">
        <f>SUMIF('Как есть'!$A$73:$A$80,Доп.расчеты!$A74,'Как есть'!K$73:K$80)</f>
        <v>0</v>
      </c>
      <c r="K74">
        <f>SUMIF('Как есть'!$A$73:$A$80,Доп.расчеты!$A74,'Как есть'!L$73:L$80)</f>
        <v>0</v>
      </c>
      <c r="L74">
        <f>SUMIF('Как есть'!$A$73:$A$80,Доп.расчеты!$A74,'Как есть'!M$73:M$80)</f>
        <v>0</v>
      </c>
      <c r="M74">
        <f>SUMIF('Как есть'!$A$73:$A$80,Доп.расчеты!$A74,'Как есть'!N$73:N$80)</f>
        <v>0</v>
      </c>
      <c r="N74">
        <f>SUMIF('Как есть'!$A$73:$A$80,Доп.расчеты!$A74,'Как есть'!O$73:O$80)</f>
        <v>0</v>
      </c>
      <c r="O74">
        <f>SUMIF('Как есть'!$A$73:$A$80,Доп.расчеты!$A74,'Как есть'!P$73:P$80)</f>
        <v>0</v>
      </c>
      <c r="P74">
        <f>SUMIF('Как есть'!$A$73:$A$80,Доп.расчеты!$A74,'Как есть'!Q$73:Q$80)</f>
        <v>0</v>
      </c>
      <c r="Q74">
        <f>SUMIF('Как есть'!$A$73:$A$80,Доп.расчеты!$A74,'Как есть'!R$73:R$80)</f>
        <v>0</v>
      </c>
      <c r="R74">
        <f>SUMIF('Как есть'!$A$73:$A$80,Доп.расчеты!$A74,'Как есть'!S$73:S$80)</f>
        <v>0</v>
      </c>
      <c r="S74">
        <f>SUMIF('Как есть'!$A$73:$A$80,Доп.расчеты!$A74,'Как есть'!T$73:T$80)</f>
        <v>0</v>
      </c>
      <c r="T74">
        <f>SUMIF('Как есть'!$A$73:$A$80,Доп.расчеты!$A74,'Как есть'!U$73:U$80)</f>
        <v>0</v>
      </c>
      <c r="U74">
        <f>SUMIF('Как есть'!$A$73:$A$80,Доп.расчеты!$A74,'Как есть'!V$73:V$80)</f>
        <v>0</v>
      </c>
      <c r="V74">
        <f>SUMIF('Как есть'!$A$73:$A$80,Доп.расчеты!$A74,'Как есть'!W$73:W$80)</f>
        <v>0</v>
      </c>
      <c r="W74">
        <f>SUMIF('Как есть'!$A$73:$A$80,Доп.расчеты!$A74,'Как есть'!X$73:X$80)</f>
        <v>0</v>
      </c>
      <c r="X74">
        <f>SUMIF('Как есть'!$A$73:$A$80,Доп.расчеты!$A74,'Как есть'!Y$73:Y$80)</f>
        <v>0</v>
      </c>
      <c r="Y74">
        <f>SUMIF('Как есть'!$A$73:$A$80,Доп.расчеты!$A74,'Как есть'!Z$73:Z$80)</f>
        <v>0</v>
      </c>
      <c r="Z74">
        <f>SUMIF('Как есть'!$A$73:$A$80,Доп.расчеты!$A74,'Как есть'!AA$73:AA$80)</f>
        <v>0</v>
      </c>
      <c r="AA74">
        <f>SUMIF('Как есть'!$A$73:$A$80,Доп.расчеты!$A74,'Как есть'!AB$73:AB$80)</f>
        <v>0</v>
      </c>
      <c r="AB74">
        <f>SUMIF('Как есть'!$A$73:$A$80,Доп.расчеты!$A74,'Как есть'!AC$73:AC$80)</f>
        <v>0</v>
      </c>
      <c r="AC74">
        <f>SUMIF('Как есть'!$A$73:$A$80,Доп.расчеты!$A74,'Как есть'!AD$73:AD$80)</f>
        <v>0</v>
      </c>
      <c r="AD74">
        <f>SUMIF('Как есть'!$A$73:$A$80,Доп.расчеты!$A74,'Как есть'!AE$73:AE$80)</f>
        <v>0</v>
      </c>
      <c r="AE74">
        <f>SUMIF('Как есть'!$A$73:$A$80,Доп.расчеты!$A74,'Как есть'!AF$73:AF$80)</f>
        <v>0</v>
      </c>
      <c r="AF74">
        <f>SUMIF('Как есть'!$A$73:$A$80,Доп.расчеты!$A74,'Как есть'!AG$73:AG$80)</f>
        <v>0</v>
      </c>
      <c r="AG74">
        <f>SUMIF('Как есть'!$A$73:$A$80,Доп.расчеты!$A74,'Как есть'!AH$73:AH$80)</f>
        <v>0</v>
      </c>
      <c r="AH74">
        <f>SUMIF('Как есть'!$A$73:$A$80,Доп.расчеты!$A74,'Как есть'!AI$73:AI$80)</f>
        <v>0</v>
      </c>
      <c r="AI74">
        <f>SUMIF('Как есть'!$A$73:$A$80,Доп.расчеты!$A74,'Как есть'!AJ$73:AJ$80)</f>
        <v>0</v>
      </c>
      <c r="AJ74">
        <f>SUMIF('Как есть'!$A$73:$A$80,Доп.расчеты!$A74,'Как есть'!AK$73:AK$80)</f>
        <v>0</v>
      </c>
      <c r="AK74">
        <f>SUMIF('Как есть'!$A$73:$A$80,Доп.расчеты!$A74,'Как есть'!AL$73:AL$80)</f>
        <v>0</v>
      </c>
      <c r="AL74">
        <f>SUMIF('Как есть'!$A$73:$A$80,Доп.расчеты!$A74,'Как есть'!AM$73:AM$80)</f>
        <v>0</v>
      </c>
      <c r="AM74">
        <f>SUMIF('Как есть'!$A$73:$A$80,Доп.расчеты!$A74,'Как есть'!AN$73:AN$80)</f>
        <v>0</v>
      </c>
      <c r="AN74">
        <f>SUMIF('Как есть'!$A$73:$A$80,Доп.расчеты!$A74,'Как есть'!AO$73:AO$80)</f>
        <v>0</v>
      </c>
      <c r="AO74">
        <f>SUMIF('Как есть'!$A$73:$A$80,Доп.расчеты!$A74,'Как есть'!AP$73:AP$80)</f>
        <v>0</v>
      </c>
      <c r="AP74">
        <f>SUMIF('Как есть'!$A$73:$A$80,Доп.расчеты!$A74,'Как есть'!AQ$73:AQ$80)</f>
        <v>0</v>
      </c>
      <c r="AQ74">
        <f>SUMIF('Как есть'!$A$73:$A$80,Доп.расчеты!$A74,'Как есть'!AR$73:AR$80)</f>
        <v>0</v>
      </c>
      <c r="AR74">
        <f>SUMIF('Как есть'!$A$73:$A$80,Доп.расчеты!$A74,'Как есть'!AS$73:AS$80)</f>
        <v>0</v>
      </c>
      <c r="AS74">
        <f>SUMIF('Как есть'!$A$73:$A$80,Доп.расчеты!$A74,'Как есть'!AT$73:AT$80)</f>
        <v>0</v>
      </c>
      <c r="AT74">
        <f>SUMIF('Как есть'!$A$73:$A$80,Доп.расчеты!$A74,'Как есть'!AU$73:AU$80)</f>
        <v>0</v>
      </c>
      <c r="AU74">
        <f>SUMIF('Как есть'!$A$73:$A$80,Доп.расчеты!$A74,'Как есть'!AV$73:AV$80)</f>
        <v>0</v>
      </c>
      <c r="AV74">
        <f>SUMIF('Как есть'!$A$73:$A$80,Доп.расчеты!$A74,'Как есть'!AW$73:AW$80)</f>
        <v>0</v>
      </c>
      <c r="AW74">
        <f>SUMIF('Как есть'!$A$73:$A$80,Доп.расчеты!$A74,'Как есть'!AX$73:AX$80)</f>
        <v>0</v>
      </c>
      <c r="AX74">
        <f>SUMIF('Как есть'!$A$73:$A$80,Доп.расчеты!$A74,'Как есть'!AY$73:AY$80)</f>
        <v>0</v>
      </c>
      <c r="AY74">
        <f>SUMIF('Как есть'!$A$73:$A$80,Доп.расчеты!$A74,'Как есть'!AZ$73:AZ$80)</f>
        <v>0</v>
      </c>
      <c r="AZ74">
        <f>SUMIF('Как есть'!$A$73:$A$80,Доп.расчеты!$A74,'Как есть'!BA$73:BA$80)</f>
        <v>0</v>
      </c>
      <c r="BA74">
        <f>SUMIF('Как есть'!$A$73:$A$80,Доп.расчеты!$A74,'Как есть'!BB$73:BB$80)</f>
        <v>0</v>
      </c>
      <c r="BB74">
        <f>SUMIF('Как есть'!$A$73:$A$80,Доп.расчеты!$A74,'Как есть'!BC$73:BC$80)</f>
        <v>0</v>
      </c>
      <c r="BC74">
        <f>SUMIF('Как есть'!$A$73:$A$80,Доп.расчеты!$A74,'Как есть'!BD$73:BD$80)</f>
        <v>0</v>
      </c>
      <c r="BD74">
        <f>SUMIF('Как есть'!$A$73:$A$80,Доп.расчеты!$A74,'Как есть'!BE$73:BE$80)</f>
        <v>0</v>
      </c>
      <c r="BE74">
        <f>SUMIF('Как есть'!$A$73:$A$80,Доп.расчеты!$A74,'Как есть'!BF$73:BF$80)</f>
        <v>0</v>
      </c>
      <c r="BF74">
        <f>SUMIF('Как есть'!$A$73:$A$80,Доп.расчеты!$A74,'Как есть'!BG$73:BG$80)</f>
        <v>0</v>
      </c>
      <c r="BG74">
        <f>SUMIF('Как есть'!$A$73:$A$80,Доп.расчеты!$A74,'Как есть'!BH$73:BH$80)</f>
        <v>0</v>
      </c>
      <c r="BH74">
        <f>SUMIF('Как есть'!$A$73:$A$80,Доп.расчеты!$A74,'Как есть'!BI$73:BI$80)</f>
        <v>0</v>
      </c>
      <c r="BI74">
        <f>SUMIF('Как есть'!$A$73:$A$80,Доп.расчеты!$A74,'Как есть'!BJ$73:BJ$80)</f>
        <v>0</v>
      </c>
      <c r="BJ74">
        <f>SUMIF('Как есть'!$A$73:$A$80,Доп.расчеты!$A74,'Как есть'!BK$73:BK$80)</f>
        <v>0</v>
      </c>
      <c r="BK74">
        <f>SUMIF('Как есть'!$A$73:$A$80,Доп.расчеты!$A74,'Как есть'!BL$73:BL$80)</f>
        <v>0</v>
      </c>
      <c r="BL74">
        <f>SUMIF('Как есть'!$A$73:$A$80,Доп.расчеты!$A74,'Как есть'!BM$73:BM$80)</f>
        <v>0</v>
      </c>
      <c r="BM74">
        <f>SUMIF('Как есть'!$A$73:$A$80,Доп.расчеты!$A74,'Как есть'!BN$73:BN$80)</f>
        <v>0</v>
      </c>
      <c r="BN74">
        <f>SUMIF('Как есть'!$A$73:$A$80,Доп.расчеты!$A74,'Как есть'!BO$73:BO$80)</f>
        <v>0</v>
      </c>
      <c r="BO74">
        <f>SUMIF('Как есть'!$A$73:$A$80,Доп.расчеты!$A74,'Как есть'!BP$73:BP$80)</f>
        <v>0</v>
      </c>
      <c r="BP74">
        <f>SUMIF('Как есть'!$A$73:$A$80,Доп.расчеты!$A74,'Как есть'!BQ$73:BQ$80)</f>
        <v>0</v>
      </c>
      <c r="BQ74">
        <f>SUMIF('Как есть'!$A$73:$A$80,Доп.расчеты!$A74,'Как есть'!BR$73:BR$80)</f>
        <v>0</v>
      </c>
      <c r="BR74">
        <f>SUMIF('Как есть'!$A$73:$A$80,Доп.расчеты!$A74,'Как есть'!BS$73:BS$80)</f>
        <v>0</v>
      </c>
      <c r="BS74">
        <f>SUMIF('Как есть'!$A$73:$A$80,Доп.расчеты!$A74,'Как есть'!BT$73:BT$80)</f>
        <v>0</v>
      </c>
      <c r="BT74">
        <f>SUMIF('Как есть'!$A$73:$A$80,Доп.расчеты!$A74,'Как есть'!BU$73:BU$80)</f>
        <v>0</v>
      </c>
      <c r="BU74">
        <f>SUMIF('Как есть'!$A$73:$A$80,Доп.расчеты!$A74,'Как есть'!BV$73:BV$80)</f>
        <v>0</v>
      </c>
      <c r="BV74">
        <f>SUMIF('Как есть'!$A$73:$A$80,Доп.расчеты!$A74,'Как есть'!BW$73:BW$80)</f>
        <v>0</v>
      </c>
      <c r="BW74">
        <f>SUMIF('Как есть'!$A$73:$A$80,Доп.расчеты!$A74,'Как есть'!BX$73:BX$80)</f>
        <v>0</v>
      </c>
      <c r="BX74">
        <f>SUMIF('Как есть'!$A$73:$A$80,Доп.расчеты!$A74,'Как есть'!BY$73:BY$80)</f>
        <v>0</v>
      </c>
      <c r="BY74">
        <f>SUMIF('Как есть'!$A$73:$A$80,Доп.расчеты!$A74,'Как есть'!BZ$73:BZ$80)</f>
        <v>0</v>
      </c>
      <c r="BZ74">
        <f>SUMIF('Как есть'!$A$73:$A$80,Доп.расчеты!$A74,'Как есть'!CA$73:CA$80)</f>
        <v>0</v>
      </c>
      <c r="CA74">
        <f>SUMIF('Как есть'!$A$73:$A$80,Доп.расчеты!$A74,'Как есть'!CB$73:CB$80)</f>
        <v>0</v>
      </c>
      <c r="CB74">
        <f>SUMIF('Как есть'!$A$73:$A$80,Доп.расчеты!$A74,'Как есть'!CC$73:CC$80)</f>
        <v>0</v>
      </c>
      <c r="CC74">
        <f>SUMIF('Как есть'!$A$73:$A$80,Доп.расчеты!$A74,'Как есть'!CD$73:CD$80)</f>
        <v>0</v>
      </c>
      <c r="CD74">
        <f>SUMIF('Как есть'!$A$73:$A$80,Доп.расчеты!$A74,'Как есть'!CE$73:CE$80)</f>
        <v>0</v>
      </c>
      <c r="CE74">
        <f>SUMIF('Как есть'!$A$73:$A$80,Доп.расчеты!$A74,'Как есть'!CF$73:CF$80)</f>
        <v>0</v>
      </c>
      <c r="CF74">
        <f>SUMIF('Как есть'!$A$73:$A$80,Доп.расчеты!$A74,'Как есть'!CG$73:CG$80)</f>
        <v>0</v>
      </c>
      <c r="CG74">
        <f>SUMIF('Как есть'!$A$73:$A$80,Доп.расчеты!$A74,'Как есть'!CH$73:CH$80)</f>
        <v>0</v>
      </c>
      <c r="CH74">
        <f>SUMIF('Как есть'!$A$73:$A$80,Доп.расчеты!$A74,'Как есть'!CI$73:CI$80)</f>
        <v>0</v>
      </c>
      <c r="CI74">
        <f>SUMIF('Как есть'!$A$73:$A$80,Доп.расчеты!$A74,'Как есть'!CJ$73:CJ$80)</f>
        <v>0</v>
      </c>
      <c r="CJ74">
        <f>SUMIF('Как есть'!$A$73:$A$80,Доп.расчеты!$A74,'Как есть'!CK$73:CK$80)</f>
        <v>0</v>
      </c>
      <c r="CK74">
        <f>SUMIF('Как есть'!$A$73:$A$80,Доп.расчеты!$A74,'Как есть'!CL$73:CL$80)</f>
        <v>0</v>
      </c>
      <c r="CL74">
        <f>SUMIF('Как есть'!$A$73:$A$80,Доп.расчеты!$A74,'Как есть'!CM$73:CM$80)</f>
        <v>0</v>
      </c>
      <c r="CM74">
        <f>SUMIF('Как есть'!$A$73:$A$80,Доп.расчеты!$A74,'Как есть'!CN$73:CN$80)</f>
        <v>0</v>
      </c>
      <c r="CN74">
        <f>SUMIF('Как есть'!$A$73:$A$80,Доп.расчеты!$A74,'Как есть'!CO$73:CO$80)</f>
        <v>0</v>
      </c>
      <c r="CO74">
        <f>SUMIF('Как есть'!$A$73:$A$80,Доп.расчеты!$A74,'Как есть'!CP$73:CP$80)</f>
        <v>0</v>
      </c>
      <c r="CP74">
        <f>SUMIF('Как есть'!$A$73:$A$80,Доп.расчеты!$A74,'Как есть'!CQ$73:CQ$80)</f>
        <v>0</v>
      </c>
      <c r="CQ74">
        <f>SUMIF('Как есть'!$A$73:$A$80,Доп.расчеты!$A74,'Как есть'!CR$73:CR$80)</f>
        <v>0</v>
      </c>
      <c r="CR74">
        <f>SUMIF('Как есть'!$A$73:$A$80,Доп.расчеты!$A74,'Как есть'!CS$73:CS$80)</f>
        <v>0</v>
      </c>
      <c r="CS74">
        <f>SUMIF('Как есть'!$A$73:$A$80,Доп.расчеты!$A74,'Как есть'!CT$73:CT$80)</f>
        <v>0</v>
      </c>
      <c r="CT74">
        <f>SUMIF('Как есть'!$A$73:$A$80,Доп.расчеты!$A74,'Как есть'!CU$73:CU$80)</f>
        <v>0</v>
      </c>
      <c r="CU74">
        <f>SUMIF('Как есть'!$A$73:$A$80,Доп.расчеты!$A74,'Как есть'!CV$73:CV$80)</f>
        <v>0</v>
      </c>
      <c r="CV74">
        <f>SUMIF('Как есть'!$A$73:$A$80,Доп.расчеты!$A74,'Как есть'!CW$73:CW$80)</f>
        <v>0</v>
      </c>
      <c r="CW74">
        <f>SUMIF('Как есть'!$A$73:$A$80,Доп.расчеты!$A74,'Как есть'!CX$73:CX$80)</f>
        <v>0</v>
      </c>
      <c r="CX74">
        <f>SUMIF('Как есть'!$A$73:$A$80,Доп.расчеты!$A74,'Как есть'!CY$73:CY$80)</f>
        <v>0</v>
      </c>
      <c r="CY74">
        <f>SUMIF('Как есть'!$A$73:$A$80,Доп.расчеты!$A74,'Как есть'!CZ$73:CZ$80)</f>
        <v>0</v>
      </c>
      <c r="CZ74">
        <f>SUMIF('Как есть'!$A$73:$A$80,Доп.расчеты!$A74,'Как есть'!DA$73:DA$80)</f>
        <v>0</v>
      </c>
      <c r="DA74">
        <f>SUMIF('Как есть'!$A$73:$A$80,Доп.расчеты!$A74,'Как есть'!DB$73:DB$80)</f>
        <v>0</v>
      </c>
      <c r="DB74">
        <f>SUMIF('Как есть'!$A$73:$A$80,Доп.расчеты!$A74,'Как есть'!DC$73:DC$80)</f>
        <v>0</v>
      </c>
      <c r="DC74">
        <f>SUMIF('Как есть'!$A$73:$A$80,Доп.расчеты!$A74,'Как есть'!DD$73:DD$80)</f>
        <v>0</v>
      </c>
      <c r="DD74">
        <f>SUMIF('Как есть'!$A$73:$A$80,Доп.расчеты!$A74,'Как есть'!DE$73:DE$80)</f>
        <v>0</v>
      </c>
      <c r="DE74">
        <f>SUMIF('Как есть'!$A$73:$A$80,Доп.расчеты!$A74,'Как есть'!DF$73:DF$80)</f>
        <v>0</v>
      </c>
      <c r="DF74">
        <f>SUMIF('Как есть'!$A$73:$A$80,Доп.расчеты!$A74,'Как есть'!DG$73:DG$80)</f>
        <v>0</v>
      </c>
      <c r="DG74">
        <f>SUMIF('Как есть'!$A$73:$A$80,Доп.расчеты!$A74,'Как есть'!DH$73:DH$80)</f>
        <v>0</v>
      </c>
      <c r="DH74">
        <f>SUMIF('Как есть'!$A$73:$A$80,Доп.расчеты!$A74,'Как есть'!DI$73:DI$80)</f>
        <v>0</v>
      </c>
      <c r="DI74">
        <f>SUMIF('Как есть'!$A$73:$A$80,Доп.расчеты!$A74,'Как есть'!DJ$73:DJ$80)</f>
        <v>0</v>
      </c>
      <c r="DJ74">
        <f>SUMIF('Как есть'!$A$73:$A$80,Доп.расчеты!$A74,'Как есть'!DK$73:DK$80)</f>
        <v>0</v>
      </c>
      <c r="DK74">
        <f>SUMIF('Как есть'!$A$73:$A$80,Доп.расчеты!$A74,'Как есть'!DL$73:DL$80)</f>
        <v>0</v>
      </c>
      <c r="DL74">
        <f>SUMIF('Как есть'!$A$73:$A$80,Доп.расчеты!$A74,'Как есть'!DM$73:DM$80)</f>
        <v>0</v>
      </c>
      <c r="DM74">
        <f>SUMIF('Как есть'!$A$73:$A$80,Доп.расчеты!$A74,'Как есть'!DN$73:DN$80)</f>
        <v>0</v>
      </c>
      <c r="DN74">
        <f>SUMIF('Как есть'!$A$73:$A$80,Доп.расчеты!$A74,'Как есть'!DO$73:DO$80)</f>
        <v>0</v>
      </c>
      <c r="DO74">
        <f>SUMIF('Как есть'!$A$73:$A$80,Доп.расчеты!$A74,'Как есть'!DP$73:DP$80)</f>
        <v>0</v>
      </c>
      <c r="DP74">
        <f>SUMIF('Как есть'!$A$73:$A$80,Доп.расчеты!$A74,'Как есть'!DQ$73:DQ$80)</f>
        <v>0</v>
      </c>
      <c r="DQ74">
        <f>SUMIF('Как есть'!$A$73:$A$80,Доп.расчеты!$A74,'Как есть'!DR$73:DR$80)</f>
        <v>0</v>
      </c>
      <c r="DR74">
        <f>SUMIF('Как есть'!$A$73:$A$80,Доп.расчеты!$A74,'Как есть'!DS$73:DS$80)</f>
        <v>0</v>
      </c>
      <c r="DS74">
        <f>SUMIF('Как есть'!$A$73:$A$80,Доп.расчеты!$A74,'Как есть'!DT$73:DT$80)</f>
        <v>0</v>
      </c>
      <c r="DT74">
        <f>SUMIF('Как есть'!$A$73:$A$80,Доп.расчеты!$A74,'Как есть'!DU$73:DU$80)</f>
        <v>0</v>
      </c>
      <c r="DU74">
        <f>SUMIF('Как есть'!$A$73:$A$80,Доп.расчеты!$A74,'Как есть'!DV$73:DV$80)</f>
        <v>0</v>
      </c>
      <c r="DV74">
        <f>SUMIF('Как есть'!$A$73:$A$80,Доп.расчеты!$A74,'Как есть'!DW$73:DW$80)</f>
        <v>0</v>
      </c>
      <c r="DW74">
        <f>SUMIF('Как есть'!$A$73:$A$80,Доп.расчеты!$A74,'Как есть'!DX$73:DX$80)</f>
        <v>0</v>
      </c>
      <c r="DX74">
        <f>SUMIF('Как есть'!$A$73:$A$80,Доп.расчеты!$A74,'Как есть'!DY$73:DY$80)</f>
        <v>0</v>
      </c>
      <c r="DY74">
        <f>SUMIF('Как есть'!$A$73:$A$80,Доп.расчеты!$A74,'Как есть'!DZ$73:DZ$80)</f>
        <v>0</v>
      </c>
      <c r="DZ74">
        <f>SUMIF('Как есть'!$A$73:$A$80,Доп.расчеты!$A74,'Как есть'!EA$73:EA$80)</f>
        <v>0</v>
      </c>
      <c r="EA74">
        <f>SUMIF('Как есть'!$A$73:$A$80,Доп.расчеты!$A74,'Как есть'!EB$73:EB$80)</f>
        <v>0</v>
      </c>
      <c r="EB74">
        <f>SUMIF('Как есть'!$A$73:$A$80,Доп.расчеты!$A74,'Как есть'!EC$73:EC$80)</f>
        <v>0</v>
      </c>
      <c r="EC74">
        <f>SUMIF('Как есть'!$A$73:$A$80,Доп.расчеты!$A74,'Как есть'!ED$73:ED$80)</f>
        <v>0</v>
      </c>
      <c r="ED74">
        <f>SUMIF('Как есть'!$A$73:$A$80,Доп.расчеты!$A74,'Как есть'!EE$73:EE$80)</f>
        <v>0</v>
      </c>
      <c r="EE74">
        <f>SUMIF('Как есть'!$A$73:$A$80,Доп.расчеты!$A74,'Как есть'!EF$73:EF$80)</f>
        <v>0</v>
      </c>
      <c r="EF74">
        <f>SUMIF('Как есть'!$A$73:$A$80,Доп.расчеты!$A74,'Как есть'!EG$73:EG$80)</f>
        <v>0</v>
      </c>
      <c r="EG74">
        <f>SUMIF('Как есть'!$A$73:$A$80,Доп.расчеты!$A74,'Как есть'!EH$73:EH$80)</f>
        <v>0</v>
      </c>
      <c r="EH74">
        <f>SUMIF('Как есть'!$A$73:$A$80,Доп.расчеты!$A74,'Как есть'!EI$73:EI$80)</f>
        <v>0</v>
      </c>
      <c r="EI74">
        <f>SUMIF('Как есть'!$A$73:$A$80,Доп.расчеты!$A74,'Как есть'!EJ$73:EJ$80)</f>
        <v>0</v>
      </c>
      <c r="EJ74">
        <f>SUMIF('Как есть'!$A$73:$A$80,Доп.расчеты!$A74,'Как есть'!EK$73:EK$80)</f>
        <v>0</v>
      </c>
      <c r="EK74">
        <f>SUMIF('Как есть'!$A$73:$A$80,Доп.расчеты!$A74,'Как есть'!EL$73:EL$80)</f>
        <v>0</v>
      </c>
      <c r="EL74">
        <f>SUMIF('Как есть'!$A$73:$A$80,Доп.расчеты!$A74,'Как есть'!EM$73:EM$80)</f>
        <v>0</v>
      </c>
      <c r="EM74">
        <f>SUMIF('Как есть'!$A$73:$A$80,Доп.расчеты!$A74,'Как есть'!EN$73:EN$80)</f>
        <v>0</v>
      </c>
      <c r="EN74">
        <f>SUMIF('Как есть'!$A$73:$A$80,Доп.расчеты!$A74,'Как есть'!EO$73:EO$80)</f>
        <v>0</v>
      </c>
      <c r="EO74">
        <f>SUMIF('Как есть'!$A$73:$A$80,Доп.расчеты!$A74,'Как есть'!EP$73:EP$80)</f>
        <v>0</v>
      </c>
      <c r="EP74">
        <f>SUMIF('Как есть'!$A$73:$A$80,Доп.расчеты!$A74,'Как есть'!EQ$73:EQ$80)</f>
        <v>0</v>
      </c>
      <c r="EQ74">
        <f>SUMIF('Как есть'!$A$73:$A$80,Доп.расчеты!$A74,'Как есть'!ER$73:ER$80)</f>
        <v>0</v>
      </c>
      <c r="ER74">
        <f>SUMIF('Как есть'!$A$73:$A$80,Доп.расчеты!$A74,'Как есть'!ES$73:ES$80)</f>
        <v>0</v>
      </c>
      <c r="ES74">
        <f>SUMIF('Как есть'!$A$73:$A$80,Доп.расчеты!$A74,'Как есть'!ET$73:ET$80)</f>
        <v>0</v>
      </c>
      <c r="ET74">
        <f>SUMIF('Как есть'!$A$73:$A$80,Доп.расчеты!$A74,'Как есть'!EU$73:EU$80)</f>
        <v>0</v>
      </c>
      <c r="EU74">
        <f>SUMIF('Как есть'!$A$73:$A$80,Доп.расчеты!$A74,'Как есть'!EV$73:EV$80)</f>
        <v>0</v>
      </c>
      <c r="EV74">
        <f>SUMIF('Как есть'!$A$73:$A$80,Доп.расчеты!$A74,'Как есть'!EW$73:EW$80)</f>
        <v>0</v>
      </c>
      <c r="EW74">
        <f>SUMIF('Как есть'!$A$73:$A$80,Доп.расчеты!$A74,'Как есть'!EX$73:EX$80)</f>
        <v>0</v>
      </c>
      <c r="EX74">
        <f>SUMIF('Как есть'!$A$73:$A$80,Доп.расчеты!$A74,'Как есть'!EY$73:EY$80)</f>
        <v>0</v>
      </c>
      <c r="EY74">
        <f>SUMIF('Как есть'!$A$73:$A$80,Доп.расчеты!$A74,'Как есть'!EZ$73:EZ$80)</f>
        <v>0</v>
      </c>
      <c r="EZ74">
        <f>SUMIF('Как есть'!$A$73:$A$80,Доп.расчеты!$A74,'Как есть'!FA$73:FA$80)</f>
        <v>0</v>
      </c>
      <c r="FA74">
        <f>SUMIF('Как есть'!$A$73:$A$80,Доп.расчеты!$A74,'Как есть'!FB$73:FB$80)</f>
        <v>0</v>
      </c>
      <c r="FB74">
        <f>SUMIF('Как есть'!$A$73:$A$80,Доп.расчеты!$A74,'Как есть'!FC$73:FC$80)</f>
        <v>0</v>
      </c>
      <c r="FC74">
        <f>SUMIF('Как есть'!$A$73:$A$80,Доп.расчеты!$A74,'Как есть'!FD$73:FD$80)</f>
        <v>0</v>
      </c>
      <c r="FD74">
        <f>SUMIF('Как есть'!$A$73:$A$80,Доп.расчеты!$A74,'Как есть'!FE$73:FE$80)</f>
        <v>0</v>
      </c>
      <c r="FE74">
        <f>SUMIF('Как есть'!$A$73:$A$80,Доп.расчеты!$A74,'Как есть'!FF$73:FF$80)</f>
        <v>0</v>
      </c>
      <c r="FF74">
        <f>SUMIF('Как есть'!$A$73:$A$80,Доп.расчеты!$A74,'Как есть'!FG$73:FG$80)</f>
        <v>0</v>
      </c>
      <c r="FG74">
        <f>SUMIF('Как есть'!$A$73:$A$80,Доп.расчеты!$A74,'Как есть'!FH$73:FH$80)</f>
        <v>0</v>
      </c>
      <c r="FH74">
        <f>SUMIF('Как есть'!$A$73:$A$80,Доп.расчеты!$A74,'Как есть'!FI$73:FI$80)</f>
        <v>0</v>
      </c>
      <c r="FI74">
        <f>SUMIF('Как есть'!$A$73:$A$80,Доп.расчеты!$A74,'Как есть'!FJ$73:FJ$80)</f>
        <v>0</v>
      </c>
      <c r="FJ74">
        <f>SUMIF('Как есть'!$A$73:$A$80,Доп.расчеты!$A74,'Как есть'!FK$73:FK$80)</f>
        <v>0</v>
      </c>
      <c r="FK74">
        <f>SUMIF('Как есть'!$A$73:$A$80,Доп.расчеты!$A74,'Как есть'!FL$73:FL$80)</f>
        <v>0</v>
      </c>
      <c r="FL74">
        <f>SUMIF('Как есть'!$A$73:$A$80,Доп.расчеты!$A74,'Как есть'!FM$73:FM$80)</f>
        <v>0</v>
      </c>
      <c r="FM74">
        <f>SUMIF('Как есть'!$A$73:$A$80,Доп.расчеты!$A74,'Как есть'!FN$73:FN$80)</f>
        <v>0</v>
      </c>
      <c r="FN74">
        <f>SUMIF('Как есть'!$A$73:$A$80,Доп.расчеты!$A74,'Как есть'!FO$73:FO$80)</f>
        <v>0</v>
      </c>
      <c r="FO74">
        <f>SUMIF('Как есть'!$A$73:$A$80,Доп.расчеты!$A74,'Как есть'!FP$73:FP$80)</f>
        <v>0</v>
      </c>
      <c r="FP74">
        <f>SUMIF('Как есть'!$A$73:$A$80,Доп.расчеты!$A74,'Как есть'!FQ$73:FQ$80)</f>
        <v>0</v>
      </c>
      <c r="FQ74">
        <f>SUMIF('Как есть'!$A$73:$A$80,Доп.расчеты!$A74,'Как есть'!FR$73:FR$80)</f>
        <v>0</v>
      </c>
      <c r="FR74">
        <f>SUMIF('Как есть'!$A$73:$A$80,Доп.расчеты!$A74,'Как есть'!FS$73:FS$80)</f>
        <v>0</v>
      </c>
      <c r="FS74">
        <f>SUMIF('Как есть'!$A$73:$A$80,Доп.расчеты!$A74,'Как есть'!FT$73:FT$80)</f>
        <v>0</v>
      </c>
      <c r="FT74">
        <f>SUMIF('Как есть'!$A$73:$A$80,Доп.расчеты!$A74,'Как есть'!FU$73:FU$80)</f>
        <v>0</v>
      </c>
      <c r="FU74">
        <f>SUMIF('Как есть'!$A$73:$A$80,Доп.расчеты!$A74,'Как есть'!FV$73:FV$80)</f>
        <v>0</v>
      </c>
      <c r="FV74">
        <f>SUMIF('Как есть'!$A$73:$A$80,Доп.расчеты!$A74,'Как есть'!FW$73:FW$80)</f>
        <v>0</v>
      </c>
      <c r="FW74">
        <f>SUMIF('Как есть'!$A$73:$A$80,Доп.расчеты!$A74,'Как есть'!FX$73:FX$80)</f>
        <v>0</v>
      </c>
      <c r="FX74">
        <f>SUMIF('Как есть'!$A$73:$A$80,Доп.расчеты!$A74,'Как есть'!FY$73:FY$80)</f>
        <v>0</v>
      </c>
      <c r="FY74">
        <f>SUMIF('Как есть'!$A$73:$A$80,Доп.расчеты!$A74,'Как есть'!FZ$73:FZ$80)</f>
        <v>0</v>
      </c>
      <c r="FZ74">
        <f>SUMIF('Как есть'!$A$73:$A$80,Доп.расчеты!$A74,'Как есть'!GA$73:GA$80)</f>
        <v>0</v>
      </c>
      <c r="GA74">
        <f>SUMIF('Как есть'!$A$73:$A$80,Доп.расчеты!$A74,'Как есть'!GB$73:GB$80)</f>
        <v>0</v>
      </c>
      <c r="GB74">
        <f>SUMIF('Как есть'!$A$73:$A$80,Доп.расчеты!$A74,'Как есть'!GC$73:GC$80)</f>
        <v>0</v>
      </c>
      <c r="GC74">
        <f>SUMIF('Как есть'!$A$73:$A$80,Доп.расчеты!$A74,'Как есть'!GD$73:GD$80)</f>
        <v>0</v>
      </c>
      <c r="GD74">
        <f>SUMIF('Как есть'!$A$73:$A$80,Доп.расчеты!$A74,'Как есть'!GE$73:GE$80)</f>
        <v>0</v>
      </c>
      <c r="GE74">
        <f>SUMIF('Как есть'!$A$73:$A$80,Доп.расчеты!$A74,'Как есть'!GF$73:GF$80)</f>
        <v>0</v>
      </c>
      <c r="GF74">
        <f>SUMIF('Как есть'!$A$73:$A$80,Доп.расчеты!$A74,'Как есть'!GG$73:GG$80)</f>
        <v>0</v>
      </c>
      <c r="GG74">
        <f>SUMIF('Как есть'!$A$73:$A$80,Доп.расчеты!$A74,'Как есть'!GH$73:GH$80)</f>
        <v>0</v>
      </c>
      <c r="GH74">
        <f>SUMIF('Как есть'!$A$73:$A$80,Доп.расчеты!$A74,'Как есть'!GI$73:GI$80)</f>
        <v>0</v>
      </c>
      <c r="GI74">
        <f>SUMIF('Как есть'!$A$73:$A$80,Доп.расчеты!$A74,'Как есть'!GJ$73:GJ$80)</f>
        <v>0</v>
      </c>
      <c r="GJ74">
        <f>SUMIF('Как есть'!$A$73:$A$80,Доп.расчеты!$A74,'Как есть'!GK$73:GK$80)</f>
        <v>0</v>
      </c>
      <c r="GK74">
        <f>SUMIF('Как есть'!$A$73:$A$80,Доп.расчеты!$A74,'Как есть'!GL$73:GL$80)</f>
        <v>0</v>
      </c>
      <c r="GL74">
        <f>SUMIF('Как есть'!$A$73:$A$80,Доп.расчеты!$A74,'Как есть'!GM$73:GM$80)</f>
        <v>0</v>
      </c>
      <c r="GM74">
        <f>SUMIF('Как есть'!$A$73:$A$80,Доп.расчеты!$A74,'Как есть'!GN$73:GN$80)</f>
        <v>0</v>
      </c>
      <c r="GN74">
        <f>SUMIF('Как есть'!$A$73:$A$80,Доп.расчеты!$A74,'Как есть'!GO$73:GO$80)</f>
        <v>0</v>
      </c>
      <c r="GO74">
        <f>SUMIF('Как есть'!$A$73:$A$80,Доп.расчеты!$A74,'Как есть'!GP$73:GP$80)</f>
        <v>0</v>
      </c>
      <c r="GP74">
        <f>SUMIF('Как есть'!$A$73:$A$80,Доп.расчеты!$A74,'Как есть'!GQ$73:GQ$80)</f>
        <v>0</v>
      </c>
      <c r="GQ74">
        <f>SUMIF('Как есть'!$A$73:$A$80,Доп.расчеты!$A74,'Как есть'!GR$73:GR$80)</f>
        <v>0</v>
      </c>
      <c r="GR74">
        <f>SUMIF('Как есть'!$A$73:$A$80,Доп.расчеты!$A74,'Как есть'!GS$73:GS$80)</f>
        <v>0</v>
      </c>
      <c r="GS74">
        <f>SUMIF('Как есть'!$A$73:$A$80,Доп.расчеты!$A74,'Как есть'!GT$73:GT$80)</f>
        <v>0</v>
      </c>
      <c r="GT74">
        <f>SUMIF('Как есть'!$A$73:$A$80,Доп.расчеты!$A74,'Как есть'!GU$73:GU$80)</f>
        <v>0</v>
      </c>
    </row>
    <row r="75" spans="1:202">
      <c r="A75" s="234" t="s">
        <v>247</v>
      </c>
    </row>
    <row r="76" spans="1:202">
      <c r="A76" s="237" t="s">
        <v>23</v>
      </c>
      <c r="B76">
        <f>SUMIF('Как есть'!$A$82:$A$89,Доп.расчеты!$A76,'Как есть'!C$82:C$89)</f>
        <v>0</v>
      </c>
      <c r="C76">
        <f>SUMIF('Как есть'!$A$82:$A$89,Доп.расчеты!$A76,'Как есть'!D$82:D$89)</f>
        <v>0</v>
      </c>
      <c r="D76">
        <f>SUMIF('Как есть'!$A$82:$A$89,Доп.расчеты!$A76,'Как есть'!E$82:E$89)</f>
        <v>0</v>
      </c>
      <c r="E76">
        <f>SUMIF('Как есть'!$A$82:$A$89,Доп.расчеты!$A76,'Как есть'!F$82:F$89)</f>
        <v>0</v>
      </c>
      <c r="F76">
        <f>SUMIF('Как есть'!$A$82:$A$89,Доп.расчеты!$A76,'Как есть'!G$82:G$89)</f>
        <v>0</v>
      </c>
      <c r="G76">
        <f>SUMIF('Как есть'!$A$82:$A$89,Доп.расчеты!$A76,'Как есть'!H$82:H$89)</f>
        <v>0</v>
      </c>
      <c r="H76">
        <f>SUMIF('Как есть'!$A$82:$A$89,Доп.расчеты!$A76,'Как есть'!I$82:I$89)</f>
        <v>0</v>
      </c>
      <c r="I76">
        <f>SUMIF('Как есть'!$A$82:$A$89,Доп.расчеты!$A76,'Как есть'!J$82:J$89)</f>
        <v>0</v>
      </c>
      <c r="J76">
        <f>SUMIF('Как есть'!$A$82:$A$89,Доп.расчеты!$A76,'Как есть'!K$82:K$89)</f>
        <v>0</v>
      </c>
      <c r="K76">
        <f>SUMIF('Как есть'!$A$82:$A$89,Доп.расчеты!$A76,'Как есть'!L$82:L$89)</f>
        <v>0</v>
      </c>
      <c r="L76">
        <f>SUMIF('Как есть'!$A$82:$A$89,Доп.расчеты!$A76,'Как есть'!M$82:M$89)</f>
        <v>0</v>
      </c>
      <c r="M76">
        <f>SUMIF('Как есть'!$A$82:$A$89,Доп.расчеты!$A76,'Как есть'!N$82:N$89)</f>
        <v>0</v>
      </c>
      <c r="N76">
        <f>SUMIF('Как есть'!$A$82:$A$89,Доп.расчеты!$A76,'Как есть'!O$82:O$89)</f>
        <v>0</v>
      </c>
      <c r="O76">
        <f>SUMIF('Как есть'!$A$82:$A$89,Доп.расчеты!$A76,'Как есть'!P$82:P$89)</f>
        <v>0</v>
      </c>
      <c r="P76">
        <f>SUMIF('Как есть'!$A$82:$A$89,Доп.расчеты!$A76,'Как есть'!Q$82:Q$89)</f>
        <v>0</v>
      </c>
      <c r="Q76">
        <f>SUMIF('Как есть'!$A$82:$A$89,Доп.расчеты!$A76,'Как есть'!R$82:R$89)</f>
        <v>0</v>
      </c>
      <c r="R76">
        <f>SUMIF('Как есть'!$A$82:$A$89,Доп.расчеты!$A76,'Как есть'!S$82:S$89)</f>
        <v>0</v>
      </c>
      <c r="S76">
        <f>SUMIF('Как есть'!$A$82:$A$89,Доп.расчеты!$A76,'Как есть'!T$82:T$89)</f>
        <v>0</v>
      </c>
      <c r="T76">
        <f>SUMIF('Как есть'!$A$82:$A$89,Доп.расчеты!$A76,'Как есть'!U$82:U$89)</f>
        <v>0</v>
      </c>
      <c r="U76">
        <f>SUMIF('Как есть'!$A$82:$A$89,Доп.расчеты!$A76,'Как есть'!V$82:V$89)</f>
        <v>0</v>
      </c>
      <c r="V76">
        <f>SUMIF('Как есть'!$A$82:$A$89,Доп.расчеты!$A76,'Как есть'!W$82:W$89)</f>
        <v>0</v>
      </c>
      <c r="W76">
        <f>SUMIF('Как есть'!$A$82:$A$89,Доп.расчеты!$A76,'Как есть'!X$82:X$89)</f>
        <v>0</v>
      </c>
      <c r="X76">
        <f>SUMIF('Как есть'!$A$82:$A$89,Доп.расчеты!$A76,'Как есть'!Y$82:Y$89)</f>
        <v>0</v>
      </c>
      <c r="Y76">
        <f>SUMIF('Как есть'!$A$82:$A$89,Доп.расчеты!$A76,'Как есть'!Z$82:Z$89)</f>
        <v>0</v>
      </c>
      <c r="Z76">
        <f>SUMIF('Как есть'!$A$82:$A$89,Доп.расчеты!$A76,'Как есть'!AA$82:AA$89)</f>
        <v>0</v>
      </c>
      <c r="AA76">
        <f>SUMIF('Как есть'!$A$82:$A$89,Доп.расчеты!$A76,'Как есть'!AB$82:AB$89)</f>
        <v>0</v>
      </c>
      <c r="AB76">
        <f>SUMIF('Как есть'!$A$82:$A$89,Доп.расчеты!$A76,'Как есть'!AC$82:AC$89)</f>
        <v>0</v>
      </c>
      <c r="AC76">
        <f>SUMIF('Как есть'!$A$82:$A$89,Доп.расчеты!$A76,'Как есть'!AD$82:AD$89)</f>
        <v>0</v>
      </c>
      <c r="AD76">
        <f>SUMIF('Как есть'!$A$82:$A$89,Доп.расчеты!$A76,'Как есть'!AE$82:AE$89)</f>
        <v>0</v>
      </c>
      <c r="AE76">
        <f>SUMIF('Как есть'!$A$82:$A$89,Доп.расчеты!$A76,'Как есть'!AF$82:AF$89)</f>
        <v>0</v>
      </c>
      <c r="AF76">
        <f>SUMIF('Как есть'!$A$82:$A$89,Доп.расчеты!$A76,'Как есть'!AG$82:AG$89)</f>
        <v>0</v>
      </c>
      <c r="AG76">
        <f>SUMIF('Как есть'!$A$82:$A$89,Доп.расчеты!$A76,'Как есть'!AH$82:AH$89)</f>
        <v>0</v>
      </c>
      <c r="AH76">
        <f>SUMIF('Как есть'!$A$82:$A$89,Доп.расчеты!$A76,'Как есть'!AI$82:AI$89)</f>
        <v>0</v>
      </c>
      <c r="AI76">
        <f>SUMIF('Как есть'!$A$82:$A$89,Доп.расчеты!$A76,'Как есть'!AJ$82:AJ$89)</f>
        <v>0</v>
      </c>
      <c r="AJ76">
        <f>SUMIF('Как есть'!$A$82:$A$89,Доп.расчеты!$A76,'Как есть'!AK$82:AK$89)</f>
        <v>0</v>
      </c>
      <c r="AK76">
        <f>SUMIF('Как есть'!$A$82:$A$89,Доп.расчеты!$A76,'Как есть'!AL$82:AL$89)</f>
        <v>0</v>
      </c>
      <c r="AL76">
        <f>SUMIF('Как есть'!$A$82:$A$89,Доп.расчеты!$A76,'Как есть'!AM$82:AM$89)</f>
        <v>0</v>
      </c>
      <c r="AM76">
        <f>SUMIF('Как есть'!$A$82:$A$89,Доп.расчеты!$A76,'Как есть'!AN$82:AN$89)</f>
        <v>0</v>
      </c>
      <c r="AN76">
        <f>SUMIF('Как есть'!$A$82:$A$89,Доп.расчеты!$A76,'Как есть'!AO$82:AO$89)</f>
        <v>0</v>
      </c>
      <c r="AO76">
        <f>SUMIF('Как есть'!$A$82:$A$89,Доп.расчеты!$A76,'Как есть'!AP$82:AP$89)</f>
        <v>0</v>
      </c>
      <c r="AP76">
        <f>SUMIF('Как есть'!$A$82:$A$89,Доп.расчеты!$A76,'Как есть'!AQ$82:AQ$89)</f>
        <v>0</v>
      </c>
      <c r="AQ76">
        <f>SUMIF('Как есть'!$A$82:$A$89,Доп.расчеты!$A76,'Как есть'!AR$82:AR$89)</f>
        <v>0</v>
      </c>
      <c r="AR76">
        <f>SUMIF('Как есть'!$A$82:$A$89,Доп.расчеты!$A76,'Как есть'!AS$82:AS$89)</f>
        <v>0</v>
      </c>
      <c r="AS76">
        <f>SUMIF('Как есть'!$A$82:$A$89,Доп.расчеты!$A76,'Как есть'!AT$82:AT$89)</f>
        <v>0</v>
      </c>
      <c r="AT76">
        <f>SUMIF('Как есть'!$A$82:$A$89,Доп.расчеты!$A76,'Как есть'!AU$82:AU$89)</f>
        <v>0</v>
      </c>
      <c r="AU76">
        <f>SUMIF('Как есть'!$A$82:$A$89,Доп.расчеты!$A76,'Как есть'!AV$82:AV$89)</f>
        <v>0</v>
      </c>
      <c r="AV76">
        <f>SUMIF('Как есть'!$A$82:$A$89,Доп.расчеты!$A76,'Как есть'!AW$82:AW$89)</f>
        <v>0</v>
      </c>
      <c r="AW76">
        <f>SUMIF('Как есть'!$A$82:$A$89,Доп.расчеты!$A76,'Как есть'!AX$82:AX$89)</f>
        <v>0</v>
      </c>
      <c r="AX76">
        <f>SUMIF('Как есть'!$A$82:$A$89,Доп.расчеты!$A76,'Как есть'!AY$82:AY$89)</f>
        <v>0</v>
      </c>
      <c r="AY76">
        <f>SUMIF('Как есть'!$A$82:$A$89,Доп.расчеты!$A76,'Как есть'!AZ$82:AZ$89)</f>
        <v>0</v>
      </c>
      <c r="AZ76">
        <f>SUMIF('Как есть'!$A$82:$A$89,Доп.расчеты!$A76,'Как есть'!BA$82:BA$89)</f>
        <v>0</v>
      </c>
      <c r="BA76">
        <f>SUMIF('Как есть'!$A$82:$A$89,Доп.расчеты!$A76,'Как есть'!BB$82:BB$89)</f>
        <v>0</v>
      </c>
      <c r="BB76">
        <f>SUMIF('Как есть'!$A$82:$A$89,Доп.расчеты!$A76,'Как есть'!BC$82:BC$89)</f>
        <v>0</v>
      </c>
      <c r="BC76">
        <f>SUMIF('Как есть'!$A$82:$A$89,Доп.расчеты!$A76,'Как есть'!BD$82:BD$89)</f>
        <v>0</v>
      </c>
      <c r="BD76">
        <f>SUMIF('Как есть'!$A$82:$A$89,Доп.расчеты!$A76,'Как есть'!BE$82:BE$89)</f>
        <v>0</v>
      </c>
      <c r="BE76">
        <f>SUMIF('Как есть'!$A$82:$A$89,Доп.расчеты!$A76,'Как есть'!BF$82:BF$89)</f>
        <v>0</v>
      </c>
      <c r="BF76">
        <f>SUMIF('Как есть'!$A$82:$A$89,Доп.расчеты!$A76,'Как есть'!BG$82:BG$89)</f>
        <v>0</v>
      </c>
      <c r="BG76">
        <f>SUMIF('Как есть'!$A$82:$A$89,Доп.расчеты!$A76,'Как есть'!BH$82:BH$89)</f>
        <v>0</v>
      </c>
      <c r="BH76">
        <f>SUMIF('Как есть'!$A$82:$A$89,Доп.расчеты!$A76,'Как есть'!BI$82:BI$89)</f>
        <v>0</v>
      </c>
      <c r="BI76">
        <f>SUMIF('Как есть'!$A$82:$A$89,Доп.расчеты!$A76,'Как есть'!BJ$82:BJ$89)</f>
        <v>0</v>
      </c>
      <c r="BJ76">
        <f>SUMIF('Как есть'!$A$82:$A$89,Доп.расчеты!$A76,'Как есть'!BK$82:BK$89)</f>
        <v>0</v>
      </c>
      <c r="BK76">
        <f>SUMIF('Как есть'!$A$82:$A$89,Доп.расчеты!$A76,'Как есть'!BL$82:BL$89)</f>
        <v>0</v>
      </c>
      <c r="BL76">
        <f>SUMIF('Как есть'!$A$82:$A$89,Доп.расчеты!$A76,'Как есть'!BM$82:BM$89)</f>
        <v>0</v>
      </c>
      <c r="BM76">
        <f>SUMIF('Как есть'!$A$82:$A$89,Доп.расчеты!$A76,'Как есть'!BN$82:BN$89)</f>
        <v>0</v>
      </c>
      <c r="BN76">
        <f>SUMIF('Как есть'!$A$82:$A$89,Доп.расчеты!$A76,'Как есть'!BO$82:BO$89)</f>
        <v>0</v>
      </c>
      <c r="BO76">
        <f>SUMIF('Как есть'!$A$82:$A$89,Доп.расчеты!$A76,'Как есть'!BP$82:BP$89)</f>
        <v>0</v>
      </c>
      <c r="BP76">
        <f>SUMIF('Как есть'!$A$82:$A$89,Доп.расчеты!$A76,'Как есть'!BQ$82:BQ$89)</f>
        <v>0</v>
      </c>
      <c r="BQ76">
        <f>SUMIF('Как есть'!$A$82:$A$89,Доп.расчеты!$A76,'Как есть'!BR$82:BR$89)</f>
        <v>0</v>
      </c>
      <c r="BR76">
        <f>SUMIF('Как есть'!$A$82:$A$89,Доп.расчеты!$A76,'Как есть'!BS$82:BS$89)</f>
        <v>0</v>
      </c>
      <c r="BS76">
        <f>SUMIF('Как есть'!$A$82:$A$89,Доп.расчеты!$A76,'Как есть'!BT$82:BT$89)</f>
        <v>0</v>
      </c>
      <c r="BT76">
        <f>SUMIF('Как есть'!$A$82:$A$89,Доп.расчеты!$A76,'Как есть'!BU$82:BU$89)</f>
        <v>0</v>
      </c>
      <c r="BU76">
        <f>SUMIF('Как есть'!$A$82:$A$89,Доп.расчеты!$A76,'Как есть'!BV$82:BV$89)</f>
        <v>0</v>
      </c>
      <c r="BV76">
        <f>SUMIF('Как есть'!$A$82:$A$89,Доп.расчеты!$A76,'Как есть'!BW$82:BW$89)</f>
        <v>0</v>
      </c>
      <c r="BW76">
        <f>SUMIF('Как есть'!$A$82:$A$89,Доп.расчеты!$A76,'Как есть'!BX$82:BX$89)</f>
        <v>0</v>
      </c>
      <c r="BX76">
        <f>SUMIF('Как есть'!$A$82:$A$89,Доп.расчеты!$A76,'Как есть'!BY$82:BY$89)</f>
        <v>0</v>
      </c>
      <c r="BY76">
        <f>SUMIF('Как есть'!$A$82:$A$89,Доп.расчеты!$A76,'Как есть'!BZ$82:BZ$89)</f>
        <v>0</v>
      </c>
      <c r="BZ76">
        <f>SUMIF('Как есть'!$A$82:$A$89,Доп.расчеты!$A76,'Как есть'!CA$82:CA$89)</f>
        <v>0</v>
      </c>
      <c r="CA76">
        <f>SUMIF('Как есть'!$A$82:$A$89,Доп.расчеты!$A76,'Как есть'!CB$82:CB$89)</f>
        <v>0</v>
      </c>
      <c r="CB76">
        <f>SUMIF('Как есть'!$A$82:$A$89,Доп.расчеты!$A76,'Как есть'!CC$82:CC$89)</f>
        <v>0</v>
      </c>
      <c r="CC76">
        <f>SUMIF('Как есть'!$A$82:$A$89,Доп.расчеты!$A76,'Как есть'!CD$82:CD$89)</f>
        <v>0</v>
      </c>
      <c r="CD76">
        <f>SUMIF('Как есть'!$A$82:$A$89,Доп.расчеты!$A76,'Как есть'!CE$82:CE$89)</f>
        <v>0</v>
      </c>
      <c r="CE76">
        <f>SUMIF('Как есть'!$A$82:$A$89,Доп.расчеты!$A76,'Как есть'!CF$82:CF$89)</f>
        <v>0</v>
      </c>
      <c r="CF76">
        <f>SUMIF('Как есть'!$A$82:$A$89,Доп.расчеты!$A76,'Как есть'!CG$82:CG$89)</f>
        <v>0</v>
      </c>
      <c r="CG76">
        <f>SUMIF('Как есть'!$A$82:$A$89,Доп.расчеты!$A76,'Как есть'!CH$82:CH$89)</f>
        <v>0</v>
      </c>
      <c r="CH76">
        <f>SUMIF('Как есть'!$A$82:$A$89,Доп.расчеты!$A76,'Как есть'!CI$82:CI$89)</f>
        <v>0</v>
      </c>
      <c r="CI76">
        <f>SUMIF('Как есть'!$A$82:$A$89,Доп.расчеты!$A76,'Как есть'!CJ$82:CJ$89)</f>
        <v>0</v>
      </c>
      <c r="CJ76">
        <f>SUMIF('Как есть'!$A$82:$A$89,Доп.расчеты!$A76,'Как есть'!CK$82:CK$89)</f>
        <v>0</v>
      </c>
      <c r="CK76">
        <f>SUMIF('Как есть'!$A$82:$A$89,Доп.расчеты!$A76,'Как есть'!CL$82:CL$89)</f>
        <v>0</v>
      </c>
      <c r="CL76">
        <f>SUMIF('Как есть'!$A$82:$A$89,Доп.расчеты!$A76,'Как есть'!CM$82:CM$89)</f>
        <v>0</v>
      </c>
      <c r="CM76">
        <f>SUMIF('Как есть'!$A$82:$A$89,Доп.расчеты!$A76,'Как есть'!CN$82:CN$89)</f>
        <v>0</v>
      </c>
      <c r="CN76">
        <f>SUMIF('Как есть'!$A$82:$A$89,Доп.расчеты!$A76,'Как есть'!CO$82:CO$89)</f>
        <v>0</v>
      </c>
      <c r="CO76">
        <f>SUMIF('Как есть'!$A$82:$A$89,Доп.расчеты!$A76,'Как есть'!CP$82:CP$89)</f>
        <v>0</v>
      </c>
      <c r="CP76">
        <f>SUMIF('Как есть'!$A$82:$A$89,Доп.расчеты!$A76,'Как есть'!CQ$82:CQ$89)</f>
        <v>0</v>
      </c>
      <c r="CQ76">
        <f>SUMIF('Как есть'!$A$82:$A$89,Доп.расчеты!$A76,'Как есть'!CR$82:CR$89)</f>
        <v>0</v>
      </c>
      <c r="CR76">
        <f>SUMIF('Как есть'!$A$82:$A$89,Доп.расчеты!$A76,'Как есть'!CS$82:CS$89)</f>
        <v>0</v>
      </c>
      <c r="CS76">
        <f>SUMIF('Как есть'!$A$82:$A$89,Доп.расчеты!$A76,'Как есть'!CT$82:CT$89)</f>
        <v>0</v>
      </c>
      <c r="CT76">
        <f>SUMIF('Как есть'!$A$82:$A$89,Доп.расчеты!$A76,'Как есть'!CU$82:CU$89)</f>
        <v>0</v>
      </c>
      <c r="CU76">
        <f>SUMIF('Как есть'!$A$82:$A$89,Доп.расчеты!$A76,'Как есть'!CV$82:CV$89)</f>
        <v>0</v>
      </c>
      <c r="CV76">
        <f>SUMIF('Как есть'!$A$82:$A$89,Доп.расчеты!$A76,'Как есть'!CW$82:CW$89)</f>
        <v>0</v>
      </c>
      <c r="CW76">
        <f>SUMIF('Как есть'!$A$82:$A$89,Доп.расчеты!$A76,'Как есть'!CX$82:CX$89)</f>
        <v>0</v>
      </c>
      <c r="CX76">
        <f>SUMIF('Как есть'!$A$82:$A$89,Доп.расчеты!$A76,'Как есть'!CY$82:CY$89)</f>
        <v>0</v>
      </c>
      <c r="CY76">
        <f>SUMIF('Как есть'!$A$82:$A$89,Доп.расчеты!$A76,'Как есть'!CZ$82:CZ$89)</f>
        <v>0</v>
      </c>
      <c r="CZ76">
        <f>SUMIF('Как есть'!$A$82:$A$89,Доп.расчеты!$A76,'Как есть'!DA$82:DA$89)</f>
        <v>0</v>
      </c>
      <c r="DA76">
        <f>SUMIF('Как есть'!$A$82:$A$89,Доп.расчеты!$A76,'Как есть'!DB$82:DB$89)</f>
        <v>0</v>
      </c>
      <c r="DB76">
        <f>SUMIF('Как есть'!$A$82:$A$89,Доп.расчеты!$A76,'Как есть'!DC$82:DC$89)</f>
        <v>0</v>
      </c>
      <c r="DC76">
        <f>SUMIF('Как есть'!$A$82:$A$89,Доп.расчеты!$A76,'Как есть'!DD$82:DD$89)</f>
        <v>0</v>
      </c>
      <c r="DD76">
        <f>SUMIF('Как есть'!$A$82:$A$89,Доп.расчеты!$A76,'Как есть'!DE$82:DE$89)</f>
        <v>0</v>
      </c>
      <c r="DE76">
        <f>SUMIF('Как есть'!$A$82:$A$89,Доп.расчеты!$A76,'Как есть'!DF$82:DF$89)</f>
        <v>0</v>
      </c>
      <c r="DF76">
        <f>SUMIF('Как есть'!$A$82:$A$89,Доп.расчеты!$A76,'Как есть'!DG$82:DG$89)</f>
        <v>0</v>
      </c>
      <c r="DG76">
        <f>SUMIF('Как есть'!$A$82:$A$89,Доп.расчеты!$A76,'Как есть'!DH$82:DH$89)</f>
        <v>0</v>
      </c>
      <c r="DH76">
        <f>SUMIF('Как есть'!$A$82:$A$89,Доп.расчеты!$A76,'Как есть'!DI$82:DI$89)</f>
        <v>0</v>
      </c>
      <c r="DI76">
        <f>SUMIF('Как есть'!$A$82:$A$89,Доп.расчеты!$A76,'Как есть'!DJ$82:DJ$89)</f>
        <v>0</v>
      </c>
      <c r="DJ76">
        <f>SUMIF('Как есть'!$A$82:$A$89,Доп.расчеты!$A76,'Как есть'!DK$82:DK$89)</f>
        <v>0</v>
      </c>
      <c r="DK76">
        <f>SUMIF('Как есть'!$A$82:$A$89,Доп.расчеты!$A76,'Как есть'!DL$82:DL$89)</f>
        <v>0</v>
      </c>
      <c r="DL76">
        <f>SUMIF('Как есть'!$A$82:$A$89,Доп.расчеты!$A76,'Как есть'!DM$82:DM$89)</f>
        <v>0</v>
      </c>
      <c r="DM76">
        <f>SUMIF('Как есть'!$A$82:$A$89,Доп.расчеты!$A76,'Как есть'!DN$82:DN$89)</f>
        <v>0</v>
      </c>
      <c r="DN76">
        <f>SUMIF('Как есть'!$A$82:$A$89,Доп.расчеты!$A76,'Как есть'!DO$82:DO$89)</f>
        <v>0</v>
      </c>
      <c r="DO76">
        <f>SUMIF('Как есть'!$A$82:$A$89,Доп.расчеты!$A76,'Как есть'!DP$82:DP$89)</f>
        <v>0</v>
      </c>
      <c r="DP76">
        <f>SUMIF('Как есть'!$A$82:$A$89,Доп.расчеты!$A76,'Как есть'!DQ$82:DQ$89)</f>
        <v>0</v>
      </c>
      <c r="DQ76">
        <f>SUMIF('Как есть'!$A$82:$A$89,Доп.расчеты!$A76,'Как есть'!DR$82:DR$89)</f>
        <v>0</v>
      </c>
      <c r="DR76">
        <f>SUMIF('Как есть'!$A$82:$A$89,Доп.расчеты!$A76,'Как есть'!DS$82:DS$89)</f>
        <v>0</v>
      </c>
      <c r="DS76">
        <f>SUMIF('Как есть'!$A$82:$A$89,Доп.расчеты!$A76,'Как есть'!DT$82:DT$89)</f>
        <v>0</v>
      </c>
      <c r="DT76">
        <f>SUMIF('Как есть'!$A$82:$A$89,Доп.расчеты!$A76,'Как есть'!DU$82:DU$89)</f>
        <v>0</v>
      </c>
      <c r="DU76">
        <f>SUMIF('Как есть'!$A$82:$A$89,Доп.расчеты!$A76,'Как есть'!DV$82:DV$89)</f>
        <v>0</v>
      </c>
      <c r="DV76">
        <f>SUMIF('Как есть'!$A$82:$A$89,Доп.расчеты!$A76,'Как есть'!DW$82:DW$89)</f>
        <v>0</v>
      </c>
      <c r="DW76">
        <f>SUMIF('Как есть'!$A$82:$A$89,Доп.расчеты!$A76,'Как есть'!DX$82:DX$89)</f>
        <v>0</v>
      </c>
      <c r="DX76">
        <f>SUMIF('Как есть'!$A$82:$A$89,Доп.расчеты!$A76,'Как есть'!DY$82:DY$89)</f>
        <v>0</v>
      </c>
      <c r="DY76">
        <f>SUMIF('Как есть'!$A$82:$A$89,Доп.расчеты!$A76,'Как есть'!DZ$82:DZ$89)</f>
        <v>0</v>
      </c>
      <c r="DZ76">
        <f>SUMIF('Как есть'!$A$82:$A$89,Доп.расчеты!$A76,'Как есть'!EA$82:EA$89)</f>
        <v>0</v>
      </c>
      <c r="EA76">
        <f>SUMIF('Как есть'!$A$82:$A$89,Доп.расчеты!$A76,'Как есть'!EB$82:EB$89)</f>
        <v>0</v>
      </c>
      <c r="EB76">
        <f>SUMIF('Как есть'!$A$82:$A$89,Доп.расчеты!$A76,'Как есть'!EC$82:EC$89)</f>
        <v>0</v>
      </c>
      <c r="EC76">
        <f>SUMIF('Как есть'!$A$82:$A$89,Доп.расчеты!$A76,'Как есть'!ED$82:ED$89)</f>
        <v>0</v>
      </c>
      <c r="ED76">
        <f>SUMIF('Как есть'!$A$82:$A$89,Доп.расчеты!$A76,'Как есть'!EE$82:EE$89)</f>
        <v>0</v>
      </c>
      <c r="EE76">
        <f>SUMIF('Как есть'!$A$82:$A$89,Доп.расчеты!$A76,'Как есть'!EF$82:EF$89)</f>
        <v>0</v>
      </c>
      <c r="EF76">
        <f>SUMIF('Как есть'!$A$82:$A$89,Доп.расчеты!$A76,'Как есть'!EG$82:EG$89)</f>
        <v>0</v>
      </c>
      <c r="EG76">
        <f>SUMIF('Как есть'!$A$82:$A$89,Доп.расчеты!$A76,'Как есть'!EH$82:EH$89)</f>
        <v>0</v>
      </c>
      <c r="EH76">
        <f>SUMIF('Как есть'!$A$82:$A$89,Доп.расчеты!$A76,'Как есть'!EI$82:EI$89)</f>
        <v>0</v>
      </c>
      <c r="EI76">
        <f>SUMIF('Как есть'!$A$82:$A$89,Доп.расчеты!$A76,'Как есть'!EJ$82:EJ$89)</f>
        <v>0</v>
      </c>
      <c r="EJ76">
        <f>SUMIF('Как есть'!$A$82:$A$89,Доп.расчеты!$A76,'Как есть'!EK$82:EK$89)</f>
        <v>0</v>
      </c>
      <c r="EK76">
        <f>SUMIF('Как есть'!$A$82:$A$89,Доп.расчеты!$A76,'Как есть'!EL$82:EL$89)</f>
        <v>0</v>
      </c>
      <c r="EL76">
        <f>SUMIF('Как есть'!$A$82:$A$89,Доп.расчеты!$A76,'Как есть'!EM$82:EM$89)</f>
        <v>0</v>
      </c>
      <c r="EM76">
        <f>SUMIF('Как есть'!$A$82:$A$89,Доп.расчеты!$A76,'Как есть'!EN$82:EN$89)</f>
        <v>0</v>
      </c>
      <c r="EN76">
        <f>SUMIF('Как есть'!$A$82:$A$89,Доп.расчеты!$A76,'Как есть'!EO$82:EO$89)</f>
        <v>0</v>
      </c>
      <c r="EO76">
        <f>SUMIF('Как есть'!$A$82:$A$89,Доп.расчеты!$A76,'Как есть'!EP$82:EP$89)</f>
        <v>0</v>
      </c>
      <c r="EP76">
        <f>SUMIF('Как есть'!$A$82:$A$89,Доп.расчеты!$A76,'Как есть'!EQ$82:EQ$89)</f>
        <v>0</v>
      </c>
      <c r="EQ76">
        <f>SUMIF('Как есть'!$A$82:$A$89,Доп.расчеты!$A76,'Как есть'!ER$82:ER$89)</f>
        <v>0</v>
      </c>
      <c r="ER76">
        <f>SUMIF('Как есть'!$A$82:$A$89,Доп.расчеты!$A76,'Как есть'!ES$82:ES$89)</f>
        <v>0</v>
      </c>
      <c r="ES76">
        <f>SUMIF('Как есть'!$A$82:$A$89,Доп.расчеты!$A76,'Как есть'!ET$82:ET$89)</f>
        <v>0</v>
      </c>
      <c r="ET76">
        <f>SUMIF('Как есть'!$A$82:$A$89,Доп.расчеты!$A76,'Как есть'!EU$82:EU$89)</f>
        <v>0</v>
      </c>
      <c r="EU76">
        <f>SUMIF('Как есть'!$A$82:$A$89,Доп.расчеты!$A76,'Как есть'!EV$82:EV$89)</f>
        <v>0</v>
      </c>
      <c r="EV76">
        <f>SUMIF('Как есть'!$A$82:$A$89,Доп.расчеты!$A76,'Как есть'!EW$82:EW$89)</f>
        <v>0</v>
      </c>
      <c r="EW76">
        <f>SUMIF('Как есть'!$A$82:$A$89,Доп.расчеты!$A76,'Как есть'!EX$82:EX$89)</f>
        <v>0</v>
      </c>
      <c r="EX76">
        <f>SUMIF('Как есть'!$A$82:$A$89,Доп.расчеты!$A76,'Как есть'!EY$82:EY$89)</f>
        <v>0</v>
      </c>
      <c r="EY76">
        <f>SUMIF('Как есть'!$A$82:$A$89,Доп.расчеты!$A76,'Как есть'!EZ$82:EZ$89)</f>
        <v>0</v>
      </c>
      <c r="EZ76">
        <f>SUMIF('Как есть'!$A$82:$A$89,Доп.расчеты!$A76,'Как есть'!FA$82:FA$89)</f>
        <v>0</v>
      </c>
      <c r="FA76">
        <f>SUMIF('Как есть'!$A$82:$A$89,Доп.расчеты!$A76,'Как есть'!FB$82:FB$89)</f>
        <v>0</v>
      </c>
      <c r="FB76">
        <f>SUMIF('Как есть'!$A$82:$A$89,Доп.расчеты!$A76,'Как есть'!FC$82:FC$89)</f>
        <v>0</v>
      </c>
      <c r="FC76">
        <f>SUMIF('Как есть'!$A$82:$A$89,Доп.расчеты!$A76,'Как есть'!FD$82:FD$89)</f>
        <v>0</v>
      </c>
      <c r="FD76">
        <f>SUMIF('Как есть'!$A$82:$A$89,Доп.расчеты!$A76,'Как есть'!FE$82:FE$89)</f>
        <v>0</v>
      </c>
      <c r="FE76">
        <f>SUMIF('Как есть'!$A$82:$A$89,Доп.расчеты!$A76,'Как есть'!FF$82:FF$89)</f>
        <v>0</v>
      </c>
      <c r="FF76">
        <f>SUMIF('Как есть'!$A$82:$A$89,Доп.расчеты!$A76,'Как есть'!FG$82:FG$89)</f>
        <v>0</v>
      </c>
      <c r="FG76">
        <f>SUMIF('Как есть'!$A$82:$A$89,Доп.расчеты!$A76,'Как есть'!FH$82:FH$89)</f>
        <v>0</v>
      </c>
      <c r="FH76">
        <f>SUMIF('Как есть'!$A$82:$A$89,Доп.расчеты!$A76,'Как есть'!FI$82:FI$89)</f>
        <v>0</v>
      </c>
      <c r="FI76">
        <f>SUMIF('Как есть'!$A$82:$A$89,Доп.расчеты!$A76,'Как есть'!FJ$82:FJ$89)</f>
        <v>0</v>
      </c>
      <c r="FJ76">
        <f>SUMIF('Как есть'!$A$82:$A$89,Доп.расчеты!$A76,'Как есть'!FK$82:FK$89)</f>
        <v>0</v>
      </c>
      <c r="FK76">
        <f>SUMIF('Как есть'!$A$82:$A$89,Доп.расчеты!$A76,'Как есть'!FL$82:FL$89)</f>
        <v>0</v>
      </c>
      <c r="FL76">
        <f>SUMIF('Как есть'!$A$82:$A$89,Доп.расчеты!$A76,'Как есть'!FM$82:FM$89)</f>
        <v>0</v>
      </c>
      <c r="FM76">
        <f>SUMIF('Как есть'!$A$82:$A$89,Доп.расчеты!$A76,'Как есть'!FN$82:FN$89)</f>
        <v>0</v>
      </c>
      <c r="FN76">
        <f>SUMIF('Как есть'!$A$82:$A$89,Доп.расчеты!$A76,'Как есть'!FO$82:FO$89)</f>
        <v>0</v>
      </c>
      <c r="FO76">
        <f>SUMIF('Как есть'!$A$82:$A$89,Доп.расчеты!$A76,'Как есть'!FP$82:FP$89)</f>
        <v>0</v>
      </c>
      <c r="FP76">
        <f>SUMIF('Как есть'!$A$82:$A$89,Доп.расчеты!$A76,'Как есть'!FQ$82:FQ$89)</f>
        <v>0</v>
      </c>
      <c r="FQ76">
        <f>SUMIF('Как есть'!$A$82:$A$89,Доп.расчеты!$A76,'Как есть'!FR$82:FR$89)</f>
        <v>0</v>
      </c>
      <c r="FR76">
        <f>SUMIF('Как есть'!$A$82:$A$89,Доп.расчеты!$A76,'Как есть'!FS$82:FS$89)</f>
        <v>0</v>
      </c>
      <c r="FS76">
        <f>SUMIF('Как есть'!$A$82:$A$89,Доп.расчеты!$A76,'Как есть'!FT$82:FT$89)</f>
        <v>0</v>
      </c>
      <c r="FT76">
        <f>SUMIF('Как есть'!$A$82:$A$89,Доп.расчеты!$A76,'Как есть'!FU$82:FU$89)</f>
        <v>0</v>
      </c>
      <c r="FU76">
        <f>SUMIF('Как есть'!$A$82:$A$89,Доп.расчеты!$A76,'Как есть'!FV$82:FV$89)</f>
        <v>0</v>
      </c>
      <c r="FV76">
        <f>SUMIF('Как есть'!$A$82:$A$89,Доп.расчеты!$A76,'Как есть'!FW$82:FW$89)</f>
        <v>0</v>
      </c>
      <c r="FW76">
        <f>SUMIF('Как есть'!$A$82:$A$89,Доп.расчеты!$A76,'Как есть'!FX$82:FX$89)</f>
        <v>0</v>
      </c>
      <c r="FX76">
        <f>SUMIF('Как есть'!$A$82:$A$89,Доп.расчеты!$A76,'Как есть'!FY$82:FY$89)</f>
        <v>0</v>
      </c>
      <c r="FY76">
        <f>SUMIF('Как есть'!$A$82:$A$89,Доп.расчеты!$A76,'Как есть'!FZ$82:FZ$89)</f>
        <v>0</v>
      </c>
      <c r="FZ76">
        <f>SUMIF('Как есть'!$A$82:$A$89,Доп.расчеты!$A76,'Как есть'!GA$82:GA$89)</f>
        <v>0</v>
      </c>
      <c r="GA76">
        <f>SUMIF('Как есть'!$A$82:$A$89,Доп.расчеты!$A76,'Как есть'!GB$82:GB$89)</f>
        <v>0</v>
      </c>
      <c r="GB76">
        <f>SUMIF('Как есть'!$A$82:$A$89,Доп.расчеты!$A76,'Как есть'!GC$82:GC$89)</f>
        <v>0</v>
      </c>
      <c r="GC76">
        <f>SUMIF('Как есть'!$A$82:$A$89,Доп.расчеты!$A76,'Как есть'!GD$82:GD$89)</f>
        <v>0</v>
      </c>
      <c r="GD76">
        <f>SUMIF('Как есть'!$A$82:$A$89,Доп.расчеты!$A76,'Как есть'!GE$82:GE$89)</f>
        <v>0</v>
      </c>
      <c r="GE76">
        <f>SUMIF('Как есть'!$A$82:$A$89,Доп.расчеты!$A76,'Как есть'!GF$82:GF$89)</f>
        <v>0</v>
      </c>
      <c r="GF76">
        <f>SUMIF('Как есть'!$A$82:$A$89,Доп.расчеты!$A76,'Как есть'!GG$82:GG$89)</f>
        <v>0</v>
      </c>
      <c r="GG76">
        <f>SUMIF('Как есть'!$A$82:$A$89,Доп.расчеты!$A76,'Как есть'!GH$82:GH$89)</f>
        <v>0</v>
      </c>
      <c r="GH76">
        <f>SUMIF('Как есть'!$A$82:$A$89,Доп.расчеты!$A76,'Как есть'!GI$82:GI$89)</f>
        <v>0</v>
      </c>
      <c r="GI76">
        <f>SUMIF('Как есть'!$A$82:$A$89,Доп.расчеты!$A76,'Как есть'!GJ$82:GJ$89)</f>
        <v>0</v>
      </c>
      <c r="GJ76">
        <f>SUMIF('Как есть'!$A$82:$A$89,Доп.расчеты!$A76,'Как есть'!GK$82:GK$89)</f>
        <v>0</v>
      </c>
      <c r="GK76">
        <f>SUMIF('Как есть'!$A$82:$A$89,Доп.расчеты!$A76,'Как есть'!GL$82:GL$89)</f>
        <v>0</v>
      </c>
      <c r="GL76">
        <f>SUMIF('Как есть'!$A$82:$A$89,Доп.расчеты!$A76,'Как есть'!GM$82:GM$89)</f>
        <v>0</v>
      </c>
      <c r="GM76">
        <f>SUMIF('Как есть'!$A$82:$A$89,Доп.расчеты!$A76,'Как есть'!GN$82:GN$89)</f>
        <v>0</v>
      </c>
      <c r="GN76">
        <f>SUMIF('Как есть'!$A$82:$A$89,Доп.расчеты!$A76,'Как есть'!GO$82:GO$89)</f>
        <v>0</v>
      </c>
      <c r="GO76">
        <f>SUMIF('Как есть'!$A$82:$A$89,Доп.расчеты!$A76,'Как есть'!GP$82:GP$89)</f>
        <v>0</v>
      </c>
      <c r="GP76">
        <f>SUMIF('Как есть'!$A$82:$A$89,Доп.расчеты!$A76,'Как есть'!GQ$82:GQ$89)</f>
        <v>0</v>
      </c>
      <c r="GQ76">
        <f>SUMIF('Как есть'!$A$82:$A$89,Доп.расчеты!$A76,'Как есть'!GR$82:GR$89)</f>
        <v>0</v>
      </c>
      <c r="GR76">
        <f>SUMIF('Как есть'!$A$82:$A$89,Доп.расчеты!$A76,'Как есть'!GS$82:GS$89)</f>
        <v>0</v>
      </c>
      <c r="GS76">
        <f>SUMIF('Как есть'!$A$82:$A$89,Доп.расчеты!$A76,'Как есть'!GT$82:GT$89)</f>
        <v>0</v>
      </c>
      <c r="GT76">
        <f>SUMIF('Как есть'!$A$82:$A$89,Доп.расчеты!$A76,'Как есть'!GU$82:GU$89)</f>
        <v>0</v>
      </c>
    </row>
    <row r="77" spans="1:202">
      <c r="A77" s="237" t="s">
        <v>240</v>
      </c>
      <c r="B77">
        <f>SUMIF('Как есть'!$A$82:$A$89,Доп.расчеты!$A77,'Как есть'!C$82:C$89)</f>
        <v>0</v>
      </c>
      <c r="C77">
        <f>SUMIF('Как есть'!$A$82:$A$89,Доп.расчеты!$A77,'Как есть'!D$82:D$89)</f>
        <v>0</v>
      </c>
      <c r="D77">
        <f>SUMIF('Как есть'!$A$82:$A$89,Доп.расчеты!$A77,'Как есть'!E$82:E$89)</f>
        <v>0</v>
      </c>
      <c r="E77">
        <f>SUMIF('Как есть'!$A$82:$A$89,Доп.расчеты!$A77,'Как есть'!F$82:F$89)</f>
        <v>0</v>
      </c>
      <c r="F77">
        <f>SUMIF('Как есть'!$A$82:$A$89,Доп.расчеты!$A77,'Как есть'!G$82:G$89)</f>
        <v>0</v>
      </c>
      <c r="G77">
        <f>SUMIF('Как есть'!$A$82:$A$89,Доп.расчеты!$A77,'Как есть'!H$82:H$89)</f>
        <v>0</v>
      </c>
      <c r="H77">
        <f>SUMIF('Как есть'!$A$82:$A$89,Доп.расчеты!$A77,'Как есть'!I$82:I$89)</f>
        <v>0</v>
      </c>
      <c r="I77">
        <f>SUMIF('Как есть'!$A$82:$A$89,Доп.расчеты!$A77,'Как есть'!J$82:J$89)</f>
        <v>0</v>
      </c>
      <c r="J77">
        <f>SUMIF('Как есть'!$A$82:$A$89,Доп.расчеты!$A77,'Как есть'!K$82:K$89)</f>
        <v>0</v>
      </c>
      <c r="K77">
        <f>SUMIF('Как есть'!$A$82:$A$89,Доп.расчеты!$A77,'Как есть'!L$82:L$89)</f>
        <v>0</v>
      </c>
      <c r="L77">
        <f>SUMIF('Как есть'!$A$82:$A$89,Доп.расчеты!$A77,'Как есть'!M$82:M$89)</f>
        <v>0</v>
      </c>
      <c r="M77">
        <f>SUMIF('Как есть'!$A$82:$A$89,Доп.расчеты!$A77,'Как есть'!N$82:N$89)</f>
        <v>0</v>
      </c>
      <c r="N77">
        <f>SUMIF('Как есть'!$A$82:$A$89,Доп.расчеты!$A77,'Как есть'!O$82:O$89)</f>
        <v>0</v>
      </c>
      <c r="O77">
        <f>SUMIF('Как есть'!$A$82:$A$89,Доп.расчеты!$A77,'Как есть'!P$82:P$89)</f>
        <v>0</v>
      </c>
      <c r="P77">
        <f>SUMIF('Как есть'!$A$82:$A$89,Доп.расчеты!$A77,'Как есть'!Q$82:Q$89)</f>
        <v>0</v>
      </c>
      <c r="Q77">
        <f>SUMIF('Как есть'!$A$82:$A$89,Доп.расчеты!$A77,'Как есть'!R$82:R$89)</f>
        <v>0</v>
      </c>
      <c r="R77">
        <f>SUMIF('Как есть'!$A$82:$A$89,Доп.расчеты!$A77,'Как есть'!S$82:S$89)</f>
        <v>0</v>
      </c>
      <c r="S77">
        <f>SUMIF('Как есть'!$A$82:$A$89,Доп.расчеты!$A77,'Как есть'!T$82:T$89)</f>
        <v>0</v>
      </c>
      <c r="T77">
        <f>SUMIF('Как есть'!$A$82:$A$89,Доп.расчеты!$A77,'Как есть'!U$82:U$89)</f>
        <v>0</v>
      </c>
      <c r="U77">
        <f>SUMIF('Как есть'!$A$82:$A$89,Доп.расчеты!$A77,'Как есть'!V$82:V$89)</f>
        <v>0</v>
      </c>
      <c r="V77">
        <f>SUMIF('Как есть'!$A$82:$A$89,Доп.расчеты!$A77,'Как есть'!W$82:W$89)</f>
        <v>0</v>
      </c>
      <c r="W77">
        <f>SUMIF('Как есть'!$A$82:$A$89,Доп.расчеты!$A77,'Как есть'!X$82:X$89)</f>
        <v>0</v>
      </c>
      <c r="X77">
        <f>SUMIF('Как есть'!$A$82:$A$89,Доп.расчеты!$A77,'Как есть'!Y$82:Y$89)</f>
        <v>0</v>
      </c>
      <c r="Y77">
        <f>SUMIF('Как есть'!$A$82:$A$89,Доп.расчеты!$A77,'Как есть'!Z$82:Z$89)</f>
        <v>0</v>
      </c>
      <c r="Z77">
        <f>SUMIF('Как есть'!$A$82:$A$89,Доп.расчеты!$A77,'Как есть'!AA$82:AA$89)</f>
        <v>0</v>
      </c>
      <c r="AA77">
        <f>SUMIF('Как есть'!$A$82:$A$89,Доп.расчеты!$A77,'Как есть'!AB$82:AB$89)</f>
        <v>0</v>
      </c>
      <c r="AB77">
        <f>SUMIF('Как есть'!$A$82:$A$89,Доп.расчеты!$A77,'Как есть'!AC$82:AC$89)</f>
        <v>0</v>
      </c>
      <c r="AC77">
        <f>SUMIF('Как есть'!$A$82:$A$89,Доп.расчеты!$A77,'Как есть'!AD$82:AD$89)</f>
        <v>0</v>
      </c>
      <c r="AD77">
        <f>SUMIF('Как есть'!$A$82:$A$89,Доп.расчеты!$A77,'Как есть'!AE$82:AE$89)</f>
        <v>0</v>
      </c>
      <c r="AE77">
        <f>SUMIF('Как есть'!$A$82:$A$89,Доп.расчеты!$A77,'Как есть'!AF$82:AF$89)</f>
        <v>0</v>
      </c>
      <c r="AF77">
        <f>SUMIF('Как есть'!$A$82:$A$89,Доп.расчеты!$A77,'Как есть'!AG$82:AG$89)</f>
        <v>0</v>
      </c>
      <c r="AG77">
        <f>SUMIF('Как есть'!$A$82:$A$89,Доп.расчеты!$A77,'Как есть'!AH$82:AH$89)</f>
        <v>0</v>
      </c>
      <c r="AH77">
        <f>SUMIF('Как есть'!$A$82:$A$89,Доп.расчеты!$A77,'Как есть'!AI$82:AI$89)</f>
        <v>0</v>
      </c>
      <c r="AI77">
        <f>SUMIF('Как есть'!$A$82:$A$89,Доп.расчеты!$A77,'Как есть'!AJ$82:AJ$89)</f>
        <v>0</v>
      </c>
      <c r="AJ77">
        <f>SUMIF('Как есть'!$A$82:$A$89,Доп.расчеты!$A77,'Как есть'!AK$82:AK$89)</f>
        <v>0</v>
      </c>
      <c r="AK77">
        <f>SUMIF('Как есть'!$A$82:$A$89,Доп.расчеты!$A77,'Как есть'!AL$82:AL$89)</f>
        <v>0</v>
      </c>
      <c r="AL77">
        <f>SUMIF('Как есть'!$A$82:$A$89,Доп.расчеты!$A77,'Как есть'!AM$82:AM$89)</f>
        <v>0</v>
      </c>
      <c r="AM77">
        <f>SUMIF('Как есть'!$A$82:$A$89,Доп.расчеты!$A77,'Как есть'!AN$82:AN$89)</f>
        <v>0</v>
      </c>
      <c r="AN77">
        <f>SUMIF('Как есть'!$A$82:$A$89,Доп.расчеты!$A77,'Как есть'!AO$82:AO$89)</f>
        <v>0</v>
      </c>
      <c r="AO77">
        <f>SUMIF('Как есть'!$A$82:$A$89,Доп.расчеты!$A77,'Как есть'!AP$82:AP$89)</f>
        <v>0</v>
      </c>
      <c r="AP77">
        <f>SUMIF('Как есть'!$A$82:$A$89,Доп.расчеты!$A77,'Как есть'!AQ$82:AQ$89)</f>
        <v>0</v>
      </c>
      <c r="AQ77">
        <f>SUMIF('Как есть'!$A$82:$A$89,Доп.расчеты!$A77,'Как есть'!AR$82:AR$89)</f>
        <v>0</v>
      </c>
      <c r="AR77">
        <f>SUMIF('Как есть'!$A$82:$A$89,Доп.расчеты!$A77,'Как есть'!AS$82:AS$89)</f>
        <v>0</v>
      </c>
      <c r="AS77">
        <f>SUMIF('Как есть'!$A$82:$A$89,Доп.расчеты!$A77,'Как есть'!AT$82:AT$89)</f>
        <v>0</v>
      </c>
      <c r="AT77">
        <f>SUMIF('Как есть'!$A$82:$A$89,Доп.расчеты!$A77,'Как есть'!AU$82:AU$89)</f>
        <v>0</v>
      </c>
      <c r="AU77">
        <f>SUMIF('Как есть'!$A$82:$A$89,Доп.расчеты!$A77,'Как есть'!AV$82:AV$89)</f>
        <v>0</v>
      </c>
      <c r="AV77">
        <f>SUMIF('Как есть'!$A$82:$A$89,Доп.расчеты!$A77,'Как есть'!AW$82:AW$89)</f>
        <v>0</v>
      </c>
      <c r="AW77">
        <f>SUMIF('Как есть'!$A$82:$A$89,Доп.расчеты!$A77,'Как есть'!AX$82:AX$89)</f>
        <v>0</v>
      </c>
      <c r="AX77">
        <f>SUMIF('Как есть'!$A$82:$A$89,Доп.расчеты!$A77,'Как есть'!AY$82:AY$89)</f>
        <v>0</v>
      </c>
      <c r="AY77">
        <f>SUMIF('Как есть'!$A$82:$A$89,Доп.расчеты!$A77,'Как есть'!AZ$82:AZ$89)</f>
        <v>0</v>
      </c>
      <c r="AZ77">
        <f>SUMIF('Как есть'!$A$82:$A$89,Доп.расчеты!$A77,'Как есть'!BA$82:BA$89)</f>
        <v>0</v>
      </c>
      <c r="BA77">
        <f>SUMIF('Как есть'!$A$82:$A$89,Доп.расчеты!$A77,'Как есть'!BB$82:BB$89)</f>
        <v>0</v>
      </c>
      <c r="BB77">
        <f>SUMIF('Как есть'!$A$82:$A$89,Доп.расчеты!$A77,'Как есть'!BC$82:BC$89)</f>
        <v>0</v>
      </c>
      <c r="BC77">
        <f>SUMIF('Как есть'!$A$82:$A$89,Доп.расчеты!$A77,'Как есть'!BD$82:BD$89)</f>
        <v>0</v>
      </c>
      <c r="BD77">
        <f>SUMIF('Как есть'!$A$82:$A$89,Доп.расчеты!$A77,'Как есть'!BE$82:BE$89)</f>
        <v>0</v>
      </c>
      <c r="BE77">
        <f>SUMIF('Как есть'!$A$82:$A$89,Доп.расчеты!$A77,'Как есть'!BF$82:BF$89)</f>
        <v>0</v>
      </c>
      <c r="BF77">
        <f>SUMIF('Как есть'!$A$82:$A$89,Доп.расчеты!$A77,'Как есть'!BG$82:BG$89)</f>
        <v>0</v>
      </c>
      <c r="BG77">
        <f>SUMIF('Как есть'!$A$82:$A$89,Доп.расчеты!$A77,'Как есть'!BH$82:BH$89)</f>
        <v>0</v>
      </c>
      <c r="BH77">
        <f>SUMIF('Как есть'!$A$82:$A$89,Доп.расчеты!$A77,'Как есть'!BI$82:BI$89)</f>
        <v>0</v>
      </c>
      <c r="BI77">
        <f>SUMIF('Как есть'!$A$82:$A$89,Доп.расчеты!$A77,'Как есть'!BJ$82:BJ$89)</f>
        <v>0</v>
      </c>
      <c r="BJ77">
        <f>SUMIF('Как есть'!$A$82:$A$89,Доп.расчеты!$A77,'Как есть'!BK$82:BK$89)</f>
        <v>0</v>
      </c>
      <c r="BK77">
        <f>SUMIF('Как есть'!$A$82:$A$89,Доп.расчеты!$A77,'Как есть'!BL$82:BL$89)</f>
        <v>0</v>
      </c>
      <c r="BL77">
        <f>SUMIF('Как есть'!$A$82:$A$89,Доп.расчеты!$A77,'Как есть'!BM$82:BM$89)</f>
        <v>0</v>
      </c>
      <c r="BM77">
        <f>SUMIF('Как есть'!$A$82:$A$89,Доп.расчеты!$A77,'Как есть'!BN$82:BN$89)</f>
        <v>0</v>
      </c>
      <c r="BN77">
        <f>SUMIF('Как есть'!$A$82:$A$89,Доп.расчеты!$A77,'Как есть'!BO$82:BO$89)</f>
        <v>0</v>
      </c>
      <c r="BO77">
        <f>SUMIF('Как есть'!$A$82:$A$89,Доп.расчеты!$A77,'Как есть'!BP$82:BP$89)</f>
        <v>0</v>
      </c>
      <c r="BP77">
        <f>SUMIF('Как есть'!$A$82:$A$89,Доп.расчеты!$A77,'Как есть'!BQ$82:BQ$89)</f>
        <v>0</v>
      </c>
      <c r="BQ77">
        <f>SUMIF('Как есть'!$A$82:$A$89,Доп.расчеты!$A77,'Как есть'!BR$82:BR$89)</f>
        <v>0</v>
      </c>
      <c r="BR77">
        <f>SUMIF('Как есть'!$A$82:$A$89,Доп.расчеты!$A77,'Как есть'!BS$82:BS$89)</f>
        <v>0</v>
      </c>
      <c r="BS77">
        <f>SUMIF('Как есть'!$A$82:$A$89,Доп.расчеты!$A77,'Как есть'!BT$82:BT$89)</f>
        <v>0</v>
      </c>
      <c r="BT77">
        <f>SUMIF('Как есть'!$A$82:$A$89,Доп.расчеты!$A77,'Как есть'!BU$82:BU$89)</f>
        <v>0</v>
      </c>
      <c r="BU77">
        <f>SUMIF('Как есть'!$A$82:$A$89,Доп.расчеты!$A77,'Как есть'!BV$82:BV$89)</f>
        <v>0</v>
      </c>
      <c r="BV77">
        <f>SUMIF('Как есть'!$A$82:$A$89,Доп.расчеты!$A77,'Как есть'!BW$82:BW$89)</f>
        <v>0</v>
      </c>
      <c r="BW77">
        <f>SUMIF('Как есть'!$A$82:$A$89,Доп.расчеты!$A77,'Как есть'!BX$82:BX$89)</f>
        <v>0</v>
      </c>
      <c r="BX77">
        <f>SUMIF('Как есть'!$A$82:$A$89,Доп.расчеты!$A77,'Как есть'!BY$82:BY$89)</f>
        <v>0</v>
      </c>
      <c r="BY77">
        <f>SUMIF('Как есть'!$A$82:$A$89,Доп.расчеты!$A77,'Как есть'!BZ$82:BZ$89)</f>
        <v>0</v>
      </c>
      <c r="BZ77">
        <f>SUMIF('Как есть'!$A$82:$A$89,Доп.расчеты!$A77,'Как есть'!CA$82:CA$89)</f>
        <v>0</v>
      </c>
      <c r="CA77">
        <f>SUMIF('Как есть'!$A$82:$A$89,Доп.расчеты!$A77,'Как есть'!CB$82:CB$89)</f>
        <v>0</v>
      </c>
      <c r="CB77">
        <f>SUMIF('Как есть'!$A$82:$A$89,Доп.расчеты!$A77,'Как есть'!CC$82:CC$89)</f>
        <v>0</v>
      </c>
      <c r="CC77">
        <f>SUMIF('Как есть'!$A$82:$A$89,Доп.расчеты!$A77,'Как есть'!CD$82:CD$89)</f>
        <v>0</v>
      </c>
      <c r="CD77">
        <f>SUMIF('Как есть'!$A$82:$A$89,Доп.расчеты!$A77,'Как есть'!CE$82:CE$89)</f>
        <v>0</v>
      </c>
      <c r="CE77">
        <f>SUMIF('Как есть'!$A$82:$A$89,Доп.расчеты!$A77,'Как есть'!CF$82:CF$89)</f>
        <v>0</v>
      </c>
      <c r="CF77">
        <f>SUMIF('Как есть'!$A$82:$A$89,Доп.расчеты!$A77,'Как есть'!CG$82:CG$89)</f>
        <v>0</v>
      </c>
      <c r="CG77">
        <f>SUMIF('Как есть'!$A$82:$A$89,Доп.расчеты!$A77,'Как есть'!CH$82:CH$89)</f>
        <v>0</v>
      </c>
      <c r="CH77">
        <f>SUMIF('Как есть'!$A$82:$A$89,Доп.расчеты!$A77,'Как есть'!CI$82:CI$89)</f>
        <v>0</v>
      </c>
      <c r="CI77">
        <f>SUMIF('Как есть'!$A$82:$A$89,Доп.расчеты!$A77,'Как есть'!CJ$82:CJ$89)</f>
        <v>0</v>
      </c>
      <c r="CJ77">
        <f>SUMIF('Как есть'!$A$82:$A$89,Доп.расчеты!$A77,'Как есть'!CK$82:CK$89)</f>
        <v>0</v>
      </c>
      <c r="CK77">
        <f>SUMIF('Как есть'!$A$82:$A$89,Доп.расчеты!$A77,'Как есть'!CL$82:CL$89)</f>
        <v>0</v>
      </c>
      <c r="CL77">
        <f>SUMIF('Как есть'!$A$82:$A$89,Доп.расчеты!$A77,'Как есть'!CM$82:CM$89)</f>
        <v>0</v>
      </c>
      <c r="CM77">
        <f>SUMIF('Как есть'!$A$82:$A$89,Доп.расчеты!$A77,'Как есть'!CN$82:CN$89)</f>
        <v>0</v>
      </c>
      <c r="CN77">
        <f>SUMIF('Как есть'!$A$82:$A$89,Доп.расчеты!$A77,'Как есть'!CO$82:CO$89)</f>
        <v>0</v>
      </c>
      <c r="CO77">
        <f>SUMIF('Как есть'!$A$82:$A$89,Доп.расчеты!$A77,'Как есть'!CP$82:CP$89)</f>
        <v>0</v>
      </c>
      <c r="CP77">
        <f>SUMIF('Как есть'!$A$82:$A$89,Доп.расчеты!$A77,'Как есть'!CQ$82:CQ$89)</f>
        <v>0</v>
      </c>
      <c r="CQ77">
        <f>SUMIF('Как есть'!$A$82:$A$89,Доп.расчеты!$A77,'Как есть'!CR$82:CR$89)</f>
        <v>0</v>
      </c>
      <c r="CR77">
        <f>SUMIF('Как есть'!$A$82:$A$89,Доп.расчеты!$A77,'Как есть'!CS$82:CS$89)</f>
        <v>0</v>
      </c>
      <c r="CS77">
        <f>SUMIF('Как есть'!$A$82:$A$89,Доп.расчеты!$A77,'Как есть'!CT$82:CT$89)</f>
        <v>0</v>
      </c>
      <c r="CT77">
        <f>SUMIF('Как есть'!$A$82:$A$89,Доп.расчеты!$A77,'Как есть'!CU$82:CU$89)</f>
        <v>0</v>
      </c>
      <c r="CU77">
        <f>SUMIF('Как есть'!$A$82:$A$89,Доп.расчеты!$A77,'Как есть'!CV$82:CV$89)</f>
        <v>0</v>
      </c>
      <c r="CV77">
        <f>SUMIF('Как есть'!$A$82:$A$89,Доп.расчеты!$A77,'Как есть'!CW$82:CW$89)</f>
        <v>0</v>
      </c>
      <c r="CW77">
        <f>SUMIF('Как есть'!$A$82:$A$89,Доп.расчеты!$A77,'Как есть'!CX$82:CX$89)</f>
        <v>0</v>
      </c>
      <c r="CX77">
        <f>SUMIF('Как есть'!$A$82:$A$89,Доп.расчеты!$A77,'Как есть'!CY$82:CY$89)</f>
        <v>0</v>
      </c>
      <c r="CY77">
        <f>SUMIF('Как есть'!$A$82:$A$89,Доп.расчеты!$A77,'Как есть'!CZ$82:CZ$89)</f>
        <v>0</v>
      </c>
      <c r="CZ77">
        <f>SUMIF('Как есть'!$A$82:$A$89,Доп.расчеты!$A77,'Как есть'!DA$82:DA$89)</f>
        <v>0</v>
      </c>
      <c r="DA77">
        <f>SUMIF('Как есть'!$A$82:$A$89,Доп.расчеты!$A77,'Как есть'!DB$82:DB$89)</f>
        <v>0</v>
      </c>
      <c r="DB77">
        <f>SUMIF('Как есть'!$A$82:$A$89,Доп.расчеты!$A77,'Как есть'!DC$82:DC$89)</f>
        <v>0</v>
      </c>
      <c r="DC77">
        <f>SUMIF('Как есть'!$A$82:$A$89,Доп.расчеты!$A77,'Как есть'!DD$82:DD$89)</f>
        <v>0</v>
      </c>
      <c r="DD77">
        <f>SUMIF('Как есть'!$A$82:$A$89,Доп.расчеты!$A77,'Как есть'!DE$82:DE$89)</f>
        <v>0</v>
      </c>
      <c r="DE77">
        <f>SUMIF('Как есть'!$A$82:$A$89,Доп.расчеты!$A77,'Как есть'!DF$82:DF$89)</f>
        <v>0</v>
      </c>
      <c r="DF77">
        <f>SUMIF('Как есть'!$A$82:$A$89,Доп.расчеты!$A77,'Как есть'!DG$82:DG$89)</f>
        <v>0</v>
      </c>
      <c r="DG77">
        <f>SUMIF('Как есть'!$A$82:$A$89,Доп.расчеты!$A77,'Как есть'!DH$82:DH$89)</f>
        <v>0</v>
      </c>
      <c r="DH77">
        <f>SUMIF('Как есть'!$A$82:$A$89,Доп.расчеты!$A77,'Как есть'!DI$82:DI$89)</f>
        <v>0</v>
      </c>
      <c r="DI77">
        <f>SUMIF('Как есть'!$A$82:$A$89,Доп.расчеты!$A77,'Как есть'!DJ$82:DJ$89)</f>
        <v>0</v>
      </c>
      <c r="DJ77">
        <f>SUMIF('Как есть'!$A$82:$A$89,Доп.расчеты!$A77,'Как есть'!DK$82:DK$89)</f>
        <v>0</v>
      </c>
      <c r="DK77">
        <f>SUMIF('Как есть'!$A$82:$A$89,Доп.расчеты!$A77,'Как есть'!DL$82:DL$89)</f>
        <v>0</v>
      </c>
      <c r="DL77">
        <f>SUMIF('Как есть'!$A$82:$A$89,Доп.расчеты!$A77,'Как есть'!DM$82:DM$89)</f>
        <v>0</v>
      </c>
      <c r="DM77">
        <f>SUMIF('Как есть'!$A$82:$A$89,Доп.расчеты!$A77,'Как есть'!DN$82:DN$89)</f>
        <v>0</v>
      </c>
      <c r="DN77">
        <f>SUMIF('Как есть'!$A$82:$A$89,Доп.расчеты!$A77,'Как есть'!DO$82:DO$89)</f>
        <v>0</v>
      </c>
      <c r="DO77">
        <f>SUMIF('Как есть'!$A$82:$A$89,Доп.расчеты!$A77,'Как есть'!DP$82:DP$89)</f>
        <v>0</v>
      </c>
      <c r="DP77">
        <f>SUMIF('Как есть'!$A$82:$A$89,Доп.расчеты!$A77,'Как есть'!DQ$82:DQ$89)</f>
        <v>0</v>
      </c>
      <c r="DQ77">
        <f>SUMIF('Как есть'!$A$82:$A$89,Доп.расчеты!$A77,'Как есть'!DR$82:DR$89)</f>
        <v>0</v>
      </c>
      <c r="DR77">
        <f>SUMIF('Как есть'!$A$82:$A$89,Доп.расчеты!$A77,'Как есть'!DS$82:DS$89)</f>
        <v>0</v>
      </c>
      <c r="DS77">
        <f>SUMIF('Как есть'!$A$82:$A$89,Доп.расчеты!$A77,'Как есть'!DT$82:DT$89)</f>
        <v>0</v>
      </c>
      <c r="DT77">
        <f>SUMIF('Как есть'!$A$82:$A$89,Доп.расчеты!$A77,'Как есть'!DU$82:DU$89)</f>
        <v>0</v>
      </c>
      <c r="DU77">
        <f>SUMIF('Как есть'!$A$82:$A$89,Доп.расчеты!$A77,'Как есть'!DV$82:DV$89)</f>
        <v>0</v>
      </c>
      <c r="DV77">
        <f>SUMIF('Как есть'!$A$82:$A$89,Доп.расчеты!$A77,'Как есть'!DW$82:DW$89)</f>
        <v>0</v>
      </c>
      <c r="DW77">
        <f>SUMIF('Как есть'!$A$82:$A$89,Доп.расчеты!$A77,'Как есть'!DX$82:DX$89)</f>
        <v>0</v>
      </c>
      <c r="DX77">
        <f>SUMIF('Как есть'!$A$82:$A$89,Доп.расчеты!$A77,'Как есть'!DY$82:DY$89)</f>
        <v>0</v>
      </c>
      <c r="DY77">
        <f>SUMIF('Как есть'!$A$82:$A$89,Доп.расчеты!$A77,'Как есть'!DZ$82:DZ$89)</f>
        <v>0</v>
      </c>
      <c r="DZ77">
        <f>SUMIF('Как есть'!$A$82:$A$89,Доп.расчеты!$A77,'Как есть'!EA$82:EA$89)</f>
        <v>0</v>
      </c>
      <c r="EA77">
        <f>SUMIF('Как есть'!$A$82:$A$89,Доп.расчеты!$A77,'Как есть'!EB$82:EB$89)</f>
        <v>0</v>
      </c>
      <c r="EB77">
        <f>SUMIF('Как есть'!$A$82:$A$89,Доп.расчеты!$A77,'Как есть'!EC$82:EC$89)</f>
        <v>0</v>
      </c>
      <c r="EC77">
        <f>SUMIF('Как есть'!$A$82:$A$89,Доп.расчеты!$A77,'Как есть'!ED$82:ED$89)</f>
        <v>0</v>
      </c>
      <c r="ED77">
        <f>SUMIF('Как есть'!$A$82:$A$89,Доп.расчеты!$A77,'Как есть'!EE$82:EE$89)</f>
        <v>0</v>
      </c>
      <c r="EE77">
        <f>SUMIF('Как есть'!$A$82:$A$89,Доп.расчеты!$A77,'Как есть'!EF$82:EF$89)</f>
        <v>0</v>
      </c>
      <c r="EF77">
        <f>SUMIF('Как есть'!$A$82:$A$89,Доп.расчеты!$A77,'Как есть'!EG$82:EG$89)</f>
        <v>0</v>
      </c>
      <c r="EG77">
        <f>SUMIF('Как есть'!$A$82:$A$89,Доп.расчеты!$A77,'Как есть'!EH$82:EH$89)</f>
        <v>0</v>
      </c>
      <c r="EH77">
        <f>SUMIF('Как есть'!$A$82:$A$89,Доп.расчеты!$A77,'Как есть'!EI$82:EI$89)</f>
        <v>0</v>
      </c>
      <c r="EI77">
        <f>SUMIF('Как есть'!$A$82:$A$89,Доп.расчеты!$A77,'Как есть'!EJ$82:EJ$89)</f>
        <v>0</v>
      </c>
      <c r="EJ77">
        <f>SUMIF('Как есть'!$A$82:$A$89,Доп.расчеты!$A77,'Как есть'!EK$82:EK$89)</f>
        <v>0</v>
      </c>
      <c r="EK77">
        <f>SUMIF('Как есть'!$A$82:$A$89,Доп.расчеты!$A77,'Как есть'!EL$82:EL$89)</f>
        <v>0</v>
      </c>
      <c r="EL77">
        <f>SUMIF('Как есть'!$A$82:$A$89,Доп.расчеты!$A77,'Как есть'!EM$82:EM$89)</f>
        <v>0</v>
      </c>
      <c r="EM77">
        <f>SUMIF('Как есть'!$A$82:$A$89,Доп.расчеты!$A77,'Как есть'!EN$82:EN$89)</f>
        <v>0</v>
      </c>
      <c r="EN77">
        <f>SUMIF('Как есть'!$A$82:$A$89,Доп.расчеты!$A77,'Как есть'!EO$82:EO$89)</f>
        <v>0</v>
      </c>
      <c r="EO77">
        <f>SUMIF('Как есть'!$A$82:$A$89,Доп.расчеты!$A77,'Как есть'!EP$82:EP$89)</f>
        <v>0</v>
      </c>
      <c r="EP77">
        <f>SUMIF('Как есть'!$A$82:$A$89,Доп.расчеты!$A77,'Как есть'!EQ$82:EQ$89)</f>
        <v>0</v>
      </c>
      <c r="EQ77">
        <f>SUMIF('Как есть'!$A$82:$A$89,Доп.расчеты!$A77,'Как есть'!ER$82:ER$89)</f>
        <v>0</v>
      </c>
      <c r="ER77">
        <f>SUMIF('Как есть'!$A$82:$A$89,Доп.расчеты!$A77,'Как есть'!ES$82:ES$89)</f>
        <v>0</v>
      </c>
      <c r="ES77">
        <f>SUMIF('Как есть'!$A$82:$A$89,Доп.расчеты!$A77,'Как есть'!ET$82:ET$89)</f>
        <v>0</v>
      </c>
      <c r="ET77">
        <f>SUMIF('Как есть'!$A$82:$A$89,Доп.расчеты!$A77,'Как есть'!EU$82:EU$89)</f>
        <v>0</v>
      </c>
      <c r="EU77">
        <f>SUMIF('Как есть'!$A$82:$A$89,Доп.расчеты!$A77,'Как есть'!EV$82:EV$89)</f>
        <v>0</v>
      </c>
      <c r="EV77">
        <f>SUMIF('Как есть'!$A$82:$A$89,Доп.расчеты!$A77,'Как есть'!EW$82:EW$89)</f>
        <v>0</v>
      </c>
      <c r="EW77">
        <f>SUMIF('Как есть'!$A$82:$A$89,Доп.расчеты!$A77,'Как есть'!EX$82:EX$89)</f>
        <v>0</v>
      </c>
      <c r="EX77">
        <f>SUMIF('Как есть'!$A$82:$A$89,Доп.расчеты!$A77,'Как есть'!EY$82:EY$89)</f>
        <v>0</v>
      </c>
      <c r="EY77">
        <f>SUMIF('Как есть'!$A$82:$A$89,Доп.расчеты!$A77,'Как есть'!EZ$82:EZ$89)</f>
        <v>0</v>
      </c>
      <c r="EZ77">
        <f>SUMIF('Как есть'!$A$82:$A$89,Доп.расчеты!$A77,'Как есть'!FA$82:FA$89)</f>
        <v>0</v>
      </c>
      <c r="FA77">
        <f>SUMIF('Как есть'!$A$82:$A$89,Доп.расчеты!$A77,'Как есть'!FB$82:FB$89)</f>
        <v>0</v>
      </c>
      <c r="FB77">
        <f>SUMIF('Как есть'!$A$82:$A$89,Доп.расчеты!$A77,'Как есть'!FC$82:FC$89)</f>
        <v>0</v>
      </c>
      <c r="FC77">
        <f>SUMIF('Как есть'!$A$82:$A$89,Доп.расчеты!$A77,'Как есть'!FD$82:FD$89)</f>
        <v>0</v>
      </c>
      <c r="FD77">
        <f>SUMIF('Как есть'!$A$82:$A$89,Доп.расчеты!$A77,'Как есть'!FE$82:FE$89)</f>
        <v>0</v>
      </c>
      <c r="FE77">
        <f>SUMIF('Как есть'!$A$82:$A$89,Доп.расчеты!$A77,'Как есть'!FF$82:FF$89)</f>
        <v>0</v>
      </c>
      <c r="FF77">
        <f>SUMIF('Как есть'!$A$82:$A$89,Доп.расчеты!$A77,'Как есть'!FG$82:FG$89)</f>
        <v>0</v>
      </c>
      <c r="FG77">
        <f>SUMIF('Как есть'!$A$82:$A$89,Доп.расчеты!$A77,'Как есть'!FH$82:FH$89)</f>
        <v>0</v>
      </c>
      <c r="FH77">
        <f>SUMIF('Как есть'!$A$82:$A$89,Доп.расчеты!$A77,'Как есть'!FI$82:FI$89)</f>
        <v>0</v>
      </c>
      <c r="FI77">
        <f>SUMIF('Как есть'!$A$82:$A$89,Доп.расчеты!$A77,'Как есть'!FJ$82:FJ$89)</f>
        <v>0</v>
      </c>
      <c r="FJ77">
        <f>SUMIF('Как есть'!$A$82:$A$89,Доп.расчеты!$A77,'Как есть'!FK$82:FK$89)</f>
        <v>0</v>
      </c>
      <c r="FK77">
        <f>SUMIF('Как есть'!$A$82:$A$89,Доп.расчеты!$A77,'Как есть'!FL$82:FL$89)</f>
        <v>0</v>
      </c>
      <c r="FL77">
        <f>SUMIF('Как есть'!$A$82:$A$89,Доп.расчеты!$A77,'Как есть'!FM$82:FM$89)</f>
        <v>0</v>
      </c>
      <c r="FM77">
        <f>SUMIF('Как есть'!$A$82:$A$89,Доп.расчеты!$A77,'Как есть'!FN$82:FN$89)</f>
        <v>0</v>
      </c>
      <c r="FN77">
        <f>SUMIF('Как есть'!$A$82:$A$89,Доп.расчеты!$A77,'Как есть'!FO$82:FO$89)</f>
        <v>0</v>
      </c>
      <c r="FO77">
        <f>SUMIF('Как есть'!$A$82:$A$89,Доп.расчеты!$A77,'Как есть'!FP$82:FP$89)</f>
        <v>0</v>
      </c>
      <c r="FP77">
        <f>SUMIF('Как есть'!$A$82:$A$89,Доп.расчеты!$A77,'Как есть'!FQ$82:FQ$89)</f>
        <v>0</v>
      </c>
      <c r="FQ77">
        <f>SUMIF('Как есть'!$A$82:$A$89,Доп.расчеты!$A77,'Как есть'!FR$82:FR$89)</f>
        <v>0</v>
      </c>
      <c r="FR77">
        <f>SUMIF('Как есть'!$A$82:$A$89,Доп.расчеты!$A77,'Как есть'!FS$82:FS$89)</f>
        <v>0</v>
      </c>
      <c r="FS77">
        <f>SUMIF('Как есть'!$A$82:$A$89,Доп.расчеты!$A77,'Как есть'!FT$82:FT$89)</f>
        <v>0</v>
      </c>
      <c r="FT77">
        <f>SUMIF('Как есть'!$A$82:$A$89,Доп.расчеты!$A77,'Как есть'!FU$82:FU$89)</f>
        <v>0</v>
      </c>
      <c r="FU77">
        <f>SUMIF('Как есть'!$A$82:$A$89,Доп.расчеты!$A77,'Как есть'!FV$82:FV$89)</f>
        <v>0</v>
      </c>
      <c r="FV77">
        <f>SUMIF('Как есть'!$A$82:$A$89,Доп.расчеты!$A77,'Как есть'!FW$82:FW$89)</f>
        <v>0</v>
      </c>
      <c r="FW77">
        <f>SUMIF('Как есть'!$A$82:$A$89,Доп.расчеты!$A77,'Как есть'!FX$82:FX$89)</f>
        <v>0</v>
      </c>
      <c r="FX77">
        <f>SUMIF('Как есть'!$A$82:$A$89,Доп.расчеты!$A77,'Как есть'!FY$82:FY$89)</f>
        <v>0</v>
      </c>
      <c r="FY77">
        <f>SUMIF('Как есть'!$A$82:$A$89,Доп.расчеты!$A77,'Как есть'!FZ$82:FZ$89)</f>
        <v>0</v>
      </c>
      <c r="FZ77">
        <f>SUMIF('Как есть'!$A$82:$A$89,Доп.расчеты!$A77,'Как есть'!GA$82:GA$89)</f>
        <v>0</v>
      </c>
      <c r="GA77">
        <f>SUMIF('Как есть'!$A$82:$A$89,Доп.расчеты!$A77,'Как есть'!GB$82:GB$89)</f>
        <v>0</v>
      </c>
      <c r="GB77">
        <f>SUMIF('Как есть'!$A$82:$A$89,Доп.расчеты!$A77,'Как есть'!GC$82:GC$89)</f>
        <v>0</v>
      </c>
      <c r="GC77">
        <f>SUMIF('Как есть'!$A$82:$A$89,Доп.расчеты!$A77,'Как есть'!GD$82:GD$89)</f>
        <v>0</v>
      </c>
      <c r="GD77">
        <f>SUMIF('Как есть'!$A$82:$A$89,Доп.расчеты!$A77,'Как есть'!GE$82:GE$89)</f>
        <v>0</v>
      </c>
      <c r="GE77">
        <f>SUMIF('Как есть'!$A$82:$A$89,Доп.расчеты!$A77,'Как есть'!GF$82:GF$89)</f>
        <v>0</v>
      </c>
      <c r="GF77">
        <f>SUMIF('Как есть'!$A$82:$A$89,Доп.расчеты!$A77,'Как есть'!GG$82:GG$89)</f>
        <v>0</v>
      </c>
      <c r="GG77">
        <f>SUMIF('Как есть'!$A$82:$A$89,Доп.расчеты!$A77,'Как есть'!GH$82:GH$89)</f>
        <v>0</v>
      </c>
      <c r="GH77">
        <f>SUMIF('Как есть'!$A$82:$A$89,Доп.расчеты!$A77,'Как есть'!GI$82:GI$89)</f>
        <v>0</v>
      </c>
      <c r="GI77">
        <f>SUMIF('Как есть'!$A$82:$A$89,Доп.расчеты!$A77,'Как есть'!GJ$82:GJ$89)</f>
        <v>0</v>
      </c>
      <c r="GJ77">
        <f>SUMIF('Как есть'!$A$82:$A$89,Доп.расчеты!$A77,'Как есть'!GK$82:GK$89)</f>
        <v>0</v>
      </c>
      <c r="GK77">
        <f>SUMIF('Как есть'!$A$82:$A$89,Доп.расчеты!$A77,'Как есть'!GL$82:GL$89)</f>
        <v>0</v>
      </c>
      <c r="GL77">
        <f>SUMIF('Как есть'!$A$82:$A$89,Доп.расчеты!$A77,'Как есть'!GM$82:GM$89)</f>
        <v>0</v>
      </c>
      <c r="GM77">
        <f>SUMIF('Как есть'!$A$82:$A$89,Доп.расчеты!$A77,'Как есть'!GN$82:GN$89)</f>
        <v>0</v>
      </c>
      <c r="GN77">
        <f>SUMIF('Как есть'!$A$82:$A$89,Доп.расчеты!$A77,'Как есть'!GO$82:GO$89)</f>
        <v>0</v>
      </c>
      <c r="GO77">
        <f>SUMIF('Как есть'!$A$82:$A$89,Доп.расчеты!$A77,'Как есть'!GP$82:GP$89)</f>
        <v>0</v>
      </c>
      <c r="GP77">
        <f>SUMIF('Как есть'!$A$82:$A$89,Доп.расчеты!$A77,'Как есть'!GQ$82:GQ$89)</f>
        <v>0</v>
      </c>
      <c r="GQ77">
        <f>SUMIF('Как есть'!$A$82:$A$89,Доп.расчеты!$A77,'Как есть'!GR$82:GR$89)</f>
        <v>0</v>
      </c>
      <c r="GR77">
        <f>SUMIF('Как есть'!$A$82:$A$89,Доп.расчеты!$A77,'Как есть'!GS$82:GS$89)</f>
        <v>0</v>
      </c>
      <c r="GS77">
        <f>SUMIF('Как есть'!$A$82:$A$89,Доп.расчеты!$A77,'Как есть'!GT$82:GT$89)</f>
        <v>0</v>
      </c>
      <c r="GT77">
        <f>SUMIF('Как есть'!$A$82:$A$89,Доп.расчеты!$A77,'Как есть'!GU$82:GU$89)</f>
        <v>0</v>
      </c>
    </row>
    <row r="78" spans="1:202">
      <c r="A78" s="237" t="s">
        <v>11</v>
      </c>
      <c r="B78">
        <f>SUMIF('Как есть'!$A$82:$A$89,Доп.расчеты!$A78,'Как есть'!C$82:C$89)</f>
        <v>0</v>
      </c>
      <c r="C78">
        <f>SUMIF('Как есть'!$A$82:$A$89,Доп.расчеты!$A78,'Как есть'!D$82:D$89)</f>
        <v>0</v>
      </c>
      <c r="D78">
        <f>SUMIF('Как есть'!$A$82:$A$89,Доп.расчеты!$A78,'Как есть'!E$82:E$89)</f>
        <v>0</v>
      </c>
      <c r="E78">
        <f>SUMIF('Как есть'!$A$82:$A$89,Доп.расчеты!$A78,'Как есть'!F$82:F$89)</f>
        <v>0</v>
      </c>
      <c r="F78">
        <f>SUMIF('Как есть'!$A$82:$A$89,Доп.расчеты!$A78,'Как есть'!G$82:G$89)</f>
        <v>0</v>
      </c>
      <c r="G78">
        <f>SUMIF('Как есть'!$A$82:$A$89,Доп.расчеты!$A78,'Как есть'!H$82:H$89)</f>
        <v>0</v>
      </c>
      <c r="H78">
        <f>SUMIF('Как есть'!$A$82:$A$89,Доп.расчеты!$A78,'Как есть'!I$82:I$89)</f>
        <v>0</v>
      </c>
      <c r="I78">
        <f>SUMIF('Как есть'!$A$82:$A$89,Доп.расчеты!$A78,'Как есть'!J$82:J$89)</f>
        <v>0</v>
      </c>
      <c r="J78">
        <f>SUMIF('Как есть'!$A$82:$A$89,Доп.расчеты!$A78,'Как есть'!K$82:K$89)</f>
        <v>0</v>
      </c>
      <c r="K78">
        <f>SUMIF('Как есть'!$A$82:$A$89,Доп.расчеты!$A78,'Как есть'!L$82:L$89)</f>
        <v>0</v>
      </c>
      <c r="L78">
        <f>SUMIF('Как есть'!$A$82:$A$89,Доп.расчеты!$A78,'Как есть'!M$82:M$89)</f>
        <v>0</v>
      </c>
      <c r="M78">
        <f>SUMIF('Как есть'!$A$82:$A$89,Доп.расчеты!$A78,'Как есть'!N$82:N$89)</f>
        <v>0</v>
      </c>
      <c r="N78">
        <f>SUMIF('Как есть'!$A$82:$A$89,Доп.расчеты!$A78,'Как есть'!O$82:O$89)</f>
        <v>0</v>
      </c>
      <c r="O78">
        <f>SUMIF('Как есть'!$A$82:$A$89,Доп.расчеты!$A78,'Как есть'!P$82:P$89)</f>
        <v>0</v>
      </c>
      <c r="P78">
        <f>SUMIF('Как есть'!$A$82:$A$89,Доп.расчеты!$A78,'Как есть'!Q$82:Q$89)</f>
        <v>0</v>
      </c>
      <c r="Q78">
        <f>SUMIF('Как есть'!$A$82:$A$89,Доп.расчеты!$A78,'Как есть'!R$82:R$89)</f>
        <v>0</v>
      </c>
      <c r="R78">
        <f>SUMIF('Как есть'!$A$82:$A$89,Доп.расчеты!$A78,'Как есть'!S$82:S$89)</f>
        <v>0</v>
      </c>
      <c r="S78">
        <f>SUMIF('Как есть'!$A$82:$A$89,Доп.расчеты!$A78,'Как есть'!T$82:T$89)</f>
        <v>0</v>
      </c>
      <c r="T78">
        <f>SUMIF('Как есть'!$A$82:$A$89,Доп.расчеты!$A78,'Как есть'!U$82:U$89)</f>
        <v>0</v>
      </c>
      <c r="U78">
        <f>SUMIF('Как есть'!$A$82:$A$89,Доп.расчеты!$A78,'Как есть'!V$82:V$89)</f>
        <v>0</v>
      </c>
      <c r="V78">
        <f>SUMIF('Как есть'!$A$82:$A$89,Доп.расчеты!$A78,'Как есть'!W$82:W$89)</f>
        <v>0</v>
      </c>
      <c r="W78">
        <f>SUMIF('Как есть'!$A$82:$A$89,Доп.расчеты!$A78,'Как есть'!X$82:X$89)</f>
        <v>0</v>
      </c>
      <c r="X78">
        <f>SUMIF('Как есть'!$A$82:$A$89,Доп.расчеты!$A78,'Как есть'!Y$82:Y$89)</f>
        <v>0</v>
      </c>
      <c r="Y78">
        <f>SUMIF('Как есть'!$A$82:$A$89,Доп.расчеты!$A78,'Как есть'!Z$82:Z$89)</f>
        <v>0</v>
      </c>
      <c r="Z78">
        <f>SUMIF('Как есть'!$A$82:$A$89,Доп.расчеты!$A78,'Как есть'!AA$82:AA$89)</f>
        <v>0</v>
      </c>
      <c r="AA78">
        <f>SUMIF('Как есть'!$A$82:$A$89,Доп.расчеты!$A78,'Как есть'!AB$82:AB$89)</f>
        <v>0</v>
      </c>
      <c r="AB78">
        <f>SUMIF('Как есть'!$A$82:$A$89,Доп.расчеты!$A78,'Как есть'!AC$82:AC$89)</f>
        <v>0</v>
      </c>
      <c r="AC78">
        <f>SUMIF('Как есть'!$A$82:$A$89,Доп.расчеты!$A78,'Как есть'!AD$82:AD$89)</f>
        <v>0</v>
      </c>
      <c r="AD78">
        <f>SUMIF('Как есть'!$A$82:$A$89,Доп.расчеты!$A78,'Как есть'!AE$82:AE$89)</f>
        <v>0</v>
      </c>
      <c r="AE78">
        <f>SUMIF('Как есть'!$A$82:$A$89,Доп.расчеты!$A78,'Как есть'!AF$82:AF$89)</f>
        <v>0</v>
      </c>
      <c r="AF78">
        <f>SUMIF('Как есть'!$A$82:$A$89,Доп.расчеты!$A78,'Как есть'!AG$82:AG$89)</f>
        <v>0</v>
      </c>
      <c r="AG78">
        <f>SUMIF('Как есть'!$A$82:$A$89,Доп.расчеты!$A78,'Как есть'!AH$82:AH$89)</f>
        <v>0</v>
      </c>
      <c r="AH78">
        <f>SUMIF('Как есть'!$A$82:$A$89,Доп.расчеты!$A78,'Как есть'!AI$82:AI$89)</f>
        <v>0</v>
      </c>
      <c r="AI78">
        <f>SUMIF('Как есть'!$A$82:$A$89,Доп.расчеты!$A78,'Как есть'!AJ$82:AJ$89)</f>
        <v>0</v>
      </c>
      <c r="AJ78">
        <f>SUMIF('Как есть'!$A$82:$A$89,Доп.расчеты!$A78,'Как есть'!AK$82:AK$89)</f>
        <v>0</v>
      </c>
      <c r="AK78">
        <f>SUMIF('Как есть'!$A$82:$A$89,Доп.расчеты!$A78,'Как есть'!AL$82:AL$89)</f>
        <v>0</v>
      </c>
      <c r="AL78">
        <f>SUMIF('Как есть'!$A$82:$A$89,Доп.расчеты!$A78,'Как есть'!AM$82:AM$89)</f>
        <v>0</v>
      </c>
      <c r="AM78">
        <f>SUMIF('Как есть'!$A$82:$A$89,Доп.расчеты!$A78,'Как есть'!AN$82:AN$89)</f>
        <v>0</v>
      </c>
      <c r="AN78">
        <f>SUMIF('Как есть'!$A$82:$A$89,Доп.расчеты!$A78,'Как есть'!AO$82:AO$89)</f>
        <v>0</v>
      </c>
      <c r="AO78">
        <f>SUMIF('Как есть'!$A$82:$A$89,Доп.расчеты!$A78,'Как есть'!AP$82:AP$89)</f>
        <v>0</v>
      </c>
      <c r="AP78">
        <f>SUMIF('Как есть'!$A$82:$A$89,Доп.расчеты!$A78,'Как есть'!AQ$82:AQ$89)</f>
        <v>0</v>
      </c>
      <c r="AQ78">
        <f>SUMIF('Как есть'!$A$82:$A$89,Доп.расчеты!$A78,'Как есть'!AR$82:AR$89)</f>
        <v>0</v>
      </c>
      <c r="AR78">
        <f>SUMIF('Как есть'!$A$82:$A$89,Доп.расчеты!$A78,'Как есть'!AS$82:AS$89)</f>
        <v>0</v>
      </c>
      <c r="AS78">
        <f>SUMIF('Как есть'!$A$82:$A$89,Доп.расчеты!$A78,'Как есть'!AT$82:AT$89)</f>
        <v>0</v>
      </c>
      <c r="AT78">
        <f>SUMIF('Как есть'!$A$82:$A$89,Доп.расчеты!$A78,'Как есть'!AU$82:AU$89)</f>
        <v>0</v>
      </c>
      <c r="AU78">
        <f>SUMIF('Как есть'!$A$82:$A$89,Доп.расчеты!$A78,'Как есть'!AV$82:AV$89)</f>
        <v>0</v>
      </c>
      <c r="AV78">
        <f>SUMIF('Как есть'!$A$82:$A$89,Доп.расчеты!$A78,'Как есть'!AW$82:AW$89)</f>
        <v>0</v>
      </c>
      <c r="AW78">
        <f>SUMIF('Как есть'!$A$82:$A$89,Доп.расчеты!$A78,'Как есть'!AX$82:AX$89)</f>
        <v>0</v>
      </c>
      <c r="AX78">
        <f>SUMIF('Как есть'!$A$82:$A$89,Доп.расчеты!$A78,'Как есть'!AY$82:AY$89)</f>
        <v>0</v>
      </c>
      <c r="AY78">
        <f>SUMIF('Как есть'!$A$82:$A$89,Доп.расчеты!$A78,'Как есть'!AZ$82:AZ$89)</f>
        <v>0</v>
      </c>
      <c r="AZ78">
        <f>SUMIF('Как есть'!$A$82:$A$89,Доп.расчеты!$A78,'Как есть'!BA$82:BA$89)</f>
        <v>0</v>
      </c>
      <c r="BA78">
        <f>SUMIF('Как есть'!$A$82:$A$89,Доп.расчеты!$A78,'Как есть'!BB$82:BB$89)</f>
        <v>0</v>
      </c>
      <c r="BB78">
        <f>SUMIF('Как есть'!$A$82:$A$89,Доп.расчеты!$A78,'Как есть'!BC$82:BC$89)</f>
        <v>0</v>
      </c>
      <c r="BC78">
        <f>SUMIF('Как есть'!$A$82:$A$89,Доп.расчеты!$A78,'Как есть'!BD$82:BD$89)</f>
        <v>0</v>
      </c>
      <c r="BD78">
        <f>SUMIF('Как есть'!$A$82:$A$89,Доп.расчеты!$A78,'Как есть'!BE$82:BE$89)</f>
        <v>0</v>
      </c>
      <c r="BE78">
        <f>SUMIF('Как есть'!$A$82:$A$89,Доп.расчеты!$A78,'Как есть'!BF$82:BF$89)</f>
        <v>0</v>
      </c>
      <c r="BF78">
        <f>SUMIF('Как есть'!$A$82:$A$89,Доп.расчеты!$A78,'Как есть'!BG$82:BG$89)</f>
        <v>0</v>
      </c>
      <c r="BG78">
        <f>SUMIF('Как есть'!$A$82:$A$89,Доп.расчеты!$A78,'Как есть'!BH$82:BH$89)</f>
        <v>0</v>
      </c>
      <c r="BH78">
        <f>SUMIF('Как есть'!$A$82:$A$89,Доп.расчеты!$A78,'Как есть'!BI$82:BI$89)</f>
        <v>0</v>
      </c>
      <c r="BI78">
        <f>SUMIF('Как есть'!$A$82:$A$89,Доп.расчеты!$A78,'Как есть'!BJ$82:BJ$89)</f>
        <v>0</v>
      </c>
      <c r="BJ78">
        <f>SUMIF('Как есть'!$A$82:$A$89,Доп.расчеты!$A78,'Как есть'!BK$82:BK$89)</f>
        <v>0</v>
      </c>
      <c r="BK78">
        <f>SUMIF('Как есть'!$A$82:$A$89,Доп.расчеты!$A78,'Как есть'!BL$82:BL$89)</f>
        <v>0</v>
      </c>
      <c r="BL78">
        <f>SUMIF('Как есть'!$A$82:$A$89,Доп.расчеты!$A78,'Как есть'!BM$82:BM$89)</f>
        <v>0</v>
      </c>
      <c r="BM78">
        <f>SUMIF('Как есть'!$A$82:$A$89,Доп.расчеты!$A78,'Как есть'!BN$82:BN$89)</f>
        <v>0</v>
      </c>
      <c r="BN78">
        <f>SUMIF('Как есть'!$A$82:$A$89,Доп.расчеты!$A78,'Как есть'!BO$82:BO$89)</f>
        <v>0</v>
      </c>
      <c r="BO78">
        <f>SUMIF('Как есть'!$A$82:$A$89,Доп.расчеты!$A78,'Как есть'!BP$82:BP$89)</f>
        <v>0</v>
      </c>
      <c r="BP78">
        <f>SUMIF('Как есть'!$A$82:$A$89,Доп.расчеты!$A78,'Как есть'!BQ$82:BQ$89)</f>
        <v>0</v>
      </c>
      <c r="BQ78">
        <f>SUMIF('Как есть'!$A$82:$A$89,Доп.расчеты!$A78,'Как есть'!BR$82:BR$89)</f>
        <v>0</v>
      </c>
      <c r="BR78">
        <f>SUMIF('Как есть'!$A$82:$A$89,Доп.расчеты!$A78,'Как есть'!BS$82:BS$89)</f>
        <v>0</v>
      </c>
      <c r="BS78">
        <f>SUMIF('Как есть'!$A$82:$A$89,Доп.расчеты!$A78,'Как есть'!BT$82:BT$89)</f>
        <v>0</v>
      </c>
      <c r="BT78">
        <f>SUMIF('Как есть'!$A$82:$A$89,Доп.расчеты!$A78,'Как есть'!BU$82:BU$89)</f>
        <v>0</v>
      </c>
      <c r="BU78">
        <f>SUMIF('Как есть'!$A$82:$A$89,Доп.расчеты!$A78,'Как есть'!BV$82:BV$89)</f>
        <v>0</v>
      </c>
      <c r="BV78">
        <f>SUMIF('Как есть'!$A$82:$A$89,Доп.расчеты!$A78,'Как есть'!BW$82:BW$89)</f>
        <v>0</v>
      </c>
      <c r="BW78">
        <f>SUMIF('Как есть'!$A$82:$A$89,Доп.расчеты!$A78,'Как есть'!BX$82:BX$89)</f>
        <v>0</v>
      </c>
      <c r="BX78">
        <f>SUMIF('Как есть'!$A$82:$A$89,Доп.расчеты!$A78,'Как есть'!BY$82:BY$89)</f>
        <v>0</v>
      </c>
      <c r="BY78">
        <f>SUMIF('Как есть'!$A$82:$A$89,Доп.расчеты!$A78,'Как есть'!BZ$82:BZ$89)</f>
        <v>0</v>
      </c>
      <c r="BZ78">
        <f>SUMIF('Как есть'!$A$82:$A$89,Доп.расчеты!$A78,'Как есть'!CA$82:CA$89)</f>
        <v>0</v>
      </c>
      <c r="CA78">
        <f>SUMIF('Как есть'!$A$82:$A$89,Доп.расчеты!$A78,'Как есть'!CB$82:CB$89)</f>
        <v>0</v>
      </c>
      <c r="CB78">
        <f>SUMIF('Как есть'!$A$82:$A$89,Доп.расчеты!$A78,'Как есть'!CC$82:CC$89)</f>
        <v>0</v>
      </c>
      <c r="CC78">
        <f>SUMIF('Как есть'!$A$82:$A$89,Доп.расчеты!$A78,'Как есть'!CD$82:CD$89)</f>
        <v>0</v>
      </c>
      <c r="CD78">
        <f>SUMIF('Как есть'!$A$82:$A$89,Доп.расчеты!$A78,'Как есть'!CE$82:CE$89)</f>
        <v>0</v>
      </c>
      <c r="CE78">
        <f>SUMIF('Как есть'!$A$82:$A$89,Доп.расчеты!$A78,'Как есть'!CF$82:CF$89)</f>
        <v>0</v>
      </c>
      <c r="CF78">
        <f>SUMIF('Как есть'!$A$82:$A$89,Доп.расчеты!$A78,'Как есть'!CG$82:CG$89)</f>
        <v>0</v>
      </c>
      <c r="CG78">
        <f>SUMIF('Как есть'!$A$82:$A$89,Доп.расчеты!$A78,'Как есть'!CH$82:CH$89)</f>
        <v>0</v>
      </c>
      <c r="CH78">
        <f>SUMIF('Как есть'!$A$82:$A$89,Доп.расчеты!$A78,'Как есть'!CI$82:CI$89)</f>
        <v>0</v>
      </c>
      <c r="CI78">
        <f>SUMIF('Как есть'!$A$82:$A$89,Доп.расчеты!$A78,'Как есть'!CJ$82:CJ$89)</f>
        <v>0</v>
      </c>
      <c r="CJ78">
        <f>SUMIF('Как есть'!$A$82:$A$89,Доп.расчеты!$A78,'Как есть'!CK$82:CK$89)</f>
        <v>0</v>
      </c>
      <c r="CK78">
        <f>SUMIF('Как есть'!$A$82:$A$89,Доп.расчеты!$A78,'Как есть'!CL$82:CL$89)</f>
        <v>0</v>
      </c>
      <c r="CL78">
        <f>SUMIF('Как есть'!$A$82:$A$89,Доп.расчеты!$A78,'Как есть'!CM$82:CM$89)</f>
        <v>0</v>
      </c>
      <c r="CM78">
        <f>SUMIF('Как есть'!$A$82:$A$89,Доп.расчеты!$A78,'Как есть'!CN$82:CN$89)</f>
        <v>0</v>
      </c>
      <c r="CN78">
        <f>SUMIF('Как есть'!$A$82:$A$89,Доп.расчеты!$A78,'Как есть'!CO$82:CO$89)</f>
        <v>0</v>
      </c>
      <c r="CO78">
        <f>SUMIF('Как есть'!$A$82:$A$89,Доп.расчеты!$A78,'Как есть'!CP$82:CP$89)</f>
        <v>0</v>
      </c>
      <c r="CP78">
        <f>SUMIF('Как есть'!$A$82:$A$89,Доп.расчеты!$A78,'Как есть'!CQ$82:CQ$89)</f>
        <v>0</v>
      </c>
      <c r="CQ78">
        <f>SUMIF('Как есть'!$A$82:$A$89,Доп.расчеты!$A78,'Как есть'!CR$82:CR$89)</f>
        <v>0</v>
      </c>
      <c r="CR78">
        <f>SUMIF('Как есть'!$A$82:$A$89,Доп.расчеты!$A78,'Как есть'!CS$82:CS$89)</f>
        <v>0</v>
      </c>
      <c r="CS78">
        <f>SUMIF('Как есть'!$A$82:$A$89,Доп.расчеты!$A78,'Как есть'!CT$82:CT$89)</f>
        <v>0</v>
      </c>
      <c r="CT78">
        <f>SUMIF('Как есть'!$A$82:$A$89,Доп.расчеты!$A78,'Как есть'!CU$82:CU$89)</f>
        <v>0</v>
      </c>
      <c r="CU78">
        <f>SUMIF('Как есть'!$A$82:$A$89,Доп.расчеты!$A78,'Как есть'!CV$82:CV$89)</f>
        <v>0</v>
      </c>
      <c r="CV78">
        <f>SUMIF('Как есть'!$A$82:$A$89,Доп.расчеты!$A78,'Как есть'!CW$82:CW$89)</f>
        <v>0</v>
      </c>
      <c r="CW78">
        <f>SUMIF('Как есть'!$A$82:$A$89,Доп.расчеты!$A78,'Как есть'!CX$82:CX$89)</f>
        <v>0</v>
      </c>
      <c r="CX78">
        <f>SUMIF('Как есть'!$A$82:$A$89,Доп.расчеты!$A78,'Как есть'!CY$82:CY$89)</f>
        <v>0</v>
      </c>
      <c r="CY78">
        <f>SUMIF('Как есть'!$A$82:$A$89,Доп.расчеты!$A78,'Как есть'!CZ$82:CZ$89)</f>
        <v>0</v>
      </c>
      <c r="CZ78">
        <f>SUMIF('Как есть'!$A$82:$A$89,Доп.расчеты!$A78,'Как есть'!DA$82:DA$89)</f>
        <v>0</v>
      </c>
      <c r="DA78">
        <f>SUMIF('Как есть'!$A$82:$A$89,Доп.расчеты!$A78,'Как есть'!DB$82:DB$89)</f>
        <v>0</v>
      </c>
      <c r="DB78">
        <f>SUMIF('Как есть'!$A$82:$A$89,Доп.расчеты!$A78,'Как есть'!DC$82:DC$89)</f>
        <v>0</v>
      </c>
      <c r="DC78">
        <f>SUMIF('Как есть'!$A$82:$A$89,Доп.расчеты!$A78,'Как есть'!DD$82:DD$89)</f>
        <v>0</v>
      </c>
      <c r="DD78">
        <f>SUMIF('Как есть'!$A$82:$A$89,Доп.расчеты!$A78,'Как есть'!DE$82:DE$89)</f>
        <v>0</v>
      </c>
      <c r="DE78">
        <f>SUMIF('Как есть'!$A$82:$A$89,Доп.расчеты!$A78,'Как есть'!DF$82:DF$89)</f>
        <v>0</v>
      </c>
      <c r="DF78">
        <f>SUMIF('Как есть'!$A$82:$A$89,Доп.расчеты!$A78,'Как есть'!DG$82:DG$89)</f>
        <v>0</v>
      </c>
      <c r="DG78">
        <f>SUMIF('Как есть'!$A$82:$A$89,Доп.расчеты!$A78,'Как есть'!DH$82:DH$89)</f>
        <v>0</v>
      </c>
      <c r="DH78">
        <f>SUMIF('Как есть'!$A$82:$A$89,Доп.расчеты!$A78,'Как есть'!DI$82:DI$89)</f>
        <v>0</v>
      </c>
      <c r="DI78">
        <f>SUMIF('Как есть'!$A$82:$A$89,Доп.расчеты!$A78,'Как есть'!DJ$82:DJ$89)</f>
        <v>0</v>
      </c>
      <c r="DJ78">
        <f>SUMIF('Как есть'!$A$82:$A$89,Доп.расчеты!$A78,'Как есть'!DK$82:DK$89)</f>
        <v>0</v>
      </c>
      <c r="DK78">
        <f>SUMIF('Как есть'!$A$82:$A$89,Доп.расчеты!$A78,'Как есть'!DL$82:DL$89)</f>
        <v>0</v>
      </c>
      <c r="DL78">
        <f>SUMIF('Как есть'!$A$82:$A$89,Доп.расчеты!$A78,'Как есть'!DM$82:DM$89)</f>
        <v>0</v>
      </c>
      <c r="DM78">
        <f>SUMIF('Как есть'!$A$82:$A$89,Доп.расчеты!$A78,'Как есть'!DN$82:DN$89)</f>
        <v>0</v>
      </c>
      <c r="DN78">
        <f>SUMIF('Как есть'!$A$82:$A$89,Доп.расчеты!$A78,'Как есть'!DO$82:DO$89)</f>
        <v>0</v>
      </c>
      <c r="DO78">
        <f>SUMIF('Как есть'!$A$82:$A$89,Доп.расчеты!$A78,'Как есть'!DP$82:DP$89)</f>
        <v>0</v>
      </c>
      <c r="DP78">
        <f>SUMIF('Как есть'!$A$82:$A$89,Доп.расчеты!$A78,'Как есть'!DQ$82:DQ$89)</f>
        <v>0</v>
      </c>
      <c r="DQ78">
        <f>SUMIF('Как есть'!$A$82:$A$89,Доп.расчеты!$A78,'Как есть'!DR$82:DR$89)</f>
        <v>0</v>
      </c>
      <c r="DR78">
        <f>SUMIF('Как есть'!$A$82:$A$89,Доп.расчеты!$A78,'Как есть'!DS$82:DS$89)</f>
        <v>0</v>
      </c>
      <c r="DS78">
        <f>SUMIF('Как есть'!$A$82:$A$89,Доп.расчеты!$A78,'Как есть'!DT$82:DT$89)</f>
        <v>0</v>
      </c>
      <c r="DT78">
        <f>SUMIF('Как есть'!$A$82:$A$89,Доп.расчеты!$A78,'Как есть'!DU$82:DU$89)</f>
        <v>0</v>
      </c>
      <c r="DU78">
        <f>SUMIF('Как есть'!$A$82:$A$89,Доп.расчеты!$A78,'Как есть'!DV$82:DV$89)</f>
        <v>0</v>
      </c>
      <c r="DV78">
        <f>SUMIF('Как есть'!$A$82:$A$89,Доп.расчеты!$A78,'Как есть'!DW$82:DW$89)</f>
        <v>0</v>
      </c>
      <c r="DW78">
        <f>SUMIF('Как есть'!$A$82:$A$89,Доп.расчеты!$A78,'Как есть'!DX$82:DX$89)</f>
        <v>0</v>
      </c>
      <c r="DX78">
        <f>SUMIF('Как есть'!$A$82:$A$89,Доп.расчеты!$A78,'Как есть'!DY$82:DY$89)</f>
        <v>0</v>
      </c>
      <c r="DY78">
        <f>SUMIF('Как есть'!$A$82:$A$89,Доп.расчеты!$A78,'Как есть'!DZ$82:DZ$89)</f>
        <v>0</v>
      </c>
      <c r="DZ78">
        <f>SUMIF('Как есть'!$A$82:$A$89,Доп.расчеты!$A78,'Как есть'!EA$82:EA$89)</f>
        <v>0</v>
      </c>
      <c r="EA78">
        <f>SUMIF('Как есть'!$A$82:$A$89,Доп.расчеты!$A78,'Как есть'!EB$82:EB$89)</f>
        <v>0</v>
      </c>
      <c r="EB78">
        <f>SUMIF('Как есть'!$A$82:$A$89,Доп.расчеты!$A78,'Как есть'!EC$82:EC$89)</f>
        <v>0</v>
      </c>
      <c r="EC78">
        <f>SUMIF('Как есть'!$A$82:$A$89,Доп.расчеты!$A78,'Как есть'!ED$82:ED$89)</f>
        <v>0</v>
      </c>
      <c r="ED78">
        <f>SUMIF('Как есть'!$A$82:$A$89,Доп.расчеты!$A78,'Как есть'!EE$82:EE$89)</f>
        <v>0</v>
      </c>
      <c r="EE78">
        <f>SUMIF('Как есть'!$A$82:$A$89,Доп.расчеты!$A78,'Как есть'!EF$82:EF$89)</f>
        <v>0</v>
      </c>
      <c r="EF78">
        <f>SUMIF('Как есть'!$A$82:$A$89,Доп.расчеты!$A78,'Как есть'!EG$82:EG$89)</f>
        <v>0</v>
      </c>
      <c r="EG78">
        <f>SUMIF('Как есть'!$A$82:$A$89,Доп.расчеты!$A78,'Как есть'!EH$82:EH$89)</f>
        <v>0</v>
      </c>
      <c r="EH78">
        <f>SUMIF('Как есть'!$A$82:$A$89,Доп.расчеты!$A78,'Как есть'!EI$82:EI$89)</f>
        <v>0</v>
      </c>
      <c r="EI78">
        <f>SUMIF('Как есть'!$A$82:$A$89,Доп.расчеты!$A78,'Как есть'!EJ$82:EJ$89)</f>
        <v>0</v>
      </c>
      <c r="EJ78">
        <f>SUMIF('Как есть'!$A$82:$A$89,Доп.расчеты!$A78,'Как есть'!EK$82:EK$89)</f>
        <v>0</v>
      </c>
      <c r="EK78">
        <f>SUMIF('Как есть'!$A$82:$A$89,Доп.расчеты!$A78,'Как есть'!EL$82:EL$89)</f>
        <v>0</v>
      </c>
      <c r="EL78">
        <f>SUMIF('Как есть'!$A$82:$A$89,Доп.расчеты!$A78,'Как есть'!EM$82:EM$89)</f>
        <v>0</v>
      </c>
      <c r="EM78">
        <f>SUMIF('Как есть'!$A$82:$A$89,Доп.расчеты!$A78,'Как есть'!EN$82:EN$89)</f>
        <v>0</v>
      </c>
      <c r="EN78">
        <f>SUMIF('Как есть'!$A$82:$A$89,Доп.расчеты!$A78,'Как есть'!EO$82:EO$89)</f>
        <v>0</v>
      </c>
      <c r="EO78">
        <f>SUMIF('Как есть'!$A$82:$A$89,Доп.расчеты!$A78,'Как есть'!EP$82:EP$89)</f>
        <v>0</v>
      </c>
      <c r="EP78">
        <f>SUMIF('Как есть'!$A$82:$A$89,Доп.расчеты!$A78,'Как есть'!EQ$82:EQ$89)</f>
        <v>0</v>
      </c>
      <c r="EQ78">
        <f>SUMIF('Как есть'!$A$82:$A$89,Доп.расчеты!$A78,'Как есть'!ER$82:ER$89)</f>
        <v>0</v>
      </c>
      <c r="ER78">
        <f>SUMIF('Как есть'!$A$82:$A$89,Доп.расчеты!$A78,'Как есть'!ES$82:ES$89)</f>
        <v>0</v>
      </c>
      <c r="ES78">
        <f>SUMIF('Как есть'!$A$82:$A$89,Доп.расчеты!$A78,'Как есть'!ET$82:ET$89)</f>
        <v>0</v>
      </c>
      <c r="ET78">
        <f>SUMIF('Как есть'!$A$82:$A$89,Доп.расчеты!$A78,'Как есть'!EU$82:EU$89)</f>
        <v>0</v>
      </c>
      <c r="EU78">
        <f>SUMIF('Как есть'!$A$82:$A$89,Доп.расчеты!$A78,'Как есть'!EV$82:EV$89)</f>
        <v>0</v>
      </c>
      <c r="EV78">
        <f>SUMIF('Как есть'!$A$82:$A$89,Доп.расчеты!$A78,'Как есть'!EW$82:EW$89)</f>
        <v>0</v>
      </c>
      <c r="EW78">
        <f>SUMIF('Как есть'!$A$82:$A$89,Доп.расчеты!$A78,'Как есть'!EX$82:EX$89)</f>
        <v>0</v>
      </c>
      <c r="EX78">
        <f>SUMIF('Как есть'!$A$82:$A$89,Доп.расчеты!$A78,'Как есть'!EY$82:EY$89)</f>
        <v>0</v>
      </c>
      <c r="EY78">
        <f>SUMIF('Как есть'!$A$82:$A$89,Доп.расчеты!$A78,'Как есть'!EZ$82:EZ$89)</f>
        <v>0</v>
      </c>
      <c r="EZ78">
        <f>SUMIF('Как есть'!$A$82:$A$89,Доп.расчеты!$A78,'Как есть'!FA$82:FA$89)</f>
        <v>0</v>
      </c>
      <c r="FA78">
        <f>SUMIF('Как есть'!$A$82:$A$89,Доп.расчеты!$A78,'Как есть'!FB$82:FB$89)</f>
        <v>0</v>
      </c>
      <c r="FB78">
        <f>SUMIF('Как есть'!$A$82:$A$89,Доп.расчеты!$A78,'Как есть'!FC$82:FC$89)</f>
        <v>0</v>
      </c>
      <c r="FC78">
        <f>SUMIF('Как есть'!$A$82:$A$89,Доп.расчеты!$A78,'Как есть'!FD$82:FD$89)</f>
        <v>0</v>
      </c>
      <c r="FD78">
        <f>SUMIF('Как есть'!$A$82:$A$89,Доп.расчеты!$A78,'Как есть'!FE$82:FE$89)</f>
        <v>0</v>
      </c>
      <c r="FE78">
        <f>SUMIF('Как есть'!$A$82:$A$89,Доп.расчеты!$A78,'Как есть'!FF$82:FF$89)</f>
        <v>0</v>
      </c>
      <c r="FF78">
        <f>SUMIF('Как есть'!$A$82:$A$89,Доп.расчеты!$A78,'Как есть'!FG$82:FG$89)</f>
        <v>0</v>
      </c>
      <c r="FG78">
        <f>SUMIF('Как есть'!$A$82:$A$89,Доп.расчеты!$A78,'Как есть'!FH$82:FH$89)</f>
        <v>0</v>
      </c>
      <c r="FH78">
        <f>SUMIF('Как есть'!$A$82:$A$89,Доп.расчеты!$A78,'Как есть'!FI$82:FI$89)</f>
        <v>0</v>
      </c>
      <c r="FI78">
        <f>SUMIF('Как есть'!$A$82:$A$89,Доп.расчеты!$A78,'Как есть'!FJ$82:FJ$89)</f>
        <v>0</v>
      </c>
      <c r="FJ78">
        <f>SUMIF('Как есть'!$A$82:$A$89,Доп.расчеты!$A78,'Как есть'!FK$82:FK$89)</f>
        <v>0</v>
      </c>
      <c r="FK78">
        <f>SUMIF('Как есть'!$A$82:$A$89,Доп.расчеты!$A78,'Как есть'!FL$82:FL$89)</f>
        <v>0</v>
      </c>
      <c r="FL78">
        <f>SUMIF('Как есть'!$A$82:$A$89,Доп.расчеты!$A78,'Как есть'!FM$82:FM$89)</f>
        <v>0</v>
      </c>
      <c r="FM78">
        <f>SUMIF('Как есть'!$A$82:$A$89,Доп.расчеты!$A78,'Как есть'!FN$82:FN$89)</f>
        <v>0</v>
      </c>
      <c r="FN78">
        <f>SUMIF('Как есть'!$A$82:$A$89,Доп.расчеты!$A78,'Как есть'!FO$82:FO$89)</f>
        <v>0</v>
      </c>
      <c r="FO78">
        <f>SUMIF('Как есть'!$A$82:$A$89,Доп.расчеты!$A78,'Как есть'!FP$82:FP$89)</f>
        <v>0</v>
      </c>
      <c r="FP78">
        <f>SUMIF('Как есть'!$A$82:$A$89,Доп.расчеты!$A78,'Как есть'!FQ$82:FQ$89)</f>
        <v>0</v>
      </c>
      <c r="FQ78">
        <f>SUMIF('Как есть'!$A$82:$A$89,Доп.расчеты!$A78,'Как есть'!FR$82:FR$89)</f>
        <v>0</v>
      </c>
      <c r="FR78">
        <f>SUMIF('Как есть'!$A$82:$A$89,Доп.расчеты!$A78,'Как есть'!FS$82:FS$89)</f>
        <v>0</v>
      </c>
      <c r="FS78">
        <f>SUMIF('Как есть'!$A$82:$A$89,Доп.расчеты!$A78,'Как есть'!FT$82:FT$89)</f>
        <v>0</v>
      </c>
      <c r="FT78">
        <f>SUMIF('Как есть'!$A$82:$A$89,Доп.расчеты!$A78,'Как есть'!FU$82:FU$89)</f>
        <v>0</v>
      </c>
      <c r="FU78">
        <f>SUMIF('Как есть'!$A$82:$A$89,Доп.расчеты!$A78,'Как есть'!FV$82:FV$89)</f>
        <v>0</v>
      </c>
      <c r="FV78">
        <f>SUMIF('Как есть'!$A$82:$A$89,Доп.расчеты!$A78,'Как есть'!FW$82:FW$89)</f>
        <v>0</v>
      </c>
      <c r="FW78">
        <f>SUMIF('Как есть'!$A$82:$A$89,Доп.расчеты!$A78,'Как есть'!FX$82:FX$89)</f>
        <v>0</v>
      </c>
      <c r="FX78">
        <f>SUMIF('Как есть'!$A$82:$A$89,Доп.расчеты!$A78,'Как есть'!FY$82:FY$89)</f>
        <v>0</v>
      </c>
      <c r="FY78">
        <f>SUMIF('Как есть'!$A$82:$A$89,Доп.расчеты!$A78,'Как есть'!FZ$82:FZ$89)</f>
        <v>0</v>
      </c>
      <c r="FZ78">
        <f>SUMIF('Как есть'!$A$82:$A$89,Доп.расчеты!$A78,'Как есть'!GA$82:GA$89)</f>
        <v>0</v>
      </c>
      <c r="GA78">
        <f>SUMIF('Как есть'!$A$82:$A$89,Доп.расчеты!$A78,'Как есть'!GB$82:GB$89)</f>
        <v>0</v>
      </c>
      <c r="GB78">
        <f>SUMIF('Как есть'!$A$82:$A$89,Доп.расчеты!$A78,'Как есть'!GC$82:GC$89)</f>
        <v>0</v>
      </c>
      <c r="GC78">
        <f>SUMIF('Как есть'!$A$82:$A$89,Доп.расчеты!$A78,'Как есть'!GD$82:GD$89)</f>
        <v>0</v>
      </c>
      <c r="GD78">
        <f>SUMIF('Как есть'!$A$82:$A$89,Доп.расчеты!$A78,'Как есть'!GE$82:GE$89)</f>
        <v>0</v>
      </c>
      <c r="GE78">
        <f>SUMIF('Как есть'!$A$82:$A$89,Доп.расчеты!$A78,'Как есть'!GF$82:GF$89)</f>
        <v>0</v>
      </c>
      <c r="GF78">
        <f>SUMIF('Как есть'!$A$82:$A$89,Доп.расчеты!$A78,'Как есть'!GG$82:GG$89)</f>
        <v>0</v>
      </c>
      <c r="GG78">
        <f>SUMIF('Как есть'!$A$82:$A$89,Доп.расчеты!$A78,'Как есть'!GH$82:GH$89)</f>
        <v>0</v>
      </c>
      <c r="GH78">
        <f>SUMIF('Как есть'!$A$82:$A$89,Доп.расчеты!$A78,'Как есть'!GI$82:GI$89)</f>
        <v>0</v>
      </c>
      <c r="GI78">
        <f>SUMIF('Как есть'!$A$82:$A$89,Доп.расчеты!$A78,'Как есть'!GJ$82:GJ$89)</f>
        <v>0</v>
      </c>
      <c r="GJ78">
        <f>SUMIF('Как есть'!$A$82:$A$89,Доп.расчеты!$A78,'Как есть'!GK$82:GK$89)</f>
        <v>0</v>
      </c>
      <c r="GK78">
        <f>SUMIF('Как есть'!$A$82:$A$89,Доп.расчеты!$A78,'Как есть'!GL$82:GL$89)</f>
        <v>0</v>
      </c>
      <c r="GL78">
        <f>SUMIF('Как есть'!$A$82:$A$89,Доп.расчеты!$A78,'Как есть'!GM$82:GM$89)</f>
        <v>0</v>
      </c>
      <c r="GM78">
        <f>SUMIF('Как есть'!$A$82:$A$89,Доп.расчеты!$A78,'Как есть'!GN$82:GN$89)</f>
        <v>0</v>
      </c>
      <c r="GN78">
        <f>SUMIF('Как есть'!$A$82:$A$89,Доп.расчеты!$A78,'Как есть'!GO$82:GO$89)</f>
        <v>0</v>
      </c>
      <c r="GO78">
        <f>SUMIF('Как есть'!$A$82:$A$89,Доп.расчеты!$A78,'Как есть'!GP$82:GP$89)</f>
        <v>0</v>
      </c>
      <c r="GP78">
        <f>SUMIF('Как есть'!$A$82:$A$89,Доп.расчеты!$A78,'Как есть'!GQ$82:GQ$89)</f>
        <v>0</v>
      </c>
      <c r="GQ78">
        <f>SUMIF('Как есть'!$A$82:$A$89,Доп.расчеты!$A78,'Как есть'!GR$82:GR$89)</f>
        <v>0</v>
      </c>
      <c r="GR78">
        <f>SUMIF('Как есть'!$A$82:$A$89,Доп.расчеты!$A78,'Как есть'!GS$82:GS$89)</f>
        <v>0</v>
      </c>
      <c r="GS78">
        <f>SUMIF('Как есть'!$A$82:$A$89,Доп.расчеты!$A78,'Как есть'!GT$82:GT$89)</f>
        <v>0</v>
      </c>
      <c r="GT78">
        <f>SUMIF('Как есть'!$A$82:$A$89,Доп.расчеты!$A78,'Как есть'!GU$82:GU$89)</f>
        <v>0</v>
      </c>
    </row>
    <row r="79" spans="1:202">
      <c r="A79" s="57" t="s">
        <v>248</v>
      </c>
    </row>
    <row r="80" spans="1:202">
      <c r="A80" s="237" t="s">
        <v>88</v>
      </c>
      <c r="B80">
        <f>SUMIF('Как будет'!$A$73:$A$80,Доп.расчеты!$A80,'Как будет'!C$73:C$80)</f>
        <v>0</v>
      </c>
      <c r="C80">
        <f>SUMIF('Как будет'!$A$73:$A$80,Доп.расчеты!$A80,'Как будет'!D$73:D$80)</f>
        <v>0</v>
      </c>
      <c r="D80">
        <f>SUMIF('Как будет'!$A$73:$A$80,Доп.расчеты!$A80,'Как будет'!E$73:E$80)</f>
        <v>0</v>
      </c>
      <c r="E80">
        <f>SUMIF('Как будет'!$A$73:$A$80,Доп.расчеты!$A80,'Как будет'!F$73:F$80)</f>
        <v>0</v>
      </c>
      <c r="F80">
        <f>SUMIF('Как будет'!$A$73:$A$80,Доп.расчеты!$A80,'Как будет'!G$73:G$80)</f>
        <v>0</v>
      </c>
      <c r="G80">
        <f>SUMIF('Как будет'!$A$73:$A$80,Доп.расчеты!$A80,'Как будет'!H$73:H$80)</f>
        <v>0</v>
      </c>
      <c r="H80">
        <f>SUMIF('Как будет'!$A$73:$A$80,Доп.расчеты!$A80,'Как будет'!I$73:I$80)</f>
        <v>0</v>
      </c>
      <c r="I80">
        <f>SUMIF('Как будет'!$A$73:$A$80,Доп.расчеты!$A80,'Как будет'!J$73:J$80)</f>
        <v>0</v>
      </c>
      <c r="J80">
        <f>SUMIF('Как будет'!$A$73:$A$80,Доп.расчеты!$A80,'Как будет'!K$73:K$80)</f>
        <v>0</v>
      </c>
      <c r="K80">
        <f>SUMIF('Как будет'!$A$73:$A$80,Доп.расчеты!$A80,'Как будет'!L$73:L$80)</f>
        <v>0</v>
      </c>
      <c r="L80">
        <f>SUMIF('Как будет'!$A$73:$A$80,Доп.расчеты!$A80,'Как будет'!M$73:M$80)</f>
        <v>0</v>
      </c>
      <c r="M80">
        <f>SUMIF('Как будет'!$A$73:$A$80,Доп.расчеты!$A80,'Как будет'!N$73:N$80)</f>
        <v>0</v>
      </c>
      <c r="N80">
        <f>SUMIF('Как будет'!$A$73:$A$80,Доп.расчеты!$A80,'Как будет'!O$73:O$80)</f>
        <v>0</v>
      </c>
      <c r="O80">
        <f>SUMIF('Как будет'!$A$73:$A$80,Доп.расчеты!$A80,'Как будет'!P$73:P$80)</f>
        <v>0</v>
      </c>
      <c r="P80">
        <f>SUMIF('Как будет'!$A$73:$A$80,Доп.расчеты!$A80,'Как будет'!Q$73:Q$80)</f>
        <v>0</v>
      </c>
      <c r="Q80">
        <f>SUMIF('Как будет'!$A$73:$A$80,Доп.расчеты!$A80,'Как будет'!R$73:R$80)</f>
        <v>0</v>
      </c>
      <c r="R80">
        <f>SUMIF('Как будет'!$A$73:$A$80,Доп.расчеты!$A80,'Как будет'!S$73:S$80)</f>
        <v>0</v>
      </c>
      <c r="S80">
        <f>SUMIF('Как будет'!$A$73:$A$80,Доп.расчеты!$A80,'Как будет'!T$73:T$80)</f>
        <v>0</v>
      </c>
      <c r="T80">
        <f>SUMIF('Как будет'!$A$73:$A$80,Доп.расчеты!$A80,'Как будет'!U$73:U$80)</f>
        <v>0</v>
      </c>
      <c r="U80">
        <f>SUMIF('Как будет'!$A$73:$A$80,Доп.расчеты!$A80,'Как будет'!V$73:V$80)</f>
        <v>0</v>
      </c>
      <c r="V80">
        <f>SUMIF('Как будет'!$A$73:$A$80,Доп.расчеты!$A80,'Как будет'!W$73:W$80)</f>
        <v>0</v>
      </c>
      <c r="W80">
        <f>SUMIF('Как будет'!$A$73:$A$80,Доп.расчеты!$A80,'Как будет'!X$73:X$80)</f>
        <v>0</v>
      </c>
      <c r="X80">
        <f>SUMIF('Как будет'!$A$73:$A$80,Доп.расчеты!$A80,'Как будет'!Y$73:Y$80)</f>
        <v>0</v>
      </c>
      <c r="Y80">
        <f>SUMIF('Как будет'!$A$73:$A$80,Доп.расчеты!$A80,'Как будет'!Z$73:Z$80)</f>
        <v>0</v>
      </c>
      <c r="Z80">
        <f>SUMIF('Как будет'!$A$73:$A$80,Доп.расчеты!$A80,'Как будет'!AA$73:AA$80)</f>
        <v>0</v>
      </c>
      <c r="AA80">
        <f>SUMIF('Как будет'!$A$73:$A$80,Доп.расчеты!$A80,'Как будет'!AB$73:AB$80)</f>
        <v>0</v>
      </c>
      <c r="AB80">
        <f>SUMIF('Как будет'!$A$73:$A$80,Доп.расчеты!$A80,'Как будет'!AC$73:AC$80)</f>
        <v>0</v>
      </c>
      <c r="AC80">
        <f>SUMIF('Как будет'!$A$73:$A$80,Доп.расчеты!$A80,'Как будет'!AD$73:AD$80)</f>
        <v>0</v>
      </c>
      <c r="AD80">
        <f>SUMIF('Как будет'!$A$73:$A$80,Доп.расчеты!$A80,'Как будет'!AE$73:AE$80)</f>
        <v>0</v>
      </c>
      <c r="AE80">
        <f>SUMIF('Как будет'!$A$73:$A$80,Доп.расчеты!$A80,'Как будет'!AF$73:AF$80)</f>
        <v>0</v>
      </c>
      <c r="AF80">
        <f>SUMIF('Как будет'!$A$73:$A$80,Доп.расчеты!$A80,'Как будет'!AG$73:AG$80)</f>
        <v>0</v>
      </c>
      <c r="AG80">
        <f>SUMIF('Как будет'!$A$73:$A$80,Доп.расчеты!$A80,'Как будет'!AH$73:AH$80)</f>
        <v>0</v>
      </c>
      <c r="AH80">
        <f>SUMIF('Как будет'!$A$73:$A$80,Доп.расчеты!$A80,'Как будет'!AI$73:AI$80)</f>
        <v>0</v>
      </c>
      <c r="AI80">
        <f>SUMIF('Как будет'!$A$73:$A$80,Доп.расчеты!$A80,'Как будет'!AJ$73:AJ$80)</f>
        <v>0</v>
      </c>
      <c r="AJ80">
        <f>SUMIF('Как будет'!$A$73:$A$80,Доп.расчеты!$A80,'Как будет'!AK$73:AK$80)</f>
        <v>0</v>
      </c>
      <c r="AK80">
        <f>SUMIF('Как будет'!$A$73:$A$80,Доп.расчеты!$A80,'Как будет'!AL$73:AL$80)</f>
        <v>0</v>
      </c>
      <c r="AL80">
        <f>SUMIF('Как будет'!$A$73:$A$80,Доп.расчеты!$A80,'Как будет'!AM$73:AM$80)</f>
        <v>0</v>
      </c>
      <c r="AM80">
        <f>SUMIF('Как будет'!$A$73:$A$80,Доп.расчеты!$A80,'Как будет'!AN$73:AN$80)</f>
        <v>0</v>
      </c>
      <c r="AN80">
        <f>SUMIF('Как будет'!$A$73:$A$80,Доп.расчеты!$A80,'Как будет'!AO$73:AO$80)</f>
        <v>0</v>
      </c>
      <c r="AO80">
        <f>SUMIF('Как будет'!$A$73:$A$80,Доп.расчеты!$A80,'Как будет'!AP$73:AP$80)</f>
        <v>0</v>
      </c>
      <c r="AP80">
        <f>SUMIF('Как будет'!$A$73:$A$80,Доп.расчеты!$A80,'Как будет'!AQ$73:AQ$80)</f>
        <v>0</v>
      </c>
      <c r="AQ80">
        <f>SUMIF('Как будет'!$A$73:$A$80,Доп.расчеты!$A80,'Как будет'!AR$73:AR$80)</f>
        <v>0</v>
      </c>
      <c r="AR80">
        <f>SUMIF('Как будет'!$A$73:$A$80,Доп.расчеты!$A80,'Как будет'!AS$73:AS$80)</f>
        <v>0</v>
      </c>
      <c r="AS80">
        <f>SUMIF('Как будет'!$A$73:$A$80,Доп.расчеты!$A80,'Как будет'!AT$73:AT$80)</f>
        <v>0</v>
      </c>
      <c r="AT80">
        <f>SUMIF('Как будет'!$A$73:$A$80,Доп.расчеты!$A80,'Как будет'!AU$73:AU$80)</f>
        <v>0</v>
      </c>
      <c r="AU80">
        <f>SUMIF('Как будет'!$A$73:$A$80,Доп.расчеты!$A80,'Как будет'!AV$73:AV$80)</f>
        <v>0</v>
      </c>
      <c r="AV80">
        <f>SUMIF('Как будет'!$A$73:$A$80,Доп.расчеты!$A80,'Как будет'!AW$73:AW$80)</f>
        <v>0</v>
      </c>
      <c r="AW80">
        <f>SUMIF('Как будет'!$A$73:$A$80,Доп.расчеты!$A80,'Как будет'!AX$73:AX$80)</f>
        <v>0</v>
      </c>
      <c r="AX80">
        <f>SUMIF('Как будет'!$A$73:$A$80,Доп.расчеты!$A80,'Как будет'!AY$73:AY$80)</f>
        <v>0</v>
      </c>
      <c r="AY80">
        <f>SUMIF('Как будет'!$A$73:$A$80,Доп.расчеты!$A80,'Как будет'!AZ$73:AZ$80)</f>
        <v>0</v>
      </c>
      <c r="AZ80">
        <f>SUMIF('Как будет'!$A$73:$A$80,Доп.расчеты!$A80,'Как будет'!BA$73:BA$80)</f>
        <v>0</v>
      </c>
      <c r="BA80">
        <f>SUMIF('Как будет'!$A$73:$A$80,Доп.расчеты!$A80,'Как будет'!BB$73:BB$80)</f>
        <v>0</v>
      </c>
      <c r="BB80">
        <f>SUMIF('Как будет'!$A$73:$A$80,Доп.расчеты!$A80,'Как будет'!BC$73:BC$80)</f>
        <v>0</v>
      </c>
      <c r="BC80">
        <f>SUMIF('Как будет'!$A$73:$A$80,Доп.расчеты!$A80,'Как будет'!BD$73:BD$80)</f>
        <v>0</v>
      </c>
      <c r="BD80">
        <f>SUMIF('Как будет'!$A$73:$A$80,Доп.расчеты!$A80,'Как будет'!BE$73:BE$80)</f>
        <v>0</v>
      </c>
      <c r="BE80">
        <f>SUMIF('Как будет'!$A$73:$A$80,Доп.расчеты!$A80,'Как будет'!BF$73:BF$80)</f>
        <v>0</v>
      </c>
      <c r="BF80">
        <f>SUMIF('Как будет'!$A$73:$A$80,Доп.расчеты!$A80,'Как будет'!BG$73:BG$80)</f>
        <v>0</v>
      </c>
      <c r="BG80">
        <f>SUMIF('Как будет'!$A$73:$A$80,Доп.расчеты!$A80,'Как будет'!BH$73:BH$80)</f>
        <v>0</v>
      </c>
      <c r="BH80">
        <f>SUMIF('Как будет'!$A$73:$A$80,Доп.расчеты!$A80,'Как будет'!BI$73:BI$80)</f>
        <v>0</v>
      </c>
      <c r="BI80">
        <f>SUMIF('Как будет'!$A$73:$A$80,Доп.расчеты!$A80,'Как будет'!BJ$73:BJ$80)</f>
        <v>0</v>
      </c>
      <c r="BJ80">
        <f>SUMIF('Как будет'!$A$73:$A$80,Доп.расчеты!$A80,'Как будет'!BK$73:BK$80)</f>
        <v>0</v>
      </c>
      <c r="BK80">
        <f>SUMIF('Как будет'!$A$73:$A$80,Доп.расчеты!$A80,'Как будет'!BL$73:BL$80)</f>
        <v>0</v>
      </c>
      <c r="BL80">
        <f>SUMIF('Как будет'!$A$73:$A$80,Доп.расчеты!$A80,'Как будет'!BM$73:BM$80)</f>
        <v>0</v>
      </c>
      <c r="BM80">
        <f>SUMIF('Как будет'!$A$73:$A$80,Доп.расчеты!$A80,'Как будет'!BN$73:BN$80)</f>
        <v>0</v>
      </c>
      <c r="BN80">
        <f>SUMIF('Как будет'!$A$73:$A$80,Доп.расчеты!$A80,'Как будет'!BO$73:BO$80)</f>
        <v>0</v>
      </c>
      <c r="BO80">
        <f>SUMIF('Как будет'!$A$73:$A$80,Доп.расчеты!$A80,'Как будет'!BP$73:BP$80)</f>
        <v>0</v>
      </c>
      <c r="BP80">
        <f>SUMIF('Как будет'!$A$73:$A$80,Доп.расчеты!$A80,'Как будет'!BQ$73:BQ$80)</f>
        <v>0</v>
      </c>
      <c r="BQ80">
        <f>SUMIF('Как будет'!$A$73:$A$80,Доп.расчеты!$A80,'Как будет'!BR$73:BR$80)</f>
        <v>0</v>
      </c>
      <c r="BR80">
        <f>SUMIF('Как будет'!$A$73:$A$80,Доп.расчеты!$A80,'Как будет'!BS$73:BS$80)</f>
        <v>0</v>
      </c>
      <c r="BS80">
        <f>SUMIF('Как будет'!$A$73:$A$80,Доп.расчеты!$A80,'Как будет'!BT$73:BT$80)</f>
        <v>0</v>
      </c>
      <c r="BT80">
        <f>SUMIF('Как будет'!$A$73:$A$80,Доп.расчеты!$A80,'Как будет'!BU$73:BU$80)</f>
        <v>0</v>
      </c>
      <c r="BU80">
        <f>SUMIF('Как будет'!$A$73:$A$80,Доп.расчеты!$A80,'Как будет'!BV$73:BV$80)</f>
        <v>0</v>
      </c>
      <c r="BV80">
        <f>SUMIF('Как будет'!$A$73:$A$80,Доп.расчеты!$A80,'Как будет'!BW$73:BW$80)</f>
        <v>0</v>
      </c>
      <c r="BW80">
        <f>SUMIF('Как будет'!$A$73:$A$80,Доп.расчеты!$A80,'Как будет'!BX$73:BX$80)</f>
        <v>0</v>
      </c>
      <c r="BX80">
        <f>SUMIF('Как будет'!$A$73:$A$80,Доп.расчеты!$A80,'Как будет'!BY$73:BY$80)</f>
        <v>0</v>
      </c>
      <c r="BY80">
        <f>SUMIF('Как будет'!$A$73:$A$80,Доп.расчеты!$A80,'Как будет'!BZ$73:BZ$80)</f>
        <v>0</v>
      </c>
      <c r="BZ80">
        <f>SUMIF('Как будет'!$A$73:$A$80,Доп.расчеты!$A80,'Как будет'!CA$73:CA$80)</f>
        <v>0</v>
      </c>
      <c r="CA80">
        <f>SUMIF('Как будет'!$A$73:$A$80,Доп.расчеты!$A80,'Как будет'!CB$73:CB$80)</f>
        <v>0</v>
      </c>
      <c r="CB80">
        <f>SUMIF('Как будет'!$A$73:$A$80,Доп.расчеты!$A80,'Как будет'!CC$73:CC$80)</f>
        <v>0</v>
      </c>
      <c r="CC80">
        <f>SUMIF('Как будет'!$A$73:$A$80,Доп.расчеты!$A80,'Как будет'!CD$73:CD$80)</f>
        <v>0</v>
      </c>
      <c r="CD80">
        <f>SUMIF('Как будет'!$A$73:$A$80,Доп.расчеты!$A80,'Как будет'!CE$73:CE$80)</f>
        <v>0</v>
      </c>
      <c r="CE80">
        <f>SUMIF('Как будет'!$A$73:$A$80,Доп.расчеты!$A80,'Как будет'!CF$73:CF$80)</f>
        <v>0</v>
      </c>
      <c r="CF80">
        <f>SUMIF('Как будет'!$A$73:$A$80,Доп.расчеты!$A80,'Как будет'!CG$73:CG$80)</f>
        <v>0</v>
      </c>
      <c r="CG80">
        <f>SUMIF('Как будет'!$A$73:$A$80,Доп.расчеты!$A80,'Как будет'!CH$73:CH$80)</f>
        <v>0</v>
      </c>
      <c r="CH80">
        <f>SUMIF('Как будет'!$A$73:$A$80,Доп.расчеты!$A80,'Как будет'!CI$73:CI$80)</f>
        <v>0</v>
      </c>
      <c r="CI80">
        <f>SUMIF('Как будет'!$A$73:$A$80,Доп.расчеты!$A80,'Как будет'!CJ$73:CJ$80)</f>
        <v>0</v>
      </c>
      <c r="CJ80">
        <f>SUMIF('Как будет'!$A$73:$A$80,Доп.расчеты!$A80,'Как будет'!CK$73:CK$80)</f>
        <v>0</v>
      </c>
      <c r="CK80">
        <f>SUMIF('Как будет'!$A$73:$A$80,Доп.расчеты!$A80,'Как будет'!CL$73:CL$80)</f>
        <v>0</v>
      </c>
      <c r="CL80">
        <f>SUMIF('Как будет'!$A$73:$A$80,Доп.расчеты!$A80,'Как будет'!CM$73:CM$80)</f>
        <v>0</v>
      </c>
      <c r="CM80">
        <f>SUMIF('Как будет'!$A$73:$A$80,Доп.расчеты!$A80,'Как будет'!CN$73:CN$80)</f>
        <v>0</v>
      </c>
      <c r="CN80">
        <f>SUMIF('Как будет'!$A$73:$A$80,Доп.расчеты!$A80,'Как будет'!CO$73:CO$80)</f>
        <v>0</v>
      </c>
      <c r="CO80">
        <f>SUMIF('Как будет'!$A$73:$A$80,Доп.расчеты!$A80,'Как будет'!CP$73:CP$80)</f>
        <v>0</v>
      </c>
      <c r="CP80">
        <f>SUMIF('Как будет'!$A$73:$A$80,Доп.расчеты!$A80,'Как будет'!CQ$73:CQ$80)</f>
        <v>0</v>
      </c>
      <c r="CQ80">
        <f>SUMIF('Как будет'!$A$73:$A$80,Доп.расчеты!$A80,'Как будет'!CR$73:CR$80)</f>
        <v>0</v>
      </c>
      <c r="CR80">
        <f>SUMIF('Как будет'!$A$73:$A$80,Доп.расчеты!$A80,'Как будет'!CS$73:CS$80)</f>
        <v>0</v>
      </c>
      <c r="CS80">
        <f>SUMIF('Как будет'!$A$73:$A$80,Доп.расчеты!$A80,'Как будет'!CT$73:CT$80)</f>
        <v>0</v>
      </c>
      <c r="CT80">
        <f>SUMIF('Как будет'!$A$73:$A$80,Доп.расчеты!$A80,'Как будет'!CU$73:CU$80)</f>
        <v>0</v>
      </c>
      <c r="CU80">
        <f>SUMIF('Как будет'!$A$73:$A$80,Доп.расчеты!$A80,'Как будет'!CV$73:CV$80)</f>
        <v>0</v>
      </c>
      <c r="CV80">
        <f>SUMIF('Как будет'!$A$73:$A$80,Доп.расчеты!$A80,'Как будет'!CW$73:CW$80)</f>
        <v>0</v>
      </c>
      <c r="CW80">
        <f>SUMIF('Как будет'!$A$73:$A$80,Доп.расчеты!$A80,'Как будет'!CX$73:CX$80)</f>
        <v>0</v>
      </c>
      <c r="CX80">
        <f>SUMIF('Как будет'!$A$73:$A$80,Доп.расчеты!$A80,'Как будет'!CY$73:CY$80)</f>
        <v>0</v>
      </c>
      <c r="CY80">
        <f>SUMIF('Как будет'!$A$73:$A$80,Доп.расчеты!$A80,'Как будет'!CZ$73:CZ$80)</f>
        <v>0</v>
      </c>
      <c r="CZ80">
        <f>SUMIF('Как будет'!$A$73:$A$80,Доп.расчеты!$A80,'Как будет'!DA$73:DA$80)</f>
        <v>0</v>
      </c>
      <c r="DA80">
        <f>SUMIF('Как будет'!$A$73:$A$80,Доп.расчеты!$A80,'Как будет'!DB$73:DB$80)</f>
        <v>0</v>
      </c>
      <c r="DB80">
        <f>SUMIF('Как будет'!$A$73:$A$80,Доп.расчеты!$A80,'Как будет'!DC$73:DC$80)</f>
        <v>0</v>
      </c>
      <c r="DC80">
        <f>SUMIF('Как будет'!$A$73:$A$80,Доп.расчеты!$A80,'Как будет'!DD$73:DD$80)</f>
        <v>0</v>
      </c>
      <c r="DD80">
        <f>SUMIF('Как будет'!$A$73:$A$80,Доп.расчеты!$A80,'Как будет'!DE$73:DE$80)</f>
        <v>0</v>
      </c>
      <c r="DE80">
        <f>SUMIF('Как будет'!$A$73:$A$80,Доп.расчеты!$A80,'Как будет'!DF$73:DF$80)</f>
        <v>0</v>
      </c>
      <c r="DF80">
        <f>SUMIF('Как будет'!$A$73:$A$80,Доп.расчеты!$A80,'Как будет'!DG$73:DG$80)</f>
        <v>0</v>
      </c>
      <c r="DG80">
        <f>SUMIF('Как будет'!$A$73:$A$80,Доп.расчеты!$A80,'Как будет'!DH$73:DH$80)</f>
        <v>0</v>
      </c>
      <c r="DH80">
        <f>SUMIF('Как будет'!$A$73:$A$80,Доп.расчеты!$A80,'Как будет'!DI$73:DI$80)</f>
        <v>0</v>
      </c>
      <c r="DI80">
        <f>SUMIF('Как будет'!$A$73:$A$80,Доп.расчеты!$A80,'Как будет'!DJ$73:DJ$80)</f>
        <v>0</v>
      </c>
      <c r="DJ80">
        <f>SUMIF('Как будет'!$A$73:$A$80,Доп.расчеты!$A80,'Как будет'!DK$73:DK$80)</f>
        <v>0</v>
      </c>
      <c r="DK80">
        <f>SUMIF('Как будет'!$A$73:$A$80,Доп.расчеты!$A80,'Как будет'!DL$73:DL$80)</f>
        <v>0</v>
      </c>
      <c r="DL80">
        <f>SUMIF('Как будет'!$A$73:$A$80,Доп.расчеты!$A80,'Как будет'!DM$73:DM$80)</f>
        <v>0</v>
      </c>
      <c r="DM80">
        <f>SUMIF('Как будет'!$A$73:$A$80,Доп.расчеты!$A80,'Как будет'!DN$73:DN$80)</f>
        <v>0</v>
      </c>
      <c r="DN80">
        <f>SUMIF('Как будет'!$A$73:$A$80,Доп.расчеты!$A80,'Как будет'!DO$73:DO$80)</f>
        <v>0</v>
      </c>
      <c r="DO80">
        <f>SUMIF('Как будет'!$A$73:$A$80,Доп.расчеты!$A80,'Как будет'!DP$73:DP$80)</f>
        <v>0</v>
      </c>
      <c r="DP80">
        <f>SUMIF('Как будет'!$A$73:$A$80,Доп.расчеты!$A80,'Как будет'!DQ$73:DQ$80)</f>
        <v>0</v>
      </c>
      <c r="DQ80">
        <f>SUMIF('Как будет'!$A$73:$A$80,Доп.расчеты!$A80,'Как будет'!DR$73:DR$80)</f>
        <v>0</v>
      </c>
      <c r="DR80">
        <f>SUMIF('Как будет'!$A$73:$A$80,Доп.расчеты!$A80,'Как будет'!DS$73:DS$80)</f>
        <v>0</v>
      </c>
      <c r="DS80">
        <f>SUMIF('Как будет'!$A$73:$A$80,Доп.расчеты!$A80,'Как будет'!DT$73:DT$80)</f>
        <v>0</v>
      </c>
      <c r="DT80">
        <f>SUMIF('Как будет'!$A$73:$A$80,Доп.расчеты!$A80,'Как будет'!DU$73:DU$80)</f>
        <v>0</v>
      </c>
      <c r="DU80">
        <f>SUMIF('Как будет'!$A$73:$A$80,Доп.расчеты!$A80,'Как будет'!DV$73:DV$80)</f>
        <v>0</v>
      </c>
      <c r="DV80">
        <f>SUMIF('Как будет'!$A$73:$A$80,Доп.расчеты!$A80,'Как будет'!DW$73:DW$80)</f>
        <v>0</v>
      </c>
      <c r="DW80">
        <f>SUMIF('Как будет'!$A$73:$A$80,Доп.расчеты!$A80,'Как будет'!DX$73:DX$80)</f>
        <v>0</v>
      </c>
      <c r="DX80">
        <f>SUMIF('Как будет'!$A$73:$A$80,Доп.расчеты!$A80,'Как будет'!DY$73:DY$80)</f>
        <v>0</v>
      </c>
      <c r="DY80">
        <f>SUMIF('Как будет'!$A$73:$A$80,Доп.расчеты!$A80,'Как будет'!DZ$73:DZ$80)</f>
        <v>0</v>
      </c>
      <c r="DZ80">
        <f>SUMIF('Как будет'!$A$73:$A$80,Доп.расчеты!$A80,'Как будет'!EA$73:EA$80)</f>
        <v>0</v>
      </c>
      <c r="EA80">
        <f>SUMIF('Как будет'!$A$73:$A$80,Доп.расчеты!$A80,'Как будет'!EB$73:EB$80)</f>
        <v>0</v>
      </c>
      <c r="EB80">
        <f>SUMIF('Как будет'!$A$73:$A$80,Доп.расчеты!$A80,'Как будет'!EC$73:EC$80)</f>
        <v>0</v>
      </c>
      <c r="EC80">
        <f>SUMIF('Как будет'!$A$73:$A$80,Доп.расчеты!$A80,'Как будет'!ED$73:ED$80)</f>
        <v>0</v>
      </c>
      <c r="ED80">
        <f>SUMIF('Как будет'!$A$73:$A$80,Доп.расчеты!$A80,'Как будет'!EE$73:EE$80)</f>
        <v>0</v>
      </c>
      <c r="EE80">
        <f>SUMIF('Как будет'!$A$73:$A$80,Доп.расчеты!$A80,'Как будет'!EF$73:EF$80)</f>
        <v>0</v>
      </c>
      <c r="EF80">
        <f>SUMIF('Как будет'!$A$73:$A$80,Доп.расчеты!$A80,'Как будет'!EG$73:EG$80)</f>
        <v>0</v>
      </c>
      <c r="EG80">
        <f>SUMIF('Как будет'!$A$73:$A$80,Доп.расчеты!$A80,'Как будет'!EH$73:EH$80)</f>
        <v>0</v>
      </c>
      <c r="EH80">
        <f>SUMIF('Как будет'!$A$73:$A$80,Доп.расчеты!$A80,'Как будет'!EI$73:EI$80)</f>
        <v>0</v>
      </c>
      <c r="EI80">
        <f>SUMIF('Как будет'!$A$73:$A$80,Доп.расчеты!$A80,'Как будет'!EJ$73:EJ$80)</f>
        <v>0</v>
      </c>
      <c r="EJ80">
        <f>SUMIF('Как будет'!$A$73:$A$80,Доп.расчеты!$A80,'Как будет'!EK$73:EK$80)</f>
        <v>0</v>
      </c>
      <c r="EK80">
        <f>SUMIF('Как будет'!$A$73:$A$80,Доп.расчеты!$A80,'Как будет'!EL$73:EL$80)</f>
        <v>0</v>
      </c>
      <c r="EL80">
        <f>SUMIF('Как будет'!$A$73:$A$80,Доп.расчеты!$A80,'Как будет'!EM$73:EM$80)</f>
        <v>0</v>
      </c>
      <c r="EM80">
        <f>SUMIF('Как будет'!$A$73:$A$80,Доп.расчеты!$A80,'Как будет'!EN$73:EN$80)</f>
        <v>0</v>
      </c>
      <c r="EN80">
        <f>SUMIF('Как будет'!$A$73:$A$80,Доп.расчеты!$A80,'Как будет'!EO$73:EO$80)</f>
        <v>0</v>
      </c>
      <c r="EO80">
        <f>SUMIF('Как будет'!$A$73:$A$80,Доп.расчеты!$A80,'Как будет'!EP$73:EP$80)</f>
        <v>0</v>
      </c>
      <c r="EP80">
        <f>SUMIF('Как будет'!$A$73:$A$80,Доп.расчеты!$A80,'Как будет'!EQ$73:EQ$80)</f>
        <v>0</v>
      </c>
      <c r="EQ80">
        <f>SUMIF('Как будет'!$A$73:$A$80,Доп.расчеты!$A80,'Как будет'!ER$73:ER$80)</f>
        <v>0</v>
      </c>
      <c r="ER80">
        <f>SUMIF('Как будет'!$A$73:$A$80,Доп.расчеты!$A80,'Как будет'!ES$73:ES$80)</f>
        <v>0</v>
      </c>
      <c r="ES80">
        <f>SUMIF('Как будет'!$A$73:$A$80,Доп.расчеты!$A80,'Как будет'!ET$73:ET$80)</f>
        <v>0</v>
      </c>
      <c r="ET80">
        <f>SUMIF('Как будет'!$A$73:$A$80,Доп.расчеты!$A80,'Как будет'!EU$73:EU$80)</f>
        <v>0</v>
      </c>
      <c r="EU80">
        <f>SUMIF('Как будет'!$A$73:$A$80,Доп.расчеты!$A80,'Как будет'!EV$73:EV$80)</f>
        <v>0</v>
      </c>
      <c r="EV80">
        <f>SUMIF('Как будет'!$A$73:$A$80,Доп.расчеты!$A80,'Как будет'!EW$73:EW$80)</f>
        <v>0</v>
      </c>
      <c r="EW80">
        <f>SUMIF('Как будет'!$A$73:$A$80,Доп.расчеты!$A80,'Как будет'!EX$73:EX$80)</f>
        <v>0</v>
      </c>
      <c r="EX80">
        <f>SUMIF('Как будет'!$A$73:$A$80,Доп.расчеты!$A80,'Как будет'!EY$73:EY$80)</f>
        <v>0</v>
      </c>
      <c r="EY80">
        <f>SUMIF('Как будет'!$A$73:$A$80,Доп.расчеты!$A80,'Как будет'!EZ$73:EZ$80)</f>
        <v>0</v>
      </c>
      <c r="EZ80">
        <f>SUMIF('Как будет'!$A$73:$A$80,Доп.расчеты!$A80,'Как будет'!FA$73:FA$80)</f>
        <v>0</v>
      </c>
      <c r="FA80">
        <f>SUMIF('Как будет'!$A$73:$A$80,Доп.расчеты!$A80,'Как будет'!FB$73:FB$80)</f>
        <v>0</v>
      </c>
      <c r="FB80">
        <f>SUMIF('Как будет'!$A$73:$A$80,Доп.расчеты!$A80,'Как будет'!FC$73:FC$80)</f>
        <v>0</v>
      </c>
      <c r="FC80">
        <f>SUMIF('Как будет'!$A$73:$A$80,Доп.расчеты!$A80,'Как будет'!FD$73:FD$80)</f>
        <v>0</v>
      </c>
      <c r="FD80">
        <f>SUMIF('Как будет'!$A$73:$A$80,Доп.расчеты!$A80,'Как будет'!FE$73:FE$80)</f>
        <v>0</v>
      </c>
      <c r="FE80">
        <f>SUMIF('Как будет'!$A$73:$A$80,Доп.расчеты!$A80,'Как будет'!FF$73:FF$80)</f>
        <v>0</v>
      </c>
      <c r="FF80">
        <f>SUMIF('Как будет'!$A$73:$A$80,Доп.расчеты!$A80,'Как будет'!FG$73:FG$80)</f>
        <v>0</v>
      </c>
      <c r="FG80">
        <f>SUMIF('Как будет'!$A$73:$A$80,Доп.расчеты!$A80,'Как будет'!FH$73:FH$80)</f>
        <v>0</v>
      </c>
      <c r="FH80">
        <f>SUMIF('Как будет'!$A$73:$A$80,Доп.расчеты!$A80,'Как будет'!FI$73:FI$80)</f>
        <v>0</v>
      </c>
      <c r="FI80">
        <f>SUMIF('Как будет'!$A$73:$A$80,Доп.расчеты!$A80,'Как будет'!FJ$73:FJ$80)</f>
        <v>0</v>
      </c>
      <c r="FJ80">
        <f>SUMIF('Как будет'!$A$73:$A$80,Доп.расчеты!$A80,'Как будет'!FK$73:FK$80)</f>
        <v>0</v>
      </c>
      <c r="FK80">
        <f>SUMIF('Как будет'!$A$73:$A$80,Доп.расчеты!$A80,'Как будет'!FL$73:FL$80)</f>
        <v>0</v>
      </c>
      <c r="FL80">
        <f>SUMIF('Как будет'!$A$73:$A$80,Доп.расчеты!$A80,'Как будет'!FM$73:FM$80)</f>
        <v>0</v>
      </c>
      <c r="FM80">
        <f>SUMIF('Как будет'!$A$73:$A$80,Доп.расчеты!$A80,'Как будет'!FN$73:FN$80)</f>
        <v>0</v>
      </c>
      <c r="FN80">
        <f>SUMIF('Как будет'!$A$73:$A$80,Доп.расчеты!$A80,'Как будет'!FO$73:FO$80)</f>
        <v>0</v>
      </c>
      <c r="FO80">
        <f>SUMIF('Как будет'!$A$73:$A$80,Доп.расчеты!$A80,'Как будет'!FP$73:FP$80)</f>
        <v>0</v>
      </c>
      <c r="FP80">
        <f>SUMIF('Как будет'!$A$73:$A$80,Доп.расчеты!$A80,'Как будет'!FQ$73:FQ$80)</f>
        <v>0</v>
      </c>
      <c r="FQ80">
        <f>SUMIF('Как будет'!$A$73:$A$80,Доп.расчеты!$A80,'Как будет'!FR$73:FR$80)</f>
        <v>0</v>
      </c>
      <c r="FR80">
        <f>SUMIF('Как будет'!$A$73:$A$80,Доп.расчеты!$A80,'Как будет'!FS$73:FS$80)</f>
        <v>0</v>
      </c>
      <c r="FS80">
        <f>SUMIF('Как будет'!$A$73:$A$80,Доп.расчеты!$A80,'Как будет'!FT$73:FT$80)</f>
        <v>0</v>
      </c>
      <c r="FT80">
        <f>SUMIF('Как будет'!$A$73:$A$80,Доп.расчеты!$A80,'Как будет'!FU$73:FU$80)</f>
        <v>0</v>
      </c>
      <c r="FU80">
        <f>SUMIF('Как будет'!$A$73:$A$80,Доп.расчеты!$A80,'Как будет'!FV$73:FV$80)</f>
        <v>0</v>
      </c>
      <c r="FV80">
        <f>SUMIF('Как будет'!$A$73:$A$80,Доп.расчеты!$A80,'Как будет'!FW$73:FW$80)</f>
        <v>0</v>
      </c>
      <c r="FW80">
        <f>SUMIF('Как будет'!$A$73:$A$80,Доп.расчеты!$A80,'Как будет'!FX$73:FX$80)</f>
        <v>0</v>
      </c>
      <c r="FX80">
        <f>SUMIF('Как будет'!$A$73:$A$80,Доп.расчеты!$A80,'Как будет'!FY$73:FY$80)</f>
        <v>0</v>
      </c>
      <c r="FY80">
        <f>SUMIF('Как будет'!$A$73:$A$80,Доп.расчеты!$A80,'Как будет'!FZ$73:FZ$80)</f>
        <v>0</v>
      </c>
      <c r="FZ80">
        <f>SUMIF('Как будет'!$A$73:$A$80,Доп.расчеты!$A80,'Как будет'!GA$73:GA$80)</f>
        <v>0</v>
      </c>
      <c r="GA80">
        <f>SUMIF('Как будет'!$A$73:$A$80,Доп.расчеты!$A80,'Как будет'!GB$73:GB$80)</f>
        <v>0</v>
      </c>
      <c r="GB80">
        <f>SUMIF('Как будет'!$A$73:$A$80,Доп.расчеты!$A80,'Как будет'!GC$73:GC$80)</f>
        <v>0</v>
      </c>
      <c r="GC80">
        <f>SUMIF('Как будет'!$A$73:$A$80,Доп.расчеты!$A80,'Как будет'!GD$73:GD$80)</f>
        <v>0</v>
      </c>
      <c r="GD80">
        <f>SUMIF('Как будет'!$A$73:$A$80,Доп.расчеты!$A80,'Как будет'!GE$73:GE$80)</f>
        <v>0</v>
      </c>
      <c r="GE80">
        <f>SUMIF('Как будет'!$A$73:$A$80,Доп.расчеты!$A80,'Как будет'!GF$73:GF$80)</f>
        <v>0</v>
      </c>
      <c r="GF80">
        <f>SUMIF('Как будет'!$A$73:$A$80,Доп.расчеты!$A80,'Как будет'!GG$73:GG$80)</f>
        <v>0</v>
      </c>
      <c r="GG80">
        <f>SUMIF('Как будет'!$A$73:$A$80,Доп.расчеты!$A80,'Как будет'!GH$73:GH$80)</f>
        <v>0</v>
      </c>
      <c r="GH80">
        <f>SUMIF('Как будет'!$A$73:$A$80,Доп.расчеты!$A80,'Как будет'!GI$73:GI$80)</f>
        <v>0</v>
      </c>
      <c r="GI80">
        <f>SUMIF('Как будет'!$A$73:$A$80,Доп.расчеты!$A80,'Как будет'!GJ$73:GJ$80)</f>
        <v>0</v>
      </c>
      <c r="GJ80">
        <f>SUMIF('Как будет'!$A$73:$A$80,Доп.расчеты!$A80,'Как будет'!GK$73:GK$80)</f>
        <v>0</v>
      </c>
      <c r="GK80">
        <f>SUMIF('Как будет'!$A$73:$A$80,Доп.расчеты!$A80,'Как будет'!GL$73:GL$80)</f>
        <v>0</v>
      </c>
      <c r="GL80">
        <f>SUMIF('Как будет'!$A$73:$A$80,Доп.расчеты!$A80,'Как будет'!GM$73:GM$80)</f>
        <v>0</v>
      </c>
      <c r="GM80">
        <f>SUMIF('Как будет'!$A$73:$A$80,Доп.расчеты!$A80,'Как будет'!GN$73:GN$80)</f>
        <v>0</v>
      </c>
      <c r="GN80">
        <f>SUMIF('Как будет'!$A$73:$A$80,Доп.расчеты!$A80,'Как будет'!GO$73:GO$80)</f>
        <v>0</v>
      </c>
      <c r="GO80">
        <f>SUMIF('Как будет'!$A$73:$A$80,Доп.расчеты!$A80,'Как будет'!GP$73:GP$80)</f>
        <v>0</v>
      </c>
      <c r="GP80">
        <f>SUMIF('Как будет'!$A$73:$A$80,Доп.расчеты!$A80,'Как будет'!GQ$73:GQ$80)</f>
        <v>0</v>
      </c>
      <c r="GQ80">
        <f>SUMIF('Как будет'!$A$73:$A$80,Доп.расчеты!$A80,'Как будет'!GR$73:GR$80)</f>
        <v>0</v>
      </c>
      <c r="GR80">
        <f>SUMIF('Как будет'!$A$73:$A$80,Доп.расчеты!$A80,'Как будет'!GS$73:GS$80)</f>
        <v>0</v>
      </c>
      <c r="GS80">
        <f>SUMIF('Как будет'!$A$73:$A$80,Доп.расчеты!$A80,'Как будет'!GT$73:GT$80)</f>
        <v>0</v>
      </c>
      <c r="GT80">
        <f>SUMIF('Как будет'!$A$73:$A$80,Доп.расчеты!$A80,'Как будет'!GU$73:GU$80)</f>
        <v>0</v>
      </c>
    </row>
    <row r="81" spans="1:202">
      <c r="A81" s="237" t="s">
        <v>89</v>
      </c>
      <c r="B81">
        <f>SUMIF('Как будет'!$A$73:$A$80,Доп.расчеты!$A81,'Как будет'!C$73:C$80)</f>
        <v>0</v>
      </c>
      <c r="C81">
        <f>SUMIF('Как будет'!$A$73:$A$80,Доп.расчеты!$A81,'Как будет'!D$73:D$80)</f>
        <v>0</v>
      </c>
      <c r="D81">
        <f>SUMIF('Как будет'!$A$73:$A$80,Доп.расчеты!$A81,'Как будет'!E$73:E$80)</f>
        <v>0</v>
      </c>
      <c r="E81">
        <f>SUMIF('Как будет'!$A$73:$A$80,Доп.расчеты!$A81,'Как будет'!F$73:F$80)</f>
        <v>0</v>
      </c>
      <c r="F81">
        <f>SUMIF('Как будет'!$A$73:$A$80,Доп.расчеты!$A81,'Как будет'!G$73:G$80)</f>
        <v>0</v>
      </c>
      <c r="G81">
        <f>SUMIF('Как будет'!$A$73:$A$80,Доп.расчеты!$A81,'Как будет'!H$73:H$80)</f>
        <v>0</v>
      </c>
      <c r="H81">
        <f>SUMIF('Как будет'!$A$73:$A$80,Доп.расчеты!$A81,'Как будет'!I$73:I$80)</f>
        <v>0</v>
      </c>
      <c r="I81">
        <f>SUMIF('Как будет'!$A$73:$A$80,Доп.расчеты!$A81,'Как будет'!J$73:J$80)</f>
        <v>0</v>
      </c>
      <c r="J81">
        <f>SUMIF('Как будет'!$A$73:$A$80,Доп.расчеты!$A81,'Как будет'!K$73:K$80)</f>
        <v>0</v>
      </c>
      <c r="K81">
        <f>SUMIF('Как будет'!$A$73:$A$80,Доп.расчеты!$A81,'Как будет'!L$73:L$80)</f>
        <v>0</v>
      </c>
      <c r="L81">
        <f>SUMIF('Как будет'!$A$73:$A$80,Доп.расчеты!$A81,'Как будет'!M$73:M$80)</f>
        <v>0</v>
      </c>
      <c r="M81">
        <f>SUMIF('Как будет'!$A$73:$A$80,Доп.расчеты!$A81,'Как будет'!N$73:N$80)</f>
        <v>0</v>
      </c>
      <c r="N81">
        <f>SUMIF('Как будет'!$A$73:$A$80,Доп.расчеты!$A81,'Как будет'!O$73:O$80)</f>
        <v>0</v>
      </c>
      <c r="O81">
        <f>SUMIF('Как будет'!$A$73:$A$80,Доп.расчеты!$A81,'Как будет'!P$73:P$80)</f>
        <v>0</v>
      </c>
      <c r="P81">
        <f>SUMIF('Как будет'!$A$73:$A$80,Доп.расчеты!$A81,'Как будет'!Q$73:Q$80)</f>
        <v>0</v>
      </c>
      <c r="Q81">
        <f>SUMIF('Как будет'!$A$73:$A$80,Доп.расчеты!$A81,'Как будет'!R$73:R$80)</f>
        <v>0</v>
      </c>
      <c r="R81">
        <f>SUMIF('Как будет'!$A$73:$A$80,Доп.расчеты!$A81,'Как будет'!S$73:S$80)</f>
        <v>0</v>
      </c>
      <c r="S81">
        <f>SUMIF('Как будет'!$A$73:$A$80,Доп.расчеты!$A81,'Как будет'!T$73:T$80)</f>
        <v>0</v>
      </c>
      <c r="T81">
        <f>SUMIF('Как будет'!$A$73:$A$80,Доп.расчеты!$A81,'Как будет'!U$73:U$80)</f>
        <v>0</v>
      </c>
      <c r="U81">
        <f>SUMIF('Как будет'!$A$73:$A$80,Доп.расчеты!$A81,'Как будет'!V$73:V$80)</f>
        <v>0</v>
      </c>
      <c r="V81">
        <f>SUMIF('Как будет'!$A$73:$A$80,Доп.расчеты!$A81,'Как будет'!W$73:W$80)</f>
        <v>0</v>
      </c>
      <c r="W81">
        <f>SUMIF('Как будет'!$A$73:$A$80,Доп.расчеты!$A81,'Как будет'!X$73:X$80)</f>
        <v>0</v>
      </c>
      <c r="X81">
        <f>SUMIF('Как будет'!$A$73:$A$80,Доп.расчеты!$A81,'Как будет'!Y$73:Y$80)</f>
        <v>0</v>
      </c>
      <c r="Y81">
        <f>SUMIF('Как будет'!$A$73:$A$80,Доп.расчеты!$A81,'Как будет'!Z$73:Z$80)</f>
        <v>0</v>
      </c>
      <c r="Z81">
        <f>SUMIF('Как будет'!$A$73:$A$80,Доп.расчеты!$A81,'Как будет'!AA$73:AA$80)</f>
        <v>0</v>
      </c>
      <c r="AA81">
        <f>SUMIF('Как будет'!$A$73:$A$80,Доп.расчеты!$A81,'Как будет'!AB$73:AB$80)</f>
        <v>0</v>
      </c>
      <c r="AB81">
        <f>SUMIF('Как будет'!$A$73:$A$80,Доп.расчеты!$A81,'Как будет'!AC$73:AC$80)</f>
        <v>0</v>
      </c>
      <c r="AC81">
        <f>SUMIF('Как будет'!$A$73:$A$80,Доп.расчеты!$A81,'Как будет'!AD$73:AD$80)</f>
        <v>0</v>
      </c>
      <c r="AD81">
        <f>SUMIF('Как будет'!$A$73:$A$80,Доп.расчеты!$A81,'Как будет'!AE$73:AE$80)</f>
        <v>0</v>
      </c>
      <c r="AE81">
        <f>SUMIF('Как будет'!$A$73:$A$80,Доп.расчеты!$A81,'Как будет'!AF$73:AF$80)</f>
        <v>0</v>
      </c>
      <c r="AF81">
        <f>SUMIF('Как будет'!$A$73:$A$80,Доп.расчеты!$A81,'Как будет'!AG$73:AG$80)</f>
        <v>0</v>
      </c>
      <c r="AG81">
        <f>SUMIF('Как будет'!$A$73:$A$80,Доп.расчеты!$A81,'Как будет'!AH$73:AH$80)</f>
        <v>0</v>
      </c>
      <c r="AH81">
        <f>SUMIF('Как будет'!$A$73:$A$80,Доп.расчеты!$A81,'Как будет'!AI$73:AI$80)</f>
        <v>0</v>
      </c>
      <c r="AI81">
        <f>SUMIF('Как будет'!$A$73:$A$80,Доп.расчеты!$A81,'Как будет'!AJ$73:AJ$80)</f>
        <v>0</v>
      </c>
      <c r="AJ81">
        <f>SUMIF('Как будет'!$A$73:$A$80,Доп.расчеты!$A81,'Как будет'!AK$73:AK$80)</f>
        <v>0</v>
      </c>
      <c r="AK81">
        <f>SUMIF('Как будет'!$A$73:$A$80,Доп.расчеты!$A81,'Как будет'!AL$73:AL$80)</f>
        <v>0</v>
      </c>
      <c r="AL81">
        <f>SUMIF('Как будет'!$A$73:$A$80,Доп.расчеты!$A81,'Как будет'!AM$73:AM$80)</f>
        <v>0</v>
      </c>
      <c r="AM81">
        <f>SUMIF('Как будет'!$A$73:$A$80,Доп.расчеты!$A81,'Как будет'!AN$73:AN$80)</f>
        <v>0</v>
      </c>
      <c r="AN81">
        <f>SUMIF('Как будет'!$A$73:$A$80,Доп.расчеты!$A81,'Как будет'!AO$73:AO$80)</f>
        <v>0</v>
      </c>
      <c r="AO81">
        <f>SUMIF('Как будет'!$A$73:$A$80,Доп.расчеты!$A81,'Как будет'!AP$73:AP$80)</f>
        <v>0</v>
      </c>
      <c r="AP81">
        <f>SUMIF('Как будет'!$A$73:$A$80,Доп.расчеты!$A81,'Как будет'!AQ$73:AQ$80)</f>
        <v>0</v>
      </c>
      <c r="AQ81">
        <f>SUMIF('Как будет'!$A$73:$A$80,Доп.расчеты!$A81,'Как будет'!AR$73:AR$80)</f>
        <v>0</v>
      </c>
      <c r="AR81">
        <f>SUMIF('Как будет'!$A$73:$A$80,Доп.расчеты!$A81,'Как будет'!AS$73:AS$80)</f>
        <v>0</v>
      </c>
      <c r="AS81">
        <f>SUMIF('Как будет'!$A$73:$A$80,Доп.расчеты!$A81,'Как будет'!AT$73:AT$80)</f>
        <v>0</v>
      </c>
      <c r="AT81">
        <f>SUMIF('Как будет'!$A$73:$A$80,Доп.расчеты!$A81,'Как будет'!AU$73:AU$80)</f>
        <v>0</v>
      </c>
      <c r="AU81">
        <f>SUMIF('Как будет'!$A$73:$A$80,Доп.расчеты!$A81,'Как будет'!AV$73:AV$80)</f>
        <v>0</v>
      </c>
      <c r="AV81">
        <f>SUMIF('Как будет'!$A$73:$A$80,Доп.расчеты!$A81,'Как будет'!AW$73:AW$80)</f>
        <v>0</v>
      </c>
      <c r="AW81">
        <f>SUMIF('Как будет'!$A$73:$A$80,Доп.расчеты!$A81,'Как будет'!AX$73:AX$80)</f>
        <v>0</v>
      </c>
      <c r="AX81">
        <f>SUMIF('Как будет'!$A$73:$A$80,Доп.расчеты!$A81,'Как будет'!AY$73:AY$80)</f>
        <v>0</v>
      </c>
      <c r="AY81">
        <f>SUMIF('Как будет'!$A$73:$A$80,Доп.расчеты!$A81,'Как будет'!AZ$73:AZ$80)</f>
        <v>0</v>
      </c>
      <c r="AZ81">
        <f>SUMIF('Как будет'!$A$73:$A$80,Доп.расчеты!$A81,'Как будет'!BA$73:BA$80)</f>
        <v>0</v>
      </c>
      <c r="BA81">
        <f>SUMIF('Как будет'!$A$73:$A$80,Доп.расчеты!$A81,'Как будет'!BB$73:BB$80)</f>
        <v>0</v>
      </c>
      <c r="BB81">
        <f>SUMIF('Как будет'!$A$73:$A$80,Доп.расчеты!$A81,'Как будет'!BC$73:BC$80)</f>
        <v>0</v>
      </c>
      <c r="BC81">
        <f>SUMIF('Как будет'!$A$73:$A$80,Доп.расчеты!$A81,'Как будет'!BD$73:BD$80)</f>
        <v>0</v>
      </c>
      <c r="BD81">
        <f>SUMIF('Как будет'!$A$73:$A$80,Доп.расчеты!$A81,'Как будет'!BE$73:BE$80)</f>
        <v>0</v>
      </c>
      <c r="BE81">
        <f>SUMIF('Как будет'!$A$73:$A$80,Доп.расчеты!$A81,'Как будет'!BF$73:BF$80)</f>
        <v>0</v>
      </c>
      <c r="BF81">
        <f>SUMIF('Как будет'!$A$73:$A$80,Доп.расчеты!$A81,'Как будет'!BG$73:BG$80)</f>
        <v>0</v>
      </c>
      <c r="BG81">
        <f>SUMIF('Как будет'!$A$73:$A$80,Доп.расчеты!$A81,'Как будет'!BH$73:BH$80)</f>
        <v>0</v>
      </c>
      <c r="BH81">
        <f>SUMIF('Как будет'!$A$73:$A$80,Доп.расчеты!$A81,'Как будет'!BI$73:BI$80)</f>
        <v>0</v>
      </c>
      <c r="BI81">
        <f>SUMIF('Как будет'!$A$73:$A$80,Доп.расчеты!$A81,'Как будет'!BJ$73:BJ$80)</f>
        <v>0</v>
      </c>
      <c r="BJ81">
        <f>SUMIF('Как будет'!$A$73:$A$80,Доп.расчеты!$A81,'Как будет'!BK$73:BK$80)</f>
        <v>0</v>
      </c>
      <c r="BK81">
        <f>SUMIF('Как будет'!$A$73:$A$80,Доп.расчеты!$A81,'Как будет'!BL$73:BL$80)</f>
        <v>0</v>
      </c>
      <c r="BL81">
        <f>SUMIF('Как будет'!$A$73:$A$80,Доп.расчеты!$A81,'Как будет'!BM$73:BM$80)</f>
        <v>0</v>
      </c>
      <c r="BM81">
        <f>SUMIF('Как будет'!$A$73:$A$80,Доп.расчеты!$A81,'Как будет'!BN$73:BN$80)</f>
        <v>0</v>
      </c>
      <c r="BN81">
        <f>SUMIF('Как будет'!$A$73:$A$80,Доп.расчеты!$A81,'Как будет'!BO$73:BO$80)</f>
        <v>0</v>
      </c>
      <c r="BO81">
        <f>SUMIF('Как будет'!$A$73:$A$80,Доп.расчеты!$A81,'Как будет'!BP$73:BP$80)</f>
        <v>0</v>
      </c>
      <c r="BP81">
        <f>SUMIF('Как будет'!$A$73:$A$80,Доп.расчеты!$A81,'Как будет'!BQ$73:BQ$80)</f>
        <v>0</v>
      </c>
      <c r="BQ81">
        <f>SUMIF('Как будет'!$A$73:$A$80,Доп.расчеты!$A81,'Как будет'!BR$73:BR$80)</f>
        <v>0</v>
      </c>
      <c r="BR81">
        <f>SUMIF('Как будет'!$A$73:$A$80,Доп.расчеты!$A81,'Как будет'!BS$73:BS$80)</f>
        <v>0</v>
      </c>
      <c r="BS81">
        <f>SUMIF('Как будет'!$A$73:$A$80,Доп.расчеты!$A81,'Как будет'!BT$73:BT$80)</f>
        <v>0</v>
      </c>
      <c r="BT81">
        <f>SUMIF('Как будет'!$A$73:$A$80,Доп.расчеты!$A81,'Как будет'!BU$73:BU$80)</f>
        <v>0</v>
      </c>
      <c r="BU81">
        <f>SUMIF('Как будет'!$A$73:$A$80,Доп.расчеты!$A81,'Как будет'!BV$73:BV$80)</f>
        <v>0</v>
      </c>
      <c r="BV81">
        <f>SUMIF('Как будет'!$A$73:$A$80,Доп.расчеты!$A81,'Как будет'!BW$73:BW$80)</f>
        <v>0</v>
      </c>
      <c r="BW81">
        <f>SUMIF('Как будет'!$A$73:$A$80,Доп.расчеты!$A81,'Как будет'!BX$73:BX$80)</f>
        <v>0</v>
      </c>
      <c r="BX81">
        <f>SUMIF('Как будет'!$A$73:$A$80,Доп.расчеты!$A81,'Как будет'!BY$73:BY$80)</f>
        <v>0</v>
      </c>
      <c r="BY81">
        <f>SUMIF('Как будет'!$A$73:$A$80,Доп.расчеты!$A81,'Как будет'!BZ$73:BZ$80)</f>
        <v>0</v>
      </c>
      <c r="BZ81">
        <f>SUMIF('Как будет'!$A$73:$A$80,Доп.расчеты!$A81,'Как будет'!CA$73:CA$80)</f>
        <v>0</v>
      </c>
      <c r="CA81">
        <f>SUMIF('Как будет'!$A$73:$A$80,Доп.расчеты!$A81,'Как будет'!CB$73:CB$80)</f>
        <v>0</v>
      </c>
      <c r="CB81">
        <f>SUMIF('Как будет'!$A$73:$A$80,Доп.расчеты!$A81,'Как будет'!CC$73:CC$80)</f>
        <v>0</v>
      </c>
      <c r="CC81">
        <f>SUMIF('Как будет'!$A$73:$A$80,Доп.расчеты!$A81,'Как будет'!CD$73:CD$80)</f>
        <v>0</v>
      </c>
      <c r="CD81">
        <f>SUMIF('Как будет'!$A$73:$A$80,Доп.расчеты!$A81,'Как будет'!CE$73:CE$80)</f>
        <v>0</v>
      </c>
      <c r="CE81">
        <f>SUMIF('Как будет'!$A$73:$A$80,Доп.расчеты!$A81,'Как будет'!CF$73:CF$80)</f>
        <v>0</v>
      </c>
      <c r="CF81">
        <f>SUMIF('Как будет'!$A$73:$A$80,Доп.расчеты!$A81,'Как будет'!CG$73:CG$80)</f>
        <v>0</v>
      </c>
      <c r="CG81">
        <f>SUMIF('Как будет'!$A$73:$A$80,Доп.расчеты!$A81,'Как будет'!CH$73:CH$80)</f>
        <v>0</v>
      </c>
      <c r="CH81">
        <f>SUMIF('Как будет'!$A$73:$A$80,Доп.расчеты!$A81,'Как будет'!CI$73:CI$80)</f>
        <v>0</v>
      </c>
      <c r="CI81">
        <f>SUMIF('Как будет'!$A$73:$A$80,Доп.расчеты!$A81,'Как будет'!CJ$73:CJ$80)</f>
        <v>0</v>
      </c>
      <c r="CJ81">
        <f>SUMIF('Как будет'!$A$73:$A$80,Доп.расчеты!$A81,'Как будет'!CK$73:CK$80)</f>
        <v>0</v>
      </c>
      <c r="CK81">
        <f>SUMIF('Как будет'!$A$73:$A$80,Доп.расчеты!$A81,'Как будет'!CL$73:CL$80)</f>
        <v>0</v>
      </c>
      <c r="CL81">
        <f>SUMIF('Как будет'!$A$73:$A$80,Доп.расчеты!$A81,'Как будет'!CM$73:CM$80)</f>
        <v>0</v>
      </c>
      <c r="CM81">
        <f>SUMIF('Как будет'!$A$73:$A$80,Доп.расчеты!$A81,'Как будет'!CN$73:CN$80)</f>
        <v>0</v>
      </c>
      <c r="CN81">
        <f>SUMIF('Как будет'!$A$73:$A$80,Доп.расчеты!$A81,'Как будет'!CO$73:CO$80)</f>
        <v>0</v>
      </c>
      <c r="CO81">
        <f>SUMIF('Как будет'!$A$73:$A$80,Доп.расчеты!$A81,'Как будет'!CP$73:CP$80)</f>
        <v>0</v>
      </c>
      <c r="CP81">
        <f>SUMIF('Как будет'!$A$73:$A$80,Доп.расчеты!$A81,'Как будет'!CQ$73:CQ$80)</f>
        <v>0</v>
      </c>
      <c r="CQ81">
        <f>SUMIF('Как будет'!$A$73:$A$80,Доп.расчеты!$A81,'Как будет'!CR$73:CR$80)</f>
        <v>0</v>
      </c>
      <c r="CR81">
        <f>SUMIF('Как будет'!$A$73:$A$80,Доп.расчеты!$A81,'Как будет'!CS$73:CS$80)</f>
        <v>0</v>
      </c>
      <c r="CS81">
        <f>SUMIF('Как будет'!$A$73:$A$80,Доп.расчеты!$A81,'Как будет'!CT$73:CT$80)</f>
        <v>0</v>
      </c>
      <c r="CT81">
        <f>SUMIF('Как будет'!$A$73:$A$80,Доп.расчеты!$A81,'Как будет'!CU$73:CU$80)</f>
        <v>0</v>
      </c>
      <c r="CU81">
        <f>SUMIF('Как будет'!$A$73:$A$80,Доп.расчеты!$A81,'Как будет'!CV$73:CV$80)</f>
        <v>0</v>
      </c>
      <c r="CV81">
        <f>SUMIF('Как будет'!$A$73:$A$80,Доп.расчеты!$A81,'Как будет'!CW$73:CW$80)</f>
        <v>0</v>
      </c>
      <c r="CW81">
        <f>SUMIF('Как будет'!$A$73:$A$80,Доп.расчеты!$A81,'Как будет'!CX$73:CX$80)</f>
        <v>0</v>
      </c>
      <c r="CX81">
        <f>SUMIF('Как будет'!$A$73:$A$80,Доп.расчеты!$A81,'Как будет'!CY$73:CY$80)</f>
        <v>0</v>
      </c>
      <c r="CY81">
        <f>SUMIF('Как будет'!$A$73:$A$80,Доп.расчеты!$A81,'Как будет'!CZ$73:CZ$80)</f>
        <v>0</v>
      </c>
      <c r="CZ81">
        <f>SUMIF('Как будет'!$A$73:$A$80,Доп.расчеты!$A81,'Как будет'!DA$73:DA$80)</f>
        <v>0</v>
      </c>
      <c r="DA81">
        <f>SUMIF('Как будет'!$A$73:$A$80,Доп.расчеты!$A81,'Как будет'!DB$73:DB$80)</f>
        <v>0</v>
      </c>
      <c r="DB81">
        <f>SUMIF('Как будет'!$A$73:$A$80,Доп.расчеты!$A81,'Как будет'!DC$73:DC$80)</f>
        <v>0</v>
      </c>
      <c r="DC81">
        <f>SUMIF('Как будет'!$A$73:$A$80,Доп.расчеты!$A81,'Как будет'!DD$73:DD$80)</f>
        <v>0</v>
      </c>
      <c r="DD81">
        <f>SUMIF('Как будет'!$A$73:$A$80,Доп.расчеты!$A81,'Как будет'!DE$73:DE$80)</f>
        <v>0</v>
      </c>
      <c r="DE81">
        <f>SUMIF('Как будет'!$A$73:$A$80,Доп.расчеты!$A81,'Как будет'!DF$73:DF$80)</f>
        <v>0</v>
      </c>
      <c r="DF81">
        <f>SUMIF('Как будет'!$A$73:$A$80,Доп.расчеты!$A81,'Как будет'!DG$73:DG$80)</f>
        <v>0</v>
      </c>
      <c r="DG81">
        <f>SUMIF('Как будет'!$A$73:$A$80,Доп.расчеты!$A81,'Как будет'!DH$73:DH$80)</f>
        <v>0</v>
      </c>
      <c r="DH81">
        <f>SUMIF('Как будет'!$A$73:$A$80,Доп.расчеты!$A81,'Как будет'!DI$73:DI$80)</f>
        <v>0</v>
      </c>
      <c r="DI81">
        <f>SUMIF('Как будет'!$A$73:$A$80,Доп.расчеты!$A81,'Как будет'!DJ$73:DJ$80)</f>
        <v>0</v>
      </c>
      <c r="DJ81">
        <f>SUMIF('Как будет'!$A$73:$A$80,Доп.расчеты!$A81,'Как будет'!DK$73:DK$80)</f>
        <v>0</v>
      </c>
      <c r="DK81">
        <f>SUMIF('Как будет'!$A$73:$A$80,Доп.расчеты!$A81,'Как будет'!DL$73:DL$80)</f>
        <v>0</v>
      </c>
      <c r="DL81">
        <f>SUMIF('Как будет'!$A$73:$A$80,Доп.расчеты!$A81,'Как будет'!DM$73:DM$80)</f>
        <v>0</v>
      </c>
      <c r="DM81">
        <f>SUMIF('Как будет'!$A$73:$A$80,Доп.расчеты!$A81,'Как будет'!DN$73:DN$80)</f>
        <v>0</v>
      </c>
      <c r="DN81">
        <f>SUMIF('Как будет'!$A$73:$A$80,Доп.расчеты!$A81,'Как будет'!DO$73:DO$80)</f>
        <v>0</v>
      </c>
      <c r="DO81">
        <f>SUMIF('Как будет'!$A$73:$A$80,Доп.расчеты!$A81,'Как будет'!DP$73:DP$80)</f>
        <v>0</v>
      </c>
      <c r="DP81">
        <f>SUMIF('Как будет'!$A$73:$A$80,Доп.расчеты!$A81,'Как будет'!DQ$73:DQ$80)</f>
        <v>0</v>
      </c>
      <c r="DQ81">
        <f>SUMIF('Как будет'!$A$73:$A$80,Доп.расчеты!$A81,'Как будет'!DR$73:DR$80)</f>
        <v>0</v>
      </c>
      <c r="DR81">
        <f>SUMIF('Как будет'!$A$73:$A$80,Доп.расчеты!$A81,'Как будет'!DS$73:DS$80)</f>
        <v>0</v>
      </c>
      <c r="DS81">
        <f>SUMIF('Как будет'!$A$73:$A$80,Доп.расчеты!$A81,'Как будет'!DT$73:DT$80)</f>
        <v>0</v>
      </c>
      <c r="DT81">
        <f>SUMIF('Как будет'!$A$73:$A$80,Доп.расчеты!$A81,'Как будет'!DU$73:DU$80)</f>
        <v>0</v>
      </c>
      <c r="DU81">
        <f>SUMIF('Как будет'!$A$73:$A$80,Доп.расчеты!$A81,'Как будет'!DV$73:DV$80)</f>
        <v>0</v>
      </c>
      <c r="DV81">
        <f>SUMIF('Как будет'!$A$73:$A$80,Доп.расчеты!$A81,'Как будет'!DW$73:DW$80)</f>
        <v>0</v>
      </c>
      <c r="DW81">
        <f>SUMIF('Как будет'!$A$73:$A$80,Доп.расчеты!$A81,'Как будет'!DX$73:DX$80)</f>
        <v>0</v>
      </c>
      <c r="DX81">
        <f>SUMIF('Как будет'!$A$73:$A$80,Доп.расчеты!$A81,'Как будет'!DY$73:DY$80)</f>
        <v>0</v>
      </c>
      <c r="DY81">
        <f>SUMIF('Как будет'!$A$73:$A$80,Доп.расчеты!$A81,'Как будет'!DZ$73:DZ$80)</f>
        <v>0</v>
      </c>
      <c r="DZ81">
        <f>SUMIF('Как будет'!$A$73:$A$80,Доп.расчеты!$A81,'Как будет'!EA$73:EA$80)</f>
        <v>0</v>
      </c>
      <c r="EA81">
        <f>SUMIF('Как будет'!$A$73:$A$80,Доп.расчеты!$A81,'Как будет'!EB$73:EB$80)</f>
        <v>0</v>
      </c>
      <c r="EB81">
        <f>SUMIF('Как будет'!$A$73:$A$80,Доп.расчеты!$A81,'Как будет'!EC$73:EC$80)</f>
        <v>0</v>
      </c>
      <c r="EC81">
        <f>SUMIF('Как будет'!$A$73:$A$80,Доп.расчеты!$A81,'Как будет'!ED$73:ED$80)</f>
        <v>0</v>
      </c>
      <c r="ED81">
        <f>SUMIF('Как будет'!$A$73:$A$80,Доп.расчеты!$A81,'Как будет'!EE$73:EE$80)</f>
        <v>0</v>
      </c>
      <c r="EE81">
        <f>SUMIF('Как будет'!$A$73:$A$80,Доп.расчеты!$A81,'Как будет'!EF$73:EF$80)</f>
        <v>0</v>
      </c>
      <c r="EF81">
        <f>SUMIF('Как будет'!$A$73:$A$80,Доп.расчеты!$A81,'Как будет'!EG$73:EG$80)</f>
        <v>0</v>
      </c>
      <c r="EG81">
        <f>SUMIF('Как будет'!$A$73:$A$80,Доп.расчеты!$A81,'Как будет'!EH$73:EH$80)</f>
        <v>0</v>
      </c>
      <c r="EH81">
        <f>SUMIF('Как будет'!$A$73:$A$80,Доп.расчеты!$A81,'Как будет'!EI$73:EI$80)</f>
        <v>0</v>
      </c>
      <c r="EI81">
        <f>SUMIF('Как будет'!$A$73:$A$80,Доп.расчеты!$A81,'Как будет'!EJ$73:EJ$80)</f>
        <v>0</v>
      </c>
      <c r="EJ81">
        <f>SUMIF('Как будет'!$A$73:$A$80,Доп.расчеты!$A81,'Как будет'!EK$73:EK$80)</f>
        <v>0</v>
      </c>
      <c r="EK81">
        <f>SUMIF('Как будет'!$A$73:$A$80,Доп.расчеты!$A81,'Как будет'!EL$73:EL$80)</f>
        <v>0</v>
      </c>
      <c r="EL81">
        <f>SUMIF('Как будет'!$A$73:$A$80,Доп.расчеты!$A81,'Как будет'!EM$73:EM$80)</f>
        <v>0</v>
      </c>
      <c r="EM81">
        <f>SUMIF('Как будет'!$A$73:$A$80,Доп.расчеты!$A81,'Как будет'!EN$73:EN$80)</f>
        <v>0</v>
      </c>
      <c r="EN81">
        <f>SUMIF('Как будет'!$A$73:$A$80,Доп.расчеты!$A81,'Как будет'!EO$73:EO$80)</f>
        <v>0</v>
      </c>
      <c r="EO81">
        <f>SUMIF('Как будет'!$A$73:$A$80,Доп.расчеты!$A81,'Как будет'!EP$73:EP$80)</f>
        <v>0</v>
      </c>
      <c r="EP81">
        <f>SUMIF('Как будет'!$A$73:$A$80,Доп.расчеты!$A81,'Как будет'!EQ$73:EQ$80)</f>
        <v>0</v>
      </c>
      <c r="EQ81">
        <f>SUMIF('Как будет'!$A$73:$A$80,Доп.расчеты!$A81,'Как будет'!ER$73:ER$80)</f>
        <v>0</v>
      </c>
      <c r="ER81">
        <f>SUMIF('Как будет'!$A$73:$A$80,Доп.расчеты!$A81,'Как будет'!ES$73:ES$80)</f>
        <v>0</v>
      </c>
      <c r="ES81">
        <f>SUMIF('Как будет'!$A$73:$A$80,Доп.расчеты!$A81,'Как будет'!ET$73:ET$80)</f>
        <v>0</v>
      </c>
      <c r="ET81">
        <f>SUMIF('Как будет'!$A$73:$A$80,Доп.расчеты!$A81,'Как будет'!EU$73:EU$80)</f>
        <v>0</v>
      </c>
      <c r="EU81">
        <f>SUMIF('Как будет'!$A$73:$A$80,Доп.расчеты!$A81,'Как будет'!EV$73:EV$80)</f>
        <v>0</v>
      </c>
      <c r="EV81">
        <f>SUMIF('Как будет'!$A$73:$A$80,Доп.расчеты!$A81,'Как будет'!EW$73:EW$80)</f>
        <v>0</v>
      </c>
      <c r="EW81">
        <f>SUMIF('Как будет'!$A$73:$A$80,Доп.расчеты!$A81,'Как будет'!EX$73:EX$80)</f>
        <v>0</v>
      </c>
      <c r="EX81">
        <f>SUMIF('Как будет'!$A$73:$A$80,Доп.расчеты!$A81,'Как будет'!EY$73:EY$80)</f>
        <v>0</v>
      </c>
      <c r="EY81">
        <f>SUMIF('Как будет'!$A$73:$A$80,Доп.расчеты!$A81,'Как будет'!EZ$73:EZ$80)</f>
        <v>0</v>
      </c>
      <c r="EZ81">
        <f>SUMIF('Как будет'!$A$73:$A$80,Доп.расчеты!$A81,'Как будет'!FA$73:FA$80)</f>
        <v>0</v>
      </c>
      <c r="FA81">
        <f>SUMIF('Как будет'!$A$73:$A$80,Доп.расчеты!$A81,'Как будет'!FB$73:FB$80)</f>
        <v>0</v>
      </c>
      <c r="FB81">
        <f>SUMIF('Как будет'!$A$73:$A$80,Доп.расчеты!$A81,'Как будет'!FC$73:FC$80)</f>
        <v>0</v>
      </c>
      <c r="FC81">
        <f>SUMIF('Как будет'!$A$73:$A$80,Доп.расчеты!$A81,'Как будет'!FD$73:FD$80)</f>
        <v>0</v>
      </c>
      <c r="FD81">
        <f>SUMIF('Как будет'!$A$73:$A$80,Доп.расчеты!$A81,'Как будет'!FE$73:FE$80)</f>
        <v>0</v>
      </c>
      <c r="FE81">
        <f>SUMIF('Как будет'!$A$73:$A$80,Доп.расчеты!$A81,'Как будет'!FF$73:FF$80)</f>
        <v>0</v>
      </c>
      <c r="FF81">
        <f>SUMIF('Как будет'!$A$73:$A$80,Доп.расчеты!$A81,'Как будет'!FG$73:FG$80)</f>
        <v>0</v>
      </c>
      <c r="FG81">
        <f>SUMIF('Как будет'!$A$73:$A$80,Доп.расчеты!$A81,'Как будет'!FH$73:FH$80)</f>
        <v>0</v>
      </c>
      <c r="FH81">
        <f>SUMIF('Как будет'!$A$73:$A$80,Доп.расчеты!$A81,'Как будет'!FI$73:FI$80)</f>
        <v>0</v>
      </c>
      <c r="FI81">
        <f>SUMIF('Как будет'!$A$73:$A$80,Доп.расчеты!$A81,'Как будет'!FJ$73:FJ$80)</f>
        <v>0</v>
      </c>
      <c r="FJ81">
        <f>SUMIF('Как будет'!$A$73:$A$80,Доп.расчеты!$A81,'Как будет'!FK$73:FK$80)</f>
        <v>0</v>
      </c>
      <c r="FK81">
        <f>SUMIF('Как будет'!$A$73:$A$80,Доп.расчеты!$A81,'Как будет'!FL$73:FL$80)</f>
        <v>0</v>
      </c>
      <c r="FL81">
        <f>SUMIF('Как будет'!$A$73:$A$80,Доп.расчеты!$A81,'Как будет'!FM$73:FM$80)</f>
        <v>0</v>
      </c>
      <c r="FM81">
        <f>SUMIF('Как будет'!$A$73:$A$80,Доп.расчеты!$A81,'Как будет'!FN$73:FN$80)</f>
        <v>0</v>
      </c>
      <c r="FN81">
        <f>SUMIF('Как будет'!$A$73:$A$80,Доп.расчеты!$A81,'Как будет'!FO$73:FO$80)</f>
        <v>0</v>
      </c>
      <c r="FO81">
        <f>SUMIF('Как будет'!$A$73:$A$80,Доп.расчеты!$A81,'Как будет'!FP$73:FP$80)</f>
        <v>0</v>
      </c>
      <c r="FP81">
        <f>SUMIF('Как будет'!$A$73:$A$80,Доп.расчеты!$A81,'Как будет'!FQ$73:FQ$80)</f>
        <v>0</v>
      </c>
      <c r="FQ81">
        <f>SUMIF('Как будет'!$A$73:$A$80,Доп.расчеты!$A81,'Как будет'!FR$73:FR$80)</f>
        <v>0</v>
      </c>
      <c r="FR81">
        <f>SUMIF('Как будет'!$A$73:$A$80,Доп.расчеты!$A81,'Как будет'!FS$73:FS$80)</f>
        <v>0</v>
      </c>
      <c r="FS81">
        <f>SUMIF('Как будет'!$A$73:$A$80,Доп.расчеты!$A81,'Как будет'!FT$73:FT$80)</f>
        <v>0</v>
      </c>
      <c r="FT81">
        <f>SUMIF('Как будет'!$A$73:$A$80,Доп.расчеты!$A81,'Как будет'!FU$73:FU$80)</f>
        <v>0</v>
      </c>
      <c r="FU81">
        <f>SUMIF('Как будет'!$A$73:$A$80,Доп.расчеты!$A81,'Как будет'!FV$73:FV$80)</f>
        <v>0</v>
      </c>
      <c r="FV81">
        <f>SUMIF('Как будет'!$A$73:$A$80,Доп.расчеты!$A81,'Как будет'!FW$73:FW$80)</f>
        <v>0</v>
      </c>
      <c r="FW81">
        <f>SUMIF('Как будет'!$A$73:$A$80,Доп.расчеты!$A81,'Как будет'!FX$73:FX$80)</f>
        <v>0</v>
      </c>
      <c r="FX81">
        <f>SUMIF('Как будет'!$A$73:$A$80,Доп.расчеты!$A81,'Как будет'!FY$73:FY$80)</f>
        <v>0</v>
      </c>
      <c r="FY81">
        <f>SUMIF('Как будет'!$A$73:$A$80,Доп.расчеты!$A81,'Как будет'!FZ$73:FZ$80)</f>
        <v>0</v>
      </c>
      <c r="FZ81">
        <f>SUMIF('Как будет'!$A$73:$A$80,Доп.расчеты!$A81,'Как будет'!GA$73:GA$80)</f>
        <v>0</v>
      </c>
      <c r="GA81">
        <f>SUMIF('Как будет'!$A$73:$A$80,Доп.расчеты!$A81,'Как будет'!GB$73:GB$80)</f>
        <v>0</v>
      </c>
      <c r="GB81">
        <f>SUMIF('Как будет'!$A$73:$A$80,Доп.расчеты!$A81,'Как будет'!GC$73:GC$80)</f>
        <v>0</v>
      </c>
      <c r="GC81">
        <f>SUMIF('Как будет'!$A$73:$A$80,Доп.расчеты!$A81,'Как будет'!GD$73:GD$80)</f>
        <v>0</v>
      </c>
      <c r="GD81">
        <f>SUMIF('Как будет'!$A$73:$A$80,Доп.расчеты!$A81,'Как будет'!GE$73:GE$80)</f>
        <v>0</v>
      </c>
      <c r="GE81">
        <f>SUMIF('Как будет'!$A$73:$A$80,Доп.расчеты!$A81,'Как будет'!GF$73:GF$80)</f>
        <v>0</v>
      </c>
      <c r="GF81">
        <f>SUMIF('Как будет'!$A$73:$A$80,Доп.расчеты!$A81,'Как будет'!GG$73:GG$80)</f>
        <v>0</v>
      </c>
      <c r="GG81">
        <f>SUMIF('Как будет'!$A$73:$A$80,Доп.расчеты!$A81,'Как будет'!GH$73:GH$80)</f>
        <v>0</v>
      </c>
      <c r="GH81">
        <f>SUMIF('Как будет'!$A$73:$A$80,Доп.расчеты!$A81,'Как будет'!GI$73:GI$80)</f>
        <v>0</v>
      </c>
      <c r="GI81">
        <f>SUMIF('Как будет'!$A$73:$A$80,Доп.расчеты!$A81,'Как будет'!GJ$73:GJ$80)</f>
        <v>0</v>
      </c>
      <c r="GJ81">
        <f>SUMIF('Как будет'!$A$73:$A$80,Доп.расчеты!$A81,'Как будет'!GK$73:GK$80)</f>
        <v>0</v>
      </c>
      <c r="GK81">
        <f>SUMIF('Как будет'!$A$73:$A$80,Доп.расчеты!$A81,'Как будет'!GL$73:GL$80)</f>
        <v>0</v>
      </c>
      <c r="GL81">
        <f>SUMIF('Как будет'!$A$73:$A$80,Доп.расчеты!$A81,'Как будет'!GM$73:GM$80)</f>
        <v>0</v>
      </c>
      <c r="GM81">
        <f>SUMIF('Как будет'!$A$73:$A$80,Доп.расчеты!$A81,'Как будет'!GN$73:GN$80)</f>
        <v>0</v>
      </c>
      <c r="GN81">
        <f>SUMIF('Как будет'!$A$73:$A$80,Доп.расчеты!$A81,'Как будет'!GO$73:GO$80)</f>
        <v>0</v>
      </c>
      <c r="GO81">
        <f>SUMIF('Как будет'!$A$73:$A$80,Доп.расчеты!$A81,'Как будет'!GP$73:GP$80)</f>
        <v>0</v>
      </c>
      <c r="GP81">
        <f>SUMIF('Как будет'!$A$73:$A$80,Доп.расчеты!$A81,'Как будет'!GQ$73:GQ$80)</f>
        <v>0</v>
      </c>
      <c r="GQ81">
        <f>SUMIF('Как будет'!$A$73:$A$80,Доп.расчеты!$A81,'Как будет'!GR$73:GR$80)</f>
        <v>0</v>
      </c>
      <c r="GR81">
        <f>SUMIF('Как будет'!$A$73:$A$80,Доп.расчеты!$A81,'Как будет'!GS$73:GS$80)</f>
        <v>0</v>
      </c>
      <c r="GS81">
        <f>SUMIF('Как будет'!$A$73:$A$80,Доп.расчеты!$A81,'Как будет'!GT$73:GT$80)</f>
        <v>0</v>
      </c>
      <c r="GT81">
        <f>SUMIF('Как будет'!$A$73:$A$80,Доп.расчеты!$A81,'Как будет'!GU$73:GU$80)</f>
        <v>0</v>
      </c>
    </row>
    <row r="82" spans="1:202">
      <c r="A82" s="237" t="s">
        <v>90</v>
      </c>
      <c r="B82">
        <f>SUMIF('Как будет'!$A$73:$A$80,Доп.расчеты!$A82,'Как будет'!C$73:C$80)</f>
        <v>0</v>
      </c>
      <c r="C82">
        <f>SUMIF('Как будет'!$A$73:$A$80,Доп.расчеты!$A82,'Как будет'!D$73:D$80)</f>
        <v>0</v>
      </c>
      <c r="D82">
        <f>SUMIF('Как будет'!$A$73:$A$80,Доп.расчеты!$A82,'Как будет'!E$73:E$80)</f>
        <v>0</v>
      </c>
      <c r="E82">
        <f>SUMIF('Как будет'!$A$73:$A$80,Доп.расчеты!$A82,'Как будет'!F$73:F$80)</f>
        <v>0</v>
      </c>
      <c r="F82">
        <f>SUMIF('Как будет'!$A$73:$A$80,Доп.расчеты!$A82,'Как будет'!G$73:G$80)</f>
        <v>0</v>
      </c>
      <c r="G82">
        <f>SUMIF('Как будет'!$A$73:$A$80,Доп.расчеты!$A82,'Как будет'!H$73:H$80)</f>
        <v>0</v>
      </c>
      <c r="H82">
        <f>SUMIF('Как будет'!$A$73:$A$80,Доп.расчеты!$A82,'Как будет'!I$73:I$80)</f>
        <v>0</v>
      </c>
      <c r="I82">
        <f>SUMIF('Как будет'!$A$73:$A$80,Доп.расчеты!$A82,'Как будет'!J$73:J$80)</f>
        <v>0</v>
      </c>
      <c r="J82">
        <f>SUMIF('Как будет'!$A$73:$A$80,Доп.расчеты!$A82,'Как будет'!K$73:K$80)</f>
        <v>0</v>
      </c>
      <c r="K82">
        <f>SUMIF('Как будет'!$A$73:$A$80,Доп.расчеты!$A82,'Как будет'!L$73:L$80)</f>
        <v>0</v>
      </c>
      <c r="L82">
        <f>SUMIF('Как будет'!$A$73:$A$80,Доп.расчеты!$A82,'Как будет'!M$73:M$80)</f>
        <v>0</v>
      </c>
      <c r="M82">
        <f>SUMIF('Как будет'!$A$73:$A$80,Доп.расчеты!$A82,'Как будет'!N$73:N$80)</f>
        <v>0</v>
      </c>
      <c r="N82">
        <f>SUMIF('Как будет'!$A$73:$A$80,Доп.расчеты!$A82,'Как будет'!O$73:O$80)</f>
        <v>0</v>
      </c>
      <c r="O82">
        <f>SUMIF('Как будет'!$A$73:$A$80,Доп.расчеты!$A82,'Как будет'!P$73:P$80)</f>
        <v>0</v>
      </c>
      <c r="P82">
        <f>SUMIF('Как будет'!$A$73:$A$80,Доп.расчеты!$A82,'Как будет'!Q$73:Q$80)</f>
        <v>0</v>
      </c>
      <c r="Q82">
        <f>SUMIF('Как будет'!$A$73:$A$80,Доп.расчеты!$A82,'Как будет'!R$73:R$80)</f>
        <v>0</v>
      </c>
      <c r="R82">
        <f>SUMIF('Как будет'!$A$73:$A$80,Доп.расчеты!$A82,'Как будет'!S$73:S$80)</f>
        <v>0</v>
      </c>
      <c r="S82">
        <f>SUMIF('Как будет'!$A$73:$A$80,Доп.расчеты!$A82,'Как будет'!T$73:T$80)</f>
        <v>0</v>
      </c>
      <c r="T82">
        <f>SUMIF('Как будет'!$A$73:$A$80,Доп.расчеты!$A82,'Как будет'!U$73:U$80)</f>
        <v>0</v>
      </c>
      <c r="U82">
        <f>SUMIF('Как будет'!$A$73:$A$80,Доп.расчеты!$A82,'Как будет'!V$73:V$80)</f>
        <v>0</v>
      </c>
      <c r="V82">
        <f>SUMIF('Как будет'!$A$73:$A$80,Доп.расчеты!$A82,'Как будет'!W$73:W$80)</f>
        <v>0</v>
      </c>
      <c r="W82">
        <f>SUMIF('Как будет'!$A$73:$A$80,Доп.расчеты!$A82,'Как будет'!X$73:X$80)</f>
        <v>0</v>
      </c>
      <c r="X82">
        <f>SUMIF('Как будет'!$A$73:$A$80,Доп.расчеты!$A82,'Как будет'!Y$73:Y$80)</f>
        <v>0</v>
      </c>
      <c r="Y82">
        <f>SUMIF('Как будет'!$A$73:$A$80,Доп.расчеты!$A82,'Как будет'!Z$73:Z$80)</f>
        <v>0</v>
      </c>
      <c r="Z82">
        <f>SUMIF('Как будет'!$A$73:$A$80,Доп.расчеты!$A82,'Как будет'!AA$73:AA$80)</f>
        <v>0</v>
      </c>
      <c r="AA82">
        <f>SUMIF('Как будет'!$A$73:$A$80,Доп.расчеты!$A82,'Как будет'!AB$73:AB$80)</f>
        <v>0</v>
      </c>
      <c r="AB82">
        <f>SUMIF('Как будет'!$A$73:$A$80,Доп.расчеты!$A82,'Как будет'!AC$73:AC$80)</f>
        <v>0</v>
      </c>
      <c r="AC82">
        <f>SUMIF('Как будет'!$A$73:$A$80,Доп.расчеты!$A82,'Как будет'!AD$73:AD$80)</f>
        <v>0</v>
      </c>
      <c r="AD82">
        <f>SUMIF('Как будет'!$A$73:$A$80,Доп.расчеты!$A82,'Как будет'!AE$73:AE$80)</f>
        <v>0</v>
      </c>
      <c r="AE82">
        <f>SUMIF('Как будет'!$A$73:$A$80,Доп.расчеты!$A82,'Как будет'!AF$73:AF$80)</f>
        <v>0</v>
      </c>
      <c r="AF82">
        <f>SUMIF('Как будет'!$A$73:$A$80,Доп.расчеты!$A82,'Как будет'!AG$73:AG$80)</f>
        <v>0</v>
      </c>
      <c r="AG82">
        <f>SUMIF('Как будет'!$A$73:$A$80,Доп.расчеты!$A82,'Как будет'!AH$73:AH$80)</f>
        <v>0</v>
      </c>
      <c r="AH82">
        <f>SUMIF('Как будет'!$A$73:$A$80,Доп.расчеты!$A82,'Как будет'!AI$73:AI$80)</f>
        <v>0</v>
      </c>
      <c r="AI82">
        <f>SUMIF('Как будет'!$A$73:$A$80,Доп.расчеты!$A82,'Как будет'!AJ$73:AJ$80)</f>
        <v>0</v>
      </c>
      <c r="AJ82">
        <f>SUMIF('Как будет'!$A$73:$A$80,Доп.расчеты!$A82,'Как будет'!AK$73:AK$80)</f>
        <v>0</v>
      </c>
      <c r="AK82">
        <f>SUMIF('Как будет'!$A$73:$A$80,Доп.расчеты!$A82,'Как будет'!AL$73:AL$80)</f>
        <v>0</v>
      </c>
      <c r="AL82">
        <f>SUMIF('Как будет'!$A$73:$A$80,Доп.расчеты!$A82,'Как будет'!AM$73:AM$80)</f>
        <v>0</v>
      </c>
      <c r="AM82">
        <f>SUMIF('Как будет'!$A$73:$A$80,Доп.расчеты!$A82,'Как будет'!AN$73:AN$80)</f>
        <v>0</v>
      </c>
      <c r="AN82">
        <f>SUMIF('Как будет'!$A$73:$A$80,Доп.расчеты!$A82,'Как будет'!AO$73:AO$80)</f>
        <v>0</v>
      </c>
      <c r="AO82">
        <f>SUMIF('Как будет'!$A$73:$A$80,Доп.расчеты!$A82,'Как будет'!AP$73:AP$80)</f>
        <v>0</v>
      </c>
      <c r="AP82">
        <f>SUMIF('Как будет'!$A$73:$A$80,Доп.расчеты!$A82,'Как будет'!AQ$73:AQ$80)</f>
        <v>0</v>
      </c>
      <c r="AQ82">
        <f>SUMIF('Как будет'!$A$73:$A$80,Доп.расчеты!$A82,'Как будет'!AR$73:AR$80)</f>
        <v>0</v>
      </c>
      <c r="AR82">
        <f>SUMIF('Как будет'!$A$73:$A$80,Доп.расчеты!$A82,'Как будет'!AS$73:AS$80)</f>
        <v>0</v>
      </c>
      <c r="AS82">
        <f>SUMIF('Как будет'!$A$73:$A$80,Доп.расчеты!$A82,'Как будет'!AT$73:AT$80)</f>
        <v>0</v>
      </c>
      <c r="AT82">
        <f>SUMIF('Как будет'!$A$73:$A$80,Доп.расчеты!$A82,'Как будет'!AU$73:AU$80)</f>
        <v>0</v>
      </c>
      <c r="AU82">
        <f>SUMIF('Как будет'!$A$73:$A$80,Доп.расчеты!$A82,'Как будет'!AV$73:AV$80)</f>
        <v>0</v>
      </c>
      <c r="AV82">
        <f>SUMIF('Как будет'!$A$73:$A$80,Доп.расчеты!$A82,'Как будет'!AW$73:AW$80)</f>
        <v>0</v>
      </c>
      <c r="AW82">
        <f>SUMIF('Как будет'!$A$73:$A$80,Доп.расчеты!$A82,'Как будет'!AX$73:AX$80)</f>
        <v>0</v>
      </c>
      <c r="AX82">
        <f>SUMIF('Как будет'!$A$73:$A$80,Доп.расчеты!$A82,'Как будет'!AY$73:AY$80)</f>
        <v>0</v>
      </c>
      <c r="AY82">
        <f>SUMIF('Как будет'!$A$73:$A$80,Доп.расчеты!$A82,'Как будет'!AZ$73:AZ$80)</f>
        <v>0</v>
      </c>
      <c r="AZ82">
        <f>SUMIF('Как будет'!$A$73:$A$80,Доп.расчеты!$A82,'Как будет'!BA$73:BA$80)</f>
        <v>0</v>
      </c>
      <c r="BA82">
        <f>SUMIF('Как будет'!$A$73:$A$80,Доп.расчеты!$A82,'Как будет'!BB$73:BB$80)</f>
        <v>0</v>
      </c>
      <c r="BB82">
        <f>SUMIF('Как будет'!$A$73:$A$80,Доп.расчеты!$A82,'Как будет'!BC$73:BC$80)</f>
        <v>0</v>
      </c>
      <c r="BC82">
        <f>SUMIF('Как будет'!$A$73:$A$80,Доп.расчеты!$A82,'Как будет'!BD$73:BD$80)</f>
        <v>0</v>
      </c>
      <c r="BD82">
        <f>SUMIF('Как будет'!$A$73:$A$80,Доп.расчеты!$A82,'Как будет'!BE$73:BE$80)</f>
        <v>0</v>
      </c>
      <c r="BE82">
        <f>SUMIF('Как будет'!$A$73:$A$80,Доп.расчеты!$A82,'Как будет'!BF$73:BF$80)</f>
        <v>0</v>
      </c>
      <c r="BF82">
        <f>SUMIF('Как будет'!$A$73:$A$80,Доп.расчеты!$A82,'Как будет'!BG$73:BG$80)</f>
        <v>0</v>
      </c>
      <c r="BG82">
        <f>SUMIF('Как будет'!$A$73:$A$80,Доп.расчеты!$A82,'Как будет'!BH$73:BH$80)</f>
        <v>0</v>
      </c>
      <c r="BH82">
        <f>SUMIF('Как будет'!$A$73:$A$80,Доп.расчеты!$A82,'Как будет'!BI$73:BI$80)</f>
        <v>0</v>
      </c>
      <c r="BI82">
        <f>SUMIF('Как будет'!$A$73:$A$80,Доп.расчеты!$A82,'Как будет'!BJ$73:BJ$80)</f>
        <v>0</v>
      </c>
      <c r="BJ82">
        <f>SUMIF('Как будет'!$A$73:$A$80,Доп.расчеты!$A82,'Как будет'!BK$73:BK$80)</f>
        <v>0</v>
      </c>
      <c r="BK82">
        <f>SUMIF('Как будет'!$A$73:$A$80,Доп.расчеты!$A82,'Как будет'!BL$73:BL$80)</f>
        <v>0</v>
      </c>
      <c r="BL82">
        <f>SUMIF('Как будет'!$A$73:$A$80,Доп.расчеты!$A82,'Как будет'!BM$73:BM$80)</f>
        <v>0</v>
      </c>
      <c r="BM82">
        <f>SUMIF('Как будет'!$A$73:$A$80,Доп.расчеты!$A82,'Как будет'!BN$73:BN$80)</f>
        <v>0</v>
      </c>
      <c r="BN82">
        <f>SUMIF('Как будет'!$A$73:$A$80,Доп.расчеты!$A82,'Как будет'!BO$73:BO$80)</f>
        <v>0</v>
      </c>
      <c r="BO82">
        <f>SUMIF('Как будет'!$A$73:$A$80,Доп.расчеты!$A82,'Как будет'!BP$73:BP$80)</f>
        <v>0</v>
      </c>
      <c r="BP82">
        <f>SUMIF('Как будет'!$A$73:$A$80,Доп.расчеты!$A82,'Как будет'!BQ$73:BQ$80)</f>
        <v>0</v>
      </c>
      <c r="BQ82">
        <f>SUMIF('Как будет'!$A$73:$A$80,Доп.расчеты!$A82,'Как будет'!BR$73:BR$80)</f>
        <v>0</v>
      </c>
      <c r="BR82">
        <f>SUMIF('Как будет'!$A$73:$A$80,Доп.расчеты!$A82,'Как будет'!BS$73:BS$80)</f>
        <v>0</v>
      </c>
      <c r="BS82">
        <f>SUMIF('Как будет'!$A$73:$A$80,Доп.расчеты!$A82,'Как будет'!BT$73:BT$80)</f>
        <v>0</v>
      </c>
      <c r="BT82">
        <f>SUMIF('Как будет'!$A$73:$A$80,Доп.расчеты!$A82,'Как будет'!BU$73:BU$80)</f>
        <v>0</v>
      </c>
      <c r="BU82">
        <f>SUMIF('Как будет'!$A$73:$A$80,Доп.расчеты!$A82,'Как будет'!BV$73:BV$80)</f>
        <v>0</v>
      </c>
      <c r="BV82">
        <f>SUMIF('Как будет'!$A$73:$A$80,Доп.расчеты!$A82,'Как будет'!BW$73:BW$80)</f>
        <v>0</v>
      </c>
      <c r="BW82">
        <f>SUMIF('Как будет'!$A$73:$A$80,Доп.расчеты!$A82,'Как будет'!BX$73:BX$80)</f>
        <v>0</v>
      </c>
      <c r="BX82">
        <f>SUMIF('Как будет'!$A$73:$A$80,Доп.расчеты!$A82,'Как будет'!BY$73:BY$80)</f>
        <v>0</v>
      </c>
      <c r="BY82">
        <f>SUMIF('Как будет'!$A$73:$A$80,Доп.расчеты!$A82,'Как будет'!BZ$73:BZ$80)</f>
        <v>0</v>
      </c>
      <c r="BZ82">
        <f>SUMIF('Как будет'!$A$73:$A$80,Доп.расчеты!$A82,'Как будет'!CA$73:CA$80)</f>
        <v>0</v>
      </c>
      <c r="CA82">
        <f>SUMIF('Как будет'!$A$73:$A$80,Доп.расчеты!$A82,'Как будет'!CB$73:CB$80)</f>
        <v>0</v>
      </c>
      <c r="CB82">
        <f>SUMIF('Как будет'!$A$73:$A$80,Доп.расчеты!$A82,'Как будет'!CC$73:CC$80)</f>
        <v>0</v>
      </c>
      <c r="CC82">
        <f>SUMIF('Как будет'!$A$73:$A$80,Доп.расчеты!$A82,'Как будет'!CD$73:CD$80)</f>
        <v>0</v>
      </c>
      <c r="CD82">
        <f>SUMIF('Как будет'!$A$73:$A$80,Доп.расчеты!$A82,'Как будет'!CE$73:CE$80)</f>
        <v>0</v>
      </c>
      <c r="CE82">
        <f>SUMIF('Как будет'!$A$73:$A$80,Доп.расчеты!$A82,'Как будет'!CF$73:CF$80)</f>
        <v>0</v>
      </c>
      <c r="CF82">
        <f>SUMIF('Как будет'!$A$73:$A$80,Доп.расчеты!$A82,'Как будет'!CG$73:CG$80)</f>
        <v>0</v>
      </c>
      <c r="CG82">
        <f>SUMIF('Как будет'!$A$73:$A$80,Доп.расчеты!$A82,'Как будет'!CH$73:CH$80)</f>
        <v>0</v>
      </c>
      <c r="CH82">
        <f>SUMIF('Как будет'!$A$73:$A$80,Доп.расчеты!$A82,'Как будет'!CI$73:CI$80)</f>
        <v>0</v>
      </c>
      <c r="CI82">
        <f>SUMIF('Как будет'!$A$73:$A$80,Доп.расчеты!$A82,'Как будет'!CJ$73:CJ$80)</f>
        <v>0</v>
      </c>
      <c r="CJ82">
        <f>SUMIF('Как будет'!$A$73:$A$80,Доп.расчеты!$A82,'Как будет'!CK$73:CK$80)</f>
        <v>0</v>
      </c>
      <c r="CK82">
        <f>SUMIF('Как будет'!$A$73:$A$80,Доп.расчеты!$A82,'Как будет'!CL$73:CL$80)</f>
        <v>0</v>
      </c>
      <c r="CL82">
        <f>SUMIF('Как будет'!$A$73:$A$80,Доп.расчеты!$A82,'Как будет'!CM$73:CM$80)</f>
        <v>0</v>
      </c>
      <c r="CM82">
        <f>SUMIF('Как будет'!$A$73:$A$80,Доп.расчеты!$A82,'Как будет'!CN$73:CN$80)</f>
        <v>0</v>
      </c>
      <c r="CN82">
        <f>SUMIF('Как будет'!$A$73:$A$80,Доп.расчеты!$A82,'Как будет'!CO$73:CO$80)</f>
        <v>0</v>
      </c>
      <c r="CO82">
        <f>SUMIF('Как будет'!$A$73:$A$80,Доп.расчеты!$A82,'Как будет'!CP$73:CP$80)</f>
        <v>0</v>
      </c>
      <c r="CP82">
        <f>SUMIF('Как будет'!$A$73:$A$80,Доп.расчеты!$A82,'Как будет'!CQ$73:CQ$80)</f>
        <v>0</v>
      </c>
      <c r="CQ82">
        <f>SUMIF('Как будет'!$A$73:$A$80,Доп.расчеты!$A82,'Как будет'!CR$73:CR$80)</f>
        <v>0</v>
      </c>
      <c r="CR82">
        <f>SUMIF('Как будет'!$A$73:$A$80,Доп.расчеты!$A82,'Как будет'!CS$73:CS$80)</f>
        <v>0</v>
      </c>
      <c r="CS82">
        <f>SUMIF('Как будет'!$A$73:$A$80,Доп.расчеты!$A82,'Как будет'!CT$73:CT$80)</f>
        <v>0</v>
      </c>
      <c r="CT82">
        <f>SUMIF('Как будет'!$A$73:$A$80,Доп.расчеты!$A82,'Как будет'!CU$73:CU$80)</f>
        <v>0</v>
      </c>
      <c r="CU82">
        <f>SUMIF('Как будет'!$A$73:$A$80,Доп.расчеты!$A82,'Как будет'!CV$73:CV$80)</f>
        <v>0</v>
      </c>
      <c r="CV82">
        <f>SUMIF('Как будет'!$A$73:$A$80,Доп.расчеты!$A82,'Как будет'!CW$73:CW$80)</f>
        <v>0</v>
      </c>
      <c r="CW82">
        <f>SUMIF('Как будет'!$A$73:$A$80,Доп.расчеты!$A82,'Как будет'!CX$73:CX$80)</f>
        <v>0</v>
      </c>
      <c r="CX82">
        <f>SUMIF('Как будет'!$A$73:$A$80,Доп.расчеты!$A82,'Как будет'!CY$73:CY$80)</f>
        <v>0</v>
      </c>
      <c r="CY82">
        <f>SUMIF('Как будет'!$A$73:$A$80,Доп.расчеты!$A82,'Как будет'!CZ$73:CZ$80)</f>
        <v>0</v>
      </c>
      <c r="CZ82">
        <f>SUMIF('Как будет'!$A$73:$A$80,Доп.расчеты!$A82,'Как будет'!DA$73:DA$80)</f>
        <v>0</v>
      </c>
      <c r="DA82">
        <f>SUMIF('Как будет'!$A$73:$A$80,Доп.расчеты!$A82,'Как будет'!DB$73:DB$80)</f>
        <v>0</v>
      </c>
      <c r="DB82">
        <f>SUMIF('Как будет'!$A$73:$A$80,Доп.расчеты!$A82,'Как будет'!DC$73:DC$80)</f>
        <v>0</v>
      </c>
      <c r="DC82">
        <f>SUMIF('Как будет'!$A$73:$A$80,Доп.расчеты!$A82,'Как будет'!DD$73:DD$80)</f>
        <v>0</v>
      </c>
      <c r="DD82">
        <f>SUMIF('Как будет'!$A$73:$A$80,Доп.расчеты!$A82,'Как будет'!DE$73:DE$80)</f>
        <v>0</v>
      </c>
      <c r="DE82">
        <f>SUMIF('Как будет'!$A$73:$A$80,Доп.расчеты!$A82,'Как будет'!DF$73:DF$80)</f>
        <v>0</v>
      </c>
      <c r="DF82">
        <f>SUMIF('Как будет'!$A$73:$A$80,Доп.расчеты!$A82,'Как будет'!DG$73:DG$80)</f>
        <v>0</v>
      </c>
      <c r="DG82">
        <f>SUMIF('Как будет'!$A$73:$A$80,Доп.расчеты!$A82,'Как будет'!DH$73:DH$80)</f>
        <v>0</v>
      </c>
      <c r="DH82">
        <f>SUMIF('Как будет'!$A$73:$A$80,Доп.расчеты!$A82,'Как будет'!DI$73:DI$80)</f>
        <v>0</v>
      </c>
      <c r="DI82">
        <f>SUMIF('Как будет'!$A$73:$A$80,Доп.расчеты!$A82,'Как будет'!DJ$73:DJ$80)</f>
        <v>0</v>
      </c>
      <c r="DJ82">
        <f>SUMIF('Как будет'!$A$73:$A$80,Доп.расчеты!$A82,'Как будет'!DK$73:DK$80)</f>
        <v>0</v>
      </c>
      <c r="DK82">
        <f>SUMIF('Как будет'!$A$73:$A$80,Доп.расчеты!$A82,'Как будет'!DL$73:DL$80)</f>
        <v>0</v>
      </c>
      <c r="DL82">
        <f>SUMIF('Как будет'!$A$73:$A$80,Доп.расчеты!$A82,'Как будет'!DM$73:DM$80)</f>
        <v>0</v>
      </c>
      <c r="DM82">
        <f>SUMIF('Как будет'!$A$73:$A$80,Доп.расчеты!$A82,'Как будет'!DN$73:DN$80)</f>
        <v>0</v>
      </c>
      <c r="DN82">
        <f>SUMIF('Как будет'!$A$73:$A$80,Доп.расчеты!$A82,'Как будет'!DO$73:DO$80)</f>
        <v>0</v>
      </c>
      <c r="DO82">
        <f>SUMIF('Как будет'!$A$73:$A$80,Доп.расчеты!$A82,'Как будет'!DP$73:DP$80)</f>
        <v>0</v>
      </c>
      <c r="DP82">
        <f>SUMIF('Как будет'!$A$73:$A$80,Доп.расчеты!$A82,'Как будет'!DQ$73:DQ$80)</f>
        <v>0</v>
      </c>
      <c r="DQ82">
        <f>SUMIF('Как будет'!$A$73:$A$80,Доп.расчеты!$A82,'Как будет'!DR$73:DR$80)</f>
        <v>0</v>
      </c>
      <c r="DR82">
        <f>SUMIF('Как будет'!$A$73:$A$80,Доп.расчеты!$A82,'Как будет'!DS$73:DS$80)</f>
        <v>0</v>
      </c>
      <c r="DS82">
        <f>SUMIF('Как будет'!$A$73:$A$80,Доп.расчеты!$A82,'Как будет'!DT$73:DT$80)</f>
        <v>0</v>
      </c>
      <c r="DT82">
        <f>SUMIF('Как будет'!$A$73:$A$80,Доп.расчеты!$A82,'Как будет'!DU$73:DU$80)</f>
        <v>0</v>
      </c>
      <c r="DU82">
        <f>SUMIF('Как будет'!$A$73:$A$80,Доп.расчеты!$A82,'Как будет'!DV$73:DV$80)</f>
        <v>0</v>
      </c>
      <c r="DV82">
        <f>SUMIF('Как будет'!$A$73:$A$80,Доп.расчеты!$A82,'Как будет'!DW$73:DW$80)</f>
        <v>0</v>
      </c>
      <c r="DW82">
        <f>SUMIF('Как будет'!$A$73:$A$80,Доп.расчеты!$A82,'Как будет'!DX$73:DX$80)</f>
        <v>0</v>
      </c>
      <c r="DX82">
        <f>SUMIF('Как будет'!$A$73:$A$80,Доп.расчеты!$A82,'Как будет'!DY$73:DY$80)</f>
        <v>0</v>
      </c>
      <c r="DY82">
        <f>SUMIF('Как будет'!$A$73:$A$80,Доп.расчеты!$A82,'Как будет'!DZ$73:DZ$80)</f>
        <v>0</v>
      </c>
      <c r="DZ82">
        <f>SUMIF('Как будет'!$A$73:$A$80,Доп.расчеты!$A82,'Как будет'!EA$73:EA$80)</f>
        <v>0</v>
      </c>
      <c r="EA82">
        <f>SUMIF('Как будет'!$A$73:$A$80,Доп.расчеты!$A82,'Как будет'!EB$73:EB$80)</f>
        <v>0</v>
      </c>
      <c r="EB82">
        <f>SUMIF('Как будет'!$A$73:$A$80,Доп.расчеты!$A82,'Как будет'!EC$73:EC$80)</f>
        <v>0</v>
      </c>
      <c r="EC82">
        <f>SUMIF('Как будет'!$A$73:$A$80,Доп.расчеты!$A82,'Как будет'!ED$73:ED$80)</f>
        <v>0</v>
      </c>
      <c r="ED82">
        <f>SUMIF('Как будет'!$A$73:$A$80,Доп.расчеты!$A82,'Как будет'!EE$73:EE$80)</f>
        <v>0</v>
      </c>
      <c r="EE82">
        <f>SUMIF('Как будет'!$A$73:$A$80,Доп.расчеты!$A82,'Как будет'!EF$73:EF$80)</f>
        <v>0</v>
      </c>
      <c r="EF82">
        <f>SUMIF('Как будет'!$A$73:$A$80,Доп.расчеты!$A82,'Как будет'!EG$73:EG$80)</f>
        <v>0</v>
      </c>
      <c r="EG82">
        <f>SUMIF('Как будет'!$A$73:$A$80,Доп.расчеты!$A82,'Как будет'!EH$73:EH$80)</f>
        <v>0</v>
      </c>
      <c r="EH82">
        <f>SUMIF('Как будет'!$A$73:$A$80,Доп.расчеты!$A82,'Как будет'!EI$73:EI$80)</f>
        <v>0</v>
      </c>
      <c r="EI82">
        <f>SUMIF('Как будет'!$A$73:$A$80,Доп.расчеты!$A82,'Как будет'!EJ$73:EJ$80)</f>
        <v>0</v>
      </c>
      <c r="EJ82">
        <f>SUMIF('Как будет'!$A$73:$A$80,Доп.расчеты!$A82,'Как будет'!EK$73:EK$80)</f>
        <v>0</v>
      </c>
      <c r="EK82">
        <f>SUMIF('Как будет'!$A$73:$A$80,Доп.расчеты!$A82,'Как будет'!EL$73:EL$80)</f>
        <v>0</v>
      </c>
      <c r="EL82">
        <f>SUMIF('Как будет'!$A$73:$A$80,Доп.расчеты!$A82,'Как будет'!EM$73:EM$80)</f>
        <v>0</v>
      </c>
      <c r="EM82">
        <f>SUMIF('Как будет'!$A$73:$A$80,Доп.расчеты!$A82,'Как будет'!EN$73:EN$80)</f>
        <v>0</v>
      </c>
      <c r="EN82">
        <f>SUMIF('Как будет'!$A$73:$A$80,Доп.расчеты!$A82,'Как будет'!EO$73:EO$80)</f>
        <v>0</v>
      </c>
      <c r="EO82">
        <f>SUMIF('Как будет'!$A$73:$A$80,Доп.расчеты!$A82,'Как будет'!EP$73:EP$80)</f>
        <v>0</v>
      </c>
      <c r="EP82">
        <f>SUMIF('Как будет'!$A$73:$A$80,Доп.расчеты!$A82,'Как будет'!EQ$73:EQ$80)</f>
        <v>0</v>
      </c>
      <c r="EQ82">
        <f>SUMIF('Как будет'!$A$73:$A$80,Доп.расчеты!$A82,'Как будет'!ER$73:ER$80)</f>
        <v>0</v>
      </c>
      <c r="ER82">
        <f>SUMIF('Как будет'!$A$73:$A$80,Доп.расчеты!$A82,'Как будет'!ES$73:ES$80)</f>
        <v>0</v>
      </c>
      <c r="ES82">
        <f>SUMIF('Как будет'!$A$73:$A$80,Доп.расчеты!$A82,'Как будет'!ET$73:ET$80)</f>
        <v>0</v>
      </c>
      <c r="ET82">
        <f>SUMIF('Как будет'!$A$73:$A$80,Доп.расчеты!$A82,'Как будет'!EU$73:EU$80)</f>
        <v>0</v>
      </c>
      <c r="EU82">
        <f>SUMIF('Как будет'!$A$73:$A$80,Доп.расчеты!$A82,'Как будет'!EV$73:EV$80)</f>
        <v>0</v>
      </c>
      <c r="EV82">
        <f>SUMIF('Как будет'!$A$73:$A$80,Доп.расчеты!$A82,'Как будет'!EW$73:EW$80)</f>
        <v>0</v>
      </c>
      <c r="EW82">
        <f>SUMIF('Как будет'!$A$73:$A$80,Доп.расчеты!$A82,'Как будет'!EX$73:EX$80)</f>
        <v>0</v>
      </c>
      <c r="EX82">
        <f>SUMIF('Как будет'!$A$73:$A$80,Доп.расчеты!$A82,'Как будет'!EY$73:EY$80)</f>
        <v>0</v>
      </c>
      <c r="EY82">
        <f>SUMIF('Как будет'!$A$73:$A$80,Доп.расчеты!$A82,'Как будет'!EZ$73:EZ$80)</f>
        <v>0</v>
      </c>
      <c r="EZ82">
        <f>SUMIF('Как будет'!$A$73:$A$80,Доп.расчеты!$A82,'Как будет'!FA$73:FA$80)</f>
        <v>0</v>
      </c>
      <c r="FA82">
        <f>SUMIF('Как будет'!$A$73:$A$80,Доп.расчеты!$A82,'Как будет'!FB$73:FB$80)</f>
        <v>0</v>
      </c>
      <c r="FB82">
        <f>SUMIF('Как будет'!$A$73:$A$80,Доп.расчеты!$A82,'Как будет'!FC$73:FC$80)</f>
        <v>0</v>
      </c>
      <c r="FC82">
        <f>SUMIF('Как будет'!$A$73:$A$80,Доп.расчеты!$A82,'Как будет'!FD$73:FD$80)</f>
        <v>0</v>
      </c>
      <c r="FD82">
        <f>SUMIF('Как будет'!$A$73:$A$80,Доп.расчеты!$A82,'Как будет'!FE$73:FE$80)</f>
        <v>0</v>
      </c>
      <c r="FE82">
        <f>SUMIF('Как будет'!$A$73:$A$80,Доп.расчеты!$A82,'Как будет'!FF$73:FF$80)</f>
        <v>0</v>
      </c>
      <c r="FF82">
        <f>SUMIF('Как будет'!$A$73:$A$80,Доп.расчеты!$A82,'Как будет'!FG$73:FG$80)</f>
        <v>0</v>
      </c>
      <c r="FG82">
        <f>SUMIF('Как будет'!$A$73:$A$80,Доп.расчеты!$A82,'Как будет'!FH$73:FH$80)</f>
        <v>0</v>
      </c>
      <c r="FH82">
        <f>SUMIF('Как будет'!$A$73:$A$80,Доп.расчеты!$A82,'Как будет'!FI$73:FI$80)</f>
        <v>0</v>
      </c>
      <c r="FI82">
        <f>SUMIF('Как будет'!$A$73:$A$80,Доп.расчеты!$A82,'Как будет'!FJ$73:FJ$80)</f>
        <v>0</v>
      </c>
      <c r="FJ82">
        <f>SUMIF('Как будет'!$A$73:$A$80,Доп.расчеты!$A82,'Как будет'!FK$73:FK$80)</f>
        <v>0</v>
      </c>
      <c r="FK82">
        <f>SUMIF('Как будет'!$A$73:$A$80,Доп.расчеты!$A82,'Как будет'!FL$73:FL$80)</f>
        <v>0</v>
      </c>
      <c r="FL82">
        <f>SUMIF('Как будет'!$A$73:$A$80,Доп.расчеты!$A82,'Как будет'!FM$73:FM$80)</f>
        <v>0</v>
      </c>
      <c r="FM82">
        <f>SUMIF('Как будет'!$A$73:$A$80,Доп.расчеты!$A82,'Как будет'!FN$73:FN$80)</f>
        <v>0</v>
      </c>
      <c r="FN82">
        <f>SUMIF('Как будет'!$A$73:$A$80,Доп.расчеты!$A82,'Как будет'!FO$73:FO$80)</f>
        <v>0</v>
      </c>
      <c r="FO82">
        <f>SUMIF('Как будет'!$A$73:$A$80,Доп.расчеты!$A82,'Как будет'!FP$73:FP$80)</f>
        <v>0</v>
      </c>
      <c r="FP82">
        <f>SUMIF('Как будет'!$A$73:$A$80,Доп.расчеты!$A82,'Как будет'!FQ$73:FQ$80)</f>
        <v>0</v>
      </c>
      <c r="FQ82">
        <f>SUMIF('Как будет'!$A$73:$A$80,Доп.расчеты!$A82,'Как будет'!FR$73:FR$80)</f>
        <v>0</v>
      </c>
      <c r="FR82">
        <f>SUMIF('Как будет'!$A$73:$A$80,Доп.расчеты!$A82,'Как будет'!FS$73:FS$80)</f>
        <v>0</v>
      </c>
      <c r="FS82">
        <f>SUMIF('Как будет'!$A$73:$A$80,Доп.расчеты!$A82,'Как будет'!FT$73:FT$80)</f>
        <v>0</v>
      </c>
      <c r="FT82">
        <f>SUMIF('Как будет'!$A$73:$A$80,Доп.расчеты!$A82,'Как будет'!FU$73:FU$80)</f>
        <v>0</v>
      </c>
      <c r="FU82">
        <f>SUMIF('Как будет'!$A$73:$A$80,Доп.расчеты!$A82,'Как будет'!FV$73:FV$80)</f>
        <v>0</v>
      </c>
      <c r="FV82">
        <f>SUMIF('Как будет'!$A$73:$A$80,Доп.расчеты!$A82,'Как будет'!FW$73:FW$80)</f>
        <v>0</v>
      </c>
      <c r="FW82">
        <f>SUMIF('Как будет'!$A$73:$A$80,Доп.расчеты!$A82,'Как будет'!FX$73:FX$80)</f>
        <v>0</v>
      </c>
      <c r="FX82">
        <f>SUMIF('Как будет'!$A$73:$A$80,Доп.расчеты!$A82,'Как будет'!FY$73:FY$80)</f>
        <v>0</v>
      </c>
      <c r="FY82">
        <f>SUMIF('Как будет'!$A$73:$A$80,Доп.расчеты!$A82,'Как будет'!FZ$73:FZ$80)</f>
        <v>0</v>
      </c>
      <c r="FZ82">
        <f>SUMIF('Как будет'!$A$73:$A$80,Доп.расчеты!$A82,'Как будет'!GA$73:GA$80)</f>
        <v>0</v>
      </c>
      <c r="GA82">
        <f>SUMIF('Как будет'!$A$73:$A$80,Доп.расчеты!$A82,'Как будет'!GB$73:GB$80)</f>
        <v>0</v>
      </c>
      <c r="GB82">
        <f>SUMIF('Как будет'!$A$73:$A$80,Доп.расчеты!$A82,'Как будет'!GC$73:GC$80)</f>
        <v>0</v>
      </c>
      <c r="GC82">
        <f>SUMIF('Как будет'!$A$73:$A$80,Доп.расчеты!$A82,'Как будет'!GD$73:GD$80)</f>
        <v>0</v>
      </c>
      <c r="GD82">
        <f>SUMIF('Как будет'!$A$73:$A$80,Доп.расчеты!$A82,'Как будет'!GE$73:GE$80)</f>
        <v>0</v>
      </c>
      <c r="GE82">
        <f>SUMIF('Как будет'!$A$73:$A$80,Доп.расчеты!$A82,'Как будет'!GF$73:GF$80)</f>
        <v>0</v>
      </c>
      <c r="GF82">
        <f>SUMIF('Как будет'!$A$73:$A$80,Доп.расчеты!$A82,'Как будет'!GG$73:GG$80)</f>
        <v>0</v>
      </c>
      <c r="GG82">
        <f>SUMIF('Как будет'!$A$73:$A$80,Доп.расчеты!$A82,'Как будет'!GH$73:GH$80)</f>
        <v>0</v>
      </c>
      <c r="GH82">
        <f>SUMIF('Как будет'!$A$73:$A$80,Доп.расчеты!$A82,'Как будет'!GI$73:GI$80)</f>
        <v>0</v>
      </c>
      <c r="GI82">
        <f>SUMIF('Как будет'!$A$73:$A$80,Доп.расчеты!$A82,'Как будет'!GJ$73:GJ$80)</f>
        <v>0</v>
      </c>
      <c r="GJ82">
        <f>SUMIF('Как будет'!$A$73:$A$80,Доп.расчеты!$A82,'Как будет'!GK$73:GK$80)</f>
        <v>0</v>
      </c>
      <c r="GK82">
        <f>SUMIF('Как будет'!$A$73:$A$80,Доп.расчеты!$A82,'Как будет'!GL$73:GL$80)</f>
        <v>0</v>
      </c>
      <c r="GL82">
        <f>SUMIF('Как будет'!$A$73:$A$80,Доп.расчеты!$A82,'Как будет'!GM$73:GM$80)</f>
        <v>0</v>
      </c>
      <c r="GM82">
        <f>SUMIF('Как будет'!$A$73:$A$80,Доп.расчеты!$A82,'Как будет'!GN$73:GN$80)</f>
        <v>0</v>
      </c>
      <c r="GN82">
        <f>SUMIF('Как будет'!$A$73:$A$80,Доп.расчеты!$A82,'Как будет'!GO$73:GO$80)</f>
        <v>0</v>
      </c>
      <c r="GO82">
        <f>SUMIF('Как будет'!$A$73:$A$80,Доп.расчеты!$A82,'Как будет'!GP$73:GP$80)</f>
        <v>0</v>
      </c>
      <c r="GP82">
        <f>SUMIF('Как будет'!$A$73:$A$80,Доп.расчеты!$A82,'Как будет'!GQ$73:GQ$80)</f>
        <v>0</v>
      </c>
      <c r="GQ82">
        <f>SUMIF('Как будет'!$A$73:$A$80,Доп.расчеты!$A82,'Как будет'!GR$73:GR$80)</f>
        <v>0</v>
      </c>
      <c r="GR82">
        <f>SUMIF('Как будет'!$A$73:$A$80,Доп.расчеты!$A82,'Как будет'!GS$73:GS$80)</f>
        <v>0</v>
      </c>
      <c r="GS82">
        <f>SUMIF('Как будет'!$A$73:$A$80,Доп.расчеты!$A82,'Как будет'!GT$73:GT$80)</f>
        <v>0</v>
      </c>
      <c r="GT82">
        <f>SUMIF('Как будет'!$A$73:$A$80,Доп.расчеты!$A82,'Как будет'!GU$73:GU$80)</f>
        <v>0</v>
      </c>
    </row>
    <row r="83" spans="1:202">
      <c r="A83" s="237" t="s">
        <v>91</v>
      </c>
      <c r="B83">
        <f>SUMIF('Как будет'!$A$73:$A$80,Доп.расчеты!$A83,'Как будет'!C$73:C$80)</f>
        <v>0</v>
      </c>
      <c r="C83">
        <f>SUMIF('Как будет'!$A$73:$A$80,Доп.расчеты!$A83,'Как будет'!D$73:D$80)</f>
        <v>0</v>
      </c>
      <c r="D83">
        <f>SUMIF('Как будет'!$A$73:$A$80,Доп.расчеты!$A83,'Как будет'!E$73:E$80)</f>
        <v>0</v>
      </c>
      <c r="E83">
        <f>SUMIF('Как будет'!$A$73:$A$80,Доп.расчеты!$A83,'Как будет'!F$73:F$80)</f>
        <v>0</v>
      </c>
      <c r="F83">
        <f>SUMIF('Как будет'!$A$73:$A$80,Доп.расчеты!$A83,'Как будет'!G$73:G$80)</f>
        <v>0</v>
      </c>
      <c r="G83">
        <f>SUMIF('Как будет'!$A$73:$A$80,Доп.расчеты!$A83,'Как будет'!H$73:H$80)</f>
        <v>0</v>
      </c>
      <c r="H83">
        <f>SUMIF('Как будет'!$A$73:$A$80,Доп.расчеты!$A83,'Как будет'!I$73:I$80)</f>
        <v>0</v>
      </c>
      <c r="I83">
        <f>SUMIF('Как будет'!$A$73:$A$80,Доп.расчеты!$A83,'Как будет'!J$73:J$80)</f>
        <v>0</v>
      </c>
      <c r="J83">
        <f>SUMIF('Как будет'!$A$73:$A$80,Доп.расчеты!$A83,'Как будет'!K$73:K$80)</f>
        <v>0</v>
      </c>
      <c r="K83">
        <f>SUMIF('Как будет'!$A$73:$A$80,Доп.расчеты!$A83,'Как будет'!L$73:L$80)</f>
        <v>0</v>
      </c>
      <c r="L83">
        <f>SUMIF('Как будет'!$A$73:$A$80,Доп.расчеты!$A83,'Как будет'!M$73:M$80)</f>
        <v>0</v>
      </c>
      <c r="M83">
        <f>SUMIF('Как будет'!$A$73:$A$80,Доп.расчеты!$A83,'Как будет'!N$73:N$80)</f>
        <v>0</v>
      </c>
      <c r="N83">
        <f>SUMIF('Как будет'!$A$73:$A$80,Доп.расчеты!$A83,'Как будет'!O$73:O$80)</f>
        <v>0</v>
      </c>
      <c r="O83">
        <f>SUMIF('Как будет'!$A$73:$A$80,Доп.расчеты!$A83,'Как будет'!P$73:P$80)</f>
        <v>0</v>
      </c>
      <c r="P83">
        <f>SUMIF('Как будет'!$A$73:$A$80,Доп.расчеты!$A83,'Как будет'!Q$73:Q$80)</f>
        <v>0</v>
      </c>
      <c r="Q83">
        <f>SUMIF('Как будет'!$A$73:$A$80,Доп.расчеты!$A83,'Как будет'!R$73:R$80)</f>
        <v>0</v>
      </c>
      <c r="R83">
        <f>SUMIF('Как будет'!$A$73:$A$80,Доп.расчеты!$A83,'Как будет'!S$73:S$80)</f>
        <v>0</v>
      </c>
      <c r="S83">
        <f>SUMIF('Как будет'!$A$73:$A$80,Доп.расчеты!$A83,'Как будет'!T$73:T$80)</f>
        <v>0</v>
      </c>
      <c r="T83">
        <f>SUMIF('Как будет'!$A$73:$A$80,Доп.расчеты!$A83,'Как будет'!U$73:U$80)</f>
        <v>0</v>
      </c>
      <c r="U83">
        <f>SUMIF('Как будет'!$A$73:$A$80,Доп.расчеты!$A83,'Как будет'!V$73:V$80)</f>
        <v>0</v>
      </c>
      <c r="V83">
        <f>SUMIF('Как будет'!$A$73:$A$80,Доп.расчеты!$A83,'Как будет'!W$73:W$80)</f>
        <v>0</v>
      </c>
      <c r="W83">
        <f>SUMIF('Как будет'!$A$73:$A$80,Доп.расчеты!$A83,'Как будет'!X$73:X$80)</f>
        <v>0</v>
      </c>
      <c r="X83">
        <f>SUMIF('Как будет'!$A$73:$A$80,Доп.расчеты!$A83,'Как будет'!Y$73:Y$80)</f>
        <v>0</v>
      </c>
      <c r="Y83">
        <f>SUMIF('Как будет'!$A$73:$A$80,Доп.расчеты!$A83,'Как будет'!Z$73:Z$80)</f>
        <v>0</v>
      </c>
      <c r="Z83">
        <f>SUMIF('Как будет'!$A$73:$A$80,Доп.расчеты!$A83,'Как будет'!AA$73:AA$80)</f>
        <v>0</v>
      </c>
      <c r="AA83">
        <f>SUMIF('Как будет'!$A$73:$A$80,Доп.расчеты!$A83,'Как будет'!AB$73:AB$80)</f>
        <v>0</v>
      </c>
      <c r="AB83">
        <f>SUMIF('Как будет'!$A$73:$A$80,Доп.расчеты!$A83,'Как будет'!AC$73:AC$80)</f>
        <v>0</v>
      </c>
      <c r="AC83">
        <f>SUMIF('Как будет'!$A$73:$A$80,Доп.расчеты!$A83,'Как будет'!AD$73:AD$80)</f>
        <v>0</v>
      </c>
      <c r="AD83">
        <f>SUMIF('Как будет'!$A$73:$A$80,Доп.расчеты!$A83,'Как будет'!AE$73:AE$80)</f>
        <v>0</v>
      </c>
      <c r="AE83">
        <f>SUMIF('Как будет'!$A$73:$A$80,Доп.расчеты!$A83,'Как будет'!AF$73:AF$80)</f>
        <v>0</v>
      </c>
      <c r="AF83">
        <f>SUMIF('Как будет'!$A$73:$A$80,Доп.расчеты!$A83,'Как будет'!AG$73:AG$80)</f>
        <v>0</v>
      </c>
      <c r="AG83">
        <f>SUMIF('Как будет'!$A$73:$A$80,Доп.расчеты!$A83,'Как будет'!AH$73:AH$80)</f>
        <v>0</v>
      </c>
      <c r="AH83">
        <f>SUMIF('Как будет'!$A$73:$A$80,Доп.расчеты!$A83,'Как будет'!AI$73:AI$80)</f>
        <v>0</v>
      </c>
      <c r="AI83">
        <f>SUMIF('Как будет'!$A$73:$A$80,Доп.расчеты!$A83,'Как будет'!AJ$73:AJ$80)</f>
        <v>0</v>
      </c>
      <c r="AJ83">
        <f>SUMIF('Как будет'!$A$73:$A$80,Доп.расчеты!$A83,'Как будет'!AK$73:AK$80)</f>
        <v>0</v>
      </c>
      <c r="AK83">
        <f>SUMIF('Как будет'!$A$73:$A$80,Доп.расчеты!$A83,'Как будет'!AL$73:AL$80)</f>
        <v>0</v>
      </c>
      <c r="AL83">
        <f>SUMIF('Как будет'!$A$73:$A$80,Доп.расчеты!$A83,'Как будет'!AM$73:AM$80)</f>
        <v>0</v>
      </c>
      <c r="AM83">
        <f>SUMIF('Как будет'!$A$73:$A$80,Доп.расчеты!$A83,'Как будет'!AN$73:AN$80)</f>
        <v>0</v>
      </c>
      <c r="AN83">
        <f>SUMIF('Как будет'!$A$73:$A$80,Доп.расчеты!$A83,'Как будет'!AO$73:AO$80)</f>
        <v>0</v>
      </c>
      <c r="AO83">
        <f>SUMIF('Как будет'!$A$73:$A$80,Доп.расчеты!$A83,'Как будет'!AP$73:AP$80)</f>
        <v>0</v>
      </c>
      <c r="AP83">
        <f>SUMIF('Как будет'!$A$73:$A$80,Доп.расчеты!$A83,'Как будет'!AQ$73:AQ$80)</f>
        <v>0</v>
      </c>
      <c r="AQ83">
        <f>SUMIF('Как будет'!$A$73:$A$80,Доп.расчеты!$A83,'Как будет'!AR$73:AR$80)</f>
        <v>0</v>
      </c>
      <c r="AR83">
        <f>SUMIF('Как будет'!$A$73:$A$80,Доп.расчеты!$A83,'Как будет'!AS$73:AS$80)</f>
        <v>0</v>
      </c>
      <c r="AS83">
        <f>SUMIF('Как будет'!$A$73:$A$80,Доп.расчеты!$A83,'Как будет'!AT$73:AT$80)</f>
        <v>0</v>
      </c>
      <c r="AT83">
        <f>SUMIF('Как будет'!$A$73:$A$80,Доп.расчеты!$A83,'Как будет'!AU$73:AU$80)</f>
        <v>0</v>
      </c>
      <c r="AU83">
        <f>SUMIF('Как будет'!$A$73:$A$80,Доп.расчеты!$A83,'Как будет'!AV$73:AV$80)</f>
        <v>0</v>
      </c>
      <c r="AV83">
        <f>SUMIF('Как будет'!$A$73:$A$80,Доп.расчеты!$A83,'Как будет'!AW$73:AW$80)</f>
        <v>0</v>
      </c>
      <c r="AW83">
        <f>SUMIF('Как будет'!$A$73:$A$80,Доп.расчеты!$A83,'Как будет'!AX$73:AX$80)</f>
        <v>0</v>
      </c>
      <c r="AX83">
        <f>SUMIF('Как будет'!$A$73:$A$80,Доп.расчеты!$A83,'Как будет'!AY$73:AY$80)</f>
        <v>0</v>
      </c>
      <c r="AY83">
        <f>SUMIF('Как будет'!$A$73:$A$80,Доп.расчеты!$A83,'Как будет'!AZ$73:AZ$80)</f>
        <v>0</v>
      </c>
      <c r="AZ83">
        <f>SUMIF('Как будет'!$A$73:$A$80,Доп.расчеты!$A83,'Как будет'!BA$73:BA$80)</f>
        <v>0</v>
      </c>
      <c r="BA83">
        <f>SUMIF('Как будет'!$A$73:$A$80,Доп.расчеты!$A83,'Как будет'!BB$73:BB$80)</f>
        <v>0</v>
      </c>
      <c r="BB83">
        <f>SUMIF('Как будет'!$A$73:$A$80,Доп.расчеты!$A83,'Как будет'!BC$73:BC$80)</f>
        <v>0</v>
      </c>
      <c r="BC83">
        <f>SUMIF('Как будет'!$A$73:$A$80,Доп.расчеты!$A83,'Как будет'!BD$73:BD$80)</f>
        <v>0</v>
      </c>
      <c r="BD83">
        <f>SUMIF('Как будет'!$A$73:$A$80,Доп.расчеты!$A83,'Как будет'!BE$73:BE$80)</f>
        <v>0</v>
      </c>
      <c r="BE83">
        <f>SUMIF('Как будет'!$A$73:$A$80,Доп.расчеты!$A83,'Как будет'!BF$73:BF$80)</f>
        <v>0</v>
      </c>
      <c r="BF83">
        <f>SUMIF('Как будет'!$A$73:$A$80,Доп.расчеты!$A83,'Как будет'!BG$73:BG$80)</f>
        <v>0</v>
      </c>
      <c r="BG83">
        <f>SUMIF('Как будет'!$A$73:$A$80,Доп.расчеты!$A83,'Как будет'!BH$73:BH$80)</f>
        <v>0</v>
      </c>
      <c r="BH83">
        <f>SUMIF('Как будет'!$A$73:$A$80,Доп.расчеты!$A83,'Как будет'!BI$73:BI$80)</f>
        <v>0</v>
      </c>
      <c r="BI83">
        <f>SUMIF('Как будет'!$A$73:$A$80,Доп.расчеты!$A83,'Как будет'!BJ$73:BJ$80)</f>
        <v>0</v>
      </c>
      <c r="BJ83">
        <f>SUMIF('Как будет'!$A$73:$A$80,Доп.расчеты!$A83,'Как будет'!BK$73:BK$80)</f>
        <v>0</v>
      </c>
      <c r="BK83">
        <f>SUMIF('Как будет'!$A$73:$A$80,Доп.расчеты!$A83,'Как будет'!BL$73:BL$80)</f>
        <v>0</v>
      </c>
      <c r="BL83">
        <f>SUMIF('Как будет'!$A$73:$A$80,Доп.расчеты!$A83,'Как будет'!BM$73:BM$80)</f>
        <v>0</v>
      </c>
      <c r="BM83">
        <f>SUMIF('Как будет'!$A$73:$A$80,Доп.расчеты!$A83,'Как будет'!BN$73:BN$80)</f>
        <v>0</v>
      </c>
      <c r="BN83">
        <f>SUMIF('Как будет'!$A$73:$A$80,Доп.расчеты!$A83,'Как будет'!BO$73:BO$80)</f>
        <v>0</v>
      </c>
      <c r="BO83">
        <f>SUMIF('Как будет'!$A$73:$A$80,Доп.расчеты!$A83,'Как будет'!BP$73:BP$80)</f>
        <v>0</v>
      </c>
      <c r="BP83">
        <f>SUMIF('Как будет'!$A$73:$A$80,Доп.расчеты!$A83,'Как будет'!BQ$73:BQ$80)</f>
        <v>0</v>
      </c>
      <c r="BQ83">
        <f>SUMIF('Как будет'!$A$73:$A$80,Доп.расчеты!$A83,'Как будет'!BR$73:BR$80)</f>
        <v>0</v>
      </c>
      <c r="BR83">
        <f>SUMIF('Как будет'!$A$73:$A$80,Доп.расчеты!$A83,'Как будет'!BS$73:BS$80)</f>
        <v>0</v>
      </c>
      <c r="BS83">
        <f>SUMIF('Как будет'!$A$73:$A$80,Доп.расчеты!$A83,'Как будет'!BT$73:BT$80)</f>
        <v>0</v>
      </c>
      <c r="BT83">
        <f>SUMIF('Как будет'!$A$73:$A$80,Доп.расчеты!$A83,'Как будет'!BU$73:BU$80)</f>
        <v>0</v>
      </c>
      <c r="BU83">
        <f>SUMIF('Как будет'!$A$73:$A$80,Доп.расчеты!$A83,'Как будет'!BV$73:BV$80)</f>
        <v>0</v>
      </c>
      <c r="BV83">
        <f>SUMIF('Как будет'!$A$73:$A$80,Доп.расчеты!$A83,'Как будет'!BW$73:BW$80)</f>
        <v>0</v>
      </c>
      <c r="BW83">
        <f>SUMIF('Как будет'!$A$73:$A$80,Доп.расчеты!$A83,'Как будет'!BX$73:BX$80)</f>
        <v>0</v>
      </c>
      <c r="BX83">
        <f>SUMIF('Как будет'!$A$73:$A$80,Доп.расчеты!$A83,'Как будет'!BY$73:BY$80)</f>
        <v>0</v>
      </c>
      <c r="BY83">
        <f>SUMIF('Как будет'!$A$73:$A$80,Доп.расчеты!$A83,'Как будет'!BZ$73:BZ$80)</f>
        <v>0</v>
      </c>
      <c r="BZ83">
        <f>SUMIF('Как будет'!$A$73:$A$80,Доп.расчеты!$A83,'Как будет'!CA$73:CA$80)</f>
        <v>0</v>
      </c>
      <c r="CA83">
        <f>SUMIF('Как будет'!$A$73:$A$80,Доп.расчеты!$A83,'Как будет'!CB$73:CB$80)</f>
        <v>0</v>
      </c>
      <c r="CB83">
        <f>SUMIF('Как будет'!$A$73:$A$80,Доп.расчеты!$A83,'Как будет'!CC$73:CC$80)</f>
        <v>0</v>
      </c>
      <c r="CC83">
        <f>SUMIF('Как будет'!$A$73:$A$80,Доп.расчеты!$A83,'Как будет'!CD$73:CD$80)</f>
        <v>0</v>
      </c>
      <c r="CD83">
        <f>SUMIF('Как будет'!$A$73:$A$80,Доп.расчеты!$A83,'Как будет'!CE$73:CE$80)</f>
        <v>0</v>
      </c>
      <c r="CE83">
        <f>SUMIF('Как будет'!$A$73:$A$80,Доп.расчеты!$A83,'Как будет'!CF$73:CF$80)</f>
        <v>0</v>
      </c>
      <c r="CF83">
        <f>SUMIF('Как будет'!$A$73:$A$80,Доп.расчеты!$A83,'Как будет'!CG$73:CG$80)</f>
        <v>0</v>
      </c>
      <c r="CG83">
        <f>SUMIF('Как будет'!$A$73:$A$80,Доп.расчеты!$A83,'Как будет'!CH$73:CH$80)</f>
        <v>0</v>
      </c>
      <c r="CH83">
        <f>SUMIF('Как будет'!$A$73:$A$80,Доп.расчеты!$A83,'Как будет'!CI$73:CI$80)</f>
        <v>0</v>
      </c>
      <c r="CI83">
        <f>SUMIF('Как будет'!$A$73:$A$80,Доп.расчеты!$A83,'Как будет'!CJ$73:CJ$80)</f>
        <v>0</v>
      </c>
      <c r="CJ83">
        <f>SUMIF('Как будет'!$A$73:$A$80,Доп.расчеты!$A83,'Как будет'!CK$73:CK$80)</f>
        <v>0</v>
      </c>
      <c r="CK83">
        <f>SUMIF('Как будет'!$A$73:$A$80,Доп.расчеты!$A83,'Как будет'!CL$73:CL$80)</f>
        <v>0</v>
      </c>
      <c r="CL83">
        <f>SUMIF('Как будет'!$A$73:$A$80,Доп.расчеты!$A83,'Как будет'!CM$73:CM$80)</f>
        <v>0</v>
      </c>
      <c r="CM83">
        <f>SUMIF('Как будет'!$A$73:$A$80,Доп.расчеты!$A83,'Как будет'!CN$73:CN$80)</f>
        <v>0</v>
      </c>
      <c r="CN83">
        <f>SUMIF('Как будет'!$A$73:$A$80,Доп.расчеты!$A83,'Как будет'!CO$73:CO$80)</f>
        <v>0</v>
      </c>
      <c r="CO83">
        <f>SUMIF('Как будет'!$A$73:$A$80,Доп.расчеты!$A83,'Как будет'!CP$73:CP$80)</f>
        <v>0</v>
      </c>
      <c r="CP83">
        <f>SUMIF('Как будет'!$A$73:$A$80,Доп.расчеты!$A83,'Как будет'!CQ$73:CQ$80)</f>
        <v>0</v>
      </c>
      <c r="CQ83">
        <f>SUMIF('Как будет'!$A$73:$A$80,Доп.расчеты!$A83,'Как будет'!CR$73:CR$80)</f>
        <v>0</v>
      </c>
      <c r="CR83">
        <f>SUMIF('Как будет'!$A$73:$A$80,Доп.расчеты!$A83,'Как будет'!CS$73:CS$80)</f>
        <v>0</v>
      </c>
      <c r="CS83">
        <f>SUMIF('Как будет'!$A$73:$A$80,Доп.расчеты!$A83,'Как будет'!CT$73:CT$80)</f>
        <v>0</v>
      </c>
      <c r="CT83">
        <f>SUMIF('Как будет'!$A$73:$A$80,Доп.расчеты!$A83,'Как будет'!CU$73:CU$80)</f>
        <v>0</v>
      </c>
      <c r="CU83">
        <f>SUMIF('Как будет'!$A$73:$A$80,Доп.расчеты!$A83,'Как будет'!CV$73:CV$80)</f>
        <v>0</v>
      </c>
      <c r="CV83">
        <f>SUMIF('Как будет'!$A$73:$A$80,Доп.расчеты!$A83,'Как будет'!CW$73:CW$80)</f>
        <v>0</v>
      </c>
      <c r="CW83">
        <f>SUMIF('Как будет'!$A$73:$A$80,Доп.расчеты!$A83,'Как будет'!CX$73:CX$80)</f>
        <v>0</v>
      </c>
      <c r="CX83">
        <f>SUMIF('Как будет'!$A$73:$A$80,Доп.расчеты!$A83,'Как будет'!CY$73:CY$80)</f>
        <v>0</v>
      </c>
      <c r="CY83">
        <f>SUMIF('Как будет'!$A$73:$A$80,Доп.расчеты!$A83,'Как будет'!CZ$73:CZ$80)</f>
        <v>0</v>
      </c>
      <c r="CZ83">
        <f>SUMIF('Как будет'!$A$73:$A$80,Доп.расчеты!$A83,'Как будет'!DA$73:DA$80)</f>
        <v>0</v>
      </c>
      <c r="DA83">
        <f>SUMIF('Как будет'!$A$73:$A$80,Доп.расчеты!$A83,'Как будет'!DB$73:DB$80)</f>
        <v>0</v>
      </c>
      <c r="DB83">
        <f>SUMIF('Как будет'!$A$73:$A$80,Доп.расчеты!$A83,'Как будет'!DC$73:DC$80)</f>
        <v>0</v>
      </c>
      <c r="DC83">
        <f>SUMIF('Как будет'!$A$73:$A$80,Доп.расчеты!$A83,'Как будет'!DD$73:DD$80)</f>
        <v>0</v>
      </c>
      <c r="DD83">
        <f>SUMIF('Как будет'!$A$73:$A$80,Доп.расчеты!$A83,'Как будет'!DE$73:DE$80)</f>
        <v>0</v>
      </c>
      <c r="DE83">
        <f>SUMIF('Как будет'!$A$73:$A$80,Доп.расчеты!$A83,'Как будет'!DF$73:DF$80)</f>
        <v>0</v>
      </c>
      <c r="DF83">
        <f>SUMIF('Как будет'!$A$73:$A$80,Доп.расчеты!$A83,'Как будет'!DG$73:DG$80)</f>
        <v>0</v>
      </c>
      <c r="DG83">
        <f>SUMIF('Как будет'!$A$73:$A$80,Доп.расчеты!$A83,'Как будет'!DH$73:DH$80)</f>
        <v>0</v>
      </c>
      <c r="DH83">
        <f>SUMIF('Как будет'!$A$73:$A$80,Доп.расчеты!$A83,'Как будет'!DI$73:DI$80)</f>
        <v>0</v>
      </c>
      <c r="DI83">
        <f>SUMIF('Как будет'!$A$73:$A$80,Доп.расчеты!$A83,'Как будет'!DJ$73:DJ$80)</f>
        <v>0</v>
      </c>
      <c r="DJ83">
        <f>SUMIF('Как будет'!$A$73:$A$80,Доп.расчеты!$A83,'Как будет'!DK$73:DK$80)</f>
        <v>0</v>
      </c>
      <c r="DK83">
        <f>SUMIF('Как будет'!$A$73:$A$80,Доп.расчеты!$A83,'Как будет'!DL$73:DL$80)</f>
        <v>0</v>
      </c>
      <c r="DL83">
        <f>SUMIF('Как будет'!$A$73:$A$80,Доп.расчеты!$A83,'Как будет'!DM$73:DM$80)</f>
        <v>0</v>
      </c>
      <c r="DM83">
        <f>SUMIF('Как будет'!$A$73:$A$80,Доп.расчеты!$A83,'Как будет'!DN$73:DN$80)</f>
        <v>0</v>
      </c>
      <c r="DN83">
        <f>SUMIF('Как будет'!$A$73:$A$80,Доп.расчеты!$A83,'Как будет'!DO$73:DO$80)</f>
        <v>0</v>
      </c>
      <c r="DO83">
        <f>SUMIF('Как будет'!$A$73:$A$80,Доп.расчеты!$A83,'Как будет'!DP$73:DP$80)</f>
        <v>0</v>
      </c>
      <c r="DP83">
        <f>SUMIF('Как будет'!$A$73:$A$80,Доп.расчеты!$A83,'Как будет'!DQ$73:DQ$80)</f>
        <v>0</v>
      </c>
      <c r="DQ83">
        <f>SUMIF('Как будет'!$A$73:$A$80,Доп.расчеты!$A83,'Как будет'!DR$73:DR$80)</f>
        <v>0</v>
      </c>
      <c r="DR83">
        <f>SUMIF('Как будет'!$A$73:$A$80,Доп.расчеты!$A83,'Как будет'!DS$73:DS$80)</f>
        <v>0</v>
      </c>
      <c r="DS83">
        <f>SUMIF('Как будет'!$A$73:$A$80,Доп.расчеты!$A83,'Как будет'!DT$73:DT$80)</f>
        <v>0</v>
      </c>
      <c r="DT83">
        <f>SUMIF('Как будет'!$A$73:$A$80,Доп.расчеты!$A83,'Как будет'!DU$73:DU$80)</f>
        <v>0</v>
      </c>
      <c r="DU83">
        <f>SUMIF('Как будет'!$A$73:$A$80,Доп.расчеты!$A83,'Как будет'!DV$73:DV$80)</f>
        <v>0</v>
      </c>
      <c r="DV83">
        <f>SUMIF('Как будет'!$A$73:$A$80,Доп.расчеты!$A83,'Как будет'!DW$73:DW$80)</f>
        <v>0</v>
      </c>
      <c r="DW83">
        <f>SUMIF('Как будет'!$A$73:$A$80,Доп.расчеты!$A83,'Как будет'!DX$73:DX$80)</f>
        <v>0</v>
      </c>
      <c r="DX83">
        <f>SUMIF('Как будет'!$A$73:$A$80,Доп.расчеты!$A83,'Как будет'!DY$73:DY$80)</f>
        <v>0</v>
      </c>
      <c r="DY83">
        <f>SUMIF('Как будет'!$A$73:$A$80,Доп.расчеты!$A83,'Как будет'!DZ$73:DZ$80)</f>
        <v>0</v>
      </c>
      <c r="DZ83">
        <f>SUMIF('Как будет'!$A$73:$A$80,Доп.расчеты!$A83,'Как будет'!EA$73:EA$80)</f>
        <v>0</v>
      </c>
      <c r="EA83">
        <f>SUMIF('Как будет'!$A$73:$A$80,Доп.расчеты!$A83,'Как будет'!EB$73:EB$80)</f>
        <v>0</v>
      </c>
      <c r="EB83">
        <f>SUMIF('Как будет'!$A$73:$A$80,Доп.расчеты!$A83,'Как будет'!EC$73:EC$80)</f>
        <v>0</v>
      </c>
      <c r="EC83">
        <f>SUMIF('Как будет'!$A$73:$A$80,Доп.расчеты!$A83,'Как будет'!ED$73:ED$80)</f>
        <v>0</v>
      </c>
      <c r="ED83">
        <f>SUMIF('Как будет'!$A$73:$A$80,Доп.расчеты!$A83,'Как будет'!EE$73:EE$80)</f>
        <v>0</v>
      </c>
      <c r="EE83">
        <f>SUMIF('Как будет'!$A$73:$A$80,Доп.расчеты!$A83,'Как будет'!EF$73:EF$80)</f>
        <v>0</v>
      </c>
      <c r="EF83">
        <f>SUMIF('Как будет'!$A$73:$A$80,Доп.расчеты!$A83,'Как будет'!EG$73:EG$80)</f>
        <v>0</v>
      </c>
      <c r="EG83">
        <f>SUMIF('Как будет'!$A$73:$A$80,Доп.расчеты!$A83,'Как будет'!EH$73:EH$80)</f>
        <v>0</v>
      </c>
      <c r="EH83">
        <f>SUMIF('Как будет'!$A$73:$A$80,Доп.расчеты!$A83,'Как будет'!EI$73:EI$80)</f>
        <v>0</v>
      </c>
      <c r="EI83">
        <f>SUMIF('Как будет'!$A$73:$A$80,Доп.расчеты!$A83,'Как будет'!EJ$73:EJ$80)</f>
        <v>0</v>
      </c>
      <c r="EJ83">
        <f>SUMIF('Как будет'!$A$73:$A$80,Доп.расчеты!$A83,'Как будет'!EK$73:EK$80)</f>
        <v>0</v>
      </c>
      <c r="EK83">
        <f>SUMIF('Как будет'!$A$73:$A$80,Доп.расчеты!$A83,'Как будет'!EL$73:EL$80)</f>
        <v>0</v>
      </c>
      <c r="EL83">
        <f>SUMIF('Как будет'!$A$73:$A$80,Доп.расчеты!$A83,'Как будет'!EM$73:EM$80)</f>
        <v>0</v>
      </c>
      <c r="EM83">
        <f>SUMIF('Как будет'!$A$73:$A$80,Доп.расчеты!$A83,'Как будет'!EN$73:EN$80)</f>
        <v>0</v>
      </c>
      <c r="EN83">
        <f>SUMIF('Как будет'!$A$73:$A$80,Доп.расчеты!$A83,'Как будет'!EO$73:EO$80)</f>
        <v>0</v>
      </c>
      <c r="EO83">
        <f>SUMIF('Как будет'!$A$73:$A$80,Доп.расчеты!$A83,'Как будет'!EP$73:EP$80)</f>
        <v>0</v>
      </c>
      <c r="EP83">
        <f>SUMIF('Как будет'!$A$73:$A$80,Доп.расчеты!$A83,'Как будет'!EQ$73:EQ$80)</f>
        <v>0</v>
      </c>
      <c r="EQ83">
        <f>SUMIF('Как будет'!$A$73:$A$80,Доп.расчеты!$A83,'Как будет'!ER$73:ER$80)</f>
        <v>0</v>
      </c>
      <c r="ER83">
        <f>SUMIF('Как будет'!$A$73:$A$80,Доп.расчеты!$A83,'Как будет'!ES$73:ES$80)</f>
        <v>0</v>
      </c>
      <c r="ES83">
        <f>SUMIF('Как будет'!$A$73:$A$80,Доп.расчеты!$A83,'Как будет'!ET$73:ET$80)</f>
        <v>0</v>
      </c>
      <c r="ET83">
        <f>SUMIF('Как будет'!$A$73:$A$80,Доп.расчеты!$A83,'Как будет'!EU$73:EU$80)</f>
        <v>0</v>
      </c>
      <c r="EU83">
        <f>SUMIF('Как будет'!$A$73:$A$80,Доп.расчеты!$A83,'Как будет'!EV$73:EV$80)</f>
        <v>0</v>
      </c>
      <c r="EV83">
        <f>SUMIF('Как будет'!$A$73:$A$80,Доп.расчеты!$A83,'Как будет'!EW$73:EW$80)</f>
        <v>0</v>
      </c>
      <c r="EW83">
        <f>SUMIF('Как будет'!$A$73:$A$80,Доп.расчеты!$A83,'Как будет'!EX$73:EX$80)</f>
        <v>0</v>
      </c>
      <c r="EX83">
        <f>SUMIF('Как будет'!$A$73:$A$80,Доп.расчеты!$A83,'Как будет'!EY$73:EY$80)</f>
        <v>0</v>
      </c>
      <c r="EY83">
        <f>SUMIF('Как будет'!$A$73:$A$80,Доп.расчеты!$A83,'Как будет'!EZ$73:EZ$80)</f>
        <v>0</v>
      </c>
      <c r="EZ83">
        <f>SUMIF('Как будет'!$A$73:$A$80,Доп.расчеты!$A83,'Как будет'!FA$73:FA$80)</f>
        <v>0</v>
      </c>
      <c r="FA83">
        <f>SUMIF('Как будет'!$A$73:$A$80,Доп.расчеты!$A83,'Как будет'!FB$73:FB$80)</f>
        <v>0</v>
      </c>
      <c r="FB83">
        <f>SUMIF('Как будет'!$A$73:$A$80,Доп.расчеты!$A83,'Как будет'!FC$73:FC$80)</f>
        <v>0</v>
      </c>
      <c r="FC83">
        <f>SUMIF('Как будет'!$A$73:$A$80,Доп.расчеты!$A83,'Как будет'!FD$73:FD$80)</f>
        <v>0</v>
      </c>
      <c r="FD83">
        <f>SUMIF('Как будет'!$A$73:$A$80,Доп.расчеты!$A83,'Как будет'!FE$73:FE$80)</f>
        <v>0</v>
      </c>
      <c r="FE83">
        <f>SUMIF('Как будет'!$A$73:$A$80,Доп.расчеты!$A83,'Как будет'!FF$73:FF$80)</f>
        <v>0</v>
      </c>
      <c r="FF83">
        <f>SUMIF('Как будет'!$A$73:$A$80,Доп.расчеты!$A83,'Как будет'!FG$73:FG$80)</f>
        <v>0</v>
      </c>
      <c r="FG83">
        <f>SUMIF('Как будет'!$A$73:$A$80,Доп.расчеты!$A83,'Как будет'!FH$73:FH$80)</f>
        <v>0</v>
      </c>
      <c r="FH83">
        <f>SUMIF('Как будет'!$A$73:$A$80,Доп.расчеты!$A83,'Как будет'!FI$73:FI$80)</f>
        <v>0</v>
      </c>
      <c r="FI83">
        <f>SUMIF('Как будет'!$A$73:$A$80,Доп.расчеты!$A83,'Как будет'!FJ$73:FJ$80)</f>
        <v>0</v>
      </c>
      <c r="FJ83">
        <f>SUMIF('Как будет'!$A$73:$A$80,Доп.расчеты!$A83,'Как будет'!FK$73:FK$80)</f>
        <v>0</v>
      </c>
      <c r="FK83">
        <f>SUMIF('Как будет'!$A$73:$A$80,Доп.расчеты!$A83,'Как будет'!FL$73:FL$80)</f>
        <v>0</v>
      </c>
      <c r="FL83">
        <f>SUMIF('Как будет'!$A$73:$A$80,Доп.расчеты!$A83,'Как будет'!FM$73:FM$80)</f>
        <v>0</v>
      </c>
      <c r="FM83">
        <f>SUMIF('Как будет'!$A$73:$A$80,Доп.расчеты!$A83,'Как будет'!FN$73:FN$80)</f>
        <v>0</v>
      </c>
      <c r="FN83">
        <f>SUMIF('Как будет'!$A$73:$A$80,Доп.расчеты!$A83,'Как будет'!FO$73:FO$80)</f>
        <v>0</v>
      </c>
      <c r="FO83">
        <f>SUMIF('Как будет'!$A$73:$A$80,Доп.расчеты!$A83,'Как будет'!FP$73:FP$80)</f>
        <v>0</v>
      </c>
      <c r="FP83">
        <f>SUMIF('Как будет'!$A$73:$A$80,Доп.расчеты!$A83,'Как будет'!FQ$73:FQ$80)</f>
        <v>0</v>
      </c>
      <c r="FQ83">
        <f>SUMIF('Как будет'!$A$73:$A$80,Доп.расчеты!$A83,'Как будет'!FR$73:FR$80)</f>
        <v>0</v>
      </c>
      <c r="FR83">
        <f>SUMIF('Как будет'!$A$73:$A$80,Доп.расчеты!$A83,'Как будет'!FS$73:FS$80)</f>
        <v>0</v>
      </c>
      <c r="FS83">
        <f>SUMIF('Как будет'!$A$73:$A$80,Доп.расчеты!$A83,'Как будет'!FT$73:FT$80)</f>
        <v>0</v>
      </c>
      <c r="FT83">
        <f>SUMIF('Как будет'!$A$73:$A$80,Доп.расчеты!$A83,'Как будет'!FU$73:FU$80)</f>
        <v>0</v>
      </c>
      <c r="FU83">
        <f>SUMIF('Как будет'!$A$73:$A$80,Доп.расчеты!$A83,'Как будет'!FV$73:FV$80)</f>
        <v>0</v>
      </c>
      <c r="FV83">
        <f>SUMIF('Как будет'!$A$73:$A$80,Доп.расчеты!$A83,'Как будет'!FW$73:FW$80)</f>
        <v>0</v>
      </c>
      <c r="FW83">
        <f>SUMIF('Как будет'!$A$73:$A$80,Доп.расчеты!$A83,'Как будет'!FX$73:FX$80)</f>
        <v>0</v>
      </c>
      <c r="FX83">
        <f>SUMIF('Как будет'!$A$73:$A$80,Доп.расчеты!$A83,'Как будет'!FY$73:FY$80)</f>
        <v>0</v>
      </c>
      <c r="FY83">
        <f>SUMIF('Как будет'!$A$73:$A$80,Доп.расчеты!$A83,'Как будет'!FZ$73:FZ$80)</f>
        <v>0</v>
      </c>
      <c r="FZ83">
        <f>SUMIF('Как будет'!$A$73:$A$80,Доп.расчеты!$A83,'Как будет'!GA$73:GA$80)</f>
        <v>0</v>
      </c>
      <c r="GA83">
        <f>SUMIF('Как будет'!$A$73:$A$80,Доп.расчеты!$A83,'Как будет'!GB$73:GB$80)</f>
        <v>0</v>
      </c>
      <c r="GB83">
        <f>SUMIF('Как будет'!$A$73:$A$80,Доп.расчеты!$A83,'Как будет'!GC$73:GC$80)</f>
        <v>0</v>
      </c>
      <c r="GC83">
        <f>SUMIF('Как будет'!$A$73:$A$80,Доп.расчеты!$A83,'Как будет'!GD$73:GD$80)</f>
        <v>0</v>
      </c>
      <c r="GD83">
        <f>SUMIF('Как будет'!$A$73:$A$80,Доп.расчеты!$A83,'Как будет'!GE$73:GE$80)</f>
        <v>0</v>
      </c>
      <c r="GE83">
        <f>SUMIF('Как будет'!$A$73:$A$80,Доп.расчеты!$A83,'Как будет'!GF$73:GF$80)</f>
        <v>0</v>
      </c>
      <c r="GF83">
        <f>SUMIF('Как будет'!$A$73:$A$80,Доп.расчеты!$A83,'Как будет'!GG$73:GG$80)</f>
        <v>0</v>
      </c>
      <c r="GG83">
        <f>SUMIF('Как будет'!$A$73:$A$80,Доп.расчеты!$A83,'Как будет'!GH$73:GH$80)</f>
        <v>0</v>
      </c>
      <c r="GH83">
        <f>SUMIF('Как будет'!$A$73:$A$80,Доп.расчеты!$A83,'Как будет'!GI$73:GI$80)</f>
        <v>0</v>
      </c>
      <c r="GI83">
        <f>SUMIF('Как будет'!$A$73:$A$80,Доп.расчеты!$A83,'Как будет'!GJ$73:GJ$80)</f>
        <v>0</v>
      </c>
      <c r="GJ83">
        <f>SUMIF('Как будет'!$A$73:$A$80,Доп.расчеты!$A83,'Как будет'!GK$73:GK$80)</f>
        <v>0</v>
      </c>
      <c r="GK83">
        <f>SUMIF('Как будет'!$A$73:$A$80,Доп.расчеты!$A83,'Как будет'!GL$73:GL$80)</f>
        <v>0</v>
      </c>
      <c r="GL83">
        <f>SUMIF('Как будет'!$A$73:$A$80,Доп.расчеты!$A83,'Как будет'!GM$73:GM$80)</f>
        <v>0</v>
      </c>
      <c r="GM83">
        <f>SUMIF('Как будет'!$A$73:$A$80,Доп.расчеты!$A83,'Как будет'!GN$73:GN$80)</f>
        <v>0</v>
      </c>
      <c r="GN83">
        <f>SUMIF('Как будет'!$A$73:$A$80,Доп.расчеты!$A83,'Как будет'!GO$73:GO$80)</f>
        <v>0</v>
      </c>
      <c r="GO83">
        <f>SUMIF('Как будет'!$A$73:$A$80,Доп.расчеты!$A83,'Как будет'!GP$73:GP$80)</f>
        <v>0</v>
      </c>
      <c r="GP83">
        <f>SUMIF('Как будет'!$A$73:$A$80,Доп.расчеты!$A83,'Как будет'!GQ$73:GQ$80)</f>
        <v>0</v>
      </c>
      <c r="GQ83">
        <f>SUMIF('Как будет'!$A$73:$A$80,Доп.расчеты!$A83,'Как будет'!GR$73:GR$80)</f>
        <v>0</v>
      </c>
      <c r="GR83">
        <f>SUMIF('Как будет'!$A$73:$A$80,Доп.расчеты!$A83,'Как будет'!GS$73:GS$80)</f>
        <v>0</v>
      </c>
      <c r="GS83">
        <f>SUMIF('Как будет'!$A$73:$A$80,Доп.расчеты!$A83,'Как будет'!GT$73:GT$80)</f>
        <v>0</v>
      </c>
      <c r="GT83">
        <f>SUMIF('Как будет'!$A$73:$A$80,Доп.расчеты!$A83,'Как будет'!GU$73:GU$80)</f>
        <v>0</v>
      </c>
    </row>
    <row r="84" spans="1:202">
      <c r="A84" s="237" t="s">
        <v>92</v>
      </c>
      <c r="B84">
        <f>SUMIF('Как будет'!$A$73:$A$80,Доп.расчеты!$A84,'Как будет'!C$73:C$80)</f>
        <v>0</v>
      </c>
      <c r="C84">
        <f>SUMIF('Как будет'!$A$73:$A$80,Доп.расчеты!$A84,'Как будет'!D$73:D$80)</f>
        <v>0</v>
      </c>
      <c r="D84">
        <f>SUMIF('Как будет'!$A$73:$A$80,Доп.расчеты!$A84,'Как будет'!E$73:E$80)</f>
        <v>0</v>
      </c>
      <c r="E84">
        <f>SUMIF('Как будет'!$A$73:$A$80,Доп.расчеты!$A84,'Как будет'!F$73:F$80)</f>
        <v>0</v>
      </c>
      <c r="F84">
        <f>SUMIF('Как будет'!$A$73:$A$80,Доп.расчеты!$A84,'Как будет'!G$73:G$80)</f>
        <v>0</v>
      </c>
      <c r="G84">
        <f>SUMIF('Как будет'!$A$73:$A$80,Доп.расчеты!$A84,'Как будет'!H$73:H$80)</f>
        <v>0</v>
      </c>
      <c r="H84">
        <f>SUMIF('Как будет'!$A$73:$A$80,Доп.расчеты!$A84,'Как будет'!I$73:I$80)</f>
        <v>0</v>
      </c>
      <c r="I84">
        <f>SUMIF('Как будет'!$A$73:$A$80,Доп.расчеты!$A84,'Как будет'!J$73:J$80)</f>
        <v>0</v>
      </c>
      <c r="J84">
        <f>SUMIF('Как будет'!$A$73:$A$80,Доп.расчеты!$A84,'Как будет'!K$73:K$80)</f>
        <v>0</v>
      </c>
      <c r="K84">
        <f>SUMIF('Как будет'!$A$73:$A$80,Доп.расчеты!$A84,'Как будет'!L$73:L$80)</f>
        <v>0</v>
      </c>
      <c r="L84">
        <f>SUMIF('Как будет'!$A$73:$A$80,Доп.расчеты!$A84,'Как будет'!M$73:M$80)</f>
        <v>0</v>
      </c>
      <c r="M84">
        <f>SUMIF('Как будет'!$A$73:$A$80,Доп.расчеты!$A84,'Как будет'!N$73:N$80)</f>
        <v>0</v>
      </c>
      <c r="N84">
        <f>SUMIF('Как будет'!$A$73:$A$80,Доп.расчеты!$A84,'Как будет'!O$73:O$80)</f>
        <v>0</v>
      </c>
      <c r="O84">
        <f>SUMIF('Как будет'!$A$73:$A$80,Доп.расчеты!$A84,'Как будет'!P$73:P$80)</f>
        <v>0</v>
      </c>
      <c r="P84">
        <f>SUMIF('Как будет'!$A$73:$A$80,Доп.расчеты!$A84,'Как будет'!Q$73:Q$80)</f>
        <v>0</v>
      </c>
      <c r="Q84">
        <f>SUMIF('Как будет'!$A$73:$A$80,Доп.расчеты!$A84,'Как будет'!R$73:R$80)</f>
        <v>0</v>
      </c>
      <c r="R84">
        <f>SUMIF('Как будет'!$A$73:$A$80,Доп.расчеты!$A84,'Как будет'!S$73:S$80)</f>
        <v>0</v>
      </c>
      <c r="S84">
        <f>SUMIF('Как будет'!$A$73:$A$80,Доп.расчеты!$A84,'Как будет'!T$73:T$80)</f>
        <v>0</v>
      </c>
      <c r="T84">
        <f>SUMIF('Как будет'!$A$73:$A$80,Доп.расчеты!$A84,'Как будет'!U$73:U$80)</f>
        <v>0</v>
      </c>
      <c r="U84">
        <f>SUMIF('Как будет'!$A$73:$A$80,Доп.расчеты!$A84,'Как будет'!V$73:V$80)</f>
        <v>0</v>
      </c>
      <c r="V84">
        <f>SUMIF('Как будет'!$A$73:$A$80,Доп.расчеты!$A84,'Как будет'!W$73:W$80)</f>
        <v>0</v>
      </c>
      <c r="W84">
        <f>SUMIF('Как будет'!$A$73:$A$80,Доп.расчеты!$A84,'Как будет'!X$73:X$80)</f>
        <v>0</v>
      </c>
      <c r="X84">
        <f>SUMIF('Как будет'!$A$73:$A$80,Доп.расчеты!$A84,'Как будет'!Y$73:Y$80)</f>
        <v>0</v>
      </c>
      <c r="Y84">
        <f>SUMIF('Как будет'!$A$73:$A$80,Доп.расчеты!$A84,'Как будет'!Z$73:Z$80)</f>
        <v>0</v>
      </c>
      <c r="Z84">
        <f>SUMIF('Как будет'!$A$73:$A$80,Доп.расчеты!$A84,'Как будет'!AA$73:AA$80)</f>
        <v>0</v>
      </c>
      <c r="AA84">
        <f>SUMIF('Как будет'!$A$73:$A$80,Доп.расчеты!$A84,'Как будет'!AB$73:AB$80)</f>
        <v>0</v>
      </c>
      <c r="AB84">
        <f>SUMIF('Как будет'!$A$73:$A$80,Доп.расчеты!$A84,'Как будет'!AC$73:AC$80)</f>
        <v>0</v>
      </c>
      <c r="AC84">
        <f>SUMIF('Как будет'!$A$73:$A$80,Доп.расчеты!$A84,'Как будет'!AD$73:AD$80)</f>
        <v>0</v>
      </c>
      <c r="AD84">
        <f>SUMIF('Как будет'!$A$73:$A$80,Доп.расчеты!$A84,'Как будет'!AE$73:AE$80)</f>
        <v>0</v>
      </c>
      <c r="AE84">
        <f>SUMIF('Как будет'!$A$73:$A$80,Доп.расчеты!$A84,'Как будет'!AF$73:AF$80)</f>
        <v>0</v>
      </c>
      <c r="AF84">
        <f>SUMIF('Как будет'!$A$73:$A$80,Доп.расчеты!$A84,'Как будет'!AG$73:AG$80)</f>
        <v>0</v>
      </c>
      <c r="AG84">
        <f>SUMIF('Как будет'!$A$73:$A$80,Доп.расчеты!$A84,'Как будет'!AH$73:AH$80)</f>
        <v>0</v>
      </c>
      <c r="AH84">
        <f>SUMIF('Как будет'!$A$73:$A$80,Доп.расчеты!$A84,'Как будет'!AI$73:AI$80)</f>
        <v>0</v>
      </c>
      <c r="AI84">
        <f>SUMIF('Как будет'!$A$73:$A$80,Доп.расчеты!$A84,'Как будет'!AJ$73:AJ$80)</f>
        <v>0</v>
      </c>
      <c r="AJ84">
        <f>SUMIF('Как будет'!$A$73:$A$80,Доп.расчеты!$A84,'Как будет'!AK$73:AK$80)</f>
        <v>0</v>
      </c>
      <c r="AK84">
        <f>SUMIF('Как будет'!$A$73:$A$80,Доп.расчеты!$A84,'Как будет'!AL$73:AL$80)</f>
        <v>0</v>
      </c>
      <c r="AL84">
        <f>SUMIF('Как будет'!$A$73:$A$80,Доп.расчеты!$A84,'Как будет'!AM$73:AM$80)</f>
        <v>0</v>
      </c>
      <c r="AM84">
        <f>SUMIF('Как будет'!$A$73:$A$80,Доп.расчеты!$A84,'Как будет'!AN$73:AN$80)</f>
        <v>0</v>
      </c>
      <c r="AN84">
        <f>SUMIF('Как будет'!$A$73:$A$80,Доп.расчеты!$A84,'Как будет'!AO$73:AO$80)</f>
        <v>0</v>
      </c>
      <c r="AO84">
        <f>SUMIF('Как будет'!$A$73:$A$80,Доп.расчеты!$A84,'Как будет'!AP$73:AP$80)</f>
        <v>0</v>
      </c>
      <c r="AP84">
        <f>SUMIF('Как будет'!$A$73:$A$80,Доп.расчеты!$A84,'Как будет'!AQ$73:AQ$80)</f>
        <v>0</v>
      </c>
      <c r="AQ84">
        <f>SUMIF('Как будет'!$A$73:$A$80,Доп.расчеты!$A84,'Как будет'!AR$73:AR$80)</f>
        <v>0</v>
      </c>
      <c r="AR84">
        <f>SUMIF('Как будет'!$A$73:$A$80,Доп.расчеты!$A84,'Как будет'!AS$73:AS$80)</f>
        <v>0</v>
      </c>
      <c r="AS84">
        <f>SUMIF('Как будет'!$A$73:$A$80,Доп.расчеты!$A84,'Как будет'!AT$73:AT$80)</f>
        <v>0</v>
      </c>
      <c r="AT84">
        <f>SUMIF('Как будет'!$A$73:$A$80,Доп.расчеты!$A84,'Как будет'!AU$73:AU$80)</f>
        <v>0</v>
      </c>
      <c r="AU84">
        <f>SUMIF('Как будет'!$A$73:$A$80,Доп.расчеты!$A84,'Как будет'!AV$73:AV$80)</f>
        <v>0</v>
      </c>
      <c r="AV84">
        <f>SUMIF('Как будет'!$A$73:$A$80,Доп.расчеты!$A84,'Как будет'!AW$73:AW$80)</f>
        <v>0</v>
      </c>
      <c r="AW84">
        <f>SUMIF('Как будет'!$A$73:$A$80,Доп.расчеты!$A84,'Как будет'!AX$73:AX$80)</f>
        <v>0</v>
      </c>
      <c r="AX84">
        <f>SUMIF('Как будет'!$A$73:$A$80,Доп.расчеты!$A84,'Как будет'!AY$73:AY$80)</f>
        <v>0</v>
      </c>
      <c r="AY84">
        <f>SUMIF('Как будет'!$A$73:$A$80,Доп.расчеты!$A84,'Как будет'!AZ$73:AZ$80)</f>
        <v>0</v>
      </c>
      <c r="AZ84">
        <f>SUMIF('Как будет'!$A$73:$A$80,Доп.расчеты!$A84,'Как будет'!BA$73:BA$80)</f>
        <v>0</v>
      </c>
      <c r="BA84">
        <f>SUMIF('Как будет'!$A$73:$A$80,Доп.расчеты!$A84,'Как будет'!BB$73:BB$80)</f>
        <v>0</v>
      </c>
      <c r="BB84">
        <f>SUMIF('Как будет'!$A$73:$A$80,Доп.расчеты!$A84,'Как будет'!BC$73:BC$80)</f>
        <v>0</v>
      </c>
      <c r="BC84">
        <f>SUMIF('Как будет'!$A$73:$A$80,Доп.расчеты!$A84,'Как будет'!BD$73:BD$80)</f>
        <v>0</v>
      </c>
      <c r="BD84">
        <f>SUMIF('Как будет'!$A$73:$A$80,Доп.расчеты!$A84,'Как будет'!BE$73:BE$80)</f>
        <v>0</v>
      </c>
      <c r="BE84">
        <f>SUMIF('Как будет'!$A$73:$A$80,Доп.расчеты!$A84,'Как будет'!BF$73:BF$80)</f>
        <v>0</v>
      </c>
      <c r="BF84">
        <f>SUMIF('Как будет'!$A$73:$A$80,Доп.расчеты!$A84,'Как будет'!BG$73:BG$80)</f>
        <v>0</v>
      </c>
      <c r="BG84">
        <f>SUMIF('Как будет'!$A$73:$A$80,Доп.расчеты!$A84,'Как будет'!BH$73:BH$80)</f>
        <v>0</v>
      </c>
      <c r="BH84">
        <f>SUMIF('Как будет'!$A$73:$A$80,Доп.расчеты!$A84,'Как будет'!BI$73:BI$80)</f>
        <v>0</v>
      </c>
      <c r="BI84">
        <f>SUMIF('Как будет'!$A$73:$A$80,Доп.расчеты!$A84,'Как будет'!BJ$73:BJ$80)</f>
        <v>0</v>
      </c>
      <c r="BJ84">
        <f>SUMIF('Как будет'!$A$73:$A$80,Доп.расчеты!$A84,'Как будет'!BK$73:BK$80)</f>
        <v>0</v>
      </c>
      <c r="BK84">
        <f>SUMIF('Как будет'!$A$73:$A$80,Доп.расчеты!$A84,'Как будет'!BL$73:BL$80)</f>
        <v>0</v>
      </c>
      <c r="BL84">
        <f>SUMIF('Как будет'!$A$73:$A$80,Доп.расчеты!$A84,'Как будет'!BM$73:BM$80)</f>
        <v>0</v>
      </c>
      <c r="BM84">
        <f>SUMIF('Как будет'!$A$73:$A$80,Доп.расчеты!$A84,'Как будет'!BN$73:BN$80)</f>
        <v>0</v>
      </c>
      <c r="BN84">
        <f>SUMIF('Как будет'!$A$73:$A$80,Доп.расчеты!$A84,'Как будет'!BO$73:BO$80)</f>
        <v>0</v>
      </c>
      <c r="BO84">
        <f>SUMIF('Как будет'!$A$73:$A$80,Доп.расчеты!$A84,'Как будет'!BP$73:BP$80)</f>
        <v>0</v>
      </c>
      <c r="BP84">
        <f>SUMIF('Как будет'!$A$73:$A$80,Доп.расчеты!$A84,'Как будет'!BQ$73:BQ$80)</f>
        <v>0</v>
      </c>
      <c r="BQ84">
        <f>SUMIF('Как будет'!$A$73:$A$80,Доп.расчеты!$A84,'Как будет'!BR$73:BR$80)</f>
        <v>0</v>
      </c>
      <c r="BR84">
        <f>SUMIF('Как будет'!$A$73:$A$80,Доп.расчеты!$A84,'Как будет'!BS$73:BS$80)</f>
        <v>0</v>
      </c>
      <c r="BS84">
        <f>SUMIF('Как будет'!$A$73:$A$80,Доп.расчеты!$A84,'Как будет'!BT$73:BT$80)</f>
        <v>0</v>
      </c>
      <c r="BT84">
        <f>SUMIF('Как будет'!$A$73:$A$80,Доп.расчеты!$A84,'Как будет'!BU$73:BU$80)</f>
        <v>0</v>
      </c>
      <c r="BU84">
        <f>SUMIF('Как будет'!$A$73:$A$80,Доп.расчеты!$A84,'Как будет'!BV$73:BV$80)</f>
        <v>0</v>
      </c>
      <c r="BV84">
        <f>SUMIF('Как будет'!$A$73:$A$80,Доп.расчеты!$A84,'Как будет'!BW$73:BW$80)</f>
        <v>0</v>
      </c>
      <c r="BW84">
        <f>SUMIF('Как будет'!$A$73:$A$80,Доп.расчеты!$A84,'Как будет'!BX$73:BX$80)</f>
        <v>0</v>
      </c>
      <c r="BX84">
        <f>SUMIF('Как будет'!$A$73:$A$80,Доп.расчеты!$A84,'Как будет'!BY$73:BY$80)</f>
        <v>0</v>
      </c>
      <c r="BY84">
        <f>SUMIF('Как будет'!$A$73:$A$80,Доп.расчеты!$A84,'Как будет'!BZ$73:BZ$80)</f>
        <v>0</v>
      </c>
      <c r="BZ84">
        <f>SUMIF('Как будет'!$A$73:$A$80,Доп.расчеты!$A84,'Как будет'!CA$73:CA$80)</f>
        <v>0</v>
      </c>
      <c r="CA84">
        <f>SUMIF('Как будет'!$A$73:$A$80,Доп.расчеты!$A84,'Как будет'!CB$73:CB$80)</f>
        <v>0</v>
      </c>
      <c r="CB84">
        <f>SUMIF('Как будет'!$A$73:$A$80,Доп.расчеты!$A84,'Как будет'!CC$73:CC$80)</f>
        <v>0</v>
      </c>
      <c r="CC84">
        <f>SUMIF('Как будет'!$A$73:$A$80,Доп.расчеты!$A84,'Как будет'!CD$73:CD$80)</f>
        <v>0</v>
      </c>
      <c r="CD84">
        <f>SUMIF('Как будет'!$A$73:$A$80,Доп.расчеты!$A84,'Как будет'!CE$73:CE$80)</f>
        <v>0</v>
      </c>
      <c r="CE84">
        <f>SUMIF('Как будет'!$A$73:$A$80,Доп.расчеты!$A84,'Как будет'!CF$73:CF$80)</f>
        <v>0</v>
      </c>
      <c r="CF84">
        <f>SUMIF('Как будет'!$A$73:$A$80,Доп.расчеты!$A84,'Как будет'!CG$73:CG$80)</f>
        <v>0</v>
      </c>
      <c r="CG84">
        <f>SUMIF('Как будет'!$A$73:$A$80,Доп.расчеты!$A84,'Как будет'!CH$73:CH$80)</f>
        <v>0</v>
      </c>
      <c r="CH84">
        <f>SUMIF('Как будет'!$A$73:$A$80,Доп.расчеты!$A84,'Как будет'!CI$73:CI$80)</f>
        <v>0</v>
      </c>
      <c r="CI84">
        <f>SUMIF('Как будет'!$A$73:$A$80,Доп.расчеты!$A84,'Как будет'!CJ$73:CJ$80)</f>
        <v>0</v>
      </c>
      <c r="CJ84">
        <f>SUMIF('Как будет'!$A$73:$A$80,Доп.расчеты!$A84,'Как будет'!CK$73:CK$80)</f>
        <v>0</v>
      </c>
      <c r="CK84">
        <f>SUMIF('Как будет'!$A$73:$A$80,Доп.расчеты!$A84,'Как будет'!CL$73:CL$80)</f>
        <v>0</v>
      </c>
      <c r="CL84">
        <f>SUMIF('Как будет'!$A$73:$A$80,Доп.расчеты!$A84,'Как будет'!CM$73:CM$80)</f>
        <v>0</v>
      </c>
      <c r="CM84">
        <f>SUMIF('Как будет'!$A$73:$A$80,Доп.расчеты!$A84,'Как будет'!CN$73:CN$80)</f>
        <v>0</v>
      </c>
      <c r="CN84">
        <f>SUMIF('Как будет'!$A$73:$A$80,Доп.расчеты!$A84,'Как будет'!CO$73:CO$80)</f>
        <v>0</v>
      </c>
      <c r="CO84">
        <f>SUMIF('Как будет'!$A$73:$A$80,Доп.расчеты!$A84,'Как будет'!CP$73:CP$80)</f>
        <v>0</v>
      </c>
      <c r="CP84">
        <f>SUMIF('Как будет'!$A$73:$A$80,Доп.расчеты!$A84,'Как будет'!CQ$73:CQ$80)</f>
        <v>0</v>
      </c>
      <c r="CQ84">
        <f>SUMIF('Как будет'!$A$73:$A$80,Доп.расчеты!$A84,'Как будет'!CR$73:CR$80)</f>
        <v>0</v>
      </c>
      <c r="CR84">
        <f>SUMIF('Как будет'!$A$73:$A$80,Доп.расчеты!$A84,'Как будет'!CS$73:CS$80)</f>
        <v>0</v>
      </c>
      <c r="CS84">
        <f>SUMIF('Как будет'!$A$73:$A$80,Доп.расчеты!$A84,'Как будет'!CT$73:CT$80)</f>
        <v>0</v>
      </c>
      <c r="CT84">
        <f>SUMIF('Как будет'!$A$73:$A$80,Доп.расчеты!$A84,'Как будет'!CU$73:CU$80)</f>
        <v>0</v>
      </c>
      <c r="CU84">
        <f>SUMIF('Как будет'!$A$73:$A$80,Доп.расчеты!$A84,'Как будет'!CV$73:CV$80)</f>
        <v>0</v>
      </c>
      <c r="CV84">
        <f>SUMIF('Как будет'!$A$73:$A$80,Доп.расчеты!$A84,'Как будет'!CW$73:CW$80)</f>
        <v>0</v>
      </c>
      <c r="CW84">
        <f>SUMIF('Как будет'!$A$73:$A$80,Доп.расчеты!$A84,'Как будет'!CX$73:CX$80)</f>
        <v>0</v>
      </c>
      <c r="CX84">
        <f>SUMIF('Как будет'!$A$73:$A$80,Доп.расчеты!$A84,'Как будет'!CY$73:CY$80)</f>
        <v>0</v>
      </c>
      <c r="CY84">
        <f>SUMIF('Как будет'!$A$73:$A$80,Доп.расчеты!$A84,'Как будет'!CZ$73:CZ$80)</f>
        <v>0</v>
      </c>
      <c r="CZ84">
        <f>SUMIF('Как будет'!$A$73:$A$80,Доп.расчеты!$A84,'Как будет'!DA$73:DA$80)</f>
        <v>0</v>
      </c>
      <c r="DA84">
        <f>SUMIF('Как будет'!$A$73:$A$80,Доп.расчеты!$A84,'Как будет'!DB$73:DB$80)</f>
        <v>0</v>
      </c>
      <c r="DB84">
        <f>SUMIF('Как будет'!$A$73:$A$80,Доп.расчеты!$A84,'Как будет'!DC$73:DC$80)</f>
        <v>0</v>
      </c>
      <c r="DC84">
        <f>SUMIF('Как будет'!$A$73:$A$80,Доп.расчеты!$A84,'Как будет'!DD$73:DD$80)</f>
        <v>0</v>
      </c>
      <c r="DD84">
        <f>SUMIF('Как будет'!$A$73:$A$80,Доп.расчеты!$A84,'Как будет'!DE$73:DE$80)</f>
        <v>0</v>
      </c>
      <c r="DE84">
        <f>SUMIF('Как будет'!$A$73:$A$80,Доп.расчеты!$A84,'Как будет'!DF$73:DF$80)</f>
        <v>0</v>
      </c>
      <c r="DF84">
        <f>SUMIF('Как будет'!$A$73:$A$80,Доп.расчеты!$A84,'Как будет'!DG$73:DG$80)</f>
        <v>0</v>
      </c>
      <c r="DG84">
        <f>SUMIF('Как будет'!$A$73:$A$80,Доп.расчеты!$A84,'Как будет'!DH$73:DH$80)</f>
        <v>0</v>
      </c>
      <c r="DH84">
        <f>SUMIF('Как будет'!$A$73:$A$80,Доп.расчеты!$A84,'Как будет'!DI$73:DI$80)</f>
        <v>0</v>
      </c>
      <c r="DI84">
        <f>SUMIF('Как будет'!$A$73:$A$80,Доп.расчеты!$A84,'Как будет'!DJ$73:DJ$80)</f>
        <v>0</v>
      </c>
      <c r="DJ84">
        <f>SUMIF('Как будет'!$A$73:$A$80,Доп.расчеты!$A84,'Как будет'!DK$73:DK$80)</f>
        <v>0</v>
      </c>
      <c r="DK84">
        <f>SUMIF('Как будет'!$A$73:$A$80,Доп.расчеты!$A84,'Как будет'!DL$73:DL$80)</f>
        <v>0</v>
      </c>
      <c r="DL84">
        <f>SUMIF('Как будет'!$A$73:$A$80,Доп.расчеты!$A84,'Как будет'!DM$73:DM$80)</f>
        <v>0</v>
      </c>
      <c r="DM84">
        <f>SUMIF('Как будет'!$A$73:$A$80,Доп.расчеты!$A84,'Как будет'!DN$73:DN$80)</f>
        <v>0</v>
      </c>
      <c r="DN84">
        <f>SUMIF('Как будет'!$A$73:$A$80,Доп.расчеты!$A84,'Как будет'!DO$73:DO$80)</f>
        <v>0</v>
      </c>
      <c r="DO84">
        <f>SUMIF('Как будет'!$A$73:$A$80,Доп.расчеты!$A84,'Как будет'!DP$73:DP$80)</f>
        <v>0</v>
      </c>
      <c r="DP84">
        <f>SUMIF('Как будет'!$A$73:$A$80,Доп.расчеты!$A84,'Как будет'!DQ$73:DQ$80)</f>
        <v>0</v>
      </c>
      <c r="DQ84">
        <f>SUMIF('Как будет'!$A$73:$A$80,Доп.расчеты!$A84,'Как будет'!DR$73:DR$80)</f>
        <v>0</v>
      </c>
      <c r="DR84">
        <f>SUMIF('Как будет'!$A$73:$A$80,Доп.расчеты!$A84,'Как будет'!DS$73:DS$80)</f>
        <v>0</v>
      </c>
      <c r="DS84">
        <f>SUMIF('Как будет'!$A$73:$A$80,Доп.расчеты!$A84,'Как будет'!DT$73:DT$80)</f>
        <v>0</v>
      </c>
      <c r="DT84">
        <f>SUMIF('Как будет'!$A$73:$A$80,Доп.расчеты!$A84,'Как будет'!DU$73:DU$80)</f>
        <v>0</v>
      </c>
      <c r="DU84">
        <f>SUMIF('Как будет'!$A$73:$A$80,Доп.расчеты!$A84,'Как будет'!DV$73:DV$80)</f>
        <v>0</v>
      </c>
      <c r="DV84">
        <f>SUMIF('Как будет'!$A$73:$A$80,Доп.расчеты!$A84,'Как будет'!DW$73:DW$80)</f>
        <v>0</v>
      </c>
      <c r="DW84">
        <f>SUMIF('Как будет'!$A$73:$A$80,Доп.расчеты!$A84,'Как будет'!DX$73:DX$80)</f>
        <v>0</v>
      </c>
      <c r="DX84">
        <f>SUMIF('Как будет'!$A$73:$A$80,Доп.расчеты!$A84,'Как будет'!DY$73:DY$80)</f>
        <v>0</v>
      </c>
      <c r="DY84">
        <f>SUMIF('Как будет'!$A$73:$A$80,Доп.расчеты!$A84,'Как будет'!DZ$73:DZ$80)</f>
        <v>0</v>
      </c>
      <c r="DZ84">
        <f>SUMIF('Как будет'!$A$73:$A$80,Доп.расчеты!$A84,'Как будет'!EA$73:EA$80)</f>
        <v>0</v>
      </c>
      <c r="EA84">
        <f>SUMIF('Как будет'!$A$73:$A$80,Доп.расчеты!$A84,'Как будет'!EB$73:EB$80)</f>
        <v>0</v>
      </c>
      <c r="EB84">
        <f>SUMIF('Как будет'!$A$73:$A$80,Доп.расчеты!$A84,'Как будет'!EC$73:EC$80)</f>
        <v>0</v>
      </c>
      <c r="EC84">
        <f>SUMIF('Как будет'!$A$73:$A$80,Доп.расчеты!$A84,'Как будет'!ED$73:ED$80)</f>
        <v>0</v>
      </c>
      <c r="ED84">
        <f>SUMIF('Как будет'!$A$73:$A$80,Доп.расчеты!$A84,'Как будет'!EE$73:EE$80)</f>
        <v>0</v>
      </c>
      <c r="EE84">
        <f>SUMIF('Как будет'!$A$73:$A$80,Доп.расчеты!$A84,'Как будет'!EF$73:EF$80)</f>
        <v>0</v>
      </c>
      <c r="EF84">
        <f>SUMIF('Как будет'!$A$73:$A$80,Доп.расчеты!$A84,'Как будет'!EG$73:EG$80)</f>
        <v>0</v>
      </c>
      <c r="EG84">
        <f>SUMIF('Как будет'!$A$73:$A$80,Доп.расчеты!$A84,'Как будет'!EH$73:EH$80)</f>
        <v>0</v>
      </c>
      <c r="EH84">
        <f>SUMIF('Как будет'!$A$73:$A$80,Доп.расчеты!$A84,'Как будет'!EI$73:EI$80)</f>
        <v>0</v>
      </c>
      <c r="EI84">
        <f>SUMIF('Как будет'!$A$73:$A$80,Доп.расчеты!$A84,'Как будет'!EJ$73:EJ$80)</f>
        <v>0</v>
      </c>
      <c r="EJ84">
        <f>SUMIF('Как будет'!$A$73:$A$80,Доп.расчеты!$A84,'Как будет'!EK$73:EK$80)</f>
        <v>0</v>
      </c>
      <c r="EK84">
        <f>SUMIF('Как будет'!$A$73:$A$80,Доп.расчеты!$A84,'Как будет'!EL$73:EL$80)</f>
        <v>0</v>
      </c>
      <c r="EL84">
        <f>SUMIF('Как будет'!$A$73:$A$80,Доп.расчеты!$A84,'Как будет'!EM$73:EM$80)</f>
        <v>0</v>
      </c>
      <c r="EM84">
        <f>SUMIF('Как будет'!$A$73:$A$80,Доп.расчеты!$A84,'Как будет'!EN$73:EN$80)</f>
        <v>0</v>
      </c>
      <c r="EN84">
        <f>SUMIF('Как будет'!$A$73:$A$80,Доп.расчеты!$A84,'Как будет'!EO$73:EO$80)</f>
        <v>0</v>
      </c>
      <c r="EO84">
        <f>SUMIF('Как будет'!$A$73:$A$80,Доп.расчеты!$A84,'Как будет'!EP$73:EP$80)</f>
        <v>0</v>
      </c>
      <c r="EP84">
        <f>SUMIF('Как будет'!$A$73:$A$80,Доп.расчеты!$A84,'Как будет'!EQ$73:EQ$80)</f>
        <v>0</v>
      </c>
      <c r="EQ84">
        <f>SUMIF('Как будет'!$A$73:$A$80,Доп.расчеты!$A84,'Как будет'!ER$73:ER$80)</f>
        <v>0</v>
      </c>
      <c r="ER84">
        <f>SUMIF('Как будет'!$A$73:$A$80,Доп.расчеты!$A84,'Как будет'!ES$73:ES$80)</f>
        <v>0</v>
      </c>
      <c r="ES84">
        <f>SUMIF('Как будет'!$A$73:$A$80,Доп.расчеты!$A84,'Как будет'!ET$73:ET$80)</f>
        <v>0</v>
      </c>
      <c r="ET84">
        <f>SUMIF('Как будет'!$A$73:$A$80,Доп.расчеты!$A84,'Как будет'!EU$73:EU$80)</f>
        <v>0</v>
      </c>
      <c r="EU84">
        <f>SUMIF('Как будет'!$A$73:$A$80,Доп.расчеты!$A84,'Как будет'!EV$73:EV$80)</f>
        <v>0</v>
      </c>
      <c r="EV84">
        <f>SUMIF('Как будет'!$A$73:$A$80,Доп.расчеты!$A84,'Как будет'!EW$73:EW$80)</f>
        <v>0</v>
      </c>
      <c r="EW84">
        <f>SUMIF('Как будет'!$A$73:$A$80,Доп.расчеты!$A84,'Как будет'!EX$73:EX$80)</f>
        <v>0</v>
      </c>
      <c r="EX84">
        <f>SUMIF('Как будет'!$A$73:$A$80,Доп.расчеты!$A84,'Как будет'!EY$73:EY$80)</f>
        <v>0</v>
      </c>
      <c r="EY84">
        <f>SUMIF('Как будет'!$A$73:$A$80,Доп.расчеты!$A84,'Как будет'!EZ$73:EZ$80)</f>
        <v>0</v>
      </c>
      <c r="EZ84">
        <f>SUMIF('Как будет'!$A$73:$A$80,Доп.расчеты!$A84,'Как будет'!FA$73:FA$80)</f>
        <v>0</v>
      </c>
      <c r="FA84">
        <f>SUMIF('Как будет'!$A$73:$A$80,Доп.расчеты!$A84,'Как будет'!FB$73:FB$80)</f>
        <v>0</v>
      </c>
      <c r="FB84">
        <f>SUMIF('Как будет'!$A$73:$A$80,Доп.расчеты!$A84,'Как будет'!FC$73:FC$80)</f>
        <v>0</v>
      </c>
      <c r="FC84">
        <f>SUMIF('Как будет'!$A$73:$A$80,Доп.расчеты!$A84,'Как будет'!FD$73:FD$80)</f>
        <v>0</v>
      </c>
      <c r="FD84">
        <f>SUMIF('Как будет'!$A$73:$A$80,Доп.расчеты!$A84,'Как будет'!FE$73:FE$80)</f>
        <v>0</v>
      </c>
      <c r="FE84">
        <f>SUMIF('Как будет'!$A$73:$A$80,Доп.расчеты!$A84,'Как будет'!FF$73:FF$80)</f>
        <v>0</v>
      </c>
      <c r="FF84">
        <f>SUMIF('Как будет'!$A$73:$A$80,Доп.расчеты!$A84,'Как будет'!FG$73:FG$80)</f>
        <v>0</v>
      </c>
      <c r="FG84">
        <f>SUMIF('Как будет'!$A$73:$A$80,Доп.расчеты!$A84,'Как будет'!FH$73:FH$80)</f>
        <v>0</v>
      </c>
      <c r="FH84">
        <f>SUMIF('Как будет'!$A$73:$A$80,Доп.расчеты!$A84,'Как будет'!FI$73:FI$80)</f>
        <v>0</v>
      </c>
      <c r="FI84">
        <f>SUMIF('Как будет'!$A$73:$A$80,Доп.расчеты!$A84,'Как будет'!FJ$73:FJ$80)</f>
        <v>0</v>
      </c>
      <c r="FJ84">
        <f>SUMIF('Как будет'!$A$73:$A$80,Доп.расчеты!$A84,'Как будет'!FK$73:FK$80)</f>
        <v>0</v>
      </c>
      <c r="FK84">
        <f>SUMIF('Как будет'!$A$73:$A$80,Доп.расчеты!$A84,'Как будет'!FL$73:FL$80)</f>
        <v>0</v>
      </c>
      <c r="FL84">
        <f>SUMIF('Как будет'!$A$73:$A$80,Доп.расчеты!$A84,'Как будет'!FM$73:FM$80)</f>
        <v>0</v>
      </c>
      <c r="FM84">
        <f>SUMIF('Как будет'!$A$73:$A$80,Доп.расчеты!$A84,'Как будет'!FN$73:FN$80)</f>
        <v>0</v>
      </c>
      <c r="FN84">
        <f>SUMIF('Как будет'!$A$73:$A$80,Доп.расчеты!$A84,'Как будет'!FO$73:FO$80)</f>
        <v>0</v>
      </c>
      <c r="FO84">
        <f>SUMIF('Как будет'!$A$73:$A$80,Доп.расчеты!$A84,'Как будет'!FP$73:FP$80)</f>
        <v>0</v>
      </c>
      <c r="FP84">
        <f>SUMIF('Как будет'!$A$73:$A$80,Доп.расчеты!$A84,'Как будет'!FQ$73:FQ$80)</f>
        <v>0</v>
      </c>
      <c r="FQ84">
        <f>SUMIF('Как будет'!$A$73:$A$80,Доп.расчеты!$A84,'Как будет'!FR$73:FR$80)</f>
        <v>0</v>
      </c>
      <c r="FR84">
        <f>SUMIF('Как будет'!$A$73:$A$80,Доп.расчеты!$A84,'Как будет'!FS$73:FS$80)</f>
        <v>0</v>
      </c>
      <c r="FS84">
        <f>SUMIF('Как будет'!$A$73:$A$80,Доп.расчеты!$A84,'Как будет'!FT$73:FT$80)</f>
        <v>0</v>
      </c>
      <c r="FT84">
        <f>SUMIF('Как будет'!$A$73:$A$80,Доп.расчеты!$A84,'Как будет'!FU$73:FU$80)</f>
        <v>0</v>
      </c>
      <c r="FU84">
        <f>SUMIF('Как будет'!$A$73:$A$80,Доп.расчеты!$A84,'Как будет'!FV$73:FV$80)</f>
        <v>0</v>
      </c>
      <c r="FV84">
        <f>SUMIF('Как будет'!$A$73:$A$80,Доп.расчеты!$A84,'Как будет'!FW$73:FW$80)</f>
        <v>0</v>
      </c>
      <c r="FW84">
        <f>SUMIF('Как будет'!$A$73:$A$80,Доп.расчеты!$A84,'Как будет'!FX$73:FX$80)</f>
        <v>0</v>
      </c>
      <c r="FX84">
        <f>SUMIF('Как будет'!$A$73:$A$80,Доп.расчеты!$A84,'Как будет'!FY$73:FY$80)</f>
        <v>0</v>
      </c>
      <c r="FY84">
        <f>SUMIF('Как будет'!$A$73:$A$80,Доп.расчеты!$A84,'Как будет'!FZ$73:FZ$80)</f>
        <v>0</v>
      </c>
      <c r="FZ84">
        <f>SUMIF('Как будет'!$A$73:$A$80,Доп.расчеты!$A84,'Как будет'!GA$73:GA$80)</f>
        <v>0</v>
      </c>
      <c r="GA84">
        <f>SUMIF('Как будет'!$A$73:$A$80,Доп.расчеты!$A84,'Как будет'!GB$73:GB$80)</f>
        <v>0</v>
      </c>
      <c r="GB84">
        <f>SUMIF('Как будет'!$A$73:$A$80,Доп.расчеты!$A84,'Как будет'!GC$73:GC$80)</f>
        <v>0</v>
      </c>
      <c r="GC84">
        <f>SUMIF('Как будет'!$A$73:$A$80,Доп.расчеты!$A84,'Как будет'!GD$73:GD$80)</f>
        <v>0</v>
      </c>
      <c r="GD84">
        <f>SUMIF('Как будет'!$A$73:$A$80,Доп.расчеты!$A84,'Как будет'!GE$73:GE$80)</f>
        <v>0</v>
      </c>
      <c r="GE84">
        <f>SUMIF('Как будет'!$A$73:$A$80,Доп.расчеты!$A84,'Как будет'!GF$73:GF$80)</f>
        <v>0</v>
      </c>
      <c r="GF84">
        <f>SUMIF('Как будет'!$A$73:$A$80,Доп.расчеты!$A84,'Как будет'!GG$73:GG$80)</f>
        <v>0</v>
      </c>
      <c r="GG84">
        <f>SUMIF('Как будет'!$A$73:$A$80,Доп.расчеты!$A84,'Как будет'!GH$73:GH$80)</f>
        <v>0</v>
      </c>
      <c r="GH84">
        <f>SUMIF('Как будет'!$A$73:$A$80,Доп.расчеты!$A84,'Как будет'!GI$73:GI$80)</f>
        <v>0</v>
      </c>
      <c r="GI84">
        <f>SUMIF('Как будет'!$A$73:$A$80,Доп.расчеты!$A84,'Как будет'!GJ$73:GJ$80)</f>
        <v>0</v>
      </c>
      <c r="GJ84">
        <f>SUMIF('Как будет'!$A$73:$A$80,Доп.расчеты!$A84,'Как будет'!GK$73:GK$80)</f>
        <v>0</v>
      </c>
      <c r="GK84">
        <f>SUMIF('Как будет'!$A$73:$A$80,Доп.расчеты!$A84,'Как будет'!GL$73:GL$80)</f>
        <v>0</v>
      </c>
      <c r="GL84">
        <f>SUMIF('Как будет'!$A$73:$A$80,Доп.расчеты!$A84,'Как будет'!GM$73:GM$80)</f>
        <v>0</v>
      </c>
      <c r="GM84">
        <f>SUMIF('Как будет'!$A$73:$A$80,Доп.расчеты!$A84,'Как будет'!GN$73:GN$80)</f>
        <v>0</v>
      </c>
      <c r="GN84">
        <f>SUMIF('Как будет'!$A$73:$A$80,Доп.расчеты!$A84,'Как будет'!GO$73:GO$80)</f>
        <v>0</v>
      </c>
      <c r="GO84">
        <f>SUMIF('Как будет'!$A$73:$A$80,Доп.расчеты!$A84,'Как будет'!GP$73:GP$80)</f>
        <v>0</v>
      </c>
      <c r="GP84">
        <f>SUMIF('Как будет'!$A$73:$A$80,Доп.расчеты!$A84,'Как будет'!GQ$73:GQ$80)</f>
        <v>0</v>
      </c>
      <c r="GQ84">
        <f>SUMIF('Как будет'!$A$73:$A$80,Доп.расчеты!$A84,'Как будет'!GR$73:GR$80)</f>
        <v>0</v>
      </c>
      <c r="GR84">
        <f>SUMIF('Как будет'!$A$73:$A$80,Доп.расчеты!$A84,'Как будет'!GS$73:GS$80)</f>
        <v>0</v>
      </c>
      <c r="GS84">
        <f>SUMIF('Как будет'!$A$73:$A$80,Доп.расчеты!$A84,'Как будет'!GT$73:GT$80)</f>
        <v>0</v>
      </c>
      <c r="GT84">
        <f>SUMIF('Как будет'!$A$73:$A$80,Доп.расчеты!$A84,'Как будет'!GU$73:GU$80)</f>
        <v>0</v>
      </c>
    </row>
    <row r="85" spans="1:202">
      <c r="A85" s="237" t="s">
        <v>93</v>
      </c>
      <c r="B85">
        <f>SUMIF('Как будет'!$A$73:$A$80,Доп.расчеты!$A85,'Как будет'!C$73:C$80)</f>
        <v>0</v>
      </c>
      <c r="C85">
        <f>SUMIF('Как будет'!$A$73:$A$80,Доп.расчеты!$A85,'Как будет'!D$73:D$80)</f>
        <v>0</v>
      </c>
      <c r="D85">
        <f>SUMIF('Как будет'!$A$73:$A$80,Доп.расчеты!$A85,'Как будет'!E$73:E$80)</f>
        <v>0</v>
      </c>
      <c r="E85">
        <f>SUMIF('Как будет'!$A$73:$A$80,Доп.расчеты!$A85,'Как будет'!F$73:F$80)</f>
        <v>0</v>
      </c>
      <c r="F85">
        <f>SUMIF('Как будет'!$A$73:$A$80,Доп.расчеты!$A85,'Как будет'!G$73:G$80)</f>
        <v>0</v>
      </c>
      <c r="G85">
        <f>SUMIF('Как будет'!$A$73:$A$80,Доп.расчеты!$A85,'Как будет'!H$73:H$80)</f>
        <v>0</v>
      </c>
      <c r="H85">
        <f>SUMIF('Как будет'!$A$73:$A$80,Доп.расчеты!$A85,'Как будет'!I$73:I$80)</f>
        <v>0</v>
      </c>
      <c r="I85">
        <f>SUMIF('Как будет'!$A$73:$A$80,Доп.расчеты!$A85,'Как будет'!J$73:J$80)</f>
        <v>0</v>
      </c>
      <c r="J85">
        <f>SUMIF('Как будет'!$A$73:$A$80,Доп.расчеты!$A85,'Как будет'!K$73:K$80)</f>
        <v>0</v>
      </c>
      <c r="K85">
        <f>SUMIF('Как будет'!$A$73:$A$80,Доп.расчеты!$A85,'Как будет'!L$73:L$80)</f>
        <v>0</v>
      </c>
      <c r="L85">
        <f>SUMIF('Как будет'!$A$73:$A$80,Доп.расчеты!$A85,'Как будет'!M$73:M$80)</f>
        <v>0</v>
      </c>
      <c r="M85">
        <f>SUMIF('Как будет'!$A$73:$A$80,Доп.расчеты!$A85,'Как будет'!N$73:N$80)</f>
        <v>0</v>
      </c>
      <c r="N85">
        <f>SUMIF('Как будет'!$A$73:$A$80,Доп.расчеты!$A85,'Как будет'!O$73:O$80)</f>
        <v>0</v>
      </c>
      <c r="O85">
        <f>SUMIF('Как будет'!$A$73:$A$80,Доп.расчеты!$A85,'Как будет'!P$73:P$80)</f>
        <v>0</v>
      </c>
      <c r="P85">
        <f>SUMIF('Как будет'!$A$73:$A$80,Доп.расчеты!$A85,'Как будет'!Q$73:Q$80)</f>
        <v>0</v>
      </c>
      <c r="Q85">
        <f>SUMIF('Как будет'!$A$73:$A$80,Доп.расчеты!$A85,'Как будет'!R$73:R$80)</f>
        <v>0</v>
      </c>
      <c r="R85">
        <f>SUMIF('Как будет'!$A$73:$A$80,Доп.расчеты!$A85,'Как будет'!S$73:S$80)</f>
        <v>0</v>
      </c>
      <c r="S85">
        <f>SUMIF('Как будет'!$A$73:$A$80,Доп.расчеты!$A85,'Как будет'!T$73:T$80)</f>
        <v>0</v>
      </c>
      <c r="T85">
        <f>SUMIF('Как будет'!$A$73:$A$80,Доп.расчеты!$A85,'Как будет'!U$73:U$80)</f>
        <v>0</v>
      </c>
      <c r="U85">
        <f>SUMIF('Как будет'!$A$73:$A$80,Доп.расчеты!$A85,'Как будет'!V$73:V$80)</f>
        <v>0</v>
      </c>
      <c r="V85">
        <f>SUMIF('Как будет'!$A$73:$A$80,Доп.расчеты!$A85,'Как будет'!W$73:W$80)</f>
        <v>0</v>
      </c>
      <c r="W85">
        <f>SUMIF('Как будет'!$A$73:$A$80,Доп.расчеты!$A85,'Как будет'!X$73:X$80)</f>
        <v>0</v>
      </c>
      <c r="X85">
        <f>SUMIF('Как будет'!$A$73:$A$80,Доп.расчеты!$A85,'Как будет'!Y$73:Y$80)</f>
        <v>0</v>
      </c>
      <c r="Y85">
        <f>SUMIF('Как будет'!$A$73:$A$80,Доп.расчеты!$A85,'Как будет'!Z$73:Z$80)</f>
        <v>0</v>
      </c>
      <c r="Z85">
        <f>SUMIF('Как будет'!$A$73:$A$80,Доп.расчеты!$A85,'Как будет'!AA$73:AA$80)</f>
        <v>0</v>
      </c>
      <c r="AA85">
        <f>SUMIF('Как будет'!$A$73:$A$80,Доп.расчеты!$A85,'Как будет'!AB$73:AB$80)</f>
        <v>0</v>
      </c>
      <c r="AB85">
        <f>SUMIF('Как будет'!$A$73:$A$80,Доп.расчеты!$A85,'Как будет'!AC$73:AC$80)</f>
        <v>0</v>
      </c>
      <c r="AC85">
        <f>SUMIF('Как будет'!$A$73:$A$80,Доп.расчеты!$A85,'Как будет'!AD$73:AD$80)</f>
        <v>0</v>
      </c>
      <c r="AD85">
        <f>SUMIF('Как будет'!$A$73:$A$80,Доп.расчеты!$A85,'Как будет'!AE$73:AE$80)</f>
        <v>0</v>
      </c>
      <c r="AE85">
        <f>SUMIF('Как будет'!$A$73:$A$80,Доп.расчеты!$A85,'Как будет'!AF$73:AF$80)</f>
        <v>0</v>
      </c>
      <c r="AF85">
        <f>SUMIF('Как будет'!$A$73:$A$80,Доп.расчеты!$A85,'Как будет'!AG$73:AG$80)</f>
        <v>0</v>
      </c>
      <c r="AG85">
        <f>SUMIF('Как будет'!$A$73:$A$80,Доп.расчеты!$A85,'Как будет'!AH$73:AH$80)</f>
        <v>0</v>
      </c>
      <c r="AH85">
        <f>SUMIF('Как будет'!$A$73:$A$80,Доп.расчеты!$A85,'Как будет'!AI$73:AI$80)</f>
        <v>0</v>
      </c>
      <c r="AI85">
        <f>SUMIF('Как будет'!$A$73:$A$80,Доп.расчеты!$A85,'Как будет'!AJ$73:AJ$80)</f>
        <v>0</v>
      </c>
      <c r="AJ85">
        <f>SUMIF('Как будет'!$A$73:$A$80,Доп.расчеты!$A85,'Как будет'!AK$73:AK$80)</f>
        <v>0</v>
      </c>
      <c r="AK85">
        <f>SUMIF('Как будет'!$A$73:$A$80,Доп.расчеты!$A85,'Как будет'!AL$73:AL$80)</f>
        <v>0</v>
      </c>
      <c r="AL85">
        <f>SUMIF('Как будет'!$A$73:$A$80,Доп.расчеты!$A85,'Как будет'!AM$73:AM$80)</f>
        <v>0</v>
      </c>
      <c r="AM85">
        <f>SUMIF('Как будет'!$A$73:$A$80,Доп.расчеты!$A85,'Как будет'!AN$73:AN$80)</f>
        <v>0</v>
      </c>
      <c r="AN85">
        <f>SUMIF('Как будет'!$A$73:$A$80,Доп.расчеты!$A85,'Как будет'!AO$73:AO$80)</f>
        <v>0</v>
      </c>
      <c r="AO85">
        <f>SUMIF('Как будет'!$A$73:$A$80,Доп.расчеты!$A85,'Как будет'!AP$73:AP$80)</f>
        <v>0</v>
      </c>
      <c r="AP85">
        <f>SUMIF('Как будет'!$A$73:$A$80,Доп.расчеты!$A85,'Как будет'!AQ$73:AQ$80)</f>
        <v>0</v>
      </c>
      <c r="AQ85">
        <f>SUMIF('Как будет'!$A$73:$A$80,Доп.расчеты!$A85,'Как будет'!AR$73:AR$80)</f>
        <v>0</v>
      </c>
      <c r="AR85">
        <f>SUMIF('Как будет'!$A$73:$A$80,Доп.расчеты!$A85,'Как будет'!AS$73:AS$80)</f>
        <v>0</v>
      </c>
      <c r="AS85">
        <f>SUMIF('Как будет'!$A$73:$A$80,Доп.расчеты!$A85,'Как будет'!AT$73:AT$80)</f>
        <v>0</v>
      </c>
      <c r="AT85">
        <f>SUMIF('Как будет'!$A$73:$A$80,Доп.расчеты!$A85,'Как будет'!AU$73:AU$80)</f>
        <v>0</v>
      </c>
      <c r="AU85">
        <f>SUMIF('Как будет'!$A$73:$A$80,Доп.расчеты!$A85,'Как будет'!AV$73:AV$80)</f>
        <v>0</v>
      </c>
      <c r="AV85">
        <f>SUMIF('Как будет'!$A$73:$A$80,Доп.расчеты!$A85,'Как будет'!AW$73:AW$80)</f>
        <v>0</v>
      </c>
      <c r="AW85">
        <f>SUMIF('Как будет'!$A$73:$A$80,Доп.расчеты!$A85,'Как будет'!AX$73:AX$80)</f>
        <v>0</v>
      </c>
      <c r="AX85">
        <f>SUMIF('Как будет'!$A$73:$A$80,Доп.расчеты!$A85,'Как будет'!AY$73:AY$80)</f>
        <v>0</v>
      </c>
      <c r="AY85">
        <f>SUMIF('Как будет'!$A$73:$A$80,Доп.расчеты!$A85,'Как будет'!AZ$73:AZ$80)</f>
        <v>0</v>
      </c>
      <c r="AZ85">
        <f>SUMIF('Как будет'!$A$73:$A$80,Доп.расчеты!$A85,'Как будет'!BA$73:BA$80)</f>
        <v>0</v>
      </c>
      <c r="BA85">
        <f>SUMIF('Как будет'!$A$73:$A$80,Доп.расчеты!$A85,'Как будет'!BB$73:BB$80)</f>
        <v>0</v>
      </c>
      <c r="BB85">
        <f>SUMIF('Как будет'!$A$73:$A$80,Доп.расчеты!$A85,'Как будет'!BC$73:BC$80)</f>
        <v>0</v>
      </c>
      <c r="BC85">
        <f>SUMIF('Как будет'!$A$73:$A$80,Доп.расчеты!$A85,'Как будет'!BD$73:BD$80)</f>
        <v>0</v>
      </c>
      <c r="BD85">
        <f>SUMIF('Как будет'!$A$73:$A$80,Доп.расчеты!$A85,'Как будет'!BE$73:BE$80)</f>
        <v>0</v>
      </c>
      <c r="BE85">
        <f>SUMIF('Как будет'!$A$73:$A$80,Доп.расчеты!$A85,'Как будет'!BF$73:BF$80)</f>
        <v>0</v>
      </c>
      <c r="BF85">
        <f>SUMIF('Как будет'!$A$73:$A$80,Доп.расчеты!$A85,'Как будет'!BG$73:BG$80)</f>
        <v>0</v>
      </c>
      <c r="BG85">
        <f>SUMIF('Как будет'!$A$73:$A$80,Доп.расчеты!$A85,'Как будет'!BH$73:BH$80)</f>
        <v>0</v>
      </c>
      <c r="BH85">
        <f>SUMIF('Как будет'!$A$73:$A$80,Доп.расчеты!$A85,'Как будет'!BI$73:BI$80)</f>
        <v>0</v>
      </c>
      <c r="BI85">
        <f>SUMIF('Как будет'!$A$73:$A$80,Доп.расчеты!$A85,'Как будет'!BJ$73:BJ$80)</f>
        <v>0</v>
      </c>
      <c r="BJ85">
        <f>SUMIF('Как будет'!$A$73:$A$80,Доп.расчеты!$A85,'Как будет'!BK$73:BK$80)</f>
        <v>0</v>
      </c>
      <c r="BK85">
        <f>SUMIF('Как будет'!$A$73:$A$80,Доп.расчеты!$A85,'Как будет'!BL$73:BL$80)</f>
        <v>0</v>
      </c>
      <c r="BL85">
        <f>SUMIF('Как будет'!$A$73:$A$80,Доп.расчеты!$A85,'Как будет'!BM$73:BM$80)</f>
        <v>0</v>
      </c>
      <c r="BM85">
        <f>SUMIF('Как будет'!$A$73:$A$80,Доп.расчеты!$A85,'Как будет'!BN$73:BN$80)</f>
        <v>0</v>
      </c>
      <c r="BN85">
        <f>SUMIF('Как будет'!$A$73:$A$80,Доп.расчеты!$A85,'Как будет'!BO$73:BO$80)</f>
        <v>0</v>
      </c>
      <c r="BO85">
        <f>SUMIF('Как будет'!$A$73:$A$80,Доп.расчеты!$A85,'Как будет'!BP$73:BP$80)</f>
        <v>0</v>
      </c>
      <c r="BP85">
        <f>SUMIF('Как будет'!$A$73:$A$80,Доп.расчеты!$A85,'Как будет'!BQ$73:BQ$80)</f>
        <v>0</v>
      </c>
      <c r="BQ85">
        <f>SUMIF('Как будет'!$A$73:$A$80,Доп.расчеты!$A85,'Как будет'!BR$73:BR$80)</f>
        <v>0</v>
      </c>
      <c r="BR85">
        <f>SUMIF('Как будет'!$A$73:$A$80,Доп.расчеты!$A85,'Как будет'!BS$73:BS$80)</f>
        <v>0</v>
      </c>
      <c r="BS85">
        <f>SUMIF('Как будет'!$A$73:$A$80,Доп.расчеты!$A85,'Как будет'!BT$73:BT$80)</f>
        <v>0</v>
      </c>
      <c r="BT85">
        <f>SUMIF('Как будет'!$A$73:$A$80,Доп.расчеты!$A85,'Как будет'!BU$73:BU$80)</f>
        <v>0</v>
      </c>
      <c r="BU85">
        <f>SUMIF('Как будет'!$A$73:$A$80,Доп.расчеты!$A85,'Как будет'!BV$73:BV$80)</f>
        <v>0</v>
      </c>
      <c r="BV85">
        <f>SUMIF('Как будет'!$A$73:$A$80,Доп.расчеты!$A85,'Как будет'!BW$73:BW$80)</f>
        <v>0</v>
      </c>
      <c r="BW85">
        <f>SUMIF('Как будет'!$A$73:$A$80,Доп.расчеты!$A85,'Как будет'!BX$73:BX$80)</f>
        <v>0</v>
      </c>
      <c r="BX85">
        <f>SUMIF('Как будет'!$A$73:$A$80,Доп.расчеты!$A85,'Как будет'!BY$73:BY$80)</f>
        <v>0</v>
      </c>
      <c r="BY85">
        <f>SUMIF('Как будет'!$A$73:$A$80,Доп.расчеты!$A85,'Как будет'!BZ$73:BZ$80)</f>
        <v>0</v>
      </c>
      <c r="BZ85">
        <f>SUMIF('Как будет'!$A$73:$A$80,Доп.расчеты!$A85,'Как будет'!CA$73:CA$80)</f>
        <v>0</v>
      </c>
      <c r="CA85">
        <f>SUMIF('Как будет'!$A$73:$A$80,Доп.расчеты!$A85,'Как будет'!CB$73:CB$80)</f>
        <v>0</v>
      </c>
      <c r="CB85">
        <f>SUMIF('Как будет'!$A$73:$A$80,Доп.расчеты!$A85,'Как будет'!CC$73:CC$80)</f>
        <v>0</v>
      </c>
      <c r="CC85">
        <f>SUMIF('Как будет'!$A$73:$A$80,Доп.расчеты!$A85,'Как будет'!CD$73:CD$80)</f>
        <v>0</v>
      </c>
      <c r="CD85">
        <f>SUMIF('Как будет'!$A$73:$A$80,Доп.расчеты!$A85,'Как будет'!CE$73:CE$80)</f>
        <v>0</v>
      </c>
      <c r="CE85">
        <f>SUMIF('Как будет'!$A$73:$A$80,Доп.расчеты!$A85,'Как будет'!CF$73:CF$80)</f>
        <v>0</v>
      </c>
      <c r="CF85">
        <f>SUMIF('Как будет'!$A$73:$A$80,Доп.расчеты!$A85,'Как будет'!CG$73:CG$80)</f>
        <v>0</v>
      </c>
      <c r="CG85">
        <f>SUMIF('Как будет'!$A$73:$A$80,Доп.расчеты!$A85,'Как будет'!CH$73:CH$80)</f>
        <v>0</v>
      </c>
      <c r="CH85">
        <f>SUMIF('Как будет'!$A$73:$A$80,Доп.расчеты!$A85,'Как будет'!CI$73:CI$80)</f>
        <v>0</v>
      </c>
      <c r="CI85">
        <f>SUMIF('Как будет'!$A$73:$A$80,Доп.расчеты!$A85,'Как будет'!CJ$73:CJ$80)</f>
        <v>0</v>
      </c>
      <c r="CJ85">
        <f>SUMIF('Как будет'!$A$73:$A$80,Доп.расчеты!$A85,'Как будет'!CK$73:CK$80)</f>
        <v>0</v>
      </c>
      <c r="CK85">
        <f>SUMIF('Как будет'!$A$73:$A$80,Доп.расчеты!$A85,'Как будет'!CL$73:CL$80)</f>
        <v>0</v>
      </c>
      <c r="CL85">
        <f>SUMIF('Как будет'!$A$73:$A$80,Доп.расчеты!$A85,'Как будет'!CM$73:CM$80)</f>
        <v>0</v>
      </c>
      <c r="CM85">
        <f>SUMIF('Как будет'!$A$73:$A$80,Доп.расчеты!$A85,'Как будет'!CN$73:CN$80)</f>
        <v>0</v>
      </c>
      <c r="CN85">
        <f>SUMIF('Как будет'!$A$73:$A$80,Доп.расчеты!$A85,'Как будет'!CO$73:CO$80)</f>
        <v>0</v>
      </c>
      <c r="CO85">
        <f>SUMIF('Как будет'!$A$73:$A$80,Доп.расчеты!$A85,'Как будет'!CP$73:CP$80)</f>
        <v>0</v>
      </c>
      <c r="CP85">
        <f>SUMIF('Как будет'!$A$73:$A$80,Доп.расчеты!$A85,'Как будет'!CQ$73:CQ$80)</f>
        <v>0</v>
      </c>
      <c r="CQ85">
        <f>SUMIF('Как будет'!$A$73:$A$80,Доп.расчеты!$A85,'Как будет'!CR$73:CR$80)</f>
        <v>0</v>
      </c>
      <c r="CR85">
        <f>SUMIF('Как будет'!$A$73:$A$80,Доп.расчеты!$A85,'Как будет'!CS$73:CS$80)</f>
        <v>0</v>
      </c>
      <c r="CS85">
        <f>SUMIF('Как будет'!$A$73:$A$80,Доп.расчеты!$A85,'Как будет'!CT$73:CT$80)</f>
        <v>0</v>
      </c>
      <c r="CT85">
        <f>SUMIF('Как будет'!$A$73:$A$80,Доп.расчеты!$A85,'Как будет'!CU$73:CU$80)</f>
        <v>0</v>
      </c>
      <c r="CU85">
        <f>SUMIF('Как будет'!$A$73:$A$80,Доп.расчеты!$A85,'Как будет'!CV$73:CV$80)</f>
        <v>0</v>
      </c>
      <c r="CV85">
        <f>SUMIF('Как будет'!$A$73:$A$80,Доп.расчеты!$A85,'Как будет'!CW$73:CW$80)</f>
        <v>0</v>
      </c>
      <c r="CW85">
        <f>SUMIF('Как будет'!$A$73:$A$80,Доп.расчеты!$A85,'Как будет'!CX$73:CX$80)</f>
        <v>0</v>
      </c>
      <c r="CX85">
        <f>SUMIF('Как будет'!$A$73:$A$80,Доп.расчеты!$A85,'Как будет'!CY$73:CY$80)</f>
        <v>0</v>
      </c>
      <c r="CY85">
        <f>SUMIF('Как будет'!$A$73:$A$80,Доп.расчеты!$A85,'Как будет'!CZ$73:CZ$80)</f>
        <v>0</v>
      </c>
      <c r="CZ85">
        <f>SUMIF('Как будет'!$A$73:$A$80,Доп.расчеты!$A85,'Как будет'!DA$73:DA$80)</f>
        <v>0</v>
      </c>
      <c r="DA85">
        <f>SUMIF('Как будет'!$A$73:$A$80,Доп.расчеты!$A85,'Как будет'!DB$73:DB$80)</f>
        <v>0</v>
      </c>
      <c r="DB85">
        <f>SUMIF('Как будет'!$A$73:$A$80,Доп.расчеты!$A85,'Как будет'!DC$73:DC$80)</f>
        <v>0</v>
      </c>
      <c r="DC85">
        <f>SUMIF('Как будет'!$A$73:$A$80,Доп.расчеты!$A85,'Как будет'!DD$73:DD$80)</f>
        <v>0</v>
      </c>
      <c r="DD85">
        <f>SUMIF('Как будет'!$A$73:$A$80,Доп.расчеты!$A85,'Как будет'!DE$73:DE$80)</f>
        <v>0</v>
      </c>
      <c r="DE85">
        <f>SUMIF('Как будет'!$A$73:$A$80,Доп.расчеты!$A85,'Как будет'!DF$73:DF$80)</f>
        <v>0</v>
      </c>
      <c r="DF85">
        <f>SUMIF('Как будет'!$A$73:$A$80,Доп.расчеты!$A85,'Как будет'!DG$73:DG$80)</f>
        <v>0</v>
      </c>
      <c r="DG85">
        <f>SUMIF('Как будет'!$A$73:$A$80,Доп.расчеты!$A85,'Как будет'!DH$73:DH$80)</f>
        <v>0</v>
      </c>
      <c r="DH85">
        <f>SUMIF('Как будет'!$A$73:$A$80,Доп.расчеты!$A85,'Как будет'!DI$73:DI$80)</f>
        <v>0</v>
      </c>
      <c r="DI85">
        <f>SUMIF('Как будет'!$A$73:$A$80,Доп.расчеты!$A85,'Как будет'!DJ$73:DJ$80)</f>
        <v>0</v>
      </c>
      <c r="DJ85">
        <f>SUMIF('Как будет'!$A$73:$A$80,Доп.расчеты!$A85,'Как будет'!DK$73:DK$80)</f>
        <v>0</v>
      </c>
      <c r="DK85">
        <f>SUMIF('Как будет'!$A$73:$A$80,Доп.расчеты!$A85,'Как будет'!DL$73:DL$80)</f>
        <v>0</v>
      </c>
      <c r="DL85">
        <f>SUMIF('Как будет'!$A$73:$A$80,Доп.расчеты!$A85,'Как будет'!DM$73:DM$80)</f>
        <v>0</v>
      </c>
      <c r="DM85">
        <f>SUMIF('Как будет'!$A$73:$A$80,Доп.расчеты!$A85,'Как будет'!DN$73:DN$80)</f>
        <v>0</v>
      </c>
      <c r="DN85">
        <f>SUMIF('Как будет'!$A$73:$A$80,Доп.расчеты!$A85,'Как будет'!DO$73:DO$80)</f>
        <v>0</v>
      </c>
      <c r="DO85">
        <f>SUMIF('Как будет'!$A$73:$A$80,Доп.расчеты!$A85,'Как будет'!DP$73:DP$80)</f>
        <v>0</v>
      </c>
      <c r="DP85">
        <f>SUMIF('Как будет'!$A$73:$A$80,Доп.расчеты!$A85,'Как будет'!DQ$73:DQ$80)</f>
        <v>0</v>
      </c>
      <c r="DQ85">
        <f>SUMIF('Как будет'!$A$73:$A$80,Доп.расчеты!$A85,'Как будет'!DR$73:DR$80)</f>
        <v>0</v>
      </c>
      <c r="DR85">
        <f>SUMIF('Как будет'!$A$73:$A$80,Доп.расчеты!$A85,'Как будет'!DS$73:DS$80)</f>
        <v>0</v>
      </c>
      <c r="DS85">
        <f>SUMIF('Как будет'!$A$73:$A$80,Доп.расчеты!$A85,'Как будет'!DT$73:DT$80)</f>
        <v>0</v>
      </c>
      <c r="DT85">
        <f>SUMIF('Как будет'!$A$73:$A$80,Доп.расчеты!$A85,'Как будет'!DU$73:DU$80)</f>
        <v>0</v>
      </c>
      <c r="DU85">
        <f>SUMIF('Как будет'!$A$73:$A$80,Доп.расчеты!$A85,'Как будет'!DV$73:DV$80)</f>
        <v>0</v>
      </c>
      <c r="DV85">
        <f>SUMIF('Как будет'!$A$73:$A$80,Доп.расчеты!$A85,'Как будет'!DW$73:DW$80)</f>
        <v>0</v>
      </c>
      <c r="DW85">
        <f>SUMIF('Как будет'!$A$73:$A$80,Доп.расчеты!$A85,'Как будет'!DX$73:DX$80)</f>
        <v>0</v>
      </c>
      <c r="DX85">
        <f>SUMIF('Как будет'!$A$73:$A$80,Доп.расчеты!$A85,'Как будет'!DY$73:DY$80)</f>
        <v>0</v>
      </c>
      <c r="DY85">
        <f>SUMIF('Как будет'!$A$73:$A$80,Доп.расчеты!$A85,'Как будет'!DZ$73:DZ$80)</f>
        <v>0</v>
      </c>
      <c r="DZ85">
        <f>SUMIF('Как будет'!$A$73:$A$80,Доп.расчеты!$A85,'Как будет'!EA$73:EA$80)</f>
        <v>0</v>
      </c>
      <c r="EA85">
        <f>SUMIF('Как будет'!$A$73:$A$80,Доп.расчеты!$A85,'Как будет'!EB$73:EB$80)</f>
        <v>0</v>
      </c>
      <c r="EB85">
        <f>SUMIF('Как будет'!$A$73:$A$80,Доп.расчеты!$A85,'Как будет'!EC$73:EC$80)</f>
        <v>0</v>
      </c>
      <c r="EC85">
        <f>SUMIF('Как будет'!$A$73:$A$80,Доп.расчеты!$A85,'Как будет'!ED$73:ED$80)</f>
        <v>0</v>
      </c>
      <c r="ED85">
        <f>SUMIF('Как будет'!$A$73:$A$80,Доп.расчеты!$A85,'Как будет'!EE$73:EE$80)</f>
        <v>0</v>
      </c>
      <c r="EE85">
        <f>SUMIF('Как будет'!$A$73:$A$80,Доп.расчеты!$A85,'Как будет'!EF$73:EF$80)</f>
        <v>0</v>
      </c>
      <c r="EF85">
        <f>SUMIF('Как будет'!$A$73:$A$80,Доп.расчеты!$A85,'Как будет'!EG$73:EG$80)</f>
        <v>0</v>
      </c>
      <c r="EG85">
        <f>SUMIF('Как будет'!$A$73:$A$80,Доп.расчеты!$A85,'Как будет'!EH$73:EH$80)</f>
        <v>0</v>
      </c>
      <c r="EH85">
        <f>SUMIF('Как будет'!$A$73:$A$80,Доп.расчеты!$A85,'Как будет'!EI$73:EI$80)</f>
        <v>0</v>
      </c>
      <c r="EI85">
        <f>SUMIF('Как будет'!$A$73:$A$80,Доп.расчеты!$A85,'Как будет'!EJ$73:EJ$80)</f>
        <v>0</v>
      </c>
      <c r="EJ85">
        <f>SUMIF('Как будет'!$A$73:$A$80,Доп.расчеты!$A85,'Как будет'!EK$73:EK$80)</f>
        <v>0</v>
      </c>
      <c r="EK85">
        <f>SUMIF('Как будет'!$A$73:$A$80,Доп.расчеты!$A85,'Как будет'!EL$73:EL$80)</f>
        <v>0</v>
      </c>
      <c r="EL85">
        <f>SUMIF('Как будет'!$A$73:$A$80,Доп.расчеты!$A85,'Как будет'!EM$73:EM$80)</f>
        <v>0</v>
      </c>
      <c r="EM85">
        <f>SUMIF('Как будет'!$A$73:$A$80,Доп.расчеты!$A85,'Как будет'!EN$73:EN$80)</f>
        <v>0</v>
      </c>
      <c r="EN85">
        <f>SUMIF('Как будет'!$A$73:$A$80,Доп.расчеты!$A85,'Как будет'!EO$73:EO$80)</f>
        <v>0</v>
      </c>
      <c r="EO85">
        <f>SUMIF('Как будет'!$A$73:$A$80,Доп.расчеты!$A85,'Как будет'!EP$73:EP$80)</f>
        <v>0</v>
      </c>
      <c r="EP85">
        <f>SUMIF('Как будет'!$A$73:$A$80,Доп.расчеты!$A85,'Как будет'!EQ$73:EQ$80)</f>
        <v>0</v>
      </c>
      <c r="EQ85">
        <f>SUMIF('Как будет'!$A$73:$A$80,Доп.расчеты!$A85,'Как будет'!ER$73:ER$80)</f>
        <v>0</v>
      </c>
      <c r="ER85">
        <f>SUMIF('Как будет'!$A$73:$A$80,Доп.расчеты!$A85,'Как будет'!ES$73:ES$80)</f>
        <v>0</v>
      </c>
      <c r="ES85">
        <f>SUMIF('Как будет'!$A$73:$A$80,Доп.расчеты!$A85,'Как будет'!ET$73:ET$80)</f>
        <v>0</v>
      </c>
      <c r="ET85">
        <f>SUMIF('Как будет'!$A$73:$A$80,Доп.расчеты!$A85,'Как будет'!EU$73:EU$80)</f>
        <v>0</v>
      </c>
      <c r="EU85">
        <f>SUMIF('Как будет'!$A$73:$A$80,Доп.расчеты!$A85,'Как будет'!EV$73:EV$80)</f>
        <v>0</v>
      </c>
      <c r="EV85">
        <f>SUMIF('Как будет'!$A$73:$A$80,Доп.расчеты!$A85,'Как будет'!EW$73:EW$80)</f>
        <v>0</v>
      </c>
      <c r="EW85">
        <f>SUMIF('Как будет'!$A$73:$A$80,Доп.расчеты!$A85,'Как будет'!EX$73:EX$80)</f>
        <v>0</v>
      </c>
      <c r="EX85">
        <f>SUMIF('Как будет'!$A$73:$A$80,Доп.расчеты!$A85,'Как будет'!EY$73:EY$80)</f>
        <v>0</v>
      </c>
      <c r="EY85">
        <f>SUMIF('Как будет'!$A$73:$A$80,Доп.расчеты!$A85,'Как будет'!EZ$73:EZ$80)</f>
        <v>0</v>
      </c>
      <c r="EZ85">
        <f>SUMIF('Как будет'!$A$73:$A$80,Доп.расчеты!$A85,'Как будет'!FA$73:FA$80)</f>
        <v>0</v>
      </c>
      <c r="FA85">
        <f>SUMIF('Как будет'!$A$73:$A$80,Доп.расчеты!$A85,'Как будет'!FB$73:FB$80)</f>
        <v>0</v>
      </c>
      <c r="FB85">
        <f>SUMIF('Как будет'!$A$73:$A$80,Доп.расчеты!$A85,'Как будет'!FC$73:FC$80)</f>
        <v>0</v>
      </c>
      <c r="FC85">
        <f>SUMIF('Как будет'!$A$73:$A$80,Доп.расчеты!$A85,'Как будет'!FD$73:FD$80)</f>
        <v>0</v>
      </c>
      <c r="FD85">
        <f>SUMIF('Как будет'!$A$73:$A$80,Доп.расчеты!$A85,'Как будет'!FE$73:FE$80)</f>
        <v>0</v>
      </c>
      <c r="FE85">
        <f>SUMIF('Как будет'!$A$73:$A$80,Доп.расчеты!$A85,'Как будет'!FF$73:FF$80)</f>
        <v>0</v>
      </c>
      <c r="FF85">
        <f>SUMIF('Как будет'!$A$73:$A$80,Доп.расчеты!$A85,'Как будет'!FG$73:FG$80)</f>
        <v>0</v>
      </c>
      <c r="FG85">
        <f>SUMIF('Как будет'!$A$73:$A$80,Доп.расчеты!$A85,'Как будет'!FH$73:FH$80)</f>
        <v>0</v>
      </c>
      <c r="FH85">
        <f>SUMIF('Как будет'!$A$73:$A$80,Доп.расчеты!$A85,'Как будет'!FI$73:FI$80)</f>
        <v>0</v>
      </c>
      <c r="FI85">
        <f>SUMIF('Как будет'!$A$73:$A$80,Доп.расчеты!$A85,'Как будет'!FJ$73:FJ$80)</f>
        <v>0</v>
      </c>
      <c r="FJ85">
        <f>SUMIF('Как будет'!$A$73:$A$80,Доп.расчеты!$A85,'Как будет'!FK$73:FK$80)</f>
        <v>0</v>
      </c>
      <c r="FK85">
        <f>SUMIF('Как будет'!$A$73:$A$80,Доп.расчеты!$A85,'Как будет'!FL$73:FL$80)</f>
        <v>0</v>
      </c>
      <c r="FL85">
        <f>SUMIF('Как будет'!$A$73:$A$80,Доп.расчеты!$A85,'Как будет'!FM$73:FM$80)</f>
        <v>0</v>
      </c>
      <c r="FM85">
        <f>SUMIF('Как будет'!$A$73:$A$80,Доп.расчеты!$A85,'Как будет'!FN$73:FN$80)</f>
        <v>0</v>
      </c>
      <c r="FN85">
        <f>SUMIF('Как будет'!$A$73:$A$80,Доп.расчеты!$A85,'Как будет'!FO$73:FO$80)</f>
        <v>0</v>
      </c>
      <c r="FO85">
        <f>SUMIF('Как будет'!$A$73:$A$80,Доп.расчеты!$A85,'Как будет'!FP$73:FP$80)</f>
        <v>0</v>
      </c>
      <c r="FP85">
        <f>SUMIF('Как будет'!$A$73:$A$80,Доп.расчеты!$A85,'Как будет'!FQ$73:FQ$80)</f>
        <v>0</v>
      </c>
      <c r="FQ85">
        <f>SUMIF('Как будет'!$A$73:$A$80,Доп.расчеты!$A85,'Как будет'!FR$73:FR$80)</f>
        <v>0</v>
      </c>
      <c r="FR85">
        <f>SUMIF('Как будет'!$A$73:$A$80,Доп.расчеты!$A85,'Как будет'!FS$73:FS$80)</f>
        <v>0</v>
      </c>
      <c r="FS85">
        <f>SUMIF('Как будет'!$A$73:$A$80,Доп.расчеты!$A85,'Как будет'!FT$73:FT$80)</f>
        <v>0</v>
      </c>
      <c r="FT85">
        <f>SUMIF('Как будет'!$A$73:$A$80,Доп.расчеты!$A85,'Как будет'!FU$73:FU$80)</f>
        <v>0</v>
      </c>
      <c r="FU85">
        <f>SUMIF('Как будет'!$A$73:$A$80,Доп.расчеты!$A85,'Как будет'!FV$73:FV$80)</f>
        <v>0</v>
      </c>
      <c r="FV85">
        <f>SUMIF('Как будет'!$A$73:$A$80,Доп.расчеты!$A85,'Как будет'!FW$73:FW$80)</f>
        <v>0</v>
      </c>
      <c r="FW85">
        <f>SUMIF('Как будет'!$A$73:$A$80,Доп.расчеты!$A85,'Как будет'!FX$73:FX$80)</f>
        <v>0</v>
      </c>
      <c r="FX85">
        <f>SUMIF('Как будет'!$A$73:$A$80,Доп.расчеты!$A85,'Как будет'!FY$73:FY$80)</f>
        <v>0</v>
      </c>
      <c r="FY85">
        <f>SUMIF('Как будет'!$A$73:$A$80,Доп.расчеты!$A85,'Как будет'!FZ$73:FZ$80)</f>
        <v>0</v>
      </c>
      <c r="FZ85">
        <f>SUMIF('Как будет'!$A$73:$A$80,Доп.расчеты!$A85,'Как будет'!GA$73:GA$80)</f>
        <v>0</v>
      </c>
      <c r="GA85">
        <f>SUMIF('Как будет'!$A$73:$A$80,Доп.расчеты!$A85,'Как будет'!GB$73:GB$80)</f>
        <v>0</v>
      </c>
      <c r="GB85">
        <f>SUMIF('Как будет'!$A$73:$A$80,Доп.расчеты!$A85,'Как будет'!GC$73:GC$80)</f>
        <v>0</v>
      </c>
      <c r="GC85">
        <f>SUMIF('Как будет'!$A$73:$A$80,Доп.расчеты!$A85,'Как будет'!GD$73:GD$80)</f>
        <v>0</v>
      </c>
      <c r="GD85">
        <f>SUMIF('Как будет'!$A$73:$A$80,Доп.расчеты!$A85,'Как будет'!GE$73:GE$80)</f>
        <v>0</v>
      </c>
      <c r="GE85">
        <f>SUMIF('Как будет'!$A$73:$A$80,Доп.расчеты!$A85,'Как будет'!GF$73:GF$80)</f>
        <v>0</v>
      </c>
      <c r="GF85">
        <f>SUMIF('Как будет'!$A$73:$A$80,Доп.расчеты!$A85,'Как будет'!GG$73:GG$80)</f>
        <v>0</v>
      </c>
      <c r="GG85">
        <f>SUMIF('Как будет'!$A$73:$A$80,Доп.расчеты!$A85,'Как будет'!GH$73:GH$80)</f>
        <v>0</v>
      </c>
      <c r="GH85">
        <f>SUMIF('Как будет'!$A$73:$A$80,Доп.расчеты!$A85,'Как будет'!GI$73:GI$80)</f>
        <v>0</v>
      </c>
      <c r="GI85">
        <f>SUMIF('Как будет'!$A$73:$A$80,Доп.расчеты!$A85,'Как будет'!GJ$73:GJ$80)</f>
        <v>0</v>
      </c>
      <c r="GJ85">
        <f>SUMIF('Как будет'!$A$73:$A$80,Доп.расчеты!$A85,'Как будет'!GK$73:GK$80)</f>
        <v>0</v>
      </c>
      <c r="GK85">
        <f>SUMIF('Как будет'!$A$73:$A$80,Доп.расчеты!$A85,'Как будет'!GL$73:GL$80)</f>
        <v>0</v>
      </c>
      <c r="GL85">
        <f>SUMIF('Как будет'!$A$73:$A$80,Доп.расчеты!$A85,'Как будет'!GM$73:GM$80)</f>
        <v>0</v>
      </c>
      <c r="GM85">
        <f>SUMIF('Как будет'!$A$73:$A$80,Доп.расчеты!$A85,'Как будет'!GN$73:GN$80)</f>
        <v>0</v>
      </c>
      <c r="GN85">
        <f>SUMIF('Как будет'!$A$73:$A$80,Доп.расчеты!$A85,'Как будет'!GO$73:GO$80)</f>
        <v>0</v>
      </c>
      <c r="GO85">
        <f>SUMIF('Как будет'!$A$73:$A$80,Доп.расчеты!$A85,'Как будет'!GP$73:GP$80)</f>
        <v>0</v>
      </c>
      <c r="GP85">
        <f>SUMIF('Как будет'!$A$73:$A$80,Доп.расчеты!$A85,'Как будет'!GQ$73:GQ$80)</f>
        <v>0</v>
      </c>
      <c r="GQ85">
        <f>SUMIF('Как будет'!$A$73:$A$80,Доп.расчеты!$A85,'Как будет'!GR$73:GR$80)</f>
        <v>0</v>
      </c>
      <c r="GR85">
        <f>SUMIF('Как будет'!$A$73:$A$80,Доп.расчеты!$A85,'Как будет'!GS$73:GS$80)</f>
        <v>0</v>
      </c>
      <c r="GS85">
        <f>SUMIF('Как будет'!$A$73:$A$80,Доп.расчеты!$A85,'Как будет'!GT$73:GT$80)</f>
        <v>0</v>
      </c>
      <c r="GT85">
        <f>SUMIF('Как будет'!$A$73:$A$80,Доп.расчеты!$A85,'Как будет'!GU$73:GU$80)</f>
        <v>0</v>
      </c>
    </row>
    <row r="86" spans="1:202">
      <c r="A86" s="237" t="s">
        <v>94</v>
      </c>
      <c r="B86">
        <f>SUMIF('Как будет'!$A$73:$A$80,Доп.расчеты!$A86,'Как будет'!C$73:C$80)</f>
        <v>0</v>
      </c>
      <c r="C86">
        <f>SUMIF('Как будет'!$A$73:$A$80,Доп.расчеты!$A86,'Как будет'!D$73:D$80)</f>
        <v>0</v>
      </c>
      <c r="D86">
        <f>SUMIF('Как будет'!$A$73:$A$80,Доп.расчеты!$A86,'Как будет'!E$73:E$80)</f>
        <v>0</v>
      </c>
      <c r="E86">
        <f>SUMIF('Как будет'!$A$73:$A$80,Доп.расчеты!$A86,'Как будет'!F$73:F$80)</f>
        <v>0</v>
      </c>
      <c r="F86">
        <f>SUMIF('Как будет'!$A$73:$A$80,Доп.расчеты!$A86,'Как будет'!G$73:G$80)</f>
        <v>0</v>
      </c>
      <c r="G86">
        <f>SUMIF('Как будет'!$A$73:$A$80,Доп.расчеты!$A86,'Как будет'!H$73:H$80)</f>
        <v>0</v>
      </c>
      <c r="H86">
        <f>SUMIF('Как будет'!$A$73:$A$80,Доп.расчеты!$A86,'Как будет'!I$73:I$80)</f>
        <v>0</v>
      </c>
      <c r="I86">
        <f>SUMIF('Как будет'!$A$73:$A$80,Доп.расчеты!$A86,'Как будет'!J$73:J$80)</f>
        <v>0</v>
      </c>
      <c r="J86">
        <f>SUMIF('Как будет'!$A$73:$A$80,Доп.расчеты!$A86,'Как будет'!K$73:K$80)</f>
        <v>0</v>
      </c>
      <c r="K86">
        <f>SUMIF('Как будет'!$A$73:$A$80,Доп.расчеты!$A86,'Как будет'!L$73:L$80)</f>
        <v>0</v>
      </c>
      <c r="L86">
        <f>SUMIF('Как будет'!$A$73:$A$80,Доп.расчеты!$A86,'Как будет'!M$73:M$80)</f>
        <v>0</v>
      </c>
      <c r="M86">
        <f>SUMIF('Как будет'!$A$73:$A$80,Доп.расчеты!$A86,'Как будет'!N$73:N$80)</f>
        <v>0</v>
      </c>
      <c r="N86">
        <f>SUMIF('Как будет'!$A$73:$A$80,Доп.расчеты!$A86,'Как будет'!O$73:O$80)</f>
        <v>0</v>
      </c>
      <c r="O86">
        <f>SUMIF('Как будет'!$A$73:$A$80,Доп.расчеты!$A86,'Как будет'!P$73:P$80)</f>
        <v>0</v>
      </c>
      <c r="P86">
        <f>SUMIF('Как будет'!$A$73:$A$80,Доп.расчеты!$A86,'Как будет'!Q$73:Q$80)</f>
        <v>0</v>
      </c>
      <c r="Q86">
        <f>SUMIF('Как будет'!$A$73:$A$80,Доп.расчеты!$A86,'Как будет'!R$73:R$80)</f>
        <v>0</v>
      </c>
      <c r="R86">
        <f>SUMIF('Как будет'!$A$73:$A$80,Доп.расчеты!$A86,'Как будет'!S$73:S$80)</f>
        <v>0</v>
      </c>
      <c r="S86">
        <f>SUMIF('Как будет'!$A$73:$A$80,Доп.расчеты!$A86,'Как будет'!T$73:T$80)</f>
        <v>0</v>
      </c>
      <c r="T86">
        <f>SUMIF('Как будет'!$A$73:$A$80,Доп.расчеты!$A86,'Как будет'!U$73:U$80)</f>
        <v>0</v>
      </c>
      <c r="U86">
        <f>SUMIF('Как будет'!$A$73:$A$80,Доп.расчеты!$A86,'Как будет'!V$73:V$80)</f>
        <v>0</v>
      </c>
      <c r="V86">
        <f>SUMIF('Как будет'!$A$73:$A$80,Доп.расчеты!$A86,'Как будет'!W$73:W$80)</f>
        <v>0</v>
      </c>
      <c r="W86">
        <f>SUMIF('Как будет'!$A$73:$A$80,Доп.расчеты!$A86,'Как будет'!X$73:X$80)</f>
        <v>0</v>
      </c>
      <c r="X86">
        <f>SUMIF('Как будет'!$A$73:$A$80,Доп.расчеты!$A86,'Как будет'!Y$73:Y$80)</f>
        <v>0</v>
      </c>
      <c r="Y86">
        <f>SUMIF('Как будет'!$A$73:$A$80,Доп.расчеты!$A86,'Как будет'!Z$73:Z$80)</f>
        <v>0</v>
      </c>
      <c r="Z86">
        <f>SUMIF('Как будет'!$A$73:$A$80,Доп.расчеты!$A86,'Как будет'!AA$73:AA$80)</f>
        <v>0</v>
      </c>
      <c r="AA86">
        <f>SUMIF('Как будет'!$A$73:$A$80,Доп.расчеты!$A86,'Как будет'!AB$73:AB$80)</f>
        <v>0</v>
      </c>
      <c r="AB86">
        <f>SUMIF('Как будет'!$A$73:$A$80,Доп.расчеты!$A86,'Как будет'!AC$73:AC$80)</f>
        <v>0</v>
      </c>
      <c r="AC86">
        <f>SUMIF('Как будет'!$A$73:$A$80,Доп.расчеты!$A86,'Как будет'!AD$73:AD$80)</f>
        <v>0</v>
      </c>
      <c r="AD86">
        <f>SUMIF('Как будет'!$A$73:$A$80,Доп.расчеты!$A86,'Как будет'!AE$73:AE$80)</f>
        <v>0</v>
      </c>
      <c r="AE86">
        <f>SUMIF('Как будет'!$A$73:$A$80,Доп.расчеты!$A86,'Как будет'!AF$73:AF$80)</f>
        <v>0</v>
      </c>
      <c r="AF86">
        <f>SUMIF('Как будет'!$A$73:$A$80,Доп.расчеты!$A86,'Как будет'!AG$73:AG$80)</f>
        <v>0</v>
      </c>
      <c r="AG86">
        <f>SUMIF('Как будет'!$A$73:$A$80,Доп.расчеты!$A86,'Как будет'!AH$73:AH$80)</f>
        <v>0</v>
      </c>
      <c r="AH86">
        <f>SUMIF('Как будет'!$A$73:$A$80,Доп.расчеты!$A86,'Как будет'!AI$73:AI$80)</f>
        <v>0</v>
      </c>
      <c r="AI86">
        <f>SUMIF('Как будет'!$A$73:$A$80,Доп.расчеты!$A86,'Как будет'!AJ$73:AJ$80)</f>
        <v>0</v>
      </c>
      <c r="AJ86">
        <f>SUMIF('Как будет'!$A$73:$A$80,Доп.расчеты!$A86,'Как будет'!AK$73:AK$80)</f>
        <v>0</v>
      </c>
      <c r="AK86">
        <f>SUMIF('Как будет'!$A$73:$A$80,Доп.расчеты!$A86,'Как будет'!AL$73:AL$80)</f>
        <v>0</v>
      </c>
      <c r="AL86">
        <f>SUMIF('Как будет'!$A$73:$A$80,Доп.расчеты!$A86,'Как будет'!AM$73:AM$80)</f>
        <v>0</v>
      </c>
      <c r="AM86">
        <f>SUMIF('Как будет'!$A$73:$A$80,Доп.расчеты!$A86,'Как будет'!AN$73:AN$80)</f>
        <v>0</v>
      </c>
      <c r="AN86">
        <f>SUMIF('Как будет'!$A$73:$A$80,Доп.расчеты!$A86,'Как будет'!AO$73:AO$80)</f>
        <v>0</v>
      </c>
      <c r="AO86">
        <f>SUMIF('Как будет'!$A$73:$A$80,Доп.расчеты!$A86,'Как будет'!AP$73:AP$80)</f>
        <v>0</v>
      </c>
      <c r="AP86">
        <f>SUMIF('Как будет'!$A$73:$A$80,Доп.расчеты!$A86,'Как будет'!AQ$73:AQ$80)</f>
        <v>0</v>
      </c>
      <c r="AQ86">
        <f>SUMIF('Как будет'!$A$73:$A$80,Доп.расчеты!$A86,'Как будет'!AR$73:AR$80)</f>
        <v>0</v>
      </c>
      <c r="AR86">
        <f>SUMIF('Как будет'!$A$73:$A$80,Доп.расчеты!$A86,'Как будет'!AS$73:AS$80)</f>
        <v>0</v>
      </c>
      <c r="AS86">
        <f>SUMIF('Как будет'!$A$73:$A$80,Доп.расчеты!$A86,'Как будет'!AT$73:AT$80)</f>
        <v>0</v>
      </c>
      <c r="AT86">
        <f>SUMIF('Как будет'!$A$73:$A$80,Доп.расчеты!$A86,'Как будет'!AU$73:AU$80)</f>
        <v>0</v>
      </c>
      <c r="AU86">
        <f>SUMIF('Как будет'!$A$73:$A$80,Доп.расчеты!$A86,'Как будет'!AV$73:AV$80)</f>
        <v>0</v>
      </c>
      <c r="AV86">
        <f>SUMIF('Как будет'!$A$73:$A$80,Доп.расчеты!$A86,'Как будет'!AW$73:AW$80)</f>
        <v>0</v>
      </c>
      <c r="AW86">
        <f>SUMIF('Как будет'!$A$73:$A$80,Доп.расчеты!$A86,'Как будет'!AX$73:AX$80)</f>
        <v>0</v>
      </c>
      <c r="AX86">
        <f>SUMIF('Как будет'!$A$73:$A$80,Доп.расчеты!$A86,'Как будет'!AY$73:AY$80)</f>
        <v>0</v>
      </c>
      <c r="AY86">
        <f>SUMIF('Как будет'!$A$73:$A$80,Доп.расчеты!$A86,'Как будет'!AZ$73:AZ$80)</f>
        <v>0</v>
      </c>
      <c r="AZ86">
        <f>SUMIF('Как будет'!$A$73:$A$80,Доп.расчеты!$A86,'Как будет'!BA$73:BA$80)</f>
        <v>0</v>
      </c>
      <c r="BA86">
        <f>SUMIF('Как будет'!$A$73:$A$80,Доп.расчеты!$A86,'Как будет'!BB$73:BB$80)</f>
        <v>0</v>
      </c>
      <c r="BB86">
        <f>SUMIF('Как будет'!$A$73:$A$80,Доп.расчеты!$A86,'Как будет'!BC$73:BC$80)</f>
        <v>0</v>
      </c>
      <c r="BC86">
        <f>SUMIF('Как будет'!$A$73:$A$80,Доп.расчеты!$A86,'Как будет'!BD$73:BD$80)</f>
        <v>0</v>
      </c>
      <c r="BD86">
        <f>SUMIF('Как будет'!$A$73:$A$80,Доп.расчеты!$A86,'Как будет'!BE$73:BE$80)</f>
        <v>0</v>
      </c>
      <c r="BE86">
        <f>SUMIF('Как будет'!$A$73:$A$80,Доп.расчеты!$A86,'Как будет'!BF$73:BF$80)</f>
        <v>0</v>
      </c>
      <c r="BF86">
        <f>SUMIF('Как будет'!$A$73:$A$80,Доп.расчеты!$A86,'Как будет'!BG$73:BG$80)</f>
        <v>0</v>
      </c>
      <c r="BG86">
        <f>SUMIF('Как будет'!$A$73:$A$80,Доп.расчеты!$A86,'Как будет'!BH$73:BH$80)</f>
        <v>0</v>
      </c>
      <c r="BH86">
        <f>SUMIF('Как будет'!$A$73:$A$80,Доп.расчеты!$A86,'Как будет'!BI$73:BI$80)</f>
        <v>0</v>
      </c>
      <c r="BI86">
        <f>SUMIF('Как будет'!$A$73:$A$80,Доп.расчеты!$A86,'Как будет'!BJ$73:BJ$80)</f>
        <v>0</v>
      </c>
      <c r="BJ86">
        <f>SUMIF('Как будет'!$A$73:$A$80,Доп.расчеты!$A86,'Как будет'!BK$73:BK$80)</f>
        <v>0</v>
      </c>
      <c r="BK86">
        <f>SUMIF('Как будет'!$A$73:$A$80,Доп.расчеты!$A86,'Как будет'!BL$73:BL$80)</f>
        <v>0</v>
      </c>
      <c r="BL86">
        <f>SUMIF('Как будет'!$A$73:$A$80,Доп.расчеты!$A86,'Как будет'!BM$73:BM$80)</f>
        <v>0</v>
      </c>
      <c r="BM86">
        <f>SUMIF('Как будет'!$A$73:$A$80,Доп.расчеты!$A86,'Как будет'!BN$73:BN$80)</f>
        <v>0</v>
      </c>
      <c r="BN86">
        <f>SUMIF('Как будет'!$A$73:$A$80,Доп.расчеты!$A86,'Как будет'!BO$73:BO$80)</f>
        <v>0</v>
      </c>
      <c r="BO86">
        <f>SUMIF('Как будет'!$A$73:$A$80,Доп.расчеты!$A86,'Как будет'!BP$73:BP$80)</f>
        <v>0</v>
      </c>
      <c r="BP86">
        <f>SUMIF('Как будет'!$A$73:$A$80,Доп.расчеты!$A86,'Как будет'!BQ$73:BQ$80)</f>
        <v>0</v>
      </c>
      <c r="BQ86">
        <f>SUMIF('Как будет'!$A$73:$A$80,Доп.расчеты!$A86,'Как будет'!BR$73:BR$80)</f>
        <v>0</v>
      </c>
      <c r="BR86">
        <f>SUMIF('Как будет'!$A$73:$A$80,Доп.расчеты!$A86,'Как будет'!BS$73:BS$80)</f>
        <v>0</v>
      </c>
      <c r="BS86">
        <f>SUMIF('Как будет'!$A$73:$A$80,Доп.расчеты!$A86,'Как будет'!BT$73:BT$80)</f>
        <v>0</v>
      </c>
      <c r="BT86">
        <f>SUMIF('Как будет'!$A$73:$A$80,Доп.расчеты!$A86,'Как будет'!BU$73:BU$80)</f>
        <v>0</v>
      </c>
      <c r="BU86">
        <f>SUMIF('Как будет'!$A$73:$A$80,Доп.расчеты!$A86,'Как будет'!BV$73:BV$80)</f>
        <v>0</v>
      </c>
      <c r="BV86">
        <f>SUMIF('Как будет'!$A$73:$A$80,Доп.расчеты!$A86,'Как будет'!BW$73:BW$80)</f>
        <v>0</v>
      </c>
      <c r="BW86">
        <f>SUMIF('Как будет'!$A$73:$A$80,Доп.расчеты!$A86,'Как будет'!BX$73:BX$80)</f>
        <v>0</v>
      </c>
      <c r="BX86">
        <f>SUMIF('Как будет'!$A$73:$A$80,Доп.расчеты!$A86,'Как будет'!BY$73:BY$80)</f>
        <v>0</v>
      </c>
      <c r="BY86">
        <f>SUMIF('Как будет'!$A$73:$A$80,Доп.расчеты!$A86,'Как будет'!BZ$73:BZ$80)</f>
        <v>0</v>
      </c>
      <c r="BZ86">
        <f>SUMIF('Как будет'!$A$73:$A$80,Доп.расчеты!$A86,'Как будет'!CA$73:CA$80)</f>
        <v>0</v>
      </c>
      <c r="CA86">
        <f>SUMIF('Как будет'!$A$73:$A$80,Доп.расчеты!$A86,'Как будет'!CB$73:CB$80)</f>
        <v>0</v>
      </c>
      <c r="CB86">
        <f>SUMIF('Как будет'!$A$73:$A$80,Доп.расчеты!$A86,'Как будет'!CC$73:CC$80)</f>
        <v>0</v>
      </c>
      <c r="CC86">
        <f>SUMIF('Как будет'!$A$73:$A$80,Доп.расчеты!$A86,'Как будет'!CD$73:CD$80)</f>
        <v>0</v>
      </c>
      <c r="CD86">
        <f>SUMIF('Как будет'!$A$73:$A$80,Доп.расчеты!$A86,'Как будет'!CE$73:CE$80)</f>
        <v>0</v>
      </c>
      <c r="CE86">
        <f>SUMIF('Как будет'!$A$73:$A$80,Доп.расчеты!$A86,'Как будет'!CF$73:CF$80)</f>
        <v>0</v>
      </c>
      <c r="CF86">
        <f>SUMIF('Как будет'!$A$73:$A$80,Доп.расчеты!$A86,'Как будет'!CG$73:CG$80)</f>
        <v>0</v>
      </c>
      <c r="CG86">
        <f>SUMIF('Как будет'!$A$73:$A$80,Доп.расчеты!$A86,'Как будет'!CH$73:CH$80)</f>
        <v>0</v>
      </c>
      <c r="CH86">
        <f>SUMIF('Как будет'!$A$73:$A$80,Доп.расчеты!$A86,'Как будет'!CI$73:CI$80)</f>
        <v>0</v>
      </c>
      <c r="CI86">
        <f>SUMIF('Как будет'!$A$73:$A$80,Доп.расчеты!$A86,'Как будет'!CJ$73:CJ$80)</f>
        <v>0</v>
      </c>
      <c r="CJ86">
        <f>SUMIF('Как будет'!$A$73:$A$80,Доп.расчеты!$A86,'Как будет'!CK$73:CK$80)</f>
        <v>0</v>
      </c>
      <c r="CK86">
        <f>SUMIF('Как будет'!$A$73:$A$80,Доп.расчеты!$A86,'Как будет'!CL$73:CL$80)</f>
        <v>0</v>
      </c>
      <c r="CL86">
        <f>SUMIF('Как будет'!$A$73:$A$80,Доп.расчеты!$A86,'Как будет'!CM$73:CM$80)</f>
        <v>0</v>
      </c>
      <c r="CM86">
        <f>SUMIF('Как будет'!$A$73:$A$80,Доп.расчеты!$A86,'Как будет'!CN$73:CN$80)</f>
        <v>0</v>
      </c>
      <c r="CN86">
        <f>SUMIF('Как будет'!$A$73:$A$80,Доп.расчеты!$A86,'Как будет'!CO$73:CO$80)</f>
        <v>0</v>
      </c>
      <c r="CO86">
        <f>SUMIF('Как будет'!$A$73:$A$80,Доп.расчеты!$A86,'Как будет'!CP$73:CP$80)</f>
        <v>0</v>
      </c>
      <c r="CP86">
        <f>SUMIF('Как будет'!$A$73:$A$80,Доп.расчеты!$A86,'Как будет'!CQ$73:CQ$80)</f>
        <v>0</v>
      </c>
      <c r="CQ86">
        <f>SUMIF('Как будет'!$A$73:$A$80,Доп.расчеты!$A86,'Как будет'!CR$73:CR$80)</f>
        <v>0</v>
      </c>
      <c r="CR86">
        <f>SUMIF('Как будет'!$A$73:$A$80,Доп.расчеты!$A86,'Как будет'!CS$73:CS$80)</f>
        <v>0</v>
      </c>
      <c r="CS86">
        <f>SUMIF('Как будет'!$A$73:$A$80,Доп.расчеты!$A86,'Как будет'!CT$73:CT$80)</f>
        <v>0</v>
      </c>
      <c r="CT86">
        <f>SUMIF('Как будет'!$A$73:$A$80,Доп.расчеты!$A86,'Как будет'!CU$73:CU$80)</f>
        <v>0</v>
      </c>
      <c r="CU86">
        <f>SUMIF('Как будет'!$A$73:$A$80,Доп.расчеты!$A86,'Как будет'!CV$73:CV$80)</f>
        <v>0</v>
      </c>
      <c r="CV86">
        <f>SUMIF('Как будет'!$A$73:$A$80,Доп.расчеты!$A86,'Как будет'!CW$73:CW$80)</f>
        <v>0</v>
      </c>
      <c r="CW86">
        <f>SUMIF('Как будет'!$A$73:$A$80,Доп.расчеты!$A86,'Как будет'!CX$73:CX$80)</f>
        <v>0</v>
      </c>
      <c r="CX86">
        <f>SUMIF('Как будет'!$A$73:$A$80,Доп.расчеты!$A86,'Как будет'!CY$73:CY$80)</f>
        <v>0</v>
      </c>
      <c r="CY86">
        <f>SUMIF('Как будет'!$A$73:$A$80,Доп.расчеты!$A86,'Как будет'!CZ$73:CZ$80)</f>
        <v>0</v>
      </c>
      <c r="CZ86">
        <f>SUMIF('Как будет'!$A$73:$A$80,Доп.расчеты!$A86,'Как будет'!DA$73:DA$80)</f>
        <v>0</v>
      </c>
      <c r="DA86">
        <f>SUMIF('Как будет'!$A$73:$A$80,Доп.расчеты!$A86,'Как будет'!DB$73:DB$80)</f>
        <v>0</v>
      </c>
      <c r="DB86">
        <f>SUMIF('Как будет'!$A$73:$A$80,Доп.расчеты!$A86,'Как будет'!DC$73:DC$80)</f>
        <v>0</v>
      </c>
      <c r="DC86">
        <f>SUMIF('Как будет'!$A$73:$A$80,Доп.расчеты!$A86,'Как будет'!DD$73:DD$80)</f>
        <v>0</v>
      </c>
      <c r="DD86">
        <f>SUMIF('Как будет'!$A$73:$A$80,Доп.расчеты!$A86,'Как будет'!DE$73:DE$80)</f>
        <v>0</v>
      </c>
      <c r="DE86">
        <f>SUMIF('Как будет'!$A$73:$A$80,Доп.расчеты!$A86,'Как будет'!DF$73:DF$80)</f>
        <v>0</v>
      </c>
      <c r="DF86">
        <f>SUMIF('Как будет'!$A$73:$A$80,Доп.расчеты!$A86,'Как будет'!DG$73:DG$80)</f>
        <v>0</v>
      </c>
      <c r="DG86">
        <f>SUMIF('Как будет'!$A$73:$A$80,Доп.расчеты!$A86,'Как будет'!DH$73:DH$80)</f>
        <v>0</v>
      </c>
      <c r="DH86">
        <f>SUMIF('Как будет'!$A$73:$A$80,Доп.расчеты!$A86,'Как будет'!DI$73:DI$80)</f>
        <v>0</v>
      </c>
      <c r="DI86">
        <f>SUMIF('Как будет'!$A$73:$A$80,Доп.расчеты!$A86,'Как будет'!DJ$73:DJ$80)</f>
        <v>0</v>
      </c>
      <c r="DJ86">
        <f>SUMIF('Как будет'!$A$73:$A$80,Доп.расчеты!$A86,'Как будет'!DK$73:DK$80)</f>
        <v>0</v>
      </c>
      <c r="DK86">
        <f>SUMIF('Как будет'!$A$73:$A$80,Доп.расчеты!$A86,'Как будет'!DL$73:DL$80)</f>
        <v>0</v>
      </c>
      <c r="DL86">
        <f>SUMIF('Как будет'!$A$73:$A$80,Доп.расчеты!$A86,'Как будет'!DM$73:DM$80)</f>
        <v>0</v>
      </c>
      <c r="DM86">
        <f>SUMIF('Как будет'!$A$73:$A$80,Доп.расчеты!$A86,'Как будет'!DN$73:DN$80)</f>
        <v>0</v>
      </c>
      <c r="DN86">
        <f>SUMIF('Как будет'!$A$73:$A$80,Доп.расчеты!$A86,'Как будет'!DO$73:DO$80)</f>
        <v>0</v>
      </c>
      <c r="DO86">
        <f>SUMIF('Как будет'!$A$73:$A$80,Доп.расчеты!$A86,'Как будет'!DP$73:DP$80)</f>
        <v>0</v>
      </c>
      <c r="DP86">
        <f>SUMIF('Как будет'!$A$73:$A$80,Доп.расчеты!$A86,'Как будет'!DQ$73:DQ$80)</f>
        <v>0</v>
      </c>
      <c r="DQ86">
        <f>SUMIF('Как будет'!$A$73:$A$80,Доп.расчеты!$A86,'Как будет'!DR$73:DR$80)</f>
        <v>0</v>
      </c>
      <c r="DR86">
        <f>SUMIF('Как будет'!$A$73:$A$80,Доп.расчеты!$A86,'Как будет'!DS$73:DS$80)</f>
        <v>0</v>
      </c>
      <c r="DS86">
        <f>SUMIF('Как будет'!$A$73:$A$80,Доп.расчеты!$A86,'Как будет'!DT$73:DT$80)</f>
        <v>0</v>
      </c>
      <c r="DT86">
        <f>SUMIF('Как будет'!$A$73:$A$80,Доп.расчеты!$A86,'Как будет'!DU$73:DU$80)</f>
        <v>0</v>
      </c>
      <c r="DU86">
        <f>SUMIF('Как будет'!$A$73:$A$80,Доп.расчеты!$A86,'Как будет'!DV$73:DV$80)</f>
        <v>0</v>
      </c>
      <c r="DV86">
        <f>SUMIF('Как будет'!$A$73:$A$80,Доп.расчеты!$A86,'Как будет'!DW$73:DW$80)</f>
        <v>0</v>
      </c>
      <c r="DW86">
        <f>SUMIF('Как будет'!$A$73:$A$80,Доп.расчеты!$A86,'Как будет'!DX$73:DX$80)</f>
        <v>0</v>
      </c>
      <c r="DX86">
        <f>SUMIF('Как будет'!$A$73:$A$80,Доп.расчеты!$A86,'Как будет'!DY$73:DY$80)</f>
        <v>0</v>
      </c>
      <c r="DY86">
        <f>SUMIF('Как будет'!$A$73:$A$80,Доп.расчеты!$A86,'Как будет'!DZ$73:DZ$80)</f>
        <v>0</v>
      </c>
      <c r="DZ86">
        <f>SUMIF('Как будет'!$A$73:$A$80,Доп.расчеты!$A86,'Как будет'!EA$73:EA$80)</f>
        <v>0</v>
      </c>
      <c r="EA86">
        <f>SUMIF('Как будет'!$A$73:$A$80,Доп.расчеты!$A86,'Как будет'!EB$73:EB$80)</f>
        <v>0</v>
      </c>
      <c r="EB86">
        <f>SUMIF('Как будет'!$A$73:$A$80,Доп.расчеты!$A86,'Как будет'!EC$73:EC$80)</f>
        <v>0</v>
      </c>
      <c r="EC86">
        <f>SUMIF('Как будет'!$A$73:$A$80,Доп.расчеты!$A86,'Как будет'!ED$73:ED$80)</f>
        <v>0</v>
      </c>
      <c r="ED86">
        <f>SUMIF('Как будет'!$A$73:$A$80,Доп.расчеты!$A86,'Как будет'!EE$73:EE$80)</f>
        <v>0</v>
      </c>
      <c r="EE86">
        <f>SUMIF('Как будет'!$A$73:$A$80,Доп.расчеты!$A86,'Как будет'!EF$73:EF$80)</f>
        <v>0</v>
      </c>
      <c r="EF86">
        <f>SUMIF('Как будет'!$A$73:$A$80,Доп.расчеты!$A86,'Как будет'!EG$73:EG$80)</f>
        <v>0</v>
      </c>
      <c r="EG86">
        <f>SUMIF('Как будет'!$A$73:$A$80,Доп.расчеты!$A86,'Как будет'!EH$73:EH$80)</f>
        <v>0</v>
      </c>
      <c r="EH86">
        <f>SUMIF('Как будет'!$A$73:$A$80,Доп.расчеты!$A86,'Как будет'!EI$73:EI$80)</f>
        <v>0</v>
      </c>
      <c r="EI86">
        <f>SUMIF('Как будет'!$A$73:$A$80,Доп.расчеты!$A86,'Как будет'!EJ$73:EJ$80)</f>
        <v>0</v>
      </c>
      <c r="EJ86">
        <f>SUMIF('Как будет'!$A$73:$A$80,Доп.расчеты!$A86,'Как будет'!EK$73:EK$80)</f>
        <v>0</v>
      </c>
      <c r="EK86">
        <f>SUMIF('Как будет'!$A$73:$A$80,Доп.расчеты!$A86,'Как будет'!EL$73:EL$80)</f>
        <v>0</v>
      </c>
      <c r="EL86">
        <f>SUMIF('Как будет'!$A$73:$A$80,Доп.расчеты!$A86,'Как будет'!EM$73:EM$80)</f>
        <v>0</v>
      </c>
      <c r="EM86">
        <f>SUMIF('Как будет'!$A$73:$A$80,Доп.расчеты!$A86,'Как будет'!EN$73:EN$80)</f>
        <v>0</v>
      </c>
      <c r="EN86">
        <f>SUMIF('Как будет'!$A$73:$A$80,Доп.расчеты!$A86,'Как будет'!EO$73:EO$80)</f>
        <v>0</v>
      </c>
      <c r="EO86">
        <f>SUMIF('Как будет'!$A$73:$A$80,Доп.расчеты!$A86,'Как будет'!EP$73:EP$80)</f>
        <v>0</v>
      </c>
      <c r="EP86">
        <f>SUMIF('Как будет'!$A$73:$A$80,Доп.расчеты!$A86,'Как будет'!EQ$73:EQ$80)</f>
        <v>0</v>
      </c>
      <c r="EQ86">
        <f>SUMIF('Как будет'!$A$73:$A$80,Доп.расчеты!$A86,'Как будет'!ER$73:ER$80)</f>
        <v>0</v>
      </c>
      <c r="ER86">
        <f>SUMIF('Как будет'!$A$73:$A$80,Доп.расчеты!$A86,'Как будет'!ES$73:ES$80)</f>
        <v>0</v>
      </c>
      <c r="ES86">
        <f>SUMIF('Как будет'!$A$73:$A$80,Доп.расчеты!$A86,'Как будет'!ET$73:ET$80)</f>
        <v>0</v>
      </c>
      <c r="ET86">
        <f>SUMIF('Как будет'!$A$73:$A$80,Доп.расчеты!$A86,'Как будет'!EU$73:EU$80)</f>
        <v>0</v>
      </c>
      <c r="EU86">
        <f>SUMIF('Как будет'!$A$73:$A$80,Доп.расчеты!$A86,'Как будет'!EV$73:EV$80)</f>
        <v>0</v>
      </c>
      <c r="EV86">
        <f>SUMIF('Как будет'!$A$73:$A$80,Доп.расчеты!$A86,'Как будет'!EW$73:EW$80)</f>
        <v>0</v>
      </c>
      <c r="EW86">
        <f>SUMIF('Как будет'!$A$73:$A$80,Доп.расчеты!$A86,'Как будет'!EX$73:EX$80)</f>
        <v>0</v>
      </c>
      <c r="EX86">
        <f>SUMIF('Как будет'!$A$73:$A$80,Доп.расчеты!$A86,'Как будет'!EY$73:EY$80)</f>
        <v>0</v>
      </c>
      <c r="EY86">
        <f>SUMIF('Как будет'!$A$73:$A$80,Доп.расчеты!$A86,'Как будет'!EZ$73:EZ$80)</f>
        <v>0</v>
      </c>
      <c r="EZ86">
        <f>SUMIF('Как будет'!$A$73:$A$80,Доп.расчеты!$A86,'Как будет'!FA$73:FA$80)</f>
        <v>0</v>
      </c>
      <c r="FA86">
        <f>SUMIF('Как будет'!$A$73:$A$80,Доп.расчеты!$A86,'Как будет'!FB$73:FB$80)</f>
        <v>0</v>
      </c>
      <c r="FB86">
        <f>SUMIF('Как будет'!$A$73:$A$80,Доп.расчеты!$A86,'Как будет'!FC$73:FC$80)</f>
        <v>0</v>
      </c>
      <c r="FC86">
        <f>SUMIF('Как будет'!$A$73:$A$80,Доп.расчеты!$A86,'Как будет'!FD$73:FD$80)</f>
        <v>0</v>
      </c>
      <c r="FD86">
        <f>SUMIF('Как будет'!$A$73:$A$80,Доп.расчеты!$A86,'Как будет'!FE$73:FE$80)</f>
        <v>0</v>
      </c>
      <c r="FE86">
        <f>SUMIF('Как будет'!$A$73:$A$80,Доп.расчеты!$A86,'Как будет'!FF$73:FF$80)</f>
        <v>0</v>
      </c>
      <c r="FF86">
        <f>SUMIF('Как будет'!$A$73:$A$80,Доп.расчеты!$A86,'Как будет'!FG$73:FG$80)</f>
        <v>0</v>
      </c>
      <c r="FG86">
        <f>SUMIF('Как будет'!$A$73:$A$80,Доп.расчеты!$A86,'Как будет'!FH$73:FH$80)</f>
        <v>0</v>
      </c>
      <c r="FH86">
        <f>SUMIF('Как будет'!$A$73:$A$80,Доп.расчеты!$A86,'Как будет'!FI$73:FI$80)</f>
        <v>0</v>
      </c>
      <c r="FI86">
        <f>SUMIF('Как будет'!$A$73:$A$80,Доп.расчеты!$A86,'Как будет'!FJ$73:FJ$80)</f>
        <v>0</v>
      </c>
      <c r="FJ86">
        <f>SUMIF('Как будет'!$A$73:$A$80,Доп.расчеты!$A86,'Как будет'!FK$73:FK$80)</f>
        <v>0</v>
      </c>
      <c r="FK86">
        <f>SUMIF('Как будет'!$A$73:$A$80,Доп.расчеты!$A86,'Как будет'!FL$73:FL$80)</f>
        <v>0</v>
      </c>
      <c r="FL86">
        <f>SUMIF('Как будет'!$A$73:$A$80,Доп.расчеты!$A86,'Как будет'!FM$73:FM$80)</f>
        <v>0</v>
      </c>
      <c r="FM86">
        <f>SUMIF('Как будет'!$A$73:$A$80,Доп.расчеты!$A86,'Как будет'!FN$73:FN$80)</f>
        <v>0</v>
      </c>
      <c r="FN86">
        <f>SUMIF('Как будет'!$A$73:$A$80,Доп.расчеты!$A86,'Как будет'!FO$73:FO$80)</f>
        <v>0</v>
      </c>
      <c r="FO86">
        <f>SUMIF('Как будет'!$A$73:$A$80,Доп.расчеты!$A86,'Как будет'!FP$73:FP$80)</f>
        <v>0</v>
      </c>
      <c r="FP86">
        <f>SUMIF('Как будет'!$A$73:$A$80,Доп.расчеты!$A86,'Как будет'!FQ$73:FQ$80)</f>
        <v>0</v>
      </c>
      <c r="FQ86">
        <f>SUMIF('Как будет'!$A$73:$A$80,Доп.расчеты!$A86,'Как будет'!FR$73:FR$80)</f>
        <v>0</v>
      </c>
      <c r="FR86">
        <f>SUMIF('Как будет'!$A$73:$A$80,Доп.расчеты!$A86,'Как будет'!FS$73:FS$80)</f>
        <v>0</v>
      </c>
      <c r="FS86">
        <f>SUMIF('Как будет'!$A$73:$A$80,Доп.расчеты!$A86,'Как будет'!FT$73:FT$80)</f>
        <v>0</v>
      </c>
      <c r="FT86">
        <f>SUMIF('Как будет'!$A$73:$A$80,Доп.расчеты!$A86,'Как будет'!FU$73:FU$80)</f>
        <v>0</v>
      </c>
      <c r="FU86">
        <f>SUMIF('Как будет'!$A$73:$A$80,Доп.расчеты!$A86,'Как будет'!FV$73:FV$80)</f>
        <v>0</v>
      </c>
      <c r="FV86">
        <f>SUMIF('Как будет'!$A$73:$A$80,Доп.расчеты!$A86,'Как будет'!FW$73:FW$80)</f>
        <v>0</v>
      </c>
      <c r="FW86">
        <f>SUMIF('Как будет'!$A$73:$A$80,Доп.расчеты!$A86,'Как будет'!FX$73:FX$80)</f>
        <v>0</v>
      </c>
      <c r="FX86">
        <f>SUMIF('Как будет'!$A$73:$A$80,Доп.расчеты!$A86,'Как будет'!FY$73:FY$80)</f>
        <v>0</v>
      </c>
      <c r="FY86">
        <f>SUMIF('Как будет'!$A$73:$A$80,Доп.расчеты!$A86,'Как будет'!FZ$73:FZ$80)</f>
        <v>0</v>
      </c>
      <c r="FZ86">
        <f>SUMIF('Как будет'!$A$73:$A$80,Доп.расчеты!$A86,'Как будет'!GA$73:GA$80)</f>
        <v>0</v>
      </c>
      <c r="GA86">
        <f>SUMIF('Как будет'!$A$73:$A$80,Доп.расчеты!$A86,'Как будет'!GB$73:GB$80)</f>
        <v>0</v>
      </c>
      <c r="GB86">
        <f>SUMIF('Как будет'!$A$73:$A$80,Доп.расчеты!$A86,'Как будет'!GC$73:GC$80)</f>
        <v>0</v>
      </c>
      <c r="GC86">
        <f>SUMIF('Как будет'!$A$73:$A$80,Доп.расчеты!$A86,'Как будет'!GD$73:GD$80)</f>
        <v>0</v>
      </c>
      <c r="GD86">
        <f>SUMIF('Как будет'!$A$73:$A$80,Доп.расчеты!$A86,'Как будет'!GE$73:GE$80)</f>
        <v>0</v>
      </c>
      <c r="GE86">
        <f>SUMIF('Как будет'!$A$73:$A$80,Доп.расчеты!$A86,'Как будет'!GF$73:GF$80)</f>
        <v>0</v>
      </c>
      <c r="GF86">
        <f>SUMIF('Как будет'!$A$73:$A$80,Доп.расчеты!$A86,'Как будет'!GG$73:GG$80)</f>
        <v>0</v>
      </c>
      <c r="GG86">
        <f>SUMIF('Как будет'!$A$73:$A$80,Доп.расчеты!$A86,'Как будет'!GH$73:GH$80)</f>
        <v>0</v>
      </c>
      <c r="GH86">
        <f>SUMIF('Как будет'!$A$73:$A$80,Доп.расчеты!$A86,'Как будет'!GI$73:GI$80)</f>
        <v>0</v>
      </c>
      <c r="GI86">
        <f>SUMIF('Как будет'!$A$73:$A$80,Доп.расчеты!$A86,'Как будет'!GJ$73:GJ$80)</f>
        <v>0</v>
      </c>
      <c r="GJ86">
        <f>SUMIF('Как будет'!$A$73:$A$80,Доп.расчеты!$A86,'Как будет'!GK$73:GK$80)</f>
        <v>0</v>
      </c>
      <c r="GK86">
        <f>SUMIF('Как будет'!$A$73:$A$80,Доп.расчеты!$A86,'Как будет'!GL$73:GL$80)</f>
        <v>0</v>
      </c>
      <c r="GL86">
        <f>SUMIF('Как будет'!$A$73:$A$80,Доп.расчеты!$A86,'Как будет'!GM$73:GM$80)</f>
        <v>0</v>
      </c>
      <c r="GM86">
        <f>SUMIF('Как будет'!$A$73:$A$80,Доп.расчеты!$A86,'Как будет'!GN$73:GN$80)</f>
        <v>0</v>
      </c>
      <c r="GN86">
        <f>SUMIF('Как будет'!$A$73:$A$80,Доп.расчеты!$A86,'Как будет'!GO$73:GO$80)</f>
        <v>0</v>
      </c>
      <c r="GO86">
        <f>SUMIF('Как будет'!$A$73:$A$80,Доп.расчеты!$A86,'Как будет'!GP$73:GP$80)</f>
        <v>0</v>
      </c>
      <c r="GP86">
        <f>SUMIF('Как будет'!$A$73:$A$80,Доп.расчеты!$A86,'Как будет'!GQ$73:GQ$80)</f>
        <v>0</v>
      </c>
      <c r="GQ86">
        <f>SUMIF('Как будет'!$A$73:$A$80,Доп.расчеты!$A86,'Как будет'!GR$73:GR$80)</f>
        <v>0</v>
      </c>
      <c r="GR86">
        <f>SUMIF('Как будет'!$A$73:$A$80,Доп.расчеты!$A86,'Как будет'!GS$73:GS$80)</f>
        <v>0</v>
      </c>
      <c r="GS86">
        <f>SUMIF('Как будет'!$A$73:$A$80,Доп.расчеты!$A86,'Как будет'!GT$73:GT$80)</f>
        <v>0</v>
      </c>
      <c r="GT86">
        <f>SUMIF('Как будет'!$A$73:$A$80,Доп.расчеты!$A86,'Как будет'!GU$73:GU$80)</f>
        <v>0</v>
      </c>
    </row>
    <row r="87" spans="1:202">
      <c r="A87" s="237" t="s">
        <v>95</v>
      </c>
      <c r="B87">
        <f>SUMIF('Как будет'!$A$73:$A$80,Доп.расчеты!$A87,'Как будет'!C$73:C$80)</f>
        <v>0</v>
      </c>
      <c r="C87">
        <f>SUMIF('Как будет'!$A$73:$A$80,Доп.расчеты!$A87,'Как будет'!D$73:D$80)</f>
        <v>0</v>
      </c>
      <c r="D87">
        <f>SUMIF('Как будет'!$A$73:$A$80,Доп.расчеты!$A87,'Как будет'!E$73:E$80)</f>
        <v>0</v>
      </c>
      <c r="E87">
        <f>SUMIF('Как будет'!$A$73:$A$80,Доп.расчеты!$A87,'Как будет'!F$73:F$80)</f>
        <v>0</v>
      </c>
      <c r="F87">
        <f>SUMIF('Как будет'!$A$73:$A$80,Доп.расчеты!$A87,'Как будет'!G$73:G$80)</f>
        <v>0</v>
      </c>
      <c r="G87">
        <f>SUMIF('Как будет'!$A$73:$A$80,Доп.расчеты!$A87,'Как будет'!H$73:H$80)</f>
        <v>0</v>
      </c>
      <c r="H87">
        <f>SUMIF('Как будет'!$A$73:$A$80,Доп.расчеты!$A87,'Как будет'!I$73:I$80)</f>
        <v>0</v>
      </c>
      <c r="I87">
        <f>SUMIF('Как будет'!$A$73:$A$80,Доп.расчеты!$A87,'Как будет'!J$73:J$80)</f>
        <v>0</v>
      </c>
      <c r="J87">
        <f>SUMIF('Как будет'!$A$73:$A$80,Доп.расчеты!$A87,'Как будет'!K$73:K$80)</f>
        <v>0</v>
      </c>
      <c r="K87">
        <f>SUMIF('Как будет'!$A$73:$A$80,Доп.расчеты!$A87,'Как будет'!L$73:L$80)</f>
        <v>0</v>
      </c>
      <c r="L87">
        <f>SUMIF('Как будет'!$A$73:$A$80,Доп.расчеты!$A87,'Как будет'!M$73:M$80)</f>
        <v>0</v>
      </c>
      <c r="M87">
        <f>SUMIF('Как будет'!$A$73:$A$80,Доп.расчеты!$A87,'Как будет'!N$73:N$80)</f>
        <v>0</v>
      </c>
      <c r="N87">
        <f>SUMIF('Как будет'!$A$73:$A$80,Доп.расчеты!$A87,'Как будет'!O$73:O$80)</f>
        <v>0</v>
      </c>
      <c r="O87">
        <f>SUMIF('Как будет'!$A$73:$A$80,Доп.расчеты!$A87,'Как будет'!P$73:P$80)</f>
        <v>0</v>
      </c>
      <c r="P87">
        <f>SUMIF('Как будет'!$A$73:$A$80,Доп.расчеты!$A87,'Как будет'!Q$73:Q$80)</f>
        <v>0</v>
      </c>
      <c r="Q87">
        <f>SUMIF('Как будет'!$A$73:$A$80,Доп.расчеты!$A87,'Как будет'!R$73:R$80)</f>
        <v>0</v>
      </c>
      <c r="R87">
        <f>SUMIF('Как будет'!$A$73:$A$80,Доп.расчеты!$A87,'Как будет'!S$73:S$80)</f>
        <v>0</v>
      </c>
      <c r="S87">
        <f>SUMIF('Как будет'!$A$73:$A$80,Доп.расчеты!$A87,'Как будет'!T$73:T$80)</f>
        <v>0</v>
      </c>
      <c r="T87">
        <f>SUMIF('Как будет'!$A$73:$A$80,Доп.расчеты!$A87,'Как будет'!U$73:U$80)</f>
        <v>0</v>
      </c>
      <c r="U87">
        <f>SUMIF('Как будет'!$A$73:$A$80,Доп.расчеты!$A87,'Как будет'!V$73:V$80)</f>
        <v>0</v>
      </c>
      <c r="V87">
        <f>SUMIF('Как будет'!$A$73:$A$80,Доп.расчеты!$A87,'Как будет'!W$73:W$80)</f>
        <v>0</v>
      </c>
      <c r="W87">
        <f>SUMIF('Как будет'!$A$73:$A$80,Доп.расчеты!$A87,'Как будет'!X$73:X$80)</f>
        <v>0</v>
      </c>
      <c r="X87">
        <f>SUMIF('Как будет'!$A$73:$A$80,Доп.расчеты!$A87,'Как будет'!Y$73:Y$80)</f>
        <v>0</v>
      </c>
      <c r="Y87">
        <f>SUMIF('Как будет'!$A$73:$A$80,Доп.расчеты!$A87,'Как будет'!Z$73:Z$80)</f>
        <v>0</v>
      </c>
      <c r="Z87">
        <f>SUMIF('Как будет'!$A$73:$A$80,Доп.расчеты!$A87,'Как будет'!AA$73:AA$80)</f>
        <v>0</v>
      </c>
      <c r="AA87">
        <f>SUMIF('Как будет'!$A$73:$A$80,Доп.расчеты!$A87,'Как будет'!AB$73:AB$80)</f>
        <v>0</v>
      </c>
      <c r="AB87">
        <f>SUMIF('Как будет'!$A$73:$A$80,Доп.расчеты!$A87,'Как будет'!AC$73:AC$80)</f>
        <v>0</v>
      </c>
      <c r="AC87">
        <f>SUMIF('Как будет'!$A$73:$A$80,Доп.расчеты!$A87,'Как будет'!AD$73:AD$80)</f>
        <v>0</v>
      </c>
      <c r="AD87">
        <f>SUMIF('Как будет'!$A$73:$A$80,Доп.расчеты!$A87,'Как будет'!AE$73:AE$80)</f>
        <v>0</v>
      </c>
      <c r="AE87">
        <f>SUMIF('Как будет'!$A$73:$A$80,Доп.расчеты!$A87,'Как будет'!AF$73:AF$80)</f>
        <v>0</v>
      </c>
      <c r="AF87">
        <f>SUMIF('Как будет'!$A$73:$A$80,Доп.расчеты!$A87,'Как будет'!AG$73:AG$80)</f>
        <v>0</v>
      </c>
      <c r="AG87">
        <f>SUMIF('Как будет'!$A$73:$A$80,Доп.расчеты!$A87,'Как будет'!AH$73:AH$80)</f>
        <v>0</v>
      </c>
      <c r="AH87">
        <f>SUMIF('Как будет'!$A$73:$A$80,Доп.расчеты!$A87,'Как будет'!AI$73:AI$80)</f>
        <v>0</v>
      </c>
      <c r="AI87">
        <f>SUMIF('Как будет'!$A$73:$A$80,Доп.расчеты!$A87,'Как будет'!AJ$73:AJ$80)</f>
        <v>0</v>
      </c>
      <c r="AJ87">
        <f>SUMIF('Как будет'!$A$73:$A$80,Доп.расчеты!$A87,'Как будет'!AK$73:AK$80)</f>
        <v>0</v>
      </c>
      <c r="AK87">
        <f>SUMIF('Как будет'!$A$73:$A$80,Доп.расчеты!$A87,'Как будет'!AL$73:AL$80)</f>
        <v>0</v>
      </c>
      <c r="AL87">
        <f>SUMIF('Как будет'!$A$73:$A$80,Доп.расчеты!$A87,'Как будет'!AM$73:AM$80)</f>
        <v>0</v>
      </c>
      <c r="AM87">
        <f>SUMIF('Как будет'!$A$73:$A$80,Доп.расчеты!$A87,'Как будет'!AN$73:AN$80)</f>
        <v>0</v>
      </c>
      <c r="AN87">
        <f>SUMIF('Как будет'!$A$73:$A$80,Доп.расчеты!$A87,'Как будет'!AO$73:AO$80)</f>
        <v>0</v>
      </c>
      <c r="AO87">
        <f>SUMIF('Как будет'!$A$73:$A$80,Доп.расчеты!$A87,'Как будет'!AP$73:AP$80)</f>
        <v>0</v>
      </c>
      <c r="AP87">
        <f>SUMIF('Как будет'!$A$73:$A$80,Доп.расчеты!$A87,'Как будет'!AQ$73:AQ$80)</f>
        <v>0</v>
      </c>
      <c r="AQ87">
        <f>SUMIF('Как будет'!$A$73:$A$80,Доп.расчеты!$A87,'Как будет'!AR$73:AR$80)</f>
        <v>0</v>
      </c>
      <c r="AR87">
        <f>SUMIF('Как будет'!$A$73:$A$80,Доп.расчеты!$A87,'Как будет'!AS$73:AS$80)</f>
        <v>0</v>
      </c>
      <c r="AS87">
        <f>SUMIF('Как будет'!$A$73:$A$80,Доп.расчеты!$A87,'Как будет'!AT$73:AT$80)</f>
        <v>0</v>
      </c>
      <c r="AT87">
        <f>SUMIF('Как будет'!$A$73:$A$80,Доп.расчеты!$A87,'Как будет'!AU$73:AU$80)</f>
        <v>0</v>
      </c>
      <c r="AU87">
        <f>SUMIF('Как будет'!$A$73:$A$80,Доп.расчеты!$A87,'Как будет'!AV$73:AV$80)</f>
        <v>0</v>
      </c>
      <c r="AV87">
        <f>SUMIF('Как будет'!$A$73:$A$80,Доп.расчеты!$A87,'Как будет'!AW$73:AW$80)</f>
        <v>0</v>
      </c>
      <c r="AW87">
        <f>SUMIF('Как будет'!$A$73:$A$80,Доп.расчеты!$A87,'Как будет'!AX$73:AX$80)</f>
        <v>0</v>
      </c>
      <c r="AX87">
        <f>SUMIF('Как будет'!$A$73:$A$80,Доп.расчеты!$A87,'Как будет'!AY$73:AY$80)</f>
        <v>0</v>
      </c>
      <c r="AY87">
        <f>SUMIF('Как будет'!$A$73:$A$80,Доп.расчеты!$A87,'Как будет'!AZ$73:AZ$80)</f>
        <v>0</v>
      </c>
      <c r="AZ87">
        <f>SUMIF('Как будет'!$A$73:$A$80,Доп.расчеты!$A87,'Как будет'!BA$73:BA$80)</f>
        <v>0</v>
      </c>
      <c r="BA87">
        <f>SUMIF('Как будет'!$A$73:$A$80,Доп.расчеты!$A87,'Как будет'!BB$73:BB$80)</f>
        <v>0</v>
      </c>
      <c r="BB87">
        <f>SUMIF('Как будет'!$A$73:$A$80,Доп.расчеты!$A87,'Как будет'!BC$73:BC$80)</f>
        <v>0</v>
      </c>
      <c r="BC87">
        <f>SUMIF('Как будет'!$A$73:$A$80,Доп.расчеты!$A87,'Как будет'!BD$73:BD$80)</f>
        <v>0</v>
      </c>
      <c r="BD87">
        <f>SUMIF('Как будет'!$A$73:$A$80,Доп.расчеты!$A87,'Как будет'!BE$73:BE$80)</f>
        <v>0</v>
      </c>
      <c r="BE87">
        <f>SUMIF('Как будет'!$A$73:$A$80,Доп.расчеты!$A87,'Как будет'!BF$73:BF$80)</f>
        <v>0</v>
      </c>
      <c r="BF87">
        <f>SUMIF('Как будет'!$A$73:$A$80,Доп.расчеты!$A87,'Как будет'!BG$73:BG$80)</f>
        <v>0</v>
      </c>
      <c r="BG87">
        <f>SUMIF('Как будет'!$A$73:$A$80,Доп.расчеты!$A87,'Как будет'!BH$73:BH$80)</f>
        <v>0</v>
      </c>
      <c r="BH87">
        <f>SUMIF('Как будет'!$A$73:$A$80,Доп.расчеты!$A87,'Как будет'!BI$73:BI$80)</f>
        <v>0</v>
      </c>
      <c r="BI87">
        <f>SUMIF('Как будет'!$A$73:$A$80,Доп.расчеты!$A87,'Как будет'!BJ$73:BJ$80)</f>
        <v>0</v>
      </c>
      <c r="BJ87">
        <f>SUMIF('Как будет'!$A$73:$A$80,Доп.расчеты!$A87,'Как будет'!BK$73:BK$80)</f>
        <v>0</v>
      </c>
      <c r="BK87">
        <f>SUMIF('Как будет'!$A$73:$A$80,Доп.расчеты!$A87,'Как будет'!BL$73:BL$80)</f>
        <v>0</v>
      </c>
      <c r="BL87">
        <f>SUMIF('Как будет'!$A$73:$A$80,Доп.расчеты!$A87,'Как будет'!BM$73:BM$80)</f>
        <v>0</v>
      </c>
      <c r="BM87">
        <f>SUMIF('Как будет'!$A$73:$A$80,Доп.расчеты!$A87,'Как будет'!BN$73:BN$80)</f>
        <v>0</v>
      </c>
      <c r="BN87">
        <f>SUMIF('Как будет'!$A$73:$A$80,Доп.расчеты!$A87,'Как будет'!BO$73:BO$80)</f>
        <v>0</v>
      </c>
      <c r="BO87">
        <f>SUMIF('Как будет'!$A$73:$A$80,Доп.расчеты!$A87,'Как будет'!BP$73:BP$80)</f>
        <v>0</v>
      </c>
      <c r="BP87">
        <f>SUMIF('Как будет'!$A$73:$A$80,Доп.расчеты!$A87,'Как будет'!BQ$73:BQ$80)</f>
        <v>0</v>
      </c>
      <c r="BQ87">
        <f>SUMIF('Как будет'!$A$73:$A$80,Доп.расчеты!$A87,'Как будет'!BR$73:BR$80)</f>
        <v>0</v>
      </c>
      <c r="BR87">
        <f>SUMIF('Как будет'!$A$73:$A$80,Доп.расчеты!$A87,'Как будет'!BS$73:BS$80)</f>
        <v>0</v>
      </c>
      <c r="BS87">
        <f>SUMIF('Как будет'!$A$73:$A$80,Доп.расчеты!$A87,'Как будет'!BT$73:BT$80)</f>
        <v>0</v>
      </c>
      <c r="BT87">
        <f>SUMIF('Как будет'!$A$73:$A$80,Доп.расчеты!$A87,'Как будет'!BU$73:BU$80)</f>
        <v>0</v>
      </c>
      <c r="BU87">
        <f>SUMIF('Как будет'!$A$73:$A$80,Доп.расчеты!$A87,'Как будет'!BV$73:BV$80)</f>
        <v>0</v>
      </c>
      <c r="BV87">
        <f>SUMIF('Как будет'!$A$73:$A$80,Доп.расчеты!$A87,'Как будет'!BW$73:BW$80)</f>
        <v>0</v>
      </c>
      <c r="BW87">
        <f>SUMIF('Как будет'!$A$73:$A$80,Доп.расчеты!$A87,'Как будет'!BX$73:BX$80)</f>
        <v>0</v>
      </c>
      <c r="BX87">
        <f>SUMIF('Как будет'!$A$73:$A$80,Доп.расчеты!$A87,'Как будет'!BY$73:BY$80)</f>
        <v>0</v>
      </c>
      <c r="BY87">
        <f>SUMIF('Как будет'!$A$73:$A$80,Доп.расчеты!$A87,'Как будет'!BZ$73:BZ$80)</f>
        <v>0</v>
      </c>
      <c r="BZ87">
        <f>SUMIF('Как будет'!$A$73:$A$80,Доп.расчеты!$A87,'Как будет'!CA$73:CA$80)</f>
        <v>0</v>
      </c>
      <c r="CA87">
        <f>SUMIF('Как будет'!$A$73:$A$80,Доп.расчеты!$A87,'Как будет'!CB$73:CB$80)</f>
        <v>0</v>
      </c>
      <c r="CB87">
        <f>SUMIF('Как будет'!$A$73:$A$80,Доп.расчеты!$A87,'Как будет'!CC$73:CC$80)</f>
        <v>0</v>
      </c>
      <c r="CC87">
        <f>SUMIF('Как будет'!$A$73:$A$80,Доп.расчеты!$A87,'Как будет'!CD$73:CD$80)</f>
        <v>0</v>
      </c>
      <c r="CD87">
        <f>SUMIF('Как будет'!$A$73:$A$80,Доп.расчеты!$A87,'Как будет'!CE$73:CE$80)</f>
        <v>0</v>
      </c>
      <c r="CE87">
        <f>SUMIF('Как будет'!$A$73:$A$80,Доп.расчеты!$A87,'Как будет'!CF$73:CF$80)</f>
        <v>0</v>
      </c>
      <c r="CF87">
        <f>SUMIF('Как будет'!$A$73:$A$80,Доп.расчеты!$A87,'Как будет'!CG$73:CG$80)</f>
        <v>0</v>
      </c>
      <c r="CG87">
        <f>SUMIF('Как будет'!$A$73:$A$80,Доп.расчеты!$A87,'Как будет'!CH$73:CH$80)</f>
        <v>0</v>
      </c>
      <c r="CH87">
        <f>SUMIF('Как будет'!$A$73:$A$80,Доп.расчеты!$A87,'Как будет'!CI$73:CI$80)</f>
        <v>0</v>
      </c>
      <c r="CI87">
        <f>SUMIF('Как будет'!$A$73:$A$80,Доп.расчеты!$A87,'Как будет'!CJ$73:CJ$80)</f>
        <v>0</v>
      </c>
      <c r="CJ87">
        <f>SUMIF('Как будет'!$A$73:$A$80,Доп.расчеты!$A87,'Как будет'!CK$73:CK$80)</f>
        <v>0</v>
      </c>
      <c r="CK87">
        <f>SUMIF('Как будет'!$A$73:$A$80,Доп.расчеты!$A87,'Как будет'!CL$73:CL$80)</f>
        <v>0</v>
      </c>
      <c r="CL87">
        <f>SUMIF('Как будет'!$A$73:$A$80,Доп.расчеты!$A87,'Как будет'!CM$73:CM$80)</f>
        <v>0</v>
      </c>
      <c r="CM87">
        <f>SUMIF('Как будет'!$A$73:$A$80,Доп.расчеты!$A87,'Как будет'!CN$73:CN$80)</f>
        <v>0</v>
      </c>
      <c r="CN87">
        <f>SUMIF('Как будет'!$A$73:$A$80,Доп.расчеты!$A87,'Как будет'!CO$73:CO$80)</f>
        <v>0</v>
      </c>
      <c r="CO87">
        <f>SUMIF('Как будет'!$A$73:$A$80,Доп.расчеты!$A87,'Как будет'!CP$73:CP$80)</f>
        <v>0</v>
      </c>
      <c r="CP87">
        <f>SUMIF('Как будет'!$A$73:$A$80,Доп.расчеты!$A87,'Как будет'!CQ$73:CQ$80)</f>
        <v>0</v>
      </c>
      <c r="CQ87">
        <f>SUMIF('Как будет'!$A$73:$A$80,Доп.расчеты!$A87,'Как будет'!CR$73:CR$80)</f>
        <v>0</v>
      </c>
      <c r="CR87">
        <f>SUMIF('Как будет'!$A$73:$A$80,Доп.расчеты!$A87,'Как будет'!CS$73:CS$80)</f>
        <v>0</v>
      </c>
      <c r="CS87">
        <f>SUMIF('Как будет'!$A$73:$A$80,Доп.расчеты!$A87,'Как будет'!CT$73:CT$80)</f>
        <v>0</v>
      </c>
      <c r="CT87">
        <f>SUMIF('Как будет'!$A$73:$A$80,Доп.расчеты!$A87,'Как будет'!CU$73:CU$80)</f>
        <v>0</v>
      </c>
      <c r="CU87">
        <f>SUMIF('Как будет'!$A$73:$A$80,Доп.расчеты!$A87,'Как будет'!CV$73:CV$80)</f>
        <v>0</v>
      </c>
      <c r="CV87">
        <f>SUMIF('Как будет'!$A$73:$A$80,Доп.расчеты!$A87,'Как будет'!CW$73:CW$80)</f>
        <v>0</v>
      </c>
      <c r="CW87">
        <f>SUMIF('Как будет'!$A$73:$A$80,Доп.расчеты!$A87,'Как будет'!CX$73:CX$80)</f>
        <v>0</v>
      </c>
      <c r="CX87">
        <f>SUMIF('Как будет'!$A$73:$A$80,Доп.расчеты!$A87,'Как будет'!CY$73:CY$80)</f>
        <v>0</v>
      </c>
      <c r="CY87">
        <f>SUMIF('Как будет'!$A$73:$A$80,Доп.расчеты!$A87,'Как будет'!CZ$73:CZ$80)</f>
        <v>0</v>
      </c>
      <c r="CZ87">
        <f>SUMIF('Как будет'!$A$73:$A$80,Доп.расчеты!$A87,'Как будет'!DA$73:DA$80)</f>
        <v>0</v>
      </c>
      <c r="DA87">
        <f>SUMIF('Как будет'!$A$73:$A$80,Доп.расчеты!$A87,'Как будет'!DB$73:DB$80)</f>
        <v>0</v>
      </c>
      <c r="DB87">
        <f>SUMIF('Как будет'!$A$73:$A$80,Доп.расчеты!$A87,'Как будет'!DC$73:DC$80)</f>
        <v>0</v>
      </c>
      <c r="DC87">
        <f>SUMIF('Как будет'!$A$73:$A$80,Доп.расчеты!$A87,'Как будет'!DD$73:DD$80)</f>
        <v>0</v>
      </c>
      <c r="DD87">
        <f>SUMIF('Как будет'!$A$73:$A$80,Доп.расчеты!$A87,'Как будет'!DE$73:DE$80)</f>
        <v>0</v>
      </c>
      <c r="DE87">
        <f>SUMIF('Как будет'!$A$73:$A$80,Доп.расчеты!$A87,'Как будет'!DF$73:DF$80)</f>
        <v>0</v>
      </c>
      <c r="DF87">
        <f>SUMIF('Как будет'!$A$73:$A$80,Доп.расчеты!$A87,'Как будет'!DG$73:DG$80)</f>
        <v>0</v>
      </c>
      <c r="DG87">
        <f>SUMIF('Как будет'!$A$73:$A$80,Доп.расчеты!$A87,'Как будет'!DH$73:DH$80)</f>
        <v>0</v>
      </c>
      <c r="DH87">
        <f>SUMIF('Как будет'!$A$73:$A$80,Доп.расчеты!$A87,'Как будет'!DI$73:DI$80)</f>
        <v>0</v>
      </c>
      <c r="DI87">
        <f>SUMIF('Как будет'!$A$73:$A$80,Доп.расчеты!$A87,'Как будет'!DJ$73:DJ$80)</f>
        <v>0</v>
      </c>
      <c r="DJ87">
        <f>SUMIF('Как будет'!$A$73:$A$80,Доп.расчеты!$A87,'Как будет'!DK$73:DK$80)</f>
        <v>0</v>
      </c>
      <c r="DK87">
        <f>SUMIF('Как будет'!$A$73:$A$80,Доп.расчеты!$A87,'Как будет'!DL$73:DL$80)</f>
        <v>0</v>
      </c>
      <c r="DL87">
        <f>SUMIF('Как будет'!$A$73:$A$80,Доп.расчеты!$A87,'Как будет'!DM$73:DM$80)</f>
        <v>0</v>
      </c>
      <c r="DM87">
        <f>SUMIF('Как будет'!$A$73:$A$80,Доп.расчеты!$A87,'Как будет'!DN$73:DN$80)</f>
        <v>0</v>
      </c>
      <c r="DN87">
        <f>SUMIF('Как будет'!$A$73:$A$80,Доп.расчеты!$A87,'Как будет'!DO$73:DO$80)</f>
        <v>0</v>
      </c>
      <c r="DO87">
        <f>SUMIF('Как будет'!$A$73:$A$80,Доп.расчеты!$A87,'Как будет'!DP$73:DP$80)</f>
        <v>0</v>
      </c>
      <c r="DP87">
        <f>SUMIF('Как будет'!$A$73:$A$80,Доп.расчеты!$A87,'Как будет'!DQ$73:DQ$80)</f>
        <v>0</v>
      </c>
      <c r="DQ87">
        <f>SUMIF('Как будет'!$A$73:$A$80,Доп.расчеты!$A87,'Как будет'!DR$73:DR$80)</f>
        <v>0</v>
      </c>
      <c r="DR87">
        <f>SUMIF('Как будет'!$A$73:$A$80,Доп.расчеты!$A87,'Как будет'!DS$73:DS$80)</f>
        <v>0</v>
      </c>
      <c r="DS87">
        <f>SUMIF('Как будет'!$A$73:$A$80,Доп.расчеты!$A87,'Как будет'!DT$73:DT$80)</f>
        <v>0</v>
      </c>
      <c r="DT87">
        <f>SUMIF('Как будет'!$A$73:$A$80,Доп.расчеты!$A87,'Как будет'!DU$73:DU$80)</f>
        <v>0</v>
      </c>
      <c r="DU87">
        <f>SUMIF('Как будет'!$A$73:$A$80,Доп.расчеты!$A87,'Как будет'!DV$73:DV$80)</f>
        <v>0</v>
      </c>
      <c r="DV87">
        <f>SUMIF('Как будет'!$A$73:$A$80,Доп.расчеты!$A87,'Как будет'!DW$73:DW$80)</f>
        <v>0</v>
      </c>
      <c r="DW87">
        <f>SUMIF('Как будет'!$A$73:$A$80,Доп.расчеты!$A87,'Как будет'!DX$73:DX$80)</f>
        <v>0</v>
      </c>
      <c r="DX87">
        <f>SUMIF('Как будет'!$A$73:$A$80,Доп.расчеты!$A87,'Как будет'!DY$73:DY$80)</f>
        <v>0</v>
      </c>
      <c r="DY87">
        <f>SUMIF('Как будет'!$A$73:$A$80,Доп.расчеты!$A87,'Как будет'!DZ$73:DZ$80)</f>
        <v>0</v>
      </c>
      <c r="DZ87">
        <f>SUMIF('Как будет'!$A$73:$A$80,Доп.расчеты!$A87,'Как будет'!EA$73:EA$80)</f>
        <v>0</v>
      </c>
      <c r="EA87">
        <f>SUMIF('Как будет'!$A$73:$A$80,Доп.расчеты!$A87,'Как будет'!EB$73:EB$80)</f>
        <v>0</v>
      </c>
      <c r="EB87">
        <f>SUMIF('Как будет'!$A$73:$A$80,Доп.расчеты!$A87,'Как будет'!EC$73:EC$80)</f>
        <v>0</v>
      </c>
      <c r="EC87">
        <f>SUMIF('Как будет'!$A$73:$A$80,Доп.расчеты!$A87,'Как будет'!ED$73:ED$80)</f>
        <v>0</v>
      </c>
      <c r="ED87">
        <f>SUMIF('Как будет'!$A$73:$A$80,Доп.расчеты!$A87,'Как будет'!EE$73:EE$80)</f>
        <v>0</v>
      </c>
      <c r="EE87">
        <f>SUMIF('Как будет'!$A$73:$A$80,Доп.расчеты!$A87,'Как будет'!EF$73:EF$80)</f>
        <v>0</v>
      </c>
      <c r="EF87">
        <f>SUMIF('Как будет'!$A$73:$A$80,Доп.расчеты!$A87,'Как будет'!EG$73:EG$80)</f>
        <v>0</v>
      </c>
      <c r="EG87">
        <f>SUMIF('Как будет'!$A$73:$A$80,Доп.расчеты!$A87,'Как будет'!EH$73:EH$80)</f>
        <v>0</v>
      </c>
      <c r="EH87">
        <f>SUMIF('Как будет'!$A$73:$A$80,Доп.расчеты!$A87,'Как будет'!EI$73:EI$80)</f>
        <v>0</v>
      </c>
      <c r="EI87">
        <f>SUMIF('Как будет'!$A$73:$A$80,Доп.расчеты!$A87,'Как будет'!EJ$73:EJ$80)</f>
        <v>0</v>
      </c>
      <c r="EJ87">
        <f>SUMIF('Как будет'!$A$73:$A$80,Доп.расчеты!$A87,'Как будет'!EK$73:EK$80)</f>
        <v>0</v>
      </c>
      <c r="EK87">
        <f>SUMIF('Как будет'!$A$73:$A$80,Доп.расчеты!$A87,'Как будет'!EL$73:EL$80)</f>
        <v>0</v>
      </c>
      <c r="EL87">
        <f>SUMIF('Как будет'!$A$73:$A$80,Доп.расчеты!$A87,'Как будет'!EM$73:EM$80)</f>
        <v>0</v>
      </c>
      <c r="EM87">
        <f>SUMIF('Как будет'!$A$73:$A$80,Доп.расчеты!$A87,'Как будет'!EN$73:EN$80)</f>
        <v>0</v>
      </c>
      <c r="EN87">
        <f>SUMIF('Как будет'!$A$73:$A$80,Доп.расчеты!$A87,'Как будет'!EO$73:EO$80)</f>
        <v>0</v>
      </c>
      <c r="EO87">
        <f>SUMIF('Как будет'!$A$73:$A$80,Доп.расчеты!$A87,'Как будет'!EP$73:EP$80)</f>
        <v>0</v>
      </c>
      <c r="EP87">
        <f>SUMIF('Как будет'!$A$73:$A$80,Доп.расчеты!$A87,'Как будет'!EQ$73:EQ$80)</f>
        <v>0</v>
      </c>
      <c r="EQ87">
        <f>SUMIF('Как будет'!$A$73:$A$80,Доп.расчеты!$A87,'Как будет'!ER$73:ER$80)</f>
        <v>0</v>
      </c>
      <c r="ER87">
        <f>SUMIF('Как будет'!$A$73:$A$80,Доп.расчеты!$A87,'Как будет'!ES$73:ES$80)</f>
        <v>0</v>
      </c>
      <c r="ES87">
        <f>SUMIF('Как будет'!$A$73:$A$80,Доп.расчеты!$A87,'Как будет'!ET$73:ET$80)</f>
        <v>0</v>
      </c>
      <c r="ET87">
        <f>SUMIF('Как будет'!$A$73:$A$80,Доп.расчеты!$A87,'Как будет'!EU$73:EU$80)</f>
        <v>0</v>
      </c>
      <c r="EU87">
        <f>SUMIF('Как будет'!$A$73:$A$80,Доп.расчеты!$A87,'Как будет'!EV$73:EV$80)</f>
        <v>0</v>
      </c>
      <c r="EV87">
        <f>SUMIF('Как будет'!$A$73:$A$80,Доп.расчеты!$A87,'Как будет'!EW$73:EW$80)</f>
        <v>0</v>
      </c>
      <c r="EW87">
        <f>SUMIF('Как будет'!$A$73:$A$80,Доп.расчеты!$A87,'Как будет'!EX$73:EX$80)</f>
        <v>0</v>
      </c>
      <c r="EX87">
        <f>SUMIF('Как будет'!$A$73:$A$80,Доп.расчеты!$A87,'Как будет'!EY$73:EY$80)</f>
        <v>0</v>
      </c>
      <c r="EY87">
        <f>SUMIF('Как будет'!$A$73:$A$80,Доп.расчеты!$A87,'Как будет'!EZ$73:EZ$80)</f>
        <v>0</v>
      </c>
      <c r="EZ87">
        <f>SUMIF('Как будет'!$A$73:$A$80,Доп.расчеты!$A87,'Как будет'!FA$73:FA$80)</f>
        <v>0</v>
      </c>
      <c r="FA87">
        <f>SUMIF('Как будет'!$A$73:$A$80,Доп.расчеты!$A87,'Как будет'!FB$73:FB$80)</f>
        <v>0</v>
      </c>
      <c r="FB87">
        <f>SUMIF('Как будет'!$A$73:$A$80,Доп.расчеты!$A87,'Как будет'!FC$73:FC$80)</f>
        <v>0</v>
      </c>
      <c r="FC87">
        <f>SUMIF('Как будет'!$A$73:$A$80,Доп.расчеты!$A87,'Как будет'!FD$73:FD$80)</f>
        <v>0</v>
      </c>
      <c r="FD87">
        <f>SUMIF('Как будет'!$A$73:$A$80,Доп.расчеты!$A87,'Как будет'!FE$73:FE$80)</f>
        <v>0</v>
      </c>
      <c r="FE87">
        <f>SUMIF('Как будет'!$A$73:$A$80,Доп.расчеты!$A87,'Как будет'!FF$73:FF$80)</f>
        <v>0</v>
      </c>
      <c r="FF87">
        <f>SUMIF('Как будет'!$A$73:$A$80,Доп.расчеты!$A87,'Как будет'!FG$73:FG$80)</f>
        <v>0</v>
      </c>
      <c r="FG87">
        <f>SUMIF('Как будет'!$A$73:$A$80,Доп.расчеты!$A87,'Как будет'!FH$73:FH$80)</f>
        <v>0</v>
      </c>
      <c r="FH87">
        <f>SUMIF('Как будет'!$A$73:$A$80,Доп.расчеты!$A87,'Как будет'!FI$73:FI$80)</f>
        <v>0</v>
      </c>
      <c r="FI87">
        <f>SUMIF('Как будет'!$A$73:$A$80,Доп.расчеты!$A87,'Как будет'!FJ$73:FJ$80)</f>
        <v>0</v>
      </c>
      <c r="FJ87">
        <f>SUMIF('Как будет'!$A$73:$A$80,Доп.расчеты!$A87,'Как будет'!FK$73:FK$80)</f>
        <v>0</v>
      </c>
      <c r="FK87">
        <f>SUMIF('Как будет'!$A$73:$A$80,Доп.расчеты!$A87,'Как будет'!FL$73:FL$80)</f>
        <v>0</v>
      </c>
      <c r="FL87">
        <f>SUMIF('Как будет'!$A$73:$A$80,Доп.расчеты!$A87,'Как будет'!FM$73:FM$80)</f>
        <v>0</v>
      </c>
      <c r="FM87">
        <f>SUMIF('Как будет'!$A$73:$A$80,Доп.расчеты!$A87,'Как будет'!FN$73:FN$80)</f>
        <v>0</v>
      </c>
      <c r="FN87">
        <f>SUMIF('Как будет'!$A$73:$A$80,Доп.расчеты!$A87,'Как будет'!FO$73:FO$80)</f>
        <v>0</v>
      </c>
      <c r="FO87">
        <f>SUMIF('Как будет'!$A$73:$A$80,Доп.расчеты!$A87,'Как будет'!FP$73:FP$80)</f>
        <v>0</v>
      </c>
      <c r="FP87">
        <f>SUMIF('Как будет'!$A$73:$A$80,Доп.расчеты!$A87,'Как будет'!FQ$73:FQ$80)</f>
        <v>0</v>
      </c>
      <c r="FQ87">
        <f>SUMIF('Как будет'!$A$73:$A$80,Доп.расчеты!$A87,'Как будет'!FR$73:FR$80)</f>
        <v>0</v>
      </c>
      <c r="FR87">
        <f>SUMIF('Как будет'!$A$73:$A$80,Доп.расчеты!$A87,'Как будет'!FS$73:FS$80)</f>
        <v>0</v>
      </c>
      <c r="FS87">
        <f>SUMIF('Как будет'!$A$73:$A$80,Доп.расчеты!$A87,'Как будет'!FT$73:FT$80)</f>
        <v>0</v>
      </c>
      <c r="FT87">
        <f>SUMIF('Как будет'!$A$73:$A$80,Доп.расчеты!$A87,'Как будет'!FU$73:FU$80)</f>
        <v>0</v>
      </c>
      <c r="FU87">
        <f>SUMIF('Как будет'!$A$73:$A$80,Доп.расчеты!$A87,'Как будет'!FV$73:FV$80)</f>
        <v>0</v>
      </c>
      <c r="FV87">
        <f>SUMIF('Как будет'!$A$73:$A$80,Доп.расчеты!$A87,'Как будет'!FW$73:FW$80)</f>
        <v>0</v>
      </c>
      <c r="FW87">
        <f>SUMIF('Как будет'!$A$73:$A$80,Доп.расчеты!$A87,'Как будет'!FX$73:FX$80)</f>
        <v>0</v>
      </c>
      <c r="FX87">
        <f>SUMIF('Как будет'!$A$73:$A$80,Доп.расчеты!$A87,'Как будет'!FY$73:FY$80)</f>
        <v>0</v>
      </c>
      <c r="FY87">
        <f>SUMIF('Как будет'!$A$73:$A$80,Доп.расчеты!$A87,'Как будет'!FZ$73:FZ$80)</f>
        <v>0</v>
      </c>
      <c r="FZ87">
        <f>SUMIF('Как будет'!$A$73:$A$80,Доп.расчеты!$A87,'Как будет'!GA$73:GA$80)</f>
        <v>0</v>
      </c>
      <c r="GA87">
        <f>SUMIF('Как будет'!$A$73:$A$80,Доп.расчеты!$A87,'Как будет'!GB$73:GB$80)</f>
        <v>0</v>
      </c>
      <c r="GB87">
        <f>SUMIF('Как будет'!$A$73:$A$80,Доп.расчеты!$A87,'Как будет'!GC$73:GC$80)</f>
        <v>0</v>
      </c>
      <c r="GC87">
        <f>SUMIF('Как будет'!$A$73:$A$80,Доп.расчеты!$A87,'Как будет'!GD$73:GD$80)</f>
        <v>0</v>
      </c>
      <c r="GD87">
        <f>SUMIF('Как будет'!$A$73:$A$80,Доп.расчеты!$A87,'Как будет'!GE$73:GE$80)</f>
        <v>0</v>
      </c>
      <c r="GE87">
        <f>SUMIF('Как будет'!$A$73:$A$80,Доп.расчеты!$A87,'Как будет'!GF$73:GF$80)</f>
        <v>0</v>
      </c>
      <c r="GF87">
        <f>SUMIF('Как будет'!$A$73:$A$80,Доп.расчеты!$A87,'Как будет'!GG$73:GG$80)</f>
        <v>0</v>
      </c>
      <c r="GG87">
        <f>SUMIF('Как будет'!$A$73:$A$80,Доп.расчеты!$A87,'Как будет'!GH$73:GH$80)</f>
        <v>0</v>
      </c>
      <c r="GH87">
        <f>SUMIF('Как будет'!$A$73:$A$80,Доп.расчеты!$A87,'Как будет'!GI$73:GI$80)</f>
        <v>0</v>
      </c>
      <c r="GI87">
        <f>SUMIF('Как будет'!$A$73:$A$80,Доп.расчеты!$A87,'Как будет'!GJ$73:GJ$80)</f>
        <v>0</v>
      </c>
      <c r="GJ87">
        <f>SUMIF('Как будет'!$A$73:$A$80,Доп.расчеты!$A87,'Как будет'!GK$73:GK$80)</f>
        <v>0</v>
      </c>
      <c r="GK87">
        <f>SUMIF('Как будет'!$A$73:$A$80,Доп.расчеты!$A87,'Как будет'!GL$73:GL$80)</f>
        <v>0</v>
      </c>
      <c r="GL87">
        <f>SUMIF('Как будет'!$A$73:$A$80,Доп.расчеты!$A87,'Как будет'!GM$73:GM$80)</f>
        <v>0</v>
      </c>
      <c r="GM87">
        <f>SUMIF('Как будет'!$A$73:$A$80,Доп.расчеты!$A87,'Как будет'!GN$73:GN$80)</f>
        <v>0</v>
      </c>
      <c r="GN87">
        <f>SUMIF('Как будет'!$A$73:$A$80,Доп.расчеты!$A87,'Как будет'!GO$73:GO$80)</f>
        <v>0</v>
      </c>
      <c r="GO87">
        <f>SUMIF('Как будет'!$A$73:$A$80,Доп.расчеты!$A87,'Как будет'!GP$73:GP$80)</f>
        <v>0</v>
      </c>
      <c r="GP87">
        <f>SUMIF('Как будет'!$A$73:$A$80,Доп.расчеты!$A87,'Как будет'!GQ$73:GQ$80)</f>
        <v>0</v>
      </c>
      <c r="GQ87">
        <f>SUMIF('Как будет'!$A$73:$A$80,Доп.расчеты!$A87,'Как будет'!GR$73:GR$80)</f>
        <v>0</v>
      </c>
      <c r="GR87">
        <f>SUMIF('Как будет'!$A$73:$A$80,Доп.расчеты!$A87,'Как будет'!GS$73:GS$80)</f>
        <v>0</v>
      </c>
      <c r="GS87">
        <f>SUMIF('Как будет'!$A$73:$A$80,Доп.расчеты!$A87,'Как будет'!GT$73:GT$80)</f>
        <v>0</v>
      </c>
      <c r="GT87">
        <f>SUMIF('Как будет'!$A$73:$A$80,Доп.расчеты!$A87,'Как будет'!GU$73:GU$80)</f>
        <v>0</v>
      </c>
    </row>
    <row r="88" spans="1:202">
      <c r="A88" s="237" t="s">
        <v>96</v>
      </c>
      <c r="B88">
        <f>SUMIF('Как будет'!$A$73:$A$80,Доп.расчеты!$A88,'Как будет'!C$73:C$80)</f>
        <v>0</v>
      </c>
      <c r="C88">
        <f>SUMIF('Как будет'!$A$73:$A$80,Доп.расчеты!$A88,'Как будет'!D$73:D$80)</f>
        <v>0</v>
      </c>
      <c r="D88">
        <f>SUMIF('Как будет'!$A$73:$A$80,Доп.расчеты!$A88,'Как будет'!E$73:E$80)</f>
        <v>0</v>
      </c>
      <c r="E88">
        <f>SUMIF('Как будет'!$A$73:$A$80,Доп.расчеты!$A88,'Как будет'!F$73:F$80)</f>
        <v>0</v>
      </c>
      <c r="F88">
        <f>SUMIF('Как будет'!$A$73:$A$80,Доп.расчеты!$A88,'Как будет'!G$73:G$80)</f>
        <v>0</v>
      </c>
      <c r="G88">
        <f>SUMIF('Как будет'!$A$73:$A$80,Доп.расчеты!$A88,'Как будет'!H$73:H$80)</f>
        <v>0</v>
      </c>
      <c r="H88">
        <f>SUMIF('Как будет'!$A$73:$A$80,Доп.расчеты!$A88,'Как будет'!I$73:I$80)</f>
        <v>0</v>
      </c>
      <c r="I88">
        <f>SUMIF('Как будет'!$A$73:$A$80,Доп.расчеты!$A88,'Как будет'!J$73:J$80)</f>
        <v>0</v>
      </c>
      <c r="J88">
        <f>SUMIF('Как будет'!$A$73:$A$80,Доп.расчеты!$A88,'Как будет'!K$73:K$80)</f>
        <v>0</v>
      </c>
      <c r="K88">
        <f>SUMIF('Как будет'!$A$73:$A$80,Доп.расчеты!$A88,'Как будет'!L$73:L$80)</f>
        <v>0</v>
      </c>
      <c r="L88">
        <f>SUMIF('Как будет'!$A$73:$A$80,Доп.расчеты!$A88,'Как будет'!M$73:M$80)</f>
        <v>0</v>
      </c>
      <c r="M88">
        <f>SUMIF('Как будет'!$A$73:$A$80,Доп.расчеты!$A88,'Как будет'!N$73:N$80)</f>
        <v>0</v>
      </c>
      <c r="N88">
        <f>SUMIF('Как будет'!$A$73:$A$80,Доп.расчеты!$A88,'Как будет'!O$73:O$80)</f>
        <v>0</v>
      </c>
      <c r="O88">
        <f>SUMIF('Как будет'!$A$73:$A$80,Доп.расчеты!$A88,'Как будет'!P$73:P$80)</f>
        <v>0</v>
      </c>
      <c r="P88">
        <f>SUMIF('Как будет'!$A$73:$A$80,Доп.расчеты!$A88,'Как будет'!Q$73:Q$80)</f>
        <v>0</v>
      </c>
      <c r="Q88">
        <f>SUMIF('Как будет'!$A$73:$A$80,Доп.расчеты!$A88,'Как будет'!R$73:R$80)</f>
        <v>0</v>
      </c>
      <c r="R88">
        <f>SUMIF('Как будет'!$A$73:$A$80,Доп.расчеты!$A88,'Как будет'!S$73:S$80)</f>
        <v>0</v>
      </c>
      <c r="S88">
        <f>SUMIF('Как будет'!$A$73:$A$80,Доп.расчеты!$A88,'Как будет'!T$73:T$80)</f>
        <v>0</v>
      </c>
      <c r="T88">
        <f>SUMIF('Как будет'!$A$73:$A$80,Доп.расчеты!$A88,'Как будет'!U$73:U$80)</f>
        <v>0</v>
      </c>
      <c r="U88">
        <f>SUMIF('Как будет'!$A$73:$A$80,Доп.расчеты!$A88,'Как будет'!V$73:V$80)</f>
        <v>0</v>
      </c>
      <c r="V88">
        <f>SUMIF('Как будет'!$A$73:$A$80,Доп.расчеты!$A88,'Как будет'!W$73:W$80)</f>
        <v>0</v>
      </c>
      <c r="W88">
        <f>SUMIF('Как будет'!$A$73:$A$80,Доп.расчеты!$A88,'Как будет'!X$73:X$80)</f>
        <v>0</v>
      </c>
      <c r="X88">
        <f>SUMIF('Как будет'!$A$73:$A$80,Доп.расчеты!$A88,'Как будет'!Y$73:Y$80)</f>
        <v>0</v>
      </c>
      <c r="Y88">
        <f>SUMIF('Как будет'!$A$73:$A$80,Доп.расчеты!$A88,'Как будет'!Z$73:Z$80)</f>
        <v>0</v>
      </c>
      <c r="Z88">
        <f>SUMIF('Как будет'!$A$73:$A$80,Доп.расчеты!$A88,'Как будет'!AA$73:AA$80)</f>
        <v>0</v>
      </c>
      <c r="AA88">
        <f>SUMIF('Как будет'!$A$73:$A$80,Доп.расчеты!$A88,'Как будет'!AB$73:AB$80)</f>
        <v>0</v>
      </c>
      <c r="AB88">
        <f>SUMIF('Как будет'!$A$73:$A$80,Доп.расчеты!$A88,'Как будет'!AC$73:AC$80)</f>
        <v>0</v>
      </c>
      <c r="AC88">
        <f>SUMIF('Как будет'!$A$73:$A$80,Доп.расчеты!$A88,'Как будет'!AD$73:AD$80)</f>
        <v>0</v>
      </c>
      <c r="AD88">
        <f>SUMIF('Как будет'!$A$73:$A$80,Доп.расчеты!$A88,'Как будет'!AE$73:AE$80)</f>
        <v>0</v>
      </c>
      <c r="AE88">
        <f>SUMIF('Как будет'!$A$73:$A$80,Доп.расчеты!$A88,'Как будет'!AF$73:AF$80)</f>
        <v>0</v>
      </c>
      <c r="AF88">
        <f>SUMIF('Как будет'!$A$73:$A$80,Доп.расчеты!$A88,'Как будет'!AG$73:AG$80)</f>
        <v>0</v>
      </c>
      <c r="AG88">
        <f>SUMIF('Как будет'!$A$73:$A$80,Доп.расчеты!$A88,'Как будет'!AH$73:AH$80)</f>
        <v>0</v>
      </c>
      <c r="AH88">
        <f>SUMIF('Как будет'!$A$73:$A$80,Доп.расчеты!$A88,'Как будет'!AI$73:AI$80)</f>
        <v>0</v>
      </c>
      <c r="AI88">
        <f>SUMIF('Как будет'!$A$73:$A$80,Доп.расчеты!$A88,'Как будет'!AJ$73:AJ$80)</f>
        <v>0</v>
      </c>
      <c r="AJ88">
        <f>SUMIF('Как будет'!$A$73:$A$80,Доп.расчеты!$A88,'Как будет'!AK$73:AK$80)</f>
        <v>0</v>
      </c>
      <c r="AK88">
        <f>SUMIF('Как будет'!$A$73:$A$80,Доп.расчеты!$A88,'Как будет'!AL$73:AL$80)</f>
        <v>0</v>
      </c>
      <c r="AL88">
        <f>SUMIF('Как будет'!$A$73:$A$80,Доп.расчеты!$A88,'Как будет'!AM$73:AM$80)</f>
        <v>0</v>
      </c>
      <c r="AM88">
        <f>SUMIF('Как будет'!$A$73:$A$80,Доп.расчеты!$A88,'Как будет'!AN$73:AN$80)</f>
        <v>0</v>
      </c>
      <c r="AN88">
        <f>SUMIF('Как будет'!$A$73:$A$80,Доп.расчеты!$A88,'Как будет'!AO$73:AO$80)</f>
        <v>0</v>
      </c>
      <c r="AO88">
        <f>SUMIF('Как будет'!$A$73:$A$80,Доп.расчеты!$A88,'Как будет'!AP$73:AP$80)</f>
        <v>0</v>
      </c>
      <c r="AP88">
        <f>SUMIF('Как будет'!$A$73:$A$80,Доп.расчеты!$A88,'Как будет'!AQ$73:AQ$80)</f>
        <v>0</v>
      </c>
      <c r="AQ88">
        <f>SUMIF('Как будет'!$A$73:$A$80,Доп.расчеты!$A88,'Как будет'!AR$73:AR$80)</f>
        <v>0</v>
      </c>
      <c r="AR88">
        <f>SUMIF('Как будет'!$A$73:$A$80,Доп.расчеты!$A88,'Как будет'!AS$73:AS$80)</f>
        <v>0</v>
      </c>
      <c r="AS88">
        <f>SUMIF('Как будет'!$A$73:$A$80,Доп.расчеты!$A88,'Как будет'!AT$73:AT$80)</f>
        <v>0</v>
      </c>
      <c r="AT88">
        <f>SUMIF('Как будет'!$A$73:$A$80,Доп.расчеты!$A88,'Как будет'!AU$73:AU$80)</f>
        <v>0</v>
      </c>
      <c r="AU88">
        <f>SUMIF('Как будет'!$A$73:$A$80,Доп.расчеты!$A88,'Как будет'!AV$73:AV$80)</f>
        <v>0</v>
      </c>
      <c r="AV88">
        <f>SUMIF('Как будет'!$A$73:$A$80,Доп.расчеты!$A88,'Как будет'!AW$73:AW$80)</f>
        <v>0</v>
      </c>
      <c r="AW88">
        <f>SUMIF('Как будет'!$A$73:$A$80,Доп.расчеты!$A88,'Как будет'!AX$73:AX$80)</f>
        <v>0</v>
      </c>
      <c r="AX88">
        <f>SUMIF('Как будет'!$A$73:$A$80,Доп.расчеты!$A88,'Как будет'!AY$73:AY$80)</f>
        <v>0</v>
      </c>
      <c r="AY88">
        <f>SUMIF('Как будет'!$A$73:$A$80,Доп.расчеты!$A88,'Как будет'!AZ$73:AZ$80)</f>
        <v>0</v>
      </c>
      <c r="AZ88">
        <f>SUMIF('Как будет'!$A$73:$A$80,Доп.расчеты!$A88,'Как будет'!BA$73:BA$80)</f>
        <v>0</v>
      </c>
      <c r="BA88">
        <f>SUMIF('Как будет'!$A$73:$A$80,Доп.расчеты!$A88,'Как будет'!BB$73:BB$80)</f>
        <v>0</v>
      </c>
      <c r="BB88">
        <f>SUMIF('Как будет'!$A$73:$A$80,Доп.расчеты!$A88,'Как будет'!BC$73:BC$80)</f>
        <v>0</v>
      </c>
      <c r="BC88">
        <f>SUMIF('Как будет'!$A$73:$A$80,Доп.расчеты!$A88,'Как будет'!BD$73:BD$80)</f>
        <v>0</v>
      </c>
      <c r="BD88">
        <f>SUMIF('Как будет'!$A$73:$A$80,Доп.расчеты!$A88,'Как будет'!BE$73:BE$80)</f>
        <v>0</v>
      </c>
      <c r="BE88">
        <f>SUMIF('Как будет'!$A$73:$A$80,Доп.расчеты!$A88,'Как будет'!BF$73:BF$80)</f>
        <v>0</v>
      </c>
      <c r="BF88">
        <f>SUMIF('Как будет'!$A$73:$A$80,Доп.расчеты!$A88,'Как будет'!BG$73:BG$80)</f>
        <v>0</v>
      </c>
      <c r="BG88">
        <f>SUMIF('Как будет'!$A$73:$A$80,Доп.расчеты!$A88,'Как будет'!BH$73:BH$80)</f>
        <v>0</v>
      </c>
      <c r="BH88">
        <f>SUMIF('Как будет'!$A$73:$A$80,Доп.расчеты!$A88,'Как будет'!BI$73:BI$80)</f>
        <v>0</v>
      </c>
      <c r="BI88">
        <f>SUMIF('Как будет'!$A$73:$A$80,Доп.расчеты!$A88,'Как будет'!BJ$73:BJ$80)</f>
        <v>0</v>
      </c>
      <c r="BJ88">
        <f>SUMIF('Как будет'!$A$73:$A$80,Доп.расчеты!$A88,'Как будет'!BK$73:BK$80)</f>
        <v>0</v>
      </c>
      <c r="BK88">
        <f>SUMIF('Как будет'!$A$73:$A$80,Доп.расчеты!$A88,'Как будет'!BL$73:BL$80)</f>
        <v>0</v>
      </c>
      <c r="BL88">
        <f>SUMIF('Как будет'!$A$73:$A$80,Доп.расчеты!$A88,'Как будет'!BM$73:BM$80)</f>
        <v>0</v>
      </c>
      <c r="BM88">
        <f>SUMIF('Как будет'!$A$73:$A$80,Доп.расчеты!$A88,'Как будет'!BN$73:BN$80)</f>
        <v>0</v>
      </c>
      <c r="BN88">
        <f>SUMIF('Как будет'!$A$73:$A$80,Доп.расчеты!$A88,'Как будет'!BO$73:BO$80)</f>
        <v>0</v>
      </c>
      <c r="BO88">
        <f>SUMIF('Как будет'!$A$73:$A$80,Доп.расчеты!$A88,'Как будет'!BP$73:BP$80)</f>
        <v>0</v>
      </c>
      <c r="BP88">
        <f>SUMIF('Как будет'!$A$73:$A$80,Доп.расчеты!$A88,'Как будет'!BQ$73:BQ$80)</f>
        <v>0</v>
      </c>
      <c r="BQ88">
        <f>SUMIF('Как будет'!$A$73:$A$80,Доп.расчеты!$A88,'Как будет'!BR$73:BR$80)</f>
        <v>0</v>
      </c>
      <c r="BR88">
        <f>SUMIF('Как будет'!$A$73:$A$80,Доп.расчеты!$A88,'Как будет'!BS$73:BS$80)</f>
        <v>0</v>
      </c>
      <c r="BS88">
        <f>SUMIF('Как будет'!$A$73:$A$80,Доп.расчеты!$A88,'Как будет'!BT$73:BT$80)</f>
        <v>0</v>
      </c>
      <c r="BT88">
        <f>SUMIF('Как будет'!$A$73:$A$80,Доп.расчеты!$A88,'Как будет'!BU$73:BU$80)</f>
        <v>0</v>
      </c>
      <c r="BU88">
        <f>SUMIF('Как будет'!$A$73:$A$80,Доп.расчеты!$A88,'Как будет'!BV$73:BV$80)</f>
        <v>0</v>
      </c>
      <c r="BV88">
        <f>SUMIF('Как будет'!$A$73:$A$80,Доп.расчеты!$A88,'Как будет'!BW$73:BW$80)</f>
        <v>0</v>
      </c>
      <c r="BW88">
        <f>SUMIF('Как будет'!$A$73:$A$80,Доп.расчеты!$A88,'Как будет'!BX$73:BX$80)</f>
        <v>0</v>
      </c>
      <c r="BX88">
        <f>SUMIF('Как будет'!$A$73:$A$80,Доп.расчеты!$A88,'Как будет'!BY$73:BY$80)</f>
        <v>0</v>
      </c>
      <c r="BY88">
        <f>SUMIF('Как будет'!$A$73:$A$80,Доп.расчеты!$A88,'Как будет'!BZ$73:BZ$80)</f>
        <v>0</v>
      </c>
      <c r="BZ88">
        <f>SUMIF('Как будет'!$A$73:$A$80,Доп.расчеты!$A88,'Как будет'!CA$73:CA$80)</f>
        <v>0</v>
      </c>
      <c r="CA88">
        <f>SUMIF('Как будет'!$A$73:$A$80,Доп.расчеты!$A88,'Как будет'!CB$73:CB$80)</f>
        <v>0</v>
      </c>
      <c r="CB88">
        <f>SUMIF('Как будет'!$A$73:$A$80,Доп.расчеты!$A88,'Как будет'!CC$73:CC$80)</f>
        <v>0</v>
      </c>
      <c r="CC88">
        <f>SUMIF('Как будет'!$A$73:$A$80,Доп.расчеты!$A88,'Как будет'!CD$73:CD$80)</f>
        <v>0</v>
      </c>
      <c r="CD88">
        <f>SUMIF('Как будет'!$A$73:$A$80,Доп.расчеты!$A88,'Как будет'!CE$73:CE$80)</f>
        <v>0</v>
      </c>
      <c r="CE88">
        <f>SUMIF('Как будет'!$A$73:$A$80,Доп.расчеты!$A88,'Как будет'!CF$73:CF$80)</f>
        <v>0</v>
      </c>
      <c r="CF88">
        <f>SUMIF('Как будет'!$A$73:$A$80,Доп.расчеты!$A88,'Как будет'!CG$73:CG$80)</f>
        <v>0</v>
      </c>
      <c r="CG88">
        <f>SUMIF('Как будет'!$A$73:$A$80,Доп.расчеты!$A88,'Как будет'!CH$73:CH$80)</f>
        <v>0</v>
      </c>
      <c r="CH88">
        <f>SUMIF('Как будет'!$A$73:$A$80,Доп.расчеты!$A88,'Как будет'!CI$73:CI$80)</f>
        <v>0</v>
      </c>
      <c r="CI88">
        <f>SUMIF('Как будет'!$A$73:$A$80,Доп.расчеты!$A88,'Как будет'!CJ$73:CJ$80)</f>
        <v>0</v>
      </c>
      <c r="CJ88">
        <f>SUMIF('Как будет'!$A$73:$A$80,Доп.расчеты!$A88,'Как будет'!CK$73:CK$80)</f>
        <v>0</v>
      </c>
      <c r="CK88">
        <f>SUMIF('Как будет'!$A$73:$A$80,Доп.расчеты!$A88,'Как будет'!CL$73:CL$80)</f>
        <v>0</v>
      </c>
      <c r="CL88">
        <f>SUMIF('Как будет'!$A$73:$A$80,Доп.расчеты!$A88,'Как будет'!CM$73:CM$80)</f>
        <v>0</v>
      </c>
      <c r="CM88">
        <f>SUMIF('Как будет'!$A$73:$A$80,Доп.расчеты!$A88,'Как будет'!CN$73:CN$80)</f>
        <v>0</v>
      </c>
      <c r="CN88">
        <f>SUMIF('Как будет'!$A$73:$A$80,Доп.расчеты!$A88,'Как будет'!CO$73:CO$80)</f>
        <v>0</v>
      </c>
      <c r="CO88">
        <f>SUMIF('Как будет'!$A$73:$A$80,Доп.расчеты!$A88,'Как будет'!CP$73:CP$80)</f>
        <v>0</v>
      </c>
      <c r="CP88">
        <f>SUMIF('Как будет'!$A$73:$A$80,Доп.расчеты!$A88,'Как будет'!CQ$73:CQ$80)</f>
        <v>0</v>
      </c>
      <c r="CQ88">
        <f>SUMIF('Как будет'!$A$73:$A$80,Доп.расчеты!$A88,'Как будет'!CR$73:CR$80)</f>
        <v>0</v>
      </c>
      <c r="CR88">
        <f>SUMIF('Как будет'!$A$73:$A$80,Доп.расчеты!$A88,'Как будет'!CS$73:CS$80)</f>
        <v>0</v>
      </c>
      <c r="CS88">
        <f>SUMIF('Как будет'!$A$73:$A$80,Доп.расчеты!$A88,'Как будет'!CT$73:CT$80)</f>
        <v>0</v>
      </c>
      <c r="CT88">
        <f>SUMIF('Как будет'!$A$73:$A$80,Доп.расчеты!$A88,'Как будет'!CU$73:CU$80)</f>
        <v>0</v>
      </c>
      <c r="CU88">
        <f>SUMIF('Как будет'!$A$73:$A$80,Доп.расчеты!$A88,'Как будет'!CV$73:CV$80)</f>
        <v>0</v>
      </c>
      <c r="CV88">
        <f>SUMIF('Как будет'!$A$73:$A$80,Доп.расчеты!$A88,'Как будет'!CW$73:CW$80)</f>
        <v>0</v>
      </c>
      <c r="CW88">
        <f>SUMIF('Как будет'!$A$73:$A$80,Доп.расчеты!$A88,'Как будет'!CX$73:CX$80)</f>
        <v>0</v>
      </c>
      <c r="CX88">
        <f>SUMIF('Как будет'!$A$73:$A$80,Доп.расчеты!$A88,'Как будет'!CY$73:CY$80)</f>
        <v>0</v>
      </c>
      <c r="CY88">
        <f>SUMIF('Как будет'!$A$73:$A$80,Доп.расчеты!$A88,'Как будет'!CZ$73:CZ$80)</f>
        <v>0</v>
      </c>
      <c r="CZ88">
        <f>SUMIF('Как будет'!$A$73:$A$80,Доп.расчеты!$A88,'Как будет'!DA$73:DA$80)</f>
        <v>0</v>
      </c>
      <c r="DA88">
        <f>SUMIF('Как будет'!$A$73:$A$80,Доп.расчеты!$A88,'Как будет'!DB$73:DB$80)</f>
        <v>0</v>
      </c>
      <c r="DB88">
        <f>SUMIF('Как будет'!$A$73:$A$80,Доп.расчеты!$A88,'Как будет'!DC$73:DC$80)</f>
        <v>0</v>
      </c>
      <c r="DC88">
        <f>SUMIF('Как будет'!$A$73:$A$80,Доп.расчеты!$A88,'Как будет'!DD$73:DD$80)</f>
        <v>0</v>
      </c>
      <c r="DD88">
        <f>SUMIF('Как будет'!$A$73:$A$80,Доп.расчеты!$A88,'Как будет'!DE$73:DE$80)</f>
        <v>0</v>
      </c>
      <c r="DE88">
        <f>SUMIF('Как будет'!$A$73:$A$80,Доп.расчеты!$A88,'Как будет'!DF$73:DF$80)</f>
        <v>0</v>
      </c>
      <c r="DF88">
        <f>SUMIF('Как будет'!$A$73:$A$80,Доп.расчеты!$A88,'Как будет'!DG$73:DG$80)</f>
        <v>0</v>
      </c>
      <c r="DG88">
        <f>SUMIF('Как будет'!$A$73:$A$80,Доп.расчеты!$A88,'Как будет'!DH$73:DH$80)</f>
        <v>0</v>
      </c>
      <c r="DH88">
        <f>SUMIF('Как будет'!$A$73:$A$80,Доп.расчеты!$A88,'Как будет'!DI$73:DI$80)</f>
        <v>0</v>
      </c>
      <c r="DI88">
        <f>SUMIF('Как будет'!$A$73:$A$80,Доп.расчеты!$A88,'Как будет'!DJ$73:DJ$80)</f>
        <v>0</v>
      </c>
      <c r="DJ88">
        <f>SUMIF('Как будет'!$A$73:$A$80,Доп.расчеты!$A88,'Как будет'!DK$73:DK$80)</f>
        <v>0</v>
      </c>
      <c r="DK88">
        <f>SUMIF('Как будет'!$A$73:$A$80,Доп.расчеты!$A88,'Как будет'!DL$73:DL$80)</f>
        <v>0</v>
      </c>
      <c r="DL88">
        <f>SUMIF('Как будет'!$A$73:$A$80,Доп.расчеты!$A88,'Как будет'!DM$73:DM$80)</f>
        <v>0</v>
      </c>
      <c r="DM88">
        <f>SUMIF('Как будет'!$A$73:$A$80,Доп.расчеты!$A88,'Как будет'!DN$73:DN$80)</f>
        <v>0</v>
      </c>
      <c r="DN88">
        <f>SUMIF('Как будет'!$A$73:$A$80,Доп.расчеты!$A88,'Как будет'!DO$73:DO$80)</f>
        <v>0</v>
      </c>
      <c r="DO88">
        <f>SUMIF('Как будет'!$A$73:$A$80,Доп.расчеты!$A88,'Как будет'!DP$73:DP$80)</f>
        <v>0</v>
      </c>
      <c r="DP88">
        <f>SUMIF('Как будет'!$A$73:$A$80,Доп.расчеты!$A88,'Как будет'!DQ$73:DQ$80)</f>
        <v>0</v>
      </c>
      <c r="DQ88">
        <f>SUMIF('Как будет'!$A$73:$A$80,Доп.расчеты!$A88,'Как будет'!DR$73:DR$80)</f>
        <v>0</v>
      </c>
      <c r="DR88">
        <f>SUMIF('Как будет'!$A$73:$A$80,Доп.расчеты!$A88,'Как будет'!DS$73:DS$80)</f>
        <v>0</v>
      </c>
      <c r="DS88">
        <f>SUMIF('Как будет'!$A$73:$A$80,Доп.расчеты!$A88,'Как будет'!DT$73:DT$80)</f>
        <v>0</v>
      </c>
      <c r="DT88">
        <f>SUMIF('Как будет'!$A$73:$A$80,Доп.расчеты!$A88,'Как будет'!DU$73:DU$80)</f>
        <v>0</v>
      </c>
      <c r="DU88">
        <f>SUMIF('Как будет'!$A$73:$A$80,Доп.расчеты!$A88,'Как будет'!DV$73:DV$80)</f>
        <v>0</v>
      </c>
      <c r="DV88">
        <f>SUMIF('Как будет'!$A$73:$A$80,Доп.расчеты!$A88,'Как будет'!DW$73:DW$80)</f>
        <v>0</v>
      </c>
      <c r="DW88">
        <f>SUMIF('Как будет'!$A$73:$A$80,Доп.расчеты!$A88,'Как будет'!DX$73:DX$80)</f>
        <v>0</v>
      </c>
      <c r="DX88">
        <f>SUMIF('Как будет'!$A$73:$A$80,Доп.расчеты!$A88,'Как будет'!DY$73:DY$80)</f>
        <v>0</v>
      </c>
      <c r="DY88">
        <f>SUMIF('Как будет'!$A$73:$A$80,Доп.расчеты!$A88,'Как будет'!DZ$73:DZ$80)</f>
        <v>0</v>
      </c>
      <c r="DZ88">
        <f>SUMIF('Как будет'!$A$73:$A$80,Доп.расчеты!$A88,'Как будет'!EA$73:EA$80)</f>
        <v>0</v>
      </c>
      <c r="EA88">
        <f>SUMIF('Как будет'!$A$73:$A$80,Доп.расчеты!$A88,'Как будет'!EB$73:EB$80)</f>
        <v>0</v>
      </c>
      <c r="EB88">
        <f>SUMIF('Как будет'!$A$73:$A$80,Доп.расчеты!$A88,'Как будет'!EC$73:EC$80)</f>
        <v>0</v>
      </c>
      <c r="EC88">
        <f>SUMIF('Как будет'!$A$73:$A$80,Доп.расчеты!$A88,'Как будет'!ED$73:ED$80)</f>
        <v>0</v>
      </c>
      <c r="ED88">
        <f>SUMIF('Как будет'!$A$73:$A$80,Доп.расчеты!$A88,'Как будет'!EE$73:EE$80)</f>
        <v>0</v>
      </c>
      <c r="EE88">
        <f>SUMIF('Как будет'!$A$73:$A$80,Доп.расчеты!$A88,'Как будет'!EF$73:EF$80)</f>
        <v>0</v>
      </c>
      <c r="EF88">
        <f>SUMIF('Как будет'!$A$73:$A$80,Доп.расчеты!$A88,'Как будет'!EG$73:EG$80)</f>
        <v>0</v>
      </c>
      <c r="EG88">
        <f>SUMIF('Как будет'!$A$73:$A$80,Доп.расчеты!$A88,'Как будет'!EH$73:EH$80)</f>
        <v>0</v>
      </c>
      <c r="EH88">
        <f>SUMIF('Как будет'!$A$73:$A$80,Доп.расчеты!$A88,'Как будет'!EI$73:EI$80)</f>
        <v>0</v>
      </c>
      <c r="EI88">
        <f>SUMIF('Как будет'!$A$73:$A$80,Доп.расчеты!$A88,'Как будет'!EJ$73:EJ$80)</f>
        <v>0</v>
      </c>
      <c r="EJ88">
        <f>SUMIF('Как будет'!$A$73:$A$80,Доп.расчеты!$A88,'Как будет'!EK$73:EK$80)</f>
        <v>0</v>
      </c>
      <c r="EK88">
        <f>SUMIF('Как будет'!$A$73:$A$80,Доп.расчеты!$A88,'Как будет'!EL$73:EL$80)</f>
        <v>0</v>
      </c>
      <c r="EL88">
        <f>SUMIF('Как будет'!$A$73:$A$80,Доп.расчеты!$A88,'Как будет'!EM$73:EM$80)</f>
        <v>0</v>
      </c>
      <c r="EM88">
        <f>SUMIF('Как будет'!$A$73:$A$80,Доп.расчеты!$A88,'Как будет'!EN$73:EN$80)</f>
        <v>0</v>
      </c>
      <c r="EN88">
        <f>SUMIF('Как будет'!$A$73:$A$80,Доп.расчеты!$A88,'Как будет'!EO$73:EO$80)</f>
        <v>0</v>
      </c>
      <c r="EO88">
        <f>SUMIF('Как будет'!$A$73:$A$80,Доп.расчеты!$A88,'Как будет'!EP$73:EP$80)</f>
        <v>0</v>
      </c>
      <c r="EP88">
        <f>SUMIF('Как будет'!$A$73:$A$80,Доп.расчеты!$A88,'Как будет'!EQ$73:EQ$80)</f>
        <v>0</v>
      </c>
      <c r="EQ88">
        <f>SUMIF('Как будет'!$A$73:$A$80,Доп.расчеты!$A88,'Как будет'!ER$73:ER$80)</f>
        <v>0</v>
      </c>
      <c r="ER88">
        <f>SUMIF('Как будет'!$A$73:$A$80,Доп.расчеты!$A88,'Как будет'!ES$73:ES$80)</f>
        <v>0</v>
      </c>
      <c r="ES88">
        <f>SUMIF('Как будет'!$A$73:$A$80,Доп.расчеты!$A88,'Как будет'!ET$73:ET$80)</f>
        <v>0</v>
      </c>
      <c r="ET88">
        <f>SUMIF('Как будет'!$A$73:$A$80,Доп.расчеты!$A88,'Как будет'!EU$73:EU$80)</f>
        <v>0</v>
      </c>
      <c r="EU88">
        <f>SUMIF('Как будет'!$A$73:$A$80,Доп.расчеты!$A88,'Как будет'!EV$73:EV$80)</f>
        <v>0</v>
      </c>
      <c r="EV88">
        <f>SUMIF('Как будет'!$A$73:$A$80,Доп.расчеты!$A88,'Как будет'!EW$73:EW$80)</f>
        <v>0</v>
      </c>
      <c r="EW88">
        <f>SUMIF('Как будет'!$A$73:$A$80,Доп.расчеты!$A88,'Как будет'!EX$73:EX$80)</f>
        <v>0</v>
      </c>
      <c r="EX88">
        <f>SUMIF('Как будет'!$A$73:$A$80,Доп.расчеты!$A88,'Как будет'!EY$73:EY$80)</f>
        <v>0</v>
      </c>
      <c r="EY88">
        <f>SUMIF('Как будет'!$A$73:$A$80,Доп.расчеты!$A88,'Как будет'!EZ$73:EZ$80)</f>
        <v>0</v>
      </c>
      <c r="EZ88">
        <f>SUMIF('Как будет'!$A$73:$A$80,Доп.расчеты!$A88,'Как будет'!FA$73:FA$80)</f>
        <v>0</v>
      </c>
      <c r="FA88">
        <f>SUMIF('Как будет'!$A$73:$A$80,Доп.расчеты!$A88,'Как будет'!FB$73:FB$80)</f>
        <v>0</v>
      </c>
      <c r="FB88">
        <f>SUMIF('Как будет'!$A$73:$A$80,Доп.расчеты!$A88,'Как будет'!FC$73:FC$80)</f>
        <v>0</v>
      </c>
      <c r="FC88">
        <f>SUMIF('Как будет'!$A$73:$A$80,Доп.расчеты!$A88,'Как будет'!FD$73:FD$80)</f>
        <v>0</v>
      </c>
      <c r="FD88">
        <f>SUMIF('Как будет'!$A$73:$A$80,Доп.расчеты!$A88,'Как будет'!FE$73:FE$80)</f>
        <v>0</v>
      </c>
      <c r="FE88">
        <f>SUMIF('Как будет'!$A$73:$A$80,Доп.расчеты!$A88,'Как будет'!FF$73:FF$80)</f>
        <v>0</v>
      </c>
      <c r="FF88">
        <f>SUMIF('Как будет'!$A$73:$A$80,Доп.расчеты!$A88,'Как будет'!FG$73:FG$80)</f>
        <v>0</v>
      </c>
      <c r="FG88">
        <f>SUMIF('Как будет'!$A$73:$A$80,Доп.расчеты!$A88,'Как будет'!FH$73:FH$80)</f>
        <v>0</v>
      </c>
      <c r="FH88">
        <f>SUMIF('Как будет'!$A$73:$A$80,Доп.расчеты!$A88,'Как будет'!FI$73:FI$80)</f>
        <v>0</v>
      </c>
      <c r="FI88">
        <f>SUMIF('Как будет'!$A$73:$A$80,Доп.расчеты!$A88,'Как будет'!FJ$73:FJ$80)</f>
        <v>0</v>
      </c>
      <c r="FJ88">
        <f>SUMIF('Как будет'!$A$73:$A$80,Доп.расчеты!$A88,'Как будет'!FK$73:FK$80)</f>
        <v>0</v>
      </c>
      <c r="FK88">
        <f>SUMIF('Как будет'!$A$73:$A$80,Доп.расчеты!$A88,'Как будет'!FL$73:FL$80)</f>
        <v>0</v>
      </c>
      <c r="FL88">
        <f>SUMIF('Как будет'!$A$73:$A$80,Доп.расчеты!$A88,'Как будет'!FM$73:FM$80)</f>
        <v>0</v>
      </c>
      <c r="FM88">
        <f>SUMIF('Как будет'!$A$73:$A$80,Доп.расчеты!$A88,'Как будет'!FN$73:FN$80)</f>
        <v>0</v>
      </c>
      <c r="FN88">
        <f>SUMIF('Как будет'!$A$73:$A$80,Доп.расчеты!$A88,'Как будет'!FO$73:FO$80)</f>
        <v>0</v>
      </c>
      <c r="FO88">
        <f>SUMIF('Как будет'!$A$73:$A$80,Доп.расчеты!$A88,'Как будет'!FP$73:FP$80)</f>
        <v>0</v>
      </c>
      <c r="FP88">
        <f>SUMIF('Как будет'!$A$73:$A$80,Доп.расчеты!$A88,'Как будет'!FQ$73:FQ$80)</f>
        <v>0</v>
      </c>
      <c r="FQ88">
        <f>SUMIF('Как будет'!$A$73:$A$80,Доп.расчеты!$A88,'Как будет'!FR$73:FR$80)</f>
        <v>0</v>
      </c>
      <c r="FR88">
        <f>SUMIF('Как будет'!$A$73:$A$80,Доп.расчеты!$A88,'Как будет'!FS$73:FS$80)</f>
        <v>0</v>
      </c>
      <c r="FS88">
        <f>SUMIF('Как будет'!$A$73:$A$80,Доп.расчеты!$A88,'Как будет'!FT$73:FT$80)</f>
        <v>0</v>
      </c>
      <c r="FT88">
        <f>SUMIF('Как будет'!$A$73:$A$80,Доп.расчеты!$A88,'Как будет'!FU$73:FU$80)</f>
        <v>0</v>
      </c>
      <c r="FU88">
        <f>SUMIF('Как будет'!$A$73:$A$80,Доп.расчеты!$A88,'Как будет'!FV$73:FV$80)</f>
        <v>0</v>
      </c>
      <c r="FV88">
        <f>SUMIF('Как будет'!$A$73:$A$80,Доп.расчеты!$A88,'Как будет'!FW$73:FW$80)</f>
        <v>0</v>
      </c>
      <c r="FW88">
        <f>SUMIF('Как будет'!$A$73:$A$80,Доп.расчеты!$A88,'Как будет'!FX$73:FX$80)</f>
        <v>0</v>
      </c>
      <c r="FX88">
        <f>SUMIF('Как будет'!$A$73:$A$80,Доп.расчеты!$A88,'Как будет'!FY$73:FY$80)</f>
        <v>0</v>
      </c>
      <c r="FY88">
        <f>SUMIF('Как будет'!$A$73:$A$80,Доп.расчеты!$A88,'Как будет'!FZ$73:FZ$80)</f>
        <v>0</v>
      </c>
      <c r="FZ88">
        <f>SUMIF('Как будет'!$A$73:$A$80,Доп.расчеты!$A88,'Как будет'!GA$73:GA$80)</f>
        <v>0</v>
      </c>
      <c r="GA88">
        <f>SUMIF('Как будет'!$A$73:$A$80,Доп.расчеты!$A88,'Как будет'!GB$73:GB$80)</f>
        <v>0</v>
      </c>
      <c r="GB88">
        <f>SUMIF('Как будет'!$A$73:$A$80,Доп.расчеты!$A88,'Как будет'!GC$73:GC$80)</f>
        <v>0</v>
      </c>
      <c r="GC88">
        <f>SUMIF('Как будет'!$A$73:$A$80,Доп.расчеты!$A88,'Как будет'!GD$73:GD$80)</f>
        <v>0</v>
      </c>
      <c r="GD88">
        <f>SUMIF('Как будет'!$A$73:$A$80,Доп.расчеты!$A88,'Как будет'!GE$73:GE$80)</f>
        <v>0</v>
      </c>
      <c r="GE88">
        <f>SUMIF('Как будет'!$A$73:$A$80,Доп.расчеты!$A88,'Как будет'!GF$73:GF$80)</f>
        <v>0</v>
      </c>
      <c r="GF88">
        <f>SUMIF('Как будет'!$A$73:$A$80,Доп.расчеты!$A88,'Как будет'!GG$73:GG$80)</f>
        <v>0</v>
      </c>
      <c r="GG88">
        <f>SUMIF('Как будет'!$A$73:$A$80,Доп.расчеты!$A88,'Как будет'!GH$73:GH$80)</f>
        <v>0</v>
      </c>
      <c r="GH88">
        <f>SUMIF('Как будет'!$A$73:$A$80,Доп.расчеты!$A88,'Как будет'!GI$73:GI$80)</f>
        <v>0</v>
      </c>
      <c r="GI88">
        <f>SUMIF('Как будет'!$A$73:$A$80,Доп.расчеты!$A88,'Как будет'!GJ$73:GJ$80)</f>
        <v>0</v>
      </c>
      <c r="GJ88">
        <f>SUMIF('Как будет'!$A$73:$A$80,Доп.расчеты!$A88,'Как будет'!GK$73:GK$80)</f>
        <v>0</v>
      </c>
      <c r="GK88">
        <f>SUMIF('Как будет'!$A$73:$A$80,Доп.расчеты!$A88,'Как будет'!GL$73:GL$80)</f>
        <v>0</v>
      </c>
      <c r="GL88">
        <f>SUMIF('Как будет'!$A$73:$A$80,Доп.расчеты!$A88,'Как будет'!GM$73:GM$80)</f>
        <v>0</v>
      </c>
      <c r="GM88">
        <f>SUMIF('Как будет'!$A$73:$A$80,Доп.расчеты!$A88,'Как будет'!GN$73:GN$80)</f>
        <v>0</v>
      </c>
      <c r="GN88">
        <f>SUMIF('Как будет'!$A$73:$A$80,Доп.расчеты!$A88,'Как будет'!GO$73:GO$80)</f>
        <v>0</v>
      </c>
      <c r="GO88">
        <f>SUMIF('Как будет'!$A$73:$A$80,Доп.расчеты!$A88,'Как будет'!GP$73:GP$80)</f>
        <v>0</v>
      </c>
      <c r="GP88">
        <f>SUMIF('Как будет'!$A$73:$A$80,Доп.расчеты!$A88,'Как будет'!GQ$73:GQ$80)</f>
        <v>0</v>
      </c>
      <c r="GQ88">
        <f>SUMIF('Как будет'!$A$73:$A$80,Доп.расчеты!$A88,'Как будет'!GR$73:GR$80)</f>
        <v>0</v>
      </c>
      <c r="GR88">
        <f>SUMIF('Как будет'!$A$73:$A$80,Доп.расчеты!$A88,'Как будет'!GS$73:GS$80)</f>
        <v>0</v>
      </c>
      <c r="GS88">
        <f>SUMIF('Как будет'!$A$73:$A$80,Доп.расчеты!$A88,'Как будет'!GT$73:GT$80)</f>
        <v>0</v>
      </c>
      <c r="GT88">
        <f>SUMIF('Как будет'!$A$73:$A$80,Доп.расчеты!$A88,'Как будет'!GU$73:GU$80)</f>
        <v>0</v>
      </c>
    </row>
    <row r="89" spans="1:202">
      <c r="A89" s="237" t="s">
        <v>97</v>
      </c>
      <c r="B89">
        <f>SUMIF('Как будет'!$A$73:$A$80,Доп.расчеты!$A89,'Как будет'!C$73:C$80)</f>
        <v>0</v>
      </c>
      <c r="C89">
        <f>SUMIF('Как будет'!$A$73:$A$80,Доп.расчеты!$A89,'Как будет'!D$73:D$80)</f>
        <v>0</v>
      </c>
      <c r="D89">
        <f>SUMIF('Как будет'!$A$73:$A$80,Доп.расчеты!$A89,'Как будет'!E$73:E$80)</f>
        <v>0</v>
      </c>
      <c r="E89">
        <f>SUMIF('Как будет'!$A$73:$A$80,Доп.расчеты!$A89,'Как будет'!F$73:F$80)</f>
        <v>0</v>
      </c>
      <c r="F89">
        <f>SUMIF('Как будет'!$A$73:$A$80,Доп.расчеты!$A89,'Как будет'!G$73:G$80)</f>
        <v>0</v>
      </c>
      <c r="G89">
        <f>SUMIF('Как будет'!$A$73:$A$80,Доп.расчеты!$A89,'Как будет'!H$73:H$80)</f>
        <v>0</v>
      </c>
      <c r="H89">
        <f>SUMIF('Как будет'!$A$73:$A$80,Доп.расчеты!$A89,'Как будет'!I$73:I$80)</f>
        <v>0</v>
      </c>
      <c r="I89">
        <f>SUMIF('Как будет'!$A$73:$A$80,Доп.расчеты!$A89,'Как будет'!J$73:J$80)</f>
        <v>0</v>
      </c>
      <c r="J89">
        <f>SUMIF('Как будет'!$A$73:$A$80,Доп.расчеты!$A89,'Как будет'!K$73:K$80)</f>
        <v>0</v>
      </c>
      <c r="K89">
        <f>SUMIF('Как будет'!$A$73:$A$80,Доп.расчеты!$A89,'Как будет'!L$73:L$80)</f>
        <v>0</v>
      </c>
      <c r="L89">
        <f>SUMIF('Как будет'!$A$73:$A$80,Доп.расчеты!$A89,'Как будет'!M$73:M$80)</f>
        <v>0</v>
      </c>
      <c r="M89">
        <f>SUMIF('Как будет'!$A$73:$A$80,Доп.расчеты!$A89,'Как будет'!N$73:N$80)</f>
        <v>0</v>
      </c>
      <c r="N89">
        <f>SUMIF('Как будет'!$A$73:$A$80,Доп.расчеты!$A89,'Как будет'!O$73:O$80)</f>
        <v>0</v>
      </c>
      <c r="O89">
        <f>SUMIF('Как будет'!$A$73:$A$80,Доп.расчеты!$A89,'Как будет'!P$73:P$80)</f>
        <v>0</v>
      </c>
      <c r="P89">
        <f>SUMIF('Как будет'!$A$73:$A$80,Доп.расчеты!$A89,'Как будет'!Q$73:Q$80)</f>
        <v>0</v>
      </c>
      <c r="Q89">
        <f>SUMIF('Как будет'!$A$73:$A$80,Доп.расчеты!$A89,'Как будет'!R$73:R$80)</f>
        <v>0</v>
      </c>
      <c r="R89">
        <f>SUMIF('Как будет'!$A$73:$A$80,Доп.расчеты!$A89,'Как будет'!S$73:S$80)</f>
        <v>0</v>
      </c>
      <c r="S89">
        <f>SUMIF('Как будет'!$A$73:$A$80,Доп.расчеты!$A89,'Как будет'!T$73:T$80)</f>
        <v>0</v>
      </c>
      <c r="T89">
        <f>SUMIF('Как будет'!$A$73:$A$80,Доп.расчеты!$A89,'Как будет'!U$73:U$80)</f>
        <v>0</v>
      </c>
      <c r="U89">
        <f>SUMIF('Как будет'!$A$73:$A$80,Доп.расчеты!$A89,'Как будет'!V$73:V$80)</f>
        <v>0</v>
      </c>
      <c r="V89">
        <f>SUMIF('Как будет'!$A$73:$A$80,Доп.расчеты!$A89,'Как будет'!W$73:W$80)</f>
        <v>0</v>
      </c>
      <c r="W89">
        <f>SUMIF('Как будет'!$A$73:$A$80,Доп.расчеты!$A89,'Как будет'!X$73:X$80)</f>
        <v>0</v>
      </c>
      <c r="X89">
        <f>SUMIF('Как будет'!$A$73:$A$80,Доп.расчеты!$A89,'Как будет'!Y$73:Y$80)</f>
        <v>0</v>
      </c>
      <c r="Y89">
        <f>SUMIF('Как будет'!$A$73:$A$80,Доп.расчеты!$A89,'Как будет'!Z$73:Z$80)</f>
        <v>0</v>
      </c>
      <c r="Z89">
        <f>SUMIF('Как будет'!$A$73:$A$80,Доп.расчеты!$A89,'Как будет'!AA$73:AA$80)</f>
        <v>0</v>
      </c>
      <c r="AA89">
        <f>SUMIF('Как будет'!$A$73:$A$80,Доп.расчеты!$A89,'Как будет'!AB$73:AB$80)</f>
        <v>0</v>
      </c>
      <c r="AB89">
        <f>SUMIF('Как будет'!$A$73:$A$80,Доп.расчеты!$A89,'Как будет'!AC$73:AC$80)</f>
        <v>0</v>
      </c>
      <c r="AC89">
        <f>SUMIF('Как будет'!$A$73:$A$80,Доп.расчеты!$A89,'Как будет'!AD$73:AD$80)</f>
        <v>0</v>
      </c>
      <c r="AD89">
        <f>SUMIF('Как будет'!$A$73:$A$80,Доп.расчеты!$A89,'Как будет'!AE$73:AE$80)</f>
        <v>0</v>
      </c>
      <c r="AE89">
        <f>SUMIF('Как будет'!$A$73:$A$80,Доп.расчеты!$A89,'Как будет'!AF$73:AF$80)</f>
        <v>0</v>
      </c>
      <c r="AF89">
        <f>SUMIF('Как будет'!$A$73:$A$80,Доп.расчеты!$A89,'Как будет'!AG$73:AG$80)</f>
        <v>0</v>
      </c>
      <c r="AG89">
        <f>SUMIF('Как будет'!$A$73:$A$80,Доп.расчеты!$A89,'Как будет'!AH$73:AH$80)</f>
        <v>0</v>
      </c>
      <c r="AH89">
        <f>SUMIF('Как будет'!$A$73:$A$80,Доп.расчеты!$A89,'Как будет'!AI$73:AI$80)</f>
        <v>0</v>
      </c>
      <c r="AI89">
        <f>SUMIF('Как будет'!$A$73:$A$80,Доп.расчеты!$A89,'Как будет'!AJ$73:AJ$80)</f>
        <v>0</v>
      </c>
      <c r="AJ89">
        <f>SUMIF('Как будет'!$A$73:$A$80,Доп.расчеты!$A89,'Как будет'!AK$73:AK$80)</f>
        <v>0</v>
      </c>
      <c r="AK89">
        <f>SUMIF('Как будет'!$A$73:$A$80,Доп.расчеты!$A89,'Как будет'!AL$73:AL$80)</f>
        <v>0</v>
      </c>
      <c r="AL89">
        <f>SUMIF('Как будет'!$A$73:$A$80,Доп.расчеты!$A89,'Как будет'!AM$73:AM$80)</f>
        <v>0</v>
      </c>
      <c r="AM89">
        <f>SUMIF('Как будет'!$A$73:$A$80,Доп.расчеты!$A89,'Как будет'!AN$73:AN$80)</f>
        <v>0</v>
      </c>
      <c r="AN89">
        <f>SUMIF('Как будет'!$A$73:$A$80,Доп.расчеты!$A89,'Как будет'!AO$73:AO$80)</f>
        <v>0</v>
      </c>
      <c r="AO89">
        <f>SUMIF('Как будет'!$A$73:$A$80,Доп.расчеты!$A89,'Как будет'!AP$73:AP$80)</f>
        <v>0</v>
      </c>
      <c r="AP89">
        <f>SUMIF('Как будет'!$A$73:$A$80,Доп.расчеты!$A89,'Как будет'!AQ$73:AQ$80)</f>
        <v>0</v>
      </c>
      <c r="AQ89">
        <f>SUMIF('Как будет'!$A$73:$A$80,Доп.расчеты!$A89,'Как будет'!AR$73:AR$80)</f>
        <v>0</v>
      </c>
      <c r="AR89">
        <f>SUMIF('Как будет'!$A$73:$A$80,Доп.расчеты!$A89,'Как будет'!AS$73:AS$80)</f>
        <v>0</v>
      </c>
      <c r="AS89">
        <f>SUMIF('Как будет'!$A$73:$A$80,Доп.расчеты!$A89,'Как будет'!AT$73:AT$80)</f>
        <v>0</v>
      </c>
      <c r="AT89">
        <f>SUMIF('Как будет'!$A$73:$A$80,Доп.расчеты!$A89,'Как будет'!AU$73:AU$80)</f>
        <v>0</v>
      </c>
      <c r="AU89">
        <f>SUMIF('Как будет'!$A$73:$A$80,Доп.расчеты!$A89,'Как будет'!AV$73:AV$80)</f>
        <v>0</v>
      </c>
      <c r="AV89">
        <f>SUMIF('Как будет'!$A$73:$A$80,Доп.расчеты!$A89,'Как будет'!AW$73:AW$80)</f>
        <v>0</v>
      </c>
      <c r="AW89">
        <f>SUMIF('Как будет'!$A$73:$A$80,Доп.расчеты!$A89,'Как будет'!AX$73:AX$80)</f>
        <v>0</v>
      </c>
      <c r="AX89">
        <f>SUMIF('Как будет'!$A$73:$A$80,Доп.расчеты!$A89,'Как будет'!AY$73:AY$80)</f>
        <v>0</v>
      </c>
      <c r="AY89">
        <f>SUMIF('Как будет'!$A$73:$A$80,Доп.расчеты!$A89,'Как будет'!AZ$73:AZ$80)</f>
        <v>0</v>
      </c>
      <c r="AZ89">
        <f>SUMIF('Как будет'!$A$73:$A$80,Доп.расчеты!$A89,'Как будет'!BA$73:BA$80)</f>
        <v>0</v>
      </c>
      <c r="BA89">
        <f>SUMIF('Как будет'!$A$73:$A$80,Доп.расчеты!$A89,'Как будет'!BB$73:BB$80)</f>
        <v>0</v>
      </c>
      <c r="BB89">
        <f>SUMIF('Как будет'!$A$73:$A$80,Доп.расчеты!$A89,'Как будет'!BC$73:BC$80)</f>
        <v>0</v>
      </c>
      <c r="BC89">
        <f>SUMIF('Как будет'!$A$73:$A$80,Доп.расчеты!$A89,'Как будет'!BD$73:BD$80)</f>
        <v>0</v>
      </c>
      <c r="BD89">
        <f>SUMIF('Как будет'!$A$73:$A$80,Доп.расчеты!$A89,'Как будет'!BE$73:BE$80)</f>
        <v>0</v>
      </c>
      <c r="BE89">
        <f>SUMIF('Как будет'!$A$73:$A$80,Доп.расчеты!$A89,'Как будет'!BF$73:BF$80)</f>
        <v>0</v>
      </c>
      <c r="BF89">
        <f>SUMIF('Как будет'!$A$73:$A$80,Доп.расчеты!$A89,'Как будет'!BG$73:BG$80)</f>
        <v>0</v>
      </c>
      <c r="BG89">
        <f>SUMIF('Как будет'!$A$73:$A$80,Доп.расчеты!$A89,'Как будет'!BH$73:BH$80)</f>
        <v>0</v>
      </c>
      <c r="BH89">
        <f>SUMIF('Как будет'!$A$73:$A$80,Доп.расчеты!$A89,'Как будет'!BI$73:BI$80)</f>
        <v>0</v>
      </c>
      <c r="BI89">
        <f>SUMIF('Как будет'!$A$73:$A$80,Доп.расчеты!$A89,'Как будет'!BJ$73:BJ$80)</f>
        <v>0</v>
      </c>
      <c r="BJ89">
        <f>SUMIF('Как будет'!$A$73:$A$80,Доп.расчеты!$A89,'Как будет'!BK$73:BK$80)</f>
        <v>0</v>
      </c>
      <c r="BK89">
        <f>SUMIF('Как будет'!$A$73:$A$80,Доп.расчеты!$A89,'Как будет'!BL$73:BL$80)</f>
        <v>0</v>
      </c>
      <c r="BL89">
        <f>SUMIF('Как будет'!$A$73:$A$80,Доп.расчеты!$A89,'Как будет'!BM$73:BM$80)</f>
        <v>0</v>
      </c>
      <c r="BM89">
        <f>SUMIF('Как будет'!$A$73:$A$80,Доп.расчеты!$A89,'Как будет'!BN$73:BN$80)</f>
        <v>0</v>
      </c>
      <c r="BN89">
        <f>SUMIF('Как будет'!$A$73:$A$80,Доп.расчеты!$A89,'Как будет'!BO$73:BO$80)</f>
        <v>0</v>
      </c>
      <c r="BO89">
        <f>SUMIF('Как будет'!$A$73:$A$80,Доп.расчеты!$A89,'Как будет'!BP$73:BP$80)</f>
        <v>0</v>
      </c>
      <c r="BP89">
        <f>SUMIF('Как будет'!$A$73:$A$80,Доп.расчеты!$A89,'Как будет'!BQ$73:BQ$80)</f>
        <v>0</v>
      </c>
      <c r="BQ89">
        <f>SUMIF('Как будет'!$A$73:$A$80,Доп.расчеты!$A89,'Как будет'!BR$73:BR$80)</f>
        <v>0</v>
      </c>
      <c r="BR89">
        <f>SUMIF('Как будет'!$A$73:$A$80,Доп.расчеты!$A89,'Как будет'!BS$73:BS$80)</f>
        <v>0</v>
      </c>
      <c r="BS89">
        <f>SUMIF('Как будет'!$A$73:$A$80,Доп.расчеты!$A89,'Как будет'!BT$73:BT$80)</f>
        <v>0</v>
      </c>
      <c r="BT89">
        <f>SUMIF('Как будет'!$A$73:$A$80,Доп.расчеты!$A89,'Как будет'!BU$73:BU$80)</f>
        <v>0</v>
      </c>
      <c r="BU89">
        <f>SUMIF('Как будет'!$A$73:$A$80,Доп.расчеты!$A89,'Как будет'!BV$73:BV$80)</f>
        <v>0</v>
      </c>
      <c r="BV89">
        <f>SUMIF('Как будет'!$A$73:$A$80,Доп.расчеты!$A89,'Как будет'!BW$73:BW$80)</f>
        <v>0</v>
      </c>
      <c r="BW89">
        <f>SUMIF('Как будет'!$A$73:$A$80,Доп.расчеты!$A89,'Как будет'!BX$73:BX$80)</f>
        <v>0</v>
      </c>
      <c r="BX89">
        <f>SUMIF('Как будет'!$A$73:$A$80,Доп.расчеты!$A89,'Как будет'!BY$73:BY$80)</f>
        <v>0</v>
      </c>
      <c r="BY89">
        <f>SUMIF('Как будет'!$A$73:$A$80,Доп.расчеты!$A89,'Как будет'!BZ$73:BZ$80)</f>
        <v>0</v>
      </c>
      <c r="BZ89">
        <f>SUMIF('Как будет'!$A$73:$A$80,Доп.расчеты!$A89,'Как будет'!CA$73:CA$80)</f>
        <v>0</v>
      </c>
      <c r="CA89">
        <f>SUMIF('Как будет'!$A$73:$A$80,Доп.расчеты!$A89,'Как будет'!CB$73:CB$80)</f>
        <v>0</v>
      </c>
      <c r="CB89">
        <f>SUMIF('Как будет'!$A$73:$A$80,Доп.расчеты!$A89,'Как будет'!CC$73:CC$80)</f>
        <v>0</v>
      </c>
      <c r="CC89">
        <f>SUMIF('Как будет'!$A$73:$A$80,Доп.расчеты!$A89,'Как будет'!CD$73:CD$80)</f>
        <v>0</v>
      </c>
      <c r="CD89">
        <f>SUMIF('Как будет'!$A$73:$A$80,Доп.расчеты!$A89,'Как будет'!CE$73:CE$80)</f>
        <v>0</v>
      </c>
      <c r="CE89">
        <f>SUMIF('Как будет'!$A$73:$A$80,Доп.расчеты!$A89,'Как будет'!CF$73:CF$80)</f>
        <v>0</v>
      </c>
      <c r="CF89">
        <f>SUMIF('Как будет'!$A$73:$A$80,Доп.расчеты!$A89,'Как будет'!CG$73:CG$80)</f>
        <v>0</v>
      </c>
      <c r="CG89">
        <f>SUMIF('Как будет'!$A$73:$A$80,Доп.расчеты!$A89,'Как будет'!CH$73:CH$80)</f>
        <v>0</v>
      </c>
      <c r="CH89">
        <f>SUMIF('Как будет'!$A$73:$A$80,Доп.расчеты!$A89,'Как будет'!CI$73:CI$80)</f>
        <v>0</v>
      </c>
      <c r="CI89">
        <f>SUMIF('Как будет'!$A$73:$A$80,Доп.расчеты!$A89,'Как будет'!CJ$73:CJ$80)</f>
        <v>0</v>
      </c>
      <c r="CJ89">
        <f>SUMIF('Как будет'!$A$73:$A$80,Доп.расчеты!$A89,'Как будет'!CK$73:CK$80)</f>
        <v>0</v>
      </c>
      <c r="CK89">
        <f>SUMIF('Как будет'!$A$73:$A$80,Доп.расчеты!$A89,'Как будет'!CL$73:CL$80)</f>
        <v>0</v>
      </c>
      <c r="CL89">
        <f>SUMIF('Как будет'!$A$73:$A$80,Доп.расчеты!$A89,'Как будет'!CM$73:CM$80)</f>
        <v>0</v>
      </c>
      <c r="CM89">
        <f>SUMIF('Как будет'!$A$73:$A$80,Доп.расчеты!$A89,'Как будет'!CN$73:CN$80)</f>
        <v>0</v>
      </c>
      <c r="CN89">
        <f>SUMIF('Как будет'!$A$73:$A$80,Доп.расчеты!$A89,'Как будет'!CO$73:CO$80)</f>
        <v>0</v>
      </c>
      <c r="CO89">
        <f>SUMIF('Как будет'!$A$73:$A$80,Доп.расчеты!$A89,'Как будет'!CP$73:CP$80)</f>
        <v>0</v>
      </c>
      <c r="CP89">
        <f>SUMIF('Как будет'!$A$73:$A$80,Доп.расчеты!$A89,'Как будет'!CQ$73:CQ$80)</f>
        <v>0</v>
      </c>
      <c r="CQ89">
        <f>SUMIF('Как будет'!$A$73:$A$80,Доп.расчеты!$A89,'Как будет'!CR$73:CR$80)</f>
        <v>0</v>
      </c>
      <c r="CR89">
        <f>SUMIF('Как будет'!$A$73:$A$80,Доп.расчеты!$A89,'Как будет'!CS$73:CS$80)</f>
        <v>0</v>
      </c>
      <c r="CS89">
        <f>SUMIF('Как будет'!$A$73:$A$80,Доп.расчеты!$A89,'Как будет'!CT$73:CT$80)</f>
        <v>0</v>
      </c>
      <c r="CT89">
        <f>SUMIF('Как будет'!$A$73:$A$80,Доп.расчеты!$A89,'Как будет'!CU$73:CU$80)</f>
        <v>0</v>
      </c>
      <c r="CU89">
        <f>SUMIF('Как будет'!$A$73:$A$80,Доп.расчеты!$A89,'Как будет'!CV$73:CV$80)</f>
        <v>0</v>
      </c>
      <c r="CV89">
        <f>SUMIF('Как будет'!$A$73:$A$80,Доп.расчеты!$A89,'Как будет'!CW$73:CW$80)</f>
        <v>0</v>
      </c>
      <c r="CW89">
        <f>SUMIF('Как будет'!$A$73:$A$80,Доп.расчеты!$A89,'Как будет'!CX$73:CX$80)</f>
        <v>0</v>
      </c>
      <c r="CX89">
        <f>SUMIF('Как будет'!$A$73:$A$80,Доп.расчеты!$A89,'Как будет'!CY$73:CY$80)</f>
        <v>0</v>
      </c>
      <c r="CY89">
        <f>SUMIF('Как будет'!$A$73:$A$80,Доп.расчеты!$A89,'Как будет'!CZ$73:CZ$80)</f>
        <v>0</v>
      </c>
      <c r="CZ89">
        <f>SUMIF('Как будет'!$A$73:$A$80,Доп.расчеты!$A89,'Как будет'!DA$73:DA$80)</f>
        <v>0</v>
      </c>
      <c r="DA89">
        <f>SUMIF('Как будет'!$A$73:$A$80,Доп.расчеты!$A89,'Как будет'!DB$73:DB$80)</f>
        <v>0</v>
      </c>
      <c r="DB89">
        <f>SUMIF('Как будет'!$A$73:$A$80,Доп.расчеты!$A89,'Как будет'!DC$73:DC$80)</f>
        <v>0</v>
      </c>
      <c r="DC89">
        <f>SUMIF('Как будет'!$A$73:$A$80,Доп.расчеты!$A89,'Как будет'!DD$73:DD$80)</f>
        <v>0</v>
      </c>
      <c r="DD89">
        <f>SUMIF('Как будет'!$A$73:$A$80,Доп.расчеты!$A89,'Как будет'!DE$73:DE$80)</f>
        <v>0</v>
      </c>
      <c r="DE89">
        <f>SUMIF('Как будет'!$A$73:$A$80,Доп.расчеты!$A89,'Как будет'!DF$73:DF$80)</f>
        <v>0</v>
      </c>
      <c r="DF89">
        <f>SUMIF('Как будет'!$A$73:$A$80,Доп.расчеты!$A89,'Как будет'!DG$73:DG$80)</f>
        <v>0</v>
      </c>
      <c r="DG89">
        <f>SUMIF('Как будет'!$A$73:$A$80,Доп.расчеты!$A89,'Как будет'!DH$73:DH$80)</f>
        <v>0</v>
      </c>
      <c r="DH89">
        <f>SUMIF('Как будет'!$A$73:$A$80,Доп.расчеты!$A89,'Как будет'!DI$73:DI$80)</f>
        <v>0</v>
      </c>
      <c r="DI89">
        <f>SUMIF('Как будет'!$A$73:$A$80,Доп.расчеты!$A89,'Как будет'!DJ$73:DJ$80)</f>
        <v>0</v>
      </c>
      <c r="DJ89">
        <f>SUMIF('Как будет'!$A$73:$A$80,Доп.расчеты!$A89,'Как будет'!DK$73:DK$80)</f>
        <v>0</v>
      </c>
      <c r="DK89">
        <f>SUMIF('Как будет'!$A$73:$A$80,Доп.расчеты!$A89,'Как будет'!DL$73:DL$80)</f>
        <v>0</v>
      </c>
      <c r="DL89">
        <f>SUMIF('Как будет'!$A$73:$A$80,Доп.расчеты!$A89,'Как будет'!DM$73:DM$80)</f>
        <v>0</v>
      </c>
      <c r="DM89">
        <f>SUMIF('Как будет'!$A$73:$A$80,Доп.расчеты!$A89,'Как будет'!DN$73:DN$80)</f>
        <v>0</v>
      </c>
      <c r="DN89">
        <f>SUMIF('Как будет'!$A$73:$A$80,Доп.расчеты!$A89,'Как будет'!DO$73:DO$80)</f>
        <v>0</v>
      </c>
      <c r="DO89">
        <f>SUMIF('Как будет'!$A$73:$A$80,Доп.расчеты!$A89,'Как будет'!DP$73:DP$80)</f>
        <v>0</v>
      </c>
      <c r="DP89">
        <f>SUMIF('Как будет'!$A$73:$A$80,Доп.расчеты!$A89,'Как будет'!DQ$73:DQ$80)</f>
        <v>0</v>
      </c>
      <c r="DQ89">
        <f>SUMIF('Как будет'!$A$73:$A$80,Доп.расчеты!$A89,'Как будет'!DR$73:DR$80)</f>
        <v>0</v>
      </c>
      <c r="DR89">
        <f>SUMIF('Как будет'!$A$73:$A$80,Доп.расчеты!$A89,'Как будет'!DS$73:DS$80)</f>
        <v>0</v>
      </c>
      <c r="DS89">
        <f>SUMIF('Как будет'!$A$73:$A$80,Доп.расчеты!$A89,'Как будет'!DT$73:DT$80)</f>
        <v>0</v>
      </c>
      <c r="DT89">
        <f>SUMIF('Как будет'!$A$73:$A$80,Доп.расчеты!$A89,'Как будет'!DU$73:DU$80)</f>
        <v>0</v>
      </c>
      <c r="DU89">
        <f>SUMIF('Как будет'!$A$73:$A$80,Доп.расчеты!$A89,'Как будет'!DV$73:DV$80)</f>
        <v>0</v>
      </c>
      <c r="DV89">
        <f>SUMIF('Как будет'!$A$73:$A$80,Доп.расчеты!$A89,'Как будет'!DW$73:DW$80)</f>
        <v>0</v>
      </c>
      <c r="DW89">
        <f>SUMIF('Как будет'!$A$73:$A$80,Доп.расчеты!$A89,'Как будет'!DX$73:DX$80)</f>
        <v>0</v>
      </c>
      <c r="DX89">
        <f>SUMIF('Как будет'!$A$73:$A$80,Доп.расчеты!$A89,'Как будет'!DY$73:DY$80)</f>
        <v>0</v>
      </c>
      <c r="DY89">
        <f>SUMIF('Как будет'!$A$73:$A$80,Доп.расчеты!$A89,'Как будет'!DZ$73:DZ$80)</f>
        <v>0</v>
      </c>
      <c r="DZ89">
        <f>SUMIF('Как будет'!$A$73:$A$80,Доп.расчеты!$A89,'Как будет'!EA$73:EA$80)</f>
        <v>0</v>
      </c>
      <c r="EA89">
        <f>SUMIF('Как будет'!$A$73:$A$80,Доп.расчеты!$A89,'Как будет'!EB$73:EB$80)</f>
        <v>0</v>
      </c>
      <c r="EB89">
        <f>SUMIF('Как будет'!$A$73:$A$80,Доп.расчеты!$A89,'Как будет'!EC$73:EC$80)</f>
        <v>0</v>
      </c>
      <c r="EC89">
        <f>SUMIF('Как будет'!$A$73:$A$80,Доп.расчеты!$A89,'Как будет'!ED$73:ED$80)</f>
        <v>0</v>
      </c>
      <c r="ED89">
        <f>SUMIF('Как будет'!$A$73:$A$80,Доп.расчеты!$A89,'Как будет'!EE$73:EE$80)</f>
        <v>0</v>
      </c>
      <c r="EE89">
        <f>SUMIF('Как будет'!$A$73:$A$80,Доп.расчеты!$A89,'Как будет'!EF$73:EF$80)</f>
        <v>0</v>
      </c>
      <c r="EF89">
        <f>SUMIF('Как будет'!$A$73:$A$80,Доп.расчеты!$A89,'Как будет'!EG$73:EG$80)</f>
        <v>0</v>
      </c>
      <c r="EG89">
        <f>SUMIF('Как будет'!$A$73:$A$80,Доп.расчеты!$A89,'Как будет'!EH$73:EH$80)</f>
        <v>0</v>
      </c>
      <c r="EH89">
        <f>SUMIF('Как будет'!$A$73:$A$80,Доп.расчеты!$A89,'Как будет'!EI$73:EI$80)</f>
        <v>0</v>
      </c>
      <c r="EI89">
        <f>SUMIF('Как будет'!$A$73:$A$80,Доп.расчеты!$A89,'Как будет'!EJ$73:EJ$80)</f>
        <v>0</v>
      </c>
      <c r="EJ89">
        <f>SUMIF('Как будет'!$A$73:$A$80,Доп.расчеты!$A89,'Как будет'!EK$73:EK$80)</f>
        <v>0</v>
      </c>
      <c r="EK89">
        <f>SUMIF('Как будет'!$A$73:$A$80,Доп.расчеты!$A89,'Как будет'!EL$73:EL$80)</f>
        <v>0</v>
      </c>
      <c r="EL89">
        <f>SUMIF('Как будет'!$A$73:$A$80,Доп.расчеты!$A89,'Как будет'!EM$73:EM$80)</f>
        <v>0</v>
      </c>
      <c r="EM89">
        <f>SUMIF('Как будет'!$A$73:$A$80,Доп.расчеты!$A89,'Как будет'!EN$73:EN$80)</f>
        <v>0</v>
      </c>
      <c r="EN89">
        <f>SUMIF('Как будет'!$A$73:$A$80,Доп.расчеты!$A89,'Как будет'!EO$73:EO$80)</f>
        <v>0</v>
      </c>
      <c r="EO89">
        <f>SUMIF('Как будет'!$A$73:$A$80,Доп.расчеты!$A89,'Как будет'!EP$73:EP$80)</f>
        <v>0</v>
      </c>
      <c r="EP89">
        <f>SUMIF('Как будет'!$A$73:$A$80,Доп.расчеты!$A89,'Как будет'!EQ$73:EQ$80)</f>
        <v>0</v>
      </c>
      <c r="EQ89">
        <f>SUMIF('Как будет'!$A$73:$A$80,Доп.расчеты!$A89,'Как будет'!ER$73:ER$80)</f>
        <v>0</v>
      </c>
      <c r="ER89">
        <f>SUMIF('Как будет'!$A$73:$A$80,Доп.расчеты!$A89,'Как будет'!ES$73:ES$80)</f>
        <v>0</v>
      </c>
      <c r="ES89">
        <f>SUMIF('Как будет'!$A$73:$A$80,Доп.расчеты!$A89,'Как будет'!ET$73:ET$80)</f>
        <v>0</v>
      </c>
      <c r="ET89">
        <f>SUMIF('Как будет'!$A$73:$A$80,Доп.расчеты!$A89,'Как будет'!EU$73:EU$80)</f>
        <v>0</v>
      </c>
      <c r="EU89">
        <f>SUMIF('Как будет'!$A$73:$A$80,Доп.расчеты!$A89,'Как будет'!EV$73:EV$80)</f>
        <v>0</v>
      </c>
      <c r="EV89">
        <f>SUMIF('Как будет'!$A$73:$A$80,Доп.расчеты!$A89,'Как будет'!EW$73:EW$80)</f>
        <v>0</v>
      </c>
      <c r="EW89">
        <f>SUMIF('Как будет'!$A$73:$A$80,Доп.расчеты!$A89,'Как будет'!EX$73:EX$80)</f>
        <v>0</v>
      </c>
      <c r="EX89">
        <f>SUMIF('Как будет'!$A$73:$A$80,Доп.расчеты!$A89,'Как будет'!EY$73:EY$80)</f>
        <v>0</v>
      </c>
      <c r="EY89">
        <f>SUMIF('Как будет'!$A$73:$A$80,Доп.расчеты!$A89,'Как будет'!EZ$73:EZ$80)</f>
        <v>0</v>
      </c>
      <c r="EZ89">
        <f>SUMIF('Как будет'!$A$73:$A$80,Доп.расчеты!$A89,'Как будет'!FA$73:FA$80)</f>
        <v>0</v>
      </c>
      <c r="FA89">
        <f>SUMIF('Как будет'!$A$73:$A$80,Доп.расчеты!$A89,'Как будет'!FB$73:FB$80)</f>
        <v>0</v>
      </c>
      <c r="FB89">
        <f>SUMIF('Как будет'!$A$73:$A$80,Доп.расчеты!$A89,'Как будет'!FC$73:FC$80)</f>
        <v>0</v>
      </c>
      <c r="FC89">
        <f>SUMIF('Как будет'!$A$73:$A$80,Доп.расчеты!$A89,'Как будет'!FD$73:FD$80)</f>
        <v>0</v>
      </c>
      <c r="FD89">
        <f>SUMIF('Как будет'!$A$73:$A$80,Доп.расчеты!$A89,'Как будет'!FE$73:FE$80)</f>
        <v>0</v>
      </c>
      <c r="FE89">
        <f>SUMIF('Как будет'!$A$73:$A$80,Доп.расчеты!$A89,'Как будет'!FF$73:FF$80)</f>
        <v>0</v>
      </c>
      <c r="FF89">
        <f>SUMIF('Как будет'!$A$73:$A$80,Доп.расчеты!$A89,'Как будет'!FG$73:FG$80)</f>
        <v>0</v>
      </c>
      <c r="FG89">
        <f>SUMIF('Как будет'!$A$73:$A$80,Доп.расчеты!$A89,'Как будет'!FH$73:FH$80)</f>
        <v>0</v>
      </c>
      <c r="FH89">
        <f>SUMIF('Как будет'!$A$73:$A$80,Доп.расчеты!$A89,'Как будет'!FI$73:FI$80)</f>
        <v>0</v>
      </c>
      <c r="FI89">
        <f>SUMIF('Как будет'!$A$73:$A$80,Доп.расчеты!$A89,'Как будет'!FJ$73:FJ$80)</f>
        <v>0</v>
      </c>
      <c r="FJ89">
        <f>SUMIF('Как будет'!$A$73:$A$80,Доп.расчеты!$A89,'Как будет'!FK$73:FK$80)</f>
        <v>0</v>
      </c>
      <c r="FK89">
        <f>SUMIF('Как будет'!$A$73:$A$80,Доп.расчеты!$A89,'Как будет'!FL$73:FL$80)</f>
        <v>0</v>
      </c>
      <c r="FL89">
        <f>SUMIF('Как будет'!$A$73:$A$80,Доп.расчеты!$A89,'Как будет'!FM$73:FM$80)</f>
        <v>0</v>
      </c>
      <c r="FM89">
        <f>SUMIF('Как будет'!$A$73:$A$80,Доп.расчеты!$A89,'Как будет'!FN$73:FN$80)</f>
        <v>0</v>
      </c>
      <c r="FN89">
        <f>SUMIF('Как будет'!$A$73:$A$80,Доп.расчеты!$A89,'Как будет'!FO$73:FO$80)</f>
        <v>0</v>
      </c>
      <c r="FO89">
        <f>SUMIF('Как будет'!$A$73:$A$80,Доп.расчеты!$A89,'Как будет'!FP$73:FP$80)</f>
        <v>0</v>
      </c>
      <c r="FP89">
        <f>SUMIF('Как будет'!$A$73:$A$80,Доп.расчеты!$A89,'Как будет'!FQ$73:FQ$80)</f>
        <v>0</v>
      </c>
      <c r="FQ89">
        <f>SUMIF('Как будет'!$A$73:$A$80,Доп.расчеты!$A89,'Как будет'!FR$73:FR$80)</f>
        <v>0</v>
      </c>
      <c r="FR89">
        <f>SUMIF('Как будет'!$A$73:$A$80,Доп.расчеты!$A89,'Как будет'!FS$73:FS$80)</f>
        <v>0</v>
      </c>
      <c r="FS89">
        <f>SUMIF('Как будет'!$A$73:$A$80,Доп.расчеты!$A89,'Как будет'!FT$73:FT$80)</f>
        <v>0</v>
      </c>
      <c r="FT89">
        <f>SUMIF('Как будет'!$A$73:$A$80,Доп.расчеты!$A89,'Как будет'!FU$73:FU$80)</f>
        <v>0</v>
      </c>
      <c r="FU89">
        <f>SUMIF('Как будет'!$A$73:$A$80,Доп.расчеты!$A89,'Как будет'!FV$73:FV$80)</f>
        <v>0</v>
      </c>
      <c r="FV89">
        <f>SUMIF('Как будет'!$A$73:$A$80,Доп.расчеты!$A89,'Как будет'!FW$73:FW$80)</f>
        <v>0</v>
      </c>
      <c r="FW89">
        <f>SUMIF('Как будет'!$A$73:$A$80,Доп.расчеты!$A89,'Как будет'!FX$73:FX$80)</f>
        <v>0</v>
      </c>
      <c r="FX89">
        <f>SUMIF('Как будет'!$A$73:$A$80,Доп.расчеты!$A89,'Как будет'!FY$73:FY$80)</f>
        <v>0</v>
      </c>
      <c r="FY89">
        <f>SUMIF('Как будет'!$A$73:$A$80,Доп.расчеты!$A89,'Как будет'!FZ$73:FZ$80)</f>
        <v>0</v>
      </c>
      <c r="FZ89">
        <f>SUMIF('Как будет'!$A$73:$A$80,Доп.расчеты!$A89,'Как будет'!GA$73:GA$80)</f>
        <v>0</v>
      </c>
      <c r="GA89">
        <f>SUMIF('Как будет'!$A$73:$A$80,Доп.расчеты!$A89,'Как будет'!GB$73:GB$80)</f>
        <v>0</v>
      </c>
      <c r="GB89">
        <f>SUMIF('Как будет'!$A$73:$A$80,Доп.расчеты!$A89,'Как будет'!GC$73:GC$80)</f>
        <v>0</v>
      </c>
      <c r="GC89">
        <f>SUMIF('Как будет'!$A$73:$A$80,Доп.расчеты!$A89,'Как будет'!GD$73:GD$80)</f>
        <v>0</v>
      </c>
      <c r="GD89">
        <f>SUMIF('Как будет'!$A$73:$A$80,Доп.расчеты!$A89,'Как будет'!GE$73:GE$80)</f>
        <v>0</v>
      </c>
      <c r="GE89">
        <f>SUMIF('Как будет'!$A$73:$A$80,Доп.расчеты!$A89,'Как будет'!GF$73:GF$80)</f>
        <v>0</v>
      </c>
      <c r="GF89">
        <f>SUMIF('Как будет'!$A$73:$A$80,Доп.расчеты!$A89,'Как будет'!GG$73:GG$80)</f>
        <v>0</v>
      </c>
      <c r="GG89">
        <f>SUMIF('Как будет'!$A$73:$A$80,Доп.расчеты!$A89,'Как будет'!GH$73:GH$80)</f>
        <v>0</v>
      </c>
      <c r="GH89">
        <f>SUMIF('Как будет'!$A$73:$A$80,Доп.расчеты!$A89,'Как будет'!GI$73:GI$80)</f>
        <v>0</v>
      </c>
      <c r="GI89">
        <f>SUMIF('Как будет'!$A$73:$A$80,Доп.расчеты!$A89,'Как будет'!GJ$73:GJ$80)</f>
        <v>0</v>
      </c>
      <c r="GJ89">
        <f>SUMIF('Как будет'!$A$73:$A$80,Доп.расчеты!$A89,'Как будет'!GK$73:GK$80)</f>
        <v>0</v>
      </c>
      <c r="GK89">
        <f>SUMIF('Как будет'!$A$73:$A$80,Доп.расчеты!$A89,'Как будет'!GL$73:GL$80)</f>
        <v>0</v>
      </c>
      <c r="GL89">
        <f>SUMIF('Как будет'!$A$73:$A$80,Доп.расчеты!$A89,'Как будет'!GM$73:GM$80)</f>
        <v>0</v>
      </c>
      <c r="GM89">
        <f>SUMIF('Как будет'!$A$73:$A$80,Доп.расчеты!$A89,'Как будет'!GN$73:GN$80)</f>
        <v>0</v>
      </c>
      <c r="GN89">
        <f>SUMIF('Как будет'!$A$73:$A$80,Доп.расчеты!$A89,'Как будет'!GO$73:GO$80)</f>
        <v>0</v>
      </c>
      <c r="GO89">
        <f>SUMIF('Как будет'!$A$73:$A$80,Доп.расчеты!$A89,'Как будет'!GP$73:GP$80)</f>
        <v>0</v>
      </c>
      <c r="GP89">
        <f>SUMIF('Как будет'!$A$73:$A$80,Доп.расчеты!$A89,'Как будет'!GQ$73:GQ$80)</f>
        <v>0</v>
      </c>
      <c r="GQ89">
        <f>SUMIF('Как будет'!$A$73:$A$80,Доп.расчеты!$A89,'Как будет'!GR$73:GR$80)</f>
        <v>0</v>
      </c>
      <c r="GR89">
        <f>SUMIF('Как будет'!$A$73:$A$80,Доп.расчеты!$A89,'Как будет'!GS$73:GS$80)</f>
        <v>0</v>
      </c>
      <c r="GS89">
        <f>SUMIF('Как будет'!$A$73:$A$80,Доп.расчеты!$A89,'Как будет'!GT$73:GT$80)</f>
        <v>0</v>
      </c>
      <c r="GT89">
        <f>SUMIF('Как будет'!$A$73:$A$80,Доп.расчеты!$A89,'Как будет'!GU$73:GU$80)</f>
        <v>0</v>
      </c>
    </row>
    <row r="90" spans="1:202">
      <c r="A90" s="237" t="s">
        <v>98</v>
      </c>
      <c r="B90">
        <f>SUMIF('Как будет'!$A$73:$A$80,Доп.расчеты!$A90,'Как будет'!C$73:C$80)</f>
        <v>0</v>
      </c>
      <c r="C90">
        <f>SUMIF('Как будет'!$A$73:$A$80,Доп.расчеты!$A90,'Как будет'!D$73:D$80)</f>
        <v>0</v>
      </c>
      <c r="D90">
        <f>SUMIF('Как будет'!$A$73:$A$80,Доп.расчеты!$A90,'Как будет'!E$73:E$80)</f>
        <v>0</v>
      </c>
      <c r="E90">
        <f>SUMIF('Как будет'!$A$73:$A$80,Доп.расчеты!$A90,'Как будет'!F$73:F$80)</f>
        <v>0</v>
      </c>
      <c r="F90">
        <f>SUMIF('Как будет'!$A$73:$A$80,Доп.расчеты!$A90,'Как будет'!G$73:G$80)</f>
        <v>0</v>
      </c>
      <c r="G90">
        <f>SUMIF('Как будет'!$A$73:$A$80,Доп.расчеты!$A90,'Как будет'!H$73:H$80)</f>
        <v>0</v>
      </c>
      <c r="H90">
        <f>SUMIF('Как будет'!$A$73:$A$80,Доп.расчеты!$A90,'Как будет'!I$73:I$80)</f>
        <v>0</v>
      </c>
      <c r="I90">
        <f>SUMIF('Как будет'!$A$73:$A$80,Доп.расчеты!$A90,'Как будет'!J$73:J$80)</f>
        <v>0</v>
      </c>
      <c r="J90">
        <f>SUMIF('Как будет'!$A$73:$A$80,Доп.расчеты!$A90,'Как будет'!K$73:K$80)</f>
        <v>0</v>
      </c>
      <c r="K90">
        <f>SUMIF('Как будет'!$A$73:$A$80,Доп.расчеты!$A90,'Как будет'!L$73:L$80)</f>
        <v>0</v>
      </c>
      <c r="L90">
        <f>SUMIF('Как будет'!$A$73:$A$80,Доп.расчеты!$A90,'Как будет'!M$73:M$80)</f>
        <v>0</v>
      </c>
      <c r="M90">
        <f>SUMIF('Как будет'!$A$73:$A$80,Доп.расчеты!$A90,'Как будет'!N$73:N$80)</f>
        <v>0</v>
      </c>
      <c r="N90">
        <f>SUMIF('Как будет'!$A$73:$A$80,Доп.расчеты!$A90,'Как будет'!O$73:O$80)</f>
        <v>0</v>
      </c>
      <c r="O90">
        <f>SUMIF('Как будет'!$A$73:$A$80,Доп.расчеты!$A90,'Как будет'!P$73:P$80)</f>
        <v>0</v>
      </c>
      <c r="P90">
        <f>SUMIF('Как будет'!$A$73:$A$80,Доп.расчеты!$A90,'Как будет'!Q$73:Q$80)</f>
        <v>0</v>
      </c>
      <c r="Q90">
        <f>SUMIF('Как будет'!$A$73:$A$80,Доп.расчеты!$A90,'Как будет'!R$73:R$80)</f>
        <v>0</v>
      </c>
      <c r="R90">
        <f>SUMIF('Как будет'!$A$73:$A$80,Доп.расчеты!$A90,'Как будет'!S$73:S$80)</f>
        <v>0</v>
      </c>
      <c r="S90">
        <f>SUMIF('Как будет'!$A$73:$A$80,Доп.расчеты!$A90,'Как будет'!T$73:T$80)</f>
        <v>0</v>
      </c>
      <c r="T90">
        <f>SUMIF('Как будет'!$A$73:$A$80,Доп.расчеты!$A90,'Как будет'!U$73:U$80)</f>
        <v>0</v>
      </c>
      <c r="U90">
        <f>SUMIF('Как будет'!$A$73:$A$80,Доп.расчеты!$A90,'Как будет'!V$73:V$80)</f>
        <v>0</v>
      </c>
      <c r="V90">
        <f>SUMIF('Как будет'!$A$73:$A$80,Доп.расчеты!$A90,'Как будет'!W$73:W$80)</f>
        <v>0</v>
      </c>
      <c r="W90">
        <f>SUMIF('Как будет'!$A$73:$A$80,Доп.расчеты!$A90,'Как будет'!X$73:X$80)</f>
        <v>0</v>
      </c>
      <c r="X90">
        <f>SUMIF('Как будет'!$A$73:$A$80,Доп.расчеты!$A90,'Как будет'!Y$73:Y$80)</f>
        <v>0</v>
      </c>
      <c r="Y90">
        <f>SUMIF('Как будет'!$A$73:$A$80,Доп.расчеты!$A90,'Как будет'!Z$73:Z$80)</f>
        <v>0</v>
      </c>
      <c r="Z90">
        <f>SUMIF('Как будет'!$A$73:$A$80,Доп.расчеты!$A90,'Как будет'!AA$73:AA$80)</f>
        <v>0</v>
      </c>
      <c r="AA90">
        <f>SUMIF('Как будет'!$A$73:$A$80,Доп.расчеты!$A90,'Как будет'!AB$73:AB$80)</f>
        <v>0</v>
      </c>
      <c r="AB90">
        <f>SUMIF('Как будет'!$A$73:$A$80,Доп.расчеты!$A90,'Как будет'!AC$73:AC$80)</f>
        <v>0</v>
      </c>
      <c r="AC90">
        <f>SUMIF('Как будет'!$A$73:$A$80,Доп.расчеты!$A90,'Как будет'!AD$73:AD$80)</f>
        <v>0</v>
      </c>
      <c r="AD90">
        <f>SUMIF('Как будет'!$A$73:$A$80,Доп.расчеты!$A90,'Как будет'!AE$73:AE$80)</f>
        <v>0</v>
      </c>
      <c r="AE90">
        <f>SUMIF('Как будет'!$A$73:$A$80,Доп.расчеты!$A90,'Как будет'!AF$73:AF$80)</f>
        <v>0</v>
      </c>
      <c r="AF90">
        <f>SUMIF('Как будет'!$A$73:$A$80,Доп.расчеты!$A90,'Как будет'!AG$73:AG$80)</f>
        <v>0</v>
      </c>
      <c r="AG90">
        <f>SUMIF('Как будет'!$A$73:$A$80,Доп.расчеты!$A90,'Как будет'!AH$73:AH$80)</f>
        <v>0</v>
      </c>
      <c r="AH90">
        <f>SUMIF('Как будет'!$A$73:$A$80,Доп.расчеты!$A90,'Как будет'!AI$73:AI$80)</f>
        <v>0</v>
      </c>
      <c r="AI90">
        <f>SUMIF('Как будет'!$A$73:$A$80,Доп.расчеты!$A90,'Как будет'!AJ$73:AJ$80)</f>
        <v>0</v>
      </c>
      <c r="AJ90">
        <f>SUMIF('Как будет'!$A$73:$A$80,Доп.расчеты!$A90,'Как будет'!AK$73:AK$80)</f>
        <v>0</v>
      </c>
      <c r="AK90">
        <f>SUMIF('Как будет'!$A$73:$A$80,Доп.расчеты!$A90,'Как будет'!AL$73:AL$80)</f>
        <v>0</v>
      </c>
      <c r="AL90">
        <f>SUMIF('Как будет'!$A$73:$A$80,Доп.расчеты!$A90,'Как будет'!AM$73:AM$80)</f>
        <v>0</v>
      </c>
      <c r="AM90">
        <f>SUMIF('Как будет'!$A$73:$A$80,Доп.расчеты!$A90,'Как будет'!AN$73:AN$80)</f>
        <v>0</v>
      </c>
      <c r="AN90">
        <f>SUMIF('Как будет'!$A$73:$A$80,Доп.расчеты!$A90,'Как будет'!AO$73:AO$80)</f>
        <v>0</v>
      </c>
      <c r="AO90">
        <f>SUMIF('Как будет'!$A$73:$A$80,Доп.расчеты!$A90,'Как будет'!AP$73:AP$80)</f>
        <v>0</v>
      </c>
      <c r="AP90">
        <f>SUMIF('Как будет'!$A$73:$A$80,Доп.расчеты!$A90,'Как будет'!AQ$73:AQ$80)</f>
        <v>0</v>
      </c>
      <c r="AQ90">
        <f>SUMIF('Как будет'!$A$73:$A$80,Доп.расчеты!$A90,'Как будет'!AR$73:AR$80)</f>
        <v>0</v>
      </c>
      <c r="AR90">
        <f>SUMIF('Как будет'!$A$73:$A$80,Доп.расчеты!$A90,'Как будет'!AS$73:AS$80)</f>
        <v>0</v>
      </c>
      <c r="AS90">
        <f>SUMIF('Как будет'!$A$73:$A$80,Доп.расчеты!$A90,'Как будет'!AT$73:AT$80)</f>
        <v>0</v>
      </c>
      <c r="AT90">
        <f>SUMIF('Как будет'!$A$73:$A$80,Доп.расчеты!$A90,'Как будет'!AU$73:AU$80)</f>
        <v>0</v>
      </c>
      <c r="AU90">
        <f>SUMIF('Как будет'!$A$73:$A$80,Доп.расчеты!$A90,'Как будет'!AV$73:AV$80)</f>
        <v>0</v>
      </c>
      <c r="AV90">
        <f>SUMIF('Как будет'!$A$73:$A$80,Доп.расчеты!$A90,'Как будет'!AW$73:AW$80)</f>
        <v>0</v>
      </c>
      <c r="AW90">
        <f>SUMIF('Как будет'!$A$73:$A$80,Доп.расчеты!$A90,'Как будет'!AX$73:AX$80)</f>
        <v>0</v>
      </c>
      <c r="AX90">
        <f>SUMIF('Как будет'!$A$73:$A$80,Доп.расчеты!$A90,'Как будет'!AY$73:AY$80)</f>
        <v>0</v>
      </c>
      <c r="AY90">
        <f>SUMIF('Как будет'!$A$73:$A$80,Доп.расчеты!$A90,'Как будет'!AZ$73:AZ$80)</f>
        <v>0</v>
      </c>
      <c r="AZ90">
        <f>SUMIF('Как будет'!$A$73:$A$80,Доп.расчеты!$A90,'Как будет'!BA$73:BA$80)</f>
        <v>0</v>
      </c>
      <c r="BA90">
        <f>SUMIF('Как будет'!$A$73:$A$80,Доп.расчеты!$A90,'Как будет'!BB$73:BB$80)</f>
        <v>0</v>
      </c>
      <c r="BB90">
        <f>SUMIF('Как будет'!$A$73:$A$80,Доп.расчеты!$A90,'Как будет'!BC$73:BC$80)</f>
        <v>0</v>
      </c>
      <c r="BC90">
        <f>SUMIF('Как будет'!$A$73:$A$80,Доп.расчеты!$A90,'Как будет'!BD$73:BD$80)</f>
        <v>0</v>
      </c>
      <c r="BD90">
        <f>SUMIF('Как будет'!$A$73:$A$80,Доп.расчеты!$A90,'Как будет'!BE$73:BE$80)</f>
        <v>0</v>
      </c>
      <c r="BE90">
        <f>SUMIF('Как будет'!$A$73:$A$80,Доп.расчеты!$A90,'Как будет'!BF$73:BF$80)</f>
        <v>0</v>
      </c>
      <c r="BF90">
        <f>SUMIF('Как будет'!$A$73:$A$80,Доп.расчеты!$A90,'Как будет'!BG$73:BG$80)</f>
        <v>0</v>
      </c>
      <c r="BG90">
        <f>SUMIF('Как будет'!$A$73:$A$80,Доп.расчеты!$A90,'Как будет'!BH$73:BH$80)</f>
        <v>0</v>
      </c>
      <c r="BH90">
        <f>SUMIF('Как будет'!$A$73:$A$80,Доп.расчеты!$A90,'Как будет'!BI$73:BI$80)</f>
        <v>0</v>
      </c>
      <c r="BI90">
        <f>SUMIF('Как будет'!$A$73:$A$80,Доп.расчеты!$A90,'Как будет'!BJ$73:BJ$80)</f>
        <v>0</v>
      </c>
      <c r="BJ90">
        <f>SUMIF('Как будет'!$A$73:$A$80,Доп.расчеты!$A90,'Как будет'!BK$73:BK$80)</f>
        <v>0</v>
      </c>
      <c r="BK90">
        <f>SUMIF('Как будет'!$A$73:$A$80,Доп.расчеты!$A90,'Как будет'!BL$73:BL$80)</f>
        <v>0</v>
      </c>
      <c r="BL90">
        <f>SUMIF('Как будет'!$A$73:$A$80,Доп.расчеты!$A90,'Как будет'!BM$73:BM$80)</f>
        <v>0</v>
      </c>
      <c r="BM90">
        <f>SUMIF('Как будет'!$A$73:$A$80,Доп.расчеты!$A90,'Как будет'!BN$73:BN$80)</f>
        <v>0</v>
      </c>
      <c r="BN90">
        <f>SUMIF('Как будет'!$A$73:$A$80,Доп.расчеты!$A90,'Как будет'!BO$73:BO$80)</f>
        <v>0</v>
      </c>
      <c r="BO90">
        <f>SUMIF('Как будет'!$A$73:$A$80,Доп.расчеты!$A90,'Как будет'!BP$73:BP$80)</f>
        <v>0</v>
      </c>
      <c r="BP90">
        <f>SUMIF('Как будет'!$A$73:$A$80,Доп.расчеты!$A90,'Как будет'!BQ$73:BQ$80)</f>
        <v>0</v>
      </c>
      <c r="BQ90">
        <f>SUMIF('Как будет'!$A$73:$A$80,Доп.расчеты!$A90,'Как будет'!BR$73:BR$80)</f>
        <v>0</v>
      </c>
      <c r="BR90">
        <f>SUMIF('Как будет'!$A$73:$A$80,Доп.расчеты!$A90,'Как будет'!BS$73:BS$80)</f>
        <v>0</v>
      </c>
      <c r="BS90">
        <f>SUMIF('Как будет'!$A$73:$A$80,Доп.расчеты!$A90,'Как будет'!BT$73:BT$80)</f>
        <v>0</v>
      </c>
      <c r="BT90">
        <f>SUMIF('Как будет'!$A$73:$A$80,Доп.расчеты!$A90,'Как будет'!BU$73:BU$80)</f>
        <v>0</v>
      </c>
      <c r="BU90">
        <f>SUMIF('Как будет'!$A$73:$A$80,Доп.расчеты!$A90,'Как будет'!BV$73:BV$80)</f>
        <v>0</v>
      </c>
      <c r="BV90">
        <f>SUMIF('Как будет'!$A$73:$A$80,Доп.расчеты!$A90,'Как будет'!BW$73:BW$80)</f>
        <v>0</v>
      </c>
      <c r="BW90">
        <f>SUMIF('Как будет'!$A$73:$A$80,Доп.расчеты!$A90,'Как будет'!BX$73:BX$80)</f>
        <v>0</v>
      </c>
      <c r="BX90">
        <f>SUMIF('Как будет'!$A$73:$A$80,Доп.расчеты!$A90,'Как будет'!BY$73:BY$80)</f>
        <v>0</v>
      </c>
      <c r="BY90">
        <f>SUMIF('Как будет'!$A$73:$A$80,Доп.расчеты!$A90,'Как будет'!BZ$73:BZ$80)</f>
        <v>0</v>
      </c>
      <c r="BZ90">
        <f>SUMIF('Как будет'!$A$73:$A$80,Доп.расчеты!$A90,'Как будет'!CA$73:CA$80)</f>
        <v>0</v>
      </c>
      <c r="CA90">
        <f>SUMIF('Как будет'!$A$73:$A$80,Доп.расчеты!$A90,'Как будет'!CB$73:CB$80)</f>
        <v>0</v>
      </c>
      <c r="CB90">
        <f>SUMIF('Как будет'!$A$73:$A$80,Доп.расчеты!$A90,'Как будет'!CC$73:CC$80)</f>
        <v>0</v>
      </c>
      <c r="CC90">
        <f>SUMIF('Как будет'!$A$73:$A$80,Доп.расчеты!$A90,'Как будет'!CD$73:CD$80)</f>
        <v>0</v>
      </c>
      <c r="CD90">
        <f>SUMIF('Как будет'!$A$73:$A$80,Доп.расчеты!$A90,'Как будет'!CE$73:CE$80)</f>
        <v>0</v>
      </c>
      <c r="CE90">
        <f>SUMIF('Как будет'!$A$73:$A$80,Доп.расчеты!$A90,'Как будет'!CF$73:CF$80)</f>
        <v>0</v>
      </c>
      <c r="CF90">
        <f>SUMIF('Как будет'!$A$73:$A$80,Доп.расчеты!$A90,'Как будет'!CG$73:CG$80)</f>
        <v>0</v>
      </c>
      <c r="CG90">
        <f>SUMIF('Как будет'!$A$73:$A$80,Доп.расчеты!$A90,'Как будет'!CH$73:CH$80)</f>
        <v>0</v>
      </c>
      <c r="CH90">
        <f>SUMIF('Как будет'!$A$73:$A$80,Доп.расчеты!$A90,'Как будет'!CI$73:CI$80)</f>
        <v>0</v>
      </c>
      <c r="CI90">
        <f>SUMIF('Как будет'!$A$73:$A$80,Доп.расчеты!$A90,'Как будет'!CJ$73:CJ$80)</f>
        <v>0</v>
      </c>
      <c r="CJ90">
        <f>SUMIF('Как будет'!$A$73:$A$80,Доп.расчеты!$A90,'Как будет'!CK$73:CK$80)</f>
        <v>0</v>
      </c>
      <c r="CK90">
        <f>SUMIF('Как будет'!$A$73:$A$80,Доп.расчеты!$A90,'Как будет'!CL$73:CL$80)</f>
        <v>0</v>
      </c>
      <c r="CL90">
        <f>SUMIF('Как будет'!$A$73:$A$80,Доп.расчеты!$A90,'Как будет'!CM$73:CM$80)</f>
        <v>0</v>
      </c>
      <c r="CM90">
        <f>SUMIF('Как будет'!$A$73:$A$80,Доп.расчеты!$A90,'Как будет'!CN$73:CN$80)</f>
        <v>0</v>
      </c>
      <c r="CN90">
        <f>SUMIF('Как будет'!$A$73:$A$80,Доп.расчеты!$A90,'Как будет'!CO$73:CO$80)</f>
        <v>0</v>
      </c>
      <c r="CO90">
        <f>SUMIF('Как будет'!$A$73:$A$80,Доп.расчеты!$A90,'Как будет'!CP$73:CP$80)</f>
        <v>0</v>
      </c>
      <c r="CP90">
        <f>SUMIF('Как будет'!$A$73:$A$80,Доп.расчеты!$A90,'Как будет'!CQ$73:CQ$80)</f>
        <v>0</v>
      </c>
      <c r="CQ90">
        <f>SUMIF('Как будет'!$A$73:$A$80,Доп.расчеты!$A90,'Как будет'!CR$73:CR$80)</f>
        <v>0</v>
      </c>
      <c r="CR90">
        <f>SUMIF('Как будет'!$A$73:$A$80,Доп.расчеты!$A90,'Как будет'!CS$73:CS$80)</f>
        <v>0</v>
      </c>
      <c r="CS90">
        <f>SUMIF('Как будет'!$A$73:$A$80,Доп.расчеты!$A90,'Как будет'!CT$73:CT$80)</f>
        <v>0</v>
      </c>
      <c r="CT90">
        <f>SUMIF('Как будет'!$A$73:$A$80,Доп.расчеты!$A90,'Как будет'!CU$73:CU$80)</f>
        <v>0</v>
      </c>
      <c r="CU90">
        <f>SUMIF('Как будет'!$A$73:$A$80,Доп.расчеты!$A90,'Как будет'!CV$73:CV$80)</f>
        <v>0</v>
      </c>
      <c r="CV90">
        <f>SUMIF('Как будет'!$A$73:$A$80,Доп.расчеты!$A90,'Как будет'!CW$73:CW$80)</f>
        <v>0</v>
      </c>
      <c r="CW90">
        <f>SUMIF('Как будет'!$A$73:$A$80,Доп.расчеты!$A90,'Как будет'!CX$73:CX$80)</f>
        <v>0</v>
      </c>
      <c r="CX90">
        <f>SUMIF('Как будет'!$A$73:$A$80,Доп.расчеты!$A90,'Как будет'!CY$73:CY$80)</f>
        <v>0</v>
      </c>
      <c r="CY90">
        <f>SUMIF('Как будет'!$A$73:$A$80,Доп.расчеты!$A90,'Как будет'!CZ$73:CZ$80)</f>
        <v>0</v>
      </c>
      <c r="CZ90">
        <f>SUMIF('Как будет'!$A$73:$A$80,Доп.расчеты!$A90,'Как будет'!DA$73:DA$80)</f>
        <v>0</v>
      </c>
      <c r="DA90">
        <f>SUMIF('Как будет'!$A$73:$A$80,Доп.расчеты!$A90,'Как будет'!DB$73:DB$80)</f>
        <v>0</v>
      </c>
      <c r="DB90">
        <f>SUMIF('Как будет'!$A$73:$A$80,Доп.расчеты!$A90,'Как будет'!DC$73:DC$80)</f>
        <v>0</v>
      </c>
      <c r="DC90">
        <f>SUMIF('Как будет'!$A$73:$A$80,Доп.расчеты!$A90,'Как будет'!DD$73:DD$80)</f>
        <v>0</v>
      </c>
      <c r="DD90">
        <f>SUMIF('Как будет'!$A$73:$A$80,Доп.расчеты!$A90,'Как будет'!DE$73:DE$80)</f>
        <v>0</v>
      </c>
      <c r="DE90">
        <f>SUMIF('Как будет'!$A$73:$A$80,Доп.расчеты!$A90,'Как будет'!DF$73:DF$80)</f>
        <v>0</v>
      </c>
      <c r="DF90">
        <f>SUMIF('Как будет'!$A$73:$A$80,Доп.расчеты!$A90,'Как будет'!DG$73:DG$80)</f>
        <v>0</v>
      </c>
      <c r="DG90">
        <f>SUMIF('Как будет'!$A$73:$A$80,Доп.расчеты!$A90,'Как будет'!DH$73:DH$80)</f>
        <v>0</v>
      </c>
      <c r="DH90">
        <f>SUMIF('Как будет'!$A$73:$A$80,Доп.расчеты!$A90,'Как будет'!DI$73:DI$80)</f>
        <v>0</v>
      </c>
      <c r="DI90">
        <f>SUMIF('Как будет'!$A$73:$A$80,Доп.расчеты!$A90,'Как будет'!DJ$73:DJ$80)</f>
        <v>0</v>
      </c>
      <c r="DJ90">
        <f>SUMIF('Как будет'!$A$73:$A$80,Доп.расчеты!$A90,'Как будет'!DK$73:DK$80)</f>
        <v>0</v>
      </c>
      <c r="DK90">
        <f>SUMIF('Как будет'!$A$73:$A$80,Доп.расчеты!$A90,'Как будет'!DL$73:DL$80)</f>
        <v>0</v>
      </c>
      <c r="DL90">
        <f>SUMIF('Как будет'!$A$73:$A$80,Доп.расчеты!$A90,'Как будет'!DM$73:DM$80)</f>
        <v>0</v>
      </c>
      <c r="DM90">
        <f>SUMIF('Как будет'!$A$73:$A$80,Доп.расчеты!$A90,'Как будет'!DN$73:DN$80)</f>
        <v>0</v>
      </c>
      <c r="DN90">
        <f>SUMIF('Как будет'!$A$73:$A$80,Доп.расчеты!$A90,'Как будет'!DO$73:DO$80)</f>
        <v>0</v>
      </c>
      <c r="DO90">
        <f>SUMIF('Как будет'!$A$73:$A$80,Доп.расчеты!$A90,'Как будет'!DP$73:DP$80)</f>
        <v>0</v>
      </c>
      <c r="DP90">
        <f>SUMIF('Как будет'!$A$73:$A$80,Доп.расчеты!$A90,'Как будет'!DQ$73:DQ$80)</f>
        <v>0</v>
      </c>
      <c r="DQ90">
        <f>SUMIF('Как будет'!$A$73:$A$80,Доп.расчеты!$A90,'Как будет'!DR$73:DR$80)</f>
        <v>0</v>
      </c>
      <c r="DR90">
        <f>SUMIF('Как будет'!$A$73:$A$80,Доп.расчеты!$A90,'Как будет'!DS$73:DS$80)</f>
        <v>0</v>
      </c>
      <c r="DS90">
        <f>SUMIF('Как будет'!$A$73:$A$80,Доп.расчеты!$A90,'Как будет'!DT$73:DT$80)</f>
        <v>0</v>
      </c>
      <c r="DT90">
        <f>SUMIF('Как будет'!$A$73:$A$80,Доп.расчеты!$A90,'Как будет'!DU$73:DU$80)</f>
        <v>0</v>
      </c>
      <c r="DU90">
        <f>SUMIF('Как будет'!$A$73:$A$80,Доп.расчеты!$A90,'Как будет'!DV$73:DV$80)</f>
        <v>0</v>
      </c>
      <c r="DV90">
        <f>SUMIF('Как будет'!$A$73:$A$80,Доп.расчеты!$A90,'Как будет'!DW$73:DW$80)</f>
        <v>0</v>
      </c>
      <c r="DW90">
        <f>SUMIF('Как будет'!$A$73:$A$80,Доп.расчеты!$A90,'Как будет'!DX$73:DX$80)</f>
        <v>0</v>
      </c>
      <c r="DX90">
        <f>SUMIF('Как будет'!$A$73:$A$80,Доп.расчеты!$A90,'Как будет'!DY$73:DY$80)</f>
        <v>0</v>
      </c>
      <c r="DY90">
        <f>SUMIF('Как будет'!$A$73:$A$80,Доп.расчеты!$A90,'Как будет'!DZ$73:DZ$80)</f>
        <v>0</v>
      </c>
      <c r="DZ90">
        <f>SUMIF('Как будет'!$A$73:$A$80,Доп.расчеты!$A90,'Как будет'!EA$73:EA$80)</f>
        <v>0</v>
      </c>
      <c r="EA90">
        <f>SUMIF('Как будет'!$A$73:$A$80,Доп.расчеты!$A90,'Как будет'!EB$73:EB$80)</f>
        <v>0</v>
      </c>
      <c r="EB90">
        <f>SUMIF('Как будет'!$A$73:$A$80,Доп.расчеты!$A90,'Как будет'!EC$73:EC$80)</f>
        <v>0</v>
      </c>
      <c r="EC90">
        <f>SUMIF('Как будет'!$A$73:$A$80,Доп.расчеты!$A90,'Как будет'!ED$73:ED$80)</f>
        <v>0</v>
      </c>
      <c r="ED90">
        <f>SUMIF('Как будет'!$A$73:$A$80,Доп.расчеты!$A90,'Как будет'!EE$73:EE$80)</f>
        <v>0</v>
      </c>
      <c r="EE90">
        <f>SUMIF('Как будет'!$A$73:$A$80,Доп.расчеты!$A90,'Как будет'!EF$73:EF$80)</f>
        <v>0</v>
      </c>
      <c r="EF90">
        <f>SUMIF('Как будет'!$A$73:$A$80,Доп.расчеты!$A90,'Как будет'!EG$73:EG$80)</f>
        <v>0</v>
      </c>
      <c r="EG90">
        <f>SUMIF('Как будет'!$A$73:$A$80,Доп.расчеты!$A90,'Как будет'!EH$73:EH$80)</f>
        <v>0</v>
      </c>
      <c r="EH90">
        <f>SUMIF('Как будет'!$A$73:$A$80,Доп.расчеты!$A90,'Как будет'!EI$73:EI$80)</f>
        <v>0</v>
      </c>
      <c r="EI90">
        <f>SUMIF('Как будет'!$A$73:$A$80,Доп.расчеты!$A90,'Как будет'!EJ$73:EJ$80)</f>
        <v>0</v>
      </c>
      <c r="EJ90">
        <f>SUMIF('Как будет'!$A$73:$A$80,Доп.расчеты!$A90,'Как будет'!EK$73:EK$80)</f>
        <v>0</v>
      </c>
      <c r="EK90">
        <f>SUMIF('Как будет'!$A$73:$A$80,Доп.расчеты!$A90,'Как будет'!EL$73:EL$80)</f>
        <v>0</v>
      </c>
      <c r="EL90">
        <f>SUMIF('Как будет'!$A$73:$A$80,Доп.расчеты!$A90,'Как будет'!EM$73:EM$80)</f>
        <v>0</v>
      </c>
      <c r="EM90">
        <f>SUMIF('Как будет'!$A$73:$A$80,Доп.расчеты!$A90,'Как будет'!EN$73:EN$80)</f>
        <v>0</v>
      </c>
      <c r="EN90">
        <f>SUMIF('Как будет'!$A$73:$A$80,Доп.расчеты!$A90,'Как будет'!EO$73:EO$80)</f>
        <v>0</v>
      </c>
      <c r="EO90">
        <f>SUMIF('Как будет'!$A$73:$A$80,Доп.расчеты!$A90,'Как будет'!EP$73:EP$80)</f>
        <v>0</v>
      </c>
      <c r="EP90">
        <f>SUMIF('Как будет'!$A$73:$A$80,Доп.расчеты!$A90,'Как будет'!EQ$73:EQ$80)</f>
        <v>0</v>
      </c>
      <c r="EQ90">
        <f>SUMIF('Как будет'!$A$73:$A$80,Доп.расчеты!$A90,'Как будет'!ER$73:ER$80)</f>
        <v>0</v>
      </c>
      <c r="ER90">
        <f>SUMIF('Как будет'!$A$73:$A$80,Доп.расчеты!$A90,'Как будет'!ES$73:ES$80)</f>
        <v>0</v>
      </c>
      <c r="ES90">
        <f>SUMIF('Как будет'!$A$73:$A$80,Доп.расчеты!$A90,'Как будет'!ET$73:ET$80)</f>
        <v>0</v>
      </c>
      <c r="ET90">
        <f>SUMIF('Как будет'!$A$73:$A$80,Доп.расчеты!$A90,'Как будет'!EU$73:EU$80)</f>
        <v>0</v>
      </c>
      <c r="EU90">
        <f>SUMIF('Как будет'!$A$73:$A$80,Доп.расчеты!$A90,'Как будет'!EV$73:EV$80)</f>
        <v>0</v>
      </c>
      <c r="EV90">
        <f>SUMIF('Как будет'!$A$73:$A$80,Доп.расчеты!$A90,'Как будет'!EW$73:EW$80)</f>
        <v>0</v>
      </c>
      <c r="EW90">
        <f>SUMIF('Как будет'!$A$73:$A$80,Доп.расчеты!$A90,'Как будет'!EX$73:EX$80)</f>
        <v>0</v>
      </c>
      <c r="EX90">
        <f>SUMIF('Как будет'!$A$73:$A$80,Доп.расчеты!$A90,'Как будет'!EY$73:EY$80)</f>
        <v>0</v>
      </c>
      <c r="EY90">
        <f>SUMIF('Как будет'!$A$73:$A$80,Доп.расчеты!$A90,'Как будет'!EZ$73:EZ$80)</f>
        <v>0</v>
      </c>
      <c r="EZ90">
        <f>SUMIF('Как будет'!$A$73:$A$80,Доп.расчеты!$A90,'Как будет'!FA$73:FA$80)</f>
        <v>0</v>
      </c>
      <c r="FA90">
        <f>SUMIF('Как будет'!$A$73:$A$80,Доп.расчеты!$A90,'Как будет'!FB$73:FB$80)</f>
        <v>0</v>
      </c>
      <c r="FB90">
        <f>SUMIF('Как будет'!$A$73:$A$80,Доп.расчеты!$A90,'Как будет'!FC$73:FC$80)</f>
        <v>0</v>
      </c>
      <c r="FC90">
        <f>SUMIF('Как будет'!$A$73:$A$80,Доп.расчеты!$A90,'Как будет'!FD$73:FD$80)</f>
        <v>0</v>
      </c>
      <c r="FD90">
        <f>SUMIF('Как будет'!$A$73:$A$80,Доп.расчеты!$A90,'Как будет'!FE$73:FE$80)</f>
        <v>0</v>
      </c>
      <c r="FE90">
        <f>SUMIF('Как будет'!$A$73:$A$80,Доп.расчеты!$A90,'Как будет'!FF$73:FF$80)</f>
        <v>0</v>
      </c>
      <c r="FF90">
        <f>SUMIF('Как будет'!$A$73:$A$80,Доп.расчеты!$A90,'Как будет'!FG$73:FG$80)</f>
        <v>0</v>
      </c>
      <c r="FG90">
        <f>SUMIF('Как будет'!$A$73:$A$80,Доп.расчеты!$A90,'Как будет'!FH$73:FH$80)</f>
        <v>0</v>
      </c>
      <c r="FH90">
        <f>SUMIF('Как будет'!$A$73:$A$80,Доп.расчеты!$A90,'Как будет'!FI$73:FI$80)</f>
        <v>0</v>
      </c>
      <c r="FI90">
        <f>SUMIF('Как будет'!$A$73:$A$80,Доп.расчеты!$A90,'Как будет'!FJ$73:FJ$80)</f>
        <v>0</v>
      </c>
      <c r="FJ90">
        <f>SUMIF('Как будет'!$A$73:$A$80,Доп.расчеты!$A90,'Как будет'!FK$73:FK$80)</f>
        <v>0</v>
      </c>
      <c r="FK90">
        <f>SUMIF('Как будет'!$A$73:$A$80,Доп.расчеты!$A90,'Как будет'!FL$73:FL$80)</f>
        <v>0</v>
      </c>
      <c r="FL90">
        <f>SUMIF('Как будет'!$A$73:$A$80,Доп.расчеты!$A90,'Как будет'!FM$73:FM$80)</f>
        <v>0</v>
      </c>
      <c r="FM90">
        <f>SUMIF('Как будет'!$A$73:$A$80,Доп.расчеты!$A90,'Как будет'!FN$73:FN$80)</f>
        <v>0</v>
      </c>
      <c r="FN90">
        <f>SUMIF('Как будет'!$A$73:$A$80,Доп.расчеты!$A90,'Как будет'!FO$73:FO$80)</f>
        <v>0</v>
      </c>
      <c r="FO90">
        <f>SUMIF('Как будет'!$A$73:$A$80,Доп.расчеты!$A90,'Как будет'!FP$73:FP$80)</f>
        <v>0</v>
      </c>
      <c r="FP90">
        <f>SUMIF('Как будет'!$A$73:$A$80,Доп.расчеты!$A90,'Как будет'!FQ$73:FQ$80)</f>
        <v>0</v>
      </c>
      <c r="FQ90">
        <f>SUMIF('Как будет'!$A$73:$A$80,Доп.расчеты!$A90,'Как будет'!FR$73:FR$80)</f>
        <v>0</v>
      </c>
      <c r="FR90">
        <f>SUMIF('Как будет'!$A$73:$A$80,Доп.расчеты!$A90,'Как будет'!FS$73:FS$80)</f>
        <v>0</v>
      </c>
      <c r="FS90">
        <f>SUMIF('Как будет'!$A$73:$A$80,Доп.расчеты!$A90,'Как будет'!FT$73:FT$80)</f>
        <v>0</v>
      </c>
      <c r="FT90">
        <f>SUMIF('Как будет'!$A$73:$A$80,Доп.расчеты!$A90,'Как будет'!FU$73:FU$80)</f>
        <v>0</v>
      </c>
      <c r="FU90">
        <f>SUMIF('Как будет'!$A$73:$A$80,Доп.расчеты!$A90,'Как будет'!FV$73:FV$80)</f>
        <v>0</v>
      </c>
      <c r="FV90">
        <f>SUMIF('Как будет'!$A$73:$A$80,Доп.расчеты!$A90,'Как будет'!FW$73:FW$80)</f>
        <v>0</v>
      </c>
      <c r="FW90">
        <f>SUMIF('Как будет'!$A$73:$A$80,Доп.расчеты!$A90,'Как будет'!FX$73:FX$80)</f>
        <v>0</v>
      </c>
      <c r="FX90">
        <f>SUMIF('Как будет'!$A$73:$A$80,Доп.расчеты!$A90,'Как будет'!FY$73:FY$80)</f>
        <v>0</v>
      </c>
      <c r="FY90">
        <f>SUMIF('Как будет'!$A$73:$A$80,Доп.расчеты!$A90,'Как будет'!FZ$73:FZ$80)</f>
        <v>0</v>
      </c>
      <c r="FZ90">
        <f>SUMIF('Как будет'!$A$73:$A$80,Доп.расчеты!$A90,'Как будет'!GA$73:GA$80)</f>
        <v>0</v>
      </c>
      <c r="GA90">
        <f>SUMIF('Как будет'!$A$73:$A$80,Доп.расчеты!$A90,'Как будет'!GB$73:GB$80)</f>
        <v>0</v>
      </c>
      <c r="GB90">
        <f>SUMIF('Как будет'!$A$73:$A$80,Доп.расчеты!$A90,'Как будет'!GC$73:GC$80)</f>
        <v>0</v>
      </c>
      <c r="GC90">
        <f>SUMIF('Как будет'!$A$73:$A$80,Доп.расчеты!$A90,'Как будет'!GD$73:GD$80)</f>
        <v>0</v>
      </c>
      <c r="GD90">
        <f>SUMIF('Как будет'!$A$73:$A$80,Доп.расчеты!$A90,'Как будет'!GE$73:GE$80)</f>
        <v>0</v>
      </c>
      <c r="GE90">
        <f>SUMIF('Как будет'!$A$73:$A$80,Доп.расчеты!$A90,'Как будет'!GF$73:GF$80)</f>
        <v>0</v>
      </c>
      <c r="GF90">
        <f>SUMIF('Как будет'!$A$73:$A$80,Доп.расчеты!$A90,'Как будет'!GG$73:GG$80)</f>
        <v>0</v>
      </c>
      <c r="GG90">
        <f>SUMIF('Как будет'!$A$73:$A$80,Доп.расчеты!$A90,'Как будет'!GH$73:GH$80)</f>
        <v>0</v>
      </c>
      <c r="GH90">
        <f>SUMIF('Как будет'!$A$73:$A$80,Доп.расчеты!$A90,'Как будет'!GI$73:GI$80)</f>
        <v>0</v>
      </c>
      <c r="GI90">
        <f>SUMIF('Как будет'!$A$73:$A$80,Доп.расчеты!$A90,'Как будет'!GJ$73:GJ$80)</f>
        <v>0</v>
      </c>
      <c r="GJ90">
        <f>SUMIF('Как будет'!$A$73:$A$80,Доп.расчеты!$A90,'Как будет'!GK$73:GK$80)</f>
        <v>0</v>
      </c>
      <c r="GK90">
        <f>SUMIF('Как будет'!$A$73:$A$80,Доп.расчеты!$A90,'Как будет'!GL$73:GL$80)</f>
        <v>0</v>
      </c>
      <c r="GL90">
        <f>SUMIF('Как будет'!$A$73:$A$80,Доп.расчеты!$A90,'Как будет'!GM$73:GM$80)</f>
        <v>0</v>
      </c>
      <c r="GM90">
        <f>SUMIF('Как будет'!$A$73:$A$80,Доп.расчеты!$A90,'Как будет'!GN$73:GN$80)</f>
        <v>0</v>
      </c>
      <c r="GN90">
        <f>SUMIF('Как будет'!$A$73:$A$80,Доп.расчеты!$A90,'Как будет'!GO$73:GO$80)</f>
        <v>0</v>
      </c>
      <c r="GO90">
        <f>SUMIF('Как будет'!$A$73:$A$80,Доп.расчеты!$A90,'Как будет'!GP$73:GP$80)</f>
        <v>0</v>
      </c>
      <c r="GP90">
        <f>SUMIF('Как будет'!$A$73:$A$80,Доп.расчеты!$A90,'Как будет'!GQ$73:GQ$80)</f>
        <v>0</v>
      </c>
      <c r="GQ90">
        <f>SUMIF('Как будет'!$A$73:$A$80,Доп.расчеты!$A90,'Как будет'!GR$73:GR$80)</f>
        <v>0</v>
      </c>
      <c r="GR90">
        <f>SUMIF('Как будет'!$A$73:$A$80,Доп.расчеты!$A90,'Как будет'!GS$73:GS$80)</f>
        <v>0</v>
      </c>
      <c r="GS90">
        <f>SUMIF('Как будет'!$A$73:$A$80,Доп.расчеты!$A90,'Как будет'!GT$73:GT$80)</f>
        <v>0</v>
      </c>
      <c r="GT90">
        <f>SUMIF('Как будет'!$A$73:$A$80,Доп.расчеты!$A90,'Как будет'!GU$73:GU$80)</f>
        <v>0</v>
      </c>
    </row>
    <row r="91" spans="1:202">
      <c r="A91" s="237" t="s">
        <v>99</v>
      </c>
      <c r="B91">
        <f>SUMIF('Как будет'!$A$73:$A$80,Доп.расчеты!$A91,'Как будет'!C$73:C$80)</f>
        <v>0</v>
      </c>
      <c r="C91">
        <f>SUMIF('Как будет'!$A$73:$A$80,Доп.расчеты!$A91,'Как будет'!D$73:D$80)</f>
        <v>0</v>
      </c>
      <c r="D91">
        <f>SUMIF('Как будет'!$A$73:$A$80,Доп.расчеты!$A91,'Как будет'!E$73:E$80)</f>
        <v>0</v>
      </c>
      <c r="E91">
        <f>SUMIF('Как будет'!$A$73:$A$80,Доп.расчеты!$A91,'Как будет'!F$73:F$80)</f>
        <v>0</v>
      </c>
      <c r="F91">
        <f>SUMIF('Как будет'!$A$73:$A$80,Доп.расчеты!$A91,'Как будет'!G$73:G$80)</f>
        <v>0</v>
      </c>
      <c r="G91">
        <f>SUMIF('Как будет'!$A$73:$A$80,Доп.расчеты!$A91,'Как будет'!H$73:H$80)</f>
        <v>0</v>
      </c>
      <c r="H91">
        <f>SUMIF('Как будет'!$A$73:$A$80,Доп.расчеты!$A91,'Как будет'!I$73:I$80)</f>
        <v>0</v>
      </c>
      <c r="I91">
        <f>SUMIF('Как будет'!$A$73:$A$80,Доп.расчеты!$A91,'Как будет'!J$73:J$80)</f>
        <v>0</v>
      </c>
      <c r="J91">
        <f>SUMIF('Как будет'!$A$73:$A$80,Доп.расчеты!$A91,'Как будет'!K$73:K$80)</f>
        <v>0</v>
      </c>
      <c r="K91">
        <f>SUMIF('Как будет'!$A$73:$A$80,Доп.расчеты!$A91,'Как будет'!L$73:L$80)</f>
        <v>0</v>
      </c>
      <c r="L91">
        <f>SUMIF('Как будет'!$A$73:$A$80,Доп.расчеты!$A91,'Как будет'!M$73:M$80)</f>
        <v>0</v>
      </c>
      <c r="M91">
        <f>SUMIF('Как будет'!$A$73:$A$80,Доп.расчеты!$A91,'Как будет'!N$73:N$80)</f>
        <v>0</v>
      </c>
      <c r="N91">
        <f>SUMIF('Как будет'!$A$73:$A$80,Доп.расчеты!$A91,'Как будет'!O$73:O$80)</f>
        <v>0</v>
      </c>
      <c r="O91">
        <f>SUMIF('Как будет'!$A$73:$A$80,Доп.расчеты!$A91,'Как будет'!P$73:P$80)</f>
        <v>0</v>
      </c>
      <c r="P91">
        <f>SUMIF('Как будет'!$A$73:$A$80,Доп.расчеты!$A91,'Как будет'!Q$73:Q$80)</f>
        <v>0</v>
      </c>
      <c r="Q91">
        <f>SUMIF('Как будет'!$A$73:$A$80,Доп.расчеты!$A91,'Как будет'!R$73:R$80)</f>
        <v>0</v>
      </c>
      <c r="R91">
        <f>SUMIF('Как будет'!$A$73:$A$80,Доп.расчеты!$A91,'Как будет'!S$73:S$80)</f>
        <v>0</v>
      </c>
      <c r="S91">
        <f>SUMIF('Как будет'!$A$73:$A$80,Доп.расчеты!$A91,'Как будет'!T$73:T$80)</f>
        <v>0</v>
      </c>
      <c r="T91">
        <f>SUMIF('Как будет'!$A$73:$A$80,Доп.расчеты!$A91,'Как будет'!U$73:U$80)</f>
        <v>0</v>
      </c>
      <c r="U91">
        <f>SUMIF('Как будет'!$A$73:$A$80,Доп.расчеты!$A91,'Как будет'!V$73:V$80)</f>
        <v>0</v>
      </c>
      <c r="V91">
        <f>SUMIF('Как будет'!$A$73:$A$80,Доп.расчеты!$A91,'Как будет'!W$73:W$80)</f>
        <v>0</v>
      </c>
      <c r="W91">
        <f>SUMIF('Как будет'!$A$73:$A$80,Доп.расчеты!$A91,'Как будет'!X$73:X$80)</f>
        <v>0</v>
      </c>
      <c r="X91">
        <f>SUMIF('Как будет'!$A$73:$A$80,Доп.расчеты!$A91,'Как будет'!Y$73:Y$80)</f>
        <v>0</v>
      </c>
      <c r="Y91">
        <f>SUMIF('Как будет'!$A$73:$A$80,Доп.расчеты!$A91,'Как будет'!Z$73:Z$80)</f>
        <v>0</v>
      </c>
      <c r="Z91">
        <f>SUMIF('Как будет'!$A$73:$A$80,Доп.расчеты!$A91,'Как будет'!AA$73:AA$80)</f>
        <v>0</v>
      </c>
      <c r="AA91">
        <f>SUMIF('Как будет'!$A$73:$A$80,Доп.расчеты!$A91,'Как будет'!AB$73:AB$80)</f>
        <v>0</v>
      </c>
      <c r="AB91">
        <f>SUMIF('Как будет'!$A$73:$A$80,Доп.расчеты!$A91,'Как будет'!AC$73:AC$80)</f>
        <v>0</v>
      </c>
      <c r="AC91">
        <f>SUMIF('Как будет'!$A$73:$A$80,Доп.расчеты!$A91,'Как будет'!AD$73:AD$80)</f>
        <v>0</v>
      </c>
      <c r="AD91">
        <f>SUMIF('Как будет'!$A$73:$A$80,Доп.расчеты!$A91,'Как будет'!AE$73:AE$80)</f>
        <v>0</v>
      </c>
      <c r="AE91">
        <f>SUMIF('Как будет'!$A$73:$A$80,Доп.расчеты!$A91,'Как будет'!AF$73:AF$80)</f>
        <v>0</v>
      </c>
      <c r="AF91">
        <f>SUMIF('Как будет'!$A$73:$A$80,Доп.расчеты!$A91,'Как будет'!AG$73:AG$80)</f>
        <v>0</v>
      </c>
      <c r="AG91">
        <f>SUMIF('Как будет'!$A$73:$A$80,Доп.расчеты!$A91,'Как будет'!AH$73:AH$80)</f>
        <v>0</v>
      </c>
      <c r="AH91">
        <f>SUMIF('Как будет'!$A$73:$A$80,Доп.расчеты!$A91,'Как будет'!AI$73:AI$80)</f>
        <v>0</v>
      </c>
      <c r="AI91">
        <f>SUMIF('Как будет'!$A$73:$A$80,Доп.расчеты!$A91,'Как будет'!AJ$73:AJ$80)</f>
        <v>0</v>
      </c>
      <c r="AJ91">
        <f>SUMIF('Как будет'!$A$73:$A$80,Доп.расчеты!$A91,'Как будет'!AK$73:AK$80)</f>
        <v>0</v>
      </c>
      <c r="AK91">
        <f>SUMIF('Как будет'!$A$73:$A$80,Доп.расчеты!$A91,'Как будет'!AL$73:AL$80)</f>
        <v>0</v>
      </c>
      <c r="AL91">
        <f>SUMIF('Как будет'!$A$73:$A$80,Доп.расчеты!$A91,'Как будет'!AM$73:AM$80)</f>
        <v>0</v>
      </c>
      <c r="AM91">
        <f>SUMIF('Как будет'!$A$73:$A$80,Доп.расчеты!$A91,'Как будет'!AN$73:AN$80)</f>
        <v>0</v>
      </c>
      <c r="AN91">
        <f>SUMIF('Как будет'!$A$73:$A$80,Доп.расчеты!$A91,'Как будет'!AO$73:AO$80)</f>
        <v>0</v>
      </c>
      <c r="AO91">
        <f>SUMIF('Как будет'!$A$73:$A$80,Доп.расчеты!$A91,'Как будет'!AP$73:AP$80)</f>
        <v>0</v>
      </c>
      <c r="AP91">
        <f>SUMIF('Как будет'!$A$73:$A$80,Доп.расчеты!$A91,'Как будет'!AQ$73:AQ$80)</f>
        <v>0</v>
      </c>
      <c r="AQ91">
        <f>SUMIF('Как будет'!$A$73:$A$80,Доп.расчеты!$A91,'Как будет'!AR$73:AR$80)</f>
        <v>0</v>
      </c>
      <c r="AR91">
        <f>SUMIF('Как будет'!$A$73:$A$80,Доп.расчеты!$A91,'Как будет'!AS$73:AS$80)</f>
        <v>0</v>
      </c>
      <c r="AS91">
        <f>SUMIF('Как будет'!$A$73:$A$80,Доп.расчеты!$A91,'Как будет'!AT$73:AT$80)</f>
        <v>0</v>
      </c>
      <c r="AT91">
        <f>SUMIF('Как будет'!$A$73:$A$80,Доп.расчеты!$A91,'Как будет'!AU$73:AU$80)</f>
        <v>0</v>
      </c>
      <c r="AU91">
        <f>SUMIF('Как будет'!$A$73:$A$80,Доп.расчеты!$A91,'Как будет'!AV$73:AV$80)</f>
        <v>0</v>
      </c>
      <c r="AV91">
        <f>SUMIF('Как будет'!$A$73:$A$80,Доп.расчеты!$A91,'Как будет'!AW$73:AW$80)</f>
        <v>0</v>
      </c>
      <c r="AW91">
        <f>SUMIF('Как будет'!$A$73:$A$80,Доп.расчеты!$A91,'Как будет'!AX$73:AX$80)</f>
        <v>0</v>
      </c>
      <c r="AX91">
        <f>SUMIF('Как будет'!$A$73:$A$80,Доп.расчеты!$A91,'Как будет'!AY$73:AY$80)</f>
        <v>0</v>
      </c>
      <c r="AY91">
        <f>SUMIF('Как будет'!$A$73:$A$80,Доп.расчеты!$A91,'Как будет'!AZ$73:AZ$80)</f>
        <v>0</v>
      </c>
      <c r="AZ91">
        <f>SUMIF('Как будет'!$A$73:$A$80,Доп.расчеты!$A91,'Как будет'!BA$73:BA$80)</f>
        <v>0</v>
      </c>
      <c r="BA91">
        <f>SUMIF('Как будет'!$A$73:$A$80,Доп.расчеты!$A91,'Как будет'!BB$73:BB$80)</f>
        <v>0</v>
      </c>
      <c r="BB91">
        <f>SUMIF('Как будет'!$A$73:$A$80,Доп.расчеты!$A91,'Как будет'!BC$73:BC$80)</f>
        <v>0</v>
      </c>
      <c r="BC91">
        <f>SUMIF('Как будет'!$A$73:$A$80,Доп.расчеты!$A91,'Как будет'!BD$73:BD$80)</f>
        <v>0</v>
      </c>
      <c r="BD91">
        <f>SUMIF('Как будет'!$A$73:$A$80,Доп.расчеты!$A91,'Как будет'!BE$73:BE$80)</f>
        <v>0</v>
      </c>
      <c r="BE91">
        <f>SUMIF('Как будет'!$A$73:$A$80,Доп.расчеты!$A91,'Как будет'!BF$73:BF$80)</f>
        <v>0</v>
      </c>
      <c r="BF91">
        <f>SUMIF('Как будет'!$A$73:$A$80,Доп.расчеты!$A91,'Как будет'!BG$73:BG$80)</f>
        <v>0</v>
      </c>
      <c r="BG91">
        <f>SUMIF('Как будет'!$A$73:$A$80,Доп.расчеты!$A91,'Как будет'!BH$73:BH$80)</f>
        <v>0</v>
      </c>
      <c r="BH91">
        <f>SUMIF('Как будет'!$A$73:$A$80,Доп.расчеты!$A91,'Как будет'!BI$73:BI$80)</f>
        <v>0</v>
      </c>
      <c r="BI91">
        <f>SUMIF('Как будет'!$A$73:$A$80,Доп.расчеты!$A91,'Как будет'!BJ$73:BJ$80)</f>
        <v>0</v>
      </c>
      <c r="BJ91">
        <f>SUMIF('Как будет'!$A$73:$A$80,Доп.расчеты!$A91,'Как будет'!BK$73:BK$80)</f>
        <v>0</v>
      </c>
      <c r="BK91">
        <f>SUMIF('Как будет'!$A$73:$A$80,Доп.расчеты!$A91,'Как будет'!BL$73:BL$80)</f>
        <v>0</v>
      </c>
      <c r="BL91">
        <f>SUMIF('Как будет'!$A$73:$A$80,Доп.расчеты!$A91,'Как будет'!BM$73:BM$80)</f>
        <v>0</v>
      </c>
      <c r="BM91">
        <f>SUMIF('Как будет'!$A$73:$A$80,Доп.расчеты!$A91,'Как будет'!BN$73:BN$80)</f>
        <v>0</v>
      </c>
      <c r="BN91">
        <f>SUMIF('Как будет'!$A$73:$A$80,Доп.расчеты!$A91,'Как будет'!BO$73:BO$80)</f>
        <v>0</v>
      </c>
      <c r="BO91">
        <f>SUMIF('Как будет'!$A$73:$A$80,Доп.расчеты!$A91,'Как будет'!BP$73:BP$80)</f>
        <v>0</v>
      </c>
      <c r="BP91">
        <f>SUMIF('Как будет'!$A$73:$A$80,Доп.расчеты!$A91,'Как будет'!BQ$73:BQ$80)</f>
        <v>0</v>
      </c>
      <c r="BQ91">
        <f>SUMIF('Как будет'!$A$73:$A$80,Доп.расчеты!$A91,'Как будет'!BR$73:BR$80)</f>
        <v>0</v>
      </c>
      <c r="BR91">
        <f>SUMIF('Как будет'!$A$73:$A$80,Доп.расчеты!$A91,'Как будет'!BS$73:BS$80)</f>
        <v>0</v>
      </c>
      <c r="BS91">
        <f>SUMIF('Как будет'!$A$73:$A$80,Доп.расчеты!$A91,'Как будет'!BT$73:BT$80)</f>
        <v>0</v>
      </c>
      <c r="BT91">
        <f>SUMIF('Как будет'!$A$73:$A$80,Доп.расчеты!$A91,'Как будет'!BU$73:BU$80)</f>
        <v>0</v>
      </c>
      <c r="BU91">
        <f>SUMIF('Как будет'!$A$73:$A$80,Доп.расчеты!$A91,'Как будет'!BV$73:BV$80)</f>
        <v>0</v>
      </c>
      <c r="BV91">
        <f>SUMIF('Как будет'!$A$73:$A$80,Доп.расчеты!$A91,'Как будет'!BW$73:BW$80)</f>
        <v>0</v>
      </c>
      <c r="BW91">
        <f>SUMIF('Как будет'!$A$73:$A$80,Доп.расчеты!$A91,'Как будет'!BX$73:BX$80)</f>
        <v>0</v>
      </c>
      <c r="BX91">
        <f>SUMIF('Как будет'!$A$73:$A$80,Доп.расчеты!$A91,'Как будет'!BY$73:BY$80)</f>
        <v>0</v>
      </c>
      <c r="BY91">
        <f>SUMIF('Как будет'!$A$73:$A$80,Доп.расчеты!$A91,'Как будет'!BZ$73:BZ$80)</f>
        <v>0</v>
      </c>
      <c r="BZ91">
        <f>SUMIF('Как будет'!$A$73:$A$80,Доп.расчеты!$A91,'Как будет'!CA$73:CA$80)</f>
        <v>0</v>
      </c>
      <c r="CA91">
        <f>SUMIF('Как будет'!$A$73:$A$80,Доп.расчеты!$A91,'Как будет'!CB$73:CB$80)</f>
        <v>0</v>
      </c>
      <c r="CB91">
        <f>SUMIF('Как будет'!$A$73:$A$80,Доп.расчеты!$A91,'Как будет'!CC$73:CC$80)</f>
        <v>0</v>
      </c>
      <c r="CC91">
        <f>SUMIF('Как будет'!$A$73:$A$80,Доп.расчеты!$A91,'Как будет'!CD$73:CD$80)</f>
        <v>0</v>
      </c>
      <c r="CD91">
        <f>SUMIF('Как будет'!$A$73:$A$80,Доп.расчеты!$A91,'Как будет'!CE$73:CE$80)</f>
        <v>0</v>
      </c>
      <c r="CE91">
        <f>SUMIF('Как будет'!$A$73:$A$80,Доп.расчеты!$A91,'Как будет'!CF$73:CF$80)</f>
        <v>0</v>
      </c>
      <c r="CF91">
        <f>SUMIF('Как будет'!$A$73:$A$80,Доп.расчеты!$A91,'Как будет'!CG$73:CG$80)</f>
        <v>0</v>
      </c>
      <c r="CG91">
        <f>SUMIF('Как будет'!$A$73:$A$80,Доп.расчеты!$A91,'Как будет'!CH$73:CH$80)</f>
        <v>0</v>
      </c>
      <c r="CH91">
        <f>SUMIF('Как будет'!$A$73:$A$80,Доп.расчеты!$A91,'Как будет'!CI$73:CI$80)</f>
        <v>0</v>
      </c>
      <c r="CI91">
        <f>SUMIF('Как будет'!$A$73:$A$80,Доп.расчеты!$A91,'Как будет'!CJ$73:CJ$80)</f>
        <v>0</v>
      </c>
      <c r="CJ91">
        <f>SUMIF('Как будет'!$A$73:$A$80,Доп.расчеты!$A91,'Как будет'!CK$73:CK$80)</f>
        <v>0</v>
      </c>
      <c r="CK91">
        <f>SUMIF('Как будет'!$A$73:$A$80,Доп.расчеты!$A91,'Как будет'!CL$73:CL$80)</f>
        <v>0</v>
      </c>
      <c r="CL91">
        <f>SUMIF('Как будет'!$A$73:$A$80,Доп.расчеты!$A91,'Как будет'!CM$73:CM$80)</f>
        <v>0</v>
      </c>
      <c r="CM91">
        <f>SUMIF('Как будет'!$A$73:$A$80,Доп.расчеты!$A91,'Как будет'!CN$73:CN$80)</f>
        <v>0</v>
      </c>
      <c r="CN91">
        <f>SUMIF('Как будет'!$A$73:$A$80,Доп.расчеты!$A91,'Как будет'!CO$73:CO$80)</f>
        <v>0</v>
      </c>
      <c r="CO91">
        <f>SUMIF('Как будет'!$A$73:$A$80,Доп.расчеты!$A91,'Как будет'!CP$73:CP$80)</f>
        <v>0</v>
      </c>
      <c r="CP91">
        <f>SUMIF('Как будет'!$A$73:$A$80,Доп.расчеты!$A91,'Как будет'!CQ$73:CQ$80)</f>
        <v>0</v>
      </c>
      <c r="CQ91">
        <f>SUMIF('Как будет'!$A$73:$A$80,Доп.расчеты!$A91,'Как будет'!CR$73:CR$80)</f>
        <v>0</v>
      </c>
      <c r="CR91">
        <f>SUMIF('Как будет'!$A$73:$A$80,Доп.расчеты!$A91,'Как будет'!CS$73:CS$80)</f>
        <v>0</v>
      </c>
      <c r="CS91">
        <f>SUMIF('Как будет'!$A$73:$A$80,Доп.расчеты!$A91,'Как будет'!CT$73:CT$80)</f>
        <v>0</v>
      </c>
      <c r="CT91">
        <f>SUMIF('Как будет'!$A$73:$A$80,Доп.расчеты!$A91,'Как будет'!CU$73:CU$80)</f>
        <v>0</v>
      </c>
      <c r="CU91">
        <f>SUMIF('Как будет'!$A$73:$A$80,Доп.расчеты!$A91,'Как будет'!CV$73:CV$80)</f>
        <v>0</v>
      </c>
      <c r="CV91">
        <f>SUMIF('Как будет'!$A$73:$A$80,Доп.расчеты!$A91,'Как будет'!CW$73:CW$80)</f>
        <v>0</v>
      </c>
      <c r="CW91">
        <f>SUMIF('Как будет'!$A$73:$A$80,Доп.расчеты!$A91,'Как будет'!CX$73:CX$80)</f>
        <v>0</v>
      </c>
      <c r="CX91">
        <f>SUMIF('Как будет'!$A$73:$A$80,Доп.расчеты!$A91,'Как будет'!CY$73:CY$80)</f>
        <v>0</v>
      </c>
      <c r="CY91">
        <f>SUMIF('Как будет'!$A$73:$A$80,Доп.расчеты!$A91,'Как будет'!CZ$73:CZ$80)</f>
        <v>0</v>
      </c>
      <c r="CZ91">
        <f>SUMIF('Как будет'!$A$73:$A$80,Доп.расчеты!$A91,'Как будет'!DA$73:DA$80)</f>
        <v>0</v>
      </c>
      <c r="DA91">
        <f>SUMIF('Как будет'!$A$73:$A$80,Доп.расчеты!$A91,'Как будет'!DB$73:DB$80)</f>
        <v>0</v>
      </c>
      <c r="DB91">
        <f>SUMIF('Как будет'!$A$73:$A$80,Доп.расчеты!$A91,'Как будет'!DC$73:DC$80)</f>
        <v>0</v>
      </c>
      <c r="DC91">
        <f>SUMIF('Как будет'!$A$73:$A$80,Доп.расчеты!$A91,'Как будет'!DD$73:DD$80)</f>
        <v>0</v>
      </c>
      <c r="DD91">
        <f>SUMIF('Как будет'!$A$73:$A$80,Доп.расчеты!$A91,'Как будет'!DE$73:DE$80)</f>
        <v>0</v>
      </c>
      <c r="DE91">
        <f>SUMIF('Как будет'!$A$73:$A$80,Доп.расчеты!$A91,'Как будет'!DF$73:DF$80)</f>
        <v>0</v>
      </c>
      <c r="DF91">
        <f>SUMIF('Как будет'!$A$73:$A$80,Доп.расчеты!$A91,'Как будет'!DG$73:DG$80)</f>
        <v>0</v>
      </c>
      <c r="DG91">
        <f>SUMIF('Как будет'!$A$73:$A$80,Доп.расчеты!$A91,'Как будет'!DH$73:DH$80)</f>
        <v>0</v>
      </c>
      <c r="DH91">
        <f>SUMIF('Как будет'!$A$73:$A$80,Доп.расчеты!$A91,'Как будет'!DI$73:DI$80)</f>
        <v>0</v>
      </c>
      <c r="DI91">
        <f>SUMIF('Как будет'!$A$73:$A$80,Доп.расчеты!$A91,'Как будет'!DJ$73:DJ$80)</f>
        <v>0</v>
      </c>
      <c r="DJ91">
        <f>SUMIF('Как будет'!$A$73:$A$80,Доп.расчеты!$A91,'Как будет'!DK$73:DK$80)</f>
        <v>0</v>
      </c>
      <c r="DK91">
        <f>SUMIF('Как будет'!$A$73:$A$80,Доп.расчеты!$A91,'Как будет'!DL$73:DL$80)</f>
        <v>0</v>
      </c>
      <c r="DL91">
        <f>SUMIF('Как будет'!$A$73:$A$80,Доп.расчеты!$A91,'Как будет'!DM$73:DM$80)</f>
        <v>0</v>
      </c>
      <c r="DM91">
        <f>SUMIF('Как будет'!$A$73:$A$80,Доп.расчеты!$A91,'Как будет'!DN$73:DN$80)</f>
        <v>0</v>
      </c>
      <c r="DN91">
        <f>SUMIF('Как будет'!$A$73:$A$80,Доп.расчеты!$A91,'Как будет'!DO$73:DO$80)</f>
        <v>0</v>
      </c>
      <c r="DO91">
        <f>SUMIF('Как будет'!$A$73:$A$80,Доп.расчеты!$A91,'Как будет'!DP$73:DP$80)</f>
        <v>0</v>
      </c>
      <c r="DP91">
        <f>SUMIF('Как будет'!$A$73:$A$80,Доп.расчеты!$A91,'Как будет'!DQ$73:DQ$80)</f>
        <v>0</v>
      </c>
      <c r="DQ91">
        <f>SUMIF('Как будет'!$A$73:$A$80,Доп.расчеты!$A91,'Как будет'!DR$73:DR$80)</f>
        <v>0</v>
      </c>
      <c r="DR91">
        <f>SUMIF('Как будет'!$A$73:$A$80,Доп.расчеты!$A91,'Как будет'!DS$73:DS$80)</f>
        <v>0</v>
      </c>
      <c r="DS91">
        <f>SUMIF('Как будет'!$A$73:$A$80,Доп.расчеты!$A91,'Как будет'!DT$73:DT$80)</f>
        <v>0</v>
      </c>
      <c r="DT91">
        <f>SUMIF('Как будет'!$A$73:$A$80,Доп.расчеты!$A91,'Как будет'!DU$73:DU$80)</f>
        <v>0</v>
      </c>
      <c r="DU91">
        <f>SUMIF('Как будет'!$A$73:$A$80,Доп.расчеты!$A91,'Как будет'!DV$73:DV$80)</f>
        <v>0</v>
      </c>
      <c r="DV91">
        <f>SUMIF('Как будет'!$A$73:$A$80,Доп.расчеты!$A91,'Как будет'!DW$73:DW$80)</f>
        <v>0</v>
      </c>
      <c r="DW91">
        <f>SUMIF('Как будет'!$A$73:$A$80,Доп.расчеты!$A91,'Как будет'!DX$73:DX$80)</f>
        <v>0</v>
      </c>
      <c r="DX91">
        <f>SUMIF('Как будет'!$A$73:$A$80,Доп.расчеты!$A91,'Как будет'!DY$73:DY$80)</f>
        <v>0</v>
      </c>
      <c r="DY91">
        <f>SUMIF('Как будет'!$A$73:$A$80,Доп.расчеты!$A91,'Как будет'!DZ$73:DZ$80)</f>
        <v>0</v>
      </c>
      <c r="DZ91">
        <f>SUMIF('Как будет'!$A$73:$A$80,Доп.расчеты!$A91,'Как будет'!EA$73:EA$80)</f>
        <v>0</v>
      </c>
      <c r="EA91">
        <f>SUMIF('Как будет'!$A$73:$A$80,Доп.расчеты!$A91,'Как будет'!EB$73:EB$80)</f>
        <v>0</v>
      </c>
      <c r="EB91">
        <f>SUMIF('Как будет'!$A$73:$A$80,Доп.расчеты!$A91,'Как будет'!EC$73:EC$80)</f>
        <v>0</v>
      </c>
      <c r="EC91">
        <f>SUMIF('Как будет'!$A$73:$A$80,Доп.расчеты!$A91,'Как будет'!ED$73:ED$80)</f>
        <v>0</v>
      </c>
      <c r="ED91">
        <f>SUMIF('Как будет'!$A$73:$A$80,Доп.расчеты!$A91,'Как будет'!EE$73:EE$80)</f>
        <v>0</v>
      </c>
      <c r="EE91">
        <f>SUMIF('Как будет'!$A$73:$A$80,Доп.расчеты!$A91,'Как будет'!EF$73:EF$80)</f>
        <v>0</v>
      </c>
      <c r="EF91">
        <f>SUMIF('Как будет'!$A$73:$A$80,Доп.расчеты!$A91,'Как будет'!EG$73:EG$80)</f>
        <v>0</v>
      </c>
      <c r="EG91">
        <f>SUMIF('Как будет'!$A$73:$A$80,Доп.расчеты!$A91,'Как будет'!EH$73:EH$80)</f>
        <v>0</v>
      </c>
      <c r="EH91">
        <f>SUMIF('Как будет'!$A$73:$A$80,Доп.расчеты!$A91,'Как будет'!EI$73:EI$80)</f>
        <v>0</v>
      </c>
      <c r="EI91">
        <f>SUMIF('Как будет'!$A$73:$A$80,Доп.расчеты!$A91,'Как будет'!EJ$73:EJ$80)</f>
        <v>0</v>
      </c>
      <c r="EJ91">
        <f>SUMIF('Как будет'!$A$73:$A$80,Доп.расчеты!$A91,'Как будет'!EK$73:EK$80)</f>
        <v>0</v>
      </c>
      <c r="EK91">
        <f>SUMIF('Как будет'!$A$73:$A$80,Доп.расчеты!$A91,'Как будет'!EL$73:EL$80)</f>
        <v>0</v>
      </c>
      <c r="EL91">
        <f>SUMIF('Как будет'!$A$73:$A$80,Доп.расчеты!$A91,'Как будет'!EM$73:EM$80)</f>
        <v>0</v>
      </c>
      <c r="EM91">
        <f>SUMIF('Как будет'!$A$73:$A$80,Доп.расчеты!$A91,'Как будет'!EN$73:EN$80)</f>
        <v>0</v>
      </c>
      <c r="EN91">
        <f>SUMIF('Как будет'!$A$73:$A$80,Доп.расчеты!$A91,'Как будет'!EO$73:EO$80)</f>
        <v>0</v>
      </c>
      <c r="EO91">
        <f>SUMIF('Как будет'!$A$73:$A$80,Доп.расчеты!$A91,'Как будет'!EP$73:EP$80)</f>
        <v>0</v>
      </c>
      <c r="EP91">
        <f>SUMIF('Как будет'!$A$73:$A$80,Доп.расчеты!$A91,'Как будет'!EQ$73:EQ$80)</f>
        <v>0</v>
      </c>
      <c r="EQ91">
        <f>SUMIF('Как будет'!$A$73:$A$80,Доп.расчеты!$A91,'Как будет'!ER$73:ER$80)</f>
        <v>0</v>
      </c>
      <c r="ER91">
        <f>SUMIF('Как будет'!$A$73:$A$80,Доп.расчеты!$A91,'Как будет'!ES$73:ES$80)</f>
        <v>0</v>
      </c>
      <c r="ES91">
        <f>SUMIF('Как будет'!$A$73:$A$80,Доп.расчеты!$A91,'Как будет'!ET$73:ET$80)</f>
        <v>0</v>
      </c>
      <c r="ET91">
        <f>SUMIF('Как будет'!$A$73:$A$80,Доп.расчеты!$A91,'Как будет'!EU$73:EU$80)</f>
        <v>0</v>
      </c>
      <c r="EU91">
        <f>SUMIF('Как будет'!$A$73:$A$80,Доп.расчеты!$A91,'Как будет'!EV$73:EV$80)</f>
        <v>0</v>
      </c>
      <c r="EV91">
        <f>SUMIF('Как будет'!$A$73:$A$80,Доп.расчеты!$A91,'Как будет'!EW$73:EW$80)</f>
        <v>0</v>
      </c>
      <c r="EW91">
        <f>SUMIF('Как будет'!$A$73:$A$80,Доп.расчеты!$A91,'Как будет'!EX$73:EX$80)</f>
        <v>0</v>
      </c>
      <c r="EX91">
        <f>SUMIF('Как будет'!$A$73:$A$80,Доп.расчеты!$A91,'Как будет'!EY$73:EY$80)</f>
        <v>0</v>
      </c>
      <c r="EY91">
        <f>SUMIF('Как будет'!$A$73:$A$80,Доп.расчеты!$A91,'Как будет'!EZ$73:EZ$80)</f>
        <v>0</v>
      </c>
      <c r="EZ91">
        <f>SUMIF('Как будет'!$A$73:$A$80,Доп.расчеты!$A91,'Как будет'!FA$73:FA$80)</f>
        <v>0</v>
      </c>
      <c r="FA91">
        <f>SUMIF('Как будет'!$A$73:$A$80,Доп.расчеты!$A91,'Как будет'!FB$73:FB$80)</f>
        <v>0</v>
      </c>
      <c r="FB91">
        <f>SUMIF('Как будет'!$A$73:$A$80,Доп.расчеты!$A91,'Как будет'!FC$73:FC$80)</f>
        <v>0</v>
      </c>
      <c r="FC91">
        <f>SUMIF('Как будет'!$A$73:$A$80,Доп.расчеты!$A91,'Как будет'!FD$73:FD$80)</f>
        <v>0</v>
      </c>
      <c r="FD91">
        <f>SUMIF('Как будет'!$A$73:$A$80,Доп.расчеты!$A91,'Как будет'!FE$73:FE$80)</f>
        <v>0</v>
      </c>
      <c r="FE91">
        <f>SUMIF('Как будет'!$A$73:$A$80,Доп.расчеты!$A91,'Как будет'!FF$73:FF$80)</f>
        <v>0</v>
      </c>
      <c r="FF91">
        <f>SUMIF('Как будет'!$A$73:$A$80,Доп.расчеты!$A91,'Как будет'!FG$73:FG$80)</f>
        <v>0</v>
      </c>
      <c r="FG91">
        <f>SUMIF('Как будет'!$A$73:$A$80,Доп.расчеты!$A91,'Как будет'!FH$73:FH$80)</f>
        <v>0</v>
      </c>
      <c r="FH91">
        <f>SUMIF('Как будет'!$A$73:$A$80,Доп.расчеты!$A91,'Как будет'!FI$73:FI$80)</f>
        <v>0</v>
      </c>
      <c r="FI91">
        <f>SUMIF('Как будет'!$A$73:$A$80,Доп.расчеты!$A91,'Как будет'!FJ$73:FJ$80)</f>
        <v>0</v>
      </c>
      <c r="FJ91">
        <f>SUMIF('Как будет'!$A$73:$A$80,Доп.расчеты!$A91,'Как будет'!FK$73:FK$80)</f>
        <v>0</v>
      </c>
      <c r="FK91">
        <f>SUMIF('Как будет'!$A$73:$A$80,Доп.расчеты!$A91,'Как будет'!FL$73:FL$80)</f>
        <v>0</v>
      </c>
      <c r="FL91">
        <f>SUMIF('Как будет'!$A$73:$A$80,Доп.расчеты!$A91,'Как будет'!FM$73:FM$80)</f>
        <v>0</v>
      </c>
      <c r="FM91">
        <f>SUMIF('Как будет'!$A$73:$A$80,Доп.расчеты!$A91,'Как будет'!FN$73:FN$80)</f>
        <v>0</v>
      </c>
      <c r="FN91">
        <f>SUMIF('Как будет'!$A$73:$A$80,Доп.расчеты!$A91,'Как будет'!FO$73:FO$80)</f>
        <v>0</v>
      </c>
      <c r="FO91">
        <f>SUMIF('Как будет'!$A$73:$A$80,Доп.расчеты!$A91,'Как будет'!FP$73:FP$80)</f>
        <v>0</v>
      </c>
      <c r="FP91">
        <f>SUMIF('Как будет'!$A$73:$A$80,Доп.расчеты!$A91,'Как будет'!FQ$73:FQ$80)</f>
        <v>0</v>
      </c>
      <c r="FQ91">
        <f>SUMIF('Как будет'!$A$73:$A$80,Доп.расчеты!$A91,'Как будет'!FR$73:FR$80)</f>
        <v>0</v>
      </c>
      <c r="FR91">
        <f>SUMIF('Как будет'!$A$73:$A$80,Доп.расчеты!$A91,'Как будет'!FS$73:FS$80)</f>
        <v>0</v>
      </c>
      <c r="FS91">
        <f>SUMIF('Как будет'!$A$73:$A$80,Доп.расчеты!$A91,'Как будет'!FT$73:FT$80)</f>
        <v>0</v>
      </c>
      <c r="FT91">
        <f>SUMIF('Как будет'!$A$73:$A$80,Доп.расчеты!$A91,'Как будет'!FU$73:FU$80)</f>
        <v>0</v>
      </c>
      <c r="FU91">
        <f>SUMIF('Как будет'!$A$73:$A$80,Доп.расчеты!$A91,'Как будет'!FV$73:FV$80)</f>
        <v>0</v>
      </c>
      <c r="FV91">
        <f>SUMIF('Как будет'!$A$73:$A$80,Доп.расчеты!$A91,'Как будет'!FW$73:FW$80)</f>
        <v>0</v>
      </c>
      <c r="FW91">
        <f>SUMIF('Как будет'!$A$73:$A$80,Доп.расчеты!$A91,'Как будет'!FX$73:FX$80)</f>
        <v>0</v>
      </c>
      <c r="FX91">
        <f>SUMIF('Как будет'!$A$73:$A$80,Доп.расчеты!$A91,'Как будет'!FY$73:FY$80)</f>
        <v>0</v>
      </c>
      <c r="FY91">
        <f>SUMIF('Как будет'!$A$73:$A$80,Доп.расчеты!$A91,'Как будет'!FZ$73:FZ$80)</f>
        <v>0</v>
      </c>
      <c r="FZ91">
        <f>SUMIF('Как будет'!$A$73:$A$80,Доп.расчеты!$A91,'Как будет'!GA$73:GA$80)</f>
        <v>0</v>
      </c>
      <c r="GA91">
        <f>SUMIF('Как будет'!$A$73:$A$80,Доп.расчеты!$A91,'Как будет'!GB$73:GB$80)</f>
        <v>0</v>
      </c>
      <c r="GB91">
        <f>SUMIF('Как будет'!$A$73:$A$80,Доп.расчеты!$A91,'Как будет'!GC$73:GC$80)</f>
        <v>0</v>
      </c>
      <c r="GC91">
        <f>SUMIF('Как будет'!$A$73:$A$80,Доп.расчеты!$A91,'Как будет'!GD$73:GD$80)</f>
        <v>0</v>
      </c>
      <c r="GD91">
        <f>SUMIF('Как будет'!$A$73:$A$80,Доп.расчеты!$A91,'Как будет'!GE$73:GE$80)</f>
        <v>0</v>
      </c>
      <c r="GE91">
        <f>SUMIF('Как будет'!$A$73:$A$80,Доп.расчеты!$A91,'Как будет'!GF$73:GF$80)</f>
        <v>0</v>
      </c>
      <c r="GF91">
        <f>SUMIF('Как будет'!$A$73:$A$80,Доп.расчеты!$A91,'Как будет'!GG$73:GG$80)</f>
        <v>0</v>
      </c>
      <c r="GG91">
        <f>SUMIF('Как будет'!$A$73:$A$80,Доп.расчеты!$A91,'Как будет'!GH$73:GH$80)</f>
        <v>0</v>
      </c>
      <c r="GH91">
        <f>SUMIF('Как будет'!$A$73:$A$80,Доп.расчеты!$A91,'Как будет'!GI$73:GI$80)</f>
        <v>0</v>
      </c>
      <c r="GI91">
        <f>SUMIF('Как будет'!$A$73:$A$80,Доп.расчеты!$A91,'Как будет'!GJ$73:GJ$80)</f>
        <v>0</v>
      </c>
      <c r="GJ91">
        <f>SUMIF('Как будет'!$A$73:$A$80,Доп.расчеты!$A91,'Как будет'!GK$73:GK$80)</f>
        <v>0</v>
      </c>
      <c r="GK91">
        <f>SUMIF('Как будет'!$A$73:$A$80,Доп.расчеты!$A91,'Как будет'!GL$73:GL$80)</f>
        <v>0</v>
      </c>
      <c r="GL91">
        <f>SUMIF('Как будет'!$A$73:$A$80,Доп.расчеты!$A91,'Как будет'!GM$73:GM$80)</f>
        <v>0</v>
      </c>
      <c r="GM91">
        <f>SUMIF('Как будет'!$A$73:$A$80,Доп.расчеты!$A91,'Как будет'!GN$73:GN$80)</f>
        <v>0</v>
      </c>
      <c r="GN91">
        <f>SUMIF('Как будет'!$A$73:$A$80,Доп.расчеты!$A91,'Как будет'!GO$73:GO$80)</f>
        <v>0</v>
      </c>
      <c r="GO91">
        <f>SUMIF('Как будет'!$A$73:$A$80,Доп.расчеты!$A91,'Как будет'!GP$73:GP$80)</f>
        <v>0</v>
      </c>
      <c r="GP91">
        <f>SUMIF('Как будет'!$A$73:$A$80,Доп.расчеты!$A91,'Как будет'!GQ$73:GQ$80)</f>
        <v>0</v>
      </c>
      <c r="GQ91">
        <f>SUMIF('Как будет'!$A$73:$A$80,Доп.расчеты!$A91,'Как будет'!GR$73:GR$80)</f>
        <v>0</v>
      </c>
      <c r="GR91">
        <f>SUMIF('Как будет'!$A$73:$A$80,Доп.расчеты!$A91,'Как будет'!GS$73:GS$80)</f>
        <v>0</v>
      </c>
      <c r="GS91">
        <f>SUMIF('Как будет'!$A$73:$A$80,Доп.расчеты!$A91,'Как будет'!GT$73:GT$80)</f>
        <v>0</v>
      </c>
      <c r="GT91">
        <f>SUMIF('Как будет'!$A$73:$A$80,Доп.расчеты!$A91,'Как будет'!GU$73:GU$80)</f>
        <v>0</v>
      </c>
    </row>
    <row r="92" spans="1:202">
      <c r="A92" s="237" t="s">
        <v>100</v>
      </c>
      <c r="B92">
        <f>SUMIF('Как будет'!$A$73:$A$80,Доп.расчеты!$A92,'Как будет'!C$73:C$80)</f>
        <v>0</v>
      </c>
      <c r="C92">
        <f>SUMIF('Как будет'!$A$73:$A$80,Доп.расчеты!$A92,'Как будет'!D$73:D$80)</f>
        <v>0</v>
      </c>
      <c r="D92">
        <f>SUMIF('Как будет'!$A$73:$A$80,Доп.расчеты!$A92,'Как будет'!E$73:E$80)</f>
        <v>0</v>
      </c>
      <c r="E92">
        <f>SUMIF('Как будет'!$A$73:$A$80,Доп.расчеты!$A92,'Как будет'!F$73:F$80)</f>
        <v>0</v>
      </c>
      <c r="F92">
        <f>SUMIF('Как будет'!$A$73:$A$80,Доп.расчеты!$A92,'Как будет'!G$73:G$80)</f>
        <v>0</v>
      </c>
      <c r="G92">
        <f>SUMIF('Как будет'!$A$73:$A$80,Доп.расчеты!$A92,'Как будет'!H$73:H$80)</f>
        <v>0</v>
      </c>
      <c r="H92">
        <f>SUMIF('Как будет'!$A$73:$A$80,Доп.расчеты!$A92,'Как будет'!I$73:I$80)</f>
        <v>0</v>
      </c>
      <c r="I92">
        <f>SUMIF('Как будет'!$A$73:$A$80,Доп.расчеты!$A92,'Как будет'!J$73:J$80)</f>
        <v>0</v>
      </c>
      <c r="J92">
        <f>SUMIF('Как будет'!$A$73:$A$80,Доп.расчеты!$A92,'Как будет'!K$73:K$80)</f>
        <v>0</v>
      </c>
      <c r="K92">
        <f>SUMIF('Как будет'!$A$73:$A$80,Доп.расчеты!$A92,'Как будет'!L$73:L$80)</f>
        <v>0</v>
      </c>
      <c r="L92">
        <f>SUMIF('Как будет'!$A$73:$A$80,Доп.расчеты!$A92,'Как будет'!M$73:M$80)</f>
        <v>0</v>
      </c>
      <c r="M92">
        <f>SUMIF('Как будет'!$A$73:$A$80,Доп.расчеты!$A92,'Как будет'!N$73:N$80)</f>
        <v>0</v>
      </c>
      <c r="N92">
        <f>SUMIF('Как будет'!$A$73:$A$80,Доп.расчеты!$A92,'Как будет'!O$73:O$80)</f>
        <v>0</v>
      </c>
      <c r="O92">
        <f>SUMIF('Как будет'!$A$73:$A$80,Доп.расчеты!$A92,'Как будет'!P$73:P$80)</f>
        <v>0</v>
      </c>
      <c r="P92">
        <f>SUMIF('Как будет'!$A$73:$A$80,Доп.расчеты!$A92,'Как будет'!Q$73:Q$80)</f>
        <v>0</v>
      </c>
      <c r="Q92">
        <f>SUMIF('Как будет'!$A$73:$A$80,Доп.расчеты!$A92,'Как будет'!R$73:R$80)</f>
        <v>0</v>
      </c>
      <c r="R92">
        <f>SUMIF('Как будет'!$A$73:$A$80,Доп.расчеты!$A92,'Как будет'!S$73:S$80)</f>
        <v>0</v>
      </c>
      <c r="S92">
        <f>SUMIF('Как будет'!$A$73:$A$80,Доп.расчеты!$A92,'Как будет'!T$73:T$80)</f>
        <v>0</v>
      </c>
      <c r="T92">
        <f>SUMIF('Как будет'!$A$73:$A$80,Доп.расчеты!$A92,'Как будет'!U$73:U$80)</f>
        <v>0</v>
      </c>
      <c r="U92">
        <f>SUMIF('Как будет'!$A$73:$A$80,Доп.расчеты!$A92,'Как будет'!V$73:V$80)</f>
        <v>0</v>
      </c>
      <c r="V92">
        <f>SUMIF('Как будет'!$A$73:$A$80,Доп.расчеты!$A92,'Как будет'!W$73:W$80)</f>
        <v>0</v>
      </c>
      <c r="W92">
        <f>SUMIF('Как будет'!$A$73:$A$80,Доп.расчеты!$A92,'Как будет'!X$73:X$80)</f>
        <v>0</v>
      </c>
      <c r="X92">
        <f>SUMIF('Как будет'!$A$73:$A$80,Доп.расчеты!$A92,'Как будет'!Y$73:Y$80)</f>
        <v>0</v>
      </c>
      <c r="Y92">
        <f>SUMIF('Как будет'!$A$73:$A$80,Доп.расчеты!$A92,'Как будет'!Z$73:Z$80)</f>
        <v>0</v>
      </c>
      <c r="Z92">
        <f>SUMIF('Как будет'!$A$73:$A$80,Доп.расчеты!$A92,'Как будет'!AA$73:AA$80)</f>
        <v>0</v>
      </c>
      <c r="AA92">
        <f>SUMIF('Как будет'!$A$73:$A$80,Доп.расчеты!$A92,'Как будет'!AB$73:AB$80)</f>
        <v>0</v>
      </c>
      <c r="AB92">
        <f>SUMIF('Как будет'!$A$73:$A$80,Доп.расчеты!$A92,'Как будет'!AC$73:AC$80)</f>
        <v>0</v>
      </c>
      <c r="AC92">
        <f>SUMIF('Как будет'!$A$73:$A$80,Доп.расчеты!$A92,'Как будет'!AD$73:AD$80)</f>
        <v>0</v>
      </c>
      <c r="AD92">
        <f>SUMIF('Как будет'!$A$73:$A$80,Доп.расчеты!$A92,'Как будет'!AE$73:AE$80)</f>
        <v>0</v>
      </c>
      <c r="AE92">
        <f>SUMIF('Как будет'!$A$73:$A$80,Доп.расчеты!$A92,'Как будет'!AF$73:AF$80)</f>
        <v>0</v>
      </c>
      <c r="AF92">
        <f>SUMIF('Как будет'!$A$73:$A$80,Доп.расчеты!$A92,'Как будет'!AG$73:AG$80)</f>
        <v>0</v>
      </c>
      <c r="AG92">
        <f>SUMIF('Как будет'!$A$73:$A$80,Доп.расчеты!$A92,'Как будет'!AH$73:AH$80)</f>
        <v>0</v>
      </c>
      <c r="AH92">
        <f>SUMIF('Как будет'!$A$73:$A$80,Доп.расчеты!$A92,'Как будет'!AI$73:AI$80)</f>
        <v>0</v>
      </c>
      <c r="AI92">
        <f>SUMIF('Как будет'!$A$73:$A$80,Доп.расчеты!$A92,'Как будет'!AJ$73:AJ$80)</f>
        <v>0</v>
      </c>
      <c r="AJ92">
        <f>SUMIF('Как будет'!$A$73:$A$80,Доп.расчеты!$A92,'Как будет'!AK$73:AK$80)</f>
        <v>0</v>
      </c>
      <c r="AK92">
        <f>SUMIF('Как будет'!$A$73:$A$80,Доп.расчеты!$A92,'Как будет'!AL$73:AL$80)</f>
        <v>0</v>
      </c>
      <c r="AL92">
        <f>SUMIF('Как будет'!$A$73:$A$80,Доп.расчеты!$A92,'Как будет'!AM$73:AM$80)</f>
        <v>0</v>
      </c>
      <c r="AM92">
        <f>SUMIF('Как будет'!$A$73:$A$80,Доп.расчеты!$A92,'Как будет'!AN$73:AN$80)</f>
        <v>0</v>
      </c>
      <c r="AN92">
        <f>SUMIF('Как будет'!$A$73:$A$80,Доп.расчеты!$A92,'Как будет'!AO$73:AO$80)</f>
        <v>0</v>
      </c>
      <c r="AO92">
        <f>SUMIF('Как будет'!$A$73:$A$80,Доп.расчеты!$A92,'Как будет'!AP$73:AP$80)</f>
        <v>0</v>
      </c>
      <c r="AP92">
        <f>SUMIF('Как будет'!$A$73:$A$80,Доп.расчеты!$A92,'Как будет'!AQ$73:AQ$80)</f>
        <v>0</v>
      </c>
      <c r="AQ92">
        <f>SUMIF('Как будет'!$A$73:$A$80,Доп.расчеты!$A92,'Как будет'!AR$73:AR$80)</f>
        <v>0</v>
      </c>
      <c r="AR92">
        <f>SUMIF('Как будет'!$A$73:$A$80,Доп.расчеты!$A92,'Как будет'!AS$73:AS$80)</f>
        <v>0</v>
      </c>
      <c r="AS92">
        <f>SUMIF('Как будет'!$A$73:$A$80,Доп.расчеты!$A92,'Как будет'!AT$73:AT$80)</f>
        <v>0</v>
      </c>
      <c r="AT92">
        <f>SUMIF('Как будет'!$A$73:$A$80,Доп.расчеты!$A92,'Как будет'!AU$73:AU$80)</f>
        <v>0</v>
      </c>
      <c r="AU92">
        <f>SUMIF('Как будет'!$A$73:$A$80,Доп.расчеты!$A92,'Как будет'!AV$73:AV$80)</f>
        <v>0</v>
      </c>
      <c r="AV92">
        <f>SUMIF('Как будет'!$A$73:$A$80,Доп.расчеты!$A92,'Как будет'!AW$73:AW$80)</f>
        <v>0</v>
      </c>
      <c r="AW92">
        <f>SUMIF('Как будет'!$A$73:$A$80,Доп.расчеты!$A92,'Как будет'!AX$73:AX$80)</f>
        <v>0</v>
      </c>
      <c r="AX92">
        <f>SUMIF('Как будет'!$A$73:$A$80,Доп.расчеты!$A92,'Как будет'!AY$73:AY$80)</f>
        <v>0</v>
      </c>
      <c r="AY92">
        <f>SUMIF('Как будет'!$A$73:$A$80,Доп.расчеты!$A92,'Как будет'!AZ$73:AZ$80)</f>
        <v>0</v>
      </c>
      <c r="AZ92">
        <f>SUMIF('Как будет'!$A$73:$A$80,Доп.расчеты!$A92,'Как будет'!BA$73:BA$80)</f>
        <v>0</v>
      </c>
      <c r="BA92">
        <f>SUMIF('Как будет'!$A$73:$A$80,Доп.расчеты!$A92,'Как будет'!BB$73:BB$80)</f>
        <v>0</v>
      </c>
      <c r="BB92">
        <f>SUMIF('Как будет'!$A$73:$A$80,Доп.расчеты!$A92,'Как будет'!BC$73:BC$80)</f>
        <v>0</v>
      </c>
      <c r="BC92">
        <f>SUMIF('Как будет'!$A$73:$A$80,Доп.расчеты!$A92,'Как будет'!BD$73:BD$80)</f>
        <v>0</v>
      </c>
      <c r="BD92">
        <f>SUMIF('Как будет'!$A$73:$A$80,Доп.расчеты!$A92,'Как будет'!BE$73:BE$80)</f>
        <v>0</v>
      </c>
      <c r="BE92">
        <f>SUMIF('Как будет'!$A$73:$A$80,Доп.расчеты!$A92,'Как будет'!BF$73:BF$80)</f>
        <v>0</v>
      </c>
      <c r="BF92">
        <f>SUMIF('Как будет'!$A$73:$A$80,Доп.расчеты!$A92,'Как будет'!BG$73:BG$80)</f>
        <v>0</v>
      </c>
      <c r="BG92">
        <f>SUMIF('Как будет'!$A$73:$A$80,Доп.расчеты!$A92,'Как будет'!BH$73:BH$80)</f>
        <v>0</v>
      </c>
      <c r="BH92">
        <f>SUMIF('Как будет'!$A$73:$A$80,Доп.расчеты!$A92,'Как будет'!BI$73:BI$80)</f>
        <v>0</v>
      </c>
      <c r="BI92">
        <f>SUMIF('Как будет'!$A$73:$A$80,Доп.расчеты!$A92,'Как будет'!BJ$73:BJ$80)</f>
        <v>0</v>
      </c>
      <c r="BJ92">
        <f>SUMIF('Как будет'!$A$73:$A$80,Доп.расчеты!$A92,'Как будет'!BK$73:BK$80)</f>
        <v>0</v>
      </c>
      <c r="BK92">
        <f>SUMIF('Как будет'!$A$73:$A$80,Доп.расчеты!$A92,'Как будет'!BL$73:BL$80)</f>
        <v>0</v>
      </c>
      <c r="BL92">
        <f>SUMIF('Как будет'!$A$73:$A$80,Доп.расчеты!$A92,'Как будет'!BM$73:BM$80)</f>
        <v>0</v>
      </c>
      <c r="BM92">
        <f>SUMIF('Как будет'!$A$73:$A$80,Доп.расчеты!$A92,'Как будет'!BN$73:BN$80)</f>
        <v>0</v>
      </c>
      <c r="BN92">
        <f>SUMIF('Как будет'!$A$73:$A$80,Доп.расчеты!$A92,'Как будет'!BO$73:BO$80)</f>
        <v>0</v>
      </c>
      <c r="BO92">
        <f>SUMIF('Как будет'!$A$73:$A$80,Доп.расчеты!$A92,'Как будет'!BP$73:BP$80)</f>
        <v>0</v>
      </c>
      <c r="BP92">
        <f>SUMIF('Как будет'!$A$73:$A$80,Доп.расчеты!$A92,'Как будет'!BQ$73:BQ$80)</f>
        <v>0</v>
      </c>
      <c r="BQ92">
        <f>SUMIF('Как будет'!$A$73:$A$80,Доп.расчеты!$A92,'Как будет'!BR$73:BR$80)</f>
        <v>0</v>
      </c>
      <c r="BR92">
        <f>SUMIF('Как будет'!$A$73:$A$80,Доп.расчеты!$A92,'Как будет'!BS$73:BS$80)</f>
        <v>0</v>
      </c>
      <c r="BS92">
        <f>SUMIF('Как будет'!$A$73:$A$80,Доп.расчеты!$A92,'Как будет'!BT$73:BT$80)</f>
        <v>0</v>
      </c>
      <c r="BT92">
        <f>SUMIF('Как будет'!$A$73:$A$80,Доп.расчеты!$A92,'Как будет'!BU$73:BU$80)</f>
        <v>0</v>
      </c>
      <c r="BU92">
        <f>SUMIF('Как будет'!$A$73:$A$80,Доп.расчеты!$A92,'Как будет'!BV$73:BV$80)</f>
        <v>0</v>
      </c>
      <c r="BV92">
        <f>SUMIF('Как будет'!$A$73:$A$80,Доп.расчеты!$A92,'Как будет'!BW$73:BW$80)</f>
        <v>0</v>
      </c>
      <c r="BW92">
        <f>SUMIF('Как будет'!$A$73:$A$80,Доп.расчеты!$A92,'Как будет'!BX$73:BX$80)</f>
        <v>0</v>
      </c>
      <c r="BX92">
        <f>SUMIF('Как будет'!$A$73:$A$80,Доп.расчеты!$A92,'Как будет'!BY$73:BY$80)</f>
        <v>0</v>
      </c>
      <c r="BY92">
        <f>SUMIF('Как будет'!$A$73:$A$80,Доп.расчеты!$A92,'Как будет'!BZ$73:BZ$80)</f>
        <v>0</v>
      </c>
      <c r="BZ92">
        <f>SUMIF('Как будет'!$A$73:$A$80,Доп.расчеты!$A92,'Как будет'!CA$73:CA$80)</f>
        <v>0</v>
      </c>
      <c r="CA92">
        <f>SUMIF('Как будет'!$A$73:$A$80,Доп.расчеты!$A92,'Как будет'!CB$73:CB$80)</f>
        <v>0</v>
      </c>
      <c r="CB92">
        <f>SUMIF('Как будет'!$A$73:$A$80,Доп.расчеты!$A92,'Как будет'!CC$73:CC$80)</f>
        <v>0</v>
      </c>
      <c r="CC92">
        <f>SUMIF('Как будет'!$A$73:$A$80,Доп.расчеты!$A92,'Как будет'!CD$73:CD$80)</f>
        <v>0</v>
      </c>
      <c r="CD92">
        <f>SUMIF('Как будет'!$A$73:$A$80,Доп.расчеты!$A92,'Как будет'!CE$73:CE$80)</f>
        <v>0</v>
      </c>
      <c r="CE92">
        <f>SUMIF('Как будет'!$A$73:$A$80,Доп.расчеты!$A92,'Как будет'!CF$73:CF$80)</f>
        <v>0</v>
      </c>
      <c r="CF92">
        <f>SUMIF('Как будет'!$A$73:$A$80,Доп.расчеты!$A92,'Как будет'!CG$73:CG$80)</f>
        <v>0</v>
      </c>
      <c r="CG92">
        <f>SUMIF('Как будет'!$A$73:$A$80,Доп.расчеты!$A92,'Как будет'!CH$73:CH$80)</f>
        <v>0</v>
      </c>
      <c r="CH92">
        <f>SUMIF('Как будет'!$A$73:$A$80,Доп.расчеты!$A92,'Как будет'!CI$73:CI$80)</f>
        <v>0</v>
      </c>
      <c r="CI92">
        <f>SUMIF('Как будет'!$A$73:$A$80,Доп.расчеты!$A92,'Как будет'!CJ$73:CJ$80)</f>
        <v>0</v>
      </c>
      <c r="CJ92">
        <f>SUMIF('Как будет'!$A$73:$A$80,Доп.расчеты!$A92,'Как будет'!CK$73:CK$80)</f>
        <v>0</v>
      </c>
      <c r="CK92">
        <f>SUMIF('Как будет'!$A$73:$A$80,Доп.расчеты!$A92,'Как будет'!CL$73:CL$80)</f>
        <v>0</v>
      </c>
      <c r="CL92">
        <f>SUMIF('Как будет'!$A$73:$A$80,Доп.расчеты!$A92,'Как будет'!CM$73:CM$80)</f>
        <v>0</v>
      </c>
      <c r="CM92">
        <f>SUMIF('Как будет'!$A$73:$A$80,Доп.расчеты!$A92,'Как будет'!CN$73:CN$80)</f>
        <v>0</v>
      </c>
      <c r="CN92">
        <f>SUMIF('Как будет'!$A$73:$A$80,Доп.расчеты!$A92,'Как будет'!CO$73:CO$80)</f>
        <v>0</v>
      </c>
      <c r="CO92">
        <f>SUMIF('Как будет'!$A$73:$A$80,Доп.расчеты!$A92,'Как будет'!CP$73:CP$80)</f>
        <v>0</v>
      </c>
      <c r="CP92">
        <f>SUMIF('Как будет'!$A$73:$A$80,Доп.расчеты!$A92,'Как будет'!CQ$73:CQ$80)</f>
        <v>0</v>
      </c>
      <c r="CQ92">
        <f>SUMIF('Как будет'!$A$73:$A$80,Доп.расчеты!$A92,'Как будет'!CR$73:CR$80)</f>
        <v>0</v>
      </c>
      <c r="CR92">
        <f>SUMIF('Как будет'!$A$73:$A$80,Доп.расчеты!$A92,'Как будет'!CS$73:CS$80)</f>
        <v>0</v>
      </c>
      <c r="CS92">
        <f>SUMIF('Как будет'!$A$73:$A$80,Доп.расчеты!$A92,'Как будет'!CT$73:CT$80)</f>
        <v>0</v>
      </c>
      <c r="CT92">
        <f>SUMIF('Как будет'!$A$73:$A$80,Доп.расчеты!$A92,'Как будет'!CU$73:CU$80)</f>
        <v>0</v>
      </c>
      <c r="CU92">
        <f>SUMIF('Как будет'!$A$73:$A$80,Доп.расчеты!$A92,'Как будет'!CV$73:CV$80)</f>
        <v>0</v>
      </c>
      <c r="CV92">
        <f>SUMIF('Как будет'!$A$73:$A$80,Доп.расчеты!$A92,'Как будет'!CW$73:CW$80)</f>
        <v>0</v>
      </c>
      <c r="CW92">
        <f>SUMIF('Как будет'!$A$73:$A$80,Доп.расчеты!$A92,'Как будет'!CX$73:CX$80)</f>
        <v>0</v>
      </c>
      <c r="CX92">
        <f>SUMIF('Как будет'!$A$73:$A$80,Доп.расчеты!$A92,'Как будет'!CY$73:CY$80)</f>
        <v>0</v>
      </c>
      <c r="CY92">
        <f>SUMIF('Как будет'!$A$73:$A$80,Доп.расчеты!$A92,'Как будет'!CZ$73:CZ$80)</f>
        <v>0</v>
      </c>
      <c r="CZ92">
        <f>SUMIF('Как будет'!$A$73:$A$80,Доп.расчеты!$A92,'Как будет'!DA$73:DA$80)</f>
        <v>0</v>
      </c>
      <c r="DA92">
        <f>SUMIF('Как будет'!$A$73:$A$80,Доп.расчеты!$A92,'Как будет'!DB$73:DB$80)</f>
        <v>0</v>
      </c>
      <c r="DB92">
        <f>SUMIF('Как будет'!$A$73:$A$80,Доп.расчеты!$A92,'Как будет'!DC$73:DC$80)</f>
        <v>0</v>
      </c>
      <c r="DC92">
        <f>SUMIF('Как будет'!$A$73:$A$80,Доп.расчеты!$A92,'Как будет'!DD$73:DD$80)</f>
        <v>0</v>
      </c>
      <c r="DD92">
        <f>SUMIF('Как будет'!$A$73:$A$80,Доп.расчеты!$A92,'Как будет'!DE$73:DE$80)</f>
        <v>0</v>
      </c>
      <c r="DE92">
        <f>SUMIF('Как будет'!$A$73:$A$80,Доп.расчеты!$A92,'Как будет'!DF$73:DF$80)</f>
        <v>0</v>
      </c>
      <c r="DF92">
        <f>SUMIF('Как будет'!$A$73:$A$80,Доп.расчеты!$A92,'Как будет'!DG$73:DG$80)</f>
        <v>0</v>
      </c>
      <c r="DG92">
        <f>SUMIF('Как будет'!$A$73:$A$80,Доп.расчеты!$A92,'Как будет'!DH$73:DH$80)</f>
        <v>0</v>
      </c>
      <c r="DH92">
        <f>SUMIF('Как будет'!$A$73:$A$80,Доп.расчеты!$A92,'Как будет'!DI$73:DI$80)</f>
        <v>0</v>
      </c>
      <c r="DI92">
        <f>SUMIF('Как будет'!$A$73:$A$80,Доп.расчеты!$A92,'Как будет'!DJ$73:DJ$80)</f>
        <v>0</v>
      </c>
      <c r="DJ92">
        <f>SUMIF('Как будет'!$A$73:$A$80,Доп.расчеты!$A92,'Как будет'!DK$73:DK$80)</f>
        <v>0</v>
      </c>
      <c r="DK92">
        <f>SUMIF('Как будет'!$A$73:$A$80,Доп.расчеты!$A92,'Как будет'!DL$73:DL$80)</f>
        <v>0</v>
      </c>
      <c r="DL92">
        <f>SUMIF('Как будет'!$A$73:$A$80,Доп.расчеты!$A92,'Как будет'!DM$73:DM$80)</f>
        <v>0</v>
      </c>
      <c r="DM92">
        <f>SUMIF('Как будет'!$A$73:$A$80,Доп.расчеты!$A92,'Как будет'!DN$73:DN$80)</f>
        <v>0</v>
      </c>
      <c r="DN92">
        <f>SUMIF('Как будет'!$A$73:$A$80,Доп.расчеты!$A92,'Как будет'!DO$73:DO$80)</f>
        <v>0</v>
      </c>
      <c r="DO92">
        <f>SUMIF('Как будет'!$A$73:$A$80,Доп.расчеты!$A92,'Как будет'!DP$73:DP$80)</f>
        <v>0</v>
      </c>
      <c r="DP92">
        <f>SUMIF('Как будет'!$A$73:$A$80,Доп.расчеты!$A92,'Как будет'!DQ$73:DQ$80)</f>
        <v>0</v>
      </c>
      <c r="DQ92">
        <f>SUMIF('Как будет'!$A$73:$A$80,Доп.расчеты!$A92,'Как будет'!DR$73:DR$80)</f>
        <v>0</v>
      </c>
      <c r="DR92">
        <f>SUMIF('Как будет'!$A$73:$A$80,Доп.расчеты!$A92,'Как будет'!DS$73:DS$80)</f>
        <v>0</v>
      </c>
      <c r="DS92">
        <f>SUMIF('Как будет'!$A$73:$A$80,Доп.расчеты!$A92,'Как будет'!DT$73:DT$80)</f>
        <v>0</v>
      </c>
      <c r="DT92">
        <f>SUMIF('Как будет'!$A$73:$A$80,Доп.расчеты!$A92,'Как будет'!DU$73:DU$80)</f>
        <v>0</v>
      </c>
      <c r="DU92">
        <f>SUMIF('Как будет'!$A$73:$A$80,Доп.расчеты!$A92,'Как будет'!DV$73:DV$80)</f>
        <v>0</v>
      </c>
      <c r="DV92">
        <f>SUMIF('Как будет'!$A$73:$A$80,Доп.расчеты!$A92,'Как будет'!DW$73:DW$80)</f>
        <v>0</v>
      </c>
      <c r="DW92">
        <f>SUMIF('Как будет'!$A$73:$A$80,Доп.расчеты!$A92,'Как будет'!DX$73:DX$80)</f>
        <v>0</v>
      </c>
      <c r="DX92">
        <f>SUMIF('Как будет'!$A$73:$A$80,Доп.расчеты!$A92,'Как будет'!DY$73:DY$80)</f>
        <v>0</v>
      </c>
      <c r="DY92">
        <f>SUMIF('Как будет'!$A$73:$A$80,Доп.расчеты!$A92,'Как будет'!DZ$73:DZ$80)</f>
        <v>0</v>
      </c>
      <c r="DZ92">
        <f>SUMIF('Как будет'!$A$73:$A$80,Доп.расчеты!$A92,'Как будет'!EA$73:EA$80)</f>
        <v>0</v>
      </c>
      <c r="EA92">
        <f>SUMIF('Как будет'!$A$73:$A$80,Доп.расчеты!$A92,'Как будет'!EB$73:EB$80)</f>
        <v>0</v>
      </c>
      <c r="EB92">
        <f>SUMIF('Как будет'!$A$73:$A$80,Доп.расчеты!$A92,'Как будет'!EC$73:EC$80)</f>
        <v>0</v>
      </c>
      <c r="EC92">
        <f>SUMIF('Как будет'!$A$73:$A$80,Доп.расчеты!$A92,'Как будет'!ED$73:ED$80)</f>
        <v>0</v>
      </c>
      <c r="ED92">
        <f>SUMIF('Как будет'!$A$73:$A$80,Доп.расчеты!$A92,'Как будет'!EE$73:EE$80)</f>
        <v>0</v>
      </c>
      <c r="EE92">
        <f>SUMIF('Как будет'!$A$73:$A$80,Доп.расчеты!$A92,'Как будет'!EF$73:EF$80)</f>
        <v>0</v>
      </c>
      <c r="EF92">
        <f>SUMIF('Как будет'!$A$73:$A$80,Доп.расчеты!$A92,'Как будет'!EG$73:EG$80)</f>
        <v>0</v>
      </c>
      <c r="EG92">
        <f>SUMIF('Как будет'!$A$73:$A$80,Доп.расчеты!$A92,'Как будет'!EH$73:EH$80)</f>
        <v>0</v>
      </c>
      <c r="EH92">
        <f>SUMIF('Как будет'!$A$73:$A$80,Доп.расчеты!$A92,'Как будет'!EI$73:EI$80)</f>
        <v>0</v>
      </c>
      <c r="EI92">
        <f>SUMIF('Как будет'!$A$73:$A$80,Доп.расчеты!$A92,'Как будет'!EJ$73:EJ$80)</f>
        <v>0</v>
      </c>
      <c r="EJ92">
        <f>SUMIF('Как будет'!$A$73:$A$80,Доп.расчеты!$A92,'Как будет'!EK$73:EK$80)</f>
        <v>0</v>
      </c>
      <c r="EK92">
        <f>SUMIF('Как будет'!$A$73:$A$80,Доп.расчеты!$A92,'Как будет'!EL$73:EL$80)</f>
        <v>0</v>
      </c>
      <c r="EL92">
        <f>SUMIF('Как будет'!$A$73:$A$80,Доп.расчеты!$A92,'Как будет'!EM$73:EM$80)</f>
        <v>0</v>
      </c>
      <c r="EM92">
        <f>SUMIF('Как будет'!$A$73:$A$80,Доп.расчеты!$A92,'Как будет'!EN$73:EN$80)</f>
        <v>0</v>
      </c>
      <c r="EN92">
        <f>SUMIF('Как будет'!$A$73:$A$80,Доп.расчеты!$A92,'Как будет'!EO$73:EO$80)</f>
        <v>0</v>
      </c>
      <c r="EO92">
        <f>SUMIF('Как будет'!$A$73:$A$80,Доп.расчеты!$A92,'Как будет'!EP$73:EP$80)</f>
        <v>0</v>
      </c>
      <c r="EP92">
        <f>SUMIF('Как будет'!$A$73:$A$80,Доп.расчеты!$A92,'Как будет'!EQ$73:EQ$80)</f>
        <v>0</v>
      </c>
      <c r="EQ92">
        <f>SUMIF('Как будет'!$A$73:$A$80,Доп.расчеты!$A92,'Как будет'!ER$73:ER$80)</f>
        <v>0</v>
      </c>
      <c r="ER92">
        <f>SUMIF('Как будет'!$A$73:$A$80,Доп.расчеты!$A92,'Как будет'!ES$73:ES$80)</f>
        <v>0</v>
      </c>
      <c r="ES92">
        <f>SUMIF('Как будет'!$A$73:$A$80,Доп.расчеты!$A92,'Как будет'!ET$73:ET$80)</f>
        <v>0</v>
      </c>
      <c r="ET92">
        <f>SUMIF('Как будет'!$A$73:$A$80,Доп.расчеты!$A92,'Как будет'!EU$73:EU$80)</f>
        <v>0</v>
      </c>
      <c r="EU92">
        <f>SUMIF('Как будет'!$A$73:$A$80,Доп.расчеты!$A92,'Как будет'!EV$73:EV$80)</f>
        <v>0</v>
      </c>
      <c r="EV92">
        <f>SUMIF('Как будет'!$A$73:$A$80,Доп.расчеты!$A92,'Как будет'!EW$73:EW$80)</f>
        <v>0</v>
      </c>
      <c r="EW92">
        <f>SUMIF('Как будет'!$A$73:$A$80,Доп.расчеты!$A92,'Как будет'!EX$73:EX$80)</f>
        <v>0</v>
      </c>
      <c r="EX92">
        <f>SUMIF('Как будет'!$A$73:$A$80,Доп.расчеты!$A92,'Как будет'!EY$73:EY$80)</f>
        <v>0</v>
      </c>
      <c r="EY92">
        <f>SUMIF('Как будет'!$A$73:$A$80,Доп.расчеты!$A92,'Как будет'!EZ$73:EZ$80)</f>
        <v>0</v>
      </c>
      <c r="EZ92">
        <f>SUMIF('Как будет'!$A$73:$A$80,Доп.расчеты!$A92,'Как будет'!FA$73:FA$80)</f>
        <v>0</v>
      </c>
      <c r="FA92">
        <f>SUMIF('Как будет'!$A$73:$A$80,Доп.расчеты!$A92,'Как будет'!FB$73:FB$80)</f>
        <v>0</v>
      </c>
      <c r="FB92">
        <f>SUMIF('Как будет'!$A$73:$A$80,Доп.расчеты!$A92,'Как будет'!FC$73:FC$80)</f>
        <v>0</v>
      </c>
      <c r="FC92">
        <f>SUMIF('Как будет'!$A$73:$A$80,Доп.расчеты!$A92,'Как будет'!FD$73:FD$80)</f>
        <v>0</v>
      </c>
      <c r="FD92">
        <f>SUMIF('Как будет'!$A$73:$A$80,Доп.расчеты!$A92,'Как будет'!FE$73:FE$80)</f>
        <v>0</v>
      </c>
      <c r="FE92">
        <f>SUMIF('Как будет'!$A$73:$A$80,Доп.расчеты!$A92,'Как будет'!FF$73:FF$80)</f>
        <v>0</v>
      </c>
      <c r="FF92">
        <f>SUMIF('Как будет'!$A$73:$A$80,Доп.расчеты!$A92,'Как будет'!FG$73:FG$80)</f>
        <v>0</v>
      </c>
      <c r="FG92">
        <f>SUMIF('Как будет'!$A$73:$A$80,Доп.расчеты!$A92,'Как будет'!FH$73:FH$80)</f>
        <v>0</v>
      </c>
      <c r="FH92">
        <f>SUMIF('Как будет'!$A$73:$A$80,Доп.расчеты!$A92,'Как будет'!FI$73:FI$80)</f>
        <v>0</v>
      </c>
      <c r="FI92">
        <f>SUMIF('Как будет'!$A$73:$A$80,Доп.расчеты!$A92,'Как будет'!FJ$73:FJ$80)</f>
        <v>0</v>
      </c>
      <c r="FJ92">
        <f>SUMIF('Как будет'!$A$73:$A$80,Доп.расчеты!$A92,'Как будет'!FK$73:FK$80)</f>
        <v>0</v>
      </c>
      <c r="FK92">
        <f>SUMIF('Как будет'!$A$73:$A$80,Доп.расчеты!$A92,'Как будет'!FL$73:FL$80)</f>
        <v>0</v>
      </c>
      <c r="FL92">
        <f>SUMIF('Как будет'!$A$73:$A$80,Доп.расчеты!$A92,'Как будет'!FM$73:FM$80)</f>
        <v>0</v>
      </c>
      <c r="FM92">
        <f>SUMIF('Как будет'!$A$73:$A$80,Доп.расчеты!$A92,'Как будет'!FN$73:FN$80)</f>
        <v>0</v>
      </c>
      <c r="FN92">
        <f>SUMIF('Как будет'!$A$73:$A$80,Доп.расчеты!$A92,'Как будет'!FO$73:FO$80)</f>
        <v>0</v>
      </c>
      <c r="FO92">
        <f>SUMIF('Как будет'!$A$73:$A$80,Доп.расчеты!$A92,'Как будет'!FP$73:FP$80)</f>
        <v>0</v>
      </c>
      <c r="FP92">
        <f>SUMIF('Как будет'!$A$73:$A$80,Доп.расчеты!$A92,'Как будет'!FQ$73:FQ$80)</f>
        <v>0</v>
      </c>
      <c r="FQ92">
        <f>SUMIF('Как будет'!$A$73:$A$80,Доп.расчеты!$A92,'Как будет'!FR$73:FR$80)</f>
        <v>0</v>
      </c>
      <c r="FR92">
        <f>SUMIF('Как будет'!$A$73:$A$80,Доп.расчеты!$A92,'Как будет'!FS$73:FS$80)</f>
        <v>0</v>
      </c>
      <c r="FS92">
        <f>SUMIF('Как будет'!$A$73:$A$80,Доп.расчеты!$A92,'Как будет'!FT$73:FT$80)</f>
        <v>0</v>
      </c>
      <c r="FT92">
        <f>SUMIF('Как будет'!$A$73:$A$80,Доп.расчеты!$A92,'Как будет'!FU$73:FU$80)</f>
        <v>0</v>
      </c>
      <c r="FU92">
        <f>SUMIF('Как будет'!$A$73:$A$80,Доп.расчеты!$A92,'Как будет'!FV$73:FV$80)</f>
        <v>0</v>
      </c>
      <c r="FV92">
        <f>SUMIF('Как будет'!$A$73:$A$80,Доп.расчеты!$A92,'Как будет'!FW$73:FW$80)</f>
        <v>0</v>
      </c>
      <c r="FW92">
        <f>SUMIF('Как будет'!$A$73:$A$80,Доп.расчеты!$A92,'Как будет'!FX$73:FX$80)</f>
        <v>0</v>
      </c>
      <c r="FX92">
        <f>SUMIF('Как будет'!$A$73:$A$80,Доп.расчеты!$A92,'Как будет'!FY$73:FY$80)</f>
        <v>0</v>
      </c>
      <c r="FY92">
        <f>SUMIF('Как будет'!$A$73:$A$80,Доп.расчеты!$A92,'Как будет'!FZ$73:FZ$80)</f>
        <v>0</v>
      </c>
      <c r="FZ92">
        <f>SUMIF('Как будет'!$A$73:$A$80,Доп.расчеты!$A92,'Как будет'!GA$73:GA$80)</f>
        <v>0</v>
      </c>
      <c r="GA92">
        <f>SUMIF('Как будет'!$A$73:$A$80,Доп.расчеты!$A92,'Как будет'!GB$73:GB$80)</f>
        <v>0</v>
      </c>
      <c r="GB92">
        <f>SUMIF('Как будет'!$A$73:$A$80,Доп.расчеты!$A92,'Как будет'!GC$73:GC$80)</f>
        <v>0</v>
      </c>
      <c r="GC92">
        <f>SUMIF('Как будет'!$A$73:$A$80,Доп.расчеты!$A92,'Как будет'!GD$73:GD$80)</f>
        <v>0</v>
      </c>
      <c r="GD92">
        <f>SUMIF('Как будет'!$A$73:$A$80,Доп.расчеты!$A92,'Как будет'!GE$73:GE$80)</f>
        <v>0</v>
      </c>
      <c r="GE92">
        <f>SUMIF('Как будет'!$A$73:$A$80,Доп.расчеты!$A92,'Как будет'!GF$73:GF$80)</f>
        <v>0</v>
      </c>
      <c r="GF92">
        <f>SUMIF('Как будет'!$A$73:$A$80,Доп.расчеты!$A92,'Как будет'!GG$73:GG$80)</f>
        <v>0</v>
      </c>
      <c r="GG92">
        <f>SUMIF('Как будет'!$A$73:$A$80,Доп.расчеты!$A92,'Как будет'!GH$73:GH$80)</f>
        <v>0</v>
      </c>
      <c r="GH92">
        <f>SUMIF('Как будет'!$A$73:$A$80,Доп.расчеты!$A92,'Как будет'!GI$73:GI$80)</f>
        <v>0</v>
      </c>
      <c r="GI92">
        <f>SUMIF('Как будет'!$A$73:$A$80,Доп.расчеты!$A92,'Как будет'!GJ$73:GJ$80)</f>
        <v>0</v>
      </c>
      <c r="GJ92">
        <f>SUMIF('Как будет'!$A$73:$A$80,Доп.расчеты!$A92,'Как будет'!GK$73:GK$80)</f>
        <v>0</v>
      </c>
      <c r="GK92">
        <f>SUMIF('Как будет'!$A$73:$A$80,Доп.расчеты!$A92,'Как будет'!GL$73:GL$80)</f>
        <v>0</v>
      </c>
      <c r="GL92">
        <f>SUMIF('Как будет'!$A$73:$A$80,Доп.расчеты!$A92,'Как будет'!GM$73:GM$80)</f>
        <v>0</v>
      </c>
      <c r="GM92">
        <f>SUMIF('Как будет'!$A$73:$A$80,Доп.расчеты!$A92,'Как будет'!GN$73:GN$80)</f>
        <v>0</v>
      </c>
      <c r="GN92">
        <f>SUMIF('Как будет'!$A$73:$A$80,Доп.расчеты!$A92,'Как будет'!GO$73:GO$80)</f>
        <v>0</v>
      </c>
      <c r="GO92">
        <f>SUMIF('Как будет'!$A$73:$A$80,Доп.расчеты!$A92,'Как будет'!GP$73:GP$80)</f>
        <v>0</v>
      </c>
      <c r="GP92">
        <f>SUMIF('Как будет'!$A$73:$A$80,Доп.расчеты!$A92,'Как будет'!GQ$73:GQ$80)</f>
        <v>0</v>
      </c>
      <c r="GQ92">
        <f>SUMIF('Как будет'!$A$73:$A$80,Доп.расчеты!$A92,'Как будет'!GR$73:GR$80)</f>
        <v>0</v>
      </c>
      <c r="GR92">
        <f>SUMIF('Как будет'!$A$73:$A$80,Доп.расчеты!$A92,'Как будет'!GS$73:GS$80)</f>
        <v>0</v>
      </c>
      <c r="GS92">
        <f>SUMIF('Как будет'!$A$73:$A$80,Доп.расчеты!$A92,'Как будет'!GT$73:GT$80)</f>
        <v>0</v>
      </c>
      <c r="GT92">
        <f>SUMIF('Как будет'!$A$73:$A$80,Доп.расчеты!$A92,'Как будет'!GU$73:GU$80)</f>
        <v>0</v>
      </c>
    </row>
    <row r="93" spans="1:202">
      <c r="A93" s="237" t="s">
        <v>101</v>
      </c>
      <c r="B93">
        <f>SUMIF('Как будет'!$A$73:$A$80,Доп.расчеты!$A93,'Как будет'!C$73:C$80)</f>
        <v>0</v>
      </c>
      <c r="C93">
        <f>SUMIF('Как будет'!$A$73:$A$80,Доп.расчеты!$A93,'Как будет'!D$73:D$80)</f>
        <v>0</v>
      </c>
      <c r="D93">
        <f>SUMIF('Как будет'!$A$73:$A$80,Доп.расчеты!$A93,'Как будет'!E$73:E$80)</f>
        <v>0</v>
      </c>
      <c r="E93">
        <f>SUMIF('Как будет'!$A$73:$A$80,Доп.расчеты!$A93,'Как будет'!F$73:F$80)</f>
        <v>0</v>
      </c>
      <c r="F93">
        <f>SUMIF('Как будет'!$A$73:$A$80,Доп.расчеты!$A93,'Как будет'!G$73:G$80)</f>
        <v>0</v>
      </c>
      <c r="G93">
        <f>SUMIF('Как будет'!$A$73:$A$80,Доп.расчеты!$A93,'Как будет'!H$73:H$80)</f>
        <v>0</v>
      </c>
      <c r="H93">
        <f>SUMIF('Как будет'!$A$73:$A$80,Доп.расчеты!$A93,'Как будет'!I$73:I$80)</f>
        <v>0</v>
      </c>
      <c r="I93">
        <f>SUMIF('Как будет'!$A$73:$A$80,Доп.расчеты!$A93,'Как будет'!J$73:J$80)</f>
        <v>0</v>
      </c>
      <c r="J93">
        <f>SUMIF('Как будет'!$A$73:$A$80,Доп.расчеты!$A93,'Как будет'!K$73:K$80)</f>
        <v>0</v>
      </c>
      <c r="K93">
        <f>SUMIF('Как будет'!$A$73:$A$80,Доп.расчеты!$A93,'Как будет'!L$73:L$80)</f>
        <v>0</v>
      </c>
      <c r="L93">
        <f>SUMIF('Как будет'!$A$73:$A$80,Доп.расчеты!$A93,'Как будет'!M$73:M$80)</f>
        <v>0</v>
      </c>
      <c r="M93">
        <f>SUMIF('Как будет'!$A$73:$A$80,Доп.расчеты!$A93,'Как будет'!N$73:N$80)</f>
        <v>0</v>
      </c>
      <c r="N93">
        <f>SUMIF('Как будет'!$A$73:$A$80,Доп.расчеты!$A93,'Как будет'!O$73:O$80)</f>
        <v>0</v>
      </c>
      <c r="O93">
        <f>SUMIF('Как будет'!$A$73:$A$80,Доп.расчеты!$A93,'Как будет'!P$73:P$80)</f>
        <v>0</v>
      </c>
      <c r="P93">
        <f>SUMIF('Как будет'!$A$73:$A$80,Доп.расчеты!$A93,'Как будет'!Q$73:Q$80)</f>
        <v>0</v>
      </c>
      <c r="Q93">
        <f>SUMIF('Как будет'!$A$73:$A$80,Доп.расчеты!$A93,'Как будет'!R$73:R$80)</f>
        <v>0</v>
      </c>
      <c r="R93">
        <f>SUMIF('Как будет'!$A$73:$A$80,Доп.расчеты!$A93,'Как будет'!S$73:S$80)</f>
        <v>0</v>
      </c>
      <c r="S93">
        <f>SUMIF('Как будет'!$A$73:$A$80,Доп.расчеты!$A93,'Как будет'!T$73:T$80)</f>
        <v>0</v>
      </c>
      <c r="T93">
        <f>SUMIF('Как будет'!$A$73:$A$80,Доп.расчеты!$A93,'Как будет'!U$73:U$80)</f>
        <v>0</v>
      </c>
      <c r="U93">
        <f>SUMIF('Как будет'!$A$73:$A$80,Доп.расчеты!$A93,'Как будет'!V$73:V$80)</f>
        <v>0</v>
      </c>
      <c r="V93">
        <f>SUMIF('Как будет'!$A$73:$A$80,Доп.расчеты!$A93,'Как будет'!W$73:W$80)</f>
        <v>0</v>
      </c>
      <c r="W93">
        <f>SUMIF('Как будет'!$A$73:$A$80,Доп.расчеты!$A93,'Как будет'!X$73:X$80)</f>
        <v>0</v>
      </c>
      <c r="X93">
        <f>SUMIF('Как будет'!$A$73:$A$80,Доп.расчеты!$A93,'Как будет'!Y$73:Y$80)</f>
        <v>0</v>
      </c>
      <c r="Y93">
        <f>SUMIF('Как будет'!$A$73:$A$80,Доп.расчеты!$A93,'Как будет'!Z$73:Z$80)</f>
        <v>0</v>
      </c>
      <c r="Z93">
        <f>SUMIF('Как будет'!$A$73:$A$80,Доп.расчеты!$A93,'Как будет'!AA$73:AA$80)</f>
        <v>0</v>
      </c>
      <c r="AA93">
        <f>SUMIF('Как будет'!$A$73:$A$80,Доп.расчеты!$A93,'Как будет'!AB$73:AB$80)</f>
        <v>0</v>
      </c>
      <c r="AB93">
        <f>SUMIF('Как будет'!$A$73:$A$80,Доп.расчеты!$A93,'Как будет'!AC$73:AC$80)</f>
        <v>0</v>
      </c>
      <c r="AC93">
        <f>SUMIF('Как будет'!$A$73:$A$80,Доп.расчеты!$A93,'Как будет'!AD$73:AD$80)</f>
        <v>0</v>
      </c>
      <c r="AD93">
        <f>SUMIF('Как будет'!$A$73:$A$80,Доп.расчеты!$A93,'Как будет'!AE$73:AE$80)</f>
        <v>0</v>
      </c>
      <c r="AE93">
        <f>SUMIF('Как будет'!$A$73:$A$80,Доп.расчеты!$A93,'Как будет'!AF$73:AF$80)</f>
        <v>0</v>
      </c>
      <c r="AF93">
        <f>SUMIF('Как будет'!$A$73:$A$80,Доп.расчеты!$A93,'Как будет'!AG$73:AG$80)</f>
        <v>0</v>
      </c>
      <c r="AG93">
        <f>SUMIF('Как будет'!$A$73:$A$80,Доп.расчеты!$A93,'Как будет'!AH$73:AH$80)</f>
        <v>0</v>
      </c>
      <c r="AH93">
        <f>SUMIF('Как будет'!$A$73:$A$80,Доп.расчеты!$A93,'Как будет'!AI$73:AI$80)</f>
        <v>0</v>
      </c>
      <c r="AI93">
        <f>SUMIF('Как будет'!$A$73:$A$80,Доп.расчеты!$A93,'Как будет'!AJ$73:AJ$80)</f>
        <v>0</v>
      </c>
      <c r="AJ93">
        <f>SUMIF('Как будет'!$A$73:$A$80,Доп.расчеты!$A93,'Как будет'!AK$73:AK$80)</f>
        <v>0</v>
      </c>
      <c r="AK93">
        <f>SUMIF('Как будет'!$A$73:$A$80,Доп.расчеты!$A93,'Как будет'!AL$73:AL$80)</f>
        <v>0</v>
      </c>
      <c r="AL93">
        <f>SUMIF('Как будет'!$A$73:$A$80,Доп.расчеты!$A93,'Как будет'!AM$73:AM$80)</f>
        <v>0</v>
      </c>
      <c r="AM93">
        <f>SUMIF('Как будет'!$A$73:$A$80,Доп.расчеты!$A93,'Как будет'!AN$73:AN$80)</f>
        <v>0</v>
      </c>
      <c r="AN93">
        <f>SUMIF('Как будет'!$A$73:$A$80,Доп.расчеты!$A93,'Как будет'!AO$73:AO$80)</f>
        <v>0</v>
      </c>
      <c r="AO93">
        <f>SUMIF('Как будет'!$A$73:$A$80,Доп.расчеты!$A93,'Как будет'!AP$73:AP$80)</f>
        <v>0</v>
      </c>
      <c r="AP93">
        <f>SUMIF('Как будет'!$A$73:$A$80,Доп.расчеты!$A93,'Как будет'!AQ$73:AQ$80)</f>
        <v>0</v>
      </c>
      <c r="AQ93">
        <f>SUMIF('Как будет'!$A$73:$A$80,Доп.расчеты!$A93,'Как будет'!AR$73:AR$80)</f>
        <v>0</v>
      </c>
      <c r="AR93">
        <f>SUMIF('Как будет'!$A$73:$A$80,Доп.расчеты!$A93,'Как будет'!AS$73:AS$80)</f>
        <v>0</v>
      </c>
      <c r="AS93">
        <f>SUMIF('Как будет'!$A$73:$A$80,Доп.расчеты!$A93,'Как будет'!AT$73:AT$80)</f>
        <v>0</v>
      </c>
      <c r="AT93">
        <f>SUMIF('Как будет'!$A$73:$A$80,Доп.расчеты!$A93,'Как будет'!AU$73:AU$80)</f>
        <v>0</v>
      </c>
      <c r="AU93">
        <f>SUMIF('Как будет'!$A$73:$A$80,Доп.расчеты!$A93,'Как будет'!AV$73:AV$80)</f>
        <v>0</v>
      </c>
      <c r="AV93">
        <f>SUMIF('Как будет'!$A$73:$A$80,Доп.расчеты!$A93,'Как будет'!AW$73:AW$80)</f>
        <v>0</v>
      </c>
      <c r="AW93">
        <f>SUMIF('Как будет'!$A$73:$A$80,Доп.расчеты!$A93,'Как будет'!AX$73:AX$80)</f>
        <v>0</v>
      </c>
      <c r="AX93">
        <f>SUMIF('Как будет'!$A$73:$A$80,Доп.расчеты!$A93,'Как будет'!AY$73:AY$80)</f>
        <v>0</v>
      </c>
      <c r="AY93">
        <f>SUMIF('Как будет'!$A$73:$A$80,Доп.расчеты!$A93,'Как будет'!AZ$73:AZ$80)</f>
        <v>0</v>
      </c>
      <c r="AZ93">
        <f>SUMIF('Как будет'!$A$73:$A$80,Доп.расчеты!$A93,'Как будет'!BA$73:BA$80)</f>
        <v>0</v>
      </c>
      <c r="BA93">
        <f>SUMIF('Как будет'!$A$73:$A$80,Доп.расчеты!$A93,'Как будет'!BB$73:BB$80)</f>
        <v>0</v>
      </c>
      <c r="BB93">
        <f>SUMIF('Как будет'!$A$73:$A$80,Доп.расчеты!$A93,'Как будет'!BC$73:BC$80)</f>
        <v>0</v>
      </c>
      <c r="BC93">
        <f>SUMIF('Как будет'!$A$73:$A$80,Доп.расчеты!$A93,'Как будет'!BD$73:BD$80)</f>
        <v>0</v>
      </c>
      <c r="BD93">
        <f>SUMIF('Как будет'!$A$73:$A$80,Доп.расчеты!$A93,'Как будет'!BE$73:BE$80)</f>
        <v>0</v>
      </c>
      <c r="BE93">
        <f>SUMIF('Как будет'!$A$73:$A$80,Доп.расчеты!$A93,'Как будет'!BF$73:BF$80)</f>
        <v>0</v>
      </c>
      <c r="BF93">
        <f>SUMIF('Как будет'!$A$73:$A$80,Доп.расчеты!$A93,'Как будет'!BG$73:BG$80)</f>
        <v>0</v>
      </c>
      <c r="BG93">
        <f>SUMIF('Как будет'!$A$73:$A$80,Доп.расчеты!$A93,'Как будет'!BH$73:BH$80)</f>
        <v>0</v>
      </c>
      <c r="BH93">
        <f>SUMIF('Как будет'!$A$73:$A$80,Доп.расчеты!$A93,'Как будет'!BI$73:BI$80)</f>
        <v>0</v>
      </c>
      <c r="BI93">
        <f>SUMIF('Как будет'!$A$73:$A$80,Доп.расчеты!$A93,'Как будет'!BJ$73:BJ$80)</f>
        <v>0</v>
      </c>
      <c r="BJ93">
        <f>SUMIF('Как будет'!$A$73:$A$80,Доп.расчеты!$A93,'Как будет'!BK$73:BK$80)</f>
        <v>0</v>
      </c>
      <c r="BK93">
        <f>SUMIF('Как будет'!$A$73:$A$80,Доп.расчеты!$A93,'Как будет'!BL$73:BL$80)</f>
        <v>0</v>
      </c>
      <c r="BL93">
        <f>SUMIF('Как будет'!$A$73:$A$80,Доп.расчеты!$A93,'Как будет'!BM$73:BM$80)</f>
        <v>0</v>
      </c>
      <c r="BM93">
        <f>SUMIF('Как будет'!$A$73:$A$80,Доп.расчеты!$A93,'Как будет'!BN$73:BN$80)</f>
        <v>0</v>
      </c>
      <c r="BN93">
        <f>SUMIF('Как будет'!$A$73:$A$80,Доп.расчеты!$A93,'Как будет'!BO$73:BO$80)</f>
        <v>0</v>
      </c>
      <c r="BO93">
        <f>SUMIF('Как будет'!$A$73:$A$80,Доп.расчеты!$A93,'Как будет'!BP$73:BP$80)</f>
        <v>0</v>
      </c>
      <c r="BP93">
        <f>SUMIF('Как будет'!$A$73:$A$80,Доп.расчеты!$A93,'Как будет'!BQ$73:BQ$80)</f>
        <v>0</v>
      </c>
      <c r="BQ93">
        <f>SUMIF('Как будет'!$A$73:$A$80,Доп.расчеты!$A93,'Как будет'!BR$73:BR$80)</f>
        <v>0</v>
      </c>
      <c r="BR93">
        <f>SUMIF('Как будет'!$A$73:$A$80,Доп.расчеты!$A93,'Как будет'!BS$73:BS$80)</f>
        <v>0</v>
      </c>
      <c r="BS93">
        <f>SUMIF('Как будет'!$A$73:$A$80,Доп.расчеты!$A93,'Как будет'!BT$73:BT$80)</f>
        <v>0</v>
      </c>
      <c r="BT93">
        <f>SUMIF('Как будет'!$A$73:$A$80,Доп.расчеты!$A93,'Как будет'!BU$73:BU$80)</f>
        <v>0</v>
      </c>
      <c r="BU93">
        <f>SUMIF('Как будет'!$A$73:$A$80,Доп.расчеты!$A93,'Как будет'!BV$73:BV$80)</f>
        <v>0</v>
      </c>
      <c r="BV93">
        <f>SUMIF('Как будет'!$A$73:$A$80,Доп.расчеты!$A93,'Как будет'!BW$73:BW$80)</f>
        <v>0</v>
      </c>
      <c r="BW93">
        <f>SUMIF('Как будет'!$A$73:$A$80,Доп.расчеты!$A93,'Как будет'!BX$73:BX$80)</f>
        <v>0</v>
      </c>
      <c r="BX93">
        <f>SUMIF('Как будет'!$A$73:$A$80,Доп.расчеты!$A93,'Как будет'!BY$73:BY$80)</f>
        <v>0</v>
      </c>
      <c r="BY93">
        <f>SUMIF('Как будет'!$A$73:$A$80,Доп.расчеты!$A93,'Как будет'!BZ$73:BZ$80)</f>
        <v>0</v>
      </c>
      <c r="BZ93">
        <f>SUMIF('Как будет'!$A$73:$A$80,Доп.расчеты!$A93,'Как будет'!CA$73:CA$80)</f>
        <v>0</v>
      </c>
      <c r="CA93">
        <f>SUMIF('Как будет'!$A$73:$A$80,Доп.расчеты!$A93,'Как будет'!CB$73:CB$80)</f>
        <v>0</v>
      </c>
      <c r="CB93">
        <f>SUMIF('Как будет'!$A$73:$A$80,Доп.расчеты!$A93,'Как будет'!CC$73:CC$80)</f>
        <v>0</v>
      </c>
      <c r="CC93">
        <f>SUMIF('Как будет'!$A$73:$A$80,Доп.расчеты!$A93,'Как будет'!CD$73:CD$80)</f>
        <v>0</v>
      </c>
      <c r="CD93">
        <f>SUMIF('Как будет'!$A$73:$A$80,Доп.расчеты!$A93,'Как будет'!CE$73:CE$80)</f>
        <v>0</v>
      </c>
      <c r="CE93">
        <f>SUMIF('Как будет'!$A$73:$A$80,Доп.расчеты!$A93,'Как будет'!CF$73:CF$80)</f>
        <v>0</v>
      </c>
      <c r="CF93">
        <f>SUMIF('Как будет'!$A$73:$A$80,Доп.расчеты!$A93,'Как будет'!CG$73:CG$80)</f>
        <v>0</v>
      </c>
      <c r="CG93">
        <f>SUMIF('Как будет'!$A$73:$A$80,Доп.расчеты!$A93,'Как будет'!CH$73:CH$80)</f>
        <v>0</v>
      </c>
      <c r="CH93">
        <f>SUMIF('Как будет'!$A$73:$A$80,Доп.расчеты!$A93,'Как будет'!CI$73:CI$80)</f>
        <v>0</v>
      </c>
      <c r="CI93">
        <f>SUMIF('Как будет'!$A$73:$A$80,Доп.расчеты!$A93,'Как будет'!CJ$73:CJ$80)</f>
        <v>0</v>
      </c>
      <c r="CJ93">
        <f>SUMIF('Как будет'!$A$73:$A$80,Доп.расчеты!$A93,'Как будет'!CK$73:CK$80)</f>
        <v>0</v>
      </c>
      <c r="CK93">
        <f>SUMIF('Как будет'!$A$73:$A$80,Доп.расчеты!$A93,'Как будет'!CL$73:CL$80)</f>
        <v>0</v>
      </c>
      <c r="CL93">
        <f>SUMIF('Как будет'!$A$73:$A$80,Доп.расчеты!$A93,'Как будет'!CM$73:CM$80)</f>
        <v>0</v>
      </c>
      <c r="CM93">
        <f>SUMIF('Как будет'!$A$73:$A$80,Доп.расчеты!$A93,'Как будет'!CN$73:CN$80)</f>
        <v>0</v>
      </c>
      <c r="CN93">
        <f>SUMIF('Как будет'!$A$73:$A$80,Доп.расчеты!$A93,'Как будет'!CO$73:CO$80)</f>
        <v>0</v>
      </c>
      <c r="CO93">
        <f>SUMIF('Как будет'!$A$73:$A$80,Доп.расчеты!$A93,'Как будет'!CP$73:CP$80)</f>
        <v>0</v>
      </c>
      <c r="CP93">
        <f>SUMIF('Как будет'!$A$73:$A$80,Доп.расчеты!$A93,'Как будет'!CQ$73:CQ$80)</f>
        <v>0</v>
      </c>
      <c r="CQ93">
        <f>SUMIF('Как будет'!$A$73:$A$80,Доп.расчеты!$A93,'Как будет'!CR$73:CR$80)</f>
        <v>0</v>
      </c>
      <c r="CR93">
        <f>SUMIF('Как будет'!$A$73:$A$80,Доп.расчеты!$A93,'Как будет'!CS$73:CS$80)</f>
        <v>0</v>
      </c>
      <c r="CS93">
        <f>SUMIF('Как будет'!$A$73:$A$80,Доп.расчеты!$A93,'Как будет'!CT$73:CT$80)</f>
        <v>0</v>
      </c>
      <c r="CT93">
        <f>SUMIF('Как будет'!$A$73:$A$80,Доп.расчеты!$A93,'Как будет'!CU$73:CU$80)</f>
        <v>0</v>
      </c>
      <c r="CU93">
        <f>SUMIF('Как будет'!$A$73:$A$80,Доп.расчеты!$A93,'Как будет'!CV$73:CV$80)</f>
        <v>0</v>
      </c>
      <c r="CV93">
        <f>SUMIF('Как будет'!$A$73:$A$80,Доп.расчеты!$A93,'Как будет'!CW$73:CW$80)</f>
        <v>0</v>
      </c>
      <c r="CW93">
        <f>SUMIF('Как будет'!$A$73:$A$80,Доп.расчеты!$A93,'Как будет'!CX$73:CX$80)</f>
        <v>0</v>
      </c>
      <c r="CX93">
        <f>SUMIF('Как будет'!$A$73:$A$80,Доп.расчеты!$A93,'Как будет'!CY$73:CY$80)</f>
        <v>0</v>
      </c>
      <c r="CY93">
        <f>SUMIF('Как будет'!$A$73:$A$80,Доп.расчеты!$A93,'Как будет'!CZ$73:CZ$80)</f>
        <v>0</v>
      </c>
      <c r="CZ93">
        <f>SUMIF('Как будет'!$A$73:$A$80,Доп.расчеты!$A93,'Как будет'!DA$73:DA$80)</f>
        <v>0</v>
      </c>
      <c r="DA93">
        <f>SUMIF('Как будет'!$A$73:$A$80,Доп.расчеты!$A93,'Как будет'!DB$73:DB$80)</f>
        <v>0</v>
      </c>
      <c r="DB93">
        <f>SUMIF('Как будет'!$A$73:$A$80,Доп.расчеты!$A93,'Как будет'!DC$73:DC$80)</f>
        <v>0</v>
      </c>
      <c r="DC93">
        <f>SUMIF('Как будет'!$A$73:$A$80,Доп.расчеты!$A93,'Как будет'!DD$73:DD$80)</f>
        <v>0</v>
      </c>
      <c r="DD93">
        <f>SUMIF('Как будет'!$A$73:$A$80,Доп.расчеты!$A93,'Как будет'!DE$73:DE$80)</f>
        <v>0</v>
      </c>
      <c r="DE93">
        <f>SUMIF('Как будет'!$A$73:$A$80,Доп.расчеты!$A93,'Как будет'!DF$73:DF$80)</f>
        <v>0</v>
      </c>
      <c r="DF93">
        <f>SUMIF('Как будет'!$A$73:$A$80,Доп.расчеты!$A93,'Как будет'!DG$73:DG$80)</f>
        <v>0</v>
      </c>
      <c r="DG93">
        <f>SUMIF('Как будет'!$A$73:$A$80,Доп.расчеты!$A93,'Как будет'!DH$73:DH$80)</f>
        <v>0</v>
      </c>
      <c r="DH93">
        <f>SUMIF('Как будет'!$A$73:$A$80,Доп.расчеты!$A93,'Как будет'!DI$73:DI$80)</f>
        <v>0</v>
      </c>
      <c r="DI93">
        <f>SUMIF('Как будет'!$A$73:$A$80,Доп.расчеты!$A93,'Как будет'!DJ$73:DJ$80)</f>
        <v>0</v>
      </c>
      <c r="DJ93">
        <f>SUMIF('Как будет'!$A$73:$A$80,Доп.расчеты!$A93,'Как будет'!DK$73:DK$80)</f>
        <v>0</v>
      </c>
      <c r="DK93">
        <f>SUMIF('Как будет'!$A$73:$A$80,Доп.расчеты!$A93,'Как будет'!DL$73:DL$80)</f>
        <v>0</v>
      </c>
      <c r="DL93">
        <f>SUMIF('Как будет'!$A$73:$A$80,Доп.расчеты!$A93,'Как будет'!DM$73:DM$80)</f>
        <v>0</v>
      </c>
      <c r="DM93">
        <f>SUMIF('Как будет'!$A$73:$A$80,Доп.расчеты!$A93,'Как будет'!DN$73:DN$80)</f>
        <v>0</v>
      </c>
      <c r="DN93">
        <f>SUMIF('Как будет'!$A$73:$A$80,Доп.расчеты!$A93,'Как будет'!DO$73:DO$80)</f>
        <v>0</v>
      </c>
      <c r="DO93">
        <f>SUMIF('Как будет'!$A$73:$A$80,Доп.расчеты!$A93,'Как будет'!DP$73:DP$80)</f>
        <v>0</v>
      </c>
      <c r="DP93">
        <f>SUMIF('Как будет'!$A$73:$A$80,Доп.расчеты!$A93,'Как будет'!DQ$73:DQ$80)</f>
        <v>0</v>
      </c>
      <c r="DQ93">
        <f>SUMIF('Как будет'!$A$73:$A$80,Доп.расчеты!$A93,'Как будет'!DR$73:DR$80)</f>
        <v>0</v>
      </c>
      <c r="DR93">
        <f>SUMIF('Как будет'!$A$73:$A$80,Доп.расчеты!$A93,'Как будет'!DS$73:DS$80)</f>
        <v>0</v>
      </c>
      <c r="DS93">
        <f>SUMIF('Как будет'!$A$73:$A$80,Доп.расчеты!$A93,'Как будет'!DT$73:DT$80)</f>
        <v>0</v>
      </c>
      <c r="DT93">
        <f>SUMIF('Как будет'!$A$73:$A$80,Доп.расчеты!$A93,'Как будет'!DU$73:DU$80)</f>
        <v>0</v>
      </c>
      <c r="DU93">
        <f>SUMIF('Как будет'!$A$73:$A$80,Доп.расчеты!$A93,'Как будет'!DV$73:DV$80)</f>
        <v>0</v>
      </c>
      <c r="DV93">
        <f>SUMIF('Как будет'!$A$73:$A$80,Доп.расчеты!$A93,'Как будет'!DW$73:DW$80)</f>
        <v>0</v>
      </c>
      <c r="DW93">
        <f>SUMIF('Как будет'!$A$73:$A$80,Доп.расчеты!$A93,'Как будет'!DX$73:DX$80)</f>
        <v>0</v>
      </c>
      <c r="DX93">
        <f>SUMIF('Как будет'!$A$73:$A$80,Доп.расчеты!$A93,'Как будет'!DY$73:DY$80)</f>
        <v>0</v>
      </c>
      <c r="DY93">
        <f>SUMIF('Как будет'!$A$73:$A$80,Доп.расчеты!$A93,'Как будет'!DZ$73:DZ$80)</f>
        <v>0</v>
      </c>
      <c r="DZ93">
        <f>SUMIF('Как будет'!$A$73:$A$80,Доп.расчеты!$A93,'Как будет'!EA$73:EA$80)</f>
        <v>0</v>
      </c>
      <c r="EA93">
        <f>SUMIF('Как будет'!$A$73:$A$80,Доп.расчеты!$A93,'Как будет'!EB$73:EB$80)</f>
        <v>0</v>
      </c>
      <c r="EB93">
        <f>SUMIF('Как будет'!$A$73:$A$80,Доп.расчеты!$A93,'Как будет'!EC$73:EC$80)</f>
        <v>0</v>
      </c>
      <c r="EC93">
        <f>SUMIF('Как будет'!$A$73:$A$80,Доп.расчеты!$A93,'Как будет'!ED$73:ED$80)</f>
        <v>0</v>
      </c>
      <c r="ED93">
        <f>SUMIF('Как будет'!$A$73:$A$80,Доп.расчеты!$A93,'Как будет'!EE$73:EE$80)</f>
        <v>0</v>
      </c>
      <c r="EE93">
        <f>SUMIF('Как будет'!$A$73:$A$80,Доп.расчеты!$A93,'Как будет'!EF$73:EF$80)</f>
        <v>0</v>
      </c>
      <c r="EF93">
        <f>SUMIF('Как будет'!$A$73:$A$80,Доп.расчеты!$A93,'Как будет'!EG$73:EG$80)</f>
        <v>0</v>
      </c>
      <c r="EG93">
        <f>SUMIF('Как будет'!$A$73:$A$80,Доп.расчеты!$A93,'Как будет'!EH$73:EH$80)</f>
        <v>0</v>
      </c>
      <c r="EH93">
        <f>SUMIF('Как будет'!$A$73:$A$80,Доп.расчеты!$A93,'Как будет'!EI$73:EI$80)</f>
        <v>0</v>
      </c>
      <c r="EI93">
        <f>SUMIF('Как будет'!$A$73:$A$80,Доп.расчеты!$A93,'Как будет'!EJ$73:EJ$80)</f>
        <v>0</v>
      </c>
      <c r="EJ93">
        <f>SUMIF('Как будет'!$A$73:$A$80,Доп.расчеты!$A93,'Как будет'!EK$73:EK$80)</f>
        <v>0</v>
      </c>
      <c r="EK93">
        <f>SUMIF('Как будет'!$A$73:$A$80,Доп.расчеты!$A93,'Как будет'!EL$73:EL$80)</f>
        <v>0</v>
      </c>
      <c r="EL93">
        <f>SUMIF('Как будет'!$A$73:$A$80,Доп.расчеты!$A93,'Как будет'!EM$73:EM$80)</f>
        <v>0</v>
      </c>
      <c r="EM93">
        <f>SUMIF('Как будет'!$A$73:$A$80,Доп.расчеты!$A93,'Как будет'!EN$73:EN$80)</f>
        <v>0</v>
      </c>
      <c r="EN93">
        <f>SUMIF('Как будет'!$A$73:$A$80,Доп.расчеты!$A93,'Как будет'!EO$73:EO$80)</f>
        <v>0</v>
      </c>
      <c r="EO93">
        <f>SUMIF('Как будет'!$A$73:$A$80,Доп.расчеты!$A93,'Как будет'!EP$73:EP$80)</f>
        <v>0</v>
      </c>
      <c r="EP93">
        <f>SUMIF('Как будет'!$A$73:$A$80,Доп.расчеты!$A93,'Как будет'!EQ$73:EQ$80)</f>
        <v>0</v>
      </c>
      <c r="EQ93">
        <f>SUMIF('Как будет'!$A$73:$A$80,Доп.расчеты!$A93,'Как будет'!ER$73:ER$80)</f>
        <v>0</v>
      </c>
      <c r="ER93">
        <f>SUMIF('Как будет'!$A$73:$A$80,Доп.расчеты!$A93,'Как будет'!ES$73:ES$80)</f>
        <v>0</v>
      </c>
      <c r="ES93">
        <f>SUMIF('Как будет'!$A$73:$A$80,Доп.расчеты!$A93,'Как будет'!ET$73:ET$80)</f>
        <v>0</v>
      </c>
      <c r="ET93">
        <f>SUMIF('Как будет'!$A$73:$A$80,Доп.расчеты!$A93,'Как будет'!EU$73:EU$80)</f>
        <v>0</v>
      </c>
      <c r="EU93">
        <f>SUMIF('Как будет'!$A$73:$A$80,Доп.расчеты!$A93,'Как будет'!EV$73:EV$80)</f>
        <v>0</v>
      </c>
      <c r="EV93">
        <f>SUMIF('Как будет'!$A$73:$A$80,Доп.расчеты!$A93,'Как будет'!EW$73:EW$80)</f>
        <v>0</v>
      </c>
      <c r="EW93">
        <f>SUMIF('Как будет'!$A$73:$A$80,Доп.расчеты!$A93,'Как будет'!EX$73:EX$80)</f>
        <v>0</v>
      </c>
      <c r="EX93">
        <f>SUMIF('Как будет'!$A$73:$A$80,Доп.расчеты!$A93,'Как будет'!EY$73:EY$80)</f>
        <v>0</v>
      </c>
      <c r="EY93">
        <f>SUMIF('Как будет'!$A$73:$A$80,Доп.расчеты!$A93,'Как будет'!EZ$73:EZ$80)</f>
        <v>0</v>
      </c>
      <c r="EZ93">
        <f>SUMIF('Как будет'!$A$73:$A$80,Доп.расчеты!$A93,'Как будет'!FA$73:FA$80)</f>
        <v>0</v>
      </c>
      <c r="FA93">
        <f>SUMIF('Как будет'!$A$73:$A$80,Доп.расчеты!$A93,'Как будет'!FB$73:FB$80)</f>
        <v>0</v>
      </c>
      <c r="FB93">
        <f>SUMIF('Как будет'!$A$73:$A$80,Доп.расчеты!$A93,'Как будет'!FC$73:FC$80)</f>
        <v>0</v>
      </c>
      <c r="FC93">
        <f>SUMIF('Как будет'!$A$73:$A$80,Доп.расчеты!$A93,'Как будет'!FD$73:FD$80)</f>
        <v>0</v>
      </c>
      <c r="FD93">
        <f>SUMIF('Как будет'!$A$73:$A$80,Доп.расчеты!$A93,'Как будет'!FE$73:FE$80)</f>
        <v>0</v>
      </c>
      <c r="FE93">
        <f>SUMIF('Как будет'!$A$73:$A$80,Доп.расчеты!$A93,'Как будет'!FF$73:FF$80)</f>
        <v>0</v>
      </c>
      <c r="FF93">
        <f>SUMIF('Как будет'!$A$73:$A$80,Доп.расчеты!$A93,'Как будет'!FG$73:FG$80)</f>
        <v>0</v>
      </c>
      <c r="FG93">
        <f>SUMIF('Как будет'!$A$73:$A$80,Доп.расчеты!$A93,'Как будет'!FH$73:FH$80)</f>
        <v>0</v>
      </c>
      <c r="FH93">
        <f>SUMIF('Как будет'!$A$73:$A$80,Доп.расчеты!$A93,'Как будет'!FI$73:FI$80)</f>
        <v>0</v>
      </c>
      <c r="FI93">
        <f>SUMIF('Как будет'!$A$73:$A$80,Доп.расчеты!$A93,'Как будет'!FJ$73:FJ$80)</f>
        <v>0</v>
      </c>
      <c r="FJ93">
        <f>SUMIF('Как будет'!$A$73:$A$80,Доп.расчеты!$A93,'Как будет'!FK$73:FK$80)</f>
        <v>0</v>
      </c>
      <c r="FK93">
        <f>SUMIF('Как будет'!$A$73:$A$80,Доп.расчеты!$A93,'Как будет'!FL$73:FL$80)</f>
        <v>0</v>
      </c>
      <c r="FL93">
        <f>SUMIF('Как будет'!$A$73:$A$80,Доп.расчеты!$A93,'Как будет'!FM$73:FM$80)</f>
        <v>0</v>
      </c>
      <c r="FM93">
        <f>SUMIF('Как будет'!$A$73:$A$80,Доп.расчеты!$A93,'Как будет'!FN$73:FN$80)</f>
        <v>0</v>
      </c>
      <c r="FN93">
        <f>SUMIF('Как будет'!$A$73:$A$80,Доп.расчеты!$A93,'Как будет'!FO$73:FO$80)</f>
        <v>0</v>
      </c>
      <c r="FO93">
        <f>SUMIF('Как будет'!$A$73:$A$80,Доп.расчеты!$A93,'Как будет'!FP$73:FP$80)</f>
        <v>0</v>
      </c>
      <c r="FP93">
        <f>SUMIF('Как будет'!$A$73:$A$80,Доп.расчеты!$A93,'Как будет'!FQ$73:FQ$80)</f>
        <v>0</v>
      </c>
      <c r="FQ93">
        <f>SUMIF('Как будет'!$A$73:$A$80,Доп.расчеты!$A93,'Как будет'!FR$73:FR$80)</f>
        <v>0</v>
      </c>
      <c r="FR93">
        <f>SUMIF('Как будет'!$A$73:$A$80,Доп.расчеты!$A93,'Как будет'!FS$73:FS$80)</f>
        <v>0</v>
      </c>
      <c r="FS93">
        <f>SUMIF('Как будет'!$A$73:$A$80,Доп.расчеты!$A93,'Как будет'!FT$73:FT$80)</f>
        <v>0</v>
      </c>
      <c r="FT93">
        <f>SUMIF('Как будет'!$A$73:$A$80,Доп.расчеты!$A93,'Как будет'!FU$73:FU$80)</f>
        <v>0</v>
      </c>
      <c r="FU93">
        <f>SUMIF('Как будет'!$A$73:$A$80,Доп.расчеты!$A93,'Как будет'!FV$73:FV$80)</f>
        <v>0</v>
      </c>
      <c r="FV93">
        <f>SUMIF('Как будет'!$A$73:$A$80,Доп.расчеты!$A93,'Как будет'!FW$73:FW$80)</f>
        <v>0</v>
      </c>
      <c r="FW93">
        <f>SUMIF('Как будет'!$A$73:$A$80,Доп.расчеты!$A93,'Как будет'!FX$73:FX$80)</f>
        <v>0</v>
      </c>
      <c r="FX93">
        <f>SUMIF('Как будет'!$A$73:$A$80,Доп.расчеты!$A93,'Как будет'!FY$73:FY$80)</f>
        <v>0</v>
      </c>
      <c r="FY93">
        <f>SUMIF('Как будет'!$A$73:$A$80,Доп.расчеты!$A93,'Как будет'!FZ$73:FZ$80)</f>
        <v>0</v>
      </c>
      <c r="FZ93">
        <f>SUMIF('Как будет'!$A$73:$A$80,Доп.расчеты!$A93,'Как будет'!GA$73:GA$80)</f>
        <v>0</v>
      </c>
      <c r="GA93">
        <f>SUMIF('Как будет'!$A$73:$A$80,Доп.расчеты!$A93,'Как будет'!GB$73:GB$80)</f>
        <v>0</v>
      </c>
      <c r="GB93">
        <f>SUMIF('Как будет'!$A$73:$A$80,Доп.расчеты!$A93,'Как будет'!GC$73:GC$80)</f>
        <v>0</v>
      </c>
      <c r="GC93">
        <f>SUMIF('Как будет'!$A$73:$A$80,Доп.расчеты!$A93,'Как будет'!GD$73:GD$80)</f>
        <v>0</v>
      </c>
      <c r="GD93">
        <f>SUMIF('Как будет'!$A$73:$A$80,Доп.расчеты!$A93,'Как будет'!GE$73:GE$80)</f>
        <v>0</v>
      </c>
      <c r="GE93">
        <f>SUMIF('Как будет'!$A$73:$A$80,Доп.расчеты!$A93,'Как будет'!GF$73:GF$80)</f>
        <v>0</v>
      </c>
      <c r="GF93">
        <f>SUMIF('Как будет'!$A$73:$A$80,Доп.расчеты!$A93,'Как будет'!GG$73:GG$80)</f>
        <v>0</v>
      </c>
      <c r="GG93">
        <f>SUMIF('Как будет'!$A$73:$A$80,Доп.расчеты!$A93,'Как будет'!GH$73:GH$80)</f>
        <v>0</v>
      </c>
      <c r="GH93">
        <f>SUMIF('Как будет'!$A$73:$A$80,Доп.расчеты!$A93,'Как будет'!GI$73:GI$80)</f>
        <v>0</v>
      </c>
      <c r="GI93">
        <f>SUMIF('Как будет'!$A$73:$A$80,Доп.расчеты!$A93,'Как будет'!GJ$73:GJ$80)</f>
        <v>0</v>
      </c>
      <c r="GJ93">
        <f>SUMIF('Как будет'!$A$73:$A$80,Доп.расчеты!$A93,'Как будет'!GK$73:GK$80)</f>
        <v>0</v>
      </c>
      <c r="GK93">
        <f>SUMIF('Как будет'!$A$73:$A$80,Доп.расчеты!$A93,'Как будет'!GL$73:GL$80)</f>
        <v>0</v>
      </c>
      <c r="GL93">
        <f>SUMIF('Как будет'!$A$73:$A$80,Доп.расчеты!$A93,'Как будет'!GM$73:GM$80)</f>
        <v>0</v>
      </c>
      <c r="GM93">
        <f>SUMIF('Как будет'!$A$73:$A$80,Доп.расчеты!$A93,'Как будет'!GN$73:GN$80)</f>
        <v>0</v>
      </c>
      <c r="GN93">
        <f>SUMIF('Как будет'!$A$73:$A$80,Доп.расчеты!$A93,'Как будет'!GO$73:GO$80)</f>
        <v>0</v>
      </c>
      <c r="GO93">
        <f>SUMIF('Как будет'!$A$73:$A$80,Доп.расчеты!$A93,'Как будет'!GP$73:GP$80)</f>
        <v>0</v>
      </c>
      <c r="GP93">
        <f>SUMIF('Как будет'!$A$73:$A$80,Доп.расчеты!$A93,'Как будет'!GQ$73:GQ$80)</f>
        <v>0</v>
      </c>
      <c r="GQ93">
        <f>SUMIF('Как будет'!$A$73:$A$80,Доп.расчеты!$A93,'Как будет'!GR$73:GR$80)</f>
        <v>0</v>
      </c>
      <c r="GR93">
        <f>SUMIF('Как будет'!$A$73:$A$80,Доп.расчеты!$A93,'Как будет'!GS$73:GS$80)</f>
        <v>0</v>
      </c>
      <c r="GS93">
        <f>SUMIF('Как будет'!$A$73:$A$80,Доп.расчеты!$A93,'Как будет'!GT$73:GT$80)</f>
        <v>0</v>
      </c>
      <c r="GT93">
        <f>SUMIF('Как будет'!$A$73:$A$80,Доп.расчеты!$A93,'Как будет'!GU$73:GU$80)</f>
        <v>0</v>
      </c>
    </row>
    <row r="94" spans="1:202">
      <c r="A94" s="237" t="s">
        <v>102</v>
      </c>
      <c r="B94">
        <f>SUMIF('Как будет'!$A$73:$A$80,Доп.расчеты!$A94,'Как будет'!C$73:C$80)</f>
        <v>0</v>
      </c>
      <c r="C94">
        <f>SUMIF('Как будет'!$A$73:$A$80,Доп.расчеты!$A94,'Как будет'!D$73:D$80)</f>
        <v>0</v>
      </c>
      <c r="D94">
        <f>SUMIF('Как будет'!$A$73:$A$80,Доп.расчеты!$A94,'Как будет'!E$73:E$80)</f>
        <v>0</v>
      </c>
      <c r="E94">
        <f>SUMIF('Как будет'!$A$73:$A$80,Доп.расчеты!$A94,'Как будет'!F$73:F$80)</f>
        <v>0</v>
      </c>
      <c r="F94">
        <f>SUMIF('Как будет'!$A$73:$A$80,Доп.расчеты!$A94,'Как будет'!G$73:G$80)</f>
        <v>0</v>
      </c>
      <c r="G94">
        <f>SUMIF('Как будет'!$A$73:$A$80,Доп.расчеты!$A94,'Как будет'!H$73:H$80)</f>
        <v>0</v>
      </c>
      <c r="H94">
        <f>SUMIF('Как будет'!$A$73:$A$80,Доп.расчеты!$A94,'Как будет'!I$73:I$80)</f>
        <v>0</v>
      </c>
      <c r="I94">
        <f>SUMIF('Как будет'!$A$73:$A$80,Доп.расчеты!$A94,'Как будет'!J$73:J$80)</f>
        <v>0</v>
      </c>
      <c r="J94">
        <f>SUMIF('Как будет'!$A$73:$A$80,Доп.расчеты!$A94,'Как будет'!K$73:K$80)</f>
        <v>0</v>
      </c>
      <c r="K94">
        <f>SUMIF('Как будет'!$A$73:$A$80,Доп.расчеты!$A94,'Как будет'!L$73:L$80)</f>
        <v>0</v>
      </c>
      <c r="L94">
        <f>SUMIF('Как будет'!$A$73:$A$80,Доп.расчеты!$A94,'Как будет'!M$73:M$80)</f>
        <v>0</v>
      </c>
      <c r="M94">
        <f>SUMIF('Как будет'!$A$73:$A$80,Доп.расчеты!$A94,'Как будет'!N$73:N$80)</f>
        <v>0</v>
      </c>
      <c r="N94">
        <f>SUMIF('Как будет'!$A$73:$A$80,Доп.расчеты!$A94,'Как будет'!O$73:O$80)</f>
        <v>0</v>
      </c>
      <c r="O94">
        <f>SUMIF('Как будет'!$A$73:$A$80,Доп.расчеты!$A94,'Как будет'!P$73:P$80)</f>
        <v>0</v>
      </c>
      <c r="P94">
        <f>SUMIF('Как будет'!$A$73:$A$80,Доп.расчеты!$A94,'Как будет'!Q$73:Q$80)</f>
        <v>0</v>
      </c>
      <c r="Q94">
        <f>SUMIF('Как будет'!$A$73:$A$80,Доп.расчеты!$A94,'Как будет'!R$73:R$80)</f>
        <v>0</v>
      </c>
      <c r="R94">
        <f>SUMIF('Как будет'!$A$73:$A$80,Доп.расчеты!$A94,'Как будет'!S$73:S$80)</f>
        <v>0</v>
      </c>
      <c r="S94">
        <f>SUMIF('Как будет'!$A$73:$A$80,Доп.расчеты!$A94,'Как будет'!T$73:T$80)</f>
        <v>0</v>
      </c>
      <c r="T94">
        <f>SUMIF('Как будет'!$A$73:$A$80,Доп.расчеты!$A94,'Как будет'!U$73:U$80)</f>
        <v>0</v>
      </c>
      <c r="U94">
        <f>SUMIF('Как будет'!$A$73:$A$80,Доп.расчеты!$A94,'Как будет'!V$73:V$80)</f>
        <v>0</v>
      </c>
      <c r="V94">
        <f>SUMIF('Как будет'!$A$73:$A$80,Доп.расчеты!$A94,'Как будет'!W$73:W$80)</f>
        <v>0</v>
      </c>
      <c r="W94">
        <f>SUMIF('Как будет'!$A$73:$A$80,Доп.расчеты!$A94,'Как будет'!X$73:X$80)</f>
        <v>0</v>
      </c>
      <c r="X94">
        <f>SUMIF('Как будет'!$A$73:$A$80,Доп.расчеты!$A94,'Как будет'!Y$73:Y$80)</f>
        <v>0</v>
      </c>
      <c r="Y94">
        <f>SUMIF('Как будет'!$A$73:$A$80,Доп.расчеты!$A94,'Как будет'!Z$73:Z$80)</f>
        <v>0</v>
      </c>
      <c r="Z94">
        <f>SUMIF('Как будет'!$A$73:$A$80,Доп.расчеты!$A94,'Как будет'!AA$73:AA$80)</f>
        <v>0</v>
      </c>
      <c r="AA94">
        <f>SUMIF('Как будет'!$A$73:$A$80,Доп.расчеты!$A94,'Как будет'!AB$73:AB$80)</f>
        <v>0</v>
      </c>
      <c r="AB94">
        <f>SUMIF('Как будет'!$A$73:$A$80,Доп.расчеты!$A94,'Как будет'!AC$73:AC$80)</f>
        <v>0</v>
      </c>
      <c r="AC94">
        <f>SUMIF('Как будет'!$A$73:$A$80,Доп.расчеты!$A94,'Как будет'!AD$73:AD$80)</f>
        <v>0</v>
      </c>
      <c r="AD94">
        <f>SUMIF('Как будет'!$A$73:$A$80,Доп.расчеты!$A94,'Как будет'!AE$73:AE$80)</f>
        <v>0</v>
      </c>
      <c r="AE94">
        <f>SUMIF('Как будет'!$A$73:$A$80,Доп.расчеты!$A94,'Как будет'!AF$73:AF$80)</f>
        <v>0</v>
      </c>
      <c r="AF94">
        <f>SUMIF('Как будет'!$A$73:$A$80,Доп.расчеты!$A94,'Как будет'!AG$73:AG$80)</f>
        <v>0</v>
      </c>
      <c r="AG94">
        <f>SUMIF('Как будет'!$A$73:$A$80,Доп.расчеты!$A94,'Как будет'!AH$73:AH$80)</f>
        <v>0</v>
      </c>
      <c r="AH94">
        <f>SUMIF('Как будет'!$A$73:$A$80,Доп.расчеты!$A94,'Как будет'!AI$73:AI$80)</f>
        <v>0</v>
      </c>
      <c r="AI94">
        <f>SUMIF('Как будет'!$A$73:$A$80,Доп.расчеты!$A94,'Как будет'!AJ$73:AJ$80)</f>
        <v>0</v>
      </c>
      <c r="AJ94">
        <f>SUMIF('Как будет'!$A$73:$A$80,Доп.расчеты!$A94,'Как будет'!AK$73:AK$80)</f>
        <v>0</v>
      </c>
      <c r="AK94">
        <f>SUMIF('Как будет'!$A$73:$A$80,Доп.расчеты!$A94,'Как будет'!AL$73:AL$80)</f>
        <v>0</v>
      </c>
      <c r="AL94">
        <f>SUMIF('Как будет'!$A$73:$A$80,Доп.расчеты!$A94,'Как будет'!AM$73:AM$80)</f>
        <v>0</v>
      </c>
      <c r="AM94">
        <f>SUMIF('Как будет'!$A$73:$A$80,Доп.расчеты!$A94,'Как будет'!AN$73:AN$80)</f>
        <v>0</v>
      </c>
      <c r="AN94">
        <f>SUMIF('Как будет'!$A$73:$A$80,Доп.расчеты!$A94,'Как будет'!AO$73:AO$80)</f>
        <v>0</v>
      </c>
      <c r="AO94">
        <f>SUMIF('Как будет'!$A$73:$A$80,Доп.расчеты!$A94,'Как будет'!AP$73:AP$80)</f>
        <v>0</v>
      </c>
      <c r="AP94">
        <f>SUMIF('Как будет'!$A$73:$A$80,Доп.расчеты!$A94,'Как будет'!AQ$73:AQ$80)</f>
        <v>0</v>
      </c>
      <c r="AQ94">
        <f>SUMIF('Как будет'!$A$73:$A$80,Доп.расчеты!$A94,'Как будет'!AR$73:AR$80)</f>
        <v>0</v>
      </c>
      <c r="AR94">
        <f>SUMIF('Как будет'!$A$73:$A$80,Доп.расчеты!$A94,'Как будет'!AS$73:AS$80)</f>
        <v>0</v>
      </c>
      <c r="AS94">
        <f>SUMIF('Как будет'!$A$73:$A$80,Доп.расчеты!$A94,'Как будет'!AT$73:AT$80)</f>
        <v>0</v>
      </c>
      <c r="AT94">
        <f>SUMIF('Как будет'!$A$73:$A$80,Доп.расчеты!$A94,'Как будет'!AU$73:AU$80)</f>
        <v>0</v>
      </c>
      <c r="AU94">
        <f>SUMIF('Как будет'!$A$73:$A$80,Доп.расчеты!$A94,'Как будет'!AV$73:AV$80)</f>
        <v>0</v>
      </c>
      <c r="AV94">
        <f>SUMIF('Как будет'!$A$73:$A$80,Доп.расчеты!$A94,'Как будет'!AW$73:AW$80)</f>
        <v>0</v>
      </c>
      <c r="AW94">
        <f>SUMIF('Как будет'!$A$73:$A$80,Доп.расчеты!$A94,'Как будет'!AX$73:AX$80)</f>
        <v>0</v>
      </c>
      <c r="AX94">
        <f>SUMIF('Как будет'!$A$73:$A$80,Доп.расчеты!$A94,'Как будет'!AY$73:AY$80)</f>
        <v>0</v>
      </c>
      <c r="AY94">
        <f>SUMIF('Как будет'!$A$73:$A$80,Доп.расчеты!$A94,'Как будет'!AZ$73:AZ$80)</f>
        <v>0</v>
      </c>
      <c r="AZ94">
        <f>SUMIF('Как будет'!$A$73:$A$80,Доп.расчеты!$A94,'Как будет'!BA$73:BA$80)</f>
        <v>0</v>
      </c>
      <c r="BA94">
        <f>SUMIF('Как будет'!$A$73:$A$80,Доп.расчеты!$A94,'Как будет'!BB$73:BB$80)</f>
        <v>0</v>
      </c>
      <c r="BB94">
        <f>SUMIF('Как будет'!$A$73:$A$80,Доп.расчеты!$A94,'Как будет'!BC$73:BC$80)</f>
        <v>0</v>
      </c>
      <c r="BC94">
        <f>SUMIF('Как будет'!$A$73:$A$80,Доп.расчеты!$A94,'Как будет'!BD$73:BD$80)</f>
        <v>0</v>
      </c>
      <c r="BD94">
        <f>SUMIF('Как будет'!$A$73:$A$80,Доп.расчеты!$A94,'Как будет'!BE$73:BE$80)</f>
        <v>0</v>
      </c>
      <c r="BE94">
        <f>SUMIF('Как будет'!$A$73:$A$80,Доп.расчеты!$A94,'Как будет'!BF$73:BF$80)</f>
        <v>0</v>
      </c>
      <c r="BF94">
        <f>SUMIF('Как будет'!$A$73:$A$80,Доп.расчеты!$A94,'Как будет'!BG$73:BG$80)</f>
        <v>0</v>
      </c>
      <c r="BG94">
        <f>SUMIF('Как будет'!$A$73:$A$80,Доп.расчеты!$A94,'Как будет'!BH$73:BH$80)</f>
        <v>0</v>
      </c>
      <c r="BH94">
        <f>SUMIF('Как будет'!$A$73:$A$80,Доп.расчеты!$A94,'Как будет'!BI$73:BI$80)</f>
        <v>0</v>
      </c>
      <c r="BI94">
        <f>SUMIF('Как будет'!$A$73:$A$80,Доп.расчеты!$A94,'Как будет'!BJ$73:BJ$80)</f>
        <v>0</v>
      </c>
      <c r="BJ94">
        <f>SUMIF('Как будет'!$A$73:$A$80,Доп.расчеты!$A94,'Как будет'!BK$73:BK$80)</f>
        <v>0</v>
      </c>
      <c r="BK94">
        <f>SUMIF('Как будет'!$A$73:$A$80,Доп.расчеты!$A94,'Как будет'!BL$73:BL$80)</f>
        <v>0</v>
      </c>
      <c r="BL94">
        <f>SUMIF('Как будет'!$A$73:$A$80,Доп.расчеты!$A94,'Как будет'!BM$73:BM$80)</f>
        <v>0</v>
      </c>
      <c r="BM94">
        <f>SUMIF('Как будет'!$A$73:$A$80,Доп.расчеты!$A94,'Как будет'!BN$73:BN$80)</f>
        <v>0</v>
      </c>
      <c r="BN94">
        <f>SUMIF('Как будет'!$A$73:$A$80,Доп.расчеты!$A94,'Как будет'!BO$73:BO$80)</f>
        <v>0</v>
      </c>
      <c r="BO94">
        <f>SUMIF('Как будет'!$A$73:$A$80,Доп.расчеты!$A94,'Как будет'!BP$73:BP$80)</f>
        <v>0</v>
      </c>
      <c r="BP94">
        <f>SUMIF('Как будет'!$A$73:$A$80,Доп.расчеты!$A94,'Как будет'!BQ$73:BQ$80)</f>
        <v>0</v>
      </c>
      <c r="BQ94">
        <f>SUMIF('Как будет'!$A$73:$A$80,Доп.расчеты!$A94,'Как будет'!BR$73:BR$80)</f>
        <v>0</v>
      </c>
      <c r="BR94">
        <f>SUMIF('Как будет'!$A$73:$A$80,Доп.расчеты!$A94,'Как будет'!BS$73:BS$80)</f>
        <v>0</v>
      </c>
      <c r="BS94">
        <f>SUMIF('Как будет'!$A$73:$A$80,Доп.расчеты!$A94,'Как будет'!BT$73:BT$80)</f>
        <v>0</v>
      </c>
      <c r="BT94">
        <f>SUMIF('Как будет'!$A$73:$A$80,Доп.расчеты!$A94,'Как будет'!BU$73:BU$80)</f>
        <v>0</v>
      </c>
      <c r="BU94">
        <f>SUMIF('Как будет'!$A$73:$A$80,Доп.расчеты!$A94,'Как будет'!BV$73:BV$80)</f>
        <v>0</v>
      </c>
      <c r="BV94">
        <f>SUMIF('Как будет'!$A$73:$A$80,Доп.расчеты!$A94,'Как будет'!BW$73:BW$80)</f>
        <v>0</v>
      </c>
      <c r="BW94">
        <f>SUMIF('Как будет'!$A$73:$A$80,Доп.расчеты!$A94,'Как будет'!BX$73:BX$80)</f>
        <v>0</v>
      </c>
      <c r="BX94">
        <f>SUMIF('Как будет'!$A$73:$A$80,Доп.расчеты!$A94,'Как будет'!BY$73:BY$80)</f>
        <v>0</v>
      </c>
      <c r="BY94">
        <f>SUMIF('Как будет'!$A$73:$A$80,Доп.расчеты!$A94,'Как будет'!BZ$73:BZ$80)</f>
        <v>0</v>
      </c>
      <c r="BZ94">
        <f>SUMIF('Как будет'!$A$73:$A$80,Доп.расчеты!$A94,'Как будет'!CA$73:CA$80)</f>
        <v>0</v>
      </c>
      <c r="CA94">
        <f>SUMIF('Как будет'!$A$73:$A$80,Доп.расчеты!$A94,'Как будет'!CB$73:CB$80)</f>
        <v>0</v>
      </c>
      <c r="CB94">
        <f>SUMIF('Как будет'!$A$73:$A$80,Доп.расчеты!$A94,'Как будет'!CC$73:CC$80)</f>
        <v>0</v>
      </c>
      <c r="CC94">
        <f>SUMIF('Как будет'!$A$73:$A$80,Доп.расчеты!$A94,'Как будет'!CD$73:CD$80)</f>
        <v>0</v>
      </c>
      <c r="CD94">
        <f>SUMIF('Как будет'!$A$73:$A$80,Доп.расчеты!$A94,'Как будет'!CE$73:CE$80)</f>
        <v>0</v>
      </c>
      <c r="CE94">
        <f>SUMIF('Как будет'!$A$73:$A$80,Доп.расчеты!$A94,'Как будет'!CF$73:CF$80)</f>
        <v>0</v>
      </c>
      <c r="CF94">
        <f>SUMIF('Как будет'!$A$73:$A$80,Доп.расчеты!$A94,'Как будет'!CG$73:CG$80)</f>
        <v>0</v>
      </c>
      <c r="CG94">
        <f>SUMIF('Как будет'!$A$73:$A$80,Доп.расчеты!$A94,'Как будет'!CH$73:CH$80)</f>
        <v>0</v>
      </c>
      <c r="CH94">
        <f>SUMIF('Как будет'!$A$73:$A$80,Доп.расчеты!$A94,'Как будет'!CI$73:CI$80)</f>
        <v>0</v>
      </c>
      <c r="CI94">
        <f>SUMIF('Как будет'!$A$73:$A$80,Доп.расчеты!$A94,'Как будет'!CJ$73:CJ$80)</f>
        <v>0</v>
      </c>
      <c r="CJ94">
        <f>SUMIF('Как будет'!$A$73:$A$80,Доп.расчеты!$A94,'Как будет'!CK$73:CK$80)</f>
        <v>0</v>
      </c>
      <c r="CK94">
        <f>SUMIF('Как будет'!$A$73:$A$80,Доп.расчеты!$A94,'Как будет'!CL$73:CL$80)</f>
        <v>0</v>
      </c>
      <c r="CL94">
        <f>SUMIF('Как будет'!$A$73:$A$80,Доп.расчеты!$A94,'Как будет'!CM$73:CM$80)</f>
        <v>0</v>
      </c>
      <c r="CM94">
        <f>SUMIF('Как будет'!$A$73:$A$80,Доп.расчеты!$A94,'Как будет'!CN$73:CN$80)</f>
        <v>0</v>
      </c>
      <c r="CN94">
        <f>SUMIF('Как будет'!$A$73:$A$80,Доп.расчеты!$A94,'Как будет'!CO$73:CO$80)</f>
        <v>0</v>
      </c>
      <c r="CO94">
        <f>SUMIF('Как будет'!$A$73:$A$80,Доп.расчеты!$A94,'Как будет'!CP$73:CP$80)</f>
        <v>0</v>
      </c>
      <c r="CP94">
        <f>SUMIF('Как будет'!$A$73:$A$80,Доп.расчеты!$A94,'Как будет'!CQ$73:CQ$80)</f>
        <v>0</v>
      </c>
      <c r="CQ94">
        <f>SUMIF('Как будет'!$A$73:$A$80,Доп.расчеты!$A94,'Как будет'!CR$73:CR$80)</f>
        <v>0</v>
      </c>
      <c r="CR94">
        <f>SUMIF('Как будет'!$A$73:$A$80,Доп.расчеты!$A94,'Как будет'!CS$73:CS$80)</f>
        <v>0</v>
      </c>
      <c r="CS94">
        <f>SUMIF('Как будет'!$A$73:$A$80,Доп.расчеты!$A94,'Как будет'!CT$73:CT$80)</f>
        <v>0</v>
      </c>
      <c r="CT94">
        <f>SUMIF('Как будет'!$A$73:$A$80,Доп.расчеты!$A94,'Как будет'!CU$73:CU$80)</f>
        <v>0</v>
      </c>
      <c r="CU94">
        <f>SUMIF('Как будет'!$A$73:$A$80,Доп.расчеты!$A94,'Как будет'!CV$73:CV$80)</f>
        <v>0</v>
      </c>
      <c r="CV94">
        <f>SUMIF('Как будет'!$A$73:$A$80,Доп.расчеты!$A94,'Как будет'!CW$73:CW$80)</f>
        <v>0</v>
      </c>
      <c r="CW94">
        <f>SUMIF('Как будет'!$A$73:$A$80,Доп.расчеты!$A94,'Как будет'!CX$73:CX$80)</f>
        <v>0</v>
      </c>
      <c r="CX94">
        <f>SUMIF('Как будет'!$A$73:$A$80,Доп.расчеты!$A94,'Как будет'!CY$73:CY$80)</f>
        <v>0</v>
      </c>
      <c r="CY94">
        <f>SUMIF('Как будет'!$A$73:$A$80,Доп.расчеты!$A94,'Как будет'!CZ$73:CZ$80)</f>
        <v>0</v>
      </c>
      <c r="CZ94">
        <f>SUMIF('Как будет'!$A$73:$A$80,Доп.расчеты!$A94,'Как будет'!DA$73:DA$80)</f>
        <v>0</v>
      </c>
      <c r="DA94">
        <f>SUMIF('Как будет'!$A$73:$A$80,Доп.расчеты!$A94,'Как будет'!DB$73:DB$80)</f>
        <v>0</v>
      </c>
      <c r="DB94">
        <f>SUMIF('Как будет'!$A$73:$A$80,Доп.расчеты!$A94,'Как будет'!DC$73:DC$80)</f>
        <v>0</v>
      </c>
      <c r="DC94">
        <f>SUMIF('Как будет'!$A$73:$A$80,Доп.расчеты!$A94,'Как будет'!DD$73:DD$80)</f>
        <v>0</v>
      </c>
      <c r="DD94">
        <f>SUMIF('Как будет'!$A$73:$A$80,Доп.расчеты!$A94,'Как будет'!DE$73:DE$80)</f>
        <v>0</v>
      </c>
      <c r="DE94">
        <f>SUMIF('Как будет'!$A$73:$A$80,Доп.расчеты!$A94,'Как будет'!DF$73:DF$80)</f>
        <v>0</v>
      </c>
      <c r="DF94">
        <f>SUMIF('Как будет'!$A$73:$A$80,Доп.расчеты!$A94,'Как будет'!DG$73:DG$80)</f>
        <v>0</v>
      </c>
      <c r="DG94">
        <f>SUMIF('Как будет'!$A$73:$A$80,Доп.расчеты!$A94,'Как будет'!DH$73:DH$80)</f>
        <v>0</v>
      </c>
      <c r="DH94">
        <f>SUMIF('Как будет'!$A$73:$A$80,Доп.расчеты!$A94,'Как будет'!DI$73:DI$80)</f>
        <v>0</v>
      </c>
      <c r="DI94">
        <f>SUMIF('Как будет'!$A$73:$A$80,Доп.расчеты!$A94,'Как будет'!DJ$73:DJ$80)</f>
        <v>0</v>
      </c>
      <c r="DJ94">
        <f>SUMIF('Как будет'!$A$73:$A$80,Доп.расчеты!$A94,'Как будет'!DK$73:DK$80)</f>
        <v>0</v>
      </c>
      <c r="DK94">
        <f>SUMIF('Как будет'!$A$73:$A$80,Доп.расчеты!$A94,'Как будет'!DL$73:DL$80)</f>
        <v>0</v>
      </c>
      <c r="DL94">
        <f>SUMIF('Как будет'!$A$73:$A$80,Доп.расчеты!$A94,'Как будет'!DM$73:DM$80)</f>
        <v>0</v>
      </c>
      <c r="DM94">
        <f>SUMIF('Как будет'!$A$73:$A$80,Доп.расчеты!$A94,'Как будет'!DN$73:DN$80)</f>
        <v>0</v>
      </c>
      <c r="DN94">
        <f>SUMIF('Как будет'!$A$73:$A$80,Доп.расчеты!$A94,'Как будет'!DO$73:DO$80)</f>
        <v>0</v>
      </c>
      <c r="DO94">
        <f>SUMIF('Как будет'!$A$73:$A$80,Доп.расчеты!$A94,'Как будет'!DP$73:DP$80)</f>
        <v>0</v>
      </c>
      <c r="DP94">
        <f>SUMIF('Как будет'!$A$73:$A$80,Доп.расчеты!$A94,'Как будет'!DQ$73:DQ$80)</f>
        <v>0</v>
      </c>
      <c r="DQ94">
        <f>SUMIF('Как будет'!$A$73:$A$80,Доп.расчеты!$A94,'Как будет'!DR$73:DR$80)</f>
        <v>0</v>
      </c>
      <c r="DR94">
        <f>SUMIF('Как будет'!$A$73:$A$80,Доп.расчеты!$A94,'Как будет'!DS$73:DS$80)</f>
        <v>0</v>
      </c>
      <c r="DS94">
        <f>SUMIF('Как будет'!$A$73:$A$80,Доп.расчеты!$A94,'Как будет'!DT$73:DT$80)</f>
        <v>0</v>
      </c>
      <c r="DT94">
        <f>SUMIF('Как будет'!$A$73:$A$80,Доп.расчеты!$A94,'Как будет'!DU$73:DU$80)</f>
        <v>0</v>
      </c>
      <c r="DU94">
        <f>SUMIF('Как будет'!$A$73:$A$80,Доп.расчеты!$A94,'Как будет'!DV$73:DV$80)</f>
        <v>0</v>
      </c>
      <c r="DV94">
        <f>SUMIF('Как будет'!$A$73:$A$80,Доп.расчеты!$A94,'Как будет'!DW$73:DW$80)</f>
        <v>0</v>
      </c>
      <c r="DW94">
        <f>SUMIF('Как будет'!$A$73:$A$80,Доп.расчеты!$A94,'Как будет'!DX$73:DX$80)</f>
        <v>0</v>
      </c>
      <c r="DX94">
        <f>SUMIF('Как будет'!$A$73:$A$80,Доп.расчеты!$A94,'Как будет'!DY$73:DY$80)</f>
        <v>0</v>
      </c>
      <c r="DY94">
        <f>SUMIF('Как будет'!$A$73:$A$80,Доп.расчеты!$A94,'Как будет'!DZ$73:DZ$80)</f>
        <v>0</v>
      </c>
      <c r="DZ94">
        <f>SUMIF('Как будет'!$A$73:$A$80,Доп.расчеты!$A94,'Как будет'!EA$73:EA$80)</f>
        <v>0</v>
      </c>
      <c r="EA94">
        <f>SUMIF('Как будет'!$A$73:$A$80,Доп.расчеты!$A94,'Как будет'!EB$73:EB$80)</f>
        <v>0</v>
      </c>
      <c r="EB94">
        <f>SUMIF('Как будет'!$A$73:$A$80,Доп.расчеты!$A94,'Как будет'!EC$73:EC$80)</f>
        <v>0</v>
      </c>
      <c r="EC94">
        <f>SUMIF('Как будет'!$A$73:$A$80,Доп.расчеты!$A94,'Как будет'!ED$73:ED$80)</f>
        <v>0</v>
      </c>
      <c r="ED94">
        <f>SUMIF('Как будет'!$A$73:$A$80,Доп.расчеты!$A94,'Как будет'!EE$73:EE$80)</f>
        <v>0</v>
      </c>
      <c r="EE94">
        <f>SUMIF('Как будет'!$A$73:$A$80,Доп.расчеты!$A94,'Как будет'!EF$73:EF$80)</f>
        <v>0</v>
      </c>
      <c r="EF94">
        <f>SUMIF('Как будет'!$A$73:$A$80,Доп.расчеты!$A94,'Как будет'!EG$73:EG$80)</f>
        <v>0</v>
      </c>
      <c r="EG94">
        <f>SUMIF('Как будет'!$A$73:$A$80,Доп.расчеты!$A94,'Как будет'!EH$73:EH$80)</f>
        <v>0</v>
      </c>
      <c r="EH94">
        <f>SUMIF('Как будет'!$A$73:$A$80,Доп.расчеты!$A94,'Как будет'!EI$73:EI$80)</f>
        <v>0</v>
      </c>
      <c r="EI94">
        <f>SUMIF('Как будет'!$A$73:$A$80,Доп.расчеты!$A94,'Как будет'!EJ$73:EJ$80)</f>
        <v>0</v>
      </c>
      <c r="EJ94">
        <f>SUMIF('Как будет'!$A$73:$A$80,Доп.расчеты!$A94,'Как будет'!EK$73:EK$80)</f>
        <v>0</v>
      </c>
      <c r="EK94">
        <f>SUMIF('Как будет'!$A$73:$A$80,Доп.расчеты!$A94,'Как будет'!EL$73:EL$80)</f>
        <v>0</v>
      </c>
      <c r="EL94">
        <f>SUMIF('Как будет'!$A$73:$A$80,Доп.расчеты!$A94,'Как будет'!EM$73:EM$80)</f>
        <v>0</v>
      </c>
      <c r="EM94">
        <f>SUMIF('Как будет'!$A$73:$A$80,Доп.расчеты!$A94,'Как будет'!EN$73:EN$80)</f>
        <v>0</v>
      </c>
      <c r="EN94">
        <f>SUMIF('Как будет'!$A$73:$A$80,Доп.расчеты!$A94,'Как будет'!EO$73:EO$80)</f>
        <v>0</v>
      </c>
      <c r="EO94">
        <f>SUMIF('Как будет'!$A$73:$A$80,Доп.расчеты!$A94,'Как будет'!EP$73:EP$80)</f>
        <v>0</v>
      </c>
      <c r="EP94">
        <f>SUMIF('Как будет'!$A$73:$A$80,Доп.расчеты!$A94,'Как будет'!EQ$73:EQ$80)</f>
        <v>0</v>
      </c>
      <c r="EQ94">
        <f>SUMIF('Как будет'!$A$73:$A$80,Доп.расчеты!$A94,'Как будет'!ER$73:ER$80)</f>
        <v>0</v>
      </c>
      <c r="ER94">
        <f>SUMIF('Как будет'!$A$73:$A$80,Доп.расчеты!$A94,'Как будет'!ES$73:ES$80)</f>
        <v>0</v>
      </c>
      <c r="ES94">
        <f>SUMIF('Как будет'!$A$73:$A$80,Доп.расчеты!$A94,'Как будет'!ET$73:ET$80)</f>
        <v>0</v>
      </c>
      <c r="ET94">
        <f>SUMIF('Как будет'!$A$73:$A$80,Доп.расчеты!$A94,'Как будет'!EU$73:EU$80)</f>
        <v>0</v>
      </c>
      <c r="EU94">
        <f>SUMIF('Как будет'!$A$73:$A$80,Доп.расчеты!$A94,'Как будет'!EV$73:EV$80)</f>
        <v>0</v>
      </c>
      <c r="EV94">
        <f>SUMIF('Как будет'!$A$73:$A$80,Доп.расчеты!$A94,'Как будет'!EW$73:EW$80)</f>
        <v>0</v>
      </c>
      <c r="EW94">
        <f>SUMIF('Как будет'!$A$73:$A$80,Доп.расчеты!$A94,'Как будет'!EX$73:EX$80)</f>
        <v>0</v>
      </c>
      <c r="EX94">
        <f>SUMIF('Как будет'!$A$73:$A$80,Доп.расчеты!$A94,'Как будет'!EY$73:EY$80)</f>
        <v>0</v>
      </c>
      <c r="EY94">
        <f>SUMIF('Как будет'!$A$73:$A$80,Доп.расчеты!$A94,'Как будет'!EZ$73:EZ$80)</f>
        <v>0</v>
      </c>
      <c r="EZ94">
        <f>SUMIF('Как будет'!$A$73:$A$80,Доп.расчеты!$A94,'Как будет'!FA$73:FA$80)</f>
        <v>0</v>
      </c>
      <c r="FA94">
        <f>SUMIF('Как будет'!$A$73:$A$80,Доп.расчеты!$A94,'Как будет'!FB$73:FB$80)</f>
        <v>0</v>
      </c>
      <c r="FB94">
        <f>SUMIF('Как будет'!$A$73:$A$80,Доп.расчеты!$A94,'Как будет'!FC$73:FC$80)</f>
        <v>0</v>
      </c>
      <c r="FC94">
        <f>SUMIF('Как будет'!$A$73:$A$80,Доп.расчеты!$A94,'Как будет'!FD$73:FD$80)</f>
        <v>0</v>
      </c>
      <c r="FD94">
        <f>SUMIF('Как будет'!$A$73:$A$80,Доп.расчеты!$A94,'Как будет'!FE$73:FE$80)</f>
        <v>0</v>
      </c>
      <c r="FE94">
        <f>SUMIF('Как будет'!$A$73:$A$80,Доп.расчеты!$A94,'Как будет'!FF$73:FF$80)</f>
        <v>0</v>
      </c>
      <c r="FF94">
        <f>SUMIF('Как будет'!$A$73:$A$80,Доп.расчеты!$A94,'Как будет'!FG$73:FG$80)</f>
        <v>0</v>
      </c>
      <c r="FG94">
        <f>SUMIF('Как будет'!$A$73:$A$80,Доп.расчеты!$A94,'Как будет'!FH$73:FH$80)</f>
        <v>0</v>
      </c>
      <c r="FH94">
        <f>SUMIF('Как будет'!$A$73:$A$80,Доп.расчеты!$A94,'Как будет'!FI$73:FI$80)</f>
        <v>0</v>
      </c>
      <c r="FI94">
        <f>SUMIF('Как будет'!$A$73:$A$80,Доп.расчеты!$A94,'Как будет'!FJ$73:FJ$80)</f>
        <v>0</v>
      </c>
      <c r="FJ94">
        <f>SUMIF('Как будет'!$A$73:$A$80,Доп.расчеты!$A94,'Как будет'!FK$73:FK$80)</f>
        <v>0</v>
      </c>
      <c r="FK94">
        <f>SUMIF('Как будет'!$A$73:$A$80,Доп.расчеты!$A94,'Как будет'!FL$73:FL$80)</f>
        <v>0</v>
      </c>
      <c r="FL94">
        <f>SUMIF('Как будет'!$A$73:$A$80,Доп.расчеты!$A94,'Как будет'!FM$73:FM$80)</f>
        <v>0</v>
      </c>
      <c r="FM94">
        <f>SUMIF('Как будет'!$A$73:$A$80,Доп.расчеты!$A94,'Как будет'!FN$73:FN$80)</f>
        <v>0</v>
      </c>
      <c r="FN94">
        <f>SUMIF('Как будет'!$A$73:$A$80,Доп.расчеты!$A94,'Как будет'!FO$73:FO$80)</f>
        <v>0</v>
      </c>
      <c r="FO94">
        <f>SUMIF('Как будет'!$A$73:$A$80,Доп.расчеты!$A94,'Как будет'!FP$73:FP$80)</f>
        <v>0</v>
      </c>
      <c r="FP94">
        <f>SUMIF('Как будет'!$A$73:$A$80,Доп.расчеты!$A94,'Как будет'!FQ$73:FQ$80)</f>
        <v>0</v>
      </c>
      <c r="FQ94">
        <f>SUMIF('Как будет'!$A$73:$A$80,Доп.расчеты!$A94,'Как будет'!FR$73:FR$80)</f>
        <v>0</v>
      </c>
      <c r="FR94">
        <f>SUMIF('Как будет'!$A$73:$A$80,Доп.расчеты!$A94,'Как будет'!FS$73:FS$80)</f>
        <v>0</v>
      </c>
      <c r="FS94">
        <f>SUMIF('Как будет'!$A$73:$A$80,Доп.расчеты!$A94,'Как будет'!FT$73:FT$80)</f>
        <v>0</v>
      </c>
      <c r="FT94">
        <f>SUMIF('Как будет'!$A$73:$A$80,Доп.расчеты!$A94,'Как будет'!FU$73:FU$80)</f>
        <v>0</v>
      </c>
      <c r="FU94">
        <f>SUMIF('Как будет'!$A$73:$A$80,Доп.расчеты!$A94,'Как будет'!FV$73:FV$80)</f>
        <v>0</v>
      </c>
      <c r="FV94">
        <f>SUMIF('Как будет'!$A$73:$A$80,Доп.расчеты!$A94,'Как будет'!FW$73:FW$80)</f>
        <v>0</v>
      </c>
      <c r="FW94">
        <f>SUMIF('Как будет'!$A$73:$A$80,Доп.расчеты!$A94,'Как будет'!FX$73:FX$80)</f>
        <v>0</v>
      </c>
      <c r="FX94">
        <f>SUMIF('Как будет'!$A$73:$A$80,Доп.расчеты!$A94,'Как будет'!FY$73:FY$80)</f>
        <v>0</v>
      </c>
      <c r="FY94">
        <f>SUMIF('Как будет'!$A$73:$A$80,Доп.расчеты!$A94,'Как будет'!FZ$73:FZ$80)</f>
        <v>0</v>
      </c>
      <c r="FZ94">
        <f>SUMIF('Как будет'!$A$73:$A$80,Доп.расчеты!$A94,'Как будет'!GA$73:GA$80)</f>
        <v>0</v>
      </c>
      <c r="GA94">
        <f>SUMIF('Как будет'!$A$73:$A$80,Доп.расчеты!$A94,'Как будет'!GB$73:GB$80)</f>
        <v>0</v>
      </c>
      <c r="GB94">
        <f>SUMIF('Как будет'!$A$73:$A$80,Доп.расчеты!$A94,'Как будет'!GC$73:GC$80)</f>
        <v>0</v>
      </c>
      <c r="GC94">
        <f>SUMIF('Как будет'!$A$73:$A$80,Доп.расчеты!$A94,'Как будет'!GD$73:GD$80)</f>
        <v>0</v>
      </c>
      <c r="GD94">
        <f>SUMIF('Как будет'!$A$73:$A$80,Доп.расчеты!$A94,'Как будет'!GE$73:GE$80)</f>
        <v>0</v>
      </c>
      <c r="GE94">
        <f>SUMIF('Как будет'!$A$73:$A$80,Доп.расчеты!$A94,'Как будет'!GF$73:GF$80)</f>
        <v>0</v>
      </c>
      <c r="GF94">
        <f>SUMIF('Как будет'!$A$73:$A$80,Доп.расчеты!$A94,'Как будет'!GG$73:GG$80)</f>
        <v>0</v>
      </c>
      <c r="GG94">
        <f>SUMIF('Как будет'!$A$73:$A$80,Доп.расчеты!$A94,'Как будет'!GH$73:GH$80)</f>
        <v>0</v>
      </c>
      <c r="GH94">
        <f>SUMIF('Как будет'!$A$73:$A$80,Доп.расчеты!$A94,'Как будет'!GI$73:GI$80)</f>
        <v>0</v>
      </c>
      <c r="GI94">
        <f>SUMIF('Как будет'!$A$73:$A$80,Доп.расчеты!$A94,'Как будет'!GJ$73:GJ$80)</f>
        <v>0</v>
      </c>
      <c r="GJ94">
        <f>SUMIF('Как будет'!$A$73:$A$80,Доп.расчеты!$A94,'Как будет'!GK$73:GK$80)</f>
        <v>0</v>
      </c>
      <c r="GK94">
        <f>SUMIF('Как будет'!$A$73:$A$80,Доп.расчеты!$A94,'Как будет'!GL$73:GL$80)</f>
        <v>0</v>
      </c>
      <c r="GL94">
        <f>SUMIF('Как будет'!$A$73:$A$80,Доп.расчеты!$A94,'Как будет'!GM$73:GM$80)</f>
        <v>0</v>
      </c>
      <c r="GM94">
        <f>SUMIF('Как будет'!$A$73:$A$80,Доп.расчеты!$A94,'Как будет'!GN$73:GN$80)</f>
        <v>0</v>
      </c>
      <c r="GN94">
        <f>SUMIF('Как будет'!$A$73:$A$80,Доп.расчеты!$A94,'Как будет'!GO$73:GO$80)</f>
        <v>0</v>
      </c>
      <c r="GO94">
        <f>SUMIF('Как будет'!$A$73:$A$80,Доп.расчеты!$A94,'Как будет'!GP$73:GP$80)</f>
        <v>0</v>
      </c>
      <c r="GP94">
        <f>SUMIF('Как будет'!$A$73:$A$80,Доп.расчеты!$A94,'Как будет'!GQ$73:GQ$80)</f>
        <v>0</v>
      </c>
      <c r="GQ94">
        <f>SUMIF('Как будет'!$A$73:$A$80,Доп.расчеты!$A94,'Как будет'!GR$73:GR$80)</f>
        <v>0</v>
      </c>
      <c r="GR94">
        <f>SUMIF('Как будет'!$A$73:$A$80,Доп.расчеты!$A94,'Как будет'!GS$73:GS$80)</f>
        <v>0</v>
      </c>
      <c r="GS94">
        <f>SUMIF('Как будет'!$A$73:$A$80,Доп.расчеты!$A94,'Как будет'!GT$73:GT$80)</f>
        <v>0</v>
      </c>
      <c r="GT94">
        <f>SUMIF('Как будет'!$A$73:$A$80,Доп.расчеты!$A94,'Как будет'!GU$73:GU$80)</f>
        <v>0</v>
      </c>
    </row>
    <row r="95" spans="1:202">
      <c r="A95" s="237" t="s">
        <v>103</v>
      </c>
      <c r="B95">
        <f>SUMIF('Как будет'!$A$73:$A$80,Доп.расчеты!$A95,'Как будет'!C$73:C$80)</f>
        <v>0</v>
      </c>
      <c r="C95">
        <f>SUMIF('Как будет'!$A$73:$A$80,Доп.расчеты!$A95,'Как будет'!D$73:D$80)</f>
        <v>0</v>
      </c>
      <c r="D95">
        <f>SUMIF('Как будет'!$A$73:$A$80,Доп.расчеты!$A95,'Как будет'!E$73:E$80)</f>
        <v>0</v>
      </c>
      <c r="E95">
        <f>SUMIF('Как будет'!$A$73:$A$80,Доп.расчеты!$A95,'Как будет'!F$73:F$80)</f>
        <v>0</v>
      </c>
      <c r="F95">
        <f>SUMIF('Как будет'!$A$73:$A$80,Доп.расчеты!$A95,'Как будет'!G$73:G$80)</f>
        <v>0</v>
      </c>
      <c r="G95">
        <f>SUMIF('Как будет'!$A$73:$A$80,Доп.расчеты!$A95,'Как будет'!H$73:H$80)</f>
        <v>0</v>
      </c>
      <c r="H95">
        <f>SUMIF('Как будет'!$A$73:$A$80,Доп.расчеты!$A95,'Как будет'!I$73:I$80)</f>
        <v>0</v>
      </c>
      <c r="I95">
        <f>SUMIF('Как будет'!$A$73:$A$80,Доп.расчеты!$A95,'Как будет'!J$73:J$80)</f>
        <v>0</v>
      </c>
      <c r="J95">
        <f>SUMIF('Как будет'!$A$73:$A$80,Доп.расчеты!$A95,'Как будет'!K$73:K$80)</f>
        <v>0</v>
      </c>
      <c r="K95">
        <f>SUMIF('Как будет'!$A$73:$A$80,Доп.расчеты!$A95,'Как будет'!L$73:L$80)</f>
        <v>0</v>
      </c>
      <c r="L95">
        <f>SUMIF('Как будет'!$A$73:$A$80,Доп.расчеты!$A95,'Как будет'!M$73:M$80)</f>
        <v>0</v>
      </c>
      <c r="M95">
        <f>SUMIF('Как будет'!$A$73:$A$80,Доп.расчеты!$A95,'Как будет'!N$73:N$80)</f>
        <v>0</v>
      </c>
      <c r="N95">
        <f>SUMIF('Как будет'!$A$73:$A$80,Доп.расчеты!$A95,'Как будет'!O$73:O$80)</f>
        <v>0</v>
      </c>
      <c r="O95">
        <f>SUMIF('Как будет'!$A$73:$A$80,Доп.расчеты!$A95,'Как будет'!P$73:P$80)</f>
        <v>0</v>
      </c>
      <c r="P95">
        <f>SUMIF('Как будет'!$A$73:$A$80,Доп.расчеты!$A95,'Как будет'!Q$73:Q$80)</f>
        <v>0</v>
      </c>
      <c r="Q95">
        <f>SUMIF('Как будет'!$A$73:$A$80,Доп.расчеты!$A95,'Как будет'!R$73:R$80)</f>
        <v>0</v>
      </c>
      <c r="R95">
        <f>SUMIF('Как будет'!$A$73:$A$80,Доп.расчеты!$A95,'Как будет'!S$73:S$80)</f>
        <v>0</v>
      </c>
      <c r="S95">
        <f>SUMIF('Как будет'!$A$73:$A$80,Доп.расчеты!$A95,'Как будет'!T$73:T$80)</f>
        <v>0</v>
      </c>
      <c r="T95">
        <f>SUMIF('Как будет'!$A$73:$A$80,Доп.расчеты!$A95,'Как будет'!U$73:U$80)</f>
        <v>0</v>
      </c>
      <c r="U95">
        <f>SUMIF('Как будет'!$A$73:$A$80,Доп.расчеты!$A95,'Как будет'!V$73:V$80)</f>
        <v>0</v>
      </c>
      <c r="V95">
        <f>SUMIF('Как будет'!$A$73:$A$80,Доп.расчеты!$A95,'Как будет'!W$73:W$80)</f>
        <v>0</v>
      </c>
      <c r="W95">
        <f>SUMIF('Как будет'!$A$73:$A$80,Доп.расчеты!$A95,'Как будет'!X$73:X$80)</f>
        <v>0</v>
      </c>
      <c r="X95">
        <f>SUMIF('Как будет'!$A$73:$A$80,Доп.расчеты!$A95,'Как будет'!Y$73:Y$80)</f>
        <v>0</v>
      </c>
      <c r="Y95">
        <f>SUMIF('Как будет'!$A$73:$A$80,Доп.расчеты!$A95,'Как будет'!Z$73:Z$80)</f>
        <v>0</v>
      </c>
      <c r="Z95">
        <f>SUMIF('Как будет'!$A$73:$A$80,Доп.расчеты!$A95,'Как будет'!AA$73:AA$80)</f>
        <v>0</v>
      </c>
      <c r="AA95">
        <f>SUMIF('Как будет'!$A$73:$A$80,Доп.расчеты!$A95,'Как будет'!AB$73:AB$80)</f>
        <v>0</v>
      </c>
      <c r="AB95">
        <f>SUMIF('Как будет'!$A$73:$A$80,Доп.расчеты!$A95,'Как будет'!AC$73:AC$80)</f>
        <v>0</v>
      </c>
      <c r="AC95">
        <f>SUMIF('Как будет'!$A$73:$A$80,Доп.расчеты!$A95,'Как будет'!AD$73:AD$80)</f>
        <v>0</v>
      </c>
      <c r="AD95">
        <f>SUMIF('Как будет'!$A$73:$A$80,Доп.расчеты!$A95,'Как будет'!AE$73:AE$80)</f>
        <v>0</v>
      </c>
      <c r="AE95">
        <f>SUMIF('Как будет'!$A$73:$A$80,Доп.расчеты!$A95,'Как будет'!AF$73:AF$80)</f>
        <v>0</v>
      </c>
      <c r="AF95">
        <f>SUMIF('Как будет'!$A$73:$A$80,Доп.расчеты!$A95,'Как будет'!AG$73:AG$80)</f>
        <v>0</v>
      </c>
      <c r="AG95">
        <f>SUMIF('Как будет'!$A$73:$A$80,Доп.расчеты!$A95,'Как будет'!AH$73:AH$80)</f>
        <v>0</v>
      </c>
      <c r="AH95">
        <f>SUMIF('Как будет'!$A$73:$A$80,Доп.расчеты!$A95,'Как будет'!AI$73:AI$80)</f>
        <v>0</v>
      </c>
      <c r="AI95">
        <f>SUMIF('Как будет'!$A$73:$A$80,Доп.расчеты!$A95,'Как будет'!AJ$73:AJ$80)</f>
        <v>0</v>
      </c>
      <c r="AJ95">
        <f>SUMIF('Как будет'!$A$73:$A$80,Доп.расчеты!$A95,'Как будет'!AK$73:AK$80)</f>
        <v>0</v>
      </c>
      <c r="AK95">
        <f>SUMIF('Как будет'!$A$73:$A$80,Доп.расчеты!$A95,'Как будет'!AL$73:AL$80)</f>
        <v>0</v>
      </c>
      <c r="AL95">
        <f>SUMIF('Как будет'!$A$73:$A$80,Доп.расчеты!$A95,'Как будет'!AM$73:AM$80)</f>
        <v>0</v>
      </c>
      <c r="AM95">
        <f>SUMIF('Как будет'!$A$73:$A$80,Доп.расчеты!$A95,'Как будет'!AN$73:AN$80)</f>
        <v>0</v>
      </c>
      <c r="AN95">
        <f>SUMIF('Как будет'!$A$73:$A$80,Доп.расчеты!$A95,'Как будет'!AO$73:AO$80)</f>
        <v>0</v>
      </c>
      <c r="AO95">
        <f>SUMIF('Как будет'!$A$73:$A$80,Доп.расчеты!$A95,'Как будет'!AP$73:AP$80)</f>
        <v>0</v>
      </c>
      <c r="AP95">
        <f>SUMIF('Как будет'!$A$73:$A$80,Доп.расчеты!$A95,'Как будет'!AQ$73:AQ$80)</f>
        <v>0</v>
      </c>
      <c r="AQ95">
        <f>SUMIF('Как будет'!$A$73:$A$80,Доп.расчеты!$A95,'Как будет'!AR$73:AR$80)</f>
        <v>0</v>
      </c>
      <c r="AR95">
        <f>SUMIF('Как будет'!$A$73:$A$80,Доп.расчеты!$A95,'Как будет'!AS$73:AS$80)</f>
        <v>0</v>
      </c>
      <c r="AS95">
        <f>SUMIF('Как будет'!$A$73:$A$80,Доп.расчеты!$A95,'Как будет'!AT$73:AT$80)</f>
        <v>0</v>
      </c>
      <c r="AT95">
        <f>SUMIF('Как будет'!$A$73:$A$80,Доп.расчеты!$A95,'Как будет'!AU$73:AU$80)</f>
        <v>0</v>
      </c>
      <c r="AU95">
        <f>SUMIF('Как будет'!$A$73:$A$80,Доп.расчеты!$A95,'Как будет'!AV$73:AV$80)</f>
        <v>0</v>
      </c>
      <c r="AV95">
        <f>SUMIF('Как будет'!$A$73:$A$80,Доп.расчеты!$A95,'Как будет'!AW$73:AW$80)</f>
        <v>0</v>
      </c>
      <c r="AW95">
        <f>SUMIF('Как будет'!$A$73:$A$80,Доп.расчеты!$A95,'Как будет'!AX$73:AX$80)</f>
        <v>0</v>
      </c>
      <c r="AX95">
        <f>SUMIF('Как будет'!$A$73:$A$80,Доп.расчеты!$A95,'Как будет'!AY$73:AY$80)</f>
        <v>0</v>
      </c>
      <c r="AY95">
        <f>SUMIF('Как будет'!$A$73:$A$80,Доп.расчеты!$A95,'Как будет'!AZ$73:AZ$80)</f>
        <v>0</v>
      </c>
      <c r="AZ95">
        <f>SUMIF('Как будет'!$A$73:$A$80,Доп.расчеты!$A95,'Как будет'!BA$73:BA$80)</f>
        <v>0</v>
      </c>
      <c r="BA95">
        <f>SUMIF('Как будет'!$A$73:$A$80,Доп.расчеты!$A95,'Как будет'!BB$73:BB$80)</f>
        <v>0</v>
      </c>
      <c r="BB95">
        <f>SUMIF('Как будет'!$A$73:$A$80,Доп.расчеты!$A95,'Как будет'!BC$73:BC$80)</f>
        <v>0</v>
      </c>
      <c r="BC95">
        <f>SUMIF('Как будет'!$A$73:$A$80,Доп.расчеты!$A95,'Как будет'!BD$73:BD$80)</f>
        <v>0</v>
      </c>
      <c r="BD95">
        <f>SUMIF('Как будет'!$A$73:$A$80,Доп.расчеты!$A95,'Как будет'!BE$73:BE$80)</f>
        <v>0</v>
      </c>
      <c r="BE95">
        <f>SUMIF('Как будет'!$A$73:$A$80,Доп.расчеты!$A95,'Как будет'!BF$73:BF$80)</f>
        <v>0</v>
      </c>
      <c r="BF95">
        <f>SUMIF('Как будет'!$A$73:$A$80,Доп.расчеты!$A95,'Как будет'!BG$73:BG$80)</f>
        <v>0</v>
      </c>
      <c r="BG95">
        <f>SUMIF('Как будет'!$A$73:$A$80,Доп.расчеты!$A95,'Как будет'!BH$73:BH$80)</f>
        <v>0</v>
      </c>
      <c r="BH95">
        <f>SUMIF('Как будет'!$A$73:$A$80,Доп.расчеты!$A95,'Как будет'!BI$73:BI$80)</f>
        <v>0</v>
      </c>
      <c r="BI95">
        <f>SUMIF('Как будет'!$A$73:$A$80,Доп.расчеты!$A95,'Как будет'!BJ$73:BJ$80)</f>
        <v>0</v>
      </c>
      <c r="BJ95">
        <f>SUMIF('Как будет'!$A$73:$A$80,Доп.расчеты!$A95,'Как будет'!BK$73:BK$80)</f>
        <v>0</v>
      </c>
      <c r="BK95">
        <f>SUMIF('Как будет'!$A$73:$A$80,Доп.расчеты!$A95,'Как будет'!BL$73:BL$80)</f>
        <v>0</v>
      </c>
      <c r="BL95">
        <f>SUMIF('Как будет'!$A$73:$A$80,Доп.расчеты!$A95,'Как будет'!BM$73:BM$80)</f>
        <v>0</v>
      </c>
      <c r="BM95">
        <f>SUMIF('Как будет'!$A$73:$A$80,Доп.расчеты!$A95,'Как будет'!BN$73:BN$80)</f>
        <v>0</v>
      </c>
      <c r="BN95">
        <f>SUMIF('Как будет'!$A$73:$A$80,Доп.расчеты!$A95,'Как будет'!BO$73:BO$80)</f>
        <v>0</v>
      </c>
      <c r="BO95">
        <f>SUMIF('Как будет'!$A$73:$A$80,Доп.расчеты!$A95,'Как будет'!BP$73:BP$80)</f>
        <v>0</v>
      </c>
      <c r="BP95">
        <f>SUMIF('Как будет'!$A$73:$A$80,Доп.расчеты!$A95,'Как будет'!BQ$73:BQ$80)</f>
        <v>0</v>
      </c>
      <c r="BQ95">
        <f>SUMIF('Как будет'!$A$73:$A$80,Доп.расчеты!$A95,'Как будет'!BR$73:BR$80)</f>
        <v>0</v>
      </c>
      <c r="BR95">
        <f>SUMIF('Как будет'!$A$73:$A$80,Доп.расчеты!$A95,'Как будет'!BS$73:BS$80)</f>
        <v>0</v>
      </c>
      <c r="BS95">
        <f>SUMIF('Как будет'!$A$73:$A$80,Доп.расчеты!$A95,'Как будет'!BT$73:BT$80)</f>
        <v>0</v>
      </c>
      <c r="BT95">
        <f>SUMIF('Как будет'!$A$73:$A$80,Доп.расчеты!$A95,'Как будет'!BU$73:BU$80)</f>
        <v>0</v>
      </c>
      <c r="BU95">
        <f>SUMIF('Как будет'!$A$73:$A$80,Доп.расчеты!$A95,'Как будет'!BV$73:BV$80)</f>
        <v>0</v>
      </c>
      <c r="BV95">
        <f>SUMIF('Как будет'!$A$73:$A$80,Доп.расчеты!$A95,'Как будет'!BW$73:BW$80)</f>
        <v>0</v>
      </c>
      <c r="BW95">
        <f>SUMIF('Как будет'!$A$73:$A$80,Доп.расчеты!$A95,'Как будет'!BX$73:BX$80)</f>
        <v>0</v>
      </c>
      <c r="BX95">
        <f>SUMIF('Как будет'!$A$73:$A$80,Доп.расчеты!$A95,'Как будет'!BY$73:BY$80)</f>
        <v>0</v>
      </c>
      <c r="BY95">
        <f>SUMIF('Как будет'!$A$73:$A$80,Доп.расчеты!$A95,'Как будет'!BZ$73:BZ$80)</f>
        <v>0</v>
      </c>
      <c r="BZ95">
        <f>SUMIF('Как будет'!$A$73:$A$80,Доп.расчеты!$A95,'Как будет'!CA$73:CA$80)</f>
        <v>0</v>
      </c>
      <c r="CA95">
        <f>SUMIF('Как будет'!$A$73:$A$80,Доп.расчеты!$A95,'Как будет'!CB$73:CB$80)</f>
        <v>0</v>
      </c>
      <c r="CB95">
        <f>SUMIF('Как будет'!$A$73:$A$80,Доп.расчеты!$A95,'Как будет'!CC$73:CC$80)</f>
        <v>0</v>
      </c>
      <c r="CC95">
        <f>SUMIF('Как будет'!$A$73:$A$80,Доп.расчеты!$A95,'Как будет'!CD$73:CD$80)</f>
        <v>0</v>
      </c>
      <c r="CD95">
        <f>SUMIF('Как будет'!$A$73:$A$80,Доп.расчеты!$A95,'Как будет'!CE$73:CE$80)</f>
        <v>0</v>
      </c>
      <c r="CE95">
        <f>SUMIF('Как будет'!$A$73:$A$80,Доп.расчеты!$A95,'Как будет'!CF$73:CF$80)</f>
        <v>0</v>
      </c>
      <c r="CF95">
        <f>SUMIF('Как будет'!$A$73:$A$80,Доп.расчеты!$A95,'Как будет'!CG$73:CG$80)</f>
        <v>0</v>
      </c>
      <c r="CG95">
        <f>SUMIF('Как будет'!$A$73:$A$80,Доп.расчеты!$A95,'Как будет'!CH$73:CH$80)</f>
        <v>0</v>
      </c>
      <c r="CH95">
        <f>SUMIF('Как будет'!$A$73:$A$80,Доп.расчеты!$A95,'Как будет'!CI$73:CI$80)</f>
        <v>0</v>
      </c>
      <c r="CI95">
        <f>SUMIF('Как будет'!$A$73:$A$80,Доп.расчеты!$A95,'Как будет'!CJ$73:CJ$80)</f>
        <v>0</v>
      </c>
      <c r="CJ95">
        <f>SUMIF('Как будет'!$A$73:$A$80,Доп.расчеты!$A95,'Как будет'!CK$73:CK$80)</f>
        <v>0</v>
      </c>
      <c r="CK95">
        <f>SUMIF('Как будет'!$A$73:$A$80,Доп.расчеты!$A95,'Как будет'!CL$73:CL$80)</f>
        <v>0</v>
      </c>
      <c r="CL95">
        <f>SUMIF('Как будет'!$A$73:$A$80,Доп.расчеты!$A95,'Как будет'!CM$73:CM$80)</f>
        <v>0</v>
      </c>
      <c r="CM95">
        <f>SUMIF('Как будет'!$A$73:$A$80,Доп.расчеты!$A95,'Как будет'!CN$73:CN$80)</f>
        <v>0</v>
      </c>
      <c r="CN95">
        <f>SUMIF('Как будет'!$A$73:$A$80,Доп.расчеты!$A95,'Как будет'!CO$73:CO$80)</f>
        <v>0</v>
      </c>
      <c r="CO95">
        <f>SUMIF('Как будет'!$A$73:$A$80,Доп.расчеты!$A95,'Как будет'!CP$73:CP$80)</f>
        <v>0</v>
      </c>
      <c r="CP95">
        <f>SUMIF('Как будет'!$A$73:$A$80,Доп.расчеты!$A95,'Как будет'!CQ$73:CQ$80)</f>
        <v>0</v>
      </c>
      <c r="CQ95">
        <f>SUMIF('Как будет'!$A$73:$A$80,Доп.расчеты!$A95,'Как будет'!CR$73:CR$80)</f>
        <v>0</v>
      </c>
      <c r="CR95">
        <f>SUMIF('Как будет'!$A$73:$A$80,Доп.расчеты!$A95,'Как будет'!CS$73:CS$80)</f>
        <v>0</v>
      </c>
      <c r="CS95">
        <f>SUMIF('Как будет'!$A$73:$A$80,Доп.расчеты!$A95,'Как будет'!CT$73:CT$80)</f>
        <v>0</v>
      </c>
      <c r="CT95">
        <f>SUMIF('Как будет'!$A$73:$A$80,Доп.расчеты!$A95,'Как будет'!CU$73:CU$80)</f>
        <v>0</v>
      </c>
      <c r="CU95">
        <f>SUMIF('Как будет'!$A$73:$A$80,Доп.расчеты!$A95,'Как будет'!CV$73:CV$80)</f>
        <v>0</v>
      </c>
      <c r="CV95">
        <f>SUMIF('Как будет'!$A$73:$A$80,Доп.расчеты!$A95,'Как будет'!CW$73:CW$80)</f>
        <v>0</v>
      </c>
      <c r="CW95">
        <f>SUMIF('Как будет'!$A$73:$A$80,Доп.расчеты!$A95,'Как будет'!CX$73:CX$80)</f>
        <v>0</v>
      </c>
      <c r="CX95">
        <f>SUMIF('Как будет'!$A$73:$A$80,Доп.расчеты!$A95,'Как будет'!CY$73:CY$80)</f>
        <v>0</v>
      </c>
      <c r="CY95">
        <f>SUMIF('Как будет'!$A$73:$A$80,Доп.расчеты!$A95,'Как будет'!CZ$73:CZ$80)</f>
        <v>0</v>
      </c>
      <c r="CZ95">
        <f>SUMIF('Как будет'!$A$73:$A$80,Доп.расчеты!$A95,'Как будет'!DA$73:DA$80)</f>
        <v>0</v>
      </c>
      <c r="DA95">
        <f>SUMIF('Как будет'!$A$73:$A$80,Доп.расчеты!$A95,'Как будет'!DB$73:DB$80)</f>
        <v>0</v>
      </c>
      <c r="DB95">
        <f>SUMIF('Как будет'!$A$73:$A$80,Доп.расчеты!$A95,'Как будет'!DC$73:DC$80)</f>
        <v>0</v>
      </c>
      <c r="DC95">
        <f>SUMIF('Как будет'!$A$73:$A$80,Доп.расчеты!$A95,'Как будет'!DD$73:DD$80)</f>
        <v>0</v>
      </c>
      <c r="DD95">
        <f>SUMIF('Как будет'!$A$73:$A$80,Доп.расчеты!$A95,'Как будет'!DE$73:DE$80)</f>
        <v>0</v>
      </c>
      <c r="DE95">
        <f>SUMIF('Как будет'!$A$73:$A$80,Доп.расчеты!$A95,'Как будет'!DF$73:DF$80)</f>
        <v>0</v>
      </c>
      <c r="DF95">
        <f>SUMIF('Как будет'!$A$73:$A$80,Доп.расчеты!$A95,'Как будет'!DG$73:DG$80)</f>
        <v>0</v>
      </c>
      <c r="DG95">
        <f>SUMIF('Как будет'!$A$73:$A$80,Доп.расчеты!$A95,'Как будет'!DH$73:DH$80)</f>
        <v>0</v>
      </c>
      <c r="DH95">
        <f>SUMIF('Как будет'!$A$73:$A$80,Доп.расчеты!$A95,'Как будет'!DI$73:DI$80)</f>
        <v>0</v>
      </c>
      <c r="DI95">
        <f>SUMIF('Как будет'!$A$73:$A$80,Доп.расчеты!$A95,'Как будет'!DJ$73:DJ$80)</f>
        <v>0</v>
      </c>
      <c r="DJ95">
        <f>SUMIF('Как будет'!$A$73:$A$80,Доп.расчеты!$A95,'Как будет'!DK$73:DK$80)</f>
        <v>0</v>
      </c>
      <c r="DK95">
        <f>SUMIF('Как будет'!$A$73:$A$80,Доп.расчеты!$A95,'Как будет'!DL$73:DL$80)</f>
        <v>0</v>
      </c>
      <c r="DL95">
        <f>SUMIF('Как будет'!$A$73:$A$80,Доп.расчеты!$A95,'Как будет'!DM$73:DM$80)</f>
        <v>0</v>
      </c>
      <c r="DM95">
        <f>SUMIF('Как будет'!$A$73:$A$80,Доп.расчеты!$A95,'Как будет'!DN$73:DN$80)</f>
        <v>0</v>
      </c>
      <c r="DN95">
        <f>SUMIF('Как будет'!$A$73:$A$80,Доп.расчеты!$A95,'Как будет'!DO$73:DO$80)</f>
        <v>0</v>
      </c>
      <c r="DO95">
        <f>SUMIF('Как будет'!$A$73:$A$80,Доп.расчеты!$A95,'Как будет'!DP$73:DP$80)</f>
        <v>0</v>
      </c>
      <c r="DP95">
        <f>SUMIF('Как будет'!$A$73:$A$80,Доп.расчеты!$A95,'Как будет'!DQ$73:DQ$80)</f>
        <v>0</v>
      </c>
      <c r="DQ95">
        <f>SUMIF('Как будет'!$A$73:$A$80,Доп.расчеты!$A95,'Как будет'!DR$73:DR$80)</f>
        <v>0</v>
      </c>
      <c r="DR95">
        <f>SUMIF('Как будет'!$A$73:$A$80,Доп.расчеты!$A95,'Как будет'!DS$73:DS$80)</f>
        <v>0</v>
      </c>
      <c r="DS95">
        <f>SUMIF('Как будет'!$A$73:$A$80,Доп.расчеты!$A95,'Как будет'!DT$73:DT$80)</f>
        <v>0</v>
      </c>
      <c r="DT95">
        <f>SUMIF('Как будет'!$A$73:$A$80,Доп.расчеты!$A95,'Как будет'!DU$73:DU$80)</f>
        <v>0</v>
      </c>
      <c r="DU95">
        <f>SUMIF('Как будет'!$A$73:$A$80,Доп.расчеты!$A95,'Как будет'!DV$73:DV$80)</f>
        <v>0</v>
      </c>
      <c r="DV95">
        <f>SUMIF('Как будет'!$A$73:$A$80,Доп.расчеты!$A95,'Как будет'!DW$73:DW$80)</f>
        <v>0</v>
      </c>
      <c r="DW95">
        <f>SUMIF('Как будет'!$A$73:$A$80,Доп.расчеты!$A95,'Как будет'!DX$73:DX$80)</f>
        <v>0</v>
      </c>
      <c r="DX95">
        <f>SUMIF('Как будет'!$A$73:$A$80,Доп.расчеты!$A95,'Как будет'!DY$73:DY$80)</f>
        <v>0</v>
      </c>
      <c r="DY95">
        <f>SUMIF('Как будет'!$A$73:$A$80,Доп.расчеты!$A95,'Как будет'!DZ$73:DZ$80)</f>
        <v>0</v>
      </c>
      <c r="DZ95">
        <f>SUMIF('Как будет'!$A$73:$A$80,Доп.расчеты!$A95,'Как будет'!EA$73:EA$80)</f>
        <v>0</v>
      </c>
      <c r="EA95">
        <f>SUMIF('Как будет'!$A$73:$A$80,Доп.расчеты!$A95,'Как будет'!EB$73:EB$80)</f>
        <v>0</v>
      </c>
      <c r="EB95">
        <f>SUMIF('Как будет'!$A$73:$A$80,Доп.расчеты!$A95,'Как будет'!EC$73:EC$80)</f>
        <v>0</v>
      </c>
      <c r="EC95">
        <f>SUMIF('Как будет'!$A$73:$A$80,Доп.расчеты!$A95,'Как будет'!ED$73:ED$80)</f>
        <v>0</v>
      </c>
      <c r="ED95">
        <f>SUMIF('Как будет'!$A$73:$A$80,Доп.расчеты!$A95,'Как будет'!EE$73:EE$80)</f>
        <v>0</v>
      </c>
      <c r="EE95">
        <f>SUMIF('Как будет'!$A$73:$A$80,Доп.расчеты!$A95,'Как будет'!EF$73:EF$80)</f>
        <v>0</v>
      </c>
      <c r="EF95">
        <f>SUMIF('Как будет'!$A$73:$A$80,Доп.расчеты!$A95,'Как будет'!EG$73:EG$80)</f>
        <v>0</v>
      </c>
      <c r="EG95">
        <f>SUMIF('Как будет'!$A$73:$A$80,Доп.расчеты!$A95,'Как будет'!EH$73:EH$80)</f>
        <v>0</v>
      </c>
      <c r="EH95">
        <f>SUMIF('Как будет'!$A$73:$A$80,Доп.расчеты!$A95,'Как будет'!EI$73:EI$80)</f>
        <v>0</v>
      </c>
      <c r="EI95">
        <f>SUMIF('Как будет'!$A$73:$A$80,Доп.расчеты!$A95,'Как будет'!EJ$73:EJ$80)</f>
        <v>0</v>
      </c>
      <c r="EJ95">
        <f>SUMIF('Как будет'!$A$73:$A$80,Доп.расчеты!$A95,'Как будет'!EK$73:EK$80)</f>
        <v>0</v>
      </c>
      <c r="EK95">
        <f>SUMIF('Как будет'!$A$73:$A$80,Доп.расчеты!$A95,'Как будет'!EL$73:EL$80)</f>
        <v>0</v>
      </c>
      <c r="EL95">
        <f>SUMIF('Как будет'!$A$73:$A$80,Доп.расчеты!$A95,'Как будет'!EM$73:EM$80)</f>
        <v>0</v>
      </c>
      <c r="EM95">
        <f>SUMIF('Как будет'!$A$73:$A$80,Доп.расчеты!$A95,'Как будет'!EN$73:EN$80)</f>
        <v>0</v>
      </c>
      <c r="EN95">
        <f>SUMIF('Как будет'!$A$73:$A$80,Доп.расчеты!$A95,'Как будет'!EO$73:EO$80)</f>
        <v>0</v>
      </c>
      <c r="EO95">
        <f>SUMIF('Как будет'!$A$73:$A$80,Доп.расчеты!$A95,'Как будет'!EP$73:EP$80)</f>
        <v>0</v>
      </c>
      <c r="EP95">
        <f>SUMIF('Как будет'!$A$73:$A$80,Доп.расчеты!$A95,'Как будет'!EQ$73:EQ$80)</f>
        <v>0</v>
      </c>
      <c r="EQ95">
        <f>SUMIF('Как будет'!$A$73:$A$80,Доп.расчеты!$A95,'Как будет'!ER$73:ER$80)</f>
        <v>0</v>
      </c>
      <c r="ER95">
        <f>SUMIF('Как будет'!$A$73:$A$80,Доп.расчеты!$A95,'Как будет'!ES$73:ES$80)</f>
        <v>0</v>
      </c>
      <c r="ES95">
        <f>SUMIF('Как будет'!$A$73:$A$80,Доп.расчеты!$A95,'Как будет'!ET$73:ET$80)</f>
        <v>0</v>
      </c>
      <c r="ET95">
        <f>SUMIF('Как будет'!$A$73:$A$80,Доп.расчеты!$A95,'Как будет'!EU$73:EU$80)</f>
        <v>0</v>
      </c>
      <c r="EU95">
        <f>SUMIF('Как будет'!$A$73:$A$80,Доп.расчеты!$A95,'Как будет'!EV$73:EV$80)</f>
        <v>0</v>
      </c>
      <c r="EV95">
        <f>SUMIF('Как будет'!$A$73:$A$80,Доп.расчеты!$A95,'Как будет'!EW$73:EW$80)</f>
        <v>0</v>
      </c>
      <c r="EW95">
        <f>SUMIF('Как будет'!$A$73:$A$80,Доп.расчеты!$A95,'Как будет'!EX$73:EX$80)</f>
        <v>0</v>
      </c>
      <c r="EX95">
        <f>SUMIF('Как будет'!$A$73:$A$80,Доп.расчеты!$A95,'Как будет'!EY$73:EY$80)</f>
        <v>0</v>
      </c>
      <c r="EY95">
        <f>SUMIF('Как будет'!$A$73:$A$80,Доп.расчеты!$A95,'Как будет'!EZ$73:EZ$80)</f>
        <v>0</v>
      </c>
      <c r="EZ95">
        <f>SUMIF('Как будет'!$A$73:$A$80,Доп.расчеты!$A95,'Как будет'!FA$73:FA$80)</f>
        <v>0</v>
      </c>
      <c r="FA95">
        <f>SUMIF('Как будет'!$A$73:$A$80,Доп.расчеты!$A95,'Как будет'!FB$73:FB$80)</f>
        <v>0</v>
      </c>
      <c r="FB95">
        <f>SUMIF('Как будет'!$A$73:$A$80,Доп.расчеты!$A95,'Как будет'!FC$73:FC$80)</f>
        <v>0</v>
      </c>
      <c r="FC95">
        <f>SUMIF('Как будет'!$A$73:$A$80,Доп.расчеты!$A95,'Как будет'!FD$73:FD$80)</f>
        <v>0</v>
      </c>
      <c r="FD95">
        <f>SUMIF('Как будет'!$A$73:$A$80,Доп.расчеты!$A95,'Как будет'!FE$73:FE$80)</f>
        <v>0</v>
      </c>
      <c r="FE95">
        <f>SUMIF('Как будет'!$A$73:$A$80,Доп.расчеты!$A95,'Как будет'!FF$73:FF$80)</f>
        <v>0</v>
      </c>
      <c r="FF95">
        <f>SUMIF('Как будет'!$A$73:$A$80,Доп.расчеты!$A95,'Как будет'!FG$73:FG$80)</f>
        <v>0</v>
      </c>
      <c r="FG95">
        <f>SUMIF('Как будет'!$A$73:$A$80,Доп.расчеты!$A95,'Как будет'!FH$73:FH$80)</f>
        <v>0</v>
      </c>
      <c r="FH95">
        <f>SUMIF('Как будет'!$A$73:$A$80,Доп.расчеты!$A95,'Как будет'!FI$73:FI$80)</f>
        <v>0</v>
      </c>
      <c r="FI95">
        <f>SUMIF('Как будет'!$A$73:$A$80,Доп.расчеты!$A95,'Как будет'!FJ$73:FJ$80)</f>
        <v>0</v>
      </c>
      <c r="FJ95">
        <f>SUMIF('Как будет'!$A$73:$A$80,Доп.расчеты!$A95,'Как будет'!FK$73:FK$80)</f>
        <v>0</v>
      </c>
      <c r="FK95">
        <f>SUMIF('Как будет'!$A$73:$A$80,Доп.расчеты!$A95,'Как будет'!FL$73:FL$80)</f>
        <v>0</v>
      </c>
      <c r="FL95">
        <f>SUMIF('Как будет'!$A$73:$A$80,Доп.расчеты!$A95,'Как будет'!FM$73:FM$80)</f>
        <v>0</v>
      </c>
      <c r="FM95">
        <f>SUMIF('Как будет'!$A$73:$A$80,Доп.расчеты!$A95,'Как будет'!FN$73:FN$80)</f>
        <v>0</v>
      </c>
      <c r="FN95">
        <f>SUMIF('Как будет'!$A$73:$A$80,Доп.расчеты!$A95,'Как будет'!FO$73:FO$80)</f>
        <v>0</v>
      </c>
      <c r="FO95">
        <f>SUMIF('Как будет'!$A$73:$A$80,Доп.расчеты!$A95,'Как будет'!FP$73:FP$80)</f>
        <v>0</v>
      </c>
      <c r="FP95">
        <f>SUMIF('Как будет'!$A$73:$A$80,Доп.расчеты!$A95,'Как будет'!FQ$73:FQ$80)</f>
        <v>0</v>
      </c>
      <c r="FQ95">
        <f>SUMIF('Как будет'!$A$73:$A$80,Доп.расчеты!$A95,'Как будет'!FR$73:FR$80)</f>
        <v>0</v>
      </c>
      <c r="FR95">
        <f>SUMIF('Как будет'!$A$73:$A$80,Доп.расчеты!$A95,'Как будет'!FS$73:FS$80)</f>
        <v>0</v>
      </c>
      <c r="FS95">
        <f>SUMIF('Как будет'!$A$73:$A$80,Доп.расчеты!$A95,'Как будет'!FT$73:FT$80)</f>
        <v>0</v>
      </c>
      <c r="FT95">
        <f>SUMIF('Как будет'!$A$73:$A$80,Доп.расчеты!$A95,'Как будет'!FU$73:FU$80)</f>
        <v>0</v>
      </c>
      <c r="FU95">
        <f>SUMIF('Как будет'!$A$73:$A$80,Доп.расчеты!$A95,'Как будет'!FV$73:FV$80)</f>
        <v>0</v>
      </c>
      <c r="FV95">
        <f>SUMIF('Как будет'!$A$73:$A$80,Доп.расчеты!$A95,'Как будет'!FW$73:FW$80)</f>
        <v>0</v>
      </c>
      <c r="FW95">
        <f>SUMIF('Как будет'!$A$73:$A$80,Доп.расчеты!$A95,'Как будет'!FX$73:FX$80)</f>
        <v>0</v>
      </c>
      <c r="FX95">
        <f>SUMIF('Как будет'!$A$73:$A$80,Доп.расчеты!$A95,'Как будет'!FY$73:FY$80)</f>
        <v>0</v>
      </c>
      <c r="FY95">
        <f>SUMIF('Как будет'!$A$73:$A$80,Доп.расчеты!$A95,'Как будет'!FZ$73:FZ$80)</f>
        <v>0</v>
      </c>
      <c r="FZ95">
        <f>SUMIF('Как будет'!$A$73:$A$80,Доп.расчеты!$A95,'Как будет'!GA$73:GA$80)</f>
        <v>0</v>
      </c>
      <c r="GA95">
        <f>SUMIF('Как будет'!$A$73:$A$80,Доп.расчеты!$A95,'Как будет'!GB$73:GB$80)</f>
        <v>0</v>
      </c>
      <c r="GB95">
        <f>SUMIF('Как будет'!$A$73:$A$80,Доп.расчеты!$A95,'Как будет'!GC$73:GC$80)</f>
        <v>0</v>
      </c>
      <c r="GC95">
        <f>SUMIF('Как будет'!$A$73:$A$80,Доп.расчеты!$A95,'Как будет'!GD$73:GD$80)</f>
        <v>0</v>
      </c>
      <c r="GD95">
        <f>SUMIF('Как будет'!$A$73:$A$80,Доп.расчеты!$A95,'Как будет'!GE$73:GE$80)</f>
        <v>0</v>
      </c>
      <c r="GE95">
        <f>SUMIF('Как будет'!$A$73:$A$80,Доп.расчеты!$A95,'Как будет'!GF$73:GF$80)</f>
        <v>0</v>
      </c>
      <c r="GF95">
        <f>SUMIF('Как будет'!$A$73:$A$80,Доп.расчеты!$A95,'Как будет'!GG$73:GG$80)</f>
        <v>0</v>
      </c>
      <c r="GG95">
        <f>SUMIF('Как будет'!$A$73:$A$80,Доп.расчеты!$A95,'Как будет'!GH$73:GH$80)</f>
        <v>0</v>
      </c>
      <c r="GH95">
        <f>SUMIF('Как будет'!$A$73:$A$80,Доп.расчеты!$A95,'Как будет'!GI$73:GI$80)</f>
        <v>0</v>
      </c>
      <c r="GI95">
        <f>SUMIF('Как будет'!$A$73:$A$80,Доп.расчеты!$A95,'Как будет'!GJ$73:GJ$80)</f>
        <v>0</v>
      </c>
      <c r="GJ95">
        <f>SUMIF('Как будет'!$A$73:$A$80,Доп.расчеты!$A95,'Как будет'!GK$73:GK$80)</f>
        <v>0</v>
      </c>
      <c r="GK95">
        <f>SUMIF('Как будет'!$A$73:$A$80,Доп.расчеты!$A95,'Как будет'!GL$73:GL$80)</f>
        <v>0</v>
      </c>
      <c r="GL95">
        <f>SUMIF('Как будет'!$A$73:$A$80,Доп.расчеты!$A95,'Как будет'!GM$73:GM$80)</f>
        <v>0</v>
      </c>
      <c r="GM95">
        <f>SUMIF('Как будет'!$A$73:$A$80,Доп.расчеты!$A95,'Как будет'!GN$73:GN$80)</f>
        <v>0</v>
      </c>
      <c r="GN95">
        <f>SUMIF('Как будет'!$A$73:$A$80,Доп.расчеты!$A95,'Как будет'!GO$73:GO$80)</f>
        <v>0</v>
      </c>
      <c r="GO95">
        <f>SUMIF('Как будет'!$A$73:$A$80,Доп.расчеты!$A95,'Как будет'!GP$73:GP$80)</f>
        <v>0</v>
      </c>
      <c r="GP95">
        <f>SUMIF('Как будет'!$A$73:$A$80,Доп.расчеты!$A95,'Как будет'!GQ$73:GQ$80)</f>
        <v>0</v>
      </c>
      <c r="GQ95">
        <f>SUMIF('Как будет'!$A$73:$A$80,Доп.расчеты!$A95,'Как будет'!GR$73:GR$80)</f>
        <v>0</v>
      </c>
      <c r="GR95">
        <f>SUMIF('Как будет'!$A$73:$A$80,Доп.расчеты!$A95,'Как будет'!GS$73:GS$80)</f>
        <v>0</v>
      </c>
      <c r="GS95">
        <f>SUMIF('Как будет'!$A$73:$A$80,Доп.расчеты!$A95,'Как будет'!GT$73:GT$80)</f>
        <v>0</v>
      </c>
      <c r="GT95">
        <f>SUMIF('Как будет'!$A$73:$A$80,Доп.расчеты!$A95,'Как будет'!GU$73:GU$80)</f>
        <v>0</v>
      </c>
    </row>
    <row r="96" spans="1:202">
      <c r="A96" s="237" t="s">
        <v>104</v>
      </c>
      <c r="B96">
        <f>SUMIF('Как будет'!$A$73:$A$80,Доп.расчеты!$A96,'Как будет'!C$73:C$80)</f>
        <v>0</v>
      </c>
      <c r="C96">
        <f>SUMIF('Как будет'!$A$73:$A$80,Доп.расчеты!$A96,'Как будет'!D$73:D$80)</f>
        <v>0</v>
      </c>
      <c r="D96">
        <f>SUMIF('Как будет'!$A$73:$A$80,Доп.расчеты!$A96,'Как будет'!E$73:E$80)</f>
        <v>0</v>
      </c>
      <c r="E96">
        <f>SUMIF('Как будет'!$A$73:$A$80,Доп.расчеты!$A96,'Как будет'!F$73:F$80)</f>
        <v>0</v>
      </c>
      <c r="F96">
        <f>SUMIF('Как будет'!$A$73:$A$80,Доп.расчеты!$A96,'Как будет'!G$73:G$80)</f>
        <v>0</v>
      </c>
      <c r="G96">
        <f>SUMIF('Как будет'!$A$73:$A$80,Доп.расчеты!$A96,'Как будет'!H$73:H$80)</f>
        <v>0</v>
      </c>
      <c r="H96">
        <f>SUMIF('Как будет'!$A$73:$A$80,Доп.расчеты!$A96,'Как будет'!I$73:I$80)</f>
        <v>0</v>
      </c>
      <c r="I96">
        <f>SUMIF('Как будет'!$A$73:$A$80,Доп.расчеты!$A96,'Как будет'!J$73:J$80)</f>
        <v>0</v>
      </c>
      <c r="J96">
        <f>SUMIF('Как будет'!$A$73:$A$80,Доп.расчеты!$A96,'Как будет'!K$73:K$80)</f>
        <v>0</v>
      </c>
      <c r="K96">
        <f>SUMIF('Как будет'!$A$73:$A$80,Доп.расчеты!$A96,'Как будет'!L$73:L$80)</f>
        <v>0</v>
      </c>
      <c r="L96">
        <f>SUMIF('Как будет'!$A$73:$A$80,Доп.расчеты!$A96,'Как будет'!M$73:M$80)</f>
        <v>0</v>
      </c>
      <c r="M96">
        <f>SUMIF('Как будет'!$A$73:$A$80,Доп.расчеты!$A96,'Как будет'!N$73:N$80)</f>
        <v>0</v>
      </c>
      <c r="N96">
        <f>SUMIF('Как будет'!$A$73:$A$80,Доп.расчеты!$A96,'Как будет'!O$73:O$80)</f>
        <v>0</v>
      </c>
      <c r="O96">
        <f>SUMIF('Как будет'!$A$73:$A$80,Доп.расчеты!$A96,'Как будет'!P$73:P$80)</f>
        <v>0</v>
      </c>
      <c r="P96">
        <f>SUMIF('Как будет'!$A$73:$A$80,Доп.расчеты!$A96,'Как будет'!Q$73:Q$80)</f>
        <v>0</v>
      </c>
      <c r="Q96">
        <f>SUMIF('Как будет'!$A$73:$A$80,Доп.расчеты!$A96,'Как будет'!R$73:R$80)</f>
        <v>0</v>
      </c>
      <c r="R96">
        <f>SUMIF('Как будет'!$A$73:$A$80,Доп.расчеты!$A96,'Как будет'!S$73:S$80)</f>
        <v>0</v>
      </c>
      <c r="S96">
        <f>SUMIF('Как будет'!$A$73:$A$80,Доп.расчеты!$A96,'Как будет'!T$73:T$80)</f>
        <v>0</v>
      </c>
      <c r="T96">
        <f>SUMIF('Как будет'!$A$73:$A$80,Доп.расчеты!$A96,'Как будет'!U$73:U$80)</f>
        <v>0</v>
      </c>
      <c r="U96">
        <f>SUMIF('Как будет'!$A$73:$A$80,Доп.расчеты!$A96,'Как будет'!V$73:V$80)</f>
        <v>0</v>
      </c>
      <c r="V96">
        <f>SUMIF('Как будет'!$A$73:$A$80,Доп.расчеты!$A96,'Как будет'!W$73:W$80)</f>
        <v>0</v>
      </c>
      <c r="W96">
        <f>SUMIF('Как будет'!$A$73:$A$80,Доп.расчеты!$A96,'Как будет'!X$73:X$80)</f>
        <v>0</v>
      </c>
      <c r="X96">
        <f>SUMIF('Как будет'!$A$73:$A$80,Доп.расчеты!$A96,'Как будет'!Y$73:Y$80)</f>
        <v>0</v>
      </c>
      <c r="Y96">
        <f>SUMIF('Как будет'!$A$73:$A$80,Доп.расчеты!$A96,'Как будет'!Z$73:Z$80)</f>
        <v>0</v>
      </c>
      <c r="Z96">
        <f>SUMIF('Как будет'!$A$73:$A$80,Доп.расчеты!$A96,'Как будет'!AA$73:AA$80)</f>
        <v>0</v>
      </c>
      <c r="AA96">
        <f>SUMIF('Как будет'!$A$73:$A$80,Доп.расчеты!$A96,'Как будет'!AB$73:AB$80)</f>
        <v>0</v>
      </c>
      <c r="AB96">
        <f>SUMIF('Как будет'!$A$73:$A$80,Доп.расчеты!$A96,'Как будет'!AC$73:AC$80)</f>
        <v>0</v>
      </c>
      <c r="AC96">
        <f>SUMIF('Как будет'!$A$73:$A$80,Доп.расчеты!$A96,'Как будет'!AD$73:AD$80)</f>
        <v>0</v>
      </c>
      <c r="AD96">
        <f>SUMIF('Как будет'!$A$73:$A$80,Доп.расчеты!$A96,'Как будет'!AE$73:AE$80)</f>
        <v>0</v>
      </c>
      <c r="AE96">
        <f>SUMIF('Как будет'!$A$73:$A$80,Доп.расчеты!$A96,'Как будет'!AF$73:AF$80)</f>
        <v>0</v>
      </c>
      <c r="AF96">
        <f>SUMIF('Как будет'!$A$73:$A$80,Доп.расчеты!$A96,'Как будет'!AG$73:AG$80)</f>
        <v>0</v>
      </c>
      <c r="AG96">
        <f>SUMIF('Как будет'!$A$73:$A$80,Доп.расчеты!$A96,'Как будет'!AH$73:AH$80)</f>
        <v>0</v>
      </c>
      <c r="AH96">
        <f>SUMIF('Как будет'!$A$73:$A$80,Доп.расчеты!$A96,'Как будет'!AI$73:AI$80)</f>
        <v>0</v>
      </c>
      <c r="AI96">
        <f>SUMIF('Как будет'!$A$73:$A$80,Доп.расчеты!$A96,'Как будет'!AJ$73:AJ$80)</f>
        <v>0</v>
      </c>
      <c r="AJ96">
        <f>SUMIF('Как будет'!$A$73:$A$80,Доп.расчеты!$A96,'Как будет'!AK$73:AK$80)</f>
        <v>0</v>
      </c>
      <c r="AK96">
        <f>SUMIF('Как будет'!$A$73:$A$80,Доп.расчеты!$A96,'Как будет'!AL$73:AL$80)</f>
        <v>0</v>
      </c>
      <c r="AL96">
        <f>SUMIF('Как будет'!$A$73:$A$80,Доп.расчеты!$A96,'Как будет'!AM$73:AM$80)</f>
        <v>0</v>
      </c>
      <c r="AM96">
        <f>SUMIF('Как будет'!$A$73:$A$80,Доп.расчеты!$A96,'Как будет'!AN$73:AN$80)</f>
        <v>0</v>
      </c>
      <c r="AN96">
        <f>SUMIF('Как будет'!$A$73:$A$80,Доп.расчеты!$A96,'Как будет'!AO$73:AO$80)</f>
        <v>0</v>
      </c>
      <c r="AO96">
        <f>SUMIF('Как будет'!$A$73:$A$80,Доп.расчеты!$A96,'Как будет'!AP$73:AP$80)</f>
        <v>0</v>
      </c>
      <c r="AP96">
        <f>SUMIF('Как будет'!$A$73:$A$80,Доп.расчеты!$A96,'Как будет'!AQ$73:AQ$80)</f>
        <v>0</v>
      </c>
      <c r="AQ96">
        <f>SUMIF('Как будет'!$A$73:$A$80,Доп.расчеты!$A96,'Как будет'!AR$73:AR$80)</f>
        <v>0</v>
      </c>
      <c r="AR96">
        <f>SUMIF('Как будет'!$A$73:$A$80,Доп.расчеты!$A96,'Как будет'!AS$73:AS$80)</f>
        <v>0</v>
      </c>
      <c r="AS96">
        <f>SUMIF('Как будет'!$A$73:$A$80,Доп.расчеты!$A96,'Как будет'!AT$73:AT$80)</f>
        <v>0</v>
      </c>
      <c r="AT96">
        <f>SUMIF('Как будет'!$A$73:$A$80,Доп.расчеты!$A96,'Как будет'!AU$73:AU$80)</f>
        <v>0</v>
      </c>
      <c r="AU96">
        <f>SUMIF('Как будет'!$A$73:$A$80,Доп.расчеты!$A96,'Как будет'!AV$73:AV$80)</f>
        <v>0</v>
      </c>
      <c r="AV96">
        <f>SUMIF('Как будет'!$A$73:$A$80,Доп.расчеты!$A96,'Как будет'!AW$73:AW$80)</f>
        <v>0</v>
      </c>
      <c r="AW96">
        <f>SUMIF('Как будет'!$A$73:$A$80,Доп.расчеты!$A96,'Как будет'!AX$73:AX$80)</f>
        <v>0</v>
      </c>
      <c r="AX96">
        <f>SUMIF('Как будет'!$A$73:$A$80,Доп.расчеты!$A96,'Как будет'!AY$73:AY$80)</f>
        <v>0</v>
      </c>
      <c r="AY96">
        <f>SUMIF('Как будет'!$A$73:$A$80,Доп.расчеты!$A96,'Как будет'!AZ$73:AZ$80)</f>
        <v>0</v>
      </c>
      <c r="AZ96">
        <f>SUMIF('Как будет'!$A$73:$A$80,Доп.расчеты!$A96,'Как будет'!BA$73:BA$80)</f>
        <v>0</v>
      </c>
      <c r="BA96">
        <f>SUMIF('Как будет'!$A$73:$A$80,Доп.расчеты!$A96,'Как будет'!BB$73:BB$80)</f>
        <v>0</v>
      </c>
      <c r="BB96">
        <f>SUMIF('Как будет'!$A$73:$A$80,Доп.расчеты!$A96,'Как будет'!BC$73:BC$80)</f>
        <v>0</v>
      </c>
      <c r="BC96">
        <f>SUMIF('Как будет'!$A$73:$A$80,Доп.расчеты!$A96,'Как будет'!BD$73:BD$80)</f>
        <v>0</v>
      </c>
      <c r="BD96">
        <f>SUMIF('Как будет'!$A$73:$A$80,Доп.расчеты!$A96,'Как будет'!BE$73:BE$80)</f>
        <v>0</v>
      </c>
      <c r="BE96">
        <f>SUMIF('Как будет'!$A$73:$A$80,Доп.расчеты!$A96,'Как будет'!BF$73:BF$80)</f>
        <v>0</v>
      </c>
      <c r="BF96">
        <f>SUMIF('Как будет'!$A$73:$A$80,Доп.расчеты!$A96,'Как будет'!BG$73:BG$80)</f>
        <v>0</v>
      </c>
      <c r="BG96">
        <f>SUMIF('Как будет'!$A$73:$A$80,Доп.расчеты!$A96,'Как будет'!BH$73:BH$80)</f>
        <v>0</v>
      </c>
      <c r="BH96">
        <f>SUMIF('Как будет'!$A$73:$A$80,Доп.расчеты!$A96,'Как будет'!BI$73:BI$80)</f>
        <v>0</v>
      </c>
      <c r="BI96">
        <f>SUMIF('Как будет'!$A$73:$A$80,Доп.расчеты!$A96,'Как будет'!BJ$73:BJ$80)</f>
        <v>0</v>
      </c>
      <c r="BJ96">
        <f>SUMIF('Как будет'!$A$73:$A$80,Доп.расчеты!$A96,'Как будет'!BK$73:BK$80)</f>
        <v>0</v>
      </c>
      <c r="BK96">
        <f>SUMIF('Как будет'!$A$73:$A$80,Доп.расчеты!$A96,'Как будет'!BL$73:BL$80)</f>
        <v>0</v>
      </c>
      <c r="BL96">
        <f>SUMIF('Как будет'!$A$73:$A$80,Доп.расчеты!$A96,'Как будет'!BM$73:BM$80)</f>
        <v>0</v>
      </c>
      <c r="BM96">
        <f>SUMIF('Как будет'!$A$73:$A$80,Доп.расчеты!$A96,'Как будет'!BN$73:BN$80)</f>
        <v>0</v>
      </c>
      <c r="BN96">
        <f>SUMIF('Как будет'!$A$73:$A$80,Доп.расчеты!$A96,'Как будет'!BO$73:BO$80)</f>
        <v>0</v>
      </c>
      <c r="BO96">
        <f>SUMIF('Как будет'!$A$73:$A$80,Доп.расчеты!$A96,'Как будет'!BP$73:BP$80)</f>
        <v>0</v>
      </c>
      <c r="BP96">
        <f>SUMIF('Как будет'!$A$73:$A$80,Доп.расчеты!$A96,'Как будет'!BQ$73:BQ$80)</f>
        <v>0</v>
      </c>
      <c r="BQ96">
        <f>SUMIF('Как будет'!$A$73:$A$80,Доп.расчеты!$A96,'Как будет'!BR$73:BR$80)</f>
        <v>0</v>
      </c>
      <c r="BR96">
        <f>SUMIF('Как будет'!$A$73:$A$80,Доп.расчеты!$A96,'Как будет'!BS$73:BS$80)</f>
        <v>0</v>
      </c>
      <c r="BS96">
        <f>SUMIF('Как будет'!$A$73:$A$80,Доп.расчеты!$A96,'Как будет'!BT$73:BT$80)</f>
        <v>0</v>
      </c>
      <c r="BT96">
        <f>SUMIF('Как будет'!$A$73:$A$80,Доп.расчеты!$A96,'Как будет'!BU$73:BU$80)</f>
        <v>0</v>
      </c>
      <c r="BU96">
        <f>SUMIF('Как будет'!$A$73:$A$80,Доп.расчеты!$A96,'Как будет'!BV$73:BV$80)</f>
        <v>0</v>
      </c>
      <c r="BV96">
        <f>SUMIF('Как будет'!$A$73:$A$80,Доп.расчеты!$A96,'Как будет'!BW$73:BW$80)</f>
        <v>0</v>
      </c>
      <c r="BW96">
        <f>SUMIF('Как будет'!$A$73:$A$80,Доп.расчеты!$A96,'Как будет'!BX$73:BX$80)</f>
        <v>0</v>
      </c>
      <c r="BX96">
        <f>SUMIF('Как будет'!$A$73:$A$80,Доп.расчеты!$A96,'Как будет'!BY$73:BY$80)</f>
        <v>0</v>
      </c>
      <c r="BY96">
        <f>SUMIF('Как будет'!$A$73:$A$80,Доп.расчеты!$A96,'Как будет'!BZ$73:BZ$80)</f>
        <v>0</v>
      </c>
      <c r="BZ96">
        <f>SUMIF('Как будет'!$A$73:$A$80,Доп.расчеты!$A96,'Как будет'!CA$73:CA$80)</f>
        <v>0</v>
      </c>
      <c r="CA96">
        <f>SUMIF('Как будет'!$A$73:$A$80,Доп.расчеты!$A96,'Как будет'!CB$73:CB$80)</f>
        <v>0</v>
      </c>
      <c r="CB96">
        <f>SUMIF('Как будет'!$A$73:$A$80,Доп.расчеты!$A96,'Как будет'!CC$73:CC$80)</f>
        <v>0</v>
      </c>
      <c r="CC96">
        <f>SUMIF('Как будет'!$A$73:$A$80,Доп.расчеты!$A96,'Как будет'!CD$73:CD$80)</f>
        <v>0</v>
      </c>
      <c r="CD96">
        <f>SUMIF('Как будет'!$A$73:$A$80,Доп.расчеты!$A96,'Как будет'!CE$73:CE$80)</f>
        <v>0</v>
      </c>
      <c r="CE96">
        <f>SUMIF('Как будет'!$A$73:$A$80,Доп.расчеты!$A96,'Как будет'!CF$73:CF$80)</f>
        <v>0</v>
      </c>
      <c r="CF96">
        <f>SUMIF('Как будет'!$A$73:$A$80,Доп.расчеты!$A96,'Как будет'!CG$73:CG$80)</f>
        <v>0</v>
      </c>
      <c r="CG96">
        <f>SUMIF('Как будет'!$A$73:$A$80,Доп.расчеты!$A96,'Как будет'!CH$73:CH$80)</f>
        <v>0</v>
      </c>
      <c r="CH96">
        <f>SUMIF('Как будет'!$A$73:$A$80,Доп.расчеты!$A96,'Как будет'!CI$73:CI$80)</f>
        <v>0</v>
      </c>
      <c r="CI96">
        <f>SUMIF('Как будет'!$A$73:$A$80,Доп.расчеты!$A96,'Как будет'!CJ$73:CJ$80)</f>
        <v>0</v>
      </c>
      <c r="CJ96">
        <f>SUMIF('Как будет'!$A$73:$A$80,Доп.расчеты!$A96,'Как будет'!CK$73:CK$80)</f>
        <v>0</v>
      </c>
      <c r="CK96">
        <f>SUMIF('Как будет'!$A$73:$A$80,Доп.расчеты!$A96,'Как будет'!CL$73:CL$80)</f>
        <v>0</v>
      </c>
      <c r="CL96">
        <f>SUMIF('Как будет'!$A$73:$A$80,Доп.расчеты!$A96,'Как будет'!CM$73:CM$80)</f>
        <v>0</v>
      </c>
      <c r="CM96">
        <f>SUMIF('Как будет'!$A$73:$A$80,Доп.расчеты!$A96,'Как будет'!CN$73:CN$80)</f>
        <v>0</v>
      </c>
      <c r="CN96">
        <f>SUMIF('Как будет'!$A$73:$A$80,Доп.расчеты!$A96,'Как будет'!CO$73:CO$80)</f>
        <v>0</v>
      </c>
      <c r="CO96">
        <f>SUMIF('Как будет'!$A$73:$A$80,Доп.расчеты!$A96,'Как будет'!CP$73:CP$80)</f>
        <v>0</v>
      </c>
      <c r="CP96">
        <f>SUMIF('Как будет'!$A$73:$A$80,Доп.расчеты!$A96,'Как будет'!CQ$73:CQ$80)</f>
        <v>0</v>
      </c>
      <c r="CQ96">
        <f>SUMIF('Как будет'!$A$73:$A$80,Доп.расчеты!$A96,'Как будет'!CR$73:CR$80)</f>
        <v>0</v>
      </c>
      <c r="CR96">
        <f>SUMIF('Как будет'!$A$73:$A$80,Доп.расчеты!$A96,'Как будет'!CS$73:CS$80)</f>
        <v>0</v>
      </c>
      <c r="CS96">
        <f>SUMIF('Как будет'!$A$73:$A$80,Доп.расчеты!$A96,'Как будет'!CT$73:CT$80)</f>
        <v>0</v>
      </c>
      <c r="CT96">
        <f>SUMIF('Как будет'!$A$73:$A$80,Доп.расчеты!$A96,'Как будет'!CU$73:CU$80)</f>
        <v>0</v>
      </c>
      <c r="CU96">
        <f>SUMIF('Как будет'!$A$73:$A$80,Доп.расчеты!$A96,'Как будет'!CV$73:CV$80)</f>
        <v>0</v>
      </c>
      <c r="CV96">
        <f>SUMIF('Как будет'!$A$73:$A$80,Доп.расчеты!$A96,'Как будет'!CW$73:CW$80)</f>
        <v>0</v>
      </c>
      <c r="CW96">
        <f>SUMIF('Как будет'!$A$73:$A$80,Доп.расчеты!$A96,'Как будет'!CX$73:CX$80)</f>
        <v>0</v>
      </c>
      <c r="CX96">
        <f>SUMIF('Как будет'!$A$73:$A$80,Доп.расчеты!$A96,'Как будет'!CY$73:CY$80)</f>
        <v>0</v>
      </c>
      <c r="CY96">
        <f>SUMIF('Как будет'!$A$73:$A$80,Доп.расчеты!$A96,'Как будет'!CZ$73:CZ$80)</f>
        <v>0</v>
      </c>
      <c r="CZ96">
        <f>SUMIF('Как будет'!$A$73:$A$80,Доп.расчеты!$A96,'Как будет'!DA$73:DA$80)</f>
        <v>0</v>
      </c>
      <c r="DA96">
        <f>SUMIF('Как будет'!$A$73:$A$80,Доп.расчеты!$A96,'Как будет'!DB$73:DB$80)</f>
        <v>0</v>
      </c>
      <c r="DB96">
        <f>SUMIF('Как будет'!$A$73:$A$80,Доп.расчеты!$A96,'Как будет'!DC$73:DC$80)</f>
        <v>0</v>
      </c>
      <c r="DC96">
        <f>SUMIF('Как будет'!$A$73:$A$80,Доп.расчеты!$A96,'Как будет'!DD$73:DD$80)</f>
        <v>0</v>
      </c>
      <c r="DD96">
        <f>SUMIF('Как будет'!$A$73:$A$80,Доп.расчеты!$A96,'Как будет'!DE$73:DE$80)</f>
        <v>0</v>
      </c>
      <c r="DE96">
        <f>SUMIF('Как будет'!$A$73:$A$80,Доп.расчеты!$A96,'Как будет'!DF$73:DF$80)</f>
        <v>0</v>
      </c>
      <c r="DF96">
        <f>SUMIF('Как будет'!$A$73:$A$80,Доп.расчеты!$A96,'Как будет'!DG$73:DG$80)</f>
        <v>0</v>
      </c>
      <c r="DG96">
        <f>SUMIF('Как будет'!$A$73:$A$80,Доп.расчеты!$A96,'Как будет'!DH$73:DH$80)</f>
        <v>0</v>
      </c>
      <c r="DH96">
        <f>SUMIF('Как будет'!$A$73:$A$80,Доп.расчеты!$A96,'Как будет'!DI$73:DI$80)</f>
        <v>0</v>
      </c>
      <c r="DI96">
        <f>SUMIF('Как будет'!$A$73:$A$80,Доп.расчеты!$A96,'Как будет'!DJ$73:DJ$80)</f>
        <v>0</v>
      </c>
      <c r="DJ96">
        <f>SUMIF('Как будет'!$A$73:$A$80,Доп.расчеты!$A96,'Как будет'!DK$73:DK$80)</f>
        <v>0</v>
      </c>
      <c r="DK96">
        <f>SUMIF('Как будет'!$A$73:$A$80,Доп.расчеты!$A96,'Как будет'!DL$73:DL$80)</f>
        <v>0</v>
      </c>
      <c r="DL96">
        <f>SUMIF('Как будет'!$A$73:$A$80,Доп.расчеты!$A96,'Как будет'!DM$73:DM$80)</f>
        <v>0</v>
      </c>
      <c r="DM96">
        <f>SUMIF('Как будет'!$A$73:$A$80,Доп.расчеты!$A96,'Как будет'!DN$73:DN$80)</f>
        <v>0</v>
      </c>
      <c r="DN96">
        <f>SUMIF('Как будет'!$A$73:$A$80,Доп.расчеты!$A96,'Как будет'!DO$73:DO$80)</f>
        <v>0</v>
      </c>
      <c r="DO96">
        <f>SUMIF('Как будет'!$A$73:$A$80,Доп.расчеты!$A96,'Как будет'!DP$73:DP$80)</f>
        <v>0</v>
      </c>
      <c r="DP96">
        <f>SUMIF('Как будет'!$A$73:$A$80,Доп.расчеты!$A96,'Как будет'!DQ$73:DQ$80)</f>
        <v>0</v>
      </c>
      <c r="DQ96">
        <f>SUMIF('Как будет'!$A$73:$A$80,Доп.расчеты!$A96,'Как будет'!DR$73:DR$80)</f>
        <v>0</v>
      </c>
      <c r="DR96">
        <f>SUMIF('Как будет'!$A$73:$A$80,Доп.расчеты!$A96,'Как будет'!DS$73:DS$80)</f>
        <v>0</v>
      </c>
      <c r="DS96">
        <f>SUMIF('Как будет'!$A$73:$A$80,Доп.расчеты!$A96,'Как будет'!DT$73:DT$80)</f>
        <v>0</v>
      </c>
      <c r="DT96">
        <f>SUMIF('Как будет'!$A$73:$A$80,Доп.расчеты!$A96,'Как будет'!DU$73:DU$80)</f>
        <v>0</v>
      </c>
      <c r="DU96">
        <f>SUMIF('Как будет'!$A$73:$A$80,Доп.расчеты!$A96,'Как будет'!DV$73:DV$80)</f>
        <v>0</v>
      </c>
      <c r="DV96">
        <f>SUMIF('Как будет'!$A$73:$A$80,Доп.расчеты!$A96,'Как будет'!DW$73:DW$80)</f>
        <v>0</v>
      </c>
      <c r="DW96">
        <f>SUMIF('Как будет'!$A$73:$A$80,Доп.расчеты!$A96,'Как будет'!DX$73:DX$80)</f>
        <v>0</v>
      </c>
      <c r="DX96">
        <f>SUMIF('Как будет'!$A$73:$A$80,Доп.расчеты!$A96,'Как будет'!DY$73:DY$80)</f>
        <v>0</v>
      </c>
      <c r="DY96">
        <f>SUMIF('Как будет'!$A$73:$A$80,Доп.расчеты!$A96,'Как будет'!DZ$73:DZ$80)</f>
        <v>0</v>
      </c>
      <c r="DZ96">
        <f>SUMIF('Как будет'!$A$73:$A$80,Доп.расчеты!$A96,'Как будет'!EA$73:EA$80)</f>
        <v>0</v>
      </c>
      <c r="EA96">
        <f>SUMIF('Как будет'!$A$73:$A$80,Доп.расчеты!$A96,'Как будет'!EB$73:EB$80)</f>
        <v>0</v>
      </c>
      <c r="EB96">
        <f>SUMIF('Как будет'!$A$73:$A$80,Доп.расчеты!$A96,'Как будет'!EC$73:EC$80)</f>
        <v>0</v>
      </c>
      <c r="EC96">
        <f>SUMIF('Как будет'!$A$73:$A$80,Доп.расчеты!$A96,'Как будет'!ED$73:ED$80)</f>
        <v>0</v>
      </c>
      <c r="ED96">
        <f>SUMIF('Как будет'!$A$73:$A$80,Доп.расчеты!$A96,'Как будет'!EE$73:EE$80)</f>
        <v>0</v>
      </c>
      <c r="EE96">
        <f>SUMIF('Как будет'!$A$73:$A$80,Доп.расчеты!$A96,'Как будет'!EF$73:EF$80)</f>
        <v>0</v>
      </c>
      <c r="EF96">
        <f>SUMIF('Как будет'!$A$73:$A$80,Доп.расчеты!$A96,'Как будет'!EG$73:EG$80)</f>
        <v>0</v>
      </c>
      <c r="EG96">
        <f>SUMIF('Как будет'!$A$73:$A$80,Доп.расчеты!$A96,'Как будет'!EH$73:EH$80)</f>
        <v>0</v>
      </c>
      <c r="EH96">
        <f>SUMIF('Как будет'!$A$73:$A$80,Доп.расчеты!$A96,'Как будет'!EI$73:EI$80)</f>
        <v>0</v>
      </c>
      <c r="EI96">
        <f>SUMIF('Как будет'!$A$73:$A$80,Доп.расчеты!$A96,'Как будет'!EJ$73:EJ$80)</f>
        <v>0</v>
      </c>
      <c r="EJ96">
        <f>SUMIF('Как будет'!$A$73:$A$80,Доп.расчеты!$A96,'Как будет'!EK$73:EK$80)</f>
        <v>0</v>
      </c>
      <c r="EK96">
        <f>SUMIF('Как будет'!$A$73:$A$80,Доп.расчеты!$A96,'Как будет'!EL$73:EL$80)</f>
        <v>0</v>
      </c>
      <c r="EL96">
        <f>SUMIF('Как будет'!$A$73:$A$80,Доп.расчеты!$A96,'Как будет'!EM$73:EM$80)</f>
        <v>0</v>
      </c>
      <c r="EM96">
        <f>SUMIF('Как будет'!$A$73:$A$80,Доп.расчеты!$A96,'Как будет'!EN$73:EN$80)</f>
        <v>0</v>
      </c>
      <c r="EN96">
        <f>SUMIF('Как будет'!$A$73:$A$80,Доп.расчеты!$A96,'Как будет'!EO$73:EO$80)</f>
        <v>0</v>
      </c>
      <c r="EO96">
        <f>SUMIF('Как будет'!$A$73:$A$80,Доп.расчеты!$A96,'Как будет'!EP$73:EP$80)</f>
        <v>0</v>
      </c>
      <c r="EP96">
        <f>SUMIF('Как будет'!$A$73:$A$80,Доп.расчеты!$A96,'Как будет'!EQ$73:EQ$80)</f>
        <v>0</v>
      </c>
      <c r="EQ96">
        <f>SUMIF('Как будет'!$A$73:$A$80,Доп.расчеты!$A96,'Как будет'!ER$73:ER$80)</f>
        <v>0</v>
      </c>
      <c r="ER96">
        <f>SUMIF('Как будет'!$A$73:$A$80,Доп.расчеты!$A96,'Как будет'!ES$73:ES$80)</f>
        <v>0</v>
      </c>
      <c r="ES96">
        <f>SUMIF('Как будет'!$A$73:$A$80,Доп.расчеты!$A96,'Как будет'!ET$73:ET$80)</f>
        <v>0</v>
      </c>
      <c r="ET96">
        <f>SUMIF('Как будет'!$A$73:$A$80,Доп.расчеты!$A96,'Как будет'!EU$73:EU$80)</f>
        <v>0</v>
      </c>
      <c r="EU96">
        <f>SUMIF('Как будет'!$A$73:$A$80,Доп.расчеты!$A96,'Как будет'!EV$73:EV$80)</f>
        <v>0</v>
      </c>
      <c r="EV96">
        <f>SUMIF('Как будет'!$A$73:$A$80,Доп.расчеты!$A96,'Как будет'!EW$73:EW$80)</f>
        <v>0</v>
      </c>
      <c r="EW96">
        <f>SUMIF('Как будет'!$A$73:$A$80,Доп.расчеты!$A96,'Как будет'!EX$73:EX$80)</f>
        <v>0</v>
      </c>
      <c r="EX96">
        <f>SUMIF('Как будет'!$A$73:$A$80,Доп.расчеты!$A96,'Как будет'!EY$73:EY$80)</f>
        <v>0</v>
      </c>
      <c r="EY96">
        <f>SUMIF('Как будет'!$A$73:$A$80,Доп.расчеты!$A96,'Как будет'!EZ$73:EZ$80)</f>
        <v>0</v>
      </c>
      <c r="EZ96">
        <f>SUMIF('Как будет'!$A$73:$A$80,Доп.расчеты!$A96,'Как будет'!FA$73:FA$80)</f>
        <v>0</v>
      </c>
      <c r="FA96">
        <f>SUMIF('Как будет'!$A$73:$A$80,Доп.расчеты!$A96,'Как будет'!FB$73:FB$80)</f>
        <v>0</v>
      </c>
      <c r="FB96">
        <f>SUMIF('Как будет'!$A$73:$A$80,Доп.расчеты!$A96,'Как будет'!FC$73:FC$80)</f>
        <v>0</v>
      </c>
      <c r="FC96">
        <f>SUMIF('Как будет'!$A$73:$A$80,Доп.расчеты!$A96,'Как будет'!FD$73:FD$80)</f>
        <v>0</v>
      </c>
      <c r="FD96">
        <f>SUMIF('Как будет'!$A$73:$A$80,Доп.расчеты!$A96,'Как будет'!FE$73:FE$80)</f>
        <v>0</v>
      </c>
      <c r="FE96">
        <f>SUMIF('Как будет'!$A$73:$A$80,Доп.расчеты!$A96,'Как будет'!FF$73:FF$80)</f>
        <v>0</v>
      </c>
      <c r="FF96">
        <f>SUMIF('Как будет'!$A$73:$A$80,Доп.расчеты!$A96,'Как будет'!FG$73:FG$80)</f>
        <v>0</v>
      </c>
      <c r="FG96">
        <f>SUMIF('Как будет'!$A$73:$A$80,Доп.расчеты!$A96,'Как будет'!FH$73:FH$80)</f>
        <v>0</v>
      </c>
      <c r="FH96">
        <f>SUMIF('Как будет'!$A$73:$A$80,Доп.расчеты!$A96,'Как будет'!FI$73:FI$80)</f>
        <v>0</v>
      </c>
      <c r="FI96">
        <f>SUMIF('Как будет'!$A$73:$A$80,Доп.расчеты!$A96,'Как будет'!FJ$73:FJ$80)</f>
        <v>0</v>
      </c>
      <c r="FJ96">
        <f>SUMIF('Как будет'!$A$73:$A$80,Доп.расчеты!$A96,'Как будет'!FK$73:FK$80)</f>
        <v>0</v>
      </c>
      <c r="FK96">
        <f>SUMIF('Как будет'!$A$73:$A$80,Доп.расчеты!$A96,'Как будет'!FL$73:FL$80)</f>
        <v>0</v>
      </c>
      <c r="FL96">
        <f>SUMIF('Как будет'!$A$73:$A$80,Доп.расчеты!$A96,'Как будет'!FM$73:FM$80)</f>
        <v>0</v>
      </c>
      <c r="FM96">
        <f>SUMIF('Как будет'!$A$73:$A$80,Доп.расчеты!$A96,'Как будет'!FN$73:FN$80)</f>
        <v>0</v>
      </c>
      <c r="FN96">
        <f>SUMIF('Как будет'!$A$73:$A$80,Доп.расчеты!$A96,'Как будет'!FO$73:FO$80)</f>
        <v>0</v>
      </c>
      <c r="FO96">
        <f>SUMIF('Как будет'!$A$73:$A$80,Доп.расчеты!$A96,'Как будет'!FP$73:FP$80)</f>
        <v>0</v>
      </c>
      <c r="FP96">
        <f>SUMIF('Как будет'!$A$73:$A$80,Доп.расчеты!$A96,'Как будет'!FQ$73:FQ$80)</f>
        <v>0</v>
      </c>
      <c r="FQ96">
        <f>SUMIF('Как будет'!$A$73:$A$80,Доп.расчеты!$A96,'Как будет'!FR$73:FR$80)</f>
        <v>0</v>
      </c>
      <c r="FR96">
        <f>SUMIF('Как будет'!$A$73:$A$80,Доп.расчеты!$A96,'Как будет'!FS$73:FS$80)</f>
        <v>0</v>
      </c>
      <c r="FS96">
        <f>SUMIF('Как будет'!$A$73:$A$80,Доп.расчеты!$A96,'Как будет'!FT$73:FT$80)</f>
        <v>0</v>
      </c>
      <c r="FT96">
        <f>SUMIF('Как будет'!$A$73:$A$80,Доп.расчеты!$A96,'Как будет'!FU$73:FU$80)</f>
        <v>0</v>
      </c>
      <c r="FU96">
        <f>SUMIF('Как будет'!$A$73:$A$80,Доп.расчеты!$A96,'Как будет'!FV$73:FV$80)</f>
        <v>0</v>
      </c>
      <c r="FV96">
        <f>SUMIF('Как будет'!$A$73:$A$80,Доп.расчеты!$A96,'Как будет'!FW$73:FW$80)</f>
        <v>0</v>
      </c>
      <c r="FW96">
        <f>SUMIF('Как будет'!$A$73:$A$80,Доп.расчеты!$A96,'Как будет'!FX$73:FX$80)</f>
        <v>0</v>
      </c>
      <c r="FX96">
        <f>SUMIF('Как будет'!$A$73:$A$80,Доп.расчеты!$A96,'Как будет'!FY$73:FY$80)</f>
        <v>0</v>
      </c>
      <c r="FY96">
        <f>SUMIF('Как будет'!$A$73:$A$80,Доп.расчеты!$A96,'Как будет'!FZ$73:FZ$80)</f>
        <v>0</v>
      </c>
      <c r="FZ96">
        <f>SUMIF('Как будет'!$A$73:$A$80,Доп.расчеты!$A96,'Как будет'!GA$73:GA$80)</f>
        <v>0</v>
      </c>
      <c r="GA96">
        <f>SUMIF('Как будет'!$A$73:$A$80,Доп.расчеты!$A96,'Как будет'!GB$73:GB$80)</f>
        <v>0</v>
      </c>
      <c r="GB96">
        <f>SUMIF('Как будет'!$A$73:$A$80,Доп.расчеты!$A96,'Как будет'!GC$73:GC$80)</f>
        <v>0</v>
      </c>
      <c r="GC96">
        <f>SUMIF('Как будет'!$A$73:$A$80,Доп.расчеты!$A96,'Как будет'!GD$73:GD$80)</f>
        <v>0</v>
      </c>
      <c r="GD96">
        <f>SUMIF('Как будет'!$A$73:$A$80,Доп.расчеты!$A96,'Как будет'!GE$73:GE$80)</f>
        <v>0</v>
      </c>
      <c r="GE96">
        <f>SUMIF('Как будет'!$A$73:$A$80,Доп.расчеты!$A96,'Как будет'!GF$73:GF$80)</f>
        <v>0</v>
      </c>
      <c r="GF96">
        <f>SUMIF('Как будет'!$A$73:$A$80,Доп.расчеты!$A96,'Как будет'!GG$73:GG$80)</f>
        <v>0</v>
      </c>
      <c r="GG96">
        <f>SUMIF('Как будет'!$A$73:$A$80,Доп.расчеты!$A96,'Как будет'!GH$73:GH$80)</f>
        <v>0</v>
      </c>
      <c r="GH96">
        <f>SUMIF('Как будет'!$A$73:$A$80,Доп.расчеты!$A96,'Как будет'!GI$73:GI$80)</f>
        <v>0</v>
      </c>
      <c r="GI96">
        <f>SUMIF('Как будет'!$A$73:$A$80,Доп.расчеты!$A96,'Как будет'!GJ$73:GJ$80)</f>
        <v>0</v>
      </c>
      <c r="GJ96">
        <f>SUMIF('Как будет'!$A$73:$A$80,Доп.расчеты!$A96,'Как будет'!GK$73:GK$80)</f>
        <v>0</v>
      </c>
      <c r="GK96">
        <f>SUMIF('Как будет'!$A$73:$A$80,Доп.расчеты!$A96,'Как будет'!GL$73:GL$80)</f>
        <v>0</v>
      </c>
      <c r="GL96">
        <f>SUMIF('Как будет'!$A$73:$A$80,Доп.расчеты!$A96,'Как будет'!GM$73:GM$80)</f>
        <v>0</v>
      </c>
      <c r="GM96">
        <f>SUMIF('Как будет'!$A$73:$A$80,Доп.расчеты!$A96,'Как будет'!GN$73:GN$80)</f>
        <v>0</v>
      </c>
      <c r="GN96">
        <f>SUMIF('Как будет'!$A$73:$A$80,Доп.расчеты!$A96,'Как будет'!GO$73:GO$80)</f>
        <v>0</v>
      </c>
      <c r="GO96">
        <f>SUMIF('Как будет'!$A$73:$A$80,Доп.расчеты!$A96,'Как будет'!GP$73:GP$80)</f>
        <v>0</v>
      </c>
      <c r="GP96">
        <f>SUMIF('Как будет'!$A$73:$A$80,Доп.расчеты!$A96,'Как будет'!GQ$73:GQ$80)</f>
        <v>0</v>
      </c>
      <c r="GQ96">
        <f>SUMIF('Как будет'!$A$73:$A$80,Доп.расчеты!$A96,'Как будет'!GR$73:GR$80)</f>
        <v>0</v>
      </c>
      <c r="GR96">
        <f>SUMIF('Как будет'!$A$73:$A$80,Доп.расчеты!$A96,'Как будет'!GS$73:GS$80)</f>
        <v>0</v>
      </c>
      <c r="GS96">
        <f>SUMIF('Как будет'!$A$73:$A$80,Доп.расчеты!$A96,'Как будет'!GT$73:GT$80)</f>
        <v>0</v>
      </c>
      <c r="GT96">
        <f>SUMIF('Как будет'!$A$73:$A$80,Доп.расчеты!$A96,'Как будет'!GU$73:GU$80)</f>
        <v>0</v>
      </c>
    </row>
    <row r="97" spans="1:202">
      <c r="A97" s="237" t="s">
        <v>105</v>
      </c>
      <c r="B97">
        <f>SUMIF('Как будет'!$A$73:$A$80,Доп.расчеты!$A97,'Как будет'!C$73:C$80)</f>
        <v>0</v>
      </c>
      <c r="C97">
        <f>SUMIF('Как будет'!$A$73:$A$80,Доп.расчеты!$A97,'Как будет'!D$73:D$80)</f>
        <v>0</v>
      </c>
      <c r="D97">
        <f>SUMIF('Как будет'!$A$73:$A$80,Доп.расчеты!$A97,'Как будет'!E$73:E$80)</f>
        <v>0</v>
      </c>
      <c r="E97">
        <f>SUMIF('Как будет'!$A$73:$A$80,Доп.расчеты!$A97,'Как будет'!F$73:F$80)</f>
        <v>0</v>
      </c>
      <c r="F97">
        <f>SUMIF('Как будет'!$A$73:$A$80,Доп.расчеты!$A97,'Как будет'!G$73:G$80)</f>
        <v>0</v>
      </c>
      <c r="G97">
        <f>SUMIF('Как будет'!$A$73:$A$80,Доп.расчеты!$A97,'Как будет'!H$73:H$80)</f>
        <v>0</v>
      </c>
      <c r="H97">
        <f>SUMIF('Как будет'!$A$73:$A$80,Доп.расчеты!$A97,'Как будет'!I$73:I$80)</f>
        <v>0</v>
      </c>
      <c r="I97">
        <f>SUMIF('Как будет'!$A$73:$A$80,Доп.расчеты!$A97,'Как будет'!J$73:J$80)</f>
        <v>0</v>
      </c>
      <c r="J97">
        <f>SUMIF('Как будет'!$A$73:$A$80,Доп.расчеты!$A97,'Как будет'!K$73:K$80)</f>
        <v>0</v>
      </c>
      <c r="K97">
        <f>SUMIF('Как будет'!$A$73:$A$80,Доп.расчеты!$A97,'Как будет'!L$73:L$80)</f>
        <v>0</v>
      </c>
      <c r="L97">
        <f>SUMIF('Как будет'!$A$73:$A$80,Доп.расчеты!$A97,'Как будет'!M$73:M$80)</f>
        <v>0</v>
      </c>
      <c r="M97">
        <f>SUMIF('Как будет'!$A$73:$A$80,Доп.расчеты!$A97,'Как будет'!N$73:N$80)</f>
        <v>0</v>
      </c>
      <c r="N97">
        <f>SUMIF('Как будет'!$A$73:$A$80,Доп.расчеты!$A97,'Как будет'!O$73:O$80)</f>
        <v>0</v>
      </c>
      <c r="O97">
        <f>SUMIF('Как будет'!$A$73:$A$80,Доп.расчеты!$A97,'Как будет'!P$73:P$80)</f>
        <v>0</v>
      </c>
      <c r="P97">
        <f>SUMIF('Как будет'!$A$73:$A$80,Доп.расчеты!$A97,'Как будет'!Q$73:Q$80)</f>
        <v>0</v>
      </c>
      <c r="Q97">
        <f>SUMIF('Как будет'!$A$73:$A$80,Доп.расчеты!$A97,'Как будет'!R$73:R$80)</f>
        <v>0</v>
      </c>
      <c r="R97">
        <f>SUMIF('Как будет'!$A$73:$A$80,Доп.расчеты!$A97,'Как будет'!S$73:S$80)</f>
        <v>0</v>
      </c>
      <c r="S97">
        <f>SUMIF('Как будет'!$A$73:$A$80,Доп.расчеты!$A97,'Как будет'!T$73:T$80)</f>
        <v>0</v>
      </c>
      <c r="T97">
        <f>SUMIF('Как будет'!$A$73:$A$80,Доп.расчеты!$A97,'Как будет'!U$73:U$80)</f>
        <v>0</v>
      </c>
      <c r="U97">
        <f>SUMIF('Как будет'!$A$73:$A$80,Доп.расчеты!$A97,'Как будет'!V$73:V$80)</f>
        <v>0</v>
      </c>
      <c r="V97">
        <f>SUMIF('Как будет'!$A$73:$A$80,Доп.расчеты!$A97,'Как будет'!W$73:W$80)</f>
        <v>0</v>
      </c>
      <c r="W97">
        <f>SUMIF('Как будет'!$A$73:$A$80,Доп.расчеты!$A97,'Как будет'!X$73:X$80)</f>
        <v>0</v>
      </c>
      <c r="X97">
        <f>SUMIF('Как будет'!$A$73:$A$80,Доп.расчеты!$A97,'Как будет'!Y$73:Y$80)</f>
        <v>0</v>
      </c>
      <c r="Y97">
        <f>SUMIF('Как будет'!$A$73:$A$80,Доп.расчеты!$A97,'Как будет'!Z$73:Z$80)</f>
        <v>0</v>
      </c>
      <c r="Z97">
        <f>SUMIF('Как будет'!$A$73:$A$80,Доп.расчеты!$A97,'Как будет'!AA$73:AA$80)</f>
        <v>0</v>
      </c>
      <c r="AA97">
        <f>SUMIF('Как будет'!$A$73:$A$80,Доп.расчеты!$A97,'Как будет'!AB$73:AB$80)</f>
        <v>0</v>
      </c>
      <c r="AB97">
        <f>SUMIF('Как будет'!$A$73:$A$80,Доп.расчеты!$A97,'Как будет'!AC$73:AC$80)</f>
        <v>0</v>
      </c>
      <c r="AC97">
        <f>SUMIF('Как будет'!$A$73:$A$80,Доп.расчеты!$A97,'Как будет'!AD$73:AD$80)</f>
        <v>0</v>
      </c>
      <c r="AD97">
        <f>SUMIF('Как будет'!$A$73:$A$80,Доп.расчеты!$A97,'Как будет'!AE$73:AE$80)</f>
        <v>0</v>
      </c>
      <c r="AE97">
        <f>SUMIF('Как будет'!$A$73:$A$80,Доп.расчеты!$A97,'Как будет'!AF$73:AF$80)</f>
        <v>0</v>
      </c>
      <c r="AF97">
        <f>SUMIF('Как будет'!$A$73:$A$80,Доп.расчеты!$A97,'Как будет'!AG$73:AG$80)</f>
        <v>0</v>
      </c>
      <c r="AG97">
        <f>SUMIF('Как будет'!$A$73:$A$80,Доп.расчеты!$A97,'Как будет'!AH$73:AH$80)</f>
        <v>0</v>
      </c>
      <c r="AH97">
        <f>SUMIF('Как будет'!$A$73:$A$80,Доп.расчеты!$A97,'Как будет'!AI$73:AI$80)</f>
        <v>0</v>
      </c>
      <c r="AI97">
        <f>SUMIF('Как будет'!$A$73:$A$80,Доп.расчеты!$A97,'Как будет'!AJ$73:AJ$80)</f>
        <v>0</v>
      </c>
      <c r="AJ97">
        <f>SUMIF('Как будет'!$A$73:$A$80,Доп.расчеты!$A97,'Как будет'!AK$73:AK$80)</f>
        <v>0</v>
      </c>
      <c r="AK97">
        <f>SUMIF('Как будет'!$A$73:$A$80,Доп.расчеты!$A97,'Как будет'!AL$73:AL$80)</f>
        <v>0</v>
      </c>
      <c r="AL97">
        <f>SUMIF('Как будет'!$A$73:$A$80,Доп.расчеты!$A97,'Как будет'!AM$73:AM$80)</f>
        <v>0</v>
      </c>
      <c r="AM97">
        <f>SUMIF('Как будет'!$A$73:$A$80,Доп.расчеты!$A97,'Как будет'!AN$73:AN$80)</f>
        <v>0</v>
      </c>
      <c r="AN97">
        <f>SUMIF('Как будет'!$A$73:$A$80,Доп.расчеты!$A97,'Как будет'!AO$73:AO$80)</f>
        <v>0</v>
      </c>
      <c r="AO97">
        <f>SUMIF('Как будет'!$A$73:$A$80,Доп.расчеты!$A97,'Как будет'!AP$73:AP$80)</f>
        <v>0</v>
      </c>
      <c r="AP97">
        <f>SUMIF('Как будет'!$A$73:$A$80,Доп.расчеты!$A97,'Как будет'!AQ$73:AQ$80)</f>
        <v>0</v>
      </c>
      <c r="AQ97">
        <f>SUMIF('Как будет'!$A$73:$A$80,Доп.расчеты!$A97,'Как будет'!AR$73:AR$80)</f>
        <v>0</v>
      </c>
      <c r="AR97">
        <f>SUMIF('Как будет'!$A$73:$A$80,Доп.расчеты!$A97,'Как будет'!AS$73:AS$80)</f>
        <v>0</v>
      </c>
      <c r="AS97">
        <f>SUMIF('Как будет'!$A$73:$A$80,Доп.расчеты!$A97,'Как будет'!AT$73:AT$80)</f>
        <v>0</v>
      </c>
      <c r="AT97">
        <f>SUMIF('Как будет'!$A$73:$A$80,Доп.расчеты!$A97,'Как будет'!AU$73:AU$80)</f>
        <v>0</v>
      </c>
      <c r="AU97">
        <f>SUMIF('Как будет'!$A$73:$A$80,Доп.расчеты!$A97,'Как будет'!AV$73:AV$80)</f>
        <v>0</v>
      </c>
      <c r="AV97">
        <f>SUMIF('Как будет'!$A$73:$A$80,Доп.расчеты!$A97,'Как будет'!AW$73:AW$80)</f>
        <v>0</v>
      </c>
      <c r="AW97">
        <f>SUMIF('Как будет'!$A$73:$A$80,Доп.расчеты!$A97,'Как будет'!AX$73:AX$80)</f>
        <v>0</v>
      </c>
      <c r="AX97">
        <f>SUMIF('Как будет'!$A$73:$A$80,Доп.расчеты!$A97,'Как будет'!AY$73:AY$80)</f>
        <v>0</v>
      </c>
      <c r="AY97">
        <f>SUMIF('Как будет'!$A$73:$A$80,Доп.расчеты!$A97,'Как будет'!AZ$73:AZ$80)</f>
        <v>0</v>
      </c>
      <c r="AZ97">
        <f>SUMIF('Как будет'!$A$73:$A$80,Доп.расчеты!$A97,'Как будет'!BA$73:BA$80)</f>
        <v>0</v>
      </c>
      <c r="BA97">
        <f>SUMIF('Как будет'!$A$73:$A$80,Доп.расчеты!$A97,'Как будет'!BB$73:BB$80)</f>
        <v>0</v>
      </c>
      <c r="BB97">
        <f>SUMIF('Как будет'!$A$73:$A$80,Доп.расчеты!$A97,'Как будет'!BC$73:BC$80)</f>
        <v>0</v>
      </c>
      <c r="BC97">
        <f>SUMIF('Как будет'!$A$73:$A$80,Доп.расчеты!$A97,'Как будет'!BD$73:BD$80)</f>
        <v>0</v>
      </c>
      <c r="BD97">
        <f>SUMIF('Как будет'!$A$73:$A$80,Доп.расчеты!$A97,'Как будет'!BE$73:BE$80)</f>
        <v>0</v>
      </c>
      <c r="BE97">
        <f>SUMIF('Как будет'!$A$73:$A$80,Доп.расчеты!$A97,'Как будет'!BF$73:BF$80)</f>
        <v>0</v>
      </c>
      <c r="BF97">
        <f>SUMIF('Как будет'!$A$73:$A$80,Доп.расчеты!$A97,'Как будет'!BG$73:BG$80)</f>
        <v>0</v>
      </c>
      <c r="BG97">
        <f>SUMIF('Как будет'!$A$73:$A$80,Доп.расчеты!$A97,'Как будет'!BH$73:BH$80)</f>
        <v>0</v>
      </c>
      <c r="BH97">
        <f>SUMIF('Как будет'!$A$73:$A$80,Доп.расчеты!$A97,'Как будет'!BI$73:BI$80)</f>
        <v>0</v>
      </c>
      <c r="BI97">
        <f>SUMIF('Как будет'!$A$73:$A$80,Доп.расчеты!$A97,'Как будет'!BJ$73:BJ$80)</f>
        <v>0</v>
      </c>
      <c r="BJ97">
        <f>SUMIF('Как будет'!$A$73:$A$80,Доп.расчеты!$A97,'Как будет'!BK$73:BK$80)</f>
        <v>0</v>
      </c>
      <c r="BK97">
        <f>SUMIF('Как будет'!$A$73:$A$80,Доп.расчеты!$A97,'Как будет'!BL$73:BL$80)</f>
        <v>0</v>
      </c>
      <c r="BL97">
        <f>SUMIF('Как будет'!$A$73:$A$80,Доп.расчеты!$A97,'Как будет'!BM$73:BM$80)</f>
        <v>0</v>
      </c>
      <c r="BM97">
        <f>SUMIF('Как будет'!$A$73:$A$80,Доп.расчеты!$A97,'Как будет'!BN$73:BN$80)</f>
        <v>0</v>
      </c>
      <c r="BN97">
        <f>SUMIF('Как будет'!$A$73:$A$80,Доп.расчеты!$A97,'Как будет'!BO$73:BO$80)</f>
        <v>0</v>
      </c>
      <c r="BO97">
        <f>SUMIF('Как будет'!$A$73:$A$80,Доп.расчеты!$A97,'Как будет'!BP$73:BP$80)</f>
        <v>0</v>
      </c>
      <c r="BP97">
        <f>SUMIF('Как будет'!$A$73:$A$80,Доп.расчеты!$A97,'Как будет'!BQ$73:BQ$80)</f>
        <v>0</v>
      </c>
      <c r="BQ97">
        <f>SUMIF('Как будет'!$A$73:$A$80,Доп.расчеты!$A97,'Как будет'!BR$73:BR$80)</f>
        <v>0</v>
      </c>
      <c r="BR97">
        <f>SUMIF('Как будет'!$A$73:$A$80,Доп.расчеты!$A97,'Как будет'!BS$73:BS$80)</f>
        <v>0</v>
      </c>
      <c r="BS97">
        <f>SUMIF('Как будет'!$A$73:$A$80,Доп.расчеты!$A97,'Как будет'!BT$73:BT$80)</f>
        <v>0</v>
      </c>
      <c r="BT97">
        <f>SUMIF('Как будет'!$A$73:$A$80,Доп.расчеты!$A97,'Как будет'!BU$73:BU$80)</f>
        <v>0</v>
      </c>
      <c r="BU97">
        <f>SUMIF('Как будет'!$A$73:$A$80,Доп.расчеты!$A97,'Как будет'!BV$73:BV$80)</f>
        <v>0</v>
      </c>
      <c r="BV97">
        <f>SUMIF('Как будет'!$A$73:$A$80,Доп.расчеты!$A97,'Как будет'!BW$73:BW$80)</f>
        <v>0</v>
      </c>
      <c r="BW97">
        <f>SUMIF('Как будет'!$A$73:$A$80,Доп.расчеты!$A97,'Как будет'!BX$73:BX$80)</f>
        <v>0</v>
      </c>
      <c r="BX97">
        <f>SUMIF('Как будет'!$A$73:$A$80,Доп.расчеты!$A97,'Как будет'!BY$73:BY$80)</f>
        <v>0</v>
      </c>
      <c r="BY97">
        <f>SUMIF('Как будет'!$A$73:$A$80,Доп.расчеты!$A97,'Как будет'!BZ$73:BZ$80)</f>
        <v>0</v>
      </c>
      <c r="BZ97">
        <f>SUMIF('Как будет'!$A$73:$A$80,Доп.расчеты!$A97,'Как будет'!CA$73:CA$80)</f>
        <v>0</v>
      </c>
      <c r="CA97">
        <f>SUMIF('Как будет'!$A$73:$A$80,Доп.расчеты!$A97,'Как будет'!CB$73:CB$80)</f>
        <v>0</v>
      </c>
      <c r="CB97">
        <f>SUMIF('Как будет'!$A$73:$A$80,Доп.расчеты!$A97,'Как будет'!CC$73:CC$80)</f>
        <v>0</v>
      </c>
      <c r="CC97">
        <f>SUMIF('Как будет'!$A$73:$A$80,Доп.расчеты!$A97,'Как будет'!CD$73:CD$80)</f>
        <v>0</v>
      </c>
      <c r="CD97">
        <f>SUMIF('Как будет'!$A$73:$A$80,Доп.расчеты!$A97,'Как будет'!CE$73:CE$80)</f>
        <v>0</v>
      </c>
      <c r="CE97">
        <f>SUMIF('Как будет'!$A$73:$A$80,Доп.расчеты!$A97,'Как будет'!CF$73:CF$80)</f>
        <v>0</v>
      </c>
      <c r="CF97">
        <f>SUMIF('Как будет'!$A$73:$A$80,Доп.расчеты!$A97,'Как будет'!CG$73:CG$80)</f>
        <v>0</v>
      </c>
      <c r="CG97">
        <f>SUMIF('Как будет'!$A$73:$A$80,Доп.расчеты!$A97,'Как будет'!CH$73:CH$80)</f>
        <v>0</v>
      </c>
      <c r="CH97">
        <f>SUMIF('Как будет'!$A$73:$A$80,Доп.расчеты!$A97,'Как будет'!CI$73:CI$80)</f>
        <v>0</v>
      </c>
      <c r="CI97">
        <f>SUMIF('Как будет'!$A$73:$A$80,Доп.расчеты!$A97,'Как будет'!CJ$73:CJ$80)</f>
        <v>0</v>
      </c>
      <c r="CJ97">
        <f>SUMIF('Как будет'!$A$73:$A$80,Доп.расчеты!$A97,'Как будет'!CK$73:CK$80)</f>
        <v>0</v>
      </c>
      <c r="CK97">
        <f>SUMIF('Как будет'!$A$73:$A$80,Доп.расчеты!$A97,'Как будет'!CL$73:CL$80)</f>
        <v>0</v>
      </c>
      <c r="CL97">
        <f>SUMIF('Как будет'!$A$73:$A$80,Доп.расчеты!$A97,'Как будет'!CM$73:CM$80)</f>
        <v>0</v>
      </c>
      <c r="CM97">
        <f>SUMIF('Как будет'!$A$73:$A$80,Доп.расчеты!$A97,'Как будет'!CN$73:CN$80)</f>
        <v>0</v>
      </c>
      <c r="CN97">
        <f>SUMIF('Как будет'!$A$73:$A$80,Доп.расчеты!$A97,'Как будет'!CO$73:CO$80)</f>
        <v>0</v>
      </c>
      <c r="CO97">
        <f>SUMIF('Как будет'!$A$73:$A$80,Доп.расчеты!$A97,'Как будет'!CP$73:CP$80)</f>
        <v>0</v>
      </c>
      <c r="CP97">
        <f>SUMIF('Как будет'!$A$73:$A$80,Доп.расчеты!$A97,'Как будет'!CQ$73:CQ$80)</f>
        <v>0</v>
      </c>
      <c r="CQ97">
        <f>SUMIF('Как будет'!$A$73:$A$80,Доп.расчеты!$A97,'Как будет'!CR$73:CR$80)</f>
        <v>0</v>
      </c>
      <c r="CR97">
        <f>SUMIF('Как будет'!$A$73:$A$80,Доп.расчеты!$A97,'Как будет'!CS$73:CS$80)</f>
        <v>0</v>
      </c>
      <c r="CS97">
        <f>SUMIF('Как будет'!$A$73:$A$80,Доп.расчеты!$A97,'Как будет'!CT$73:CT$80)</f>
        <v>0</v>
      </c>
      <c r="CT97">
        <f>SUMIF('Как будет'!$A$73:$A$80,Доп.расчеты!$A97,'Как будет'!CU$73:CU$80)</f>
        <v>0</v>
      </c>
      <c r="CU97">
        <f>SUMIF('Как будет'!$A$73:$A$80,Доп.расчеты!$A97,'Как будет'!CV$73:CV$80)</f>
        <v>0</v>
      </c>
      <c r="CV97">
        <f>SUMIF('Как будет'!$A$73:$A$80,Доп.расчеты!$A97,'Как будет'!CW$73:CW$80)</f>
        <v>0</v>
      </c>
      <c r="CW97">
        <f>SUMIF('Как будет'!$A$73:$A$80,Доп.расчеты!$A97,'Как будет'!CX$73:CX$80)</f>
        <v>0</v>
      </c>
      <c r="CX97">
        <f>SUMIF('Как будет'!$A$73:$A$80,Доп.расчеты!$A97,'Как будет'!CY$73:CY$80)</f>
        <v>0</v>
      </c>
      <c r="CY97">
        <f>SUMIF('Как будет'!$A$73:$A$80,Доп.расчеты!$A97,'Как будет'!CZ$73:CZ$80)</f>
        <v>0</v>
      </c>
      <c r="CZ97">
        <f>SUMIF('Как будет'!$A$73:$A$80,Доп.расчеты!$A97,'Как будет'!DA$73:DA$80)</f>
        <v>0</v>
      </c>
      <c r="DA97">
        <f>SUMIF('Как будет'!$A$73:$A$80,Доп.расчеты!$A97,'Как будет'!DB$73:DB$80)</f>
        <v>0</v>
      </c>
      <c r="DB97">
        <f>SUMIF('Как будет'!$A$73:$A$80,Доп.расчеты!$A97,'Как будет'!DC$73:DC$80)</f>
        <v>0</v>
      </c>
      <c r="DC97">
        <f>SUMIF('Как будет'!$A$73:$A$80,Доп.расчеты!$A97,'Как будет'!DD$73:DD$80)</f>
        <v>0</v>
      </c>
      <c r="DD97">
        <f>SUMIF('Как будет'!$A$73:$A$80,Доп.расчеты!$A97,'Как будет'!DE$73:DE$80)</f>
        <v>0</v>
      </c>
      <c r="DE97">
        <f>SUMIF('Как будет'!$A$73:$A$80,Доп.расчеты!$A97,'Как будет'!DF$73:DF$80)</f>
        <v>0</v>
      </c>
      <c r="DF97">
        <f>SUMIF('Как будет'!$A$73:$A$80,Доп.расчеты!$A97,'Как будет'!DG$73:DG$80)</f>
        <v>0</v>
      </c>
      <c r="DG97">
        <f>SUMIF('Как будет'!$A$73:$A$80,Доп.расчеты!$A97,'Как будет'!DH$73:DH$80)</f>
        <v>0</v>
      </c>
      <c r="DH97">
        <f>SUMIF('Как будет'!$A$73:$A$80,Доп.расчеты!$A97,'Как будет'!DI$73:DI$80)</f>
        <v>0</v>
      </c>
      <c r="DI97">
        <f>SUMIF('Как будет'!$A$73:$A$80,Доп.расчеты!$A97,'Как будет'!DJ$73:DJ$80)</f>
        <v>0</v>
      </c>
      <c r="DJ97">
        <f>SUMIF('Как будет'!$A$73:$A$80,Доп.расчеты!$A97,'Как будет'!DK$73:DK$80)</f>
        <v>0</v>
      </c>
      <c r="DK97">
        <f>SUMIF('Как будет'!$A$73:$A$80,Доп.расчеты!$A97,'Как будет'!DL$73:DL$80)</f>
        <v>0</v>
      </c>
      <c r="DL97">
        <f>SUMIF('Как будет'!$A$73:$A$80,Доп.расчеты!$A97,'Как будет'!DM$73:DM$80)</f>
        <v>0</v>
      </c>
      <c r="DM97">
        <f>SUMIF('Как будет'!$A$73:$A$80,Доп.расчеты!$A97,'Как будет'!DN$73:DN$80)</f>
        <v>0</v>
      </c>
      <c r="DN97">
        <f>SUMIF('Как будет'!$A$73:$A$80,Доп.расчеты!$A97,'Как будет'!DO$73:DO$80)</f>
        <v>0</v>
      </c>
      <c r="DO97">
        <f>SUMIF('Как будет'!$A$73:$A$80,Доп.расчеты!$A97,'Как будет'!DP$73:DP$80)</f>
        <v>0</v>
      </c>
      <c r="DP97">
        <f>SUMIF('Как будет'!$A$73:$A$80,Доп.расчеты!$A97,'Как будет'!DQ$73:DQ$80)</f>
        <v>0</v>
      </c>
      <c r="DQ97">
        <f>SUMIF('Как будет'!$A$73:$A$80,Доп.расчеты!$A97,'Как будет'!DR$73:DR$80)</f>
        <v>0</v>
      </c>
      <c r="DR97">
        <f>SUMIF('Как будет'!$A$73:$A$80,Доп.расчеты!$A97,'Как будет'!DS$73:DS$80)</f>
        <v>0</v>
      </c>
      <c r="DS97">
        <f>SUMIF('Как будет'!$A$73:$A$80,Доп.расчеты!$A97,'Как будет'!DT$73:DT$80)</f>
        <v>0</v>
      </c>
      <c r="DT97">
        <f>SUMIF('Как будет'!$A$73:$A$80,Доп.расчеты!$A97,'Как будет'!DU$73:DU$80)</f>
        <v>0</v>
      </c>
      <c r="DU97">
        <f>SUMIF('Как будет'!$A$73:$A$80,Доп.расчеты!$A97,'Как будет'!DV$73:DV$80)</f>
        <v>0</v>
      </c>
      <c r="DV97">
        <f>SUMIF('Как будет'!$A$73:$A$80,Доп.расчеты!$A97,'Как будет'!DW$73:DW$80)</f>
        <v>0</v>
      </c>
      <c r="DW97">
        <f>SUMIF('Как будет'!$A$73:$A$80,Доп.расчеты!$A97,'Как будет'!DX$73:DX$80)</f>
        <v>0</v>
      </c>
      <c r="DX97">
        <f>SUMIF('Как будет'!$A$73:$A$80,Доп.расчеты!$A97,'Как будет'!DY$73:DY$80)</f>
        <v>0</v>
      </c>
      <c r="DY97">
        <f>SUMIF('Как будет'!$A$73:$A$80,Доп.расчеты!$A97,'Как будет'!DZ$73:DZ$80)</f>
        <v>0</v>
      </c>
      <c r="DZ97">
        <f>SUMIF('Как будет'!$A$73:$A$80,Доп.расчеты!$A97,'Как будет'!EA$73:EA$80)</f>
        <v>0</v>
      </c>
      <c r="EA97">
        <f>SUMIF('Как будет'!$A$73:$A$80,Доп.расчеты!$A97,'Как будет'!EB$73:EB$80)</f>
        <v>0</v>
      </c>
      <c r="EB97">
        <f>SUMIF('Как будет'!$A$73:$A$80,Доп.расчеты!$A97,'Как будет'!EC$73:EC$80)</f>
        <v>0</v>
      </c>
      <c r="EC97">
        <f>SUMIF('Как будет'!$A$73:$A$80,Доп.расчеты!$A97,'Как будет'!ED$73:ED$80)</f>
        <v>0</v>
      </c>
      <c r="ED97">
        <f>SUMIF('Как будет'!$A$73:$A$80,Доп.расчеты!$A97,'Как будет'!EE$73:EE$80)</f>
        <v>0</v>
      </c>
      <c r="EE97">
        <f>SUMIF('Как будет'!$A$73:$A$80,Доп.расчеты!$A97,'Как будет'!EF$73:EF$80)</f>
        <v>0</v>
      </c>
      <c r="EF97">
        <f>SUMIF('Как будет'!$A$73:$A$80,Доп.расчеты!$A97,'Как будет'!EG$73:EG$80)</f>
        <v>0</v>
      </c>
      <c r="EG97">
        <f>SUMIF('Как будет'!$A$73:$A$80,Доп.расчеты!$A97,'Как будет'!EH$73:EH$80)</f>
        <v>0</v>
      </c>
      <c r="EH97">
        <f>SUMIF('Как будет'!$A$73:$A$80,Доп.расчеты!$A97,'Как будет'!EI$73:EI$80)</f>
        <v>0</v>
      </c>
      <c r="EI97">
        <f>SUMIF('Как будет'!$A$73:$A$80,Доп.расчеты!$A97,'Как будет'!EJ$73:EJ$80)</f>
        <v>0</v>
      </c>
      <c r="EJ97">
        <f>SUMIF('Как будет'!$A$73:$A$80,Доп.расчеты!$A97,'Как будет'!EK$73:EK$80)</f>
        <v>0</v>
      </c>
      <c r="EK97">
        <f>SUMIF('Как будет'!$A$73:$A$80,Доп.расчеты!$A97,'Как будет'!EL$73:EL$80)</f>
        <v>0</v>
      </c>
      <c r="EL97">
        <f>SUMIF('Как будет'!$A$73:$A$80,Доп.расчеты!$A97,'Как будет'!EM$73:EM$80)</f>
        <v>0</v>
      </c>
      <c r="EM97">
        <f>SUMIF('Как будет'!$A$73:$A$80,Доп.расчеты!$A97,'Как будет'!EN$73:EN$80)</f>
        <v>0</v>
      </c>
      <c r="EN97">
        <f>SUMIF('Как будет'!$A$73:$A$80,Доп.расчеты!$A97,'Как будет'!EO$73:EO$80)</f>
        <v>0</v>
      </c>
      <c r="EO97">
        <f>SUMIF('Как будет'!$A$73:$A$80,Доп.расчеты!$A97,'Как будет'!EP$73:EP$80)</f>
        <v>0</v>
      </c>
      <c r="EP97">
        <f>SUMIF('Как будет'!$A$73:$A$80,Доп.расчеты!$A97,'Как будет'!EQ$73:EQ$80)</f>
        <v>0</v>
      </c>
      <c r="EQ97">
        <f>SUMIF('Как будет'!$A$73:$A$80,Доп.расчеты!$A97,'Как будет'!ER$73:ER$80)</f>
        <v>0</v>
      </c>
      <c r="ER97">
        <f>SUMIF('Как будет'!$A$73:$A$80,Доп.расчеты!$A97,'Как будет'!ES$73:ES$80)</f>
        <v>0</v>
      </c>
      <c r="ES97">
        <f>SUMIF('Как будет'!$A$73:$A$80,Доп.расчеты!$A97,'Как будет'!ET$73:ET$80)</f>
        <v>0</v>
      </c>
      <c r="ET97">
        <f>SUMIF('Как будет'!$A$73:$A$80,Доп.расчеты!$A97,'Как будет'!EU$73:EU$80)</f>
        <v>0</v>
      </c>
      <c r="EU97">
        <f>SUMIF('Как будет'!$A$73:$A$80,Доп.расчеты!$A97,'Как будет'!EV$73:EV$80)</f>
        <v>0</v>
      </c>
      <c r="EV97">
        <f>SUMIF('Как будет'!$A$73:$A$80,Доп.расчеты!$A97,'Как будет'!EW$73:EW$80)</f>
        <v>0</v>
      </c>
      <c r="EW97">
        <f>SUMIF('Как будет'!$A$73:$A$80,Доп.расчеты!$A97,'Как будет'!EX$73:EX$80)</f>
        <v>0</v>
      </c>
      <c r="EX97">
        <f>SUMIF('Как будет'!$A$73:$A$80,Доп.расчеты!$A97,'Как будет'!EY$73:EY$80)</f>
        <v>0</v>
      </c>
      <c r="EY97">
        <f>SUMIF('Как будет'!$A$73:$A$80,Доп.расчеты!$A97,'Как будет'!EZ$73:EZ$80)</f>
        <v>0</v>
      </c>
      <c r="EZ97">
        <f>SUMIF('Как будет'!$A$73:$A$80,Доп.расчеты!$A97,'Как будет'!FA$73:FA$80)</f>
        <v>0</v>
      </c>
      <c r="FA97">
        <f>SUMIF('Как будет'!$A$73:$A$80,Доп.расчеты!$A97,'Как будет'!FB$73:FB$80)</f>
        <v>0</v>
      </c>
      <c r="FB97">
        <f>SUMIF('Как будет'!$A$73:$A$80,Доп.расчеты!$A97,'Как будет'!FC$73:FC$80)</f>
        <v>0</v>
      </c>
      <c r="FC97">
        <f>SUMIF('Как будет'!$A$73:$A$80,Доп.расчеты!$A97,'Как будет'!FD$73:FD$80)</f>
        <v>0</v>
      </c>
      <c r="FD97">
        <f>SUMIF('Как будет'!$A$73:$A$80,Доп.расчеты!$A97,'Как будет'!FE$73:FE$80)</f>
        <v>0</v>
      </c>
      <c r="FE97">
        <f>SUMIF('Как будет'!$A$73:$A$80,Доп.расчеты!$A97,'Как будет'!FF$73:FF$80)</f>
        <v>0</v>
      </c>
      <c r="FF97">
        <f>SUMIF('Как будет'!$A$73:$A$80,Доп.расчеты!$A97,'Как будет'!FG$73:FG$80)</f>
        <v>0</v>
      </c>
      <c r="FG97">
        <f>SUMIF('Как будет'!$A$73:$A$80,Доп.расчеты!$A97,'Как будет'!FH$73:FH$80)</f>
        <v>0</v>
      </c>
      <c r="FH97">
        <f>SUMIF('Как будет'!$A$73:$A$80,Доп.расчеты!$A97,'Как будет'!FI$73:FI$80)</f>
        <v>0</v>
      </c>
      <c r="FI97">
        <f>SUMIF('Как будет'!$A$73:$A$80,Доп.расчеты!$A97,'Как будет'!FJ$73:FJ$80)</f>
        <v>0</v>
      </c>
      <c r="FJ97">
        <f>SUMIF('Как будет'!$A$73:$A$80,Доп.расчеты!$A97,'Как будет'!FK$73:FK$80)</f>
        <v>0</v>
      </c>
      <c r="FK97">
        <f>SUMIF('Как будет'!$A$73:$A$80,Доп.расчеты!$A97,'Как будет'!FL$73:FL$80)</f>
        <v>0</v>
      </c>
      <c r="FL97">
        <f>SUMIF('Как будет'!$A$73:$A$80,Доп.расчеты!$A97,'Как будет'!FM$73:FM$80)</f>
        <v>0</v>
      </c>
      <c r="FM97">
        <f>SUMIF('Как будет'!$A$73:$A$80,Доп.расчеты!$A97,'Как будет'!FN$73:FN$80)</f>
        <v>0</v>
      </c>
      <c r="FN97">
        <f>SUMIF('Как будет'!$A$73:$A$80,Доп.расчеты!$A97,'Как будет'!FO$73:FO$80)</f>
        <v>0</v>
      </c>
      <c r="FO97">
        <f>SUMIF('Как будет'!$A$73:$A$80,Доп.расчеты!$A97,'Как будет'!FP$73:FP$80)</f>
        <v>0</v>
      </c>
      <c r="FP97">
        <f>SUMIF('Как будет'!$A$73:$A$80,Доп.расчеты!$A97,'Как будет'!FQ$73:FQ$80)</f>
        <v>0</v>
      </c>
      <c r="FQ97">
        <f>SUMIF('Как будет'!$A$73:$A$80,Доп.расчеты!$A97,'Как будет'!FR$73:FR$80)</f>
        <v>0</v>
      </c>
      <c r="FR97">
        <f>SUMIF('Как будет'!$A$73:$A$80,Доп.расчеты!$A97,'Как будет'!FS$73:FS$80)</f>
        <v>0</v>
      </c>
      <c r="FS97">
        <f>SUMIF('Как будет'!$A$73:$A$80,Доп.расчеты!$A97,'Как будет'!FT$73:FT$80)</f>
        <v>0</v>
      </c>
      <c r="FT97">
        <f>SUMIF('Как будет'!$A$73:$A$80,Доп.расчеты!$A97,'Как будет'!FU$73:FU$80)</f>
        <v>0</v>
      </c>
      <c r="FU97">
        <f>SUMIF('Как будет'!$A$73:$A$80,Доп.расчеты!$A97,'Как будет'!FV$73:FV$80)</f>
        <v>0</v>
      </c>
      <c r="FV97">
        <f>SUMIF('Как будет'!$A$73:$A$80,Доп.расчеты!$A97,'Как будет'!FW$73:FW$80)</f>
        <v>0</v>
      </c>
      <c r="FW97">
        <f>SUMIF('Как будет'!$A$73:$A$80,Доп.расчеты!$A97,'Как будет'!FX$73:FX$80)</f>
        <v>0</v>
      </c>
      <c r="FX97">
        <f>SUMIF('Как будет'!$A$73:$A$80,Доп.расчеты!$A97,'Как будет'!FY$73:FY$80)</f>
        <v>0</v>
      </c>
      <c r="FY97">
        <f>SUMIF('Как будет'!$A$73:$A$80,Доп.расчеты!$A97,'Как будет'!FZ$73:FZ$80)</f>
        <v>0</v>
      </c>
      <c r="FZ97">
        <f>SUMIF('Как будет'!$A$73:$A$80,Доп.расчеты!$A97,'Как будет'!GA$73:GA$80)</f>
        <v>0</v>
      </c>
      <c r="GA97">
        <f>SUMIF('Как будет'!$A$73:$A$80,Доп.расчеты!$A97,'Как будет'!GB$73:GB$80)</f>
        <v>0</v>
      </c>
      <c r="GB97">
        <f>SUMIF('Как будет'!$A$73:$A$80,Доп.расчеты!$A97,'Как будет'!GC$73:GC$80)</f>
        <v>0</v>
      </c>
      <c r="GC97">
        <f>SUMIF('Как будет'!$A$73:$A$80,Доп.расчеты!$A97,'Как будет'!GD$73:GD$80)</f>
        <v>0</v>
      </c>
      <c r="GD97">
        <f>SUMIF('Как будет'!$A$73:$A$80,Доп.расчеты!$A97,'Как будет'!GE$73:GE$80)</f>
        <v>0</v>
      </c>
      <c r="GE97">
        <f>SUMIF('Как будет'!$A$73:$A$80,Доп.расчеты!$A97,'Как будет'!GF$73:GF$80)</f>
        <v>0</v>
      </c>
      <c r="GF97">
        <f>SUMIF('Как будет'!$A$73:$A$80,Доп.расчеты!$A97,'Как будет'!GG$73:GG$80)</f>
        <v>0</v>
      </c>
      <c r="GG97">
        <f>SUMIF('Как будет'!$A$73:$A$80,Доп.расчеты!$A97,'Как будет'!GH$73:GH$80)</f>
        <v>0</v>
      </c>
      <c r="GH97">
        <f>SUMIF('Как будет'!$A$73:$A$80,Доп.расчеты!$A97,'Как будет'!GI$73:GI$80)</f>
        <v>0</v>
      </c>
      <c r="GI97">
        <f>SUMIF('Как будет'!$A$73:$A$80,Доп.расчеты!$A97,'Как будет'!GJ$73:GJ$80)</f>
        <v>0</v>
      </c>
      <c r="GJ97">
        <f>SUMIF('Как будет'!$A$73:$A$80,Доп.расчеты!$A97,'Как будет'!GK$73:GK$80)</f>
        <v>0</v>
      </c>
      <c r="GK97">
        <f>SUMIF('Как будет'!$A$73:$A$80,Доп.расчеты!$A97,'Как будет'!GL$73:GL$80)</f>
        <v>0</v>
      </c>
      <c r="GL97">
        <f>SUMIF('Как будет'!$A$73:$A$80,Доп.расчеты!$A97,'Как будет'!GM$73:GM$80)</f>
        <v>0</v>
      </c>
      <c r="GM97">
        <f>SUMIF('Как будет'!$A$73:$A$80,Доп.расчеты!$A97,'Как будет'!GN$73:GN$80)</f>
        <v>0</v>
      </c>
      <c r="GN97">
        <f>SUMIF('Как будет'!$A$73:$A$80,Доп.расчеты!$A97,'Как будет'!GO$73:GO$80)</f>
        <v>0</v>
      </c>
      <c r="GO97">
        <f>SUMIF('Как будет'!$A$73:$A$80,Доп.расчеты!$A97,'Как будет'!GP$73:GP$80)</f>
        <v>0</v>
      </c>
      <c r="GP97">
        <f>SUMIF('Как будет'!$A$73:$A$80,Доп.расчеты!$A97,'Как будет'!GQ$73:GQ$80)</f>
        <v>0</v>
      </c>
      <c r="GQ97">
        <f>SUMIF('Как будет'!$A$73:$A$80,Доп.расчеты!$A97,'Как будет'!GR$73:GR$80)</f>
        <v>0</v>
      </c>
      <c r="GR97">
        <f>SUMIF('Как будет'!$A$73:$A$80,Доп.расчеты!$A97,'Как будет'!GS$73:GS$80)</f>
        <v>0</v>
      </c>
      <c r="GS97">
        <f>SUMIF('Как будет'!$A$73:$A$80,Доп.расчеты!$A97,'Как будет'!GT$73:GT$80)</f>
        <v>0</v>
      </c>
      <c r="GT97">
        <f>SUMIF('Как будет'!$A$73:$A$80,Доп.расчеты!$A97,'Как будет'!GU$73:GU$80)</f>
        <v>0</v>
      </c>
    </row>
    <row r="98" spans="1:202">
      <c r="A98" s="237" t="s">
        <v>106</v>
      </c>
      <c r="B98">
        <f>SUMIF('Как будет'!$A$73:$A$80,Доп.расчеты!$A98,'Как будет'!C$73:C$80)</f>
        <v>0</v>
      </c>
      <c r="C98">
        <f>SUMIF('Как будет'!$A$73:$A$80,Доп.расчеты!$A98,'Как будет'!D$73:D$80)</f>
        <v>0</v>
      </c>
      <c r="D98">
        <f>SUMIF('Как будет'!$A$73:$A$80,Доп.расчеты!$A98,'Как будет'!E$73:E$80)</f>
        <v>0</v>
      </c>
      <c r="E98">
        <f>SUMIF('Как будет'!$A$73:$A$80,Доп.расчеты!$A98,'Как будет'!F$73:F$80)</f>
        <v>0</v>
      </c>
      <c r="F98">
        <f>SUMIF('Как будет'!$A$73:$A$80,Доп.расчеты!$A98,'Как будет'!G$73:G$80)</f>
        <v>0</v>
      </c>
      <c r="G98">
        <f>SUMIF('Как будет'!$A$73:$A$80,Доп.расчеты!$A98,'Как будет'!H$73:H$80)</f>
        <v>0</v>
      </c>
      <c r="H98">
        <f>SUMIF('Как будет'!$A$73:$A$80,Доп.расчеты!$A98,'Как будет'!I$73:I$80)</f>
        <v>0</v>
      </c>
      <c r="I98">
        <f>SUMIF('Как будет'!$A$73:$A$80,Доп.расчеты!$A98,'Как будет'!J$73:J$80)</f>
        <v>0</v>
      </c>
      <c r="J98">
        <f>SUMIF('Как будет'!$A$73:$A$80,Доп.расчеты!$A98,'Как будет'!K$73:K$80)</f>
        <v>0</v>
      </c>
      <c r="K98">
        <f>SUMIF('Как будет'!$A$73:$A$80,Доп.расчеты!$A98,'Как будет'!L$73:L$80)</f>
        <v>0</v>
      </c>
      <c r="L98">
        <f>SUMIF('Как будет'!$A$73:$A$80,Доп.расчеты!$A98,'Как будет'!M$73:M$80)</f>
        <v>0</v>
      </c>
      <c r="M98">
        <f>SUMIF('Как будет'!$A$73:$A$80,Доп.расчеты!$A98,'Как будет'!N$73:N$80)</f>
        <v>0</v>
      </c>
      <c r="N98">
        <f>SUMIF('Как будет'!$A$73:$A$80,Доп.расчеты!$A98,'Как будет'!O$73:O$80)</f>
        <v>0</v>
      </c>
      <c r="O98">
        <f>SUMIF('Как будет'!$A$73:$A$80,Доп.расчеты!$A98,'Как будет'!P$73:P$80)</f>
        <v>0</v>
      </c>
      <c r="P98">
        <f>SUMIF('Как будет'!$A$73:$A$80,Доп.расчеты!$A98,'Как будет'!Q$73:Q$80)</f>
        <v>0</v>
      </c>
      <c r="Q98">
        <f>SUMIF('Как будет'!$A$73:$A$80,Доп.расчеты!$A98,'Как будет'!R$73:R$80)</f>
        <v>0</v>
      </c>
      <c r="R98">
        <f>SUMIF('Как будет'!$A$73:$A$80,Доп.расчеты!$A98,'Как будет'!S$73:S$80)</f>
        <v>0</v>
      </c>
      <c r="S98">
        <f>SUMIF('Как будет'!$A$73:$A$80,Доп.расчеты!$A98,'Как будет'!T$73:T$80)</f>
        <v>0</v>
      </c>
      <c r="T98">
        <f>SUMIF('Как будет'!$A$73:$A$80,Доп.расчеты!$A98,'Как будет'!U$73:U$80)</f>
        <v>0</v>
      </c>
      <c r="U98">
        <f>SUMIF('Как будет'!$A$73:$A$80,Доп.расчеты!$A98,'Как будет'!V$73:V$80)</f>
        <v>0</v>
      </c>
      <c r="V98">
        <f>SUMIF('Как будет'!$A$73:$A$80,Доп.расчеты!$A98,'Как будет'!W$73:W$80)</f>
        <v>0</v>
      </c>
      <c r="W98">
        <f>SUMIF('Как будет'!$A$73:$A$80,Доп.расчеты!$A98,'Как будет'!X$73:X$80)</f>
        <v>0</v>
      </c>
      <c r="X98">
        <f>SUMIF('Как будет'!$A$73:$A$80,Доп.расчеты!$A98,'Как будет'!Y$73:Y$80)</f>
        <v>0</v>
      </c>
      <c r="Y98">
        <f>SUMIF('Как будет'!$A$73:$A$80,Доп.расчеты!$A98,'Как будет'!Z$73:Z$80)</f>
        <v>0</v>
      </c>
      <c r="Z98">
        <f>SUMIF('Как будет'!$A$73:$A$80,Доп.расчеты!$A98,'Как будет'!AA$73:AA$80)</f>
        <v>0</v>
      </c>
      <c r="AA98">
        <f>SUMIF('Как будет'!$A$73:$A$80,Доп.расчеты!$A98,'Как будет'!AB$73:AB$80)</f>
        <v>0</v>
      </c>
      <c r="AB98">
        <f>SUMIF('Как будет'!$A$73:$A$80,Доп.расчеты!$A98,'Как будет'!AC$73:AC$80)</f>
        <v>0</v>
      </c>
      <c r="AC98">
        <f>SUMIF('Как будет'!$A$73:$A$80,Доп.расчеты!$A98,'Как будет'!AD$73:AD$80)</f>
        <v>0</v>
      </c>
      <c r="AD98">
        <f>SUMIF('Как будет'!$A$73:$A$80,Доп.расчеты!$A98,'Как будет'!AE$73:AE$80)</f>
        <v>0</v>
      </c>
      <c r="AE98">
        <f>SUMIF('Как будет'!$A$73:$A$80,Доп.расчеты!$A98,'Как будет'!AF$73:AF$80)</f>
        <v>0</v>
      </c>
      <c r="AF98">
        <f>SUMIF('Как будет'!$A$73:$A$80,Доп.расчеты!$A98,'Как будет'!AG$73:AG$80)</f>
        <v>0</v>
      </c>
      <c r="AG98">
        <f>SUMIF('Как будет'!$A$73:$A$80,Доп.расчеты!$A98,'Как будет'!AH$73:AH$80)</f>
        <v>0</v>
      </c>
      <c r="AH98">
        <f>SUMIF('Как будет'!$A$73:$A$80,Доп.расчеты!$A98,'Как будет'!AI$73:AI$80)</f>
        <v>0</v>
      </c>
      <c r="AI98">
        <f>SUMIF('Как будет'!$A$73:$A$80,Доп.расчеты!$A98,'Как будет'!AJ$73:AJ$80)</f>
        <v>0</v>
      </c>
      <c r="AJ98">
        <f>SUMIF('Как будет'!$A$73:$A$80,Доп.расчеты!$A98,'Как будет'!AK$73:AK$80)</f>
        <v>0</v>
      </c>
      <c r="AK98">
        <f>SUMIF('Как будет'!$A$73:$A$80,Доп.расчеты!$A98,'Как будет'!AL$73:AL$80)</f>
        <v>0</v>
      </c>
      <c r="AL98">
        <f>SUMIF('Как будет'!$A$73:$A$80,Доп.расчеты!$A98,'Как будет'!AM$73:AM$80)</f>
        <v>0</v>
      </c>
      <c r="AM98">
        <f>SUMIF('Как будет'!$A$73:$A$80,Доп.расчеты!$A98,'Как будет'!AN$73:AN$80)</f>
        <v>0</v>
      </c>
      <c r="AN98">
        <f>SUMIF('Как будет'!$A$73:$A$80,Доп.расчеты!$A98,'Как будет'!AO$73:AO$80)</f>
        <v>0</v>
      </c>
      <c r="AO98">
        <f>SUMIF('Как будет'!$A$73:$A$80,Доп.расчеты!$A98,'Как будет'!AP$73:AP$80)</f>
        <v>0</v>
      </c>
      <c r="AP98">
        <f>SUMIF('Как будет'!$A$73:$A$80,Доп.расчеты!$A98,'Как будет'!AQ$73:AQ$80)</f>
        <v>0</v>
      </c>
      <c r="AQ98">
        <f>SUMIF('Как будет'!$A$73:$A$80,Доп.расчеты!$A98,'Как будет'!AR$73:AR$80)</f>
        <v>0</v>
      </c>
      <c r="AR98">
        <f>SUMIF('Как будет'!$A$73:$A$80,Доп.расчеты!$A98,'Как будет'!AS$73:AS$80)</f>
        <v>0</v>
      </c>
      <c r="AS98">
        <f>SUMIF('Как будет'!$A$73:$A$80,Доп.расчеты!$A98,'Как будет'!AT$73:AT$80)</f>
        <v>0</v>
      </c>
      <c r="AT98">
        <f>SUMIF('Как будет'!$A$73:$A$80,Доп.расчеты!$A98,'Как будет'!AU$73:AU$80)</f>
        <v>0</v>
      </c>
      <c r="AU98">
        <f>SUMIF('Как будет'!$A$73:$A$80,Доп.расчеты!$A98,'Как будет'!AV$73:AV$80)</f>
        <v>0</v>
      </c>
      <c r="AV98">
        <f>SUMIF('Как будет'!$A$73:$A$80,Доп.расчеты!$A98,'Как будет'!AW$73:AW$80)</f>
        <v>0</v>
      </c>
      <c r="AW98">
        <f>SUMIF('Как будет'!$A$73:$A$80,Доп.расчеты!$A98,'Как будет'!AX$73:AX$80)</f>
        <v>0</v>
      </c>
      <c r="AX98">
        <f>SUMIF('Как будет'!$A$73:$A$80,Доп.расчеты!$A98,'Как будет'!AY$73:AY$80)</f>
        <v>0</v>
      </c>
      <c r="AY98">
        <f>SUMIF('Как будет'!$A$73:$A$80,Доп.расчеты!$A98,'Как будет'!AZ$73:AZ$80)</f>
        <v>0</v>
      </c>
      <c r="AZ98">
        <f>SUMIF('Как будет'!$A$73:$A$80,Доп.расчеты!$A98,'Как будет'!BA$73:BA$80)</f>
        <v>0</v>
      </c>
      <c r="BA98">
        <f>SUMIF('Как будет'!$A$73:$A$80,Доп.расчеты!$A98,'Как будет'!BB$73:BB$80)</f>
        <v>0</v>
      </c>
      <c r="BB98">
        <f>SUMIF('Как будет'!$A$73:$A$80,Доп.расчеты!$A98,'Как будет'!BC$73:BC$80)</f>
        <v>0</v>
      </c>
      <c r="BC98">
        <f>SUMIF('Как будет'!$A$73:$A$80,Доп.расчеты!$A98,'Как будет'!BD$73:BD$80)</f>
        <v>0</v>
      </c>
      <c r="BD98">
        <f>SUMIF('Как будет'!$A$73:$A$80,Доп.расчеты!$A98,'Как будет'!BE$73:BE$80)</f>
        <v>0</v>
      </c>
      <c r="BE98">
        <f>SUMIF('Как будет'!$A$73:$A$80,Доп.расчеты!$A98,'Как будет'!BF$73:BF$80)</f>
        <v>0</v>
      </c>
      <c r="BF98">
        <f>SUMIF('Как будет'!$A$73:$A$80,Доп.расчеты!$A98,'Как будет'!BG$73:BG$80)</f>
        <v>0</v>
      </c>
      <c r="BG98">
        <f>SUMIF('Как будет'!$A$73:$A$80,Доп.расчеты!$A98,'Как будет'!BH$73:BH$80)</f>
        <v>0</v>
      </c>
      <c r="BH98">
        <f>SUMIF('Как будет'!$A$73:$A$80,Доп.расчеты!$A98,'Как будет'!BI$73:BI$80)</f>
        <v>0</v>
      </c>
      <c r="BI98">
        <f>SUMIF('Как будет'!$A$73:$A$80,Доп.расчеты!$A98,'Как будет'!BJ$73:BJ$80)</f>
        <v>0</v>
      </c>
      <c r="BJ98">
        <f>SUMIF('Как будет'!$A$73:$A$80,Доп.расчеты!$A98,'Как будет'!BK$73:BK$80)</f>
        <v>0</v>
      </c>
      <c r="BK98">
        <f>SUMIF('Как будет'!$A$73:$A$80,Доп.расчеты!$A98,'Как будет'!BL$73:BL$80)</f>
        <v>0</v>
      </c>
      <c r="BL98">
        <f>SUMIF('Как будет'!$A$73:$A$80,Доп.расчеты!$A98,'Как будет'!BM$73:BM$80)</f>
        <v>0</v>
      </c>
      <c r="BM98">
        <f>SUMIF('Как будет'!$A$73:$A$80,Доп.расчеты!$A98,'Как будет'!BN$73:BN$80)</f>
        <v>0</v>
      </c>
      <c r="BN98">
        <f>SUMIF('Как будет'!$A$73:$A$80,Доп.расчеты!$A98,'Как будет'!BO$73:BO$80)</f>
        <v>0</v>
      </c>
      <c r="BO98">
        <f>SUMIF('Как будет'!$A$73:$A$80,Доп.расчеты!$A98,'Как будет'!BP$73:BP$80)</f>
        <v>0</v>
      </c>
      <c r="BP98">
        <f>SUMIF('Как будет'!$A$73:$A$80,Доп.расчеты!$A98,'Как будет'!BQ$73:BQ$80)</f>
        <v>0</v>
      </c>
      <c r="BQ98">
        <f>SUMIF('Как будет'!$A$73:$A$80,Доп.расчеты!$A98,'Как будет'!BR$73:BR$80)</f>
        <v>0</v>
      </c>
      <c r="BR98">
        <f>SUMIF('Как будет'!$A$73:$A$80,Доп.расчеты!$A98,'Как будет'!BS$73:BS$80)</f>
        <v>0</v>
      </c>
      <c r="BS98">
        <f>SUMIF('Как будет'!$A$73:$A$80,Доп.расчеты!$A98,'Как будет'!BT$73:BT$80)</f>
        <v>0</v>
      </c>
      <c r="BT98">
        <f>SUMIF('Как будет'!$A$73:$A$80,Доп.расчеты!$A98,'Как будет'!BU$73:BU$80)</f>
        <v>0</v>
      </c>
      <c r="BU98">
        <f>SUMIF('Как будет'!$A$73:$A$80,Доп.расчеты!$A98,'Как будет'!BV$73:BV$80)</f>
        <v>0</v>
      </c>
      <c r="BV98">
        <f>SUMIF('Как будет'!$A$73:$A$80,Доп.расчеты!$A98,'Как будет'!BW$73:BW$80)</f>
        <v>0</v>
      </c>
      <c r="BW98">
        <f>SUMIF('Как будет'!$A$73:$A$80,Доп.расчеты!$A98,'Как будет'!BX$73:BX$80)</f>
        <v>0</v>
      </c>
      <c r="BX98">
        <f>SUMIF('Как будет'!$A$73:$A$80,Доп.расчеты!$A98,'Как будет'!BY$73:BY$80)</f>
        <v>0</v>
      </c>
      <c r="BY98">
        <f>SUMIF('Как будет'!$A$73:$A$80,Доп.расчеты!$A98,'Как будет'!BZ$73:BZ$80)</f>
        <v>0</v>
      </c>
      <c r="BZ98">
        <f>SUMIF('Как будет'!$A$73:$A$80,Доп.расчеты!$A98,'Как будет'!CA$73:CA$80)</f>
        <v>0</v>
      </c>
      <c r="CA98">
        <f>SUMIF('Как будет'!$A$73:$A$80,Доп.расчеты!$A98,'Как будет'!CB$73:CB$80)</f>
        <v>0</v>
      </c>
      <c r="CB98">
        <f>SUMIF('Как будет'!$A$73:$A$80,Доп.расчеты!$A98,'Как будет'!CC$73:CC$80)</f>
        <v>0</v>
      </c>
      <c r="CC98">
        <f>SUMIF('Как будет'!$A$73:$A$80,Доп.расчеты!$A98,'Как будет'!CD$73:CD$80)</f>
        <v>0</v>
      </c>
      <c r="CD98">
        <f>SUMIF('Как будет'!$A$73:$A$80,Доп.расчеты!$A98,'Как будет'!CE$73:CE$80)</f>
        <v>0</v>
      </c>
      <c r="CE98">
        <f>SUMIF('Как будет'!$A$73:$A$80,Доп.расчеты!$A98,'Как будет'!CF$73:CF$80)</f>
        <v>0</v>
      </c>
      <c r="CF98">
        <f>SUMIF('Как будет'!$A$73:$A$80,Доп.расчеты!$A98,'Как будет'!CG$73:CG$80)</f>
        <v>0</v>
      </c>
      <c r="CG98">
        <f>SUMIF('Как будет'!$A$73:$A$80,Доп.расчеты!$A98,'Как будет'!CH$73:CH$80)</f>
        <v>0</v>
      </c>
      <c r="CH98">
        <f>SUMIF('Как будет'!$A$73:$A$80,Доп.расчеты!$A98,'Как будет'!CI$73:CI$80)</f>
        <v>0</v>
      </c>
      <c r="CI98">
        <f>SUMIF('Как будет'!$A$73:$A$80,Доп.расчеты!$A98,'Как будет'!CJ$73:CJ$80)</f>
        <v>0</v>
      </c>
      <c r="CJ98">
        <f>SUMIF('Как будет'!$A$73:$A$80,Доп.расчеты!$A98,'Как будет'!CK$73:CK$80)</f>
        <v>0</v>
      </c>
      <c r="CK98">
        <f>SUMIF('Как будет'!$A$73:$A$80,Доп.расчеты!$A98,'Как будет'!CL$73:CL$80)</f>
        <v>0</v>
      </c>
      <c r="CL98">
        <f>SUMIF('Как будет'!$A$73:$A$80,Доп.расчеты!$A98,'Как будет'!CM$73:CM$80)</f>
        <v>0</v>
      </c>
      <c r="CM98">
        <f>SUMIF('Как будет'!$A$73:$A$80,Доп.расчеты!$A98,'Как будет'!CN$73:CN$80)</f>
        <v>0</v>
      </c>
      <c r="CN98">
        <f>SUMIF('Как будет'!$A$73:$A$80,Доп.расчеты!$A98,'Как будет'!CO$73:CO$80)</f>
        <v>0</v>
      </c>
      <c r="CO98">
        <f>SUMIF('Как будет'!$A$73:$A$80,Доп.расчеты!$A98,'Как будет'!CP$73:CP$80)</f>
        <v>0</v>
      </c>
      <c r="CP98">
        <f>SUMIF('Как будет'!$A$73:$A$80,Доп.расчеты!$A98,'Как будет'!CQ$73:CQ$80)</f>
        <v>0</v>
      </c>
      <c r="CQ98">
        <f>SUMIF('Как будет'!$A$73:$A$80,Доп.расчеты!$A98,'Как будет'!CR$73:CR$80)</f>
        <v>0</v>
      </c>
      <c r="CR98">
        <f>SUMIF('Как будет'!$A$73:$A$80,Доп.расчеты!$A98,'Как будет'!CS$73:CS$80)</f>
        <v>0</v>
      </c>
      <c r="CS98">
        <f>SUMIF('Как будет'!$A$73:$A$80,Доп.расчеты!$A98,'Как будет'!CT$73:CT$80)</f>
        <v>0</v>
      </c>
      <c r="CT98">
        <f>SUMIF('Как будет'!$A$73:$A$80,Доп.расчеты!$A98,'Как будет'!CU$73:CU$80)</f>
        <v>0</v>
      </c>
      <c r="CU98">
        <f>SUMIF('Как будет'!$A$73:$A$80,Доп.расчеты!$A98,'Как будет'!CV$73:CV$80)</f>
        <v>0</v>
      </c>
      <c r="CV98">
        <f>SUMIF('Как будет'!$A$73:$A$80,Доп.расчеты!$A98,'Как будет'!CW$73:CW$80)</f>
        <v>0</v>
      </c>
      <c r="CW98">
        <f>SUMIF('Как будет'!$A$73:$A$80,Доп.расчеты!$A98,'Как будет'!CX$73:CX$80)</f>
        <v>0</v>
      </c>
      <c r="CX98">
        <f>SUMIF('Как будет'!$A$73:$A$80,Доп.расчеты!$A98,'Как будет'!CY$73:CY$80)</f>
        <v>0</v>
      </c>
      <c r="CY98">
        <f>SUMIF('Как будет'!$A$73:$A$80,Доп.расчеты!$A98,'Как будет'!CZ$73:CZ$80)</f>
        <v>0</v>
      </c>
      <c r="CZ98">
        <f>SUMIF('Как будет'!$A$73:$A$80,Доп.расчеты!$A98,'Как будет'!DA$73:DA$80)</f>
        <v>0</v>
      </c>
      <c r="DA98">
        <f>SUMIF('Как будет'!$A$73:$A$80,Доп.расчеты!$A98,'Как будет'!DB$73:DB$80)</f>
        <v>0</v>
      </c>
      <c r="DB98">
        <f>SUMIF('Как будет'!$A$73:$A$80,Доп.расчеты!$A98,'Как будет'!DC$73:DC$80)</f>
        <v>0</v>
      </c>
      <c r="DC98">
        <f>SUMIF('Как будет'!$A$73:$A$80,Доп.расчеты!$A98,'Как будет'!DD$73:DD$80)</f>
        <v>0</v>
      </c>
      <c r="DD98">
        <f>SUMIF('Как будет'!$A$73:$A$80,Доп.расчеты!$A98,'Как будет'!DE$73:DE$80)</f>
        <v>0</v>
      </c>
      <c r="DE98">
        <f>SUMIF('Как будет'!$A$73:$A$80,Доп.расчеты!$A98,'Как будет'!DF$73:DF$80)</f>
        <v>0</v>
      </c>
      <c r="DF98">
        <f>SUMIF('Как будет'!$A$73:$A$80,Доп.расчеты!$A98,'Как будет'!DG$73:DG$80)</f>
        <v>0</v>
      </c>
      <c r="DG98">
        <f>SUMIF('Как будет'!$A$73:$A$80,Доп.расчеты!$A98,'Как будет'!DH$73:DH$80)</f>
        <v>0</v>
      </c>
      <c r="DH98">
        <f>SUMIF('Как будет'!$A$73:$A$80,Доп.расчеты!$A98,'Как будет'!DI$73:DI$80)</f>
        <v>0</v>
      </c>
      <c r="DI98">
        <f>SUMIF('Как будет'!$A$73:$A$80,Доп.расчеты!$A98,'Как будет'!DJ$73:DJ$80)</f>
        <v>0</v>
      </c>
      <c r="DJ98">
        <f>SUMIF('Как будет'!$A$73:$A$80,Доп.расчеты!$A98,'Как будет'!DK$73:DK$80)</f>
        <v>0</v>
      </c>
      <c r="DK98">
        <f>SUMIF('Как будет'!$A$73:$A$80,Доп.расчеты!$A98,'Как будет'!DL$73:DL$80)</f>
        <v>0</v>
      </c>
      <c r="DL98">
        <f>SUMIF('Как будет'!$A$73:$A$80,Доп.расчеты!$A98,'Как будет'!DM$73:DM$80)</f>
        <v>0</v>
      </c>
      <c r="DM98">
        <f>SUMIF('Как будет'!$A$73:$A$80,Доп.расчеты!$A98,'Как будет'!DN$73:DN$80)</f>
        <v>0</v>
      </c>
      <c r="DN98">
        <f>SUMIF('Как будет'!$A$73:$A$80,Доп.расчеты!$A98,'Как будет'!DO$73:DO$80)</f>
        <v>0</v>
      </c>
      <c r="DO98">
        <f>SUMIF('Как будет'!$A$73:$A$80,Доп.расчеты!$A98,'Как будет'!DP$73:DP$80)</f>
        <v>0</v>
      </c>
      <c r="DP98">
        <f>SUMIF('Как будет'!$A$73:$A$80,Доп.расчеты!$A98,'Как будет'!DQ$73:DQ$80)</f>
        <v>0</v>
      </c>
      <c r="DQ98">
        <f>SUMIF('Как будет'!$A$73:$A$80,Доп.расчеты!$A98,'Как будет'!DR$73:DR$80)</f>
        <v>0</v>
      </c>
      <c r="DR98">
        <f>SUMIF('Как будет'!$A$73:$A$80,Доп.расчеты!$A98,'Как будет'!DS$73:DS$80)</f>
        <v>0</v>
      </c>
      <c r="DS98">
        <f>SUMIF('Как будет'!$A$73:$A$80,Доп.расчеты!$A98,'Как будет'!DT$73:DT$80)</f>
        <v>0</v>
      </c>
      <c r="DT98">
        <f>SUMIF('Как будет'!$A$73:$A$80,Доп.расчеты!$A98,'Как будет'!DU$73:DU$80)</f>
        <v>0</v>
      </c>
      <c r="DU98">
        <f>SUMIF('Как будет'!$A$73:$A$80,Доп.расчеты!$A98,'Как будет'!DV$73:DV$80)</f>
        <v>0</v>
      </c>
      <c r="DV98">
        <f>SUMIF('Как будет'!$A$73:$A$80,Доп.расчеты!$A98,'Как будет'!DW$73:DW$80)</f>
        <v>0</v>
      </c>
      <c r="DW98">
        <f>SUMIF('Как будет'!$A$73:$A$80,Доп.расчеты!$A98,'Как будет'!DX$73:DX$80)</f>
        <v>0</v>
      </c>
      <c r="DX98">
        <f>SUMIF('Как будет'!$A$73:$A$80,Доп.расчеты!$A98,'Как будет'!DY$73:DY$80)</f>
        <v>0</v>
      </c>
      <c r="DY98">
        <f>SUMIF('Как будет'!$A$73:$A$80,Доп.расчеты!$A98,'Как будет'!DZ$73:DZ$80)</f>
        <v>0</v>
      </c>
      <c r="DZ98">
        <f>SUMIF('Как будет'!$A$73:$A$80,Доп.расчеты!$A98,'Как будет'!EA$73:EA$80)</f>
        <v>0</v>
      </c>
      <c r="EA98">
        <f>SUMIF('Как будет'!$A$73:$A$80,Доп.расчеты!$A98,'Как будет'!EB$73:EB$80)</f>
        <v>0</v>
      </c>
      <c r="EB98">
        <f>SUMIF('Как будет'!$A$73:$A$80,Доп.расчеты!$A98,'Как будет'!EC$73:EC$80)</f>
        <v>0</v>
      </c>
      <c r="EC98">
        <f>SUMIF('Как будет'!$A$73:$A$80,Доп.расчеты!$A98,'Как будет'!ED$73:ED$80)</f>
        <v>0</v>
      </c>
      <c r="ED98">
        <f>SUMIF('Как будет'!$A$73:$A$80,Доп.расчеты!$A98,'Как будет'!EE$73:EE$80)</f>
        <v>0</v>
      </c>
      <c r="EE98">
        <f>SUMIF('Как будет'!$A$73:$A$80,Доп.расчеты!$A98,'Как будет'!EF$73:EF$80)</f>
        <v>0</v>
      </c>
      <c r="EF98">
        <f>SUMIF('Как будет'!$A$73:$A$80,Доп.расчеты!$A98,'Как будет'!EG$73:EG$80)</f>
        <v>0</v>
      </c>
      <c r="EG98">
        <f>SUMIF('Как будет'!$A$73:$A$80,Доп.расчеты!$A98,'Как будет'!EH$73:EH$80)</f>
        <v>0</v>
      </c>
      <c r="EH98">
        <f>SUMIF('Как будет'!$A$73:$A$80,Доп.расчеты!$A98,'Как будет'!EI$73:EI$80)</f>
        <v>0</v>
      </c>
      <c r="EI98">
        <f>SUMIF('Как будет'!$A$73:$A$80,Доп.расчеты!$A98,'Как будет'!EJ$73:EJ$80)</f>
        <v>0</v>
      </c>
      <c r="EJ98">
        <f>SUMIF('Как будет'!$A$73:$A$80,Доп.расчеты!$A98,'Как будет'!EK$73:EK$80)</f>
        <v>0</v>
      </c>
      <c r="EK98">
        <f>SUMIF('Как будет'!$A$73:$A$80,Доп.расчеты!$A98,'Как будет'!EL$73:EL$80)</f>
        <v>0</v>
      </c>
      <c r="EL98">
        <f>SUMIF('Как будет'!$A$73:$A$80,Доп.расчеты!$A98,'Как будет'!EM$73:EM$80)</f>
        <v>0</v>
      </c>
      <c r="EM98">
        <f>SUMIF('Как будет'!$A$73:$A$80,Доп.расчеты!$A98,'Как будет'!EN$73:EN$80)</f>
        <v>0</v>
      </c>
      <c r="EN98">
        <f>SUMIF('Как будет'!$A$73:$A$80,Доп.расчеты!$A98,'Как будет'!EO$73:EO$80)</f>
        <v>0</v>
      </c>
      <c r="EO98">
        <f>SUMIF('Как будет'!$A$73:$A$80,Доп.расчеты!$A98,'Как будет'!EP$73:EP$80)</f>
        <v>0</v>
      </c>
      <c r="EP98">
        <f>SUMIF('Как будет'!$A$73:$A$80,Доп.расчеты!$A98,'Как будет'!EQ$73:EQ$80)</f>
        <v>0</v>
      </c>
      <c r="EQ98">
        <f>SUMIF('Как будет'!$A$73:$A$80,Доп.расчеты!$A98,'Как будет'!ER$73:ER$80)</f>
        <v>0</v>
      </c>
      <c r="ER98">
        <f>SUMIF('Как будет'!$A$73:$A$80,Доп.расчеты!$A98,'Как будет'!ES$73:ES$80)</f>
        <v>0</v>
      </c>
      <c r="ES98">
        <f>SUMIF('Как будет'!$A$73:$A$80,Доп.расчеты!$A98,'Как будет'!ET$73:ET$80)</f>
        <v>0</v>
      </c>
      <c r="ET98">
        <f>SUMIF('Как будет'!$A$73:$A$80,Доп.расчеты!$A98,'Как будет'!EU$73:EU$80)</f>
        <v>0</v>
      </c>
      <c r="EU98">
        <f>SUMIF('Как будет'!$A$73:$A$80,Доп.расчеты!$A98,'Как будет'!EV$73:EV$80)</f>
        <v>0</v>
      </c>
      <c r="EV98">
        <f>SUMIF('Как будет'!$A$73:$A$80,Доп.расчеты!$A98,'Как будет'!EW$73:EW$80)</f>
        <v>0</v>
      </c>
      <c r="EW98">
        <f>SUMIF('Как будет'!$A$73:$A$80,Доп.расчеты!$A98,'Как будет'!EX$73:EX$80)</f>
        <v>0</v>
      </c>
      <c r="EX98">
        <f>SUMIF('Как будет'!$A$73:$A$80,Доп.расчеты!$A98,'Как будет'!EY$73:EY$80)</f>
        <v>0</v>
      </c>
      <c r="EY98">
        <f>SUMIF('Как будет'!$A$73:$A$80,Доп.расчеты!$A98,'Как будет'!EZ$73:EZ$80)</f>
        <v>0</v>
      </c>
      <c r="EZ98">
        <f>SUMIF('Как будет'!$A$73:$A$80,Доп.расчеты!$A98,'Как будет'!FA$73:FA$80)</f>
        <v>0</v>
      </c>
      <c r="FA98">
        <f>SUMIF('Как будет'!$A$73:$A$80,Доп.расчеты!$A98,'Как будет'!FB$73:FB$80)</f>
        <v>0</v>
      </c>
      <c r="FB98">
        <f>SUMIF('Как будет'!$A$73:$A$80,Доп.расчеты!$A98,'Как будет'!FC$73:FC$80)</f>
        <v>0</v>
      </c>
      <c r="FC98">
        <f>SUMIF('Как будет'!$A$73:$A$80,Доп.расчеты!$A98,'Как будет'!FD$73:FD$80)</f>
        <v>0</v>
      </c>
      <c r="FD98">
        <f>SUMIF('Как будет'!$A$73:$A$80,Доп.расчеты!$A98,'Как будет'!FE$73:FE$80)</f>
        <v>0</v>
      </c>
      <c r="FE98">
        <f>SUMIF('Как будет'!$A$73:$A$80,Доп.расчеты!$A98,'Как будет'!FF$73:FF$80)</f>
        <v>0</v>
      </c>
      <c r="FF98">
        <f>SUMIF('Как будет'!$A$73:$A$80,Доп.расчеты!$A98,'Как будет'!FG$73:FG$80)</f>
        <v>0</v>
      </c>
      <c r="FG98">
        <f>SUMIF('Как будет'!$A$73:$A$80,Доп.расчеты!$A98,'Как будет'!FH$73:FH$80)</f>
        <v>0</v>
      </c>
      <c r="FH98">
        <f>SUMIF('Как будет'!$A$73:$A$80,Доп.расчеты!$A98,'Как будет'!FI$73:FI$80)</f>
        <v>0</v>
      </c>
      <c r="FI98">
        <f>SUMIF('Как будет'!$A$73:$A$80,Доп.расчеты!$A98,'Как будет'!FJ$73:FJ$80)</f>
        <v>0</v>
      </c>
      <c r="FJ98">
        <f>SUMIF('Как будет'!$A$73:$A$80,Доп.расчеты!$A98,'Как будет'!FK$73:FK$80)</f>
        <v>0</v>
      </c>
      <c r="FK98">
        <f>SUMIF('Как будет'!$A$73:$A$80,Доп.расчеты!$A98,'Как будет'!FL$73:FL$80)</f>
        <v>0</v>
      </c>
      <c r="FL98">
        <f>SUMIF('Как будет'!$A$73:$A$80,Доп.расчеты!$A98,'Как будет'!FM$73:FM$80)</f>
        <v>0</v>
      </c>
      <c r="FM98">
        <f>SUMIF('Как будет'!$A$73:$A$80,Доп.расчеты!$A98,'Как будет'!FN$73:FN$80)</f>
        <v>0</v>
      </c>
      <c r="FN98">
        <f>SUMIF('Как будет'!$A$73:$A$80,Доп.расчеты!$A98,'Как будет'!FO$73:FO$80)</f>
        <v>0</v>
      </c>
      <c r="FO98">
        <f>SUMIF('Как будет'!$A$73:$A$80,Доп.расчеты!$A98,'Как будет'!FP$73:FP$80)</f>
        <v>0</v>
      </c>
      <c r="FP98">
        <f>SUMIF('Как будет'!$A$73:$A$80,Доп.расчеты!$A98,'Как будет'!FQ$73:FQ$80)</f>
        <v>0</v>
      </c>
      <c r="FQ98">
        <f>SUMIF('Как будет'!$A$73:$A$80,Доп.расчеты!$A98,'Как будет'!FR$73:FR$80)</f>
        <v>0</v>
      </c>
      <c r="FR98">
        <f>SUMIF('Как будет'!$A$73:$A$80,Доп.расчеты!$A98,'Как будет'!FS$73:FS$80)</f>
        <v>0</v>
      </c>
      <c r="FS98">
        <f>SUMIF('Как будет'!$A$73:$A$80,Доп.расчеты!$A98,'Как будет'!FT$73:FT$80)</f>
        <v>0</v>
      </c>
      <c r="FT98">
        <f>SUMIF('Как будет'!$A$73:$A$80,Доп.расчеты!$A98,'Как будет'!FU$73:FU$80)</f>
        <v>0</v>
      </c>
      <c r="FU98">
        <f>SUMIF('Как будет'!$A$73:$A$80,Доп.расчеты!$A98,'Как будет'!FV$73:FV$80)</f>
        <v>0</v>
      </c>
      <c r="FV98">
        <f>SUMIF('Как будет'!$A$73:$A$80,Доп.расчеты!$A98,'Как будет'!FW$73:FW$80)</f>
        <v>0</v>
      </c>
      <c r="FW98">
        <f>SUMIF('Как будет'!$A$73:$A$80,Доп.расчеты!$A98,'Как будет'!FX$73:FX$80)</f>
        <v>0</v>
      </c>
      <c r="FX98">
        <f>SUMIF('Как будет'!$A$73:$A$80,Доп.расчеты!$A98,'Как будет'!FY$73:FY$80)</f>
        <v>0</v>
      </c>
      <c r="FY98">
        <f>SUMIF('Как будет'!$A$73:$A$80,Доп.расчеты!$A98,'Как будет'!FZ$73:FZ$80)</f>
        <v>0</v>
      </c>
      <c r="FZ98">
        <f>SUMIF('Как будет'!$A$73:$A$80,Доп.расчеты!$A98,'Как будет'!GA$73:GA$80)</f>
        <v>0</v>
      </c>
      <c r="GA98">
        <f>SUMIF('Как будет'!$A$73:$A$80,Доп.расчеты!$A98,'Как будет'!GB$73:GB$80)</f>
        <v>0</v>
      </c>
      <c r="GB98">
        <f>SUMIF('Как будет'!$A$73:$A$80,Доп.расчеты!$A98,'Как будет'!GC$73:GC$80)</f>
        <v>0</v>
      </c>
      <c r="GC98">
        <f>SUMIF('Как будет'!$A$73:$A$80,Доп.расчеты!$A98,'Как будет'!GD$73:GD$80)</f>
        <v>0</v>
      </c>
      <c r="GD98">
        <f>SUMIF('Как будет'!$A$73:$A$80,Доп.расчеты!$A98,'Как будет'!GE$73:GE$80)</f>
        <v>0</v>
      </c>
      <c r="GE98">
        <f>SUMIF('Как будет'!$A$73:$A$80,Доп.расчеты!$A98,'Как будет'!GF$73:GF$80)</f>
        <v>0</v>
      </c>
      <c r="GF98">
        <f>SUMIF('Как будет'!$A$73:$A$80,Доп.расчеты!$A98,'Как будет'!GG$73:GG$80)</f>
        <v>0</v>
      </c>
      <c r="GG98">
        <f>SUMIF('Как будет'!$A$73:$A$80,Доп.расчеты!$A98,'Как будет'!GH$73:GH$80)</f>
        <v>0</v>
      </c>
      <c r="GH98">
        <f>SUMIF('Как будет'!$A$73:$A$80,Доп.расчеты!$A98,'Как будет'!GI$73:GI$80)</f>
        <v>0</v>
      </c>
      <c r="GI98">
        <f>SUMIF('Как будет'!$A$73:$A$80,Доп.расчеты!$A98,'Как будет'!GJ$73:GJ$80)</f>
        <v>0</v>
      </c>
      <c r="GJ98">
        <f>SUMIF('Как будет'!$A$73:$A$80,Доп.расчеты!$A98,'Как будет'!GK$73:GK$80)</f>
        <v>0</v>
      </c>
      <c r="GK98">
        <f>SUMIF('Как будет'!$A$73:$A$80,Доп.расчеты!$A98,'Как будет'!GL$73:GL$80)</f>
        <v>0</v>
      </c>
      <c r="GL98">
        <f>SUMIF('Как будет'!$A$73:$A$80,Доп.расчеты!$A98,'Как будет'!GM$73:GM$80)</f>
        <v>0</v>
      </c>
      <c r="GM98">
        <f>SUMIF('Как будет'!$A$73:$A$80,Доп.расчеты!$A98,'Как будет'!GN$73:GN$80)</f>
        <v>0</v>
      </c>
      <c r="GN98">
        <f>SUMIF('Как будет'!$A$73:$A$80,Доп.расчеты!$A98,'Как будет'!GO$73:GO$80)</f>
        <v>0</v>
      </c>
      <c r="GO98">
        <f>SUMIF('Как будет'!$A$73:$A$80,Доп.расчеты!$A98,'Как будет'!GP$73:GP$80)</f>
        <v>0</v>
      </c>
      <c r="GP98">
        <f>SUMIF('Как будет'!$A$73:$A$80,Доп.расчеты!$A98,'Как будет'!GQ$73:GQ$80)</f>
        <v>0</v>
      </c>
      <c r="GQ98">
        <f>SUMIF('Как будет'!$A$73:$A$80,Доп.расчеты!$A98,'Как будет'!GR$73:GR$80)</f>
        <v>0</v>
      </c>
      <c r="GR98">
        <f>SUMIF('Как будет'!$A$73:$A$80,Доп.расчеты!$A98,'Как будет'!GS$73:GS$80)</f>
        <v>0</v>
      </c>
      <c r="GS98">
        <f>SUMIF('Как будет'!$A$73:$A$80,Доп.расчеты!$A98,'Как будет'!GT$73:GT$80)</f>
        <v>0</v>
      </c>
      <c r="GT98">
        <f>SUMIF('Как будет'!$A$73:$A$80,Доп.расчеты!$A98,'Как будет'!GU$73:GU$80)</f>
        <v>0</v>
      </c>
    </row>
    <row r="99" spans="1:202">
      <c r="A99" s="237" t="s">
        <v>107</v>
      </c>
      <c r="B99">
        <f>SUMIF('Как будет'!$A$73:$A$80,Доп.расчеты!$A99,'Как будет'!C$73:C$80)</f>
        <v>0</v>
      </c>
      <c r="C99">
        <f>SUMIF('Как будет'!$A$73:$A$80,Доп.расчеты!$A99,'Как будет'!D$73:D$80)</f>
        <v>0</v>
      </c>
      <c r="D99">
        <f>SUMIF('Как будет'!$A$73:$A$80,Доп.расчеты!$A99,'Как будет'!E$73:E$80)</f>
        <v>0</v>
      </c>
      <c r="E99">
        <f>SUMIF('Как будет'!$A$73:$A$80,Доп.расчеты!$A99,'Как будет'!F$73:F$80)</f>
        <v>0</v>
      </c>
      <c r="F99">
        <f>SUMIF('Как будет'!$A$73:$A$80,Доп.расчеты!$A99,'Как будет'!G$73:G$80)</f>
        <v>0</v>
      </c>
      <c r="G99">
        <f>SUMIF('Как будет'!$A$73:$A$80,Доп.расчеты!$A99,'Как будет'!H$73:H$80)</f>
        <v>0</v>
      </c>
      <c r="H99">
        <f>SUMIF('Как будет'!$A$73:$A$80,Доп.расчеты!$A99,'Как будет'!I$73:I$80)</f>
        <v>0</v>
      </c>
      <c r="I99">
        <f>SUMIF('Как будет'!$A$73:$A$80,Доп.расчеты!$A99,'Как будет'!J$73:J$80)</f>
        <v>0</v>
      </c>
      <c r="J99">
        <f>SUMIF('Как будет'!$A$73:$A$80,Доп.расчеты!$A99,'Как будет'!K$73:K$80)</f>
        <v>0</v>
      </c>
      <c r="K99">
        <f>SUMIF('Как будет'!$A$73:$A$80,Доп.расчеты!$A99,'Как будет'!L$73:L$80)</f>
        <v>0</v>
      </c>
      <c r="L99">
        <f>SUMIF('Как будет'!$A$73:$A$80,Доп.расчеты!$A99,'Как будет'!M$73:M$80)</f>
        <v>0</v>
      </c>
      <c r="M99">
        <f>SUMIF('Как будет'!$A$73:$A$80,Доп.расчеты!$A99,'Как будет'!N$73:N$80)</f>
        <v>0</v>
      </c>
      <c r="N99">
        <f>SUMIF('Как будет'!$A$73:$A$80,Доп.расчеты!$A99,'Как будет'!O$73:O$80)</f>
        <v>0</v>
      </c>
      <c r="O99">
        <f>SUMIF('Как будет'!$A$73:$A$80,Доп.расчеты!$A99,'Как будет'!P$73:P$80)</f>
        <v>0</v>
      </c>
      <c r="P99">
        <f>SUMIF('Как будет'!$A$73:$A$80,Доп.расчеты!$A99,'Как будет'!Q$73:Q$80)</f>
        <v>0</v>
      </c>
      <c r="Q99">
        <f>SUMIF('Как будет'!$A$73:$A$80,Доп.расчеты!$A99,'Как будет'!R$73:R$80)</f>
        <v>0</v>
      </c>
      <c r="R99">
        <f>SUMIF('Как будет'!$A$73:$A$80,Доп.расчеты!$A99,'Как будет'!S$73:S$80)</f>
        <v>0</v>
      </c>
      <c r="S99">
        <f>SUMIF('Как будет'!$A$73:$A$80,Доп.расчеты!$A99,'Как будет'!T$73:T$80)</f>
        <v>0</v>
      </c>
      <c r="T99">
        <f>SUMIF('Как будет'!$A$73:$A$80,Доп.расчеты!$A99,'Как будет'!U$73:U$80)</f>
        <v>0</v>
      </c>
      <c r="U99">
        <f>SUMIF('Как будет'!$A$73:$A$80,Доп.расчеты!$A99,'Как будет'!V$73:V$80)</f>
        <v>0</v>
      </c>
      <c r="V99">
        <f>SUMIF('Как будет'!$A$73:$A$80,Доп.расчеты!$A99,'Как будет'!W$73:W$80)</f>
        <v>0</v>
      </c>
      <c r="W99">
        <f>SUMIF('Как будет'!$A$73:$A$80,Доп.расчеты!$A99,'Как будет'!X$73:X$80)</f>
        <v>0</v>
      </c>
      <c r="X99">
        <f>SUMIF('Как будет'!$A$73:$A$80,Доп.расчеты!$A99,'Как будет'!Y$73:Y$80)</f>
        <v>0</v>
      </c>
      <c r="Y99">
        <f>SUMIF('Как будет'!$A$73:$A$80,Доп.расчеты!$A99,'Как будет'!Z$73:Z$80)</f>
        <v>0</v>
      </c>
      <c r="Z99">
        <f>SUMIF('Как будет'!$A$73:$A$80,Доп.расчеты!$A99,'Как будет'!AA$73:AA$80)</f>
        <v>0</v>
      </c>
      <c r="AA99">
        <f>SUMIF('Как будет'!$A$73:$A$80,Доп.расчеты!$A99,'Как будет'!AB$73:AB$80)</f>
        <v>0</v>
      </c>
      <c r="AB99">
        <f>SUMIF('Как будет'!$A$73:$A$80,Доп.расчеты!$A99,'Как будет'!AC$73:AC$80)</f>
        <v>0</v>
      </c>
      <c r="AC99">
        <f>SUMIF('Как будет'!$A$73:$A$80,Доп.расчеты!$A99,'Как будет'!AD$73:AD$80)</f>
        <v>0</v>
      </c>
      <c r="AD99">
        <f>SUMIF('Как будет'!$A$73:$A$80,Доп.расчеты!$A99,'Как будет'!AE$73:AE$80)</f>
        <v>0</v>
      </c>
      <c r="AE99">
        <f>SUMIF('Как будет'!$A$73:$A$80,Доп.расчеты!$A99,'Как будет'!AF$73:AF$80)</f>
        <v>0</v>
      </c>
      <c r="AF99">
        <f>SUMIF('Как будет'!$A$73:$A$80,Доп.расчеты!$A99,'Как будет'!AG$73:AG$80)</f>
        <v>0</v>
      </c>
      <c r="AG99">
        <f>SUMIF('Как будет'!$A$73:$A$80,Доп.расчеты!$A99,'Как будет'!AH$73:AH$80)</f>
        <v>0</v>
      </c>
      <c r="AH99">
        <f>SUMIF('Как будет'!$A$73:$A$80,Доп.расчеты!$A99,'Как будет'!AI$73:AI$80)</f>
        <v>0</v>
      </c>
      <c r="AI99">
        <f>SUMIF('Как будет'!$A$73:$A$80,Доп.расчеты!$A99,'Как будет'!AJ$73:AJ$80)</f>
        <v>0</v>
      </c>
      <c r="AJ99">
        <f>SUMIF('Как будет'!$A$73:$A$80,Доп.расчеты!$A99,'Как будет'!AK$73:AK$80)</f>
        <v>0</v>
      </c>
      <c r="AK99">
        <f>SUMIF('Как будет'!$A$73:$A$80,Доп.расчеты!$A99,'Как будет'!AL$73:AL$80)</f>
        <v>0</v>
      </c>
      <c r="AL99">
        <f>SUMIF('Как будет'!$A$73:$A$80,Доп.расчеты!$A99,'Как будет'!AM$73:AM$80)</f>
        <v>0</v>
      </c>
      <c r="AM99">
        <f>SUMIF('Как будет'!$A$73:$A$80,Доп.расчеты!$A99,'Как будет'!AN$73:AN$80)</f>
        <v>0</v>
      </c>
      <c r="AN99">
        <f>SUMIF('Как будет'!$A$73:$A$80,Доп.расчеты!$A99,'Как будет'!AO$73:AO$80)</f>
        <v>0</v>
      </c>
      <c r="AO99">
        <f>SUMIF('Как будет'!$A$73:$A$80,Доп.расчеты!$A99,'Как будет'!AP$73:AP$80)</f>
        <v>0</v>
      </c>
      <c r="AP99">
        <f>SUMIF('Как будет'!$A$73:$A$80,Доп.расчеты!$A99,'Как будет'!AQ$73:AQ$80)</f>
        <v>0</v>
      </c>
      <c r="AQ99">
        <f>SUMIF('Как будет'!$A$73:$A$80,Доп.расчеты!$A99,'Как будет'!AR$73:AR$80)</f>
        <v>0</v>
      </c>
      <c r="AR99">
        <f>SUMIF('Как будет'!$A$73:$A$80,Доп.расчеты!$A99,'Как будет'!AS$73:AS$80)</f>
        <v>0</v>
      </c>
      <c r="AS99">
        <f>SUMIF('Как будет'!$A$73:$A$80,Доп.расчеты!$A99,'Как будет'!AT$73:AT$80)</f>
        <v>0</v>
      </c>
      <c r="AT99">
        <f>SUMIF('Как будет'!$A$73:$A$80,Доп.расчеты!$A99,'Как будет'!AU$73:AU$80)</f>
        <v>0</v>
      </c>
      <c r="AU99">
        <f>SUMIF('Как будет'!$A$73:$A$80,Доп.расчеты!$A99,'Как будет'!AV$73:AV$80)</f>
        <v>0</v>
      </c>
      <c r="AV99">
        <f>SUMIF('Как будет'!$A$73:$A$80,Доп.расчеты!$A99,'Как будет'!AW$73:AW$80)</f>
        <v>0</v>
      </c>
      <c r="AW99">
        <f>SUMIF('Как будет'!$A$73:$A$80,Доп.расчеты!$A99,'Как будет'!AX$73:AX$80)</f>
        <v>0</v>
      </c>
      <c r="AX99">
        <f>SUMIF('Как будет'!$A$73:$A$80,Доп.расчеты!$A99,'Как будет'!AY$73:AY$80)</f>
        <v>0</v>
      </c>
      <c r="AY99">
        <f>SUMIF('Как будет'!$A$73:$A$80,Доп.расчеты!$A99,'Как будет'!AZ$73:AZ$80)</f>
        <v>0</v>
      </c>
      <c r="AZ99">
        <f>SUMIF('Как будет'!$A$73:$A$80,Доп.расчеты!$A99,'Как будет'!BA$73:BA$80)</f>
        <v>0</v>
      </c>
      <c r="BA99">
        <f>SUMIF('Как будет'!$A$73:$A$80,Доп.расчеты!$A99,'Как будет'!BB$73:BB$80)</f>
        <v>0</v>
      </c>
      <c r="BB99">
        <f>SUMIF('Как будет'!$A$73:$A$80,Доп.расчеты!$A99,'Как будет'!BC$73:BC$80)</f>
        <v>0</v>
      </c>
      <c r="BC99">
        <f>SUMIF('Как будет'!$A$73:$A$80,Доп.расчеты!$A99,'Как будет'!BD$73:BD$80)</f>
        <v>0</v>
      </c>
      <c r="BD99">
        <f>SUMIF('Как будет'!$A$73:$A$80,Доп.расчеты!$A99,'Как будет'!BE$73:BE$80)</f>
        <v>0</v>
      </c>
      <c r="BE99">
        <f>SUMIF('Как будет'!$A$73:$A$80,Доп.расчеты!$A99,'Как будет'!BF$73:BF$80)</f>
        <v>0</v>
      </c>
      <c r="BF99">
        <f>SUMIF('Как будет'!$A$73:$A$80,Доп.расчеты!$A99,'Как будет'!BG$73:BG$80)</f>
        <v>0</v>
      </c>
      <c r="BG99">
        <f>SUMIF('Как будет'!$A$73:$A$80,Доп.расчеты!$A99,'Как будет'!BH$73:BH$80)</f>
        <v>0</v>
      </c>
      <c r="BH99">
        <f>SUMIF('Как будет'!$A$73:$A$80,Доп.расчеты!$A99,'Как будет'!BI$73:BI$80)</f>
        <v>0</v>
      </c>
      <c r="BI99">
        <f>SUMIF('Как будет'!$A$73:$A$80,Доп.расчеты!$A99,'Как будет'!BJ$73:BJ$80)</f>
        <v>0</v>
      </c>
      <c r="BJ99">
        <f>SUMIF('Как будет'!$A$73:$A$80,Доп.расчеты!$A99,'Как будет'!BK$73:BK$80)</f>
        <v>0</v>
      </c>
      <c r="BK99">
        <f>SUMIF('Как будет'!$A$73:$A$80,Доп.расчеты!$A99,'Как будет'!BL$73:BL$80)</f>
        <v>0</v>
      </c>
      <c r="BL99">
        <f>SUMIF('Как будет'!$A$73:$A$80,Доп.расчеты!$A99,'Как будет'!BM$73:BM$80)</f>
        <v>0</v>
      </c>
      <c r="BM99">
        <f>SUMIF('Как будет'!$A$73:$A$80,Доп.расчеты!$A99,'Как будет'!BN$73:BN$80)</f>
        <v>0</v>
      </c>
      <c r="BN99">
        <f>SUMIF('Как будет'!$A$73:$A$80,Доп.расчеты!$A99,'Как будет'!BO$73:BO$80)</f>
        <v>0</v>
      </c>
      <c r="BO99">
        <f>SUMIF('Как будет'!$A$73:$A$80,Доп.расчеты!$A99,'Как будет'!BP$73:BP$80)</f>
        <v>0</v>
      </c>
      <c r="BP99">
        <f>SUMIF('Как будет'!$A$73:$A$80,Доп.расчеты!$A99,'Как будет'!BQ$73:BQ$80)</f>
        <v>0</v>
      </c>
      <c r="BQ99">
        <f>SUMIF('Как будет'!$A$73:$A$80,Доп.расчеты!$A99,'Как будет'!BR$73:BR$80)</f>
        <v>0</v>
      </c>
      <c r="BR99">
        <f>SUMIF('Как будет'!$A$73:$A$80,Доп.расчеты!$A99,'Как будет'!BS$73:BS$80)</f>
        <v>0</v>
      </c>
      <c r="BS99">
        <f>SUMIF('Как будет'!$A$73:$A$80,Доп.расчеты!$A99,'Как будет'!BT$73:BT$80)</f>
        <v>0</v>
      </c>
      <c r="BT99">
        <f>SUMIF('Как будет'!$A$73:$A$80,Доп.расчеты!$A99,'Как будет'!BU$73:BU$80)</f>
        <v>0</v>
      </c>
      <c r="BU99">
        <f>SUMIF('Как будет'!$A$73:$A$80,Доп.расчеты!$A99,'Как будет'!BV$73:BV$80)</f>
        <v>0</v>
      </c>
      <c r="BV99">
        <f>SUMIF('Как будет'!$A$73:$A$80,Доп.расчеты!$A99,'Как будет'!BW$73:BW$80)</f>
        <v>0</v>
      </c>
      <c r="BW99">
        <f>SUMIF('Как будет'!$A$73:$A$80,Доп.расчеты!$A99,'Как будет'!BX$73:BX$80)</f>
        <v>0</v>
      </c>
      <c r="BX99">
        <f>SUMIF('Как будет'!$A$73:$A$80,Доп.расчеты!$A99,'Как будет'!BY$73:BY$80)</f>
        <v>0</v>
      </c>
      <c r="BY99">
        <f>SUMIF('Как будет'!$A$73:$A$80,Доп.расчеты!$A99,'Как будет'!BZ$73:BZ$80)</f>
        <v>0</v>
      </c>
      <c r="BZ99">
        <f>SUMIF('Как будет'!$A$73:$A$80,Доп.расчеты!$A99,'Как будет'!CA$73:CA$80)</f>
        <v>0</v>
      </c>
      <c r="CA99">
        <f>SUMIF('Как будет'!$A$73:$A$80,Доп.расчеты!$A99,'Как будет'!CB$73:CB$80)</f>
        <v>0</v>
      </c>
      <c r="CB99">
        <f>SUMIF('Как будет'!$A$73:$A$80,Доп.расчеты!$A99,'Как будет'!CC$73:CC$80)</f>
        <v>0</v>
      </c>
      <c r="CC99">
        <f>SUMIF('Как будет'!$A$73:$A$80,Доп.расчеты!$A99,'Как будет'!CD$73:CD$80)</f>
        <v>0</v>
      </c>
      <c r="CD99">
        <f>SUMIF('Как будет'!$A$73:$A$80,Доп.расчеты!$A99,'Как будет'!CE$73:CE$80)</f>
        <v>0</v>
      </c>
      <c r="CE99">
        <f>SUMIF('Как будет'!$A$73:$A$80,Доп.расчеты!$A99,'Как будет'!CF$73:CF$80)</f>
        <v>0</v>
      </c>
      <c r="CF99">
        <f>SUMIF('Как будет'!$A$73:$A$80,Доп.расчеты!$A99,'Как будет'!CG$73:CG$80)</f>
        <v>0</v>
      </c>
      <c r="CG99">
        <f>SUMIF('Как будет'!$A$73:$A$80,Доп.расчеты!$A99,'Как будет'!CH$73:CH$80)</f>
        <v>0</v>
      </c>
      <c r="CH99">
        <f>SUMIF('Как будет'!$A$73:$A$80,Доп.расчеты!$A99,'Как будет'!CI$73:CI$80)</f>
        <v>0</v>
      </c>
      <c r="CI99">
        <f>SUMIF('Как будет'!$A$73:$A$80,Доп.расчеты!$A99,'Как будет'!CJ$73:CJ$80)</f>
        <v>0</v>
      </c>
      <c r="CJ99">
        <f>SUMIF('Как будет'!$A$73:$A$80,Доп.расчеты!$A99,'Как будет'!CK$73:CK$80)</f>
        <v>0</v>
      </c>
      <c r="CK99">
        <f>SUMIF('Как будет'!$A$73:$A$80,Доп.расчеты!$A99,'Как будет'!CL$73:CL$80)</f>
        <v>0</v>
      </c>
      <c r="CL99">
        <f>SUMIF('Как будет'!$A$73:$A$80,Доп.расчеты!$A99,'Как будет'!CM$73:CM$80)</f>
        <v>0</v>
      </c>
      <c r="CM99">
        <f>SUMIF('Как будет'!$A$73:$A$80,Доп.расчеты!$A99,'Как будет'!CN$73:CN$80)</f>
        <v>0</v>
      </c>
      <c r="CN99">
        <f>SUMIF('Как будет'!$A$73:$A$80,Доп.расчеты!$A99,'Как будет'!CO$73:CO$80)</f>
        <v>0</v>
      </c>
      <c r="CO99">
        <f>SUMIF('Как будет'!$A$73:$A$80,Доп.расчеты!$A99,'Как будет'!CP$73:CP$80)</f>
        <v>0</v>
      </c>
      <c r="CP99">
        <f>SUMIF('Как будет'!$A$73:$A$80,Доп.расчеты!$A99,'Как будет'!CQ$73:CQ$80)</f>
        <v>0</v>
      </c>
      <c r="CQ99">
        <f>SUMIF('Как будет'!$A$73:$A$80,Доп.расчеты!$A99,'Как будет'!CR$73:CR$80)</f>
        <v>0</v>
      </c>
      <c r="CR99">
        <f>SUMIF('Как будет'!$A$73:$A$80,Доп.расчеты!$A99,'Как будет'!CS$73:CS$80)</f>
        <v>0</v>
      </c>
      <c r="CS99">
        <f>SUMIF('Как будет'!$A$73:$A$80,Доп.расчеты!$A99,'Как будет'!CT$73:CT$80)</f>
        <v>0</v>
      </c>
      <c r="CT99">
        <f>SUMIF('Как будет'!$A$73:$A$80,Доп.расчеты!$A99,'Как будет'!CU$73:CU$80)</f>
        <v>0</v>
      </c>
      <c r="CU99">
        <f>SUMIF('Как будет'!$A$73:$A$80,Доп.расчеты!$A99,'Как будет'!CV$73:CV$80)</f>
        <v>0</v>
      </c>
      <c r="CV99">
        <f>SUMIF('Как будет'!$A$73:$A$80,Доп.расчеты!$A99,'Как будет'!CW$73:CW$80)</f>
        <v>0</v>
      </c>
      <c r="CW99">
        <f>SUMIF('Как будет'!$A$73:$A$80,Доп.расчеты!$A99,'Как будет'!CX$73:CX$80)</f>
        <v>0</v>
      </c>
      <c r="CX99">
        <f>SUMIF('Как будет'!$A$73:$A$80,Доп.расчеты!$A99,'Как будет'!CY$73:CY$80)</f>
        <v>0</v>
      </c>
      <c r="CY99">
        <f>SUMIF('Как будет'!$A$73:$A$80,Доп.расчеты!$A99,'Как будет'!CZ$73:CZ$80)</f>
        <v>0</v>
      </c>
      <c r="CZ99">
        <f>SUMIF('Как будет'!$A$73:$A$80,Доп.расчеты!$A99,'Как будет'!DA$73:DA$80)</f>
        <v>0</v>
      </c>
      <c r="DA99">
        <f>SUMIF('Как будет'!$A$73:$A$80,Доп.расчеты!$A99,'Как будет'!DB$73:DB$80)</f>
        <v>0</v>
      </c>
      <c r="DB99">
        <f>SUMIF('Как будет'!$A$73:$A$80,Доп.расчеты!$A99,'Как будет'!DC$73:DC$80)</f>
        <v>0</v>
      </c>
      <c r="DC99">
        <f>SUMIF('Как будет'!$A$73:$A$80,Доп.расчеты!$A99,'Как будет'!DD$73:DD$80)</f>
        <v>0</v>
      </c>
      <c r="DD99">
        <f>SUMIF('Как будет'!$A$73:$A$80,Доп.расчеты!$A99,'Как будет'!DE$73:DE$80)</f>
        <v>0</v>
      </c>
      <c r="DE99">
        <f>SUMIF('Как будет'!$A$73:$A$80,Доп.расчеты!$A99,'Как будет'!DF$73:DF$80)</f>
        <v>0</v>
      </c>
      <c r="DF99">
        <f>SUMIF('Как будет'!$A$73:$A$80,Доп.расчеты!$A99,'Как будет'!DG$73:DG$80)</f>
        <v>0</v>
      </c>
      <c r="DG99">
        <f>SUMIF('Как будет'!$A$73:$A$80,Доп.расчеты!$A99,'Как будет'!DH$73:DH$80)</f>
        <v>0</v>
      </c>
      <c r="DH99">
        <f>SUMIF('Как будет'!$A$73:$A$80,Доп.расчеты!$A99,'Как будет'!DI$73:DI$80)</f>
        <v>0</v>
      </c>
      <c r="DI99">
        <f>SUMIF('Как будет'!$A$73:$A$80,Доп.расчеты!$A99,'Как будет'!DJ$73:DJ$80)</f>
        <v>0</v>
      </c>
      <c r="DJ99">
        <f>SUMIF('Как будет'!$A$73:$A$80,Доп.расчеты!$A99,'Как будет'!DK$73:DK$80)</f>
        <v>0</v>
      </c>
      <c r="DK99">
        <f>SUMIF('Как будет'!$A$73:$A$80,Доп.расчеты!$A99,'Как будет'!DL$73:DL$80)</f>
        <v>0</v>
      </c>
      <c r="DL99">
        <f>SUMIF('Как будет'!$A$73:$A$80,Доп.расчеты!$A99,'Как будет'!DM$73:DM$80)</f>
        <v>0</v>
      </c>
      <c r="DM99">
        <f>SUMIF('Как будет'!$A$73:$A$80,Доп.расчеты!$A99,'Как будет'!DN$73:DN$80)</f>
        <v>0</v>
      </c>
      <c r="DN99">
        <f>SUMIF('Как будет'!$A$73:$A$80,Доп.расчеты!$A99,'Как будет'!DO$73:DO$80)</f>
        <v>0</v>
      </c>
      <c r="DO99">
        <f>SUMIF('Как будет'!$A$73:$A$80,Доп.расчеты!$A99,'Как будет'!DP$73:DP$80)</f>
        <v>0</v>
      </c>
      <c r="DP99">
        <f>SUMIF('Как будет'!$A$73:$A$80,Доп.расчеты!$A99,'Как будет'!DQ$73:DQ$80)</f>
        <v>0</v>
      </c>
      <c r="DQ99">
        <f>SUMIF('Как будет'!$A$73:$A$80,Доп.расчеты!$A99,'Как будет'!DR$73:DR$80)</f>
        <v>0</v>
      </c>
      <c r="DR99">
        <f>SUMIF('Как будет'!$A$73:$A$80,Доп.расчеты!$A99,'Как будет'!DS$73:DS$80)</f>
        <v>0</v>
      </c>
      <c r="DS99">
        <f>SUMIF('Как будет'!$A$73:$A$80,Доп.расчеты!$A99,'Как будет'!DT$73:DT$80)</f>
        <v>0</v>
      </c>
      <c r="DT99">
        <f>SUMIF('Как будет'!$A$73:$A$80,Доп.расчеты!$A99,'Как будет'!DU$73:DU$80)</f>
        <v>0</v>
      </c>
      <c r="DU99">
        <f>SUMIF('Как будет'!$A$73:$A$80,Доп.расчеты!$A99,'Как будет'!DV$73:DV$80)</f>
        <v>0</v>
      </c>
      <c r="DV99">
        <f>SUMIF('Как будет'!$A$73:$A$80,Доп.расчеты!$A99,'Как будет'!DW$73:DW$80)</f>
        <v>0</v>
      </c>
      <c r="DW99">
        <f>SUMIF('Как будет'!$A$73:$A$80,Доп.расчеты!$A99,'Как будет'!DX$73:DX$80)</f>
        <v>0</v>
      </c>
      <c r="DX99">
        <f>SUMIF('Как будет'!$A$73:$A$80,Доп.расчеты!$A99,'Как будет'!DY$73:DY$80)</f>
        <v>0</v>
      </c>
      <c r="DY99">
        <f>SUMIF('Как будет'!$A$73:$A$80,Доп.расчеты!$A99,'Как будет'!DZ$73:DZ$80)</f>
        <v>0</v>
      </c>
      <c r="DZ99">
        <f>SUMIF('Как будет'!$A$73:$A$80,Доп.расчеты!$A99,'Как будет'!EA$73:EA$80)</f>
        <v>0</v>
      </c>
      <c r="EA99">
        <f>SUMIF('Как будет'!$A$73:$A$80,Доп.расчеты!$A99,'Как будет'!EB$73:EB$80)</f>
        <v>0</v>
      </c>
      <c r="EB99">
        <f>SUMIF('Как будет'!$A$73:$A$80,Доп.расчеты!$A99,'Как будет'!EC$73:EC$80)</f>
        <v>0</v>
      </c>
      <c r="EC99">
        <f>SUMIF('Как будет'!$A$73:$A$80,Доп.расчеты!$A99,'Как будет'!ED$73:ED$80)</f>
        <v>0</v>
      </c>
      <c r="ED99">
        <f>SUMIF('Как будет'!$A$73:$A$80,Доп.расчеты!$A99,'Как будет'!EE$73:EE$80)</f>
        <v>0</v>
      </c>
      <c r="EE99">
        <f>SUMIF('Как будет'!$A$73:$A$80,Доп.расчеты!$A99,'Как будет'!EF$73:EF$80)</f>
        <v>0</v>
      </c>
      <c r="EF99">
        <f>SUMIF('Как будет'!$A$73:$A$80,Доп.расчеты!$A99,'Как будет'!EG$73:EG$80)</f>
        <v>0</v>
      </c>
      <c r="EG99">
        <f>SUMIF('Как будет'!$A$73:$A$80,Доп.расчеты!$A99,'Как будет'!EH$73:EH$80)</f>
        <v>0</v>
      </c>
      <c r="EH99">
        <f>SUMIF('Как будет'!$A$73:$A$80,Доп.расчеты!$A99,'Как будет'!EI$73:EI$80)</f>
        <v>0</v>
      </c>
      <c r="EI99">
        <f>SUMIF('Как будет'!$A$73:$A$80,Доп.расчеты!$A99,'Как будет'!EJ$73:EJ$80)</f>
        <v>0</v>
      </c>
      <c r="EJ99">
        <f>SUMIF('Как будет'!$A$73:$A$80,Доп.расчеты!$A99,'Как будет'!EK$73:EK$80)</f>
        <v>0</v>
      </c>
      <c r="EK99">
        <f>SUMIF('Как будет'!$A$73:$A$80,Доп.расчеты!$A99,'Как будет'!EL$73:EL$80)</f>
        <v>0</v>
      </c>
      <c r="EL99">
        <f>SUMIF('Как будет'!$A$73:$A$80,Доп.расчеты!$A99,'Как будет'!EM$73:EM$80)</f>
        <v>0</v>
      </c>
      <c r="EM99">
        <f>SUMIF('Как будет'!$A$73:$A$80,Доп.расчеты!$A99,'Как будет'!EN$73:EN$80)</f>
        <v>0</v>
      </c>
      <c r="EN99">
        <f>SUMIF('Как будет'!$A$73:$A$80,Доп.расчеты!$A99,'Как будет'!EO$73:EO$80)</f>
        <v>0</v>
      </c>
      <c r="EO99">
        <f>SUMIF('Как будет'!$A$73:$A$80,Доп.расчеты!$A99,'Как будет'!EP$73:EP$80)</f>
        <v>0</v>
      </c>
      <c r="EP99">
        <f>SUMIF('Как будет'!$A$73:$A$80,Доп.расчеты!$A99,'Как будет'!EQ$73:EQ$80)</f>
        <v>0</v>
      </c>
      <c r="EQ99">
        <f>SUMIF('Как будет'!$A$73:$A$80,Доп.расчеты!$A99,'Как будет'!ER$73:ER$80)</f>
        <v>0</v>
      </c>
      <c r="ER99">
        <f>SUMIF('Как будет'!$A$73:$A$80,Доп.расчеты!$A99,'Как будет'!ES$73:ES$80)</f>
        <v>0</v>
      </c>
      <c r="ES99">
        <f>SUMIF('Как будет'!$A$73:$A$80,Доп.расчеты!$A99,'Как будет'!ET$73:ET$80)</f>
        <v>0</v>
      </c>
      <c r="ET99">
        <f>SUMIF('Как будет'!$A$73:$A$80,Доп.расчеты!$A99,'Как будет'!EU$73:EU$80)</f>
        <v>0</v>
      </c>
      <c r="EU99">
        <f>SUMIF('Как будет'!$A$73:$A$80,Доп.расчеты!$A99,'Как будет'!EV$73:EV$80)</f>
        <v>0</v>
      </c>
      <c r="EV99">
        <f>SUMIF('Как будет'!$A$73:$A$80,Доп.расчеты!$A99,'Как будет'!EW$73:EW$80)</f>
        <v>0</v>
      </c>
      <c r="EW99">
        <f>SUMIF('Как будет'!$A$73:$A$80,Доп.расчеты!$A99,'Как будет'!EX$73:EX$80)</f>
        <v>0</v>
      </c>
      <c r="EX99">
        <f>SUMIF('Как будет'!$A$73:$A$80,Доп.расчеты!$A99,'Как будет'!EY$73:EY$80)</f>
        <v>0</v>
      </c>
      <c r="EY99">
        <f>SUMIF('Как будет'!$A$73:$A$80,Доп.расчеты!$A99,'Как будет'!EZ$73:EZ$80)</f>
        <v>0</v>
      </c>
      <c r="EZ99">
        <f>SUMIF('Как будет'!$A$73:$A$80,Доп.расчеты!$A99,'Как будет'!FA$73:FA$80)</f>
        <v>0</v>
      </c>
      <c r="FA99">
        <f>SUMIF('Как будет'!$A$73:$A$80,Доп.расчеты!$A99,'Как будет'!FB$73:FB$80)</f>
        <v>0</v>
      </c>
      <c r="FB99">
        <f>SUMIF('Как будет'!$A$73:$A$80,Доп.расчеты!$A99,'Как будет'!FC$73:FC$80)</f>
        <v>0</v>
      </c>
      <c r="FC99">
        <f>SUMIF('Как будет'!$A$73:$A$80,Доп.расчеты!$A99,'Как будет'!FD$73:FD$80)</f>
        <v>0</v>
      </c>
      <c r="FD99">
        <f>SUMIF('Как будет'!$A$73:$A$80,Доп.расчеты!$A99,'Как будет'!FE$73:FE$80)</f>
        <v>0</v>
      </c>
      <c r="FE99">
        <f>SUMIF('Как будет'!$A$73:$A$80,Доп.расчеты!$A99,'Как будет'!FF$73:FF$80)</f>
        <v>0</v>
      </c>
      <c r="FF99">
        <f>SUMIF('Как будет'!$A$73:$A$80,Доп.расчеты!$A99,'Как будет'!FG$73:FG$80)</f>
        <v>0</v>
      </c>
      <c r="FG99">
        <f>SUMIF('Как будет'!$A$73:$A$80,Доп.расчеты!$A99,'Как будет'!FH$73:FH$80)</f>
        <v>0</v>
      </c>
      <c r="FH99">
        <f>SUMIF('Как будет'!$A$73:$A$80,Доп.расчеты!$A99,'Как будет'!FI$73:FI$80)</f>
        <v>0</v>
      </c>
      <c r="FI99">
        <f>SUMIF('Как будет'!$A$73:$A$80,Доп.расчеты!$A99,'Как будет'!FJ$73:FJ$80)</f>
        <v>0</v>
      </c>
      <c r="FJ99">
        <f>SUMIF('Как будет'!$A$73:$A$80,Доп.расчеты!$A99,'Как будет'!FK$73:FK$80)</f>
        <v>0</v>
      </c>
      <c r="FK99">
        <f>SUMIF('Как будет'!$A$73:$A$80,Доп.расчеты!$A99,'Как будет'!FL$73:FL$80)</f>
        <v>0</v>
      </c>
      <c r="FL99">
        <f>SUMIF('Как будет'!$A$73:$A$80,Доп.расчеты!$A99,'Как будет'!FM$73:FM$80)</f>
        <v>0</v>
      </c>
      <c r="FM99">
        <f>SUMIF('Как будет'!$A$73:$A$80,Доп.расчеты!$A99,'Как будет'!FN$73:FN$80)</f>
        <v>0</v>
      </c>
      <c r="FN99">
        <f>SUMIF('Как будет'!$A$73:$A$80,Доп.расчеты!$A99,'Как будет'!FO$73:FO$80)</f>
        <v>0</v>
      </c>
      <c r="FO99">
        <f>SUMIF('Как будет'!$A$73:$A$80,Доп.расчеты!$A99,'Как будет'!FP$73:FP$80)</f>
        <v>0</v>
      </c>
      <c r="FP99">
        <f>SUMIF('Как будет'!$A$73:$A$80,Доп.расчеты!$A99,'Как будет'!FQ$73:FQ$80)</f>
        <v>0</v>
      </c>
      <c r="FQ99">
        <f>SUMIF('Как будет'!$A$73:$A$80,Доп.расчеты!$A99,'Как будет'!FR$73:FR$80)</f>
        <v>0</v>
      </c>
      <c r="FR99">
        <f>SUMIF('Как будет'!$A$73:$A$80,Доп.расчеты!$A99,'Как будет'!FS$73:FS$80)</f>
        <v>0</v>
      </c>
      <c r="FS99">
        <f>SUMIF('Как будет'!$A$73:$A$80,Доп.расчеты!$A99,'Как будет'!FT$73:FT$80)</f>
        <v>0</v>
      </c>
      <c r="FT99">
        <f>SUMIF('Как будет'!$A$73:$A$80,Доп.расчеты!$A99,'Как будет'!FU$73:FU$80)</f>
        <v>0</v>
      </c>
      <c r="FU99">
        <f>SUMIF('Как будет'!$A$73:$A$80,Доп.расчеты!$A99,'Как будет'!FV$73:FV$80)</f>
        <v>0</v>
      </c>
      <c r="FV99">
        <f>SUMIF('Как будет'!$A$73:$A$80,Доп.расчеты!$A99,'Как будет'!FW$73:FW$80)</f>
        <v>0</v>
      </c>
      <c r="FW99">
        <f>SUMIF('Как будет'!$A$73:$A$80,Доп.расчеты!$A99,'Как будет'!FX$73:FX$80)</f>
        <v>0</v>
      </c>
      <c r="FX99">
        <f>SUMIF('Как будет'!$A$73:$A$80,Доп.расчеты!$A99,'Как будет'!FY$73:FY$80)</f>
        <v>0</v>
      </c>
      <c r="FY99">
        <f>SUMIF('Как будет'!$A$73:$A$80,Доп.расчеты!$A99,'Как будет'!FZ$73:FZ$80)</f>
        <v>0</v>
      </c>
      <c r="FZ99">
        <f>SUMIF('Как будет'!$A$73:$A$80,Доп.расчеты!$A99,'Как будет'!GA$73:GA$80)</f>
        <v>0</v>
      </c>
      <c r="GA99">
        <f>SUMIF('Как будет'!$A$73:$A$80,Доп.расчеты!$A99,'Как будет'!GB$73:GB$80)</f>
        <v>0</v>
      </c>
      <c r="GB99">
        <f>SUMIF('Как будет'!$A$73:$A$80,Доп.расчеты!$A99,'Как будет'!GC$73:GC$80)</f>
        <v>0</v>
      </c>
      <c r="GC99">
        <f>SUMIF('Как будет'!$A$73:$A$80,Доп.расчеты!$A99,'Как будет'!GD$73:GD$80)</f>
        <v>0</v>
      </c>
      <c r="GD99">
        <f>SUMIF('Как будет'!$A$73:$A$80,Доп.расчеты!$A99,'Как будет'!GE$73:GE$80)</f>
        <v>0</v>
      </c>
      <c r="GE99">
        <f>SUMIF('Как будет'!$A$73:$A$80,Доп.расчеты!$A99,'Как будет'!GF$73:GF$80)</f>
        <v>0</v>
      </c>
      <c r="GF99">
        <f>SUMIF('Как будет'!$A$73:$A$80,Доп.расчеты!$A99,'Как будет'!GG$73:GG$80)</f>
        <v>0</v>
      </c>
      <c r="GG99">
        <f>SUMIF('Как будет'!$A$73:$A$80,Доп.расчеты!$A99,'Как будет'!GH$73:GH$80)</f>
        <v>0</v>
      </c>
      <c r="GH99">
        <f>SUMIF('Как будет'!$A$73:$A$80,Доп.расчеты!$A99,'Как будет'!GI$73:GI$80)</f>
        <v>0</v>
      </c>
      <c r="GI99">
        <f>SUMIF('Как будет'!$A$73:$A$80,Доп.расчеты!$A99,'Как будет'!GJ$73:GJ$80)</f>
        <v>0</v>
      </c>
      <c r="GJ99">
        <f>SUMIF('Как будет'!$A$73:$A$80,Доп.расчеты!$A99,'Как будет'!GK$73:GK$80)</f>
        <v>0</v>
      </c>
      <c r="GK99">
        <f>SUMIF('Как будет'!$A$73:$A$80,Доп.расчеты!$A99,'Как будет'!GL$73:GL$80)</f>
        <v>0</v>
      </c>
      <c r="GL99">
        <f>SUMIF('Как будет'!$A$73:$A$80,Доп.расчеты!$A99,'Как будет'!GM$73:GM$80)</f>
        <v>0</v>
      </c>
      <c r="GM99">
        <f>SUMIF('Как будет'!$A$73:$A$80,Доп.расчеты!$A99,'Как будет'!GN$73:GN$80)</f>
        <v>0</v>
      </c>
      <c r="GN99">
        <f>SUMIF('Как будет'!$A$73:$A$80,Доп.расчеты!$A99,'Как будет'!GO$73:GO$80)</f>
        <v>0</v>
      </c>
      <c r="GO99">
        <f>SUMIF('Как будет'!$A$73:$A$80,Доп.расчеты!$A99,'Как будет'!GP$73:GP$80)</f>
        <v>0</v>
      </c>
      <c r="GP99">
        <f>SUMIF('Как будет'!$A$73:$A$80,Доп.расчеты!$A99,'Как будет'!GQ$73:GQ$80)</f>
        <v>0</v>
      </c>
      <c r="GQ99">
        <f>SUMIF('Как будет'!$A$73:$A$80,Доп.расчеты!$A99,'Как будет'!GR$73:GR$80)</f>
        <v>0</v>
      </c>
      <c r="GR99">
        <f>SUMIF('Как будет'!$A$73:$A$80,Доп.расчеты!$A99,'Как будет'!GS$73:GS$80)</f>
        <v>0</v>
      </c>
      <c r="GS99">
        <f>SUMIF('Как будет'!$A$73:$A$80,Доп.расчеты!$A99,'Как будет'!GT$73:GT$80)</f>
        <v>0</v>
      </c>
      <c r="GT99">
        <f>SUMIF('Как будет'!$A$73:$A$80,Доп.расчеты!$A99,'Как будет'!GU$73:GU$80)</f>
        <v>0</v>
      </c>
    </row>
    <row r="100" spans="1:202">
      <c r="A100" s="237" t="s">
        <v>108</v>
      </c>
      <c r="B100">
        <f>SUMIF('Как будет'!$A$73:$A$80,Доп.расчеты!$A100,'Как будет'!C$73:C$80)</f>
        <v>0</v>
      </c>
      <c r="C100">
        <f>SUMIF('Как будет'!$A$73:$A$80,Доп.расчеты!$A100,'Как будет'!D$73:D$80)</f>
        <v>0</v>
      </c>
      <c r="D100">
        <f>SUMIF('Как будет'!$A$73:$A$80,Доп.расчеты!$A100,'Как будет'!E$73:E$80)</f>
        <v>0</v>
      </c>
      <c r="E100">
        <f>SUMIF('Как будет'!$A$73:$A$80,Доп.расчеты!$A100,'Как будет'!F$73:F$80)</f>
        <v>0</v>
      </c>
      <c r="F100">
        <f>SUMIF('Как будет'!$A$73:$A$80,Доп.расчеты!$A100,'Как будет'!G$73:G$80)</f>
        <v>0</v>
      </c>
      <c r="G100">
        <f>SUMIF('Как будет'!$A$73:$A$80,Доп.расчеты!$A100,'Как будет'!H$73:H$80)</f>
        <v>0</v>
      </c>
      <c r="H100">
        <f>SUMIF('Как будет'!$A$73:$A$80,Доп.расчеты!$A100,'Как будет'!I$73:I$80)</f>
        <v>0</v>
      </c>
      <c r="I100">
        <f>SUMIF('Как будет'!$A$73:$A$80,Доп.расчеты!$A100,'Как будет'!J$73:J$80)</f>
        <v>0</v>
      </c>
      <c r="J100">
        <f>SUMIF('Как будет'!$A$73:$A$80,Доп.расчеты!$A100,'Как будет'!K$73:K$80)</f>
        <v>0</v>
      </c>
      <c r="K100">
        <f>SUMIF('Как будет'!$A$73:$A$80,Доп.расчеты!$A100,'Как будет'!L$73:L$80)</f>
        <v>0</v>
      </c>
      <c r="L100">
        <f>SUMIF('Как будет'!$A$73:$A$80,Доп.расчеты!$A100,'Как будет'!M$73:M$80)</f>
        <v>0</v>
      </c>
      <c r="M100">
        <f>SUMIF('Как будет'!$A$73:$A$80,Доп.расчеты!$A100,'Как будет'!N$73:N$80)</f>
        <v>0</v>
      </c>
      <c r="N100">
        <f>SUMIF('Как будет'!$A$73:$A$80,Доп.расчеты!$A100,'Как будет'!O$73:O$80)</f>
        <v>0</v>
      </c>
      <c r="O100">
        <f>SUMIF('Как будет'!$A$73:$A$80,Доп.расчеты!$A100,'Как будет'!P$73:P$80)</f>
        <v>0</v>
      </c>
      <c r="P100">
        <f>SUMIF('Как будет'!$A$73:$A$80,Доп.расчеты!$A100,'Как будет'!Q$73:Q$80)</f>
        <v>0</v>
      </c>
      <c r="Q100">
        <f>SUMIF('Как будет'!$A$73:$A$80,Доп.расчеты!$A100,'Как будет'!R$73:R$80)</f>
        <v>0</v>
      </c>
      <c r="R100">
        <f>SUMIF('Как будет'!$A$73:$A$80,Доп.расчеты!$A100,'Как будет'!S$73:S$80)</f>
        <v>0</v>
      </c>
      <c r="S100">
        <f>SUMIF('Как будет'!$A$73:$A$80,Доп.расчеты!$A100,'Как будет'!T$73:T$80)</f>
        <v>0</v>
      </c>
      <c r="T100">
        <f>SUMIF('Как будет'!$A$73:$A$80,Доп.расчеты!$A100,'Как будет'!U$73:U$80)</f>
        <v>0</v>
      </c>
      <c r="U100">
        <f>SUMIF('Как будет'!$A$73:$A$80,Доп.расчеты!$A100,'Как будет'!V$73:V$80)</f>
        <v>0</v>
      </c>
      <c r="V100">
        <f>SUMIF('Как будет'!$A$73:$A$80,Доп.расчеты!$A100,'Как будет'!W$73:W$80)</f>
        <v>0</v>
      </c>
      <c r="W100">
        <f>SUMIF('Как будет'!$A$73:$A$80,Доп.расчеты!$A100,'Как будет'!X$73:X$80)</f>
        <v>0</v>
      </c>
      <c r="X100">
        <f>SUMIF('Как будет'!$A$73:$A$80,Доп.расчеты!$A100,'Как будет'!Y$73:Y$80)</f>
        <v>0</v>
      </c>
      <c r="Y100">
        <f>SUMIF('Как будет'!$A$73:$A$80,Доп.расчеты!$A100,'Как будет'!Z$73:Z$80)</f>
        <v>0</v>
      </c>
      <c r="Z100">
        <f>SUMIF('Как будет'!$A$73:$A$80,Доп.расчеты!$A100,'Как будет'!AA$73:AA$80)</f>
        <v>0</v>
      </c>
      <c r="AA100">
        <f>SUMIF('Как будет'!$A$73:$A$80,Доп.расчеты!$A100,'Как будет'!AB$73:AB$80)</f>
        <v>0</v>
      </c>
      <c r="AB100">
        <f>SUMIF('Как будет'!$A$73:$A$80,Доп.расчеты!$A100,'Как будет'!AC$73:AC$80)</f>
        <v>0</v>
      </c>
      <c r="AC100">
        <f>SUMIF('Как будет'!$A$73:$A$80,Доп.расчеты!$A100,'Как будет'!AD$73:AD$80)</f>
        <v>0</v>
      </c>
      <c r="AD100">
        <f>SUMIF('Как будет'!$A$73:$A$80,Доп.расчеты!$A100,'Как будет'!AE$73:AE$80)</f>
        <v>0</v>
      </c>
      <c r="AE100">
        <f>SUMIF('Как будет'!$A$73:$A$80,Доп.расчеты!$A100,'Как будет'!AF$73:AF$80)</f>
        <v>0</v>
      </c>
      <c r="AF100">
        <f>SUMIF('Как будет'!$A$73:$A$80,Доп.расчеты!$A100,'Как будет'!AG$73:AG$80)</f>
        <v>0</v>
      </c>
      <c r="AG100">
        <f>SUMIF('Как будет'!$A$73:$A$80,Доп.расчеты!$A100,'Как будет'!AH$73:AH$80)</f>
        <v>0</v>
      </c>
      <c r="AH100">
        <f>SUMIF('Как будет'!$A$73:$A$80,Доп.расчеты!$A100,'Как будет'!AI$73:AI$80)</f>
        <v>0</v>
      </c>
      <c r="AI100">
        <f>SUMIF('Как будет'!$A$73:$A$80,Доп.расчеты!$A100,'Как будет'!AJ$73:AJ$80)</f>
        <v>0</v>
      </c>
      <c r="AJ100">
        <f>SUMIF('Как будет'!$A$73:$A$80,Доп.расчеты!$A100,'Как будет'!AK$73:AK$80)</f>
        <v>0</v>
      </c>
      <c r="AK100">
        <f>SUMIF('Как будет'!$A$73:$A$80,Доп.расчеты!$A100,'Как будет'!AL$73:AL$80)</f>
        <v>0</v>
      </c>
      <c r="AL100">
        <f>SUMIF('Как будет'!$A$73:$A$80,Доп.расчеты!$A100,'Как будет'!AM$73:AM$80)</f>
        <v>0</v>
      </c>
      <c r="AM100">
        <f>SUMIF('Как будет'!$A$73:$A$80,Доп.расчеты!$A100,'Как будет'!AN$73:AN$80)</f>
        <v>0</v>
      </c>
      <c r="AN100">
        <f>SUMIF('Как будет'!$A$73:$A$80,Доп.расчеты!$A100,'Как будет'!AO$73:AO$80)</f>
        <v>0</v>
      </c>
      <c r="AO100">
        <f>SUMIF('Как будет'!$A$73:$A$80,Доп.расчеты!$A100,'Как будет'!AP$73:AP$80)</f>
        <v>0</v>
      </c>
      <c r="AP100">
        <f>SUMIF('Как будет'!$A$73:$A$80,Доп.расчеты!$A100,'Как будет'!AQ$73:AQ$80)</f>
        <v>0</v>
      </c>
      <c r="AQ100">
        <f>SUMIF('Как будет'!$A$73:$A$80,Доп.расчеты!$A100,'Как будет'!AR$73:AR$80)</f>
        <v>0</v>
      </c>
      <c r="AR100">
        <f>SUMIF('Как будет'!$A$73:$A$80,Доп.расчеты!$A100,'Как будет'!AS$73:AS$80)</f>
        <v>0</v>
      </c>
      <c r="AS100">
        <f>SUMIF('Как будет'!$A$73:$A$80,Доп.расчеты!$A100,'Как будет'!AT$73:AT$80)</f>
        <v>0</v>
      </c>
      <c r="AT100">
        <f>SUMIF('Как будет'!$A$73:$A$80,Доп.расчеты!$A100,'Как будет'!AU$73:AU$80)</f>
        <v>0</v>
      </c>
      <c r="AU100">
        <f>SUMIF('Как будет'!$A$73:$A$80,Доп.расчеты!$A100,'Как будет'!AV$73:AV$80)</f>
        <v>0</v>
      </c>
      <c r="AV100">
        <f>SUMIF('Как будет'!$A$73:$A$80,Доп.расчеты!$A100,'Как будет'!AW$73:AW$80)</f>
        <v>0</v>
      </c>
      <c r="AW100">
        <f>SUMIF('Как будет'!$A$73:$A$80,Доп.расчеты!$A100,'Как будет'!AX$73:AX$80)</f>
        <v>0</v>
      </c>
      <c r="AX100">
        <f>SUMIF('Как будет'!$A$73:$A$80,Доп.расчеты!$A100,'Как будет'!AY$73:AY$80)</f>
        <v>0</v>
      </c>
      <c r="AY100">
        <f>SUMIF('Как будет'!$A$73:$A$80,Доп.расчеты!$A100,'Как будет'!AZ$73:AZ$80)</f>
        <v>0</v>
      </c>
      <c r="AZ100">
        <f>SUMIF('Как будет'!$A$73:$A$80,Доп.расчеты!$A100,'Как будет'!BA$73:BA$80)</f>
        <v>0</v>
      </c>
      <c r="BA100">
        <f>SUMIF('Как будет'!$A$73:$A$80,Доп.расчеты!$A100,'Как будет'!BB$73:BB$80)</f>
        <v>0</v>
      </c>
      <c r="BB100">
        <f>SUMIF('Как будет'!$A$73:$A$80,Доп.расчеты!$A100,'Как будет'!BC$73:BC$80)</f>
        <v>0</v>
      </c>
      <c r="BC100">
        <f>SUMIF('Как будет'!$A$73:$A$80,Доп.расчеты!$A100,'Как будет'!BD$73:BD$80)</f>
        <v>0</v>
      </c>
      <c r="BD100">
        <f>SUMIF('Как будет'!$A$73:$A$80,Доп.расчеты!$A100,'Как будет'!BE$73:BE$80)</f>
        <v>0</v>
      </c>
      <c r="BE100">
        <f>SUMIF('Как будет'!$A$73:$A$80,Доп.расчеты!$A100,'Как будет'!BF$73:BF$80)</f>
        <v>0</v>
      </c>
      <c r="BF100">
        <f>SUMIF('Как будет'!$A$73:$A$80,Доп.расчеты!$A100,'Как будет'!BG$73:BG$80)</f>
        <v>0</v>
      </c>
      <c r="BG100">
        <f>SUMIF('Как будет'!$A$73:$A$80,Доп.расчеты!$A100,'Как будет'!BH$73:BH$80)</f>
        <v>0</v>
      </c>
      <c r="BH100">
        <f>SUMIF('Как будет'!$A$73:$A$80,Доп.расчеты!$A100,'Как будет'!BI$73:BI$80)</f>
        <v>0</v>
      </c>
      <c r="BI100">
        <f>SUMIF('Как будет'!$A$73:$A$80,Доп.расчеты!$A100,'Как будет'!BJ$73:BJ$80)</f>
        <v>0</v>
      </c>
      <c r="BJ100">
        <f>SUMIF('Как будет'!$A$73:$A$80,Доп.расчеты!$A100,'Как будет'!BK$73:BK$80)</f>
        <v>0</v>
      </c>
      <c r="BK100">
        <f>SUMIF('Как будет'!$A$73:$A$80,Доп.расчеты!$A100,'Как будет'!BL$73:BL$80)</f>
        <v>0</v>
      </c>
      <c r="BL100">
        <f>SUMIF('Как будет'!$A$73:$A$80,Доп.расчеты!$A100,'Как будет'!BM$73:BM$80)</f>
        <v>0</v>
      </c>
      <c r="BM100">
        <f>SUMIF('Как будет'!$A$73:$A$80,Доп.расчеты!$A100,'Как будет'!BN$73:BN$80)</f>
        <v>0</v>
      </c>
      <c r="BN100">
        <f>SUMIF('Как будет'!$A$73:$A$80,Доп.расчеты!$A100,'Как будет'!BO$73:BO$80)</f>
        <v>0</v>
      </c>
      <c r="BO100">
        <f>SUMIF('Как будет'!$A$73:$A$80,Доп.расчеты!$A100,'Как будет'!BP$73:BP$80)</f>
        <v>0</v>
      </c>
      <c r="BP100">
        <f>SUMIF('Как будет'!$A$73:$A$80,Доп.расчеты!$A100,'Как будет'!BQ$73:BQ$80)</f>
        <v>0</v>
      </c>
      <c r="BQ100">
        <f>SUMIF('Как будет'!$A$73:$A$80,Доп.расчеты!$A100,'Как будет'!BR$73:BR$80)</f>
        <v>0</v>
      </c>
      <c r="BR100">
        <f>SUMIF('Как будет'!$A$73:$A$80,Доп.расчеты!$A100,'Как будет'!BS$73:BS$80)</f>
        <v>0</v>
      </c>
      <c r="BS100">
        <f>SUMIF('Как будет'!$A$73:$A$80,Доп.расчеты!$A100,'Как будет'!BT$73:BT$80)</f>
        <v>0</v>
      </c>
      <c r="BT100">
        <f>SUMIF('Как будет'!$A$73:$A$80,Доп.расчеты!$A100,'Как будет'!BU$73:BU$80)</f>
        <v>0</v>
      </c>
      <c r="BU100">
        <f>SUMIF('Как будет'!$A$73:$A$80,Доп.расчеты!$A100,'Как будет'!BV$73:BV$80)</f>
        <v>0</v>
      </c>
      <c r="BV100">
        <f>SUMIF('Как будет'!$A$73:$A$80,Доп.расчеты!$A100,'Как будет'!BW$73:BW$80)</f>
        <v>0</v>
      </c>
      <c r="BW100">
        <f>SUMIF('Как будет'!$A$73:$A$80,Доп.расчеты!$A100,'Как будет'!BX$73:BX$80)</f>
        <v>0</v>
      </c>
      <c r="BX100">
        <f>SUMIF('Как будет'!$A$73:$A$80,Доп.расчеты!$A100,'Как будет'!BY$73:BY$80)</f>
        <v>0</v>
      </c>
      <c r="BY100">
        <f>SUMIF('Как будет'!$A$73:$A$80,Доп.расчеты!$A100,'Как будет'!BZ$73:BZ$80)</f>
        <v>0</v>
      </c>
      <c r="BZ100">
        <f>SUMIF('Как будет'!$A$73:$A$80,Доп.расчеты!$A100,'Как будет'!CA$73:CA$80)</f>
        <v>0</v>
      </c>
      <c r="CA100">
        <f>SUMIF('Как будет'!$A$73:$A$80,Доп.расчеты!$A100,'Как будет'!CB$73:CB$80)</f>
        <v>0</v>
      </c>
      <c r="CB100">
        <f>SUMIF('Как будет'!$A$73:$A$80,Доп.расчеты!$A100,'Как будет'!CC$73:CC$80)</f>
        <v>0</v>
      </c>
      <c r="CC100">
        <f>SUMIF('Как будет'!$A$73:$A$80,Доп.расчеты!$A100,'Как будет'!CD$73:CD$80)</f>
        <v>0</v>
      </c>
      <c r="CD100">
        <f>SUMIF('Как будет'!$A$73:$A$80,Доп.расчеты!$A100,'Как будет'!CE$73:CE$80)</f>
        <v>0</v>
      </c>
      <c r="CE100">
        <f>SUMIF('Как будет'!$A$73:$A$80,Доп.расчеты!$A100,'Как будет'!CF$73:CF$80)</f>
        <v>0</v>
      </c>
      <c r="CF100">
        <f>SUMIF('Как будет'!$A$73:$A$80,Доп.расчеты!$A100,'Как будет'!CG$73:CG$80)</f>
        <v>0</v>
      </c>
      <c r="CG100">
        <f>SUMIF('Как будет'!$A$73:$A$80,Доп.расчеты!$A100,'Как будет'!CH$73:CH$80)</f>
        <v>0</v>
      </c>
      <c r="CH100">
        <f>SUMIF('Как будет'!$A$73:$A$80,Доп.расчеты!$A100,'Как будет'!CI$73:CI$80)</f>
        <v>0</v>
      </c>
      <c r="CI100">
        <f>SUMIF('Как будет'!$A$73:$A$80,Доп.расчеты!$A100,'Как будет'!CJ$73:CJ$80)</f>
        <v>0</v>
      </c>
      <c r="CJ100">
        <f>SUMIF('Как будет'!$A$73:$A$80,Доп.расчеты!$A100,'Как будет'!CK$73:CK$80)</f>
        <v>0</v>
      </c>
      <c r="CK100">
        <f>SUMIF('Как будет'!$A$73:$A$80,Доп.расчеты!$A100,'Как будет'!CL$73:CL$80)</f>
        <v>0</v>
      </c>
      <c r="CL100">
        <f>SUMIF('Как будет'!$A$73:$A$80,Доп.расчеты!$A100,'Как будет'!CM$73:CM$80)</f>
        <v>0</v>
      </c>
      <c r="CM100">
        <f>SUMIF('Как будет'!$A$73:$A$80,Доп.расчеты!$A100,'Как будет'!CN$73:CN$80)</f>
        <v>0</v>
      </c>
      <c r="CN100">
        <f>SUMIF('Как будет'!$A$73:$A$80,Доп.расчеты!$A100,'Как будет'!CO$73:CO$80)</f>
        <v>0</v>
      </c>
      <c r="CO100">
        <f>SUMIF('Как будет'!$A$73:$A$80,Доп.расчеты!$A100,'Как будет'!CP$73:CP$80)</f>
        <v>0</v>
      </c>
      <c r="CP100">
        <f>SUMIF('Как будет'!$A$73:$A$80,Доп.расчеты!$A100,'Как будет'!CQ$73:CQ$80)</f>
        <v>0</v>
      </c>
      <c r="CQ100">
        <f>SUMIF('Как будет'!$A$73:$A$80,Доп.расчеты!$A100,'Как будет'!CR$73:CR$80)</f>
        <v>0</v>
      </c>
      <c r="CR100">
        <f>SUMIF('Как будет'!$A$73:$A$80,Доп.расчеты!$A100,'Как будет'!CS$73:CS$80)</f>
        <v>0</v>
      </c>
      <c r="CS100">
        <f>SUMIF('Как будет'!$A$73:$A$80,Доп.расчеты!$A100,'Как будет'!CT$73:CT$80)</f>
        <v>0</v>
      </c>
      <c r="CT100">
        <f>SUMIF('Как будет'!$A$73:$A$80,Доп.расчеты!$A100,'Как будет'!CU$73:CU$80)</f>
        <v>0</v>
      </c>
      <c r="CU100">
        <f>SUMIF('Как будет'!$A$73:$A$80,Доп.расчеты!$A100,'Как будет'!CV$73:CV$80)</f>
        <v>0</v>
      </c>
      <c r="CV100">
        <f>SUMIF('Как будет'!$A$73:$A$80,Доп.расчеты!$A100,'Как будет'!CW$73:CW$80)</f>
        <v>0</v>
      </c>
      <c r="CW100">
        <f>SUMIF('Как будет'!$A$73:$A$80,Доп.расчеты!$A100,'Как будет'!CX$73:CX$80)</f>
        <v>0</v>
      </c>
      <c r="CX100">
        <f>SUMIF('Как будет'!$A$73:$A$80,Доп.расчеты!$A100,'Как будет'!CY$73:CY$80)</f>
        <v>0</v>
      </c>
      <c r="CY100">
        <f>SUMIF('Как будет'!$A$73:$A$80,Доп.расчеты!$A100,'Как будет'!CZ$73:CZ$80)</f>
        <v>0</v>
      </c>
      <c r="CZ100">
        <f>SUMIF('Как будет'!$A$73:$A$80,Доп.расчеты!$A100,'Как будет'!DA$73:DA$80)</f>
        <v>0</v>
      </c>
      <c r="DA100">
        <f>SUMIF('Как будет'!$A$73:$A$80,Доп.расчеты!$A100,'Как будет'!DB$73:DB$80)</f>
        <v>0</v>
      </c>
      <c r="DB100">
        <f>SUMIF('Как будет'!$A$73:$A$80,Доп.расчеты!$A100,'Как будет'!DC$73:DC$80)</f>
        <v>0</v>
      </c>
      <c r="DC100">
        <f>SUMIF('Как будет'!$A$73:$A$80,Доп.расчеты!$A100,'Как будет'!DD$73:DD$80)</f>
        <v>0</v>
      </c>
      <c r="DD100">
        <f>SUMIF('Как будет'!$A$73:$A$80,Доп.расчеты!$A100,'Как будет'!DE$73:DE$80)</f>
        <v>0</v>
      </c>
      <c r="DE100">
        <f>SUMIF('Как будет'!$A$73:$A$80,Доп.расчеты!$A100,'Как будет'!DF$73:DF$80)</f>
        <v>0</v>
      </c>
      <c r="DF100">
        <f>SUMIF('Как будет'!$A$73:$A$80,Доп.расчеты!$A100,'Как будет'!DG$73:DG$80)</f>
        <v>0</v>
      </c>
      <c r="DG100">
        <f>SUMIF('Как будет'!$A$73:$A$80,Доп.расчеты!$A100,'Как будет'!DH$73:DH$80)</f>
        <v>0</v>
      </c>
      <c r="DH100">
        <f>SUMIF('Как будет'!$A$73:$A$80,Доп.расчеты!$A100,'Как будет'!DI$73:DI$80)</f>
        <v>0</v>
      </c>
      <c r="DI100">
        <f>SUMIF('Как будет'!$A$73:$A$80,Доп.расчеты!$A100,'Как будет'!DJ$73:DJ$80)</f>
        <v>0</v>
      </c>
      <c r="DJ100">
        <f>SUMIF('Как будет'!$A$73:$A$80,Доп.расчеты!$A100,'Как будет'!DK$73:DK$80)</f>
        <v>0</v>
      </c>
      <c r="DK100">
        <f>SUMIF('Как будет'!$A$73:$A$80,Доп.расчеты!$A100,'Как будет'!DL$73:DL$80)</f>
        <v>0</v>
      </c>
      <c r="DL100">
        <f>SUMIF('Как будет'!$A$73:$A$80,Доп.расчеты!$A100,'Как будет'!DM$73:DM$80)</f>
        <v>0</v>
      </c>
      <c r="DM100">
        <f>SUMIF('Как будет'!$A$73:$A$80,Доп.расчеты!$A100,'Как будет'!DN$73:DN$80)</f>
        <v>0</v>
      </c>
      <c r="DN100">
        <f>SUMIF('Как будет'!$A$73:$A$80,Доп.расчеты!$A100,'Как будет'!DO$73:DO$80)</f>
        <v>0</v>
      </c>
      <c r="DO100">
        <f>SUMIF('Как будет'!$A$73:$A$80,Доп.расчеты!$A100,'Как будет'!DP$73:DP$80)</f>
        <v>0</v>
      </c>
      <c r="DP100">
        <f>SUMIF('Как будет'!$A$73:$A$80,Доп.расчеты!$A100,'Как будет'!DQ$73:DQ$80)</f>
        <v>0</v>
      </c>
      <c r="DQ100">
        <f>SUMIF('Как будет'!$A$73:$A$80,Доп.расчеты!$A100,'Как будет'!DR$73:DR$80)</f>
        <v>0</v>
      </c>
      <c r="DR100">
        <f>SUMIF('Как будет'!$A$73:$A$80,Доп.расчеты!$A100,'Как будет'!DS$73:DS$80)</f>
        <v>0</v>
      </c>
      <c r="DS100">
        <f>SUMIF('Как будет'!$A$73:$A$80,Доп.расчеты!$A100,'Как будет'!DT$73:DT$80)</f>
        <v>0</v>
      </c>
      <c r="DT100">
        <f>SUMIF('Как будет'!$A$73:$A$80,Доп.расчеты!$A100,'Как будет'!DU$73:DU$80)</f>
        <v>0</v>
      </c>
      <c r="DU100">
        <f>SUMIF('Как будет'!$A$73:$A$80,Доп.расчеты!$A100,'Как будет'!DV$73:DV$80)</f>
        <v>0</v>
      </c>
      <c r="DV100">
        <f>SUMIF('Как будет'!$A$73:$A$80,Доп.расчеты!$A100,'Как будет'!DW$73:DW$80)</f>
        <v>0</v>
      </c>
      <c r="DW100">
        <f>SUMIF('Как будет'!$A$73:$A$80,Доп.расчеты!$A100,'Как будет'!DX$73:DX$80)</f>
        <v>0</v>
      </c>
      <c r="DX100">
        <f>SUMIF('Как будет'!$A$73:$A$80,Доп.расчеты!$A100,'Как будет'!DY$73:DY$80)</f>
        <v>0</v>
      </c>
      <c r="DY100">
        <f>SUMIF('Как будет'!$A$73:$A$80,Доп.расчеты!$A100,'Как будет'!DZ$73:DZ$80)</f>
        <v>0</v>
      </c>
      <c r="DZ100">
        <f>SUMIF('Как будет'!$A$73:$A$80,Доп.расчеты!$A100,'Как будет'!EA$73:EA$80)</f>
        <v>0</v>
      </c>
      <c r="EA100">
        <f>SUMIF('Как будет'!$A$73:$A$80,Доп.расчеты!$A100,'Как будет'!EB$73:EB$80)</f>
        <v>0</v>
      </c>
      <c r="EB100">
        <f>SUMIF('Как будет'!$A$73:$A$80,Доп.расчеты!$A100,'Как будет'!EC$73:EC$80)</f>
        <v>0</v>
      </c>
      <c r="EC100">
        <f>SUMIF('Как будет'!$A$73:$A$80,Доп.расчеты!$A100,'Как будет'!ED$73:ED$80)</f>
        <v>0</v>
      </c>
      <c r="ED100">
        <f>SUMIF('Как будет'!$A$73:$A$80,Доп.расчеты!$A100,'Как будет'!EE$73:EE$80)</f>
        <v>0</v>
      </c>
      <c r="EE100">
        <f>SUMIF('Как будет'!$A$73:$A$80,Доп.расчеты!$A100,'Как будет'!EF$73:EF$80)</f>
        <v>0</v>
      </c>
      <c r="EF100">
        <f>SUMIF('Как будет'!$A$73:$A$80,Доп.расчеты!$A100,'Как будет'!EG$73:EG$80)</f>
        <v>0</v>
      </c>
      <c r="EG100">
        <f>SUMIF('Как будет'!$A$73:$A$80,Доп.расчеты!$A100,'Как будет'!EH$73:EH$80)</f>
        <v>0</v>
      </c>
      <c r="EH100">
        <f>SUMIF('Как будет'!$A$73:$A$80,Доп.расчеты!$A100,'Как будет'!EI$73:EI$80)</f>
        <v>0</v>
      </c>
      <c r="EI100">
        <f>SUMIF('Как будет'!$A$73:$A$80,Доп.расчеты!$A100,'Как будет'!EJ$73:EJ$80)</f>
        <v>0</v>
      </c>
      <c r="EJ100">
        <f>SUMIF('Как будет'!$A$73:$A$80,Доп.расчеты!$A100,'Как будет'!EK$73:EK$80)</f>
        <v>0</v>
      </c>
      <c r="EK100">
        <f>SUMIF('Как будет'!$A$73:$A$80,Доп.расчеты!$A100,'Как будет'!EL$73:EL$80)</f>
        <v>0</v>
      </c>
      <c r="EL100">
        <f>SUMIF('Как будет'!$A$73:$A$80,Доп.расчеты!$A100,'Как будет'!EM$73:EM$80)</f>
        <v>0</v>
      </c>
      <c r="EM100">
        <f>SUMIF('Как будет'!$A$73:$A$80,Доп.расчеты!$A100,'Как будет'!EN$73:EN$80)</f>
        <v>0</v>
      </c>
      <c r="EN100">
        <f>SUMIF('Как будет'!$A$73:$A$80,Доп.расчеты!$A100,'Как будет'!EO$73:EO$80)</f>
        <v>0</v>
      </c>
      <c r="EO100">
        <f>SUMIF('Как будет'!$A$73:$A$80,Доп.расчеты!$A100,'Как будет'!EP$73:EP$80)</f>
        <v>0</v>
      </c>
      <c r="EP100">
        <f>SUMIF('Как будет'!$A$73:$A$80,Доп.расчеты!$A100,'Как будет'!EQ$73:EQ$80)</f>
        <v>0</v>
      </c>
      <c r="EQ100">
        <f>SUMIF('Как будет'!$A$73:$A$80,Доп.расчеты!$A100,'Как будет'!ER$73:ER$80)</f>
        <v>0</v>
      </c>
      <c r="ER100">
        <f>SUMIF('Как будет'!$A$73:$A$80,Доп.расчеты!$A100,'Как будет'!ES$73:ES$80)</f>
        <v>0</v>
      </c>
      <c r="ES100">
        <f>SUMIF('Как будет'!$A$73:$A$80,Доп.расчеты!$A100,'Как будет'!ET$73:ET$80)</f>
        <v>0</v>
      </c>
      <c r="ET100">
        <f>SUMIF('Как будет'!$A$73:$A$80,Доп.расчеты!$A100,'Как будет'!EU$73:EU$80)</f>
        <v>0</v>
      </c>
      <c r="EU100">
        <f>SUMIF('Как будет'!$A$73:$A$80,Доп.расчеты!$A100,'Как будет'!EV$73:EV$80)</f>
        <v>0</v>
      </c>
      <c r="EV100">
        <f>SUMIF('Как будет'!$A$73:$A$80,Доп.расчеты!$A100,'Как будет'!EW$73:EW$80)</f>
        <v>0</v>
      </c>
      <c r="EW100">
        <f>SUMIF('Как будет'!$A$73:$A$80,Доп.расчеты!$A100,'Как будет'!EX$73:EX$80)</f>
        <v>0</v>
      </c>
      <c r="EX100">
        <f>SUMIF('Как будет'!$A$73:$A$80,Доп.расчеты!$A100,'Как будет'!EY$73:EY$80)</f>
        <v>0</v>
      </c>
      <c r="EY100">
        <f>SUMIF('Как будет'!$A$73:$A$80,Доп.расчеты!$A100,'Как будет'!EZ$73:EZ$80)</f>
        <v>0</v>
      </c>
      <c r="EZ100">
        <f>SUMIF('Как будет'!$A$73:$A$80,Доп.расчеты!$A100,'Как будет'!FA$73:FA$80)</f>
        <v>0</v>
      </c>
      <c r="FA100">
        <f>SUMIF('Как будет'!$A$73:$A$80,Доп.расчеты!$A100,'Как будет'!FB$73:FB$80)</f>
        <v>0</v>
      </c>
      <c r="FB100">
        <f>SUMIF('Как будет'!$A$73:$A$80,Доп.расчеты!$A100,'Как будет'!FC$73:FC$80)</f>
        <v>0</v>
      </c>
      <c r="FC100">
        <f>SUMIF('Как будет'!$A$73:$A$80,Доп.расчеты!$A100,'Как будет'!FD$73:FD$80)</f>
        <v>0</v>
      </c>
      <c r="FD100">
        <f>SUMIF('Как будет'!$A$73:$A$80,Доп.расчеты!$A100,'Как будет'!FE$73:FE$80)</f>
        <v>0</v>
      </c>
      <c r="FE100">
        <f>SUMIF('Как будет'!$A$73:$A$80,Доп.расчеты!$A100,'Как будет'!FF$73:FF$80)</f>
        <v>0</v>
      </c>
      <c r="FF100">
        <f>SUMIF('Как будет'!$A$73:$A$80,Доп.расчеты!$A100,'Как будет'!FG$73:FG$80)</f>
        <v>0</v>
      </c>
      <c r="FG100">
        <f>SUMIF('Как будет'!$A$73:$A$80,Доп.расчеты!$A100,'Как будет'!FH$73:FH$80)</f>
        <v>0</v>
      </c>
      <c r="FH100">
        <f>SUMIF('Как будет'!$A$73:$A$80,Доп.расчеты!$A100,'Как будет'!FI$73:FI$80)</f>
        <v>0</v>
      </c>
      <c r="FI100">
        <f>SUMIF('Как будет'!$A$73:$A$80,Доп.расчеты!$A100,'Как будет'!FJ$73:FJ$80)</f>
        <v>0</v>
      </c>
      <c r="FJ100">
        <f>SUMIF('Как будет'!$A$73:$A$80,Доп.расчеты!$A100,'Как будет'!FK$73:FK$80)</f>
        <v>0</v>
      </c>
      <c r="FK100">
        <f>SUMIF('Как будет'!$A$73:$A$80,Доп.расчеты!$A100,'Как будет'!FL$73:FL$80)</f>
        <v>0</v>
      </c>
      <c r="FL100">
        <f>SUMIF('Как будет'!$A$73:$A$80,Доп.расчеты!$A100,'Как будет'!FM$73:FM$80)</f>
        <v>0</v>
      </c>
      <c r="FM100">
        <f>SUMIF('Как будет'!$A$73:$A$80,Доп.расчеты!$A100,'Как будет'!FN$73:FN$80)</f>
        <v>0</v>
      </c>
      <c r="FN100">
        <f>SUMIF('Как будет'!$A$73:$A$80,Доп.расчеты!$A100,'Как будет'!FO$73:FO$80)</f>
        <v>0</v>
      </c>
      <c r="FO100">
        <f>SUMIF('Как будет'!$A$73:$A$80,Доп.расчеты!$A100,'Как будет'!FP$73:FP$80)</f>
        <v>0</v>
      </c>
      <c r="FP100">
        <f>SUMIF('Как будет'!$A$73:$A$80,Доп.расчеты!$A100,'Как будет'!FQ$73:FQ$80)</f>
        <v>0</v>
      </c>
      <c r="FQ100">
        <f>SUMIF('Как будет'!$A$73:$A$80,Доп.расчеты!$A100,'Как будет'!FR$73:FR$80)</f>
        <v>0</v>
      </c>
      <c r="FR100">
        <f>SUMIF('Как будет'!$A$73:$A$80,Доп.расчеты!$A100,'Как будет'!FS$73:FS$80)</f>
        <v>0</v>
      </c>
      <c r="FS100">
        <f>SUMIF('Как будет'!$A$73:$A$80,Доп.расчеты!$A100,'Как будет'!FT$73:FT$80)</f>
        <v>0</v>
      </c>
      <c r="FT100">
        <f>SUMIF('Как будет'!$A$73:$A$80,Доп.расчеты!$A100,'Как будет'!FU$73:FU$80)</f>
        <v>0</v>
      </c>
      <c r="FU100">
        <f>SUMIF('Как будет'!$A$73:$A$80,Доп.расчеты!$A100,'Как будет'!FV$73:FV$80)</f>
        <v>0</v>
      </c>
      <c r="FV100">
        <f>SUMIF('Как будет'!$A$73:$A$80,Доп.расчеты!$A100,'Как будет'!FW$73:FW$80)</f>
        <v>0</v>
      </c>
      <c r="FW100">
        <f>SUMIF('Как будет'!$A$73:$A$80,Доп.расчеты!$A100,'Как будет'!FX$73:FX$80)</f>
        <v>0</v>
      </c>
      <c r="FX100">
        <f>SUMIF('Как будет'!$A$73:$A$80,Доп.расчеты!$A100,'Как будет'!FY$73:FY$80)</f>
        <v>0</v>
      </c>
      <c r="FY100">
        <f>SUMIF('Как будет'!$A$73:$A$80,Доп.расчеты!$A100,'Как будет'!FZ$73:FZ$80)</f>
        <v>0</v>
      </c>
      <c r="FZ100">
        <f>SUMIF('Как будет'!$A$73:$A$80,Доп.расчеты!$A100,'Как будет'!GA$73:GA$80)</f>
        <v>0</v>
      </c>
      <c r="GA100">
        <f>SUMIF('Как будет'!$A$73:$A$80,Доп.расчеты!$A100,'Как будет'!GB$73:GB$80)</f>
        <v>0</v>
      </c>
      <c r="GB100">
        <f>SUMIF('Как будет'!$A$73:$A$80,Доп.расчеты!$A100,'Как будет'!GC$73:GC$80)</f>
        <v>0</v>
      </c>
      <c r="GC100">
        <f>SUMIF('Как будет'!$A$73:$A$80,Доп.расчеты!$A100,'Как будет'!GD$73:GD$80)</f>
        <v>0</v>
      </c>
      <c r="GD100">
        <f>SUMIF('Как будет'!$A$73:$A$80,Доп.расчеты!$A100,'Как будет'!GE$73:GE$80)</f>
        <v>0</v>
      </c>
      <c r="GE100">
        <f>SUMIF('Как будет'!$A$73:$A$80,Доп.расчеты!$A100,'Как будет'!GF$73:GF$80)</f>
        <v>0</v>
      </c>
      <c r="GF100">
        <f>SUMIF('Как будет'!$A$73:$A$80,Доп.расчеты!$A100,'Как будет'!GG$73:GG$80)</f>
        <v>0</v>
      </c>
      <c r="GG100">
        <f>SUMIF('Как будет'!$A$73:$A$80,Доп.расчеты!$A100,'Как будет'!GH$73:GH$80)</f>
        <v>0</v>
      </c>
      <c r="GH100">
        <f>SUMIF('Как будет'!$A$73:$A$80,Доп.расчеты!$A100,'Как будет'!GI$73:GI$80)</f>
        <v>0</v>
      </c>
      <c r="GI100">
        <f>SUMIF('Как будет'!$A$73:$A$80,Доп.расчеты!$A100,'Как будет'!GJ$73:GJ$80)</f>
        <v>0</v>
      </c>
      <c r="GJ100">
        <f>SUMIF('Как будет'!$A$73:$A$80,Доп.расчеты!$A100,'Как будет'!GK$73:GK$80)</f>
        <v>0</v>
      </c>
      <c r="GK100">
        <f>SUMIF('Как будет'!$A$73:$A$80,Доп.расчеты!$A100,'Как будет'!GL$73:GL$80)</f>
        <v>0</v>
      </c>
      <c r="GL100">
        <f>SUMIF('Как будет'!$A$73:$A$80,Доп.расчеты!$A100,'Как будет'!GM$73:GM$80)</f>
        <v>0</v>
      </c>
      <c r="GM100">
        <f>SUMIF('Как будет'!$A$73:$A$80,Доп.расчеты!$A100,'Как будет'!GN$73:GN$80)</f>
        <v>0</v>
      </c>
      <c r="GN100">
        <f>SUMIF('Как будет'!$A$73:$A$80,Доп.расчеты!$A100,'Как будет'!GO$73:GO$80)</f>
        <v>0</v>
      </c>
      <c r="GO100">
        <f>SUMIF('Как будет'!$A$73:$A$80,Доп.расчеты!$A100,'Как будет'!GP$73:GP$80)</f>
        <v>0</v>
      </c>
      <c r="GP100">
        <f>SUMIF('Как будет'!$A$73:$A$80,Доп.расчеты!$A100,'Как будет'!GQ$73:GQ$80)</f>
        <v>0</v>
      </c>
      <c r="GQ100">
        <f>SUMIF('Как будет'!$A$73:$A$80,Доп.расчеты!$A100,'Как будет'!GR$73:GR$80)</f>
        <v>0</v>
      </c>
      <c r="GR100">
        <f>SUMIF('Как будет'!$A$73:$A$80,Доп.расчеты!$A100,'Как будет'!GS$73:GS$80)</f>
        <v>0</v>
      </c>
      <c r="GS100">
        <f>SUMIF('Как будет'!$A$73:$A$80,Доп.расчеты!$A100,'Как будет'!GT$73:GT$80)</f>
        <v>0</v>
      </c>
      <c r="GT100">
        <f>SUMIF('Как будет'!$A$73:$A$80,Доп.расчеты!$A100,'Как будет'!GU$73:GU$80)</f>
        <v>0</v>
      </c>
    </row>
    <row r="101" spans="1:202">
      <c r="A101" s="237" t="s">
        <v>109</v>
      </c>
      <c r="B101">
        <f>SUMIF('Как будет'!$A$73:$A$80,Доп.расчеты!$A101,'Как будет'!C$73:C$80)</f>
        <v>0</v>
      </c>
      <c r="C101">
        <f>SUMIF('Как будет'!$A$73:$A$80,Доп.расчеты!$A101,'Как будет'!D$73:D$80)</f>
        <v>0</v>
      </c>
      <c r="D101">
        <f>SUMIF('Как будет'!$A$73:$A$80,Доп.расчеты!$A101,'Как будет'!E$73:E$80)</f>
        <v>0</v>
      </c>
      <c r="E101">
        <f>SUMIF('Как будет'!$A$73:$A$80,Доп.расчеты!$A101,'Как будет'!F$73:F$80)</f>
        <v>0</v>
      </c>
      <c r="F101">
        <f>SUMIF('Как будет'!$A$73:$A$80,Доп.расчеты!$A101,'Как будет'!G$73:G$80)</f>
        <v>0</v>
      </c>
      <c r="G101">
        <f>SUMIF('Как будет'!$A$73:$A$80,Доп.расчеты!$A101,'Как будет'!H$73:H$80)</f>
        <v>0</v>
      </c>
      <c r="H101">
        <f>SUMIF('Как будет'!$A$73:$A$80,Доп.расчеты!$A101,'Как будет'!I$73:I$80)</f>
        <v>0</v>
      </c>
      <c r="I101">
        <f>SUMIF('Как будет'!$A$73:$A$80,Доп.расчеты!$A101,'Как будет'!J$73:J$80)</f>
        <v>0</v>
      </c>
      <c r="J101">
        <f>SUMIF('Как будет'!$A$73:$A$80,Доп.расчеты!$A101,'Как будет'!K$73:K$80)</f>
        <v>0</v>
      </c>
      <c r="K101">
        <f>SUMIF('Как будет'!$A$73:$A$80,Доп.расчеты!$A101,'Как будет'!L$73:L$80)</f>
        <v>0</v>
      </c>
      <c r="L101">
        <f>SUMIF('Как будет'!$A$73:$A$80,Доп.расчеты!$A101,'Как будет'!M$73:M$80)</f>
        <v>0</v>
      </c>
      <c r="M101">
        <f>SUMIF('Как будет'!$A$73:$A$80,Доп.расчеты!$A101,'Как будет'!N$73:N$80)</f>
        <v>0</v>
      </c>
      <c r="N101">
        <f>SUMIF('Как будет'!$A$73:$A$80,Доп.расчеты!$A101,'Как будет'!O$73:O$80)</f>
        <v>0</v>
      </c>
      <c r="O101">
        <f>SUMIF('Как будет'!$A$73:$A$80,Доп.расчеты!$A101,'Как будет'!P$73:P$80)</f>
        <v>0</v>
      </c>
      <c r="P101">
        <f>SUMIF('Как будет'!$A$73:$A$80,Доп.расчеты!$A101,'Как будет'!Q$73:Q$80)</f>
        <v>0</v>
      </c>
      <c r="Q101">
        <f>SUMIF('Как будет'!$A$73:$A$80,Доп.расчеты!$A101,'Как будет'!R$73:R$80)</f>
        <v>0</v>
      </c>
      <c r="R101">
        <f>SUMIF('Как будет'!$A$73:$A$80,Доп.расчеты!$A101,'Как будет'!S$73:S$80)</f>
        <v>0</v>
      </c>
      <c r="S101">
        <f>SUMIF('Как будет'!$A$73:$A$80,Доп.расчеты!$A101,'Как будет'!T$73:T$80)</f>
        <v>0</v>
      </c>
      <c r="T101">
        <f>SUMIF('Как будет'!$A$73:$A$80,Доп.расчеты!$A101,'Как будет'!U$73:U$80)</f>
        <v>0</v>
      </c>
      <c r="U101">
        <f>SUMIF('Как будет'!$A$73:$A$80,Доп.расчеты!$A101,'Как будет'!V$73:V$80)</f>
        <v>0</v>
      </c>
      <c r="V101">
        <f>SUMIF('Как будет'!$A$73:$A$80,Доп.расчеты!$A101,'Как будет'!W$73:W$80)</f>
        <v>0</v>
      </c>
      <c r="W101">
        <f>SUMIF('Как будет'!$A$73:$A$80,Доп.расчеты!$A101,'Как будет'!X$73:X$80)</f>
        <v>0</v>
      </c>
      <c r="X101">
        <f>SUMIF('Как будет'!$A$73:$A$80,Доп.расчеты!$A101,'Как будет'!Y$73:Y$80)</f>
        <v>0</v>
      </c>
      <c r="Y101">
        <f>SUMIF('Как будет'!$A$73:$A$80,Доп.расчеты!$A101,'Как будет'!Z$73:Z$80)</f>
        <v>0</v>
      </c>
      <c r="Z101">
        <f>SUMIF('Как будет'!$A$73:$A$80,Доп.расчеты!$A101,'Как будет'!AA$73:AA$80)</f>
        <v>0</v>
      </c>
      <c r="AA101">
        <f>SUMIF('Как будет'!$A$73:$A$80,Доп.расчеты!$A101,'Как будет'!AB$73:AB$80)</f>
        <v>0</v>
      </c>
      <c r="AB101">
        <f>SUMIF('Как будет'!$A$73:$A$80,Доп.расчеты!$A101,'Как будет'!AC$73:AC$80)</f>
        <v>0</v>
      </c>
      <c r="AC101">
        <f>SUMIF('Как будет'!$A$73:$A$80,Доп.расчеты!$A101,'Как будет'!AD$73:AD$80)</f>
        <v>0</v>
      </c>
      <c r="AD101">
        <f>SUMIF('Как будет'!$A$73:$A$80,Доп.расчеты!$A101,'Как будет'!AE$73:AE$80)</f>
        <v>0</v>
      </c>
      <c r="AE101">
        <f>SUMIF('Как будет'!$A$73:$A$80,Доп.расчеты!$A101,'Как будет'!AF$73:AF$80)</f>
        <v>0</v>
      </c>
      <c r="AF101">
        <f>SUMIF('Как будет'!$A$73:$A$80,Доп.расчеты!$A101,'Как будет'!AG$73:AG$80)</f>
        <v>0</v>
      </c>
      <c r="AG101">
        <f>SUMIF('Как будет'!$A$73:$A$80,Доп.расчеты!$A101,'Как будет'!AH$73:AH$80)</f>
        <v>0</v>
      </c>
      <c r="AH101">
        <f>SUMIF('Как будет'!$A$73:$A$80,Доп.расчеты!$A101,'Как будет'!AI$73:AI$80)</f>
        <v>0</v>
      </c>
      <c r="AI101">
        <f>SUMIF('Как будет'!$A$73:$A$80,Доп.расчеты!$A101,'Как будет'!AJ$73:AJ$80)</f>
        <v>0</v>
      </c>
      <c r="AJ101">
        <f>SUMIF('Как будет'!$A$73:$A$80,Доп.расчеты!$A101,'Как будет'!AK$73:AK$80)</f>
        <v>0</v>
      </c>
      <c r="AK101">
        <f>SUMIF('Как будет'!$A$73:$A$80,Доп.расчеты!$A101,'Как будет'!AL$73:AL$80)</f>
        <v>0</v>
      </c>
      <c r="AL101">
        <f>SUMIF('Как будет'!$A$73:$A$80,Доп.расчеты!$A101,'Как будет'!AM$73:AM$80)</f>
        <v>0</v>
      </c>
      <c r="AM101">
        <f>SUMIF('Как будет'!$A$73:$A$80,Доп.расчеты!$A101,'Как будет'!AN$73:AN$80)</f>
        <v>0</v>
      </c>
      <c r="AN101">
        <f>SUMIF('Как будет'!$A$73:$A$80,Доп.расчеты!$A101,'Как будет'!AO$73:AO$80)</f>
        <v>0</v>
      </c>
      <c r="AO101">
        <f>SUMIF('Как будет'!$A$73:$A$80,Доп.расчеты!$A101,'Как будет'!AP$73:AP$80)</f>
        <v>0</v>
      </c>
      <c r="AP101">
        <f>SUMIF('Как будет'!$A$73:$A$80,Доп.расчеты!$A101,'Как будет'!AQ$73:AQ$80)</f>
        <v>0</v>
      </c>
      <c r="AQ101">
        <f>SUMIF('Как будет'!$A$73:$A$80,Доп.расчеты!$A101,'Как будет'!AR$73:AR$80)</f>
        <v>0</v>
      </c>
      <c r="AR101">
        <f>SUMIF('Как будет'!$A$73:$A$80,Доп.расчеты!$A101,'Как будет'!AS$73:AS$80)</f>
        <v>0</v>
      </c>
      <c r="AS101">
        <f>SUMIF('Как будет'!$A$73:$A$80,Доп.расчеты!$A101,'Как будет'!AT$73:AT$80)</f>
        <v>0</v>
      </c>
      <c r="AT101">
        <f>SUMIF('Как будет'!$A$73:$A$80,Доп.расчеты!$A101,'Как будет'!AU$73:AU$80)</f>
        <v>0</v>
      </c>
      <c r="AU101">
        <f>SUMIF('Как будет'!$A$73:$A$80,Доп.расчеты!$A101,'Как будет'!AV$73:AV$80)</f>
        <v>0</v>
      </c>
      <c r="AV101">
        <f>SUMIF('Как будет'!$A$73:$A$80,Доп.расчеты!$A101,'Как будет'!AW$73:AW$80)</f>
        <v>0</v>
      </c>
      <c r="AW101">
        <f>SUMIF('Как будет'!$A$73:$A$80,Доп.расчеты!$A101,'Как будет'!AX$73:AX$80)</f>
        <v>0</v>
      </c>
      <c r="AX101">
        <f>SUMIF('Как будет'!$A$73:$A$80,Доп.расчеты!$A101,'Как будет'!AY$73:AY$80)</f>
        <v>0</v>
      </c>
      <c r="AY101">
        <f>SUMIF('Как будет'!$A$73:$A$80,Доп.расчеты!$A101,'Как будет'!AZ$73:AZ$80)</f>
        <v>0</v>
      </c>
      <c r="AZ101">
        <f>SUMIF('Как будет'!$A$73:$A$80,Доп.расчеты!$A101,'Как будет'!BA$73:BA$80)</f>
        <v>0</v>
      </c>
      <c r="BA101">
        <f>SUMIF('Как будет'!$A$73:$A$80,Доп.расчеты!$A101,'Как будет'!BB$73:BB$80)</f>
        <v>0</v>
      </c>
      <c r="BB101">
        <f>SUMIF('Как будет'!$A$73:$A$80,Доп.расчеты!$A101,'Как будет'!BC$73:BC$80)</f>
        <v>0</v>
      </c>
      <c r="BC101">
        <f>SUMIF('Как будет'!$A$73:$A$80,Доп.расчеты!$A101,'Как будет'!BD$73:BD$80)</f>
        <v>0</v>
      </c>
      <c r="BD101">
        <f>SUMIF('Как будет'!$A$73:$A$80,Доп.расчеты!$A101,'Как будет'!BE$73:BE$80)</f>
        <v>0</v>
      </c>
      <c r="BE101">
        <f>SUMIF('Как будет'!$A$73:$A$80,Доп.расчеты!$A101,'Как будет'!BF$73:BF$80)</f>
        <v>0</v>
      </c>
      <c r="BF101">
        <f>SUMIF('Как будет'!$A$73:$A$80,Доп.расчеты!$A101,'Как будет'!BG$73:BG$80)</f>
        <v>0</v>
      </c>
      <c r="BG101">
        <f>SUMIF('Как будет'!$A$73:$A$80,Доп.расчеты!$A101,'Как будет'!BH$73:BH$80)</f>
        <v>0</v>
      </c>
      <c r="BH101">
        <f>SUMIF('Как будет'!$A$73:$A$80,Доп.расчеты!$A101,'Как будет'!BI$73:BI$80)</f>
        <v>0</v>
      </c>
      <c r="BI101">
        <f>SUMIF('Как будет'!$A$73:$A$80,Доп.расчеты!$A101,'Как будет'!BJ$73:BJ$80)</f>
        <v>0</v>
      </c>
      <c r="BJ101">
        <f>SUMIF('Как будет'!$A$73:$A$80,Доп.расчеты!$A101,'Как будет'!BK$73:BK$80)</f>
        <v>0</v>
      </c>
      <c r="BK101">
        <f>SUMIF('Как будет'!$A$73:$A$80,Доп.расчеты!$A101,'Как будет'!BL$73:BL$80)</f>
        <v>0</v>
      </c>
      <c r="BL101">
        <f>SUMIF('Как будет'!$A$73:$A$80,Доп.расчеты!$A101,'Как будет'!BM$73:BM$80)</f>
        <v>0</v>
      </c>
      <c r="BM101">
        <f>SUMIF('Как будет'!$A$73:$A$80,Доп.расчеты!$A101,'Как будет'!BN$73:BN$80)</f>
        <v>0</v>
      </c>
      <c r="BN101">
        <f>SUMIF('Как будет'!$A$73:$A$80,Доп.расчеты!$A101,'Как будет'!BO$73:BO$80)</f>
        <v>0</v>
      </c>
      <c r="BO101">
        <f>SUMIF('Как будет'!$A$73:$A$80,Доп.расчеты!$A101,'Как будет'!BP$73:BP$80)</f>
        <v>0</v>
      </c>
      <c r="BP101">
        <f>SUMIF('Как будет'!$A$73:$A$80,Доп.расчеты!$A101,'Как будет'!BQ$73:BQ$80)</f>
        <v>0</v>
      </c>
      <c r="BQ101">
        <f>SUMIF('Как будет'!$A$73:$A$80,Доп.расчеты!$A101,'Как будет'!BR$73:BR$80)</f>
        <v>0</v>
      </c>
      <c r="BR101">
        <f>SUMIF('Как будет'!$A$73:$A$80,Доп.расчеты!$A101,'Как будет'!BS$73:BS$80)</f>
        <v>0</v>
      </c>
      <c r="BS101">
        <f>SUMIF('Как будет'!$A$73:$A$80,Доп.расчеты!$A101,'Как будет'!BT$73:BT$80)</f>
        <v>0</v>
      </c>
      <c r="BT101">
        <f>SUMIF('Как будет'!$A$73:$A$80,Доп.расчеты!$A101,'Как будет'!BU$73:BU$80)</f>
        <v>0</v>
      </c>
      <c r="BU101">
        <f>SUMIF('Как будет'!$A$73:$A$80,Доп.расчеты!$A101,'Как будет'!BV$73:BV$80)</f>
        <v>0</v>
      </c>
      <c r="BV101">
        <f>SUMIF('Как будет'!$A$73:$A$80,Доп.расчеты!$A101,'Как будет'!BW$73:BW$80)</f>
        <v>0</v>
      </c>
      <c r="BW101">
        <f>SUMIF('Как будет'!$A$73:$A$80,Доп.расчеты!$A101,'Как будет'!BX$73:BX$80)</f>
        <v>0</v>
      </c>
      <c r="BX101">
        <f>SUMIF('Как будет'!$A$73:$A$80,Доп.расчеты!$A101,'Как будет'!BY$73:BY$80)</f>
        <v>0</v>
      </c>
      <c r="BY101">
        <f>SUMIF('Как будет'!$A$73:$A$80,Доп.расчеты!$A101,'Как будет'!BZ$73:BZ$80)</f>
        <v>0</v>
      </c>
      <c r="BZ101">
        <f>SUMIF('Как будет'!$A$73:$A$80,Доп.расчеты!$A101,'Как будет'!CA$73:CA$80)</f>
        <v>0</v>
      </c>
      <c r="CA101">
        <f>SUMIF('Как будет'!$A$73:$A$80,Доп.расчеты!$A101,'Как будет'!CB$73:CB$80)</f>
        <v>0</v>
      </c>
      <c r="CB101">
        <f>SUMIF('Как будет'!$A$73:$A$80,Доп.расчеты!$A101,'Как будет'!CC$73:CC$80)</f>
        <v>0</v>
      </c>
      <c r="CC101">
        <f>SUMIF('Как будет'!$A$73:$A$80,Доп.расчеты!$A101,'Как будет'!CD$73:CD$80)</f>
        <v>0</v>
      </c>
      <c r="CD101">
        <f>SUMIF('Как будет'!$A$73:$A$80,Доп.расчеты!$A101,'Как будет'!CE$73:CE$80)</f>
        <v>0</v>
      </c>
      <c r="CE101">
        <f>SUMIF('Как будет'!$A$73:$A$80,Доп.расчеты!$A101,'Как будет'!CF$73:CF$80)</f>
        <v>0</v>
      </c>
      <c r="CF101">
        <f>SUMIF('Как будет'!$A$73:$A$80,Доп.расчеты!$A101,'Как будет'!CG$73:CG$80)</f>
        <v>0</v>
      </c>
      <c r="CG101">
        <f>SUMIF('Как будет'!$A$73:$A$80,Доп.расчеты!$A101,'Как будет'!CH$73:CH$80)</f>
        <v>0</v>
      </c>
      <c r="CH101">
        <f>SUMIF('Как будет'!$A$73:$A$80,Доп.расчеты!$A101,'Как будет'!CI$73:CI$80)</f>
        <v>0</v>
      </c>
      <c r="CI101">
        <f>SUMIF('Как будет'!$A$73:$A$80,Доп.расчеты!$A101,'Как будет'!CJ$73:CJ$80)</f>
        <v>0</v>
      </c>
      <c r="CJ101">
        <f>SUMIF('Как будет'!$A$73:$A$80,Доп.расчеты!$A101,'Как будет'!CK$73:CK$80)</f>
        <v>0</v>
      </c>
      <c r="CK101">
        <f>SUMIF('Как будет'!$A$73:$A$80,Доп.расчеты!$A101,'Как будет'!CL$73:CL$80)</f>
        <v>0</v>
      </c>
      <c r="CL101">
        <f>SUMIF('Как будет'!$A$73:$A$80,Доп.расчеты!$A101,'Как будет'!CM$73:CM$80)</f>
        <v>0</v>
      </c>
      <c r="CM101">
        <f>SUMIF('Как будет'!$A$73:$A$80,Доп.расчеты!$A101,'Как будет'!CN$73:CN$80)</f>
        <v>0</v>
      </c>
      <c r="CN101">
        <f>SUMIF('Как будет'!$A$73:$A$80,Доп.расчеты!$A101,'Как будет'!CO$73:CO$80)</f>
        <v>0</v>
      </c>
      <c r="CO101">
        <f>SUMIF('Как будет'!$A$73:$A$80,Доп.расчеты!$A101,'Как будет'!CP$73:CP$80)</f>
        <v>0</v>
      </c>
      <c r="CP101">
        <f>SUMIF('Как будет'!$A$73:$A$80,Доп.расчеты!$A101,'Как будет'!CQ$73:CQ$80)</f>
        <v>0</v>
      </c>
      <c r="CQ101">
        <f>SUMIF('Как будет'!$A$73:$A$80,Доп.расчеты!$A101,'Как будет'!CR$73:CR$80)</f>
        <v>0</v>
      </c>
      <c r="CR101">
        <f>SUMIF('Как будет'!$A$73:$A$80,Доп.расчеты!$A101,'Как будет'!CS$73:CS$80)</f>
        <v>0</v>
      </c>
      <c r="CS101">
        <f>SUMIF('Как будет'!$A$73:$A$80,Доп.расчеты!$A101,'Как будет'!CT$73:CT$80)</f>
        <v>0</v>
      </c>
      <c r="CT101">
        <f>SUMIF('Как будет'!$A$73:$A$80,Доп.расчеты!$A101,'Как будет'!CU$73:CU$80)</f>
        <v>0</v>
      </c>
      <c r="CU101">
        <f>SUMIF('Как будет'!$A$73:$A$80,Доп.расчеты!$A101,'Как будет'!CV$73:CV$80)</f>
        <v>0</v>
      </c>
      <c r="CV101">
        <f>SUMIF('Как будет'!$A$73:$A$80,Доп.расчеты!$A101,'Как будет'!CW$73:CW$80)</f>
        <v>0</v>
      </c>
      <c r="CW101">
        <f>SUMIF('Как будет'!$A$73:$A$80,Доп.расчеты!$A101,'Как будет'!CX$73:CX$80)</f>
        <v>0</v>
      </c>
      <c r="CX101">
        <f>SUMIF('Как будет'!$A$73:$A$80,Доп.расчеты!$A101,'Как будет'!CY$73:CY$80)</f>
        <v>0</v>
      </c>
      <c r="CY101">
        <f>SUMIF('Как будет'!$A$73:$A$80,Доп.расчеты!$A101,'Как будет'!CZ$73:CZ$80)</f>
        <v>0</v>
      </c>
      <c r="CZ101">
        <f>SUMIF('Как будет'!$A$73:$A$80,Доп.расчеты!$A101,'Как будет'!DA$73:DA$80)</f>
        <v>0</v>
      </c>
      <c r="DA101">
        <f>SUMIF('Как будет'!$A$73:$A$80,Доп.расчеты!$A101,'Как будет'!DB$73:DB$80)</f>
        <v>0</v>
      </c>
      <c r="DB101">
        <f>SUMIF('Как будет'!$A$73:$A$80,Доп.расчеты!$A101,'Как будет'!DC$73:DC$80)</f>
        <v>0</v>
      </c>
      <c r="DC101">
        <f>SUMIF('Как будет'!$A$73:$A$80,Доп.расчеты!$A101,'Как будет'!DD$73:DD$80)</f>
        <v>0</v>
      </c>
      <c r="DD101">
        <f>SUMIF('Как будет'!$A$73:$A$80,Доп.расчеты!$A101,'Как будет'!DE$73:DE$80)</f>
        <v>0</v>
      </c>
      <c r="DE101">
        <f>SUMIF('Как будет'!$A$73:$A$80,Доп.расчеты!$A101,'Как будет'!DF$73:DF$80)</f>
        <v>0</v>
      </c>
      <c r="DF101">
        <f>SUMIF('Как будет'!$A$73:$A$80,Доп.расчеты!$A101,'Как будет'!DG$73:DG$80)</f>
        <v>0</v>
      </c>
      <c r="DG101">
        <f>SUMIF('Как будет'!$A$73:$A$80,Доп.расчеты!$A101,'Как будет'!DH$73:DH$80)</f>
        <v>0</v>
      </c>
      <c r="DH101">
        <f>SUMIF('Как будет'!$A$73:$A$80,Доп.расчеты!$A101,'Как будет'!DI$73:DI$80)</f>
        <v>0</v>
      </c>
      <c r="DI101">
        <f>SUMIF('Как будет'!$A$73:$A$80,Доп.расчеты!$A101,'Как будет'!DJ$73:DJ$80)</f>
        <v>0</v>
      </c>
      <c r="DJ101">
        <f>SUMIF('Как будет'!$A$73:$A$80,Доп.расчеты!$A101,'Как будет'!DK$73:DK$80)</f>
        <v>0</v>
      </c>
      <c r="DK101">
        <f>SUMIF('Как будет'!$A$73:$A$80,Доп.расчеты!$A101,'Как будет'!DL$73:DL$80)</f>
        <v>0</v>
      </c>
      <c r="DL101">
        <f>SUMIF('Как будет'!$A$73:$A$80,Доп.расчеты!$A101,'Как будет'!DM$73:DM$80)</f>
        <v>0</v>
      </c>
      <c r="DM101">
        <f>SUMIF('Как будет'!$A$73:$A$80,Доп.расчеты!$A101,'Как будет'!DN$73:DN$80)</f>
        <v>0</v>
      </c>
      <c r="DN101">
        <f>SUMIF('Как будет'!$A$73:$A$80,Доп.расчеты!$A101,'Как будет'!DO$73:DO$80)</f>
        <v>0</v>
      </c>
      <c r="DO101">
        <f>SUMIF('Как будет'!$A$73:$A$80,Доп.расчеты!$A101,'Как будет'!DP$73:DP$80)</f>
        <v>0</v>
      </c>
      <c r="DP101">
        <f>SUMIF('Как будет'!$A$73:$A$80,Доп.расчеты!$A101,'Как будет'!DQ$73:DQ$80)</f>
        <v>0</v>
      </c>
      <c r="DQ101">
        <f>SUMIF('Как будет'!$A$73:$A$80,Доп.расчеты!$A101,'Как будет'!DR$73:DR$80)</f>
        <v>0</v>
      </c>
      <c r="DR101">
        <f>SUMIF('Как будет'!$A$73:$A$80,Доп.расчеты!$A101,'Как будет'!DS$73:DS$80)</f>
        <v>0</v>
      </c>
      <c r="DS101">
        <f>SUMIF('Как будет'!$A$73:$A$80,Доп.расчеты!$A101,'Как будет'!DT$73:DT$80)</f>
        <v>0</v>
      </c>
      <c r="DT101">
        <f>SUMIF('Как будет'!$A$73:$A$80,Доп.расчеты!$A101,'Как будет'!DU$73:DU$80)</f>
        <v>0</v>
      </c>
      <c r="DU101">
        <f>SUMIF('Как будет'!$A$73:$A$80,Доп.расчеты!$A101,'Как будет'!DV$73:DV$80)</f>
        <v>0</v>
      </c>
      <c r="DV101">
        <f>SUMIF('Как будет'!$A$73:$A$80,Доп.расчеты!$A101,'Как будет'!DW$73:DW$80)</f>
        <v>0</v>
      </c>
      <c r="DW101">
        <f>SUMIF('Как будет'!$A$73:$A$80,Доп.расчеты!$A101,'Как будет'!DX$73:DX$80)</f>
        <v>0</v>
      </c>
      <c r="DX101">
        <f>SUMIF('Как будет'!$A$73:$A$80,Доп.расчеты!$A101,'Как будет'!DY$73:DY$80)</f>
        <v>0</v>
      </c>
      <c r="DY101">
        <f>SUMIF('Как будет'!$A$73:$A$80,Доп.расчеты!$A101,'Как будет'!DZ$73:DZ$80)</f>
        <v>0</v>
      </c>
      <c r="DZ101">
        <f>SUMIF('Как будет'!$A$73:$A$80,Доп.расчеты!$A101,'Как будет'!EA$73:EA$80)</f>
        <v>0</v>
      </c>
      <c r="EA101">
        <f>SUMIF('Как будет'!$A$73:$A$80,Доп.расчеты!$A101,'Как будет'!EB$73:EB$80)</f>
        <v>0</v>
      </c>
      <c r="EB101">
        <f>SUMIF('Как будет'!$A$73:$A$80,Доп.расчеты!$A101,'Как будет'!EC$73:EC$80)</f>
        <v>0</v>
      </c>
      <c r="EC101">
        <f>SUMIF('Как будет'!$A$73:$A$80,Доп.расчеты!$A101,'Как будет'!ED$73:ED$80)</f>
        <v>0</v>
      </c>
      <c r="ED101">
        <f>SUMIF('Как будет'!$A$73:$A$80,Доп.расчеты!$A101,'Как будет'!EE$73:EE$80)</f>
        <v>0</v>
      </c>
      <c r="EE101">
        <f>SUMIF('Как будет'!$A$73:$A$80,Доп.расчеты!$A101,'Как будет'!EF$73:EF$80)</f>
        <v>0</v>
      </c>
      <c r="EF101">
        <f>SUMIF('Как будет'!$A$73:$A$80,Доп.расчеты!$A101,'Как будет'!EG$73:EG$80)</f>
        <v>0</v>
      </c>
      <c r="EG101">
        <f>SUMIF('Как будет'!$A$73:$A$80,Доп.расчеты!$A101,'Как будет'!EH$73:EH$80)</f>
        <v>0</v>
      </c>
      <c r="EH101">
        <f>SUMIF('Как будет'!$A$73:$A$80,Доп.расчеты!$A101,'Как будет'!EI$73:EI$80)</f>
        <v>0</v>
      </c>
      <c r="EI101">
        <f>SUMIF('Как будет'!$A$73:$A$80,Доп.расчеты!$A101,'Как будет'!EJ$73:EJ$80)</f>
        <v>0</v>
      </c>
      <c r="EJ101">
        <f>SUMIF('Как будет'!$A$73:$A$80,Доп.расчеты!$A101,'Как будет'!EK$73:EK$80)</f>
        <v>0</v>
      </c>
      <c r="EK101">
        <f>SUMIF('Как будет'!$A$73:$A$80,Доп.расчеты!$A101,'Как будет'!EL$73:EL$80)</f>
        <v>0</v>
      </c>
      <c r="EL101">
        <f>SUMIF('Как будет'!$A$73:$A$80,Доп.расчеты!$A101,'Как будет'!EM$73:EM$80)</f>
        <v>0</v>
      </c>
      <c r="EM101">
        <f>SUMIF('Как будет'!$A$73:$A$80,Доп.расчеты!$A101,'Как будет'!EN$73:EN$80)</f>
        <v>0</v>
      </c>
      <c r="EN101">
        <f>SUMIF('Как будет'!$A$73:$A$80,Доп.расчеты!$A101,'Как будет'!EO$73:EO$80)</f>
        <v>0</v>
      </c>
      <c r="EO101">
        <f>SUMIF('Как будет'!$A$73:$A$80,Доп.расчеты!$A101,'Как будет'!EP$73:EP$80)</f>
        <v>0</v>
      </c>
      <c r="EP101">
        <f>SUMIF('Как будет'!$A$73:$A$80,Доп.расчеты!$A101,'Как будет'!EQ$73:EQ$80)</f>
        <v>0</v>
      </c>
      <c r="EQ101">
        <f>SUMIF('Как будет'!$A$73:$A$80,Доп.расчеты!$A101,'Как будет'!ER$73:ER$80)</f>
        <v>0</v>
      </c>
      <c r="ER101">
        <f>SUMIF('Как будет'!$A$73:$A$80,Доп.расчеты!$A101,'Как будет'!ES$73:ES$80)</f>
        <v>0</v>
      </c>
      <c r="ES101">
        <f>SUMIF('Как будет'!$A$73:$A$80,Доп.расчеты!$A101,'Как будет'!ET$73:ET$80)</f>
        <v>0</v>
      </c>
      <c r="ET101">
        <f>SUMIF('Как будет'!$A$73:$A$80,Доп.расчеты!$A101,'Как будет'!EU$73:EU$80)</f>
        <v>0</v>
      </c>
      <c r="EU101">
        <f>SUMIF('Как будет'!$A$73:$A$80,Доп.расчеты!$A101,'Как будет'!EV$73:EV$80)</f>
        <v>0</v>
      </c>
      <c r="EV101">
        <f>SUMIF('Как будет'!$A$73:$A$80,Доп.расчеты!$A101,'Как будет'!EW$73:EW$80)</f>
        <v>0</v>
      </c>
      <c r="EW101">
        <f>SUMIF('Как будет'!$A$73:$A$80,Доп.расчеты!$A101,'Как будет'!EX$73:EX$80)</f>
        <v>0</v>
      </c>
      <c r="EX101">
        <f>SUMIF('Как будет'!$A$73:$A$80,Доп.расчеты!$A101,'Как будет'!EY$73:EY$80)</f>
        <v>0</v>
      </c>
      <c r="EY101">
        <f>SUMIF('Как будет'!$A$73:$A$80,Доп.расчеты!$A101,'Как будет'!EZ$73:EZ$80)</f>
        <v>0</v>
      </c>
      <c r="EZ101">
        <f>SUMIF('Как будет'!$A$73:$A$80,Доп.расчеты!$A101,'Как будет'!FA$73:FA$80)</f>
        <v>0</v>
      </c>
      <c r="FA101">
        <f>SUMIF('Как будет'!$A$73:$A$80,Доп.расчеты!$A101,'Как будет'!FB$73:FB$80)</f>
        <v>0</v>
      </c>
      <c r="FB101">
        <f>SUMIF('Как будет'!$A$73:$A$80,Доп.расчеты!$A101,'Как будет'!FC$73:FC$80)</f>
        <v>0</v>
      </c>
      <c r="FC101">
        <f>SUMIF('Как будет'!$A$73:$A$80,Доп.расчеты!$A101,'Как будет'!FD$73:FD$80)</f>
        <v>0</v>
      </c>
      <c r="FD101">
        <f>SUMIF('Как будет'!$A$73:$A$80,Доп.расчеты!$A101,'Как будет'!FE$73:FE$80)</f>
        <v>0</v>
      </c>
      <c r="FE101">
        <f>SUMIF('Как будет'!$A$73:$A$80,Доп.расчеты!$A101,'Как будет'!FF$73:FF$80)</f>
        <v>0</v>
      </c>
      <c r="FF101">
        <f>SUMIF('Как будет'!$A$73:$A$80,Доп.расчеты!$A101,'Как будет'!FG$73:FG$80)</f>
        <v>0</v>
      </c>
      <c r="FG101">
        <f>SUMIF('Как будет'!$A$73:$A$80,Доп.расчеты!$A101,'Как будет'!FH$73:FH$80)</f>
        <v>0</v>
      </c>
      <c r="FH101">
        <f>SUMIF('Как будет'!$A$73:$A$80,Доп.расчеты!$A101,'Как будет'!FI$73:FI$80)</f>
        <v>0</v>
      </c>
      <c r="FI101">
        <f>SUMIF('Как будет'!$A$73:$A$80,Доп.расчеты!$A101,'Как будет'!FJ$73:FJ$80)</f>
        <v>0</v>
      </c>
      <c r="FJ101">
        <f>SUMIF('Как будет'!$A$73:$A$80,Доп.расчеты!$A101,'Как будет'!FK$73:FK$80)</f>
        <v>0</v>
      </c>
      <c r="FK101">
        <f>SUMIF('Как будет'!$A$73:$A$80,Доп.расчеты!$A101,'Как будет'!FL$73:FL$80)</f>
        <v>0</v>
      </c>
      <c r="FL101">
        <f>SUMIF('Как будет'!$A$73:$A$80,Доп.расчеты!$A101,'Как будет'!FM$73:FM$80)</f>
        <v>0</v>
      </c>
      <c r="FM101">
        <f>SUMIF('Как будет'!$A$73:$A$80,Доп.расчеты!$A101,'Как будет'!FN$73:FN$80)</f>
        <v>0</v>
      </c>
      <c r="FN101">
        <f>SUMIF('Как будет'!$A$73:$A$80,Доп.расчеты!$A101,'Как будет'!FO$73:FO$80)</f>
        <v>0</v>
      </c>
      <c r="FO101">
        <f>SUMIF('Как будет'!$A$73:$A$80,Доп.расчеты!$A101,'Как будет'!FP$73:FP$80)</f>
        <v>0</v>
      </c>
      <c r="FP101">
        <f>SUMIF('Как будет'!$A$73:$A$80,Доп.расчеты!$A101,'Как будет'!FQ$73:FQ$80)</f>
        <v>0</v>
      </c>
      <c r="FQ101">
        <f>SUMIF('Как будет'!$A$73:$A$80,Доп.расчеты!$A101,'Как будет'!FR$73:FR$80)</f>
        <v>0</v>
      </c>
      <c r="FR101">
        <f>SUMIF('Как будет'!$A$73:$A$80,Доп.расчеты!$A101,'Как будет'!FS$73:FS$80)</f>
        <v>0</v>
      </c>
      <c r="FS101">
        <f>SUMIF('Как будет'!$A$73:$A$80,Доп.расчеты!$A101,'Как будет'!FT$73:FT$80)</f>
        <v>0</v>
      </c>
      <c r="FT101">
        <f>SUMIF('Как будет'!$A$73:$A$80,Доп.расчеты!$A101,'Как будет'!FU$73:FU$80)</f>
        <v>0</v>
      </c>
      <c r="FU101">
        <f>SUMIF('Как будет'!$A$73:$A$80,Доп.расчеты!$A101,'Как будет'!FV$73:FV$80)</f>
        <v>0</v>
      </c>
      <c r="FV101">
        <f>SUMIF('Как будет'!$A$73:$A$80,Доп.расчеты!$A101,'Как будет'!FW$73:FW$80)</f>
        <v>0</v>
      </c>
      <c r="FW101">
        <f>SUMIF('Как будет'!$A$73:$A$80,Доп.расчеты!$A101,'Как будет'!FX$73:FX$80)</f>
        <v>0</v>
      </c>
      <c r="FX101">
        <f>SUMIF('Как будет'!$A$73:$A$80,Доп.расчеты!$A101,'Как будет'!FY$73:FY$80)</f>
        <v>0</v>
      </c>
      <c r="FY101">
        <f>SUMIF('Как будет'!$A$73:$A$80,Доп.расчеты!$A101,'Как будет'!FZ$73:FZ$80)</f>
        <v>0</v>
      </c>
      <c r="FZ101">
        <f>SUMIF('Как будет'!$A$73:$A$80,Доп.расчеты!$A101,'Как будет'!GA$73:GA$80)</f>
        <v>0</v>
      </c>
      <c r="GA101">
        <f>SUMIF('Как будет'!$A$73:$A$80,Доп.расчеты!$A101,'Как будет'!GB$73:GB$80)</f>
        <v>0</v>
      </c>
      <c r="GB101">
        <f>SUMIF('Как будет'!$A$73:$A$80,Доп.расчеты!$A101,'Как будет'!GC$73:GC$80)</f>
        <v>0</v>
      </c>
      <c r="GC101">
        <f>SUMIF('Как будет'!$A$73:$A$80,Доп.расчеты!$A101,'Как будет'!GD$73:GD$80)</f>
        <v>0</v>
      </c>
      <c r="GD101">
        <f>SUMIF('Как будет'!$A$73:$A$80,Доп.расчеты!$A101,'Как будет'!GE$73:GE$80)</f>
        <v>0</v>
      </c>
      <c r="GE101">
        <f>SUMIF('Как будет'!$A$73:$A$80,Доп.расчеты!$A101,'Как будет'!GF$73:GF$80)</f>
        <v>0</v>
      </c>
      <c r="GF101">
        <f>SUMIF('Как будет'!$A$73:$A$80,Доп.расчеты!$A101,'Как будет'!GG$73:GG$80)</f>
        <v>0</v>
      </c>
      <c r="GG101">
        <f>SUMIF('Как будет'!$A$73:$A$80,Доп.расчеты!$A101,'Как будет'!GH$73:GH$80)</f>
        <v>0</v>
      </c>
      <c r="GH101">
        <f>SUMIF('Как будет'!$A$73:$A$80,Доп.расчеты!$A101,'Как будет'!GI$73:GI$80)</f>
        <v>0</v>
      </c>
      <c r="GI101">
        <f>SUMIF('Как будет'!$A$73:$A$80,Доп.расчеты!$A101,'Как будет'!GJ$73:GJ$80)</f>
        <v>0</v>
      </c>
      <c r="GJ101">
        <f>SUMIF('Как будет'!$A$73:$A$80,Доп.расчеты!$A101,'Как будет'!GK$73:GK$80)</f>
        <v>0</v>
      </c>
      <c r="GK101">
        <f>SUMIF('Как будет'!$A$73:$A$80,Доп.расчеты!$A101,'Как будет'!GL$73:GL$80)</f>
        <v>0</v>
      </c>
      <c r="GL101">
        <f>SUMIF('Как будет'!$A$73:$A$80,Доп.расчеты!$A101,'Как будет'!GM$73:GM$80)</f>
        <v>0</v>
      </c>
      <c r="GM101">
        <f>SUMIF('Как будет'!$A$73:$A$80,Доп.расчеты!$A101,'Как будет'!GN$73:GN$80)</f>
        <v>0</v>
      </c>
      <c r="GN101">
        <f>SUMIF('Как будет'!$A$73:$A$80,Доп.расчеты!$A101,'Как будет'!GO$73:GO$80)</f>
        <v>0</v>
      </c>
      <c r="GO101">
        <f>SUMIF('Как будет'!$A$73:$A$80,Доп.расчеты!$A101,'Как будет'!GP$73:GP$80)</f>
        <v>0</v>
      </c>
      <c r="GP101">
        <f>SUMIF('Как будет'!$A$73:$A$80,Доп.расчеты!$A101,'Как будет'!GQ$73:GQ$80)</f>
        <v>0</v>
      </c>
      <c r="GQ101">
        <f>SUMIF('Как будет'!$A$73:$A$80,Доп.расчеты!$A101,'Как будет'!GR$73:GR$80)</f>
        <v>0</v>
      </c>
      <c r="GR101">
        <f>SUMIF('Как будет'!$A$73:$A$80,Доп.расчеты!$A101,'Как будет'!GS$73:GS$80)</f>
        <v>0</v>
      </c>
      <c r="GS101">
        <f>SUMIF('Как будет'!$A$73:$A$80,Доп.расчеты!$A101,'Как будет'!GT$73:GT$80)</f>
        <v>0</v>
      </c>
      <c r="GT101">
        <f>SUMIF('Как будет'!$A$73:$A$80,Доп.расчеты!$A101,'Как будет'!GU$73:GU$80)</f>
        <v>0</v>
      </c>
    </row>
    <row r="102" spans="1:202">
      <c r="A102" s="237" t="s">
        <v>110</v>
      </c>
      <c r="B102">
        <f>SUMIF('Как будет'!$A$73:$A$80,Доп.расчеты!$A102,'Как будет'!C$73:C$80)</f>
        <v>0</v>
      </c>
      <c r="C102">
        <f>SUMIF('Как будет'!$A$73:$A$80,Доп.расчеты!$A102,'Как будет'!D$73:D$80)</f>
        <v>0</v>
      </c>
      <c r="D102">
        <f>SUMIF('Как будет'!$A$73:$A$80,Доп.расчеты!$A102,'Как будет'!E$73:E$80)</f>
        <v>0</v>
      </c>
      <c r="E102">
        <f>SUMIF('Как будет'!$A$73:$A$80,Доп.расчеты!$A102,'Как будет'!F$73:F$80)</f>
        <v>0</v>
      </c>
      <c r="F102">
        <f>SUMIF('Как будет'!$A$73:$A$80,Доп.расчеты!$A102,'Как будет'!G$73:G$80)</f>
        <v>0</v>
      </c>
      <c r="G102">
        <f>SUMIF('Как будет'!$A$73:$A$80,Доп.расчеты!$A102,'Как будет'!H$73:H$80)</f>
        <v>0</v>
      </c>
      <c r="H102">
        <f>SUMIF('Как будет'!$A$73:$A$80,Доп.расчеты!$A102,'Как будет'!I$73:I$80)</f>
        <v>0</v>
      </c>
      <c r="I102">
        <f>SUMIF('Как будет'!$A$73:$A$80,Доп.расчеты!$A102,'Как будет'!J$73:J$80)</f>
        <v>0</v>
      </c>
      <c r="J102">
        <f>SUMIF('Как будет'!$A$73:$A$80,Доп.расчеты!$A102,'Как будет'!K$73:K$80)</f>
        <v>0</v>
      </c>
      <c r="K102">
        <f>SUMIF('Как будет'!$A$73:$A$80,Доп.расчеты!$A102,'Как будет'!L$73:L$80)</f>
        <v>0</v>
      </c>
      <c r="L102">
        <f>SUMIF('Как будет'!$A$73:$A$80,Доп.расчеты!$A102,'Как будет'!M$73:M$80)</f>
        <v>0</v>
      </c>
      <c r="M102">
        <f>SUMIF('Как будет'!$A$73:$A$80,Доп.расчеты!$A102,'Как будет'!N$73:N$80)</f>
        <v>0</v>
      </c>
      <c r="N102">
        <f>SUMIF('Как будет'!$A$73:$A$80,Доп.расчеты!$A102,'Как будет'!O$73:O$80)</f>
        <v>0</v>
      </c>
      <c r="O102">
        <f>SUMIF('Как будет'!$A$73:$A$80,Доп.расчеты!$A102,'Как будет'!P$73:P$80)</f>
        <v>0</v>
      </c>
      <c r="P102">
        <f>SUMIF('Как будет'!$A$73:$A$80,Доп.расчеты!$A102,'Как будет'!Q$73:Q$80)</f>
        <v>0</v>
      </c>
      <c r="Q102">
        <f>SUMIF('Как будет'!$A$73:$A$80,Доп.расчеты!$A102,'Как будет'!R$73:R$80)</f>
        <v>0</v>
      </c>
      <c r="R102">
        <f>SUMIF('Как будет'!$A$73:$A$80,Доп.расчеты!$A102,'Как будет'!S$73:S$80)</f>
        <v>0</v>
      </c>
      <c r="S102">
        <f>SUMIF('Как будет'!$A$73:$A$80,Доп.расчеты!$A102,'Как будет'!T$73:T$80)</f>
        <v>0</v>
      </c>
      <c r="T102">
        <f>SUMIF('Как будет'!$A$73:$A$80,Доп.расчеты!$A102,'Как будет'!U$73:U$80)</f>
        <v>0</v>
      </c>
      <c r="U102">
        <f>SUMIF('Как будет'!$A$73:$A$80,Доп.расчеты!$A102,'Как будет'!V$73:V$80)</f>
        <v>0</v>
      </c>
      <c r="V102">
        <f>SUMIF('Как будет'!$A$73:$A$80,Доп.расчеты!$A102,'Как будет'!W$73:W$80)</f>
        <v>0</v>
      </c>
      <c r="W102">
        <f>SUMIF('Как будет'!$A$73:$A$80,Доп.расчеты!$A102,'Как будет'!X$73:X$80)</f>
        <v>0</v>
      </c>
      <c r="X102">
        <f>SUMIF('Как будет'!$A$73:$A$80,Доп.расчеты!$A102,'Как будет'!Y$73:Y$80)</f>
        <v>0</v>
      </c>
      <c r="Y102">
        <f>SUMIF('Как будет'!$A$73:$A$80,Доп.расчеты!$A102,'Как будет'!Z$73:Z$80)</f>
        <v>0</v>
      </c>
      <c r="Z102">
        <f>SUMIF('Как будет'!$A$73:$A$80,Доп.расчеты!$A102,'Как будет'!AA$73:AA$80)</f>
        <v>0</v>
      </c>
      <c r="AA102">
        <f>SUMIF('Как будет'!$A$73:$A$80,Доп.расчеты!$A102,'Как будет'!AB$73:AB$80)</f>
        <v>0</v>
      </c>
      <c r="AB102">
        <f>SUMIF('Как будет'!$A$73:$A$80,Доп.расчеты!$A102,'Как будет'!AC$73:AC$80)</f>
        <v>0</v>
      </c>
      <c r="AC102">
        <f>SUMIF('Как будет'!$A$73:$A$80,Доп.расчеты!$A102,'Как будет'!AD$73:AD$80)</f>
        <v>0</v>
      </c>
      <c r="AD102">
        <f>SUMIF('Как будет'!$A$73:$A$80,Доп.расчеты!$A102,'Как будет'!AE$73:AE$80)</f>
        <v>0</v>
      </c>
      <c r="AE102">
        <f>SUMIF('Как будет'!$A$73:$A$80,Доп.расчеты!$A102,'Как будет'!AF$73:AF$80)</f>
        <v>0</v>
      </c>
      <c r="AF102">
        <f>SUMIF('Как будет'!$A$73:$A$80,Доп.расчеты!$A102,'Как будет'!AG$73:AG$80)</f>
        <v>0</v>
      </c>
      <c r="AG102">
        <f>SUMIF('Как будет'!$A$73:$A$80,Доп.расчеты!$A102,'Как будет'!AH$73:AH$80)</f>
        <v>0</v>
      </c>
      <c r="AH102">
        <f>SUMIF('Как будет'!$A$73:$A$80,Доп.расчеты!$A102,'Как будет'!AI$73:AI$80)</f>
        <v>0</v>
      </c>
      <c r="AI102">
        <f>SUMIF('Как будет'!$A$73:$A$80,Доп.расчеты!$A102,'Как будет'!AJ$73:AJ$80)</f>
        <v>0</v>
      </c>
      <c r="AJ102">
        <f>SUMIF('Как будет'!$A$73:$A$80,Доп.расчеты!$A102,'Как будет'!AK$73:AK$80)</f>
        <v>0</v>
      </c>
      <c r="AK102">
        <f>SUMIF('Как будет'!$A$73:$A$80,Доп.расчеты!$A102,'Как будет'!AL$73:AL$80)</f>
        <v>0</v>
      </c>
      <c r="AL102">
        <f>SUMIF('Как будет'!$A$73:$A$80,Доп.расчеты!$A102,'Как будет'!AM$73:AM$80)</f>
        <v>0</v>
      </c>
      <c r="AM102">
        <f>SUMIF('Как будет'!$A$73:$A$80,Доп.расчеты!$A102,'Как будет'!AN$73:AN$80)</f>
        <v>0</v>
      </c>
      <c r="AN102">
        <f>SUMIF('Как будет'!$A$73:$A$80,Доп.расчеты!$A102,'Как будет'!AO$73:AO$80)</f>
        <v>0</v>
      </c>
      <c r="AO102">
        <f>SUMIF('Как будет'!$A$73:$A$80,Доп.расчеты!$A102,'Как будет'!AP$73:AP$80)</f>
        <v>0</v>
      </c>
      <c r="AP102">
        <f>SUMIF('Как будет'!$A$73:$A$80,Доп.расчеты!$A102,'Как будет'!AQ$73:AQ$80)</f>
        <v>0</v>
      </c>
      <c r="AQ102">
        <f>SUMIF('Как будет'!$A$73:$A$80,Доп.расчеты!$A102,'Как будет'!AR$73:AR$80)</f>
        <v>0</v>
      </c>
      <c r="AR102">
        <f>SUMIF('Как будет'!$A$73:$A$80,Доп.расчеты!$A102,'Как будет'!AS$73:AS$80)</f>
        <v>0</v>
      </c>
      <c r="AS102">
        <f>SUMIF('Как будет'!$A$73:$A$80,Доп.расчеты!$A102,'Как будет'!AT$73:AT$80)</f>
        <v>0</v>
      </c>
      <c r="AT102">
        <f>SUMIF('Как будет'!$A$73:$A$80,Доп.расчеты!$A102,'Как будет'!AU$73:AU$80)</f>
        <v>0</v>
      </c>
      <c r="AU102">
        <f>SUMIF('Как будет'!$A$73:$A$80,Доп.расчеты!$A102,'Как будет'!AV$73:AV$80)</f>
        <v>0</v>
      </c>
      <c r="AV102">
        <f>SUMIF('Как будет'!$A$73:$A$80,Доп.расчеты!$A102,'Как будет'!AW$73:AW$80)</f>
        <v>0</v>
      </c>
      <c r="AW102">
        <f>SUMIF('Как будет'!$A$73:$A$80,Доп.расчеты!$A102,'Как будет'!AX$73:AX$80)</f>
        <v>0</v>
      </c>
      <c r="AX102">
        <f>SUMIF('Как будет'!$A$73:$A$80,Доп.расчеты!$A102,'Как будет'!AY$73:AY$80)</f>
        <v>0</v>
      </c>
      <c r="AY102">
        <f>SUMIF('Как будет'!$A$73:$A$80,Доп.расчеты!$A102,'Как будет'!AZ$73:AZ$80)</f>
        <v>0</v>
      </c>
      <c r="AZ102">
        <f>SUMIF('Как будет'!$A$73:$A$80,Доп.расчеты!$A102,'Как будет'!BA$73:BA$80)</f>
        <v>0</v>
      </c>
      <c r="BA102">
        <f>SUMIF('Как будет'!$A$73:$A$80,Доп.расчеты!$A102,'Как будет'!BB$73:BB$80)</f>
        <v>0</v>
      </c>
      <c r="BB102">
        <f>SUMIF('Как будет'!$A$73:$A$80,Доп.расчеты!$A102,'Как будет'!BC$73:BC$80)</f>
        <v>0</v>
      </c>
      <c r="BC102">
        <f>SUMIF('Как будет'!$A$73:$A$80,Доп.расчеты!$A102,'Как будет'!BD$73:BD$80)</f>
        <v>0</v>
      </c>
      <c r="BD102">
        <f>SUMIF('Как будет'!$A$73:$A$80,Доп.расчеты!$A102,'Как будет'!BE$73:BE$80)</f>
        <v>0</v>
      </c>
      <c r="BE102">
        <f>SUMIF('Как будет'!$A$73:$A$80,Доп.расчеты!$A102,'Как будет'!BF$73:BF$80)</f>
        <v>0</v>
      </c>
      <c r="BF102">
        <f>SUMIF('Как будет'!$A$73:$A$80,Доп.расчеты!$A102,'Как будет'!BG$73:BG$80)</f>
        <v>0</v>
      </c>
      <c r="BG102">
        <f>SUMIF('Как будет'!$A$73:$A$80,Доп.расчеты!$A102,'Как будет'!BH$73:BH$80)</f>
        <v>0</v>
      </c>
      <c r="BH102">
        <f>SUMIF('Как будет'!$A$73:$A$80,Доп.расчеты!$A102,'Как будет'!BI$73:BI$80)</f>
        <v>0</v>
      </c>
      <c r="BI102">
        <f>SUMIF('Как будет'!$A$73:$A$80,Доп.расчеты!$A102,'Как будет'!BJ$73:BJ$80)</f>
        <v>0</v>
      </c>
      <c r="BJ102">
        <f>SUMIF('Как будет'!$A$73:$A$80,Доп.расчеты!$A102,'Как будет'!BK$73:BK$80)</f>
        <v>0</v>
      </c>
      <c r="BK102">
        <f>SUMIF('Как будет'!$A$73:$A$80,Доп.расчеты!$A102,'Как будет'!BL$73:BL$80)</f>
        <v>0</v>
      </c>
      <c r="BL102">
        <f>SUMIF('Как будет'!$A$73:$A$80,Доп.расчеты!$A102,'Как будет'!BM$73:BM$80)</f>
        <v>0</v>
      </c>
      <c r="BM102">
        <f>SUMIF('Как будет'!$A$73:$A$80,Доп.расчеты!$A102,'Как будет'!BN$73:BN$80)</f>
        <v>0</v>
      </c>
      <c r="BN102">
        <f>SUMIF('Как будет'!$A$73:$A$80,Доп.расчеты!$A102,'Как будет'!BO$73:BO$80)</f>
        <v>0</v>
      </c>
      <c r="BO102">
        <f>SUMIF('Как будет'!$A$73:$A$80,Доп.расчеты!$A102,'Как будет'!BP$73:BP$80)</f>
        <v>0</v>
      </c>
      <c r="BP102">
        <f>SUMIF('Как будет'!$A$73:$A$80,Доп.расчеты!$A102,'Как будет'!BQ$73:BQ$80)</f>
        <v>0</v>
      </c>
      <c r="BQ102">
        <f>SUMIF('Как будет'!$A$73:$A$80,Доп.расчеты!$A102,'Как будет'!BR$73:BR$80)</f>
        <v>0</v>
      </c>
      <c r="BR102">
        <f>SUMIF('Как будет'!$A$73:$A$80,Доп.расчеты!$A102,'Как будет'!BS$73:BS$80)</f>
        <v>0</v>
      </c>
      <c r="BS102">
        <f>SUMIF('Как будет'!$A$73:$A$80,Доп.расчеты!$A102,'Как будет'!BT$73:BT$80)</f>
        <v>0</v>
      </c>
      <c r="BT102">
        <f>SUMIF('Как будет'!$A$73:$A$80,Доп.расчеты!$A102,'Как будет'!BU$73:BU$80)</f>
        <v>0</v>
      </c>
      <c r="BU102">
        <f>SUMIF('Как будет'!$A$73:$A$80,Доп.расчеты!$A102,'Как будет'!BV$73:BV$80)</f>
        <v>0</v>
      </c>
      <c r="BV102">
        <f>SUMIF('Как будет'!$A$73:$A$80,Доп.расчеты!$A102,'Как будет'!BW$73:BW$80)</f>
        <v>0</v>
      </c>
      <c r="BW102">
        <f>SUMIF('Как будет'!$A$73:$A$80,Доп.расчеты!$A102,'Как будет'!BX$73:BX$80)</f>
        <v>0</v>
      </c>
      <c r="BX102">
        <f>SUMIF('Как будет'!$A$73:$A$80,Доп.расчеты!$A102,'Как будет'!BY$73:BY$80)</f>
        <v>0</v>
      </c>
      <c r="BY102">
        <f>SUMIF('Как будет'!$A$73:$A$80,Доп.расчеты!$A102,'Как будет'!BZ$73:BZ$80)</f>
        <v>0</v>
      </c>
      <c r="BZ102">
        <f>SUMIF('Как будет'!$A$73:$A$80,Доп.расчеты!$A102,'Как будет'!CA$73:CA$80)</f>
        <v>0</v>
      </c>
      <c r="CA102">
        <f>SUMIF('Как будет'!$A$73:$A$80,Доп.расчеты!$A102,'Как будет'!CB$73:CB$80)</f>
        <v>0</v>
      </c>
      <c r="CB102">
        <f>SUMIF('Как будет'!$A$73:$A$80,Доп.расчеты!$A102,'Как будет'!CC$73:CC$80)</f>
        <v>0</v>
      </c>
      <c r="CC102">
        <f>SUMIF('Как будет'!$A$73:$A$80,Доп.расчеты!$A102,'Как будет'!CD$73:CD$80)</f>
        <v>0</v>
      </c>
      <c r="CD102">
        <f>SUMIF('Как будет'!$A$73:$A$80,Доп.расчеты!$A102,'Как будет'!CE$73:CE$80)</f>
        <v>0</v>
      </c>
      <c r="CE102">
        <f>SUMIF('Как будет'!$A$73:$A$80,Доп.расчеты!$A102,'Как будет'!CF$73:CF$80)</f>
        <v>0</v>
      </c>
      <c r="CF102">
        <f>SUMIF('Как будет'!$A$73:$A$80,Доп.расчеты!$A102,'Как будет'!CG$73:CG$80)</f>
        <v>0</v>
      </c>
      <c r="CG102">
        <f>SUMIF('Как будет'!$A$73:$A$80,Доп.расчеты!$A102,'Как будет'!CH$73:CH$80)</f>
        <v>0</v>
      </c>
      <c r="CH102">
        <f>SUMIF('Как будет'!$A$73:$A$80,Доп.расчеты!$A102,'Как будет'!CI$73:CI$80)</f>
        <v>0</v>
      </c>
      <c r="CI102">
        <f>SUMIF('Как будет'!$A$73:$A$80,Доп.расчеты!$A102,'Как будет'!CJ$73:CJ$80)</f>
        <v>0</v>
      </c>
      <c r="CJ102">
        <f>SUMIF('Как будет'!$A$73:$A$80,Доп.расчеты!$A102,'Как будет'!CK$73:CK$80)</f>
        <v>0</v>
      </c>
      <c r="CK102">
        <f>SUMIF('Как будет'!$A$73:$A$80,Доп.расчеты!$A102,'Как будет'!CL$73:CL$80)</f>
        <v>0</v>
      </c>
      <c r="CL102">
        <f>SUMIF('Как будет'!$A$73:$A$80,Доп.расчеты!$A102,'Как будет'!CM$73:CM$80)</f>
        <v>0</v>
      </c>
      <c r="CM102">
        <f>SUMIF('Как будет'!$A$73:$A$80,Доп.расчеты!$A102,'Как будет'!CN$73:CN$80)</f>
        <v>0</v>
      </c>
      <c r="CN102">
        <f>SUMIF('Как будет'!$A$73:$A$80,Доп.расчеты!$A102,'Как будет'!CO$73:CO$80)</f>
        <v>0</v>
      </c>
      <c r="CO102">
        <f>SUMIF('Как будет'!$A$73:$A$80,Доп.расчеты!$A102,'Как будет'!CP$73:CP$80)</f>
        <v>0</v>
      </c>
      <c r="CP102">
        <f>SUMIF('Как будет'!$A$73:$A$80,Доп.расчеты!$A102,'Как будет'!CQ$73:CQ$80)</f>
        <v>0</v>
      </c>
      <c r="CQ102">
        <f>SUMIF('Как будет'!$A$73:$A$80,Доп.расчеты!$A102,'Как будет'!CR$73:CR$80)</f>
        <v>0</v>
      </c>
      <c r="CR102">
        <f>SUMIF('Как будет'!$A$73:$A$80,Доп.расчеты!$A102,'Как будет'!CS$73:CS$80)</f>
        <v>0</v>
      </c>
      <c r="CS102">
        <f>SUMIF('Как будет'!$A$73:$A$80,Доп.расчеты!$A102,'Как будет'!CT$73:CT$80)</f>
        <v>0</v>
      </c>
      <c r="CT102">
        <f>SUMIF('Как будет'!$A$73:$A$80,Доп.расчеты!$A102,'Как будет'!CU$73:CU$80)</f>
        <v>0</v>
      </c>
      <c r="CU102">
        <f>SUMIF('Как будет'!$A$73:$A$80,Доп.расчеты!$A102,'Как будет'!CV$73:CV$80)</f>
        <v>0</v>
      </c>
      <c r="CV102">
        <f>SUMIF('Как будет'!$A$73:$A$80,Доп.расчеты!$A102,'Как будет'!CW$73:CW$80)</f>
        <v>0</v>
      </c>
      <c r="CW102">
        <f>SUMIF('Как будет'!$A$73:$A$80,Доп.расчеты!$A102,'Как будет'!CX$73:CX$80)</f>
        <v>0</v>
      </c>
      <c r="CX102">
        <f>SUMIF('Как будет'!$A$73:$A$80,Доп.расчеты!$A102,'Как будет'!CY$73:CY$80)</f>
        <v>0</v>
      </c>
      <c r="CY102">
        <f>SUMIF('Как будет'!$A$73:$A$80,Доп.расчеты!$A102,'Как будет'!CZ$73:CZ$80)</f>
        <v>0</v>
      </c>
      <c r="CZ102">
        <f>SUMIF('Как будет'!$A$73:$A$80,Доп.расчеты!$A102,'Как будет'!DA$73:DA$80)</f>
        <v>0</v>
      </c>
      <c r="DA102">
        <f>SUMIF('Как будет'!$A$73:$A$80,Доп.расчеты!$A102,'Как будет'!DB$73:DB$80)</f>
        <v>0</v>
      </c>
      <c r="DB102">
        <f>SUMIF('Как будет'!$A$73:$A$80,Доп.расчеты!$A102,'Как будет'!DC$73:DC$80)</f>
        <v>0</v>
      </c>
      <c r="DC102">
        <f>SUMIF('Как будет'!$A$73:$A$80,Доп.расчеты!$A102,'Как будет'!DD$73:DD$80)</f>
        <v>0</v>
      </c>
      <c r="DD102">
        <f>SUMIF('Как будет'!$A$73:$A$80,Доп.расчеты!$A102,'Как будет'!DE$73:DE$80)</f>
        <v>0</v>
      </c>
      <c r="DE102">
        <f>SUMIF('Как будет'!$A$73:$A$80,Доп.расчеты!$A102,'Как будет'!DF$73:DF$80)</f>
        <v>0</v>
      </c>
      <c r="DF102">
        <f>SUMIF('Как будет'!$A$73:$A$80,Доп.расчеты!$A102,'Как будет'!DG$73:DG$80)</f>
        <v>0</v>
      </c>
      <c r="DG102">
        <f>SUMIF('Как будет'!$A$73:$A$80,Доп.расчеты!$A102,'Как будет'!DH$73:DH$80)</f>
        <v>0</v>
      </c>
      <c r="DH102">
        <f>SUMIF('Как будет'!$A$73:$A$80,Доп.расчеты!$A102,'Как будет'!DI$73:DI$80)</f>
        <v>0</v>
      </c>
      <c r="DI102">
        <f>SUMIF('Как будет'!$A$73:$A$80,Доп.расчеты!$A102,'Как будет'!DJ$73:DJ$80)</f>
        <v>0</v>
      </c>
      <c r="DJ102">
        <f>SUMIF('Как будет'!$A$73:$A$80,Доп.расчеты!$A102,'Как будет'!DK$73:DK$80)</f>
        <v>0</v>
      </c>
      <c r="DK102">
        <f>SUMIF('Как будет'!$A$73:$A$80,Доп.расчеты!$A102,'Как будет'!DL$73:DL$80)</f>
        <v>0</v>
      </c>
      <c r="DL102">
        <f>SUMIF('Как будет'!$A$73:$A$80,Доп.расчеты!$A102,'Как будет'!DM$73:DM$80)</f>
        <v>0</v>
      </c>
      <c r="DM102">
        <f>SUMIF('Как будет'!$A$73:$A$80,Доп.расчеты!$A102,'Как будет'!DN$73:DN$80)</f>
        <v>0</v>
      </c>
      <c r="DN102">
        <f>SUMIF('Как будет'!$A$73:$A$80,Доп.расчеты!$A102,'Как будет'!DO$73:DO$80)</f>
        <v>0</v>
      </c>
      <c r="DO102">
        <f>SUMIF('Как будет'!$A$73:$A$80,Доп.расчеты!$A102,'Как будет'!DP$73:DP$80)</f>
        <v>0</v>
      </c>
      <c r="DP102">
        <f>SUMIF('Как будет'!$A$73:$A$80,Доп.расчеты!$A102,'Как будет'!DQ$73:DQ$80)</f>
        <v>0</v>
      </c>
      <c r="DQ102">
        <f>SUMIF('Как будет'!$A$73:$A$80,Доп.расчеты!$A102,'Как будет'!DR$73:DR$80)</f>
        <v>0</v>
      </c>
      <c r="DR102">
        <f>SUMIF('Как будет'!$A$73:$A$80,Доп.расчеты!$A102,'Как будет'!DS$73:DS$80)</f>
        <v>0</v>
      </c>
      <c r="DS102">
        <f>SUMIF('Как будет'!$A$73:$A$80,Доп.расчеты!$A102,'Как будет'!DT$73:DT$80)</f>
        <v>0</v>
      </c>
      <c r="DT102">
        <f>SUMIF('Как будет'!$A$73:$A$80,Доп.расчеты!$A102,'Как будет'!DU$73:DU$80)</f>
        <v>0</v>
      </c>
      <c r="DU102">
        <f>SUMIF('Как будет'!$A$73:$A$80,Доп.расчеты!$A102,'Как будет'!DV$73:DV$80)</f>
        <v>0</v>
      </c>
      <c r="DV102">
        <f>SUMIF('Как будет'!$A$73:$A$80,Доп.расчеты!$A102,'Как будет'!DW$73:DW$80)</f>
        <v>0</v>
      </c>
      <c r="DW102">
        <f>SUMIF('Как будет'!$A$73:$A$80,Доп.расчеты!$A102,'Как будет'!DX$73:DX$80)</f>
        <v>0</v>
      </c>
      <c r="DX102">
        <f>SUMIF('Как будет'!$A$73:$A$80,Доп.расчеты!$A102,'Как будет'!DY$73:DY$80)</f>
        <v>0</v>
      </c>
      <c r="DY102">
        <f>SUMIF('Как будет'!$A$73:$A$80,Доп.расчеты!$A102,'Как будет'!DZ$73:DZ$80)</f>
        <v>0</v>
      </c>
      <c r="DZ102">
        <f>SUMIF('Как будет'!$A$73:$A$80,Доп.расчеты!$A102,'Как будет'!EA$73:EA$80)</f>
        <v>0</v>
      </c>
      <c r="EA102">
        <f>SUMIF('Как будет'!$A$73:$A$80,Доп.расчеты!$A102,'Как будет'!EB$73:EB$80)</f>
        <v>0</v>
      </c>
      <c r="EB102">
        <f>SUMIF('Как будет'!$A$73:$A$80,Доп.расчеты!$A102,'Как будет'!EC$73:EC$80)</f>
        <v>0</v>
      </c>
      <c r="EC102">
        <f>SUMIF('Как будет'!$A$73:$A$80,Доп.расчеты!$A102,'Как будет'!ED$73:ED$80)</f>
        <v>0</v>
      </c>
      <c r="ED102">
        <f>SUMIF('Как будет'!$A$73:$A$80,Доп.расчеты!$A102,'Как будет'!EE$73:EE$80)</f>
        <v>0</v>
      </c>
      <c r="EE102">
        <f>SUMIF('Как будет'!$A$73:$A$80,Доп.расчеты!$A102,'Как будет'!EF$73:EF$80)</f>
        <v>0</v>
      </c>
      <c r="EF102">
        <f>SUMIF('Как будет'!$A$73:$A$80,Доп.расчеты!$A102,'Как будет'!EG$73:EG$80)</f>
        <v>0</v>
      </c>
      <c r="EG102">
        <f>SUMIF('Как будет'!$A$73:$A$80,Доп.расчеты!$A102,'Как будет'!EH$73:EH$80)</f>
        <v>0</v>
      </c>
      <c r="EH102">
        <f>SUMIF('Как будет'!$A$73:$A$80,Доп.расчеты!$A102,'Как будет'!EI$73:EI$80)</f>
        <v>0</v>
      </c>
      <c r="EI102">
        <f>SUMIF('Как будет'!$A$73:$A$80,Доп.расчеты!$A102,'Как будет'!EJ$73:EJ$80)</f>
        <v>0</v>
      </c>
      <c r="EJ102">
        <f>SUMIF('Как будет'!$A$73:$A$80,Доп.расчеты!$A102,'Как будет'!EK$73:EK$80)</f>
        <v>0</v>
      </c>
      <c r="EK102">
        <f>SUMIF('Как будет'!$A$73:$A$80,Доп.расчеты!$A102,'Как будет'!EL$73:EL$80)</f>
        <v>0</v>
      </c>
      <c r="EL102">
        <f>SUMIF('Как будет'!$A$73:$A$80,Доп.расчеты!$A102,'Как будет'!EM$73:EM$80)</f>
        <v>0</v>
      </c>
      <c r="EM102">
        <f>SUMIF('Как будет'!$A$73:$A$80,Доп.расчеты!$A102,'Как будет'!EN$73:EN$80)</f>
        <v>0</v>
      </c>
      <c r="EN102">
        <f>SUMIF('Как будет'!$A$73:$A$80,Доп.расчеты!$A102,'Как будет'!EO$73:EO$80)</f>
        <v>0</v>
      </c>
      <c r="EO102">
        <f>SUMIF('Как будет'!$A$73:$A$80,Доп.расчеты!$A102,'Как будет'!EP$73:EP$80)</f>
        <v>0</v>
      </c>
      <c r="EP102">
        <f>SUMIF('Как будет'!$A$73:$A$80,Доп.расчеты!$A102,'Как будет'!EQ$73:EQ$80)</f>
        <v>0</v>
      </c>
      <c r="EQ102">
        <f>SUMIF('Как будет'!$A$73:$A$80,Доп.расчеты!$A102,'Как будет'!ER$73:ER$80)</f>
        <v>0</v>
      </c>
      <c r="ER102">
        <f>SUMIF('Как будет'!$A$73:$A$80,Доп.расчеты!$A102,'Как будет'!ES$73:ES$80)</f>
        <v>0</v>
      </c>
      <c r="ES102">
        <f>SUMIF('Как будет'!$A$73:$A$80,Доп.расчеты!$A102,'Как будет'!ET$73:ET$80)</f>
        <v>0</v>
      </c>
      <c r="ET102">
        <f>SUMIF('Как будет'!$A$73:$A$80,Доп.расчеты!$A102,'Как будет'!EU$73:EU$80)</f>
        <v>0</v>
      </c>
      <c r="EU102">
        <f>SUMIF('Как будет'!$A$73:$A$80,Доп.расчеты!$A102,'Как будет'!EV$73:EV$80)</f>
        <v>0</v>
      </c>
      <c r="EV102">
        <f>SUMIF('Как будет'!$A$73:$A$80,Доп.расчеты!$A102,'Как будет'!EW$73:EW$80)</f>
        <v>0</v>
      </c>
      <c r="EW102">
        <f>SUMIF('Как будет'!$A$73:$A$80,Доп.расчеты!$A102,'Как будет'!EX$73:EX$80)</f>
        <v>0</v>
      </c>
      <c r="EX102">
        <f>SUMIF('Как будет'!$A$73:$A$80,Доп.расчеты!$A102,'Как будет'!EY$73:EY$80)</f>
        <v>0</v>
      </c>
      <c r="EY102">
        <f>SUMIF('Как будет'!$A$73:$A$80,Доп.расчеты!$A102,'Как будет'!EZ$73:EZ$80)</f>
        <v>0</v>
      </c>
      <c r="EZ102">
        <f>SUMIF('Как будет'!$A$73:$A$80,Доп.расчеты!$A102,'Как будет'!FA$73:FA$80)</f>
        <v>0</v>
      </c>
      <c r="FA102">
        <f>SUMIF('Как будет'!$A$73:$A$80,Доп.расчеты!$A102,'Как будет'!FB$73:FB$80)</f>
        <v>0</v>
      </c>
      <c r="FB102">
        <f>SUMIF('Как будет'!$A$73:$A$80,Доп.расчеты!$A102,'Как будет'!FC$73:FC$80)</f>
        <v>0</v>
      </c>
      <c r="FC102">
        <f>SUMIF('Как будет'!$A$73:$A$80,Доп.расчеты!$A102,'Как будет'!FD$73:FD$80)</f>
        <v>0</v>
      </c>
      <c r="FD102">
        <f>SUMIF('Как будет'!$A$73:$A$80,Доп.расчеты!$A102,'Как будет'!FE$73:FE$80)</f>
        <v>0</v>
      </c>
      <c r="FE102">
        <f>SUMIF('Как будет'!$A$73:$A$80,Доп.расчеты!$A102,'Как будет'!FF$73:FF$80)</f>
        <v>0</v>
      </c>
      <c r="FF102">
        <f>SUMIF('Как будет'!$A$73:$A$80,Доп.расчеты!$A102,'Как будет'!FG$73:FG$80)</f>
        <v>0</v>
      </c>
      <c r="FG102">
        <f>SUMIF('Как будет'!$A$73:$A$80,Доп.расчеты!$A102,'Как будет'!FH$73:FH$80)</f>
        <v>0</v>
      </c>
      <c r="FH102">
        <f>SUMIF('Как будет'!$A$73:$A$80,Доп.расчеты!$A102,'Как будет'!FI$73:FI$80)</f>
        <v>0</v>
      </c>
      <c r="FI102">
        <f>SUMIF('Как будет'!$A$73:$A$80,Доп.расчеты!$A102,'Как будет'!FJ$73:FJ$80)</f>
        <v>0</v>
      </c>
      <c r="FJ102">
        <f>SUMIF('Как будет'!$A$73:$A$80,Доп.расчеты!$A102,'Как будет'!FK$73:FK$80)</f>
        <v>0</v>
      </c>
      <c r="FK102">
        <f>SUMIF('Как будет'!$A$73:$A$80,Доп.расчеты!$A102,'Как будет'!FL$73:FL$80)</f>
        <v>0</v>
      </c>
      <c r="FL102">
        <f>SUMIF('Как будет'!$A$73:$A$80,Доп.расчеты!$A102,'Как будет'!FM$73:FM$80)</f>
        <v>0</v>
      </c>
      <c r="FM102">
        <f>SUMIF('Как будет'!$A$73:$A$80,Доп.расчеты!$A102,'Как будет'!FN$73:FN$80)</f>
        <v>0</v>
      </c>
      <c r="FN102">
        <f>SUMIF('Как будет'!$A$73:$A$80,Доп.расчеты!$A102,'Как будет'!FO$73:FO$80)</f>
        <v>0</v>
      </c>
      <c r="FO102">
        <f>SUMIF('Как будет'!$A$73:$A$80,Доп.расчеты!$A102,'Как будет'!FP$73:FP$80)</f>
        <v>0</v>
      </c>
      <c r="FP102">
        <f>SUMIF('Как будет'!$A$73:$A$80,Доп.расчеты!$A102,'Как будет'!FQ$73:FQ$80)</f>
        <v>0</v>
      </c>
      <c r="FQ102">
        <f>SUMIF('Как будет'!$A$73:$A$80,Доп.расчеты!$A102,'Как будет'!FR$73:FR$80)</f>
        <v>0</v>
      </c>
      <c r="FR102">
        <f>SUMIF('Как будет'!$A$73:$A$80,Доп.расчеты!$A102,'Как будет'!FS$73:FS$80)</f>
        <v>0</v>
      </c>
      <c r="FS102">
        <f>SUMIF('Как будет'!$A$73:$A$80,Доп.расчеты!$A102,'Как будет'!FT$73:FT$80)</f>
        <v>0</v>
      </c>
      <c r="FT102">
        <f>SUMIF('Как будет'!$A$73:$A$80,Доп.расчеты!$A102,'Как будет'!FU$73:FU$80)</f>
        <v>0</v>
      </c>
      <c r="FU102">
        <f>SUMIF('Как будет'!$A$73:$A$80,Доп.расчеты!$A102,'Как будет'!FV$73:FV$80)</f>
        <v>0</v>
      </c>
      <c r="FV102">
        <f>SUMIF('Как будет'!$A$73:$A$80,Доп.расчеты!$A102,'Как будет'!FW$73:FW$80)</f>
        <v>0</v>
      </c>
      <c r="FW102">
        <f>SUMIF('Как будет'!$A$73:$A$80,Доп.расчеты!$A102,'Как будет'!FX$73:FX$80)</f>
        <v>0</v>
      </c>
      <c r="FX102">
        <f>SUMIF('Как будет'!$A$73:$A$80,Доп.расчеты!$A102,'Как будет'!FY$73:FY$80)</f>
        <v>0</v>
      </c>
      <c r="FY102">
        <f>SUMIF('Как будет'!$A$73:$A$80,Доп.расчеты!$A102,'Как будет'!FZ$73:FZ$80)</f>
        <v>0</v>
      </c>
      <c r="FZ102">
        <f>SUMIF('Как будет'!$A$73:$A$80,Доп.расчеты!$A102,'Как будет'!GA$73:GA$80)</f>
        <v>0</v>
      </c>
      <c r="GA102">
        <f>SUMIF('Как будет'!$A$73:$A$80,Доп.расчеты!$A102,'Как будет'!GB$73:GB$80)</f>
        <v>0</v>
      </c>
      <c r="GB102">
        <f>SUMIF('Как будет'!$A$73:$A$80,Доп.расчеты!$A102,'Как будет'!GC$73:GC$80)</f>
        <v>0</v>
      </c>
      <c r="GC102">
        <f>SUMIF('Как будет'!$A$73:$A$80,Доп.расчеты!$A102,'Как будет'!GD$73:GD$80)</f>
        <v>0</v>
      </c>
      <c r="GD102">
        <f>SUMIF('Как будет'!$A$73:$A$80,Доп.расчеты!$A102,'Как будет'!GE$73:GE$80)</f>
        <v>0</v>
      </c>
      <c r="GE102">
        <f>SUMIF('Как будет'!$A$73:$A$80,Доп.расчеты!$A102,'Как будет'!GF$73:GF$80)</f>
        <v>0</v>
      </c>
      <c r="GF102">
        <f>SUMIF('Как будет'!$A$73:$A$80,Доп.расчеты!$A102,'Как будет'!GG$73:GG$80)</f>
        <v>0</v>
      </c>
      <c r="GG102">
        <f>SUMIF('Как будет'!$A$73:$A$80,Доп.расчеты!$A102,'Как будет'!GH$73:GH$80)</f>
        <v>0</v>
      </c>
      <c r="GH102">
        <f>SUMIF('Как будет'!$A$73:$A$80,Доп.расчеты!$A102,'Как будет'!GI$73:GI$80)</f>
        <v>0</v>
      </c>
      <c r="GI102">
        <f>SUMIF('Как будет'!$A$73:$A$80,Доп.расчеты!$A102,'Как будет'!GJ$73:GJ$80)</f>
        <v>0</v>
      </c>
      <c r="GJ102">
        <f>SUMIF('Как будет'!$A$73:$A$80,Доп.расчеты!$A102,'Как будет'!GK$73:GK$80)</f>
        <v>0</v>
      </c>
      <c r="GK102">
        <f>SUMIF('Как будет'!$A$73:$A$80,Доп.расчеты!$A102,'Как будет'!GL$73:GL$80)</f>
        <v>0</v>
      </c>
      <c r="GL102">
        <f>SUMIF('Как будет'!$A$73:$A$80,Доп.расчеты!$A102,'Как будет'!GM$73:GM$80)</f>
        <v>0</v>
      </c>
      <c r="GM102">
        <f>SUMIF('Как будет'!$A$73:$A$80,Доп.расчеты!$A102,'Как будет'!GN$73:GN$80)</f>
        <v>0</v>
      </c>
      <c r="GN102">
        <f>SUMIF('Как будет'!$A$73:$A$80,Доп.расчеты!$A102,'Как будет'!GO$73:GO$80)</f>
        <v>0</v>
      </c>
      <c r="GO102">
        <f>SUMIF('Как будет'!$A$73:$A$80,Доп.расчеты!$A102,'Как будет'!GP$73:GP$80)</f>
        <v>0</v>
      </c>
      <c r="GP102">
        <f>SUMIF('Как будет'!$A$73:$A$80,Доп.расчеты!$A102,'Как будет'!GQ$73:GQ$80)</f>
        <v>0</v>
      </c>
      <c r="GQ102">
        <f>SUMIF('Как будет'!$A$73:$A$80,Доп.расчеты!$A102,'Как будет'!GR$73:GR$80)</f>
        <v>0</v>
      </c>
      <c r="GR102">
        <f>SUMIF('Как будет'!$A$73:$A$80,Доп.расчеты!$A102,'Как будет'!GS$73:GS$80)</f>
        <v>0</v>
      </c>
      <c r="GS102">
        <f>SUMIF('Как будет'!$A$73:$A$80,Доп.расчеты!$A102,'Как будет'!GT$73:GT$80)</f>
        <v>0</v>
      </c>
      <c r="GT102">
        <f>SUMIF('Как будет'!$A$73:$A$80,Доп.расчеты!$A102,'Как будет'!GU$73:GU$80)</f>
        <v>0</v>
      </c>
    </row>
    <row r="103" spans="1:202">
      <c r="A103" s="237" t="s">
        <v>111</v>
      </c>
      <c r="B103">
        <f>SUMIF('Как будет'!$A$73:$A$80,Доп.расчеты!$A103,'Как будет'!C$73:C$80)</f>
        <v>0</v>
      </c>
      <c r="C103">
        <f>SUMIF('Как будет'!$A$73:$A$80,Доп.расчеты!$A103,'Как будет'!D$73:D$80)</f>
        <v>0</v>
      </c>
      <c r="D103">
        <f>SUMIF('Как будет'!$A$73:$A$80,Доп.расчеты!$A103,'Как будет'!E$73:E$80)</f>
        <v>0</v>
      </c>
      <c r="E103">
        <f>SUMIF('Как будет'!$A$73:$A$80,Доп.расчеты!$A103,'Как будет'!F$73:F$80)</f>
        <v>0</v>
      </c>
      <c r="F103">
        <f>SUMIF('Как будет'!$A$73:$A$80,Доп.расчеты!$A103,'Как будет'!G$73:G$80)</f>
        <v>0</v>
      </c>
      <c r="G103">
        <f>SUMIF('Как будет'!$A$73:$A$80,Доп.расчеты!$A103,'Как будет'!H$73:H$80)</f>
        <v>0</v>
      </c>
      <c r="H103">
        <f>SUMIF('Как будет'!$A$73:$A$80,Доп.расчеты!$A103,'Как будет'!I$73:I$80)</f>
        <v>0</v>
      </c>
      <c r="I103">
        <f>SUMIF('Как будет'!$A$73:$A$80,Доп.расчеты!$A103,'Как будет'!J$73:J$80)</f>
        <v>0</v>
      </c>
      <c r="J103">
        <f>SUMIF('Как будет'!$A$73:$A$80,Доп.расчеты!$A103,'Как будет'!K$73:K$80)</f>
        <v>0</v>
      </c>
      <c r="K103">
        <f>SUMIF('Как будет'!$A$73:$A$80,Доп.расчеты!$A103,'Как будет'!L$73:L$80)</f>
        <v>0</v>
      </c>
      <c r="L103">
        <f>SUMIF('Как будет'!$A$73:$A$80,Доп.расчеты!$A103,'Как будет'!M$73:M$80)</f>
        <v>0</v>
      </c>
      <c r="M103">
        <f>SUMIF('Как будет'!$A$73:$A$80,Доп.расчеты!$A103,'Как будет'!N$73:N$80)</f>
        <v>0</v>
      </c>
      <c r="N103">
        <f>SUMIF('Как будет'!$A$73:$A$80,Доп.расчеты!$A103,'Как будет'!O$73:O$80)</f>
        <v>0</v>
      </c>
      <c r="O103">
        <f>SUMIF('Как будет'!$A$73:$A$80,Доп.расчеты!$A103,'Как будет'!P$73:P$80)</f>
        <v>0</v>
      </c>
      <c r="P103">
        <f>SUMIF('Как будет'!$A$73:$A$80,Доп.расчеты!$A103,'Как будет'!Q$73:Q$80)</f>
        <v>0</v>
      </c>
      <c r="Q103">
        <f>SUMIF('Как будет'!$A$73:$A$80,Доп.расчеты!$A103,'Как будет'!R$73:R$80)</f>
        <v>0</v>
      </c>
      <c r="R103">
        <f>SUMIF('Как будет'!$A$73:$A$80,Доп.расчеты!$A103,'Как будет'!S$73:S$80)</f>
        <v>0</v>
      </c>
      <c r="S103">
        <f>SUMIF('Как будет'!$A$73:$A$80,Доп.расчеты!$A103,'Как будет'!T$73:T$80)</f>
        <v>0</v>
      </c>
      <c r="T103">
        <f>SUMIF('Как будет'!$A$73:$A$80,Доп.расчеты!$A103,'Как будет'!U$73:U$80)</f>
        <v>0</v>
      </c>
      <c r="U103">
        <f>SUMIF('Как будет'!$A$73:$A$80,Доп.расчеты!$A103,'Как будет'!V$73:V$80)</f>
        <v>0</v>
      </c>
      <c r="V103">
        <f>SUMIF('Как будет'!$A$73:$A$80,Доп.расчеты!$A103,'Как будет'!W$73:W$80)</f>
        <v>0</v>
      </c>
      <c r="W103">
        <f>SUMIF('Как будет'!$A$73:$A$80,Доп.расчеты!$A103,'Как будет'!X$73:X$80)</f>
        <v>0</v>
      </c>
      <c r="X103">
        <f>SUMIF('Как будет'!$A$73:$A$80,Доп.расчеты!$A103,'Как будет'!Y$73:Y$80)</f>
        <v>0</v>
      </c>
      <c r="Y103">
        <f>SUMIF('Как будет'!$A$73:$A$80,Доп.расчеты!$A103,'Как будет'!Z$73:Z$80)</f>
        <v>0</v>
      </c>
      <c r="Z103">
        <f>SUMIF('Как будет'!$A$73:$A$80,Доп.расчеты!$A103,'Как будет'!AA$73:AA$80)</f>
        <v>0</v>
      </c>
      <c r="AA103">
        <f>SUMIF('Как будет'!$A$73:$A$80,Доп.расчеты!$A103,'Как будет'!AB$73:AB$80)</f>
        <v>0</v>
      </c>
      <c r="AB103">
        <f>SUMIF('Как будет'!$A$73:$A$80,Доп.расчеты!$A103,'Как будет'!AC$73:AC$80)</f>
        <v>0</v>
      </c>
      <c r="AC103">
        <f>SUMIF('Как будет'!$A$73:$A$80,Доп.расчеты!$A103,'Как будет'!AD$73:AD$80)</f>
        <v>0</v>
      </c>
      <c r="AD103">
        <f>SUMIF('Как будет'!$A$73:$A$80,Доп.расчеты!$A103,'Как будет'!AE$73:AE$80)</f>
        <v>0</v>
      </c>
      <c r="AE103">
        <f>SUMIF('Как будет'!$A$73:$A$80,Доп.расчеты!$A103,'Как будет'!AF$73:AF$80)</f>
        <v>0</v>
      </c>
      <c r="AF103">
        <f>SUMIF('Как будет'!$A$73:$A$80,Доп.расчеты!$A103,'Как будет'!AG$73:AG$80)</f>
        <v>0</v>
      </c>
      <c r="AG103">
        <f>SUMIF('Как будет'!$A$73:$A$80,Доп.расчеты!$A103,'Как будет'!AH$73:AH$80)</f>
        <v>0</v>
      </c>
      <c r="AH103">
        <f>SUMIF('Как будет'!$A$73:$A$80,Доп.расчеты!$A103,'Как будет'!AI$73:AI$80)</f>
        <v>0</v>
      </c>
      <c r="AI103">
        <f>SUMIF('Как будет'!$A$73:$A$80,Доп.расчеты!$A103,'Как будет'!AJ$73:AJ$80)</f>
        <v>0</v>
      </c>
      <c r="AJ103">
        <f>SUMIF('Как будет'!$A$73:$A$80,Доп.расчеты!$A103,'Как будет'!AK$73:AK$80)</f>
        <v>0</v>
      </c>
      <c r="AK103">
        <f>SUMIF('Как будет'!$A$73:$A$80,Доп.расчеты!$A103,'Как будет'!AL$73:AL$80)</f>
        <v>0</v>
      </c>
      <c r="AL103">
        <f>SUMIF('Как будет'!$A$73:$A$80,Доп.расчеты!$A103,'Как будет'!AM$73:AM$80)</f>
        <v>0</v>
      </c>
      <c r="AM103">
        <f>SUMIF('Как будет'!$A$73:$A$80,Доп.расчеты!$A103,'Как будет'!AN$73:AN$80)</f>
        <v>0</v>
      </c>
      <c r="AN103">
        <f>SUMIF('Как будет'!$A$73:$A$80,Доп.расчеты!$A103,'Как будет'!AO$73:AO$80)</f>
        <v>0</v>
      </c>
      <c r="AO103">
        <f>SUMIF('Как будет'!$A$73:$A$80,Доп.расчеты!$A103,'Как будет'!AP$73:AP$80)</f>
        <v>0</v>
      </c>
      <c r="AP103">
        <f>SUMIF('Как будет'!$A$73:$A$80,Доп.расчеты!$A103,'Как будет'!AQ$73:AQ$80)</f>
        <v>0</v>
      </c>
      <c r="AQ103">
        <f>SUMIF('Как будет'!$A$73:$A$80,Доп.расчеты!$A103,'Как будет'!AR$73:AR$80)</f>
        <v>0</v>
      </c>
      <c r="AR103">
        <f>SUMIF('Как будет'!$A$73:$A$80,Доп.расчеты!$A103,'Как будет'!AS$73:AS$80)</f>
        <v>0</v>
      </c>
      <c r="AS103">
        <f>SUMIF('Как будет'!$A$73:$A$80,Доп.расчеты!$A103,'Как будет'!AT$73:AT$80)</f>
        <v>0</v>
      </c>
      <c r="AT103">
        <f>SUMIF('Как будет'!$A$73:$A$80,Доп.расчеты!$A103,'Как будет'!AU$73:AU$80)</f>
        <v>0</v>
      </c>
      <c r="AU103">
        <f>SUMIF('Как будет'!$A$73:$A$80,Доп.расчеты!$A103,'Как будет'!AV$73:AV$80)</f>
        <v>0</v>
      </c>
      <c r="AV103">
        <f>SUMIF('Как будет'!$A$73:$A$80,Доп.расчеты!$A103,'Как будет'!AW$73:AW$80)</f>
        <v>0</v>
      </c>
      <c r="AW103">
        <f>SUMIF('Как будет'!$A$73:$A$80,Доп.расчеты!$A103,'Как будет'!AX$73:AX$80)</f>
        <v>0</v>
      </c>
      <c r="AX103">
        <f>SUMIF('Как будет'!$A$73:$A$80,Доп.расчеты!$A103,'Как будет'!AY$73:AY$80)</f>
        <v>0</v>
      </c>
      <c r="AY103">
        <f>SUMIF('Как будет'!$A$73:$A$80,Доп.расчеты!$A103,'Как будет'!AZ$73:AZ$80)</f>
        <v>0</v>
      </c>
      <c r="AZ103">
        <f>SUMIF('Как будет'!$A$73:$A$80,Доп.расчеты!$A103,'Как будет'!BA$73:BA$80)</f>
        <v>0</v>
      </c>
      <c r="BA103">
        <f>SUMIF('Как будет'!$A$73:$A$80,Доп.расчеты!$A103,'Как будет'!BB$73:BB$80)</f>
        <v>0</v>
      </c>
      <c r="BB103">
        <f>SUMIF('Как будет'!$A$73:$A$80,Доп.расчеты!$A103,'Как будет'!BC$73:BC$80)</f>
        <v>0</v>
      </c>
      <c r="BC103">
        <f>SUMIF('Как будет'!$A$73:$A$80,Доп.расчеты!$A103,'Как будет'!BD$73:BD$80)</f>
        <v>0</v>
      </c>
      <c r="BD103">
        <f>SUMIF('Как будет'!$A$73:$A$80,Доп.расчеты!$A103,'Как будет'!BE$73:BE$80)</f>
        <v>0</v>
      </c>
      <c r="BE103">
        <f>SUMIF('Как будет'!$A$73:$A$80,Доп.расчеты!$A103,'Как будет'!BF$73:BF$80)</f>
        <v>0</v>
      </c>
      <c r="BF103">
        <f>SUMIF('Как будет'!$A$73:$A$80,Доп.расчеты!$A103,'Как будет'!BG$73:BG$80)</f>
        <v>0</v>
      </c>
      <c r="BG103">
        <f>SUMIF('Как будет'!$A$73:$A$80,Доп.расчеты!$A103,'Как будет'!BH$73:BH$80)</f>
        <v>0</v>
      </c>
      <c r="BH103">
        <f>SUMIF('Как будет'!$A$73:$A$80,Доп.расчеты!$A103,'Как будет'!BI$73:BI$80)</f>
        <v>0</v>
      </c>
      <c r="BI103">
        <f>SUMIF('Как будет'!$A$73:$A$80,Доп.расчеты!$A103,'Как будет'!BJ$73:BJ$80)</f>
        <v>0</v>
      </c>
      <c r="BJ103">
        <f>SUMIF('Как будет'!$A$73:$A$80,Доп.расчеты!$A103,'Как будет'!BK$73:BK$80)</f>
        <v>0</v>
      </c>
      <c r="BK103">
        <f>SUMIF('Как будет'!$A$73:$A$80,Доп.расчеты!$A103,'Как будет'!BL$73:BL$80)</f>
        <v>0</v>
      </c>
      <c r="BL103">
        <f>SUMIF('Как будет'!$A$73:$A$80,Доп.расчеты!$A103,'Как будет'!BM$73:BM$80)</f>
        <v>0</v>
      </c>
      <c r="BM103">
        <f>SUMIF('Как будет'!$A$73:$A$80,Доп.расчеты!$A103,'Как будет'!BN$73:BN$80)</f>
        <v>0</v>
      </c>
      <c r="BN103">
        <f>SUMIF('Как будет'!$A$73:$A$80,Доп.расчеты!$A103,'Как будет'!BO$73:BO$80)</f>
        <v>0</v>
      </c>
      <c r="BO103">
        <f>SUMIF('Как будет'!$A$73:$A$80,Доп.расчеты!$A103,'Как будет'!BP$73:BP$80)</f>
        <v>0</v>
      </c>
      <c r="BP103">
        <f>SUMIF('Как будет'!$A$73:$A$80,Доп.расчеты!$A103,'Как будет'!BQ$73:BQ$80)</f>
        <v>0</v>
      </c>
      <c r="BQ103">
        <f>SUMIF('Как будет'!$A$73:$A$80,Доп.расчеты!$A103,'Как будет'!BR$73:BR$80)</f>
        <v>0</v>
      </c>
      <c r="BR103">
        <f>SUMIF('Как будет'!$A$73:$A$80,Доп.расчеты!$A103,'Как будет'!BS$73:BS$80)</f>
        <v>0</v>
      </c>
      <c r="BS103">
        <f>SUMIF('Как будет'!$A$73:$A$80,Доп.расчеты!$A103,'Как будет'!BT$73:BT$80)</f>
        <v>0</v>
      </c>
      <c r="BT103">
        <f>SUMIF('Как будет'!$A$73:$A$80,Доп.расчеты!$A103,'Как будет'!BU$73:BU$80)</f>
        <v>0</v>
      </c>
      <c r="BU103">
        <f>SUMIF('Как будет'!$A$73:$A$80,Доп.расчеты!$A103,'Как будет'!BV$73:BV$80)</f>
        <v>0</v>
      </c>
      <c r="BV103">
        <f>SUMIF('Как будет'!$A$73:$A$80,Доп.расчеты!$A103,'Как будет'!BW$73:BW$80)</f>
        <v>0</v>
      </c>
      <c r="BW103">
        <f>SUMIF('Как будет'!$A$73:$A$80,Доп.расчеты!$A103,'Как будет'!BX$73:BX$80)</f>
        <v>0</v>
      </c>
      <c r="BX103">
        <f>SUMIF('Как будет'!$A$73:$A$80,Доп.расчеты!$A103,'Как будет'!BY$73:BY$80)</f>
        <v>0</v>
      </c>
      <c r="BY103">
        <f>SUMIF('Как будет'!$A$73:$A$80,Доп.расчеты!$A103,'Как будет'!BZ$73:BZ$80)</f>
        <v>0</v>
      </c>
      <c r="BZ103">
        <f>SUMIF('Как будет'!$A$73:$A$80,Доп.расчеты!$A103,'Как будет'!CA$73:CA$80)</f>
        <v>0</v>
      </c>
      <c r="CA103">
        <f>SUMIF('Как будет'!$A$73:$A$80,Доп.расчеты!$A103,'Как будет'!CB$73:CB$80)</f>
        <v>0</v>
      </c>
      <c r="CB103">
        <f>SUMIF('Как будет'!$A$73:$A$80,Доп.расчеты!$A103,'Как будет'!CC$73:CC$80)</f>
        <v>0</v>
      </c>
      <c r="CC103">
        <f>SUMIF('Как будет'!$A$73:$A$80,Доп.расчеты!$A103,'Как будет'!CD$73:CD$80)</f>
        <v>0</v>
      </c>
      <c r="CD103">
        <f>SUMIF('Как будет'!$A$73:$A$80,Доп.расчеты!$A103,'Как будет'!CE$73:CE$80)</f>
        <v>0</v>
      </c>
      <c r="CE103">
        <f>SUMIF('Как будет'!$A$73:$A$80,Доп.расчеты!$A103,'Как будет'!CF$73:CF$80)</f>
        <v>0</v>
      </c>
      <c r="CF103">
        <f>SUMIF('Как будет'!$A$73:$A$80,Доп.расчеты!$A103,'Как будет'!CG$73:CG$80)</f>
        <v>0</v>
      </c>
      <c r="CG103">
        <f>SUMIF('Как будет'!$A$73:$A$80,Доп.расчеты!$A103,'Как будет'!CH$73:CH$80)</f>
        <v>0</v>
      </c>
      <c r="CH103">
        <f>SUMIF('Как будет'!$A$73:$A$80,Доп.расчеты!$A103,'Как будет'!CI$73:CI$80)</f>
        <v>0</v>
      </c>
      <c r="CI103">
        <f>SUMIF('Как будет'!$A$73:$A$80,Доп.расчеты!$A103,'Как будет'!CJ$73:CJ$80)</f>
        <v>0</v>
      </c>
      <c r="CJ103">
        <f>SUMIF('Как будет'!$A$73:$A$80,Доп.расчеты!$A103,'Как будет'!CK$73:CK$80)</f>
        <v>0</v>
      </c>
      <c r="CK103">
        <f>SUMIF('Как будет'!$A$73:$A$80,Доп.расчеты!$A103,'Как будет'!CL$73:CL$80)</f>
        <v>0</v>
      </c>
      <c r="CL103">
        <f>SUMIF('Как будет'!$A$73:$A$80,Доп.расчеты!$A103,'Как будет'!CM$73:CM$80)</f>
        <v>0</v>
      </c>
      <c r="CM103">
        <f>SUMIF('Как будет'!$A$73:$A$80,Доп.расчеты!$A103,'Как будет'!CN$73:CN$80)</f>
        <v>0</v>
      </c>
      <c r="CN103">
        <f>SUMIF('Как будет'!$A$73:$A$80,Доп.расчеты!$A103,'Как будет'!CO$73:CO$80)</f>
        <v>0</v>
      </c>
      <c r="CO103">
        <f>SUMIF('Как будет'!$A$73:$A$80,Доп.расчеты!$A103,'Как будет'!CP$73:CP$80)</f>
        <v>0</v>
      </c>
      <c r="CP103">
        <f>SUMIF('Как будет'!$A$73:$A$80,Доп.расчеты!$A103,'Как будет'!CQ$73:CQ$80)</f>
        <v>0</v>
      </c>
      <c r="CQ103">
        <f>SUMIF('Как будет'!$A$73:$A$80,Доп.расчеты!$A103,'Как будет'!CR$73:CR$80)</f>
        <v>0</v>
      </c>
      <c r="CR103">
        <f>SUMIF('Как будет'!$A$73:$A$80,Доп.расчеты!$A103,'Как будет'!CS$73:CS$80)</f>
        <v>0</v>
      </c>
      <c r="CS103">
        <f>SUMIF('Как будет'!$A$73:$A$80,Доп.расчеты!$A103,'Как будет'!CT$73:CT$80)</f>
        <v>0</v>
      </c>
      <c r="CT103">
        <f>SUMIF('Как будет'!$A$73:$A$80,Доп.расчеты!$A103,'Как будет'!CU$73:CU$80)</f>
        <v>0</v>
      </c>
      <c r="CU103">
        <f>SUMIF('Как будет'!$A$73:$A$80,Доп.расчеты!$A103,'Как будет'!CV$73:CV$80)</f>
        <v>0</v>
      </c>
      <c r="CV103">
        <f>SUMIF('Как будет'!$A$73:$A$80,Доп.расчеты!$A103,'Как будет'!CW$73:CW$80)</f>
        <v>0</v>
      </c>
      <c r="CW103">
        <f>SUMIF('Как будет'!$A$73:$A$80,Доп.расчеты!$A103,'Как будет'!CX$73:CX$80)</f>
        <v>0</v>
      </c>
      <c r="CX103">
        <f>SUMIF('Как будет'!$A$73:$A$80,Доп.расчеты!$A103,'Как будет'!CY$73:CY$80)</f>
        <v>0</v>
      </c>
      <c r="CY103">
        <f>SUMIF('Как будет'!$A$73:$A$80,Доп.расчеты!$A103,'Как будет'!CZ$73:CZ$80)</f>
        <v>0</v>
      </c>
      <c r="CZ103">
        <f>SUMIF('Как будет'!$A$73:$A$80,Доп.расчеты!$A103,'Как будет'!DA$73:DA$80)</f>
        <v>0</v>
      </c>
      <c r="DA103">
        <f>SUMIF('Как будет'!$A$73:$A$80,Доп.расчеты!$A103,'Как будет'!DB$73:DB$80)</f>
        <v>0</v>
      </c>
      <c r="DB103">
        <f>SUMIF('Как будет'!$A$73:$A$80,Доп.расчеты!$A103,'Как будет'!DC$73:DC$80)</f>
        <v>0</v>
      </c>
      <c r="DC103">
        <f>SUMIF('Как будет'!$A$73:$A$80,Доп.расчеты!$A103,'Как будет'!DD$73:DD$80)</f>
        <v>0</v>
      </c>
      <c r="DD103">
        <f>SUMIF('Как будет'!$A$73:$A$80,Доп.расчеты!$A103,'Как будет'!DE$73:DE$80)</f>
        <v>0</v>
      </c>
      <c r="DE103">
        <f>SUMIF('Как будет'!$A$73:$A$80,Доп.расчеты!$A103,'Как будет'!DF$73:DF$80)</f>
        <v>0</v>
      </c>
      <c r="DF103">
        <f>SUMIF('Как будет'!$A$73:$A$80,Доп.расчеты!$A103,'Как будет'!DG$73:DG$80)</f>
        <v>0</v>
      </c>
      <c r="DG103">
        <f>SUMIF('Как будет'!$A$73:$A$80,Доп.расчеты!$A103,'Как будет'!DH$73:DH$80)</f>
        <v>0</v>
      </c>
      <c r="DH103">
        <f>SUMIF('Как будет'!$A$73:$A$80,Доп.расчеты!$A103,'Как будет'!DI$73:DI$80)</f>
        <v>0</v>
      </c>
      <c r="DI103">
        <f>SUMIF('Как будет'!$A$73:$A$80,Доп.расчеты!$A103,'Как будет'!DJ$73:DJ$80)</f>
        <v>0</v>
      </c>
      <c r="DJ103">
        <f>SUMIF('Как будет'!$A$73:$A$80,Доп.расчеты!$A103,'Как будет'!DK$73:DK$80)</f>
        <v>0</v>
      </c>
      <c r="DK103">
        <f>SUMIF('Как будет'!$A$73:$A$80,Доп.расчеты!$A103,'Как будет'!DL$73:DL$80)</f>
        <v>0</v>
      </c>
      <c r="DL103">
        <f>SUMIF('Как будет'!$A$73:$A$80,Доп.расчеты!$A103,'Как будет'!DM$73:DM$80)</f>
        <v>0</v>
      </c>
      <c r="DM103">
        <f>SUMIF('Как будет'!$A$73:$A$80,Доп.расчеты!$A103,'Как будет'!DN$73:DN$80)</f>
        <v>0</v>
      </c>
      <c r="DN103">
        <f>SUMIF('Как будет'!$A$73:$A$80,Доп.расчеты!$A103,'Как будет'!DO$73:DO$80)</f>
        <v>0</v>
      </c>
      <c r="DO103">
        <f>SUMIF('Как будет'!$A$73:$A$80,Доп.расчеты!$A103,'Как будет'!DP$73:DP$80)</f>
        <v>0</v>
      </c>
      <c r="DP103">
        <f>SUMIF('Как будет'!$A$73:$A$80,Доп.расчеты!$A103,'Как будет'!DQ$73:DQ$80)</f>
        <v>0</v>
      </c>
      <c r="DQ103">
        <f>SUMIF('Как будет'!$A$73:$A$80,Доп.расчеты!$A103,'Как будет'!DR$73:DR$80)</f>
        <v>0</v>
      </c>
      <c r="DR103">
        <f>SUMIF('Как будет'!$A$73:$A$80,Доп.расчеты!$A103,'Как будет'!DS$73:DS$80)</f>
        <v>0</v>
      </c>
      <c r="DS103">
        <f>SUMIF('Как будет'!$A$73:$A$80,Доп.расчеты!$A103,'Как будет'!DT$73:DT$80)</f>
        <v>0</v>
      </c>
      <c r="DT103">
        <f>SUMIF('Как будет'!$A$73:$A$80,Доп.расчеты!$A103,'Как будет'!DU$73:DU$80)</f>
        <v>0</v>
      </c>
      <c r="DU103">
        <f>SUMIF('Как будет'!$A$73:$A$80,Доп.расчеты!$A103,'Как будет'!DV$73:DV$80)</f>
        <v>0</v>
      </c>
      <c r="DV103">
        <f>SUMIF('Как будет'!$A$73:$A$80,Доп.расчеты!$A103,'Как будет'!DW$73:DW$80)</f>
        <v>0</v>
      </c>
      <c r="DW103">
        <f>SUMIF('Как будет'!$A$73:$A$80,Доп.расчеты!$A103,'Как будет'!DX$73:DX$80)</f>
        <v>0</v>
      </c>
      <c r="DX103">
        <f>SUMIF('Как будет'!$A$73:$A$80,Доп.расчеты!$A103,'Как будет'!DY$73:DY$80)</f>
        <v>0</v>
      </c>
      <c r="DY103">
        <f>SUMIF('Как будет'!$A$73:$A$80,Доп.расчеты!$A103,'Как будет'!DZ$73:DZ$80)</f>
        <v>0</v>
      </c>
      <c r="DZ103">
        <f>SUMIF('Как будет'!$A$73:$A$80,Доп.расчеты!$A103,'Как будет'!EA$73:EA$80)</f>
        <v>0</v>
      </c>
      <c r="EA103">
        <f>SUMIF('Как будет'!$A$73:$A$80,Доп.расчеты!$A103,'Как будет'!EB$73:EB$80)</f>
        <v>0</v>
      </c>
      <c r="EB103">
        <f>SUMIF('Как будет'!$A$73:$A$80,Доп.расчеты!$A103,'Как будет'!EC$73:EC$80)</f>
        <v>0</v>
      </c>
      <c r="EC103">
        <f>SUMIF('Как будет'!$A$73:$A$80,Доп.расчеты!$A103,'Как будет'!ED$73:ED$80)</f>
        <v>0</v>
      </c>
      <c r="ED103">
        <f>SUMIF('Как будет'!$A$73:$A$80,Доп.расчеты!$A103,'Как будет'!EE$73:EE$80)</f>
        <v>0</v>
      </c>
      <c r="EE103">
        <f>SUMIF('Как будет'!$A$73:$A$80,Доп.расчеты!$A103,'Как будет'!EF$73:EF$80)</f>
        <v>0</v>
      </c>
      <c r="EF103">
        <f>SUMIF('Как будет'!$A$73:$A$80,Доп.расчеты!$A103,'Как будет'!EG$73:EG$80)</f>
        <v>0</v>
      </c>
      <c r="EG103">
        <f>SUMIF('Как будет'!$A$73:$A$80,Доп.расчеты!$A103,'Как будет'!EH$73:EH$80)</f>
        <v>0</v>
      </c>
      <c r="EH103">
        <f>SUMIF('Как будет'!$A$73:$A$80,Доп.расчеты!$A103,'Как будет'!EI$73:EI$80)</f>
        <v>0</v>
      </c>
      <c r="EI103">
        <f>SUMIF('Как будет'!$A$73:$A$80,Доп.расчеты!$A103,'Как будет'!EJ$73:EJ$80)</f>
        <v>0</v>
      </c>
      <c r="EJ103">
        <f>SUMIF('Как будет'!$A$73:$A$80,Доп.расчеты!$A103,'Как будет'!EK$73:EK$80)</f>
        <v>0</v>
      </c>
      <c r="EK103">
        <f>SUMIF('Как будет'!$A$73:$A$80,Доп.расчеты!$A103,'Как будет'!EL$73:EL$80)</f>
        <v>0</v>
      </c>
      <c r="EL103">
        <f>SUMIF('Как будет'!$A$73:$A$80,Доп.расчеты!$A103,'Как будет'!EM$73:EM$80)</f>
        <v>0</v>
      </c>
      <c r="EM103">
        <f>SUMIF('Как будет'!$A$73:$A$80,Доп.расчеты!$A103,'Как будет'!EN$73:EN$80)</f>
        <v>0</v>
      </c>
      <c r="EN103">
        <f>SUMIF('Как будет'!$A$73:$A$80,Доп.расчеты!$A103,'Как будет'!EO$73:EO$80)</f>
        <v>0</v>
      </c>
      <c r="EO103">
        <f>SUMIF('Как будет'!$A$73:$A$80,Доп.расчеты!$A103,'Как будет'!EP$73:EP$80)</f>
        <v>0</v>
      </c>
      <c r="EP103">
        <f>SUMIF('Как будет'!$A$73:$A$80,Доп.расчеты!$A103,'Как будет'!EQ$73:EQ$80)</f>
        <v>0</v>
      </c>
      <c r="EQ103">
        <f>SUMIF('Как будет'!$A$73:$A$80,Доп.расчеты!$A103,'Как будет'!ER$73:ER$80)</f>
        <v>0</v>
      </c>
      <c r="ER103">
        <f>SUMIF('Как будет'!$A$73:$A$80,Доп.расчеты!$A103,'Как будет'!ES$73:ES$80)</f>
        <v>0</v>
      </c>
      <c r="ES103">
        <f>SUMIF('Как будет'!$A$73:$A$80,Доп.расчеты!$A103,'Как будет'!ET$73:ET$80)</f>
        <v>0</v>
      </c>
      <c r="ET103">
        <f>SUMIF('Как будет'!$A$73:$A$80,Доп.расчеты!$A103,'Как будет'!EU$73:EU$80)</f>
        <v>0</v>
      </c>
      <c r="EU103">
        <f>SUMIF('Как будет'!$A$73:$A$80,Доп.расчеты!$A103,'Как будет'!EV$73:EV$80)</f>
        <v>0</v>
      </c>
      <c r="EV103">
        <f>SUMIF('Как будет'!$A$73:$A$80,Доп.расчеты!$A103,'Как будет'!EW$73:EW$80)</f>
        <v>0</v>
      </c>
      <c r="EW103">
        <f>SUMIF('Как будет'!$A$73:$A$80,Доп.расчеты!$A103,'Как будет'!EX$73:EX$80)</f>
        <v>0</v>
      </c>
      <c r="EX103">
        <f>SUMIF('Как будет'!$A$73:$A$80,Доп.расчеты!$A103,'Как будет'!EY$73:EY$80)</f>
        <v>0</v>
      </c>
      <c r="EY103">
        <f>SUMIF('Как будет'!$A$73:$A$80,Доп.расчеты!$A103,'Как будет'!EZ$73:EZ$80)</f>
        <v>0</v>
      </c>
      <c r="EZ103">
        <f>SUMIF('Как будет'!$A$73:$A$80,Доп.расчеты!$A103,'Как будет'!FA$73:FA$80)</f>
        <v>0</v>
      </c>
      <c r="FA103">
        <f>SUMIF('Как будет'!$A$73:$A$80,Доп.расчеты!$A103,'Как будет'!FB$73:FB$80)</f>
        <v>0</v>
      </c>
      <c r="FB103">
        <f>SUMIF('Как будет'!$A$73:$A$80,Доп.расчеты!$A103,'Как будет'!FC$73:FC$80)</f>
        <v>0</v>
      </c>
      <c r="FC103">
        <f>SUMIF('Как будет'!$A$73:$A$80,Доп.расчеты!$A103,'Как будет'!FD$73:FD$80)</f>
        <v>0</v>
      </c>
      <c r="FD103">
        <f>SUMIF('Как будет'!$A$73:$A$80,Доп.расчеты!$A103,'Как будет'!FE$73:FE$80)</f>
        <v>0</v>
      </c>
      <c r="FE103">
        <f>SUMIF('Как будет'!$A$73:$A$80,Доп.расчеты!$A103,'Как будет'!FF$73:FF$80)</f>
        <v>0</v>
      </c>
      <c r="FF103">
        <f>SUMIF('Как будет'!$A$73:$A$80,Доп.расчеты!$A103,'Как будет'!FG$73:FG$80)</f>
        <v>0</v>
      </c>
      <c r="FG103">
        <f>SUMIF('Как будет'!$A$73:$A$80,Доп.расчеты!$A103,'Как будет'!FH$73:FH$80)</f>
        <v>0</v>
      </c>
      <c r="FH103">
        <f>SUMIF('Как будет'!$A$73:$A$80,Доп.расчеты!$A103,'Как будет'!FI$73:FI$80)</f>
        <v>0</v>
      </c>
      <c r="FI103">
        <f>SUMIF('Как будет'!$A$73:$A$80,Доп.расчеты!$A103,'Как будет'!FJ$73:FJ$80)</f>
        <v>0</v>
      </c>
      <c r="FJ103">
        <f>SUMIF('Как будет'!$A$73:$A$80,Доп.расчеты!$A103,'Как будет'!FK$73:FK$80)</f>
        <v>0</v>
      </c>
      <c r="FK103">
        <f>SUMIF('Как будет'!$A$73:$A$80,Доп.расчеты!$A103,'Как будет'!FL$73:FL$80)</f>
        <v>0</v>
      </c>
      <c r="FL103">
        <f>SUMIF('Как будет'!$A$73:$A$80,Доп.расчеты!$A103,'Как будет'!FM$73:FM$80)</f>
        <v>0</v>
      </c>
      <c r="FM103">
        <f>SUMIF('Как будет'!$A$73:$A$80,Доп.расчеты!$A103,'Как будет'!FN$73:FN$80)</f>
        <v>0</v>
      </c>
      <c r="FN103">
        <f>SUMIF('Как будет'!$A$73:$A$80,Доп.расчеты!$A103,'Как будет'!FO$73:FO$80)</f>
        <v>0</v>
      </c>
      <c r="FO103">
        <f>SUMIF('Как будет'!$A$73:$A$80,Доп.расчеты!$A103,'Как будет'!FP$73:FP$80)</f>
        <v>0</v>
      </c>
      <c r="FP103">
        <f>SUMIF('Как будет'!$A$73:$A$80,Доп.расчеты!$A103,'Как будет'!FQ$73:FQ$80)</f>
        <v>0</v>
      </c>
      <c r="FQ103">
        <f>SUMIF('Как будет'!$A$73:$A$80,Доп.расчеты!$A103,'Как будет'!FR$73:FR$80)</f>
        <v>0</v>
      </c>
      <c r="FR103">
        <f>SUMIF('Как будет'!$A$73:$A$80,Доп.расчеты!$A103,'Как будет'!FS$73:FS$80)</f>
        <v>0</v>
      </c>
      <c r="FS103">
        <f>SUMIF('Как будет'!$A$73:$A$80,Доп.расчеты!$A103,'Как будет'!FT$73:FT$80)</f>
        <v>0</v>
      </c>
      <c r="FT103">
        <f>SUMIF('Как будет'!$A$73:$A$80,Доп.расчеты!$A103,'Как будет'!FU$73:FU$80)</f>
        <v>0</v>
      </c>
      <c r="FU103">
        <f>SUMIF('Как будет'!$A$73:$A$80,Доп.расчеты!$A103,'Как будет'!FV$73:FV$80)</f>
        <v>0</v>
      </c>
      <c r="FV103">
        <f>SUMIF('Как будет'!$A$73:$A$80,Доп.расчеты!$A103,'Как будет'!FW$73:FW$80)</f>
        <v>0</v>
      </c>
      <c r="FW103">
        <f>SUMIF('Как будет'!$A$73:$A$80,Доп.расчеты!$A103,'Как будет'!FX$73:FX$80)</f>
        <v>0</v>
      </c>
      <c r="FX103">
        <f>SUMIF('Как будет'!$A$73:$A$80,Доп.расчеты!$A103,'Как будет'!FY$73:FY$80)</f>
        <v>0</v>
      </c>
      <c r="FY103">
        <f>SUMIF('Как будет'!$A$73:$A$80,Доп.расчеты!$A103,'Как будет'!FZ$73:FZ$80)</f>
        <v>0</v>
      </c>
      <c r="FZ103">
        <f>SUMIF('Как будет'!$A$73:$A$80,Доп.расчеты!$A103,'Как будет'!GA$73:GA$80)</f>
        <v>0</v>
      </c>
      <c r="GA103">
        <f>SUMIF('Как будет'!$A$73:$A$80,Доп.расчеты!$A103,'Как будет'!GB$73:GB$80)</f>
        <v>0</v>
      </c>
      <c r="GB103">
        <f>SUMIF('Как будет'!$A$73:$A$80,Доп.расчеты!$A103,'Как будет'!GC$73:GC$80)</f>
        <v>0</v>
      </c>
      <c r="GC103">
        <f>SUMIF('Как будет'!$A$73:$A$80,Доп.расчеты!$A103,'Как будет'!GD$73:GD$80)</f>
        <v>0</v>
      </c>
      <c r="GD103">
        <f>SUMIF('Как будет'!$A$73:$A$80,Доп.расчеты!$A103,'Как будет'!GE$73:GE$80)</f>
        <v>0</v>
      </c>
      <c r="GE103">
        <f>SUMIF('Как будет'!$A$73:$A$80,Доп.расчеты!$A103,'Как будет'!GF$73:GF$80)</f>
        <v>0</v>
      </c>
      <c r="GF103">
        <f>SUMIF('Как будет'!$A$73:$A$80,Доп.расчеты!$A103,'Как будет'!GG$73:GG$80)</f>
        <v>0</v>
      </c>
      <c r="GG103">
        <f>SUMIF('Как будет'!$A$73:$A$80,Доп.расчеты!$A103,'Как будет'!GH$73:GH$80)</f>
        <v>0</v>
      </c>
      <c r="GH103">
        <f>SUMIF('Как будет'!$A$73:$A$80,Доп.расчеты!$A103,'Как будет'!GI$73:GI$80)</f>
        <v>0</v>
      </c>
      <c r="GI103">
        <f>SUMIF('Как будет'!$A$73:$A$80,Доп.расчеты!$A103,'Как будет'!GJ$73:GJ$80)</f>
        <v>0</v>
      </c>
      <c r="GJ103">
        <f>SUMIF('Как будет'!$A$73:$A$80,Доп.расчеты!$A103,'Как будет'!GK$73:GK$80)</f>
        <v>0</v>
      </c>
      <c r="GK103">
        <f>SUMIF('Как будет'!$A$73:$A$80,Доп.расчеты!$A103,'Как будет'!GL$73:GL$80)</f>
        <v>0</v>
      </c>
      <c r="GL103">
        <f>SUMIF('Как будет'!$A$73:$A$80,Доп.расчеты!$A103,'Как будет'!GM$73:GM$80)</f>
        <v>0</v>
      </c>
      <c r="GM103">
        <f>SUMIF('Как будет'!$A$73:$A$80,Доп.расчеты!$A103,'Как будет'!GN$73:GN$80)</f>
        <v>0</v>
      </c>
      <c r="GN103">
        <f>SUMIF('Как будет'!$A$73:$A$80,Доп.расчеты!$A103,'Как будет'!GO$73:GO$80)</f>
        <v>0</v>
      </c>
      <c r="GO103">
        <f>SUMIF('Как будет'!$A$73:$A$80,Доп.расчеты!$A103,'Как будет'!GP$73:GP$80)</f>
        <v>0</v>
      </c>
      <c r="GP103">
        <f>SUMIF('Как будет'!$A$73:$A$80,Доп.расчеты!$A103,'Как будет'!GQ$73:GQ$80)</f>
        <v>0</v>
      </c>
      <c r="GQ103">
        <f>SUMIF('Как будет'!$A$73:$A$80,Доп.расчеты!$A103,'Как будет'!GR$73:GR$80)</f>
        <v>0</v>
      </c>
      <c r="GR103">
        <f>SUMIF('Как будет'!$A$73:$A$80,Доп.расчеты!$A103,'Как будет'!GS$73:GS$80)</f>
        <v>0</v>
      </c>
      <c r="GS103">
        <f>SUMIF('Как будет'!$A$73:$A$80,Доп.расчеты!$A103,'Как будет'!GT$73:GT$80)</f>
        <v>0</v>
      </c>
      <c r="GT103">
        <f>SUMIF('Как будет'!$A$73:$A$80,Доп.расчеты!$A103,'Как будет'!GU$73:GU$80)</f>
        <v>0</v>
      </c>
    </row>
    <row r="104" spans="1:202">
      <c r="A104" s="234" t="s">
        <v>249</v>
      </c>
    </row>
    <row r="105" spans="1:202">
      <c r="A105" s="237" t="s">
        <v>23</v>
      </c>
      <c r="B105">
        <f>SUMIF('Как будет'!$A$82:$A$89,Доп.расчеты!$A105,'Как будет'!C$82:C$89)</f>
        <v>0</v>
      </c>
      <c r="C105">
        <f>SUMIF('Как будет'!$A$82:$A$89,Доп.расчеты!$A105,'Как будет'!D$82:D$89)</f>
        <v>0</v>
      </c>
      <c r="D105">
        <f>SUMIF('Как будет'!$A$82:$A$89,Доп.расчеты!$A105,'Как будет'!E$82:E$89)</f>
        <v>0</v>
      </c>
      <c r="E105">
        <f>SUMIF('Как будет'!$A$82:$A$89,Доп.расчеты!$A105,'Как будет'!F$82:F$89)</f>
        <v>0</v>
      </c>
      <c r="F105">
        <f>SUMIF('Как будет'!$A$82:$A$89,Доп.расчеты!$A105,'Как будет'!G$82:G$89)</f>
        <v>0</v>
      </c>
      <c r="G105">
        <f>SUMIF('Как будет'!$A$82:$A$89,Доп.расчеты!$A105,'Как будет'!H$82:H$89)</f>
        <v>0</v>
      </c>
      <c r="H105">
        <f>SUMIF('Как будет'!$A$82:$A$89,Доп.расчеты!$A105,'Как будет'!I$82:I$89)</f>
        <v>0</v>
      </c>
      <c r="I105">
        <f>SUMIF('Как будет'!$A$82:$A$89,Доп.расчеты!$A105,'Как будет'!J$82:J$89)</f>
        <v>0</v>
      </c>
      <c r="J105">
        <f>SUMIF('Как будет'!$A$82:$A$89,Доп.расчеты!$A105,'Как будет'!K$82:K$89)</f>
        <v>0</v>
      </c>
      <c r="K105">
        <f>SUMIF('Как будет'!$A$82:$A$89,Доп.расчеты!$A105,'Как будет'!L$82:L$89)</f>
        <v>0</v>
      </c>
      <c r="L105">
        <f>SUMIF('Как будет'!$A$82:$A$89,Доп.расчеты!$A105,'Как будет'!M$82:M$89)</f>
        <v>0</v>
      </c>
      <c r="M105">
        <f>SUMIF('Как будет'!$A$82:$A$89,Доп.расчеты!$A105,'Как будет'!N$82:N$89)</f>
        <v>0</v>
      </c>
      <c r="N105">
        <f>SUMIF('Как будет'!$A$82:$A$89,Доп.расчеты!$A105,'Как будет'!O$82:O$89)</f>
        <v>0</v>
      </c>
      <c r="O105">
        <f>SUMIF('Как будет'!$A$82:$A$89,Доп.расчеты!$A105,'Как будет'!P$82:P$89)</f>
        <v>0</v>
      </c>
      <c r="P105">
        <f>SUMIF('Как будет'!$A$82:$A$89,Доп.расчеты!$A105,'Как будет'!Q$82:Q$89)</f>
        <v>0</v>
      </c>
      <c r="Q105">
        <f>SUMIF('Как будет'!$A$82:$A$89,Доп.расчеты!$A105,'Как будет'!R$82:R$89)</f>
        <v>0</v>
      </c>
      <c r="R105">
        <f>SUMIF('Как будет'!$A$82:$A$89,Доп.расчеты!$A105,'Как будет'!S$82:S$89)</f>
        <v>0</v>
      </c>
      <c r="S105">
        <f>SUMIF('Как будет'!$A$82:$A$89,Доп.расчеты!$A105,'Как будет'!T$82:T$89)</f>
        <v>0</v>
      </c>
      <c r="T105">
        <f>SUMIF('Как будет'!$A$82:$A$89,Доп.расчеты!$A105,'Как будет'!U$82:U$89)</f>
        <v>0</v>
      </c>
      <c r="U105">
        <f>SUMIF('Как будет'!$A$82:$A$89,Доп.расчеты!$A105,'Как будет'!V$82:V$89)</f>
        <v>0</v>
      </c>
      <c r="V105">
        <f>SUMIF('Как будет'!$A$82:$A$89,Доп.расчеты!$A105,'Как будет'!W$82:W$89)</f>
        <v>0</v>
      </c>
      <c r="W105">
        <f>SUMIF('Как будет'!$A$82:$A$89,Доп.расчеты!$A105,'Как будет'!X$82:X$89)</f>
        <v>0</v>
      </c>
      <c r="X105">
        <f>SUMIF('Как будет'!$A$82:$A$89,Доп.расчеты!$A105,'Как будет'!Y$82:Y$89)</f>
        <v>0</v>
      </c>
      <c r="Y105">
        <f>SUMIF('Как будет'!$A$82:$A$89,Доп.расчеты!$A105,'Как будет'!Z$82:Z$89)</f>
        <v>0</v>
      </c>
      <c r="Z105">
        <f>SUMIF('Как будет'!$A$82:$A$89,Доп.расчеты!$A105,'Как будет'!AA$82:AA$89)</f>
        <v>0</v>
      </c>
      <c r="AA105">
        <f>SUMIF('Как будет'!$A$82:$A$89,Доп.расчеты!$A105,'Как будет'!AB$82:AB$89)</f>
        <v>0</v>
      </c>
      <c r="AB105">
        <f>SUMIF('Как будет'!$A$82:$A$89,Доп.расчеты!$A105,'Как будет'!AC$82:AC$89)</f>
        <v>0</v>
      </c>
      <c r="AC105">
        <f>SUMIF('Как будет'!$A$82:$A$89,Доп.расчеты!$A105,'Как будет'!AD$82:AD$89)</f>
        <v>0</v>
      </c>
      <c r="AD105">
        <f>SUMIF('Как будет'!$A$82:$A$89,Доп.расчеты!$A105,'Как будет'!AE$82:AE$89)</f>
        <v>0</v>
      </c>
      <c r="AE105">
        <f>SUMIF('Как будет'!$A$82:$A$89,Доп.расчеты!$A105,'Как будет'!AF$82:AF$89)</f>
        <v>0</v>
      </c>
      <c r="AF105">
        <f>SUMIF('Как будет'!$A$82:$A$89,Доп.расчеты!$A105,'Как будет'!AG$82:AG$89)</f>
        <v>0</v>
      </c>
      <c r="AG105">
        <f>SUMIF('Как будет'!$A$82:$A$89,Доп.расчеты!$A105,'Как будет'!AH$82:AH$89)</f>
        <v>0</v>
      </c>
      <c r="AH105">
        <f>SUMIF('Как будет'!$A$82:$A$89,Доп.расчеты!$A105,'Как будет'!AI$82:AI$89)</f>
        <v>0</v>
      </c>
      <c r="AI105">
        <f>SUMIF('Как будет'!$A$82:$A$89,Доп.расчеты!$A105,'Как будет'!AJ$82:AJ$89)</f>
        <v>0</v>
      </c>
      <c r="AJ105">
        <f>SUMIF('Как будет'!$A$82:$A$89,Доп.расчеты!$A105,'Как будет'!AK$82:AK$89)</f>
        <v>0</v>
      </c>
      <c r="AK105">
        <f>SUMIF('Как будет'!$A$82:$A$89,Доп.расчеты!$A105,'Как будет'!AL$82:AL$89)</f>
        <v>0</v>
      </c>
      <c r="AL105">
        <f>SUMIF('Как будет'!$A$82:$A$89,Доп.расчеты!$A105,'Как будет'!AM$82:AM$89)</f>
        <v>0</v>
      </c>
      <c r="AM105">
        <f>SUMIF('Как будет'!$A$82:$A$89,Доп.расчеты!$A105,'Как будет'!AN$82:AN$89)</f>
        <v>0</v>
      </c>
      <c r="AN105">
        <f>SUMIF('Как будет'!$A$82:$A$89,Доп.расчеты!$A105,'Как будет'!AO$82:AO$89)</f>
        <v>0</v>
      </c>
      <c r="AO105">
        <f>SUMIF('Как будет'!$A$82:$A$89,Доп.расчеты!$A105,'Как будет'!AP$82:AP$89)</f>
        <v>0</v>
      </c>
      <c r="AP105">
        <f>SUMIF('Как будет'!$A$82:$A$89,Доп.расчеты!$A105,'Как будет'!AQ$82:AQ$89)</f>
        <v>0</v>
      </c>
      <c r="AQ105">
        <f>SUMIF('Как будет'!$A$82:$A$89,Доп.расчеты!$A105,'Как будет'!AR$82:AR$89)</f>
        <v>0</v>
      </c>
      <c r="AR105">
        <f>SUMIF('Как будет'!$A$82:$A$89,Доп.расчеты!$A105,'Как будет'!AS$82:AS$89)</f>
        <v>0</v>
      </c>
      <c r="AS105">
        <f>SUMIF('Как будет'!$A$82:$A$89,Доп.расчеты!$A105,'Как будет'!AT$82:AT$89)</f>
        <v>0</v>
      </c>
      <c r="AT105">
        <f>SUMIF('Как будет'!$A$82:$A$89,Доп.расчеты!$A105,'Как будет'!AU$82:AU$89)</f>
        <v>0</v>
      </c>
      <c r="AU105">
        <f>SUMIF('Как будет'!$A$82:$A$89,Доп.расчеты!$A105,'Как будет'!AV$82:AV$89)</f>
        <v>0</v>
      </c>
      <c r="AV105">
        <f>SUMIF('Как будет'!$A$82:$A$89,Доп.расчеты!$A105,'Как будет'!AW$82:AW$89)</f>
        <v>0</v>
      </c>
      <c r="AW105">
        <f>SUMIF('Как будет'!$A$82:$A$89,Доп.расчеты!$A105,'Как будет'!AX$82:AX$89)</f>
        <v>0</v>
      </c>
      <c r="AX105">
        <f>SUMIF('Как будет'!$A$82:$A$89,Доп.расчеты!$A105,'Как будет'!AY$82:AY$89)</f>
        <v>0</v>
      </c>
      <c r="AY105">
        <f>SUMIF('Как будет'!$A$82:$A$89,Доп.расчеты!$A105,'Как будет'!AZ$82:AZ$89)</f>
        <v>0</v>
      </c>
      <c r="AZ105">
        <f>SUMIF('Как будет'!$A$82:$A$89,Доп.расчеты!$A105,'Как будет'!BA$82:BA$89)</f>
        <v>0</v>
      </c>
      <c r="BA105">
        <f>SUMIF('Как будет'!$A$82:$A$89,Доп.расчеты!$A105,'Как будет'!BB$82:BB$89)</f>
        <v>0</v>
      </c>
      <c r="BB105">
        <f>SUMIF('Как будет'!$A$82:$A$89,Доп.расчеты!$A105,'Как будет'!BC$82:BC$89)</f>
        <v>0</v>
      </c>
      <c r="BC105">
        <f>SUMIF('Как будет'!$A$82:$A$89,Доп.расчеты!$A105,'Как будет'!BD$82:BD$89)</f>
        <v>0</v>
      </c>
      <c r="BD105">
        <f>SUMIF('Как будет'!$A$82:$A$89,Доп.расчеты!$A105,'Как будет'!BE$82:BE$89)</f>
        <v>0</v>
      </c>
      <c r="BE105">
        <f>SUMIF('Как будет'!$A$82:$A$89,Доп.расчеты!$A105,'Как будет'!BF$82:BF$89)</f>
        <v>0</v>
      </c>
      <c r="BF105">
        <f>SUMIF('Как будет'!$A$82:$A$89,Доп.расчеты!$A105,'Как будет'!BG$82:BG$89)</f>
        <v>0</v>
      </c>
      <c r="BG105">
        <f>SUMIF('Как будет'!$A$82:$A$89,Доп.расчеты!$A105,'Как будет'!BH$82:BH$89)</f>
        <v>0</v>
      </c>
      <c r="BH105">
        <f>SUMIF('Как будет'!$A$82:$A$89,Доп.расчеты!$A105,'Как будет'!BI$82:BI$89)</f>
        <v>0</v>
      </c>
      <c r="BI105">
        <f>SUMIF('Как будет'!$A$82:$A$89,Доп.расчеты!$A105,'Как будет'!BJ$82:BJ$89)</f>
        <v>0</v>
      </c>
      <c r="BJ105">
        <f>SUMIF('Как будет'!$A$82:$A$89,Доп.расчеты!$A105,'Как будет'!BK$82:BK$89)</f>
        <v>0</v>
      </c>
      <c r="BK105">
        <f>SUMIF('Как будет'!$A$82:$A$89,Доп.расчеты!$A105,'Как будет'!BL$82:BL$89)</f>
        <v>0</v>
      </c>
      <c r="BL105">
        <f>SUMIF('Как будет'!$A$82:$A$89,Доп.расчеты!$A105,'Как будет'!BM$82:BM$89)</f>
        <v>0</v>
      </c>
      <c r="BM105">
        <f>SUMIF('Как будет'!$A$82:$A$89,Доп.расчеты!$A105,'Как будет'!BN$82:BN$89)</f>
        <v>0</v>
      </c>
      <c r="BN105">
        <f>SUMIF('Как будет'!$A$82:$A$89,Доп.расчеты!$A105,'Как будет'!BO$82:BO$89)</f>
        <v>0</v>
      </c>
      <c r="BO105">
        <f>SUMIF('Как будет'!$A$82:$A$89,Доп.расчеты!$A105,'Как будет'!BP$82:BP$89)</f>
        <v>0</v>
      </c>
      <c r="BP105">
        <f>SUMIF('Как будет'!$A$82:$A$89,Доп.расчеты!$A105,'Как будет'!BQ$82:BQ$89)</f>
        <v>0</v>
      </c>
      <c r="BQ105">
        <f>SUMIF('Как будет'!$A$82:$A$89,Доп.расчеты!$A105,'Как будет'!BR$82:BR$89)</f>
        <v>0</v>
      </c>
      <c r="BR105">
        <f>SUMIF('Как будет'!$A$82:$A$89,Доп.расчеты!$A105,'Как будет'!BS$82:BS$89)</f>
        <v>0</v>
      </c>
      <c r="BS105">
        <f>SUMIF('Как будет'!$A$82:$A$89,Доп.расчеты!$A105,'Как будет'!BT$82:BT$89)</f>
        <v>0</v>
      </c>
      <c r="BT105">
        <f>SUMIF('Как будет'!$A$82:$A$89,Доп.расчеты!$A105,'Как будет'!BU$82:BU$89)</f>
        <v>0</v>
      </c>
      <c r="BU105">
        <f>SUMIF('Как будет'!$A$82:$A$89,Доп.расчеты!$A105,'Как будет'!BV$82:BV$89)</f>
        <v>0</v>
      </c>
      <c r="BV105">
        <f>SUMIF('Как будет'!$A$82:$A$89,Доп.расчеты!$A105,'Как будет'!BW$82:BW$89)</f>
        <v>0</v>
      </c>
      <c r="BW105">
        <f>SUMIF('Как будет'!$A$82:$A$89,Доп.расчеты!$A105,'Как будет'!BX$82:BX$89)</f>
        <v>0</v>
      </c>
      <c r="BX105">
        <f>SUMIF('Как будет'!$A$82:$A$89,Доп.расчеты!$A105,'Как будет'!BY$82:BY$89)</f>
        <v>0</v>
      </c>
      <c r="BY105">
        <f>SUMIF('Как будет'!$A$82:$A$89,Доп.расчеты!$A105,'Как будет'!BZ$82:BZ$89)</f>
        <v>0</v>
      </c>
      <c r="BZ105">
        <f>SUMIF('Как будет'!$A$82:$A$89,Доп.расчеты!$A105,'Как будет'!CA$82:CA$89)</f>
        <v>0</v>
      </c>
      <c r="CA105">
        <f>SUMIF('Как будет'!$A$82:$A$89,Доп.расчеты!$A105,'Как будет'!CB$82:CB$89)</f>
        <v>0</v>
      </c>
      <c r="CB105">
        <f>SUMIF('Как будет'!$A$82:$A$89,Доп.расчеты!$A105,'Как будет'!CC$82:CC$89)</f>
        <v>0</v>
      </c>
      <c r="CC105">
        <f>SUMIF('Как будет'!$A$82:$A$89,Доп.расчеты!$A105,'Как будет'!CD$82:CD$89)</f>
        <v>0</v>
      </c>
      <c r="CD105">
        <f>SUMIF('Как будет'!$A$82:$A$89,Доп.расчеты!$A105,'Как будет'!CE$82:CE$89)</f>
        <v>0</v>
      </c>
      <c r="CE105">
        <f>SUMIF('Как будет'!$A$82:$A$89,Доп.расчеты!$A105,'Как будет'!CF$82:CF$89)</f>
        <v>0</v>
      </c>
      <c r="CF105">
        <f>SUMIF('Как будет'!$A$82:$A$89,Доп.расчеты!$A105,'Как будет'!CG$82:CG$89)</f>
        <v>0</v>
      </c>
      <c r="CG105">
        <f>SUMIF('Как будет'!$A$82:$A$89,Доп.расчеты!$A105,'Как будет'!CH$82:CH$89)</f>
        <v>0</v>
      </c>
      <c r="CH105">
        <f>SUMIF('Как будет'!$A$82:$A$89,Доп.расчеты!$A105,'Как будет'!CI$82:CI$89)</f>
        <v>0</v>
      </c>
      <c r="CI105">
        <f>SUMIF('Как будет'!$A$82:$A$89,Доп.расчеты!$A105,'Как будет'!CJ$82:CJ$89)</f>
        <v>0</v>
      </c>
      <c r="CJ105">
        <f>SUMIF('Как будет'!$A$82:$A$89,Доп.расчеты!$A105,'Как будет'!CK$82:CK$89)</f>
        <v>0</v>
      </c>
      <c r="CK105">
        <f>SUMIF('Как будет'!$A$82:$A$89,Доп.расчеты!$A105,'Как будет'!CL$82:CL$89)</f>
        <v>0</v>
      </c>
      <c r="CL105">
        <f>SUMIF('Как будет'!$A$82:$A$89,Доп.расчеты!$A105,'Как будет'!CM$82:CM$89)</f>
        <v>0</v>
      </c>
      <c r="CM105">
        <f>SUMIF('Как будет'!$A$82:$A$89,Доп.расчеты!$A105,'Как будет'!CN$82:CN$89)</f>
        <v>0</v>
      </c>
      <c r="CN105">
        <f>SUMIF('Как будет'!$A$82:$A$89,Доп.расчеты!$A105,'Как будет'!CO$82:CO$89)</f>
        <v>0</v>
      </c>
      <c r="CO105">
        <f>SUMIF('Как будет'!$A$82:$A$89,Доп.расчеты!$A105,'Как будет'!CP$82:CP$89)</f>
        <v>0</v>
      </c>
      <c r="CP105">
        <f>SUMIF('Как будет'!$A$82:$A$89,Доп.расчеты!$A105,'Как будет'!CQ$82:CQ$89)</f>
        <v>0</v>
      </c>
      <c r="CQ105">
        <f>SUMIF('Как будет'!$A$82:$A$89,Доп.расчеты!$A105,'Как будет'!CR$82:CR$89)</f>
        <v>0</v>
      </c>
      <c r="CR105">
        <f>SUMIF('Как будет'!$A$82:$A$89,Доп.расчеты!$A105,'Как будет'!CS$82:CS$89)</f>
        <v>0</v>
      </c>
      <c r="CS105">
        <f>SUMIF('Как будет'!$A$82:$A$89,Доп.расчеты!$A105,'Как будет'!CT$82:CT$89)</f>
        <v>0</v>
      </c>
      <c r="CT105">
        <f>SUMIF('Как будет'!$A$82:$A$89,Доп.расчеты!$A105,'Как будет'!CU$82:CU$89)</f>
        <v>0</v>
      </c>
      <c r="CU105">
        <f>SUMIF('Как будет'!$A$82:$A$89,Доп.расчеты!$A105,'Как будет'!CV$82:CV$89)</f>
        <v>0</v>
      </c>
      <c r="CV105">
        <f>SUMIF('Как будет'!$A$82:$A$89,Доп.расчеты!$A105,'Как будет'!CW$82:CW$89)</f>
        <v>0</v>
      </c>
      <c r="CW105">
        <f>SUMIF('Как будет'!$A$82:$A$89,Доп.расчеты!$A105,'Как будет'!CX$82:CX$89)</f>
        <v>0</v>
      </c>
      <c r="CX105">
        <f>SUMIF('Как будет'!$A$82:$A$89,Доп.расчеты!$A105,'Как будет'!CY$82:CY$89)</f>
        <v>0</v>
      </c>
      <c r="CY105">
        <f>SUMIF('Как будет'!$A$82:$A$89,Доп.расчеты!$A105,'Как будет'!CZ$82:CZ$89)</f>
        <v>0</v>
      </c>
      <c r="CZ105">
        <f>SUMIF('Как будет'!$A$82:$A$89,Доп.расчеты!$A105,'Как будет'!DA$82:DA$89)</f>
        <v>0</v>
      </c>
      <c r="DA105">
        <f>SUMIF('Как будет'!$A$82:$A$89,Доп.расчеты!$A105,'Как будет'!DB$82:DB$89)</f>
        <v>0</v>
      </c>
      <c r="DB105">
        <f>SUMIF('Как будет'!$A$82:$A$89,Доп.расчеты!$A105,'Как будет'!DC$82:DC$89)</f>
        <v>0</v>
      </c>
      <c r="DC105">
        <f>SUMIF('Как будет'!$A$82:$A$89,Доп.расчеты!$A105,'Как будет'!DD$82:DD$89)</f>
        <v>0</v>
      </c>
      <c r="DD105">
        <f>SUMIF('Как будет'!$A$82:$A$89,Доп.расчеты!$A105,'Как будет'!DE$82:DE$89)</f>
        <v>0</v>
      </c>
      <c r="DE105">
        <f>SUMIF('Как будет'!$A$82:$A$89,Доп.расчеты!$A105,'Как будет'!DF$82:DF$89)</f>
        <v>0</v>
      </c>
      <c r="DF105">
        <f>SUMIF('Как будет'!$A$82:$A$89,Доп.расчеты!$A105,'Как будет'!DG$82:DG$89)</f>
        <v>0</v>
      </c>
      <c r="DG105">
        <f>SUMIF('Как будет'!$A$82:$A$89,Доп.расчеты!$A105,'Как будет'!DH$82:DH$89)</f>
        <v>0</v>
      </c>
      <c r="DH105">
        <f>SUMIF('Как будет'!$A$82:$A$89,Доп.расчеты!$A105,'Как будет'!DI$82:DI$89)</f>
        <v>0</v>
      </c>
      <c r="DI105">
        <f>SUMIF('Как будет'!$A$82:$A$89,Доп.расчеты!$A105,'Как будет'!DJ$82:DJ$89)</f>
        <v>0</v>
      </c>
      <c r="DJ105">
        <f>SUMIF('Как будет'!$A$82:$A$89,Доп.расчеты!$A105,'Как будет'!DK$82:DK$89)</f>
        <v>0</v>
      </c>
      <c r="DK105">
        <f>SUMIF('Как будет'!$A$82:$A$89,Доп.расчеты!$A105,'Как будет'!DL$82:DL$89)</f>
        <v>0</v>
      </c>
      <c r="DL105">
        <f>SUMIF('Как будет'!$A$82:$A$89,Доп.расчеты!$A105,'Как будет'!DM$82:DM$89)</f>
        <v>0</v>
      </c>
      <c r="DM105">
        <f>SUMIF('Как будет'!$A$82:$A$89,Доп.расчеты!$A105,'Как будет'!DN$82:DN$89)</f>
        <v>0</v>
      </c>
      <c r="DN105">
        <f>SUMIF('Как будет'!$A$82:$A$89,Доп.расчеты!$A105,'Как будет'!DO$82:DO$89)</f>
        <v>0</v>
      </c>
      <c r="DO105">
        <f>SUMIF('Как будет'!$A$82:$A$89,Доп.расчеты!$A105,'Как будет'!DP$82:DP$89)</f>
        <v>0</v>
      </c>
      <c r="DP105">
        <f>SUMIF('Как будет'!$A$82:$A$89,Доп.расчеты!$A105,'Как будет'!DQ$82:DQ$89)</f>
        <v>0</v>
      </c>
      <c r="DQ105">
        <f>SUMIF('Как будет'!$A$82:$A$89,Доп.расчеты!$A105,'Как будет'!DR$82:DR$89)</f>
        <v>0</v>
      </c>
      <c r="DR105">
        <f>SUMIF('Как будет'!$A$82:$A$89,Доп.расчеты!$A105,'Как будет'!DS$82:DS$89)</f>
        <v>0</v>
      </c>
      <c r="DS105">
        <f>SUMIF('Как будет'!$A$82:$A$89,Доп.расчеты!$A105,'Как будет'!DT$82:DT$89)</f>
        <v>0</v>
      </c>
      <c r="DT105">
        <f>SUMIF('Как будет'!$A$82:$A$89,Доп.расчеты!$A105,'Как будет'!DU$82:DU$89)</f>
        <v>0</v>
      </c>
      <c r="DU105">
        <f>SUMIF('Как будет'!$A$82:$A$89,Доп.расчеты!$A105,'Как будет'!DV$82:DV$89)</f>
        <v>0</v>
      </c>
      <c r="DV105">
        <f>SUMIF('Как будет'!$A$82:$A$89,Доп.расчеты!$A105,'Как будет'!DW$82:DW$89)</f>
        <v>0</v>
      </c>
      <c r="DW105">
        <f>SUMIF('Как будет'!$A$82:$A$89,Доп.расчеты!$A105,'Как будет'!DX$82:DX$89)</f>
        <v>0</v>
      </c>
      <c r="DX105">
        <f>SUMIF('Как будет'!$A$82:$A$89,Доп.расчеты!$A105,'Как будет'!DY$82:DY$89)</f>
        <v>0</v>
      </c>
      <c r="DY105">
        <f>SUMIF('Как будет'!$A$82:$A$89,Доп.расчеты!$A105,'Как будет'!DZ$82:DZ$89)</f>
        <v>0</v>
      </c>
      <c r="DZ105">
        <f>SUMIF('Как будет'!$A$82:$A$89,Доп.расчеты!$A105,'Как будет'!EA$82:EA$89)</f>
        <v>0</v>
      </c>
      <c r="EA105">
        <f>SUMIF('Как будет'!$A$82:$A$89,Доп.расчеты!$A105,'Как будет'!EB$82:EB$89)</f>
        <v>0</v>
      </c>
      <c r="EB105">
        <f>SUMIF('Как будет'!$A$82:$A$89,Доп.расчеты!$A105,'Как будет'!EC$82:EC$89)</f>
        <v>0</v>
      </c>
      <c r="EC105">
        <f>SUMIF('Как будет'!$A$82:$A$89,Доп.расчеты!$A105,'Как будет'!ED$82:ED$89)</f>
        <v>0</v>
      </c>
      <c r="ED105">
        <f>SUMIF('Как будет'!$A$82:$A$89,Доп.расчеты!$A105,'Как будет'!EE$82:EE$89)</f>
        <v>0</v>
      </c>
      <c r="EE105">
        <f>SUMIF('Как будет'!$A$82:$A$89,Доп.расчеты!$A105,'Как будет'!EF$82:EF$89)</f>
        <v>0</v>
      </c>
      <c r="EF105">
        <f>SUMIF('Как будет'!$A$82:$A$89,Доп.расчеты!$A105,'Как будет'!EG$82:EG$89)</f>
        <v>0</v>
      </c>
      <c r="EG105">
        <f>SUMIF('Как будет'!$A$82:$A$89,Доп.расчеты!$A105,'Как будет'!EH$82:EH$89)</f>
        <v>0</v>
      </c>
      <c r="EH105">
        <f>SUMIF('Как будет'!$A$82:$A$89,Доп.расчеты!$A105,'Как будет'!EI$82:EI$89)</f>
        <v>0</v>
      </c>
      <c r="EI105">
        <f>SUMIF('Как будет'!$A$82:$A$89,Доп.расчеты!$A105,'Как будет'!EJ$82:EJ$89)</f>
        <v>0</v>
      </c>
      <c r="EJ105">
        <f>SUMIF('Как будет'!$A$82:$A$89,Доп.расчеты!$A105,'Как будет'!EK$82:EK$89)</f>
        <v>0</v>
      </c>
      <c r="EK105">
        <f>SUMIF('Как будет'!$A$82:$A$89,Доп.расчеты!$A105,'Как будет'!EL$82:EL$89)</f>
        <v>0</v>
      </c>
      <c r="EL105">
        <f>SUMIF('Как будет'!$A$82:$A$89,Доп.расчеты!$A105,'Как будет'!EM$82:EM$89)</f>
        <v>0</v>
      </c>
      <c r="EM105">
        <f>SUMIF('Как будет'!$A$82:$A$89,Доп.расчеты!$A105,'Как будет'!EN$82:EN$89)</f>
        <v>0</v>
      </c>
      <c r="EN105">
        <f>SUMIF('Как будет'!$A$82:$A$89,Доп.расчеты!$A105,'Как будет'!EO$82:EO$89)</f>
        <v>0</v>
      </c>
      <c r="EO105">
        <f>SUMIF('Как будет'!$A$82:$A$89,Доп.расчеты!$A105,'Как будет'!EP$82:EP$89)</f>
        <v>0</v>
      </c>
      <c r="EP105">
        <f>SUMIF('Как будет'!$A$82:$A$89,Доп.расчеты!$A105,'Как будет'!EQ$82:EQ$89)</f>
        <v>0</v>
      </c>
      <c r="EQ105">
        <f>SUMIF('Как будет'!$A$82:$A$89,Доп.расчеты!$A105,'Как будет'!ER$82:ER$89)</f>
        <v>0</v>
      </c>
      <c r="ER105">
        <f>SUMIF('Как будет'!$A$82:$A$89,Доп.расчеты!$A105,'Как будет'!ES$82:ES$89)</f>
        <v>0</v>
      </c>
      <c r="ES105">
        <f>SUMIF('Как будет'!$A$82:$A$89,Доп.расчеты!$A105,'Как будет'!ET$82:ET$89)</f>
        <v>0</v>
      </c>
      <c r="ET105">
        <f>SUMIF('Как будет'!$A$82:$A$89,Доп.расчеты!$A105,'Как будет'!EU$82:EU$89)</f>
        <v>0</v>
      </c>
      <c r="EU105">
        <f>SUMIF('Как будет'!$A$82:$A$89,Доп.расчеты!$A105,'Как будет'!EV$82:EV$89)</f>
        <v>0</v>
      </c>
      <c r="EV105">
        <f>SUMIF('Как будет'!$A$82:$A$89,Доп.расчеты!$A105,'Как будет'!EW$82:EW$89)</f>
        <v>0</v>
      </c>
      <c r="EW105">
        <f>SUMIF('Как будет'!$A$82:$A$89,Доп.расчеты!$A105,'Как будет'!EX$82:EX$89)</f>
        <v>0</v>
      </c>
      <c r="EX105">
        <f>SUMIF('Как будет'!$A$82:$A$89,Доп.расчеты!$A105,'Как будет'!EY$82:EY$89)</f>
        <v>0</v>
      </c>
      <c r="EY105">
        <f>SUMIF('Как будет'!$A$82:$A$89,Доп.расчеты!$A105,'Как будет'!EZ$82:EZ$89)</f>
        <v>0</v>
      </c>
      <c r="EZ105">
        <f>SUMIF('Как будет'!$A$82:$A$89,Доп.расчеты!$A105,'Как будет'!FA$82:FA$89)</f>
        <v>0</v>
      </c>
      <c r="FA105">
        <f>SUMIF('Как будет'!$A$82:$A$89,Доп.расчеты!$A105,'Как будет'!FB$82:FB$89)</f>
        <v>0</v>
      </c>
      <c r="FB105">
        <f>SUMIF('Как будет'!$A$82:$A$89,Доп.расчеты!$A105,'Как будет'!FC$82:FC$89)</f>
        <v>0</v>
      </c>
      <c r="FC105">
        <f>SUMIF('Как будет'!$A$82:$A$89,Доп.расчеты!$A105,'Как будет'!FD$82:FD$89)</f>
        <v>0</v>
      </c>
      <c r="FD105">
        <f>SUMIF('Как будет'!$A$82:$A$89,Доп.расчеты!$A105,'Как будет'!FE$82:FE$89)</f>
        <v>0</v>
      </c>
      <c r="FE105">
        <f>SUMIF('Как будет'!$A$82:$A$89,Доп.расчеты!$A105,'Как будет'!FF$82:FF$89)</f>
        <v>0</v>
      </c>
      <c r="FF105">
        <f>SUMIF('Как будет'!$A$82:$A$89,Доп.расчеты!$A105,'Как будет'!FG$82:FG$89)</f>
        <v>0</v>
      </c>
      <c r="FG105">
        <f>SUMIF('Как будет'!$A$82:$A$89,Доп.расчеты!$A105,'Как будет'!FH$82:FH$89)</f>
        <v>0</v>
      </c>
      <c r="FH105">
        <f>SUMIF('Как будет'!$A$82:$A$89,Доп.расчеты!$A105,'Как будет'!FI$82:FI$89)</f>
        <v>0</v>
      </c>
      <c r="FI105">
        <f>SUMIF('Как будет'!$A$82:$A$89,Доп.расчеты!$A105,'Как будет'!FJ$82:FJ$89)</f>
        <v>0</v>
      </c>
      <c r="FJ105">
        <f>SUMIF('Как будет'!$A$82:$A$89,Доп.расчеты!$A105,'Как будет'!FK$82:FK$89)</f>
        <v>0</v>
      </c>
      <c r="FK105">
        <f>SUMIF('Как будет'!$A$82:$A$89,Доп.расчеты!$A105,'Как будет'!FL$82:FL$89)</f>
        <v>0</v>
      </c>
      <c r="FL105">
        <f>SUMIF('Как будет'!$A$82:$A$89,Доп.расчеты!$A105,'Как будет'!FM$82:FM$89)</f>
        <v>0</v>
      </c>
      <c r="FM105">
        <f>SUMIF('Как будет'!$A$82:$A$89,Доп.расчеты!$A105,'Как будет'!FN$82:FN$89)</f>
        <v>0</v>
      </c>
      <c r="FN105">
        <f>SUMIF('Как будет'!$A$82:$A$89,Доп.расчеты!$A105,'Как будет'!FO$82:FO$89)</f>
        <v>0</v>
      </c>
      <c r="FO105">
        <f>SUMIF('Как будет'!$A$82:$A$89,Доп.расчеты!$A105,'Как будет'!FP$82:FP$89)</f>
        <v>0</v>
      </c>
      <c r="FP105">
        <f>SUMIF('Как будет'!$A$82:$A$89,Доп.расчеты!$A105,'Как будет'!FQ$82:FQ$89)</f>
        <v>0</v>
      </c>
      <c r="FQ105">
        <f>SUMIF('Как будет'!$A$82:$A$89,Доп.расчеты!$A105,'Как будет'!FR$82:FR$89)</f>
        <v>0</v>
      </c>
      <c r="FR105">
        <f>SUMIF('Как будет'!$A$82:$A$89,Доп.расчеты!$A105,'Как будет'!FS$82:FS$89)</f>
        <v>0</v>
      </c>
      <c r="FS105">
        <f>SUMIF('Как будет'!$A$82:$A$89,Доп.расчеты!$A105,'Как будет'!FT$82:FT$89)</f>
        <v>0</v>
      </c>
      <c r="FT105">
        <f>SUMIF('Как будет'!$A$82:$A$89,Доп.расчеты!$A105,'Как будет'!FU$82:FU$89)</f>
        <v>0</v>
      </c>
      <c r="FU105">
        <f>SUMIF('Как будет'!$A$82:$A$89,Доп.расчеты!$A105,'Как будет'!FV$82:FV$89)</f>
        <v>0</v>
      </c>
      <c r="FV105">
        <f>SUMIF('Как будет'!$A$82:$A$89,Доп.расчеты!$A105,'Как будет'!FW$82:FW$89)</f>
        <v>0</v>
      </c>
      <c r="FW105">
        <f>SUMIF('Как будет'!$A$82:$A$89,Доп.расчеты!$A105,'Как будет'!FX$82:FX$89)</f>
        <v>0</v>
      </c>
      <c r="FX105">
        <f>SUMIF('Как будет'!$A$82:$A$89,Доп.расчеты!$A105,'Как будет'!FY$82:FY$89)</f>
        <v>0</v>
      </c>
      <c r="FY105">
        <f>SUMIF('Как будет'!$A$82:$A$89,Доп.расчеты!$A105,'Как будет'!FZ$82:FZ$89)</f>
        <v>0</v>
      </c>
      <c r="FZ105">
        <f>SUMIF('Как будет'!$A$82:$A$89,Доп.расчеты!$A105,'Как будет'!GA$82:GA$89)</f>
        <v>0</v>
      </c>
      <c r="GA105">
        <f>SUMIF('Как будет'!$A$82:$A$89,Доп.расчеты!$A105,'Как будет'!GB$82:GB$89)</f>
        <v>0</v>
      </c>
      <c r="GB105">
        <f>SUMIF('Как будет'!$A$82:$A$89,Доп.расчеты!$A105,'Как будет'!GC$82:GC$89)</f>
        <v>0</v>
      </c>
      <c r="GC105">
        <f>SUMIF('Как будет'!$A$82:$A$89,Доп.расчеты!$A105,'Как будет'!GD$82:GD$89)</f>
        <v>0</v>
      </c>
      <c r="GD105">
        <f>SUMIF('Как будет'!$A$82:$A$89,Доп.расчеты!$A105,'Как будет'!GE$82:GE$89)</f>
        <v>0</v>
      </c>
      <c r="GE105">
        <f>SUMIF('Как будет'!$A$82:$A$89,Доп.расчеты!$A105,'Как будет'!GF$82:GF$89)</f>
        <v>0</v>
      </c>
      <c r="GF105">
        <f>SUMIF('Как будет'!$A$82:$A$89,Доп.расчеты!$A105,'Как будет'!GG$82:GG$89)</f>
        <v>0</v>
      </c>
      <c r="GG105">
        <f>SUMIF('Как будет'!$A$82:$A$89,Доп.расчеты!$A105,'Как будет'!GH$82:GH$89)</f>
        <v>0</v>
      </c>
      <c r="GH105">
        <f>SUMIF('Как будет'!$A$82:$A$89,Доп.расчеты!$A105,'Как будет'!GI$82:GI$89)</f>
        <v>0</v>
      </c>
      <c r="GI105">
        <f>SUMIF('Как будет'!$A$82:$A$89,Доп.расчеты!$A105,'Как будет'!GJ$82:GJ$89)</f>
        <v>0</v>
      </c>
      <c r="GJ105">
        <f>SUMIF('Как будет'!$A$82:$A$89,Доп.расчеты!$A105,'Как будет'!GK$82:GK$89)</f>
        <v>0</v>
      </c>
      <c r="GK105">
        <f>SUMIF('Как будет'!$A$82:$A$89,Доп.расчеты!$A105,'Как будет'!GL$82:GL$89)</f>
        <v>0</v>
      </c>
      <c r="GL105">
        <f>SUMIF('Как будет'!$A$82:$A$89,Доп.расчеты!$A105,'Как будет'!GM$82:GM$89)</f>
        <v>0</v>
      </c>
      <c r="GM105">
        <f>SUMIF('Как будет'!$A$82:$A$89,Доп.расчеты!$A105,'Как будет'!GN$82:GN$89)</f>
        <v>0</v>
      </c>
      <c r="GN105">
        <f>SUMIF('Как будет'!$A$82:$A$89,Доп.расчеты!$A105,'Как будет'!GO$82:GO$89)</f>
        <v>0</v>
      </c>
      <c r="GO105">
        <f>SUMIF('Как будет'!$A$82:$A$89,Доп.расчеты!$A105,'Как будет'!GP$82:GP$89)</f>
        <v>0</v>
      </c>
      <c r="GP105">
        <f>SUMIF('Как будет'!$A$82:$A$89,Доп.расчеты!$A105,'Как будет'!GQ$82:GQ$89)</f>
        <v>0</v>
      </c>
      <c r="GQ105">
        <f>SUMIF('Как будет'!$A$82:$A$89,Доп.расчеты!$A105,'Как будет'!GR$82:GR$89)</f>
        <v>0</v>
      </c>
      <c r="GR105">
        <f>SUMIF('Как будет'!$A$82:$A$89,Доп.расчеты!$A105,'Как будет'!GS$82:GS$89)</f>
        <v>0</v>
      </c>
      <c r="GS105">
        <f>SUMIF('Как будет'!$A$82:$A$89,Доп.расчеты!$A105,'Как будет'!GT$82:GT$89)</f>
        <v>0</v>
      </c>
      <c r="GT105">
        <f>SUMIF('Как будет'!$A$82:$A$89,Доп.расчеты!$A105,'Как будет'!GU$82:GU$89)</f>
        <v>0</v>
      </c>
    </row>
    <row r="106" spans="1:202">
      <c r="A106" s="237" t="s">
        <v>240</v>
      </c>
      <c r="B106">
        <f>SUMIF('Как будет'!$A$82:$A$89,Доп.расчеты!$A106,'Как будет'!C$82:C$89)</f>
        <v>0</v>
      </c>
      <c r="C106">
        <f>SUMIF('Как будет'!$A$82:$A$89,Доп.расчеты!$A106,'Как будет'!D$82:D$89)</f>
        <v>0</v>
      </c>
      <c r="D106">
        <f>SUMIF('Как будет'!$A$82:$A$89,Доп.расчеты!$A106,'Как будет'!E$82:E$89)</f>
        <v>0</v>
      </c>
      <c r="E106">
        <f>SUMIF('Как будет'!$A$82:$A$89,Доп.расчеты!$A106,'Как будет'!F$82:F$89)</f>
        <v>0</v>
      </c>
      <c r="F106">
        <f>SUMIF('Как будет'!$A$82:$A$89,Доп.расчеты!$A106,'Как будет'!G$82:G$89)</f>
        <v>0</v>
      </c>
      <c r="G106">
        <f>SUMIF('Как будет'!$A$82:$A$89,Доп.расчеты!$A106,'Как будет'!H$82:H$89)</f>
        <v>0</v>
      </c>
      <c r="H106">
        <f>SUMIF('Как будет'!$A$82:$A$89,Доп.расчеты!$A106,'Как будет'!I$82:I$89)</f>
        <v>0</v>
      </c>
      <c r="I106">
        <f>SUMIF('Как будет'!$A$82:$A$89,Доп.расчеты!$A106,'Как будет'!J$82:J$89)</f>
        <v>0</v>
      </c>
      <c r="J106">
        <f>SUMIF('Как будет'!$A$82:$A$89,Доп.расчеты!$A106,'Как будет'!K$82:K$89)</f>
        <v>0</v>
      </c>
      <c r="K106">
        <f>SUMIF('Как будет'!$A$82:$A$89,Доп.расчеты!$A106,'Как будет'!L$82:L$89)</f>
        <v>0</v>
      </c>
      <c r="L106">
        <f>SUMIF('Как будет'!$A$82:$A$89,Доп.расчеты!$A106,'Как будет'!M$82:M$89)</f>
        <v>0</v>
      </c>
      <c r="M106">
        <f>SUMIF('Как будет'!$A$82:$A$89,Доп.расчеты!$A106,'Как будет'!N$82:N$89)</f>
        <v>0</v>
      </c>
      <c r="N106">
        <f>SUMIF('Как будет'!$A$82:$A$89,Доп.расчеты!$A106,'Как будет'!O$82:O$89)</f>
        <v>0</v>
      </c>
      <c r="O106">
        <f>SUMIF('Как будет'!$A$82:$A$89,Доп.расчеты!$A106,'Как будет'!P$82:P$89)</f>
        <v>0</v>
      </c>
      <c r="P106">
        <f>SUMIF('Как будет'!$A$82:$A$89,Доп.расчеты!$A106,'Как будет'!Q$82:Q$89)</f>
        <v>0</v>
      </c>
      <c r="Q106">
        <f>SUMIF('Как будет'!$A$82:$A$89,Доп.расчеты!$A106,'Как будет'!R$82:R$89)</f>
        <v>0</v>
      </c>
      <c r="R106">
        <f>SUMIF('Как будет'!$A$82:$A$89,Доп.расчеты!$A106,'Как будет'!S$82:S$89)</f>
        <v>0</v>
      </c>
      <c r="S106">
        <f>SUMIF('Как будет'!$A$82:$A$89,Доп.расчеты!$A106,'Как будет'!T$82:T$89)</f>
        <v>0</v>
      </c>
      <c r="T106">
        <f>SUMIF('Как будет'!$A$82:$A$89,Доп.расчеты!$A106,'Как будет'!U$82:U$89)</f>
        <v>0</v>
      </c>
      <c r="U106">
        <f>SUMIF('Как будет'!$A$82:$A$89,Доп.расчеты!$A106,'Как будет'!V$82:V$89)</f>
        <v>0</v>
      </c>
      <c r="V106">
        <f>SUMIF('Как будет'!$A$82:$A$89,Доп.расчеты!$A106,'Как будет'!W$82:W$89)</f>
        <v>0</v>
      </c>
      <c r="W106">
        <f>SUMIF('Как будет'!$A$82:$A$89,Доп.расчеты!$A106,'Как будет'!X$82:X$89)</f>
        <v>0</v>
      </c>
      <c r="X106">
        <f>SUMIF('Как будет'!$A$82:$A$89,Доп.расчеты!$A106,'Как будет'!Y$82:Y$89)</f>
        <v>0</v>
      </c>
      <c r="Y106">
        <f>SUMIF('Как будет'!$A$82:$A$89,Доп.расчеты!$A106,'Как будет'!Z$82:Z$89)</f>
        <v>0</v>
      </c>
      <c r="Z106">
        <f>SUMIF('Как будет'!$A$82:$A$89,Доп.расчеты!$A106,'Как будет'!AA$82:AA$89)</f>
        <v>0</v>
      </c>
      <c r="AA106">
        <f>SUMIF('Как будет'!$A$82:$A$89,Доп.расчеты!$A106,'Как будет'!AB$82:AB$89)</f>
        <v>0</v>
      </c>
      <c r="AB106">
        <f>SUMIF('Как будет'!$A$82:$A$89,Доп.расчеты!$A106,'Как будет'!AC$82:AC$89)</f>
        <v>0</v>
      </c>
      <c r="AC106">
        <f>SUMIF('Как будет'!$A$82:$A$89,Доп.расчеты!$A106,'Как будет'!AD$82:AD$89)</f>
        <v>0</v>
      </c>
      <c r="AD106">
        <f>SUMIF('Как будет'!$A$82:$A$89,Доп.расчеты!$A106,'Как будет'!AE$82:AE$89)</f>
        <v>0</v>
      </c>
      <c r="AE106">
        <f>SUMIF('Как будет'!$A$82:$A$89,Доп.расчеты!$A106,'Как будет'!AF$82:AF$89)</f>
        <v>0</v>
      </c>
      <c r="AF106">
        <f>SUMIF('Как будет'!$A$82:$A$89,Доп.расчеты!$A106,'Как будет'!AG$82:AG$89)</f>
        <v>0</v>
      </c>
      <c r="AG106">
        <f>SUMIF('Как будет'!$A$82:$A$89,Доп.расчеты!$A106,'Как будет'!AH$82:AH$89)</f>
        <v>0</v>
      </c>
      <c r="AH106">
        <f>SUMIF('Как будет'!$A$82:$A$89,Доп.расчеты!$A106,'Как будет'!AI$82:AI$89)</f>
        <v>0</v>
      </c>
      <c r="AI106">
        <f>SUMIF('Как будет'!$A$82:$A$89,Доп.расчеты!$A106,'Как будет'!AJ$82:AJ$89)</f>
        <v>0</v>
      </c>
      <c r="AJ106">
        <f>SUMIF('Как будет'!$A$82:$A$89,Доп.расчеты!$A106,'Как будет'!AK$82:AK$89)</f>
        <v>0</v>
      </c>
      <c r="AK106">
        <f>SUMIF('Как будет'!$A$82:$A$89,Доп.расчеты!$A106,'Как будет'!AL$82:AL$89)</f>
        <v>0</v>
      </c>
      <c r="AL106">
        <f>SUMIF('Как будет'!$A$82:$A$89,Доп.расчеты!$A106,'Как будет'!AM$82:AM$89)</f>
        <v>0</v>
      </c>
      <c r="AM106">
        <f>SUMIF('Как будет'!$A$82:$A$89,Доп.расчеты!$A106,'Как будет'!AN$82:AN$89)</f>
        <v>0</v>
      </c>
      <c r="AN106">
        <f>SUMIF('Как будет'!$A$82:$A$89,Доп.расчеты!$A106,'Как будет'!AO$82:AO$89)</f>
        <v>0</v>
      </c>
      <c r="AO106">
        <f>SUMIF('Как будет'!$A$82:$A$89,Доп.расчеты!$A106,'Как будет'!AP$82:AP$89)</f>
        <v>0</v>
      </c>
      <c r="AP106">
        <f>SUMIF('Как будет'!$A$82:$A$89,Доп.расчеты!$A106,'Как будет'!AQ$82:AQ$89)</f>
        <v>0</v>
      </c>
      <c r="AQ106">
        <f>SUMIF('Как будет'!$A$82:$A$89,Доп.расчеты!$A106,'Как будет'!AR$82:AR$89)</f>
        <v>0</v>
      </c>
      <c r="AR106">
        <f>SUMIF('Как будет'!$A$82:$A$89,Доп.расчеты!$A106,'Как будет'!AS$82:AS$89)</f>
        <v>0</v>
      </c>
      <c r="AS106">
        <f>SUMIF('Как будет'!$A$82:$A$89,Доп.расчеты!$A106,'Как будет'!AT$82:AT$89)</f>
        <v>0</v>
      </c>
      <c r="AT106">
        <f>SUMIF('Как будет'!$A$82:$A$89,Доп.расчеты!$A106,'Как будет'!AU$82:AU$89)</f>
        <v>0</v>
      </c>
      <c r="AU106">
        <f>SUMIF('Как будет'!$A$82:$A$89,Доп.расчеты!$A106,'Как будет'!AV$82:AV$89)</f>
        <v>0</v>
      </c>
      <c r="AV106">
        <f>SUMIF('Как будет'!$A$82:$A$89,Доп.расчеты!$A106,'Как будет'!AW$82:AW$89)</f>
        <v>0</v>
      </c>
      <c r="AW106">
        <f>SUMIF('Как будет'!$A$82:$A$89,Доп.расчеты!$A106,'Как будет'!AX$82:AX$89)</f>
        <v>0</v>
      </c>
      <c r="AX106">
        <f>SUMIF('Как будет'!$A$82:$A$89,Доп.расчеты!$A106,'Как будет'!AY$82:AY$89)</f>
        <v>0</v>
      </c>
      <c r="AY106">
        <f>SUMIF('Как будет'!$A$82:$A$89,Доп.расчеты!$A106,'Как будет'!AZ$82:AZ$89)</f>
        <v>0</v>
      </c>
      <c r="AZ106">
        <f>SUMIF('Как будет'!$A$82:$A$89,Доп.расчеты!$A106,'Как будет'!BA$82:BA$89)</f>
        <v>0</v>
      </c>
      <c r="BA106">
        <f>SUMIF('Как будет'!$A$82:$A$89,Доп.расчеты!$A106,'Как будет'!BB$82:BB$89)</f>
        <v>0</v>
      </c>
      <c r="BB106">
        <f>SUMIF('Как будет'!$A$82:$A$89,Доп.расчеты!$A106,'Как будет'!BC$82:BC$89)</f>
        <v>0</v>
      </c>
      <c r="BC106">
        <f>SUMIF('Как будет'!$A$82:$A$89,Доп.расчеты!$A106,'Как будет'!BD$82:BD$89)</f>
        <v>0</v>
      </c>
      <c r="BD106">
        <f>SUMIF('Как будет'!$A$82:$A$89,Доп.расчеты!$A106,'Как будет'!BE$82:BE$89)</f>
        <v>0</v>
      </c>
      <c r="BE106">
        <f>SUMIF('Как будет'!$A$82:$A$89,Доп.расчеты!$A106,'Как будет'!BF$82:BF$89)</f>
        <v>0</v>
      </c>
      <c r="BF106">
        <f>SUMIF('Как будет'!$A$82:$A$89,Доп.расчеты!$A106,'Как будет'!BG$82:BG$89)</f>
        <v>0</v>
      </c>
      <c r="BG106">
        <f>SUMIF('Как будет'!$A$82:$A$89,Доп.расчеты!$A106,'Как будет'!BH$82:BH$89)</f>
        <v>0</v>
      </c>
      <c r="BH106">
        <f>SUMIF('Как будет'!$A$82:$A$89,Доп.расчеты!$A106,'Как будет'!BI$82:BI$89)</f>
        <v>0</v>
      </c>
      <c r="BI106">
        <f>SUMIF('Как будет'!$A$82:$A$89,Доп.расчеты!$A106,'Как будет'!BJ$82:BJ$89)</f>
        <v>0</v>
      </c>
      <c r="BJ106">
        <f>SUMIF('Как будет'!$A$82:$A$89,Доп.расчеты!$A106,'Как будет'!BK$82:BK$89)</f>
        <v>0</v>
      </c>
      <c r="BK106">
        <f>SUMIF('Как будет'!$A$82:$A$89,Доп.расчеты!$A106,'Как будет'!BL$82:BL$89)</f>
        <v>0</v>
      </c>
      <c r="BL106">
        <f>SUMIF('Как будет'!$A$82:$A$89,Доп.расчеты!$A106,'Как будет'!BM$82:BM$89)</f>
        <v>0</v>
      </c>
      <c r="BM106">
        <f>SUMIF('Как будет'!$A$82:$A$89,Доп.расчеты!$A106,'Как будет'!BN$82:BN$89)</f>
        <v>0</v>
      </c>
      <c r="BN106">
        <f>SUMIF('Как будет'!$A$82:$A$89,Доп.расчеты!$A106,'Как будет'!BO$82:BO$89)</f>
        <v>0</v>
      </c>
      <c r="BO106">
        <f>SUMIF('Как будет'!$A$82:$A$89,Доп.расчеты!$A106,'Как будет'!BP$82:BP$89)</f>
        <v>0</v>
      </c>
      <c r="BP106">
        <f>SUMIF('Как будет'!$A$82:$A$89,Доп.расчеты!$A106,'Как будет'!BQ$82:BQ$89)</f>
        <v>0</v>
      </c>
      <c r="BQ106">
        <f>SUMIF('Как будет'!$A$82:$A$89,Доп.расчеты!$A106,'Как будет'!BR$82:BR$89)</f>
        <v>0</v>
      </c>
      <c r="BR106">
        <f>SUMIF('Как будет'!$A$82:$A$89,Доп.расчеты!$A106,'Как будет'!BS$82:BS$89)</f>
        <v>0</v>
      </c>
      <c r="BS106">
        <f>SUMIF('Как будет'!$A$82:$A$89,Доп.расчеты!$A106,'Как будет'!BT$82:BT$89)</f>
        <v>0</v>
      </c>
      <c r="BT106">
        <f>SUMIF('Как будет'!$A$82:$A$89,Доп.расчеты!$A106,'Как будет'!BU$82:BU$89)</f>
        <v>0</v>
      </c>
      <c r="BU106">
        <f>SUMIF('Как будет'!$A$82:$A$89,Доп.расчеты!$A106,'Как будет'!BV$82:BV$89)</f>
        <v>0</v>
      </c>
      <c r="BV106">
        <f>SUMIF('Как будет'!$A$82:$A$89,Доп.расчеты!$A106,'Как будет'!BW$82:BW$89)</f>
        <v>0</v>
      </c>
      <c r="BW106">
        <f>SUMIF('Как будет'!$A$82:$A$89,Доп.расчеты!$A106,'Как будет'!BX$82:BX$89)</f>
        <v>0</v>
      </c>
      <c r="BX106">
        <f>SUMIF('Как будет'!$A$82:$A$89,Доп.расчеты!$A106,'Как будет'!BY$82:BY$89)</f>
        <v>0</v>
      </c>
      <c r="BY106">
        <f>SUMIF('Как будет'!$A$82:$A$89,Доп.расчеты!$A106,'Как будет'!BZ$82:BZ$89)</f>
        <v>0</v>
      </c>
      <c r="BZ106">
        <f>SUMIF('Как будет'!$A$82:$A$89,Доп.расчеты!$A106,'Как будет'!CA$82:CA$89)</f>
        <v>0</v>
      </c>
      <c r="CA106">
        <f>SUMIF('Как будет'!$A$82:$A$89,Доп.расчеты!$A106,'Как будет'!CB$82:CB$89)</f>
        <v>0</v>
      </c>
      <c r="CB106">
        <f>SUMIF('Как будет'!$A$82:$A$89,Доп.расчеты!$A106,'Как будет'!CC$82:CC$89)</f>
        <v>0</v>
      </c>
      <c r="CC106">
        <f>SUMIF('Как будет'!$A$82:$A$89,Доп.расчеты!$A106,'Как будет'!CD$82:CD$89)</f>
        <v>0</v>
      </c>
      <c r="CD106">
        <f>SUMIF('Как будет'!$A$82:$A$89,Доп.расчеты!$A106,'Как будет'!CE$82:CE$89)</f>
        <v>0</v>
      </c>
      <c r="CE106">
        <f>SUMIF('Как будет'!$A$82:$A$89,Доп.расчеты!$A106,'Как будет'!CF$82:CF$89)</f>
        <v>0</v>
      </c>
      <c r="CF106">
        <f>SUMIF('Как будет'!$A$82:$A$89,Доп.расчеты!$A106,'Как будет'!CG$82:CG$89)</f>
        <v>0</v>
      </c>
      <c r="CG106">
        <f>SUMIF('Как будет'!$A$82:$A$89,Доп.расчеты!$A106,'Как будет'!CH$82:CH$89)</f>
        <v>0</v>
      </c>
      <c r="CH106">
        <f>SUMIF('Как будет'!$A$82:$A$89,Доп.расчеты!$A106,'Как будет'!CI$82:CI$89)</f>
        <v>0</v>
      </c>
      <c r="CI106">
        <f>SUMIF('Как будет'!$A$82:$A$89,Доп.расчеты!$A106,'Как будет'!CJ$82:CJ$89)</f>
        <v>0</v>
      </c>
      <c r="CJ106">
        <f>SUMIF('Как будет'!$A$82:$A$89,Доп.расчеты!$A106,'Как будет'!CK$82:CK$89)</f>
        <v>0</v>
      </c>
      <c r="CK106">
        <f>SUMIF('Как будет'!$A$82:$A$89,Доп.расчеты!$A106,'Как будет'!CL$82:CL$89)</f>
        <v>0</v>
      </c>
      <c r="CL106">
        <f>SUMIF('Как будет'!$A$82:$A$89,Доп.расчеты!$A106,'Как будет'!CM$82:CM$89)</f>
        <v>0</v>
      </c>
      <c r="CM106">
        <f>SUMIF('Как будет'!$A$82:$A$89,Доп.расчеты!$A106,'Как будет'!CN$82:CN$89)</f>
        <v>0</v>
      </c>
      <c r="CN106">
        <f>SUMIF('Как будет'!$A$82:$A$89,Доп.расчеты!$A106,'Как будет'!CO$82:CO$89)</f>
        <v>0</v>
      </c>
      <c r="CO106">
        <f>SUMIF('Как будет'!$A$82:$A$89,Доп.расчеты!$A106,'Как будет'!CP$82:CP$89)</f>
        <v>0</v>
      </c>
      <c r="CP106">
        <f>SUMIF('Как будет'!$A$82:$A$89,Доп.расчеты!$A106,'Как будет'!CQ$82:CQ$89)</f>
        <v>0</v>
      </c>
      <c r="CQ106">
        <f>SUMIF('Как будет'!$A$82:$A$89,Доп.расчеты!$A106,'Как будет'!CR$82:CR$89)</f>
        <v>0</v>
      </c>
      <c r="CR106">
        <f>SUMIF('Как будет'!$A$82:$A$89,Доп.расчеты!$A106,'Как будет'!CS$82:CS$89)</f>
        <v>0</v>
      </c>
      <c r="CS106">
        <f>SUMIF('Как будет'!$A$82:$A$89,Доп.расчеты!$A106,'Как будет'!CT$82:CT$89)</f>
        <v>0</v>
      </c>
      <c r="CT106">
        <f>SUMIF('Как будет'!$A$82:$A$89,Доп.расчеты!$A106,'Как будет'!CU$82:CU$89)</f>
        <v>0</v>
      </c>
      <c r="CU106">
        <f>SUMIF('Как будет'!$A$82:$A$89,Доп.расчеты!$A106,'Как будет'!CV$82:CV$89)</f>
        <v>0</v>
      </c>
      <c r="CV106">
        <f>SUMIF('Как будет'!$A$82:$A$89,Доп.расчеты!$A106,'Как будет'!CW$82:CW$89)</f>
        <v>0</v>
      </c>
      <c r="CW106">
        <f>SUMIF('Как будет'!$A$82:$A$89,Доп.расчеты!$A106,'Как будет'!CX$82:CX$89)</f>
        <v>0</v>
      </c>
      <c r="CX106">
        <f>SUMIF('Как будет'!$A$82:$A$89,Доп.расчеты!$A106,'Как будет'!CY$82:CY$89)</f>
        <v>0</v>
      </c>
      <c r="CY106">
        <f>SUMIF('Как будет'!$A$82:$A$89,Доп.расчеты!$A106,'Как будет'!CZ$82:CZ$89)</f>
        <v>0</v>
      </c>
      <c r="CZ106">
        <f>SUMIF('Как будет'!$A$82:$A$89,Доп.расчеты!$A106,'Как будет'!DA$82:DA$89)</f>
        <v>0</v>
      </c>
      <c r="DA106">
        <f>SUMIF('Как будет'!$A$82:$A$89,Доп.расчеты!$A106,'Как будет'!DB$82:DB$89)</f>
        <v>0</v>
      </c>
      <c r="DB106">
        <f>SUMIF('Как будет'!$A$82:$A$89,Доп.расчеты!$A106,'Как будет'!DC$82:DC$89)</f>
        <v>0</v>
      </c>
      <c r="DC106">
        <f>SUMIF('Как будет'!$A$82:$A$89,Доп.расчеты!$A106,'Как будет'!DD$82:DD$89)</f>
        <v>0</v>
      </c>
      <c r="DD106">
        <f>SUMIF('Как будет'!$A$82:$A$89,Доп.расчеты!$A106,'Как будет'!DE$82:DE$89)</f>
        <v>0</v>
      </c>
      <c r="DE106">
        <f>SUMIF('Как будет'!$A$82:$A$89,Доп.расчеты!$A106,'Как будет'!DF$82:DF$89)</f>
        <v>0</v>
      </c>
      <c r="DF106">
        <f>SUMIF('Как будет'!$A$82:$A$89,Доп.расчеты!$A106,'Как будет'!DG$82:DG$89)</f>
        <v>0</v>
      </c>
      <c r="DG106">
        <f>SUMIF('Как будет'!$A$82:$A$89,Доп.расчеты!$A106,'Как будет'!DH$82:DH$89)</f>
        <v>0</v>
      </c>
      <c r="DH106">
        <f>SUMIF('Как будет'!$A$82:$A$89,Доп.расчеты!$A106,'Как будет'!DI$82:DI$89)</f>
        <v>0</v>
      </c>
      <c r="DI106">
        <f>SUMIF('Как будет'!$A$82:$A$89,Доп.расчеты!$A106,'Как будет'!DJ$82:DJ$89)</f>
        <v>0</v>
      </c>
      <c r="DJ106">
        <f>SUMIF('Как будет'!$A$82:$A$89,Доп.расчеты!$A106,'Как будет'!DK$82:DK$89)</f>
        <v>0</v>
      </c>
      <c r="DK106">
        <f>SUMIF('Как будет'!$A$82:$A$89,Доп.расчеты!$A106,'Как будет'!DL$82:DL$89)</f>
        <v>0</v>
      </c>
      <c r="DL106">
        <f>SUMIF('Как будет'!$A$82:$A$89,Доп.расчеты!$A106,'Как будет'!DM$82:DM$89)</f>
        <v>0</v>
      </c>
      <c r="DM106">
        <f>SUMIF('Как будет'!$A$82:$A$89,Доп.расчеты!$A106,'Как будет'!DN$82:DN$89)</f>
        <v>0</v>
      </c>
      <c r="DN106">
        <f>SUMIF('Как будет'!$A$82:$A$89,Доп.расчеты!$A106,'Как будет'!DO$82:DO$89)</f>
        <v>0</v>
      </c>
      <c r="DO106">
        <f>SUMIF('Как будет'!$A$82:$A$89,Доп.расчеты!$A106,'Как будет'!DP$82:DP$89)</f>
        <v>0</v>
      </c>
      <c r="DP106">
        <f>SUMIF('Как будет'!$A$82:$A$89,Доп.расчеты!$A106,'Как будет'!DQ$82:DQ$89)</f>
        <v>0</v>
      </c>
      <c r="DQ106">
        <f>SUMIF('Как будет'!$A$82:$A$89,Доп.расчеты!$A106,'Как будет'!DR$82:DR$89)</f>
        <v>0</v>
      </c>
      <c r="DR106">
        <f>SUMIF('Как будет'!$A$82:$A$89,Доп.расчеты!$A106,'Как будет'!DS$82:DS$89)</f>
        <v>0</v>
      </c>
      <c r="DS106">
        <f>SUMIF('Как будет'!$A$82:$A$89,Доп.расчеты!$A106,'Как будет'!DT$82:DT$89)</f>
        <v>0</v>
      </c>
      <c r="DT106">
        <f>SUMIF('Как будет'!$A$82:$A$89,Доп.расчеты!$A106,'Как будет'!DU$82:DU$89)</f>
        <v>0</v>
      </c>
      <c r="DU106">
        <f>SUMIF('Как будет'!$A$82:$A$89,Доп.расчеты!$A106,'Как будет'!DV$82:DV$89)</f>
        <v>0</v>
      </c>
      <c r="DV106">
        <f>SUMIF('Как будет'!$A$82:$A$89,Доп.расчеты!$A106,'Как будет'!DW$82:DW$89)</f>
        <v>0</v>
      </c>
      <c r="DW106">
        <f>SUMIF('Как будет'!$A$82:$A$89,Доп.расчеты!$A106,'Как будет'!DX$82:DX$89)</f>
        <v>0</v>
      </c>
      <c r="DX106">
        <f>SUMIF('Как будет'!$A$82:$A$89,Доп.расчеты!$A106,'Как будет'!DY$82:DY$89)</f>
        <v>0</v>
      </c>
      <c r="DY106">
        <f>SUMIF('Как будет'!$A$82:$A$89,Доп.расчеты!$A106,'Как будет'!DZ$82:DZ$89)</f>
        <v>0</v>
      </c>
      <c r="DZ106">
        <f>SUMIF('Как будет'!$A$82:$A$89,Доп.расчеты!$A106,'Как будет'!EA$82:EA$89)</f>
        <v>0</v>
      </c>
      <c r="EA106">
        <f>SUMIF('Как будет'!$A$82:$A$89,Доп.расчеты!$A106,'Как будет'!EB$82:EB$89)</f>
        <v>0</v>
      </c>
      <c r="EB106">
        <f>SUMIF('Как будет'!$A$82:$A$89,Доп.расчеты!$A106,'Как будет'!EC$82:EC$89)</f>
        <v>0</v>
      </c>
      <c r="EC106">
        <f>SUMIF('Как будет'!$A$82:$A$89,Доп.расчеты!$A106,'Как будет'!ED$82:ED$89)</f>
        <v>0</v>
      </c>
      <c r="ED106">
        <f>SUMIF('Как будет'!$A$82:$A$89,Доп.расчеты!$A106,'Как будет'!EE$82:EE$89)</f>
        <v>0</v>
      </c>
      <c r="EE106">
        <f>SUMIF('Как будет'!$A$82:$A$89,Доп.расчеты!$A106,'Как будет'!EF$82:EF$89)</f>
        <v>0</v>
      </c>
      <c r="EF106">
        <f>SUMIF('Как будет'!$A$82:$A$89,Доп.расчеты!$A106,'Как будет'!EG$82:EG$89)</f>
        <v>0</v>
      </c>
      <c r="EG106">
        <f>SUMIF('Как будет'!$A$82:$A$89,Доп.расчеты!$A106,'Как будет'!EH$82:EH$89)</f>
        <v>0</v>
      </c>
      <c r="EH106">
        <f>SUMIF('Как будет'!$A$82:$A$89,Доп.расчеты!$A106,'Как будет'!EI$82:EI$89)</f>
        <v>0</v>
      </c>
      <c r="EI106">
        <f>SUMIF('Как будет'!$A$82:$A$89,Доп.расчеты!$A106,'Как будет'!EJ$82:EJ$89)</f>
        <v>0</v>
      </c>
      <c r="EJ106">
        <f>SUMIF('Как будет'!$A$82:$A$89,Доп.расчеты!$A106,'Как будет'!EK$82:EK$89)</f>
        <v>0</v>
      </c>
      <c r="EK106">
        <f>SUMIF('Как будет'!$A$82:$A$89,Доп.расчеты!$A106,'Как будет'!EL$82:EL$89)</f>
        <v>0</v>
      </c>
      <c r="EL106">
        <f>SUMIF('Как будет'!$A$82:$A$89,Доп.расчеты!$A106,'Как будет'!EM$82:EM$89)</f>
        <v>0</v>
      </c>
      <c r="EM106">
        <f>SUMIF('Как будет'!$A$82:$A$89,Доп.расчеты!$A106,'Как будет'!EN$82:EN$89)</f>
        <v>0</v>
      </c>
      <c r="EN106">
        <f>SUMIF('Как будет'!$A$82:$A$89,Доп.расчеты!$A106,'Как будет'!EO$82:EO$89)</f>
        <v>0</v>
      </c>
      <c r="EO106">
        <f>SUMIF('Как будет'!$A$82:$A$89,Доп.расчеты!$A106,'Как будет'!EP$82:EP$89)</f>
        <v>0</v>
      </c>
      <c r="EP106">
        <f>SUMIF('Как будет'!$A$82:$A$89,Доп.расчеты!$A106,'Как будет'!EQ$82:EQ$89)</f>
        <v>0</v>
      </c>
      <c r="EQ106">
        <f>SUMIF('Как будет'!$A$82:$A$89,Доп.расчеты!$A106,'Как будет'!ER$82:ER$89)</f>
        <v>0</v>
      </c>
      <c r="ER106">
        <f>SUMIF('Как будет'!$A$82:$A$89,Доп.расчеты!$A106,'Как будет'!ES$82:ES$89)</f>
        <v>0</v>
      </c>
      <c r="ES106">
        <f>SUMIF('Как будет'!$A$82:$A$89,Доп.расчеты!$A106,'Как будет'!ET$82:ET$89)</f>
        <v>0</v>
      </c>
      <c r="ET106">
        <f>SUMIF('Как будет'!$A$82:$A$89,Доп.расчеты!$A106,'Как будет'!EU$82:EU$89)</f>
        <v>0</v>
      </c>
      <c r="EU106">
        <f>SUMIF('Как будет'!$A$82:$A$89,Доп.расчеты!$A106,'Как будет'!EV$82:EV$89)</f>
        <v>0</v>
      </c>
      <c r="EV106">
        <f>SUMIF('Как будет'!$A$82:$A$89,Доп.расчеты!$A106,'Как будет'!EW$82:EW$89)</f>
        <v>0</v>
      </c>
      <c r="EW106">
        <f>SUMIF('Как будет'!$A$82:$A$89,Доп.расчеты!$A106,'Как будет'!EX$82:EX$89)</f>
        <v>0</v>
      </c>
      <c r="EX106">
        <f>SUMIF('Как будет'!$A$82:$A$89,Доп.расчеты!$A106,'Как будет'!EY$82:EY$89)</f>
        <v>0</v>
      </c>
      <c r="EY106">
        <f>SUMIF('Как будет'!$A$82:$A$89,Доп.расчеты!$A106,'Как будет'!EZ$82:EZ$89)</f>
        <v>0</v>
      </c>
      <c r="EZ106">
        <f>SUMIF('Как будет'!$A$82:$A$89,Доп.расчеты!$A106,'Как будет'!FA$82:FA$89)</f>
        <v>0</v>
      </c>
      <c r="FA106">
        <f>SUMIF('Как будет'!$A$82:$A$89,Доп.расчеты!$A106,'Как будет'!FB$82:FB$89)</f>
        <v>0</v>
      </c>
      <c r="FB106">
        <f>SUMIF('Как будет'!$A$82:$A$89,Доп.расчеты!$A106,'Как будет'!FC$82:FC$89)</f>
        <v>0</v>
      </c>
      <c r="FC106">
        <f>SUMIF('Как будет'!$A$82:$A$89,Доп.расчеты!$A106,'Как будет'!FD$82:FD$89)</f>
        <v>0</v>
      </c>
      <c r="FD106">
        <f>SUMIF('Как будет'!$A$82:$A$89,Доп.расчеты!$A106,'Как будет'!FE$82:FE$89)</f>
        <v>0</v>
      </c>
      <c r="FE106">
        <f>SUMIF('Как будет'!$A$82:$A$89,Доп.расчеты!$A106,'Как будет'!FF$82:FF$89)</f>
        <v>0</v>
      </c>
      <c r="FF106">
        <f>SUMIF('Как будет'!$A$82:$A$89,Доп.расчеты!$A106,'Как будет'!FG$82:FG$89)</f>
        <v>0</v>
      </c>
      <c r="FG106">
        <f>SUMIF('Как будет'!$A$82:$A$89,Доп.расчеты!$A106,'Как будет'!FH$82:FH$89)</f>
        <v>0</v>
      </c>
      <c r="FH106">
        <f>SUMIF('Как будет'!$A$82:$A$89,Доп.расчеты!$A106,'Как будет'!FI$82:FI$89)</f>
        <v>0</v>
      </c>
      <c r="FI106">
        <f>SUMIF('Как будет'!$A$82:$A$89,Доп.расчеты!$A106,'Как будет'!FJ$82:FJ$89)</f>
        <v>0</v>
      </c>
      <c r="FJ106">
        <f>SUMIF('Как будет'!$A$82:$A$89,Доп.расчеты!$A106,'Как будет'!FK$82:FK$89)</f>
        <v>0</v>
      </c>
      <c r="FK106">
        <f>SUMIF('Как будет'!$A$82:$A$89,Доп.расчеты!$A106,'Как будет'!FL$82:FL$89)</f>
        <v>0</v>
      </c>
      <c r="FL106">
        <f>SUMIF('Как будет'!$A$82:$A$89,Доп.расчеты!$A106,'Как будет'!FM$82:FM$89)</f>
        <v>0</v>
      </c>
      <c r="FM106">
        <f>SUMIF('Как будет'!$A$82:$A$89,Доп.расчеты!$A106,'Как будет'!FN$82:FN$89)</f>
        <v>0</v>
      </c>
      <c r="FN106">
        <f>SUMIF('Как будет'!$A$82:$A$89,Доп.расчеты!$A106,'Как будет'!FO$82:FO$89)</f>
        <v>0</v>
      </c>
      <c r="FO106">
        <f>SUMIF('Как будет'!$A$82:$A$89,Доп.расчеты!$A106,'Как будет'!FP$82:FP$89)</f>
        <v>0</v>
      </c>
      <c r="FP106">
        <f>SUMIF('Как будет'!$A$82:$A$89,Доп.расчеты!$A106,'Как будет'!FQ$82:FQ$89)</f>
        <v>0</v>
      </c>
      <c r="FQ106">
        <f>SUMIF('Как будет'!$A$82:$A$89,Доп.расчеты!$A106,'Как будет'!FR$82:FR$89)</f>
        <v>0</v>
      </c>
      <c r="FR106">
        <f>SUMIF('Как будет'!$A$82:$A$89,Доп.расчеты!$A106,'Как будет'!FS$82:FS$89)</f>
        <v>0</v>
      </c>
      <c r="FS106">
        <f>SUMIF('Как будет'!$A$82:$A$89,Доп.расчеты!$A106,'Как будет'!FT$82:FT$89)</f>
        <v>0</v>
      </c>
      <c r="FT106">
        <f>SUMIF('Как будет'!$A$82:$A$89,Доп.расчеты!$A106,'Как будет'!FU$82:FU$89)</f>
        <v>0</v>
      </c>
      <c r="FU106">
        <f>SUMIF('Как будет'!$A$82:$A$89,Доп.расчеты!$A106,'Как будет'!FV$82:FV$89)</f>
        <v>0</v>
      </c>
      <c r="FV106">
        <f>SUMIF('Как будет'!$A$82:$A$89,Доп.расчеты!$A106,'Как будет'!FW$82:FW$89)</f>
        <v>0</v>
      </c>
      <c r="FW106">
        <f>SUMIF('Как будет'!$A$82:$A$89,Доп.расчеты!$A106,'Как будет'!FX$82:FX$89)</f>
        <v>0</v>
      </c>
      <c r="FX106">
        <f>SUMIF('Как будет'!$A$82:$A$89,Доп.расчеты!$A106,'Как будет'!FY$82:FY$89)</f>
        <v>0</v>
      </c>
      <c r="FY106">
        <f>SUMIF('Как будет'!$A$82:$A$89,Доп.расчеты!$A106,'Как будет'!FZ$82:FZ$89)</f>
        <v>0</v>
      </c>
      <c r="FZ106">
        <f>SUMIF('Как будет'!$A$82:$A$89,Доп.расчеты!$A106,'Как будет'!GA$82:GA$89)</f>
        <v>0</v>
      </c>
      <c r="GA106">
        <f>SUMIF('Как будет'!$A$82:$A$89,Доп.расчеты!$A106,'Как будет'!GB$82:GB$89)</f>
        <v>0</v>
      </c>
      <c r="GB106">
        <f>SUMIF('Как будет'!$A$82:$A$89,Доп.расчеты!$A106,'Как будет'!GC$82:GC$89)</f>
        <v>0</v>
      </c>
      <c r="GC106">
        <f>SUMIF('Как будет'!$A$82:$A$89,Доп.расчеты!$A106,'Как будет'!GD$82:GD$89)</f>
        <v>0</v>
      </c>
      <c r="GD106">
        <f>SUMIF('Как будет'!$A$82:$A$89,Доп.расчеты!$A106,'Как будет'!GE$82:GE$89)</f>
        <v>0</v>
      </c>
      <c r="GE106">
        <f>SUMIF('Как будет'!$A$82:$A$89,Доп.расчеты!$A106,'Как будет'!GF$82:GF$89)</f>
        <v>0</v>
      </c>
      <c r="GF106">
        <f>SUMIF('Как будет'!$A$82:$A$89,Доп.расчеты!$A106,'Как будет'!GG$82:GG$89)</f>
        <v>0</v>
      </c>
      <c r="GG106">
        <f>SUMIF('Как будет'!$A$82:$A$89,Доп.расчеты!$A106,'Как будет'!GH$82:GH$89)</f>
        <v>0</v>
      </c>
      <c r="GH106">
        <f>SUMIF('Как будет'!$A$82:$A$89,Доп.расчеты!$A106,'Как будет'!GI$82:GI$89)</f>
        <v>0</v>
      </c>
      <c r="GI106">
        <f>SUMIF('Как будет'!$A$82:$A$89,Доп.расчеты!$A106,'Как будет'!GJ$82:GJ$89)</f>
        <v>0</v>
      </c>
      <c r="GJ106">
        <f>SUMIF('Как будет'!$A$82:$A$89,Доп.расчеты!$A106,'Как будет'!GK$82:GK$89)</f>
        <v>0</v>
      </c>
      <c r="GK106">
        <f>SUMIF('Как будет'!$A$82:$A$89,Доп.расчеты!$A106,'Как будет'!GL$82:GL$89)</f>
        <v>0</v>
      </c>
      <c r="GL106">
        <f>SUMIF('Как будет'!$A$82:$A$89,Доп.расчеты!$A106,'Как будет'!GM$82:GM$89)</f>
        <v>0</v>
      </c>
      <c r="GM106">
        <f>SUMIF('Как будет'!$A$82:$A$89,Доп.расчеты!$A106,'Как будет'!GN$82:GN$89)</f>
        <v>0</v>
      </c>
      <c r="GN106">
        <f>SUMIF('Как будет'!$A$82:$A$89,Доп.расчеты!$A106,'Как будет'!GO$82:GO$89)</f>
        <v>0</v>
      </c>
      <c r="GO106">
        <f>SUMIF('Как будет'!$A$82:$A$89,Доп.расчеты!$A106,'Как будет'!GP$82:GP$89)</f>
        <v>0</v>
      </c>
      <c r="GP106">
        <f>SUMIF('Как будет'!$A$82:$A$89,Доп.расчеты!$A106,'Как будет'!GQ$82:GQ$89)</f>
        <v>0</v>
      </c>
      <c r="GQ106">
        <f>SUMIF('Как будет'!$A$82:$A$89,Доп.расчеты!$A106,'Как будет'!GR$82:GR$89)</f>
        <v>0</v>
      </c>
      <c r="GR106">
        <f>SUMIF('Как будет'!$A$82:$A$89,Доп.расчеты!$A106,'Как будет'!GS$82:GS$89)</f>
        <v>0</v>
      </c>
      <c r="GS106">
        <f>SUMIF('Как будет'!$A$82:$A$89,Доп.расчеты!$A106,'Как будет'!GT$82:GT$89)</f>
        <v>0</v>
      </c>
      <c r="GT106">
        <f>SUMIF('Как будет'!$A$82:$A$89,Доп.расчеты!$A106,'Как будет'!GU$82:GU$89)</f>
        <v>0</v>
      </c>
    </row>
    <row r="107" spans="1:202">
      <c r="A107" s="237" t="s">
        <v>11</v>
      </c>
      <c r="B107">
        <f>SUMIF('Как будет'!$A$82:$A$89,Доп.расчеты!$A107,'Как будет'!C$82:C$89)</f>
        <v>0</v>
      </c>
      <c r="C107">
        <f>SUMIF('Как будет'!$A$82:$A$89,Доп.расчеты!$A107,'Как будет'!D$82:D$89)</f>
        <v>0</v>
      </c>
      <c r="D107">
        <f>SUMIF('Как будет'!$A$82:$A$89,Доп.расчеты!$A107,'Как будет'!E$82:E$89)</f>
        <v>0</v>
      </c>
      <c r="E107">
        <f>SUMIF('Как будет'!$A$82:$A$89,Доп.расчеты!$A107,'Как будет'!F$82:F$89)</f>
        <v>0</v>
      </c>
      <c r="F107">
        <f>SUMIF('Как будет'!$A$82:$A$89,Доп.расчеты!$A107,'Как будет'!G$82:G$89)</f>
        <v>0</v>
      </c>
      <c r="G107">
        <f>SUMIF('Как будет'!$A$82:$A$89,Доп.расчеты!$A107,'Как будет'!H$82:H$89)</f>
        <v>0</v>
      </c>
      <c r="H107">
        <f>SUMIF('Как будет'!$A$82:$A$89,Доп.расчеты!$A107,'Как будет'!I$82:I$89)</f>
        <v>0</v>
      </c>
      <c r="I107">
        <f>SUMIF('Как будет'!$A$82:$A$89,Доп.расчеты!$A107,'Как будет'!J$82:J$89)</f>
        <v>0</v>
      </c>
      <c r="J107">
        <f>SUMIF('Как будет'!$A$82:$A$89,Доп.расчеты!$A107,'Как будет'!K$82:K$89)</f>
        <v>0</v>
      </c>
      <c r="K107">
        <f>SUMIF('Как будет'!$A$82:$A$89,Доп.расчеты!$A107,'Как будет'!L$82:L$89)</f>
        <v>0</v>
      </c>
      <c r="L107">
        <f>SUMIF('Как будет'!$A$82:$A$89,Доп.расчеты!$A107,'Как будет'!M$82:M$89)</f>
        <v>0</v>
      </c>
      <c r="M107">
        <f>SUMIF('Как будет'!$A$82:$A$89,Доп.расчеты!$A107,'Как будет'!N$82:N$89)</f>
        <v>0</v>
      </c>
      <c r="N107">
        <f>SUMIF('Как будет'!$A$82:$A$89,Доп.расчеты!$A107,'Как будет'!O$82:O$89)</f>
        <v>0</v>
      </c>
      <c r="O107">
        <f>SUMIF('Как будет'!$A$82:$A$89,Доп.расчеты!$A107,'Как будет'!P$82:P$89)</f>
        <v>0</v>
      </c>
      <c r="P107">
        <f>SUMIF('Как будет'!$A$82:$A$89,Доп.расчеты!$A107,'Как будет'!Q$82:Q$89)</f>
        <v>0</v>
      </c>
      <c r="Q107">
        <f>SUMIF('Как будет'!$A$82:$A$89,Доп.расчеты!$A107,'Как будет'!R$82:R$89)</f>
        <v>0</v>
      </c>
      <c r="R107">
        <f>SUMIF('Как будет'!$A$82:$A$89,Доп.расчеты!$A107,'Как будет'!S$82:S$89)</f>
        <v>0</v>
      </c>
      <c r="S107">
        <f>SUMIF('Как будет'!$A$82:$A$89,Доп.расчеты!$A107,'Как будет'!T$82:T$89)</f>
        <v>0</v>
      </c>
      <c r="T107">
        <f>SUMIF('Как будет'!$A$82:$A$89,Доп.расчеты!$A107,'Как будет'!U$82:U$89)</f>
        <v>0</v>
      </c>
      <c r="U107">
        <f>SUMIF('Как будет'!$A$82:$A$89,Доп.расчеты!$A107,'Как будет'!V$82:V$89)</f>
        <v>0</v>
      </c>
      <c r="V107">
        <f>SUMIF('Как будет'!$A$82:$A$89,Доп.расчеты!$A107,'Как будет'!W$82:W$89)</f>
        <v>0</v>
      </c>
      <c r="W107">
        <f>SUMIF('Как будет'!$A$82:$A$89,Доп.расчеты!$A107,'Как будет'!X$82:X$89)</f>
        <v>0</v>
      </c>
      <c r="X107">
        <f>SUMIF('Как будет'!$A$82:$A$89,Доп.расчеты!$A107,'Как будет'!Y$82:Y$89)</f>
        <v>0</v>
      </c>
      <c r="Y107">
        <f>SUMIF('Как будет'!$A$82:$A$89,Доп.расчеты!$A107,'Как будет'!Z$82:Z$89)</f>
        <v>0</v>
      </c>
      <c r="Z107">
        <f>SUMIF('Как будет'!$A$82:$A$89,Доп.расчеты!$A107,'Как будет'!AA$82:AA$89)</f>
        <v>0</v>
      </c>
      <c r="AA107">
        <f>SUMIF('Как будет'!$A$82:$A$89,Доп.расчеты!$A107,'Как будет'!AB$82:AB$89)</f>
        <v>0</v>
      </c>
      <c r="AB107">
        <f>SUMIF('Как будет'!$A$82:$A$89,Доп.расчеты!$A107,'Как будет'!AC$82:AC$89)</f>
        <v>0</v>
      </c>
      <c r="AC107">
        <f>SUMIF('Как будет'!$A$82:$A$89,Доп.расчеты!$A107,'Как будет'!AD$82:AD$89)</f>
        <v>0</v>
      </c>
      <c r="AD107">
        <f>SUMIF('Как будет'!$A$82:$A$89,Доп.расчеты!$A107,'Как будет'!AE$82:AE$89)</f>
        <v>0</v>
      </c>
      <c r="AE107">
        <f>SUMIF('Как будет'!$A$82:$A$89,Доп.расчеты!$A107,'Как будет'!AF$82:AF$89)</f>
        <v>0</v>
      </c>
      <c r="AF107">
        <f>SUMIF('Как будет'!$A$82:$A$89,Доп.расчеты!$A107,'Как будет'!AG$82:AG$89)</f>
        <v>0</v>
      </c>
      <c r="AG107">
        <f>SUMIF('Как будет'!$A$82:$A$89,Доп.расчеты!$A107,'Как будет'!AH$82:AH$89)</f>
        <v>0</v>
      </c>
      <c r="AH107">
        <f>SUMIF('Как будет'!$A$82:$A$89,Доп.расчеты!$A107,'Как будет'!AI$82:AI$89)</f>
        <v>0</v>
      </c>
      <c r="AI107">
        <f>SUMIF('Как будет'!$A$82:$A$89,Доп.расчеты!$A107,'Как будет'!AJ$82:AJ$89)</f>
        <v>0</v>
      </c>
      <c r="AJ107">
        <f>SUMIF('Как будет'!$A$82:$A$89,Доп.расчеты!$A107,'Как будет'!AK$82:AK$89)</f>
        <v>0</v>
      </c>
      <c r="AK107">
        <f>SUMIF('Как будет'!$A$82:$A$89,Доп.расчеты!$A107,'Как будет'!AL$82:AL$89)</f>
        <v>0</v>
      </c>
      <c r="AL107">
        <f>SUMIF('Как будет'!$A$82:$A$89,Доп.расчеты!$A107,'Как будет'!AM$82:AM$89)</f>
        <v>0</v>
      </c>
      <c r="AM107">
        <f>SUMIF('Как будет'!$A$82:$A$89,Доп.расчеты!$A107,'Как будет'!AN$82:AN$89)</f>
        <v>0</v>
      </c>
      <c r="AN107">
        <f>SUMIF('Как будет'!$A$82:$A$89,Доп.расчеты!$A107,'Как будет'!AO$82:AO$89)</f>
        <v>0</v>
      </c>
      <c r="AO107">
        <f>SUMIF('Как будет'!$A$82:$A$89,Доп.расчеты!$A107,'Как будет'!AP$82:AP$89)</f>
        <v>0</v>
      </c>
      <c r="AP107">
        <f>SUMIF('Как будет'!$A$82:$A$89,Доп.расчеты!$A107,'Как будет'!AQ$82:AQ$89)</f>
        <v>0</v>
      </c>
      <c r="AQ107">
        <f>SUMIF('Как будет'!$A$82:$A$89,Доп.расчеты!$A107,'Как будет'!AR$82:AR$89)</f>
        <v>0</v>
      </c>
      <c r="AR107">
        <f>SUMIF('Как будет'!$A$82:$A$89,Доп.расчеты!$A107,'Как будет'!AS$82:AS$89)</f>
        <v>0</v>
      </c>
      <c r="AS107">
        <f>SUMIF('Как будет'!$A$82:$A$89,Доп.расчеты!$A107,'Как будет'!AT$82:AT$89)</f>
        <v>0</v>
      </c>
      <c r="AT107">
        <f>SUMIF('Как будет'!$A$82:$A$89,Доп.расчеты!$A107,'Как будет'!AU$82:AU$89)</f>
        <v>0</v>
      </c>
      <c r="AU107">
        <f>SUMIF('Как будет'!$A$82:$A$89,Доп.расчеты!$A107,'Как будет'!AV$82:AV$89)</f>
        <v>0</v>
      </c>
      <c r="AV107">
        <f>SUMIF('Как будет'!$A$82:$A$89,Доп.расчеты!$A107,'Как будет'!AW$82:AW$89)</f>
        <v>0</v>
      </c>
      <c r="AW107">
        <f>SUMIF('Как будет'!$A$82:$A$89,Доп.расчеты!$A107,'Как будет'!AX$82:AX$89)</f>
        <v>0</v>
      </c>
      <c r="AX107">
        <f>SUMIF('Как будет'!$A$82:$A$89,Доп.расчеты!$A107,'Как будет'!AY$82:AY$89)</f>
        <v>0</v>
      </c>
      <c r="AY107">
        <f>SUMIF('Как будет'!$A$82:$A$89,Доп.расчеты!$A107,'Как будет'!AZ$82:AZ$89)</f>
        <v>0</v>
      </c>
      <c r="AZ107">
        <f>SUMIF('Как будет'!$A$82:$A$89,Доп.расчеты!$A107,'Как будет'!BA$82:BA$89)</f>
        <v>0</v>
      </c>
      <c r="BA107">
        <f>SUMIF('Как будет'!$A$82:$A$89,Доп.расчеты!$A107,'Как будет'!BB$82:BB$89)</f>
        <v>0</v>
      </c>
      <c r="BB107">
        <f>SUMIF('Как будет'!$A$82:$A$89,Доп.расчеты!$A107,'Как будет'!BC$82:BC$89)</f>
        <v>0</v>
      </c>
      <c r="BC107">
        <f>SUMIF('Как будет'!$A$82:$A$89,Доп.расчеты!$A107,'Как будет'!BD$82:BD$89)</f>
        <v>0</v>
      </c>
      <c r="BD107">
        <f>SUMIF('Как будет'!$A$82:$A$89,Доп.расчеты!$A107,'Как будет'!BE$82:BE$89)</f>
        <v>0</v>
      </c>
      <c r="BE107">
        <f>SUMIF('Как будет'!$A$82:$A$89,Доп.расчеты!$A107,'Как будет'!BF$82:BF$89)</f>
        <v>0</v>
      </c>
      <c r="BF107">
        <f>SUMIF('Как будет'!$A$82:$A$89,Доп.расчеты!$A107,'Как будет'!BG$82:BG$89)</f>
        <v>0</v>
      </c>
      <c r="BG107">
        <f>SUMIF('Как будет'!$A$82:$A$89,Доп.расчеты!$A107,'Как будет'!BH$82:BH$89)</f>
        <v>0</v>
      </c>
      <c r="BH107">
        <f>SUMIF('Как будет'!$A$82:$A$89,Доп.расчеты!$A107,'Как будет'!BI$82:BI$89)</f>
        <v>0</v>
      </c>
      <c r="BI107">
        <f>SUMIF('Как будет'!$A$82:$A$89,Доп.расчеты!$A107,'Как будет'!BJ$82:BJ$89)</f>
        <v>0</v>
      </c>
      <c r="BJ107">
        <f>SUMIF('Как будет'!$A$82:$A$89,Доп.расчеты!$A107,'Как будет'!BK$82:BK$89)</f>
        <v>0</v>
      </c>
      <c r="BK107">
        <f>SUMIF('Как будет'!$A$82:$A$89,Доп.расчеты!$A107,'Как будет'!BL$82:BL$89)</f>
        <v>0</v>
      </c>
      <c r="BL107">
        <f>SUMIF('Как будет'!$A$82:$A$89,Доп.расчеты!$A107,'Как будет'!BM$82:BM$89)</f>
        <v>0</v>
      </c>
      <c r="BM107">
        <f>SUMIF('Как будет'!$A$82:$A$89,Доп.расчеты!$A107,'Как будет'!BN$82:BN$89)</f>
        <v>0</v>
      </c>
      <c r="BN107">
        <f>SUMIF('Как будет'!$A$82:$A$89,Доп.расчеты!$A107,'Как будет'!BO$82:BO$89)</f>
        <v>0</v>
      </c>
      <c r="BO107">
        <f>SUMIF('Как будет'!$A$82:$A$89,Доп.расчеты!$A107,'Как будет'!BP$82:BP$89)</f>
        <v>0</v>
      </c>
      <c r="BP107">
        <f>SUMIF('Как будет'!$A$82:$A$89,Доп.расчеты!$A107,'Как будет'!BQ$82:BQ$89)</f>
        <v>0</v>
      </c>
      <c r="BQ107">
        <f>SUMIF('Как будет'!$A$82:$A$89,Доп.расчеты!$A107,'Как будет'!BR$82:BR$89)</f>
        <v>0</v>
      </c>
      <c r="BR107">
        <f>SUMIF('Как будет'!$A$82:$A$89,Доп.расчеты!$A107,'Как будет'!BS$82:BS$89)</f>
        <v>0</v>
      </c>
      <c r="BS107">
        <f>SUMIF('Как будет'!$A$82:$A$89,Доп.расчеты!$A107,'Как будет'!BT$82:BT$89)</f>
        <v>0</v>
      </c>
      <c r="BT107">
        <f>SUMIF('Как будет'!$A$82:$A$89,Доп.расчеты!$A107,'Как будет'!BU$82:BU$89)</f>
        <v>0</v>
      </c>
      <c r="BU107">
        <f>SUMIF('Как будет'!$A$82:$A$89,Доп.расчеты!$A107,'Как будет'!BV$82:BV$89)</f>
        <v>0</v>
      </c>
      <c r="BV107">
        <f>SUMIF('Как будет'!$A$82:$A$89,Доп.расчеты!$A107,'Как будет'!BW$82:BW$89)</f>
        <v>0</v>
      </c>
      <c r="BW107">
        <f>SUMIF('Как будет'!$A$82:$A$89,Доп.расчеты!$A107,'Как будет'!BX$82:BX$89)</f>
        <v>0</v>
      </c>
      <c r="BX107">
        <f>SUMIF('Как будет'!$A$82:$A$89,Доп.расчеты!$A107,'Как будет'!BY$82:BY$89)</f>
        <v>0</v>
      </c>
      <c r="BY107">
        <f>SUMIF('Как будет'!$A$82:$A$89,Доп.расчеты!$A107,'Как будет'!BZ$82:BZ$89)</f>
        <v>0</v>
      </c>
      <c r="BZ107">
        <f>SUMIF('Как будет'!$A$82:$A$89,Доп.расчеты!$A107,'Как будет'!CA$82:CA$89)</f>
        <v>0</v>
      </c>
      <c r="CA107">
        <f>SUMIF('Как будет'!$A$82:$A$89,Доп.расчеты!$A107,'Как будет'!CB$82:CB$89)</f>
        <v>0</v>
      </c>
      <c r="CB107">
        <f>SUMIF('Как будет'!$A$82:$A$89,Доп.расчеты!$A107,'Как будет'!CC$82:CC$89)</f>
        <v>0</v>
      </c>
      <c r="CC107">
        <f>SUMIF('Как будет'!$A$82:$A$89,Доп.расчеты!$A107,'Как будет'!CD$82:CD$89)</f>
        <v>0</v>
      </c>
      <c r="CD107">
        <f>SUMIF('Как будет'!$A$82:$A$89,Доп.расчеты!$A107,'Как будет'!CE$82:CE$89)</f>
        <v>0</v>
      </c>
      <c r="CE107">
        <f>SUMIF('Как будет'!$A$82:$A$89,Доп.расчеты!$A107,'Как будет'!CF$82:CF$89)</f>
        <v>0</v>
      </c>
      <c r="CF107">
        <f>SUMIF('Как будет'!$A$82:$A$89,Доп.расчеты!$A107,'Как будет'!CG$82:CG$89)</f>
        <v>0</v>
      </c>
      <c r="CG107">
        <f>SUMIF('Как будет'!$A$82:$A$89,Доп.расчеты!$A107,'Как будет'!CH$82:CH$89)</f>
        <v>0</v>
      </c>
      <c r="CH107">
        <f>SUMIF('Как будет'!$A$82:$A$89,Доп.расчеты!$A107,'Как будет'!CI$82:CI$89)</f>
        <v>0</v>
      </c>
      <c r="CI107">
        <f>SUMIF('Как будет'!$A$82:$A$89,Доп.расчеты!$A107,'Как будет'!CJ$82:CJ$89)</f>
        <v>0</v>
      </c>
      <c r="CJ107">
        <f>SUMIF('Как будет'!$A$82:$A$89,Доп.расчеты!$A107,'Как будет'!CK$82:CK$89)</f>
        <v>0</v>
      </c>
      <c r="CK107">
        <f>SUMIF('Как будет'!$A$82:$A$89,Доп.расчеты!$A107,'Как будет'!CL$82:CL$89)</f>
        <v>0</v>
      </c>
      <c r="CL107">
        <f>SUMIF('Как будет'!$A$82:$A$89,Доп.расчеты!$A107,'Как будет'!CM$82:CM$89)</f>
        <v>0</v>
      </c>
      <c r="CM107">
        <f>SUMIF('Как будет'!$A$82:$A$89,Доп.расчеты!$A107,'Как будет'!CN$82:CN$89)</f>
        <v>0</v>
      </c>
      <c r="CN107">
        <f>SUMIF('Как будет'!$A$82:$A$89,Доп.расчеты!$A107,'Как будет'!CO$82:CO$89)</f>
        <v>0</v>
      </c>
      <c r="CO107">
        <f>SUMIF('Как будет'!$A$82:$A$89,Доп.расчеты!$A107,'Как будет'!CP$82:CP$89)</f>
        <v>0</v>
      </c>
      <c r="CP107">
        <f>SUMIF('Как будет'!$A$82:$A$89,Доп.расчеты!$A107,'Как будет'!CQ$82:CQ$89)</f>
        <v>0</v>
      </c>
      <c r="CQ107">
        <f>SUMIF('Как будет'!$A$82:$A$89,Доп.расчеты!$A107,'Как будет'!CR$82:CR$89)</f>
        <v>0</v>
      </c>
      <c r="CR107">
        <f>SUMIF('Как будет'!$A$82:$A$89,Доп.расчеты!$A107,'Как будет'!CS$82:CS$89)</f>
        <v>0</v>
      </c>
      <c r="CS107">
        <f>SUMIF('Как будет'!$A$82:$A$89,Доп.расчеты!$A107,'Как будет'!CT$82:CT$89)</f>
        <v>0</v>
      </c>
      <c r="CT107">
        <f>SUMIF('Как будет'!$A$82:$A$89,Доп.расчеты!$A107,'Как будет'!CU$82:CU$89)</f>
        <v>0</v>
      </c>
      <c r="CU107">
        <f>SUMIF('Как будет'!$A$82:$A$89,Доп.расчеты!$A107,'Как будет'!CV$82:CV$89)</f>
        <v>0</v>
      </c>
      <c r="CV107">
        <f>SUMIF('Как будет'!$A$82:$A$89,Доп.расчеты!$A107,'Как будет'!CW$82:CW$89)</f>
        <v>0</v>
      </c>
      <c r="CW107">
        <f>SUMIF('Как будет'!$A$82:$A$89,Доп.расчеты!$A107,'Как будет'!CX$82:CX$89)</f>
        <v>0</v>
      </c>
      <c r="CX107">
        <f>SUMIF('Как будет'!$A$82:$A$89,Доп.расчеты!$A107,'Как будет'!CY$82:CY$89)</f>
        <v>0</v>
      </c>
      <c r="CY107">
        <f>SUMIF('Как будет'!$A$82:$A$89,Доп.расчеты!$A107,'Как будет'!CZ$82:CZ$89)</f>
        <v>0</v>
      </c>
      <c r="CZ107">
        <f>SUMIF('Как будет'!$A$82:$A$89,Доп.расчеты!$A107,'Как будет'!DA$82:DA$89)</f>
        <v>0</v>
      </c>
      <c r="DA107">
        <f>SUMIF('Как будет'!$A$82:$A$89,Доп.расчеты!$A107,'Как будет'!DB$82:DB$89)</f>
        <v>0</v>
      </c>
      <c r="DB107">
        <f>SUMIF('Как будет'!$A$82:$A$89,Доп.расчеты!$A107,'Как будет'!DC$82:DC$89)</f>
        <v>0</v>
      </c>
      <c r="DC107">
        <f>SUMIF('Как будет'!$A$82:$A$89,Доп.расчеты!$A107,'Как будет'!DD$82:DD$89)</f>
        <v>0</v>
      </c>
      <c r="DD107">
        <f>SUMIF('Как будет'!$A$82:$A$89,Доп.расчеты!$A107,'Как будет'!DE$82:DE$89)</f>
        <v>0</v>
      </c>
      <c r="DE107">
        <f>SUMIF('Как будет'!$A$82:$A$89,Доп.расчеты!$A107,'Как будет'!DF$82:DF$89)</f>
        <v>0</v>
      </c>
      <c r="DF107">
        <f>SUMIF('Как будет'!$A$82:$A$89,Доп.расчеты!$A107,'Как будет'!DG$82:DG$89)</f>
        <v>0</v>
      </c>
      <c r="DG107">
        <f>SUMIF('Как будет'!$A$82:$A$89,Доп.расчеты!$A107,'Как будет'!DH$82:DH$89)</f>
        <v>0</v>
      </c>
      <c r="DH107">
        <f>SUMIF('Как будет'!$A$82:$A$89,Доп.расчеты!$A107,'Как будет'!DI$82:DI$89)</f>
        <v>0</v>
      </c>
      <c r="DI107">
        <f>SUMIF('Как будет'!$A$82:$A$89,Доп.расчеты!$A107,'Как будет'!DJ$82:DJ$89)</f>
        <v>0</v>
      </c>
      <c r="DJ107">
        <f>SUMIF('Как будет'!$A$82:$A$89,Доп.расчеты!$A107,'Как будет'!DK$82:DK$89)</f>
        <v>0</v>
      </c>
      <c r="DK107">
        <f>SUMIF('Как будет'!$A$82:$A$89,Доп.расчеты!$A107,'Как будет'!DL$82:DL$89)</f>
        <v>0</v>
      </c>
      <c r="DL107">
        <f>SUMIF('Как будет'!$A$82:$A$89,Доп.расчеты!$A107,'Как будет'!DM$82:DM$89)</f>
        <v>0</v>
      </c>
      <c r="DM107">
        <f>SUMIF('Как будет'!$A$82:$A$89,Доп.расчеты!$A107,'Как будет'!DN$82:DN$89)</f>
        <v>0</v>
      </c>
      <c r="DN107">
        <f>SUMIF('Как будет'!$A$82:$A$89,Доп.расчеты!$A107,'Как будет'!DO$82:DO$89)</f>
        <v>0</v>
      </c>
      <c r="DO107">
        <f>SUMIF('Как будет'!$A$82:$A$89,Доп.расчеты!$A107,'Как будет'!DP$82:DP$89)</f>
        <v>0</v>
      </c>
      <c r="DP107">
        <f>SUMIF('Как будет'!$A$82:$A$89,Доп.расчеты!$A107,'Как будет'!DQ$82:DQ$89)</f>
        <v>0</v>
      </c>
      <c r="DQ107">
        <f>SUMIF('Как будет'!$A$82:$A$89,Доп.расчеты!$A107,'Как будет'!DR$82:DR$89)</f>
        <v>0</v>
      </c>
      <c r="DR107">
        <f>SUMIF('Как будет'!$A$82:$A$89,Доп.расчеты!$A107,'Как будет'!DS$82:DS$89)</f>
        <v>0</v>
      </c>
      <c r="DS107">
        <f>SUMIF('Как будет'!$A$82:$A$89,Доп.расчеты!$A107,'Как будет'!DT$82:DT$89)</f>
        <v>0</v>
      </c>
      <c r="DT107">
        <f>SUMIF('Как будет'!$A$82:$A$89,Доп.расчеты!$A107,'Как будет'!DU$82:DU$89)</f>
        <v>0</v>
      </c>
      <c r="DU107">
        <f>SUMIF('Как будет'!$A$82:$A$89,Доп.расчеты!$A107,'Как будет'!DV$82:DV$89)</f>
        <v>0</v>
      </c>
      <c r="DV107">
        <f>SUMIF('Как будет'!$A$82:$A$89,Доп.расчеты!$A107,'Как будет'!DW$82:DW$89)</f>
        <v>0</v>
      </c>
      <c r="DW107">
        <f>SUMIF('Как будет'!$A$82:$A$89,Доп.расчеты!$A107,'Как будет'!DX$82:DX$89)</f>
        <v>0</v>
      </c>
      <c r="DX107">
        <f>SUMIF('Как будет'!$A$82:$A$89,Доп.расчеты!$A107,'Как будет'!DY$82:DY$89)</f>
        <v>0</v>
      </c>
      <c r="DY107">
        <f>SUMIF('Как будет'!$A$82:$A$89,Доп.расчеты!$A107,'Как будет'!DZ$82:DZ$89)</f>
        <v>0</v>
      </c>
      <c r="DZ107">
        <f>SUMIF('Как будет'!$A$82:$A$89,Доп.расчеты!$A107,'Как будет'!EA$82:EA$89)</f>
        <v>0</v>
      </c>
      <c r="EA107">
        <f>SUMIF('Как будет'!$A$82:$A$89,Доп.расчеты!$A107,'Как будет'!EB$82:EB$89)</f>
        <v>0</v>
      </c>
      <c r="EB107">
        <f>SUMIF('Как будет'!$A$82:$A$89,Доп.расчеты!$A107,'Как будет'!EC$82:EC$89)</f>
        <v>0</v>
      </c>
      <c r="EC107">
        <f>SUMIF('Как будет'!$A$82:$A$89,Доп.расчеты!$A107,'Как будет'!ED$82:ED$89)</f>
        <v>0</v>
      </c>
      <c r="ED107">
        <f>SUMIF('Как будет'!$A$82:$A$89,Доп.расчеты!$A107,'Как будет'!EE$82:EE$89)</f>
        <v>0</v>
      </c>
      <c r="EE107">
        <f>SUMIF('Как будет'!$A$82:$A$89,Доп.расчеты!$A107,'Как будет'!EF$82:EF$89)</f>
        <v>0</v>
      </c>
      <c r="EF107">
        <f>SUMIF('Как будет'!$A$82:$A$89,Доп.расчеты!$A107,'Как будет'!EG$82:EG$89)</f>
        <v>0</v>
      </c>
      <c r="EG107">
        <f>SUMIF('Как будет'!$A$82:$A$89,Доп.расчеты!$A107,'Как будет'!EH$82:EH$89)</f>
        <v>0</v>
      </c>
      <c r="EH107">
        <f>SUMIF('Как будет'!$A$82:$A$89,Доп.расчеты!$A107,'Как будет'!EI$82:EI$89)</f>
        <v>0</v>
      </c>
      <c r="EI107">
        <f>SUMIF('Как будет'!$A$82:$A$89,Доп.расчеты!$A107,'Как будет'!EJ$82:EJ$89)</f>
        <v>0</v>
      </c>
      <c r="EJ107">
        <f>SUMIF('Как будет'!$A$82:$A$89,Доп.расчеты!$A107,'Как будет'!EK$82:EK$89)</f>
        <v>0</v>
      </c>
      <c r="EK107">
        <f>SUMIF('Как будет'!$A$82:$A$89,Доп.расчеты!$A107,'Как будет'!EL$82:EL$89)</f>
        <v>0</v>
      </c>
      <c r="EL107">
        <f>SUMIF('Как будет'!$A$82:$A$89,Доп.расчеты!$A107,'Как будет'!EM$82:EM$89)</f>
        <v>0</v>
      </c>
      <c r="EM107">
        <f>SUMIF('Как будет'!$A$82:$A$89,Доп.расчеты!$A107,'Как будет'!EN$82:EN$89)</f>
        <v>0</v>
      </c>
      <c r="EN107">
        <f>SUMIF('Как будет'!$A$82:$A$89,Доп.расчеты!$A107,'Как будет'!EO$82:EO$89)</f>
        <v>0</v>
      </c>
      <c r="EO107">
        <f>SUMIF('Как будет'!$A$82:$A$89,Доп.расчеты!$A107,'Как будет'!EP$82:EP$89)</f>
        <v>0</v>
      </c>
      <c r="EP107">
        <f>SUMIF('Как будет'!$A$82:$A$89,Доп.расчеты!$A107,'Как будет'!EQ$82:EQ$89)</f>
        <v>0</v>
      </c>
      <c r="EQ107">
        <f>SUMIF('Как будет'!$A$82:$A$89,Доп.расчеты!$A107,'Как будет'!ER$82:ER$89)</f>
        <v>0</v>
      </c>
      <c r="ER107">
        <f>SUMIF('Как будет'!$A$82:$A$89,Доп.расчеты!$A107,'Как будет'!ES$82:ES$89)</f>
        <v>0</v>
      </c>
      <c r="ES107">
        <f>SUMIF('Как будет'!$A$82:$A$89,Доп.расчеты!$A107,'Как будет'!ET$82:ET$89)</f>
        <v>0</v>
      </c>
      <c r="ET107">
        <f>SUMIF('Как будет'!$A$82:$A$89,Доп.расчеты!$A107,'Как будет'!EU$82:EU$89)</f>
        <v>0</v>
      </c>
      <c r="EU107">
        <f>SUMIF('Как будет'!$A$82:$A$89,Доп.расчеты!$A107,'Как будет'!EV$82:EV$89)</f>
        <v>0</v>
      </c>
      <c r="EV107">
        <f>SUMIF('Как будет'!$A$82:$A$89,Доп.расчеты!$A107,'Как будет'!EW$82:EW$89)</f>
        <v>0</v>
      </c>
      <c r="EW107">
        <f>SUMIF('Как будет'!$A$82:$A$89,Доп.расчеты!$A107,'Как будет'!EX$82:EX$89)</f>
        <v>0</v>
      </c>
      <c r="EX107">
        <f>SUMIF('Как будет'!$A$82:$A$89,Доп.расчеты!$A107,'Как будет'!EY$82:EY$89)</f>
        <v>0</v>
      </c>
      <c r="EY107">
        <f>SUMIF('Как будет'!$A$82:$A$89,Доп.расчеты!$A107,'Как будет'!EZ$82:EZ$89)</f>
        <v>0</v>
      </c>
      <c r="EZ107">
        <f>SUMIF('Как будет'!$A$82:$A$89,Доп.расчеты!$A107,'Как будет'!FA$82:FA$89)</f>
        <v>0</v>
      </c>
      <c r="FA107">
        <f>SUMIF('Как будет'!$A$82:$A$89,Доп.расчеты!$A107,'Как будет'!FB$82:FB$89)</f>
        <v>0</v>
      </c>
      <c r="FB107">
        <f>SUMIF('Как будет'!$A$82:$A$89,Доп.расчеты!$A107,'Как будет'!FC$82:FC$89)</f>
        <v>0</v>
      </c>
      <c r="FC107">
        <f>SUMIF('Как будет'!$A$82:$A$89,Доп.расчеты!$A107,'Как будет'!FD$82:FD$89)</f>
        <v>0</v>
      </c>
      <c r="FD107">
        <f>SUMIF('Как будет'!$A$82:$A$89,Доп.расчеты!$A107,'Как будет'!FE$82:FE$89)</f>
        <v>0</v>
      </c>
      <c r="FE107">
        <f>SUMIF('Как будет'!$A$82:$A$89,Доп.расчеты!$A107,'Как будет'!FF$82:FF$89)</f>
        <v>0</v>
      </c>
      <c r="FF107">
        <f>SUMIF('Как будет'!$A$82:$A$89,Доп.расчеты!$A107,'Как будет'!FG$82:FG$89)</f>
        <v>0</v>
      </c>
      <c r="FG107">
        <f>SUMIF('Как будет'!$A$82:$A$89,Доп.расчеты!$A107,'Как будет'!FH$82:FH$89)</f>
        <v>0</v>
      </c>
      <c r="FH107">
        <f>SUMIF('Как будет'!$A$82:$A$89,Доп.расчеты!$A107,'Как будет'!FI$82:FI$89)</f>
        <v>0</v>
      </c>
      <c r="FI107">
        <f>SUMIF('Как будет'!$A$82:$A$89,Доп.расчеты!$A107,'Как будет'!FJ$82:FJ$89)</f>
        <v>0</v>
      </c>
      <c r="FJ107">
        <f>SUMIF('Как будет'!$A$82:$A$89,Доп.расчеты!$A107,'Как будет'!FK$82:FK$89)</f>
        <v>0</v>
      </c>
      <c r="FK107">
        <f>SUMIF('Как будет'!$A$82:$A$89,Доп.расчеты!$A107,'Как будет'!FL$82:FL$89)</f>
        <v>0</v>
      </c>
      <c r="FL107">
        <f>SUMIF('Как будет'!$A$82:$A$89,Доп.расчеты!$A107,'Как будет'!FM$82:FM$89)</f>
        <v>0</v>
      </c>
      <c r="FM107">
        <f>SUMIF('Как будет'!$A$82:$A$89,Доп.расчеты!$A107,'Как будет'!FN$82:FN$89)</f>
        <v>0</v>
      </c>
      <c r="FN107">
        <f>SUMIF('Как будет'!$A$82:$A$89,Доп.расчеты!$A107,'Как будет'!FO$82:FO$89)</f>
        <v>0</v>
      </c>
      <c r="FO107">
        <f>SUMIF('Как будет'!$A$82:$A$89,Доп.расчеты!$A107,'Как будет'!FP$82:FP$89)</f>
        <v>0</v>
      </c>
      <c r="FP107">
        <f>SUMIF('Как будет'!$A$82:$A$89,Доп.расчеты!$A107,'Как будет'!FQ$82:FQ$89)</f>
        <v>0</v>
      </c>
      <c r="FQ107">
        <f>SUMIF('Как будет'!$A$82:$A$89,Доп.расчеты!$A107,'Как будет'!FR$82:FR$89)</f>
        <v>0</v>
      </c>
      <c r="FR107">
        <f>SUMIF('Как будет'!$A$82:$A$89,Доп.расчеты!$A107,'Как будет'!FS$82:FS$89)</f>
        <v>0</v>
      </c>
      <c r="FS107">
        <f>SUMIF('Как будет'!$A$82:$A$89,Доп.расчеты!$A107,'Как будет'!FT$82:FT$89)</f>
        <v>0</v>
      </c>
      <c r="FT107">
        <f>SUMIF('Как будет'!$A$82:$A$89,Доп.расчеты!$A107,'Как будет'!FU$82:FU$89)</f>
        <v>0</v>
      </c>
      <c r="FU107">
        <f>SUMIF('Как будет'!$A$82:$A$89,Доп.расчеты!$A107,'Как будет'!FV$82:FV$89)</f>
        <v>0</v>
      </c>
      <c r="FV107">
        <f>SUMIF('Как будет'!$A$82:$A$89,Доп.расчеты!$A107,'Как будет'!FW$82:FW$89)</f>
        <v>0</v>
      </c>
      <c r="FW107">
        <f>SUMIF('Как будет'!$A$82:$A$89,Доп.расчеты!$A107,'Как будет'!FX$82:FX$89)</f>
        <v>0</v>
      </c>
      <c r="FX107">
        <f>SUMIF('Как будет'!$A$82:$A$89,Доп.расчеты!$A107,'Как будет'!FY$82:FY$89)</f>
        <v>0</v>
      </c>
      <c r="FY107">
        <f>SUMIF('Как будет'!$A$82:$A$89,Доп.расчеты!$A107,'Как будет'!FZ$82:FZ$89)</f>
        <v>0</v>
      </c>
      <c r="FZ107">
        <f>SUMIF('Как будет'!$A$82:$A$89,Доп.расчеты!$A107,'Как будет'!GA$82:GA$89)</f>
        <v>0</v>
      </c>
      <c r="GA107">
        <f>SUMIF('Как будет'!$A$82:$A$89,Доп.расчеты!$A107,'Как будет'!GB$82:GB$89)</f>
        <v>0</v>
      </c>
      <c r="GB107">
        <f>SUMIF('Как будет'!$A$82:$A$89,Доп.расчеты!$A107,'Как будет'!GC$82:GC$89)</f>
        <v>0</v>
      </c>
      <c r="GC107">
        <f>SUMIF('Как будет'!$A$82:$A$89,Доп.расчеты!$A107,'Как будет'!GD$82:GD$89)</f>
        <v>0</v>
      </c>
      <c r="GD107">
        <f>SUMIF('Как будет'!$A$82:$A$89,Доп.расчеты!$A107,'Как будет'!GE$82:GE$89)</f>
        <v>0</v>
      </c>
      <c r="GE107">
        <f>SUMIF('Как будет'!$A$82:$A$89,Доп.расчеты!$A107,'Как будет'!GF$82:GF$89)</f>
        <v>0</v>
      </c>
      <c r="GF107">
        <f>SUMIF('Как будет'!$A$82:$A$89,Доп.расчеты!$A107,'Как будет'!GG$82:GG$89)</f>
        <v>0</v>
      </c>
      <c r="GG107">
        <f>SUMIF('Как будет'!$A$82:$A$89,Доп.расчеты!$A107,'Как будет'!GH$82:GH$89)</f>
        <v>0</v>
      </c>
      <c r="GH107">
        <f>SUMIF('Как будет'!$A$82:$A$89,Доп.расчеты!$A107,'Как будет'!GI$82:GI$89)</f>
        <v>0</v>
      </c>
      <c r="GI107">
        <f>SUMIF('Как будет'!$A$82:$A$89,Доп.расчеты!$A107,'Как будет'!GJ$82:GJ$89)</f>
        <v>0</v>
      </c>
      <c r="GJ107">
        <f>SUMIF('Как будет'!$A$82:$A$89,Доп.расчеты!$A107,'Как будет'!GK$82:GK$89)</f>
        <v>0</v>
      </c>
      <c r="GK107">
        <f>SUMIF('Как будет'!$A$82:$A$89,Доп.расчеты!$A107,'Как будет'!GL$82:GL$89)</f>
        <v>0</v>
      </c>
      <c r="GL107">
        <f>SUMIF('Как будет'!$A$82:$A$89,Доп.расчеты!$A107,'Как будет'!GM$82:GM$89)</f>
        <v>0</v>
      </c>
      <c r="GM107">
        <f>SUMIF('Как будет'!$A$82:$A$89,Доп.расчеты!$A107,'Как будет'!GN$82:GN$89)</f>
        <v>0</v>
      </c>
      <c r="GN107">
        <f>SUMIF('Как будет'!$A$82:$A$89,Доп.расчеты!$A107,'Как будет'!GO$82:GO$89)</f>
        <v>0</v>
      </c>
      <c r="GO107">
        <f>SUMIF('Как будет'!$A$82:$A$89,Доп.расчеты!$A107,'Как будет'!GP$82:GP$89)</f>
        <v>0</v>
      </c>
      <c r="GP107">
        <f>SUMIF('Как будет'!$A$82:$A$89,Доп.расчеты!$A107,'Как будет'!GQ$82:GQ$89)</f>
        <v>0</v>
      </c>
      <c r="GQ107">
        <f>SUMIF('Как будет'!$A$82:$A$89,Доп.расчеты!$A107,'Как будет'!GR$82:GR$89)</f>
        <v>0</v>
      </c>
      <c r="GR107">
        <f>SUMIF('Как будет'!$A$82:$A$89,Доп.расчеты!$A107,'Как будет'!GS$82:GS$89)</f>
        <v>0</v>
      </c>
      <c r="GS107">
        <f>SUMIF('Как будет'!$A$82:$A$89,Доп.расчеты!$A107,'Как будет'!GT$82:GT$89)</f>
        <v>0</v>
      </c>
      <c r="GT107">
        <f>SUMIF('Как будет'!$A$82:$A$89,Доп.расчеты!$A107,'Как будет'!GU$82:GU$89)</f>
        <v>0</v>
      </c>
    </row>
    <row r="108" spans="1:202" hidden="1" outlineLevel="1">
      <c r="A108" s="57" t="s">
        <v>135</v>
      </c>
    </row>
    <row r="109" spans="1:202" hidden="1" outlineLevel="1">
      <c r="A109" s="57" t="s">
        <v>250</v>
      </c>
    </row>
    <row r="110" spans="1:202" hidden="1" outlineLevel="1">
      <c r="A110" s="238" t="s">
        <v>88</v>
      </c>
      <c r="B110">
        <f>SUMIF('Как есть'!$A$17:$A$25,Доп.расчеты!$A110,'Как есть'!C$17:C$25)</f>
        <v>0</v>
      </c>
      <c r="C110">
        <f>SUMIF('Как есть'!$A$17:$A$25,Доп.расчеты!$A110,'Как есть'!D$17:D$25)</f>
        <v>0</v>
      </c>
      <c r="D110">
        <f>SUMIF('Как есть'!$A$17:$A$25,Доп.расчеты!$A110,'Как есть'!E$17:E$25)</f>
        <v>0</v>
      </c>
      <c r="E110">
        <f>SUMIF('Как есть'!$A$17:$A$25,Доп.расчеты!$A110,'Как есть'!F$17:F$25)</f>
        <v>0</v>
      </c>
      <c r="F110">
        <f>SUMIF('Как есть'!$A$17:$A$25,Доп.расчеты!$A110,'Как есть'!G$17:G$25)</f>
        <v>0</v>
      </c>
      <c r="G110">
        <f>SUMIF('Как есть'!$A$17:$A$25,Доп.расчеты!$A110,'Как есть'!H$17:H$25)</f>
        <v>0</v>
      </c>
      <c r="H110">
        <f>SUMIF('Как есть'!$A$17:$A$25,Доп.расчеты!$A110,'Как есть'!I$17:I$25)</f>
        <v>0</v>
      </c>
      <c r="I110">
        <f>SUMIF('Как есть'!$A$17:$A$25,Доп.расчеты!$A110,'Как есть'!J$17:J$25)</f>
        <v>0</v>
      </c>
      <c r="J110">
        <f>SUMIF('Как есть'!$A$17:$A$25,Доп.расчеты!$A110,'Как есть'!K$17:K$25)</f>
        <v>0</v>
      </c>
      <c r="K110">
        <f>SUMIF('Как есть'!$A$17:$A$25,Доп.расчеты!$A110,'Как есть'!L$17:L$25)</f>
        <v>0</v>
      </c>
      <c r="L110">
        <f>SUMIF('Как есть'!$A$17:$A$25,Доп.расчеты!$A110,'Как есть'!M$17:M$25)</f>
        <v>0</v>
      </c>
      <c r="M110">
        <f>SUMIF('Как есть'!$A$17:$A$25,Доп.расчеты!$A110,'Как есть'!N$17:N$25)</f>
        <v>0</v>
      </c>
      <c r="N110">
        <f>SUMIF('Как есть'!$A$17:$A$25,Доп.расчеты!$A110,'Как есть'!O$17:O$25)</f>
        <v>0</v>
      </c>
      <c r="O110">
        <f>SUMIF('Как есть'!$A$17:$A$25,Доп.расчеты!$A110,'Как есть'!P$17:P$25)</f>
        <v>0</v>
      </c>
      <c r="P110">
        <f>SUMIF('Как есть'!$A$17:$A$25,Доп.расчеты!$A110,'Как есть'!Q$17:Q$25)</f>
        <v>0</v>
      </c>
      <c r="Q110">
        <f>SUMIF('Как есть'!$A$17:$A$25,Доп.расчеты!$A110,'Как есть'!R$17:R$25)</f>
        <v>0</v>
      </c>
      <c r="R110">
        <f>SUMIF('Как есть'!$A$17:$A$25,Доп.расчеты!$A110,'Как есть'!S$17:S$25)</f>
        <v>0</v>
      </c>
      <c r="S110">
        <f>SUMIF('Как есть'!$A$17:$A$25,Доп.расчеты!$A110,'Как есть'!T$17:T$25)</f>
        <v>0</v>
      </c>
      <c r="T110">
        <f>SUMIF('Как есть'!$A$17:$A$25,Доп.расчеты!$A110,'Как есть'!U$17:U$25)</f>
        <v>0</v>
      </c>
      <c r="U110">
        <f>SUMIF('Как есть'!$A$17:$A$25,Доп.расчеты!$A110,'Как есть'!V$17:V$25)</f>
        <v>0</v>
      </c>
      <c r="V110">
        <f>SUMIF('Как есть'!$A$17:$A$25,Доп.расчеты!$A110,'Как есть'!W$17:W$25)</f>
        <v>0</v>
      </c>
      <c r="W110">
        <f>SUMIF('Как есть'!$A$17:$A$25,Доп.расчеты!$A110,'Как есть'!X$17:X$25)</f>
        <v>0</v>
      </c>
      <c r="X110">
        <f>SUMIF('Как есть'!$A$17:$A$25,Доп.расчеты!$A110,'Как есть'!Y$17:Y$25)</f>
        <v>0</v>
      </c>
      <c r="Y110">
        <f>SUMIF('Как есть'!$A$17:$A$25,Доп.расчеты!$A110,'Как есть'!Z$17:Z$25)</f>
        <v>0</v>
      </c>
      <c r="Z110">
        <f>SUMIF('Как есть'!$A$17:$A$25,Доп.расчеты!$A110,'Как есть'!AA$17:AA$25)</f>
        <v>0</v>
      </c>
      <c r="AA110">
        <f>SUMIF('Как есть'!$A$17:$A$25,Доп.расчеты!$A110,'Как есть'!AB$17:AB$25)</f>
        <v>0</v>
      </c>
      <c r="AB110">
        <f>SUMIF('Как есть'!$A$17:$A$25,Доп.расчеты!$A110,'Как есть'!AC$17:AC$25)</f>
        <v>0</v>
      </c>
      <c r="AC110">
        <f>SUMIF('Как есть'!$A$17:$A$25,Доп.расчеты!$A110,'Как есть'!AD$17:AD$25)</f>
        <v>0</v>
      </c>
      <c r="AD110">
        <f>SUMIF('Как есть'!$A$17:$A$25,Доп.расчеты!$A110,'Как есть'!AE$17:AE$25)</f>
        <v>0</v>
      </c>
      <c r="AE110">
        <f>SUMIF('Как есть'!$A$17:$A$25,Доп.расчеты!$A110,'Как есть'!AF$17:AF$25)</f>
        <v>0</v>
      </c>
      <c r="AF110">
        <f>SUMIF('Как есть'!$A$17:$A$25,Доп.расчеты!$A110,'Как есть'!AG$17:AG$25)</f>
        <v>0</v>
      </c>
      <c r="AG110">
        <f>SUMIF('Как есть'!$A$17:$A$25,Доп.расчеты!$A110,'Как есть'!AH$17:AH$25)</f>
        <v>0</v>
      </c>
      <c r="AH110">
        <f>SUMIF('Как есть'!$A$17:$A$25,Доп.расчеты!$A110,'Как есть'!AI$17:AI$25)</f>
        <v>0</v>
      </c>
      <c r="AI110">
        <f>SUMIF('Как есть'!$A$17:$A$25,Доп.расчеты!$A110,'Как есть'!AJ$17:AJ$25)</f>
        <v>0</v>
      </c>
      <c r="AJ110">
        <f>SUMIF('Как есть'!$A$17:$A$25,Доп.расчеты!$A110,'Как есть'!AK$17:AK$25)</f>
        <v>0</v>
      </c>
      <c r="AK110">
        <f>SUMIF('Как есть'!$A$17:$A$25,Доп.расчеты!$A110,'Как есть'!AL$17:AL$25)</f>
        <v>0</v>
      </c>
      <c r="AL110">
        <f>SUMIF('Как есть'!$A$17:$A$25,Доп.расчеты!$A110,'Как есть'!AM$17:AM$25)</f>
        <v>0</v>
      </c>
      <c r="AM110">
        <f>SUMIF('Как есть'!$A$17:$A$25,Доп.расчеты!$A110,'Как есть'!AN$17:AN$25)</f>
        <v>0</v>
      </c>
      <c r="AN110">
        <f>SUMIF('Как есть'!$A$17:$A$25,Доп.расчеты!$A110,'Как есть'!AO$17:AO$25)</f>
        <v>0</v>
      </c>
      <c r="AO110">
        <f>SUMIF('Как есть'!$A$17:$A$25,Доп.расчеты!$A110,'Как есть'!AP$17:AP$25)</f>
        <v>0</v>
      </c>
      <c r="AP110">
        <f>SUMIF('Как есть'!$A$17:$A$25,Доп.расчеты!$A110,'Как есть'!AQ$17:AQ$25)</f>
        <v>0</v>
      </c>
      <c r="AQ110">
        <f>SUMIF('Как есть'!$A$17:$A$25,Доп.расчеты!$A110,'Как есть'!AR$17:AR$25)</f>
        <v>0</v>
      </c>
      <c r="AR110">
        <f>SUMIF('Как есть'!$A$17:$A$25,Доп.расчеты!$A110,'Как есть'!AS$17:AS$25)</f>
        <v>0</v>
      </c>
      <c r="AS110">
        <f>SUMIF('Как есть'!$A$17:$A$25,Доп.расчеты!$A110,'Как есть'!AT$17:AT$25)</f>
        <v>0</v>
      </c>
      <c r="AT110">
        <f>SUMIF('Как есть'!$A$17:$A$25,Доп.расчеты!$A110,'Как есть'!AU$17:AU$25)</f>
        <v>0</v>
      </c>
      <c r="AU110">
        <f>SUMIF('Как есть'!$A$17:$A$25,Доп.расчеты!$A110,'Как есть'!AV$17:AV$25)</f>
        <v>0</v>
      </c>
      <c r="AV110">
        <f>SUMIF('Как есть'!$A$17:$A$25,Доп.расчеты!$A110,'Как есть'!AW$17:AW$25)</f>
        <v>0</v>
      </c>
      <c r="AW110">
        <f>SUMIF('Как есть'!$A$17:$A$25,Доп.расчеты!$A110,'Как есть'!AX$17:AX$25)</f>
        <v>0</v>
      </c>
      <c r="AX110">
        <f>SUMIF('Как есть'!$A$17:$A$25,Доп.расчеты!$A110,'Как есть'!AY$17:AY$25)</f>
        <v>0</v>
      </c>
      <c r="AY110">
        <f>SUMIF('Как есть'!$A$17:$A$25,Доп.расчеты!$A110,'Как есть'!AZ$17:AZ$25)</f>
        <v>0</v>
      </c>
      <c r="AZ110">
        <f>SUMIF('Как есть'!$A$17:$A$25,Доп.расчеты!$A110,'Как есть'!BA$17:BA$25)</f>
        <v>0</v>
      </c>
      <c r="BA110">
        <f>SUMIF('Как есть'!$A$17:$A$25,Доп.расчеты!$A110,'Как есть'!BB$17:BB$25)</f>
        <v>0</v>
      </c>
      <c r="BB110">
        <f>SUMIF('Как есть'!$A$17:$A$25,Доп.расчеты!$A110,'Как есть'!BC$17:BC$25)</f>
        <v>0</v>
      </c>
      <c r="BC110">
        <f>SUMIF('Как есть'!$A$17:$A$25,Доп.расчеты!$A110,'Как есть'!BD$17:BD$25)</f>
        <v>0</v>
      </c>
      <c r="BD110">
        <f>SUMIF('Как есть'!$A$17:$A$25,Доп.расчеты!$A110,'Как есть'!BE$17:BE$25)</f>
        <v>0</v>
      </c>
      <c r="BE110">
        <f>SUMIF('Как есть'!$A$17:$A$25,Доп.расчеты!$A110,'Как есть'!BF$17:BF$25)</f>
        <v>0</v>
      </c>
      <c r="BF110">
        <f>SUMIF('Как есть'!$A$17:$A$25,Доп.расчеты!$A110,'Как есть'!BG$17:BG$25)</f>
        <v>0</v>
      </c>
      <c r="BG110">
        <f>SUMIF('Как есть'!$A$17:$A$25,Доп.расчеты!$A110,'Как есть'!BH$17:BH$25)</f>
        <v>0</v>
      </c>
      <c r="BH110">
        <f>SUMIF('Как есть'!$A$17:$A$25,Доп.расчеты!$A110,'Как есть'!BI$17:BI$25)</f>
        <v>0</v>
      </c>
      <c r="BI110">
        <f>SUMIF('Как есть'!$A$17:$A$25,Доп.расчеты!$A110,'Как есть'!BJ$17:BJ$25)</f>
        <v>0</v>
      </c>
      <c r="BJ110">
        <f>SUMIF('Как есть'!$A$17:$A$25,Доп.расчеты!$A110,'Как есть'!BK$17:BK$25)</f>
        <v>0</v>
      </c>
      <c r="BK110">
        <f>SUMIF('Как есть'!$A$17:$A$25,Доп.расчеты!$A110,'Как есть'!BL$17:BL$25)</f>
        <v>0</v>
      </c>
      <c r="BL110">
        <f>SUMIF('Как есть'!$A$17:$A$25,Доп.расчеты!$A110,'Как есть'!BM$17:BM$25)</f>
        <v>0</v>
      </c>
      <c r="BM110">
        <f>SUMIF('Как есть'!$A$17:$A$25,Доп.расчеты!$A110,'Как есть'!BN$17:BN$25)</f>
        <v>0</v>
      </c>
      <c r="BN110">
        <f>SUMIF('Как есть'!$A$17:$A$25,Доп.расчеты!$A110,'Как есть'!BO$17:BO$25)</f>
        <v>0</v>
      </c>
      <c r="BO110">
        <f>SUMIF('Как есть'!$A$17:$A$25,Доп.расчеты!$A110,'Как есть'!BP$17:BP$25)</f>
        <v>0</v>
      </c>
      <c r="BP110">
        <f>SUMIF('Как есть'!$A$17:$A$25,Доп.расчеты!$A110,'Как есть'!BQ$17:BQ$25)</f>
        <v>0</v>
      </c>
      <c r="BQ110">
        <f>SUMIF('Как есть'!$A$17:$A$25,Доп.расчеты!$A110,'Как есть'!BR$17:BR$25)</f>
        <v>0</v>
      </c>
      <c r="BR110">
        <f>SUMIF('Как есть'!$A$17:$A$25,Доп.расчеты!$A110,'Как есть'!BS$17:BS$25)</f>
        <v>0</v>
      </c>
      <c r="BS110">
        <f>SUMIF('Как есть'!$A$17:$A$25,Доп.расчеты!$A110,'Как есть'!BT$17:BT$25)</f>
        <v>0</v>
      </c>
      <c r="BT110">
        <f>SUMIF('Как есть'!$A$17:$A$25,Доп.расчеты!$A110,'Как есть'!BU$17:BU$25)</f>
        <v>0</v>
      </c>
      <c r="BU110">
        <f>SUMIF('Как есть'!$A$17:$A$25,Доп.расчеты!$A110,'Как есть'!BV$17:BV$25)</f>
        <v>0</v>
      </c>
      <c r="BV110">
        <f>SUMIF('Как есть'!$A$17:$A$25,Доп.расчеты!$A110,'Как есть'!BW$17:BW$25)</f>
        <v>0</v>
      </c>
      <c r="BW110">
        <f>SUMIF('Как есть'!$A$17:$A$25,Доп.расчеты!$A110,'Как есть'!BX$17:BX$25)</f>
        <v>0</v>
      </c>
      <c r="BX110">
        <f>SUMIF('Как есть'!$A$17:$A$25,Доп.расчеты!$A110,'Как есть'!BY$17:BY$25)</f>
        <v>0</v>
      </c>
      <c r="BY110">
        <f>SUMIF('Как есть'!$A$17:$A$25,Доп.расчеты!$A110,'Как есть'!BZ$17:BZ$25)</f>
        <v>0</v>
      </c>
      <c r="BZ110">
        <f>SUMIF('Как есть'!$A$17:$A$25,Доп.расчеты!$A110,'Как есть'!CA$17:CA$25)</f>
        <v>0</v>
      </c>
      <c r="CA110">
        <f>SUMIF('Как есть'!$A$17:$A$25,Доп.расчеты!$A110,'Как есть'!CB$17:CB$25)</f>
        <v>0</v>
      </c>
      <c r="CB110">
        <f>SUMIF('Как есть'!$A$17:$A$25,Доп.расчеты!$A110,'Как есть'!CC$17:CC$25)</f>
        <v>0</v>
      </c>
      <c r="CC110">
        <f>SUMIF('Как есть'!$A$17:$A$25,Доп.расчеты!$A110,'Как есть'!CD$17:CD$25)</f>
        <v>0</v>
      </c>
      <c r="CD110">
        <f>SUMIF('Как есть'!$A$17:$A$25,Доп.расчеты!$A110,'Как есть'!CE$17:CE$25)</f>
        <v>0</v>
      </c>
      <c r="CE110">
        <f>SUMIF('Как есть'!$A$17:$A$25,Доп.расчеты!$A110,'Как есть'!CF$17:CF$25)</f>
        <v>0</v>
      </c>
      <c r="CF110">
        <f>SUMIF('Как есть'!$A$17:$A$25,Доп.расчеты!$A110,'Как есть'!CG$17:CG$25)</f>
        <v>0</v>
      </c>
      <c r="CG110">
        <f>SUMIF('Как есть'!$A$17:$A$25,Доп.расчеты!$A110,'Как есть'!CH$17:CH$25)</f>
        <v>0</v>
      </c>
      <c r="CH110">
        <f>SUMIF('Как есть'!$A$17:$A$25,Доп.расчеты!$A110,'Как есть'!CI$17:CI$25)</f>
        <v>0</v>
      </c>
      <c r="CI110">
        <f>SUMIF('Как есть'!$A$17:$A$25,Доп.расчеты!$A110,'Как есть'!CJ$17:CJ$25)</f>
        <v>0</v>
      </c>
      <c r="CJ110">
        <f>SUMIF('Как есть'!$A$17:$A$25,Доп.расчеты!$A110,'Как есть'!CK$17:CK$25)</f>
        <v>0</v>
      </c>
      <c r="CK110">
        <f>SUMIF('Как есть'!$A$17:$A$25,Доп.расчеты!$A110,'Как есть'!CL$17:CL$25)</f>
        <v>0</v>
      </c>
      <c r="CL110">
        <f>SUMIF('Как есть'!$A$17:$A$25,Доп.расчеты!$A110,'Как есть'!CM$17:CM$25)</f>
        <v>0</v>
      </c>
      <c r="CM110">
        <f>SUMIF('Как есть'!$A$17:$A$25,Доп.расчеты!$A110,'Как есть'!CN$17:CN$25)</f>
        <v>0</v>
      </c>
      <c r="CN110">
        <f>SUMIF('Как есть'!$A$17:$A$25,Доп.расчеты!$A110,'Как есть'!CO$17:CO$25)</f>
        <v>0</v>
      </c>
      <c r="CO110">
        <f>SUMIF('Как есть'!$A$17:$A$25,Доп.расчеты!$A110,'Как есть'!CP$17:CP$25)</f>
        <v>0</v>
      </c>
      <c r="CP110">
        <f>SUMIF('Как есть'!$A$17:$A$25,Доп.расчеты!$A110,'Как есть'!CQ$17:CQ$25)</f>
        <v>0</v>
      </c>
      <c r="CQ110">
        <f>SUMIF('Как есть'!$A$17:$A$25,Доп.расчеты!$A110,'Как есть'!CR$17:CR$25)</f>
        <v>0</v>
      </c>
      <c r="CR110">
        <f>SUMIF('Как есть'!$A$17:$A$25,Доп.расчеты!$A110,'Как есть'!CS$17:CS$25)</f>
        <v>0</v>
      </c>
      <c r="CS110">
        <f>SUMIF('Как есть'!$A$17:$A$25,Доп.расчеты!$A110,'Как есть'!CT$17:CT$25)</f>
        <v>0</v>
      </c>
      <c r="CT110">
        <f>SUMIF('Как есть'!$A$17:$A$25,Доп.расчеты!$A110,'Как есть'!CU$17:CU$25)</f>
        <v>0</v>
      </c>
      <c r="CU110">
        <f>SUMIF('Как есть'!$A$17:$A$25,Доп.расчеты!$A110,'Как есть'!CV$17:CV$25)</f>
        <v>0</v>
      </c>
      <c r="CV110">
        <f>SUMIF('Как есть'!$A$17:$A$25,Доп.расчеты!$A110,'Как есть'!CW$17:CW$25)</f>
        <v>0</v>
      </c>
      <c r="CW110">
        <f>SUMIF('Как есть'!$A$17:$A$25,Доп.расчеты!$A110,'Как есть'!CX$17:CX$25)</f>
        <v>0</v>
      </c>
      <c r="CX110">
        <f>SUMIF('Как есть'!$A$17:$A$25,Доп.расчеты!$A110,'Как есть'!CY$17:CY$25)</f>
        <v>0</v>
      </c>
      <c r="CY110">
        <f>SUMIF('Как есть'!$A$17:$A$25,Доп.расчеты!$A110,'Как есть'!CZ$17:CZ$25)</f>
        <v>0</v>
      </c>
      <c r="CZ110">
        <f>SUMIF('Как есть'!$A$17:$A$25,Доп.расчеты!$A110,'Как есть'!DA$17:DA$25)</f>
        <v>0</v>
      </c>
      <c r="DA110">
        <f>SUMIF('Как есть'!$A$17:$A$25,Доп.расчеты!$A110,'Как есть'!DB$17:DB$25)</f>
        <v>0</v>
      </c>
      <c r="DB110">
        <f>SUMIF('Как есть'!$A$17:$A$25,Доп.расчеты!$A110,'Как есть'!DC$17:DC$25)</f>
        <v>0</v>
      </c>
      <c r="DC110">
        <f>SUMIF('Как есть'!$A$17:$A$25,Доп.расчеты!$A110,'Как есть'!DD$17:DD$25)</f>
        <v>0</v>
      </c>
      <c r="DD110">
        <f>SUMIF('Как есть'!$A$17:$A$25,Доп.расчеты!$A110,'Как есть'!DE$17:DE$25)</f>
        <v>0</v>
      </c>
      <c r="DE110">
        <f>SUMIF('Как есть'!$A$17:$A$25,Доп.расчеты!$A110,'Как есть'!DF$17:DF$25)</f>
        <v>0</v>
      </c>
      <c r="DF110">
        <f>SUMIF('Как есть'!$A$17:$A$25,Доп.расчеты!$A110,'Как есть'!DG$17:DG$25)</f>
        <v>0</v>
      </c>
      <c r="DG110">
        <f>SUMIF('Как есть'!$A$17:$A$25,Доп.расчеты!$A110,'Как есть'!DH$17:DH$25)</f>
        <v>0</v>
      </c>
      <c r="DH110">
        <f>SUMIF('Как есть'!$A$17:$A$25,Доп.расчеты!$A110,'Как есть'!DI$17:DI$25)</f>
        <v>0</v>
      </c>
      <c r="DI110">
        <f>SUMIF('Как есть'!$A$17:$A$25,Доп.расчеты!$A110,'Как есть'!DJ$17:DJ$25)</f>
        <v>0</v>
      </c>
      <c r="DJ110">
        <f>SUMIF('Как есть'!$A$17:$A$25,Доп.расчеты!$A110,'Как есть'!DK$17:DK$25)</f>
        <v>0</v>
      </c>
      <c r="DK110">
        <f>SUMIF('Как есть'!$A$17:$A$25,Доп.расчеты!$A110,'Как есть'!DL$17:DL$25)</f>
        <v>0</v>
      </c>
      <c r="DL110">
        <f>SUMIF('Как есть'!$A$17:$A$25,Доп.расчеты!$A110,'Как есть'!DM$17:DM$25)</f>
        <v>0</v>
      </c>
      <c r="DM110">
        <f>SUMIF('Как есть'!$A$17:$A$25,Доп.расчеты!$A110,'Как есть'!DN$17:DN$25)</f>
        <v>0</v>
      </c>
      <c r="DN110">
        <f>SUMIF('Как есть'!$A$17:$A$25,Доп.расчеты!$A110,'Как есть'!DO$17:DO$25)</f>
        <v>0</v>
      </c>
      <c r="DO110">
        <f>SUMIF('Как есть'!$A$17:$A$25,Доп.расчеты!$A110,'Как есть'!DP$17:DP$25)</f>
        <v>0</v>
      </c>
      <c r="DP110">
        <f>SUMIF('Как есть'!$A$17:$A$25,Доп.расчеты!$A110,'Как есть'!DQ$17:DQ$25)</f>
        <v>0</v>
      </c>
      <c r="DQ110">
        <f>SUMIF('Как есть'!$A$17:$A$25,Доп.расчеты!$A110,'Как есть'!DR$17:DR$25)</f>
        <v>0</v>
      </c>
      <c r="DR110">
        <f>SUMIF('Как есть'!$A$17:$A$25,Доп.расчеты!$A110,'Как есть'!DS$17:DS$25)</f>
        <v>0</v>
      </c>
      <c r="DS110">
        <f>SUMIF('Как есть'!$A$17:$A$25,Доп.расчеты!$A110,'Как есть'!DT$17:DT$25)</f>
        <v>0</v>
      </c>
      <c r="DT110">
        <f>SUMIF('Как есть'!$A$17:$A$25,Доп.расчеты!$A110,'Как есть'!DU$17:DU$25)</f>
        <v>0</v>
      </c>
      <c r="DU110">
        <f>SUMIF('Как есть'!$A$17:$A$25,Доп.расчеты!$A110,'Как есть'!DV$17:DV$25)</f>
        <v>0</v>
      </c>
      <c r="DV110">
        <f>SUMIF('Как есть'!$A$17:$A$25,Доп.расчеты!$A110,'Как есть'!DW$17:DW$25)</f>
        <v>0</v>
      </c>
      <c r="DW110">
        <f>SUMIF('Как есть'!$A$17:$A$25,Доп.расчеты!$A110,'Как есть'!DX$17:DX$25)</f>
        <v>0</v>
      </c>
      <c r="DX110">
        <f>SUMIF('Как есть'!$A$17:$A$25,Доп.расчеты!$A110,'Как есть'!DY$17:DY$25)</f>
        <v>0</v>
      </c>
      <c r="DY110">
        <f>SUMIF('Как есть'!$A$17:$A$25,Доп.расчеты!$A110,'Как есть'!DZ$17:DZ$25)</f>
        <v>0</v>
      </c>
      <c r="DZ110">
        <f>SUMIF('Как есть'!$A$17:$A$25,Доп.расчеты!$A110,'Как есть'!EA$17:EA$25)</f>
        <v>0</v>
      </c>
      <c r="EA110">
        <f>SUMIF('Как есть'!$A$17:$A$25,Доп.расчеты!$A110,'Как есть'!EB$17:EB$25)</f>
        <v>0</v>
      </c>
      <c r="EB110">
        <f>SUMIF('Как есть'!$A$17:$A$25,Доп.расчеты!$A110,'Как есть'!EC$17:EC$25)</f>
        <v>0</v>
      </c>
      <c r="EC110">
        <f>SUMIF('Как есть'!$A$17:$A$25,Доп.расчеты!$A110,'Как есть'!ED$17:ED$25)</f>
        <v>0</v>
      </c>
      <c r="ED110">
        <f>SUMIF('Как есть'!$A$17:$A$25,Доп.расчеты!$A110,'Как есть'!EE$17:EE$25)</f>
        <v>0</v>
      </c>
      <c r="EE110">
        <f>SUMIF('Как есть'!$A$17:$A$25,Доп.расчеты!$A110,'Как есть'!EF$17:EF$25)</f>
        <v>0</v>
      </c>
      <c r="EF110">
        <f>SUMIF('Как есть'!$A$17:$A$25,Доп.расчеты!$A110,'Как есть'!EG$17:EG$25)</f>
        <v>0</v>
      </c>
      <c r="EG110">
        <f>SUMIF('Как есть'!$A$17:$A$25,Доп.расчеты!$A110,'Как есть'!EH$17:EH$25)</f>
        <v>0</v>
      </c>
      <c r="EH110">
        <f>SUMIF('Как есть'!$A$17:$A$25,Доп.расчеты!$A110,'Как есть'!EI$17:EI$25)</f>
        <v>0</v>
      </c>
      <c r="EI110">
        <f>SUMIF('Как есть'!$A$17:$A$25,Доп.расчеты!$A110,'Как есть'!EJ$17:EJ$25)</f>
        <v>0</v>
      </c>
      <c r="EJ110">
        <f>SUMIF('Как есть'!$A$17:$A$25,Доп.расчеты!$A110,'Как есть'!EK$17:EK$25)</f>
        <v>0</v>
      </c>
      <c r="EK110">
        <f>SUMIF('Как есть'!$A$17:$A$25,Доп.расчеты!$A110,'Как есть'!EL$17:EL$25)</f>
        <v>0</v>
      </c>
      <c r="EL110">
        <f>SUMIF('Как есть'!$A$17:$A$25,Доп.расчеты!$A110,'Как есть'!EM$17:EM$25)</f>
        <v>0</v>
      </c>
      <c r="EM110">
        <f>SUMIF('Как есть'!$A$17:$A$25,Доп.расчеты!$A110,'Как есть'!EN$17:EN$25)</f>
        <v>0</v>
      </c>
      <c r="EN110">
        <f>SUMIF('Как есть'!$A$17:$A$25,Доп.расчеты!$A110,'Как есть'!EO$17:EO$25)</f>
        <v>0</v>
      </c>
      <c r="EO110">
        <f>SUMIF('Как есть'!$A$17:$A$25,Доп.расчеты!$A110,'Как есть'!EP$17:EP$25)</f>
        <v>0</v>
      </c>
      <c r="EP110">
        <f>SUMIF('Как есть'!$A$17:$A$25,Доп.расчеты!$A110,'Как есть'!EQ$17:EQ$25)</f>
        <v>0</v>
      </c>
      <c r="EQ110">
        <f>SUMIF('Как есть'!$A$17:$A$25,Доп.расчеты!$A110,'Как есть'!ER$17:ER$25)</f>
        <v>0</v>
      </c>
      <c r="ER110">
        <f>SUMIF('Как есть'!$A$17:$A$25,Доп.расчеты!$A110,'Как есть'!ES$17:ES$25)</f>
        <v>0</v>
      </c>
      <c r="ES110">
        <f>SUMIF('Как есть'!$A$17:$A$25,Доп.расчеты!$A110,'Как есть'!ET$17:ET$25)</f>
        <v>0</v>
      </c>
      <c r="ET110">
        <f>SUMIF('Как есть'!$A$17:$A$25,Доп.расчеты!$A110,'Как есть'!EU$17:EU$25)</f>
        <v>0</v>
      </c>
      <c r="EU110">
        <f>SUMIF('Как есть'!$A$17:$A$25,Доп.расчеты!$A110,'Как есть'!EV$17:EV$25)</f>
        <v>0</v>
      </c>
      <c r="EV110">
        <f>SUMIF('Как есть'!$A$17:$A$25,Доп.расчеты!$A110,'Как есть'!EW$17:EW$25)</f>
        <v>0</v>
      </c>
      <c r="EW110">
        <f>SUMIF('Как есть'!$A$17:$A$25,Доп.расчеты!$A110,'Как есть'!EX$17:EX$25)</f>
        <v>0</v>
      </c>
      <c r="EX110">
        <f>SUMIF('Как есть'!$A$17:$A$25,Доп.расчеты!$A110,'Как есть'!EY$17:EY$25)</f>
        <v>0</v>
      </c>
      <c r="EY110">
        <f>SUMIF('Как есть'!$A$17:$A$25,Доп.расчеты!$A110,'Как есть'!EZ$17:EZ$25)</f>
        <v>0</v>
      </c>
      <c r="EZ110">
        <f>SUMIF('Как есть'!$A$17:$A$25,Доп.расчеты!$A110,'Как есть'!FA$17:FA$25)</f>
        <v>0</v>
      </c>
      <c r="FA110">
        <f>SUMIF('Как есть'!$A$17:$A$25,Доп.расчеты!$A110,'Как есть'!FB$17:FB$25)</f>
        <v>0</v>
      </c>
      <c r="FB110">
        <f>SUMIF('Как есть'!$A$17:$A$25,Доп.расчеты!$A110,'Как есть'!FC$17:FC$25)</f>
        <v>0</v>
      </c>
      <c r="FC110">
        <f>SUMIF('Как есть'!$A$17:$A$25,Доп.расчеты!$A110,'Как есть'!FD$17:FD$25)</f>
        <v>0</v>
      </c>
      <c r="FD110">
        <f>SUMIF('Как есть'!$A$17:$A$25,Доп.расчеты!$A110,'Как есть'!FE$17:FE$25)</f>
        <v>0</v>
      </c>
      <c r="FE110">
        <f>SUMIF('Как есть'!$A$17:$A$25,Доп.расчеты!$A110,'Как есть'!FF$17:FF$25)</f>
        <v>0</v>
      </c>
      <c r="FF110">
        <f>SUMIF('Как есть'!$A$17:$A$25,Доп.расчеты!$A110,'Как есть'!FG$17:FG$25)</f>
        <v>0</v>
      </c>
      <c r="FG110">
        <f>SUMIF('Как есть'!$A$17:$A$25,Доп.расчеты!$A110,'Как есть'!FH$17:FH$25)</f>
        <v>0</v>
      </c>
      <c r="FH110">
        <f>SUMIF('Как есть'!$A$17:$A$25,Доп.расчеты!$A110,'Как есть'!FI$17:FI$25)</f>
        <v>0</v>
      </c>
      <c r="FI110">
        <f>SUMIF('Как есть'!$A$17:$A$25,Доп.расчеты!$A110,'Как есть'!FJ$17:FJ$25)</f>
        <v>0</v>
      </c>
      <c r="FJ110">
        <f>SUMIF('Как есть'!$A$17:$A$25,Доп.расчеты!$A110,'Как есть'!FK$17:FK$25)</f>
        <v>0</v>
      </c>
      <c r="FK110">
        <f>SUMIF('Как есть'!$A$17:$A$25,Доп.расчеты!$A110,'Как есть'!FL$17:FL$25)</f>
        <v>0</v>
      </c>
      <c r="FL110">
        <f>SUMIF('Как есть'!$A$17:$A$25,Доп.расчеты!$A110,'Как есть'!FM$17:FM$25)</f>
        <v>0</v>
      </c>
      <c r="FM110">
        <f>SUMIF('Как есть'!$A$17:$A$25,Доп.расчеты!$A110,'Как есть'!FN$17:FN$25)</f>
        <v>0</v>
      </c>
      <c r="FN110">
        <f>SUMIF('Как есть'!$A$17:$A$25,Доп.расчеты!$A110,'Как есть'!FO$17:FO$25)</f>
        <v>0</v>
      </c>
      <c r="FO110">
        <f>SUMIF('Как есть'!$A$17:$A$25,Доп.расчеты!$A110,'Как есть'!FP$17:FP$25)</f>
        <v>0</v>
      </c>
      <c r="FP110">
        <f>SUMIF('Как есть'!$A$17:$A$25,Доп.расчеты!$A110,'Как есть'!FQ$17:FQ$25)</f>
        <v>0</v>
      </c>
      <c r="FQ110">
        <f>SUMIF('Как есть'!$A$17:$A$25,Доп.расчеты!$A110,'Как есть'!FR$17:FR$25)</f>
        <v>0</v>
      </c>
      <c r="FR110">
        <f>SUMIF('Как есть'!$A$17:$A$25,Доп.расчеты!$A110,'Как есть'!FS$17:FS$25)</f>
        <v>0</v>
      </c>
      <c r="FS110">
        <f>SUMIF('Как есть'!$A$17:$A$25,Доп.расчеты!$A110,'Как есть'!FT$17:FT$25)</f>
        <v>0</v>
      </c>
      <c r="FT110">
        <f>SUMIF('Как есть'!$A$17:$A$25,Доп.расчеты!$A110,'Как есть'!FU$17:FU$25)</f>
        <v>0</v>
      </c>
      <c r="FU110">
        <f>SUMIF('Как есть'!$A$17:$A$25,Доп.расчеты!$A110,'Как есть'!FV$17:FV$25)</f>
        <v>0</v>
      </c>
      <c r="FV110">
        <f>SUMIF('Как есть'!$A$17:$A$25,Доп.расчеты!$A110,'Как есть'!FW$17:FW$25)</f>
        <v>0</v>
      </c>
      <c r="FW110">
        <f>SUMIF('Как есть'!$A$17:$A$25,Доп.расчеты!$A110,'Как есть'!FX$17:FX$25)</f>
        <v>0</v>
      </c>
      <c r="FX110">
        <f>SUMIF('Как есть'!$A$17:$A$25,Доп.расчеты!$A110,'Как есть'!FY$17:FY$25)</f>
        <v>0</v>
      </c>
      <c r="FY110">
        <f>SUMIF('Как есть'!$A$17:$A$25,Доп.расчеты!$A110,'Как есть'!FZ$17:FZ$25)</f>
        <v>0</v>
      </c>
      <c r="FZ110">
        <f>SUMIF('Как есть'!$A$17:$A$25,Доп.расчеты!$A110,'Как есть'!GA$17:GA$25)</f>
        <v>0</v>
      </c>
      <c r="GA110">
        <f>SUMIF('Как есть'!$A$17:$A$25,Доп.расчеты!$A110,'Как есть'!GB$17:GB$25)</f>
        <v>0</v>
      </c>
      <c r="GB110">
        <f>SUMIF('Как есть'!$A$17:$A$25,Доп.расчеты!$A110,'Как есть'!GC$17:GC$25)</f>
        <v>0</v>
      </c>
      <c r="GC110">
        <f>SUMIF('Как есть'!$A$17:$A$25,Доп.расчеты!$A110,'Как есть'!GD$17:GD$25)</f>
        <v>0</v>
      </c>
      <c r="GD110">
        <f>SUMIF('Как есть'!$A$17:$A$25,Доп.расчеты!$A110,'Как есть'!GE$17:GE$25)</f>
        <v>0</v>
      </c>
      <c r="GE110">
        <f>SUMIF('Как есть'!$A$17:$A$25,Доп.расчеты!$A110,'Как есть'!GF$17:GF$25)</f>
        <v>0</v>
      </c>
      <c r="GF110">
        <f>SUMIF('Как есть'!$A$17:$A$25,Доп.расчеты!$A110,'Как есть'!GG$17:GG$25)</f>
        <v>0</v>
      </c>
      <c r="GG110">
        <f>SUMIF('Как есть'!$A$17:$A$25,Доп.расчеты!$A110,'Как есть'!GH$17:GH$25)</f>
        <v>0</v>
      </c>
      <c r="GH110">
        <f>SUMIF('Как есть'!$A$17:$A$25,Доп.расчеты!$A110,'Как есть'!GI$17:GI$25)</f>
        <v>0</v>
      </c>
      <c r="GI110">
        <f>SUMIF('Как есть'!$A$17:$A$25,Доп.расчеты!$A110,'Как есть'!GJ$17:GJ$25)</f>
        <v>0</v>
      </c>
      <c r="GJ110">
        <f>SUMIF('Как есть'!$A$17:$A$25,Доп.расчеты!$A110,'Как есть'!GK$17:GK$25)</f>
        <v>0</v>
      </c>
      <c r="GK110">
        <f>SUMIF('Как есть'!$A$17:$A$25,Доп.расчеты!$A110,'Как есть'!GL$17:GL$25)</f>
        <v>0</v>
      </c>
      <c r="GL110">
        <f>SUMIF('Как есть'!$A$17:$A$25,Доп.расчеты!$A110,'Как есть'!GM$17:GM$25)</f>
        <v>0</v>
      </c>
      <c r="GM110">
        <f>SUMIF('Как есть'!$A$17:$A$25,Доп.расчеты!$A110,'Как есть'!GN$17:GN$25)</f>
        <v>0</v>
      </c>
      <c r="GN110">
        <f>SUMIF('Как есть'!$A$17:$A$25,Доп.расчеты!$A110,'Как есть'!GO$17:GO$25)</f>
        <v>0</v>
      </c>
      <c r="GO110">
        <f>SUMIF('Как есть'!$A$17:$A$25,Доп.расчеты!$A110,'Как есть'!GP$17:GP$25)</f>
        <v>0</v>
      </c>
      <c r="GP110">
        <f>SUMIF('Как есть'!$A$17:$A$25,Доп.расчеты!$A110,'Как есть'!GQ$17:GQ$25)</f>
        <v>0</v>
      </c>
      <c r="GQ110">
        <f>SUMIF('Как есть'!$A$17:$A$25,Доп.расчеты!$A110,'Как есть'!GR$17:GR$25)</f>
        <v>0</v>
      </c>
      <c r="GR110">
        <f>SUMIF('Как есть'!$A$17:$A$25,Доп.расчеты!$A110,'Как есть'!GS$17:GS$25)</f>
        <v>0</v>
      </c>
      <c r="GS110">
        <f>SUMIF('Как есть'!$A$17:$A$25,Доп.расчеты!$A110,'Как есть'!GT$17:GT$25)</f>
        <v>0</v>
      </c>
      <c r="GT110">
        <f>SUMIF('Как есть'!$A$17:$A$25,Доп.расчеты!$A110,'Как есть'!GU$17:GU$25)</f>
        <v>0</v>
      </c>
    </row>
    <row r="111" spans="1:202" hidden="1" outlineLevel="1">
      <c r="A111" s="238" t="s">
        <v>89</v>
      </c>
      <c r="B111">
        <f>SUMIF('Как есть'!$A$17:$A$25,Доп.расчеты!$A111,'Как есть'!C$17:C$25)</f>
        <v>0</v>
      </c>
      <c r="C111">
        <f>SUMIF('Как есть'!$A$17:$A$25,Доп.расчеты!$A111,'Как есть'!D$17:D$25)</f>
        <v>0</v>
      </c>
      <c r="D111">
        <f>SUMIF('Как есть'!$A$17:$A$25,Доп.расчеты!$A111,'Как есть'!E$17:E$25)</f>
        <v>0</v>
      </c>
      <c r="E111">
        <f>SUMIF('Как есть'!$A$17:$A$25,Доп.расчеты!$A111,'Как есть'!F$17:F$25)</f>
        <v>0</v>
      </c>
      <c r="F111">
        <f>SUMIF('Как есть'!$A$17:$A$25,Доп.расчеты!$A111,'Как есть'!G$17:G$25)</f>
        <v>0</v>
      </c>
      <c r="G111">
        <f>SUMIF('Как есть'!$A$17:$A$25,Доп.расчеты!$A111,'Как есть'!H$17:H$25)</f>
        <v>0</v>
      </c>
      <c r="H111">
        <f>SUMIF('Как есть'!$A$17:$A$25,Доп.расчеты!$A111,'Как есть'!I$17:I$25)</f>
        <v>0</v>
      </c>
      <c r="I111">
        <f>SUMIF('Как есть'!$A$17:$A$25,Доп.расчеты!$A111,'Как есть'!J$17:J$25)</f>
        <v>0</v>
      </c>
      <c r="J111">
        <f>SUMIF('Как есть'!$A$17:$A$25,Доп.расчеты!$A111,'Как есть'!K$17:K$25)</f>
        <v>0</v>
      </c>
      <c r="K111">
        <f>SUMIF('Как есть'!$A$17:$A$25,Доп.расчеты!$A111,'Как есть'!L$17:L$25)</f>
        <v>0</v>
      </c>
      <c r="L111">
        <f>SUMIF('Как есть'!$A$17:$A$25,Доп.расчеты!$A111,'Как есть'!M$17:M$25)</f>
        <v>0</v>
      </c>
      <c r="M111">
        <f>SUMIF('Как есть'!$A$17:$A$25,Доп.расчеты!$A111,'Как есть'!N$17:N$25)</f>
        <v>0</v>
      </c>
      <c r="N111">
        <f>SUMIF('Как есть'!$A$17:$A$25,Доп.расчеты!$A111,'Как есть'!O$17:O$25)</f>
        <v>0</v>
      </c>
      <c r="O111">
        <f>SUMIF('Как есть'!$A$17:$A$25,Доп.расчеты!$A111,'Как есть'!P$17:P$25)</f>
        <v>0</v>
      </c>
      <c r="P111">
        <f>SUMIF('Как есть'!$A$17:$A$25,Доп.расчеты!$A111,'Как есть'!Q$17:Q$25)</f>
        <v>0</v>
      </c>
      <c r="Q111">
        <f>SUMIF('Как есть'!$A$17:$A$25,Доп.расчеты!$A111,'Как есть'!R$17:R$25)</f>
        <v>0</v>
      </c>
      <c r="R111">
        <f>SUMIF('Как есть'!$A$17:$A$25,Доп.расчеты!$A111,'Как есть'!S$17:S$25)</f>
        <v>0</v>
      </c>
      <c r="S111">
        <f>SUMIF('Как есть'!$A$17:$A$25,Доп.расчеты!$A111,'Как есть'!T$17:T$25)</f>
        <v>0</v>
      </c>
      <c r="T111">
        <f>SUMIF('Как есть'!$A$17:$A$25,Доп.расчеты!$A111,'Как есть'!U$17:U$25)</f>
        <v>0</v>
      </c>
      <c r="U111">
        <f>SUMIF('Как есть'!$A$17:$A$25,Доп.расчеты!$A111,'Как есть'!V$17:V$25)</f>
        <v>0</v>
      </c>
      <c r="V111">
        <f>SUMIF('Как есть'!$A$17:$A$25,Доп.расчеты!$A111,'Как есть'!W$17:W$25)</f>
        <v>0</v>
      </c>
      <c r="W111">
        <f>SUMIF('Как есть'!$A$17:$A$25,Доп.расчеты!$A111,'Как есть'!X$17:X$25)</f>
        <v>0</v>
      </c>
      <c r="X111">
        <f>SUMIF('Как есть'!$A$17:$A$25,Доп.расчеты!$A111,'Как есть'!Y$17:Y$25)</f>
        <v>0</v>
      </c>
      <c r="Y111">
        <f>SUMIF('Как есть'!$A$17:$A$25,Доп.расчеты!$A111,'Как есть'!Z$17:Z$25)</f>
        <v>0</v>
      </c>
      <c r="Z111">
        <f>SUMIF('Как есть'!$A$17:$A$25,Доп.расчеты!$A111,'Как есть'!AA$17:AA$25)</f>
        <v>0</v>
      </c>
      <c r="AA111">
        <f>SUMIF('Как есть'!$A$17:$A$25,Доп.расчеты!$A111,'Как есть'!AB$17:AB$25)</f>
        <v>0</v>
      </c>
      <c r="AB111">
        <f>SUMIF('Как есть'!$A$17:$A$25,Доп.расчеты!$A111,'Как есть'!AC$17:AC$25)</f>
        <v>0</v>
      </c>
      <c r="AC111">
        <f>SUMIF('Как есть'!$A$17:$A$25,Доп.расчеты!$A111,'Как есть'!AD$17:AD$25)</f>
        <v>0</v>
      </c>
      <c r="AD111">
        <f>SUMIF('Как есть'!$A$17:$A$25,Доп.расчеты!$A111,'Как есть'!AE$17:AE$25)</f>
        <v>0</v>
      </c>
      <c r="AE111">
        <f>SUMIF('Как есть'!$A$17:$A$25,Доп.расчеты!$A111,'Как есть'!AF$17:AF$25)</f>
        <v>0</v>
      </c>
      <c r="AF111">
        <f>SUMIF('Как есть'!$A$17:$A$25,Доп.расчеты!$A111,'Как есть'!AG$17:AG$25)</f>
        <v>0</v>
      </c>
      <c r="AG111">
        <f>SUMIF('Как есть'!$A$17:$A$25,Доп.расчеты!$A111,'Как есть'!AH$17:AH$25)</f>
        <v>0</v>
      </c>
      <c r="AH111">
        <f>SUMIF('Как есть'!$A$17:$A$25,Доп.расчеты!$A111,'Как есть'!AI$17:AI$25)</f>
        <v>0</v>
      </c>
      <c r="AI111">
        <f>SUMIF('Как есть'!$A$17:$A$25,Доп.расчеты!$A111,'Как есть'!AJ$17:AJ$25)</f>
        <v>0</v>
      </c>
      <c r="AJ111">
        <f>SUMIF('Как есть'!$A$17:$A$25,Доп.расчеты!$A111,'Как есть'!AK$17:AK$25)</f>
        <v>0</v>
      </c>
      <c r="AK111">
        <f>SUMIF('Как есть'!$A$17:$A$25,Доп.расчеты!$A111,'Как есть'!AL$17:AL$25)</f>
        <v>0</v>
      </c>
      <c r="AL111">
        <f>SUMIF('Как есть'!$A$17:$A$25,Доп.расчеты!$A111,'Как есть'!AM$17:AM$25)</f>
        <v>0</v>
      </c>
      <c r="AM111">
        <f>SUMIF('Как есть'!$A$17:$A$25,Доп.расчеты!$A111,'Как есть'!AN$17:AN$25)</f>
        <v>0</v>
      </c>
      <c r="AN111">
        <f>SUMIF('Как есть'!$A$17:$A$25,Доп.расчеты!$A111,'Как есть'!AO$17:AO$25)</f>
        <v>0</v>
      </c>
      <c r="AO111">
        <f>SUMIF('Как есть'!$A$17:$A$25,Доп.расчеты!$A111,'Как есть'!AP$17:AP$25)</f>
        <v>0</v>
      </c>
      <c r="AP111">
        <f>SUMIF('Как есть'!$A$17:$A$25,Доп.расчеты!$A111,'Как есть'!AQ$17:AQ$25)</f>
        <v>0</v>
      </c>
      <c r="AQ111">
        <f>SUMIF('Как есть'!$A$17:$A$25,Доп.расчеты!$A111,'Как есть'!AR$17:AR$25)</f>
        <v>0</v>
      </c>
      <c r="AR111">
        <f>SUMIF('Как есть'!$A$17:$A$25,Доп.расчеты!$A111,'Как есть'!AS$17:AS$25)</f>
        <v>0</v>
      </c>
      <c r="AS111">
        <f>SUMIF('Как есть'!$A$17:$A$25,Доп.расчеты!$A111,'Как есть'!AT$17:AT$25)</f>
        <v>0</v>
      </c>
      <c r="AT111">
        <f>SUMIF('Как есть'!$A$17:$A$25,Доп.расчеты!$A111,'Как есть'!AU$17:AU$25)</f>
        <v>0</v>
      </c>
      <c r="AU111">
        <f>SUMIF('Как есть'!$A$17:$A$25,Доп.расчеты!$A111,'Как есть'!AV$17:AV$25)</f>
        <v>0</v>
      </c>
      <c r="AV111">
        <f>SUMIF('Как есть'!$A$17:$A$25,Доп.расчеты!$A111,'Как есть'!AW$17:AW$25)</f>
        <v>0</v>
      </c>
      <c r="AW111">
        <f>SUMIF('Как есть'!$A$17:$A$25,Доп.расчеты!$A111,'Как есть'!AX$17:AX$25)</f>
        <v>0</v>
      </c>
      <c r="AX111">
        <f>SUMIF('Как есть'!$A$17:$A$25,Доп.расчеты!$A111,'Как есть'!AY$17:AY$25)</f>
        <v>0</v>
      </c>
      <c r="AY111">
        <f>SUMIF('Как есть'!$A$17:$A$25,Доп.расчеты!$A111,'Как есть'!AZ$17:AZ$25)</f>
        <v>0</v>
      </c>
      <c r="AZ111">
        <f>SUMIF('Как есть'!$A$17:$A$25,Доп.расчеты!$A111,'Как есть'!BA$17:BA$25)</f>
        <v>0</v>
      </c>
      <c r="BA111">
        <f>SUMIF('Как есть'!$A$17:$A$25,Доп.расчеты!$A111,'Как есть'!BB$17:BB$25)</f>
        <v>0</v>
      </c>
      <c r="BB111">
        <f>SUMIF('Как есть'!$A$17:$A$25,Доп.расчеты!$A111,'Как есть'!BC$17:BC$25)</f>
        <v>0</v>
      </c>
      <c r="BC111">
        <f>SUMIF('Как есть'!$A$17:$A$25,Доп.расчеты!$A111,'Как есть'!BD$17:BD$25)</f>
        <v>0</v>
      </c>
      <c r="BD111">
        <f>SUMIF('Как есть'!$A$17:$A$25,Доп.расчеты!$A111,'Как есть'!BE$17:BE$25)</f>
        <v>0</v>
      </c>
      <c r="BE111">
        <f>SUMIF('Как есть'!$A$17:$A$25,Доп.расчеты!$A111,'Как есть'!BF$17:BF$25)</f>
        <v>0</v>
      </c>
      <c r="BF111">
        <f>SUMIF('Как есть'!$A$17:$A$25,Доп.расчеты!$A111,'Как есть'!BG$17:BG$25)</f>
        <v>0</v>
      </c>
      <c r="BG111">
        <f>SUMIF('Как есть'!$A$17:$A$25,Доп.расчеты!$A111,'Как есть'!BH$17:BH$25)</f>
        <v>0</v>
      </c>
      <c r="BH111">
        <f>SUMIF('Как есть'!$A$17:$A$25,Доп.расчеты!$A111,'Как есть'!BI$17:BI$25)</f>
        <v>0</v>
      </c>
      <c r="BI111">
        <f>SUMIF('Как есть'!$A$17:$A$25,Доп.расчеты!$A111,'Как есть'!BJ$17:BJ$25)</f>
        <v>0</v>
      </c>
      <c r="BJ111">
        <f>SUMIF('Как есть'!$A$17:$A$25,Доп.расчеты!$A111,'Как есть'!BK$17:BK$25)</f>
        <v>0</v>
      </c>
      <c r="BK111">
        <f>SUMIF('Как есть'!$A$17:$A$25,Доп.расчеты!$A111,'Как есть'!BL$17:BL$25)</f>
        <v>0</v>
      </c>
      <c r="BL111">
        <f>SUMIF('Как есть'!$A$17:$A$25,Доп.расчеты!$A111,'Как есть'!BM$17:BM$25)</f>
        <v>0</v>
      </c>
      <c r="BM111">
        <f>SUMIF('Как есть'!$A$17:$A$25,Доп.расчеты!$A111,'Как есть'!BN$17:BN$25)</f>
        <v>0</v>
      </c>
      <c r="BN111">
        <f>SUMIF('Как есть'!$A$17:$A$25,Доп.расчеты!$A111,'Как есть'!BO$17:BO$25)</f>
        <v>0</v>
      </c>
      <c r="BO111">
        <f>SUMIF('Как есть'!$A$17:$A$25,Доп.расчеты!$A111,'Как есть'!BP$17:BP$25)</f>
        <v>0</v>
      </c>
      <c r="BP111">
        <f>SUMIF('Как есть'!$A$17:$A$25,Доп.расчеты!$A111,'Как есть'!BQ$17:BQ$25)</f>
        <v>0</v>
      </c>
      <c r="BQ111">
        <f>SUMIF('Как есть'!$A$17:$A$25,Доп.расчеты!$A111,'Как есть'!BR$17:BR$25)</f>
        <v>0</v>
      </c>
      <c r="BR111">
        <f>SUMIF('Как есть'!$A$17:$A$25,Доп.расчеты!$A111,'Как есть'!BS$17:BS$25)</f>
        <v>0</v>
      </c>
      <c r="BS111">
        <f>SUMIF('Как есть'!$A$17:$A$25,Доп.расчеты!$A111,'Как есть'!BT$17:BT$25)</f>
        <v>0</v>
      </c>
      <c r="BT111">
        <f>SUMIF('Как есть'!$A$17:$A$25,Доп.расчеты!$A111,'Как есть'!BU$17:BU$25)</f>
        <v>0</v>
      </c>
      <c r="BU111">
        <f>SUMIF('Как есть'!$A$17:$A$25,Доп.расчеты!$A111,'Как есть'!BV$17:BV$25)</f>
        <v>0</v>
      </c>
      <c r="BV111">
        <f>SUMIF('Как есть'!$A$17:$A$25,Доп.расчеты!$A111,'Как есть'!BW$17:BW$25)</f>
        <v>0</v>
      </c>
      <c r="BW111">
        <f>SUMIF('Как есть'!$A$17:$A$25,Доп.расчеты!$A111,'Как есть'!BX$17:BX$25)</f>
        <v>0</v>
      </c>
      <c r="BX111">
        <f>SUMIF('Как есть'!$A$17:$A$25,Доп.расчеты!$A111,'Как есть'!BY$17:BY$25)</f>
        <v>0</v>
      </c>
      <c r="BY111">
        <f>SUMIF('Как есть'!$A$17:$A$25,Доп.расчеты!$A111,'Как есть'!BZ$17:BZ$25)</f>
        <v>0</v>
      </c>
      <c r="BZ111">
        <f>SUMIF('Как есть'!$A$17:$A$25,Доп.расчеты!$A111,'Как есть'!CA$17:CA$25)</f>
        <v>0</v>
      </c>
      <c r="CA111">
        <f>SUMIF('Как есть'!$A$17:$A$25,Доп.расчеты!$A111,'Как есть'!CB$17:CB$25)</f>
        <v>0</v>
      </c>
      <c r="CB111">
        <f>SUMIF('Как есть'!$A$17:$A$25,Доп.расчеты!$A111,'Как есть'!CC$17:CC$25)</f>
        <v>0</v>
      </c>
      <c r="CC111">
        <f>SUMIF('Как есть'!$A$17:$A$25,Доп.расчеты!$A111,'Как есть'!CD$17:CD$25)</f>
        <v>0</v>
      </c>
      <c r="CD111">
        <f>SUMIF('Как есть'!$A$17:$A$25,Доп.расчеты!$A111,'Как есть'!CE$17:CE$25)</f>
        <v>0</v>
      </c>
      <c r="CE111">
        <f>SUMIF('Как есть'!$A$17:$A$25,Доп.расчеты!$A111,'Как есть'!CF$17:CF$25)</f>
        <v>0</v>
      </c>
      <c r="CF111">
        <f>SUMIF('Как есть'!$A$17:$A$25,Доп.расчеты!$A111,'Как есть'!CG$17:CG$25)</f>
        <v>0</v>
      </c>
      <c r="CG111">
        <f>SUMIF('Как есть'!$A$17:$A$25,Доп.расчеты!$A111,'Как есть'!CH$17:CH$25)</f>
        <v>0</v>
      </c>
      <c r="CH111">
        <f>SUMIF('Как есть'!$A$17:$A$25,Доп.расчеты!$A111,'Как есть'!CI$17:CI$25)</f>
        <v>0</v>
      </c>
      <c r="CI111">
        <f>SUMIF('Как есть'!$A$17:$A$25,Доп.расчеты!$A111,'Как есть'!CJ$17:CJ$25)</f>
        <v>0</v>
      </c>
      <c r="CJ111">
        <f>SUMIF('Как есть'!$A$17:$A$25,Доп.расчеты!$A111,'Как есть'!CK$17:CK$25)</f>
        <v>0</v>
      </c>
      <c r="CK111">
        <f>SUMIF('Как есть'!$A$17:$A$25,Доп.расчеты!$A111,'Как есть'!CL$17:CL$25)</f>
        <v>0</v>
      </c>
      <c r="CL111">
        <f>SUMIF('Как есть'!$A$17:$A$25,Доп.расчеты!$A111,'Как есть'!CM$17:CM$25)</f>
        <v>0</v>
      </c>
      <c r="CM111">
        <f>SUMIF('Как есть'!$A$17:$A$25,Доп.расчеты!$A111,'Как есть'!CN$17:CN$25)</f>
        <v>0</v>
      </c>
      <c r="CN111">
        <f>SUMIF('Как есть'!$A$17:$A$25,Доп.расчеты!$A111,'Как есть'!CO$17:CO$25)</f>
        <v>0</v>
      </c>
      <c r="CO111">
        <f>SUMIF('Как есть'!$A$17:$A$25,Доп.расчеты!$A111,'Как есть'!CP$17:CP$25)</f>
        <v>0</v>
      </c>
      <c r="CP111">
        <f>SUMIF('Как есть'!$A$17:$A$25,Доп.расчеты!$A111,'Как есть'!CQ$17:CQ$25)</f>
        <v>0</v>
      </c>
      <c r="CQ111">
        <f>SUMIF('Как есть'!$A$17:$A$25,Доп.расчеты!$A111,'Как есть'!CR$17:CR$25)</f>
        <v>0</v>
      </c>
      <c r="CR111">
        <f>SUMIF('Как есть'!$A$17:$A$25,Доп.расчеты!$A111,'Как есть'!CS$17:CS$25)</f>
        <v>0</v>
      </c>
      <c r="CS111">
        <f>SUMIF('Как есть'!$A$17:$A$25,Доп.расчеты!$A111,'Как есть'!CT$17:CT$25)</f>
        <v>0</v>
      </c>
      <c r="CT111">
        <f>SUMIF('Как есть'!$A$17:$A$25,Доп.расчеты!$A111,'Как есть'!CU$17:CU$25)</f>
        <v>0</v>
      </c>
      <c r="CU111">
        <f>SUMIF('Как есть'!$A$17:$A$25,Доп.расчеты!$A111,'Как есть'!CV$17:CV$25)</f>
        <v>0</v>
      </c>
      <c r="CV111">
        <f>SUMIF('Как есть'!$A$17:$A$25,Доп.расчеты!$A111,'Как есть'!CW$17:CW$25)</f>
        <v>0</v>
      </c>
      <c r="CW111">
        <f>SUMIF('Как есть'!$A$17:$A$25,Доп.расчеты!$A111,'Как есть'!CX$17:CX$25)</f>
        <v>0</v>
      </c>
      <c r="CX111">
        <f>SUMIF('Как есть'!$A$17:$A$25,Доп.расчеты!$A111,'Как есть'!CY$17:CY$25)</f>
        <v>0</v>
      </c>
      <c r="CY111">
        <f>SUMIF('Как есть'!$A$17:$A$25,Доп.расчеты!$A111,'Как есть'!CZ$17:CZ$25)</f>
        <v>0</v>
      </c>
      <c r="CZ111">
        <f>SUMIF('Как есть'!$A$17:$A$25,Доп.расчеты!$A111,'Как есть'!DA$17:DA$25)</f>
        <v>0</v>
      </c>
      <c r="DA111">
        <f>SUMIF('Как есть'!$A$17:$A$25,Доп.расчеты!$A111,'Как есть'!DB$17:DB$25)</f>
        <v>0</v>
      </c>
      <c r="DB111">
        <f>SUMIF('Как есть'!$A$17:$A$25,Доп.расчеты!$A111,'Как есть'!DC$17:DC$25)</f>
        <v>0</v>
      </c>
      <c r="DC111">
        <f>SUMIF('Как есть'!$A$17:$A$25,Доп.расчеты!$A111,'Как есть'!DD$17:DD$25)</f>
        <v>0</v>
      </c>
      <c r="DD111">
        <f>SUMIF('Как есть'!$A$17:$A$25,Доп.расчеты!$A111,'Как есть'!DE$17:DE$25)</f>
        <v>0</v>
      </c>
      <c r="DE111">
        <f>SUMIF('Как есть'!$A$17:$A$25,Доп.расчеты!$A111,'Как есть'!DF$17:DF$25)</f>
        <v>0</v>
      </c>
      <c r="DF111">
        <f>SUMIF('Как есть'!$A$17:$A$25,Доп.расчеты!$A111,'Как есть'!DG$17:DG$25)</f>
        <v>0</v>
      </c>
      <c r="DG111">
        <f>SUMIF('Как есть'!$A$17:$A$25,Доп.расчеты!$A111,'Как есть'!DH$17:DH$25)</f>
        <v>0</v>
      </c>
      <c r="DH111">
        <f>SUMIF('Как есть'!$A$17:$A$25,Доп.расчеты!$A111,'Как есть'!DI$17:DI$25)</f>
        <v>0</v>
      </c>
      <c r="DI111">
        <f>SUMIF('Как есть'!$A$17:$A$25,Доп.расчеты!$A111,'Как есть'!DJ$17:DJ$25)</f>
        <v>0</v>
      </c>
      <c r="DJ111">
        <f>SUMIF('Как есть'!$A$17:$A$25,Доп.расчеты!$A111,'Как есть'!DK$17:DK$25)</f>
        <v>0</v>
      </c>
      <c r="DK111">
        <f>SUMIF('Как есть'!$A$17:$A$25,Доп.расчеты!$A111,'Как есть'!DL$17:DL$25)</f>
        <v>0</v>
      </c>
      <c r="DL111">
        <f>SUMIF('Как есть'!$A$17:$A$25,Доп.расчеты!$A111,'Как есть'!DM$17:DM$25)</f>
        <v>0</v>
      </c>
      <c r="DM111">
        <f>SUMIF('Как есть'!$A$17:$A$25,Доп.расчеты!$A111,'Как есть'!DN$17:DN$25)</f>
        <v>0</v>
      </c>
      <c r="DN111">
        <f>SUMIF('Как есть'!$A$17:$A$25,Доп.расчеты!$A111,'Как есть'!DO$17:DO$25)</f>
        <v>0</v>
      </c>
      <c r="DO111">
        <f>SUMIF('Как есть'!$A$17:$A$25,Доп.расчеты!$A111,'Как есть'!DP$17:DP$25)</f>
        <v>0</v>
      </c>
      <c r="DP111">
        <f>SUMIF('Как есть'!$A$17:$A$25,Доп.расчеты!$A111,'Как есть'!DQ$17:DQ$25)</f>
        <v>0</v>
      </c>
      <c r="DQ111">
        <f>SUMIF('Как есть'!$A$17:$A$25,Доп.расчеты!$A111,'Как есть'!DR$17:DR$25)</f>
        <v>0</v>
      </c>
      <c r="DR111">
        <f>SUMIF('Как есть'!$A$17:$A$25,Доп.расчеты!$A111,'Как есть'!DS$17:DS$25)</f>
        <v>0</v>
      </c>
      <c r="DS111">
        <f>SUMIF('Как есть'!$A$17:$A$25,Доп.расчеты!$A111,'Как есть'!DT$17:DT$25)</f>
        <v>0</v>
      </c>
      <c r="DT111">
        <f>SUMIF('Как есть'!$A$17:$A$25,Доп.расчеты!$A111,'Как есть'!DU$17:DU$25)</f>
        <v>0</v>
      </c>
      <c r="DU111">
        <f>SUMIF('Как есть'!$A$17:$A$25,Доп.расчеты!$A111,'Как есть'!DV$17:DV$25)</f>
        <v>0</v>
      </c>
      <c r="DV111">
        <f>SUMIF('Как есть'!$A$17:$A$25,Доп.расчеты!$A111,'Как есть'!DW$17:DW$25)</f>
        <v>0</v>
      </c>
      <c r="DW111">
        <f>SUMIF('Как есть'!$A$17:$A$25,Доп.расчеты!$A111,'Как есть'!DX$17:DX$25)</f>
        <v>0</v>
      </c>
      <c r="DX111">
        <f>SUMIF('Как есть'!$A$17:$A$25,Доп.расчеты!$A111,'Как есть'!DY$17:DY$25)</f>
        <v>0</v>
      </c>
      <c r="DY111">
        <f>SUMIF('Как есть'!$A$17:$A$25,Доп.расчеты!$A111,'Как есть'!DZ$17:DZ$25)</f>
        <v>0</v>
      </c>
      <c r="DZ111">
        <f>SUMIF('Как есть'!$A$17:$A$25,Доп.расчеты!$A111,'Как есть'!EA$17:EA$25)</f>
        <v>0</v>
      </c>
      <c r="EA111">
        <f>SUMIF('Как есть'!$A$17:$A$25,Доп.расчеты!$A111,'Как есть'!EB$17:EB$25)</f>
        <v>0</v>
      </c>
      <c r="EB111">
        <f>SUMIF('Как есть'!$A$17:$A$25,Доп.расчеты!$A111,'Как есть'!EC$17:EC$25)</f>
        <v>0</v>
      </c>
      <c r="EC111">
        <f>SUMIF('Как есть'!$A$17:$A$25,Доп.расчеты!$A111,'Как есть'!ED$17:ED$25)</f>
        <v>0</v>
      </c>
      <c r="ED111">
        <f>SUMIF('Как есть'!$A$17:$A$25,Доп.расчеты!$A111,'Как есть'!EE$17:EE$25)</f>
        <v>0</v>
      </c>
      <c r="EE111">
        <f>SUMIF('Как есть'!$A$17:$A$25,Доп.расчеты!$A111,'Как есть'!EF$17:EF$25)</f>
        <v>0</v>
      </c>
      <c r="EF111">
        <f>SUMIF('Как есть'!$A$17:$A$25,Доп.расчеты!$A111,'Как есть'!EG$17:EG$25)</f>
        <v>0</v>
      </c>
      <c r="EG111">
        <f>SUMIF('Как есть'!$A$17:$A$25,Доп.расчеты!$A111,'Как есть'!EH$17:EH$25)</f>
        <v>0</v>
      </c>
      <c r="EH111">
        <f>SUMIF('Как есть'!$A$17:$A$25,Доп.расчеты!$A111,'Как есть'!EI$17:EI$25)</f>
        <v>0</v>
      </c>
      <c r="EI111">
        <f>SUMIF('Как есть'!$A$17:$A$25,Доп.расчеты!$A111,'Как есть'!EJ$17:EJ$25)</f>
        <v>0</v>
      </c>
      <c r="EJ111">
        <f>SUMIF('Как есть'!$A$17:$A$25,Доп.расчеты!$A111,'Как есть'!EK$17:EK$25)</f>
        <v>0</v>
      </c>
      <c r="EK111">
        <f>SUMIF('Как есть'!$A$17:$A$25,Доп.расчеты!$A111,'Как есть'!EL$17:EL$25)</f>
        <v>0</v>
      </c>
      <c r="EL111">
        <f>SUMIF('Как есть'!$A$17:$A$25,Доп.расчеты!$A111,'Как есть'!EM$17:EM$25)</f>
        <v>0</v>
      </c>
      <c r="EM111">
        <f>SUMIF('Как есть'!$A$17:$A$25,Доп.расчеты!$A111,'Как есть'!EN$17:EN$25)</f>
        <v>0</v>
      </c>
      <c r="EN111">
        <f>SUMIF('Как есть'!$A$17:$A$25,Доп.расчеты!$A111,'Как есть'!EO$17:EO$25)</f>
        <v>0</v>
      </c>
      <c r="EO111">
        <f>SUMIF('Как есть'!$A$17:$A$25,Доп.расчеты!$A111,'Как есть'!EP$17:EP$25)</f>
        <v>0</v>
      </c>
      <c r="EP111">
        <f>SUMIF('Как есть'!$A$17:$A$25,Доп.расчеты!$A111,'Как есть'!EQ$17:EQ$25)</f>
        <v>0</v>
      </c>
      <c r="EQ111">
        <f>SUMIF('Как есть'!$A$17:$A$25,Доп.расчеты!$A111,'Как есть'!ER$17:ER$25)</f>
        <v>0</v>
      </c>
      <c r="ER111">
        <f>SUMIF('Как есть'!$A$17:$A$25,Доп.расчеты!$A111,'Как есть'!ES$17:ES$25)</f>
        <v>0</v>
      </c>
      <c r="ES111">
        <f>SUMIF('Как есть'!$A$17:$A$25,Доп.расчеты!$A111,'Как есть'!ET$17:ET$25)</f>
        <v>0</v>
      </c>
      <c r="ET111">
        <f>SUMIF('Как есть'!$A$17:$A$25,Доп.расчеты!$A111,'Как есть'!EU$17:EU$25)</f>
        <v>0</v>
      </c>
      <c r="EU111">
        <f>SUMIF('Как есть'!$A$17:$A$25,Доп.расчеты!$A111,'Как есть'!EV$17:EV$25)</f>
        <v>0</v>
      </c>
      <c r="EV111">
        <f>SUMIF('Как есть'!$A$17:$A$25,Доп.расчеты!$A111,'Как есть'!EW$17:EW$25)</f>
        <v>0</v>
      </c>
      <c r="EW111">
        <f>SUMIF('Как есть'!$A$17:$A$25,Доп.расчеты!$A111,'Как есть'!EX$17:EX$25)</f>
        <v>0</v>
      </c>
      <c r="EX111">
        <f>SUMIF('Как есть'!$A$17:$A$25,Доп.расчеты!$A111,'Как есть'!EY$17:EY$25)</f>
        <v>0</v>
      </c>
      <c r="EY111">
        <f>SUMIF('Как есть'!$A$17:$A$25,Доп.расчеты!$A111,'Как есть'!EZ$17:EZ$25)</f>
        <v>0</v>
      </c>
      <c r="EZ111">
        <f>SUMIF('Как есть'!$A$17:$A$25,Доп.расчеты!$A111,'Как есть'!FA$17:FA$25)</f>
        <v>0</v>
      </c>
      <c r="FA111">
        <f>SUMIF('Как есть'!$A$17:$A$25,Доп.расчеты!$A111,'Как есть'!FB$17:FB$25)</f>
        <v>0</v>
      </c>
      <c r="FB111">
        <f>SUMIF('Как есть'!$A$17:$A$25,Доп.расчеты!$A111,'Как есть'!FC$17:FC$25)</f>
        <v>0</v>
      </c>
      <c r="FC111">
        <f>SUMIF('Как есть'!$A$17:$A$25,Доп.расчеты!$A111,'Как есть'!FD$17:FD$25)</f>
        <v>0</v>
      </c>
      <c r="FD111">
        <f>SUMIF('Как есть'!$A$17:$A$25,Доп.расчеты!$A111,'Как есть'!FE$17:FE$25)</f>
        <v>0</v>
      </c>
      <c r="FE111">
        <f>SUMIF('Как есть'!$A$17:$A$25,Доп.расчеты!$A111,'Как есть'!FF$17:FF$25)</f>
        <v>0</v>
      </c>
      <c r="FF111">
        <f>SUMIF('Как есть'!$A$17:$A$25,Доп.расчеты!$A111,'Как есть'!FG$17:FG$25)</f>
        <v>0</v>
      </c>
      <c r="FG111">
        <f>SUMIF('Как есть'!$A$17:$A$25,Доп.расчеты!$A111,'Как есть'!FH$17:FH$25)</f>
        <v>0</v>
      </c>
      <c r="FH111">
        <f>SUMIF('Как есть'!$A$17:$A$25,Доп.расчеты!$A111,'Как есть'!FI$17:FI$25)</f>
        <v>0</v>
      </c>
      <c r="FI111">
        <f>SUMIF('Как есть'!$A$17:$A$25,Доп.расчеты!$A111,'Как есть'!FJ$17:FJ$25)</f>
        <v>0</v>
      </c>
      <c r="FJ111">
        <f>SUMIF('Как есть'!$A$17:$A$25,Доп.расчеты!$A111,'Как есть'!FK$17:FK$25)</f>
        <v>0</v>
      </c>
      <c r="FK111">
        <f>SUMIF('Как есть'!$A$17:$A$25,Доп.расчеты!$A111,'Как есть'!FL$17:FL$25)</f>
        <v>0</v>
      </c>
      <c r="FL111">
        <f>SUMIF('Как есть'!$A$17:$A$25,Доп.расчеты!$A111,'Как есть'!FM$17:FM$25)</f>
        <v>0</v>
      </c>
      <c r="FM111">
        <f>SUMIF('Как есть'!$A$17:$A$25,Доп.расчеты!$A111,'Как есть'!FN$17:FN$25)</f>
        <v>0</v>
      </c>
      <c r="FN111">
        <f>SUMIF('Как есть'!$A$17:$A$25,Доп.расчеты!$A111,'Как есть'!FO$17:FO$25)</f>
        <v>0</v>
      </c>
      <c r="FO111">
        <f>SUMIF('Как есть'!$A$17:$A$25,Доп.расчеты!$A111,'Как есть'!FP$17:FP$25)</f>
        <v>0</v>
      </c>
      <c r="FP111">
        <f>SUMIF('Как есть'!$A$17:$A$25,Доп.расчеты!$A111,'Как есть'!FQ$17:FQ$25)</f>
        <v>0</v>
      </c>
      <c r="FQ111">
        <f>SUMIF('Как есть'!$A$17:$A$25,Доп.расчеты!$A111,'Как есть'!FR$17:FR$25)</f>
        <v>0</v>
      </c>
      <c r="FR111">
        <f>SUMIF('Как есть'!$A$17:$A$25,Доп.расчеты!$A111,'Как есть'!FS$17:FS$25)</f>
        <v>0</v>
      </c>
      <c r="FS111">
        <f>SUMIF('Как есть'!$A$17:$A$25,Доп.расчеты!$A111,'Как есть'!FT$17:FT$25)</f>
        <v>0</v>
      </c>
      <c r="FT111">
        <f>SUMIF('Как есть'!$A$17:$A$25,Доп.расчеты!$A111,'Как есть'!FU$17:FU$25)</f>
        <v>0</v>
      </c>
      <c r="FU111">
        <f>SUMIF('Как есть'!$A$17:$A$25,Доп.расчеты!$A111,'Как есть'!FV$17:FV$25)</f>
        <v>0</v>
      </c>
      <c r="FV111">
        <f>SUMIF('Как есть'!$A$17:$A$25,Доп.расчеты!$A111,'Как есть'!FW$17:FW$25)</f>
        <v>0</v>
      </c>
      <c r="FW111">
        <f>SUMIF('Как есть'!$A$17:$A$25,Доп.расчеты!$A111,'Как есть'!FX$17:FX$25)</f>
        <v>0</v>
      </c>
      <c r="FX111">
        <f>SUMIF('Как есть'!$A$17:$A$25,Доп.расчеты!$A111,'Как есть'!FY$17:FY$25)</f>
        <v>0</v>
      </c>
      <c r="FY111">
        <f>SUMIF('Как есть'!$A$17:$A$25,Доп.расчеты!$A111,'Как есть'!FZ$17:FZ$25)</f>
        <v>0</v>
      </c>
      <c r="FZ111">
        <f>SUMIF('Как есть'!$A$17:$A$25,Доп.расчеты!$A111,'Как есть'!GA$17:GA$25)</f>
        <v>0</v>
      </c>
      <c r="GA111">
        <f>SUMIF('Как есть'!$A$17:$A$25,Доп.расчеты!$A111,'Как есть'!GB$17:GB$25)</f>
        <v>0</v>
      </c>
      <c r="GB111">
        <f>SUMIF('Как есть'!$A$17:$A$25,Доп.расчеты!$A111,'Как есть'!GC$17:GC$25)</f>
        <v>0</v>
      </c>
      <c r="GC111">
        <f>SUMIF('Как есть'!$A$17:$A$25,Доп.расчеты!$A111,'Как есть'!GD$17:GD$25)</f>
        <v>0</v>
      </c>
      <c r="GD111">
        <f>SUMIF('Как есть'!$A$17:$A$25,Доп.расчеты!$A111,'Как есть'!GE$17:GE$25)</f>
        <v>0</v>
      </c>
      <c r="GE111">
        <f>SUMIF('Как есть'!$A$17:$A$25,Доп.расчеты!$A111,'Как есть'!GF$17:GF$25)</f>
        <v>0</v>
      </c>
      <c r="GF111">
        <f>SUMIF('Как есть'!$A$17:$A$25,Доп.расчеты!$A111,'Как есть'!GG$17:GG$25)</f>
        <v>0</v>
      </c>
      <c r="GG111">
        <f>SUMIF('Как есть'!$A$17:$A$25,Доп.расчеты!$A111,'Как есть'!GH$17:GH$25)</f>
        <v>0</v>
      </c>
      <c r="GH111">
        <f>SUMIF('Как есть'!$A$17:$A$25,Доп.расчеты!$A111,'Как есть'!GI$17:GI$25)</f>
        <v>0</v>
      </c>
      <c r="GI111">
        <f>SUMIF('Как есть'!$A$17:$A$25,Доп.расчеты!$A111,'Как есть'!GJ$17:GJ$25)</f>
        <v>0</v>
      </c>
      <c r="GJ111">
        <f>SUMIF('Как есть'!$A$17:$A$25,Доп.расчеты!$A111,'Как есть'!GK$17:GK$25)</f>
        <v>0</v>
      </c>
      <c r="GK111">
        <f>SUMIF('Как есть'!$A$17:$A$25,Доп.расчеты!$A111,'Как есть'!GL$17:GL$25)</f>
        <v>0</v>
      </c>
      <c r="GL111">
        <f>SUMIF('Как есть'!$A$17:$A$25,Доп.расчеты!$A111,'Как есть'!GM$17:GM$25)</f>
        <v>0</v>
      </c>
      <c r="GM111">
        <f>SUMIF('Как есть'!$A$17:$A$25,Доп.расчеты!$A111,'Как есть'!GN$17:GN$25)</f>
        <v>0</v>
      </c>
      <c r="GN111">
        <f>SUMIF('Как есть'!$A$17:$A$25,Доп.расчеты!$A111,'Как есть'!GO$17:GO$25)</f>
        <v>0</v>
      </c>
      <c r="GO111">
        <f>SUMIF('Как есть'!$A$17:$A$25,Доп.расчеты!$A111,'Как есть'!GP$17:GP$25)</f>
        <v>0</v>
      </c>
      <c r="GP111">
        <f>SUMIF('Как есть'!$A$17:$A$25,Доп.расчеты!$A111,'Как есть'!GQ$17:GQ$25)</f>
        <v>0</v>
      </c>
      <c r="GQ111">
        <f>SUMIF('Как есть'!$A$17:$A$25,Доп.расчеты!$A111,'Как есть'!GR$17:GR$25)</f>
        <v>0</v>
      </c>
      <c r="GR111">
        <f>SUMIF('Как есть'!$A$17:$A$25,Доп.расчеты!$A111,'Как есть'!GS$17:GS$25)</f>
        <v>0</v>
      </c>
      <c r="GS111">
        <f>SUMIF('Как есть'!$A$17:$A$25,Доп.расчеты!$A111,'Как есть'!GT$17:GT$25)</f>
        <v>0</v>
      </c>
      <c r="GT111">
        <f>SUMIF('Как есть'!$A$17:$A$25,Доп.расчеты!$A111,'Как есть'!GU$17:GU$25)</f>
        <v>0</v>
      </c>
    </row>
    <row r="112" spans="1:202" hidden="1" outlineLevel="1">
      <c r="A112" s="238" t="s">
        <v>90</v>
      </c>
      <c r="B112">
        <f>SUMIF('Как есть'!$A$17:$A$25,Доп.расчеты!$A112,'Как есть'!C$17:C$25)</f>
        <v>0</v>
      </c>
      <c r="C112">
        <f>SUMIF('Как есть'!$A$17:$A$25,Доп.расчеты!$A112,'Как есть'!D$17:D$25)</f>
        <v>0</v>
      </c>
      <c r="D112">
        <f>SUMIF('Как есть'!$A$17:$A$25,Доп.расчеты!$A112,'Как есть'!E$17:E$25)</f>
        <v>0</v>
      </c>
      <c r="E112">
        <f>SUMIF('Как есть'!$A$17:$A$25,Доп.расчеты!$A112,'Как есть'!F$17:F$25)</f>
        <v>0</v>
      </c>
      <c r="F112">
        <f>SUMIF('Как есть'!$A$17:$A$25,Доп.расчеты!$A112,'Как есть'!G$17:G$25)</f>
        <v>0</v>
      </c>
      <c r="G112">
        <f>SUMIF('Как есть'!$A$17:$A$25,Доп.расчеты!$A112,'Как есть'!H$17:H$25)</f>
        <v>0</v>
      </c>
      <c r="H112">
        <f>SUMIF('Как есть'!$A$17:$A$25,Доп.расчеты!$A112,'Как есть'!I$17:I$25)</f>
        <v>0</v>
      </c>
      <c r="I112">
        <f>SUMIF('Как есть'!$A$17:$A$25,Доп.расчеты!$A112,'Как есть'!J$17:J$25)</f>
        <v>0</v>
      </c>
      <c r="J112">
        <f>SUMIF('Как есть'!$A$17:$A$25,Доп.расчеты!$A112,'Как есть'!K$17:K$25)</f>
        <v>0</v>
      </c>
      <c r="K112">
        <f>SUMIF('Как есть'!$A$17:$A$25,Доп.расчеты!$A112,'Как есть'!L$17:L$25)</f>
        <v>0</v>
      </c>
      <c r="L112">
        <f>SUMIF('Как есть'!$A$17:$A$25,Доп.расчеты!$A112,'Как есть'!M$17:M$25)</f>
        <v>0</v>
      </c>
      <c r="M112">
        <f>SUMIF('Как есть'!$A$17:$A$25,Доп.расчеты!$A112,'Как есть'!N$17:N$25)</f>
        <v>0</v>
      </c>
      <c r="N112">
        <f>SUMIF('Как есть'!$A$17:$A$25,Доп.расчеты!$A112,'Как есть'!O$17:O$25)</f>
        <v>0</v>
      </c>
      <c r="O112">
        <f>SUMIF('Как есть'!$A$17:$A$25,Доп.расчеты!$A112,'Как есть'!P$17:P$25)</f>
        <v>0</v>
      </c>
      <c r="P112">
        <f>SUMIF('Как есть'!$A$17:$A$25,Доп.расчеты!$A112,'Как есть'!Q$17:Q$25)</f>
        <v>0</v>
      </c>
      <c r="Q112">
        <f>SUMIF('Как есть'!$A$17:$A$25,Доп.расчеты!$A112,'Как есть'!R$17:R$25)</f>
        <v>0</v>
      </c>
      <c r="R112">
        <f>SUMIF('Как есть'!$A$17:$A$25,Доп.расчеты!$A112,'Как есть'!S$17:S$25)</f>
        <v>0</v>
      </c>
      <c r="S112">
        <f>SUMIF('Как есть'!$A$17:$A$25,Доп.расчеты!$A112,'Как есть'!T$17:T$25)</f>
        <v>0</v>
      </c>
      <c r="T112">
        <f>SUMIF('Как есть'!$A$17:$A$25,Доп.расчеты!$A112,'Как есть'!U$17:U$25)</f>
        <v>0</v>
      </c>
      <c r="U112">
        <f>SUMIF('Как есть'!$A$17:$A$25,Доп.расчеты!$A112,'Как есть'!V$17:V$25)</f>
        <v>0</v>
      </c>
      <c r="V112">
        <f>SUMIF('Как есть'!$A$17:$A$25,Доп.расчеты!$A112,'Как есть'!W$17:W$25)</f>
        <v>0</v>
      </c>
      <c r="W112">
        <f>SUMIF('Как есть'!$A$17:$A$25,Доп.расчеты!$A112,'Как есть'!X$17:X$25)</f>
        <v>0</v>
      </c>
      <c r="X112">
        <f>SUMIF('Как есть'!$A$17:$A$25,Доп.расчеты!$A112,'Как есть'!Y$17:Y$25)</f>
        <v>0</v>
      </c>
      <c r="Y112">
        <f>SUMIF('Как есть'!$A$17:$A$25,Доп.расчеты!$A112,'Как есть'!Z$17:Z$25)</f>
        <v>0</v>
      </c>
      <c r="Z112">
        <f>SUMIF('Как есть'!$A$17:$A$25,Доп.расчеты!$A112,'Как есть'!AA$17:AA$25)</f>
        <v>0</v>
      </c>
      <c r="AA112">
        <f>SUMIF('Как есть'!$A$17:$A$25,Доп.расчеты!$A112,'Как есть'!AB$17:AB$25)</f>
        <v>0</v>
      </c>
      <c r="AB112">
        <f>SUMIF('Как есть'!$A$17:$A$25,Доп.расчеты!$A112,'Как есть'!AC$17:AC$25)</f>
        <v>0</v>
      </c>
      <c r="AC112">
        <f>SUMIF('Как есть'!$A$17:$A$25,Доп.расчеты!$A112,'Как есть'!AD$17:AD$25)</f>
        <v>0</v>
      </c>
      <c r="AD112">
        <f>SUMIF('Как есть'!$A$17:$A$25,Доп.расчеты!$A112,'Как есть'!AE$17:AE$25)</f>
        <v>0</v>
      </c>
      <c r="AE112">
        <f>SUMIF('Как есть'!$A$17:$A$25,Доп.расчеты!$A112,'Как есть'!AF$17:AF$25)</f>
        <v>0</v>
      </c>
      <c r="AF112">
        <f>SUMIF('Как есть'!$A$17:$A$25,Доп.расчеты!$A112,'Как есть'!AG$17:AG$25)</f>
        <v>0</v>
      </c>
      <c r="AG112">
        <f>SUMIF('Как есть'!$A$17:$A$25,Доп.расчеты!$A112,'Как есть'!AH$17:AH$25)</f>
        <v>0</v>
      </c>
      <c r="AH112">
        <f>SUMIF('Как есть'!$A$17:$A$25,Доп.расчеты!$A112,'Как есть'!AI$17:AI$25)</f>
        <v>0</v>
      </c>
      <c r="AI112">
        <f>SUMIF('Как есть'!$A$17:$A$25,Доп.расчеты!$A112,'Как есть'!AJ$17:AJ$25)</f>
        <v>0</v>
      </c>
      <c r="AJ112">
        <f>SUMIF('Как есть'!$A$17:$A$25,Доп.расчеты!$A112,'Как есть'!AK$17:AK$25)</f>
        <v>0</v>
      </c>
      <c r="AK112">
        <f>SUMIF('Как есть'!$A$17:$A$25,Доп.расчеты!$A112,'Как есть'!AL$17:AL$25)</f>
        <v>0</v>
      </c>
      <c r="AL112">
        <f>SUMIF('Как есть'!$A$17:$A$25,Доп.расчеты!$A112,'Как есть'!AM$17:AM$25)</f>
        <v>0</v>
      </c>
      <c r="AM112">
        <f>SUMIF('Как есть'!$A$17:$A$25,Доп.расчеты!$A112,'Как есть'!AN$17:AN$25)</f>
        <v>0</v>
      </c>
      <c r="AN112">
        <f>SUMIF('Как есть'!$A$17:$A$25,Доп.расчеты!$A112,'Как есть'!AO$17:AO$25)</f>
        <v>0</v>
      </c>
      <c r="AO112">
        <f>SUMIF('Как есть'!$A$17:$A$25,Доп.расчеты!$A112,'Как есть'!AP$17:AP$25)</f>
        <v>0</v>
      </c>
      <c r="AP112">
        <f>SUMIF('Как есть'!$A$17:$A$25,Доп.расчеты!$A112,'Как есть'!AQ$17:AQ$25)</f>
        <v>0</v>
      </c>
      <c r="AQ112">
        <f>SUMIF('Как есть'!$A$17:$A$25,Доп.расчеты!$A112,'Как есть'!AR$17:AR$25)</f>
        <v>0</v>
      </c>
      <c r="AR112">
        <f>SUMIF('Как есть'!$A$17:$A$25,Доп.расчеты!$A112,'Как есть'!AS$17:AS$25)</f>
        <v>0</v>
      </c>
      <c r="AS112">
        <f>SUMIF('Как есть'!$A$17:$A$25,Доп.расчеты!$A112,'Как есть'!AT$17:AT$25)</f>
        <v>0</v>
      </c>
      <c r="AT112">
        <f>SUMIF('Как есть'!$A$17:$A$25,Доп.расчеты!$A112,'Как есть'!AU$17:AU$25)</f>
        <v>0</v>
      </c>
      <c r="AU112">
        <f>SUMIF('Как есть'!$A$17:$A$25,Доп.расчеты!$A112,'Как есть'!AV$17:AV$25)</f>
        <v>0</v>
      </c>
      <c r="AV112">
        <f>SUMIF('Как есть'!$A$17:$A$25,Доп.расчеты!$A112,'Как есть'!AW$17:AW$25)</f>
        <v>0</v>
      </c>
      <c r="AW112">
        <f>SUMIF('Как есть'!$A$17:$A$25,Доп.расчеты!$A112,'Как есть'!AX$17:AX$25)</f>
        <v>0</v>
      </c>
      <c r="AX112">
        <f>SUMIF('Как есть'!$A$17:$A$25,Доп.расчеты!$A112,'Как есть'!AY$17:AY$25)</f>
        <v>0</v>
      </c>
      <c r="AY112">
        <f>SUMIF('Как есть'!$A$17:$A$25,Доп.расчеты!$A112,'Как есть'!AZ$17:AZ$25)</f>
        <v>0</v>
      </c>
      <c r="AZ112">
        <f>SUMIF('Как есть'!$A$17:$A$25,Доп.расчеты!$A112,'Как есть'!BA$17:BA$25)</f>
        <v>0</v>
      </c>
      <c r="BA112">
        <f>SUMIF('Как есть'!$A$17:$A$25,Доп.расчеты!$A112,'Как есть'!BB$17:BB$25)</f>
        <v>0</v>
      </c>
      <c r="BB112">
        <f>SUMIF('Как есть'!$A$17:$A$25,Доп.расчеты!$A112,'Как есть'!BC$17:BC$25)</f>
        <v>0</v>
      </c>
      <c r="BC112">
        <f>SUMIF('Как есть'!$A$17:$A$25,Доп.расчеты!$A112,'Как есть'!BD$17:BD$25)</f>
        <v>0</v>
      </c>
      <c r="BD112">
        <f>SUMIF('Как есть'!$A$17:$A$25,Доп.расчеты!$A112,'Как есть'!BE$17:BE$25)</f>
        <v>0</v>
      </c>
      <c r="BE112">
        <f>SUMIF('Как есть'!$A$17:$A$25,Доп.расчеты!$A112,'Как есть'!BF$17:BF$25)</f>
        <v>0</v>
      </c>
      <c r="BF112">
        <f>SUMIF('Как есть'!$A$17:$A$25,Доп.расчеты!$A112,'Как есть'!BG$17:BG$25)</f>
        <v>0</v>
      </c>
      <c r="BG112">
        <f>SUMIF('Как есть'!$A$17:$A$25,Доп.расчеты!$A112,'Как есть'!BH$17:BH$25)</f>
        <v>0</v>
      </c>
      <c r="BH112">
        <f>SUMIF('Как есть'!$A$17:$A$25,Доп.расчеты!$A112,'Как есть'!BI$17:BI$25)</f>
        <v>0</v>
      </c>
      <c r="BI112">
        <f>SUMIF('Как есть'!$A$17:$A$25,Доп.расчеты!$A112,'Как есть'!BJ$17:BJ$25)</f>
        <v>0</v>
      </c>
      <c r="BJ112">
        <f>SUMIF('Как есть'!$A$17:$A$25,Доп.расчеты!$A112,'Как есть'!BK$17:BK$25)</f>
        <v>0</v>
      </c>
      <c r="BK112">
        <f>SUMIF('Как есть'!$A$17:$A$25,Доп.расчеты!$A112,'Как есть'!BL$17:BL$25)</f>
        <v>0</v>
      </c>
      <c r="BL112">
        <f>SUMIF('Как есть'!$A$17:$A$25,Доп.расчеты!$A112,'Как есть'!BM$17:BM$25)</f>
        <v>0</v>
      </c>
      <c r="BM112">
        <f>SUMIF('Как есть'!$A$17:$A$25,Доп.расчеты!$A112,'Как есть'!BN$17:BN$25)</f>
        <v>0</v>
      </c>
      <c r="BN112">
        <f>SUMIF('Как есть'!$A$17:$A$25,Доп.расчеты!$A112,'Как есть'!BO$17:BO$25)</f>
        <v>0</v>
      </c>
      <c r="BO112">
        <f>SUMIF('Как есть'!$A$17:$A$25,Доп.расчеты!$A112,'Как есть'!BP$17:BP$25)</f>
        <v>0</v>
      </c>
      <c r="BP112">
        <f>SUMIF('Как есть'!$A$17:$A$25,Доп.расчеты!$A112,'Как есть'!BQ$17:BQ$25)</f>
        <v>0</v>
      </c>
      <c r="BQ112">
        <f>SUMIF('Как есть'!$A$17:$A$25,Доп.расчеты!$A112,'Как есть'!BR$17:BR$25)</f>
        <v>0</v>
      </c>
      <c r="BR112">
        <f>SUMIF('Как есть'!$A$17:$A$25,Доп.расчеты!$A112,'Как есть'!BS$17:BS$25)</f>
        <v>0</v>
      </c>
      <c r="BS112">
        <f>SUMIF('Как есть'!$A$17:$A$25,Доп.расчеты!$A112,'Как есть'!BT$17:BT$25)</f>
        <v>0</v>
      </c>
      <c r="BT112">
        <f>SUMIF('Как есть'!$A$17:$A$25,Доп.расчеты!$A112,'Как есть'!BU$17:BU$25)</f>
        <v>0</v>
      </c>
      <c r="BU112">
        <f>SUMIF('Как есть'!$A$17:$A$25,Доп.расчеты!$A112,'Как есть'!BV$17:BV$25)</f>
        <v>0</v>
      </c>
      <c r="BV112">
        <f>SUMIF('Как есть'!$A$17:$A$25,Доп.расчеты!$A112,'Как есть'!BW$17:BW$25)</f>
        <v>0</v>
      </c>
      <c r="BW112">
        <f>SUMIF('Как есть'!$A$17:$A$25,Доп.расчеты!$A112,'Как есть'!BX$17:BX$25)</f>
        <v>0</v>
      </c>
      <c r="BX112">
        <f>SUMIF('Как есть'!$A$17:$A$25,Доп.расчеты!$A112,'Как есть'!BY$17:BY$25)</f>
        <v>0</v>
      </c>
      <c r="BY112">
        <f>SUMIF('Как есть'!$A$17:$A$25,Доп.расчеты!$A112,'Как есть'!BZ$17:BZ$25)</f>
        <v>0</v>
      </c>
      <c r="BZ112">
        <f>SUMIF('Как есть'!$A$17:$A$25,Доп.расчеты!$A112,'Как есть'!CA$17:CA$25)</f>
        <v>0</v>
      </c>
      <c r="CA112">
        <f>SUMIF('Как есть'!$A$17:$A$25,Доп.расчеты!$A112,'Как есть'!CB$17:CB$25)</f>
        <v>0</v>
      </c>
      <c r="CB112">
        <f>SUMIF('Как есть'!$A$17:$A$25,Доп.расчеты!$A112,'Как есть'!CC$17:CC$25)</f>
        <v>0</v>
      </c>
      <c r="CC112">
        <f>SUMIF('Как есть'!$A$17:$A$25,Доп.расчеты!$A112,'Как есть'!CD$17:CD$25)</f>
        <v>0</v>
      </c>
      <c r="CD112">
        <f>SUMIF('Как есть'!$A$17:$A$25,Доп.расчеты!$A112,'Как есть'!CE$17:CE$25)</f>
        <v>0</v>
      </c>
      <c r="CE112">
        <f>SUMIF('Как есть'!$A$17:$A$25,Доп.расчеты!$A112,'Как есть'!CF$17:CF$25)</f>
        <v>0</v>
      </c>
      <c r="CF112">
        <f>SUMIF('Как есть'!$A$17:$A$25,Доп.расчеты!$A112,'Как есть'!CG$17:CG$25)</f>
        <v>0</v>
      </c>
      <c r="CG112">
        <f>SUMIF('Как есть'!$A$17:$A$25,Доп.расчеты!$A112,'Как есть'!CH$17:CH$25)</f>
        <v>0</v>
      </c>
      <c r="CH112">
        <f>SUMIF('Как есть'!$A$17:$A$25,Доп.расчеты!$A112,'Как есть'!CI$17:CI$25)</f>
        <v>0</v>
      </c>
      <c r="CI112">
        <f>SUMIF('Как есть'!$A$17:$A$25,Доп.расчеты!$A112,'Как есть'!CJ$17:CJ$25)</f>
        <v>0</v>
      </c>
      <c r="CJ112">
        <f>SUMIF('Как есть'!$A$17:$A$25,Доп.расчеты!$A112,'Как есть'!CK$17:CK$25)</f>
        <v>0</v>
      </c>
      <c r="CK112">
        <f>SUMIF('Как есть'!$A$17:$A$25,Доп.расчеты!$A112,'Как есть'!CL$17:CL$25)</f>
        <v>0</v>
      </c>
      <c r="CL112">
        <f>SUMIF('Как есть'!$A$17:$A$25,Доп.расчеты!$A112,'Как есть'!CM$17:CM$25)</f>
        <v>0</v>
      </c>
      <c r="CM112">
        <f>SUMIF('Как есть'!$A$17:$A$25,Доп.расчеты!$A112,'Как есть'!CN$17:CN$25)</f>
        <v>0</v>
      </c>
      <c r="CN112">
        <f>SUMIF('Как есть'!$A$17:$A$25,Доп.расчеты!$A112,'Как есть'!CO$17:CO$25)</f>
        <v>0</v>
      </c>
      <c r="CO112">
        <f>SUMIF('Как есть'!$A$17:$A$25,Доп.расчеты!$A112,'Как есть'!CP$17:CP$25)</f>
        <v>0</v>
      </c>
      <c r="CP112">
        <f>SUMIF('Как есть'!$A$17:$A$25,Доп.расчеты!$A112,'Как есть'!CQ$17:CQ$25)</f>
        <v>0</v>
      </c>
      <c r="CQ112">
        <f>SUMIF('Как есть'!$A$17:$A$25,Доп.расчеты!$A112,'Как есть'!CR$17:CR$25)</f>
        <v>0</v>
      </c>
      <c r="CR112">
        <f>SUMIF('Как есть'!$A$17:$A$25,Доп.расчеты!$A112,'Как есть'!CS$17:CS$25)</f>
        <v>0</v>
      </c>
      <c r="CS112">
        <f>SUMIF('Как есть'!$A$17:$A$25,Доп.расчеты!$A112,'Как есть'!CT$17:CT$25)</f>
        <v>0</v>
      </c>
      <c r="CT112">
        <f>SUMIF('Как есть'!$A$17:$A$25,Доп.расчеты!$A112,'Как есть'!CU$17:CU$25)</f>
        <v>0</v>
      </c>
      <c r="CU112">
        <f>SUMIF('Как есть'!$A$17:$A$25,Доп.расчеты!$A112,'Как есть'!CV$17:CV$25)</f>
        <v>0</v>
      </c>
      <c r="CV112">
        <f>SUMIF('Как есть'!$A$17:$A$25,Доп.расчеты!$A112,'Как есть'!CW$17:CW$25)</f>
        <v>0</v>
      </c>
      <c r="CW112">
        <f>SUMIF('Как есть'!$A$17:$A$25,Доп.расчеты!$A112,'Как есть'!CX$17:CX$25)</f>
        <v>0</v>
      </c>
      <c r="CX112">
        <f>SUMIF('Как есть'!$A$17:$A$25,Доп.расчеты!$A112,'Как есть'!CY$17:CY$25)</f>
        <v>0</v>
      </c>
      <c r="CY112">
        <f>SUMIF('Как есть'!$A$17:$A$25,Доп.расчеты!$A112,'Как есть'!CZ$17:CZ$25)</f>
        <v>0</v>
      </c>
      <c r="CZ112">
        <f>SUMIF('Как есть'!$A$17:$A$25,Доп.расчеты!$A112,'Как есть'!DA$17:DA$25)</f>
        <v>0</v>
      </c>
      <c r="DA112">
        <f>SUMIF('Как есть'!$A$17:$A$25,Доп.расчеты!$A112,'Как есть'!DB$17:DB$25)</f>
        <v>0</v>
      </c>
      <c r="DB112">
        <f>SUMIF('Как есть'!$A$17:$A$25,Доп.расчеты!$A112,'Как есть'!DC$17:DC$25)</f>
        <v>0</v>
      </c>
      <c r="DC112">
        <f>SUMIF('Как есть'!$A$17:$A$25,Доп.расчеты!$A112,'Как есть'!DD$17:DD$25)</f>
        <v>0</v>
      </c>
      <c r="DD112">
        <f>SUMIF('Как есть'!$A$17:$A$25,Доп.расчеты!$A112,'Как есть'!DE$17:DE$25)</f>
        <v>0</v>
      </c>
      <c r="DE112">
        <f>SUMIF('Как есть'!$A$17:$A$25,Доп.расчеты!$A112,'Как есть'!DF$17:DF$25)</f>
        <v>0</v>
      </c>
      <c r="DF112">
        <f>SUMIF('Как есть'!$A$17:$A$25,Доп.расчеты!$A112,'Как есть'!DG$17:DG$25)</f>
        <v>0</v>
      </c>
      <c r="DG112">
        <f>SUMIF('Как есть'!$A$17:$A$25,Доп.расчеты!$A112,'Как есть'!DH$17:DH$25)</f>
        <v>0</v>
      </c>
      <c r="DH112">
        <f>SUMIF('Как есть'!$A$17:$A$25,Доп.расчеты!$A112,'Как есть'!DI$17:DI$25)</f>
        <v>0</v>
      </c>
      <c r="DI112">
        <f>SUMIF('Как есть'!$A$17:$A$25,Доп.расчеты!$A112,'Как есть'!DJ$17:DJ$25)</f>
        <v>0</v>
      </c>
      <c r="DJ112">
        <f>SUMIF('Как есть'!$A$17:$A$25,Доп.расчеты!$A112,'Как есть'!DK$17:DK$25)</f>
        <v>0</v>
      </c>
      <c r="DK112">
        <f>SUMIF('Как есть'!$A$17:$A$25,Доп.расчеты!$A112,'Как есть'!DL$17:DL$25)</f>
        <v>0</v>
      </c>
      <c r="DL112">
        <f>SUMIF('Как есть'!$A$17:$A$25,Доп.расчеты!$A112,'Как есть'!DM$17:DM$25)</f>
        <v>0</v>
      </c>
      <c r="DM112">
        <f>SUMIF('Как есть'!$A$17:$A$25,Доп.расчеты!$A112,'Как есть'!DN$17:DN$25)</f>
        <v>0</v>
      </c>
      <c r="DN112">
        <f>SUMIF('Как есть'!$A$17:$A$25,Доп.расчеты!$A112,'Как есть'!DO$17:DO$25)</f>
        <v>0</v>
      </c>
      <c r="DO112">
        <f>SUMIF('Как есть'!$A$17:$A$25,Доп.расчеты!$A112,'Как есть'!DP$17:DP$25)</f>
        <v>0</v>
      </c>
      <c r="DP112">
        <f>SUMIF('Как есть'!$A$17:$A$25,Доп.расчеты!$A112,'Как есть'!DQ$17:DQ$25)</f>
        <v>0</v>
      </c>
      <c r="DQ112">
        <f>SUMIF('Как есть'!$A$17:$A$25,Доп.расчеты!$A112,'Как есть'!DR$17:DR$25)</f>
        <v>0</v>
      </c>
      <c r="DR112">
        <f>SUMIF('Как есть'!$A$17:$A$25,Доп.расчеты!$A112,'Как есть'!DS$17:DS$25)</f>
        <v>0</v>
      </c>
      <c r="DS112">
        <f>SUMIF('Как есть'!$A$17:$A$25,Доп.расчеты!$A112,'Как есть'!DT$17:DT$25)</f>
        <v>0</v>
      </c>
      <c r="DT112">
        <f>SUMIF('Как есть'!$A$17:$A$25,Доп.расчеты!$A112,'Как есть'!DU$17:DU$25)</f>
        <v>0</v>
      </c>
      <c r="DU112">
        <f>SUMIF('Как есть'!$A$17:$A$25,Доп.расчеты!$A112,'Как есть'!DV$17:DV$25)</f>
        <v>0</v>
      </c>
      <c r="DV112">
        <f>SUMIF('Как есть'!$A$17:$A$25,Доп.расчеты!$A112,'Как есть'!DW$17:DW$25)</f>
        <v>0</v>
      </c>
      <c r="DW112">
        <f>SUMIF('Как есть'!$A$17:$A$25,Доп.расчеты!$A112,'Как есть'!DX$17:DX$25)</f>
        <v>0</v>
      </c>
      <c r="DX112">
        <f>SUMIF('Как есть'!$A$17:$A$25,Доп.расчеты!$A112,'Как есть'!DY$17:DY$25)</f>
        <v>0</v>
      </c>
      <c r="DY112">
        <f>SUMIF('Как есть'!$A$17:$A$25,Доп.расчеты!$A112,'Как есть'!DZ$17:DZ$25)</f>
        <v>0</v>
      </c>
      <c r="DZ112">
        <f>SUMIF('Как есть'!$A$17:$A$25,Доп.расчеты!$A112,'Как есть'!EA$17:EA$25)</f>
        <v>0</v>
      </c>
      <c r="EA112">
        <f>SUMIF('Как есть'!$A$17:$A$25,Доп.расчеты!$A112,'Как есть'!EB$17:EB$25)</f>
        <v>0</v>
      </c>
      <c r="EB112">
        <f>SUMIF('Как есть'!$A$17:$A$25,Доп.расчеты!$A112,'Как есть'!EC$17:EC$25)</f>
        <v>0</v>
      </c>
      <c r="EC112">
        <f>SUMIF('Как есть'!$A$17:$A$25,Доп.расчеты!$A112,'Как есть'!ED$17:ED$25)</f>
        <v>0</v>
      </c>
      <c r="ED112">
        <f>SUMIF('Как есть'!$A$17:$A$25,Доп.расчеты!$A112,'Как есть'!EE$17:EE$25)</f>
        <v>0</v>
      </c>
      <c r="EE112">
        <f>SUMIF('Как есть'!$A$17:$A$25,Доп.расчеты!$A112,'Как есть'!EF$17:EF$25)</f>
        <v>0</v>
      </c>
      <c r="EF112">
        <f>SUMIF('Как есть'!$A$17:$A$25,Доп.расчеты!$A112,'Как есть'!EG$17:EG$25)</f>
        <v>0</v>
      </c>
      <c r="EG112">
        <f>SUMIF('Как есть'!$A$17:$A$25,Доп.расчеты!$A112,'Как есть'!EH$17:EH$25)</f>
        <v>0</v>
      </c>
      <c r="EH112">
        <f>SUMIF('Как есть'!$A$17:$A$25,Доп.расчеты!$A112,'Как есть'!EI$17:EI$25)</f>
        <v>0</v>
      </c>
      <c r="EI112">
        <f>SUMIF('Как есть'!$A$17:$A$25,Доп.расчеты!$A112,'Как есть'!EJ$17:EJ$25)</f>
        <v>0</v>
      </c>
      <c r="EJ112">
        <f>SUMIF('Как есть'!$A$17:$A$25,Доп.расчеты!$A112,'Как есть'!EK$17:EK$25)</f>
        <v>0</v>
      </c>
      <c r="EK112">
        <f>SUMIF('Как есть'!$A$17:$A$25,Доп.расчеты!$A112,'Как есть'!EL$17:EL$25)</f>
        <v>0</v>
      </c>
      <c r="EL112">
        <f>SUMIF('Как есть'!$A$17:$A$25,Доп.расчеты!$A112,'Как есть'!EM$17:EM$25)</f>
        <v>0</v>
      </c>
      <c r="EM112">
        <f>SUMIF('Как есть'!$A$17:$A$25,Доп.расчеты!$A112,'Как есть'!EN$17:EN$25)</f>
        <v>0</v>
      </c>
      <c r="EN112">
        <f>SUMIF('Как есть'!$A$17:$A$25,Доп.расчеты!$A112,'Как есть'!EO$17:EO$25)</f>
        <v>0</v>
      </c>
      <c r="EO112">
        <f>SUMIF('Как есть'!$A$17:$A$25,Доп.расчеты!$A112,'Как есть'!EP$17:EP$25)</f>
        <v>0</v>
      </c>
      <c r="EP112">
        <f>SUMIF('Как есть'!$A$17:$A$25,Доп.расчеты!$A112,'Как есть'!EQ$17:EQ$25)</f>
        <v>0</v>
      </c>
      <c r="EQ112">
        <f>SUMIF('Как есть'!$A$17:$A$25,Доп.расчеты!$A112,'Как есть'!ER$17:ER$25)</f>
        <v>0</v>
      </c>
      <c r="ER112">
        <f>SUMIF('Как есть'!$A$17:$A$25,Доп.расчеты!$A112,'Как есть'!ES$17:ES$25)</f>
        <v>0</v>
      </c>
      <c r="ES112">
        <f>SUMIF('Как есть'!$A$17:$A$25,Доп.расчеты!$A112,'Как есть'!ET$17:ET$25)</f>
        <v>0</v>
      </c>
      <c r="ET112">
        <f>SUMIF('Как есть'!$A$17:$A$25,Доп.расчеты!$A112,'Как есть'!EU$17:EU$25)</f>
        <v>0</v>
      </c>
      <c r="EU112">
        <f>SUMIF('Как есть'!$A$17:$A$25,Доп.расчеты!$A112,'Как есть'!EV$17:EV$25)</f>
        <v>0</v>
      </c>
      <c r="EV112">
        <f>SUMIF('Как есть'!$A$17:$A$25,Доп.расчеты!$A112,'Как есть'!EW$17:EW$25)</f>
        <v>0</v>
      </c>
      <c r="EW112">
        <f>SUMIF('Как есть'!$A$17:$A$25,Доп.расчеты!$A112,'Как есть'!EX$17:EX$25)</f>
        <v>0</v>
      </c>
      <c r="EX112">
        <f>SUMIF('Как есть'!$A$17:$A$25,Доп.расчеты!$A112,'Как есть'!EY$17:EY$25)</f>
        <v>0</v>
      </c>
      <c r="EY112">
        <f>SUMIF('Как есть'!$A$17:$A$25,Доп.расчеты!$A112,'Как есть'!EZ$17:EZ$25)</f>
        <v>0</v>
      </c>
      <c r="EZ112">
        <f>SUMIF('Как есть'!$A$17:$A$25,Доп.расчеты!$A112,'Как есть'!FA$17:FA$25)</f>
        <v>0</v>
      </c>
      <c r="FA112">
        <f>SUMIF('Как есть'!$A$17:$A$25,Доп.расчеты!$A112,'Как есть'!FB$17:FB$25)</f>
        <v>0</v>
      </c>
      <c r="FB112">
        <f>SUMIF('Как есть'!$A$17:$A$25,Доп.расчеты!$A112,'Как есть'!FC$17:FC$25)</f>
        <v>0</v>
      </c>
      <c r="FC112">
        <f>SUMIF('Как есть'!$A$17:$A$25,Доп.расчеты!$A112,'Как есть'!FD$17:FD$25)</f>
        <v>0</v>
      </c>
      <c r="FD112">
        <f>SUMIF('Как есть'!$A$17:$A$25,Доп.расчеты!$A112,'Как есть'!FE$17:FE$25)</f>
        <v>0</v>
      </c>
      <c r="FE112">
        <f>SUMIF('Как есть'!$A$17:$A$25,Доп.расчеты!$A112,'Как есть'!FF$17:FF$25)</f>
        <v>0</v>
      </c>
      <c r="FF112">
        <f>SUMIF('Как есть'!$A$17:$A$25,Доп.расчеты!$A112,'Как есть'!FG$17:FG$25)</f>
        <v>0</v>
      </c>
      <c r="FG112">
        <f>SUMIF('Как есть'!$A$17:$A$25,Доп.расчеты!$A112,'Как есть'!FH$17:FH$25)</f>
        <v>0</v>
      </c>
      <c r="FH112">
        <f>SUMIF('Как есть'!$A$17:$A$25,Доп.расчеты!$A112,'Как есть'!FI$17:FI$25)</f>
        <v>0</v>
      </c>
      <c r="FI112">
        <f>SUMIF('Как есть'!$A$17:$A$25,Доп.расчеты!$A112,'Как есть'!FJ$17:FJ$25)</f>
        <v>0</v>
      </c>
      <c r="FJ112">
        <f>SUMIF('Как есть'!$A$17:$A$25,Доп.расчеты!$A112,'Как есть'!FK$17:FK$25)</f>
        <v>0</v>
      </c>
      <c r="FK112">
        <f>SUMIF('Как есть'!$A$17:$A$25,Доп.расчеты!$A112,'Как есть'!FL$17:FL$25)</f>
        <v>0</v>
      </c>
      <c r="FL112">
        <f>SUMIF('Как есть'!$A$17:$A$25,Доп.расчеты!$A112,'Как есть'!FM$17:FM$25)</f>
        <v>0</v>
      </c>
      <c r="FM112">
        <f>SUMIF('Как есть'!$A$17:$A$25,Доп.расчеты!$A112,'Как есть'!FN$17:FN$25)</f>
        <v>0</v>
      </c>
      <c r="FN112">
        <f>SUMIF('Как есть'!$A$17:$A$25,Доп.расчеты!$A112,'Как есть'!FO$17:FO$25)</f>
        <v>0</v>
      </c>
      <c r="FO112">
        <f>SUMIF('Как есть'!$A$17:$A$25,Доп.расчеты!$A112,'Как есть'!FP$17:FP$25)</f>
        <v>0</v>
      </c>
      <c r="FP112">
        <f>SUMIF('Как есть'!$A$17:$A$25,Доп.расчеты!$A112,'Как есть'!FQ$17:FQ$25)</f>
        <v>0</v>
      </c>
      <c r="FQ112">
        <f>SUMIF('Как есть'!$A$17:$A$25,Доп.расчеты!$A112,'Как есть'!FR$17:FR$25)</f>
        <v>0</v>
      </c>
      <c r="FR112">
        <f>SUMIF('Как есть'!$A$17:$A$25,Доп.расчеты!$A112,'Как есть'!FS$17:FS$25)</f>
        <v>0</v>
      </c>
      <c r="FS112">
        <f>SUMIF('Как есть'!$A$17:$A$25,Доп.расчеты!$A112,'Как есть'!FT$17:FT$25)</f>
        <v>0</v>
      </c>
      <c r="FT112">
        <f>SUMIF('Как есть'!$A$17:$A$25,Доп.расчеты!$A112,'Как есть'!FU$17:FU$25)</f>
        <v>0</v>
      </c>
      <c r="FU112">
        <f>SUMIF('Как есть'!$A$17:$A$25,Доп.расчеты!$A112,'Как есть'!FV$17:FV$25)</f>
        <v>0</v>
      </c>
      <c r="FV112">
        <f>SUMIF('Как есть'!$A$17:$A$25,Доп.расчеты!$A112,'Как есть'!FW$17:FW$25)</f>
        <v>0</v>
      </c>
      <c r="FW112">
        <f>SUMIF('Как есть'!$A$17:$A$25,Доп.расчеты!$A112,'Как есть'!FX$17:FX$25)</f>
        <v>0</v>
      </c>
      <c r="FX112">
        <f>SUMIF('Как есть'!$A$17:$A$25,Доп.расчеты!$A112,'Как есть'!FY$17:FY$25)</f>
        <v>0</v>
      </c>
      <c r="FY112">
        <f>SUMIF('Как есть'!$A$17:$A$25,Доп.расчеты!$A112,'Как есть'!FZ$17:FZ$25)</f>
        <v>0</v>
      </c>
      <c r="FZ112">
        <f>SUMIF('Как есть'!$A$17:$A$25,Доп.расчеты!$A112,'Как есть'!GA$17:GA$25)</f>
        <v>0</v>
      </c>
      <c r="GA112">
        <f>SUMIF('Как есть'!$A$17:$A$25,Доп.расчеты!$A112,'Как есть'!GB$17:GB$25)</f>
        <v>0</v>
      </c>
      <c r="GB112">
        <f>SUMIF('Как есть'!$A$17:$A$25,Доп.расчеты!$A112,'Как есть'!GC$17:GC$25)</f>
        <v>0</v>
      </c>
      <c r="GC112">
        <f>SUMIF('Как есть'!$A$17:$A$25,Доп.расчеты!$A112,'Как есть'!GD$17:GD$25)</f>
        <v>0</v>
      </c>
      <c r="GD112">
        <f>SUMIF('Как есть'!$A$17:$A$25,Доп.расчеты!$A112,'Как есть'!GE$17:GE$25)</f>
        <v>0</v>
      </c>
      <c r="GE112">
        <f>SUMIF('Как есть'!$A$17:$A$25,Доп.расчеты!$A112,'Как есть'!GF$17:GF$25)</f>
        <v>0</v>
      </c>
      <c r="GF112">
        <f>SUMIF('Как есть'!$A$17:$A$25,Доп.расчеты!$A112,'Как есть'!GG$17:GG$25)</f>
        <v>0</v>
      </c>
      <c r="GG112">
        <f>SUMIF('Как есть'!$A$17:$A$25,Доп.расчеты!$A112,'Как есть'!GH$17:GH$25)</f>
        <v>0</v>
      </c>
      <c r="GH112">
        <f>SUMIF('Как есть'!$A$17:$A$25,Доп.расчеты!$A112,'Как есть'!GI$17:GI$25)</f>
        <v>0</v>
      </c>
      <c r="GI112">
        <f>SUMIF('Как есть'!$A$17:$A$25,Доп.расчеты!$A112,'Как есть'!GJ$17:GJ$25)</f>
        <v>0</v>
      </c>
      <c r="GJ112">
        <f>SUMIF('Как есть'!$A$17:$A$25,Доп.расчеты!$A112,'Как есть'!GK$17:GK$25)</f>
        <v>0</v>
      </c>
      <c r="GK112">
        <f>SUMIF('Как есть'!$A$17:$A$25,Доп.расчеты!$A112,'Как есть'!GL$17:GL$25)</f>
        <v>0</v>
      </c>
      <c r="GL112">
        <f>SUMIF('Как есть'!$A$17:$A$25,Доп.расчеты!$A112,'Как есть'!GM$17:GM$25)</f>
        <v>0</v>
      </c>
      <c r="GM112">
        <f>SUMIF('Как есть'!$A$17:$A$25,Доп.расчеты!$A112,'Как есть'!GN$17:GN$25)</f>
        <v>0</v>
      </c>
      <c r="GN112">
        <f>SUMIF('Как есть'!$A$17:$A$25,Доп.расчеты!$A112,'Как есть'!GO$17:GO$25)</f>
        <v>0</v>
      </c>
      <c r="GO112">
        <f>SUMIF('Как есть'!$A$17:$A$25,Доп.расчеты!$A112,'Как есть'!GP$17:GP$25)</f>
        <v>0</v>
      </c>
      <c r="GP112">
        <f>SUMIF('Как есть'!$A$17:$A$25,Доп.расчеты!$A112,'Как есть'!GQ$17:GQ$25)</f>
        <v>0</v>
      </c>
      <c r="GQ112">
        <f>SUMIF('Как есть'!$A$17:$A$25,Доп.расчеты!$A112,'Как есть'!GR$17:GR$25)</f>
        <v>0</v>
      </c>
      <c r="GR112">
        <f>SUMIF('Как есть'!$A$17:$A$25,Доп.расчеты!$A112,'Как есть'!GS$17:GS$25)</f>
        <v>0</v>
      </c>
      <c r="GS112">
        <f>SUMIF('Как есть'!$A$17:$A$25,Доп.расчеты!$A112,'Как есть'!GT$17:GT$25)</f>
        <v>0</v>
      </c>
      <c r="GT112">
        <f>SUMIF('Как есть'!$A$17:$A$25,Доп.расчеты!$A112,'Как есть'!GU$17:GU$25)</f>
        <v>0</v>
      </c>
    </row>
    <row r="113" spans="1:202" hidden="1" outlineLevel="1">
      <c r="A113" s="238" t="s">
        <v>91</v>
      </c>
      <c r="B113">
        <f>SUMIF('Как есть'!$A$17:$A$25,Доп.расчеты!$A113,'Как есть'!C$17:C$25)</f>
        <v>0</v>
      </c>
      <c r="C113">
        <f>SUMIF('Как есть'!$A$17:$A$25,Доп.расчеты!$A113,'Как есть'!D$17:D$25)</f>
        <v>0</v>
      </c>
      <c r="D113">
        <f>SUMIF('Как есть'!$A$17:$A$25,Доп.расчеты!$A113,'Как есть'!E$17:E$25)</f>
        <v>0</v>
      </c>
      <c r="E113">
        <f>SUMIF('Как есть'!$A$17:$A$25,Доп.расчеты!$A113,'Как есть'!F$17:F$25)</f>
        <v>0</v>
      </c>
      <c r="F113">
        <f>SUMIF('Как есть'!$A$17:$A$25,Доп.расчеты!$A113,'Как есть'!G$17:G$25)</f>
        <v>0</v>
      </c>
      <c r="G113">
        <f>SUMIF('Как есть'!$A$17:$A$25,Доп.расчеты!$A113,'Как есть'!H$17:H$25)</f>
        <v>0</v>
      </c>
      <c r="H113">
        <f>SUMIF('Как есть'!$A$17:$A$25,Доп.расчеты!$A113,'Как есть'!I$17:I$25)</f>
        <v>0</v>
      </c>
      <c r="I113">
        <f>SUMIF('Как есть'!$A$17:$A$25,Доп.расчеты!$A113,'Как есть'!J$17:J$25)</f>
        <v>0</v>
      </c>
      <c r="J113">
        <f>SUMIF('Как есть'!$A$17:$A$25,Доп.расчеты!$A113,'Как есть'!K$17:K$25)</f>
        <v>0</v>
      </c>
      <c r="K113">
        <f>SUMIF('Как есть'!$A$17:$A$25,Доп.расчеты!$A113,'Как есть'!L$17:L$25)</f>
        <v>0</v>
      </c>
      <c r="L113">
        <f>SUMIF('Как есть'!$A$17:$A$25,Доп.расчеты!$A113,'Как есть'!M$17:M$25)</f>
        <v>0</v>
      </c>
      <c r="M113">
        <f>SUMIF('Как есть'!$A$17:$A$25,Доп.расчеты!$A113,'Как есть'!N$17:N$25)</f>
        <v>0</v>
      </c>
      <c r="N113">
        <f>SUMIF('Как есть'!$A$17:$A$25,Доп.расчеты!$A113,'Как есть'!O$17:O$25)</f>
        <v>0</v>
      </c>
      <c r="O113">
        <f>SUMIF('Как есть'!$A$17:$A$25,Доп.расчеты!$A113,'Как есть'!P$17:P$25)</f>
        <v>0</v>
      </c>
      <c r="P113">
        <f>SUMIF('Как есть'!$A$17:$A$25,Доп.расчеты!$A113,'Как есть'!Q$17:Q$25)</f>
        <v>0</v>
      </c>
      <c r="Q113">
        <f>SUMIF('Как есть'!$A$17:$A$25,Доп.расчеты!$A113,'Как есть'!R$17:R$25)</f>
        <v>0</v>
      </c>
      <c r="R113">
        <f>SUMIF('Как есть'!$A$17:$A$25,Доп.расчеты!$A113,'Как есть'!S$17:S$25)</f>
        <v>0</v>
      </c>
      <c r="S113">
        <f>SUMIF('Как есть'!$A$17:$A$25,Доп.расчеты!$A113,'Как есть'!T$17:T$25)</f>
        <v>0</v>
      </c>
      <c r="T113">
        <f>SUMIF('Как есть'!$A$17:$A$25,Доп.расчеты!$A113,'Как есть'!U$17:U$25)</f>
        <v>0</v>
      </c>
      <c r="U113">
        <f>SUMIF('Как есть'!$A$17:$A$25,Доп.расчеты!$A113,'Как есть'!V$17:V$25)</f>
        <v>0</v>
      </c>
      <c r="V113">
        <f>SUMIF('Как есть'!$A$17:$A$25,Доп.расчеты!$A113,'Как есть'!W$17:W$25)</f>
        <v>0</v>
      </c>
      <c r="W113">
        <f>SUMIF('Как есть'!$A$17:$A$25,Доп.расчеты!$A113,'Как есть'!X$17:X$25)</f>
        <v>0</v>
      </c>
      <c r="X113">
        <f>SUMIF('Как есть'!$A$17:$A$25,Доп.расчеты!$A113,'Как есть'!Y$17:Y$25)</f>
        <v>0</v>
      </c>
      <c r="Y113">
        <f>SUMIF('Как есть'!$A$17:$A$25,Доп.расчеты!$A113,'Как есть'!Z$17:Z$25)</f>
        <v>0</v>
      </c>
      <c r="Z113">
        <f>SUMIF('Как есть'!$A$17:$A$25,Доп.расчеты!$A113,'Как есть'!AA$17:AA$25)</f>
        <v>0</v>
      </c>
      <c r="AA113">
        <f>SUMIF('Как есть'!$A$17:$A$25,Доп.расчеты!$A113,'Как есть'!AB$17:AB$25)</f>
        <v>0</v>
      </c>
      <c r="AB113">
        <f>SUMIF('Как есть'!$A$17:$A$25,Доп.расчеты!$A113,'Как есть'!AC$17:AC$25)</f>
        <v>0</v>
      </c>
      <c r="AC113">
        <f>SUMIF('Как есть'!$A$17:$A$25,Доп.расчеты!$A113,'Как есть'!AD$17:AD$25)</f>
        <v>0</v>
      </c>
      <c r="AD113">
        <f>SUMIF('Как есть'!$A$17:$A$25,Доп.расчеты!$A113,'Как есть'!AE$17:AE$25)</f>
        <v>0</v>
      </c>
      <c r="AE113">
        <f>SUMIF('Как есть'!$A$17:$A$25,Доп.расчеты!$A113,'Как есть'!AF$17:AF$25)</f>
        <v>0</v>
      </c>
      <c r="AF113">
        <f>SUMIF('Как есть'!$A$17:$A$25,Доп.расчеты!$A113,'Как есть'!AG$17:AG$25)</f>
        <v>0</v>
      </c>
      <c r="AG113">
        <f>SUMIF('Как есть'!$A$17:$A$25,Доп.расчеты!$A113,'Как есть'!AH$17:AH$25)</f>
        <v>0</v>
      </c>
      <c r="AH113">
        <f>SUMIF('Как есть'!$A$17:$A$25,Доп.расчеты!$A113,'Как есть'!AI$17:AI$25)</f>
        <v>0</v>
      </c>
      <c r="AI113">
        <f>SUMIF('Как есть'!$A$17:$A$25,Доп.расчеты!$A113,'Как есть'!AJ$17:AJ$25)</f>
        <v>0</v>
      </c>
      <c r="AJ113">
        <f>SUMIF('Как есть'!$A$17:$A$25,Доп.расчеты!$A113,'Как есть'!AK$17:AK$25)</f>
        <v>0</v>
      </c>
      <c r="AK113">
        <f>SUMIF('Как есть'!$A$17:$A$25,Доп.расчеты!$A113,'Как есть'!AL$17:AL$25)</f>
        <v>0</v>
      </c>
      <c r="AL113">
        <f>SUMIF('Как есть'!$A$17:$A$25,Доп.расчеты!$A113,'Как есть'!AM$17:AM$25)</f>
        <v>0</v>
      </c>
      <c r="AM113">
        <f>SUMIF('Как есть'!$A$17:$A$25,Доп.расчеты!$A113,'Как есть'!AN$17:AN$25)</f>
        <v>0</v>
      </c>
      <c r="AN113">
        <f>SUMIF('Как есть'!$A$17:$A$25,Доп.расчеты!$A113,'Как есть'!AO$17:AO$25)</f>
        <v>0</v>
      </c>
      <c r="AO113">
        <f>SUMIF('Как есть'!$A$17:$A$25,Доп.расчеты!$A113,'Как есть'!AP$17:AP$25)</f>
        <v>0</v>
      </c>
      <c r="AP113">
        <f>SUMIF('Как есть'!$A$17:$A$25,Доп.расчеты!$A113,'Как есть'!AQ$17:AQ$25)</f>
        <v>0</v>
      </c>
      <c r="AQ113">
        <f>SUMIF('Как есть'!$A$17:$A$25,Доп.расчеты!$A113,'Как есть'!AR$17:AR$25)</f>
        <v>0</v>
      </c>
      <c r="AR113">
        <f>SUMIF('Как есть'!$A$17:$A$25,Доп.расчеты!$A113,'Как есть'!AS$17:AS$25)</f>
        <v>0</v>
      </c>
      <c r="AS113">
        <f>SUMIF('Как есть'!$A$17:$A$25,Доп.расчеты!$A113,'Как есть'!AT$17:AT$25)</f>
        <v>0</v>
      </c>
      <c r="AT113">
        <f>SUMIF('Как есть'!$A$17:$A$25,Доп.расчеты!$A113,'Как есть'!AU$17:AU$25)</f>
        <v>0</v>
      </c>
      <c r="AU113">
        <f>SUMIF('Как есть'!$A$17:$A$25,Доп.расчеты!$A113,'Как есть'!AV$17:AV$25)</f>
        <v>0</v>
      </c>
      <c r="AV113">
        <f>SUMIF('Как есть'!$A$17:$A$25,Доп.расчеты!$A113,'Как есть'!AW$17:AW$25)</f>
        <v>0</v>
      </c>
      <c r="AW113">
        <f>SUMIF('Как есть'!$A$17:$A$25,Доп.расчеты!$A113,'Как есть'!AX$17:AX$25)</f>
        <v>0</v>
      </c>
      <c r="AX113">
        <f>SUMIF('Как есть'!$A$17:$A$25,Доп.расчеты!$A113,'Как есть'!AY$17:AY$25)</f>
        <v>0</v>
      </c>
      <c r="AY113">
        <f>SUMIF('Как есть'!$A$17:$A$25,Доп.расчеты!$A113,'Как есть'!AZ$17:AZ$25)</f>
        <v>0</v>
      </c>
      <c r="AZ113">
        <f>SUMIF('Как есть'!$A$17:$A$25,Доп.расчеты!$A113,'Как есть'!BA$17:BA$25)</f>
        <v>0</v>
      </c>
      <c r="BA113">
        <f>SUMIF('Как есть'!$A$17:$A$25,Доп.расчеты!$A113,'Как есть'!BB$17:BB$25)</f>
        <v>0</v>
      </c>
      <c r="BB113">
        <f>SUMIF('Как есть'!$A$17:$A$25,Доп.расчеты!$A113,'Как есть'!BC$17:BC$25)</f>
        <v>0</v>
      </c>
      <c r="BC113">
        <f>SUMIF('Как есть'!$A$17:$A$25,Доп.расчеты!$A113,'Как есть'!BD$17:BD$25)</f>
        <v>0</v>
      </c>
      <c r="BD113">
        <f>SUMIF('Как есть'!$A$17:$A$25,Доп.расчеты!$A113,'Как есть'!BE$17:BE$25)</f>
        <v>0</v>
      </c>
      <c r="BE113">
        <f>SUMIF('Как есть'!$A$17:$A$25,Доп.расчеты!$A113,'Как есть'!BF$17:BF$25)</f>
        <v>0</v>
      </c>
      <c r="BF113">
        <f>SUMIF('Как есть'!$A$17:$A$25,Доп.расчеты!$A113,'Как есть'!BG$17:BG$25)</f>
        <v>0</v>
      </c>
      <c r="BG113">
        <f>SUMIF('Как есть'!$A$17:$A$25,Доп.расчеты!$A113,'Как есть'!BH$17:BH$25)</f>
        <v>0</v>
      </c>
      <c r="BH113">
        <f>SUMIF('Как есть'!$A$17:$A$25,Доп.расчеты!$A113,'Как есть'!BI$17:BI$25)</f>
        <v>0</v>
      </c>
      <c r="BI113">
        <f>SUMIF('Как есть'!$A$17:$A$25,Доп.расчеты!$A113,'Как есть'!BJ$17:BJ$25)</f>
        <v>0</v>
      </c>
      <c r="BJ113">
        <f>SUMIF('Как есть'!$A$17:$A$25,Доп.расчеты!$A113,'Как есть'!BK$17:BK$25)</f>
        <v>0</v>
      </c>
      <c r="BK113">
        <f>SUMIF('Как есть'!$A$17:$A$25,Доп.расчеты!$A113,'Как есть'!BL$17:BL$25)</f>
        <v>0</v>
      </c>
      <c r="BL113">
        <f>SUMIF('Как есть'!$A$17:$A$25,Доп.расчеты!$A113,'Как есть'!BM$17:BM$25)</f>
        <v>0</v>
      </c>
      <c r="BM113">
        <f>SUMIF('Как есть'!$A$17:$A$25,Доп.расчеты!$A113,'Как есть'!BN$17:BN$25)</f>
        <v>0</v>
      </c>
      <c r="BN113">
        <f>SUMIF('Как есть'!$A$17:$A$25,Доп.расчеты!$A113,'Как есть'!BO$17:BO$25)</f>
        <v>0</v>
      </c>
      <c r="BO113">
        <f>SUMIF('Как есть'!$A$17:$A$25,Доп.расчеты!$A113,'Как есть'!BP$17:BP$25)</f>
        <v>0</v>
      </c>
      <c r="BP113">
        <f>SUMIF('Как есть'!$A$17:$A$25,Доп.расчеты!$A113,'Как есть'!BQ$17:BQ$25)</f>
        <v>0</v>
      </c>
      <c r="BQ113">
        <f>SUMIF('Как есть'!$A$17:$A$25,Доп.расчеты!$A113,'Как есть'!BR$17:BR$25)</f>
        <v>0</v>
      </c>
      <c r="BR113">
        <f>SUMIF('Как есть'!$A$17:$A$25,Доп.расчеты!$A113,'Как есть'!BS$17:BS$25)</f>
        <v>0</v>
      </c>
      <c r="BS113">
        <f>SUMIF('Как есть'!$A$17:$A$25,Доп.расчеты!$A113,'Как есть'!BT$17:BT$25)</f>
        <v>0</v>
      </c>
      <c r="BT113">
        <f>SUMIF('Как есть'!$A$17:$A$25,Доп.расчеты!$A113,'Как есть'!BU$17:BU$25)</f>
        <v>0</v>
      </c>
      <c r="BU113">
        <f>SUMIF('Как есть'!$A$17:$A$25,Доп.расчеты!$A113,'Как есть'!BV$17:BV$25)</f>
        <v>0</v>
      </c>
      <c r="BV113">
        <f>SUMIF('Как есть'!$A$17:$A$25,Доп.расчеты!$A113,'Как есть'!BW$17:BW$25)</f>
        <v>0</v>
      </c>
      <c r="BW113">
        <f>SUMIF('Как есть'!$A$17:$A$25,Доп.расчеты!$A113,'Как есть'!BX$17:BX$25)</f>
        <v>0</v>
      </c>
      <c r="BX113">
        <f>SUMIF('Как есть'!$A$17:$A$25,Доп.расчеты!$A113,'Как есть'!BY$17:BY$25)</f>
        <v>0</v>
      </c>
      <c r="BY113">
        <f>SUMIF('Как есть'!$A$17:$A$25,Доп.расчеты!$A113,'Как есть'!BZ$17:BZ$25)</f>
        <v>0</v>
      </c>
      <c r="BZ113">
        <f>SUMIF('Как есть'!$A$17:$A$25,Доп.расчеты!$A113,'Как есть'!CA$17:CA$25)</f>
        <v>0</v>
      </c>
      <c r="CA113">
        <f>SUMIF('Как есть'!$A$17:$A$25,Доп.расчеты!$A113,'Как есть'!CB$17:CB$25)</f>
        <v>0</v>
      </c>
      <c r="CB113">
        <f>SUMIF('Как есть'!$A$17:$A$25,Доп.расчеты!$A113,'Как есть'!CC$17:CC$25)</f>
        <v>0</v>
      </c>
      <c r="CC113">
        <f>SUMIF('Как есть'!$A$17:$A$25,Доп.расчеты!$A113,'Как есть'!CD$17:CD$25)</f>
        <v>0</v>
      </c>
      <c r="CD113">
        <f>SUMIF('Как есть'!$A$17:$A$25,Доп.расчеты!$A113,'Как есть'!CE$17:CE$25)</f>
        <v>0</v>
      </c>
      <c r="CE113">
        <f>SUMIF('Как есть'!$A$17:$A$25,Доп.расчеты!$A113,'Как есть'!CF$17:CF$25)</f>
        <v>0</v>
      </c>
      <c r="CF113">
        <f>SUMIF('Как есть'!$A$17:$A$25,Доп.расчеты!$A113,'Как есть'!CG$17:CG$25)</f>
        <v>0</v>
      </c>
      <c r="CG113">
        <f>SUMIF('Как есть'!$A$17:$A$25,Доп.расчеты!$A113,'Как есть'!CH$17:CH$25)</f>
        <v>0</v>
      </c>
      <c r="CH113">
        <f>SUMIF('Как есть'!$A$17:$A$25,Доп.расчеты!$A113,'Как есть'!CI$17:CI$25)</f>
        <v>0</v>
      </c>
      <c r="CI113">
        <f>SUMIF('Как есть'!$A$17:$A$25,Доп.расчеты!$A113,'Как есть'!CJ$17:CJ$25)</f>
        <v>0</v>
      </c>
      <c r="CJ113">
        <f>SUMIF('Как есть'!$A$17:$A$25,Доп.расчеты!$A113,'Как есть'!CK$17:CK$25)</f>
        <v>0</v>
      </c>
      <c r="CK113">
        <f>SUMIF('Как есть'!$A$17:$A$25,Доп.расчеты!$A113,'Как есть'!CL$17:CL$25)</f>
        <v>0</v>
      </c>
      <c r="CL113">
        <f>SUMIF('Как есть'!$A$17:$A$25,Доп.расчеты!$A113,'Как есть'!CM$17:CM$25)</f>
        <v>0</v>
      </c>
      <c r="CM113">
        <f>SUMIF('Как есть'!$A$17:$A$25,Доп.расчеты!$A113,'Как есть'!CN$17:CN$25)</f>
        <v>0</v>
      </c>
      <c r="CN113">
        <f>SUMIF('Как есть'!$A$17:$A$25,Доп.расчеты!$A113,'Как есть'!CO$17:CO$25)</f>
        <v>0</v>
      </c>
      <c r="CO113">
        <f>SUMIF('Как есть'!$A$17:$A$25,Доп.расчеты!$A113,'Как есть'!CP$17:CP$25)</f>
        <v>0</v>
      </c>
      <c r="CP113">
        <f>SUMIF('Как есть'!$A$17:$A$25,Доп.расчеты!$A113,'Как есть'!CQ$17:CQ$25)</f>
        <v>0</v>
      </c>
      <c r="CQ113">
        <f>SUMIF('Как есть'!$A$17:$A$25,Доп.расчеты!$A113,'Как есть'!CR$17:CR$25)</f>
        <v>0</v>
      </c>
      <c r="CR113">
        <f>SUMIF('Как есть'!$A$17:$A$25,Доп.расчеты!$A113,'Как есть'!CS$17:CS$25)</f>
        <v>0</v>
      </c>
      <c r="CS113">
        <f>SUMIF('Как есть'!$A$17:$A$25,Доп.расчеты!$A113,'Как есть'!CT$17:CT$25)</f>
        <v>0</v>
      </c>
      <c r="CT113">
        <f>SUMIF('Как есть'!$A$17:$A$25,Доп.расчеты!$A113,'Как есть'!CU$17:CU$25)</f>
        <v>0</v>
      </c>
      <c r="CU113">
        <f>SUMIF('Как есть'!$A$17:$A$25,Доп.расчеты!$A113,'Как есть'!CV$17:CV$25)</f>
        <v>0</v>
      </c>
      <c r="CV113">
        <f>SUMIF('Как есть'!$A$17:$A$25,Доп.расчеты!$A113,'Как есть'!CW$17:CW$25)</f>
        <v>0</v>
      </c>
      <c r="CW113">
        <f>SUMIF('Как есть'!$A$17:$A$25,Доп.расчеты!$A113,'Как есть'!CX$17:CX$25)</f>
        <v>0</v>
      </c>
      <c r="CX113">
        <f>SUMIF('Как есть'!$A$17:$A$25,Доп.расчеты!$A113,'Как есть'!CY$17:CY$25)</f>
        <v>0</v>
      </c>
      <c r="CY113">
        <f>SUMIF('Как есть'!$A$17:$A$25,Доп.расчеты!$A113,'Как есть'!CZ$17:CZ$25)</f>
        <v>0</v>
      </c>
      <c r="CZ113">
        <f>SUMIF('Как есть'!$A$17:$A$25,Доп.расчеты!$A113,'Как есть'!DA$17:DA$25)</f>
        <v>0</v>
      </c>
      <c r="DA113">
        <f>SUMIF('Как есть'!$A$17:$A$25,Доп.расчеты!$A113,'Как есть'!DB$17:DB$25)</f>
        <v>0</v>
      </c>
      <c r="DB113">
        <f>SUMIF('Как есть'!$A$17:$A$25,Доп.расчеты!$A113,'Как есть'!DC$17:DC$25)</f>
        <v>0</v>
      </c>
      <c r="DC113">
        <f>SUMIF('Как есть'!$A$17:$A$25,Доп.расчеты!$A113,'Как есть'!DD$17:DD$25)</f>
        <v>0</v>
      </c>
      <c r="DD113">
        <f>SUMIF('Как есть'!$A$17:$A$25,Доп.расчеты!$A113,'Как есть'!DE$17:DE$25)</f>
        <v>0</v>
      </c>
      <c r="DE113">
        <f>SUMIF('Как есть'!$A$17:$A$25,Доп.расчеты!$A113,'Как есть'!DF$17:DF$25)</f>
        <v>0</v>
      </c>
      <c r="DF113">
        <f>SUMIF('Как есть'!$A$17:$A$25,Доп.расчеты!$A113,'Как есть'!DG$17:DG$25)</f>
        <v>0</v>
      </c>
      <c r="DG113">
        <f>SUMIF('Как есть'!$A$17:$A$25,Доп.расчеты!$A113,'Как есть'!DH$17:DH$25)</f>
        <v>0</v>
      </c>
      <c r="DH113">
        <f>SUMIF('Как есть'!$A$17:$A$25,Доп.расчеты!$A113,'Как есть'!DI$17:DI$25)</f>
        <v>0</v>
      </c>
      <c r="DI113">
        <f>SUMIF('Как есть'!$A$17:$A$25,Доп.расчеты!$A113,'Как есть'!DJ$17:DJ$25)</f>
        <v>0</v>
      </c>
      <c r="DJ113">
        <f>SUMIF('Как есть'!$A$17:$A$25,Доп.расчеты!$A113,'Как есть'!DK$17:DK$25)</f>
        <v>0</v>
      </c>
      <c r="DK113">
        <f>SUMIF('Как есть'!$A$17:$A$25,Доп.расчеты!$A113,'Как есть'!DL$17:DL$25)</f>
        <v>0</v>
      </c>
      <c r="DL113">
        <f>SUMIF('Как есть'!$A$17:$A$25,Доп.расчеты!$A113,'Как есть'!DM$17:DM$25)</f>
        <v>0</v>
      </c>
      <c r="DM113">
        <f>SUMIF('Как есть'!$A$17:$A$25,Доп.расчеты!$A113,'Как есть'!DN$17:DN$25)</f>
        <v>0</v>
      </c>
      <c r="DN113">
        <f>SUMIF('Как есть'!$A$17:$A$25,Доп.расчеты!$A113,'Как есть'!DO$17:DO$25)</f>
        <v>0</v>
      </c>
      <c r="DO113">
        <f>SUMIF('Как есть'!$A$17:$A$25,Доп.расчеты!$A113,'Как есть'!DP$17:DP$25)</f>
        <v>0</v>
      </c>
      <c r="DP113">
        <f>SUMIF('Как есть'!$A$17:$A$25,Доп.расчеты!$A113,'Как есть'!DQ$17:DQ$25)</f>
        <v>0</v>
      </c>
      <c r="DQ113">
        <f>SUMIF('Как есть'!$A$17:$A$25,Доп.расчеты!$A113,'Как есть'!DR$17:DR$25)</f>
        <v>0</v>
      </c>
      <c r="DR113">
        <f>SUMIF('Как есть'!$A$17:$A$25,Доп.расчеты!$A113,'Как есть'!DS$17:DS$25)</f>
        <v>0</v>
      </c>
      <c r="DS113">
        <f>SUMIF('Как есть'!$A$17:$A$25,Доп.расчеты!$A113,'Как есть'!DT$17:DT$25)</f>
        <v>0</v>
      </c>
      <c r="DT113">
        <f>SUMIF('Как есть'!$A$17:$A$25,Доп.расчеты!$A113,'Как есть'!DU$17:DU$25)</f>
        <v>0</v>
      </c>
      <c r="DU113">
        <f>SUMIF('Как есть'!$A$17:$A$25,Доп.расчеты!$A113,'Как есть'!DV$17:DV$25)</f>
        <v>0</v>
      </c>
      <c r="DV113">
        <f>SUMIF('Как есть'!$A$17:$A$25,Доп.расчеты!$A113,'Как есть'!DW$17:DW$25)</f>
        <v>0</v>
      </c>
      <c r="DW113">
        <f>SUMIF('Как есть'!$A$17:$A$25,Доп.расчеты!$A113,'Как есть'!DX$17:DX$25)</f>
        <v>0</v>
      </c>
      <c r="DX113">
        <f>SUMIF('Как есть'!$A$17:$A$25,Доп.расчеты!$A113,'Как есть'!DY$17:DY$25)</f>
        <v>0</v>
      </c>
      <c r="DY113">
        <f>SUMIF('Как есть'!$A$17:$A$25,Доп.расчеты!$A113,'Как есть'!DZ$17:DZ$25)</f>
        <v>0</v>
      </c>
      <c r="DZ113">
        <f>SUMIF('Как есть'!$A$17:$A$25,Доп.расчеты!$A113,'Как есть'!EA$17:EA$25)</f>
        <v>0</v>
      </c>
      <c r="EA113">
        <f>SUMIF('Как есть'!$A$17:$A$25,Доп.расчеты!$A113,'Как есть'!EB$17:EB$25)</f>
        <v>0</v>
      </c>
      <c r="EB113">
        <f>SUMIF('Как есть'!$A$17:$A$25,Доп.расчеты!$A113,'Как есть'!EC$17:EC$25)</f>
        <v>0</v>
      </c>
      <c r="EC113">
        <f>SUMIF('Как есть'!$A$17:$A$25,Доп.расчеты!$A113,'Как есть'!ED$17:ED$25)</f>
        <v>0</v>
      </c>
      <c r="ED113">
        <f>SUMIF('Как есть'!$A$17:$A$25,Доп.расчеты!$A113,'Как есть'!EE$17:EE$25)</f>
        <v>0</v>
      </c>
      <c r="EE113">
        <f>SUMIF('Как есть'!$A$17:$A$25,Доп.расчеты!$A113,'Как есть'!EF$17:EF$25)</f>
        <v>0</v>
      </c>
      <c r="EF113">
        <f>SUMIF('Как есть'!$A$17:$A$25,Доп.расчеты!$A113,'Как есть'!EG$17:EG$25)</f>
        <v>0</v>
      </c>
      <c r="EG113">
        <f>SUMIF('Как есть'!$A$17:$A$25,Доп.расчеты!$A113,'Как есть'!EH$17:EH$25)</f>
        <v>0</v>
      </c>
      <c r="EH113">
        <f>SUMIF('Как есть'!$A$17:$A$25,Доп.расчеты!$A113,'Как есть'!EI$17:EI$25)</f>
        <v>0</v>
      </c>
      <c r="EI113">
        <f>SUMIF('Как есть'!$A$17:$A$25,Доп.расчеты!$A113,'Как есть'!EJ$17:EJ$25)</f>
        <v>0</v>
      </c>
      <c r="EJ113">
        <f>SUMIF('Как есть'!$A$17:$A$25,Доп.расчеты!$A113,'Как есть'!EK$17:EK$25)</f>
        <v>0</v>
      </c>
      <c r="EK113">
        <f>SUMIF('Как есть'!$A$17:$A$25,Доп.расчеты!$A113,'Как есть'!EL$17:EL$25)</f>
        <v>0</v>
      </c>
      <c r="EL113">
        <f>SUMIF('Как есть'!$A$17:$A$25,Доп.расчеты!$A113,'Как есть'!EM$17:EM$25)</f>
        <v>0</v>
      </c>
      <c r="EM113">
        <f>SUMIF('Как есть'!$A$17:$A$25,Доп.расчеты!$A113,'Как есть'!EN$17:EN$25)</f>
        <v>0</v>
      </c>
      <c r="EN113">
        <f>SUMIF('Как есть'!$A$17:$A$25,Доп.расчеты!$A113,'Как есть'!EO$17:EO$25)</f>
        <v>0</v>
      </c>
      <c r="EO113">
        <f>SUMIF('Как есть'!$A$17:$A$25,Доп.расчеты!$A113,'Как есть'!EP$17:EP$25)</f>
        <v>0</v>
      </c>
      <c r="EP113">
        <f>SUMIF('Как есть'!$A$17:$A$25,Доп.расчеты!$A113,'Как есть'!EQ$17:EQ$25)</f>
        <v>0</v>
      </c>
      <c r="EQ113">
        <f>SUMIF('Как есть'!$A$17:$A$25,Доп.расчеты!$A113,'Как есть'!ER$17:ER$25)</f>
        <v>0</v>
      </c>
      <c r="ER113">
        <f>SUMIF('Как есть'!$A$17:$A$25,Доп.расчеты!$A113,'Как есть'!ES$17:ES$25)</f>
        <v>0</v>
      </c>
      <c r="ES113">
        <f>SUMIF('Как есть'!$A$17:$A$25,Доп.расчеты!$A113,'Как есть'!ET$17:ET$25)</f>
        <v>0</v>
      </c>
      <c r="ET113">
        <f>SUMIF('Как есть'!$A$17:$A$25,Доп.расчеты!$A113,'Как есть'!EU$17:EU$25)</f>
        <v>0</v>
      </c>
      <c r="EU113">
        <f>SUMIF('Как есть'!$A$17:$A$25,Доп.расчеты!$A113,'Как есть'!EV$17:EV$25)</f>
        <v>0</v>
      </c>
      <c r="EV113">
        <f>SUMIF('Как есть'!$A$17:$A$25,Доп.расчеты!$A113,'Как есть'!EW$17:EW$25)</f>
        <v>0</v>
      </c>
      <c r="EW113">
        <f>SUMIF('Как есть'!$A$17:$A$25,Доп.расчеты!$A113,'Как есть'!EX$17:EX$25)</f>
        <v>0</v>
      </c>
      <c r="EX113">
        <f>SUMIF('Как есть'!$A$17:$A$25,Доп.расчеты!$A113,'Как есть'!EY$17:EY$25)</f>
        <v>0</v>
      </c>
      <c r="EY113">
        <f>SUMIF('Как есть'!$A$17:$A$25,Доп.расчеты!$A113,'Как есть'!EZ$17:EZ$25)</f>
        <v>0</v>
      </c>
      <c r="EZ113">
        <f>SUMIF('Как есть'!$A$17:$A$25,Доп.расчеты!$A113,'Как есть'!FA$17:FA$25)</f>
        <v>0</v>
      </c>
      <c r="FA113">
        <f>SUMIF('Как есть'!$A$17:$A$25,Доп.расчеты!$A113,'Как есть'!FB$17:FB$25)</f>
        <v>0</v>
      </c>
      <c r="FB113">
        <f>SUMIF('Как есть'!$A$17:$A$25,Доп.расчеты!$A113,'Как есть'!FC$17:FC$25)</f>
        <v>0</v>
      </c>
      <c r="FC113">
        <f>SUMIF('Как есть'!$A$17:$A$25,Доп.расчеты!$A113,'Как есть'!FD$17:FD$25)</f>
        <v>0</v>
      </c>
      <c r="FD113">
        <f>SUMIF('Как есть'!$A$17:$A$25,Доп.расчеты!$A113,'Как есть'!FE$17:FE$25)</f>
        <v>0</v>
      </c>
      <c r="FE113">
        <f>SUMIF('Как есть'!$A$17:$A$25,Доп.расчеты!$A113,'Как есть'!FF$17:FF$25)</f>
        <v>0</v>
      </c>
      <c r="FF113">
        <f>SUMIF('Как есть'!$A$17:$A$25,Доп.расчеты!$A113,'Как есть'!FG$17:FG$25)</f>
        <v>0</v>
      </c>
      <c r="FG113">
        <f>SUMIF('Как есть'!$A$17:$A$25,Доп.расчеты!$A113,'Как есть'!FH$17:FH$25)</f>
        <v>0</v>
      </c>
      <c r="FH113">
        <f>SUMIF('Как есть'!$A$17:$A$25,Доп.расчеты!$A113,'Как есть'!FI$17:FI$25)</f>
        <v>0</v>
      </c>
      <c r="FI113">
        <f>SUMIF('Как есть'!$A$17:$A$25,Доп.расчеты!$A113,'Как есть'!FJ$17:FJ$25)</f>
        <v>0</v>
      </c>
      <c r="FJ113">
        <f>SUMIF('Как есть'!$A$17:$A$25,Доп.расчеты!$A113,'Как есть'!FK$17:FK$25)</f>
        <v>0</v>
      </c>
      <c r="FK113">
        <f>SUMIF('Как есть'!$A$17:$A$25,Доп.расчеты!$A113,'Как есть'!FL$17:FL$25)</f>
        <v>0</v>
      </c>
      <c r="FL113">
        <f>SUMIF('Как есть'!$A$17:$A$25,Доп.расчеты!$A113,'Как есть'!FM$17:FM$25)</f>
        <v>0</v>
      </c>
      <c r="FM113">
        <f>SUMIF('Как есть'!$A$17:$A$25,Доп.расчеты!$A113,'Как есть'!FN$17:FN$25)</f>
        <v>0</v>
      </c>
      <c r="FN113">
        <f>SUMIF('Как есть'!$A$17:$A$25,Доп.расчеты!$A113,'Как есть'!FO$17:FO$25)</f>
        <v>0</v>
      </c>
      <c r="FO113">
        <f>SUMIF('Как есть'!$A$17:$A$25,Доп.расчеты!$A113,'Как есть'!FP$17:FP$25)</f>
        <v>0</v>
      </c>
      <c r="FP113">
        <f>SUMIF('Как есть'!$A$17:$A$25,Доп.расчеты!$A113,'Как есть'!FQ$17:FQ$25)</f>
        <v>0</v>
      </c>
      <c r="FQ113">
        <f>SUMIF('Как есть'!$A$17:$A$25,Доп.расчеты!$A113,'Как есть'!FR$17:FR$25)</f>
        <v>0</v>
      </c>
      <c r="FR113">
        <f>SUMIF('Как есть'!$A$17:$A$25,Доп.расчеты!$A113,'Как есть'!FS$17:FS$25)</f>
        <v>0</v>
      </c>
      <c r="FS113">
        <f>SUMIF('Как есть'!$A$17:$A$25,Доп.расчеты!$A113,'Как есть'!FT$17:FT$25)</f>
        <v>0</v>
      </c>
      <c r="FT113">
        <f>SUMIF('Как есть'!$A$17:$A$25,Доп.расчеты!$A113,'Как есть'!FU$17:FU$25)</f>
        <v>0</v>
      </c>
      <c r="FU113">
        <f>SUMIF('Как есть'!$A$17:$A$25,Доп.расчеты!$A113,'Как есть'!FV$17:FV$25)</f>
        <v>0</v>
      </c>
      <c r="FV113">
        <f>SUMIF('Как есть'!$A$17:$A$25,Доп.расчеты!$A113,'Как есть'!FW$17:FW$25)</f>
        <v>0</v>
      </c>
      <c r="FW113">
        <f>SUMIF('Как есть'!$A$17:$A$25,Доп.расчеты!$A113,'Как есть'!FX$17:FX$25)</f>
        <v>0</v>
      </c>
      <c r="FX113">
        <f>SUMIF('Как есть'!$A$17:$A$25,Доп.расчеты!$A113,'Как есть'!FY$17:FY$25)</f>
        <v>0</v>
      </c>
      <c r="FY113">
        <f>SUMIF('Как есть'!$A$17:$A$25,Доп.расчеты!$A113,'Как есть'!FZ$17:FZ$25)</f>
        <v>0</v>
      </c>
      <c r="FZ113">
        <f>SUMIF('Как есть'!$A$17:$A$25,Доп.расчеты!$A113,'Как есть'!GA$17:GA$25)</f>
        <v>0</v>
      </c>
      <c r="GA113">
        <f>SUMIF('Как есть'!$A$17:$A$25,Доп.расчеты!$A113,'Как есть'!GB$17:GB$25)</f>
        <v>0</v>
      </c>
      <c r="GB113">
        <f>SUMIF('Как есть'!$A$17:$A$25,Доп.расчеты!$A113,'Как есть'!GC$17:GC$25)</f>
        <v>0</v>
      </c>
      <c r="GC113">
        <f>SUMIF('Как есть'!$A$17:$A$25,Доп.расчеты!$A113,'Как есть'!GD$17:GD$25)</f>
        <v>0</v>
      </c>
      <c r="GD113">
        <f>SUMIF('Как есть'!$A$17:$A$25,Доп.расчеты!$A113,'Как есть'!GE$17:GE$25)</f>
        <v>0</v>
      </c>
      <c r="GE113">
        <f>SUMIF('Как есть'!$A$17:$A$25,Доп.расчеты!$A113,'Как есть'!GF$17:GF$25)</f>
        <v>0</v>
      </c>
      <c r="GF113">
        <f>SUMIF('Как есть'!$A$17:$A$25,Доп.расчеты!$A113,'Как есть'!GG$17:GG$25)</f>
        <v>0</v>
      </c>
      <c r="GG113">
        <f>SUMIF('Как есть'!$A$17:$A$25,Доп.расчеты!$A113,'Как есть'!GH$17:GH$25)</f>
        <v>0</v>
      </c>
      <c r="GH113">
        <f>SUMIF('Как есть'!$A$17:$A$25,Доп.расчеты!$A113,'Как есть'!GI$17:GI$25)</f>
        <v>0</v>
      </c>
      <c r="GI113">
        <f>SUMIF('Как есть'!$A$17:$A$25,Доп.расчеты!$A113,'Как есть'!GJ$17:GJ$25)</f>
        <v>0</v>
      </c>
      <c r="GJ113">
        <f>SUMIF('Как есть'!$A$17:$A$25,Доп.расчеты!$A113,'Как есть'!GK$17:GK$25)</f>
        <v>0</v>
      </c>
      <c r="GK113">
        <f>SUMIF('Как есть'!$A$17:$A$25,Доп.расчеты!$A113,'Как есть'!GL$17:GL$25)</f>
        <v>0</v>
      </c>
      <c r="GL113">
        <f>SUMIF('Как есть'!$A$17:$A$25,Доп.расчеты!$A113,'Как есть'!GM$17:GM$25)</f>
        <v>0</v>
      </c>
      <c r="GM113">
        <f>SUMIF('Как есть'!$A$17:$A$25,Доп.расчеты!$A113,'Как есть'!GN$17:GN$25)</f>
        <v>0</v>
      </c>
      <c r="GN113">
        <f>SUMIF('Как есть'!$A$17:$A$25,Доп.расчеты!$A113,'Как есть'!GO$17:GO$25)</f>
        <v>0</v>
      </c>
      <c r="GO113">
        <f>SUMIF('Как есть'!$A$17:$A$25,Доп.расчеты!$A113,'Как есть'!GP$17:GP$25)</f>
        <v>0</v>
      </c>
      <c r="GP113">
        <f>SUMIF('Как есть'!$A$17:$A$25,Доп.расчеты!$A113,'Как есть'!GQ$17:GQ$25)</f>
        <v>0</v>
      </c>
      <c r="GQ113">
        <f>SUMIF('Как есть'!$A$17:$A$25,Доп.расчеты!$A113,'Как есть'!GR$17:GR$25)</f>
        <v>0</v>
      </c>
      <c r="GR113">
        <f>SUMIF('Как есть'!$A$17:$A$25,Доп.расчеты!$A113,'Как есть'!GS$17:GS$25)</f>
        <v>0</v>
      </c>
      <c r="GS113">
        <f>SUMIF('Как есть'!$A$17:$A$25,Доп.расчеты!$A113,'Как есть'!GT$17:GT$25)</f>
        <v>0</v>
      </c>
      <c r="GT113">
        <f>SUMIF('Как есть'!$A$17:$A$25,Доп.расчеты!$A113,'Как есть'!GU$17:GU$25)</f>
        <v>0</v>
      </c>
    </row>
    <row r="114" spans="1:202" hidden="1" outlineLevel="1">
      <c r="A114" s="238" t="s">
        <v>92</v>
      </c>
      <c r="B114">
        <f>SUMIF('Как есть'!$A$17:$A$25,Доп.расчеты!$A114,'Как есть'!C$17:C$25)</f>
        <v>0</v>
      </c>
      <c r="C114">
        <f>SUMIF('Как есть'!$A$17:$A$25,Доп.расчеты!$A114,'Как есть'!D$17:D$25)</f>
        <v>0</v>
      </c>
      <c r="D114">
        <f>SUMIF('Как есть'!$A$17:$A$25,Доп.расчеты!$A114,'Как есть'!E$17:E$25)</f>
        <v>0</v>
      </c>
      <c r="E114">
        <f>SUMIF('Как есть'!$A$17:$A$25,Доп.расчеты!$A114,'Как есть'!F$17:F$25)</f>
        <v>0</v>
      </c>
      <c r="F114">
        <f>SUMIF('Как есть'!$A$17:$A$25,Доп.расчеты!$A114,'Как есть'!G$17:G$25)</f>
        <v>0</v>
      </c>
      <c r="G114">
        <f>SUMIF('Как есть'!$A$17:$A$25,Доп.расчеты!$A114,'Как есть'!H$17:H$25)</f>
        <v>0</v>
      </c>
      <c r="H114">
        <f>SUMIF('Как есть'!$A$17:$A$25,Доп.расчеты!$A114,'Как есть'!I$17:I$25)</f>
        <v>0</v>
      </c>
      <c r="I114">
        <f>SUMIF('Как есть'!$A$17:$A$25,Доп.расчеты!$A114,'Как есть'!J$17:J$25)</f>
        <v>0</v>
      </c>
      <c r="J114">
        <f>SUMIF('Как есть'!$A$17:$A$25,Доп.расчеты!$A114,'Как есть'!K$17:K$25)</f>
        <v>0</v>
      </c>
      <c r="K114">
        <f>SUMIF('Как есть'!$A$17:$A$25,Доп.расчеты!$A114,'Как есть'!L$17:L$25)</f>
        <v>0</v>
      </c>
      <c r="L114">
        <f>SUMIF('Как есть'!$A$17:$A$25,Доп.расчеты!$A114,'Как есть'!M$17:M$25)</f>
        <v>0</v>
      </c>
      <c r="M114">
        <f>SUMIF('Как есть'!$A$17:$A$25,Доп.расчеты!$A114,'Как есть'!N$17:N$25)</f>
        <v>0</v>
      </c>
      <c r="N114">
        <f>SUMIF('Как есть'!$A$17:$A$25,Доп.расчеты!$A114,'Как есть'!O$17:O$25)</f>
        <v>0</v>
      </c>
      <c r="O114">
        <f>SUMIF('Как есть'!$A$17:$A$25,Доп.расчеты!$A114,'Как есть'!P$17:P$25)</f>
        <v>0</v>
      </c>
      <c r="P114">
        <f>SUMIF('Как есть'!$A$17:$A$25,Доп.расчеты!$A114,'Как есть'!Q$17:Q$25)</f>
        <v>0</v>
      </c>
      <c r="Q114">
        <f>SUMIF('Как есть'!$A$17:$A$25,Доп.расчеты!$A114,'Как есть'!R$17:R$25)</f>
        <v>0</v>
      </c>
      <c r="R114">
        <f>SUMIF('Как есть'!$A$17:$A$25,Доп.расчеты!$A114,'Как есть'!S$17:S$25)</f>
        <v>0</v>
      </c>
      <c r="S114">
        <f>SUMIF('Как есть'!$A$17:$A$25,Доп.расчеты!$A114,'Как есть'!T$17:T$25)</f>
        <v>0</v>
      </c>
      <c r="T114">
        <f>SUMIF('Как есть'!$A$17:$A$25,Доп.расчеты!$A114,'Как есть'!U$17:U$25)</f>
        <v>0</v>
      </c>
      <c r="U114">
        <f>SUMIF('Как есть'!$A$17:$A$25,Доп.расчеты!$A114,'Как есть'!V$17:V$25)</f>
        <v>0</v>
      </c>
      <c r="V114">
        <f>SUMIF('Как есть'!$A$17:$A$25,Доп.расчеты!$A114,'Как есть'!W$17:W$25)</f>
        <v>0</v>
      </c>
      <c r="W114">
        <f>SUMIF('Как есть'!$A$17:$A$25,Доп.расчеты!$A114,'Как есть'!X$17:X$25)</f>
        <v>0</v>
      </c>
      <c r="X114">
        <f>SUMIF('Как есть'!$A$17:$A$25,Доп.расчеты!$A114,'Как есть'!Y$17:Y$25)</f>
        <v>0</v>
      </c>
      <c r="Y114">
        <f>SUMIF('Как есть'!$A$17:$A$25,Доп.расчеты!$A114,'Как есть'!Z$17:Z$25)</f>
        <v>0</v>
      </c>
      <c r="Z114">
        <f>SUMIF('Как есть'!$A$17:$A$25,Доп.расчеты!$A114,'Как есть'!AA$17:AA$25)</f>
        <v>0</v>
      </c>
      <c r="AA114">
        <f>SUMIF('Как есть'!$A$17:$A$25,Доп.расчеты!$A114,'Как есть'!AB$17:AB$25)</f>
        <v>0</v>
      </c>
      <c r="AB114">
        <f>SUMIF('Как есть'!$A$17:$A$25,Доп.расчеты!$A114,'Как есть'!AC$17:AC$25)</f>
        <v>0</v>
      </c>
      <c r="AC114">
        <f>SUMIF('Как есть'!$A$17:$A$25,Доп.расчеты!$A114,'Как есть'!AD$17:AD$25)</f>
        <v>0</v>
      </c>
      <c r="AD114">
        <f>SUMIF('Как есть'!$A$17:$A$25,Доп.расчеты!$A114,'Как есть'!AE$17:AE$25)</f>
        <v>0</v>
      </c>
      <c r="AE114">
        <f>SUMIF('Как есть'!$A$17:$A$25,Доп.расчеты!$A114,'Как есть'!AF$17:AF$25)</f>
        <v>0</v>
      </c>
      <c r="AF114">
        <f>SUMIF('Как есть'!$A$17:$A$25,Доп.расчеты!$A114,'Как есть'!AG$17:AG$25)</f>
        <v>0</v>
      </c>
      <c r="AG114">
        <f>SUMIF('Как есть'!$A$17:$A$25,Доп.расчеты!$A114,'Как есть'!AH$17:AH$25)</f>
        <v>0</v>
      </c>
      <c r="AH114">
        <f>SUMIF('Как есть'!$A$17:$A$25,Доп.расчеты!$A114,'Как есть'!AI$17:AI$25)</f>
        <v>0</v>
      </c>
      <c r="AI114">
        <f>SUMIF('Как есть'!$A$17:$A$25,Доп.расчеты!$A114,'Как есть'!AJ$17:AJ$25)</f>
        <v>0</v>
      </c>
      <c r="AJ114">
        <f>SUMIF('Как есть'!$A$17:$A$25,Доп.расчеты!$A114,'Как есть'!AK$17:AK$25)</f>
        <v>0</v>
      </c>
      <c r="AK114">
        <f>SUMIF('Как есть'!$A$17:$A$25,Доп.расчеты!$A114,'Как есть'!AL$17:AL$25)</f>
        <v>0</v>
      </c>
      <c r="AL114">
        <f>SUMIF('Как есть'!$A$17:$A$25,Доп.расчеты!$A114,'Как есть'!AM$17:AM$25)</f>
        <v>0</v>
      </c>
      <c r="AM114">
        <f>SUMIF('Как есть'!$A$17:$A$25,Доп.расчеты!$A114,'Как есть'!AN$17:AN$25)</f>
        <v>0</v>
      </c>
      <c r="AN114">
        <f>SUMIF('Как есть'!$A$17:$A$25,Доп.расчеты!$A114,'Как есть'!AO$17:AO$25)</f>
        <v>0</v>
      </c>
      <c r="AO114">
        <f>SUMIF('Как есть'!$A$17:$A$25,Доп.расчеты!$A114,'Как есть'!AP$17:AP$25)</f>
        <v>0</v>
      </c>
      <c r="AP114">
        <f>SUMIF('Как есть'!$A$17:$A$25,Доп.расчеты!$A114,'Как есть'!AQ$17:AQ$25)</f>
        <v>0</v>
      </c>
      <c r="AQ114">
        <f>SUMIF('Как есть'!$A$17:$A$25,Доп.расчеты!$A114,'Как есть'!AR$17:AR$25)</f>
        <v>0</v>
      </c>
      <c r="AR114">
        <f>SUMIF('Как есть'!$A$17:$A$25,Доп.расчеты!$A114,'Как есть'!AS$17:AS$25)</f>
        <v>0</v>
      </c>
      <c r="AS114">
        <f>SUMIF('Как есть'!$A$17:$A$25,Доп.расчеты!$A114,'Как есть'!AT$17:AT$25)</f>
        <v>0</v>
      </c>
      <c r="AT114">
        <f>SUMIF('Как есть'!$A$17:$A$25,Доп.расчеты!$A114,'Как есть'!AU$17:AU$25)</f>
        <v>0</v>
      </c>
      <c r="AU114">
        <f>SUMIF('Как есть'!$A$17:$A$25,Доп.расчеты!$A114,'Как есть'!AV$17:AV$25)</f>
        <v>0</v>
      </c>
      <c r="AV114">
        <f>SUMIF('Как есть'!$A$17:$A$25,Доп.расчеты!$A114,'Как есть'!AW$17:AW$25)</f>
        <v>0</v>
      </c>
      <c r="AW114">
        <f>SUMIF('Как есть'!$A$17:$A$25,Доп.расчеты!$A114,'Как есть'!AX$17:AX$25)</f>
        <v>0</v>
      </c>
      <c r="AX114">
        <f>SUMIF('Как есть'!$A$17:$A$25,Доп.расчеты!$A114,'Как есть'!AY$17:AY$25)</f>
        <v>0</v>
      </c>
      <c r="AY114">
        <f>SUMIF('Как есть'!$A$17:$A$25,Доп.расчеты!$A114,'Как есть'!AZ$17:AZ$25)</f>
        <v>0</v>
      </c>
      <c r="AZ114">
        <f>SUMIF('Как есть'!$A$17:$A$25,Доп.расчеты!$A114,'Как есть'!BA$17:BA$25)</f>
        <v>0</v>
      </c>
      <c r="BA114">
        <f>SUMIF('Как есть'!$A$17:$A$25,Доп.расчеты!$A114,'Как есть'!BB$17:BB$25)</f>
        <v>0</v>
      </c>
      <c r="BB114">
        <f>SUMIF('Как есть'!$A$17:$A$25,Доп.расчеты!$A114,'Как есть'!BC$17:BC$25)</f>
        <v>0</v>
      </c>
      <c r="BC114">
        <f>SUMIF('Как есть'!$A$17:$A$25,Доп.расчеты!$A114,'Как есть'!BD$17:BD$25)</f>
        <v>0</v>
      </c>
      <c r="BD114">
        <f>SUMIF('Как есть'!$A$17:$A$25,Доп.расчеты!$A114,'Как есть'!BE$17:BE$25)</f>
        <v>0</v>
      </c>
      <c r="BE114">
        <f>SUMIF('Как есть'!$A$17:$A$25,Доп.расчеты!$A114,'Как есть'!BF$17:BF$25)</f>
        <v>0</v>
      </c>
      <c r="BF114">
        <f>SUMIF('Как есть'!$A$17:$A$25,Доп.расчеты!$A114,'Как есть'!BG$17:BG$25)</f>
        <v>0</v>
      </c>
      <c r="BG114">
        <f>SUMIF('Как есть'!$A$17:$A$25,Доп.расчеты!$A114,'Как есть'!BH$17:BH$25)</f>
        <v>0</v>
      </c>
      <c r="BH114">
        <f>SUMIF('Как есть'!$A$17:$A$25,Доп.расчеты!$A114,'Как есть'!BI$17:BI$25)</f>
        <v>0</v>
      </c>
      <c r="BI114">
        <f>SUMIF('Как есть'!$A$17:$A$25,Доп.расчеты!$A114,'Как есть'!BJ$17:BJ$25)</f>
        <v>0</v>
      </c>
      <c r="BJ114">
        <f>SUMIF('Как есть'!$A$17:$A$25,Доп.расчеты!$A114,'Как есть'!BK$17:BK$25)</f>
        <v>0</v>
      </c>
      <c r="BK114">
        <f>SUMIF('Как есть'!$A$17:$A$25,Доп.расчеты!$A114,'Как есть'!BL$17:BL$25)</f>
        <v>0</v>
      </c>
      <c r="BL114">
        <f>SUMIF('Как есть'!$A$17:$A$25,Доп.расчеты!$A114,'Как есть'!BM$17:BM$25)</f>
        <v>0</v>
      </c>
      <c r="BM114">
        <f>SUMIF('Как есть'!$A$17:$A$25,Доп.расчеты!$A114,'Как есть'!BN$17:BN$25)</f>
        <v>0</v>
      </c>
      <c r="BN114">
        <f>SUMIF('Как есть'!$A$17:$A$25,Доп.расчеты!$A114,'Как есть'!BO$17:BO$25)</f>
        <v>0</v>
      </c>
      <c r="BO114">
        <f>SUMIF('Как есть'!$A$17:$A$25,Доп.расчеты!$A114,'Как есть'!BP$17:BP$25)</f>
        <v>0</v>
      </c>
      <c r="BP114">
        <f>SUMIF('Как есть'!$A$17:$A$25,Доп.расчеты!$A114,'Как есть'!BQ$17:BQ$25)</f>
        <v>0</v>
      </c>
      <c r="BQ114">
        <f>SUMIF('Как есть'!$A$17:$A$25,Доп.расчеты!$A114,'Как есть'!BR$17:BR$25)</f>
        <v>0</v>
      </c>
      <c r="BR114">
        <f>SUMIF('Как есть'!$A$17:$A$25,Доп.расчеты!$A114,'Как есть'!BS$17:BS$25)</f>
        <v>0</v>
      </c>
      <c r="BS114">
        <f>SUMIF('Как есть'!$A$17:$A$25,Доп.расчеты!$A114,'Как есть'!BT$17:BT$25)</f>
        <v>0</v>
      </c>
      <c r="BT114">
        <f>SUMIF('Как есть'!$A$17:$A$25,Доп.расчеты!$A114,'Как есть'!BU$17:BU$25)</f>
        <v>0</v>
      </c>
      <c r="BU114">
        <f>SUMIF('Как есть'!$A$17:$A$25,Доп.расчеты!$A114,'Как есть'!BV$17:BV$25)</f>
        <v>0</v>
      </c>
      <c r="BV114">
        <f>SUMIF('Как есть'!$A$17:$A$25,Доп.расчеты!$A114,'Как есть'!BW$17:BW$25)</f>
        <v>0</v>
      </c>
      <c r="BW114">
        <f>SUMIF('Как есть'!$A$17:$A$25,Доп.расчеты!$A114,'Как есть'!BX$17:BX$25)</f>
        <v>0</v>
      </c>
      <c r="BX114">
        <f>SUMIF('Как есть'!$A$17:$A$25,Доп.расчеты!$A114,'Как есть'!BY$17:BY$25)</f>
        <v>0</v>
      </c>
      <c r="BY114">
        <f>SUMIF('Как есть'!$A$17:$A$25,Доп.расчеты!$A114,'Как есть'!BZ$17:BZ$25)</f>
        <v>0</v>
      </c>
      <c r="BZ114">
        <f>SUMIF('Как есть'!$A$17:$A$25,Доп.расчеты!$A114,'Как есть'!CA$17:CA$25)</f>
        <v>0</v>
      </c>
      <c r="CA114">
        <f>SUMIF('Как есть'!$A$17:$A$25,Доп.расчеты!$A114,'Как есть'!CB$17:CB$25)</f>
        <v>0</v>
      </c>
      <c r="CB114">
        <f>SUMIF('Как есть'!$A$17:$A$25,Доп.расчеты!$A114,'Как есть'!CC$17:CC$25)</f>
        <v>0</v>
      </c>
      <c r="CC114">
        <f>SUMIF('Как есть'!$A$17:$A$25,Доп.расчеты!$A114,'Как есть'!CD$17:CD$25)</f>
        <v>0</v>
      </c>
      <c r="CD114">
        <f>SUMIF('Как есть'!$A$17:$A$25,Доп.расчеты!$A114,'Как есть'!CE$17:CE$25)</f>
        <v>0</v>
      </c>
      <c r="CE114">
        <f>SUMIF('Как есть'!$A$17:$A$25,Доп.расчеты!$A114,'Как есть'!CF$17:CF$25)</f>
        <v>0</v>
      </c>
      <c r="CF114">
        <f>SUMIF('Как есть'!$A$17:$A$25,Доп.расчеты!$A114,'Как есть'!CG$17:CG$25)</f>
        <v>0</v>
      </c>
      <c r="CG114">
        <f>SUMIF('Как есть'!$A$17:$A$25,Доп.расчеты!$A114,'Как есть'!CH$17:CH$25)</f>
        <v>0</v>
      </c>
      <c r="CH114">
        <f>SUMIF('Как есть'!$A$17:$A$25,Доп.расчеты!$A114,'Как есть'!CI$17:CI$25)</f>
        <v>0</v>
      </c>
      <c r="CI114">
        <f>SUMIF('Как есть'!$A$17:$A$25,Доп.расчеты!$A114,'Как есть'!CJ$17:CJ$25)</f>
        <v>0</v>
      </c>
      <c r="CJ114">
        <f>SUMIF('Как есть'!$A$17:$A$25,Доп.расчеты!$A114,'Как есть'!CK$17:CK$25)</f>
        <v>0</v>
      </c>
      <c r="CK114">
        <f>SUMIF('Как есть'!$A$17:$A$25,Доп.расчеты!$A114,'Как есть'!CL$17:CL$25)</f>
        <v>0</v>
      </c>
      <c r="CL114">
        <f>SUMIF('Как есть'!$A$17:$A$25,Доп.расчеты!$A114,'Как есть'!CM$17:CM$25)</f>
        <v>0</v>
      </c>
      <c r="CM114">
        <f>SUMIF('Как есть'!$A$17:$A$25,Доп.расчеты!$A114,'Как есть'!CN$17:CN$25)</f>
        <v>0</v>
      </c>
      <c r="CN114">
        <f>SUMIF('Как есть'!$A$17:$A$25,Доп.расчеты!$A114,'Как есть'!CO$17:CO$25)</f>
        <v>0</v>
      </c>
      <c r="CO114">
        <f>SUMIF('Как есть'!$A$17:$A$25,Доп.расчеты!$A114,'Как есть'!CP$17:CP$25)</f>
        <v>0</v>
      </c>
      <c r="CP114">
        <f>SUMIF('Как есть'!$A$17:$A$25,Доп.расчеты!$A114,'Как есть'!CQ$17:CQ$25)</f>
        <v>0</v>
      </c>
      <c r="CQ114">
        <f>SUMIF('Как есть'!$A$17:$A$25,Доп.расчеты!$A114,'Как есть'!CR$17:CR$25)</f>
        <v>0</v>
      </c>
      <c r="CR114">
        <f>SUMIF('Как есть'!$A$17:$A$25,Доп.расчеты!$A114,'Как есть'!CS$17:CS$25)</f>
        <v>0</v>
      </c>
      <c r="CS114">
        <f>SUMIF('Как есть'!$A$17:$A$25,Доп.расчеты!$A114,'Как есть'!CT$17:CT$25)</f>
        <v>0</v>
      </c>
      <c r="CT114">
        <f>SUMIF('Как есть'!$A$17:$A$25,Доп.расчеты!$A114,'Как есть'!CU$17:CU$25)</f>
        <v>0</v>
      </c>
      <c r="CU114">
        <f>SUMIF('Как есть'!$A$17:$A$25,Доп.расчеты!$A114,'Как есть'!CV$17:CV$25)</f>
        <v>0</v>
      </c>
      <c r="CV114">
        <f>SUMIF('Как есть'!$A$17:$A$25,Доп.расчеты!$A114,'Как есть'!CW$17:CW$25)</f>
        <v>0</v>
      </c>
      <c r="CW114">
        <f>SUMIF('Как есть'!$A$17:$A$25,Доп.расчеты!$A114,'Как есть'!CX$17:CX$25)</f>
        <v>0</v>
      </c>
      <c r="CX114">
        <f>SUMIF('Как есть'!$A$17:$A$25,Доп.расчеты!$A114,'Как есть'!CY$17:CY$25)</f>
        <v>0</v>
      </c>
      <c r="CY114">
        <f>SUMIF('Как есть'!$A$17:$A$25,Доп.расчеты!$A114,'Как есть'!CZ$17:CZ$25)</f>
        <v>0</v>
      </c>
      <c r="CZ114">
        <f>SUMIF('Как есть'!$A$17:$A$25,Доп.расчеты!$A114,'Как есть'!DA$17:DA$25)</f>
        <v>0</v>
      </c>
      <c r="DA114">
        <f>SUMIF('Как есть'!$A$17:$A$25,Доп.расчеты!$A114,'Как есть'!DB$17:DB$25)</f>
        <v>0</v>
      </c>
      <c r="DB114">
        <f>SUMIF('Как есть'!$A$17:$A$25,Доп.расчеты!$A114,'Как есть'!DC$17:DC$25)</f>
        <v>0</v>
      </c>
      <c r="DC114">
        <f>SUMIF('Как есть'!$A$17:$A$25,Доп.расчеты!$A114,'Как есть'!DD$17:DD$25)</f>
        <v>0</v>
      </c>
      <c r="DD114">
        <f>SUMIF('Как есть'!$A$17:$A$25,Доп.расчеты!$A114,'Как есть'!DE$17:DE$25)</f>
        <v>0</v>
      </c>
      <c r="DE114">
        <f>SUMIF('Как есть'!$A$17:$A$25,Доп.расчеты!$A114,'Как есть'!DF$17:DF$25)</f>
        <v>0</v>
      </c>
      <c r="DF114">
        <f>SUMIF('Как есть'!$A$17:$A$25,Доп.расчеты!$A114,'Как есть'!DG$17:DG$25)</f>
        <v>0</v>
      </c>
      <c r="DG114">
        <f>SUMIF('Как есть'!$A$17:$A$25,Доп.расчеты!$A114,'Как есть'!DH$17:DH$25)</f>
        <v>0</v>
      </c>
      <c r="DH114">
        <f>SUMIF('Как есть'!$A$17:$A$25,Доп.расчеты!$A114,'Как есть'!DI$17:DI$25)</f>
        <v>0</v>
      </c>
      <c r="DI114">
        <f>SUMIF('Как есть'!$A$17:$A$25,Доп.расчеты!$A114,'Как есть'!DJ$17:DJ$25)</f>
        <v>0</v>
      </c>
      <c r="DJ114">
        <f>SUMIF('Как есть'!$A$17:$A$25,Доп.расчеты!$A114,'Как есть'!DK$17:DK$25)</f>
        <v>0</v>
      </c>
      <c r="DK114">
        <f>SUMIF('Как есть'!$A$17:$A$25,Доп.расчеты!$A114,'Как есть'!DL$17:DL$25)</f>
        <v>0</v>
      </c>
      <c r="DL114">
        <f>SUMIF('Как есть'!$A$17:$A$25,Доп.расчеты!$A114,'Как есть'!DM$17:DM$25)</f>
        <v>0</v>
      </c>
      <c r="DM114">
        <f>SUMIF('Как есть'!$A$17:$A$25,Доп.расчеты!$A114,'Как есть'!DN$17:DN$25)</f>
        <v>0</v>
      </c>
      <c r="DN114">
        <f>SUMIF('Как есть'!$A$17:$A$25,Доп.расчеты!$A114,'Как есть'!DO$17:DO$25)</f>
        <v>0</v>
      </c>
      <c r="DO114">
        <f>SUMIF('Как есть'!$A$17:$A$25,Доп.расчеты!$A114,'Как есть'!DP$17:DP$25)</f>
        <v>0</v>
      </c>
      <c r="DP114">
        <f>SUMIF('Как есть'!$A$17:$A$25,Доп.расчеты!$A114,'Как есть'!DQ$17:DQ$25)</f>
        <v>0</v>
      </c>
      <c r="DQ114">
        <f>SUMIF('Как есть'!$A$17:$A$25,Доп.расчеты!$A114,'Как есть'!DR$17:DR$25)</f>
        <v>0</v>
      </c>
      <c r="DR114">
        <f>SUMIF('Как есть'!$A$17:$A$25,Доп.расчеты!$A114,'Как есть'!DS$17:DS$25)</f>
        <v>0</v>
      </c>
      <c r="DS114">
        <f>SUMIF('Как есть'!$A$17:$A$25,Доп.расчеты!$A114,'Как есть'!DT$17:DT$25)</f>
        <v>0</v>
      </c>
      <c r="DT114">
        <f>SUMIF('Как есть'!$A$17:$A$25,Доп.расчеты!$A114,'Как есть'!DU$17:DU$25)</f>
        <v>0</v>
      </c>
      <c r="DU114">
        <f>SUMIF('Как есть'!$A$17:$A$25,Доп.расчеты!$A114,'Как есть'!DV$17:DV$25)</f>
        <v>0</v>
      </c>
      <c r="DV114">
        <f>SUMIF('Как есть'!$A$17:$A$25,Доп.расчеты!$A114,'Как есть'!DW$17:DW$25)</f>
        <v>0</v>
      </c>
      <c r="DW114">
        <f>SUMIF('Как есть'!$A$17:$A$25,Доп.расчеты!$A114,'Как есть'!DX$17:DX$25)</f>
        <v>0</v>
      </c>
      <c r="DX114">
        <f>SUMIF('Как есть'!$A$17:$A$25,Доп.расчеты!$A114,'Как есть'!DY$17:DY$25)</f>
        <v>0</v>
      </c>
      <c r="DY114">
        <f>SUMIF('Как есть'!$A$17:$A$25,Доп.расчеты!$A114,'Как есть'!DZ$17:DZ$25)</f>
        <v>0</v>
      </c>
      <c r="DZ114">
        <f>SUMIF('Как есть'!$A$17:$A$25,Доп.расчеты!$A114,'Как есть'!EA$17:EA$25)</f>
        <v>0</v>
      </c>
      <c r="EA114">
        <f>SUMIF('Как есть'!$A$17:$A$25,Доп.расчеты!$A114,'Как есть'!EB$17:EB$25)</f>
        <v>0</v>
      </c>
      <c r="EB114">
        <f>SUMIF('Как есть'!$A$17:$A$25,Доп.расчеты!$A114,'Как есть'!EC$17:EC$25)</f>
        <v>0</v>
      </c>
      <c r="EC114">
        <f>SUMIF('Как есть'!$A$17:$A$25,Доп.расчеты!$A114,'Как есть'!ED$17:ED$25)</f>
        <v>0</v>
      </c>
      <c r="ED114">
        <f>SUMIF('Как есть'!$A$17:$A$25,Доп.расчеты!$A114,'Как есть'!EE$17:EE$25)</f>
        <v>0</v>
      </c>
      <c r="EE114">
        <f>SUMIF('Как есть'!$A$17:$A$25,Доп.расчеты!$A114,'Как есть'!EF$17:EF$25)</f>
        <v>0</v>
      </c>
      <c r="EF114">
        <f>SUMIF('Как есть'!$A$17:$A$25,Доп.расчеты!$A114,'Как есть'!EG$17:EG$25)</f>
        <v>0</v>
      </c>
      <c r="EG114">
        <f>SUMIF('Как есть'!$A$17:$A$25,Доп.расчеты!$A114,'Как есть'!EH$17:EH$25)</f>
        <v>0</v>
      </c>
      <c r="EH114">
        <f>SUMIF('Как есть'!$A$17:$A$25,Доп.расчеты!$A114,'Как есть'!EI$17:EI$25)</f>
        <v>0</v>
      </c>
      <c r="EI114">
        <f>SUMIF('Как есть'!$A$17:$A$25,Доп.расчеты!$A114,'Как есть'!EJ$17:EJ$25)</f>
        <v>0</v>
      </c>
      <c r="EJ114">
        <f>SUMIF('Как есть'!$A$17:$A$25,Доп.расчеты!$A114,'Как есть'!EK$17:EK$25)</f>
        <v>0</v>
      </c>
      <c r="EK114">
        <f>SUMIF('Как есть'!$A$17:$A$25,Доп.расчеты!$A114,'Как есть'!EL$17:EL$25)</f>
        <v>0</v>
      </c>
      <c r="EL114">
        <f>SUMIF('Как есть'!$A$17:$A$25,Доп.расчеты!$A114,'Как есть'!EM$17:EM$25)</f>
        <v>0</v>
      </c>
      <c r="EM114">
        <f>SUMIF('Как есть'!$A$17:$A$25,Доп.расчеты!$A114,'Как есть'!EN$17:EN$25)</f>
        <v>0</v>
      </c>
      <c r="EN114">
        <f>SUMIF('Как есть'!$A$17:$A$25,Доп.расчеты!$A114,'Как есть'!EO$17:EO$25)</f>
        <v>0</v>
      </c>
      <c r="EO114">
        <f>SUMIF('Как есть'!$A$17:$A$25,Доп.расчеты!$A114,'Как есть'!EP$17:EP$25)</f>
        <v>0</v>
      </c>
      <c r="EP114">
        <f>SUMIF('Как есть'!$A$17:$A$25,Доп.расчеты!$A114,'Как есть'!EQ$17:EQ$25)</f>
        <v>0</v>
      </c>
      <c r="EQ114">
        <f>SUMIF('Как есть'!$A$17:$A$25,Доп.расчеты!$A114,'Как есть'!ER$17:ER$25)</f>
        <v>0</v>
      </c>
      <c r="ER114">
        <f>SUMIF('Как есть'!$A$17:$A$25,Доп.расчеты!$A114,'Как есть'!ES$17:ES$25)</f>
        <v>0</v>
      </c>
      <c r="ES114">
        <f>SUMIF('Как есть'!$A$17:$A$25,Доп.расчеты!$A114,'Как есть'!ET$17:ET$25)</f>
        <v>0</v>
      </c>
      <c r="ET114">
        <f>SUMIF('Как есть'!$A$17:$A$25,Доп.расчеты!$A114,'Как есть'!EU$17:EU$25)</f>
        <v>0</v>
      </c>
      <c r="EU114">
        <f>SUMIF('Как есть'!$A$17:$A$25,Доп.расчеты!$A114,'Как есть'!EV$17:EV$25)</f>
        <v>0</v>
      </c>
      <c r="EV114">
        <f>SUMIF('Как есть'!$A$17:$A$25,Доп.расчеты!$A114,'Как есть'!EW$17:EW$25)</f>
        <v>0</v>
      </c>
      <c r="EW114">
        <f>SUMIF('Как есть'!$A$17:$A$25,Доп.расчеты!$A114,'Как есть'!EX$17:EX$25)</f>
        <v>0</v>
      </c>
      <c r="EX114">
        <f>SUMIF('Как есть'!$A$17:$A$25,Доп.расчеты!$A114,'Как есть'!EY$17:EY$25)</f>
        <v>0</v>
      </c>
      <c r="EY114">
        <f>SUMIF('Как есть'!$A$17:$A$25,Доп.расчеты!$A114,'Как есть'!EZ$17:EZ$25)</f>
        <v>0</v>
      </c>
      <c r="EZ114">
        <f>SUMIF('Как есть'!$A$17:$A$25,Доп.расчеты!$A114,'Как есть'!FA$17:FA$25)</f>
        <v>0</v>
      </c>
      <c r="FA114">
        <f>SUMIF('Как есть'!$A$17:$A$25,Доп.расчеты!$A114,'Как есть'!FB$17:FB$25)</f>
        <v>0</v>
      </c>
      <c r="FB114">
        <f>SUMIF('Как есть'!$A$17:$A$25,Доп.расчеты!$A114,'Как есть'!FC$17:FC$25)</f>
        <v>0</v>
      </c>
      <c r="FC114">
        <f>SUMIF('Как есть'!$A$17:$A$25,Доп.расчеты!$A114,'Как есть'!FD$17:FD$25)</f>
        <v>0</v>
      </c>
      <c r="FD114">
        <f>SUMIF('Как есть'!$A$17:$A$25,Доп.расчеты!$A114,'Как есть'!FE$17:FE$25)</f>
        <v>0</v>
      </c>
      <c r="FE114">
        <f>SUMIF('Как есть'!$A$17:$A$25,Доп.расчеты!$A114,'Как есть'!FF$17:FF$25)</f>
        <v>0</v>
      </c>
      <c r="FF114">
        <f>SUMIF('Как есть'!$A$17:$A$25,Доп.расчеты!$A114,'Как есть'!FG$17:FG$25)</f>
        <v>0</v>
      </c>
      <c r="FG114">
        <f>SUMIF('Как есть'!$A$17:$A$25,Доп.расчеты!$A114,'Как есть'!FH$17:FH$25)</f>
        <v>0</v>
      </c>
      <c r="FH114">
        <f>SUMIF('Как есть'!$A$17:$A$25,Доп.расчеты!$A114,'Как есть'!FI$17:FI$25)</f>
        <v>0</v>
      </c>
      <c r="FI114">
        <f>SUMIF('Как есть'!$A$17:$A$25,Доп.расчеты!$A114,'Как есть'!FJ$17:FJ$25)</f>
        <v>0</v>
      </c>
      <c r="FJ114">
        <f>SUMIF('Как есть'!$A$17:$A$25,Доп.расчеты!$A114,'Как есть'!FK$17:FK$25)</f>
        <v>0</v>
      </c>
      <c r="FK114">
        <f>SUMIF('Как есть'!$A$17:$A$25,Доп.расчеты!$A114,'Как есть'!FL$17:FL$25)</f>
        <v>0</v>
      </c>
      <c r="FL114">
        <f>SUMIF('Как есть'!$A$17:$A$25,Доп.расчеты!$A114,'Как есть'!FM$17:FM$25)</f>
        <v>0</v>
      </c>
      <c r="FM114">
        <f>SUMIF('Как есть'!$A$17:$A$25,Доп.расчеты!$A114,'Как есть'!FN$17:FN$25)</f>
        <v>0</v>
      </c>
      <c r="FN114">
        <f>SUMIF('Как есть'!$A$17:$A$25,Доп.расчеты!$A114,'Как есть'!FO$17:FO$25)</f>
        <v>0</v>
      </c>
      <c r="FO114">
        <f>SUMIF('Как есть'!$A$17:$A$25,Доп.расчеты!$A114,'Как есть'!FP$17:FP$25)</f>
        <v>0</v>
      </c>
      <c r="FP114">
        <f>SUMIF('Как есть'!$A$17:$A$25,Доп.расчеты!$A114,'Как есть'!FQ$17:FQ$25)</f>
        <v>0</v>
      </c>
      <c r="FQ114">
        <f>SUMIF('Как есть'!$A$17:$A$25,Доп.расчеты!$A114,'Как есть'!FR$17:FR$25)</f>
        <v>0</v>
      </c>
      <c r="FR114">
        <f>SUMIF('Как есть'!$A$17:$A$25,Доп.расчеты!$A114,'Как есть'!FS$17:FS$25)</f>
        <v>0</v>
      </c>
      <c r="FS114">
        <f>SUMIF('Как есть'!$A$17:$A$25,Доп.расчеты!$A114,'Как есть'!FT$17:FT$25)</f>
        <v>0</v>
      </c>
      <c r="FT114">
        <f>SUMIF('Как есть'!$A$17:$A$25,Доп.расчеты!$A114,'Как есть'!FU$17:FU$25)</f>
        <v>0</v>
      </c>
      <c r="FU114">
        <f>SUMIF('Как есть'!$A$17:$A$25,Доп.расчеты!$A114,'Как есть'!FV$17:FV$25)</f>
        <v>0</v>
      </c>
      <c r="FV114">
        <f>SUMIF('Как есть'!$A$17:$A$25,Доп.расчеты!$A114,'Как есть'!FW$17:FW$25)</f>
        <v>0</v>
      </c>
      <c r="FW114">
        <f>SUMIF('Как есть'!$A$17:$A$25,Доп.расчеты!$A114,'Как есть'!FX$17:FX$25)</f>
        <v>0</v>
      </c>
      <c r="FX114">
        <f>SUMIF('Как есть'!$A$17:$A$25,Доп.расчеты!$A114,'Как есть'!FY$17:FY$25)</f>
        <v>0</v>
      </c>
      <c r="FY114">
        <f>SUMIF('Как есть'!$A$17:$A$25,Доп.расчеты!$A114,'Как есть'!FZ$17:FZ$25)</f>
        <v>0</v>
      </c>
      <c r="FZ114">
        <f>SUMIF('Как есть'!$A$17:$A$25,Доп.расчеты!$A114,'Как есть'!GA$17:GA$25)</f>
        <v>0</v>
      </c>
      <c r="GA114">
        <f>SUMIF('Как есть'!$A$17:$A$25,Доп.расчеты!$A114,'Как есть'!GB$17:GB$25)</f>
        <v>0</v>
      </c>
      <c r="GB114">
        <f>SUMIF('Как есть'!$A$17:$A$25,Доп.расчеты!$A114,'Как есть'!GC$17:GC$25)</f>
        <v>0</v>
      </c>
      <c r="GC114">
        <f>SUMIF('Как есть'!$A$17:$A$25,Доп.расчеты!$A114,'Как есть'!GD$17:GD$25)</f>
        <v>0</v>
      </c>
      <c r="GD114">
        <f>SUMIF('Как есть'!$A$17:$A$25,Доп.расчеты!$A114,'Как есть'!GE$17:GE$25)</f>
        <v>0</v>
      </c>
      <c r="GE114">
        <f>SUMIF('Как есть'!$A$17:$A$25,Доп.расчеты!$A114,'Как есть'!GF$17:GF$25)</f>
        <v>0</v>
      </c>
      <c r="GF114">
        <f>SUMIF('Как есть'!$A$17:$A$25,Доп.расчеты!$A114,'Как есть'!GG$17:GG$25)</f>
        <v>0</v>
      </c>
      <c r="GG114">
        <f>SUMIF('Как есть'!$A$17:$A$25,Доп.расчеты!$A114,'Как есть'!GH$17:GH$25)</f>
        <v>0</v>
      </c>
      <c r="GH114">
        <f>SUMIF('Как есть'!$A$17:$A$25,Доп.расчеты!$A114,'Как есть'!GI$17:GI$25)</f>
        <v>0</v>
      </c>
      <c r="GI114">
        <f>SUMIF('Как есть'!$A$17:$A$25,Доп.расчеты!$A114,'Как есть'!GJ$17:GJ$25)</f>
        <v>0</v>
      </c>
      <c r="GJ114">
        <f>SUMIF('Как есть'!$A$17:$A$25,Доп.расчеты!$A114,'Как есть'!GK$17:GK$25)</f>
        <v>0</v>
      </c>
      <c r="GK114">
        <f>SUMIF('Как есть'!$A$17:$A$25,Доп.расчеты!$A114,'Как есть'!GL$17:GL$25)</f>
        <v>0</v>
      </c>
      <c r="GL114">
        <f>SUMIF('Как есть'!$A$17:$A$25,Доп.расчеты!$A114,'Как есть'!GM$17:GM$25)</f>
        <v>0</v>
      </c>
      <c r="GM114">
        <f>SUMIF('Как есть'!$A$17:$A$25,Доп.расчеты!$A114,'Как есть'!GN$17:GN$25)</f>
        <v>0</v>
      </c>
      <c r="GN114">
        <f>SUMIF('Как есть'!$A$17:$A$25,Доп.расчеты!$A114,'Как есть'!GO$17:GO$25)</f>
        <v>0</v>
      </c>
      <c r="GO114">
        <f>SUMIF('Как есть'!$A$17:$A$25,Доп.расчеты!$A114,'Как есть'!GP$17:GP$25)</f>
        <v>0</v>
      </c>
      <c r="GP114">
        <f>SUMIF('Как есть'!$A$17:$A$25,Доп.расчеты!$A114,'Как есть'!GQ$17:GQ$25)</f>
        <v>0</v>
      </c>
      <c r="GQ114">
        <f>SUMIF('Как есть'!$A$17:$A$25,Доп.расчеты!$A114,'Как есть'!GR$17:GR$25)</f>
        <v>0</v>
      </c>
      <c r="GR114">
        <f>SUMIF('Как есть'!$A$17:$A$25,Доп.расчеты!$A114,'Как есть'!GS$17:GS$25)</f>
        <v>0</v>
      </c>
      <c r="GS114">
        <f>SUMIF('Как есть'!$A$17:$A$25,Доп.расчеты!$A114,'Как есть'!GT$17:GT$25)</f>
        <v>0</v>
      </c>
      <c r="GT114">
        <f>SUMIF('Как есть'!$A$17:$A$25,Доп.расчеты!$A114,'Как есть'!GU$17:GU$25)</f>
        <v>0</v>
      </c>
    </row>
    <row r="115" spans="1:202" hidden="1" outlineLevel="1">
      <c r="A115" s="238" t="s">
        <v>93</v>
      </c>
      <c r="B115">
        <f>SUMIF('Как есть'!$A$17:$A$25,Доп.расчеты!$A115,'Как есть'!C$17:C$25)</f>
        <v>0</v>
      </c>
      <c r="C115">
        <f>SUMIF('Как есть'!$A$17:$A$25,Доп.расчеты!$A115,'Как есть'!D$17:D$25)</f>
        <v>0</v>
      </c>
      <c r="D115">
        <f>SUMIF('Как есть'!$A$17:$A$25,Доп.расчеты!$A115,'Как есть'!E$17:E$25)</f>
        <v>0</v>
      </c>
      <c r="E115">
        <f>SUMIF('Как есть'!$A$17:$A$25,Доп.расчеты!$A115,'Как есть'!F$17:F$25)</f>
        <v>0</v>
      </c>
      <c r="F115">
        <f>SUMIF('Как есть'!$A$17:$A$25,Доп.расчеты!$A115,'Как есть'!G$17:G$25)</f>
        <v>0</v>
      </c>
      <c r="G115">
        <f>SUMIF('Как есть'!$A$17:$A$25,Доп.расчеты!$A115,'Как есть'!H$17:H$25)</f>
        <v>0</v>
      </c>
      <c r="H115">
        <f>SUMIF('Как есть'!$A$17:$A$25,Доп.расчеты!$A115,'Как есть'!I$17:I$25)</f>
        <v>0</v>
      </c>
      <c r="I115">
        <f>SUMIF('Как есть'!$A$17:$A$25,Доп.расчеты!$A115,'Как есть'!J$17:J$25)</f>
        <v>0</v>
      </c>
      <c r="J115">
        <f>SUMIF('Как есть'!$A$17:$A$25,Доп.расчеты!$A115,'Как есть'!K$17:K$25)</f>
        <v>0</v>
      </c>
      <c r="K115">
        <f>SUMIF('Как есть'!$A$17:$A$25,Доп.расчеты!$A115,'Как есть'!L$17:L$25)</f>
        <v>0</v>
      </c>
      <c r="L115">
        <f>SUMIF('Как есть'!$A$17:$A$25,Доп.расчеты!$A115,'Как есть'!M$17:M$25)</f>
        <v>0</v>
      </c>
      <c r="M115">
        <f>SUMIF('Как есть'!$A$17:$A$25,Доп.расчеты!$A115,'Как есть'!N$17:N$25)</f>
        <v>0</v>
      </c>
      <c r="N115">
        <f>SUMIF('Как есть'!$A$17:$A$25,Доп.расчеты!$A115,'Как есть'!O$17:O$25)</f>
        <v>0</v>
      </c>
      <c r="O115">
        <f>SUMIF('Как есть'!$A$17:$A$25,Доп.расчеты!$A115,'Как есть'!P$17:P$25)</f>
        <v>0</v>
      </c>
      <c r="P115">
        <f>SUMIF('Как есть'!$A$17:$A$25,Доп.расчеты!$A115,'Как есть'!Q$17:Q$25)</f>
        <v>0</v>
      </c>
      <c r="Q115">
        <f>SUMIF('Как есть'!$A$17:$A$25,Доп.расчеты!$A115,'Как есть'!R$17:R$25)</f>
        <v>0</v>
      </c>
      <c r="R115">
        <f>SUMIF('Как есть'!$A$17:$A$25,Доп.расчеты!$A115,'Как есть'!S$17:S$25)</f>
        <v>0</v>
      </c>
      <c r="S115">
        <f>SUMIF('Как есть'!$A$17:$A$25,Доп.расчеты!$A115,'Как есть'!T$17:T$25)</f>
        <v>0</v>
      </c>
      <c r="T115">
        <f>SUMIF('Как есть'!$A$17:$A$25,Доп.расчеты!$A115,'Как есть'!U$17:U$25)</f>
        <v>0</v>
      </c>
      <c r="U115">
        <f>SUMIF('Как есть'!$A$17:$A$25,Доп.расчеты!$A115,'Как есть'!V$17:V$25)</f>
        <v>0</v>
      </c>
      <c r="V115">
        <f>SUMIF('Как есть'!$A$17:$A$25,Доп.расчеты!$A115,'Как есть'!W$17:W$25)</f>
        <v>0</v>
      </c>
      <c r="W115">
        <f>SUMIF('Как есть'!$A$17:$A$25,Доп.расчеты!$A115,'Как есть'!X$17:X$25)</f>
        <v>0</v>
      </c>
      <c r="X115">
        <f>SUMIF('Как есть'!$A$17:$A$25,Доп.расчеты!$A115,'Как есть'!Y$17:Y$25)</f>
        <v>0</v>
      </c>
      <c r="Y115">
        <f>SUMIF('Как есть'!$A$17:$A$25,Доп.расчеты!$A115,'Как есть'!Z$17:Z$25)</f>
        <v>0</v>
      </c>
      <c r="Z115">
        <f>SUMIF('Как есть'!$A$17:$A$25,Доп.расчеты!$A115,'Как есть'!AA$17:AA$25)</f>
        <v>0</v>
      </c>
      <c r="AA115">
        <f>SUMIF('Как есть'!$A$17:$A$25,Доп.расчеты!$A115,'Как есть'!AB$17:AB$25)</f>
        <v>0</v>
      </c>
      <c r="AB115">
        <f>SUMIF('Как есть'!$A$17:$A$25,Доп.расчеты!$A115,'Как есть'!AC$17:AC$25)</f>
        <v>0</v>
      </c>
      <c r="AC115">
        <f>SUMIF('Как есть'!$A$17:$A$25,Доп.расчеты!$A115,'Как есть'!AD$17:AD$25)</f>
        <v>0</v>
      </c>
      <c r="AD115">
        <f>SUMIF('Как есть'!$A$17:$A$25,Доп.расчеты!$A115,'Как есть'!AE$17:AE$25)</f>
        <v>0</v>
      </c>
      <c r="AE115">
        <f>SUMIF('Как есть'!$A$17:$A$25,Доп.расчеты!$A115,'Как есть'!AF$17:AF$25)</f>
        <v>0</v>
      </c>
      <c r="AF115">
        <f>SUMIF('Как есть'!$A$17:$A$25,Доп.расчеты!$A115,'Как есть'!AG$17:AG$25)</f>
        <v>0</v>
      </c>
      <c r="AG115">
        <f>SUMIF('Как есть'!$A$17:$A$25,Доп.расчеты!$A115,'Как есть'!AH$17:AH$25)</f>
        <v>0</v>
      </c>
      <c r="AH115">
        <f>SUMIF('Как есть'!$A$17:$A$25,Доп.расчеты!$A115,'Как есть'!AI$17:AI$25)</f>
        <v>0</v>
      </c>
      <c r="AI115">
        <f>SUMIF('Как есть'!$A$17:$A$25,Доп.расчеты!$A115,'Как есть'!AJ$17:AJ$25)</f>
        <v>0</v>
      </c>
      <c r="AJ115">
        <f>SUMIF('Как есть'!$A$17:$A$25,Доп.расчеты!$A115,'Как есть'!AK$17:AK$25)</f>
        <v>0</v>
      </c>
      <c r="AK115">
        <f>SUMIF('Как есть'!$A$17:$A$25,Доп.расчеты!$A115,'Как есть'!AL$17:AL$25)</f>
        <v>0</v>
      </c>
      <c r="AL115">
        <f>SUMIF('Как есть'!$A$17:$A$25,Доп.расчеты!$A115,'Как есть'!AM$17:AM$25)</f>
        <v>0</v>
      </c>
      <c r="AM115">
        <f>SUMIF('Как есть'!$A$17:$A$25,Доп.расчеты!$A115,'Как есть'!AN$17:AN$25)</f>
        <v>0</v>
      </c>
      <c r="AN115">
        <f>SUMIF('Как есть'!$A$17:$A$25,Доп.расчеты!$A115,'Как есть'!AO$17:AO$25)</f>
        <v>0</v>
      </c>
      <c r="AO115">
        <f>SUMIF('Как есть'!$A$17:$A$25,Доп.расчеты!$A115,'Как есть'!AP$17:AP$25)</f>
        <v>0</v>
      </c>
      <c r="AP115">
        <f>SUMIF('Как есть'!$A$17:$A$25,Доп.расчеты!$A115,'Как есть'!AQ$17:AQ$25)</f>
        <v>0</v>
      </c>
      <c r="AQ115">
        <f>SUMIF('Как есть'!$A$17:$A$25,Доп.расчеты!$A115,'Как есть'!AR$17:AR$25)</f>
        <v>0</v>
      </c>
      <c r="AR115">
        <f>SUMIF('Как есть'!$A$17:$A$25,Доп.расчеты!$A115,'Как есть'!AS$17:AS$25)</f>
        <v>0</v>
      </c>
      <c r="AS115">
        <f>SUMIF('Как есть'!$A$17:$A$25,Доп.расчеты!$A115,'Как есть'!AT$17:AT$25)</f>
        <v>0</v>
      </c>
      <c r="AT115">
        <f>SUMIF('Как есть'!$A$17:$A$25,Доп.расчеты!$A115,'Как есть'!AU$17:AU$25)</f>
        <v>0</v>
      </c>
      <c r="AU115">
        <f>SUMIF('Как есть'!$A$17:$A$25,Доп.расчеты!$A115,'Как есть'!AV$17:AV$25)</f>
        <v>0</v>
      </c>
      <c r="AV115">
        <f>SUMIF('Как есть'!$A$17:$A$25,Доп.расчеты!$A115,'Как есть'!AW$17:AW$25)</f>
        <v>0</v>
      </c>
      <c r="AW115">
        <f>SUMIF('Как есть'!$A$17:$A$25,Доп.расчеты!$A115,'Как есть'!AX$17:AX$25)</f>
        <v>0</v>
      </c>
      <c r="AX115">
        <f>SUMIF('Как есть'!$A$17:$A$25,Доп.расчеты!$A115,'Как есть'!AY$17:AY$25)</f>
        <v>0</v>
      </c>
      <c r="AY115">
        <f>SUMIF('Как есть'!$A$17:$A$25,Доп.расчеты!$A115,'Как есть'!AZ$17:AZ$25)</f>
        <v>0</v>
      </c>
      <c r="AZ115">
        <f>SUMIF('Как есть'!$A$17:$A$25,Доп.расчеты!$A115,'Как есть'!BA$17:BA$25)</f>
        <v>0</v>
      </c>
      <c r="BA115">
        <f>SUMIF('Как есть'!$A$17:$A$25,Доп.расчеты!$A115,'Как есть'!BB$17:BB$25)</f>
        <v>0</v>
      </c>
      <c r="BB115">
        <f>SUMIF('Как есть'!$A$17:$A$25,Доп.расчеты!$A115,'Как есть'!BC$17:BC$25)</f>
        <v>0</v>
      </c>
      <c r="BC115">
        <f>SUMIF('Как есть'!$A$17:$A$25,Доп.расчеты!$A115,'Как есть'!BD$17:BD$25)</f>
        <v>0</v>
      </c>
      <c r="BD115">
        <f>SUMIF('Как есть'!$A$17:$A$25,Доп.расчеты!$A115,'Как есть'!BE$17:BE$25)</f>
        <v>0</v>
      </c>
      <c r="BE115">
        <f>SUMIF('Как есть'!$A$17:$A$25,Доп.расчеты!$A115,'Как есть'!BF$17:BF$25)</f>
        <v>0</v>
      </c>
      <c r="BF115">
        <f>SUMIF('Как есть'!$A$17:$A$25,Доп.расчеты!$A115,'Как есть'!BG$17:BG$25)</f>
        <v>0</v>
      </c>
      <c r="BG115">
        <f>SUMIF('Как есть'!$A$17:$A$25,Доп.расчеты!$A115,'Как есть'!BH$17:BH$25)</f>
        <v>0</v>
      </c>
      <c r="BH115">
        <f>SUMIF('Как есть'!$A$17:$A$25,Доп.расчеты!$A115,'Как есть'!BI$17:BI$25)</f>
        <v>0</v>
      </c>
      <c r="BI115">
        <f>SUMIF('Как есть'!$A$17:$A$25,Доп.расчеты!$A115,'Как есть'!BJ$17:BJ$25)</f>
        <v>0</v>
      </c>
      <c r="BJ115">
        <f>SUMIF('Как есть'!$A$17:$A$25,Доп.расчеты!$A115,'Как есть'!BK$17:BK$25)</f>
        <v>0</v>
      </c>
      <c r="BK115">
        <f>SUMIF('Как есть'!$A$17:$A$25,Доп.расчеты!$A115,'Как есть'!BL$17:BL$25)</f>
        <v>0</v>
      </c>
      <c r="BL115">
        <f>SUMIF('Как есть'!$A$17:$A$25,Доп.расчеты!$A115,'Как есть'!BM$17:BM$25)</f>
        <v>0</v>
      </c>
      <c r="BM115">
        <f>SUMIF('Как есть'!$A$17:$A$25,Доп.расчеты!$A115,'Как есть'!BN$17:BN$25)</f>
        <v>0</v>
      </c>
      <c r="BN115">
        <f>SUMIF('Как есть'!$A$17:$A$25,Доп.расчеты!$A115,'Как есть'!BO$17:BO$25)</f>
        <v>0</v>
      </c>
      <c r="BO115">
        <f>SUMIF('Как есть'!$A$17:$A$25,Доп.расчеты!$A115,'Как есть'!BP$17:BP$25)</f>
        <v>0</v>
      </c>
      <c r="BP115">
        <f>SUMIF('Как есть'!$A$17:$A$25,Доп.расчеты!$A115,'Как есть'!BQ$17:BQ$25)</f>
        <v>0</v>
      </c>
      <c r="BQ115">
        <f>SUMIF('Как есть'!$A$17:$A$25,Доп.расчеты!$A115,'Как есть'!BR$17:BR$25)</f>
        <v>0</v>
      </c>
      <c r="BR115">
        <f>SUMIF('Как есть'!$A$17:$A$25,Доп.расчеты!$A115,'Как есть'!BS$17:BS$25)</f>
        <v>0</v>
      </c>
      <c r="BS115">
        <f>SUMIF('Как есть'!$A$17:$A$25,Доп.расчеты!$A115,'Как есть'!BT$17:BT$25)</f>
        <v>0</v>
      </c>
      <c r="BT115">
        <f>SUMIF('Как есть'!$A$17:$A$25,Доп.расчеты!$A115,'Как есть'!BU$17:BU$25)</f>
        <v>0</v>
      </c>
      <c r="BU115">
        <f>SUMIF('Как есть'!$A$17:$A$25,Доп.расчеты!$A115,'Как есть'!BV$17:BV$25)</f>
        <v>0</v>
      </c>
      <c r="BV115">
        <f>SUMIF('Как есть'!$A$17:$A$25,Доп.расчеты!$A115,'Как есть'!BW$17:BW$25)</f>
        <v>0</v>
      </c>
      <c r="BW115">
        <f>SUMIF('Как есть'!$A$17:$A$25,Доп.расчеты!$A115,'Как есть'!BX$17:BX$25)</f>
        <v>0</v>
      </c>
      <c r="BX115">
        <f>SUMIF('Как есть'!$A$17:$A$25,Доп.расчеты!$A115,'Как есть'!BY$17:BY$25)</f>
        <v>0</v>
      </c>
      <c r="BY115">
        <f>SUMIF('Как есть'!$A$17:$A$25,Доп.расчеты!$A115,'Как есть'!BZ$17:BZ$25)</f>
        <v>0</v>
      </c>
      <c r="BZ115">
        <f>SUMIF('Как есть'!$A$17:$A$25,Доп.расчеты!$A115,'Как есть'!CA$17:CA$25)</f>
        <v>0</v>
      </c>
      <c r="CA115">
        <f>SUMIF('Как есть'!$A$17:$A$25,Доп.расчеты!$A115,'Как есть'!CB$17:CB$25)</f>
        <v>0</v>
      </c>
      <c r="CB115">
        <f>SUMIF('Как есть'!$A$17:$A$25,Доп.расчеты!$A115,'Как есть'!CC$17:CC$25)</f>
        <v>0</v>
      </c>
      <c r="CC115">
        <f>SUMIF('Как есть'!$A$17:$A$25,Доп.расчеты!$A115,'Как есть'!CD$17:CD$25)</f>
        <v>0</v>
      </c>
      <c r="CD115">
        <f>SUMIF('Как есть'!$A$17:$A$25,Доп.расчеты!$A115,'Как есть'!CE$17:CE$25)</f>
        <v>0</v>
      </c>
      <c r="CE115">
        <f>SUMIF('Как есть'!$A$17:$A$25,Доп.расчеты!$A115,'Как есть'!CF$17:CF$25)</f>
        <v>0</v>
      </c>
      <c r="CF115">
        <f>SUMIF('Как есть'!$A$17:$A$25,Доп.расчеты!$A115,'Как есть'!CG$17:CG$25)</f>
        <v>0</v>
      </c>
      <c r="CG115">
        <f>SUMIF('Как есть'!$A$17:$A$25,Доп.расчеты!$A115,'Как есть'!CH$17:CH$25)</f>
        <v>0</v>
      </c>
      <c r="CH115">
        <f>SUMIF('Как есть'!$A$17:$A$25,Доп.расчеты!$A115,'Как есть'!CI$17:CI$25)</f>
        <v>0</v>
      </c>
      <c r="CI115">
        <f>SUMIF('Как есть'!$A$17:$A$25,Доп.расчеты!$A115,'Как есть'!CJ$17:CJ$25)</f>
        <v>0</v>
      </c>
      <c r="CJ115">
        <f>SUMIF('Как есть'!$A$17:$A$25,Доп.расчеты!$A115,'Как есть'!CK$17:CK$25)</f>
        <v>0</v>
      </c>
      <c r="CK115">
        <f>SUMIF('Как есть'!$A$17:$A$25,Доп.расчеты!$A115,'Как есть'!CL$17:CL$25)</f>
        <v>0</v>
      </c>
      <c r="CL115">
        <f>SUMIF('Как есть'!$A$17:$A$25,Доп.расчеты!$A115,'Как есть'!CM$17:CM$25)</f>
        <v>0</v>
      </c>
      <c r="CM115">
        <f>SUMIF('Как есть'!$A$17:$A$25,Доп.расчеты!$A115,'Как есть'!CN$17:CN$25)</f>
        <v>0</v>
      </c>
      <c r="CN115">
        <f>SUMIF('Как есть'!$A$17:$A$25,Доп.расчеты!$A115,'Как есть'!CO$17:CO$25)</f>
        <v>0</v>
      </c>
      <c r="CO115">
        <f>SUMIF('Как есть'!$A$17:$A$25,Доп.расчеты!$A115,'Как есть'!CP$17:CP$25)</f>
        <v>0</v>
      </c>
      <c r="CP115">
        <f>SUMIF('Как есть'!$A$17:$A$25,Доп.расчеты!$A115,'Как есть'!CQ$17:CQ$25)</f>
        <v>0</v>
      </c>
      <c r="CQ115">
        <f>SUMIF('Как есть'!$A$17:$A$25,Доп.расчеты!$A115,'Как есть'!CR$17:CR$25)</f>
        <v>0</v>
      </c>
      <c r="CR115">
        <f>SUMIF('Как есть'!$A$17:$A$25,Доп.расчеты!$A115,'Как есть'!CS$17:CS$25)</f>
        <v>0</v>
      </c>
      <c r="CS115">
        <f>SUMIF('Как есть'!$A$17:$A$25,Доп.расчеты!$A115,'Как есть'!CT$17:CT$25)</f>
        <v>0</v>
      </c>
      <c r="CT115">
        <f>SUMIF('Как есть'!$A$17:$A$25,Доп.расчеты!$A115,'Как есть'!CU$17:CU$25)</f>
        <v>0</v>
      </c>
      <c r="CU115">
        <f>SUMIF('Как есть'!$A$17:$A$25,Доп.расчеты!$A115,'Как есть'!CV$17:CV$25)</f>
        <v>0</v>
      </c>
      <c r="CV115">
        <f>SUMIF('Как есть'!$A$17:$A$25,Доп.расчеты!$A115,'Как есть'!CW$17:CW$25)</f>
        <v>0</v>
      </c>
      <c r="CW115">
        <f>SUMIF('Как есть'!$A$17:$A$25,Доп.расчеты!$A115,'Как есть'!CX$17:CX$25)</f>
        <v>0</v>
      </c>
      <c r="CX115">
        <f>SUMIF('Как есть'!$A$17:$A$25,Доп.расчеты!$A115,'Как есть'!CY$17:CY$25)</f>
        <v>0</v>
      </c>
      <c r="CY115">
        <f>SUMIF('Как есть'!$A$17:$A$25,Доп.расчеты!$A115,'Как есть'!CZ$17:CZ$25)</f>
        <v>0</v>
      </c>
      <c r="CZ115">
        <f>SUMIF('Как есть'!$A$17:$A$25,Доп.расчеты!$A115,'Как есть'!DA$17:DA$25)</f>
        <v>0</v>
      </c>
      <c r="DA115">
        <f>SUMIF('Как есть'!$A$17:$A$25,Доп.расчеты!$A115,'Как есть'!DB$17:DB$25)</f>
        <v>0</v>
      </c>
      <c r="DB115">
        <f>SUMIF('Как есть'!$A$17:$A$25,Доп.расчеты!$A115,'Как есть'!DC$17:DC$25)</f>
        <v>0</v>
      </c>
      <c r="DC115">
        <f>SUMIF('Как есть'!$A$17:$A$25,Доп.расчеты!$A115,'Как есть'!DD$17:DD$25)</f>
        <v>0</v>
      </c>
      <c r="DD115">
        <f>SUMIF('Как есть'!$A$17:$A$25,Доп.расчеты!$A115,'Как есть'!DE$17:DE$25)</f>
        <v>0</v>
      </c>
      <c r="DE115">
        <f>SUMIF('Как есть'!$A$17:$A$25,Доп.расчеты!$A115,'Как есть'!DF$17:DF$25)</f>
        <v>0</v>
      </c>
      <c r="DF115">
        <f>SUMIF('Как есть'!$A$17:$A$25,Доп.расчеты!$A115,'Как есть'!DG$17:DG$25)</f>
        <v>0</v>
      </c>
      <c r="DG115">
        <f>SUMIF('Как есть'!$A$17:$A$25,Доп.расчеты!$A115,'Как есть'!DH$17:DH$25)</f>
        <v>0</v>
      </c>
      <c r="DH115">
        <f>SUMIF('Как есть'!$A$17:$A$25,Доп.расчеты!$A115,'Как есть'!DI$17:DI$25)</f>
        <v>0</v>
      </c>
      <c r="DI115">
        <f>SUMIF('Как есть'!$A$17:$A$25,Доп.расчеты!$A115,'Как есть'!DJ$17:DJ$25)</f>
        <v>0</v>
      </c>
      <c r="DJ115">
        <f>SUMIF('Как есть'!$A$17:$A$25,Доп.расчеты!$A115,'Как есть'!DK$17:DK$25)</f>
        <v>0</v>
      </c>
      <c r="DK115">
        <f>SUMIF('Как есть'!$A$17:$A$25,Доп.расчеты!$A115,'Как есть'!DL$17:DL$25)</f>
        <v>0</v>
      </c>
      <c r="DL115">
        <f>SUMIF('Как есть'!$A$17:$A$25,Доп.расчеты!$A115,'Как есть'!DM$17:DM$25)</f>
        <v>0</v>
      </c>
      <c r="DM115">
        <f>SUMIF('Как есть'!$A$17:$A$25,Доп.расчеты!$A115,'Как есть'!DN$17:DN$25)</f>
        <v>0</v>
      </c>
      <c r="DN115">
        <f>SUMIF('Как есть'!$A$17:$A$25,Доп.расчеты!$A115,'Как есть'!DO$17:DO$25)</f>
        <v>0</v>
      </c>
      <c r="DO115">
        <f>SUMIF('Как есть'!$A$17:$A$25,Доп.расчеты!$A115,'Как есть'!DP$17:DP$25)</f>
        <v>0</v>
      </c>
      <c r="DP115">
        <f>SUMIF('Как есть'!$A$17:$A$25,Доп.расчеты!$A115,'Как есть'!DQ$17:DQ$25)</f>
        <v>0</v>
      </c>
      <c r="DQ115">
        <f>SUMIF('Как есть'!$A$17:$A$25,Доп.расчеты!$A115,'Как есть'!DR$17:DR$25)</f>
        <v>0</v>
      </c>
      <c r="DR115">
        <f>SUMIF('Как есть'!$A$17:$A$25,Доп.расчеты!$A115,'Как есть'!DS$17:DS$25)</f>
        <v>0</v>
      </c>
      <c r="DS115">
        <f>SUMIF('Как есть'!$A$17:$A$25,Доп.расчеты!$A115,'Как есть'!DT$17:DT$25)</f>
        <v>0</v>
      </c>
      <c r="DT115">
        <f>SUMIF('Как есть'!$A$17:$A$25,Доп.расчеты!$A115,'Как есть'!DU$17:DU$25)</f>
        <v>0</v>
      </c>
      <c r="DU115">
        <f>SUMIF('Как есть'!$A$17:$A$25,Доп.расчеты!$A115,'Как есть'!DV$17:DV$25)</f>
        <v>0</v>
      </c>
      <c r="DV115">
        <f>SUMIF('Как есть'!$A$17:$A$25,Доп.расчеты!$A115,'Как есть'!DW$17:DW$25)</f>
        <v>0</v>
      </c>
      <c r="DW115">
        <f>SUMIF('Как есть'!$A$17:$A$25,Доп.расчеты!$A115,'Как есть'!DX$17:DX$25)</f>
        <v>0</v>
      </c>
      <c r="DX115">
        <f>SUMIF('Как есть'!$A$17:$A$25,Доп.расчеты!$A115,'Как есть'!DY$17:DY$25)</f>
        <v>0</v>
      </c>
      <c r="DY115">
        <f>SUMIF('Как есть'!$A$17:$A$25,Доп.расчеты!$A115,'Как есть'!DZ$17:DZ$25)</f>
        <v>0</v>
      </c>
      <c r="DZ115">
        <f>SUMIF('Как есть'!$A$17:$A$25,Доп.расчеты!$A115,'Как есть'!EA$17:EA$25)</f>
        <v>0</v>
      </c>
      <c r="EA115">
        <f>SUMIF('Как есть'!$A$17:$A$25,Доп.расчеты!$A115,'Как есть'!EB$17:EB$25)</f>
        <v>0</v>
      </c>
      <c r="EB115">
        <f>SUMIF('Как есть'!$A$17:$A$25,Доп.расчеты!$A115,'Как есть'!EC$17:EC$25)</f>
        <v>0</v>
      </c>
      <c r="EC115">
        <f>SUMIF('Как есть'!$A$17:$A$25,Доп.расчеты!$A115,'Как есть'!ED$17:ED$25)</f>
        <v>0</v>
      </c>
      <c r="ED115">
        <f>SUMIF('Как есть'!$A$17:$A$25,Доп.расчеты!$A115,'Как есть'!EE$17:EE$25)</f>
        <v>0</v>
      </c>
      <c r="EE115">
        <f>SUMIF('Как есть'!$A$17:$A$25,Доп.расчеты!$A115,'Как есть'!EF$17:EF$25)</f>
        <v>0</v>
      </c>
      <c r="EF115">
        <f>SUMIF('Как есть'!$A$17:$A$25,Доп.расчеты!$A115,'Как есть'!EG$17:EG$25)</f>
        <v>0</v>
      </c>
      <c r="EG115">
        <f>SUMIF('Как есть'!$A$17:$A$25,Доп.расчеты!$A115,'Как есть'!EH$17:EH$25)</f>
        <v>0</v>
      </c>
      <c r="EH115">
        <f>SUMIF('Как есть'!$A$17:$A$25,Доп.расчеты!$A115,'Как есть'!EI$17:EI$25)</f>
        <v>0</v>
      </c>
      <c r="EI115">
        <f>SUMIF('Как есть'!$A$17:$A$25,Доп.расчеты!$A115,'Как есть'!EJ$17:EJ$25)</f>
        <v>0</v>
      </c>
      <c r="EJ115">
        <f>SUMIF('Как есть'!$A$17:$A$25,Доп.расчеты!$A115,'Как есть'!EK$17:EK$25)</f>
        <v>0</v>
      </c>
      <c r="EK115">
        <f>SUMIF('Как есть'!$A$17:$A$25,Доп.расчеты!$A115,'Как есть'!EL$17:EL$25)</f>
        <v>0</v>
      </c>
      <c r="EL115">
        <f>SUMIF('Как есть'!$A$17:$A$25,Доп.расчеты!$A115,'Как есть'!EM$17:EM$25)</f>
        <v>0</v>
      </c>
      <c r="EM115">
        <f>SUMIF('Как есть'!$A$17:$A$25,Доп.расчеты!$A115,'Как есть'!EN$17:EN$25)</f>
        <v>0</v>
      </c>
      <c r="EN115">
        <f>SUMIF('Как есть'!$A$17:$A$25,Доп.расчеты!$A115,'Как есть'!EO$17:EO$25)</f>
        <v>0</v>
      </c>
      <c r="EO115">
        <f>SUMIF('Как есть'!$A$17:$A$25,Доп.расчеты!$A115,'Как есть'!EP$17:EP$25)</f>
        <v>0</v>
      </c>
      <c r="EP115">
        <f>SUMIF('Как есть'!$A$17:$A$25,Доп.расчеты!$A115,'Как есть'!EQ$17:EQ$25)</f>
        <v>0</v>
      </c>
      <c r="EQ115">
        <f>SUMIF('Как есть'!$A$17:$A$25,Доп.расчеты!$A115,'Как есть'!ER$17:ER$25)</f>
        <v>0</v>
      </c>
      <c r="ER115">
        <f>SUMIF('Как есть'!$A$17:$A$25,Доп.расчеты!$A115,'Как есть'!ES$17:ES$25)</f>
        <v>0</v>
      </c>
      <c r="ES115">
        <f>SUMIF('Как есть'!$A$17:$A$25,Доп.расчеты!$A115,'Как есть'!ET$17:ET$25)</f>
        <v>0</v>
      </c>
      <c r="ET115">
        <f>SUMIF('Как есть'!$A$17:$A$25,Доп.расчеты!$A115,'Как есть'!EU$17:EU$25)</f>
        <v>0</v>
      </c>
      <c r="EU115">
        <f>SUMIF('Как есть'!$A$17:$A$25,Доп.расчеты!$A115,'Как есть'!EV$17:EV$25)</f>
        <v>0</v>
      </c>
      <c r="EV115">
        <f>SUMIF('Как есть'!$A$17:$A$25,Доп.расчеты!$A115,'Как есть'!EW$17:EW$25)</f>
        <v>0</v>
      </c>
      <c r="EW115">
        <f>SUMIF('Как есть'!$A$17:$A$25,Доп.расчеты!$A115,'Как есть'!EX$17:EX$25)</f>
        <v>0</v>
      </c>
      <c r="EX115">
        <f>SUMIF('Как есть'!$A$17:$A$25,Доп.расчеты!$A115,'Как есть'!EY$17:EY$25)</f>
        <v>0</v>
      </c>
      <c r="EY115">
        <f>SUMIF('Как есть'!$A$17:$A$25,Доп.расчеты!$A115,'Как есть'!EZ$17:EZ$25)</f>
        <v>0</v>
      </c>
      <c r="EZ115">
        <f>SUMIF('Как есть'!$A$17:$A$25,Доп.расчеты!$A115,'Как есть'!FA$17:FA$25)</f>
        <v>0</v>
      </c>
      <c r="FA115">
        <f>SUMIF('Как есть'!$A$17:$A$25,Доп.расчеты!$A115,'Как есть'!FB$17:FB$25)</f>
        <v>0</v>
      </c>
      <c r="FB115">
        <f>SUMIF('Как есть'!$A$17:$A$25,Доп.расчеты!$A115,'Как есть'!FC$17:FC$25)</f>
        <v>0</v>
      </c>
      <c r="FC115">
        <f>SUMIF('Как есть'!$A$17:$A$25,Доп.расчеты!$A115,'Как есть'!FD$17:FD$25)</f>
        <v>0</v>
      </c>
      <c r="FD115">
        <f>SUMIF('Как есть'!$A$17:$A$25,Доп.расчеты!$A115,'Как есть'!FE$17:FE$25)</f>
        <v>0</v>
      </c>
      <c r="FE115">
        <f>SUMIF('Как есть'!$A$17:$A$25,Доп.расчеты!$A115,'Как есть'!FF$17:FF$25)</f>
        <v>0</v>
      </c>
      <c r="FF115">
        <f>SUMIF('Как есть'!$A$17:$A$25,Доп.расчеты!$A115,'Как есть'!FG$17:FG$25)</f>
        <v>0</v>
      </c>
      <c r="FG115">
        <f>SUMIF('Как есть'!$A$17:$A$25,Доп.расчеты!$A115,'Как есть'!FH$17:FH$25)</f>
        <v>0</v>
      </c>
      <c r="FH115">
        <f>SUMIF('Как есть'!$A$17:$A$25,Доп.расчеты!$A115,'Как есть'!FI$17:FI$25)</f>
        <v>0</v>
      </c>
      <c r="FI115">
        <f>SUMIF('Как есть'!$A$17:$A$25,Доп.расчеты!$A115,'Как есть'!FJ$17:FJ$25)</f>
        <v>0</v>
      </c>
      <c r="FJ115">
        <f>SUMIF('Как есть'!$A$17:$A$25,Доп.расчеты!$A115,'Как есть'!FK$17:FK$25)</f>
        <v>0</v>
      </c>
      <c r="FK115">
        <f>SUMIF('Как есть'!$A$17:$A$25,Доп.расчеты!$A115,'Как есть'!FL$17:FL$25)</f>
        <v>0</v>
      </c>
      <c r="FL115">
        <f>SUMIF('Как есть'!$A$17:$A$25,Доп.расчеты!$A115,'Как есть'!FM$17:FM$25)</f>
        <v>0</v>
      </c>
      <c r="FM115">
        <f>SUMIF('Как есть'!$A$17:$A$25,Доп.расчеты!$A115,'Как есть'!FN$17:FN$25)</f>
        <v>0</v>
      </c>
      <c r="FN115">
        <f>SUMIF('Как есть'!$A$17:$A$25,Доп.расчеты!$A115,'Как есть'!FO$17:FO$25)</f>
        <v>0</v>
      </c>
      <c r="FO115">
        <f>SUMIF('Как есть'!$A$17:$A$25,Доп.расчеты!$A115,'Как есть'!FP$17:FP$25)</f>
        <v>0</v>
      </c>
      <c r="FP115">
        <f>SUMIF('Как есть'!$A$17:$A$25,Доп.расчеты!$A115,'Как есть'!FQ$17:FQ$25)</f>
        <v>0</v>
      </c>
      <c r="FQ115">
        <f>SUMIF('Как есть'!$A$17:$A$25,Доп.расчеты!$A115,'Как есть'!FR$17:FR$25)</f>
        <v>0</v>
      </c>
      <c r="FR115">
        <f>SUMIF('Как есть'!$A$17:$A$25,Доп.расчеты!$A115,'Как есть'!FS$17:FS$25)</f>
        <v>0</v>
      </c>
      <c r="FS115">
        <f>SUMIF('Как есть'!$A$17:$A$25,Доп.расчеты!$A115,'Как есть'!FT$17:FT$25)</f>
        <v>0</v>
      </c>
      <c r="FT115">
        <f>SUMIF('Как есть'!$A$17:$A$25,Доп.расчеты!$A115,'Как есть'!FU$17:FU$25)</f>
        <v>0</v>
      </c>
      <c r="FU115">
        <f>SUMIF('Как есть'!$A$17:$A$25,Доп.расчеты!$A115,'Как есть'!FV$17:FV$25)</f>
        <v>0</v>
      </c>
      <c r="FV115">
        <f>SUMIF('Как есть'!$A$17:$A$25,Доп.расчеты!$A115,'Как есть'!FW$17:FW$25)</f>
        <v>0</v>
      </c>
      <c r="FW115">
        <f>SUMIF('Как есть'!$A$17:$A$25,Доп.расчеты!$A115,'Как есть'!FX$17:FX$25)</f>
        <v>0</v>
      </c>
      <c r="FX115">
        <f>SUMIF('Как есть'!$A$17:$A$25,Доп.расчеты!$A115,'Как есть'!FY$17:FY$25)</f>
        <v>0</v>
      </c>
      <c r="FY115">
        <f>SUMIF('Как есть'!$A$17:$A$25,Доп.расчеты!$A115,'Как есть'!FZ$17:FZ$25)</f>
        <v>0</v>
      </c>
      <c r="FZ115">
        <f>SUMIF('Как есть'!$A$17:$A$25,Доп.расчеты!$A115,'Как есть'!GA$17:GA$25)</f>
        <v>0</v>
      </c>
      <c r="GA115">
        <f>SUMIF('Как есть'!$A$17:$A$25,Доп.расчеты!$A115,'Как есть'!GB$17:GB$25)</f>
        <v>0</v>
      </c>
      <c r="GB115">
        <f>SUMIF('Как есть'!$A$17:$A$25,Доп.расчеты!$A115,'Как есть'!GC$17:GC$25)</f>
        <v>0</v>
      </c>
      <c r="GC115">
        <f>SUMIF('Как есть'!$A$17:$A$25,Доп.расчеты!$A115,'Как есть'!GD$17:GD$25)</f>
        <v>0</v>
      </c>
      <c r="GD115">
        <f>SUMIF('Как есть'!$A$17:$A$25,Доп.расчеты!$A115,'Как есть'!GE$17:GE$25)</f>
        <v>0</v>
      </c>
      <c r="GE115">
        <f>SUMIF('Как есть'!$A$17:$A$25,Доп.расчеты!$A115,'Как есть'!GF$17:GF$25)</f>
        <v>0</v>
      </c>
      <c r="GF115">
        <f>SUMIF('Как есть'!$A$17:$A$25,Доп.расчеты!$A115,'Как есть'!GG$17:GG$25)</f>
        <v>0</v>
      </c>
      <c r="GG115">
        <f>SUMIF('Как есть'!$A$17:$A$25,Доп.расчеты!$A115,'Как есть'!GH$17:GH$25)</f>
        <v>0</v>
      </c>
      <c r="GH115">
        <f>SUMIF('Как есть'!$A$17:$A$25,Доп.расчеты!$A115,'Как есть'!GI$17:GI$25)</f>
        <v>0</v>
      </c>
      <c r="GI115">
        <f>SUMIF('Как есть'!$A$17:$A$25,Доп.расчеты!$A115,'Как есть'!GJ$17:GJ$25)</f>
        <v>0</v>
      </c>
      <c r="GJ115">
        <f>SUMIF('Как есть'!$A$17:$A$25,Доп.расчеты!$A115,'Как есть'!GK$17:GK$25)</f>
        <v>0</v>
      </c>
      <c r="GK115">
        <f>SUMIF('Как есть'!$A$17:$A$25,Доп.расчеты!$A115,'Как есть'!GL$17:GL$25)</f>
        <v>0</v>
      </c>
      <c r="GL115">
        <f>SUMIF('Как есть'!$A$17:$A$25,Доп.расчеты!$A115,'Как есть'!GM$17:GM$25)</f>
        <v>0</v>
      </c>
      <c r="GM115">
        <f>SUMIF('Как есть'!$A$17:$A$25,Доп.расчеты!$A115,'Как есть'!GN$17:GN$25)</f>
        <v>0</v>
      </c>
      <c r="GN115">
        <f>SUMIF('Как есть'!$A$17:$A$25,Доп.расчеты!$A115,'Как есть'!GO$17:GO$25)</f>
        <v>0</v>
      </c>
      <c r="GO115">
        <f>SUMIF('Как есть'!$A$17:$A$25,Доп.расчеты!$A115,'Как есть'!GP$17:GP$25)</f>
        <v>0</v>
      </c>
      <c r="GP115">
        <f>SUMIF('Как есть'!$A$17:$A$25,Доп.расчеты!$A115,'Как есть'!GQ$17:GQ$25)</f>
        <v>0</v>
      </c>
      <c r="GQ115">
        <f>SUMIF('Как есть'!$A$17:$A$25,Доп.расчеты!$A115,'Как есть'!GR$17:GR$25)</f>
        <v>0</v>
      </c>
      <c r="GR115">
        <f>SUMIF('Как есть'!$A$17:$A$25,Доп.расчеты!$A115,'Как есть'!GS$17:GS$25)</f>
        <v>0</v>
      </c>
      <c r="GS115">
        <f>SUMIF('Как есть'!$A$17:$A$25,Доп.расчеты!$A115,'Как есть'!GT$17:GT$25)</f>
        <v>0</v>
      </c>
      <c r="GT115">
        <f>SUMIF('Как есть'!$A$17:$A$25,Доп.расчеты!$A115,'Как есть'!GU$17:GU$25)</f>
        <v>0</v>
      </c>
    </row>
    <row r="116" spans="1:202" hidden="1" outlineLevel="1">
      <c r="A116" s="238" t="s">
        <v>94</v>
      </c>
      <c r="B116">
        <f>SUMIF('Как есть'!$A$17:$A$25,Доп.расчеты!$A116,'Как есть'!C$17:C$25)</f>
        <v>0</v>
      </c>
      <c r="C116">
        <f>SUMIF('Как есть'!$A$17:$A$25,Доп.расчеты!$A116,'Как есть'!D$17:D$25)</f>
        <v>0</v>
      </c>
      <c r="D116">
        <f>SUMIF('Как есть'!$A$17:$A$25,Доп.расчеты!$A116,'Как есть'!E$17:E$25)</f>
        <v>0</v>
      </c>
      <c r="E116">
        <f>SUMIF('Как есть'!$A$17:$A$25,Доп.расчеты!$A116,'Как есть'!F$17:F$25)</f>
        <v>0</v>
      </c>
      <c r="F116">
        <f>SUMIF('Как есть'!$A$17:$A$25,Доп.расчеты!$A116,'Как есть'!G$17:G$25)</f>
        <v>0</v>
      </c>
      <c r="G116">
        <f>SUMIF('Как есть'!$A$17:$A$25,Доп.расчеты!$A116,'Как есть'!H$17:H$25)</f>
        <v>0</v>
      </c>
      <c r="H116">
        <f>SUMIF('Как есть'!$A$17:$A$25,Доп.расчеты!$A116,'Как есть'!I$17:I$25)</f>
        <v>0</v>
      </c>
      <c r="I116">
        <f>SUMIF('Как есть'!$A$17:$A$25,Доп.расчеты!$A116,'Как есть'!J$17:J$25)</f>
        <v>0</v>
      </c>
      <c r="J116">
        <f>SUMIF('Как есть'!$A$17:$A$25,Доп.расчеты!$A116,'Как есть'!K$17:K$25)</f>
        <v>0</v>
      </c>
      <c r="K116">
        <f>SUMIF('Как есть'!$A$17:$A$25,Доп.расчеты!$A116,'Как есть'!L$17:L$25)</f>
        <v>0</v>
      </c>
      <c r="L116">
        <f>SUMIF('Как есть'!$A$17:$A$25,Доп.расчеты!$A116,'Как есть'!M$17:M$25)</f>
        <v>0</v>
      </c>
      <c r="M116">
        <f>SUMIF('Как есть'!$A$17:$A$25,Доп.расчеты!$A116,'Как есть'!N$17:N$25)</f>
        <v>0</v>
      </c>
      <c r="N116">
        <f>SUMIF('Как есть'!$A$17:$A$25,Доп.расчеты!$A116,'Как есть'!O$17:O$25)</f>
        <v>0</v>
      </c>
      <c r="O116">
        <f>SUMIF('Как есть'!$A$17:$A$25,Доп.расчеты!$A116,'Как есть'!P$17:P$25)</f>
        <v>0</v>
      </c>
      <c r="P116">
        <f>SUMIF('Как есть'!$A$17:$A$25,Доп.расчеты!$A116,'Как есть'!Q$17:Q$25)</f>
        <v>0</v>
      </c>
      <c r="Q116">
        <f>SUMIF('Как есть'!$A$17:$A$25,Доп.расчеты!$A116,'Как есть'!R$17:R$25)</f>
        <v>0</v>
      </c>
      <c r="R116">
        <f>SUMIF('Как есть'!$A$17:$A$25,Доп.расчеты!$A116,'Как есть'!S$17:S$25)</f>
        <v>0</v>
      </c>
      <c r="S116">
        <f>SUMIF('Как есть'!$A$17:$A$25,Доп.расчеты!$A116,'Как есть'!T$17:T$25)</f>
        <v>0</v>
      </c>
      <c r="T116">
        <f>SUMIF('Как есть'!$A$17:$A$25,Доп.расчеты!$A116,'Как есть'!U$17:U$25)</f>
        <v>0</v>
      </c>
      <c r="U116">
        <f>SUMIF('Как есть'!$A$17:$A$25,Доп.расчеты!$A116,'Как есть'!V$17:V$25)</f>
        <v>0</v>
      </c>
      <c r="V116">
        <f>SUMIF('Как есть'!$A$17:$A$25,Доп.расчеты!$A116,'Как есть'!W$17:W$25)</f>
        <v>0</v>
      </c>
      <c r="W116">
        <f>SUMIF('Как есть'!$A$17:$A$25,Доп.расчеты!$A116,'Как есть'!X$17:X$25)</f>
        <v>0</v>
      </c>
      <c r="X116">
        <f>SUMIF('Как есть'!$A$17:$A$25,Доп.расчеты!$A116,'Как есть'!Y$17:Y$25)</f>
        <v>0</v>
      </c>
      <c r="Y116">
        <f>SUMIF('Как есть'!$A$17:$A$25,Доп.расчеты!$A116,'Как есть'!Z$17:Z$25)</f>
        <v>0</v>
      </c>
      <c r="Z116">
        <f>SUMIF('Как есть'!$A$17:$A$25,Доп.расчеты!$A116,'Как есть'!AA$17:AA$25)</f>
        <v>0</v>
      </c>
      <c r="AA116">
        <f>SUMIF('Как есть'!$A$17:$A$25,Доп.расчеты!$A116,'Как есть'!AB$17:AB$25)</f>
        <v>0</v>
      </c>
      <c r="AB116">
        <f>SUMIF('Как есть'!$A$17:$A$25,Доп.расчеты!$A116,'Как есть'!AC$17:AC$25)</f>
        <v>0</v>
      </c>
      <c r="AC116">
        <f>SUMIF('Как есть'!$A$17:$A$25,Доп.расчеты!$A116,'Как есть'!AD$17:AD$25)</f>
        <v>0</v>
      </c>
      <c r="AD116">
        <f>SUMIF('Как есть'!$A$17:$A$25,Доп.расчеты!$A116,'Как есть'!AE$17:AE$25)</f>
        <v>0</v>
      </c>
      <c r="AE116">
        <f>SUMIF('Как есть'!$A$17:$A$25,Доп.расчеты!$A116,'Как есть'!AF$17:AF$25)</f>
        <v>0</v>
      </c>
      <c r="AF116">
        <f>SUMIF('Как есть'!$A$17:$A$25,Доп.расчеты!$A116,'Как есть'!AG$17:AG$25)</f>
        <v>0</v>
      </c>
      <c r="AG116">
        <f>SUMIF('Как есть'!$A$17:$A$25,Доп.расчеты!$A116,'Как есть'!AH$17:AH$25)</f>
        <v>0</v>
      </c>
      <c r="AH116">
        <f>SUMIF('Как есть'!$A$17:$A$25,Доп.расчеты!$A116,'Как есть'!AI$17:AI$25)</f>
        <v>0</v>
      </c>
      <c r="AI116">
        <f>SUMIF('Как есть'!$A$17:$A$25,Доп.расчеты!$A116,'Как есть'!AJ$17:AJ$25)</f>
        <v>0</v>
      </c>
      <c r="AJ116">
        <f>SUMIF('Как есть'!$A$17:$A$25,Доп.расчеты!$A116,'Как есть'!AK$17:AK$25)</f>
        <v>0</v>
      </c>
      <c r="AK116">
        <f>SUMIF('Как есть'!$A$17:$A$25,Доп.расчеты!$A116,'Как есть'!AL$17:AL$25)</f>
        <v>0</v>
      </c>
      <c r="AL116">
        <f>SUMIF('Как есть'!$A$17:$A$25,Доп.расчеты!$A116,'Как есть'!AM$17:AM$25)</f>
        <v>0</v>
      </c>
      <c r="AM116">
        <f>SUMIF('Как есть'!$A$17:$A$25,Доп.расчеты!$A116,'Как есть'!AN$17:AN$25)</f>
        <v>0</v>
      </c>
      <c r="AN116">
        <f>SUMIF('Как есть'!$A$17:$A$25,Доп.расчеты!$A116,'Как есть'!AO$17:AO$25)</f>
        <v>0</v>
      </c>
      <c r="AO116">
        <f>SUMIF('Как есть'!$A$17:$A$25,Доп.расчеты!$A116,'Как есть'!AP$17:AP$25)</f>
        <v>0</v>
      </c>
      <c r="AP116">
        <f>SUMIF('Как есть'!$A$17:$A$25,Доп.расчеты!$A116,'Как есть'!AQ$17:AQ$25)</f>
        <v>0</v>
      </c>
      <c r="AQ116">
        <f>SUMIF('Как есть'!$A$17:$A$25,Доп.расчеты!$A116,'Как есть'!AR$17:AR$25)</f>
        <v>0</v>
      </c>
      <c r="AR116">
        <f>SUMIF('Как есть'!$A$17:$A$25,Доп.расчеты!$A116,'Как есть'!AS$17:AS$25)</f>
        <v>0</v>
      </c>
      <c r="AS116">
        <f>SUMIF('Как есть'!$A$17:$A$25,Доп.расчеты!$A116,'Как есть'!AT$17:AT$25)</f>
        <v>0</v>
      </c>
      <c r="AT116">
        <f>SUMIF('Как есть'!$A$17:$A$25,Доп.расчеты!$A116,'Как есть'!AU$17:AU$25)</f>
        <v>0</v>
      </c>
      <c r="AU116">
        <f>SUMIF('Как есть'!$A$17:$A$25,Доп.расчеты!$A116,'Как есть'!AV$17:AV$25)</f>
        <v>0</v>
      </c>
      <c r="AV116">
        <f>SUMIF('Как есть'!$A$17:$A$25,Доп.расчеты!$A116,'Как есть'!AW$17:AW$25)</f>
        <v>0</v>
      </c>
      <c r="AW116">
        <f>SUMIF('Как есть'!$A$17:$A$25,Доп.расчеты!$A116,'Как есть'!AX$17:AX$25)</f>
        <v>0</v>
      </c>
      <c r="AX116">
        <f>SUMIF('Как есть'!$A$17:$A$25,Доп.расчеты!$A116,'Как есть'!AY$17:AY$25)</f>
        <v>0</v>
      </c>
      <c r="AY116">
        <f>SUMIF('Как есть'!$A$17:$A$25,Доп.расчеты!$A116,'Как есть'!AZ$17:AZ$25)</f>
        <v>0</v>
      </c>
      <c r="AZ116">
        <f>SUMIF('Как есть'!$A$17:$A$25,Доп.расчеты!$A116,'Как есть'!BA$17:BA$25)</f>
        <v>0</v>
      </c>
      <c r="BA116">
        <f>SUMIF('Как есть'!$A$17:$A$25,Доп.расчеты!$A116,'Как есть'!BB$17:BB$25)</f>
        <v>0</v>
      </c>
      <c r="BB116">
        <f>SUMIF('Как есть'!$A$17:$A$25,Доп.расчеты!$A116,'Как есть'!BC$17:BC$25)</f>
        <v>0</v>
      </c>
      <c r="BC116">
        <f>SUMIF('Как есть'!$A$17:$A$25,Доп.расчеты!$A116,'Как есть'!BD$17:BD$25)</f>
        <v>0</v>
      </c>
      <c r="BD116">
        <f>SUMIF('Как есть'!$A$17:$A$25,Доп.расчеты!$A116,'Как есть'!BE$17:BE$25)</f>
        <v>0</v>
      </c>
      <c r="BE116">
        <f>SUMIF('Как есть'!$A$17:$A$25,Доп.расчеты!$A116,'Как есть'!BF$17:BF$25)</f>
        <v>0</v>
      </c>
      <c r="BF116">
        <f>SUMIF('Как есть'!$A$17:$A$25,Доп.расчеты!$A116,'Как есть'!BG$17:BG$25)</f>
        <v>0</v>
      </c>
      <c r="BG116">
        <f>SUMIF('Как есть'!$A$17:$A$25,Доп.расчеты!$A116,'Как есть'!BH$17:BH$25)</f>
        <v>0</v>
      </c>
      <c r="BH116">
        <f>SUMIF('Как есть'!$A$17:$A$25,Доп.расчеты!$A116,'Как есть'!BI$17:BI$25)</f>
        <v>0</v>
      </c>
      <c r="BI116">
        <f>SUMIF('Как есть'!$A$17:$A$25,Доп.расчеты!$A116,'Как есть'!BJ$17:BJ$25)</f>
        <v>0</v>
      </c>
      <c r="BJ116">
        <f>SUMIF('Как есть'!$A$17:$A$25,Доп.расчеты!$A116,'Как есть'!BK$17:BK$25)</f>
        <v>0</v>
      </c>
      <c r="BK116">
        <f>SUMIF('Как есть'!$A$17:$A$25,Доп.расчеты!$A116,'Как есть'!BL$17:BL$25)</f>
        <v>0</v>
      </c>
      <c r="BL116">
        <f>SUMIF('Как есть'!$A$17:$A$25,Доп.расчеты!$A116,'Как есть'!BM$17:BM$25)</f>
        <v>0</v>
      </c>
      <c r="BM116">
        <f>SUMIF('Как есть'!$A$17:$A$25,Доп.расчеты!$A116,'Как есть'!BN$17:BN$25)</f>
        <v>0</v>
      </c>
      <c r="BN116">
        <f>SUMIF('Как есть'!$A$17:$A$25,Доп.расчеты!$A116,'Как есть'!BO$17:BO$25)</f>
        <v>0</v>
      </c>
      <c r="BO116">
        <f>SUMIF('Как есть'!$A$17:$A$25,Доп.расчеты!$A116,'Как есть'!BP$17:BP$25)</f>
        <v>0</v>
      </c>
      <c r="BP116">
        <f>SUMIF('Как есть'!$A$17:$A$25,Доп.расчеты!$A116,'Как есть'!BQ$17:BQ$25)</f>
        <v>0</v>
      </c>
      <c r="BQ116">
        <f>SUMIF('Как есть'!$A$17:$A$25,Доп.расчеты!$A116,'Как есть'!BR$17:BR$25)</f>
        <v>0</v>
      </c>
      <c r="BR116">
        <f>SUMIF('Как есть'!$A$17:$A$25,Доп.расчеты!$A116,'Как есть'!BS$17:BS$25)</f>
        <v>0</v>
      </c>
      <c r="BS116">
        <f>SUMIF('Как есть'!$A$17:$A$25,Доп.расчеты!$A116,'Как есть'!BT$17:BT$25)</f>
        <v>0</v>
      </c>
      <c r="BT116">
        <f>SUMIF('Как есть'!$A$17:$A$25,Доп.расчеты!$A116,'Как есть'!BU$17:BU$25)</f>
        <v>0</v>
      </c>
      <c r="BU116">
        <f>SUMIF('Как есть'!$A$17:$A$25,Доп.расчеты!$A116,'Как есть'!BV$17:BV$25)</f>
        <v>0</v>
      </c>
      <c r="BV116">
        <f>SUMIF('Как есть'!$A$17:$A$25,Доп.расчеты!$A116,'Как есть'!BW$17:BW$25)</f>
        <v>0</v>
      </c>
      <c r="BW116">
        <f>SUMIF('Как есть'!$A$17:$A$25,Доп.расчеты!$A116,'Как есть'!BX$17:BX$25)</f>
        <v>0</v>
      </c>
      <c r="BX116">
        <f>SUMIF('Как есть'!$A$17:$A$25,Доп.расчеты!$A116,'Как есть'!BY$17:BY$25)</f>
        <v>0</v>
      </c>
      <c r="BY116">
        <f>SUMIF('Как есть'!$A$17:$A$25,Доп.расчеты!$A116,'Как есть'!BZ$17:BZ$25)</f>
        <v>0</v>
      </c>
      <c r="BZ116">
        <f>SUMIF('Как есть'!$A$17:$A$25,Доп.расчеты!$A116,'Как есть'!CA$17:CA$25)</f>
        <v>0</v>
      </c>
      <c r="CA116">
        <f>SUMIF('Как есть'!$A$17:$A$25,Доп.расчеты!$A116,'Как есть'!CB$17:CB$25)</f>
        <v>0</v>
      </c>
      <c r="CB116">
        <f>SUMIF('Как есть'!$A$17:$A$25,Доп.расчеты!$A116,'Как есть'!CC$17:CC$25)</f>
        <v>0</v>
      </c>
      <c r="CC116">
        <f>SUMIF('Как есть'!$A$17:$A$25,Доп.расчеты!$A116,'Как есть'!CD$17:CD$25)</f>
        <v>0</v>
      </c>
      <c r="CD116">
        <f>SUMIF('Как есть'!$A$17:$A$25,Доп.расчеты!$A116,'Как есть'!CE$17:CE$25)</f>
        <v>0</v>
      </c>
      <c r="CE116">
        <f>SUMIF('Как есть'!$A$17:$A$25,Доп.расчеты!$A116,'Как есть'!CF$17:CF$25)</f>
        <v>0</v>
      </c>
      <c r="CF116">
        <f>SUMIF('Как есть'!$A$17:$A$25,Доп.расчеты!$A116,'Как есть'!CG$17:CG$25)</f>
        <v>0</v>
      </c>
      <c r="CG116">
        <f>SUMIF('Как есть'!$A$17:$A$25,Доп.расчеты!$A116,'Как есть'!CH$17:CH$25)</f>
        <v>0</v>
      </c>
      <c r="CH116">
        <f>SUMIF('Как есть'!$A$17:$A$25,Доп.расчеты!$A116,'Как есть'!CI$17:CI$25)</f>
        <v>0</v>
      </c>
      <c r="CI116">
        <f>SUMIF('Как есть'!$A$17:$A$25,Доп.расчеты!$A116,'Как есть'!CJ$17:CJ$25)</f>
        <v>0</v>
      </c>
      <c r="CJ116">
        <f>SUMIF('Как есть'!$A$17:$A$25,Доп.расчеты!$A116,'Как есть'!CK$17:CK$25)</f>
        <v>0</v>
      </c>
      <c r="CK116">
        <f>SUMIF('Как есть'!$A$17:$A$25,Доп.расчеты!$A116,'Как есть'!CL$17:CL$25)</f>
        <v>0</v>
      </c>
      <c r="CL116">
        <f>SUMIF('Как есть'!$A$17:$A$25,Доп.расчеты!$A116,'Как есть'!CM$17:CM$25)</f>
        <v>0</v>
      </c>
      <c r="CM116">
        <f>SUMIF('Как есть'!$A$17:$A$25,Доп.расчеты!$A116,'Как есть'!CN$17:CN$25)</f>
        <v>0</v>
      </c>
      <c r="CN116">
        <f>SUMIF('Как есть'!$A$17:$A$25,Доп.расчеты!$A116,'Как есть'!CO$17:CO$25)</f>
        <v>0</v>
      </c>
      <c r="CO116">
        <f>SUMIF('Как есть'!$A$17:$A$25,Доп.расчеты!$A116,'Как есть'!CP$17:CP$25)</f>
        <v>0</v>
      </c>
      <c r="CP116">
        <f>SUMIF('Как есть'!$A$17:$A$25,Доп.расчеты!$A116,'Как есть'!CQ$17:CQ$25)</f>
        <v>0</v>
      </c>
      <c r="CQ116">
        <f>SUMIF('Как есть'!$A$17:$A$25,Доп.расчеты!$A116,'Как есть'!CR$17:CR$25)</f>
        <v>0</v>
      </c>
      <c r="CR116">
        <f>SUMIF('Как есть'!$A$17:$A$25,Доп.расчеты!$A116,'Как есть'!CS$17:CS$25)</f>
        <v>0</v>
      </c>
      <c r="CS116">
        <f>SUMIF('Как есть'!$A$17:$A$25,Доп.расчеты!$A116,'Как есть'!CT$17:CT$25)</f>
        <v>0</v>
      </c>
      <c r="CT116">
        <f>SUMIF('Как есть'!$A$17:$A$25,Доп.расчеты!$A116,'Как есть'!CU$17:CU$25)</f>
        <v>0</v>
      </c>
      <c r="CU116">
        <f>SUMIF('Как есть'!$A$17:$A$25,Доп.расчеты!$A116,'Как есть'!CV$17:CV$25)</f>
        <v>0</v>
      </c>
      <c r="CV116">
        <f>SUMIF('Как есть'!$A$17:$A$25,Доп.расчеты!$A116,'Как есть'!CW$17:CW$25)</f>
        <v>0</v>
      </c>
      <c r="CW116">
        <f>SUMIF('Как есть'!$A$17:$A$25,Доп.расчеты!$A116,'Как есть'!CX$17:CX$25)</f>
        <v>0</v>
      </c>
      <c r="CX116">
        <f>SUMIF('Как есть'!$A$17:$A$25,Доп.расчеты!$A116,'Как есть'!CY$17:CY$25)</f>
        <v>0</v>
      </c>
      <c r="CY116">
        <f>SUMIF('Как есть'!$A$17:$A$25,Доп.расчеты!$A116,'Как есть'!CZ$17:CZ$25)</f>
        <v>0</v>
      </c>
      <c r="CZ116">
        <f>SUMIF('Как есть'!$A$17:$A$25,Доп.расчеты!$A116,'Как есть'!DA$17:DA$25)</f>
        <v>0</v>
      </c>
      <c r="DA116">
        <f>SUMIF('Как есть'!$A$17:$A$25,Доп.расчеты!$A116,'Как есть'!DB$17:DB$25)</f>
        <v>0</v>
      </c>
      <c r="DB116">
        <f>SUMIF('Как есть'!$A$17:$A$25,Доп.расчеты!$A116,'Как есть'!DC$17:DC$25)</f>
        <v>0</v>
      </c>
      <c r="DC116">
        <f>SUMIF('Как есть'!$A$17:$A$25,Доп.расчеты!$A116,'Как есть'!DD$17:DD$25)</f>
        <v>0</v>
      </c>
      <c r="DD116">
        <f>SUMIF('Как есть'!$A$17:$A$25,Доп.расчеты!$A116,'Как есть'!DE$17:DE$25)</f>
        <v>0</v>
      </c>
      <c r="DE116">
        <f>SUMIF('Как есть'!$A$17:$A$25,Доп.расчеты!$A116,'Как есть'!DF$17:DF$25)</f>
        <v>0</v>
      </c>
      <c r="DF116">
        <f>SUMIF('Как есть'!$A$17:$A$25,Доп.расчеты!$A116,'Как есть'!DG$17:DG$25)</f>
        <v>0</v>
      </c>
      <c r="DG116">
        <f>SUMIF('Как есть'!$A$17:$A$25,Доп.расчеты!$A116,'Как есть'!DH$17:DH$25)</f>
        <v>0</v>
      </c>
      <c r="DH116">
        <f>SUMIF('Как есть'!$A$17:$A$25,Доп.расчеты!$A116,'Как есть'!DI$17:DI$25)</f>
        <v>0</v>
      </c>
      <c r="DI116">
        <f>SUMIF('Как есть'!$A$17:$A$25,Доп.расчеты!$A116,'Как есть'!DJ$17:DJ$25)</f>
        <v>0</v>
      </c>
      <c r="DJ116">
        <f>SUMIF('Как есть'!$A$17:$A$25,Доп.расчеты!$A116,'Как есть'!DK$17:DK$25)</f>
        <v>0</v>
      </c>
      <c r="DK116">
        <f>SUMIF('Как есть'!$A$17:$A$25,Доп.расчеты!$A116,'Как есть'!DL$17:DL$25)</f>
        <v>0</v>
      </c>
      <c r="DL116">
        <f>SUMIF('Как есть'!$A$17:$A$25,Доп.расчеты!$A116,'Как есть'!DM$17:DM$25)</f>
        <v>0</v>
      </c>
      <c r="DM116">
        <f>SUMIF('Как есть'!$A$17:$A$25,Доп.расчеты!$A116,'Как есть'!DN$17:DN$25)</f>
        <v>0</v>
      </c>
      <c r="DN116">
        <f>SUMIF('Как есть'!$A$17:$A$25,Доп.расчеты!$A116,'Как есть'!DO$17:DO$25)</f>
        <v>0</v>
      </c>
      <c r="DO116">
        <f>SUMIF('Как есть'!$A$17:$A$25,Доп.расчеты!$A116,'Как есть'!DP$17:DP$25)</f>
        <v>0</v>
      </c>
      <c r="DP116">
        <f>SUMIF('Как есть'!$A$17:$A$25,Доп.расчеты!$A116,'Как есть'!DQ$17:DQ$25)</f>
        <v>0</v>
      </c>
      <c r="DQ116">
        <f>SUMIF('Как есть'!$A$17:$A$25,Доп.расчеты!$A116,'Как есть'!DR$17:DR$25)</f>
        <v>0</v>
      </c>
      <c r="DR116">
        <f>SUMIF('Как есть'!$A$17:$A$25,Доп.расчеты!$A116,'Как есть'!DS$17:DS$25)</f>
        <v>0</v>
      </c>
      <c r="DS116">
        <f>SUMIF('Как есть'!$A$17:$A$25,Доп.расчеты!$A116,'Как есть'!DT$17:DT$25)</f>
        <v>0</v>
      </c>
      <c r="DT116">
        <f>SUMIF('Как есть'!$A$17:$A$25,Доп.расчеты!$A116,'Как есть'!DU$17:DU$25)</f>
        <v>0</v>
      </c>
      <c r="DU116">
        <f>SUMIF('Как есть'!$A$17:$A$25,Доп.расчеты!$A116,'Как есть'!DV$17:DV$25)</f>
        <v>0</v>
      </c>
      <c r="DV116">
        <f>SUMIF('Как есть'!$A$17:$A$25,Доп.расчеты!$A116,'Как есть'!DW$17:DW$25)</f>
        <v>0</v>
      </c>
      <c r="DW116">
        <f>SUMIF('Как есть'!$A$17:$A$25,Доп.расчеты!$A116,'Как есть'!DX$17:DX$25)</f>
        <v>0</v>
      </c>
      <c r="DX116">
        <f>SUMIF('Как есть'!$A$17:$A$25,Доп.расчеты!$A116,'Как есть'!DY$17:DY$25)</f>
        <v>0</v>
      </c>
      <c r="DY116">
        <f>SUMIF('Как есть'!$A$17:$A$25,Доп.расчеты!$A116,'Как есть'!DZ$17:DZ$25)</f>
        <v>0</v>
      </c>
      <c r="DZ116">
        <f>SUMIF('Как есть'!$A$17:$A$25,Доп.расчеты!$A116,'Как есть'!EA$17:EA$25)</f>
        <v>0</v>
      </c>
      <c r="EA116">
        <f>SUMIF('Как есть'!$A$17:$A$25,Доп.расчеты!$A116,'Как есть'!EB$17:EB$25)</f>
        <v>0</v>
      </c>
      <c r="EB116">
        <f>SUMIF('Как есть'!$A$17:$A$25,Доп.расчеты!$A116,'Как есть'!EC$17:EC$25)</f>
        <v>0</v>
      </c>
      <c r="EC116">
        <f>SUMIF('Как есть'!$A$17:$A$25,Доп.расчеты!$A116,'Как есть'!ED$17:ED$25)</f>
        <v>0</v>
      </c>
      <c r="ED116">
        <f>SUMIF('Как есть'!$A$17:$A$25,Доп.расчеты!$A116,'Как есть'!EE$17:EE$25)</f>
        <v>0</v>
      </c>
      <c r="EE116">
        <f>SUMIF('Как есть'!$A$17:$A$25,Доп.расчеты!$A116,'Как есть'!EF$17:EF$25)</f>
        <v>0</v>
      </c>
      <c r="EF116">
        <f>SUMIF('Как есть'!$A$17:$A$25,Доп.расчеты!$A116,'Как есть'!EG$17:EG$25)</f>
        <v>0</v>
      </c>
      <c r="EG116">
        <f>SUMIF('Как есть'!$A$17:$A$25,Доп.расчеты!$A116,'Как есть'!EH$17:EH$25)</f>
        <v>0</v>
      </c>
      <c r="EH116">
        <f>SUMIF('Как есть'!$A$17:$A$25,Доп.расчеты!$A116,'Как есть'!EI$17:EI$25)</f>
        <v>0</v>
      </c>
      <c r="EI116">
        <f>SUMIF('Как есть'!$A$17:$A$25,Доп.расчеты!$A116,'Как есть'!EJ$17:EJ$25)</f>
        <v>0</v>
      </c>
      <c r="EJ116">
        <f>SUMIF('Как есть'!$A$17:$A$25,Доп.расчеты!$A116,'Как есть'!EK$17:EK$25)</f>
        <v>0</v>
      </c>
      <c r="EK116">
        <f>SUMIF('Как есть'!$A$17:$A$25,Доп.расчеты!$A116,'Как есть'!EL$17:EL$25)</f>
        <v>0</v>
      </c>
      <c r="EL116">
        <f>SUMIF('Как есть'!$A$17:$A$25,Доп.расчеты!$A116,'Как есть'!EM$17:EM$25)</f>
        <v>0</v>
      </c>
      <c r="EM116">
        <f>SUMIF('Как есть'!$A$17:$A$25,Доп.расчеты!$A116,'Как есть'!EN$17:EN$25)</f>
        <v>0</v>
      </c>
      <c r="EN116">
        <f>SUMIF('Как есть'!$A$17:$A$25,Доп.расчеты!$A116,'Как есть'!EO$17:EO$25)</f>
        <v>0</v>
      </c>
      <c r="EO116">
        <f>SUMIF('Как есть'!$A$17:$A$25,Доп.расчеты!$A116,'Как есть'!EP$17:EP$25)</f>
        <v>0</v>
      </c>
      <c r="EP116">
        <f>SUMIF('Как есть'!$A$17:$A$25,Доп.расчеты!$A116,'Как есть'!EQ$17:EQ$25)</f>
        <v>0</v>
      </c>
      <c r="EQ116">
        <f>SUMIF('Как есть'!$A$17:$A$25,Доп.расчеты!$A116,'Как есть'!ER$17:ER$25)</f>
        <v>0</v>
      </c>
      <c r="ER116">
        <f>SUMIF('Как есть'!$A$17:$A$25,Доп.расчеты!$A116,'Как есть'!ES$17:ES$25)</f>
        <v>0</v>
      </c>
      <c r="ES116">
        <f>SUMIF('Как есть'!$A$17:$A$25,Доп.расчеты!$A116,'Как есть'!ET$17:ET$25)</f>
        <v>0</v>
      </c>
      <c r="ET116">
        <f>SUMIF('Как есть'!$A$17:$A$25,Доп.расчеты!$A116,'Как есть'!EU$17:EU$25)</f>
        <v>0</v>
      </c>
      <c r="EU116">
        <f>SUMIF('Как есть'!$A$17:$A$25,Доп.расчеты!$A116,'Как есть'!EV$17:EV$25)</f>
        <v>0</v>
      </c>
      <c r="EV116">
        <f>SUMIF('Как есть'!$A$17:$A$25,Доп.расчеты!$A116,'Как есть'!EW$17:EW$25)</f>
        <v>0</v>
      </c>
      <c r="EW116">
        <f>SUMIF('Как есть'!$A$17:$A$25,Доп.расчеты!$A116,'Как есть'!EX$17:EX$25)</f>
        <v>0</v>
      </c>
      <c r="EX116">
        <f>SUMIF('Как есть'!$A$17:$A$25,Доп.расчеты!$A116,'Как есть'!EY$17:EY$25)</f>
        <v>0</v>
      </c>
      <c r="EY116">
        <f>SUMIF('Как есть'!$A$17:$A$25,Доп.расчеты!$A116,'Как есть'!EZ$17:EZ$25)</f>
        <v>0</v>
      </c>
      <c r="EZ116">
        <f>SUMIF('Как есть'!$A$17:$A$25,Доп.расчеты!$A116,'Как есть'!FA$17:FA$25)</f>
        <v>0</v>
      </c>
      <c r="FA116">
        <f>SUMIF('Как есть'!$A$17:$A$25,Доп.расчеты!$A116,'Как есть'!FB$17:FB$25)</f>
        <v>0</v>
      </c>
      <c r="FB116">
        <f>SUMIF('Как есть'!$A$17:$A$25,Доп.расчеты!$A116,'Как есть'!FC$17:FC$25)</f>
        <v>0</v>
      </c>
      <c r="FC116">
        <f>SUMIF('Как есть'!$A$17:$A$25,Доп.расчеты!$A116,'Как есть'!FD$17:FD$25)</f>
        <v>0</v>
      </c>
      <c r="FD116">
        <f>SUMIF('Как есть'!$A$17:$A$25,Доп.расчеты!$A116,'Как есть'!FE$17:FE$25)</f>
        <v>0</v>
      </c>
      <c r="FE116">
        <f>SUMIF('Как есть'!$A$17:$A$25,Доп.расчеты!$A116,'Как есть'!FF$17:FF$25)</f>
        <v>0</v>
      </c>
      <c r="FF116">
        <f>SUMIF('Как есть'!$A$17:$A$25,Доп.расчеты!$A116,'Как есть'!FG$17:FG$25)</f>
        <v>0</v>
      </c>
      <c r="FG116">
        <f>SUMIF('Как есть'!$A$17:$A$25,Доп.расчеты!$A116,'Как есть'!FH$17:FH$25)</f>
        <v>0</v>
      </c>
      <c r="FH116">
        <f>SUMIF('Как есть'!$A$17:$A$25,Доп.расчеты!$A116,'Как есть'!FI$17:FI$25)</f>
        <v>0</v>
      </c>
      <c r="FI116">
        <f>SUMIF('Как есть'!$A$17:$A$25,Доп.расчеты!$A116,'Как есть'!FJ$17:FJ$25)</f>
        <v>0</v>
      </c>
      <c r="FJ116">
        <f>SUMIF('Как есть'!$A$17:$A$25,Доп.расчеты!$A116,'Как есть'!FK$17:FK$25)</f>
        <v>0</v>
      </c>
      <c r="FK116">
        <f>SUMIF('Как есть'!$A$17:$A$25,Доп.расчеты!$A116,'Как есть'!FL$17:FL$25)</f>
        <v>0</v>
      </c>
      <c r="FL116">
        <f>SUMIF('Как есть'!$A$17:$A$25,Доп.расчеты!$A116,'Как есть'!FM$17:FM$25)</f>
        <v>0</v>
      </c>
      <c r="FM116">
        <f>SUMIF('Как есть'!$A$17:$A$25,Доп.расчеты!$A116,'Как есть'!FN$17:FN$25)</f>
        <v>0</v>
      </c>
      <c r="FN116">
        <f>SUMIF('Как есть'!$A$17:$A$25,Доп.расчеты!$A116,'Как есть'!FO$17:FO$25)</f>
        <v>0</v>
      </c>
      <c r="FO116">
        <f>SUMIF('Как есть'!$A$17:$A$25,Доп.расчеты!$A116,'Как есть'!FP$17:FP$25)</f>
        <v>0</v>
      </c>
      <c r="FP116">
        <f>SUMIF('Как есть'!$A$17:$A$25,Доп.расчеты!$A116,'Как есть'!FQ$17:FQ$25)</f>
        <v>0</v>
      </c>
      <c r="FQ116">
        <f>SUMIF('Как есть'!$A$17:$A$25,Доп.расчеты!$A116,'Как есть'!FR$17:FR$25)</f>
        <v>0</v>
      </c>
      <c r="FR116">
        <f>SUMIF('Как есть'!$A$17:$A$25,Доп.расчеты!$A116,'Как есть'!FS$17:FS$25)</f>
        <v>0</v>
      </c>
      <c r="FS116">
        <f>SUMIF('Как есть'!$A$17:$A$25,Доп.расчеты!$A116,'Как есть'!FT$17:FT$25)</f>
        <v>0</v>
      </c>
      <c r="FT116">
        <f>SUMIF('Как есть'!$A$17:$A$25,Доп.расчеты!$A116,'Как есть'!FU$17:FU$25)</f>
        <v>0</v>
      </c>
      <c r="FU116">
        <f>SUMIF('Как есть'!$A$17:$A$25,Доп.расчеты!$A116,'Как есть'!FV$17:FV$25)</f>
        <v>0</v>
      </c>
      <c r="FV116">
        <f>SUMIF('Как есть'!$A$17:$A$25,Доп.расчеты!$A116,'Как есть'!FW$17:FW$25)</f>
        <v>0</v>
      </c>
      <c r="FW116">
        <f>SUMIF('Как есть'!$A$17:$A$25,Доп.расчеты!$A116,'Как есть'!FX$17:FX$25)</f>
        <v>0</v>
      </c>
      <c r="FX116">
        <f>SUMIF('Как есть'!$A$17:$A$25,Доп.расчеты!$A116,'Как есть'!FY$17:FY$25)</f>
        <v>0</v>
      </c>
      <c r="FY116">
        <f>SUMIF('Как есть'!$A$17:$A$25,Доп.расчеты!$A116,'Как есть'!FZ$17:FZ$25)</f>
        <v>0</v>
      </c>
      <c r="FZ116">
        <f>SUMIF('Как есть'!$A$17:$A$25,Доп.расчеты!$A116,'Как есть'!GA$17:GA$25)</f>
        <v>0</v>
      </c>
      <c r="GA116">
        <f>SUMIF('Как есть'!$A$17:$A$25,Доп.расчеты!$A116,'Как есть'!GB$17:GB$25)</f>
        <v>0</v>
      </c>
      <c r="GB116">
        <f>SUMIF('Как есть'!$A$17:$A$25,Доп.расчеты!$A116,'Как есть'!GC$17:GC$25)</f>
        <v>0</v>
      </c>
      <c r="GC116">
        <f>SUMIF('Как есть'!$A$17:$A$25,Доп.расчеты!$A116,'Как есть'!GD$17:GD$25)</f>
        <v>0</v>
      </c>
      <c r="GD116">
        <f>SUMIF('Как есть'!$A$17:$A$25,Доп.расчеты!$A116,'Как есть'!GE$17:GE$25)</f>
        <v>0</v>
      </c>
      <c r="GE116">
        <f>SUMIF('Как есть'!$A$17:$A$25,Доп.расчеты!$A116,'Как есть'!GF$17:GF$25)</f>
        <v>0</v>
      </c>
      <c r="GF116">
        <f>SUMIF('Как есть'!$A$17:$A$25,Доп.расчеты!$A116,'Как есть'!GG$17:GG$25)</f>
        <v>0</v>
      </c>
      <c r="GG116">
        <f>SUMIF('Как есть'!$A$17:$A$25,Доп.расчеты!$A116,'Как есть'!GH$17:GH$25)</f>
        <v>0</v>
      </c>
      <c r="GH116">
        <f>SUMIF('Как есть'!$A$17:$A$25,Доп.расчеты!$A116,'Как есть'!GI$17:GI$25)</f>
        <v>0</v>
      </c>
      <c r="GI116">
        <f>SUMIF('Как есть'!$A$17:$A$25,Доп.расчеты!$A116,'Как есть'!GJ$17:GJ$25)</f>
        <v>0</v>
      </c>
      <c r="GJ116">
        <f>SUMIF('Как есть'!$A$17:$A$25,Доп.расчеты!$A116,'Как есть'!GK$17:GK$25)</f>
        <v>0</v>
      </c>
      <c r="GK116">
        <f>SUMIF('Как есть'!$A$17:$A$25,Доп.расчеты!$A116,'Как есть'!GL$17:GL$25)</f>
        <v>0</v>
      </c>
      <c r="GL116">
        <f>SUMIF('Как есть'!$A$17:$A$25,Доп.расчеты!$A116,'Как есть'!GM$17:GM$25)</f>
        <v>0</v>
      </c>
      <c r="GM116">
        <f>SUMIF('Как есть'!$A$17:$A$25,Доп.расчеты!$A116,'Как есть'!GN$17:GN$25)</f>
        <v>0</v>
      </c>
      <c r="GN116">
        <f>SUMIF('Как есть'!$A$17:$A$25,Доп.расчеты!$A116,'Как есть'!GO$17:GO$25)</f>
        <v>0</v>
      </c>
      <c r="GO116">
        <f>SUMIF('Как есть'!$A$17:$A$25,Доп.расчеты!$A116,'Как есть'!GP$17:GP$25)</f>
        <v>0</v>
      </c>
      <c r="GP116">
        <f>SUMIF('Как есть'!$A$17:$A$25,Доп.расчеты!$A116,'Как есть'!GQ$17:GQ$25)</f>
        <v>0</v>
      </c>
      <c r="GQ116">
        <f>SUMIF('Как есть'!$A$17:$A$25,Доп.расчеты!$A116,'Как есть'!GR$17:GR$25)</f>
        <v>0</v>
      </c>
      <c r="GR116">
        <f>SUMIF('Как есть'!$A$17:$A$25,Доп.расчеты!$A116,'Как есть'!GS$17:GS$25)</f>
        <v>0</v>
      </c>
      <c r="GS116">
        <f>SUMIF('Как есть'!$A$17:$A$25,Доп.расчеты!$A116,'Как есть'!GT$17:GT$25)</f>
        <v>0</v>
      </c>
      <c r="GT116">
        <f>SUMIF('Как есть'!$A$17:$A$25,Доп.расчеты!$A116,'Как есть'!GU$17:GU$25)</f>
        <v>0</v>
      </c>
    </row>
    <row r="117" spans="1:202" hidden="1" outlineLevel="1">
      <c r="A117" s="238" t="s">
        <v>95</v>
      </c>
      <c r="B117">
        <f>SUMIF('Как есть'!$A$17:$A$25,Доп.расчеты!$A117,'Как есть'!C$17:C$25)</f>
        <v>0</v>
      </c>
      <c r="C117">
        <f>SUMIF('Как есть'!$A$17:$A$25,Доп.расчеты!$A117,'Как есть'!D$17:D$25)</f>
        <v>0</v>
      </c>
      <c r="D117">
        <f>SUMIF('Как есть'!$A$17:$A$25,Доп.расчеты!$A117,'Как есть'!E$17:E$25)</f>
        <v>0</v>
      </c>
      <c r="E117">
        <f>SUMIF('Как есть'!$A$17:$A$25,Доп.расчеты!$A117,'Как есть'!F$17:F$25)</f>
        <v>0</v>
      </c>
      <c r="F117">
        <f>SUMIF('Как есть'!$A$17:$A$25,Доп.расчеты!$A117,'Как есть'!G$17:G$25)</f>
        <v>0</v>
      </c>
      <c r="G117">
        <f>SUMIF('Как есть'!$A$17:$A$25,Доп.расчеты!$A117,'Как есть'!H$17:H$25)</f>
        <v>0</v>
      </c>
      <c r="H117">
        <f>SUMIF('Как есть'!$A$17:$A$25,Доп.расчеты!$A117,'Как есть'!I$17:I$25)</f>
        <v>0</v>
      </c>
      <c r="I117">
        <f>SUMIF('Как есть'!$A$17:$A$25,Доп.расчеты!$A117,'Как есть'!J$17:J$25)</f>
        <v>0</v>
      </c>
      <c r="J117">
        <f>SUMIF('Как есть'!$A$17:$A$25,Доп.расчеты!$A117,'Как есть'!K$17:K$25)</f>
        <v>0</v>
      </c>
      <c r="K117">
        <f>SUMIF('Как есть'!$A$17:$A$25,Доп.расчеты!$A117,'Как есть'!L$17:L$25)</f>
        <v>0</v>
      </c>
      <c r="L117">
        <f>SUMIF('Как есть'!$A$17:$A$25,Доп.расчеты!$A117,'Как есть'!M$17:M$25)</f>
        <v>0</v>
      </c>
      <c r="M117">
        <f>SUMIF('Как есть'!$A$17:$A$25,Доп.расчеты!$A117,'Как есть'!N$17:N$25)</f>
        <v>0</v>
      </c>
      <c r="N117">
        <f>SUMIF('Как есть'!$A$17:$A$25,Доп.расчеты!$A117,'Как есть'!O$17:O$25)</f>
        <v>0</v>
      </c>
      <c r="O117">
        <f>SUMIF('Как есть'!$A$17:$A$25,Доп.расчеты!$A117,'Как есть'!P$17:P$25)</f>
        <v>0</v>
      </c>
      <c r="P117">
        <f>SUMIF('Как есть'!$A$17:$A$25,Доп.расчеты!$A117,'Как есть'!Q$17:Q$25)</f>
        <v>0</v>
      </c>
      <c r="Q117">
        <f>SUMIF('Как есть'!$A$17:$A$25,Доп.расчеты!$A117,'Как есть'!R$17:R$25)</f>
        <v>0</v>
      </c>
      <c r="R117">
        <f>SUMIF('Как есть'!$A$17:$A$25,Доп.расчеты!$A117,'Как есть'!S$17:S$25)</f>
        <v>0</v>
      </c>
      <c r="S117">
        <f>SUMIF('Как есть'!$A$17:$A$25,Доп.расчеты!$A117,'Как есть'!T$17:T$25)</f>
        <v>0</v>
      </c>
      <c r="T117">
        <f>SUMIF('Как есть'!$A$17:$A$25,Доп.расчеты!$A117,'Как есть'!U$17:U$25)</f>
        <v>0</v>
      </c>
      <c r="U117">
        <f>SUMIF('Как есть'!$A$17:$A$25,Доп.расчеты!$A117,'Как есть'!V$17:V$25)</f>
        <v>0</v>
      </c>
      <c r="V117">
        <f>SUMIF('Как есть'!$A$17:$A$25,Доп.расчеты!$A117,'Как есть'!W$17:W$25)</f>
        <v>0</v>
      </c>
      <c r="W117">
        <f>SUMIF('Как есть'!$A$17:$A$25,Доп.расчеты!$A117,'Как есть'!X$17:X$25)</f>
        <v>0</v>
      </c>
      <c r="X117">
        <f>SUMIF('Как есть'!$A$17:$A$25,Доп.расчеты!$A117,'Как есть'!Y$17:Y$25)</f>
        <v>0</v>
      </c>
      <c r="Y117">
        <f>SUMIF('Как есть'!$A$17:$A$25,Доп.расчеты!$A117,'Как есть'!Z$17:Z$25)</f>
        <v>0</v>
      </c>
      <c r="Z117">
        <f>SUMIF('Как есть'!$A$17:$A$25,Доп.расчеты!$A117,'Как есть'!AA$17:AA$25)</f>
        <v>0</v>
      </c>
      <c r="AA117">
        <f>SUMIF('Как есть'!$A$17:$A$25,Доп.расчеты!$A117,'Как есть'!AB$17:AB$25)</f>
        <v>0</v>
      </c>
      <c r="AB117">
        <f>SUMIF('Как есть'!$A$17:$A$25,Доп.расчеты!$A117,'Как есть'!AC$17:AC$25)</f>
        <v>0</v>
      </c>
      <c r="AC117">
        <f>SUMIF('Как есть'!$A$17:$A$25,Доп.расчеты!$A117,'Как есть'!AD$17:AD$25)</f>
        <v>0</v>
      </c>
      <c r="AD117">
        <f>SUMIF('Как есть'!$A$17:$A$25,Доп.расчеты!$A117,'Как есть'!AE$17:AE$25)</f>
        <v>0</v>
      </c>
      <c r="AE117">
        <f>SUMIF('Как есть'!$A$17:$A$25,Доп.расчеты!$A117,'Как есть'!AF$17:AF$25)</f>
        <v>0</v>
      </c>
      <c r="AF117">
        <f>SUMIF('Как есть'!$A$17:$A$25,Доп.расчеты!$A117,'Как есть'!AG$17:AG$25)</f>
        <v>0</v>
      </c>
      <c r="AG117">
        <f>SUMIF('Как есть'!$A$17:$A$25,Доп.расчеты!$A117,'Как есть'!AH$17:AH$25)</f>
        <v>0</v>
      </c>
      <c r="AH117">
        <f>SUMIF('Как есть'!$A$17:$A$25,Доп.расчеты!$A117,'Как есть'!AI$17:AI$25)</f>
        <v>0</v>
      </c>
      <c r="AI117">
        <f>SUMIF('Как есть'!$A$17:$A$25,Доп.расчеты!$A117,'Как есть'!AJ$17:AJ$25)</f>
        <v>0</v>
      </c>
      <c r="AJ117">
        <f>SUMIF('Как есть'!$A$17:$A$25,Доп.расчеты!$A117,'Как есть'!AK$17:AK$25)</f>
        <v>0</v>
      </c>
      <c r="AK117">
        <f>SUMIF('Как есть'!$A$17:$A$25,Доп.расчеты!$A117,'Как есть'!AL$17:AL$25)</f>
        <v>0</v>
      </c>
      <c r="AL117">
        <f>SUMIF('Как есть'!$A$17:$A$25,Доп.расчеты!$A117,'Как есть'!AM$17:AM$25)</f>
        <v>0</v>
      </c>
      <c r="AM117">
        <f>SUMIF('Как есть'!$A$17:$A$25,Доп.расчеты!$A117,'Как есть'!AN$17:AN$25)</f>
        <v>0</v>
      </c>
      <c r="AN117">
        <f>SUMIF('Как есть'!$A$17:$A$25,Доп.расчеты!$A117,'Как есть'!AO$17:AO$25)</f>
        <v>0</v>
      </c>
      <c r="AO117">
        <f>SUMIF('Как есть'!$A$17:$A$25,Доп.расчеты!$A117,'Как есть'!AP$17:AP$25)</f>
        <v>0</v>
      </c>
      <c r="AP117">
        <f>SUMIF('Как есть'!$A$17:$A$25,Доп.расчеты!$A117,'Как есть'!AQ$17:AQ$25)</f>
        <v>0</v>
      </c>
      <c r="AQ117">
        <f>SUMIF('Как есть'!$A$17:$A$25,Доп.расчеты!$A117,'Как есть'!AR$17:AR$25)</f>
        <v>0</v>
      </c>
      <c r="AR117">
        <f>SUMIF('Как есть'!$A$17:$A$25,Доп.расчеты!$A117,'Как есть'!AS$17:AS$25)</f>
        <v>0</v>
      </c>
      <c r="AS117">
        <f>SUMIF('Как есть'!$A$17:$A$25,Доп.расчеты!$A117,'Как есть'!AT$17:AT$25)</f>
        <v>0</v>
      </c>
      <c r="AT117">
        <f>SUMIF('Как есть'!$A$17:$A$25,Доп.расчеты!$A117,'Как есть'!AU$17:AU$25)</f>
        <v>0</v>
      </c>
      <c r="AU117">
        <f>SUMIF('Как есть'!$A$17:$A$25,Доп.расчеты!$A117,'Как есть'!AV$17:AV$25)</f>
        <v>0</v>
      </c>
      <c r="AV117">
        <f>SUMIF('Как есть'!$A$17:$A$25,Доп.расчеты!$A117,'Как есть'!AW$17:AW$25)</f>
        <v>0</v>
      </c>
      <c r="AW117">
        <f>SUMIF('Как есть'!$A$17:$A$25,Доп.расчеты!$A117,'Как есть'!AX$17:AX$25)</f>
        <v>0</v>
      </c>
      <c r="AX117">
        <f>SUMIF('Как есть'!$A$17:$A$25,Доп.расчеты!$A117,'Как есть'!AY$17:AY$25)</f>
        <v>0</v>
      </c>
      <c r="AY117">
        <f>SUMIF('Как есть'!$A$17:$A$25,Доп.расчеты!$A117,'Как есть'!AZ$17:AZ$25)</f>
        <v>0</v>
      </c>
      <c r="AZ117">
        <f>SUMIF('Как есть'!$A$17:$A$25,Доп.расчеты!$A117,'Как есть'!BA$17:BA$25)</f>
        <v>0</v>
      </c>
      <c r="BA117">
        <f>SUMIF('Как есть'!$A$17:$A$25,Доп.расчеты!$A117,'Как есть'!BB$17:BB$25)</f>
        <v>0</v>
      </c>
      <c r="BB117">
        <f>SUMIF('Как есть'!$A$17:$A$25,Доп.расчеты!$A117,'Как есть'!BC$17:BC$25)</f>
        <v>0</v>
      </c>
      <c r="BC117">
        <f>SUMIF('Как есть'!$A$17:$A$25,Доп.расчеты!$A117,'Как есть'!BD$17:BD$25)</f>
        <v>0</v>
      </c>
      <c r="BD117">
        <f>SUMIF('Как есть'!$A$17:$A$25,Доп.расчеты!$A117,'Как есть'!BE$17:BE$25)</f>
        <v>0</v>
      </c>
      <c r="BE117">
        <f>SUMIF('Как есть'!$A$17:$A$25,Доп.расчеты!$A117,'Как есть'!BF$17:BF$25)</f>
        <v>0</v>
      </c>
      <c r="BF117">
        <f>SUMIF('Как есть'!$A$17:$A$25,Доп.расчеты!$A117,'Как есть'!BG$17:BG$25)</f>
        <v>0</v>
      </c>
      <c r="BG117">
        <f>SUMIF('Как есть'!$A$17:$A$25,Доп.расчеты!$A117,'Как есть'!BH$17:BH$25)</f>
        <v>0</v>
      </c>
      <c r="BH117">
        <f>SUMIF('Как есть'!$A$17:$A$25,Доп.расчеты!$A117,'Как есть'!BI$17:BI$25)</f>
        <v>0</v>
      </c>
      <c r="BI117">
        <f>SUMIF('Как есть'!$A$17:$A$25,Доп.расчеты!$A117,'Как есть'!BJ$17:BJ$25)</f>
        <v>0</v>
      </c>
      <c r="BJ117">
        <f>SUMIF('Как есть'!$A$17:$A$25,Доп.расчеты!$A117,'Как есть'!BK$17:BK$25)</f>
        <v>0</v>
      </c>
      <c r="BK117">
        <f>SUMIF('Как есть'!$A$17:$A$25,Доп.расчеты!$A117,'Как есть'!BL$17:BL$25)</f>
        <v>0</v>
      </c>
      <c r="BL117">
        <f>SUMIF('Как есть'!$A$17:$A$25,Доп.расчеты!$A117,'Как есть'!BM$17:BM$25)</f>
        <v>0</v>
      </c>
      <c r="BM117">
        <f>SUMIF('Как есть'!$A$17:$A$25,Доп.расчеты!$A117,'Как есть'!BN$17:BN$25)</f>
        <v>0</v>
      </c>
      <c r="BN117">
        <f>SUMIF('Как есть'!$A$17:$A$25,Доп.расчеты!$A117,'Как есть'!BO$17:BO$25)</f>
        <v>0</v>
      </c>
      <c r="BO117">
        <f>SUMIF('Как есть'!$A$17:$A$25,Доп.расчеты!$A117,'Как есть'!BP$17:BP$25)</f>
        <v>0</v>
      </c>
      <c r="BP117">
        <f>SUMIF('Как есть'!$A$17:$A$25,Доп.расчеты!$A117,'Как есть'!BQ$17:BQ$25)</f>
        <v>0</v>
      </c>
      <c r="BQ117">
        <f>SUMIF('Как есть'!$A$17:$A$25,Доп.расчеты!$A117,'Как есть'!BR$17:BR$25)</f>
        <v>0</v>
      </c>
      <c r="BR117">
        <f>SUMIF('Как есть'!$A$17:$A$25,Доп.расчеты!$A117,'Как есть'!BS$17:BS$25)</f>
        <v>0</v>
      </c>
      <c r="BS117">
        <f>SUMIF('Как есть'!$A$17:$A$25,Доп.расчеты!$A117,'Как есть'!BT$17:BT$25)</f>
        <v>0</v>
      </c>
      <c r="BT117">
        <f>SUMIF('Как есть'!$A$17:$A$25,Доп.расчеты!$A117,'Как есть'!BU$17:BU$25)</f>
        <v>0</v>
      </c>
      <c r="BU117">
        <f>SUMIF('Как есть'!$A$17:$A$25,Доп.расчеты!$A117,'Как есть'!BV$17:BV$25)</f>
        <v>0</v>
      </c>
      <c r="BV117">
        <f>SUMIF('Как есть'!$A$17:$A$25,Доп.расчеты!$A117,'Как есть'!BW$17:BW$25)</f>
        <v>0</v>
      </c>
      <c r="BW117">
        <f>SUMIF('Как есть'!$A$17:$A$25,Доп.расчеты!$A117,'Как есть'!BX$17:BX$25)</f>
        <v>0</v>
      </c>
      <c r="BX117">
        <f>SUMIF('Как есть'!$A$17:$A$25,Доп.расчеты!$A117,'Как есть'!BY$17:BY$25)</f>
        <v>0</v>
      </c>
      <c r="BY117">
        <f>SUMIF('Как есть'!$A$17:$A$25,Доп.расчеты!$A117,'Как есть'!BZ$17:BZ$25)</f>
        <v>0</v>
      </c>
      <c r="BZ117">
        <f>SUMIF('Как есть'!$A$17:$A$25,Доп.расчеты!$A117,'Как есть'!CA$17:CA$25)</f>
        <v>0</v>
      </c>
      <c r="CA117">
        <f>SUMIF('Как есть'!$A$17:$A$25,Доп.расчеты!$A117,'Как есть'!CB$17:CB$25)</f>
        <v>0</v>
      </c>
      <c r="CB117">
        <f>SUMIF('Как есть'!$A$17:$A$25,Доп.расчеты!$A117,'Как есть'!CC$17:CC$25)</f>
        <v>0</v>
      </c>
      <c r="CC117">
        <f>SUMIF('Как есть'!$A$17:$A$25,Доп.расчеты!$A117,'Как есть'!CD$17:CD$25)</f>
        <v>0</v>
      </c>
      <c r="CD117">
        <f>SUMIF('Как есть'!$A$17:$A$25,Доп.расчеты!$A117,'Как есть'!CE$17:CE$25)</f>
        <v>0</v>
      </c>
      <c r="CE117">
        <f>SUMIF('Как есть'!$A$17:$A$25,Доп.расчеты!$A117,'Как есть'!CF$17:CF$25)</f>
        <v>0</v>
      </c>
      <c r="CF117">
        <f>SUMIF('Как есть'!$A$17:$A$25,Доп.расчеты!$A117,'Как есть'!CG$17:CG$25)</f>
        <v>0</v>
      </c>
      <c r="CG117">
        <f>SUMIF('Как есть'!$A$17:$A$25,Доп.расчеты!$A117,'Как есть'!CH$17:CH$25)</f>
        <v>0</v>
      </c>
      <c r="CH117">
        <f>SUMIF('Как есть'!$A$17:$A$25,Доп.расчеты!$A117,'Как есть'!CI$17:CI$25)</f>
        <v>0</v>
      </c>
      <c r="CI117">
        <f>SUMIF('Как есть'!$A$17:$A$25,Доп.расчеты!$A117,'Как есть'!CJ$17:CJ$25)</f>
        <v>0</v>
      </c>
      <c r="CJ117">
        <f>SUMIF('Как есть'!$A$17:$A$25,Доп.расчеты!$A117,'Как есть'!CK$17:CK$25)</f>
        <v>0</v>
      </c>
      <c r="CK117">
        <f>SUMIF('Как есть'!$A$17:$A$25,Доп.расчеты!$A117,'Как есть'!CL$17:CL$25)</f>
        <v>0</v>
      </c>
      <c r="CL117">
        <f>SUMIF('Как есть'!$A$17:$A$25,Доп.расчеты!$A117,'Как есть'!CM$17:CM$25)</f>
        <v>0</v>
      </c>
      <c r="CM117">
        <f>SUMIF('Как есть'!$A$17:$A$25,Доп.расчеты!$A117,'Как есть'!CN$17:CN$25)</f>
        <v>0</v>
      </c>
      <c r="CN117">
        <f>SUMIF('Как есть'!$A$17:$A$25,Доп.расчеты!$A117,'Как есть'!CO$17:CO$25)</f>
        <v>0</v>
      </c>
      <c r="CO117">
        <f>SUMIF('Как есть'!$A$17:$A$25,Доп.расчеты!$A117,'Как есть'!CP$17:CP$25)</f>
        <v>0</v>
      </c>
      <c r="CP117">
        <f>SUMIF('Как есть'!$A$17:$A$25,Доп.расчеты!$A117,'Как есть'!CQ$17:CQ$25)</f>
        <v>0</v>
      </c>
      <c r="CQ117">
        <f>SUMIF('Как есть'!$A$17:$A$25,Доп.расчеты!$A117,'Как есть'!CR$17:CR$25)</f>
        <v>0</v>
      </c>
      <c r="CR117">
        <f>SUMIF('Как есть'!$A$17:$A$25,Доп.расчеты!$A117,'Как есть'!CS$17:CS$25)</f>
        <v>0</v>
      </c>
      <c r="CS117">
        <f>SUMIF('Как есть'!$A$17:$A$25,Доп.расчеты!$A117,'Как есть'!CT$17:CT$25)</f>
        <v>0</v>
      </c>
      <c r="CT117">
        <f>SUMIF('Как есть'!$A$17:$A$25,Доп.расчеты!$A117,'Как есть'!CU$17:CU$25)</f>
        <v>0</v>
      </c>
      <c r="CU117">
        <f>SUMIF('Как есть'!$A$17:$A$25,Доп.расчеты!$A117,'Как есть'!CV$17:CV$25)</f>
        <v>0</v>
      </c>
      <c r="CV117">
        <f>SUMIF('Как есть'!$A$17:$A$25,Доп.расчеты!$A117,'Как есть'!CW$17:CW$25)</f>
        <v>0</v>
      </c>
      <c r="CW117">
        <f>SUMIF('Как есть'!$A$17:$A$25,Доп.расчеты!$A117,'Как есть'!CX$17:CX$25)</f>
        <v>0</v>
      </c>
      <c r="CX117">
        <f>SUMIF('Как есть'!$A$17:$A$25,Доп.расчеты!$A117,'Как есть'!CY$17:CY$25)</f>
        <v>0</v>
      </c>
      <c r="CY117">
        <f>SUMIF('Как есть'!$A$17:$A$25,Доп.расчеты!$A117,'Как есть'!CZ$17:CZ$25)</f>
        <v>0</v>
      </c>
      <c r="CZ117">
        <f>SUMIF('Как есть'!$A$17:$A$25,Доп.расчеты!$A117,'Как есть'!DA$17:DA$25)</f>
        <v>0</v>
      </c>
      <c r="DA117">
        <f>SUMIF('Как есть'!$A$17:$A$25,Доп.расчеты!$A117,'Как есть'!DB$17:DB$25)</f>
        <v>0</v>
      </c>
      <c r="DB117">
        <f>SUMIF('Как есть'!$A$17:$A$25,Доп.расчеты!$A117,'Как есть'!DC$17:DC$25)</f>
        <v>0</v>
      </c>
      <c r="DC117">
        <f>SUMIF('Как есть'!$A$17:$A$25,Доп.расчеты!$A117,'Как есть'!DD$17:DD$25)</f>
        <v>0</v>
      </c>
      <c r="DD117">
        <f>SUMIF('Как есть'!$A$17:$A$25,Доп.расчеты!$A117,'Как есть'!DE$17:DE$25)</f>
        <v>0</v>
      </c>
      <c r="DE117">
        <f>SUMIF('Как есть'!$A$17:$A$25,Доп.расчеты!$A117,'Как есть'!DF$17:DF$25)</f>
        <v>0</v>
      </c>
      <c r="DF117">
        <f>SUMIF('Как есть'!$A$17:$A$25,Доп.расчеты!$A117,'Как есть'!DG$17:DG$25)</f>
        <v>0</v>
      </c>
      <c r="DG117">
        <f>SUMIF('Как есть'!$A$17:$A$25,Доп.расчеты!$A117,'Как есть'!DH$17:DH$25)</f>
        <v>0</v>
      </c>
      <c r="DH117">
        <f>SUMIF('Как есть'!$A$17:$A$25,Доп.расчеты!$A117,'Как есть'!DI$17:DI$25)</f>
        <v>0</v>
      </c>
      <c r="DI117">
        <f>SUMIF('Как есть'!$A$17:$A$25,Доп.расчеты!$A117,'Как есть'!DJ$17:DJ$25)</f>
        <v>0</v>
      </c>
      <c r="DJ117">
        <f>SUMIF('Как есть'!$A$17:$A$25,Доп.расчеты!$A117,'Как есть'!DK$17:DK$25)</f>
        <v>0</v>
      </c>
      <c r="DK117">
        <f>SUMIF('Как есть'!$A$17:$A$25,Доп.расчеты!$A117,'Как есть'!DL$17:DL$25)</f>
        <v>0</v>
      </c>
      <c r="DL117">
        <f>SUMIF('Как есть'!$A$17:$A$25,Доп.расчеты!$A117,'Как есть'!DM$17:DM$25)</f>
        <v>0</v>
      </c>
      <c r="DM117">
        <f>SUMIF('Как есть'!$A$17:$A$25,Доп.расчеты!$A117,'Как есть'!DN$17:DN$25)</f>
        <v>0</v>
      </c>
      <c r="DN117">
        <f>SUMIF('Как есть'!$A$17:$A$25,Доп.расчеты!$A117,'Как есть'!DO$17:DO$25)</f>
        <v>0</v>
      </c>
      <c r="DO117">
        <f>SUMIF('Как есть'!$A$17:$A$25,Доп.расчеты!$A117,'Как есть'!DP$17:DP$25)</f>
        <v>0</v>
      </c>
      <c r="DP117">
        <f>SUMIF('Как есть'!$A$17:$A$25,Доп.расчеты!$A117,'Как есть'!DQ$17:DQ$25)</f>
        <v>0</v>
      </c>
      <c r="DQ117">
        <f>SUMIF('Как есть'!$A$17:$A$25,Доп.расчеты!$A117,'Как есть'!DR$17:DR$25)</f>
        <v>0</v>
      </c>
      <c r="DR117">
        <f>SUMIF('Как есть'!$A$17:$A$25,Доп.расчеты!$A117,'Как есть'!DS$17:DS$25)</f>
        <v>0</v>
      </c>
      <c r="DS117">
        <f>SUMIF('Как есть'!$A$17:$A$25,Доп.расчеты!$A117,'Как есть'!DT$17:DT$25)</f>
        <v>0</v>
      </c>
      <c r="DT117">
        <f>SUMIF('Как есть'!$A$17:$A$25,Доп.расчеты!$A117,'Как есть'!DU$17:DU$25)</f>
        <v>0</v>
      </c>
      <c r="DU117">
        <f>SUMIF('Как есть'!$A$17:$A$25,Доп.расчеты!$A117,'Как есть'!DV$17:DV$25)</f>
        <v>0</v>
      </c>
      <c r="DV117">
        <f>SUMIF('Как есть'!$A$17:$A$25,Доп.расчеты!$A117,'Как есть'!DW$17:DW$25)</f>
        <v>0</v>
      </c>
      <c r="DW117">
        <f>SUMIF('Как есть'!$A$17:$A$25,Доп.расчеты!$A117,'Как есть'!DX$17:DX$25)</f>
        <v>0</v>
      </c>
      <c r="DX117">
        <f>SUMIF('Как есть'!$A$17:$A$25,Доп.расчеты!$A117,'Как есть'!DY$17:DY$25)</f>
        <v>0</v>
      </c>
      <c r="DY117">
        <f>SUMIF('Как есть'!$A$17:$A$25,Доп.расчеты!$A117,'Как есть'!DZ$17:DZ$25)</f>
        <v>0</v>
      </c>
      <c r="DZ117">
        <f>SUMIF('Как есть'!$A$17:$A$25,Доп.расчеты!$A117,'Как есть'!EA$17:EA$25)</f>
        <v>0</v>
      </c>
      <c r="EA117">
        <f>SUMIF('Как есть'!$A$17:$A$25,Доп.расчеты!$A117,'Как есть'!EB$17:EB$25)</f>
        <v>0</v>
      </c>
      <c r="EB117">
        <f>SUMIF('Как есть'!$A$17:$A$25,Доп.расчеты!$A117,'Как есть'!EC$17:EC$25)</f>
        <v>0</v>
      </c>
      <c r="EC117">
        <f>SUMIF('Как есть'!$A$17:$A$25,Доп.расчеты!$A117,'Как есть'!ED$17:ED$25)</f>
        <v>0</v>
      </c>
      <c r="ED117">
        <f>SUMIF('Как есть'!$A$17:$A$25,Доп.расчеты!$A117,'Как есть'!EE$17:EE$25)</f>
        <v>0</v>
      </c>
      <c r="EE117">
        <f>SUMIF('Как есть'!$A$17:$A$25,Доп.расчеты!$A117,'Как есть'!EF$17:EF$25)</f>
        <v>0</v>
      </c>
      <c r="EF117">
        <f>SUMIF('Как есть'!$A$17:$A$25,Доп.расчеты!$A117,'Как есть'!EG$17:EG$25)</f>
        <v>0</v>
      </c>
      <c r="EG117">
        <f>SUMIF('Как есть'!$A$17:$A$25,Доп.расчеты!$A117,'Как есть'!EH$17:EH$25)</f>
        <v>0</v>
      </c>
      <c r="EH117">
        <f>SUMIF('Как есть'!$A$17:$A$25,Доп.расчеты!$A117,'Как есть'!EI$17:EI$25)</f>
        <v>0</v>
      </c>
      <c r="EI117">
        <f>SUMIF('Как есть'!$A$17:$A$25,Доп.расчеты!$A117,'Как есть'!EJ$17:EJ$25)</f>
        <v>0</v>
      </c>
      <c r="EJ117">
        <f>SUMIF('Как есть'!$A$17:$A$25,Доп.расчеты!$A117,'Как есть'!EK$17:EK$25)</f>
        <v>0</v>
      </c>
      <c r="EK117">
        <f>SUMIF('Как есть'!$A$17:$A$25,Доп.расчеты!$A117,'Как есть'!EL$17:EL$25)</f>
        <v>0</v>
      </c>
      <c r="EL117">
        <f>SUMIF('Как есть'!$A$17:$A$25,Доп.расчеты!$A117,'Как есть'!EM$17:EM$25)</f>
        <v>0</v>
      </c>
      <c r="EM117">
        <f>SUMIF('Как есть'!$A$17:$A$25,Доп.расчеты!$A117,'Как есть'!EN$17:EN$25)</f>
        <v>0</v>
      </c>
      <c r="EN117">
        <f>SUMIF('Как есть'!$A$17:$A$25,Доп.расчеты!$A117,'Как есть'!EO$17:EO$25)</f>
        <v>0</v>
      </c>
      <c r="EO117">
        <f>SUMIF('Как есть'!$A$17:$A$25,Доп.расчеты!$A117,'Как есть'!EP$17:EP$25)</f>
        <v>0</v>
      </c>
      <c r="EP117">
        <f>SUMIF('Как есть'!$A$17:$A$25,Доп.расчеты!$A117,'Как есть'!EQ$17:EQ$25)</f>
        <v>0</v>
      </c>
      <c r="EQ117">
        <f>SUMIF('Как есть'!$A$17:$A$25,Доп.расчеты!$A117,'Как есть'!ER$17:ER$25)</f>
        <v>0</v>
      </c>
      <c r="ER117">
        <f>SUMIF('Как есть'!$A$17:$A$25,Доп.расчеты!$A117,'Как есть'!ES$17:ES$25)</f>
        <v>0</v>
      </c>
      <c r="ES117">
        <f>SUMIF('Как есть'!$A$17:$A$25,Доп.расчеты!$A117,'Как есть'!ET$17:ET$25)</f>
        <v>0</v>
      </c>
      <c r="ET117">
        <f>SUMIF('Как есть'!$A$17:$A$25,Доп.расчеты!$A117,'Как есть'!EU$17:EU$25)</f>
        <v>0</v>
      </c>
      <c r="EU117">
        <f>SUMIF('Как есть'!$A$17:$A$25,Доп.расчеты!$A117,'Как есть'!EV$17:EV$25)</f>
        <v>0</v>
      </c>
      <c r="EV117">
        <f>SUMIF('Как есть'!$A$17:$A$25,Доп.расчеты!$A117,'Как есть'!EW$17:EW$25)</f>
        <v>0</v>
      </c>
      <c r="EW117">
        <f>SUMIF('Как есть'!$A$17:$A$25,Доп.расчеты!$A117,'Как есть'!EX$17:EX$25)</f>
        <v>0</v>
      </c>
      <c r="EX117">
        <f>SUMIF('Как есть'!$A$17:$A$25,Доп.расчеты!$A117,'Как есть'!EY$17:EY$25)</f>
        <v>0</v>
      </c>
      <c r="EY117">
        <f>SUMIF('Как есть'!$A$17:$A$25,Доп.расчеты!$A117,'Как есть'!EZ$17:EZ$25)</f>
        <v>0</v>
      </c>
      <c r="EZ117">
        <f>SUMIF('Как есть'!$A$17:$A$25,Доп.расчеты!$A117,'Как есть'!FA$17:FA$25)</f>
        <v>0</v>
      </c>
      <c r="FA117">
        <f>SUMIF('Как есть'!$A$17:$A$25,Доп.расчеты!$A117,'Как есть'!FB$17:FB$25)</f>
        <v>0</v>
      </c>
      <c r="FB117">
        <f>SUMIF('Как есть'!$A$17:$A$25,Доп.расчеты!$A117,'Как есть'!FC$17:FC$25)</f>
        <v>0</v>
      </c>
      <c r="FC117">
        <f>SUMIF('Как есть'!$A$17:$A$25,Доп.расчеты!$A117,'Как есть'!FD$17:FD$25)</f>
        <v>0</v>
      </c>
      <c r="FD117">
        <f>SUMIF('Как есть'!$A$17:$A$25,Доп.расчеты!$A117,'Как есть'!FE$17:FE$25)</f>
        <v>0</v>
      </c>
      <c r="FE117">
        <f>SUMIF('Как есть'!$A$17:$A$25,Доп.расчеты!$A117,'Как есть'!FF$17:FF$25)</f>
        <v>0</v>
      </c>
      <c r="FF117">
        <f>SUMIF('Как есть'!$A$17:$A$25,Доп.расчеты!$A117,'Как есть'!FG$17:FG$25)</f>
        <v>0</v>
      </c>
      <c r="FG117">
        <f>SUMIF('Как есть'!$A$17:$A$25,Доп.расчеты!$A117,'Как есть'!FH$17:FH$25)</f>
        <v>0</v>
      </c>
      <c r="FH117">
        <f>SUMIF('Как есть'!$A$17:$A$25,Доп.расчеты!$A117,'Как есть'!FI$17:FI$25)</f>
        <v>0</v>
      </c>
      <c r="FI117">
        <f>SUMIF('Как есть'!$A$17:$A$25,Доп.расчеты!$A117,'Как есть'!FJ$17:FJ$25)</f>
        <v>0</v>
      </c>
      <c r="FJ117">
        <f>SUMIF('Как есть'!$A$17:$A$25,Доп.расчеты!$A117,'Как есть'!FK$17:FK$25)</f>
        <v>0</v>
      </c>
      <c r="FK117">
        <f>SUMIF('Как есть'!$A$17:$A$25,Доп.расчеты!$A117,'Как есть'!FL$17:FL$25)</f>
        <v>0</v>
      </c>
      <c r="FL117">
        <f>SUMIF('Как есть'!$A$17:$A$25,Доп.расчеты!$A117,'Как есть'!FM$17:FM$25)</f>
        <v>0</v>
      </c>
      <c r="FM117">
        <f>SUMIF('Как есть'!$A$17:$A$25,Доп.расчеты!$A117,'Как есть'!FN$17:FN$25)</f>
        <v>0</v>
      </c>
      <c r="FN117">
        <f>SUMIF('Как есть'!$A$17:$A$25,Доп.расчеты!$A117,'Как есть'!FO$17:FO$25)</f>
        <v>0</v>
      </c>
      <c r="FO117">
        <f>SUMIF('Как есть'!$A$17:$A$25,Доп.расчеты!$A117,'Как есть'!FP$17:FP$25)</f>
        <v>0</v>
      </c>
      <c r="FP117">
        <f>SUMIF('Как есть'!$A$17:$A$25,Доп.расчеты!$A117,'Как есть'!FQ$17:FQ$25)</f>
        <v>0</v>
      </c>
      <c r="FQ117">
        <f>SUMIF('Как есть'!$A$17:$A$25,Доп.расчеты!$A117,'Как есть'!FR$17:FR$25)</f>
        <v>0</v>
      </c>
      <c r="FR117">
        <f>SUMIF('Как есть'!$A$17:$A$25,Доп.расчеты!$A117,'Как есть'!FS$17:FS$25)</f>
        <v>0</v>
      </c>
      <c r="FS117">
        <f>SUMIF('Как есть'!$A$17:$A$25,Доп.расчеты!$A117,'Как есть'!FT$17:FT$25)</f>
        <v>0</v>
      </c>
      <c r="FT117">
        <f>SUMIF('Как есть'!$A$17:$A$25,Доп.расчеты!$A117,'Как есть'!FU$17:FU$25)</f>
        <v>0</v>
      </c>
      <c r="FU117">
        <f>SUMIF('Как есть'!$A$17:$A$25,Доп.расчеты!$A117,'Как есть'!FV$17:FV$25)</f>
        <v>0</v>
      </c>
      <c r="FV117">
        <f>SUMIF('Как есть'!$A$17:$A$25,Доп.расчеты!$A117,'Как есть'!FW$17:FW$25)</f>
        <v>0</v>
      </c>
      <c r="FW117">
        <f>SUMIF('Как есть'!$A$17:$A$25,Доп.расчеты!$A117,'Как есть'!FX$17:FX$25)</f>
        <v>0</v>
      </c>
      <c r="FX117">
        <f>SUMIF('Как есть'!$A$17:$A$25,Доп.расчеты!$A117,'Как есть'!FY$17:FY$25)</f>
        <v>0</v>
      </c>
      <c r="FY117">
        <f>SUMIF('Как есть'!$A$17:$A$25,Доп.расчеты!$A117,'Как есть'!FZ$17:FZ$25)</f>
        <v>0</v>
      </c>
      <c r="FZ117">
        <f>SUMIF('Как есть'!$A$17:$A$25,Доп.расчеты!$A117,'Как есть'!GA$17:GA$25)</f>
        <v>0</v>
      </c>
      <c r="GA117">
        <f>SUMIF('Как есть'!$A$17:$A$25,Доп.расчеты!$A117,'Как есть'!GB$17:GB$25)</f>
        <v>0</v>
      </c>
      <c r="GB117">
        <f>SUMIF('Как есть'!$A$17:$A$25,Доп.расчеты!$A117,'Как есть'!GC$17:GC$25)</f>
        <v>0</v>
      </c>
      <c r="GC117">
        <f>SUMIF('Как есть'!$A$17:$A$25,Доп.расчеты!$A117,'Как есть'!GD$17:GD$25)</f>
        <v>0</v>
      </c>
      <c r="GD117">
        <f>SUMIF('Как есть'!$A$17:$A$25,Доп.расчеты!$A117,'Как есть'!GE$17:GE$25)</f>
        <v>0</v>
      </c>
      <c r="GE117">
        <f>SUMIF('Как есть'!$A$17:$A$25,Доп.расчеты!$A117,'Как есть'!GF$17:GF$25)</f>
        <v>0</v>
      </c>
      <c r="GF117">
        <f>SUMIF('Как есть'!$A$17:$A$25,Доп.расчеты!$A117,'Как есть'!GG$17:GG$25)</f>
        <v>0</v>
      </c>
      <c r="GG117">
        <f>SUMIF('Как есть'!$A$17:$A$25,Доп.расчеты!$A117,'Как есть'!GH$17:GH$25)</f>
        <v>0</v>
      </c>
      <c r="GH117">
        <f>SUMIF('Как есть'!$A$17:$A$25,Доп.расчеты!$A117,'Как есть'!GI$17:GI$25)</f>
        <v>0</v>
      </c>
      <c r="GI117">
        <f>SUMIF('Как есть'!$A$17:$A$25,Доп.расчеты!$A117,'Как есть'!GJ$17:GJ$25)</f>
        <v>0</v>
      </c>
      <c r="GJ117">
        <f>SUMIF('Как есть'!$A$17:$A$25,Доп.расчеты!$A117,'Как есть'!GK$17:GK$25)</f>
        <v>0</v>
      </c>
      <c r="GK117">
        <f>SUMIF('Как есть'!$A$17:$A$25,Доп.расчеты!$A117,'Как есть'!GL$17:GL$25)</f>
        <v>0</v>
      </c>
      <c r="GL117">
        <f>SUMIF('Как есть'!$A$17:$A$25,Доп.расчеты!$A117,'Как есть'!GM$17:GM$25)</f>
        <v>0</v>
      </c>
      <c r="GM117">
        <f>SUMIF('Как есть'!$A$17:$A$25,Доп.расчеты!$A117,'Как есть'!GN$17:GN$25)</f>
        <v>0</v>
      </c>
      <c r="GN117">
        <f>SUMIF('Как есть'!$A$17:$A$25,Доп.расчеты!$A117,'Как есть'!GO$17:GO$25)</f>
        <v>0</v>
      </c>
      <c r="GO117">
        <f>SUMIF('Как есть'!$A$17:$A$25,Доп.расчеты!$A117,'Как есть'!GP$17:GP$25)</f>
        <v>0</v>
      </c>
      <c r="GP117">
        <f>SUMIF('Как есть'!$A$17:$A$25,Доп.расчеты!$A117,'Как есть'!GQ$17:GQ$25)</f>
        <v>0</v>
      </c>
      <c r="GQ117">
        <f>SUMIF('Как есть'!$A$17:$A$25,Доп.расчеты!$A117,'Как есть'!GR$17:GR$25)</f>
        <v>0</v>
      </c>
      <c r="GR117">
        <f>SUMIF('Как есть'!$A$17:$A$25,Доп.расчеты!$A117,'Как есть'!GS$17:GS$25)</f>
        <v>0</v>
      </c>
      <c r="GS117">
        <f>SUMIF('Как есть'!$A$17:$A$25,Доп.расчеты!$A117,'Как есть'!GT$17:GT$25)</f>
        <v>0</v>
      </c>
      <c r="GT117">
        <f>SUMIF('Как есть'!$A$17:$A$25,Доп.расчеты!$A117,'Как есть'!GU$17:GU$25)</f>
        <v>0</v>
      </c>
    </row>
    <row r="118" spans="1:202" hidden="1" outlineLevel="1">
      <c r="A118" s="238" t="s">
        <v>96</v>
      </c>
      <c r="B118">
        <f>SUMIF('Как есть'!$A$17:$A$25,Доп.расчеты!$A118,'Как есть'!C$17:C$25)</f>
        <v>0</v>
      </c>
      <c r="C118">
        <f>SUMIF('Как есть'!$A$17:$A$25,Доп.расчеты!$A118,'Как есть'!D$17:D$25)</f>
        <v>0</v>
      </c>
      <c r="D118">
        <f>SUMIF('Как есть'!$A$17:$A$25,Доп.расчеты!$A118,'Как есть'!E$17:E$25)</f>
        <v>0</v>
      </c>
      <c r="E118">
        <f>SUMIF('Как есть'!$A$17:$A$25,Доп.расчеты!$A118,'Как есть'!F$17:F$25)</f>
        <v>0</v>
      </c>
      <c r="F118">
        <f>SUMIF('Как есть'!$A$17:$A$25,Доп.расчеты!$A118,'Как есть'!G$17:G$25)</f>
        <v>0</v>
      </c>
      <c r="G118">
        <f>SUMIF('Как есть'!$A$17:$A$25,Доп.расчеты!$A118,'Как есть'!H$17:H$25)</f>
        <v>0</v>
      </c>
      <c r="H118">
        <f>SUMIF('Как есть'!$A$17:$A$25,Доп.расчеты!$A118,'Как есть'!I$17:I$25)</f>
        <v>0</v>
      </c>
      <c r="I118">
        <f>SUMIF('Как есть'!$A$17:$A$25,Доп.расчеты!$A118,'Как есть'!J$17:J$25)</f>
        <v>0</v>
      </c>
      <c r="J118">
        <f>SUMIF('Как есть'!$A$17:$A$25,Доп.расчеты!$A118,'Как есть'!K$17:K$25)</f>
        <v>0</v>
      </c>
      <c r="K118">
        <f>SUMIF('Как есть'!$A$17:$A$25,Доп.расчеты!$A118,'Как есть'!L$17:L$25)</f>
        <v>0</v>
      </c>
      <c r="L118">
        <f>SUMIF('Как есть'!$A$17:$A$25,Доп.расчеты!$A118,'Как есть'!M$17:M$25)</f>
        <v>0</v>
      </c>
      <c r="M118">
        <f>SUMIF('Как есть'!$A$17:$A$25,Доп.расчеты!$A118,'Как есть'!N$17:N$25)</f>
        <v>0</v>
      </c>
      <c r="N118">
        <f>SUMIF('Как есть'!$A$17:$A$25,Доп.расчеты!$A118,'Как есть'!O$17:O$25)</f>
        <v>0</v>
      </c>
      <c r="O118">
        <f>SUMIF('Как есть'!$A$17:$A$25,Доп.расчеты!$A118,'Как есть'!P$17:P$25)</f>
        <v>0</v>
      </c>
      <c r="P118">
        <f>SUMIF('Как есть'!$A$17:$A$25,Доп.расчеты!$A118,'Как есть'!Q$17:Q$25)</f>
        <v>0</v>
      </c>
      <c r="Q118">
        <f>SUMIF('Как есть'!$A$17:$A$25,Доп.расчеты!$A118,'Как есть'!R$17:R$25)</f>
        <v>0</v>
      </c>
      <c r="R118">
        <f>SUMIF('Как есть'!$A$17:$A$25,Доп.расчеты!$A118,'Как есть'!S$17:S$25)</f>
        <v>0</v>
      </c>
      <c r="S118">
        <f>SUMIF('Как есть'!$A$17:$A$25,Доп.расчеты!$A118,'Как есть'!T$17:T$25)</f>
        <v>0</v>
      </c>
      <c r="T118">
        <f>SUMIF('Как есть'!$A$17:$A$25,Доп.расчеты!$A118,'Как есть'!U$17:U$25)</f>
        <v>0</v>
      </c>
      <c r="U118">
        <f>SUMIF('Как есть'!$A$17:$A$25,Доп.расчеты!$A118,'Как есть'!V$17:V$25)</f>
        <v>0</v>
      </c>
      <c r="V118">
        <f>SUMIF('Как есть'!$A$17:$A$25,Доп.расчеты!$A118,'Как есть'!W$17:W$25)</f>
        <v>0</v>
      </c>
      <c r="W118">
        <f>SUMIF('Как есть'!$A$17:$A$25,Доп.расчеты!$A118,'Как есть'!X$17:X$25)</f>
        <v>0</v>
      </c>
      <c r="X118">
        <f>SUMIF('Как есть'!$A$17:$A$25,Доп.расчеты!$A118,'Как есть'!Y$17:Y$25)</f>
        <v>0</v>
      </c>
      <c r="Y118">
        <f>SUMIF('Как есть'!$A$17:$A$25,Доп.расчеты!$A118,'Как есть'!Z$17:Z$25)</f>
        <v>0</v>
      </c>
      <c r="Z118">
        <f>SUMIF('Как есть'!$A$17:$A$25,Доп.расчеты!$A118,'Как есть'!AA$17:AA$25)</f>
        <v>0</v>
      </c>
      <c r="AA118">
        <f>SUMIF('Как есть'!$A$17:$A$25,Доп.расчеты!$A118,'Как есть'!AB$17:AB$25)</f>
        <v>0</v>
      </c>
      <c r="AB118">
        <f>SUMIF('Как есть'!$A$17:$A$25,Доп.расчеты!$A118,'Как есть'!AC$17:AC$25)</f>
        <v>0</v>
      </c>
      <c r="AC118">
        <f>SUMIF('Как есть'!$A$17:$A$25,Доп.расчеты!$A118,'Как есть'!AD$17:AD$25)</f>
        <v>0</v>
      </c>
      <c r="AD118">
        <f>SUMIF('Как есть'!$A$17:$A$25,Доп.расчеты!$A118,'Как есть'!AE$17:AE$25)</f>
        <v>0</v>
      </c>
      <c r="AE118">
        <f>SUMIF('Как есть'!$A$17:$A$25,Доп.расчеты!$A118,'Как есть'!AF$17:AF$25)</f>
        <v>0</v>
      </c>
      <c r="AF118">
        <f>SUMIF('Как есть'!$A$17:$A$25,Доп.расчеты!$A118,'Как есть'!AG$17:AG$25)</f>
        <v>0</v>
      </c>
      <c r="AG118">
        <f>SUMIF('Как есть'!$A$17:$A$25,Доп.расчеты!$A118,'Как есть'!AH$17:AH$25)</f>
        <v>0</v>
      </c>
      <c r="AH118">
        <f>SUMIF('Как есть'!$A$17:$A$25,Доп.расчеты!$A118,'Как есть'!AI$17:AI$25)</f>
        <v>0</v>
      </c>
      <c r="AI118">
        <f>SUMIF('Как есть'!$A$17:$A$25,Доп.расчеты!$A118,'Как есть'!AJ$17:AJ$25)</f>
        <v>0</v>
      </c>
      <c r="AJ118">
        <f>SUMIF('Как есть'!$A$17:$A$25,Доп.расчеты!$A118,'Как есть'!AK$17:AK$25)</f>
        <v>0</v>
      </c>
      <c r="AK118">
        <f>SUMIF('Как есть'!$A$17:$A$25,Доп.расчеты!$A118,'Как есть'!AL$17:AL$25)</f>
        <v>0</v>
      </c>
      <c r="AL118">
        <f>SUMIF('Как есть'!$A$17:$A$25,Доп.расчеты!$A118,'Как есть'!AM$17:AM$25)</f>
        <v>0</v>
      </c>
      <c r="AM118">
        <f>SUMIF('Как есть'!$A$17:$A$25,Доп.расчеты!$A118,'Как есть'!AN$17:AN$25)</f>
        <v>0</v>
      </c>
      <c r="AN118">
        <f>SUMIF('Как есть'!$A$17:$A$25,Доп.расчеты!$A118,'Как есть'!AO$17:AO$25)</f>
        <v>0</v>
      </c>
      <c r="AO118">
        <f>SUMIF('Как есть'!$A$17:$A$25,Доп.расчеты!$A118,'Как есть'!AP$17:AP$25)</f>
        <v>0</v>
      </c>
      <c r="AP118">
        <f>SUMIF('Как есть'!$A$17:$A$25,Доп.расчеты!$A118,'Как есть'!AQ$17:AQ$25)</f>
        <v>0</v>
      </c>
      <c r="AQ118">
        <f>SUMIF('Как есть'!$A$17:$A$25,Доп.расчеты!$A118,'Как есть'!AR$17:AR$25)</f>
        <v>0</v>
      </c>
      <c r="AR118">
        <f>SUMIF('Как есть'!$A$17:$A$25,Доп.расчеты!$A118,'Как есть'!AS$17:AS$25)</f>
        <v>0</v>
      </c>
      <c r="AS118">
        <f>SUMIF('Как есть'!$A$17:$A$25,Доп.расчеты!$A118,'Как есть'!AT$17:AT$25)</f>
        <v>0</v>
      </c>
      <c r="AT118">
        <f>SUMIF('Как есть'!$A$17:$A$25,Доп.расчеты!$A118,'Как есть'!AU$17:AU$25)</f>
        <v>0</v>
      </c>
      <c r="AU118">
        <f>SUMIF('Как есть'!$A$17:$A$25,Доп.расчеты!$A118,'Как есть'!AV$17:AV$25)</f>
        <v>0</v>
      </c>
      <c r="AV118">
        <f>SUMIF('Как есть'!$A$17:$A$25,Доп.расчеты!$A118,'Как есть'!AW$17:AW$25)</f>
        <v>0</v>
      </c>
      <c r="AW118">
        <f>SUMIF('Как есть'!$A$17:$A$25,Доп.расчеты!$A118,'Как есть'!AX$17:AX$25)</f>
        <v>0</v>
      </c>
      <c r="AX118">
        <f>SUMIF('Как есть'!$A$17:$A$25,Доп.расчеты!$A118,'Как есть'!AY$17:AY$25)</f>
        <v>0</v>
      </c>
      <c r="AY118">
        <f>SUMIF('Как есть'!$A$17:$A$25,Доп.расчеты!$A118,'Как есть'!AZ$17:AZ$25)</f>
        <v>0</v>
      </c>
      <c r="AZ118">
        <f>SUMIF('Как есть'!$A$17:$A$25,Доп.расчеты!$A118,'Как есть'!BA$17:BA$25)</f>
        <v>0</v>
      </c>
      <c r="BA118">
        <f>SUMIF('Как есть'!$A$17:$A$25,Доп.расчеты!$A118,'Как есть'!BB$17:BB$25)</f>
        <v>0</v>
      </c>
      <c r="BB118">
        <f>SUMIF('Как есть'!$A$17:$A$25,Доп.расчеты!$A118,'Как есть'!BC$17:BC$25)</f>
        <v>0</v>
      </c>
      <c r="BC118">
        <f>SUMIF('Как есть'!$A$17:$A$25,Доп.расчеты!$A118,'Как есть'!BD$17:BD$25)</f>
        <v>0</v>
      </c>
      <c r="BD118">
        <f>SUMIF('Как есть'!$A$17:$A$25,Доп.расчеты!$A118,'Как есть'!BE$17:BE$25)</f>
        <v>0</v>
      </c>
      <c r="BE118">
        <f>SUMIF('Как есть'!$A$17:$A$25,Доп.расчеты!$A118,'Как есть'!BF$17:BF$25)</f>
        <v>0</v>
      </c>
      <c r="BF118">
        <f>SUMIF('Как есть'!$A$17:$A$25,Доп.расчеты!$A118,'Как есть'!BG$17:BG$25)</f>
        <v>0</v>
      </c>
      <c r="BG118">
        <f>SUMIF('Как есть'!$A$17:$A$25,Доп.расчеты!$A118,'Как есть'!BH$17:BH$25)</f>
        <v>0</v>
      </c>
      <c r="BH118">
        <f>SUMIF('Как есть'!$A$17:$A$25,Доп.расчеты!$A118,'Как есть'!BI$17:BI$25)</f>
        <v>0</v>
      </c>
      <c r="BI118">
        <f>SUMIF('Как есть'!$A$17:$A$25,Доп.расчеты!$A118,'Как есть'!BJ$17:BJ$25)</f>
        <v>0</v>
      </c>
      <c r="BJ118">
        <f>SUMIF('Как есть'!$A$17:$A$25,Доп.расчеты!$A118,'Как есть'!BK$17:BK$25)</f>
        <v>0</v>
      </c>
      <c r="BK118">
        <f>SUMIF('Как есть'!$A$17:$A$25,Доп.расчеты!$A118,'Как есть'!BL$17:BL$25)</f>
        <v>0</v>
      </c>
      <c r="BL118">
        <f>SUMIF('Как есть'!$A$17:$A$25,Доп.расчеты!$A118,'Как есть'!BM$17:BM$25)</f>
        <v>0</v>
      </c>
      <c r="BM118">
        <f>SUMIF('Как есть'!$A$17:$A$25,Доп.расчеты!$A118,'Как есть'!BN$17:BN$25)</f>
        <v>0</v>
      </c>
      <c r="BN118">
        <f>SUMIF('Как есть'!$A$17:$A$25,Доп.расчеты!$A118,'Как есть'!BO$17:BO$25)</f>
        <v>0</v>
      </c>
      <c r="BO118">
        <f>SUMIF('Как есть'!$A$17:$A$25,Доп.расчеты!$A118,'Как есть'!BP$17:BP$25)</f>
        <v>0</v>
      </c>
      <c r="BP118">
        <f>SUMIF('Как есть'!$A$17:$A$25,Доп.расчеты!$A118,'Как есть'!BQ$17:BQ$25)</f>
        <v>0</v>
      </c>
      <c r="BQ118">
        <f>SUMIF('Как есть'!$A$17:$A$25,Доп.расчеты!$A118,'Как есть'!BR$17:BR$25)</f>
        <v>0</v>
      </c>
      <c r="BR118">
        <f>SUMIF('Как есть'!$A$17:$A$25,Доп.расчеты!$A118,'Как есть'!BS$17:BS$25)</f>
        <v>0</v>
      </c>
      <c r="BS118">
        <f>SUMIF('Как есть'!$A$17:$A$25,Доп.расчеты!$A118,'Как есть'!BT$17:BT$25)</f>
        <v>0</v>
      </c>
      <c r="BT118">
        <f>SUMIF('Как есть'!$A$17:$A$25,Доп.расчеты!$A118,'Как есть'!BU$17:BU$25)</f>
        <v>0</v>
      </c>
      <c r="BU118">
        <f>SUMIF('Как есть'!$A$17:$A$25,Доп.расчеты!$A118,'Как есть'!BV$17:BV$25)</f>
        <v>0</v>
      </c>
      <c r="BV118">
        <f>SUMIF('Как есть'!$A$17:$A$25,Доп.расчеты!$A118,'Как есть'!BW$17:BW$25)</f>
        <v>0</v>
      </c>
      <c r="BW118">
        <f>SUMIF('Как есть'!$A$17:$A$25,Доп.расчеты!$A118,'Как есть'!BX$17:BX$25)</f>
        <v>0</v>
      </c>
      <c r="BX118">
        <f>SUMIF('Как есть'!$A$17:$A$25,Доп.расчеты!$A118,'Как есть'!BY$17:BY$25)</f>
        <v>0</v>
      </c>
      <c r="BY118">
        <f>SUMIF('Как есть'!$A$17:$A$25,Доп.расчеты!$A118,'Как есть'!BZ$17:BZ$25)</f>
        <v>0</v>
      </c>
      <c r="BZ118">
        <f>SUMIF('Как есть'!$A$17:$A$25,Доп.расчеты!$A118,'Как есть'!CA$17:CA$25)</f>
        <v>0</v>
      </c>
      <c r="CA118">
        <f>SUMIF('Как есть'!$A$17:$A$25,Доп.расчеты!$A118,'Как есть'!CB$17:CB$25)</f>
        <v>0</v>
      </c>
      <c r="CB118">
        <f>SUMIF('Как есть'!$A$17:$A$25,Доп.расчеты!$A118,'Как есть'!CC$17:CC$25)</f>
        <v>0</v>
      </c>
      <c r="CC118">
        <f>SUMIF('Как есть'!$A$17:$A$25,Доп.расчеты!$A118,'Как есть'!CD$17:CD$25)</f>
        <v>0</v>
      </c>
      <c r="CD118">
        <f>SUMIF('Как есть'!$A$17:$A$25,Доп.расчеты!$A118,'Как есть'!CE$17:CE$25)</f>
        <v>0</v>
      </c>
      <c r="CE118">
        <f>SUMIF('Как есть'!$A$17:$A$25,Доп.расчеты!$A118,'Как есть'!CF$17:CF$25)</f>
        <v>0</v>
      </c>
      <c r="CF118">
        <f>SUMIF('Как есть'!$A$17:$A$25,Доп.расчеты!$A118,'Как есть'!CG$17:CG$25)</f>
        <v>0</v>
      </c>
      <c r="CG118">
        <f>SUMIF('Как есть'!$A$17:$A$25,Доп.расчеты!$A118,'Как есть'!CH$17:CH$25)</f>
        <v>0</v>
      </c>
      <c r="CH118">
        <f>SUMIF('Как есть'!$A$17:$A$25,Доп.расчеты!$A118,'Как есть'!CI$17:CI$25)</f>
        <v>0</v>
      </c>
      <c r="CI118">
        <f>SUMIF('Как есть'!$A$17:$A$25,Доп.расчеты!$A118,'Как есть'!CJ$17:CJ$25)</f>
        <v>0</v>
      </c>
      <c r="CJ118">
        <f>SUMIF('Как есть'!$A$17:$A$25,Доп.расчеты!$A118,'Как есть'!CK$17:CK$25)</f>
        <v>0</v>
      </c>
      <c r="CK118">
        <f>SUMIF('Как есть'!$A$17:$A$25,Доп.расчеты!$A118,'Как есть'!CL$17:CL$25)</f>
        <v>0</v>
      </c>
      <c r="CL118">
        <f>SUMIF('Как есть'!$A$17:$A$25,Доп.расчеты!$A118,'Как есть'!CM$17:CM$25)</f>
        <v>0</v>
      </c>
      <c r="CM118">
        <f>SUMIF('Как есть'!$A$17:$A$25,Доп.расчеты!$A118,'Как есть'!CN$17:CN$25)</f>
        <v>0</v>
      </c>
      <c r="CN118">
        <f>SUMIF('Как есть'!$A$17:$A$25,Доп.расчеты!$A118,'Как есть'!CO$17:CO$25)</f>
        <v>0</v>
      </c>
      <c r="CO118">
        <f>SUMIF('Как есть'!$A$17:$A$25,Доп.расчеты!$A118,'Как есть'!CP$17:CP$25)</f>
        <v>0</v>
      </c>
      <c r="CP118">
        <f>SUMIF('Как есть'!$A$17:$A$25,Доп.расчеты!$A118,'Как есть'!CQ$17:CQ$25)</f>
        <v>0</v>
      </c>
      <c r="CQ118">
        <f>SUMIF('Как есть'!$A$17:$A$25,Доп.расчеты!$A118,'Как есть'!CR$17:CR$25)</f>
        <v>0</v>
      </c>
      <c r="CR118">
        <f>SUMIF('Как есть'!$A$17:$A$25,Доп.расчеты!$A118,'Как есть'!CS$17:CS$25)</f>
        <v>0</v>
      </c>
      <c r="CS118">
        <f>SUMIF('Как есть'!$A$17:$A$25,Доп.расчеты!$A118,'Как есть'!CT$17:CT$25)</f>
        <v>0</v>
      </c>
      <c r="CT118">
        <f>SUMIF('Как есть'!$A$17:$A$25,Доп.расчеты!$A118,'Как есть'!CU$17:CU$25)</f>
        <v>0</v>
      </c>
      <c r="CU118">
        <f>SUMIF('Как есть'!$A$17:$A$25,Доп.расчеты!$A118,'Как есть'!CV$17:CV$25)</f>
        <v>0</v>
      </c>
      <c r="CV118">
        <f>SUMIF('Как есть'!$A$17:$A$25,Доп.расчеты!$A118,'Как есть'!CW$17:CW$25)</f>
        <v>0</v>
      </c>
      <c r="CW118">
        <f>SUMIF('Как есть'!$A$17:$A$25,Доп.расчеты!$A118,'Как есть'!CX$17:CX$25)</f>
        <v>0</v>
      </c>
      <c r="CX118">
        <f>SUMIF('Как есть'!$A$17:$A$25,Доп.расчеты!$A118,'Как есть'!CY$17:CY$25)</f>
        <v>0</v>
      </c>
      <c r="CY118">
        <f>SUMIF('Как есть'!$A$17:$A$25,Доп.расчеты!$A118,'Как есть'!CZ$17:CZ$25)</f>
        <v>0</v>
      </c>
      <c r="CZ118">
        <f>SUMIF('Как есть'!$A$17:$A$25,Доп.расчеты!$A118,'Как есть'!DA$17:DA$25)</f>
        <v>0</v>
      </c>
      <c r="DA118">
        <f>SUMIF('Как есть'!$A$17:$A$25,Доп.расчеты!$A118,'Как есть'!DB$17:DB$25)</f>
        <v>0</v>
      </c>
      <c r="DB118">
        <f>SUMIF('Как есть'!$A$17:$A$25,Доп.расчеты!$A118,'Как есть'!DC$17:DC$25)</f>
        <v>0</v>
      </c>
      <c r="DC118">
        <f>SUMIF('Как есть'!$A$17:$A$25,Доп.расчеты!$A118,'Как есть'!DD$17:DD$25)</f>
        <v>0</v>
      </c>
      <c r="DD118">
        <f>SUMIF('Как есть'!$A$17:$A$25,Доп.расчеты!$A118,'Как есть'!DE$17:DE$25)</f>
        <v>0</v>
      </c>
      <c r="DE118">
        <f>SUMIF('Как есть'!$A$17:$A$25,Доп.расчеты!$A118,'Как есть'!DF$17:DF$25)</f>
        <v>0</v>
      </c>
      <c r="DF118">
        <f>SUMIF('Как есть'!$A$17:$A$25,Доп.расчеты!$A118,'Как есть'!DG$17:DG$25)</f>
        <v>0</v>
      </c>
      <c r="DG118">
        <f>SUMIF('Как есть'!$A$17:$A$25,Доп.расчеты!$A118,'Как есть'!DH$17:DH$25)</f>
        <v>0</v>
      </c>
      <c r="DH118">
        <f>SUMIF('Как есть'!$A$17:$A$25,Доп.расчеты!$A118,'Как есть'!DI$17:DI$25)</f>
        <v>0</v>
      </c>
      <c r="DI118">
        <f>SUMIF('Как есть'!$A$17:$A$25,Доп.расчеты!$A118,'Как есть'!DJ$17:DJ$25)</f>
        <v>0</v>
      </c>
      <c r="DJ118">
        <f>SUMIF('Как есть'!$A$17:$A$25,Доп.расчеты!$A118,'Как есть'!DK$17:DK$25)</f>
        <v>0</v>
      </c>
      <c r="DK118">
        <f>SUMIF('Как есть'!$A$17:$A$25,Доп.расчеты!$A118,'Как есть'!DL$17:DL$25)</f>
        <v>0</v>
      </c>
      <c r="DL118">
        <f>SUMIF('Как есть'!$A$17:$A$25,Доп.расчеты!$A118,'Как есть'!DM$17:DM$25)</f>
        <v>0</v>
      </c>
      <c r="DM118">
        <f>SUMIF('Как есть'!$A$17:$A$25,Доп.расчеты!$A118,'Как есть'!DN$17:DN$25)</f>
        <v>0</v>
      </c>
      <c r="DN118">
        <f>SUMIF('Как есть'!$A$17:$A$25,Доп.расчеты!$A118,'Как есть'!DO$17:DO$25)</f>
        <v>0</v>
      </c>
      <c r="DO118">
        <f>SUMIF('Как есть'!$A$17:$A$25,Доп.расчеты!$A118,'Как есть'!DP$17:DP$25)</f>
        <v>0</v>
      </c>
      <c r="DP118">
        <f>SUMIF('Как есть'!$A$17:$A$25,Доп.расчеты!$A118,'Как есть'!DQ$17:DQ$25)</f>
        <v>0</v>
      </c>
      <c r="DQ118">
        <f>SUMIF('Как есть'!$A$17:$A$25,Доп.расчеты!$A118,'Как есть'!DR$17:DR$25)</f>
        <v>0</v>
      </c>
      <c r="DR118">
        <f>SUMIF('Как есть'!$A$17:$A$25,Доп.расчеты!$A118,'Как есть'!DS$17:DS$25)</f>
        <v>0</v>
      </c>
      <c r="DS118">
        <f>SUMIF('Как есть'!$A$17:$A$25,Доп.расчеты!$A118,'Как есть'!DT$17:DT$25)</f>
        <v>0</v>
      </c>
      <c r="DT118">
        <f>SUMIF('Как есть'!$A$17:$A$25,Доп.расчеты!$A118,'Как есть'!DU$17:DU$25)</f>
        <v>0</v>
      </c>
      <c r="DU118">
        <f>SUMIF('Как есть'!$A$17:$A$25,Доп.расчеты!$A118,'Как есть'!DV$17:DV$25)</f>
        <v>0</v>
      </c>
      <c r="DV118">
        <f>SUMIF('Как есть'!$A$17:$A$25,Доп.расчеты!$A118,'Как есть'!DW$17:DW$25)</f>
        <v>0</v>
      </c>
      <c r="DW118">
        <f>SUMIF('Как есть'!$A$17:$A$25,Доп.расчеты!$A118,'Как есть'!DX$17:DX$25)</f>
        <v>0</v>
      </c>
      <c r="DX118">
        <f>SUMIF('Как есть'!$A$17:$A$25,Доп.расчеты!$A118,'Как есть'!DY$17:DY$25)</f>
        <v>0</v>
      </c>
      <c r="DY118">
        <f>SUMIF('Как есть'!$A$17:$A$25,Доп.расчеты!$A118,'Как есть'!DZ$17:DZ$25)</f>
        <v>0</v>
      </c>
      <c r="DZ118">
        <f>SUMIF('Как есть'!$A$17:$A$25,Доп.расчеты!$A118,'Как есть'!EA$17:EA$25)</f>
        <v>0</v>
      </c>
      <c r="EA118">
        <f>SUMIF('Как есть'!$A$17:$A$25,Доп.расчеты!$A118,'Как есть'!EB$17:EB$25)</f>
        <v>0</v>
      </c>
      <c r="EB118">
        <f>SUMIF('Как есть'!$A$17:$A$25,Доп.расчеты!$A118,'Как есть'!EC$17:EC$25)</f>
        <v>0</v>
      </c>
      <c r="EC118">
        <f>SUMIF('Как есть'!$A$17:$A$25,Доп.расчеты!$A118,'Как есть'!ED$17:ED$25)</f>
        <v>0</v>
      </c>
      <c r="ED118">
        <f>SUMIF('Как есть'!$A$17:$A$25,Доп.расчеты!$A118,'Как есть'!EE$17:EE$25)</f>
        <v>0</v>
      </c>
      <c r="EE118">
        <f>SUMIF('Как есть'!$A$17:$A$25,Доп.расчеты!$A118,'Как есть'!EF$17:EF$25)</f>
        <v>0</v>
      </c>
      <c r="EF118">
        <f>SUMIF('Как есть'!$A$17:$A$25,Доп.расчеты!$A118,'Как есть'!EG$17:EG$25)</f>
        <v>0</v>
      </c>
      <c r="EG118">
        <f>SUMIF('Как есть'!$A$17:$A$25,Доп.расчеты!$A118,'Как есть'!EH$17:EH$25)</f>
        <v>0</v>
      </c>
      <c r="EH118">
        <f>SUMIF('Как есть'!$A$17:$A$25,Доп.расчеты!$A118,'Как есть'!EI$17:EI$25)</f>
        <v>0</v>
      </c>
      <c r="EI118">
        <f>SUMIF('Как есть'!$A$17:$A$25,Доп.расчеты!$A118,'Как есть'!EJ$17:EJ$25)</f>
        <v>0</v>
      </c>
      <c r="EJ118">
        <f>SUMIF('Как есть'!$A$17:$A$25,Доп.расчеты!$A118,'Как есть'!EK$17:EK$25)</f>
        <v>0</v>
      </c>
      <c r="EK118">
        <f>SUMIF('Как есть'!$A$17:$A$25,Доп.расчеты!$A118,'Как есть'!EL$17:EL$25)</f>
        <v>0</v>
      </c>
      <c r="EL118">
        <f>SUMIF('Как есть'!$A$17:$A$25,Доп.расчеты!$A118,'Как есть'!EM$17:EM$25)</f>
        <v>0</v>
      </c>
      <c r="EM118">
        <f>SUMIF('Как есть'!$A$17:$A$25,Доп.расчеты!$A118,'Как есть'!EN$17:EN$25)</f>
        <v>0</v>
      </c>
      <c r="EN118">
        <f>SUMIF('Как есть'!$A$17:$A$25,Доп.расчеты!$A118,'Как есть'!EO$17:EO$25)</f>
        <v>0</v>
      </c>
      <c r="EO118">
        <f>SUMIF('Как есть'!$A$17:$A$25,Доп.расчеты!$A118,'Как есть'!EP$17:EP$25)</f>
        <v>0</v>
      </c>
      <c r="EP118">
        <f>SUMIF('Как есть'!$A$17:$A$25,Доп.расчеты!$A118,'Как есть'!EQ$17:EQ$25)</f>
        <v>0</v>
      </c>
      <c r="EQ118">
        <f>SUMIF('Как есть'!$A$17:$A$25,Доп.расчеты!$A118,'Как есть'!ER$17:ER$25)</f>
        <v>0</v>
      </c>
      <c r="ER118">
        <f>SUMIF('Как есть'!$A$17:$A$25,Доп.расчеты!$A118,'Как есть'!ES$17:ES$25)</f>
        <v>0</v>
      </c>
      <c r="ES118">
        <f>SUMIF('Как есть'!$A$17:$A$25,Доп.расчеты!$A118,'Как есть'!ET$17:ET$25)</f>
        <v>0</v>
      </c>
      <c r="ET118">
        <f>SUMIF('Как есть'!$A$17:$A$25,Доп.расчеты!$A118,'Как есть'!EU$17:EU$25)</f>
        <v>0</v>
      </c>
      <c r="EU118">
        <f>SUMIF('Как есть'!$A$17:$A$25,Доп.расчеты!$A118,'Как есть'!EV$17:EV$25)</f>
        <v>0</v>
      </c>
      <c r="EV118">
        <f>SUMIF('Как есть'!$A$17:$A$25,Доп.расчеты!$A118,'Как есть'!EW$17:EW$25)</f>
        <v>0</v>
      </c>
      <c r="EW118">
        <f>SUMIF('Как есть'!$A$17:$A$25,Доп.расчеты!$A118,'Как есть'!EX$17:EX$25)</f>
        <v>0</v>
      </c>
      <c r="EX118">
        <f>SUMIF('Как есть'!$A$17:$A$25,Доп.расчеты!$A118,'Как есть'!EY$17:EY$25)</f>
        <v>0</v>
      </c>
      <c r="EY118">
        <f>SUMIF('Как есть'!$A$17:$A$25,Доп.расчеты!$A118,'Как есть'!EZ$17:EZ$25)</f>
        <v>0</v>
      </c>
      <c r="EZ118">
        <f>SUMIF('Как есть'!$A$17:$A$25,Доп.расчеты!$A118,'Как есть'!FA$17:FA$25)</f>
        <v>0</v>
      </c>
      <c r="FA118">
        <f>SUMIF('Как есть'!$A$17:$A$25,Доп.расчеты!$A118,'Как есть'!FB$17:FB$25)</f>
        <v>0</v>
      </c>
      <c r="FB118">
        <f>SUMIF('Как есть'!$A$17:$A$25,Доп.расчеты!$A118,'Как есть'!FC$17:FC$25)</f>
        <v>0</v>
      </c>
      <c r="FC118">
        <f>SUMIF('Как есть'!$A$17:$A$25,Доп.расчеты!$A118,'Как есть'!FD$17:FD$25)</f>
        <v>0</v>
      </c>
      <c r="FD118">
        <f>SUMIF('Как есть'!$A$17:$A$25,Доп.расчеты!$A118,'Как есть'!FE$17:FE$25)</f>
        <v>0</v>
      </c>
      <c r="FE118">
        <f>SUMIF('Как есть'!$A$17:$A$25,Доп.расчеты!$A118,'Как есть'!FF$17:FF$25)</f>
        <v>0</v>
      </c>
      <c r="FF118">
        <f>SUMIF('Как есть'!$A$17:$A$25,Доп.расчеты!$A118,'Как есть'!FG$17:FG$25)</f>
        <v>0</v>
      </c>
      <c r="FG118">
        <f>SUMIF('Как есть'!$A$17:$A$25,Доп.расчеты!$A118,'Как есть'!FH$17:FH$25)</f>
        <v>0</v>
      </c>
      <c r="FH118">
        <f>SUMIF('Как есть'!$A$17:$A$25,Доп.расчеты!$A118,'Как есть'!FI$17:FI$25)</f>
        <v>0</v>
      </c>
      <c r="FI118">
        <f>SUMIF('Как есть'!$A$17:$A$25,Доп.расчеты!$A118,'Как есть'!FJ$17:FJ$25)</f>
        <v>0</v>
      </c>
      <c r="FJ118">
        <f>SUMIF('Как есть'!$A$17:$A$25,Доп.расчеты!$A118,'Как есть'!FK$17:FK$25)</f>
        <v>0</v>
      </c>
      <c r="FK118">
        <f>SUMIF('Как есть'!$A$17:$A$25,Доп.расчеты!$A118,'Как есть'!FL$17:FL$25)</f>
        <v>0</v>
      </c>
      <c r="FL118">
        <f>SUMIF('Как есть'!$A$17:$A$25,Доп.расчеты!$A118,'Как есть'!FM$17:FM$25)</f>
        <v>0</v>
      </c>
      <c r="FM118">
        <f>SUMIF('Как есть'!$A$17:$A$25,Доп.расчеты!$A118,'Как есть'!FN$17:FN$25)</f>
        <v>0</v>
      </c>
      <c r="FN118">
        <f>SUMIF('Как есть'!$A$17:$A$25,Доп.расчеты!$A118,'Как есть'!FO$17:FO$25)</f>
        <v>0</v>
      </c>
      <c r="FO118">
        <f>SUMIF('Как есть'!$A$17:$A$25,Доп.расчеты!$A118,'Как есть'!FP$17:FP$25)</f>
        <v>0</v>
      </c>
      <c r="FP118">
        <f>SUMIF('Как есть'!$A$17:$A$25,Доп.расчеты!$A118,'Как есть'!FQ$17:FQ$25)</f>
        <v>0</v>
      </c>
      <c r="FQ118">
        <f>SUMIF('Как есть'!$A$17:$A$25,Доп.расчеты!$A118,'Как есть'!FR$17:FR$25)</f>
        <v>0</v>
      </c>
      <c r="FR118">
        <f>SUMIF('Как есть'!$A$17:$A$25,Доп.расчеты!$A118,'Как есть'!FS$17:FS$25)</f>
        <v>0</v>
      </c>
      <c r="FS118">
        <f>SUMIF('Как есть'!$A$17:$A$25,Доп.расчеты!$A118,'Как есть'!FT$17:FT$25)</f>
        <v>0</v>
      </c>
      <c r="FT118">
        <f>SUMIF('Как есть'!$A$17:$A$25,Доп.расчеты!$A118,'Как есть'!FU$17:FU$25)</f>
        <v>0</v>
      </c>
      <c r="FU118">
        <f>SUMIF('Как есть'!$A$17:$A$25,Доп.расчеты!$A118,'Как есть'!FV$17:FV$25)</f>
        <v>0</v>
      </c>
      <c r="FV118">
        <f>SUMIF('Как есть'!$A$17:$A$25,Доп.расчеты!$A118,'Как есть'!FW$17:FW$25)</f>
        <v>0</v>
      </c>
      <c r="FW118">
        <f>SUMIF('Как есть'!$A$17:$A$25,Доп.расчеты!$A118,'Как есть'!FX$17:FX$25)</f>
        <v>0</v>
      </c>
      <c r="FX118">
        <f>SUMIF('Как есть'!$A$17:$A$25,Доп.расчеты!$A118,'Как есть'!FY$17:FY$25)</f>
        <v>0</v>
      </c>
      <c r="FY118">
        <f>SUMIF('Как есть'!$A$17:$A$25,Доп.расчеты!$A118,'Как есть'!FZ$17:FZ$25)</f>
        <v>0</v>
      </c>
      <c r="FZ118">
        <f>SUMIF('Как есть'!$A$17:$A$25,Доп.расчеты!$A118,'Как есть'!GA$17:GA$25)</f>
        <v>0</v>
      </c>
      <c r="GA118">
        <f>SUMIF('Как есть'!$A$17:$A$25,Доп.расчеты!$A118,'Как есть'!GB$17:GB$25)</f>
        <v>0</v>
      </c>
      <c r="GB118">
        <f>SUMIF('Как есть'!$A$17:$A$25,Доп.расчеты!$A118,'Как есть'!GC$17:GC$25)</f>
        <v>0</v>
      </c>
      <c r="GC118">
        <f>SUMIF('Как есть'!$A$17:$A$25,Доп.расчеты!$A118,'Как есть'!GD$17:GD$25)</f>
        <v>0</v>
      </c>
      <c r="GD118">
        <f>SUMIF('Как есть'!$A$17:$A$25,Доп.расчеты!$A118,'Как есть'!GE$17:GE$25)</f>
        <v>0</v>
      </c>
      <c r="GE118">
        <f>SUMIF('Как есть'!$A$17:$A$25,Доп.расчеты!$A118,'Как есть'!GF$17:GF$25)</f>
        <v>0</v>
      </c>
      <c r="GF118">
        <f>SUMIF('Как есть'!$A$17:$A$25,Доп.расчеты!$A118,'Как есть'!GG$17:GG$25)</f>
        <v>0</v>
      </c>
      <c r="GG118">
        <f>SUMIF('Как есть'!$A$17:$A$25,Доп.расчеты!$A118,'Как есть'!GH$17:GH$25)</f>
        <v>0</v>
      </c>
      <c r="GH118">
        <f>SUMIF('Как есть'!$A$17:$A$25,Доп.расчеты!$A118,'Как есть'!GI$17:GI$25)</f>
        <v>0</v>
      </c>
      <c r="GI118">
        <f>SUMIF('Как есть'!$A$17:$A$25,Доп.расчеты!$A118,'Как есть'!GJ$17:GJ$25)</f>
        <v>0</v>
      </c>
      <c r="GJ118">
        <f>SUMIF('Как есть'!$A$17:$A$25,Доп.расчеты!$A118,'Как есть'!GK$17:GK$25)</f>
        <v>0</v>
      </c>
      <c r="GK118">
        <f>SUMIF('Как есть'!$A$17:$A$25,Доп.расчеты!$A118,'Как есть'!GL$17:GL$25)</f>
        <v>0</v>
      </c>
      <c r="GL118">
        <f>SUMIF('Как есть'!$A$17:$A$25,Доп.расчеты!$A118,'Как есть'!GM$17:GM$25)</f>
        <v>0</v>
      </c>
      <c r="GM118">
        <f>SUMIF('Как есть'!$A$17:$A$25,Доп.расчеты!$A118,'Как есть'!GN$17:GN$25)</f>
        <v>0</v>
      </c>
      <c r="GN118">
        <f>SUMIF('Как есть'!$A$17:$A$25,Доп.расчеты!$A118,'Как есть'!GO$17:GO$25)</f>
        <v>0</v>
      </c>
      <c r="GO118">
        <f>SUMIF('Как есть'!$A$17:$A$25,Доп.расчеты!$A118,'Как есть'!GP$17:GP$25)</f>
        <v>0</v>
      </c>
      <c r="GP118">
        <f>SUMIF('Как есть'!$A$17:$A$25,Доп.расчеты!$A118,'Как есть'!GQ$17:GQ$25)</f>
        <v>0</v>
      </c>
      <c r="GQ118">
        <f>SUMIF('Как есть'!$A$17:$A$25,Доп.расчеты!$A118,'Как есть'!GR$17:GR$25)</f>
        <v>0</v>
      </c>
      <c r="GR118">
        <f>SUMIF('Как есть'!$A$17:$A$25,Доп.расчеты!$A118,'Как есть'!GS$17:GS$25)</f>
        <v>0</v>
      </c>
      <c r="GS118">
        <f>SUMIF('Как есть'!$A$17:$A$25,Доп.расчеты!$A118,'Как есть'!GT$17:GT$25)</f>
        <v>0</v>
      </c>
      <c r="GT118">
        <f>SUMIF('Как есть'!$A$17:$A$25,Доп.расчеты!$A118,'Как есть'!GU$17:GU$25)</f>
        <v>0</v>
      </c>
    </row>
    <row r="119" spans="1:202" hidden="1" outlineLevel="1">
      <c r="A119" s="238" t="s">
        <v>97</v>
      </c>
      <c r="B119">
        <f>SUMIF('Как есть'!$A$17:$A$25,Доп.расчеты!$A119,'Как есть'!C$17:C$25)</f>
        <v>0</v>
      </c>
      <c r="C119">
        <f>SUMIF('Как есть'!$A$17:$A$25,Доп.расчеты!$A119,'Как есть'!D$17:D$25)</f>
        <v>0</v>
      </c>
      <c r="D119">
        <f>SUMIF('Как есть'!$A$17:$A$25,Доп.расчеты!$A119,'Как есть'!E$17:E$25)</f>
        <v>0</v>
      </c>
      <c r="E119">
        <f>SUMIF('Как есть'!$A$17:$A$25,Доп.расчеты!$A119,'Как есть'!F$17:F$25)</f>
        <v>0</v>
      </c>
      <c r="F119">
        <f>SUMIF('Как есть'!$A$17:$A$25,Доп.расчеты!$A119,'Как есть'!G$17:G$25)</f>
        <v>0</v>
      </c>
      <c r="G119">
        <f>SUMIF('Как есть'!$A$17:$A$25,Доп.расчеты!$A119,'Как есть'!H$17:H$25)</f>
        <v>0</v>
      </c>
      <c r="H119">
        <f>SUMIF('Как есть'!$A$17:$A$25,Доп.расчеты!$A119,'Как есть'!I$17:I$25)</f>
        <v>0</v>
      </c>
      <c r="I119">
        <f>SUMIF('Как есть'!$A$17:$A$25,Доп.расчеты!$A119,'Как есть'!J$17:J$25)</f>
        <v>0</v>
      </c>
      <c r="J119">
        <f>SUMIF('Как есть'!$A$17:$A$25,Доп.расчеты!$A119,'Как есть'!K$17:K$25)</f>
        <v>0</v>
      </c>
      <c r="K119">
        <f>SUMIF('Как есть'!$A$17:$A$25,Доп.расчеты!$A119,'Как есть'!L$17:L$25)</f>
        <v>0</v>
      </c>
      <c r="L119">
        <f>SUMIF('Как есть'!$A$17:$A$25,Доп.расчеты!$A119,'Как есть'!M$17:M$25)</f>
        <v>0</v>
      </c>
      <c r="M119">
        <f>SUMIF('Как есть'!$A$17:$A$25,Доп.расчеты!$A119,'Как есть'!N$17:N$25)</f>
        <v>0</v>
      </c>
      <c r="N119">
        <f>SUMIF('Как есть'!$A$17:$A$25,Доп.расчеты!$A119,'Как есть'!O$17:O$25)</f>
        <v>0</v>
      </c>
      <c r="O119">
        <f>SUMIF('Как есть'!$A$17:$A$25,Доп.расчеты!$A119,'Как есть'!P$17:P$25)</f>
        <v>0</v>
      </c>
      <c r="P119">
        <f>SUMIF('Как есть'!$A$17:$A$25,Доп.расчеты!$A119,'Как есть'!Q$17:Q$25)</f>
        <v>0</v>
      </c>
      <c r="Q119">
        <f>SUMIF('Как есть'!$A$17:$A$25,Доп.расчеты!$A119,'Как есть'!R$17:R$25)</f>
        <v>0</v>
      </c>
      <c r="R119">
        <f>SUMIF('Как есть'!$A$17:$A$25,Доп.расчеты!$A119,'Как есть'!S$17:S$25)</f>
        <v>0</v>
      </c>
      <c r="S119">
        <f>SUMIF('Как есть'!$A$17:$A$25,Доп.расчеты!$A119,'Как есть'!T$17:T$25)</f>
        <v>0</v>
      </c>
      <c r="T119">
        <f>SUMIF('Как есть'!$A$17:$A$25,Доп.расчеты!$A119,'Как есть'!U$17:U$25)</f>
        <v>0</v>
      </c>
      <c r="U119">
        <f>SUMIF('Как есть'!$A$17:$A$25,Доп.расчеты!$A119,'Как есть'!V$17:V$25)</f>
        <v>0</v>
      </c>
      <c r="V119">
        <f>SUMIF('Как есть'!$A$17:$A$25,Доп.расчеты!$A119,'Как есть'!W$17:W$25)</f>
        <v>0</v>
      </c>
      <c r="W119">
        <f>SUMIF('Как есть'!$A$17:$A$25,Доп.расчеты!$A119,'Как есть'!X$17:X$25)</f>
        <v>0</v>
      </c>
      <c r="X119">
        <f>SUMIF('Как есть'!$A$17:$A$25,Доп.расчеты!$A119,'Как есть'!Y$17:Y$25)</f>
        <v>0</v>
      </c>
      <c r="Y119">
        <f>SUMIF('Как есть'!$A$17:$A$25,Доп.расчеты!$A119,'Как есть'!Z$17:Z$25)</f>
        <v>0</v>
      </c>
      <c r="Z119">
        <f>SUMIF('Как есть'!$A$17:$A$25,Доп.расчеты!$A119,'Как есть'!AA$17:AA$25)</f>
        <v>0</v>
      </c>
      <c r="AA119">
        <f>SUMIF('Как есть'!$A$17:$A$25,Доп.расчеты!$A119,'Как есть'!AB$17:AB$25)</f>
        <v>0</v>
      </c>
      <c r="AB119">
        <f>SUMIF('Как есть'!$A$17:$A$25,Доп.расчеты!$A119,'Как есть'!AC$17:AC$25)</f>
        <v>0</v>
      </c>
      <c r="AC119">
        <f>SUMIF('Как есть'!$A$17:$A$25,Доп.расчеты!$A119,'Как есть'!AD$17:AD$25)</f>
        <v>0</v>
      </c>
      <c r="AD119">
        <f>SUMIF('Как есть'!$A$17:$A$25,Доп.расчеты!$A119,'Как есть'!AE$17:AE$25)</f>
        <v>0</v>
      </c>
      <c r="AE119">
        <f>SUMIF('Как есть'!$A$17:$A$25,Доп.расчеты!$A119,'Как есть'!AF$17:AF$25)</f>
        <v>0</v>
      </c>
      <c r="AF119">
        <f>SUMIF('Как есть'!$A$17:$A$25,Доп.расчеты!$A119,'Как есть'!AG$17:AG$25)</f>
        <v>0</v>
      </c>
      <c r="AG119">
        <f>SUMIF('Как есть'!$A$17:$A$25,Доп.расчеты!$A119,'Как есть'!AH$17:AH$25)</f>
        <v>0</v>
      </c>
      <c r="AH119">
        <f>SUMIF('Как есть'!$A$17:$A$25,Доп.расчеты!$A119,'Как есть'!AI$17:AI$25)</f>
        <v>0</v>
      </c>
      <c r="AI119">
        <f>SUMIF('Как есть'!$A$17:$A$25,Доп.расчеты!$A119,'Как есть'!AJ$17:AJ$25)</f>
        <v>0</v>
      </c>
      <c r="AJ119">
        <f>SUMIF('Как есть'!$A$17:$A$25,Доп.расчеты!$A119,'Как есть'!AK$17:AK$25)</f>
        <v>0</v>
      </c>
      <c r="AK119">
        <f>SUMIF('Как есть'!$A$17:$A$25,Доп.расчеты!$A119,'Как есть'!AL$17:AL$25)</f>
        <v>0</v>
      </c>
      <c r="AL119">
        <f>SUMIF('Как есть'!$A$17:$A$25,Доп.расчеты!$A119,'Как есть'!AM$17:AM$25)</f>
        <v>0</v>
      </c>
      <c r="AM119">
        <f>SUMIF('Как есть'!$A$17:$A$25,Доп.расчеты!$A119,'Как есть'!AN$17:AN$25)</f>
        <v>0</v>
      </c>
      <c r="AN119">
        <f>SUMIF('Как есть'!$A$17:$A$25,Доп.расчеты!$A119,'Как есть'!AO$17:AO$25)</f>
        <v>0</v>
      </c>
      <c r="AO119">
        <f>SUMIF('Как есть'!$A$17:$A$25,Доп.расчеты!$A119,'Как есть'!AP$17:AP$25)</f>
        <v>0</v>
      </c>
      <c r="AP119">
        <f>SUMIF('Как есть'!$A$17:$A$25,Доп.расчеты!$A119,'Как есть'!AQ$17:AQ$25)</f>
        <v>0</v>
      </c>
      <c r="AQ119">
        <f>SUMIF('Как есть'!$A$17:$A$25,Доп.расчеты!$A119,'Как есть'!AR$17:AR$25)</f>
        <v>0</v>
      </c>
      <c r="AR119">
        <f>SUMIF('Как есть'!$A$17:$A$25,Доп.расчеты!$A119,'Как есть'!AS$17:AS$25)</f>
        <v>0</v>
      </c>
      <c r="AS119">
        <f>SUMIF('Как есть'!$A$17:$A$25,Доп.расчеты!$A119,'Как есть'!AT$17:AT$25)</f>
        <v>0</v>
      </c>
      <c r="AT119">
        <f>SUMIF('Как есть'!$A$17:$A$25,Доп.расчеты!$A119,'Как есть'!AU$17:AU$25)</f>
        <v>0</v>
      </c>
      <c r="AU119">
        <f>SUMIF('Как есть'!$A$17:$A$25,Доп.расчеты!$A119,'Как есть'!AV$17:AV$25)</f>
        <v>0</v>
      </c>
      <c r="AV119">
        <f>SUMIF('Как есть'!$A$17:$A$25,Доп.расчеты!$A119,'Как есть'!AW$17:AW$25)</f>
        <v>0</v>
      </c>
      <c r="AW119">
        <f>SUMIF('Как есть'!$A$17:$A$25,Доп.расчеты!$A119,'Как есть'!AX$17:AX$25)</f>
        <v>0</v>
      </c>
      <c r="AX119">
        <f>SUMIF('Как есть'!$A$17:$A$25,Доп.расчеты!$A119,'Как есть'!AY$17:AY$25)</f>
        <v>0</v>
      </c>
      <c r="AY119">
        <f>SUMIF('Как есть'!$A$17:$A$25,Доп.расчеты!$A119,'Как есть'!AZ$17:AZ$25)</f>
        <v>0</v>
      </c>
      <c r="AZ119">
        <f>SUMIF('Как есть'!$A$17:$A$25,Доп.расчеты!$A119,'Как есть'!BA$17:BA$25)</f>
        <v>0</v>
      </c>
      <c r="BA119">
        <f>SUMIF('Как есть'!$A$17:$A$25,Доп.расчеты!$A119,'Как есть'!BB$17:BB$25)</f>
        <v>0</v>
      </c>
      <c r="BB119">
        <f>SUMIF('Как есть'!$A$17:$A$25,Доп.расчеты!$A119,'Как есть'!BC$17:BC$25)</f>
        <v>0</v>
      </c>
      <c r="BC119">
        <f>SUMIF('Как есть'!$A$17:$A$25,Доп.расчеты!$A119,'Как есть'!BD$17:BD$25)</f>
        <v>0</v>
      </c>
      <c r="BD119">
        <f>SUMIF('Как есть'!$A$17:$A$25,Доп.расчеты!$A119,'Как есть'!BE$17:BE$25)</f>
        <v>0</v>
      </c>
      <c r="BE119">
        <f>SUMIF('Как есть'!$A$17:$A$25,Доп.расчеты!$A119,'Как есть'!BF$17:BF$25)</f>
        <v>0</v>
      </c>
      <c r="BF119">
        <f>SUMIF('Как есть'!$A$17:$A$25,Доп.расчеты!$A119,'Как есть'!BG$17:BG$25)</f>
        <v>0</v>
      </c>
      <c r="BG119">
        <f>SUMIF('Как есть'!$A$17:$A$25,Доп.расчеты!$A119,'Как есть'!BH$17:BH$25)</f>
        <v>0</v>
      </c>
      <c r="BH119">
        <f>SUMIF('Как есть'!$A$17:$A$25,Доп.расчеты!$A119,'Как есть'!BI$17:BI$25)</f>
        <v>0</v>
      </c>
      <c r="BI119">
        <f>SUMIF('Как есть'!$A$17:$A$25,Доп.расчеты!$A119,'Как есть'!BJ$17:BJ$25)</f>
        <v>0</v>
      </c>
      <c r="BJ119">
        <f>SUMIF('Как есть'!$A$17:$A$25,Доп.расчеты!$A119,'Как есть'!BK$17:BK$25)</f>
        <v>0</v>
      </c>
      <c r="BK119">
        <f>SUMIF('Как есть'!$A$17:$A$25,Доп.расчеты!$A119,'Как есть'!BL$17:BL$25)</f>
        <v>0</v>
      </c>
      <c r="BL119">
        <f>SUMIF('Как есть'!$A$17:$A$25,Доп.расчеты!$A119,'Как есть'!BM$17:BM$25)</f>
        <v>0</v>
      </c>
      <c r="BM119">
        <f>SUMIF('Как есть'!$A$17:$A$25,Доп.расчеты!$A119,'Как есть'!BN$17:BN$25)</f>
        <v>0</v>
      </c>
      <c r="BN119">
        <f>SUMIF('Как есть'!$A$17:$A$25,Доп.расчеты!$A119,'Как есть'!BO$17:BO$25)</f>
        <v>0</v>
      </c>
      <c r="BO119">
        <f>SUMIF('Как есть'!$A$17:$A$25,Доп.расчеты!$A119,'Как есть'!BP$17:BP$25)</f>
        <v>0</v>
      </c>
      <c r="BP119">
        <f>SUMIF('Как есть'!$A$17:$A$25,Доп.расчеты!$A119,'Как есть'!BQ$17:BQ$25)</f>
        <v>0</v>
      </c>
      <c r="BQ119">
        <f>SUMIF('Как есть'!$A$17:$A$25,Доп.расчеты!$A119,'Как есть'!BR$17:BR$25)</f>
        <v>0</v>
      </c>
      <c r="BR119">
        <f>SUMIF('Как есть'!$A$17:$A$25,Доп.расчеты!$A119,'Как есть'!BS$17:BS$25)</f>
        <v>0</v>
      </c>
      <c r="BS119">
        <f>SUMIF('Как есть'!$A$17:$A$25,Доп.расчеты!$A119,'Как есть'!BT$17:BT$25)</f>
        <v>0</v>
      </c>
      <c r="BT119">
        <f>SUMIF('Как есть'!$A$17:$A$25,Доп.расчеты!$A119,'Как есть'!BU$17:BU$25)</f>
        <v>0</v>
      </c>
      <c r="BU119">
        <f>SUMIF('Как есть'!$A$17:$A$25,Доп.расчеты!$A119,'Как есть'!BV$17:BV$25)</f>
        <v>0</v>
      </c>
      <c r="BV119">
        <f>SUMIF('Как есть'!$A$17:$A$25,Доп.расчеты!$A119,'Как есть'!BW$17:BW$25)</f>
        <v>0</v>
      </c>
      <c r="BW119">
        <f>SUMIF('Как есть'!$A$17:$A$25,Доп.расчеты!$A119,'Как есть'!BX$17:BX$25)</f>
        <v>0</v>
      </c>
      <c r="BX119">
        <f>SUMIF('Как есть'!$A$17:$A$25,Доп.расчеты!$A119,'Как есть'!BY$17:BY$25)</f>
        <v>0</v>
      </c>
      <c r="BY119">
        <f>SUMIF('Как есть'!$A$17:$A$25,Доп.расчеты!$A119,'Как есть'!BZ$17:BZ$25)</f>
        <v>0</v>
      </c>
      <c r="BZ119">
        <f>SUMIF('Как есть'!$A$17:$A$25,Доп.расчеты!$A119,'Как есть'!CA$17:CA$25)</f>
        <v>0</v>
      </c>
      <c r="CA119">
        <f>SUMIF('Как есть'!$A$17:$A$25,Доп.расчеты!$A119,'Как есть'!CB$17:CB$25)</f>
        <v>0</v>
      </c>
      <c r="CB119">
        <f>SUMIF('Как есть'!$A$17:$A$25,Доп.расчеты!$A119,'Как есть'!CC$17:CC$25)</f>
        <v>0</v>
      </c>
      <c r="CC119">
        <f>SUMIF('Как есть'!$A$17:$A$25,Доп.расчеты!$A119,'Как есть'!CD$17:CD$25)</f>
        <v>0</v>
      </c>
      <c r="CD119">
        <f>SUMIF('Как есть'!$A$17:$A$25,Доп.расчеты!$A119,'Как есть'!CE$17:CE$25)</f>
        <v>0</v>
      </c>
      <c r="CE119">
        <f>SUMIF('Как есть'!$A$17:$A$25,Доп.расчеты!$A119,'Как есть'!CF$17:CF$25)</f>
        <v>0</v>
      </c>
      <c r="CF119">
        <f>SUMIF('Как есть'!$A$17:$A$25,Доп.расчеты!$A119,'Как есть'!CG$17:CG$25)</f>
        <v>0</v>
      </c>
      <c r="CG119">
        <f>SUMIF('Как есть'!$A$17:$A$25,Доп.расчеты!$A119,'Как есть'!CH$17:CH$25)</f>
        <v>0</v>
      </c>
      <c r="CH119">
        <f>SUMIF('Как есть'!$A$17:$A$25,Доп.расчеты!$A119,'Как есть'!CI$17:CI$25)</f>
        <v>0</v>
      </c>
      <c r="CI119">
        <f>SUMIF('Как есть'!$A$17:$A$25,Доп.расчеты!$A119,'Как есть'!CJ$17:CJ$25)</f>
        <v>0</v>
      </c>
      <c r="CJ119">
        <f>SUMIF('Как есть'!$A$17:$A$25,Доп.расчеты!$A119,'Как есть'!CK$17:CK$25)</f>
        <v>0</v>
      </c>
      <c r="CK119">
        <f>SUMIF('Как есть'!$A$17:$A$25,Доп.расчеты!$A119,'Как есть'!CL$17:CL$25)</f>
        <v>0</v>
      </c>
      <c r="CL119">
        <f>SUMIF('Как есть'!$A$17:$A$25,Доп.расчеты!$A119,'Как есть'!CM$17:CM$25)</f>
        <v>0</v>
      </c>
      <c r="CM119">
        <f>SUMIF('Как есть'!$A$17:$A$25,Доп.расчеты!$A119,'Как есть'!CN$17:CN$25)</f>
        <v>0</v>
      </c>
      <c r="CN119">
        <f>SUMIF('Как есть'!$A$17:$A$25,Доп.расчеты!$A119,'Как есть'!CO$17:CO$25)</f>
        <v>0</v>
      </c>
      <c r="CO119">
        <f>SUMIF('Как есть'!$A$17:$A$25,Доп.расчеты!$A119,'Как есть'!CP$17:CP$25)</f>
        <v>0</v>
      </c>
      <c r="CP119">
        <f>SUMIF('Как есть'!$A$17:$A$25,Доп.расчеты!$A119,'Как есть'!CQ$17:CQ$25)</f>
        <v>0</v>
      </c>
      <c r="CQ119">
        <f>SUMIF('Как есть'!$A$17:$A$25,Доп.расчеты!$A119,'Как есть'!CR$17:CR$25)</f>
        <v>0</v>
      </c>
      <c r="CR119">
        <f>SUMIF('Как есть'!$A$17:$A$25,Доп.расчеты!$A119,'Как есть'!CS$17:CS$25)</f>
        <v>0</v>
      </c>
      <c r="CS119">
        <f>SUMIF('Как есть'!$A$17:$A$25,Доп.расчеты!$A119,'Как есть'!CT$17:CT$25)</f>
        <v>0</v>
      </c>
      <c r="CT119">
        <f>SUMIF('Как есть'!$A$17:$A$25,Доп.расчеты!$A119,'Как есть'!CU$17:CU$25)</f>
        <v>0</v>
      </c>
      <c r="CU119">
        <f>SUMIF('Как есть'!$A$17:$A$25,Доп.расчеты!$A119,'Как есть'!CV$17:CV$25)</f>
        <v>0</v>
      </c>
      <c r="CV119">
        <f>SUMIF('Как есть'!$A$17:$A$25,Доп.расчеты!$A119,'Как есть'!CW$17:CW$25)</f>
        <v>0</v>
      </c>
      <c r="CW119">
        <f>SUMIF('Как есть'!$A$17:$A$25,Доп.расчеты!$A119,'Как есть'!CX$17:CX$25)</f>
        <v>0</v>
      </c>
      <c r="CX119">
        <f>SUMIF('Как есть'!$A$17:$A$25,Доп.расчеты!$A119,'Как есть'!CY$17:CY$25)</f>
        <v>0</v>
      </c>
      <c r="CY119">
        <f>SUMIF('Как есть'!$A$17:$A$25,Доп.расчеты!$A119,'Как есть'!CZ$17:CZ$25)</f>
        <v>0</v>
      </c>
      <c r="CZ119">
        <f>SUMIF('Как есть'!$A$17:$A$25,Доп.расчеты!$A119,'Как есть'!DA$17:DA$25)</f>
        <v>0</v>
      </c>
      <c r="DA119">
        <f>SUMIF('Как есть'!$A$17:$A$25,Доп.расчеты!$A119,'Как есть'!DB$17:DB$25)</f>
        <v>0</v>
      </c>
      <c r="DB119">
        <f>SUMIF('Как есть'!$A$17:$A$25,Доп.расчеты!$A119,'Как есть'!DC$17:DC$25)</f>
        <v>0</v>
      </c>
      <c r="DC119">
        <f>SUMIF('Как есть'!$A$17:$A$25,Доп.расчеты!$A119,'Как есть'!DD$17:DD$25)</f>
        <v>0</v>
      </c>
      <c r="DD119">
        <f>SUMIF('Как есть'!$A$17:$A$25,Доп.расчеты!$A119,'Как есть'!DE$17:DE$25)</f>
        <v>0</v>
      </c>
      <c r="DE119">
        <f>SUMIF('Как есть'!$A$17:$A$25,Доп.расчеты!$A119,'Как есть'!DF$17:DF$25)</f>
        <v>0</v>
      </c>
      <c r="DF119">
        <f>SUMIF('Как есть'!$A$17:$A$25,Доп.расчеты!$A119,'Как есть'!DG$17:DG$25)</f>
        <v>0</v>
      </c>
      <c r="DG119">
        <f>SUMIF('Как есть'!$A$17:$A$25,Доп.расчеты!$A119,'Как есть'!DH$17:DH$25)</f>
        <v>0</v>
      </c>
      <c r="DH119">
        <f>SUMIF('Как есть'!$A$17:$A$25,Доп.расчеты!$A119,'Как есть'!DI$17:DI$25)</f>
        <v>0</v>
      </c>
      <c r="DI119">
        <f>SUMIF('Как есть'!$A$17:$A$25,Доп.расчеты!$A119,'Как есть'!DJ$17:DJ$25)</f>
        <v>0</v>
      </c>
      <c r="DJ119">
        <f>SUMIF('Как есть'!$A$17:$A$25,Доп.расчеты!$A119,'Как есть'!DK$17:DK$25)</f>
        <v>0</v>
      </c>
      <c r="DK119">
        <f>SUMIF('Как есть'!$A$17:$A$25,Доп.расчеты!$A119,'Как есть'!DL$17:DL$25)</f>
        <v>0</v>
      </c>
      <c r="DL119">
        <f>SUMIF('Как есть'!$A$17:$A$25,Доп.расчеты!$A119,'Как есть'!DM$17:DM$25)</f>
        <v>0</v>
      </c>
      <c r="DM119">
        <f>SUMIF('Как есть'!$A$17:$A$25,Доп.расчеты!$A119,'Как есть'!DN$17:DN$25)</f>
        <v>0</v>
      </c>
      <c r="DN119">
        <f>SUMIF('Как есть'!$A$17:$A$25,Доп.расчеты!$A119,'Как есть'!DO$17:DO$25)</f>
        <v>0</v>
      </c>
      <c r="DO119">
        <f>SUMIF('Как есть'!$A$17:$A$25,Доп.расчеты!$A119,'Как есть'!DP$17:DP$25)</f>
        <v>0</v>
      </c>
      <c r="DP119">
        <f>SUMIF('Как есть'!$A$17:$A$25,Доп.расчеты!$A119,'Как есть'!DQ$17:DQ$25)</f>
        <v>0</v>
      </c>
      <c r="DQ119">
        <f>SUMIF('Как есть'!$A$17:$A$25,Доп.расчеты!$A119,'Как есть'!DR$17:DR$25)</f>
        <v>0</v>
      </c>
      <c r="DR119">
        <f>SUMIF('Как есть'!$A$17:$A$25,Доп.расчеты!$A119,'Как есть'!DS$17:DS$25)</f>
        <v>0</v>
      </c>
      <c r="DS119">
        <f>SUMIF('Как есть'!$A$17:$A$25,Доп.расчеты!$A119,'Как есть'!DT$17:DT$25)</f>
        <v>0</v>
      </c>
      <c r="DT119">
        <f>SUMIF('Как есть'!$A$17:$A$25,Доп.расчеты!$A119,'Как есть'!DU$17:DU$25)</f>
        <v>0</v>
      </c>
      <c r="DU119">
        <f>SUMIF('Как есть'!$A$17:$A$25,Доп.расчеты!$A119,'Как есть'!DV$17:DV$25)</f>
        <v>0</v>
      </c>
      <c r="DV119">
        <f>SUMIF('Как есть'!$A$17:$A$25,Доп.расчеты!$A119,'Как есть'!DW$17:DW$25)</f>
        <v>0</v>
      </c>
      <c r="DW119">
        <f>SUMIF('Как есть'!$A$17:$A$25,Доп.расчеты!$A119,'Как есть'!DX$17:DX$25)</f>
        <v>0</v>
      </c>
      <c r="DX119">
        <f>SUMIF('Как есть'!$A$17:$A$25,Доп.расчеты!$A119,'Как есть'!DY$17:DY$25)</f>
        <v>0</v>
      </c>
      <c r="DY119">
        <f>SUMIF('Как есть'!$A$17:$A$25,Доп.расчеты!$A119,'Как есть'!DZ$17:DZ$25)</f>
        <v>0</v>
      </c>
      <c r="DZ119">
        <f>SUMIF('Как есть'!$A$17:$A$25,Доп.расчеты!$A119,'Как есть'!EA$17:EA$25)</f>
        <v>0</v>
      </c>
      <c r="EA119">
        <f>SUMIF('Как есть'!$A$17:$A$25,Доп.расчеты!$A119,'Как есть'!EB$17:EB$25)</f>
        <v>0</v>
      </c>
      <c r="EB119">
        <f>SUMIF('Как есть'!$A$17:$A$25,Доп.расчеты!$A119,'Как есть'!EC$17:EC$25)</f>
        <v>0</v>
      </c>
      <c r="EC119">
        <f>SUMIF('Как есть'!$A$17:$A$25,Доп.расчеты!$A119,'Как есть'!ED$17:ED$25)</f>
        <v>0</v>
      </c>
      <c r="ED119">
        <f>SUMIF('Как есть'!$A$17:$A$25,Доп.расчеты!$A119,'Как есть'!EE$17:EE$25)</f>
        <v>0</v>
      </c>
      <c r="EE119">
        <f>SUMIF('Как есть'!$A$17:$A$25,Доп.расчеты!$A119,'Как есть'!EF$17:EF$25)</f>
        <v>0</v>
      </c>
      <c r="EF119">
        <f>SUMIF('Как есть'!$A$17:$A$25,Доп.расчеты!$A119,'Как есть'!EG$17:EG$25)</f>
        <v>0</v>
      </c>
      <c r="EG119">
        <f>SUMIF('Как есть'!$A$17:$A$25,Доп.расчеты!$A119,'Как есть'!EH$17:EH$25)</f>
        <v>0</v>
      </c>
      <c r="EH119">
        <f>SUMIF('Как есть'!$A$17:$A$25,Доп.расчеты!$A119,'Как есть'!EI$17:EI$25)</f>
        <v>0</v>
      </c>
      <c r="EI119">
        <f>SUMIF('Как есть'!$A$17:$A$25,Доп.расчеты!$A119,'Как есть'!EJ$17:EJ$25)</f>
        <v>0</v>
      </c>
      <c r="EJ119">
        <f>SUMIF('Как есть'!$A$17:$A$25,Доп.расчеты!$A119,'Как есть'!EK$17:EK$25)</f>
        <v>0</v>
      </c>
      <c r="EK119">
        <f>SUMIF('Как есть'!$A$17:$A$25,Доп.расчеты!$A119,'Как есть'!EL$17:EL$25)</f>
        <v>0</v>
      </c>
      <c r="EL119">
        <f>SUMIF('Как есть'!$A$17:$A$25,Доп.расчеты!$A119,'Как есть'!EM$17:EM$25)</f>
        <v>0</v>
      </c>
      <c r="EM119">
        <f>SUMIF('Как есть'!$A$17:$A$25,Доп.расчеты!$A119,'Как есть'!EN$17:EN$25)</f>
        <v>0</v>
      </c>
      <c r="EN119">
        <f>SUMIF('Как есть'!$A$17:$A$25,Доп.расчеты!$A119,'Как есть'!EO$17:EO$25)</f>
        <v>0</v>
      </c>
      <c r="EO119">
        <f>SUMIF('Как есть'!$A$17:$A$25,Доп.расчеты!$A119,'Как есть'!EP$17:EP$25)</f>
        <v>0</v>
      </c>
      <c r="EP119">
        <f>SUMIF('Как есть'!$A$17:$A$25,Доп.расчеты!$A119,'Как есть'!EQ$17:EQ$25)</f>
        <v>0</v>
      </c>
      <c r="EQ119">
        <f>SUMIF('Как есть'!$A$17:$A$25,Доп.расчеты!$A119,'Как есть'!ER$17:ER$25)</f>
        <v>0</v>
      </c>
      <c r="ER119">
        <f>SUMIF('Как есть'!$A$17:$A$25,Доп.расчеты!$A119,'Как есть'!ES$17:ES$25)</f>
        <v>0</v>
      </c>
      <c r="ES119">
        <f>SUMIF('Как есть'!$A$17:$A$25,Доп.расчеты!$A119,'Как есть'!ET$17:ET$25)</f>
        <v>0</v>
      </c>
      <c r="ET119">
        <f>SUMIF('Как есть'!$A$17:$A$25,Доп.расчеты!$A119,'Как есть'!EU$17:EU$25)</f>
        <v>0</v>
      </c>
      <c r="EU119">
        <f>SUMIF('Как есть'!$A$17:$A$25,Доп.расчеты!$A119,'Как есть'!EV$17:EV$25)</f>
        <v>0</v>
      </c>
      <c r="EV119">
        <f>SUMIF('Как есть'!$A$17:$A$25,Доп.расчеты!$A119,'Как есть'!EW$17:EW$25)</f>
        <v>0</v>
      </c>
      <c r="EW119">
        <f>SUMIF('Как есть'!$A$17:$A$25,Доп.расчеты!$A119,'Как есть'!EX$17:EX$25)</f>
        <v>0</v>
      </c>
      <c r="EX119">
        <f>SUMIF('Как есть'!$A$17:$A$25,Доп.расчеты!$A119,'Как есть'!EY$17:EY$25)</f>
        <v>0</v>
      </c>
      <c r="EY119">
        <f>SUMIF('Как есть'!$A$17:$A$25,Доп.расчеты!$A119,'Как есть'!EZ$17:EZ$25)</f>
        <v>0</v>
      </c>
      <c r="EZ119">
        <f>SUMIF('Как есть'!$A$17:$A$25,Доп.расчеты!$A119,'Как есть'!FA$17:FA$25)</f>
        <v>0</v>
      </c>
      <c r="FA119">
        <f>SUMIF('Как есть'!$A$17:$A$25,Доп.расчеты!$A119,'Как есть'!FB$17:FB$25)</f>
        <v>0</v>
      </c>
      <c r="FB119">
        <f>SUMIF('Как есть'!$A$17:$A$25,Доп.расчеты!$A119,'Как есть'!FC$17:FC$25)</f>
        <v>0</v>
      </c>
      <c r="FC119">
        <f>SUMIF('Как есть'!$A$17:$A$25,Доп.расчеты!$A119,'Как есть'!FD$17:FD$25)</f>
        <v>0</v>
      </c>
      <c r="FD119">
        <f>SUMIF('Как есть'!$A$17:$A$25,Доп.расчеты!$A119,'Как есть'!FE$17:FE$25)</f>
        <v>0</v>
      </c>
      <c r="FE119">
        <f>SUMIF('Как есть'!$A$17:$A$25,Доп.расчеты!$A119,'Как есть'!FF$17:FF$25)</f>
        <v>0</v>
      </c>
      <c r="FF119">
        <f>SUMIF('Как есть'!$A$17:$A$25,Доп.расчеты!$A119,'Как есть'!FG$17:FG$25)</f>
        <v>0</v>
      </c>
      <c r="FG119">
        <f>SUMIF('Как есть'!$A$17:$A$25,Доп.расчеты!$A119,'Как есть'!FH$17:FH$25)</f>
        <v>0</v>
      </c>
      <c r="FH119">
        <f>SUMIF('Как есть'!$A$17:$A$25,Доп.расчеты!$A119,'Как есть'!FI$17:FI$25)</f>
        <v>0</v>
      </c>
      <c r="FI119">
        <f>SUMIF('Как есть'!$A$17:$A$25,Доп.расчеты!$A119,'Как есть'!FJ$17:FJ$25)</f>
        <v>0</v>
      </c>
      <c r="FJ119">
        <f>SUMIF('Как есть'!$A$17:$A$25,Доп.расчеты!$A119,'Как есть'!FK$17:FK$25)</f>
        <v>0</v>
      </c>
      <c r="FK119">
        <f>SUMIF('Как есть'!$A$17:$A$25,Доп.расчеты!$A119,'Как есть'!FL$17:FL$25)</f>
        <v>0</v>
      </c>
      <c r="FL119">
        <f>SUMIF('Как есть'!$A$17:$A$25,Доп.расчеты!$A119,'Как есть'!FM$17:FM$25)</f>
        <v>0</v>
      </c>
      <c r="FM119">
        <f>SUMIF('Как есть'!$A$17:$A$25,Доп.расчеты!$A119,'Как есть'!FN$17:FN$25)</f>
        <v>0</v>
      </c>
      <c r="FN119">
        <f>SUMIF('Как есть'!$A$17:$A$25,Доп.расчеты!$A119,'Как есть'!FO$17:FO$25)</f>
        <v>0</v>
      </c>
      <c r="FO119">
        <f>SUMIF('Как есть'!$A$17:$A$25,Доп.расчеты!$A119,'Как есть'!FP$17:FP$25)</f>
        <v>0</v>
      </c>
      <c r="FP119">
        <f>SUMIF('Как есть'!$A$17:$A$25,Доп.расчеты!$A119,'Как есть'!FQ$17:FQ$25)</f>
        <v>0</v>
      </c>
      <c r="FQ119">
        <f>SUMIF('Как есть'!$A$17:$A$25,Доп.расчеты!$A119,'Как есть'!FR$17:FR$25)</f>
        <v>0</v>
      </c>
      <c r="FR119">
        <f>SUMIF('Как есть'!$A$17:$A$25,Доп.расчеты!$A119,'Как есть'!FS$17:FS$25)</f>
        <v>0</v>
      </c>
      <c r="FS119">
        <f>SUMIF('Как есть'!$A$17:$A$25,Доп.расчеты!$A119,'Как есть'!FT$17:FT$25)</f>
        <v>0</v>
      </c>
      <c r="FT119">
        <f>SUMIF('Как есть'!$A$17:$A$25,Доп.расчеты!$A119,'Как есть'!FU$17:FU$25)</f>
        <v>0</v>
      </c>
      <c r="FU119">
        <f>SUMIF('Как есть'!$A$17:$A$25,Доп.расчеты!$A119,'Как есть'!FV$17:FV$25)</f>
        <v>0</v>
      </c>
      <c r="FV119">
        <f>SUMIF('Как есть'!$A$17:$A$25,Доп.расчеты!$A119,'Как есть'!FW$17:FW$25)</f>
        <v>0</v>
      </c>
      <c r="FW119">
        <f>SUMIF('Как есть'!$A$17:$A$25,Доп.расчеты!$A119,'Как есть'!FX$17:FX$25)</f>
        <v>0</v>
      </c>
      <c r="FX119">
        <f>SUMIF('Как есть'!$A$17:$A$25,Доп.расчеты!$A119,'Как есть'!FY$17:FY$25)</f>
        <v>0</v>
      </c>
      <c r="FY119">
        <f>SUMIF('Как есть'!$A$17:$A$25,Доп.расчеты!$A119,'Как есть'!FZ$17:FZ$25)</f>
        <v>0</v>
      </c>
      <c r="FZ119">
        <f>SUMIF('Как есть'!$A$17:$A$25,Доп.расчеты!$A119,'Как есть'!GA$17:GA$25)</f>
        <v>0</v>
      </c>
      <c r="GA119">
        <f>SUMIF('Как есть'!$A$17:$A$25,Доп.расчеты!$A119,'Как есть'!GB$17:GB$25)</f>
        <v>0</v>
      </c>
      <c r="GB119">
        <f>SUMIF('Как есть'!$A$17:$A$25,Доп.расчеты!$A119,'Как есть'!GC$17:GC$25)</f>
        <v>0</v>
      </c>
      <c r="GC119">
        <f>SUMIF('Как есть'!$A$17:$A$25,Доп.расчеты!$A119,'Как есть'!GD$17:GD$25)</f>
        <v>0</v>
      </c>
      <c r="GD119">
        <f>SUMIF('Как есть'!$A$17:$A$25,Доп.расчеты!$A119,'Как есть'!GE$17:GE$25)</f>
        <v>0</v>
      </c>
      <c r="GE119">
        <f>SUMIF('Как есть'!$A$17:$A$25,Доп.расчеты!$A119,'Как есть'!GF$17:GF$25)</f>
        <v>0</v>
      </c>
      <c r="GF119">
        <f>SUMIF('Как есть'!$A$17:$A$25,Доп.расчеты!$A119,'Как есть'!GG$17:GG$25)</f>
        <v>0</v>
      </c>
      <c r="GG119">
        <f>SUMIF('Как есть'!$A$17:$A$25,Доп.расчеты!$A119,'Как есть'!GH$17:GH$25)</f>
        <v>0</v>
      </c>
      <c r="GH119">
        <f>SUMIF('Как есть'!$A$17:$A$25,Доп.расчеты!$A119,'Как есть'!GI$17:GI$25)</f>
        <v>0</v>
      </c>
      <c r="GI119">
        <f>SUMIF('Как есть'!$A$17:$A$25,Доп.расчеты!$A119,'Как есть'!GJ$17:GJ$25)</f>
        <v>0</v>
      </c>
      <c r="GJ119">
        <f>SUMIF('Как есть'!$A$17:$A$25,Доп.расчеты!$A119,'Как есть'!GK$17:GK$25)</f>
        <v>0</v>
      </c>
      <c r="GK119">
        <f>SUMIF('Как есть'!$A$17:$A$25,Доп.расчеты!$A119,'Как есть'!GL$17:GL$25)</f>
        <v>0</v>
      </c>
      <c r="GL119">
        <f>SUMIF('Как есть'!$A$17:$A$25,Доп.расчеты!$A119,'Как есть'!GM$17:GM$25)</f>
        <v>0</v>
      </c>
      <c r="GM119">
        <f>SUMIF('Как есть'!$A$17:$A$25,Доп.расчеты!$A119,'Как есть'!GN$17:GN$25)</f>
        <v>0</v>
      </c>
      <c r="GN119">
        <f>SUMIF('Как есть'!$A$17:$A$25,Доп.расчеты!$A119,'Как есть'!GO$17:GO$25)</f>
        <v>0</v>
      </c>
      <c r="GO119">
        <f>SUMIF('Как есть'!$A$17:$A$25,Доп.расчеты!$A119,'Как есть'!GP$17:GP$25)</f>
        <v>0</v>
      </c>
      <c r="GP119">
        <f>SUMIF('Как есть'!$A$17:$A$25,Доп.расчеты!$A119,'Как есть'!GQ$17:GQ$25)</f>
        <v>0</v>
      </c>
      <c r="GQ119">
        <f>SUMIF('Как есть'!$A$17:$A$25,Доп.расчеты!$A119,'Как есть'!GR$17:GR$25)</f>
        <v>0</v>
      </c>
      <c r="GR119">
        <f>SUMIF('Как есть'!$A$17:$A$25,Доп.расчеты!$A119,'Как есть'!GS$17:GS$25)</f>
        <v>0</v>
      </c>
      <c r="GS119">
        <f>SUMIF('Как есть'!$A$17:$A$25,Доп.расчеты!$A119,'Как есть'!GT$17:GT$25)</f>
        <v>0</v>
      </c>
      <c r="GT119">
        <f>SUMIF('Как есть'!$A$17:$A$25,Доп.расчеты!$A119,'Как есть'!GU$17:GU$25)</f>
        <v>0</v>
      </c>
    </row>
    <row r="120" spans="1:202" hidden="1" outlineLevel="1">
      <c r="A120" s="238" t="s">
        <v>98</v>
      </c>
      <c r="B120">
        <f>SUMIF('Как есть'!$A$17:$A$25,Доп.расчеты!$A120,'Как есть'!C$17:C$25)</f>
        <v>0</v>
      </c>
      <c r="C120">
        <f>SUMIF('Как есть'!$A$17:$A$25,Доп.расчеты!$A120,'Как есть'!D$17:D$25)</f>
        <v>0</v>
      </c>
      <c r="D120">
        <f>SUMIF('Как есть'!$A$17:$A$25,Доп.расчеты!$A120,'Как есть'!E$17:E$25)</f>
        <v>0</v>
      </c>
      <c r="E120">
        <f>SUMIF('Как есть'!$A$17:$A$25,Доп.расчеты!$A120,'Как есть'!F$17:F$25)</f>
        <v>0</v>
      </c>
      <c r="F120">
        <f>SUMIF('Как есть'!$A$17:$A$25,Доп.расчеты!$A120,'Как есть'!G$17:G$25)</f>
        <v>0</v>
      </c>
      <c r="G120">
        <f>SUMIF('Как есть'!$A$17:$A$25,Доп.расчеты!$A120,'Как есть'!H$17:H$25)</f>
        <v>0</v>
      </c>
      <c r="H120">
        <f>SUMIF('Как есть'!$A$17:$A$25,Доп.расчеты!$A120,'Как есть'!I$17:I$25)</f>
        <v>0</v>
      </c>
      <c r="I120">
        <f>SUMIF('Как есть'!$A$17:$A$25,Доп.расчеты!$A120,'Как есть'!J$17:J$25)</f>
        <v>0</v>
      </c>
      <c r="J120">
        <f>SUMIF('Как есть'!$A$17:$A$25,Доп.расчеты!$A120,'Как есть'!K$17:K$25)</f>
        <v>0</v>
      </c>
      <c r="K120">
        <f>SUMIF('Как есть'!$A$17:$A$25,Доп.расчеты!$A120,'Как есть'!L$17:L$25)</f>
        <v>0</v>
      </c>
      <c r="L120">
        <f>SUMIF('Как есть'!$A$17:$A$25,Доп.расчеты!$A120,'Как есть'!M$17:M$25)</f>
        <v>0</v>
      </c>
      <c r="M120">
        <f>SUMIF('Как есть'!$A$17:$A$25,Доп.расчеты!$A120,'Как есть'!N$17:N$25)</f>
        <v>0</v>
      </c>
      <c r="N120">
        <f>SUMIF('Как есть'!$A$17:$A$25,Доп.расчеты!$A120,'Как есть'!O$17:O$25)</f>
        <v>0</v>
      </c>
      <c r="O120">
        <f>SUMIF('Как есть'!$A$17:$A$25,Доп.расчеты!$A120,'Как есть'!P$17:P$25)</f>
        <v>0</v>
      </c>
      <c r="P120">
        <f>SUMIF('Как есть'!$A$17:$A$25,Доп.расчеты!$A120,'Как есть'!Q$17:Q$25)</f>
        <v>0</v>
      </c>
      <c r="Q120">
        <f>SUMIF('Как есть'!$A$17:$A$25,Доп.расчеты!$A120,'Как есть'!R$17:R$25)</f>
        <v>0</v>
      </c>
      <c r="R120">
        <f>SUMIF('Как есть'!$A$17:$A$25,Доп.расчеты!$A120,'Как есть'!S$17:S$25)</f>
        <v>0</v>
      </c>
      <c r="S120">
        <f>SUMIF('Как есть'!$A$17:$A$25,Доп.расчеты!$A120,'Как есть'!T$17:T$25)</f>
        <v>0</v>
      </c>
      <c r="T120">
        <f>SUMIF('Как есть'!$A$17:$A$25,Доп.расчеты!$A120,'Как есть'!U$17:U$25)</f>
        <v>0</v>
      </c>
      <c r="U120">
        <f>SUMIF('Как есть'!$A$17:$A$25,Доп.расчеты!$A120,'Как есть'!V$17:V$25)</f>
        <v>0</v>
      </c>
      <c r="V120">
        <f>SUMIF('Как есть'!$A$17:$A$25,Доп.расчеты!$A120,'Как есть'!W$17:W$25)</f>
        <v>0</v>
      </c>
      <c r="W120">
        <f>SUMIF('Как есть'!$A$17:$A$25,Доп.расчеты!$A120,'Как есть'!X$17:X$25)</f>
        <v>0</v>
      </c>
      <c r="X120">
        <f>SUMIF('Как есть'!$A$17:$A$25,Доп.расчеты!$A120,'Как есть'!Y$17:Y$25)</f>
        <v>0</v>
      </c>
      <c r="Y120">
        <f>SUMIF('Как есть'!$A$17:$A$25,Доп.расчеты!$A120,'Как есть'!Z$17:Z$25)</f>
        <v>0</v>
      </c>
      <c r="Z120">
        <f>SUMIF('Как есть'!$A$17:$A$25,Доп.расчеты!$A120,'Как есть'!AA$17:AA$25)</f>
        <v>0</v>
      </c>
      <c r="AA120">
        <f>SUMIF('Как есть'!$A$17:$A$25,Доп.расчеты!$A120,'Как есть'!AB$17:AB$25)</f>
        <v>0</v>
      </c>
      <c r="AB120">
        <f>SUMIF('Как есть'!$A$17:$A$25,Доп.расчеты!$A120,'Как есть'!AC$17:AC$25)</f>
        <v>0</v>
      </c>
      <c r="AC120">
        <f>SUMIF('Как есть'!$A$17:$A$25,Доп.расчеты!$A120,'Как есть'!AD$17:AD$25)</f>
        <v>0</v>
      </c>
      <c r="AD120">
        <f>SUMIF('Как есть'!$A$17:$A$25,Доп.расчеты!$A120,'Как есть'!AE$17:AE$25)</f>
        <v>0</v>
      </c>
      <c r="AE120">
        <f>SUMIF('Как есть'!$A$17:$A$25,Доп.расчеты!$A120,'Как есть'!AF$17:AF$25)</f>
        <v>0</v>
      </c>
      <c r="AF120">
        <f>SUMIF('Как есть'!$A$17:$A$25,Доп.расчеты!$A120,'Как есть'!AG$17:AG$25)</f>
        <v>0</v>
      </c>
      <c r="AG120">
        <f>SUMIF('Как есть'!$A$17:$A$25,Доп.расчеты!$A120,'Как есть'!AH$17:AH$25)</f>
        <v>0</v>
      </c>
      <c r="AH120">
        <f>SUMIF('Как есть'!$A$17:$A$25,Доп.расчеты!$A120,'Как есть'!AI$17:AI$25)</f>
        <v>0</v>
      </c>
      <c r="AI120">
        <f>SUMIF('Как есть'!$A$17:$A$25,Доп.расчеты!$A120,'Как есть'!AJ$17:AJ$25)</f>
        <v>0</v>
      </c>
      <c r="AJ120">
        <f>SUMIF('Как есть'!$A$17:$A$25,Доп.расчеты!$A120,'Как есть'!AK$17:AK$25)</f>
        <v>0</v>
      </c>
      <c r="AK120">
        <f>SUMIF('Как есть'!$A$17:$A$25,Доп.расчеты!$A120,'Как есть'!AL$17:AL$25)</f>
        <v>0</v>
      </c>
      <c r="AL120">
        <f>SUMIF('Как есть'!$A$17:$A$25,Доп.расчеты!$A120,'Как есть'!AM$17:AM$25)</f>
        <v>0</v>
      </c>
      <c r="AM120">
        <f>SUMIF('Как есть'!$A$17:$A$25,Доп.расчеты!$A120,'Как есть'!AN$17:AN$25)</f>
        <v>0</v>
      </c>
      <c r="AN120">
        <f>SUMIF('Как есть'!$A$17:$A$25,Доп.расчеты!$A120,'Как есть'!AO$17:AO$25)</f>
        <v>0</v>
      </c>
      <c r="AO120">
        <f>SUMIF('Как есть'!$A$17:$A$25,Доп.расчеты!$A120,'Как есть'!AP$17:AP$25)</f>
        <v>0</v>
      </c>
      <c r="AP120">
        <f>SUMIF('Как есть'!$A$17:$A$25,Доп.расчеты!$A120,'Как есть'!AQ$17:AQ$25)</f>
        <v>0</v>
      </c>
      <c r="AQ120">
        <f>SUMIF('Как есть'!$A$17:$A$25,Доп.расчеты!$A120,'Как есть'!AR$17:AR$25)</f>
        <v>0</v>
      </c>
      <c r="AR120">
        <f>SUMIF('Как есть'!$A$17:$A$25,Доп.расчеты!$A120,'Как есть'!AS$17:AS$25)</f>
        <v>0</v>
      </c>
      <c r="AS120">
        <f>SUMIF('Как есть'!$A$17:$A$25,Доп.расчеты!$A120,'Как есть'!AT$17:AT$25)</f>
        <v>0</v>
      </c>
      <c r="AT120">
        <f>SUMIF('Как есть'!$A$17:$A$25,Доп.расчеты!$A120,'Как есть'!AU$17:AU$25)</f>
        <v>0</v>
      </c>
      <c r="AU120">
        <f>SUMIF('Как есть'!$A$17:$A$25,Доп.расчеты!$A120,'Как есть'!AV$17:AV$25)</f>
        <v>0</v>
      </c>
      <c r="AV120">
        <f>SUMIF('Как есть'!$A$17:$A$25,Доп.расчеты!$A120,'Как есть'!AW$17:AW$25)</f>
        <v>0</v>
      </c>
      <c r="AW120">
        <f>SUMIF('Как есть'!$A$17:$A$25,Доп.расчеты!$A120,'Как есть'!AX$17:AX$25)</f>
        <v>0</v>
      </c>
      <c r="AX120">
        <f>SUMIF('Как есть'!$A$17:$A$25,Доп.расчеты!$A120,'Как есть'!AY$17:AY$25)</f>
        <v>0</v>
      </c>
      <c r="AY120">
        <f>SUMIF('Как есть'!$A$17:$A$25,Доп.расчеты!$A120,'Как есть'!AZ$17:AZ$25)</f>
        <v>0</v>
      </c>
      <c r="AZ120">
        <f>SUMIF('Как есть'!$A$17:$A$25,Доп.расчеты!$A120,'Как есть'!BA$17:BA$25)</f>
        <v>0</v>
      </c>
      <c r="BA120">
        <f>SUMIF('Как есть'!$A$17:$A$25,Доп.расчеты!$A120,'Как есть'!BB$17:BB$25)</f>
        <v>0</v>
      </c>
      <c r="BB120">
        <f>SUMIF('Как есть'!$A$17:$A$25,Доп.расчеты!$A120,'Как есть'!BC$17:BC$25)</f>
        <v>0</v>
      </c>
      <c r="BC120">
        <f>SUMIF('Как есть'!$A$17:$A$25,Доп.расчеты!$A120,'Как есть'!BD$17:BD$25)</f>
        <v>0</v>
      </c>
      <c r="BD120">
        <f>SUMIF('Как есть'!$A$17:$A$25,Доп.расчеты!$A120,'Как есть'!BE$17:BE$25)</f>
        <v>0</v>
      </c>
      <c r="BE120">
        <f>SUMIF('Как есть'!$A$17:$A$25,Доп.расчеты!$A120,'Как есть'!BF$17:BF$25)</f>
        <v>0</v>
      </c>
      <c r="BF120">
        <f>SUMIF('Как есть'!$A$17:$A$25,Доп.расчеты!$A120,'Как есть'!BG$17:BG$25)</f>
        <v>0</v>
      </c>
      <c r="BG120">
        <f>SUMIF('Как есть'!$A$17:$A$25,Доп.расчеты!$A120,'Как есть'!BH$17:BH$25)</f>
        <v>0</v>
      </c>
      <c r="BH120">
        <f>SUMIF('Как есть'!$A$17:$A$25,Доп.расчеты!$A120,'Как есть'!BI$17:BI$25)</f>
        <v>0</v>
      </c>
      <c r="BI120">
        <f>SUMIF('Как есть'!$A$17:$A$25,Доп.расчеты!$A120,'Как есть'!BJ$17:BJ$25)</f>
        <v>0</v>
      </c>
      <c r="BJ120">
        <f>SUMIF('Как есть'!$A$17:$A$25,Доп.расчеты!$A120,'Как есть'!BK$17:BK$25)</f>
        <v>0</v>
      </c>
      <c r="BK120">
        <f>SUMIF('Как есть'!$A$17:$A$25,Доп.расчеты!$A120,'Как есть'!BL$17:BL$25)</f>
        <v>0</v>
      </c>
      <c r="BL120">
        <f>SUMIF('Как есть'!$A$17:$A$25,Доп.расчеты!$A120,'Как есть'!BM$17:BM$25)</f>
        <v>0</v>
      </c>
      <c r="BM120">
        <f>SUMIF('Как есть'!$A$17:$A$25,Доп.расчеты!$A120,'Как есть'!BN$17:BN$25)</f>
        <v>0</v>
      </c>
      <c r="BN120">
        <f>SUMIF('Как есть'!$A$17:$A$25,Доп.расчеты!$A120,'Как есть'!BO$17:BO$25)</f>
        <v>0</v>
      </c>
      <c r="BO120">
        <f>SUMIF('Как есть'!$A$17:$A$25,Доп.расчеты!$A120,'Как есть'!BP$17:BP$25)</f>
        <v>0</v>
      </c>
      <c r="BP120">
        <f>SUMIF('Как есть'!$A$17:$A$25,Доп.расчеты!$A120,'Как есть'!BQ$17:BQ$25)</f>
        <v>0</v>
      </c>
      <c r="BQ120">
        <f>SUMIF('Как есть'!$A$17:$A$25,Доп.расчеты!$A120,'Как есть'!BR$17:BR$25)</f>
        <v>0</v>
      </c>
      <c r="BR120">
        <f>SUMIF('Как есть'!$A$17:$A$25,Доп.расчеты!$A120,'Как есть'!BS$17:BS$25)</f>
        <v>0</v>
      </c>
      <c r="BS120">
        <f>SUMIF('Как есть'!$A$17:$A$25,Доп.расчеты!$A120,'Как есть'!BT$17:BT$25)</f>
        <v>0</v>
      </c>
      <c r="BT120">
        <f>SUMIF('Как есть'!$A$17:$A$25,Доп.расчеты!$A120,'Как есть'!BU$17:BU$25)</f>
        <v>0</v>
      </c>
      <c r="BU120">
        <f>SUMIF('Как есть'!$A$17:$A$25,Доп.расчеты!$A120,'Как есть'!BV$17:BV$25)</f>
        <v>0</v>
      </c>
      <c r="BV120">
        <f>SUMIF('Как есть'!$A$17:$A$25,Доп.расчеты!$A120,'Как есть'!BW$17:BW$25)</f>
        <v>0</v>
      </c>
      <c r="BW120">
        <f>SUMIF('Как есть'!$A$17:$A$25,Доп.расчеты!$A120,'Как есть'!BX$17:BX$25)</f>
        <v>0</v>
      </c>
      <c r="BX120">
        <f>SUMIF('Как есть'!$A$17:$A$25,Доп.расчеты!$A120,'Как есть'!BY$17:BY$25)</f>
        <v>0</v>
      </c>
      <c r="BY120">
        <f>SUMIF('Как есть'!$A$17:$A$25,Доп.расчеты!$A120,'Как есть'!BZ$17:BZ$25)</f>
        <v>0</v>
      </c>
      <c r="BZ120">
        <f>SUMIF('Как есть'!$A$17:$A$25,Доп.расчеты!$A120,'Как есть'!CA$17:CA$25)</f>
        <v>0</v>
      </c>
      <c r="CA120">
        <f>SUMIF('Как есть'!$A$17:$A$25,Доп.расчеты!$A120,'Как есть'!CB$17:CB$25)</f>
        <v>0</v>
      </c>
      <c r="CB120">
        <f>SUMIF('Как есть'!$A$17:$A$25,Доп.расчеты!$A120,'Как есть'!CC$17:CC$25)</f>
        <v>0</v>
      </c>
      <c r="CC120">
        <f>SUMIF('Как есть'!$A$17:$A$25,Доп.расчеты!$A120,'Как есть'!CD$17:CD$25)</f>
        <v>0</v>
      </c>
      <c r="CD120">
        <f>SUMIF('Как есть'!$A$17:$A$25,Доп.расчеты!$A120,'Как есть'!CE$17:CE$25)</f>
        <v>0</v>
      </c>
      <c r="CE120">
        <f>SUMIF('Как есть'!$A$17:$A$25,Доп.расчеты!$A120,'Как есть'!CF$17:CF$25)</f>
        <v>0</v>
      </c>
      <c r="CF120">
        <f>SUMIF('Как есть'!$A$17:$A$25,Доп.расчеты!$A120,'Как есть'!CG$17:CG$25)</f>
        <v>0</v>
      </c>
      <c r="CG120">
        <f>SUMIF('Как есть'!$A$17:$A$25,Доп.расчеты!$A120,'Как есть'!CH$17:CH$25)</f>
        <v>0</v>
      </c>
      <c r="CH120">
        <f>SUMIF('Как есть'!$A$17:$A$25,Доп.расчеты!$A120,'Как есть'!CI$17:CI$25)</f>
        <v>0</v>
      </c>
      <c r="CI120">
        <f>SUMIF('Как есть'!$A$17:$A$25,Доп.расчеты!$A120,'Как есть'!CJ$17:CJ$25)</f>
        <v>0</v>
      </c>
      <c r="CJ120">
        <f>SUMIF('Как есть'!$A$17:$A$25,Доп.расчеты!$A120,'Как есть'!CK$17:CK$25)</f>
        <v>0</v>
      </c>
      <c r="CK120">
        <f>SUMIF('Как есть'!$A$17:$A$25,Доп.расчеты!$A120,'Как есть'!CL$17:CL$25)</f>
        <v>0</v>
      </c>
      <c r="CL120">
        <f>SUMIF('Как есть'!$A$17:$A$25,Доп.расчеты!$A120,'Как есть'!CM$17:CM$25)</f>
        <v>0</v>
      </c>
      <c r="CM120">
        <f>SUMIF('Как есть'!$A$17:$A$25,Доп.расчеты!$A120,'Как есть'!CN$17:CN$25)</f>
        <v>0</v>
      </c>
      <c r="CN120">
        <f>SUMIF('Как есть'!$A$17:$A$25,Доп.расчеты!$A120,'Как есть'!CO$17:CO$25)</f>
        <v>0</v>
      </c>
      <c r="CO120">
        <f>SUMIF('Как есть'!$A$17:$A$25,Доп.расчеты!$A120,'Как есть'!CP$17:CP$25)</f>
        <v>0</v>
      </c>
      <c r="CP120">
        <f>SUMIF('Как есть'!$A$17:$A$25,Доп.расчеты!$A120,'Как есть'!CQ$17:CQ$25)</f>
        <v>0</v>
      </c>
      <c r="CQ120">
        <f>SUMIF('Как есть'!$A$17:$A$25,Доп.расчеты!$A120,'Как есть'!CR$17:CR$25)</f>
        <v>0</v>
      </c>
      <c r="CR120">
        <f>SUMIF('Как есть'!$A$17:$A$25,Доп.расчеты!$A120,'Как есть'!CS$17:CS$25)</f>
        <v>0</v>
      </c>
      <c r="CS120">
        <f>SUMIF('Как есть'!$A$17:$A$25,Доп.расчеты!$A120,'Как есть'!CT$17:CT$25)</f>
        <v>0</v>
      </c>
      <c r="CT120">
        <f>SUMIF('Как есть'!$A$17:$A$25,Доп.расчеты!$A120,'Как есть'!CU$17:CU$25)</f>
        <v>0</v>
      </c>
      <c r="CU120">
        <f>SUMIF('Как есть'!$A$17:$A$25,Доп.расчеты!$A120,'Как есть'!CV$17:CV$25)</f>
        <v>0</v>
      </c>
      <c r="CV120">
        <f>SUMIF('Как есть'!$A$17:$A$25,Доп.расчеты!$A120,'Как есть'!CW$17:CW$25)</f>
        <v>0</v>
      </c>
      <c r="CW120">
        <f>SUMIF('Как есть'!$A$17:$A$25,Доп.расчеты!$A120,'Как есть'!CX$17:CX$25)</f>
        <v>0</v>
      </c>
      <c r="CX120">
        <f>SUMIF('Как есть'!$A$17:$A$25,Доп.расчеты!$A120,'Как есть'!CY$17:CY$25)</f>
        <v>0</v>
      </c>
      <c r="CY120">
        <f>SUMIF('Как есть'!$A$17:$A$25,Доп.расчеты!$A120,'Как есть'!CZ$17:CZ$25)</f>
        <v>0</v>
      </c>
      <c r="CZ120">
        <f>SUMIF('Как есть'!$A$17:$A$25,Доп.расчеты!$A120,'Как есть'!DA$17:DA$25)</f>
        <v>0</v>
      </c>
      <c r="DA120">
        <f>SUMIF('Как есть'!$A$17:$A$25,Доп.расчеты!$A120,'Как есть'!DB$17:DB$25)</f>
        <v>0</v>
      </c>
      <c r="DB120">
        <f>SUMIF('Как есть'!$A$17:$A$25,Доп.расчеты!$A120,'Как есть'!DC$17:DC$25)</f>
        <v>0</v>
      </c>
      <c r="DC120">
        <f>SUMIF('Как есть'!$A$17:$A$25,Доп.расчеты!$A120,'Как есть'!DD$17:DD$25)</f>
        <v>0</v>
      </c>
      <c r="DD120">
        <f>SUMIF('Как есть'!$A$17:$A$25,Доп.расчеты!$A120,'Как есть'!DE$17:DE$25)</f>
        <v>0</v>
      </c>
      <c r="DE120">
        <f>SUMIF('Как есть'!$A$17:$A$25,Доп.расчеты!$A120,'Как есть'!DF$17:DF$25)</f>
        <v>0</v>
      </c>
      <c r="DF120">
        <f>SUMIF('Как есть'!$A$17:$A$25,Доп.расчеты!$A120,'Как есть'!DG$17:DG$25)</f>
        <v>0</v>
      </c>
      <c r="DG120">
        <f>SUMIF('Как есть'!$A$17:$A$25,Доп.расчеты!$A120,'Как есть'!DH$17:DH$25)</f>
        <v>0</v>
      </c>
      <c r="DH120">
        <f>SUMIF('Как есть'!$A$17:$A$25,Доп.расчеты!$A120,'Как есть'!DI$17:DI$25)</f>
        <v>0</v>
      </c>
      <c r="DI120">
        <f>SUMIF('Как есть'!$A$17:$A$25,Доп.расчеты!$A120,'Как есть'!DJ$17:DJ$25)</f>
        <v>0</v>
      </c>
      <c r="DJ120">
        <f>SUMIF('Как есть'!$A$17:$A$25,Доп.расчеты!$A120,'Как есть'!DK$17:DK$25)</f>
        <v>0</v>
      </c>
      <c r="DK120">
        <f>SUMIF('Как есть'!$A$17:$A$25,Доп.расчеты!$A120,'Как есть'!DL$17:DL$25)</f>
        <v>0</v>
      </c>
      <c r="DL120">
        <f>SUMIF('Как есть'!$A$17:$A$25,Доп.расчеты!$A120,'Как есть'!DM$17:DM$25)</f>
        <v>0</v>
      </c>
      <c r="DM120">
        <f>SUMIF('Как есть'!$A$17:$A$25,Доп.расчеты!$A120,'Как есть'!DN$17:DN$25)</f>
        <v>0</v>
      </c>
      <c r="DN120">
        <f>SUMIF('Как есть'!$A$17:$A$25,Доп.расчеты!$A120,'Как есть'!DO$17:DO$25)</f>
        <v>0</v>
      </c>
      <c r="DO120">
        <f>SUMIF('Как есть'!$A$17:$A$25,Доп.расчеты!$A120,'Как есть'!DP$17:DP$25)</f>
        <v>0</v>
      </c>
      <c r="DP120">
        <f>SUMIF('Как есть'!$A$17:$A$25,Доп.расчеты!$A120,'Как есть'!DQ$17:DQ$25)</f>
        <v>0</v>
      </c>
      <c r="DQ120">
        <f>SUMIF('Как есть'!$A$17:$A$25,Доп.расчеты!$A120,'Как есть'!DR$17:DR$25)</f>
        <v>0</v>
      </c>
      <c r="DR120">
        <f>SUMIF('Как есть'!$A$17:$A$25,Доп.расчеты!$A120,'Как есть'!DS$17:DS$25)</f>
        <v>0</v>
      </c>
      <c r="DS120">
        <f>SUMIF('Как есть'!$A$17:$A$25,Доп.расчеты!$A120,'Как есть'!DT$17:DT$25)</f>
        <v>0</v>
      </c>
      <c r="DT120">
        <f>SUMIF('Как есть'!$A$17:$A$25,Доп.расчеты!$A120,'Как есть'!DU$17:DU$25)</f>
        <v>0</v>
      </c>
      <c r="DU120">
        <f>SUMIF('Как есть'!$A$17:$A$25,Доп.расчеты!$A120,'Как есть'!DV$17:DV$25)</f>
        <v>0</v>
      </c>
      <c r="DV120">
        <f>SUMIF('Как есть'!$A$17:$A$25,Доп.расчеты!$A120,'Как есть'!DW$17:DW$25)</f>
        <v>0</v>
      </c>
      <c r="DW120">
        <f>SUMIF('Как есть'!$A$17:$A$25,Доп.расчеты!$A120,'Как есть'!DX$17:DX$25)</f>
        <v>0</v>
      </c>
      <c r="DX120">
        <f>SUMIF('Как есть'!$A$17:$A$25,Доп.расчеты!$A120,'Как есть'!DY$17:DY$25)</f>
        <v>0</v>
      </c>
      <c r="DY120">
        <f>SUMIF('Как есть'!$A$17:$A$25,Доп.расчеты!$A120,'Как есть'!DZ$17:DZ$25)</f>
        <v>0</v>
      </c>
      <c r="DZ120">
        <f>SUMIF('Как есть'!$A$17:$A$25,Доп.расчеты!$A120,'Как есть'!EA$17:EA$25)</f>
        <v>0</v>
      </c>
      <c r="EA120">
        <f>SUMIF('Как есть'!$A$17:$A$25,Доп.расчеты!$A120,'Как есть'!EB$17:EB$25)</f>
        <v>0</v>
      </c>
      <c r="EB120">
        <f>SUMIF('Как есть'!$A$17:$A$25,Доп.расчеты!$A120,'Как есть'!EC$17:EC$25)</f>
        <v>0</v>
      </c>
      <c r="EC120">
        <f>SUMIF('Как есть'!$A$17:$A$25,Доп.расчеты!$A120,'Как есть'!ED$17:ED$25)</f>
        <v>0</v>
      </c>
      <c r="ED120">
        <f>SUMIF('Как есть'!$A$17:$A$25,Доп.расчеты!$A120,'Как есть'!EE$17:EE$25)</f>
        <v>0</v>
      </c>
      <c r="EE120">
        <f>SUMIF('Как есть'!$A$17:$A$25,Доп.расчеты!$A120,'Как есть'!EF$17:EF$25)</f>
        <v>0</v>
      </c>
      <c r="EF120">
        <f>SUMIF('Как есть'!$A$17:$A$25,Доп.расчеты!$A120,'Как есть'!EG$17:EG$25)</f>
        <v>0</v>
      </c>
      <c r="EG120">
        <f>SUMIF('Как есть'!$A$17:$A$25,Доп.расчеты!$A120,'Как есть'!EH$17:EH$25)</f>
        <v>0</v>
      </c>
      <c r="EH120">
        <f>SUMIF('Как есть'!$A$17:$A$25,Доп.расчеты!$A120,'Как есть'!EI$17:EI$25)</f>
        <v>0</v>
      </c>
      <c r="EI120">
        <f>SUMIF('Как есть'!$A$17:$A$25,Доп.расчеты!$A120,'Как есть'!EJ$17:EJ$25)</f>
        <v>0</v>
      </c>
      <c r="EJ120">
        <f>SUMIF('Как есть'!$A$17:$A$25,Доп.расчеты!$A120,'Как есть'!EK$17:EK$25)</f>
        <v>0</v>
      </c>
      <c r="EK120">
        <f>SUMIF('Как есть'!$A$17:$A$25,Доп.расчеты!$A120,'Как есть'!EL$17:EL$25)</f>
        <v>0</v>
      </c>
      <c r="EL120">
        <f>SUMIF('Как есть'!$A$17:$A$25,Доп.расчеты!$A120,'Как есть'!EM$17:EM$25)</f>
        <v>0</v>
      </c>
      <c r="EM120">
        <f>SUMIF('Как есть'!$A$17:$A$25,Доп.расчеты!$A120,'Как есть'!EN$17:EN$25)</f>
        <v>0</v>
      </c>
      <c r="EN120">
        <f>SUMIF('Как есть'!$A$17:$A$25,Доп.расчеты!$A120,'Как есть'!EO$17:EO$25)</f>
        <v>0</v>
      </c>
      <c r="EO120">
        <f>SUMIF('Как есть'!$A$17:$A$25,Доп.расчеты!$A120,'Как есть'!EP$17:EP$25)</f>
        <v>0</v>
      </c>
      <c r="EP120">
        <f>SUMIF('Как есть'!$A$17:$A$25,Доп.расчеты!$A120,'Как есть'!EQ$17:EQ$25)</f>
        <v>0</v>
      </c>
      <c r="EQ120">
        <f>SUMIF('Как есть'!$A$17:$A$25,Доп.расчеты!$A120,'Как есть'!ER$17:ER$25)</f>
        <v>0</v>
      </c>
      <c r="ER120">
        <f>SUMIF('Как есть'!$A$17:$A$25,Доп.расчеты!$A120,'Как есть'!ES$17:ES$25)</f>
        <v>0</v>
      </c>
      <c r="ES120">
        <f>SUMIF('Как есть'!$A$17:$A$25,Доп.расчеты!$A120,'Как есть'!ET$17:ET$25)</f>
        <v>0</v>
      </c>
      <c r="ET120">
        <f>SUMIF('Как есть'!$A$17:$A$25,Доп.расчеты!$A120,'Как есть'!EU$17:EU$25)</f>
        <v>0</v>
      </c>
      <c r="EU120">
        <f>SUMIF('Как есть'!$A$17:$A$25,Доп.расчеты!$A120,'Как есть'!EV$17:EV$25)</f>
        <v>0</v>
      </c>
      <c r="EV120">
        <f>SUMIF('Как есть'!$A$17:$A$25,Доп.расчеты!$A120,'Как есть'!EW$17:EW$25)</f>
        <v>0</v>
      </c>
      <c r="EW120">
        <f>SUMIF('Как есть'!$A$17:$A$25,Доп.расчеты!$A120,'Как есть'!EX$17:EX$25)</f>
        <v>0</v>
      </c>
      <c r="EX120">
        <f>SUMIF('Как есть'!$A$17:$A$25,Доп.расчеты!$A120,'Как есть'!EY$17:EY$25)</f>
        <v>0</v>
      </c>
      <c r="EY120">
        <f>SUMIF('Как есть'!$A$17:$A$25,Доп.расчеты!$A120,'Как есть'!EZ$17:EZ$25)</f>
        <v>0</v>
      </c>
      <c r="EZ120">
        <f>SUMIF('Как есть'!$A$17:$A$25,Доп.расчеты!$A120,'Как есть'!FA$17:FA$25)</f>
        <v>0</v>
      </c>
      <c r="FA120">
        <f>SUMIF('Как есть'!$A$17:$A$25,Доп.расчеты!$A120,'Как есть'!FB$17:FB$25)</f>
        <v>0</v>
      </c>
      <c r="FB120">
        <f>SUMIF('Как есть'!$A$17:$A$25,Доп.расчеты!$A120,'Как есть'!FC$17:FC$25)</f>
        <v>0</v>
      </c>
      <c r="FC120">
        <f>SUMIF('Как есть'!$A$17:$A$25,Доп.расчеты!$A120,'Как есть'!FD$17:FD$25)</f>
        <v>0</v>
      </c>
      <c r="FD120">
        <f>SUMIF('Как есть'!$A$17:$A$25,Доп.расчеты!$A120,'Как есть'!FE$17:FE$25)</f>
        <v>0</v>
      </c>
      <c r="FE120">
        <f>SUMIF('Как есть'!$A$17:$A$25,Доп.расчеты!$A120,'Как есть'!FF$17:FF$25)</f>
        <v>0</v>
      </c>
      <c r="FF120">
        <f>SUMIF('Как есть'!$A$17:$A$25,Доп.расчеты!$A120,'Как есть'!FG$17:FG$25)</f>
        <v>0</v>
      </c>
      <c r="FG120">
        <f>SUMIF('Как есть'!$A$17:$A$25,Доп.расчеты!$A120,'Как есть'!FH$17:FH$25)</f>
        <v>0</v>
      </c>
      <c r="FH120">
        <f>SUMIF('Как есть'!$A$17:$A$25,Доп.расчеты!$A120,'Как есть'!FI$17:FI$25)</f>
        <v>0</v>
      </c>
      <c r="FI120">
        <f>SUMIF('Как есть'!$A$17:$A$25,Доп.расчеты!$A120,'Как есть'!FJ$17:FJ$25)</f>
        <v>0</v>
      </c>
      <c r="FJ120">
        <f>SUMIF('Как есть'!$A$17:$A$25,Доп.расчеты!$A120,'Как есть'!FK$17:FK$25)</f>
        <v>0</v>
      </c>
      <c r="FK120">
        <f>SUMIF('Как есть'!$A$17:$A$25,Доп.расчеты!$A120,'Как есть'!FL$17:FL$25)</f>
        <v>0</v>
      </c>
      <c r="FL120">
        <f>SUMIF('Как есть'!$A$17:$A$25,Доп.расчеты!$A120,'Как есть'!FM$17:FM$25)</f>
        <v>0</v>
      </c>
      <c r="FM120">
        <f>SUMIF('Как есть'!$A$17:$A$25,Доп.расчеты!$A120,'Как есть'!FN$17:FN$25)</f>
        <v>0</v>
      </c>
      <c r="FN120">
        <f>SUMIF('Как есть'!$A$17:$A$25,Доп.расчеты!$A120,'Как есть'!FO$17:FO$25)</f>
        <v>0</v>
      </c>
      <c r="FO120">
        <f>SUMIF('Как есть'!$A$17:$A$25,Доп.расчеты!$A120,'Как есть'!FP$17:FP$25)</f>
        <v>0</v>
      </c>
      <c r="FP120">
        <f>SUMIF('Как есть'!$A$17:$A$25,Доп.расчеты!$A120,'Как есть'!FQ$17:FQ$25)</f>
        <v>0</v>
      </c>
      <c r="FQ120">
        <f>SUMIF('Как есть'!$A$17:$A$25,Доп.расчеты!$A120,'Как есть'!FR$17:FR$25)</f>
        <v>0</v>
      </c>
      <c r="FR120">
        <f>SUMIF('Как есть'!$A$17:$A$25,Доп.расчеты!$A120,'Как есть'!FS$17:FS$25)</f>
        <v>0</v>
      </c>
      <c r="FS120">
        <f>SUMIF('Как есть'!$A$17:$A$25,Доп.расчеты!$A120,'Как есть'!FT$17:FT$25)</f>
        <v>0</v>
      </c>
      <c r="FT120">
        <f>SUMIF('Как есть'!$A$17:$A$25,Доп.расчеты!$A120,'Как есть'!FU$17:FU$25)</f>
        <v>0</v>
      </c>
      <c r="FU120">
        <f>SUMIF('Как есть'!$A$17:$A$25,Доп.расчеты!$A120,'Как есть'!FV$17:FV$25)</f>
        <v>0</v>
      </c>
      <c r="FV120">
        <f>SUMIF('Как есть'!$A$17:$A$25,Доп.расчеты!$A120,'Как есть'!FW$17:FW$25)</f>
        <v>0</v>
      </c>
      <c r="FW120">
        <f>SUMIF('Как есть'!$A$17:$A$25,Доп.расчеты!$A120,'Как есть'!FX$17:FX$25)</f>
        <v>0</v>
      </c>
      <c r="FX120">
        <f>SUMIF('Как есть'!$A$17:$A$25,Доп.расчеты!$A120,'Как есть'!FY$17:FY$25)</f>
        <v>0</v>
      </c>
      <c r="FY120">
        <f>SUMIF('Как есть'!$A$17:$A$25,Доп.расчеты!$A120,'Как есть'!FZ$17:FZ$25)</f>
        <v>0</v>
      </c>
      <c r="FZ120">
        <f>SUMIF('Как есть'!$A$17:$A$25,Доп.расчеты!$A120,'Как есть'!GA$17:GA$25)</f>
        <v>0</v>
      </c>
      <c r="GA120">
        <f>SUMIF('Как есть'!$A$17:$A$25,Доп.расчеты!$A120,'Как есть'!GB$17:GB$25)</f>
        <v>0</v>
      </c>
      <c r="GB120">
        <f>SUMIF('Как есть'!$A$17:$A$25,Доп.расчеты!$A120,'Как есть'!GC$17:GC$25)</f>
        <v>0</v>
      </c>
      <c r="GC120">
        <f>SUMIF('Как есть'!$A$17:$A$25,Доп.расчеты!$A120,'Как есть'!GD$17:GD$25)</f>
        <v>0</v>
      </c>
      <c r="GD120">
        <f>SUMIF('Как есть'!$A$17:$A$25,Доп.расчеты!$A120,'Как есть'!GE$17:GE$25)</f>
        <v>0</v>
      </c>
      <c r="GE120">
        <f>SUMIF('Как есть'!$A$17:$A$25,Доп.расчеты!$A120,'Как есть'!GF$17:GF$25)</f>
        <v>0</v>
      </c>
      <c r="GF120">
        <f>SUMIF('Как есть'!$A$17:$A$25,Доп.расчеты!$A120,'Как есть'!GG$17:GG$25)</f>
        <v>0</v>
      </c>
      <c r="GG120">
        <f>SUMIF('Как есть'!$A$17:$A$25,Доп.расчеты!$A120,'Как есть'!GH$17:GH$25)</f>
        <v>0</v>
      </c>
      <c r="GH120">
        <f>SUMIF('Как есть'!$A$17:$A$25,Доп.расчеты!$A120,'Как есть'!GI$17:GI$25)</f>
        <v>0</v>
      </c>
      <c r="GI120">
        <f>SUMIF('Как есть'!$A$17:$A$25,Доп.расчеты!$A120,'Как есть'!GJ$17:GJ$25)</f>
        <v>0</v>
      </c>
      <c r="GJ120">
        <f>SUMIF('Как есть'!$A$17:$A$25,Доп.расчеты!$A120,'Как есть'!GK$17:GK$25)</f>
        <v>0</v>
      </c>
      <c r="GK120">
        <f>SUMIF('Как есть'!$A$17:$A$25,Доп.расчеты!$A120,'Как есть'!GL$17:GL$25)</f>
        <v>0</v>
      </c>
      <c r="GL120">
        <f>SUMIF('Как есть'!$A$17:$A$25,Доп.расчеты!$A120,'Как есть'!GM$17:GM$25)</f>
        <v>0</v>
      </c>
      <c r="GM120">
        <f>SUMIF('Как есть'!$A$17:$A$25,Доп.расчеты!$A120,'Как есть'!GN$17:GN$25)</f>
        <v>0</v>
      </c>
      <c r="GN120">
        <f>SUMIF('Как есть'!$A$17:$A$25,Доп.расчеты!$A120,'Как есть'!GO$17:GO$25)</f>
        <v>0</v>
      </c>
      <c r="GO120">
        <f>SUMIF('Как есть'!$A$17:$A$25,Доп.расчеты!$A120,'Как есть'!GP$17:GP$25)</f>
        <v>0</v>
      </c>
      <c r="GP120">
        <f>SUMIF('Как есть'!$A$17:$A$25,Доп.расчеты!$A120,'Как есть'!GQ$17:GQ$25)</f>
        <v>0</v>
      </c>
      <c r="GQ120">
        <f>SUMIF('Как есть'!$A$17:$A$25,Доп.расчеты!$A120,'Как есть'!GR$17:GR$25)</f>
        <v>0</v>
      </c>
      <c r="GR120">
        <f>SUMIF('Как есть'!$A$17:$A$25,Доп.расчеты!$A120,'Как есть'!GS$17:GS$25)</f>
        <v>0</v>
      </c>
      <c r="GS120">
        <f>SUMIF('Как есть'!$A$17:$A$25,Доп.расчеты!$A120,'Как есть'!GT$17:GT$25)</f>
        <v>0</v>
      </c>
      <c r="GT120">
        <f>SUMIF('Как есть'!$A$17:$A$25,Доп.расчеты!$A120,'Как есть'!GU$17:GU$25)</f>
        <v>0</v>
      </c>
    </row>
    <row r="121" spans="1:202" hidden="1" outlineLevel="1">
      <c r="A121" s="238" t="s">
        <v>99</v>
      </c>
      <c r="B121">
        <f>SUMIF('Как есть'!$A$17:$A$25,Доп.расчеты!$A121,'Как есть'!C$17:C$25)</f>
        <v>0</v>
      </c>
      <c r="C121">
        <f>SUMIF('Как есть'!$A$17:$A$25,Доп.расчеты!$A121,'Как есть'!D$17:D$25)</f>
        <v>0</v>
      </c>
      <c r="D121">
        <f>SUMIF('Как есть'!$A$17:$A$25,Доп.расчеты!$A121,'Как есть'!E$17:E$25)</f>
        <v>0</v>
      </c>
      <c r="E121">
        <f>SUMIF('Как есть'!$A$17:$A$25,Доп.расчеты!$A121,'Как есть'!F$17:F$25)</f>
        <v>0</v>
      </c>
      <c r="F121">
        <f>SUMIF('Как есть'!$A$17:$A$25,Доп.расчеты!$A121,'Как есть'!G$17:G$25)</f>
        <v>0</v>
      </c>
      <c r="G121">
        <f>SUMIF('Как есть'!$A$17:$A$25,Доп.расчеты!$A121,'Как есть'!H$17:H$25)</f>
        <v>0</v>
      </c>
      <c r="H121">
        <f>SUMIF('Как есть'!$A$17:$A$25,Доп.расчеты!$A121,'Как есть'!I$17:I$25)</f>
        <v>0</v>
      </c>
      <c r="I121">
        <f>SUMIF('Как есть'!$A$17:$A$25,Доп.расчеты!$A121,'Как есть'!J$17:J$25)</f>
        <v>0</v>
      </c>
      <c r="J121">
        <f>SUMIF('Как есть'!$A$17:$A$25,Доп.расчеты!$A121,'Как есть'!K$17:K$25)</f>
        <v>0</v>
      </c>
      <c r="K121">
        <f>SUMIF('Как есть'!$A$17:$A$25,Доп.расчеты!$A121,'Как есть'!L$17:L$25)</f>
        <v>0</v>
      </c>
      <c r="L121">
        <f>SUMIF('Как есть'!$A$17:$A$25,Доп.расчеты!$A121,'Как есть'!M$17:M$25)</f>
        <v>0</v>
      </c>
      <c r="M121">
        <f>SUMIF('Как есть'!$A$17:$A$25,Доп.расчеты!$A121,'Как есть'!N$17:N$25)</f>
        <v>0</v>
      </c>
      <c r="N121">
        <f>SUMIF('Как есть'!$A$17:$A$25,Доп.расчеты!$A121,'Как есть'!O$17:O$25)</f>
        <v>0</v>
      </c>
      <c r="O121">
        <f>SUMIF('Как есть'!$A$17:$A$25,Доп.расчеты!$A121,'Как есть'!P$17:P$25)</f>
        <v>0</v>
      </c>
      <c r="P121">
        <f>SUMIF('Как есть'!$A$17:$A$25,Доп.расчеты!$A121,'Как есть'!Q$17:Q$25)</f>
        <v>0</v>
      </c>
      <c r="Q121">
        <f>SUMIF('Как есть'!$A$17:$A$25,Доп.расчеты!$A121,'Как есть'!R$17:R$25)</f>
        <v>0</v>
      </c>
      <c r="R121">
        <f>SUMIF('Как есть'!$A$17:$A$25,Доп.расчеты!$A121,'Как есть'!S$17:S$25)</f>
        <v>0</v>
      </c>
      <c r="S121">
        <f>SUMIF('Как есть'!$A$17:$A$25,Доп.расчеты!$A121,'Как есть'!T$17:T$25)</f>
        <v>0</v>
      </c>
      <c r="T121">
        <f>SUMIF('Как есть'!$A$17:$A$25,Доп.расчеты!$A121,'Как есть'!U$17:U$25)</f>
        <v>0</v>
      </c>
      <c r="U121">
        <f>SUMIF('Как есть'!$A$17:$A$25,Доп.расчеты!$A121,'Как есть'!V$17:V$25)</f>
        <v>0</v>
      </c>
      <c r="V121">
        <f>SUMIF('Как есть'!$A$17:$A$25,Доп.расчеты!$A121,'Как есть'!W$17:W$25)</f>
        <v>0</v>
      </c>
      <c r="W121">
        <f>SUMIF('Как есть'!$A$17:$A$25,Доп.расчеты!$A121,'Как есть'!X$17:X$25)</f>
        <v>0</v>
      </c>
      <c r="X121">
        <f>SUMIF('Как есть'!$A$17:$A$25,Доп.расчеты!$A121,'Как есть'!Y$17:Y$25)</f>
        <v>0</v>
      </c>
      <c r="Y121">
        <f>SUMIF('Как есть'!$A$17:$A$25,Доп.расчеты!$A121,'Как есть'!Z$17:Z$25)</f>
        <v>0</v>
      </c>
      <c r="Z121">
        <f>SUMIF('Как есть'!$A$17:$A$25,Доп.расчеты!$A121,'Как есть'!AA$17:AA$25)</f>
        <v>0</v>
      </c>
      <c r="AA121">
        <f>SUMIF('Как есть'!$A$17:$A$25,Доп.расчеты!$A121,'Как есть'!AB$17:AB$25)</f>
        <v>0</v>
      </c>
      <c r="AB121">
        <f>SUMIF('Как есть'!$A$17:$A$25,Доп.расчеты!$A121,'Как есть'!AC$17:AC$25)</f>
        <v>0</v>
      </c>
      <c r="AC121">
        <f>SUMIF('Как есть'!$A$17:$A$25,Доп.расчеты!$A121,'Как есть'!AD$17:AD$25)</f>
        <v>0</v>
      </c>
      <c r="AD121">
        <f>SUMIF('Как есть'!$A$17:$A$25,Доп.расчеты!$A121,'Как есть'!AE$17:AE$25)</f>
        <v>0</v>
      </c>
      <c r="AE121">
        <f>SUMIF('Как есть'!$A$17:$A$25,Доп.расчеты!$A121,'Как есть'!AF$17:AF$25)</f>
        <v>0</v>
      </c>
      <c r="AF121">
        <f>SUMIF('Как есть'!$A$17:$A$25,Доп.расчеты!$A121,'Как есть'!AG$17:AG$25)</f>
        <v>0</v>
      </c>
      <c r="AG121">
        <f>SUMIF('Как есть'!$A$17:$A$25,Доп.расчеты!$A121,'Как есть'!AH$17:AH$25)</f>
        <v>0</v>
      </c>
      <c r="AH121">
        <f>SUMIF('Как есть'!$A$17:$A$25,Доп.расчеты!$A121,'Как есть'!AI$17:AI$25)</f>
        <v>0</v>
      </c>
      <c r="AI121">
        <f>SUMIF('Как есть'!$A$17:$A$25,Доп.расчеты!$A121,'Как есть'!AJ$17:AJ$25)</f>
        <v>0</v>
      </c>
      <c r="AJ121">
        <f>SUMIF('Как есть'!$A$17:$A$25,Доп.расчеты!$A121,'Как есть'!AK$17:AK$25)</f>
        <v>0</v>
      </c>
      <c r="AK121">
        <f>SUMIF('Как есть'!$A$17:$A$25,Доп.расчеты!$A121,'Как есть'!AL$17:AL$25)</f>
        <v>0</v>
      </c>
      <c r="AL121">
        <f>SUMIF('Как есть'!$A$17:$A$25,Доп.расчеты!$A121,'Как есть'!AM$17:AM$25)</f>
        <v>0</v>
      </c>
      <c r="AM121">
        <f>SUMIF('Как есть'!$A$17:$A$25,Доп.расчеты!$A121,'Как есть'!AN$17:AN$25)</f>
        <v>0</v>
      </c>
      <c r="AN121">
        <f>SUMIF('Как есть'!$A$17:$A$25,Доп.расчеты!$A121,'Как есть'!AO$17:AO$25)</f>
        <v>0</v>
      </c>
      <c r="AO121">
        <f>SUMIF('Как есть'!$A$17:$A$25,Доп.расчеты!$A121,'Как есть'!AP$17:AP$25)</f>
        <v>0</v>
      </c>
      <c r="AP121">
        <f>SUMIF('Как есть'!$A$17:$A$25,Доп.расчеты!$A121,'Как есть'!AQ$17:AQ$25)</f>
        <v>0</v>
      </c>
      <c r="AQ121">
        <f>SUMIF('Как есть'!$A$17:$A$25,Доп.расчеты!$A121,'Как есть'!AR$17:AR$25)</f>
        <v>0</v>
      </c>
      <c r="AR121">
        <f>SUMIF('Как есть'!$A$17:$A$25,Доп.расчеты!$A121,'Как есть'!AS$17:AS$25)</f>
        <v>0</v>
      </c>
      <c r="AS121">
        <f>SUMIF('Как есть'!$A$17:$A$25,Доп.расчеты!$A121,'Как есть'!AT$17:AT$25)</f>
        <v>0</v>
      </c>
      <c r="AT121">
        <f>SUMIF('Как есть'!$A$17:$A$25,Доп.расчеты!$A121,'Как есть'!AU$17:AU$25)</f>
        <v>0</v>
      </c>
      <c r="AU121">
        <f>SUMIF('Как есть'!$A$17:$A$25,Доп.расчеты!$A121,'Как есть'!AV$17:AV$25)</f>
        <v>0</v>
      </c>
      <c r="AV121">
        <f>SUMIF('Как есть'!$A$17:$A$25,Доп.расчеты!$A121,'Как есть'!AW$17:AW$25)</f>
        <v>0</v>
      </c>
      <c r="AW121">
        <f>SUMIF('Как есть'!$A$17:$A$25,Доп.расчеты!$A121,'Как есть'!AX$17:AX$25)</f>
        <v>0</v>
      </c>
      <c r="AX121">
        <f>SUMIF('Как есть'!$A$17:$A$25,Доп.расчеты!$A121,'Как есть'!AY$17:AY$25)</f>
        <v>0</v>
      </c>
      <c r="AY121">
        <f>SUMIF('Как есть'!$A$17:$A$25,Доп.расчеты!$A121,'Как есть'!AZ$17:AZ$25)</f>
        <v>0</v>
      </c>
      <c r="AZ121">
        <f>SUMIF('Как есть'!$A$17:$A$25,Доп.расчеты!$A121,'Как есть'!BA$17:BA$25)</f>
        <v>0</v>
      </c>
      <c r="BA121">
        <f>SUMIF('Как есть'!$A$17:$A$25,Доп.расчеты!$A121,'Как есть'!BB$17:BB$25)</f>
        <v>0</v>
      </c>
      <c r="BB121">
        <f>SUMIF('Как есть'!$A$17:$A$25,Доп.расчеты!$A121,'Как есть'!BC$17:BC$25)</f>
        <v>0</v>
      </c>
      <c r="BC121">
        <f>SUMIF('Как есть'!$A$17:$A$25,Доп.расчеты!$A121,'Как есть'!BD$17:BD$25)</f>
        <v>0</v>
      </c>
      <c r="BD121">
        <f>SUMIF('Как есть'!$A$17:$A$25,Доп.расчеты!$A121,'Как есть'!BE$17:BE$25)</f>
        <v>0</v>
      </c>
      <c r="BE121">
        <f>SUMIF('Как есть'!$A$17:$A$25,Доп.расчеты!$A121,'Как есть'!BF$17:BF$25)</f>
        <v>0</v>
      </c>
      <c r="BF121">
        <f>SUMIF('Как есть'!$A$17:$A$25,Доп.расчеты!$A121,'Как есть'!BG$17:BG$25)</f>
        <v>0</v>
      </c>
      <c r="BG121">
        <f>SUMIF('Как есть'!$A$17:$A$25,Доп.расчеты!$A121,'Как есть'!BH$17:BH$25)</f>
        <v>0</v>
      </c>
      <c r="BH121">
        <f>SUMIF('Как есть'!$A$17:$A$25,Доп.расчеты!$A121,'Как есть'!BI$17:BI$25)</f>
        <v>0</v>
      </c>
      <c r="BI121">
        <f>SUMIF('Как есть'!$A$17:$A$25,Доп.расчеты!$A121,'Как есть'!BJ$17:BJ$25)</f>
        <v>0</v>
      </c>
      <c r="BJ121">
        <f>SUMIF('Как есть'!$A$17:$A$25,Доп.расчеты!$A121,'Как есть'!BK$17:BK$25)</f>
        <v>0</v>
      </c>
      <c r="BK121">
        <f>SUMIF('Как есть'!$A$17:$A$25,Доп.расчеты!$A121,'Как есть'!BL$17:BL$25)</f>
        <v>0</v>
      </c>
      <c r="BL121">
        <f>SUMIF('Как есть'!$A$17:$A$25,Доп.расчеты!$A121,'Как есть'!BM$17:BM$25)</f>
        <v>0</v>
      </c>
      <c r="BM121">
        <f>SUMIF('Как есть'!$A$17:$A$25,Доп.расчеты!$A121,'Как есть'!BN$17:BN$25)</f>
        <v>0</v>
      </c>
      <c r="BN121">
        <f>SUMIF('Как есть'!$A$17:$A$25,Доп.расчеты!$A121,'Как есть'!BO$17:BO$25)</f>
        <v>0</v>
      </c>
      <c r="BO121">
        <f>SUMIF('Как есть'!$A$17:$A$25,Доп.расчеты!$A121,'Как есть'!BP$17:BP$25)</f>
        <v>0</v>
      </c>
      <c r="BP121">
        <f>SUMIF('Как есть'!$A$17:$A$25,Доп.расчеты!$A121,'Как есть'!BQ$17:BQ$25)</f>
        <v>0</v>
      </c>
      <c r="BQ121">
        <f>SUMIF('Как есть'!$A$17:$A$25,Доп.расчеты!$A121,'Как есть'!BR$17:BR$25)</f>
        <v>0</v>
      </c>
      <c r="BR121">
        <f>SUMIF('Как есть'!$A$17:$A$25,Доп.расчеты!$A121,'Как есть'!BS$17:BS$25)</f>
        <v>0</v>
      </c>
      <c r="BS121">
        <f>SUMIF('Как есть'!$A$17:$A$25,Доп.расчеты!$A121,'Как есть'!BT$17:BT$25)</f>
        <v>0</v>
      </c>
      <c r="BT121">
        <f>SUMIF('Как есть'!$A$17:$A$25,Доп.расчеты!$A121,'Как есть'!BU$17:BU$25)</f>
        <v>0</v>
      </c>
      <c r="BU121">
        <f>SUMIF('Как есть'!$A$17:$A$25,Доп.расчеты!$A121,'Как есть'!BV$17:BV$25)</f>
        <v>0</v>
      </c>
      <c r="BV121">
        <f>SUMIF('Как есть'!$A$17:$A$25,Доп.расчеты!$A121,'Как есть'!BW$17:BW$25)</f>
        <v>0</v>
      </c>
      <c r="BW121">
        <f>SUMIF('Как есть'!$A$17:$A$25,Доп.расчеты!$A121,'Как есть'!BX$17:BX$25)</f>
        <v>0</v>
      </c>
      <c r="BX121">
        <f>SUMIF('Как есть'!$A$17:$A$25,Доп.расчеты!$A121,'Как есть'!BY$17:BY$25)</f>
        <v>0</v>
      </c>
      <c r="BY121">
        <f>SUMIF('Как есть'!$A$17:$A$25,Доп.расчеты!$A121,'Как есть'!BZ$17:BZ$25)</f>
        <v>0</v>
      </c>
      <c r="BZ121">
        <f>SUMIF('Как есть'!$A$17:$A$25,Доп.расчеты!$A121,'Как есть'!CA$17:CA$25)</f>
        <v>0</v>
      </c>
      <c r="CA121">
        <f>SUMIF('Как есть'!$A$17:$A$25,Доп.расчеты!$A121,'Как есть'!CB$17:CB$25)</f>
        <v>0</v>
      </c>
      <c r="CB121">
        <f>SUMIF('Как есть'!$A$17:$A$25,Доп.расчеты!$A121,'Как есть'!CC$17:CC$25)</f>
        <v>0</v>
      </c>
      <c r="CC121">
        <f>SUMIF('Как есть'!$A$17:$A$25,Доп.расчеты!$A121,'Как есть'!CD$17:CD$25)</f>
        <v>0</v>
      </c>
      <c r="CD121">
        <f>SUMIF('Как есть'!$A$17:$A$25,Доп.расчеты!$A121,'Как есть'!CE$17:CE$25)</f>
        <v>0</v>
      </c>
      <c r="CE121">
        <f>SUMIF('Как есть'!$A$17:$A$25,Доп.расчеты!$A121,'Как есть'!CF$17:CF$25)</f>
        <v>0</v>
      </c>
      <c r="CF121">
        <f>SUMIF('Как есть'!$A$17:$A$25,Доп.расчеты!$A121,'Как есть'!CG$17:CG$25)</f>
        <v>0</v>
      </c>
      <c r="CG121">
        <f>SUMIF('Как есть'!$A$17:$A$25,Доп.расчеты!$A121,'Как есть'!CH$17:CH$25)</f>
        <v>0</v>
      </c>
      <c r="CH121">
        <f>SUMIF('Как есть'!$A$17:$A$25,Доп.расчеты!$A121,'Как есть'!CI$17:CI$25)</f>
        <v>0</v>
      </c>
      <c r="CI121">
        <f>SUMIF('Как есть'!$A$17:$A$25,Доп.расчеты!$A121,'Как есть'!CJ$17:CJ$25)</f>
        <v>0</v>
      </c>
      <c r="CJ121">
        <f>SUMIF('Как есть'!$A$17:$A$25,Доп.расчеты!$A121,'Как есть'!CK$17:CK$25)</f>
        <v>0</v>
      </c>
      <c r="CK121">
        <f>SUMIF('Как есть'!$A$17:$A$25,Доп.расчеты!$A121,'Как есть'!CL$17:CL$25)</f>
        <v>0</v>
      </c>
      <c r="CL121">
        <f>SUMIF('Как есть'!$A$17:$A$25,Доп.расчеты!$A121,'Как есть'!CM$17:CM$25)</f>
        <v>0</v>
      </c>
      <c r="CM121">
        <f>SUMIF('Как есть'!$A$17:$A$25,Доп.расчеты!$A121,'Как есть'!CN$17:CN$25)</f>
        <v>0</v>
      </c>
      <c r="CN121">
        <f>SUMIF('Как есть'!$A$17:$A$25,Доп.расчеты!$A121,'Как есть'!CO$17:CO$25)</f>
        <v>0</v>
      </c>
      <c r="CO121">
        <f>SUMIF('Как есть'!$A$17:$A$25,Доп.расчеты!$A121,'Как есть'!CP$17:CP$25)</f>
        <v>0</v>
      </c>
      <c r="CP121">
        <f>SUMIF('Как есть'!$A$17:$A$25,Доп.расчеты!$A121,'Как есть'!CQ$17:CQ$25)</f>
        <v>0</v>
      </c>
      <c r="CQ121">
        <f>SUMIF('Как есть'!$A$17:$A$25,Доп.расчеты!$A121,'Как есть'!CR$17:CR$25)</f>
        <v>0</v>
      </c>
      <c r="CR121">
        <f>SUMIF('Как есть'!$A$17:$A$25,Доп.расчеты!$A121,'Как есть'!CS$17:CS$25)</f>
        <v>0</v>
      </c>
      <c r="CS121">
        <f>SUMIF('Как есть'!$A$17:$A$25,Доп.расчеты!$A121,'Как есть'!CT$17:CT$25)</f>
        <v>0</v>
      </c>
      <c r="CT121">
        <f>SUMIF('Как есть'!$A$17:$A$25,Доп.расчеты!$A121,'Как есть'!CU$17:CU$25)</f>
        <v>0</v>
      </c>
      <c r="CU121">
        <f>SUMIF('Как есть'!$A$17:$A$25,Доп.расчеты!$A121,'Как есть'!CV$17:CV$25)</f>
        <v>0</v>
      </c>
      <c r="CV121">
        <f>SUMIF('Как есть'!$A$17:$A$25,Доп.расчеты!$A121,'Как есть'!CW$17:CW$25)</f>
        <v>0</v>
      </c>
      <c r="CW121">
        <f>SUMIF('Как есть'!$A$17:$A$25,Доп.расчеты!$A121,'Как есть'!CX$17:CX$25)</f>
        <v>0</v>
      </c>
      <c r="CX121">
        <f>SUMIF('Как есть'!$A$17:$A$25,Доп.расчеты!$A121,'Как есть'!CY$17:CY$25)</f>
        <v>0</v>
      </c>
      <c r="CY121">
        <f>SUMIF('Как есть'!$A$17:$A$25,Доп.расчеты!$A121,'Как есть'!CZ$17:CZ$25)</f>
        <v>0</v>
      </c>
      <c r="CZ121">
        <f>SUMIF('Как есть'!$A$17:$A$25,Доп.расчеты!$A121,'Как есть'!DA$17:DA$25)</f>
        <v>0</v>
      </c>
      <c r="DA121">
        <f>SUMIF('Как есть'!$A$17:$A$25,Доп.расчеты!$A121,'Как есть'!DB$17:DB$25)</f>
        <v>0</v>
      </c>
      <c r="DB121">
        <f>SUMIF('Как есть'!$A$17:$A$25,Доп.расчеты!$A121,'Как есть'!DC$17:DC$25)</f>
        <v>0</v>
      </c>
      <c r="DC121">
        <f>SUMIF('Как есть'!$A$17:$A$25,Доп.расчеты!$A121,'Как есть'!DD$17:DD$25)</f>
        <v>0</v>
      </c>
      <c r="DD121">
        <f>SUMIF('Как есть'!$A$17:$A$25,Доп.расчеты!$A121,'Как есть'!DE$17:DE$25)</f>
        <v>0</v>
      </c>
      <c r="DE121">
        <f>SUMIF('Как есть'!$A$17:$A$25,Доп.расчеты!$A121,'Как есть'!DF$17:DF$25)</f>
        <v>0</v>
      </c>
      <c r="DF121">
        <f>SUMIF('Как есть'!$A$17:$A$25,Доп.расчеты!$A121,'Как есть'!DG$17:DG$25)</f>
        <v>0</v>
      </c>
      <c r="DG121">
        <f>SUMIF('Как есть'!$A$17:$A$25,Доп.расчеты!$A121,'Как есть'!DH$17:DH$25)</f>
        <v>0</v>
      </c>
      <c r="DH121">
        <f>SUMIF('Как есть'!$A$17:$A$25,Доп.расчеты!$A121,'Как есть'!DI$17:DI$25)</f>
        <v>0</v>
      </c>
      <c r="DI121">
        <f>SUMIF('Как есть'!$A$17:$A$25,Доп.расчеты!$A121,'Как есть'!DJ$17:DJ$25)</f>
        <v>0</v>
      </c>
      <c r="DJ121">
        <f>SUMIF('Как есть'!$A$17:$A$25,Доп.расчеты!$A121,'Как есть'!DK$17:DK$25)</f>
        <v>0</v>
      </c>
      <c r="DK121">
        <f>SUMIF('Как есть'!$A$17:$A$25,Доп.расчеты!$A121,'Как есть'!DL$17:DL$25)</f>
        <v>0</v>
      </c>
      <c r="DL121">
        <f>SUMIF('Как есть'!$A$17:$A$25,Доп.расчеты!$A121,'Как есть'!DM$17:DM$25)</f>
        <v>0</v>
      </c>
      <c r="DM121">
        <f>SUMIF('Как есть'!$A$17:$A$25,Доп.расчеты!$A121,'Как есть'!DN$17:DN$25)</f>
        <v>0</v>
      </c>
      <c r="DN121">
        <f>SUMIF('Как есть'!$A$17:$A$25,Доп.расчеты!$A121,'Как есть'!DO$17:DO$25)</f>
        <v>0</v>
      </c>
      <c r="DO121">
        <f>SUMIF('Как есть'!$A$17:$A$25,Доп.расчеты!$A121,'Как есть'!DP$17:DP$25)</f>
        <v>0</v>
      </c>
      <c r="DP121">
        <f>SUMIF('Как есть'!$A$17:$A$25,Доп.расчеты!$A121,'Как есть'!DQ$17:DQ$25)</f>
        <v>0</v>
      </c>
      <c r="DQ121">
        <f>SUMIF('Как есть'!$A$17:$A$25,Доп.расчеты!$A121,'Как есть'!DR$17:DR$25)</f>
        <v>0</v>
      </c>
      <c r="DR121">
        <f>SUMIF('Как есть'!$A$17:$A$25,Доп.расчеты!$A121,'Как есть'!DS$17:DS$25)</f>
        <v>0</v>
      </c>
      <c r="DS121">
        <f>SUMIF('Как есть'!$A$17:$A$25,Доп.расчеты!$A121,'Как есть'!DT$17:DT$25)</f>
        <v>0</v>
      </c>
      <c r="DT121">
        <f>SUMIF('Как есть'!$A$17:$A$25,Доп.расчеты!$A121,'Как есть'!DU$17:DU$25)</f>
        <v>0</v>
      </c>
      <c r="DU121">
        <f>SUMIF('Как есть'!$A$17:$A$25,Доп.расчеты!$A121,'Как есть'!DV$17:DV$25)</f>
        <v>0</v>
      </c>
      <c r="DV121">
        <f>SUMIF('Как есть'!$A$17:$A$25,Доп.расчеты!$A121,'Как есть'!DW$17:DW$25)</f>
        <v>0</v>
      </c>
      <c r="DW121">
        <f>SUMIF('Как есть'!$A$17:$A$25,Доп.расчеты!$A121,'Как есть'!DX$17:DX$25)</f>
        <v>0</v>
      </c>
      <c r="DX121">
        <f>SUMIF('Как есть'!$A$17:$A$25,Доп.расчеты!$A121,'Как есть'!DY$17:DY$25)</f>
        <v>0</v>
      </c>
      <c r="DY121">
        <f>SUMIF('Как есть'!$A$17:$A$25,Доп.расчеты!$A121,'Как есть'!DZ$17:DZ$25)</f>
        <v>0</v>
      </c>
      <c r="DZ121">
        <f>SUMIF('Как есть'!$A$17:$A$25,Доп.расчеты!$A121,'Как есть'!EA$17:EA$25)</f>
        <v>0</v>
      </c>
      <c r="EA121">
        <f>SUMIF('Как есть'!$A$17:$A$25,Доп.расчеты!$A121,'Как есть'!EB$17:EB$25)</f>
        <v>0</v>
      </c>
      <c r="EB121">
        <f>SUMIF('Как есть'!$A$17:$A$25,Доп.расчеты!$A121,'Как есть'!EC$17:EC$25)</f>
        <v>0</v>
      </c>
      <c r="EC121">
        <f>SUMIF('Как есть'!$A$17:$A$25,Доп.расчеты!$A121,'Как есть'!ED$17:ED$25)</f>
        <v>0</v>
      </c>
      <c r="ED121">
        <f>SUMIF('Как есть'!$A$17:$A$25,Доп.расчеты!$A121,'Как есть'!EE$17:EE$25)</f>
        <v>0</v>
      </c>
      <c r="EE121">
        <f>SUMIF('Как есть'!$A$17:$A$25,Доп.расчеты!$A121,'Как есть'!EF$17:EF$25)</f>
        <v>0</v>
      </c>
      <c r="EF121">
        <f>SUMIF('Как есть'!$A$17:$A$25,Доп.расчеты!$A121,'Как есть'!EG$17:EG$25)</f>
        <v>0</v>
      </c>
      <c r="EG121">
        <f>SUMIF('Как есть'!$A$17:$A$25,Доп.расчеты!$A121,'Как есть'!EH$17:EH$25)</f>
        <v>0</v>
      </c>
      <c r="EH121">
        <f>SUMIF('Как есть'!$A$17:$A$25,Доп.расчеты!$A121,'Как есть'!EI$17:EI$25)</f>
        <v>0</v>
      </c>
      <c r="EI121">
        <f>SUMIF('Как есть'!$A$17:$A$25,Доп.расчеты!$A121,'Как есть'!EJ$17:EJ$25)</f>
        <v>0</v>
      </c>
      <c r="EJ121">
        <f>SUMIF('Как есть'!$A$17:$A$25,Доп.расчеты!$A121,'Как есть'!EK$17:EK$25)</f>
        <v>0</v>
      </c>
      <c r="EK121">
        <f>SUMIF('Как есть'!$A$17:$A$25,Доп.расчеты!$A121,'Как есть'!EL$17:EL$25)</f>
        <v>0</v>
      </c>
      <c r="EL121">
        <f>SUMIF('Как есть'!$A$17:$A$25,Доп.расчеты!$A121,'Как есть'!EM$17:EM$25)</f>
        <v>0</v>
      </c>
      <c r="EM121">
        <f>SUMIF('Как есть'!$A$17:$A$25,Доп.расчеты!$A121,'Как есть'!EN$17:EN$25)</f>
        <v>0</v>
      </c>
      <c r="EN121">
        <f>SUMIF('Как есть'!$A$17:$A$25,Доп.расчеты!$A121,'Как есть'!EO$17:EO$25)</f>
        <v>0</v>
      </c>
      <c r="EO121">
        <f>SUMIF('Как есть'!$A$17:$A$25,Доп.расчеты!$A121,'Как есть'!EP$17:EP$25)</f>
        <v>0</v>
      </c>
      <c r="EP121">
        <f>SUMIF('Как есть'!$A$17:$A$25,Доп.расчеты!$A121,'Как есть'!EQ$17:EQ$25)</f>
        <v>0</v>
      </c>
      <c r="EQ121">
        <f>SUMIF('Как есть'!$A$17:$A$25,Доп.расчеты!$A121,'Как есть'!ER$17:ER$25)</f>
        <v>0</v>
      </c>
      <c r="ER121">
        <f>SUMIF('Как есть'!$A$17:$A$25,Доп.расчеты!$A121,'Как есть'!ES$17:ES$25)</f>
        <v>0</v>
      </c>
      <c r="ES121">
        <f>SUMIF('Как есть'!$A$17:$A$25,Доп.расчеты!$A121,'Как есть'!ET$17:ET$25)</f>
        <v>0</v>
      </c>
      <c r="ET121">
        <f>SUMIF('Как есть'!$A$17:$A$25,Доп.расчеты!$A121,'Как есть'!EU$17:EU$25)</f>
        <v>0</v>
      </c>
      <c r="EU121">
        <f>SUMIF('Как есть'!$A$17:$A$25,Доп.расчеты!$A121,'Как есть'!EV$17:EV$25)</f>
        <v>0</v>
      </c>
      <c r="EV121">
        <f>SUMIF('Как есть'!$A$17:$A$25,Доп.расчеты!$A121,'Как есть'!EW$17:EW$25)</f>
        <v>0</v>
      </c>
      <c r="EW121">
        <f>SUMIF('Как есть'!$A$17:$A$25,Доп.расчеты!$A121,'Как есть'!EX$17:EX$25)</f>
        <v>0</v>
      </c>
      <c r="EX121">
        <f>SUMIF('Как есть'!$A$17:$A$25,Доп.расчеты!$A121,'Как есть'!EY$17:EY$25)</f>
        <v>0</v>
      </c>
      <c r="EY121">
        <f>SUMIF('Как есть'!$A$17:$A$25,Доп.расчеты!$A121,'Как есть'!EZ$17:EZ$25)</f>
        <v>0</v>
      </c>
      <c r="EZ121">
        <f>SUMIF('Как есть'!$A$17:$A$25,Доп.расчеты!$A121,'Как есть'!FA$17:FA$25)</f>
        <v>0</v>
      </c>
      <c r="FA121">
        <f>SUMIF('Как есть'!$A$17:$A$25,Доп.расчеты!$A121,'Как есть'!FB$17:FB$25)</f>
        <v>0</v>
      </c>
      <c r="FB121">
        <f>SUMIF('Как есть'!$A$17:$A$25,Доп.расчеты!$A121,'Как есть'!FC$17:FC$25)</f>
        <v>0</v>
      </c>
      <c r="FC121">
        <f>SUMIF('Как есть'!$A$17:$A$25,Доп.расчеты!$A121,'Как есть'!FD$17:FD$25)</f>
        <v>0</v>
      </c>
      <c r="FD121">
        <f>SUMIF('Как есть'!$A$17:$A$25,Доп.расчеты!$A121,'Как есть'!FE$17:FE$25)</f>
        <v>0</v>
      </c>
      <c r="FE121">
        <f>SUMIF('Как есть'!$A$17:$A$25,Доп.расчеты!$A121,'Как есть'!FF$17:FF$25)</f>
        <v>0</v>
      </c>
      <c r="FF121">
        <f>SUMIF('Как есть'!$A$17:$A$25,Доп.расчеты!$A121,'Как есть'!FG$17:FG$25)</f>
        <v>0</v>
      </c>
      <c r="FG121">
        <f>SUMIF('Как есть'!$A$17:$A$25,Доп.расчеты!$A121,'Как есть'!FH$17:FH$25)</f>
        <v>0</v>
      </c>
      <c r="FH121">
        <f>SUMIF('Как есть'!$A$17:$A$25,Доп.расчеты!$A121,'Как есть'!FI$17:FI$25)</f>
        <v>0</v>
      </c>
      <c r="FI121">
        <f>SUMIF('Как есть'!$A$17:$A$25,Доп.расчеты!$A121,'Как есть'!FJ$17:FJ$25)</f>
        <v>0</v>
      </c>
      <c r="FJ121">
        <f>SUMIF('Как есть'!$A$17:$A$25,Доп.расчеты!$A121,'Как есть'!FK$17:FK$25)</f>
        <v>0</v>
      </c>
      <c r="FK121">
        <f>SUMIF('Как есть'!$A$17:$A$25,Доп.расчеты!$A121,'Как есть'!FL$17:FL$25)</f>
        <v>0</v>
      </c>
      <c r="FL121">
        <f>SUMIF('Как есть'!$A$17:$A$25,Доп.расчеты!$A121,'Как есть'!FM$17:FM$25)</f>
        <v>0</v>
      </c>
      <c r="FM121">
        <f>SUMIF('Как есть'!$A$17:$A$25,Доп.расчеты!$A121,'Как есть'!FN$17:FN$25)</f>
        <v>0</v>
      </c>
      <c r="FN121">
        <f>SUMIF('Как есть'!$A$17:$A$25,Доп.расчеты!$A121,'Как есть'!FO$17:FO$25)</f>
        <v>0</v>
      </c>
      <c r="FO121">
        <f>SUMIF('Как есть'!$A$17:$A$25,Доп.расчеты!$A121,'Как есть'!FP$17:FP$25)</f>
        <v>0</v>
      </c>
      <c r="FP121">
        <f>SUMIF('Как есть'!$A$17:$A$25,Доп.расчеты!$A121,'Как есть'!FQ$17:FQ$25)</f>
        <v>0</v>
      </c>
      <c r="FQ121">
        <f>SUMIF('Как есть'!$A$17:$A$25,Доп.расчеты!$A121,'Как есть'!FR$17:FR$25)</f>
        <v>0</v>
      </c>
      <c r="FR121">
        <f>SUMIF('Как есть'!$A$17:$A$25,Доп.расчеты!$A121,'Как есть'!FS$17:FS$25)</f>
        <v>0</v>
      </c>
      <c r="FS121">
        <f>SUMIF('Как есть'!$A$17:$A$25,Доп.расчеты!$A121,'Как есть'!FT$17:FT$25)</f>
        <v>0</v>
      </c>
      <c r="FT121">
        <f>SUMIF('Как есть'!$A$17:$A$25,Доп.расчеты!$A121,'Как есть'!FU$17:FU$25)</f>
        <v>0</v>
      </c>
      <c r="FU121">
        <f>SUMIF('Как есть'!$A$17:$A$25,Доп.расчеты!$A121,'Как есть'!FV$17:FV$25)</f>
        <v>0</v>
      </c>
      <c r="FV121">
        <f>SUMIF('Как есть'!$A$17:$A$25,Доп.расчеты!$A121,'Как есть'!FW$17:FW$25)</f>
        <v>0</v>
      </c>
      <c r="FW121">
        <f>SUMIF('Как есть'!$A$17:$A$25,Доп.расчеты!$A121,'Как есть'!FX$17:FX$25)</f>
        <v>0</v>
      </c>
      <c r="FX121">
        <f>SUMIF('Как есть'!$A$17:$A$25,Доп.расчеты!$A121,'Как есть'!FY$17:FY$25)</f>
        <v>0</v>
      </c>
      <c r="FY121">
        <f>SUMIF('Как есть'!$A$17:$A$25,Доп.расчеты!$A121,'Как есть'!FZ$17:FZ$25)</f>
        <v>0</v>
      </c>
      <c r="FZ121">
        <f>SUMIF('Как есть'!$A$17:$A$25,Доп.расчеты!$A121,'Как есть'!GA$17:GA$25)</f>
        <v>0</v>
      </c>
      <c r="GA121">
        <f>SUMIF('Как есть'!$A$17:$A$25,Доп.расчеты!$A121,'Как есть'!GB$17:GB$25)</f>
        <v>0</v>
      </c>
      <c r="GB121">
        <f>SUMIF('Как есть'!$A$17:$A$25,Доп.расчеты!$A121,'Как есть'!GC$17:GC$25)</f>
        <v>0</v>
      </c>
      <c r="GC121">
        <f>SUMIF('Как есть'!$A$17:$A$25,Доп.расчеты!$A121,'Как есть'!GD$17:GD$25)</f>
        <v>0</v>
      </c>
      <c r="GD121">
        <f>SUMIF('Как есть'!$A$17:$A$25,Доп.расчеты!$A121,'Как есть'!GE$17:GE$25)</f>
        <v>0</v>
      </c>
      <c r="GE121">
        <f>SUMIF('Как есть'!$A$17:$A$25,Доп.расчеты!$A121,'Как есть'!GF$17:GF$25)</f>
        <v>0</v>
      </c>
      <c r="GF121">
        <f>SUMIF('Как есть'!$A$17:$A$25,Доп.расчеты!$A121,'Как есть'!GG$17:GG$25)</f>
        <v>0</v>
      </c>
      <c r="GG121">
        <f>SUMIF('Как есть'!$A$17:$A$25,Доп.расчеты!$A121,'Как есть'!GH$17:GH$25)</f>
        <v>0</v>
      </c>
      <c r="GH121">
        <f>SUMIF('Как есть'!$A$17:$A$25,Доп.расчеты!$A121,'Как есть'!GI$17:GI$25)</f>
        <v>0</v>
      </c>
      <c r="GI121">
        <f>SUMIF('Как есть'!$A$17:$A$25,Доп.расчеты!$A121,'Как есть'!GJ$17:GJ$25)</f>
        <v>0</v>
      </c>
      <c r="GJ121">
        <f>SUMIF('Как есть'!$A$17:$A$25,Доп.расчеты!$A121,'Как есть'!GK$17:GK$25)</f>
        <v>0</v>
      </c>
      <c r="GK121">
        <f>SUMIF('Как есть'!$A$17:$A$25,Доп.расчеты!$A121,'Как есть'!GL$17:GL$25)</f>
        <v>0</v>
      </c>
      <c r="GL121">
        <f>SUMIF('Как есть'!$A$17:$A$25,Доп.расчеты!$A121,'Как есть'!GM$17:GM$25)</f>
        <v>0</v>
      </c>
      <c r="GM121">
        <f>SUMIF('Как есть'!$A$17:$A$25,Доп.расчеты!$A121,'Как есть'!GN$17:GN$25)</f>
        <v>0</v>
      </c>
      <c r="GN121">
        <f>SUMIF('Как есть'!$A$17:$A$25,Доп.расчеты!$A121,'Как есть'!GO$17:GO$25)</f>
        <v>0</v>
      </c>
      <c r="GO121">
        <f>SUMIF('Как есть'!$A$17:$A$25,Доп.расчеты!$A121,'Как есть'!GP$17:GP$25)</f>
        <v>0</v>
      </c>
      <c r="GP121">
        <f>SUMIF('Как есть'!$A$17:$A$25,Доп.расчеты!$A121,'Как есть'!GQ$17:GQ$25)</f>
        <v>0</v>
      </c>
      <c r="GQ121">
        <f>SUMIF('Как есть'!$A$17:$A$25,Доп.расчеты!$A121,'Как есть'!GR$17:GR$25)</f>
        <v>0</v>
      </c>
      <c r="GR121">
        <f>SUMIF('Как есть'!$A$17:$A$25,Доп.расчеты!$A121,'Как есть'!GS$17:GS$25)</f>
        <v>0</v>
      </c>
      <c r="GS121">
        <f>SUMIF('Как есть'!$A$17:$A$25,Доп.расчеты!$A121,'Как есть'!GT$17:GT$25)</f>
        <v>0</v>
      </c>
      <c r="GT121">
        <f>SUMIF('Как есть'!$A$17:$A$25,Доп.расчеты!$A121,'Как есть'!GU$17:GU$25)</f>
        <v>0</v>
      </c>
    </row>
    <row r="122" spans="1:202" hidden="1" outlineLevel="1">
      <c r="A122" s="238" t="s">
        <v>100</v>
      </c>
      <c r="B122">
        <f>SUMIF('Как есть'!$A$17:$A$25,Доп.расчеты!$A122,'Как есть'!C$17:C$25)</f>
        <v>0</v>
      </c>
      <c r="C122">
        <f>SUMIF('Как есть'!$A$17:$A$25,Доп.расчеты!$A122,'Как есть'!D$17:D$25)</f>
        <v>0</v>
      </c>
      <c r="D122">
        <f>SUMIF('Как есть'!$A$17:$A$25,Доп.расчеты!$A122,'Как есть'!E$17:E$25)</f>
        <v>0</v>
      </c>
      <c r="E122">
        <f>SUMIF('Как есть'!$A$17:$A$25,Доп.расчеты!$A122,'Как есть'!F$17:F$25)</f>
        <v>0</v>
      </c>
      <c r="F122">
        <f>SUMIF('Как есть'!$A$17:$A$25,Доп.расчеты!$A122,'Как есть'!G$17:G$25)</f>
        <v>0</v>
      </c>
      <c r="G122">
        <f>SUMIF('Как есть'!$A$17:$A$25,Доп.расчеты!$A122,'Как есть'!H$17:H$25)</f>
        <v>0</v>
      </c>
      <c r="H122">
        <f>SUMIF('Как есть'!$A$17:$A$25,Доп.расчеты!$A122,'Как есть'!I$17:I$25)</f>
        <v>0</v>
      </c>
      <c r="I122">
        <f>SUMIF('Как есть'!$A$17:$A$25,Доп.расчеты!$A122,'Как есть'!J$17:J$25)</f>
        <v>0</v>
      </c>
      <c r="J122">
        <f>SUMIF('Как есть'!$A$17:$A$25,Доп.расчеты!$A122,'Как есть'!K$17:K$25)</f>
        <v>0</v>
      </c>
      <c r="K122">
        <f>SUMIF('Как есть'!$A$17:$A$25,Доп.расчеты!$A122,'Как есть'!L$17:L$25)</f>
        <v>0</v>
      </c>
      <c r="L122">
        <f>SUMIF('Как есть'!$A$17:$A$25,Доп.расчеты!$A122,'Как есть'!M$17:M$25)</f>
        <v>0</v>
      </c>
      <c r="M122">
        <f>SUMIF('Как есть'!$A$17:$A$25,Доп.расчеты!$A122,'Как есть'!N$17:N$25)</f>
        <v>0</v>
      </c>
      <c r="N122">
        <f>SUMIF('Как есть'!$A$17:$A$25,Доп.расчеты!$A122,'Как есть'!O$17:O$25)</f>
        <v>0</v>
      </c>
      <c r="O122">
        <f>SUMIF('Как есть'!$A$17:$A$25,Доп.расчеты!$A122,'Как есть'!P$17:P$25)</f>
        <v>0</v>
      </c>
      <c r="P122">
        <f>SUMIF('Как есть'!$A$17:$A$25,Доп.расчеты!$A122,'Как есть'!Q$17:Q$25)</f>
        <v>0</v>
      </c>
      <c r="Q122">
        <f>SUMIF('Как есть'!$A$17:$A$25,Доп.расчеты!$A122,'Как есть'!R$17:R$25)</f>
        <v>0</v>
      </c>
      <c r="R122">
        <f>SUMIF('Как есть'!$A$17:$A$25,Доп.расчеты!$A122,'Как есть'!S$17:S$25)</f>
        <v>0</v>
      </c>
      <c r="S122">
        <f>SUMIF('Как есть'!$A$17:$A$25,Доп.расчеты!$A122,'Как есть'!T$17:T$25)</f>
        <v>0</v>
      </c>
      <c r="T122">
        <f>SUMIF('Как есть'!$A$17:$A$25,Доп.расчеты!$A122,'Как есть'!U$17:U$25)</f>
        <v>0</v>
      </c>
      <c r="U122">
        <f>SUMIF('Как есть'!$A$17:$A$25,Доп.расчеты!$A122,'Как есть'!V$17:V$25)</f>
        <v>0</v>
      </c>
      <c r="V122">
        <f>SUMIF('Как есть'!$A$17:$A$25,Доп.расчеты!$A122,'Как есть'!W$17:W$25)</f>
        <v>0</v>
      </c>
      <c r="W122">
        <f>SUMIF('Как есть'!$A$17:$A$25,Доп.расчеты!$A122,'Как есть'!X$17:X$25)</f>
        <v>0</v>
      </c>
      <c r="X122">
        <f>SUMIF('Как есть'!$A$17:$A$25,Доп.расчеты!$A122,'Как есть'!Y$17:Y$25)</f>
        <v>0</v>
      </c>
      <c r="Y122">
        <f>SUMIF('Как есть'!$A$17:$A$25,Доп.расчеты!$A122,'Как есть'!Z$17:Z$25)</f>
        <v>0</v>
      </c>
      <c r="Z122">
        <f>SUMIF('Как есть'!$A$17:$A$25,Доп.расчеты!$A122,'Как есть'!AA$17:AA$25)</f>
        <v>0</v>
      </c>
      <c r="AA122">
        <f>SUMIF('Как есть'!$A$17:$A$25,Доп.расчеты!$A122,'Как есть'!AB$17:AB$25)</f>
        <v>0</v>
      </c>
      <c r="AB122">
        <f>SUMIF('Как есть'!$A$17:$A$25,Доп.расчеты!$A122,'Как есть'!AC$17:AC$25)</f>
        <v>0</v>
      </c>
      <c r="AC122">
        <f>SUMIF('Как есть'!$A$17:$A$25,Доп.расчеты!$A122,'Как есть'!AD$17:AD$25)</f>
        <v>0</v>
      </c>
      <c r="AD122">
        <f>SUMIF('Как есть'!$A$17:$A$25,Доп.расчеты!$A122,'Как есть'!AE$17:AE$25)</f>
        <v>0</v>
      </c>
      <c r="AE122">
        <f>SUMIF('Как есть'!$A$17:$A$25,Доп.расчеты!$A122,'Как есть'!AF$17:AF$25)</f>
        <v>0</v>
      </c>
      <c r="AF122">
        <f>SUMIF('Как есть'!$A$17:$A$25,Доп.расчеты!$A122,'Как есть'!AG$17:AG$25)</f>
        <v>0</v>
      </c>
      <c r="AG122">
        <f>SUMIF('Как есть'!$A$17:$A$25,Доп.расчеты!$A122,'Как есть'!AH$17:AH$25)</f>
        <v>0</v>
      </c>
      <c r="AH122">
        <f>SUMIF('Как есть'!$A$17:$A$25,Доп.расчеты!$A122,'Как есть'!AI$17:AI$25)</f>
        <v>0</v>
      </c>
      <c r="AI122">
        <f>SUMIF('Как есть'!$A$17:$A$25,Доп.расчеты!$A122,'Как есть'!AJ$17:AJ$25)</f>
        <v>0</v>
      </c>
      <c r="AJ122">
        <f>SUMIF('Как есть'!$A$17:$A$25,Доп.расчеты!$A122,'Как есть'!AK$17:AK$25)</f>
        <v>0</v>
      </c>
      <c r="AK122">
        <f>SUMIF('Как есть'!$A$17:$A$25,Доп.расчеты!$A122,'Как есть'!AL$17:AL$25)</f>
        <v>0</v>
      </c>
      <c r="AL122">
        <f>SUMIF('Как есть'!$A$17:$A$25,Доп.расчеты!$A122,'Как есть'!AM$17:AM$25)</f>
        <v>0</v>
      </c>
      <c r="AM122">
        <f>SUMIF('Как есть'!$A$17:$A$25,Доп.расчеты!$A122,'Как есть'!AN$17:AN$25)</f>
        <v>0</v>
      </c>
      <c r="AN122">
        <f>SUMIF('Как есть'!$A$17:$A$25,Доп.расчеты!$A122,'Как есть'!AO$17:AO$25)</f>
        <v>0</v>
      </c>
      <c r="AO122">
        <f>SUMIF('Как есть'!$A$17:$A$25,Доп.расчеты!$A122,'Как есть'!AP$17:AP$25)</f>
        <v>0</v>
      </c>
      <c r="AP122">
        <f>SUMIF('Как есть'!$A$17:$A$25,Доп.расчеты!$A122,'Как есть'!AQ$17:AQ$25)</f>
        <v>0</v>
      </c>
      <c r="AQ122">
        <f>SUMIF('Как есть'!$A$17:$A$25,Доп.расчеты!$A122,'Как есть'!AR$17:AR$25)</f>
        <v>0</v>
      </c>
      <c r="AR122">
        <f>SUMIF('Как есть'!$A$17:$A$25,Доп.расчеты!$A122,'Как есть'!AS$17:AS$25)</f>
        <v>0</v>
      </c>
      <c r="AS122">
        <f>SUMIF('Как есть'!$A$17:$A$25,Доп.расчеты!$A122,'Как есть'!AT$17:AT$25)</f>
        <v>0</v>
      </c>
      <c r="AT122">
        <f>SUMIF('Как есть'!$A$17:$A$25,Доп.расчеты!$A122,'Как есть'!AU$17:AU$25)</f>
        <v>0</v>
      </c>
      <c r="AU122">
        <f>SUMIF('Как есть'!$A$17:$A$25,Доп.расчеты!$A122,'Как есть'!AV$17:AV$25)</f>
        <v>0</v>
      </c>
      <c r="AV122">
        <f>SUMIF('Как есть'!$A$17:$A$25,Доп.расчеты!$A122,'Как есть'!AW$17:AW$25)</f>
        <v>0</v>
      </c>
      <c r="AW122">
        <f>SUMIF('Как есть'!$A$17:$A$25,Доп.расчеты!$A122,'Как есть'!AX$17:AX$25)</f>
        <v>0</v>
      </c>
      <c r="AX122">
        <f>SUMIF('Как есть'!$A$17:$A$25,Доп.расчеты!$A122,'Как есть'!AY$17:AY$25)</f>
        <v>0</v>
      </c>
      <c r="AY122">
        <f>SUMIF('Как есть'!$A$17:$A$25,Доп.расчеты!$A122,'Как есть'!AZ$17:AZ$25)</f>
        <v>0</v>
      </c>
      <c r="AZ122">
        <f>SUMIF('Как есть'!$A$17:$A$25,Доп.расчеты!$A122,'Как есть'!BA$17:BA$25)</f>
        <v>0</v>
      </c>
      <c r="BA122">
        <f>SUMIF('Как есть'!$A$17:$A$25,Доп.расчеты!$A122,'Как есть'!BB$17:BB$25)</f>
        <v>0</v>
      </c>
      <c r="BB122">
        <f>SUMIF('Как есть'!$A$17:$A$25,Доп.расчеты!$A122,'Как есть'!BC$17:BC$25)</f>
        <v>0</v>
      </c>
      <c r="BC122">
        <f>SUMIF('Как есть'!$A$17:$A$25,Доп.расчеты!$A122,'Как есть'!BD$17:BD$25)</f>
        <v>0</v>
      </c>
      <c r="BD122">
        <f>SUMIF('Как есть'!$A$17:$A$25,Доп.расчеты!$A122,'Как есть'!BE$17:BE$25)</f>
        <v>0</v>
      </c>
      <c r="BE122">
        <f>SUMIF('Как есть'!$A$17:$A$25,Доп.расчеты!$A122,'Как есть'!BF$17:BF$25)</f>
        <v>0</v>
      </c>
      <c r="BF122">
        <f>SUMIF('Как есть'!$A$17:$A$25,Доп.расчеты!$A122,'Как есть'!BG$17:BG$25)</f>
        <v>0</v>
      </c>
      <c r="BG122">
        <f>SUMIF('Как есть'!$A$17:$A$25,Доп.расчеты!$A122,'Как есть'!BH$17:BH$25)</f>
        <v>0</v>
      </c>
      <c r="BH122">
        <f>SUMIF('Как есть'!$A$17:$A$25,Доп.расчеты!$A122,'Как есть'!BI$17:BI$25)</f>
        <v>0</v>
      </c>
      <c r="BI122">
        <f>SUMIF('Как есть'!$A$17:$A$25,Доп.расчеты!$A122,'Как есть'!BJ$17:BJ$25)</f>
        <v>0</v>
      </c>
      <c r="BJ122">
        <f>SUMIF('Как есть'!$A$17:$A$25,Доп.расчеты!$A122,'Как есть'!BK$17:BK$25)</f>
        <v>0</v>
      </c>
      <c r="BK122">
        <f>SUMIF('Как есть'!$A$17:$A$25,Доп.расчеты!$A122,'Как есть'!BL$17:BL$25)</f>
        <v>0</v>
      </c>
      <c r="BL122">
        <f>SUMIF('Как есть'!$A$17:$A$25,Доп.расчеты!$A122,'Как есть'!BM$17:BM$25)</f>
        <v>0</v>
      </c>
      <c r="BM122">
        <f>SUMIF('Как есть'!$A$17:$A$25,Доп.расчеты!$A122,'Как есть'!BN$17:BN$25)</f>
        <v>0</v>
      </c>
      <c r="BN122">
        <f>SUMIF('Как есть'!$A$17:$A$25,Доп.расчеты!$A122,'Как есть'!BO$17:BO$25)</f>
        <v>0</v>
      </c>
      <c r="BO122">
        <f>SUMIF('Как есть'!$A$17:$A$25,Доп.расчеты!$A122,'Как есть'!BP$17:BP$25)</f>
        <v>0</v>
      </c>
      <c r="BP122">
        <f>SUMIF('Как есть'!$A$17:$A$25,Доп.расчеты!$A122,'Как есть'!BQ$17:BQ$25)</f>
        <v>0</v>
      </c>
      <c r="BQ122">
        <f>SUMIF('Как есть'!$A$17:$A$25,Доп.расчеты!$A122,'Как есть'!BR$17:BR$25)</f>
        <v>0</v>
      </c>
      <c r="BR122">
        <f>SUMIF('Как есть'!$A$17:$A$25,Доп.расчеты!$A122,'Как есть'!BS$17:BS$25)</f>
        <v>0</v>
      </c>
      <c r="BS122">
        <f>SUMIF('Как есть'!$A$17:$A$25,Доп.расчеты!$A122,'Как есть'!BT$17:BT$25)</f>
        <v>0</v>
      </c>
      <c r="BT122">
        <f>SUMIF('Как есть'!$A$17:$A$25,Доп.расчеты!$A122,'Как есть'!BU$17:BU$25)</f>
        <v>0</v>
      </c>
      <c r="BU122">
        <f>SUMIF('Как есть'!$A$17:$A$25,Доп.расчеты!$A122,'Как есть'!BV$17:BV$25)</f>
        <v>0</v>
      </c>
      <c r="BV122">
        <f>SUMIF('Как есть'!$A$17:$A$25,Доп.расчеты!$A122,'Как есть'!BW$17:BW$25)</f>
        <v>0</v>
      </c>
      <c r="BW122">
        <f>SUMIF('Как есть'!$A$17:$A$25,Доп.расчеты!$A122,'Как есть'!BX$17:BX$25)</f>
        <v>0</v>
      </c>
      <c r="BX122">
        <f>SUMIF('Как есть'!$A$17:$A$25,Доп.расчеты!$A122,'Как есть'!BY$17:BY$25)</f>
        <v>0</v>
      </c>
      <c r="BY122">
        <f>SUMIF('Как есть'!$A$17:$A$25,Доп.расчеты!$A122,'Как есть'!BZ$17:BZ$25)</f>
        <v>0</v>
      </c>
      <c r="BZ122">
        <f>SUMIF('Как есть'!$A$17:$A$25,Доп.расчеты!$A122,'Как есть'!CA$17:CA$25)</f>
        <v>0</v>
      </c>
      <c r="CA122">
        <f>SUMIF('Как есть'!$A$17:$A$25,Доп.расчеты!$A122,'Как есть'!CB$17:CB$25)</f>
        <v>0</v>
      </c>
      <c r="CB122">
        <f>SUMIF('Как есть'!$A$17:$A$25,Доп.расчеты!$A122,'Как есть'!CC$17:CC$25)</f>
        <v>0</v>
      </c>
      <c r="CC122">
        <f>SUMIF('Как есть'!$A$17:$A$25,Доп.расчеты!$A122,'Как есть'!CD$17:CD$25)</f>
        <v>0</v>
      </c>
      <c r="CD122">
        <f>SUMIF('Как есть'!$A$17:$A$25,Доп.расчеты!$A122,'Как есть'!CE$17:CE$25)</f>
        <v>0</v>
      </c>
      <c r="CE122">
        <f>SUMIF('Как есть'!$A$17:$A$25,Доп.расчеты!$A122,'Как есть'!CF$17:CF$25)</f>
        <v>0</v>
      </c>
      <c r="CF122">
        <f>SUMIF('Как есть'!$A$17:$A$25,Доп.расчеты!$A122,'Как есть'!CG$17:CG$25)</f>
        <v>0</v>
      </c>
      <c r="CG122">
        <f>SUMIF('Как есть'!$A$17:$A$25,Доп.расчеты!$A122,'Как есть'!CH$17:CH$25)</f>
        <v>0</v>
      </c>
      <c r="CH122">
        <f>SUMIF('Как есть'!$A$17:$A$25,Доп.расчеты!$A122,'Как есть'!CI$17:CI$25)</f>
        <v>0</v>
      </c>
      <c r="CI122">
        <f>SUMIF('Как есть'!$A$17:$A$25,Доп.расчеты!$A122,'Как есть'!CJ$17:CJ$25)</f>
        <v>0</v>
      </c>
      <c r="CJ122">
        <f>SUMIF('Как есть'!$A$17:$A$25,Доп.расчеты!$A122,'Как есть'!CK$17:CK$25)</f>
        <v>0</v>
      </c>
      <c r="CK122">
        <f>SUMIF('Как есть'!$A$17:$A$25,Доп.расчеты!$A122,'Как есть'!CL$17:CL$25)</f>
        <v>0</v>
      </c>
      <c r="CL122">
        <f>SUMIF('Как есть'!$A$17:$A$25,Доп.расчеты!$A122,'Как есть'!CM$17:CM$25)</f>
        <v>0</v>
      </c>
      <c r="CM122">
        <f>SUMIF('Как есть'!$A$17:$A$25,Доп.расчеты!$A122,'Как есть'!CN$17:CN$25)</f>
        <v>0</v>
      </c>
      <c r="CN122">
        <f>SUMIF('Как есть'!$A$17:$A$25,Доп.расчеты!$A122,'Как есть'!CO$17:CO$25)</f>
        <v>0</v>
      </c>
      <c r="CO122">
        <f>SUMIF('Как есть'!$A$17:$A$25,Доп.расчеты!$A122,'Как есть'!CP$17:CP$25)</f>
        <v>0</v>
      </c>
      <c r="CP122">
        <f>SUMIF('Как есть'!$A$17:$A$25,Доп.расчеты!$A122,'Как есть'!CQ$17:CQ$25)</f>
        <v>0</v>
      </c>
      <c r="CQ122">
        <f>SUMIF('Как есть'!$A$17:$A$25,Доп.расчеты!$A122,'Как есть'!CR$17:CR$25)</f>
        <v>0</v>
      </c>
      <c r="CR122">
        <f>SUMIF('Как есть'!$A$17:$A$25,Доп.расчеты!$A122,'Как есть'!CS$17:CS$25)</f>
        <v>0</v>
      </c>
      <c r="CS122">
        <f>SUMIF('Как есть'!$A$17:$A$25,Доп.расчеты!$A122,'Как есть'!CT$17:CT$25)</f>
        <v>0</v>
      </c>
      <c r="CT122">
        <f>SUMIF('Как есть'!$A$17:$A$25,Доп.расчеты!$A122,'Как есть'!CU$17:CU$25)</f>
        <v>0</v>
      </c>
      <c r="CU122">
        <f>SUMIF('Как есть'!$A$17:$A$25,Доп.расчеты!$A122,'Как есть'!CV$17:CV$25)</f>
        <v>0</v>
      </c>
      <c r="CV122">
        <f>SUMIF('Как есть'!$A$17:$A$25,Доп.расчеты!$A122,'Как есть'!CW$17:CW$25)</f>
        <v>0</v>
      </c>
      <c r="CW122">
        <f>SUMIF('Как есть'!$A$17:$A$25,Доп.расчеты!$A122,'Как есть'!CX$17:CX$25)</f>
        <v>0</v>
      </c>
      <c r="CX122">
        <f>SUMIF('Как есть'!$A$17:$A$25,Доп.расчеты!$A122,'Как есть'!CY$17:CY$25)</f>
        <v>0</v>
      </c>
      <c r="CY122">
        <f>SUMIF('Как есть'!$A$17:$A$25,Доп.расчеты!$A122,'Как есть'!CZ$17:CZ$25)</f>
        <v>0</v>
      </c>
      <c r="CZ122">
        <f>SUMIF('Как есть'!$A$17:$A$25,Доп.расчеты!$A122,'Как есть'!DA$17:DA$25)</f>
        <v>0</v>
      </c>
      <c r="DA122">
        <f>SUMIF('Как есть'!$A$17:$A$25,Доп.расчеты!$A122,'Как есть'!DB$17:DB$25)</f>
        <v>0</v>
      </c>
      <c r="DB122">
        <f>SUMIF('Как есть'!$A$17:$A$25,Доп.расчеты!$A122,'Как есть'!DC$17:DC$25)</f>
        <v>0</v>
      </c>
      <c r="DC122">
        <f>SUMIF('Как есть'!$A$17:$A$25,Доп.расчеты!$A122,'Как есть'!DD$17:DD$25)</f>
        <v>0</v>
      </c>
      <c r="DD122">
        <f>SUMIF('Как есть'!$A$17:$A$25,Доп.расчеты!$A122,'Как есть'!DE$17:DE$25)</f>
        <v>0</v>
      </c>
      <c r="DE122">
        <f>SUMIF('Как есть'!$A$17:$A$25,Доп.расчеты!$A122,'Как есть'!DF$17:DF$25)</f>
        <v>0</v>
      </c>
      <c r="DF122">
        <f>SUMIF('Как есть'!$A$17:$A$25,Доп.расчеты!$A122,'Как есть'!DG$17:DG$25)</f>
        <v>0</v>
      </c>
      <c r="DG122">
        <f>SUMIF('Как есть'!$A$17:$A$25,Доп.расчеты!$A122,'Как есть'!DH$17:DH$25)</f>
        <v>0</v>
      </c>
      <c r="DH122">
        <f>SUMIF('Как есть'!$A$17:$A$25,Доп.расчеты!$A122,'Как есть'!DI$17:DI$25)</f>
        <v>0</v>
      </c>
      <c r="DI122">
        <f>SUMIF('Как есть'!$A$17:$A$25,Доп.расчеты!$A122,'Как есть'!DJ$17:DJ$25)</f>
        <v>0</v>
      </c>
      <c r="DJ122">
        <f>SUMIF('Как есть'!$A$17:$A$25,Доп.расчеты!$A122,'Как есть'!DK$17:DK$25)</f>
        <v>0</v>
      </c>
      <c r="DK122">
        <f>SUMIF('Как есть'!$A$17:$A$25,Доп.расчеты!$A122,'Как есть'!DL$17:DL$25)</f>
        <v>0</v>
      </c>
      <c r="DL122">
        <f>SUMIF('Как есть'!$A$17:$A$25,Доп.расчеты!$A122,'Как есть'!DM$17:DM$25)</f>
        <v>0</v>
      </c>
      <c r="DM122">
        <f>SUMIF('Как есть'!$A$17:$A$25,Доп.расчеты!$A122,'Как есть'!DN$17:DN$25)</f>
        <v>0</v>
      </c>
      <c r="DN122">
        <f>SUMIF('Как есть'!$A$17:$A$25,Доп.расчеты!$A122,'Как есть'!DO$17:DO$25)</f>
        <v>0</v>
      </c>
      <c r="DO122">
        <f>SUMIF('Как есть'!$A$17:$A$25,Доп.расчеты!$A122,'Как есть'!DP$17:DP$25)</f>
        <v>0</v>
      </c>
      <c r="DP122">
        <f>SUMIF('Как есть'!$A$17:$A$25,Доп.расчеты!$A122,'Как есть'!DQ$17:DQ$25)</f>
        <v>0</v>
      </c>
      <c r="DQ122">
        <f>SUMIF('Как есть'!$A$17:$A$25,Доп.расчеты!$A122,'Как есть'!DR$17:DR$25)</f>
        <v>0</v>
      </c>
      <c r="DR122">
        <f>SUMIF('Как есть'!$A$17:$A$25,Доп.расчеты!$A122,'Как есть'!DS$17:DS$25)</f>
        <v>0</v>
      </c>
      <c r="DS122">
        <f>SUMIF('Как есть'!$A$17:$A$25,Доп.расчеты!$A122,'Как есть'!DT$17:DT$25)</f>
        <v>0</v>
      </c>
      <c r="DT122">
        <f>SUMIF('Как есть'!$A$17:$A$25,Доп.расчеты!$A122,'Как есть'!DU$17:DU$25)</f>
        <v>0</v>
      </c>
      <c r="DU122">
        <f>SUMIF('Как есть'!$A$17:$A$25,Доп.расчеты!$A122,'Как есть'!DV$17:DV$25)</f>
        <v>0</v>
      </c>
      <c r="DV122">
        <f>SUMIF('Как есть'!$A$17:$A$25,Доп.расчеты!$A122,'Как есть'!DW$17:DW$25)</f>
        <v>0</v>
      </c>
      <c r="DW122">
        <f>SUMIF('Как есть'!$A$17:$A$25,Доп.расчеты!$A122,'Как есть'!DX$17:DX$25)</f>
        <v>0</v>
      </c>
      <c r="DX122">
        <f>SUMIF('Как есть'!$A$17:$A$25,Доп.расчеты!$A122,'Как есть'!DY$17:DY$25)</f>
        <v>0</v>
      </c>
      <c r="DY122">
        <f>SUMIF('Как есть'!$A$17:$A$25,Доп.расчеты!$A122,'Как есть'!DZ$17:DZ$25)</f>
        <v>0</v>
      </c>
      <c r="DZ122">
        <f>SUMIF('Как есть'!$A$17:$A$25,Доп.расчеты!$A122,'Как есть'!EA$17:EA$25)</f>
        <v>0</v>
      </c>
      <c r="EA122">
        <f>SUMIF('Как есть'!$A$17:$A$25,Доп.расчеты!$A122,'Как есть'!EB$17:EB$25)</f>
        <v>0</v>
      </c>
      <c r="EB122">
        <f>SUMIF('Как есть'!$A$17:$A$25,Доп.расчеты!$A122,'Как есть'!EC$17:EC$25)</f>
        <v>0</v>
      </c>
      <c r="EC122">
        <f>SUMIF('Как есть'!$A$17:$A$25,Доп.расчеты!$A122,'Как есть'!ED$17:ED$25)</f>
        <v>0</v>
      </c>
      <c r="ED122">
        <f>SUMIF('Как есть'!$A$17:$A$25,Доп.расчеты!$A122,'Как есть'!EE$17:EE$25)</f>
        <v>0</v>
      </c>
      <c r="EE122">
        <f>SUMIF('Как есть'!$A$17:$A$25,Доп.расчеты!$A122,'Как есть'!EF$17:EF$25)</f>
        <v>0</v>
      </c>
      <c r="EF122">
        <f>SUMIF('Как есть'!$A$17:$A$25,Доп.расчеты!$A122,'Как есть'!EG$17:EG$25)</f>
        <v>0</v>
      </c>
      <c r="EG122">
        <f>SUMIF('Как есть'!$A$17:$A$25,Доп.расчеты!$A122,'Как есть'!EH$17:EH$25)</f>
        <v>0</v>
      </c>
      <c r="EH122">
        <f>SUMIF('Как есть'!$A$17:$A$25,Доп.расчеты!$A122,'Как есть'!EI$17:EI$25)</f>
        <v>0</v>
      </c>
      <c r="EI122">
        <f>SUMIF('Как есть'!$A$17:$A$25,Доп.расчеты!$A122,'Как есть'!EJ$17:EJ$25)</f>
        <v>0</v>
      </c>
      <c r="EJ122">
        <f>SUMIF('Как есть'!$A$17:$A$25,Доп.расчеты!$A122,'Как есть'!EK$17:EK$25)</f>
        <v>0</v>
      </c>
      <c r="EK122">
        <f>SUMIF('Как есть'!$A$17:$A$25,Доп.расчеты!$A122,'Как есть'!EL$17:EL$25)</f>
        <v>0</v>
      </c>
      <c r="EL122">
        <f>SUMIF('Как есть'!$A$17:$A$25,Доп.расчеты!$A122,'Как есть'!EM$17:EM$25)</f>
        <v>0</v>
      </c>
      <c r="EM122">
        <f>SUMIF('Как есть'!$A$17:$A$25,Доп.расчеты!$A122,'Как есть'!EN$17:EN$25)</f>
        <v>0</v>
      </c>
      <c r="EN122">
        <f>SUMIF('Как есть'!$A$17:$A$25,Доп.расчеты!$A122,'Как есть'!EO$17:EO$25)</f>
        <v>0</v>
      </c>
      <c r="EO122">
        <f>SUMIF('Как есть'!$A$17:$A$25,Доп.расчеты!$A122,'Как есть'!EP$17:EP$25)</f>
        <v>0</v>
      </c>
      <c r="EP122">
        <f>SUMIF('Как есть'!$A$17:$A$25,Доп.расчеты!$A122,'Как есть'!EQ$17:EQ$25)</f>
        <v>0</v>
      </c>
      <c r="EQ122">
        <f>SUMIF('Как есть'!$A$17:$A$25,Доп.расчеты!$A122,'Как есть'!ER$17:ER$25)</f>
        <v>0</v>
      </c>
      <c r="ER122">
        <f>SUMIF('Как есть'!$A$17:$A$25,Доп.расчеты!$A122,'Как есть'!ES$17:ES$25)</f>
        <v>0</v>
      </c>
      <c r="ES122">
        <f>SUMIF('Как есть'!$A$17:$A$25,Доп.расчеты!$A122,'Как есть'!ET$17:ET$25)</f>
        <v>0</v>
      </c>
      <c r="ET122">
        <f>SUMIF('Как есть'!$A$17:$A$25,Доп.расчеты!$A122,'Как есть'!EU$17:EU$25)</f>
        <v>0</v>
      </c>
      <c r="EU122">
        <f>SUMIF('Как есть'!$A$17:$A$25,Доп.расчеты!$A122,'Как есть'!EV$17:EV$25)</f>
        <v>0</v>
      </c>
      <c r="EV122">
        <f>SUMIF('Как есть'!$A$17:$A$25,Доп.расчеты!$A122,'Как есть'!EW$17:EW$25)</f>
        <v>0</v>
      </c>
      <c r="EW122">
        <f>SUMIF('Как есть'!$A$17:$A$25,Доп.расчеты!$A122,'Как есть'!EX$17:EX$25)</f>
        <v>0</v>
      </c>
      <c r="EX122">
        <f>SUMIF('Как есть'!$A$17:$A$25,Доп.расчеты!$A122,'Как есть'!EY$17:EY$25)</f>
        <v>0</v>
      </c>
      <c r="EY122">
        <f>SUMIF('Как есть'!$A$17:$A$25,Доп.расчеты!$A122,'Как есть'!EZ$17:EZ$25)</f>
        <v>0</v>
      </c>
      <c r="EZ122">
        <f>SUMIF('Как есть'!$A$17:$A$25,Доп.расчеты!$A122,'Как есть'!FA$17:FA$25)</f>
        <v>0</v>
      </c>
      <c r="FA122">
        <f>SUMIF('Как есть'!$A$17:$A$25,Доп.расчеты!$A122,'Как есть'!FB$17:FB$25)</f>
        <v>0</v>
      </c>
      <c r="FB122">
        <f>SUMIF('Как есть'!$A$17:$A$25,Доп.расчеты!$A122,'Как есть'!FC$17:FC$25)</f>
        <v>0</v>
      </c>
      <c r="FC122">
        <f>SUMIF('Как есть'!$A$17:$A$25,Доп.расчеты!$A122,'Как есть'!FD$17:FD$25)</f>
        <v>0</v>
      </c>
      <c r="FD122">
        <f>SUMIF('Как есть'!$A$17:$A$25,Доп.расчеты!$A122,'Как есть'!FE$17:FE$25)</f>
        <v>0</v>
      </c>
      <c r="FE122">
        <f>SUMIF('Как есть'!$A$17:$A$25,Доп.расчеты!$A122,'Как есть'!FF$17:FF$25)</f>
        <v>0</v>
      </c>
      <c r="FF122">
        <f>SUMIF('Как есть'!$A$17:$A$25,Доп.расчеты!$A122,'Как есть'!FG$17:FG$25)</f>
        <v>0</v>
      </c>
      <c r="FG122">
        <f>SUMIF('Как есть'!$A$17:$A$25,Доп.расчеты!$A122,'Как есть'!FH$17:FH$25)</f>
        <v>0</v>
      </c>
      <c r="FH122">
        <f>SUMIF('Как есть'!$A$17:$A$25,Доп.расчеты!$A122,'Как есть'!FI$17:FI$25)</f>
        <v>0</v>
      </c>
      <c r="FI122">
        <f>SUMIF('Как есть'!$A$17:$A$25,Доп.расчеты!$A122,'Как есть'!FJ$17:FJ$25)</f>
        <v>0</v>
      </c>
      <c r="FJ122">
        <f>SUMIF('Как есть'!$A$17:$A$25,Доп.расчеты!$A122,'Как есть'!FK$17:FK$25)</f>
        <v>0</v>
      </c>
      <c r="FK122">
        <f>SUMIF('Как есть'!$A$17:$A$25,Доп.расчеты!$A122,'Как есть'!FL$17:FL$25)</f>
        <v>0</v>
      </c>
      <c r="FL122">
        <f>SUMIF('Как есть'!$A$17:$A$25,Доп.расчеты!$A122,'Как есть'!FM$17:FM$25)</f>
        <v>0</v>
      </c>
      <c r="FM122">
        <f>SUMIF('Как есть'!$A$17:$A$25,Доп.расчеты!$A122,'Как есть'!FN$17:FN$25)</f>
        <v>0</v>
      </c>
      <c r="FN122">
        <f>SUMIF('Как есть'!$A$17:$A$25,Доп.расчеты!$A122,'Как есть'!FO$17:FO$25)</f>
        <v>0</v>
      </c>
      <c r="FO122">
        <f>SUMIF('Как есть'!$A$17:$A$25,Доп.расчеты!$A122,'Как есть'!FP$17:FP$25)</f>
        <v>0</v>
      </c>
      <c r="FP122">
        <f>SUMIF('Как есть'!$A$17:$A$25,Доп.расчеты!$A122,'Как есть'!FQ$17:FQ$25)</f>
        <v>0</v>
      </c>
      <c r="FQ122">
        <f>SUMIF('Как есть'!$A$17:$A$25,Доп.расчеты!$A122,'Как есть'!FR$17:FR$25)</f>
        <v>0</v>
      </c>
      <c r="FR122">
        <f>SUMIF('Как есть'!$A$17:$A$25,Доп.расчеты!$A122,'Как есть'!FS$17:FS$25)</f>
        <v>0</v>
      </c>
      <c r="FS122">
        <f>SUMIF('Как есть'!$A$17:$A$25,Доп.расчеты!$A122,'Как есть'!FT$17:FT$25)</f>
        <v>0</v>
      </c>
      <c r="FT122">
        <f>SUMIF('Как есть'!$A$17:$A$25,Доп.расчеты!$A122,'Как есть'!FU$17:FU$25)</f>
        <v>0</v>
      </c>
      <c r="FU122">
        <f>SUMIF('Как есть'!$A$17:$A$25,Доп.расчеты!$A122,'Как есть'!FV$17:FV$25)</f>
        <v>0</v>
      </c>
      <c r="FV122">
        <f>SUMIF('Как есть'!$A$17:$A$25,Доп.расчеты!$A122,'Как есть'!FW$17:FW$25)</f>
        <v>0</v>
      </c>
      <c r="FW122">
        <f>SUMIF('Как есть'!$A$17:$A$25,Доп.расчеты!$A122,'Как есть'!FX$17:FX$25)</f>
        <v>0</v>
      </c>
      <c r="FX122">
        <f>SUMIF('Как есть'!$A$17:$A$25,Доп.расчеты!$A122,'Как есть'!FY$17:FY$25)</f>
        <v>0</v>
      </c>
      <c r="FY122">
        <f>SUMIF('Как есть'!$A$17:$A$25,Доп.расчеты!$A122,'Как есть'!FZ$17:FZ$25)</f>
        <v>0</v>
      </c>
      <c r="FZ122">
        <f>SUMIF('Как есть'!$A$17:$A$25,Доп.расчеты!$A122,'Как есть'!GA$17:GA$25)</f>
        <v>0</v>
      </c>
      <c r="GA122">
        <f>SUMIF('Как есть'!$A$17:$A$25,Доп.расчеты!$A122,'Как есть'!GB$17:GB$25)</f>
        <v>0</v>
      </c>
      <c r="GB122">
        <f>SUMIF('Как есть'!$A$17:$A$25,Доп.расчеты!$A122,'Как есть'!GC$17:GC$25)</f>
        <v>0</v>
      </c>
      <c r="GC122">
        <f>SUMIF('Как есть'!$A$17:$A$25,Доп.расчеты!$A122,'Как есть'!GD$17:GD$25)</f>
        <v>0</v>
      </c>
      <c r="GD122">
        <f>SUMIF('Как есть'!$A$17:$A$25,Доп.расчеты!$A122,'Как есть'!GE$17:GE$25)</f>
        <v>0</v>
      </c>
      <c r="GE122">
        <f>SUMIF('Как есть'!$A$17:$A$25,Доп.расчеты!$A122,'Как есть'!GF$17:GF$25)</f>
        <v>0</v>
      </c>
      <c r="GF122">
        <f>SUMIF('Как есть'!$A$17:$A$25,Доп.расчеты!$A122,'Как есть'!GG$17:GG$25)</f>
        <v>0</v>
      </c>
      <c r="GG122">
        <f>SUMIF('Как есть'!$A$17:$A$25,Доп.расчеты!$A122,'Как есть'!GH$17:GH$25)</f>
        <v>0</v>
      </c>
      <c r="GH122">
        <f>SUMIF('Как есть'!$A$17:$A$25,Доп.расчеты!$A122,'Как есть'!GI$17:GI$25)</f>
        <v>0</v>
      </c>
      <c r="GI122">
        <f>SUMIF('Как есть'!$A$17:$A$25,Доп.расчеты!$A122,'Как есть'!GJ$17:GJ$25)</f>
        <v>0</v>
      </c>
      <c r="GJ122">
        <f>SUMIF('Как есть'!$A$17:$A$25,Доп.расчеты!$A122,'Как есть'!GK$17:GK$25)</f>
        <v>0</v>
      </c>
      <c r="GK122">
        <f>SUMIF('Как есть'!$A$17:$A$25,Доп.расчеты!$A122,'Как есть'!GL$17:GL$25)</f>
        <v>0</v>
      </c>
      <c r="GL122">
        <f>SUMIF('Как есть'!$A$17:$A$25,Доп.расчеты!$A122,'Как есть'!GM$17:GM$25)</f>
        <v>0</v>
      </c>
      <c r="GM122">
        <f>SUMIF('Как есть'!$A$17:$A$25,Доп.расчеты!$A122,'Как есть'!GN$17:GN$25)</f>
        <v>0</v>
      </c>
      <c r="GN122">
        <f>SUMIF('Как есть'!$A$17:$A$25,Доп.расчеты!$A122,'Как есть'!GO$17:GO$25)</f>
        <v>0</v>
      </c>
      <c r="GO122">
        <f>SUMIF('Как есть'!$A$17:$A$25,Доп.расчеты!$A122,'Как есть'!GP$17:GP$25)</f>
        <v>0</v>
      </c>
      <c r="GP122">
        <f>SUMIF('Как есть'!$A$17:$A$25,Доп.расчеты!$A122,'Как есть'!GQ$17:GQ$25)</f>
        <v>0</v>
      </c>
      <c r="GQ122">
        <f>SUMIF('Как есть'!$A$17:$A$25,Доп.расчеты!$A122,'Как есть'!GR$17:GR$25)</f>
        <v>0</v>
      </c>
      <c r="GR122">
        <f>SUMIF('Как есть'!$A$17:$A$25,Доп.расчеты!$A122,'Как есть'!GS$17:GS$25)</f>
        <v>0</v>
      </c>
      <c r="GS122">
        <f>SUMIF('Как есть'!$A$17:$A$25,Доп.расчеты!$A122,'Как есть'!GT$17:GT$25)</f>
        <v>0</v>
      </c>
      <c r="GT122">
        <f>SUMIF('Как есть'!$A$17:$A$25,Доп.расчеты!$A122,'Как есть'!GU$17:GU$25)</f>
        <v>0</v>
      </c>
    </row>
    <row r="123" spans="1:202" hidden="1" outlineLevel="1">
      <c r="A123" s="238" t="s">
        <v>101</v>
      </c>
      <c r="B123">
        <f>SUMIF('Как есть'!$A$17:$A$25,Доп.расчеты!$A123,'Как есть'!C$17:C$25)</f>
        <v>0</v>
      </c>
      <c r="C123">
        <f>SUMIF('Как есть'!$A$17:$A$25,Доп.расчеты!$A123,'Как есть'!D$17:D$25)</f>
        <v>0</v>
      </c>
      <c r="D123">
        <f>SUMIF('Как есть'!$A$17:$A$25,Доп.расчеты!$A123,'Как есть'!E$17:E$25)</f>
        <v>0</v>
      </c>
      <c r="E123">
        <f>SUMIF('Как есть'!$A$17:$A$25,Доп.расчеты!$A123,'Как есть'!F$17:F$25)</f>
        <v>0</v>
      </c>
      <c r="F123">
        <f>SUMIF('Как есть'!$A$17:$A$25,Доп.расчеты!$A123,'Как есть'!G$17:G$25)</f>
        <v>0</v>
      </c>
      <c r="G123">
        <f>SUMIF('Как есть'!$A$17:$A$25,Доп.расчеты!$A123,'Как есть'!H$17:H$25)</f>
        <v>0</v>
      </c>
      <c r="H123">
        <f>SUMIF('Как есть'!$A$17:$A$25,Доп.расчеты!$A123,'Как есть'!I$17:I$25)</f>
        <v>0</v>
      </c>
      <c r="I123">
        <f>SUMIF('Как есть'!$A$17:$A$25,Доп.расчеты!$A123,'Как есть'!J$17:J$25)</f>
        <v>0</v>
      </c>
      <c r="J123">
        <f>SUMIF('Как есть'!$A$17:$A$25,Доп.расчеты!$A123,'Как есть'!K$17:K$25)</f>
        <v>0</v>
      </c>
      <c r="K123">
        <f>SUMIF('Как есть'!$A$17:$A$25,Доп.расчеты!$A123,'Как есть'!L$17:L$25)</f>
        <v>0</v>
      </c>
      <c r="L123">
        <f>SUMIF('Как есть'!$A$17:$A$25,Доп.расчеты!$A123,'Как есть'!M$17:M$25)</f>
        <v>0</v>
      </c>
      <c r="M123">
        <f>SUMIF('Как есть'!$A$17:$A$25,Доп.расчеты!$A123,'Как есть'!N$17:N$25)</f>
        <v>0</v>
      </c>
      <c r="N123">
        <f>SUMIF('Как есть'!$A$17:$A$25,Доп.расчеты!$A123,'Как есть'!O$17:O$25)</f>
        <v>0</v>
      </c>
      <c r="O123">
        <f>SUMIF('Как есть'!$A$17:$A$25,Доп.расчеты!$A123,'Как есть'!P$17:P$25)</f>
        <v>0</v>
      </c>
      <c r="P123">
        <f>SUMIF('Как есть'!$A$17:$A$25,Доп.расчеты!$A123,'Как есть'!Q$17:Q$25)</f>
        <v>0</v>
      </c>
      <c r="Q123">
        <f>SUMIF('Как есть'!$A$17:$A$25,Доп.расчеты!$A123,'Как есть'!R$17:R$25)</f>
        <v>0</v>
      </c>
      <c r="R123">
        <f>SUMIF('Как есть'!$A$17:$A$25,Доп.расчеты!$A123,'Как есть'!S$17:S$25)</f>
        <v>0</v>
      </c>
      <c r="S123">
        <f>SUMIF('Как есть'!$A$17:$A$25,Доп.расчеты!$A123,'Как есть'!T$17:T$25)</f>
        <v>0</v>
      </c>
      <c r="T123">
        <f>SUMIF('Как есть'!$A$17:$A$25,Доп.расчеты!$A123,'Как есть'!U$17:U$25)</f>
        <v>0</v>
      </c>
      <c r="U123">
        <f>SUMIF('Как есть'!$A$17:$A$25,Доп.расчеты!$A123,'Как есть'!V$17:V$25)</f>
        <v>0</v>
      </c>
      <c r="V123">
        <f>SUMIF('Как есть'!$A$17:$A$25,Доп.расчеты!$A123,'Как есть'!W$17:W$25)</f>
        <v>0</v>
      </c>
      <c r="W123">
        <f>SUMIF('Как есть'!$A$17:$A$25,Доп.расчеты!$A123,'Как есть'!X$17:X$25)</f>
        <v>0</v>
      </c>
      <c r="X123">
        <f>SUMIF('Как есть'!$A$17:$A$25,Доп.расчеты!$A123,'Как есть'!Y$17:Y$25)</f>
        <v>0</v>
      </c>
      <c r="Y123">
        <f>SUMIF('Как есть'!$A$17:$A$25,Доп.расчеты!$A123,'Как есть'!Z$17:Z$25)</f>
        <v>0</v>
      </c>
      <c r="Z123">
        <f>SUMIF('Как есть'!$A$17:$A$25,Доп.расчеты!$A123,'Как есть'!AA$17:AA$25)</f>
        <v>0</v>
      </c>
      <c r="AA123">
        <f>SUMIF('Как есть'!$A$17:$A$25,Доп.расчеты!$A123,'Как есть'!AB$17:AB$25)</f>
        <v>0</v>
      </c>
      <c r="AB123">
        <f>SUMIF('Как есть'!$A$17:$A$25,Доп.расчеты!$A123,'Как есть'!AC$17:AC$25)</f>
        <v>0</v>
      </c>
      <c r="AC123">
        <f>SUMIF('Как есть'!$A$17:$A$25,Доп.расчеты!$A123,'Как есть'!AD$17:AD$25)</f>
        <v>0</v>
      </c>
      <c r="AD123">
        <f>SUMIF('Как есть'!$A$17:$A$25,Доп.расчеты!$A123,'Как есть'!AE$17:AE$25)</f>
        <v>0</v>
      </c>
      <c r="AE123">
        <f>SUMIF('Как есть'!$A$17:$A$25,Доп.расчеты!$A123,'Как есть'!AF$17:AF$25)</f>
        <v>0</v>
      </c>
      <c r="AF123">
        <f>SUMIF('Как есть'!$A$17:$A$25,Доп.расчеты!$A123,'Как есть'!AG$17:AG$25)</f>
        <v>0</v>
      </c>
      <c r="AG123">
        <f>SUMIF('Как есть'!$A$17:$A$25,Доп.расчеты!$A123,'Как есть'!AH$17:AH$25)</f>
        <v>0</v>
      </c>
      <c r="AH123">
        <f>SUMIF('Как есть'!$A$17:$A$25,Доп.расчеты!$A123,'Как есть'!AI$17:AI$25)</f>
        <v>0</v>
      </c>
      <c r="AI123">
        <f>SUMIF('Как есть'!$A$17:$A$25,Доп.расчеты!$A123,'Как есть'!AJ$17:AJ$25)</f>
        <v>0</v>
      </c>
      <c r="AJ123">
        <f>SUMIF('Как есть'!$A$17:$A$25,Доп.расчеты!$A123,'Как есть'!AK$17:AK$25)</f>
        <v>0</v>
      </c>
      <c r="AK123">
        <f>SUMIF('Как есть'!$A$17:$A$25,Доп.расчеты!$A123,'Как есть'!AL$17:AL$25)</f>
        <v>0</v>
      </c>
      <c r="AL123">
        <f>SUMIF('Как есть'!$A$17:$A$25,Доп.расчеты!$A123,'Как есть'!AM$17:AM$25)</f>
        <v>0</v>
      </c>
      <c r="AM123">
        <f>SUMIF('Как есть'!$A$17:$A$25,Доп.расчеты!$A123,'Как есть'!AN$17:AN$25)</f>
        <v>0</v>
      </c>
      <c r="AN123">
        <f>SUMIF('Как есть'!$A$17:$A$25,Доп.расчеты!$A123,'Как есть'!AO$17:AO$25)</f>
        <v>0</v>
      </c>
      <c r="AO123">
        <f>SUMIF('Как есть'!$A$17:$A$25,Доп.расчеты!$A123,'Как есть'!AP$17:AP$25)</f>
        <v>0</v>
      </c>
      <c r="AP123">
        <f>SUMIF('Как есть'!$A$17:$A$25,Доп.расчеты!$A123,'Как есть'!AQ$17:AQ$25)</f>
        <v>0</v>
      </c>
      <c r="AQ123">
        <f>SUMIF('Как есть'!$A$17:$A$25,Доп.расчеты!$A123,'Как есть'!AR$17:AR$25)</f>
        <v>0</v>
      </c>
      <c r="AR123">
        <f>SUMIF('Как есть'!$A$17:$A$25,Доп.расчеты!$A123,'Как есть'!AS$17:AS$25)</f>
        <v>0</v>
      </c>
      <c r="AS123">
        <f>SUMIF('Как есть'!$A$17:$A$25,Доп.расчеты!$A123,'Как есть'!AT$17:AT$25)</f>
        <v>0</v>
      </c>
      <c r="AT123">
        <f>SUMIF('Как есть'!$A$17:$A$25,Доп.расчеты!$A123,'Как есть'!AU$17:AU$25)</f>
        <v>0</v>
      </c>
      <c r="AU123">
        <f>SUMIF('Как есть'!$A$17:$A$25,Доп.расчеты!$A123,'Как есть'!AV$17:AV$25)</f>
        <v>0</v>
      </c>
      <c r="AV123">
        <f>SUMIF('Как есть'!$A$17:$A$25,Доп.расчеты!$A123,'Как есть'!AW$17:AW$25)</f>
        <v>0</v>
      </c>
      <c r="AW123">
        <f>SUMIF('Как есть'!$A$17:$A$25,Доп.расчеты!$A123,'Как есть'!AX$17:AX$25)</f>
        <v>0</v>
      </c>
      <c r="AX123">
        <f>SUMIF('Как есть'!$A$17:$A$25,Доп.расчеты!$A123,'Как есть'!AY$17:AY$25)</f>
        <v>0</v>
      </c>
      <c r="AY123">
        <f>SUMIF('Как есть'!$A$17:$A$25,Доп.расчеты!$A123,'Как есть'!AZ$17:AZ$25)</f>
        <v>0</v>
      </c>
      <c r="AZ123">
        <f>SUMIF('Как есть'!$A$17:$A$25,Доп.расчеты!$A123,'Как есть'!BA$17:BA$25)</f>
        <v>0</v>
      </c>
      <c r="BA123">
        <f>SUMIF('Как есть'!$A$17:$A$25,Доп.расчеты!$A123,'Как есть'!BB$17:BB$25)</f>
        <v>0</v>
      </c>
      <c r="BB123">
        <f>SUMIF('Как есть'!$A$17:$A$25,Доп.расчеты!$A123,'Как есть'!BC$17:BC$25)</f>
        <v>0</v>
      </c>
      <c r="BC123">
        <f>SUMIF('Как есть'!$A$17:$A$25,Доп.расчеты!$A123,'Как есть'!BD$17:BD$25)</f>
        <v>0</v>
      </c>
      <c r="BD123">
        <f>SUMIF('Как есть'!$A$17:$A$25,Доп.расчеты!$A123,'Как есть'!BE$17:BE$25)</f>
        <v>0</v>
      </c>
      <c r="BE123">
        <f>SUMIF('Как есть'!$A$17:$A$25,Доп.расчеты!$A123,'Как есть'!BF$17:BF$25)</f>
        <v>0</v>
      </c>
      <c r="BF123">
        <f>SUMIF('Как есть'!$A$17:$A$25,Доп.расчеты!$A123,'Как есть'!BG$17:BG$25)</f>
        <v>0</v>
      </c>
      <c r="BG123">
        <f>SUMIF('Как есть'!$A$17:$A$25,Доп.расчеты!$A123,'Как есть'!BH$17:BH$25)</f>
        <v>0</v>
      </c>
      <c r="BH123">
        <f>SUMIF('Как есть'!$A$17:$A$25,Доп.расчеты!$A123,'Как есть'!BI$17:BI$25)</f>
        <v>0</v>
      </c>
      <c r="BI123">
        <f>SUMIF('Как есть'!$A$17:$A$25,Доп.расчеты!$A123,'Как есть'!BJ$17:BJ$25)</f>
        <v>0</v>
      </c>
      <c r="BJ123">
        <f>SUMIF('Как есть'!$A$17:$A$25,Доп.расчеты!$A123,'Как есть'!BK$17:BK$25)</f>
        <v>0</v>
      </c>
      <c r="BK123">
        <f>SUMIF('Как есть'!$A$17:$A$25,Доп.расчеты!$A123,'Как есть'!BL$17:BL$25)</f>
        <v>0</v>
      </c>
      <c r="BL123">
        <f>SUMIF('Как есть'!$A$17:$A$25,Доп.расчеты!$A123,'Как есть'!BM$17:BM$25)</f>
        <v>0</v>
      </c>
      <c r="BM123">
        <f>SUMIF('Как есть'!$A$17:$A$25,Доп.расчеты!$A123,'Как есть'!BN$17:BN$25)</f>
        <v>0</v>
      </c>
      <c r="BN123">
        <f>SUMIF('Как есть'!$A$17:$A$25,Доп.расчеты!$A123,'Как есть'!BO$17:BO$25)</f>
        <v>0</v>
      </c>
      <c r="BO123">
        <f>SUMIF('Как есть'!$A$17:$A$25,Доп.расчеты!$A123,'Как есть'!BP$17:BP$25)</f>
        <v>0</v>
      </c>
      <c r="BP123">
        <f>SUMIF('Как есть'!$A$17:$A$25,Доп.расчеты!$A123,'Как есть'!BQ$17:BQ$25)</f>
        <v>0</v>
      </c>
      <c r="BQ123">
        <f>SUMIF('Как есть'!$A$17:$A$25,Доп.расчеты!$A123,'Как есть'!BR$17:BR$25)</f>
        <v>0</v>
      </c>
      <c r="BR123">
        <f>SUMIF('Как есть'!$A$17:$A$25,Доп.расчеты!$A123,'Как есть'!BS$17:BS$25)</f>
        <v>0</v>
      </c>
      <c r="BS123">
        <f>SUMIF('Как есть'!$A$17:$A$25,Доп.расчеты!$A123,'Как есть'!BT$17:BT$25)</f>
        <v>0</v>
      </c>
      <c r="BT123">
        <f>SUMIF('Как есть'!$A$17:$A$25,Доп.расчеты!$A123,'Как есть'!BU$17:BU$25)</f>
        <v>0</v>
      </c>
      <c r="BU123">
        <f>SUMIF('Как есть'!$A$17:$A$25,Доп.расчеты!$A123,'Как есть'!BV$17:BV$25)</f>
        <v>0</v>
      </c>
      <c r="BV123">
        <f>SUMIF('Как есть'!$A$17:$A$25,Доп.расчеты!$A123,'Как есть'!BW$17:BW$25)</f>
        <v>0</v>
      </c>
      <c r="BW123">
        <f>SUMIF('Как есть'!$A$17:$A$25,Доп.расчеты!$A123,'Как есть'!BX$17:BX$25)</f>
        <v>0</v>
      </c>
      <c r="BX123">
        <f>SUMIF('Как есть'!$A$17:$A$25,Доп.расчеты!$A123,'Как есть'!BY$17:BY$25)</f>
        <v>0</v>
      </c>
      <c r="BY123">
        <f>SUMIF('Как есть'!$A$17:$A$25,Доп.расчеты!$A123,'Как есть'!BZ$17:BZ$25)</f>
        <v>0</v>
      </c>
      <c r="BZ123">
        <f>SUMIF('Как есть'!$A$17:$A$25,Доп.расчеты!$A123,'Как есть'!CA$17:CA$25)</f>
        <v>0</v>
      </c>
      <c r="CA123">
        <f>SUMIF('Как есть'!$A$17:$A$25,Доп.расчеты!$A123,'Как есть'!CB$17:CB$25)</f>
        <v>0</v>
      </c>
      <c r="CB123">
        <f>SUMIF('Как есть'!$A$17:$A$25,Доп.расчеты!$A123,'Как есть'!CC$17:CC$25)</f>
        <v>0</v>
      </c>
      <c r="CC123">
        <f>SUMIF('Как есть'!$A$17:$A$25,Доп.расчеты!$A123,'Как есть'!CD$17:CD$25)</f>
        <v>0</v>
      </c>
      <c r="CD123">
        <f>SUMIF('Как есть'!$A$17:$A$25,Доп.расчеты!$A123,'Как есть'!CE$17:CE$25)</f>
        <v>0</v>
      </c>
      <c r="CE123">
        <f>SUMIF('Как есть'!$A$17:$A$25,Доп.расчеты!$A123,'Как есть'!CF$17:CF$25)</f>
        <v>0</v>
      </c>
      <c r="CF123">
        <f>SUMIF('Как есть'!$A$17:$A$25,Доп.расчеты!$A123,'Как есть'!CG$17:CG$25)</f>
        <v>0</v>
      </c>
      <c r="CG123">
        <f>SUMIF('Как есть'!$A$17:$A$25,Доп.расчеты!$A123,'Как есть'!CH$17:CH$25)</f>
        <v>0</v>
      </c>
      <c r="CH123">
        <f>SUMIF('Как есть'!$A$17:$A$25,Доп.расчеты!$A123,'Как есть'!CI$17:CI$25)</f>
        <v>0</v>
      </c>
      <c r="CI123">
        <f>SUMIF('Как есть'!$A$17:$A$25,Доп.расчеты!$A123,'Как есть'!CJ$17:CJ$25)</f>
        <v>0</v>
      </c>
      <c r="CJ123">
        <f>SUMIF('Как есть'!$A$17:$A$25,Доп.расчеты!$A123,'Как есть'!CK$17:CK$25)</f>
        <v>0</v>
      </c>
      <c r="CK123">
        <f>SUMIF('Как есть'!$A$17:$A$25,Доп.расчеты!$A123,'Как есть'!CL$17:CL$25)</f>
        <v>0</v>
      </c>
      <c r="CL123">
        <f>SUMIF('Как есть'!$A$17:$A$25,Доп.расчеты!$A123,'Как есть'!CM$17:CM$25)</f>
        <v>0</v>
      </c>
      <c r="CM123">
        <f>SUMIF('Как есть'!$A$17:$A$25,Доп.расчеты!$A123,'Как есть'!CN$17:CN$25)</f>
        <v>0</v>
      </c>
      <c r="CN123">
        <f>SUMIF('Как есть'!$A$17:$A$25,Доп.расчеты!$A123,'Как есть'!CO$17:CO$25)</f>
        <v>0</v>
      </c>
      <c r="CO123">
        <f>SUMIF('Как есть'!$A$17:$A$25,Доп.расчеты!$A123,'Как есть'!CP$17:CP$25)</f>
        <v>0</v>
      </c>
      <c r="CP123">
        <f>SUMIF('Как есть'!$A$17:$A$25,Доп.расчеты!$A123,'Как есть'!CQ$17:CQ$25)</f>
        <v>0</v>
      </c>
      <c r="CQ123">
        <f>SUMIF('Как есть'!$A$17:$A$25,Доп.расчеты!$A123,'Как есть'!CR$17:CR$25)</f>
        <v>0</v>
      </c>
      <c r="CR123">
        <f>SUMIF('Как есть'!$A$17:$A$25,Доп.расчеты!$A123,'Как есть'!CS$17:CS$25)</f>
        <v>0</v>
      </c>
      <c r="CS123">
        <f>SUMIF('Как есть'!$A$17:$A$25,Доп.расчеты!$A123,'Как есть'!CT$17:CT$25)</f>
        <v>0</v>
      </c>
      <c r="CT123">
        <f>SUMIF('Как есть'!$A$17:$A$25,Доп.расчеты!$A123,'Как есть'!CU$17:CU$25)</f>
        <v>0</v>
      </c>
      <c r="CU123">
        <f>SUMIF('Как есть'!$A$17:$A$25,Доп.расчеты!$A123,'Как есть'!CV$17:CV$25)</f>
        <v>0</v>
      </c>
      <c r="CV123">
        <f>SUMIF('Как есть'!$A$17:$A$25,Доп.расчеты!$A123,'Как есть'!CW$17:CW$25)</f>
        <v>0</v>
      </c>
      <c r="CW123">
        <f>SUMIF('Как есть'!$A$17:$A$25,Доп.расчеты!$A123,'Как есть'!CX$17:CX$25)</f>
        <v>0</v>
      </c>
      <c r="CX123">
        <f>SUMIF('Как есть'!$A$17:$A$25,Доп.расчеты!$A123,'Как есть'!CY$17:CY$25)</f>
        <v>0</v>
      </c>
      <c r="CY123">
        <f>SUMIF('Как есть'!$A$17:$A$25,Доп.расчеты!$A123,'Как есть'!CZ$17:CZ$25)</f>
        <v>0</v>
      </c>
      <c r="CZ123">
        <f>SUMIF('Как есть'!$A$17:$A$25,Доп.расчеты!$A123,'Как есть'!DA$17:DA$25)</f>
        <v>0</v>
      </c>
      <c r="DA123">
        <f>SUMIF('Как есть'!$A$17:$A$25,Доп.расчеты!$A123,'Как есть'!DB$17:DB$25)</f>
        <v>0</v>
      </c>
      <c r="DB123">
        <f>SUMIF('Как есть'!$A$17:$A$25,Доп.расчеты!$A123,'Как есть'!DC$17:DC$25)</f>
        <v>0</v>
      </c>
      <c r="DC123">
        <f>SUMIF('Как есть'!$A$17:$A$25,Доп.расчеты!$A123,'Как есть'!DD$17:DD$25)</f>
        <v>0</v>
      </c>
      <c r="DD123">
        <f>SUMIF('Как есть'!$A$17:$A$25,Доп.расчеты!$A123,'Как есть'!DE$17:DE$25)</f>
        <v>0</v>
      </c>
      <c r="DE123">
        <f>SUMIF('Как есть'!$A$17:$A$25,Доп.расчеты!$A123,'Как есть'!DF$17:DF$25)</f>
        <v>0</v>
      </c>
      <c r="DF123">
        <f>SUMIF('Как есть'!$A$17:$A$25,Доп.расчеты!$A123,'Как есть'!DG$17:DG$25)</f>
        <v>0</v>
      </c>
      <c r="DG123">
        <f>SUMIF('Как есть'!$A$17:$A$25,Доп.расчеты!$A123,'Как есть'!DH$17:DH$25)</f>
        <v>0</v>
      </c>
      <c r="DH123">
        <f>SUMIF('Как есть'!$A$17:$A$25,Доп.расчеты!$A123,'Как есть'!DI$17:DI$25)</f>
        <v>0</v>
      </c>
      <c r="DI123">
        <f>SUMIF('Как есть'!$A$17:$A$25,Доп.расчеты!$A123,'Как есть'!DJ$17:DJ$25)</f>
        <v>0</v>
      </c>
      <c r="DJ123">
        <f>SUMIF('Как есть'!$A$17:$A$25,Доп.расчеты!$A123,'Как есть'!DK$17:DK$25)</f>
        <v>0</v>
      </c>
      <c r="DK123">
        <f>SUMIF('Как есть'!$A$17:$A$25,Доп.расчеты!$A123,'Как есть'!DL$17:DL$25)</f>
        <v>0</v>
      </c>
      <c r="DL123">
        <f>SUMIF('Как есть'!$A$17:$A$25,Доп.расчеты!$A123,'Как есть'!DM$17:DM$25)</f>
        <v>0</v>
      </c>
      <c r="DM123">
        <f>SUMIF('Как есть'!$A$17:$A$25,Доп.расчеты!$A123,'Как есть'!DN$17:DN$25)</f>
        <v>0</v>
      </c>
      <c r="DN123">
        <f>SUMIF('Как есть'!$A$17:$A$25,Доп.расчеты!$A123,'Как есть'!DO$17:DO$25)</f>
        <v>0</v>
      </c>
      <c r="DO123">
        <f>SUMIF('Как есть'!$A$17:$A$25,Доп.расчеты!$A123,'Как есть'!DP$17:DP$25)</f>
        <v>0</v>
      </c>
      <c r="DP123">
        <f>SUMIF('Как есть'!$A$17:$A$25,Доп.расчеты!$A123,'Как есть'!DQ$17:DQ$25)</f>
        <v>0</v>
      </c>
      <c r="DQ123">
        <f>SUMIF('Как есть'!$A$17:$A$25,Доп.расчеты!$A123,'Как есть'!DR$17:DR$25)</f>
        <v>0</v>
      </c>
      <c r="DR123">
        <f>SUMIF('Как есть'!$A$17:$A$25,Доп.расчеты!$A123,'Как есть'!DS$17:DS$25)</f>
        <v>0</v>
      </c>
      <c r="DS123">
        <f>SUMIF('Как есть'!$A$17:$A$25,Доп.расчеты!$A123,'Как есть'!DT$17:DT$25)</f>
        <v>0</v>
      </c>
      <c r="DT123">
        <f>SUMIF('Как есть'!$A$17:$A$25,Доп.расчеты!$A123,'Как есть'!DU$17:DU$25)</f>
        <v>0</v>
      </c>
      <c r="DU123">
        <f>SUMIF('Как есть'!$A$17:$A$25,Доп.расчеты!$A123,'Как есть'!DV$17:DV$25)</f>
        <v>0</v>
      </c>
      <c r="DV123">
        <f>SUMIF('Как есть'!$A$17:$A$25,Доп.расчеты!$A123,'Как есть'!DW$17:DW$25)</f>
        <v>0</v>
      </c>
      <c r="DW123">
        <f>SUMIF('Как есть'!$A$17:$A$25,Доп.расчеты!$A123,'Как есть'!DX$17:DX$25)</f>
        <v>0</v>
      </c>
      <c r="DX123">
        <f>SUMIF('Как есть'!$A$17:$A$25,Доп.расчеты!$A123,'Как есть'!DY$17:DY$25)</f>
        <v>0</v>
      </c>
      <c r="DY123">
        <f>SUMIF('Как есть'!$A$17:$A$25,Доп.расчеты!$A123,'Как есть'!DZ$17:DZ$25)</f>
        <v>0</v>
      </c>
      <c r="DZ123">
        <f>SUMIF('Как есть'!$A$17:$A$25,Доп.расчеты!$A123,'Как есть'!EA$17:EA$25)</f>
        <v>0</v>
      </c>
      <c r="EA123">
        <f>SUMIF('Как есть'!$A$17:$A$25,Доп.расчеты!$A123,'Как есть'!EB$17:EB$25)</f>
        <v>0</v>
      </c>
      <c r="EB123">
        <f>SUMIF('Как есть'!$A$17:$A$25,Доп.расчеты!$A123,'Как есть'!EC$17:EC$25)</f>
        <v>0</v>
      </c>
      <c r="EC123">
        <f>SUMIF('Как есть'!$A$17:$A$25,Доп.расчеты!$A123,'Как есть'!ED$17:ED$25)</f>
        <v>0</v>
      </c>
      <c r="ED123">
        <f>SUMIF('Как есть'!$A$17:$A$25,Доп.расчеты!$A123,'Как есть'!EE$17:EE$25)</f>
        <v>0</v>
      </c>
      <c r="EE123">
        <f>SUMIF('Как есть'!$A$17:$A$25,Доп.расчеты!$A123,'Как есть'!EF$17:EF$25)</f>
        <v>0</v>
      </c>
      <c r="EF123">
        <f>SUMIF('Как есть'!$A$17:$A$25,Доп.расчеты!$A123,'Как есть'!EG$17:EG$25)</f>
        <v>0</v>
      </c>
      <c r="EG123">
        <f>SUMIF('Как есть'!$A$17:$A$25,Доп.расчеты!$A123,'Как есть'!EH$17:EH$25)</f>
        <v>0</v>
      </c>
      <c r="EH123">
        <f>SUMIF('Как есть'!$A$17:$A$25,Доп.расчеты!$A123,'Как есть'!EI$17:EI$25)</f>
        <v>0</v>
      </c>
      <c r="EI123">
        <f>SUMIF('Как есть'!$A$17:$A$25,Доп.расчеты!$A123,'Как есть'!EJ$17:EJ$25)</f>
        <v>0</v>
      </c>
      <c r="EJ123">
        <f>SUMIF('Как есть'!$A$17:$A$25,Доп.расчеты!$A123,'Как есть'!EK$17:EK$25)</f>
        <v>0</v>
      </c>
      <c r="EK123">
        <f>SUMIF('Как есть'!$A$17:$A$25,Доп.расчеты!$A123,'Как есть'!EL$17:EL$25)</f>
        <v>0</v>
      </c>
      <c r="EL123">
        <f>SUMIF('Как есть'!$A$17:$A$25,Доп.расчеты!$A123,'Как есть'!EM$17:EM$25)</f>
        <v>0</v>
      </c>
      <c r="EM123">
        <f>SUMIF('Как есть'!$A$17:$A$25,Доп.расчеты!$A123,'Как есть'!EN$17:EN$25)</f>
        <v>0</v>
      </c>
      <c r="EN123">
        <f>SUMIF('Как есть'!$A$17:$A$25,Доп.расчеты!$A123,'Как есть'!EO$17:EO$25)</f>
        <v>0</v>
      </c>
      <c r="EO123">
        <f>SUMIF('Как есть'!$A$17:$A$25,Доп.расчеты!$A123,'Как есть'!EP$17:EP$25)</f>
        <v>0</v>
      </c>
      <c r="EP123">
        <f>SUMIF('Как есть'!$A$17:$A$25,Доп.расчеты!$A123,'Как есть'!EQ$17:EQ$25)</f>
        <v>0</v>
      </c>
      <c r="EQ123">
        <f>SUMIF('Как есть'!$A$17:$A$25,Доп.расчеты!$A123,'Как есть'!ER$17:ER$25)</f>
        <v>0</v>
      </c>
      <c r="ER123">
        <f>SUMIF('Как есть'!$A$17:$A$25,Доп.расчеты!$A123,'Как есть'!ES$17:ES$25)</f>
        <v>0</v>
      </c>
      <c r="ES123">
        <f>SUMIF('Как есть'!$A$17:$A$25,Доп.расчеты!$A123,'Как есть'!ET$17:ET$25)</f>
        <v>0</v>
      </c>
      <c r="ET123">
        <f>SUMIF('Как есть'!$A$17:$A$25,Доп.расчеты!$A123,'Как есть'!EU$17:EU$25)</f>
        <v>0</v>
      </c>
      <c r="EU123">
        <f>SUMIF('Как есть'!$A$17:$A$25,Доп.расчеты!$A123,'Как есть'!EV$17:EV$25)</f>
        <v>0</v>
      </c>
      <c r="EV123">
        <f>SUMIF('Как есть'!$A$17:$A$25,Доп.расчеты!$A123,'Как есть'!EW$17:EW$25)</f>
        <v>0</v>
      </c>
      <c r="EW123">
        <f>SUMIF('Как есть'!$A$17:$A$25,Доп.расчеты!$A123,'Как есть'!EX$17:EX$25)</f>
        <v>0</v>
      </c>
      <c r="EX123">
        <f>SUMIF('Как есть'!$A$17:$A$25,Доп.расчеты!$A123,'Как есть'!EY$17:EY$25)</f>
        <v>0</v>
      </c>
      <c r="EY123">
        <f>SUMIF('Как есть'!$A$17:$A$25,Доп.расчеты!$A123,'Как есть'!EZ$17:EZ$25)</f>
        <v>0</v>
      </c>
      <c r="EZ123">
        <f>SUMIF('Как есть'!$A$17:$A$25,Доп.расчеты!$A123,'Как есть'!FA$17:FA$25)</f>
        <v>0</v>
      </c>
      <c r="FA123">
        <f>SUMIF('Как есть'!$A$17:$A$25,Доп.расчеты!$A123,'Как есть'!FB$17:FB$25)</f>
        <v>0</v>
      </c>
      <c r="FB123">
        <f>SUMIF('Как есть'!$A$17:$A$25,Доп.расчеты!$A123,'Как есть'!FC$17:FC$25)</f>
        <v>0</v>
      </c>
      <c r="FC123">
        <f>SUMIF('Как есть'!$A$17:$A$25,Доп.расчеты!$A123,'Как есть'!FD$17:FD$25)</f>
        <v>0</v>
      </c>
      <c r="FD123">
        <f>SUMIF('Как есть'!$A$17:$A$25,Доп.расчеты!$A123,'Как есть'!FE$17:FE$25)</f>
        <v>0</v>
      </c>
      <c r="FE123">
        <f>SUMIF('Как есть'!$A$17:$A$25,Доп.расчеты!$A123,'Как есть'!FF$17:FF$25)</f>
        <v>0</v>
      </c>
      <c r="FF123">
        <f>SUMIF('Как есть'!$A$17:$A$25,Доп.расчеты!$A123,'Как есть'!FG$17:FG$25)</f>
        <v>0</v>
      </c>
      <c r="FG123">
        <f>SUMIF('Как есть'!$A$17:$A$25,Доп.расчеты!$A123,'Как есть'!FH$17:FH$25)</f>
        <v>0</v>
      </c>
      <c r="FH123">
        <f>SUMIF('Как есть'!$A$17:$A$25,Доп.расчеты!$A123,'Как есть'!FI$17:FI$25)</f>
        <v>0</v>
      </c>
      <c r="FI123">
        <f>SUMIF('Как есть'!$A$17:$A$25,Доп.расчеты!$A123,'Как есть'!FJ$17:FJ$25)</f>
        <v>0</v>
      </c>
      <c r="FJ123">
        <f>SUMIF('Как есть'!$A$17:$A$25,Доп.расчеты!$A123,'Как есть'!FK$17:FK$25)</f>
        <v>0</v>
      </c>
      <c r="FK123">
        <f>SUMIF('Как есть'!$A$17:$A$25,Доп.расчеты!$A123,'Как есть'!FL$17:FL$25)</f>
        <v>0</v>
      </c>
      <c r="FL123">
        <f>SUMIF('Как есть'!$A$17:$A$25,Доп.расчеты!$A123,'Как есть'!FM$17:FM$25)</f>
        <v>0</v>
      </c>
      <c r="FM123">
        <f>SUMIF('Как есть'!$A$17:$A$25,Доп.расчеты!$A123,'Как есть'!FN$17:FN$25)</f>
        <v>0</v>
      </c>
      <c r="FN123">
        <f>SUMIF('Как есть'!$A$17:$A$25,Доп.расчеты!$A123,'Как есть'!FO$17:FO$25)</f>
        <v>0</v>
      </c>
      <c r="FO123">
        <f>SUMIF('Как есть'!$A$17:$A$25,Доп.расчеты!$A123,'Как есть'!FP$17:FP$25)</f>
        <v>0</v>
      </c>
      <c r="FP123">
        <f>SUMIF('Как есть'!$A$17:$A$25,Доп.расчеты!$A123,'Как есть'!FQ$17:FQ$25)</f>
        <v>0</v>
      </c>
      <c r="FQ123">
        <f>SUMIF('Как есть'!$A$17:$A$25,Доп.расчеты!$A123,'Как есть'!FR$17:FR$25)</f>
        <v>0</v>
      </c>
      <c r="FR123">
        <f>SUMIF('Как есть'!$A$17:$A$25,Доп.расчеты!$A123,'Как есть'!FS$17:FS$25)</f>
        <v>0</v>
      </c>
      <c r="FS123">
        <f>SUMIF('Как есть'!$A$17:$A$25,Доп.расчеты!$A123,'Как есть'!FT$17:FT$25)</f>
        <v>0</v>
      </c>
      <c r="FT123">
        <f>SUMIF('Как есть'!$A$17:$A$25,Доп.расчеты!$A123,'Как есть'!FU$17:FU$25)</f>
        <v>0</v>
      </c>
      <c r="FU123">
        <f>SUMIF('Как есть'!$A$17:$A$25,Доп.расчеты!$A123,'Как есть'!FV$17:FV$25)</f>
        <v>0</v>
      </c>
      <c r="FV123">
        <f>SUMIF('Как есть'!$A$17:$A$25,Доп.расчеты!$A123,'Как есть'!FW$17:FW$25)</f>
        <v>0</v>
      </c>
      <c r="FW123">
        <f>SUMIF('Как есть'!$A$17:$A$25,Доп.расчеты!$A123,'Как есть'!FX$17:FX$25)</f>
        <v>0</v>
      </c>
      <c r="FX123">
        <f>SUMIF('Как есть'!$A$17:$A$25,Доп.расчеты!$A123,'Как есть'!FY$17:FY$25)</f>
        <v>0</v>
      </c>
      <c r="FY123">
        <f>SUMIF('Как есть'!$A$17:$A$25,Доп.расчеты!$A123,'Как есть'!FZ$17:FZ$25)</f>
        <v>0</v>
      </c>
      <c r="FZ123">
        <f>SUMIF('Как есть'!$A$17:$A$25,Доп.расчеты!$A123,'Как есть'!GA$17:GA$25)</f>
        <v>0</v>
      </c>
      <c r="GA123">
        <f>SUMIF('Как есть'!$A$17:$A$25,Доп.расчеты!$A123,'Как есть'!GB$17:GB$25)</f>
        <v>0</v>
      </c>
      <c r="GB123">
        <f>SUMIF('Как есть'!$A$17:$A$25,Доп.расчеты!$A123,'Как есть'!GC$17:GC$25)</f>
        <v>0</v>
      </c>
      <c r="GC123">
        <f>SUMIF('Как есть'!$A$17:$A$25,Доп.расчеты!$A123,'Как есть'!GD$17:GD$25)</f>
        <v>0</v>
      </c>
      <c r="GD123">
        <f>SUMIF('Как есть'!$A$17:$A$25,Доп.расчеты!$A123,'Как есть'!GE$17:GE$25)</f>
        <v>0</v>
      </c>
      <c r="GE123">
        <f>SUMIF('Как есть'!$A$17:$A$25,Доп.расчеты!$A123,'Как есть'!GF$17:GF$25)</f>
        <v>0</v>
      </c>
      <c r="GF123">
        <f>SUMIF('Как есть'!$A$17:$A$25,Доп.расчеты!$A123,'Как есть'!GG$17:GG$25)</f>
        <v>0</v>
      </c>
      <c r="GG123">
        <f>SUMIF('Как есть'!$A$17:$A$25,Доп.расчеты!$A123,'Как есть'!GH$17:GH$25)</f>
        <v>0</v>
      </c>
      <c r="GH123">
        <f>SUMIF('Как есть'!$A$17:$A$25,Доп.расчеты!$A123,'Как есть'!GI$17:GI$25)</f>
        <v>0</v>
      </c>
      <c r="GI123">
        <f>SUMIF('Как есть'!$A$17:$A$25,Доп.расчеты!$A123,'Как есть'!GJ$17:GJ$25)</f>
        <v>0</v>
      </c>
      <c r="GJ123">
        <f>SUMIF('Как есть'!$A$17:$A$25,Доп.расчеты!$A123,'Как есть'!GK$17:GK$25)</f>
        <v>0</v>
      </c>
      <c r="GK123">
        <f>SUMIF('Как есть'!$A$17:$A$25,Доп.расчеты!$A123,'Как есть'!GL$17:GL$25)</f>
        <v>0</v>
      </c>
      <c r="GL123">
        <f>SUMIF('Как есть'!$A$17:$A$25,Доп.расчеты!$A123,'Как есть'!GM$17:GM$25)</f>
        <v>0</v>
      </c>
      <c r="GM123">
        <f>SUMIF('Как есть'!$A$17:$A$25,Доп.расчеты!$A123,'Как есть'!GN$17:GN$25)</f>
        <v>0</v>
      </c>
      <c r="GN123">
        <f>SUMIF('Как есть'!$A$17:$A$25,Доп.расчеты!$A123,'Как есть'!GO$17:GO$25)</f>
        <v>0</v>
      </c>
      <c r="GO123">
        <f>SUMIF('Как есть'!$A$17:$A$25,Доп.расчеты!$A123,'Как есть'!GP$17:GP$25)</f>
        <v>0</v>
      </c>
      <c r="GP123">
        <f>SUMIF('Как есть'!$A$17:$A$25,Доп.расчеты!$A123,'Как есть'!GQ$17:GQ$25)</f>
        <v>0</v>
      </c>
      <c r="GQ123">
        <f>SUMIF('Как есть'!$A$17:$A$25,Доп.расчеты!$A123,'Как есть'!GR$17:GR$25)</f>
        <v>0</v>
      </c>
      <c r="GR123">
        <f>SUMIF('Как есть'!$A$17:$A$25,Доп.расчеты!$A123,'Как есть'!GS$17:GS$25)</f>
        <v>0</v>
      </c>
      <c r="GS123">
        <f>SUMIF('Как есть'!$A$17:$A$25,Доп.расчеты!$A123,'Как есть'!GT$17:GT$25)</f>
        <v>0</v>
      </c>
      <c r="GT123">
        <f>SUMIF('Как есть'!$A$17:$A$25,Доп.расчеты!$A123,'Как есть'!GU$17:GU$25)</f>
        <v>0</v>
      </c>
    </row>
    <row r="124" spans="1:202" hidden="1" outlineLevel="1">
      <c r="A124" s="238" t="s">
        <v>102</v>
      </c>
      <c r="B124">
        <f>SUMIF('Как есть'!$A$17:$A$25,Доп.расчеты!$A124,'Как есть'!C$17:C$25)</f>
        <v>0</v>
      </c>
      <c r="C124">
        <f>SUMIF('Как есть'!$A$17:$A$25,Доп.расчеты!$A124,'Как есть'!D$17:D$25)</f>
        <v>0</v>
      </c>
      <c r="D124">
        <f>SUMIF('Как есть'!$A$17:$A$25,Доп.расчеты!$A124,'Как есть'!E$17:E$25)</f>
        <v>0</v>
      </c>
      <c r="E124">
        <f>SUMIF('Как есть'!$A$17:$A$25,Доп.расчеты!$A124,'Как есть'!F$17:F$25)</f>
        <v>0</v>
      </c>
      <c r="F124">
        <f>SUMIF('Как есть'!$A$17:$A$25,Доп.расчеты!$A124,'Как есть'!G$17:G$25)</f>
        <v>0</v>
      </c>
      <c r="G124">
        <f>SUMIF('Как есть'!$A$17:$A$25,Доп.расчеты!$A124,'Как есть'!H$17:H$25)</f>
        <v>0</v>
      </c>
      <c r="H124">
        <f>SUMIF('Как есть'!$A$17:$A$25,Доп.расчеты!$A124,'Как есть'!I$17:I$25)</f>
        <v>0</v>
      </c>
      <c r="I124">
        <f>SUMIF('Как есть'!$A$17:$A$25,Доп.расчеты!$A124,'Как есть'!J$17:J$25)</f>
        <v>0</v>
      </c>
      <c r="J124">
        <f>SUMIF('Как есть'!$A$17:$A$25,Доп.расчеты!$A124,'Как есть'!K$17:K$25)</f>
        <v>0</v>
      </c>
      <c r="K124">
        <f>SUMIF('Как есть'!$A$17:$A$25,Доп.расчеты!$A124,'Как есть'!L$17:L$25)</f>
        <v>0</v>
      </c>
      <c r="L124">
        <f>SUMIF('Как есть'!$A$17:$A$25,Доп.расчеты!$A124,'Как есть'!M$17:M$25)</f>
        <v>0</v>
      </c>
      <c r="M124">
        <f>SUMIF('Как есть'!$A$17:$A$25,Доп.расчеты!$A124,'Как есть'!N$17:N$25)</f>
        <v>0</v>
      </c>
      <c r="N124">
        <f>SUMIF('Как есть'!$A$17:$A$25,Доп.расчеты!$A124,'Как есть'!O$17:O$25)</f>
        <v>0</v>
      </c>
      <c r="O124">
        <f>SUMIF('Как есть'!$A$17:$A$25,Доп.расчеты!$A124,'Как есть'!P$17:P$25)</f>
        <v>0</v>
      </c>
      <c r="P124">
        <f>SUMIF('Как есть'!$A$17:$A$25,Доп.расчеты!$A124,'Как есть'!Q$17:Q$25)</f>
        <v>0</v>
      </c>
      <c r="Q124">
        <f>SUMIF('Как есть'!$A$17:$A$25,Доп.расчеты!$A124,'Как есть'!R$17:R$25)</f>
        <v>0</v>
      </c>
      <c r="R124">
        <f>SUMIF('Как есть'!$A$17:$A$25,Доп.расчеты!$A124,'Как есть'!S$17:S$25)</f>
        <v>0</v>
      </c>
      <c r="S124">
        <f>SUMIF('Как есть'!$A$17:$A$25,Доп.расчеты!$A124,'Как есть'!T$17:T$25)</f>
        <v>0</v>
      </c>
      <c r="T124">
        <f>SUMIF('Как есть'!$A$17:$A$25,Доп.расчеты!$A124,'Как есть'!U$17:U$25)</f>
        <v>0</v>
      </c>
      <c r="U124">
        <f>SUMIF('Как есть'!$A$17:$A$25,Доп.расчеты!$A124,'Как есть'!V$17:V$25)</f>
        <v>0</v>
      </c>
      <c r="V124">
        <f>SUMIF('Как есть'!$A$17:$A$25,Доп.расчеты!$A124,'Как есть'!W$17:W$25)</f>
        <v>0</v>
      </c>
      <c r="W124">
        <f>SUMIF('Как есть'!$A$17:$A$25,Доп.расчеты!$A124,'Как есть'!X$17:X$25)</f>
        <v>0</v>
      </c>
      <c r="X124">
        <f>SUMIF('Как есть'!$A$17:$A$25,Доп.расчеты!$A124,'Как есть'!Y$17:Y$25)</f>
        <v>0</v>
      </c>
      <c r="Y124">
        <f>SUMIF('Как есть'!$A$17:$A$25,Доп.расчеты!$A124,'Как есть'!Z$17:Z$25)</f>
        <v>0</v>
      </c>
      <c r="Z124">
        <f>SUMIF('Как есть'!$A$17:$A$25,Доп.расчеты!$A124,'Как есть'!AA$17:AA$25)</f>
        <v>0</v>
      </c>
      <c r="AA124">
        <f>SUMIF('Как есть'!$A$17:$A$25,Доп.расчеты!$A124,'Как есть'!AB$17:AB$25)</f>
        <v>0</v>
      </c>
      <c r="AB124">
        <f>SUMIF('Как есть'!$A$17:$A$25,Доп.расчеты!$A124,'Как есть'!AC$17:AC$25)</f>
        <v>0</v>
      </c>
      <c r="AC124">
        <f>SUMIF('Как есть'!$A$17:$A$25,Доп.расчеты!$A124,'Как есть'!AD$17:AD$25)</f>
        <v>0</v>
      </c>
      <c r="AD124">
        <f>SUMIF('Как есть'!$A$17:$A$25,Доп.расчеты!$A124,'Как есть'!AE$17:AE$25)</f>
        <v>0</v>
      </c>
      <c r="AE124">
        <f>SUMIF('Как есть'!$A$17:$A$25,Доп.расчеты!$A124,'Как есть'!AF$17:AF$25)</f>
        <v>0</v>
      </c>
      <c r="AF124">
        <f>SUMIF('Как есть'!$A$17:$A$25,Доп.расчеты!$A124,'Как есть'!AG$17:AG$25)</f>
        <v>0</v>
      </c>
      <c r="AG124">
        <f>SUMIF('Как есть'!$A$17:$A$25,Доп.расчеты!$A124,'Как есть'!AH$17:AH$25)</f>
        <v>0</v>
      </c>
      <c r="AH124">
        <f>SUMIF('Как есть'!$A$17:$A$25,Доп.расчеты!$A124,'Как есть'!AI$17:AI$25)</f>
        <v>0</v>
      </c>
      <c r="AI124">
        <f>SUMIF('Как есть'!$A$17:$A$25,Доп.расчеты!$A124,'Как есть'!AJ$17:AJ$25)</f>
        <v>0</v>
      </c>
      <c r="AJ124">
        <f>SUMIF('Как есть'!$A$17:$A$25,Доп.расчеты!$A124,'Как есть'!AK$17:AK$25)</f>
        <v>0</v>
      </c>
      <c r="AK124">
        <f>SUMIF('Как есть'!$A$17:$A$25,Доп.расчеты!$A124,'Как есть'!AL$17:AL$25)</f>
        <v>0</v>
      </c>
      <c r="AL124">
        <f>SUMIF('Как есть'!$A$17:$A$25,Доп.расчеты!$A124,'Как есть'!AM$17:AM$25)</f>
        <v>0</v>
      </c>
      <c r="AM124">
        <f>SUMIF('Как есть'!$A$17:$A$25,Доп.расчеты!$A124,'Как есть'!AN$17:AN$25)</f>
        <v>0</v>
      </c>
      <c r="AN124">
        <f>SUMIF('Как есть'!$A$17:$A$25,Доп.расчеты!$A124,'Как есть'!AO$17:AO$25)</f>
        <v>0</v>
      </c>
      <c r="AO124">
        <f>SUMIF('Как есть'!$A$17:$A$25,Доп.расчеты!$A124,'Как есть'!AP$17:AP$25)</f>
        <v>0</v>
      </c>
      <c r="AP124">
        <f>SUMIF('Как есть'!$A$17:$A$25,Доп.расчеты!$A124,'Как есть'!AQ$17:AQ$25)</f>
        <v>0</v>
      </c>
      <c r="AQ124">
        <f>SUMIF('Как есть'!$A$17:$A$25,Доп.расчеты!$A124,'Как есть'!AR$17:AR$25)</f>
        <v>0</v>
      </c>
      <c r="AR124">
        <f>SUMIF('Как есть'!$A$17:$A$25,Доп.расчеты!$A124,'Как есть'!AS$17:AS$25)</f>
        <v>0</v>
      </c>
      <c r="AS124">
        <f>SUMIF('Как есть'!$A$17:$A$25,Доп.расчеты!$A124,'Как есть'!AT$17:AT$25)</f>
        <v>0</v>
      </c>
      <c r="AT124">
        <f>SUMIF('Как есть'!$A$17:$A$25,Доп.расчеты!$A124,'Как есть'!AU$17:AU$25)</f>
        <v>0</v>
      </c>
      <c r="AU124">
        <f>SUMIF('Как есть'!$A$17:$A$25,Доп.расчеты!$A124,'Как есть'!AV$17:AV$25)</f>
        <v>0</v>
      </c>
      <c r="AV124">
        <f>SUMIF('Как есть'!$A$17:$A$25,Доп.расчеты!$A124,'Как есть'!AW$17:AW$25)</f>
        <v>0</v>
      </c>
      <c r="AW124">
        <f>SUMIF('Как есть'!$A$17:$A$25,Доп.расчеты!$A124,'Как есть'!AX$17:AX$25)</f>
        <v>0</v>
      </c>
      <c r="AX124">
        <f>SUMIF('Как есть'!$A$17:$A$25,Доп.расчеты!$A124,'Как есть'!AY$17:AY$25)</f>
        <v>0</v>
      </c>
      <c r="AY124">
        <f>SUMIF('Как есть'!$A$17:$A$25,Доп.расчеты!$A124,'Как есть'!AZ$17:AZ$25)</f>
        <v>0</v>
      </c>
      <c r="AZ124">
        <f>SUMIF('Как есть'!$A$17:$A$25,Доп.расчеты!$A124,'Как есть'!BA$17:BA$25)</f>
        <v>0</v>
      </c>
      <c r="BA124">
        <f>SUMIF('Как есть'!$A$17:$A$25,Доп.расчеты!$A124,'Как есть'!BB$17:BB$25)</f>
        <v>0</v>
      </c>
      <c r="BB124">
        <f>SUMIF('Как есть'!$A$17:$A$25,Доп.расчеты!$A124,'Как есть'!BC$17:BC$25)</f>
        <v>0</v>
      </c>
      <c r="BC124">
        <f>SUMIF('Как есть'!$A$17:$A$25,Доп.расчеты!$A124,'Как есть'!BD$17:BD$25)</f>
        <v>0</v>
      </c>
      <c r="BD124">
        <f>SUMIF('Как есть'!$A$17:$A$25,Доп.расчеты!$A124,'Как есть'!BE$17:BE$25)</f>
        <v>0</v>
      </c>
      <c r="BE124">
        <f>SUMIF('Как есть'!$A$17:$A$25,Доп.расчеты!$A124,'Как есть'!BF$17:BF$25)</f>
        <v>0</v>
      </c>
      <c r="BF124">
        <f>SUMIF('Как есть'!$A$17:$A$25,Доп.расчеты!$A124,'Как есть'!BG$17:BG$25)</f>
        <v>0</v>
      </c>
      <c r="BG124">
        <f>SUMIF('Как есть'!$A$17:$A$25,Доп.расчеты!$A124,'Как есть'!BH$17:BH$25)</f>
        <v>0</v>
      </c>
      <c r="BH124">
        <f>SUMIF('Как есть'!$A$17:$A$25,Доп.расчеты!$A124,'Как есть'!BI$17:BI$25)</f>
        <v>0</v>
      </c>
      <c r="BI124">
        <f>SUMIF('Как есть'!$A$17:$A$25,Доп.расчеты!$A124,'Как есть'!BJ$17:BJ$25)</f>
        <v>0</v>
      </c>
      <c r="BJ124">
        <f>SUMIF('Как есть'!$A$17:$A$25,Доп.расчеты!$A124,'Как есть'!BK$17:BK$25)</f>
        <v>0</v>
      </c>
      <c r="BK124">
        <f>SUMIF('Как есть'!$A$17:$A$25,Доп.расчеты!$A124,'Как есть'!BL$17:BL$25)</f>
        <v>0</v>
      </c>
      <c r="BL124">
        <f>SUMIF('Как есть'!$A$17:$A$25,Доп.расчеты!$A124,'Как есть'!BM$17:BM$25)</f>
        <v>0</v>
      </c>
      <c r="BM124">
        <f>SUMIF('Как есть'!$A$17:$A$25,Доп.расчеты!$A124,'Как есть'!BN$17:BN$25)</f>
        <v>0</v>
      </c>
      <c r="BN124">
        <f>SUMIF('Как есть'!$A$17:$A$25,Доп.расчеты!$A124,'Как есть'!BO$17:BO$25)</f>
        <v>0</v>
      </c>
      <c r="BO124">
        <f>SUMIF('Как есть'!$A$17:$A$25,Доп.расчеты!$A124,'Как есть'!BP$17:BP$25)</f>
        <v>0</v>
      </c>
      <c r="BP124">
        <f>SUMIF('Как есть'!$A$17:$A$25,Доп.расчеты!$A124,'Как есть'!BQ$17:BQ$25)</f>
        <v>0</v>
      </c>
      <c r="BQ124">
        <f>SUMIF('Как есть'!$A$17:$A$25,Доп.расчеты!$A124,'Как есть'!BR$17:BR$25)</f>
        <v>0</v>
      </c>
      <c r="BR124">
        <f>SUMIF('Как есть'!$A$17:$A$25,Доп.расчеты!$A124,'Как есть'!BS$17:BS$25)</f>
        <v>0</v>
      </c>
      <c r="BS124">
        <f>SUMIF('Как есть'!$A$17:$A$25,Доп.расчеты!$A124,'Как есть'!BT$17:BT$25)</f>
        <v>0</v>
      </c>
      <c r="BT124">
        <f>SUMIF('Как есть'!$A$17:$A$25,Доп.расчеты!$A124,'Как есть'!BU$17:BU$25)</f>
        <v>0</v>
      </c>
      <c r="BU124">
        <f>SUMIF('Как есть'!$A$17:$A$25,Доп.расчеты!$A124,'Как есть'!BV$17:BV$25)</f>
        <v>0</v>
      </c>
      <c r="BV124">
        <f>SUMIF('Как есть'!$A$17:$A$25,Доп.расчеты!$A124,'Как есть'!BW$17:BW$25)</f>
        <v>0</v>
      </c>
      <c r="BW124">
        <f>SUMIF('Как есть'!$A$17:$A$25,Доп.расчеты!$A124,'Как есть'!BX$17:BX$25)</f>
        <v>0</v>
      </c>
      <c r="BX124">
        <f>SUMIF('Как есть'!$A$17:$A$25,Доп.расчеты!$A124,'Как есть'!BY$17:BY$25)</f>
        <v>0</v>
      </c>
      <c r="BY124">
        <f>SUMIF('Как есть'!$A$17:$A$25,Доп.расчеты!$A124,'Как есть'!BZ$17:BZ$25)</f>
        <v>0</v>
      </c>
      <c r="BZ124">
        <f>SUMIF('Как есть'!$A$17:$A$25,Доп.расчеты!$A124,'Как есть'!CA$17:CA$25)</f>
        <v>0</v>
      </c>
      <c r="CA124">
        <f>SUMIF('Как есть'!$A$17:$A$25,Доп.расчеты!$A124,'Как есть'!CB$17:CB$25)</f>
        <v>0</v>
      </c>
      <c r="CB124">
        <f>SUMIF('Как есть'!$A$17:$A$25,Доп.расчеты!$A124,'Как есть'!CC$17:CC$25)</f>
        <v>0</v>
      </c>
      <c r="CC124">
        <f>SUMIF('Как есть'!$A$17:$A$25,Доп.расчеты!$A124,'Как есть'!CD$17:CD$25)</f>
        <v>0</v>
      </c>
      <c r="CD124">
        <f>SUMIF('Как есть'!$A$17:$A$25,Доп.расчеты!$A124,'Как есть'!CE$17:CE$25)</f>
        <v>0</v>
      </c>
      <c r="CE124">
        <f>SUMIF('Как есть'!$A$17:$A$25,Доп.расчеты!$A124,'Как есть'!CF$17:CF$25)</f>
        <v>0</v>
      </c>
      <c r="CF124">
        <f>SUMIF('Как есть'!$A$17:$A$25,Доп.расчеты!$A124,'Как есть'!CG$17:CG$25)</f>
        <v>0</v>
      </c>
      <c r="CG124">
        <f>SUMIF('Как есть'!$A$17:$A$25,Доп.расчеты!$A124,'Как есть'!CH$17:CH$25)</f>
        <v>0</v>
      </c>
      <c r="CH124">
        <f>SUMIF('Как есть'!$A$17:$A$25,Доп.расчеты!$A124,'Как есть'!CI$17:CI$25)</f>
        <v>0</v>
      </c>
      <c r="CI124">
        <f>SUMIF('Как есть'!$A$17:$A$25,Доп.расчеты!$A124,'Как есть'!CJ$17:CJ$25)</f>
        <v>0</v>
      </c>
      <c r="CJ124">
        <f>SUMIF('Как есть'!$A$17:$A$25,Доп.расчеты!$A124,'Как есть'!CK$17:CK$25)</f>
        <v>0</v>
      </c>
      <c r="CK124">
        <f>SUMIF('Как есть'!$A$17:$A$25,Доп.расчеты!$A124,'Как есть'!CL$17:CL$25)</f>
        <v>0</v>
      </c>
      <c r="CL124">
        <f>SUMIF('Как есть'!$A$17:$A$25,Доп.расчеты!$A124,'Как есть'!CM$17:CM$25)</f>
        <v>0</v>
      </c>
      <c r="CM124">
        <f>SUMIF('Как есть'!$A$17:$A$25,Доп.расчеты!$A124,'Как есть'!CN$17:CN$25)</f>
        <v>0</v>
      </c>
      <c r="CN124">
        <f>SUMIF('Как есть'!$A$17:$A$25,Доп.расчеты!$A124,'Как есть'!CO$17:CO$25)</f>
        <v>0</v>
      </c>
      <c r="CO124">
        <f>SUMIF('Как есть'!$A$17:$A$25,Доп.расчеты!$A124,'Как есть'!CP$17:CP$25)</f>
        <v>0</v>
      </c>
      <c r="CP124">
        <f>SUMIF('Как есть'!$A$17:$A$25,Доп.расчеты!$A124,'Как есть'!CQ$17:CQ$25)</f>
        <v>0</v>
      </c>
      <c r="CQ124">
        <f>SUMIF('Как есть'!$A$17:$A$25,Доп.расчеты!$A124,'Как есть'!CR$17:CR$25)</f>
        <v>0</v>
      </c>
      <c r="CR124">
        <f>SUMIF('Как есть'!$A$17:$A$25,Доп.расчеты!$A124,'Как есть'!CS$17:CS$25)</f>
        <v>0</v>
      </c>
      <c r="CS124">
        <f>SUMIF('Как есть'!$A$17:$A$25,Доп.расчеты!$A124,'Как есть'!CT$17:CT$25)</f>
        <v>0</v>
      </c>
      <c r="CT124">
        <f>SUMIF('Как есть'!$A$17:$A$25,Доп.расчеты!$A124,'Как есть'!CU$17:CU$25)</f>
        <v>0</v>
      </c>
      <c r="CU124">
        <f>SUMIF('Как есть'!$A$17:$A$25,Доп.расчеты!$A124,'Как есть'!CV$17:CV$25)</f>
        <v>0</v>
      </c>
      <c r="CV124">
        <f>SUMIF('Как есть'!$A$17:$A$25,Доп.расчеты!$A124,'Как есть'!CW$17:CW$25)</f>
        <v>0</v>
      </c>
      <c r="CW124">
        <f>SUMIF('Как есть'!$A$17:$A$25,Доп.расчеты!$A124,'Как есть'!CX$17:CX$25)</f>
        <v>0</v>
      </c>
      <c r="CX124">
        <f>SUMIF('Как есть'!$A$17:$A$25,Доп.расчеты!$A124,'Как есть'!CY$17:CY$25)</f>
        <v>0</v>
      </c>
      <c r="CY124">
        <f>SUMIF('Как есть'!$A$17:$A$25,Доп.расчеты!$A124,'Как есть'!CZ$17:CZ$25)</f>
        <v>0</v>
      </c>
      <c r="CZ124">
        <f>SUMIF('Как есть'!$A$17:$A$25,Доп.расчеты!$A124,'Как есть'!DA$17:DA$25)</f>
        <v>0</v>
      </c>
      <c r="DA124">
        <f>SUMIF('Как есть'!$A$17:$A$25,Доп.расчеты!$A124,'Как есть'!DB$17:DB$25)</f>
        <v>0</v>
      </c>
      <c r="DB124">
        <f>SUMIF('Как есть'!$A$17:$A$25,Доп.расчеты!$A124,'Как есть'!DC$17:DC$25)</f>
        <v>0</v>
      </c>
      <c r="DC124">
        <f>SUMIF('Как есть'!$A$17:$A$25,Доп.расчеты!$A124,'Как есть'!DD$17:DD$25)</f>
        <v>0</v>
      </c>
      <c r="DD124">
        <f>SUMIF('Как есть'!$A$17:$A$25,Доп.расчеты!$A124,'Как есть'!DE$17:DE$25)</f>
        <v>0</v>
      </c>
      <c r="DE124">
        <f>SUMIF('Как есть'!$A$17:$A$25,Доп.расчеты!$A124,'Как есть'!DF$17:DF$25)</f>
        <v>0</v>
      </c>
      <c r="DF124">
        <f>SUMIF('Как есть'!$A$17:$A$25,Доп.расчеты!$A124,'Как есть'!DG$17:DG$25)</f>
        <v>0</v>
      </c>
      <c r="DG124">
        <f>SUMIF('Как есть'!$A$17:$A$25,Доп.расчеты!$A124,'Как есть'!DH$17:DH$25)</f>
        <v>0</v>
      </c>
      <c r="DH124">
        <f>SUMIF('Как есть'!$A$17:$A$25,Доп.расчеты!$A124,'Как есть'!DI$17:DI$25)</f>
        <v>0</v>
      </c>
      <c r="DI124">
        <f>SUMIF('Как есть'!$A$17:$A$25,Доп.расчеты!$A124,'Как есть'!DJ$17:DJ$25)</f>
        <v>0</v>
      </c>
      <c r="DJ124">
        <f>SUMIF('Как есть'!$A$17:$A$25,Доп.расчеты!$A124,'Как есть'!DK$17:DK$25)</f>
        <v>0</v>
      </c>
      <c r="DK124">
        <f>SUMIF('Как есть'!$A$17:$A$25,Доп.расчеты!$A124,'Как есть'!DL$17:DL$25)</f>
        <v>0</v>
      </c>
      <c r="DL124">
        <f>SUMIF('Как есть'!$A$17:$A$25,Доп.расчеты!$A124,'Как есть'!DM$17:DM$25)</f>
        <v>0</v>
      </c>
      <c r="DM124">
        <f>SUMIF('Как есть'!$A$17:$A$25,Доп.расчеты!$A124,'Как есть'!DN$17:DN$25)</f>
        <v>0</v>
      </c>
      <c r="DN124">
        <f>SUMIF('Как есть'!$A$17:$A$25,Доп.расчеты!$A124,'Как есть'!DO$17:DO$25)</f>
        <v>0</v>
      </c>
      <c r="DO124">
        <f>SUMIF('Как есть'!$A$17:$A$25,Доп.расчеты!$A124,'Как есть'!DP$17:DP$25)</f>
        <v>0</v>
      </c>
      <c r="DP124">
        <f>SUMIF('Как есть'!$A$17:$A$25,Доп.расчеты!$A124,'Как есть'!DQ$17:DQ$25)</f>
        <v>0</v>
      </c>
      <c r="DQ124">
        <f>SUMIF('Как есть'!$A$17:$A$25,Доп.расчеты!$A124,'Как есть'!DR$17:DR$25)</f>
        <v>0</v>
      </c>
      <c r="DR124">
        <f>SUMIF('Как есть'!$A$17:$A$25,Доп.расчеты!$A124,'Как есть'!DS$17:DS$25)</f>
        <v>0</v>
      </c>
      <c r="DS124">
        <f>SUMIF('Как есть'!$A$17:$A$25,Доп.расчеты!$A124,'Как есть'!DT$17:DT$25)</f>
        <v>0</v>
      </c>
      <c r="DT124">
        <f>SUMIF('Как есть'!$A$17:$A$25,Доп.расчеты!$A124,'Как есть'!DU$17:DU$25)</f>
        <v>0</v>
      </c>
      <c r="DU124">
        <f>SUMIF('Как есть'!$A$17:$A$25,Доп.расчеты!$A124,'Как есть'!DV$17:DV$25)</f>
        <v>0</v>
      </c>
      <c r="DV124">
        <f>SUMIF('Как есть'!$A$17:$A$25,Доп.расчеты!$A124,'Как есть'!DW$17:DW$25)</f>
        <v>0</v>
      </c>
      <c r="DW124">
        <f>SUMIF('Как есть'!$A$17:$A$25,Доп.расчеты!$A124,'Как есть'!DX$17:DX$25)</f>
        <v>0</v>
      </c>
      <c r="DX124">
        <f>SUMIF('Как есть'!$A$17:$A$25,Доп.расчеты!$A124,'Как есть'!DY$17:DY$25)</f>
        <v>0</v>
      </c>
      <c r="DY124">
        <f>SUMIF('Как есть'!$A$17:$A$25,Доп.расчеты!$A124,'Как есть'!DZ$17:DZ$25)</f>
        <v>0</v>
      </c>
      <c r="DZ124">
        <f>SUMIF('Как есть'!$A$17:$A$25,Доп.расчеты!$A124,'Как есть'!EA$17:EA$25)</f>
        <v>0</v>
      </c>
      <c r="EA124">
        <f>SUMIF('Как есть'!$A$17:$A$25,Доп.расчеты!$A124,'Как есть'!EB$17:EB$25)</f>
        <v>0</v>
      </c>
      <c r="EB124">
        <f>SUMIF('Как есть'!$A$17:$A$25,Доп.расчеты!$A124,'Как есть'!EC$17:EC$25)</f>
        <v>0</v>
      </c>
      <c r="EC124">
        <f>SUMIF('Как есть'!$A$17:$A$25,Доп.расчеты!$A124,'Как есть'!ED$17:ED$25)</f>
        <v>0</v>
      </c>
      <c r="ED124">
        <f>SUMIF('Как есть'!$A$17:$A$25,Доп.расчеты!$A124,'Как есть'!EE$17:EE$25)</f>
        <v>0</v>
      </c>
      <c r="EE124">
        <f>SUMIF('Как есть'!$A$17:$A$25,Доп.расчеты!$A124,'Как есть'!EF$17:EF$25)</f>
        <v>0</v>
      </c>
      <c r="EF124">
        <f>SUMIF('Как есть'!$A$17:$A$25,Доп.расчеты!$A124,'Как есть'!EG$17:EG$25)</f>
        <v>0</v>
      </c>
      <c r="EG124">
        <f>SUMIF('Как есть'!$A$17:$A$25,Доп.расчеты!$A124,'Как есть'!EH$17:EH$25)</f>
        <v>0</v>
      </c>
      <c r="EH124">
        <f>SUMIF('Как есть'!$A$17:$A$25,Доп.расчеты!$A124,'Как есть'!EI$17:EI$25)</f>
        <v>0</v>
      </c>
      <c r="EI124">
        <f>SUMIF('Как есть'!$A$17:$A$25,Доп.расчеты!$A124,'Как есть'!EJ$17:EJ$25)</f>
        <v>0</v>
      </c>
      <c r="EJ124">
        <f>SUMIF('Как есть'!$A$17:$A$25,Доп.расчеты!$A124,'Как есть'!EK$17:EK$25)</f>
        <v>0</v>
      </c>
      <c r="EK124">
        <f>SUMIF('Как есть'!$A$17:$A$25,Доп.расчеты!$A124,'Как есть'!EL$17:EL$25)</f>
        <v>0</v>
      </c>
      <c r="EL124">
        <f>SUMIF('Как есть'!$A$17:$A$25,Доп.расчеты!$A124,'Как есть'!EM$17:EM$25)</f>
        <v>0</v>
      </c>
      <c r="EM124">
        <f>SUMIF('Как есть'!$A$17:$A$25,Доп.расчеты!$A124,'Как есть'!EN$17:EN$25)</f>
        <v>0</v>
      </c>
      <c r="EN124">
        <f>SUMIF('Как есть'!$A$17:$A$25,Доп.расчеты!$A124,'Как есть'!EO$17:EO$25)</f>
        <v>0</v>
      </c>
      <c r="EO124">
        <f>SUMIF('Как есть'!$A$17:$A$25,Доп.расчеты!$A124,'Как есть'!EP$17:EP$25)</f>
        <v>0</v>
      </c>
      <c r="EP124">
        <f>SUMIF('Как есть'!$A$17:$A$25,Доп.расчеты!$A124,'Как есть'!EQ$17:EQ$25)</f>
        <v>0</v>
      </c>
      <c r="EQ124">
        <f>SUMIF('Как есть'!$A$17:$A$25,Доп.расчеты!$A124,'Как есть'!ER$17:ER$25)</f>
        <v>0</v>
      </c>
      <c r="ER124">
        <f>SUMIF('Как есть'!$A$17:$A$25,Доп.расчеты!$A124,'Как есть'!ES$17:ES$25)</f>
        <v>0</v>
      </c>
      <c r="ES124">
        <f>SUMIF('Как есть'!$A$17:$A$25,Доп.расчеты!$A124,'Как есть'!ET$17:ET$25)</f>
        <v>0</v>
      </c>
      <c r="ET124">
        <f>SUMIF('Как есть'!$A$17:$A$25,Доп.расчеты!$A124,'Как есть'!EU$17:EU$25)</f>
        <v>0</v>
      </c>
      <c r="EU124">
        <f>SUMIF('Как есть'!$A$17:$A$25,Доп.расчеты!$A124,'Как есть'!EV$17:EV$25)</f>
        <v>0</v>
      </c>
      <c r="EV124">
        <f>SUMIF('Как есть'!$A$17:$A$25,Доп.расчеты!$A124,'Как есть'!EW$17:EW$25)</f>
        <v>0</v>
      </c>
      <c r="EW124">
        <f>SUMIF('Как есть'!$A$17:$A$25,Доп.расчеты!$A124,'Как есть'!EX$17:EX$25)</f>
        <v>0</v>
      </c>
      <c r="EX124">
        <f>SUMIF('Как есть'!$A$17:$A$25,Доп.расчеты!$A124,'Как есть'!EY$17:EY$25)</f>
        <v>0</v>
      </c>
      <c r="EY124">
        <f>SUMIF('Как есть'!$A$17:$A$25,Доп.расчеты!$A124,'Как есть'!EZ$17:EZ$25)</f>
        <v>0</v>
      </c>
      <c r="EZ124">
        <f>SUMIF('Как есть'!$A$17:$A$25,Доп.расчеты!$A124,'Как есть'!FA$17:FA$25)</f>
        <v>0</v>
      </c>
      <c r="FA124">
        <f>SUMIF('Как есть'!$A$17:$A$25,Доп.расчеты!$A124,'Как есть'!FB$17:FB$25)</f>
        <v>0</v>
      </c>
      <c r="FB124">
        <f>SUMIF('Как есть'!$A$17:$A$25,Доп.расчеты!$A124,'Как есть'!FC$17:FC$25)</f>
        <v>0</v>
      </c>
      <c r="FC124">
        <f>SUMIF('Как есть'!$A$17:$A$25,Доп.расчеты!$A124,'Как есть'!FD$17:FD$25)</f>
        <v>0</v>
      </c>
      <c r="FD124">
        <f>SUMIF('Как есть'!$A$17:$A$25,Доп.расчеты!$A124,'Как есть'!FE$17:FE$25)</f>
        <v>0</v>
      </c>
      <c r="FE124">
        <f>SUMIF('Как есть'!$A$17:$A$25,Доп.расчеты!$A124,'Как есть'!FF$17:FF$25)</f>
        <v>0</v>
      </c>
      <c r="FF124">
        <f>SUMIF('Как есть'!$A$17:$A$25,Доп.расчеты!$A124,'Как есть'!FG$17:FG$25)</f>
        <v>0</v>
      </c>
      <c r="FG124">
        <f>SUMIF('Как есть'!$A$17:$A$25,Доп.расчеты!$A124,'Как есть'!FH$17:FH$25)</f>
        <v>0</v>
      </c>
      <c r="FH124">
        <f>SUMIF('Как есть'!$A$17:$A$25,Доп.расчеты!$A124,'Как есть'!FI$17:FI$25)</f>
        <v>0</v>
      </c>
      <c r="FI124">
        <f>SUMIF('Как есть'!$A$17:$A$25,Доп.расчеты!$A124,'Как есть'!FJ$17:FJ$25)</f>
        <v>0</v>
      </c>
      <c r="FJ124">
        <f>SUMIF('Как есть'!$A$17:$A$25,Доп.расчеты!$A124,'Как есть'!FK$17:FK$25)</f>
        <v>0</v>
      </c>
      <c r="FK124">
        <f>SUMIF('Как есть'!$A$17:$A$25,Доп.расчеты!$A124,'Как есть'!FL$17:FL$25)</f>
        <v>0</v>
      </c>
      <c r="FL124">
        <f>SUMIF('Как есть'!$A$17:$A$25,Доп.расчеты!$A124,'Как есть'!FM$17:FM$25)</f>
        <v>0</v>
      </c>
      <c r="FM124">
        <f>SUMIF('Как есть'!$A$17:$A$25,Доп.расчеты!$A124,'Как есть'!FN$17:FN$25)</f>
        <v>0</v>
      </c>
      <c r="FN124">
        <f>SUMIF('Как есть'!$A$17:$A$25,Доп.расчеты!$A124,'Как есть'!FO$17:FO$25)</f>
        <v>0</v>
      </c>
      <c r="FO124">
        <f>SUMIF('Как есть'!$A$17:$A$25,Доп.расчеты!$A124,'Как есть'!FP$17:FP$25)</f>
        <v>0</v>
      </c>
      <c r="FP124">
        <f>SUMIF('Как есть'!$A$17:$A$25,Доп.расчеты!$A124,'Как есть'!FQ$17:FQ$25)</f>
        <v>0</v>
      </c>
      <c r="FQ124">
        <f>SUMIF('Как есть'!$A$17:$A$25,Доп.расчеты!$A124,'Как есть'!FR$17:FR$25)</f>
        <v>0</v>
      </c>
      <c r="FR124">
        <f>SUMIF('Как есть'!$A$17:$A$25,Доп.расчеты!$A124,'Как есть'!FS$17:FS$25)</f>
        <v>0</v>
      </c>
      <c r="FS124">
        <f>SUMIF('Как есть'!$A$17:$A$25,Доп.расчеты!$A124,'Как есть'!FT$17:FT$25)</f>
        <v>0</v>
      </c>
      <c r="FT124">
        <f>SUMIF('Как есть'!$A$17:$A$25,Доп.расчеты!$A124,'Как есть'!FU$17:FU$25)</f>
        <v>0</v>
      </c>
      <c r="FU124">
        <f>SUMIF('Как есть'!$A$17:$A$25,Доп.расчеты!$A124,'Как есть'!FV$17:FV$25)</f>
        <v>0</v>
      </c>
      <c r="FV124">
        <f>SUMIF('Как есть'!$A$17:$A$25,Доп.расчеты!$A124,'Как есть'!FW$17:FW$25)</f>
        <v>0</v>
      </c>
      <c r="FW124">
        <f>SUMIF('Как есть'!$A$17:$A$25,Доп.расчеты!$A124,'Как есть'!FX$17:FX$25)</f>
        <v>0</v>
      </c>
      <c r="FX124">
        <f>SUMIF('Как есть'!$A$17:$A$25,Доп.расчеты!$A124,'Как есть'!FY$17:FY$25)</f>
        <v>0</v>
      </c>
      <c r="FY124">
        <f>SUMIF('Как есть'!$A$17:$A$25,Доп.расчеты!$A124,'Как есть'!FZ$17:FZ$25)</f>
        <v>0</v>
      </c>
      <c r="FZ124">
        <f>SUMIF('Как есть'!$A$17:$A$25,Доп.расчеты!$A124,'Как есть'!GA$17:GA$25)</f>
        <v>0</v>
      </c>
      <c r="GA124">
        <f>SUMIF('Как есть'!$A$17:$A$25,Доп.расчеты!$A124,'Как есть'!GB$17:GB$25)</f>
        <v>0</v>
      </c>
      <c r="GB124">
        <f>SUMIF('Как есть'!$A$17:$A$25,Доп.расчеты!$A124,'Как есть'!GC$17:GC$25)</f>
        <v>0</v>
      </c>
      <c r="GC124">
        <f>SUMIF('Как есть'!$A$17:$A$25,Доп.расчеты!$A124,'Как есть'!GD$17:GD$25)</f>
        <v>0</v>
      </c>
      <c r="GD124">
        <f>SUMIF('Как есть'!$A$17:$A$25,Доп.расчеты!$A124,'Как есть'!GE$17:GE$25)</f>
        <v>0</v>
      </c>
      <c r="GE124">
        <f>SUMIF('Как есть'!$A$17:$A$25,Доп.расчеты!$A124,'Как есть'!GF$17:GF$25)</f>
        <v>0</v>
      </c>
      <c r="GF124">
        <f>SUMIF('Как есть'!$A$17:$A$25,Доп.расчеты!$A124,'Как есть'!GG$17:GG$25)</f>
        <v>0</v>
      </c>
      <c r="GG124">
        <f>SUMIF('Как есть'!$A$17:$A$25,Доп.расчеты!$A124,'Как есть'!GH$17:GH$25)</f>
        <v>0</v>
      </c>
      <c r="GH124">
        <f>SUMIF('Как есть'!$A$17:$A$25,Доп.расчеты!$A124,'Как есть'!GI$17:GI$25)</f>
        <v>0</v>
      </c>
      <c r="GI124">
        <f>SUMIF('Как есть'!$A$17:$A$25,Доп.расчеты!$A124,'Как есть'!GJ$17:GJ$25)</f>
        <v>0</v>
      </c>
      <c r="GJ124">
        <f>SUMIF('Как есть'!$A$17:$A$25,Доп.расчеты!$A124,'Как есть'!GK$17:GK$25)</f>
        <v>0</v>
      </c>
      <c r="GK124">
        <f>SUMIF('Как есть'!$A$17:$A$25,Доп.расчеты!$A124,'Как есть'!GL$17:GL$25)</f>
        <v>0</v>
      </c>
      <c r="GL124">
        <f>SUMIF('Как есть'!$A$17:$A$25,Доп.расчеты!$A124,'Как есть'!GM$17:GM$25)</f>
        <v>0</v>
      </c>
      <c r="GM124">
        <f>SUMIF('Как есть'!$A$17:$A$25,Доп.расчеты!$A124,'Как есть'!GN$17:GN$25)</f>
        <v>0</v>
      </c>
      <c r="GN124">
        <f>SUMIF('Как есть'!$A$17:$A$25,Доп.расчеты!$A124,'Как есть'!GO$17:GO$25)</f>
        <v>0</v>
      </c>
      <c r="GO124">
        <f>SUMIF('Как есть'!$A$17:$A$25,Доп.расчеты!$A124,'Как есть'!GP$17:GP$25)</f>
        <v>0</v>
      </c>
      <c r="GP124">
        <f>SUMIF('Как есть'!$A$17:$A$25,Доп.расчеты!$A124,'Как есть'!GQ$17:GQ$25)</f>
        <v>0</v>
      </c>
      <c r="GQ124">
        <f>SUMIF('Как есть'!$A$17:$A$25,Доп.расчеты!$A124,'Как есть'!GR$17:GR$25)</f>
        <v>0</v>
      </c>
      <c r="GR124">
        <f>SUMIF('Как есть'!$A$17:$A$25,Доп.расчеты!$A124,'Как есть'!GS$17:GS$25)</f>
        <v>0</v>
      </c>
      <c r="GS124">
        <f>SUMIF('Как есть'!$A$17:$A$25,Доп.расчеты!$A124,'Как есть'!GT$17:GT$25)</f>
        <v>0</v>
      </c>
      <c r="GT124">
        <f>SUMIF('Как есть'!$A$17:$A$25,Доп.расчеты!$A124,'Как есть'!GU$17:GU$25)</f>
        <v>0</v>
      </c>
    </row>
    <row r="125" spans="1:202" hidden="1" outlineLevel="1">
      <c r="A125" s="238" t="s">
        <v>103</v>
      </c>
      <c r="B125">
        <f>SUMIF('Как есть'!$A$17:$A$25,Доп.расчеты!$A125,'Как есть'!C$17:C$25)</f>
        <v>0</v>
      </c>
      <c r="C125">
        <f>SUMIF('Как есть'!$A$17:$A$25,Доп.расчеты!$A125,'Как есть'!D$17:D$25)</f>
        <v>0</v>
      </c>
      <c r="D125">
        <f>SUMIF('Как есть'!$A$17:$A$25,Доп.расчеты!$A125,'Как есть'!E$17:E$25)</f>
        <v>0</v>
      </c>
      <c r="E125">
        <f>SUMIF('Как есть'!$A$17:$A$25,Доп.расчеты!$A125,'Как есть'!F$17:F$25)</f>
        <v>0</v>
      </c>
      <c r="F125">
        <f>SUMIF('Как есть'!$A$17:$A$25,Доп.расчеты!$A125,'Как есть'!G$17:G$25)</f>
        <v>0</v>
      </c>
      <c r="G125">
        <f>SUMIF('Как есть'!$A$17:$A$25,Доп.расчеты!$A125,'Как есть'!H$17:H$25)</f>
        <v>0</v>
      </c>
      <c r="H125">
        <f>SUMIF('Как есть'!$A$17:$A$25,Доп.расчеты!$A125,'Как есть'!I$17:I$25)</f>
        <v>0</v>
      </c>
      <c r="I125">
        <f>SUMIF('Как есть'!$A$17:$A$25,Доп.расчеты!$A125,'Как есть'!J$17:J$25)</f>
        <v>0</v>
      </c>
      <c r="J125">
        <f>SUMIF('Как есть'!$A$17:$A$25,Доп.расчеты!$A125,'Как есть'!K$17:K$25)</f>
        <v>0</v>
      </c>
      <c r="K125">
        <f>SUMIF('Как есть'!$A$17:$A$25,Доп.расчеты!$A125,'Как есть'!L$17:L$25)</f>
        <v>0</v>
      </c>
      <c r="L125">
        <f>SUMIF('Как есть'!$A$17:$A$25,Доп.расчеты!$A125,'Как есть'!M$17:M$25)</f>
        <v>0</v>
      </c>
      <c r="M125">
        <f>SUMIF('Как есть'!$A$17:$A$25,Доп.расчеты!$A125,'Как есть'!N$17:N$25)</f>
        <v>0</v>
      </c>
      <c r="N125">
        <f>SUMIF('Как есть'!$A$17:$A$25,Доп.расчеты!$A125,'Как есть'!O$17:O$25)</f>
        <v>0</v>
      </c>
      <c r="O125">
        <f>SUMIF('Как есть'!$A$17:$A$25,Доп.расчеты!$A125,'Как есть'!P$17:P$25)</f>
        <v>0</v>
      </c>
      <c r="P125">
        <f>SUMIF('Как есть'!$A$17:$A$25,Доп.расчеты!$A125,'Как есть'!Q$17:Q$25)</f>
        <v>0</v>
      </c>
      <c r="Q125">
        <f>SUMIF('Как есть'!$A$17:$A$25,Доп.расчеты!$A125,'Как есть'!R$17:R$25)</f>
        <v>0</v>
      </c>
      <c r="R125">
        <f>SUMIF('Как есть'!$A$17:$A$25,Доп.расчеты!$A125,'Как есть'!S$17:S$25)</f>
        <v>0</v>
      </c>
      <c r="S125">
        <f>SUMIF('Как есть'!$A$17:$A$25,Доп.расчеты!$A125,'Как есть'!T$17:T$25)</f>
        <v>0</v>
      </c>
      <c r="T125">
        <f>SUMIF('Как есть'!$A$17:$A$25,Доп.расчеты!$A125,'Как есть'!U$17:U$25)</f>
        <v>0</v>
      </c>
      <c r="U125">
        <f>SUMIF('Как есть'!$A$17:$A$25,Доп.расчеты!$A125,'Как есть'!V$17:V$25)</f>
        <v>0</v>
      </c>
      <c r="V125">
        <f>SUMIF('Как есть'!$A$17:$A$25,Доп.расчеты!$A125,'Как есть'!W$17:W$25)</f>
        <v>0</v>
      </c>
      <c r="W125">
        <f>SUMIF('Как есть'!$A$17:$A$25,Доп.расчеты!$A125,'Как есть'!X$17:X$25)</f>
        <v>0</v>
      </c>
      <c r="X125">
        <f>SUMIF('Как есть'!$A$17:$A$25,Доп.расчеты!$A125,'Как есть'!Y$17:Y$25)</f>
        <v>0</v>
      </c>
      <c r="Y125">
        <f>SUMIF('Как есть'!$A$17:$A$25,Доп.расчеты!$A125,'Как есть'!Z$17:Z$25)</f>
        <v>0</v>
      </c>
      <c r="Z125">
        <f>SUMIF('Как есть'!$A$17:$A$25,Доп.расчеты!$A125,'Как есть'!AA$17:AA$25)</f>
        <v>0</v>
      </c>
      <c r="AA125">
        <f>SUMIF('Как есть'!$A$17:$A$25,Доп.расчеты!$A125,'Как есть'!AB$17:AB$25)</f>
        <v>0</v>
      </c>
      <c r="AB125">
        <f>SUMIF('Как есть'!$A$17:$A$25,Доп.расчеты!$A125,'Как есть'!AC$17:AC$25)</f>
        <v>0</v>
      </c>
      <c r="AC125">
        <f>SUMIF('Как есть'!$A$17:$A$25,Доп.расчеты!$A125,'Как есть'!AD$17:AD$25)</f>
        <v>0</v>
      </c>
      <c r="AD125">
        <f>SUMIF('Как есть'!$A$17:$A$25,Доп.расчеты!$A125,'Как есть'!AE$17:AE$25)</f>
        <v>0</v>
      </c>
      <c r="AE125">
        <f>SUMIF('Как есть'!$A$17:$A$25,Доп.расчеты!$A125,'Как есть'!AF$17:AF$25)</f>
        <v>0</v>
      </c>
      <c r="AF125">
        <f>SUMIF('Как есть'!$A$17:$A$25,Доп.расчеты!$A125,'Как есть'!AG$17:AG$25)</f>
        <v>0</v>
      </c>
      <c r="AG125">
        <f>SUMIF('Как есть'!$A$17:$A$25,Доп.расчеты!$A125,'Как есть'!AH$17:AH$25)</f>
        <v>0</v>
      </c>
      <c r="AH125">
        <f>SUMIF('Как есть'!$A$17:$A$25,Доп.расчеты!$A125,'Как есть'!AI$17:AI$25)</f>
        <v>0</v>
      </c>
      <c r="AI125">
        <f>SUMIF('Как есть'!$A$17:$A$25,Доп.расчеты!$A125,'Как есть'!AJ$17:AJ$25)</f>
        <v>0</v>
      </c>
      <c r="AJ125">
        <f>SUMIF('Как есть'!$A$17:$A$25,Доп.расчеты!$A125,'Как есть'!AK$17:AK$25)</f>
        <v>0</v>
      </c>
      <c r="AK125">
        <f>SUMIF('Как есть'!$A$17:$A$25,Доп.расчеты!$A125,'Как есть'!AL$17:AL$25)</f>
        <v>0</v>
      </c>
      <c r="AL125">
        <f>SUMIF('Как есть'!$A$17:$A$25,Доп.расчеты!$A125,'Как есть'!AM$17:AM$25)</f>
        <v>0</v>
      </c>
      <c r="AM125">
        <f>SUMIF('Как есть'!$A$17:$A$25,Доп.расчеты!$A125,'Как есть'!AN$17:AN$25)</f>
        <v>0</v>
      </c>
      <c r="AN125">
        <f>SUMIF('Как есть'!$A$17:$A$25,Доп.расчеты!$A125,'Как есть'!AO$17:AO$25)</f>
        <v>0</v>
      </c>
      <c r="AO125">
        <f>SUMIF('Как есть'!$A$17:$A$25,Доп.расчеты!$A125,'Как есть'!AP$17:AP$25)</f>
        <v>0</v>
      </c>
      <c r="AP125">
        <f>SUMIF('Как есть'!$A$17:$A$25,Доп.расчеты!$A125,'Как есть'!AQ$17:AQ$25)</f>
        <v>0</v>
      </c>
      <c r="AQ125">
        <f>SUMIF('Как есть'!$A$17:$A$25,Доп.расчеты!$A125,'Как есть'!AR$17:AR$25)</f>
        <v>0</v>
      </c>
      <c r="AR125">
        <f>SUMIF('Как есть'!$A$17:$A$25,Доп.расчеты!$A125,'Как есть'!AS$17:AS$25)</f>
        <v>0</v>
      </c>
      <c r="AS125">
        <f>SUMIF('Как есть'!$A$17:$A$25,Доп.расчеты!$A125,'Как есть'!AT$17:AT$25)</f>
        <v>0</v>
      </c>
      <c r="AT125">
        <f>SUMIF('Как есть'!$A$17:$A$25,Доп.расчеты!$A125,'Как есть'!AU$17:AU$25)</f>
        <v>0</v>
      </c>
      <c r="AU125">
        <f>SUMIF('Как есть'!$A$17:$A$25,Доп.расчеты!$A125,'Как есть'!AV$17:AV$25)</f>
        <v>0</v>
      </c>
      <c r="AV125">
        <f>SUMIF('Как есть'!$A$17:$A$25,Доп.расчеты!$A125,'Как есть'!AW$17:AW$25)</f>
        <v>0</v>
      </c>
      <c r="AW125">
        <f>SUMIF('Как есть'!$A$17:$A$25,Доп.расчеты!$A125,'Как есть'!AX$17:AX$25)</f>
        <v>0</v>
      </c>
      <c r="AX125">
        <f>SUMIF('Как есть'!$A$17:$A$25,Доп.расчеты!$A125,'Как есть'!AY$17:AY$25)</f>
        <v>0</v>
      </c>
      <c r="AY125">
        <f>SUMIF('Как есть'!$A$17:$A$25,Доп.расчеты!$A125,'Как есть'!AZ$17:AZ$25)</f>
        <v>0</v>
      </c>
      <c r="AZ125">
        <f>SUMIF('Как есть'!$A$17:$A$25,Доп.расчеты!$A125,'Как есть'!BA$17:BA$25)</f>
        <v>0</v>
      </c>
      <c r="BA125">
        <f>SUMIF('Как есть'!$A$17:$A$25,Доп.расчеты!$A125,'Как есть'!BB$17:BB$25)</f>
        <v>0</v>
      </c>
      <c r="BB125">
        <f>SUMIF('Как есть'!$A$17:$A$25,Доп.расчеты!$A125,'Как есть'!BC$17:BC$25)</f>
        <v>0</v>
      </c>
      <c r="BC125">
        <f>SUMIF('Как есть'!$A$17:$A$25,Доп.расчеты!$A125,'Как есть'!BD$17:BD$25)</f>
        <v>0</v>
      </c>
      <c r="BD125">
        <f>SUMIF('Как есть'!$A$17:$A$25,Доп.расчеты!$A125,'Как есть'!BE$17:BE$25)</f>
        <v>0</v>
      </c>
      <c r="BE125">
        <f>SUMIF('Как есть'!$A$17:$A$25,Доп.расчеты!$A125,'Как есть'!BF$17:BF$25)</f>
        <v>0</v>
      </c>
      <c r="BF125">
        <f>SUMIF('Как есть'!$A$17:$A$25,Доп.расчеты!$A125,'Как есть'!BG$17:BG$25)</f>
        <v>0</v>
      </c>
      <c r="BG125">
        <f>SUMIF('Как есть'!$A$17:$A$25,Доп.расчеты!$A125,'Как есть'!BH$17:BH$25)</f>
        <v>0</v>
      </c>
      <c r="BH125">
        <f>SUMIF('Как есть'!$A$17:$A$25,Доп.расчеты!$A125,'Как есть'!BI$17:BI$25)</f>
        <v>0</v>
      </c>
      <c r="BI125">
        <f>SUMIF('Как есть'!$A$17:$A$25,Доп.расчеты!$A125,'Как есть'!BJ$17:BJ$25)</f>
        <v>0</v>
      </c>
      <c r="BJ125">
        <f>SUMIF('Как есть'!$A$17:$A$25,Доп.расчеты!$A125,'Как есть'!BK$17:BK$25)</f>
        <v>0</v>
      </c>
      <c r="BK125">
        <f>SUMIF('Как есть'!$A$17:$A$25,Доп.расчеты!$A125,'Как есть'!BL$17:BL$25)</f>
        <v>0</v>
      </c>
      <c r="BL125">
        <f>SUMIF('Как есть'!$A$17:$A$25,Доп.расчеты!$A125,'Как есть'!BM$17:BM$25)</f>
        <v>0</v>
      </c>
      <c r="BM125">
        <f>SUMIF('Как есть'!$A$17:$A$25,Доп.расчеты!$A125,'Как есть'!BN$17:BN$25)</f>
        <v>0</v>
      </c>
      <c r="BN125">
        <f>SUMIF('Как есть'!$A$17:$A$25,Доп.расчеты!$A125,'Как есть'!BO$17:BO$25)</f>
        <v>0</v>
      </c>
      <c r="BO125">
        <f>SUMIF('Как есть'!$A$17:$A$25,Доп.расчеты!$A125,'Как есть'!BP$17:BP$25)</f>
        <v>0</v>
      </c>
      <c r="BP125">
        <f>SUMIF('Как есть'!$A$17:$A$25,Доп.расчеты!$A125,'Как есть'!BQ$17:BQ$25)</f>
        <v>0</v>
      </c>
      <c r="BQ125">
        <f>SUMIF('Как есть'!$A$17:$A$25,Доп.расчеты!$A125,'Как есть'!BR$17:BR$25)</f>
        <v>0</v>
      </c>
      <c r="BR125">
        <f>SUMIF('Как есть'!$A$17:$A$25,Доп.расчеты!$A125,'Как есть'!BS$17:BS$25)</f>
        <v>0</v>
      </c>
      <c r="BS125">
        <f>SUMIF('Как есть'!$A$17:$A$25,Доп.расчеты!$A125,'Как есть'!BT$17:BT$25)</f>
        <v>0</v>
      </c>
      <c r="BT125">
        <f>SUMIF('Как есть'!$A$17:$A$25,Доп.расчеты!$A125,'Как есть'!BU$17:BU$25)</f>
        <v>0</v>
      </c>
      <c r="BU125">
        <f>SUMIF('Как есть'!$A$17:$A$25,Доп.расчеты!$A125,'Как есть'!BV$17:BV$25)</f>
        <v>0</v>
      </c>
      <c r="BV125">
        <f>SUMIF('Как есть'!$A$17:$A$25,Доп.расчеты!$A125,'Как есть'!BW$17:BW$25)</f>
        <v>0</v>
      </c>
      <c r="BW125">
        <f>SUMIF('Как есть'!$A$17:$A$25,Доп.расчеты!$A125,'Как есть'!BX$17:BX$25)</f>
        <v>0</v>
      </c>
      <c r="BX125">
        <f>SUMIF('Как есть'!$A$17:$A$25,Доп.расчеты!$A125,'Как есть'!BY$17:BY$25)</f>
        <v>0</v>
      </c>
      <c r="BY125">
        <f>SUMIF('Как есть'!$A$17:$A$25,Доп.расчеты!$A125,'Как есть'!BZ$17:BZ$25)</f>
        <v>0</v>
      </c>
      <c r="BZ125">
        <f>SUMIF('Как есть'!$A$17:$A$25,Доп.расчеты!$A125,'Как есть'!CA$17:CA$25)</f>
        <v>0</v>
      </c>
      <c r="CA125">
        <f>SUMIF('Как есть'!$A$17:$A$25,Доп.расчеты!$A125,'Как есть'!CB$17:CB$25)</f>
        <v>0</v>
      </c>
      <c r="CB125">
        <f>SUMIF('Как есть'!$A$17:$A$25,Доп.расчеты!$A125,'Как есть'!CC$17:CC$25)</f>
        <v>0</v>
      </c>
      <c r="CC125">
        <f>SUMIF('Как есть'!$A$17:$A$25,Доп.расчеты!$A125,'Как есть'!CD$17:CD$25)</f>
        <v>0</v>
      </c>
      <c r="CD125">
        <f>SUMIF('Как есть'!$A$17:$A$25,Доп.расчеты!$A125,'Как есть'!CE$17:CE$25)</f>
        <v>0</v>
      </c>
      <c r="CE125">
        <f>SUMIF('Как есть'!$A$17:$A$25,Доп.расчеты!$A125,'Как есть'!CF$17:CF$25)</f>
        <v>0</v>
      </c>
      <c r="CF125">
        <f>SUMIF('Как есть'!$A$17:$A$25,Доп.расчеты!$A125,'Как есть'!CG$17:CG$25)</f>
        <v>0</v>
      </c>
      <c r="CG125">
        <f>SUMIF('Как есть'!$A$17:$A$25,Доп.расчеты!$A125,'Как есть'!CH$17:CH$25)</f>
        <v>0</v>
      </c>
      <c r="CH125">
        <f>SUMIF('Как есть'!$A$17:$A$25,Доп.расчеты!$A125,'Как есть'!CI$17:CI$25)</f>
        <v>0</v>
      </c>
      <c r="CI125">
        <f>SUMIF('Как есть'!$A$17:$A$25,Доп.расчеты!$A125,'Как есть'!CJ$17:CJ$25)</f>
        <v>0</v>
      </c>
      <c r="CJ125">
        <f>SUMIF('Как есть'!$A$17:$A$25,Доп.расчеты!$A125,'Как есть'!CK$17:CK$25)</f>
        <v>0</v>
      </c>
      <c r="CK125">
        <f>SUMIF('Как есть'!$A$17:$A$25,Доп.расчеты!$A125,'Как есть'!CL$17:CL$25)</f>
        <v>0</v>
      </c>
      <c r="CL125">
        <f>SUMIF('Как есть'!$A$17:$A$25,Доп.расчеты!$A125,'Как есть'!CM$17:CM$25)</f>
        <v>0</v>
      </c>
      <c r="CM125">
        <f>SUMIF('Как есть'!$A$17:$A$25,Доп.расчеты!$A125,'Как есть'!CN$17:CN$25)</f>
        <v>0</v>
      </c>
      <c r="CN125">
        <f>SUMIF('Как есть'!$A$17:$A$25,Доп.расчеты!$A125,'Как есть'!CO$17:CO$25)</f>
        <v>0</v>
      </c>
      <c r="CO125">
        <f>SUMIF('Как есть'!$A$17:$A$25,Доп.расчеты!$A125,'Как есть'!CP$17:CP$25)</f>
        <v>0</v>
      </c>
      <c r="CP125">
        <f>SUMIF('Как есть'!$A$17:$A$25,Доп.расчеты!$A125,'Как есть'!CQ$17:CQ$25)</f>
        <v>0</v>
      </c>
      <c r="CQ125">
        <f>SUMIF('Как есть'!$A$17:$A$25,Доп.расчеты!$A125,'Как есть'!CR$17:CR$25)</f>
        <v>0</v>
      </c>
      <c r="CR125">
        <f>SUMIF('Как есть'!$A$17:$A$25,Доп.расчеты!$A125,'Как есть'!CS$17:CS$25)</f>
        <v>0</v>
      </c>
      <c r="CS125">
        <f>SUMIF('Как есть'!$A$17:$A$25,Доп.расчеты!$A125,'Как есть'!CT$17:CT$25)</f>
        <v>0</v>
      </c>
      <c r="CT125">
        <f>SUMIF('Как есть'!$A$17:$A$25,Доп.расчеты!$A125,'Как есть'!CU$17:CU$25)</f>
        <v>0</v>
      </c>
      <c r="CU125">
        <f>SUMIF('Как есть'!$A$17:$A$25,Доп.расчеты!$A125,'Как есть'!CV$17:CV$25)</f>
        <v>0</v>
      </c>
      <c r="CV125">
        <f>SUMIF('Как есть'!$A$17:$A$25,Доп.расчеты!$A125,'Как есть'!CW$17:CW$25)</f>
        <v>0</v>
      </c>
      <c r="CW125">
        <f>SUMIF('Как есть'!$A$17:$A$25,Доп.расчеты!$A125,'Как есть'!CX$17:CX$25)</f>
        <v>0</v>
      </c>
      <c r="CX125">
        <f>SUMIF('Как есть'!$A$17:$A$25,Доп.расчеты!$A125,'Как есть'!CY$17:CY$25)</f>
        <v>0</v>
      </c>
      <c r="CY125">
        <f>SUMIF('Как есть'!$A$17:$A$25,Доп.расчеты!$A125,'Как есть'!CZ$17:CZ$25)</f>
        <v>0</v>
      </c>
      <c r="CZ125">
        <f>SUMIF('Как есть'!$A$17:$A$25,Доп.расчеты!$A125,'Как есть'!DA$17:DA$25)</f>
        <v>0</v>
      </c>
      <c r="DA125">
        <f>SUMIF('Как есть'!$A$17:$A$25,Доп.расчеты!$A125,'Как есть'!DB$17:DB$25)</f>
        <v>0</v>
      </c>
      <c r="DB125">
        <f>SUMIF('Как есть'!$A$17:$A$25,Доп.расчеты!$A125,'Как есть'!DC$17:DC$25)</f>
        <v>0</v>
      </c>
      <c r="DC125">
        <f>SUMIF('Как есть'!$A$17:$A$25,Доп.расчеты!$A125,'Как есть'!DD$17:DD$25)</f>
        <v>0</v>
      </c>
      <c r="DD125">
        <f>SUMIF('Как есть'!$A$17:$A$25,Доп.расчеты!$A125,'Как есть'!DE$17:DE$25)</f>
        <v>0</v>
      </c>
      <c r="DE125">
        <f>SUMIF('Как есть'!$A$17:$A$25,Доп.расчеты!$A125,'Как есть'!DF$17:DF$25)</f>
        <v>0</v>
      </c>
      <c r="DF125">
        <f>SUMIF('Как есть'!$A$17:$A$25,Доп.расчеты!$A125,'Как есть'!DG$17:DG$25)</f>
        <v>0</v>
      </c>
      <c r="DG125">
        <f>SUMIF('Как есть'!$A$17:$A$25,Доп.расчеты!$A125,'Как есть'!DH$17:DH$25)</f>
        <v>0</v>
      </c>
      <c r="DH125">
        <f>SUMIF('Как есть'!$A$17:$A$25,Доп.расчеты!$A125,'Как есть'!DI$17:DI$25)</f>
        <v>0</v>
      </c>
      <c r="DI125">
        <f>SUMIF('Как есть'!$A$17:$A$25,Доп.расчеты!$A125,'Как есть'!DJ$17:DJ$25)</f>
        <v>0</v>
      </c>
      <c r="DJ125">
        <f>SUMIF('Как есть'!$A$17:$A$25,Доп.расчеты!$A125,'Как есть'!DK$17:DK$25)</f>
        <v>0</v>
      </c>
      <c r="DK125">
        <f>SUMIF('Как есть'!$A$17:$A$25,Доп.расчеты!$A125,'Как есть'!DL$17:DL$25)</f>
        <v>0</v>
      </c>
      <c r="DL125">
        <f>SUMIF('Как есть'!$A$17:$A$25,Доп.расчеты!$A125,'Как есть'!DM$17:DM$25)</f>
        <v>0</v>
      </c>
      <c r="DM125">
        <f>SUMIF('Как есть'!$A$17:$A$25,Доп.расчеты!$A125,'Как есть'!DN$17:DN$25)</f>
        <v>0</v>
      </c>
      <c r="DN125">
        <f>SUMIF('Как есть'!$A$17:$A$25,Доп.расчеты!$A125,'Как есть'!DO$17:DO$25)</f>
        <v>0</v>
      </c>
      <c r="DO125">
        <f>SUMIF('Как есть'!$A$17:$A$25,Доп.расчеты!$A125,'Как есть'!DP$17:DP$25)</f>
        <v>0</v>
      </c>
      <c r="DP125">
        <f>SUMIF('Как есть'!$A$17:$A$25,Доп.расчеты!$A125,'Как есть'!DQ$17:DQ$25)</f>
        <v>0</v>
      </c>
      <c r="DQ125">
        <f>SUMIF('Как есть'!$A$17:$A$25,Доп.расчеты!$A125,'Как есть'!DR$17:DR$25)</f>
        <v>0</v>
      </c>
      <c r="DR125">
        <f>SUMIF('Как есть'!$A$17:$A$25,Доп.расчеты!$A125,'Как есть'!DS$17:DS$25)</f>
        <v>0</v>
      </c>
      <c r="DS125">
        <f>SUMIF('Как есть'!$A$17:$A$25,Доп.расчеты!$A125,'Как есть'!DT$17:DT$25)</f>
        <v>0</v>
      </c>
      <c r="DT125">
        <f>SUMIF('Как есть'!$A$17:$A$25,Доп.расчеты!$A125,'Как есть'!DU$17:DU$25)</f>
        <v>0</v>
      </c>
      <c r="DU125">
        <f>SUMIF('Как есть'!$A$17:$A$25,Доп.расчеты!$A125,'Как есть'!DV$17:DV$25)</f>
        <v>0</v>
      </c>
      <c r="DV125">
        <f>SUMIF('Как есть'!$A$17:$A$25,Доп.расчеты!$A125,'Как есть'!DW$17:DW$25)</f>
        <v>0</v>
      </c>
      <c r="DW125">
        <f>SUMIF('Как есть'!$A$17:$A$25,Доп.расчеты!$A125,'Как есть'!DX$17:DX$25)</f>
        <v>0</v>
      </c>
      <c r="DX125">
        <f>SUMIF('Как есть'!$A$17:$A$25,Доп.расчеты!$A125,'Как есть'!DY$17:DY$25)</f>
        <v>0</v>
      </c>
      <c r="DY125">
        <f>SUMIF('Как есть'!$A$17:$A$25,Доп.расчеты!$A125,'Как есть'!DZ$17:DZ$25)</f>
        <v>0</v>
      </c>
      <c r="DZ125">
        <f>SUMIF('Как есть'!$A$17:$A$25,Доп.расчеты!$A125,'Как есть'!EA$17:EA$25)</f>
        <v>0</v>
      </c>
      <c r="EA125">
        <f>SUMIF('Как есть'!$A$17:$A$25,Доп.расчеты!$A125,'Как есть'!EB$17:EB$25)</f>
        <v>0</v>
      </c>
      <c r="EB125">
        <f>SUMIF('Как есть'!$A$17:$A$25,Доп.расчеты!$A125,'Как есть'!EC$17:EC$25)</f>
        <v>0</v>
      </c>
      <c r="EC125">
        <f>SUMIF('Как есть'!$A$17:$A$25,Доп.расчеты!$A125,'Как есть'!ED$17:ED$25)</f>
        <v>0</v>
      </c>
      <c r="ED125">
        <f>SUMIF('Как есть'!$A$17:$A$25,Доп.расчеты!$A125,'Как есть'!EE$17:EE$25)</f>
        <v>0</v>
      </c>
      <c r="EE125">
        <f>SUMIF('Как есть'!$A$17:$A$25,Доп.расчеты!$A125,'Как есть'!EF$17:EF$25)</f>
        <v>0</v>
      </c>
      <c r="EF125">
        <f>SUMIF('Как есть'!$A$17:$A$25,Доп.расчеты!$A125,'Как есть'!EG$17:EG$25)</f>
        <v>0</v>
      </c>
      <c r="EG125">
        <f>SUMIF('Как есть'!$A$17:$A$25,Доп.расчеты!$A125,'Как есть'!EH$17:EH$25)</f>
        <v>0</v>
      </c>
      <c r="EH125">
        <f>SUMIF('Как есть'!$A$17:$A$25,Доп.расчеты!$A125,'Как есть'!EI$17:EI$25)</f>
        <v>0</v>
      </c>
      <c r="EI125">
        <f>SUMIF('Как есть'!$A$17:$A$25,Доп.расчеты!$A125,'Как есть'!EJ$17:EJ$25)</f>
        <v>0</v>
      </c>
      <c r="EJ125">
        <f>SUMIF('Как есть'!$A$17:$A$25,Доп.расчеты!$A125,'Как есть'!EK$17:EK$25)</f>
        <v>0</v>
      </c>
      <c r="EK125">
        <f>SUMIF('Как есть'!$A$17:$A$25,Доп.расчеты!$A125,'Как есть'!EL$17:EL$25)</f>
        <v>0</v>
      </c>
      <c r="EL125">
        <f>SUMIF('Как есть'!$A$17:$A$25,Доп.расчеты!$A125,'Как есть'!EM$17:EM$25)</f>
        <v>0</v>
      </c>
      <c r="EM125">
        <f>SUMIF('Как есть'!$A$17:$A$25,Доп.расчеты!$A125,'Как есть'!EN$17:EN$25)</f>
        <v>0</v>
      </c>
      <c r="EN125">
        <f>SUMIF('Как есть'!$A$17:$A$25,Доп.расчеты!$A125,'Как есть'!EO$17:EO$25)</f>
        <v>0</v>
      </c>
      <c r="EO125">
        <f>SUMIF('Как есть'!$A$17:$A$25,Доп.расчеты!$A125,'Как есть'!EP$17:EP$25)</f>
        <v>0</v>
      </c>
      <c r="EP125">
        <f>SUMIF('Как есть'!$A$17:$A$25,Доп.расчеты!$A125,'Как есть'!EQ$17:EQ$25)</f>
        <v>0</v>
      </c>
      <c r="EQ125">
        <f>SUMIF('Как есть'!$A$17:$A$25,Доп.расчеты!$A125,'Как есть'!ER$17:ER$25)</f>
        <v>0</v>
      </c>
      <c r="ER125">
        <f>SUMIF('Как есть'!$A$17:$A$25,Доп.расчеты!$A125,'Как есть'!ES$17:ES$25)</f>
        <v>0</v>
      </c>
      <c r="ES125">
        <f>SUMIF('Как есть'!$A$17:$A$25,Доп.расчеты!$A125,'Как есть'!ET$17:ET$25)</f>
        <v>0</v>
      </c>
      <c r="ET125">
        <f>SUMIF('Как есть'!$A$17:$A$25,Доп.расчеты!$A125,'Как есть'!EU$17:EU$25)</f>
        <v>0</v>
      </c>
      <c r="EU125">
        <f>SUMIF('Как есть'!$A$17:$A$25,Доп.расчеты!$A125,'Как есть'!EV$17:EV$25)</f>
        <v>0</v>
      </c>
      <c r="EV125">
        <f>SUMIF('Как есть'!$A$17:$A$25,Доп.расчеты!$A125,'Как есть'!EW$17:EW$25)</f>
        <v>0</v>
      </c>
      <c r="EW125">
        <f>SUMIF('Как есть'!$A$17:$A$25,Доп.расчеты!$A125,'Как есть'!EX$17:EX$25)</f>
        <v>0</v>
      </c>
      <c r="EX125">
        <f>SUMIF('Как есть'!$A$17:$A$25,Доп.расчеты!$A125,'Как есть'!EY$17:EY$25)</f>
        <v>0</v>
      </c>
      <c r="EY125">
        <f>SUMIF('Как есть'!$A$17:$A$25,Доп.расчеты!$A125,'Как есть'!EZ$17:EZ$25)</f>
        <v>0</v>
      </c>
      <c r="EZ125">
        <f>SUMIF('Как есть'!$A$17:$A$25,Доп.расчеты!$A125,'Как есть'!FA$17:FA$25)</f>
        <v>0</v>
      </c>
      <c r="FA125">
        <f>SUMIF('Как есть'!$A$17:$A$25,Доп.расчеты!$A125,'Как есть'!FB$17:FB$25)</f>
        <v>0</v>
      </c>
      <c r="FB125">
        <f>SUMIF('Как есть'!$A$17:$A$25,Доп.расчеты!$A125,'Как есть'!FC$17:FC$25)</f>
        <v>0</v>
      </c>
      <c r="FC125">
        <f>SUMIF('Как есть'!$A$17:$A$25,Доп.расчеты!$A125,'Как есть'!FD$17:FD$25)</f>
        <v>0</v>
      </c>
      <c r="FD125">
        <f>SUMIF('Как есть'!$A$17:$A$25,Доп.расчеты!$A125,'Как есть'!FE$17:FE$25)</f>
        <v>0</v>
      </c>
      <c r="FE125">
        <f>SUMIF('Как есть'!$A$17:$A$25,Доп.расчеты!$A125,'Как есть'!FF$17:FF$25)</f>
        <v>0</v>
      </c>
      <c r="FF125">
        <f>SUMIF('Как есть'!$A$17:$A$25,Доп.расчеты!$A125,'Как есть'!FG$17:FG$25)</f>
        <v>0</v>
      </c>
      <c r="FG125">
        <f>SUMIF('Как есть'!$A$17:$A$25,Доп.расчеты!$A125,'Как есть'!FH$17:FH$25)</f>
        <v>0</v>
      </c>
      <c r="FH125">
        <f>SUMIF('Как есть'!$A$17:$A$25,Доп.расчеты!$A125,'Как есть'!FI$17:FI$25)</f>
        <v>0</v>
      </c>
      <c r="FI125">
        <f>SUMIF('Как есть'!$A$17:$A$25,Доп.расчеты!$A125,'Как есть'!FJ$17:FJ$25)</f>
        <v>0</v>
      </c>
      <c r="FJ125">
        <f>SUMIF('Как есть'!$A$17:$A$25,Доп.расчеты!$A125,'Как есть'!FK$17:FK$25)</f>
        <v>0</v>
      </c>
      <c r="FK125">
        <f>SUMIF('Как есть'!$A$17:$A$25,Доп.расчеты!$A125,'Как есть'!FL$17:FL$25)</f>
        <v>0</v>
      </c>
      <c r="FL125">
        <f>SUMIF('Как есть'!$A$17:$A$25,Доп.расчеты!$A125,'Как есть'!FM$17:FM$25)</f>
        <v>0</v>
      </c>
      <c r="FM125">
        <f>SUMIF('Как есть'!$A$17:$A$25,Доп.расчеты!$A125,'Как есть'!FN$17:FN$25)</f>
        <v>0</v>
      </c>
      <c r="FN125">
        <f>SUMIF('Как есть'!$A$17:$A$25,Доп.расчеты!$A125,'Как есть'!FO$17:FO$25)</f>
        <v>0</v>
      </c>
      <c r="FO125">
        <f>SUMIF('Как есть'!$A$17:$A$25,Доп.расчеты!$A125,'Как есть'!FP$17:FP$25)</f>
        <v>0</v>
      </c>
      <c r="FP125">
        <f>SUMIF('Как есть'!$A$17:$A$25,Доп.расчеты!$A125,'Как есть'!FQ$17:FQ$25)</f>
        <v>0</v>
      </c>
      <c r="FQ125">
        <f>SUMIF('Как есть'!$A$17:$A$25,Доп.расчеты!$A125,'Как есть'!FR$17:FR$25)</f>
        <v>0</v>
      </c>
      <c r="FR125">
        <f>SUMIF('Как есть'!$A$17:$A$25,Доп.расчеты!$A125,'Как есть'!FS$17:FS$25)</f>
        <v>0</v>
      </c>
      <c r="FS125">
        <f>SUMIF('Как есть'!$A$17:$A$25,Доп.расчеты!$A125,'Как есть'!FT$17:FT$25)</f>
        <v>0</v>
      </c>
      <c r="FT125">
        <f>SUMIF('Как есть'!$A$17:$A$25,Доп.расчеты!$A125,'Как есть'!FU$17:FU$25)</f>
        <v>0</v>
      </c>
      <c r="FU125">
        <f>SUMIF('Как есть'!$A$17:$A$25,Доп.расчеты!$A125,'Как есть'!FV$17:FV$25)</f>
        <v>0</v>
      </c>
      <c r="FV125">
        <f>SUMIF('Как есть'!$A$17:$A$25,Доп.расчеты!$A125,'Как есть'!FW$17:FW$25)</f>
        <v>0</v>
      </c>
      <c r="FW125">
        <f>SUMIF('Как есть'!$A$17:$A$25,Доп.расчеты!$A125,'Как есть'!FX$17:FX$25)</f>
        <v>0</v>
      </c>
      <c r="FX125">
        <f>SUMIF('Как есть'!$A$17:$A$25,Доп.расчеты!$A125,'Как есть'!FY$17:FY$25)</f>
        <v>0</v>
      </c>
      <c r="FY125">
        <f>SUMIF('Как есть'!$A$17:$A$25,Доп.расчеты!$A125,'Как есть'!FZ$17:FZ$25)</f>
        <v>0</v>
      </c>
      <c r="FZ125">
        <f>SUMIF('Как есть'!$A$17:$A$25,Доп.расчеты!$A125,'Как есть'!GA$17:GA$25)</f>
        <v>0</v>
      </c>
      <c r="GA125">
        <f>SUMIF('Как есть'!$A$17:$A$25,Доп.расчеты!$A125,'Как есть'!GB$17:GB$25)</f>
        <v>0</v>
      </c>
      <c r="GB125">
        <f>SUMIF('Как есть'!$A$17:$A$25,Доп.расчеты!$A125,'Как есть'!GC$17:GC$25)</f>
        <v>0</v>
      </c>
      <c r="GC125">
        <f>SUMIF('Как есть'!$A$17:$A$25,Доп.расчеты!$A125,'Как есть'!GD$17:GD$25)</f>
        <v>0</v>
      </c>
      <c r="GD125">
        <f>SUMIF('Как есть'!$A$17:$A$25,Доп.расчеты!$A125,'Как есть'!GE$17:GE$25)</f>
        <v>0</v>
      </c>
      <c r="GE125">
        <f>SUMIF('Как есть'!$A$17:$A$25,Доп.расчеты!$A125,'Как есть'!GF$17:GF$25)</f>
        <v>0</v>
      </c>
      <c r="GF125">
        <f>SUMIF('Как есть'!$A$17:$A$25,Доп.расчеты!$A125,'Как есть'!GG$17:GG$25)</f>
        <v>0</v>
      </c>
      <c r="GG125">
        <f>SUMIF('Как есть'!$A$17:$A$25,Доп.расчеты!$A125,'Как есть'!GH$17:GH$25)</f>
        <v>0</v>
      </c>
      <c r="GH125">
        <f>SUMIF('Как есть'!$A$17:$A$25,Доп.расчеты!$A125,'Как есть'!GI$17:GI$25)</f>
        <v>0</v>
      </c>
      <c r="GI125">
        <f>SUMIF('Как есть'!$A$17:$A$25,Доп.расчеты!$A125,'Как есть'!GJ$17:GJ$25)</f>
        <v>0</v>
      </c>
      <c r="GJ125">
        <f>SUMIF('Как есть'!$A$17:$A$25,Доп.расчеты!$A125,'Как есть'!GK$17:GK$25)</f>
        <v>0</v>
      </c>
      <c r="GK125">
        <f>SUMIF('Как есть'!$A$17:$A$25,Доп.расчеты!$A125,'Как есть'!GL$17:GL$25)</f>
        <v>0</v>
      </c>
      <c r="GL125">
        <f>SUMIF('Как есть'!$A$17:$A$25,Доп.расчеты!$A125,'Как есть'!GM$17:GM$25)</f>
        <v>0</v>
      </c>
      <c r="GM125">
        <f>SUMIF('Как есть'!$A$17:$A$25,Доп.расчеты!$A125,'Как есть'!GN$17:GN$25)</f>
        <v>0</v>
      </c>
      <c r="GN125">
        <f>SUMIF('Как есть'!$A$17:$A$25,Доп.расчеты!$A125,'Как есть'!GO$17:GO$25)</f>
        <v>0</v>
      </c>
      <c r="GO125">
        <f>SUMIF('Как есть'!$A$17:$A$25,Доп.расчеты!$A125,'Как есть'!GP$17:GP$25)</f>
        <v>0</v>
      </c>
      <c r="GP125">
        <f>SUMIF('Как есть'!$A$17:$A$25,Доп.расчеты!$A125,'Как есть'!GQ$17:GQ$25)</f>
        <v>0</v>
      </c>
      <c r="GQ125">
        <f>SUMIF('Как есть'!$A$17:$A$25,Доп.расчеты!$A125,'Как есть'!GR$17:GR$25)</f>
        <v>0</v>
      </c>
      <c r="GR125">
        <f>SUMIF('Как есть'!$A$17:$A$25,Доп.расчеты!$A125,'Как есть'!GS$17:GS$25)</f>
        <v>0</v>
      </c>
      <c r="GS125">
        <f>SUMIF('Как есть'!$A$17:$A$25,Доп.расчеты!$A125,'Как есть'!GT$17:GT$25)</f>
        <v>0</v>
      </c>
      <c r="GT125">
        <f>SUMIF('Как есть'!$A$17:$A$25,Доп.расчеты!$A125,'Как есть'!GU$17:GU$25)</f>
        <v>0</v>
      </c>
    </row>
    <row r="126" spans="1:202" hidden="1" outlineLevel="1">
      <c r="A126" s="238" t="s">
        <v>104</v>
      </c>
      <c r="B126">
        <f>SUMIF('Как есть'!$A$17:$A$25,Доп.расчеты!$A126,'Как есть'!C$17:C$25)</f>
        <v>0</v>
      </c>
      <c r="C126">
        <f>SUMIF('Как есть'!$A$17:$A$25,Доп.расчеты!$A126,'Как есть'!D$17:D$25)</f>
        <v>0</v>
      </c>
      <c r="D126">
        <f>SUMIF('Как есть'!$A$17:$A$25,Доп.расчеты!$A126,'Как есть'!E$17:E$25)</f>
        <v>0</v>
      </c>
      <c r="E126">
        <f>SUMIF('Как есть'!$A$17:$A$25,Доп.расчеты!$A126,'Как есть'!F$17:F$25)</f>
        <v>0</v>
      </c>
      <c r="F126">
        <f>SUMIF('Как есть'!$A$17:$A$25,Доп.расчеты!$A126,'Как есть'!G$17:G$25)</f>
        <v>0</v>
      </c>
      <c r="G126">
        <f>SUMIF('Как есть'!$A$17:$A$25,Доп.расчеты!$A126,'Как есть'!H$17:H$25)</f>
        <v>0</v>
      </c>
      <c r="H126">
        <f>SUMIF('Как есть'!$A$17:$A$25,Доп.расчеты!$A126,'Как есть'!I$17:I$25)</f>
        <v>0</v>
      </c>
      <c r="I126">
        <f>SUMIF('Как есть'!$A$17:$A$25,Доп.расчеты!$A126,'Как есть'!J$17:J$25)</f>
        <v>0</v>
      </c>
      <c r="J126">
        <f>SUMIF('Как есть'!$A$17:$A$25,Доп.расчеты!$A126,'Как есть'!K$17:K$25)</f>
        <v>0</v>
      </c>
      <c r="K126">
        <f>SUMIF('Как есть'!$A$17:$A$25,Доп.расчеты!$A126,'Как есть'!L$17:L$25)</f>
        <v>0</v>
      </c>
      <c r="L126">
        <f>SUMIF('Как есть'!$A$17:$A$25,Доп.расчеты!$A126,'Как есть'!M$17:M$25)</f>
        <v>0</v>
      </c>
      <c r="M126">
        <f>SUMIF('Как есть'!$A$17:$A$25,Доп.расчеты!$A126,'Как есть'!N$17:N$25)</f>
        <v>0</v>
      </c>
      <c r="N126">
        <f>SUMIF('Как есть'!$A$17:$A$25,Доп.расчеты!$A126,'Как есть'!O$17:O$25)</f>
        <v>0</v>
      </c>
      <c r="O126">
        <f>SUMIF('Как есть'!$A$17:$A$25,Доп.расчеты!$A126,'Как есть'!P$17:P$25)</f>
        <v>0</v>
      </c>
      <c r="P126">
        <f>SUMIF('Как есть'!$A$17:$A$25,Доп.расчеты!$A126,'Как есть'!Q$17:Q$25)</f>
        <v>0</v>
      </c>
      <c r="Q126">
        <f>SUMIF('Как есть'!$A$17:$A$25,Доп.расчеты!$A126,'Как есть'!R$17:R$25)</f>
        <v>0</v>
      </c>
      <c r="R126">
        <f>SUMIF('Как есть'!$A$17:$A$25,Доп.расчеты!$A126,'Как есть'!S$17:S$25)</f>
        <v>0</v>
      </c>
      <c r="S126">
        <f>SUMIF('Как есть'!$A$17:$A$25,Доп.расчеты!$A126,'Как есть'!T$17:T$25)</f>
        <v>0</v>
      </c>
      <c r="T126">
        <f>SUMIF('Как есть'!$A$17:$A$25,Доп.расчеты!$A126,'Как есть'!U$17:U$25)</f>
        <v>0</v>
      </c>
      <c r="U126">
        <f>SUMIF('Как есть'!$A$17:$A$25,Доп.расчеты!$A126,'Как есть'!V$17:V$25)</f>
        <v>0</v>
      </c>
      <c r="V126">
        <f>SUMIF('Как есть'!$A$17:$A$25,Доп.расчеты!$A126,'Как есть'!W$17:W$25)</f>
        <v>0</v>
      </c>
      <c r="W126">
        <f>SUMIF('Как есть'!$A$17:$A$25,Доп.расчеты!$A126,'Как есть'!X$17:X$25)</f>
        <v>0</v>
      </c>
      <c r="X126">
        <f>SUMIF('Как есть'!$A$17:$A$25,Доп.расчеты!$A126,'Как есть'!Y$17:Y$25)</f>
        <v>0</v>
      </c>
      <c r="Y126">
        <f>SUMIF('Как есть'!$A$17:$A$25,Доп.расчеты!$A126,'Как есть'!Z$17:Z$25)</f>
        <v>0</v>
      </c>
      <c r="Z126">
        <f>SUMIF('Как есть'!$A$17:$A$25,Доп.расчеты!$A126,'Как есть'!AA$17:AA$25)</f>
        <v>0</v>
      </c>
      <c r="AA126">
        <f>SUMIF('Как есть'!$A$17:$A$25,Доп.расчеты!$A126,'Как есть'!AB$17:AB$25)</f>
        <v>0</v>
      </c>
      <c r="AB126">
        <f>SUMIF('Как есть'!$A$17:$A$25,Доп.расчеты!$A126,'Как есть'!AC$17:AC$25)</f>
        <v>0</v>
      </c>
      <c r="AC126">
        <f>SUMIF('Как есть'!$A$17:$A$25,Доп.расчеты!$A126,'Как есть'!AD$17:AD$25)</f>
        <v>0</v>
      </c>
      <c r="AD126">
        <f>SUMIF('Как есть'!$A$17:$A$25,Доп.расчеты!$A126,'Как есть'!AE$17:AE$25)</f>
        <v>0</v>
      </c>
      <c r="AE126">
        <f>SUMIF('Как есть'!$A$17:$A$25,Доп.расчеты!$A126,'Как есть'!AF$17:AF$25)</f>
        <v>0</v>
      </c>
      <c r="AF126">
        <f>SUMIF('Как есть'!$A$17:$A$25,Доп.расчеты!$A126,'Как есть'!AG$17:AG$25)</f>
        <v>0</v>
      </c>
      <c r="AG126">
        <f>SUMIF('Как есть'!$A$17:$A$25,Доп.расчеты!$A126,'Как есть'!AH$17:AH$25)</f>
        <v>0</v>
      </c>
      <c r="AH126">
        <f>SUMIF('Как есть'!$A$17:$A$25,Доп.расчеты!$A126,'Как есть'!AI$17:AI$25)</f>
        <v>0</v>
      </c>
      <c r="AI126">
        <f>SUMIF('Как есть'!$A$17:$A$25,Доп.расчеты!$A126,'Как есть'!AJ$17:AJ$25)</f>
        <v>0</v>
      </c>
      <c r="AJ126">
        <f>SUMIF('Как есть'!$A$17:$A$25,Доп.расчеты!$A126,'Как есть'!AK$17:AK$25)</f>
        <v>0</v>
      </c>
      <c r="AK126">
        <f>SUMIF('Как есть'!$A$17:$A$25,Доп.расчеты!$A126,'Как есть'!AL$17:AL$25)</f>
        <v>0</v>
      </c>
      <c r="AL126">
        <f>SUMIF('Как есть'!$A$17:$A$25,Доп.расчеты!$A126,'Как есть'!AM$17:AM$25)</f>
        <v>0</v>
      </c>
      <c r="AM126">
        <f>SUMIF('Как есть'!$A$17:$A$25,Доп.расчеты!$A126,'Как есть'!AN$17:AN$25)</f>
        <v>0</v>
      </c>
      <c r="AN126">
        <f>SUMIF('Как есть'!$A$17:$A$25,Доп.расчеты!$A126,'Как есть'!AO$17:AO$25)</f>
        <v>0</v>
      </c>
      <c r="AO126">
        <f>SUMIF('Как есть'!$A$17:$A$25,Доп.расчеты!$A126,'Как есть'!AP$17:AP$25)</f>
        <v>0</v>
      </c>
      <c r="AP126">
        <f>SUMIF('Как есть'!$A$17:$A$25,Доп.расчеты!$A126,'Как есть'!AQ$17:AQ$25)</f>
        <v>0</v>
      </c>
      <c r="AQ126">
        <f>SUMIF('Как есть'!$A$17:$A$25,Доп.расчеты!$A126,'Как есть'!AR$17:AR$25)</f>
        <v>0</v>
      </c>
      <c r="AR126">
        <f>SUMIF('Как есть'!$A$17:$A$25,Доп.расчеты!$A126,'Как есть'!AS$17:AS$25)</f>
        <v>0</v>
      </c>
      <c r="AS126">
        <f>SUMIF('Как есть'!$A$17:$A$25,Доп.расчеты!$A126,'Как есть'!AT$17:AT$25)</f>
        <v>0</v>
      </c>
      <c r="AT126">
        <f>SUMIF('Как есть'!$A$17:$A$25,Доп.расчеты!$A126,'Как есть'!AU$17:AU$25)</f>
        <v>0</v>
      </c>
      <c r="AU126">
        <f>SUMIF('Как есть'!$A$17:$A$25,Доп.расчеты!$A126,'Как есть'!AV$17:AV$25)</f>
        <v>0</v>
      </c>
      <c r="AV126">
        <f>SUMIF('Как есть'!$A$17:$A$25,Доп.расчеты!$A126,'Как есть'!AW$17:AW$25)</f>
        <v>0</v>
      </c>
      <c r="AW126">
        <f>SUMIF('Как есть'!$A$17:$A$25,Доп.расчеты!$A126,'Как есть'!AX$17:AX$25)</f>
        <v>0</v>
      </c>
      <c r="AX126">
        <f>SUMIF('Как есть'!$A$17:$A$25,Доп.расчеты!$A126,'Как есть'!AY$17:AY$25)</f>
        <v>0</v>
      </c>
      <c r="AY126">
        <f>SUMIF('Как есть'!$A$17:$A$25,Доп.расчеты!$A126,'Как есть'!AZ$17:AZ$25)</f>
        <v>0</v>
      </c>
      <c r="AZ126">
        <f>SUMIF('Как есть'!$A$17:$A$25,Доп.расчеты!$A126,'Как есть'!BA$17:BA$25)</f>
        <v>0</v>
      </c>
      <c r="BA126">
        <f>SUMIF('Как есть'!$A$17:$A$25,Доп.расчеты!$A126,'Как есть'!BB$17:BB$25)</f>
        <v>0</v>
      </c>
      <c r="BB126">
        <f>SUMIF('Как есть'!$A$17:$A$25,Доп.расчеты!$A126,'Как есть'!BC$17:BC$25)</f>
        <v>0</v>
      </c>
      <c r="BC126">
        <f>SUMIF('Как есть'!$A$17:$A$25,Доп.расчеты!$A126,'Как есть'!BD$17:BD$25)</f>
        <v>0</v>
      </c>
      <c r="BD126">
        <f>SUMIF('Как есть'!$A$17:$A$25,Доп.расчеты!$A126,'Как есть'!BE$17:BE$25)</f>
        <v>0</v>
      </c>
      <c r="BE126">
        <f>SUMIF('Как есть'!$A$17:$A$25,Доп.расчеты!$A126,'Как есть'!BF$17:BF$25)</f>
        <v>0</v>
      </c>
      <c r="BF126">
        <f>SUMIF('Как есть'!$A$17:$A$25,Доп.расчеты!$A126,'Как есть'!BG$17:BG$25)</f>
        <v>0</v>
      </c>
      <c r="BG126">
        <f>SUMIF('Как есть'!$A$17:$A$25,Доп.расчеты!$A126,'Как есть'!BH$17:BH$25)</f>
        <v>0</v>
      </c>
      <c r="BH126">
        <f>SUMIF('Как есть'!$A$17:$A$25,Доп.расчеты!$A126,'Как есть'!BI$17:BI$25)</f>
        <v>0</v>
      </c>
      <c r="BI126">
        <f>SUMIF('Как есть'!$A$17:$A$25,Доп.расчеты!$A126,'Как есть'!BJ$17:BJ$25)</f>
        <v>0</v>
      </c>
      <c r="BJ126">
        <f>SUMIF('Как есть'!$A$17:$A$25,Доп.расчеты!$A126,'Как есть'!BK$17:BK$25)</f>
        <v>0</v>
      </c>
      <c r="BK126">
        <f>SUMIF('Как есть'!$A$17:$A$25,Доп.расчеты!$A126,'Как есть'!BL$17:BL$25)</f>
        <v>0</v>
      </c>
      <c r="BL126">
        <f>SUMIF('Как есть'!$A$17:$A$25,Доп.расчеты!$A126,'Как есть'!BM$17:BM$25)</f>
        <v>0</v>
      </c>
      <c r="BM126">
        <f>SUMIF('Как есть'!$A$17:$A$25,Доп.расчеты!$A126,'Как есть'!BN$17:BN$25)</f>
        <v>0</v>
      </c>
      <c r="BN126">
        <f>SUMIF('Как есть'!$A$17:$A$25,Доп.расчеты!$A126,'Как есть'!BO$17:BO$25)</f>
        <v>0</v>
      </c>
      <c r="BO126">
        <f>SUMIF('Как есть'!$A$17:$A$25,Доп.расчеты!$A126,'Как есть'!BP$17:BP$25)</f>
        <v>0</v>
      </c>
      <c r="BP126">
        <f>SUMIF('Как есть'!$A$17:$A$25,Доп.расчеты!$A126,'Как есть'!BQ$17:BQ$25)</f>
        <v>0</v>
      </c>
      <c r="BQ126">
        <f>SUMIF('Как есть'!$A$17:$A$25,Доп.расчеты!$A126,'Как есть'!BR$17:BR$25)</f>
        <v>0</v>
      </c>
      <c r="BR126">
        <f>SUMIF('Как есть'!$A$17:$A$25,Доп.расчеты!$A126,'Как есть'!BS$17:BS$25)</f>
        <v>0</v>
      </c>
      <c r="BS126">
        <f>SUMIF('Как есть'!$A$17:$A$25,Доп.расчеты!$A126,'Как есть'!BT$17:BT$25)</f>
        <v>0</v>
      </c>
      <c r="BT126">
        <f>SUMIF('Как есть'!$A$17:$A$25,Доп.расчеты!$A126,'Как есть'!BU$17:BU$25)</f>
        <v>0</v>
      </c>
      <c r="BU126">
        <f>SUMIF('Как есть'!$A$17:$A$25,Доп.расчеты!$A126,'Как есть'!BV$17:BV$25)</f>
        <v>0</v>
      </c>
      <c r="BV126">
        <f>SUMIF('Как есть'!$A$17:$A$25,Доп.расчеты!$A126,'Как есть'!BW$17:BW$25)</f>
        <v>0</v>
      </c>
      <c r="BW126">
        <f>SUMIF('Как есть'!$A$17:$A$25,Доп.расчеты!$A126,'Как есть'!BX$17:BX$25)</f>
        <v>0</v>
      </c>
      <c r="BX126">
        <f>SUMIF('Как есть'!$A$17:$A$25,Доп.расчеты!$A126,'Как есть'!BY$17:BY$25)</f>
        <v>0</v>
      </c>
      <c r="BY126">
        <f>SUMIF('Как есть'!$A$17:$A$25,Доп.расчеты!$A126,'Как есть'!BZ$17:BZ$25)</f>
        <v>0</v>
      </c>
      <c r="BZ126">
        <f>SUMIF('Как есть'!$A$17:$A$25,Доп.расчеты!$A126,'Как есть'!CA$17:CA$25)</f>
        <v>0</v>
      </c>
      <c r="CA126">
        <f>SUMIF('Как есть'!$A$17:$A$25,Доп.расчеты!$A126,'Как есть'!CB$17:CB$25)</f>
        <v>0</v>
      </c>
      <c r="CB126">
        <f>SUMIF('Как есть'!$A$17:$A$25,Доп.расчеты!$A126,'Как есть'!CC$17:CC$25)</f>
        <v>0</v>
      </c>
      <c r="CC126">
        <f>SUMIF('Как есть'!$A$17:$A$25,Доп.расчеты!$A126,'Как есть'!CD$17:CD$25)</f>
        <v>0</v>
      </c>
      <c r="CD126">
        <f>SUMIF('Как есть'!$A$17:$A$25,Доп.расчеты!$A126,'Как есть'!CE$17:CE$25)</f>
        <v>0</v>
      </c>
      <c r="CE126">
        <f>SUMIF('Как есть'!$A$17:$A$25,Доп.расчеты!$A126,'Как есть'!CF$17:CF$25)</f>
        <v>0</v>
      </c>
      <c r="CF126">
        <f>SUMIF('Как есть'!$A$17:$A$25,Доп.расчеты!$A126,'Как есть'!CG$17:CG$25)</f>
        <v>0</v>
      </c>
      <c r="CG126">
        <f>SUMIF('Как есть'!$A$17:$A$25,Доп.расчеты!$A126,'Как есть'!CH$17:CH$25)</f>
        <v>0</v>
      </c>
      <c r="CH126">
        <f>SUMIF('Как есть'!$A$17:$A$25,Доп.расчеты!$A126,'Как есть'!CI$17:CI$25)</f>
        <v>0</v>
      </c>
      <c r="CI126">
        <f>SUMIF('Как есть'!$A$17:$A$25,Доп.расчеты!$A126,'Как есть'!CJ$17:CJ$25)</f>
        <v>0</v>
      </c>
      <c r="CJ126">
        <f>SUMIF('Как есть'!$A$17:$A$25,Доп.расчеты!$A126,'Как есть'!CK$17:CK$25)</f>
        <v>0</v>
      </c>
      <c r="CK126">
        <f>SUMIF('Как есть'!$A$17:$A$25,Доп.расчеты!$A126,'Как есть'!CL$17:CL$25)</f>
        <v>0</v>
      </c>
      <c r="CL126">
        <f>SUMIF('Как есть'!$A$17:$A$25,Доп.расчеты!$A126,'Как есть'!CM$17:CM$25)</f>
        <v>0</v>
      </c>
      <c r="CM126">
        <f>SUMIF('Как есть'!$A$17:$A$25,Доп.расчеты!$A126,'Как есть'!CN$17:CN$25)</f>
        <v>0</v>
      </c>
      <c r="CN126">
        <f>SUMIF('Как есть'!$A$17:$A$25,Доп.расчеты!$A126,'Как есть'!CO$17:CO$25)</f>
        <v>0</v>
      </c>
      <c r="CO126">
        <f>SUMIF('Как есть'!$A$17:$A$25,Доп.расчеты!$A126,'Как есть'!CP$17:CP$25)</f>
        <v>0</v>
      </c>
      <c r="CP126">
        <f>SUMIF('Как есть'!$A$17:$A$25,Доп.расчеты!$A126,'Как есть'!CQ$17:CQ$25)</f>
        <v>0</v>
      </c>
      <c r="CQ126">
        <f>SUMIF('Как есть'!$A$17:$A$25,Доп.расчеты!$A126,'Как есть'!CR$17:CR$25)</f>
        <v>0</v>
      </c>
      <c r="CR126">
        <f>SUMIF('Как есть'!$A$17:$A$25,Доп.расчеты!$A126,'Как есть'!CS$17:CS$25)</f>
        <v>0</v>
      </c>
      <c r="CS126">
        <f>SUMIF('Как есть'!$A$17:$A$25,Доп.расчеты!$A126,'Как есть'!CT$17:CT$25)</f>
        <v>0</v>
      </c>
      <c r="CT126">
        <f>SUMIF('Как есть'!$A$17:$A$25,Доп.расчеты!$A126,'Как есть'!CU$17:CU$25)</f>
        <v>0</v>
      </c>
      <c r="CU126">
        <f>SUMIF('Как есть'!$A$17:$A$25,Доп.расчеты!$A126,'Как есть'!CV$17:CV$25)</f>
        <v>0</v>
      </c>
      <c r="CV126">
        <f>SUMIF('Как есть'!$A$17:$A$25,Доп.расчеты!$A126,'Как есть'!CW$17:CW$25)</f>
        <v>0</v>
      </c>
      <c r="CW126">
        <f>SUMIF('Как есть'!$A$17:$A$25,Доп.расчеты!$A126,'Как есть'!CX$17:CX$25)</f>
        <v>0</v>
      </c>
      <c r="CX126">
        <f>SUMIF('Как есть'!$A$17:$A$25,Доп.расчеты!$A126,'Как есть'!CY$17:CY$25)</f>
        <v>0</v>
      </c>
      <c r="CY126">
        <f>SUMIF('Как есть'!$A$17:$A$25,Доп.расчеты!$A126,'Как есть'!CZ$17:CZ$25)</f>
        <v>0</v>
      </c>
      <c r="CZ126">
        <f>SUMIF('Как есть'!$A$17:$A$25,Доп.расчеты!$A126,'Как есть'!DA$17:DA$25)</f>
        <v>0</v>
      </c>
      <c r="DA126">
        <f>SUMIF('Как есть'!$A$17:$A$25,Доп.расчеты!$A126,'Как есть'!DB$17:DB$25)</f>
        <v>0</v>
      </c>
      <c r="DB126">
        <f>SUMIF('Как есть'!$A$17:$A$25,Доп.расчеты!$A126,'Как есть'!DC$17:DC$25)</f>
        <v>0</v>
      </c>
      <c r="DC126">
        <f>SUMIF('Как есть'!$A$17:$A$25,Доп.расчеты!$A126,'Как есть'!DD$17:DD$25)</f>
        <v>0</v>
      </c>
      <c r="DD126">
        <f>SUMIF('Как есть'!$A$17:$A$25,Доп.расчеты!$A126,'Как есть'!DE$17:DE$25)</f>
        <v>0</v>
      </c>
      <c r="DE126">
        <f>SUMIF('Как есть'!$A$17:$A$25,Доп.расчеты!$A126,'Как есть'!DF$17:DF$25)</f>
        <v>0</v>
      </c>
      <c r="DF126">
        <f>SUMIF('Как есть'!$A$17:$A$25,Доп.расчеты!$A126,'Как есть'!DG$17:DG$25)</f>
        <v>0</v>
      </c>
      <c r="DG126">
        <f>SUMIF('Как есть'!$A$17:$A$25,Доп.расчеты!$A126,'Как есть'!DH$17:DH$25)</f>
        <v>0</v>
      </c>
      <c r="DH126">
        <f>SUMIF('Как есть'!$A$17:$A$25,Доп.расчеты!$A126,'Как есть'!DI$17:DI$25)</f>
        <v>0</v>
      </c>
      <c r="DI126">
        <f>SUMIF('Как есть'!$A$17:$A$25,Доп.расчеты!$A126,'Как есть'!DJ$17:DJ$25)</f>
        <v>0</v>
      </c>
      <c r="DJ126">
        <f>SUMIF('Как есть'!$A$17:$A$25,Доп.расчеты!$A126,'Как есть'!DK$17:DK$25)</f>
        <v>0</v>
      </c>
      <c r="DK126">
        <f>SUMIF('Как есть'!$A$17:$A$25,Доп.расчеты!$A126,'Как есть'!DL$17:DL$25)</f>
        <v>0</v>
      </c>
      <c r="DL126">
        <f>SUMIF('Как есть'!$A$17:$A$25,Доп.расчеты!$A126,'Как есть'!DM$17:DM$25)</f>
        <v>0</v>
      </c>
      <c r="DM126">
        <f>SUMIF('Как есть'!$A$17:$A$25,Доп.расчеты!$A126,'Как есть'!DN$17:DN$25)</f>
        <v>0</v>
      </c>
      <c r="DN126">
        <f>SUMIF('Как есть'!$A$17:$A$25,Доп.расчеты!$A126,'Как есть'!DO$17:DO$25)</f>
        <v>0</v>
      </c>
      <c r="DO126">
        <f>SUMIF('Как есть'!$A$17:$A$25,Доп.расчеты!$A126,'Как есть'!DP$17:DP$25)</f>
        <v>0</v>
      </c>
      <c r="DP126">
        <f>SUMIF('Как есть'!$A$17:$A$25,Доп.расчеты!$A126,'Как есть'!DQ$17:DQ$25)</f>
        <v>0</v>
      </c>
      <c r="DQ126">
        <f>SUMIF('Как есть'!$A$17:$A$25,Доп.расчеты!$A126,'Как есть'!DR$17:DR$25)</f>
        <v>0</v>
      </c>
      <c r="DR126">
        <f>SUMIF('Как есть'!$A$17:$A$25,Доп.расчеты!$A126,'Как есть'!DS$17:DS$25)</f>
        <v>0</v>
      </c>
      <c r="DS126">
        <f>SUMIF('Как есть'!$A$17:$A$25,Доп.расчеты!$A126,'Как есть'!DT$17:DT$25)</f>
        <v>0</v>
      </c>
      <c r="DT126">
        <f>SUMIF('Как есть'!$A$17:$A$25,Доп.расчеты!$A126,'Как есть'!DU$17:DU$25)</f>
        <v>0</v>
      </c>
      <c r="DU126">
        <f>SUMIF('Как есть'!$A$17:$A$25,Доп.расчеты!$A126,'Как есть'!DV$17:DV$25)</f>
        <v>0</v>
      </c>
      <c r="DV126">
        <f>SUMIF('Как есть'!$A$17:$A$25,Доп.расчеты!$A126,'Как есть'!DW$17:DW$25)</f>
        <v>0</v>
      </c>
      <c r="DW126">
        <f>SUMIF('Как есть'!$A$17:$A$25,Доп.расчеты!$A126,'Как есть'!DX$17:DX$25)</f>
        <v>0</v>
      </c>
      <c r="DX126">
        <f>SUMIF('Как есть'!$A$17:$A$25,Доп.расчеты!$A126,'Как есть'!DY$17:DY$25)</f>
        <v>0</v>
      </c>
      <c r="DY126">
        <f>SUMIF('Как есть'!$A$17:$A$25,Доп.расчеты!$A126,'Как есть'!DZ$17:DZ$25)</f>
        <v>0</v>
      </c>
      <c r="DZ126">
        <f>SUMIF('Как есть'!$A$17:$A$25,Доп.расчеты!$A126,'Как есть'!EA$17:EA$25)</f>
        <v>0</v>
      </c>
      <c r="EA126">
        <f>SUMIF('Как есть'!$A$17:$A$25,Доп.расчеты!$A126,'Как есть'!EB$17:EB$25)</f>
        <v>0</v>
      </c>
      <c r="EB126">
        <f>SUMIF('Как есть'!$A$17:$A$25,Доп.расчеты!$A126,'Как есть'!EC$17:EC$25)</f>
        <v>0</v>
      </c>
      <c r="EC126">
        <f>SUMIF('Как есть'!$A$17:$A$25,Доп.расчеты!$A126,'Как есть'!ED$17:ED$25)</f>
        <v>0</v>
      </c>
      <c r="ED126">
        <f>SUMIF('Как есть'!$A$17:$A$25,Доп.расчеты!$A126,'Как есть'!EE$17:EE$25)</f>
        <v>0</v>
      </c>
      <c r="EE126">
        <f>SUMIF('Как есть'!$A$17:$A$25,Доп.расчеты!$A126,'Как есть'!EF$17:EF$25)</f>
        <v>0</v>
      </c>
      <c r="EF126">
        <f>SUMIF('Как есть'!$A$17:$A$25,Доп.расчеты!$A126,'Как есть'!EG$17:EG$25)</f>
        <v>0</v>
      </c>
      <c r="EG126">
        <f>SUMIF('Как есть'!$A$17:$A$25,Доп.расчеты!$A126,'Как есть'!EH$17:EH$25)</f>
        <v>0</v>
      </c>
      <c r="EH126">
        <f>SUMIF('Как есть'!$A$17:$A$25,Доп.расчеты!$A126,'Как есть'!EI$17:EI$25)</f>
        <v>0</v>
      </c>
      <c r="EI126">
        <f>SUMIF('Как есть'!$A$17:$A$25,Доп.расчеты!$A126,'Как есть'!EJ$17:EJ$25)</f>
        <v>0</v>
      </c>
      <c r="EJ126">
        <f>SUMIF('Как есть'!$A$17:$A$25,Доп.расчеты!$A126,'Как есть'!EK$17:EK$25)</f>
        <v>0</v>
      </c>
      <c r="EK126">
        <f>SUMIF('Как есть'!$A$17:$A$25,Доп.расчеты!$A126,'Как есть'!EL$17:EL$25)</f>
        <v>0</v>
      </c>
      <c r="EL126">
        <f>SUMIF('Как есть'!$A$17:$A$25,Доп.расчеты!$A126,'Как есть'!EM$17:EM$25)</f>
        <v>0</v>
      </c>
      <c r="EM126">
        <f>SUMIF('Как есть'!$A$17:$A$25,Доп.расчеты!$A126,'Как есть'!EN$17:EN$25)</f>
        <v>0</v>
      </c>
      <c r="EN126">
        <f>SUMIF('Как есть'!$A$17:$A$25,Доп.расчеты!$A126,'Как есть'!EO$17:EO$25)</f>
        <v>0</v>
      </c>
      <c r="EO126">
        <f>SUMIF('Как есть'!$A$17:$A$25,Доп.расчеты!$A126,'Как есть'!EP$17:EP$25)</f>
        <v>0</v>
      </c>
      <c r="EP126">
        <f>SUMIF('Как есть'!$A$17:$A$25,Доп.расчеты!$A126,'Как есть'!EQ$17:EQ$25)</f>
        <v>0</v>
      </c>
      <c r="EQ126">
        <f>SUMIF('Как есть'!$A$17:$A$25,Доп.расчеты!$A126,'Как есть'!ER$17:ER$25)</f>
        <v>0</v>
      </c>
      <c r="ER126">
        <f>SUMIF('Как есть'!$A$17:$A$25,Доп.расчеты!$A126,'Как есть'!ES$17:ES$25)</f>
        <v>0</v>
      </c>
      <c r="ES126">
        <f>SUMIF('Как есть'!$A$17:$A$25,Доп.расчеты!$A126,'Как есть'!ET$17:ET$25)</f>
        <v>0</v>
      </c>
      <c r="ET126">
        <f>SUMIF('Как есть'!$A$17:$A$25,Доп.расчеты!$A126,'Как есть'!EU$17:EU$25)</f>
        <v>0</v>
      </c>
      <c r="EU126">
        <f>SUMIF('Как есть'!$A$17:$A$25,Доп.расчеты!$A126,'Как есть'!EV$17:EV$25)</f>
        <v>0</v>
      </c>
      <c r="EV126">
        <f>SUMIF('Как есть'!$A$17:$A$25,Доп.расчеты!$A126,'Как есть'!EW$17:EW$25)</f>
        <v>0</v>
      </c>
      <c r="EW126">
        <f>SUMIF('Как есть'!$A$17:$A$25,Доп.расчеты!$A126,'Как есть'!EX$17:EX$25)</f>
        <v>0</v>
      </c>
      <c r="EX126">
        <f>SUMIF('Как есть'!$A$17:$A$25,Доп.расчеты!$A126,'Как есть'!EY$17:EY$25)</f>
        <v>0</v>
      </c>
      <c r="EY126">
        <f>SUMIF('Как есть'!$A$17:$A$25,Доп.расчеты!$A126,'Как есть'!EZ$17:EZ$25)</f>
        <v>0</v>
      </c>
      <c r="EZ126">
        <f>SUMIF('Как есть'!$A$17:$A$25,Доп.расчеты!$A126,'Как есть'!FA$17:FA$25)</f>
        <v>0</v>
      </c>
      <c r="FA126">
        <f>SUMIF('Как есть'!$A$17:$A$25,Доп.расчеты!$A126,'Как есть'!FB$17:FB$25)</f>
        <v>0</v>
      </c>
      <c r="FB126">
        <f>SUMIF('Как есть'!$A$17:$A$25,Доп.расчеты!$A126,'Как есть'!FC$17:FC$25)</f>
        <v>0</v>
      </c>
      <c r="FC126">
        <f>SUMIF('Как есть'!$A$17:$A$25,Доп.расчеты!$A126,'Как есть'!FD$17:FD$25)</f>
        <v>0</v>
      </c>
      <c r="FD126">
        <f>SUMIF('Как есть'!$A$17:$A$25,Доп.расчеты!$A126,'Как есть'!FE$17:FE$25)</f>
        <v>0</v>
      </c>
      <c r="FE126">
        <f>SUMIF('Как есть'!$A$17:$A$25,Доп.расчеты!$A126,'Как есть'!FF$17:FF$25)</f>
        <v>0</v>
      </c>
      <c r="FF126">
        <f>SUMIF('Как есть'!$A$17:$A$25,Доп.расчеты!$A126,'Как есть'!FG$17:FG$25)</f>
        <v>0</v>
      </c>
      <c r="FG126">
        <f>SUMIF('Как есть'!$A$17:$A$25,Доп.расчеты!$A126,'Как есть'!FH$17:FH$25)</f>
        <v>0</v>
      </c>
      <c r="FH126">
        <f>SUMIF('Как есть'!$A$17:$A$25,Доп.расчеты!$A126,'Как есть'!FI$17:FI$25)</f>
        <v>0</v>
      </c>
      <c r="FI126">
        <f>SUMIF('Как есть'!$A$17:$A$25,Доп.расчеты!$A126,'Как есть'!FJ$17:FJ$25)</f>
        <v>0</v>
      </c>
      <c r="FJ126">
        <f>SUMIF('Как есть'!$A$17:$A$25,Доп.расчеты!$A126,'Как есть'!FK$17:FK$25)</f>
        <v>0</v>
      </c>
      <c r="FK126">
        <f>SUMIF('Как есть'!$A$17:$A$25,Доп.расчеты!$A126,'Как есть'!FL$17:FL$25)</f>
        <v>0</v>
      </c>
      <c r="FL126">
        <f>SUMIF('Как есть'!$A$17:$A$25,Доп.расчеты!$A126,'Как есть'!FM$17:FM$25)</f>
        <v>0</v>
      </c>
      <c r="FM126">
        <f>SUMIF('Как есть'!$A$17:$A$25,Доп.расчеты!$A126,'Как есть'!FN$17:FN$25)</f>
        <v>0</v>
      </c>
      <c r="FN126">
        <f>SUMIF('Как есть'!$A$17:$A$25,Доп.расчеты!$A126,'Как есть'!FO$17:FO$25)</f>
        <v>0</v>
      </c>
      <c r="FO126">
        <f>SUMIF('Как есть'!$A$17:$A$25,Доп.расчеты!$A126,'Как есть'!FP$17:FP$25)</f>
        <v>0</v>
      </c>
      <c r="FP126">
        <f>SUMIF('Как есть'!$A$17:$A$25,Доп.расчеты!$A126,'Как есть'!FQ$17:FQ$25)</f>
        <v>0</v>
      </c>
      <c r="FQ126">
        <f>SUMIF('Как есть'!$A$17:$A$25,Доп.расчеты!$A126,'Как есть'!FR$17:FR$25)</f>
        <v>0</v>
      </c>
      <c r="FR126">
        <f>SUMIF('Как есть'!$A$17:$A$25,Доп.расчеты!$A126,'Как есть'!FS$17:FS$25)</f>
        <v>0</v>
      </c>
      <c r="FS126">
        <f>SUMIF('Как есть'!$A$17:$A$25,Доп.расчеты!$A126,'Как есть'!FT$17:FT$25)</f>
        <v>0</v>
      </c>
      <c r="FT126">
        <f>SUMIF('Как есть'!$A$17:$A$25,Доп.расчеты!$A126,'Как есть'!FU$17:FU$25)</f>
        <v>0</v>
      </c>
      <c r="FU126">
        <f>SUMIF('Как есть'!$A$17:$A$25,Доп.расчеты!$A126,'Как есть'!FV$17:FV$25)</f>
        <v>0</v>
      </c>
      <c r="FV126">
        <f>SUMIF('Как есть'!$A$17:$A$25,Доп.расчеты!$A126,'Как есть'!FW$17:FW$25)</f>
        <v>0</v>
      </c>
      <c r="FW126">
        <f>SUMIF('Как есть'!$A$17:$A$25,Доп.расчеты!$A126,'Как есть'!FX$17:FX$25)</f>
        <v>0</v>
      </c>
      <c r="FX126">
        <f>SUMIF('Как есть'!$A$17:$A$25,Доп.расчеты!$A126,'Как есть'!FY$17:FY$25)</f>
        <v>0</v>
      </c>
      <c r="FY126">
        <f>SUMIF('Как есть'!$A$17:$A$25,Доп.расчеты!$A126,'Как есть'!FZ$17:FZ$25)</f>
        <v>0</v>
      </c>
      <c r="FZ126">
        <f>SUMIF('Как есть'!$A$17:$A$25,Доп.расчеты!$A126,'Как есть'!GA$17:GA$25)</f>
        <v>0</v>
      </c>
      <c r="GA126">
        <f>SUMIF('Как есть'!$A$17:$A$25,Доп.расчеты!$A126,'Как есть'!GB$17:GB$25)</f>
        <v>0</v>
      </c>
      <c r="GB126">
        <f>SUMIF('Как есть'!$A$17:$A$25,Доп.расчеты!$A126,'Как есть'!GC$17:GC$25)</f>
        <v>0</v>
      </c>
      <c r="GC126">
        <f>SUMIF('Как есть'!$A$17:$A$25,Доп.расчеты!$A126,'Как есть'!GD$17:GD$25)</f>
        <v>0</v>
      </c>
      <c r="GD126">
        <f>SUMIF('Как есть'!$A$17:$A$25,Доп.расчеты!$A126,'Как есть'!GE$17:GE$25)</f>
        <v>0</v>
      </c>
      <c r="GE126">
        <f>SUMIF('Как есть'!$A$17:$A$25,Доп.расчеты!$A126,'Как есть'!GF$17:GF$25)</f>
        <v>0</v>
      </c>
      <c r="GF126">
        <f>SUMIF('Как есть'!$A$17:$A$25,Доп.расчеты!$A126,'Как есть'!GG$17:GG$25)</f>
        <v>0</v>
      </c>
      <c r="GG126">
        <f>SUMIF('Как есть'!$A$17:$A$25,Доп.расчеты!$A126,'Как есть'!GH$17:GH$25)</f>
        <v>0</v>
      </c>
      <c r="GH126">
        <f>SUMIF('Как есть'!$A$17:$A$25,Доп.расчеты!$A126,'Как есть'!GI$17:GI$25)</f>
        <v>0</v>
      </c>
      <c r="GI126">
        <f>SUMIF('Как есть'!$A$17:$A$25,Доп.расчеты!$A126,'Как есть'!GJ$17:GJ$25)</f>
        <v>0</v>
      </c>
      <c r="GJ126">
        <f>SUMIF('Как есть'!$A$17:$A$25,Доп.расчеты!$A126,'Как есть'!GK$17:GK$25)</f>
        <v>0</v>
      </c>
      <c r="GK126">
        <f>SUMIF('Как есть'!$A$17:$A$25,Доп.расчеты!$A126,'Как есть'!GL$17:GL$25)</f>
        <v>0</v>
      </c>
      <c r="GL126">
        <f>SUMIF('Как есть'!$A$17:$A$25,Доп.расчеты!$A126,'Как есть'!GM$17:GM$25)</f>
        <v>0</v>
      </c>
      <c r="GM126">
        <f>SUMIF('Как есть'!$A$17:$A$25,Доп.расчеты!$A126,'Как есть'!GN$17:GN$25)</f>
        <v>0</v>
      </c>
      <c r="GN126">
        <f>SUMIF('Как есть'!$A$17:$A$25,Доп.расчеты!$A126,'Как есть'!GO$17:GO$25)</f>
        <v>0</v>
      </c>
      <c r="GO126">
        <f>SUMIF('Как есть'!$A$17:$A$25,Доп.расчеты!$A126,'Как есть'!GP$17:GP$25)</f>
        <v>0</v>
      </c>
      <c r="GP126">
        <f>SUMIF('Как есть'!$A$17:$A$25,Доп.расчеты!$A126,'Как есть'!GQ$17:GQ$25)</f>
        <v>0</v>
      </c>
      <c r="GQ126">
        <f>SUMIF('Как есть'!$A$17:$A$25,Доп.расчеты!$A126,'Как есть'!GR$17:GR$25)</f>
        <v>0</v>
      </c>
      <c r="GR126">
        <f>SUMIF('Как есть'!$A$17:$A$25,Доп.расчеты!$A126,'Как есть'!GS$17:GS$25)</f>
        <v>0</v>
      </c>
      <c r="GS126">
        <f>SUMIF('Как есть'!$A$17:$A$25,Доп.расчеты!$A126,'Как есть'!GT$17:GT$25)</f>
        <v>0</v>
      </c>
      <c r="GT126">
        <f>SUMIF('Как есть'!$A$17:$A$25,Доп.расчеты!$A126,'Как есть'!GU$17:GU$25)</f>
        <v>0</v>
      </c>
    </row>
    <row r="127" spans="1:202" hidden="1" outlineLevel="1">
      <c r="A127" s="238" t="s">
        <v>105</v>
      </c>
      <c r="B127">
        <f>SUMIF('Как есть'!$A$17:$A$25,Доп.расчеты!$A127,'Как есть'!C$17:C$25)</f>
        <v>0</v>
      </c>
      <c r="C127">
        <f>SUMIF('Как есть'!$A$17:$A$25,Доп.расчеты!$A127,'Как есть'!D$17:D$25)</f>
        <v>0</v>
      </c>
      <c r="D127">
        <f>SUMIF('Как есть'!$A$17:$A$25,Доп.расчеты!$A127,'Как есть'!E$17:E$25)</f>
        <v>0</v>
      </c>
      <c r="E127">
        <f>SUMIF('Как есть'!$A$17:$A$25,Доп.расчеты!$A127,'Как есть'!F$17:F$25)</f>
        <v>0</v>
      </c>
      <c r="F127">
        <f>SUMIF('Как есть'!$A$17:$A$25,Доп.расчеты!$A127,'Как есть'!G$17:G$25)</f>
        <v>0</v>
      </c>
      <c r="G127">
        <f>SUMIF('Как есть'!$A$17:$A$25,Доп.расчеты!$A127,'Как есть'!H$17:H$25)</f>
        <v>0</v>
      </c>
      <c r="H127">
        <f>SUMIF('Как есть'!$A$17:$A$25,Доп.расчеты!$A127,'Как есть'!I$17:I$25)</f>
        <v>0</v>
      </c>
      <c r="I127">
        <f>SUMIF('Как есть'!$A$17:$A$25,Доп.расчеты!$A127,'Как есть'!J$17:J$25)</f>
        <v>0</v>
      </c>
      <c r="J127">
        <f>SUMIF('Как есть'!$A$17:$A$25,Доп.расчеты!$A127,'Как есть'!K$17:K$25)</f>
        <v>0</v>
      </c>
      <c r="K127">
        <f>SUMIF('Как есть'!$A$17:$A$25,Доп.расчеты!$A127,'Как есть'!L$17:L$25)</f>
        <v>0</v>
      </c>
      <c r="L127">
        <f>SUMIF('Как есть'!$A$17:$A$25,Доп.расчеты!$A127,'Как есть'!M$17:M$25)</f>
        <v>0</v>
      </c>
      <c r="M127">
        <f>SUMIF('Как есть'!$A$17:$A$25,Доп.расчеты!$A127,'Как есть'!N$17:N$25)</f>
        <v>0</v>
      </c>
      <c r="N127">
        <f>SUMIF('Как есть'!$A$17:$A$25,Доп.расчеты!$A127,'Как есть'!O$17:O$25)</f>
        <v>0</v>
      </c>
      <c r="O127">
        <f>SUMIF('Как есть'!$A$17:$A$25,Доп.расчеты!$A127,'Как есть'!P$17:P$25)</f>
        <v>0</v>
      </c>
      <c r="P127">
        <f>SUMIF('Как есть'!$A$17:$A$25,Доп.расчеты!$A127,'Как есть'!Q$17:Q$25)</f>
        <v>0</v>
      </c>
      <c r="Q127">
        <f>SUMIF('Как есть'!$A$17:$A$25,Доп.расчеты!$A127,'Как есть'!R$17:R$25)</f>
        <v>0</v>
      </c>
      <c r="R127">
        <f>SUMIF('Как есть'!$A$17:$A$25,Доп.расчеты!$A127,'Как есть'!S$17:S$25)</f>
        <v>0</v>
      </c>
      <c r="S127">
        <f>SUMIF('Как есть'!$A$17:$A$25,Доп.расчеты!$A127,'Как есть'!T$17:T$25)</f>
        <v>0</v>
      </c>
      <c r="T127">
        <f>SUMIF('Как есть'!$A$17:$A$25,Доп.расчеты!$A127,'Как есть'!U$17:U$25)</f>
        <v>0</v>
      </c>
      <c r="U127">
        <f>SUMIF('Как есть'!$A$17:$A$25,Доп.расчеты!$A127,'Как есть'!V$17:V$25)</f>
        <v>0</v>
      </c>
      <c r="V127">
        <f>SUMIF('Как есть'!$A$17:$A$25,Доп.расчеты!$A127,'Как есть'!W$17:W$25)</f>
        <v>0</v>
      </c>
      <c r="W127">
        <f>SUMIF('Как есть'!$A$17:$A$25,Доп.расчеты!$A127,'Как есть'!X$17:X$25)</f>
        <v>0</v>
      </c>
      <c r="X127">
        <f>SUMIF('Как есть'!$A$17:$A$25,Доп.расчеты!$A127,'Как есть'!Y$17:Y$25)</f>
        <v>0</v>
      </c>
      <c r="Y127">
        <f>SUMIF('Как есть'!$A$17:$A$25,Доп.расчеты!$A127,'Как есть'!Z$17:Z$25)</f>
        <v>0</v>
      </c>
      <c r="Z127">
        <f>SUMIF('Как есть'!$A$17:$A$25,Доп.расчеты!$A127,'Как есть'!AA$17:AA$25)</f>
        <v>0</v>
      </c>
      <c r="AA127">
        <f>SUMIF('Как есть'!$A$17:$A$25,Доп.расчеты!$A127,'Как есть'!AB$17:AB$25)</f>
        <v>0</v>
      </c>
      <c r="AB127">
        <f>SUMIF('Как есть'!$A$17:$A$25,Доп.расчеты!$A127,'Как есть'!AC$17:AC$25)</f>
        <v>0</v>
      </c>
      <c r="AC127">
        <f>SUMIF('Как есть'!$A$17:$A$25,Доп.расчеты!$A127,'Как есть'!AD$17:AD$25)</f>
        <v>0</v>
      </c>
      <c r="AD127">
        <f>SUMIF('Как есть'!$A$17:$A$25,Доп.расчеты!$A127,'Как есть'!AE$17:AE$25)</f>
        <v>0</v>
      </c>
      <c r="AE127">
        <f>SUMIF('Как есть'!$A$17:$A$25,Доп.расчеты!$A127,'Как есть'!AF$17:AF$25)</f>
        <v>0</v>
      </c>
      <c r="AF127">
        <f>SUMIF('Как есть'!$A$17:$A$25,Доп.расчеты!$A127,'Как есть'!AG$17:AG$25)</f>
        <v>0</v>
      </c>
      <c r="AG127">
        <f>SUMIF('Как есть'!$A$17:$A$25,Доп.расчеты!$A127,'Как есть'!AH$17:AH$25)</f>
        <v>0</v>
      </c>
      <c r="AH127">
        <f>SUMIF('Как есть'!$A$17:$A$25,Доп.расчеты!$A127,'Как есть'!AI$17:AI$25)</f>
        <v>0</v>
      </c>
      <c r="AI127">
        <f>SUMIF('Как есть'!$A$17:$A$25,Доп.расчеты!$A127,'Как есть'!AJ$17:AJ$25)</f>
        <v>0</v>
      </c>
      <c r="AJ127">
        <f>SUMIF('Как есть'!$A$17:$A$25,Доп.расчеты!$A127,'Как есть'!AK$17:AK$25)</f>
        <v>0</v>
      </c>
      <c r="AK127">
        <f>SUMIF('Как есть'!$A$17:$A$25,Доп.расчеты!$A127,'Как есть'!AL$17:AL$25)</f>
        <v>0</v>
      </c>
      <c r="AL127">
        <f>SUMIF('Как есть'!$A$17:$A$25,Доп.расчеты!$A127,'Как есть'!AM$17:AM$25)</f>
        <v>0</v>
      </c>
      <c r="AM127">
        <f>SUMIF('Как есть'!$A$17:$A$25,Доп.расчеты!$A127,'Как есть'!AN$17:AN$25)</f>
        <v>0</v>
      </c>
      <c r="AN127">
        <f>SUMIF('Как есть'!$A$17:$A$25,Доп.расчеты!$A127,'Как есть'!AO$17:AO$25)</f>
        <v>0</v>
      </c>
      <c r="AO127">
        <f>SUMIF('Как есть'!$A$17:$A$25,Доп.расчеты!$A127,'Как есть'!AP$17:AP$25)</f>
        <v>0</v>
      </c>
      <c r="AP127">
        <f>SUMIF('Как есть'!$A$17:$A$25,Доп.расчеты!$A127,'Как есть'!AQ$17:AQ$25)</f>
        <v>0</v>
      </c>
      <c r="AQ127">
        <f>SUMIF('Как есть'!$A$17:$A$25,Доп.расчеты!$A127,'Как есть'!AR$17:AR$25)</f>
        <v>0</v>
      </c>
      <c r="AR127">
        <f>SUMIF('Как есть'!$A$17:$A$25,Доп.расчеты!$A127,'Как есть'!AS$17:AS$25)</f>
        <v>0</v>
      </c>
      <c r="AS127">
        <f>SUMIF('Как есть'!$A$17:$A$25,Доп.расчеты!$A127,'Как есть'!AT$17:AT$25)</f>
        <v>0</v>
      </c>
      <c r="AT127">
        <f>SUMIF('Как есть'!$A$17:$A$25,Доп.расчеты!$A127,'Как есть'!AU$17:AU$25)</f>
        <v>0</v>
      </c>
      <c r="AU127">
        <f>SUMIF('Как есть'!$A$17:$A$25,Доп.расчеты!$A127,'Как есть'!AV$17:AV$25)</f>
        <v>0</v>
      </c>
      <c r="AV127">
        <f>SUMIF('Как есть'!$A$17:$A$25,Доп.расчеты!$A127,'Как есть'!AW$17:AW$25)</f>
        <v>0</v>
      </c>
      <c r="AW127">
        <f>SUMIF('Как есть'!$A$17:$A$25,Доп.расчеты!$A127,'Как есть'!AX$17:AX$25)</f>
        <v>0</v>
      </c>
      <c r="AX127">
        <f>SUMIF('Как есть'!$A$17:$A$25,Доп.расчеты!$A127,'Как есть'!AY$17:AY$25)</f>
        <v>0</v>
      </c>
      <c r="AY127">
        <f>SUMIF('Как есть'!$A$17:$A$25,Доп.расчеты!$A127,'Как есть'!AZ$17:AZ$25)</f>
        <v>0</v>
      </c>
      <c r="AZ127">
        <f>SUMIF('Как есть'!$A$17:$A$25,Доп.расчеты!$A127,'Как есть'!BA$17:BA$25)</f>
        <v>0</v>
      </c>
      <c r="BA127">
        <f>SUMIF('Как есть'!$A$17:$A$25,Доп.расчеты!$A127,'Как есть'!BB$17:BB$25)</f>
        <v>0</v>
      </c>
      <c r="BB127">
        <f>SUMIF('Как есть'!$A$17:$A$25,Доп.расчеты!$A127,'Как есть'!BC$17:BC$25)</f>
        <v>0</v>
      </c>
      <c r="BC127">
        <f>SUMIF('Как есть'!$A$17:$A$25,Доп.расчеты!$A127,'Как есть'!BD$17:BD$25)</f>
        <v>0</v>
      </c>
      <c r="BD127">
        <f>SUMIF('Как есть'!$A$17:$A$25,Доп.расчеты!$A127,'Как есть'!BE$17:BE$25)</f>
        <v>0</v>
      </c>
      <c r="BE127">
        <f>SUMIF('Как есть'!$A$17:$A$25,Доп.расчеты!$A127,'Как есть'!BF$17:BF$25)</f>
        <v>0</v>
      </c>
      <c r="BF127">
        <f>SUMIF('Как есть'!$A$17:$A$25,Доп.расчеты!$A127,'Как есть'!BG$17:BG$25)</f>
        <v>0</v>
      </c>
      <c r="BG127">
        <f>SUMIF('Как есть'!$A$17:$A$25,Доп.расчеты!$A127,'Как есть'!BH$17:BH$25)</f>
        <v>0</v>
      </c>
      <c r="BH127">
        <f>SUMIF('Как есть'!$A$17:$A$25,Доп.расчеты!$A127,'Как есть'!BI$17:BI$25)</f>
        <v>0</v>
      </c>
      <c r="BI127">
        <f>SUMIF('Как есть'!$A$17:$A$25,Доп.расчеты!$A127,'Как есть'!BJ$17:BJ$25)</f>
        <v>0</v>
      </c>
      <c r="BJ127">
        <f>SUMIF('Как есть'!$A$17:$A$25,Доп.расчеты!$A127,'Как есть'!BK$17:BK$25)</f>
        <v>0</v>
      </c>
      <c r="BK127">
        <f>SUMIF('Как есть'!$A$17:$A$25,Доп.расчеты!$A127,'Как есть'!BL$17:BL$25)</f>
        <v>0</v>
      </c>
      <c r="BL127">
        <f>SUMIF('Как есть'!$A$17:$A$25,Доп.расчеты!$A127,'Как есть'!BM$17:BM$25)</f>
        <v>0</v>
      </c>
      <c r="BM127">
        <f>SUMIF('Как есть'!$A$17:$A$25,Доп.расчеты!$A127,'Как есть'!BN$17:BN$25)</f>
        <v>0</v>
      </c>
      <c r="BN127">
        <f>SUMIF('Как есть'!$A$17:$A$25,Доп.расчеты!$A127,'Как есть'!BO$17:BO$25)</f>
        <v>0</v>
      </c>
      <c r="BO127">
        <f>SUMIF('Как есть'!$A$17:$A$25,Доп.расчеты!$A127,'Как есть'!BP$17:BP$25)</f>
        <v>0</v>
      </c>
      <c r="BP127">
        <f>SUMIF('Как есть'!$A$17:$A$25,Доп.расчеты!$A127,'Как есть'!BQ$17:BQ$25)</f>
        <v>0</v>
      </c>
      <c r="BQ127">
        <f>SUMIF('Как есть'!$A$17:$A$25,Доп.расчеты!$A127,'Как есть'!BR$17:BR$25)</f>
        <v>0</v>
      </c>
      <c r="BR127">
        <f>SUMIF('Как есть'!$A$17:$A$25,Доп.расчеты!$A127,'Как есть'!BS$17:BS$25)</f>
        <v>0</v>
      </c>
      <c r="BS127">
        <f>SUMIF('Как есть'!$A$17:$A$25,Доп.расчеты!$A127,'Как есть'!BT$17:BT$25)</f>
        <v>0</v>
      </c>
      <c r="BT127">
        <f>SUMIF('Как есть'!$A$17:$A$25,Доп.расчеты!$A127,'Как есть'!BU$17:BU$25)</f>
        <v>0</v>
      </c>
      <c r="BU127">
        <f>SUMIF('Как есть'!$A$17:$A$25,Доп.расчеты!$A127,'Как есть'!BV$17:BV$25)</f>
        <v>0</v>
      </c>
      <c r="BV127">
        <f>SUMIF('Как есть'!$A$17:$A$25,Доп.расчеты!$A127,'Как есть'!BW$17:BW$25)</f>
        <v>0</v>
      </c>
      <c r="BW127">
        <f>SUMIF('Как есть'!$A$17:$A$25,Доп.расчеты!$A127,'Как есть'!BX$17:BX$25)</f>
        <v>0</v>
      </c>
      <c r="BX127">
        <f>SUMIF('Как есть'!$A$17:$A$25,Доп.расчеты!$A127,'Как есть'!BY$17:BY$25)</f>
        <v>0</v>
      </c>
      <c r="BY127">
        <f>SUMIF('Как есть'!$A$17:$A$25,Доп.расчеты!$A127,'Как есть'!BZ$17:BZ$25)</f>
        <v>0</v>
      </c>
      <c r="BZ127">
        <f>SUMIF('Как есть'!$A$17:$A$25,Доп.расчеты!$A127,'Как есть'!CA$17:CA$25)</f>
        <v>0</v>
      </c>
      <c r="CA127">
        <f>SUMIF('Как есть'!$A$17:$A$25,Доп.расчеты!$A127,'Как есть'!CB$17:CB$25)</f>
        <v>0</v>
      </c>
      <c r="CB127">
        <f>SUMIF('Как есть'!$A$17:$A$25,Доп.расчеты!$A127,'Как есть'!CC$17:CC$25)</f>
        <v>0</v>
      </c>
      <c r="CC127">
        <f>SUMIF('Как есть'!$A$17:$A$25,Доп.расчеты!$A127,'Как есть'!CD$17:CD$25)</f>
        <v>0</v>
      </c>
      <c r="CD127">
        <f>SUMIF('Как есть'!$A$17:$A$25,Доп.расчеты!$A127,'Как есть'!CE$17:CE$25)</f>
        <v>0</v>
      </c>
      <c r="CE127">
        <f>SUMIF('Как есть'!$A$17:$A$25,Доп.расчеты!$A127,'Как есть'!CF$17:CF$25)</f>
        <v>0</v>
      </c>
      <c r="CF127">
        <f>SUMIF('Как есть'!$A$17:$A$25,Доп.расчеты!$A127,'Как есть'!CG$17:CG$25)</f>
        <v>0</v>
      </c>
      <c r="CG127">
        <f>SUMIF('Как есть'!$A$17:$A$25,Доп.расчеты!$A127,'Как есть'!CH$17:CH$25)</f>
        <v>0</v>
      </c>
      <c r="CH127">
        <f>SUMIF('Как есть'!$A$17:$A$25,Доп.расчеты!$A127,'Как есть'!CI$17:CI$25)</f>
        <v>0</v>
      </c>
      <c r="CI127">
        <f>SUMIF('Как есть'!$A$17:$A$25,Доп.расчеты!$A127,'Как есть'!CJ$17:CJ$25)</f>
        <v>0</v>
      </c>
      <c r="CJ127">
        <f>SUMIF('Как есть'!$A$17:$A$25,Доп.расчеты!$A127,'Как есть'!CK$17:CK$25)</f>
        <v>0</v>
      </c>
      <c r="CK127">
        <f>SUMIF('Как есть'!$A$17:$A$25,Доп.расчеты!$A127,'Как есть'!CL$17:CL$25)</f>
        <v>0</v>
      </c>
      <c r="CL127">
        <f>SUMIF('Как есть'!$A$17:$A$25,Доп.расчеты!$A127,'Как есть'!CM$17:CM$25)</f>
        <v>0</v>
      </c>
      <c r="CM127">
        <f>SUMIF('Как есть'!$A$17:$A$25,Доп.расчеты!$A127,'Как есть'!CN$17:CN$25)</f>
        <v>0</v>
      </c>
      <c r="CN127">
        <f>SUMIF('Как есть'!$A$17:$A$25,Доп.расчеты!$A127,'Как есть'!CO$17:CO$25)</f>
        <v>0</v>
      </c>
      <c r="CO127">
        <f>SUMIF('Как есть'!$A$17:$A$25,Доп.расчеты!$A127,'Как есть'!CP$17:CP$25)</f>
        <v>0</v>
      </c>
      <c r="CP127">
        <f>SUMIF('Как есть'!$A$17:$A$25,Доп.расчеты!$A127,'Как есть'!CQ$17:CQ$25)</f>
        <v>0</v>
      </c>
      <c r="CQ127">
        <f>SUMIF('Как есть'!$A$17:$A$25,Доп.расчеты!$A127,'Как есть'!CR$17:CR$25)</f>
        <v>0</v>
      </c>
      <c r="CR127">
        <f>SUMIF('Как есть'!$A$17:$A$25,Доп.расчеты!$A127,'Как есть'!CS$17:CS$25)</f>
        <v>0</v>
      </c>
      <c r="CS127">
        <f>SUMIF('Как есть'!$A$17:$A$25,Доп.расчеты!$A127,'Как есть'!CT$17:CT$25)</f>
        <v>0</v>
      </c>
      <c r="CT127">
        <f>SUMIF('Как есть'!$A$17:$A$25,Доп.расчеты!$A127,'Как есть'!CU$17:CU$25)</f>
        <v>0</v>
      </c>
      <c r="CU127">
        <f>SUMIF('Как есть'!$A$17:$A$25,Доп.расчеты!$A127,'Как есть'!CV$17:CV$25)</f>
        <v>0</v>
      </c>
      <c r="CV127">
        <f>SUMIF('Как есть'!$A$17:$A$25,Доп.расчеты!$A127,'Как есть'!CW$17:CW$25)</f>
        <v>0</v>
      </c>
      <c r="CW127">
        <f>SUMIF('Как есть'!$A$17:$A$25,Доп.расчеты!$A127,'Как есть'!CX$17:CX$25)</f>
        <v>0</v>
      </c>
      <c r="CX127">
        <f>SUMIF('Как есть'!$A$17:$A$25,Доп.расчеты!$A127,'Как есть'!CY$17:CY$25)</f>
        <v>0</v>
      </c>
      <c r="CY127">
        <f>SUMIF('Как есть'!$A$17:$A$25,Доп.расчеты!$A127,'Как есть'!CZ$17:CZ$25)</f>
        <v>0</v>
      </c>
      <c r="CZ127">
        <f>SUMIF('Как есть'!$A$17:$A$25,Доп.расчеты!$A127,'Как есть'!DA$17:DA$25)</f>
        <v>0</v>
      </c>
      <c r="DA127">
        <f>SUMIF('Как есть'!$A$17:$A$25,Доп.расчеты!$A127,'Как есть'!DB$17:DB$25)</f>
        <v>0</v>
      </c>
      <c r="DB127">
        <f>SUMIF('Как есть'!$A$17:$A$25,Доп.расчеты!$A127,'Как есть'!DC$17:DC$25)</f>
        <v>0</v>
      </c>
      <c r="DC127">
        <f>SUMIF('Как есть'!$A$17:$A$25,Доп.расчеты!$A127,'Как есть'!DD$17:DD$25)</f>
        <v>0</v>
      </c>
      <c r="DD127">
        <f>SUMIF('Как есть'!$A$17:$A$25,Доп.расчеты!$A127,'Как есть'!DE$17:DE$25)</f>
        <v>0</v>
      </c>
      <c r="DE127">
        <f>SUMIF('Как есть'!$A$17:$A$25,Доп.расчеты!$A127,'Как есть'!DF$17:DF$25)</f>
        <v>0</v>
      </c>
      <c r="DF127">
        <f>SUMIF('Как есть'!$A$17:$A$25,Доп.расчеты!$A127,'Как есть'!DG$17:DG$25)</f>
        <v>0</v>
      </c>
      <c r="DG127">
        <f>SUMIF('Как есть'!$A$17:$A$25,Доп.расчеты!$A127,'Как есть'!DH$17:DH$25)</f>
        <v>0</v>
      </c>
      <c r="DH127">
        <f>SUMIF('Как есть'!$A$17:$A$25,Доп.расчеты!$A127,'Как есть'!DI$17:DI$25)</f>
        <v>0</v>
      </c>
      <c r="DI127">
        <f>SUMIF('Как есть'!$A$17:$A$25,Доп.расчеты!$A127,'Как есть'!DJ$17:DJ$25)</f>
        <v>0</v>
      </c>
      <c r="DJ127">
        <f>SUMIF('Как есть'!$A$17:$A$25,Доп.расчеты!$A127,'Как есть'!DK$17:DK$25)</f>
        <v>0</v>
      </c>
      <c r="DK127">
        <f>SUMIF('Как есть'!$A$17:$A$25,Доп.расчеты!$A127,'Как есть'!DL$17:DL$25)</f>
        <v>0</v>
      </c>
      <c r="DL127">
        <f>SUMIF('Как есть'!$A$17:$A$25,Доп.расчеты!$A127,'Как есть'!DM$17:DM$25)</f>
        <v>0</v>
      </c>
      <c r="DM127">
        <f>SUMIF('Как есть'!$A$17:$A$25,Доп.расчеты!$A127,'Как есть'!DN$17:DN$25)</f>
        <v>0</v>
      </c>
      <c r="DN127">
        <f>SUMIF('Как есть'!$A$17:$A$25,Доп.расчеты!$A127,'Как есть'!DO$17:DO$25)</f>
        <v>0</v>
      </c>
      <c r="DO127">
        <f>SUMIF('Как есть'!$A$17:$A$25,Доп.расчеты!$A127,'Как есть'!DP$17:DP$25)</f>
        <v>0</v>
      </c>
      <c r="DP127">
        <f>SUMIF('Как есть'!$A$17:$A$25,Доп.расчеты!$A127,'Как есть'!DQ$17:DQ$25)</f>
        <v>0</v>
      </c>
      <c r="DQ127">
        <f>SUMIF('Как есть'!$A$17:$A$25,Доп.расчеты!$A127,'Как есть'!DR$17:DR$25)</f>
        <v>0</v>
      </c>
      <c r="DR127">
        <f>SUMIF('Как есть'!$A$17:$A$25,Доп.расчеты!$A127,'Как есть'!DS$17:DS$25)</f>
        <v>0</v>
      </c>
      <c r="DS127">
        <f>SUMIF('Как есть'!$A$17:$A$25,Доп.расчеты!$A127,'Как есть'!DT$17:DT$25)</f>
        <v>0</v>
      </c>
      <c r="DT127">
        <f>SUMIF('Как есть'!$A$17:$A$25,Доп.расчеты!$A127,'Как есть'!DU$17:DU$25)</f>
        <v>0</v>
      </c>
      <c r="DU127">
        <f>SUMIF('Как есть'!$A$17:$A$25,Доп.расчеты!$A127,'Как есть'!DV$17:DV$25)</f>
        <v>0</v>
      </c>
      <c r="DV127">
        <f>SUMIF('Как есть'!$A$17:$A$25,Доп.расчеты!$A127,'Как есть'!DW$17:DW$25)</f>
        <v>0</v>
      </c>
      <c r="DW127">
        <f>SUMIF('Как есть'!$A$17:$A$25,Доп.расчеты!$A127,'Как есть'!DX$17:DX$25)</f>
        <v>0</v>
      </c>
      <c r="DX127">
        <f>SUMIF('Как есть'!$A$17:$A$25,Доп.расчеты!$A127,'Как есть'!DY$17:DY$25)</f>
        <v>0</v>
      </c>
      <c r="DY127">
        <f>SUMIF('Как есть'!$A$17:$A$25,Доп.расчеты!$A127,'Как есть'!DZ$17:DZ$25)</f>
        <v>0</v>
      </c>
      <c r="DZ127">
        <f>SUMIF('Как есть'!$A$17:$A$25,Доп.расчеты!$A127,'Как есть'!EA$17:EA$25)</f>
        <v>0</v>
      </c>
      <c r="EA127">
        <f>SUMIF('Как есть'!$A$17:$A$25,Доп.расчеты!$A127,'Как есть'!EB$17:EB$25)</f>
        <v>0</v>
      </c>
      <c r="EB127">
        <f>SUMIF('Как есть'!$A$17:$A$25,Доп.расчеты!$A127,'Как есть'!EC$17:EC$25)</f>
        <v>0</v>
      </c>
      <c r="EC127">
        <f>SUMIF('Как есть'!$A$17:$A$25,Доп.расчеты!$A127,'Как есть'!ED$17:ED$25)</f>
        <v>0</v>
      </c>
      <c r="ED127">
        <f>SUMIF('Как есть'!$A$17:$A$25,Доп.расчеты!$A127,'Как есть'!EE$17:EE$25)</f>
        <v>0</v>
      </c>
      <c r="EE127">
        <f>SUMIF('Как есть'!$A$17:$A$25,Доп.расчеты!$A127,'Как есть'!EF$17:EF$25)</f>
        <v>0</v>
      </c>
      <c r="EF127">
        <f>SUMIF('Как есть'!$A$17:$A$25,Доп.расчеты!$A127,'Как есть'!EG$17:EG$25)</f>
        <v>0</v>
      </c>
      <c r="EG127">
        <f>SUMIF('Как есть'!$A$17:$A$25,Доп.расчеты!$A127,'Как есть'!EH$17:EH$25)</f>
        <v>0</v>
      </c>
      <c r="EH127">
        <f>SUMIF('Как есть'!$A$17:$A$25,Доп.расчеты!$A127,'Как есть'!EI$17:EI$25)</f>
        <v>0</v>
      </c>
      <c r="EI127">
        <f>SUMIF('Как есть'!$A$17:$A$25,Доп.расчеты!$A127,'Как есть'!EJ$17:EJ$25)</f>
        <v>0</v>
      </c>
      <c r="EJ127">
        <f>SUMIF('Как есть'!$A$17:$A$25,Доп.расчеты!$A127,'Как есть'!EK$17:EK$25)</f>
        <v>0</v>
      </c>
      <c r="EK127">
        <f>SUMIF('Как есть'!$A$17:$A$25,Доп.расчеты!$A127,'Как есть'!EL$17:EL$25)</f>
        <v>0</v>
      </c>
      <c r="EL127">
        <f>SUMIF('Как есть'!$A$17:$A$25,Доп.расчеты!$A127,'Как есть'!EM$17:EM$25)</f>
        <v>0</v>
      </c>
      <c r="EM127">
        <f>SUMIF('Как есть'!$A$17:$A$25,Доп.расчеты!$A127,'Как есть'!EN$17:EN$25)</f>
        <v>0</v>
      </c>
      <c r="EN127">
        <f>SUMIF('Как есть'!$A$17:$A$25,Доп.расчеты!$A127,'Как есть'!EO$17:EO$25)</f>
        <v>0</v>
      </c>
      <c r="EO127">
        <f>SUMIF('Как есть'!$A$17:$A$25,Доп.расчеты!$A127,'Как есть'!EP$17:EP$25)</f>
        <v>0</v>
      </c>
      <c r="EP127">
        <f>SUMIF('Как есть'!$A$17:$A$25,Доп.расчеты!$A127,'Как есть'!EQ$17:EQ$25)</f>
        <v>0</v>
      </c>
      <c r="EQ127">
        <f>SUMIF('Как есть'!$A$17:$A$25,Доп.расчеты!$A127,'Как есть'!ER$17:ER$25)</f>
        <v>0</v>
      </c>
      <c r="ER127">
        <f>SUMIF('Как есть'!$A$17:$A$25,Доп.расчеты!$A127,'Как есть'!ES$17:ES$25)</f>
        <v>0</v>
      </c>
      <c r="ES127">
        <f>SUMIF('Как есть'!$A$17:$A$25,Доп.расчеты!$A127,'Как есть'!ET$17:ET$25)</f>
        <v>0</v>
      </c>
      <c r="ET127">
        <f>SUMIF('Как есть'!$A$17:$A$25,Доп.расчеты!$A127,'Как есть'!EU$17:EU$25)</f>
        <v>0</v>
      </c>
      <c r="EU127">
        <f>SUMIF('Как есть'!$A$17:$A$25,Доп.расчеты!$A127,'Как есть'!EV$17:EV$25)</f>
        <v>0</v>
      </c>
      <c r="EV127">
        <f>SUMIF('Как есть'!$A$17:$A$25,Доп.расчеты!$A127,'Как есть'!EW$17:EW$25)</f>
        <v>0</v>
      </c>
      <c r="EW127">
        <f>SUMIF('Как есть'!$A$17:$A$25,Доп.расчеты!$A127,'Как есть'!EX$17:EX$25)</f>
        <v>0</v>
      </c>
      <c r="EX127">
        <f>SUMIF('Как есть'!$A$17:$A$25,Доп.расчеты!$A127,'Как есть'!EY$17:EY$25)</f>
        <v>0</v>
      </c>
      <c r="EY127">
        <f>SUMIF('Как есть'!$A$17:$A$25,Доп.расчеты!$A127,'Как есть'!EZ$17:EZ$25)</f>
        <v>0</v>
      </c>
      <c r="EZ127">
        <f>SUMIF('Как есть'!$A$17:$A$25,Доп.расчеты!$A127,'Как есть'!FA$17:FA$25)</f>
        <v>0</v>
      </c>
      <c r="FA127">
        <f>SUMIF('Как есть'!$A$17:$A$25,Доп.расчеты!$A127,'Как есть'!FB$17:FB$25)</f>
        <v>0</v>
      </c>
      <c r="FB127">
        <f>SUMIF('Как есть'!$A$17:$A$25,Доп.расчеты!$A127,'Как есть'!FC$17:FC$25)</f>
        <v>0</v>
      </c>
      <c r="FC127">
        <f>SUMIF('Как есть'!$A$17:$A$25,Доп.расчеты!$A127,'Как есть'!FD$17:FD$25)</f>
        <v>0</v>
      </c>
      <c r="FD127">
        <f>SUMIF('Как есть'!$A$17:$A$25,Доп.расчеты!$A127,'Как есть'!FE$17:FE$25)</f>
        <v>0</v>
      </c>
      <c r="FE127">
        <f>SUMIF('Как есть'!$A$17:$A$25,Доп.расчеты!$A127,'Как есть'!FF$17:FF$25)</f>
        <v>0</v>
      </c>
      <c r="FF127">
        <f>SUMIF('Как есть'!$A$17:$A$25,Доп.расчеты!$A127,'Как есть'!FG$17:FG$25)</f>
        <v>0</v>
      </c>
      <c r="FG127">
        <f>SUMIF('Как есть'!$A$17:$A$25,Доп.расчеты!$A127,'Как есть'!FH$17:FH$25)</f>
        <v>0</v>
      </c>
      <c r="FH127">
        <f>SUMIF('Как есть'!$A$17:$A$25,Доп.расчеты!$A127,'Как есть'!FI$17:FI$25)</f>
        <v>0</v>
      </c>
      <c r="FI127">
        <f>SUMIF('Как есть'!$A$17:$A$25,Доп.расчеты!$A127,'Как есть'!FJ$17:FJ$25)</f>
        <v>0</v>
      </c>
      <c r="FJ127">
        <f>SUMIF('Как есть'!$A$17:$A$25,Доп.расчеты!$A127,'Как есть'!FK$17:FK$25)</f>
        <v>0</v>
      </c>
      <c r="FK127">
        <f>SUMIF('Как есть'!$A$17:$A$25,Доп.расчеты!$A127,'Как есть'!FL$17:FL$25)</f>
        <v>0</v>
      </c>
      <c r="FL127">
        <f>SUMIF('Как есть'!$A$17:$A$25,Доп.расчеты!$A127,'Как есть'!FM$17:FM$25)</f>
        <v>0</v>
      </c>
      <c r="FM127">
        <f>SUMIF('Как есть'!$A$17:$A$25,Доп.расчеты!$A127,'Как есть'!FN$17:FN$25)</f>
        <v>0</v>
      </c>
      <c r="FN127">
        <f>SUMIF('Как есть'!$A$17:$A$25,Доп.расчеты!$A127,'Как есть'!FO$17:FO$25)</f>
        <v>0</v>
      </c>
      <c r="FO127">
        <f>SUMIF('Как есть'!$A$17:$A$25,Доп.расчеты!$A127,'Как есть'!FP$17:FP$25)</f>
        <v>0</v>
      </c>
      <c r="FP127">
        <f>SUMIF('Как есть'!$A$17:$A$25,Доп.расчеты!$A127,'Как есть'!FQ$17:FQ$25)</f>
        <v>0</v>
      </c>
      <c r="FQ127">
        <f>SUMIF('Как есть'!$A$17:$A$25,Доп.расчеты!$A127,'Как есть'!FR$17:FR$25)</f>
        <v>0</v>
      </c>
      <c r="FR127">
        <f>SUMIF('Как есть'!$A$17:$A$25,Доп.расчеты!$A127,'Как есть'!FS$17:FS$25)</f>
        <v>0</v>
      </c>
      <c r="FS127">
        <f>SUMIF('Как есть'!$A$17:$A$25,Доп.расчеты!$A127,'Как есть'!FT$17:FT$25)</f>
        <v>0</v>
      </c>
      <c r="FT127">
        <f>SUMIF('Как есть'!$A$17:$A$25,Доп.расчеты!$A127,'Как есть'!FU$17:FU$25)</f>
        <v>0</v>
      </c>
      <c r="FU127">
        <f>SUMIF('Как есть'!$A$17:$A$25,Доп.расчеты!$A127,'Как есть'!FV$17:FV$25)</f>
        <v>0</v>
      </c>
      <c r="FV127">
        <f>SUMIF('Как есть'!$A$17:$A$25,Доп.расчеты!$A127,'Как есть'!FW$17:FW$25)</f>
        <v>0</v>
      </c>
      <c r="FW127">
        <f>SUMIF('Как есть'!$A$17:$A$25,Доп.расчеты!$A127,'Как есть'!FX$17:FX$25)</f>
        <v>0</v>
      </c>
      <c r="FX127">
        <f>SUMIF('Как есть'!$A$17:$A$25,Доп.расчеты!$A127,'Как есть'!FY$17:FY$25)</f>
        <v>0</v>
      </c>
      <c r="FY127">
        <f>SUMIF('Как есть'!$A$17:$A$25,Доп.расчеты!$A127,'Как есть'!FZ$17:FZ$25)</f>
        <v>0</v>
      </c>
      <c r="FZ127">
        <f>SUMIF('Как есть'!$A$17:$A$25,Доп.расчеты!$A127,'Как есть'!GA$17:GA$25)</f>
        <v>0</v>
      </c>
      <c r="GA127">
        <f>SUMIF('Как есть'!$A$17:$A$25,Доп.расчеты!$A127,'Как есть'!GB$17:GB$25)</f>
        <v>0</v>
      </c>
      <c r="GB127">
        <f>SUMIF('Как есть'!$A$17:$A$25,Доп.расчеты!$A127,'Как есть'!GC$17:GC$25)</f>
        <v>0</v>
      </c>
      <c r="GC127">
        <f>SUMIF('Как есть'!$A$17:$A$25,Доп.расчеты!$A127,'Как есть'!GD$17:GD$25)</f>
        <v>0</v>
      </c>
      <c r="GD127">
        <f>SUMIF('Как есть'!$A$17:$A$25,Доп.расчеты!$A127,'Как есть'!GE$17:GE$25)</f>
        <v>0</v>
      </c>
      <c r="GE127">
        <f>SUMIF('Как есть'!$A$17:$A$25,Доп.расчеты!$A127,'Как есть'!GF$17:GF$25)</f>
        <v>0</v>
      </c>
      <c r="GF127">
        <f>SUMIF('Как есть'!$A$17:$A$25,Доп.расчеты!$A127,'Как есть'!GG$17:GG$25)</f>
        <v>0</v>
      </c>
      <c r="GG127">
        <f>SUMIF('Как есть'!$A$17:$A$25,Доп.расчеты!$A127,'Как есть'!GH$17:GH$25)</f>
        <v>0</v>
      </c>
      <c r="GH127">
        <f>SUMIF('Как есть'!$A$17:$A$25,Доп.расчеты!$A127,'Как есть'!GI$17:GI$25)</f>
        <v>0</v>
      </c>
      <c r="GI127">
        <f>SUMIF('Как есть'!$A$17:$A$25,Доп.расчеты!$A127,'Как есть'!GJ$17:GJ$25)</f>
        <v>0</v>
      </c>
      <c r="GJ127">
        <f>SUMIF('Как есть'!$A$17:$A$25,Доп.расчеты!$A127,'Как есть'!GK$17:GK$25)</f>
        <v>0</v>
      </c>
      <c r="GK127">
        <f>SUMIF('Как есть'!$A$17:$A$25,Доп.расчеты!$A127,'Как есть'!GL$17:GL$25)</f>
        <v>0</v>
      </c>
      <c r="GL127">
        <f>SUMIF('Как есть'!$A$17:$A$25,Доп.расчеты!$A127,'Как есть'!GM$17:GM$25)</f>
        <v>0</v>
      </c>
      <c r="GM127">
        <f>SUMIF('Как есть'!$A$17:$A$25,Доп.расчеты!$A127,'Как есть'!GN$17:GN$25)</f>
        <v>0</v>
      </c>
      <c r="GN127">
        <f>SUMIF('Как есть'!$A$17:$A$25,Доп.расчеты!$A127,'Как есть'!GO$17:GO$25)</f>
        <v>0</v>
      </c>
      <c r="GO127">
        <f>SUMIF('Как есть'!$A$17:$A$25,Доп.расчеты!$A127,'Как есть'!GP$17:GP$25)</f>
        <v>0</v>
      </c>
      <c r="GP127">
        <f>SUMIF('Как есть'!$A$17:$A$25,Доп.расчеты!$A127,'Как есть'!GQ$17:GQ$25)</f>
        <v>0</v>
      </c>
      <c r="GQ127">
        <f>SUMIF('Как есть'!$A$17:$A$25,Доп.расчеты!$A127,'Как есть'!GR$17:GR$25)</f>
        <v>0</v>
      </c>
      <c r="GR127">
        <f>SUMIF('Как есть'!$A$17:$A$25,Доп.расчеты!$A127,'Как есть'!GS$17:GS$25)</f>
        <v>0</v>
      </c>
      <c r="GS127">
        <f>SUMIF('Как есть'!$A$17:$A$25,Доп.расчеты!$A127,'Как есть'!GT$17:GT$25)</f>
        <v>0</v>
      </c>
      <c r="GT127">
        <f>SUMIF('Как есть'!$A$17:$A$25,Доп.расчеты!$A127,'Как есть'!GU$17:GU$25)</f>
        <v>0</v>
      </c>
    </row>
    <row r="128" spans="1:202" hidden="1" outlineLevel="1">
      <c r="A128" s="238" t="s">
        <v>106</v>
      </c>
      <c r="B128">
        <f>SUMIF('Как есть'!$A$17:$A$25,Доп.расчеты!$A128,'Как есть'!C$17:C$25)</f>
        <v>0</v>
      </c>
      <c r="C128">
        <f>SUMIF('Как есть'!$A$17:$A$25,Доп.расчеты!$A128,'Как есть'!D$17:D$25)</f>
        <v>0</v>
      </c>
      <c r="D128">
        <f>SUMIF('Как есть'!$A$17:$A$25,Доп.расчеты!$A128,'Как есть'!E$17:E$25)</f>
        <v>0</v>
      </c>
      <c r="E128">
        <f>SUMIF('Как есть'!$A$17:$A$25,Доп.расчеты!$A128,'Как есть'!F$17:F$25)</f>
        <v>0</v>
      </c>
      <c r="F128">
        <f>SUMIF('Как есть'!$A$17:$A$25,Доп.расчеты!$A128,'Как есть'!G$17:G$25)</f>
        <v>0</v>
      </c>
      <c r="G128">
        <f>SUMIF('Как есть'!$A$17:$A$25,Доп.расчеты!$A128,'Как есть'!H$17:H$25)</f>
        <v>0</v>
      </c>
      <c r="H128">
        <f>SUMIF('Как есть'!$A$17:$A$25,Доп.расчеты!$A128,'Как есть'!I$17:I$25)</f>
        <v>0</v>
      </c>
      <c r="I128">
        <f>SUMIF('Как есть'!$A$17:$A$25,Доп.расчеты!$A128,'Как есть'!J$17:J$25)</f>
        <v>0</v>
      </c>
      <c r="J128">
        <f>SUMIF('Как есть'!$A$17:$A$25,Доп.расчеты!$A128,'Как есть'!K$17:K$25)</f>
        <v>0</v>
      </c>
      <c r="K128">
        <f>SUMIF('Как есть'!$A$17:$A$25,Доп.расчеты!$A128,'Как есть'!L$17:L$25)</f>
        <v>0</v>
      </c>
      <c r="L128">
        <f>SUMIF('Как есть'!$A$17:$A$25,Доп.расчеты!$A128,'Как есть'!M$17:M$25)</f>
        <v>0</v>
      </c>
      <c r="M128">
        <f>SUMIF('Как есть'!$A$17:$A$25,Доп.расчеты!$A128,'Как есть'!N$17:N$25)</f>
        <v>0</v>
      </c>
      <c r="N128">
        <f>SUMIF('Как есть'!$A$17:$A$25,Доп.расчеты!$A128,'Как есть'!O$17:O$25)</f>
        <v>0</v>
      </c>
      <c r="O128">
        <f>SUMIF('Как есть'!$A$17:$A$25,Доп.расчеты!$A128,'Как есть'!P$17:P$25)</f>
        <v>0</v>
      </c>
      <c r="P128">
        <f>SUMIF('Как есть'!$A$17:$A$25,Доп.расчеты!$A128,'Как есть'!Q$17:Q$25)</f>
        <v>0</v>
      </c>
      <c r="Q128">
        <f>SUMIF('Как есть'!$A$17:$A$25,Доп.расчеты!$A128,'Как есть'!R$17:R$25)</f>
        <v>0</v>
      </c>
      <c r="R128">
        <f>SUMIF('Как есть'!$A$17:$A$25,Доп.расчеты!$A128,'Как есть'!S$17:S$25)</f>
        <v>0</v>
      </c>
      <c r="S128">
        <f>SUMIF('Как есть'!$A$17:$A$25,Доп.расчеты!$A128,'Как есть'!T$17:T$25)</f>
        <v>0</v>
      </c>
      <c r="T128">
        <f>SUMIF('Как есть'!$A$17:$A$25,Доп.расчеты!$A128,'Как есть'!U$17:U$25)</f>
        <v>0</v>
      </c>
      <c r="U128">
        <f>SUMIF('Как есть'!$A$17:$A$25,Доп.расчеты!$A128,'Как есть'!V$17:V$25)</f>
        <v>0</v>
      </c>
      <c r="V128">
        <f>SUMIF('Как есть'!$A$17:$A$25,Доп.расчеты!$A128,'Как есть'!W$17:W$25)</f>
        <v>0</v>
      </c>
      <c r="W128">
        <f>SUMIF('Как есть'!$A$17:$A$25,Доп.расчеты!$A128,'Как есть'!X$17:X$25)</f>
        <v>0</v>
      </c>
      <c r="X128">
        <f>SUMIF('Как есть'!$A$17:$A$25,Доп.расчеты!$A128,'Как есть'!Y$17:Y$25)</f>
        <v>0</v>
      </c>
      <c r="Y128">
        <f>SUMIF('Как есть'!$A$17:$A$25,Доп.расчеты!$A128,'Как есть'!Z$17:Z$25)</f>
        <v>0</v>
      </c>
      <c r="Z128">
        <f>SUMIF('Как есть'!$A$17:$A$25,Доп.расчеты!$A128,'Как есть'!AA$17:AA$25)</f>
        <v>0</v>
      </c>
      <c r="AA128">
        <f>SUMIF('Как есть'!$A$17:$A$25,Доп.расчеты!$A128,'Как есть'!AB$17:AB$25)</f>
        <v>0</v>
      </c>
      <c r="AB128">
        <f>SUMIF('Как есть'!$A$17:$A$25,Доп.расчеты!$A128,'Как есть'!AC$17:AC$25)</f>
        <v>0</v>
      </c>
      <c r="AC128">
        <f>SUMIF('Как есть'!$A$17:$A$25,Доп.расчеты!$A128,'Как есть'!AD$17:AD$25)</f>
        <v>0</v>
      </c>
      <c r="AD128">
        <f>SUMIF('Как есть'!$A$17:$A$25,Доп.расчеты!$A128,'Как есть'!AE$17:AE$25)</f>
        <v>0</v>
      </c>
      <c r="AE128">
        <f>SUMIF('Как есть'!$A$17:$A$25,Доп.расчеты!$A128,'Как есть'!AF$17:AF$25)</f>
        <v>0</v>
      </c>
      <c r="AF128">
        <f>SUMIF('Как есть'!$A$17:$A$25,Доп.расчеты!$A128,'Как есть'!AG$17:AG$25)</f>
        <v>0</v>
      </c>
      <c r="AG128">
        <f>SUMIF('Как есть'!$A$17:$A$25,Доп.расчеты!$A128,'Как есть'!AH$17:AH$25)</f>
        <v>0</v>
      </c>
      <c r="AH128">
        <f>SUMIF('Как есть'!$A$17:$A$25,Доп.расчеты!$A128,'Как есть'!AI$17:AI$25)</f>
        <v>0</v>
      </c>
      <c r="AI128">
        <f>SUMIF('Как есть'!$A$17:$A$25,Доп.расчеты!$A128,'Как есть'!AJ$17:AJ$25)</f>
        <v>0</v>
      </c>
      <c r="AJ128">
        <f>SUMIF('Как есть'!$A$17:$A$25,Доп.расчеты!$A128,'Как есть'!AK$17:AK$25)</f>
        <v>0</v>
      </c>
      <c r="AK128">
        <f>SUMIF('Как есть'!$A$17:$A$25,Доп.расчеты!$A128,'Как есть'!AL$17:AL$25)</f>
        <v>0</v>
      </c>
      <c r="AL128">
        <f>SUMIF('Как есть'!$A$17:$A$25,Доп.расчеты!$A128,'Как есть'!AM$17:AM$25)</f>
        <v>0</v>
      </c>
      <c r="AM128">
        <f>SUMIF('Как есть'!$A$17:$A$25,Доп.расчеты!$A128,'Как есть'!AN$17:AN$25)</f>
        <v>0</v>
      </c>
      <c r="AN128">
        <f>SUMIF('Как есть'!$A$17:$A$25,Доп.расчеты!$A128,'Как есть'!AO$17:AO$25)</f>
        <v>0</v>
      </c>
      <c r="AO128">
        <f>SUMIF('Как есть'!$A$17:$A$25,Доп.расчеты!$A128,'Как есть'!AP$17:AP$25)</f>
        <v>0</v>
      </c>
      <c r="AP128">
        <f>SUMIF('Как есть'!$A$17:$A$25,Доп.расчеты!$A128,'Как есть'!AQ$17:AQ$25)</f>
        <v>0</v>
      </c>
      <c r="AQ128">
        <f>SUMIF('Как есть'!$A$17:$A$25,Доп.расчеты!$A128,'Как есть'!AR$17:AR$25)</f>
        <v>0</v>
      </c>
      <c r="AR128">
        <f>SUMIF('Как есть'!$A$17:$A$25,Доп.расчеты!$A128,'Как есть'!AS$17:AS$25)</f>
        <v>0</v>
      </c>
      <c r="AS128">
        <f>SUMIF('Как есть'!$A$17:$A$25,Доп.расчеты!$A128,'Как есть'!AT$17:AT$25)</f>
        <v>0</v>
      </c>
      <c r="AT128">
        <f>SUMIF('Как есть'!$A$17:$A$25,Доп.расчеты!$A128,'Как есть'!AU$17:AU$25)</f>
        <v>0</v>
      </c>
      <c r="AU128">
        <f>SUMIF('Как есть'!$A$17:$A$25,Доп.расчеты!$A128,'Как есть'!AV$17:AV$25)</f>
        <v>0</v>
      </c>
      <c r="AV128">
        <f>SUMIF('Как есть'!$A$17:$A$25,Доп.расчеты!$A128,'Как есть'!AW$17:AW$25)</f>
        <v>0</v>
      </c>
      <c r="AW128">
        <f>SUMIF('Как есть'!$A$17:$A$25,Доп.расчеты!$A128,'Как есть'!AX$17:AX$25)</f>
        <v>0</v>
      </c>
      <c r="AX128">
        <f>SUMIF('Как есть'!$A$17:$A$25,Доп.расчеты!$A128,'Как есть'!AY$17:AY$25)</f>
        <v>0</v>
      </c>
      <c r="AY128">
        <f>SUMIF('Как есть'!$A$17:$A$25,Доп.расчеты!$A128,'Как есть'!AZ$17:AZ$25)</f>
        <v>0</v>
      </c>
      <c r="AZ128">
        <f>SUMIF('Как есть'!$A$17:$A$25,Доп.расчеты!$A128,'Как есть'!BA$17:BA$25)</f>
        <v>0</v>
      </c>
      <c r="BA128">
        <f>SUMIF('Как есть'!$A$17:$A$25,Доп.расчеты!$A128,'Как есть'!BB$17:BB$25)</f>
        <v>0</v>
      </c>
      <c r="BB128">
        <f>SUMIF('Как есть'!$A$17:$A$25,Доп.расчеты!$A128,'Как есть'!BC$17:BC$25)</f>
        <v>0</v>
      </c>
      <c r="BC128">
        <f>SUMIF('Как есть'!$A$17:$A$25,Доп.расчеты!$A128,'Как есть'!BD$17:BD$25)</f>
        <v>0</v>
      </c>
      <c r="BD128">
        <f>SUMIF('Как есть'!$A$17:$A$25,Доп.расчеты!$A128,'Как есть'!BE$17:BE$25)</f>
        <v>0</v>
      </c>
      <c r="BE128">
        <f>SUMIF('Как есть'!$A$17:$A$25,Доп.расчеты!$A128,'Как есть'!BF$17:BF$25)</f>
        <v>0</v>
      </c>
      <c r="BF128">
        <f>SUMIF('Как есть'!$A$17:$A$25,Доп.расчеты!$A128,'Как есть'!BG$17:BG$25)</f>
        <v>0</v>
      </c>
      <c r="BG128">
        <f>SUMIF('Как есть'!$A$17:$A$25,Доп.расчеты!$A128,'Как есть'!BH$17:BH$25)</f>
        <v>0</v>
      </c>
      <c r="BH128">
        <f>SUMIF('Как есть'!$A$17:$A$25,Доп.расчеты!$A128,'Как есть'!BI$17:BI$25)</f>
        <v>0</v>
      </c>
      <c r="BI128">
        <f>SUMIF('Как есть'!$A$17:$A$25,Доп.расчеты!$A128,'Как есть'!BJ$17:BJ$25)</f>
        <v>0</v>
      </c>
      <c r="BJ128">
        <f>SUMIF('Как есть'!$A$17:$A$25,Доп.расчеты!$A128,'Как есть'!BK$17:BK$25)</f>
        <v>0</v>
      </c>
      <c r="BK128">
        <f>SUMIF('Как есть'!$A$17:$A$25,Доп.расчеты!$A128,'Как есть'!BL$17:BL$25)</f>
        <v>0</v>
      </c>
      <c r="BL128">
        <f>SUMIF('Как есть'!$A$17:$A$25,Доп.расчеты!$A128,'Как есть'!BM$17:BM$25)</f>
        <v>0</v>
      </c>
      <c r="BM128">
        <f>SUMIF('Как есть'!$A$17:$A$25,Доп.расчеты!$A128,'Как есть'!BN$17:BN$25)</f>
        <v>0</v>
      </c>
      <c r="BN128">
        <f>SUMIF('Как есть'!$A$17:$A$25,Доп.расчеты!$A128,'Как есть'!BO$17:BO$25)</f>
        <v>0</v>
      </c>
      <c r="BO128">
        <f>SUMIF('Как есть'!$A$17:$A$25,Доп.расчеты!$A128,'Как есть'!BP$17:BP$25)</f>
        <v>0</v>
      </c>
      <c r="BP128">
        <f>SUMIF('Как есть'!$A$17:$A$25,Доп.расчеты!$A128,'Как есть'!BQ$17:BQ$25)</f>
        <v>0</v>
      </c>
      <c r="BQ128">
        <f>SUMIF('Как есть'!$A$17:$A$25,Доп.расчеты!$A128,'Как есть'!BR$17:BR$25)</f>
        <v>0</v>
      </c>
      <c r="BR128">
        <f>SUMIF('Как есть'!$A$17:$A$25,Доп.расчеты!$A128,'Как есть'!BS$17:BS$25)</f>
        <v>0</v>
      </c>
      <c r="BS128">
        <f>SUMIF('Как есть'!$A$17:$A$25,Доп.расчеты!$A128,'Как есть'!BT$17:BT$25)</f>
        <v>0</v>
      </c>
      <c r="BT128">
        <f>SUMIF('Как есть'!$A$17:$A$25,Доп.расчеты!$A128,'Как есть'!BU$17:BU$25)</f>
        <v>0</v>
      </c>
      <c r="BU128">
        <f>SUMIF('Как есть'!$A$17:$A$25,Доп.расчеты!$A128,'Как есть'!BV$17:BV$25)</f>
        <v>0</v>
      </c>
      <c r="BV128">
        <f>SUMIF('Как есть'!$A$17:$A$25,Доп.расчеты!$A128,'Как есть'!BW$17:BW$25)</f>
        <v>0</v>
      </c>
      <c r="BW128">
        <f>SUMIF('Как есть'!$A$17:$A$25,Доп.расчеты!$A128,'Как есть'!BX$17:BX$25)</f>
        <v>0</v>
      </c>
      <c r="BX128">
        <f>SUMIF('Как есть'!$A$17:$A$25,Доп.расчеты!$A128,'Как есть'!BY$17:BY$25)</f>
        <v>0</v>
      </c>
      <c r="BY128">
        <f>SUMIF('Как есть'!$A$17:$A$25,Доп.расчеты!$A128,'Как есть'!BZ$17:BZ$25)</f>
        <v>0</v>
      </c>
      <c r="BZ128">
        <f>SUMIF('Как есть'!$A$17:$A$25,Доп.расчеты!$A128,'Как есть'!CA$17:CA$25)</f>
        <v>0</v>
      </c>
      <c r="CA128">
        <f>SUMIF('Как есть'!$A$17:$A$25,Доп.расчеты!$A128,'Как есть'!CB$17:CB$25)</f>
        <v>0</v>
      </c>
      <c r="CB128">
        <f>SUMIF('Как есть'!$A$17:$A$25,Доп.расчеты!$A128,'Как есть'!CC$17:CC$25)</f>
        <v>0</v>
      </c>
      <c r="CC128">
        <f>SUMIF('Как есть'!$A$17:$A$25,Доп.расчеты!$A128,'Как есть'!CD$17:CD$25)</f>
        <v>0</v>
      </c>
      <c r="CD128">
        <f>SUMIF('Как есть'!$A$17:$A$25,Доп.расчеты!$A128,'Как есть'!CE$17:CE$25)</f>
        <v>0</v>
      </c>
      <c r="CE128">
        <f>SUMIF('Как есть'!$A$17:$A$25,Доп.расчеты!$A128,'Как есть'!CF$17:CF$25)</f>
        <v>0</v>
      </c>
      <c r="CF128">
        <f>SUMIF('Как есть'!$A$17:$A$25,Доп.расчеты!$A128,'Как есть'!CG$17:CG$25)</f>
        <v>0</v>
      </c>
      <c r="CG128">
        <f>SUMIF('Как есть'!$A$17:$A$25,Доп.расчеты!$A128,'Как есть'!CH$17:CH$25)</f>
        <v>0</v>
      </c>
      <c r="CH128">
        <f>SUMIF('Как есть'!$A$17:$A$25,Доп.расчеты!$A128,'Как есть'!CI$17:CI$25)</f>
        <v>0</v>
      </c>
      <c r="CI128">
        <f>SUMIF('Как есть'!$A$17:$A$25,Доп.расчеты!$A128,'Как есть'!CJ$17:CJ$25)</f>
        <v>0</v>
      </c>
      <c r="CJ128">
        <f>SUMIF('Как есть'!$A$17:$A$25,Доп.расчеты!$A128,'Как есть'!CK$17:CK$25)</f>
        <v>0</v>
      </c>
      <c r="CK128">
        <f>SUMIF('Как есть'!$A$17:$A$25,Доп.расчеты!$A128,'Как есть'!CL$17:CL$25)</f>
        <v>0</v>
      </c>
      <c r="CL128">
        <f>SUMIF('Как есть'!$A$17:$A$25,Доп.расчеты!$A128,'Как есть'!CM$17:CM$25)</f>
        <v>0</v>
      </c>
      <c r="CM128">
        <f>SUMIF('Как есть'!$A$17:$A$25,Доп.расчеты!$A128,'Как есть'!CN$17:CN$25)</f>
        <v>0</v>
      </c>
      <c r="CN128">
        <f>SUMIF('Как есть'!$A$17:$A$25,Доп.расчеты!$A128,'Как есть'!CO$17:CO$25)</f>
        <v>0</v>
      </c>
      <c r="CO128">
        <f>SUMIF('Как есть'!$A$17:$A$25,Доп.расчеты!$A128,'Как есть'!CP$17:CP$25)</f>
        <v>0</v>
      </c>
      <c r="CP128">
        <f>SUMIF('Как есть'!$A$17:$A$25,Доп.расчеты!$A128,'Как есть'!CQ$17:CQ$25)</f>
        <v>0</v>
      </c>
      <c r="CQ128">
        <f>SUMIF('Как есть'!$A$17:$A$25,Доп.расчеты!$A128,'Как есть'!CR$17:CR$25)</f>
        <v>0</v>
      </c>
      <c r="CR128">
        <f>SUMIF('Как есть'!$A$17:$A$25,Доп.расчеты!$A128,'Как есть'!CS$17:CS$25)</f>
        <v>0</v>
      </c>
      <c r="CS128">
        <f>SUMIF('Как есть'!$A$17:$A$25,Доп.расчеты!$A128,'Как есть'!CT$17:CT$25)</f>
        <v>0</v>
      </c>
      <c r="CT128">
        <f>SUMIF('Как есть'!$A$17:$A$25,Доп.расчеты!$A128,'Как есть'!CU$17:CU$25)</f>
        <v>0</v>
      </c>
      <c r="CU128">
        <f>SUMIF('Как есть'!$A$17:$A$25,Доп.расчеты!$A128,'Как есть'!CV$17:CV$25)</f>
        <v>0</v>
      </c>
      <c r="CV128">
        <f>SUMIF('Как есть'!$A$17:$A$25,Доп.расчеты!$A128,'Как есть'!CW$17:CW$25)</f>
        <v>0</v>
      </c>
      <c r="CW128">
        <f>SUMIF('Как есть'!$A$17:$A$25,Доп.расчеты!$A128,'Как есть'!CX$17:CX$25)</f>
        <v>0</v>
      </c>
      <c r="CX128">
        <f>SUMIF('Как есть'!$A$17:$A$25,Доп.расчеты!$A128,'Как есть'!CY$17:CY$25)</f>
        <v>0</v>
      </c>
      <c r="CY128">
        <f>SUMIF('Как есть'!$A$17:$A$25,Доп.расчеты!$A128,'Как есть'!CZ$17:CZ$25)</f>
        <v>0</v>
      </c>
      <c r="CZ128">
        <f>SUMIF('Как есть'!$A$17:$A$25,Доп.расчеты!$A128,'Как есть'!DA$17:DA$25)</f>
        <v>0</v>
      </c>
      <c r="DA128">
        <f>SUMIF('Как есть'!$A$17:$A$25,Доп.расчеты!$A128,'Как есть'!DB$17:DB$25)</f>
        <v>0</v>
      </c>
      <c r="DB128">
        <f>SUMIF('Как есть'!$A$17:$A$25,Доп.расчеты!$A128,'Как есть'!DC$17:DC$25)</f>
        <v>0</v>
      </c>
      <c r="DC128">
        <f>SUMIF('Как есть'!$A$17:$A$25,Доп.расчеты!$A128,'Как есть'!DD$17:DD$25)</f>
        <v>0</v>
      </c>
      <c r="DD128">
        <f>SUMIF('Как есть'!$A$17:$A$25,Доп.расчеты!$A128,'Как есть'!DE$17:DE$25)</f>
        <v>0</v>
      </c>
      <c r="DE128">
        <f>SUMIF('Как есть'!$A$17:$A$25,Доп.расчеты!$A128,'Как есть'!DF$17:DF$25)</f>
        <v>0</v>
      </c>
      <c r="DF128">
        <f>SUMIF('Как есть'!$A$17:$A$25,Доп.расчеты!$A128,'Как есть'!DG$17:DG$25)</f>
        <v>0</v>
      </c>
      <c r="DG128">
        <f>SUMIF('Как есть'!$A$17:$A$25,Доп.расчеты!$A128,'Как есть'!DH$17:DH$25)</f>
        <v>0</v>
      </c>
      <c r="DH128">
        <f>SUMIF('Как есть'!$A$17:$A$25,Доп.расчеты!$A128,'Как есть'!DI$17:DI$25)</f>
        <v>0</v>
      </c>
      <c r="DI128">
        <f>SUMIF('Как есть'!$A$17:$A$25,Доп.расчеты!$A128,'Как есть'!DJ$17:DJ$25)</f>
        <v>0</v>
      </c>
      <c r="DJ128">
        <f>SUMIF('Как есть'!$A$17:$A$25,Доп.расчеты!$A128,'Как есть'!DK$17:DK$25)</f>
        <v>0</v>
      </c>
      <c r="DK128">
        <f>SUMIF('Как есть'!$A$17:$A$25,Доп.расчеты!$A128,'Как есть'!DL$17:DL$25)</f>
        <v>0</v>
      </c>
      <c r="DL128">
        <f>SUMIF('Как есть'!$A$17:$A$25,Доп.расчеты!$A128,'Как есть'!DM$17:DM$25)</f>
        <v>0</v>
      </c>
      <c r="DM128">
        <f>SUMIF('Как есть'!$A$17:$A$25,Доп.расчеты!$A128,'Как есть'!DN$17:DN$25)</f>
        <v>0</v>
      </c>
      <c r="DN128">
        <f>SUMIF('Как есть'!$A$17:$A$25,Доп.расчеты!$A128,'Как есть'!DO$17:DO$25)</f>
        <v>0</v>
      </c>
      <c r="DO128">
        <f>SUMIF('Как есть'!$A$17:$A$25,Доп.расчеты!$A128,'Как есть'!DP$17:DP$25)</f>
        <v>0</v>
      </c>
      <c r="DP128">
        <f>SUMIF('Как есть'!$A$17:$A$25,Доп.расчеты!$A128,'Как есть'!DQ$17:DQ$25)</f>
        <v>0</v>
      </c>
      <c r="DQ128">
        <f>SUMIF('Как есть'!$A$17:$A$25,Доп.расчеты!$A128,'Как есть'!DR$17:DR$25)</f>
        <v>0</v>
      </c>
      <c r="DR128">
        <f>SUMIF('Как есть'!$A$17:$A$25,Доп.расчеты!$A128,'Как есть'!DS$17:DS$25)</f>
        <v>0</v>
      </c>
      <c r="DS128">
        <f>SUMIF('Как есть'!$A$17:$A$25,Доп.расчеты!$A128,'Как есть'!DT$17:DT$25)</f>
        <v>0</v>
      </c>
      <c r="DT128">
        <f>SUMIF('Как есть'!$A$17:$A$25,Доп.расчеты!$A128,'Как есть'!DU$17:DU$25)</f>
        <v>0</v>
      </c>
      <c r="DU128">
        <f>SUMIF('Как есть'!$A$17:$A$25,Доп.расчеты!$A128,'Как есть'!DV$17:DV$25)</f>
        <v>0</v>
      </c>
      <c r="DV128">
        <f>SUMIF('Как есть'!$A$17:$A$25,Доп.расчеты!$A128,'Как есть'!DW$17:DW$25)</f>
        <v>0</v>
      </c>
      <c r="DW128">
        <f>SUMIF('Как есть'!$A$17:$A$25,Доп.расчеты!$A128,'Как есть'!DX$17:DX$25)</f>
        <v>0</v>
      </c>
      <c r="DX128">
        <f>SUMIF('Как есть'!$A$17:$A$25,Доп.расчеты!$A128,'Как есть'!DY$17:DY$25)</f>
        <v>0</v>
      </c>
      <c r="DY128">
        <f>SUMIF('Как есть'!$A$17:$A$25,Доп.расчеты!$A128,'Как есть'!DZ$17:DZ$25)</f>
        <v>0</v>
      </c>
      <c r="DZ128">
        <f>SUMIF('Как есть'!$A$17:$A$25,Доп.расчеты!$A128,'Как есть'!EA$17:EA$25)</f>
        <v>0</v>
      </c>
      <c r="EA128">
        <f>SUMIF('Как есть'!$A$17:$A$25,Доп.расчеты!$A128,'Как есть'!EB$17:EB$25)</f>
        <v>0</v>
      </c>
      <c r="EB128">
        <f>SUMIF('Как есть'!$A$17:$A$25,Доп.расчеты!$A128,'Как есть'!EC$17:EC$25)</f>
        <v>0</v>
      </c>
      <c r="EC128">
        <f>SUMIF('Как есть'!$A$17:$A$25,Доп.расчеты!$A128,'Как есть'!ED$17:ED$25)</f>
        <v>0</v>
      </c>
      <c r="ED128">
        <f>SUMIF('Как есть'!$A$17:$A$25,Доп.расчеты!$A128,'Как есть'!EE$17:EE$25)</f>
        <v>0</v>
      </c>
      <c r="EE128">
        <f>SUMIF('Как есть'!$A$17:$A$25,Доп.расчеты!$A128,'Как есть'!EF$17:EF$25)</f>
        <v>0</v>
      </c>
      <c r="EF128">
        <f>SUMIF('Как есть'!$A$17:$A$25,Доп.расчеты!$A128,'Как есть'!EG$17:EG$25)</f>
        <v>0</v>
      </c>
      <c r="EG128">
        <f>SUMIF('Как есть'!$A$17:$A$25,Доп.расчеты!$A128,'Как есть'!EH$17:EH$25)</f>
        <v>0</v>
      </c>
      <c r="EH128">
        <f>SUMIF('Как есть'!$A$17:$A$25,Доп.расчеты!$A128,'Как есть'!EI$17:EI$25)</f>
        <v>0</v>
      </c>
      <c r="EI128">
        <f>SUMIF('Как есть'!$A$17:$A$25,Доп.расчеты!$A128,'Как есть'!EJ$17:EJ$25)</f>
        <v>0</v>
      </c>
      <c r="EJ128">
        <f>SUMIF('Как есть'!$A$17:$A$25,Доп.расчеты!$A128,'Как есть'!EK$17:EK$25)</f>
        <v>0</v>
      </c>
      <c r="EK128">
        <f>SUMIF('Как есть'!$A$17:$A$25,Доп.расчеты!$A128,'Как есть'!EL$17:EL$25)</f>
        <v>0</v>
      </c>
      <c r="EL128">
        <f>SUMIF('Как есть'!$A$17:$A$25,Доп.расчеты!$A128,'Как есть'!EM$17:EM$25)</f>
        <v>0</v>
      </c>
      <c r="EM128">
        <f>SUMIF('Как есть'!$A$17:$A$25,Доп.расчеты!$A128,'Как есть'!EN$17:EN$25)</f>
        <v>0</v>
      </c>
      <c r="EN128">
        <f>SUMIF('Как есть'!$A$17:$A$25,Доп.расчеты!$A128,'Как есть'!EO$17:EO$25)</f>
        <v>0</v>
      </c>
      <c r="EO128">
        <f>SUMIF('Как есть'!$A$17:$A$25,Доп.расчеты!$A128,'Как есть'!EP$17:EP$25)</f>
        <v>0</v>
      </c>
      <c r="EP128">
        <f>SUMIF('Как есть'!$A$17:$A$25,Доп.расчеты!$A128,'Как есть'!EQ$17:EQ$25)</f>
        <v>0</v>
      </c>
      <c r="EQ128">
        <f>SUMIF('Как есть'!$A$17:$A$25,Доп.расчеты!$A128,'Как есть'!ER$17:ER$25)</f>
        <v>0</v>
      </c>
      <c r="ER128">
        <f>SUMIF('Как есть'!$A$17:$A$25,Доп.расчеты!$A128,'Как есть'!ES$17:ES$25)</f>
        <v>0</v>
      </c>
      <c r="ES128">
        <f>SUMIF('Как есть'!$A$17:$A$25,Доп.расчеты!$A128,'Как есть'!ET$17:ET$25)</f>
        <v>0</v>
      </c>
      <c r="ET128">
        <f>SUMIF('Как есть'!$A$17:$A$25,Доп.расчеты!$A128,'Как есть'!EU$17:EU$25)</f>
        <v>0</v>
      </c>
      <c r="EU128">
        <f>SUMIF('Как есть'!$A$17:$A$25,Доп.расчеты!$A128,'Как есть'!EV$17:EV$25)</f>
        <v>0</v>
      </c>
      <c r="EV128">
        <f>SUMIF('Как есть'!$A$17:$A$25,Доп.расчеты!$A128,'Как есть'!EW$17:EW$25)</f>
        <v>0</v>
      </c>
      <c r="EW128">
        <f>SUMIF('Как есть'!$A$17:$A$25,Доп.расчеты!$A128,'Как есть'!EX$17:EX$25)</f>
        <v>0</v>
      </c>
      <c r="EX128">
        <f>SUMIF('Как есть'!$A$17:$A$25,Доп.расчеты!$A128,'Как есть'!EY$17:EY$25)</f>
        <v>0</v>
      </c>
      <c r="EY128">
        <f>SUMIF('Как есть'!$A$17:$A$25,Доп.расчеты!$A128,'Как есть'!EZ$17:EZ$25)</f>
        <v>0</v>
      </c>
      <c r="EZ128">
        <f>SUMIF('Как есть'!$A$17:$A$25,Доп.расчеты!$A128,'Как есть'!FA$17:FA$25)</f>
        <v>0</v>
      </c>
      <c r="FA128">
        <f>SUMIF('Как есть'!$A$17:$A$25,Доп.расчеты!$A128,'Как есть'!FB$17:FB$25)</f>
        <v>0</v>
      </c>
      <c r="FB128">
        <f>SUMIF('Как есть'!$A$17:$A$25,Доп.расчеты!$A128,'Как есть'!FC$17:FC$25)</f>
        <v>0</v>
      </c>
      <c r="FC128">
        <f>SUMIF('Как есть'!$A$17:$A$25,Доп.расчеты!$A128,'Как есть'!FD$17:FD$25)</f>
        <v>0</v>
      </c>
      <c r="FD128">
        <f>SUMIF('Как есть'!$A$17:$A$25,Доп.расчеты!$A128,'Как есть'!FE$17:FE$25)</f>
        <v>0</v>
      </c>
      <c r="FE128">
        <f>SUMIF('Как есть'!$A$17:$A$25,Доп.расчеты!$A128,'Как есть'!FF$17:FF$25)</f>
        <v>0</v>
      </c>
      <c r="FF128">
        <f>SUMIF('Как есть'!$A$17:$A$25,Доп.расчеты!$A128,'Как есть'!FG$17:FG$25)</f>
        <v>0</v>
      </c>
      <c r="FG128">
        <f>SUMIF('Как есть'!$A$17:$A$25,Доп.расчеты!$A128,'Как есть'!FH$17:FH$25)</f>
        <v>0</v>
      </c>
      <c r="FH128">
        <f>SUMIF('Как есть'!$A$17:$A$25,Доп.расчеты!$A128,'Как есть'!FI$17:FI$25)</f>
        <v>0</v>
      </c>
      <c r="FI128">
        <f>SUMIF('Как есть'!$A$17:$A$25,Доп.расчеты!$A128,'Как есть'!FJ$17:FJ$25)</f>
        <v>0</v>
      </c>
      <c r="FJ128">
        <f>SUMIF('Как есть'!$A$17:$A$25,Доп.расчеты!$A128,'Как есть'!FK$17:FK$25)</f>
        <v>0</v>
      </c>
      <c r="FK128">
        <f>SUMIF('Как есть'!$A$17:$A$25,Доп.расчеты!$A128,'Как есть'!FL$17:FL$25)</f>
        <v>0</v>
      </c>
      <c r="FL128">
        <f>SUMIF('Как есть'!$A$17:$A$25,Доп.расчеты!$A128,'Как есть'!FM$17:FM$25)</f>
        <v>0</v>
      </c>
      <c r="FM128">
        <f>SUMIF('Как есть'!$A$17:$A$25,Доп.расчеты!$A128,'Как есть'!FN$17:FN$25)</f>
        <v>0</v>
      </c>
      <c r="FN128">
        <f>SUMIF('Как есть'!$A$17:$A$25,Доп.расчеты!$A128,'Как есть'!FO$17:FO$25)</f>
        <v>0</v>
      </c>
      <c r="FO128">
        <f>SUMIF('Как есть'!$A$17:$A$25,Доп.расчеты!$A128,'Как есть'!FP$17:FP$25)</f>
        <v>0</v>
      </c>
      <c r="FP128">
        <f>SUMIF('Как есть'!$A$17:$A$25,Доп.расчеты!$A128,'Как есть'!FQ$17:FQ$25)</f>
        <v>0</v>
      </c>
      <c r="FQ128">
        <f>SUMIF('Как есть'!$A$17:$A$25,Доп.расчеты!$A128,'Как есть'!FR$17:FR$25)</f>
        <v>0</v>
      </c>
      <c r="FR128">
        <f>SUMIF('Как есть'!$A$17:$A$25,Доп.расчеты!$A128,'Как есть'!FS$17:FS$25)</f>
        <v>0</v>
      </c>
      <c r="FS128">
        <f>SUMIF('Как есть'!$A$17:$A$25,Доп.расчеты!$A128,'Как есть'!FT$17:FT$25)</f>
        <v>0</v>
      </c>
      <c r="FT128">
        <f>SUMIF('Как есть'!$A$17:$A$25,Доп.расчеты!$A128,'Как есть'!FU$17:FU$25)</f>
        <v>0</v>
      </c>
      <c r="FU128">
        <f>SUMIF('Как есть'!$A$17:$A$25,Доп.расчеты!$A128,'Как есть'!FV$17:FV$25)</f>
        <v>0</v>
      </c>
      <c r="FV128">
        <f>SUMIF('Как есть'!$A$17:$A$25,Доп.расчеты!$A128,'Как есть'!FW$17:FW$25)</f>
        <v>0</v>
      </c>
      <c r="FW128">
        <f>SUMIF('Как есть'!$A$17:$A$25,Доп.расчеты!$A128,'Как есть'!FX$17:FX$25)</f>
        <v>0</v>
      </c>
      <c r="FX128">
        <f>SUMIF('Как есть'!$A$17:$A$25,Доп.расчеты!$A128,'Как есть'!FY$17:FY$25)</f>
        <v>0</v>
      </c>
      <c r="FY128">
        <f>SUMIF('Как есть'!$A$17:$A$25,Доп.расчеты!$A128,'Как есть'!FZ$17:FZ$25)</f>
        <v>0</v>
      </c>
      <c r="FZ128">
        <f>SUMIF('Как есть'!$A$17:$A$25,Доп.расчеты!$A128,'Как есть'!GA$17:GA$25)</f>
        <v>0</v>
      </c>
      <c r="GA128">
        <f>SUMIF('Как есть'!$A$17:$A$25,Доп.расчеты!$A128,'Как есть'!GB$17:GB$25)</f>
        <v>0</v>
      </c>
      <c r="GB128">
        <f>SUMIF('Как есть'!$A$17:$A$25,Доп.расчеты!$A128,'Как есть'!GC$17:GC$25)</f>
        <v>0</v>
      </c>
      <c r="GC128">
        <f>SUMIF('Как есть'!$A$17:$A$25,Доп.расчеты!$A128,'Как есть'!GD$17:GD$25)</f>
        <v>0</v>
      </c>
      <c r="GD128">
        <f>SUMIF('Как есть'!$A$17:$A$25,Доп.расчеты!$A128,'Как есть'!GE$17:GE$25)</f>
        <v>0</v>
      </c>
      <c r="GE128">
        <f>SUMIF('Как есть'!$A$17:$A$25,Доп.расчеты!$A128,'Как есть'!GF$17:GF$25)</f>
        <v>0</v>
      </c>
      <c r="GF128">
        <f>SUMIF('Как есть'!$A$17:$A$25,Доп.расчеты!$A128,'Как есть'!GG$17:GG$25)</f>
        <v>0</v>
      </c>
      <c r="GG128">
        <f>SUMIF('Как есть'!$A$17:$A$25,Доп.расчеты!$A128,'Как есть'!GH$17:GH$25)</f>
        <v>0</v>
      </c>
      <c r="GH128">
        <f>SUMIF('Как есть'!$A$17:$A$25,Доп.расчеты!$A128,'Как есть'!GI$17:GI$25)</f>
        <v>0</v>
      </c>
      <c r="GI128">
        <f>SUMIF('Как есть'!$A$17:$A$25,Доп.расчеты!$A128,'Как есть'!GJ$17:GJ$25)</f>
        <v>0</v>
      </c>
      <c r="GJ128">
        <f>SUMIF('Как есть'!$A$17:$A$25,Доп.расчеты!$A128,'Как есть'!GK$17:GK$25)</f>
        <v>0</v>
      </c>
      <c r="GK128">
        <f>SUMIF('Как есть'!$A$17:$A$25,Доп.расчеты!$A128,'Как есть'!GL$17:GL$25)</f>
        <v>0</v>
      </c>
      <c r="GL128">
        <f>SUMIF('Как есть'!$A$17:$A$25,Доп.расчеты!$A128,'Как есть'!GM$17:GM$25)</f>
        <v>0</v>
      </c>
      <c r="GM128">
        <f>SUMIF('Как есть'!$A$17:$A$25,Доп.расчеты!$A128,'Как есть'!GN$17:GN$25)</f>
        <v>0</v>
      </c>
      <c r="GN128">
        <f>SUMIF('Как есть'!$A$17:$A$25,Доп.расчеты!$A128,'Как есть'!GO$17:GO$25)</f>
        <v>0</v>
      </c>
      <c r="GO128">
        <f>SUMIF('Как есть'!$A$17:$A$25,Доп.расчеты!$A128,'Как есть'!GP$17:GP$25)</f>
        <v>0</v>
      </c>
      <c r="GP128">
        <f>SUMIF('Как есть'!$A$17:$A$25,Доп.расчеты!$A128,'Как есть'!GQ$17:GQ$25)</f>
        <v>0</v>
      </c>
      <c r="GQ128">
        <f>SUMIF('Как есть'!$A$17:$A$25,Доп.расчеты!$A128,'Как есть'!GR$17:GR$25)</f>
        <v>0</v>
      </c>
      <c r="GR128">
        <f>SUMIF('Как есть'!$A$17:$A$25,Доп.расчеты!$A128,'Как есть'!GS$17:GS$25)</f>
        <v>0</v>
      </c>
      <c r="GS128">
        <f>SUMIF('Как есть'!$A$17:$A$25,Доп.расчеты!$A128,'Как есть'!GT$17:GT$25)</f>
        <v>0</v>
      </c>
      <c r="GT128">
        <f>SUMIF('Как есть'!$A$17:$A$25,Доп.расчеты!$A128,'Как есть'!GU$17:GU$25)</f>
        <v>0</v>
      </c>
    </row>
    <row r="129" spans="1:202" hidden="1" outlineLevel="1">
      <c r="A129" s="238" t="s">
        <v>107</v>
      </c>
      <c r="B129">
        <f>SUMIF('Как есть'!$A$17:$A$25,Доп.расчеты!$A129,'Как есть'!C$17:C$25)</f>
        <v>0</v>
      </c>
      <c r="C129">
        <f>SUMIF('Как есть'!$A$17:$A$25,Доп.расчеты!$A129,'Как есть'!D$17:D$25)</f>
        <v>0</v>
      </c>
      <c r="D129">
        <f>SUMIF('Как есть'!$A$17:$A$25,Доп.расчеты!$A129,'Как есть'!E$17:E$25)</f>
        <v>0</v>
      </c>
      <c r="E129">
        <f>SUMIF('Как есть'!$A$17:$A$25,Доп.расчеты!$A129,'Как есть'!F$17:F$25)</f>
        <v>0</v>
      </c>
      <c r="F129">
        <f>SUMIF('Как есть'!$A$17:$A$25,Доп.расчеты!$A129,'Как есть'!G$17:G$25)</f>
        <v>0</v>
      </c>
      <c r="G129">
        <f>SUMIF('Как есть'!$A$17:$A$25,Доп.расчеты!$A129,'Как есть'!H$17:H$25)</f>
        <v>0</v>
      </c>
      <c r="H129">
        <f>SUMIF('Как есть'!$A$17:$A$25,Доп.расчеты!$A129,'Как есть'!I$17:I$25)</f>
        <v>0</v>
      </c>
      <c r="I129">
        <f>SUMIF('Как есть'!$A$17:$A$25,Доп.расчеты!$A129,'Как есть'!J$17:J$25)</f>
        <v>0</v>
      </c>
      <c r="J129">
        <f>SUMIF('Как есть'!$A$17:$A$25,Доп.расчеты!$A129,'Как есть'!K$17:K$25)</f>
        <v>0</v>
      </c>
      <c r="K129">
        <f>SUMIF('Как есть'!$A$17:$A$25,Доп.расчеты!$A129,'Как есть'!L$17:L$25)</f>
        <v>0</v>
      </c>
      <c r="L129">
        <f>SUMIF('Как есть'!$A$17:$A$25,Доп.расчеты!$A129,'Как есть'!M$17:M$25)</f>
        <v>0</v>
      </c>
      <c r="M129">
        <f>SUMIF('Как есть'!$A$17:$A$25,Доп.расчеты!$A129,'Как есть'!N$17:N$25)</f>
        <v>0</v>
      </c>
      <c r="N129">
        <f>SUMIF('Как есть'!$A$17:$A$25,Доп.расчеты!$A129,'Как есть'!O$17:O$25)</f>
        <v>0</v>
      </c>
      <c r="O129">
        <f>SUMIF('Как есть'!$A$17:$A$25,Доп.расчеты!$A129,'Как есть'!P$17:P$25)</f>
        <v>0</v>
      </c>
      <c r="P129">
        <f>SUMIF('Как есть'!$A$17:$A$25,Доп.расчеты!$A129,'Как есть'!Q$17:Q$25)</f>
        <v>0</v>
      </c>
      <c r="Q129">
        <f>SUMIF('Как есть'!$A$17:$A$25,Доп.расчеты!$A129,'Как есть'!R$17:R$25)</f>
        <v>0</v>
      </c>
      <c r="R129">
        <f>SUMIF('Как есть'!$A$17:$A$25,Доп.расчеты!$A129,'Как есть'!S$17:S$25)</f>
        <v>0</v>
      </c>
      <c r="S129">
        <f>SUMIF('Как есть'!$A$17:$A$25,Доп.расчеты!$A129,'Как есть'!T$17:T$25)</f>
        <v>0</v>
      </c>
      <c r="T129">
        <f>SUMIF('Как есть'!$A$17:$A$25,Доп.расчеты!$A129,'Как есть'!U$17:U$25)</f>
        <v>0</v>
      </c>
      <c r="U129">
        <f>SUMIF('Как есть'!$A$17:$A$25,Доп.расчеты!$A129,'Как есть'!V$17:V$25)</f>
        <v>0</v>
      </c>
      <c r="V129">
        <f>SUMIF('Как есть'!$A$17:$A$25,Доп.расчеты!$A129,'Как есть'!W$17:W$25)</f>
        <v>0</v>
      </c>
      <c r="W129">
        <f>SUMIF('Как есть'!$A$17:$A$25,Доп.расчеты!$A129,'Как есть'!X$17:X$25)</f>
        <v>0</v>
      </c>
      <c r="X129">
        <f>SUMIF('Как есть'!$A$17:$A$25,Доп.расчеты!$A129,'Как есть'!Y$17:Y$25)</f>
        <v>0</v>
      </c>
      <c r="Y129">
        <f>SUMIF('Как есть'!$A$17:$A$25,Доп.расчеты!$A129,'Как есть'!Z$17:Z$25)</f>
        <v>0</v>
      </c>
      <c r="Z129">
        <f>SUMIF('Как есть'!$A$17:$A$25,Доп.расчеты!$A129,'Как есть'!AA$17:AA$25)</f>
        <v>0</v>
      </c>
      <c r="AA129">
        <f>SUMIF('Как есть'!$A$17:$A$25,Доп.расчеты!$A129,'Как есть'!AB$17:AB$25)</f>
        <v>0</v>
      </c>
      <c r="AB129">
        <f>SUMIF('Как есть'!$A$17:$A$25,Доп.расчеты!$A129,'Как есть'!AC$17:AC$25)</f>
        <v>0</v>
      </c>
      <c r="AC129">
        <f>SUMIF('Как есть'!$A$17:$A$25,Доп.расчеты!$A129,'Как есть'!AD$17:AD$25)</f>
        <v>0</v>
      </c>
      <c r="AD129">
        <f>SUMIF('Как есть'!$A$17:$A$25,Доп.расчеты!$A129,'Как есть'!AE$17:AE$25)</f>
        <v>0</v>
      </c>
      <c r="AE129">
        <f>SUMIF('Как есть'!$A$17:$A$25,Доп.расчеты!$A129,'Как есть'!AF$17:AF$25)</f>
        <v>0</v>
      </c>
      <c r="AF129">
        <f>SUMIF('Как есть'!$A$17:$A$25,Доп.расчеты!$A129,'Как есть'!AG$17:AG$25)</f>
        <v>0</v>
      </c>
      <c r="AG129">
        <f>SUMIF('Как есть'!$A$17:$A$25,Доп.расчеты!$A129,'Как есть'!AH$17:AH$25)</f>
        <v>0</v>
      </c>
      <c r="AH129">
        <f>SUMIF('Как есть'!$A$17:$A$25,Доп.расчеты!$A129,'Как есть'!AI$17:AI$25)</f>
        <v>0</v>
      </c>
      <c r="AI129">
        <f>SUMIF('Как есть'!$A$17:$A$25,Доп.расчеты!$A129,'Как есть'!AJ$17:AJ$25)</f>
        <v>0</v>
      </c>
      <c r="AJ129">
        <f>SUMIF('Как есть'!$A$17:$A$25,Доп.расчеты!$A129,'Как есть'!AK$17:AK$25)</f>
        <v>0</v>
      </c>
      <c r="AK129">
        <f>SUMIF('Как есть'!$A$17:$A$25,Доп.расчеты!$A129,'Как есть'!AL$17:AL$25)</f>
        <v>0</v>
      </c>
      <c r="AL129">
        <f>SUMIF('Как есть'!$A$17:$A$25,Доп.расчеты!$A129,'Как есть'!AM$17:AM$25)</f>
        <v>0</v>
      </c>
      <c r="AM129">
        <f>SUMIF('Как есть'!$A$17:$A$25,Доп.расчеты!$A129,'Как есть'!AN$17:AN$25)</f>
        <v>0</v>
      </c>
      <c r="AN129">
        <f>SUMIF('Как есть'!$A$17:$A$25,Доп.расчеты!$A129,'Как есть'!AO$17:AO$25)</f>
        <v>0</v>
      </c>
      <c r="AO129">
        <f>SUMIF('Как есть'!$A$17:$A$25,Доп.расчеты!$A129,'Как есть'!AP$17:AP$25)</f>
        <v>0</v>
      </c>
      <c r="AP129">
        <f>SUMIF('Как есть'!$A$17:$A$25,Доп.расчеты!$A129,'Как есть'!AQ$17:AQ$25)</f>
        <v>0</v>
      </c>
      <c r="AQ129">
        <f>SUMIF('Как есть'!$A$17:$A$25,Доп.расчеты!$A129,'Как есть'!AR$17:AR$25)</f>
        <v>0</v>
      </c>
      <c r="AR129">
        <f>SUMIF('Как есть'!$A$17:$A$25,Доп.расчеты!$A129,'Как есть'!AS$17:AS$25)</f>
        <v>0</v>
      </c>
      <c r="AS129">
        <f>SUMIF('Как есть'!$A$17:$A$25,Доп.расчеты!$A129,'Как есть'!AT$17:AT$25)</f>
        <v>0</v>
      </c>
      <c r="AT129">
        <f>SUMIF('Как есть'!$A$17:$A$25,Доп.расчеты!$A129,'Как есть'!AU$17:AU$25)</f>
        <v>0</v>
      </c>
      <c r="AU129">
        <f>SUMIF('Как есть'!$A$17:$A$25,Доп.расчеты!$A129,'Как есть'!AV$17:AV$25)</f>
        <v>0</v>
      </c>
      <c r="AV129">
        <f>SUMIF('Как есть'!$A$17:$A$25,Доп.расчеты!$A129,'Как есть'!AW$17:AW$25)</f>
        <v>0</v>
      </c>
      <c r="AW129">
        <f>SUMIF('Как есть'!$A$17:$A$25,Доп.расчеты!$A129,'Как есть'!AX$17:AX$25)</f>
        <v>0</v>
      </c>
      <c r="AX129">
        <f>SUMIF('Как есть'!$A$17:$A$25,Доп.расчеты!$A129,'Как есть'!AY$17:AY$25)</f>
        <v>0</v>
      </c>
      <c r="AY129">
        <f>SUMIF('Как есть'!$A$17:$A$25,Доп.расчеты!$A129,'Как есть'!AZ$17:AZ$25)</f>
        <v>0</v>
      </c>
      <c r="AZ129">
        <f>SUMIF('Как есть'!$A$17:$A$25,Доп.расчеты!$A129,'Как есть'!BA$17:BA$25)</f>
        <v>0</v>
      </c>
      <c r="BA129">
        <f>SUMIF('Как есть'!$A$17:$A$25,Доп.расчеты!$A129,'Как есть'!BB$17:BB$25)</f>
        <v>0</v>
      </c>
      <c r="BB129">
        <f>SUMIF('Как есть'!$A$17:$A$25,Доп.расчеты!$A129,'Как есть'!BC$17:BC$25)</f>
        <v>0</v>
      </c>
      <c r="BC129">
        <f>SUMIF('Как есть'!$A$17:$A$25,Доп.расчеты!$A129,'Как есть'!BD$17:BD$25)</f>
        <v>0</v>
      </c>
      <c r="BD129">
        <f>SUMIF('Как есть'!$A$17:$A$25,Доп.расчеты!$A129,'Как есть'!BE$17:BE$25)</f>
        <v>0</v>
      </c>
      <c r="BE129">
        <f>SUMIF('Как есть'!$A$17:$A$25,Доп.расчеты!$A129,'Как есть'!BF$17:BF$25)</f>
        <v>0</v>
      </c>
      <c r="BF129">
        <f>SUMIF('Как есть'!$A$17:$A$25,Доп.расчеты!$A129,'Как есть'!BG$17:BG$25)</f>
        <v>0</v>
      </c>
      <c r="BG129">
        <f>SUMIF('Как есть'!$A$17:$A$25,Доп.расчеты!$A129,'Как есть'!BH$17:BH$25)</f>
        <v>0</v>
      </c>
      <c r="BH129">
        <f>SUMIF('Как есть'!$A$17:$A$25,Доп.расчеты!$A129,'Как есть'!BI$17:BI$25)</f>
        <v>0</v>
      </c>
      <c r="BI129">
        <f>SUMIF('Как есть'!$A$17:$A$25,Доп.расчеты!$A129,'Как есть'!BJ$17:BJ$25)</f>
        <v>0</v>
      </c>
      <c r="BJ129">
        <f>SUMIF('Как есть'!$A$17:$A$25,Доп.расчеты!$A129,'Как есть'!BK$17:BK$25)</f>
        <v>0</v>
      </c>
      <c r="BK129">
        <f>SUMIF('Как есть'!$A$17:$A$25,Доп.расчеты!$A129,'Как есть'!BL$17:BL$25)</f>
        <v>0</v>
      </c>
      <c r="BL129">
        <f>SUMIF('Как есть'!$A$17:$A$25,Доп.расчеты!$A129,'Как есть'!BM$17:BM$25)</f>
        <v>0</v>
      </c>
      <c r="BM129">
        <f>SUMIF('Как есть'!$A$17:$A$25,Доп.расчеты!$A129,'Как есть'!BN$17:BN$25)</f>
        <v>0</v>
      </c>
      <c r="BN129">
        <f>SUMIF('Как есть'!$A$17:$A$25,Доп.расчеты!$A129,'Как есть'!BO$17:BO$25)</f>
        <v>0</v>
      </c>
      <c r="BO129">
        <f>SUMIF('Как есть'!$A$17:$A$25,Доп.расчеты!$A129,'Как есть'!BP$17:BP$25)</f>
        <v>0</v>
      </c>
      <c r="BP129">
        <f>SUMIF('Как есть'!$A$17:$A$25,Доп.расчеты!$A129,'Как есть'!BQ$17:BQ$25)</f>
        <v>0</v>
      </c>
      <c r="BQ129">
        <f>SUMIF('Как есть'!$A$17:$A$25,Доп.расчеты!$A129,'Как есть'!BR$17:BR$25)</f>
        <v>0</v>
      </c>
      <c r="BR129">
        <f>SUMIF('Как есть'!$A$17:$A$25,Доп.расчеты!$A129,'Как есть'!BS$17:BS$25)</f>
        <v>0</v>
      </c>
      <c r="BS129">
        <f>SUMIF('Как есть'!$A$17:$A$25,Доп.расчеты!$A129,'Как есть'!BT$17:BT$25)</f>
        <v>0</v>
      </c>
      <c r="BT129">
        <f>SUMIF('Как есть'!$A$17:$A$25,Доп.расчеты!$A129,'Как есть'!BU$17:BU$25)</f>
        <v>0</v>
      </c>
      <c r="BU129">
        <f>SUMIF('Как есть'!$A$17:$A$25,Доп.расчеты!$A129,'Как есть'!BV$17:BV$25)</f>
        <v>0</v>
      </c>
      <c r="BV129">
        <f>SUMIF('Как есть'!$A$17:$A$25,Доп.расчеты!$A129,'Как есть'!BW$17:BW$25)</f>
        <v>0</v>
      </c>
      <c r="BW129">
        <f>SUMIF('Как есть'!$A$17:$A$25,Доп.расчеты!$A129,'Как есть'!BX$17:BX$25)</f>
        <v>0</v>
      </c>
      <c r="BX129">
        <f>SUMIF('Как есть'!$A$17:$A$25,Доп.расчеты!$A129,'Как есть'!BY$17:BY$25)</f>
        <v>0</v>
      </c>
      <c r="BY129">
        <f>SUMIF('Как есть'!$A$17:$A$25,Доп.расчеты!$A129,'Как есть'!BZ$17:BZ$25)</f>
        <v>0</v>
      </c>
      <c r="BZ129">
        <f>SUMIF('Как есть'!$A$17:$A$25,Доп.расчеты!$A129,'Как есть'!CA$17:CA$25)</f>
        <v>0</v>
      </c>
      <c r="CA129">
        <f>SUMIF('Как есть'!$A$17:$A$25,Доп.расчеты!$A129,'Как есть'!CB$17:CB$25)</f>
        <v>0</v>
      </c>
      <c r="CB129">
        <f>SUMIF('Как есть'!$A$17:$A$25,Доп.расчеты!$A129,'Как есть'!CC$17:CC$25)</f>
        <v>0</v>
      </c>
      <c r="CC129">
        <f>SUMIF('Как есть'!$A$17:$A$25,Доп.расчеты!$A129,'Как есть'!CD$17:CD$25)</f>
        <v>0</v>
      </c>
      <c r="CD129">
        <f>SUMIF('Как есть'!$A$17:$A$25,Доп.расчеты!$A129,'Как есть'!CE$17:CE$25)</f>
        <v>0</v>
      </c>
      <c r="CE129">
        <f>SUMIF('Как есть'!$A$17:$A$25,Доп.расчеты!$A129,'Как есть'!CF$17:CF$25)</f>
        <v>0</v>
      </c>
      <c r="CF129">
        <f>SUMIF('Как есть'!$A$17:$A$25,Доп.расчеты!$A129,'Как есть'!CG$17:CG$25)</f>
        <v>0</v>
      </c>
      <c r="CG129">
        <f>SUMIF('Как есть'!$A$17:$A$25,Доп.расчеты!$A129,'Как есть'!CH$17:CH$25)</f>
        <v>0</v>
      </c>
      <c r="CH129">
        <f>SUMIF('Как есть'!$A$17:$A$25,Доп.расчеты!$A129,'Как есть'!CI$17:CI$25)</f>
        <v>0</v>
      </c>
      <c r="CI129">
        <f>SUMIF('Как есть'!$A$17:$A$25,Доп.расчеты!$A129,'Как есть'!CJ$17:CJ$25)</f>
        <v>0</v>
      </c>
      <c r="CJ129">
        <f>SUMIF('Как есть'!$A$17:$A$25,Доп.расчеты!$A129,'Как есть'!CK$17:CK$25)</f>
        <v>0</v>
      </c>
      <c r="CK129">
        <f>SUMIF('Как есть'!$A$17:$A$25,Доп.расчеты!$A129,'Как есть'!CL$17:CL$25)</f>
        <v>0</v>
      </c>
      <c r="CL129">
        <f>SUMIF('Как есть'!$A$17:$A$25,Доп.расчеты!$A129,'Как есть'!CM$17:CM$25)</f>
        <v>0</v>
      </c>
      <c r="CM129">
        <f>SUMIF('Как есть'!$A$17:$A$25,Доп.расчеты!$A129,'Как есть'!CN$17:CN$25)</f>
        <v>0</v>
      </c>
      <c r="CN129">
        <f>SUMIF('Как есть'!$A$17:$A$25,Доп.расчеты!$A129,'Как есть'!CO$17:CO$25)</f>
        <v>0</v>
      </c>
      <c r="CO129">
        <f>SUMIF('Как есть'!$A$17:$A$25,Доп.расчеты!$A129,'Как есть'!CP$17:CP$25)</f>
        <v>0</v>
      </c>
      <c r="CP129">
        <f>SUMIF('Как есть'!$A$17:$A$25,Доп.расчеты!$A129,'Как есть'!CQ$17:CQ$25)</f>
        <v>0</v>
      </c>
      <c r="CQ129">
        <f>SUMIF('Как есть'!$A$17:$A$25,Доп.расчеты!$A129,'Как есть'!CR$17:CR$25)</f>
        <v>0</v>
      </c>
      <c r="CR129">
        <f>SUMIF('Как есть'!$A$17:$A$25,Доп.расчеты!$A129,'Как есть'!CS$17:CS$25)</f>
        <v>0</v>
      </c>
      <c r="CS129">
        <f>SUMIF('Как есть'!$A$17:$A$25,Доп.расчеты!$A129,'Как есть'!CT$17:CT$25)</f>
        <v>0</v>
      </c>
      <c r="CT129">
        <f>SUMIF('Как есть'!$A$17:$A$25,Доп.расчеты!$A129,'Как есть'!CU$17:CU$25)</f>
        <v>0</v>
      </c>
      <c r="CU129">
        <f>SUMIF('Как есть'!$A$17:$A$25,Доп.расчеты!$A129,'Как есть'!CV$17:CV$25)</f>
        <v>0</v>
      </c>
      <c r="CV129">
        <f>SUMIF('Как есть'!$A$17:$A$25,Доп.расчеты!$A129,'Как есть'!CW$17:CW$25)</f>
        <v>0</v>
      </c>
      <c r="CW129">
        <f>SUMIF('Как есть'!$A$17:$A$25,Доп.расчеты!$A129,'Как есть'!CX$17:CX$25)</f>
        <v>0</v>
      </c>
      <c r="CX129">
        <f>SUMIF('Как есть'!$A$17:$A$25,Доп.расчеты!$A129,'Как есть'!CY$17:CY$25)</f>
        <v>0</v>
      </c>
      <c r="CY129">
        <f>SUMIF('Как есть'!$A$17:$A$25,Доп.расчеты!$A129,'Как есть'!CZ$17:CZ$25)</f>
        <v>0</v>
      </c>
      <c r="CZ129">
        <f>SUMIF('Как есть'!$A$17:$A$25,Доп.расчеты!$A129,'Как есть'!DA$17:DA$25)</f>
        <v>0</v>
      </c>
      <c r="DA129">
        <f>SUMIF('Как есть'!$A$17:$A$25,Доп.расчеты!$A129,'Как есть'!DB$17:DB$25)</f>
        <v>0</v>
      </c>
      <c r="DB129">
        <f>SUMIF('Как есть'!$A$17:$A$25,Доп.расчеты!$A129,'Как есть'!DC$17:DC$25)</f>
        <v>0</v>
      </c>
      <c r="DC129">
        <f>SUMIF('Как есть'!$A$17:$A$25,Доп.расчеты!$A129,'Как есть'!DD$17:DD$25)</f>
        <v>0</v>
      </c>
      <c r="DD129">
        <f>SUMIF('Как есть'!$A$17:$A$25,Доп.расчеты!$A129,'Как есть'!DE$17:DE$25)</f>
        <v>0</v>
      </c>
      <c r="DE129">
        <f>SUMIF('Как есть'!$A$17:$A$25,Доп.расчеты!$A129,'Как есть'!DF$17:DF$25)</f>
        <v>0</v>
      </c>
      <c r="DF129">
        <f>SUMIF('Как есть'!$A$17:$A$25,Доп.расчеты!$A129,'Как есть'!DG$17:DG$25)</f>
        <v>0</v>
      </c>
      <c r="DG129">
        <f>SUMIF('Как есть'!$A$17:$A$25,Доп.расчеты!$A129,'Как есть'!DH$17:DH$25)</f>
        <v>0</v>
      </c>
      <c r="DH129">
        <f>SUMIF('Как есть'!$A$17:$A$25,Доп.расчеты!$A129,'Как есть'!DI$17:DI$25)</f>
        <v>0</v>
      </c>
      <c r="DI129">
        <f>SUMIF('Как есть'!$A$17:$A$25,Доп.расчеты!$A129,'Как есть'!DJ$17:DJ$25)</f>
        <v>0</v>
      </c>
      <c r="DJ129">
        <f>SUMIF('Как есть'!$A$17:$A$25,Доп.расчеты!$A129,'Как есть'!DK$17:DK$25)</f>
        <v>0</v>
      </c>
      <c r="DK129">
        <f>SUMIF('Как есть'!$A$17:$A$25,Доп.расчеты!$A129,'Как есть'!DL$17:DL$25)</f>
        <v>0</v>
      </c>
      <c r="DL129">
        <f>SUMIF('Как есть'!$A$17:$A$25,Доп.расчеты!$A129,'Как есть'!DM$17:DM$25)</f>
        <v>0</v>
      </c>
      <c r="DM129">
        <f>SUMIF('Как есть'!$A$17:$A$25,Доп.расчеты!$A129,'Как есть'!DN$17:DN$25)</f>
        <v>0</v>
      </c>
      <c r="DN129">
        <f>SUMIF('Как есть'!$A$17:$A$25,Доп.расчеты!$A129,'Как есть'!DO$17:DO$25)</f>
        <v>0</v>
      </c>
      <c r="DO129">
        <f>SUMIF('Как есть'!$A$17:$A$25,Доп.расчеты!$A129,'Как есть'!DP$17:DP$25)</f>
        <v>0</v>
      </c>
      <c r="DP129">
        <f>SUMIF('Как есть'!$A$17:$A$25,Доп.расчеты!$A129,'Как есть'!DQ$17:DQ$25)</f>
        <v>0</v>
      </c>
      <c r="DQ129">
        <f>SUMIF('Как есть'!$A$17:$A$25,Доп.расчеты!$A129,'Как есть'!DR$17:DR$25)</f>
        <v>0</v>
      </c>
      <c r="DR129">
        <f>SUMIF('Как есть'!$A$17:$A$25,Доп.расчеты!$A129,'Как есть'!DS$17:DS$25)</f>
        <v>0</v>
      </c>
      <c r="DS129">
        <f>SUMIF('Как есть'!$A$17:$A$25,Доп.расчеты!$A129,'Как есть'!DT$17:DT$25)</f>
        <v>0</v>
      </c>
      <c r="DT129">
        <f>SUMIF('Как есть'!$A$17:$A$25,Доп.расчеты!$A129,'Как есть'!DU$17:DU$25)</f>
        <v>0</v>
      </c>
      <c r="DU129">
        <f>SUMIF('Как есть'!$A$17:$A$25,Доп.расчеты!$A129,'Как есть'!DV$17:DV$25)</f>
        <v>0</v>
      </c>
      <c r="DV129">
        <f>SUMIF('Как есть'!$A$17:$A$25,Доп.расчеты!$A129,'Как есть'!DW$17:DW$25)</f>
        <v>0</v>
      </c>
      <c r="DW129">
        <f>SUMIF('Как есть'!$A$17:$A$25,Доп.расчеты!$A129,'Как есть'!DX$17:DX$25)</f>
        <v>0</v>
      </c>
      <c r="DX129">
        <f>SUMIF('Как есть'!$A$17:$A$25,Доп.расчеты!$A129,'Как есть'!DY$17:DY$25)</f>
        <v>0</v>
      </c>
      <c r="DY129">
        <f>SUMIF('Как есть'!$A$17:$A$25,Доп.расчеты!$A129,'Как есть'!DZ$17:DZ$25)</f>
        <v>0</v>
      </c>
      <c r="DZ129">
        <f>SUMIF('Как есть'!$A$17:$A$25,Доп.расчеты!$A129,'Как есть'!EA$17:EA$25)</f>
        <v>0</v>
      </c>
      <c r="EA129">
        <f>SUMIF('Как есть'!$A$17:$A$25,Доп.расчеты!$A129,'Как есть'!EB$17:EB$25)</f>
        <v>0</v>
      </c>
      <c r="EB129">
        <f>SUMIF('Как есть'!$A$17:$A$25,Доп.расчеты!$A129,'Как есть'!EC$17:EC$25)</f>
        <v>0</v>
      </c>
      <c r="EC129">
        <f>SUMIF('Как есть'!$A$17:$A$25,Доп.расчеты!$A129,'Как есть'!ED$17:ED$25)</f>
        <v>0</v>
      </c>
      <c r="ED129">
        <f>SUMIF('Как есть'!$A$17:$A$25,Доп.расчеты!$A129,'Как есть'!EE$17:EE$25)</f>
        <v>0</v>
      </c>
      <c r="EE129">
        <f>SUMIF('Как есть'!$A$17:$A$25,Доп.расчеты!$A129,'Как есть'!EF$17:EF$25)</f>
        <v>0</v>
      </c>
      <c r="EF129">
        <f>SUMIF('Как есть'!$A$17:$A$25,Доп.расчеты!$A129,'Как есть'!EG$17:EG$25)</f>
        <v>0</v>
      </c>
      <c r="EG129">
        <f>SUMIF('Как есть'!$A$17:$A$25,Доп.расчеты!$A129,'Как есть'!EH$17:EH$25)</f>
        <v>0</v>
      </c>
      <c r="EH129">
        <f>SUMIF('Как есть'!$A$17:$A$25,Доп.расчеты!$A129,'Как есть'!EI$17:EI$25)</f>
        <v>0</v>
      </c>
      <c r="EI129">
        <f>SUMIF('Как есть'!$A$17:$A$25,Доп.расчеты!$A129,'Как есть'!EJ$17:EJ$25)</f>
        <v>0</v>
      </c>
      <c r="EJ129">
        <f>SUMIF('Как есть'!$A$17:$A$25,Доп.расчеты!$A129,'Как есть'!EK$17:EK$25)</f>
        <v>0</v>
      </c>
      <c r="EK129">
        <f>SUMIF('Как есть'!$A$17:$A$25,Доп.расчеты!$A129,'Как есть'!EL$17:EL$25)</f>
        <v>0</v>
      </c>
      <c r="EL129">
        <f>SUMIF('Как есть'!$A$17:$A$25,Доп.расчеты!$A129,'Как есть'!EM$17:EM$25)</f>
        <v>0</v>
      </c>
      <c r="EM129">
        <f>SUMIF('Как есть'!$A$17:$A$25,Доп.расчеты!$A129,'Как есть'!EN$17:EN$25)</f>
        <v>0</v>
      </c>
      <c r="EN129">
        <f>SUMIF('Как есть'!$A$17:$A$25,Доп.расчеты!$A129,'Как есть'!EO$17:EO$25)</f>
        <v>0</v>
      </c>
      <c r="EO129">
        <f>SUMIF('Как есть'!$A$17:$A$25,Доп.расчеты!$A129,'Как есть'!EP$17:EP$25)</f>
        <v>0</v>
      </c>
      <c r="EP129">
        <f>SUMIF('Как есть'!$A$17:$A$25,Доп.расчеты!$A129,'Как есть'!EQ$17:EQ$25)</f>
        <v>0</v>
      </c>
      <c r="EQ129">
        <f>SUMIF('Как есть'!$A$17:$A$25,Доп.расчеты!$A129,'Как есть'!ER$17:ER$25)</f>
        <v>0</v>
      </c>
      <c r="ER129">
        <f>SUMIF('Как есть'!$A$17:$A$25,Доп.расчеты!$A129,'Как есть'!ES$17:ES$25)</f>
        <v>0</v>
      </c>
      <c r="ES129">
        <f>SUMIF('Как есть'!$A$17:$A$25,Доп.расчеты!$A129,'Как есть'!ET$17:ET$25)</f>
        <v>0</v>
      </c>
      <c r="ET129">
        <f>SUMIF('Как есть'!$A$17:$A$25,Доп.расчеты!$A129,'Как есть'!EU$17:EU$25)</f>
        <v>0</v>
      </c>
      <c r="EU129">
        <f>SUMIF('Как есть'!$A$17:$A$25,Доп.расчеты!$A129,'Как есть'!EV$17:EV$25)</f>
        <v>0</v>
      </c>
      <c r="EV129">
        <f>SUMIF('Как есть'!$A$17:$A$25,Доп.расчеты!$A129,'Как есть'!EW$17:EW$25)</f>
        <v>0</v>
      </c>
      <c r="EW129">
        <f>SUMIF('Как есть'!$A$17:$A$25,Доп.расчеты!$A129,'Как есть'!EX$17:EX$25)</f>
        <v>0</v>
      </c>
      <c r="EX129">
        <f>SUMIF('Как есть'!$A$17:$A$25,Доп.расчеты!$A129,'Как есть'!EY$17:EY$25)</f>
        <v>0</v>
      </c>
      <c r="EY129">
        <f>SUMIF('Как есть'!$A$17:$A$25,Доп.расчеты!$A129,'Как есть'!EZ$17:EZ$25)</f>
        <v>0</v>
      </c>
      <c r="EZ129">
        <f>SUMIF('Как есть'!$A$17:$A$25,Доп.расчеты!$A129,'Как есть'!FA$17:FA$25)</f>
        <v>0</v>
      </c>
      <c r="FA129">
        <f>SUMIF('Как есть'!$A$17:$A$25,Доп.расчеты!$A129,'Как есть'!FB$17:FB$25)</f>
        <v>0</v>
      </c>
      <c r="FB129">
        <f>SUMIF('Как есть'!$A$17:$A$25,Доп.расчеты!$A129,'Как есть'!FC$17:FC$25)</f>
        <v>0</v>
      </c>
      <c r="FC129">
        <f>SUMIF('Как есть'!$A$17:$A$25,Доп.расчеты!$A129,'Как есть'!FD$17:FD$25)</f>
        <v>0</v>
      </c>
      <c r="FD129">
        <f>SUMIF('Как есть'!$A$17:$A$25,Доп.расчеты!$A129,'Как есть'!FE$17:FE$25)</f>
        <v>0</v>
      </c>
      <c r="FE129">
        <f>SUMIF('Как есть'!$A$17:$A$25,Доп.расчеты!$A129,'Как есть'!FF$17:FF$25)</f>
        <v>0</v>
      </c>
      <c r="FF129">
        <f>SUMIF('Как есть'!$A$17:$A$25,Доп.расчеты!$A129,'Как есть'!FG$17:FG$25)</f>
        <v>0</v>
      </c>
      <c r="FG129">
        <f>SUMIF('Как есть'!$A$17:$A$25,Доп.расчеты!$A129,'Как есть'!FH$17:FH$25)</f>
        <v>0</v>
      </c>
      <c r="FH129">
        <f>SUMIF('Как есть'!$A$17:$A$25,Доп.расчеты!$A129,'Как есть'!FI$17:FI$25)</f>
        <v>0</v>
      </c>
      <c r="FI129">
        <f>SUMIF('Как есть'!$A$17:$A$25,Доп.расчеты!$A129,'Как есть'!FJ$17:FJ$25)</f>
        <v>0</v>
      </c>
      <c r="FJ129">
        <f>SUMIF('Как есть'!$A$17:$A$25,Доп.расчеты!$A129,'Как есть'!FK$17:FK$25)</f>
        <v>0</v>
      </c>
      <c r="FK129">
        <f>SUMIF('Как есть'!$A$17:$A$25,Доп.расчеты!$A129,'Как есть'!FL$17:FL$25)</f>
        <v>0</v>
      </c>
      <c r="FL129">
        <f>SUMIF('Как есть'!$A$17:$A$25,Доп.расчеты!$A129,'Как есть'!FM$17:FM$25)</f>
        <v>0</v>
      </c>
      <c r="FM129">
        <f>SUMIF('Как есть'!$A$17:$A$25,Доп.расчеты!$A129,'Как есть'!FN$17:FN$25)</f>
        <v>0</v>
      </c>
      <c r="FN129">
        <f>SUMIF('Как есть'!$A$17:$A$25,Доп.расчеты!$A129,'Как есть'!FO$17:FO$25)</f>
        <v>0</v>
      </c>
      <c r="FO129">
        <f>SUMIF('Как есть'!$A$17:$A$25,Доп.расчеты!$A129,'Как есть'!FP$17:FP$25)</f>
        <v>0</v>
      </c>
      <c r="FP129">
        <f>SUMIF('Как есть'!$A$17:$A$25,Доп.расчеты!$A129,'Как есть'!FQ$17:FQ$25)</f>
        <v>0</v>
      </c>
      <c r="FQ129">
        <f>SUMIF('Как есть'!$A$17:$A$25,Доп.расчеты!$A129,'Как есть'!FR$17:FR$25)</f>
        <v>0</v>
      </c>
      <c r="FR129">
        <f>SUMIF('Как есть'!$A$17:$A$25,Доп.расчеты!$A129,'Как есть'!FS$17:FS$25)</f>
        <v>0</v>
      </c>
      <c r="FS129">
        <f>SUMIF('Как есть'!$A$17:$A$25,Доп.расчеты!$A129,'Как есть'!FT$17:FT$25)</f>
        <v>0</v>
      </c>
      <c r="FT129">
        <f>SUMIF('Как есть'!$A$17:$A$25,Доп.расчеты!$A129,'Как есть'!FU$17:FU$25)</f>
        <v>0</v>
      </c>
      <c r="FU129">
        <f>SUMIF('Как есть'!$A$17:$A$25,Доп.расчеты!$A129,'Как есть'!FV$17:FV$25)</f>
        <v>0</v>
      </c>
      <c r="FV129">
        <f>SUMIF('Как есть'!$A$17:$A$25,Доп.расчеты!$A129,'Как есть'!FW$17:FW$25)</f>
        <v>0</v>
      </c>
      <c r="FW129">
        <f>SUMIF('Как есть'!$A$17:$A$25,Доп.расчеты!$A129,'Как есть'!FX$17:FX$25)</f>
        <v>0</v>
      </c>
      <c r="FX129">
        <f>SUMIF('Как есть'!$A$17:$A$25,Доп.расчеты!$A129,'Как есть'!FY$17:FY$25)</f>
        <v>0</v>
      </c>
      <c r="FY129">
        <f>SUMIF('Как есть'!$A$17:$A$25,Доп.расчеты!$A129,'Как есть'!FZ$17:FZ$25)</f>
        <v>0</v>
      </c>
      <c r="FZ129">
        <f>SUMIF('Как есть'!$A$17:$A$25,Доп.расчеты!$A129,'Как есть'!GA$17:GA$25)</f>
        <v>0</v>
      </c>
      <c r="GA129">
        <f>SUMIF('Как есть'!$A$17:$A$25,Доп.расчеты!$A129,'Как есть'!GB$17:GB$25)</f>
        <v>0</v>
      </c>
      <c r="GB129">
        <f>SUMIF('Как есть'!$A$17:$A$25,Доп.расчеты!$A129,'Как есть'!GC$17:GC$25)</f>
        <v>0</v>
      </c>
      <c r="GC129">
        <f>SUMIF('Как есть'!$A$17:$A$25,Доп.расчеты!$A129,'Как есть'!GD$17:GD$25)</f>
        <v>0</v>
      </c>
      <c r="GD129">
        <f>SUMIF('Как есть'!$A$17:$A$25,Доп.расчеты!$A129,'Как есть'!GE$17:GE$25)</f>
        <v>0</v>
      </c>
      <c r="GE129">
        <f>SUMIF('Как есть'!$A$17:$A$25,Доп.расчеты!$A129,'Как есть'!GF$17:GF$25)</f>
        <v>0</v>
      </c>
      <c r="GF129">
        <f>SUMIF('Как есть'!$A$17:$A$25,Доп.расчеты!$A129,'Как есть'!GG$17:GG$25)</f>
        <v>0</v>
      </c>
      <c r="GG129">
        <f>SUMIF('Как есть'!$A$17:$A$25,Доп.расчеты!$A129,'Как есть'!GH$17:GH$25)</f>
        <v>0</v>
      </c>
      <c r="GH129">
        <f>SUMIF('Как есть'!$A$17:$A$25,Доп.расчеты!$A129,'Как есть'!GI$17:GI$25)</f>
        <v>0</v>
      </c>
      <c r="GI129">
        <f>SUMIF('Как есть'!$A$17:$A$25,Доп.расчеты!$A129,'Как есть'!GJ$17:GJ$25)</f>
        <v>0</v>
      </c>
      <c r="GJ129">
        <f>SUMIF('Как есть'!$A$17:$A$25,Доп.расчеты!$A129,'Как есть'!GK$17:GK$25)</f>
        <v>0</v>
      </c>
      <c r="GK129">
        <f>SUMIF('Как есть'!$A$17:$A$25,Доп.расчеты!$A129,'Как есть'!GL$17:GL$25)</f>
        <v>0</v>
      </c>
      <c r="GL129">
        <f>SUMIF('Как есть'!$A$17:$A$25,Доп.расчеты!$A129,'Как есть'!GM$17:GM$25)</f>
        <v>0</v>
      </c>
      <c r="GM129">
        <f>SUMIF('Как есть'!$A$17:$A$25,Доп.расчеты!$A129,'Как есть'!GN$17:GN$25)</f>
        <v>0</v>
      </c>
      <c r="GN129">
        <f>SUMIF('Как есть'!$A$17:$A$25,Доп.расчеты!$A129,'Как есть'!GO$17:GO$25)</f>
        <v>0</v>
      </c>
      <c r="GO129">
        <f>SUMIF('Как есть'!$A$17:$A$25,Доп.расчеты!$A129,'Как есть'!GP$17:GP$25)</f>
        <v>0</v>
      </c>
      <c r="GP129">
        <f>SUMIF('Как есть'!$A$17:$A$25,Доп.расчеты!$A129,'Как есть'!GQ$17:GQ$25)</f>
        <v>0</v>
      </c>
      <c r="GQ129">
        <f>SUMIF('Как есть'!$A$17:$A$25,Доп.расчеты!$A129,'Как есть'!GR$17:GR$25)</f>
        <v>0</v>
      </c>
      <c r="GR129">
        <f>SUMIF('Как есть'!$A$17:$A$25,Доп.расчеты!$A129,'Как есть'!GS$17:GS$25)</f>
        <v>0</v>
      </c>
      <c r="GS129">
        <f>SUMIF('Как есть'!$A$17:$A$25,Доп.расчеты!$A129,'Как есть'!GT$17:GT$25)</f>
        <v>0</v>
      </c>
      <c r="GT129">
        <f>SUMIF('Как есть'!$A$17:$A$25,Доп.расчеты!$A129,'Как есть'!GU$17:GU$25)</f>
        <v>0</v>
      </c>
    </row>
    <row r="130" spans="1:202" hidden="1" outlineLevel="1">
      <c r="A130" s="238" t="s">
        <v>108</v>
      </c>
      <c r="B130">
        <f>SUMIF('Как есть'!$A$17:$A$25,Доп.расчеты!$A130,'Как есть'!C$17:C$25)</f>
        <v>0</v>
      </c>
      <c r="C130">
        <f>SUMIF('Как есть'!$A$17:$A$25,Доп.расчеты!$A130,'Как есть'!D$17:D$25)</f>
        <v>0</v>
      </c>
      <c r="D130">
        <f>SUMIF('Как есть'!$A$17:$A$25,Доп.расчеты!$A130,'Как есть'!E$17:E$25)</f>
        <v>0</v>
      </c>
      <c r="E130">
        <f>SUMIF('Как есть'!$A$17:$A$25,Доп.расчеты!$A130,'Как есть'!F$17:F$25)</f>
        <v>0</v>
      </c>
      <c r="F130">
        <f>SUMIF('Как есть'!$A$17:$A$25,Доп.расчеты!$A130,'Как есть'!G$17:G$25)</f>
        <v>0</v>
      </c>
      <c r="G130">
        <f>SUMIF('Как есть'!$A$17:$A$25,Доп.расчеты!$A130,'Как есть'!H$17:H$25)</f>
        <v>0</v>
      </c>
      <c r="H130">
        <f>SUMIF('Как есть'!$A$17:$A$25,Доп.расчеты!$A130,'Как есть'!I$17:I$25)</f>
        <v>0</v>
      </c>
      <c r="I130">
        <f>SUMIF('Как есть'!$A$17:$A$25,Доп.расчеты!$A130,'Как есть'!J$17:J$25)</f>
        <v>0</v>
      </c>
      <c r="J130">
        <f>SUMIF('Как есть'!$A$17:$A$25,Доп.расчеты!$A130,'Как есть'!K$17:K$25)</f>
        <v>0</v>
      </c>
      <c r="K130">
        <f>SUMIF('Как есть'!$A$17:$A$25,Доп.расчеты!$A130,'Как есть'!L$17:L$25)</f>
        <v>0</v>
      </c>
      <c r="L130">
        <f>SUMIF('Как есть'!$A$17:$A$25,Доп.расчеты!$A130,'Как есть'!M$17:M$25)</f>
        <v>0</v>
      </c>
      <c r="M130">
        <f>SUMIF('Как есть'!$A$17:$A$25,Доп.расчеты!$A130,'Как есть'!N$17:N$25)</f>
        <v>0</v>
      </c>
      <c r="N130">
        <f>SUMIF('Как есть'!$A$17:$A$25,Доп.расчеты!$A130,'Как есть'!O$17:O$25)</f>
        <v>0</v>
      </c>
      <c r="O130">
        <f>SUMIF('Как есть'!$A$17:$A$25,Доп.расчеты!$A130,'Как есть'!P$17:P$25)</f>
        <v>0</v>
      </c>
      <c r="P130">
        <f>SUMIF('Как есть'!$A$17:$A$25,Доп.расчеты!$A130,'Как есть'!Q$17:Q$25)</f>
        <v>0</v>
      </c>
      <c r="Q130">
        <f>SUMIF('Как есть'!$A$17:$A$25,Доп.расчеты!$A130,'Как есть'!R$17:R$25)</f>
        <v>0</v>
      </c>
      <c r="R130">
        <f>SUMIF('Как есть'!$A$17:$A$25,Доп.расчеты!$A130,'Как есть'!S$17:S$25)</f>
        <v>0</v>
      </c>
      <c r="S130">
        <f>SUMIF('Как есть'!$A$17:$A$25,Доп.расчеты!$A130,'Как есть'!T$17:T$25)</f>
        <v>0</v>
      </c>
      <c r="T130">
        <f>SUMIF('Как есть'!$A$17:$A$25,Доп.расчеты!$A130,'Как есть'!U$17:U$25)</f>
        <v>0</v>
      </c>
      <c r="U130">
        <f>SUMIF('Как есть'!$A$17:$A$25,Доп.расчеты!$A130,'Как есть'!V$17:V$25)</f>
        <v>0</v>
      </c>
      <c r="V130">
        <f>SUMIF('Как есть'!$A$17:$A$25,Доп.расчеты!$A130,'Как есть'!W$17:W$25)</f>
        <v>0</v>
      </c>
      <c r="W130">
        <f>SUMIF('Как есть'!$A$17:$A$25,Доп.расчеты!$A130,'Как есть'!X$17:X$25)</f>
        <v>0</v>
      </c>
      <c r="X130">
        <f>SUMIF('Как есть'!$A$17:$A$25,Доп.расчеты!$A130,'Как есть'!Y$17:Y$25)</f>
        <v>0</v>
      </c>
      <c r="Y130">
        <f>SUMIF('Как есть'!$A$17:$A$25,Доп.расчеты!$A130,'Как есть'!Z$17:Z$25)</f>
        <v>0</v>
      </c>
      <c r="Z130">
        <f>SUMIF('Как есть'!$A$17:$A$25,Доп.расчеты!$A130,'Как есть'!AA$17:AA$25)</f>
        <v>0</v>
      </c>
      <c r="AA130">
        <f>SUMIF('Как есть'!$A$17:$A$25,Доп.расчеты!$A130,'Как есть'!AB$17:AB$25)</f>
        <v>0</v>
      </c>
      <c r="AB130">
        <f>SUMIF('Как есть'!$A$17:$A$25,Доп.расчеты!$A130,'Как есть'!AC$17:AC$25)</f>
        <v>0</v>
      </c>
      <c r="AC130">
        <f>SUMIF('Как есть'!$A$17:$A$25,Доп.расчеты!$A130,'Как есть'!AD$17:AD$25)</f>
        <v>0</v>
      </c>
      <c r="AD130">
        <f>SUMIF('Как есть'!$A$17:$A$25,Доп.расчеты!$A130,'Как есть'!AE$17:AE$25)</f>
        <v>0</v>
      </c>
      <c r="AE130">
        <f>SUMIF('Как есть'!$A$17:$A$25,Доп.расчеты!$A130,'Как есть'!AF$17:AF$25)</f>
        <v>0</v>
      </c>
      <c r="AF130">
        <f>SUMIF('Как есть'!$A$17:$A$25,Доп.расчеты!$A130,'Как есть'!AG$17:AG$25)</f>
        <v>0</v>
      </c>
      <c r="AG130">
        <f>SUMIF('Как есть'!$A$17:$A$25,Доп.расчеты!$A130,'Как есть'!AH$17:AH$25)</f>
        <v>0</v>
      </c>
      <c r="AH130">
        <f>SUMIF('Как есть'!$A$17:$A$25,Доп.расчеты!$A130,'Как есть'!AI$17:AI$25)</f>
        <v>0</v>
      </c>
      <c r="AI130">
        <f>SUMIF('Как есть'!$A$17:$A$25,Доп.расчеты!$A130,'Как есть'!AJ$17:AJ$25)</f>
        <v>0</v>
      </c>
      <c r="AJ130">
        <f>SUMIF('Как есть'!$A$17:$A$25,Доп.расчеты!$A130,'Как есть'!AK$17:AK$25)</f>
        <v>0</v>
      </c>
      <c r="AK130">
        <f>SUMIF('Как есть'!$A$17:$A$25,Доп.расчеты!$A130,'Как есть'!AL$17:AL$25)</f>
        <v>0</v>
      </c>
      <c r="AL130">
        <f>SUMIF('Как есть'!$A$17:$A$25,Доп.расчеты!$A130,'Как есть'!AM$17:AM$25)</f>
        <v>0</v>
      </c>
      <c r="AM130">
        <f>SUMIF('Как есть'!$A$17:$A$25,Доп.расчеты!$A130,'Как есть'!AN$17:AN$25)</f>
        <v>0</v>
      </c>
      <c r="AN130">
        <f>SUMIF('Как есть'!$A$17:$A$25,Доп.расчеты!$A130,'Как есть'!AO$17:AO$25)</f>
        <v>0</v>
      </c>
      <c r="AO130">
        <f>SUMIF('Как есть'!$A$17:$A$25,Доп.расчеты!$A130,'Как есть'!AP$17:AP$25)</f>
        <v>0</v>
      </c>
      <c r="AP130">
        <f>SUMIF('Как есть'!$A$17:$A$25,Доп.расчеты!$A130,'Как есть'!AQ$17:AQ$25)</f>
        <v>0</v>
      </c>
      <c r="AQ130">
        <f>SUMIF('Как есть'!$A$17:$A$25,Доп.расчеты!$A130,'Как есть'!AR$17:AR$25)</f>
        <v>0</v>
      </c>
      <c r="AR130">
        <f>SUMIF('Как есть'!$A$17:$A$25,Доп.расчеты!$A130,'Как есть'!AS$17:AS$25)</f>
        <v>0</v>
      </c>
      <c r="AS130">
        <f>SUMIF('Как есть'!$A$17:$A$25,Доп.расчеты!$A130,'Как есть'!AT$17:AT$25)</f>
        <v>0</v>
      </c>
      <c r="AT130">
        <f>SUMIF('Как есть'!$A$17:$A$25,Доп.расчеты!$A130,'Как есть'!AU$17:AU$25)</f>
        <v>0</v>
      </c>
      <c r="AU130">
        <f>SUMIF('Как есть'!$A$17:$A$25,Доп.расчеты!$A130,'Как есть'!AV$17:AV$25)</f>
        <v>0</v>
      </c>
      <c r="AV130">
        <f>SUMIF('Как есть'!$A$17:$A$25,Доп.расчеты!$A130,'Как есть'!AW$17:AW$25)</f>
        <v>0</v>
      </c>
      <c r="AW130">
        <f>SUMIF('Как есть'!$A$17:$A$25,Доп.расчеты!$A130,'Как есть'!AX$17:AX$25)</f>
        <v>0</v>
      </c>
      <c r="AX130">
        <f>SUMIF('Как есть'!$A$17:$A$25,Доп.расчеты!$A130,'Как есть'!AY$17:AY$25)</f>
        <v>0</v>
      </c>
      <c r="AY130">
        <f>SUMIF('Как есть'!$A$17:$A$25,Доп.расчеты!$A130,'Как есть'!AZ$17:AZ$25)</f>
        <v>0</v>
      </c>
      <c r="AZ130">
        <f>SUMIF('Как есть'!$A$17:$A$25,Доп.расчеты!$A130,'Как есть'!BA$17:BA$25)</f>
        <v>0</v>
      </c>
      <c r="BA130">
        <f>SUMIF('Как есть'!$A$17:$A$25,Доп.расчеты!$A130,'Как есть'!BB$17:BB$25)</f>
        <v>0</v>
      </c>
      <c r="BB130">
        <f>SUMIF('Как есть'!$A$17:$A$25,Доп.расчеты!$A130,'Как есть'!BC$17:BC$25)</f>
        <v>0</v>
      </c>
      <c r="BC130">
        <f>SUMIF('Как есть'!$A$17:$A$25,Доп.расчеты!$A130,'Как есть'!BD$17:BD$25)</f>
        <v>0</v>
      </c>
      <c r="BD130">
        <f>SUMIF('Как есть'!$A$17:$A$25,Доп.расчеты!$A130,'Как есть'!BE$17:BE$25)</f>
        <v>0</v>
      </c>
      <c r="BE130">
        <f>SUMIF('Как есть'!$A$17:$A$25,Доп.расчеты!$A130,'Как есть'!BF$17:BF$25)</f>
        <v>0</v>
      </c>
      <c r="BF130">
        <f>SUMIF('Как есть'!$A$17:$A$25,Доп.расчеты!$A130,'Как есть'!BG$17:BG$25)</f>
        <v>0</v>
      </c>
      <c r="BG130">
        <f>SUMIF('Как есть'!$A$17:$A$25,Доп.расчеты!$A130,'Как есть'!BH$17:BH$25)</f>
        <v>0</v>
      </c>
      <c r="BH130">
        <f>SUMIF('Как есть'!$A$17:$A$25,Доп.расчеты!$A130,'Как есть'!BI$17:BI$25)</f>
        <v>0</v>
      </c>
      <c r="BI130">
        <f>SUMIF('Как есть'!$A$17:$A$25,Доп.расчеты!$A130,'Как есть'!BJ$17:BJ$25)</f>
        <v>0</v>
      </c>
      <c r="BJ130">
        <f>SUMIF('Как есть'!$A$17:$A$25,Доп.расчеты!$A130,'Как есть'!BK$17:BK$25)</f>
        <v>0</v>
      </c>
      <c r="BK130">
        <f>SUMIF('Как есть'!$A$17:$A$25,Доп.расчеты!$A130,'Как есть'!BL$17:BL$25)</f>
        <v>0</v>
      </c>
      <c r="BL130">
        <f>SUMIF('Как есть'!$A$17:$A$25,Доп.расчеты!$A130,'Как есть'!BM$17:BM$25)</f>
        <v>0</v>
      </c>
      <c r="BM130">
        <f>SUMIF('Как есть'!$A$17:$A$25,Доп.расчеты!$A130,'Как есть'!BN$17:BN$25)</f>
        <v>0</v>
      </c>
      <c r="BN130">
        <f>SUMIF('Как есть'!$A$17:$A$25,Доп.расчеты!$A130,'Как есть'!BO$17:BO$25)</f>
        <v>0</v>
      </c>
      <c r="BO130">
        <f>SUMIF('Как есть'!$A$17:$A$25,Доп.расчеты!$A130,'Как есть'!BP$17:BP$25)</f>
        <v>0</v>
      </c>
      <c r="BP130">
        <f>SUMIF('Как есть'!$A$17:$A$25,Доп.расчеты!$A130,'Как есть'!BQ$17:BQ$25)</f>
        <v>0</v>
      </c>
      <c r="BQ130">
        <f>SUMIF('Как есть'!$A$17:$A$25,Доп.расчеты!$A130,'Как есть'!BR$17:BR$25)</f>
        <v>0</v>
      </c>
      <c r="BR130">
        <f>SUMIF('Как есть'!$A$17:$A$25,Доп.расчеты!$A130,'Как есть'!BS$17:BS$25)</f>
        <v>0</v>
      </c>
      <c r="BS130">
        <f>SUMIF('Как есть'!$A$17:$A$25,Доп.расчеты!$A130,'Как есть'!BT$17:BT$25)</f>
        <v>0</v>
      </c>
      <c r="BT130">
        <f>SUMIF('Как есть'!$A$17:$A$25,Доп.расчеты!$A130,'Как есть'!BU$17:BU$25)</f>
        <v>0</v>
      </c>
      <c r="BU130">
        <f>SUMIF('Как есть'!$A$17:$A$25,Доп.расчеты!$A130,'Как есть'!BV$17:BV$25)</f>
        <v>0</v>
      </c>
      <c r="BV130">
        <f>SUMIF('Как есть'!$A$17:$A$25,Доп.расчеты!$A130,'Как есть'!BW$17:BW$25)</f>
        <v>0</v>
      </c>
      <c r="BW130">
        <f>SUMIF('Как есть'!$A$17:$A$25,Доп.расчеты!$A130,'Как есть'!BX$17:BX$25)</f>
        <v>0</v>
      </c>
      <c r="BX130">
        <f>SUMIF('Как есть'!$A$17:$A$25,Доп.расчеты!$A130,'Как есть'!BY$17:BY$25)</f>
        <v>0</v>
      </c>
      <c r="BY130">
        <f>SUMIF('Как есть'!$A$17:$A$25,Доп.расчеты!$A130,'Как есть'!BZ$17:BZ$25)</f>
        <v>0</v>
      </c>
      <c r="BZ130">
        <f>SUMIF('Как есть'!$A$17:$A$25,Доп.расчеты!$A130,'Как есть'!CA$17:CA$25)</f>
        <v>0</v>
      </c>
      <c r="CA130">
        <f>SUMIF('Как есть'!$A$17:$A$25,Доп.расчеты!$A130,'Как есть'!CB$17:CB$25)</f>
        <v>0</v>
      </c>
      <c r="CB130">
        <f>SUMIF('Как есть'!$A$17:$A$25,Доп.расчеты!$A130,'Как есть'!CC$17:CC$25)</f>
        <v>0</v>
      </c>
      <c r="CC130">
        <f>SUMIF('Как есть'!$A$17:$A$25,Доп.расчеты!$A130,'Как есть'!CD$17:CD$25)</f>
        <v>0</v>
      </c>
      <c r="CD130">
        <f>SUMIF('Как есть'!$A$17:$A$25,Доп.расчеты!$A130,'Как есть'!CE$17:CE$25)</f>
        <v>0</v>
      </c>
      <c r="CE130">
        <f>SUMIF('Как есть'!$A$17:$A$25,Доп.расчеты!$A130,'Как есть'!CF$17:CF$25)</f>
        <v>0</v>
      </c>
      <c r="CF130">
        <f>SUMIF('Как есть'!$A$17:$A$25,Доп.расчеты!$A130,'Как есть'!CG$17:CG$25)</f>
        <v>0</v>
      </c>
      <c r="CG130">
        <f>SUMIF('Как есть'!$A$17:$A$25,Доп.расчеты!$A130,'Как есть'!CH$17:CH$25)</f>
        <v>0</v>
      </c>
      <c r="CH130">
        <f>SUMIF('Как есть'!$A$17:$A$25,Доп.расчеты!$A130,'Как есть'!CI$17:CI$25)</f>
        <v>0</v>
      </c>
      <c r="CI130">
        <f>SUMIF('Как есть'!$A$17:$A$25,Доп.расчеты!$A130,'Как есть'!CJ$17:CJ$25)</f>
        <v>0</v>
      </c>
      <c r="CJ130">
        <f>SUMIF('Как есть'!$A$17:$A$25,Доп.расчеты!$A130,'Как есть'!CK$17:CK$25)</f>
        <v>0</v>
      </c>
      <c r="CK130">
        <f>SUMIF('Как есть'!$A$17:$A$25,Доп.расчеты!$A130,'Как есть'!CL$17:CL$25)</f>
        <v>0</v>
      </c>
      <c r="CL130">
        <f>SUMIF('Как есть'!$A$17:$A$25,Доп.расчеты!$A130,'Как есть'!CM$17:CM$25)</f>
        <v>0</v>
      </c>
      <c r="CM130">
        <f>SUMIF('Как есть'!$A$17:$A$25,Доп.расчеты!$A130,'Как есть'!CN$17:CN$25)</f>
        <v>0</v>
      </c>
      <c r="CN130">
        <f>SUMIF('Как есть'!$A$17:$A$25,Доп.расчеты!$A130,'Как есть'!CO$17:CO$25)</f>
        <v>0</v>
      </c>
      <c r="CO130">
        <f>SUMIF('Как есть'!$A$17:$A$25,Доп.расчеты!$A130,'Как есть'!CP$17:CP$25)</f>
        <v>0</v>
      </c>
      <c r="CP130">
        <f>SUMIF('Как есть'!$A$17:$A$25,Доп.расчеты!$A130,'Как есть'!CQ$17:CQ$25)</f>
        <v>0</v>
      </c>
      <c r="CQ130">
        <f>SUMIF('Как есть'!$A$17:$A$25,Доп.расчеты!$A130,'Как есть'!CR$17:CR$25)</f>
        <v>0</v>
      </c>
      <c r="CR130">
        <f>SUMIF('Как есть'!$A$17:$A$25,Доп.расчеты!$A130,'Как есть'!CS$17:CS$25)</f>
        <v>0</v>
      </c>
      <c r="CS130">
        <f>SUMIF('Как есть'!$A$17:$A$25,Доп.расчеты!$A130,'Как есть'!CT$17:CT$25)</f>
        <v>0</v>
      </c>
      <c r="CT130">
        <f>SUMIF('Как есть'!$A$17:$A$25,Доп.расчеты!$A130,'Как есть'!CU$17:CU$25)</f>
        <v>0</v>
      </c>
      <c r="CU130">
        <f>SUMIF('Как есть'!$A$17:$A$25,Доп.расчеты!$A130,'Как есть'!CV$17:CV$25)</f>
        <v>0</v>
      </c>
      <c r="CV130">
        <f>SUMIF('Как есть'!$A$17:$A$25,Доп.расчеты!$A130,'Как есть'!CW$17:CW$25)</f>
        <v>0</v>
      </c>
      <c r="CW130">
        <f>SUMIF('Как есть'!$A$17:$A$25,Доп.расчеты!$A130,'Как есть'!CX$17:CX$25)</f>
        <v>0</v>
      </c>
      <c r="CX130">
        <f>SUMIF('Как есть'!$A$17:$A$25,Доп.расчеты!$A130,'Как есть'!CY$17:CY$25)</f>
        <v>0</v>
      </c>
      <c r="CY130">
        <f>SUMIF('Как есть'!$A$17:$A$25,Доп.расчеты!$A130,'Как есть'!CZ$17:CZ$25)</f>
        <v>0</v>
      </c>
      <c r="CZ130">
        <f>SUMIF('Как есть'!$A$17:$A$25,Доп.расчеты!$A130,'Как есть'!DA$17:DA$25)</f>
        <v>0</v>
      </c>
      <c r="DA130">
        <f>SUMIF('Как есть'!$A$17:$A$25,Доп.расчеты!$A130,'Как есть'!DB$17:DB$25)</f>
        <v>0</v>
      </c>
      <c r="DB130">
        <f>SUMIF('Как есть'!$A$17:$A$25,Доп.расчеты!$A130,'Как есть'!DC$17:DC$25)</f>
        <v>0</v>
      </c>
      <c r="DC130">
        <f>SUMIF('Как есть'!$A$17:$A$25,Доп.расчеты!$A130,'Как есть'!DD$17:DD$25)</f>
        <v>0</v>
      </c>
      <c r="DD130">
        <f>SUMIF('Как есть'!$A$17:$A$25,Доп.расчеты!$A130,'Как есть'!DE$17:DE$25)</f>
        <v>0</v>
      </c>
      <c r="DE130">
        <f>SUMIF('Как есть'!$A$17:$A$25,Доп.расчеты!$A130,'Как есть'!DF$17:DF$25)</f>
        <v>0</v>
      </c>
      <c r="DF130">
        <f>SUMIF('Как есть'!$A$17:$A$25,Доп.расчеты!$A130,'Как есть'!DG$17:DG$25)</f>
        <v>0</v>
      </c>
      <c r="DG130">
        <f>SUMIF('Как есть'!$A$17:$A$25,Доп.расчеты!$A130,'Как есть'!DH$17:DH$25)</f>
        <v>0</v>
      </c>
      <c r="DH130">
        <f>SUMIF('Как есть'!$A$17:$A$25,Доп.расчеты!$A130,'Как есть'!DI$17:DI$25)</f>
        <v>0</v>
      </c>
      <c r="DI130">
        <f>SUMIF('Как есть'!$A$17:$A$25,Доп.расчеты!$A130,'Как есть'!DJ$17:DJ$25)</f>
        <v>0</v>
      </c>
      <c r="DJ130">
        <f>SUMIF('Как есть'!$A$17:$A$25,Доп.расчеты!$A130,'Как есть'!DK$17:DK$25)</f>
        <v>0</v>
      </c>
      <c r="DK130">
        <f>SUMIF('Как есть'!$A$17:$A$25,Доп.расчеты!$A130,'Как есть'!DL$17:DL$25)</f>
        <v>0</v>
      </c>
      <c r="DL130">
        <f>SUMIF('Как есть'!$A$17:$A$25,Доп.расчеты!$A130,'Как есть'!DM$17:DM$25)</f>
        <v>0</v>
      </c>
      <c r="DM130">
        <f>SUMIF('Как есть'!$A$17:$A$25,Доп.расчеты!$A130,'Как есть'!DN$17:DN$25)</f>
        <v>0</v>
      </c>
      <c r="DN130">
        <f>SUMIF('Как есть'!$A$17:$A$25,Доп.расчеты!$A130,'Как есть'!DO$17:DO$25)</f>
        <v>0</v>
      </c>
      <c r="DO130">
        <f>SUMIF('Как есть'!$A$17:$A$25,Доп.расчеты!$A130,'Как есть'!DP$17:DP$25)</f>
        <v>0</v>
      </c>
      <c r="DP130">
        <f>SUMIF('Как есть'!$A$17:$A$25,Доп.расчеты!$A130,'Как есть'!DQ$17:DQ$25)</f>
        <v>0</v>
      </c>
      <c r="DQ130">
        <f>SUMIF('Как есть'!$A$17:$A$25,Доп.расчеты!$A130,'Как есть'!DR$17:DR$25)</f>
        <v>0</v>
      </c>
      <c r="DR130">
        <f>SUMIF('Как есть'!$A$17:$A$25,Доп.расчеты!$A130,'Как есть'!DS$17:DS$25)</f>
        <v>0</v>
      </c>
      <c r="DS130">
        <f>SUMIF('Как есть'!$A$17:$A$25,Доп.расчеты!$A130,'Как есть'!DT$17:DT$25)</f>
        <v>0</v>
      </c>
      <c r="DT130">
        <f>SUMIF('Как есть'!$A$17:$A$25,Доп.расчеты!$A130,'Как есть'!DU$17:DU$25)</f>
        <v>0</v>
      </c>
      <c r="DU130">
        <f>SUMIF('Как есть'!$A$17:$A$25,Доп.расчеты!$A130,'Как есть'!DV$17:DV$25)</f>
        <v>0</v>
      </c>
      <c r="DV130">
        <f>SUMIF('Как есть'!$A$17:$A$25,Доп.расчеты!$A130,'Как есть'!DW$17:DW$25)</f>
        <v>0</v>
      </c>
      <c r="DW130">
        <f>SUMIF('Как есть'!$A$17:$A$25,Доп.расчеты!$A130,'Как есть'!DX$17:DX$25)</f>
        <v>0</v>
      </c>
      <c r="DX130">
        <f>SUMIF('Как есть'!$A$17:$A$25,Доп.расчеты!$A130,'Как есть'!DY$17:DY$25)</f>
        <v>0</v>
      </c>
      <c r="DY130">
        <f>SUMIF('Как есть'!$A$17:$A$25,Доп.расчеты!$A130,'Как есть'!DZ$17:DZ$25)</f>
        <v>0</v>
      </c>
      <c r="DZ130">
        <f>SUMIF('Как есть'!$A$17:$A$25,Доп.расчеты!$A130,'Как есть'!EA$17:EA$25)</f>
        <v>0</v>
      </c>
      <c r="EA130">
        <f>SUMIF('Как есть'!$A$17:$A$25,Доп.расчеты!$A130,'Как есть'!EB$17:EB$25)</f>
        <v>0</v>
      </c>
      <c r="EB130">
        <f>SUMIF('Как есть'!$A$17:$A$25,Доп.расчеты!$A130,'Как есть'!EC$17:EC$25)</f>
        <v>0</v>
      </c>
      <c r="EC130">
        <f>SUMIF('Как есть'!$A$17:$A$25,Доп.расчеты!$A130,'Как есть'!ED$17:ED$25)</f>
        <v>0</v>
      </c>
      <c r="ED130">
        <f>SUMIF('Как есть'!$A$17:$A$25,Доп.расчеты!$A130,'Как есть'!EE$17:EE$25)</f>
        <v>0</v>
      </c>
      <c r="EE130">
        <f>SUMIF('Как есть'!$A$17:$A$25,Доп.расчеты!$A130,'Как есть'!EF$17:EF$25)</f>
        <v>0</v>
      </c>
      <c r="EF130">
        <f>SUMIF('Как есть'!$A$17:$A$25,Доп.расчеты!$A130,'Как есть'!EG$17:EG$25)</f>
        <v>0</v>
      </c>
      <c r="EG130">
        <f>SUMIF('Как есть'!$A$17:$A$25,Доп.расчеты!$A130,'Как есть'!EH$17:EH$25)</f>
        <v>0</v>
      </c>
      <c r="EH130">
        <f>SUMIF('Как есть'!$A$17:$A$25,Доп.расчеты!$A130,'Как есть'!EI$17:EI$25)</f>
        <v>0</v>
      </c>
      <c r="EI130">
        <f>SUMIF('Как есть'!$A$17:$A$25,Доп.расчеты!$A130,'Как есть'!EJ$17:EJ$25)</f>
        <v>0</v>
      </c>
      <c r="EJ130">
        <f>SUMIF('Как есть'!$A$17:$A$25,Доп.расчеты!$A130,'Как есть'!EK$17:EK$25)</f>
        <v>0</v>
      </c>
      <c r="EK130">
        <f>SUMIF('Как есть'!$A$17:$A$25,Доп.расчеты!$A130,'Как есть'!EL$17:EL$25)</f>
        <v>0</v>
      </c>
      <c r="EL130">
        <f>SUMIF('Как есть'!$A$17:$A$25,Доп.расчеты!$A130,'Как есть'!EM$17:EM$25)</f>
        <v>0</v>
      </c>
      <c r="EM130">
        <f>SUMIF('Как есть'!$A$17:$A$25,Доп.расчеты!$A130,'Как есть'!EN$17:EN$25)</f>
        <v>0</v>
      </c>
      <c r="EN130">
        <f>SUMIF('Как есть'!$A$17:$A$25,Доп.расчеты!$A130,'Как есть'!EO$17:EO$25)</f>
        <v>0</v>
      </c>
      <c r="EO130">
        <f>SUMIF('Как есть'!$A$17:$A$25,Доп.расчеты!$A130,'Как есть'!EP$17:EP$25)</f>
        <v>0</v>
      </c>
      <c r="EP130">
        <f>SUMIF('Как есть'!$A$17:$A$25,Доп.расчеты!$A130,'Как есть'!EQ$17:EQ$25)</f>
        <v>0</v>
      </c>
      <c r="EQ130">
        <f>SUMIF('Как есть'!$A$17:$A$25,Доп.расчеты!$A130,'Как есть'!ER$17:ER$25)</f>
        <v>0</v>
      </c>
      <c r="ER130">
        <f>SUMIF('Как есть'!$A$17:$A$25,Доп.расчеты!$A130,'Как есть'!ES$17:ES$25)</f>
        <v>0</v>
      </c>
      <c r="ES130">
        <f>SUMIF('Как есть'!$A$17:$A$25,Доп.расчеты!$A130,'Как есть'!ET$17:ET$25)</f>
        <v>0</v>
      </c>
      <c r="ET130">
        <f>SUMIF('Как есть'!$A$17:$A$25,Доп.расчеты!$A130,'Как есть'!EU$17:EU$25)</f>
        <v>0</v>
      </c>
      <c r="EU130">
        <f>SUMIF('Как есть'!$A$17:$A$25,Доп.расчеты!$A130,'Как есть'!EV$17:EV$25)</f>
        <v>0</v>
      </c>
      <c r="EV130">
        <f>SUMIF('Как есть'!$A$17:$A$25,Доп.расчеты!$A130,'Как есть'!EW$17:EW$25)</f>
        <v>0</v>
      </c>
      <c r="EW130">
        <f>SUMIF('Как есть'!$A$17:$A$25,Доп.расчеты!$A130,'Как есть'!EX$17:EX$25)</f>
        <v>0</v>
      </c>
      <c r="EX130">
        <f>SUMIF('Как есть'!$A$17:$A$25,Доп.расчеты!$A130,'Как есть'!EY$17:EY$25)</f>
        <v>0</v>
      </c>
      <c r="EY130">
        <f>SUMIF('Как есть'!$A$17:$A$25,Доп.расчеты!$A130,'Как есть'!EZ$17:EZ$25)</f>
        <v>0</v>
      </c>
      <c r="EZ130">
        <f>SUMIF('Как есть'!$A$17:$A$25,Доп.расчеты!$A130,'Как есть'!FA$17:FA$25)</f>
        <v>0</v>
      </c>
      <c r="FA130">
        <f>SUMIF('Как есть'!$A$17:$A$25,Доп.расчеты!$A130,'Как есть'!FB$17:FB$25)</f>
        <v>0</v>
      </c>
      <c r="FB130">
        <f>SUMIF('Как есть'!$A$17:$A$25,Доп.расчеты!$A130,'Как есть'!FC$17:FC$25)</f>
        <v>0</v>
      </c>
      <c r="FC130">
        <f>SUMIF('Как есть'!$A$17:$A$25,Доп.расчеты!$A130,'Как есть'!FD$17:FD$25)</f>
        <v>0</v>
      </c>
      <c r="FD130">
        <f>SUMIF('Как есть'!$A$17:$A$25,Доп.расчеты!$A130,'Как есть'!FE$17:FE$25)</f>
        <v>0</v>
      </c>
      <c r="FE130">
        <f>SUMIF('Как есть'!$A$17:$A$25,Доп.расчеты!$A130,'Как есть'!FF$17:FF$25)</f>
        <v>0</v>
      </c>
      <c r="FF130">
        <f>SUMIF('Как есть'!$A$17:$A$25,Доп.расчеты!$A130,'Как есть'!FG$17:FG$25)</f>
        <v>0</v>
      </c>
      <c r="FG130">
        <f>SUMIF('Как есть'!$A$17:$A$25,Доп.расчеты!$A130,'Как есть'!FH$17:FH$25)</f>
        <v>0</v>
      </c>
      <c r="FH130">
        <f>SUMIF('Как есть'!$A$17:$A$25,Доп.расчеты!$A130,'Как есть'!FI$17:FI$25)</f>
        <v>0</v>
      </c>
      <c r="FI130">
        <f>SUMIF('Как есть'!$A$17:$A$25,Доп.расчеты!$A130,'Как есть'!FJ$17:FJ$25)</f>
        <v>0</v>
      </c>
      <c r="FJ130">
        <f>SUMIF('Как есть'!$A$17:$A$25,Доп.расчеты!$A130,'Как есть'!FK$17:FK$25)</f>
        <v>0</v>
      </c>
      <c r="FK130">
        <f>SUMIF('Как есть'!$A$17:$A$25,Доп.расчеты!$A130,'Как есть'!FL$17:FL$25)</f>
        <v>0</v>
      </c>
      <c r="FL130">
        <f>SUMIF('Как есть'!$A$17:$A$25,Доп.расчеты!$A130,'Как есть'!FM$17:FM$25)</f>
        <v>0</v>
      </c>
      <c r="FM130">
        <f>SUMIF('Как есть'!$A$17:$A$25,Доп.расчеты!$A130,'Как есть'!FN$17:FN$25)</f>
        <v>0</v>
      </c>
      <c r="FN130">
        <f>SUMIF('Как есть'!$A$17:$A$25,Доп.расчеты!$A130,'Как есть'!FO$17:FO$25)</f>
        <v>0</v>
      </c>
      <c r="FO130">
        <f>SUMIF('Как есть'!$A$17:$A$25,Доп.расчеты!$A130,'Как есть'!FP$17:FP$25)</f>
        <v>0</v>
      </c>
      <c r="FP130">
        <f>SUMIF('Как есть'!$A$17:$A$25,Доп.расчеты!$A130,'Как есть'!FQ$17:FQ$25)</f>
        <v>0</v>
      </c>
      <c r="FQ130">
        <f>SUMIF('Как есть'!$A$17:$A$25,Доп.расчеты!$A130,'Как есть'!FR$17:FR$25)</f>
        <v>0</v>
      </c>
      <c r="FR130">
        <f>SUMIF('Как есть'!$A$17:$A$25,Доп.расчеты!$A130,'Как есть'!FS$17:FS$25)</f>
        <v>0</v>
      </c>
      <c r="FS130">
        <f>SUMIF('Как есть'!$A$17:$A$25,Доп.расчеты!$A130,'Как есть'!FT$17:FT$25)</f>
        <v>0</v>
      </c>
      <c r="FT130">
        <f>SUMIF('Как есть'!$A$17:$A$25,Доп.расчеты!$A130,'Как есть'!FU$17:FU$25)</f>
        <v>0</v>
      </c>
      <c r="FU130">
        <f>SUMIF('Как есть'!$A$17:$A$25,Доп.расчеты!$A130,'Как есть'!FV$17:FV$25)</f>
        <v>0</v>
      </c>
      <c r="FV130">
        <f>SUMIF('Как есть'!$A$17:$A$25,Доп.расчеты!$A130,'Как есть'!FW$17:FW$25)</f>
        <v>0</v>
      </c>
      <c r="FW130">
        <f>SUMIF('Как есть'!$A$17:$A$25,Доп.расчеты!$A130,'Как есть'!FX$17:FX$25)</f>
        <v>0</v>
      </c>
      <c r="FX130">
        <f>SUMIF('Как есть'!$A$17:$A$25,Доп.расчеты!$A130,'Как есть'!FY$17:FY$25)</f>
        <v>0</v>
      </c>
      <c r="FY130">
        <f>SUMIF('Как есть'!$A$17:$A$25,Доп.расчеты!$A130,'Как есть'!FZ$17:FZ$25)</f>
        <v>0</v>
      </c>
      <c r="FZ130">
        <f>SUMIF('Как есть'!$A$17:$A$25,Доп.расчеты!$A130,'Как есть'!GA$17:GA$25)</f>
        <v>0</v>
      </c>
      <c r="GA130">
        <f>SUMIF('Как есть'!$A$17:$A$25,Доп.расчеты!$A130,'Как есть'!GB$17:GB$25)</f>
        <v>0</v>
      </c>
      <c r="GB130">
        <f>SUMIF('Как есть'!$A$17:$A$25,Доп.расчеты!$A130,'Как есть'!GC$17:GC$25)</f>
        <v>0</v>
      </c>
      <c r="GC130">
        <f>SUMIF('Как есть'!$A$17:$A$25,Доп.расчеты!$A130,'Как есть'!GD$17:GD$25)</f>
        <v>0</v>
      </c>
      <c r="GD130">
        <f>SUMIF('Как есть'!$A$17:$A$25,Доп.расчеты!$A130,'Как есть'!GE$17:GE$25)</f>
        <v>0</v>
      </c>
      <c r="GE130">
        <f>SUMIF('Как есть'!$A$17:$A$25,Доп.расчеты!$A130,'Как есть'!GF$17:GF$25)</f>
        <v>0</v>
      </c>
      <c r="GF130">
        <f>SUMIF('Как есть'!$A$17:$A$25,Доп.расчеты!$A130,'Как есть'!GG$17:GG$25)</f>
        <v>0</v>
      </c>
      <c r="GG130">
        <f>SUMIF('Как есть'!$A$17:$A$25,Доп.расчеты!$A130,'Как есть'!GH$17:GH$25)</f>
        <v>0</v>
      </c>
      <c r="GH130">
        <f>SUMIF('Как есть'!$A$17:$A$25,Доп.расчеты!$A130,'Как есть'!GI$17:GI$25)</f>
        <v>0</v>
      </c>
      <c r="GI130">
        <f>SUMIF('Как есть'!$A$17:$A$25,Доп.расчеты!$A130,'Как есть'!GJ$17:GJ$25)</f>
        <v>0</v>
      </c>
      <c r="GJ130">
        <f>SUMIF('Как есть'!$A$17:$A$25,Доп.расчеты!$A130,'Как есть'!GK$17:GK$25)</f>
        <v>0</v>
      </c>
      <c r="GK130">
        <f>SUMIF('Как есть'!$A$17:$A$25,Доп.расчеты!$A130,'Как есть'!GL$17:GL$25)</f>
        <v>0</v>
      </c>
      <c r="GL130">
        <f>SUMIF('Как есть'!$A$17:$A$25,Доп.расчеты!$A130,'Как есть'!GM$17:GM$25)</f>
        <v>0</v>
      </c>
      <c r="GM130">
        <f>SUMIF('Как есть'!$A$17:$A$25,Доп.расчеты!$A130,'Как есть'!GN$17:GN$25)</f>
        <v>0</v>
      </c>
      <c r="GN130">
        <f>SUMIF('Как есть'!$A$17:$A$25,Доп.расчеты!$A130,'Как есть'!GO$17:GO$25)</f>
        <v>0</v>
      </c>
      <c r="GO130">
        <f>SUMIF('Как есть'!$A$17:$A$25,Доп.расчеты!$A130,'Как есть'!GP$17:GP$25)</f>
        <v>0</v>
      </c>
      <c r="GP130">
        <f>SUMIF('Как есть'!$A$17:$A$25,Доп.расчеты!$A130,'Как есть'!GQ$17:GQ$25)</f>
        <v>0</v>
      </c>
      <c r="GQ130">
        <f>SUMIF('Как есть'!$A$17:$A$25,Доп.расчеты!$A130,'Как есть'!GR$17:GR$25)</f>
        <v>0</v>
      </c>
      <c r="GR130">
        <f>SUMIF('Как есть'!$A$17:$A$25,Доп.расчеты!$A130,'Как есть'!GS$17:GS$25)</f>
        <v>0</v>
      </c>
      <c r="GS130">
        <f>SUMIF('Как есть'!$A$17:$A$25,Доп.расчеты!$A130,'Как есть'!GT$17:GT$25)</f>
        <v>0</v>
      </c>
      <c r="GT130">
        <f>SUMIF('Как есть'!$A$17:$A$25,Доп.расчеты!$A130,'Как есть'!GU$17:GU$25)</f>
        <v>0</v>
      </c>
    </row>
    <row r="131" spans="1:202" hidden="1" outlineLevel="1">
      <c r="A131" s="238" t="s">
        <v>109</v>
      </c>
      <c r="B131">
        <f>SUMIF('Как есть'!$A$17:$A$25,Доп.расчеты!$A131,'Как есть'!C$17:C$25)</f>
        <v>0</v>
      </c>
      <c r="C131">
        <f>SUMIF('Как есть'!$A$17:$A$25,Доп.расчеты!$A131,'Как есть'!D$17:D$25)</f>
        <v>0</v>
      </c>
      <c r="D131">
        <f>SUMIF('Как есть'!$A$17:$A$25,Доп.расчеты!$A131,'Как есть'!E$17:E$25)</f>
        <v>0</v>
      </c>
      <c r="E131">
        <f>SUMIF('Как есть'!$A$17:$A$25,Доп.расчеты!$A131,'Как есть'!F$17:F$25)</f>
        <v>0</v>
      </c>
      <c r="F131">
        <f>SUMIF('Как есть'!$A$17:$A$25,Доп.расчеты!$A131,'Как есть'!G$17:G$25)</f>
        <v>0</v>
      </c>
      <c r="G131">
        <f>SUMIF('Как есть'!$A$17:$A$25,Доп.расчеты!$A131,'Как есть'!H$17:H$25)</f>
        <v>0</v>
      </c>
      <c r="H131">
        <f>SUMIF('Как есть'!$A$17:$A$25,Доп.расчеты!$A131,'Как есть'!I$17:I$25)</f>
        <v>0</v>
      </c>
      <c r="I131">
        <f>SUMIF('Как есть'!$A$17:$A$25,Доп.расчеты!$A131,'Как есть'!J$17:J$25)</f>
        <v>0</v>
      </c>
      <c r="J131">
        <f>SUMIF('Как есть'!$A$17:$A$25,Доп.расчеты!$A131,'Как есть'!K$17:K$25)</f>
        <v>0</v>
      </c>
      <c r="K131">
        <f>SUMIF('Как есть'!$A$17:$A$25,Доп.расчеты!$A131,'Как есть'!L$17:L$25)</f>
        <v>0</v>
      </c>
      <c r="L131">
        <f>SUMIF('Как есть'!$A$17:$A$25,Доп.расчеты!$A131,'Как есть'!M$17:M$25)</f>
        <v>0</v>
      </c>
      <c r="M131">
        <f>SUMIF('Как есть'!$A$17:$A$25,Доп.расчеты!$A131,'Как есть'!N$17:N$25)</f>
        <v>0</v>
      </c>
      <c r="N131">
        <f>SUMIF('Как есть'!$A$17:$A$25,Доп.расчеты!$A131,'Как есть'!O$17:O$25)</f>
        <v>0</v>
      </c>
      <c r="O131">
        <f>SUMIF('Как есть'!$A$17:$A$25,Доп.расчеты!$A131,'Как есть'!P$17:P$25)</f>
        <v>0</v>
      </c>
      <c r="P131">
        <f>SUMIF('Как есть'!$A$17:$A$25,Доп.расчеты!$A131,'Как есть'!Q$17:Q$25)</f>
        <v>0</v>
      </c>
      <c r="Q131">
        <f>SUMIF('Как есть'!$A$17:$A$25,Доп.расчеты!$A131,'Как есть'!R$17:R$25)</f>
        <v>0</v>
      </c>
      <c r="R131">
        <f>SUMIF('Как есть'!$A$17:$A$25,Доп.расчеты!$A131,'Как есть'!S$17:S$25)</f>
        <v>0</v>
      </c>
      <c r="S131">
        <f>SUMIF('Как есть'!$A$17:$A$25,Доп.расчеты!$A131,'Как есть'!T$17:T$25)</f>
        <v>0</v>
      </c>
      <c r="T131">
        <f>SUMIF('Как есть'!$A$17:$A$25,Доп.расчеты!$A131,'Как есть'!U$17:U$25)</f>
        <v>0</v>
      </c>
      <c r="U131">
        <f>SUMIF('Как есть'!$A$17:$A$25,Доп.расчеты!$A131,'Как есть'!V$17:V$25)</f>
        <v>0</v>
      </c>
      <c r="V131">
        <f>SUMIF('Как есть'!$A$17:$A$25,Доп.расчеты!$A131,'Как есть'!W$17:W$25)</f>
        <v>0</v>
      </c>
      <c r="W131">
        <f>SUMIF('Как есть'!$A$17:$A$25,Доп.расчеты!$A131,'Как есть'!X$17:X$25)</f>
        <v>0</v>
      </c>
      <c r="X131">
        <f>SUMIF('Как есть'!$A$17:$A$25,Доп.расчеты!$A131,'Как есть'!Y$17:Y$25)</f>
        <v>0</v>
      </c>
      <c r="Y131">
        <f>SUMIF('Как есть'!$A$17:$A$25,Доп.расчеты!$A131,'Как есть'!Z$17:Z$25)</f>
        <v>0</v>
      </c>
      <c r="Z131">
        <f>SUMIF('Как есть'!$A$17:$A$25,Доп.расчеты!$A131,'Как есть'!AA$17:AA$25)</f>
        <v>0</v>
      </c>
      <c r="AA131">
        <f>SUMIF('Как есть'!$A$17:$A$25,Доп.расчеты!$A131,'Как есть'!AB$17:AB$25)</f>
        <v>0</v>
      </c>
      <c r="AB131">
        <f>SUMIF('Как есть'!$A$17:$A$25,Доп.расчеты!$A131,'Как есть'!AC$17:AC$25)</f>
        <v>0</v>
      </c>
      <c r="AC131">
        <f>SUMIF('Как есть'!$A$17:$A$25,Доп.расчеты!$A131,'Как есть'!AD$17:AD$25)</f>
        <v>0</v>
      </c>
      <c r="AD131">
        <f>SUMIF('Как есть'!$A$17:$A$25,Доп.расчеты!$A131,'Как есть'!AE$17:AE$25)</f>
        <v>0</v>
      </c>
      <c r="AE131">
        <f>SUMIF('Как есть'!$A$17:$A$25,Доп.расчеты!$A131,'Как есть'!AF$17:AF$25)</f>
        <v>0</v>
      </c>
      <c r="AF131">
        <f>SUMIF('Как есть'!$A$17:$A$25,Доп.расчеты!$A131,'Как есть'!AG$17:AG$25)</f>
        <v>0</v>
      </c>
      <c r="AG131">
        <f>SUMIF('Как есть'!$A$17:$A$25,Доп.расчеты!$A131,'Как есть'!AH$17:AH$25)</f>
        <v>0</v>
      </c>
      <c r="AH131">
        <f>SUMIF('Как есть'!$A$17:$A$25,Доп.расчеты!$A131,'Как есть'!AI$17:AI$25)</f>
        <v>0</v>
      </c>
      <c r="AI131">
        <f>SUMIF('Как есть'!$A$17:$A$25,Доп.расчеты!$A131,'Как есть'!AJ$17:AJ$25)</f>
        <v>0</v>
      </c>
      <c r="AJ131">
        <f>SUMIF('Как есть'!$A$17:$A$25,Доп.расчеты!$A131,'Как есть'!AK$17:AK$25)</f>
        <v>0</v>
      </c>
      <c r="AK131">
        <f>SUMIF('Как есть'!$A$17:$A$25,Доп.расчеты!$A131,'Как есть'!AL$17:AL$25)</f>
        <v>0</v>
      </c>
      <c r="AL131">
        <f>SUMIF('Как есть'!$A$17:$A$25,Доп.расчеты!$A131,'Как есть'!AM$17:AM$25)</f>
        <v>0</v>
      </c>
      <c r="AM131">
        <f>SUMIF('Как есть'!$A$17:$A$25,Доп.расчеты!$A131,'Как есть'!AN$17:AN$25)</f>
        <v>0</v>
      </c>
      <c r="AN131">
        <f>SUMIF('Как есть'!$A$17:$A$25,Доп.расчеты!$A131,'Как есть'!AO$17:AO$25)</f>
        <v>0</v>
      </c>
      <c r="AO131">
        <f>SUMIF('Как есть'!$A$17:$A$25,Доп.расчеты!$A131,'Как есть'!AP$17:AP$25)</f>
        <v>0</v>
      </c>
      <c r="AP131">
        <f>SUMIF('Как есть'!$A$17:$A$25,Доп.расчеты!$A131,'Как есть'!AQ$17:AQ$25)</f>
        <v>0</v>
      </c>
      <c r="AQ131">
        <f>SUMIF('Как есть'!$A$17:$A$25,Доп.расчеты!$A131,'Как есть'!AR$17:AR$25)</f>
        <v>0</v>
      </c>
      <c r="AR131">
        <f>SUMIF('Как есть'!$A$17:$A$25,Доп.расчеты!$A131,'Как есть'!AS$17:AS$25)</f>
        <v>0</v>
      </c>
      <c r="AS131">
        <f>SUMIF('Как есть'!$A$17:$A$25,Доп.расчеты!$A131,'Как есть'!AT$17:AT$25)</f>
        <v>0</v>
      </c>
      <c r="AT131">
        <f>SUMIF('Как есть'!$A$17:$A$25,Доп.расчеты!$A131,'Как есть'!AU$17:AU$25)</f>
        <v>0</v>
      </c>
      <c r="AU131">
        <f>SUMIF('Как есть'!$A$17:$A$25,Доп.расчеты!$A131,'Как есть'!AV$17:AV$25)</f>
        <v>0</v>
      </c>
      <c r="AV131">
        <f>SUMIF('Как есть'!$A$17:$A$25,Доп.расчеты!$A131,'Как есть'!AW$17:AW$25)</f>
        <v>0</v>
      </c>
      <c r="AW131">
        <f>SUMIF('Как есть'!$A$17:$A$25,Доп.расчеты!$A131,'Как есть'!AX$17:AX$25)</f>
        <v>0</v>
      </c>
      <c r="AX131">
        <f>SUMIF('Как есть'!$A$17:$A$25,Доп.расчеты!$A131,'Как есть'!AY$17:AY$25)</f>
        <v>0</v>
      </c>
      <c r="AY131">
        <f>SUMIF('Как есть'!$A$17:$A$25,Доп.расчеты!$A131,'Как есть'!AZ$17:AZ$25)</f>
        <v>0</v>
      </c>
      <c r="AZ131">
        <f>SUMIF('Как есть'!$A$17:$A$25,Доп.расчеты!$A131,'Как есть'!BA$17:BA$25)</f>
        <v>0</v>
      </c>
      <c r="BA131">
        <f>SUMIF('Как есть'!$A$17:$A$25,Доп.расчеты!$A131,'Как есть'!BB$17:BB$25)</f>
        <v>0</v>
      </c>
      <c r="BB131">
        <f>SUMIF('Как есть'!$A$17:$A$25,Доп.расчеты!$A131,'Как есть'!BC$17:BC$25)</f>
        <v>0</v>
      </c>
      <c r="BC131">
        <f>SUMIF('Как есть'!$A$17:$A$25,Доп.расчеты!$A131,'Как есть'!BD$17:BD$25)</f>
        <v>0</v>
      </c>
      <c r="BD131">
        <f>SUMIF('Как есть'!$A$17:$A$25,Доп.расчеты!$A131,'Как есть'!BE$17:BE$25)</f>
        <v>0</v>
      </c>
      <c r="BE131">
        <f>SUMIF('Как есть'!$A$17:$A$25,Доп.расчеты!$A131,'Как есть'!BF$17:BF$25)</f>
        <v>0</v>
      </c>
      <c r="BF131">
        <f>SUMIF('Как есть'!$A$17:$A$25,Доп.расчеты!$A131,'Как есть'!BG$17:BG$25)</f>
        <v>0</v>
      </c>
      <c r="BG131">
        <f>SUMIF('Как есть'!$A$17:$A$25,Доп.расчеты!$A131,'Как есть'!BH$17:BH$25)</f>
        <v>0</v>
      </c>
      <c r="BH131">
        <f>SUMIF('Как есть'!$A$17:$A$25,Доп.расчеты!$A131,'Как есть'!BI$17:BI$25)</f>
        <v>0</v>
      </c>
      <c r="BI131">
        <f>SUMIF('Как есть'!$A$17:$A$25,Доп.расчеты!$A131,'Как есть'!BJ$17:BJ$25)</f>
        <v>0</v>
      </c>
      <c r="BJ131">
        <f>SUMIF('Как есть'!$A$17:$A$25,Доп.расчеты!$A131,'Как есть'!BK$17:BK$25)</f>
        <v>0</v>
      </c>
      <c r="BK131">
        <f>SUMIF('Как есть'!$A$17:$A$25,Доп.расчеты!$A131,'Как есть'!BL$17:BL$25)</f>
        <v>0</v>
      </c>
      <c r="BL131">
        <f>SUMIF('Как есть'!$A$17:$A$25,Доп.расчеты!$A131,'Как есть'!BM$17:BM$25)</f>
        <v>0</v>
      </c>
      <c r="BM131">
        <f>SUMIF('Как есть'!$A$17:$A$25,Доп.расчеты!$A131,'Как есть'!BN$17:BN$25)</f>
        <v>0</v>
      </c>
      <c r="BN131">
        <f>SUMIF('Как есть'!$A$17:$A$25,Доп.расчеты!$A131,'Как есть'!BO$17:BO$25)</f>
        <v>0</v>
      </c>
      <c r="BO131">
        <f>SUMIF('Как есть'!$A$17:$A$25,Доп.расчеты!$A131,'Как есть'!BP$17:BP$25)</f>
        <v>0</v>
      </c>
      <c r="BP131">
        <f>SUMIF('Как есть'!$A$17:$A$25,Доп.расчеты!$A131,'Как есть'!BQ$17:BQ$25)</f>
        <v>0</v>
      </c>
      <c r="BQ131">
        <f>SUMIF('Как есть'!$A$17:$A$25,Доп.расчеты!$A131,'Как есть'!BR$17:BR$25)</f>
        <v>0</v>
      </c>
      <c r="BR131">
        <f>SUMIF('Как есть'!$A$17:$A$25,Доп.расчеты!$A131,'Как есть'!BS$17:BS$25)</f>
        <v>0</v>
      </c>
      <c r="BS131">
        <f>SUMIF('Как есть'!$A$17:$A$25,Доп.расчеты!$A131,'Как есть'!BT$17:BT$25)</f>
        <v>0</v>
      </c>
      <c r="BT131">
        <f>SUMIF('Как есть'!$A$17:$A$25,Доп.расчеты!$A131,'Как есть'!BU$17:BU$25)</f>
        <v>0</v>
      </c>
      <c r="BU131">
        <f>SUMIF('Как есть'!$A$17:$A$25,Доп.расчеты!$A131,'Как есть'!BV$17:BV$25)</f>
        <v>0</v>
      </c>
      <c r="BV131">
        <f>SUMIF('Как есть'!$A$17:$A$25,Доп.расчеты!$A131,'Как есть'!BW$17:BW$25)</f>
        <v>0</v>
      </c>
      <c r="BW131">
        <f>SUMIF('Как есть'!$A$17:$A$25,Доп.расчеты!$A131,'Как есть'!BX$17:BX$25)</f>
        <v>0</v>
      </c>
      <c r="BX131">
        <f>SUMIF('Как есть'!$A$17:$A$25,Доп.расчеты!$A131,'Как есть'!BY$17:BY$25)</f>
        <v>0</v>
      </c>
      <c r="BY131">
        <f>SUMIF('Как есть'!$A$17:$A$25,Доп.расчеты!$A131,'Как есть'!BZ$17:BZ$25)</f>
        <v>0</v>
      </c>
      <c r="BZ131">
        <f>SUMIF('Как есть'!$A$17:$A$25,Доп.расчеты!$A131,'Как есть'!CA$17:CA$25)</f>
        <v>0</v>
      </c>
      <c r="CA131">
        <f>SUMIF('Как есть'!$A$17:$A$25,Доп.расчеты!$A131,'Как есть'!CB$17:CB$25)</f>
        <v>0</v>
      </c>
      <c r="CB131">
        <f>SUMIF('Как есть'!$A$17:$A$25,Доп.расчеты!$A131,'Как есть'!CC$17:CC$25)</f>
        <v>0</v>
      </c>
      <c r="CC131">
        <f>SUMIF('Как есть'!$A$17:$A$25,Доп.расчеты!$A131,'Как есть'!CD$17:CD$25)</f>
        <v>0</v>
      </c>
      <c r="CD131">
        <f>SUMIF('Как есть'!$A$17:$A$25,Доп.расчеты!$A131,'Как есть'!CE$17:CE$25)</f>
        <v>0</v>
      </c>
      <c r="CE131">
        <f>SUMIF('Как есть'!$A$17:$A$25,Доп.расчеты!$A131,'Как есть'!CF$17:CF$25)</f>
        <v>0</v>
      </c>
      <c r="CF131">
        <f>SUMIF('Как есть'!$A$17:$A$25,Доп.расчеты!$A131,'Как есть'!CG$17:CG$25)</f>
        <v>0</v>
      </c>
      <c r="CG131">
        <f>SUMIF('Как есть'!$A$17:$A$25,Доп.расчеты!$A131,'Как есть'!CH$17:CH$25)</f>
        <v>0</v>
      </c>
      <c r="CH131">
        <f>SUMIF('Как есть'!$A$17:$A$25,Доп.расчеты!$A131,'Как есть'!CI$17:CI$25)</f>
        <v>0</v>
      </c>
      <c r="CI131">
        <f>SUMIF('Как есть'!$A$17:$A$25,Доп.расчеты!$A131,'Как есть'!CJ$17:CJ$25)</f>
        <v>0</v>
      </c>
      <c r="CJ131">
        <f>SUMIF('Как есть'!$A$17:$A$25,Доп.расчеты!$A131,'Как есть'!CK$17:CK$25)</f>
        <v>0</v>
      </c>
      <c r="CK131">
        <f>SUMIF('Как есть'!$A$17:$A$25,Доп.расчеты!$A131,'Как есть'!CL$17:CL$25)</f>
        <v>0</v>
      </c>
      <c r="CL131">
        <f>SUMIF('Как есть'!$A$17:$A$25,Доп.расчеты!$A131,'Как есть'!CM$17:CM$25)</f>
        <v>0</v>
      </c>
      <c r="CM131">
        <f>SUMIF('Как есть'!$A$17:$A$25,Доп.расчеты!$A131,'Как есть'!CN$17:CN$25)</f>
        <v>0</v>
      </c>
      <c r="CN131">
        <f>SUMIF('Как есть'!$A$17:$A$25,Доп.расчеты!$A131,'Как есть'!CO$17:CO$25)</f>
        <v>0</v>
      </c>
      <c r="CO131">
        <f>SUMIF('Как есть'!$A$17:$A$25,Доп.расчеты!$A131,'Как есть'!CP$17:CP$25)</f>
        <v>0</v>
      </c>
      <c r="CP131">
        <f>SUMIF('Как есть'!$A$17:$A$25,Доп.расчеты!$A131,'Как есть'!CQ$17:CQ$25)</f>
        <v>0</v>
      </c>
      <c r="CQ131">
        <f>SUMIF('Как есть'!$A$17:$A$25,Доп.расчеты!$A131,'Как есть'!CR$17:CR$25)</f>
        <v>0</v>
      </c>
      <c r="CR131">
        <f>SUMIF('Как есть'!$A$17:$A$25,Доп.расчеты!$A131,'Как есть'!CS$17:CS$25)</f>
        <v>0</v>
      </c>
      <c r="CS131">
        <f>SUMIF('Как есть'!$A$17:$A$25,Доп.расчеты!$A131,'Как есть'!CT$17:CT$25)</f>
        <v>0</v>
      </c>
      <c r="CT131">
        <f>SUMIF('Как есть'!$A$17:$A$25,Доп.расчеты!$A131,'Как есть'!CU$17:CU$25)</f>
        <v>0</v>
      </c>
      <c r="CU131">
        <f>SUMIF('Как есть'!$A$17:$A$25,Доп.расчеты!$A131,'Как есть'!CV$17:CV$25)</f>
        <v>0</v>
      </c>
      <c r="CV131">
        <f>SUMIF('Как есть'!$A$17:$A$25,Доп.расчеты!$A131,'Как есть'!CW$17:CW$25)</f>
        <v>0</v>
      </c>
      <c r="CW131">
        <f>SUMIF('Как есть'!$A$17:$A$25,Доп.расчеты!$A131,'Как есть'!CX$17:CX$25)</f>
        <v>0</v>
      </c>
      <c r="CX131">
        <f>SUMIF('Как есть'!$A$17:$A$25,Доп.расчеты!$A131,'Как есть'!CY$17:CY$25)</f>
        <v>0</v>
      </c>
      <c r="CY131">
        <f>SUMIF('Как есть'!$A$17:$A$25,Доп.расчеты!$A131,'Как есть'!CZ$17:CZ$25)</f>
        <v>0</v>
      </c>
      <c r="CZ131">
        <f>SUMIF('Как есть'!$A$17:$A$25,Доп.расчеты!$A131,'Как есть'!DA$17:DA$25)</f>
        <v>0</v>
      </c>
      <c r="DA131">
        <f>SUMIF('Как есть'!$A$17:$A$25,Доп.расчеты!$A131,'Как есть'!DB$17:DB$25)</f>
        <v>0</v>
      </c>
      <c r="DB131">
        <f>SUMIF('Как есть'!$A$17:$A$25,Доп.расчеты!$A131,'Как есть'!DC$17:DC$25)</f>
        <v>0</v>
      </c>
      <c r="DC131">
        <f>SUMIF('Как есть'!$A$17:$A$25,Доп.расчеты!$A131,'Как есть'!DD$17:DD$25)</f>
        <v>0</v>
      </c>
      <c r="DD131">
        <f>SUMIF('Как есть'!$A$17:$A$25,Доп.расчеты!$A131,'Как есть'!DE$17:DE$25)</f>
        <v>0</v>
      </c>
      <c r="DE131">
        <f>SUMIF('Как есть'!$A$17:$A$25,Доп.расчеты!$A131,'Как есть'!DF$17:DF$25)</f>
        <v>0</v>
      </c>
      <c r="DF131">
        <f>SUMIF('Как есть'!$A$17:$A$25,Доп.расчеты!$A131,'Как есть'!DG$17:DG$25)</f>
        <v>0</v>
      </c>
      <c r="DG131">
        <f>SUMIF('Как есть'!$A$17:$A$25,Доп.расчеты!$A131,'Как есть'!DH$17:DH$25)</f>
        <v>0</v>
      </c>
      <c r="DH131">
        <f>SUMIF('Как есть'!$A$17:$A$25,Доп.расчеты!$A131,'Как есть'!DI$17:DI$25)</f>
        <v>0</v>
      </c>
      <c r="DI131">
        <f>SUMIF('Как есть'!$A$17:$A$25,Доп.расчеты!$A131,'Как есть'!DJ$17:DJ$25)</f>
        <v>0</v>
      </c>
      <c r="DJ131">
        <f>SUMIF('Как есть'!$A$17:$A$25,Доп.расчеты!$A131,'Как есть'!DK$17:DK$25)</f>
        <v>0</v>
      </c>
      <c r="DK131">
        <f>SUMIF('Как есть'!$A$17:$A$25,Доп.расчеты!$A131,'Как есть'!DL$17:DL$25)</f>
        <v>0</v>
      </c>
      <c r="DL131">
        <f>SUMIF('Как есть'!$A$17:$A$25,Доп.расчеты!$A131,'Как есть'!DM$17:DM$25)</f>
        <v>0</v>
      </c>
      <c r="DM131">
        <f>SUMIF('Как есть'!$A$17:$A$25,Доп.расчеты!$A131,'Как есть'!DN$17:DN$25)</f>
        <v>0</v>
      </c>
      <c r="DN131">
        <f>SUMIF('Как есть'!$A$17:$A$25,Доп.расчеты!$A131,'Как есть'!DO$17:DO$25)</f>
        <v>0</v>
      </c>
      <c r="DO131">
        <f>SUMIF('Как есть'!$A$17:$A$25,Доп.расчеты!$A131,'Как есть'!DP$17:DP$25)</f>
        <v>0</v>
      </c>
      <c r="DP131">
        <f>SUMIF('Как есть'!$A$17:$A$25,Доп.расчеты!$A131,'Как есть'!DQ$17:DQ$25)</f>
        <v>0</v>
      </c>
      <c r="DQ131">
        <f>SUMIF('Как есть'!$A$17:$A$25,Доп.расчеты!$A131,'Как есть'!DR$17:DR$25)</f>
        <v>0</v>
      </c>
      <c r="DR131">
        <f>SUMIF('Как есть'!$A$17:$A$25,Доп.расчеты!$A131,'Как есть'!DS$17:DS$25)</f>
        <v>0</v>
      </c>
      <c r="DS131">
        <f>SUMIF('Как есть'!$A$17:$A$25,Доп.расчеты!$A131,'Как есть'!DT$17:DT$25)</f>
        <v>0</v>
      </c>
      <c r="DT131">
        <f>SUMIF('Как есть'!$A$17:$A$25,Доп.расчеты!$A131,'Как есть'!DU$17:DU$25)</f>
        <v>0</v>
      </c>
      <c r="DU131">
        <f>SUMIF('Как есть'!$A$17:$A$25,Доп.расчеты!$A131,'Как есть'!DV$17:DV$25)</f>
        <v>0</v>
      </c>
      <c r="DV131">
        <f>SUMIF('Как есть'!$A$17:$A$25,Доп.расчеты!$A131,'Как есть'!DW$17:DW$25)</f>
        <v>0</v>
      </c>
      <c r="DW131">
        <f>SUMIF('Как есть'!$A$17:$A$25,Доп.расчеты!$A131,'Как есть'!DX$17:DX$25)</f>
        <v>0</v>
      </c>
      <c r="DX131">
        <f>SUMIF('Как есть'!$A$17:$A$25,Доп.расчеты!$A131,'Как есть'!DY$17:DY$25)</f>
        <v>0</v>
      </c>
      <c r="DY131">
        <f>SUMIF('Как есть'!$A$17:$A$25,Доп.расчеты!$A131,'Как есть'!DZ$17:DZ$25)</f>
        <v>0</v>
      </c>
      <c r="DZ131">
        <f>SUMIF('Как есть'!$A$17:$A$25,Доп.расчеты!$A131,'Как есть'!EA$17:EA$25)</f>
        <v>0</v>
      </c>
      <c r="EA131">
        <f>SUMIF('Как есть'!$A$17:$A$25,Доп.расчеты!$A131,'Как есть'!EB$17:EB$25)</f>
        <v>0</v>
      </c>
      <c r="EB131">
        <f>SUMIF('Как есть'!$A$17:$A$25,Доп.расчеты!$A131,'Как есть'!EC$17:EC$25)</f>
        <v>0</v>
      </c>
      <c r="EC131">
        <f>SUMIF('Как есть'!$A$17:$A$25,Доп.расчеты!$A131,'Как есть'!ED$17:ED$25)</f>
        <v>0</v>
      </c>
      <c r="ED131">
        <f>SUMIF('Как есть'!$A$17:$A$25,Доп.расчеты!$A131,'Как есть'!EE$17:EE$25)</f>
        <v>0</v>
      </c>
      <c r="EE131">
        <f>SUMIF('Как есть'!$A$17:$A$25,Доп.расчеты!$A131,'Как есть'!EF$17:EF$25)</f>
        <v>0</v>
      </c>
      <c r="EF131">
        <f>SUMIF('Как есть'!$A$17:$A$25,Доп.расчеты!$A131,'Как есть'!EG$17:EG$25)</f>
        <v>0</v>
      </c>
      <c r="EG131">
        <f>SUMIF('Как есть'!$A$17:$A$25,Доп.расчеты!$A131,'Как есть'!EH$17:EH$25)</f>
        <v>0</v>
      </c>
      <c r="EH131">
        <f>SUMIF('Как есть'!$A$17:$A$25,Доп.расчеты!$A131,'Как есть'!EI$17:EI$25)</f>
        <v>0</v>
      </c>
      <c r="EI131">
        <f>SUMIF('Как есть'!$A$17:$A$25,Доп.расчеты!$A131,'Как есть'!EJ$17:EJ$25)</f>
        <v>0</v>
      </c>
      <c r="EJ131">
        <f>SUMIF('Как есть'!$A$17:$A$25,Доп.расчеты!$A131,'Как есть'!EK$17:EK$25)</f>
        <v>0</v>
      </c>
      <c r="EK131">
        <f>SUMIF('Как есть'!$A$17:$A$25,Доп.расчеты!$A131,'Как есть'!EL$17:EL$25)</f>
        <v>0</v>
      </c>
      <c r="EL131">
        <f>SUMIF('Как есть'!$A$17:$A$25,Доп.расчеты!$A131,'Как есть'!EM$17:EM$25)</f>
        <v>0</v>
      </c>
      <c r="EM131">
        <f>SUMIF('Как есть'!$A$17:$A$25,Доп.расчеты!$A131,'Как есть'!EN$17:EN$25)</f>
        <v>0</v>
      </c>
      <c r="EN131">
        <f>SUMIF('Как есть'!$A$17:$A$25,Доп.расчеты!$A131,'Как есть'!EO$17:EO$25)</f>
        <v>0</v>
      </c>
      <c r="EO131">
        <f>SUMIF('Как есть'!$A$17:$A$25,Доп.расчеты!$A131,'Как есть'!EP$17:EP$25)</f>
        <v>0</v>
      </c>
      <c r="EP131">
        <f>SUMIF('Как есть'!$A$17:$A$25,Доп.расчеты!$A131,'Как есть'!EQ$17:EQ$25)</f>
        <v>0</v>
      </c>
      <c r="EQ131">
        <f>SUMIF('Как есть'!$A$17:$A$25,Доп.расчеты!$A131,'Как есть'!ER$17:ER$25)</f>
        <v>0</v>
      </c>
      <c r="ER131">
        <f>SUMIF('Как есть'!$A$17:$A$25,Доп.расчеты!$A131,'Как есть'!ES$17:ES$25)</f>
        <v>0</v>
      </c>
      <c r="ES131">
        <f>SUMIF('Как есть'!$A$17:$A$25,Доп.расчеты!$A131,'Как есть'!ET$17:ET$25)</f>
        <v>0</v>
      </c>
      <c r="ET131">
        <f>SUMIF('Как есть'!$A$17:$A$25,Доп.расчеты!$A131,'Как есть'!EU$17:EU$25)</f>
        <v>0</v>
      </c>
      <c r="EU131">
        <f>SUMIF('Как есть'!$A$17:$A$25,Доп.расчеты!$A131,'Как есть'!EV$17:EV$25)</f>
        <v>0</v>
      </c>
      <c r="EV131">
        <f>SUMIF('Как есть'!$A$17:$A$25,Доп.расчеты!$A131,'Как есть'!EW$17:EW$25)</f>
        <v>0</v>
      </c>
      <c r="EW131">
        <f>SUMIF('Как есть'!$A$17:$A$25,Доп.расчеты!$A131,'Как есть'!EX$17:EX$25)</f>
        <v>0</v>
      </c>
      <c r="EX131">
        <f>SUMIF('Как есть'!$A$17:$A$25,Доп.расчеты!$A131,'Как есть'!EY$17:EY$25)</f>
        <v>0</v>
      </c>
      <c r="EY131">
        <f>SUMIF('Как есть'!$A$17:$A$25,Доп.расчеты!$A131,'Как есть'!EZ$17:EZ$25)</f>
        <v>0</v>
      </c>
      <c r="EZ131">
        <f>SUMIF('Как есть'!$A$17:$A$25,Доп.расчеты!$A131,'Как есть'!FA$17:FA$25)</f>
        <v>0</v>
      </c>
      <c r="FA131">
        <f>SUMIF('Как есть'!$A$17:$A$25,Доп.расчеты!$A131,'Как есть'!FB$17:FB$25)</f>
        <v>0</v>
      </c>
      <c r="FB131">
        <f>SUMIF('Как есть'!$A$17:$A$25,Доп.расчеты!$A131,'Как есть'!FC$17:FC$25)</f>
        <v>0</v>
      </c>
      <c r="FC131">
        <f>SUMIF('Как есть'!$A$17:$A$25,Доп.расчеты!$A131,'Как есть'!FD$17:FD$25)</f>
        <v>0</v>
      </c>
      <c r="FD131">
        <f>SUMIF('Как есть'!$A$17:$A$25,Доп.расчеты!$A131,'Как есть'!FE$17:FE$25)</f>
        <v>0</v>
      </c>
      <c r="FE131">
        <f>SUMIF('Как есть'!$A$17:$A$25,Доп.расчеты!$A131,'Как есть'!FF$17:FF$25)</f>
        <v>0</v>
      </c>
      <c r="FF131">
        <f>SUMIF('Как есть'!$A$17:$A$25,Доп.расчеты!$A131,'Как есть'!FG$17:FG$25)</f>
        <v>0</v>
      </c>
      <c r="FG131">
        <f>SUMIF('Как есть'!$A$17:$A$25,Доп.расчеты!$A131,'Как есть'!FH$17:FH$25)</f>
        <v>0</v>
      </c>
      <c r="FH131">
        <f>SUMIF('Как есть'!$A$17:$A$25,Доп.расчеты!$A131,'Как есть'!FI$17:FI$25)</f>
        <v>0</v>
      </c>
      <c r="FI131">
        <f>SUMIF('Как есть'!$A$17:$A$25,Доп.расчеты!$A131,'Как есть'!FJ$17:FJ$25)</f>
        <v>0</v>
      </c>
      <c r="FJ131">
        <f>SUMIF('Как есть'!$A$17:$A$25,Доп.расчеты!$A131,'Как есть'!FK$17:FK$25)</f>
        <v>0</v>
      </c>
      <c r="FK131">
        <f>SUMIF('Как есть'!$A$17:$A$25,Доп.расчеты!$A131,'Как есть'!FL$17:FL$25)</f>
        <v>0</v>
      </c>
      <c r="FL131">
        <f>SUMIF('Как есть'!$A$17:$A$25,Доп.расчеты!$A131,'Как есть'!FM$17:FM$25)</f>
        <v>0</v>
      </c>
      <c r="FM131">
        <f>SUMIF('Как есть'!$A$17:$A$25,Доп.расчеты!$A131,'Как есть'!FN$17:FN$25)</f>
        <v>0</v>
      </c>
      <c r="FN131">
        <f>SUMIF('Как есть'!$A$17:$A$25,Доп.расчеты!$A131,'Как есть'!FO$17:FO$25)</f>
        <v>0</v>
      </c>
      <c r="FO131">
        <f>SUMIF('Как есть'!$A$17:$A$25,Доп.расчеты!$A131,'Как есть'!FP$17:FP$25)</f>
        <v>0</v>
      </c>
      <c r="FP131">
        <f>SUMIF('Как есть'!$A$17:$A$25,Доп.расчеты!$A131,'Как есть'!FQ$17:FQ$25)</f>
        <v>0</v>
      </c>
      <c r="FQ131">
        <f>SUMIF('Как есть'!$A$17:$A$25,Доп.расчеты!$A131,'Как есть'!FR$17:FR$25)</f>
        <v>0</v>
      </c>
      <c r="FR131">
        <f>SUMIF('Как есть'!$A$17:$A$25,Доп.расчеты!$A131,'Как есть'!FS$17:FS$25)</f>
        <v>0</v>
      </c>
      <c r="FS131">
        <f>SUMIF('Как есть'!$A$17:$A$25,Доп.расчеты!$A131,'Как есть'!FT$17:FT$25)</f>
        <v>0</v>
      </c>
      <c r="FT131">
        <f>SUMIF('Как есть'!$A$17:$A$25,Доп.расчеты!$A131,'Как есть'!FU$17:FU$25)</f>
        <v>0</v>
      </c>
      <c r="FU131">
        <f>SUMIF('Как есть'!$A$17:$A$25,Доп.расчеты!$A131,'Как есть'!FV$17:FV$25)</f>
        <v>0</v>
      </c>
      <c r="FV131">
        <f>SUMIF('Как есть'!$A$17:$A$25,Доп.расчеты!$A131,'Как есть'!FW$17:FW$25)</f>
        <v>0</v>
      </c>
      <c r="FW131">
        <f>SUMIF('Как есть'!$A$17:$A$25,Доп.расчеты!$A131,'Как есть'!FX$17:FX$25)</f>
        <v>0</v>
      </c>
      <c r="FX131">
        <f>SUMIF('Как есть'!$A$17:$A$25,Доп.расчеты!$A131,'Как есть'!FY$17:FY$25)</f>
        <v>0</v>
      </c>
      <c r="FY131">
        <f>SUMIF('Как есть'!$A$17:$A$25,Доп.расчеты!$A131,'Как есть'!FZ$17:FZ$25)</f>
        <v>0</v>
      </c>
      <c r="FZ131">
        <f>SUMIF('Как есть'!$A$17:$A$25,Доп.расчеты!$A131,'Как есть'!GA$17:GA$25)</f>
        <v>0</v>
      </c>
      <c r="GA131">
        <f>SUMIF('Как есть'!$A$17:$A$25,Доп.расчеты!$A131,'Как есть'!GB$17:GB$25)</f>
        <v>0</v>
      </c>
      <c r="GB131">
        <f>SUMIF('Как есть'!$A$17:$A$25,Доп.расчеты!$A131,'Как есть'!GC$17:GC$25)</f>
        <v>0</v>
      </c>
      <c r="GC131">
        <f>SUMIF('Как есть'!$A$17:$A$25,Доп.расчеты!$A131,'Как есть'!GD$17:GD$25)</f>
        <v>0</v>
      </c>
      <c r="GD131">
        <f>SUMIF('Как есть'!$A$17:$A$25,Доп.расчеты!$A131,'Как есть'!GE$17:GE$25)</f>
        <v>0</v>
      </c>
      <c r="GE131">
        <f>SUMIF('Как есть'!$A$17:$A$25,Доп.расчеты!$A131,'Как есть'!GF$17:GF$25)</f>
        <v>0</v>
      </c>
      <c r="GF131">
        <f>SUMIF('Как есть'!$A$17:$A$25,Доп.расчеты!$A131,'Как есть'!GG$17:GG$25)</f>
        <v>0</v>
      </c>
      <c r="GG131">
        <f>SUMIF('Как есть'!$A$17:$A$25,Доп.расчеты!$A131,'Как есть'!GH$17:GH$25)</f>
        <v>0</v>
      </c>
      <c r="GH131">
        <f>SUMIF('Как есть'!$A$17:$A$25,Доп.расчеты!$A131,'Как есть'!GI$17:GI$25)</f>
        <v>0</v>
      </c>
      <c r="GI131">
        <f>SUMIF('Как есть'!$A$17:$A$25,Доп.расчеты!$A131,'Как есть'!GJ$17:GJ$25)</f>
        <v>0</v>
      </c>
      <c r="GJ131">
        <f>SUMIF('Как есть'!$A$17:$A$25,Доп.расчеты!$A131,'Как есть'!GK$17:GK$25)</f>
        <v>0</v>
      </c>
      <c r="GK131">
        <f>SUMIF('Как есть'!$A$17:$A$25,Доп.расчеты!$A131,'Как есть'!GL$17:GL$25)</f>
        <v>0</v>
      </c>
      <c r="GL131">
        <f>SUMIF('Как есть'!$A$17:$A$25,Доп.расчеты!$A131,'Как есть'!GM$17:GM$25)</f>
        <v>0</v>
      </c>
      <c r="GM131">
        <f>SUMIF('Как есть'!$A$17:$A$25,Доп.расчеты!$A131,'Как есть'!GN$17:GN$25)</f>
        <v>0</v>
      </c>
      <c r="GN131">
        <f>SUMIF('Как есть'!$A$17:$A$25,Доп.расчеты!$A131,'Как есть'!GO$17:GO$25)</f>
        <v>0</v>
      </c>
      <c r="GO131">
        <f>SUMIF('Как есть'!$A$17:$A$25,Доп.расчеты!$A131,'Как есть'!GP$17:GP$25)</f>
        <v>0</v>
      </c>
      <c r="GP131">
        <f>SUMIF('Как есть'!$A$17:$A$25,Доп.расчеты!$A131,'Как есть'!GQ$17:GQ$25)</f>
        <v>0</v>
      </c>
      <c r="GQ131">
        <f>SUMIF('Как есть'!$A$17:$A$25,Доп.расчеты!$A131,'Как есть'!GR$17:GR$25)</f>
        <v>0</v>
      </c>
      <c r="GR131">
        <f>SUMIF('Как есть'!$A$17:$A$25,Доп.расчеты!$A131,'Как есть'!GS$17:GS$25)</f>
        <v>0</v>
      </c>
      <c r="GS131">
        <f>SUMIF('Как есть'!$A$17:$A$25,Доп.расчеты!$A131,'Как есть'!GT$17:GT$25)</f>
        <v>0</v>
      </c>
      <c r="GT131">
        <f>SUMIF('Как есть'!$A$17:$A$25,Доп.расчеты!$A131,'Как есть'!GU$17:GU$25)</f>
        <v>0</v>
      </c>
    </row>
    <row r="132" spans="1:202" hidden="1" outlineLevel="1">
      <c r="A132" s="238" t="s">
        <v>110</v>
      </c>
      <c r="B132">
        <f>SUMIF('Как есть'!$A$17:$A$25,Доп.расчеты!$A132,'Как есть'!C$17:C$25)</f>
        <v>0</v>
      </c>
      <c r="C132">
        <f>SUMIF('Как есть'!$A$17:$A$25,Доп.расчеты!$A132,'Как есть'!D$17:D$25)</f>
        <v>0</v>
      </c>
      <c r="D132">
        <f>SUMIF('Как есть'!$A$17:$A$25,Доп.расчеты!$A132,'Как есть'!E$17:E$25)</f>
        <v>0</v>
      </c>
      <c r="E132">
        <f>SUMIF('Как есть'!$A$17:$A$25,Доп.расчеты!$A132,'Как есть'!F$17:F$25)</f>
        <v>0</v>
      </c>
      <c r="F132">
        <f>SUMIF('Как есть'!$A$17:$A$25,Доп.расчеты!$A132,'Как есть'!G$17:G$25)</f>
        <v>0</v>
      </c>
      <c r="G132">
        <f>SUMIF('Как есть'!$A$17:$A$25,Доп.расчеты!$A132,'Как есть'!H$17:H$25)</f>
        <v>0</v>
      </c>
      <c r="H132">
        <f>SUMIF('Как есть'!$A$17:$A$25,Доп.расчеты!$A132,'Как есть'!I$17:I$25)</f>
        <v>0</v>
      </c>
      <c r="I132">
        <f>SUMIF('Как есть'!$A$17:$A$25,Доп.расчеты!$A132,'Как есть'!J$17:J$25)</f>
        <v>0</v>
      </c>
      <c r="J132">
        <f>SUMIF('Как есть'!$A$17:$A$25,Доп.расчеты!$A132,'Как есть'!K$17:K$25)</f>
        <v>0</v>
      </c>
      <c r="K132">
        <f>SUMIF('Как есть'!$A$17:$A$25,Доп.расчеты!$A132,'Как есть'!L$17:L$25)</f>
        <v>0</v>
      </c>
      <c r="L132">
        <f>SUMIF('Как есть'!$A$17:$A$25,Доп.расчеты!$A132,'Как есть'!M$17:M$25)</f>
        <v>0</v>
      </c>
      <c r="M132">
        <f>SUMIF('Как есть'!$A$17:$A$25,Доп.расчеты!$A132,'Как есть'!N$17:N$25)</f>
        <v>0</v>
      </c>
      <c r="N132">
        <f>SUMIF('Как есть'!$A$17:$A$25,Доп.расчеты!$A132,'Как есть'!O$17:O$25)</f>
        <v>0</v>
      </c>
      <c r="O132">
        <f>SUMIF('Как есть'!$A$17:$A$25,Доп.расчеты!$A132,'Как есть'!P$17:P$25)</f>
        <v>0</v>
      </c>
      <c r="P132">
        <f>SUMIF('Как есть'!$A$17:$A$25,Доп.расчеты!$A132,'Как есть'!Q$17:Q$25)</f>
        <v>0</v>
      </c>
      <c r="Q132">
        <f>SUMIF('Как есть'!$A$17:$A$25,Доп.расчеты!$A132,'Как есть'!R$17:R$25)</f>
        <v>0</v>
      </c>
      <c r="R132">
        <f>SUMIF('Как есть'!$A$17:$A$25,Доп.расчеты!$A132,'Как есть'!S$17:S$25)</f>
        <v>0</v>
      </c>
      <c r="S132">
        <f>SUMIF('Как есть'!$A$17:$A$25,Доп.расчеты!$A132,'Как есть'!T$17:T$25)</f>
        <v>0</v>
      </c>
      <c r="T132">
        <f>SUMIF('Как есть'!$A$17:$A$25,Доп.расчеты!$A132,'Как есть'!U$17:U$25)</f>
        <v>0</v>
      </c>
      <c r="U132">
        <f>SUMIF('Как есть'!$A$17:$A$25,Доп.расчеты!$A132,'Как есть'!V$17:V$25)</f>
        <v>0</v>
      </c>
      <c r="V132">
        <f>SUMIF('Как есть'!$A$17:$A$25,Доп.расчеты!$A132,'Как есть'!W$17:W$25)</f>
        <v>0</v>
      </c>
      <c r="W132">
        <f>SUMIF('Как есть'!$A$17:$A$25,Доп.расчеты!$A132,'Как есть'!X$17:X$25)</f>
        <v>0</v>
      </c>
      <c r="X132">
        <f>SUMIF('Как есть'!$A$17:$A$25,Доп.расчеты!$A132,'Как есть'!Y$17:Y$25)</f>
        <v>0</v>
      </c>
      <c r="Y132">
        <f>SUMIF('Как есть'!$A$17:$A$25,Доп.расчеты!$A132,'Как есть'!Z$17:Z$25)</f>
        <v>0</v>
      </c>
      <c r="Z132">
        <f>SUMIF('Как есть'!$A$17:$A$25,Доп.расчеты!$A132,'Как есть'!AA$17:AA$25)</f>
        <v>0</v>
      </c>
      <c r="AA132">
        <f>SUMIF('Как есть'!$A$17:$A$25,Доп.расчеты!$A132,'Как есть'!AB$17:AB$25)</f>
        <v>0</v>
      </c>
      <c r="AB132">
        <f>SUMIF('Как есть'!$A$17:$A$25,Доп.расчеты!$A132,'Как есть'!AC$17:AC$25)</f>
        <v>0</v>
      </c>
      <c r="AC132">
        <f>SUMIF('Как есть'!$A$17:$A$25,Доп.расчеты!$A132,'Как есть'!AD$17:AD$25)</f>
        <v>0</v>
      </c>
      <c r="AD132">
        <f>SUMIF('Как есть'!$A$17:$A$25,Доп.расчеты!$A132,'Как есть'!AE$17:AE$25)</f>
        <v>0</v>
      </c>
      <c r="AE132">
        <f>SUMIF('Как есть'!$A$17:$A$25,Доп.расчеты!$A132,'Как есть'!AF$17:AF$25)</f>
        <v>0</v>
      </c>
      <c r="AF132">
        <f>SUMIF('Как есть'!$A$17:$A$25,Доп.расчеты!$A132,'Как есть'!AG$17:AG$25)</f>
        <v>0</v>
      </c>
      <c r="AG132">
        <f>SUMIF('Как есть'!$A$17:$A$25,Доп.расчеты!$A132,'Как есть'!AH$17:AH$25)</f>
        <v>0</v>
      </c>
      <c r="AH132">
        <f>SUMIF('Как есть'!$A$17:$A$25,Доп.расчеты!$A132,'Как есть'!AI$17:AI$25)</f>
        <v>0</v>
      </c>
      <c r="AI132">
        <f>SUMIF('Как есть'!$A$17:$A$25,Доп.расчеты!$A132,'Как есть'!AJ$17:AJ$25)</f>
        <v>0</v>
      </c>
      <c r="AJ132">
        <f>SUMIF('Как есть'!$A$17:$A$25,Доп.расчеты!$A132,'Как есть'!AK$17:AK$25)</f>
        <v>0</v>
      </c>
      <c r="AK132">
        <f>SUMIF('Как есть'!$A$17:$A$25,Доп.расчеты!$A132,'Как есть'!AL$17:AL$25)</f>
        <v>0</v>
      </c>
      <c r="AL132">
        <f>SUMIF('Как есть'!$A$17:$A$25,Доп.расчеты!$A132,'Как есть'!AM$17:AM$25)</f>
        <v>0</v>
      </c>
      <c r="AM132">
        <f>SUMIF('Как есть'!$A$17:$A$25,Доп.расчеты!$A132,'Как есть'!AN$17:AN$25)</f>
        <v>0</v>
      </c>
      <c r="AN132">
        <f>SUMIF('Как есть'!$A$17:$A$25,Доп.расчеты!$A132,'Как есть'!AO$17:AO$25)</f>
        <v>0</v>
      </c>
      <c r="AO132">
        <f>SUMIF('Как есть'!$A$17:$A$25,Доп.расчеты!$A132,'Как есть'!AP$17:AP$25)</f>
        <v>0</v>
      </c>
      <c r="AP132">
        <f>SUMIF('Как есть'!$A$17:$A$25,Доп.расчеты!$A132,'Как есть'!AQ$17:AQ$25)</f>
        <v>0</v>
      </c>
      <c r="AQ132">
        <f>SUMIF('Как есть'!$A$17:$A$25,Доп.расчеты!$A132,'Как есть'!AR$17:AR$25)</f>
        <v>0</v>
      </c>
      <c r="AR132">
        <f>SUMIF('Как есть'!$A$17:$A$25,Доп.расчеты!$A132,'Как есть'!AS$17:AS$25)</f>
        <v>0</v>
      </c>
      <c r="AS132">
        <f>SUMIF('Как есть'!$A$17:$A$25,Доп.расчеты!$A132,'Как есть'!AT$17:AT$25)</f>
        <v>0</v>
      </c>
      <c r="AT132">
        <f>SUMIF('Как есть'!$A$17:$A$25,Доп.расчеты!$A132,'Как есть'!AU$17:AU$25)</f>
        <v>0</v>
      </c>
      <c r="AU132">
        <f>SUMIF('Как есть'!$A$17:$A$25,Доп.расчеты!$A132,'Как есть'!AV$17:AV$25)</f>
        <v>0</v>
      </c>
      <c r="AV132">
        <f>SUMIF('Как есть'!$A$17:$A$25,Доп.расчеты!$A132,'Как есть'!AW$17:AW$25)</f>
        <v>0</v>
      </c>
      <c r="AW132">
        <f>SUMIF('Как есть'!$A$17:$A$25,Доп.расчеты!$A132,'Как есть'!AX$17:AX$25)</f>
        <v>0</v>
      </c>
      <c r="AX132">
        <f>SUMIF('Как есть'!$A$17:$A$25,Доп.расчеты!$A132,'Как есть'!AY$17:AY$25)</f>
        <v>0</v>
      </c>
      <c r="AY132">
        <f>SUMIF('Как есть'!$A$17:$A$25,Доп.расчеты!$A132,'Как есть'!AZ$17:AZ$25)</f>
        <v>0</v>
      </c>
      <c r="AZ132">
        <f>SUMIF('Как есть'!$A$17:$A$25,Доп.расчеты!$A132,'Как есть'!BA$17:BA$25)</f>
        <v>0</v>
      </c>
      <c r="BA132">
        <f>SUMIF('Как есть'!$A$17:$A$25,Доп.расчеты!$A132,'Как есть'!BB$17:BB$25)</f>
        <v>0</v>
      </c>
      <c r="BB132">
        <f>SUMIF('Как есть'!$A$17:$A$25,Доп.расчеты!$A132,'Как есть'!BC$17:BC$25)</f>
        <v>0</v>
      </c>
      <c r="BC132">
        <f>SUMIF('Как есть'!$A$17:$A$25,Доп.расчеты!$A132,'Как есть'!BD$17:BD$25)</f>
        <v>0</v>
      </c>
      <c r="BD132">
        <f>SUMIF('Как есть'!$A$17:$A$25,Доп.расчеты!$A132,'Как есть'!BE$17:BE$25)</f>
        <v>0</v>
      </c>
      <c r="BE132">
        <f>SUMIF('Как есть'!$A$17:$A$25,Доп.расчеты!$A132,'Как есть'!BF$17:BF$25)</f>
        <v>0</v>
      </c>
      <c r="BF132">
        <f>SUMIF('Как есть'!$A$17:$A$25,Доп.расчеты!$A132,'Как есть'!BG$17:BG$25)</f>
        <v>0</v>
      </c>
      <c r="BG132">
        <f>SUMIF('Как есть'!$A$17:$A$25,Доп.расчеты!$A132,'Как есть'!BH$17:BH$25)</f>
        <v>0</v>
      </c>
      <c r="BH132">
        <f>SUMIF('Как есть'!$A$17:$A$25,Доп.расчеты!$A132,'Как есть'!BI$17:BI$25)</f>
        <v>0</v>
      </c>
      <c r="BI132">
        <f>SUMIF('Как есть'!$A$17:$A$25,Доп.расчеты!$A132,'Как есть'!BJ$17:BJ$25)</f>
        <v>0</v>
      </c>
      <c r="BJ132">
        <f>SUMIF('Как есть'!$A$17:$A$25,Доп.расчеты!$A132,'Как есть'!BK$17:BK$25)</f>
        <v>0</v>
      </c>
      <c r="BK132">
        <f>SUMIF('Как есть'!$A$17:$A$25,Доп.расчеты!$A132,'Как есть'!BL$17:BL$25)</f>
        <v>0</v>
      </c>
      <c r="BL132">
        <f>SUMIF('Как есть'!$A$17:$A$25,Доп.расчеты!$A132,'Как есть'!BM$17:BM$25)</f>
        <v>0</v>
      </c>
      <c r="BM132">
        <f>SUMIF('Как есть'!$A$17:$A$25,Доп.расчеты!$A132,'Как есть'!BN$17:BN$25)</f>
        <v>0</v>
      </c>
      <c r="BN132">
        <f>SUMIF('Как есть'!$A$17:$A$25,Доп.расчеты!$A132,'Как есть'!BO$17:BO$25)</f>
        <v>0</v>
      </c>
      <c r="BO132">
        <f>SUMIF('Как есть'!$A$17:$A$25,Доп.расчеты!$A132,'Как есть'!BP$17:BP$25)</f>
        <v>0</v>
      </c>
      <c r="BP132">
        <f>SUMIF('Как есть'!$A$17:$A$25,Доп.расчеты!$A132,'Как есть'!BQ$17:BQ$25)</f>
        <v>0</v>
      </c>
      <c r="BQ132">
        <f>SUMIF('Как есть'!$A$17:$A$25,Доп.расчеты!$A132,'Как есть'!BR$17:BR$25)</f>
        <v>0</v>
      </c>
      <c r="BR132">
        <f>SUMIF('Как есть'!$A$17:$A$25,Доп.расчеты!$A132,'Как есть'!BS$17:BS$25)</f>
        <v>0</v>
      </c>
      <c r="BS132">
        <f>SUMIF('Как есть'!$A$17:$A$25,Доп.расчеты!$A132,'Как есть'!BT$17:BT$25)</f>
        <v>0</v>
      </c>
      <c r="BT132">
        <f>SUMIF('Как есть'!$A$17:$A$25,Доп.расчеты!$A132,'Как есть'!BU$17:BU$25)</f>
        <v>0</v>
      </c>
      <c r="BU132">
        <f>SUMIF('Как есть'!$A$17:$A$25,Доп.расчеты!$A132,'Как есть'!BV$17:BV$25)</f>
        <v>0</v>
      </c>
      <c r="BV132">
        <f>SUMIF('Как есть'!$A$17:$A$25,Доп.расчеты!$A132,'Как есть'!BW$17:BW$25)</f>
        <v>0</v>
      </c>
      <c r="BW132">
        <f>SUMIF('Как есть'!$A$17:$A$25,Доп.расчеты!$A132,'Как есть'!BX$17:BX$25)</f>
        <v>0</v>
      </c>
      <c r="BX132">
        <f>SUMIF('Как есть'!$A$17:$A$25,Доп.расчеты!$A132,'Как есть'!BY$17:BY$25)</f>
        <v>0</v>
      </c>
      <c r="BY132">
        <f>SUMIF('Как есть'!$A$17:$A$25,Доп.расчеты!$A132,'Как есть'!BZ$17:BZ$25)</f>
        <v>0</v>
      </c>
      <c r="BZ132">
        <f>SUMIF('Как есть'!$A$17:$A$25,Доп.расчеты!$A132,'Как есть'!CA$17:CA$25)</f>
        <v>0</v>
      </c>
      <c r="CA132">
        <f>SUMIF('Как есть'!$A$17:$A$25,Доп.расчеты!$A132,'Как есть'!CB$17:CB$25)</f>
        <v>0</v>
      </c>
      <c r="CB132">
        <f>SUMIF('Как есть'!$A$17:$A$25,Доп.расчеты!$A132,'Как есть'!CC$17:CC$25)</f>
        <v>0</v>
      </c>
      <c r="CC132">
        <f>SUMIF('Как есть'!$A$17:$A$25,Доп.расчеты!$A132,'Как есть'!CD$17:CD$25)</f>
        <v>0</v>
      </c>
      <c r="CD132">
        <f>SUMIF('Как есть'!$A$17:$A$25,Доп.расчеты!$A132,'Как есть'!CE$17:CE$25)</f>
        <v>0</v>
      </c>
      <c r="CE132">
        <f>SUMIF('Как есть'!$A$17:$A$25,Доп.расчеты!$A132,'Как есть'!CF$17:CF$25)</f>
        <v>0</v>
      </c>
      <c r="CF132">
        <f>SUMIF('Как есть'!$A$17:$A$25,Доп.расчеты!$A132,'Как есть'!CG$17:CG$25)</f>
        <v>0</v>
      </c>
      <c r="CG132">
        <f>SUMIF('Как есть'!$A$17:$A$25,Доп.расчеты!$A132,'Как есть'!CH$17:CH$25)</f>
        <v>0</v>
      </c>
      <c r="CH132">
        <f>SUMIF('Как есть'!$A$17:$A$25,Доп.расчеты!$A132,'Как есть'!CI$17:CI$25)</f>
        <v>0</v>
      </c>
      <c r="CI132">
        <f>SUMIF('Как есть'!$A$17:$A$25,Доп.расчеты!$A132,'Как есть'!CJ$17:CJ$25)</f>
        <v>0</v>
      </c>
      <c r="CJ132">
        <f>SUMIF('Как есть'!$A$17:$A$25,Доп.расчеты!$A132,'Как есть'!CK$17:CK$25)</f>
        <v>0</v>
      </c>
      <c r="CK132">
        <f>SUMIF('Как есть'!$A$17:$A$25,Доп.расчеты!$A132,'Как есть'!CL$17:CL$25)</f>
        <v>0</v>
      </c>
      <c r="CL132">
        <f>SUMIF('Как есть'!$A$17:$A$25,Доп.расчеты!$A132,'Как есть'!CM$17:CM$25)</f>
        <v>0</v>
      </c>
      <c r="CM132">
        <f>SUMIF('Как есть'!$A$17:$A$25,Доп.расчеты!$A132,'Как есть'!CN$17:CN$25)</f>
        <v>0</v>
      </c>
      <c r="CN132">
        <f>SUMIF('Как есть'!$A$17:$A$25,Доп.расчеты!$A132,'Как есть'!CO$17:CO$25)</f>
        <v>0</v>
      </c>
      <c r="CO132">
        <f>SUMIF('Как есть'!$A$17:$A$25,Доп.расчеты!$A132,'Как есть'!CP$17:CP$25)</f>
        <v>0</v>
      </c>
      <c r="CP132">
        <f>SUMIF('Как есть'!$A$17:$A$25,Доп.расчеты!$A132,'Как есть'!CQ$17:CQ$25)</f>
        <v>0</v>
      </c>
      <c r="CQ132">
        <f>SUMIF('Как есть'!$A$17:$A$25,Доп.расчеты!$A132,'Как есть'!CR$17:CR$25)</f>
        <v>0</v>
      </c>
      <c r="CR132">
        <f>SUMIF('Как есть'!$A$17:$A$25,Доп.расчеты!$A132,'Как есть'!CS$17:CS$25)</f>
        <v>0</v>
      </c>
      <c r="CS132">
        <f>SUMIF('Как есть'!$A$17:$A$25,Доп.расчеты!$A132,'Как есть'!CT$17:CT$25)</f>
        <v>0</v>
      </c>
      <c r="CT132">
        <f>SUMIF('Как есть'!$A$17:$A$25,Доп.расчеты!$A132,'Как есть'!CU$17:CU$25)</f>
        <v>0</v>
      </c>
      <c r="CU132">
        <f>SUMIF('Как есть'!$A$17:$A$25,Доп.расчеты!$A132,'Как есть'!CV$17:CV$25)</f>
        <v>0</v>
      </c>
      <c r="CV132">
        <f>SUMIF('Как есть'!$A$17:$A$25,Доп.расчеты!$A132,'Как есть'!CW$17:CW$25)</f>
        <v>0</v>
      </c>
      <c r="CW132">
        <f>SUMIF('Как есть'!$A$17:$A$25,Доп.расчеты!$A132,'Как есть'!CX$17:CX$25)</f>
        <v>0</v>
      </c>
      <c r="CX132">
        <f>SUMIF('Как есть'!$A$17:$A$25,Доп.расчеты!$A132,'Как есть'!CY$17:CY$25)</f>
        <v>0</v>
      </c>
      <c r="CY132">
        <f>SUMIF('Как есть'!$A$17:$A$25,Доп.расчеты!$A132,'Как есть'!CZ$17:CZ$25)</f>
        <v>0</v>
      </c>
      <c r="CZ132">
        <f>SUMIF('Как есть'!$A$17:$A$25,Доп.расчеты!$A132,'Как есть'!DA$17:DA$25)</f>
        <v>0</v>
      </c>
      <c r="DA132">
        <f>SUMIF('Как есть'!$A$17:$A$25,Доп.расчеты!$A132,'Как есть'!DB$17:DB$25)</f>
        <v>0</v>
      </c>
      <c r="DB132">
        <f>SUMIF('Как есть'!$A$17:$A$25,Доп.расчеты!$A132,'Как есть'!DC$17:DC$25)</f>
        <v>0</v>
      </c>
      <c r="DC132">
        <f>SUMIF('Как есть'!$A$17:$A$25,Доп.расчеты!$A132,'Как есть'!DD$17:DD$25)</f>
        <v>0</v>
      </c>
      <c r="DD132">
        <f>SUMIF('Как есть'!$A$17:$A$25,Доп.расчеты!$A132,'Как есть'!DE$17:DE$25)</f>
        <v>0</v>
      </c>
      <c r="DE132">
        <f>SUMIF('Как есть'!$A$17:$A$25,Доп.расчеты!$A132,'Как есть'!DF$17:DF$25)</f>
        <v>0</v>
      </c>
      <c r="DF132">
        <f>SUMIF('Как есть'!$A$17:$A$25,Доп.расчеты!$A132,'Как есть'!DG$17:DG$25)</f>
        <v>0</v>
      </c>
      <c r="DG132">
        <f>SUMIF('Как есть'!$A$17:$A$25,Доп.расчеты!$A132,'Как есть'!DH$17:DH$25)</f>
        <v>0</v>
      </c>
      <c r="DH132">
        <f>SUMIF('Как есть'!$A$17:$A$25,Доп.расчеты!$A132,'Как есть'!DI$17:DI$25)</f>
        <v>0</v>
      </c>
      <c r="DI132">
        <f>SUMIF('Как есть'!$A$17:$A$25,Доп.расчеты!$A132,'Как есть'!DJ$17:DJ$25)</f>
        <v>0</v>
      </c>
      <c r="DJ132">
        <f>SUMIF('Как есть'!$A$17:$A$25,Доп.расчеты!$A132,'Как есть'!DK$17:DK$25)</f>
        <v>0</v>
      </c>
      <c r="DK132">
        <f>SUMIF('Как есть'!$A$17:$A$25,Доп.расчеты!$A132,'Как есть'!DL$17:DL$25)</f>
        <v>0</v>
      </c>
      <c r="DL132">
        <f>SUMIF('Как есть'!$A$17:$A$25,Доп.расчеты!$A132,'Как есть'!DM$17:DM$25)</f>
        <v>0</v>
      </c>
      <c r="DM132">
        <f>SUMIF('Как есть'!$A$17:$A$25,Доп.расчеты!$A132,'Как есть'!DN$17:DN$25)</f>
        <v>0</v>
      </c>
      <c r="DN132">
        <f>SUMIF('Как есть'!$A$17:$A$25,Доп.расчеты!$A132,'Как есть'!DO$17:DO$25)</f>
        <v>0</v>
      </c>
      <c r="DO132">
        <f>SUMIF('Как есть'!$A$17:$A$25,Доп.расчеты!$A132,'Как есть'!DP$17:DP$25)</f>
        <v>0</v>
      </c>
      <c r="DP132">
        <f>SUMIF('Как есть'!$A$17:$A$25,Доп.расчеты!$A132,'Как есть'!DQ$17:DQ$25)</f>
        <v>0</v>
      </c>
      <c r="DQ132">
        <f>SUMIF('Как есть'!$A$17:$A$25,Доп.расчеты!$A132,'Как есть'!DR$17:DR$25)</f>
        <v>0</v>
      </c>
      <c r="DR132">
        <f>SUMIF('Как есть'!$A$17:$A$25,Доп.расчеты!$A132,'Как есть'!DS$17:DS$25)</f>
        <v>0</v>
      </c>
      <c r="DS132">
        <f>SUMIF('Как есть'!$A$17:$A$25,Доп.расчеты!$A132,'Как есть'!DT$17:DT$25)</f>
        <v>0</v>
      </c>
      <c r="DT132">
        <f>SUMIF('Как есть'!$A$17:$A$25,Доп.расчеты!$A132,'Как есть'!DU$17:DU$25)</f>
        <v>0</v>
      </c>
      <c r="DU132">
        <f>SUMIF('Как есть'!$A$17:$A$25,Доп.расчеты!$A132,'Как есть'!DV$17:DV$25)</f>
        <v>0</v>
      </c>
      <c r="DV132">
        <f>SUMIF('Как есть'!$A$17:$A$25,Доп.расчеты!$A132,'Как есть'!DW$17:DW$25)</f>
        <v>0</v>
      </c>
      <c r="DW132">
        <f>SUMIF('Как есть'!$A$17:$A$25,Доп.расчеты!$A132,'Как есть'!DX$17:DX$25)</f>
        <v>0</v>
      </c>
      <c r="DX132">
        <f>SUMIF('Как есть'!$A$17:$A$25,Доп.расчеты!$A132,'Как есть'!DY$17:DY$25)</f>
        <v>0</v>
      </c>
      <c r="DY132">
        <f>SUMIF('Как есть'!$A$17:$A$25,Доп.расчеты!$A132,'Как есть'!DZ$17:DZ$25)</f>
        <v>0</v>
      </c>
      <c r="DZ132">
        <f>SUMIF('Как есть'!$A$17:$A$25,Доп.расчеты!$A132,'Как есть'!EA$17:EA$25)</f>
        <v>0</v>
      </c>
      <c r="EA132">
        <f>SUMIF('Как есть'!$A$17:$A$25,Доп.расчеты!$A132,'Как есть'!EB$17:EB$25)</f>
        <v>0</v>
      </c>
      <c r="EB132">
        <f>SUMIF('Как есть'!$A$17:$A$25,Доп.расчеты!$A132,'Как есть'!EC$17:EC$25)</f>
        <v>0</v>
      </c>
      <c r="EC132">
        <f>SUMIF('Как есть'!$A$17:$A$25,Доп.расчеты!$A132,'Как есть'!ED$17:ED$25)</f>
        <v>0</v>
      </c>
      <c r="ED132">
        <f>SUMIF('Как есть'!$A$17:$A$25,Доп.расчеты!$A132,'Как есть'!EE$17:EE$25)</f>
        <v>0</v>
      </c>
      <c r="EE132">
        <f>SUMIF('Как есть'!$A$17:$A$25,Доп.расчеты!$A132,'Как есть'!EF$17:EF$25)</f>
        <v>0</v>
      </c>
      <c r="EF132">
        <f>SUMIF('Как есть'!$A$17:$A$25,Доп.расчеты!$A132,'Как есть'!EG$17:EG$25)</f>
        <v>0</v>
      </c>
      <c r="EG132">
        <f>SUMIF('Как есть'!$A$17:$A$25,Доп.расчеты!$A132,'Как есть'!EH$17:EH$25)</f>
        <v>0</v>
      </c>
      <c r="EH132">
        <f>SUMIF('Как есть'!$A$17:$A$25,Доп.расчеты!$A132,'Как есть'!EI$17:EI$25)</f>
        <v>0</v>
      </c>
      <c r="EI132">
        <f>SUMIF('Как есть'!$A$17:$A$25,Доп.расчеты!$A132,'Как есть'!EJ$17:EJ$25)</f>
        <v>0</v>
      </c>
      <c r="EJ132">
        <f>SUMIF('Как есть'!$A$17:$A$25,Доп.расчеты!$A132,'Как есть'!EK$17:EK$25)</f>
        <v>0</v>
      </c>
      <c r="EK132">
        <f>SUMIF('Как есть'!$A$17:$A$25,Доп.расчеты!$A132,'Как есть'!EL$17:EL$25)</f>
        <v>0</v>
      </c>
      <c r="EL132">
        <f>SUMIF('Как есть'!$A$17:$A$25,Доп.расчеты!$A132,'Как есть'!EM$17:EM$25)</f>
        <v>0</v>
      </c>
      <c r="EM132">
        <f>SUMIF('Как есть'!$A$17:$A$25,Доп.расчеты!$A132,'Как есть'!EN$17:EN$25)</f>
        <v>0</v>
      </c>
      <c r="EN132">
        <f>SUMIF('Как есть'!$A$17:$A$25,Доп.расчеты!$A132,'Как есть'!EO$17:EO$25)</f>
        <v>0</v>
      </c>
      <c r="EO132">
        <f>SUMIF('Как есть'!$A$17:$A$25,Доп.расчеты!$A132,'Как есть'!EP$17:EP$25)</f>
        <v>0</v>
      </c>
      <c r="EP132">
        <f>SUMIF('Как есть'!$A$17:$A$25,Доп.расчеты!$A132,'Как есть'!EQ$17:EQ$25)</f>
        <v>0</v>
      </c>
      <c r="EQ132">
        <f>SUMIF('Как есть'!$A$17:$A$25,Доп.расчеты!$A132,'Как есть'!ER$17:ER$25)</f>
        <v>0</v>
      </c>
      <c r="ER132">
        <f>SUMIF('Как есть'!$A$17:$A$25,Доп.расчеты!$A132,'Как есть'!ES$17:ES$25)</f>
        <v>0</v>
      </c>
      <c r="ES132">
        <f>SUMIF('Как есть'!$A$17:$A$25,Доп.расчеты!$A132,'Как есть'!ET$17:ET$25)</f>
        <v>0</v>
      </c>
      <c r="ET132">
        <f>SUMIF('Как есть'!$A$17:$A$25,Доп.расчеты!$A132,'Как есть'!EU$17:EU$25)</f>
        <v>0</v>
      </c>
      <c r="EU132">
        <f>SUMIF('Как есть'!$A$17:$A$25,Доп.расчеты!$A132,'Как есть'!EV$17:EV$25)</f>
        <v>0</v>
      </c>
      <c r="EV132">
        <f>SUMIF('Как есть'!$A$17:$A$25,Доп.расчеты!$A132,'Как есть'!EW$17:EW$25)</f>
        <v>0</v>
      </c>
      <c r="EW132">
        <f>SUMIF('Как есть'!$A$17:$A$25,Доп.расчеты!$A132,'Как есть'!EX$17:EX$25)</f>
        <v>0</v>
      </c>
      <c r="EX132">
        <f>SUMIF('Как есть'!$A$17:$A$25,Доп.расчеты!$A132,'Как есть'!EY$17:EY$25)</f>
        <v>0</v>
      </c>
      <c r="EY132">
        <f>SUMIF('Как есть'!$A$17:$A$25,Доп.расчеты!$A132,'Как есть'!EZ$17:EZ$25)</f>
        <v>0</v>
      </c>
      <c r="EZ132">
        <f>SUMIF('Как есть'!$A$17:$A$25,Доп.расчеты!$A132,'Как есть'!FA$17:FA$25)</f>
        <v>0</v>
      </c>
      <c r="FA132">
        <f>SUMIF('Как есть'!$A$17:$A$25,Доп.расчеты!$A132,'Как есть'!FB$17:FB$25)</f>
        <v>0</v>
      </c>
      <c r="FB132">
        <f>SUMIF('Как есть'!$A$17:$A$25,Доп.расчеты!$A132,'Как есть'!FC$17:FC$25)</f>
        <v>0</v>
      </c>
      <c r="FC132">
        <f>SUMIF('Как есть'!$A$17:$A$25,Доп.расчеты!$A132,'Как есть'!FD$17:FD$25)</f>
        <v>0</v>
      </c>
      <c r="FD132">
        <f>SUMIF('Как есть'!$A$17:$A$25,Доп.расчеты!$A132,'Как есть'!FE$17:FE$25)</f>
        <v>0</v>
      </c>
      <c r="FE132">
        <f>SUMIF('Как есть'!$A$17:$A$25,Доп.расчеты!$A132,'Как есть'!FF$17:FF$25)</f>
        <v>0</v>
      </c>
      <c r="FF132">
        <f>SUMIF('Как есть'!$A$17:$A$25,Доп.расчеты!$A132,'Как есть'!FG$17:FG$25)</f>
        <v>0</v>
      </c>
      <c r="FG132">
        <f>SUMIF('Как есть'!$A$17:$A$25,Доп.расчеты!$A132,'Как есть'!FH$17:FH$25)</f>
        <v>0</v>
      </c>
      <c r="FH132">
        <f>SUMIF('Как есть'!$A$17:$A$25,Доп.расчеты!$A132,'Как есть'!FI$17:FI$25)</f>
        <v>0</v>
      </c>
      <c r="FI132">
        <f>SUMIF('Как есть'!$A$17:$A$25,Доп.расчеты!$A132,'Как есть'!FJ$17:FJ$25)</f>
        <v>0</v>
      </c>
      <c r="FJ132">
        <f>SUMIF('Как есть'!$A$17:$A$25,Доп.расчеты!$A132,'Как есть'!FK$17:FK$25)</f>
        <v>0</v>
      </c>
      <c r="FK132">
        <f>SUMIF('Как есть'!$A$17:$A$25,Доп.расчеты!$A132,'Как есть'!FL$17:FL$25)</f>
        <v>0</v>
      </c>
      <c r="FL132">
        <f>SUMIF('Как есть'!$A$17:$A$25,Доп.расчеты!$A132,'Как есть'!FM$17:FM$25)</f>
        <v>0</v>
      </c>
      <c r="FM132">
        <f>SUMIF('Как есть'!$A$17:$A$25,Доп.расчеты!$A132,'Как есть'!FN$17:FN$25)</f>
        <v>0</v>
      </c>
      <c r="FN132">
        <f>SUMIF('Как есть'!$A$17:$A$25,Доп.расчеты!$A132,'Как есть'!FO$17:FO$25)</f>
        <v>0</v>
      </c>
      <c r="FO132">
        <f>SUMIF('Как есть'!$A$17:$A$25,Доп.расчеты!$A132,'Как есть'!FP$17:FP$25)</f>
        <v>0</v>
      </c>
      <c r="FP132">
        <f>SUMIF('Как есть'!$A$17:$A$25,Доп.расчеты!$A132,'Как есть'!FQ$17:FQ$25)</f>
        <v>0</v>
      </c>
      <c r="FQ132">
        <f>SUMIF('Как есть'!$A$17:$A$25,Доп.расчеты!$A132,'Как есть'!FR$17:FR$25)</f>
        <v>0</v>
      </c>
      <c r="FR132">
        <f>SUMIF('Как есть'!$A$17:$A$25,Доп.расчеты!$A132,'Как есть'!FS$17:FS$25)</f>
        <v>0</v>
      </c>
      <c r="FS132">
        <f>SUMIF('Как есть'!$A$17:$A$25,Доп.расчеты!$A132,'Как есть'!FT$17:FT$25)</f>
        <v>0</v>
      </c>
      <c r="FT132">
        <f>SUMIF('Как есть'!$A$17:$A$25,Доп.расчеты!$A132,'Как есть'!FU$17:FU$25)</f>
        <v>0</v>
      </c>
      <c r="FU132">
        <f>SUMIF('Как есть'!$A$17:$A$25,Доп.расчеты!$A132,'Как есть'!FV$17:FV$25)</f>
        <v>0</v>
      </c>
      <c r="FV132">
        <f>SUMIF('Как есть'!$A$17:$A$25,Доп.расчеты!$A132,'Как есть'!FW$17:FW$25)</f>
        <v>0</v>
      </c>
      <c r="FW132">
        <f>SUMIF('Как есть'!$A$17:$A$25,Доп.расчеты!$A132,'Как есть'!FX$17:FX$25)</f>
        <v>0</v>
      </c>
      <c r="FX132">
        <f>SUMIF('Как есть'!$A$17:$A$25,Доп.расчеты!$A132,'Как есть'!FY$17:FY$25)</f>
        <v>0</v>
      </c>
      <c r="FY132">
        <f>SUMIF('Как есть'!$A$17:$A$25,Доп.расчеты!$A132,'Как есть'!FZ$17:FZ$25)</f>
        <v>0</v>
      </c>
      <c r="FZ132">
        <f>SUMIF('Как есть'!$A$17:$A$25,Доп.расчеты!$A132,'Как есть'!GA$17:GA$25)</f>
        <v>0</v>
      </c>
      <c r="GA132">
        <f>SUMIF('Как есть'!$A$17:$A$25,Доп.расчеты!$A132,'Как есть'!GB$17:GB$25)</f>
        <v>0</v>
      </c>
      <c r="GB132">
        <f>SUMIF('Как есть'!$A$17:$A$25,Доп.расчеты!$A132,'Как есть'!GC$17:GC$25)</f>
        <v>0</v>
      </c>
      <c r="GC132">
        <f>SUMIF('Как есть'!$A$17:$A$25,Доп.расчеты!$A132,'Как есть'!GD$17:GD$25)</f>
        <v>0</v>
      </c>
      <c r="GD132">
        <f>SUMIF('Как есть'!$A$17:$A$25,Доп.расчеты!$A132,'Как есть'!GE$17:GE$25)</f>
        <v>0</v>
      </c>
      <c r="GE132">
        <f>SUMIF('Как есть'!$A$17:$A$25,Доп.расчеты!$A132,'Как есть'!GF$17:GF$25)</f>
        <v>0</v>
      </c>
      <c r="GF132">
        <f>SUMIF('Как есть'!$A$17:$A$25,Доп.расчеты!$A132,'Как есть'!GG$17:GG$25)</f>
        <v>0</v>
      </c>
      <c r="GG132">
        <f>SUMIF('Как есть'!$A$17:$A$25,Доп.расчеты!$A132,'Как есть'!GH$17:GH$25)</f>
        <v>0</v>
      </c>
      <c r="GH132">
        <f>SUMIF('Как есть'!$A$17:$A$25,Доп.расчеты!$A132,'Как есть'!GI$17:GI$25)</f>
        <v>0</v>
      </c>
      <c r="GI132">
        <f>SUMIF('Как есть'!$A$17:$A$25,Доп.расчеты!$A132,'Как есть'!GJ$17:GJ$25)</f>
        <v>0</v>
      </c>
      <c r="GJ132">
        <f>SUMIF('Как есть'!$A$17:$A$25,Доп.расчеты!$A132,'Как есть'!GK$17:GK$25)</f>
        <v>0</v>
      </c>
      <c r="GK132">
        <f>SUMIF('Как есть'!$A$17:$A$25,Доп.расчеты!$A132,'Как есть'!GL$17:GL$25)</f>
        <v>0</v>
      </c>
      <c r="GL132">
        <f>SUMIF('Как есть'!$A$17:$A$25,Доп.расчеты!$A132,'Как есть'!GM$17:GM$25)</f>
        <v>0</v>
      </c>
      <c r="GM132">
        <f>SUMIF('Как есть'!$A$17:$A$25,Доп.расчеты!$A132,'Как есть'!GN$17:GN$25)</f>
        <v>0</v>
      </c>
      <c r="GN132">
        <f>SUMIF('Как есть'!$A$17:$A$25,Доп.расчеты!$A132,'Как есть'!GO$17:GO$25)</f>
        <v>0</v>
      </c>
      <c r="GO132">
        <f>SUMIF('Как есть'!$A$17:$A$25,Доп.расчеты!$A132,'Как есть'!GP$17:GP$25)</f>
        <v>0</v>
      </c>
      <c r="GP132">
        <f>SUMIF('Как есть'!$A$17:$A$25,Доп.расчеты!$A132,'Как есть'!GQ$17:GQ$25)</f>
        <v>0</v>
      </c>
      <c r="GQ132">
        <f>SUMIF('Как есть'!$A$17:$A$25,Доп.расчеты!$A132,'Как есть'!GR$17:GR$25)</f>
        <v>0</v>
      </c>
      <c r="GR132">
        <f>SUMIF('Как есть'!$A$17:$A$25,Доп.расчеты!$A132,'Как есть'!GS$17:GS$25)</f>
        <v>0</v>
      </c>
      <c r="GS132">
        <f>SUMIF('Как есть'!$A$17:$A$25,Доп.расчеты!$A132,'Как есть'!GT$17:GT$25)</f>
        <v>0</v>
      </c>
      <c r="GT132">
        <f>SUMIF('Как есть'!$A$17:$A$25,Доп.расчеты!$A132,'Как есть'!GU$17:GU$25)</f>
        <v>0</v>
      </c>
    </row>
    <row r="133" spans="1:202" hidden="1" outlineLevel="1">
      <c r="A133" s="238" t="s">
        <v>111</v>
      </c>
      <c r="B133">
        <f>SUMIF('Как есть'!$A$17:$A$25,Доп.расчеты!$A133,'Как есть'!C$17:C$25)</f>
        <v>0</v>
      </c>
      <c r="C133">
        <f>SUMIF('Как есть'!$A$17:$A$25,Доп.расчеты!$A133,'Как есть'!D$17:D$25)</f>
        <v>0</v>
      </c>
      <c r="D133">
        <f>SUMIF('Как есть'!$A$17:$A$25,Доп.расчеты!$A133,'Как есть'!E$17:E$25)</f>
        <v>0</v>
      </c>
      <c r="E133">
        <f>SUMIF('Как есть'!$A$17:$A$25,Доп.расчеты!$A133,'Как есть'!F$17:F$25)</f>
        <v>0</v>
      </c>
      <c r="F133">
        <f>SUMIF('Как есть'!$A$17:$A$25,Доп.расчеты!$A133,'Как есть'!G$17:G$25)</f>
        <v>0</v>
      </c>
      <c r="G133">
        <f>SUMIF('Как есть'!$A$17:$A$25,Доп.расчеты!$A133,'Как есть'!H$17:H$25)</f>
        <v>0</v>
      </c>
      <c r="H133">
        <f>SUMIF('Как есть'!$A$17:$A$25,Доп.расчеты!$A133,'Как есть'!I$17:I$25)</f>
        <v>0</v>
      </c>
      <c r="I133">
        <f>SUMIF('Как есть'!$A$17:$A$25,Доп.расчеты!$A133,'Как есть'!J$17:J$25)</f>
        <v>0</v>
      </c>
      <c r="J133">
        <f>SUMIF('Как есть'!$A$17:$A$25,Доп.расчеты!$A133,'Как есть'!K$17:K$25)</f>
        <v>0</v>
      </c>
      <c r="K133">
        <f>SUMIF('Как есть'!$A$17:$A$25,Доп.расчеты!$A133,'Как есть'!L$17:L$25)</f>
        <v>0</v>
      </c>
      <c r="L133">
        <f>SUMIF('Как есть'!$A$17:$A$25,Доп.расчеты!$A133,'Как есть'!M$17:M$25)</f>
        <v>0</v>
      </c>
      <c r="M133">
        <f>SUMIF('Как есть'!$A$17:$A$25,Доп.расчеты!$A133,'Как есть'!N$17:N$25)</f>
        <v>0</v>
      </c>
      <c r="N133">
        <f>SUMIF('Как есть'!$A$17:$A$25,Доп.расчеты!$A133,'Как есть'!O$17:O$25)</f>
        <v>0</v>
      </c>
      <c r="O133">
        <f>SUMIF('Как есть'!$A$17:$A$25,Доп.расчеты!$A133,'Как есть'!P$17:P$25)</f>
        <v>0</v>
      </c>
      <c r="P133">
        <f>SUMIF('Как есть'!$A$17:$A$25,Доп.расчеты!$A133,'Как есть'!Q$17:Q$25)</f>
        <v>0</v>
      </c>
      <c r="Q133">
        <f>SUMIF('Как есть'!$A$17:$A$25,Доп.расчеты!$A133,'Как есть'!R$17:R$25)</f>
        <v>0</v>
      </c>
      <c r="R133">
        <f>SUMIF('Как есть'!$A$17:$A$25,Доп.расчеты!$A133,'Как есть'!S$17:S$25)</f>
        <v>0</v>
      </c>
      <c r="S133">
        <f>SUMIF('Как есть'!$A$17:$A$25,Доп.расчеты!$A133,'Как есть'!T$17:T$25)</f>
        <v>0</v>
      </c>
      <c r="T133">
        <f>SUMIF('Как есть'!$A$17:$A$25,Доп.расчеты!$A133,'Как есть'!U$17:U$25)</f>
        <v>0</v>
      </c>
      <c r="U133">
        <f>SUMIF('Как есть'!$A$17:$A$25,Доп.расчеты!$A133,'Как есть'!V$17:V$25)</f>
        <v>0</v>
      </c>
      <c r="V133">
        <f>SUMIF('Как есть'!$A$17:$A$25,Доп.расчеты!$A133,'Как есть'!W$17:W$25)</f>
        <v>0</v>
      </c>
      <c r="W133">
        <f>SUMIF('Как есть'!$A$17:$A$25,Доп.расчеты!$A133,'Как есть'!X$17:X$25)</f>
        <v>0</v>
      </c>
      <c r="X133">
        <f>SUMIF('Как есть'!$A$17:$A$25,Доп.расчеты!$A133,'Как есть'!Y$17:Y$25)</f>
        <v>0</v>
      </c>
      <c r="Y133">
        <f>SUMIF('Как есть'!$A$17:$A$25,Доп.расчеты!$A133,'Как есть'!Z$17:Z$25)</f>
        <v>0</v>
      </c>
      <c r="Z133">
        <f>SUMIF('Как есть'!$A$17:$A$25,Доп.расчеты!$A133,'Как есть'!AA$17:AA$25)</f>
        <v>0</v>
      </c>
      <c r="AA133">
        <f>SUMIF('Как есть'!$A$17:$A$25,Доп.расчеты!$A133,'Как есть'!AB$17:AB$25)</f>
        <v>0</v>
      </c>
      <c r="AB133">
        <f>SUMIF('Как есть'!$A$17:$A$25,Доп.расчеты!$A133,'Как есть'!AC$17:AC$25)</f>
        <v>0</v>
      </c>
      <c r="AC133">
        <f>SUMIF('Как есть'!$A$17:$A$25,Доп.расчеты!$A133,'Как есть'!AD$17:AD$25)</f>
        <v>0</v>
      </c>
      <c r="AD133">
        <f>SUMIF('Как есть'!$A$17:$A$25,Доп.расчеты!$A133,'Как есть'!AE$17:AE$25)</f>
        <v>0</v>
      </c>
      <c r="AE133">
        <f>SUMIF('Как есть'!$A$17:$A$25,Доп.расчеты!$A133,'Как есть'!AF$17:AF$25)</f>
        <v>0</v>
      </c>
      <c r="AF133">
        <f>SUMIF('Как есть'!$A$17:$A$25,Доп.расчеты!$A133,'Как есть'!AG$17:AG$25)</f>
        <v>0</v>
      </c>
      <c r="AG133">
        <f>SUMIF('Как есть'!$A$17:$A$25,Доп.расчеты!$A133,'Как есть'!AH$17:AH$25)</f>
        <v>0</v>
      </c>
      <c r="AH133">
        <f>SUMIF('Как есть'!$A$17:$A$25,Доп.расчеты!$A133,'Как есть'!AI$17:AI$25)</f>
        <v>0</v>
      </c>
      <c r="AI133">
        <f>SUMIF('Как есть'!$A$17:$A$25,Доп.расчеты!$A133,'Как есть'!AJ$17:AJ$25)</f>
        <v>0</v>
      </c>
      <c r="AJ133">
        <f>SUMIF('Как есть'!$A$17:$A$25,Доп.расчеты!$A133,'Как есть'!AK$17:AK$25)</f>
        <v>0</v>
      </c>
      <c r="AK133">
        <f>SUMIF('Как есть'!$A$17:$A$25,Доп.расчеты!$A133,'Как есть'!AL$17:AL$25)</f>
        <v>0</v>
      </c>
      <c r="AL133">
        <f>SUMIF('Как есть'!$A$17:$A$25,Доп.расчеты!$A133,'Как есть'!AM$17:AM$25)</f>
        <v>0</v>
      </c>
      <c r="AM133">
        <f>SUMIF('Как есть'!$A$17:$A$25,Доп.расчеты!$A133,'Как есть'!AN$17:AN$25)</f>
        <v>0</v>
      </c>
      <c r="AN133">
        <f>SUMIF('Как есть'!$A$17:$A$25,Доп.расчеты!$A133,'Как есть'!AO$17:AO$25)</f>
        <v>0</v>
      </c>
      <c r="AO133">
        <f>SUMIF('Как есть'!$A$17:$A$25,Доп.расчеты!$A133,'Как есть'!AP$17:AP$25)</f>
        <v>0</v>
      </c>
      <c r="AP133">
        <f>SUMIF('Как есть'!$A$17:$A$25,Доп.расчеты!$A133,'Как есть'!AQ$17:AQ$25)</f>
        <v>0</v>
      </c>
      <c r="AQ133">
        <f>SUMIF('Как есть'!$A$17:$A$25,Доп.расчеты!$A133,'Как есть'!AR$17:AR$25)</f>
        <v>0</v>
      </c>
      <c r="AR133">
        <f>SUMIF('Как есть'!$A$17:$A$25,Доп.расчеты!$A133,'Как есть'!AS$17:AS$25)</f>
        <v>0</v>
      </c>
      <c r="AS133">
        <f>SUMIF('Как есть'!$A$17:$A$25,Доп.расчеты!$A133,'Как есть'!AT$17:AT$25)</f>
        <v>0</v>
      </c>
      <c r="AT133">
        <f>SUMIF('Как есть'!$A$17:$A$25,Доп.расчеты!$A133,'Как есть'!AU$17:AU$25)</f>
        <v>0</v>
      </c>
      <c r="AU133">
        <f>SUMIF('Как есть'!$A$17:$A$25,Доп.расчеты!$A133,'Как есть'!AV$17:AV$25)</f>
        <v>0</v>
      </c>
      <c r="AV133">
        <f>SUMIF('Как есть'!$A$17:$A$25,Доп.расчеты!$A133,'Как есть'!AW$17:AW$25)</f>
        <v>0</v>
      </c>
      <c r="AW133">
        <f>SUMIF('Как есть'!$A$17:$A$25,Доп.расчеты!$A133,'Как есть'!AX$17:AX$25)</f>
        <v>0</v>
      </c>
      <c r="AX133">
        <f>SUMIF('Как есть'!$A$17:$A$25,Доп.расчеты!$A133,'Как есть'!AY$17:AY$25)</f>
        <v>0</v>
      </c>
      <c r="AY133">
        <f>SUMIF('Как есть'!$A$17:$A$25,Доп.расчеты!$A133,'Как есть'!AZ$17:AZ$25)</f>
        <v>0</v>
      </c>
      <c r="AZ133">
        <f>SUMIF('Как есть'!$A$17:$A$25,Доп.расчеты!$A133,'Как есть'!BA$17:BA$25)</f>
        <v>0</v>
      </c>
      <c r="BA133">
        <f>SUMIF('Как есть'!$A$17:$A$25,Доп.расчеты!$A133,'Как есть'!BB$17:BB$25)</f>
        <v>0</v>
      </c>
      <c r="BB133">
        <f>SUMIF('Как есть'!$A$17:$A$25,Доп.расчеты!$A133,'Как есть'!BC$17:BC$25)</f>
        <v>0</v>
      </c>
      <c r="BC133">
        <f>SUMIF('Как есть'!$A$17:$A$25,Доп.расчеты!$A133,'Как есть'!BD$17:BD$25)</f>
        <v>0</v>
      </c>
      <c r="BD133">
        <f>SUMIF('Как есть'!$A$17:$A$25,Доп.расчеты!$A133,'Как есть'!BE$17:BE$25)</f>
        <v>0</v>
      </c>
      <c r="BE133">
        <f>SUMIF('Как есть'!$A$17:$A$25,Доп.расчеты!$A133,'Как есть'!BF$17:BF$25)</f>
        <v>0</v>
      </c>
      <c r="BF133">
        <f>SUMIF('Как есть'!$A$17:$A$25,Доп.расчеты!$A133,'Как есть'!BG$17:BG$25)</f>
        <v>0</v>
      </c>
      <c r="BG133">
        <f>SUMIF('Как есть'!$A$17:$A$25,Доп.расчеты!$A133,'Как есть'!BH$17:BH$25)</f>
        <v>0</v>
      </c>
      <c r="BH133">
        <f>SUMIF('Как есть'!$A$17:$A$25,Доп.расчеты!$A133,'Как есть'!BI$17:BI$25)</f>
        <v>0</v>
      </c>
      <c r="BI133">
        <f>SUMIF('Как есть'!$A$17:$A$25,Доп.расчеты!$A133,'Как есть'!BJ$17:BJ$25)</f>
        <v>0</v>
      </c>
      <c r="BJ133">
        <f>SUMIF('Как есть'!$A$17:$A$25,Доп.расчеты!$A133,'Как есть'!BK$17:BK$25)</f>
        <v>0</v>
      </c>
      <c r="BK133">
        <f>SUMIF('Как есть'!$A$17:$A$25,Доп.расчеты!$A133,'Как есть'!BL$17:BL$25)</f>
        <v>0</v>
      </c>
      <c r="BL133">
        <f>SUMIF('Как есть'!$A$17:$A$25,Доп.расчеты!$A133,'Как есть'!BM$17:BM$25)</f>
        <v>0</v>
      </c>
      <c r="BM133">
        <f>SUMIF('Как есть'!$A$17:$A$25,Доп.расчеты!$A133,'Как есть'!BN$17:BN$25)</f>
        <v>0</v>
      </c>
      <c r="BN133">
        <f>SUMIF('Как есть'!$A$17:$A$25,Доп.расчеты!$A133,'Как есть'!BO$17:BO$25)</f>
        <v>0</v>
      </c>
      <c r="BO133">
        <f>SUMIF('Как есть'!$A$17:$A$25,Доп.расчеты!$A133,'Как есть'!BP$17:BP$25)</f>
        <v>0</v>
      </c>
      <c r="BP133">
        <f>SUMIF('Как есть'!$A$17:$A$25,Доп.расчеты!$A133,'Как есть'!BQ$17:BQ$25)</f>
        <v>0</v>
      </c>
      <c r="BQ133">
        <f>SUMIF('Как есть'!$A$17:$A$25,Доп.расчеты!$A133,'Как есть'!BR$17:BR$25)</f>
        <v>0</v>
      </c>
      <c r="BR133">
        <f>SUMIF('Как есть'!$A$17:$A$25,Доп.расчеты!$A133,'Как есть'!BS$17:BS$25)</f>
        <v>0</v>
      </c>
      <c r="BS133">
        <f>SUMIF('Как есть'!$A$17:$A$25,Доп.расчеты!$A133,'Как есть'!BT$17:BT$25)</f>
        <v>0</v>
      </c>
      <c r="BT133">
        <f>SUMIF('Как есть'!$A$17:$A$25,Доп.расчеты!$A133,'Как есть'!BU$17:BU$25)</f>
        <v>0</v>
      </c>
      <c r="BU133">
        <f>SUMIF('Как есть'!$A$17:$A$25,Доп.расчеты!$A133,'Как есть'!BV$17:BV$25)</f>
        <v>0</v>
      </c>
      <c r="BV133">
        <f>SUMIF('Как есть'!$A$17:$A$25,Доп.расчеты!$A133,'Как есть'!BW$17:BW$25)</f>
        <v>0</v>
      </c>
      <c r="BW133">
        <f>SUMIF('Как есть'!$A$17:$A$25,Доп.расчеты!$A133,'Как есть'!BX$17:BX$25)</f>
        <v>0</v>
      </c>
      <c r="BX133">
        <f>SUMIF('Как есть'!$A$17:$A$25,Доп.расчеты!$A133,'Как есть'!BY$17:BY$25)</f>
        <v>0</v>
      </c>
      <c r="BY133">
        <f>SUMIF('Как есть'!$A$17:$A$25,Доп.расчеты!$A133,'Как есть'!BZ$17:BZ$25)</f>
        <v>0</v>
      </c>
      <c r="BZ133">
        <f>SUMIF('Как есть'!$A$17:$A$25,Доп.расчеты!$A133,'Как есть'!CA$17:CA$25)</f>
        <v>0</v>
      </c>
      <c r="CA133">
        <f>SUMIF('Как есть'!$A$17:$A$25,Доп.расчеты!$A133,'Как есть'!CB$17:CB$25)</f>
        <v>0</v>
      </c>
      <c r="CB133">
        <f>SUMIF('Как есть'!$A$17:$A$25,Доп.расчеты!$A133,'Как есть'!CC$17:CC$25)</f>
        <v>0</v>
      </c>
      <c r="CC133">
        <f>SUMIF('Как есть'!$A$17:$A$25,Доп.расчеты!$A133,'Как есть'!CD$17:CD$25)</f>
        <v>0</v>
      </c>
      <c r="CD133">
        <f>SUMIF('Как есть'!$A$17:$A$25,Доп.расчеты!$A133,'Как есть'!CE$17:CE$25)</f>
        <v>0</v>
      </c>
      <c r="CE133">
        <f>SUMIF('Как есть'!$A$17:$A$25,Доп.расчеты!$A133,'Как есть'!CF$17:CF$25)</f>
        <v>0</v>
      </c>
      <c r="CF133">
        <f>SUMIF('Как есть'!$A$17:$A$25,Доп.расчеты!$A133,'Как есть'!CG$17:CG$25)</f>
        <v>0</v>
      </c>
      <c r="CG133">
        <f>SUMIF('Как есть'!$A$17:$A$25,Доп.расчеты!$A133,'Как есть'!CH$17:CH$25)</f>
        <v>0</v>
      </c>
      <c r="CH133">
        <f>SUMIF('Как есть'!$A$17:$A$25,Доп.расчеты!$A133,'Как есть'!CI$17:CI$25)</f>
        <v>0</v>
      </c>
      <c r="CI133">
        <f>SUMIF('Как есть'!$A$17:$A$25,Доп.расчеты!$A133,'Как есть'!CJ$17:CJ$25)</f>
        <v>0</v>
      </c>
      <c r="CJ133">
        <f>SUMIF('Как есть'!$A$17:$A$25,Доп.расчеты!$A133,'Как есть'!CK$17:CK$25)</f>
        <v>0</v>
      </c>
      <c r="CK133">
        <f>SUMIF('Как есть'!$A$17:$A$25,Доп.расчеты!$A133,'Как есть'!CL$17:CL$25)</f>
        <v>0</v>
      </c>
      <c r="CL133">
        <f>SUMIF('Как есть'!$A$17:$A$25,Доп.расчеты!$A133,'Как есть'!CM$17:CM$25)</f>
        <v>0</v>
      </c>
      <c r="CM133">
        <f>SUMIF('Как есть'!$A$17:$A$25,Доп.расчеты!$A133,'Как есть'!CN$17:CN$25)</f>
        <v>0</v>
      </c>
      <c r="CN133">
        <f>SUMIF('Как есть'!$A$17:$A$25,Доп.расчеты!$A133,'Как есть'!CO$17:CO$25)</f>
        <v>0</v>
      </c>
      <c r="CO133">
        <f>SUMIF('Как есть'!$A$17:$A$25,Доп.расчеты!$A133,'Как есть'!CP$17:CP$25)</f>
        <v>0</v>
      </c>
      <c r="CP133">
        <f>SUMIF('Как есть'!$A$17:$A$25,Доп.расчеты!$A133,'Как есть'!CQ$17:CQ$25)</f>
        <v>0</v>
      </c>
      <c r="CQ133">
        <f>SUMIF('Как есть'!$A$17:$A$25,Доп.расчеты!$A133,'Как есть'!CR$17:CR$25)</f>
        <v>0</v>
      </c>
      <c r="CR133">
        <f>SUMIF('Как есть'!$A$17:$A$25,Доп.расчеты!$A133,'Как есть'!CS$17:CS$25)</f>
        <v>0</v>
      </c>
      <c r="CS133">
        <f>SUMIF('Как есть'!$A$17:$A$25,Доп.расчеты!$A133,'Как есть'!CT$17:CT$25)</f>
        <v>0</v>
      </c>
      <c r="CT133">
        <f>SUMIF('Как есть'!$A$17:$A$25,Доп.расчеты!$A133,'Как есть'!CU$17:CU$25)</f>
        <v>0</v>
      </c>
      <c r="CU133">
        <f>SUMIF('Как есть'!$A$17:$A$25,Доп.расчеты!$A133,'Как есть'!CV$17:CV$25)</f>
        <v>0</v>
      </c>
      <c r="CV133">
        <f>SUMIF('Как есть'!$A$17:$A$25,Доп.расчеты!$A133,'Как есть'!CW$17:CW$25)</f>
        <v>0</v>
      </c>
      <c r="CW133">
        <f>SUMIF('Как есть'!$A$17:$A$25,Доп.расчеты!$A133,'Как есть'!CX$17:CX$25)</f>
        <v>0</v>
      </c>
      <c r="CX133">
        <f>SUMIF('Как есть'!$A$17:$A$25,Доп.расчеты!$A133,'Как есть'!CY$17:CY$25)</f>
        <v>0</v>
      </c>
      <c r="CY133">
        <f>SUMIF('Как есть'!$A$17:$A$25,Доп.расчеты!$A133,'Как есть'!CZ$17:CZ$25)</f>
        <v>0</v>
      </c>
      <c r="CZ133">
        <f>SUMIF('Как есть'!$A$17:$A$25,Доп.расчеты!$A133,'Как есть'!DA$17:DA$25)</f>
        <v>0</v>
      </c>
      <c r="DA133">
        <f>SUMIF('Как есть'!$A$17:$A$25,Доп.расчеты!$A133,'Как есть'!DB$17:DB$25)</f>
        <v>0</v>
      </c>
      <c r="DB133">
        <f>SUMIF('Как есть'!$A$17:$A$25,Доп.расчеты!$A133,'Как есть'!DC$17:DC$25)</f>
        <v>0</v>
      </c>
      <c r="DC133">
        <f>SUMIF('Как есть'!$A$17:$A$25,Доп.расчеты!$A133,'Как есть'!DD$17:DD$25)</f>
        <v>0</v>
      </c>
      <c r="DD133">
        <f>SUMIF('Как есть'!$A$17:$A$25,Доп.расчеты!$A133,'Как есть'!DE$17:DE$25)</f>
        <v>0</v>
      </c>
      <c r="DE133">
        <f>SUMIF('Как есть'!$A$17:$A$25,Доп.расчеты!$A133,'Как есть'!DF$17:DF$25)</f>
        <v>0</v>
      </c>
      <c r="DF133">
        <f>SUMIF('Как есть'!$A$17:$A$25,Доп.расчеты!$A133,'Как есть'!DG$17:DG$25)</f>
        <v>0</v>
      </c>
      <c r="DG133">
        <f>SUMIF('Как есть'!$A$17:$A$25,Доп.расчеты!$A133,'Как есть'!DH$17:DH$25)</f>
        <v>0</v>
      </c>
      <c r="DH133">
        <f>SUMIF('Как есть'!$A$17:$A$25,Доп.расчеты!$A133,'Как есть'!DI$17:DI$25)</f>
        <v>0</v>
      </c>
      <c r="DI133">
        <f>SUMIF('Как есть'!$A$17:$A$25,Доп.расчеты!$A133,'Как есть'!DJ$17:DJ$25)</f>
        <v>0</v>
      </c>
      <c r="DJ133">
        <f>SUMIF('Как есть'!$A$17:$A$25,Доп.расчеты!$A133,'Как есть'!DK$17:DK$25)</f>
        <v>0</v>
      </c>
      <c r="DK133">
        <f>SUMIF('Как есть'!$A$17:$A$25,Доп.расчеты!$A133,'Как есть'!DL$17:DL$25)</f>
        <v>0</v>
      </c>
      <c r="DL133">
        <f>SUMIF('Как есть'!$A$17:$A$25,Доп.расчеты!$A133,'Как есть'!DM$17:DM$25)</f>
        <v>0</v>
      </c>
      <c r="DM133">
        <f>SUMIF('Как есть'!$A$17:$A$25,Доп.расчеты!$A133,'Как есть'!DN$17:DN$25)</f>
        <v>0</v>
      </c>
      <c r="DN133">
        <f>SUMIF('Как есть'!$A$17:$A$25,Доп.расчеты!$A133,'Как есть'!DO$17:DO$25)</f>
        <v>0</v>
      </c>
      <c r="DO133">
        <f>SUMIF('Как есть'!$A$17:$A$25,Доп.расчеты!$A133,'Как есть'!DP$17:DP$25)</f>
        <v>0</v>
      </c>
      <c r="DP133">
        <f>SUMIF('Как есть'!$A$17:$A$25,Доп.расчеты!$A133,'Как есть'!DQ$17:DQ$25)</f>
        <v>0</v>
      </c>
      <c r="DQ133">
        <f>SUMIF('Как есть'!$A$17:$A$25,Доп.расчеты!$A133,'Как есть'!DR$17:DR$25)</f>
        <v>0</v>
      </c>
      <c r="DR133">
        <f>SUMIF('Как есть'!$A$17:$A$25,Доп.расчеты!$A133,'Как есть'!DS$17:DS$25)</f>
        <v>0</v>
      </c>
      <c r="DS133">
        <f>SUMIF('Как есть'!$A$17:$A$25,Доп.расчеты!$A133,'Как есть'!DT$17:DT$25)</f>
        <v>0</v>
      </c>
      <c r="DT133">
        <f>SUMIF('Как есть'!$A$17:$A$25,Доп.расчеты!$A133,'Как есть'!DU$17:DU$25)</f>
        <v>0</v>
      </c>
      <c r="DU133">
        <f>SUMIF('Как есть'!$A$17:$A$25,Доп.расчеты!$A133,'Как есть'!DV$17:DV$25)</f>
        <v>0</v>
      </c>
      <c r="DV133">
        <f>SUMIF('Как есть'!$A$17:$A$25,Доп.расчеты!$A133,'Как есть'!DW$17:DW$25)</f>
        <v>0</v>
      </c>
      <c r="DW133">
        <f>SUMIF('Как есть'!$A$17:$A$25,Доп.расчеты!$A133,'Как есть'!DX$17:DX$25)</f>
        <v>0</v>
      </c>
      <c r="DX133">
        <f>SUMIF('Как есть'!$A$17:$A$25,Доп.расчеты!$A133,'Как есть'!DY$17:DY$25)</f>
        <v>0</v>
      </c>
      <c r="DY133">
        <f>SUMIF('Как есть'!$A$17:$A$25,Доп.расчеты!$A133,'Как есть'!DZ$17:DZ$25)</f>
        <v>0</v>
      </c>
      <c r="DZ133">
        <f>SUMIF('Как есть'!$A$17:$A$25,Доп.расчеты!$A133,'Как есть'!EA$17:EA$25)</f>
        <v>0</v>
      </c>
      <c r="EA133">
        <f>SUMIF('Как есть'!$A$17:$A$25,Доп.расчеты!$A133,'Как есть'!EB$17:EB$25)</f>
        <v>0</v>
      </c>
      <c r="EB133">
        <f>SUMIF('Как есть'!$A$17:$A$25,Доп.расчеты!$A133,'Как есть'!EC$17:EC$25)</f>
        <v>0</v>
      </c>
      <c r="EC133">
        <f>SUMIF('Как есть'!$A$17:$A$25,Доп.расчеты!$A133,'Как есть'!ED$17:ED$25)</f>
        <v>0</v>
      </c>
      <c r="ED133">
        <f>SUMIF('Как есть'!$A$17:$A$25,Доп.расчеты!$A133,'Как есть'!EE$17:EE$25)</f>
        <v>0</v>
      </c>
      <c r="EE133">
        <f>SUMIF('Как есть'!$A$17:$A$25,Доп.расчеты!$A133,'Как есть'!EF$17:EF$25)</f>
        <v>0</v>
      </c>
      <c r="EF133">
        <f>SUMIF('Как есть'!$A$17:$A$25,Доп.расчеты!$A133,'Как есть'!EG$17:EG$25)</f>
        <v>0</v>
      </c>
      <c r="EG133">
        <f>SUMIF('Как есть'!$A$17:$A$25,Доп.расчеты!$A133,'Как есть'!EH$17:EH$25)</f>
        <v>0</v>
      </c>
      <c r="EH133">
        <f>SUMIF('Как есть'!$A$17:$A$25,Доп.расчеты!$A133,'Как есть'!EI$17:EI$25)</f>
        <v>0</v>
      </c>
      <c r="EI133">
        <f>SUMIF('Как есть'!$A$17:$A$25,Доп.расчеты!$A133,'Как есть'!EJ$17:EJ$25)</f>
        <v>0</v>
      </c>
      <c r="EJ133">
        <f>SUMIF('Как есть'!$A$17:$A$25,Доп.расчеты!$A133,'Как есть'!EK$17:EK$25)</f>
        <v>0</v>
      </c>
      <c r="EK133">
        <f>SUMIF('Как есть'!$A$17:$A$25,Доп.расчеты!$A133,'Как есть'!EL$17:EL$25)</f>
        <v>0</v>
      </c>
      <c r="EL133">
        <f>SUMIF('Как есть'!$A$17:$A$25,Доп.расчеты!$A133,'Как есть'!EM$17:EM$25)</f>
        <v>0</v>
      </c>
      <c r="EM133">
        <f>SUMIF('Как есть'!$A$17:$A$25,Доп.расчеты!$A133,'Как есть'!EN$17:EN$25)</f>
        <v>0</v>
      </c>
      <c r="EN133">
        <f>SUMIF('Как есть'!$A$17:$A$25,Доп.расчеты!$A133,'Как есть'!EO$17:EO$25)</f>
        <v>0</v>
      </c>
      <c r="EO133">
        <f>SUMIF('Как есть'!$A$17:$A$25,Доп.расчеты!$A133,'Как есть'!EP$17:EP$25)</f>
        <v>0</v>
      </c>
      <c r="EP133">
        <f>SUMIF('Как есть'!$A$17:$A$25,Доп.расчеты!$A133,'Как есть'!EQ$17:EQ$25)</f>
        <v>0</v>
      </c>
      <c r="EQ133">
        <f>SUMIF('Как есть'!$A$17:$A$25,Доп.расчеты!$A133,'Как есть'!ER$17:ER$25)</f>
        <v>0</v>
      </c>
      <c r="ER133">
        <f>SUMIF('Как есть'!$A$17:$A$25,Доп.расчеты!$A133,'Как есть'!ES$17:ES$25)</f>
        <v>0</v>
      </c>
      <c r="ES133">
        <f>SUMIF('Как есть'!$A$17:$A$25,Доп.расчеты!$A133,'Как есть'!ET$17:ET$25)</f>
        <v>0</v>
      </c>
      <c r="ET133">
        <f>SUMIF('Как есть'!$A$17:$A$25,Доп.расчеты!$A133,'Как есть'!EU$17:EU$25)</f>
        <v>0</v>
      </c>
      <c r="EU133">
        <f>SUMIF('Как есть'!$A$17:$A$25,Доп.расчеты!$A133,'Как есть'!EV$17:EV$25)</f>
        <v>0</v>
      </c>
      <c r="EV133">
        <f>SUMIF('Как есть'!$A$17:$A$25,Доп.расчеты!$A133,'Как есть'!EW$17:EW$25)</f>
        <v>0</v>
      </c>
      <c r="EW133">
        <f>SUMIF('Как есть'!$A$17:$A$25,Доп.расчеты!$A133,'Как есть'!EX$17:EX$25)</f>
        <v>0</v>
      </c>
      <c r="EX133">
        <f>SUMIF('Как есть'!$A$17:$A$25,Доп.расчеты!$A133,'Как есть'!EY$17:EY$25)</f>
        <v>0</v>
      </c>
      <c r="EY133">
        <f>SUMIF('Как есть'!$A$17:$A$25,Доп.расчеты!$A133,'Как есть'!EZ$17:EZ$25)</f>
        <v>0</v>
      </c>
      <c r="EZ133">
        <f>SUMIF('Как есть'!$A$17:$A$25,Доп.расчеты!$A133,'Как есть'!FA$17:FA$25)</f>
        <v>0</v>
      </c>
      <c r="FA133">
        <f>SUMIF('Как есть'!$A$17:$A$25,Доп.расчеты!$A133,'Как есть'!FB$17:FB$25)</f>
        <v>0</v>
      </c>
      <c r="FB133">
        <f>SUMIF('Как есть'!$A$17:$A$25,Доп.расчеты!$A133,'Как есть'!FC$17:FC$25)</f>
        <v>0</v>
      </c>
      <c r="FC133">
        <f>SUMIF('Как есть'!$A$17:$A$25,Доп.расчеты!$A133,'Как есть'!FD$17:FD$25)</f>
        <v>0</v>
      </c>
      <c r="FD133">
        <f>SUMIF('Как есть'!$A$17:$A$25,Доп.расчеты!$A133,'Как есть'!FE$17:FE$25)</f>
        <v>0</v>
      </c>
      <c r="FE133">
        <f>SUMIF('Как есть'!$A$17:$A$25,Доп.расчеты!$A133,'Как есть'!FF$17:FF$25)</f>
        <v>0</v>
      </c>
      <c r="FF133">
        <f>SUMIF('Как есть'!$A$17:$A$25,Доп.расчеты!$A133,'Как есть'!FG$17:FG$25)</f>
        <v>0</v>
      </c>
      <c r="FG133">
        <f>SUMIF('Как есть'!$A$17:$A$25,Доп.расчеты!$A133,'Как есть'!FH$17:FH$25)</f>
        <v>0</v>
      </c>
      <c r="FH133">
        <f>SUMIF('Как есть'!$A$17:$A$25,Доп.расчеты!$A133,'Как есть'!FI$17:FI$25)</f>
        <v>0</v>
      </c>
      <c r="FI133">
        <f>SUMIF('Как есть'!$A$17:$A$25,Доп.расчеты!$A133,'Как есть'!FJ$17:FJ$25)</f>
        <v>0</v>
      </c>
      <c r="FJ133">
        <f>SUMIF('Как есть'!$A$17:$A$25,Доп.расчеты!$A133,'Как есть'!FK$17:FK$25)</f>
        <v>0</v>
      </c>
      <c r="FK133">
        <f>SUMIF('Как есть'!$A$17:$A$25,Доп.расчеты!$A133,'Как есть'!FL$17:FL$25)</f>
        <v>0</v>
      </c>
      <c r="FL133">
        <f>SUMIF('Как есть'!$A$17:$A$25,Доп.расчеты!$A133,'Как есть'!FM$17:FM$25)</f>
        <v>0</v>
      </c>
      <c r="FM133">
        <f>SUMIF('Как есть'!$A$17:$A$25,Доп.расчеты!$A133,'Как есть'!FN$17:FN$25)</f>
        <v>0</v>
      </c>
      <c r="FN133">
        <f>SUMIF('Как есть'!$A$17:$A$25,Доп.расчеты!$A133,'Как есть'!FO$17:FO$25)</f>
        <v>0</v>
      </c>
      <c r="FO133">
        <f>SUMIF('Как есть'!$A$17:$A$25,Доп.расчеты!$A133,'Как есть'!FP$17:FP$25)</f>
        <v>0</v>
      </c>
      <c r="FP133">
        <f>SUMIF('Как есть'!$A$17:$A$25,Доп.расчеты!$A133,'Как есть'!FQ$17:FQ$25)</f>
        <v>0</v>
      </c>
      <c r="FQ133">
        <f>SUMIF('Как есть'!$A$17:$A$25,Доп.расчеты!$A133,'Как есть'!FR$17:FR$25)</f>
        <v>0</v>
      </c>
      <c r="FR133">
        <f>SUMIF('Как есть'!$A$17:$A$25,Доп.расчеты!$A133,'Как есть'!FS$17:FS$25)</f>
        <v>0</v>
      </c>
      <c r="FS133">
        <f>SUMIF('Как есть'!$A$17:$A$25,Доп.расчеты!$A133,'Как есть'!FT$17:FT$25)</f>
        <v>0</v>
      </c>
      <c r="FT133">
        <f>SUMIF('Как есть'!$A$17:$A$25,Доп.расчеты!$A133,'Как есть'!FU$17:FU$25)</f>
        <v>0</v>
      </c>
      <c r="FU133">
        <f>SUMIF('Как есть'!$A$17:$A$25,Доп.расчеты!$A133,'Как есть'!FV$17:FV$25)</f>
        <v>0</v>
      </c>
      <c r="FV133">
        <f>SUMIF('Как есть'!$A$17:$A$25,Доп.расчеты!$A133,'Как есть'!FW$17:FW$25)</f>
        <v>0</v>
      </c>
      <c r="FW133">
        <f>SUMIF('Как есть'!$A$17:$A$25,Доп.расчеты!$A133,'Как есть'!FX$17:FX$25)</f>
        <v>0</v>
      </c>
      <c r="FX133">
        <f>SUMIF('Как есть'!$A$17:$A$25,Доп.расчеты!$A133,'Как есть'!FY$17:FY$25)</f>
        <v>0</v>
      </c>
      <c r="FY133">
        <f>SUMIF('Как есть'!$A$17:$A$25,Доп.расчеты!$A133,'Как есть'!FZ$17:FZ$25)</f>
        <v>0</v>
      </c>
      <c r="FZ133">
        <f>SUMIF('Как есть'!$A$17:$A$25,Доп.расчеты!$A133,'Как есть'!GA$17:GA$25)</f>
        <v>0</v>
      </c>
      <c r="GA133">
        <f>SUMIF('Как есть'!$A$17:$A$25,Доп.расчеты!$A133,'Как есть'!GB$17:GB$25)</f>
        <v>0</v>
      </c>
      <c r="GB133">
        <f>SUMIF('Как есть'!$A$17:$A$25,Доп.расчеты!$A133,'Как есть'!GC$17:GC$25)</f>
        <v>0</v>
      </c>
      <c r="GC133">
        <f>SUMIF('Как есть'!$A$17:$A$25,Доп.расчеты!$A133,'Как есть'!GD$17:GD$25)</f>
        <v>0</v>
      </c>
      <c r="GD133">
        <f>SUMIF('Как есть'!$A$17:$A$25,Доп.расчеты!$A133,'Как есть'!GE$17:GE$25)</f>
        <v>0</v>
      </c>
      <c r="GE133">
        <f>SUMIF('Как есть'!$A$17:$A$25,Доп.расчеты!$A133,'Как есть'!GF$17:GF$25)</f>
        <v>0</v>
      </c>
      <c r="GF133">
        <f>SUMIF('Как есть'!$A$17:$A$25,Доп.расчеты!$A133,'Как есть'!GG$17:GG$25)</f>
        <v>0</v>
      </c>
      <c r="GG133">
        <f>SUMIF('Как есть'!$A$17:$A$25,Доп.расчеты!$A133,'Как есть'!GH$17:GH$25)</f>
        <v>0</v>
      </c>
      <c r="GH133">
        <f>SUMIF('Как есть'!$A$17:$A$25,Доп.расчеты!$A133,'Как есть'!GI$17:GI$25)</f>
        <v>0</v>
      </c>
      <c r="GI133">
        <f>SUMIF('Как есть'!$A$17:$A$25,Доп.расчеты!$A133,'Как есть'!GJ$17:GJ$25)</f>
        <v>0</v>
      </c>
      <c r="GJ133">
        <f>SUMIF('Как есть'!$A$17:$A$25,Доп.расчеты!$A133,'Как есть'!GK$17:GK$25)</f>
        <v>0</v>
      </c>
      <c r="GK133">
        <f>SUMIF('Как есть'!$A$17:$A$25,Доп.расчеты!$A133,'Как есть'!GL$17:GL$25)</f>
        <v>0</v>
      </c>
      <c r="GL133">
        <f>SUMIF('Как есть'!$A$17:$A$25,Доп.расчеты!$A133,'Как есть'!GM$17:GM$25)</f>
        <v>0</v>
      </c>
      <c r="GM133">
        <f>SUMIF('Как есть'!$A$17:$A$25,Доп.расчеты!$A133,'Как есть'!GN$17:GN$25)</f>
        <v>0</v>
      </c>
      <c r="GN133">
        <f>SUMIF('Как есть'!$A$17:$A$25,Доп.расчеты!$A133,'Как есть'!GO$17:GO$25)</f>
        <v>0</v>
      </c>
      <c r="GO133">
        <f>SUMIF('Как есть'!$A$17:$A$25,Доп.расчеты!$A133,'Как есть'!GP$17:GP$25)</f>
        <v>0</v>
      </c>
      <c r="GP133">
        <f>SUMIF('Как есть'!$A$17:$A$25,Доп.расчеты!$A133,'Как есть'!GQ$17:GQ$25)</f>
        <v>0</v>
      </c>
      <c r="GQ133">
        <f>SUMIF('Как есть'!$A$17:$A$25,Доп.расчеты!$A133,'Как есть'!GR$17:GR$25)</f>
        <v>0</v>
      </c>
      <c r="GR133">
        <f>SUMIF('Как есть'!$A$17:$A$25,Доп.расчеты!$A133,'Как есть'!GS$17:GS$25)</f>
        <v>0</v>
      </c>
      <c r="GS133">
        <f>SUMIF('Как есть'!$A$17:$A$25,Доп.расчеты!$A133,'Как есть'!GT$17:GT$25)</f>
        <v>0</v>
      </c>
      <c r="GT133">
        <f>SUMIF('Как есть'!$A$17:$A$25,Доп.расчеты!$A133,'Как есть'!GU$17:GU$25)</f>
        <v>0</v>
      </c>
    </row>
    <row r="134" spans="1:202" hidden="1" outlineLevel="1">
      <c r="A134" s="57" t="s">
        <v>134</v>
      </c>
    </row>
    <row r="135" spans="1:202" hidden="1" outlineLevel="1">
      <c r="A135" s="238" t="s">
        <v>23</v>
      </c>
      <c r="B135">
        <f>SUMIF('Как есть'!$A$35:$A$42,Доп.расчеты!$A135,'Как есть'!C$35:C$42)</f>
        <v>0</v>
      </c>
      <c r="C135">
        <f>SUMIF('Как есть'!$A$35:$A$42,Доп.расчеты!$A135,'Как есть'!D$35:D$42)</f>
        <v>0</v>
      </c>
      <c r="D135">
        <f>SUMIF('Как есть'!$A$35:$A$42,Доп.расчеты!$A135,'Как есть'!E$35:E$42)</f>
        <v>0</v>
      </c>
      <c r="E135">
        <f>SUMIF('Как есть'!$A$35:$A$42,Доп.расчеты!$A135,'Как есть'!F$35:F$42)</f>
        <v>0</v>
      </c>
      <c r="F135">
        <f>SUMIF('Как есть'!$A$35:$A$42,Доп.расчеты!$A135,'Как есть'!G$35:G$42)</f>
        <v>0</v>
      </c>
      <c r="G135">
        <f>SUMIF('Как есть'!$A$35:$A$42,Доп.расчеты!$A135,'Как есть'!H$35:H$42)</f>
        <v>0</v>
      </c>
      <c r="H135">
        <f>SUMIF('Как есть'!$A$35:$A$42,Доп.расчеты!$A135,'Как есть'!I$35:I$42)</f>
        <v>0</v>
      </c>
      <c r="I135">
        <f>SUMIF('Как есть'!$A$35:$A$42,Доп.расчеты!$A135,'Как есть'!J$35:J$42)</f>
        <v>0</v>
      </c>
      <c r="J135">
        <f>SUMIF('Как есть'!$A$35:$A$42,Доп.расчеты!$A135,'Как есть'!K$35:K$42)</f>
        <v>0</v>
      </c>
      <c r="K135">
        <f>SUMIF('Как есть'!$A$35:$A$42,Доп.расчеты!$A135,'Как есть'!L$35:L$42)</f>
        <v>0</v>
      </c>
      <c r="L135">
        <f>SUMIF('Как есть'!$A$35:$A$42,Доп.расчеты!$A135,'Как есть'!M$35:M$42)</f>
        <v>0</v>
      </c>
      <c r="M135">
        <f>SUMIF('Как есть'!$A$35:$A$42,Доп.расчеты!$A135,'Как есть'!N$35:N$42)</f>
        <v>0</v>
      </c>
      <c r="N135">
        <f>SUMIF('Как есть'!$A$35:$A$42,Доп.расчеты!$A135,'Как есть'!O$35:O$42)</f>
        <v>0</v>
      </c>
      <c r="O135">
        <f>SUMIF('Как есть'!$A$35:$A$42,Доп.расчеты!$A135,'Как есть'!P$35:P$42)</f>
        <v>0</v>
      </c>
      <c r="P135">
        <f>SUMIF('Как есть'!$A$35:$A$42,Доп.расчеты!$A135,'Как есть'!Q$35:Q$42)</f>
        <v>0</v>
      </c>
      <c r="Q135">
        <f>SUMIF('Как есть'!$A$35:$A$42,Доп.расчеты!$A135,'Как есть'!R$35:R$42)</f>
        <v>0</v>
      </c>
      <c r="R135">
        <f>SUMIF('Как есть'!$A$35:$A$42,Доп.расчеты!$A135,'Как есть'!S$35:S$42)</f>
        <v>0</v>
      </c>
      <c r="S135">
        <f>SUMIF('Как есть'!$A$35:$A$42,Доп.расчеты!$A135,'Как есть'!T$35:T$42)</f>
        <v>0</v>
      </c>
      <c r="T135">
        <f>SUMIF('Как есть'!$A$35:$A$42,Доп.расчеты!$A135,'Как есть'!U$35:U$42)</f>
        <v>0</v>
      </c>
      <c r="U135">
        <f>SUMIF('Как есть'!$A$35:$A$42,Доп.расчеты!$A135,'Как есть'!V$35:V$42)</f>
        <v>0</v>
      </c>
      <c r="V135">
        <f>SUMIF('Как есть'!$A$35:$A$42,Доп.расчеты!$A135,'Как есть'!W$35:W$42)</f>
        <v>0</v>
      </c>
      <c r="W135">
        <f>SUMIF('Как есть'!$A$35:$A$42,Доп.расчеты!$A135,'Как есть'!X$35:X$42)</f>
        <v>0</v>
      </c>
      <c r="X135">
        <f>SUMIF('Как есть'!$A$35:$A$42,Доп.расчеты!$A135,'Как есть'!Y$35:Y$42)</f>
        <v>0</v>
      </c>
      <c r="Y135">
        <f>SUMIF('Как есть'!$A$35:$A$42,Доп.расчеты!$A135,'Как есть'!Z$35:Z$42)</f>
        <v>0</v>
      </c>
      <c r="Z135">
        <f>SUMIF('Как есть'!$A$35:$A$42,Доп.расчеты!$A135,'Как есть'!AA$35:AA$42)</f>
        <v>0</v>
      </c>
      <c r="AA135">
        <f>SUMIF('Как есть'!$A$35:$A$42,Доп.расчеты!$A135,'Как есть'!AB$35:AB$42)</f>
        <v>0</v>
      </c>
      <c r="AB135">
        <f>SUMIF('Как есть'!$A$35:$A$42,Доп.расчеты!$A135,'Как есть'!AC$35:AC$42)</f>
        <v>0</v>
      </c>
      <c r="AC135">
        <f>SUMIF('Как есть'!$A$35:$A$42,Доп.расчеты!$A135,'Как есть'!AD$35:AD$42)</f>
        <v>0</v>
      </c>
      <c r="AD135">
        <f>SUMIF('Как есть'!$A$35:$A$42,Доп.расчеты!$A135,'Как есть'!AE$35:AE$42)</f>
        <v>0</v>
      </c>
      <c r="AE135">
        <f>SUMIF('Как есть'!$A$35:$A$42,Доп.расчеты!$A135,'Как есть'!AF$35:AF$42)</f>
        <v>0</v>
      </c>
      <c r="AF135">
        <f>SUMIF('Как есть'!$A$35:$A$42,Доп.расчеты!$A135,'Как есть'!AG$35:AG$42)</f>
        <v>0</v>
      </c>
      <c r="AG135">
        <f>SUMIF('Как есть'!$A$35:$A$42,Доп.расчеты!$A135,'Как есть'!AH$35:AH$42)</f>
        <v>0</v>
      </c>
      <c r="AH135">
        <f>SUMIF('Как есть'!$A$35:$A$42,Доп.расчеты!$A135,'Как есть'!AI$35:AI$42)</f>
        <v>0</v>
      </c>
      <c r="AI135">
        <f>SUMIF('Как есть'!$A$35:$A$42,Доп.расчеты!$A135,'Как есть'!AJ$35:AJ$42)</f>
        <v>0</v>
      </c>
      <c r="AJ135">
        <f>SUMIF('Как есть'!$A$35:$A$42,Доп.расчеты!$A135,'Как есть'!AK$35:AK$42)</f>
        <v>0</v>
      </c>
      <c r="AK135">
        <f>SUMIF('Как есть'!$A$35:$A$42,Доп.расчеты!$A135,'Как есть'!AL$35:AL$42)</f>
        <v>0</v>
      </c>
      <c r="AL135">
        <f>SUMIF('Как есть'!$A$35:$A$42,Доп.расчеты!$A135,'Как есть'!AM$35:AM$42)</f>
        <v>0</v>
      </c>
      <c r="AM135">
        <f>SUMIF('Как есть'!$A$35:$A$42,Доп.расчеты!$A135,'Как есть'!AN$35:AN$42)</f>
        <v>0</v>
      </c>
      <c r="AN135">
        <f>SUMIF('Как есть'!$A$35:$A$42,Доп.расчеты!$A135,'Как есть'!AO$35:AO$42)</f>
        <v>0</v>
      </c>
      <c r="AO135">
        <f>SUMIF('Как есть'!$A$35:$A$42,Доп.расчеты!$A135,'Как есть'!AP$35:AP$42)</f>
        <v>0</v>
      </c>
      <c r="AP135">
        <f>SUMIF('Как есть'!$A$35:$A$42,Доп.расчеты!$A135,'Как есть'!AQ$35:AQ$42)</f>
        <v>0</v>
      </c>
      <c r="AQ135">
        <f>SUMIF('Как есть'!$A$35:$A$42,Доп.расчеты!$A135,'Как есть'!AR$35:AR$42)</f>
        <v>0</v>
      </c>
      <c r="AR135">
        <f>SUMIF('Как есть'!$A$35:$A$42,Доп.расчеты!$A135,'Как есть'!AS$35:AS$42)</f>
        <v>0</v>
      </c>
      <c r="AS135">
        <f>SUMIF('Как есть'!$A$35:$A$42,Доп.расчеты!$A135,'Как есть'!AT$35:AT$42)</f>
        <v>0</v>
      </c>
      <c r="AT135">
        <f>SUMIF('Как есть'!$A$35:$A$42,Доп.расчеты!$A135,'Как есть'!AU$35:AU$42)</f>
        <v>0</v>
      </c>
      <c r="AU135">
        <f>SUMIF('Как есть'!$A$35:$A$42,Доп.расчеты!$A135,'Как есть'!AV$35:AV$42)</f>
        <v>0</v>
      </c>
      <c r="AV135">
        <f>SUMIF('Как есть'!$A$35:$A$42,Доп.расчеты!$A135,'Как есть'!AW$35:AW$42)</f>
        <v>0</v>
      </c>
      <c r="AW135">
        <f>SUMIF('Как есть'!$A$35:$A$42,Доп.расчеты!$A135,'Как есть'!AX$35:AX$42)</f>
        <v>0</v>
      </c>
      <c r="AX135">
        <f>SUMIF('Как есть'!$A$35:$A$42,Доп.расчеты!$A135,'Как есть'!AY$35:AY$42)</f>
        <v>0</v>
      </c>
      <c r="AY135">
        <f>SUMIF('Как есть'!$A$35:$A$42,Доп.расчеты!$A135,'Как есть'!AZ$35:AZ$42)</f>
        <v>0</v>
      </c>
      <c r="AZ135">
        <f>SUMIF('Как есть'!$A$35:$A$42,Доп.расчеты!$A135,'Как есть'!BA$35:BA$42)</f>
        <v>0</v>
      </c>
      <c r="BA135">
        <f>SUMIF('Как есть'!$A$35:$A$42,Доп.расчеты!$A135,'Как есть'!BB$35:BB$42)</f>
        <v>0</v>
      </c>
      <c r="BB135">
        <f>SUMIF('Как есть'!$A$35:$A$42,Доп.расчеты!$A135,'Как есть'!BC$35:BC$42)</f>
        <v>0</v>
      </c>
      <c r="BC135">
        <f>SUMIF('Как есть'!$A$35:$A$42,Доп.расчеты!$A135,'Как есть'!BD$35:BD$42)</f>
        <v>0</v>
      </c>
      <c r="BD135">
        <f>SUMIF('Как есть'!$A$35:$A$42,Доп.расчеты!$A135,'Как есть'!BE$35:BE$42)</f>
        <v>0</v>
      </c>
      <c r="BE135">
        <f>SUMIF('Как есть'!$A$35:$A$42,Доп.расчеты!$A135,'Как есть'!BF$35:BF$42)</f>
        <v>0</v>
      </c>
      <c r="BF135">
        <f>SUMIF('Как есть'!$A$35:$A$42,Доп.расчеты!$A135,'Как есть'!BG$35:BG$42)</f>
        <v>0</v>
      </c>
      <c r="BG135">
        <f>SUMIF('Как есть'!$A$35:$A$42,Доп.расчеты!$A135,'Как есть'!BH$35:BH$42)</f>
        <v>0</v>
      </c>
      <c r="BH135">
        <f>SUMIF('Как есть'!$A$35:$A$42,Доп.расчеты!$A135,'Как есть'!BI$35:BI$42)</f>
        <v>0</v>
      </c>
      <c r="BI135">
        <f>SUMIF('Как есть'!$A$35:$A$42,Доп.расчеты!$A135,'Как есть'!BJ$35:BJ$42)</f>
        <v>0</v>
      </c>
      <c r="BJ135">
        <f>SUMIF('Как есть'!$A$35:$A$42,Доп.расчеты!$A135,'Как есть'!BK$35:BK$42)</f>
        <v>0</v>
      </c>
      <c r="BK135">
        <f>SUMIF('Как есть'!$A$35:$A$42,Доп.расчеты!$A135,'Как есть'!BL$35:BL$42)</f>
        <v>0</v>
      </c>
      <c r="BL135">
        <f>SUMIF('Как есть'!$A$35:$A$42,Доп.расчеты!$A135,'Как есть'!BM$35:BM$42)</f>
        <v>0</v>
      </c>
      <c r="BM135">
        <f>SUMIF('Как есть'!$A$35:$A$42,Доп.расчеты!$A135,'Как есть'!BN$35:BN$42)</f>
        <v>0</v>
      </c>
      <c r="BN135">
        <f>SUMIF('Как есть'!$A$35:$A$42,Доп.расчеты!$A135,'Как есть'!BO$35:BO$42)</f>
        <v>0</v>
      </c>
      <c r="BO135">
        <f>SUMIF('Как есть'!$A$35:$A$42,Доп.расчеты!$A135,'Как есть'!BP$35:BP$42)</f>
        <v>0</v>
      </c>
      <c r="BP135">
        <f>SUMIF('Как есть'!$A$35:$A$42,Доп.расчеты!$A135,'Как есть'!BQ$35:BQ$42)</f>
        <v>0</v>
      </c>
      <c r="BQ135">
        <f>SUMIF('Как есть'!$A$35:$A$42,Доп.расчеты!$A135,'Как есть'!BR$35:BR$42)</f>
        <v>0</v>
      </c>
      <c r="BR135">
        <f>SUMIF('Как есть'!$A$35:$A$42,Доп.расчеты!$A135,'Как есть'!BS$35:BS$42)</f>
        <v>0</v>
      </c>
      <c r="BS135">
        <f>SUMIF('Как есть'!$A$35:$A$42,Доп.расчеты!$A135,'Как есть'!BT$35:BT$42)</f>
        <v>0</v>
      </c>
      <c r="BT135">
        <f>SUMIF('Как есть'!$A$35:$A$42,Доп.расчеты!$A135,'Как есть'!BU$35:BU$42)</f>
        <v>0</v>
      </c>
      <c r="BU135">
        <f>SUMIF('Как есть'!$A$35:$A$42,Доп.расчеты!$A135,'Как есть'!BV$35:BV$42)</f>
        <v>0</v>
      </c>
      <c r="BV135">
        <f>SUMIF('Как есть'!$A$35:$A$42,Доп.расчеты!$A135,'Как есть'!BW$35:BW$42)</f>
        <v>0</v>
      </c>
      <c r="BW135">
        <f>SUMIF('Как есть'!$A$35:$A$42,Доп.расчеты!$A135,'Как есть'!BX$35:BX$42)</f>
        <v>0</v>
      </c>
      <c r="BX135">
        <f>SUMIF('Как есть'!$A$35:$A$42,Доп.расчеты!$A135,'Как есть'!BY$35:BY$42)</f>
        <v>0</v>
      </c>
      <c r="BY135">
        <f>SUMIF('Как есть'!$A$35:$A$42,Доп.расчеты!$A135,'Как есть'!BZ$35:BZ$42)</f>
        <v>0</v>
      </c>
      <c r="BZ135">
        <f>SUMIF('Как есть'!$A$35:$A$42,Доп.расчеты!$A135,'Как есть'!CA$35:CA$42)</f>
        <v>0</v>
      </c>
      <c r="CA135">
        <f>SUMIF('Как есть'!$A$35:$A$42,Доп.расчеты!$A135,'Как есть'!CB$35:CB$42)</f>
        <v>0</v>
      </c>
      <c r="CB135">
        <f>SUMIF('Как есть'!$A$35:$A$42,Доп.расчеты!$A135,'Как есть'!CC$35:CC$42)</f>
        <v>0</v>
      </c>
      <c r="CC135">
        <f>SUMIF('Как есть'!$A$35:$A$42,Доп.расчеты!$A135,'Как есть'!CD$35:CD$42)</f>
        <v>0</v>
      </c>
      <c r="CD135">
        <f>SUMIF('Как есть'!$A$35:$A$42,Доп.расчеты!$A135,'Как есть'!CE$35:CE$42)</f>
        <v>0</v>
      </c>
      <c r="CE135">
        <f>SUMIF('Как есть'!$A$35:$A$42,Доп.расчеты!$A135,'Как есть'!CF$35:CF$42)</f>
        <v>0</v>
      </c>
      <c r="CF135">
        <f>SUMIF('Как есть'!$A$35:$A$42,Доп.расчеты!$A135,'Как есть'!CG$35:CG$42)</f>
        <v>0</v>
      </c>
      <c r="CG135">
        <f>SUMIF('Как есть'!$A$35:$A$42,Доп.расчеты!$A135,'Как есть'!CH$35:CH$42)</f>
        <v>0</v>
      </c>
      <c r="CH135">
        <f>SUMIF('Как есть'!$A$35:$A$42,Доп.расчеты!$A135,'Как есть'!CI$35:CI$42)</f>
        <v>0</v>
      </c>
      <c r="CI135">
        <f>SUMIF('Как есть'!$A$35:$A$42,Доп.расчеты!$A135,'Как есть'!CJ$35:CJ$42)</f>
        <v>0</v>
      </c>
      <c r="CJ135">
        <f>SUMIF('Как есть'!$A$35:$A$42,Доп.расчеты!$A135,'Как есть'!CK$35:CK$42)</f>
        <v>0</v>
      </c>
      <c r="CK135">
        <f>SUMIF('Как есть'!$A$35:$A$42,Доп.расчеты!$A135,'Как есть'!CL$35:CL$42)</f>
        <v>0</v>
      </c>
      <c r="CL135">
        <f>SUMIF('Как есть'!$A$35:$A$42,Доп.расчеты!$A135,'Как есть'!CM$35:CM$42)</f>
        <v>0</v>
      </c>
      <c r="CM135">
        <f>SUMIF('Как есть'!$A$35:$A$42,Доп.расчеты!$A135,'Как есть'!CN$35:CN$42)</f>
        <v>0</v>
      </c>
      <c r="CN135">
        <f>SUMIF('Как есть'!$A$35:$A$42,Доп.расчеты!$A135,'Как есть'!CO$35:CO$42)</f>
        <v>0</v>
      </c>
      <c r="CO135">
        <f>SUMIF('Как есть'!$A$35:$A$42,Доп.расчеты!$A135,'Как есть'!CP$35:CP$42)</f>
        <v>0</v>
      </c>
      <c r="CP135">
        <f>SUMIF('Как есть'!$A$35:$A$42,Доп.расчеты!$A135,'Как есть'!CQ$35:CQ$42)</f>
        <v>0</v>
      </c>
      <c r="CQ135">
        <f>SUMIF('Как есть'!$A$35:$A$42,Доп.расчеты!$A135,'Как есть'!CR$35:CR$42)</f>
        <v>0</v>
      </c>
      <c r="CR135">
        <f>SUMIF('Как есть'!$A$35:$A$42,Доп.расчеты!$A135,'Как есть'!CS$35:CS$42)</f>
        <v>0</v>
      </c>
      <c r="CS135">
        <f>SUMIF('Как есть'!$A$35:$A$42,Доп.расчеты!$A135,'Как есть'!CT$35:CT$42)</f>
        <v>0</v>
      </c>
      <c r="CT135">
        <f>SUMIF('Как есть'!$A$35:$A$42,Доп.расчеты!$A135,'Как есть'!CU$35:CU$42)</f>
        <v>0</v>
      </c>
      <c r="CU135">
        <f>SUMIF('Как есть'!$A$35:$A$42,Доп.расчеты!$A135,'Как есть'!CV$35:CV$42)</f>
        <v>0</v>
      </c>
      <c r="CV135">
        <f>SUMIF('Как есть'!$A$35:$A$42,Доп.расчеты!$A135,'Как есть'!CW$35:CW$42)</f>
        <v>0</v>
      </c>
      <c r="CW135">
        <f>SUMIF('Как есть'!$A$35:$A$42,Доп.расчеты!$A135,'Как есть'!CX$35:CX$42)</f>
        <v>0</v>
      </c>
      <c r="CX135">
        <f>SUMIF('Как есть'!$A$35:$A$42,Доп.расчеты!$A135,'Как есть'!CY$35:CY$42)</f>
        <v>0</v>
      </c>
      <c r="CY135">
        <f>SUMIF('Как есть'!$A$35:$A$42,Доп.расчеты!$A135,'Как есть'!CZ$35:CZ$42)</f>
        <v>0</v>
      </c>
      <c r="CZ135">
        <f>SUMIF('Как есть'!$A$35:$A$42,Доп.расчеты!$A135,'Как есть'!DA$35:DA$42)</f>
        <v>0</v>
      </c>
      <c r="DA135">
        <f>SUMIF('Как есть'!$A$35:$A$42,Доп.расчеты!$A135,'Как есть'!DB$35:DB$42)</f>
        <v>0</v>
      </c>
      <c r="DB135">
        <f>SUMIF('Как есть'!$A$35:$A$42,Доп.расчеты!$A135,'Как есть'!DC$35:DC$42)</f>
        <v>0</v>
      </c>
      <c r="DC135">
        <f>SUMIF('Как есть'!$A$35:$A$42,Доп.расчеты!$A135,'Как есть'!DD$35:DD$42)</f>
        <v>0</v>
      </c>
      <c r="DD135">
        <f>SUMIF('Как есть'!$A$35:$A$42,Доп.расчеты!$A135,'Как есть'!DE$35:DE$42)</f>
        <v>0</v>
      </c>
      <c r="DE135">
        <f>SUMIF('Как есть'!$A$35:$A$42,Доп.расчеты!$A135,'Как есть'!DF$35:DF$42)</f>
        <v>0</v>
      </c>
      <c r="DF135">
        <f>SUMIF('Как есть'!$A$35:$A$42,Доп.расчеты!$A135,'Как есть'!DG$35:DG$42)</f>
        <v>0</v>
      </c>
      <c r="DG135">
        <f>SUMIF('Как есть'!$A$35:$A$42,Доп.расчеты!$A135,'Как есть'!DH$35:DH$42)</f>
        <v>0</v>
      </c>
      <c r="DH135">
        <f>SUMIF('Как есть'!$A$35:$A$42,Доп.расчеты!$A135,'Как есть'!DI$35:DI$42)</f>
        <v>0</v>
      </c>
      <c r="DI135">
        <f>SUMIF('Как есть'!$A$35:$A$42,Доп.расчеты!$A135,'Как есть'!DJ$35:DJ$42)</f>
        <v>0</v>
      </c>
      <c r="DJ135">
        <f>SUMIF('Как есть'!$A$35:$A$42,Доп.расчеты!$A135,'Как есть'!DK$35:DK$42)</f>
        <v>0</v>
      </c>
      <c r="DK135">
        <f>SUMIF('Как есть'!$A$35:$A$42,Доп.расчеты!$A135,'Как есть'!DL$35:DL$42)</f>
        <v>0</v>
      </c>
      <c r="DL135">
        <f>SUMIF('Как есть'!$A$35:$A$42,Доп.расчеты!$A135,'Как есть'!DM$35:DM$42)</f>
        <v>0</v>
      </c>
      <c r="DM135">
        <f>SUMIF('Как есть'!$A$35:$A$42,Доп.расчеты!$A135,'Как есть'!DN$35:DN$42)</f>
        <v>0</v>
      </c>
      <c r="DN135">
        <f>SUMIF('Как есть'!$A$35:$A$42,Доп.расчеты!$A135,'Как есть'!DO$35:DO$42)</f>
        <v>0</v>
      </c>
      <c r="DO135">
        <f>SUMIF('Как есть'!$A$35:$A$42,Доп.расчеты!$A135,'Как есть'!DP$35:DP$42)</f>
        <v>0</v>
      </c>
      <c r="DP135">
        <f>SUMIF('Как есть'!$A$35:$A$42,Доп.расчеты!$A135,'Как есть'!DQ$35:DQ$42)</f>
        <v>0</v>
      </c>
      <c r="DQ135">
        <f>SUMIF('Как есть'!$A$35:$A$42,Доп.расчеты!$A135,'Как есть'!DR$35:DR$42)</f>
        <v>0</v>
      </c>
      <c r="DR135">
        <f>SUMIF('Как есть'!$A$35:$A$42,Доп.расчеты!$A135,'Как есть'!DS$35:DS$42)</f>
        <v>0</v>
      </c>
      <c r="DS135">
        <f>SUMIF('Как есть'!$A$35:$A$42,Доп.расчеты!$A135,'Как есть'!DT$35:DT$42)</f>
        <v>0</v>
      </c>
      <c r="DT135">
        <f>SUMIF('Как есть'!$A$35:$A$42,Доп.расчеты!$A135,'Как есть'!DU$35:DU$42)</f>
        <v>0</v>
      </c>
      <c r="DU135">
        <f>SUMIF('Как есть'!$A$35:$A$42,Доп.расчеты!$A135,'Как есть'!DV$35:DV$42)</f>
        <v>0</v>
      </c>
      <c r="DV135">
        <f>SUMIF('Как есть'!$A$35:$A$42,Доп.расчеты!$A135,'Как есть'!DW$35:DW$42)</f>
        <v>0</v>
      </c>
      <c r="DW135">
        <f>SUMIF('Как есть'!$A$35:$A$42,Доп.расчеты!$A135,'Как есть'!DX$35:DX$42)</f>
        <v>0</v>
      </c>
      <c r="DX135">
        <f>SUMIF('Как есть'!$A$35:$A$42,Доп.расчеты!$A135,'Как есть'!DY$35:DY$42)</f>
        <v>0</v>
      </c>
      <c r="DY135">
        <f>SUMIF('Как есть'!$A$35:$A$42,Доп.расчеты!$A135,'Как есть'!DZ$35:DZ$42)</f>
        <v>0</v>
      </c>
      <c r="DZ135">
        <f>SUMIF('Как есть'!$A$35:$A$42,Доп.расчеты!$A135,'Как есть'!EA$35:EA$42)</f>
        <v>0</v>
      </c>
      <c r="EA135">
        <f>SUMIF('Как есть'!$A$35:$A$42,Доп.расчеты!$A135,'Как есть'!EB$35:EB$42)</f>
        <v>0</v>
      </c>
      <c r="EB135">
        <f>SUMIF('Как есть'!$A$35:$A$42,Доп.расчеты!$A135,'Как есть'!EC$35:EC$42)</f>
        <v>0</v>
      </c>
      <c r="EC135">
        <f>SUMIF('Как есть'!$A$35:$A$42,Доп.расчеты!$A135,'Как есть'!ED$35:ED$42)</f>
        <v>0</v>
      </c>
      <c r="ED135">
        <f>SUMIF('Как есть'!$A$35:$A$42,Доп.расчеты!$A135,'Как есть'!EE$35:EE$42)</f>
        <v>0</v>
      </c>
      <c r="EE135">
        <f>SUMIF('Как есть'!$A$35:$A$42,Доп.расчеты!$A135,'Как есть'!EF$35:EF$42)</f>
        <v>0</v>
      </c>
      <c r="EF135">
        <f>SUMIF('Как есть'!$A$35:$A$42,Доп.расчеты!$A135,'Как есть'!EG$35:EG$42)</f>
        <v>0</v>
      </c>
      <c r="EG135">
        <f>SUMIF('Как есть'!$A$35:$A$42,Доп.расчеты!$A135,'Как есть'!EH$35:EH$42)</f>
        <v>0</v>
      </c>
      <c r="EH135">
        <f>SUMIF('Как есть'!$A$35:$A$42,Доп.расчеты!$A135,'Как есть'!EI$35:EI$42)</f>
        <v>0</v>
      </c>
      <c r="EI135">
        <f>SUMIF('Как есть'!$A$35:$A$42,Доп.расчеты!$A135,'Как есть'!EJ$35:EJ$42)</f>
        <v>0</v>
      </c>
      <c r="EJ135">
        <f>SUMIF('Как есть'!$A$35:$A$42,Доп.расчеты!$A135,'Как есть'!EK$35:EK$42)</f>
        <v>0</v>
      </c>
      <c r="EK135">
        <f>SUMIF('Как есть'!$A$35:$A$42,Доп.расчеты!$A135,'Как есть'!EL$35:EL$42)</f>
        <v>0</v>
      </c>
      <c r="EL135">
        <f>SUMIF('Как есть'!$A$35:$A$42,Доп.расчеты!$A135,'Как есть'!EM$35:EM$42)</f>
        <v>0</v>
      </c>
      <c r="EM135">
        <f>SUMIF('Как есть'!$A$35:$A$42,Доп.расчеты!$A135,'Как есть'!EN$35:EN$42)</f>
        <v>0</v>
      </c>
      <c r="EN135">
        <f>SUMIF('Как есть'!$A$35:$A$42,Доп.расчеты!$A135,'Как есть'!EO$35:EO$42)</f>
        <v>0</v>
      </c>
      <c r="EO135">
        <f>SUMIF('Как есть'!$A$35:$A$42,Доп.расчеты!$A135,'Как есть'!EP$35:EP$42)</f>
        <v>0</v>
      </c>
      <c r="EP135">
        <f>SUMIF('Как есть'!$A$35:$A$42,Доп.расчеты!$A135,'Как есть'!EQ$35:EQ$42)</f>
        <v>0</v>
      </c>
      <c r="EQ135">
        <f>SUMIF('Как есть'!$A$35:$A$42,Доп.расчеты!$A135,'Как есть'!ER$35:ER$42)</f>
        <v>0</v>
      </c>
      <c r="ER135">
        <f>SUMIF('Как есть'!$A$35:$A$42,Доп.расчеты!$A135,'Как есть'!ES$35:ES$42)</f>
        <v>0</v>
      </c>
      <c r="ES135">
        <f>SUMIF('Как есть'!$A$35:$A$42,Доп.расчеты!$A135,'Как есть'!ET$35:ET$42)</f>
        <v>0</v>
      </c>
      <c r="ET135">
        <f>SUMIF('Как есть'!$A$35:$A$42,Доп.расчеты!$A135,'Как есть'!EU$35:EU$42)</f>
        <v>0</v>
      </c>
      <c r="EU135">
        <f>SUMIF('Как есть'!$A$35:$A$42,Доп.расчеты!$A135,'Как есть'!EV$35:EV$42)</f>
        <v>0</v>
      </c>
      <c r="EV135">
        <f>SUMIF('Как есть'!$A$35:$A$42,Доп.расчеты!$A135,'Как есть'!EW$35:EW$42)</f>
        <v>0</v>
      </c>
      <c r="EW135">
        <f>SUMIF('Как есть'!$A$35:$A$42,Доп.расчеты!$A135,'Как есть'!EX$35:EX$42)</f>
        <v>0</v>
      </c>
      <c r="EX135">
        <f>SUMIF('Как есть'!$A$35:$A$42,Доп.расчеты!$A135,'Как есть'!EY$35:EY$42)</f>
        <v>0</v>
      </c>
      <c r="EY135">
        <f>SUMIF('Как есть'!$A$35:$A$42,Доп.расчеты!$A135,'Как есть'!EZ$35:EZ$42)</f>
        <v>0</v>
      </c>
      <c r="EZ135">
        <f>SUMIF('Как есть'!$A$35:$A$42,Доп.расчеты!$A135,'Как есть'!FA$35:FA$42)</f>
        <v>0</v>
      </c>
      <c r="FA135">
        <f>SUMIF('Как есть'!$A$35:$A$42,Доп.расчеты!$A135,'Как есть'!FB$35:FB$42)</f>
        <v>0</v>
      </c>
      <c r="FB135">
        <f>SUMIF('Как есть'!$A$35:$A$42,Доп.расчеты!$A135,'Как есть'!FC$35:FC$42)</f>
        <v>0</v>
      </c>
      <c r="FC135">
        <f>SUMIF('Как есть'!$A$35:$A$42,Доп.расчеты!$A135,'Как есть'!FD$35:FD$42)</f>
        <v>0</v>
      </c>
      <c r="FD135">
        <f>SUMIF('Как есть'!$A$35:$A$42,Доп.расчеты!$A135,'Как есть'!FE$35:FE$42)</f>
        <v>0</v>
      </c>
      <c r="FE135">
        <f>SUMIF('Как есть'!$A$35:$A$42,Доп.расчеты!$A135,'Как есть'!FF$35:FF$42)</f>
        <v>0</v>
      </c>
      <c r="FF135">
        <f>SUMIF('Как есть'!$A$35:$A$42,Доп.расчеты!$A135,'Как есть'!FG$35:FG$42)</f>
        <v>0</v>
      </c>
      <c r="FG135">
        <f>SUMIF('Как есть'!$A$35:$A$42,Доп.расчеты!$A135,'Как есть'!FH$35:FH$42)</f>
        <v>0</v>
      </c>
      <c r="FH135">
        <f>SUMIF('Как есть'!$A$35:$A$42,Доп.расчеты!$A135,'Как есть'!FI$35:FI$42)</f>
        <v>0</v>
      </c>
      <c r="FI135">
        <f>SUMIF('Как есть'!$A$35:$A$42,Доп.расчеты!$A135,'Как есть'!FJ$35:FJ$42)</f>
        <v>0</v>
      </c>
      <c r="FJ135">
        <f>SUMIF('Как есть'!$A$35:$A$42,Доп.расчеты!$A135,'Как есть'!FK$35:FK$42)</f>
        <v>0</v>
      </c>
      <c r="FK135">
        <f>SUMIF('Как есть'!$A$35:$A$42,Доп.расчеты!$A135,'Как есть'!FL$35:FL$42)</f>
        <v>0</v>
      </c>
      <c r="FL135">
        <f>SUMIF('Как есть'!$A$35:$A$42,Доп.расчеты!$A135,'Как есть'!FM$35:FM$42)</f>
        <v>0</v>
      </c>
      <c r="FM135">
        <f>SUMIF('Как есть'!$A$35:$A$42,Доп.расчеты!$A135,'Как есть'!FN$35:FN$42)</f>
        <v>0</v>
      </c>
      <c r="FN135">
        <f>SUMIF('Как есть'!$A$35:$A$42,Доп.расчеты!$A135,'Как есть'!FO$35:FO$42)</f>
        <v>0</v>
      </c>
      <c r="FO135">
        <f>SUMIF('Как есть'!$A$35:$A$42,Доп.расчеты!$A135,'Как есть'!FP$35:FP$42)</f>
        <v>0</v>
      </c>
      <c r="FP135">
        <f>SUMIF('Как есть'!$A$35:$A$42,Доп.расчеты!$A135,'Как есть'!FQ$35:FQ$42)</f>
        <v>0</v>
      </c>
      <c r="FQ135">
        <f>SUMIF('Как есть'!$A$35:$A$42,Доп.расчеты!$A135,'Как есть'!FR$35:FR$42)</f>
        <v>0</v>
      </c>
      <c r="FR135">
        <f>SUMIF('Как есть'!$A$35:$A$42,Доп.расчеты!$A135,'Как есть'!FS$35:FS$42)</f>
        <v>0</v>
      </c>
      <c r="FS135">
        <f>SUMIF('Как есть'!$A$35:$A$42,Доп.расчеты!$A135,'Как есть'!FT$35:FT$42)</f>
        <v>0</v>
      </c>
      <c r="FT135">
        <f>SUMIF('Как есть'!$A$35:$A$42,Доп.расчеты!$A135,'Как есть'!FU$35:FU$42)</f>
        <v>0</v>
      </c>
      <c r="FU135">
        <f>SUMIF('Как есть'!$A$35:$A$42,Доп.расчеты!$A135,'Как есть'!FV$35:FV$42)</f>
        <v>0</v>
      </c>
      <c r="FV135">
        <f>SUMIF('Как есть'!$A$35:$A$42,Доп.расчеты!$A135,'Как есть'!FW$35:FW$42)</f>
        <v>0</v>
      </c>
      <c r="FW135">
        <f>SUMIF('Как есть'!$A$35:$A$42,Доп.расчеты!$A135,'Как есть'!FX$35:FX$42)</f>
        <v>0</v>
      </c>
      <c r="FX135">
        <f>SUMIF('Как есть'!$A$35:$A$42,Доп.расчеты!$A135,'Как есть'!FY$35:FY$42)</f>
        <v>0</v>
      </c>
      <c r="FY135">
        <f>SUMIF('Как есть'!$A$35:$A$42,Доп.расчеты!$A135,'Как есть'!FZ$35:FZ$42)</f>
        <v>0</v>
      </c>
      <c r="FZ135">
        <f>SUMIF('Как есть'!$A$35:$A$42,Доп.расчеты!$A135,'Как есть'!GA$35:GA$42)</f>
        <v>0</v>
      </c>
      <c r="GA135">
        <f>SUMIF('Как есть'!$A$35:$A$42,Доп.расчеты!$A135,'Как есть'!GB$35:GB$42)</f>
        <v>0</v>
      </c>
      <c r="GB135">
        <f>SUMIF('Как есть'!$A$35:$A$42,Доп.расчеты!$A135,'Как есть'!GC$35:GC$42)</f>
        <v>0</v>
      </c>
      <c r="GC135">
        <f>SUMIF('Как есть'!$A$35:$A$42,Доп.расчеты!$A135,'Как есть'!GD$35:GD$42)</f>
        <v>0</v>
      </c>
      <c r="GD135">
        <f>SUMIF('Как есть'!$A$35:$A$42,Доп.расчеты!$A135,'Как есть'!GE$35:GE$42)</f>
        <v>0</v>
      </c>
      <c r="GE135">
        <f>SUMIF('Как есть'!$A$35:$A$42,Доп.расчеты!$A135,'Как есть'!GF$35:GF$42)</f>
        <v>0</v>
      </c>
      <c r="GF135">
        <f>SUMIF('Как есть'!$A$35:$A$42,Доп.расчеты!$A135,'Как есть'!GG$35:GG$42)</f>
        <v>0</v>
      </c>
      <c r="GG135">
        <f>SUMIF('Как есть'!$A$35:$A$42,Доп.расчеты!$A135,'Как есть'!GH$35:GH$42)</f>
        <v>0</v>
      </c>
      <c r="GH135">
        <f>SUMIF('Как есть'!$A$35:$A$42,Доп.расчеты!$A135,'Как есть'!GI$35:GI$42)</f>
        <v>0</v>
      </c>
      <c r="GI135">
        <f>SUMIF('Как есть'!$A$35:$A$42,Доп.расчеты!$A135,'Как есть'!GJ$35:GJ$42)</f>
        <v>0</v>
      </c>
      <c r="GJ135">
        <f>SUMIF('Как есть'!$A$35:$A$42,Доп.расчеты!$A135,'Как есть'!GK$35:GK$42)</f>
        <v>0</v>
      </c>
      <c r="GK135">
        <f>SUMIF('Как есть'!$A$35:$A$42,Доп.расчеты!$A135,'Как есть'!GL$35:GL$42)</f>
        <v>0</v>
      </c>
      <c r="GL135">
        <f>SUMIF('Как есть'!$A$35:$A$42,Доп.расчеты!$A135,'Как есть'!GM$35:GM$42)</f>
        <v>0</v>
      </c>
      <c r="GM135">
        <f>SUMIF('Как есть'!$A$35:$A$42,Доп.расчеты!$A135,'Как есть'!GN$35:GN$42)</f>
        <v>0</v>
      </c>
      <c r="GN135">
        <f>SUMIF('Как есть'!$A$35:$A$42,Доп.расчеты!$A135,'Как есть'!GO$35:GO$42)</f>
        <v>0</v>
      </c>
      <c r="GO135">
        <f>SUMIF('Как есть'!$A$35:$A$42,Доп.расчеты!$A135,'Как есть'!GP$35:GP$42)</f>
        <v>0</v>
      </c>
      <c r="GP135">
        <f>SUMIF('Как есть'!$A$35:$A$42,Доп.расчеты!$A135,'Как есть'!GQ$35:GQ$42)</f>
        <v>0</v>
      </c>
      <c r="GQ135">
        <f>SUMIF('Как есть'!$A$35:$A$42,Доп.расчеты!$A135,'Как есть'!GR$35:GR$42)</f>
        <v>0</v>
      </c>
      <c r="GR135">
        <f>SUMIF('Как есть'!$A$35:$A$42,Доп.расчеты!$A135,'Как есть'!GS$35:GS$42)</f>
        <v>0</v>
      </c>
      <c r="GS135">
        <f>SUMIF('Как есть'!$A$35:$A$42,Доп.расчеты!$A135,'Как есть'!GT$35:GT$42)</f>
        <v>0</v>
      </c>
      <c r="GT135">
        <f>SUMIF('Как есть'!$A$35:$A$42,Доп.расчеты!$A135,'Как есть'!GU$35:GU$42)</f>
        <v>0</v>
      </c>
    </row>
    <row r="136" spans="1:202" hidden="1" outlineLevel="1">
      <c r="A136" s="238" t="s">
        <v>64</v>
      </c>
      <c r="B136">
        <f>SUMIF('Как есть'!$A$35:$A$42,Доп.расчеты!$A136,'Как есть'!C$35:C$42)</f>
        <v>0</v>
      </c>
      <c r="C136">
        <f>SUMIF('Как есть'!$A$35:$A$42,Доп.расчеты!$A136,'Как есть'!D$35:D$42)</f>
        <v>0</v>
      </c>
      <c r="D136">
        <f>SUMIF('Как есть'!$A$35:$A$42,Доп.расчеты!$A136,'Как есть'!E$35:E$42)</f>
        <v>0</v>
      </c>
      <c r="E136">
        <f>SUMIF('Как есть'!$A$35:$A$42,Доп.расчеты!$A136,'Как есть'!F$35:F$42)</f>
        <v>0</v>
      </c>
      <c r="F136">
        <f>SUMIF('Как есть'!$A$35:$A$42,Доп.расчеты!$A136,'Как есть'!G$35:G$42)</f>
        <v>0</v>
      </c>
      <c r="G136">
        <f>SUMIF('Как есть'!$A$35:$A$42,Доп.расчеты!$A136,'Как есть'!H$35:H$42)</f>
        <v>0</v>
      </c>
      <c r="H136">
        <f>SUMIF('Как есть'!$A$35:$A$42,Доп.расчеты!$A136,'Как есть'!I$35:I$42)</f>
        <v>0</v>
      </c>
      <c r="I136">
        <f>SUMIF('Как есть'!$A$35:$A$42,Доп.расчеты!$A136,'Как есть'!J$35:J$42)</f>
        <v>0</v>
      </c>
      <c r="J136">
        <f>SUMIF('Как есть'!$A$35:$A$42,Доп.расчеты!$A136,'Как есть'!K$35:K$42)</f>
        <v>0</v>
      </c>
      <c r="K136">
        <f>SUMIF('Как есть'!$A$35:$A$42,Доп.расчеты!$A136,'Как есть'!L$35:L$42)</f>
        <v>0</v>
      </c>
      <c r="L136">
        <f>SUMIF('Как есть'!$A$35:$A$42,Доп.расчеты!$A136,'Как есть'!M$35:M$42)</f>
        <v>0</v>
      </c>
      <c r="M136">
        <f>SUMIF('Как есть'!$A$35:$A$42,Доп.расчеты!$A136,'Как есть'!N$35:N$42)</f>
        <v>0</v>
      </c>
      <c r="N136">
        <f>SUMIF('Как есть'!$A$35:$A$42,Доп.расчеты!$A136,'Как есть'!O$35:O$42)</f>
        <v>0</v>
      </c>
      <c r="O136">
        <f>SUMIF('Как есть'!$A$35:$A$42,Доп.расчеты!$A136,'Как есть'!P$35:P$42)</f>
        <v>0</v>
      </c>
      <c r="P136">
        <f>SUMIF('Как есть'!$A$35:$A$42,Доп.расчеты!$A136,'Как есть'!Q$35:Q$42)</f>
        <v>0</v>
      </c>
      <c r="Q136">
        <f>SUMIF('Как есть'!$A$35:$A$42,Доп.расчеты!$A136,'Как есть'!R$35:R$42)</f>
        <v>0</v>
      </c>
      <c r="R136">
        <f>SUMIF('Как есть'!$A$35:$A$42,Доп.расчеты!$A136,'Как есть'!S$35:S$42)</f>
        <v>0</v>
      </c>
      <c r="S136">
        <f>SUMIF('Как есть'!$A$35:$A$42,Доп.расчеты!$A136,'Как есть'!T$35:T$42)</f>
        <v>0</v>
      </c>
      <c r="T136">
        <f>SUMIF('Как есть'!$A$35:$A$42,Доп.расчеты!$A136,'Как есть'!U$35:U$42)</f>
        <v>0</v>
      </c>
      <c r="U136">
        <f>SUMIF('Как есть'!$A$35:$A$42,Доп.расчеты!$A136,'Как есть'!V$35:V$42)</f>
        <v>0</v>
      </c>
      <c r="V136">
        <f>SUMIF('Как есть'!$A$35:$A$42,Доп.расчеты!$A136,'Как есть'!W$35:W$42)</f>
        <v>0</v>
      </c>
      <c r="W136">
        <f>SUMIF('Как есть'!$A$35:$A$42,Доп.расчеты!$A136,'Как есть'!X$35:X$42)</f>
        <v>0</v>
      </c>
      <c r="X136">
        <f>SUMIF('Как есть'!$A$35:$A$42,Доп.расчеты!$A136,'Как есть'!Y$35:Y$42)</f>
        <v>0</v>
      </c>
      <c r="Y136">
        <f>SUMIF('Как есть'!$A$35:$A$42,Доп.расчеты!$A136,'Как есть'!Z$35:Z$42)</f>
        <v>0</v>
      </c>
      <c r="Z136">
        <f>SUMIF('Как есть'!$A$35:$A$42,Доп.расчеты!$A136,'Как есть'!AA$35:AA$42)</f>
        <v>0</v>
      </c>
      <c r="AA136">
        <f>SUMIF('Как есть'!$A$35:$A$42,Доп.расчеты!$A136,'Как есть'!AB$35:AB$42)</f>
        <v>0</v>
      </c>
      <c r="AB136">
        <f>SUMIF('Как есть'!$A$35:$A$42,Доп.расчеты!$A136,'Как есть'!AC$35:AC$42)</f>
        <v>0</v>
      </c>
      <c r="AC136">
        <f>SUMIF('Как есть'!$A$35:$A$42,Доп.расчеты!$A136,'Как есть'!AD$35:AD$42)</f>
        <v>0</v>
      </c>
      <c r="AD136">
        <f>SUMIF('Как есть'!$A$35:$A$42,Доп.расчеты!$A136,'Как есть'!AE$35:AE$42)</f>
        <v>0</v>
      </c>
      <c r="AE136">
        <f>SUMIF('Как есть'!$A$35:$A$42,Доп.расчеты!$A136,'Как есть'!AF$35:AF$42)</f>
        <v>0</v>
      </c>
      <c r="AF136">
        <f>SUMIF('Как есть'!$A$35:$A$42,Доп.расчеты!$A136,'Как есть'!AG$35:AG$42)</f>
        <v>0</v>
      </c>
      <c r="AG136">
        <f>SUMIF('Как есть'!$A$35:$A$42,Доп.расчеты!$A136,'Как есть'!AH$35:AH$42)</f>
        <v>0</v>
      </c>
      <c r="AH136">
        <f>SUMIF('Как есть'!$A$35:$A$42,Доп.расчеты!$A136,'Как есть'!AI$35:AI$42)</f>
        <v>0</v>
      </c>
      <c r="AI136">
        <f>SUMIF('Как есть'!$A$35:$A$42,Доп.расчеты!$A136,'Как есть'!AJ$35:AJ$42)</f>
        <v>0</v>
      </c>
      <c r="AJ136">
        <f>SUMIF('Как есть'!$A$35:$A$42,Доп.расчеты!$A136,'Как есть'!AK$35:AK$42)</f>
        <v>0</v>
      </c>
      <c r="AK136">
        <f>SUMIF('Как есть'!$A$35:$A$42,Доп.расчеты!$A136,'Как есть'!AL$35:AL$42)</f>
        <v>0</v>
      </c>
      <c r="AL136">
        <f>SUMIF('Как есть'!$A$35:$A$42,Доп.расчеты!$A136,'Как есть'!AM$35:AM$42)</f>
        <v>0</v>
      </c>
      <c r="AM136">
        <f>SUMIF('Как есть'!$A$35:$A$42,Доп.расчеты!$A136,'Как есть'!AN$35:AN$42)</f>
        <v>0</v>
      </c>
      <c r="AN136">
        <f>SUMIF('Как есть'!$A$35:$A$42,Доп.расчеты!$A136,'Как есть'!AO$35:AO$42)</f>
        <v>0</v>
      </c>
      <c r="AO136">
        <f>SUMIF('Как есть'!$A$35:$A$42,Доп.расчеты!$A136,'Как есть'!AP$35:AP$42)</f>
        <v>0</v>
      </c>
      <c r="AP136">
        <f>SUMIF('Как есть'!$A$35:$A$42,Доп.расчеты!$A136,'Как есть'!AQ$35:AQ$42)</f>
        <v>0</v>
      </c>
      <c r="AQ136">
        <f>SUMIF('Как есть'!$A$35:$A$42,Доп.расчеты!$A136,'Как есть'!AR$35:AR$42)</f>
        <v>0</v>
      </c>
      <c r="AR136">
        <f>SUMIF('Как есть'!$A$35:$A$42,Доп.расчеты!$A136,'Как есть'!AS$35:AS$42)</f>
        <v>0</v>
      </c>
      <c r="AS136">
        <f>SUMIF('Как есть'!$A$35:$A$42,Доп.расчеты!$A136,'Как есть'!AT$35:AT$42)</f>
        <v>0</v>
      </c>
      <c r="AT136">
        <f>SUMIF('Как есть'!$A$35:$A$42,Доп.расчеты!$A136,'Как есть'!AU$35:AU$42)</f>
        <v>0</v>
      </c>
      <c r="AU136">
        <f>SUMIF('Как есть'!$A$35:$A$42,Доп.расчеты!$A136,'Как есть'!AV$35:AV$42)</f>
        <v>0</v>
      </c>
      <c r="AV136">
        <f>SUMIF('Как есть'!$A$35:$A$42,Доп.расчеты!$A136,'Как есть'!AW$35:AW$42)</f>
        <v>0</v>
      </c>
      <c r="AW136">
        <f>SUMIF('Как есть'!$A$35:$A$42,Доп.расчеты!$A136,'Как есть'!AX$35:AX$42)</f>
        <v>0</v>
      </c>
      <c r="AX136">
        <f>SUMIF('Как есть'!$A$35:$A$42,Доп.расчеты!$A136,'Как есть'!AY$35:AY$42)</f>
        <v>0</v>
      </c>
      <c r="AY136">
        <f>SUMIF('Как есть'!$A$35:$A$42,Доп.расчеты!$A136,'Как есть'!AZ$35:AZ$42)</f>
        <v>0</v>
      </c>
      <c r="AZ136">
        <f>SUMIF('Как есть'!$A$35:$A$42,Доп.расчеты!$A136,'Как есть'!BA$35:BA$42)</f>
        <v>0</v>
      </c>
      <c r="BA136">
        <f>SUMIF('Как есть'!$A$35:$A$42,Доп.расчеты!$A136,'Как есть'!BB$35:BB$42)</f>
        <v>0</v>
      </c>
      <c r="BB136">
        <f>SUMIF('Как есть'!$A$35:$A$42,Доп.расчеты!$A136,'Как есть'!BC$35:BC$42)</f>
        <v>0</v>
      </c>
      <c r="BC136">
        <f>SUMIF('Как есть'!$A$35:$A$42,Доп.расчеты!$A136,'Как есть'!BD$35:BD$42)</f>
        <v>0</v>
      </c>
      <c r="BD136">
        <f>SUMIF('Как есть'!$A$35:$A$42,Доп.расчеты!$A136,'Как есть'!BE$35:BE$42)</f>
        <v>0</v>
      </c>
      <c r="BE136">
        <f>SUMIF('Как есть'!$A$35:$A$42,Доп.расчеты!$A136,'Как есть'!BF$35:BF$42)</f>
        <v>0</v>
      </c>
      <c r="BF136">
        <f>SUMIF('Как есть'!$A$35:$A$42,Доп.расчеты!$A136,'Как есть'!BG$35:BG$42)</f>
        <v>0</v>
      </c>
      <c r="BG136">
        <f>SUMIF('Как есть'!$A$35:$A$42,Доп.расчеты!$A136,'Как есть'!BH$35:BH$42)</f>
        <v>0</v>
      </c>
      <c r="BH136">
        <f>SUMIF('Как есть'!$A$35:$A$42,Доп.расчеты!$A136,'Как есть'!BI$35:BI$42)</f>
        <v>0</v>
      </c>
      <c r="BI136">
        <f>SUMIF('Как есть'!$A$35:$A$42,Доп.расчеты!$A136,'Как есть'!BJ$35:BJ$42)</f>
        <v>0</v>
      </c>
      <c r="BJ136">
        <f>SUMIF('Как есть'!$A$35:$A$42,Доп.расчеты!$A136,'Как есть'!BK$35:BK$42)</f>
        <v>0</v>
      </c>
      <c r="BK136">
        <f>SUMIF('Как есть'!$A$35:$A$42,Доп.расчеты!$A136,'Как есть'!BL$35:BL$42)</f>
        <v>0</v>
      </c>
      <c r="BL136">
        <f>SUMIF('Как есть'!$A$35:$A$42,Доп.расчеты!$A136,'Как есть'!BM$35:BM$42)</f>
        <v>0</v>
      </c>
      <c r="BM136">
        <f>SUMIF('Как есть'!$A$35:$A$42,Доп.расчеты!$A136,'Как есть'!BN$35:BN$42)</f>
        <v>0</v>
      </c>
      <c r="BN136">
        <f>SUMIF('Как есть'!$A$35:$A$42,Доп.расчеты!$A136,'Как есть'!BO$35:BO$42)</f>
        <v>0</v>
      </c>
      <c r="BO136">
        <f>SUMIF('Как есть'!$A$35:$A$42,Доп.расчеты!$A136,'Как есть'!BP$35:BP$42)</f>
        <v>0</v>
      </c>
      <c r="BP136">
        <f>SUMIF('Как есть'!$A$35:$A$42,Доп.расчеты!$A136,'Как есть'!BQ$35:BQ$42)</f>
        <v>0</v>
      </c>
      <c r="BQ136">
        <f>SUMIF('Как есть'!$A$35:$A$42,Доп.расчеты!$A136,'Как есть'!BR$35:BR$42)</f>
        <v>0</v>
      </c>
      <c r="BR136">
        <f>SUMIF('Как есть'!$A$35:$A$42,Доп.расчеты!$A136,'Как есть'!BS$35:BS$42)</f>
        <v>0</v>
      </c>
      <c r="BS136">
        <f>SUMIF('Как есть'!$A$35:$A$42,Доп.расчеты!$A136,'Как есть'!BT$35:BT$42)</f>
        <v>0</v>
      </c>
      <c r="BT136">
        <f>SUMIF('Как есть'!$A$35:$A$42,Доп.расчеты!$A136,'Как есть'!BU$35:BU$42)</f>
        <v>0</v>
      </c>
      <c r="BU136">
        <f>SUMIF('Как есть'!$A$35:$A$42,Доп.расчеты!$A136,'Как есть'!BV$35:BV$42)</f>
        <v>0</v>
      </c>
      <c r="BV136">
        <f>SUMIF('Как есть'!$A$35:$A$42,Доп.расчеты!$A136,'Как есть'!BW$35:BW$42)</f>
        <v>0</v>
      </c>
      <c r="BW136">
        <f>SUMIF('Как есть'!$A$35:$A$42,Доп.расчеты!$A136,'Как есть'!BX$35:BX$42)</f>
        <v>0</v>
      </c>
      <c r="BX136">
        <f>SUMIF('Как есть'!$A$35:$A$42,Доп.расчеты!$A136,'Как есть'!BY$35:BY$42)</f>
        <v>0</v>
      </c>
      <c r="BY136">
        <f>SUMIF('Как есть'!$A$35:$A$42,Доп.расчеты!$A136,'Как есть'!BZ$35:BZ$42)</f>
        <v>0</v>
      </c>
      <c r="BZ136">
        <f>SUMIF('Как есть'!$A$35:$A$42,Доп.расчеты!$A136,'Как есть'!CA$35:CA$42)</f>
        <v>0</v>
      </c>
      <c r="CA136">
        <f>SUMIF('Как есть'!$A$35:$A$42,Доп.расчеты!$A136,'Как есть'!CB$35:CB$42)</f>
        <v>0</v>
      </c>
      <c r="CB136">
        <f>SUMIF('Как есть'!$A$35:$A$42,Доп.расчеты!$A136,'Как есть'!CC$35:CC$42)</f>
        <v>0</v>
      </c>
      <c r="CC136">
        <f>SUMIF('Как есть'!$A$35:$A$42,Доп.расчеты!$A136,'Как есть'!CD$35:CD$42)</f>
        <v>0</v>
      </c>
      <c r="CD136">
        <f>SUMIF('Как есть'!$A$35:$A$42,Доп.расчеты!$A136,'Как есть'!CE$35:CE$42)</f>
        <v>0</v>
      </c>
      <c r="CE136">
        <f>SUMIF('Как есть'!$A$35:$A$42,Доп.расчеты!$A136,'Как есть'!CF$35:CF$42)</f>
        <v>0</v>
      </c>
      <c r="CF136">
        <f>SUMIF('Как есть'!$A$35:$A$42,Доп.расчеты!$A136,'Как есть'!CG$35:CG$42)</f>
        <v>0</v>
      </c>
      <c r="CG136">
        <f>SUMIF('Как есть'!$A$35:$A$42,Доп.расчеты!$A136,'Как есть'!CH$35:CH$42)</f>
        <v>0</v>
      </c>
      <c r="CH136">
        <f>SUMIF('Как есть'!$A$35:$A$42,Доп.расчеты!$A136,'Как есть'!CI$35:CI$42)</f>
        <v>0</v>
      </c>
      <c r="CI136">
        <f>SUMIF('Как есть'!$A$35:$A$42,Доп.расчеты!$A136,'Как есть'!CJ$35:CJ$42)</f>
        <v>0</v>
      </c>
      <c r="CJ136">
        <f>SUMIF('Как есть'!$A$35:$A$42,Доп.расчеты!$A136,'Как есть'!CK$35:CK$42)</f>
        <v>0</v>
      </c>
      <c r="CK136">
        <f>SUMIF('Как есть'!$A$35:$A$42,Доп.расчеты!$A136,'Как есть'!CL$35:CL$42)</f>
        <v>0</v>
      </c>
      <c r="CL136">
        <f>SUMIF('Как есть'!$A$35:$A$42,Доп.расчеты!$A136,'Как есть'!CM$35:CM$42)</f>
        <v>0</v>
      </c>
      <c r="CM136">
        <f>SUMIF('Как есть'!$A$35:$A$42,Доп.расчеты!$A136,'Как есть'!CN$35:CN$42)</f>
        <v>0</v>
      </c>
      <c r="CN136">
        <f>SUMIF('Как есть'!$A$35:$A$42,Доп.расчеты!$A136,'Как есть'!CO$35:CO$42)</f>
        <v>0</v>
      </c>
      <c r="CO136">
        <f>SUMIF('Как есть'!$A$35:$A$42,Доп.расчеты!$A136,'Как есть'!CP$35:CP$42)</f>
        <v>0</v>
      </c>
      <c r="CP136">
        <f>SUMIF('Как есть'!$A$35:$A$42,Доп.расчеты!$A136,'Как есть'!CQ$35:CQ$42)</f>
        <v>0</v>
      </c>
      <c r="CQ136">
        <f>SUMIF('Как есть'!$A$35:$A$42,Доп.расчеты!$A136,'Как есть'!CR$35:CR$42)</f>
        <v>0</v>
      </c>
      <c r="CR136">
        <f>SUMIF('Как есть'!$A$35:$A$42,Доп.расчеты!$A136,'Как есть'!CS$35:CS$42)</f>
        <v>0</v>
      </c>
      <c r="CS136">
        <f>SUMIF('Как есть'!$A$35:$A$42,Доп.расчеты!$A136,'Как есть'!CT$35:CT$42)</f>
        <v>0</v>
      </c>
      <c r="CT136">
        <f>SUMIF('Как есть'!$A$35:$A$42,Доп.расчеты!$A136,'Как есть'!CU$35:CU$42)</f>
        <v>0</v>
      </c>
      <c r="CU136">
        <f>SUMIF('Как есть'!$A$35:$A$42,Доп.расчеты!$A136,'Как есть'!CV$35:CV$42)</f>
        <v>0</v>
      </c>
      <c r="CV136">
        <f>SUMIF('Как есть'!$A$35:$A$42,Доп.расчеты!$A136,'Как есть'!CW$35:CW$42)</f>
        <v>0</v>
      </c>
      <c r="CW136">
        <f>SUMIF('Как есть'!$A$35:$A$42,Доп.расчеты!$A136,'Как есть'!CX$35:CX$42)</f>
        <v>0</v>
      </c>
      <c r="CX136">
        <f>SUMIF('Как есть'!$A$35:$A$42,Доп.расчеты!$A136,'Как есть'!CY$35:CY$42)</f>
        <v>0</v>
      </c>
      <c r="CY136">
        <f>SUMIF('Как есть'!$A$35:$A$42,Доп.расчеты!$A136,'Как есть'!CZ$35:CZ$42)</f>
        <v>0</v>
      </c>
      <c r="CZ136">
        <f>SUMIF('Как есть'!$A$35:$A$42,Доп.расчеты!$A136,'Как есть'!DA$35:DA$42)</f>
        <v>0</v>
      </c>
      <c r="DA136">
        <f>SUMIF('Как есть'!$A$35:$A$42,Доп.расчеты!$A136,'Как есть'!DB$35:DB$42)</f>
        <v>0</v>
      </c>
      <c r="DB136">
        <f>SUMIF('Как есть'!$A$35:$A$42,Доп.расчеты!$A136,'Как есть'!DC$35:DC$42)</f>
        <v>0</v>
      </c>
      <c r="DC136">
        <f>SUMIF('Как есть'!$A$35:$A$42,Доп.расчеты!$A136,'Как есть'!DD$35:DD$42)</f>
        <v>0</v>
      </c>
      <c r="DD136">
        <f>SUMIF('Как есть'!$A$35:$A$42,Доп.расчеты!$A136,'Как есть'!DE$35:DE$42)</f>
        <v>0</v>
      </c>
      <c r="DE136">
        <f>SUMIF('Как есть'!$A$35:$A$42,Доп.расчеты!$A136,'Как есть'!DF$35:DF$42)</f>
        <v>0</v>
      </c>
      <c r="DF136">
        <f>SUMIF('Как есть'!$A$35:$A$42,Доп.расчеты!$A136,'Как есть'!DG$35:DG$42)</f>
        <v>0</v>
      </c>
      <c r="DG136">
        <f>SUMIF('Как есть'!$A$35:$A$42,Доп.расчеты!$A136,'Как есть'!DH$35:DH$42)</f>
        <v>0</v>
      </c>
      <c r="DH136">
        <f>SUMIF('Как есть'!$A$35:$A$42,Доп.расчеты!$A136,'Как есть'!DI$35:DI$42)</f>
        <v>0</v>
      </c>
      <c r="DI136">
        <f>SUMIF('Как есть'!$A$35:$A$42,Доп.расчеты!$A136,'Как есть'!DJ$35:DJ$42)</f>
        <v>0</v>
      </c>
      <c r="DJ136">
        <f>SUMIF('Как есть'!$A$35:$A$42,Доп.расчеты!$A136,'Как есть'!DK$35:DK$42)</f>
        <v>0</v>
      </c>
      <c r="DK136">
        <f>SUMIF('Как есть'!$A$35:$A$42,Доп.расчеты!$A136,'Как есть'!DL$35:DL$42)</f>
        <v>0</v>
      </c>
      <c r="DL136">
        <f>SUMIF('Как есть'!$A$35:$A$42,Доп.расчеты!$A136,'Как есть'!DM$35:DM$42)</f>
        <v>0</v>
      </c>
      <c r="DM136">
        <f>SUMIF('Как есть'!$A$35:$A$42,Доп.расчеты!$A136,'Как есть'!DN$35:DN$42)</f>
        <v>0</v>
      </c>
      <c r="DN136">
        <f>SUMIF('Как есть'!$A$35:$A$42,Доп.расчеты!$A136,'Как есть'!DO$35:DO$42)</f>
        <v>0</v>
      </c>
      <c r="DO136">
        <f>SUMIF('Как есть'!$A$35:$A$42,Доп.расчеты!$A136,'Как есть'!DP$35:DP$42)</f>
        <v>0</v>
      </c>
      <c r="DP136">
        <f>SUMIF('Как есть'!$A$35:$A$42,Доп.расчеты!$A136,'Как есть'!DQ$35:DQ$42)</f>
        <v>0</v>
      </c>
      <c r="DQ136">
        <f>SUMIF('Как есть'!$A$35:$A$42,Доп.расчеты!$A136,'Как есть'!DR$35:DR$42)</f>
        <v>0</v>
      </c>
      <c r="DR136">
        <f>SUMIF('Как есть'!$A$35:$A$42,Доп.расчеты!$A136,'Как есть'!DS$35:DS$42)</f>
        <v>0</v>
      </c>
      <c r="DS136">
        <f>SUMIF('Как есть'!$A$35:$A$42,Доп.расчеты!$A136,'Как есть'!DT$35:DT$42)</f>
        <v>0</v>
      </c>
      <c r="DT136">
        <f>SUMIF('Как есть'!$A$35:$A$42,Доп.расчеты!$A136,'Как есть'!DU$35:DU$42)</f>
        <v>0</v>
      </c>
      <c r="DU136">
        <f>SUMIF('Как есть'!$A$35:$A$42,Доп.расчеты!$A136,'Как есть'!DV$35:DV$42)</f>
        <v>0</v>
      </c>
      <c r="DV136">
        <f>SUMIF('Как есть'!$A$35:$A$42,Доп.расчеты!$A136,'Как есть'!DW$35:DW$42)</f>
        <v>0</v>
      </c>
      <c r="DW136">
        <f>SUMIF('Как есть'!$A$35:$A$42,Доп.расчеты!$A136,'Как есть'!DX$35:DX$42)</f>
        <v>0</v>
      </c>
      <c r="DX136">
        <f>SUMIF('Как есть'!$A$35:$A$42,Доп.расчеты!$A136,'Как есть'!DY$35:DY$42)</f>
        <v>0</v>
      </c>
      <c r="DY136">
        <f>SUMIF('Как есть'!$A$35:$A$42,Доп.расчеты!$A136,'Как есть'!DZ$35:DZ$42)</f>
        <v>0</v>
      </c>
      <c r="DZ136">
        <f>SUMIF('Как есть'!$A$35:$A$42,Доп.расчеты!$A136,'Как есть'!EA$35:EA$42)</f>
        <v>0</v>
      </c>
      <c r="EA136">
        <f>SUMIF('Как есть'!$A$35:$A$42,Доп.расчеты!$A136,'Как есть'!EB$35:EB$42)</f>
        <v>0</v>
      </c>
      <c r="EB136">
        <f>SUMIF('Как есть'!$A$35:$A$42,Доп.расчеты!$A136,'Как есть'!EC$35:EC$42)</f>
        <v>0</v>
      </c>
      <c r="EC136">
        <f>SUMIF('Как есть'!$A$35:$A$42,Доп.расчеты!$A136,'Как есть'!ED$35:ED$42)</f>
        <v>0</v>
      </c>
      <c r="ED136">
        <f>SUMIF('Как есть'!$A$35:$A$42,Доп.расчеты!$A136,'Как есть'!EE$35:EE$42)</f>
        <v>0</v>
      </c>
      <c r="EE136">
        <f>SUMIF('Как есть'!$A$35:$A$42,Доп.расчеты!$A136,'Как есть'!EF$35:EF$42)</f>
        <v>0</v>
      </c>
      <c r="EF136">
        <f>SUMIF('Как есть'!$A$35:$A$42,Доп.расчеты!$A136,'Как есть'!EG$35:EG$42)</f>
        <v>0</v>
      </c>
      <c r="EG136">
        <f>SUMIF('Как есть'!$A$35:$A$42,Доп.расчеты!$A136,'Как есть'!EH$35:EH$42)</f>
        <v>0</v>
      </c>
      <c r="EH136">
        <f>SUMIF('Как есть'!$A$35:$A$42,Доп.расчеты!$A136,'Как есть'!EI$35:EI$42)</f>
        <v>0</v>
      </c>
      <c r="EI136">
        <f>SUMIF('Как есть'!$A$35:$A$42,Доп.расчеты!$A136,'Как есть'!EJ$35:EJ$42)</f>
        <v>0</v>
      </c>
      <c r="EJ136">
        <f>SUMIF('Как есть'!$A$35:$A$42,Доп.расчеты!$A136,'Как есть'!EK$35:EK$42)</f>
        <v>0</v>
      </c>
      <c r="EK136">
        <f>SUMIF('Как есть'!$A$35:$A$42,Доп.расчеты!$A136,'Как есть'!EL$35:EL$42)</f>
        <v>0</v>
      </c>
      <c r="EL136">
        <f>SUMIF('Как есть'!$A$35:$A$42,Доп.расчеты!$A136,'Как есть'!EM$35:EM$42)</f>
        <v>0</v>
      </c>
      <c r="EM136">
        <f>SUMIF('Как есть'!$A$35:$A$42,Доп.расчеты!$A136,'Как есть'!EN$35:EN$42)</f>
        <v>0</v>
      </c>
      <c r="EN136">
        <f>SUMIF('Как есть'!$A$35:$A$42,Доп.расчеты!$A136,'Как есть'!EO$35:EO$42)</f>
        <v>0</v>
      </c>
      <c r="EO136">
        <f>SUMIF('Как есть'!$A$35:$A$42,Доп.расчеты!$A136,'Как есть'!EP$35:EP$42)</f>
        <v>0</v>
      </c>
      <c r="EP136">
        <f>SUMIF('Как есть'!$A$35:$A$42,Доп.расчеты!$A136,'Как есть'!EQ$35:EQ$42)</f>
        <v>0</v>
      </c>
      <c r="EQ136">
        <f>SUMIF('Как есть'!$A$35:$A$42,Доп.расчеты!$A136,'Как есть'!ER$35:ER$42)</f>
        <v>0</v>
      </c>
      <c r="ER136">
        <f>SUMIF('Как есть'!$A$35:$A$42,Доп.расчеты!$A136,'Как есть'!ES$35:ES$42)</f>
        <v>0</v>
      </c>
      <c r="ES136">
        <f>SUMIF('Как есть'!$A$35:$A$42,Доп.расчеты!$A136,'Как есть'!ET$35:ET$42)</f>
        <v>0</v>
      </c>
      <c r="ET136">
        <f>SUMIF('Как есть'!$A$35:$A$42,Доп.расчеты!$A136,'Как есть'!EU$35:EU$42)</f>
        <v>0</v>
      </c>
      <c r="EU136">
        <f>SUMIF('Как есть'!$A$35:$A$42,Доп.расчеты!$A136,'Как есть'!EV$35:EV$42)</f>
        <v>0</v>
      </c>
      <c r="EV136">
        <f>SUMIF('Как есть'!$A$35:$A$42,Доп.расчеты!$A136,'Как есть'!EW$35:EW$42)</f>
        <v>0</v>
      </c>
      <c r="EW136">
        <f>SUMIF('Как есть'!$A$35:$A$42,Доп.расчеты!$A136,'Как есть'!EX$35:EX$42)</f>
        <v>0</v>
      </c>
      <c r="EX136">
        <f>SUMIF('Как есть'!$A$35:$A$42,Доп.расчеты!$A136,'Как есть'!EY$35:EY$42)</f>
        <v>0</v>
      </c>
      <c r="EY136">
        <f>SUMIF('Как есть'!$A$35:$A$42,Доп.расчеты!$A136,'Как есть'!EZ$35:EZ$42)</f>
        <v>0</v>
      </c>
      <c r="EZ136">
        <f>SUMIF('Как есть'!$A$35:$A$42,Доп.расчеты!$A136,'Как есть'!FA$35:FA$42)</f>
        <v>0</v>
      </c>
      <c r="FA136">
        <f>SUMIF('Как есть'!$A$35:$A$42,Доп.расчеты!$A136,'Как есть'!FB$35:FB$42)</f>
        <v>0</v>
      </c>
      <c r="FB136">
        <f>SUMIF('Как есть'!$A$35:$A$42,Доп.расчеты!$A136,'Как есть'!FC$35:FC$42)</f>
        <v>0</v>
      </c>
      <c r="FC136">
        <f>SUMIF('Как есть'!$A$35:$A$42,Доп.расчеты!$A136,'Как есть'!FD$35:FD$42)</f>
        <v>0</v>
      </c>
      <c r="FD136">
        <f>SUMIF('Как есть'!$A$35:$A$42,Доп.расчеты!$A136,'Как есть'!FE$35:FE$42)</f>
        <v>0</v>
      </c>
      <c r="FE136">
        <f>SUMIF('Как есть'!$A$35:$A$42,Доп.расчеты!$A136,'Как есть'!FF$35:FF$42)</f>
        <v>0</v>
      </c>
      <c r="FF136">
        <f>SUMIF('Как есть'!$A$35:$A$42,Доп.расчеты!$A136,'Как есть'!FG$35:FG$42)</f>
        <v>0</v>
      </c>
      <c r="FG136">
        <f>SUMIF('Как есть'!$A$35:$A$42,Доп.расчеты!$A136,'Как есть'!FH$35:FH$42)</f>
        <v>0</v>
      </c>
      <c r="FH136">
        <f>SUMIF('Как есть'!$A$35:$A$42,Доп.расчеты!$A136,'Как есть'!FI$35:FI$42)</f>
        <v>0</v>
      </c>
      <c r="FI136">
        <f>SUMIF('Как есть'!$A$35:$A$42,Доп.расчеты!$A136,'Как есть'!FJ$35:FJ$42)</f>
        <v>0</v>
      </c>
      <c r="FJ136">
        <f>SUMIF('Как есть'!$A$35:$A$42,Доп.расчеты!$A136,'Как есть'!FK$35:FK$42)</f>
        <v>0</v>
      </c>
      <c r="FK136">
        <f>SUMIF('Как есть'!$A$35:$A$42,Доп.расчеты!$A136,'Как есть'!FL$35:FL$42)</f>
        <v>0</v>
      </c>
      <c r="FL136">
        <f>SUMIF('Как есть'!$A$35:$A$42,Доп.расчеты!$A136,'Как есть'!FM$35:FM$42)</f>
        <v>0</v>
      </c>
      <c r="FM136">
        <f>SUMIF('Как есть'!$A$35:$A$42,Доп.расчеты!$A136,'Как есть'!FN$35:FN$42)</f>
        <v>0</v>
      </c>
      <c r="FN136">
        <f>SUMIF('Как есть'!$A$35:$A$42,Доп.расчеты!$A136,'Как есть'!FO$35:FO$42)</f>
        <v>0</v>
      </c>
      <c r="FO136">
        <f>SUMIF('Как есть'!$A$35:$A$42,Доп.расчеты!$A136,'Как есть'!FP$35:FP$42)</f>
        <v>0</v>
      </c>
      <c r="FP136">
        <f>SUMIF('Как есть'!$A$35:$A$42,Доп.расчеты!$A136,'Как есть'!FQ$35:FQ$42)</f>
        <v>0</v>
      </c>
      <c r="FQ136">
        <f>SUMIF('Как есть'!$A$35:$A$42,Доп.расчеты!$A136,'Как есть'!FR$35:FR$42)</f>
        <v>0</v>
      </c>
      <c r="FR136">
        <f>SUMIF('Как есть'!$A$35:$A$42,Доп.расчеты!$A136,'Как есть'!FS$35:FS$42)</f>
        <v>0</v>
      </c>
      <c r="FS136">
        <f>SUMIF('Как есть'!$A$35:$A$42,Доп.расчеты!$A136,'Как есть'!FT$35:FT$42)</f>
        <v>0</v>
      </c>
      <c r="FT136">
        <f>SUMIF('Как есть'!$A$35:$A$42,Доп.расчеты!$A136,'Как есть'!FU$35:FU$42)</f>
        <v>0</v>
      </c>
      <c r="FU136">
        <f>SUMIF('Как есть'!$A$35:$A$42,Доп.расчеты!$A136,'Как есть'!FV$35:FV$42)</f>
        <v>0</v>
      </c>
      <c r="FV136">
        <f>SUMIF('Как есть'!$A$35:$A$42,Доп.расчеты!$A136,'Как есть'!FW$35:FW$42)</f>
        <v>0</v>
      </c>
      <c r="FW136">
        <f>SUMIF('Как есть'!$A$35:$A$42,Доп.расчеты!$A136,'Как есть'!FX$35:FX$42)</f>
        <v>0</v>
      </c>
      <c r="FX136">
        <f>SUMIF('Как есть'!$A$35:$A$42,Доп.расчеты!$A136,'Как есть'!FY$35:FY$42)</f>
        <v>0</v>
      </c>
      <c r="FY136">
        <f>SUMIF('Как есть'!$A$35:$A$42,Доп.расчеты!$A136,'Как есть'!FZ$35:FZ$42)</f>
        <v>0</v>
      </c>
      <c r="FZ136">
        <f>SUMIF('Как есть'!$A$35:$A$42,Доп.расчеты!$A136,'Как есть'!GA$35:GA$42)</f>
        <v>0</v>
      </c>
      <c r="GA136">
        <f>SUMIF('Как есть'!$A$35:$A$42,Доп.расчеты!$A136,'Как есть'!GB$35:GB$42)</f>
        <v>0</v>
      </c>
      <c r="GB136">
        <f>SUMIF('Как есть'!$A$35:$A$42,Доп.расчеты!$A136,'Как есть'!GC$35:GC$42)</f>
        <v>0</v>
      </c>
      <c r="GC136">
        <f>SUMIF('Как есть'!$A$35:$A$42,Доп.расчеты!$A136,'Как есть'!GD$35:GD$42)</f>
        <v>0</v>
      </c>
      <c r="GD136">
        <f>SUMIF('Как есть'!$A$35:$A$42,Доп.расчеты!$A136,'Как есть'!GE$35:GE$42)</f>
        <v>0</v>
      </c>
      <c r="GE136">
        <f>SUMIF('Как есть'!$A$35:$A$42,Доп.расчеты!$A136,'Как есть'!GF$35:GF$42)</f>
        <v>0</v>
      </c>
      <c r="GF136">
        <f>SUMIF('Как есть'!$A$35:$A$42,Доп.расчеты!$A136,'Как есть'!GG$35:GG$42)</f>
        <v>0</v>
      </c>
      <c r="GG136">
        <f>SUMIF('Как есть'!$A$35:$A$42,Доп.расчеты!$A136,'Как есть'!GH$35:GH$42)</f>
        <v>0</v>
      </c>
      <c r="GH136">
        <f>SUMIF('Как есть'!$A$35:$A$42,Доп.расчеты!$A136,'Как есть'!GI$35:GI$42)</f>
        <v>0</v>
      </c>
      <c r="GI136">
        <f>SUMIF('Как есть'!$A$35:$A$42,Доп.расчеты!$A136,'Как есть'!GJ$35:GJ$42)</f>
        <v>0</v>
      </c>
      <c r="GJ136">
        <f>SUMIF('Как есть'!$A$35:$A$42,Доп.расчеты!$A136,'Как есть'!GK$35:GK$42)</f>
        <v>0</v>
      </c>
      <c r="GK136">
        <f>SUMIF('Как есть'!$A$35:$A$42,Доп.расчеты!$A136,'Как есть'!GL$35:GL$42)</f>
        <v>0</v>
      </c>
      <c r="GL136">
        <f>SUMIF('Как есть'!$A$35:$A$42,Доп.расчеты!$A136,'Как есть'!GM$35:GM$42)</f>
        <v>0</v>
      </c>
      <c r="GM136">
        <f>SUMIF('Как есть'!$A$35:$A$42,Доп.расчеты!$A136,'Как есть'!GN$35:GN$42)</f>
        <v>0</v>
      </c>
      <c r="GN136">
        <f>SUMIF('Как есть'!$A$35:$A$42,Доп.расчеты!$A136,'Как есть'!GO$35:GO$42)</f>
        <v>0</v>
      </c>
      <c r="GO136">
        <f>SUMIF('Как есть'!$A$35:$A$42,Доп.расчеты!$A136,'Как есть'!GP$35:GP$42)</f>
        <v>0</v>
      </c>
      <c r="GP136">
        <f>SUMIF('Как есть'!$A$35:$A$42,Доп.расчеты!$A136,'Как есть'!GQ$35:GQ$42)</f>
        <v>0</v>
      </c>
      <c r="GQ136">
        <f>SUMIF('Как есть'!$A$35:$A$42,Доп.расчеты!$A136,'Как есть'!GR$35:GR$42)</f>
        <v>0</v>
      </c>
      <c r="GR136">
        <f>SUMIF('Как есть'!$A$35:$A$42,Доп.расчеты!$A136,'Как есть'!GS$35:GS$42)</f>
        <v>0</v>
      </c>
      <c r="GS136">
        <f>SUMIF('Как есть'!$A$35:$A$42,Доп.расчеты!$A136,'Как есть'!GT$35:GT$42)</f>
        <v>0</v>
      </c>
      <c r="GT136">
        <f>SUMIF('Как есть'!$A$35:$A$42,Доп.расчеты!$A136,'Как есть'!GU$35:GU$42)</f>
        <v>0</v>
      </c>
    </row>
    <row r="137" spans="1:202" hidden="1" outlineLevel="1">
      <c r="A137" s="238" t="s">
        <v>113</v>
      </c>
      <c r="B137">
        <f>SUMIF('Как есть'!$A$35:$A$42,Доп.расчеты!$A137,'Как есть'!C$35:C$42)</f>
        <v>0</v>
      </c>
      <c r="C137">
        <f>SUMIF('Как есть'!$A$35:$A$42,Доп.расчеты!$A137,'Как есть'!D$35:D$42)</f>
        <v>0</v>
      </c>
      <c r="D137">
        <f>SUMIF('Как есть'!$A$35:$A$42,Доп.расчеты!$A137,'Как есть'!E$35:E$42)</f>
        <v>0</v>
      </c>
      <c r="E137">
        <f>SUMIF('Как есть'!$A$35:$A$42,Доп.расчеты!$A137,'Как есть'!F$35:F$42)</f>
        <v>0</v>
      </c>
      <c r="F137">
        <f>SUMIF('Как есть'!$A$35:$A$42,Доп.расчеты!$A137,'Как есть'!G$35:G$42)</f>
        <v>0</v>
      </c>
      <c r="G137">
        <f>SUMIF('Как есть'!$A$35:$A$42,Доп.расчеты!$A137,'Как есть'!H$35:H$42)</f>
        <v>0</v>
      </c>
      <c r="H137">
        <f>SUMIF('Как есть'!$A$35:$A$42,Доп.расчеты!$A137,'Как есть'!I$35:I$42)</f>
        <v>0</v>
      </c>
      <c r="I137">
        <f>SUMIF('Как есть'!$A$35:$A$42,Доп.расчеты!$A137,'Как есть'!J$35:J$42)</f>
        <v>0</v>
      </c>
      <c r="J137">
        <f>SUMIF('Как есть'!$A$35:$A$42,Доп.расчеты!$A137,'Как есть'!K$35:K$42)</f>
        <v>0</v>
      </c>
      <c r="K137">
        <f>SUMIF('Как есть'!$A$35:$A$42,Доп.расчеты!$A137,'Как есть'!L$35:L$42)</f>
        <v>0</v>
      </c>
      <c r="L137">
        <f>SUMIF('Как есть'!$A$35:$A$42,Доп.расчеты!$A137,'Как есть'!M$35:M$42)</f>
        <v>0</v>
      </c>
      <c r="M137">
        <f>SUMIF('Как есть'!$A$35:$A$42,Доп.расчеты!$A137,'Как есть'!N$35:N$42)</f>
        <v>0</v>
      </c>
      <c r="N137">
        <f>SUMIF('Как есть'!$A$35:$A$42,Доп.расчеты!$A137,'Как есть'!O$35:O$42)</f>
        <v>0</v>
      </c>
      <c r="O137">
        <f>SUMIF('Как есть'!$A$35:$A$42,Доп.расчеты!$A137,'Как есть'!P$35:P$42)</f>
        <v>0</v>
      </c>
      <c r="P137">
        <f>SUMIF('Как есть'!$A$35:$A$42,Доп.расчеты!$A137,'Как есть'!Q$35:Q$42)</f>
        <v>0</v>
      </c>
      <c r="Q137">
        <f>SUMIF('Как есть'!$A$35:$A$42,Доп.расчеты!$A137,'Как есть'!R$35:R$42)</f>
        <v>0</v>
      </c>
      <c r="R137">
        <f>SUMIF('Как есть'!$A$35:$A$42,Доп.расчеты!$A137,'Как есть'!S$35:S$42)</f>
        <v>0</v>
      </c>
      <c r="S137">
        <f>SUMIF('Как есть'!$A$35:$A$42,Доп.расчеты!$A137,'Как есть'!T$35:T$42)</f>
        <v>0</v>
      </c>
      <c r="T137">
        <f>SUMIF('Как есть'!$A$35:$A$42,Доп.расчеты!$A137,'Как есть'!U$35:U$42)</f>
        <v>0</v>
      </c>
      <c r="U137">
        <f>SUMIF('Как есть'!$A$35:$A$42,Доп.расчеты!$A137,'Как есть'!V$35:V$42)</f>
        <v>0</v>
      </c>
      <c r="V137">
        <f>SUMIF('Как есть'!$A$35:$A$42,Доп.расчеты!$A137,'Как есть'!W$35:W$42)</f>
        <v>0</v>
      </c>
      <c r="W137">
        <f>SUMIF('Как есть'!$A$35:$A$42,Доп.расчеты!$A137,'Как есть'!X$35:X$42)</f>
        <v>0</v>
      </c>
      <c r="X137">
        <f>SUMIF('Как есть'!$A$35:$A$42,Доп.расчеты!$A137,'Как есть'!Y$35:Y$42)</f>
        <v>0</v>
      </c>
      <c r="Y137">
        <f>SUMIF('Как есть'!$A$35:$A$42,Доп.расчеты!$A137,'Как есть'!Z$35:Z$42)</f>
        <v>0</v>
      </c>
      <c r="Z137">
        <f>SUMIF('Как есть'!$A$35:$A$42,Доп.расчеты!$A137,'Как есть'!AA$35:AA$42)</f>
        <v>0</v>
      </c>
      <c r="AA137">
        <f>SUMIF('Как есть'!$A$35:$A$42,Доп.расчеты!$A137,'Как есть'!AB$35:AB$42)</f>
        <v>0</v>
      </c>
      <c r="AB137">
        <f>SUMIF('Как есть'!$A$35:$A$42,Доп.расчеты!$A137,'Как есть'!AC$35:AC$42)</f>
        <v>0</v>
      </c>
      <c r="AC137">
        <f>SUMIF('Как есть'!$A$35:$A$42,Доп.расчеты!$A137,'Как есть'!AD$35:AD$42)</f>
        <v>0</v>
      </c>
      <c r="AD137">
        <f>SUMIF('Как есть'!$A$35:$A$42,Доп.расчеты!$A137,'Как есть'!AE$35:AE$42)</f>
        <v>0</v>
      </c>
      <c r="AE137">
        <f>SUMIF('Как есть'!$A$35:$A$42,Доп.расчеты!$A137,'Как есть'!AF$35:AF$42)</f>
        <v>0</v>
      </c>
      <c r="AF137">
        <f>SUMIF('Как есть'!$A$35:$A$42,Доп.расчеты!$A137,'Как есть'!AG$35:AG$42)</f>
        <v>0</v>
      </c>
      <c r="AG137">
        <f>SUMIF('Как есть'!$A$35:$A$42,Доп.расчеты!$A137,'Как есть'!AH$35:AH$42)</f>
        <v>0</v>
      </c>
      <c r="AH137">
        <f>SUMIF('Как есть'!$A$35:$A$42,Доп.расчеты!$A137,'Как есть'!AI$35:AI$42)</f>
        <v>0</v>
      </c>
      <c r="AI137">
        <f>SUMIF('Как есть'!$A$35:$A$42,Доп.расчеты!$A137,'Как есть'!AJ$35:AJ$42)</f>
        <v>0</v>
      </c>
      <c r="AJ137">
        <f>SUMIF('Как есть'!$A$35:$A$42,Доп.расчеты!$A137,'Как есть'!AK$35:AK$42)</f>
        <v>0</v>
      </c>
      <c r="AK137">
        <f>SUMIF('Как есть'!$A$35:$A$42,Доп.расчеты!$A137,'Как есть'!AL$35:AL$42)</f>
        <v>0</v>
      </c>
      <c r="AL137">
        <f>SUMIF('Как есть'!$A$35:$A$42,Доп.расчеты!$A137,'Как есть'!AM$35:AM$42)</f>
        <v>0</v>
      </c>
      <c r="AM137">
        <f>SUMIF('Как есть'!$A$35:$A$42,Доп.расчеты!$A137,'Как есть'!AN$35:AN$42)</f>
        <v>0</v>
      </c>
      <c r="AN137">
        <f>SUMIF('Как есть'!$A$35:$A$42,Доп.расчеты!$A137,'Как есть'!AO$35:AO$42)</f>
        <v>0</v>
      </c>
      <c r="AO137">
        <f>SUMIF('Как есть'!$A$35:$A$42,Доп.расчеты!$A137,'Как есть'!AP$35:AP$42)</f>
        <v>0</v>
      </c>
      <c r="AP137">
        <f>SUMIF('Как есть'!$A$35:$A$42,Доп.расчеты!$A137,'Как есть'!AQ$35:AQ$42)</f>
        <v>0</v>
      </c>
      <c r="AQ137">
        <f>SUMIF('Как есть'!$A$35:$A$42,Доп.расчеты!$A137,'Как есть'!AR$35:AR$42)</f>
        <v>0</v>
      </c>
      <c r="AR137">
        <f>SUMIF('Как есть'!$A$35:$A$42,Доп.расчеты!$A137,'Как есть'!AS$35:AS$42)</f>
        <v>0</v>
      </c>
      <c r="AS137">
        <f>SUMIF('Как есть'!$A$35:$A$42,Доп.расчеты!$A137,'Как есть'!AT$35:AT$42)</f>
        <v>0</v>
      </c>
      <c r="AT137">
        <f>SUMIF('Как есть'!$A$35:$A$42,Доп.расчеты!$A137,'Как есть'!AU$35:AU$42)</f>
        <v>0</v>
      </c>
      <c r="AU137">
        <f>SUMIF('Как есть'!$A$35:$A$42,Доп.расчеты!$A137,'Как есть'!AV$35:AV$42)</f>
        <v>0</v>
      </c>
      <c r="AV137">
        <f>SUMIF('Как есть'!$A$35:$A$42,Доп.расчеты!$A137,'Как есть'!AW$35:AW$42)</f>
        <v>0</v>
      </c>
      <c r="AW137">
        <f>SUMIF('Как есть'!$A$35:$A$42,Доп.расчеты!$A137,'Как есть'!AX$35:AX$42)</f>
        <v>0</v>
      </c>
      <c r="AX137">
        <f>SUMIF('Как есть'!$A$35:$A$42,Доп.расчеты!$A137,'Как есть'!AY$35:AY$42)</f>
        <v>0</v>
      </c>
      <c r="AY137">
        <f>SUMIF('Как есть'!$A$35:$A$42,Доп.расчеты!$A137,'Как есть'!AZ$35:AZ$42)</f>
        <v>0</v>
      </c>
      <c r="AZ137">
        <f>SUMIF('Как есть'!$A$35:$A$42,Доп.расчеты!$A137,'Как есть'!BA$35:BA$42)</f>
        <v>0</v>
      </c>
      <c r="BA137">
        <f>SUMIF('Как есть'!$A$35:$A$42,Доп.расчеты!$A137,'Как есть'!BB$35:BB$42)</f>
        <v>0</v>
      </c>
      <c r="BB137">
        <f>SUMIF('Как есть'!$A$35:$A$42,Доп.расчеты!$A137,'Как есть'!BC$35:BC$42)</f>
        <v>0</v>
      </c>
      <c r="BC137">
        <f>SUMIF('Как есть'!$A$35:$A$42,Доп.расчеты!$A137,'Как есть'!BD$35:BD$42)</f>
        <v>0</v>
      </c>
      <c r="BD137">
        <f>SUMIF('Как есть'!$A$35:$A$42,Доп.расчеты!$A137,'Как есть'!BE$35:BE$42)</f>
        <v>0</v>
      </c>
      <c r="BE137">
        <f>SUMIF('Как есть'!$A$35:$A$42,Доп.расчеты!$A137,'Как есть'!BF$35:BF$42)</f>
        <v>0</v>
      </c>
      <c r="BF137">
        <f>SUMIF('Как есть'!$A$35:$A$42,Доп.расчеты!$A137,'Как есть'!BG$35:BG$42)</f>
        <v>0</v>
      </c>
      <c r="BG137">
        <f>SUMIF('Как есть'!$A$35:$A$42,Доп.расчеты!$A137,'Как есть'!BH$35:BH$42)</f>
        <v>0</v>
      </c>
      <c r="BH137">
        <f>SUMIF('Как есть'!$A$35:$A$42,Доп.расчеты!$A137,'Как есть'!BI$35:BI$42)</f>
        <v>0</v>
      </c>
      <c r="BI137">
        <f>SUMIF('Как есть'!$A$35:$A$42,Доп.расчеты!$A137,'Как есть'!BJ$35:BJ$42)</f>
        <v>0</v>
      </c>
      <c r="BJ137">
        <f>SUMIF('Как есть'!$A$35:$A$42,Доп.расчеты!$A137,'Как есть'!BK$35:BK$42)</f>
        <v>0</v>
      </c>
      <c r="BK137">
        <f>SUMIF('Как есть'!$A$35:$A$42,Доп.расчеты!$A137,'Как есть'!BL$35:BL$42)</f>
        <v>0</v>
      </c>
      <c r="BL137">
        <f>SUMIF('Как есть'!$A$35:$A$42,Доп.расчеты!$A137,'Как есть'!BM$35:BM$42)</f>
        <v>0</v>
      </c>
      <c r="BM137">
        <f>SUMIF('Как есть'!$A$35:$A$42,Доп.расчеты!$A137,'Как есть'!BN$35:BN$42)</f>
        <v>0</v>
      </c>
      <c r="BN137">
        <f>SUMIF('Как есть'!$A$35:$A$42,Доп.расчеты!$A137,'Как есть'!BO$35:BO$42)</f>
        <v>0</v>
      </c>
      <c r="BO137">
        <f>SUMIF('Как есть'!$A$35:$A$42,Доп.расчеты!$A137,'Как есть'!BP$35:BP$42)</f>
        <v>0</v>
      </c>
      <c r="BP137">
        <f>SUMIF('Как есть'!$A$35:$A$42,Доп.расчеты!$A137,'Как есть'!BQ$35:BQ$42)</f>
        <v>0</v>
      </c>
      <c r="BQ137">
        <f>SUMIF('Как есть'!$A$35:$A$42,Доп.расчеты!$A137,'Как есть'!BR$35:BR$42)</f>
        <v>0</v>
      </c>
      <c r="BR137">
        <f>SUMIF('Как есть'!$A$35:$A$42,Доп.расчеты!$A137,'Как есть'!BS$35:BS$42)</f>
        <v>0</v>
      </c>
      <c r="BS137">
        <f>SUMIF('Как есть'!$A$35:$A$42,Доп.расчеты!$A137,'Как есть'!BT$35:BT$42)</f>
        <v>0</v>
      </c>
      <c r="BT137">
        <f>SUMIF('Как есть'!$A$35:$A$42,Доп.расчеты!$A137,'Как есть'!BU$35:BU$42)</f>
        <v>0</v>
      </c>
      <c r="BU137">
        <f>SUMIF('Как есть'!$A$35:$A$42,Доп.расчеты!$A137,'Как есть'!BV$35:BV$42)</f>
        <v>0</v>
      </c>
      <c r="BV137">
        <f>SUMIF('Как есть'!$A$35:$A$42,Доп.расчеты!$A137,'Как есть'!BW$35:BW$42)</f>
        <v>0</v>
      </c>
      <c r="BW137">
        <f>SUMIF('Как есть'!$A$35:$A$42,Доп.расчеты!$A137,'Как есть'!BX$35:BX$42)</f>
        <v>0</v>
      </c>
      <c r="BX137">
        <f>SUMIF('Как есть'!$A$35:$A$42,Доп.расчеты!$A137,'Как есть'!BY$35:BY$42)</f>
        <v>0</v>
      </c>
      <c r="BY137">
        <f>SUMIF('Как есть'!$A$35:$A$42,Доп.расчеты!$A137,'Как есть'!BZ$35:BZ$42)</f>
        <v>0</v>
      </c>
      <c r="BZ137">
        <f>SUMIF('Как есть'!$A$35:$A$42,Доп.расчеты!$A137,'Как есть'!CA$35:CA$42)</f>
        <v>0</v>
      </c>
      <c r="CA137">
        <f>SUMIF('Как есть'!$A$35:$A$42,Доп.расчеты!$A137,'Как есть'!CB$35:CB$42)</f>
        <v>0</v>
      </c>
      <c r="CB137">
        <f>SUMIF('Как есть'!$A$35:$A$42,Доп.расчеты!$A137,'Как есть'!CC$35:CC$42)</f>
        <v>0</v>
      </c>
      <c r="CC137">
        <f>SUMIF('Как есть'!$A$35:$A$42,Доп.расчеты!$A137,'Как есть'!CD$35:CD$42)</f>
        <v>0</v>
      </c>
      <c r="CD137">
        <f>SUMIF('Как есть'!$A$35:$A$42,Доп.расчеты!$A137,'Как есть'!CE$35:CE$42)</f>
        <v>0</v>
      </c>
      <c r="CE137">
        <f>SUMIF('Как есть'!$A$35:$A$42,Доп.расчеты!$A137,'Как есть'!CF$35:CF$42)</f>
        <v>0</v>
      </c>
      <c r="CF137">
        <f>SUMIF('Как есть'!$A$35:$A$42,Доп.расчеты!$A137,'Как есть'!CG$35:CG$42)</f>
        <v>0</v>
      </c>
      <c r="CG137">
        <f>SUMIF('Как есть'!$A$35:$A$42,Доп.расчеты!$A137,'Как есть'!CH$35:CH$42)</f>
        <v>0</v>
      </c>
      <c r="CH137">
        <f>SUMIF('Как есть'!$A$35:$A$42,Доп.расчеты!$A137,'Как есть'!CI$35:CI$42)</f>
        <v>0</v>
      </c>
      <c r="CI137">
        <f>SUMIF('Как есть'!$A$35:$A$42,Доп.расчеты!$A137,'Как есть'!CJ$35:CJ$42)</f>
        <v>0</v>
      </c>
      <c r="CJ137">
        <f>SUMIF('Как есть'!$A$35:$A$42,Доп.расчеты!$A137,'Как есть'!CK$35:CK$42)</f>
        <v>0</v>
      </c>
      <c r="CK137">
        <f>SUMIF('Как есть'!$A$35:$A$42,Доп.расчеты!$A137,'Как есть'!CL$35:CL$42)</f>
        <v>0</v>
      </c>
      <c r="CL137">
        <f>SUMIF('Как есть'!$A$35:$A$42,Доп.расчеты!$A137,'Как есть'!CM$35:CM$42)</f>
        <v>0</v>
      </c>
      <c r="CM137">
        <f>SUMIF('Как есть'!$A$35:$A$42,Доп.расчеты!$A137,'Как есть'!CN$35:CN$42)</f>
        <v>0</v>
      </c>
      <c r="CN137">
        <f>SUMIF('Как есть'!$A$35:$A$42,Доп.расчеты!$A137,'Как есть'!CO$35:CO$42)</f>
        <v>0</v>
      </c>
      <c r="CO137">
        <f>SUMIF('Как есть'!$A$35:$A$42,Доп.расчеты!$A137,'Как есть'!CP$35:CP$42)</f>
        <v>0</v>
      </c>
      <c r="CP137">
        <f>SUMIF('Как есть'!$A$35:$A$42,Доп.расчеты!$A137,'Как есть'!CQ$35:CQ$42)</f>
        <v>0</v>
      </c>
      <c r="CQ137">
        <f>SUMIF('Как есть'!$A$35:$A$42,Доп.расчеты!$A137,'Как есть'!CR$35:CR$42)</f>
        <v>0</v>
      </c>
      <c r="CR137">
        <f>SUMIF('Как есть'!$A$35:$A$42,Доп.расчеты!$A137,'Как есть'!CS$35:CS$42)</f>
        <v>0</v>
      </c>
      <c r="CS137">
        <f>SUMIF('Как есть'!$A$35:$A$42,Доп.расчеты!$A137,'Как есть'!CT$35:CT$42)</f>
        <v>0</v>
      </c>
      <c r="CT137">
        <f>SUMIF('Как есть'!$A$35:$A$42,Доп.расчеты!$A137,'Как есть'!CU$35:CU$42)</f>
        <v>0</v>
      </c>
      <c r="CU137">
        <f>SUMIF('Как есть'!$A$35:$A$42,Доп.расчеты!$A137,'Как есть'!CV$35:CV$42)</f>
        <v>0</v>
      </c>
      <c r="CV137">
        <f>SUMIF('Как есть'!$A$35:$A$42,Доп.расчеты!$A137,'Как есть'!CW$35:CW$42)</f>
        <v>0</v>
      </c>
      <c r="CW137">
        <f>SUMIF('Как есть'!$A$35:$A$42,Доп.расчеты!$A137,'Как есть'!CX$35:CX$42)</f>
        <v>0</v>
      </c>
      <c r="CX137">
        <f>SUMIF('Как есть'!$A$35:$A$42,Доп.расчеты!$A137,'Как есть'!CY$35:CY$42)</f>
        <v>0</v>
      </c>
      <c r="CY137">
        <f>SUMIF('Как есть'!$A$35:$A$42,Доп.расчеты!$A137,'Как есть'!CZ$35:CZ$42)</f>
        <v>0</v>
      </c>
      <c r="CZ137">
        <f>SUMIF('Как есть'!$A$35:$A$42,Доп.расчеты!$A137,'Как есть'!DA$35:DA$42)</f>
        <v>0</v>
      </c>
      <c r="DA137">
        <f>SUMIF('Как есть'!$A$35:$A$42,Доп.расчеты!$A137,'Как есть'!DB$35:DB$42)</f>
        <v>0</v>
      </c>
      <c r="DB137">
        <f>SUMIF('Как есть'!$A$35:$A$42,Доп.расчеты!$A137,'Как есть'!DC$35:DC$42)</f>
        <v>0</v>
      </c>
      <c r="DC137">
        <f>SUMIF('Как есть'!$A$35:$A$42,Доп.расчеты!$A137,'Как есть'!DD$35:DD$42)</f>
        <v>0</v>
      </c>
      <c r="DD137">
        <f>SUMIF('Как есть'!$A$35:$A$42,Доп.расчеты!$A137,'Как есть'!DE$35:DE$42)</f>
        <v>0</v>
      </c>
      <c r="DE137">
        <f>SUMIF('Как есть'!$A$35:$A$42,Доп.расчеты!$A137,'Как есть'!DF$35:DF$42)</f>
        <v>0</v>
      </c>
      <c r="DF137">
        <f>SUMIF('Как есть'!$A$35:$A$42,Доп.расчеты!$A137,'Как есть'!DG$35:DG$42)</f>
        <v>0</v>
      </c>
      <c r="DG137">
        <f>SUMIF('Как есть'!$A$35:$A$42,Доп.расчеты!$A137,'Как есть'!DH$35:DH$42)</f>
        <v>0</v>
      </c>
      <c r="DH137">
        <f>SUMIF('Как есть'!$A$35:$A$42,Доп.расчеты!$A137,'Как есть'!DI$35:DI$42)</f>
        <v>0</v>
      </c>
      <c r="DI137">
        <f>SUMIF('Как есть'!$A$35:$A$42,Доп.расчеты!$A137,'Как есть'!DJ$35:DJ$42)</f>
        <v>0</v>
      </c>
      <c r="DJ137">
        <f>SUMIF('Как есть'!$A$35:$A$42,Доп.расчеты!$A137,'Как есть'!DK$35:DK$42)</f>
        <v>0</v>
      </c>
      <c r="DK137">
        <f>SUMIF('Как есть'!$A$35:$A$42,Доп.расчеты!$A137,'Как есть'!DL$35:DL$42)</f>
        <v>0</v>
      </c>
      <c r="DL137">
        <f>SUMIF('Как есть'!$A$35:$A$42,Доп.расчеты!$A137,'Как есть'!DM$35:DM$42)</f>
        <v>0</v>
      </c>
      <c r="DM137">
        <f>SUMIF('Как есть'!$A$35:$A$42,Доп.расчеты!$A137,'Как есть'!DN$35:DN$42)</f>
        <v>0</v>
      </c>
      <c r="DN137">
        <f>SUMIF('Как есть'!$A$35:$A$42,Доп.расчеты!$A137,'Как есть'!DO$35:DO$42)</f>
        <v>0</v>
      </c>
      <c r="DO137">
        <f>SUMIF('Как есть'!$A$35:$A$42,Доп.расчеты!$A137,'Как есть'!DP$35:DP$42)</f>
        <v>0</v>
      </c>
      <c r="DP137">
        <f>SUMIF('Как есть'!$A$35:$A$42,Доп.расчеты!$A137,'Как есть'!DQ$35:DQ$42)</f>
        <v>0</v>
      </c>
      <c r="DQ137">
        <f>SUMIF('Как есть'!$A$35:$A$42,Доп.расчеты!$A137,'Как есть'!DR$35:DR$42)</f>
        <v>0</v>
      </c>
      <c r="DR137">
        <f>SUMIF('Как есть'!$A$35:$A$42,Доп.расчеты!$A137,'Как есть'!DS$35:DS$42)</f>
        <v>0</v>
      </c>
      <c r="DS137">
        <f>SUMIF('Как есть'!$A$35:$A$42,Доп.расчеты!$A137,'Как есть'!DT$35:DT$42)</f>
        <v>0</v>
      </c>
      <c r="DT137">
        <f>SUMIF('Как есть'!$A$35:$A$42,Доп.расчеты!$A137,'Как есть'!DU$35:DU$42)</f>
        <v>0</v>
      </c>
      <c r="DU137">
        <f>SUMIF('Как есть'!$A$35:$A$42,Доп.расчеты!$A137,'Как есть'!DV$35:DV$42)</f>
        <v>0</v>
      </c>
      <c r="DV137">
        <f>SUMIF('Как есть'!$A$35:$A$42,Доп.расчеты!$A137,'Как есть'!DW$35:DW$42)</f>
        <v>0</v>
      </c>
      <c r="DW137">
        <f>SUMIF('Как есть'!$A$35:$A$42,Доп.расчеты!$A137,'Как есть'!DX$35:DX$42)</f>
        <v>0</v>
      </c>
      <c r="DX137">
        <f>SUMIF('Как есть'!$A$35:$A$42,Доп.расчеты!$A137,'Как есть'!DY$35:DY$42)</f>
        <v>0</v>
      </c>
      <c r="DY137">
        <f>SUMIF('Как есть'!$A$35:$A$42,Доп.расчеты!$A137,'Как есть'!DZ$35:DZ$42)</f>
        <v>0</v>
      </c>
      <c r="DZ137">
        <f>SUMIF('Как есть'!$A$35:$A$42,Доп.расчеты!$A137,'Как есть'!EA$35:EA$42)</f>
        <v>0</v>
      </c>
      <c r="EA137">
        <f>SUMIF('Как есть'!$A$35:$A$42,Доп.расчеты!$A137,'Как есть'!EB$35:EB$42)</f>
        <v>0</v>
      </c>
      <c r="EB137">
        <f>SUMIF('Как есть'!$A$35:$A$42,Доп.расчеты!$A137,'Как есть'!EC$35:EC$42)</f>
        <v>0</v>
      </c>
      <c r="EC137">
        <f>SUMIF('Как есть'!$A$35:$A$42,Доп.расчеты!$A137,'Как есть'!ED$35:ED$42)</f>
        <v>0</v>
      </c>
      <c r="ED137">
        <f>SUMIF('Как есть'!$A$35:$A$42,Доп.расчеты!$A137,'Как есть'!EE$35:EE$42)</f>
        <v>0</v>
      </c>
      <c r="EE137">
        <f>SUMIF('Как есть'!$A$35:$A$42,Доп.расчеты!$A137,'Как есть'!EF$35:EF$42)</f>
        <v>0</v>
      </c>
      <c r="EF137">
        <f>SUMIF('Как есть'!$A$35:$A$42,Доп.расчеты!$A137,'Как есть'!EG$35:EG$42)</f>
        <v>0</v>
      </c>
      <c r="EG137">
        <f>SUMIF('Как есть'!$A$35:$A$42,Доп.расчеты!$A137,'Как есть'!EH$35:EH$42)</f>
        <v>0</v>
      </c>
      <c r="EH137">
        <f>SUMIF('Как есть'!$A$35:$A$42,Доп.расчеты!$A137,'Как есть'!EI$35:EI$42)</f>
        <v>0</v>
      </c>
      <c r="EI137">
        <f>SUMIF('Как есть'!$A$35:$A$42,Доп.расчеты!$A137,'Как есть'!EJ$35:EJ$42)</f>
        <v>0</v>
      </c>
      <c r="EJ137">
        <f>SUMIF('Как есть'!$A$35:$A$42,Доп.расчеты!$A137,'Как есть'!EK$35:EK$42)</f>
        <v>0</v>
      </c>
      <c r="EK137">
        <f>SUMIF('Как есть'!$A$35:$A$42,Доп.расчеты!$A137,'Как есть'!EL$35:EL$42)</f>
        <v>0</v>
      </c>
      <c r="EL137">
        <f>SUMIF('Как есть'!$A$35:$A$42,Доп.расчеты!$A137,'Как есть'!EM$35:EM$42)</f>
        <v>0</v>
      </c>
      <c r="EM137">
        <f>SUMIF('Как есть'!$A$35:$A$42,Доп.расчеты!$A137,'Как есть'!EN$35:EN$42)</f>
        <v>0</v>
      </c>
      <c r="EN137">
        <f>SUMIF('Как есть'!$A$35:$A$42,Доп.расчеты!$A137,'Как есть'!EO$35:EO$42)</f>
        <v>0</v>
      </c>
      <c r="EO137">
        <f>SUMIF('Как есть'!$A$35:$A$42,Доп.расчеты!$A137,'Как есть'!EP$35:EP$42)</f>
        <v>0</v>
      </c>
      <c r="EP137">
        <f>SUMIF('Как есть'!$A$35:$A$42,Доп.расчеты!$A137,'Как есть'!EQ$35:EQ$42)</f>
        <v>0</v>
      </c>
      <c r="EQ137">
        <f>SUMIF('Как есть'!$A$35:$A$42,Доп.расчеты!$A137,'Как есть'!ER$35:ER$42)</f>
        <v>0</v>
      </c>
      <c r="ER137">
        <f>SUMIF('Как есть'!$A$35:$A$42,Доп.расчеты!$A137,'Как есть'!ES$35:ES$42)</f>
        <v>0</v>
      </c>
      <c r="ES137">
        <f>SUMIF('Как есть'!$A$35:$A$42,Доп.расчеты!$A137,'Как есть'!ET$35:ET$42)</f>
        <v>0</v>
      </c>
      <c r="ET137">
        <f>SUMIF('Как есть'!$A$35:$A$42,Доп.расчеты!$A137,'Как есть'!EU$35:EU$42)</f>
        <v>0</v>
      </c>
      <c r="EU137">
        <f>SUMIF('Как есть'!$A$35:$A$42,Доп.расчеты!$A137,'Как есть'!EV$35:EV$42)</f>
        <v>0</v>
      </c>
      <c r="EV137">
        <f>SUMIF('Как есть'!$A$35:$A$42,Доп.расчеты!$A137,'Как есть'!EW$35:EW$42)</f>
        <v>0</v>
      </c>
      <c r="EW137">
        <f>SUMIF('Как есть'!$A$35:$A$42,Доп.расчеты!$A137,'Как есть'!EX$35:EX$42)</f>
        <v>0</v>
      </c>
      <c r="EX137">
        <f>SUMIF('Как есть'!$A$35:$A$42,Доп.расчеты!$A137,'Как есть'!EY$35:EY$42)</f>
        <v>0</v>
      </c>
      <c r="EY137">
        <f>SUMIF('Как есть'!$A$35:$A$42,Доп.расчеты!$A137,'Как есть'!EZ$35:EZ$42)</f>
        <v>0</v>
      </c>
      <c r="EZ137">
        <f>SUMIF('Как есть'!$A$35:$A$42,Доп.расчеты!$A137,'Как есть'!FA$35:FA$42)</f>
        <v>0</v>
      </c>
      <c r="FA137">
        <f>SUMIF('Как есть'!$A$35:$A$42,Доп.расчеты!$A137,'Как есть'!FB$35:FB$42)</f>
        <v>0</v>
      </c>
      <c r="FB137">
        <f>SUMIF('Как есть'!$A$35:$A$42,Доп.расчеты!$A137,'Как есть'!FC$35:FC$42)</f>
        <v>0</v>
      </c>
      <c r="FC137">
        <f>SUMIF('Как есть'!$A$35:$A$42,Доп.расчеты!$A137,'Как есть'!FD$35:FD$42)</f>
        <v>0</v>
      </c>
      <c r="FD137">
        <f>SUMIF('Как есть'!$A$35:$A$42,Доп.расчеты!$A137,'Как есть'!FE$35:FE$42)</f>
        <v>0</v>
      </c>
      <c r="FE137">
        <f>SUMIF('Как есть'!$A$35:$A$42,Доп.расчеты!$A137,'Как есть'!FF$35:FF$42)</f>
        <v>0</v>
      </c>
      <c r="FF137">
        <f>SUMIF('Как есть'!$A$35:$A$42,Доп.расчеты!$A137,'Как есть'!FG$35:FG$42)</f>
        <v>0</v>
      </c>
      <c r="FG137">
        <f>SUMIF('Как есть'!$A$35:$A$42,Доп.расчеты!$A137,'Как есть'!FH$35:FH$42)</f>
        <v>0</v>
      </c>
      <c r="FH137">
        <f>SUMIF('Как есть'!$A$35:$A$42,Доп.расчеты!$A137,'Как есть'!FI$35:FI$42)</f>
        <v>0</v>
      </c>
      <c r="FI137">
        <f>SUMIF('Как есть'!$A$35:$A$42,Доп.расчеты!$A137,'Как есть'!FJ$35:FJ$42)</f>
        <v>0</v>
      </c>
      <c r="FJ137">
        <f>SUMIF('Как есть'!$A$35:$A$42,Доп.расчеты!$A137,'Как есть'!FK$35:FK$42)</f>
        <v>0</v>
      </c>
      <c r="FK137">
        <f>SUMIF('Как есть'!$A$35:$A$42,Доп.расчеты!$A137,'Как есть'!FL$35:FL$42)</f>
        <v>0</v>
      </c>
      <c r="FL137">
        <f>SUMIF('Как есть'!$A$35:$A$42,Доп.расчеты!$A137,'Как есть'!FM$35:FM$42)</f>
        <v>0</v>
      </c>
      <c r="FM137">
        <f>SUMIF('Как есть'!$A$35:$A$42,Доп.расчеты!$A137,'Как есть'!FN$35:FN$42)</f>
        <v>0</v>
      </c>
      <c r="FN137">
        <f>SUMIF('Как есть'!$A$35:$A$42,Доп.расчеты!$A137,'Как есть'!FO$35:FO$42)</f>
        <v>0</v>
      </c>
      <c r="FO137">
        <f>SUMIF('Как есть'!$A$35:$A$42,Доп.расчеты!$A137,'Как есть'!FP$35:FP$42)</f>
        <v>0</v>
      </c>
      <c r="FP137">
        <f>SUMIF('Как есть'!$A$35:$A$42,Доп.расчеты!$A137,'Как есть'!FQ$35:FQ$42)</f>
        <v>0</v>
      </c>
      <c r="FQ137">
        <f>SUMIF('Как есть'!$A$35:$A$42,Доп.расчеты!$A137,'Как есть'!FR$35:FR$42)</f>
        <v>0</v>
      </c>
      <c r="FR137">
        <f>SUMIF('Как есть'!$A$35:$A$42,Доп.расчеты!$A137,'Как есть'!FS$35:FS$42)</f>
        <v>0</v>
      </c>
      <c r="FS137">
        <f>SUMIF('Как есть'!$A$35:$A$42,Доп.расчеты!$A137,'Как есть'!FT$35:FT$42)</f>
        <v>0</v>
      </c>
      <c r="FT137">
        <f>SUMIF('Как есть'!$A$35:$A$42,Доп.расчеты!$A137,'Как есть'!FU$35:FU$42)</f>
        <v>0</v>
      </c>
      <c r="FU137">
        <f>SUMIF('Как есть'!$A$35:$A$42,Доп.расчеты!$A137,'Как есть'!FV$35:FV$42)</f>
        <v>0</v>
      </c>
      <c r="FV137">
        <f>SUMIF('Как есть'!$A$35:$A$42,Доп.расчеты!$A137,'Как есть'!FW$35:FW$42)</f>
        <v>0</v>
      </c>
      <c r="FW137">
        <f>SUMIF('Как есть'!$A$35:$A$42,Доп.расчеты!$A137,'Как есть'!FX$35:FX$42)</f>
        <v>0</v>
      </c>
      <c r="FX137">
        <f>SUMIF('Как есть'!$A$35:$A$42,Доп.расчеты!$A137,'Как есть'!FY$35:FY$42)</f>
        <v>0</v>
      </c>
      <c r="FY137">
        <f>SUMIF('Как есть'!$A$35:$A$42,Доп.расчеты!$A137,'Как есть'!FZ$35:FZ$42)</f>
        <v>0</v>
      </c>
      <c r="FZ137">
        <f>SUMIF('Как есть'!$A$35:$A$42,Доп.расчеты!$A137,'Как есть'!GA$35:GA$42)</f>
        <v>0</v>
      </c>
      <c r="GA137">
        <f>SUMIF('Как есть'!$A$35:$A$42,Доп.расчеты!$A137,'Как есть'!GB$35:GB$42)</f>
        <v>0</v>
      </c>
      <c r="GB137">
        <f>SUMIF('Как есть'!$A$35:$A$42,Доп.расчеты!$A137,'Как есть'!GC$35:GC$42)</f>
        <v>0</v>
      </c>
      <c r="GC137">
        <f>SUMIF('Как есть'!$A$35:$A$42,Доп.расчеты!$A137,'Как есть'!GD$35:GD$42)</f>
        <v>0</v>
      </c>
      <c r="GD137">
        <f>SUMIF('Как есть'!$A$35:$A$42,Доп.расчеты!$A137,'Как есть'!GE$35:GE$42)</f>
        <v>0</v>
      </c>
      <c r="GE137">
        <f>SUMIF('Как есть'!$A$35:$A$42,Доп.расчеты!$A137,'Как есть'!GF$35:GF$42)</f>
        <v>0</v>
      </c>
      <c r="GF137">
        <f>SUMIF('Как есть'!$A$35:$A$42,Доп.расчеты!$A137,'Как есть'!GG$35:GG$42)</f>
        <v>0</v>
      </c>
      <c r="GG137">
        <f>SUMIF('Как есть'!$A$35:$A$42,Доп.расчеты!$A137,'Как есть'!GH$35:GH$42)</f>
        <v>0</v>
      </c>
      <c r="GH137">
        <f>SUMIF('Как есть'!$A$35:$A$42,Доп.расчеты!$A137,'Как есть'!GI$35:GI$42)</f>
        <v>0</v>
      </c>
      <c r="GI137">
        <f>SUMIF('Как есть'!$A$35:$A$42,Доп.расчеты!$A137,'Как есть'!GJ$35:GJ$42)</f>
        <v>0</v>
      </c>
      <c r="GJ137">
        <f>SUMIF('Как есть'!$A$35:$A$42,Доп.расчеты!$A137,'Как есть'!GK$35:GK$42)</f>
        <v>0</v>
      </c>
      <c r="GK137">
        <f>SUMIF('Как есть'!$A$35:$A$42,Доп.расчеты!$A137,'Как есть'!GL$35:GL$42)</f>
        <v>0</v>
      </c>
      <c r="GL137">
        <f>SUMIF('Как есть'!$A$35:$A$42,Доп.расчеты!$A137,'Как есть'!GM$35:GM$42)</f>
        <v>0</v>
      </c>
      <c r="GM137">
        <f>SUMIF('Как есть'!$A$35:$A$42,Доп.расчеты!$A137,'Как есть'!GN$35:GN$42)</f>
        <v>0</v>
      </c>
      <c r="GN137">
        <f>SUMIF('Как есть'!$A$35:$A$42,Доп.расчеты!$A137,'Как есть'!GO$35:GO$42)</f>
        <v>0</v>
      </c>
      <c r="GO137">
        <f>SUMIF('Как есть'!$A$35:$A$42,Доп.расчеты!$A137,'Как есть'!GP$35:GP$42)</f>
        <v>0</v>
      </c>
      <c r="GP137">
        <f>SUMIF('Как есть'!$A$35:$A$42,Доп.расчеты!$A137,'Как есть'!GQ$35:GQ$42)</f>
        <v>0</v>
      </c>
      <c r="GQ137">
        <f>SUMIF('Как есть'!$A$35:$A$42,Доп.расчеты!$A137,'Как есть'!GR$35:GR$42)</f>
        <v>0</v>
      </c>
      <c r="GR137">
        <f>SUMIF('Как есть'!$A$35:$A$42,Доп.расчеты!$A137,'Как есть'!GS$35:GS$42)</f>
        <v>0</v>
      </c>
      <c r="GS137">
        <f>SUMIF('Как есть'!$A$35:$A$42,Доп.расчеты!$A137,'Как есть'!GT$35:GT$42)</f>
        <v>0</v>
      </c>
      <c r="GT137">
        <f>SUMIF('Как есть'!$A$35:$A$42,Доп.расчеты!$A137,'Как есть'!GU$35:GU$42)</f>
        <v>0</v>
      </c>
    </row>
    <row r="138" spans="1:202" hidden="1" outlineLevel="1">
      <c r="A138" s="238" t="s">
        <v>114</v>
      </c>
      <c r="B138">
        <f>SUMIF('Как есть'!$A$35:$A$42,Доп.расчеты!$A138,'Как есть'!C$35:C$42)</f>
        <v>0</v>
      </c>
      <c r="C138">
        <f>SUMIF('Как есть'!$A$35:$A$42,Доп.расчеты!$A138,'Как есть'!D$35:D$42)</f>
        <v>0</v>
      </c>
      <c r="D138">
        <f>SUMIF('Как есть'!$A$35:$A$42,Доп.расчеты!$A138,'Как есть'!E$35:E$42)</f>
        <v>0</v>
      </c>
      <c r="E138">
        <f>SUMIF('Как есть'!$A$35:$A$42,Доп.расчеты!$A138,'Как есть'!F$35:F$42)</f>
        <v>0</v>
      </c>
      <c r="F138">
        <f>SUMIF('Как есть'!$A$35:$A$42,Доп.расчеты!$A138,'Как есть'!G$35:G$42)</f>
        <v>0</v>
      </c>
      <c r="G138">
        <f>SUMIF('Как есть'!$A$35:$A$42,Доп.расчеты!$A138,'Как есть'!H$35:H$42)</f>
        <v>0</v>
      </c>
      <c r="H138">
        <f>SUMIF('Как есть'!$A$35:$A$42,Доп.расчеты!$A138,'Как есть'!I$35:I$42)</f>
        <v>0</v>
      </c>
      <c r="I138">
        <f>SUMIF('Как есть'!$A$35:$A$42,Доп.расчеты!$A138,'Как есть'!J$35:J$42)</f>
        <v>0</v>
      </c>
      <c r="J138">
        <f>SUMIF('Как есть'!$A$35:$A$42,Доп.расчеты!$A138,'Как есть'!K$35:K$42)</f>
        <v>0</v>
      </c>
      <c r="K138">
        <f>SUMIF('Как есть'!$A$35:$A$42,Доп.расчеты!$A138,'Как есть'!L$35:L$42)</f>
        <v>0</v>
      </c>
      <c r="L138">
        <f>SUMIF('Как есть'!$A$35:$A$42,Доп.расчеты!$A138,'Как есть'!M$35:M$42)</f>
        <v>0</v>
      </c>
      <c r="M138">
        <f>SUMIF('Как есть'!$A$35:$A$42,Доп.расчеты!$A138,'Как есть'!N$35:N$42)</f>
        <v>0</v>
      </c>
      <c r="N138">
        <f>SUMIF('Как есть'!$A$35:$A$42,Доп.расчеты!$A138,'Как есть'!O$35:O$42)</f>
        <v>0</v>
      </c>
      <c r="O138">
        <f>SUMIF('Как есть'!$A$35:$A$42,Доп.расчеты!$A138,'Как есть'!P$35:P$42)</f>
        <v>0</v>
      </c>
      <c r="P138">
        <f>SUMIF('Как есть'!$A$35:$A$42,Доп.расчеты!$A138,'Как есть'!Q$35:Q$42)</f>
        <v>0</v>
      </c>
      <c r="Q138">
        <f>SUMIF('Как есть'!$A$35:$A$42,Доп.расчеты!$A138,'Как есть'!R$35:R$42)</f>
        <v>0</v>
      </c>
      <c r="R138">
        <f>SUMIF('Как есть'!$A$35:$A$42,Доп.расчеты!$A138,'Как есть'!S$35:S$42)</f>
        <v>0</v>
      </c>
      <c r="S138">
        <f>SUMIF('Как есть'!$A$35:$A$42,Доп.расчеты!$A138,'Как есть'!T$35:T$42)</f>
        <v>0</v>
      </c>
      <c r="T138">
        <f>SUMIF('Как есть'!$A$35:$A$42,Доп.расчеты!$A138,'Как есть'!U$35:U$42)</f>
        <v>0</v>
      </c>
      <c r="U138">
        <f>SUMIF('Как есть'!$A$35:$A$42,Доп.расчеты!$A138,'Как есть'!V$35:V$42)</f>
        <v>0</v>
      </c>
      <c r="V138">
        <f>SUMIF('Как есть'!$A$35:$A$42,Доп.расчеты!$A138,'Как есть'!W$35:W$42)</f>
        <v>0</v>
      </c>
      <c r="W138">
        <f>SUMIF('Как есть'!$A$35:$A$42,Доп.расчеты!$A138,'Как есть'!X$35:X$42)</f>
        <v>0</v>
      </c>
      <c r="X138">
        <f>SUMIF('Как есть'!$A$35:$A$42,Доп.расчеты!$A138,'Как есть'!Y$35:Y$42)</f>
        <v>0</v>
      </c>
      <c r="Y138">
        <f>SUMIF('Как есть'!$A$35:$A$42,Доп.расчеты!$A138,'Как есть'!Z$35:Z$42)</f>
        <v>0</v>
      </c>
      <c r="Z138">
        <f>SUMIF('Как есть'!$A$35:$A$42,Доп.расчеты!$A138,'Как есть'!AA$35:AA$42)</f>
        <v>0</v>
      </c>
      <c r="AA138">
        <f>SUMIF('Как есть'!$A$35:$A$42,Доп.расчеты!$A138,'Как есть'!AB$35:AB$42)</f>
        <v>0</v>
      </c>
      <c r="AB138">
        <f>SUMIF('Как есть'!$A$35:$A$42,Доп.расчеты!$A138,'Как есть'!AC$35:AC$42)</f>
        <v>0</v>
      </c>
      <c r="AC138">
        <f>SUMIF('Как есть'!$A$35:$A$42,Доп.расчеты!$A138,'Как есть'!AD$35:AD$42)</f>
        <v>0</v>
      </c>
      <c r="AD138">
        <f>SUMIF('Как есть'!$A$35:$A$42,Доп.расчеты!$A138,'Как есть'!AE$35:AE$42)</f>
        <v>0</v>
      </c>
      <c r="AE138">
        <f>SUMIF('Как есть'!$A$35:$A$42,Доп.расчеты!$A138,'Как есть'!AF$35:AF$42)</f>
        <v>0</v>
      </c>
      <c r="AF138">
        <f>SUMIF('Как есть'!$A$35:$A$42,Доп.расчеты!$A138,'Как есть'!AG$35:AG$42)</f>
        <v>0</v>
      </c>
      <c r="AG138">
        <f>SUMIF('Как есть'!$A$35:$A$42,Доп.расчеты!$A138,'Как есть'!AH$35:AH$42)</f>
        <v>0</v>
      </c>
      <c r="AH138">
        <f>SUMIF('Как есть'!$A$35:$A$42,Доп.расчеты!$A138,'Как есть'!AI$35:AI$42)</f>
        <v>0</v>
      </c>
      <c r="AI138">
        <f>SUMIF('Как есть'!$A$35:$A$42,Доп.расчеты!$A138,'Как есть'!AJ$35:AJ$42)</f>
        <v>0</v>
      </c>
      <c r="AJ138">
        <f>SUMIF('Как есть'!$A$35:$A$42,Доп.расчеты!$A138,'Как есть'!AK$35:AK$42)</f>
        <v>0</v>
      </c>
      <c r="AK138">
        <f>SUMIF('Как есть'!$A$35:$A$42,Доп.расчеты!$A138,'Как есть'!AL$35:AL$42)</f>
        <v>0</v>
      </c>
      <c r="AL138">
        <f>SUMIF('Как есть'!$A$35:$A$42,Доп.расчеты!$A138,'Как есть'!AM$35:AM$42)</f>
        <v>0</v>
      </c>
      <c r="AM138">
        <f>SUMIF('Как есть'!$A$35:$A$42,Доп.расчеты!$A138,'Как есть'!AN$35:AN$42)</f>
        <v>0</v>
      </c>
      <c r="AN138">
        <f>SUMIF('Как есть'!$A$35:$A$42,Доп.расчеты!$A138,'Как есть'!AO$35:AO$42)</f>
        <v>0</v>
      </c>
      <c r="AO138">
        <f>SUMIF('Как есть'!$A$35:$A$42,Доп.расчеты!$A138,'Как есть'!AP$35:AP$42)</f>
        <v>0</v>
      </c>
      <c r="AP138">
        <f>SUMIF('Как есть'!$A$35:$A$42,Доп.расчеты!$A138,'Как есть'!AQ$35:AQ$42)</f>
        <v>0</v>
      </c>
      <c r="AQ138">
        <f>SUMIF('Как есть'!$A$35:$A$42,Доп.расчеты!$A138,'Как есть'!AR$35:AR$42)</f>
        <v>0</v>
      </c>
      <c r="AR138">
        <f>SUMIF('Как есть'!$A$35:$A$42,Доп.расчеты!$A138,'Как есть'!AS$35:AS$42)</f>
        <v>0</v>
      </c>
      <c r="AS138">
        <f>SUMIF('Как есть'!$A$35:$A$42,Доп.расчеты!$A138,'Как есть'!AT$35:AT$42)</f>
        <v>0</v>
      </c>
      <c r="AT138">
        <f>SUMIF('Как есть'!$A$35:$A$42,Доп.расчеты!$A138,'Как есть'!AU$35:AU$42)</f>
        <v>0</v>
      </c>
      <c r="AU138">
        <f>SUMIF('Как есть'!$A$35:$A$42,Доп.расчеты!$A138,'Как есть'!AV$35:AV$42)</f>
        <v>0</v>
      </c>
      <c r="AV138">
        <f>SUMIF('Как есть'!$A$35:$A$42,Доп.расчеты!$A138,'Как есть'!AW$35:AW$42)</f>
        <v>0</v>
      </c>
      <c r="AW138">
        <f>SUMIF('Как есть'!$A$35:$A$42,Доп.расчеты!$A138,'Как есть'!AX$35:AX$42)</f>
        <v>0</v>
      </c>
      <c r="AX138">
        <f>SUMIF('Как есть'!$A$35:$A$42,Доп.расчеты!$A138,'Как есть'!AY$35:AY$42)</f>
        <v>0</v>
      </c>
      <c r="AY138">
        <f>SUMIF('Как есть'!$A$35:$A$42,Доп.расчеты!$A138,'Как есть'!AZ$35:AZ$42)</f>
        <v>0</v>
      </c>
      <c r="AZ138">
        <f>SUMIF('Как есть'!$A$35:$A$42,Доп.расчеты!$A138,'Как есть'!BA$35:BA$42)</f>
        <v>0</v>
      </c>
      <c r="BA138">
        <f>SUMIF('Как есть'!$A$35:$A$42,Доп.расчеты!$A138,'Как есть'!BB$35:BB$42)</f>
        <v>0</v>
      </c>
      <c r="BB138">
        <f>SUMIF('Как есть'!$A$35:$A$42,Доп.расчеты!$A138,'Как есть'!BC$35:BC$42)</f>
        <v>0</v>
      </c>
      <c r="BC138">
        <f>SUMIF('Как есть'!$A$35:$A$42,Доп.расчеты!$A138,'Как есть'!BD$35:BD$42)</f>
        <v>0</v>
      </c>
      <c r="BD138">
        <f>SUMIF('Как есть'!$A$35:$A$42,Доп.расчеты!$A138,'Как есть'!BE$35:BE$42)</f>
        <v>0</v>
      </c>
      <c r="BE138">
        <f>SUMIF('Как есть'!$A$35:$A$42,Доп.расчеты!$A138,'Как есть'!BF$35:BF$42)</f>
        <v>0</v>
      </c>
      <c r="BF138">
        <f>SUMIF('Как есть'!$A$35:$A$42,Доп.расчеты!$A138,'Как есть'!BG$35:BG$42)</f>
        <v>0</v>
      </c>
      <c r="BG138">
        <f>SUMIF('Как есть'!$A$35:$A$42,Доп.расчеты!$A138,'Как есть'!BH$35:BH$42)</f>
        <v>0</v>
      </c>
      <c r="BH138">
        <f>SUMIF('Как есть'!$A$35:$A$42,Доп.расчеты!$A138,'Как есть'!BI$35:BI$42)</f>
        <v>0</v>
      </c>
      <c r="BI138">
        <f>SUMIF('Как есть'!$A$35:$A$42,Доп.расчеты!$A138,'Как есть'!BJ$35:BJ$42)</f>
        <v>0</v>
      </c>
      <c r="BJ138">
        <f>SUMIF('Как есть'!$A$35:$A$42,Доп.расчеты!$A138,'Как есть'!BK$35:BK$42)</f>
        <v>0</v>
      </c>
      <c r="BK138">
        <f>SUMIF('Как есть'!$A$35:$A$42,Доп.расчеты!$A138,'Как есть'!BL$35:BL$42)</f>
        <v>0</v>
      </c>
      <c r="BL138">
        <f>SUMIF('Как есть'!$A$35:$A$42,Доп.расчеты!$A138,'Как есть'!BM$35:BM$42)</f>
        <v>0</v>
      </c>
      <c r="BM138">
        <f>SUMIF('Как есть'!$A$35:$A$42,Доп.расчеты!$A138,'Как есть'!BN$35:BN$42)</f>
        <v>0</v>
      </c>
      <c r="BN138">
        <f>SUMIF('Как есть'!$A$35:$A$42,Доп.расчеты!$A138,'Как есть'!BO$35:BO$42)</f>
        <v>0</v>
      </c>
      <c r="BO138">
        <f>SUMIF('Как есть'!$A$35:$A$42,Доп.расчеты!$A138,'Как есть'!BP$35:BP$42)</f>
        <v>0</v>
      </c>
      <c r="BP138">
        <f>SUMIF('Как есть'!$A$35:$A$42,Доп.расчеты!$A138,'Как есть'!BQ$35:BQ$42)</f>
        <v>0</v>
      </c>
      <c r="BQ138">
        <f>SUMIF('Как есть'!$A$35:$A$42,Доп.расчеты!$A138,'Как есть'!BR$35:BR$42)</f>
        <v>0</v>
      </c>
      <c r="BR138">
        <f>SUMIF('Как есть'!$A$35:$A$42,Доп.расчеты!$A138,'Как есть'!BS$35:BS$42)</f>
        <v>0</v>
      </c>
      <c r="BS138">
        <f>SUMIF('Как есть'!$A$35:$A$42,Доп.расчеты!$A138,'Как есть'!BT$35:BT$42)</f>
        <v>0</v>
      </c>
      <c r="BT138">
        <f>SUMIF('Как есть'!$A$35:$A$42,Доп.расчеты!$A138,'Как есть'!BU$35:BU$42)</f>
        <v>0</v>
      </c>
      <c r="BU138">
        <f>SUMIF('Как есть'!$A$35:$A$42,Доп.расчеты!$A138,'Как есть'!BV$35:BV$42)</f>
        <v>0</v>
      </c>
      <c r="BV138">
        <f>SUMIF('Как есть'!$A$35:$A$42,Доп.расчеты!$A138,'Как есть'!BW$35:BW$42)</f>
        <v>0</v>
      </c>
      <c r="BW138">
        <f>SUMIF('Как есть'!$A$35:$A$42,Доп.расчеты!$A138,'Как есть'!BX$35:BX$42)</f>
        <v>0</v>
      </c>
      <c r="BX138">
        <f>SUMIF('Как есть'!$A$35:$A$42,Доп.расчеты!$A138,'Как есть'!BY$35:BY$42)</f>
        <v>0</v>
      </c>
      <c r="BY138">
        <f>SUMIF('Как есть'!$A$35:$A$42,Доп.расчеты!$A138,'Как есть'!BZ$35:BZ$42)</f>
        <v>0</v>
      </c>
      <c r="BZ138">
        <f>SUMIF('Как есть'!$A$35:$A$42,Доп.расчеты!$A138,'Как есть'!CA$35:CA$42)</f>
        <v>0</v>
      </c>
      <c r="CA138">
        <f>SUMIF('Как есть'!$A$35:$A$42,Доп.расчеты!$A138,'Как есть'!CB$35:CB$42)</f>
        <v>0</v>
      </c>
      <c r="CB138">
        <f>SUMIF('Как есть'!$A$35:$A$42,Доп.расчеты!$A138,'Как есть'!CC$35:CC$42)</f>
        <v>0</v>
      </c>
      <c r="CC138">
        <f>SUMIF('Как есть'!$A$35:$A$42,Доп.расчеты!$A138,'Как есть'!CD$35:CD$42)</f>
        <v>0</v>
      </c>
      <c r="CD138">
        <f>SUMIF('Как есть'!$A$35:$A$42,Доп.расчеты!$A138,'Как есть'!CE$35:CE$42)</f>
        <v>0</v>
      </c>
      <c r="CE138">
        <f>SUMIF('Как есть'!$A$35:$A$42,Доп.расчеты!$A138,'Как есть'!CF$35:CF$42)</f>
        <v>0</v>
      </c>
      <c r="CF138">
        <f>SUMIF('Как есть'!$A$35:$A$42,Доп.расчеты!$A138,'Как есть'!CG$35:CG$42)</f>
        <v>0</v>
      </c>
      <c r="CG138">
        <f>SUMIF('Как есть'!$A$35:$A$42,Доп.расчеты!$A138,'Как есть'!CH$35:CH$42)</f>
        <v>0</v>
      </c>
      <c r="CH138">
        <f>SUMIF('Как есть'!$A$35:$A$42,Доп.расчеты!$A138,'Как есть'!CI$35:CI$42)</f>
        <v>0</v>
      </c>
      <c r="CI138">
        <f>SUMIF('Как есть'!$A$35:$A$42,Доп.расчеты!$A138,'Как есть'!CJ$35:CJ$42)</f>
        <v>0</v>
      </c>
      <c r="CJ138">
        <f>SUMIF('Как есть'!$A$35:$A$42,Доп.расчеты!$A138,'Как есть'!CK$35:CK$42)</f>
        <v>0</v>
      </c>
      <c r="CK138">
        <f>SUMIF('Как есть'!$A$35:$A$42,Доп.расчеты!$A138,'Как есть'!CL$35:CL$42)</f>
        <v>0</v>
      </c>
      <c r="CL138">
        <f>SUMIF('Как есть'!$A$35:$A$42,Доп.расчеты!$A138,'Как есть'!CM$35:CM$42)</f>
        <v>0</v>
      </c>
      <c r="CM138">
        <f>SUMIF('Как есть'!$A$35:$A$42,Доп.расчеты!$A138,'Как есть'!CN$35:CN$42)</f>
        <v>0</v>
      </c>
      <c r="CN138">
        <f>SUMIF('Как есть'!$A$35:$A$42,Доп.расчеты!$A138,'Как есть'!CO$35:CO$42)</f>
        <v>0</v>
      </c>
      <c r="CO138">
        <f>SUMIF('Как есть'!$A$35:$A$42,Доп.расчеты!$A138,'Как есть'!CP$35:CP$42)</f>
        <v>0</v>
      </c>
      <c r="CP138">
        <f>SUMIF('Как есть'!$A$35:$A$42,Доп.расчеты!$A138,'Как есть'!CQ$35:CQ$42)</f>
        <v>0</v>
      </c>
      <c r="CQ138">
        <f>SUMIF('Как есть'!$A$35:$A$42,Доп.расчеты!$A138,'Как есть'!CR$35:CR$42)</f>
        <v>0</v>
      </c>
      <c r="CR138">
        <f>SUMIF('Как есть'!$A$35:$A$42,Доп.расчеты!$A138,'Как есть'!CS$35:CS$42)</f>
        <v>0</v>
      </c>
      <c r="CS138">
        <f>SUMIF('Как есть'!$A$35:$A$42,Доп.расчеты!$A138,'Как есть'!CT$35:CT$42)</f>
        <v>0</v>
      </c>
      <c r="CT138">
        <f>SUMIF('Как есть'!$A$35:$A$42,Доп.расчеты!$A138,'Как есть'!CU$35:CU$42)</f>
        <v>0</v>
      </c>
      <c r="CU138">
        <f>SUMIF('Как есть'!$A$35:$A$42,Доп.расчеты!$A138,'Как есть'!CV$35:CV$42)</f>
        <v>0</v>
      </c>
      <c r="CV138">
        <f>SUMIF('Как есть'!$A$35:$A$42,Доп.расчеты!$A138,'Как есть'!CW$35:CW$42)</f>
        <v>0</v>
      </c>
      <c r="CW138">
        <f>SUMIF('Как есть'!$A$35:$A$42,Доп.расчеты!$A138,'Как есть'!CX$35:CX$42)</f>
        <v>0</v>
      </c>
      <c r="CX138">
        <f>SUMIF('Как есть'!$A$35:$A$42,Доп.расчеты!$A138,'Как есть'!CY$35:CY$42)</f>
        <v>0</v>
      </c>
      <c r="CY138">
        <f>SUMIF('Как есть'!$A$35:$A$42,Доп.расчеты!$A138,'Как есть'!CZ$35:CZ$42)</f>
        <v>0</v>
      </c>
      <c r="CZ138">
        <f>SUMIF('Как есть'!$A$35:$A$42,Доп.расчеты!$A138,'Как есть'!DA$35:DA$42)</f>
        <v>0</v>
      </c>
      <c r="DA138">
        <f>SUMIF('Как есть'!$A$35:$A$42,Доп.расчеты!$A138,'Как есть'!DB$35:DB$42)</f>
        <v>0</v>
      </c>
      <c r="DB138">
        <f>SUMIF('Как есть'!$A$35:$A$42,Доп.расчеты!$A138,'Как есть'!DC$35:DC$42)</f>
        <v>0</v>
      </c>
      <c r="DC138">
        <f>SUMIF('Как есть'!$A$35:$A$42,Доп.расчеты!$A138,'Как есть'!DD$35:DD$42)</f>
        <v>0</v>
      </c>
      <c r="DD138">
        <f>SUMIF('Как есть'!$A$35:$A$42,Доп.расчеты!$A138,'Как есть'!DE$35:DE$42)</f>
        <v>0</v>
      </c>
      <c r="DE138">
        <f>SUMIF('Как есть'!$A$35:$A$42,Доп.расчеты!$A138,'Как есть'!DF$35:DF$42)</f>
        <v>0</v>
      </c>
      <c r="DF138">
        <f>SUMIF('Как есть'!$A$35:$A$42,Доп.расчеты!$A138,'Как есть'!DG$35:DG$42)</f>
        <v>0</v>
      </c>
      <c r="DG138">
        <f>SUMIF('Как есть'!$A$35:$A$42,Доп.расчеты!$A138,'Как есть'!DH$35:DH$42)</f>
        <v>0</v>
      </c>
      <c r="DH138">
        <f>SUMIF('Как есть'!$A$35:$A$42,Доп.расчеты!$A138,'Как есть'!DI$35:DI$42)</f>
        <v>0</v>
      </c>
      <c r="DI138">
        <f>SUMIF('Как есть'!$A$35:$A$42,Доп.расчеты!$A138,'Как есть'!DJ$35:DJ$42)</f>
        <v>0</v>
      </c>
      <c r="DJ138">
        <f>SUMIF('Как есть'!$A$35:$A$42,Доп.расчеты!$A138,'Как есть'!DK$35:DK$42)</f>
        <v>0</v>
      </c>
      <c r="DK138">
        <f>SUMIF('Как есть'!$A$35:$A$42,Доп.расчеты!$A138,'Как есть'!DL$35:DL$42)</f>
        <v>0</v>
      </c>
      <c r="DL138">
        <f>SUMIF('Как есть'!$A$35:$A$42,Доп.расчеты!$A138,'Как есть'!DM$35:DM$42)</f>
        <v>0</v>
      </c>
      <c r="DM138">
        <f>SUMIF('Как есть'!$A$35:$A$42,Доп.расчеты!$A138,'Как есть'!DN$35:DN$42)</f>
        <v>0</v>
      </c>
      <c r="DN138">
        <f>SUMIF('Как есть'!$A$35:$A$42,Доп.расчеты!$A138,'Как есть'!DO$35:DO$42)</f>
        <v>0</v>
      </c>
      <c r="DO138">
        <f>SUMIF('Как есть'!$A$35:$A$42,Доп.расчеты!$A138,'Как есть'!DP$35:DP$42)</f>
        <v>0</v>
      </c>
      <c r="DP138">
        <f>SUMIF('Как есть'!$A$35:$A$42,Доп.расчеты!$A138,'Как есть'!DQ$35:DQ$42)</f>
        <v>0</v>
      </c>
      <c r="DQ138">
        <f>SUMIF('Как есть'!$A$35:$A$42,Доп.расчеты!$A138,'Как есть'!DR$35:DR$42)</f>
        <v>0</v>
      </c>
      <c r="DR138">
        <f>SUMIF('Как есть'!$A$35:$A$42,Доп.расчеты!$A138,'Как есть'!DS$35:DS$42)</f>
        <v>0</v>
      </c>
      <c r="DS138">
        <f>SUMIF('Как есть'!$A$35:$A$42,Доп.расчеты!$A138,'Как есть'!DT$35:DT$42)</f>
        <v>0</v>
      </c>
      <c r="DT138">
        <f>SUMIF('Как есть'!$A$35:$A$42,Доп.расчеты!$A138,'Как есть'!DU$35:DU$42)</f>
        <v>0</v>
      </c>
      <c r="DU138">
        <f>SUMIF('Как есть'!$A$35:$A$42,Доп.расчеты!$A138,'Как есть'!DV$35:DV$42)</f>
        <v>0</v>
      </c>
      <c r="DV138">
        <f>SUMIF('Как есть'!$A$35:$A$42,Доп.расчеты!$A138,'Как есть'!DW$35:DW$42)</f>
        <v>0</v>
      </c>
      <c r="DW138">
        <f>SUMIF('Как есть'!$A$35:$A$42,Доп.расчеты!$A138,'Как есть'!DX$35:DX$42)</f>
        <v>0</v>
      </c>
      <c r="DX138">
        <f>SUMIF('Как есть'!$A$35:$A$42,Доп.расчеты!$A138,'Как есть'!DY$35:DY$42)</f>
        <v>0</v>
      </c>
      <c r="DY138">
        <f>SUMIF('Как есть'!$A$35:$A$42,Доп.расчеты!$A138,'Как есть'!DZ$35:DZ$42)</f>
        <v>0</v>
      </c>
      <c r="DZ138">
        <f>SUMIF('Как есть'!$A$35:$A$42,Доп.расчеты!$A138,'Как есть'!EA$35:EA$42)</f>
        <v>0</v>
      </c>
      <c r="EA138">
        <f>SUMIF('Как есть'!$A$35:$A$42,Доп.расчеты!$A138,'Как есть'!EB$35:EB$42)</f>
        <v>0</v>
      </c>
      <c r="EB138">
        <f>SUMIF('Как есть'!$A$35:$A$42,Доп.расчеты!$A138,'Как есть'!EC$35:EC$42)</f>
        <v>0</v>
      </c>
      <c r="EC138">
        <f>SUMIF('Как есть'!$A$35:$A$42,Доп.расчеты!$A138,'Как есть'!ED$35:ED$42)</f>
        <v>0</v>
      </c>
      <c r="ED138">
        <f>SUMIF('Как есть'!$A$35:$A$42,Доп.расчеты!$A138,'Как есть'!EE$35:EE$42)</f>
        <v>0</v>
      </c>
      <c r="EE138">
        <f>SUMIF('Как есть'!$A$35:$A$42,Доп.расчеты!$A138,'Как есть'!EF$35:EF$42)</f>
        <v>0</v>
      </c>
      <c r="EF138">
        <f>SUMIF('Как есть'!$A$35:$A$42,Доп.расчеты!$A138,'Как есть'!EG$35:EG$42)</f>
        <v>0</v>
      </c>
      <c r="EG138">
        <f>SUMIF('Как есть'!$A$35:$A$42,Доп.расчеты!$A138,'Как есть'!EH$35:EH$42)</f>
        <v>0</v>
      </c>
      <c r="EH138">
        <f>SUMIF('Как есть'!$A$35:$A$42,Доп.расчеты!$A138,'Как есть'!EI$35:EI$42)</f>
        <v>0</v>
      </c>
      <c r="EI138">
        <f>SUMIF('Как есть'!$A$35:$A$42,Доп.расчеты!$A138,'Как есть'!EJ$35:EJ$42)</f>
        <v>0</v>
      </c>
      <c r="EJ138">
        <f>SUMIF('Как есть'!$A$35:$A$42,Доп.расчеты!$A138,'Как есть'!EK$35:EK$42)</f>
        <v>0</v>
      </c>
      <c r="EK138">
        <f>SUMIF('Как есть'!$A$35:$A$42,Доп.расчеты!$A138,'Как есть'!EL$35:EL$42)</f>
        <v>0</v>
      </c>
      <c r="EL138">
        <f>SUMIF('Как есть'!$A$35:$A$42,Доп.расчеты!$A138,'Как есть'!EM$35:EM$42)</f>
        <v>0</v>
      </c>
      <c r="EM138">
        <f>SUMIF('Как есть'!$A$35:$A$42,Доп.расчеты!$A138,'Как есть'!EN$35:EN$42)</f>
        <v>0</v>
      </c>
      <c r="EN138">
        <f>SUMIF('Как есть'!$A$35:$A$42,Доп.расчеты!$A138,'Как есть'!EO$35:EO$42)</f>
        <v>0</v>
      </c>
      <c r="EO138">
        <f>SUMIF('Как есть'!$A$35:$A$42,Доп.расчеты!$A138,'Как есть'!EP$35:EP$42)</f>
        <v>0</v>
      </c>
      <c r="EP138">
        <f>SUMIF('Как есть'!$A$35:$A$42,Доп.расчеты!$A138,'Как есть'!EQ$35:EQ$42)</f>
        <v>0</v>
      </c>
      <c r="EQ138">
        <f>SUMIF('Как есть'!$A$35:$A$42,Доп.расчеты!$A138,'Как есть'!ER$35:ER$42)</f>
        <v>0</v>
      </c>
      <c r="ER138">
        <f>SUMIF('Как есть'!$A$35:$A$42,Доп.расчеты!$A138,'Как есть'!ES$35:ES$42)</f>
        <v>0</v>
      </c>
      <c r="ES138">
        <f>SUMIF('Как есть'!$A$35:$A$42,Доп.расчеты!$A138,'Как есть'!ET$35:ET$42)</f>
        <v>0</v>
      </c>
      <c r="ET138">
        <f>SUMIF('Как есть'!$A$35:$A$42,Доп.расчеты!$A138,'Как есть'!EU$35:EU$42)</f>
        <v>0</v>
      </c>
      <c r="EU138">
        <f>SUMIF('Как есть'!$A$35:$A$42,Доп.расчеты!$A138,'Как есть'!EV$35:EV$42)</f>
        <v>0</v>
      </c>
      <c r="EV138">
        <f>SUMIF('Как есть'!$A$35:$A$42,Доп.расчеты!$A138,'Как есть'!EW$35:EW$42)</f>
        <v>0</v>
      </c>
      <c r="EW138">
        <f>SUMIF('Как есть'!$A$35:$A$42,Доп.расчеты!$A138,'Как есть'!EX$35:EX$42)</f>
        <v>0</v>
      </c>
      <c r="EX138">
        <f>SUMIF('Как есть'!$A$35:$A$42,Доп.расчеты!$A138,'Как есть'!EY$35:EY$42)</f>
        <v>0</v>
      </c>
      <c r="EY138">
        <f>SUMIF('Как есть'!$A$35:$A$42,Доп.расчеты!$A138,'Как есть'!EZ$35:EZ$42)</f>
        <v>0</v>
      </c>
      <c r="EZ138">
        <f>SUMIF('Как есть'!$A$35:$A$42,Доп.расчеты!$A138,'Как есть'!FA$35:FA$42)</f>
        <v>0</v>
      </c>
      <c r="FA138">
        <f>SUMIF('Как есть'!$A$35:$A$42,Доп.расчеты!$A138,'Как есть'!FB$35:FB$42)</f>
        <v>0</v>
      </c>
      <c r="FB138">
        <f>SUMIF('Как есть'!$A$35:$A$42,Доп.расчеты!$A138,'Как есть'!FC$35:FC$42)</f>
        <v>0</v>
      </c>
      <c r="FC138">
        <f>SUMIF('Как есть'!$A$35:$A$42,Доп.расчеты!$A138,'Как есть'!FD$35:FD$42)</f>
        <v>0</v>
      </c>
      <c r="FD138">
        <f>SUMIF('Как есть'!$A$35:$A$42,Доп.расчеты!$A138,'Как есть'!FE$35:FE$42)</f>
        <v>0</v>
      </c>
      <c r="FE138">
        <f>SUMIF('Как есть'!$A$35:$A$42,Доп.расчеты!$A138,'Как есть'!FF$35:FF$42)</f>
        <v>0</v>
      </c>
      <c r="FF138">
        <f>SUMIF('Как есть'!$A$35:$A$42,Доп.расчеты!$A138,'Как есть'!FG$35:FG$42)</f>
        <v>0</v>
      </c>
      <c r="FG138">
        <f>SUMIF('Как есть'!$A$35:$A$42,Доп.расчеты!$A138,'Как есть'!FH$35:FH$42)</f>
        <v>0</v>
      </c>
      <c r="FH138">
        <f>SUMIF('Как есть'!$A$35:$A$42,Доп.расчеты!$A138,'Как есть'!FI$35:FI$42)</f>
        <v>0</v>
      </c>
      <c r="FI138">
        <f>SUMIF('Как есть'!$A$35:$A$42,Доп.расчеты!$A138,'Как есть'!FJ$35:FJ$42)</f>
        <v>0</v>
      </c>
      <c r="FJ138">
        <f>SUMIF('Как есть'!$A$35:$A$42,Доп.расчеты!$A138,'Как есть'!FK$35:FK$42)</f>
        <v>0</v>
      </c>
      <c r="FK138">
        <f>SUMIF('Как есть'!$A$35:$A$42,Доп.расчеты!$A138,'Как есть'!FL$35:FL$42)</f>
        <v>0</v>
      </c>
      <c r="FL138">
        <f>SUMIF('Как есть'!$A$35:$A$42,Доп.расчеты!$A138,'Как есть'!FM$35:FM$42)</f>
        <v>0</v>
      </c>
      <c r="FM138">
        <f>SUMIF('Как есть'!$A$35:$A$42,Доп.расчеты!$A138,'Как есть'!FN$35:FN$42)</f>
        <v>0</v>
      </c>
      <c r="FN138">
        <f>SUMIF('Как есть'!$A$35:$A$42,Доп.расчеты!$A138,'Как есть'!FO$35:FO$42)</f>
        <v>0</v>
      </c>
      <c r="FO138">
        <f>SUMIF('Как есть'!$A$35:$A$42,Доп.расчеты!$A138,'Как есть'!FP$35:FP$42)</f>
        <v>0</v>
      </c>
      <c r="FP138">
        <f>SUMIF('Как есть'!$A$35:$A$42,Доп.расчеты!$A138,'Как есть'!FQ$35:FQ$42)</f>
        <v>0</v>
      </c>
      <c r="FQ138">
        <f>SUMIF('Как есть'!$A$35:$A$42,Доп.расчеты!$A138,'Как есть'!FR$35:FR$42)</f>
        <v>0</v>
      </c>
      <c r="FR138">
        <f>SUMIF('Как есть'!$A$35:$A$42,Доп.расчеты!$A138,'Как есть'!FS$35:FS$42)</f>
        <v>0</v>
      </c>
      <c r="FS138">
        <f>SUMIF('Как есть'!$A$35:$A$42,Доп.расчеты!$A138,'Как есть'!FT$35:FT$42)</f>
        <v>0</v>
      </c>
      <c r="FT138">
        <f>SUMIF('Как есть'!$A$35:$A$42,Доп.расчеты!$A138,'Как есть'!FU$35:FU$42)</f>
        <v>0</v>
      </c>
      <c r="FU138">
        <f>SUMIF('Как есть'!$A$35:$A$42,Доп.расчеты!$A138,'Как есть'!FV$35:FV$42)</f>
        <v>0</v>
      </c>
      <c r="FV138">
        <f>SUMIF('Как есть'!$A$35:$A$42,Доп.расчеты!$A138,'Как есть'!FW$35:FW$42)</f>
        <v>0</v>
      </c>
      <c r="FW138">
        <f>SUMIF('Как есть'!$A$35:$A$42,Доп.расчеты!$A138,'Как есть'!FX$35:FX$42)</f>
        <v>0</v>
      </c>
      <c r="FX138">
        <f>SUMIF('Как есть'!$A$35:$A$42,Доп.расчеты!$A138,'Как есть'!FY$35:FY$42)</f>
        <v>0</v>
      </c>
      <c r="FY138">
        <f>SUMIF('Как есть'!$A$35:$A$42,Доп.расчеты!$A138,'Как есть'!FZ$35:FZ$42)</f>
        <v>0</v>
      </c>
      <c r="FZ138">
        <f>SUMIF('Как есть'!$A$35:$A$42,Доп.расчеты!$A138,'Как есть'!GA$35:GA$42)</f>
        <v>0</v>
      </c>
      <c r="GA138">
        <f>SUMIF('Как есть'!$A$35:$A$42,Доп.расчеты!$A138,'Как есть'!GB$35:GB$42)</f>
        <v>0</v>
      </c>
      <c r="GB138">
        <f>SUMIF('Как есть'!$A$35:$A$42,Доп.расчеты!$A138,'Как есть'!GC$35:GC$42)</f>
        <v>0</v>
      </c>
      <c r="GC138">
        <f>SUMIF('Как есть'!$A$35:$A$42,Доп.расчеты!$A138,'Как есть'!GD$35:GD$42)</f>
        <v>0</v>
      </c>
      <c r="GD138">
        <f>SUMIF('Как есть'!$A$35:$A$42,Доп.расчеты!$A138,'Как есть'!GE$35:GE$42)</f>
        <v>0</v>
      </c>
      <c r="GE138">
        <f>SUMIF('Как есть'!$A$35:$A$42,Доп.расчеты!$A138,'Как есть'!GF$35:GF$42)</f>
        <v>0</v>
      </c>
      <c r="GF138">
        <f>SUMIF('Как есть'!$A$35:$A$42,Доп.расчеты!$A138,'Как есть'!GG$35:GG$42)</f>
        <v>0</v>
      </c>
      <c r="GG138">
        <f>SUMIF('Как есть'!$A$35:$A$42,Доп.расчеты!$A138,'Как есть'!GH$35:GH$42)</f>
        <v>0</v>
      </c>
      <c r="GH138">
        <f>SUMIF('Как есть'!$A$35:$A$42,Доп.расчеты!$A138,'Как есть'!GI$35:GI$42)</f>
        <v>0</v>
      </c>
      <c r="GI138">
        <f>SUMIF('Как есть'!$A$35:$A$42,Доп.расчеты!$A138,'Как есть'!GJ$35:GJ$42)</f>
        <v>0</v>
      </c>
      <c r="GJ138">
        <f>SUMIF('Как есть'!$A$35:$A$42,Доп.расчеты!$A138,'Как есть'!GK$35:GK$42)</f>
        <v>0</v>
      </c>
      <c r="GK138">
        <f>SUMIF('Как есть'!$A$35:$A$42,Доп.расчеты!$A138,'Как есть'!GL$35:GL$42)</f>
        <v>0</v>
      </c>
      <c r="GL138">
        <f>SUMIF('Как есть'!$A$35:$A$42,Доп.расчеты!$A138,'Как есть'!GM$35:GM$42)</f>
        <v>0</v>
      </c>
      <c r="GM138">
        <f>SUMIF('Как есть'!$A$35:$A$42,Доп.расчеты!$A138,'Как есть'!GN$35:GN$42)</f>
        <v>0</v>
      </c>
      <c r="GN138">
        <f>SUMIF('Как есть'!$A$35:$A$42,Доп.расчеты!$A138,'Как есть'!GO$35:GO$42)</f>
        <v>0</v>
      </c>
      <c r="GO138">
        <f>SUMIF('Как есть'!$A$35:$A$42,Доп.расчеты!$A138,'Как есть'!GP$35:GP$42)</f>
        <v>0</v>
      </c>
      <c r="GP138">
        <f>SUMIF('Как есть'!$A$35:$A$42,Доп.расчеты!$A138,'Как есть'!GQ$35:GQ$42)</f>
        <v>0</v>
      </c>
      <c r="GQ138">
        <f>SUMIF('Как есть'!$A$35:$A$42,Доп.расчеты!$A138,'Как есть'!GR$35:GR$42)</f>
        <v>0</v>
      </c>
      <c r="GR138">
        <f>SUMIF('Как есть'!$A$35:$A$42,Доп.расчеты!$A138,'Как есть'!GS$35:GS$42)</f>
        <v>0</v>
      </c>
      <c r="GS138">
        <f>SUMIF('Как есть'!$A$35:$A$42,Доп.расчеты!$A138,'Как есть'!GT$35:GT$42)</f>
        <v>0</v>
      </c>
      <c r="GT138">
        <f>SUMIF('Как есть'!$A$35:$A$42,Доп.расчеты!$A138,'Как есть'!GU$35:GU$42)</f>
        <v>0</v>
      </c>
    </row>
    <row r="139" spans="1:202" hidden="1" outlineLevel="1">
      <c r="A139" s="238" t="s">
        <v>115</v>
      </c>
      <c r="B139">
        <f>SUMIF('Как есть'!$A$35:$A$42,Доп.расчеты!$A139,'Как есть'!C$35:C$42)</f>
        <v>0</v>
      </c>
      <c r="C139">
        <f>SUMIF('Как есть'!$A$35:$A$42,Доп.расчеты!$A139,'Как есть'!D$35:D$42)</f>
        <v>0</v>
      </c>
      <c r="D139">
        <f>SUMIF('Как есть'!$A$35:$A$42,Доп.расчеты!$A139,'Как есть'!E$35:E$42)</f>
        <v>0</v>
      </c>
      <c r="E139">
        <f>SUMIF('Как есть'!$A$35:$A$42,Доп.расчеты!$A139,'Как есть'!F$35:F$42)</f>
        <v>0</v>
      </c>
      <c r="F139">
        <f>SUMIF('Как есть'!$A$35:$A$42,Доп.расчеты!$A139,'Как есть'!G$35:G$42)</f>
        <v>0</v>
      </c>
      <c r="G139">
        <f>SUMIF('Как есть'!$A$35:$A$42,Доп.расчеты!$A139,'Как есть'!H$35:H$42)</f>
        <v>0</v>
      </c>
      <c r="H139">
        <f>SUMIF('Как есть'!$A$35:$A$42,Доп.расчеты!$A139,'Как есть'!I$35:I$42)</f>
        <v>0</v>
      </c>
      <c r="I139">
        <f>SUMIF('Как есть'!$A$35:$A$42,Доп.расчеты!$A139,'Как есть'!J$35:J$42)</f>
        <v>0</v>
      </c>
      <c r="J139">
        <f>SUMIF('Как есть'!$A$35:$A$42,Доп.расчеты!$A139,'Как есть'!K$35:K$42)</f>
        <v>0</v>
      </c>
      <c r="K139">
        <f>SUMIF('Как есть'!$A$35:$A$42,Доп.расчеты!$A139,'Как есть'!L$35:L$42)</f>
        <v>0</v>
      </c>
      <c r="L139">
        <f>SUMIF('Как есть'!$A$35:$A$42,Доп.расчеты!$A139,'Как есть'!M$35:M$42)</f>
        <v>0</v>
      </c>
      <c r="M139">
        <f>SUMIF('Как есть'!$A$35:$A$42,Доп.расчеты!$A139,'Как есть'!N$35:N$42)</f>
        <v>0</v>
      </c>
      <c r="N139">
        <f>SUMIF('Как есть'!$A$35:$A$42,Доп.расчеты!$A139,'Как есть'!O$35:O$42)</f>
        <v>0</v>
      </c>
      <c r="O139">
        <f>SUMIF('Как есть'!$A$35:$A$42,Доп.расчеты!$A139,'Как есть'!P$35:P$42)</f>
        <v>0</v>
      </c>
      <c r="P139">
        <f>SUMIF('Как есть'!$A$35:$A$42,Доп.расчеты!$A139,'Как есть'!Q$35:Q$42)</f>
        <v>0</v>
      </c>
      <c r="Q139">
        <f>SUMIF('Как есть'!$A$35:$A$42,Доп.расчеты!$A139,'Как есть'!R$35:R$42)</f>
        <v>0</v>
      </c>
      <c r="R139">
        <f>SUMIF('Как есть'!$A$35:$A$42,Доп.расчеты!$A139,'Как есть'!S$35:S$42)</f>
        <v>0</v>
      </c>
      <c r="S139">
        <f>SUMIF('Как есть'!$A$35:$A$42,Доп.расчеты!$A139,'Как есть'!T$35:T$42)</f>
        <v>0</v>
      </c>
      <c r="T139">
        <f>SUMIF('Как есть'!$A$35:$A$42,Доп.расчеты!$A139,'Как есть'!U$35:U$42)</f>
        <v>0</v>
      </c>
      <c r="U139">
        <f>SUMIF('Как есть'!$A$35:$A$42,Доп.расчеты!$A139,'Как есть'!V$35:V$42)</f>
        <v>0</v>
      </c>
      <c r="V139">
        <f>SUMIF('Как есть'!$A$35:$A$42,Доп.расчеты!$A139,'Как есть'!W$35:W$42)</f>
        <v>0</v>
      </c>
      <c r="W139">
        <f>SUMIF('Как есть'!$A$35:$A$42,Доп.расчеты!$A139,'Как есть'!X$35:X$42)</f>
        <v>0</v>
      </c>
      <c r="X139">
        <f>SUMIF('Как есть'!$A$35:$A$42,Доп.расчеты!$A139,'Как есть'!Y$35:Y$42)</f>
        <v>0</v>
      </c>
      <c r="Y139">
        <f>SUMIF('Как есть'!$A$35:$A$42,Доп.расчеты!$A139,'Как есть'!Z$35:Z$42)</f>
        <v>0</v>
      </c>
      <c r="Z139">
        <f>SUMIF('Как есть'!$A$35:$A$42,Доп.расчеты!$A139,'Как есть'!AA$35:AA$42)</f>
        <v>0</v>
      </c>
      <c r="AA139">
        <f>SUMIF('Как есть'!$A$35:$A$42,Доп.расчеты!$A139,'Как есть'!AB$35:AB$42)</f>
        <v>0</v>
      </c>
      <c r="AB139">
        <f>SUMIF('Как есть'!$A$35:$A$42,Доп.расчеты!$A139,'Как есть'!AC$35:AC$42)</f>
        <v>0</v>
      </c>
      <c r="AC139">
        <f>SUMIF('Как есть'!$A$35:$A$42,Доп.расчеты!$A139,'Как есть'!AD$35:AD$42)</f>
        <v>0</v>
      </c>
      <c r="AD139">
        <f>SUMIF('Как есть'!$A$35:$A$42,Доп.расчеты!$A139,'Как есть'!AE$35:AE$42)</f>
        <v>0</v>
      </c>
      <c r="AE139">
        <f>SUMIF('Как есть'!$A$35:$A$42,Доп.расчеты!$A139,'Как есть'!AF$35:AF$42)</f>
        <v>0</v>
      </c>
      <c r="AF139">
        <f>SUMIF('Как есть'!$A$35:$A$42,Доп.расчеты!$A139,'Как есть'!AG$35:AG$42)</f>
        <v>0</v>
      </c>
      <c r="AG139">
        <f>SUMIF('Как есть'!$A$35:$A$42,Доп.расчеты!$A139,'Как есть'!AH$35:AH$42)</f>
        <v>0</v>
      </c>
      <c r="AH139">
        <f>SUMIF('Как есть'!$A$35:$A$42,Доп.расчеты!$A139,'Как есть'!AI$35:AI$42)</f>
        <v>0</v>
      </c>
      <c r="AI139">
        <f>SUMIF('Как есть'!$A$35:$A$42,Доп.расчеты!$A139,'Как есть'!AJ$35:AJ$42)</f>
        <v>0</v>
      </c>
      <c r="AJ139">
        <f>SUMIF('Как есть'!$A$35:$A$42,Доп.расчеты!$A139,'Как есть'!AK$35:AK$42)</f>
        <v>0</v>
      </c>
      <c r="AK139">
        <f>SUMIF('Как есть'!$A$35:$A$42,Доп.расчеты!$A139,'Как есть'!AL$35:AL$42)</f>
        <v>0</v>
      </c>
      <c r="AL139">
        <f>SUMIF('Как есть'!$A$35:$A$42,Доп.расчеты!$A139,'Как есть'!AM$35:AM$42)</f>
        <v>0</v>
      </c>
      <c r="AM139">
        <f>SUMIF('Как есть'!$A$35:$A$42,Доп.расчеты!$A139,'Как есть'!AN$35:AN$42)</f>
        <v>0</v>
      </c>
      <c r="AN139">
        <f>SUMIF('Как есть'!$A$35:$A$42,Доп.расчеты!$A139,'Как есть'!AO$35:AO$42)</f>
        <v>0</v>
      </c>
      <c r="AO139">
        <f>SUMIF('Как есть'!$A$35:$A$42,Доп.расчеты!$A139,'Как есть'!AP$35:AP$42)</f>
        <v>0</v>
      </c>
      <c r="AP139">
        <f>SUMIF('Как есть'!$A$35:$A$42,Доп.расчеты!$A139,'Как есть'!AQ$35:AQ$42)</f>
        <v>0</v>
      </c>
      <c r="AQ139">
        <f>SUMIF('Как есть'!$A$35:$A$42,Доп.расчеты!$A139,'Как есть'!AR$35:AR$42)</f>
        <v>0</v>
      </c>
      <c r="AR139">
        <f>SUMIF('Как есть'!$A$35:$A$42,Доп.расчеты!$A139,'Как есть'!AS$35:AS$42)</f>
        <v>0</v>
      </c>
      <c r="AS139">
        <f>SUMIF('Как есть'!$A$35:$A$42,Доп.расчеты!$A139,'Как есть'!AT$35:AT$42)</f>
        <v>0</v>
      </c>
      <c r="AT139">
        <f>SUMIF('Как есть'!$A$35:$A$42,Доп.расчеты!$A139,'Как есть'!AU$35:AU$42)</f>
        <v>0</v>
      </c>
      <c r="AU139">
        <f>SUMIF('Как есть'!$A$35:$A$42,Доп.расчеты!$A139,'Как есть'!AV$35:AV$42)</f>
        <v>0</v>
      </c>
      <c r="AV139">
        <f>SUMIF('Как есть'!$A$35:$A$42,Доп.расчеты!$A139,'Как есть'!AW$35:AW$42)</f>
        <v>0</v>
      </c>
      <c r="AW139">
        <f>SUMIF('Как есть'!$A$35:$A$42,Доп.расчеты!$A139,'Как есть'!AX$35:AX$42)</f>
        <v>0</v>
      </c>
      <c r="AX139">
        <f>SUMIF('Как есть'!$A$35:$A$42,Доп.расчеты!$A139,'Как есть'!AY$35:AY$42)</f>
        <v>0</v>
      </c>
      <c r="AY139">
        <f>SUMIF('Как есть'!$A$35:$A$42,Доп.расчеты!$A139,'Как есть'!AZ$35:AZ$42)</f>
        <v>0</v>
      </c>
      <c r="AZ139">
        <f>SUMIF('Как есть'!$A$35:$A$42,Доп.расчеты!$A139,'Как есть'!BA$35:BA$42)</f>
        <v>0</v>
      </c>
      <c r="BA139">
        <f>SUMIF('Как есть'!$A$35:$A$42,Доп.расчеты!$A139,'Как есть'!BB$35:BB$42)</f>
        <v>0</v>
      </c>
      <c r="BB139">
        <f>SUMIF('Как есть'!$A$35:$A$42,Доп.расчеты!$A139,'Как есть'!BC$35:BC$42)</f>
        <v>0</v>
      </c>
      <c r="BC139">
        <f>SUMIF('Как есть'!$A$35:$A$42,Доп.расчеты!$A139,'Как есть'!BD$35:BD$42)</f>
        <v>0</v>
      </c>
      <c r="BD139">
        <f>SUMIF('Как есть'!$A$35:$A$42,Доп.расчеты!$A139,'Как есть'!BE$35:BE$42)</f>
        <v>0</v>
      </c>
      <c r="BE139">
        <f>SUMIF('Как есть'!$A$35:$A$42,Доп.расчеты!$A139,'Как есть'!BF$35:BF$42)</f>
        <v>0</v>
      </c>
      <c r="BF139">
        <f>SUMIF('Как есть'!$A$35:$A$42,Доп.расчеты!$A139,'Как есть'!BG$35:BG$42)</f>
        <v>0</v>
      </c>
      <c r="BG139">
        <f>SUMIF('Как есть'!$A$35:$A$42,Доп.расчеты!$A139,'Как есть'!BH$35:BH$42)</f>
        <v>0</v>
      </c>
      <c r="BH139">
        <f>SUMIF('Как есть'!$A$35:$A$42,Доп.расчеты!$A139,'Как есть'!BI$35:BI$42)</f>
        <v>0</v>
      </c>
      <c r="BI139">
        <f>SUMIF('Как есть'!$A$35:$A$42,Доп.расчеты!$A139,'Как есть'!BJ$35:BJ$42)</f>
        <v>0</v>
      </c>
      <c r="BJ139">
        <f>SUMIF('Как есть'!$A$35:$A$42,Доп.расчеты!$A139,'Как есть'!BK$35:BK$42)</f>
        <v>0</v>
      </c>
      <c r="BK139">
        <f>SUMIF('Как есть'!$A$35:$A$42,Доп.расчеты!$A139,'Как есть'!BL$35:BL$42)</f>
        <v>0</v>
      </c>
      <c r="BL139">
        <f>SUMIF('Как есть'!$A$35:$A$42,Доп.расчеты!$A139,'Как есть'!BM$35:BM$42)</f>
        <v>0</v>
      </c>
      <c r="BM139">
        <f>SUMIF('Как есть'!$A$35:$A$42,Доп.расчеты!$A139,'Как есть'!BN$35:BN$42)</f>
        <v>0</v>
      </c>
      <c r="BN139">
        <f>SUMIF('Как есть'!$A$35:$A$42,Доп.расчеты!$A139,'Как есть'!BO$35:BO$42)</f>
        <v>0</v>
      </c>
      <c r="BO139">
        <f>SUMIF('Как есть'!$A$35:$A$42,Доп.расчеты!$A139,'Как есть'!BP$35:BP$42)</f>
        <v>0</v>
      </c>
      <c r="BP139">
        <f>SUMIF('Как есть'!$A$35:$A$42,Доп.расчеты!$A139,'Как есть'!BQ$35:BQ$42)</f>
        <v>0</v>
      </c>
      <c r="BQ139">
        <f>SUMIF('Как есть'!$A$35:$A$42,Доп.расчеты!$A139,'Как есть'!BR$35:BR$42)</f>
        <v>0</v>
      </c>
      <c r="BR139">
        <f>SUMIF('Как есть'!$A$35:$A$42,Доп.расчеты!$A139,'Как есть'!BS$35:BS$42)</f>
        <v>0</v>
      </c>
      <c r="BS139">
        <f>SUMIF('Как есть'!$A$35:$A$42,Доп.расчеты!$A139,'Как есть'!BT$35:BT$42)</f>
        <v>0</v>
      </c>
      <c r="BT139">
        <f>SUMIF('Как есть'!$A$35:$A$42,Доп.расчеты!$A139,'Как есть'!BU$35:BU$42)</f>
        <v>0</v>
      </c>
      <c r="BU139">
        <f>SUMIF('Как есть'!$A$35:$A$42,Доп.расчеты!$A139,'Как есть'!BV$35:BV$42)</f>
        <v>0</v>
      </c>
      <c r="BV139">
        <f>SUMIF('Как есть'!$A$35:$A$42,Доп.расчеты!$A139,'Как есть'!BW$35:BW$42)</f>
        <v>0</v>
      </c>
      <c r="BW139">
        <f>SUMIF('Как есть'!$A$35:$A$42,Доп.расчеты!$A139,'Как есть'!BX$35:BX$42)</f>
        <v>0</v>
      </c>
      <c r="BX139">
        <f>SUMIF('Как есть'!$A$35:$A$42,Доп.расчеты!$A139,'Как есть'!BY$35:BY$42)</f>
        <v>0</v>
      </c>
      <c r="BY139">
        <f>SUMIF('Как есть'!$A$35:$A$42,Доп.расчеты!$A139,'Как есть'!BZ$35:BZ$42)</f>
        <v>0</v>
      </c>
      <c r="BZ139">
        <f>SUMIF('Как есть'!$A$35:$A$42,Доп.расчеты!$A139,'Как есть'!CA$35:CA$42)</f>
        <v>0</v>
      </c>
      <c r="CA139">
        <f>SUMIF('Как есть'!$A$35:$A$42,Доп.расчеты!$A139,'Как есть'!CB$35:CB$42)</f>
        <v>0</v>
      </c>
      <c r="CB139">
        <f>SUMIF('Как есть'!$A$35:$A$42,Доп.расчеты!$A139,'Как есть'!CC$35:CC$42)</f>
        <v>0</v>
      </c>
      <c r="CC139">
        <f>SUMIF('Как есть'!$A$35:$A$42,Доп.расчеты!$A139,'Как есть'!CD$35:CD$42)</f>
        <v>0</v>
      </c>
      <c r="CD139">
        <f>SUMIF('Как есть'!$A$35:$A$42,Доп.расчеты!$A139,'Как есть'!CE$35:CE$42)</f>
        <v>0</v>
      </c>
      <c r="CE139">
        <f>SUMIF('Как есть'!$A$35:$A$42,Доп.расчеты!$A139,'Как есть'!CF$35:CF$42)</f>
        <v>0</v>
      </c>
      <c r="CF139">
        <f>SUMIF('Как есть'!$A$35:$A$42,Доп.расчеты!$A139,'Как есть'!CG$35:CG$42)</f>
        <v>0</v>
      </c>
      <c r="CG139">
        <f>SUMIF('Как есть'!$A$35:$A$42,Доп.расчеты!$A139,'Как есть'!CH$35:CH$42)</f>
        <v>0</v>
      </c>
      <c r="CH139">
        <f>SUMIF('Как есть'!$A$35:$A$42,Доп.расчеты!$A139,'Как есть'!CI$35:CI$42)</f>
        <v>0</v>
      </c>
      <c r="CI139">
        <f>SUMIF('Как есть'!$A$35:$A$42,Доп.расчеты!$A139,'Как есть'!CJ$35:CJ$42)</f>
        <v>0</v>
      </c>
      <c r="CJ139">
        <f>SUMIF('Как есть'!$A$35:$A$42,Доп.расчеты!$A139,'Как есть'!CK$35:CK$42)</f>
        <v>0</v>
      </c>
      <c r="CK139">
        <f>SUMIF('Как есть'!$A$35:$A$42,Доп.расчеты!$A139,'Как есть'!CL$35:CL$42)</f>
        <v>0</v>
      </c>
      <c r="CL139">
        <f>SUMIF('Как есть'!$A$35:$A$42,Доп.расчеты!$A139,'Как есть'!CM$35:CM$42)</f>
        <v>0</v>
      </c>
      <c r="CM139">
        <f>SUMIF('Как есть'!$A$35:$A$42,Доп.расчеты!$A139,'Как есть'!CN$35:CN$42)</f>
        <v>0</v>
      </c>
      <c r="CN139">
        <f>SUMIF('Как есть'!$A$35:$A$42,Доп.расчеты!$A139,'Как есть'!CO$35:CO$42)</f>
        <v>0</v>
      </c>
      <c r="CO139">
        <f>SUMIF('Как есть'!$A$35:$A$42,Доп.расчеты!$A139,'Как есть'!CP$35:CP$42)</f>
        <v>0</v>
      </c>
      <c r="CP139">
        <f>SUMIF('Как есть'!$A$35:$A$42,Доп.расчеты!$A139,'Как есть'!CQ$35:CQ$42)</f>
        <v>0</v>
      </c>
      <c r="CQ139">
        <f>SUMIF('Как есть'!$A$35:$A$42,Доп.расчеты!$A139,'Как есть'!CR$35:CR$42)</f>
        <v>0</v>
      </c>
      <c r="CR139">
        <f>SUMIF('Как есть'!$A$35:$A$42,Доп.расчеты!$A139,'Как есть'!CS$35:CS$42)</f>
        <v>0</v>
      </c>
      <c r="CS139">
        <f>SUMIF('Как есть'!$A$35:$A$42,Доп.расчеты!$A139,'Как есть'!CT$35:CT$42)</f>
        <v>0</v>
      </c>
      <c r="CT139">
        <f>SUMIF('Как есть'!$A$35:$A$42,Доп.расчеты!$A139,'Как есть'!CU$35:CU$42)</f>
        <v>0</v>
      </c>
      <c r="CU139">
        <f>SUMIF('Как есть'!$A$35:$A$42,Доп.расчеты!$A139,'Как есть'!CV$35:CV$42)</f>
        <v>0</v>
      </c>
      <c r="CV139">
        <f>SUMIF('Как есть'!$A$35:$A$42,Доп.расчеты!$A139,'Как есть'!CW$35:CW$42)</f>
        <v>0</v>
      </c>
      <c r="CW139">
        <f>SUMIF('Как есть'!$A$35:$A$42,Доп.расчеты!$A139,'Как есть'!CX$35:CX$42)</f>
        <v>0</v>
      </c>
      <c r="CX139">
        <f>SUMIF('Как есть'!$A$35:$A$42,Доп.расчеты!$A139,'Как есть'!CY$35:CY$42)</f>
        <v>0</v>
      </c>
      <c r="CY139">
        <f>SUMIF('Как есть'!$A$35:$A$42,Доп.расчеты!$A139,'Как есть'!CZ$35:CZ$42)</f>
        <v>0</v>
      </c>
      <c r="CZ139">
        <f>SUMIF('Как есть'!$A$35:$A$42,Доп.расчеты!$A139,'Как есть'!DA$35:DA$42)</f>
        <v>0</v>
      </c>
      <c r="DA139">
        <f>SUMIF('Как есть'!$A$35:$A$42,Доп.расчеты!$A139,'Как есть'!DB$35:DB$42)</f>
        <v>0</v>
      </c>
      <c r="DB139">
        <f>SUMIF('Как есть'!$A$35:$A$42,Доп.расчеты!$A139,'Как есть'!DC$35:DC$42)</f>
        <v>0</v>
      </c>
      <c r="DC139">
        <f>SUMIF('Как есть'!$A$35:$A$42,Доп.расчеты!$A139,'Как есть'!DD$35:DD$42)</f>
        <v>0</v>
      </c>
      <c r="DD139">
        <f>SUMIF('Как есть'!$A$35:$A$42,Доп.расчеты!$A139,'Как есть'!DE$35:DE$42)</f>
        <v>0</v>
      </c>
      <c r="DE139">
        <f>SUMIF('Как есть'!$A$35:$A$42,Доп.расчеты!$A139,'Как есть'!DF$35:DF$42)</f>
        <v>0</v>
      </c>
      <c r="DF139">
        <f>SUMIF('Как есть'!$A$35:$A$42,Доп.расчеты!$A139,'Как есть'!DG$35:DG$42)</f>
        <v>0</v>
      </c>
      <c r="DG139">
        <f>SUMIF('Как есть'!$A$35:$A$42,Доп.расчеты!$A139,'Как есть'!DH$35:DH$42)</f>
        <v>0</v>
      </c>
      <c r="DH139">
        <f>SUMIF('Как есть'!$A$35:$A$42,Доп.расчеты!$A139,'Как есть'!DI$35:DI$42)</f>
        <v>0</v>
      </c>
      <c r="DI139">
        <f>SUMIF('Как есть'!$A$35:$A$42,Доп.расчеты!$A139,'Как есть'!DJ$35:DJ$42)</f>
        <v>0</v>
      </c>
      <c r="DJ139">
        <f>SUMIF('Как есть'!$A$35:$A$42,Доп.расчеты!$A139,'Как есть'!DK$35:DK$42)</f>
        <v>0</v>
      </c>
      <c r="DK139">
        <f>SUMIF('Как есть'!$A$35:$A$42,Доп.расчеты!$A139,'Как есть'!DL$35:DL$42)</f>
        <v>0</v>
      </c>
      <c r="DL139">
        <f>SUMIF('Как есть'!$A$35:$A$42,Доп.расчеты!$A139,'Как есть'!DM$35:DM$42)</f>
        <v>0</v>
      </c>
      <c r="DM139">
        <f>SUMIF('Как есть'!$A$35:$A$42,Доп.расчеты!$A139,'Как есть'!DN$35:DN$42)</f>
        <v>0</v>
      </c>
      <c r="DN139">
        <f>SUMIF('Как есть'!$A$35:$A$42,Доп.расчеты!$A139,'Как есть'!DO$35:DO$42)</f>
        <v>0</v>
      </c>
      <c r="DO139">
        <f>SUMIF('Как есть'!$A$35:$A$42,Доп.расчеты!$A139,'Как есть'!DP$35:DP$42)</f>
        <v>0</v>
      </c>
      <c r="DP139">
        <f>SUMIF('Как есть'!$A$35:$A$42,Доп.расчеты!$A139,'Как есть'!DQ$35:DQ$42)</f>
        <v>0</v>
      </c>
      <c r="DQ139">
        <f>SUMIF('Как есть'!$A$35:$A$42,Доп.расчеты!$A139,'Как есть'!DR$35:DR$42)</f>
        <v>0</v>
      </c>
      <c r="DR139">
        <f>SUMIF('Как есть'!$A$35:$A$42,Доп.расчеты!$A139,'Как есть'!DS$35:DS$42)</f>
        <v>0</v>
      </c>
      <c r="DS139">
        <f>SUMIF('Как есть'!$A$35:$A$42,Доп.расчеты!$A139,'Как есть'!DT$35:DT$42)</f>
        <v>0</v>
      </c>
      <c r="DT139">
        <f>SUMIF('Как есть'!$A$35:$A$42,Доп.расчеты!$A139,'Как есть'!DU$35:DU$42)</f>
        <v>0</v>
      </c>
      <c r="DU139">
        <f>SUMIF('Как есть'!$A$35:$A$42,Доп.расчеты!$A139,'Как есть'!DV$35:DV$42)</f>
        <v>0</v>
      </c>
      <c r="DV139">
        <f>SUMIF('Как есть'!$A$35:$A$42,Доп.расчеты!$A139,'Как есть'!DW$35:DW$42)</f>
        <v>0</v>
      </c>
      <c r="DW139">
        <f>SUMIF('Как есть'!$A$35:$A$42,Доп.расчеты!$A139,'Как есть'!DX$35:DX$42)</f>
        <v>0</v>
      </c>
      <c r="DX139">
        <f>SUMIF('Как есть'!$A$35:$A$42,Доп.расчеты!$A139,'Как есть'!DY$35:DY$42)</f>
        <v>0</v>
      </c>
      <c r="DY139">
        <f>SUMIF('Как есть'!$A$35:$A$42,Доп.расчеты!$A139,'Как есть'!DZ$35:DZ$42)</f>
        <v>0</v>
      </c>
      <c r="DZ139">
        <f>SUMIF('Как есть'!$A$35:$A$42,Доп.расчеты!$A139,'Как есть'!EA$35:EA$42)</f>
        <v>0</v>
      </c>
      <c r="EA139">
        <f>SUMIF('Как есть'!$A$35:$A$42,Доп.расчеты!$A139,'Как есть'!EB$35:EB$42)</f>
        <v>0</v>
      </c>
      <c r="EB139">
        <f>SUMIF('Как есть'!$A$35:$A$42,Доп.расчеты!$A139,'Как есть'!EC$35:EC$42)</f>
        <v>0</v>
      </c>
      <c r="EC139">
        <f>SUMIF('Как есть'!$A$35:$A$42,Доп.расчеты!$A139,'Как есть'!ED$35:ED$42)</f>
        <v>0</v>
      </c>
      <c r="ED139">
        <f>SUMIF('Как есть'!$A$35:$A$42,Доп.расчеты!$A139,'Как есть'!EE$35:EE$42)</f>
        <v>0</v>
      </c>
      <c r="EE139">
        <f>SUMIF('Как есть'!$A$35:$A$42,Доп.расчеты!$A139,'Как есть'!EF$35:EF$42)</f>
        <v>0</v>
      </c>
      <c r="EF139">
        <f>SUMIF('Как есть'!$A$35:$A$42,Доп.расчеты!$A139,'Как есть'!EG$35:EG$42)</f>
        <v>0</v>
      </c>
      <c r="EG139">
        <f>SUMIF('Как есть'!$A$35:$A$42,Доп.расчеты!$A139,'Как есть'!EH$35:EH$42)</f>
        <v>0</v>
      </c>
      <c r="EH139">
        <f>SUMIF('Как есть'!$A$35:$A$42,Доп.расчеты!$A139,'Как есть'!EI$35:EI$42)</f>
        <v>0</v>
      </c>
      <c r="EI139">
        <f>SUMIF('Как есть'!$A$35:$A$42,Доп.расчеты!$A139,'Как есть'!EJ$35:EJ$42)</f>
        <v>0</v>
      </c>
      <c r="EJ139">
        <f>SUMIF('Как есть'!$A$35:$A$42,Доп.расчеты!$A139,'Как есть'!EK$35:EK$42)</f>
        <v>0</v>
      </c>
      <c r="EK139">
        <f>SUMIF('Как есть'!$A$35:$A$42,Доп.расчеты!$A139,'Как есть'!EL$35:EL$42)</f>
        <v>0</v>
      </c>
      <c r="EL139">
        <f>SUMIF('Как есть'!$A$35:$A$42,Доп.расчеты!$A139,'Как есть'!EM$35:EM$42)</f>
        <v>0</v>
      </c>
      <c r="EM139">
        <f>SUMIF('Как есть'!$A$35:$A$42,Доп.расчеты!$A139,'Как есть'!EN$35:EN$42)</f>
        <v>0</v>
      </c>
      <c r="EN139">
        <f>SUMIF('Как есть'!$A$35:$A$42,Доп.расчеты!$A139,'Как есть'!EO$35:EO$42)</f>
        <v>0</v>
      </c>
      <c r="EO139">
        <f>SUMIF('Как есть'!$A$35:$A$42,Доп.расчеты!$A139,'Как есть'!EP$35:EP$42)</f>
        <v>0</v>
      </c>
      <c r="EP139">
        <f>SUMIF('Как есть'!$A$35:$A$42,Доп.расчеты!$A139,'Как есть'!EQ$35:EQ$42)</f>
        <v>0</v>
      </c>
      <c r="EQ139">
        <f>SUMIF('Как есть'!$A$35:$A$42,Доп.расчеты!$A139,'Как есть'!ER$35:ER$42)</f>
        <v>0</v>
      </c>
      <c r="ER139">
        <f>SUMIF('Как есть'!$A$35:$A$42,Доп.расчеты!$A139,'Как есть'!ES$35:ES$42)</f>
        <v>0</v>
      </c>
      <c r="ES139">
        <f>SUMIF('Как есть'!$A$35:$A$42,Доп.расчеты!$A139,'Как есть'!ET$35:ET$42)</f>
        <v>0</v>
      </c>
      <c r="ET139">
        <f>SUMIF('Как есть'!$A$35:$A$42,Доп.расчеты!$A139,'Как есть'!EU$35:EU$42)</f>
        <v>0</v>
      </c>
      <c r="EU139">
        <f>SUMIF('Как есть'!$A$35:$A$42,Доп.расчеты!$A139,'Как есть'!EV$35:EV$42)</f>
        <v>0</v>
      </c>
      <c r="EV139">
        <f>SUMIF('Как есть'!$A$35:$A$42,Доп.расчеты!$A139,'Как есть'!EW$35:EW$42)</f>
        <v>0</v>
      </c>
      <c r="EW139">
        <f>SUMIF('Как есть'!$A$35:$A$42,Доп.расчеты!$A139,'Как есть'!EX$35:EX$42)</f>
        <v>0</v>
      </c>
      <c r="EX139">
        <f>SUMIF('Как есть'!$A$35:$A$42,Доп.расчеты!$A139,'Как есть'!EY$35:EY$42)</f>
        <v>0</v>
      </c>
      <c r="EY139">
        <f>SUMIF('Как есть'!$A$35:$A$42,Доп.расчеты!$A139,'Как есть'!EZ$35:EZ$42)</f>
        <v>0</v>
      </c>
      <c r="EZ139">
        <f>SUMIF('Как есть'!$A$35:$A$42,Доп.расчеты!$A139,'Как есть'!FA$35:FA$42)</f>
        <v>0</v>
      </c>
      <c r="FA139">
        <f>SUMIF('Как есть'!$A$35:$A$42,Доп.расчеты!$A139,'Как есть'!FB$35:FB$42)</f>
        <v>0</v>
      </c>
      <c r="FB139">
        <f>SUMIF('Как есть'!$A$35:$A$42,Доп.расчеты!$A139,'Как есть'!FC$35:FC$42)</f>
        <v>0</v>
      </c>
      <c r="FC139">
        <f>SUMIF('Как есть'!$A$35:$A$42,Доп.расчеты!$A139,'Как есть'!FD$35:FD$42)</f>
        <v>0</v>
      </c>
      <c r="FD139">
        <f>SUMIF('Как есть'!$A$35:$A$42,Доп.расчеты!$A139,'Как есть'!FE$35:FE$42)</f>
        <v>0</v>
      </c>
      <c r="FE139">
        <f>SUMIF('Как есть'!$A$35:$A$42,Доп.расчеты!$A139,'Как есть'!FF$35:FF$42)</f>
        <v>0</v>
      </c>
      <c r="FF139">
        <f>SUMIF('Как есть'!$A$35:$A$42,Доп.расчеты!$A139,'Как есть'!FG$35:FG$42)</f>
        <v>0</v>
      </c>
      <c r="FG139">
        <f>SUMIF('Как есть'!$A$35:$A$42,Доп.расчеты!$A139,'Как есть'!FH$35:FH$42)</f>
        <v>0</v>
      </c>
      <c r="FH139">
        <f>SUMIF('Как есть'!$A$35:$A$42,Доп.расчеты!$A139,'Как есть'!FI$35:FI$42)</f>
        <v>0</v>
      </c>
      <c r="FI139">
        <f>SUMIF('Как есть'!$A$35:$A$42,Доп.расчеты!$A139,'Как есть'!FJ$35:FJ$42)</f>
        <v>0</v>
      </c>
      <c r="FJ139">
        <f>SUMIF('Как есть'!$A$35:$A$42,Доп.расчеты!$A139,'Как есть'!FK$35:FK$42)</f>
        <v>0</v>
      </c>
      <c r="FK139">
        <f>SUMIF('Как есть'!$A$35:$A$42,Доп.расчеты!$A139,'Как есть'!FL$35:FL$42)</f>
        <v>0</v>
      </c>
      <c r="FL139">
        <f>SUMIF('Как есть'!$A$35:$A$42,Доп.расчеты!$A139,'Как есть'!FM$35:FM$42)</f>
        <v>0</v>
      </c>
      <c r="FM139">
        <f>SUMIF('Как есть'!$A$35:$A$42,Доп.расчеты!$A139,'Как есть'!FN$35:FN$42)</f>
        <v>0</v>
      </c>
      <c r="FN139">
        <f>SUMIF('Как есть'!$A$35:$A$42,Доп.расчеты!$A139,'Как есть'!FO$35:FO$42)</f>
        <v>0</v>
      </c>
      <c r="FO139">
        <f>SUMIF('Как есть'!$A$35:$A$42,Доп.расчеты!$A139,'Как есть'!FP$35:FP$42)</f>
        <v>0</v>
      </c>
      <c r="FP139">
        <f>SUMIF('Как есть'!$A$35:$A$42,Доп.расчеты!$A139,'Как есть'!FQ$35:FQ$42)</f>
        <v>0</v>
      </c>
      <c r="FQ139">
        <f>SUMIF('Как есть'!$A$35:$A$42,Доп.расчеты!$A139,'Как есть'!FR$35:FR$42)</f>
        <v>0</v>
      </c>
      <c r="FR139">
        <f>SUMIF('Как есть'!$A$35:$A$42,Доп.расчеты!$A139,'Как есть'!FS$35:FS$42)</f>
        <v>0</v>
      </c>
      <c r="FS139">
        <f>SUMIF('Как есть'!$A$35:$A$42,Доп.расчеты!$A139,'Как есть'!FT$35:FT$42)</f>
        <v>0</v>
      </c>
      <c r="FT139">
        <f>SUMIF('Как есть'!$A$35:$A$42,Доп.расчеты!$A139,'Как есть'!FU$35:FU$42)</f>
        <v>0</v>
      </c>
      <c r="FU139">
        <f>SUMIF('Как есть'!$A$35:$A$42,Доп.расчеты!$A139,'Как есть'!FV$35:FV$42)</f>
        <v>0</v>
      </c>
      <c r="FV139">
        <f>SUMIF('Как есть'!$A$35:$A$42,Доп.расчеты!$A139,'Как есть'!FW$35:FW$42)</f>
        <v>0</v>
      </c>
      <c r="FW139">
        <f>SUMIF('Как есть'!$A$35:$A$42,Доп.расчеты!$A139,'Как есть'!FX$35:FX$42)</f>
        <v>0</v>
      </c>
      <c r="FX139">
        <f>SUMIF('Как есть'!$A$35:$A$42,Доп.расчеты!$A139,'Как есть'!FY$35:FY$42)</f>
        <v>0</v>
      </c>
      <c r="FY139">
        <f>SUMIF('Как есть'!$A$35:$A$42,Доп.расчеты!$A139,'Как есть'!FZ$35:FZ$42)</f>
        <v>0</v>
      </c>
      <c r="FZ139">
        <f>SUMIF('Как есть'!$A$35:$A$42,Доп.расчеты!$A139,'Как есть'!GA$35:GA$42)</f>
        <v>0</v>
      </c>
      <c r="GA139">
        <f>SUMIF('Как есть'!$A$35:$A$42,Доп.расчеты!$A139,'Как есть'!GB$35:GB$42)</f>
        <v>0</v>
      </c>
      <c r="GB139">
        <f>SUMIF('Как есть'!$A$35:$A$42,Доп.расчеты!$A139,'Как есть'!GC$35:GC$42)</f>
        <v>0</v>
      </c>
      <c r="GC139">
        <f>SUMIF('Как есть'!$A$35:$A$42,Доп.расчеты!$A139,'Как есть'!GD$35:GD$42)</f>
        <v>0</v>
      </c>
      <c r="GD139">
        <f>SUMIF('Как есть'!$A$35:$A$42,Доп.расчеты!$A139,'Как есть'!GE$35:GE$42)</f>
        <v>0</v>
      </c>
      <c r="GE139">
        <f>SUMIF('Как есть'!$A$35:$A$42,Доп.расчеты!$A139,'Как есть'!GF$35:GF$42)</f>
        <v>0</v>
      </c>
      <c r="GF139">
        <f>SUMIF('Как есть'!$A$35:$A$42,Доп.расчеты!$A139,'Как есть'!GG$35:GG$42)</f>
        <v>0</v>
      </c>
      <c r="GG139">
        <f>SUMIF('Как есть'!$A$35:$A$42,Доп.расчеты!$A139,'Как есть'!GH$35:GH$42)</f>
        <v>0</v>
      </c>
      <c r="GH139">
        <f>SUMIF('Как есть'!$A$35:$A$42,Доп.расчеты!$A139,'Как есть'!GI$35:GI$42)</f>
        <v>0</v>
      </c>
      <c r="GI139">
        <f>SUMIF('Как есть'!$A$35:$A$42,Доп.расчеты!$A139,'Как есть'!GJ$35:GJ$42)</f>
        <v>0</v>
      </c>
      <c r="GJ139">
        <f>SUMIF('Как есть'!$A$35:$A$42,Доп.расчеты!$A139,'Как есть'!GK$35:GK$42)</f>
        <v>0</v>
      </c>
      <c r="GK139">
        <f>SUMIF('Как есть'!$A$35:$A$42,Доп.расчеты!$A139,'Как есть'!GL$35:GL$42)</f>
        <v>0</v>
      </c>
      <c r="GL139">
        <f>SUMIF('Как есть'!$A$35:$A$42,Доп.расчеты!$A139,'Как есть'!GM$35:GM$42)</f>
        <v>0</v>
      </c>
      <c r="GM139">
        <f>SUMIF('Как есть'!$A$35:$A$42,Доп.расчеты!$A139,'Как есть'!GN$35:GN$42)</f>
        <v>0</v>
      </c>
      <c r="GN139">
        <f>SUMIF('Как есть'!$A$35:$A$42,Доп.расчеты!$A139,'Как есть'!GO$35:GO$42)</f>
        <v>0</v>
      </c>
      <c r="GO139">
        <f>SUMIF('Как есть'!$A$35:$A$42,Доп.расчеты!$A139,'Как есть'!GP$35:GP$42)</f>
        <v>0</v>
      </c>
      <c r="GP139">
        <f>SUMIF('Как есть'!$A$35:$A$42,Доп.расчеты!$A139,'Как есть'!GQ$35:GQ$42)</f>
        <v>0</v>
      </c>
      <c r="GQ139">
        <f>SUMIF('Как есть'!$A$35:$A$42,Доп.расчеты!$A139,'Как есть'!GR$35:GR$42)</f>
        <v>0</v>
      </c>
      <c r="GR139">
        <f>SUMIF('Как есть'!$A$35:$A$42,Доп.расчеты!$A139,'Как есть'!GS$35:GS$42)</f>
        <v>0</v>
      </c>
      <c r="GS139">
        <f>SUMIF('Как есть'!$A$35:$A$42,Доп.расчеты!$A139,'Как есть'!GT$35:GT$42)</f>
        <v>0</v>
      </c>
      <c r="GT139">
        <f>SUMIF('Как есть'!$A$35:$A$42,Доп.расчеты!$A139,'Как есть'!GU$35:GU$42)</f>
        <v>0</v>
      </c>
    </row>
    <row r="140" spans="1:202" hidden="1" outlineLevel="1">
      <c r="A140" s="238" t="s">
        <v>11</v>
      </c>
      <c r="B140">
        <f>SUMIF('Как есть'!$A$35:$A$42,Доп.расчеты!$A140,'Как есть'!C$35:C$42)</f>
        <v>0</v>
      </c>
      <c r="C140">
        <f>SUMIF('Как есть'!$A$35:$A$42,Доп.расчеты!$A140,'Как есть'!D$35:D$42)</f>
        <v>0</v>
      </c>
      <c r="D140">
        <f>SUMIF('Как есть'!$A$35:$A$42,Доп.расчеты!$A140,'Как есть'!E$35:E$42)</f>
        <v>0</v>
      </c>
      <c r="E140">
        <f>SUMIF('Как есть'!$A$35:$A$42,Доп.расчеты!$A140,'Как есть'!F$35:F$42)</f>
        <v>0</v>
      </c>
      <c r="F140">
        <f>SUMIF('Как есть'!$A$35:$A$42,Доп.расчеты!$A140,'Как есть'!G$35:G$42)</f>
        <v>0</v>
      </c>
      <c r="G140">
        <f>SUMIF('Как есть'!$A$35:$A$42,Доп.расчеты!$A140,'Как есть'!H$35:H$42)</f>
        <v>0</v>
      </c>
      <c r="H140">
        <f>SUMIF('Как есть'!$A$35:$A$42,Доп.расчеты!$A140,'Как есть'!I$35:I$42)</f>
        <v>0</v>
      </c>
      <c r="I140">
        <f>SUMIF('Как есть'!$A$35:$A$42,Доп.расчеты!$A140,'Как есть'!J$35:J$42)</f>
        <v>0</v>
      </c>
      <c r="J140">
        <f>SUMIF('Как есть'!$A$35:$A$42,Доп.расчеты!$A140,'Как есть'!K$35:K$42)</f>
        <v>0</v>
      </c>
      <c r="K140">
        <f>SUMIF('Как есть'!$A$35:$A$42,Доп.расчеты!$A140,'Как есть'!L$35:L$42)</f>
        <v>0</v>
      </c>
      <c r="L140">
        <f>SUMIF('Как есть'!$A$35:$A$42,Доп.расчеты!$A140,'Как есть'!M$35:M$42)</f>
        <v>0</v>
      </c>
      <c r="M140">
        <f>SUMIF('Как есть'!$A$35:$A$42,Доп.расчеты!$A140,'Как есть'!N$35:N$42)</f>
        <v>0</v>
      </c>
      <c r="N140">
        <f>SUMIF('Как есть'!$A$35:$A$42,Доп.расчеты!$A140,'Как есть'!O$35:O$42)</f>
        <v>0</v>
      </c>
      <c r="O140">
        <f>SUMIF('Как есть'!$A$35:$A$42,Доп.расчеты!$A140,'Как есть'!P$35:P$42)</f>
        <v>0</v>
      </c>
      <c r="P140">
        <f>SUMIF('Как есть'!$A$35:$A$42,Доп.расчеты!$A140,'Как есть'!Q$35:Q$42)</f>
        <v>0</v>
      </c>
      <c r="Q140">
        <f>SUMIF('Как есть'!$A$35:$A$42,Доп.расчеты!$A140,'Как есть'!R$35:R$42)</f>
        <v>0</v>
      </c>
      <c r="R140">
        <f>SUMIF('Как есть'!$A$35:$A$42,Доп.расчеты!$A140,'Как есть'!S$35:S$42)</f>
        <v>0</v>
      </c>
      <c r="S140">
        <f>SUMIF('Как есть'!$A$35:$A$42,Доп.расчеты!$A140,'Как есть'!T$35:T$42)</f>
        <v>0</v>
      </c>
      <c r="T140">
        <f>SUMIF('Как есть'!$A$35:$A$42,Доп.расчеты!$A140,'Как есть'!U$35:U$42)</f>
        <v>0</v>
      </c>
      <c r="U140">
        <f>SUMIF('Как есть'!$A$35:$A$42,Доп.расчеты!$A140,'Как есть'!V$35:V$42)</f>
        <v>0</v>
      </c>
      <c r="V140">
        <f>SUMIF('Как есть'!$A$35:$A$42,Доп.расчеты!$A140,'Как есть'!W$35:W$42)</f>
        <v>0</v>
      </c>
      <c r="W140">
        <f>SUMIF('Как есть'!$A$35:$A$42,Доп.расчеты!$A140,'Как есть'!X$35:X$42)</f>
        <v>0</v>
      </c>
      <c r="X140">
        <f>SUMIF('Как есть'!$A$35:$A$42,Доп.расчеты!$A140,'Как есть'!Y$35:Y$42)</f>
        <v>0</v>
      </c>
      <c r="Y140">
        <f>SUMIF('Как есть'!$A$35:$A$42,Доп.расчеты!$A140,'Как есть'!Z$35:Z$42)</f>
        <v>0</v>
      </c>
      <c r="Z140">
        <f>SUMIF('Как есть'!$A$35:$A$42,Доп.расчеты!$A140,'Как есть'!AA$35:AA$42)</f>
        <v>0</v>
      </c>
      <c r="AA140">
        <f>SUMIF('Как есть'!$A$35:$A$42,Доп.расчеты!$A140,'Как есть'!AB$35:AB$42)</f>
        <v>0</v>
      </c>
      <c r="AB140">
        <f>SUMIF('Как есть'!$A$35:$A$42,Доп.расчеты!$A140,'Как есть'!AC$35:AC$42)</f>
        <v>0</v>
      </c>
      <c r="AC140">
        <f>SUMIF('Как есть'!$A$35:$A$42,Доп.расчеты!$A140,'Как есть'!AD$35:AD$42)</f>
        <v>0</v>
      </c>
      <c r="AD140">
        <f>SUMIF('Как есть'!$A$35:$A$42,Доп.расчеты!$A140,'Как есть'!AE$35:AE$42)</f>
        <v>0</v>
      </c>
      <c r="AE140">
        <f>SUMIF('Как есть'!$A$35:$A$42,Доп.расчеты!$A140,'Как есть'!AF$35:AF$42)</f>
        <v>0</v>
      </c>
      <c r="AF140">
        <f>SUMIF('Как есть'!$A$35:$A$42,Доп.расчеты!$A140,'Как есть'!AG$35:AG$42)</f>
        <v>0</v>
      </c>
      <c r="AG140">
        <f>SUMIF('Как есть'!$A$35:$A$42,Доп.расчеты!$A140,'Как есть'!AH$35:AH$42)</f>
        <v>0</v>
      </c>
      <c r="AH140">
        <f>SUMIF('Как есть'!$A$35:$A$42,Доп.расчеты!$A140,'Как есть'!AI$35:AI$42)</f>
        <v>0</v>
      </c>
      <c r="AI140">
        <f>SUMIF('Как есть'!$A$35:$A$42,Доп.расчеты!$A140,'Как есть'!AJ$35:AJ$42)</f>
        <v>0</v>
      </c>
      <c r="AJ140">
        <f>SUMIF('Как есть'!$A$35:$A$42,Доп.расчеты!$A140,'Как есть'!AK$35:AK$42)</f>
        <v>0</v>
      </c>
      <c r="AK140">
        <f>SUMIF('Как есть'!$A$35:$A$42,Доп.расчеты!$A140,'Как есть'!AL$35:AL$42)</f>
        <v>0</v>
      </c>
      <c r="AL140">
        <f>SUMIF('Как есть'!$A$35:$A$42,Доп.расчеты!$A140,'Как есть'!AM$35:AM$42)</f>
        <v>0</v>
      </c>
      <c r="AM140">
        <f>SUMIF('Как есть'!$A$35:$A$42,Доп.расчеты!$A140,'Как есть'!AN$35:AN$42)</f>
        <v>0</v>
      </c>
      <c r="AN140">
        <f>SUMIF('Как есть'!$A$35:$A$42,Доп.расчеты!$A140,'Как есть'!AO$35:AO$42)</f>
        <v>0</v>
      </c>
      <c r="AO140">
        <f>SUMIF('Как есть'!$A$35:$A$42,Доп.расчеты!$A140,'Как есть'!AP$35:AP$42)</f>
        <v>0</v>
      </c>
      <c r="AP140">
        <f>SUMIF('Как есть'!$A$35:$A$42,Доп.расчеты!$A140,'Как есть'!AQ$35:AQ$42)</f>
        <v>0</v>
      </c>
      <c r="AQ140">
        <f>SUMIF('Как есть'!$A$35:$A$42,Доп.расчеты!$A140,'Как есть'!AR$35:AR$42)</f>
        <v>0</v>
      </c>
      <c r="AR140">
        <f>SUMIF('Как есть'!$A$35:$A$42,Доп.расчеты!$A140,'Как есть'!AS$35:AS$42)</f>
        <v>0</v>
      </c>
      <c r="AS140">
        <f>SUMIF('Как есть'!$A$35:$A$42,Доп.расчеты!$A140,'Как есть'!AT$35:AT$42)</f>
        <v>0</v>
      </c>
      <c r="AT140">
        <f>SUMIF('Как есть'!$A$35:$A$42,Доп.расчеты!$A140,'Как есть'!AU$35:AU$42)</f>
        <v>0</v>
      </c>
      <c r="AU140">
        <f>SUMIF('Как есть'!$A$35:$A$42,Доп.расчеты!$A140,'Как есть'!AV$35:AV$42)</f>
        <v>0</v>
      </c>
      <c r="AV140">
        <f>SUMIF('Как есть'!$A$35:$A$42,Доп.расчеты!$A140,'Как есть'!AW$35:AW$42)</f>
        <v>0</v>
      </c>
      <c r="AW140">
        <f>SUMIF('Как есть'!$A$35:$A$42,Доп.расчеты!$A140,'Как есть'!AX$35:AX$42)</f>
        <v>0</v>
      </c>
      <c r="AX140">
        <f>SUMIF('Как есть'!$A$35:$A$42,Доп.расчеты!$A140,'Как есть'!AY$35:AY$42)</f>
        <v>0</v>
      </c>
      <c r="AY140">
        <f>SUMIF('Как есть'!$A$35:$A$42,Доп.расчеты!$A140,'Как есть'!AZ$35:AZ$42)</f>
        <v>0</v>
      </c>
      <c r="AZ140">
        <f>SUMIF('Как есть'!$A$35:$A$42,Доп.расчеты!$A140,'Как есть'!BA$35:BA$42)</f>
        <v>0</v>
      </c>
      <c r="BA140">
        <f>SUMIF('Как есть'!$A$35:$A$42,Доп.расчеты!$A140,'Как есть'!BB$35:BB$42)</f>
        <v>0</v>
      </c>
      <c r="BB140">
        <f>SUMIF('Как есть'!$A$35:$A$42,Доп.расчеты!$A140,'Как есть'!BC$35:BC$42)</f>
        <v>0</v>
      </c>
      <c r="BC140">
        <f>SUMIF('Как есть'!$A$35:$A$42,Доп.расчеты!$A140,'Как есть'!BD$35:BD$42)</f>
        <v>0</v>
      </c>
      <c r="BD140">
        <f>SUMIF('Как есть'!$A$35:$A$42,Доп.расчеты!$A140,'Как есть'!BE$35:BE$42)</f>
        <v>0</v>
      </c>
      <c r="BE140">
        <f>SUMIF('Как есть'!$A$35:$A$42,Доп.расчеты!$A140,'Как есть'!BF$35:BF$42)</f>
        <v>0</v>
      </c>
      <c r="BF140">
        <f>SUMIF('Как есть'!$A$35:$A$42,Доп.расчеты!$A140,'Как есть'!BG$35:BG$42)</f>
        <v>0</v>
      </c>
      <c r="BG140">
        <f>SUMIF('Как есть'!$A$35:$A$42,Доп.расчеты!$A140,'Как есть'!BH$35:BH$42)</f>
        <v>0</v>
      </c>
      <c r="BH140">
        <f>SUMIF('Как есть'!$A$35:$A$42,Доп.расчеты!$A140,'Как есть'!BI$35:BI$42)</f>
        <v>0</v>
      </c>
      <c r="BI140">
        <f>SUMIF('Как есть'!$A$35:$A$42,Доп.расчеты!$A140,'Как есть'!BJ$35:BJ$42)</f>
        <v>0</v>
      </c>
      <c r="BJ140">
        <f>SUMIF('Как есть'!$A$35:$A$42,Доп.расчеты!$A140,'Как есть'!BK$35:BK$42)</f>
        <v>0</v>
      </c>
      <c r="BK140">
        <f>SUMIF('Как есть'!$A$35:$A$42,Доп.расчеты!$A140,'Как есть'!BL$35:BL$42)</f>
        <v>0</v>
      </c>
      <c r="BL140">
        <f>SUMIF('Как есть'!$A$35:$A$42,Доп.расчеты!$A140,'Как есть'!BM$35:BM$42)</f>
        <v>0</v>
      </c>
      <c r="BM140">
        <f>SUMIF('Как есть'!$A$35:$A$42,Доп.расчеты!$A140,'Как есть'!BN$35:BN$42)</f>
        <v>0</v>
      </c>
      <c r="BN140">
        <f>SUMIF('Как есть'!$A$35:$A$42,Доп.расчеты!$A140,'Как есть'!BO$35:BO$42)</f>
        <v>0</v>
      </c>
      <c r="BO140">
        <f>SUMIF('Как есть'!$A$35:$A$42,Доп.расчеты!$A140,'Как есть'!BP$35:BP$42)</f>
        <v>0</v>
      </c>
      <c r="BP140">
        <f>SUMIF('Как есть'!$A$35:$A$42,Доп.расчеты!$A140,'Как есть'!BQ$35:BQ$42)</f>
        <v>0</v>
      </c>
      <c r="BQ140">
        <f>SUMIF('Как есть'!$A$35:$A$42,Доп.расчеты!$A140,'Как есть'!BR$35:BR$42)</f>
        <v>0</v>
      </c>
      <c r="BR140">
        <f>SUMIF('Как есть'!$A$35:$A$42,Доп.расчеты!$A140,'Как есть'!BS$35:BS$42)</f>
        <v>0</v>
      </c>
      <c r="BS140">
        <f>SUMIF('Как есть'!$A$35:$A$42,Доп.расчеты!$A140,'Как есть'!BT$35:BT$42)</f>
        <v>0</v>
      </c>
      <c r="BT140">
        <f>SUMIF('Как есть'!$A$35:$A$42,Доп.расчеты!$A140,'Как есть'!BU$35:BU$42)</f>
        <v>0</v>
      </c>
      <c r="BU140">
        <f>SUMIF('Как есть'!$A$35:$A$42,Доп.расчеты!$A140,'Как есть'!BV$35:BV$42)</f>
        <v>0</v>
      </c>
      <c r="BV140">
        <f>SUMIF('Как есть'!$A$35:$A$42,Доп.расчеты!$A140,'Как есть'!BW$35:BW$42)</f>
        <v>0</v>
      </c>
      <c r="BW140">
        <f>SUMIF('Как есть'!$A$35:$A$42,Доп.расчеты!$A140,'Как есть'!BX$35:BX$42)</f>
        <v>0</v>
      </c>
      <c r="BX140">
        <f>SUMIF('Как есть'!$A$35:$A$42,Доп.расчеты!$A140,'Как есть'!BY$35:BY$42)</f>
        <v>0</v>
      </c>
      <c r="BY140">
        <f>SUMIF('Как есть'!$A$35:$A$42,Доп.расчеты!$A140,'Как есть'!BZ$35:BZ$42)</f>
        <v>0</v>
      </c>
      <c r="BZ140">
        <f>SUMIF('Как есть'!$A$35:$A$42,Доп.расчеты!$A140,'Как есть'!CA$35:CA$42)</f>
        <v>0</v>
      </c>
      <c r="CA140">
        <f>SUMIF('Как есть'!$A$35:$A$42,Доп.расчеты!$A140,'Как есть'!CB$35:CB$42)</f>
        <v>0</v>
      </c>
      <c r="CB140">
        <f>SUMIF('Как есть'!$A$35:$A$42,Доп.расчеты!$A140,'Как есть'!CC$35:CC$42)</f>
        <v>0</v>
      </c>
      <c r="CC140">
        <f>SUMIF('Как есть'!$A$35:$A$42,Доп.расчеты!$A140,'Как есть'!CD$35:CD$42)</f>
        <v>0</v>
      </c>
      <c r="CD140">
        <f>SUMIF('Как есть'!$A$35:$A$42,Доп.расчеты!$A140,'Как есть'!CE$35:CE$42)</f>
        <v>0</v>
      </c>
      <c r="CE140">
        <f>SUMIF('Как есть'!$A$35:$A$42,Доп.расчеты!$A140,'Как есть'!CF$35:CF$42)</f>
        <v>0</v>
      </c>
      <c r="CF140">
        <f>SUMIF('Как есть'!$A$35:$A$42,Доп.расчеты!$A140,'Как есть'!CG$35:CG$42)</f>
        <v>0</v>
      </c>
      <c r="CG140">
        <f>SUMIF('Как есть'!$A$35:$A$42,Доп.расчеты!$A140,'Как есть'!CH$35:CH$42)</f>
        <v>0</v>
      </c>
      <c r="CH140">
        <f>SUMIF('Как есть'!$A$35:$A$42,Доп.расчеты!$A140,'Как есть'!CI$35:CI$42)</f>
        <v>0</v>
      </c>
      <c r="CI140">
        <f>SUMIF('Как есть'!$A$35:$A$42,Доп.расчеты!$A140,'Как есть'!CJ$35:CJ$42)</f>
        <v>0</v>
      </c>
      <c r="CJ140">
        <f>SUMIF('Как есть'!$A$35:$A$42,Доп.расчеты!$A140,'Как есть'!CK$35:CK$42)</f>
        <v>0</v>
      </c>
      <c r="CK140">
        <f>SUMIF('Как есть'!$A$35:$A$42,Доп.расчеты!$A140,'Как есть'!CL$35:CL$42)</f>
        <v>0</v>
      </c>
      <c r="CL140">
        <f>SUMIF('Как есть'!$A$35:$A$42,Доп.расчеты!$A140,'Как есть'!CM$35:CM$42)</f>
        <v>0</v>
      </c>
      <c r="CM140">
        <f>SUMIF('Как есть'!$A$35:$A$42,Доп.расчеты!$A140,'Как есть'!CN$35:CN$42)</f>
        <v>0</v>
      </c>
      <c r="CN140">
        <f>SUMIF('Как есть'!$A$35:$A$42,Доп.расчеты!$A140,'Как есть'!CO$35:CO$42)</f>
        <v>0</v>
      </c>
      <c r="CO140">
        <f>SUMIF('Как есть'!$A$35:$A$42,Доп.расчеты!$A140,'Как есть'!CP$35:CP$42)</f>
        <v>0</v>
      </c>
      <c r="CP140">
        <f>SUMIF('Как есть'!$A$35:$A$42,Доп.расчеты!$A140,'Как есть'!CQ$35:CQ$42)</f>
        <v>0</v>
      </c>
      <c r="CQ140">
        <f>SUMIF('Как есть'!$A$35:$A$42,Доп.расчеты!$A140,'Как есть'!CR$35:CR$42)</f>
        <v>0</v>
      </c>
      <c r="CR140">
        <f>SUMIF('Как есть'!$A$35:$A$42,Доп.расчеты!$A140,'Как есть'!CS$35:CS$42)</f>
        <v>0</v>
      </c>
      <c r="CS140">
        <f>SUMIF('Как есть'!$A$35:$A$42,Доп.расчеты!$A140,'Как есть'!CT$35:CT$42)</f>
        <v>0</v>
      </c>
      <c r="CT140">
        <f>SUMIF('Как есть'!$A$35:$A$42,Доп.расчеты!$A140,'Как есть'!CU$35:CU$42)</f>
        <v>0</v>
      </c>
      <c r="CU140">
        <f>SUMIF('Как есть'!$A$35:$A$42,Доп.расчеты!$A140,'Как есть'!CV$35:CV$42)</f>
        <v>0</v>
      </c>
      <c r="CV140">
        <f>SUMIF('Как есть'!$A$35:$A$42,Доп.расчеты!$A140,'Как есть'!CW$35:CW$42)</f>
        <v>0</v>
      </c>
      <c r="CW140">
        <f>SUMIF('Как есть'!$A$35:$A$42,Доп.расчеты!$A140,'Как есть'!CX$35:CX$42)</f>
        <v>0</v>
      </c>
      <c r="CX140">
        <f>SUMIF('Как есть'!$A$35:$A$42,Доп.расчеты!$A140,'Как есть'!CY$35:CY$42)</f>
        <v>0</v>
      </c>
      <c r="CY140">
        <f>SUMIF('Как есть'!$A$35:$A$42,Доп.расчеты!$A140,'Как есть'!CZ$35:CZ$42)</f>
        <v>0</v>
      </c>
      <c r="CZ140">
        <f>SUMIF('Как есть'!$A$35:$A$42,Доп.расчеты!$A140,'Как есть'!DA$35:DA$42)</f>
        <v>0</v>
      </c>
      <c r="DA140">
        <f>SUMIF('Как есть'!$A$35:$A$42,Доп.расчеты!$A140,'Как есть'!DB$35:DB$42)</f>
        <v>0</v>
      </c>
      <c r="DB140">
        <f>SUMIF('Как есть'!$A$35:$A$42,Доп.расчеты!$A140,'Как есть'!DC$35:DC$42)</f>
        <v>0</v>
      </c>
      <c r="DC140">
        <f>SUMIF('Как есть'!$A$35:$A$42,Доп.расчеты!$A140,'Как есть'!DD$35:DD$42)</f>
        <v>0</v>
      </c>
      <c r="DD140">
        <f>SUMIF('Как есть'!$A$35:$A$42,Доп.расчеты!$A140,'Как есть'!DE$35:DE$42)</f>
        <v>0</v>
      </c>
      <c r="DE140">
        <f>SUMIF('Как есть'!$A$35:$A$42,Доп.расчеты!$A140,'Как есть'!DF$35:DF$42)</f>
        <v>0</v>
      </c>
      <c r="DF140">
        <f>SUMIF('Как есть'!$A$35:$A$42,Доп.расчеты!$A140,'Как есть'!DG$35:DG$42)</f>
        <v>0</v>
      </c>
      <c r="DG140">
        <f>SUMIF('Как есть'!$A$35:$A$42,Доп.расчеты!$A140,'Как есть'!DH$35:DH$42)</f>
        <v>0</v>
      </c>
      <c r="DH140">
        <f>SUMIF('Как есть'!$A$35:$A$42,Доп.расчеты!$A140,'Как есть'!DI$35:DI$42)</f>
        <v>0</v>
      </c>
      <c r="DI140">
        <f>SUMIF('Как есть'!$A$35:$A$42,Доп.расчеты!$A140,'Как есть'!DJ$35:DJ$42)</f>
        <v>0</v>
      </c>
      <c r="DJ140">
        <f>SUMIF('Как есть'!$A$35:$A$42,Доп.расчеты!$A140,'Как есть'!DK$35:DK$42)</f>
        <v>0</v>
      </c>
      <c r="DK140">
        <f>SUMIF('Как есть'!$A$35:$A$42,Доп.расчеты!$A140,'Как есть'!DL$35:DL$42)</f>
        <v>0</v>
      </c>
      <c r="DL140">
        <f>SUMIF('Как есть'!$A$35:$A$42,Доп.расчеты!$A140,'Как есть'!DM$35:DM$42)</f>
        <v>0</v>
      </c>
      <c r="DM140">
        <f>SUMIF('Как есть'!$A$35:$A$42,Доп.расчеты!$A140,'Как есть'!DN$35:DN$42)</f>
        <v>0</v>
      </c>
      <c r="DN140">
        <f>SUMIF('Как есть'!$A$35:$A$42,Доп.расчеты!$A140,'Как есть'!DO$35:DO$42)</f>
        <v>0</v>
      </c>
      <c r="DO140">
        <f>SUMIF('Как есть'!$A$35:$A$42,Доп.расчеты!$A140,'Как есть'!DP$35:DP$42)</f>
        <v>0</v>
      </c>
      <c r="DP140">
        <f>SUMIF('Как есть'!$A$35:$A$42,Доп.расчеты!$A140,'Как есть'!DQ$35:DQ$42)</f>
        <v>0</v>
      </c>
      <c r="DQ140">
        <f>SUMIF('Как есть'!$A$35:$A$42,Доп.расчеты!$A140,'Как есть'!DR$35:DR$42)</f>
        <v>0</v>
      </c>
      <c r="DR140">
        <f>SUMIF('Как есть'!$A$35:$A$42,Доп.расчеты!$A140,'Как есть'!DS$35:DS$42)</f>
        <v>0</v>
      </c>
      <c r="DS140">
        <f>SUMIF('Как есть'!$A$35:$A$42,Доп.расчеты!$A140,'Как есть'!DT$35:DT$42)</f>
        <v>0</v>
      </c>
      <c r="DT140">
        <f>SUMIF('Как есть'!$A$35:$A$42,Доп.расчеты!$A140,'Как есть'!DU$35:DU$42)</f>
        <v>0</v>
      </c>
      <c r="DU140">
        <f>SUMIF('Как есть'!$A$35:$A$42,Доп.расчеты!$A140,'Как есть'!DV$35:DV$42)</f>
        <v>0</v>
      </c>
      <c r="DV140">
        <f>SUMIF('Как есть'!$A$35:$A$42,Доп.расчеты!$A140,'Как есть'!DW$35:DW$42)</f>
        <v>0</v>
      </c>
      <c r="DW140">
        <f>SUMIF('Как есть'!$A$35:$A$42,Доп.расчеты!$A140,'Как есть'!DX$35:DX$42)</f>
        <v>0</v>
      </c>
      <c r="DX140">
        <f>SUMIF('Как есть'!$A$35:$A$42,Доп.расчеты!$A140,'Как есть'!DY$35:DY$42)</f>
        <v>0</v>
      </c>
      <c r="DY140">
        <f>SUMIF('Как есть'!$A$35:$A$42,Доп.расчеты!$A140,'Как есть'!DZ$35:DZ$42)</f>
        <v>0</v>
      </c>
      <c r="DZ140">
        <f>SUMIF('Как есть'!$A$35:$A$42,Доп.расчеты!$A140,'Как есть'!EA$35:EA$42)</f>
        <v>0</v>
      </c>
      <c r="EA140">
        <f>SUMIF('Как есть'!$A$35:$A$42,Доп.расчеты!$A140,'Как есть'!EB$35:EB$42)</f>
        <v>0</v>
      </c>
      <c r="EB140">
        <f>SUMIF('Как есть'!$A$35:$A$42,Доп.расчеты!$A140,'Как есть'!EC$35:EC$42)</f>
        <v>0</v>
      </c>
      <c r="EC140">
        <f>SUMIF('Как есть'!$A$35:$A$42,Доп.расчеты!$A140,'Как есть'!ED$35:ED$42)</f>
        <v>0</v>
      </c>
      <c r="ED140">
        <f>SUMIF('Как есть'!$A$35:$A$42,Доп.расчеты!$A140,'Как есть'!EE$35:EE$42)</f>
        <v>0</v>
      </c>
      <c r="EE140">
        <f>SUMIF('Как есть'!$A$35:$A$42,Доп.расчеты!$A140,'Как есть'!EF$35:EF$42)</f>
        <v>0</v>
      </c>
      <c r="EF140">
        <f>SUMIF('Как есть'!$A$35:$A$42,Доп.расчеты!$A140,'Как есть'!EG$35:EG$42)</f>
        <v>0</v>
      </c>
      <c r="EG140">
        <f>SUMIF('Как есть'!$A$35:$A$42,Доп.расчеты!$A140,'Как есть'!EH$35:EH$42)</f>
        <v>0</v>
      </c>
      <c r="EH140">
        <f>SUMIF('Как есть'!$A$35:$A$42,Доп.расчеты!$A140,'Как есть'!EI$35:EI$42)</f>
        <v>0</v>
      </c>
      <c r="EI140">
        <f>SUMIF('Как есть'!$A$35:$A$42,Доп.расчеты!$A140,'Как есть'!EJ$35:EJ$42)</f>
        <v>0</v>
      </c>
      <c r="EJ140">
        <f>SUMIF('Как есть'!$A$35:$A$42,Доп.расчеты!$A140,'Как есть'!EK$35:EK$42)</f>
        <v>0</v>
      </c>
      <c r="EK140">
        <f>SUMIF('Как есть'!$A$35:$A$42,Доп.расчеты!$A140,'Как есть'!EL$35:EL$42)</f>
        <v>0</v>
      </c>
      <c r="EL140">
        <f>SUMIF('Как есть'!$A$35:$A$42,Доп.расчеты!$A140,'Как есть'!EM$35:EM$42)</f>
        <v>0</v>
      </c>
      <c r="EM140">
        <f>SUMIF('Как есть'!$A$35:$A$42,Доп.расчеты!$A140,'Как есть'!EN$35:EN$42)</f>
        <v>0</v>
      </c>
      <c r="EN140">
        <f>SUMIF('Как есть'!$A$35:$A$42,Доп.расчеты!$A140,'Как есть'!EO$35:EO$42)</f>
        <v>0</v>
      </c>
      <c r="EO140">
        <f>SUMIF('Как есть'!$A$35:$A$42,Доп.расчеты!$A140,'Как есть'!EP$35:EP$42)</f>
        <v>0</v>
      </c>
      <c r="EP140">
        <f>SUMIF('Как есть'!$A$35:$A$42,Доп.расчеты!$A140,'Как есть'!EQ$35:EQ$42)</f>
        <v>0</v>
      </c>
      <c r="EQ140">
        <f>SUMIF('Как есть'!$A$35:$A$42,Доп.расчеты!$A140,'Как есть'!ER$35:ER$42)</f>
        <v>0</v>
      </c>
      <c r="ER140">
        <f>SUMIF('Как есть'!$A$35:$A$42,Доп.расчеты!$A140,'Как есть'!ES$35:ES$42)</f>
        <v>0</v>
      </c>
      <c r="ES140">
        <f>SUMIF('Как есть'!$A$35:$A$42,Доп.расчеты!$A140,'Как есть'!ET$35:ET$42)</f>
        <v>0</v>
      </c>
      <c r="ET140">
        <f>SUMIF('Как есть'!$A$35:$A$42,Доп.расчеты!$A140,'Как есть'!EU$35:EU$42)</f>
        <v>0</v>
      </c>
      <c r="EU140">
        <f>SUMIF('Как есть'!$A$35:$A$42,Доп.расчеты!$A140,'Как есть'!EV$35:EV$42)</f>
        <v>0</v>
      </c>
      <c r="EV140">
        <f>SUMIF('Как есть'!$A$35:$A$42,Доп.расчеты!$A140,'Как есть'!EW$35:EW$42)</f>
        <v>0</v>
      </c>
      <c r="EW140">
        <f>SUMIF('Как есть'!$A$35:$A$42,Доп.расчеты!$A140,'Как есть'!EX$35:EX$42)</f>
        <v>0</v>
      </c>
      <c r="EX140">
        <f>SUMIF('Как есть'!$A$35:$A$42,Доп.расчеты!$A140,'Как есть'!EY$35:EY$42)</f>
        <v>0</v>
      </c>
      <c r="EY140">
        <f>SUMIF('Как есть'!$A$35:$A$42,Доп.расчеты!$A140,'Как есть'!EZ$35:EZ$42)</f>
        <v>0</v>
      </c>
      <c r="EZ140">
        <f>SUMIF('Как есть'!$A$35:$A$42,Доп.расчеты!$A140,'Как есть'!FA$35:FA$42)</f>
        <v>0</v>
      </c>
      <c r="FA140">
        <f>SUMIF('Как есть'!$A$35:$A$42,Доп.расчеты!$A140,'Как есть'!FB$35:FB$42)</f>
        <v>0</v>
      </c>
      <c r="FB140">
        <f>SUMIF('Как есть'!$A$35:$A$42,Доп.расчеты!$A140,'Как есть'!FC$35:FC$42)</f>
        <v>0</v>
      </c>
      <c r="FC140">
        <f>SUMIF('Как есть'!$A$35:$A$42,Доп.расчеты!$A140,'Как есть'!FD$35:FD$42)</f>
        <v>0</v>
      </c>
      <c r="FD140">
        <f>SUMIF('Как есть'!$A$35:$A$42,Доп.расчеты!$A140,'Как есть'!FE$35:FE$42)</f>
        <v>0</v>
      </c>
      <c r="FE140">
        <f>SUMIF('Как есть'!$A$35:$A$42,Доп.расчеты!$A140,'Как есть'!FF$35:FF$42)</f>
        <v>0</v>
      </c>
      <c r="FF140">
        <f>SUMIF('Как есть'!$A$35:$A$42,Доп.расчеты!$A140,'Как есть'!FG$35:FG$42)</f>
        <v>0</v>
      </c>
      <c r="FG140">
        <f>SUMIF('Как есть'!$A$35:$A$42,Доп.расчеты!$A140,'Как есть'!FH$35:FH$42)</f>
        <v>0</v>
      </c>
      <c r="FH140">
        <f>SUMIF('Как есть'!$A$35:$A$42,Доп.расчеты!$A140,'Как есть'!FI$35:FI$42)</f>
        <v>0</v>
      </c>
      <c r="FI140">
        <f>SUMIF('Как есть'!$A$35:$A$42,Доп.расчеты!$A140,'Как есть'!FJ$35:FJ$42)</f>
        <v>0</v>
      </c>
      <c r="FJ140">
        <f>SUMIF('Как есть'!$A$35:$A$42,Доп.расчеты!$A140,'Как есть'!FK$35:FK$42)</f>
        <v>0</v>
      </c>
      <c r="FK140">
        <f>SUMIF('Как есть'!$A$35:$A$42,Доп.расчеты!$A140,'Как есть'!FL$35:FL$42)</f>
        <v>0</v>
      </c>
      <c r="FL140">
        <f>SUMIF('Как есть'!$A$35:$A$42,Доп.расчеты!$A140,'Как есть'!FM$35:FM$42)</f>
        <v>0</v>
      </c>
      <c r="FM140">
        <f>SUMIF('Как есть'!$A$35:$A$42,Доп.расчеты!$A140,'Как есть'!FN$35:FN$42)</f>
        <v>0</v>
      </c>
      <c r="FN140">
        <f>SUMIF('Как есть'!$A$35:$A$42,Доп.расчеты!$A140,'Как есть'!FO$35:FO$42)</f>
        <v>0</v>
      </c>
      <c r="FO140">
        <f>SUMIF('Как есть'!$A$35:$A$42,Доп.расчеты!$A140,'Как есть'!FP$35:FP$42)</f>
        <v>0</v>
      </c>
      <c r="FP140">
        <f>SUMIF('Как есть'!$A$35:$A$42,Доп.расчеты!$A140,'Как есть'!FQ$35:FQ$42)</f>
        <v>0</v>
      </c>
      <c r="FQ140">
        <f>SUMIF('Как есть'!$A$35:$A$42,Доп.расчеты!$A140,'Как есть'!FR$35:FR$42)</f>
        <v>0</v>
      </c>
      <c r="FR140">
        <f>SUMIF('Как есть'!$A$35:$A$42,Доп.расчеты!$A140,'Как есть'!FS$35:FS$42)</f>
        <v>0</v>
      </c>
      <c r="FS140">
        <f>SUMIF('Как есть'!$A$35:$A$42,Доп.расчеты!$A140,'Как есть'!FT$35:FT$42)</f>
        <v>0</v>
      </c>
      <c r="FT140">
        <f>SUMIF('Как есть'!$A$35:$A$42,Доп.расчеты!$A140,'Как есть'!FU$35:FU$42)</f>
        <v>0</v>
      </c>
      <c r="FU140">
        <f>SUMIF('Как есть'!$A$35:$A$42,Доп.расчеты!$A140,'Как есть'!FV$35:FV$42)</f>
        <v>0</v>
      </c>
      <c r="FV140">
        <f>SUMIF('Как есть'!$A$35:$A$42,Доп.расчеты!$A140,'Как есть'!FW$35:FW$42)</f>
        <v>0</v>
      </c>
      <c r="FW140">
        <f>SUMIF('Как есть'!$A$35:$A$42,Доп.расчеты!$A140,'Как есть'!FX$35:FX$42)</f>
        <v>0</v>
      </c>
      <c r="FX140">
        <f>SUMIF('Как есть'!$A$35:$A$42,Доп.расчеты!$A140,'Как есть'!FY$35:FY$42)</f>
        <v>0</v>
      </c>
      <c r="FY140">
        <f>SUMIF('Как есть'!$A$35:$A$42,Доп.расчеты!$A140,'Как есть'!FZ$35:FZ$42)</f>
        <v>0</v>
      </c>
      <c r="FZ140">
        <f>SUMIF('Как есть'!$A$35:$A$42,Доп.расчеты!$A140,'Как есть'!GA$35:GA$42)</f>
        <v>0</v>
      </c>
      <c r="GA140">
        <f>SUMIF('Как есть'!$A$35:$A$42,Доп.расчеты!$A140,'Как есть'!GB$35:GB$42)</f>
        <v>0</v>
      </c>
      <c r="GB140">
        <f>SUMIF('Как есть'!$A$35:$A$42,Доп.расчеты!$A140,'Как есть'!GC$35:GC$42)</f>
        <v>0</v>
      </c>
      <c r="GC140">
        <f>SUMIF('Как есть'!$A$35:$A$42,Доп.расчеты!$A140,'Как есть'!GD$35:GD$42)</f>
        <v>0</v>
      </c>
      <c r="GD140">
        <f>SUMIF('Как есть'!$A$35:$A$42,Доп.расчеты!$A140,'Как есть'!GE$35:GE$42)</f>
        <v>0</v>
      </c>
      <c r="GE140">
        <f>SUMIF('Как есть'!$A$35:$A$42,Доп.расчеты!$A140,'Как есть'!GF$35:GF$42)</f>
        <v>0</v>
      </c>
      <c r="GF140">
        <f>SUMIF('Как есть'!$A$35:$A$42,Доп.расчеты!$A140,'Как есть'!GG$35:GG$42)</f>
        <v>0</v>
      </c>
      <c r="GG140">
        <f>SUMIF('Как есть'!$A$35:$A$42,Доп.расчеты!$A140,'Как есть'!GH$35:GH$42)</f>
        <v>0</v>
      </c>
      <c r="GH140">
        <f>SUMIF('Как есть'!$A$35:$A$42,Доп.расчеты!$A140,'Как есть'!GI$35:GI$42)</f>
        <v>0</v>
      </c>
      <c r="GI140">
        <f>SUMIF('Как есть'!$A$35:$A$42,Доп.расчеты!$A140,'Как есть'!GJ$35:GJ$42)</f>
        <v>0</v>
      </c>
      <c r="GJ140">
        <f>SUMIF('Как есть'!$A$35:$A$42,Доп.расчеты!$A140,'Как есть'!GK$35:GK$42)</f>
        <v>0</v>
      </c>
      <c r="GK140">
        <f>SUMIF('Как есть'!$A$35:$A$42,Доп.расчеты!$A140,'Как есть'!GL$35:GL$42)</f>
        <v>0</v>
      </c>
      <c r="GL140">
        <f>SUMIF('Как есть'!$A$35:$A$42,Доп.расчеты!$A140,'Как есть'!GM$35:GM$42)</f>
        <v>0</v>
      </c>
      <c r="GM140">
        <f>SUMIF('Как есть'!$A$35:$A$42,Доп.расчеты!$A140,'Как есть'!GN$35:GN$42)</f>
        <v>0</v>
      </c>
      <c r="GN140">
        <f>SUMIF('Как есть'!$A$35:$A$42,Доп.расчеты!$A140,'Как есть'!GO$35:GO$42)</f>
        <v>0</v>
      </c>
      <c r="GO140">
        <f>SUMIF('Как есть'!$A$35:$A$42,Доп.расчеты!$A140,'Как есть'!GP$35:GP$42)</f>
        <v>0</v>
      </c>
      <c r="GP140">
        <f>SUMIF('Как есть'!$A$35:$A$42,Доп.расчеты!$A140,'Как есть'!GQ$35:GQ$42)</f>
        <v>0</v>
      </c>
      <c r="GQ140">
        <f>SUMIF('Как есть'!$A$35:$A$42,Доп.расчеты!$A140,'Как есть'!GR$35:GR$42)</f>
        <v>0</v>
      </c>
      <c r="GR140">
        <f>SUMIF('Как есть'!$A$35:$A$42,Доп.расчеты!$A140,'Как есть'!GS$35:GS$42)</f>
        <v>0</v>
      </c>
      <c r="GS140">
        <f>SUMIF('Как есть'!$A$35:$A$42,Доп.расчеты!$A140,'Как есть'!GT$35:GT$42)</f>
        <v>0</v>
      </c>
      <c r="GT140">
        <f>SUMIF('Как есть'!$A$35:$A$42,Доп.расчеты!$A140,'Как есть'!GU$35:GU$42)</f>
        <v>0</v>
      </c>
    </row>
    <row r="141" spans="1:202" hidden="1" outlineLevel="1">
      <c r="A141" s="238" t="s">
        <v>12</v>
      </c>
      <c r="B141">
        <f>SUMIF('Как есть'!$A$35:$A$42,Доп.расчеты!$A141,'Как есть'!C$35:C$42)</f>
        <v>0</v>
      </c>
      <c r="C141">
        <f>SUMIF('Как есть'!$A$35:$A$42,Доп.расчеты!$A141,'Как есть'!D$35:D$42)</f>
        <v>0</v>
      </c>
      <c r="D141">
        <f>SUMIF('Как есть'!$A$35:$A$42,Доп.расчеты!$A141,'Как есть'!E$35:E$42)</f>
        <v>0</v>
      </c>
      <c r="E141">
        <f>SUMIF('Как есть'!$A$35:$A$42,Доп.расчеты!$A141,'Как есть'!F$35:F$42)</f>
        <v>0</v>
      </c>
      <c r="F141">
        <f>SUMIF('Как есть'!$A$35:$A$42,Доп.расчеты!$A141,'Как есть'!G$35:G$42)</f>
        <v>0</v>
      </c>
      <c r="G141">
        <f>SUMIF('Как есть'!$A$35:$A$42,Доп.расчеты!$A141,'Как есть'!H$35:H$42)</f>
        <v>0</v>
      </c>
      <c r="H141">
        <f>SUMIF('Как есть'!$A$35:$A$42,Доп.расчеты!$A141,'Как есть'!I$35:I$42)</f>
        <v>0</v>
      </c>
      <c r="I141">
        <f>SUMIF('Как есть'!$A$35:$A$42,Доп.расчеты!$A141,'Как есть'!J$35:J$42)</f>
        <v>0</v>
      </c>
      <c r="J141">
        <f>SUMIF('Как есть'!$A$35:$A$42,Доп.расчеты!$A141,'Как есть'!K$35:K$42)</f>
        <v>0</v>
      </c>
      <c r="K141">
        <f>SUMIF('Как есть'!$A$35:$A$42,Доп.расчеты!$A141,'Как есть'!L$35:L$42)</f>
        <v>0</v>
      </c>
      <c r="L141">
        <f>SUMIF('Как есть'!$A$35:$A$42,Доп.расчеты!$A141,'Как есть'!M$35:M$42)</f>
        <v>0</v>
      </c>
      <c r="M141">
        <f>SUMIF('Как есть'!$A$35:$A$42,Доп.расчеты!$A141,'Как есть'!N$35:N$42)</f>
        <v>0</v>
      </c>
      <c r="N141">
        <f>SUMIF('Как есть'!$A$35:$A$42,Доп.расчеты!$A141,'Как есть'!O$35:O$42)</f>
        <v>0</v>
      </c>
      <c r="O141">
        <f>SUMIF('Как есть'!$A$35:$A$42,Доп.расчеты!$A141,'Как есть'!P$35:P$42)</f>
        <v>0</v>
      </c>
      <c r="P141">
        <f>SUMIF('Как есть'!$A$35:$A$42,Доп.расчеты!$A141,'Как есть'!Q$35:Q$42)</f>
        <v>0</v>
      </c>
      <c r="Q141">
        <f>SUMIF('Как есть'!$A$35:$A$42,Доп.расчеты!$A141,'Как есть'!R$35:R$42)</f>
        <v>0</v>
      </c>
      <c r="R141">
        <f>SUMIF('Как есть'!$A$35:$A$42,Доп.расчеты!$A141,'Как есть'!S$35:S$42)</f>
        <v>0</v>
      </c>
      <c r="S141">
        <f>SUMIF('Как есть'!$A$35:$A$42,Доп.расчеты!$A141,'Как есть'!T$35:T$42)</f>
        <v>0</v>
      </c>
      <c r="T141">
        <f>SUMIF('Как есть'!$A$35:$A$42,Доп.расчеты!$A141,'Как есть'!U$35:U$42)</f>
        <v>0</v>
      </c>
      <c r="U141">
        <f>SUMIF('Как есть'!$A$35:$A$42,Доп.расчеты!$A141,'Как есть'!V$35:V$42)</f>
        <v>0</v>
      </c>
      <c r="V141">
        <f>SUMIF('Как есть'!$A$35:$A$42,Доп.расчеты!$A141,'Как есть'!W$35:W$42)</f>
        <v>0</v>
      </c>
      <c r="W141">
        <f>SUMIF('Как есть'!$A$35:$A$42,Доп.расчеты!$A141,'Как есть'!X$35:X$42)</f>
        <v>0</v>
      </c>
      <c r="X141">
        <f>SUMIF('Как есть'!$A$35:$A$42,Доп.расчеты!$A141,'Как есть'!Y$35:Y$42)</f>
        <v>0</v>
      </c>
      <c r="Y141">
        <f>SUMIF('Как есть'!$A$35:$A$42,Доп.расчеты!$A141,'Как есть'!Z$35:Z$42)</f>
        <v>0</v>
      </c>
      <c r="Z141">
        <f>SUMIF('Как есть'!$A$35:$A$42,Доп.расчеты!$A141,'Как есть'!AA$35:AA$42)</f>
        <v>0</v>
      </c>
      <c r="AA141">
        <f>SUMIF('Как есть'!$A$35:$A$42,Доп.расчеты!$A141,'Как есть'!AB$35:AB$42)</f>
        <v>0</v>
      </c>
      <c r="AB141">
        <f>SUMIF('Как есть'!$A$35:$A$42,Доп.расчеты!$A141,'Как есть'!AC$35:AC$42)</f>
        <v>0</v>
      </c>
      <c r="AC141">
        <f>SUMIF('Как есть'!$A$35:$A$42,Доп.расчеты!$A141,'Как есть'!AD$35:AD$42)</f>
        <v>0</v>
      </c>
      <c r="AD141">
        <f>SUMIF('Как есть'!$A$35:$A$42,Доп.расчеты!$A141,'Как есть'!AE$35:AE$42)</f>
        <v>0</v>
      </c>
      <c r="AE141">
        <f>SUMIF('Как есть'!$A$35:$A$42,Доп.расчеты!$A141,'Как есть'!AF$35:AF$42)</f>
        <v>0</v>
      </c>
      <c r="AF141">
        <f>SUMIF('Как есть'!$A$35:$A$42,Доп.расчеты!$A141,'Как есть'!AG$35:AG$42)</f>
        <v>0</v>
      </c>
      <c r="AG141">
        <f>SUMIF('Как есть'!$A$35:$A$42,Доп.расчеты!$A141,'Как есть'!AH$35:AH$42)</f>
        <v>0</v>
      </c>
      <c r="AH141">
        <f>SUMIF('Как есть'!$A$35:$A$42,Доп.расчеты!$A141,'Как есть'!AI$35:AI$42)</f>
        <v>0</v>
      </c>
      <c r="AI141">
        <f>SUMIF('Как есть'!$A$35:$A$42,Доп.расчеты!$A141,'Как есть'!AJ$35:AJ$42)</f>
        <v>0</v>
      </c>
      <c r="AJ141">
        <f>SUMIF('Как есть'!$A$35:$A$42,Доп.расчеты!$A141,'Как есть'!AK$35:AK$42)</f>
        <v>0</v>
      </c>
      <c r="AK141">
        <f>SUMIF('Как есть'!$A$35:$A$42,Доп.расчеты!$A141,'Как есть'!AL$35:AL$42)</f>
        <v>0</v>
      </c>
      <c r="AL141">
        <f>SUMIF('Как есть'!$A$35:$A$42,Доп.расчеты!$A141,'Как есть'!AM$35:AM$42)</f>
        <v>0</v>
      </c>
      <c r="AM141">
        <f>SUMIF('Как есть'!$A$35:$A$42,Доп.расчеты!$A141,'Как есть'!AN$35:AN$42)</f>
        <v>0</v>
      </c>
      <c r="AN141">
        <f>SUMIF('Как есть'!$A$35:$A$42,Доп.расчеты!$A141,'Как есть'!AO$35:AO$42)</f>
        <v>0</v>
      </c>
      <c r="AO141">
        <f>SUMIF('Как есть'!$A$35:$A$42,Доп.расчеты!$A141,'Как есть'!AP$35:AP$42)</f>
        <v>0</v>
      </c>
      <c r="AP141">
        <f>SUMIF('Как есть'!$A$35:$A$42,Доп.расчеты!$A141,'Как есть'!AQ$35:AQ$42)</f>
        <v>0</v>
      </c>
      <c r="AQ141">
        <f>SUMIF('Как есть'!$A$35:$A$42,Доп.расчеты!$A141,'Как есть'!AR$35:AR$42)</f>
        <v>0</v>
      </c>
      <c r="AR141">
        <f>SUMIF('Как есть'!$A$35:$A$42,Доп.расчеты!$A141,'Как есть'!AS$35:AS$42)</f>
        <v>0</v>
      </c>
      <c r="AS141">
        <f>SUMIF('Как есть'!$A$35:$A$42,Доп.расчеты!$A141,'Как есть'!AT$35:AT$42)</f>
        <v>0</v>
      </c>
      <c r="AT141">
        <f>SUMIF('Как есть'!$A$35:$A$42,Доп.расчеты!$A141,'Как есть'!AU$35:AU$42)</f>
        <v>0</v>
      </c>
      <c r="AU141">
        <f>SUMIF('Как есть'!$A$35:$A$42,Доп.расчеты!$A141,'Как есть'!AV$35:AV$42)</f>
        <v>0</v>
      </c>
      <c r="AV141">
        <f>SUMIF('Как есть'!$A$35:$A$42,Доп.расчеты!$A141,'Как есть'!AW$35:AW$42)</f>
        <v>0</v>
      </c>
      <c r="AW141">
        <f>SUMIF('Как есть'!$A$35:$A$42,Доп.расчеты!$A141,'Как есть'!AX$35:AX$42)</f>
        <v>0</v>
      </c>
      <c r="AX141">
        <f>SUMIF('Как есть'!$A$35:$A$42,Доп.расчеты!$A141,'Как есть'!AY$35:AY$42)</f>
        <v>0</v>
      </c>
      <c r="AY141">
        <f>SUMIF('Как есть'!$A$35:$A$42,Доп.расчеты!$A141,'Как есть'!AZ$35:AZ$42)</f>
        <v>0</v>
      </c>
      <c r="AZ141">
        <f>SUMIF('Как есть'!$A$35:$A$42,Доп.расчеты!$A141,'Как есть'!BA$35:BA$42)</f>
        <v>0</v>
      </c>
      <c r="BA141">
        <f>SUMIF('Как есть'!$A$35:$A$42,Доп.расчеты!$A141,'Как есть'!BB$35:BB$42)</f>
        <v>0</v>
      </c>
      <c r="BB141">
        <f>SUMIF('Как есть'!$A$35:$A$42,Доп.расчеты!$A141,'Как есть'!BC$35:BC$42)</f>
        <v>0</v>
      </c>
      <c r="BC141">
        <f>SUMIF('Как есть'!$A$35:$A$42,Доп.расчеты!$A141,'Как есть'!BD$35:BD$42)</f>
        <v>0</v>
      </c>
      <c r="BD141">
        <f>SUMIF('Как есть'!$A$35:$A$42,Доп.расчеты!$A141,'Как есть'!BE$35:BE$42)</f>
        <v>0</v>
      </c>
      <c r="BE141">
        <f>SUMIF('Как есть'!$A$35:$A$42,Доп.расчеты!$A141,'Как есть'!BF$35:BF$42)</f>
        <v>0</v>
      </c>
      <c r="BF141">
        <f>SUMIF('Как есть'!$A$35:$A$42,Доп.расчеты!$A141,'Как есть'!BG$35:BG$42)</f>
        <v>0</v>
      </c>
      <c r="BG141">
        <f>SUMIF('Как есть'!$A$35:$A$42,Доп.расчеты!$A141,'Как есть'!BH$35:BH$42)</f>
        <v>0</v>
      </c>
      <c r="BH141">
        <f>SUMIF('Как есть'!$A$35:$A$42,Доп.расчеты!$A141,'Как есть'!BI$35:BI$42)</f>
        <v>0</v>
      </c>
      <c r="BI141">
        <f>SUMIF('Как есть'!$A$35:$A$42,Доп.расчеты!$A141,'Как есть'!BJ$35:BJ$42)</f>
        <v>0</v>
      </c>
      <c r="BJ141">
        <f>SUMIF('Как есть'!$A$35:$A$42,Доп.расчеты!$A141,'Как есть'!BK$35:BK$42)</f>
        <v>0</v>
      </c>
      <c r="BK141">
        <f>SUMIF('Как есть'!$A$35:$A$42,Доп.расчеты!$A141,'Как есть'!BL$35:BL$42)</f>
        <v>0</v>
      </c>
      <c r="BL141">
        <f>SUMIF('Как есть'!$A$35:$A$42,Доп.расчеты!$A141,'Как есть'!BM$35:BM$42)</f>
        <v>0</v>
      </c>
      <c r="BM141">
        <f>SUMIF('Как есть'!$A$35:$A$42,Доп.расчеты!$A141,'Как есть'!BN$35:BN$42)</f>
        <v>0</v>
      </c>
      <c r="BN141">
        <f>SUMIF('Как есть'!$A$35:$A$42,Доп.расчеты!$A141,'Как есть'!BO$35:BO$42)</f>
        <v>0</v>
      </c>
      <c r="BO141">
        <f>SUMIF('Как есть'!$A$35:$A$42,Доп.расчеты!$A141,'Как есть'!BP$35:BP$42)</f>
        <v>0</v>
      </c>
      <c r="BP141">
        <f>SUMIF('Как есть'!$A$35:$A$42,Доп.расчеты!$A141,'Как есть'!BQ$35:BQ$42)</f>
        <v>0</v>
      </c>
      <c r="BQ141">
        <f>SUMIF('Как есть'!$A$35:$A$42,Доп.расчеты!$A141,'Как есть'!BR$35:BR$42)</f>
        <v>0</v>
      </c>
      <c r="BR141">
        <f>SUMIF('Как есть'!$A$35:$A$42,Доп.расчеты!$A141,'Как есть'!BS$35:BS$42)</f>
        <v>0</v>
      </c>
      <c r="BS141">
        <f>SUMIF('Как есть'!$A$35:$A$42,Доп.расчеты!$A141,'Как есть'!BT$35:BT$42)</f>
        <v>0</v>
      </c>
      <c r="BT141">
        <f>SUMIF('Как есть'!$A$35:$A$42,Доп.расчеты!$A141,'Как есть'!BU$35:BU$42)</f>
        <v>0</v>
      </c>
      <c r="BU141">
        <f>SUMIF('Как есть'!$A$35:$A$42,Доп.расчеты!$A141,'Как есть'!BV$35:BV$42)</f>
        <v>0</v>
      </c>
      <c r="BV141">
        <f>SUMIF('Как есть'!$A$35:$A$42,Доп.расчеты!$A141,'Как есть'!BW$35:BW$42)</f>
        <v>0</v>
      </c>
      <c r="BW141">
        <f>SUMIF('Как есть'!$A$35:$A$42,Доп.расчеты!$A141,'Как есть'!BX$35:BX$42)</f>
        <v>0</v>
      </c>
      <c r="BX141">
        <f>SUMIF('Как есть'!$A$35:$A$42,Доп.расчеты!$A141,'Как есть'!BY$35:BY$42)</f>
        <v>0</v>
      </c>
      <c r="BY141">
        <f>SUMIF('Как есть'!$A$35:$A$42,Доп.расчеты!$A141,'Как есть'!BZ$35:BZ$42)</f>
        <v>0</v>
      </c>
      <c r="BZ141">
        <f>SUMIF('Как есть'!$A$35:$A$42,Доп.расчеты!$A141,'Как есть'!CA$35:CA$42)</f>
        <v>0</v>
      </c>
      <c r="CA141">
        <f>SUMIF('Как есть'!$A$35:$A$42,Доп.расчеты!$A141,'Как есть'!CB$35:CB$42)</f>
        <v>0</v>
      </c>
      <c r="CB141">
        <f>SUMIF('Как есть'!$A$35:$A$42,Доп.расчеты!$A141,'Как есть'!CC$35:CC$42)</f>
        <v>0</v>
      </c>
      <c r="CC141">
        <f>SUMIF('Как есть'!$A$35:$A$42,Доп.расчеты!$A141,'Как есть'!CD$35:CD$42)</f>
        <v>0</v>
      </c>
      <c r="CD141">
        <f>SUMIF('Как есть'!$A$35:$A$42,Доп.расчеты!$A141,'Как есть'!CE$35:CE$42)</f>
        <v>0</v>
      </c>
      <c r="CE141">
        <f>SUMIF('Как есть'!$A$35:$A$42,Доп.расчеты!$A141,'Как есть'!CF$35:CF$42)</f>
        <v>0</v>
      </c>
      <c r="CF141">
        <f>SUMIF('Как есть'!$A$35:$A$42,Доп.расчеты!$A141,'Как есть'!CG$35:CG$42)</f>
        <v>0</v>
      </c>
      <c r="CG141">
        <f>SUMIF('Как есть'!$A$35:$A$42,Доп.расчеты!$A141,'Как есть'!CH$35:CH$42)</f>
        <v>0</v>
      </c>
      <c r="CH141">
        <f>SUMIF('Как есть'!$A$35:$A$42,Доп.расчеты!$A141,'Как есть'!CI$35:CI$42)</f>
        <v>0</v>
      </c>
      <c r="CI141">
        <f>SUMIF('Как есть'!$A$35:$A$42,Доп.расчеты!$A141,'Как есть'!CJ$35:CJ$42)</f>
        <v>0</v>
      </c>
      <c r="CJ141">
        <f>SUMIF('Как есть'!$A$35:$A$42,Доп.расчеты!$A141,'Как есть'!CK$35:CK$42)</f>
        <v>0</v>
      </c>
      <c r="CK141">
        <f>SUMIF('Как есть'!$A$35:$A$42,Доп.расчеты!$A141,'Как есть'!CL$35:CL$42)</f>
        <v>0</v>
      </c>
      <c r="CL141">
        <f>SUMIF('Как есть'!$A$35:$A$42,Доп.расчеты!$A141,'Как есть'!CM$35:CM$42)</f>
        <v>0</v>
      </c>
      <c r="CM141">
        <f>SUMIF('Как есть'!$A$35:$A$42,Доп.расчеты!$A141,'Как есть'!CN$35:CN$42)</f>
        <v>0</v>
      </c>
      <c r="CN141">
        <f>SUMIF('Как есть'!$A$35:$A$42,Доп.расчеты!$A141,'Как есть'!CO$35:CO$42)</f>
        <v>0</v>
      </c>
      <c r="CO141">
        <f>SUMIF('Как есть'!$A$35:$A$42,Доп.расчеты!$A141,'Как есть'!CP$35:CP$42)</f>
        <v>0</v>
      </c>
      <c r="CP141">
        <f>SUMIF('Как есть'!$A$35:$A$42,Доп.расчеты!$A141,'Как есть'!CQ$35:CQ$42)</f>
        <v>0</v>
      </c>
      <c r="CQ141">
        <f>SUMIF('Как есть'!$A$35:$A$42,Доп.расчеты!$A141,'Как есть'!CR$35:CR$42)</f>
        <v>0</v>
      </c>
      <c r="CR141">
        <f>SUMIF('Как есть'!$A$35:$A$42,Доп.расчеты!$A141,'Как есть'!CS$35:CS$42)</f>
        <v>0</v>
      </c>
      <c r="CS141">
        <f>SUMIF('Как есть'!$A$35:$A$42,Доп.расчеты!$A141,'Как есть'!CT$35:CT$42)</f>
        <v>0</v>
      </c>
      <c r="CT141">
        <f>SUMIF('Как есть'!$A$35:$A$42,Доп.расчеты!$A141,'Как есть'!CU$35:CU$42)</f>
        <v>0</v>
      </c>
      <c r="CU141">
        <f>SUMIF('Как есть'!$A$35:$A$42,Доп.расчеты!$A141,'Как есть'!CV$35:CV$42)</f>
        <v>0</v>
      </c>
      <c r="CV141">
        <f>SUMIF('Как есть'!$A$35:$A$42,Доп.расчеты!$A141,'Как есть'!CW$35:CW$42)</f>
        <v>0</v>
      </c>
      <c r="CW141">
        <f>SUMIF('Как есть'!$A$35:$A$42,Доп.расчеты!$A141,'Как есть'!CX$35:CX$42)</f>
        <v>0</v>
      </c>
      <c r="CX141">
        <f>SUMIF('Как есть'!$A$35:$A$42,Доп.расчеты!$A141,'Как есть'!CY$35:CY$42)</f>
        <v>0</v>
      </c>
      <c r="CY141">
        <f>SUMIF('Как есть'!$A$35:$A$42,Доп.расчеты!$A141,'Как есть'!CZ$35:CZ$42)</f>
        <v>0</v>
      </c>
      <c r="CZ141">
        <f>SUMIF('Как есть'!$A$35:$A$42,Доп.расчеты!$A141,'Как есть'!DA$35:DA$42)</f>
        <v>0</v>
      </c>
      <c r="DA141">
        <f>SUMIF('Как есть'!$A$35:$A$42,Доп.расчеты!$A141,'Как есть'!DB$35:DB$42)</f>
        <v>0</v>
      </c>
      <c r="DB141">
        <f>SUMIF('Как есть'!$A$35:$A$42,Доп.расчеты!$A141,'Как есть'!DC$35:DC$42)</f>
        <v>0</v>
      </c>
      <c r="DC141">
        <f>SUMIF('Как есть'!$A$35:$A$42,Доп.расчеты!$A141,'Как есть'!DD$35:DD$42)</f>
        <v>0</v>
      </c>
      <c r="DD141">
        <f>SUMIF('Как есть'!$A$35:$A$42,Доп.расчеты!$A141,'Как есть'!DE$35:DE$42)</f>
        <v>0</v>
      </c>
      <c r="DE141">
        <f>SUMIF('Как есть'!$A$35:$A$42,Доп.расчеты!$A141,'Как есть'!DF$35:DF$42)</f>
        <v>0</v>
      </c>
      <c r="DF141">
        <f>SUMIF('Как есть'!$A$35:$A$42,Доп.расчеты!$A141,'Как есть'!DG$35:DG$42)</f>
        <v>0</v>
      </c>
      <c r="DG141">
        <f>SUMIF('Как есть'!$A$35:$A$42,Доп.расчеты!$A141,'Как есть'!DH$35:DH$42)</f>
        <v>0</v>
      </c>
      <c r="DH141">
        <f>SUMIF('Как есть'!$A$35:$A$42,Доп.расчеты!$A141,'Как есть'!DI$35:DI$42)</f>
        <v>0</v>
      </c>
      <c r="DI141">
        <f>SUMIF('Как есть'!$A$35:$A$42,Доп.расчеты!$A141,'Как есть'!DJ$35:DJ$42)</f>
        <v>0</v>
      </c>
      <c r="DJ141">
        <f>SUMIF('Как есть'!$A$35:$A$42,Доп.расчеты!$A141,'Как есть'!DK$35:DK$42)</f>
        <v>0</v>
      </c>
      <c r="DK141">
        <f>SUMIF('Как есть'!$A$35:$A$42,Доп.расчеты!$A141,'Как есть'!DL$35:DL$42)</f>
        <v>0</v>
      </c>
      <c r="DL141">
        <f>SUMIF('Как есть'!$A$35:$A$42,Доп.расчеты!$A141,'Как есть'!DM$35:DM$42)</f>
        <v>0</v>
      </c>
      <c r="DM141">
        <f>SUMIF('Как есть'!$A$35:$A$42,Доп.расчеты!$A141,'Как есть'!DN$35:DN$42)</f>
        <v>0</v>
      </c>
      <c r="DN141">
        <f>SUMIF('Как есть'!$A$35:$A$42,Доп.расчеты!$A141,'Как есть'!DO$35:DO$42)</f>
        <v>0</v>
      </c>
      <c r="DO141">
        <f>SUMIF('Как есть'!$A$35:$A$42,Доп.расчеты!$A141,'Как есть'!DP$35:DP$42)</f>
        <v>0</v>
      </c>
      <c r="DP141">
        <f>SUMIF('Как есть'!$A$35:$A$42,Доп.расчеты!$A141,'Как есть'!DQ$35:DQ$42)</f>
        <v>0</v>
      </c>
      <c r="DQ141">
        <f>SUMIF('Как есть'!$A$35:$A$42,Доп.расчеты!$A141,'Как есть'!DR$35:DR$42)</f>
        <v>0</v>
      </c>
      <c r="DR141">
        <f>SUMIF('Как есть'!$A$35:$A$42,Доп.расчеты!$A141,'Как есть'!DS$35:DS$42)</f>
        <v>0</v>
      </c>
      <c r="DS141">
        <f>SUMIF('Как есть'!$A$35:$A$42,Доп.расчеты!$A141,'Как есть'!DT$35:DT$42)</f>
        <v>0</v>
      </c>
      <c r="DT141">
        <f>SUMIF('Как есть'!$A$35:$A$42,Доп.расчеты!$A141,'Как есть'!DU$35:DU$42)</f>
        <v>0</v>
      </c>
      <c r="DU141">
        <f>SUMIF('Как есть'!$A$35:$A$42,Доп.расчеты!$A141,'Как есть'!DV$35:DV$42)</f>
        <v>0</v>
      </c>
      <c r="DV141">
        <f>SUMIF('Как есть'!$A$35:$A$42,Доп.расчеты!$A141,'Как есть'!DW$35:DW$42)</f>
        <v>0</v>
      </c>
      <c r="DW141">
        <f>SUMIF('Как есть'!$A$35:$A$42,Доп.расчеты!$A141,'Как есть'!DX$35:DX$42)</f>
        <v>0</v>
      </c>
      <c r="DX141">
        <f>SUMIF('Как есть'!$A$35:$A$42,Доп.расчеты!$A141,'Как есть'!DY$35:DY$42)</f>
        <v>0</v>
      </c>
      <c r="DY141">
        <f>SUMIF('Как есть'!$A$35:$A$42,Доп.расчеты!$A141,'Как есть'!DZ$35:DZ$42)</f>
        <v>0</v>
      </c>
      <c r="DZ141">
        <f>SUMIF('Как есть'!$A$35:$A$42,Доп.расчеты!$A141,'Как есть'!EA$35:EA$42)</f>
        <v>0</v>
      </c>
      <c r="EA141">
        <f>SUMIF('Как есть'!$A$35:$A$42,Доп.расчеты!$A141,'Как есть'!EB$35:EB$42)</f>
        <v>0</v>
      </c>
      <c r="EB141">
        <f>SUMIF('Как есть'!$A$35:$A$42,Доп.расчеты!$A141,'Как есть'!EC$35:EC$42)</f>
        <v>0</v>
      </c>
      <c r="EC141">
        <f>SUMIF('Как есть'!$A$35:$A$42,Доп.расчеты!$A141,'Как есть'!ED$35:ED$42)</f>
        <v>0</v>
      </c>
      <c r="ED141">
        <f>SUMIF('Как есть'!$A$35:$A$42,Доп.расчеты!$A141,'Как есть'!EE$35:EE$42)</f>
        <v>0</v>
      </c>
      <c r="EE141">
        <f>SUMIF('Как есть'!$A$35:$A$42,Доп.расчеты!$A141,'Как есть'!EF$35:EF$42)</f>
        <v>0</v>
      </c>
      <c r="EF141">
        <f>SUMIF('Как есть'!$A$35:$A$42,Доп.расчеты!$A141,'Как есть'!EG$35:EG$42)</f>
        <v>0</v>
      </c>
      <c r="EG141">
        <f>SUMIF('Как есть'!$A$35:$A$42,Доп.расчеты!$A141,'Как есть'!EH$35:EH$42)</f>
        <v>0</v>
      </c>
      <c r="EH141">
        <f>SUMIF('Как есть'!$A$35:$A$42,Доп.расчеты!$A141,'Как есть'!EI$35:EI$42)</f>
        <v>0</v>
      </c>
      <c r="EI141">
        <f>SUMIF('Как есть'!$A$35:$A$42,Доп.расчеты!$A141,'Как есть'!EJ$35:EJ$42)</f>
        <v>0</v>
      </c>
      <c r="EJ141">
        <f>SUMIF('Как есть'!$A$35:$A$42,Доп.расчеты!$A141,'Как есть'!EK$35:EK$42)</f>
        <v>0</v>
      </c>
      <c r="EK141">
        <f>SUMIF('Как есть'!$A$35:$A$42,Доп.расчеты!$A141,'Как есть'!EL$35:EL$42)</f>
        <v>0</v>
      </c>
      <c r="EL141">
        <f>SUMIF('Как есть'!$A$35:$A$42,Доп.расчеты!$A141,'Как есть'!EM$35:EM$42)</f>
        <v>0</v>
      </c>
      <c r="EM141">
        <f>SUMIF('Как есть'!$A$35:$A$42,Доп.расчеты!$A141,'Как есть'!EN$35:EN$42)</f>
        <v>0</v>
      </c>
      <c r="EN141">
        <f>SUMIF('Как есть'!$A$35:$A$42,Доп.расчеты!$A141,'Как есть'!EO$35:EO$42)</f>
        <v>0</v>
      </c>
      <c r="EO141">
        <f>SUMIF('Как есть'!$A$35:$A$42,Доп.расчеты!$A141,'Как есть'!EP$35:EP$42)</f>
        <v>0</v>
      </c>
      <c r="EP141">
        <f>SUMIF('Как есть'!$A$35:$A$42,Доп.расчеты!$A141,'Как есть'!EQ$35:EQ$42)</f>
        <v>0</v>
      </c>
      <c r="EQ141">
        <f>SUMIF('Как есть'!$A$35:$A$42,Доп.расчеты!$A141,'Как есть'!ER$35:ER$42)</f>
        <v>0</v>
      </c>
      <c r="ER141">
        <f>SUMIF('Как есть'!$A$35:$A$42,Доп.расчеты!$A141,'Как есть'!ES$35:ES$42)</f>
        <v>0</v>
      </c>
      <c r="ES141">
        <f>SUMIF('Как есть'!$A$35:$A$42,Доп.расчеты!$A141,'Как есть'!ET$35:ET$42)</f>
        <v>0</v>
      </c>
      <c r="ET141">
        <f>SUMIF('Как есть'!$A$35:$A$42,Доп.расчеты!$A141,'Как есть'!EU$35:EU$42)</f>
        <v>0</v>
      </c>
      <c r="EU141">
        <f>SUMIF('Как есть'!$A$35:$A$42,Доп.расчеты!$A141,'Как есть'!EV$35:EV$42)</f>
        <v>0</v>
      </c>
      <c r="EV141">
        <f>SUMIF('Как есть'!$A$35:$A$42,Доп.расчеты!$A141,'Как есть'!EW$35:EW$42)</f>
        <v>0</v>
      </c>
      <c r="EW141">
        <f>SUMIF('Как есть'!$A$35:$A$42,Доп.расчеты!$A141,'Как есть'!EX$35:EX$42)</f>
        <v>0</v>
      </c>
      <c r="EX141">
        <f>SUMIF('Как есть'!$A$35:$A$42,Доп.расчеты!$A141,'Как есть'!EY$35:EY$42)</f>
        <v>0</v>
      </c>
      <c r="EY141">
        <f>SUMIF('Как есть'!$A$35:$A$42,Доп.расчеты!$A141,'Как есть'!EZ$35:EZ$42)</f>
        <v>0</v>
      </c>
      <c r="EZ141">
        <f>SUMIF('Как есть'!$A$35:$A$42,Доп.расчеты!$A141,'Как есть'!FA$35:FA$42)</f>
        <v>0</v>
      </c>
      <c r="FA141">
        <f>SUMIF('Как есть'!$A$35:$A$42,Доп.расчеты!$A141,'Как есть'!FB$35:FB$42)</f>
        <v>0</v>
      </c>
      <c r="FB141">
        <f>SUMIF('Как есть'!$A$35:$A$42,Доп.расчеты!$A141,'Как есть'!FC$35:FC$42)</f>
        <v>0</v>
      </c>
      <c r="FC141">
        <f>SUMIF('Как есть'!$A$35:$A$42,Доп.расчеты!$A141,'Как есть'!FD$35:FD$42)</f>
        <v>0</v>
      </c>
      <c r="FD141">
        <f>SUMIF('Как есть'!$A$35:$A$42,Доп.расчеты!$A141,'Как есть'!FE$35:FE$42)</f>
        <v>0</v>
      </c>
      <c r="FE141">
        <f>SUMIF('Как есть'!$A$35:$A$42,Доп.расчеты!$A141,'Как есть'!FF$35:FF$42)</f>
        <v>0</v>
      </c>
      <c r="FF141">
        <f>SUMIF('Как есть'!$A$35:$A$42,Доп.расчеты!$A141,'Как есть'!FG$35:FG$42)</f>
        <v>0</v>
      </c>
      <c r="FG141">
        <f>SUMIF('Как есть'!$A$35:$A$42,Доп.расчеты!$A141,'Как есть'!FH$35:FH$42)</f>
        <v>0</v>
      </c>
      <c r="FH141">
        <f>SUMIF('Как есть'!$A$35:$A$42,Доп.расчеты!$A141,'Как есть'!FI$35:FI$42)</f>
        <v>0</v>
      </c>
      <c r="FI141">
        <f>SUMIF('Как есть'!$A$35:$A$42,Доп.расчеты!$A141,'Как есть'!FJ$35:FJ$42)</f>
        <v>0</v>
      </c>
      <c r="FJ141">
        <f>SUMIF('Как есть'!$A$35:$A$42,Доп.расчеты!$A141,'Как есть'!FK$35:FK$42)</f>
        <v>0</v>
      </c>
      <c r="FK141">
        <f>SUMIF('Как есть'!$A$35:$A$42,Доп.расчеты!$A141,'Как есть'!FL$35:FL$42)</f>
        <v>0</v>
      </c>
      <c r="FL141">
        <f>SUMIF('Как есть'!$A$35:$A$42,Доп.расчеты!$A141,'Как есть'!FM$35:FM$42)</f>
        <v>0</v>
      </c>
      <c r="FM141">
        <f>SUMIF('Как есть'!$A$35:$A$42,Доп.расчеты!$A141,'Как есть'!FN$35:FN$42)</f>
        <v>0</v>
      </c>
      <c r="FN141">
        <f>SUMIF('Как есть'!$A$35:$A$42,Доп.расчеты!$A141,'Как есть'!FO$35:FO$42)</f>
        <v>0</v>
      </c>
      <c r="FO141">
        <f>SUMIF('Как есть'!$A$35:$A$42,Доп.расчеты!$A141,'Как есть'!FP$35:FP$42)</f>
        <v>0</v>
      </c>
      <c r="FP141">
        <f>SUMIF('Как есть'!$A$35:$A$42,Доп.расчеты!$A141,'Как есть'!FQ$35:FQ$42)</f>
        <v>0</v>
      </c>
      <c r="FQ141">
        <f>SUMIF('Как есть'!$A$35:$A$42,Доп.расчеты!$A141,'Как есть'!FR$35:FR$42)</f>
        <v>0</v>
      </c>
      <c r="FR141">
        <f>SUMIF('Как есть'!$A$35:$A$42,Доп.расчеты!$A141,'Как есть'!FS$35:FS$42)</f>
        <v>0</v>
      </c>
      <c r="FS141">
        <f>SUMIF('Как есть'!$A$35:$A$42,Доп.расчеты!$A141,'Как есть'!FT$35:FT$42)</f>
        <v>0</v>
      </c>
      <c r="FT141">
        <f>SUMIF('Как есть'!$A$35:$A$42,Доп.расчеты!$A141,'Как есть'!FU$35:FU$42)</f>
        <v>0</v>
      </c>
      <c r="FU141">
        <f>SUMIF('Как есть'!$A$35:$A$42,Доп.расчеты!$A141,'Как есть'!FV$35:FV$42)</f>
        <v>0</v>
      </c>
      <c r="FV141">
        <f>SUMIF('Как есть'!$A$35:$A$42,Доп.расчеты!$A141,'Как есть'!FW$35:FW$42)</f>
        <v>0</v>
      </c>
      <c r="FW141">
        <f>SUMIF('Как есть'!$A$35:$A$42,Доп.расчеты!$A141,'Как есть'!FX$35:FX$42)</f>
        <v>0</v>
      </c>
      <c r="FX141">
        <f>SUMIF('Как есть'!$A$35:$A$42,Доп.расчеты!$A141,'Как есть'!FY$35:FY$42)</f>
        <v>0</v>
      </c>
      <c r="FY141">
        <f>SUMIF('Как есть'!$A$35:$A$42,Доп.расчеты!$A141,'Как есть'!FZ$35:FZ$42)</f>
        <v>0</v>
      </c>
      <c r="FZ141">
        <f>SUMIF('Как есть'!$A$35:$A$42,Доп.расчеты!$A141,'Как есть'!GA$35:GA$42)</f>
        <v>0</v>
      </c>
      <c r="GA141">
        <f>SUMIF('Как есть'!$A$35:$A$42,Доп.расчеты!$A141,'Как есть'!GB$35:GB$42)</f>
        <v>0</v>
      </c>
      <c r="GB141">
        <f>SUMIF('Как есть'!$A$35:$A$42,Доп.расчеты!$A141,'Как есть'!GC$35:GC$42)</f>
        <v>0</v>
      </c>
      <c r="GC141">
        <f>SUMIF('Как есть'!$A$35:$A$42,Доп.расчеты!$A141,'Как есть'!GD$35:GD$42)</f>
        <v>0</v>
      </c>
      <c r="GD141">
        <f>SUMIF('Как есть'!$A$35:$A$42,Доп.расчеты!$A141,'Как есть'!GE$35:GE$42)</f>
        <v>0</v>
      </c>
      <c r="GE141">
        <f>SUMIF('Как есть'!$A$35:$A$42,Доп.расчеты!$A141,'Как есть'!GF$35:GF$42)</f>
        <v>0</v>
      </c>
      <c r="GF141">
        <f>SUMIF('Как есть'!$A$35:$A$42,Доп.расчеты!$A141,'Как есть'!GG$35:GG$42)</f>
        <v>0</v>
      </c>
      <c r="GG141">
        <f>SUMIF('Как есть'!$A$35:$A$42,Доп.расчеты!$A141,'Как есть'!GH$35:GH$42)</f>
        <v>0</v>
      </c>
      <c r="GH141">
        <f>SUMIF('Как есть'!$A$35:$A$42,Доп.расчеты!$A141,'Как есть'!GI$35:GI$42)</f>
        <v>0</v>
      </c>
      <c r="GI141">
        <f>SUMIF('Как есть'!$A$35:$A$42,Доп.расчеты!$A141,'Как есть'!GJ$35:GJ$42)</f>
        <v>0</v>
      </c>
      <c r="GJ141">
        <f>SUMIF('Как есть'!$A$35:$A$42,Доп.расчеты!$A141,'Как есть'!GK$35:GK$42)</f>
        <v>0</v>
      </c>
      <c r="GK141">
        <f>SUMIF('Как есть'!$A$35:$A$42,Доп.расчеты!$A141,'Как есть'!GL$35:GL$42)</f>
        <v>0</v>
      </c>
      <c r="GL141">
        <f>SUMIF('Как есть'!$A$35:$A$42,Доп.расчеты!$A141,'Как есть'!GM$35:GM$42)</f>
        <v>0</v>
      </c>
      <c r="GM141">
        <f>SUMIF('Как есть'!$A$35:$A$42,Доп.расчеты!$A141,'Как есть'!GN$35:GN$42)</f>
        <v>0</v>
      </c>
      <c r="GN141">
        <f>SUMIF('Как есть'!$A$35:$A$42,Доп.расчеты!$A141,'Как есть'!GO$35:GO$42)</f>
        <v>0</v>
      </c>
      <c r="GO141">
        <f>SUMIF('Как есть'!$A$35:$A$42,Доп.расчеты!$A141,'Как есть'!GP$35:GP$42)</f>
        <v>0</v>
      </c>
      <c r="GP141">
        <f>SUMIF('Как есть'!$A$35:$A$42,Доп.расчеты!$A141,'Как есть'!GQ$35:GQ$42)</f>
        <v>0</v>
      </c>
      <c r="GQ141">
        <f>SUMIF('Как есть'!$A$35:$A$42,Доп.расчеты!$A141,'Как есть'!GR$35:GR$42)</f>
        <v>0</v>
      </c>
      <c r="GR141">
        <f>SUMIF('Как есть'!$A$35:$A$42,Доп.расчеты!$A141,'Как есть'!GS$35:GS$42)</f>
        <v>0</v>
      </c>
      <c r="GS141">
        <f>SUMIF('Как есть'!$A$35:$A$42,Доп.расчеты!$A141,'Как есть'!GT$35:GT$42)</f>
        <v>0</v>
      </c>
      <c r="GT141">
        <f>SUMIF('Как есть'!$A$35:$A$42,Доп.расчеты!$A141,'Как есть'!GU$35:GU$42)</f>
        <v>0</v>
      </c>
    </row>
    <row r="142" spans="1:202" hidden="1" outlineLevel="1">
      <c r="A142" s="238" t="s">
        <v>116</v>
      </c>
      <c r="B142">
        <f>SUMIF('Как есть'!$A$35:$A$42,Доп.расчеты!$A142,'Как есть'!C$35:C$42)</f>
        <v>0</v>
      </c>
      <c r="C142">
        <f>SUMIF('Как есть'!$A$35:$A$42,Доп.расчеты!$A142,'Как есть'!D$35:D$42)</f>
        <v>0</v>
      </c>
      <c r="D142">
        <f>SUMIF('Как есть'!$A$35:$A$42,Доп.расчеты!$A142,'Как есть'!E$35:E$42)</f>
        <v>0</v>
      </c>
      <c r="E142">
        <f>SUMIF('Как есть'!$A$35:$A$42,Доп.расчеты!$A142,'Как есть'!F$35:F$42)</f>
        <v>0</v>
      </c>
      <c r="F142">
        <f>SUMIF('Как есть'!$A$35:$A$42,Доп.расчеты!$A142,'Как есть'!G$35:G$42)</f>
        <v>0</v>
      </c>
      <c r="G142">
        <f>SUMIF('Как есть'!$A$35:$A$42,Доп.расчеты!$A142,'Как есть'!H$35:H$42)</f>
        <v>0</v>
      </c>
      <c r="H142">
        <f>SUMIF('Как есть'!$A$35:$A$42,Доп.расчеты!$A142,'Как есть'!I$35:I$42)</f>
        <v>0</v>
      </c>
      <c r="I142">
        <f>SUMIF('Как есть'!$A$35:$A$42,Доп.расчеты!$A142,'Как есть'!J$35:J$42)</f>
        <v>0</v>
      </c>
      <c r="J142">
        <f>SUMIF('Как есть'!$A$35:$A$42,Доп.расчеты!$A142,'Как есть'!K$35:K$42)</f>
        <v>0</v>
      </c>
      <c r="K142">
        <f>SUMIF('Как есть'!$A$35:$A$42,Доп.расчеты!$A142,'Как есть'!L$35:L$42)</f>
        <v>0</v>
      </c>
      <c r="L142">
        <f>SUMIF('Как есть'!$A$35:$A$42,Доп.расчеты!$A142,'Как есть'!M$35:M$42)</f>
        <v>0</v>
      </c>
      <c r="M142">
        <f>SUMIF('Как есть'!$A$35:$A$42,Доп.расчеты!$A142,'Как есть'!N$35:N$42)</f>
        <v>0</v>
      </c>
      <c r="N142">
        <f>SUMIF('Как есть'!$A$35:$A$42,Доп.расчеты!$A142,'Как есть'!O$35:O$42)</f>
        <v>0</v>
      </c>
      <c r="O142">
        <f>SUMIF('Как есть'!$A$35:$A$42,Доп.расчеты!$A142,'Как есть'!P$35:P$42)</f>
        <v>0</v>
      </c>
      <c r="P142">
        <f>SUMIF('Как есть'!$A$35:$A$42,Доп.расчеты!$A142,'Как есть'!Q$35:Q$42)</f>
        <v>0</v>
      </c>
      <c r="Q142">
        <f>SUMIF('Как есть'!$A$35:$A$42,Доп.расчеты!$A142,'Как есть'!R$35:R$42)</f>
        <v>0</v>
      </c>
      <c r="R142">
        <f>SUMIF('Как есть'!$A$35:$A$42,Доп.расчеты!$A142,'Как есть'!S$35:S$42)</f>
        <v>0</v>
      </c>
      <c r="S142">
        <f>SUMIF('Как есть'!$A$35:$A$42,Доп.расчеты!$A142,'Как есть'!T$35:T$42)</f>
        <v>0</v>
      </c>
      <c r="T142">
        <f>SUMIF('Как есть'!$A$35:$A$42,Доп.расчеты!$A142,'Как есть'!U$35:U$42)</f>
        <v>0</v>
      </c>
      <c r="U142">
        <f>SUMIF('Как есть'!$A$35:$A$42,Доп.расчеты!$A142,'Как есть'!V$35:V$42)</f>
        <v>0</v>
      </c>
      <c r="V142">
        <f>SUMIF('Как есть'!$A$35:$A$42,Доп.расчеты!$A142,'Как есть'!W$35:W$42)</f>
        <v>0</v>
      </c>
      <c r="W142">
        <f>SUMIF('Как есть'!$A$35:$A$42,Доп.расчеты!$A142,'Как есть'!X$35:X$42)</f>
        <v>0</v>
      </c>
      <c r="X142">
        <f>SUMIF('Как есть'!$A$35:$A$42,Доп.расчеты!$A142,'Как есть'!Y$35:Y$42)</f>
        <v>0</v>
      </c>
      <c r="Y142">
        <f>SUMIF('Как есть'!$A$35:$A$42,Доп.расчеты!$A142,'Как есть'!Z$35:Z$42)</f>
        <v>0</v>
      </c>
      <c r="Z142">
        <f>SUMIF('Как есть'!$A$35:$A$42,Доп.расчеты!$A142,'Как есть'!AA$35:AA$42)</f>
        <v>0</v>
      </c>
      <c r="AA142">
        <f>SUMIF('Как есть'!$A$35:$A$42,Доп.расчеты!$A142,'Как есть'!AB$35:AB$42)</f>
        <v>0</v>
      </c>
      <c r="AB142">
        <f>SUMIF('Как есть'!$A$35:$A$42,Доп.расчеты!$A142,'Как есть'!AC$35:AC$42)</f>
        <v>0</v>
      </c>
      <c r="AC142">
        <f>SUMIF('Как есть'!$A$35:$A$42,Доп.расчеты!$A142,'Как есть'!AD$35:AD$42)</f>
        <v>0</v>
      </c>
      <c r="AD142">
        <f>SUMIF('Как есть'!$A$35:$A$42,Доп.расчеты!$A142,'Как есть'!AE$35:AE$42)</f>
        <v>0</v>
      </c>
      <c r="AE142">
        <f>SUMIF('Как есть'!$A$35:$A$42,Доп.расчеты!$A142,'Как есть'!AF$35:AF$42)</f>
        <v>0</v>
      </c>
      <c r="AF142">
        <f>SUMIF('Как есть'!$A$35:$A$42,Доп.расчеты!$A142,'Как есть'!AG$35:AG$42)</f>
        <v>0</v>
      </c>
      <c r="AG142">
        <f>SUMIF('Как есть'!$A$35:$A$42,Доп.расчеты!$A142,'Как есть'!AH$35:AH$42)</f>
        <v>0</v>
      </c>
      <c r="AH142">
        <f>SUMIF('Как есть'!$A$35:$A$42,Доп.расчеты!$A142,'Как есть'!AI$35:AI$42)</f>
        <v>0</v>
      </c>
      <c r="AI142">
        <f>SUMIF('Как есть'!$A$35:$A$42,Доп.расчеты!$A142,'Как есть'!AJ$35:AJ$42)</f>
        <v>0</v>
      </c>
      <c r="AJ142">
        <f>SUMIF('Как есть'!$A$35:$A$42,Доп.расчеты!$A142,'Как есть'!AK$35:AK$42)</f>
        <v>0</v>
      </c>
      <c r="AK142">
        <f>SUMIF('Как есть'!$A$35:$A$42,Доп.расчеты!$A142,'Как есть'!AL$35:AL$42)</f>
        <v>0</v>
      </c>
      <c r="AL142">
        <f>SUMIF('Как есть'!$A$35:$A$42,Доп.расчеты!$A142,'Как есть'!AM$35:AM$42)</f>
        <v>0</v>
      </c>
      <c r="AM142">
        <f>SUMIF('Как есть'!$A$35:$A$42,Доп.расчеты!$A142,'Как есть'!AN$35:AN$42)</f>
        <v>0</v>
      </c>
      <c r="AN142">
        <f>SUMIF('Как есть'!$A$35:$A$42,Доп.расчеты!$A142,'Как есть'!AO$35:AO$42)</f>
        <v>0</v>
      </c>
      <c r="AO142">
        <f>SUMIF('Как есть'!$A$35:$A$42,Доп.расчеты!$A142,'Как есть'!AP$35:AP$42)</f>
        <v>0</v>
      </c>
      <c r="AP142">
        <f>SUMIF('Как есть'!$A$35:$A$42,Доп.расчеты!$A142,'Как есть'!AQ$35:AQ$42)</f>
        <v>0</v>
      </c>
      <c r="AQ142">
        <f>SUMIF('Как есть'!$A$35:$A$42,Доп.расчеты!$A142,'Как есть'!AR$35:AR$42)</f>
        <v>0</v>
      </c>
      <c r="AR142">
        <f>SUMIF('Как есть'!$A$35:$A$42,Доп.расчеты!$A142,'Как есть'!AS$35:AS$42)</f>
        <v>0</v>
      </c>
      <c r="AS142">
        <f>SUMIF('Как есть'!$A$35:$A$42,Доп.расчеты!$A142,'Как есть'!AT$35:AT$42)</f>
        <v>0</v>
      </c>
      <c r="AT142">
        <f>SUMIF('Как есть'!$A$35:$A$42,Доп.расчеты!$A142,'Как есть'!AU$35:AU$42)</f>
        <v>0</v>
      </c>
      <c r="AU142">
        <f>SUMIF('Как есть'!$A$35:$A$42,Доп.расчеты!$A142,'Как есть'!AV$35:AV$42)</f>
        <v>0</v>
      </c>
      <c r="AV142">
        <f>SUMIF('Как есть'!$A$35:$A$42,Доп.расчеты!$A142,'Как есть'!AW$35:AW$42)</f>
        <v>0</v>
      </c>
      <c r="AW142">
        <f>SUMIF('Как есть'!$A$35:$A$42,Доп.расчеты!$A142,'Как есть'!AX$35:AX$42)</f>
        <v>0</v>
      </c>
      <c r="AX142">
        <f>SUMIF('Как есть'!$A$35:$A$42,Доп.расчеты!$A142,'Как есть'!AY$35:AY$42)</f>
        <v>0</v>
      </c>
      <c r="AY142">
        <f>SUMIF('Как есть'!$A$35:$A$42,Доп.расчеты!$A142,'Как есть'!AZ$35:AZ$42)</f>
        <v>0</v>
      </c>
      <c r="AZ142">
        <f>SUMIF('Как есть'!$A$35:$A$42,Доп.расчеты!$A142,'Как есть'!BA$35:BA$42)</f>
        <v>0</v>
      </c>
      <c r="BA142">
        <f>SUMIF('Как есть'!$A$35:$A$42,Доп.расчеты!$A142,'Как есть'!BB$35:BB$42)</f>
        <v>0</v>
      </c>
      <c r="BB142">
        <f>SUMIF('Как есть'!$A$35:$A$42,Доп.расчеты!$A142,'Как есть'!BC$35:BC$42)</f>
        <v>0</v>
      </c>
      <c r="BC142">
        <f>SUMIF('Как есть'!$A$35:$A$42,Доп.расчеты!$A142,'Как есть'!BD$35:BD$42)</f>
        <v>0</v>
      </c>
      <c r="BD142">
        <f>SUMIF('Как есть'!$A$35:$A$42,Доп.расчеты!$A142,'Как есть'!BE$35:BE$42)</f>
        <v>0</v>
      </c>
      <c r="BE142">
        <f>SUMIF('Как есть'!$A$35:$A$42,Доп.расчеты!$A142,'Как есть'!BF$35:BF$42)</f>
        <v>0</v>
      </c>
      <c r="BF142">
        <f>SUMIF('Как есть'!$A$35:$A$42,Доп.расчеты!$A142,'Как есть'!BG$35:BG$42)</f>
        <v>0</v>
      </c>
      <c r="BG142">
        <f>SUMIF('Как есть'!$A$35:$A$42,Доп.расчеты!$A142,'Как есть'!BH$35:BH$42)</f>
        <v>0</v>
      </c>
      <c r="BH142">
        <f>SUMIF('Как есть'!$A$35:$A$42,Доп.расчеты!$A142,'Как есть'!BI$35:BI$42)</f>
        <v>0</v>
      </c>
      <c r="BI142">
        <f>SUMIF('Как есть'!$A$35:$A$42,Доп.расчеты!$A142,'Как есть'!BJ$35:BJ$42)</f>
        <v>0</v>
      </c>
      <c r="BJ142">
        <f>SUMIF('Как есть'!$A$35:$A$42,Доп.расчеты!$A142,'Как есть'!BK$35:BK$42)</f>
        <v>0</v>
      </c>
      <c r="BK142">
        <f>SUMIF('Как есть'!$A$35:$A$42,Доп.расчеты!$A142,'Как есть'!BL$35:BL$42)</f>
        <v>0</v>
      </c>
      <c r="BL142">
        <f>SUMIF('Как есть'!$A$35:$A$42,Доп.расчеты!$A142,'Как есть'!BM$35:BM$42)</f>
        <v>0</v>
      </c>
      <c r="BM142">
        <f>SUMIF('Как есть'!$A$35:$A$42,Доп.расчеты!$A142,'Как есть'!BN$35:BN$42)</f>
        <v>0</v>
      </c>
      <c r="BN142">
        <f>SUMIF('Как есть'!$A$35:$A$42,Доп.расчеты!$A142,'Как есть'!BO$35:BO$42)</f>
        <v>0</v>
      </c>
      <c r="BO142">
        <f>SUMIF('Как есть'!$A$35:$A$42,Доп.расчеты!$A142,'Как есть'!BP$35:BP$42)</f>
        <v>0</v>
      </c>
      <c r="BP142">
        <f>SUMIF('Как есть'!$A$35:$A$42,Доп.расчеты!$A142,'Как есть'!BQ$35:BQ$42)</f>
        <v>0</v>
      </c>
      <c r="BQ142">
        <f>SUMIF('Как есть'!$A$35:$A$42,Доп.расчеты!$A142,'Как есть'!BR$35:BR$42)</f>
        <v>0</v>
      </c>
      <c r="BR142">
        <f>SUMIF('Как есть'!$A$35:$A$42,Доп.расчеты!$A142,'Как есть'!BS$35:BS$42)</f>
        <v>0</v>
      </c>
      <c r="BS142">
        <f>SUMIF('Как есть'!$A$35:$A$42,Доп.расчеты!$A142,'Как есть'!BT$35:BT$42)</f>
        <v>0</v>
      </c>
      <c r="BT142">
        <f>SUMIF('Как есть'!$A$35:$A$42,Доп.расчеты!$A142,'Как есть'!BU$35:BU$42)</f>
        <v>0</v>
      </c>
      <c r="BU142">
        <f>SUMIF('Как есть'!$A$35:$A$42,Доп.расчеты!$A142,'Как есть'!BV$35:BV$42)</f>
        <v>0</v>
      </c>
      <c r="BV142">
        <f>SUMIF('Как есть'!$A$35:$A$42,Доп.расчеты!$A142,'Как есть'!BW$35:BW$42)</f>
        <v>0</v>
      </c>
      <c r="BW142">
        <f>SUMIF('Как есть'!$A$35:$A$42,Доп.расчеты!$A142,'Как есть'!BX$35:BX$42)</f>
        <v>0</v>
      </c>
      <c r="BX142">
        <f>SUMIF('Как есть'!$A$35:$A$42,Доп.расчеты!$A142,'Как есть'!BY$35:BY$42)</f>
        <v>0</v>
      </c>
      <c r="BY142">
        <f>SUMIF('Как есть'!$A$35:$A$42,Доп.расчеты!$A142,'Как есть'!BZ$35:BZ$42)</f>
        <v>0</v>
      </c>
      <c r="BZ142">
        <f>SUMIF('Как есть'!$A$35:$A$42,Доп.расчеты!$A142,'Как есть'!CA$35:CA$42)</f>
        <v>0</v>
      </c>
      <c r="CA142">
        <f>SUMIF('Как есть'!$A$35:$A$42,Доп.расчеты!$A142,'Как есть'!CB$35:CB$42)</f>
        <v>0</v>
      </c>
      <c r="CB142">
        <f>SUMIF('Как есть'!$A$35:$A$42,Доп.расчеты!$A142,'Как есть'!CC$35:CC$42)</f>
        <v>0</v>
      </c>
      <c r="CC142">
        <f>SUMIF('Как есть'!$A$35:$A$42,Доп.расчеты!$A142,'Как есть'!CD$35:CD$42)</f>
        <v>0</v>
      </c>
      <c r="CD142">
        <f>SUMIF('Как есть'!$A$35:$A$42,Доп.расчеты!$A142,'Как есть'!CE$35:CE$42)</f>
        <v>0</v>
      </c>
      <c r="CE142">
        <f>SUMIF('Как есть'!$A$35:$A$42,Доп.расчеты!$A142,'Как есть'!CF$35:CF$42)</f>
        <v>0</v>
      </c>
      <c r="CF142">
        <f>SUMIF('Как есть'!$A$35:$A$42,Доп.расчеты!$A142,'Как есть'!CG$35:CG$42)</f>
        <v>0</v>
      </c>
      <c r="CG142">
        <f>SUMIF('Как есть'!$A$35:$A$42,Доп.расчеты!$A142,'Как есть'!CH$35:CH$42)</f>
        <v>0</v>
      </c>
      <c r="CH142">
        <f>SUMIF('Как есть'!$A$35:$A$42,Доп.расчеты!$A142,'Как есть'!CI$35:CI$42)</f>
        <v>0</v>
      </c>
      <c r="CI142">
        <f>SUMIF('Как есть'!$A$35:$A$42,Доп.расчеты!$A142,'Как есть'!CJ$35:CJ$42)</f>
        <v>0</v>
      </c>
      <c r="CJ142">
        <f>SUMIF('Как есть'!$A$35:$A$42,Доп.расчеты!$A142,'Как есть'!CK$35:CK$42)</f>
        <v>0</v>
      </c>
      <c r="CK142">
        <f>SUMIF('Как есть'!$A$35:$A$42,Доп.расчеты!$A142,'Как есть'!CL$35:CL$42)</f>
        <v>0</v>
      </c>
      <c r="CL142">
        <f>SUMIF('Как есть'!$A$35:$A$42,Доп.расчеты!$A142,'Как есть'!CM$35:CM$42)</f>
        <v>0</v>
      </c>
      <c r="CM142">
        <f>SUMIF('Как есть'!$A$35:$A$42,Доп.расчеты!$A142,'Как есть'!CN$35:CN$42)</f>
        <v>0</v>
      </c>
      <c r="CN142">
        <f>SUMIF('Как есть'!$A$35:$A$42,Доп.расчеты!$A142,'Как есть'!CO$35:CO$42)</f>
        <v>0</v>
      </c>
      <c r="CO142">
        <f>SUMIF('Как есть'!$A$35:$A$42,Доп.расчеты!$A142,'Как есть'!CP$35:CP$42)</f>
        <v>0</v>
      </c>
      <c r="CP142">
        <f>SUMIF('Как есть'!$A$35:$A$42,Доп.расчеты!$A142,'Как есть'!CQ$35:CQ$42)</f>
        <v>0</v>
      </c>
      <c r="CQ142">
        <f>SUMIF('Как есть'!$A$35:$A$42,Доп.расчеты!$A142,'Как есть'!CR$35:CR$42)</f>
        <v>0</v>
      </c>
      <c r="CR142">
        <f>SUMIF('Как есть'!$A$35:$A$42,Доп.расчеты!$A142,'Как есть'!CS$35:CS$42)</f>
        <v>0</v>
      </c>
      <c r="CS142">
        <f>SUMIF('Как есть'!$A$35:$A$42,Доп.расчеты!$A142,'Как есть'!CT$35:CT$42)</f>
        <v>0</v>
      </c>
      <c r="CT142">
        <f>SUMIF('Как есть'!$A$35:$A$42,Доп.расчеты!$A142,'Как есть'!CU$35:CU$42)</f>
        <v>0</v>
      </c>
      <c r="CU142">
        <f>SUMIF('Как есть'!$A$35:$A$42,Доп.расчеты!$A142,'Как есть'!CV$35:CV$42)</f>
        <v>0</v>
      </c>
      <c r="CV142">
        <f>SUMIF('Как есть'!$A$35:$A$42,Доп.расчеты!$A142,'Как есть'!CW$35:CW$42)</f>
        <v>0</v>
      </c>
      <c r="CW142">
        <f>SUMIF('Как есть'!$A$35:$A$42,Доп.расчеты!$A142,'Как есть'!CX$35:CX$42)</f>
        <v>0</v>
      </c>
      <c r="CX142">
        <f>SUMIF('Как есть'!$A$35:$A$42,Доп.расчеты!$A142,'Как есть'!CY$35:CY$42)</f>
        <v>0</v>
      </c>
      <c r="CY142">
        <f>SUMIF('Как есть'!$A$35:$A$42,Доп.расчеты!$A142,'Как есть'!CZ$35:CZ$42)</f>
        <v>0</v>
      </c>
      <c r="CZ142">
        <f>SUMIF('Как есть'!$A$35:$A$42,Доп.расчеты!$A142,'Как есть'!DA$35:DA$42)</f>
        <v>0</v>
      </c>
      <c r="DA142">
        <f>SUMIF('Как есть'!$A$35:$A$42,Доп.расчеты!$A142,'Как есть'!DB$35:DB$42)</f>
        <v>0</v>
      </c>
      <c r="DB142">
        <f>SUMIF('Как есть'!$A$35:$A$42,Доп.расчеты!$A142,'Как есть'!DC$35:DC$42)</f>
        <v>0</v>
      </c>
      <c r="DC142">
        <f>SUMIF('Как есть'!$A$35:$A$42,Доп.расчеты!$A142,'Как есть'!DD$35:DD$42)</f>
        <v>0</v>
      </c>
      <c r="DD142">
        <f>SUMIF('Как есть'!$A$35:$A$42,Доп.расчеты!$A142,'Как есть'!DE$35:DE$42)</f>
        <v>0</v>
      </c>
      <c r="DE142">
        <f>SUMIF('Как есть'!$A$35:$A$42,Доп.расчеты!$A142,'Как есть'!DF$35:DF$42)</f>
        <v>0</v>
      </c>
      <c r="DF142">
        <f>SUMIF('Как есть'!$A$35:$A$42,Доп.расчеты!$A142,'Как есть'!DG$35:DG$42)</f>
        <v>0</v>
      </c>
      <c r="DG142">
        <f>SUMIF('Как есть'!$A$35:$A$42,Доп.расчеты!$A142,'Как есть'!DH$35:DH$42)</f>
        <v>0</v>
      </c>
      <c r="DH142">
        <f>SUMIF('Как есть'!$A$35:$A$42,Доп.расчеты!$A142,'Как есть'!DI$35:DI$42)</f>
        <v>0</v>
      </c>
      <c r="DI142">
        <f>SUMIF('Как есть'!$A$35:$A$42,Доп.расчеты!$A142,'Как есть'!DJ$35:DJ$42)</f>
        <v>0</v>
      </c>
      <c r="DJ142">
        <f>SUMIF('Как есть'!$A$35:$A$42,Доп.расчеты!$A142,'Как есть'!DK$35:DK$42)</f>
        <v>0</v>
      </c>
      <c r="DK142">
        <f>SUMIF('Как есть'!$A$35:$A$42,Доп.расчеты!$A142,'Как есть'!DL$35:DL$42)</f>
        <v>0</v>
      </c>
      <c r="DL142">
        <f>SUMIF('Как есть'!$A$35:$A$42,Доп.расчеты!$A142,'Как есть'!DM$35:DM$42)</f>
        <v>0</v>
      </c>
      <c r="DM142">
        <f>SUMIF('Как есть'!$A$35:$A$42,Доп.расчеты!$A142,'Как есть'!DN$35:DN$42)</f>
        <v>0</v>
      </c>
      <c r="DN142">
        <f>SUMIF('Как есть'!$A$35:$A$42,Доп.расчеты!$A142,'Как есть'!DO$35:DO$42)</f>
        <v>0</v>
      </c>
      <c r="DO142">
        <f>SUMIF('Как есть'!$A$35:$A$42,Доп.расчеты!$A142,'Как есть'!DP$35:DP$42)</f>
        <v>0</v>
      </c>
      <c r="DP142">
        <f>SUMIF('Как есть'!$A$35:$A$42,Доп.расчеты!$A142,'Как есть'!DQ$35:DQ$42)</f>
        <v>0</v>
      </c>
      <c r="DQ142">
        <f>SUMIF('Как есть'!$A$35:$A$42,Доп.расчеты!$A142,'Как есть'!DR$35:DR$42)</f>
        <v>0</v>
      </c>
      <c r="DR142">
        <f>SUMIF('Как есть'!$A$35:$A$42,Доп.расчеты!$A142,'Как есть'!DS$35:DS$42)</f>
        <v>0</v>
      </c>
      <c r="DS142">
        <f>SUMIF('Как есть'!$A$35:$A$42,Доп.расчеты!$A142,'Как есть'!DT$35:DT$42)</f>
        <v>0</v>
      </c>
      <c r="DT142">
        <f>SUMIF('Как есть'!$A$35:$A$42,Доп.расчеты!$A142,'Как есть'!DU$35:DU$42)</f>
        <v>0</v>
      </c>
      <c r="DU142">
        <f>SUMIF('Как есть'!$A$35:$A$42,Доп.расчеты!$A142,'Как есть'!DV$35:DV$42)</f>
        <v>0</v>
      </c>
      <c r="DV142">
        <f>SUMIF('Как есть'!$A$35:$A$42,Доп.расчеты!$A142,'Как есть'!DW$35:DW$42)</f>
        <v>0</v>
      </c>
      <c r="DW142">
        <f>SUMIF('Как есть'!$A$35:$A$42,Доп.расчеты!$A142,'Как есть'!DX$35:DX$42)</f>
        <v>0</v>
      </c>
      <c r="DX142">
        <f>SUMIF('Как есть'!$A$35:$A$42,Доп.расчеты!$A142,'Как есть'!DY$35:DY$42)</f>
        <v>0</v>
      </c>
      <c r="DY142">
        <f>SUMIF('Как есть'!$A$35:$A$42,Доп.расчеты!$A142,'Как есть'!DZ$35:DZ$42)</f>
        <v>0</v>
      </c>
      <c r="DZ142">
        <f>SUMIF('Как есть'!$A$35:$A$42,Доп.расчеты!$A142,'Как есть'!EA$35:EA$42)</f>
        <v>0</v>
      </c>
      <c r="EA142">
        <f>SUMIF('Как есть'!$A$35:$A$42,Доп.расчеты!$A142,'Как есть'!EB$35:EB$42)</f>
        <v>0</v>
      </c>
      <c r="EB142">
        <f>SUMIF('Как есть'!$A$35:$A$42,Доп.расчеты!$A142,'Как есть'!EC$35:EC$42)</f>
        <v>0</v>
      </c>
      <c r="EC142">
        <f>SUMIF('Как есть'!$A$35:$A$42,Доп.расчеты!$A142,'Как есть'!ED$35:ED$42)</f>
        <v>0</v>
      </c>
      <c r="ED142">
        <f>SUMIF('Как есть'!$A$35:$A$42,Доп.расчеты!$A142,'Как есть'!EE$35:EE$42)</f>
        <v>0</v>
      </c>
      <c r="EE142">
        <f>SUMIF('Как есть'!$A$35:$A$42,Доп.расчеты!$A142,'Как есть'!EF$35:EF$42)</f>
        <v>0</v>
      </c>
      <c r="EF142">
        <f>SUMIF('Как есть'!$A$35:$A$42,Доп.расчеты!$A142,'Как есть'!EG$35:EG$42)</f>
        <v>0</v>
      </c>
      <c r="EG142">
        <f>SUMIF('Как есть'!$A$35:$A$42,Доп.расчеты!$A142,'Как есть'!EH$35:EH$42)</f>
        <v>0</v>
      </c>
      <c r="EH142">
        <f>SUMIF('Как есть'!$A$35:$A$42,Доп.расчеты!$A142,'Как есть'!EI$35:EI$42)</f>
        <v>0</v>
      </c>
      <c r="EI142">
        <f>SUMIF('Как есть'!$A$35:$A$42,Доп.расчеты!$A142,'Как есть'!EJ$35:EJ$42)</f>
        <v>0</v>
      </c>
      <c r="EJ142">
        <f>SUMIF('Как есть'!$A$35:$A$42,Доп.расчеты!$A142,'Как есть'!EK$35:EK$42)</f>
        <v>0</v>
      </c>
      <c r="EK142">
        <f>SUMIF('Как есть'!$A$35:$A$42,Доп.расчеты!$A142,'Как есть'!EL$35:EL$42)</f>
        <v>0</v>
      </c>
      <c r="EL142">
        <f>SUMIF('Как есть'!$A$35:$A$42,Доп.расчеты!$A142,'Как есть'!EM$35:EM$42)</f>
        <v>0</v>
      </c>
      <c r="EM142">
        <f>SUMIF('Как есть'!$A$35:$A$42,Доп.расчеты!$A142,'Как есть'!EN$35:EN$42)</f>
        <v>0</v>
      </c>
      <c r="EN142">
        <f>SUMIF('Как есть'!$A$35:$A$42,Доп.расчеты!$A142,'Как есть'!EO$35:EO$42)</f>
        <v>0</v>
      </c>
      <c r="EO142">
        <f>SUMIF('Как есть'!$A$35:$A$42,Доп.расчеты!$A142,'Как есть'!EP$35:EP$42)</f>
        <v>0</v>
      </c>
      <c r="EP142">
        <f>SUMIF('Как есть'!$A$35:$A$42,Доп.расчеты!$A142,'Как есть'!EQ$35:EQ$42)</f>
        <v>0</v>
      </c>
      <c r="EQ142">
        <f>SUMIF('Как есть'!$A$35:$A$42,Доп.расчеты!$A142,'Как есть'!ER$35:ER$42)</f>
        <v>0</v>
      </c>
      <c r="ER142">
        <f>SUMIF('Как есть'!$A$35:$A$42,Доп.расчеты!$A142,'Как есть'!ES$35:ES$42)</f>
        <v>0</v>
      </c>
      <c r="ES142">
        <f>SUMIF('Как есть'!$A$35:$A$42,Доп.расчеты!$A142,'Как есть'!ET$35:ET$42)</f>
        <v>0</v>
      </c>
      <c r="ET142">
        <f>SUMIF('Как есть'!$A$35:$A$42,Доп.расчеты!$A142,'Как есть'!EU$35:EU$42)</f>
        <v>0</v>
      </c>
      <c r="EU142">
        <f>SUMIF('Как есть'!$A$35:$A$42,Доп.расчеты!$A142,'Как есть'!EV$35:EV$42)</f>
        <v>0</v>
      </c>
      <c r="EV142">
        <f>SUMIF('Как есть'!$A$35:$A$42,Доп.расчеты!$A142,'Как есть'!EW$35:EW$42)</f>
        <v>0</v>
      </c>
      <c r="EW142">
        <f>SUMIF('Как есть'!$A$35:$A$42,Доп.расчеты!$A142,'Как есть'!EX$35:EX$42)</f>
        <v>0</v>
      </c>
      <c r="EX142">
        <f>SUMIF('Как есть'!$A$35:$A$42,Доп.расчеты!$A142,'Как есть'!EY$35:EY$42)</f>
        <v>0</v>
      </c>
      <c r="EY142">
        <f>SUMIF('Как есть'!$A$35:$A$42,Доп.расчеты!$A142,'Как есть'!EZ$35:EZ$42)</f>
        <v>0</v>
      </c>
      <c r="EZ142">
        <f>SUMIF('Как есть'!$A$35:$A$42,Доп.расчеты!$A142,'Как есть'!FA$35:FA$42)</f>
        <v>0</v>
      </c>
      <c r="FA142">
        <f>SUMIF('Как есть'!$A$35:$A$42,Доп.расчеты!$A142,'Как есть'!FB$35:FB$42)</f>
        <v>0</v>
      </c>
      <c r="FB142">
        <f>SUMIF('Как есть'!$A$35:$A$42,Доп.расчеты!$A142,'Как есть'!FC$35:FC$42)</f>
        <v>0</v>
      </c>
      <c r="FC142">
        <f>SUMIF('Как есть'!$A$35:$A$42,Доп.расчеты!$A142,'Как есть'!FD$35:FD$42)</f>
        <v>0</v>
      </c>
      <c r="FD142">
        <f>SUMIF('Как есть'!$A$35:$A$42,Доп.расчеты!$A142,'Как есть'!FE$35:FE$42)</f>
        <v>0</v>
      </c>
      <c r="FE142">
        <f>SUMIF('Как есть'!$A$35:$A$42,Доп.расчеты!$A142,'Как есть'!FF$35:FF$42)</f>
        <v>0</v>
      </c>
      <c r="FF142">
        <f>SUMIF('Как есть'!$A$35:$A$42,Доп.расчеты!$A142,'Как есть'!FG$35:FG$42)</f>
        <v>0</v>
      </c>
      <c r="FG142">
        <f>SUMIF('Как есть'!$A$35:$A$42,Доп.расчеты!$A142,'Как есть'!FH$35:FH$42)</f>
        <v>0</v>
      </c>
      <c r="FH142">
        <f>SUMIF('Как есть'!$A$35:$A$42,Доп.расчеты!$A142,'Как есть'!FI$35:FI$42)</f>
        <v>0</v>
      </c>
      <c r="FI142">
        <f>SUMIF('Как есть'!$A$35:$A$42,Доп.расчеты!$A142,'Как есть'!FJ$35:FJ$42)</f>
        <v>0</v>
      </c>
      <c r="FJ142">
        <f>SUMIF('Как есть'!$A$35:$A$42,Доп.расчеты!$A142,'Как есть'!FK$35:FK$42)</f>
        <v>0</v>
      </c>
      <c r="FK142">
        <f>SUMIF('Как есть'!$A$35:$A$42,Доп.расчеты!$A142,'Как есть'!FL$35:FL$42)</f>
        <v>0</v>
      </c>
      <c r="FL142">
        <f>SUMIF('Как есть'!$A$35:$A$42,Доп.расчеты!$A142,'Как есть'!FM$35:FM$42)</f>
        <v>0</v>
      </c>
      <c r="FM142">
        <f>SUMIF('Как есть'!$A$35:$A$42,Доп.расчеты!$A142,'Как есть'!FN$35:FN$42)</f>
        <v>0</v>
      </c>
      <c r="FN142">
        <f>SUMIF('Как есть'!$A$35:$A$42,Доп.расчеты!$A142,'Как есть'!FO$35:FO$42)</f>
        <v>0</v>
      </c>
      <c r="FO142">
        <f>SUMIF('Как есть'!$A$35:$A$42,Доп.расчеты!$A142,'Как есть'!FP$35:FP$42)</f>
        <v>0</v>
      </c>
      <c r="FP142">
        <f>SUMIF('Как есть'!$A$35:$A$42,Доп.расчеты!$A142,'Как есть'!FQ$35:FQ$42)</f>
        <v>0</v>
      </c>
      <c r="FQ142">
        <f>SUMIF('Как есть'!$A$35:$A$42,Доп.расчеты!$A142,'Как есть'!FR$35:FR$42)</f>
        <v>0</v>
      </c>
      <c r="FR142">
        <f>SUMIF('Как есть'!$A$35:$A$42,Доп.расчеты!$A142,'Как есть'!FS$35:FS$42)</f>
        <v>0</v>
      </c>
      <c r="FS142">
        <f>SUMIF('Как есть'!$A$35:$A$42,Доп.расчеты!$A142,'Как есть'!FT$35:FT$42)</f>
        <v>0</v>
      </c>
      <c r="FT142">
        <f>SUMIF('Как есть'!$A$35:$A$42,Доп.расчеты!$A142,'Как есть'!FU$35:FU$42)</f>
        <v>0</v>
      </c>
      <c r="FU142">
        <f>SUMIF('Как есть'!$A$35:$A$42,Доп.расчеты!$A142,'Как есть'!FV$35:FV$42)</f>
        <v>0</v>
      </c>
      <c r="FV142">
        <f>SUMIF('Как есть'!$A$35:$A$42,Доп.расчеты!$A142,'Как есть'!FW$35:FW$42)</f>
        <v>0</v>
      </c>
      <c r="FW142">
        <f>SUMIF('Как есть'!$A$35:$A$42,Доп.расчеты!$A142,'Как есть'!FX$35:FX$42)</f>
        <v>0</v>
      </c>
      <c r="FX142">
        <f>SUMIF('Как есть'!$A$35:$A$42,Доп.расчеты!$A142,'Как есть'!FY$35:FY$42)</f>
        <v>0</v>
      </c>
      <c r="FY142">
        <f>SUMIF('Как есть'!$A$35:$A$42,Доп.расчеты!$A142,'Как есть'!FZ$35:FZ$42)</f>
        <v>0</v>
      </c>
      <c r="FZ142">
        <f>SUMIF('Как есть'!$A$35:$A$42,Доп.расчеты!$A142,'Как есть'!GA$35:GA$42)</f>
        <v>0</v>
      </c>
      <c r="GA142">
        <f>SUMIF('Как есть'!$A$35:$A$42,Доп.расчеты!$A142,'Как есть'!GB$35:GB$42)</f>
        <v>0</v>
      </c>
      <c r="GB142">
        <f>SUMIF('Как есть'!$A$35:$A$42,Доп.расчеты!$A142,'Как есть'!GC$35:GC$42)</f>
        <v>0</v>
      </c>
      <c r="GC142">
        <f>SUMIF('Как есть'!$A$35:$A$42,Доп.расчеты!$A142,'Как есть'!GD$35:GD$42)</f>
        <v>0</v>
      </c>
      <c r="GD142">
        <f>SUMIF('Как есть'!$A$35:$A$42,Доп.расчеты!$A142,'Как есть'!GE$35:GE$42)</f>
        <v>0</v>
      </c>
      <c r="GE142">
        <f>SUMIF('Как есть'!$A$35:$A$42,Доп.расчеты!$A142,'Как есть'!GF$35:GF$42)</f>
        <v>0</v>
      </c>
      <c r="GF142">
        <f>SUMIF('Как есть'!$A$35:$A$42,Доп.расчеты!$A142,'Как есть'!GG$35:GG$42)</f>
        <v>0</v>
      </c>
      <c r="GG142">
        <f>SUMIF('Как есть'!$A$35:$A$42,Доп.расчеты!$A142,'Как есть'!GH$35:GH$42)</f>
        <v>0</v>
      </c>
      <c r="GH142">
        <f>SUMIF('Как есть'!$A$35:$A$42,Доп.расчеты!$A142,'Как есть'!GI$35:GI$42)</f>
        <v>0</v>
      </c>
      <c r="GI142">
        <f>SUMIF('Как есть'!$A$35:$A$42,Доп.расчеты!$A142,'Как есть'!GJ$35:GJ$42)</f>
        <v>0</v>
      </c>
      <c r="GJ142">
        <f>SUMIF('Как есть'!$A$35:$A$42,Доп.расчеты!$A142,'Как есть'!GK$35:GK$42)</f>
        <v>0</v>
      </c>
      <c r="GK142">
        <f>SUMIF('Как есть'!$A$35:$A$42,Доп.расчеты!$A142,'Как есть'!GL$35:GL$42)</f>
        <v>0</v>
      </c>
      <c r="GL142">
        <f>SUMIF('Как есть'!$A$35:$A$42,Доп.расчеты!$A142,'Как есть'!GM$35:GM$42)</f>
        <v>0</v>
      </c>
      <c r="GM142">
        <f>SUMIF('Как есть'!$A$35:$A$42,Доп.расчеты!$A142,'Как есть'!GN$35:GN$42)</f>
        <v>0</v>
      </c>
      <c r="GN142">
        <f>SUMIF('Как есть'!$A$35:$A$42,Доп.расчеты!$A142,'Как есть'!GO$35:GO$42)</f>
        <v>0</v>
      </c>
      <c r="GO142">
        <f>SUMIF('Как есть'!$A$35:$A$42,Доп.расчеты!$A142,'Как есть'!GP$35:GP$42)</f>
        <v>0</v>
      </c>
      <c r="GP142">
        <f>SUMIF('Как есть'!$A$35:$A$42,Доп.расчеты!$A142,'Как есть'!GQ$35:GQ$42)</f>
        <v>0</v>
      </c>
      <c r="GQ142">
        <f>SUMIF('Как есть'!$A$35:$A$42,Доп.расчеты!$A142,'Как есть'!GR$35:GR$42)</f>
        <v>0</v>
      </c>
      <c r="GR142">
        <f>SUMIF('Как есть'!$A$35:$A$42,Доп.расчеты!$A142,'Как есть'!GS$35:GS$42)</f>
        <v>0</v>
      </c>
      <c r="GS142">
        <f>SUMIF('Как есть'!$A$35:$A$42,Доп.расчеты!$A142,'Как есть'!GT$35:GT$42)</f>
        <v>0</v>
      </c>
      <c r="GT142">
        <f>SUMIF('Как есть'!$A$35:$A$42,Доп.расчеты!$A142,'Как есть'!GU$35:GU$42)</f>
        <v>0</v>
      </c>
    </row>
    <row r="143" spans="1:202" hidden="1" outlineLevel="1">
      <c r="A143" s="238" t="s">
        <v>24</v>
      </c>
      <c r="B143">
        <f>SUMIF('Как есть'!$A$35:$A$42,Доп.расчеты!$A143,'Как есть'!C$35:C$42)</f>
        <v>0</v>
      </c>
      <c r="C143">
        <f>SUMIF('Как есть'!$A$35:$A$42,Доп.расчеты!$A143,'Как есть'!D$35:D$42)</f>
        <v>0</v>
      </c>
      <c r="D143">
        <f>SUMIF('Как есть'!$A$35:$A$42,Доп.расчеты!$A143,'Как есть'!E$35:E$42)</f>
        <v>0</v>
      </c>
      <c r="E143">
        <f>SUMIF('Как есть'!$A$35:$A$42,Доп.расчеты!$A143,'Как есть'!F$35:F$42)</f>
        <v>0</v>
      </c>
      <c r="F143">
        <f>SUMIF('Как есть'!$A$35:$A$42,Доп.расчеты!$A143,'Как есть'!G$35:G$42)</f>
        <v>0</v>
      </c>
      <c r="G143">
        <f>SUMIF('Как есть'!$A$35:$A$42,Доп.расчеты!$A143,'Как есть'!H$35:H$42)</f>
        <v>0</v>
      </c>
      <c r="H143">
        <f>SUMIF('Как есть'!$A$35:$A$42,Доп.расчеты!$A143,'Как есть'!I$35:I$42)</f>
        <v>0</v>
      </c>
      <c r="I143">
        <f>SUMIF('Как есть'!$A$35:$A$42,Доп.расчеты!$A143,'Как есть'!J$35:J$42)</f>
        <v>0</v>
      </c>
      <c r="J143">
        <f>SUMIF('Как есть'!$A$35:$A$42,Доп.расчеты!$A143,'Как есть'!K$35:K$42)</f>
        <v>0</v>
      </c>
      <c r="K143">
        <f>SUMIF('Как есть'!$A$35:$A$42,Доп.расчеты!$A143,'Как есть'!L$35:L$42)</f>
        <v>0</v>
      </c>
      <c r="L143">
        <f>SUMIF('Как есть'!$A$35:$A$42,Доп.расчеты!$A143,'Как есть'!M$35:M$42)</f>
        <v>0</v>
      </c>
      <c r="M143">
        <f>SUMIF('Как есть'!$A$35:$A$42,Доп.расчеты!$A143,'Как есть'!N$35:N$42)</f>
        <v>0</v>
      </c>
      <c r="N143">
        <f>SUMIF('Как есть'!$A$35:$A$42,Доп.расчеты!$A143,'Как есть'!O$35:O$42)</f>
        <v>0</v>
      </c>
      <c r="O143">
        <f>SUMIF('Как есть'!$A$35:$A$42,Доп.расчеты!$A143,'Как есть'!P$35:P$42)</f>
        <v>0</v>
      </c>
      <c r="P143">
        <f>SUMIF('Как есть'!$A$35:$A$42,Доп.расчеты!$A143,'Как есть'!Q$35:Q$42)</f>
        <v>0</v>
      </c>
      <c r="Q143">
        <f>SUMIF('Как есть'!$A$35:$A$42,Доп.расчеты!$A143,'Как есть'!R$35:R$42)</f>
        <v>0</v>
      </c>
      <c r="R143">
        <f>SUMIF('Как есть'!$A$35:$A$42,Доп.расчеты!$A143,'Как есть'!S$35:S$42)</f>
        <v>0</v>
      </c>
      <c r="S143">
        <f>SUMIF('Как есть'!$A$35:$A$42,Доп.расчеты!$A143,'Как есть'!T$35:T$42)</f>
        <v>0</v>
      </c>
      <c r="T143">
        <f>SUMIF('Как есть'!$A$35:$A$42,Доп.расчеты!$A143,'Как есть'!U$35:U$42)</f>
        <v>0</v>
      </c>
      <c r="U143">
        <f>SUMIF('Как есть'!$A$35:$A$42,Доп.расчеты!$A143,'Как есть'!V$35:V$42)</f>
        <v>0</v>
      </c>
      <c r="V143">
        <f>SUMIF('Как есть'!$A$35:$A$42,Доп.расчеты!$A143,'Как есть'!W$35:W$42)</f>
        <v>0</v>
      </c>
      <c r="W143">
        <f>SUMIF('Как есть'!$A$35:$A$42,Доп.расчеты!$A143,'Как есть'!X$35:X$42)</f>
        <v>0</v>
      </c>
      <c r="X143">
        <f>SUMIF('Как есть'!$A$35:$A$42,Доп.расчеты!$A143,'Как есть'!Y$35:Y$42)</f>
        <v>0</v>
      </c>
      <c r="Y143">
        <f>SUMIF('Как есть'!$A$35:$A$42,Доп.расчеты!$A143,'Как есть'!Z$35:Z$42)</f>
        <v>0</v>
      </c>
      <c r="Z143">
        <f>SUMIF('Как есть'!$A$35:$A$42,Доп.расчеты!$A143,'Как есть'!AA$35:AA$42)</f>
        <v>0</v>
      </c>
      <c r="AA143">
        <f>SUMIF('Как есть'!$A$35:$A$42,Доп.расчеты!$A143,'Как есть'!AB$35:AB$42)</f>
        <v>0</v>
      </c>
      <c r="AB143">
        <f>SUMIF('Как есть'!$A$35:$A$42,Доп.расчеты!$A143,'Как есть'!AC$35:AC$42)</f>
        <v>0</v>
      </c>
      <c r="AC143">
        <f>SUMIF('Как есть'!$A$35:$A$42,Доп.расчеты!$A143,'Как есть'!AD$35:AD$42)</f>
        <v>0</v>
      </c>
      <c r="AD143">
        <f>SUMIF('Как есть'!$A$35:$A$42,Доп.расчеты!$A143,'Как есть'!AE$35:AE$42)</f>
        <v>0</v>
      </c>
      <c r="AE143">
        <f>SUMIF('Как есть'!$A$35:$A$42,Доп.расчеты!$A143,'Как есть'!AF$35:AF$42)</f>
        <v>0</v>
      </c>
      <c r="AF143">
        <f>SUMIF('Как есть'!$A$35:$A$42,Доп.расчеты!$A143,'Как есть'!AG$35:AG$42)</f>
        <v>0</v>
      </c>
      <c r="AG143">
        <f>SUMIF('Как есть'!$A$35:$A$42,Доп.расчеты!$A143,'Как есть'!AH$35:AH$42)</f>
        <v>0</v>
      </c>
      <c r="AH143">
        <f>SUMIF('Как есть'!$A$35:$A$42,Доп.расчеты!$A143,'Как есть'!AI$35:AI$42)</f>
        <v>0</v>
      </c>
      <c r="AI143">
        <f>SUMIF('Как есть'!$A$35:$A$42,Доп.расчеты!$A143,'Как есть'!AJ$35:AJ$42)</f>
        <v>0</v>
      </c>
      <c r="AJ143">
        <f>SUMIF('Как есть'!$A$35:$A$42,Доп.расчеты!$A143,'Как есть'!AK$35:AK$42)</f>
        <v>0</v>
      </c>
      <c r="AK143">
        <f>SUMIF('Как есть'!$A$35:$A$42,Доп.расчеты!$A143,'Как есть'!AL$35:AL$42)</f>
        <v>0</v>
      </c>
      <c r="AL143">
        <f>SUMIF('Как есть'!$A$35:$A$42,Доп.расчеты!$A143,'Как есть'!AM$35:AM$42)</f>
        <v>0</v>
      </c>
      <c r="AM143">
        <f>SUMIF('Как есть'!$A$35:$A$42,Доп.расчеты!$A143,'Как есть'!AN$35:AN$42)</f>
        <v>0</v>
      </c>
      <c r="AN143">
        <f>SUMIF('Как есть'!$A$35:$A$42,Доп.расчеты!$A143,'Как есть'!AO$35:AO$42)</f>
        <v>0</v>
      </c>
      <c r="AO143">
        <f>SUMIF('Как есть'!$A$35:$A$42,Доп.расчеты!$A143,'Как есть'!AP$35:AP$42)</f>
        <v>0</v>
      </c>
      <c r="AP143">
        <f>SUMIF('Как есть'!$A$35:$A$42,Доп.расчеты!$A143,'Как есть'!AQ$35:AQ$42)</f>
        <v>0</v>
      </c>
      <c r="AQ143">
        <f>SUMIF('Как есть'!$A$35:$A$42,Доп.расчеты!$A143,'Как есть'!AR$35:AR$42)</f>
        <v>0</v>
      </c>
      <c r="AR143">
        <f>SUMIF('Как есть'!$A$35:$A$42,Доп.расчеты!$A143,'Как есть'!AS$35:AS$42)</f>
        <v>0</v>
      </c>
      <c r="AS143">
        <f>SUMIF('Как есть'!$A$35:$A$42,Доп.расчеты!$A143,'Как есть'!AT$35:AT$42)</f>
        <v>0</v>
      </c>
      <c r="AT143">
        <f>SUMIF('Как есть'!$A$35:$A$42,Доп.расчеты!$A143,'Как есть'!AU$35:AU$42)</f>
        <v>0</v>
      </c>
      <c r="AU143">
        <f>SUMIF('Как есть'!$A$35:$A$42,Доп.расчеты!$A143,'Как есть'!AV$35:AV$42)</f>
        <v>0</v>
      </c>
      <c r="AV143">
        <f>SUMIF('Как есть'!$A$35:$A$42,Доп.расчеты!$A143,'Как есть'!AW$35:AW$42)</f>
        <v>0</v>
      </c>
      <c r="AW143">
        <f>SUMIF('Как есть'!$A$35:$A$42,Доп.расчеты!$A143,'Как есть'!AX$35:AX$42)</f>
        <v>0</v>
      </c>
      <c r="AX143">
        <f>SUMIF('Как есть'!$A$35:$A$42,Доп.расчеты!$A143,'Как есть'!AY$35:AY$42)</f>
        <v>0</v>
      </c>
      <c r="AY143">
        <f>SUMIF('Как есть'!$A$35:$A$42,Доп.расчеты!$A143,'Как есть'!AZ$35:AZ$42)</f>
        <v>0</v>
      </c>
      <c r="AZ143">
        <f>SUMIF('Как есть'!$A$35:$A$42,Доп.расчеты!$A143,'Как есть'!BA$35:BA$42)</f>
        <v>0</v>
      </c>
      <c r="BA143">
        <f>SUMIF('Как есть'!$A$35:$A$42,Доп.расчеты!$A143,'Как есть'!BB$35:BB$42)</f>
        <v>0</v>
      </c>
      <c r="BB143">
        <f>SUMIF('Как есть'!$A$35:$A$42,Доп.расчеты!$A143,'Как есть'!BC$35:BC$42)</f>
        <v>0</v>
      </c>
      <c r="BC143">
        <f>SUMIF('Как есть'!$A$35:$A$42,Доп.расчеты!$A143,'Как есть'!BD$35:BD$42)</f>
        <v>0</v>
      </c>
      <c r="BD143">
        <f>SUMIF('Как есть'!$A$35:$A$42,Доп.расчеты!$A143,'Как есть'!BE$35:BE$42)</f>
        <v>0</v>
      </c>
      <c r="BE143">
        <f>SUMIF('Как есть'!$A$35:$A$42,Доп.расчеты!$A143,'Как есть'!BF$35:BF$42)</f>
        <v>0</v>
      </c>
      <c r="BF143">
        <f>SUMIF('Как есть'!$A$35:$A$42,Доп.расчеты!$A143,'Как есть'!BG$35:BG$42)</f>
        <v>0</v>
      </c>
      <c r="BG143">
        <f>SUMIF('Как есть'!$A$35:$A$42,Доп.расчеты!$A143,'Как есть'!BH$35:BH$42)</f>
        <v>0</v>
      </c>
      <c r="BH143">
        <f>SUMIF('Как есть'!$A$35:$A$42,Доп.расчеты!$A143,'Как есть'!BI$35:BI$42)</f>
        <v>0</v>
      </c>
      <c r="BI143">
        <f>SUMIF('Как есть'!$A$35:$A$42,Доп.расчеты!$A143,'Как есть'!BJ$35:BJ$42)</f>
        <v>0</v>
      </c>
      <c r="BJ143">
        <f>SUMIF('Как есть'!$A$35:$A$42,Доп.расчеты!$A143,'Как есть'!BK$35:BK$42)</f>
        <v>0</v>
      </c>
      <c r="BK143">
        <f>SUMIF('Как есть'!$A$35:$A$42,Доп.расчеты!$A143,'Как есть'!BL$35:BL$42)</f>
        <v>0</v>
      </c>
      <c r="BL143">
        <f>SUMIF('Как есть'!$A$35:$A$42,Доп.расчеты!$A143,'Как есть'!BM$35:BM$42)</f>
        <v>0</v>
      </c>
      <c r="BM143">
        <f>SUMIF('Как есть'!$A$35:$A$42,Доп.расчеты!$A143,'Как есть'!BN$35:BN$42)</f>
        <v>0</v>
      </c>
      <c r="BN143">
        <f>SUMIF('Как есть'!$A$35:$A$42,Доп.расчеты!$A143,'Как есть'!BO$35:BO$42)</f>
        <v>0</v>
      </c>
      <c r="BO143">
        <f>SUMIF('Как есть'!$A$35:$A$42,Доп.расчеты!$A143,'Как есть'!BP$35:BP$42)</f>
        <v>0</v>
      </c>
      <c r="BP143">
        <f>SUMIF('Как есть'!$A$35:$A$42,Доп.расчеты!$A143,'Как есть'!BQ$35:BQ$42)</f>
        <v>0</v>
      </c>
      <c r="BQ143">
        <f>SUMIF('Как есть'!$A$35:$A$42,Доп.расчеты!$A143,'Как есть'!BR$35:BR$42)</f>
        <v>0</v>
      </c>
      <c r="BR143">
        <f>SUMIF('Как есть'!$A$35:$A$42,Доп.расчеты!$A143,'Как есть'!BS$35:BS$42)</f>
        <v>0</v>
      </c>
      <c r="BS143">
        <f>SUMIF('Как есть'!$A$35:$A$42,Доп.расчеты!$A143,'Как есть'!BT$35:BT$42)</f>
        <v>0</v>
      </c>
      <c r="BT143">
        <f>SUMIF('Как есть'!$A$35:$A$42,Доп.расчеты!$A143,'Как есть'!BU$35:BU$42)</f>
        <v>0</v>
      </c>
      <c r="BU143">
        <f>SUMIF('Как есть'!$A$35:$A$42,Доп.расчеты!$A143,'Как есть'!BV$35:BV$42)</f>
        <v>0</v>
      </c>
      <c r="BV143">
        <f>SUMIF('Как есть'!$A$35:$A$42,Доп.расчеты!$A143,'Как есть'!BW$35:BW$42)</f>
        <v>0</v>
      </c>
      <c r="BW143">
        <f>SUMIF('Как есть'!$A$35:$A$42,Доп.расчеты!$A143,'Как есть'!BX$35:BX$42)</f>
        <v>0</v>
      </c>
      <c r="BX143">
        <f>SUMIF('Как есть'!$A$35:$A$42,Доп.расчеты!$A143,'Как есть'!BY$35:BY$42)</f>
        <v>0</v>
      </c>
      <c r="BY143">
        <f>SUMIF('Как есть'!$A$35:$A$42,Доп.расчеты!$A143,'Как есть'!BZ$35:BZ$42)</f>
        <v>0</v>
      </c>
      <c r="BZ143">
        <f>SUMIF('Как есть'!$A$35:$A$42,Доп.расчеты!$A143,'Как есть'!CA$35:CA$42)</f>
        <v>0</v>
      </c>
      <c r="CA143">
        <f>SUMIF('Как есть'!$A$35:$A$42,Доп.расчеты!$A143,'Как есть'!CB$35:CB$42)</f>
        <v>0</v>
      </c>
      <c r="CB143">
        <f>SUMIF('Как есть'!$A$35:$A$42,Доп.расчеты!$A143,'Как есть'!CC$35:CC$42)</f>
        <v>0</v>
      </c>
      <c r="CC143">
        <f>SUMIF('Как есть'!$A$35:$A$42,Доп.расчеты!$A143,'Как есть'!CD$35:CD$42)</f>
        <v>0</v>
      </c>
      <c r="CD143">
        <f>SUMIF('Как есть'!$A$35:$A$42,Доп.расчеты!$A143,'Как есть'!CE$35:CE$42)</f>
        <v>0</v>
      </c>
      <c r="CE143">
        <f>SUMIF('Как есть'!$A$35:$A$42,Доп.расчеты!$A143,'Как есть'!CF$35:CF$42)</f>
        <v>0</v>
      </c>
      <c r="CF143">
        <f>SUMIF('Как есть'!$A$35:$A$42,Доп.расчеты!$A143,'Как есть'!CG$35:CG$42)</f>
        <v>0</v>
      </c>
      <c r="CG143">
        <f>SUMIF('Как есть'!$A$35:$A$42,Доп.расчеты!$A143,'Как есть'!CH$35:CH$42)</f>
        <v>0</v>
      </c>
      <c r="CH143">
        <f>SUMIF('Как есть'!$A$35:$A$42,Доп.расчеты!$A143,'Как есть'!CI$35:CI$42)</f>
        <v>0</v>
      </c>
      <c r="CI143">
        <f>SUMIF('Как есть'!$A$35:$A$42,Доп.расчеты!$A143,'Как есть'!CJ$35:CJ$42)</f>
        <v>0</v>
      </c>
      <c r="CJ143">
        <f>SUMIF('Как есть'!$A$35:$A$42,Доп.расчеты!$A143,'Как есть'!CK$35:CK$42)</f>
        <v>0</v>
      </c>
      <c r="CK143">
        <f>SUMIF('Как есть'!$A$35:$A$42,Доп.расчеты!$A143,'Как есть'!CL$35:CL$42)</f>
        <v>0</v>
      </c>
      <c r="CL143">
        <f>SUMIF('Как есть'!$A$35:$A$42,Доп.расчеты!$A143,'Как есть'!CM$35:CM$42)</f>
        <v>0</v>
      </c>
      <c r="CM143">
        <f>SUMIF('Как есть'!$A$35:$A$42,Доп.расчеты!$A143,'Как есть'!CN$35:CN$42)</f>
        <v>0</v>
      </c>
      <c r="CN143">
        <f>SUMIF('Как есть'!$A$35:$A$42,Доп.расчеты!$A143,'Как есть'!CO$35:CO$42)</f>
        <v>0</v>
      </c>
      <c r="CO143">
        <f>SUMIF('Как есть'!$A$35:$A$42,Доп.расчеты!$A143,'Как есть'!CP$35:CP$42)</f>
        <v>0</v>
      </c>
      <c r="CP143">
        <f>SUMIF('Как есть'!$A$35:$A$42,Доп.расчеты!$A143,'Как есть'!CQ$35:CQ$42)</f>
        <v>0</v>
      </c>
      <c r="CQ143">
        <f>SUMIF('Как есть'!$A$35:$A$42,Доп.расчеты!$A143,'Как есть'!CR$35:CR$42)</f>
        <v>0</v>
      </c>
      <c r="CR143">
        <f>SUMIF('Как есть'!$A$35:$A$42,Доп.расчеты!$A143,'Как есть'!CS$35:CS$42)</f>
        <v>0</v>
      </c>
      <c r="CS143">
        <f>SUMIF('Как есть'!$A$35:$A$42,Доп.расчеты!$A143,'Как есть'!CT$35:CT$42)</f>
        <v>0</v>
      </c>
      <c r="CT143">
        <f>SUMIF('Как есть'!$A$35:$A$42,Доп.расчеты!$A143,'Как есть'!CU$35:CU$42)</f>
        <v>0</v>
      </c>
      <c r="CU143">
        <f>SUMIF('Как есть'!$A$35:$A$42,Доп.расчеты!$A143,'Как есть'!CV$35:CV$42)</f>
        <v>0</v>
      </c>
      <c r="CV143">
        <f>SUMIF('Как есть'!$A$35:$A$42,Доп.расчеты!$A143,'Как есть'!CW$35:CW$42)</f>
        <v>0</v>
      </c>
      <c r="CW143">
        <f>SUMIF('Как есть'!$A$35:$A$42,Доп.расчеты!$A143,'Как есть'!CX$35:CX$42)</f>
        <v>0</v>
      </c>
      <c r="CX143">
        <f>SUMIF('Как есть'!$A$35:$A$42,Доп.расчеты!$A143,'Как есть'!CY$35:CY$42)</f>
        <v>0</v>
      </c>
      <c r="CY143">
        <f>SUMIF('Как есть'!$A$35:$A$42,Доп.расчеты!$A143,'Как есть'!CZ$35:CZ$42)</f>
        <v>0</v>
      </c>
      <c r="CZ143">
        <f>SUMIF('Как есть'!$A$35:$A$42,Доп.расчеты!$A143,'Как есть'!DA$35:DA$42)</f>
        <v>0</v>
      </c>
      <c r="DA143">
        <f>SUMIF('Как есть'!$A$35:$A$42,Доп.расчеты!$A143,'Как есть'!DB$35:DB$42)</f>
        <v>0</v>
      </c>
      <c r="DB143">
        <f>SUMIF('Как есть'!$A$35:$A$42,Доп.расчеты!$A143,'Как есть'!DC$35:DC$42)</f>
        <v>0</v>
      </c>
      <c r="DC143">
        <f>SUMIF('Как есть'!$A$35:$A$42,Доп.расчеты!$A143,'Как есть'!DD$35:DD$42)</f>
        <v>0</v>
      </c>
      <c r="DD143">
        <f>SUMIF('Как есть'!$A$35:$A$42,Доп.расчеты!$A143,'Как есть'!DE$35:DE$42)</f>
        <v>0</v>
      </c>
      <c r="DE143">
        <f>SUMIF('Как есть'!$A$35:$A$42,Доп.расчеты!$A143,'Как есть'!DF$35:DF$42)</f>
        <v>0</v>
      </c>
      <c r="DF143">
        <f>SUMIF('Как есть'!$A$35:$A$42,Доп.расчеты!$A143,'Как есть'!DG$35:DG$42)</f>
        <v>0</v>
      </c>
      <c r="DG143">
        <f>SUMIF('Как есть'!$A$35:$A$42,Доп.расчеты!$A143,'Как есть'!DH$35:DH$42)</f>
        <v>0</v>
      </c>
      <c r="DH143">
        <f>SUMIF('Как есть'!$A$35:$A$42,Доп.расчеты!$A143,'Как есть'!DI$35:DI$42)</f>
        <v>0</v>
      </c>
      <c r="DI143">
        <f>SUMIF('Как есть'!$A$35:$A$42,Доп.расчеты!$A143,'Как есть'!DJ$35:DJ$42)</f>
        <v>0</v>
      </c>
      <c r="DJ143">
        <f>SUMIF('Как есть'!$A$35:$A$42,Доп.расчеты!$A143,'Как есть'!DK$35:DK$42)</f>
        <v>0</v>
      </c>
      <c r="DK143">
        <f>SUMIF('Как есть'!$A$35:$A$42,Доп.расчеты!$A143,'Как есть'!DL$35:DL$42)</f>
        <v>0</v>
      </c>
      <c r="DL143">
        <f>SUMIF('Как есть'!$A$35:$A$42,Доп.расчеты!$A143,'Как есть'!DM$35:DM$42)</f>
        <v>0</v>
      </c>
      <c r="DM143">
        <f>SUMIF('Как есть'!$A$35:$A$42,Доп.расчеты!$A143,'Как есть'!DN$35:DN$42)</f>
        <v>0</v>
      </c>
      <c r="DN143">
        <f>SUMIF('Как есть'!$A$35:$A$42,Доп.расчеты!$A143,'Как есть'!DO$35:DO$42)</f>
        <v>0</v>
      </c>
      <c r="DO143">
        <f>SUMIF('Как есть'!$A$35:$A$42,Доп.расчеты!$A143,'Как есть'!DP$35:DP$42)</f>
        <v>0</v>
      </c>
      <c r="DP143">
        <f>SUMIF('Как есть'!$A$35:$A$42,Доп.расчеты!$A143,'Как есть'!DQ$35:DQ$42)</f>
        <v>0</v>
      </c>
      <c r="DQ143">
        <f>SUMIF('Как есть'!$A$35:$A$42,Доп.расчеты!$A143,'Как есть'!DR$35:DR$42)</f>
        <v>0</v>
      </c>
      <c r="DR143">
        <f>SUMIF('Как есть'!$A$35:$A$42,Доп.расчеты!$A143,'Как есть'!DS$35:DS$42)</f>
        <v>0</v>
      </c>
      <c r="DS143">
        <f>SUMIF('Как есть'!$A$35:$A$42,Доп.расчеты!$A143,'Как есть'!DT$35:DT$42)</f>
        <v>0</v>
      </c>
      <c r="DT143">
        <f>SUMIF('Как есть'!$A$35:$A$42,Доп.расчеты!$A143,'Как есть'!DU$35:DU$42)</f>
        <v>0</v>
      </c>
      <c r="DU143">
        <f>SUMIF('Как есть'!$A$35:$A$42,Доп.расчеты!$A143,'Как есть'!DV$35:DV$42)</f>
        <v>0</v>
      </c>
      <c r="DV143">
        <f>SUMIF('Как есть'!$A$35:$A$42,Доп.расчеты!$A143,'Как есть'!DW$35:DW$42)</f>
        <v>0</v>
      </c>
      <c r="DW143">
        <f>SUMIF('Как есть'!$A$35:$A$42,Доп.расчеты!$A143,'Как есть'!DX$35:DX$42)</f>
        <v>0</v>
      </c>
      <c r="DX143">
        <f>SUMIF('Как есть'!$A$35:$A$42,Доп.расчеты!$A143,'Как есть'!DY$35:DY$42)</f>
        <v>0</v>
      </c>
      <c r="DY143">
        <f>SUMIF('Как есть'!$A$35:$A$42,Доп.расчеты!$A143,'Как есть'!DZ$35:DZ$42)</f>
        <v>0</v>
      </c>
      <c r="DZ143">
        <f>SUMIF('Как есть'!$A$35:$A$42,Доп.расчеты!$A143,'Как есть'!EA$35:EA$42)</f>
        <v>0</v>
      </c>
      <c r="EA143">
        <f>SUMIF('Как есть'!$A$35:$A$42,Доп.расчеты!$A143,'Как есть'!EB$35:EB$42)</f>
        <v>0</v>
      </c>
      <c r="EB143">
        <f>SUMIF('Как есть'!$A$35:$A$42,Доп.расчеты!$A143,'Как есть'!EC$35:EC$42)</f>
        <v>0</v>
      </c>
      <c r="EC143">
        <f>SUMIF('Как есть'!$A$35:$A$42,Доп.расчеты!$A143,'Как есть'!ED$35:ED$42)</f>
        <v>0</v>
      </c>
      <c r="ED143">
        <f>SUMIF('Как есть'!$A$35:$A$42,Доп.расчеты!$A143,'Как есть'!EE$35:EE$42)</f>
        <v>0</v>
      </c>
      <c r="EE143">
        <f>SUMIF('Как есть'!$A$35:$A$42,Доп.расчеты!$A143,'Как есть'!EF$35:EF$42)</f>
        <v>0</v>
      </c>
      <c r="EF143">
        <f>SUMIF('Как есть'!$A$35:$A$42,Доп.расчеты!$A143,'Как есть'!EG$35:EG$42)</f>
        <v>0</v>
      </c>
      <c r="EG143">
        <f>SUMIF('Как есть'!$A$35:$A$42,Доп.расчеты!$A143,'Как есть'!EH$35:EH$42)</f>
        <v>0</v>
      </c>
      <c r="EH143">
        <f>SUMIF('Как есть'!$A$35:$A$42,Доп.расчеты!$A143,'Как есть'!EI$35:EI$42)</f>
        <v>0</v>
      </c>
      <c r="EI143">
        <f>SUMIF('Как есть'!$A$35:$A$42,Доп.расчеты!$A143,'Как есть'!EJ$35:EJ$42)</f>
        <v>0</v>
      </c>
      <c r="EJ143">
        <f>SUMIF('Как есть'!$A$35:$A$42,Доп.расчеты!$A143,'Как есть'!EK$35:EK$42)</f>
        <v>0</v>
      </c>
      <c r="EK143">
        <f>SUMIF('Как есть'!$A$35:$A$42,Доп.расчеты!$A143,'Как есть'!EL$35:EL$42)</f>
        <v>0</v>
      </c>
      <c r="EL143">
        <f>SUMIF('Как есть'!$A$35:$A$42,Доп.расчеты!$A143,'Как есть'!EM$35:EM$42)</f>
        <v>0</v>
      </c>
      <c r="EM143">
        <f>SUMIF('Как есть'!$A$35:$A$42,Доп.расчеты!$A143,'Как есть'!EN$35:EN$42)</f>
        <v>0</v>
      </c>
      <c r="EN143">
        <f>SUMIF('Как есть'!$A$35:$A$42,Доп.расчеты!$A143,'Как есть'!EO$35:EO$42)</f>
        <v>0</v>
      </c>
      <c r="EO143">
        <f>SUMIF('Как есть'!$A$35:$A$42,Доп.расчеты!$A143,'Как есть'!EP$35:EP$42)</f>
        <v>0</v>
      </c>
      <c r="EP143">
        <f>SUMIF('Как есть'!$A$35:$A$42,Доп.расчеты!$A143,'Как есть'!EQ$35:EQ$42)</f>
        <v>0</v>
      </c>
      <c r="EQ143">
        <f>SUMIF('Как есть'!$A$35:$A$42,Доп.расчеты!$A143,'Как есть'!ER$35:ER$42)</f>
        <v>0</v>
      </c>
      <c r="ER143">
        <f>SUMIF('Как есть'!$A$35:$A$42,Доп.расчеты!$A143,'Как есть'!ES$35:ES$42)</f>
        <v>0</v>
      </c>
      <c r="ES143">
        <f>SUMIF('Как есть'!$A$35:$A$42,Доп.расчеты!$A143,'Как есть'!ET$35:ET$42)</f>
        <v>0</v>
      </c>
      <c r="ET143">
        <f>SUMIF('Как есть'!$A$35:$A$42,Доп.расчеты!$A143,'Как есть'!EU$35:EU$42)</f>
        <v>0</v>
      </c>
      <c r="EU143">
        <f>SUMIF('Как есть'!$A$35:$A$42,Доп.расчеты!$A143,'Как есть'!EV$35:EV$42)</f>
        <v>0</v>
      </c>
      <c r="EV143">
        <f>SUMIF('Как есть'!$A$35:$A$42,Доп.расчеты!$A143,'Как есть'!EW$35:EW$42)</f>
        <v>0</v>
      </c>
      <c r="EW143">
        <f>SUMIF('Как есть'!$A$35:$A$42,Доп.расчеты!$A143,'Как есть'!EX$35:EX$42)</f>
        <v>0</v>
      </c>
      <c r="EX143">
        <f>SUMIF('Как есть'!$A$35:$A$42,Доп.расчеты!$A143,'Как есть'!EY$35:EY$42)</f>
        <v>0</v>
      </c>
      <c r="EY143">
        <f>SUMIF('Как есть'!$A$35:$A$42,Доп.расчеты!$A143,'Как есть'!EZ$35:EZ$42)</f>
        <v>0</v>
      </c>
      <c r="EZ143">
        <f>SUMIF('Как есть'!$A$35:$A$42,Доп.расчеты!$A143,'Как есть'!FA$35:FA$42)</f>
        <v>0</v>
      </c>
      <c r="FA143">
        <f>SUMIF('Как есть'!$A$35:$A$42,Доп.расчеты!$A143,'Как есть'!FB$35:FB$42)</f>
        <v>0</v>
      </c>
      <c r="FB143">
        <f>SUMIF('Как есть'!$A$35:$A$42,Доп.расчеты!$A143,'Как есть'!FC$35:FC$42)</f>
        <v>0</v>
      </c>
      <c r="FC143">
        <f>SUMIF('Как есть'!$A$35:$A$42,Доп.расчеты!$A143,'Как есть'!FD$35:FD$42)</f>
        <v>0</v>
      </c>
      <c r="FD143">
        <f>SUMIF('Как есть'!$A$35:$A$42,Доп.расчеты!$A143,'Как есть'!FE$35:FE$42)</f>
        <v>0</v>
      </c>
      <c r="FE143">
        <f>SUMIF('Как есть'!$A$35:$A$42,Доп.расчеты!$A143,'Как есть'!FF$35:FF$42)</f>
        <v>0</v>
      </c>
      <c r="FF143">
        <f>SUMIF('Как есть'!$A$35:$A$42,Доп.расчеты!$A143,'Как есть'!FG$35:FG$42)</f>
        <v>0</v>
      </c>
      <c r="FG143">
        <f>SUMIF('Как есть'!$A$35:$A$42,Доп.расчеты!$A143,'Как есть'!FH$35:FH$42)</f>
        <v>0</v>
      </c>
      <c r="FH143">
        <f>SUMIF('Как есть'!$A$35:$A$42,Доп.расчеты!$A143,'Как есть'!FI$35:FI$42)</f>
        <v>0</v>
      </c>
      <c r="FI143">
        <f>SUMIF('Как есть'!$A$35:$A$42,Доп.расчеты!$A143,'Как есть'!FJ$35:FJ$42)</f>
        <v>0</v>
      </c>
      <c r="FJ143">
        <f>SUMIF('Как есть'!$A$35:$A$42,Доп.расчеты!$A143,'Как есть'!FK$35:FK$42)</f>
        <v>0</v>
      </c>
      <c r="FK143">
        <f>SUMIF('Как есть'!$A$35:$A$42,Доп.расчеты!$A143,'Как есть'!FL$35:FL$42)</f>
        <v>0</v>
      </c>
      <c r="FL143">
        <f>SUMIF('Как есть'!$A$35:$A$42,Доп.расчеты!$A143,'Как есть'!FM$35:FM$42)</f>
        <v>0</v>
      </c>
      <c r="FM143">
        <f>SUMIF('Как есть'!$A$35:$A$42,Доп.расчеты!$A143,'Как есть'!FN$35:FN$42)</f>
        <v>0</v>
      </c>
      <c r="FN143">
        <f>SUMIF('Как есть'!$A$35:$A$42,Доп.расчеты!$A143,'Как есть'!FO$35:FO$42)</f>
        <v>0</v>
      </c>
      <c r="FO143">
        <f>SUMIF('Как есть'!$A$35:$A$42,Доп.расчеты!$A143,'Как есть'!FP$35:FP$42)</f>
        <v>0</v>
      </c>
      <c r="FP143">
        <f>SUMIF('Как есть'!$A$35:$A$42,Доп.расчеты!$A143,'Как есть'!FQ$35:FQ$42)</f>
        <v>0</v>
      </c>
      <c r="FQ143">
        <f>SUMIF('Как есть'!$A$35:$A$42,Доп.расчеты!$A143,'Как есть'!FR$35:FR$42)</f>
        <v>0</v>
      </c>
      <c r="FR143">
        <f>SUMIF('Как есть'!$A$35:$A$42,Доп.расчеты!$A143,'Как есть'!FS$35:FS$42)</f>
        <v>0</v>
      </c>
      <c r="FS143">
        <f>SUMIF('Как есть'!$A$35:$A$42,Доп.расчеты!$A143,'Как есть'!FT$35:FT$42)</f>
        <v>0</v>
      </c>
      <c r="FT143">
        <f>SUMIF('Как есть'!$A$35:$A$42,Доп.расчеты!$A143,'Как есть'!FU$35:FU$42)</f>
        <v>0</v>
      </c>
      <c r="FU143">
        <f>SUMIF('Как есть'!$A$35:$A$42,Доп.расчеты!$A143,'Как есть'!FV$35:FV$42)</f>
        <v>0</v>
      </c>
      <c r="FV143">
        <f>SUMIF('Как есть'!$A$35:$A$42,Доп.расчеты!$A143,'Как есть'!FW$35:FW$42)</f>
        <v>0</v>
      </c>
      <c r="FW143">
        <f>SUMIF('Как есть'!$A$35:$A$42,Доп.расчеты!$A143,'Как есть'!FX$35:FX$42)</f>
        <v>0</v>
      </c>
      <c r="FX143">
        <f>SUMIF('Как есть'!$A$35:$A$42,Доп.расчеты!$A143,'Как есть'!FY$35:FY$42)</f>
        <v>0</v>
      </c>
      <c r="FY143">
        <f>SUMIF('Как есть'!$A$35:$A$42,Доп.расчеты!$A143,'Как есть'!FZ$35:FZ$42)</f>
        <v>0</v>
      </c>
      <c r="FZ143">
        <f>SUMIF('Как есть'!$A$35:$A$42,Доп.расчеты!$A143,'Как есть'!GA$35:GA$42)</f>
        <v>0</v>
      </c>
      <c r="GA143">
        <f>SUMIF('Как есть'!$A$35:$A$42,Доп.расчеты!$A143,'Как есть'!GB$35:GB$42)</f>
        <v>0</v>
      </c>
      <c r="GB143">
        <f>SUMIF('Как есть'!$A$35:$A$42,Доп.расчеты!$A143,'Как есть'!GC$35:GC$42)</f>
        <v>0</v>
      </c>
      <c r="GC143">
        <f>SUMIF('Как есть'!$A$35:$A$42,Доп.расчеты!$A143,'Как есть'!GD$35:GD$42)</f>
        <v>0</v>
      </c>
      <c r="GD143">
        <f>SUMIF('Как есть'!$A$35:$A$42,Доп.расчеты!$A143,'Как есть'!GE$35:GE$42)</f>
        <v>0</v>
      </c>
      <c r="GE143">
        <f>SUMIF('Как есть'!$A$35:$A$42,Доп.расчеты!$A143,'Как есть'!GF$35:GF$42)</f>
        <v>0</v>
      </c>
      <c r="GF143">
        <f>SUMIF('Как есть'!$A$35:$A$42,Доп.расчеты!$A143,'Как есть'!GG$35:GG$42)</f>
        <v>0</v>
      </c>
      <c r="GG143">
        <f>SUMIF('Как есть'!$A$35:$A$42,Доп.расчеты!$A143,'Как есть'!GH$35:GH$42)</f>
        <v>0</v>
      </c>
      <c r="GH143">
        <f>SUMIF('Как есть'!$A$35:$A$42,Доп.расчеты!$A143,'Как есть'!GI$35:GI$42)</f>
        <v>0</v>
      </c>
      <c r="GI143">
        <f>SUMIF('Как есть'!$A$35:$A$42,Доп.расчеты!$A143,'Как есть'!GJ$35:GJ$42)</f>
        <v>0</v>
      </c>
      <c r="GJ143">
        <f>SUMIF('Как есть'!$A$35:$A$42,Доп.расчеты!$A143,'Как есть'!GK$35:GK$42)</f>
        <v>0</v>
      </c>
      <c r="GK143">
        <f>SUMIF('Как есть'!$A$35:$A$42,Доп.расчеты!$A143,'Как есть'!GL$35:GL$42)</f>
        <v>0</v>
      </c>
      <c r="GL143">
        <f>SUMIF('Как есть'!$A$35:$A$42,Доп.расчеты!$A143,'Как есть'!GM$35:GM$42)</f>
        <v>0</v>
      </c>
      <c r="GM143">
        <f>SUMIF('Как есть'!$A$35:$A$42,Доп.расчеты!$A143,'Как есть'!GN$35:GN$42)</f>
        <v>0</v>
      </c>
      <c r="GN143">
        <f>SUMIF('Как есть'!$A$35:$A$42,Доп.расчеты!$A143,'Как есть'!GO$35:GO$42)</f>
        <v>0</v>
      </c>
      <c r="GO143">
        <f>SUMIF('Как есть'!$A$35:$A$42,Доп.расчеты!$A143,'Как есть'!GP$35:GP$42)</f>
        <v>0</v>
      </c>
      <c r="GP143">
        <f>SUMIF('Как есть'!$A$35:$A$42,Доп.расчеты!$A143,'Как есть'!GQ$35:GQ$42)</f>
        <v>0</v>
      </c>
      <c r="GQ143">
        <f>SUMIF('Как есть'!$A$35:$A$42,Доп.расчеты!$A143,'Как есть'!GR$35:GR$42)</f>
        <v>0</v>
      </c>
      <c r="GR143">
        <f>SUMIF('Как есть'!$A$35:$A$42,Доп.расчеты!$A143,'Как есть'!GS$35:GS$42)</f>
        <v>0</v>
      </c>
      <c r="GS143">
        <f>SUMIF('Как есть'!$A$35:$A$42,Доп.расчеты!$A143,'Как есть'!GT$35:GT$42)</f>
        <v>0</v>
      </c>
      <c r="GT143">
        <f>SUMIF('Как есть'!$A$35:$A$42,Доп.расчеты!$A143,'Как есть'!GU$35:GU$42)</f>
        <v>0</v>
      </c>
    </row>
    <row r="144" spans="1:202" hidden="1" outlineLevel="1">
      <c r="A144" s="238" t="s">
        <v>25</v>
      </c>
      <c r="B144">
        <f>SUMIF('Как есть'!$A$35:$A$42,Доп.расчеты!$A144,'Как есть'!C$35:C$42)</f>
        <v>0</v>
      </c>
      <c r="C144">
        <f>SUMIF('Как есть'!$A$35:$A$42,Доп.расчеты!$A144,'Как есть'!D$35:D$42)</f>
        <v>0</v>
      </c>
      <c r="D144">
        <f>SUMIF('Как есть'!$A$35:$A$42,Доп.расчеты!$A144,'Как есть'!E$35:E$42)</f>
        <v>0</v>
      </c>
      <c r="E144">
        <f>SUMIF('Как есть'!$A$35:$A$42,Доп.расчеты!$A144,'Как есть'!F$35:F$42)</f>
        <v>0</v>
      </c>
      <c r="F144">
        <f>SUMIF('Как есть'!$A$35:$A$42,Доп.расчеты!$A144,'Как есть'!G$35:G$42)</f>
        <v>0</v>
      </c>
      <c r="G144">
        <f>SUMIF('Как есть'!$A$35:$A$42,Доп.расчеты!$A144,'Как есть'!H$35:H$42)</f>
        <v>0</v>
      </c>
      <c r="H144">
        <f>SUMIF('Как есть'!$A$35:$A$42,Доп.расчеты!$A144,'Как есть'!I$35:I$42)</f>
        <v>0</v>
      </c>
      <c r="I144">
        <f>SUMIF('Как есть'!$A$35:$A$42,Доп.расчеты!$A144,'Как есть'!J$35:J$42)</f>
        <v>0</v>
      </c>
      <c r="J144">
        <f>SUMIF('Как есть'!$A$35:$A$42,Доп.расчеты!$A144,'Как есть'!K$35:K$42)</f>
        <v>0</v>
      </c>
      <c r="K144">
        <f>SUMIF('Как есть'!$A$35:$A$42,Доп.расчеты!$A144,'Как есть'!L$35:L$42)</f>
        <v>0</v>
      </c>
      <c r="L144">
        <f>SUMIF('Как есть'!$A$35:$A$42,Доп.расчеты!$A144,'Как есть'!M$35:M$42)</f>
        <v>0</v>
      </c>
      <c r="M144">
        <f>SUMIF('Как есть'!$A$35:$A$42,Доп.расчеты!$A144,'Как есть'!N$35:N$42)</f>
        <v>0</v>
      </c>
      <c r="N144">
        <f>SUMIF('Как есть'!$A$35:$A$42,Доп.расчеты!$A144,'Как есть'!O$35:O$42)</f>
        <v>0</v>
      </c>
      <c r="O144">
        <f>SUMIF('Как есть'!$A$35:$A$42,Доп.расчеты!$A144,'Как есть'!P$35:P$42)</f>
        <v>0</v>
      </c>
      <c r="P144">
        <f>SUMIF('Как есть'!$A$35:$A$42,Доп.расчеты!$A144,'Как есть'!Q$35:Q$42)</f>
        <v>0</v>
      </c>
      <c r="Q144">
        <f>SUMIF('Как есть'!$A$35:$A$42,Доп.расчеты!$A144,'Как есть'!R$35:R$42)</f>
        <v>0</v>
      </c>
      <c r="R144">
        <f>SUMIF('Как есть'!$A$35:$A$42,Доп.расчеты!$A144,'Как есть'!S$35:S$42)</f>
        <v>0</v>
      </c>
      <c r="S144">
        <f>SUMIF('Как есть'!$A$35:$A$42,Доп.расчеты!$A144,'Как есть'!T$35:T$42)</f>
        <v>0</v>
      </c>
      <c r="T144">
        <f>SUMIF('Как есть'!$A$35:$A$42,Доп.расчеты!$A144,'Как есть'!U$35:U$42)</f>
        <v>0</v>
      </c>
      <c r="U144">
        <f>SUMIF('Как есть'!$A$35:$A$42,Доп.расчеты!$A144,'Как есть'!V$35:V$42)</f>
        <v>0</v>
      </c>
      <c r="V144">
        <f>SUMIF('Как есть'!$A$35:$A$42,Доп.расчеты!$A144,'Как есть'!W$35:W$42)</f>
        <v>0</v>
      </c>
      <c r="W144">
        <f>SUMIF('Как есть'!$A$35:$A$42,Доп.расчеты!$A144,'Как есть'!X$35:X$42)</f>
        <v>0</v>
      </c>
      <c r="X144">
        <f>SUMIF('Как есть'!$A$35:$A$42,Доп.расчеты!$A144,'Как есть'!Y$35:Y$42)</f>
        <v>0</v>
      </c>
      <c r="Y144">
        <f>SUMIF('Как есть'!$A$35:$A$42,Доп.расчеты!$A144,'Как есть'!Z$35:Z$42)</f>
        <v>0</v>
      </c>
      <c r="Z144">
        <f>SUMIF('Как есть'!$A$35:$A$42,Доп.расчеты!$A144,'Как есть'!AA$35:AA$42)</f>
        <v>0</v>
      </c>
      <c r="AA144">
        <f>SUMIF('Как есть'!$A$35:$A$42,Доп.расчеты!$A144,'Как есть'!AB$35:AB$42)</f>
        <v>0</v>
      </c>
      <c r="AB144">
        <f>SUMIF('Как есть'!$A$35:$A$42,Доп.расчеты!$A144,'Как есть'!AC$35:AC$42)</f>
        <v>0</v>
      </c>
      <c r="AC144">
        <f>SUMIF('Как есть'!$A$35:$A$42,Доп.расчеты!$A144,'Как есть'!AD$35:AD$42)</f>
        <v>0</v>
      </c>
      <c r="AD144">
        <f>SUMIF('Как есть'!$A$35:$A$42,Доп.расчеты!$A144,'Как есть'!AE$35:AE$42)</f>
        <v>0</v>
      </c>
      <c r="AE144">
        <f>SUMIF('Как есть'!$A$35:$A$42,Доп.расчеты!$A144,'Как есть'!AF$35:AF$42)</f>
        <v>0</v>
      </c>
      <c r="AF144">
        <f>SUMIF('Как есть'!$A$35:$A$42,Доп.расчеты!$A144,'Как есть'!AG$35:AG$42)</f>
        <v>0</v>
      </c>
      <c r="AG144">
        <f>SUMIF('Как есть'!$A$35:$A$42,Доп.расчеты!$A144,'Как есть'!AH$35:AH$42)</f>
        <v>0</v>
      </c>
      <c r="AH144">
        <f>SUMIF('Как есть'!$A$35:$A$42,Доп.расчеты!$A144,'Как есть'!AI$35:AI$42)</f>
        <v>0</v>
      </c>
      <c r="AI144">
        <f>SUMIF('Как есть'!$A$35:$A$42,Доп.расчеты!$A144,'Как есть'!AJ$35:AJ$42)</f>
        <v>0</v>
      </c>
      <c r="AJ144">
        <f>SUMIF('Как есть'!$A$35:$A$42,Доп.расчеты!$A144,'Как есть'!AK$35:AK$42)</f>
        <v>0</v>
      </c>
      <c r="AK144">
        <f>SUMIF('Как есть'!$A$35:$A$42,Доп.расчеты!$A144,'Как есть'!AL$35:AL$42)</f>
        <v>0</v>
      </c>
      <c r="AL144">
        <f>SUMIF('Как есть'!$A$35:$A$42,Доп.расчеты!$A144,'Как есть'!AM$35:AM$42)</f>
        <v>0</v>
      </c>
      <c r="AM144">
        <f>SUMIF('Как есть'!$A$35:$A$42,Доп.расчеты!$A144,'Как есть'!AN$35:AN$42)</f>
        <v>0</v>
      </c>
      <c r="AN144">
        <f>SUMIF('Как есть'!$A$35:$A$42,Доп.расчеты!$A144,'Как есть'!AO$35:AO$42)</f>
        <v>0</v>
      </c>
      <c r="AO144">
        <f>SUMIF('Как есть'!$A$35:$A$42,Доп.расчеты!$A144,'Как есть'!AP$35:AP$42)</f>
        <v>0</v>
      </c>
      <c r="AP144">
        <f>SUMIF('Как есть'!$A$35:$A$42,Доп.расчеты!$A144,'Как есть'!AQ$35:AQ$42)</f>
        <v>0</v>
      </c>
      <c r="AQ144">
        <f>SUMIF('Как есть'!$A$35:$A$42,Доп.расчеты!$A144,'Как есть'!AR$35:AR$42)</f>
        <v>0</v>
      </c>
      <c r="AR144">
        <f>SUMIF('Как есть'!$A$35:$A$42,Доп.расчеты!$A144,'Как есть'!AS$35:AS$42)</f>
        <v>0</v>
      </c>
      <c r="AS144">
        <f>SUMIF('Как есть'!$A$35:$A$42,Доп.расчеты!$A144,'Как есть'!AT$35:AT$42)</f>
        <v>0</v>
      </c>
      <c r="AT144">
        <f>SUMIF('Как есть'!$A$35:$A$42,Доп.расчеты!$A144,'Как есть'!AU$35:AU$42)</f>
        <v>0</v>
      </c>
      <c r="AU144">
        <f>SUMIF('Как есть'!$A$35:$A$42,Доп.расчеты!$A144,'Как есть'!AV$35:AV$42)</f>
        <v>0</v>
      </c>
      <c r="AV144">
        <f>SUMIF('Как есть'!$A$35:$A$42,Доп.расчеты!$A144,'Как есть'!AW$35:AW$42)</f>
        <v>0</v>
      </c>
      <c r="AW144">
        <f>SUMIF('Как есть'!$A$35:$A$42,Доп.расчеты!$A144,'Как есть'!AX$35:AX$42)</f>
        <v>0</v>
      </c>
      <c r="AX144">
        <f>SUMIF('Как есть'!$A$35:$A$42,Доп.расчеты!$A144,'Как есть'!AY$35:AY$42)</f>
        <v>0</v>
      </c>
      <c r="AY144">
        <f>SUMIF('Как есть'!$A$35:$A$42,Доп.расчеты!$A144,'Как есть'!AZ$35:AZ$42)</f>
        <v>0</v>
      </c>
      <c r="AZ144">
        <f>SUMIF('Как есть'!$A$35:$A$42,Доп.расчеты!$A144,'Как есть'!BA$35:BA$42)</f>
        <v>0</v>
      </c>
      <c r="BA144">
        <f>SUMIF('Как есть'!$A$35:$A$42,Доп.расчеты!$A144,'Как есть'!BB$35:BB$42)</f>
        <v>0</v>
      </c>
      <c r="BB144">
        <f>SUMIF('Как есть'!$A$35:$A$42,Доп.расчеты!$A144,'Как есть'!BC$35:BC$42)</f>
        <v>0</v>
      </c>
      <c r="BC144">
        <f>SUMIF('Как есть'!$A$35:$A$42,Доп.расчеты!$A144,'Как есть'!BD$35:BD$42)</f>
        <v>0</v>
      </c>
      <c r="BD144">
        <f>SUMIF('Как есть'!$A$35:$A$42,Доп.расчеты!$A144,'Как есть'!BE$35:BE$42)</f>
        <v>0</v>
      </c>
      <c r="BE144">
        <f>SUMIF('Как есть'!$A$35:$A$42,Доп.расчеты!$A144,'Как есть'!BF$35:BF$42)</f>
        <v>0</v>
      </c>
      <c r="BF144">
        <f>SUMIF('Как есть'!$A$35:$A$42,Доп.расчеты!$A144,'Как есть'!BG$35:BG$42)</f>
        <v>0</v>
      </c>
      <c r="BG144">
        <f>SUMIF('Как есть'!$A$35:$A$42,Доп.расчеты!$A144,'Как есть'!BH$35:BH$42)</f>
        <v>0</v>
      </c>
      <c r="BH144">
        <f>SUMIF('Как есть'!$A$35:$A$42,Доп.расчеты!$A144,'Как есть'!BI$35:BI$42)</f>
        <v>0</v>
      </c>
      <c r="BI144">
        <f>SUMIF('Как есть'!$A$35:$A$42,Доп.расчеты!$A144,'Как есть'!BJ$35:BJ$42)</f>
        <v>0</v>
      </c>
      <c r="BJ144">
        <f>SUMIF('Как есть'!$A$35:$A$42,Доп.расчеты!$A144,'Как есть'!BK$35:BK$42)</f>
        <v>0</v>
      </c>
      <c r="BK144">
        <f>SUMIF('Как есть'!$A$35:$A$42,Доп.расчеты!$A144,'Как есть'!BL$35:BL$42)</f>
        <v>0</v>
      </c>
      <c r="BL144">
        <f>SUMIF('Как есть'!$A$35:$A$42,Доп.расчеты!$A144,'Как есть'!BM$35:BM$42)</f>
        <v>0</v>
      </c>
      <c r="BM144">
        <f>SUMIF('Как есть'!$A$35:$A$42,Доп.расчеты!$A144,'Как есть'!BN$35:BN$42)</f>
        <v>0</v>
      </c>
      <c r="BN144">
        <f>SUMIF('Как есть'!$A$35:$A$42,Доп.расчеты!$A144,'Как есть'!BO$35:BO$42)</f>
        <v>0</v>
      </c>
      <c r="BO144">
        <f>SUMIF('Как есть'!$A$35:$A$42,Доп.расчеты!$A144,'Как есть'!BP$35:BP$42)</f>
        <v>0</v>
      </c>
      <c r="BP144">
        <f>SUMIF('Как есть'!$A$35:$A$42,Доп.расчеты!$A144,'Как есть'!BQ$35:BQ$42)</f>
        <v>0</v>
      </c>
      <c r="BQ144">
        <f>SUMIF('Как есть'!$A$35:$A$42,Доп.расчеты!$A144,'Как есть'!BR$35:BR$42)</f>
        <v>0</v>
      </c>
      <c r="BR144">
        <f>SUMIF('Как есть'!$A$35:$A$42,Доп.расчеты!$A144,'Как есть'!BS$35:BS$42)</f>
        <v>0</v>
      </c>
      <c r="BS144">
        <f>SUMIF('Как есть'!$A$35:$A$42,Доп.расчеты!$A144,'Как есть'!BT$35:BT$42)</f>
        <v>0</v>
      </c>
      <c r="BT144">
        <f>SUMIF('Как есть'!$A$35:$A$42,Доп.расчеты!$A144,'Как есть'!BU$35:BU$42)</f>
        <v>0</v>
      </c>
      <c r="BU144">
        <f>SUMIF('Как есть'!$A$35:$A$42,Доп.расчеты!$A144,'Как есть'!BV$35:BV$42)</f>
        <v>0</v>
      </c>
      <c r="BV144">
        <f>SUMIF('Как есть'!$A$35:$A$42,Доп.расчеты!$A144,'Как есть'!BW$35:BW$42)</f>
        <v>0</v>
      </c>
      <c r="BW144">
        <f>SUMIF('Как есть'!$A$35:$A$42,Доп.расчеты!$A144,'Как есть'!BX$35:BX$42)</f>
        <v>0</v>
      </c>
      <c r="BX144">
        <f>SUMIF('Как есть'!$A$35:$A$42,Доп.расчеты!$A144,'Как есть'!BY$35:BY$42)</f>
        <v>0</v>
      </c>
      <c r="BY144">
        <f>SUMIF('Как есть'!$A$35:$A$42,Доп.расчеты!$A144,'Как есть'!BZ$35:BZ$42)</f>
        <v>0</v>
      </c>
      <c r="BZ144">
        <f>SUMIF('Как есть'!$A$35:$A$42,Доп.расчеты!$A144,'Как есть'!CA$35:CA$42)</f>
        <v>0</v>
      </c>
      <c r="CA144">
        <f>SUMIF('Как есть'!$A$35:$A$42,Доп.расчеты!$A144,'Как есть'!CB$35:CB$42)</f>
        <v>0</v>
      </c>
      <c r="CB144">
        <f>SUMIF('Как есть'!$A$35:$A$42,Доп.расчеты!$A144,'Как есть'!CC$35:CC$42)</f>
        <v>0</v>
      </c>
      <c r="CC144">
        <f>SUMIF('Как есть'!$A$35:$A$42,Доп.расчеты!$A144,'Как есть'!CD$35:CD$42)</f>
        <v>0</v>
      </c>
      <c r="CD144">
        <f>SUMIF('Как есть'!$A$35:$A$42,Доп.расчеты!$A144,'Как есть'!CE$35:CE$42)</f>
        <v>0</v>
      </c>
      <c r="CE144">
        <f>SUMIF('Как есть'!$A$35:$A$42,Доп.расчеты!$A144,'Как есть'!CF$35:CF$42)</f>
        <v>0</v>
      </c>
      <c r="CF144">
        <f>SUMIF('Как есть'!$A$35:$A$42,Доп.расчеты!$A144,'Как есть'!CG$35:CG$42)</f>
        <v>0</v>
      </c>
      <c r="CG144">
        <f>SUMIF('Как есть'!$A$35:$A$42,Доп.расчеты!$A144,'Как есть'!CH$35:CH$42)</f>
        <v>0</v>
      </c>
      <c r="CH144">
        <f>SUMIF('Как есть'!$A$35:$A$42,Доп.расчеты!$A144,'Как есть'!CI$35:CI$42)</f>
        <v>0</v>
      </c>
      <c r="CI144">
        <f>SUMIF('Как есть'!$A$35:$A$42,Доп.расчеты!$A144,'Как есть'!CJ$35:CJ$42)</f>
        <v>0</v>
      </c>
      <c r="CJ144">
        <f>SUMIF('Как есть'!$A$35:$A$42,Доп.расчеты!$A144,'Как есть'!CK$35:CK$42)</f>
        <v>0</v>
      </c>
      <c r="CK144">
        <f>SUMIF('Как есть'!$A$35:$A$42,Доп.расчеты!$A144,'Как есть'!CL$35:CL$42)</f>
        <v>0</v>
      </c>
      <c r="CL144">
        <f>SUMIF('Как есть'!$A$35:$A$42,Доп.расчеты!$A144,'Как есть'!CM$35:CM$42)</f>
        <v>0</v>
      </c>
      <c r="CM144">
        <f>SUMIF('Как есть'!$A$35:$A$42,Доп.расчеты!$A144,'Как есть'!CN$35:CN$42)</f>
        <v>0</v>
      </c>
      <c r="CN144">
        <f>SUMIF('Как есть'!$A$35:$A$42,Доп.расчеты!$A144,'Как есть'!CO$35:CO$42)</f>
        <v>0</v>
      </c>
      <c r="CO144">
        <f>SUMIF('Как есть'!$A$35:$A$42,Доп.расчеты!$A144,'Как есть'!CP$35:CP$42)</f>
        <v>0</v>
      </c>
      <c r="CP144">
        <f>SUMIF('Как есть'!$A$35:$A$42,Доп.расчеты!$A144,'Как есть'!CQ$35:CQ$42)</f>
        <v>0</v>
      </c>
      <c r="CQ144">
        <f>SUMIF('Как есть'!$A$35:$A$42,Доп.расчеты!$A144,'Как есть'!CR$35:CR$42)</f>
        <v>0</v>
      </c>
      <c r="CR144">
        <f>SUMIF('Как есть'!$A$35:$A$42,Доп.расчеты!$A144,'Как есть'!CS$35:CS$42)</f>
        <v>0</v>
      </c>
      <c r="CS144">
        <f>SUMIF('Как есть'!$A$35:$A$42,Доп.расчеты!$A144,'Как есть'!CT$35:CT$42)</f>
        <v>0</v>
      </c>
      <c r="CT144">
        <f>SUMIF('Как есть'!$A$35:$A$42,Доп.расчеты!$A144,'Как есть'!CU$35:CU$42)</f>
        <v>0</v>
      </c>
      <c r="CU144">
        <f>SUMIF('Как есть'!$A$35:$A$42,Доп.расчеты!$A144,'Как есть'!CV$35:CV$42)</f>
        <v>0</v>
      </c>
      <c r="CV144">
        <f>SUMIF('Как есть'!$A$35:$A$42,Доп.расчеты!$A144,'Как есть'!CW$35:CW$42)</f>
        <v>0</v>
      </c>
      <c r="CW144">
        <f>SUMIF('Как есть'!$A$35:$A$42,Доп.расчеты!$A144,'Как есть'!CX$35:CX$42)</f>
        <v>0</v>
      </c>
      <c r="CX144">
        <f>SUMIF('Как есть'!$A$35:$A$42,Доп.расчеты!$A144,'Как есть'!CY$35:CY$42)</f>
        <v>0</v>
      </c>
      <c r="CY144">
        <f>SUMIF('Как есть'!$A$35:$A$42,Доп.расчеты!$A144,'Как есть'!CZ$35:CZ$42)</f>
        <v>0</v>
      </c>
      <c r="CZ144">
        <f>SUMIF('Как есть'!$A$35:$A$42,Доп.расчеты!$A144,'Как есть'!DA$35:DA$42)</f>
        <v>0</v>
      </c>
      <c r="DA144">
        <f>SUMIF('Как есть'!$A$35:$A$42,Доп.расчеты!$A144,'Как есть'!DB$35:DB$42)</f>
        <v>0</v>
      </c>
      <c r="DB144">
        <f>SUMIF('Как есть'!$A$35:$A$42,Доп.расчеты!$A144,'Как есть'!DC$35:DC$42)</f>
        <v>0</v>
      </c>
      <c r="DC144">
        <f>SUMIF('Как есть'!$A$35:$A$42,Доп.расчеты!$A144,'Как есть'!DD$35:DD$42)</f>
        <v>0</v>
      </c>
      <c r="DD144">
        <f>SUMIF('Как есть'!$A$35:$A$42,Доп.расчеты!$A144,'Как есть'!DE$35:DE$42)</f>
        <v>0</v>
      </c>
      <c r="DE144">
        <f>SUMIF('Как есть'!$A$35:$A$42,Доп.расчеты!$A144,'Как есть'!DF$35:DF$42)</f>
        <v>0</v>
      </c>
      <c r="DF144">
        <f>SUMIF('Как есть'!$A$35:$A$42,Доп.расчеты!$A144,'Как есть'!DG$35:DG$42)</f>
        <v>0</v>
      </c>
      <c r="DG144">
        <f>SUMIF('Как есть'!$A$35:$A$42,Доп.расчеты!$A144,'Как есть'!DH$35:DH$42)</f>
        <v>0</v>
      </c>
      <c r="DH144">
        <f>SUMIF('Как есть'!$A$35:$A$42,Доп.расчеты!$A144,'Как есть'!DI$35:DI$42)</f>
        <v>0</v>
      </c>
      <c r="DI144">
        <f>SUMIF('Как есть'!$A$35:$A$42,Доп.расчеты!$A144,'Как есть'!DJ$35:DJ$42)</f>
        <v>0</v>
      </c>
      <c r="DJ144">
        <f>SUMIF('Как есть'!$A$35:$A$42,Доп.расчеты!$A144,'Как есть'!DK$35:DK$42)</f>
        <v>0</v>
      </c>
      <c r="DK144">
        <f>SUMIF('Как есть'!$A$35:$A$42,Доп.расчеты!$A144,'Как есть'!DL$35:DL$42)</f>
        <v>0</v>
      </c>
      <c r="DL144">
        <f>SUMIF('Как есть'!$A$35:$A$42,Доп.расчеты!$A144,'Как есть'!DM$35:DM$42)</f>
        <v>0</v>
      </c>
      <c r="DM144">
        <f>SUMIF('Как есть'!$A$35:$A$42,Доп.расчеты!$A144,'Как есть'!DN$35:DN$42)</f>
        <v>0</v>
      </c>
      <c r="DN144">
        <f>SUMIF('Как есть'!$A$35:$A$42,Доп.расчеты!$A144,'Как есть'!DO$35:DO$42)</f>
        <v>0</v>
      </c>
      <c r="DO144">
        <f>SUMIF('Как есть'!$A$35:$A$42,Доп.расчеты!$A144,'Как есть'!DP$35:DP$42)</f>
        <v>0</v>
      </c>
      <c r="DP144">
        <f>SUMIF('Как есть'!$A$35:$A$42,Доп.расчеты!$A144,'Как есть'!DQ$35:DQ$42)</f>
        <v>0</v>
      </c>
      <c r="DQ144">
        <f>SUMIF('Как есть'!$A$35:$A$42,Доп.расчеты!$A144,'Как есть'!DR$35:DR$42)</f>
        <v>0</v>
      </c>
      <c r="DR144">
        <f>SUMIF('Как есть'!$A$35:$A$42,Доп.расчеты!$A144,'Как есть'!DS$35:DS$42)</f>
        <v>0</v>
      </c>
      <c r="DS144">
        <f>SUMIF('Как есть'!$A$35:$A$42,Доп.расчеты!$A144,'Как есть'!DT$35:DT$42)</f>
        <v>0</v>
      </c>
      <c r="DT144">
        <f>SUMIF('Как есть'!$A$35:$A$42,Доп.расчеты!$A144,'Как есть'!DU$35:DU$42)</f>
        <v>0</v>
      </c>
      <c r="DU144">
        <f>SUMIF('Как есть'!$A$35:$A$42,Доп.расчеты!$A144,'Как есть'!DV$35:DV$42)</f>
        <v>0</v>
      </c>
      <c r="DV144">
        <f>SUMIF('Как есть'!$A$35:$A$42,Доп.расчеты!$A144,'Как есть'!DW$35:DW$42)</f>
        <v>0</v>
      </c>
      <c r="DW144">
        <f>SUMIF('Как есть'!$A$35:$A$42,Доп.расчеты!$A144,'Как есть'!DX$35:DX$42)</f>
        <v>0</v>
      </c>
      <c r="DX144">
        <f>SUMIF('Как есть'!$A$35:$A$42,Доп.расчеты!$A144,'Как есть'!DY$35:DY$42)</f>
        <v>0</v>
      </c>
      <c r="DY144">
        <f>SUMIF('Как есть'!$A$35:$A$42,Доп.расчеты!$A144,'Как есть'!DZ$35:DZ$42)</f>
        <v>0</v>
      </c>
      <c r="DZ144">
        <f>SUMIF('Как есть'!$A$35:$A$42,Доп.расчеты!$A144,'Как есть'!EA$35:EA$42)</f>
        <v>0</v>
      </c>
      <c r="EA144">
        <f>SUMIF('Как есть'!$A$35:$A$42,Доп.расчеты!$A144,'Как есть'!EB$35:EB$42)</f>
        <v>0</v>
      </c>
      <c r="EB144">
        <f>SUMIF('Как есть'!$A$35:$A$42,Доп.расчеты!$A144,'Как есть'!EC$35:EC$42)</f>
        <v>0</v>
      </c>
      <c r="EC144">
        <f>SUMIF('Как есть'!$A$35:$A$42,Доп.расчеты!$A144,'Как есть'!ED$35:ED$42)</f>
        <v>0</v>
      </c>
      <c r="ED144">
        <f>SUMIF('Как есть'!$A$35:$A$42,Доп.расчеты!$A144,'Как есть'!EE$35:EE$42)</f>
        <v>0</v>
      </c>
      <c r="EE144">
        <f>SUMIF('Как есть'!$A$35:$A$42,Доп.расчеты!$A144,'Как есть'!EF$35:EF$42)</f>
        <v>0</v>
      </c>
      <c r="EF144">
        <f>SUMIF('Как есть'!$A$35:$A$42,Доп.расчеты!$A144,'Как есть'!EG$35:EG$42)</f>
        <v>0</v>
      </c>
      <c r="EG144">
        <f>SUMIF('Как есть'!$A$35:$A$42,Доп.расчеты!$A144,'Как есть'!EH$35:EH$42)</f>
        <v>0</v>
      </c>
      <c r="EH144">
        <f>SUMIF('Как есть'!$A$35:$A$42,Доп.расчеты!$A144,'Как есть'!EI$35:EI$42)</f>
        <v>0</v>
      </c>
      <c r="EI144">
        <f>SUMIF('Как есть'!$A$35:$A$42,Доп.расчеты!$A144,'Как есть'!EJ$35:EJ$42)</f>
        <v>0</v>
      </c>
      <c r="EJ144">
        <f>SUMIF('Как есть'!$A$35:$A$42,Доп.расчеты!$A144,'Как есть'!EK$35:EK$42)</f>
        <v>0</v>
      </c>
      <c r="EK144">
        <f>SUMIF('Как есть'!$A$35:$A$42,Доп.расчеты!$A144,'Как есть'!EL$35:EL$42)</f>
        <v>0</v>
      </c>
      <c r="EL144">
        <f>SUMIF('Как есть'!$A$35:$A$42,Доп.расчеты!$A144,'Как есть'!EM$35:EM$42)</f>
        <v>0</v>
      </c>
      <c r="EM144">
        <f>SUMIF('Как есть'!$A$35:$A$42,Доп.расчеты!$A144,'Как есть'!EN$35:EN$42)</f>
        <v>0</v>
      </c>
      <c r="EN144">
        <f>SUMIF('Как есть'!$A$35:$A$42,Доп.расчеты!$A144,'Как есть'!EO$35:EO$42)</f>
        <v>0</v>
      </c>
      <c r="EO144">
        <f>SUMIF('Как есть'!$A$35:$A$42,Доп.расчеты!$A144,'Как есть'!EP$35:EP$42)</f>
        <v>0</v>
      </c>
      <c r="EP144">
        <f>SUMIF('Как есть'!$A$35:$A$42,Доп.расчеты!$A144,'Как есть'!EQ$35:EQ$42)</f>
        <v>0</v>
      </c>
      <c r="EQ144">
        <f>SUMIF('Как есть'!$A$35:$A$42,Доп.расчеты!$A144,'Как есть'!ER$35:ER$42)</f>
        <v>0</v>
      </c>
      <c r="ER144">
        <f>SUMIF('Как есть'!$A$35:$A$42,Доп.расчеты!$A144,'Как есть'!ES$35:ES$42)</f>
        <v>0</v>
      </c>
      <c r="ES144">
        <f>SUMIF('Как есть'!$A$35:$A$42,Доп.расчеты!$A144,'Как есть'!ET$35:ET$42)</f>
        <v>0</v>
      </c>
      <c r="ET144">
        <f>SUMIF('Как есть'!$A$35:$A$42,Доп.расчеты!$A144,'Как есть'!EU$35:EU$42)</f>
        <v>0</v>
      </c>
      <c r="EU144">
        <f>SUMIF('Как есть'!$A$35:$A$42,Доп.расчеты!$A144,'Как есть'!EV$35:EV$42)</f>
        <v>0</v>
      </c>
      <c r="EV144">
        <f>SUMIF('Как есть'!$A$35:$A$42,Доп.расчеты!$A144,'Как есть'!EW$35:EW$42)</f>
        <v>0</v>
      </c>
      <c r="EW144">
        <f>SUMIF('Как есть'!$A$35:$A$42,Доп.расчеты!$A144,'Как есть'!EX$35:EX$42)</f>
        <v>0</v>
      </c>
      <c r="EX144">
        <f>SUMIF('Как есть'!$A$35:$A$42,Доп.расчеты!$A144,'Как есть'!EY$35:EY$42)</f>
        <v>0</v>
      </c>
      <c r="EY144">
        <f>SUMIF('Как есть'!$A$35:$A$42,Доп.расчеты!$A144,'Как есть'!EZ$35:EZ$42)</f>
        <v>0</v>
      </c>
      <c r="EZ144">
        <f>SUMIF('Как есть'!$A$35:$A$42,Доп.расчеты!$A144,'Как есть'!FA$35:FA$42)</f>
        <v>0</v>
      </c>
      <c r="FA144">
        <f>SUMIF('Как есть'!$A$35:$A$42,Доп.расчеты!$A144,'Как есть'!FB$35:FB$42)</f>
        <v>0</v>
      </c>
      <c r="FB144">
        <f>SUMIF('Как есть'!$A$35:$A$42,Доп.расчеты!$A144,'Как есть'!FC$35:FC$42)</f>
        <v>0</v>
      </c>
      <c r="FC144">
        <f>SUMIF('Как есть'!$A$35:$A$42,Доп.расчеты!$A144,'Как есть'!FD$35:FD$42)</f>
        <v>0</v>
      </c>
      <c r="FD144">
        <f>SUMIF('Как есть'!$A$35:$A$42,Доп.расчеты!$A144,'Как есть'!FE$35:FE$42)</f>
        <v>0</v>
      </c>
      <c r="FE144">
        <f>SUMIF('Как есть'!$A$35:$A$42,Доп.расчеты!$A144,'Как есть'!FF$35:FF$42)</f>
        <v>0</v>
      </c>
      <c r="FF144">
        <f>SUMIF('Как есть'!$A$35:$A$42,Доп.расчеты!$A144,'Как есть'!FG$35:FG$42)</f>
        <v>0</v>
      </c>
      <c r="FG144">
        <f>SUMIF('Как есть'!$A$35:$A$42,Доп.расчеты!$A144,'Как есть'!FH$35:FH$42)</f>
        <v>0</v>
      </c>
      <c r="FH144">
        <f>SUMIF('Как есть'!$A$35:$A$42,Доп.расчеты!$A144,'Как есть'!FI$35:FI$42)</f>
        <v>0</v>
      </c>
      <c r="FI144">
        <f>SUMIF('Как есть'!$A$35:$A$42,Доп.расчеты!$A144,'Как есть'!FJ$35:FJ$42)</f>
        <v>0</v>
      </c>
      <c r="FJ144">
        <f>SUMIF('Как есть'!$A$35:$A$42,Доп.расчеты!$A144,'Как есть'!FK$35:FK$42)</f>
        <v>0</v>
      </c>
      <c r="FK144">
        <f>SUMIF('Как есть'!$A$35:$A$42,Доп.расчеты!$A144,'Как есть'!FL$35:FL$42)</f>
        <v>0</v>
      </c>
      <c r="FL144">
        <f>SUMIF('Как есть'!$A$35:$A$42,Доп.расчеты!$A144,'Как есть'!FM$35:FM$42)</f>
        <v>0</v>
      </c>
      <c r="FM144">
        <f>SUMIF('Как есть'!$A$35:$A$42,Доп.расчеты!$A144,'Как есть'!FN$35:FN$42)</f>
        <v>0</v>
      </c>
      <c r="FN144">
        <f>SUMIF('Как есть'!$A$35:$A$42,Доп.расчеты!$A144,'Как есть'!FO$35:FO$42)</f>
        <v>0</v>
      </c>
      <c r="FO144">
        <f>SUMIF('Как есть'!$A$35:$A$42,Доп.расчеты!$A144,'Как есть'!FP$35:FP$42)</f>
        <v>0</v>
      </c>
      <c r="FP144">
        <f>SUMIF('Как есть'!$A$35:$A$42,Доп.расчеты!$A144,'Как есть'!FQ$35:FQ$42)</f>
        <v>0</v>
      </c>
      <c r="FQ144">
        <f>SUMIF('Как есть'!$A$35:$A$42,Доп.расчеты!$A144,'Как есть'!FR$35:FR$42)</f>
        <v>0</v>
      </c>
      <c r="FR144">
        <f>SUMIF('Как есть'!$A$35:$A$42,Доп.расчеты!$A144,'Как есть'!FS$35:FS$42)</f>
        <v>0</v>
      </c>
      <c r="FS144">
        <f>SUMIF('Как есть'!$A$35:$A$42,Доп.расчеты!$A144,'Как есть'!FT$35:FT$42)</f>
        <v>0</v>
      </c>
      <c r="FT144">
        <f>SUMIF('Как есть'!$A$35:$A$42,Доп.расчеты!$A144,'Как есть'!FU$35:FU$42)</f>
        <v>0</v>
      </c>
      <c r="FU144">
        <f>SUMIF('Как есть'!$A$35:$A$42,Доп.расчеты!$A144,'Как есть'!FV$35:FV$42)</f>
        <v>0</v>
      </c>
      <c r="FV144">
        <f>SUMIF('Как есть'!$A$35:$A$42,Доп.расчеты!$A144,'Как есть'!FW$35:FW$42)</f>
        <v>0</v>
      </c>
      <c r="FW144">
        <f>SUMIF('Как есть'!$A$35:$A$42,Доп.расчеты!$A144,'Как есть'!FX$35:FX$42)</f>
        <v>0</v>
      </c>
      <c r="FX144">
        <f>SUMIF('Как есть'!$A$35:$A$42,Доп.расчеты!$A144,'Как есть'!FY$35:FY$42)</f>
        <v>0</v>
      </c>
      <c r="FY144">
        <f>SUMIF('Как есть'!$A$35:$A$42,Доп.расчеты!$A144,'Как есть'!FZ$35:FZ$42)</f>
        <v>0</v>
      </c>
      <c r="FZ144">
        <f>SUMIF('Как есть'!$A$35:$A$42,Доп.расчеты!$A144,'Как есть'!GA$35:GA$42)</f>
        <v>0</v>
      </c>
      <c r="GA144">
        <f>SUMIF('Как есть'!$A$35:$A$42,Доп.расчеты!$A144,'Как есть'!GB$35:GB$42)</f>
        <v>0</v>
      </c>
      <c r="GB144">
        <f>SUMIF('Как есть'!$A$35:$A$42,Доп.расчеты!$A144,'Как есть'!GC$35:GC$42)</f>
        <v>0</v>
      </c>
      <c r="GC144">
        <f>SUMIF('Как есть'!$A$35:$A$42,Доп.расчеты!$A144,'Как есть'!GD$35:GD$42)</f>
        <v>0</v>
      </c>
      <c r="GD144">
        <f>SUMIF('Как есть'!$A$35:$A$42,Доп.расчеты!$A144,'Как есть'!GE$35:GE$42)</f>
        <v>0</v>
      </c>
      <c r="GE144">
        <f>SUMIF('Как есть'!$A$35:$A$42,Доп.расчеты!$A144,'Как есть'!GF$35:GF$42)</f>
        <v>0</v>
      </c>
      <c r="GF144">
        <f>SUMIF('Как есть'!$A$35:$A$42,Доп.расчеты!$A144,'Как есть'!GG$35:GG$42)</f>
        <v>0</v>
      </c>
      <c r="GG144">
        <f>SUMIF('Как есть'!$A$35:$A$42,Доп.расчеты!$A144,'Как есть'!GH$35:GH$42)</f>
        <v>0</v>
      </c>
      <c r="GH144">
        <f>SUMIF('Как есть'!$A$35:$A$42,Доп.расчеты!$A144,'Как есть'!GI$35:GI$42)</f>
        <v>0</v>
      </c>
      <c r="GI144">
        <f>SUMIF('Как есть'!$A$35:$A$42,Доп.расчеты!$A144,'Как есть'!GJ$35:GJ$42)</f>
        <v>0</v>
      </c>
      <c r="GJ144">
        <f>SUMIF('Как есть'!$A$35:$A$42,Доп.расчеты!$A144,'Как есть'!GK$35:GK$42)</f>
        <v>0</v>
      </c>
      <c r="GK144">
        <f>SUMIF('Как есть'!$A$35:$A$42,Доп.расчеты!$A144,'Как есть'!GL$35:GL$42)</f>
        <v>0</v>
      </c>
      <c r="GL144">
        <f>SUMIF('Как есть'!$A$35:$A$42,Доп.расчеты!$A144,'Как есть'!GM$35:GM$42)</f>
        <v>0</v>
      </c>
      <c r="GM144">
        <f>SUMIF('Как есть'!$A$35:$A$42,Доп.расчеты!$A144,'Как есть'!GN$35:GN$42)</f>
        <v>0</v>
      </c>
      <c r="GN144">
        <f>SUMIF('Как есть'!$A$35:$A$42,Доп.расчеты!$A144,'Как есть'!GO$35:GO$42)</f>
        <v>0</v>
      </c>
      <c r="GO144">
        <f>SUMIF('Как есть'!$A$35:$A$42,Доп.расчеты!$A144,'Как есть'!GP$35:GP$42)</f>
        <v>0</v>
      </c>
      <c r="GP144">
        <f>SUMIF('Как есть'!$A$35:$A$42,Доп.расчеты!$A144,'Как есть'!GQ$35:GQ$42)</f>
        <v>0</v>
      </c>
      <c r="GQ144">
        <f>SUMIF('Как есть'!$A$35:$A$42,Доп.расчеты!$A144,'Как есть'!GR$35:GR$42)</f>
        <v>0</v>
      </c>
      <c r="GR144">
        <f>SUMIF('Как есть'!$A$35:$A$42,Доп.расчеты!$A144,'Как есть'!GS$35:GS$42)</f>
        <v>0</v>
      </c>
      <c r="GS144">
        <f>SUMIF('Как есть'!$A$35:$A$42,Доп.расчеты!$A144,'Как есть'!GT$35:GT$42)</f>
        <v>0</v>
      </c>
      <c r="GT144">
        <f>SUMIF('Как есть'!$A$35:$A$42,Доп.расчеты!$A144,'Как есть'!GU$35:GU$42)</f>
        <v>0</v>
      </c>
    </row>
    <row r="145" spans="1:202" hidden="1" outlineLevel="1">
      <c r="A145" s="238" t="s">
        <v>14</v>
      </c>
      <c r="B145">
        <f>SUMIF('Как есть'!$A$35:$A$42,Доп.расчеты!$A145,'Как есть'!C$35:C$42)</f>
        <v>0</v>
      </c>
      <c r="C145">
        <f>SUMIF('Как есть'!$A$35:$A$42,Доп.расчеты!$A145,'Как есть'!D$35:D$42)</f>
        <v>0</v>
      </c>
      <c r="D145">
        <f>SUMIF('Как есть'!$A$35:$A$42,Доп.расчеты!$A145,'Как есть'!E$35:E$42)</f>
        <v>0</v>
      </c>
      <c r="E145">
        <f>SUMIF('Как есть'!$A$35:$A$42,Доп.расчеты!$A145,'Как есть'!F$35:F$42)</f>
        <v>0</v>
      </c>
      <c r="F145">
        <f>SUMIF('Как есть'!$A$35:$A$42,Доп.расчеты!$A145,'Как есть'!G$35:G$42)</f>
        <v>0</v>
      </c>
      <c r="G145">
        <f>SUMIF('Как есть'!$A$35:$A$42,Доп.расчеты!$A145,'Как есть'!H$35:H$42)</f>
        <v>0</v>
      </c>
      <c r="H145">
        <f>SUMIF('Как есть'!$A$35:$A$42,Доп.расчеты!$A145,'Как есть'!I$35:I$42)</f>
        <v>0</v>
      </c>
      <c r="I145">
        <f>SUMIF('Как есть'!$A$35:$A$42,Доп.расчеты!$A145,'Как есть'!J$35:J$42)</f>
        <v>0</v>
      </c>
      <c r="J145">
        <f>SUMIF('Как есть'!$A$35:$A$42,Доп.расчеты!$A145,'Как есть'!K$35:K$42)</f>
        <v>0</v>
      </c>
      <c r="K145">
        <f>SUMIF('Как есть'!$A$35:$A$42,Доп.расчеты!$A145,'Как есть'!L$35:L$42)</f>
        <v>0</v>
      </c>
      <c r="L145">
        <f>SUMIF('Как есть'!$A$35:$A$42,Доп.расчеты!$A145,'Как есть'!M$35:M$42)</f>
        <v>0</v>
      </c>
      <c r="M145">
        <f>SUMIF('Как есть'!$A$35:$A$42,Доп.расчеты!$A145,'Как есть'!N$35:N$42)</f>
        <v>0</v>
      </c>
      <c r="N145">
        <f>SUMIF('Как есть'!$A$35:$A$42,Доп.расчеты!$A145,'Как есть'!O$35:O$42)</f>
        <v>0</v>
      </c>
      <c r="O145">
        <f>SUMIF('Как есть'!$A$35:$A$42,Доп.расчеты!$A145,'Как есть'!P$35:P$42)</f>
        <v>0</v>
      </c>
      <c r="P145">
        <f>SUMIF('Как есть'!$A$35:$A$42,Доп.расчеты!$A145,'Как есть'!Q$35:Q$42)</f>
        <v>0</v>
      </c>
      <c r="Q145">
        <f>SUMIF('Как есть'!$A$35:$A$42,Доп.расчеты!$A145,'Как есть'!R$35:R$42)</f>
        <v>0</v>
      </c>
      <c r="R145">
        <f>SUMIF('Как есть'!$A$35:$A$42,Доп.расчеты!$A145,'Как есть'!S$35:S$42)</f>
        <v>0</v>
      </c>
      <c r="S145">
        <f>SUMIF('Как есть'!$A$35:$A$42,Доп.расчеты!$A145,'Как есть'!T$35:T$42)</f>
        <v>0</v>
      </c>
      <c r="T145">
        <f>SUMIF('Как есть'!$A$35:$A$42,Доп.расчеты!$A145,'Как есть'!U$35:U$42)</f>
        <v>0</v>
      </c>
      <c r="U145">
        <f>SUMIF('Как есть'!$A$35:$A$42,Доп.расчеты!$A145,'Как есть'!V$35:V$42)</f>
        <v>0</v>
      </c>
      <c r="V145">
        <f>SUMIF('Как есть'!$A$35:$A$42,Доп.расчеты!$A145,'Как есть'!W$35:W$42)</f>
        <v>0</v>
      </c>
      <c r="W145">
        <f>SUMIF('Как есть'!$A$35:$A$42,Доп.расчеты!$A145,'Как есть'!X$35:X$42)</f>
        <v>0</v>
      </c>
      <c r="X145">
        <f>SUMIF('Как есть'!$A$35:$A$42,Доп.расчеты!$A145,'Как есть'!Y$35:Y$42)</f>
        <v>0</v>
      </c>
      <c r="Y145">
        <f>SUMIF('Как есть'!$A$35:$A$42,Доп.расчеты!$A145,'Как есть'!Z$35:Z$42)</f>
        <v>0</v>
      </c>
      <c r="Z145">
        <f>SUMIF('Как есть'!$A$35:$A$42,Доп.расчеты!$A145,'Как есть'!AA$35:AA$42)</f>
        <v>0</v>
      </c>
      <c r="AA145">
        <f>SUMIF('Как есть'!$A$35:$A$42,Доп.расчеты!$A145,'Как есть'!AB$35:AB$42)</f>
        <v>0</v>
      </c>
      <c r="AB145">
        <f>SUMIF('Как есть'!$A$35:$A$42,Доп.расчеты!$A145,'Как есть'!AC$35:AC$42)</f>
        <v>0</v>
      </c>
      <c r="AC145">
        <f>SUMIF('Как есть'!$A$35:$A$42,Доп.расчеты!$A145,'Как есть'!AD$35:AD$42)</f>
        <v>0</v>
      </c>
      <c r="AD145">
        <f>SUMIF('Как есть'!$A$35:$A$42,Доп.расчеты!$A145,'Как есть'!AE$35:AE$42)</f>
        <v>0</v>
      </c>
      <c r="AE145">
        <f>SUMIF('Как есть'!$A$35:$A$42,Доп.расчеты!$A145,'Как есть'!AF$35:AF$42)</f>
        <v>0</v>
      </c>
      <c r="AF145">
        <f>SUMIF('Как есть'!$A$35:$A$42,Доп.расчеты!$A145,'Как есть'!AG$35:AG$42)</f>
        <v>0</v>
      </c>
      <c r="AG145">
        <f>SUMIF('Как есть'!$A$35:$A$42,Доп.расчеты!$A145,'Как есть'!AH$35:AH$42)</f>
        <v>0</v>
      </c>
      <c r="AH145">
        <f>SUMIF('Как есть'!$A$35:$A$42,Доп.расчеты!$A145,'Как есть'!AI$35:AI$42)</f>
        <v>0</v>
      </c>
      <c r="AI145">
        <f>SUMIF('Как есть'!$A$35:$A$42,Доп.расчеты!$A145,'Как есть'!AJ$35:AJ$42)</f>
        <v>0</v>
      </c>
      <c r="AJ145">
        <f>SUMIF('Как есть'!$A$35:$A$42,Доп.расчеты!$A145,'Как есть'!AK$35:AK$42)</f>
        <v>0</v>
      </c>
      <c r="AK145">
        <f>SUMIF('Как есть'!$A$35:$A$42,Доп.расчеты!$A145,'Как есть'!AL$35:AL$42)</f>
        <v>0</v>
      </c>
      <c r="AL145">
        <f>SUMIF('Как есть'!$A$35:$A$42,Доп.расчеты!$A145,'Как есть'!AM$35:AM$42)</f>
        <v>0</v>
      </c>
      <c r="AM145">
        <f>SUMIF('Как есть'!$A$35:$A$42,Доп.расчеты!$A145,'Как есть'!AN$35:AN$42)</f>
        <v>0</v>
      </c>
      <c r="AN145">
        <f>SUMIF('Как есть'!$A$35:$A$42,Доп.расчеты!$A145,'Как есть'!AO$35:AO$42)</f>
        <v>0</v>
      </c>
      <c r="AO145">
        <f>SUMIF('Как есть'!$A$35:$A$42,Доп.расчеты!$A145,'Как есть'!AP$35:AP$42)</f>
        <v>0</v>
      </c>
      <c r="AP145">
        <f>SUMIF('Как есть'!$A$35:$A$42,Доп.расчеты!$A145,'Как есть'!AQ$35:AQ$42)</f>
        <v>0</v>
      </c>
      <c r="AQ145">
        <f>SUMIF('Как есть'!$A$35:$A$42,Доп.расчеты!$A145,'Как есть'!AR$35:AR$42)</f>
        <v>0</v>
      </c>
      <c r="AR145">
        <f>SUMIF('Как есть'!$A$35:$A$42,Доп.расчеты!$A145,'Как есть'!AS$35:AS$42)</f>
        <v>0</v>
      </c>
      <c r="AS145">
        <f>SUMIF('Как есть'!$A$35:$A$42,Доп.расчеты!$A145,'Как есть'!AT$35:AT$42)</f>
        <v>0</v>
      </c>
      <c r="AT145">
        <f>SUMIF('Как есть'!$A$35:$A$42,Доп.расчеты!$A145,'Как есть'!AU$35:AU$42)</f>
        <v>0</v>
      </c>
      <c r="AU145">
        <f>SUMIF('Как есть'!$A$35:$A$42,Доп.расчеты!$A145,'Как есть'!AV$35:AV$42)</f>
        <v>0</v>
      </c>
      <c r="AV145">
        <f>SUMIF('Как есть'!$A$35:$A$42,Доп.расчеты!$A145,'Как есть'!AW$35:AW$42)</f>
        <v>0</v>
      </c>
      <c r="AW145">
        <f>SUMIF('Как есть'!$A$35:$A$42,Доп.расчеты!$A145,'Как есть'!AX$35:AX$42)</f>
        <v>0</v>
      </c>
      <c r="AX145">
        <f>SUMIF('Как есть'!$A$35:$A$42,Доп.расчеты!$A145,'Как есть'!AY$35:AY$42)</f>
        <v>0</v>
      </c>
      <c r="AY145">
        <f>SUMIF('Как есть'!$A$35:$A$42,Доп.расчеты!$A145,'Как есть'!AZ$35:AZ$42)</f>
        <v>0</v>
      </c>
      <c r="AZ145">
        <f>SUMIF('Как есть'!$A$35:$A$42,Доп.расчеты!$A145,'Как есть'!BA$35:BA$42)</f>
        <v>0</v>
      </c>
      <c r="BA145">
        <f>SUMIF('Как есть'!$A$35:$A$42,Доп.расчеты!$A145,'Как есть'!BB$35:BB$42)</f>
        <v>0</v>
      </c>
      <c r="BB145">
        <f>SUMIF('Как есть'!$A$35:$A$42,Доп.расчеты!$A145,'Как есть'!BC$35:BC$42)</f>
        <v>0</v>
      </c>
      <c r="BC145">
        <f>SUMIF('Как есть'!$A$35:$A$42,Доп.расчеты!$A145,'Как есть'!BD$35:BD$42)</f>
        <v>0</v>
      </c>
      <c r="BD145">
        <f>SUMIF('Как есть'!$A$35:$A$42,Доп.расчеты!$A145,'Как есть'!BE$35:BE$42)</f>
        <v>0</v>
      </c>
      <c r="BE145">
        <f>SUMIF('Как есть'!$A$35:$A$42,Доп.расчеты!$A145,'Как есть'!BF$35:BF$42)</f>
        <v>0</v>
      </c>
      <c r="BF145">
        <f>SUMIF('Как есть'!$A$35:$A$42,Доп.расчеты!$A145,'Как есть'!BG$35:BG$42)</f>
        <v>0</v>
      </c>
      <c r="BG145">
        <f>SUMIF('Как есть'!$A$35:$A$42,Доп.расчеты!$A145,'Как есть'!BH$35:BH$42)</f>
        <v>0</v>
      </c>
      <c r="BH145">
        <f>SUMIF('Как есть'!$A$35:$A$42,Доп.расчеты!$A145,'Как есть'!BI$35:BI$42)</f>
        <v>0</v>
      </c>
      <c r="BI145">
        <f>SUMIF('Как есть'!$A$35:$A$42,Доп.расчеты!$A145,'Как есть'!BJ$35:BJ$42)</f>
        <v>0</v>
      </c>
      <c r="BJ145">
        <f>SUMIF('Как есть'!$A$35:$A$42,Доп.расчеты!$A145,'Как есть'!BK$35:BK$42)</f>
        <v>0</v>
      </c>
      <c r="BK145">
        <f>SUMIF('Как есть'!$A$35:$A$42,Доп.расчеты!$A145,'Как есть'!BL$35:BL$42)</f>
        <v>0</v>
      </c>
      <c r="BL145">
        <f>SUMIF('Как есть'!$A$35:$A$42,Доп.расчеты!$A145,'Как есть'!BM$35:BM$42)</f>
        <v>0</v>
      </c>
      <c r="BM145">
        <f>SUMIF('Как есть'!$A$35:$A$42,Доп.расчеты!$A145,'Как есть'!BN$35:BN$42)</f>
        <v>0</v>
      </c>
      <c r="BN145">
        <f>SUMIF('Как есть'!$A$35:$A$42,Доп.расчеты!$A145,'Как есть'!BO$35:BO$42)</f>
        <v>0</v>
      </c>
      <c r="BO145">
        <f>SUMIF('Как есть'!$A$35:$A$42,Доп.расчеты!$A145,'Как есть'!BP$35:BP$42)</f>
        <v>0</v>
      </c>
      <c r="BP145">
        <f>SUMIF('Как есть'!$A$35:$A$42,Доп.расчеты!$A145,'Как есть'!BQ$35:BQ$42)</f>
        <v>0</v>
      </c>
      <c r="BQ145">
        <f>SUMIF('Как есть'!$A$35:$A$42,Доп.расчеты!$A145,'Как есть'!BR$35:BR$42)</f>
        <v>0</v>
      </c>
      <c r="BR145">
        <f>SUMIF('Как есть'!$A$35:$A$42,Доп.расчеты!$A145,'Как есть'!BS$35:BS$42)</f>
        <v>0</v>
      </c>
      <c r="BS145">
        <f>SUMIF('Как есть'!$A$35:$A$42,Доп.расчеты!$A145,'Как есть'!BT$35:BT$42)</f>
        <v>0</v>
      </c>
      <c r="BT145">
        <f>SUMIF('Как есть'!$A$35:$A$42,Доп.расчеты!$A145,'Как есть'!BU$35:BU$42)</f>
        <v>0</v>
      </c>
      <c r="BU145">
        <f>SUMIF('Как есть'!$A$35:$A$42,Доп.расчеты!$A145,'Как есть'!BV$35:BV$42)</f>
        <v>0</v>
      </c>
      <c r="BV145">
        <f>SUMIF('Как есть'!$A$35:$A$42,Доп.расчеты!$A145,'Как есть'!BW$35:BW$42)</f>
        <v>0</v>
      </c>
      <c r="BW145">
        <f>SUMIF('Как есть'!$A$35:$A$42,Доп.расчеты!$A145,'Как есть'!BX$35:BX$42)</f>
        <v>0</v>
      </c>
      <c r="BX145">
        <f>SUMIF('Как есть'!$A$35:$A$42,Доп.расчеты!$A145,'Как есть'!BY$35:BY$42)</f>
        <v>0</v>
      </c>
      <c r="BY145">
        <f>SUMIF('Как есть'!$A$35:$A$42,Доп.расчеты!$A145,'Как есть'!BZ$35:BZ$42)</f>
        <v>0</v>
      </c>
      <c r="BZ145">
        <f>SUMIF('Как есть'!$A$35:$A$42,Доп.расчеты!$A145,'Как есть'!CA$35:CA$42)</f>
        <v>0</v>
      </c>
      <c r="CA145">
        <f>SUMIF('Как есть'!$A$35:$A$42,Доп.расчеты!$A145,'Как есть'!CB$35:CB$42)</f>
        <v>0</v>
      </c>
      <c r="CB145">
        <f>SUMIF('Как есть'!$A$35:$A$42,Доп.расчеты!$A145,'Как есть'!CC$35:CC$42)</f>
        <v>0</v>
      </c>
      <c r="CC145">
        <f>SUMIF('Как есть'!$A$35:$A$42,Доп.расчеты!$A145,'Как есть'!CD$35:CD$42)</f>
        <v>0</v>
      </c>
      <c r="CD145">
        <f>SUMIF('Как есть'!$A$35:$A$42,Доп.расчеты!$A145,'Как есть'!CE$35:CE$42)</f>
        <v>0</v>
      </c>
      <c r="CE145">
        <f>SUMIF('Как есть'!$A$35:$A$42,Доп.расчеты!$A145,'Как есть'!CF$35:CF$42)</f>
        <v>0</v>
      </c>
      <c r="CF145">
        <f>SUMIF('Как есть'!$A$35:$A$42,Доп.расчеты!$A145,'Как есть'!CG$35:CG$42)</f>
        <v>0</v>
      </c>
      <c r="CG145">
        <f>SUMIF('Как есть'!$A$35:$A$42,Доп.расчеты!$A145,'Как есть'!CH$35:CH$42)</f>
        <v>0</v>
      </c>
      <c r="CH145">
        <f>SUMIF('Как есть'!$A$35:$A$42,Доп.расчеты!$A145,'Как есть'!CI$35:CI$42)</f>
        <v>0</v>
      </c>
      <c r="CI145">
        <f>SUMIF('Как есть'!$A$35:$A$42,Доп.расчеты!$A145,'Как есть'!CJ$35:CJ$42)</f>
        <v>0</v>
      </c>
      <c r="CJ145">
        <f>SUMIF('Как есть'!$A$35:$A$42,Доп.расчеты!$A145,'Как есть'!CK$35:CK$42)</f>
        <v>0</v>
      </c>
      <c r="CK145">
        <f>SUMIF('Как есть'!$A$35:$A$42,Доп.расчеты!$A145,'Как есть'!CL$35:CL$42)</f>
        <v>0</v>
      </c>
      <c r="CL145">
        <f>SUMIF('Как есть'!$A$35:$A$42,Доп.расчеты!$A145,'Как есть'!CM$35:CM$42)</f>
        <v>0</v>
      </c>
      <c r="CM145">
        <f>SUMIF('Как есть'!$A$35:$A$42,Доп.расчеты!$A145,'Как есть'!CN$35:CN$42)</f>
        <v>0</v>
      </c>
      <c r="CN145">
        <f>SUMIF('Как есть'!$A$35:$A$42,Доп.расчеты!$A145,'Как есть'!CO$35:CO$42)</f>
        <v>0</v>
      </c>
      <c r="CO145">
        <f>SUMIF('Как есть'!$A$35:$A$42,Доп.расчеты!$A145,'Как есть'!CP$35:CP$42)</f>
        <v>0</v>
      </c>
      <c r="CP145">
        <f>SUMIF('Как есть'!$A$35:$A$42,Доп.расчеты!$A145,'Как есть'!CQ$35:CQ$42)</f>
        <v>0</v>
      </c>
      <c r="CQ145">
        <f>SUMIF('Как есть'!$A$35:$A$42,Доп.расчеты!$A145,'Как есть'!CR$35:CR$42)</f>
        <v>0</v>
      </c>
      <c r="CR145">
        <f>SUMIF('Как есть'!$A$35:$A$42,Доп.расчеты!$A145,'Как есть'!CS$35:CS$42)</f>
        <v>0</v>
      </c>
      <c r="CS145">
        <f>SUMIF('Как есть'!$A$35:$A$42,Доп.расчеты!$A145,'Как есть'!CT$35:CT$42)</f>
        <v>0</v>
      </c>
      <c r="CT145">
        <f>SUMIF('Как есть'!$A$35:$A$42,Доп.расчеты!$A145,'Как есть'!CU$35:CU$42)</f>
        <v>0</v>
      </c>
      <c r="CU145">
        <f>SUMIF('Как есть'!$A$35:$A$42,Доп.расчеты!$A145,'Как есть'!CV$35:CV$42)</f>
        <v>0</v>
      </c>
      <c r="CV145">
        <f>SUMIF('Как есть'!$A$35:$A$42,Доп.расчеты!$A145,'Как есть'!CW$35:CW$42)</f>
        <v>0</v>
      </c>
      <c r="CW145">
        <f>SUMIF('Как есть'!$A$35:$A$42,Доп.расчеты!$A145,'Как есть'!CX$35:CX$42)</f>
        <v>0</v>
      </c>
      <c r="CX145">
        <f>SUMIF('Как есть'!$A$35:$A$42,Доп.расчеты!$A145,'Как есть'!CY$35:CY$42)</f>
        <v>0</v>
      </c>
      <c r="CY145">
        <f>SUMIF('Как есть'!$A$35:$A$42,Доп.расчеты!$A145,'Как есть'!CZ$35:CZ$42)</f>
        <v>0</v>
      </c>
      <c r="CZ145">
        <f>SUMIF('Как есть'!$A$35:$A$42,Доп.расчеты!$A145,'Как есть'!DA$35:DA$42)</f>
        <v>0</v>
      </c>
      <c r="DA145">
        <f>SUMIF('Как есть'!$A$35:$A$42,Доп.расчеты!$A145,'Как есть'!DB$35:DB$42)</f>
        <v>0</v>
      </c>
      <c r="DB145">
        <f>SUMIF('Как есть'!$A$35:$A$42,Доп.расчеты!$A145,'Как есть'!DC$35:DC$42)</f>
        <v>0</v>
      </c>
      <c r="DC145">
        <f>SUMIF('Как есть'!$A$35:$A$42,Доп.расчеты!$A145,'Как есть'!DD$35:DD$42)</f>
        <v>0</v>
      </c>
      <c r="DD145">
        <f>SUMIF('Как есть'!$A$35:$A$42,Доп.расчеты!$A145,'Как есть'!DE$35:DE$42)</f>
        <v>0</v>
      </c>
      <c r="DE145">
        <f>SUMIF('Как есть'!$A$35:$A$42,Доп.расчеты!$A145,'Как есть'!DF$35:DF$42)</f>
        <v>0</v>
      </c>
      <c r="DF145">
        <f>SUMIF('Как есть'!$A$35:$A$42,Доп.расчеты!$A145,'Как есть'!DG$35:DG$42)</f>
        <v>0</v>
      </c>
      <c r="DG145">
        <f>SUMIF('Как есть'!$A$35:$A$42,Доп.расчеты!$A145,'Как есть'!DH$35:DH$42)</f>
        <v>0</v>
      </c>
      <c r="DH145">
        <f>SUMIF('Как есть'!$A$35:$A$42,Доп.расчеты!$A145,'Как есть'!DI$35:DI$42)</f>
        <v>0</v>
      </c>
      <c r="DI145">
        <f>SUMIF('Как есть'!$A$35:$A$42,Доп.расчеты!$A145,'Как есть'!DJ$35:DJ$42)</f>
        <v>0</v>
      </c>
      <c r="DJ145">
        <f>SUMIF('Как есть'!$A$35:$A$42,Доп.расчеты!$A145,'Как есть'!DK$35:DK$42)</f>
        <v>0</v>
      </c>
      <c r="DK145">
        <f>SUMIF('Как есть'!$A$35:$A$42,Доп.расчеты!$A145,'Как есть'!DL$35:DL$42)</f>
        <v>0</v>
      </c>
      <c r="DL145">
        <f>SUMIF('Как есть'!$A$35:$A$42,Доп.расчеты!$A145,'Как есть'!DM$35:DM$42)</f>
        <v>0</v>
      </c>
      <c r="DM145">
        <f>SUMIF('Как есть'!$A$35:$A$42,Доп.расчеты!$A145,'Как есть'!DN$35:DN$42)</f>
        <v>0</v>
      </c>
      <c r="DN145">
        <f>SUMIF('Как есть'!$A$35:$A$42,Доп.расчеты!$A145,'Как есть'!DO$35:DO$42)</f>
        <v>0</v>
      </c>
      <c r="DO145">
        <f>SUMIF('Как есть'!$A$35:$A$42,Доп.расчеты!$A145,'Как есть'!DP$35:DP$42)</f>
        <v>0</v>
      </c>
      <c r="DP145">
        <f>SUMIF('Как есть'!$A$35:$A$42,Доп.расчеты!$A145,'Как есть'!DQ$35:DQ$42)</f>
        <v>0</v>
      </c>
      <c r="DQ145">
        <f>SUMIF('Как есть'!$A$35:$A$42,Доп.расчеты!$A145,'Как есть'!DR$35:DR$42)</f>
        <v>0</v>
      </c>
      <c r="DR145">
        <f>SUMIF('Как есть'!$A$35:$A$42,Доп.расчеты!$A145,'Как есть'!DS$35:DS$42)</f>
        <v>0</v>
      </c>
      <c r="DS145">
        <f>SUMIF('Как есть'!$A$35:$A$42,Доп.расчеты!$A145,'Как есть'!DT$35:DT$42)</f>
        <v>0</v>
      </c>
      <c r="DT145">
        <f>SUMIF('Как есть'!$A$35:$A$42,Доп.расчеты!$A145,'Как есть'!DU$35:DU$42)</f>
        <v>0</v>
      </c>
      <c r="DU145">
        <f>SUMIF('Как есть'!$A$35:$A$42,Доп.расчеты!$A145,'Как есть'!DV$35:DV$42)</f>
        <v>0</v>
      </c>
      <c r="DV145">
        <f>SUMIF('Как есть'!$A$35:$A$42,Доп.расчеты!$A145,'Как есть'!DW$35:DW$42)</f>
        <v>0</v>
      </c>
      <c r="DW145">
        <f>SUMIF('Как есть'!$A$35:$A$42,Доп.расчеты!$A145,'Как есть'!DX$35:DX$42)</f>
        <v>0</v>
      </c>
      <c r="DX145">
        <f>SUMIF('Как есть'!$A$35:$A$42,Доп.расчеты!$A145,'Как есть'!DY$35:DY$42)</f>
        <v>0</v>
      </c>
      <c r="DY145">
        <f>SUMIF('Как есть'!$A$35:$A$42,Доп.расчеты!$A145,'Как есть'!DZ$35:DZ$42)</f>
        <v>0</v>
      </c>
      <c r="DZ145">
        <f>SUMIF('Как есть'!$A$35:$A$42,Доп.расчеты!$A145,'Как есть'!EA$35:EA$42)</f>
        <v>0</v>
      </c>
      <c r="EA145">
        <f>SUMIF('Как есть'!$A$35:$A$42,Доп.расчеты!$A145,'Как есть'!EB$35:EB$42)</f>
        <v>0</v>
      </c>
      <c r="EB145">
        <f>SUMIF('Как есть'!$A$35:$A$42,Доп.расчеты!$A145,'Как есть'!EC$35:EC$42)</f>
        <v>0</v>
      </c>
      <c r="EC145">
        <f>SUMIF('Как есть'!$A$35:$A$42,Доп.расчеты!$A145,'Как есть'!ED$35:ED$42)</f>
        <v>0</v>
      </c>
      <c r="ED145">
        <f>SUMIF('Как есть'!$A$35:$A$42,Доп.расчеты!$A145,'Как есть'!EE$35:EE$42)</f>
        <v>0</v>
      </c>
      <c r="EE145">
        <f>SUMIF('Как есть'!$A$35:$A$42,Доп.расчеты!$A145,'Как есть'!EF$35:EF$42)</f>
        <v>0</v>
      </c>
      <c r="EF145">
        <f>SUMIF('Как есть'!$A$35:$A$42,Доп.расчеты!$A145,'Как есть'!EG$35:EG$42)</f>
        <v>0</v>
      </c>
      <c r="EG145">
        <f>SUMIF('Как есть'!$A$35:$A$42,Доп.расчеты!$A145,'Как есть'!EH$35:EH$42)</f>
        <v>0</v>
      </c>
      <c r="EH145">
        <f>SUMIF('Как есть'!$A$35:$A$42,Доп.расчеты!$A145,'Как есть'!EI$35:EI$42)</f>
        <v>0</v>
      </c>
      <c r="EI145">
        <f>SUMIF('Как есть'!$A$35:$A$42,Доп.расчеты!$A145,'Как есть'!EJ$35:EJ$42)</f>
        <v>0</v>
      </c>
      <c r="EJ145">
        <f>SUMIF('Как есть'!$A$35:$A$42,Доп.расчеты!$A145,'Как есть'!EK$35:EK$42)</f>
        <v>0</v>
      </c>
      <c r="EK145">
        <f>SUMIF('Как есть'!$A$35:$A$42,Доп.расчеты!$A145,'Как есть'!EL$35:EL$42)</f>
        <v>0</v>
      </c>
      <c r="EL145">
        <f>SUMIF('Как есть'!$A$35:$A$42,Доп.расчеты!$A145,'Как есть'!EM$35:EM$42)</f>
        <v>0</v>
      </c>
      <c r="EM145">
        <f>SUMIF('Как есть'!$A$35:$A$42,Доп.расчеты!$A145,'Как есть'!EN$35:EN$42)</f>
        <v>0</v>
      </c>
      <c r="EN145">
        <f>SUMIF('Как есть'!$A$35:$A$42,Доп.расчеты!$A145,'Как есть'!EO$35:EO$42)</f>
        <v>0</v>
      </c>
      <c r="EO145">
        <f>SUMIF('Как есть'!$A$35:$A$42,Доп.расчеты!$A145,'Как есть'!EP$35:EP$42)</f>
        <v>0</v>
      </c>
      <c r="EP145">
        <f>SUMIF('Как есть'!$A$35:$A$42,Доп.расчеты!$A145,'Как есть'!EQ$35:EQ$42)</f>
        <v>0</v>
      </c>
      <c r="EQ145">
        <f>SUMIF('Как есть'!$A$35:$A$42,Доп.расчеты!$A145,'Как есть'!ER$35:ER$42)</f>
        <v>0</v>
      </c>
      <c r="ER145">
        <f>SUMIF('Как есть'!$A$35:$A$42,Доп.расчеты!$A145,'Как есть'!ES$35:ES$42)</f>
        <v>0</v>
      </c>
      <c r="ES145">
        <f>SUMIF('Как есть'!$A$35:$A$42,Доп.расчеты!$A145,'Как есть'!ET$35:ET$42)</f>
        <v>0</v>
      </c>
      <c r="ET145">
        <f>SUMIF('Как есть'!$A$35:$A$42,Доп.расчеты!$A145,'Как есть'!EU$35:EU$42)</f>
        <v>0</v>
      </c>
      <c r="EU145">
        <f>SUMIF('Как есть'!$A$35:$A$42,Доп.расчеты!$A145,'Как есть'!EV$35:EV$42)</f>
        <v>0</v>
      </c>
      <c r="EV145">
        <f>SUMIF('Как есть'!$A$35:$A$42,Доп.расчеты!$A145,'Как есть'!EW$35:EW$42)</f>
        <v>0</v>
      </c>
      <c r="EW145">
        <f>SUMIF('Как есть'!$A$35:$A$42,Доп.расчеты!$A145,'Как есть'!EX$35:EX$42)</f>
        <v>0</v>
      </c>
      <c r="EX145">
        <f>SUMIF('Как есть'!$A$35:$A$42,Доп.расчеты!$A145,'Как есть'!EY$35:EY$42)</f>
        <v>0</v>
      </c>
      <c r="EY145">
        <f>SUMIF('Как есть'!$A$35:$A$42,Доп.расчеты!$A145,'Как есть'!EZ$35:EZ$42)</f>
        <v>0</v>
      </c>
      <c r="EZ145">
        <f>SUMIF('Как есть'!$A$35:$A$42,Доп.расчеты!$A145,'Как есть'!FA$35:FA$42)</f>
        <v>0</v>
      </c>
      <c r="FA145">
        <f>SUMIF('Как есть'!$A$35:$A$42,Доп.расчеты!$A145,'Как есть'!FB$35:FB$42)</f>
        <v>0</v>
      </c>
      <c r="FB145">
        <f>SUMIF('Как есть'!$A$35:$A$42,Доп.расчеты!$A145,'Как есть'!FC$35:FC$42)</f>
        <v>0</v>
      </c>
      <c r="FC145">
        <f>SUMIF('Как есть'!$A$35:$A$42,Доп.расчеты!$A145,'Как есть'!FD$35:FD$42)</f>
        <v>0</v>
      </c>
      <c r="FD145">
        <f>SUMIF('Как есть'!$A$35:$A$42,Доп.расчеты!$A145,'Как есть'!FE$35:FE$42)</f>
        <v>0</v>
      </c>
      <c r="FE145">
        <f>SUMIF('Как есть'!$A$35:$A$42,Доп.расчеты!$A145,'Как есть'!FF$35:FF$42)</f>
        <v>0</v>
      </c>
      <c r="FF145">
        <f>SUMIF('Как есть'!$A$35:$A$42,Доп.расчеты!$A145,'Как есть'!FG$35:FG$42)</f>
        <v>0</v>
      </c>
      <c r="FG145">
        <f>SUMIF('Как есть'!$A$35:$A$42,Доп.расчеты!$A145,'Как есть'!FH$35:FH$42)</f>
        <v>0</v>
      </c>
      <c r="FH145">
        <f>SUMIF('Как есть'!$A$35:$A$42,Доп.расчеты!$A145,'Как есть'!FI$35:FI$42)</f>
        <v>0</v>
      </c>
      <c r="FI145">
        <f>SUMIF('Как есть'!$A$35:$A$42,Доп.расчеты!$A145,'Как есть'!FJ$35:FJ$42)</f>
        <v>0</v>
      </c>
      <c r="FJ145">
        <f>SUMIF('Как есть'!$A$35:$A$42,Доп.расчеты!$A145,'Как есть'!FK$35:FK$42)</f>
        <v>0</v>
      </c>
      <c r="FK145">
        <f>SUMIF('Как есть'!$A$35:$A$42,Доп.расчеты!$A145,'Как есть'!FL$35:FL$42)</f>
        <v>0</v>
      </c>
      <c r="FL145">
        <f>SUMIF('Как есть'!$A$35:$A$42,Доп.расчеты!$A145,'Как есть'!FM$35:FM$42)</f>
        <v>0</v>
      </c>
      <c r="FM145">
        <f>SUMIF('Как есть'!$A$35:$A$42,Доп.расчеты!$A145,'Как есть'!FN$35:FN$42)</f>
        <v>0</v>
      </c>
      <c r="FN145">
        <f>SUMIF('Как есть'!$A$35:$A$42,Доп.расчеты!$A145,'Как есть'!FO$35:FO$42)</f>
        <v>0</v>
      </c>
      <c r="FO145">
        <f>SUMIF('Как есть'!$A$35:$A$42,Доп.расчеты!$A145,'Как есть'!FP$35:FP$42)</f>
        <v>0</v>
      </c>
      <c r="FP145">
        <f>SUMIF('Как есть'!$A$35:$A$42,Доп.расчеты!$A145,'Как есть'!FQ$35:FQ$42)</f>
        <v>0</v>
      </c>
      <c r="FQ145">
        <f>SUMIF('Как есть'!$A$35:$A$42,Доп.расчеты!$A145,'Как есть'!FR$35:FR$42)</f>
        <v>0</v>
      </c>
      <c r="FR145">
        <f>SUMIF('Как есть'!$A$35:$A$42,Доп.расчеты!$A145,'Как есть'!FS$35:FS$42)</f>
        <v>0</v>
      </c>
      <c r="FS145">
        <f>SUMIF('Как есть'!$A$35:$A$42,Доп.расчеты!$A145,'Как есть'!FT$35:FT$42)</f>
        <v>0</v>
      </c>
      <c r="FT145">
        <f>SUMIF('Как есть'!$A$35:$A$42,Доп.расчеты!$A145,'Как есть'!FU$35:FU$42)</f>
        <v>0</v>
      </c>
      <c r="FU145">
        <f>SUMIF('Как есть'!$A$35:$A$42,Доп.расчеты!$A145,'Как есть'!FV$35:FV$42)</f>
        <v>0</v>
      </c>
      <c r="FV145">
        <f>SUMIF('Как есть'!$A$35:$A$42,Доп.расчеты!$A145,'Как есть'!FW$35:FW$42)</f>
        <v>0</v>
      </c>
      <c r="FW145">
        <f>SUMIF('Как есть'!$A$35:$A$42,Доп.расчеты!$A145,'Как есть'!FX$35:FX$42)</f>
        <v>0</v>
      </c>
      <c r="FX145">
        <f>SUMIF('Как есть'!$A$35:$A$42,Доп.расчеты!$A145,'Как есть'!FY$35:FY$42)</f>
        <v>0</v>
      </c>
      <c r="FY145">
        <f>SUMIF('Как есть'!$A$35:$A$42,Доп.расчеты!$A145,'Как есть'!FZ$35:FZ$42)</f>
        <v>0</v>
      </c>
      <c r="FZ145">
        <f>SUMIF('Как есть'!$A$35:$A$42,Доп.расчеты!$A145,'Как есть'!GA$35:GA$42)</f>
        <v>0</v>
      </c>
      <c r="GA145">
        <f>SUMIF('Как есть'!$A$35:$A$42,Доп.расчеты!$A145,'Как есть'!GB$35:GB$42)</f>
        <v>0</v>
      </c>
      <c r="GB145">
        <f>SUMIF('Как есть'!$A$35:$A$42,Доп.расчеты!$A145,'Как есть'!GC$35:GC$42)</f>
        <v>0</v>
      </c>
      <c r="GC145">
        <f>SUMIF('Как есть'!$A$35:$A$42,Доп.расчеты!$A145,'Как есть'!GD$35:GD$42)</f>
        <v>0</v>
      </c>
      <c r="GD145">
        <f>SUMIF('Как есть'!$A$35:$A$42,Доп.расчеты!$A145,'Как есть'!GE$35:GE$42)</f>
        <v>0</v>
      </c>
      <c r="GE145">
        <f>SUMIF('Как есть'!$A$35:$A$42,Доп.расчеты!$A145,'Как есть'!GF$35:GF$42)</f>
        <v>0</v>
      </c>
      <c r="GF145">
        <f>SUMIF('Как есть'!$A$35:$A$42,Доп.расчеты!$A145,'Как есть'!GG$35:GG$42)</f>
        <v>0</v>
      </c>
      <c r="GG145">
        <f>SUMIF('Как есть'!$A$35:$A$42,Доп.расчеты!$A145,'Как есть'!GH$35:GH$42)</f>
        <v>0</v>
      </c>
      <c r="GH145">
        <f>SUMIF('Как есть'!$A$35:$A$42,Доп.расчеты!$A145,'Как есть'!GI$35:GI$42)</f>
        <v>0</v>
      </c>
      <c r="GI145">
        <f>SUMIF('Как есть'!$A$35:$A$42,Доп.расчеты!$A145,'Как есть'!GJ$35:GJ$42)</f>
        <v>0</v>
      </c>
      <c r="GJ145">
        <f>SUMIF('Как есть'!$A$35:$A$42,Доп.расчеты!$A145,'Как есть'!GK$35:GK$42)</f>
        <v>0</v>
      </c>
      <c r="GK145">
        <f>SUMIF('Как есть'!$A$35:$A$42,Доп.расчеты!$A145,'Как есть'!GL$35:GL$42)</f>
        <v>0</v>
      </c>
      <c r="GL145">
        <f>SUMIF('Как есть'!$A$35:$A$42,Доп.расчеты!$A145,'Как есть'!GM$35:GM$42)</f>
        <v>0</v>
      </c>
      <c r="GM145">
        <f>SUMIF('Как есть'!$A$35:$A$42,Доп.расчеты!$A145,'Как есть'!GN$35:GN$42)</f>
        <v>0</v>
      </c>
      <c r="GN145">
        <f>SUMIF('Как есть'!$A$35:$A$42,Доп.расчеты!$A145,'Как есть'!GO$35:GO$42)</f>
        <v>0</v>
      </c>
      <c r="GO145">
        <f>SUMIF('Как есть'!$A$35:$A$42,Доп.расчеты!$A145,'Как есть'!GP$35:GP$42)</f>
        <v>0</v>
      </c>
      <c r="GP145">
        <f>SUMIF('Как есть'!$A$35:$A$42,Доп.расчеты!$A145,'Как есть'!GQ$35:GQ$42)</f>
        <v>0</v>
      </c>
      <c r="GQ145">
        <f>SUMIF('Как есть'!$A$35:$A$42,Доп.расчеты!$A145,'Как есть'!GR$35:GR$42)</f>
        <v>0</v>
      </c>
      <c r="GR145">
        <f>SUMIF('Как есть'!$A$35:$A$42,Доп.расчеты!$A145,'Как есть'!GS$35:GS$42)</f>
        <v>0</v>
      </c>
      <c r="GS145">
        <f>SUMIF('Как есть'!$A$35:$A$42,Доп.расчеты!$A145,'Как есть'!GT$35:GT$42)</f>
        <v>0</v>
      </c>
      <c r="GT145">
        <f>SUMIF('Как есть'!$A$35:$A$42,Доп.расчеты!$A145,'Как есть'!GU$35:GU$42)</f>
        <v>0</v>
      </c>
    </row>
    <row r="146" spans="1:202" hidden="1" outlineLevel="1">
      <c r="A146" s="238" t="s">
        <v>117</v>
      </c>
      <c r="B146">
        <f>SUMIF('Как есть'!$A$35:$A$42,Доп.расчеты!$A146,'Как есть'!C$35:C$42)</f>
        <v>0</v>
      </c>
      <c r="C146">
        <f>SUMIF('Как есть'!$A$35:$A$42,Доп.расчеты!$A146,'Как есть'!D$35:D$42)</f>
        <v>0</v>
      </c>
      <c r="D146">
        <f>SUMIF('Как есть'!$A$35:$A$42,Доп.расчеты!$A146,'Как есть'!E$35:E$42)</f>
        <v>0</v>
      </c>
      <c r="E146">
        <f>SUMIF('Как есть'!$A$35:$A$42,Доп.расчеты!$A146,'Как есть'!F$35:F$42)</f>
        <v>0</v>
      </c>
      <c r="F146">
        <f>SUMIF('Как есть'!$A$35:$A$42,Доп.расчеты!$A146,'Как есть'!G$35:G$42)</f>
        <v>0</v>
      </c>
      <c r="G146">
        <f>SUMIF('Как есть'!$A$35:$A$42,Доп.расчеты!$A146,'Как есть'!H$35:H$42)</f>
        <v>0</v>
      </c>
      <c r="H146">
        <f>SUMIF('Как есть'!$A$35:$A$42,Доп.расчеты!$A146,'Как есть'!I$35:I$42)</f>
        <v>0</v>
      </c>
      <c r="I146">
        <f>SUMIF('Как есть'!$A$35:$A$42,Доп.расчеты!$A146,'Как есть'!J$35:J$42)</f>
        <v>0</v>
      </c>
      <c r="J146">
        <f>SUMIF('Как есть'!$A$35:$A$42,Доп.расчеты!$A146,'Как есть'!K$35:K$42)</f>
        <v>0</v>
      </c>
      <c r="K146">
        <f>SUMIF('Как есть'!$A$35:$A$42,Доп.расчеты!$A146,'Как есть'!L$35:L$42)</f>
        <v>0</v>
      </c>
      <c r="L146">
        <f>SUMIF('Как есть'!$A$35:$A$42,Доп.расчеты!$A146,'Как есть'!M$35:M$42)</f>
        <v>0</v>
      </c>
      <c r="M146">
        <f>SUMIF('Как есть'!$A$35:$A$42,Доп.расчеты!$A146,'Как есть'!N$35:N$42)</f>
        <v>0</v>
      </c>
      <c r="N146">
        <f>SUMIF('Как есть'!$A$35:$A$42,Доп.расчеты!$A146,'Как есть'!O$35:O$42)</f>
        <v>0</v>
      </c>
      <c r="O146">
        <f>SUMIF('Как есть'!$A$35:$A$42,Доп.расчеты!$A146,'Как есть'!P$35:P$42)</f>
        <v>0</v>
      </c>
      <c r="P146">
        <f>SUMIF('Как есть'!$A$35:$A$42,Доп.расчеты!$A146,'Как есть'!Q$35:Q$42)</f>
        <v>0</v>
      </c>
      <c r="Q146">
        <f>SUMIF('Как есть'!$A$35:$A$42,Доп.расчеты!$A146,'Как есть'!R$35:R$42)</f>
        <v>0</v>
      </c>
      <c r="R146">
        <f>SUMIF('Как есть'!$A$35:$A$42,Доп.расчеты!$A146,'Как есть'!S$35:S$42)</f>
        <v>0</v>
      </c>
      <c r="S146">
        <f>SUMIF('Как есть'!$A$35:$A$42,Доп.расчеты!$A146,'Как есть'!T$35:T$42)</f>
        <v>0</v>
      </c>
      <c r="T146">
        <f>SUMIF('Как есть'!$A$35:$A$42,Доп.расчеты!$A146,'Как есть'!U$35:U$42)</f>
        <v>0</v>
      </c>
      <c r="U146">
        <f>SUMIF('Как есть'!$A$35:$A$42,Доп.расчеты!$A146,'Как есть'!V$35:V$42)</f>
        <v>0</v>
      </c>
      <c r="V146">
        <f>SUMIF('Как есть'!$A$35:$A$42,Доп.расчеты!$A146,'Как есть'!W$35:W$42)</f>
        <v>0</v>
      </c>
      <c r="W146">
        <f>SUMIF('Как есть'!$A$35:$A$42,Доп.расчеты!$A146,'Как есть'!X$35:X$42)</f>
        <v>0</v>
      </c>
      <c r="X146">
        <f>SUMIF('Как есть'!$A$35:$A$42,Доп.расчеты!$A146,'Как есть'!Y$35:Y$42)</f>
        <v>0</v>
      </c>
      <c r="Y146">
        <f>SUMIF('Как есть'!$A$35:$A$42,Доп.расчеты!$A146,'Как есть'!Z$35:Z$42)</f>
        <v>0</v>
      </c>
      <c r="Z146">
        <f>SUMIF('Как есть'!$A$35:$A$42,Доп.расчеты!$A146,'Как есть'!AA$35:AA$42)</f>
        <v>0</v>
      </c>
      <c r="AA146">
        <f>SUMIF('Как есть'!$A$35:$A$42,Доп.расчеты!$A146,'Как есть'!AB$35:AB$42)</f>
        <v>0</v>
      </c>
      <c r="AB146">
        <f>SUMIF('Как есть'!$A$35:$A$42,Доп.расчеты!$A146,'Как есть'!AC$35:AC$42)</f>
        <v>0</v>
      </c>
      <c r="AC146">
        <f>SUMIF('Как есть'!$A$35:$A$42,Доп.расчеты!$A146,'Как есть'!AD$35:AD$42)</f>
        <v>0</v>
      </c>
      <c r="AD146">
        <f>SUMIF('Как есть'!$A$35:$A$42,Доп.расчеты!$A146,'Как есть'!AE$35:AE$42)</f>
        <v>0</v>
      </c>
      <c r="AE146">
        <f>SUMIF('Как есть'!$A$35:$A$42,Доп.расчеты!$A146,'Как есть'!AF$35:AF$42)</f>
        <v>0</v>
      </c>
      <c r="AF146">
        <f>SUMIF('Как есть'!$A$35:$A$42,Доп.расчеты!$A146,'Как есть'!AG$35:AG$42)</f>
        <v>0</v>
      </c>
      <c r="AG146">
        <f>SUMIF('Как есть'!$A$35:$A$42,Доп.расчеты!$A146,'Как есть'!AH$35:AH$42)</f>
        <v>0</v>
      </c>
      <c r="AH146">
        <f>SUMIF('Как есть'!$A$35:$A$42,Доп.расчеты!$A146,'Как есть'!AI$35:AI$42)</f>
        <v>0</v>
      </c>
      <c r="AI146">
        <f>SUMIF('Как есть'!$A$35:$A$42,Доп.расчеты!$A146,'Как есть'!AJ$35:AJ$42)</f>
        <v>0</v>
      </c>
      <c r="AJ146">
        <f>SUMIF('Как есть'!$A$35:$A$42,Доп.расчеты!$A146,'Как есть'!AK$35:AK$42)</f>
        <v>0</v>
      </c>
      <c r="AK146">
        <f>SUMIF('Как есть'!$A$35:$A$42,Доп.расчеты!$A146,'Как есть'!AL$35:AL$42)</f>
        <v>0</v>
      </c>
      <c r="AL146">
        <f>SUMIF('Как есть'!$A$35:$A$42,Доп.расчеты!$A146,'Как есть'!AM$35:AM$42)</f>
        <v>0</v>
      </c>
      <c r="AM146">
        <f>SUMIF('Как есть'!$A$35:$A$42,Доп.расчеты!$A146,'Как есть'!AN$35:AN$42)</f>
        <v>0</v>
      </c>
      <c r="AN146">
        <f>SUMIF('Как есть'!$A$35:$A$42,Доп.расчеты!$A146,'Как есть'!AO$35:AO$42)</f>
        <v>0</v>
      </c>
      <c r="AO146">
        <f>SUMIF('Как есть'!$A$35:$A$42,Доп.расчеты!$A146,'Как есть'!AP$35:AP$42)</f>
        <v>0</v>
      </c>
      <c r="AP146">
        <f>SUMIF('Как есть'!$A$35:$A$42,Доп.расчеты!$A146,'Как есть'!AQ$35:AQ$42)</f>
        <v>0</v>
      </c>
      <c r="AQ146">
        <f>SUMIF('Как есть'!$A$35:$A$42,Доп.расчеты!$A146,'Как есть'!AR$35:AR$42)</f>
        <v>0</v>
      </c>
      <c r="AR146">
        <f>SUMIF('Как есть'!$A$35:$A$42,Доп.расчеты!$A146,'Как есть'!AS$35:AS$42)</f>
        <v>0</v>
      </c>
      <c r="AS146">
        <f>SUMIF('Как есть'!$A$35:$A$42,Доп.расчеты!$A146,'Как есть'!AT$35:AT$42)</f>
        <v>0</v>
      </c>
      <c r="AT146">
        <f>SUMIF('Как есть'!$A$35:$A$42,Доп.расчеты!$A146,'Как есть'!AU$35:AU$42)</f>
        <v>0</v>
      </c>
      <c r="AU146">
        <f>SUMIF('Как есть'!$A$35:$A$42,Доп.расчеты!$A146,'Как есть'!AV$35:AV$42)</f>
        <v>0</v>
      </c>
      <c r="AV146">
        <f>SUMIF('Как есть'!$A$35:$A$42,Доп.расчеты!$A146,'Как есть'!AW$35:AW$42)</f>
        <v>0</v>
      </c>
      <c r="AW146">
        <f>SUMIF('Как есть'!$A$35:$A$42,Доп.расчеты!$A146,'Как есть'!AX$35:AX$42)</f>
        <v>0</v>
      </c>
      <c r="AX146">
        <f>SUMIF('Как есть'!$A$35:$A$42,Доп.расчеты!$A146,'Как есть'!AY$35:AY$42)</f>
        <v>0</v>
      </c>
      <c r="AY146">
        <f>SUMIF('Как есть'!$A$35:$A$42,Доп.расчеты!$A146,'Как есть'!AZ$35:AZ$42)</f>
        <v>0</v>
      </c>
      <c r="AZ146">
        <f>SUMIF('Как есть'!$A$35:$A$42,Доп.расчеты!$A146,'Как есть'!BA$35:BA$42)</f>
        <v>0</v>
      </c>
      <c r="BA146">
        <f>SUMIF('Как есть'!$A$35:$A$42,Доп.расчеты!$A146,'Как есть'!BB$35:BB$42)</f>
        <v>0</v>
      </c>
      <c r="BB146">
        <f>SUMIF('Как есть'!$A$35:$A$42,Доп.расчеты!$A146,'Как есть'!BC$35:BC$42)</f>
        <v>0</v>
      </c>
      <c r="BC146">
        <f>SUMIF('Как есть'!$A$35:$A$42,Доп.расчеты!$A146,'Как есть'!BD$35:BD$42)</f>
        <v>0</v>
      </c>
      <c r="BD146">
        <f>SUMIF('Как есть'!$A$35:$A$42,Доп.расчеты!$A146,'Как есть'!BE$35:BE$42)</f>
        <v>0</v>
      </c>
      <c r="BE146">
        <f>SUMIF('Как есть'!$A$35:$A$42,Доп.расчеты!$A146,'Как есть'!BF$35:BF$42)</f>
        <v>0</v>
      </c>
      <c r="BF146">
        <f>SUMIF('Как есть'!$A$35:$A$42,Доп.расчеты!$A146,'Как есть'!BG$35:BG$42)</f>
        <v>0</v>
      </c>
      <c r="BG146">
        <f>SUMIF('Как есть'!$A$35:$A$42,Доп.расчеты!$A146,'Как есть'!BH$35:BH$42)</f>
        <v>0</v>
      </c>
      <c r="BH146">
        <f>SUMIF('Как есть'!$A$35:$A$42,Доп.расчеты!$A146,'Как есть'!BI$35:BI$42)</f>
        <v>0</v>
      </c>
      <c r="BI146">
        <f>SUMIF('Как есть'!$A$35:$A$42,Доп.расчеты!$A146,'Как есть'!BJ$35:BJ$42)</f>
        <v>0</v>
      </c>
      <c r="BJ146">
        <f>SUMIF('Как есть'!$A$35:$A$42,Доп.расчеты!$A146,'Как есть'!BK$35:BK$42)</f>
        <v>0</v>
      </c>
      <c r="BK146">
        <f>SUMIF('Как есть'!$A$35:$A$42,Доп.расчеты!$A146,'Как есть'!BL$35:BL$42)</f>
        <v>0</v>
      </c>
      <c r="BL146">
        <f>SUMIF('Как есть'!$A$35:$A$42,Доп.расчеты!$A146,'Как есть'!BM$35:BM$42)</f>
        <v>0</v>
      </c>
      <c r="BM146">
        <f>SUMIF('Как есть'!$A$35:$A$42,Доп.расчеты!$A146,'Как есть'!BN$35:BN$42)</f>
        <v>0</v>
      </c>
      <c r="BN146">
        <f>SUMIF('Как есть'!$A$35:$A$42,Доп.расчеты!$A146,'Как есть'!BO$35:BO$42)</f>
        <v>0</v>
      </c>
      <c r="BO146">
        <f>SUMIF('Как есть'!$A$35:$A$42,Доп.расчеты!$A146,'Как есть'!BP$35:BP$42)</f>
        <v>0</v>
      </c>
      <c r="BP146">
        <f>SUMIF('Как есть'!$A$35:$A$42,Доп.расчеты!$A146,'Как есть'!BQ$35:BQ$42)</f>
        <v>0</v>
      </c>
      <c r="BQ146">
        <f>SUMIF('Как есть'!$A$35:$A$42,Доп.расчеты!$A146,'Как есть'!BR$35:BR$42)</f>
        <v>0</v>
      </c>
      <c r="BR146">
        <f>SUMIF('Как есть'!$A$35:$A$42,Доп.расчеты!$A146,'Как есть'!BS$35:BS$42)</f>
        <v>0</v>
      </c>
      <c r="BS146">
        <f>SUMIF('Как есть'!$A$35:$A$42,Доп.расчеты!$A146,'Как есть'!BT$35:BT$42)</f>
        <v>0</v>
      </c>
      <c r="BT146">
        <f>SUMIF('Как есть'!$A$35:$A$42,Доп.расчеты!$A146,'Как есть'!BU$35:BU$42)</f>
        <v>0</v>
      </c>
      <c r="BU146">
        <f>SUMIF('Как есть'!$A$35:$A$42,Доп.расчеты!$A146,'Как есть'!BV$35:BV$42)</f>
        <v>0</v>
      </c>
      <c r="BV146">
        <f>SUMIF('Как есть'!$A$35:$A$42,Доп.расчеты!$A146,'Как есть'!BW$35:BW$42)</f>
        <v>0</v>
      </c>
      <c r="BW146">
        <f>SUMIF('Как есть'!$A$35:$A$42,Доп.расчеты!$A146,'Как есть'!BX$35:BX$42)</f>
        <v>0</v>
      </c>
      <c r="BX146">
        <f>SUMIF('Как есть'!$A$35:$A$42,Доп.расчеты!$A146,'Как есть'!BY$35:BY$42)</f>
        <v>0</v>
      </c>
      <c r="BY146">
        <f>SUMIF('Как есть'!$A$35:$A$42,Доп.расчеты!$A146,'Как есть'!BZ$35:BZ$42)</f>
        <v>0</v>
      </c>
      <c r="BZ146">
        <f>SUMIF('Как есть'!$A$35:$A$42,Доп.расчеты!$A146,'Как есть'!CA$35:CA$42)</f>
        <v>0</v>
      </c>
      <c r="CA146">
        <f>SUMIF('Как есть'!$A$35:$A$42,Доп.расчеты!$A146,'Как есть'!CB$35:CB$42)</f>
        <v>0</v>
      </c>
      <c r="CB146">
        <f>SUMIF('Как есть'!$A$35:$A$42,Доп.расчеты!$A146,'Как есть'!CC$35:CC$42)</f>
        <v>0</v>
      </c>
      <c r="CC146">
        <f>SUMIF('Как есть'!$A$35:$A$42,Доп.расчеты!$A146,'Как есть'!CD$35:CD$42)</f>
        <v>0</v>
      </c>
      <c r="CD146">
        <f>SUMIF('Как есть'!$A$35:$A$42,Доп.расчеты!$A146,'Как есть'!CE$35:CE$42)</f>
        <v>0</v>
      </c>
      <c r="CE146">
        <f>SUMIF('Как есть'!$A$35:$A$42,Доп.расчеты!$A146,'Как есть'!CF$35:CF$42)</f>
        <v>0</v>
      </c>
      <c r="CF146">
        <f>SUMIF('Как есть'!$A$35:$A$42,Доп.расчеты!$A146,'Как есть'!CG$35:CG$42)</f>
        <v>0</v>
      </c>
      <c r="CG146">
        <f>SUMIF('Как есть'!$A$35:$A$42,Доп.расчеты!$A146,'Как есть'!CH$35:CH$42)</f>
        <v>0</v>
      </c>
      <c r="CH146">
        <f>SUMIF('Как есть'!$A$35:$A$42,Доп.расчеты!$A146,'Как есть'!CI$35:CI$42)</f>
        <v>0</v>
      </c>
      <c r="CI146">
        <f>SUMIF('Как есть'!$A$35:$A$42,Доп.расчеты!$A146,'Как есть'!CJ$35:CJ$42)</f>
        <v>0</v>
      </c>
      <c r="CJ146">
        <f>SUMIF('Как есть'!$A$35:$A$42,Доп.расчеты!$A146,'Как есть'!CK$35:CK$42)</f>
        <v>0</v>
      </c>
      <c r="CK146">
        <f>SUMIF('Как есть'!$A$35:$A$42,Доп.расчеты!$A146,'Как есть'!CL$35:CL$42)</f>
        <v>0</v>
      </c>
      <c r="CL146">
        <f>SUMIF('Как есть'!$A$35:$A$42,Доп.расчеты!$A146,'Как есть'!CM$35:CM$42)</f>
        <v>0</v>
      </c>
      <c r="CM146">
        <f>SUMIF('Как есть'!$A$35:$A$42,Доп.расчеты!$A146,'Как есть'!CN$35:CN$42)</f>
        <v>0</v>
      </c>
      <c r="CN146">
        <f>SUMIF('Как есть'!$A$35:$A$42,Доп.расчеты!$A146,'Как есть'!CO$35:CO$42)</f>
        <v>0</v>
      </c>
      <c r="CO146">
        <f>SUMIF('Как есть'!$A$35:$A$42,Доп.расчеты!$A146,'Как есть'!CP$35:CP$42)</f>
        <v>0</v>
      </c>
      <c r="CP146">
        <f>SUMIF('Как есть'!$A$35:$A$42,Доп.расчеты!$A146,'Как есть'!CQ$35:CQ$42)</f>
        <v>0</v>
      </c>
      <c r="CQ146">
        <f>SUMIF('Как есть'!$A$35:$A$42,Доп.расчеты!$A146,'Как есть'!CR$35:CR$42)</f>
        <v>0</v>
      </c>
      <c r="CR146">
        <f>SUMIF('Как есть'!$A$35:$A$42,Доп.расчеты!$A146,'Как есть'!CS$35:CS$42)</f>
        <v>0</v>
      </c>
      <c r="CS146">
        <f>SUMIF('Как есть'!$A$35:$A$42,Доп.расчеты!$A146,'Как есть'!CT$35:CT$42)</f>
        <v>0</v>
      </c>
      <c r="CT146">
        <f>SUMIF('Как есть'!$A$35:$A$42,Доп.расчеты!$A146,'Как есть'!CU$35:CU$42)</f>
        <v>0</v>
      </c>
      <c r="CU146">
        <f>SUMIF('Как есть'!$A$35:$A$42,Доп.расчеты!$A146,'Как есть'!CV$35:CV$42)</f>
        <v>0</v>
      </c>
      <c r="CV146">
        <f>SUMIF('Как есть'!$A$35:$A$42,Доп.расчеты!$A146,'Как есть'!CW$35:CW$42)</f>
        <v>0</v>
      </c>
      <c r="CW146">
        <f>SUMIF('Как есть'!$A$35:$A$42,Доп.расчеты!$A146,'Как есть'!CX$35:CX$42)</f>
        <v>0</v>
      </c>
      <c r="CX146">
        <f>SUMIF('Как есть'!$A$35:$A$42,Доп.расчеты!$A146,'Как есть'!CY$35:CY$42)</f>
        <v>0</v>
      </c>
      <c r="CY146">
        <f>SUMIF('Как есть'!$A$35:$A$42,Доп.расчеты!$A146,'Как есть'!CZ$35:CZ$42)</f>
        <v>0</v>
      </c>
      <c r="CZ146">
        <f>SUMIF('Как есть'!$A$35:$A$42,Доп.расчеты!$A146,'Как есть'!DA$35:DA$42)</f>
        <v>0</v>
      </c>
      <c r="DA146">
        <f>SUMIF('Как есть'!$A$35:$A$42,Доп.расчеты!$A146,'Как есть'!DB$35:DB$42)</f>
        <v>0</v>
      </c>
      <c r="DB146">
        <f>SUMIF('Как есть'!$A$35:$A$42,Доп.расчеты!$A146,'Как есть'!DC$35:DC$42)</f>
        <v>0</v>
      </c>
      <c r="DC146">
        <f>SUMIF('Как есть'!$A$35:$A$42,Доп.расчеты!$A146,'Как есть'!DD$35:DD$42)</f>
        <v>0</v>
      </c>
      <c r="DD146">
        <f>SUMIF('Как есть'!$A$35:$A$42,Доп.расчеты!$A146,'Как есть'!DE$35:DE$42)</f>
        <v>0</v>
      </c>
      <c r="DE146">
        <f>SUMIF('Как есть'!$A$35:$A$42,Доп.расчеты!$A146,'Как есть'!DF$35:DF$42)</f>
        <v>0</v>
      </c>
      <c r="DF146">
        <f>SUMIF('Как есть'!$A$35:$A$42,Доп.расчеты!$A146,'Как есть'!DG$35:DG$42)</f>
        <v>0</v>
      </c>
      <c r="DG146">
        <f>SUMIF('Как есть'!$A$35:$A$42,Доп.расчеты!$A146,'Как есть'!DH$35:DH$42)</f>
        <v>0</v>
      </c>
      <c r="DH146">
        <f>SUMIF('Как есть'!$A$35:$A$42,Доп.расчеты!$A146,'Как есть'!DI$35:DI$42)</f>
        <v>0</v>
      </c>
      <c r="DI146">
        <f>SUMIF('Как есть'!$A$35:$A$42,Доп.расчеты!$A146,'Как есть'!DJ$35:DJ$42)</f>
        <v>0</v>
      </c>
      <c r="DJ146">
        <f>SUMIF('Как есть'!$A$35:$A$42,Доп.расчеты!$A146,'Как есть'!DK$35:DK$42)</f>
        <v>0</v>
      </c>
      <c r="DK146">
        <f>SUMIF('Как есть'!$A$35:$A$42,Доп.расчеты!$A146,'Как есть'!DL$35:DL$42)</f>
        <v>0</v>
      </c>
      <c r="DL146">
        <f>SUMIF('Как есть'!$A$35:$A$42,Доп.расчеты!$A146,'Как есть'!DM$35:DM$42)</f>
        <v>0</v>
      </c>
      <c r="DM146">
        <f>SUMIF('Как есть'!$A$35:$A$42,Доп.расчеты!$A146,'Как есть'!DN$35:DN$42)</f>
        <v>0</v>
      </c>
      <c r="DN146">
        <f>SUMIF('Как есть'!$A$35:$A$42,Доп.расчеты!$A146,'Как есть'!DO$35:DO$42)</f>
        <v>0</v>
      </c>
      <c r="DO146">
        <f>SUMIF('Как есть'!$A$35:$A$42,Доп.расчеты!$A146,'Как есть'!DP$35:DP$42)</f>
        <v>0</v>
      </c>
      <c r="DP146">
        <f>SUMIF('Как есть'!$A$35:$A$42,Доп.расчеты!$A146,'Как есть'!DQ$35:DQ$42)</f>
        <v>0</v>
      </c>
      <c r="DQ146">
        <f>SUMIF('Как есть'!$A$35:$A$42,Доп.расчеты!$A146,'Как есть'!DR$35:DR$42)</f>
        <v>0</v>
      </c>
      <c r="DR146">
        <f>SUMIF('Как есть'!$A$35:$A$42,Доп.расчеты!$A146,'Как есть'!DS$35:DS$42)</f>
        <v>0</v>
      </c>
      <c r="DS146">
        <f>SUMIF('Как есть'!$A$35:$A$42,Доп.расчеты!$A146,'Как есть'!DT$35:DT$42)</f>
        <v>0</v>
      </c>
      <c r="DT146">
        <f>SUMIF('Как есть'!$A$35:$A$42,Доп.расчеты!$A146,'Как есть'!DU$35:DU$42)</f>
        <v>0</v>
      </c>
      <c r="DU146">
        <f>SUMIF('Как есть'!$A$35:$A$42,Доп.расчеты!$A146,'Как есть'!DV$35:DV$42)</f>
        <v>0</v>
      </c>
      <c r="DV146">
        <f>SUMIF('Как есть'!$A$35:$A$42,Доп.расчеты!$A146,'Как есть'!DW$35:DW$42)</f>
        <v>0</v>
      </c>
      <c r="DW146">
        <f>SUMIF('Как есть'!$A$35:$A$42,Доп.расчеты!$A146,'Как есть'!DX$35:DX$42)</f>
        <v>0</v>
      </c>
      <c r="DX146">
        <f>SUMIF('Как есть'!$A$35:$A$42,Доп.расчеты!$A146,'Как есть'!DY$35:DY$42)</f>
        <v>0</v>
      </c>
      <c r="DY146">
        <f>SUMIF('Как есть'!$A$35:$A$42,Доп.расчеты!$A146,'Как есть'!DZ$35:DZ$42)</f>
        <v>0</v>
      </c>
      <c r="DZ146">
        <f>SUMIF('Как есть'!$A$35:$A$42,Доп.расчеты!$A146,'Как есть'!EA$35:EA$42)</f>
        <v>0</v>
      </c>
      <c r="EA146">
        <f>SUMIF('Как есть'!$A$35:$A$42,Доп.расчеты!$A146,'Как есть'!EB$35:EB$42)</f>
        <v>0</v>
      </c>
      <c r="EB146">
        <f>SUMIF('Как есть'!$A$35:$A$42,Доп.расчеты!$A146,'Как есть'!EC$35:EC$42)</f>
        <v>0</v>
      </c>
      <c r="EC146">
        <f>SUMIF('Как есть'!$A$35:$A$42,Доп.расчеты!$A146,'Как есть'!ED$35:ED$42)</f>
        <v>0</v>
      </c>
      <c r="ED146">
        <f>SUMIF('Как есть'!$A$35:$A$42,Доп.расчеты!$A146,'Как есть'!EE$35:EE$42)</f>
        <v>0</v>
      </c>
      <c r="EE146">
        <f>SUMIF('Как есть'!$A$35:$A$42,Доп.расчеты!$A146,'Как есть'!EF$35:EF$42)</f>
        <v>0</v>
      </c>
      <c r="EF146">
        <f>SUMIF('Как есть'!$A$35:$A$42,Доп.расчеты!$A146,'Как есть'!EG$35:EG$42)</f>
        <v>0</v>
      </c>
      <c r="EG146">
        <f>SUMIF('Как есть'!$A$35:$A$42,Доп.расчеты!$A146,'Как есть'!EH$35:EH$42)</f>
        <v>0</v>
      </c>
      <c r="EH146">
        <f>SUMIF('Как есть'!$A$35:$A$42,Доп.расчеты!$A146,'Как есть'!EI$35:EI$42)</f>
        <v>0</v>
      </c>
      <c r="EI146">
        <f>SUMIF('Как есть'!$A$35:$A$42,Доп.расчеты!$A146,'Как есть'!EJ$35:EJ$42)</f>
        <v>0</v>
      </c>
      <c r="EJ146">
        <f>SUMIF('Как есть'!$A$35:$A$42,Доп.расчеты!$A146,'Как есть'!EK$35:EK$42)</f>
        <v>0</v>
      </c>
      <c r="EK146">
        <f>SUMIF('Как есть'!$A$35:$A$42,Доп.расчеты!$A146,'Как есть'!EL$35:EL$42)</f>
        <v>0</v>
      </c>
      <c r="EL146">
        <f>SUMIF('Как есть'!$A$35:$A$42,Доп.расчеты!$A146,'Как есть'!EM$35:EM$42)</f>
        <v>0</v>
      </c>
      <c r="EM146">
        <f>SUMIF('Как есть'!$A$35:$A$42,Доп.расчеты!$A146,'Как есть'!EN$35:EN$42)</f>
        <v>0</v>
      </c>
      <c r="EN146">
        <f>SUMIF('Как есть'!$A$35:$A$42,Доп.расчеты!$A146,'Как есть'!EO$35:EO$42)</f>
        <v>0</v>
      </c>
      <c r="EO146">
        <f>SUMIF('Как есть'!$A$35:$A$42,Доп.расчеты!$A146,'Как есть'!EP$35:EP$42)</f>
        <v>0</v>
      </c>
      <c r="EP146">
        <f>SUMIF('Как есть'!$A$35:$A$42,Доп.расчеты!$A146,'Как есть'!EQ$35:EQ$42)</f>
        <v>0</v>
      </c>
      <c r="EQ146">
        <f>SUMIF('Как есть'!$A$35:$A$42,Доп.расчеты!$A146,'Как есть'!ER$35:ER$42)</f>
        <v>0</v>
      </c>
      <c r="ER146">
        <f>SUMIF('Как есть'!$A$35:$A$42,Доп.расчеты!$A146,'Как есть'!ES$35:ES$42)</f>
        <v>0</v>
      </c>
      <c r="ES146">
        <f>SUMIF('Как есть'!$A$35:$A$42,Доп.расчеты!$A146,'Как есть'!ET$35:ET$42)</f>
        <v>0</v>
      </c>
      <c r="ET146">
        <f>SUMIF('Как есть'!$A$35:$A$42,Доп.расчеты!$A146,'Как есть'!EU$35:EU$42)</f>
        <v>0</v>
      </c>
      <c r="EU146">
        <f>SUMIF('Как есть'!$A$35:$A$42,Доп.расчеты!$A146,'Как есть'!EV$35:EV$42)</f>
        <v>0</v>
      </c>
      <c r="EV146">
        <f>SUMIF('Как есть'!$A$35:$A$42,Доп.расчеты!$A146,'Как есть'!EW$35:EW$42)</f>
        <v>0</v>
      </c>
      <c r="EW146">
        <f>SUMIF('Как есть'!$A$35:$A$42,Доп.расчеты!$A146,'Как есть'!EX$35:EX$42)</f>
        <v>0</v>
      </c>
      <c r="EX146">
        <f>SUMIF('Как есть'!$A$35:$A$42,Доп.расчеты!$A146,'Как есть'!EY$35:EY$42)</f>
        <v>0</v>
      </c>
      <c r="EY146">
        <f>SUMIF('Как есть'!$A$35:$A$42,Доп.расчеты!$A146,'Как есть'!EZ$35:EZ$42)</f>
        <v>0</v>
      </c>
      <c r="EZ146">
        <f>SUMIF('Как есть'!$A$35:$A$42,Доп.расчеты!$A146,'Как есть'!FA$35:FA$42)</f>
        <v>0</v>
      </c>
      <c r="FA146">
        <f>SUMIF('Как есть'!$A$35:$A$42,Доп.расчеты!$A146,'Как есть'!FB$35:FB$42)</f>
        <v>0</v>
      </c>
      <c r="FB146">
        <f>SUMIF('Как есть'!$A$35:$A$42,Доп.расчеты!$A146,'Как есть'!FC$35:FC$42)</f>
        <v>0</v>
      </c>
      <c r="FC146">
        <f>SUMIF('Как есть'!$A$35:$A$42,Доп.расчеты!$A146,'Как есть'!FD$35:FD$42)</f>
        <v>0</v>
      </c>
      <c r="FD146">
        <f>SUMIF('Как есть'!$A$35:$A$42,Доп.расчеты!$A146,'Как есть'!FE$35:FE$42)</f>
        <v>0</v>
      </c>
      <c r="FE146">
        <f>SUMIF('Как есть'!$A$35:$A$42,Доп.расчеты!$A146,'Как есть'!FF$35:FF$42)</f>
        <v>0</v>
      </c>
      <c r="FF146">
        <f>SUMIF('Как есть'!$A$35:$A$42,Доп.расчеты!$A146,'Как есть'!FG$35:FG$42)</f>
        <v>0</v>
      </c>
      <c r="FG146">
        <f>SUMIF('Как есть'!$A$35:$A$42,Доп.расчеты!$A146,'Как есть'!FH$35:FH$42)</f>
        <v>0</v>
      </c>
      <c r="FH146">
        <f>SUMIF('Как есть'!$A$35:$A$42,Доп.расчеты!$A146,'Как есть'!FI$35:FI$42)</f>
        <v>0</v>
      </c>
      <c r="FI146">
        <f>SUMIF('Как есть'!$A$35:$A$42,Доп.расчеты!$A146,'Как есть'!FJ$35:FJ$42)</f>
        <v>0</v>
      </c>
      <c r="FJ146">
        <f>SUMIF('Как есть'!$A$35:$A$42,Доп.расчеты!$A146,'Как есть'!FK$35:FK$42)</f>
        <v>0</v>
      </c>
      <c r="FK146">
        <f>SUMIF('Как есть'!$A$35:$A$42,Доп.расчеты!$A146,'Как есть'!FL$35:FL$42)</f>
        <v>0</v>
      </c>
      <c r="FL146">
        <f>SUMIF('Как есть'!$A$35:$A$42,Доп.расчеты!$A146,'Как есть'!FM$35:FM$42)</f>
        <v>0</v>
      </c>
      <c r="FM146">
        <f>SUMIF('Как есть'!$A$35:$A$42,Доп.расчеты!$A146,'Как есть'!FN$35:FN$42)</f>
        <v>0</v>
      </c>
      <c r="FN146">
        <f>SUMIF('Как есть'!$A$35:$A$42,Доп.расчеты!$A146,'Как есть'!FO$35:FO$42)</f>
        <v>0</v>
      </c>
      <c r="FO146">
        <f>SUMIF('Как есть'!$A$35:$A$42,Доп.расчеты!$A146,'Как есть'!FP$35:FP$42)</f>
        <v>0</v>
      </c>
      <c r="FP146">
        <f>SUMIF('Как есть'!$A$35:$A$42,Доп.расчеты!$A146,'Как есть'!FQ$35:FQ$42)</f>
        <v>0</v>
      </c>
      <c r="FQ146">
        <f>SUMIF('Как есть'!$A$35:$A$42,Доп.расчеты!$A146,'Как есть'!FR$35:FR$42)</f>
        <v>0</v>
      </c>
      <c r="FR146">
        <f>SUMIF('Как есть'!$A$35:$A$42,Доп.расчеты!$A146,'Как есть'!FS$35:FS$42)</f>
        <v>0</v>
      </c>
      <c r="FS146">
        <f>SUMIF('Как есть'!$A$35:$A$42,Доп.расчеты!$A146,'Как есть'!FT$35:FT$42)</f>
        <v>0</v>
      </c>
      <c r="FT146">
        <f>SUMIF('Как есть'!$A$35:$A$42,Доп.расчеты!$A146,'Как есть'!FU$35:FU$42)</f>
        <v>0</v>
      </c>
      <c r="FU146">
        <f>SUMIF('Как есть'!$A$35:$A$42,Доп.расчеты!$A146,'Как есть'!FV$35:FV$42)</f>
        <v>0</v>
      </c>
      <c r="FV146">
        <f>SUMIF('Как есть'!$A$35:$A$42,Доп.расчеты!$A146,'Как есть'!FW$35:FW$42)</f>
        <v>0</v>
      </c>
      <c r="FW146">
        <f>SUMIF('Как есть'!$A$35:$A$42,Доп.расчеты!$A146,'Как есть'!FX$35:FX$42)</f>
        <v>0</v>
      </c>
      <c r="FX146">
        <f>SUMIF('Как есть'!$A$35:$A$42,Доп.расчеты!$A146,'Как есть'!FY$35:FY$42)</f>
        <v>0</v>
      </c>
      <c r="FY146">
        <f>SUMIF('Как есть'!$A$35:$A$42,Доп.расчеты!$A146,'Как есть'!FZ$35:FZ$42)</f>
        <v>0</v>
      </c>
      <c r="FZ146">
        <f>SUMIF('Как есть'!$A$35:$A$42,Доп.расчеты!$A146,'Как есть'!GA$35:GA$42)</f>
        <v>0</v>
      </c>
      <c r="GA146">
        <f>SUMIF('Как есть'!$A$35:$A$42,Доп.расчеты!$A146,'Как есть'!GB$35:GB$42)</f>
        <v>0</v>
      </c>
      <c r="GB146">
        <f>SUMIF('Как есть'!$A$35:$A$42,Доп.расчеты!$A146,'Как есть'!GC$35:GC$42)</f>
        <v>0</v>
      </c>
      <c r="GC146">
        <f>SUMIF('Как есть'!$A$35:$A$42,Доп.расчеты!$A146,'Как есть'!GD$35:GD$42)</f>
        <v>0</v>
      </c>
      <c r="GD146">
        <f>SUMIF('Как есть'!$A$35:$A$42,Доп.расчеты!$A146,'Как есть'!GE$35:GE$42)</f>
        <v>0</v>
      </c>
      <c r="GE146">
        <f>SUMIF('Как есть'!$A$35:$A$42,Доп.расчеты!$A146,'Как есть'!GF$35:GF$42)</f>
        <v>0</v>
      </c>
      <c r="GF146">
        <f>SUMIF('Как есть'!$A$35:$A$42,Доп.расчеты!$A146,'Как есть'!GG$35:GG$42)</f>
        <v>0</v>
      </c>
      <c r="GG146">
        <f>SUMIF('Как есть'!$A$35:$A$42,Доп.расчеты!$A146,'Как есть'!GH$35:GH$42)</f>
        <v>0</v>
      </c>
      <c r="GH146">
        <f>SUMIF('Как есть'!$A$35:$A$42,Доп.расчеты!$A146,'Как есть'!GI$35:GI$42)</f>
        <v>0</v>
      </c>
      <c r="GI146">
        <f>SUMIF('Как есть'!$A$35:$A$42,Доп.расчеты!$A146,'Как есть'!GJ$35:GJ$42)</f>
        <v>0</v>
      </c>
      <c r="GJ146">
        <f>SUMIF('Как есть'!$A$35:$A$42,Доп.расчеты!$A146,'Как есть'!GK$35:GK$42)</f>
        <v>0</v>
      </c>
      <c r="GK146">
        <f>SUMIF('Как есть'!$A$35:$A$42,Доп.расчеты!$A146,'Как есть'!GL$35:GL$42)</f>
        <v>0</v>
      </c>
      <c r="GL146">
        <f>SUMIF('Как есть'!$A$35:$A$42,Доп.расчеты!$A146,'Как есть'!GM$35:GM$42)</f>
        <v>0</v>
      </c>
      <c r="GM146">
        <f>SUMIF('Как есть'!$A$35:$A$42,Доп.расчеты!$A146,'Как есть'!GN$35:GN$42)</f>
        <v>0</v>
      </c>
      <c r="GN146">
        <f>SUMIF('Как есть'!$A$35:$A$42,Доп.расчеты!$A146,'Как есть'!GO$35:GO$42)</f>
        <v>0</v>
      </c>
      <c r="GO146">
        <f>SUMIF('Как есть'!$A$35:$A$42,Доп.расчеты!$A146,'Как есть'!GP$35:GP$42)</f>
        <v>0</v>
      </c>
      <c r="GP146">
        <f>SUMIF('Как есть'!$A$35:$A$42,Доп.расчеты!$A146,'Как есть'!GQ$35:GQ$42)</f>
        <v>0</v>
      </c>
      <c r="GQ146">
        <f>SUMIF('Как есть'!$A$35:$A$42,Доп.расчеты!$A146,'Как есть'!GR$35:GR$42)</f>
        <v>0</v>
      </c>
      <c r="GR146">
        <f>SUMIF('Как есть'!$A$35:$A$42,Доп.расчеты!$A146,'Как есть'!GS$35:GS$42)</f>
        <v>0</v>
      </c>
      <c r="GS146">
        <f>SUMIF('Как есть'!$A$35:$A$42,Доп.расчеты!$A146,'Как есть'!GT$35:GT$42)</f>
        <v>0</v>
      </c>
      <c r="GT146">
        <f>SUMIF('Как есть'!$A$35:$A$42,Доп.расчеты!$A146,'Как есть'!GU$35:GU$42)</f>
        <v>0</v>
      </c>
    </row>
    <row r="147" spans="1:202" hidden="1" outlineLevel="1">
      <c r="A147" s="238" t="s">
        <v>118</v>
      </c>
      <c r="B147">
        <f>SUMIF('Как есть'!$A$35:$A$42,Доп.расчеты!$A147,'Как есть'!C$35:C$42)</f>
        <v>0</v>
      </c>
      <c r="C147">
        <f>SUMIF('Как есть'!$A$35:$A$42,Доп.расчеты!$A147,'Как есть'!D$35:D$42)</f>
        <v>0</v>
      </c>
      <c r="D147">
        <f>SUMIF('Как есть'!$A$35:$A$42,Доп.расчеты!$A147,'Как есть'!E$35:E$42)</f>
        <v>0</v>
      </c>
      <c r="E147">
        <f>SUMIF('Как есть'!$A$35:$A$42,Доп.расчеты!$A147,'Как есть'!F$35:F$42)</f>
        <v>0</v>
      </c>
      <c r="F147">
        <f>SUMIF('Как есть'!$A$35:$A$42,Доп.расчеты!$A147,'Как есть'!G$35:G$42)</f>
        <v>0</v>
      </c>
      <c r="G147">
        <f>SUMIF('Как есть'!$A$35:$A$42,Доп.расчеты!$A147,'Как есть'!H$35:H$42)</f>
        <v>0</v>
      </c>
      <c r="H147">
        <f>SUMIF('Как есть'!$A$35:$A$42,Доп.расчеты!$A147,'Как есть'!I$35:I$42)</f>
        <v>0</v>
      </c>
      <c r="I147">
        <f>SUMIF('Как есть'!$A$35:$A$42,Доп.расчеты!$A147,'Как есть'!J$35:J$42)</f>
        <v>0</v>
      </c>
      <c r="J147">
        <f>SUMIF('Как есть'!$A$35:$A$42,Доп.расчеты!$A147,'Как есть'!K$35:K$42)</f>
        <v>0</v>
      </c>
      <c r="K147">
        <f>SUMIF('Как есть'!$A$35:$A$42,Доп.расчеты!$A147,'Как есть'!L$35:L$42)</f>
        <v>0</v>
      </c>
      <c r="L147">
        <f>SUMIF('Как есть'!$A$35:$A$42,Доп.расчеты!$A147,'Как есть'!M$35:M$42)</f>
        <v>0</v>
      </c>
      <c r="M147">
        <f>SUMIF('Как есть'!$A$35:$A$42,Доп.расчеты!$A147,'Как есть'!N$35:N$42)</f>
        <v>0</v>
      </c>
      <c r="N147">
        <f>SUMIF('Как есть'!$A$35:$A$42,Доп.расчеты!$A147,'Как есть'!O$35:O$42)</f>
        <v>0</v>
      </c>
      <c r="O147">
        <f>SUMIF('Как есть'!$A$35:$A$42,Доп.расчеты!$A147,'Как есть'!P$35:P$42)</f>
        <v>0</v>
      </c>
      <c r="P147">
        <f>SUMIF('Как есть'!$A$35:$A$42,Доп.расчеты!$A147,'Как есть'!Q$35:Q$42)</f>
        <v>0</v>
      </c>
      <c r="Q147">
        <f>SUMIF('Как есть'!$A$35:$A$42,Доп.расчеты!$A147,'Как есть'!R$35:R$42)</f>
        <v>0</v>
      </c>
      <c r="R147">
        <f>SUMIF('Как есть'!$A$35:$A$42,Доп.расчеты!$A147,'Как есть'!S$35:S$42)</f>
        <v>0</v>
      </c>
      <c r="S147">
        <f>SUMIF('Как есть'!$A$35:$A$42,Доп.расчеты!$A147,'Как есть'!T$35:T$42)</f>
        <v>0</v>
      </c>
      <c r="T147">
        <f>SUMIF('Как есть'!$A$35:$A$42,Доп.расчеты!$A147,'Как есть'!U$35:U$42)</f>
        <v>0</v>
      </c>
      <c r="U147">
        <f>SUMIF('Как есть'!$A$35:$A$42,Доп.расчеты!$A147,'Как есть'!V$35:V$42)</f>
        <v>0</v>
      </c>
      <c r="V147">
        <f>SUMIF('Как есть'!$A$35:$A$42,Доп.расчеты!$A147,'Как есть'!W$35:W$42)</f>
        <v>0</v>
      </c>
      <c r="W147">
        <f>SUMIF('Как есть'!$A$35:$A$42,Доп.расчеты!$A147,'Как есть'!X$35:X$42)</f>
        <v>0</v>
      </c>
      <c r="X147">
        <f>SUMIF('Как есть'!$A$35:$A$42,Доп.расчеты!$A147,'Как есть'!Y$35:Y$42)</f>
        <v>0</v>
      </c>
      <c r="Y147">
        <f>SUMIF('Как есть'!$A$35:$A$42,Доп.расчеты!$A147,'Как есть'!Z$35:Z$42)</f>
        <v>0</v>
      </c>
      <c r="Z147">
        <f>SUMIF('Как есть'!$A$35:$A$42,Доп.расчеты!$A147,'Как есть'!AA$35:AA$42)</f>
        <v>0</v>
      </c>
      <c r="AA147">
        <f>SUMIF('Как есть'!$A$35:$A$42,Доп.расчеты!$A147,'Как есть'!AB$35:AB$42)</f>
        <v>0</v>
      </c>
      <c r="AB147">
        <f>SUMIF('Как есть'!$A$35:$A$42,Доп.расчеты!$A147,'Как есть'!AC$35:AC$42)</f>
        <v>0</v>
      </c>
      <c r="AC147">
        <f>SUMIF('Как есть'!$A$35:$A$42,Доп.расчеты!$A147,'Как есть'!AD$35:AD$42)</f>
        <v>0</v>
      </c>
      <c r="AD147">
        <f>SUMIF('Как есть'!$A$35:$A$42,Доп.расчеты!$A147,'Как есть'!AE$35:AE$42)</f>
        <v>0</v>
      </c>
      <c r="AE147">
        <f>SUMIF('Как есть'!$A$35:$A$42,Доп.расчеты!$A147,'Как есть'!AF$35:AF$42)</f>
        <v>0</v>
      </c>
      <c r="AF147">
        <f>SUMIF('Как есть'!$A$35:$A$42,Доп.расчеты!$A147,'Как есть'!AG$35:AG$42)</f>
        <v>0</v>
      </c>
      <c r="AG147">
        <f>SUMIF('Как есть'!$A$35:$A$42,Доп.расчеты!$A147,'Как есть'!AH$35:AH$42)</f>
        <v>0</v>
      </c>
      <c r="AH147">
        <f>SUMIF('Как есть'!$A$35:$A$42,Доп.расчеты!$A147,'Как есть'!AI$35:AI$42)</f>
        <v>0</v>
      </c>
      <c r="AI147">
        <f>SUMIF('Как есть'!$A$35:$A$42,Доп.расчеты!$A147,'Как есть'!AJ$35:AJ$42)</f>
        <v>0</v>
      </c>
      <c r="AJ147">
        <f>SUMIF('Как есть'!$A$35:$A$42,Доп.расчеты!$A147,'Как есть'!AK$35:AK$42)</f>
        <v>0</v>
      </c>
      <c r="AK147">
        <f>SUMIF('Как есть'!$A$35:$A$42,Доп.расчеты!$A147,'Как есть'!AL$35:AL$42)</f>
        <v>0</v>
      </c>
      <c r="AL147">
        <f>SUMIF('Как есть'!$A$35:$A$42,Доп.расчеты!$A147,'Как есть'!AM$35:AM$42)</f>
        <v>0</v>
      </c>
      <c r="AM147">
        <f>SUMIF('Как есть'!$A$35:$A$42,Доп.расчеты!$A147,'Как есть'!AN$35:AN$42)</f>
        <v>0</v>
      </c>
      <c r="AN147">
        <f>SUMIF('Как есть'!$A$35:$A$42,Доп.расчеты!$A147,'Как есть'!AO$35:AO$42)</f>
        <v>0</v>
      </c>
      <c r="AO147">
        <f>SUMIF('Как есть'!$A$35:$A$42,Доп.расчеты!$A147,'Как есть'!AP$35:AP$42)</f>
        <v>0</v>
      </c>
      <c r="AP147">
        <f>SUMIF('Как есть'!$A$35:$A$42,Доп.расчеты!$A147,'Как есть'!AQ$35:AQ$42)</f>
        <v>0</v>
      </c>
      <c r="AQ147">
        <f>SUMIF('Как есть'!$A$35:$A$42,Доп.расчеты!$A147,'Как есть'!AR$35:AR$42)</f>
        <v>0</v>
      </c>
      <c r="AR147">
        <f>SUMIF('Как есть'!$A$35:$A$42,Доп.расчеты!$A147,'Как есть'!AS$35:AS$42)</f>
        <v>0</v>
      </c>
      <c r="AS147">
        <f>SUMIF('Как есть'!$A$35:$A$42,Доп.расчеты!$A147,'Как есть'!AT$35:AT$42)</f>
        <v>0</v>
      </c>
      <c r="AT147">
        <f>SUMIF('Как есть'!$A$35:$A$42,Доп.расчеты!$A147,'Как есть'!AU$35:AU$42)</f>
        <v>0</v>
      </c>
      <c r="AU147">
        <f>SUMIF('Как есть'!$A$35:$A$42,Доп.расчеты!$A147,'Как есть'!AV$35:AV$42)</f>
        <v>0</v>
      </c>
      <c r="AV147">
        <f>SUMIF('Как есть'!$A$35:$A$42,Доп.расчеты!$A147,'Как есть'!AW$35:AW$42)</f>
        <v>0</v>
      </c>
      <c r="AW147">
        <f>SUMIF('Как есть'!$A$35:$A$42,Доп.расчеты!$A147,'Как есть'!AX$35:AX$42)</f>
        <v>0</v>
      </c>
      <c r="AX147">
        <f>SUMIF('Как есть'!$A$35:$A$42,Доп.расчеты!$A147,'Как есть'!AY$35:AY$42)</f>
        <v>0</v>
      </c>
      <c r="AY147">
        <f>SUMIF('Как есть'!$A$35:$A$42,Доп.расчеты!$A147,'Как есть'!AZ$35:AZ$42)</f>
        <v>0</v>
      </c>
      <c r="AZ147">
        <f>SUMIF('Как есть'!$A$35:$A$42,Доп.расчеты!$A147,'Как есть'!BA$35:BA$42)</f>
        <v>0</v>
      </c>
      <c r="BA147">
        <f>SUMIF('Как есть'!$A$35:$A$42,Доп.расчеты!$A147,'Как есть'!BB$35:BB$42)</f>
        <v>0</v>
      </c>
      <c r="BB147">
        <f>SUMIF('Как есть'!$A$35:$A$42,Доп.расчеты!$A147,'Как есть'!BC$35:BC$42)</f>
        <v>0</v>
      </c>
      <c r="BC147">
        <f>SUMIF('Как есть'!$A$35:$A$42,Доп.расчеты!$A147,'Как есть'!BD$35:BD$42)</f>
        <v>0</v>
      </c>
      <c r="BD147">
        <f>SUMIF('Как есть'!$A$35:$A$42,Доп.расчеты!$A147,'Как есть'!BE$35:BE$42)</f>
        <v>0</v>
      </c>
      <c r="BE147">
        <f>SUMIF('Как есть'!$A$35:$A$42,Доп.расчеты!$A147,'Как есть'!BF$35:BF$42)</f>
        <v>0</v>
      </c>
      <c r="BF147">
        <f>SUMIF('Как есть'!$A$35:$A$42,Доп.расчеты!$A147,'Как есть'!BG$35:BG$42)</f>
        <v>0</v>
      </c>
      <c r="BG147">
        <f>SUMIF('Как есть'!$A$35:$A$42,Доп.расчеты!$A147,'Как есть'!BH$35:BH$42)</f>
        <v>0</v>
      </c>
      <c r="BH147">
        <f>SUMIF('Как есть'!$A$35:$A$42,Доп.расчеты!$A147,'Как есть'!BI$35:BI$42)</f>
        <v>0</v>
      </c>
      <c r="BI147">
        <f>SUMIF('Как есть'!$A$35:$A$42,Доп.расчеты!$A147,'Как есть'!BJ$35:BJ$42)</f>
        <v>0</v>
      </c>
      <c r="BJ147">
        <f>SUMIF('Как есть'!$A$35:$A$42,Доп.расчеты!$A147,'Как есть'!BK$35:BK$42)</f>
        <v>0</v>
      </c>
      <c r="BK147">
        <f>SUMIF('Как есть'!$A$35:$A$42,Доп.расчеты!$A147,'Как есть'!BL$35:BL$42)</f>
        <v>0</v>
      </c>
      <c r="BL147">
        <f>SUMIF('Как есть'!$A$35:$A$42,Доп.расчеты!$A147,'Как есть'!BM$35:BM$42)</f>
        <v>0</v>
      </c>
      <c r="BM147">
        <f>SUMIF('Как есть'!$A$35:$A$42,Доп.расчеты!$A147,'Как есть'!BN$35:BN$42)</f>
        <v>0</v>
      </c>
      <c r="BN147">
        <f>SUMIF('Как есть'!$A$35:$A$42,Доп.расчеты!$A147,'Как есть'!BO$35:BO$42)</f>
        <v>0</v>
      </c>
      <c r="BO147">
        <f>SUMIF('Как есть'!$A$35:$A$42,Доп.расчеты!$A147,'Как есть'!BP$35:BP$42)</f>
        <v>0</v>
      </c>
      <c r="BP147">
        <f>SUMIF('Как есть'!$A$35:$A$42,Доп.расчеты!$A147,'Как есть'!BQ$35:BQ$42)</f>
        <v>0</v>
      </c>
      <c r="BQ147">
        <f>SUMIF('Как есть'!$A$35:$A$42,Доп.расчеты!$A147,'Как есть'!BR$35:BR$42)</f>
        <v>0</v>
      </c>
      <c r="BR147">
        <f>SUMIF('Как есть'!$A$35:$A$42,Доп.расчеты!$A147,'Как есть'!BS$35:BS$42)</f>
        <v>0</v>
      </c>
      <c r="BS147">
        <f>SUMIF('Как есть'!$A$35:$A$42,Доп.расчеты!$A147,'Как есть'!BT$35:BT$42)</f>
        <v>0</v>
      </c>
      <c r="BT147">
        <f>SUMIF('Как есть'!$A$35:$A$42,Доп.расчеты!$A147,'Как есть'!BU$35:BU$42)</f>
        <v>0</v>
      </c>
      <c r="BU147">
        <f>SUMIF('Как есть'!$A$35:$A$42,Доп.расчеты!$A147,'Как есть'!BV$35:BV$42)</f>
        <v>0</v>
      </c>
      <c r="BV147">
        <f>SUMIF('Как есть'!$A$35:$A$42,Доп.расчеты!$A147,'Как есть'!BW$35:BW$42)</f>
        <v>0</v>
      </c>
      <c r="BW147">
        <f>SUMIF('Как есть'!$A$35:$A$42,Доп.расчеты!$A147,'Как есть'!BX$35:BX$42)</f>
        <v>0</v>
      </c>
      <c r="BX147">
        <f>SUMIF('Как есть'!$A$35:$A$42,Доп.расчеты!$A147,'Как есть'!BY$35:BY$42)</f>
        <v>0</v>
      </c>
      <c r="BY147">
        <f>SUMIF('Как есть'!$A$35:$A$42,Доп.расчеты!$A147,'Как есть'!BZ$35:BZ$42)</f>
        <v>0</v>
      </c>
      <c r="BZ147">
        <f>SUMIF('Как есть'!$A$35:$A$42,Доп.расчеты!$A147,'Как есть'!CA$35:CA$42)</f>
        <v>0</v>
      </c>
      <c r="CA147">
        <f>SUMIF('Как есть'!$A$35:$A$42,Доп.расчеты!$A147,'Как есть'!CB$35:CB$42)</f>
        <v>0</v>
      </c>
      <c r="CB147">
        <f>SUMIF('Как есть'!$A$35:$A$42,Доп.расчеты!$A147,'Как есть'!CC$35:CC$42)</f>
        <v>0</v>
      </c>
      <c r="CC147">
        <f>SUMIF('Как есть'!$A$35:$A$42,Доп.расчеты!$A147,'Как есть'!CD$35:CD$42)</f>
        <v>0</v>
      </c>
      <c r="CD147">
        <f>SUMIF('Как есть'!$A$35:$A$42,Доп.расчеты!$A147,'Как есть'!CE$35:CE$42)</f>
        <v>0</v>
      </c>
      <c r="CE147">
        <f>SUMIF('Как есть'!$A$35:$A$42,Доп.расчеты!$A147,'Как есть'!CF$35:CF$42)</f>
        <v>0</v>
      </c>
      <c r="CF147">
        <f>SUMIF('Как есть'!$A$35:$A$42,Доп.расчеты!$A147,'Как есть'!CG$35:CG$42)</f>
        <v>0</v>
      </c>
      <c r="CG147">
        <f>SUMIF('Как есть'!$A$35:$A$42,Доп.расчеты!$A147,'Как есть'!CH$35:CH$42)</f>
        <v>0</v>
      </c>
      <c r="CH147">
        <f>SUMIF('Как есть'!$A$35:$A$42,Доп.расчеты!$A147,'Как есть'!CI$35:CI$42)</f>
        <v>0</v>
      </c>
      <c r="CI147">
        <f>SUMIF('Как есть'!$A$35:$A$42,Доп.расчеты!$A147,'Как есть'!CJ$35:CJ$42)</f>
        <v>0</v>
      </c>
      <c r="CJ147">
        <f>SUMIF('Как есть'!$A$35:$A$42,Доп.расчеты!$A147,'Как есть'!CK$35:CK$42)</f>
        <v>0</v>
      </c>
      <c r="CK147">
        <f>SUMIF('Как есть'!$A$35:$A$42,Доп.расчеты!$A147,'Как есть'!CL$35:CL$42)</f>
        <v>0</v>
      </c>
      <c r="CL147">
        <f>SUMIF('Как есть'!$A$35:$A$42,Доп.расчеты!$A147,'Как есть'!CM$35:CM$42)</f>
        <v>0</v>
      </c>
      <c r="CM147">
        <f>SUMIF('Как есть'!$A$35:$A$42,Доп.расчеты!$A147,'Как есть'!CN$35:CN$42)</f>
        <v>0</v>
      </c>
      <c r="CN147">
        <f>SUMIF('Как есть'!$A$35:$A$42,Доп.расчеты!$A147,'Как есть'!CO$35:CO$42)</f>
        <v>0</v>
      </c>
      <c r="CO147">
        <f>SUMIF('Как есть'!$A$35:$A$42,Доп.расчеты!$A147,'Как есть'!CP$35:CP$42)</f>
        <v>0</v>
      </c>
      <c r="CP147">
        <f>SUMIF('Как есть'!$A$35:$A$42,Доп.расчеты!$A147,'Как есть'!CQ$35:CQ$42)</f>
        <v>0</v>
      </c>
      <c r="CQ147">
        <f>SUMIF('Как есть'!$A$35:$A$42,Доп.расчеты!$A147,'Как есть'!CR$35:CR$42)</f>
        <v>0</v>
      </c>
      <c r="CR147">
        <f>SUMIF('Как есть'!$A$35:$A$42,Доп.расчеты!$A147,'Как есть'!CS$35:CS$42)</f>
        <v>0</v>
      </c>
      <c r="CS147">
        <f>SUMIF('Как есть'!$A$35:$A$42,Доп.расчеты!$A147,'Как есть'!CT$35:CT$42)</f>
        <v>0</v>
      </c>
      <c r="CT147">
        <f>SUMIF('Как есть'!$A$35:$A$42,Доп.расчеты!$A147,'Как есть'!CU$35:CU$42)</f>
        <v>0</v>
      </c>
      <c r="CU147">
        <f>SUMIF('Как есть'!$A$35:$A$42,Доп.расчеты!$A147,'Как есть'!CV$35:CV$42)</f>
        <v>0</v>
      </c>
      <c r="CV147">
        <f>SUMIF('Как есть'!$A$35:$A$42,Доп.расчеты!$A147,'Как есть'!CW$35:CW$42)</f>
        <v>0</v>
      </c>
      <c r="CW147">
        <f>SUMIF('Как есть'!$A$35:$A$42,Доп.расчеты!$A147,'Как есть'!CX$35:CX$42)</f>
        <v>0</v>
      </c>
      <c r="CX147">
        <f>SUMIF('Как есть'!$A$35:$A$42,Доп.расчеты!$A147,'Как есть'!CY$35:CY$42)</f>
        <v>0</v>
      </c>
      <c r="CY147">
        <f>SUMIF('Как есть'!$A$35:$A$42,Доп.расчеты!$A147,'Как есть'!CZ$35:CZ$42)</f>
        <v>0</v>
      </c>
      <c r="CZ147">
        <f>SUMIF('Как есть'!$A$35:$A$42,Доп.расчеты!$A147,'Как есть'!DA$35:DA$42)</f>
        <v>0</v>
      </c>
      <c r="DA147">
        <f>SUMIF('Как есть'!$A$35:$A$42,Доп.расчеты!$A147,'Как есть'!DB$35:DB$42)</f>
        <v>0</v>
      </c>
      <c r="DB147">
        <f>SUMIF('Как есть'!$A$35:$A$42,Доп.расчеты!$A147,'Как есть'!DC$35:DC$42)</f>
        <v>0</v>
      </c>
      <c r="DC147">
        <f>SUMIF('Как есть'!$A$35:$A$42,Доп.расчеты!$A147,'Как есть'!DD$35:DD$42)</f>
        <v>0</v>
      </c>
      <c r="DD147">
        <f>SUMIF('Как есть'!$A$35:$A$42,Доп.расчеты!$A147,'Как есть'!DE$35:DE$42)</f>
        <v>0</v>
      </c>
      <c r="DE147">
        <f>SUMIF('Как есть'!$A$35:$A$42,Доп.расчеты!$A147,'Как есть'!DF$35:DF$42)</f>
        <v>0</v>
      </c>
      <c r="DF147">
        <f>SUMIF('Как есть'!$A$35:$A$42,Доп.расчеты!$A147,'Как есть'!DG$35:DG$42)</f>
        <v>0</v>
      </c>
      <c r="DG147">
        <f>SUMIF('Как есть'!$A$35:$A$42,Доп.расчеты!$A147,'Как есть'!DH$35:DH$42)</f>
        <v>0</v>
      </c>
      <c r="DH147">
        <f>SUMIF('Как есть'!$A$35:$A$42,Доп.расчеты!$A147,'Как есть'!DI$35:DI$42)</f>
        <v>0</v>
      </c>
      <c r="DI147">
        <f>SUMIF('Как есть'!$A$35:$A$42,Доп.расчеты!$A147,'Как есть'!DJ$35:DJ$42)</f>
        <v>0</v>
      </c>
      <c r="DJ147">
        <f>SUMIF('Как есть'!$A$35:$A$42,Доп.расчеты!$A147,'Как есть'!DK$35:DK$42)</f>
        <v>0</v>
      </c>
      <c r="DK147">
        <f>SUMIF('Как есть'!$A$35:$A$42,Доп.расчеты!$A147,'Как есть'!DL$35:DL$42)</f>
        <v>0</v>
      </c>
      <c r="DL147">
        <f>SUMIF('Как есть'!$A$35:$A$42,Доп.расчеты!$A147,'Как есть'!DM$35:DM$42)</f>
        <v>0</v>
      </c>
      <c r="DM147">
        <f>SUMIF('Как есть'!$A$35:$A$42,Доп.расчеты!$A147,'Как есть'!DN$35:DN$42)</f>
        <v>0</v>
      </c>
      <c r="DN147">
        <f>SUMIF('Как есть'!$A$35:$A$42,Доп.расчеты!$A147,'Как есть'!DO$35:DO$42)</f>
        <v>0</v>
      </c>
      <c r="DO147">
        <f>SUMIF('Как есть'!$A$35:$A$42,Доп.расчеты!$A147,'Как есть'!DP$35:DP$42)</f>
        <v>0</v>
      </c>
      <c r="DP147">
        <f>SUMIF('Как есть'!$A$35:$A$42,Доп.расчеты!$A147,'Как есть'!DQ$35:DQ$42)</f>
        <v>0</v>
      </c>
      <c r="DQ147">
        <f>SUMIF('Как есть'!$A$35:$A$42,Доп.расчеты!$A147,'Как есть'!DR$35:DR$42)</f>
        <v>0</v>
      </c>
      <c r="DR147">
        <f>SUMIF('Как есть'!$A$35:$A$42,Доп.расчеты!$A147,'Как есть'!DS$35:DS$42)</f>
        <v>0</v>
      </c>
      <c r="DS147">
        <f>SUMIF('Как есть'!$A$35:$A$42,Доп.расчеты!$A147,'Как есть'!DT$35:DT$42)</f>
        <v>0</v>
      </c>
      <c r="DT147">
        <f>SUMIF('Как есть'!$A$35:$A$42,Доп.расчеты!$A147,'Как есть'!DU$35:DU$42)</f>
        <v>0</v>
      </c>
      <c r="DU147">
        <f>SUMIF('Как есть'!$A$35:$A$42,Доп.расчеты!$A147,'Как есть'!DV$35:DV$42)</f>
        <v>0</v>
      </c>
      <c r="DV147">
        <f>SUMIF('Как есть'!$A$35:$A$42,Доп.расчеты!$A147,'Как есть'!DW$35:DW$42)</f>
        <v>0</v>
      </c>
      <c r="DW147">
        <f>SUMIF('Как есть'!$A$35:$A$42,Доп.расчеты!$A147,'Как есть'!DX$35:DX$42)</f>
        <v>0</v>
      </c>
      <c r="DX147">
        <f>SUMIF('Как есть'!$A$35:$A$42,Доп.расчеты!$A147,'Как есть'!DY$35:DY$42)</f>
        <v>0</v>
      </c>
      <c r="DY147">
        <f>SUMIF('Как есть'!$A$35:$A$42,Доп.расчеты!$A147,'Как есть'!DZ$35:DZ$42)</f>
        <v>0</v>
      </c>
      <c r="DZ147">
        <f>SUMIF('Как есть'!$A$35:$A$42,Доп.расчеты!$A147,'Как есть'!EA$35:EA$42)</f>
        <v>0</v>
      </c>
      <c r="EA147">
        <f>SUMIF('Как есть'!$A$35:$A$42,Доп.расчеты!$A147,'Как есть'!EB$35:EB$42)</f>
        <v>0</v>
      </c>
      <c r="EB147">
        <f>SUMIF('Как есть'!$A$35:$A$42,Доп.расчеты!$A147,'Как есть'!EC$35:EC$42)</f>
        <v>0</v>
      </c>
      <c r="EC147">
        <f>SUMIF('Как есть'!$A$35:$A$42,Доп.расчеты!$A147,'Как есть'!ED$35:ED$42)</f>
        <v>0</v>
      </c>
      <c r="ED147">
        <f>SUMIF('Как есть'!$A$35:$A$42,Доп.расчеты!$A147,'Как есть'!EE$35:EE$42)</f>
        <v>0</v>
      </c>
      <c r="EE147">
        <f>SUMIF('Как есть'!$A$35:$A$42,Доп.расчеты!$A147,'Как есть'!EF$35:EF$42)</f>
        <v>0</v>
      </c>
      <c r="EF147">
        <f>SUMIF('Как есть'!$A$35:$A$42,Доп.расчеты!$A147,'Как есть'!EG$35:EG$42)</f>
        <v>0</v>
      </c>
      <c r="EG147">
        <f>SUMIF('Как есть'!$A$35:$A$42,Доп.расчеты!$A147,'Как есть'!EH$35:EH$42)</f>
        <v>0</v>
      </c>
      <c r="EH147">
        <f>SUMIF('Как есть'!$A$35:$A$42,Доп.расчеты!$A147,'Как есть'!EI$35:EI$42)</f>
        <v>0</v>
      </c>
      <c r="EI147">
        <f>SUMIF('Как есть'!$A$35:$A$42,Доп.расчеты!$A147,'Как есть'!EJ$35:EJ$42)</f>
        <v>0</v>
      </c>
      <c r="EJ147">
        <f>SUMIF('Как есть'!$A$35:$A$42,Доп.расчеты!$A147,'Как есть'!EK$35:EK$42)</f>
        <v>0</v>
      </c>
      <c r="EK147">
        <f>SUMIF('Как есть'!$A$35:$A$42,Доп.расчеты!$A147,'Как есть'!EL$35:EL$42)</f>
        <v>0</v>
      </c>
      <c r="EL147">
        <f>SUMIF('Как есть'!$A$35:$A$42,Доп.расчеты!$A147,'Как есть'!EM$35:EM$42)</f>
        <v>0</v>
      </c>
      <c r="EM147">
        <f>SUMIF('Как есть'!$A$35:$A$42,Доп.расчеты!$A147,'Как есть'!EN$35:EN$42)</f>
        <v>0</v>
      </c>
      <c r="EN147">
        <f>SUMIF('Как есть'!$A$35:$A$42,Доп.расчеты!$A147,'Как есть'!EO$35:EO$42)</f>
        <v>0</v>
      </c>
      <c r="EO147">
        <f>SUMIF('Как есть'!$A$35:$A$42,Доп.расчеты!$A147,'Как есть'!EP$35:EP$42)</f>
        <v>0</v>
      </c>
      <c r="EP147">
        <f>SUMIF('Как есть'!$A$35:$A$42,Доп.расчеты!$A147,'Как есть'!EQ$35:EQ$42)</f>
        <v>0</v>
      </c>
      <c r="EQ147">
        <f>SUMIF('Как есть'!$A$35:$A$42,Доп.расчеты!$A147,'Как есть'!ER$35:ER$42)</f>
        <v>0</v>
      </c>
      <c r="ER147">
        <f>SUMIF('Как есть'!$A$35:$A$42,Доп.расчеты!$A147,'Как есть'!ES$35:ES$42)</f>
        <v>0</v>
      </c>
      <c r="ES147">
        <f>SUMIF('Как есть'!$A$35:$A$42,Доп.расчеты!$A147,'Как есть'!ET$35:ET$42)</f>
        <v>0</v>
      </c>
      <c r="ET147">
        <f>SUMIF('Как есть'!$A$35:$A$42,Доп.расчеты!$A147,'Как есть'!EU$35:EU$42)</f>
        <v>0</v>
      </c>
      <c r="EU147">
        <f>SUMIF('Как есть'!$A$35:$A$42,Доп.расчеты!$A147,'Как есть'!EV$35:EV$42)</f>
        <v>0</v>
      </c>
      <c r="EV147">
        <f>SUMIF('Как есть'!$A$35:$A$42,Доп.расчеты!$A147,'Как есть'!EW$35:EW$42)</f>
        <v>0</v>
      </c>
      <c r="EW147">
        <f>SUMIF('Как есть'!$A$35:$A$42,Доп.расчеты!$A147,'Как есть'!EX$35:EX$42)</f>
        <v>0</v>
      </c>
      <c r="EX147">
        <f>SUMIF('Как есть'!$A$35:$A$42,Доп.расчеты!$A147,'Как есть'!EY$35:EY$42)</f>
        <v>0</v>
      </c>
      <c r="EY147">
        <f>SUMIF('Как есть'!$A$35:$A$42,Доп.расчеты!$A147,'Как есть'!EZ$35:EZ$42)</f>
        <v>0</v>
      </c>
      <c r="EZ147">
        <f>SUMIF('Как есть'!$A$35:$A$42,Доп.расчеты!$A147,'Как есть'!FA$35:FA$42)</f>
        <v>0</v>
      </c>
      <c r="FA147">
        <f>SUMIF('Как есть'!$A$35:$A$42,Доп.расчеты!$A147,'Как есть'!FB$35:FB$42)</f>
        <v>0</v>
      </c>
      <c r="FB147">
        <f>SUMIF('Как есть'!$A$35:$A$42,Доп.расчеты!$A147,'Как есть'!FC$35:FC$42)</f>
        <v>0</v>
      </c>
      <c r="FC147">
        <f>SUMIF('Как есть'!$A$35:$A$42,Доп.расчеты!$A147,'Как есть'!FD$35:FD$42)</f>
        <v>0</v>
      </c>
      <c r="FD147">
        <f>SUMIF('Как есть'!$A$35:$A$42,Доп.расчеты!$A147,'Как есть'!FE$35:FE$42)</f>
        <v>0</v>
      </c>
      <c r="FE147">
        <f>SUMIF('Как есть'!$A$35:$A$42,Доп.расчеты!$A147,'Как есть'!FF$35:FF$42)</f>
        <v>0</v>
      </c>
      <c r="FF147">
        <f>SUMIF('Как есть'!$A$35:$A$42,Доп.расчеты!$A147,'Как есть'!FG$35:FG$42)</f>
        <v>0</v>
      </c>
      <c r="FG147">
        <f>SUMIF('Как есть'!$A$35:$A$42,Доп.расчеты!$A147,'Как есть'!FH$35:FH$42)</f>
        <v>0</v>
      </c>
      <c r="FH147">
        <f>SUMIF('Как есть'!$A$35:$A$42,Доп.расчеты!$A147,'Как есть'!FI$35:FI$42)</f>
        <v>0</v>
      </c>
      <c r="FI147">
        <f>SUMIF('Как есть'!$A$35:$A$42,Доп.расчеты!$A147,'Как есть'!FJ$35:FJ$42)</f>
        <v>0</v>
      </c>
      <c r="FJ147">
        <f>SUMIF('Как есть'!$A$35:$A$42,Доп.расчеты!$A147,'Как есть'!FK$35:FK$42)</f>
        <v>0</v>
      </c>
      <c r="FK147">
        <f>SUMIF('Как есть'!$A$35:$A$42,Доп.расчеты!$A147,'Как есть'!FL$35:FL$42)</f>
        <v>0</v>
      </c>
      <c r="FL147">
        <f>SUMIF('Как есть'!$A$35:$A$42,Доп.расчеты!$A147,'Как есть'!FM$35:FM$42)</f>
        <v>0</v>
      </c>
      <c r="FM147">
        <f>SUMIF('Как есть'!$A$35:$A$42,Доп.расчеты!$A147,'Как есть'!FN$35:FN$42)</f>
        <v>0</v>
      </c>
      <c r="FN147">
        <f>SUMIF('Как есть'!$A$35:$A$42,Доп.расчеты!$A147,'Как есть'!FO$35:FO$42)</f>
        <v>0</v>
      </c>
      <c r="FO147">
        <f>SUMIF('Как есть'!$A$35:$A$42,Доп.расчеты!$A147,'Как есть'!FP$35:FP$42)</f>
        <v>0</v>
      </c>
      <c r="FP147">
        <f>SUMIF('Как есть'!$A$35:$A$42,Доп.расчеты!$A147,'Как есть'!FQ$35:FQ$42)</f>
        <v>0</v>
      </c>
      <c r="FQ147">
        <f>SUMIF('Как есть'!$A$35:$A$42,Доп.расчеты!$A147,'Как есть'!FR$35:FR$42)</f>
        <v>0</v>
      </c>
      <c r="FR147">
        <f>SUMIF('Как есть'!$A$35:$A$42,Доп.расчеты!$A147,'Как есть'!FS$35:FS$42)</f>
        <v>0</v>
      </c>
      <c r="FS147">
        <f>SUMIF('Как есть'!$A$35:$A$42,Доп.расчеты!$A147,'Как есть'!FT$35:FT$42)</f>
        <v>0</v>
      </c>
      <c r="FT147">
        <f>SUMIF('Как есть'!$A$35:$A$42,Доп.расчеты!$A147,'Как есть'!FU$35:FU$42)</f>
        <v>0</v>
      </c>
      <c r="FU147">
        <f>SUMIF('Как есть'!$A$35:$A$42,Доп.расчеты!$A147,'Как есть'!FV$35:FV$42)</f>
        <v>0</v>
      </c>
      <c r="FV147">
        <f>SUMIF('Как есть'!$A$35:$A$42,Доп.расчеты!$A147,'Как есть'!FW$35:FW$42)</f>
        <v>0</v>
      </c>
      <c r="FW147">
        <f>SUMIF('Как есть'!$A$35:$A$42,Доп.расчеты!$A147,'Как есть'!FX$35:FX$42)</f>
        <v>0</v>
      </c>
      <c r="FX147">
        <f>SUMIF('Как есть'!$A$35:$A$42,Доп.расчеты!$A147,'Как есть'!FY$35:FY$42)</f>
        <v>0</v>
      </c>
      <c r="FY147">
        <f>SUMIF('Как есть'!$A$35:$A$42,Доп.расчеты!$A147,'Как есть'!FZ$35:FZ$42)</f>
        <v>0</v>
      </c>
      <c r="FZ147">
        <f>SUMIF('Как есть'!$A$35:$A$42,Доп.расчеты!$A147,'Как есть'!GA$35:GA$42)</f>
        <v>0</v>
      </c>
      <c r="GA147">
        <f>SUMIF('Как есть'!$A$35:$A$42,Доп.расчеты!$A147,'Как есть'!GB$35:GB$42)</f>
        <v>0</v>
      </c>
      <c r="GB147">
        <f>SUMIF('Как есть'!$A$35:$A$42,Доп.расчеты!$A147,'Как есть'!GC$35:GC$42)</f>
        <v>0</v>
      </c>
      <c r="GC147">
        <f>SUMIF('Как есть'!$A$35:$A$42,Доп.расчеты!$A147,'Как есть'!GD$35:GD$42)</f>
        <v>0</v>
      </c>
      <c r="GD147">
        <f>SUMIF('Как есть'!$A$35:$A$42,Доп.расчеты!$A147,'Как есть'!GE$35:GE$42)</f>
        <v>0</v>
      </c>
      <c r="GE147">
        <f>SUMIF('Как есть'!$A$35:$A$42,Доп.расчеты!$A147,'Как есть'!GF$35:GF$42)</f>
        <v>0</v>
      </c>
      <c r="GF147">
        <f>SUMIF('Как есть'!$A$35:$A$42,Доп.расчеты!$A147,'Как есть'!GG$35:GG$42)</f>
        <v>0</v>
      </c>
      <c r="GG147">
        <f>SUMIF('Как есть'!$A$35:$A$42,Доп.расчеты!$A147,'Как есть'!GH$35:GH$42)</f>
        <v>0</v>
      </c>
      <c r="GH147">
        <f>SUMIF('Как есть'!$A$35:$A$42,Доп.расчеты!$A147,'Как есть'!GI$35:GI$42)</f>
        <v>0</v>
      </c>
      <c r="GI147">
        <f>SUMIF('Как есть'!$A$35:$A$42,Доп.расчеты!$A147,'Как есть'!GJ$35:GJ$42)</f>
        <v>0</v>
      </c>
      <c r="GJ147">
        <f>SUMIF('Как есть'!$A$35:$A$42,Доп.расчеты!$A147,'Как есть'!GK$35:GK$42)</f>
        <v>0</v>
      </c>
      <c r="GK147">
        <f>SUMIF('Как есть'!$A$35:$A$42,Доп.расчеты!$A147,'Как есть'!GL$35:GL$42)</f>
        <v>0</v>
      </c>
      <c r="GL147">
        <f>SUMIF('Как есть'!$A$35:$A$42,Доп.расчеты!$A147,'Как есть'!GM$35:GM$42)</f>
        <v>0</v>
      </c>
      <c r="GM147">
        <f>SUMIF('Как есть'!$A$35:$A$42,Доп.расчеты!$A147,'Как есть'!GN$35:GN$42)</f>
        <v>0</v>
      </c>
      <c r="GN147">
        <f>SUMIF('Как есть'!$A$35:$A$42,Доп.расчеты!$A147,'Как есть'!GO$35:GO$42)</f>
        <v>0</v>
      </c>
      <c r="GO147">
        <f>SUMIF('Как есть'!$A$35:$A$42,Доп.расчеты!$A147,'Как есть'!GP$35:GP$42)</f>
        <v>0</v>
      </c>
      <c r="GP147">
        <f>SUMIF('Как есть'!$A$35:$A$42,Доп.расчеты!$A147,'Как есть'!GQ$35:GQ$42)</f>
        <v>0</v>
      </c>
      <c r="GQ147">
        <f>SUMIF('Как есть'!$A$35:$A$42,Доп.расчеты!$A147,'Как есть'!GR$35:GR$42)</f>
        <v>0</v>
      </c>
      <c r="GR147">
        <f>SUMIF('Как есть'!$A$35:$A$42,Доп.расчеты!$A147,'Как есть'!GS$35:GS$42)</f>
        <v>0</v>
      </c>
      <c r="GS147">
        <f>SUMIF('Как есть'!$A$35:$A$42,Доп.расчеты!$A147,'Как есть'!GT$35:GT$42)</f>
        <v>0</v>
      </c>
      <c r="GT147">
        <f>SUMIF('Как есть'!$A$35:$A$42,Доп.расчеты!$A147,'Как есть'!GU$35:GU$42)</f>
        <v>0</v>
      </c>
    </row>
    <row r="148" spans="1:202" hidden="1" outlineLevel="1"/>
    <row r="149" spans="1:202" collapsed="1"/>
    <row r="150" spans="1:202" hidden="1" outlineLevel="1">
      <c r="A150" s="57" t="s">
        <v>136</v>
      </c>
    </row>
    <row r="151" spans="1:202" hidden="1" outlineLevel="1">
      <c r="A151" s="57" t="s">
        <v>242</v>
      </c>
    </row>
    <row r="152" spans="1:202" hidden="1" outlineLevel="1">
      <c r="A152" s="238" t="s">
        <v>88</v>
      </c>
      <c r="B152">
        <f>SUMIF('Как есть'!$A$45:$A$53,Доп.расчеты!$A152,'Как есть'!C$45:C$53)</f>
        <v>0</v>
      </c>
      <c r="C152">
        <f>SUMIF('Как есть'!$A$45:$A$53,Доп.расчеты!$A152,'Как есть'!D$45:D$53)</f>
        <v>0</v>
      </c>
      <c r="D152">
        <f>SUMIF('Как есть'!$A$45:$A$53,Доп.расчеты!$A152,'Как есть'!E$45:E$53)</f>
        <v>0</v>
      </c>
      <c r="E152">
        <f>SUMIF('Как есть'!$A$45:$A$53,Доп.расчеты!$A152,'Как есть'!F$45:F$53)</f>
        <v>0</v>
      </c>
      <c r="F152">
        <f>SUMIF('Как есть'!$A$45:$A$53,Доп.расчеты!$A152,'Как есть'!G$45:G$53)</f>
        <v>0</v>
      </c>
      <c r="G152">
        <f>SUMIF('Как есть'!$A$45:$A$53,Доп.расчеты!$A152,'Как есть'!H$45:H$53)</f>
        <v>0</v>
      </c>
      <c r="H152">
        <f>SUMIF('Как есть'!$A$45:$A$53,Доп.расчеты!$A152,'Как есть'!I$45:I$53)</f>
        <v>0</v>
      </c>
      <c r="I152">
        <f>SUMIF('Как есть'!$A$45:$A$53,Доп.расчеты!$A152,'Как есть'!J$45:J$53)</f>
        <v>0</v>
      </c>
      <c r="J152">
        <f>SUMIF('Как есть'!$A$45:$A$53,Доп.расчеты!$A152,'Как есть'!K$45:K$53)</f>
        <v>0</v>
      </c>
      <c r="K152">
        <f>SUMIF('Как есть'!$A$45:$A$53,Доп.расчеты!$A152,'Как есть'!L$45:L$53)</f>
        <v>0</v>
      </c>
      <c r="L152">
        <f>SUMIF('Как есть'!$A$45:$A$53,Доп.расчеты!$A152,'Как есть'!M$45:M$53)</f>
        <v>0</v>
      </c>
      <c r="M152">
        <f>SUMIF('Как есть'!$A$45:$A$53,Доп.расчеты!$A152,'Как есть'!N$45:N$53)</f>
        <v>0</v>
      </c>
      <c r="N152">
        <f>SUMIF('Как есть'!$A$45:$A$53,Доп.расчеты!$A152,'Как есть'!O$45:O$53)</f>
        <v>0</v>
      </c>
      <c r="O152">
        <f>SUMIF('Как есть'!$A$45:$A$53,Доп.расчеты!$A152,'Как есть'!P$45:P$53)</f>
        <v>0</v>
      </c>
      <c r="P152">
        <f>SUMIF('Как есть'!$A$45:$A$53,Доп.расчеты!$A152,'Как есть'!Q$45:Q$53)</f>
        <v>0</v>
      </c>
      <c r="Q152">
        <f>SUMIF('Как есть'!$A$45:$A$53,Доп.расчеты!$A152,'Как есть'!R$45:R$53)</f>
        <v>0</v>
      </c>
      <c r="R152">
        <f>SUMIF('Как есть'!$A$45:$A$53,Доп.расчеты!$A152,'Как есть'!S$45:S$53)</f>
        <v>0</v>
      </c>
      <c r="S152">
        <f>SUMIF('Как есть'!$A$45:$A$53,Доп.расчеты!$A152,'Как есть'!T$45:T$53)</f>
        <v>0</v>
      </c>
      <c r="T152">
        <f>SUMIF('Как есть'!$A$45:$A$53,Доп.расчеты!$A152,'Как есть'!U$45:U$53)</f>
        <v>0</v>
      </c>
      <c r="U152">
        <f>SUMIF('Как есть'!$A$45:$A$53,Доп.расчеты!$A152,'Как есть'!V$45:V$53)</f>
        <v>0</v>
      </c>
      <c r="V152">
        <f>SUMIF('Как есть'!$A$45:$A$53,Доп.расчеты!$A152,'Как есть'!W$45:W$53)</f>
        <v>0</v>
      </c>
      <c r="W152">
        <f>SUMIF('Как есть'!$A$45:$A$53,Доп.расчеты!$A152,'Как есть'!X$45:X$53)</f>
        <v>0</v>
      </c>
      <c r="X152">
        <f>SUMIF('Как есть'!$A$45:$A$53,Доп.расчеты!$A152,'Как есть'!Y$45:Y$53)</f>
        <v>0</v>
      </c>
      <c r="Y152">
        <f>SUMIF('Как есть'!$A$45:$A$53,Доп.расчеты!$A152,'Как есть'!Z$45:Z$53)</f>
        <v>0</v>
      </c>
      <c r="Z152">
        <f>SUMIF('Как есть'!$A$45:$A$53,Доп.расчеты!$A152,'Как есть'!AA$45:AA$53)</f>
        <v>0</v>
      </c>
      <c r="AA152">
        <f>SUMIF('Как есть'!$A$45:$A$53,Доп.расчеты!$A152,'Как есть'!AB$45:AB$53)</f>
        <v>0</v>
      </c>
      <c r="AB152">
        <f>SUMIF('Как есть'!$A$45:$A$53,Доп.расчеты!$A152,'Как есть'!AC$45:AC$53)</f>
        <v>0</v>
      </c>
      <c r="AC152">
        <f>SUMIF('Как есть'!$A$45:$A$53,Доп.расчеты!$A152,'Как есть'!AD$45:AD$53)</f>
        <v>0</v>
      </c>
      <c r="AD152">
        <f>SUMIF('Как есть'!$A$45:$A$53,Доп.расчеты!$A152,'Как есть'!AE$45:AE$53)</f>
        <v>0</v>
      </c>
      <c r="AE152">
        <f>SUMIF('Как есть'!$A$45:$A$53,Доп.расчеты!$A152,'Как есть'!AF$45:AF$53)</f>
        <v>0</v>
      </c>
      <c r="AF152">
        <f>SUMIF('Как есть'!$A$45:$A$53,Доп.расчеты!$A152,'Как есть'!AG$45:AG$53)</f>
        <v>0</v>
      </c>
      <c r="AG152">
        <f>SUMIF('Как есть'!$A$45:$A$53,Доп.расчеты!$A152,'Как есть'!AH$45:AH$53)</f>
        <v>0</v>
      </c>
      <c r="AH152">
        <f>SUMIF('Как есть'!$A$45:$A$53,Доп.расчеты!$A152,'Как есть'!AI$45:AI$53)</f>
        <v>0</v>
      </c>
      <c r="AI152">
        <f>SUMIF('Как есть'!$A$45:$A$53,Доп.расчеты!$A152,'Как есть'!AJ$45:AJ$53)</f>
        <v>0</v>
      </c>
      <c r="AJ152">
        <f>SUMIF('Как есть'!$A$45:$A$53,Доп.расчеты!$A152,'Как есть'!AK$45:AK$53)</f>
        <v>0</v>
      </c>
      <c r="AK152">
        <f>SUMIF('Как есть'!$A$45:$A$53,Доп.расчеты!$A152,'Как есть'!AL$45:AL$53)</f>
        <v>0</v>
      </c>
      <c r="AL152">
        <f>SUMIF('Как есть'!$A$45:$A$53,Доп.расчеты!$A152,'Как есть'!AM$45:AM$53)</f>
        <v>0</v>
      </c>
      <c r="AM152">
        <f>SUMIF('Как есть'!$A$45:$A$53,Доп.расчеты!$A152,'Как есть'!AN$45:AN$53)</f>
        <v>0</v>
      </c>
      <c r="AN152">
        <f>SUMIF('Как есть'!$A$45:$A$53,Доп.расчеты!$A152,'Как есть'!AO$45:AO$53)</f>
        <v>0</v>
      </c>
      <c r="AO152">
        <f>SUMIF('Как есть'!$A$45:$A$53,Доп.расчеты!$A152,'Как есть'!AP$45:AP$53)</f>
        <v>0</v>
      </c>
      <c r="AP152">
        <f>SUMIF('Как есть'!$A$45:$A$53,Доп.расчеты!$A152,'Как есть'!AQ$45:AQ$53)</f>
        <v>0</v>
      </c>
      <c r="AQ152">
        <f>SUMIF('Как есть'!$A$45:$A$53,Доп.расчеты!$A152,'Как есть'!AR$45:AR$53)</f>
        <v>0</v>
      </c>
      <c r="AR152">
        <f>SUMIF('Как есть'!$A$45:$A$53,Доп.расчеты!$A152,'Как есть'!AS$45:AS$53)</f>
        <v>0</v>
      </c>
      <c r="AS152">
        <f>SUMIF('Как есть'!$A$45:$A$53,Доп.расчеты!$A152,'Как есть'!AT$45:AT$53)</f>
        <v>0</v>
      </c>
      <c r="AT152">
        <f>SUMIF('Как есть'!$A$45:$A$53,Доп.расчеты!$A152,'Как есть'!AU$45:AU$53)</f>
        <v>0</v>
      </c>
      <c r="AU152">
        <f>SUMIF('Как есть'!$A$45:$A$53,Доп.расчеты!$A152,'Как есть'!AV$45:AV$53)</f>
        <v>0</v>
      </c>
      <c r="AV152">
        <f>SUMIF('Как есть'!$A$45:$A$53,Доп.расчеты!$A152,'Как есть'!AW$45:AW$53)</f>
        <v>0</v>
      </c>
      <c r="AW152">
        <f>SUMIF('Как есть'!$A$45:$A$53,Доп.расчеты!$A152,'Как есть'!AX$45:AX$53)</f>
        <v>0</v>
      </c>
      <c r="AX152">
        <f>SUMIF('Как есть'!$A$45:$A$53,Доп.расчеты!$A152,'Как есть'!AY$45:AY$53)</f>
        <v>0</v>
      </c>
      <c r="AY152">
        <f>SUMIF('Как есть'!$A$45:$A$53,Доп.расчеты!$A152,'Как есть'!AZ$45:AZ$53)</f>
        <v>0</v>
      </c>
      <c r="AZ152">
        <f>SUMIF('Как есть'!$A$45:$A$53,Доп.расчеты!$A152,'Как есть'!BA$45:BA$53)</f>
        <v>0</v>
      </c>
      <c r="BA152">
        <f>SUMIF('Как есть'!$A$45:$A$53,Доп.расчеты!$A152,'Как есть'!BB$45:BB$53)</f>
        <v>0</v>
      </c>
      <c r="BB152">
        <f>SUMIF('Как есть'!$A$45:$A$53,Доп.расчеты!$A152,'Как есть'!BC$45:BC$53)</f>
        <v>0</v>
      </c>
      <c r="BC152">
        <f>SUMIF('Как есть'!$A$45:$A$53,Доп.расчеты!$A152,'Как есть'!BD$45:BD$53)</f>
        <v>0</v>
      </c>
      <c r="BD152">
        <f>SUMIF('Как есть'!$A$45:$A$53,Доп.расчеты!$A152,'Как есть'!BE$45:BE$53)</f>
        <v>0</v>
      </c>
      <c r="BE152">
        <f>SUMIF('Как есть'!$A$45:$A$53,Доп.расчеты!$A152,'Как есть'!BF$45:BF$53)</f>
        <v>0</v>
      </c>
      <c r="BF152">
        <f>SUMIF('Как есть'!$A$45:$A$53,Доп.расчеты!$A152,'Как есть'!BG$45:BG$53)</f>
        <v>0</v>
      </c>
      <c r="BG152">
        <f>SUMIF('Как есть'!$A$45:$A$53,Доп.расчеты!$A152,'Как есть'!BH$45:BH$53)</f>
        <v>0</v>
      </c>
      <c r="BH152">
        <f>SUMIF('Как есть'!$A$45:$A$53,Доп.расчеты!$A152,'Как есть'!BI$45:BI$53)</f>
        <v>0</v>
      </c>
      <c r="BI152">
        <f>SUMIF('Как есть'!$A$45:$A$53,Доп.расчеты!$A152,'Как есть'!BJ$45:BJ$53)</f>
        <v>0</v>
      </c>
      <c r="BJ152">
        <f>SUMIF('Как есть'!$A$45:$A$53,Доп.расчеты!$A152,'Как есть'!BK$45:BK$53)</f>
        <v>0</v>
      </c>
      <c r="BK152">
        <f>SUMIF('Как есть'!$A$45:$A$53,Доп.расчеты!$A152,'Как есть'!BL$45:BL$53)</f>
        <v>0</v>
      </c>
      <c r="BL152">
        <f>SUMIF('Как есть'!$A$45:$A$53,Доп.расчеты!$A152,'Как есть'!BM$45:BM$53)</f>
        <v>0</v>
      </c>
      <c r="BM152">
        <f>SUMIF('Как есть'!$A$45:$A$53,Доп.расчеты!$A152,'Как есть'!BN$45:BN$53)</f>
        <v>0</v>
      </c>
      <c r="BN152">
        <f>SUMIF('Как есть'!$A$45:$A$53,Доп.расчеты!$A152,'Как есть'!BO$45:BO$53)</f>
        <v>0</v>
      </c>
      <c r="BO152">
        <f>SUMIF('Как есть'!$A$45:$A$53,Доп.расчеты!$A152,'Как есть'!BP$45:BP$53)</f>
        <v>0</v>
      </c>
      <c r="BP152">
        <f>SUMIF('Как есть'!$A$45:$A$53,Доп.расчеты!$A152,'Как есть'!BQ$45:BQ$53)</f>
        <v>0</v>
      </c>
      <c r="BQ152">
        <f>SUMIF('Как есть'!$A$45:$A$53,Доп.расчеты!$A152,'Как есть'!BR$45:BR$53)</f>
        <v>0</v>
      </c>
      <c r="BR152">
        <f>SUMIF('Как есть'!$A$45:$A$53,Доп.расчеты!$A152,'Как есть'!BS$45:BS$53)</f>
        <v>0</v>
      </c>
      <c r="BS152">
        <f>SUMIF('Как есть'!$A$45:$A$53,Доп.расчеты!$A152,'Как есть'!BT$45:BT$53)</f>
        <v>0</v>
      </c>
      <c r="BT152">
        <f>SUMIF('Как есть'!$A$45:$A$53,Доп.расчеты!$A152,'Как есть'!BU$45:BU$53)</f>
        <v>0</v>
      </c>
      <c r="BU152">
        <f>SUMIF('Как есть'!$A$45:$A$53,Доп.расчеты!$A152,'Как есть'!BV$45:BV$53)</f>
        <v>0</v>
      </c>
      <c r="BV152">
        <f>SUMIF('Как есть'!$A$45:$A$53,Доп.расчеты!$A152,'Как есть'!BW$45:BW$53)</f>
        <v>0</v>
      </c>
      <c r="BW152">
        <f>SUMIF('Как есть'!$A$45:$A$53,Доп.расчеты!$A152,'Как есть'!BX$45:BX$53)</f>
        <v>0</v>
      </c>
      <c r="BX152">
        <f>SUMIF('Как есть'!$A$45:$A$53,Доп.расчеты!$A152,'Как есть'!BY$45:BY$53)</f>
        <v>0</v>
      </c>
      <c r="BY152">
        <f>SUMIF('Как есть'!$A$45:$A$53,Доп.расчеты!$A152,'Как есть'!BZ$45:BZ$53)</f>
        <v>0</v>
      </c>
      <c r="BZ152">
        <f>SUMIF('Как есть'!$A$45:$A$53,Доп.расчеты!$A152,'Как есть'!CA$45:CA$53)</f>
        <v>0</v>
      </c>
      <c r="CA152">
        <f>SUMIF('Как есть'!$A$45:$A$53,Доп.расчеты!$A152,'Как есть'!CB$45:CB$53)</f>
        <v>0</v>
      </c>
      <c r="CB152">
        <f>SUMIF('Как есть'!$A$45:$A$53,Доп.расчеты!$A152,'Как есть'!CC$45:CC$53)</f>
        <v>0</v>
      </c>
      <c r="CC152">
        <f>SUMIF('Как есть'!$A$45:$A$53,Доп.расчеты!$A152,'Как есть'!CD$45:CD$53)</f>
        <v>0</v>
      </c>
      <c r="CD152">
        <f>SUMIF('Как есть'!$A$45:$A$53,Доп.расчеты!$A152,'Как есть'!CE$45:CE$53)</f>
        <v>0</v>
      </c>
      <c r="CE152">
        <f>SUMIF('Как есть'!$A$45:$A$53,Доп.расчеты!$A152,'Как есть'!CF$45:CF$53)</f>
        <v>0</v>
      </c>
      <c r="CF152">
        <f>SUMIF('Как есть'!$A$45:$A$53,Доп.расчеты!$A152,'Как есть'!CG$45:CG$53)</f>
        <v>0</v>
      </c>
      <c r="CG152">
        <f>SUMIF('Как есть'!$A$45:$A$53,Доп.расчеты!$A152,'Как есть'!CH$45:CH$53)</f>
        <v>0</v>
      </c>
      <c r="CH152">
        <f>SUMIF('Как есть'!$A$45:$A$53,Доп.расчеты!$A152,'Как есть'!CI$45:CI$53)</f>
        <v>0</v>
      </c>
      <c r="CI152">
        <f>SUMIF('Как есть'!$A$45:$A$53,Доп.расчеты!$A152,'Как есть'!CJ$45:CJ$53)</f>
        <v>0</v>
      </c>
      <c r="CJ152">
        <f>SUMIF('Как есть'!$A$45:$A$53,Доп.расчеты!$A152,'Как есть'!CK$45:CK$53)</f>
        <v>0</v>
      </c>
      <c r="CK152">
        <f>SUMIF('Как есть'!$A$45:$A$53,Доп.расчеты!$A152,'Как есть'!CL$45:CL$53)</f>
        <v>0</v>
      </c>
      <c r="CL152">
        <f>SUMIF('Как есть'!$A$45:$A$53,Доп.расчеты!$A152,'Как есть'!CM$45:CM$53)</f>
        <v>0</v>
      </c>
      <c r="CM152">
        <f>SUMIF('Как есть'!$A$45:$A$53,Доп.расчеты!$A152,'Как есть'!CN$45:CN$53)</f>
        <v>0</v>
      </c>
      <c r="CN152">
        <f>SUMIF('Как есть'!$A$45:$A$53,Доп.расчеты!$A152,'Как есть'!CO$45:CO$53)</f>
        <v>0</v>
      </c>
      <c r="CO152">
        <f>SUMIF('Как есть'!$A$45:$A$53,Доп.расчеты!$A152,'Как есть'!CP$45:CP$53)</f>
        <v>0</v>
      </c>
      <c r="CP152">
        <f>SUMIF('Как есть'!$A$45:$A$53,Доп.расчеты!$A152,'Как есть'!CQ$45:CQ$53)</f>
        <v>0</v>
      </c>
      <c r="CQ152">
        <f>SUMIF('Как есть'!$A$45:$A$53,Доп.расчеты!$A152,'Как есть'!CR$45:CR$53)</f>
        <v>0</v>
      </c>
      <c r="CR152">
        <f>SUMIF('Как есть'!$A$45:$A$53,Доп.расчеты!$A152,'Как есть'!CS$45:CS$53)</f>
        <v>0</v>
      </c>
      <c r="CS152">
        <f>SUMIF('Как есть'!$A$45:$A$53,Доп.расчеты!$A152,'Как есть'!CT$45:CT$53)</f>
        <v>0</v>
      </c>
      <c r="CT152">
        <f>SUMIF('Как есть'!$A$45:$A$53,Доп.расчеты!$A152,'Как есть'!CU$45:CU$53)</f>
        <v>0</v>
      </c>
      <c r="CU152">
        <f>SUMIF('Как есть'!$A$45:$A$53,Доп.расчеты!$A152,'Как есть'!CV$45:CV$53)</f>
        <v>0</v>
      </c>
      <c r="CV152">
        <f>SUMIF('Как есть'!$A$45:$A$53,Доп.расчеты!$A152,'Как есть'!CW$45:CW$53)</f>
        <v>0</v>
      </c>
      <c r="CW152">
        <f>SUMIF('Как есть'!$A$45:$A$53,Доп.расчеты!$A152,'Как есть'!CX$45:CX$53)</f>
        <v>0</v>
      </c>
      <c r="CX152">
        <f>SUMIF('Как есть'!$A$45:$A$53,Доп.расчеты!$A152,'Как есть'!CY$45:CY$53)</f>
        <v>0</v>
      </c>
      <c r="CY152">
        <f>SUMIF('Как есть'!$A$45:$A$53,Доп.расчеты!$A152,'Как есть'!CZ$45:CZ$53)</f>
        <v>0</v>
      </c>
      <c r="CZ152">
        <f>SUMIF('Как есть'!$A$45:$A$53,Доп.расчеты!$A152,'Как есть'!DA$45:DA$53)</f>
        <v>0</v>
      </c>
      <c r="DA152">
        <f>SUMIF('Как есть'!$A$45:$A$53,Доп.расчеты!$A152,'Как есть'!DB$45:DB$53)</f>
        <v>0</v>
      </c>
      <c r="DB152">
        <f>SUMIF('Как есть'!$A$45:$A$53,Доп.расчеты!$A152,'Как есть'!DC$45:DC$53)</f>
        <v>0</v>
      </c>
      <c r="DC152">
        <f>SUMIF('Как есть'!$A$45:$A$53,Доп.расчеты!$A152,'Как есть'!DD$45:DD$53)</f>
        <v>0</v>
      </c>
      <c r="DD152">
        <f>SUMIF('Как есть'!$A$45:$A$53,Доп.расчеты!$A152,'Как есть'!DE$45:DE$53)</f>
        <v>0</v>
      </c>
      <c r="DE152">
        <f>SUMIF('Как есть'!$A$45:$A$53,Доп.расчеты!$A152,'Как есть'!DF$45:DF$53)</f>
        <v>0</v>
      </c>
      <c r="DF152">
        <f>SUMIF('Как есть'!$A$45:$A$53,Доп.расчеты!$A152,'Как есть'!DG$45:DG$53)</f>
        <v>0</v>
      </c>
      <c r="DG152">
        <f>SUMIF('Как есть'!$A$45:$A$53,Доп.расчеты!$A152,'Как есть'!DH$45:DH$53)</f>
        <v>0</v>
      </c>
      <c r="DH152">
        <f>SUMIF('Как есть'!$A$45:$A$53,Доп.расчеты!$A152,'Как есть'!DI$45:DI$53)</f>
        <v>0</v>
      </c>
      <c r="DI152">
        <f>SUMIF('Как есть'!$A$45:$A$53,Доп.расчеты!$A152,'Как есть'!DJ$45:DJ$53)</f>
        <v>0</v>
      </c>
      <c r="DJ152">
        <f>SUMIF('Как есть'!$A$45:$A$53,Доп.расчеты!$A152,'Как есть'!DK$45:DK$53)</f>
        <v>0</v>
      </c>
      <c r="DK152">
        <f>SUMIF('Как есть'!$A$45:$A$53,Доп.расчеты!$A152,'Как есть'!DL$45:DL$53)</f>
        <v>0</v>
      </c>
      <c r="DL152">
        <f>SUMIF('Как есть'!$A$45:$A$53,Доп.расчеты!$A152,'Как есть'!DM$45:DM$53)</f>
        <v>0</v>
      </c>
      <c r="DM152">
        <f>SUMIF('Как есть'!$A$45:$A$53,Доп.расчеты!$A152,'Как есть'!DN$45:DN$53)</f>
        <v>0</v>
      </c>
      <c r="DN152">
        <f>SUMIF('Как есть'!$A$45:$A$53,Доп.расчеты!$A152,'Как есть'!DO$45:DO$53)</f>
        <v>0</v>
      </c>
      <c r="DO152">
        <f>SUMIF('Как есть'!$A$45:$A$53,Доп.расчеты!$A152,'Как есть'!DP$45:DP$53)</f>
        <v>0</v>
      </c>
      <c r="DP152">
        <f>SUMIF('Как есть'!$A$45:$A$53,Доп.расчеты!$A152,'Как есть'!DQ$45:DQ$53)</f>
        <v>0</v>
      </c>
      <c r="DQ152">
        <f>SUMIF('Как есть'!$A$45:$A$53,Доп.расчеты!$A152,'Как есть'!DR$45:DR$53)</f>
        <v>0</v>
      </c>
      <c r="DR152">
        <f>SUMIF('Как есть'!$A$45:$A$53,Доп.расчеты!$A152,'Как есть'!DS$45:DS$53)</f>
        <v>0</v>
      </c>
      <c r="DS152">
        <f>SUMIF('Как есть'!$A$45:$A$53,Доп.расчеты!$A152,'Как есть'!DT$45:DT$53)</f>
        <v>0</v>
      </c>
      <c r="DT152">
        <f>SUMIF('Как есть'!$A$45:$A$53,Доп.расчеты!$A152,'Как есть'!DU$45:DU$53)</f>
        <v>0</v>
      </c>
      <c r="DU152">
        <f>SUMIF('Как есть'!$A$45:$A$53,Доп.расчеты!$A152,'Как есть'!DV$45:DV$53)</f>
        <v>0</v>
      </c>
      <c r="DV152">
        <f>SUMIF('Как есть'!$A$45:$A$53,Доп.расчеты!$A152,'Как есть'!DW$45:DW$53)</f>
        <v>0</v>
      </c>
      <c r="DW152">
        <f>SUMIF('Как есть'!$A$45:$A$53,Доп.расчеты!$A152,'Как есть'!DX$45:DX$53)</f>
        <v>0</v>
      </c>
      <c r="DX152">
        <f>SUMIF('Как есть'!$A$45:$A$53,Доп.расчеты!$A152,'Как есть'!DY$45:DY$53)</f>
        <v>0</v>
      </c>
      <c r="DY152">
        <f>SUMIF('Как есть'!$A$45:$A$53,Доп.расчеты!$A152,'Как есть'!DZ$45:DZ$53)</f>
        <v>0</v>
      </c>
      <c r="DZ152">
        <f>SUMIF('Как есть'!$A$45:$A$53,Доп.расчеты!$A152,'Как есть'!EA$45:EA$53)</f>
        <v>0</v>
      </c>
      <c r="EA152">
        <f>SUMIF('Как есть'!$A$45:$A$53,Доп.расчеты!$A152,'Как есть'!EB$45:EB$53)</f>
        <v>0</v>
      </c>
      <c r="EB152">
        <f>SUMIF('Как есть'!$A$45:$A$53,Доп.расчеты!$A152,'Как есть'!EC$45:EC$53)</f>
        <v>0</v>
      </c>
      <c r="EC152">
        <f>SUMIF('Как есть'!$A$45:$A$53,Доп.расчеты!$A152,'Как есть'!ED$45:ED$53)</f>
        <v>0</v>
      </c>
      <c r="ED152">
        <f>SUMIF('Как есть'!$A$45:$A$53,Доп.расчеты!$A152,'Как есть'!EE$45:EE$53)</f>
        <v>0</v>
      </c>
      <c r="EE152">
        <f>SUMIF('Как есть'!$A$45:$A$53,Доп.расчеты!$A152,'Как есть'!EF$45:EF$53)</f>
        <v>0</v>
      </c>
      <c r="EF152">
        <f>SUMIF('Как есть'!$A$45:$A$53,Доп.расчеты!$A152,'Как есть'!EG$45:EG$53)</f>
        <v>0</v>
      </c>
      <c r="EG152">
        <f>SUMIF('Как есть'!$A$45:$A$53,Доп.расчеты!$A152,'Как есть'!EH$45:EH$53)</f>
        <v>0</v>
      </c>
      <c r="EH152">
        <f>SUMIF('Как есть'!$A$45:$A$53,Доп.расчеты!$A152,'Как есть'!EI$45:EI$53)</f>
        <v>0</v>
      </c>
      <c r="EI152">
        <f>SUMIF('Как есть'!$A$45:$A$53,Доп.расчеты!$A152,'Как есть'!EJ$45:EJ$53)</f>
        <v>0</v>
      </c>
      <c r="EJ152">
        <f>SUMIF('Как есть'!$A$45:$A$53,Доп.расчеты!$A152,'Как есть'!EK$45:EK$53)</f>
        <v>0</v>
      </c>
      <c r="EK152">
        <f>SUMIF('Как есть'!$A$45:$A$53,Доп.расчеты!$A152,'Как есть'!EL$45:EL$53)</f>
        <v>0</v>
      </c>
      <c r="EL152">
        <f>SUMIF('Как есть'!$A$45:$A$53,Доп.расчеты!$A152,'Как есть'!EM$45:EM$53)</f>
        <v>0</v>
      </c>
      <c r="EM152">
        <f>SUMIF('Как есть'!$A$45:$A$53,Доп.расчеты!$A152,'Как есть'!EN$45:EN$53)</f>
        <v>0</v>
      </c>
      <c r="EN152">
        <f>SUMIF('Как есть'!$A$45:$A$53,Доп.расчеты!$A152,'Как есть'!EO$45:EO$53)</f>
        <v>0</v>
      </c>
      <c r="EO152">
        <f>SUMIF('Как есть'!$A$45:$A$53,Доп.расчеты!$A152,'Как есть'!EP$45:EP$53)</f>
        <v>0</v>
      </c>
      <c r="EP152">
        <f>SUMIF('Как есть'!$A$45:$A$53,Доп.расчеты!$A152,'Как есть'!EQ$45:EQ$53)</f>
        <v>0</v>
      </c>
      <c r="EQ152">
        <f>SUMIF('Как есть'!$A$45:$A$53,Доп.расчеты!$A152,'Как есть'!ER$45:ER$53)</f>
        <v>0</v>
      </c>
      <c r="ER152">
        <f>SUMIF('Как есть'!$A$45:$A$53,Доп.расчеты!$A152,'Как есть'!ES$45:ES$53)</f>
        <v>0</v>
      </c>
      <c r="ES152">
        <f>SUMIF('Как есть'!$A$45:$A$53,Доп.расчеты!$A152,'Как есть'!ET$45:ET$53)</f>
        <v>0</v>
      </c>
      <c r="ET152">
        <f>SUMIF('Как есть'!$A$45:$A$53,Доп.расчеты!$A152,'Как есть'!EU$45:EU$53)</f>
        <v>0</v>
      </c>
      <c r="EU152">
        <f>SUMIF('Как есть'!$A$45:$A$53,Доп.расчеты!$A152,'Как есть'!EV$45:EV$53)</f>
        <v>0</v>
      </c>
      <c r="EV152">
        <f>SUMIF('Как есть'!$A$45:$A$53,Доп.расчеты!$A152,'Как есть'!EW$45:EW$53)</f>
        <v>0</v>
      </c>
      <c r="EW152">
        <f>SUMIF('Как есть'!$A$45:$A$53,Доп.расчеты!$A152,'Как есть'!EX$45:EX$53)</f>
        <v>0</v>
      </c>
      <c r="EX152">
        <f>SUMIF('Как есть'!$A$45:$A$53,Доп.расчеты!$A152,'Как есть'!EY$45:EY$53)</f>
        <v>0</v>
      </c>
      <c r="EY152">
        <f>SUMIF('Как есть'!$A$45:$A$53,Доп.расчеты!$A152,'Как есть'!EZ$45:EZ$53)</f>
        <v>0</v>
      </c>
      <c r="EZ152">
        <f>SUMIF('Как есть'!$A$45:$A$53,Доп.расчеты!$A152,'Как есть'!FA$45:FA$53)</f>
        <v>0</v>
      </c>
      <c r="FA152">
        <f>SUMIF('Как есть'!$A$45:$A$53,Доп.расчеты!$A152,'Как есть'!FB$45:FB$53)</f>
        <v>0</v>
      </c>
      <c r="FB152">
        <f>SUMIF('Как есть'!$A$45:$A$53,Доп.расчеты!$A152,'Как есть'!FC$45:FC$53)</f>
        <v>0</v>
      </c>
      <c r="FC152">
        <f>SUMIF('Как есть'!$A$45:$A$53,Доп.расчеты!$A152,'Как есть'!FD$45:FD$53)</f>
        <v>0</v>
      </c>
      <c r="FD152">
        <f>SUMIF('Как есть'!$A$45:$A$53,Доп.расчеты!$A152,'Как есть'!FE$45:FE$53)</f>
        <v>0</v>
      </c>
      <c r="FE152">
        <f>SUMIF('Как есть'!$A$45:$A$53,Доп.расчеты!$A152,'Как есть'!FF$45:FF$53)</f>
        <v>0</v>
      </c>
      <c r="FF152">
        <f>SUMIF('Как есть'!$A$45:$A$53,Доп.расчеты!$A152,'Как есть'!FG$45:FG$53)</f>
        <v>0</v>
      </c>
      <c r="FG152">
        <f>SUMIF('Как есть'!$A$45:$A$53,Доп.расчеты!$A152,'Как есть'!FH$45:FH$53)</f>
        <v>0</v>
      </c>
      <c r="FH152">
        <f>SUMIF('Как есть'!$A$45:$A$53,Доп.расчеты!$A152,'Как есть'!FI$45:FI$53)</f>
        <v>0</v>
      </c>
      <c r="FI152">
        <f>SUMIF('Как есть'!$A$45:$A$53,Доп.расчеты!$A152,'Как есть'!FJ$45:FJ$53)</f>
        <v>0</v>
      </c>
      <c r="FJ152">
        <f>SUMIF('Как есть'!$A$45:$A$53,Доп.расчеты!$A152,'Как есть'!FK$45:FK$53)</f>
        <v>0</v>
      </c>
      <c r="FK152">
        <f>SUMIF('Как есть'!$A$45:$A$53,Доп.расчеты!$A152,'Как есть'!FL$45:FL$53)</f>
        <v>0</v>
      </c>
      <c r="FL152">
        <f>SUMIF('Как есть'!$A$45:$A$53,Доп.расчеты!$A152,'Как есть'!FM$45:FM$53)</f>
        <v>0</v>
      </c>
      <c r="FM152">
        <f>SUMIF('Как есть'!$A$45:$A$53,Доп.расчеты!$A152,'Как есть'!FN$45:FN$53)</f>
        <v>0</v>
      </c>
      <c r="FN152">
        <f>SUMIF('Как есть'!$A$45:$A$53,Доп.расчеты!$A152,'Как есть'!FO$45:FO$53)</f>
        <v>0</v>
      </c>
      <c r="FO152">
        <f>SUMIF('Как есть'!$A$45:$A$53,Доп.расчеты!$A152,'Как есть'!FP$45:FP$53)</f>
        <v>0</v>
      </c>
      <c r="FP152">
        <f>SUMIF('Как есть'!$A$45:$A$53,Доп.расчеты!$A152,'Как есть'!FQ$45:FQ$53)</f>
        <v>0</v>
      </c>
      <c r="FQ152">
        <f>SUMIF('Как есть'!$A$45:$A$53,Доп.расчеты!$A152,'Как есть'!FR$45:FR$53)</f>
        <v>0</v>
      </c>
      <c r="FR152">
        <f>SUMIF('Как есть'!$A$45:$A$53,Доп.расчеты!$A152,'Как есть'!FS$45:FS$53)</f>
        <v>0</v>
      </c>
      <c r="FS152">
        <f>SUMIF('Как есть'!$A$45:$A$53,Доп.расчеты!$A152,'Как есть'!FT$45:FT$53)</f>
        <v>0</v>
      </c>
      <c r="FT152">
        <f>SUMIF('Как есть'!$A$45:$A$53,Доп.расчеты!$A152,'Как есть'!FU$45:FU$53)</f>
        <v>0</v>
      </c>
      <c r="FU152">
        <f>SUMIF('Как есть'!$A$45:$A$53,Доп.расчеты!$A152,'Как есть'!FV$45:FV$53)</f>
        <v>0</v>
      </c>
      <c r="FV152">
        <f>SUMIF('Как есть'!$A$45:$A$53,Доп.расчеты!$A152,'Как есть'!FW$45:FW$53)</f>
        <v>0</v>
      </c>
      <c r="FW152">
        <f>SUMIF('Как есть'!$A$45:$A$53,Доп.расчеты!$A152,'Как есть'!FX$45:FX$53)</f>
        <v>0</v>
      </c>
      <c r="FX152">
        <f>SUMIF('Как есть'!$A$45:$A$53,Доп.расчеты!$A152,'Как есть'!FY$45:FY$53)</f>
        <v>0</v>
      </c>
      <c r="FY152">
        <f>SUMIF('Как есть'!$A$45:$A$53,Доп.расчеты!$A152,'Как есть'!FZ$45:FZ$53)</f>
        <v>0</v>
      </c>
      <c r="FZ152">
        <f>SUMIF('Как есть'!$A$45:$A$53,Доп.расчеты!$A152,'Как есть'!GA$45:GA$53)</f>
        <v>0</v>
      </c>
      <c r="GA152">
        <f>SUMIF('Как есть'!$A$45:$A$53,Доп.расчеты!$A152,'Как есть'!GB$45:GB$53)</f>
        <v>0</v>
      </c>
      <c r="GB152">
        <f>SUMIF('Как есть'!$A$45:$A$53,Доп.расчеты!$A152,'Как есть'!GC$45:GC$53)</f>
        <v>0</v>
      </c>
      <c r="GC152">
        <f>SUMIF('Как есть'!$A$45:$A$53,Доп.расчеты!$A152,'Как есть'!GD$45:GD$53)</f>
        <v>0</v>
      </c>
      <c r="GD152">
        <f>SUMIF('Как есть'!$A$45:$A$53,Доп.расчеты!$A152,'Как есть'!GE$45:GE$53)</f>
        <v>0</v>
      </c>
      <c r="GE152">
        <f>SUMIF('Как есть'!$A$45:$A$53,Доп.расчеты!$A152,'Как есть'!GF$45:GF$53)</f>
        <v>0</v>
      </c>
      <c r="GF152">
        <f>SUMIF('Как есть'!$A$45:$A$53,Доп.расчеты!$A152,'Как есть'!GG$45:GG$53)</f>
        <v>0</v>
      </c>
      <c r="GG152">
        <f>SUMIF('Как есть'!$A$45:$A$53,Доп.расчеты!$A152,'Как есть'!GH$45:GH$53)</f>
        <v>0</v>
      </c>
      <c r="GH152">
        <f>SUMIF('Как есть'!$A$45:$A$53,Доп.расчеты!$A152,'Как есть'!GI$45:GI$53)</f>
        <v>0</v>
      </c>
      <c r="GI152">
        <f>SUMIF('Как есть'!$A$45:$A$53,Доп.расчеты!$A152,'Как есть'!GJ$45:GJ$53)</f>
        <v>0</v>
      </c>
      <c r="GJ152">
        <f>SUMIF('Как есть'!$A$45:$A$53,Доп.расчеты!$A152,'Как есть'!GK$45:GK$53)</f>
        <v>0</v>
      </c>
      <c r="GK152">
        <f>SUMIF('Как есть'!$A$45:$A$53,Доп.расчеты!$A152,'Как есть'!GL$45:GL$53)</f>
        <v>0</v>
      </c>
      <c r="GL152">
        <f>SUMIF('Как есть'!$A$45:$A$53,Доп.расчеты!$A152,'Как есть'!GM$45:GM$53)</f>
        <v>0</v>
      </c>
      <c r="GM152">
        <f>SUMIF('Как есть'!$A$45:$A$53,Доп.расчеты!$A152,'Как есть'!GN$45:GN$53)</f>
        <v>0</v>
      </c>
      <c r="GN152">
        <f>SUMIF('Как есть'!$A$45:$A$53,Доп.расчеты!$A152,'Как есть'!GO$45:GO$53)</f>
        <v>0</v>
      </c>
      <c r="GO152">
        <f>SUMIF('Как есть'!$A$45:$A$53,Доп.расчеты!$A152,'Как есть'!GP$45:GP$53)</f>
        <v>0</v>
      </c>
      <c r="GP152">
        <f>SUMIF('Как есть'!$A$45:$A$53,Доп.расчеты!$A152,'Как есть'!GQ$45:GQ$53)</f>
        <v>0</v>
      </c>
      <c r="GQ152">
        <f>SUMIF('Как есть'!$A$45:$A$53,Доп.расчеты!$A152,'Как есть'!GR$45:GR$53)</f>
        <v>0</v>
      </c>
      <c r="GR152">
        <f>SUMIF('Как есть'!$A$45:$A$53,Доп.расчеты!$A152,'Как есть'!GS$45:GS$53)</f>
        <v>0</v>
      </c>
      <c r="GS152">
        <f>SUMIF('Как есть'!$A$45:$A$53,Доп.расчеты!$A152,'Как есть'!GT$45:GT$53)</f>
        <v>0</v>
      </c>
      <c r="GT152">
        <f>SUMIF('Как есть'!$A$45:$A$53,Доп.расчеты!$A152,'Как есть'!GU$45:GU$53)</f>
        <v>0</v>
      </c>
    </row>
    <row r="153" spans="1:202" hidden="1" outlineLevel="1">
      <c r="A153" s="238" t="s">
        <v>89</v>
      </c>
      <c r="B153">
        <f>SUMIF('Как есть'!$A$45:$A$53,Доп.расчеты!$A153,'Как есть'!C$45:C$53)</f>
        <v>0</v>
      </c>
      <c r="C153">
        <f>SUMIF('Как есть'!$A$45:$A$53,Доп.расчеты!$A153,'Как есть'!D$45:D$53)</f>
        <v>0</v>
      </c>
      <c r="D153">
        <f>SUMIF('Как есть'!$A$45:$A$53,Доп.расчеты!$A153,'Как есть'!E$45:E$53)</f>
        <v>0</v>
      </c>
      <c r="E153">
        <f>SUMIF('Как есть'!$A$45:$A$53,Доп.расчеты!$A153,'Как есть'!F$45:F$53)</f>
        <v>0</v>
      </c>
      <c r="F153">
        <f>SUMIF('Как есть'!$A$45:$A$53,Доп.расчеты!$A153,'Как есть'!G$45:G$53)</f>
        <v>0</v>
      </c>
      <c r="G153">
        <f>SUMIF('Как есть'!$A$45:$A$53,Доп.расчеты!$A153,'Как есть'!H$45:H$53)</f>
        <v>0</v>
      </c>
      <c r="H153">
        <f>SUMIF('Как есть'!$A$45:$A$53,Доп.расчеты!$A153,'Как есть'!I$45:I$53)</f>
        <v>0</v>
      </c>
      <c r="I153">
        <f>SUMIF('Как есть'!$A$45:$A$53,Доп.расчеты!$A153,'Как есть'!J$45:J$53)</f>
        <v>0</v>
      </c>
      <c r="J153">
        <f>SUMIF('Как есть'!$A$45:$A$53,Доп.расчеты!$A153,'Как есть'!K$45:K$53)</f>
        <v>0</v>
      </c>
      <c r="K153">
        <f>SUMIF('Как есть'!$A$45:$A$53,Доп.расчеты!$A153,'Как есть'!L$45:L$53)</f>
        <v>0</v>
      </c>
      <c r="L153">
        <f>SUMIF('Как есть'!$A$45:$A$53,Доп.расчеты!$A153,'Как есть'!M$45:M$53)</f>
        <v>0</v>
      </c>
      <c r="M153">
        <f>SUMIF('Как есть'!$A$45:$A$53,Доп.расчеты!$A153,'Как есть'!N$45:N$53)</f>
        <v>0</v>
      </c>
      <c r="N153">
        <f>SUMIF('Как есть'!$A$45:$A$53,Доп.расчеты!$A153,'Как есть'!O$45:O$53)</f>
        <v>0</v>
      </c>
      <c r="O153">
        <f>SUMIF('Как есть'!$A$45:$A$53,Доп.расчеты!$A153,'Как есть'!P$45:P$53)</f>
        <v>0</v>
      </c>
      <c r="P153">
        <f>SUMIF('Как есть'!$A$45:$A$53,Доп.расчеты!$A153,'Как есть'!Q$45:Q$53)</f>
        <v>0</v>
      </c>
      <c r="Q153">
        <f>SUMIF('Как есть'!$A$45:$A$53,Доп.расчеты!$A153,'Как есть'!R$45:R$53)</f>
        <v>0</v>
      </c>
      <c r="R153">
        <f>SUMIF('Как есть'!$A$45:$A$53,Доп.расчеты!$A153,'Как есть'!S$45:S$53)</f>
        <v>0</v>
      </c>
      <c r="S153">
        <f>SUMIF('Как есть'!$A$45:$A$53,Доп.расчеты!$A153,'Как есть'!T$45:T$53)</f>
        <v>0</v>
      </c>
      <c r="T153">
        <f>SUMIF('Как есть'!$A$45:$A$53,Доп.расчеты!$A153,'Как есть'!U$45:U$53)</f>
        <v>0</v>
      </c>
      <c r="U153">
        <f>SUMIF('Как есть'!$A$45:$A$53,Доп.расчеты!$A153,'Как есть'!V$45:V$53)</f>
        <v>0</v>
      </c>
      <c r="V153">
        <f>SUMIF('Как есть'!$A$45:$A$53,Доп.расчеты!$A153,'Как есть'!W$45:W$53)</f>
        <v>0</v>
      </c>
      <c r="W153">
        <f>SUMIF('Как есть'!$A$45:$A$53,Доп.расчеты!$A153,'Как есть'!X$45:X$53)</f>
        <v>0</v>
      </c>
      <c r="X153">
        <f>SUMIF('Как есть'!$A$45:$A$53,Доп.расчеты!$A153,'Как есть'!Y$45:Y$53)</f>
        <v>0</v>
      </c>
      <c r="Y153">
        <f>SUMIF('Как есть'!$A$45:$A$53,Доп.расчеты!$A153,'Как есть'!Z$45:Z$53)</f>
        <v>0</v>
      </c>
      <c r="Z153">
        <f>SUMIF('Как есть'!$A$45:$A$53,Доп.расчеты!$A153,'Как есть'!AA$45:AA$53)</f>
        <v>0</v>
      </c>
      <c r="AA153">
        <f>SUMIF('Как есть'!$A$45:$A$53,Доп.расчеты!$A153,'Как есть'!AB$45:AB$53)</f>
        <v>0</v>
      </c>
      <c r="AB153">
        <f>SUMIF('Как есть'!$A$45:$A$53,Доп.расчеты!$A153,'Как есть'!AC$45:AC$53)</f>
        <v>0</v>
      </c>
      <c r="AC153">
        <f>SUMIF('Как есть'!$A$45:$A$53,Доп.расчеты!$A153,'Как есть'!AD$45:AD$53)</f>
        <v>0</v>
      </c>
      <c r="AD153">
        <f>SUMIF('Как есть'!$A$45:$A$53,Доп.расчеты!$A153,'Как есть'!AE$45:AE$53)</f>
        <v>0</v>
      </c>
      <c r="AE153">
        <f>SUMIF('Как есть'!$A$45:$A$53,Доп.расчеты!$A153,'Как есть'!AF$45:AF$53)</f>
        <v>0</v>
      </c>
      <c r="AF153">
        <f>SUMIF('Как есть'!$A$45:$A$53,Доп.расчеты!$A153,'Как есть'!AG$45:AG$53)</f>
        <v>0</v>
      </c>
      <c r="AG153">
        <f>SUMIF('Как есть'!$A$45:$A$53,Доп.расчеты!$A153,'Как есть'!AH$45:AH$53)</f>
        <v>0</v>
      </c>
      <c r="AH153">
        <f>SUMIF('Как есть'!$A$45:$A$53,Доп.расчеты!$A153,'Как есть'!AI$45:AI$53)</f>
        <v>0</v>
      </c>
      <c r="AI153">
        <f>SUMIF('Как есть'!$A$45:$A$53,Доп.расчеты!$A153,'Как есть'!AJ$45:AJ$53)</f>
        <v>0</v>
      </c>
      <c r="AJ153">
        <f>SUMIF('Как есть'!$A$45:$A$53,Доп.расчеты!$A153,'Как есть'!AK$45:AK$53)</f>
        <v>0</v>
      </c>
      <c r="AK153">
        <f>SUMIF('Как есть'!$A$45:$A$53,Доп.расчеты!$A153,'Как есть'!AL$45:AL$53)</f>
        <v>0</v>
      </c>
      <c r="AL153">
        <f>SUMIF('Как есть'!$A$45:$A$53,Доп.расчеты!$A153,'Как есть'!AM$45:AM$53)</f>
        <v>0</v>
      </c>
      <c r="AM153">
        <f>SUMIF('Как есть'!$A$45:$A$53,Доп.расчеты!$A153,'Как есть'!AN$45:AN$53)</f>
        <v>0</v>
      </c>
      <c r="AN153">
        <f>SUMIF('Как есть'!$A$45:$A$53,Доп.расчеты!$A153,'Как есть'!AO$45:AO$53)</f>
        <v>0</v>
      </c>
      <c r="AO153">
        <f>SUMIF('Как есть'!$A$45:$A$53,Доп.расчеты!$A153,'Как есть'!AP$45:AP$53)</f>
        <v>0</v>
      </c>
      <c r="AP153">
        <f>SUMIF('Как есть'!$A$45:$A$53,Доп.расчеты!$A153,'Как есть'!AQ$45:AQ$53)</f>
        <v>0</v>
      </c>
      <c r="AQ153">
        <f>SUMIF('Как есть'!$A$45:$A$53,Доп.расчеты!$A153,'Как есть'!AR$45:AR$53)</f>
        <v>0</v>
      </c>
      <c r="AR153">
        <f>SUMIF('Как есть'!$A$45:$A$53,Доп.расчеты!$A153,'Как есть'!AS$45:AS$53)</f>
        <v>0</v>
      </c>
      <c r="AS153">
        <f>SUMIF('Как есть'!$A$45:$A$53,Доп.расчеты!$A153,'Как есть'!AT$45:AT$53)</f>
        <v>0</v>
      </c>
      <c r="AT153">
        <f>SUMIF('Как есть'!$A$45:$A$53,Доп.расчеты!$A153,'Как есть'!AU$45:AU$53)</f>
        <v>0</v>
      </c>
      <c r="AU153">
        <f>SUMIF('Как есть'!$A$45:$A$53,Доп.расчеты!$A153,'Как есть'!AV$45:AV$53)</f>
        <v>0</v>
      </c>
      <c r="AV153">
        <f>SUMIF('Как есть'!$A$45:$A$53,Доп.расчеты!$A153,'Как есть'!AW$45:AW$53)</f>
        <v>0</v>
      </c>
      <c r="AW153">
        <f>SUMIF('Как есть'!$A$45:$A$53,Доп.расчеты!$A153,'Как есть'!AX$45:AX$53)</f>
        <v>0</v>
      </c>
      <c r="AX153">
        <f>SUMIF('Как есть'!$A$45:$A$53,Доп.расчеты!$A153,'Как есть'!AY$45:AY$53)</f>
        <v>0</v>
      </c>
      <c r="AY153">
        <f>SUMIF('Как есть'!$A$45:$A$53,Доп.расчеты!$A153,'Как есть'!AZ$45:AZ$53)</f>
        <v>0</v>
      </c>
      <c r="AZ153">
        <f>SUMIF('Как есть'!$A$45:$A$53,Доп.расчеты!$A153,'Как есть'!BA$45:BA$53)</f>
        <v>0</v>
      </c>
      <c r="BA153">
        <f>SUMIF('Как есть'!$A$45:$A$53,Доп.расчеты!$A153,'Как есть'!BB$45:BB$53)</f>
        <v>0</v>
      </c>
      <c r="BB153">
        <f>SUMIF('Как есть'!$A$45:$A$53,Доп.расчеты!$A153,'Как есть'!BC$45:BC$53)</f>
        <v>0</v>
      </c>
      <c r="BC153">
        <f>SUMIF('Как есть'!$A$45:$A$53,Доп.расчеты!$A153,'Как есть'!BD$45:BD$53)</f>
        <v>0</v>
      </c>
      <c r="BD153">
        <f>SUMIF('Как есть'!$A$45:$A$53,Доп.расчеты!$A153,'Как есть'!BE$45:BE$53)</f>
        <v>0</v>
      </c>
      <c r="BE153">
        <f>SUMIF('Как есть'!$A$45:$A$53,Доп.расчеты!$A153,'Как есть'!BF$45:BF$53)</f>
        <v>0</v>
      </c>
      <c r="BF153">
        <f>SUMIF('Как есть'!$A$45:$A$53,Доп.расчеты!$A153,'Как есть'!BG$45:BG$53)</f>
        <v>0</v>
      </c>
      <c r="BG153">
        <f>SUMIF('Как есть'!$A$45:$A$53,Доп.расчеты!$A153,'Как есть'!BH$45:BH$53)</f>
        <v>0</v>
      </c>
      <c r="BH153">
        <f>SUMIF('Как есть'!$A$45:$A$53,Доп.расчеты!$A153,'Как есть'!BI$45:BI$53)</f>
        <v>0</v>
      </c>
      <c r="BI153">
        <f>SUMIF('Как есть'!$A$45:$A$53,Доп.расчеты!$A153,'Как есть'!BJ$45:BJ$53)</f>
        <v>0</v>
      </c>
      <c r="BJ153">
        <f>SUMIF('Как есть'!$A$45:$A$53,Доп.расчеты!$A153,'Как есть'!BK$45:BK$53)</f>
        <v>0</v>
      </c>
      <c r="BK153">
        <f>SUMIF('Как есть'!$A$45:$A$53,Доп.расчеты!$A153,'Как есть'!BL$45:BL$53)</f>
        <v>0</v>
      </c>
      <c r="BL153">
        <f>SUMIF('Как есть'!$A$45:$A$53,Доп.расчеты!$A153,'Как есть'!BM$45:BM$53)</f>
        <v>0</v>
      </c>
      <c r="BM153">
        <f>SUMIF('Как есть'!$A$45:$A$53,Доп.расчеты!$A153,'Как есть'!BN$45:BN$53)</f>
        <v>0</v>
      </c>
      <c r="BN153">
        <f>SUMIF('Как есть'!$A$45:$A$53,Доп.расчеты!$A153,'Как есть'!BO$45:BO$53)</f>
        <v>0</v>
      </c>
      <c r="BO153">
        <f>SUMIF('Как есть'!$A$45:$A$53,Доп.расчеты!$A153,'Как есть'!BP$45:BP$53)</f>
        <v>0</v>
      </c>
      <c r="BP153">
        <f>SUMIF('Как есть'!$A$45:$A$53,Доп.расчеты!$A153,'Как есть'!BQ$45:BQ$53)</f>
        <v>0</v>
      </c>
      <c r="BQ153">
        <f>SUMIF('Как есть'!$A$45:$A$53,Доп.расчеты!$A153,'Как есть'!BR$45:BR$53)</f>
        <v>0</v>
      </c>
      <c r="BR153">
        <f>SUMIF('Как есть'!$A$45:$A$53,Доп.расчеты!$A153,'Как есть'!BS$45:BS$53)</f>
        <v>0</v>
      </c>
      <c r="BS153">
        <f>SUMIF('Как есть'!$A$45:$A$53,Доп.расчеты!$A153,'Как есть'!BT$45:BT$53)</f>
        <v>0</v>
      </c>
      <c r="BT153">
        <f>SUMIF('Как есть'!$A$45:$A$53,Доп.расчеты!$A153,'Как есть'!BU$45:BU$53)</f>
        <v>0</v>
      </c>
      <c r="BU153">
        <f>SUMIF('Как есть'!$A$45:$A$53,Доп.расчеты!$A153,'Как есть'!BV$45:BV$53)</f>
        <v>0</v>
      </c>
      <c r="BV153">
        <f>SUMIF('Как есть'!$A$45:$A$53,Доп.расчеты!$A153,'Как есть'!BW$45:BW$53)</f>
        <v>0</v>
      </c>
      <c r="BW153">
        <f>SUMIF('Как есть'!$A$45:$A$53,Доп.расчеты!$A153,'Как есть'!BX$45:BX$53)</f>
        <v>0</v>
      </c>
      <c r="BX153">
        <f>SUMIF('Как есть'!$A$45:$A$53,Доп.расчеты!$A153,'Как есть'!BY$45:BY$53)</f>
        <v>0</v>
      </c>
      <c r="BY153">
        <f>SUMIF('Как есть'!$A$45:$A$53,Доп.расчеты!$A153,'Как есть'!BZ$45:BZ$53)</f>
        <v>0</v>
      </c>
      <c r="BZ153">
        <f>SUMIF('Как есть'!$A$45:$A$53,Доп.расчеты!$A153,'Как есть'!CA$45:CA$53)</f>
        <v>0</v>
      </c>
      <c r="CA153">
        <f>SUMIF('Как есть'!$A$45:$A$53,Доп.расчеты!$A153,'Как есть'!CB$45:CB$53)</f>
        <v>0</v>
      </c>
      <c r="CB153">
        <f>SUMIF('Как есть'!$A$45:$A$53,Доп.расчеты!$A153,'Как есть'!CC$45:CC$53)</f>
        <v>0</v>
      </c>
      <c r="CC153">
        <f>SUMIF('Как есть'!$A$45:$A$53,Доп.расчеты!$A153,'Как есть'!CD$45:CD$53)</f>
        <v>0</v>
      </c>
      <c r="CD153">
        <f>SUMIF('Как есть'!$A$45:$A$53,Доп.расчеты!$A153,'Как есть'!CE$45:CE$53)</f>
        <v>0</v>
      </c>
      <c r="CE153">
        <f>SUMIF('Как есть'!$A$45:$A$53,Доп.расчеты!$A153,'Как есть'!CF$45:CF$53)</f>
        <v>0</v>
      </c>
      <c r="CF153">
        <f>SUMIF('Как есть'!$A$45:$A$53,Доп.расчеты!$A153,'Как есть'!CG$45:CG$53)</f>
        <v>0</v>
      </c>
      <c r="CG153">
        <f>SUMIF('Как есть'!$A$45:$A$53,Доп.расчеты!$A153,'Как есть'!CH$45:CH$53)</f>
        <v>0</v>
      </c>
      <c r="CH153">
        <f>SUMIF('Как есть'!$A$45:$A$53,Доп.расчеты!$A153,'Как есть'!CI$45:CI$53)</f>
        <v>0</v>
      </c>
      <c r="CI153">
        <f>SUMIF('Как есть'!$A$45:$A$53,Доп.расчеты!$A153,'Как есть'!CJ$45:CJ$53)</f>
        <v>0</v>
      </c>
      <c r="CJ153">
        <f>SUMIF('Как есть'!$A$45:$A$53,Доп.расчеты!$A153,'Как есть'!CK$45:CK$53)</f>
        <v>0</v>
      </c>
      <c r="CK153">
        <f>SUMIF('Как есть'!$A$45:$A$53,Доп.расчеты!$A153,'Как есть'!CL$45:CL$53)</f>
        <v>0</v>
      </c>
      <c r="CL153">
        <f>SUMIF('Как есть'!$A$45:$A$53,Доп.расчеты!$A153,'Как есть'!CM$45:CM$53)</f>
        <v>0</v>
      </c>
      <c r="CM153">
        <f>SUMIF('Как есть'!$A$45:$A$53,Доп.расчеты!$A153,'Как есть'!CN$45:CN$53)</f>
        <v>0</v>
      </c>
      <c r="CN153">
        <f>SUMIF('Как есть'!$A$45:$A$53,Доп.расчеты!$A153,'Как есть'!CO$45:CO$53)</f>
        <v>0</v>
      </c>
      <c r="CO153">
        <f>SUMIF('Как есть'!$A$45:$A$53,Доп.расчеты!$A153,'Как есть'!CP$45:CP$53)</f>
        <v>0</v>
      </c>
      <c r="CP153">
        <f>SUMIF('Как есть'!$A$45:$A$53,Доп.расчеты!$A153,'Как есть'!CQ$45:CQ$53)</f>
        <v>0</v>
      </c>
      <c r="CQ153">
        <f>SUMIF('Как есть'!$A$45:$A$53,Доп.расчеты!$A153,'Как есть'!CR$45:CR$53)</f>
        <v>0</v>
      </c>
      <c r="CR153">
        <f>SUMIF('Как есть'!$A$45:$A$53,Доп.расчеты!$A153,'Как есть'!CS$45:CS$53)</f>
        <v>0</v>
      </c>
      <c r="CS153">
        <f>SUMIF('Как есть'!$A$45:$A$53,Доп.расчеты!$A153,'Как есть'!CT$45:CT$53)</f>
        <v>0</v>
      </c>
      <c r="CT153">
        <f>SUMIF('Как есть'!$A$45:$A$53,Доп.расчеты!$A153,'Как есть'!CU$45:CU$53)</f>
        <v>0</v>
      </c>
      <c r="CU153">
        <f>SUMIF('Как есть'!$A$45:$A$53,Доп.расчеты!$A153,'Как есть'!CV$45:CV$53)</f>
        <v>0</v>
      </c>
      <c r="CV153">
        <f>SUMIF('Как есть'!$A$45:$A$53,Доп.расчеты!$A153,'Как есть'!CW$45:CW$53)</f>
        <v>0</v>
      </c>
      <c r="CW153">
        <f>SUMIF('Как есть'!$A$45:$A$53,Доп.расчеты!$A153,'Как есть'!CX$45:CX$53)</f>
        <v>0</v>
      </c>
      <c r="CX153">
        <f>SUMIF('Как есть'!$A$45:$A$53,Доп.расчеты!$A153,'Как есть'!CY$45:CY$53)</f>
        <v>0</v>
      </c>
      <c r="CY153">
        <f>SUMIF('Как есть'!$A$45:$A$53,Доп.расчеты!$A153,'Как есть'!CZ$45:CZ$53)</f>
        <v>0</v>
      </c>
      <c r="CZ153">
        <f>SUMIF('Как есть'!$A$45:$A$53,Доп.расчеты!$A153,'Как есть'!DA$45:DA$53)</f>
        <v>0</v>
      </c>
      <c r="DA153">
        <f>SUMIF('Как есть'!$A$45:$A$53,Доп.расчеты!$A153,'Как есть'!DB$45:DB$53)</f>
        <v>0</v>
      </c>
      <c r="DB153">
        <f>SUMIF('Как есть'!$A$45:$A$53,Доп.расчеты!$A153,'Как есть'!DC$45:DC$53)</f>
        <v>0</v>
      </c>
      <c r="DC153">
        <f>SUMIF('Как есть'!$A$45:$A$53,Доп.расчеты!$A153,'Как есть'!DD$45:DD$53)</f>
        <v>0</v>
      </c>
      <c r="DD153">
        <f>SUMIF('Как есть'!$A$45:$A$53,Доп.расчеты!$A153,'Как есть'!DE$45:DE$53)</f>
        <v>0</v>
      </c>
      <c r="DE153">
        <f>SUMIF('Как есть'!$A$45:$A$53,Доп.расчеты!$A153,'Как есть'!DF$45:DF$53)</f>
        <v>0</v>
      </c>
      <c r="DF153">
        <f>SUMIF('Как есть'!$A$45:$A$53,Доп.расчеты!$A153,'Как есть'!DG$45:DG$53)</f>
        <v>0</v>
      </c>
      <c r="DG153">
        <f>SUMIF('Как есть'!$A$45:$A$53,Доп.расчеты!$A153,'Как есть'!DH$45:DH$53)</f>
        <v>0</v>
      </c>
      <c r="DH153">
        <f>SUMIF('Как есть'!$A$45:$A$53,Доп.расчеты!$A153,'Как есть'!DI$45:DI$53)</f>
        <v>0</v>
      </c>
      <c r="DI153">
        <f>SUMIF('Как есть'!$A$45:$A$53,Доп.расчеты!$A153,'Как есть'!DJ$45:DJ$53)</f>
        <v>0</v>
      </c>
      <c r="DJ153">
        <f>SUMIF('Как есть'!$A$45:$A$53,Доп.расчеты!$A153,'Как есть'!DK$45:DK$53)</f>
        <v>0</v>
      </c>
      <c r="DK153">
        <f>SUMIF('Как есть'!$A$45:$A$53,Доп.расчеты!$A153,'Как есть'!DL$45:DL$53)</f>
        <v>0</v>
      </c>
      <c r="DL153">
        <f>SUMIF('Как есть'!$A$45:$A$53,Доп.расчеты!$A153,'Как есть'!DM$45:DM$53)</f>
        <v>0</v>
      </c>
      <c r="DM153">
        <f>SUMIF('Как есть'!$A$45:$A$53,Доп.расчеты!$A153,'Как есть'!DN$45:DN$53)</f>
        <v>0</v>
      </c>
      <c r="DN153">
        <f>SUMIF('Как есть'!$A$45:$A$53,Доп.расчеты!$A153,'Как есть'!DO$45:DO$53)</f>
        <v>0</v>
      </c>
      <c r="DO153">
        <f>SUMIF('Как есть'!$A$45:$A$53,Доп.расчеты!$A153,'Как есть'!DP$45:DP$53)</f>
        <v>0</v>
      </c>
      <c r="DP153">
        <f>SUMIF('Как есть'!$A$45:$A$53,Доп.расчеты!$A153,'Как есть'!DQ$45:DQ$53)</f>
        <v>0</v>
      </c>
      <c r="DQ153">
        <f>SUMIF('Как есть'!$A$45:$A$53,Доп.расчеты!$A153,'Как есть'!DR$45:DR$53)</f>
        <v>0</v>
      </c>
      <c r="DR153">
        <f>SUMIF('Как есть'!$A$45:$A$53,Доп.расчеты!$A153,'Как есть'!DS$45:DS$53)</f>
        <v>0</v>
      </c>
      <c r="DS153">
        <f>SUMIF('Как есть'!$A$45:$A$53,Доп.расчеты!$A153,'Как есть'!DT$45:DT$53)</f>
        <v>0</v>
      </c>
      <c r="DT153">
        <f>SUMIF('Как есть'!$A$45:$A$53,Доп.расчеты!$A153,'Как есть'!DU$45:DU$53)</f>
        <v>0</v>
      </c>
      <c r="DU153">
        <f>SUMIF('Как есть'!$A$45:$A$53,Доп.расчеты!$A153,'Как есть'!DV$45:DV$53)</f>
        <v>0</v>
      </c>
      <c r="DV153">
        <f>SUMIF('Как есть'!$A$45:$A$53,Доп.расчеты!$A153,'Как есть'!DW$45:DW$53)</f>
        <v>0</v>
      </c>
      <c r="DW153">
        <f>SUMIF('Как есть'!$A$45:$A$53,Доп.расчеты!$A153,'Как есть'!DX$45:DX$53)</f>
        <v>0</v>
      </c>
      <c r="DX153">
        <f>SUMIF('Как есть'!$A$45:$A$53,Доп.расчеты!$A153,'Как есть'!DY$45:DY$53)</f>
        <v>0</v>
      </c>
      <c r="DY153">
        <f>SUMIF('Как есть'!$A$45:$A$53,Доп.расчеты!$A153,'Как есть'!DZ$45:DZ$53)</f>
        <v>0</v>
      </c>
      <c r="DZ153">
        <f>SUMIF('Как есть'!$A$45:$A$53,Доп.расчеты!$A153,'Как есть'!EA$45:EA$53)</f>
        <v>0</v>
      </c>
      <c r="EA153">
        <f>SUMIF('Как есть'!$A$45:$A$53,Доп.расчеты!$A153,'Как есть'!EB$45:EB$53)</f>
        <v>0</v>
      </c>
      <c r="EB153">
        <f>SUMIF('Как есть'!$A$45:$A$53,Доп.расчеты!$A153,'Как есть'!EC$45:EC$53)</f>
        <v>0</v>
      </c>
      <c r="EC153">
        <f>SUMIF('Как есть'!$A$45:$A$53,Доп.расчеты!$A153,'Как есть'!ED$45:ED$53)</f>
        <v>0</v>
      </c>
      <c r="ED153">
        <f>SUMIF('Как есть'!$A$45:$A$53,Доп.расчеты!$A153,'Как есть'!EE$45:EE$53)</f>
        <v>0</v>
      </c>
      <c r="EE153">
        <f>SUMIF('Как есть'!$A$45:$A$53,Доп.расчеты!$A153,'Как есть'!EF$45:EF$53)</f>
        <v>0</v>
      </c>
      <c r="EF153">
        <f>SUMIF('Как есть'!$A$45:$A$53,Доп.расчеты!$A153,'Как есть'!EG$45:EG$53)</f>
        <v>0</v>
      </c>
      <c r="EG153">
        <f>SUMIF('Как есть'!$A$45:$A$53,Доп.расчеты!$A153,'Как есть'!EH$45:EH$53)</f>
        <v>0</v>
      </c>
      <c r="EH153">
        <f>SUMIF('Как есть'!$A$45:$A$53,Доп.расчеты!$A153,'Как есть'!EI$45:EI$53)</f>
        <v>0</v>
      </c>
      <c r="EI153">
        <f>SUMIF('Как есть'!$A$45:$A$53,Доп.расчеты!$A153,'Как есть'!EJ$45:EJ$53)</f>
        <v>0</v>
      </c>
      <c r="EJ153">
        <f>SUMIF('Как есть'!$A$45:$A$53,Доп.расчеты!$A153,'Как есть'!EK$45:EK$53)</f>
        <v>0</v>
      </c>
      <c r="EK153">
        <f>SUMIF('Как есть'!$A$45:$A$53,Доп.расчеты!$A153,'Как есть'!EL$45:EL$53)</f>
        <v>0</v>
      </c>
      <c r="EL153">
        <f>SUMIF('Как есть'!$A$45:$A$53,Доп.расчеты!$A153,'Как есть'!EM$45:EM$53)</f>
        <v>0</v>
      </c>
      <c r="EM153">
        <f>SUMIF('Как есть'!$A$45:$A$53,Доп.расчеты!$A153,'Как есть'!EN$45:EN$53)</f>
        <v>0</v>
      </c>
      <c r="EN153">
        <f>SUMIF('Как есть'!$A$45:$A$53,Доп.расчеты!$A153,'Как есть'!EO$45:EO$53)</f>
        <v>0</v>
      </c>
      <c r="EO153">
        <f>SUMIF('Как есть'!$A$45:$A$53,Доп.расчеты!$A153,'Как есть'!EP$45:EP$53)</f>
        <v>0</v>
      </c>
      <c r="EP153">
        <f>SUMIF('Как есть'!$A$45:$A$53,Доп.расчеты!$A153,'Как есть'!EQ$45:EQ$53)</f>
        <v>0</v>
      </c>
      <c r="EQ153">
        <f>SUMIF('Как есть'!$A$45:$A$53,Доп.расчеты!$A153,'Как есть'!ER$45:ER$53)</f>
        <v>0</v>
      </c>
      <c r="ER153">
        <f>SUMIF('Как есть'!$A$45:$A$53,Доп.расчеты!$A153,'Как есть'!ES$45:ES$53)</f>
        <v>0</v>
      </c>
      <c r="ES153">
        <f>SUMIF('Как есть'!$A$45:$A$53,Доп.расчеты!$A153,'Как есть'!ET$45:ET$53)</f>
        <v>0</v>
      </c>
      <c r="ET153">
        <f>SUMIF('Как есть'!$A$45:$A$53,Доп.расчеты!$A153,'Как есть'!EU$45:EU$53)</f>
        <v>0</v>
      </c>
      <c r="EU153">
        <f>SUMIF('Как есть'!$A$45:$A$53,Доп.расчеты!$A153,'Как есть'!EV$45:EV$53)</f>
        <v>0</v>
      </c>
      <c r="EV153">
        <f>SUMIF('Как есть'!$A$45:$A$53,Доп.расчеты!$A153,'Как есть'!EW$45:EW$53)</f>
        <v>0</v>
      </c>
      <c r="EW153">
        <f>SUMIF('Как есть'!$A$45:$A$53,Доп.расчеты!$A153,'Как есть'!EX$45:EX$53)</f>
        <v>0</v>
      </c>
      <c r="EX153">
        <f>SUMIF('Как есть'!$A$45:$A$53,Доп.расчеты!$A153,'Как есть'!EY$45:EY$53)</f>
        <v>0</v>
      </c>
      <c r="EY153">
        <f>SUMIF('Как есть'!$A$45:$A$53,Доп.расчеты!$A153,'Как есть'!EZ$45:EZ$53)</f>
        <v>0</v>
      </c>
      <c r="EZ153">
        <f>SUMIF('Как есть'!$A$45:$A$53,Доп.расчеты!$A153,'Как есть'!FA$45:FA$53)</f>
        <v>0</v>
      </c>
      <c r="FA153">
        <f>SUMIF('Как есть'!$A$45:$A$53,Доп.расчеты!$A153,'Как есть'!FB$45:FB$53)</f>
        <v>0</v>
      </c>
      <c r="FB153">
        <f>SUMIF('Как есть'!$A$45:$A$53,Доп.расчеты!$A153,'Как есть'!FC$45:FC$53)</f>
        <v>0</v>
      </c>
      <c r="FC153">
        <f>SUMIF('Как есть'!$A$45:$A$53,Доп.расчеты!$A153,'Как есть'!FD$45:FD$53)</f>
        <v>0</v>
      </c>
      <c r="FD153">
        <f>SUMIF('Как есть'!$A$45:$A$53,Доп.расчеты!$A153,'Как есть'!FE$45:FE$53)</f>
        <v>0</v>
      </c>
      <c r="FE153">
        <f>SUMIF('Как есть'!$A$45:$A$53,Доп.расчеты!$A153,'Как есть'!FF$45:FF$53)</f>
        <v>0</v>
      </c>
      <c r="FF153">
        <f>SUMIF('Как есть'!$A$45:$A$53,Доп.расчеты!$A153,'Как есть'!FG$45:FG$53)</f>
        <v>0</v>
      </c>
      <c r="FG153">
        <f>SUMIF('Как есть'!$A$45:$A$53,Доп.расчеты!$A153,'Как есть'!FH$45:FH$53)</f>
        <v>0</v>
      </c>
      <c r="FH153">
        <f>SUMIF('Как есть'!$A$45:$A$53,Доп.расчеты!$A153,'Как есть'!FI$45:FI$53)</f>
        <v>0</v>
      </c>
      <c r="FI153">
        <f>SUMIF('Как есть'!$A$45:$A$53,Доп.расчеты!$A153,'Как есть'!FJ$45:FJ$53)</f>
        <v>0</v>
      </c>
      <c r="FJ153">
        <f>SUMIF('Как есть'!$A$45:$A$53,Доп.расчеты!$A153,'Как есть'!FK$45:FK$53)</f>
        <v>0</v>
      </c>
      <c r="FK153">
        <f>SUMIF('Как есть'!$A$45:$A$53,Доп.расчеты!$A153,'Как есть'!FL$45:FL$53)</f>
        <v>0</v>
      </c>
      <c r="FL153">
        <f>SUMIF('Как есть'!$A$45:$A$53,Доп.расчеты!$A153,'Как есть'!FM$45:FM$53)</f>
        <v>0</v>
      </c>
      <c r="FM153">
        <f>SUMIF('Как есть'!$A$45:$A$53,Доп.расчеты!$A153,'Как есть'!FN$45:FN$53)</f>
        <v>0</v>
      </c>
      <c r="FN153">
        <f>SUMIF('Как есть'!$A$45:$A$53,Доп.расчеты!$A153,'Как есть'!FO$45:FO$53)</f>
        <v>0</v>
      </c>
      <c r="FO153">
        <f>SUMIF('Как есть'!$A$45:$A$53,Доп.расчеты!$A153,'Как есть'!FP$45:FP$53)</f>
        <v>0</v>
      </c>
      <c r="FP153">
        <f>SUMIF('Как есть'!$A$45:$A$53,Доп.расчеты!$A153,'Как есть'!FQ$45:FQ$53)</f>
        <v>0</v>
      </c>
      <c r="FQ153">
        <f>SUMIF('Как есть'!$A$45:$A$53,Доп.расчеты!$A153,'Как есть'!FR$45:FR$53)</f>
        <v>0</v>
      </c>
      <c r="FR153">
        <f>SUMIF('Как есть'!$A$45:$A$53,Доп.расчеты!$A153,'Как есть'!FS$45:FS$53)</f>
        <v>0</v>
      </c>
      <c r="FS153">
        <f>SUMIF('Как есть'!$A$45:$A$53,Доп.расчеты!$A153,'Как есть'!FT$45:FT$53)</f>
        <v>0</v>
      </c>
      <c r="FT153">
        <f>SUMIF('Как есть'!$A$45:$A$53,Доп.расчеты!$A153,'Как есть'!FU$45:FU$53)</f>
        <v>0</v>
      </c>
      <c r="FU153">
        <f>SUMIF('Как есть'!$A$45:$A$53,Доп.расчеты!$A153,'Как есть'!FV$45:FV$53)</f>
        <v>0</v>
      </c>
      <c r="FV153">
        <f>SUMIF('Как есть'!$A$45:$A$53,Доп.расчеты!$A153,'Как есть'!FW$45:FW$53)</f>
        <v>0</v>
      </c>
      <c r="FW153">
        <f>SUMIF('Как есть'!$A$45:$A$53,Доп.расчеты!$A153,'Как есть'!FX$45:FX$53)</f>
        <v>0</v>
      </c>
      <c r="FX153">
        <f>SUMIF('Как есть'!$A$45:$A$53,Доп.расчеты!$A153,'Как есть'!FY$45:FY$53)</f>
        <v>0</v>
      </c>
      <c r="FY153">
        <f>SUMIF('Как есть'!$A$45:$A$53,Доп.расчеты!$A153,'Как есть'!FZ$45:FZ$53)</f>
        <v>0</v>
      </c>
      <c r="FZ153">
        <f>SUMIF('Как есть'!$A$45:$A$53,Доп.расчеты!$A153,'Как есть'!GA$45:GA$53)</f>
        <v>0</v>
      </c>
      <c r="GA153">
        <f>SUMIF('Как есть'!$A$45:$A$53,Доп.расчеты!$A153,'Как есть'!GB$45:GB$53)</f>
        <v>0</v>
      </c>
      <c r="GB153">
        <f>SUMIF('Как есть'!$A$45:$A$53,Доп.расчеты!$A153,'Как есть'!GC$45:GC$53)</f>
        <v>0</v>
      </c>
      <c r="GC153">
        <f>SUMIF('Как есть'!$A$45:$A$53,Доп.расчеты!$A153,'Как есть'!GD$45:GD$53)</f>
        <v>0</v>
      </c>
      <c r="GD153">
        <f>SUMIF('Как есть'!$A$45:$A$53,Доп.расчеты!$A153,'Как есть'!GE$45:GE$53)</f>
        <v>0</v>
      </c>
      <c r="GE153">
        <f>SUMIF('Как есть'!$A$45:$A$53,Доп.расчеты!$A153,'Как есть'!GF$45:GF$53)</f>
        <v>0</v>
      </c>
      <c r="GF153">
        <f>SUMIF('Как есть'!$A$45:$A$53,Доп.расчеты!$A153,'Как есть'!GG$45:GG$53)</f>
        <v>0</v>
      </c>
      <c r="GG153">
        <f>SUMIF('Как есть'!$A$45:$A$53,Доп.расчеты!$A153,'Как есть'!GH$45:GH$53)</f>
        <v>0</v>
      </c>
      <c r="GH153">
        <f>SUMIF('Как есть'!$A$45:$A$53,Доп.расчеты!$A153,'Как есть'!GI$45:GI$53)</f>
        <v>0</v>
      </c>
      <c r="GI153">
        <f>SUMIF('Как есть'!$A$45:$A$53,Доп.расчеты!$A153,'Как есть'!GJ$45:GJ$53)</f>
        <v>0</v>
      </c>
      <c r="GJ153">
        <f>SUMIF('Как есть'!$A$45:$A$53,Доп.расчеты!$A153,'Как есть'!GK$45:GK$53)</f>
        <v>0</v>
      </c>
      <c r="GK153">
        <f>SUMIF('Как есть'!$A$45:$A$53,Доп.расчеты!$A153,'Как есть'!GL$45:GL$53)</f>
        <v>0</v>
      </c>
      <c r="GL153">
        <f>SUMIF('Как есть'!$A$45:$A$53,Доп.расчеты!$A153,'Как есть'!GM$45:GM$53)</f>
        <v>0</v>
      </c>
      <c r="GM153">
        <f>SUMIF('Как есть'!$A$45:$A$53,Доп.расчеты!$A153,'Как есть'!GN$45:GN$53)</f>
        <v>0</v>
      </c>
      <c r="GN153">
        <f>SUMIF('Как есть'!$A$45:$A$53,Доп.расчеты!$A153,'Как есть'!GO$45:GO$53)</f>
        <v>0</v>
      </c>
      <c r="GO153">
        <f>SUMIF('Как есть'!$A$45:$A$53,Доп.расчеты!$A153,'Как есть'!GP$45:GP$53)</f>
        <v>0</v>
      </c>
      <c r="GP153">
        <f>SUMIF('Как есть'!$A$45:$A$53,Доп.расчеты!$A153,'Как есть'!GQ$45:GQ$53)</f>
        <v>0</v>
      </c>
      <c r="GQ153">
        <f>SUMIF('Как есть'!$A$45:$A$53,Доп.расчеты!$A153,'Как есть'!GR$45:GR$53)</f>
        <v>0</v>
      </c>
      <c r="GR153">
        <f>SUMIF('Как есть'!$A$45:$A$53,Доп.расчеты!$A153,'Как есть'!GS$45:GS$53)</f>
        <v>0</v>
      </c>
      <c r="GS153">
        <f>SUMIF('Как есть'!$A$45:$A$53,Доп.расчеты!$A153,'Как есть'!GT$45:GT$53)</f>
        <v>0</v>
      </c>
      <c r="GT153">
        <f>SUMIF('Как есть'!$A$45:$A$53,Доп.расчеты!$A153,'Как есть'!GU$45:GU$53)</f>
        <v>0</v>
      </c>
    </row>
    <row r="154" spans="1:202" hidden="1" outlineLevel="1">
      <c r="A154" s="238" t="s">
        <v>90</v>
      </c>
      <c r="B154">
        <f>SUMIF('Как есть'!$A$45:$A$53,Доп.расчеты!$A154,'Как есть'!C$45:C$53)</f>
        <v>0</v>
      </c>
      <c r="C154">
        <f>SUMIF('Как есть'!$A$45:$A$53,Доп.расчеты!$A154,'Как есть'!D$45:D$53)</f>
        <v>0</v>
      </c>
      <c r="D154">
        <f>SUMIF('Как есть'!$A$45:$A$53,Доп.расчеты!$A154,'Как есть'!E$45:E$53)</f>
        <v>0</v>
      </c>
      <c r="E154">
        <f>SUMIF('Как есть'!$A$45:$A$53,Доп.расчеты!$A154,'Как есть'!F$45:F$53)</f>
        <v>0</v>
      </c>
      <c r="F154">
        <f>SUMIF('Как есть'!$A$45:$A$53,Доп.расчеты!$A154,'Как есть'!G$45:G$53)</f>
        <v>0</v>
      </c>
      <c r="G154">
        <f>SUMIF('Как есть'!$A$45:$A$53,Доп.расчеты!$A154,'Как есть'!H$45:H$53)</f>
        <v>0</v>
      </c>
      <c r="H154">
        <f>SUMIF('Как есть'!$A$45:$A$53,Доп.расчеты!$A154,'Как есть'!I$45:I$53)</f>
        <v>0</v>
      </c>
      <c r="I154">
        <f>SUMIF('Как есть'!$A$45:$A$53,Доп.расчеты!$A154,'Как есть'!J$45:J$53)</f>
        <v>0</v>
      </c>
      <c r="J154">
        <f>SUMIF('Как есть'!$A$45:$A$53,Доп.расчеты!$A154,'Как есть'!K$45:K$53)</f>
        <v>0</v>
      </c>
      <c r="K154">
        <f>SUMIF('Как есть'!$A$45:$A$53,Доп.расчеты!$A154,'Как есть'!L$45:L$53)</f>
        <v>0</v>
      </c>
      <c r="L154">
        <f>SUMIF('Как есть'!$A$45:$A$53,Доп.расчеты!$A154,'Как есть'!M$45:M$53)</f>
        <v>0</v>
      </c>
      <c r="M154">
        <f>SUMIF('Как есть'!$A$45:$A$53,Доп.расчеты!$A154,'Как есть'!N$45:N$53)</f>
        <v>0</v>
      </c>
      <c r="N154">
        <f>SUMIF('Как есть'!$A$45:$A$53,Доп.расчеты!$A154,'Как есть'!O$45:O$53)</f>
        <v>0</v>
      </c>
      <c r="O154">
        <f>SUMIF('Как есть'!$A$45:$A$53,Доп.расчеты!$A154,'Как есть'!P$45:P$53)</f>
        <v>0</v>
      </c>
      <c r="P154">
        <f>SUMIF('Как есть'!$A$45:$A$53,Доп.расчеты!$A154,'Как есть'!Q$45:Q$53)</f>
        <v>0</v>
      </c>
      <c r="Q154">
        <f>SUMIF('Как есть'!$A$45:$A$53,Доп.расчеты!$A154,'Как есть'!R$45:R$53)</f>
        <v>0</v>
      </c>
      <c r="R154">
        <f>SUMIF('Как есть'!$A$45:$A$53,Доп.расчеты!$A154,'Как есть'!S$45:S$53)</f>
        <v>0</v>
      </c>
      <c r="S154">
        <f>SUMIF('Как есть'!$A$45:$A$53,Доп.расчеты!$A154,'Как есть'!T$45:T$53)</f>
        <v>0</v>
      </c>
      <c r="T154">
        <f>SUMIF('Как есть'!$A$45:$A$53,Доп.расчеты!$A154,'Как есть'!U$45:U$53)</f>
        <v>0</v>
      </c>
      <c r="U154">
        <f>SUMIF('Как есть'!$A$45:$A$53,Доп.расчеты!$A154,'Как есть'!V$45:V$53)</f>
        <v>0</v>
      </c>
      <c r="V154">
        <f>SUMIF('Как есть'!$A$45:$A$53,Доп.расчеты!$A154,'Как есть'!W$45:W$53)</f>
        <v>0</v>
      </c>
      <c r="W154">
        <f>SUMIF('Как есть'!$A$45:$A$53,Доп.расчеты!$A154,'Как есть'!X$45:X$53)</f>
        <v>0</v>
      </c>
      <c r="X154">
        <f>SUMIF('Как есть'!$A$45:$A$53,Доп.расчеты!$A154,'Как есть'!Y$45:Y$53)</f>
        <v>0</v>
      </c>
      <c r="Y154">
        <f>SUMIF('Как есть'!$A$45:$A$53,Доп.расчеты!$A154,'Как есть'!Z$45:Z$53)</f>
        <v>0</v>
      </c>
      <c r="Z154">
        <f>SUMIF('Как есть'!$A$45:$A$53,Доп.расчеты!$A154,'Как есть'!AA$45:AA$53)</f>
        <v>0</v>
      </c>
      <c r="AA154">
        <f>SUMIF('Как есть'!$A$45:$A$53,Доп.расчеты!$A154,'Как есть'!AB$45:AB$53)</f>
        <v>0</v>
      </c>
      <c r="AB154">
        <f>SUMIF('Как есть'!$A$45:$A$53,Доп.расчеты!$A154,'Как есть'!AC$45:AC$53)</f>
        <v>0</v>
      </c>
      <c r="AC154">
        <f>SUMIF('Как есть'!$A$45:$A$53,Доп.расчеты!$A154,'Как есть'!AD$45:AD$53)</f>
        <v>0</v>
      </c>
      <c r="AD154">
        <f>SUMIF('Как есть'!$A$45:$A$53,Доп.расчеты!$A154,'Как есть'!AE$45:AE$53)</f>
        <v>0</v>
      </c>
      <c r="AE154">
        <f>SUMIF('Как есть'!$A$45:$A$53,Доп.расчеты!$A154,'Как есть'!AF$45:AF$53)</f>
        <v>0</v>
      </c>
      <c r="AF154">
        <f>SUMIF('Как есть'!$A$45:$A$53,Доп.расчеты!$A154,'Как есть'!AG$45:AG$53)</f>
        <v>0</v>
      </c>
      <c r="AG154">
        <f>SUMIF('Как есть'!$A$45:$A$53,Доп.расчеты!$A154,'Как есть'!AH$45:AH$53)</f>
        <v>0</v>
      </c>
      <c r="AH154">
        <f>SUMIF('Как есть'!$A$45:$A$53,Доп.расчеты!$A154,'Как есть'!AI$45:AI$53)</f>
        <v>0</v>
      </c>
      <c r="AI154">
        <f>SUMIF('Как есть'!$A$45:$A$53,Доп.расчеты!$A154,'Как есть'!AJ$45:AJ$53)</f>
        <v>0</v>
      </c>
      <c r="AJ154">
        <f>SUMIF('Как есть'!$A$45:$A$53,Доп.расчеты!$A154,'Как есть'!AK$45:AK$53)</f>
        <v>0</v>
      </c>
      <c r="AK154">
        <f>SUMIF('Как есть'!$A$45:$A$53,Доп.расчеты!$A154,'Как есть'!AL$45:AL$53)</f>
        <v>0</v>
      </c>
      <c r="AL154">
        <f>SUMIF('Как есть'!$A$45:$A$53,Доп.расчеты!$A154,'Как есть'!AM$45:AM$53)</f>
        <v>0</v>
      </c>
      <c r="AM154">
        <f>SUMIF('Как есть'!$A$45:$A$53,Доп.расчеты!$A154,'Как есть'!AN$45:AN$53)</f>
        <v>0</v>
      </c>
      <c r="AN154">
        <f>SUMIF('Как есть'!$A$45:$A$53,Доп.расчеты!$A154,'Как есть'!AO$45:AO$53)</f>
        <v>0</v>
      </c>
      <c r="AO154">
        <f>SUMIF('Как есть'!$A$45:$A$53,Доп.расчеты!$A154,'Как есть'!AP$45:AP$53)</f>
        <v>0</v>
      </c>
      <c r="AP154">
        <f>SUMIF('Как есть'!$A$45:$A$53,Доп.расчеты!$A154,'Как есть'!AQ$45:AQ$53)</f>
        <v>0</v>
      </c>
      <c r="AQ154">
        <f>SUMIF('Как есть'!$A$45:$A$53,Доп.расчеты!$A154,'Как есть'!AR$45:AR$53)</f>
        <v>0</v>
      </c>
      <c r="AR154">
        <f>SUMIF('Как есть'!$A$45:$A$53,Доп.расчеты!$A154,'Как есть'!AS$45:AS$53)</f>
        <v>0</v>
      </c>
      <c r="AS154">
        <f>SUMIF('Как есть'!$A$45:$A$53,Доп.расчеты!$A154,'Как есть'!AT$45:AT$53)</f>
        <v>0</v>
      </c>
      <c r="AT154">
        <f>SUMIF('Как есть'!$A$45:$A$53,Доп.расчеты!$A154,'Как есть'!AU$45:AU$53)</f>
        <v>0</v>
      </c>
      <c r="AU154">
        <f>SUMIF('Как есть'!$A$45:$A$53,Доп.расчеты!$A154,'Как есть'!AV$45:AV$53)</f>
        <v>0</v>
      </c>
      <c r="AV154">
        <f>SUMIF('Как есть'!$A$45:$A$53,Доп.расчеты!$A154,'Как есть'!AW$45:AW$53)</f>
        <v>0</v>
      </c>
      <c r="AW154">
        <f>SUMIF('Как есть'!$A$45:$A$53,Доп.расчеты!$A154,'Как есть'!AX$45:AX$53)</f>
        <v>0</v>
      </c>
      <c r="AX154">
        <f>SUMIF('Как есть'!$A$45:$A$53,Доп.расчеты!$A154,'Как есть'!AY$45:AY$53)</f>
        <v>0</v>
      </c>
      <c r="AY154">
        <f>SUMIF('Как есть'!$A$45:$A$53,Доп.расчеты!$A154,'Как есть'!AZ$45:AZ$53)</f>
        <v>0</v>
      </c>
      <c r="AZ154">
        <f>SUMIF('Как есть'!$A$45:$A$53,Доп.расчеты!$A154,'Как есть'!BA$45:BA$53)</f>
        <v>0</v>
      </c>
      <c r="BA154">
        <f>SUMIF('Как есть'!$A$45:$A$53,Доп.расчеты!$A154,'Как есть'!BB$45:BB$53)</f>
        <v>0</v>
      </c>
      <c r="BB154">
        <f>SUMIF('Как есть'!$A$45:$A$53,Доп.расчеты!$A154,'Как есть'!BC$45:BC$53)</f>
        <v>0</v>
      </c>
      <c r="BC154">
        <f>SUMIF('Как есть'!$A$45:$A$53,Доп.расчеты!$A154,'Как есть'!BD$45:BD$53)</f>
        <v>0</v>
      </c>
      <c r="BD154">
        <f>SUMIF('Как есть'!$A$45:$A$53,Доп.расчеты!$A154,'Как есть'!BE$45:BE$53)</f>
        <v>0</v>
      </c>
      <c r="BE154">
        <f>SUMIF('Как есть'!$A$45:$A$53,Доп.расчеты!$A154,'Как есть'!BF$45:BF$53)</f>
        <v>0</v>
      </c>
      <c r="BF154">
        <f>SUMIF('Как есть'!$A$45:$A$53,Доп.расчеты!$A154,'Как есть'!BG$45:BG$53)</f>
        <v>0</v>
      </c>
      <c r="BG154">
        <f>SUMIF('Как есть'!$A$45:$A$53,Доп.расчеты!$A154,'Как есть'!BH$45:BH$53)</f>
        <v>0</v>
      </c>
      <c r="BH154">
        <f>SUMIF('Как есть'!$A$45:$A$53,Доп.расчеты!$A154,'Как есть'!BI$45:BI$53)</f>
        <v>0</v>
      </c>
      <c r="BI154">
        <f>SUMIF('Как есть'!$A$45:$A$53,Доп.расчеты!$A154,'Как есть'!BJ$45:BJ$53)</f>
        <v>0</v>
      </c>
      <c r="BJ154">
        <f>SUMIF('Как есть'!$A$45:$A$53,Доп.расчеты!$A154,'Как есть'!BK$45:BK$53)</f>
        <v>0</v>
      </c>
      <c r="BK154">
        <f>SUMIF('Как есть'!$A$45:$A$53,Доп.расчеты!$A154,'Как есть'!BL$45:BL$53)</f>
        <v>0</v>
      </c>
      <c r="BL154">
        <f>SUMIF('Как есть'!$A$45:$A$53,Доп.расчеты!$A154,'Как есть'!BM$45:BM$53)</f>
        <v>0</v>
      </c>
      <c r="BM154">
        <f>SUMIF('Как есть'!$A$45:$A$53,Доп.расчеты!$A154,'Как есть'!BN$45:BN$53)</f>
        <v>0</v>
      </c>
      <c r="BN154">
        <f>SUMIF('Как есть'!$A$45:$A$53,Доп.расчеты!$A154,'Как есть'!BO$45:BO$53)</f>
        <v>0</v>
      </c>
      <c r="BO154">
        <f>SUMIF('Как есть'!$A$45:$A$53,Доп.расчеты!$A154,'Как есть'!BP$45:BP$53)</f>
        <v>0</v>
      </c>
      <c r="BP154">
        <f>SUMIF('Как есть'!$A$45:$A$53,Доп.расчеты!$A154,'Как есть'!BQ$45:BQ$53)</f>
        <v>0</v>
      </c>
      <c r="BQ154">
        <f>SUMIF('Как есть'!$A$45:$A$53,Доп.расчеты!$A154,'Как есть'!BR$45:BR$53)</f>
        <v>0</v>
      </c>
      <c r="BR154">
        <f>SUMIF('Как есть'!$A$45:$A$53,Доп.расчеты!$A154,'Как есть'!BS$45:BS$53)</f>
        <v>0</v>
      </c>
      <c r="BS154">
        <f>SUMIF('Как есть'!$A$45:$A$53,Доп.расчеты!$A154,'Как есть'!BT$45:BT$53)</f>
        <v>0</v>
      </c>
      <c r="BT154">
        <f>SUMIF('Как есть'!$A$45:$A$53,Доп.расчеты!$A154,'Как есть'!BU$45:BU$53)</f>
        <v>0</v>
      </c>
      <c r="BU154">
        <f>SUMIF('Как есть'!$A$45:$A$53,Доп.расчеты!$A154,'Как есть'!BV$45:BV$53)</f>
        <v>0</v>
      </c>
      <c r="BV154">
        <f>SUMIF('Как есть'!$A$45:$A$53,Доп.расчеты!$A154,'Как есть'!BW$45:BW$53)</f>
        <v>0</v>
      </c>
      <c r="BW154">
        <f>SUMIF('Как есть'!$A$45:$A$53,Доп.расчеты!$A154,'Как есть'!BX$45:BX$53)</f>
        <v>0</v>
      </c>
      <c r="BX154">
        <f>SUMIF('Как есть'!$A$45:$A$53,Доп.расчеты!$A154,'Как есть'!BY$45:BY$53)</f>
        <v>0</v>
      </c>
      <c r="BY154">
        <f>SUMIF('Как есть'!$A$45:$A$53,Доп.расчеты!$A154,'Как есть'!BZ$45:BZ$53)</f>
        <v>0</v>
      </c>
      <c r="BZ154">
        <f>SUMIF('Как есть'!$A$45:$A$53,Доп.расчеты!$A154,'Как есть'!CA$45:CA$53)</f>
        <v>0</v>
      </c>
      <c r="CA154">
        <f>SUMIF('Как есть'!$A$45:$A$53,Доп.расчеты!$A154,'Как есть'!CB$45:CB$53)</f>
        <v>0</v>
      </c>
      <c r="CB154">
        <f>SUMIF('Как есть'!$A$45:$A$53,Доп.расчеты!$A154,'Как есть'!CC$45:CC$53)</f>
        <v>0</v>
      </c>
      <c r="CC154">
        <f>SUMIF('Как есть'!$A$45:$A$53,Доп.расчеты!$A154,'Как есть'!CD$45:CD$53)</f>
        <v>0</v>
      </c>
      <c r="CD154">
        <f>SUMIF('Как есть'!$A$45:$A$53,Доп.расчеты!$A154,'Как есть'!CE$45:CE$53)</f>
        <v>0</v>
      </c>
      <c r="CE154">
        <f>SUMIF('Как есть'!$A$45:$A$53,Доп.расчеты!$A154,'Как есть'!CF$45:CF$53)</f>
        <v>0</v>
      </c>
      <c r="CF154">
        <f>SUMIF('Как есть'!$A$45:$A$53,Доп.расчеты!$A154,'Как есть'!CG$45:CG$53)</f>
        <v>0</v>
      </c>
      <c r="CG154">
        <f>SUMIF('Как есть'!$A$45:$A$53,Доп.расчеты!$A154,'Как есть'!CH$45:CH$53)</f>
        <v>0</v>
      </c>
      <c r="CH154">
        <f>SUMIF('Как есть'!$A$45:$A$53,Доп.расчеты!$A154,'Как есть'!CI$45:CI$53)</f>
        <v>0</v>
      </c>
      <c r="CI154">
        <f>SUMIF('Как есть'!$A$45:$A$53,Доп.расчеты!$A154,'Как есть'!CJ$45:CJ$53)</f>
        <v>0</v>
      </c>
      <c r="CJ154">
        <f>SUMIF('Как есть'!$A$45:$A$53,Доп.расчеты!$A154,'Как есть'!CK$45:CK$53)</f>
        <v>0</v>
      </c>
      <c r="CK154">
        <f>SUMIF('Как есть'!$A$45:$A$53,Доп.расчеты!$A154,'Как есть'!CL$45:CL$53)</f>
        <v>0</v>
      </c>
      <c r="CL154">
        <f>SUMIF('Как есть'!$A$45:$A$53,Доп.расчеты!$A154,'Как есть'!CM$45:CM$53)</f>
        <v>0</v>
      </c>
      <c r="CM154">
        <f>SUMIF('Как есть'!$A$45:$A$53,Доп.расчеты!$A154,'Как есть'!CN$45:CN$53)</f>
        <v>0</v>
      </c>
      <c r="CN154">
        <f>SUMIF('Как есть'!$A$45:$A$53,Доп.расчеты!$A154,'Как есть'!CO$45:CO$53)</f>
        <v>0</v>
      </c>
      <c r="CO154">
        <f>SUMIF('Как есть'!$A$45:$A$53,Доп.расчеты!$A154,'Как есть'!CP$45:CP$53)</f>
        <v>0</v>
      </c>
      <c r="CP154">
        <f>SUMIF('Как есть'!$A$45:$A$53,Доп.расчеты!$A154,'Как есть'!CQ$45:CQ$53)</f>
        <v>0</v>
      </c>
      <c r="CQ154">
        <f>SUMIF('Как есть'!$A$45:$A$53,Доп.расчеты!$A154,'Как есть'!CR$45:CR$53)</f>
        <v>0</v>
      </c>
      <c r="CR154">
        <f>SUMIF('Как есть'!$A$45:$A$53,Доп.расчеты!$A154,'Как есть'!CS$45:CS$53)</f>
        <v>0</v>
      </c>
      <c r="CS154">
        <f>SUMIF('Как есть'!$A$45:$A$53,Доп.расчеты!$A154,'Как есть'!CT$45:CT$53)</f>
        <v>0</v>
      </c>
      <c r="CT154">
        <f>SUMIF('Как есть'!$A$45:$A$53,Доп.расчеты!$A154,'Как есть'!CU$45:CU$53)</f>
        <v>0</v>
      </c>
      <c r="CU154">
        <f>SUMIF('Как есть'!$A$45:$A$53,Доп.расчеты!$A154,'Как есть'!CV$45:CV$53)</f>
        <v>0</v>
      </c>
      <c r="CV154">
        <f>SUMIF('Как есть'!$A$45:$A$53,Доп.расчеты!$A154,'Как есть'!CW$45:CW$53)</f>
        <v>0</v>
      </c>
      <c r="CW154">
        <f>SUMIF('Как есть'!$A$45:$A$53,Доп.расчеты!$A154,'Как есть'!CX$45:CX$53)</f>
        <v>0</v>
      </c>
      <c r="CX154">
        <f>SUMIF('Как есть'!$A$45:$A$53,Доп.расчеты!$A154,'Как есть'!CY$45:CY$53)</f>
        <v>0</v>
      </c>
      <c r="CY154">
        <f>SUMIF('Как есть'!$A$45:$A$53,Доп.расчеты!$A154,'Как есть'!CZ$45:CZ$53)</f>
        <v>0</v>
      </c>
      <c r="CZ154">
        <f>SUMIF('Как есть'!$A$45:$A$53,Доп.расчеты!$A154,'Как есть'!DA$45:DA$53)</f>
        <v>0</v>
      </c>
      <c r="DA154">
        <f>SUMIF('Как есть'!$A$45:$A$53,Доп.расчеты!$A154,'Как есть'!DB$45:DB$53)</f>
        <v>0</v>
      </c>
      <c r="DB154">
        <f>SUMIF('Как есть'!$A$45:$A$53,Доп.расчеты!$A154,'Как есть'!DC$45:DC$53)</f>
        <v>0</v>
      </c>
      <c r="DC154">
        <f>SUMIF('Как есть'!$A$45:$A$53,Доп.расчеты!$A154,'Как есть'!DD$45:DD$53)</f>
        <v>0</v>
      </c>
      <c r="DD154">
        <f>SUMIF('Как есть'!$A$45:$A$53,Доп.расчеты!$A154,'Как есть'!DE$45:DE$53)</f>
        <v>0</v>
      </c>
      <c r="DE154">
        <f>SUMIF('Как есть'!$A$45:$A$53,Доп.расчеты!$A154,'Как есть'!DF$45:DF$53)</f>
        <v>0</v>
      </c>
      <c r="DF154">
        <f>SUMIF('Как есть'!$A$45:$A$53,Доп.расчеты!$A154,'Как есть'!DG$45:DG$53)</f>
        <v>0</v>
      </c>
      <c r="DG154">
        <f>SUMIF('Как есть'!$A$45:$A$53,Доп.расчеты!$A154,'Как есть'!DH$45:DH$53)</f>
        <v>0</v>
      </c>
      <c r="DH154">
        <f>SUMIF('Как есть'!$A$45:$A$53,Доп.расчеты!$A154,'Как есть'!DI$45:DI$53)</f>
        <v>0</v>
      </c>
      <c r="DI154">
        <f>SUMIF('Как есть'!$A$45:$A$53,Доп.расчеты!$A154,'Как есть'!DJ$45:DJ$53)</f>
        <v>0</v>
      </c>
      <c r="DJ154">
        <f>SUMIF('Как есть'!$A$45:$A$53,Доп.расчеты!$A154,'Как есть'!DK$45:DK$53)</f>
        <v>0</v>
      </c>
      <c r="DK154">
        <f>SUMIF('Как есть'!$A$45:$A$53,Доп.расчеты!$A154,'Как есть'!DL$45:DL$53)</f>
        <v>0</v>
      </c>
      <c r="DL154">
        <f>SUMIF('Как есть'!$A$45:$A$53,Доп.расчеты!$A154,'Как есть'!DM$45:DM$53)</f>
        <v>0</v>
      </c>
      <c r="DM154">
        <f>SUMIF('Как есть'!$A$45:$A$53,Доп.расчеты!$A154,'Как есть'!DN$45:DN$53)</f>
        <v>0</v>
      </c>
      <c r="DN154">
        <f>SUMIF('Как есть'!$A$45:$A$53,Доп.расчеты!$A154,'Как есть'!DO$45:DO$53)</f>
        <v>0</v>
      </c>
      <c r="DO154">
        <f>SUMIF('Как есть'!$A$45:$A$53,Доп.расчеты!$A154,'Как есть'!DP$45:DP$53)</f>
        <v>0</v>
      </c>
      <c r="DP154">
        <f>SUMIF('Как есть'!$A$45:$A$53,Доп.расчеты!$A154,'Как есть'!DQ$45:DQ$53)</f>
        <v>0</v>
      </c>
      <c r="DQ154">
        <f>SUMIF('Как есть'!$A$45:$A$53,Доп.расчеты!$A154,'Как есть'!DR$45:DR$53)</f>
        <v>0</v>
      </c>
      <c r="DR154">
        <f>SUMIF('Как есть'!$A$45:$A$53,Доп.расчеты!$A154,'Как есть'!DS$45:DS$53)</f>
        <v>0</v>
      </c>
      <c r="DS154">
        <f>SUMIF('Как есть'!$A$45:$A$53,Доп.расчеты!$A154,'Как есть'!DT$45:DT$53)</f>
        <v>0</v>
      </c>
      <c r="DT154">
        <f>SUMIF('Как есть'!$A$45:$A$53,Доп.расчеты!$A154,'Как есть'!DU$45:DU$53)</f>
        <v>0</v>
      </c>
      <c r="DU154">
        <f>SUMIF('Как есть'!$A$45:$A$53,Доп.расчеты!$A154,'Как есть'!DV$45:DV$53)</f>
        <v>0</v>
      </c>
      <c r="DV154">
        <f>SUMIF('Как есть'!$A$45:$A$53,Доп.расчеты!$A154,'Как есть'!DW$45:DW$53)</f>
        <v>0</v>
      </c>
      <c r="DW154">
        <f>SUMIF('Как есть'!$A$45:$A$53,Доп.расчеты!$A154,'Как есть'!DX$45:DX$53)</f>
        <v>0</v>
      </c>
      <c r="DX154">
        <f>SUMIF('Как есть'!$A$45:$A$53,Доп.расчеты!$A154,'Как есть'!DY$45:DY$53)</f>
        <v>0</v>
      </c>
      <c r="DY154">
        <f>SUMIF('Как есть'!$A$45:$A$53,Доп.расчеты!$A154,'Как есть'!DZ$45:DZ$53)</f>
        <v>0</v>
      </c>
      <c r="DZ154">
        <f>SUMIF('Как есть'!$A$45:$A$53,Доп.расчеты!$A154,'Как есть'!EA$45:EA$53)</f>
        <v>0</v>
      </c>
      <c r="EA154">
        <f>SUMIF('Как есть'!$A$45:$A$53,Доп.расчеты!$A154,'Как есть'!EB$45:EB$53)</f>
        <v>0</v>
      </c>
      <c r="EB154">
        <f>SUMIF('Как есть'!$A$45:$A$53,Доп.расчеты!$A154,'Как есть'!EC$45:EC$53)</f>
        <v>0</v>
      </c>
      <c r="EC154">
        <f>SUMIF('Как есть'!$A$45:$A$53,Доп.расчеты!$A154,'Как есть'!ED$45:ED$53)</f>
        <v>0</v>
      </c>
      <c r="ED154">
        <f>SUMIF('Как есть'!$A$45:$A$53,Доп.расчеты!$A154,'Как есть'!EE$45:EE$53)</f>
        <v>0</v>
      </c>
      <c r="EE154">
        <f>SUMIF('Как есть'!$A$45:$A$53,Доп.расчеты!$A154,'Как есть'!EF$45:EF$53)</f>
        <v>0</v>
      </c>
      <c r="EF154">
        <f>SUMIF('Как есть'!$A$45:$A$53,Доп.расчеты!$A154,'Как есть'!EG$45:EG$53)</f>
        <v>0</v>
      </c>
      <c r="EG154">
        <f>SUMIF('Как есть'!$A$45:$A$53,Доп.расчеты!$A154,'Как есть'!EH$45:EH$53)</f>
        <v>0</v>
      </c>
      <c r="EH154">
        <f>SUMIF('Как есть'!$A$45:$A$53,Доп.расчеты!$A154,'Как есть'!EI$45:EI$53)</f>
        <v>0</v>
      </c>
      <c r="EI154">
        <f>SUMIF('Как есть'!$A$45:$A$53,Доп.расчеты!$A154,'Как есть'!EJ$45:EJ$53)</f>
        <v>0</v>
      </c>
      <c r="EJ154">
        <f>SUMIF('Как есть'!$A$45:$A$53,Доп.расчеты!$A154,'Как есть'!EK$45:EK$53)</f>
        <v>0</v>
      </c>
      <c r="EK154">
        <f>SUMIF('Как есть'!$A$45:$A$53,Доп.расчеты!$A154,'Как есть'!EL$45:EL$53)</f>
        <v>0</v>
      </c>
      <c r="EL154">
        <f>SUMIF('Как есть'!$A$45:$A$53,Доп.расчеты!$A154,'Как есть'!EM$45:EM$53)</f>
        <v>0</v>
      </c>
      <c r="EM154">
        <f>SUMIF('Как есть'!$A$45:$A$53,Доп.расчеты!$A154,'Как есть'!EN$45:EN$53)</f>
        <v>0</v>
      </c>
      <c r="EN154">
        <f>SUMIF('Как есть'!$A$45:$A$53,Доп.расчеты!$A154,'Как есть'!EO$45:EO$53)</f>
        <v>0</v>
      </c>
      <c r="EO154">
        <f>SUMIF('Как есть'!$A$45:$A$53,Доп.расчеты!$A154,'Как есть'!EP$45:EP$53)</f>
        <v>0</v>
      </c>
      <c r="EP154">
        <f>SUMIF('Как есть'!$A$45:$A$53,Доп.расчеты!$A154,'Как есть'!EQ$45:EQ$53)</f>
        <v>0</v>
      </c>
      <c r="EQ154">
        <f>SUMIF('Как есть'!$A$45:$A$53,Доп.расчеты!$A154,'Как есть'!ER$45:ER$53)</f>
        <v>0</v>
      </c>
      <c r="ER154">
        <f>SUMIF('Как есть'!$A$45:$A$53,Доп.расчеты!$A154,'Как есть'!ES$45:ES$53)</f>
        <v>0</v>
      </c>
      <c r="ES154">
        <f>SUMIF('Как есть'!$A$45:$A$53,Доп.расчеты!$A154,'Как есть'!ET$45:ET$53)</f>
        <v>0</v>
      </c>
      <c r="ET154">
        <f>SUMIF('Как есть'!$A$45:$A$53,Доп.расчеты!$A154,'Как есть'!EU$45:EU$53)</f>
        <v>0</v>
      </c>
      <c r="EU154">
        <f>SUMIF('Как есть'!$A$45:$A$53,Доп.расчеты!$A154,'Как есть'!EV$45:EV$53)</f>
        <v>0</v>
      </c>
      <c r="EV154">
        <f>SUMIF('Как есть'!$A$45:$A$53,Доп.расчеты!$A154,'Как есть'!EW$45:EW$53)</f>
        <v>0</v>
      </c>
      <c r="EW154">
        <f>SUMIF('Как есть'!$A$45:$A$53,Доп.расчеты!$A154,'Как есть'!EX$45:EX$53)</f>
        <v>0</v>
      </c>
      <c r="EX154">
        <f>SUMIF('Как есть'!$A$45:$A$53,Доп.расчеты!$A154,'Как есть'!EY$45:EY$53)</f>
        <v>0</v>
      </c>
      <c r="EY154">
        <f>SUMIF('Как есть'!$A$45:$A$53,Доп.расчеты!$A154,'Как есть'!EZ$45:EZ$53)</f>
        <v>0</v>
      </c>
      <c r="EZ154">
        <f>SUMIF('Как есть'!$A$45:$A$53,Доп.расчеты!$A154,'Как есть'!FA$45:FA$53)</f>
        <v>0</v>
      </c>
      <c r="FA154">
        <f>SUMIF('Как есть'!$A$45:$A$53,Доп.расчеты!$A154,'Как есть'!FB$45:FB$53)</f>
        <v>0</v>
      </c>
      <c r="FB154">
        <f>SUMIF('Как есть'!$A$45:$A$53,Доп.расчеты!$A154,'Как есть'!FC$45:FC$53)</f>
        <v>0</v>
      </c>
      <c r="FC154">
        <f>SUMIF('Как есть'!$A$45:$A$53,Доп.расчеты!$A154,'Как есть'!FD$45:FD$53)</f>
        <v>0</v>
      </c>
      <c r="FD154">
        <f>SUMIF('Как есть'!$A$45:$A$53,Доп.расчеты!$A154,'Как есть'!FE$45:FE$53)</f>
        <v>0</v>
      </c>
      <c r="FE154">
        <f>SUMIF('Как есть'!$A$45:$A$53,Доп.расчеты!$A154,'Как есть'!FF$45:FF$53)</f>
        <v>0</v>
      </c>
      <c r="FF154">
        <f>SUMIF('Как есть'!$A$45:$A$53,Доп.расчеты!$A154,'Как есть'!FG$45:FG$53)</f>
        <v>0</v>
      </c>
      <c r="FG154">
        <f>SUMIF('Как есть'!$A$45:$A$53,Доп.расчеты!$A154,'Как есть'!FH$45:FH$53)</f>
        <v>0</v>
      </c>
      <c r="FH154">
        <f>SUMIF('Как есть'!$A$45:$A$53,Доп.расчеты!$A154,'Как есть'!FI$45:FI$53)</f>
        <v>0</v>
      </c>
      <c r="FI154">
        <f>SUMIF('Как есть'!$A$45:$A$53,Доп.расчеты!$A154,'Как есть'!FJ$45:FJ$53)</f>
        <v>0</v>
      </c>
      <c r="FJ154">
        <f>SUMIF('Как есть'!$A$45:$A$53,Доп.расчеты!$A154,'Как есть'!FK$45:FK$53)</f>
        <v>0</v>
      </c>
      <c r="FK154">
        <f>SUMIF('Как есть'!$A$45:$A$53,Доп.расчеты!$A154,'Как есть'!FL$45:FL$53)</f>
        <v>0</v>
      </c>
      <c r="FL154">
        <f>SUMIF('Как есть'!$A$45:$A$53,Доп.расчеты!$A154,'Как есть'!FM$45:FM$53)</f>
        <v>0</v>
      </c>
      <c r="FM154">
        <f>SUMIF('Как есть'!$A$45:$A$53,Доп.расчеты!$A154,'Как есть'!FN$45:FN$53)</f>
        <v>0</v>
      </c>
      <c r="FN154">
        <f>SUMIF('Как есть'!$A$45:$A$53,Доп.расчеты!$A154,'Как есть'!FO$45:FO$53)</f>
        <v>0</v>
      </c>
      <c r="FO154">
        <f>SUMIF('Как есть'!$A$45:$A$53,Доп.расчеты!$A154,'Как есть'!FP$45:FP$53)</f>
        <v>0</v>
      </c>
      <c r="FP154">
        <f>SUMIF('Как есть'!$A$45:$A$53,Доп.расчеты!$A154,'Как есть'!FQ$45:FQ$53)</f>
        <v>0</v>
      </c>
      <c r="FQ154">
        <f>SUMIF('Как есть'!$A$45:$A$53,Доп.расчеты!$A154,'Как есть'!FR$45:FR$53)</f>
        <v>0</v>
      </c>
      <c r="FR154">
        <f>SUMIF('Как есть'!$A$45:$A$53,Доп.расчеты!$A154,'Как есть'!FS$45:FS$53)</f>
        <v>0</v>
      </c>
      <c r="FS154">
        <f>SUMIF('Как есть'!$A$45:$A$53,Доп.расчеты!$A154,'Как есть'!FT$45:FT$53)</f>
        <v>0</v>
      </c>
      <c r="FT154">
        <f>SUMIF('Как есть'!$A$45:$A$53,Доп.расчеты!$A154,'Как есть'!FU$45:FU$53)</f>
        <v>0</v>
      </c>
      <c r="FU154">
        <f>SUMIF('Как есть'!$A$45:$A$53,Доп.расчеты!$A154,'Как есть'!FV$45:FV$53)</f>
        <v>0</v>
      </c>
      <c r="FV154">
        <f>SUMIF('Как есть'!$A$45:$A$53,Доп.расчеты!$A154,'Как есть'!FW$45:FW$53)</f>
        <v>0</v>
      </c>
      <c r="FW154">
        <f>SUMIF('Как есть'!$A$45:$A$53,Доп.расчеты!$A154,'Как есть'!FX$45:FX$53)</f>
        <v>0</v>
      </c>
      <c r="FX154">
        <f>SUMIF('Как есть'!$A$45:$A$53,Доп.расчеты!$A154,'Как есть'!FY$45:FY$53)</f>
        <v>0</v>
      </c>
      <c r="FY154">
        <f>SUMIF('Как есть'!$A$45:$A$53,Доп.расчеты!$A154,'Как есть'!FZ$45:FZ$53)</f>
        <v>0</v>
      </c>
      <c r="FZ154">
        <f>SUMIF('Как есть'!$A$45:$A$53,Доп.расчеты!$A154,'Как есть'!GA$45:GA$53)</f>
        <v>0</v>
      </c>
      <c r="GA154">
        <f>SUMIF('Как есть'!$A$45:$A$53,Доп.расчеты!$A154,'Как есть'!GB$45:GB$53)</f>
        <v>0</v>
      </c>
      <c r="GB154">
        <f>SUMIF('Как есть'!$A$45:$A$53,Доп.расчеты!$A154,'Как есть'!GC$45:GC$53)</f>
        <v>0</v>
      </c>
      <c r="GC154">
        <f>SUMIF('Как есть'!$A$45:$A$53,Доп.расчеты!$A154,'Как есть'!GD$45:GD$53)</f>
        <v>0</v>
      </c>
      <c r="GD154">
        <f>SUMIF('Как есть'!$A$45:$A$53,Доп.расчеты!$A154,'Как есть'!GE$45:GE$53)</f>
        <v>0</v>
      </c>
      <c r="GE154">
        <f>SUMIF('Как есть'!$A$45:$A$53,Доп.расчеты!$A154,'Как есть'!GF$45:GF$53)</f>
        <v>0</v>
      </c>
      <c r="GF154">
        <f>SUMIF('Как есть'!$A$45:$A$53,Доп.расчеты!$A154,'Как есть'!GG$45:GG$53)</f>
        <v>0</v>
      </c>
      <c r="GG154">
        <f>SUMIF('Как есть'!$A$45:$A$53,Доп.расчеты!$A154,'Как есть'!GH$45:GH$53)</f>
        <v>0</v>
      </c>
      <c r="GH154">
        <f>SUMIF('Как есть'!$A$45:$A$53,Доп.расчеты!$A154,'Как есть'!GI$45:GI$53)</f>
        <v>0</v>
      </c>
      <c r="GI154">
        <f>SUMIF('Как есть'!$A$45:$A$53,Доп.расчеты!$A154,'Как есть'!GJ$45:GJ$53)</f>
        <v>0</v>
      </c>
      <c r="GJ154">
        <f>SUMIF('Как есть'!$A$45:$A$53,Доп.расчеты!$A154,'Как есть'!GK$45:GK$53)</f>
        <v>0</v>
      </c>
      <c r="GK154">
        <f>SUMIF('Как есть'!$A$45:$A$53,Доп.расчеты!$A154,'Как есть'!GL$45:GL$53)</f>
        <v>0</v>
      </c>
      <c r="GL154">
        <f>SUMIF('Как есть'!$A$45:$A$53,Доп.расчеты!$A154,'Как есть'!GM$45:GM$53)</f>
        <v>0</v>
      </c>
      <c r="GM154">
        <f>SUMIF('Как есть'!$A$45:$A$53,Доп.расчеты!$A154,'Как есть'!GN$45:GN$53)</f>
        <v>0</v>
      </c>
      <c r="GN154">
        <f>SUMIF('Как есть'!$A$45:$A$53,Доп.расчеты!$A154,'Как есть'!GO$45:GO$53)</f>
        <v>0</v>
      </c>
      <c r="GO154">
        <f>SUMIF('Как есть'!$A$45:$A$53,Доп.расчеты!$A154,'Как есть'!GP$45:GP$53)</f>
        <v>0</v>
      </c>
      <c r="GP154">
        <f>SUMIF('Как есть'!$A$45:$A$53,Доп.расчеты!$A154,'Как есть'!GQ$45:GQ$53)</f>
        <v>0</v>
      </c>
      <c r="GQ154">
        <f>SUMIF('Как есть'!$A$45:$A$53,Доп.расчеты!$A154,'Как есть'!GR$45:GR$53)</f>
        <v>0</v>
      </c>
      <c r="GR154">
        <f>SUMIF('Как есть'!$A$45:$A$53,Доп.расчеты!$A154,'Как есть'!GS$45:GS$53)</f>
        <v>0</v>
      </c>
      <c r="GS154">
        <f>SUMIF('Как есть'!$A$45:$A$53,Доп.расчеты!$A154,'Как есть'!GT$45:GT$53)</f>
        <v>0</v>
      </c>
      <c r="GT154">
        <f>SUMIF('Как есть'!$A$45:$A$53,Доп.расчеты!$A154,'Как есть'!GU$45:GU$53)</f>
        <v>0</v>
      </c>
    </row>
    <row r="155" spans="1:202" hidden="1" outlineLevel="1">
      <c r="A155" s="238" t="s">
        <v>91</v>
      </c>
      <c r="B155">
        <f>SUMIF('Как есть'!$A$45:$A$53,Доп.расчеты!$A155,'Как есть'!C$45:C$53)</f>
        <v>0</v>
      </c>
      <c r="C155">
        <f>SUMIF('Как есть'!$A$45:$A$53,Доп.расчеты!$A155,'Как есть'!D$45:D$53)</f>
        <v>0</v>
      </c>
      <c r="D155">
        <f>SUMIF('Как есть'!$A$45:$A$53,Доп.расчеты!$A155,'Как есть'!E$45:E$53)</f>
        <v>0</v>
      </c>
      <c r="E155">
        <f>SUMIF('Как есть'!$A$45:$A$53,Доп.расчеты!$A155,'Как есть'!F$45:F$53)</f>
        <v>0</v>
      </c>
      <c r="F155">
        <f>SUMIF('Как есть'!$A$45:$A$53,Доп.расчеты!$A155,'Как есть'!G$45:G$53)</f>
        <v>0</v>
      </c>
      <c r="G155">
        <f>SUMIF('Как есть'!$A$45:$A$53,Доп.расчеты!$A155,'Как есть'!H$45:H$53)</f>
        <v>0</v>
      </c>
      <c r="H155">
        <f>SUMIF('Как есть'!$A$45:$A$53,Доп.расчеты!$A155,'Как есть'!I$45:I$53)</f>
        <v>0</v>
      </c>
      <c r="I155">
        <f>SUMIF('Как есть'!$A$45:$A$53,Доп.расчеты!$A155,'Как есть'!J$45:J$53)</f>
        <v>0</v>
      </c>
      <c r="J155">
        <f>SUMIF('Как есть'!$A$45:$A$53,Доп.расчеты!$A155,'Как есть'!K$45:K$53)</f>
        <v>0</v>
      </c>
      <c r="K155">
        <f>SUMIF('Как есть'!$A$45:$A$53,Доп.расчеты!$A155,'Как есть'!L$45:L$53)</f>
        <v>0</v>
      </c>
      <c r="L155">
        <f>SUMIF('Как есть'!$A$45:$A$53,Доп.расчеты!$A155,'Как есть'!M$45:M$53)</f>
        <v>0</v>
      </c>
      <c r="M155">
        <f>SUMIF('Как есть'!$A$45:$A$53,Доп.расчеты!$A155,'Как есть'!N$45:N$53)</f>
        <v>0</v>
      </c>
      <c r="N155">
        <f>SUMIF('Как есть'!$A$45:$A$53,Доп.расчеты!$A155,'Как есть'!O$45:O$53)</f>
        <v>0</v>
      </c>
      <c r="O155">
        <f>SUMIF('Как есть'!$A$45:$A$53,Доп.расчеты!$A155,'Как есть'!P$45:P$53)</f>
        <v>0</v>
      </c>
      <c r="P155">
        <f>SUMIF('Как есть'!$A$45:$A$53,Доп.расчеты!$A155,'Как есть'!Q$45:Q$53)</f>
        <v>0</v>
      </c>
      <c r="Q155">
        <f>SUMIF('Как есть'!$A$45:$A$53,Доп.расчеты!$A155,'Как есть'!R$45:R$53)</f>
        <v>0</v>
      </c>
      <c r="R155">
        <f>SUMIF('Как есть'!$A$45:$A$53,Доп.расчеты!$A155,'Как есть'!S$45:S$53)</f>
        <v>0</v>
      </c>
      <c r="S155">
        <f>SUMIF('Как есть'!$A$45:$A$53,Доп.расчеты!$A155,'Как есть'!T$45:T$53)</f>
        <v>0</v>
      </c>
      <c r="T155">
        <f>SUMIF('Как есть'!$A$45:$A$53,Доп.расчеты!$A155,'Как есть'!U$45:U$53)</f>
        <v>0</v>
      </c>
      <c r="U155">
        <f>SUMIF('Как есть'!$A$45:$A$53,Доп.расчеты!$A155,'Как есть'!V$45:V$53)</f>
        <v>0</v>
      </c>
      <c r="V155">
        <f>SUMIF('Как есть'!$A$45:$A$53,Доп.расчеты!$A155,'Как есть'!W$45:W$53)</f>
        <v>0</v>
      </c>
      <c r="W155">
        <f>SUMIF('Как есть'!$A$45:$A$53,Доп.расчеты!$A155,'Как есть'!X$45:X$53)</f>
        <v>0</v>
      </c>
      <c r="X155">
        <f>SUMIF('Как есть'!$A$45:$A$53,Доп.расчеты!$A155,'Как есть'!Y$45:Y$53)</f>
        <v>0</v>
      </c>
      <c r="Y155">
        <f>SUMIF('Как есть'!$A$45:$A$53,Доп.расчеты!$A155,'Как есть'!Z$45:Z$53)</f>
        <v>0</v>
      </c>
      <c r="Z155">
        <f>SUMIF('Как есть'!$A$45:$A$53,Доп.расчеты!$A155,'Как есть'!AA$45:AA$53)</f>
        <v>0</v>
      </c>
      <c r="AA155">
        <f>SUMIF('Как есть'!$A$45:$A$53,Доп.расчеты!$A155,'Как есть'!AB$45:AB$53)</f>
        <v>0</v>
      </c>
      <c r="AB155">
        <f>SUMIF('Как есть'!$A$45:$A$53,Доп.расчеты!$A155,'Как есть'!AC$45:AC$53)</f>
        <v>0</v>
      </c>
      <c r="AC155">
        <f>SUMIF('Как есть'!$A$45:$A$53,Доп.расчеты!$A155,'Как есть'!AD$45:AD$53)</f>
        <v>0</v>
      </c>
      <c r="AD155">
        <f>SUMIF('Как есть'!$A$45:$A$53,Доп.расчеты!$A155,'Как есть'!AE$45:AE$53)</f>
        <v>0</v>
      </c>
      <c r="AE155">
        <f>SUMIF('Как есть'!$A$45:$A$53,Доп.расчеты!$A155,'Как есть'!AF$45:AF$53)</f>
        <v>0</v>
      </c>
      <c r="AF155">
        <f>SUMIF('Как есть'!$A$45:$A$53,Доп.расчеты!$A155,'Как есть'!AG$45:AG$53)</f>
        <v>0</v>
      </c>
      <c r="AG155">
        <f>SUMIF('Как есть'!$A$45:$A$53,Доп.расчеты!$A155,'Как есть'!AH$45:AH$53)</f>
        <v>0</v>
      </c>
      <c r="AH155">
        <f>SUMIF('Как есть'!$A$45:$A$53,Доп.расчеты!$A155,'Как есть'!AI$45:AI$53)</f>
        <v>0</v>
      </c>
      <c r="AI155">
        <f>SUMIF('Как есть'!$A$45:$A$53,Доп.расчеты!$A155,'Как есть'!AJ$45:AJ$53)</f>
        <v>0</v>
      </c>
      <c r="AJ155">
        <f>SUMIF('Как есть'!$A$45:$A$53,Доп.расчеты!$A155,'Как есть'!AK$45:AK$53)</f>
        <v>0</v>
      </c>
      <c r="AK155">
        <f>SUMIF('Как есть'!$A$45:$A$53,Доп.расчеты!$A155,'Как есть'!AL$45:AL$53)</f>
        <v>0</v>
      </c>
      <c r="AL155">
        <f>SUMIF('Как есть'!$A$45:$A$53,Доп.расчеты!$A155,'Как есть'!AM$45:AM$53)</f>
        <v>0</v>
      </c>
      <c r="AM155">
        <f>SUMIF('Как есть'!$A$45:$A$53,Доп.расчеты!$A155,'Как есть'!AN$45:AN$53)</f>
        <v>0</v>
      </c>
      <c r="AN155">
        <f>SUMIF('Как есть'!$A$45:$A$53,Доп.расчеты!$A155,'Как есть'!AO$45:AO$53)</f>
        <v>0</v>
      </c>
      <c r="AO155">
        <f>SUMIF('Как есть'!$A$45:$A$53,Доп.расчеты!$A155,'Как есть'!AP$45:AP$53)</f>
        <v>0</v>
      </c>
      <c r="AP155">
        <f>SUMIF('Как есть'!$A$45:$A$53,Доп.расчеты!$A155,'Как есть'!AQ$45:AQ$53)</f>
        <v>0</v>
      </c>
      <c r="AQ155">
        <f>SUMIF('Как есть'!$A$45:$A$53,Доп.расчеты!$A155,'Как есть'!AR$45:AR$53)</f>
        <v>0</v>
      </c>
      <c r="AR155">
        <f>SUMIF('Как есть'!$A$45:$A$53,Доп.расчеты!$A155,'Как есть'!AS$45:AS$53)</f>
        <v>0</v>
      </c>
      <c r="AS155">
        <f>SUMIF('Как есть'!$A$45:$A$53,Доп.расчеты!$A155,'Как есть'!AT$45:AT$53)</f>
        <v>0</v>
      </c>
      <c r="AT155">
        <f>SUMIF('Как есть'!$A$45:$A$53,Доп.расчеты!$A155,'Как есть'!AU$45:AU$53)</f>
        <v>0</v>
      </c>
      <c r="AU155">
        <f>SUMIF('Как есть'!$A$45:$A$53,Доп.расчеты!$A155,'Как есть'!AV$45:AV$53)</f>
        <v>0</v>
      </c>
      <c r="AV155">
        <f>SUMIF('Как есть'!$A$45:$A$53,Доп.расчеты!$A155,'Как есть'!AW$45:AW$53)</f>
        <v>0</v>
      </c>
      <c r="AW155">
        <f>SUMIF('Как есть'!$A$45:$A$53,Доп.расчеты!$A155,'Как есть'!AX$45:AX$53)</f>
        <v>0</v>
      </c>
      <c r="AX155">
        <f>SUMIF('Как есть'!$A$45:$A$53,Доп.расчеты!$A155,'Как есть'!AY$45:AY$53)</f>
        <v>0</v>
      </c>
      <c r="AY155">
        <f>SUMIF('Как есть'!$A$45:$A$53,Доп.расчеты!$A155,'Как есть'!AZ$45:AZ$53)</f>
        <v>0</v>
      </c>
      <c r="AZ155">
        <f>SUMIF('Как есть'!$A$45:$A$53,Доп.расчеты!$A155,'Как есть'!BA$45:BA$53)</f>
        <v>0</v>
      </c>
      <c r="BA155">
        <f>SUMIF('Как есть'!$A$45:$A$53,Доп.расчеты!$A155,'Как есть'!BB$45:BB$53)</f>
        <v>0</v>
      </c>
      <c r="BB155">
        <f>SUMIF('Как есть'!$A$45:$A$53,Доп.расчеты!$A155,'Как есть'!BC$45:BC$53)</f>
        <v>0</v>
      </c>
      <c r="BC155">
        <f>SUMIF('Как есть'!$A$45:$A$53,Доп.расчеты!$A155,'Как есть'!BD$45:BD$53)</f>
        <v>0</v>
      </c>
      <c r="BD155">
        <f>SUMIF('Как есть'!$A$45:$A$53,Доп.расчеты!$A155,'Как есть'!BE$45:BE$53)</f>
        <v>0</v>
      </c>
      <c r="BE155">
        <f>SUMIF('Как есть'!$A$45:$A$53,Доп.расчеты!$A155,'Как есть'!BF$45:BF$53)</f>
        <v>0</v>
      </c>
      <c r="BF155">
        <f>SUMIF('Как есть'!$A$45:$A$53,Доп.расчеты!$A155,'Как есть'!BG$45:BG$53)</f>
        <v>0</v>
      </c>
      <c r="BG155">
        <f>SUMIF('Как есть'!$A$45:$A$53,Доп.расчеты!$A155,'Как есть'!BH$45:BH$53)</f>
        <v>0</v>
      </c>
      <c r="BH155">
        <f>SUMIF('Как есть'!$A$45:$A$53,Доп.расчеты!$A155,'Как есть'!BI$45:BI$53)</f>
        <v>0</v>
      </c>
      <c r="BI155">
        <f>SUMIF('Как есть'!$A$45:$A$53,Доп.расчеты!$A155,'Как есть'!BJ$45:BJ$53)</f>
        <v>0</v>
      </c>
      <c r="BJ155">
        <f>SUMIF('Как есть'!$A$45:$A$53,Доп.расчеты!$A155,'Как есть'!BK$45:BK$53)</f>
        <v>0</v>
      </c>
      <c r="BK155">
        <f>SUMIF('Как есть'!$A$45:$A$53,Доп.расчеты!$A155,'Как есть'!BL$45:BL$53)</f>
        <v>0</v>
      </c>
      <c r="BL155">
        <f>SUMIF('Как есть'!$A$45:$A$53,Доп.расчеты!$A155,'Как есть'!BM$45:BM$53)</f>
        <v>0</v>
      </c>
      <c r="BM155">
        <f>SUMIF('Как есть'!$A$45:$A$53,Доп.расчеты!$A155,'Как есть'!BN$45:BN$53)</f>
        <v>0</v>
      </c>
      <c r="BN155">
        <f>SUMIF('Как есть'!$A$45:$A$53,Доп.расчеты!$A155,'Как есть'!BO$45:BO$53)</f>
        <v>0</v>
      </c>
      <c r="BO155">
        <f>SUMIF('Как есть'!$A$45:$A$53,Доп.расчеты!$A155,'Как есть'!BP$45:BP$53)</f>
        <v>0</v>
      </c>
      <c r="BP155">
        <f>SUMIF('Как есть'!$A$45:$A$53,Доп.расчеты!$A155,'Как есть'!BQ$45:BQ$53)</f>
        <v>0</v>
      </c>
      <c r="BQ155">
        <f>SUMIF('Как есть'!$A$45:$A$53,Доп.расчеты!$A155,'Как есть'!BR$45:BR$53)</f>
        <v>0</v>
      </c>
      <c r="BR155">
        <f>SUMIF('Как есть'!$A$45:$A$53,Доп.расчеты!$A155,'Как есть'!BS$45:BS$53)</f>
        <v>0</v>
      </c>
      <c r="BS155">
        <f>SUMIF('Как есть'!$A$45:$A$53,Доп.расчеты!$A155,'Как есть'!BT$45:BT$53)</f>
        <v>0</v>
      </c>
      <c r="BT155">
        <f>SUMIF('Как есть'!$A$45:$A$53,Доп.расчеты!$A155,'Как есть'!BU$45:BU$53)</f>
        <v>0</v>
      </c>
      <c r="BU155">
        <f>SUMIF('Как есть'!$A$45:$A$53,Доп.расчеты!$A155,'Как есть'!BV$45:BV$53)</f>
        <v>0</v>
      </c>
      <c r="BV155">
        <f>SUMIF('Как есть'!$A$45:$A$53,Доп.расчеты!$A155,'Как есть'!BW$45:BW$53)</f>
        <v>0</v>
      </c>
      <c r="BW155">
        <f>SUMIF('Как есть'!$A$45:$A$53,Доп.расчеты!$A155,'Как есть'!BX$45:BX$53)</f>
        <v>0</v>
      </c>
      <c r="BX155">
        <f>SUMIF('Как есть'!$A$45:$A$53,Доп.расчеты!$A155,'Как есть'!BY$45:BY$53)</f>
        <v>0</v>
      </c>
      <c r="BY155">
        <f>SUMIF('Как есть'!$A$45:$A$53,Доп.расчеты!$A155,'Как есть'!BZ$45:BZ$53)</f>
        <v>0</v>
      </c>
      <c r="BZ155">
        <f>SUMIF('Как есть'!$A$45:$A$53,Доп.расчеты!$A155,'Как есть'!CA$45:CA$53)</f>
        <v>0</v>
      </c>
      <c r="CA155">
        <f>SUMIF('Как есть'!$A$45:$A$53,Доп.расчеты!$A155,'Как есть'!CB$45:CB$53)</f>
        <v>0</v>
      </c>
      <c r="CB155">
        <f>SUMIF('Как есть'!$A$45:$A$53,Доп.расчеты!$A155,'Как есть'!CC$45:CC$53)</f>
        <v>0</v>
      </c>
      <c r="CC155">
        <f>SUMIF('Как есть'!$A$45:$A$53,Доп.расчеты!$A155,'Как есть'!CD$45:CD$53)</f>
        <v>0</v>
      </c>
      <c r="CD155">
        <f>SUMIF('Как есть'!$A$45:$A$53,Доп.расчеты!$A155,'Как есть'!CE$45:CE$53)</f>
        <v>0</v>
      </c>
      <c r="CE155">
        <f>SUMIF('Как есть'!$A$45:$A$53,Доп.расчеты!$A155,'Как есть'!CF$45:CF$53)</f>
        <v>0</v>
      </c>
      <c r="CF155">
        <f>SUMIF('Как есть'!$A$45:$A$53,Доп.расчеты!$A155,'Как есть'!CG$45:CG$53)</f>
        <v>0</v>
      </c>
      <c r="CG155">
        <f>SUMIF('Как есть'!$A$45:$A$53,Доп.расчеты!$A155,'Как есть'!CH$45:CH$53)</f>
        <v>0</v>
      </c>
      <c r="CH155">
        <f>SUMIF('Как есть'!$A$45:$A$53,Доп.расчеты!$A155,'Как есть'!CI$45:CI$53)</f>
        <v>0</v>
      </c>
      <c r="CI155">
        <f>SUMIF('Как есть'!$A$45:$A$53,Доп.расчеты!$A155,'Как есть'!CJ$45:CJ$53)</f>
        <v>0</v>
      </c>
      <c r="CJ155">
        <f>SUMIF('Как есть'!$A$45:$A$53,Доп.расчеты!$A155,'Как есть'!CK$45:CK$53)</f>
        <v>0</v>
      </c>
      <c r="CK155">
        <f>SUMIF('Как есть'!$A$45:$A$53,Доп.расчеты!$A155,'Как есть'!CL$45:CL$53)</f>
        <v>0</v>
      </c>
      <c r="CL155">
        <f>SUMIF('Как есть'!$A$45:$A$53,Доп.расчеты!$A155,'Как есть'!CM$45:CM$53)</f>
        <v>0</v>
      </c>
      <c r="CM155">
        <f>SUMIF('Как есть'!$A$45:$A$53,Доп.расчеты!$A155,'Как есть'!CN$45:CN$53)</f>
        <v>0</v>
      </c>
      <c r="CN155">
        <f>SUMIF('Как есть'!$A$45:$A$53,Доп.расчеты!$A155,'Как есть'!CO$45:CO$53)</f>
        <v>0</v>
      </c>
      <c r="CO155">
        <f>SUMIF('Как есть'!$A$45:$A$53,Доп.расчеты!$A155,'Как есть'!CP$45:CP$53)</f>
        <v>0</v>
      </c>
      <c r="CP155">
        <f>SUMIF('Как есть'!$A$45:$A$53,Доп.расчеты!$A155,'Как есть'!CQ$45:CQ$53)</f>
        <v>0</v>
      </c>
      <c r="CQ155">
        <f>SUMIF('Как есть'!$A$45:$A$53,Доп.расчеты!$A155,'Как есть'!CR$45:CR$53)</f>
        <v>0</v>
      </c>
      <c r="CR155">
        <f>SUMIF('Как есть'!$A$45:$A$53,Доп.расчеты!$A155,'Как есть'!CS$45:CS$53)</f>
        <v>0</v>
      </c>
      <c r="CS155">
        <f>SUMIF('Как есть'!$A$45:$A$53,Доп.расчеты!$A155,'Как есть'!CT$45:CT$53)</f>
        <v>0</v>
      </c>
      <c r="CT155">
        <f>SUMIF('Как есть'!$A$45:$A$53,Доп.расчеты!$A155,'Как есть'!CU$45:CU$53)</f>
        <v>0</v>
      </c>
      <c r="CU155">
        <f>SUMIF('Как есть'!$A$45:$A$53,Доп.расчеты!$A155,'Как есть'!CV$45:CV$53)</f>
        <v>0</v>
      </c>
      <c r="CV155">
        <f>SUMIF('Как есть'!$A$45:$A$53,Доп.расчеты!$A155,'Как есть'!CW$45:CW$53)</f>
        <v>0</v>
      </c>
      <c r="CW155">
        <f>SUMIF('Как есть'!$A$45:$A$53,Доп.расчеты!$A155,'Как есть'!CX$45:CX$53)</f>
        <v>0</v>
      </c>
      <c r="CX155">
        <f>SUMIF('Как есть'!$A$45:$A$53,Доп.расчеты!$A155,'Как есть'!CY$45:CY$53)</f>
        <v>0</v>
      </c>
      <c r="CY155">
        <f>SUMIF('Как есть'!$A$45:$A$53,Доп.расчеты!$A155,'Как есть'!CZ$45:CZ$53)</f>
        <v>0</v>
      </c>
      <c r="CZ155">
        <f>SUMIF('Как есть'!$A$45:$A$53,Доп.расчеты!$A155,'Как есть'!DA$45:DA$53)</f>
        <v>0</v>
      </c>
      <c r="DA155">
        <f>SUMIF('Как есть'!$A$45:$A$53,Доп.расчеты!$A155,'Как есть'!DB$45:DB$53)</f>
        <v>0</v>
      </c>
      <c r="DB155">
        <f>SUMIF('Как есть'!$A$45:$A$53,Доп.расчеты!$A155,'Как есть'!DC$45:DC$53)</f>
        <v>0</v>
      </c>
      <c r="DC155">
        <f>SUMIF('Как есть'!$A$45:$A$53,Доп.расчеты!$A155,'Как есть'!DD$45:DD$53)</f>
        <v>0</v>
      </c>
      <c r="DD155">
        <f>SUMIF('Как есть'!$A$45:$A$53,Доп.расчеты!$A155,'Как есть'!DE$45:DE$53)</f>
        <v>0</v>
      </c>
      <c r="DE155">
        <f>SUMIF('Как есть'!$A$45:$A$53,Доп.расчеты!$A155,'Как есть'!DF$45:DF$53)</f>
        <v>0</v>
      </c>
      <c r="DF155">
        <f>SUMIF('Как есть'!$A$45:$A$53,Доп.расчеты!$A155,'Как есть'!DG$45:DG$53)</f>
        <v>0</v>
      </c>
      <c r="DG155">
        <f>SUMIF('Как есть'!$A$45:$A$53,Доп.расчеты!$A155,'Как есть'!DH$45:DH$53)</f>
        <v>0</v>
      </c>
      <c r="DH155">
        <f>SUMIF('Как есть'!$A$45:$A$53,Доп.расчеты!$A155,'Как есть'!DI$45:DI$53)</f>
        <v>0</v>
      </c>
      <c r="DI155">
        <f>SUMIF('Как есть'!$A$45:$A$53,Доп.расчеты!$A155,'Как есть'!DJ$45:DJ$53)</f>
        <v>0</v>
      </c>
      <c r="DJ155">
        <f>SUMIF('Как есть'!$A$45:$A$53,Доп.расчеты!$A155,'Как есть'!DK$45:DK$53)</f>
        <v>0</v>
      </c>
      <c r="DK155">
        <f>SUMIF('Как есть'!$A$45:$A$53,Доп.расчеты!$A155,'Как есть'!DL$45:DL$53)</f>
        <v>0</v>
      </c>
      <c r="DL155">
        <f>SUMIF('Как есть'!$A$45:$A$53,Доп.расчеты!$A155,'Как есть'!DM$45:DM$53)</f>
        <v>0</v>
      </c>
      <c r="DM155">
        <f>SUMIF('Как есть'!$A$45:$A$53,Доп.расчеты!$A155,'Как есть'!DN$45:DN$53)</f>
        <v>0</v>
      </c>
      <c r="DN155">
        <f>SUMIF('Как есть'!$A$45:$A$53,Доп.расчеты!$A155,'Как есть'!DO$45:DO$53)</f>
        <v>0</v>
      </c>
      <c r="DO155">
        <f>SUMIF('Как есть'!$A$45:$A$53,Доп.расчеты!$A155,'Как есть'!DP$45:DP$53)</f>
        <v>0</v>
      </c>
      <c r="DP155">
        <f>SUMIF('Как есть'!$A$45:$A$53,Доп.расчеты!$A155,'Как есть'!DQ$45:DQ$53)</f>
        <v>0</v>
      </c>
      <c r="DQ155">
        <f>SUMIF('Как есть'!$A$45:$A$53,Доп.расчеты!$A155,'Как есть'!DR$45:DR$53)</f>
        <v>0</v>
      </c>
      <c r="DR155">
        <f>SUMIF('Как есть'!$A$45:$A$53,Доп.расчеты!$A155,'Как есть'!DS$45:DS$53)</f>
        <v>0</v>
      </c>
      <c r="DS155">
        <f>SUMIF('Как есть'!$A$45:$A$53,Доп.расчеты!$A155,'Как есть'!DT$45:DT$53)</f>
        <v>0</v>
      </c>
      <c r="DT155">
        <f>SUMIF('Как есть'!$A$45:$A$53,Доп.расчеты!$A155,'Как есть'!DU$45:DU$53)</f>
        <v>0</v>
      </c>
      <c r="DU155">
        <f>SUMIF('Как есть'!$A$45:$A$53,Доп.расчеты!$A155,'Как есть'!DV$45:DV$53)</f>
        <v>0</v>
      </c>
      <c r="DV155">
        <f>SUMIF('Как есть'!$A$45:$A$53,Доп.расчеты!$A155,'Как есть'!DW$45:DW$53)</f>
        <v>0</v>
      </c>
      <c r="DW155">
        <f>SUMIF('Как есть'!$A$45:$A$53,Доп.расчеты!$A155,'Как есть'!DX$45:DX$53)</f>
        <v>0</v>
      </c>
      <c r="DX155">
        <f>SUMIF('Как есть'!$A$45:$A$53,Доп.расчеты!$A155,'Как есть'!DY$45:DY$53)</f>
        <v>0</v>
      </c>
      <c r="DY155">
        <f>SUMIF('Как есть'!$A$45:$A$53,Доп.расчеты!$A155,'Как есть'!DZ$45:DZ$53)</f>
        <v>0</v>
      </c>
      <c r="DZ155">
        <f>SUMIF('Как есть'!$A$45:$A$53,Доп.расчеты!$A155,'Как есть'!EA$45:EA$53)</f>
        <v>0</v>
      </c>
      <c r="EA155">
        <f>SUMIF('Как есть'!$A$45:$A$53,Доп.расчеты!$A155,'Как есть'!EB$45:EB$53)</f>
        <v>0</v>
      </c>
      <c r="EB155">
        <f>SUMIF('Как есть'!$A$45:$A$53,Доп.расчеты!$A155,'Как есть'!EC$45:EC$53)</f>
        <v>0</v>
      </c>
      <c r="EC155">
        <f>SUMIF('Как есть'!$A$45:$A$53,Доп.расчеты!$A155,'Как есть'!ED$45:ED$53)</f>
        <v>0</v>
      </c>
      <c r="ED155">
        <f>SUMIF('Как есть'!$A$45:$A$53,Доп.расчеты!$A155,'Как есть'!EE$45:EE$53)</f>
        <v>0</v>
      </c>
      <c r="EE155">
        <f>SUMIF('Как есть'!$A$45:$A$53,Доп.расчеты!$A155,'Как есть'!EF$45:EF$53)</f>
        <v>0</v>
      </c>
      <c r="EF155">
        <f>SUMIF('Как есть'!$A$45:$A$53,Доп.расчеты!$A155,'Как есть'!EG$45:EG$53)</f>
        <v>0</v>
      </c>
      <c r="EG155">
        <f>SUMIF('Как есть'!$A$45:$A$53,Доп.расчеты!$A155,'Как есть'!EH$45:EH$53)</f>
        <v>0</v>
      </c>
      <c r="EH155">
        <f>SUMIF('Как есть'!$A$45:$A$53,Доп.расчеты!$A155,'Как есть'!EI$45:EI$53)</f>
        <v>0</v>
      </c>
      <c r="EI155">
        <f>SUMIF('Как есть'!$A$45:$A$53,Доп.расчеты!$A155,'Как есть'!EJ$45:EJ$53)</f>
        <v>0</v>
      </c>
      <c r="EJ155">
        <f>SUMIF('Как есть'!$A$45:$A$53,Доп.расчеты!$A155,'Как есть'!EK$45:EK$53)</f>
        <v>0</v>
      </c>
      <c r="EK155">
        <f>SUMIF('Как есть'!$A$45:$A$53,Доп.расчеты!$A155,'Как есть'!EL$45:EL$53)</f>
        <v>0</v>
      </c>
      <c r="EL155">
        <f>SUMIF('Как есть'!$A$45:$A$53,Доп.расчеты!$A155,'Как есть'!EM$45:EM$53)</f>
        <v>0</v>
      </c>
      <c r="EM155">
        <f>SUMIF('Как есть'!$A$45:$A$53,Доп.расчеты!$A155,'Как есть'!EN$45:EN$53)</f>
        <v>0</v>
      </c>
      <c r="EN155">
        <f>SUMIF('Как есть'!$A$45:$A$53,Доп.расчеты!$A155,'Как есть'!EO$45:EO$53)</f>
        <v>0</v>
      </c>
      <c r="EO155">
        <f>SUMIF('Как есть'!$A$45:$A$53,Доп.расчеты!$A155,'Как есть'!EP$45:EP$53)</f>
        <v>0</v>
      </c>
      <c r="EP155">
        <f>SUMIF('Как есть'!$A$45:$A$53,Доп.расчеты!$A155,'Как есть'!EQ$45:EQ$53)</f>
        <v>0</v>
      </c>
      <c r="EQ155">
        <f>SUMIF('Как есть'!$A$45:$A$53,Доп.расчеты!$A155,'Как есть'!ER$45:ER$53)</f>
        <v>0</v>
      </c>
      <c r="ER155">
        <f>SUMIF('Как есть'!$A$45:$A$53,Доп.расчеты!$A155,'Как есть'!ES$45:ES$53)</f>
        <v>0</v>
      </c>
      <c r="ES155">
        <f>SUMIF('Как есть'!$A$45:$A$53,Доп.расчеты!$A155,'Как есть'!ET$45:ET$53)</f>
        <v>0</v>
      </c>
      <c r="ET155">
        <f>SUMIF('Как есть'!$A$45:$A$53,Доп.расчеты!$A155,'Как есть'!EU$45:EU$53)</f>
        <v>0</v>
      </c>
      <c r="EU155">
        <f>SUMIF('Как есть'!$A$45:$A$53,Доп.расчеты!$A155,'Как есть'!EV$45:EV$53)</f>
        <v>0</v>
      </c>
      <c r="EV155">
        <f>SUMIF('Как есть'!$A$45:$A$53,Доп.расчеты!$A155,'Как есть'!EW$45:EW$53)</f>
        <v>0</v>
      </c>
      <c r="EW155">
        <f>SUMIF('Как есть'!$A$45:$A$53,Доп.расчеты!$A155,'Как есть'!EX$45:EX$53)</f>
        <v>0</v>
      </c>
      <c r="EX155">
        <f>SUMIF('Как есть'!$A$45:$A$53,Доп.расчеты!$A155,'Как есть'!EY$45:EY$53)</f>
        <v>0</v>
      </c>
      <c r="EY155">
        <f>SUMIF('Как есть'!$A$45:$A$53,Доп.расчеты!$A155,'Как есть'!EZ$45:EZ$53)</f>
        <v>0</v>
      </c>
      <c r="EZ155">
        <f>SUMIF('Как есть'!$A$45:$A$53,Доп.расчеты!$A155,'Как есть'!FA$45:FA$53)</f>
        <v>0</v>
      </c>
      <c r="FA155">
        <f>SUMIF('Как есть'!$A$45:$A$53,Доп.расчеты!$A155,'Как есть'!FB$45:FB$53)</f>
        <v>0</v>
      </c>
      <c r="FB155">
        <f>SUMIF('Как есть'!$A$45:$A$53,Доп.расчеты!$A155,'Как есть'!FC$45:FC$53)</f>
        <v>0</v>
      </c>
      <c r="FC155">
        <f>SUMIF('Как есть'!$A$45:$A$53,Доп.расчеты!$A155,'Как есть'!FD$45:FD$53)</f>
        <v>0</v>
      </c>
      <c r="FD155">
        <f>SUMIF('Как есть'!$A$45:$A$53,Доп.расчеты!$A155,'Как есть'!FE$45:FE$53)</f>
        <v>0</v>
      </c>
      <c r="FE155">
        <f>SUMIF('Как есть'!$A$45:$A$53,Доп.расчеты!$A155,'Как есть'!FF$45:FF$53)</f>
        <v>0</v>
      </c>
      <c r="FF155">
        <f>SUMIF('Как есть'!$A$45:$A$53,Доп.расчеты!$A155,'Как есть'!FG$45:FG$53)</f>
        <v>0</v>
      </c>
      <c r="FG155">
        <f>SUMIF('Как есть'!$A$45:$A$53,Доп.расчеты!$A155,'Как есть'!FH$45:FH$53)</f>
        <v>0</v>
      </c>
      <c r="FH155">
        <f>SUMIF('Как есть'!$A$45:$A$53,Доп.расчеты!$A155,'Как есть'!FI$45:FI$53)</f>
        <v>0</v>
      </c>
      <c r="FI155">
        <f>SUMIF('Как есть'!$A$45:$A$53,Доп.расчеты!$A155,'Как есть'!FJ$45:FJ$53)</f>
        <v>0</v>
      </c>
      <c r="FJ155">
        <f>SUMIF('Как есть'!$A$45:$A$53,Доп.расчеты!$A155,'Как есть'!FK$45:FK$53)</f>
        <v>0</v>
      </c>
      <c r="FK155">
        <f>SUMIF('Как есть'!$A$45:$A$53,Доп.расчеты!$A155,'Как есть'!FL$45:FL$53)</f>
        <v>0</v>
      </c>
      <c r="FL155">
        <f>SUMIF('Как есть'!$A$45:$A$53,Доп.расчеты!$A155,'Как есть'!FM$45:FM$53)</f>
        <v>0</v>
      </c>
      <c r="FM155">
        <f>SUMIF('Как есть'!$A$45:$A$53,Доп.расчеты!$A155,'Как есть'!FN$45:FN$53)</f>
        <v>0</v>
      </c>
      <c r="FN155">
        <f>SUMIF('Как есть'!$A$45:$A$53,Доп.расчеты!$A155,'Как есть'!FO$45:FO$53)</f>
        <v>0</v>
      </c>
      <c r="FO155">
        <f>SUMIF('Как есть'!$A$45:$A$53,Доп.расчеты!$A155,'Как есть'!FP$45:FP$53)</f>
        <v>0</v>
      </c>
      <c r="FP155">
        <f>SUMIF('Как есть'!$A$45:$A$53,Доп.расчеты!$A155,'Как есть'!FQ$45:FQ$53)</f>
        <v>0</v>
      </c>
      <c r="FQ155">
        <f>SUMIF('Как есть'!$A$45:$A$53,Доп.расчеты!$A155,'Как есть'!FR$45:FR$53)</f>
        <v>0</v>
      </c>
      <c r="FR155">
        <f>SUMIF('Как есть'!$A$45:$A$53,Доп.расчеты!$A155,'Как есть'!FS$45:FS$53)</f>
        <v>0</v>
      </c>
      <c r="FS155">
        <f>SUMIF('Как есть'!$A$45:$A$53,Доп.расчеты!$A155,'Как есть'!FT$45:FT$53)</f>
        <v>0</v>
      </c>
      <c r="FT155">
        <f>SUMIF('Как есть'!$A$45:$A$53,Доп.расчеты!$A155,'Как есть'!FU$45:FU$53)</f>
        <v>0</v>
      </c>
      <c r="FU155">
        <f>SUMIF('Как есть'!$A$45:$A$53,Доп.расчеты!$A155,'Как есть'!FV$45:FV$53)</f>
        <v>0</v>
      </c>
      <c r="FV155">
        <f>SUMIF('Как есть'!$A$45:$A$53,Доп.расчеты!$A155,'Как есть'!FW$45:FW$53)</f>
        <v>0</v>
      </c>
      <c r="FW155">
        <f>SUMIF('Как есть'!$A$45:$A$53,Доп.расчеты!$A155,'Как есть'!FX$45:FX$53)</f>
        <v>0</v>
      </c>
      <c r="FX155">
        <f>SUMIF('Как есть'!$A$45:$A$53,Доп.расчеты!$A155,'Как есть'!FY$45:FY$53)</f>
        <v>0</v>
      </c>
      <c r="FY155">
        <f>SUMIF('Как есть'!$A$45:$A$53,Доп.расчеты!$A155,'Как есть'!FZ$45:FZ$53)</f>
        <v>0</v>
      </c>
      <c r="FZ155">
        <f>SUMIF('Как есть'!$A$45:$A$53,Доп.расчеты!$A155,'Как есть'!GA$45:GA$53)</f>
        <v>0</v>
      </c>
      <c r="GA155">
        <f>SUMIF('Как есть'!$A$45:$A$53,Доп.расчеты!$A155,'Как есть'!GB$45:GB$53)</f>
        <v>0</v>
      </c>
      <c r="GB155">
        <f>SUMIF('Как есть'!$A$45:$A$53,Доп.расчеты!$A155,'Как есть'!GC$45:GC$53)</f>
        <v>0</v>
      </c>
      <c r="GC155">
        <f>SUMIF('Как есть'!$A$45:$A$53,Доп.расчеты!$A155,'Как есть'!GD$45:GD$53)</f>
        <v>0</v>
      </c>
      <c r="GD155">
        <f>SUMIF('Как есть'!$A$45:$A$53,Доп.расчеты!$A155,'Как есть'!GE$45:GE$53)</f>
        <v>0</v>
      </c>
      <c r="GE155">
        <f>SUMIF('Как есть'!$A$45:$A$53,Доп.расчеты!$A155,'Как есть'!GF$45:GF$53)</f>
        <v>0</v>
      </c>
      <c r="GF155">
        <f>SUMIF('Как есть'!$A$45:$A$53,Доп.расчеты!$A155,'Как есть'!GG$45:GG$53)</f>
        <v>0</v>
      </c>
      <c r="GG155">
        <f>SUMIF('Как есть'!$A$45:$A$53,Доп.расчеты!$A155,'Как есть'!GH$45:GH$53)</f>
        <v>0</v>
      </c>
      <c r="GH155">
        <f>SUMIF('Как есть'!$A$45:$A$53,Доп.расчеты!$A155,'Как есть'!GI$45:GI$53)</f>
        <v>0</v>
      </c>
      <c r="GI155">
        <f>SUMIF('Как есть'!$A$45:$A$53,Доп.расчеты!$A155,'Как есть'!GJ$45:GJ$53)</f>
        <v>0</v>
      </c>
      <c r="GJ155">
        <f>SUMIF('Как есть'!$A$45:$A$53,Доп.расчеты!$A155,'Как есть'!GK$45:GK$53)</f>
        <v>0</v>
      </c>
      <c r="GK155">
        <f>SUMIF('Как есть'!$A$45:$A$53,Доп.расчеты!$A155,'Как есть'!GL$45:GL$53)</f>
        <v>0</v>
      </c>
      <c r="GL155">
        <f>SUMIF('Как есть'!$A$45:$A$53,Доп.расчеты!$A155,'Как есть'!GM$45:GM$53)</f>
        <v>0</v>
      </c>
      <c r="GM155">
        <f>SUMIF('Как есть'!$A$45:$A$53,Доп.расчеты!$A155,'Как есть'!GN$45:GN$53)</f>
        <v>0</v>
      </c>
      <c r="GN155">
        <f>SUMIF('Как есть'!$A$45:$A$53,Доп.расчеты!$A155,'Как есть'!GO$45:GO$53)</f>
        <v>0</v>
      </c>
      <c r="GO155">
        <f>SUMIF('Как есть'!$A$45:$A$53,Доп.расчеты!$A155,'Как есть'!GP$45:GP$53)</f>
        <v>0</v>
      </c>
      <c r="GP155">
        <f>SUMIF('Как есть'!$A$45:$A$53,Доп.расчеты!$A155,'Как есть'!GQ$45:GQ$53)</f>
        <v>0</v>
      </c>
      <c r="GQ155">
        <f>SUMIF('Как есть'!$A$45:$A$53,Доп.расчеты!$A155,'Как есть'!GR$45:GR$53)</f>
        <v>0</v>
      </c>
      <c r="GR155">
        <f>SUMIF('Как есть'!$A$45:$A$53,Доп.расчеты!$A155,'Как есть'!GS$45:GS$53)</f>
        <v>0</v>
      </c>
      <c r="GS155">
        <f>SUMIF('Как есть'!$A$45:$A$53,Доп.расчеты!$A155,'Как есть'!GT$45:GT$53)</f>
        <v>0</v>
      </c>
      <c r="GT155">
        <f>SUMIF('Как есть'!$A$45:$A$53,Доп.расчеты!$A155,'Как есть'!GU$45:GU$53)</f>
        <v>0</v>
      </c>
    </row>
    <row r="156" spans="1:202" hidden="1" outlineLevel="1">
      <c r="A156" s="238" t="s">
        <v>92</v>
      </c>
      <c r="B156">
        <f>SUMIF('Как есть'!$A$45:$A$53,Доп.расчеты!$A156,'Как есть'!C$45:C$53)</f>
        <v>0</v>
      </c>
      <c r="C156">
        <f>SUMIF('Как есть'!$A$45:$A$53,Доп.расчеты!$A156,'Как есть'!D$45:D$53)</f>
        <v>0</v>
      </c>
      <c r="D156">
        <f>SUMIF('Как есть'!$A$45:$A$53,Доп.расчеты!$A156,'Как есть'!E$45:E$53)</f>
        <v>0</v>
      </c>
      <c r="E156">
        <f>SUMIF('Как есть'!$A$45:$A$53,Доп.расчеты!$A156,'Как есть'!F$45:F$53)</f>
        <v>0</v>
      </c>
      <c r="F156">
        <f>SUMIF('Как есть'!$A$45:$A$53,Доп.расчеты!$A156,'Как есть'!G$45:G$53)</f>
        <v>0</v>
      </c>
      <c r="G156">
        <f>SUMIF('Как есть'!$A$45:$A$53,Доп.расчеты!$A156,'Как есть'!H$45:H$53)</f>
        <v>0</v>
      </c>
      <c r="H156">
        <f>SUMIF('Как есть'!$A$45:$A$53,Доп.расчеты!$A156,'Как есть'!I$45:I$53)</f>
        <v>0</v>
      </c>
      <c r="I156">
        <f>SUMIF('Как есть'!$A$45:$A$53,Доп.расчеты!$A156,'Как есть'!J$45:J$53)</f>
        <v>0</v>
      </c>
      <c r="J156">
        <f>SUMIF('Как есть'!$A$45:$A$53,Доп.расчеты!$A156,'Как есть'!K$45:K$53)</f>
        <v>0</v>
      </c>
      <c r="K156">
        <f>SUMIF('Как есть'!$A$45:$A$53,Доп.расчеты!$A156,'Как есть'!L$45:L$53)</f>
        <v>0</v>
      </c>
      <c r="L156">
        <f>SUMIF('Как есть'!$A$45:$A$53,Доп.расчеты!$A156,'Как есть'!M$45:M$53)</f>
        <v>0</v>
      </c>
      <c r="M156">
        <f>SUMIF('Как есть'!$A$45:$A$53,Доп.расчеты!$A156,'Как есть'!N$45:N$53)</f>
        <v>0</v>
      </c>
      <c r="N156">
        <f>SUMIF('Как есть'!$A$45:$A$53,Доп.расчеты!$A156,'Как есть'!O$45:O$53)</f>
        <v>0</v>
      </c>
      <c r="O156">
        <f>SUMIF('Как есть'!$A$45:$A$53,Доп.расчеты!$A156,'Как есть'!P$45:P$53)</f>
        <v>0</v>
      </c>
      <c r="P156">
        <f>SUMIF('Как есть'!$A$45:$A$53,Доп.расчеты!$A156,'Как есть'!Q$45:Q$53)</f>
        <v>0</v>
      </c>
      <c r="Q156">
        <f>SUMIF('Как есть'!$A$45:$A$53,Доп.расчеты!$A156,'Как есть'!R$45:R$53)</f>
        <v>0</v>
      </c>
      <c r="R156">
        <f>SUMIF('Как есть'!$A$45:$A$53,Доп.расчеты!$A156,'Как есть'!S$45:S$53)</f>
        <v>0</v>
      </c>
      <c r="S156">
        <f>SUMIF('Как есть'!$A$45:$A$53,Доп.расчеты!$A156,'Как есть'!T$45:T$53)</f>
        <v>0</v>
      </c>
      <c r="T156">
        <f>SUMIF('Как есть'!$A$45:$A$53,Доп.расчеты!$A156,'Как есть'!U$45:U$53)</f>
        <v>0</v>
      </c>
      <c r="U156">
        <f>SUMIF('Как есть'!$A$45:$A$53,Доп.расчеты!$A156,'Как есть'!V$45:V$53)</f>
        <v>0</v>
      </c>
      <c r="V156">
        <f>SUMIF('Как есть'!$A$45:$A$53,Доп.расчеты!$A156,'Как есть'!W$45:W$53)</f>
        <v>0</v>
      </c>
      <c r="W156">
        <f>SUMIF('Как есть'!$A$45:$A$53,Доп.расчеты!$A156,'Как есть'!X$45:X$53)</f>
        <v>0</v>
      </c>
      <c r="X156">
        <f>SUMIF('Как есть'!$A$45:$A$53,Доп.расчеты!$A156,'Как есть'!Y$45:Y$53)</f>
        <v>0</v>
      </c>
      <c r="Y156">
        <f>SUMIF('Как есть'!$A$45:$A$53,Доп.расчеты!$A156,'Как есть'!Z$45:Z$53)</f>
        <v>0</v>
      </c>
      <c r="Z156">
        <f>SUMIF('Как есть'!$A$45:$A$53,Доп.расчеты!$A156,'Как есть'!AA$45:AA$53)</f>
        <v>0</v>
      </c>
      <c r="AA156">
        <f>SUMIF('Как есть'!$A$45:$A$53,Доп.расчеты!$A156,'Как есть'!AB$45:AB$53)</f>
        <v>0</v>
      </c>
      <c r="AB156">
        <f>SUMIF('Как есть'!$A$45:$A$53,Доп.расчеты!$A156,'Как есть'!AC$45:AC$53)</f>
        <v>0</v>
      </c>
      <c r="AC156">
        <f>SUMIF('Как есть'!$A$45:$A$53,Доп.расчеты!$A156,'Как есть'!AD$45:AD$53)</f>
        <v>0</v>
      </c>
      <c r="AD156">
        <f>SUMIF('Как есть'!$A$45:$A$53,Доп.расчеты!$A156,'Как есть'!AE$45:AE$53)</f>
        <v>0</v>
      </c>
      <c r="AE156">
        <f>SUMIF('Как есть'!$A$45:$A$53,Доп.расчеты!$A156,'Как есть'!AF$45:AF$53)</f>
        <v>0</v>
      </c>
      <c r="AF156">
        <f>SUMIF('Как есть'!$A$45:$A$53,Доп.расчеты!$A156,'Как есть'!AG$45:AG$53)</f>
        <v>0</v>
      </c>
      <c r="AG156">
        <f>SUMIF('Как есть'!$A$45:$A$53,Доп.расчеты!$A156,'Как есть'!AH$45:AH$53)</f>
        <v>0</v>
      </c>
      <c r="AH156">
        <f>SUMIF('Как есть'!$A$45:$A$53,Доп.расчеты!$A156,'Как есть'!AI$45:AI$53)</f>
        <v>0</v>
      </c>
      <c r="AI156">
        <f>SUMIF('Как есть'!$A$45:$A$53,Доп.расчеты!$A156,'Как есть'!AJ$45:AJ$53)</f>
        <v>0</v>
      </c>
      <c r="AJ156">
        <f>SUMIF('Как есть'!$A$45:$A$53,Доп.расчеты!$A156,'Как есть'!AK$45:AK$53)</f>
        <v>0</v>
      </c>
      <c r="AK156">
        <f>SUMIF('Как есть'!$A$45:$A$53,Доп.расчеты!$A156,'Как есть'!AL$45:AL$53)</f>
        <v>0</v>
      </c>
      <c r="AL156">
        <f>SUMIF('Как есть'!$A$45:$A$53,Доп.расчеты!$A156,'Как есть'!AM$45:AM$53)</f>
        <v>0</v>
      </c>
      <c r="AM156">
        <f>SUMIF('Как есть'!$A$45:$A$53,Доп.расчеты!$A156,'Как есть'!AN$45:AN$53)</f>
        <v>0</v>
      </c>
      <c r="AN156">
        <f>SUMIF('Как есть'!$A$45:$A$53,Доп.расчеты!$A156,'Как есть'!AO$45:AO$53)</f>
        <v>0</v>
      </c>
      <c r="AO156">
        <f>SUMIF('Как есть'!$A$45:$A$53,Доп.расчеты!$A156,'Как есть'!AP$45:AP$53)</f>
        <v>0</v>
      </c>
      <c r="AP156">
        <f>SUMIF('Как есть'!$A$45:$A$53,Доп.расчеты!$A156,'Как есть'!AQ$45:AQ$53)</f>
        <v>0</v>
      </c>
      <c r="AQ156">
        <f>SUMIF('Как есть'!$A$45:$A$53,Доп.расчеты!$A156,'Как есть'!AR$45:AR$53)</f>
        <v>0</v>
      </c>
      <c r="AR156">
        <f>SUMIF('Как есть'!$A$45:$A$53,Доп.расчеты!$A156,'Как есть'!AS$45:AS$53)</f>
        <v>0</v>
      </c>
      <c r="AS156">
        <f>SUMIF('Как есть'!$A$45:$A$53,Доп.расчеты!$A156,'Как есть'!AT$45:AT$53)</f>
        <v>0</v>
      </c>
      <c r="AT156">
        <f>SUMIF('Как есть'!$A$45:$A$53,Доп.расчеты!$A156,'Как есть'!AU$45:AU$53)</f>
        <v>0</v>
      </c>
      <c r="AU156">
        <f>SUMIF('Как есть'!$A$45:$A$53,Доп.расчеты!$A156,'Как есть'!AV$45:AV$53)</f>
        <v>0</v>
      </c>
      <c r="AV156">
        <f>SUMIF('Как есть'!$A$45:$A$53,Доп.расчеты!$A156,'Как есть'!AW$45:AW$53)</f>
        <v>0</v>
      </c>
      <c r="AW156">
        <f>SUMIF('Как есть'!$A$45:$A$53,Доп.расчеты!$A156,'Как есть'!AX$45:AX$53)</f>
        <v>0</v>
      </c>
      <c r="AX156">
        <f>SUMIF('Как есть'!$A$45:$A$53,Доп.расчеты!$A156,'Как есть'!AY$45:AY$53)</f>
        <v>0</v>
      </c>
      <c r="AY156">
        <f>SUMIF('Как есть'!$A$45:$A$53,Доп.расчеты!$A156,'Как есть'!AZ$45:AZ$53)</f>
        <v>0</v>
      </c>
      <c r="AZ156">
        <f>SUMIF('Как есть'!$A$45:$A$53,Доп.расчеты!$A156,'Как есть'!BA$45:BA$53)</f>
        <v>0</v>
      </c>
      <c r="BA156">
        <f>SUMIF('Как есть'!$A$45:$A$53,Доп.расчеты!$A156,'Как есть'!BB$45:BB$53)</f>
        <v>0</v>
      </c>
      <c r="BB156">
        <f>SUMIF('Как есть'!$A$45:$A$53,Доп.расчеты!$A156,'Как есть'!BC$45:BC$53)</f>
        <v>0</v>
      </c>
      <c r="BC156">
        <f>SUMIF('Как есть'!$A$45:$A$53,Доп.расчеты!$A156,'Как есть'!BD$45:BD$53)</f>
        <v>0</v>
      </c>
      <c r="BD156">
        <f>SUMIF('Как есть'!$A$45:$A$53,Доп.расчеты!$A156,'Как есть'!BE$45:BE$53)</f>
        <v>0</v>
      </c>
      <c r="BE156">
        <f>SUMIF('Как есть'!$A$45:$A$53,Доп.расчеты!$A156,'Как есть'!BF$45:BF$53)</f>
        <v>0</v>
      </c>
      <c r="BF156">
        <f>SUMIF('Как есть'!$A$45:$A$53,Доп.расчеты!$A156,'Как есть'!BG$45:BG$53)</f>
        <v>0</v>
      </c>
      <c r="BG156">
        <f>SUMIF('Как есть'!$A$45:$A$53,Доп.расчеты!$A156,'Как есть'!BH$45:BH$53)</f>
        <v>0</v>
      </c>
      <c r="BH156">
        <f>SUMIF('Как есть'!$A$45:$A$53,Доп.расчеты!$A156,'Как есть'!BI$45:BI$53)</f>
        <v>0</v>
      </c>
      <c r="BI156">
        <f>SUMIF('Как есть'!$A$45:$A$53,Доп.расчеты!$A156,'Как есть'!BJ$45:BJ$53)</f>
        <v>0</v>
      </c>
      <c r="BJ156">
        <f>SUMIF('Как есть'!$A$45:$A$53,Доп.расчеты!$A156,'Как есть'!BK$45:BK$53)</f>
        <v>0</v>
      </c>
      <c r="BK156">
        <f>SUMIF('Как есть'!$A$45:$A$53,Доп.расчеты!$A156,'Как есть'!BL$45:BL$53)</f>
        <v>0</v>
      </c>
      <c r="BL156">
        <f>SUMIF('Как есть'!$A$45:$A$53,Доп.расчеты!$A156,'Как есть'!BM$45:BM$53)</f>
        <v>0</v>
      </c>
      <c r="BM156">
        <f>SUMIF('Как есть'!$A$45:$A$53,Доп.расчеты!$A156,'Как есть'!BN$45:BN$53)</f>
        <v>0</v>
      </c>
      <c r="BN156">
        <f>SUMIF('Как есть'!$A$45:$A$53,Доп.расчеты!$A156,'Как есть'!BO$45:BO$53)</f>
        <v>0</v>
      </c>
      <c r="BO156">
        <f>SUMIF('Как есть'!$A$45:$A$53,Доп.расчеты!$A156,'Как есть'!BP$45:BP$53)</f>
        <v>0</v>
      </c>
      <c r="BP156">
        <f>SUMIF('Как есть'!$A$45:$A$53,Доп.расчеты!$A156,'Как есть'!BQ$45:BQ$53)</f>
        <v>0</v>
      </c>
      <c r="BQ156">
        <f>SUMIF('Как есть'!$A$45:$A$53,Доп.расчеты!$A156,'Как есть'!BR$45:BR$53)</f>
        <v>0</v>
      </c>
      <c r="BR156">
        <f>SUMIF('Как есть'!$A$45:$A$53,Доп.расчеты!$A156,'Как есть'!BS$45:BS$53)</f>
        <v>0</v>
      </c>
      <c r="BS156">
        <f>SUMIF('Как есть'!$A$45:$A$53,Доп.расчеты!$A156,'Как есть'!BT$45:BT$53)</f>
        <v>0</v>
      </c>
      <c r="BT156">
        <f>SUMIF('Как есть'!$A$45:$A$53,Доп.расчеты!$A156,'Как есть'!BU$45:BU$53)</f>
        <v>0</v>
      </c>
      <c r="BU156">
        <f>SUMIF('Как есть'!$A$45:$A$53,Доп.расчеты!$A156,'Как есть'!BV$45:BV$53)</f>
        <v>0</v>
      </c>
      <c r="BV156">
        <f>SUMIF('Как есть'!$A$45:$A$53,Доп.расчеты!$A156,'Как есть'!BW$45:BW$53)</f>
        <v>0</v>
      </c>
      <c r="BW156">
        <f>SUMIF('Как есть'!$A$45:$A$53,Доп.расчеты!$A156,'Как есть'!BX$45:BX$53)</f>
        <v>0</v>
      </c>
      <c r="BX156">
        <f>SUMIF('Как есть'!$A$45:$A$53,Доп.расчеты!$A156,'Как есть'!BY$45:BY$53)</f>
        <v>0</v>
      </c>
      <c r="BY156">
        <f>SUMIF('Как есть'!$A$45:$A$53,Доп.расчеты!$A156,'Как есть'!BZ$45:BZ$53)</f>
        <v>0</v>
      </c>
      <c r="BZ156">
        <f>SUMIF('Как есть'!$A$45:$A$53,Доп.расчеты!$A156,'Как есть'!CA$45:CA$53)</f>
        <v>0</v>
      </c>
      <c r="CA156">
        <f>SUMIF('Как есть'!$A$45:$A$53,Доп.расчеты!$A156,'Как есть'!CB$45:CB$53)</f>
        <v>0</v>
      </c>
      <c r="CB156">
        <f>SUMIF('Как есть'!$A$45:$A$53,Доп.расчеты!$A156,'Как есть'!CC$45:CC$53)</f>
        <v>0</v>
      </c>
      <c r="CC156">
        <f>SUMIF('Как есть'!$A$45:$A$53,Доп.расчеты!$A156,'Как есть'!CD$45:CD$53)</f>
        <v>0</v>
      </c>
      <c r="CD156">
        <f>SUMIF('Как есть'!$A$45:$A$53,Доп.расчеты!$A156,'Как есть'!CE$45:CE$53)</f>
        <v>0</v>
      </c>
      <c r="CE156">
        <f>SUMIF('Как есть'!$A$45:$A$53,Доп.расчеты!$A156,'Как есть'!CF$45:CF$53)</f>
        <v>0</v>
      </c>
      <c r="CF156">
        <f>SUMIF('Как есть'!$A$45:$A$53,Доп.расчеты!$A156,'Как есть'!CG$45:CG$53)</f>
        <v>0</v>
      </c>
      <c r="CG156">
        <f>SUMIF('Как есть'!$A$45:$A$53,Доп.расчеты!$A156,'Как есть'!CH$45:CH$53)</f>
        <v>0</v>
      </c>
      <c r="CH156">
        <f>SUMIF('Как есть'!$A$45:$A$53,Доп.расчеты!$A156,'Как есть'!CI$45:CI$53)</f>
        <v>0</v>
      </c>
      <c r="CI156">
        <f>SUMIF('Как есть'!$A$45:$A$53,Доп.расчеты!$A156,'Как есть'!CJ$45:CJ$53)</f>
        <v>0</v>
      </c>
      <c r="CJ156">
        <f>SUMIF('Как есть'!$A$45:$A$53,Доп.расчеты!$A156,'Как есть'!CK$45:CK$53)</f>
        <v>0</v>
      </c>
      <c r="CK156">
        <f>SUMIF('Как есть'!$A$45:$A$53,Доп.расчеты!$A156,'Как есть'!CL$45:CL$53)</f>
        <v>0</v>
      </c>
      <c r="CL156">
        <f>SUMIF('Как есть'!$A$45:$A$53,Доп.расчеты!$A156,'Как есть'!CM$45:CM$53)</f>
        <v>0</v>
      </c>
      <c r="CM156">
        <f>SUMIF('Как есть'!$A$45:$A$53,Доп.расчеты!$A156,'Как есть'!CN$45:CN$53)</f>
        <v>0</v>
      </c>
      <c r="CN156">
        <f>SUMIF('Как есть'!$A$45:$A$53,Доп.расчеты!$A156,'Как есть'!CO$45:CO$53)</f>
        <v>0</v>
      </c>
      <c r="CO156">
        <f>SUMIF('Как есть'!$A$45:$A$53,Доп.расчеты!$A156,'Как есть'!CP$45:CP$53)</f>
        <v>0</v>
      </c>
      <c r="CP156">
        <f>SUMIF('Как есть'!$A$45:$A$53,Доп.расчеты!$A156,'Как есть'!CQ$45:CQ$53)</f>
        <v>0</v>
      </c>
      <c r="CQ156">
        <f>SUMIF('Как есть'!$A$45:$A$53,Доп.расчеты!$A156,'Как есть'!CR$45:CR$53)</f>
        <v>0</v>
      </c>
      <c r="CR156">
        <f>SUMIF('Как есть'!$A$45:$A$53,Доп.расчеты!$A156,'Как есть'!CS$45:CS$53)</f>
        <v>0</v>
      </c>
      <c r="CS156">
        <f>SUMIF('Как есть'!$A$45:$A$53,Доп.расчеты!$A156,'Как есть'!CT$45:CT$53)</f>
        <v>0</v>
      </c>
      <c r="CT156">
        <f>SUMIF('Как есть'!$A$45:$A$53,Доп.расчеты!$A156,'Как есть'!CU$45:CU$53)</f>
        <v>0</v>
      </c>
      <c r="CU156">
        <f>SUMIF('Как есть'!$A$45:$A$53,Доп.расчеты!$A156,'Как есть'!CV$45:CV$53)</f>
        <v>0</v>
      </c>
      <c r="CV156">
        <f>SUMIF('Как есть'!$A$45:$A$53,Доп.расчеты!$A156,'Как есть'!CW$45:CW$53)</f>
        <v>0</v>
      </c>
      <c r="CW156">
        <f>SUMIF('Как есть'!$A$45:$A$53,Доп.расчеты!$A156,'Как есть'!CX$45:CX$53)</f>
        <v>0</v>
      </c>
      <c r="CX156">
        <f>SUMIF('Как есть'!$A$45:$A$53,Доп.расчеты!$A156,'Как есть'!CY$45:CY$53)</f>
        <v>0</v>
      </c>
      <c r="CY156">
        <f>SUMIF('Как есть'!$A$45:$A$53,Доп.расчеты!$A156,'Как есть'!CZ$45:CZ$53)</f>
        <v>0</v>
      </c>
      <c r="CZ156">
        <f>SUMIF('Как есть'!$A$45:$A$53,Доп.расчеты!$A156,'Как есть'!DA$45:DA$53)</f>
        <v>0</v>
      </c>
      <c r="DA156">
        <f>SUMIF('Как есть'!$A$45:$A$53,Доп.расчеты!$A156,'Как есть'!DB$45:DB$53)</f>
        <v>0</v>
      </c>
      <c r="DB156">
        <f>SUMIF('Как есть'!$A$45:$A$53,Доп.расчеты!$A156,'Как есть'!DC$45:DC$53)</f>
        <v>0</v>
      </c>
      <c r="DC156">
        <f>SUMIF('Как есть'!$A$45:$A$53,Доп.расчеты!$A156,'Как есть'!DD$45:DD$53)</f>
        <v>0</v>
      </c>
      <c r="DD156">
        <f>SUMIF('Как есть'!$A$45:$A$53,Доп.расчеты!$A156,'Как есть'!DE$45:DE$53)</f>
        <v>0</v>
      </c>
      <c r="DE156">
        <f>SUMIF('Как есть'!$A$45:$A$53,Доп.расчеты!$A156,'Как есть'!DF$45:DF$53)</f>
        <v>0</v>
      </c>
      <c r="DF156">
        <f>SUMIF('Как есть'!$A$45:$A$53,Доп.расчеты!$A156,'Как есть'!DG$45:DG$53)</f>
        <v>0</v>
      </c>
      <c r="DG156">
        <f>SUMIF('Как есть'!$A$45:$A$53,Доп.расчеты!$A156,'Как есть'!DH$45:DH$53)</f>
        <v>0</v>
      </c>
      <c r="DH156">
        <f>SUMIF('Как есть'!$A$45:$A$53,Доп.расчеты!$A156,'Как есть'!DI$45:DI$53)</f>
        <v>0</v>
      </c>
      <c r="DI156">
        <f>SUMIF('Как есть'!$A$45:$A$53,Доп.расчеты!$A156,'Как есть'!DJ$45:DJ$53)</f>
        <v>0</v>
      </c>
      <c r="DJ156">
        <f>SUMIF('Как есть'!$A$45:$A$53,Доп.расчеты!$A156,'Как есть'!DK$45:DK$53)</f>
        <v>0</v>
      </c>
      <c r="DK156">
        <f>SUMIF('Как есть'!$A$45:$A$53,Доп.расчеты!$A156,'Как есть'!DL$45:DL$53)</f>
        <v>0</v>
      </c>
      <c r="DL156">
        <f>SUMIF('Как есть'!$A$45:$A$53,Доп.расчеты!$A156,'Как есть'!DM$45:DM$53)</f>
        <v>0</v>
      </c>
      <c r="DM156">
        <f>SUMIF('Как есть'!$A$45:$A$53,Доп.расчеты!$A156,'Как есть'!DN$45:DN$53)</f>
        <v>0</v>
      </c>
      <c r="DN156">
        <f>SUMIF('Как есть'!$A$45:$A$53,Доп.расчеты!$A156,'Как есть'!DO$45:DO$53)</f>
        <v>0</v>
      </c>
      <c r="DO156">
        <f>SUMIF('Как есть'!$A$45:$A$53,Доп.расчеты!$A156,'Как есть'!DP$45:DP$53)</f>
        <v>0</v>
      </c>
      <c r="DP156">
        <f>SUMIF('Как есть'!$A$45:$A$53,Доп.расчеты!$A156,'Как есть'!DQ$45:DQ$53)</f>
        <v>0</v>
      </c>
      <c r="DQ156">
        <f>SUMIF('Как есть'!$A$45:$A$53,Доп.расчеты!$A156,'Как есть'!DR$45:DR$53)</f>
        <v>0</v>
      </c>
      <c r="DR156">
        <f>SUMIF('Как есть'!$A$45:$A$53,Доп.расчеты!$A156,'Как есть'!DS$45:DS$53)</f>
        <v>0</v>
      </c>
      <c r="DS156">
        <f>SUMIF('Как есть'!$A$45:$A$53,Доп.расчеты!$A156,'Как есть'!DT$45:DT$53)</f>
        <v>0</v>
      </c>
      <c r="DT156">
        <f>SUMIF('Как есть'!$A$45:$A$53,Доп.расчеты!$A156,'Как есть'!DU$45:DU$53)</f>
        <v>0</v>
      </c>
      <c r="DU156">
        <f>SUMIF('Как есть'!$A$45:$A$53,Доп.расчеты!$A156,'Как есть'!DV$45:DV$53)</f>
        <v>0</v>
      </c>
      <c r="DV156">
        <f>SUMIF('Как есть'!$A$45:$A$53,Доп.расчеты!$A156,'Как есть'!DW$45:DW$53)</f>
        <v>0</v>
      </c>
      <c r="DW156">
        <f>SUMIF('Как есть'!$A$45:$A$53,Доп.расчеты!$A156,'Как есть'!DX$45:DX$53)</f>
        <v>0</v>
      </c>
      <c r="DX156">
        <f>SUMIF('Как есть'!$A$45:$A$53,Доп.расчеты!$A156,'Как есть'!DY$45:DY$53)</f>
        <v>0</v>
      </c>
      <c r="DY156">
        <f>SUMIF('Как есть'!$A$45:$A$53,Доп.расчеты!$A156,'Как есть'!DZ$45:DZ$53)</f>
        <v>0</v>
      </c>
      <c r="DZ156">
        <f>SUMIF('Как есть'!$A$45:$A$53,Доп.расчеты!$A156,'Как есть'!EA$45:EA$53)</f>
        <v>0</v>
      </c>
      <c r="EA156">
        <f>SUMIF('Как есть'!$A$45:$A$53,Доп.расчеты!$A156,'Как есть'!EB$45:EB$53)</f>
        <v>0</v>
      </c>
      <c r="EB156">
        <f>SUMIF('Как есть'!$A$45:$A$53,Доп.расчеты!$A156,'Как есть'!EC$45:EC$53)</f>
        <v>0</v>
      </c>
      <c r="EC156">
        <f>SUMIF('Как есть'!$A$45:$A$53,Доп.расчеты!$A156,'Как есть'!ED$45:ED$53)</f>
        <v>0</v>
      </c>
      <c r="ED156">
        <f>SUMIF('Как есть'!$A$45:$A$53,Доп.расчеты!$A156,'Как есть'!EE$45:EE$53)</f>
        <v>0</v>
      </c>
      <c r="EE156">
        <f>SUMIF('Как есть'!$A$45:$A$53,Доп.расчеты!$A156,'Как есть'!EF$45:EF$53)</f>
        <v>0</v>
      </c>
      <c r="EF156">
        <f>SUMIF('Как есть'!$A$45:$A$53,Доп.расчеты!$A156,'Как есть'!EG$45:EG$53)</f>
        <v>0</v>
      </c>
      <c r="EG156">
        <f>SUMIF('Как есть'!$A$45:$A$53,Доп.расчеты!$A156,'Как есть'!EH$45:EH$53)</f>
        <v>0</v>
      </c>
      <c r="EH156">
        <f>SUMIF('Как есть'!$A$45:$A$53,Доп.расчеты!$A156,'Как есть'!EI$45:EI$53)</f>
        <v>0</v>
      </c>
      <c r="EI156">
        <f>SUMIF('Как есть'!$A$45:$A$53,Доп.расчеты!$A156,'Как есть'!EJ$45:EJ$53)</f>
        <v>0</v>
      </c>
      <c r="EJ156">
        <f>SUMIF('Как есть'!$A$45:$A$53,Доп.расчеты!$A156,'Как есть'!EK$45:EK$53)</f>
        <v>0</v>
      </c>
      <c r="EK156">
        <f>SUMIF('Как есть'!$A$45:$A$53,Доп.расчеты!$A156,'Как есть'!EL$45:EL$53)</f>
        <v>0</v>
      </c>
      <c r="EL156">
        <f>SUMIF('Как есть'!$A$45:$A$53,Доп.расчеты!$A156,'Как есть'!EM$45:EM$53)</f>
        <v>0</v>
      </c>
      <c r="EM156">
        <f>SUMIF('Как есть'!$A$45:$A$53,Доп.расчеты!$A156,'Как есть'!EN$45:EN$53)</f>
        <v>0</v>
      </c>
      <c r="EN156">
        <f>SUMIF('Как есть'!$A$45:$A$53,Доп.расчеты!$A156,'Как есть'!EO$45:EO$53)</f>
        <v>0</v>
      </c>
      <c r="EO156">
        <f>SUMIF('Как есть'!$A$45:$A$53,Доп.расчеты!$A156,'Как есть'!EP$45:EP$53)</f>
        <v>0</v>
      </c>
      <c r="EP156">
        <f>SUMIF('Как есть'!$A$45:$A$53,Доп.расчеты!$A156,'Как есть'!EQ$45:EQ$53)</f>
        <v>0</v>
      </c>
      <c r="EQ156">
        <f>SUMIF('Как есть'!$A$45:$A$53,Доп.расчеты!$A156,'Как есть'!ER$45:ER$53)</f>
        <v>0</v>
      </c>
      <c r="ER156">
        <f>SUMIF('Как есть'!$A$45:$A$53,Доп.расчеты!$A156,'Как есть'!ES$45:ES$53)</f>
        <v>0</v>
      </c>
      <c r="ES156">
        <f>SUMIF('Как есть'!$A$45:$A$53,Доп.расчеты!$A156,'Как есть'!ET$45:ET$53)</f>
        <v>0</v>
      </c>
      <c r="ET156">
        <f>SUMIF('Как есть'!$A$45:$A$53,Доп.расчеты!$A156,'Как есть'!EU$45:EU$53)</f>
        <v>0</v>
      </c>
      <c r="EU156">
        <f>SUMIF('Как есть'!$A$45:$A$53,Доп.расчеты!$A156,'Как есть'!EV$45:EV$53)</f>
        <v>0</v>
      </c>
      <c r="EV156">
        <f>SUMIF('Как есть'!$A$45:$A$53,Доп.расчеты!$A156,'Как есть'!EW$45:EW$53)</f>
        <v>0</v>
      </c>
      <c r="EW156">
        <f>SUMIF('Как есть'!$A$45:$A$53,Доп.расчеты!$A156,'Как есть'!EX$45:EX$53)</f>
        <v>0</v>
      </c>
      <c r="EX156">
        <f>SUMIF('Как есть'!$A$45:$A$53,Доп.расчеты!$A156,'Как есть'!EY$45:EY$53)</f>
        <v>0</v>
      </c>
      <c r="EY156">
        <f>SUMIF('Как есть'!$A$45:$A$53,Доп.расчеты!$A156,'Как есть'!EZ$45:EZ$53)</f>
        <v>0</v>
      </c>
      <c r="EZ156">
        <f>SUMIF('Как есть'!$A$45:$A$53,Доп.расчеты!$A156,'Как есть'!FA$45:FA$53)</f>
        <v>0</v>
      </c>
      <c r="FA156">
        <f>SUMIF('Как есть'!$A$45:$A$53,Доп.расчеты!$A156,'Как есть'!FB$45:FB$53)</f>
        <v>0</v>
      </c>
      <c r="FB156">
        <f>SUMIF('Как есть'!$A$45:$A$53,Доп.расчеты!$A156,'Как есть'!FC$45:FC$53)</f>
        <v>0</v>
      </c>
      <c r="FC156">
        <f>SUMIF('Как есть'!$A$45:$A$53,Доп.расчеты!$A156,'Как есть'!FD$45:FD$53)</f>
        <v>0</v>
      </c>
      <c r="FD156">
        <f>SUMIF('Как есть'!$A$45:$A$53,Доп.расчеты!$A156,'Как есть'!FE$45:FE$53)</f>
        <v>0</v>
      </c>
      <c r="FE156">
        <f>SUMIF('Как есть'!$A$45:$A$53,Доп.расчеты!$A156,'Как есть'!FF$45:FF$53)</f>
        <v>0</v>
      </c>
      <c r="FF156">
        <f>SUMIF('Как есть'!$A$45:$A$53,Доп.расчеты!$A156,'Как есть'!FG$45:FG$53)</f>
        <v>0</v>
      </c>
      <c r="FG156">
        <f>SUMIF('Как есть'!$A$45:$A$53,Доп.расчеты!$A156,'Как есть'!FH$45:FH$53)</f>
        <v>0</v>
      </c>
      <c r="FH156">
        <f>SUMIF('Как есть'!$A$45:$A$53,Доп.расчеты!$A156,'Как есть'!FI$45:FI$53)</f>
        <v>0</v>
      </c>
      <c r="FI156">
        <f>SUMIF('Как есть'!$A$45:$A$53,Доп.расчеты!$A156,'Как есть'!FJ$45:FJ$53)</f>
        <v>0</v>
      </c>
      <c r="FJ156">
        <f>SUMIF('Как есть'!$A$45:$A$53,Доп.расчеты!$A156,'Как есть'!FK$45:FK$53)</f>
        <v>0</v>
      </c>
      <c r="FK156">
        <f>SUMIF('Как есть'!$A$45:$A$53,Доп.расчеты!$A156,'Как есть'!FL$45:FL$53)</f>
        <v>0</v>
      </c>
      <c r="FL156">
        <f>SUMIF('Как есть'!$A$45:$A$53,Доп.расчеты!$A156,'Как есть'!FM$45:FM$53)</f>
        <v>0</v>
      </c>
      <c r="FM156">
        <f>SUMIF('Как есть'!$A$45:$A$53,Доп.расчеты!$A156,'Как есть'!FN$45:FN$53)</f>
        <v>0</v>
      </c>
      <c r="FN156">
        <f>SUMIF('Как есть'!$A$45:$A$53,Доп.расчеты!$A156,'Как есть'!FO$45:FO$53)</f>
        <v>0</v>
      </c>
      <c r="FO156">
        <f>SUMIF('Как есть'!$A$45:$A$53,Доп.расчеты!$A156,'Как есть'!FP$45:FP$53)</f>
        <v>0</v>
      </c>
      <c r="FP156">
        <f>SUMIF('Как есть'!$A$45:$A$53,Доп.расчеты!$A156,'Как есть'!FQ$45:FQ$53)</f>
        <v>0</v>
      </c>
      <c r="FQ156">
        <f>SUMIF('Как есть'!$A$45:$A$53,Доп.расчеты!$A156,'Как есть'!FR$45:FR$53)</f>
        <v>0</v>
      </c>
      <c r="FR156">
        <f>SUMIF('Как есть'!$A$45:$A$53,Доп.расчеты!$A156,'Как есть'!FS$45:FS$53)</f>
        <v>0</v>
      </c>
      <c r="FS156">
        <f>SUMIF('Как есть'!$A$45:$A$53,Доп.расчеты!$A156,'Как есть'!FT$45:FT$53)</f>
        <v>0</v>
      </c>
      <c r="FT156">
        <f>SUMIF('Как есть'!$A$45:$A$53,Доп.расчеты!$A156,'Как есть'!FU$45:FU$53)</f>
        <v>0</v>
      </c>
      <c r="FU156">
        <f>SUMIF('Как есть'!$A$45:$A$53,Доп.расчеты!$A156,'Как есть'!FV$45:FV$53)</f>
        <v>0</v>
      </c>
      <c r="FV156">
        <f>SUMIF('Как есть'!$A$45:$A$53,Доп.расчеты!$A156,'Как есть'!FW$45:FW$53)</f>
        <v>0</v>
      </c>
      <c r="FW156">
        <f>SUMIF('Как есть'!$A$45:$A$53,Доп.расчеты!$A156,'Как есть'!FX$45:FX$53)</f>
        <v>0</v>
      </c>
      <c r="FX156">
        <f>SUMIF('Как есть'!$A$45:$A$53,Доп.расчеты!$A156,'Как есть'!FY$45:FY$53)</f>
        <v>0</v>
      </c>
      <c r="FY156">
        <f>SUMIF('Как есть'!$A$45:$A$53,Доп.расчеты!$A156,'Как есть'!FZ$45:FZ$53)</f>
        <v>0</v>
      </c>
      <c r="FZ156">
        <f>SUMIF('Как есть'!$A$45:$A$53,Доп.расчеты!$A156,'Как есть'!GA$45:GA$53)</f>
        <v>0</v>
      </c>
      <c r="GA156">
        <f>SUMIF('Как есть'!$A$45:$A$53,Доп.расчеты!$A156,'Как есть'!GB$45:GB$53)</f>
        <v>0</v>
      </c>
      <c r="GB156">
        <f>SUMIF('Как есть'!$A$45:$A$53,Доп.расчеты!$A156,'Как есть'!GC$45:GC$53)</f>
        <v>0</v>
      </c>
      <c r="GC156">
        <f>SUMIF('Как есть'!$A$45:$A$53,Доп.расчеты!$A156,'Как есть'!GD$45:GD$53)</f>
        <v>0</v>
      </c>
      <c r="GD156">
        <f>SUMIF('Как есть'!$A$45:$A$53,Доп.расчеты!$A156,'Как есть'!GE$45:GE$53)</f>
        <v>0</v>
      </c>
      <c r="GE156">
        <f>SUMIF('Как есть'!$A$45:$A$53,Доп.расчеты!$A156,'Как есть'!GF$45:GF$53)</f>
        <v>0</v>
      </c>
      <c r="GF156">
        <f>SUMIF('Как есть'!$A$45:$A$53,Доп.расчеты!$A156,'Как есть'!GG$45:GG$53)</f>
        <v>0</v>
      </c>
      <c r="GG156">
        <f>SUMIF('Как есть'!$A$45:$A$53,Доп.расчеты!$A156,'Как есть'!GH$45:GH$53)</f>
        <v>0</v>
      </c>
      <c r="GH156">
        <f>SUMIF('Как есть'!$A$45:$A$53,Доп.расчеты!$A156,'Как есть'!GI$45:GI$53)</f>
        <v>0</v>
      </c>
      <c r="GI156">
        <f>SUMIF('Как есть'!$A$45:$A$53,Доп.расчеты!$A156,'Как есть'!GJ$45:GJ$53)</f>
        <v>0</v>
      </c>
      <c r="GJ156">
        <f>SUMIF('Как есть'!$A$45:$A$53,Доп.расчеты!$A156,'Как есть'!GK$45:GK$53)</f>
        <v>0</v>
      </c>
      <c r="GK156">
        <f>SUMIF('Как есть'!$A$45:$A$53,Доп.расчеты!$A156,'Как есть'!GL$45:GL$53)</f>
        <v>0</v>
      </c>
      <c r="GL156">
        <f>SUMIF('Как есть'!$A$45:$A$53,Доп.расчеты!$A156,'Как есть'!GM$45:GM$53)</f>
        <v>0</v>
      </c>
      <c r="GM156">
        <f>SUMIF('Как есть'!$A$45:$A$53,Доп.расчеты!$A156,'Как есть'!GN$45:GN$53)</f>
        <v>0</v>
      </c>
      <c r="GN156">
        <f>SUMIF('Как есть'!$A$45:$A$53,Доп.расчеты!$A156,'Как есть'!GO$45:GO$53)</f>
        <v>0</v>
      </c>
      <c r="GO156">
        <f>SUMIF('Как есть'!$A$45:$A$53,Доп.расчеты!$A156,'Как есть'!GP$45:GP$53)</f>
        <v>0</v>
      </c>
      <c r="GP156">
        <f>SUMIF('Как есть'!$A$45:$A$53,Доп.расчеты!$A156,'Как есть'!GQ$45:GQ$53)</f>
        <v>0</v>
      </c>
      <c r="GQ156">
        <f>SUMIF('Как есть'!$A$45:$A$53,Доп.расчеты!$A156,'Как есть'!GR$45:GR$53)</f>
        <v>0</v>
      </c>
      <c r="GR156">
        <f>SUMIF('Как есть'!$A$45:$A$53,Доп.расчеты!$A156,'Как есть'!GS$45:GS$53)</f>
        <v>0</v>
      </c>
      <c r="GS156">
        <f>SUMIF('Как есть'!$A$45:$A$53,Доп.расчеты!$A156,'Как есть'!GT$45:GT$53)</f>
        <v>0</v>
      </c>
      <c r="GT156">
        <f>SUMIF('Как есть'!$A$45:$A$53,Доп.расчеты!$A156,'Как есть'!GU$45:GU$53)</f>
        <v>0</v>
      </c>
    </row>
    <row r="157" spans="1:202" hidden="1" outlineLevel="1">
      <c r="A157" s="238" t="s">
        <v>93</v>
      </c>
      <c r="B157">
        <f>SUMIF('Как есть'!$A$45:$A$53,Доп.расчеты!$A157,'Как есть'!C$45:C$53)</f>
        <v>0</v>
      </c>
      <c r="C157">
        <f>SUMIF('Как есть'!$A$45:$A$53,Доп.расчеты!$A157,'Как есть'!D$45:D$53)</f>
        <v>0</v>
      </c>
      <c r="D157">
        <f>SUMIF('Как есть'!$A$45:$A$53,Доп.расчеты!$A157,'Как есть'!E$45:E$53)</f>
        <v>0</v>
      </c>
      <c r="E157">
        <f>SUMIF('Как есть'!$A$45:$A$53,Доп.расчеты!$A157,'Как есть'!F$45:F$53)</f>
        <v>0</v>
      </c>
      <c r="F157">
        <f>SUMIF('Как есть'!$A$45:$A$53,Доп.расчеты!$A157,'Как есть'!G$45:G$53)</f>
        <v>0</v>
      </c>
      <c r="G157">
        <f>SUMIF('Как есть'!$A$45:$A$53,Доп.расчеты!$A157,'Как есть'!H$45:H$53)</f>
        <v>0</v>
      </c>
      <c r="H157">
        <f>SUMIF('Как есть'!$A$45:$A$53,Доп.расчеты!$A157,'Как есть'!I$45:I$53)</f>
        <v>0</v>
      </c>
      <c r="I157">
        <f>SUMIF('Как есть'!$A$45:$A$53,Доп.расчеты!$A157,'Как есть'!J$45:J$53)</f>
        <v>0</v>
      </c>
      <c r="J157">
        <f>SUMIF('Как есть'!$A$45:$A$53,Доп.расчеты!$A157,'Как есть'!K$45:K$53)</f>
        <v>0</v>
      </c>
      <c r="K157">
        <f>SUMIF('Как есть'!$A$45:$A$53,Доп.расчеты!$A157,'Как есть'!L$45:L$53)</f>
        <v>0</v>
      </c>
      <c r="L157">
        <f>SUMIF('Как есть'!$A$45:$A$53,Доп.расчеты!$A157,'Как есть'!M$45:M$53)</f>
        <v>0</v>
      </c>
      <c r="M157">
        <f>SUMIF('Как есть'!$A$45:$A$53,Доп.расчеты!$A157,'Как есть'!N$45:N$53)</f>
        <v>0</v>
      </c>
      <c r="N157">
        <f>SUMIF('Как есть'!$A$45:$A$53,Доп.расчеты!$A157,'Как есть'!O$45:O$53)</f>
        <v>0</v>
      </c>
      <c r="O157">
        <f>SUMIF('Как есть'!$A$45:$A$53,Доп.расчеты!$A157,'Как есть'!P$45:P$53)</f>
        <v>0</v>
      </c>
      <c r="P157">
        <f>SUMIF('Как есть'!$A$45:$A$53,Доп.расчеты!$A157,'Как есть'!Q$45:Q$53)</f>
        <v>0</v>
      </c>
      <c r="Q157">
        <f>SUMIF('Как есть'!$A$45:$A$53,Доп.расчеты!$A157,'Как есть'!R$45:R$53)</f>
        <v>0</v>
      </c>
      <c r="R157">
        <f>SUMIF('Как есть'!$A$45:$A$53,Доп.расчеты!$A157,'Как есть'!S$45:S$53)</f>
        <v>0</v>
      </c>
      <c r="S157">
        <f>SUMIF('Как есть'!$A$45:$A$53,Доп.расчеты!$A157,'Как есть'!T$45:T$53)</f>
        <v>0</v>
      </c>
      <c r="T157">
        <f>SUMIF('Как есть'!$A$45:$A$53,Доп.расчеты!$A157,'Как есть'!U$45:U$53)</f>
        <v>0</v>
      </c>
      <c r="U157">
        <f>SUMIF('Как есть'!$A$45:$A$53,Доп.расчеты!$A157,'Как есть'!V$45:V$53)</f>
        <v>0</v>
      </c>
      <c r="V157">
        <f>SUMIF('Как есть'!$A$45:$A$53,Доп.расчеты!$A157,'Как есть'!W$45:W$53)</f>
        <v>0</v>
      </c>
      <c r="W157">
        <f>SUMIF('Как есть'!$A$45:$A$53,Доп.расчеты!$A157,'Как есть'!X$45:X$53)</f>
        <v>0</v>
      </c>
      <c r="X157">
        <f>SUMIF('Как есть'!$A$45:$A$53,Доп.расчеты!$A157,'Как есть'!Y$45:Y$53)</f>
        <v>0</v>
      </c>
      <c r="Y157">
        <f>SUMIF('Как есть'!$A$45:$A$53,Доп.расчеты!$A157,'Как есть'!Z$45:Z$53)</f>
        <v>0</v>
      </c>
      <c r="Z157">
        <f>SUMIF('Как есть'!$A$45:$A$53,Доп.расчеты!$A157,'Как есть'!AA$45:AA$53)</f>
        <v>0</v>
      </c>
      <c r="AA157">
        <f>SUMIF('Как есть'!$A$45:$A$53,Доп.расчеты!$A157,'Как есть'!AB$45:AB$53)</f>
        <v>0</v>
      </c>
      <c r="AB157">
        <f>SUMIF('Как есть'!$A$45:$A$53,Доп.расчеты!$A157,'Как есть'!AC$45:AC$53)</f>
        <v>0</v>
      </c>
      <c r="AC157">
        <f>SUMIF('Как есть'!$A$45:$A$53,Доп.расчеты!$A157,'Как есть'!AD$45:AD$53)</f>
        <v>0</v>
      </c>
      <c r="AD157">
        <f>SUMIF('Как есть'!$A$45:$A$53,Доп.расчеты!$A157,'Как есть'!AE$45:AE$53)</f>
        <v>0</v>
      </c>
      <c r="AE157">
        <f>SUMIF('Как есть'!$A$45:$A$53,Доп.расчеты!$A157,'Как есть'!AF$45:AF$53)</f>
        <v>0</v>
      </c>
      <c r="AF157">
        <f>SUMIF('Как есть'!$A$45:$A$53,Доп.расчеты!$A157,'Как есть'!AG$45:AG$53)</f>
        <v>0</v>
      </c>
      <c r="AG157">
        <f>SUMIF('Как есть'!$A$45:$A$53,Доп.расчеты!$A157,'Как есть'!AH$45:AH$53)</f>
        <v>0</v>
      </c>
      <c r="AH157">
        <f>SUMIF('Как есть'!$A$45:$A$53,Доп.расчеты!$A157,'Как есть'!AI$45:AI$53)</f>
        <v>0</v>
      </c>
      <c r="AI157">
        <f>SUMIF('Как есть'!$A$45:$A$53,Доп.расчеты!$A157,'Как есть'!AJ$45:AJ$53)</f>
        <v>0</v>
      </c>
      <c r="AJ157">
        <f>SUMIF('Как есть'!$A$45:$A$53,Доп.расчеты!$A157,'Как есть'!AK$45:AK$53)</f>
        <v>0</v>
      </c>
      <c r="AK157">
        <f>SUMIF('Как есть'!$A$45:$A$53,Доп.расчеты!$A157,'Как есть'!AL$45:AL$53)</f>
        <v>0</v>
      </c>
      <c r="AL157">
        <f>SUMIF('Как есть'!$A$45:$A$53,Доп.расчеты!$A157,'Как есть'!AM$45:AM$53)</f>
        <v>0</v>
      </c>
      <c r="AM157">
        <f>SUMIF('Как есть'!$A$45:$A$53,Доп.расчеты!$A157,'Как есть'!AN$45:AN$53)</f>
        <v>0</v>
      </c>
      <c r="AN157">
        <f>SUMIF('Как есть'!$A$45:$A$53,Доп.расчеты!$A157,'Как есть'!AO$45:AO$53)</f>
        <v>0</v>
      </c>
      <c r="AO157">
        <f>SUMIF('Как есть'!$A$45:$A$53,Доп.расчеты!$A157,'Как есть'!AP$45:AP$53)</f>
        <v>0</v>
      </c>
      <c r="AP157">
        <f>SUMIF('Как есть'!$A$45:$A$53,Доп.расчеты!$A157,'Как есть'!AQ$45:AQ$53)</f>
        <v>0</v>
      </c>
      <c r="AQ157">
        <f>SUMIF('Как есть'!$A$45:$A$53,Доп.расчеты!$A157,'Как есть'!AR$45:AR$53)</f>
        <v>0</v>
      </c>
      <c r="AR157">
        <f>SUMIF('Как есть'!$A$45:$A$53,Доп.расчеты!$A157,'Как есть'!AS$45:AS$53)</f>
        <v>0</v>
      </c>
      <c r="AS157">
        <f>SUMIF('Как есть'!$A$45:$A$53,Доп.расчеты!$A157,'Как есть'!AT$45:AT$53)</f>
        <v>0</v>
      </c>
      <c r="AT157">
        <f>SUMIF('Как есть'!$A$45:$A$53,Доп.расчеты!$A157,'Как есть'!AU$45:AU$53)</f>
        <v>0</v>
      </c>
      <c r="AU157">
        <f>SUMIF('Как есть'!$A$45:$A$53,Доп.расчеты!$A157,'Как есть'!AV$45:AV$53)</f>
        <v>0</v>
      </c>
      <c r="AV157">
        <f>SUMIF('Как есть'!$A$45:$A$53,Доп.расчеты!$A157,'Как есть'!AW$45:AW$53)</f>
        <v>0</v>
      </c>
      <c r="AW157">
        <f>SUMIF('Как есть'!$A$45:$A$53,Доп.расчеты!$A157,'Как есть'!AX$45:AX$53)</f>
        <v>0</v>
      </c>
      <c r="AX157">
        <f>SUMIF('Как есть'!$A$45:$A$53,Доп.расчеты!$A157,'Как есть'!AY$45:AY$53)</f>
        <v>0</v>
      </c>
      <c r="AY157">
        <f>SUMIF('Как есть'!$A$45:$A$53,Доп.расчеты!$A157,'Как есть'!AZ$45:AZ$53)</f>
        <v>0</v>
      </c>
      <c r="AZ157">
        <f>SUMIF('Как есть'!$A$45:$A$53,Доп.расчеты!$A157,'Как есть'!BA$45:BA$53)</f>
        <v>0</v>
      </c>
      <c r="BA157">
        <f>SUMIF('Как есть'!$A$45:$A$53,Доп.расчеты!$A157,'Как есть'!BB$45:BB$53)</f>
        <v>0</v>
      </c>
      <c r="BB157">
        <f>SUMIF('Как есть'!$A$45:$A$53,Доп.расчеты!$A157,'Как есть'!BC$45:BC$53)</f>
        <v>0</v>
      </c>
      <c r="BC157">
        <f>SUMIF('Как есть'!$A$45:$A$53,Доп.расчеты!$A157,'Как есть'!BD$45:BD$53)</f>
        <v>0</v>
      </c>
      <c r="BD157">
        <f>SUMIF('Как есть'!$A$45:$A$53,Доп.расчеты!$A157,'Как есть'!BE$45:BE$53)</f>
        <v>0</v>
      </c>
      <c r="BE157">
        <f>SUMIF('Как есть'!$A$45:$A$53,Доп.расчеты!$A157,'Как есть'!BF$45:BF$53)</f>
        <v>0</v>
      </c>
      <c r="BF157">
        <f>SUMIF('Как есть'!$A$45:$A$53,Доп.расчеты!$A157,'Как есть'!BG$45:BG$53)</f>
        <v>0</v>
      </c>
      <c r="BG157">
        <f>SUMIF('Как есть'!$A$45:$A$53,Доп.расчеты!$A157,'Как есть'!BH$45:BH$53)</f>
        <v>0</v>
      </c>
      <c r="BH157">
        <f>SUMIF('Как есть'!$A$45:$A$53,Доп.расчеты!$A157,'Как есть'!BI$45:BI$53)</f>
        <v>0</v>
      </c>
      <c r="BI157">
        <f>SUMIF('Как есть'!$A$45:$A$53,Доп.расчеты!$A157,'Как есть'!BJ$45:BJ$53)</f>
        <v>0</v>
      </c>
      <c r="BJ157">
        <f>SUMIF('Как есть'!$A$45:$A$53,Доп.расчеты!$A157,'Как есть'!BK$45:BK$53)</f>
        <v>0</v>
      </c>
      <c r="BK157">
        <f>SUMIF('Как есть'!$A$45:$A$53,Доп.расчеты!$A157,'Как есть'!BL$45:BL$53)</f>
        <v>0</v>
      </c>
      <c r="BL157">
        <f>SUMIF('Как есть'!$A$45:$A$53,Доп.расчеты!$A157,'Как есть'!BM$45:BM$53)</f>
        <v>0</v>
      </c>
      <c r="BM157">
        <f>SUMIF('Как есть'!$A$45:$A$53,Доп.расчеты!$A157,'Как есть'!BN$45:BN$53)</f>
        <v>0</v>
      </c>
      <c r="BN157">
        <f>SUMIF('Как есть'!$A$45:$A$53,Доп.расчеты!$A157,'Как есть'!BO$45:BO$53)</f>
        <v>0</v>
      </c>
      <c r="BO157">
        <f>SUMIF('Как есть'!$A$45:$A$53,Доп.расчеты!$A157,'Как есть'!BP$45:BP$53)</f>
        <v>0</v>
      </c>
      <c r="BP157">
        <f>SUMIF('Как есть'!$A$45:$A$53,Доп.расчеты!$A157,'Как есть'!BQ$45:BQ$53)</f>
        <v>0</v>
      </c>
      <c r="BQ157">
        <f>SUMIF('Как есть'!$A$45:$A$53,Доп.расчеты!$A157,'Как есть'!BR$45:BR$53)</f>
        <v>0</v>
      </c>
      <c r="BR157">
        <f>SUMIF('Как есть'!$A$45:$A$53,Доп.расчеты!$A157,'Как есть'!BS$45:BS$53)</f>
        <v>0</v>
      </c>
      <c r="BS157">
        <f>SUMIF('Как есть'!$A$45:$A$53,Доп.расчеты!$A157,'Как есть'!BT$45:BT$53)</f>
        <v>0</v>
      </c>
      <c r="BT157">
        <f>SUMIF('Как есть'!$A$45:$A$53,Доп.расчеты!$A157,'Как есть'!BU$45:BU$53)</f>
        <v>0</v>
      </c>
      <c r="BU157">
        <f>SUMIF('Как есть'!$A$45:$A$53,Доп.расчеты!$A157,'Как есть'!BV$45:BV$53)</f>
        <v>0</v>
      </c>
      <c r="BV157">
        <f>SUMIF('Как есть'!$A$45:$A$53,Доп.расчеты!$A157,'Как есть'!BW$45:BW$53)</f>
        <v>0</v>
      </c>
      <c r="BW157">
        <f>SUMIF('Как есть'!$A$45:$A$53,Доп.расчеты!$A157,'Как есть'!BX$45:BX$53)</f>
        <v>0</v>
      </c>
      <c r="BX157">
        <f>SUMIF('Как есть'!$A$45:$A$53,Доп.расчеты!$A157,'Как есть'!BY$45:BY$53)</f>
        <v>0</v>
      </c>
      <c r="BY157">
        <f>SUMIF('Как есть'!$A$45:$A$53,Доп.расчеты!$A157,'Как есть'!BZ$45:BZ$53)</f>
        <v>0</v>
      </c>
      <c r="BZ157">
        <f>SUMIF('Как есть'!$A$45:$A$53,Доп.расчеты!$A157,'Как есть'!CA$45:CA$53)</f>
        <v>0</v>
      </c>
      <c r="CA157">
        <f>SUMIF('Как есть'!$A$45:$A$53,Доп.расчеты!$A157,'Как есть'!CB$45:CB$53)</f>
        <v>0</v>
      </c>
      <c r="CB157">
        <f>SUMIF('Как есть'!$A$45:$A$53,Доп.расчеты!$A157,'Как есть'!CC$45:CC$53)</f>
        <v>0</v>
      </c>
      <c r="CC157">
        <f>SUMIF('Как есть'!$A$45:$A$53,Доп.расчеты!$A157,'Как есть'!CD$45:CD$53)</f>
        <v>0</v>
      </c>
      <c r="CD157">
        <f>SUMIF('Как есть'!$A$45:$A$53,Доп.расчеты!$A157,'Как есть'!CE$45:CE$53)</f>
        <v>0</v>
      </c>
      <c r="CE157">
        <f>SUMIF('Как есть'!$A$45:$A$53,Доп.расчеты!$A157,'Как есть'!CF$45:CF$53)</f>
        <v>0</v>
      </c>
      <c r="CF157">
        <f>SUMIF('Как есть'!$A$45:$A$53,Доп.расчеты!$A157,'Как есть'!CG$45:CG$53)</f>
        <v>0</v>
      </c>
      <c r="CG157">
        <f>SUMIF('Как есть'!$A$45:$A$53,Доп.расчеты!$A157,'Как есть'!CH$45:CH$53)</f>
        <v>0</v>
      </c>
      <c r="CH157">
        <f>SUMIF('Как есть'!$A$45:$A$53,Доп.расчеты!$A157,'Как есть'!CI$45:CI$53)</f>
        <v>0</v>
      </c>
      <c r="CI157">
        <f>SUMIF('Как есть'!$A$45:$A$53,Доп.расчеты!$A157,'Как есть'!CJ$45:CJ$53)</f>
        <v>0</v>
      </c>
      <c r="CJ157">
        <f>SUMIF('Как есть'!$A$45:$A$53,Доп.расчеты!$A157,'Как есть'!CK$45:CK$53)</f>
        <v>0</v>
      </c>
      <c r="CK157">
        <f>SUMIF('Как есть'!$A$45:$A$53,Доп.расчеты!$A157,'Как есть'!CL$45:CL$53)</f>
        <v>0</v>
      </c>
      <c r="CL157">
        <f>SUMIF('Как есть'!$A$45:$A$53,Доп.расчеты!$A157,'Как есть'!CM$45:CM$53)</f>
        <v>0</v>
      </c>
      <c r="CM157">
        <f>SUMIF('Как есть'!$A$45:$A$53,Доп.расчеты!$A157,'Как есть'!CN$45:CN$53)</f>
        <v>0</v>
      </c>
      <c r="CN157">
        <f>SUMIF('Как есть'!$A$45:$A$53,Доп.расчеты!$A157,'Как есть'!CO$45:CO$53)</f>
        <v>0</v>
      </c>
      <c r="CO157">
        <f>SUMIF('Как есть'!$A$45:$A$53,Доп.расчеты!$A157,'Как есть'!CP$45:CP$53)</f>
        <v>0</v>
      </c>
      <c r="CP157">
        <f>SUMIF('Как есть'!$A$45:$A$53,Доп.расчеты!$A157,'Как есть'!CQ$45:CQ$53)</f>
        <v>0</v>
      </c>
      <c r="CQ157">
        <f>SUMIF('Как есть'!$A$45:$A$53,Доп.расчеты!$A157,'Как есть'!CR$45:CR$53)</f>
        <v>0</v>
      </c>
      <c r="CR157">
        <f>SUMIF('Как есть'!$A$45:$A$53,Доп.расчеты!$A157,'Как есть'!CS$45:CS$53)</f>
        <v>0</v>
      </c>
      <c r="CS157">
        <f>SUMIF('Как есть'!$A$45:$A$53,Доп.расчеты!$A157,'Как есть'!CT$45:CT$53)</f>
        <v>0</v>
      </c>
      <c r="CT157">
        <f>SUMIF('Как есть'!$A$45:$A$53,Доп.расчеты!$A157,'Как есть'!CU$45:CU$53)</f>
        <v>0</v>
      </c>
      <c r="CU157">
        <f>SUMIF('Как есть'!$A$45:$A$53,Доп.расчеты!$A157,'Как есть'!CV$45:CV$53)</f>
        <v>0</v>
      </c>
      <c r="CV157">
        <f>SUMIF('Как есть'!$A$45:$A$53,Доп.расчеты!$A157,'Как есть'!CW$45:CW$53)</f>
        <v>0</v>
      </c>
      <c r="CW157">
        <f>SUMIF('Как есть'!$A$45:$A$53,Доп.расчеты!$A157,'Как есть'!CX$45:CX$53)</f>
        <v>0</v>
      </c>
      <c r="CX157">
        <f>SUMIF('Как есть'!$A$45:$A$53,Доп.расчеты!$A157,'Как есть'!CY$45:CY$53)</f>
        <v>0</v>
      </c>
      <c r="CY157">
        <f>SUMIF('Как есть'!$A$45:$A$53,Доп.расчеты!$A157,'Как есть'!CZ$45:CZ$53)</f>
        <v>0</v>
      </c>
      <c r="CZ157">
        <f>SUMIF('Как есть'!$A$45:$A$53,Доп.расчеты!$A157,'Как есть'!DA$45:DA$53)</f>
        <v>0</v>
      </c>
      <c r="DA157">
        <f>SUMIF('Как есть'!$A$45:$A$53,Доп.расчеты!$A157,'Как есть'!DB$45:DB$53)</f>
        <v>0</v>
      </c>
      <c r="DB157">
        <f>SUMIF('Как есть'!$A$45:$A$53,Доп.расчеты!$A157,'Как есть'!DC$45:DC$53)</f>
        <v>0</v>
      </c>
      <c r="DC157">
        <f>SUMIF('Как есть'!$A$45:$A$53,Доп.расчеты!$A157,'Как есть'!DD$45:DD$53)</f>
        <v>0</v>
      </c>
      <c r="DD157">
        <f>SUMIF('Как есть'!$A$45:$A$53,Доп.расчеты!$A157,'Как есть'!DE$45:DE$53)</f>
        <v>0</v>
      </c>
      <c r="DE157">
        <f>SUMIF('Как есть'!$A$45:$A$53,Доп.расчеты!$A157,'Как есть'!DF$45:DF$53)</f>
        <v>0</v>
      </c>
      <c r="DF157">
        <f>SUMIF('Как есть'!$A$45:$A$53,Доп.расчеты!$A157,'Как есть'!DG$45:DG$53)</f>
        <v>0</v>
      </c>
      <c r="DG157">
        <f>SUMIF('Как есть'!$A$45:$A$53,Доп.расчеты!$A157,'Как есть'!DH$45:DH$53)</f>
        <v>0</v>
      </c>
      <c r="DH157">
        <f>SUMIF('Как есть'!$A$45:$A$53,Доп.расчеты!$A157,'Как есть'!DI$45:DI$53)</f>
        <v>0</v>
      </c>
      <c r="DI157">
        <f>SUMIF('Как есть'!$A$45:$A$53,Доп.расчеты!$A157,'Как есть'!DJ$45:DJ$53)</f>
        <v>0</v>
      </c>
      <c r="DJ157">
        <f>SUMIF('Как есть'!$A$45:$A$53,Доп.расчеты!$A157,'Как есть'!DK$45:DK$53)</f>
        <v>0</v>
      </c>
      <c r="DK157">
        <f>SUMIF('Как есть'!$A$45:$A$53,Доп.расчеты!$A157,'Как есть'!DL$45:DL$53)</f>
        <v>0</v>
      </c>
      <c r="DL157">
        <f>SUMIF('Как есть'!$A$45:$A$53,Доп.расчеты!$A157,'Как есть'!DM$45:DM$53)</f>
        <v>0</v>
      </c>
      <c r="DM157">
        <f>SUMIF('Как есть'!$A$45:$A$53,Доп.расчеты!$A157,'Как есть'!DN$45:DN$53)</f>
        <v>0</v>
      </c>
      <c r="DN157">
        <f>SUMIF('Как есть'!$A$45:$A$53,Доп.расчеты!$A157,'Как есть'!DO$45:DO$53)</f>
        <v>0</v>
      </c>
      <c r="DO157">
        <f>SUMIF('Как есть'!$A$45:$A$53,Доп.расчеты!$A157,'Как есть'!DP$45:DP$53)</f>
        <v>0</v>
      </c>
      <c r="DP157">
        <f>SUMIF('Как есть'!$A$45:$A$53,Доп.расчеты!$A157,'Как есть'!DQ$45:DQ$53)</f>
        <v>0</v>
      </c>
      <c r="DQ157">
        <f>SUMIF('Как есть'!$A$45:$A$53,Доп.расчеты!$A157,'Как есть'!DR$45:DR$53)</f>
        <v>0</v>
      </c>
      <c r="DR157">
        <f>SUMIF('Как есть'!$A$45:$A$53,Доп.расчеты!$A157,'Как есть'!DS$45:DS$53)</f>
        <v>0</v>
      </c>
      <c r="DS157">
        <f>SUMIF('Как есть'!$A$45:$A$53,Доп.расчеты!$A157,'Как есть'!DT$45:DT$53)</f>
        <v>0</v>
      </c>
      <c r="DT157">
        <f>SUMIF('Как есть'!$A$45:$A$53,Доп.расчеты!$A157,'Как есть'!DU$45:DU$53)</f>
        <v>0</v>
      </c>
      <c r="DU157">
        <f>SUMIF('Как есть'!$A$45:$A$53,Доп.расчеты!$A157,'Как есть'!DV$45:DV$53)</f>
        <v>0</v>
      </c>
      <c r="DV157">
        <f>SUMIF('Как есть'!$A$45:$A$53,Доп.расчеты!$A157,'Как есть'!DW$45:DW$53)</f>
        <v>0</v>
      </c>
      <c r="DW157">
        <f>SUMIF('Как есть'!$A$45:$A$53,Доп.расчеты!$A157,'Как есть'!DX$45:DX$53)</f>
        <v>0</v>
      </c>
      <c r="DX157">
        <f>SUMIF('Как есть'!$A$45:$A$53,Доп.расчеты!$A157,'Как есть'!DY$45:DY$53)</f>
        <v>0</v>
      </c>
      <c r="DY157">
        <f>SUMIF('Как есть'!$A$45:$A$53,Доп.расчеты!$A157,'Как есть'!DZ$45:DZ$53)</f>
        <v>0</v>
      </c>
      <c r="DZ157">
        <f>SUMIF('Как есть'!$A$45:$A$53,Доп.расчеты!$A157,'Как есть'!EA$45:EA$53)</f>
        <v>0</v>
      </c>
      <c r="EA157">
        <f>SUMIF('Как есть'!$A$45:$A$53,Доп.расчеты!$A157,'Как есть'!EB$45:EB$53)</f>
        <v>0</v>
      </c>
      <c r="EB157">
        <f>SUMIF('Как есть'!$A$45:$A$53,Доп.расчеты!$A157,'Как есть'!EC$45:EC$53)</f>
        <v>0</v>
      </c>
      <c r="EC157">
        <f>SUMIF('Как есть'!$A$45:$A$53,Доп.расчеты!$A157,'Как есть'!ED$45:ED$53)</f>
        <v>0</v>
      </c>
      <c r="ED157">
        <f>SUMIF('Как есть'!$A$45:$A$53,Доп.расчеты!$A157,'Как есть'!EE$45:EE$53)</f>
        <v>0</v>
      </c>
      <c r="EE157">
        <f>SUMIF('Как есть'!$A$45:$A$53,Доп.расчеты!$A157,'Как есть'!EF$45:EF$53)</f>
        <v>0</v>
      </c>
      <c r="EF157">
        <f>SUMIF('Как есть'!$A$45:$A$53,Доп.расчеты!$A157,'Как есть'!EG$45:EG$53)</f>
        <v>0</v>
      </c>
      <c r="EG157">
        <f>SUMIF('Как есть'!$A$45:$A$53,Доп.расчеты!$A157,'Как есть'!EH$45:EH$53)</f>
        <v>0</v>
      </c>
      <c r="EH157">
        <f>SUMIF('Как есть'!$A$45:$A$53,Доп.расчеты!$A157,'Как есть'!EI$45:EI$53)</f>
        <v>0</v>
      </c>
      <c r="EI157">
        <f>SUMIF('Как есть'!$A$45:$A$53,Доп.расчеты!$A157,'Как есть'!EJ$45:EJ$53)</f>
        <v>0</v>
      </c>
      <c r="EJ157">
        <f>SUMIF('Как есть'!$A$45:$A$53,Доп.расчеты!$A157,'Как есть'!EK$45:EK$53)</f>
        <v>0</v>
      </c>
      <c r="EK157">
        <f>SUMIF('Как есть'!$A$45:$A$53,Доп.расчеты!$A157,'Как есть'!EL$45:EL$53)</f>
        <v>0</v>
      </c>
      <c r="EL157">
        <f>SUMIF('Как есть'!$A$45:$A$53,Доп.расчеты!$A157,'Как есть'!EM$45:EM$53)</f>
        <v>0</v>
      </c>
      <c r="EM157">
        <f>SUMIF('Как есть'!$A$45:$A$53,Доп.расчеты!$A157,'Как есть'!EN$45:EN$53)</f>
        <v>0</v>
      </c>
      <c r="EN157">
        <f>SUMIF('Как есть'!$A$45:$A$53,Доп.расчеты!$A157,'Как есть'!EO$45:EO$53)</f>
        <v>0</v>
      </c>
      <c r="EO157">
        <f>SUMIF('Как есть'!$A$45:$A$53,Доп.расчеты!$A157,'Как есть'!EP$45:EP$53)</f>
        <v>0</v>
      </c>
      <c r="EP157">
        <f>SUMIF('Как есть'!$A$45:$A$53,Доп.расчеты!$A157,'Как есть'!EQ$45:EQ$53)</f>
        <v>0</v>
      </c>
      <c r="EQ157">
        <f>SUMIF('Как есть'!$A$45:$A$53,Доп.расчеты!$A157,'Как есть'!ER$45:ER$53)</f>
        <v>0</v>
      </c>
      <c r="ER157">
        <f>SUMIF('Как есть'!$A$45:$A$53,Доп.расчеты!$A157,'Как есть'!ES$45:ES$53)</f>
        <v>0</v>
      </c>
      <c r="ES157">
        <f>SUMIF('Как есть'!$A$45:$A$53,Доп.расчеты!$A157,'Как есть'!ET$45:ET$53)</f>
        <v>0</v>
      </c>
      <c r="ET157">
        <f>SUMIF('Как есть'!$A$45:$A$53,Доп.расчеты!$A157,'Как есть'!EU$45:EU$53)</f>
        <v>0</v>
      </c>
      <c r="EU157">
        <f>SUMIF('Как есть'!$A$45:$A$53,Доп.расчеты!$A157,'Как есть'!EV$45:EV$53)</f>
        <v>0</v>
      </c>
      <c r="EV157">
        <f>SUMIF('Как есть'!$A$45:$A$53,Доп.расчеты!$A157,'Как есть'!EW$45:EW$53)</f>
        <v>0</v>
      </c>
      <c r="EW157">
        <f>SUMIF('Как есть'!$A$45:$A$53,Доп.расчеты!$A157,'Как есть'!EX$45:EX$53)</f>
        <v>0</v>
      </c>
      <c r="EX157">
        <f>SUMIF('Как есть'!$A$45:$A$53,Доп.расчеты!$A157,'Как есть'!EY$45:EY$53)</f>
        <v>0</v>
      </c>
      <c r="EY157">
        <f>SUMIF('Как есть'!$A$45:$A$53,Доп.расчеты!$A157,'Как есть'!EZ$45:EZ$53)</f>
        <v>0</v>
      </c>
      <c r="EZ157">
        <f>SUMIF('Как есть'!$A$45:$A$53,Доп.расчеты!$A157,'Как есть'!FA$45:FA$53)</f>
        <v>0</v>
      </c>
      <c r="FA157">
        <f>SUMIF('Как есть'!$A$45:$A$53,Доп.расчеты!$A157,'Как есть'!FB$45:FB$53)</f>
        <v>0</v>
      </c>
      <c r="FB157">
        <f>SUMIF('Как есть'!$A$45:$A$53,Доп.расчеты!$A157,'Как есть'!FC$45:FC$53)</f>
        <v>0</v>
      </c>
      <c r="FC157">
        <f>SUMIF('Как есть'!$A$45:$A$53,Доп.расчеты!$A157,'Как есть'!FD$45:FD$53)</f>
        <v>0</v>
      </c>
      <c r="FD157">
        <f>SUMIF('Как есть'!$A$45:$A$53,Доп.расчеты!$A157,'Как есть'!FE$45:FE$53)</f>
        <v>0</v>
      </c>
      <c r="FE157">
        <f>SUMIF('Как есть'!$A$45:$A$53,Доп.расчеты!$A157,'Как есть'!FF$45:FF$53)</f>
        <v>0</v>
      </c>
      <c r="FF157">
        <f>SUMIF('Как есть'!$A$45:$A$53,Доп.расчеты!$A157,'Как есть'!FG$45:FG$53)</f>
        <v>0</v>
      </c>
      <c r="FG157">
        <f>SUMIF('Как есть'!$A$45:$A$53,Доп.расчеты!$A157,'Как есть'!FH$45:FH$53)</f>
        <v>0</v>
      </c>
      <c r="FH157">
        <f>SUMIF('Как есть'!$A$45:$A$53,Доп.расчеты!$A157,'Как есть'!FI$45:FI$53)</f>
        <v>0</v>
      </c>
      <c r="FI157">
        <f>SUMIF('Как есть'!$A$45:$A$53,Доп.расчеты!$A157,'Как есть'!FJ$45:FJ$53)</f>
        <v>0</v>
      </c>
      <c r="FJ157">
        <f>SUMIF('Как есть'!$A$45:$A$53,Доп.расчеты!$A157,'Как есть'!FK$45:FK$53)</f>
        <v>0</v>
      </c>
      <c r="FK157">
        <f>SUMIF('Как есть'!$A$45:$A$53,Доп.расчеты!$A157,'Как есть'!FL$45:FL$53)</f>
        <v>0</v>
      </c>
      <c r="FL157">
        <f>SUMIF('Как есть'!$A$45:$A$53,Доп.расчеты!$A157,'Как есть'!FM$45:FM$53)</f>
        <v>0</v>
      </c>
      <c r="FM157">
        <f>SUMIF('Как есть'!$A$45:$A$53,Доп.расчеты!$A157,'Как есть'!FN$45:FN$53)</f>
        <v>0</v>
      </c>
      <c r="FN157">
        <f>SUMIF('Как есть'!$A$45:$A$53,Доп.расчеты!$A157,'Как есть'!FO$45:FO$53)</f>
        <v>0</v>
      </c>
      <c r="FO157">
        <f>SUMIF('Как есть'!$A$45:$A$53,Доп.расчеты!$A157,'Как есть'!FP$45:FP$53)</f>
        <v>0</v>
      </c>
      <c r="FP157">
        <f>SUMIF('Как есть'!$A$45:$A$53,Доп.расчеты!$A157,'Как есть'!FQ$45:FQ$53)</f>
        <v>0</v>
      </c>
      <c r="FQ157">
        <f>SUMIF('Как есть'!$A$45:$A$53,Доп.расчеты!$A157,'Как есть'!FR$45:FR$53)</f>
        <v>0</v>
      </c>
      <c r="FR157">
        <f>SUMIF('Как есть'!$A$45:$A$53,Доп.расчеты!$A157,'Как есть'!FS$45:FS$53)</f>
        <v>0</v>
      </c>
      <c r="FS157">
        <f>SUMIF('Как есть'!$A$45:$A$53,Доп.расчеты!$A157,'Как есть'!FT$45:FT$53)</f>
        <v>0</v>
      </c>
      <c r="FT157">
        <f>SUMIF('Как есть'!$A$45:$A$53,Доп.расчеты!$A157,'Как есть'!FU$45:FU$53)</f>
        <v>0</v>
      </c>
      <c r="FU157">
        <f>SUMIF('Как есть'!$A$45:$A$53,Доп.расчеты!$A157,'Как есть'!FV$45:FV$53)</f>
        <v>0</v>
      </c>
      <c r="FV157">
        <f>SUMIF('Как есть'!$A$45:$A$53,Доп.расчеты!$A157,'Как есть'!FW$45:FW$53)</f>
        <v>0</v>
      </c>
      <c r="FW157">
        <f>SUMIF('Как есть'!$A$45:$A$53,Доп.расчеты!$A157,'Как есть'!FX$45:FX$53)</f>
        <v>0</v>
      </c>
      <c r="FX157">
        <f>SUMIF('Как есть'!$A$45:$A$53,Доп.расчеты!$A157,'Как есть'!FY$45:FY$53)</f>
        <v>0</v>
      </c>
      <c r="FY157">
        <f>SUMIF('Как есть'!$A$45:$A$53,Доп.расчеты!$A157,'Как есть'!FZ$45:FZ$53)</f>
        <v>0</v>
      </c>
      <c r="FZ157">
        <f>SUMIF('Как есть'!$A$45:$A$53,Доп.расчеты!$A157,'Как есть'!GA$45:GA$53)</f>
        <v>0</v>
      </c>
      <c r="GA157">
        <f>SUMIF('Как есть'!$A$45:$A$53,Доп.расчеты!$A157,'Как есть'!GB$45:GB$53)</f>
        <v>0</v>
      </c>
      <c r="GB157">
        <f>SUMIF('Как есть'!$A$45:$A$53,Доп.расчеты!$A157,'Как есть'!GC$45:GC$53)</f>
        <v>0</v>
      </c>
      <c r="GC157">
        <f>SUMIF('Как есть'!$A$45:$A$53,Доп.расчеты!$A157,'Как есть'!GD$45:GD$53)</f>
        <v>0</v>
      </c>
      <c r="GD157">
        <f>SUMIF('Как есть'!$A$45:$A$53,Доп.расчеты!$A157,'Как есть'!GE$45:GE$53)</f>
        <v>0</v>
      </c>
      <c r="GE157">
        <f>SUMIF('Как есть'!$A$45:$A$53,Доп.расчеты!$A157,'Как есть'!GF$45:GF$53)</f>
        <v>0</v>
      </c>
      <c r="GF157">
        <f>SUMIF('Как есть'!$A$45:$A$53,Доп.расчеты!$A157,'Как есть'!GG$45:GG$53)</f>
        <v>0</v>
      </c>
      <c r="GG157">
        <f>SUMIF('Как есть'!$A$45:$A$53,Доп.расчеты!$A157,'Как есть'!GH$45:GH$53)</f>
        <v>0</v>
      </c>
      <c r="GH157">
        <f>SUMIF('Как есть'!$A$45:$A$53,Доп.расчеты!$A157,'Как есть'!GI$45:GI$53)</f>
        <v>0</v>
      </c>
      <c r="GI157">
        <f>SUMIF('Как есть'!$A$45:$A$53,Доп.расчеты!$A157,'Как есть'!GJ$45:GJ$53)</f>
        <v>0</v>
      </c>
      <c r="GJ157">
        <f>SUMIF('Как есть'!$A$45:$A$53,Доп.расчеты!$A157,'Как есть'!GK$45:GK$53)</f>
        <v>0</v>
      </c>
      <c r="GK157">
        <f>SUMIF('Как есть'!$A$45:$A$53,Доп.расчеты!$A157,'Как есть'!GL$45:GL$53)</f>
        <v>0</v>
      </c>
      <c r="GL157">
        <f>SUMIF('Как есть'!$A$45:$A$53,Доп.расчеты!$A157,'Как есть'!GM$45:GM$53)</f>
        <v>0</v>
      </c>
      <c r="GM157">
        <f>SUMIF('Как есть'!$A$45:$A$53,Доп.расчеты!$A157,'Как есть'!GN$45:GN$53)</f>
        <v>0</v>
      </c>
      <c r="GN157">
        <f>SUMIF('Как есть'!$A$45:$A$53,Доп.расчеты!$A157,'Как есть'!GO$45:GO$53)</f>
        <v>0</v>
      </c>
      <c r="GO157">
        <f>SUMIF('Как есть'!$A$45:$A$53,Доп.расчеты!$A157,'Как есть'!GP$45:GP$53)</f>
        <v>0</v>
      </c>
      <c r="GP157">
        <f>SUMIF('Как есть'!$A$45:$A$53,Доп.расчеты!$A157,'Как есть'!GQ$45:GQ$53)</f>
        <v>0</v>
      </c>
      <c r="GQ157">
        <f>SUMIF('Как есть'!$A$45:$A$53,Доп.расчеты!$A157,'Как есть'!GR$45:GR$53)</f>
        <v>0</v>
      </c>
      <c r="GR157">
        <f>SUMIF('Как есть'!$A$45:$A$53,Доп.расчеты!$A157,'Как есть'!GS$45:GS$53)</f>
        <v>0</v>
      </c>
      <c r="GS157">
        <f>SUMIF('Как есть'!$A$45:$A$53,Доп.расчеты!$A157,'Как есть'!GT$45:GT$53)</f>
        <v>0</v>
      </c>
      <c r="GT157">
        <f>SUMIF('Как есть'!$A$45:$A$53,Доп.расчеты!$A157,'Как есть'!GU$45:GU$53)</f>
        <v>0</v>
      </c>
    </row>
    <row r="158" spans="1:202" hidden="1" outlineLevel="1">
      <c r="A158" s="238" t="s">
        <v>94</v>
      </c>
      <c r="B158">
        <f>SUMIF('Как есть'!$A$45:$A$53,Доп.расчеты!$A158,'Как есть'!C$45:C$53)</f>
        <v>0</v>
      </c>
      <c r="C158">
        <f>SUMIF('Как есть'!$A$45:$A$53,Доп.расчеты!$A158,'Как есть'!D$45:D$53)</f>
        <v>0</v>
      </c>
      <c r="D158">
        <f>SUMIF('Как есть'!$A$45:$A$53,Доп.расчеты!$A158,'Как есть'!E$45:E$53)</f>
        <v>0</v>
      </c>
      <c r="E158">
        <f>SUMIF('Как есть'!$A$45:$A$53,Доп.расчеты!$A158,'Как есть'!F$45:F$53)</f>
        <v>0</v>
      </c>
      <c r="F158">
        <f>SUMIF('Как есть'!$A$45:$A$53,Доп.расчеты!$A158,'Как есть'!G$45:G$53)</f>
        <v>0</v>
      </c>
      <c r="G158">
        <f>SUMIF('Как есть'!$A$45:$A$53,Доп.расчеты!$A158,'Как есть'!H$45:H$53)</f>
        <v>0</v>
      </c>
      <c r="H158">
        <f>SUMIF('Как есть'!$A$45:$A$53,Доп.расчеты!$A158,'Как есть'!I$45:I$53)</f>
        <v>0</v>
      </c>
      <c r="I158">
        <f>SUMIF('Как есть'!$A$45:$A$53,Доп.расчеты!$A158,'Как есть'!J$45:J$53)</f>
        <v>0</v>
      </c>
      <c r="J158">
        <f>SUMIF('Как есть'!$A$45:$A$53,Доп.расчеты!$A158,'Как есть'!K$45:K$53)</f>
        <v>0</v>
      </c>
      <c r="K158">
        <f>SUMIF('Как есть'!$A$45:$A$53,Доп.расчеты!$A158,'Как есть'!L$45:L$53)</f>
        <v>0</v>
      </c>
      <c r="L158">
        <f>SUMIF('Как есть'!$A$45:$A$53,Доп.расчеты!$A158,'Как есть'!M$45:M$53)</f>
        <v>0</v>
      </c>
      <c r="M158">
        <f>SUMIF('Как есть'!$A$45:$A$53,Доп.расчеты!$A158,'Как есть'!N$45:N$53)</f>
        <v>0</v>
      </c>
      <c r="N158">
        <f>SUMIF('Как есть'!$A$45:$A$53,Доп.расчеты!$A158,'Как есть'!O$45:O$53)</f>
        <v>0</v>
      </c>
      <c r="O158">
        <f>SUMIF('Как есть'!$A$45:$A$53,Доп.расчеты!$A158,'Как есть'!P$45:P$53)</f>
        <v>0</v>
      </c>
      <c r="P158">
        <f>SUMIF('Как есть'!$A$45:$A$53,Доп.расчеты!$A158,'Как есть'!Q$45:Q$53)</f>
        <v>0</v>
      </c>
      <c r="Q158">
        <f>SUMIF('Как есть'!$A$45:$A$53,Доп.расчеты!$A158,'Как есть'!R$45:R$53)</f>
        <v>0</v>
      </c>
      <c r="R158">
        <f>SUMIF('Как есть'!$A$45:$A$53,Доп.расчеты!$A158,'Как есть'!S$45:S$53)</f>
        <v>0</v>
      </c>
      <c r="S158">
        <f>SUMIF('Как есть'!$A$45:$A$53,Доп.расчеты!$A158,'Как есть'!T$45:T$53)</f>
        <v>0</v>
      </c>
      <c r="T158">
        <f>SUMIF('Как есть'!$A$45:$A$53,Доп.расчеты!$A158,'Как есть'!U$45:U$53)</f>
        <v>0</v>
      </c>
      <c r="U158">
        <f>SUMIF('Как есть'!$A$45:$A$53,Доп.расчеты!$A158,'Как есть'!V$45:V$53)</f>
        <v>0</v>
      </c>
      <c r="V158">
        <f>SUMIF('Как есть'!$A$45:$A$53,Доп.расчеты!$A158,'Как есть'!W$45:W$53)</f>
        <v>0</v>
      </c>
      <c r="W158">
        <f>SUMIF('Как есть'!$A$45:$A$53,Доп.расчеты!$A158,'Как есть'!X$45:X$53)</f>
        <v>0</v>
      </c>
      <c r="X158">
        <f>SUMIF('Как есть'!$A$45:$A$53,Доп.расчеты!$A158,'Как есть'!Y$45:Y$53)</f>
        <v>0</v>
      </c>
      <c r="Y158">
        <f>SUMIF('Как есть'!$A$45:$A$53,Доп.расчеты!$A158,'Как есть'!Z$45:Z$53)</f>
        <v>0</v>
      </c>
      <c r="Z158">
        <f>SUMIF('Как есть'!$A$45:$A$53,Доп.расчеты!$A158,'Как есть'!AA$45:AA$53)</f>
        <v>0</v>
      </c>
      <c r="AA158">
        <f>SUMIF('Как есть'!$A$45:$A$53,Доп.расчеты!$A158,'Как есть'!AB$45:AB$53)</f>
        <v>0</v>
      </c>
      <c r="AB158">
        <f>SUMIF('Как есть'!$A$45:$A$53,Доп.расчеты!$A158,'Как есть'!AC$45:AC$53)</f>
        <v>0</v>
      </c>
      <c r="AC158">
        <f>SUMIF('Как есть'!$A$45:$A$53,Доп.расчеты!$A158,'Как есть'!AD$45:AD$53)</f>
        <v>0</v>
      </c>
      <c r="AD158">
        <f>SUMIF('Как есть'!$A$45:$A$53,Доп.расчеты!$A158,'Как есть'!AE$45:AE$53)</f>
        <v>0</v>
      </c>
      <c r="AE158">
        <f>SUMIF('Как есть'!$A$45:$A$53,Доп.расчеты!$A158,'Как есть'!AF$45:AF$53)</f>
        <v>0</v>
      </c>
      <c r="AF158">
        <f>SUMIF('Как есть'!$A$45:$A$53,Доп.расчеты!$A158,'Как есть'!AG$45:AG$53)</f>
        <v>0</v>
      </c>
      <c r="AG158">
        <f>SUMIF('Как есть'!$A$45:$A$53,Доп.расчеты!$A158,'Как есть'!AH$45:AH$53)</f>
        <v>0</v>
      </c>
      <c r="AH158">
        <f>SUMIF('Как есть'!$A$45:$A$53,Доп.расчеты!$A158,'Как есть'!AI$45:AI$53)</f>
        <v>0</v>
      </c>
      <c r="AI158">
        <f>SUMIF('Как есть'!$A$45:$A$53,Доп.расчеты!$A158,'Как есть'!AJ$45:AJ$53)</f>
        <v>0</v>
      </c>
      <c r="AJ158">
        <f>SUMIF('Как есть'!$A$45:$A$53,Доп.расчеты!$A158,'Как есть'!AK$45:AK$53)</f>
        <v>0</v>
      </c>
      <c r="AK158">
        <f>SUMIF('Как есть'!$A$45:$A$53,Доп.расчеты!$A158,'Как есть'!AL$45:AL$53)</f>
        <v>0</v>
      </c>
      <c r="AL158">
        <f>SUMIF('Как есть'!$A$45:$A$53,Доп.расчеты!$A158,'Как есть'!AM$45:AM$53)</f>
        <v>0</v>
      </c>
      <c r="AM158">
        <f>SUMIF('Как есть'!$A$45:$A$53,Доп.расчеты!$A158,'Как есть'!AN$45:AN$53)</f>
        <v>0</v>
      </c>
      <c r="AN158">
        <f>SUMIF('Как есть'!$A$45:$A$53,Доп.расчеты!$A158,'Как есть'!AO$45:AO$53)</f>
        <v>0</v>
      </c>
      <c r="AO158">
        <f>SUMIF('Как есть'!$A$45:$A$53,Доп.расчеты!$A158,'Как есть'!AP$45:AP$53)</f>
        <v>0</v>
      </c>
      <c r="AP158">
        <f>SUMIF('Как есть'!$A$45:$A$53,Доп.расчеты!$A158,'Как есть'!AQ$45:AQ$53)</f>
        <v>0</v>
      </c>
      <c r="AQ158">
        <f>SUMIF('Как есть'!$A$45:$A$53,Доп.расчеты!$A158,'Как есть'!AR$45:AR$53)</f>
        <v>0</v>
      </c>
      <c r="AR158">
        <f>SUMIF('Как есть'!$A$45:$A$53,Доп.расчеты!$A158,'Как есть'!AS$45:AS$53)</f>
        <v>0</v>
      </c>
      <c r="AS158">
        <f>SUMIF('Как есть'!$A$45:$A$53,Доп.расчеты!$A158,'Как есть'!AT$45:AT$53)</f>
        <v>0</v>
      </c>
      <c r="AT158">
        <f>SUMIF('Как есть'!$A$45:$A$53,Доп.расчеты!$A158,'Как есть'!AU$45:AU$53)</f>
        <v>0</v>
      </c>
      <c r="AU158">
        <f>SUMIF('Как есть'!$A$45:$A$53,Доп.расчеты!$A158,'Как есть'!AV$45:AV$53)</f>
        <v>0</v>
      </c>
      <c r="AV158">
        <f>SUMIF('Как есть'!$A$45:$A$53,Доп.расчеты!$A158,'Как есть'!AW$45:AW$53)</f>
        <v>0</v>
      </c>
      <c r="AW158">
        <f>SUMIF('Как есть'!$A$45:$A$53,Доп.расчеты!$A158,'Как есть'!AX$45:AX$53)</f>
        <v>0</v>
      </c>
      <c r="AX158">
        <f>SUMIF('Как есть'!$A$45:$A$53,Доп.расчеты!$A158,'Как есть'!AY$45:AY$53)</f>
        <v>0</v>
      </c>
      <c r="AY158">
        <f>SUMIF('Как есть'!$A$45:$A$53,Доп.расчеты!$A158,'Как есть'!AZ$45:AZ$53)</f>
        <v>0</v>
      </c>
      <c r="AZ158">
        <f>SUMIF('Как есть'!$A$45:$A$53,Доп.расчеты!$A158,'Как есть'!BA$45:BA$53)</f>
        <v>0</v>
      </c>
      <c r="BA158">
        <f>SUMIF('Как есть'!$A$45:$A$53,Доп.расчеты!$A158,'Как есть'!BB$45:BB$53)</f>
        <v>0</v>
      </c>
      <c r="BB158">
        <f>SUMIF('Как есть'!$A$45:$A$53,Доп.расчеты!$A158,'Как есть'!BC$45:BC$53)</f>
        <v>0</v>
      </c>
      <c r="BC158">
        <f>SUMIF('Как есть'!$A$45:$A$53,Доп.расчеты!$A158,'Как есть'!BD$45:BD$53)</f>
        <v>0</v>
      </c>
      <c r="BD158">
        <f>SUMIF('Как есть'!$A$45:$A$53,Доп.расчеты!$A158,'Как есть'!BE$45:BE$53)</f>
        <v>0</v>
      </c>
      <c r="BE158">
        <f>SUMIF('Как есть'!$A$45:$A$53,Доп.расчеты!$A158,'Как есть'!BF$45:BF$53)</f>
        <v>0</v>
      </c>
      <c r="BF158">
        <f>SUMIF('Как есть'!$A$45:$A$53,Доп.расчеты!$A158,'Как есть'!BG$45:BG$53)</f>
        <v>0</v>
      </c>
      <c r="BG158">
        <f>SUMIF('Как есть'!$A$45:$A$53,Доп.расчеты!$A158,'Как есть'!BH$45:BH$53)</f>
        <v>0</v>
      </c>
      <c r="BH158">
        <f>SUMIF('Как есть'!$A$45:$A$53,Доп.расчеты!$A158,'Как есть'!BI$45:BI$53)</f>
        <v>0</v>
      </c>
      <c r="BI158">
        <f>SUMIF('Как есть'!$A$45:$A$53,Доп.расчеты!$A158,'Как есть'!BJ$45:BJ$53)</f>
        <v>0</v>
      </c>
      <c r="BJ158">
        <f>SUMIF('Как есть'!$A$45:$A$53,Доп.расчеты!$A158,'Как есть'!BK$45:BK$53)</f>
        <v>0</v>
      </c>
      <c r="BK158">
        <f>SUMIF('Как есть'!$A$45:$A$53,Доп.расчеты!$A158,'Как есть'!BL$45:BL$53)</f>
        <v>0</v>
      </c>
      <c r="BL158">
        <f>SUMIF('Как есть'!$A$45:$A$53,Доп.расчеты!$A158,'Как есть'!BM$45:BM$53)</f>
        <v>0</v>
      </c>
      <c r="BM158">
        <f>SUMIF('Как есть'!$A$45:$A$53,Доп.расчеты!$A158,'Как есть'!BN$45:BN$53)</f>
        <v>0</v>
      </c>
      <c r="BN158">
        <f>SUMIF('Как есть'!$A$45:$A$53,Доп.расчеты!$A158,'Как есть'!BO$45:BO$53)</f>
        <v>0</v>
      </c>
      <c r="BO158">
        <f>SUMIF('Как есть'!$A$45:$A$53,Доп.расчеты!$A158,'Как есть'!BP$45:BP$53)</f>
        <v>0</v>
      </c>
      <c r="BP158">
        <f>SUMIF('Как есть'!$A$45:$A$53,Доп.расчеты!$A158,'Как есть'!BQ$45:BQ$53)</f>
        <v>0</v>
      </c>
      <c r="BQ158">
        <f>SUMIF('Как есть'!$A$45:$A$53,Доп.расчеты!$A158,'Как есть'!BR$45:BR$53)</f>
        <v>0</v>
      </c>
      <c r="BR158">
        <f>SUMIF('Как есть'!$A$45:$A$53,Доп.расчеты!$A158,'Как есть'!BS$45:BS$53)</f>
        <v>0</v>
      </c>
      <c r="BS158">
        <f>SUMIF('Как есть'!$A$45:$A$53,Доп.расчеты!$A158,'Как есть'!BT$45:BT$53)</f>
        <v>0</v>
      </c>
      <c r="BT158">
        <f>SUMIF('Как есть'!$A$45:$A$53,Доп.расчеты!$A158,'Как есть'!BU$45:BU$53)</f>
        <v>0</v>
      </c>
      <c r="BU158">
        <f>SUMIF('Как есть'!$A$45:$A$53,Доп.расчеты!$A158,'Как есть'!BV$45:BV$53)</f>
        <v>0</v>
      </c>
      <c r="BV158">
        <f>SUMIF('Как есть'!$A$45:$A$53,Доп.расчеты!$A158,'Как есть'!BW$45:BW$53)</f>
        <v>0</v>
      </c>
      <c r="BW158">
        <f>SUMIF('Как есть'!$A$45:$A$53,Доп.расчеты!$A158,'Как есть'!BX$45:BX$53)</f>
        <v>0</v>
      </c>
      <c r="BX158">
        <f>SUMIF('Как есть'!$A$45:$A$53,Доп.расчеты!$A158,'Как есть'!BY$45:BY$53)</f>
        <v>0</v>
      </c>
      <c r="BY158">
        <f>SUMIF('Как есть'!$A$45:$A$53,Доп.расчеты!$A158,'Как есть'!BZ$45:BZ$53)</f>
        <v>0</v>
      </c>
      <c r="BZ158">
        <f>SUMIF('Как есть'!$A$45:$A$53,Доп.расчеты!$A158,'Как есть'!CA$45:CA$53)</f>
        <v>0</v>
      </c>
      <c r="CA158">
        <f>SUMIF('Как есть'!$A$45:$A$53,Доп.расчеты!$A158,'Как есть'!CB$45:CB$53)</f>
        <v>0</v>
      </c>
      <c r="CB158">
        <f>SUMIF('Как есть'!$A$45:$A$53,Доп.расчеты!$A158,'Как есть'!CC$45:CC$53)</f>
        <v>0</v>
      </c>
      <c r="CC158">
        <f>SUMIF('Как есть'!$A$45:$A$53,Доп.расчеты!$A158,'Как есть'!CD$45:CD$53)</f>
        <v>0</v>
      </c>
      <c r="CD158">
        <f>SUMIF('Как есть'!$A$45:$A$53,Доп.расчеты!$A158,'Как есть'!CE$45:CE$53)</f>
        <v>0</v>
      </c>
      <c r="CE158">
        <f>SUMIF('Как есть'!$A$45:$A$53,Доп.расчеты!$A158,'Как есть'!CF$45:CF$53)</f>
        <v>0</v>
      </c>
      <c r="CF158">
        <f>SUMIF('Как есть'!$A$45:$A$53,Доп.расчеты!$A158,'Как есть'!CG$45:CG$53)</f>
        <v>0</v>
      </c>
      <c r="CG158">
        <f>SUMIF('Как есть'!$A$45:$A$53,Доп.расчеты!$A158,'Как есть'!CH$45:CH$53)</f>
        <v>0</v>
      </c>
      <c r="CH158">
        <f>SUMIF('Как есть'!$A$45:$A$53,Доп.расчеты!$A158,'Как есть'!CI$45:CI$53)</f>
        <v>0</v>
      </c>
      <c r="CI158">
        <f>SUMIF('Как есть'!$A$45:$A$53,Доп.расчеты!$A158,'Как есть'!CJ$45:CJ$53)</f>
        <v>0</v>
      </c>
      <c r="CJ158">
        <f>SUMIF('Как есть'!$A$45:$A$53,Доп.расчеты!$A158,'Как есть'!CK$45:CK$53)</f>
        <v>0</v>
      </c>
      <c r="CK158">
        <f>SUMIF('Как есть'!$A$45:$A$53,Доп.расчеты!$A158,'Как есть'!CL$45:CL$53)</f>
        <v>0</v>
      </c>
      <c r="CL158">
        <f>SUMIF('Как есть'!$A$45:$A$53,Доп.расчеты!$A158,'Как есть'!CM$45:CM$53)</f>
        <v>0</v>
      </c>
      <c r="CM158">
        <f>SUMIF('Как есть'!$A$45:$A$53,Доп.расчеты!$A158,'Как есть'!CN$45:CN$53)</f>
        <v>0</v>
      </c>
      <c r="CN158">
        <f>SUMIF('Как есть'!$A$45:$A$53,Доп.расчеты!$A158,'Как есть'!CO$45:CO$53)</f>
        <v>0</v>
      </c>
      <c r="CO158">
        <f>SUMIF('Как есть'!$A$45:$A$53,Доп.расчеты!$A158,'Как есть'!CP$45:CP$53)</f>
        <v>0</v>
      </c>
      <c r="CP158">
        <f>SUMIF('Как есть'!$A$45:$A$53,Доп.расчеты!$A158,'Как есть'!CQ$45:CQ$53)</f>
        <v>0</v>
      </c>
      <c r="CQ158">
        <f>SUMIF('Как есть'!$A$45:$A$53,Доп.расчеты!$A158,'Как есть'!CR$45:CR$53)</f>
        <v>0</v>
      </c>
      <c r="CR158">
        <f>SUMIF('Как есть'!$A$45:$A$53,Доп.расчеты!$A158,'Как есть'!CS$45:CS$53)</f>
        <v>0</v>
      </c>
      <c r="CS158">
        <f>SUMIF('Как есть'!$A$45:$A$53,Доп.расчеты!$A158,'Как есть'!CT$45:CT$53)</f>
        <v>0</v>
      </c>
      <c r="CT158">
        <f>SUMIF('Как есть'!$A$45:$A$53,Доп.расчеты!$A158,'Как есть'!CU$45:CU$53)</f>
        <v>0</v>
      </c>
      <c r="CU158">
        <f>SUMIF('Как есть'!$A$45:$A$53,Доп.расчеты!$A158,'Как есть'!CV$45:CV$53)</f>
        <v>0</v>
      </c>
      <c r="CV158">
        <f>SUMIF('Как есть'!$A$45:$A$53,Доп.расчеты!$A158,'Как есть'!CW$45:CW$53)</f>
        <v>0</v>
      </c>
      <c r="CW158">
        <f>SUMIF('Как есть'!$A$45:$A$53,Доп.расчеты!$A158,'Как есть'!CX$45:CX$53)</f>
        <v>0</v>
      </c>
      <c r="CX158">
        <f>SUMIF('Как есть'!$A$45:$A$53,Доп.расчеты!$A158,'Как есть'!CY$45:CY$53)</f>
        <v>0</v>
      </c>
      <c r="CY158">
        <f>SUMIF('Как есть'!$A$45:$A$53,Доп.расчеты!$A158,'Как есть'!CZ$45:CZ$53)</f>
        <v>0</v>
      </c>
      <c r="CZ158">
        <f>SUMIF('Как есть'!$A$45:$A$53,Доп.расчеты!$A158,'Как есть'!DA$45:DA$53)</f>
        <v>0</v>
      </c>
      <c r="DA158">
        <f>SUMIF('Как есть'!$A$45:$A$53,Доп.расчеты!$A158,'Как есть'!DB$45:DB$53)</f>
        <v>0</v>
      </c>
      <c r="DB158">
        <f>SUMIF('Как есть'!$A$45:$A$53,Доп.расчеты!$A158,'Как есть'!DC$45:DC$53)</f>
        <v>0</v>
      </c>
      <c r="DC158">
        <f>SUMIF('Как есть'!$A$45:$A$53,Доп.расчеты!$A158,'Как есть'!DD$45:DD$53)</f>
        <v>0</v>
      </c>
      <c r="DD158">
        <f>SUMIF('Как есть'!$A$45:$A$53,Доп.расчеты!$A158,'Как есть'!DE$45:DE$53)</f>
        <v>0</v>
      </c>
      <c r="DE158">
        <f>SUMIF('Как есть'!$A$45:$A$53,Доп.расчеты!$A158,'Как есть'!DF$45:DF$53)</f>
        <v>0</v>
      </c>
      <c r="DF158">
        <f>SUMIF('Как есть'!$A$45:$A$53,Доп.расчеты!$A158,'Как есть'!DG$45:DG$53)</f>
        <v>0</v>
      </c>
      <c r="DG158">
        <f>SUMIF('Как есть'!$A$45:$A$53,Доп.расчеты!$A158,'Как есть'!DH$45:DH$53)</f>
        <v>0</v>
      </c>
      <c r="DH158">
        <f>SUMIF('Как есть'!$A$45:$A$53,Доп.расчеты!$A158,'Как есть'!DI$45:DI$53)</f>
        <v>0</v>
      </c>
      <c r="DI158">
        <f>SUMIF('Как есть'!$A$45:$A$53,Доп.расчеты!$A158,'Как есть'!DJ$45:DJ$53)</f>
        <v>0</v>
      </c>
      <c r="DJ158">
        <f>SUMIF('Как есть'!$A$45:$A$53,Доп.расчеты!$A158,'Как есть'!DK$45:DK$53)</f>
        <v>0</v>
      </c>
      <c r="DK158">
        <f>SUMIF('Как есть'!$A$45:$A$53,Доп.расчеты!$A158,'Как есть'!DL$45:DL$53)</f>
        <v>0</v>
      </c>
      <c r="DL158">
        <f>SUMIF('Как есть'!$A$45:$A$53,Доп.расчеты!$A158,'Как есть'!DM$45:DM$53)</f>
        <v>0</v>
      </c>
      <c r="DM158">
        <f>SUMIF('Как есть'!$A$45:$A$53,Доп.расчеты!$A158,'Как есть'!DN$45:DN$53)</f>
        <v>0</v>
      </c>
      <c r="DN158">
        <f>SUMIF('Как есть'!$A$45:$A$53,Доп.расчеты!$A158,'Как есть'!DO$45:DO$53)</f>
        <v>0</v>
      </c>
      <c r="DO158">
        <f>SUMIF('Как есть'!$A$45:$A$53,Доп.расчеты!$A158,'Как есть'!DP$45:DP$53)</f>
        <v>0</v>
      </c>
      <c r="DP158">
        <f>SUMIF('Как есть'!$A$45:$A$53,Доп.расчеты!$A158,'Как есть'!DQ$45:DQ$53)</f>
        <v>0</v>
      </c>
      <c r="DQ158">
        <f>SUMIF('Как есть'!$A$45:$A$53,Доп.расчеты!$A158,'Как есть'!DR$45:DR$53)</f>
        <v>0</v>
      </c>
      <c r="DR158">
        <f>SUMIF('Как есть'!$A$45:$A$53,Доп.расчеты!$A158,'Как есть'!DS$45:DS$53)</f>
        <v>0</v>
      </c>
      <c r="DS158">
        <f>SUMIF('Как есть'!$A$45:$A$53,Доп.расчеты!$A158,'Как есть'!DT$45:DT$53)</f>
        <v>0</v>
      </c>
      <c r="DT158">
        <f>SUMIF('Как есть'!$A$45:$A$53,Доп.расчеты!$A158,'Как есть'!DU$45:DU$53)</f>
        <v>0</v>
      </c>
      <c r="DU158">
        <f>SUMIF('Как есть'!$A$45:$A$53,Доп.расчеты!$A158,'Как есть'!DV$45:DV$53)</f>
        <v>0</v>
      </c>
      <c r="DV158">
        <f>SUMIF('Как есть'!$A$45:$A$53,Доп.расчеты!$A158,'Как есть'!DW$45:DW$53)</f>
        <v>0</v>
      </c>
      <c r="DW158">
        <f>SUMIF('Как есть'!$A$45:$A$53,Доп.расчеты!$A158,'Как есть'!DX$45:DX$53)</f>
        <v>0</v>
      </c>
      <c r="DX158">
        <f>SUMIF('Как есть'!$A$45:$A$53,Доп.расчеты!$A158,'Как есть'!DY$45:DY$53)</f>
        <v>0</v>
      </c>
      <c r="DY158">
        <f>SUMIF('Как есть'!$A$45:$A$53,Доп.расчеты!$A158,'Как есть'!DZ$45:DZ$53)</f>
        <v>0</v>
      </c>
      <c r="DZ158">
        <f>SUMIF('Как есть'!$A$45:$A$53,Доп.расчеты!$A158,'Как есть'!EA$45:EA$53)</f>
        <v>0</v>
      </c>
      <c r="EA158">
        <f>SUMIF('Как есть'!$A$45:$A$53,Доп.расчеты!$A158,'Как есть'!EB$45:EB$53)</f>
        <v>0</v>
      </c>
      <c r="EB158">
        <f>SUMIF('Как есть'!$A$45:$A$53,Доп.расчеты!$A158,'Как есть'!EC$45:EC$53)</f>
        <v>0</v>
      </c>
      <c r="EC158">
        <f>SUMIF('Как есть'!$A$45:$A$53,Доп.расчеты!$A158,'Как есть'!ED$45:ED$53)</f>
        <v>0</v>
      </c>
      <c r="ED158">
        <f>SUMIF('Как есть'!$A$45:$A$53,Доп.расчеты!$A158,'Как есть'!EE$45:EE$53)</f>
        <v>0</v>
      </c>
      <c r="EE158">
        <f>SUMIF('Как есть'!$A$45:$A$53,Доп.расчеты!$A158,'Как есть'!EF$45:EF$53)</f>
        <v>0</v>
      </c>
      <c r="EF158">
        <f>SUMIF('Как есть'!$A$45:$A$53,Доп.расчеты!$A158,'Как есть'!EG$45:EG$53)</f>
        <v>0</v>
      </c>
      <c r="EG158">
        <f>SUMIF('Как есть'!$A$45:$A$53,Доп.расчеты!$A158,'Как есть'!EH$45:EH$53)</f>
        <v>0</v>
      </c>
      <c r="EH158">
        <f>SUMIF('Как есть'!$A$45:$A$53,Доп.расчеты!$A158,'Как есть'!EI$45:EI$53)</f>
        <v>0</v>
      </c>
      <c r="EI158">
        <f>SUMIF('Как есть'!$A$45:$A$53,Доп.расчеты!$A158,'Как есть'!EJ$45:EJ$53)</f>
        <v>0</v>
      </c>
      <c r="EJ158">
        <f>SUMIF('Как есть'!$A$45:$A$53,Доп.расчеты!$A158,'Как есть'!EK$45:EK$53)</f>
        <v>0</v>
      </c>
      <c r="EK158">
        <f>SUMIF('Как есть'!$A$45:$A$53,Доп.расчеты!$A158,'Как есть'!EL$45:EL$53)</f>
        <v>0</v>
      </c>
      <c r="EL158">
        <f>SUMIF('Как есть'!$A$45:$A$53,Доп.расчеты!$A158,'Как есть'!EM$45:EM$53)</f>
        <v>0</v>
      </c>
      <c r="EM158">
        <f>SUMIF('Как есть'!$A$45:$A$53,Доп.расчеты!$A158,'Как есть'!EN$45:EN$53)</f>
        <v>0</v>
      </c>
      <c r="EN158">
        <f>SUMIF('Как есть'!$A$45:$A$53,Доп.расчеты!$A158,'Как есть'!EO$45:EO$53)</f>
        <v>0</v>
      </c>
      <c r="EO158">
        <f>SUMIF('Как есть'!$A$45:$A$53,Доп.расчеты!$A158,'Как есть'!EP$45:EP$53)</f>
        <v>0</v>
      </c>
      <c r="EP158">
        <f>SUMIF('Как есть'!$A$45:$A$53,Доп.расчеты!$A158,'Как есть'!EQ$45:EQ$53)</f>
        <v>0</v>
      </c>
      <c r="EQ158">
        <f>SUMIF('Как есть'!$A$45:$A$53,Доп.расчеты!$A158,'Как есть'!ER$45:ER$53)</f>
        <v>0</v>
      </c>
      <c r="ER158">
        <f>SUMIF('Как есть'!$A$45:$A$53,Доп.расчеты!$A158,'Как есть'!ES$45:ES$53)</f>
        <v>0</v>
      </c>
      <c r="ES158">
        <f>SUMIF('Как есть'!$A$45:$A$53,Доп.расчеты!$A158,'Как есть'!ET$45:ET$53)</f>
        <v>0</v>
      </c>
      <c r="ET158">
        <f>SUMIF('Как есть'!$A$45:$A$53,Доп.расчеты!$A158,'Как есть'!EU$45:EU$53)</f>
        <v>0</v>
      </c>
      <c r="EU158">
        <f>SUMIF('Как есть'!$A$45:$A$53,Доп.расчеты!$A158,'Как есть'!EV$45:EV$53)</f>
        <v>0</v>
      </c>
      <c r="EV158">
        <f>SUMIF('Как есть'!$A$45:$A$53,Доп.расчеты!$A158,'Как есть'!EW$45:EW$53)</f>
        <v>0</v>
      </c>
      <c r="EW158">
        <f>SUMIF('Как есть'!$A$45:$A$53,Доп.расчеты!$A158,'Как есть'!EX$45:EX$53)</f>
        <v>0</v>
      </c>
      <c r="EX158">
        <f>SUMIF('Как есть'!$A$45:$A$53,Доп.расчеты!$A158,'Как есть'!EY$45:EY$53)</f>
        <v>0</v>
      </c>
      <c r="EY158">
        <f>SUMIF('Как есть'!$A$45:$A$53,Доп.расчеты!$A158,'Как есть'!EZ$45:EZ$53)</f>
        <v>0</v>
      </c>
      <c r="EZ158">
        <f>SUMIF('Как есть'!$A$45:$A$53,Доп.расчеты!$A158,'Как есть'!FA$45:FA$53)</f>
        <v>0</v>
      </c>
      <c r="FA158">
        <f>SUMIF('Как есть'!$A$45:$A$53,Доп.расчеты!$A158,'Как есть'!FB$45:FB$53)</f>
        <v>0</v>
      </c>
      <c r="FB158">
        <f>SUMIF('Как есть'!$A$45:$A$53,Доп.расчеты!$A158,'Как есть'!FC$45:FC$53)</f>
        <v>0</v>
      </c>
      <c r="FC158">
        <f>SUMIF('Как есть'!$A$45:$A$53,Доп.расчеты!$A158,'Как есть'!FD$45:FD$53)</f>
        <v>0</v>
      </c>
      <c r="FD158">
        <f>SUMIF('Как есть'!$A$45:$A$53,Доп.расчеты!$A158,'Как есть'!FE$45:FE$53)</f>
        <v>0</v>
      </c>
      <c r="FE158">
        <f>SUMIF('Как есть'!$A$45:$A$53,Доп.расчеты!$A158,'Как есть'!FF$45:FF$53)</f>
        <v>0</v>
      </c>
      <c r="FF158">
        <f>SUMIF('Как есть'!$A$45:$A$53,Доп.расчеты!$A158,'Как есть'!FG$45:FG$53)</f>
        <v>0</v>
      </c>
      <c r="FG158">
        <f>SUMIF('Как есть'!$A$45:$A$53,Доп.расчеты!$A158,'Как есть'!FH$45:FH$53)</f>
        <v>0</v>
      </c>
      <c r="FH158">
        <f>SUMIF('Как есть'!$A$45:$A$53,Доп.расчеты!$A158,'Как есть'!FI$45:FI$53)</f>
        <v>0</v>
      </c>
      <c r="FI158">
        <f>SUMIF('Как есть'!$A$45:$A$53,Доп.расчеты!$A158,'Как есть'!FJ$45:FJ$53)</f>
        <v>0</v>
      </c>
      <c r="FJ158">
        <f>SUMIF('Как есть'!$A$45:$A$53,Доп.расчеты!$A158,'Как есть'!FK$45:FK$53)</f>
        <v>0</v>
      </c>
      <c r="FK158">
        <f>SUMIF('Как есть'!$A$45:$A$53,Доп.расчеты!$A158,'Как есть'!FL$45:FL$53)</f>
        <v>0</v>
      </c>
      <c r="FL158">
        <f>SUMIF('Как есть'!$A$45:$A$53,Доп.расчеты!$A158,'Как есть'!FM$45:FM$53)</f>
        <v>0</v>
      </c>
      <c r="FM158">
        <f>SUMIF('Как есть'!$A$45:$A$53,Доп.расчеты!$A158,'Как есть'!FN$45:FN$53)</f>
        <v>0</v>
      </c>
      <c r="FN158">
        <f>SUMIF('Как есть'!$A$45:$A$53,Доп.расчеты!$A158,'Как есть'!FO$45:FO$53)</f>
        <v>0</v>
      </c>
      <c r="FO158">
        <f>SUMIF('Как есть'!$A$45:$A$53,Доп.расчеты!$A158,'Как есть'!FP$45:FP$53)</f>
        <v>0</v>
      </c>
      <c r="FP158">
        <f>SUMIF('Как есть'!$A$45:$A$53,Доп.расчеты!$A158,'Как есть'!FQ$45:FQ$53)</f>
        <v>0</v>
      </c>
      <c r="FQ158">
        <f>SUMIF('Как есть'!$A$45:$A$53,Доп.расчеты!$A158,'Как есть'!FR$45:FR$53)</f>
        <v>0</v>
      </c>
      <c r="FR158">
        <f>SUMIF('Как есть'!$A$45:$A$53,Доп.расчеты!$A158,'Как есть'!FS$45:FS$53)</f>
        <v>0</v>
      </c>
      <c r="FS158">
        <f>SUMIF('Как есть'!$A$45:$A$53,Доп.расчеты!$A158,'Как есть'!FT$45:FT$53)</f>
        <v>0</v>
      </c>
      <c r="FT158">
        <f>SUMIF('Как есть'!$A$45:$A$53,Доп.расчеты!$A158,'Как есть'!FU$45:FU$53)</f>
        <v>0</v>
      </c>
      <c r="FU158">
        <f>SUMIF('Как есть'!$A$45:$A$53,Доп.расчеты!$A158,'Как есть'!FV$45:FV$53)</f>
        <v>0</v>
      </c>
      <c r="FV158">
        <f>SUMIF('Как есть'!$A$45:$A$53,Доп.расчеты!$A158,'Как есть'!FW$45:FW$53)</f>
        <v>0</v>
      </c>
      <c r="FW158">
        <f>SUMIF('Как есть'!$A$45:$A$53,Доп.расчеты!$A158,'Как есть'!FX$45:FX$53)</f>
        <v>0</v>
      </c>
      <c r="FX158">
        <f>SUMIF('Как есть'!$A$45:$A$53,Доп.расчеты!$A158,'Как есть'!FY$45:FY$53)</f>
        <v>0</v>
      </c>
      <c r="FY158">
        <f>SUMIF('Как есть'!$A$45:$A$53,Доп.расчеты!$A158,'Как есть'!FZ$45:FZ$53)</f>
        <v>0</v>
      </c>
      <c r="FZ158">
        <f>SUMIF('Как есть'!$A$45:$A$53,Доп.расчеты!$A158,'Как есть'!GA$45:GA$53)</f>
        <v>0</v>
      </c>
      <c r="GA158">
        <f>SUMIF('Как есть'!$A$45:$A$53,Доп.расчеты!$A158,'Как есть'!GB$45:GB$53)</f>
        <v>0</v>
      </c>
      <c r="GB158">
        <f>SUMIF('Как есть'!$A$45:$A$53,Доп.расчеты!$A158,'Как есть'!GC$45:GC$53)</f>
        <v>0</v>
      </c>
      <c r="GC158">
        <f>SUMIF('Как есть'!$A$45:$A$53,Доп.расчеты!$A158,'Как есть'!GD$45:GD$53)</f>
        <v>0</v>
      </c>
      <c r="GD158">
        <f>SUMIF('Как есть'!$A$45:$A$53,Доп.расчеты!$A158,'Как есть'!GE$45:GE$53)</f>
        <v>0</v>
      </c>
      <c r="GE158">
        <f>SUMIF('Как есть'!$A$45:$A$53,Доп.расчеты!$A158,'Как есть'!GF$45:GF$53)</f>
        <v>0</v>
      </c>
      <c r="GF158">
        <f>SUMIF('Как есть'!$A$45:$A$53,Доп.расчеты!$A158,'Как есть'!GG$45:GG$53)</f>
        <v>0</v>
      </c>
      <c r="GG158">
        <f>SUMIF('Как есть'!$A$45:$A$53,Доп.расчеты!$A158,'Как есть'!GH$45:GH$53)</f>
        <v>0</v>
      </c>
      <c r="GH158">
        <f>SUMIF('Как есть'!$A$45:$A$53,Доп.расчеты!$A158,'Как есть'!GI$45:GI$53)</f>
        <v>0</v>
      </c>
      <c r="GI158">
        <f>SUMIF('Как есть'!$A$45:$A$53,Доп.расчеты!$A158,'Как есть'!GJ$45:GJ$53)</f>
        <v>0</v>
      </c>
      <c r="GJ158">
        <f>SUMIF('Как есть'!$A$45:$A$53,Доп.расчеты!$A158,'Как есть'!GK$45:GK$53)</f>
        <v>0</v>
      </c>
      <c r="GK158">
        <f>SUMIF('Как есть'!$A$45:$A$53,Доп.расчеты!$A158,'Как есть'!GL$45:GL$53)</f>
        <v>0</v>
      </c>
      <c r="GL158">
        <f>SUMIF('Как есть'!$A$45:$A$53,Доп.расчеты!$A158,'Как есть'!GM$45:GM$53)</f>
        <v>0</v>
      </c>
      <c r="GM158">
        <f>SUMIF('Как есть'!$A$45:$A$53,Доп.расчеты!$A158,'Как есть'!GN$45:GN$53)</f>
        <v>0</v>
      </c>
      <c r="GN158">
        <f>SUMIF('Как есть'!$A$45:$A$53,Доп.расчеты!$A158,'Как есть'!GO$45:GO$53)</f>
        <v>0</v>
      </c>
      <c r="GO158">
        <f>SUMIF('Как есть'!$A$45:$A$53,Доп.расчеты!$A158,'Как есть'!GP$45:GP$53)</f>
        <v>0</v>
      </c>
      <c r="GP158">
        <f>SUMIF('Как есть'!$A$45:$A$53,Доп.расчеты!$A158,'Как есть'!GQ$45:GQ$53)</f>
        <v>0</v>
      </c>
      <c r="GQ158">
        <f>SUMIF('Как есть'!$A$45:$A$53,Доп.расчеты!$A158,'Как есть'!GR$45:GR$53)</f>
        <v>0</v>
      </c>
      <c r="GR158">
        <f>SUMIF('Как есть'!$A$45:$A$53,Доп.расчеты!$A158,'Как есть'!GS$45:GS$53)</f>
        <v>0</v>
      </c>
      <c r="GS158">
        <f>SUMIF('Как есть'!$A$45:$A$53,Доп.расчеты!$A158,'Как есть'!GT$45:GT$53)</f>
        <v>0</v>
      </c>
      <c r="GT158">
        <f>SUMIF('Как есть'!$A$45:$A$53,Доп.расчеты!$A158,'Как есть'!GU$45:GU$53)</f>
        <v>0</v>
      </c>
    </row>
    <row r="159" spans="1:202" hidden="1" outlineLevel="1">
      <c r="A159" s="238" t="s">
        <v>95</v>
      </c>
      <c r="B159">
        <f>SUMIF('Как есть'!$A$45:$A$53,Доп.расчеты!$A159,'Как есть'!C$45:C$53)</f>
        <v>0</v>
      </c>
      <c r="C159">
        <f>SUMIF('Как есть'!$A$45:$A$53,Доп.расчеты!$A159,'Как есть'!D$45:D$53)</f>
        <v>0</v>
      </c>
      <c r="D159">
        <f>SUMIF('Как есть'!$A$45:$A$53,Доп.расчеты!$A159,'Как есть'!E$45:E$53)</f>
        <v>0</v>
      </c>
      <c r="E159">
        <f>SUMIF('Как есть'!$A$45:$A$53,Доп.расчеты!$A159,'Как есть'!F$45:F$53)</f>
        <v>0</v>
      </c>
      <c r="F159">
        <f>SUMIF('Как есть'!$A$45:$A$53,Доп.расчеты!$A159,'Как есть'!G$45:G$53)</f>
        <v>0</v>
      </c>
      <c r="G159">
        <f>SUMIF('Как есть'!$A$45:$A$53,Доп.расчеты!$A159,'Как есть'!H$45:H$53)</f>
        <v>0</v>
      </c>
      <c r="H159">
        <f>SUMIF('Как есть'!$A$45:$A$53,Доп.расчеты!$A159,'Как есть'!I$45:I$53)</f>
        <v>0</v>
      </c>
      <c r="I159">
        <f>SUMIF('Как есть'!$A$45:$A$53,Доп.расчеты!$A159,'Как есть'!J$45:J$53)</f>
        <v>0</v>
      </c>
      <c r="J159">
        <f>SUMIF('Как есть'!$A$45:$A$53,Доп.расчеты!$A159,'Как есть'!K$45:K$53)</f>
        <v>0</v>
      </c>
      <c r="K159">
        <f>SUMIF('Как есть'!$A$45:$A$53,Доп.расчеты!$A159,'Как есть'!L$45:L$53)</f>
        <v>0</v>
      </c>
      <c r="L159">
        <f>SUMIF('Как есть'!$A$45:$A$53,Доп.расчеты!$A159,'Как есть'!M$45:M$53)</f>
        <v>0</v>
      </c>
      <c r="M159">
        <f>SUMIF('Как есть'!$A$45:$A$53,Доп.расчеты!$A159,'Как есть'!N$45:N$53)</f>
        <v>0</v>
      </c>
      <c r="N159">
        <f>SUMIF('Как есть'!$A$45:$A$53,Доп.расчеты!$A159,'Как есть'!O$45:O$53)</f>
        <v>0</v>
      </c>
      <c r="O159">
        <f>SUMIF('Как есть'!$A$45:$A$53,Доп.расчеты!$A159,'Как есть'!P$45:P$53)</f>
        <v>0</v>
      </c>
      <c r="P159">
        <f>SUMIF('Как есть'!$A$45:$A$53,Доп.расчеты!$A159,'Как есть'!Q$45:Q$53)</f>
        <v>0</v>
      </c>
      <c r="Q159">
        <f>SUMIF('Как есть'!$A$45:$A$53,Доп.расчеты!$A159,'Как есть'!R$45:R$53)</f>
        <v>0</v>
      </c>
      <c r="R159">
        <f>SUMIF('Как есть'!$A$45:$A$53,Доп.расчеты!$A159,'Как есть'!S$45:S$53)</f>
        <v>0</v>
      </c>
      <c r="S159">
        <f>SUMIF('Как есть'!$A$45:$A$53,Доп.расчеты!$A159,'Как есть'!T$45:T$53)</f>
        <v>0</v>
      </c>
      <c r="T159">
        <f>SUMIF('Как есть'!$A$45:$A$53,Доп.расчеты!$A159,'Как есть'!U$45:U$53)</f>
        <v>0</v>
      </c>
      <c r="U159">
        <f>SUMIF('Как есть'!$A$45:$A$53,Доп.расчеты!$A159,'Как есть'!V$45:V$53)</f>
        <v>0</v>
      </c>
      <c r="V159">
        <f>SUMIF('Как есть'!$A$45:$A$53,Доп.расчеты!$A159,'Как есть'!W$45:W$53)</f>
        <v>0</v>
      </c>
      <c r="W159">
        <f>SUMIF('Как есть'!$A$45:$A$53,Доп.расчеты!$A159,'Как есть'!X$45:X$53)</f>
        <v>0</v>
      </c>
      <c r="X159">
        <f>SUMIF('Как есть'!$A$45:$A$53,Доп.расчеты!$A159,'Как есть'!Y$45:Y$53)</f>
        <v>0</v>
      </c>
      <c r="Y159">
        <f>SUMIF('Как есть'!$A$45:$A$53,Доп.расчеты!$A159,'Как есть'!Z$45:Z$53)</f>
        <v>0</v>
      </c>
      <c r="Z159">
        <f>SUMIF('Как есть'!$A$45:$A$53,Доп.расчеты!$A159,'Как есть'!AA$45:AA$53)</f>
        <v>0</v>
      </c>
      <c r="AA159">
        <f>SUMIF('Как есть'!$A$45:$A$53,Доп.расчеты!$A159,'Как есть'!AB$45:AB$53)</f>
        <v>0</v>
      </c>
      <c r="AB159">
        <f>SUMIF('Как есть'!$A$45:$A$53,Доп.расчеты!$A159,'Как есть'!AC$45:AC$53)</f>
        <v>0</v>
      </c>
      <c r="AC159">
        <f>SUMIF('Как есть'!$A$45:$A$53,Доп.расчеты!$A159,'Как есть'!AD$45:AD$53)</f>
        <v>0</v>
      </c>
      <c r="AD159">
        <f>SUMIF('Как есть'!$A$45:$A$53,Доп.расчеты!$A159,'Как есть'!AE$45:AE$53)</f>
        <v>0</v>
      </c>
      <c r="AE159">
        <f>SUMIF('Как есть'!$A$45:$A$53,Доп.расчеты!$A159,'Как есть'!AF$45:AF$53)</f>
        <v>0</v>
      </c>
      <c r="AF159">
        <f>SUMIF('Как есть'!$A$45:$A$53,Доп.расчеты!$A159,'Как есть'!AG$45:AG$53)</f>
        <v>0</v>
      </c>
      <c r="AG159">
        <f>SUMIF('Как есть'!$A$45:$A$53,Доп.расчеты!$A159,'Как есть'!AH$45:AH$53)</f>
        <v>0</v>
      </c>
      <c r="AH159">
        <f>SUMIF('Как есть'!$A$45:$A$53,Доп.расчеты!$A159,'Как есть'!AI$45:AI$53)</f>
        <v>0</v>
      </c>
      <c r="AI159">
        <f>SUMIF('Как есть'!$A$45:$A$53,Доп.расчеты!$A159,'Как есть'!AJ$45:AJ$53)</f>
        <v>0</v>
      </c>
      <c r="AJ159">
        <f>SUMIF('Как есть'!$A$45:$A$53,Доп.расчеты!$A159,'Как есть'!AK$45:AK$53)</f>
        <v>0</v>
      </c>
      <c r="AK159">
        <f>SUMIF('Как есть'!$A$45:$A$53,Доп.расчеты!$A159,'Как есть'!AL$45:AL$53)</f>
        <v>0</v>
      </c>
      <c r="AL159">
        <f>SUMIF('Как есть'!$A$45:$A$53,Доп.расчеты!$A159,'Как есть'!AM$45:AM$53)</f>
        <v>0</v>
      </c>
      <c r="AM159">
        <f>SUMIF('Как есть'!$A$45:$A$53,Доп.расчеты!$A159,'Как есть'!AN$45:AN$53)</f>
        <v>0</v>
      </c>
      <c r="AN159">
        <f>SUMIF('Как есть'!$A$45:$A$53,Доп.расчеты!$A159,'Как есть'!AO$45:AO$53)</f>
        <v>0</v>
      </c>
      <c r="AO159">
        <f>SUMIF('Как есть'!$A$45:$A$53,Доп.расчеты!$A159,'Как есть'!AP$45:AP$53)</f>
        <v>0</v>
      </c>
      <c r="AP159">
        <f>SUMIF('Как есть'!$A$45:$A$53,Доп.расчеты!$A159,'Как есть'!AQ$45:AQ$53)</f>
        <v>0</v>
      </c>
      <c r="AQ159">
        <f>SUMIF('Как есть'!$A$45:$A$53,Доп.расчеты!$A159,'Как есть'!AR$45:AR$53)</f>
        <v>0</v>
      </c>
      <c r="AR159">
        <f>SUMIF('Как есть'!$A$45:$A$53,Доп.расчеты!$A159,'Как есть'!AS$45:AS$53)</f>
        <v>0</v>
      </c>
      <c r="AS159">
        <f>SUMIF('Как есть'!$A$45:$A$53,Доп.расчеты!$A159,'Как есть'!AT$45:AT$53)</f>
        <v>0</v>
      </c>
      <c r="AT159">
        <f>SUMIF('Как есть'!$A$45:$A$53,Доп.расчеты!$A159,'Как есть'!AU$45:AU$53)</f>
        <v>0</v>
      </c>
      <c r="AU159">
        <f>SUMIF('Как есть'!$A$45:$A$53,Доп.расчеты!$A159,'Как есть'!AV$45:AV$53)</f>
        <v>0</v>
      </c>
      <c r="AV159">
        <f>SUMIF('Как есть'!$A$45:$A$53,Доп.расчеты!$A159,'Как есть'!AW$45:AW$53)</f>
        <v>0</v>
      </c>
      <c r="AW159">
        <f>SUMIF('Как есть'!$A$45:$A$53,Доп.расчеты!$A159,'Как есть'!AX$45:AX$53)</f>
        <v>0</v>
      </c>
      <c r="AX159">
        <f>SUMIF('Как есть'!$A$45:$A$53,Доп.расчеты!$A159,'Как есть'!AY$45:AY$53)</f>
        <v>0</v>
      </c>
      <c r="AY159">
        <f>SUMIF('Как есть'!$A$45:$A$53,Доп.расчеты!$A159,'Как есть'!AZ$45:AZ$53)</f>
        <v>0</v>
      </c>
      <c r="AZ159">
        <f>SUMIF('Как есть'!$A$45:$A$53,Доп.расчеты!$A159,'Как есть'!BA$45:BA$53)</f>
        <v>0</v>
      </c>
      <c r="BA159">
        <f>SUMIF('Как есть'!$A$45:$A$53,Доп.расчеты!$A159,'Как есть'!BB$45:BB$53)</f>
        <v>0</v>
      </c>
      <c r="BB159">
        <f>SUMIF('Как есть'!$A$45:$A$53,Доп.расчеты!$A159,'Как есть'!BC$45:BC$53)</f>
        <v>0</v>
      </c>
      <c r="BC159">
        <f>SUMIF('Как есть'!$A$45:$A$53,Доп.расчеты!$A159,'Как есть'!BD$45:BD$53)</f>
        <v>0</v>
      </c>
      <c r="BD159">
        <f>SUMIF('Как есть'!$A$45:$A$53,Доп.расчеты!$A159,'Как есть'!BE$45:BE$53)</f>
        <v>0</v>
      </c>
      <c r="BE159">
        <f>SUMIF('Как есть'!$A$45:$A$53,Доп.расчеты!$A159,'Как есть'!BF$45:BF$53)</f>
        <v>0</v>
      </c>
      <c r="BF159">
        <f>SUMIF('Как есть'!$A$45:$A$53,Доп.расчеты!$A159,'Как есть'!BG$45:BG$53)</f>
        <v>0</v>
      </c>
      <c r="BG159">
        <f>SUMIF('Как есть'!$A$45:$A$53,Доп.расчеты!$A159,'Как есть'!BH$45:BH$53)</f>
        <v>0</v>
      </c>
      <c r="BH159">
        <f>SUMIF('Как есть'!$A$45:$A$53,Доп.расчеты!$A159,'Как есть'!BI$45:BI$53)</f>
        <v>0</v>
      </c>
      <c r="BI159">
        <f>SUMIF('Как есть'!$A$45:$A$53,Доп.расчеты!$A159,'Как есть'!BJ$45:BJ$53)</f>
        <v>0</v>
      </c>
      <c r="BJ159">
        <f>SUMIF('Как есть'!$A$45:$A$53,Доп.расчеты!$A159,'Как есть'!BK$45:BK$53)</f>
        <v>0</v>
      </c>
      <c r="BK159">
        <f>SUMIF('Как есть'!$A$45:$A$53,Доп.расчеты!$A159,'Как есть'!BL$45:BL$53)</f>
        <v>0</v>
      </c>
      <c r="BL159">
        <f>SUMIF('Как есть'!$A$45:$A$53,Доп.расчеты!$A159,'Как есть'!BM$45:BM$53)</f>
        <v>0</v>
      </c>
      <c r="BM159">
        <f>SUMIF('Как есть'!$A$45:$A$53,Доп.расчеты!$A159,'Как есть'!BN$45:BN$53)</f>
        <v>0</v>
      </c>
      <c r="BN159">
        <f>SUMIF('Как есть'!$A$45:$A$53,Доп.расчеты!$A159,'Как есть'!BO$45:BO$53)</f>
        <v>0</v>
      </c>
      <c r="BO159">
        <f>SUMIF('Как есть'!$A$45:$A$53,Доп.расчеты!$A159,'Как есть'!BP$45:BP$53)</f>
        <v>0</v>
      </c>
      <c r="BP159">
        <f>SUMIF('Как есть'!$A$45:$A$53,Доп.расчеты!$A159,'Как есть'!BQ$45:BQ$53)</f>
        <v>0</v>
      </c>
      <c r="BQ159">
        <f>SUMIF('Как есть'!$A$45:$A$53,Доп.расчеты!$A159,'Как есть'!BR$45:BR$53)</f>
        <v>0</v>
      </c>
      <c r="BR159">
        <f>SUMIF('Как есть'!$A$45:$A$53,Доп.расчеты!$A159,'Как есть'!BS$45:BS$53)</f>
        <v>0</v>
      </c>
      <c r="BS159">
        <f>SUMIF('Как есть'!$A$45:$A$53,Доп.расчеты!$A159,'Как есть'!BT$45:BT$53)</f>
        <v>0</v>
      </c>
      <c r="BT159">
        <f>SUMIF('Как есть'!$A$45:$A$53,Доп.расчеты!$A159,'Как есть'!BU$45:BU$53)</f>
        <v>0</v>
      </c>
      <c r="BU159">
        <f>SUMIF('Как есть'!$A$45:$A$53,Доп.расчеты!$A159,'Как есть'!BV$45:BV$53)</f>
        <v>0</v>
      </c>
      <c r="BV159">
        <f>SUMIF('Как есть'!$A$45:$A$53,Доп.расчеты!$A159,'Как есть'!BW$45:BW$53)</f>
        <v>0</v>
      </c>
      <c r="BW159">
        <f>SUMIF('Как есть'!$A$45:$A$53,Доп.расчеты!$A159,'Как есть'!BX$45:BX$53)</f>
        <v>0</v>
      </c>
      <c r="BX159">
        <f>SUMIF('Как есть'!$A$45:$A$53,Доп.расчеты!$A159,'Как есть'!BY$45:BY$53)</f>
        <v>0</v>
      </c>
      <c r="BY159">
        <f>SUMIF('Как есть'!$A$45:$A$53,Доп.расчеты!$A159,'Как есть'!BZ$45:BZ$53)</f>
        <v>0</v>
      </c>
      <c r="BZ159">
        <f>SUMIF('Как есть'!$A$45:$A$53,Доп.расчеты!$A159,'Как есть'!CA$45:CA$53)</f>
        <v>0</v>
      </c>
      <c r="CA159">
        <f>SUMIF('Как есть'!$A$45:$A$53,Доп.расчеты!$A159,'Как есть'!CB$45:CB$53)</f>
        <v>0</v>
      </c>
      <c r="CB159">
        <f>SUMIF('Как есть'!$A$45:$A$53,Доп.расчеты!$A159,'Как есть'!CC$45:CC$53)</f>
        <v>0</v>
      </c>
      <c r="CC159">
        <f>SUMIF('Как есть'!$A$45:$A$53,Доп.расчеты!$A159,'Как есть'!CD$45:CD$53)</f>
        <v>0</v>
      </c>
      <c r="CD159">
        <f>SUMIF('Как есть'!$A$45:$A$53,Доп.расчеты!$A159,'Как есть'!CE$45:CE$53)</f>
        <v>0</v>
      </c>
      <c r="CE159">
        <f>SUMIF('Как есть'!$A$45:$A$53,Доп.расчеты!$A159,'Как есть'!CF$45:CF$53)</f>
        <v>0</v>
      </c>
      <c r="CF159">
        <f>SUMIF('Как есть'!$A$45:$A$53,Доп.расчеты!$A159,'Как есть'!CG$45:CG$53)</f>
        <v>0</v>
      </c>
      <c r="CG159">
        <f>SUMIF('Как есть'!$A$45:$A$53,Доп.расчеты!$A159,'Как есть'!CH$45:CH$53)</f>
        <v>0</v>
      </c>
      <c r="CH159">
        <f>SUMIF('Как есть'!$A$45:$A$53,Доп.расчеты!$A159,'Как есть'!CI$45:CI$53)</f>
        <v>0</v>
      </c>
      <c r="CI159">
        <f>SUMIF('Как есть'!$A$45:$A$53,Доп.расчеты!$A159,'Как есть'!CJ$45:CJ$53)</f>
        <v>0</v>
      </c>
      <c r="CJ159">
        <f>SUMIF('Как есть'!$A$45:$A$53,Доп.расчеты!$A159,'Как есть'!CK$45:CK$53)</f>
        <v>0</v>
      </c>
      <c r="CK159">
        <f>SUMIF('Как есть'!$A$45:$A$53,Доп.расчеты!$A159,'Как есть'!CL$45:CL$53)</f>
        <v>0</v>
      </c>
      <c r="CL159">
        <f>SUMIF('Как есть'!$A$45:$A$53,Доп.расчеты!$A159,'Как есть'!CM$45:CM$53)</f>
        <v>0</v>
      </c>
      <c r="CM159">
        <f>SUMIF('Как есть'!$A$45:$A$53,Доп.расчеты!$A159,'Как есть'!CN$45:CN$53)</f>
        <v>0</v>
      </c>
      <c r="CN159">
        <f>SUMIF('Как есть'!$A$45:$A$53,Доп.расчеты!$A159,'Как есть'!CO$45:CO$53)</f>
        <v>0</v>
      </c>
      <c r="CO159">
        <f>SUMIF('Как есть'!$A$45:$A$53,Доп.расчеты!$A159,'Как есть'!CP$45:CP$53)</f>
        <v>0</v>
      </c>
      <c r="CP159">
        <f>SUMIF('Как есть'!$A$45:$A$53,Доп.расчеты!$A159,'Как есть'!CQ$45:CQ$53)</f>
        <v>0</v>
      </c>
      <c r="CQ159">
        <f>SUMIF('Как есть'!$A$45:$A$53,Доп.расчеты!$A159,'Как есть'!CR$45:CR$53)</f>
        <v>0</v>
      </c>
      <c r="CR159">
        <f>SUMIF('Как есть'!$A$45:$A$53,Доп.расчеты!$A159,'Как есть'!CS$45:CS$53)</f>
        <v>0</v>
      </c>
      <c r="CS159">
        <f>SUMIF('Как есть'!$A$45:$A$53,Доп.расчеты!$A159,'Как есть'!CT$45:CT$53)</f>
        <v>0</v>
      </c>
      <c r="CT159">
        <f>SUMIF('Как есть'!$A$45:$A$53,Доп.расчеты!$A159,'Как есть'!CU$45:CU$53)</f>
        <v>0</v>
      </c>
      <c r="CU159">
        <f>SUMIF('Как есть'!$A$45:$A$53,Доп.расчеты!$A159,'Как есть'!CV$45:CV$53)</f>
        <v>0</v>
      </c>
      <c r="CV159">
        <f>SUMIF('Как есть'!$A$45:$A$53,Доп.расчеты!$A159,'Как есть'!CW$45:CW$53)</f>
        <v>0</v>
      </c>
      <c r="CW159">
        <f>SUMIF('Как есть'!$A$45:$A$53,Доп.расчеты!$A159,'Как есть'!CX$45:CX$53)</f>
        <v>0</v>
      </c>
      <c r="CX159">
        <f>SUMIF('Как есть'!$A$45:$A$53,Доп.расчеты!$A159,'Как есть'!CY$45:CY$53)</f>
        <v>0</v>
      </c>
      <c r="CY159">
        <f>SUMIF('Как есть'!$A$45:$A$53,Доп.расчеты!$A159,'Как есть'!CZ$45:CZ$53)</f>
        <v>0</v>
      </c>
      <c r="CZ159">
        <f>SUMIF('Как есть'!$A$45:$A$53,Доп.расчеты!$A159,'Как есть'!DA$45:DA$53)</f>
        <v>0</v>
      </c>
      <c r="DA159">
        <f>SUMIF('Как есть'!$A$45:$A$53,Доп.расчеты!$A159,'Как есть'!DB$45:DB$53)</f>
        <v>0</v>
      </c>
      <c r="DB159">
        <f>SUMIF('Как есть'!$A$45:$A$53,Доп.расчеты!$A159,'Как есть'!DC$45:DC$53)</f>
        <v>0</v>
      </c>
      <c r="DC159">
        <f>SUMIF('Как есть'!$A$45:$A$53,Доп.расчеты!$A159,'Как есть'!DD$45:DD$53)</f>
        <v>0</v>
      </c>
      <c r="DD159">
        <f>SUMIF('Как есть'!$A$45:$A$53,Доп.расчеты!$A159,'Как есть'!DE$45:DE$53)</f>
        <v>0</v>
      </c>
      <c r="DE159">
        <f>SUMIF('Как есть'!$A$45:$A$53,Доп.расчеты!$A159,'Как есть'!DF$45:DF$53)</f>
        <v>0</v>
      </c>
      <c r="DF159">
        <f>SUMIF('Как есть'!$A$45:$A$53,Доп.расчеты!$A159,'Как есть'!DG$45:DG$53)</f>
        <v>0</v>
      </c>
      <c r="DG159">
        <f>SUMIF('Как есть'!$A$45:$A$53,Доп.расчеты!$A159,'Как есть'!DH$45:DH$53)</f>
        <v>0</v>
      </c>
      <c r="DH159">
        <f>SUMIF('Как есть'!$A$45:$A$53,Доп.расчеты!$A159,'Как есть'!DI$45:DI$53)</f>
        <v>0</v>
      </c>
      <c r="DI159">
        <f>SUMIF('Как есть'!$A$45:$A$53,Доп.расчеты!$A159,'Как есть'!DJ$45:DJ$53)</f>
        <v>0</v>
      </c>
      <c r="DJ159">
        <f>SUMIF('Как есть'!$A$45:$A$53,Доп.расчеты!$A159,'Как есть'!DK$45:DK$53)</f>
        <v>0</v>
      </c>
      <c r="DK159">
        <f>SUMIF('Как есть'!$A$45:$A$53,Доп.расчеты!$A159,'Как есть'!DL$45:DL$53)</f>
        <v>0</v>
      </c>
      <c r="DL159">
        <f>SUMIF('Как есть'!$A$45:$A$53,Доп.расчеты!$A159,'Как есть'!DM$45:DM$53)</f>
        <v>0</v>
      </c>
      <c r="DM159">
        <f>SUMIF('Как есть'!$A$45:$A$53,Доп.расчеты!$A159,'Как есть'!DN$45:DN$53)</f>
        <v>0</v>
      </c>
      <c r="DN159">
        <f>SUMIF('Как есть'!$A$45:$A$53,Доп.расчеты!$A159,'Как есть'!DO$45:DO$53)</f>
        <v>0</v>
      </c>
      <c r="DO159">
        <f>SUMIF('Как есть'!$A$45:$A$53,Доп.расчеты!$A159,'Как есть'!DP$45:DP$53)</f>
        <v>0</v>
      </c>
      <c r="DP159">
        <f>SUMIF('Как есть'!$A$45:$A$53,Доп.расчеты!$A159,'Как есть'!DQ$45:DQ$53)</f>
        <v>0</v>
      </c>
      <c r="DQ159">
        <f>SUMIF('Как есть'!$A$45:$A$53,Доп.расчеты!$A159,'Как есть'!DR$45:DR$53)</f>
        <v>0</v>
      </c>
      <c r="DR159">
        <f>SUMIF('Как есть'!$A$45:$A$53,Доп.расчеты!$A159,'Как есть'!DS$45:DS$53)</f>
        <v>0</v>
      </c>
      <c r="DS159">
        <f>SUMIF('Как есть'!$A$45:$A$53,Доп.расчеты!$A159,'Как есть'!DT$45:DT$53)</f>
        <v>0</v>
      </c>
      <c r="DT159">
        <f>SUMIF('Как есть'!$A$45:$A$53,Доп.расчеты!$A159,'Как есть'!DU$45:DU$53)</f>
        <v>0</v>
      </c>
      <c r="DU159">
        <f>SUMIF('Как есть'!$A$45:$A$53,Доп.расчеты!$A159,'Как есть'!DV$45:DV$53)</f>
        <v>0</v>
      </c>
      <c r="DV159">
        <f>SUMIF('Как есть'!$A$45:$A$53,Доп.расчеты!$A159,'Как есть'!DW$45:DW$53)</f>
        <v>0</v>
      </c>
      <c r="DW159">
        <f>SUMIF('Как есть'!$A$45:$A$53,Доп.расчеты!$A159,'Как есть'!DX$45:DX$53)</f>
        <v>0</v>
      </c>
      <c r="DX159">
        <f>SUMIF('Как есть'!$A$45:$A$53,Доп.расчеты!$A159,'Как есть'!DY$45:DY$53)</f>
        <v>0</v>
      </c>
      <c r="DY159">
        <f>SUMIF('Как есть'!$A$45:$A$53,Доп.расчеты!$A159,'Как есть'!DZ$45:DZ$53)</f>
        <v>0</v>
      </c>
      <c r="DZ159">
        <f>SUMIF('Как есть'!$A$45:$A$53,Доп.расчеты!$A159,'Как есть'!EA$45:EA$53)</f>
        <v>0</v>
      </c>
      <c r="EA159">
        <f>SUMIF('Как есть'!$A$45:$A$53,Доп.расчеты!$A159,'Как есть'!EB$45:EB$53)</f>
        <v>0</v>
      </c>
      <c r="EB159">
        <f>SUMIF('Как есть'!$A$45:$A$53,Доп.расчеты!$A159,'Как есть'!EC$45:EC$53)</f>
        <v>0</v>
      </c>
      <c r="EC159">
        <f>SUMIF('Как есть'!$A$45:$A$53,Доп.расчеты!$A159,'Как есть'!ED$45:ED$53)</f>
        <v>0</v>
      </c>
      <c r="ED159">
        <f>SUMIF('Как есть'!$A$45:$A$53,Доп.расчеты!$A159,'Как есть'!EE$45:EE$53)</f>
        <v>0</v>
      </c>
      <c r="EE159">
        <f>SUMIF('Как есть'!$A$45:$A$53,Доп.расчеты!$A159,'Как есть'!EF$45:EF$53)</f>
        <v>0</v>
      </c>
      <c r="EF159">
        <f>SUMIF('Как есть'!$A$45:$A$53,Доп.расчеты!$A159,'Как есть'!EG$45:EG$53)</f>
        <v>0</v>
      </c>
      <c r="EG159">
        <f>SUMIF('Как есть'!$A$45:$A$53,Доп.расчеты!$A159,'Как есть'!EH$45:EH$53)</f>
        <v>0</v>
      </c>
      <c r="EH159">
        <f>SUMIF('Как есть'!$A$45:$A$53,Доп.расчеты!$A159,'Как есть'!EI$45:EI$53)</f>
        <v>0</v>
      </c>
      <c r="EI159">
        <f>SUMIF('Как есть'!$A$45:$A$53,Доп.расчеты!$A159,'Как есть'!EJ$45:EJ$53)</f>
        <v>0</v>
      </c>
      <c r="EJ159">
        <f>SUMIF('Как есть'!$A$45:$A$53,Доп.расчеты!$A159,'Как есть'!EK$45:EK$53)</f>
        <v>0</v>
      </c>
      <c r="EK159">
        <f>SUMIF('Как есть'!$A$45:$A$53,Доп.расчеты!$A159,'Как есть'!EL$45:EL$53)</f>
        <v>0</v>
      </c>
      <c r="EL159">
        <f>SUMIF('Как есть'!$A$45:$A$53,Доп.расчеты!$A159,'Как есть'!EM$45:EM$53)</f>
        <v>0</v>
      </c>
      <c r="EM159">
        <f>SUMIF('Как есть'!$A$45:$A$53,Доп.расчеты!$A159,'Как есть'!EN$45:EN$53)</f>
        <v>0</v>
      </c>
      <c r="EN159">
        <f>SUMIF('Как есть'!$A$45:$A$53,Доп.расчеты!$A159,'Как есть'!EO$45:EO$53)</f>
        <v>0</v>
      </c>
      <c r="EO159">
        <f>SUMIF('Как есть'!$A$45:$A$53,Доп.расчеты!$A159,'Как есть'!EP$45:EP$53)</f>
        <v>0</v>
      </c>
      <c r="EP159">
        <f>SUMIF('Как есть'!$A$45:$A$53,Доп.расчеты!$A159,'Как есть'!EQ$45:EQ$53)</f>
        <v>0</v>
      </c>
      <c r="EQ159">
        <f>SUMIF('Как есть'!$A$45:$A$53,Доп.расчеты!$A159,'Как есть'!ER$45:ER$53)</f>
        <v>0</v>
      </c>
      <c r="ER159">
        <f>SUMIF('Как есть'!$A$45:$A$53,Доп.расчеты!$A159,'Как есть'!ES$45:ES$53)</f>
        <v>0</v>
      </c>
      <c r="ES159">
        <f>SUMIF('Как есть'!$A$45:$A$53,Доп.расчеты!$A159,'Как есть'!ET$45:ET$53)</f>
        <v>0</v>
      </c>
      <c r="ET159">
        <f>SUMIF('Как есть'!$A$45:$A$53,Доп.расчеты!$A159,'Как есть'!EU$45:EU$53)</f>
        <v>0</v>
      </c>
      <c r="EU159">
        <f>SUMIF('Как есть'!$A$45:$A$53,Доп.расчеты!$A159,'Как есть'!EV$45:EV$53)</f>
        <v>0</v>
      </c>
      <c r="EV159">
        <f>SUMIF('Как есть'!$A$45:$A$53,Доп.расчеты!$A159,'Как есть'!EW$45:EW$53)</f>
        <v>0</v>
      </c>
      <c r="EW159">
        <f>SUMIF('Как есть'!$A$45:$A$53,Доп.расчеты!$A159,'Как есть'!EX$45:EX$53)</f>
        <v>0</v>
      </c>
      <c r="EX159">
        <f>SUMIF('Как есть'!$A$45:$A$53,Доп.расчеты!$A159,'Как есть'!EY$45:EY$53)</f>
        <v>0</v>
      </c>
      <c r="EY159">
        <f>SUMIF('Как есть'!$A$45:$A$53,Доп.расчеты!$A159,'Как есть'!EZ$45:EZ$53)</f>
        <v>0</v>
      </c>
      <c r="EZ159">
        <f>SUMIF('Как есть'!$A$45:$A$53,Доп.расчеты!$A159,'Как есть'!FA$45:FA$53)</f>
        <v>0</v>
      </c>
      <c r="FA159">
        <f>SUMIF('Как есть'!$A$45:$A$53,Доп.расчеты!$A159,'Как есть'!FB$45:FB$53)</f>
        <v>0</v>
      </c>
      <c r="FB159">
        <f>SUMIF('Как есть'!$A$45:$A$53,Доп.расчеты!$A159,'Как есть'!FC$45:FC$53)</f>
        <v>0</v>
      </c>
      <c r="FC159">
        <f>SUMIF('Как есть'!$A$45:$A$53,Доп.расчеты!$A159,'Как есть'!FD$45:FD$53)</f>
        <v>0</v>
      </c>
      <c r="FD159">
        <f>SUMIF('Как есть'!$A$45:$A$53,Доп.расчеты!$A159,'Как есть'!FE$45:FE$53)</f>
        <v>0</v>
      </c>
      <c r="FE159">
        <f>SUMIF('Как есть'!$A$45:$A$53,Доп.расчеты!$A159,'Как есть'!FF$45:FF$53)</f>
        <v>0</v>
      </c>
      <c r="FF159">
        <f>SUMIF('Как есть'!$A$45:$A$53,Доп.расчеты!$A159,'Как есть'!FG$45:FG$53)</f>
        <v>0</v>
      </c>
      <c r="FG159">
        <f>SUMIF('Как есть'!$A$45:$A$53,Доп.расчеты!$A159,'Как есть'!FH$45:FH$53)</f>
        <v>0</v>
      </c>
      <c r="FH159">
        <f>SUMIF('Как есть'!$A$45:$A$53,Доп.расчеты!$A159,'Как есть'!FI$45:FI$53)</f>
        <v>0</v>
      </c>
      <c r="FI159">
        <f>SUMIF('Как есть'!$A$45:$A$53,Доп.расчеты!$A159,'Как есть'!FJ$45:FJ$53)</f>
        <v>0</v>
      </c>
      <c r="FJ159">
        <f>SUMIF('Как есть'!$A$45:$A$53,Доп.расчеты!$A159,'Как есть'!FK$45:FK$53)</f>
        <v>0</v>
      </c>
      <c r="FK159">
        <f>SUMIF('Как есть'!$A$45:$A$53,Доп.расчеты!$A159,'Как есть'!FL$45:FL$53)</f>
        <v>0</v>
      </c>
      <c r="FL159">
        <f>SUMIF('Как есть'!$A$45:$A$53,Доп.расчеты!$A159,'Как есть'!FM$45:FM$53)</f>
        <v>0</v>
      </c>
      <c r="FM159">
        <f>SUMIF('Как есть'!$A$45:$A$53,Доп.расчеты!$A159,'Как есть'!FN$45:FN$53)</f>
        <v>0</v>
      </c>
      <c r="FN159">
        <f>SUMIF('Как есть'!$A$45:$A$53,Доп.расчеты!$A159,'Как есть'!FO$45:FO$53)</f>
        <v>0</v>
      </c>
      <c r="FO159">
        <f>SUMIF('Как есть'!$A$45:$A$53,Доп.расчеты!$A159,'Как есть'!FP$45:FP$53)</f>
        <v>0</v>
      </c>
      <c r="FP159">
        <f>SUMIF('Как есть'!$A$45:$A$53,Доп.расчеты!$A159,'Как есть'!FQ$45:FQ$53)</f>
        <v>0</v>
      </c>
      <c r="FQ159">
        <f>SUMIF('Как есть'!$A$45:$A$53,Доп.расчеты!$A159,'Как есть'!FR$45:FR$53)</f>
        <v>0</v>
      </c>
      <c r="FR159">
        <f>SUMIF('Как есть'!$A$45:$A$53,Доп.расчеты!$A159,'Как есть'!FS$45:FS$53)</f>
        <v>0</v>
      </c>
      <c r="FS159">
        <f>SUMIF('Как есть'!$A$45:$A$53,Доп.расчеты!$A159,'Как есть'!FT$45:FT$53)</f>
        <v>0</v>
      </c>
      <c r="FT159">
        <f>SUMIF('Как есть'!$A$45:$A$53,Доп.расчеты!$A159,'Как есть'!FU$45:FU$53)</f>
        <v>0</v>
      </c>
      <c r="FU159">
        <f>SUMIF('Как есть'!$A$45:$A$53,Доп.расчеты!$A159,'Как есть'!FV$45:FV$53)</f>
        <v>0</v>
      </c>
      <c r="FV159">
        <f>SUMIF('Как есть'!$A$45:$A$53,Доп.расчеты!$A159,'Как есть'!FW$45:FW$53)</f>
        <v>0</v>
      </c>
      <c r="FW159">
        <f>SUMIF('Как есть'!$A$45:$A$53,Доп.расчеты!$A159,'Как есть'!FX$45:FX$53)</f>
        <v>0</v>
      </c>
      <c r="FX159">
        <f>SUMIF('Как есть'!$A$45:$A$53,Доп.расчеты!$A159,'Как есть'!FY$45:FY$53)</f>
        <v>0</v>
      </c>
      <c r="FY159">
        <f>SUMIF('Как есть'!$A$45:$A$53,Доп.расчеты!$A159,'Как есть'!FZ$45:FZ$53)</f>
        <v>0</v>
      </c>
      <c r="FZ159">
        <f>SUMIF('Как есть'!$A$45:$A$53,Доп.расчеты!$A159,'Как есть'!GA$45:GA$53)</f>
        <v>0</v>
      </c>
      <c r="GA159">
        <f>SUMIF('Как есть'!$A$45:$A$53,Доп.расчеты!$A159,'Как есть'!GB$45:GB$53)</f>
        <v>0</v>
      </c>
      <c r="GB159">
        <f>SUMIF('Как есть'!$A$45:$A$53,Доп.расчеты!$A159,'Как есть'!GC$45:GC$53)</f>
        <v>0</v>
      </c>
      <c r="GC159">
        <f>SUMIF('Как есть'!$A$45:$A$53,Доп.расчеты!$A159,'Как есть'!GD$45:GD$53)</f>
        <v>0</v>
      </c>
      <c r="GD159">
        <f>SUMIF('Как есть'!$A$45:$A$53,Доп.расчеты!$A159,'Как есть'!GE$45:GE$53)</f>
        <v>0</v>
      </c>
      <c r="GE159">
        <f>SUMIF('Как есть'!$A$45:$A$53,Доп.расчеты!$A159,'Как есть'!GF$45:GF$53)</f>
        <v>0</v>
      </c>
      <c r="GF159">
        <f>SUMIF('Как есть'!$A$45:$A$53,Доп.расчеты!$A159,'Как есть'!GG$45:GG$53)</f>
        <v>0</v>
      </c>
      <c r="GG159">
        <f>SUMIF('Как есть'!$A$45:$A$53,Доп.расчеты!$A159,'Как есть'!GH$45:GH$53)</f>
        <v>0</v>
      </c>
      <c r="GH159">
        <f>SUMIF('Как есть'!$A$45:$A$53,Доп.расчеты!$A159,'Как есть'!GI$45:GI$53)</f>
        <v>0</v>
      </c>
      <c r="GI159">
        <f>SUMIF('Как есть'!$A$45:$A$53,Доп.расчеты!$A159,'Как есть'!GJ$45:GJ$53)</f>
        <v>0</v>
      </c>
      <c r="GJ159">
        <f>SUMIF('Как есть'!$A$45:$A$53,Доп.расчеты!$A159,'Как есть'!GK$45:GK$53)</f>
        <v>0</v>
      </c>
      <c r="GK159">
        <f>SUMIF('Как есть'!$A$45:$A$53,Доп.расчеты!$A159,'Как есть'!GL$45:GL$53)</f>
        <v>0</v>
      </c>
      <c r="GL159">
        <f>SUMIF('Как есть'!$A$45:$A$53,Доп.расчеты!$A159,'Как есть'!GM$45:GM$53)</f>
        <v>0</v>
      </c>
      <c r="GM159">
        <f>SUMIF('Как есть'!$A$45:$A$53,Доп.расчеты!$A159,'Как есть'!GN$45:GN$53)</f>
        <v>0</v>
      </c>
      <c r="GN159">
        <f>SUMIF('Как есть'!$A$45:$A$53,Доп.расчеты!$A159,'Как есть'!GO$45:GO$53)</f>
        <v>0</v>
      </c>
      <c r="GO159">
        <f>SUMIF('Как есть'!$A$45:$A$53,Доп.расчеты!$A159,'Как есть'!GP$45:GP$53)</f>
        <v>0</v>
      </c>
      <c r="GP159">
        <f>SUMIF('Как есть'!$A$45:$A$53,Доп.расчеты!$A159,'Как есть'!GQ$45:GQ$53)</f>
        <v>0</v>
      </c>
      <c r="GQ159">
        <f>SUMIF('Как есть'!$A$45:$A$53,Доп.расчеты!$A159,'Как есть'!GR$45:GR$53)</f>
        <v>0</v>
      </c>
      <c r="GR159">
        <f>SUMIF('Как есть'!$A$45:$A$53,Доп.расчеты!$A159,'Как есть'!GS$45:GS$53)</f>
        <v>0</v>
      </c>
      <c r="GS159">
        <f>SUMIF('Как есть'!$A$45:$A$53,Доп.расчеты!$A159,'Как есть'!GT$45:GT$53)</f>
        <v>0</v>
      </c>
      <c r="GT159">
        <f>SUMIF('Как есть'!$A$45:$A$53,Доп.расчеты!$A159,'Как есть'!GU$45:GU$53)</f>
        <v>0</v>
      </c>
    </row>
    <row r="160" spans="1:202" hidden="1" outlineLevel="1">
      <c r="A160" s="238" t="s">
        <v>96</v>
      </c>
      <c r="B160">
        <f>SUMIF('Как есть'!$A$45:$A$53,Доп.расчеты!$A160,'Как есть'!C$45:C$53)</f>
        <v>0</v>
      </c>
      <c r="C160">
        <f>SUMIF('Как есть'!$A$45:$A$53,Доп.расчеты!$A160,'Как есть'!D$45:D$53)</f>
        <v>0</v>
      </c>
      <c r="D160">
        <f>SUMIF('Как есть'!$A$45:$A$53,Доп.расчеты!$A160,'Как есть'!E$45:E$53)</f>
        <v>0</v>
      </c>
      <c r="E160">
        <f>SUMIF('Как есть'!$A$45:$A$53,Доп.расчеты!$A160,'Как есть'!F$45:F$53)</f>
        <v>0</v>
      </c>
      <c r="F160">
        <f>SUMIF('Как есть'!$A$45:$A$53,Доп.расчеты!$A160,'Как есть'!G$45:G$53)</f>
        <v>0</v>
      </c>
      <c r="G160">
        <f>SUMIF('Как есть'!$A$45:$A$53,Доп.расчеты!$A160,'Как есть'!H$45:H$53)</f>
        <v>0</v>
      </c>
      <c r="H160">
        <f>SUMIF('Как есть'!$A$45:$A$53,Доп.расчеты!$A160,'Как есть'!I$45:I$53)</f>
        <v>0</v>
      </c>
      <c r="I160">
        <f>SUMIF('Как есть'!$A$45:$A$53,Доп.расчеты!$A160,'Как есть'!J$45:J$53)</f>
        <v>0</v>
      </c>
      <c r="J160">
        <f>SUMIF('Как есть'!$A$45:$A$53,Доп.расчеты!$A160,'Как есть'!K$45:K$53)</f>
        <v>0</v>
      </c>
      <c r="K160">
        <f>SUMIF('Как есть'!$A$45:$A$53,Доп.расчеты!$A160,'Как есть'!L$45:L$53)</f>
        <v>0</v>
      </c>
      <c r="L160">
        <f>SUMIF('Как есть'!$A$45:$A$53,Доп.расчеты!$A160,'Как есть'!M$45:M$53)</f>
        <v>0</v>
      </c>
      <c r="M160">
        <f>SUMIF('Как есть'!$A$45:$A$53,Доп.расчеты!$A160,'Как есть'!N$45:N$53)</f>
        <v>0</v>
      </c>
      <c r="N160">
        <f>SUMIF('Как есть'!$A$45:$A$53,Доп.расчеты!$A160,'Как есть'!O$45:O$53)</f>
        <v>0</v>
      </c>
      <c r="O160">
        <f>SUMIF('Как есть'!$A$45:$A$53,Доп.расчеты!$A160,'Как есть'!P$45:P$53)</f>
        <v>0</v>
      </c>
      <c r="P160">
        <f>SUMIF('Как есть'!$A$45:$A$53,Доп.расчеты!$A160,'Как есть'!Q$45:Q$53)</f>
        <v>0</v>
      </c>
      <c r="Q160">
        <f>SUMIF('Как есть'!$A$45:$A$53,Доп.расчеты!$A160,'Как есть'!R$45:R$53)</f>
        <v>0</v>
      </c>
      <c r="R160">
        <f>SUMIF('Как есть'!$A$45:$A$53,Доп.расчеты!$A160,'Как есть'!S$45:S$53)</f>
        <v>0</v>
      </c>
      <c r="S160">
        <f>SUMIF('Как есть'!$A$45:$A$53,Доп.расчеты!$A160,'Как есть'!T$45:T$53)</f>
        <v>0</v>
      </c>
      <c r="T160">
        <f>SUMIF('Как есть'!$A$45:$A$53,Доп.расчеты!$A160,'Как есть'!U$45:U$53)</f>
        <v>0</v>
      </c>
      <c r="U160">
        <f>SUMIF('Как есть'!$A$45:$A$53,Доп.расчеты!$A160,'Как есть'!V$45:V$53)</f>
        <v>0</v>
      </c>
      <c r="V160">
        <f>SUMIF('Как есть'!$A$45:$A$53,Доп.расчеты!$A160,'Как есть'!W$45:W$53)</f>
        <v>0</v>
      </c>
      <c r="W160">
        <f>SUMIF('Как есть'!$A$45:$A$53,Доп.расчеты!$A160,'Как есть'!X$45:X$53)</f>
        <v>0</v>
      </c>
      <c r="X160">
        <f>SUMIF('Как есть'!$A$45:$A$53,Доп.расчеты!$A160,'Как есть'!Y$45:Y$53)</f>
        <v>0</v>
      </c>
      <c r="Y160">
        <f>SUMIF('Как есть'!$A$45:$A$53,Доп.расчеты!$A160,'Как есть'!Z$45:Z$53)</f>
        <v>0</v>
      </c>
      <c r="Z160">
        <f>SUMIF('Как есть'!$A$45:$A$53,Доп.расчеты!$A160,'Как есть'!AA$45:AA$53)</f>
        <v>0</v>
      </c>
      <c r="AA160">
        <f>SUMIF('Как есть'!$A$45:$A$53,Доп.расчеты!$A160,'Как есть'!AB$45:AB$53)</f>
        <v>0</v>
      </c>
      <c r="AB160">
        <f>SUMIF('Как есть'!$A$45:$A$53,Доп.расчеты!$A160,'Как есть'!AC$45:AC$53)</f>
        <v>0</v>
      </c>
      <c r="AC160">
        <f>SUMIF('Как есть'!$A$45:$A$53,Доп.расчеты!$A160,'Как есть'!AD$45:AD$53)</f>
        <v>0</v>
      </c>
      <c r="AD160">
        <f>SUMIF('Как есть'!$A$45:$A$53,Доп.расчеты!$A160,'Как есть'!AE$45:AE$53)</f>
        <v>0</v>
      </c>
      <c r="AE160">
        <f>SUMIF('Как есть'!$A$45:$A$53,Доп.расчеты!$A160,'Как есть'!AF$45:AF$53)</f>
        <v>0</v>
      </c>
      <c r="AF160">
        <f>SUMIF('Как есть'!$A$45:$A$53,Доп.расчеты!$A160,'Как есть'!AG$45:AG$53)</f>
        <v>0</v>
      </c>
      <c r="AG160">
        <f>SUMIF('Как есть'!$A$45:$A$53,Доп.расчеты!$A160,'Как есть'!AH$45:AH$53)</f>
        <v>0</v>
      </c>
      <c r="AH160">
        <f>SUMIF('Как есть'!$A$45:$A$53,Доп.расчеты!$A160,'Как есть'!AI$45:AI$53)</f>
        <v>0</v>
      </c>
      <c r="AI160">
        <f>SUMIF('Как есть'!$A$45:$A$53,Доп.расчеты!$A160,'Как есть'!AJ$45:AJ$53)</f>
        <v>0</v>
      </c>
      <c r="AJ160">
        <f>SUMIF('Как есть'!$A$45:$A$53,Доп.расчеты!$A160,'Как есть'!AK$45:AK$53)</f>
        <v>0</v>
      </c>
      <c r="AK160">
        <f>SUMIF('Как есть'!$A$45:$A$53,Доп.расчеты!$A160,'Как есть'!AL$45:AL$53)</f>
        <v>0</v>
      </c>
      <c r="AL160">
        <f>SUMIF('Как есть'!$A$45:$A$53,Доп.расчеты!$A160,'Как есть'!AM$45:AM$53)</f>
        <v>0</v>
      </c>
      <c r="AM160">
        <f>SUMIF('Как есть'!$A$45:$A$53,Доп.расчеты!$A160,'Как есть'!AN$45:AN$53)</f>
        <v>0</v>
      </c>
      <c r="AN160">
        <f>SUMIF('Как есть'!$A$45:$A$53,Доп.расчеты!$A160,'Как есть'!AO$45:AO$53)</f>
        <v>0</v>
      </c>
      <c r="AO160">
        <f>SUMIF('Как есть'!$A$45:$A$53,Доп.расчеты!$A160,'Как есть'!AP$45:AP$53)</f>
        <v>0</v>
      </c>
      <c r="AP160">
        <f>SUMIF('Как есть'!$A$45:$A$53,Доп.расчеты!$A160,'Как есть'!AQ$45:AQ$53)</f>
        <v>0</v>
      </c>
      <c r="AQ160">
        <f>SUMIF('Как есть'!$A$45:$A$53,Доп.расчеты!$A160,'Как есть'!AR$45:AR$53)</f>
        <v>0</v>
      </c>
      <c r="AR160">
        <f>SUMIF('Как есть'!$A$45:$A$53,Доп.расчеты!$A160,'Как есть'!AS$45:AS$53)</f>
        <v>0</v>
      </c>
      <c r="AS160">
        <f>SUMIF('Как есть'!$A$45:$A$53,Доп.расчеты!$A160,'Как есть'!AT$45:AT$53)</f>
        <v>0</v>
      </c>
      <c r="AT160">
        <f>SUMIF('Как есть'!$A$45:$A$53,Доп.расчеты!$A160,'Как есть'!AU$45:AU$53)</f>
        <v>0</v>
      </c>
      <c r="AU160">
        <f>SUMIF('Как есть'!$A$45:$A$53,Доп.расчеты!$A160,'Как есть'!AV$45:AV$53)</f>
        <v>0</v>
      </c>
      <c r="AV160">
        <f>SUMIF('Как есть'!$A$45:$A$53,Доп.расчеты!$A160,'Как есть'!AW$45:AW$53)</f>
        <v>0</v>
      </c>
      <c r="AW160">
        <f>SUMIF('Как есть'!$A$45:$A$53,Доп.расчеты!$A160,'Как есть'!AX$45:AX$53)</f>
        <v>0</v>
      </c>
      <c r="AX160">
        <f>SUMIF('Как есть'!$A$45:$A$53,Доп.расчеты!$A160,'Как есть'!AY$45:AY$53)</f>
        <v>0</v>
      </c>
      <c r="AY160">
        <f>SUMIF('Как есть'!$A$45:$A$53,Доп.расчеты!$A160,'Как есть'!AZ$45:AZ$53)</f>
        <v>0</v>
      </c>
      <c r="AZ160">
        <f>SUMIF('Как есть'!$A$45:$A$53,Доп.расчеты!$A160,'Как есть'!BA$45:BA$53)</f>
        <v>0</v>
      </c>
      <c r="BA160">
        <f>SUMIF('Как есть'!$A$45:$A$53,Доп.расчеты!$A160,'Как есть'!BB$45:BB$53)</f>
        <v>0</v>
      </c>
      <c r="BB160">
        <f>SUMIF('Как есть'!$A$45:$A$53,Доп.расчеты!$A160,'Как есть'!BC$45:BC$53)</f>
        <v>0</v>
      </c>
      <c r="BC160">
        <f>SUMIF('Как есть'!$A$45:$A$53,Доп.расчеты!$A160,'Как есть'!BD$45:BD$53)</f>
        <v>0</v>
      </c>
      <c r="BD160">
        <f>SUMIF('Как есть'!$A$45:$A$53,Доп.расчеты!$A160,'Как есть'!BE$45:BE$53)</f>
        <v>0</v>
      </c>
      <c r="BE160">
        <f>SUMIF('Как есть'!$A$45:$A$53,Доп.расчеты!$A160,'Как есть'!BF$45:BF$53)</f>
        <v>0</v>
      </c>
      <c r="BF160">
        <f>SUMIF('Как есть'!$A$45:$A$53,Доп.расчеты!$A160,'Как есть'!BG$45:BG$53)</f>
        <v>0</v>
      </c>
      <c r="BG160">
        <f>SUMIF('Как есть'!$A$45:$A$53,Доп.расчеты!$A160,'Как есть'!BH$45:BH$53)</f>
        <v>0</v>
      </c>
      <c r="BH160">
        <f>SUMIF('Как есть'!$A$45:$A$53,Доп.расчеты!$A160,'Как есть'!BI$45:BI$53)</f>
        <v>0</v>
      </c>
      <c r="BI160">
        <f>SUMIF('Как есть'!$A$45:$A$53,Доп.расчеты!$A160,'Как есть'!BJ$45:BJ$53)</f>
        <v>0</v>
      </c>
      <c r="BJ160">
        <f>SUMIF('Как есть'!$A$45:$A$53,Доп.расчеты!$A160,'Как есть'!BK$45:BK$53)</f>
        <v>0</v>
      </c>
      <c r="BK160">
        <f>SUMIF('Как есть'!$A$45:$A$53,Доп.расчеты!$A160,'Как есть'!BL$45:BL$53)</f>
        <v>0</v>
      </c>
      <c r="BL160">
        <f>SUMIF('Как есть'!$A$45:$A$53,Доп.расчеты!$A160,'Как есть'!BM$45:BM$53)</f>
        <v>0</v>
      </c>
      <c r="BM160">
        <f>SUMIF('Как есть'!$A$45:$A$53,Доп.расчеты!$A160,'Как есть'!BN$45:BN$53)</f>
        <v>0</v>
      </c>
      <c r="BN160">
        <f>SUMIF('Как есть'!$A$45:$A$53,Доп.расчеты!$A160,'Как есть'!BO$45:BO$53)</f>
        <v>0</v>
      </c>
      <c r="BO160">
        <f>SUMIF('Как есть'!$A$45:$A$53,Доп.расчеты!$A160,'Как есть'!BP$45:BP$53)</f>
        <v>0</v>
      </c>
      <c r="BP160">
        <f>SUMIF('Как есть'!$A$45:$A$53,Доп.расчеты!$A160,'Как есть'!BQ$45:BQ$53)</f>
        <v>0</v>
      </c>
      <c r="BQ160">
        <f>SUMIF('Как есть'!$A$45:$A$53,Доп.расчеты!$A160,'Как есть'!BR$45:BR$53)</f>
        <v>0</v>
      </c>
      <c r="BR160">
        <f>SUMIF('Как есть'!$A$45:$A$53,Доп.расчеты!$A160,'Как есть'!BS$45:BS$53)</f>
        <v>0</v>
      </c>
      <c r="BS160">
        <f>SUMIF('Как есть'!$A$45:$A$53,Доп.расчеты!$A160,'Как есть'!BT$45:BT$53)</f>
        <v>0</v>
      </c>
      <c r="BT160">
        <f>SUMIF('Как есть'!$A$45:$A$53,Доп.расчеты!$A160,'Как есть'!BU$45:BU$53)</f>
        <v>0</v>
      </c>
      <c r="BU160">
        <f>SUMIF('Как есть'!$A$45:$A$53,Доп.расчеты!$A160,'Как есть'!BV$45:BV$53)</f>
        <v>0</v>
      </c>
      <c r="BV160">
        <f>SUMIF('Как есть'!$A$45:$A$53,Доп.расчеты!$A160,'Как есть'!BW$45:BW$53)</f>
        <v>0</v>
      </c>
      <c r="BW160">
        <f>SUMIF('Как есть'!$A$45:$A$53,Доп.расчеты!$A160,'Как есть'!BX$45:BX$53)</f>
        <v>0</v>
      </c>
      <c r="BX160">
        <f>SUMIF('Как есть'!$A$45:$A$53,Доп.расчеты!$A160,'Как есть'!BY$45:BY$53)</f>
        <v>0</v>
      </c>
      <c r="BY160">
        <f>SUMIF('Как есть'!$A$45:$A$53,Доп.расчеты!$A160,'Как есть'!BZ$45:BZ$53)</f>
        <v>0</v>
      </c>
      <c r="BZ160">
        <f>SUMIF('Как есть'!$A$45:$A$53,Доп.расчеты!$A160,'Как есть'!CA$45:CA$53)</f>
        <v>0</v>
      </c>
      <c r="CA160">
        <f>SUMIF('Как есть'!$A$45:$A$53,Доп.расчеты!$A160,'Как есть'!CB$45:CB$53)</f>
        <v>0</v>
      </c>
      <c r="CB160">
        <f>SUMIF('Как есть'!$A$45:$A$53,Доп.расчеты!$A160,'Как есть'!CC$45:CC$53)</f>
        <v>0</v>
      </c>
      <c r="CC160">
        <f>SUMIF('Как есть'!$A$45:$A$53,Доп.расчеты!$A160,'Как есть'!CD$45:CD$53)</f>
        <v>0</v>
      </c>
      <c r="CD160">
        <f>SUMIF('Как есть'!$A$45:$A$53,Доп.расчеты!$A160,'Как есть'!CE$45:CE$53)</f>
        <v>0</v>
      </c>
      <c r="CE160">
        <f>SUMIF('Как есть'!$A$45:$A$53,Доп.расчеты!$A160,'Как есть'!CF$45:CF$53)</f>
        <v>0</v>
      </c>
      <c r="CF160">
        <f>SUMIF('Как есть'!$A$45:$A$53,Доп.расчеты!$A160,'Как есть'!CG$45:CG$53)</f>
        <v>0</v>
      </c>
      <c r="CG160">
        <f>SUMIF('Как есть'!$A$45:$A$53,Доп.расчеты!$A160,'Как есть'!CH$45:CH$53)</f>
        <v>0</v>
      </c>
      <c r="CH160">
        <f>SUMIF('Как есть'!$A$45:$A$53,Доп.расчеты!$A160,'Как есть'!CI$45:CI$53)</f>
        <v>0</v>
      </c>
      <c r="CI160">
        <f>SUMIF('Как есть'!$A$45:$A$53,Доп.расчеты!$A160,'Как есть'!CJ$45:CJ$53)</f>
        <v>0</v>
      </c>
      <c r="CJ160">
        <f>SUMIF('Как есть'!$A$45:$A$53,Доп.расчеты!$A160,'Как есть'!CK$45:CK$53)</f>
        <v>0</v>
      </c>
      <c r="CK160">
        <f>SUMIF('Как есть'!$A$45:$A$53,Доп.расчеты!$A160,'Как есть'!CL$45:CL$53)</f>
        <v>0</v>
      </c>
      <c r="CL160">
        <f>SUMIF('Как есть'!$A$45:$A$53,Доп.расчеты!$A160,'Как есть'!CM$45:CM$53)</f>
        <v>0</v>
      </c>
      <c r="CM160">
        <f>SUMIF('Как есть'!$A$45:$A$53,Доп.расчеты!$A160,'Как есть'!CN$45:CN$53)</f>
        <v>0</v>
      </c>
      <c r="CN160">
        <f>SUMIF('Как есть'!$A$45:$A$53,Доп.расчеты!$A160,'Как есть'!CO$45:CO$53)</f>
        <v>0</v>
      </c>
      <c r="CO160">
        <f>SUMIF('Как есть'!$A$45:$A$53,Доп.расчеты!$A160,'Как есть'!CP$45:CP$53)</f>
        <v>0</v>
      </c>
      <c r="CP160">
        <f>SUMIF('Как есть'!$A$45:$A$53,Доп.расчеты!$A160,'Как есть'!CQ$45:CQ$53)</f>
        <v>0</v>
      </c>
      <c r="CQ160">
        <f>SUMIF('Как есть'!$A$45:$A$53,Доп.расчеты!$A160,'Как есть'!CR$45:CR$53)</f>
        <v>0</v>
      </c>
      <c r="CR160">
        <f>SUMIF('Как есть'!$A$45:$A$53,Доп.расчеты!$A160,'Как есть'!CS$45:CS$53)</f>
        <v>0</v>
      </c>
      <c r="CS160">
        <f>SUMIF('Как есть'!$A$45:$A$53,Доп.расчеты!$A160,'Как есть'!CT$45:CT$53)</f>
        <v>0</v>
      </c>
      <c r="CT160">
        <f>SUMIF('Как есть'!$A$45:$A$53,Доп.расчеты!$A160,'Как есть'!CU$45:CU$53)</f>
        <v>0</v>
      </c>
      <c r="CU160">
        <f>SUMIF('Как есть'!$A$45:$A$53,Доп.расчеты!$A160,'Как есть'!CV$45:CV$53)</f>
        <v>0</v>
      </c>
      <c r="CV160">
        <f>SUMIF('Как есть'!$A$45:$A$53,Доп.расчеты!$A160,'Как есть'!CW$45:CW$53)</f>
        <v>0</v>
      </c>
      <c r="CW160">
        <f>SUMIF('Как есть'!$A$45:$A$53,Доп.расчеты!$A160,'Как есть'!CX$45:CX$53)</f>
        <v>0</v>
      </c>
      <c r="CX160">
        <f>SUMIF('Как есть'!$A$45:$A$53,Доп.расчеты!$A160,'Как есть'!CY$45:CY$53)</f>
        <v>0</v>
      </c>
      <c r="CY160">
        <f>SUMIF('Как есть'!$A$45:$A$53,Доп.расчеты!$A160,'Как есть'!CZ$45:CZ$53)</f>
        <v>0</v>
      </c>
      <c r="CZ160">
        <f>SUMIF('Как есть'!$A$45:$A$53,Доп.расчеты!$A160,'Как есть'!DA$45:DA$53)</f>
        <v>0</v>
      </c>
      <c r="DA160">
        <f>SUMIF('Как есть'!$A$45:$A$53,Доп.расчеты!$A160,'Как есть'!DB$45:DB$53)</f>
        <v>0</v>
      </c>
      <c r="DB160">
        <f>SUMIF('Как есть'!$A$45:$A$53,Доп.расчеты!$A160,'Как есть'!DC$45:DC$53)</f>
        <v>0</v>
      </c>
      <c r="DC160">
        <f>SUMIF('Как есть'!$A$45:$A$53,Доп.расчеты!$A160,'Как есть'!DD$45:DD$53)</f>
        <v>0</v>
      </c>
      <c r="DD160">
        <f>SUMIF('Как есть'!$A$45:$A$53,Доп.расчеты!$A160,'Как есть'!DE$45:DE$53)</f>
        <v>0</v>
      </c>
      <c r="DE160">
        <f>SUMIF('Как есть'!$A$45:$A$53,Доп.расчеты!$A160,'Как есть'!DF$45:DF$53)</f>
        <v>0</v>
      </c>
      <c r="DF160">
        <f>SUMIF('Как есть'!$A$45:$A$53,Доп.расчеты!$A160,'Как есть'!DG$45:DG$53)</f>
        <v>0</v>
      </c>
      <c r="DG160">
        <f>SUMIF('Как есть'!$A$45:$A$53,Доп.расчеты!$A160,'Как есть'!DH$45:DH$53)</f>
        <v>0</v>
      </c>
      <c r="DH160">
        <f>SUMIF('Как есть'!$A$45:$A$53,Доп.расчеты!$A160,'Как есть'!DI$45:DI$53)</f>
        <v>0</v>
      </c>
      <c r="DI160">
        <f>SUMIF('Как есть'!$A$45:$A$53,Доп.расчеты!$A160,'Как есть'!DJ$45:DJ$53)</f>
        <v>0</v>
      </c>
      <c r="DJ160">
        <f>SUMIF('Как есть'!$A$45:$A$53,Доп.расчеты!$A160,'Как есть'!DK$45:DK$53)</f>
        <v>0</v>
      </c>
      <c r="DK160">
        <f>SUMIF('Как есть'!$A$45:$A$53,Доп.расчеты!$A160,'Как есть'!DL$45:DL$53)</f>
        <v>0</v>
      </c>
      <c r="DL160">
        <f>SUMIF('Как есть'!$A$45:$A$53,Доп.расчеты!$A160,'Как есть'!DM$45:DM$53)</f>
        <v>0</v>
      </c>
      <c r="DM160">
        <f>SUMIF('Как есть'!$A$45:$A$53,Доп.расчеты!$A160,'Как есть'!DN$45:DN$53)</f>
        <v>0</v>
      </c>
      <c r="DN160">
        <f>SUMIF('Как есть'!$A$45:$A$53,Доп.расчеты!$A160,'Как есть'!DO$45:DO$53)</f>
        <v>0</v>
      </c>
      <c r="DO160">
        <f>SUMIF('Как есть'!$A$45:$A$53,Доп.расчеты!$A160,'Как есть'!DP$45:DP$53)</f>
        <v>0</v>
      </c>
      <c r="DP160">
        <f>SUMIF('Как есть'!$A$45:$A$53,Доп.расчеты!$A160,'Как есть'!DQ$45:DQ$53)</f>
        <v>0</v>
      </c>
      <c r="DQ160">
        <f>SUMIF('Как есть'!$A$45:$A$53,Доп.расчеты!$A160,'Как есть'!DR$45:DR$53)</f>
        <v>0</v>
      </c>
      <c r="DR160">
        <f>SUMIF('Как есть'!$A$45:$A$53,Доп.расчеты!$A160,'Как есть'!DS$45:DS$53)</f>
        <v>0</v>
      </c>
      <c r="DS160">
        <f>SUMIF('Как есть'!$A$45:$A$53,Доп.расчеты!$A160,'Как есть'!DT$45:DT$53)</f>
        <v>0</v>
      </c>
      <c r="DT160">
        <f>SUMIF('Как есть'!$A$45:$A$53,Доп.расчеты!$A160,'Как есть'!DU$45:DU$53)</f>
        <v>0</v>
      </c>
      <c r="DU160">
        <f>SUMIF('Как есть'!$A$45:$A$53,Доп.расчеты!$A160,'Как есть'!DV$45:DV$53)</f>
        <v>0</v>
      </c>
      <c r="DV160">
        <f>SUMIF('Как есть'!$A$45:$A$53,Доп.расчеты!$A160,'Как есть'!DW$45:DW$53)</f>
        <v>0</v>
      </c>
      <c r="DW160">
        <f>SUMIF('Как есть'!$A$45:$A$53,Доп.расчеты!$A160,'Как есть'!DX$45:DX$53)</f>
        <v>0</v>
      </c>
      <c r="DX160">
        <f>SUMIF('Как есть'!$A$45:$A$53,Доп.расчеты!$A160,'Как есть'!DY$45:DY$53)</f>
        <v>0</v>
      </c>
      <c r="DY160">
        <f>SUMIF('Как есть'!$A$45:$A$53,Доп.расчеты!$A160,'Как есть'!DZ$45:DZ$53)</f>
        <v>0</v>
      </c>
      <c r="DZ160">
        <f>SUMIF('Как есть'!$A$45:$A$53,Доп.расчеты!$A160,'Как есть'!EA$45:EA$53)</f>
        <v>0</v>
      </c>
      <c r="EA160">
        <f>SUMIF('Как есть'!$A$45:$A$53,Доп.расчеты!$A160,'Как есть'!EB$45:EB$53)</f>
        <v>0</v>
      </c>
      <c r="EB160">
        <f>SUMIF('Как есть'!$A$45:$A$53,Доп.расчеты!$A160,'Как есть'!EC$45:EC$53)</f>
        <v>0</v>
      </c>
      <c r="EC160">
        <f>SUMIF('Как есть'!$A$45:$A$53,Доп.расчеты!$A160,'Как есть'!ED$45:ED$53)</f>
        <v>0</v>
      </c>
      <c r="ED160">
        <f>SUMIF('Как есть'!$A$45:$A$53,Доп.расчеты!$A160,'Как есть'!EE$45:EE$53)</f>
        <v>0</v>
      </c>
      <c r="EE160">
        <f>SUMIF('Как есть'!$A$45:$A$53,Доп.расчеты!$A160,'Как есть'!EF$45:EF$53)</f>
        <v>0</v>
      </c>
      <c r="EF160">
        <f>SUMIF('Как есть'!$A$45:$A$53,Доп.расчеты!$A160,'Как есть'!EG$45:EG$53)</f>
        <v>0</v>
      </c>
      <c r="EG160">
        <f>SUMIF('Как есть'!$A$45:$A$53,Доп.расчеты!$A160,'Как есть'!EH$45:EH$53)</f>
        <v>0</v>
      </c>
      <c r="EH160">
        <f>SUMIF('Как есть'!$A$45:$A$53,Доп.расчеты!$A160,'Как есть'!EI$45:EI$53)</f>
        <v>0</v>
      </c>
      <c r="EI160">
        <f>SUMIF('Как есть'!$A$45:$A$53,Доп.расчеты!$A160,'Как есть'!EJ$45:EJ$53)</f>
        <v>0</v>
      </c>
      <c r="EJ160">
        <f>SUMIF('Как есть'!$A$45:$A$53,Доп.расчеты!$A160,'Как есть'!EK$45:EK$53)</f>
        <v>0</v>
      </c>
      <c r="EK160">
        <f>SUMIF('Как есть'!$A$45:$A$53,Доп.расчеты!$A160,'Как есть'!EL$45:EL$53)</f>
        <v>0</v>
      </c>
      <c r="EL160">
        <f>SUMIF('Как есть'!$A$45:$A$53,Доп.расчеты!$A160,'Как есть'!EM$45:EM$53)</f>
        <v>0</v>
      </c>
      <c r="EM160">
        <f>SUMIF('Как есть'!$A$45:$A$53,Доп.расчеты!$A160,'Как есть'!EN$45:EN$53)</f>
        <v>0</v>
      </c>
      <c r="EN160">
        <f>SUMIF('Как есть'!$A$45:$A$53,Доп.расчеты!$A160,'Как есть'!EO$45:EO$53)</f>
        <v>0</v>
      </c>
      <c r="EO160">
        <f>SUMIF('Как есть'!$A$45:$A$53,Доп.расчеты!$A160,'Как есть'!EP$45:EP$53)</f>
        <v>0</v>
      </c>
      <c r="EP160">
        <f>SUMIF('Как есть'!$A$45:$A$53,Доп.расчеты!$A160,'Как есть'!EQ$45:EQ$53)</f>
        <v>0</v>
      </c>
      <c r="EQ160">
        <f>SUMIF('Как есть'!$A$45:$A$53,Доп.расчеты!$A160,'Как есть'!ER$45:ER$53)</f>
        <v>0</v>
      </c>
      <c r="ER160">
        <f>SUMIF('Как есть'!$A$45:$A$53,Доп.расчеты!$A160,'Как есть'!ES$45:ES$53)</f>
        <v>0</v>
      </c>
      <c r="ES160">
        <f>SUMIF('Как есть'!$A$45:$A$53,Доп.расчеты!$A160,'Как есть'!ET$45:ET$53)</f>
        <v>0</v>
      </c>
      <c r="ET160">
        <f>SUMIF('Как есть'!$A$45:$A$53,Доп.расчеты!$A160,'Как есть'!EU$45:EU$53)</f>
        <v>0</v>
      </c>
      <c r="EU160">
        <f>SUMIF('Как есть'!$A$45:$A$53,Доп.расчеты!$A160,'Как есть'!EV$45:EV$53)</f>
        <v>0</v>
      </c>
      <c r="EV160">
        <f>SUMIF('Как есть'!$A$45:$A$53,Доп.расчеты!$A160,'Как есть'!EW$45:EW$53)</f>
        <v>0</v>
      </c>
      <c r="EW160">
        <f>SUMIF('Как есть'!$A$45:$A$53,Доп.расчеты!$A160,'Как есть'!EX$45:EX$53)</f>
        <v>0</v>
      </c>
      <c r="EX160">
        <f>SUMIF('Как есть'!$A$45:$A$53,Доп.расчеты!$A160,'Как есть'!EY$45:EY$53)</f>
        <v>0</v>
      </c>
      <c r="EY160">
        <f>SUMIF('Как есть'!$A$45:$A$53,Доп.расчеты!$A160,'Как есть'!EZ$45:EZ$53)</f>
        <v>0</v>
      </c>
      <c r="EZ160">
        <f>SUMIF('Как есть'!$A$45:$A$53,Доп.расчеты!$A160,'Как есть'!FA$45:FA$53)</f>
        <v>0</v>
      </c>
      <c r="FA160">
        <f>SUMIF('Как есть'!$A$45:$A$53,Доп.расчеты!$A160,'Как есть'!FB$45:FB$53)</f>
        <v>0</v>
      </c>
      <c r="FB160">
        <f>SUMIF('Как есть'!$A$45:$A$53,Доп.расчеты!$A160,'Как есть'!FC$45:FC$53)</f>
        <v>0</v>
      </c>
      <c r="FC160">
        <f>SUMIF('Как есть'!$A$45:$A$53,Доп.расчеты!$A160,'Как есть'!FD$45:FD$53)</f>
        <v>0</v>
      </c>
      <c r="FD160">
        <f>SUMIF('Как есть'!$A$45:$A$53,Доп.расчеты!$A160,'Как есть'!FE$45:FE$53)</f>
        <v>0</v>
      </c>
      <c r="FE160">
        <f>SUMIF('Как есть'!$A$45:$A$53,Доп.расчеты!$A160,'Как есть'!FF$45:FF$53)</f>
        <v>0</v>
      </c>
      <c r="FF160">
        <f>SUMIF('Как есть'!$A$45:$A$53,Доп.расчеты!$A160,'Как есть'!FG$45:FG$53)</f>
        <v>0</v>
      </c>
      <c r="FG160">
        <f>SUMIF('Как есть'!$A$45:$A$53,Доп.расчеты!$A160,'Как есть'!FH$45:FH$53)</f>
        <v>0</v>
      </c>
      <c r="FH160">
        <f>SUMIF('Как есть'!$A$45:$A$53,Доп.расчеты!$A160,'Как есть'!FI$45:FI$53)</f>
        <v>0</v>
      </c>
      <c r="FI160">
        <f>SUMIF('Как есть'!$A$45:$A$53,Доп.расчеты!$A160,'Как есть'!FJ$45:FJ$53)</f>
        <v>0</v>
      </c>
      <c r="FJ160">
        <f>SUMIF('Как есть'!$A$45:$A$53,Доп.расчеты!$A160,'Как есть'!FK$45:FK$53)</f>
        <v>0</v>
      </c>
      <c r="FK160">
        <f>SUMIF('Как есть'!$A$45:$A$53,Доп.расчеты!$A160,'Как есть'!FL$45:FL$53)</f>
        <v>0</v>
      </c>
      <c r="FL160">
        <f>SUMIF('Как есть'!$A$45:$A$53,Доп.расчеты!$A160,'Как есть'!FM$45:FM$53)</f>
        <v>0</v>
      </c>
      <c r="FM160">
        <f>SUMIF('Как есть'!$A$45:$A$53,Доп.расчеты!$A160,'Как есть'!FN$45:FN$53)</f>
        <v>0</v>
      </c>
      <c r="FN160">
        <f>SUMIF('Как есть'!$A$45:$A$53,Доп.расчеты!$A160,'Как есть'!FO$45:FO$53)</f>
        <v>0</v>
      </c>
      <c r="FO160">
        <f>SUMIF('Как есть'!$A$45:$A$53,Доп.расчеты!$A160,'Как есть'!FP$45:FP$53)</f>
        <v>0</v>
      </c>
      <c r="FP160">
        <f>SUMIF('Как есть'!$A$45:$A$53,Доп.расчеты!$A160,'Как есть'!FQ$45:FQ$53)</f>
        <v>0</v>
      </c>
      <c r="FQ160">
        <f>SUMIF('Как есть'!$A$45:$A$53,Доп.расчеты!$A160,'Как есть'!FR$45:FR$53)</f>
        <v>0</v>
      </c>
      <c r="FR160">
        <f>SUMIF('Как есть'!$A$45:$A$53,Доп.расчеты!$A160,'Как есть'!FS$45:FS$53)</f>
        <v>0</v>
      </c>
      <c r="FS160">
        <f>SUMIF('Как есть'!$A$45:$A$53,Доп.расчеты!$A160,'Как есть'!FT$45:FT$53)</f>
        <v>0</v>
      </c>
      <c r="FT160">
        <f>SUMIF('Как есть'!$A$45:$A$53,Доп.расчеты!$A160,'Как есть'!FU$45:FU$53)</f>
        <v>0</v>
      </c>
      <c r="FU160">
        <f>SUMIF('Как есть'!$A$45:$A$53,Доп.расчеты!$A160,'Как есть'!FV$45:FV$53)</f>
        <v>0</v>
      </c>
      <c r="FV160">
        <f>SUMIF('Как есть'!$A$45:$A$53,Доп.расчеты!$A160,'Как есть'!FW$45:FW$53)</f>
        <v>0</v>
      </c>
      <c r="FW160">
        <f>SUMIF('Как есть'!$A$45:$A$53,Доп.расчеты!$A160,'Как есть'!FX$45:FX$53)</f>
        <v>0</v>
      </c>
      <c r="FX160">
        <f>SUMIF('Как есть'!$A$45:$A$53,Доп.расчеты!$A160,'Как есть'!FY$45:FY$53)</f>
        <v>0</v>
      </c>
      <c r="FY160">
        <f>SUMIF('Как есть'!$A$45:$A$53,Доп.расчеты!$A160,'Как есть'!FZ$45:FZ$53)</f>
        <v>0</v>
      </c>
      <c r="FZ160">
        <f>SUMIF('Как есть'!$A$45:$A$53,Доп.расчеты!$A160,'Как есть'!GA$45:GA$53)</f>
        <v>0</v>
      </c>
      <c r="GA160">
        <f>SUMIF('Как есть'!$A$45:$A$53,Доп.расчеты!$A160,'Как есть'!GB$45:GB$53)</f>
        <v>0</v>
      </c>
      <c r="GB160">
        <f>SUMIF('Как есть'!$A$45:$A$53,Доп.расчеты!$A160,'Как есть'!GC$45:GC$53)</f>
        <v>0</v>
      </c>
      <c r="GC160">
        <f>SUMIF('Как есть'!$A$45:$A$53,Доп.расчеты!$A160,'Как есть'!GD$45:GD$53)</f>
        <v>0</v>
      </c>
      <c r="GD160">
        <f>SUMIF('Как есть'!$A$45:$A$53,Доп.расчеты!$A160,'Как есть'!GE$45:GE$53)</f>
        <v>0</v>
      </c>
      <c r="GE160">
        <f>SUMIF('Как есть'!$A$45:$A$53,Доп.расчеты!$A160,'Как есть'!GF$45:GF$53)</f>
        <v>0</v>
      </c>
      <c r="GF160">
        <f>SUMIF('Как есть'!$A$45:$A$53,Доп.расчеты!$A160,'Как есть'!GG$45:GG$53)</f>
        <v>0</v>
      </c>
      <c r="GG160">
        <f>SUMIF('Как есть'!$A$45:$A$53,Доп.расчеты!$A160,'Как есть'!GH$45:GH$53)</f>
        <v>0</v>
      </c>
      <c r="GH160">
        <f>SUMIF('Как есть'!$A$45:$A$53,Доп.расчеты!$A160,'Как есть'!GI$45:GI$53)</f>
        <v>0</v>
      </c>
      <c r="GI160">
        <f>SUMIF('Как есть'!$A$45:$A$53,Доп.расчеты!$A160,'Как есть'!GJ$45:GJ$53)</f>
        <v>0</v>
      </c>
      <c r="GJ160">
        <f>SUMIF('Как есть'!$A$45:$A$53,Доп.расчеты!$A160,'Как есть'!GK$45:GK$53)</f>
        <v>0</v>
      </c>
      <c r="GK160">
        <f>SUMIF('Как есть'!$A$45:$A$53,Доп.расчеты!$A160,'Как есть'!GL$45:GL$53)</f>
        <v>0</v>
      </c>
      <c r="GL160">
        <f>SUMIF('Как есть'!$A$45:$A$53,Доп.расчеты!$A160,'Как есть'!GM$45:GM$53)</f>
        <v>0</v>
      </c>
      <c r="GM160">
        <f>SUMIF('Как есть'!$A$45:$A$53,Доп.расчеты!$A160,'Как есть'!GN$45:GN$53)</f>
        <v>0</v>
      </c>
      <c r="GN160">
        <f>SUMIF('Как есть'!$A$45:$A$53,Доп.расчеты!$A160,'Как есть'!GO$45:GO$53)</f>
        <v>0</v>
      </c>
      <c r="GO160">
        <f>SUMIF('Как есть'!$A$45:$A$53,Доп.расчеты!$A160,'Как есть'!GP$45:GP$53)</f>
        <v>0</v>
      </c>
      <c r="GP160">
        <f>SUMIF('Как есть'!$A$45:$A$53,Доп.расчеты!$A160,'Как есть'!GQ$45:GQ$53)</f>
        <v>0</v>
      </c>
      <c r="GQ160">
        <f>SUMIF('Как есть'!$A$45:$A$53,Доп.расчеты!$A160,'Как есть'!GR$45:GR$53)</f>
        <v>0</v>
      </c>
      <c r="GR160">
        <f>SUMIF('Как есть'!$A$45:$A$53,Доп.расчеты!$A160,'Как есть'!GS$45:GS$53)</f>
        <v>0</v>
      </c>
      <c r="GS160">
        <f>SUMIF('Как есть'!$A$45:$A$53,Доп.расчеты!$A160,'Как есть'!GT$45:GT$53)</f>
        <v>0</v>
      </c>
      <c r="GT160">
        <f>SUMIF('Как есть'!$A$45:$A$53,Доп.расчеты!$A160,'Как есть'!GU$45:GU$53)</f>
        <v>0</v>
      </c>
    </row>
    <row r="161" spans="1:202" hidden="1" outlineLevel="1">
      <c r="A161" s="238" t="s">
        <v>97</v>
      </c>
      <c r="B161">
        <f>SUMIF('Как есть'!$A$45:$A$53,Доп.расчеты!$A161,'Как есть'!C$45:C$53)</f>
        <v>0</v>
      </c>
      <c r="C161">
        <f>SUMIF('Как есть'!$A$45:$A$53,Доп.расчеты!$A161,'Как есть'!D$45:D$53)</f>
        <v>0</v>
      </c>
      <c r="D161">
        <f>SUMIF('Как есть'!$A$45:$A$53,Доп.расчеты!$A161,'Как есть'!E$45:E$53)</f>
        <v>0</v>
      </c>
      <c r="E161">
        <f>SUMIF('Как есть'!$A$45:$A$53,Доп.расчеты!$A161,'Как есть'!F$45:F$53)</f>
        <v>0</v>
      </c>
      <c r="F161">
        <f>SUMIF('Как есть'!$A$45:$A$53,Доп.расчеты!$A161,'Как есть'!G$45:G$53)</f>
        <v>0</v>
      </c>
      <c r="G161">
        <f>SUMIF('Как есть'!$A$45:$A$53,Доп.расчеты!$A161,'Как есть'!H$45:H$53)</f>
        <v>0</v>
      </c>
      <c r="H161">
        <f>SUMIF('Как есть'!$A$45:$A$53,Доп.расчеты!$A161,'Как есть'!I$45:I$53)</f>
        <v>0</v>
      </c>
      <c r="I161">
        <f>SUMIF('Как есть'!$A$45:$A$53,Доп.расчеты!$A161,'Как есть'!J$45:J$53)</f>
        <v>0</v>
      </c>
      <c r="J161">
        <f>SUMIF('Как есть'!$A$45:$A$53,Доп.расчеты!$A161,'Как есть'!K$45:K$53)</f>
        <v>0</v>
      </c>
      <c r="K161">
        <f>SUMIF('Как есть'!$A$45:$A$53,Доп.расчеты!$A161,'Как есть'!L$45:L$53)</f>
        <v>0</v>
      </c>
      <c r="L161">
        <f>SUMIF('Как есть'!$A$45:$A$53,Доп.расчеты!$A161,'Как есть'!M$45:M$53)</f>
        <v>0</v>
      </c>
      <c r="M161">
        <f>SUMIF('Как есть'!$A$45:$A$53,Доп.расчеты!$A161,'Как есть'!N$45:N$53)</f>
        <v>0</v>
      </c>
      <c r="N161">
        <f>SUMIF('Как есть'!$A$45:$A$53,Доп.расчеты!$A161,'Как есть'!O$45:O$53)</f>
        <v>0</v>
      </c>
      <c r="O161">
        <f>SUMIF('Как есть'!$A$45:$A$53,Доп.расчеты!$A161,'Как есть'!P$45:P$53)</f>
        <v>0</v>
      </c>
      <c r="P161">
        <f>SUMIF('Как есть'!$A$45:$A$53,Доп.расчеты!$A161,'Как есть'!Q$45:Q$53)</f>
        <v>0</v>
      </c>
      <c r="Q161">
        <f>SUMIF('Как есть'!$A$45:$A$53,Доп.расчеты!$A161,'Как есть'!R$45:R$53)</f>
        <v>0</v>
      </c>
      <c r="R161">
        <f>SUMIF('Как есть'!$A$45:$A$53,Доп.расчеты!$A161,'Как есть'!S$45:S$53)</f>
        <v>0</v>
      </c>
      <c r="S161">
        <f>SUMIF('Как есть'!$A$45:$A$53,Доп.расчеты!$A161,'Как есть'!T$45:T$53)</f>
        <v>0</v>
      </c>
      <c r="T161">
        <f>SUMIF('Как есть'!$A$45:$A$53,Доп.расчеты!$A161,'Как есть'!U$45:U$53)</f>
        <v>0</v>
      </c>
      <c r="U161">
        <f>SUMIF('Как есть'!$A$45:$A$53,Доп.расчеты!$A161,'Как есть'!V$45:V$53)</f>
        <v>0</v>
      </c>
      <c r="V161">
        <f>SUMIF('Как есть'!$A$45:$A$53,Доп.расчеты!$A161,'Как есть'!W$45:W$53)</f>
        <v>0</v>
      </c>
      <c r="W161">
        <f>SUMIF('Как есть'!$A$45:$A$53,Доп.расчеты!$A161,'Как есть'!X$45:X$53)</f>
        <v>0</v>
      </c>
      <c r="X161">
        <f>SUMIF('Как есть'!$A$45:$A$53,Доп.расчеты!$A161,'Как есть'!Y$45:Y$53)</f>
        <v>0</v>
      </c>
      <c r="Y161">
        <f>SUMIF('Как есть'!$A$45:$A$53,Доп.расчеты!$A161,'Как есть'!Z$45:Z$53)</f>
        <v>0</v>
      </c>
      <c r="Z161">
        <f>SUMIF('Как есть'!$A$45:$A$53,Доп.расчеты!$A161,'Как есть'!AA$45:AA$53)</f>
        <v>0</v>
      </c>
      <c r="AA161">
        <f>SUMIF('Как есть'!$A$45:$A$53,Доп.расчеты!$A161,'Как есть'!AB$45:AB$53)</f>
        <v>0</v>
      </c>
      <c r="AB161">
        <f>SUMIF('Как есть'!$A$45:$A$53,Доп.расчеты!$A161,'Как есть'!AC$45:AC$53)</f>
        <v>0</v>
      </c>
      <c r="AC161">
        <f>SUMIF('Как есть'!$A$45:$A$53,Доп.расчеты!$A161,'Как есть'!AD$45:AD$53)</f>
        <v>0</v>
      </c>
      <c r="AD161">
        <f>SUMIF('Как есть'!$A$45:$A$53,Доп.расчеты!$A161,'Как есть'!AE$45:AE$53)</f>
        <v>0</v>
      </c>
      <c r="AE161">
        <f>SUMIF('Как есть'!$A$45:$A$53,Доп.расчеты!$A161,'Как есть'!AF$45:AF$53)</f>
        <v>0</v>
      </c>
      <c r="AF161">
        <f>SUMIF('Как есть'!$A$45:$A$53,Доп.расчеты!$A161,'Как есть'!AG$45:AG$53)</f>
        <v>0</v>
      </c>
      <c r="AG161">
        <f>SUMIF('Как есть'!$A$45:$A$53,Доп.расчеты!$A161,'Как есть'!AH$45:AH$53)</f>
        <v>0</v>
      </c>
      <c r="AH161">
        <f>SUMIF('Как есть'!$A$45:$A$53,Доп.расчеты!$A161,'Как есть'!AI$45:AI$53)</f>
        <v>0</v>
      </c>
      <c r="AI161">
        <f>SUMIF('Как есть'!$A$45:$A$53,Доп.расчеты!$A161,'Как есть'!AJ$45:AJ$53)</f>
        <v>0</v>
      </c>
      <c r="AJ161">
        <f>SUMIF('Как есть'!$A$45:$A$53,Доп.расчеты!$A161,'Как есть'!AK$45:AK$53)</f>
        <v>0</v>
      </c>
      <c r="AK161">
        <f>SUMIF('Как есть'!$A$45:$A$53,Доп.расчеты!$A161,'Как есть'!AL$45:AL$53)</f>
        <v>0</v>
      </c>
      <c r="AL161">
        <f>SUMIF('Как есть'!$A$45:$A$53,Доп.расчеты!$A161,'Как есть'!AM$45:AM$53)</f>
        <v>0</v>
      </c>
      <c r="AM161">
        <f>SUMIF('Как есть'!$A$45:$A$53,Доп.расчеты!$A161,'Как есть'!AN$45:AN$53)</f>
        <v>0</v>
      </c>
      <c r="AN161">
        <f>SUMIF('Как есть'!$A$45:$A$53,Доп.расчеты!$A161,'Как есть'!AO$45:AO$53)</f>
        <v>0</v>
      </c>
      <c r="AO161">
        <f>SUMIF('Как есть'!$A$45:$A$53,Доп.расчеты!$A161,'Как есть'!AP$45:AP$53)</f>
        <v>0</v>
      </c>
      <c r="AP161">
        <f>SUMIF('Как есть'!$A$45:$A$53,Доп.расчеты!$A161,'Как есть'!AQ$45:AQ$53)</f>
        <v>0</v>
      </c>
      <c r="AQ161">
        <f>SUMIF('Как есть'!$A$45:$A$53,Доп.расчеты!$A161,'Как есть'!AR$45:AR$53)</f>
        <v>0</v>
      </c>
      <c r="AR161">
        <f>SUMIF('Как есть'!$A$45:$A$53,Доп.расчеты!$A161,'Как есть'!AS$45:AS$53)</f>
        <v>0</v>
      </c>
      <c r="AS161">
        <f>SUMIF('Как есть'!$A$45:$A$53,Доп.расчеты!$A161,'Как есть'!AT$45:AT$53)</f>
        <v>0</v>
      </c>
      <c r="AT161">
        <f>SUMIF('Как есть'!$A$45:$A$53,Доп.расчеты!$A161,'Как есть'!AU$45:AU$53)</f>
        <v>0</v>
      </c>
      <c r="AU161">
        <f>SUMIF('Как есть'!$A$45:$A$53,Доп.расчеты!$A161,'Как есть'!AV$45:AV$53)</f>
        <v>0</v>
      </c>
      <c r="AV161">
        <f>SUMIF('Как есть'!$A$45:$A$53,Доп.расчеты!$A161,'Как есть'!AW$45:AW$53)</f>
        <v>0</v>
      </c>
      <c r="AW161">
        <f>SUMIF('Как есть'!$A$45:$A$53,Доп.расчеты!$A161,'Как есть'!AX$45:AX$53)</f>
        <v>0</v>
      </c>
      <c r="AX161">
        <f>SUMIF('Как есть'!$A$45:$A$53,Доп.расчеты!$A161,'Как есть'!AY$45:AY$53)</f>
        <v>0</v>
      </c>
      <c r="AY161">
        <f>SUMIF('Как есть'!$A$45:$A$53,Доп.расчеты!$A161,'Как есть'!AZ$45:AZ$53)</f>
        <v>0</v>
      </c>
      <c r="AZ161">
        <f>SUMIF('Как есть'!$A$45:$A$53,Доп.расчеты!$A161,'Как есть'!BA$45:BA$53)</f>
        <v>0</v>
      </c>
      <c r="BA161">
        <f>SUMIF('Как есть'!$A$45:$A$53,Доп.расчеты!$A161,'Как есть'!BB$45:BB$53)</f>
        <v>0</v>
      </c>
      <c r="BB161">
        <f>SUMIF('Как есть'!$A$45:$A$53,Доп.расчеты!$A161,'Как есть'!BC$45:BC$53)</f>
        <v>0</v>
      </c>
      <c r="BC161">
        <f>SUMIF('Как есть'!$A$45:$A$53,Доп.расчеты!$A161,'Как есть'!BD$45:BD$53)</f>
        <v>0</v>
      </c>
      <c r="BD161">
        <f>SUMIF('Как есть'!$A$45:$A$53,Доп.расчеты!$A161,'Как есть'!BE$45:BE$53)</f>
        <v>0</v>
      </c>
      <c r="BE161">
        <f>SUMIF('Как есть'!$A$45:$A$53,Доп.расчеты!$A161,'Как есть'!BF$45:BF$53)</f>
        <v>0</v>
      </c>
      <c r="BF161">
        <f>SUMIF('Как есть'!$A$45:$A$53,Доп.расчеты!$A161,'Как есть'!BG$45:BG$53)</f>
        <v>0</v>
      </c>
      <c r="BG161">
        <f>SUMIF('Как есть'!$A$45:$A$53,Доп.расчеты!$A161,'Как есть'!BH$45:BH$53)</f>
        <v>0</v>
      </c>
      <c r="BH161">
        <f>SUMIF('Как есть'!$A$45:$A$53,Доп.расчеты!$A161,'Как есть'!BI$45:BI$53)</f>
        <v>0</v>
      </c>
      <c r="BI161">
        <f>SUMIF('Как есть'!$A$45:$A$53,Доп.расчеты!$A161,'Как есть'!BJ$45:BJ$53)</f>
        <v>0</v>
      </c>
      <c r="BJ161">
        <f>SUMIF('Как есть'!$A$45:$A$53,Доп.расчеты!$A161,'Как есть'!BK$45:BK$53)</f>
        <v>0</v>
      </c>
      <c r="BK161">
        <f>SUMIF('Как есть'!$A$45:$A$53,Доп.расчеты!$A161,'Как есть'!BL$45:BL$53)</f>
        <v>0</v>
      </c>
      <c r="BL161">
        <f>SUMIF('Как есть'!$A$45:$A$53,Доп.расчеты!$A161,'Как есть'!BM$45:BM$53)</f>
        <v>0</v>
      </c>
      <c r="BM161">
        <f>SUMIF('Как есть'!$A$45:$A$53,Доп.расчеты!$A161,'Как есть'!BN$45:BN$53)</f>
        <v>0</v>
      </c>
      <c r="BN161">
        <f>SUMIF('Как есть'!$A$45:$A$53,Доп.расчеты!$A161,'Как есть'!BO$45:BO$53)</f>
        <v>0</v>
      </c>
      <c r="BO161">
        <f>SUMIF('Как есть'!$A$45:$A$53,Доп.расчеты!$A161,'Как есть'!BP$45:BP$53)</f>
        <v>0</v>
      </c>
      <c r="BP161">
        <f>SUMIF('Как есть'!$A$45:$A$53,Доп.расчеты!$A161,'Как есть'!BQ$45:BQ$53)</f>
        <v>0</v>
      </c>
      <c r="BQ161">
        <f>SUMIF('Как есть'!$A$45:$A$53,Доп.расчеты!$A161,'Как есть'!BR$45:BR$53)</f>
        <v>0</v>
      </c>
      <c r="BR161">
        <f>SUMIF('Как есть'!$A$45:$A$53,Доп.расчеты!$A161,'Как есть'!BS$45:BS$53)</f>
        <v>0</v>
      </c>
      <c r="BS161">
        <f>SUMIF('Как есть'!$A$45:$A$53,Доп.расчеты!$A161,'Как есть'!BT$45:BT$53)</f>
        <v>0</v>
      </c>
      <c r="BT161">
        <f>SUMIF('Как есть'!$A$45:$A$53,Доп.расчеты!$A161,'Как есть'!BU$45:BU$53)</f>
        <v>0</v>
      </c>
      <c r="BU161">
        <f>SUMIF('Как есть'!$A$45:$A$53,Доп.расчеты!$A161,'Как есть'!BV$45:BV$53)</f>
        <v>0</v>
      </c>
      <c r="BV161">
        <f>SUMIF('Как есть'!$A$45:$A$53,Доп.расчеты!$A161,'Как есть'!BW$45:BW$53)</f>
        <v>0</v>
      </c>
      <c r="BW161">
        <f>SUMIF('Как есть'!$A$45:$A$53,Доп.расчеты!$A161,'Как есть'!BX$45:BX$53)</f>
        <v>0</v>
      </c>
      <c r="BX161">
        <f>SUMIF('Как есть'!$A$45:$A$53,Доп.расчеты!$A161,'Как есть'!BY$45:BY$53)</f>
        <v>0</v>
      </c>
      <c r="BY161">
        <f>SUMIF('Как есть'!$A$45:$A$53,Доп.расчеты!$A161,'Как есть'!BZ$45:BZ$53)</f>
        <v>0</v>
      </c>
      <c r="BZ161">
        <f>SUMIF('Как есть'!$A$45:$A$53,Доп.расчеты!$A161,'Как есть'!CA$45:CA$53)</f>
        <v>0</v>
      </c>
      <c r="CA161">
        <f>SUMIF('Как есть'!$A$45:$A$53,Доп.расчеты!$A161,'Как есть'!CB$45:CB$53)</f>
        <v>0</v>
      </c>
      <c r="CB161">
        <f>SUMIF('Как есть'!$A$45:$A$53,Доп.расчеты!$A161,'Как есть'!CC$45:CC$53)</f>
        <v>0</v>
      </c>
      <c r="CC161">
        <f>SUMIF('Как есть'!$A$45:$A$53,Доп.расчеты!$A161,'Как есть'!CD$45:CD$53)</f>
        <v>0</v>
      </c>
      <c r="CD161">
        <f>SUMIF('Как есть'!$A$45:$A$53,Доп.расчеты!$A161,'Как есть'!CE$45:CE$53)</f>
        <v>0</v>
      </c>
      <c r="CE161">
        <f>SUMIF('Как есть'!$A$45:$A$53,Доп.расчеты!$A161,'Как есть'!CF$45:CF$53)</f>
        <v>0</v>
      </c>
      <c r="CF161">
        <f>SUMIF('Как есть'!$A$45:$A$53,Доп.расчеты!$A161,'Как есть'!CG$45:CG$53)</f>
        <v>0</v>
      </c>
      <c r="CG161">
        <f>SUMIF('Как есть'!$A$45:$A$53,Доп.расчеты!$A161,'Как есть'!CH$45:CH$53)</f>
        <v>0</v>
      </c>
      <c r="CH161">
        <f>SUMIF('Как есть'!$A$45:$A$53,Доп.расчеты!$A161,'Как есть'!CI$45:CI$53)</f>
        <v>0</v>
      </c>
      <c r="CI161">
        <f>SUMIF('Как есть'!$A$45:$A$53,Доп.расчеты!$A161,'Как есть'!CJ$45:CJ$53)</f>
        <v>0</v>
      </c>
      <c r="CJ161">
        <f>SUMIF('Как есть'!$A$45:$A$53,Доп.расчеты!$A161,'Как есть'!CK$45:CK$53)</f>
        <v>0</v>
      </c>
      <c r="CK161">
        <f>SUMIF('Как есть'!$A$45:$A$53,Доп.расчеты!$A161,'Как есть'!CL$45:CL$53)</f>
        <v>0</v>
      </c>
      <c r="CL161">
        <f>SUMIF('Как есть'!$A$45:$A$53,Доп.расчеты!$A161,'Как есть'!CM$45:CM$53)</f>
        <v>0</v>
      </c>
      <c r="CM161">
        <f>SUMIF('Как есть'!$A$45:$A$53,Доп.расчеты!$A161,'Как есть'!CN$45:CN$53)</f>
        <v>0</v>
      </c>
      <c r="CN161">
        <f>SUMIF('Как есть'!$A$45:$A$53,Доп.расчеты!$A161,'Как есть'!CO$45:CO$53)</f>
        <v>0</v>
      </c>
      <c r="CO161">
        <f>SUMIF('Как есть'!$A$45:$A$53,Доп.расчеты!$A161,'Как есть'!CP$45:CP$53)</f>
        <v>0</v>
      </c>
      <c r="CP161">
        <f>SUMIF('Как есть'!$A$45:$A$53,Доп.расчеты!$A161,'Как есть'!CQ$45:CQ$53)</f>
        <v>0</v>
      </c>
      <c r="CQ161">
        <f>SUMIF('Как есть'!$A$45:$A$53,Доп.расчеты!$A161,'Как есть'!CR$45:CR$53)</f>
        <v>0</v>
      </c>
      <c r="CR161">
        <f>SUMIF('Как есть'!$A$45:$A$53,Доп.расчеты!$A161,'Как есть'!CS$45:CS$53)</f>
        <v>0</v>
      </c>
      <c r="CS161">
        <f>SUMIF('Как есть'!$A$45:$A$53,Доп.расчеты!$A161,'Как есть'!CT$45:CT$53)</f>
        <v>0</v>
      </c>
      <c r="CT161">
        <f>SUMIF('Как есть'!$A$45:$A$53,Доп.расчеты!$A161,'Как есть'!CU$45:CU$53)</f>
        <v>0</v>
      </c>
      <c r="CU161">
        <f>SUMIF('Как есть'!$A$45:$A$53,Доп.расчеты!$A161,'Как есть'!CV$45:CV$53)</f>
        <v>0</v>
      </c>
      <c r="CV161">
        <f>SUMIF('Как есть'!$A$45:$A$53,Доп.расчеты!$A161,'Как есть'!CW$45:CW$53)</f>
        <v>0</v>
      </c>
      <c r="CW161">
        <f>SUMIF('Как есть'!$A$45:$A$53,Доп.расчеты!$A161,'Как есть'!CX$45:CX$53)</f>
        <v>0</v>
      </c>
      <c r="CX161">
        <f>SUMIF('Как есть'!$A$45:$A$53,Доп.расчеты!$A161,'Как есть'!CY$45:CY$53)</f>
        <v>0</v>
      </c>
      <c r="CY161">
        <f>SUMIF('Как есть'!$A$45:$A$53,Доп.расчеты!$A161,'Как есть'!CZ$45:CZ$53)</f>
        <v>0</v>
      </c>
      <c r="CZ161">
        <f>SUMIF('Как есть'!$A$45:$A$53,Доп.расчеты!$A161,'Как есть'!DA$45:DA$53)</f>
        <v>0</v>
      </c>
      <c r="DA161">
        <f>SUMIF('Как есть'!$A$45:$A$53,Доп.расчеты!$A161,'Как есть'!DB$45:DB$53)</f>
        <v>0</v>
      </c>
      <c r="DB161">
        <f>SUMIF('Как есть'!$A$45:$A$53,Доп.расчеты!$A161,'Как есть'!DC$45:DC$53)</f>
        <v>0</v>
      </c>
      <c r="DC161">
        <f>SUMIF('Как есть'!$A$45:$A$53,Доп.расчеты!$A161,'Как есть'!DD$45:DD$53)</f>
        <v>0</v>
      </c>
      <c r="DD161">
        <f>SUMIF('Как есть'!$A$45:$A$53,Доп.расчеты!$A161,'Как есть'!DE$45:DE$53)</f>
        <v>0</v>
      </c>
      <c r="DE161">
        <f>SUMIF('Как есть'!$A$45:$A$53,Доп.расчеты!$A161,'Как есть'!DF$45:DF$53)</f>
        <v>0</v>
      </c>
      <c r="DF161">
        <f>SUMIF('Как есть'!$A$45:$A$53,Доп.расчеты!$A161,'Как есть'!DG$45:DG$53)</f>
        <v>0</v>
      </c>
      <c r="DG161">
        <f>SUMIF('Как есть'!$A$45:$A$53,Доп.расчеты!$A161,'Как есть'!DH$45:DH$53)</f>
        <v>0</v>
      </c>
      <c r="DH161">
        <f>SUMIF('Как есть'!$A$45:$A$53,Доп.расчеты!$A161,'Как есть'!DI$45:DI$53)</f>
        <v>0</v>
      </c>
      <c r="DI161">
        <f>SUMIF('Как есть'!$A$45:$A$53,Доп.расчеты!$A161,'Как есть'!DJ$45:DJ$53)</f>
        <v>0</v>
      </c>
      <c r="DJ161">
        <f>SUMIF('Как есть'!$A$45:$A$53,Доп.расчеты!$A161,'Как есть'!DK$45:DK$53)</f>
        <v>0</v>
      </c>
      <c r="DK161">
        <f>SUMIF('Как есть'!$A$45:$A$53,Доп.расчеты!$A161,'Как есть'!DL$45:DL$53)</f>
        <v>0</v>
      </c>
      <c r="DL161">
        <f>SUMIF('Как есть'!$A$45:$A$53,Доп.расчеты!$A161,'Как есть'!DM$45:DM$53)</f>
        <v>0</v>
      </c>
      <c r="DM161">
        <f>SUMIF('Как есть'!$A$45:$A$53,Доп.расчеты!$A161,'Как есть'!DN$45:DN$53)</f>
        <v>0</v>
      </c>
      <c r="DN161">
        <f>SUMIF('Как есть'!$A$45:$A$53,Доп.расчеты!$A161,'Как есть'!DO$45:DO$53)</f>
        <v>0</v>
      </c>
      <c r="DO161">
        <f>SUMIF('Как есть'!$A$45:$A$53,Доп.расчеты!$A161,'Как есть'!DP$45:DP$53)</f>
        <v>0</v>
      </c>
      <c r="DP161">
        <f>SUMIF('Как есть'!$A$45:$A$53,Доп.расчеты!$A161,'Как есть'!DQ$45:DQ$53)</f>
        <v>0</v>
      </c>
      <c r="DQ161">
        <f>SUMIF('Как есть'!$A$45:$A$53,Доп.расчеты!$A161,'Как есть'!DR$45:DR$53)</f>
        <v>0</v>
      </c>
      <c r="DR161">
        <f>SUMIF('Как есть'!$A$45:$A$53,Доп.расчеты!$A161,'Как есть'!DS$45:DS$53)</f>
        <v>0</v>
      </c>
      <c r="DS161">
        <f>SUMIF('Как есть'!$A$45:$A$53,Доп.расчеты!$A161,'Как есть'!DT$45:DT$53)</f>
        <v>0</v>
      </c>
      <c r="DT161">
        <f>SUMIF('Как есть'!$A$45:$A$53,Доп.расчеты!$A161,'Как есть'!DU$45:DU$53)</f>
        <v>0</v>
      </c>
      <c r="DU161">
        <f>SUMIF('Как есть'!$A$45:$A$53,Доп.расчеты!$A161,'Как есть'!DV$45:DV$53)</f>
        <v>0</v>
      </c>
      <c r="DV161">
        <f>SUMIF('Как есть'!$A$45:$A$53,Доп.расчеты!$A161,'Как есть'!DW$45:DW$53)</f>
        <v>0</v>
      </c>
      <c r="DW161">
        <f>SUMIF('Как есть'!$A$45:$A$53,Доп.расчеты!$A161,'Как есть'!DX$45:DX$53)</f>
        <v>0</v>
      </c>
      <c r="DX161">
        <f>SUMIF('Как есть'!$A$45:$A$53,Доп.расчеты!$A161,'Как есть'!DY$45:DY$53)</f>
        <v>0</v>
      </c>
      <c r="DY161">
        <f>SUMIF('Как есть'!$A$45:$A$53,Доп.расчеты!$A161,'Как есть'!DZ$45:DZ$53)</f>
        <v>0</v>
      </c>
      <c r="DZ161">
        <f>SUMIF('Как есть'!$A$45:$A$53,Доп.расчеты!$A161,'Как есть'!EA$45:EA$53)</f>
        <v>0</v>
      </c>
      <c r="EA161">
        <f>SUMIF('Как есть'!$A$45:$A$53,Доп.расчеты!$A161,'Как есть'!EB$45:EB$53)</f>
        <v>0</v>
      </c>
      <c r="EB161">
        <f>SUMIF('Как есть'!$A$45:$A$53,Доп.расчеты!$A161,'Как есть'!EC$45:EC$53)</f>
        <v>0</v>
      </c>
      <c r="EC161">
        <f>SUMIF('Как есть'!$A$45:$A$53,Доп.расчеты!$A161,'Как есть'!ED$45:ED$53)</f>
        <v>0</v>
      </c>
      <c r="ED161">
        <f>SUMIF('Как есть'!$A$45:$A$53,Доп.расчеты!$A161,'Как есть'!EE$45:EE$53)</f>
        <v>0</v>
      </c>
      <c r="EE161">
        <f>SUMIF('Как есть'!$A$45:$A$53,Доп.расчеты!$A161,'Как есть'!EF$45:EF$53)</f>
        <v>0</v>
      </c>
      <c r="EF161">
        <f>SUMIF('Как есть'!$A$45:$A$53,Доп.расчеты!$A161,'Как есть'!EG$45:EG$53)</f>
        <v>0</v>
      </c>
      <c r="EG161">
        <f>SUMIF('Как есть'!$A$45:$A$53,Доп.расчеты!$A161,'Как есть'!EH$45:EH$53)</f>
        <v>0</v>
      </c>
      <c r="EH161">
        <f>SUMIF('Как есть'!$A$45:$A$53,Доп.расчеты!$A161,'Как есть'!EI$45:EI$53)</f>
        <v>0</v>
      </c>
      <c r="EI161">
        <f>SUMIF('Как есть'!$A$45:$A$53,Доп.расчеты!$A161,'Как есть'!EJ$45:EJ$53)</f>
        <v>0</v>
      </c>
      <c r="EJ161">
        <f>SUMIF('Как есть'!$A$45:$A$53,Доп.расчеты!$A161,'Как есть'!EK$45:EK$53)</f>
        <v>0</v>
      </c>
      <c r="EK161">
        <f>SUMIF('Как есть'!$A$45:$A$53,Доп.расчеты!$A161,'Как есть'!EL$45:EL$53)</f>
        <v>0</v>
      </c>
      <c r="EL161">
        <f>SUMIF('Как есть'!$A$45:$A$53,Доп.расчеты!$A161,'Как есть'!EM$45:EM$53)</f>
        <v>0</v>
      </c>
      <c r="EM161">
        <f>SUMIF('Как есть'!$A$45:$A$53,Доп.расчеты!$A161,'Как есть'!EN$45:EN$53)</f>
        <v>0</v>
      </c>
      <c r="EN161">
        <f>SUMIF('Как есть'!$A$45:$A$53,Доп.расчеты!$A161,'Как есть'!EO$45:EO$53)</f>
        <v>0</v>
      </c>
      <c r="EO161">
        <f>SUMIF('Как есть'!$A$45:$A$53,Доп.расчеты!$A161,'Как есть'!EP$45:EP$53)</f>
        <v>0</v>
      </c>
      <c r="EP161">
        <f>SUMIF('Как есть'!$A$45:$A$53,Доп.расчеты!$A161,'Как есть'!EQ$45:EQ$53)</f>
        <v>0</v>
      </c>
      <c r="EQ161">
        <f>SUMIF('Как есть'!$A$45:$A$53,Доп.расчеты!$A161,'Как есть'!ER$45:ER$53)</f>
        <v>0</v>
      </c>
      <c r="ER161">
        <f>SUMIF('Как есть'!$A$45:$A$53,Доп.расчеты!$A161,'Как есть'!ES$45:ES$53)</f>
        <v>0</v>
      </c>
      <c r="ES161">
        <f>SUMIF('Как есть'!$A$45:$A$53,Доп.расчеты!$A161,'Как есть'!ET$45:ET$53)</f>
        <v>0</v>
      </c>
      <c r="ET161">
        <f>SUMIF('Как есть'!$A$45:$A$53,Доп.расчеты!$A161,'Как есть'!EU$45:EU$53)</f>
        <v>0</v>
      </c>
      <c r="EU161">
        <f>SUMIF('Как есть'!$A$45:$A$53,Доп.расчеты!$A161,'Как есть'!EV$45:EV$53)</f>
        <v>0</v>
      </c>
      <c r="EV161">
        <f>SUMIF('Как есть'!$A$45:$A$53,Доп.расчеты!$A161,'Как есть'!EW$45:EW$53)</f>
        <v>0</v>
      </c>
      <c r="EW161">
        <f>SUMIF('Как есть'!$A$45:$A$53,Доп.расчеты!$A161,'Как есть'!EX$45:EX$53)</f>
        <v>0</v>
      </c>
      <c r="EX161">
        <f>SUMIF('Как есть'!$A$45:$A$53,Доп.расчеты!$A161,'Как есть'!EY$45:EY$53)</f>
        <v>0</v>
      </c>
      <c r="EY161">
        <f>SUMIF('Как есть'!$A$45:$A$53,Доп.расчеты!$A161,'Как есть'!EZ$45:EZ$53)</f>
        <v>0</v>
      </c>
      <c r="EZ161">
        <f>SUMIF('Как есть'!$A$45:$A$53,Доп.расчеты!$A161,'Как есть'!FA$45:FA$53)</f>
        <v>0</v>
      </c>
      <c r="FA161">
        <f>SUMIF('Как есть'!$A$45:$A$53,Доп.расчеты!$A161,'Как есть'!FB$45:FB$53)</f>
        <v>0</v>
      </c>
      <c r="FB161">
        <f>SUMIF('Как есть'!$A$45:$A$53,Доп.расчеты!$A161,'Как есть'!FC$45:FC$53)</f>
        <v>0</v>
      </c>
      <c r="FC161">
        <f>SUMIF('Как есть'!$A$45:$A$53,Доп.расчеты!$A161,'Как есть'!FD$45:FD$53)</f>
        <v>0</v>
      </c>
      <c r="FD161">
        <f>SUMIF('Как есть'!$A$45:$A$53,Доп.расчеты!$A161,'Как есть'!FE$45:FE$53)</f>
        <v>0</v>
      </c>
      <c r="FE161">
        <f>SUMIF('Как есть'!$A$45:$A$53,Доп.расчеты!$A161,'Как есть'!FF$45:FF$53)</f>
        <v>0</v>
      </c>
      <c r="FF161">
        <f>SUMIF('Как есть'!$A$45:$A$53,Доп.расчеты!$A161,'Как есть'!FG$45:FG$53)</f>
        <v>0</v>
      </c>
      <c r="FG161">
        <f>SUMIF('Как есть'!$A$45:$A$53,Доп.расчеты!$A161,'Как есть'!FH$45:FH$53)</f>
        <v>0</v>
      </c>
      <c r="FH161">
        <f>SUMIF('Как есть'!$A$45:$A$53,Доп.расчеты!$A161,'Как есть'!FI$45:FI$53)</f>
        <v>0</v>
      </c>
      <c r="FI161">
        <f>SUMIF('Как есть'!$A$45:$A$53,Доп.расчеты!$A161,'Как есть'!FJ$45:FJ$53)</f>
        <v>0</v>
      </c>
      <c r="FJ161">
        <f>SUMIF('Как есть'!$A$45:$A$53,Доп.расчеты!$A161,'Как есть'!FK$45:FK$53)</f>
        <v>0</v>
      </c>
      <c r="FK161">
        <f>SUMIF('Как есть'!$A$45:$A$53,Доп.расчеты!$A161,'Как есть'!FL$45:FL$53)</f>
        <v>0</v>
      </c>
      <c r="FL161">
        <f>SUMIF('Как есть'!$A$45:$A$53,Доп.расчеты!$A161,'Как есть'!FM$45:FM$53)</f>
        <v>0</v>
      </c>
      <c r="FM161">
        <f>SUMIF('Как есть'!$A$45:$A$53,Доп.расчеты!$A161,'Как есть'!FN$45:FN$53)</f>
        <v>0</v>
      </c>
      <c r="FN161">
        <f>SUMIF('Как есть'!$A$45:$A$53,Доп.расчеты!$A161,'Как есть'!FO$45:FO$53)</f>
        <v>0</v>
      </c>
      <c r="FO161">
        <f>SUMIF('Как есть'!$A$45:$A$53,Доп.расчеты!$A161,'Как есть'!FP$45:FP$53)</f>
        <v>0</v>
      </c>
      <c r="FP161">
        <f>SUMIF('Как есть'!$A$45:$A$53,Доп.расчеты!$A161,'Как есть'!FQ$45:FQ$53)</f>
        <v>0</v>
      </c>
      <c r="FQ161">
        <f>SUMIF('Как есть'!$A$45:$A$53,Доп.расчеты!$A161,'Как есть'!FR$45:FR$53)</f>
        <v>0</v>
      </c>
      <c r="FR161">
        <f>SUMIF('Как есть'!$A$45:$A$53,Доп.расчеты!$A161,'Как есть'!FS$45:FS$53)</f>
        <v>0</v>
      </c>
      <c r="FS161">
        <f>SUMIF('Как есть'!$A$45:$A$53,Доп.расчеты!$A161,'Как есть'!FT$45:FT$53)</f>
        <v>0</v>
      </c>
      <c r="FT161">
        <f>SUMIF('Как есть'!$A$45:$A$53,Доп.расчеты!$A161,'Как есть'!FU$45:FU$53)</f>
        <v>0</v>
      </c>
      <c r="FU161">
        <f>SUMIF('Как есть'!$A$45:$A$53,Доп.расчеты!$A161,'Как есть'!FV$45:FV$53)</f>
        <v>0</v>
      </c>
      <c r="FV161">
        <f>SUMIF('Как есть'!$A$45:$A$53,Доп.расчеты!$A161,'Как есть'!FW$45:FW$53)</f>
        <v>0</v>
      </c>
      <c r="FW161">
        <f>SUMIF('Как есть'!$A$45:$A$53,Доп.расчеты!$A161,'Как есть'!FX$45:FX$53)</f>
        <v>0</v>
      </c>
      <c r="FX161">
        <f>SUMIF('Как есть'!$A$45:$A$53,Доп.расчеты!$A161,'Как есть'!FY$45:FY$53)</f>
        <v>0</v>
      </c>
      <c r="FY161">
        <f>SUMIF('Как есть'!$A$45:$A$53,Доп.расчеты!$A161,'Как есть'!FZ$45:FZ$53)</f>
        <v>0</v>
      </c>
      <c r="FZ161">
        <f>SUMIF('Как есть'!$A$45:$A$53,Доп.расчеты!$A161,'Как есть'!GA$45:GA$53)</f>
        <v>0</v>
      </c>
      <c r="GA161">
        <f>SUMIF('Как есть'!$A$45:$A$53,Доп.расчеты!$A161,'Как есть'!GB$45:GB$53)</f>
        <v>0</v>
      </c>
      <c r="GB161">
        <f>SUMIF('Как есть'!$A$45:$A$53,Доп.расчеты!$A161,'Как есть'!GC$45:GC$53)</f>
        <v>0</v>
      </c>
      <c r="GC161">
        <f>SUMIF('Как есть'!$A$45:$A$53,Доп.расчеты!$A161,'Как есть'!GD$45:GD$53)</f>
        <v>0</v>
      </c>
      <c r="GD161">
        <f>SUMIF('Как есть'!$A$45:$A$53,Доп.расчеты!$A161,'Как есть'!GE$45:GE$53)</f>
        <v>0</v>
      </c>
      <c r="GE161">
        <f>SUMIF('Как есть'!$A$45:$A$53,Доп.расчеты!$A161,'Как есть'!GF$45:GF$53)</f>
        <v>0</v>
      </c>
      <c r="GF161">
        <f>SUMIF('Как есть'!$A$45:$A$53,Доп.расчеты!$A161,'Как есть'!GG$45:GG$53)</f>
        <v>0</v>
      </c>
      <c r="GG161">
        <f>SUMIF('Как есть'!$A$45:$A$53,Доп.расчеты!$A161,'Как есть'!GH$45:GH$53)</f>
        <v>0</v>
      </c>
      <c r="GH161">
        <f>SUMIF('Как есть'!$A$45:$A$53,Доп.расчеты!$A161,'Как есть'!GI$45:GI$53)</f>
        <v>0</v>
      </c>
      <c r="GI161">
        <f>SUMIF('Как есть'!$A$45:$A$53,Доп.расчеты!$A161,'Как есть'!GJ$45:GJ$53)</f>
        <v>0</v>
      </c>
      <c r="GJ161">
        <f>SUMIF('Как есть'!$A$45:$A$53,Доп.расчеты!$A161,'Как есть'!GK$45:GK$53)</f>
        <v>0</v>
      </c>
      <c r="GK161">
        <f>SUMIF('Как есть'!$A$45:$A$53,Доп.расчеты!$A161,'Как есть'!GL$45:GL$53)</f>
        <v>0</v>
      </c>
      <c r="GL161">
        <f>SUMIF('Как есть'!$A$45:$A$53,Доп.расчеты!$A161,'Как есть'!GM$45:GM$53)</f>
        <v>0</v>
      </c>
      <c r="GM161">
        <f>SUMIF('Как есть'!$A$45:$A$53,Доп.расчеты!$A161,'Как есть'!GN$45:GN$53)</f>
        <v>0</v>
      </c>
      <c r="GN161">
        <f>SUMIF('Как есть'!$A$45:$A$53,Доп.расчеты!$A161,'Как есть'!GO$45:GO$53)</f>
        <v>0</v>
      </c>
      <c r="GO161">
        <f>SUMIF('Как есть'!$A$45:$A$53,Доп.расчеты!$A161,'Как есть'!GP$45:GP$53)</f>
        <v>0</v>
      </c>
      <c r="GP161">
        <f>SUMIF('Как есть'!$A$45:$A$53,Доп.расчеты!$A161,'Как есть'!GQ$45:GQ$53)</f>
        <v>0</v>
      </c>
      <c r="GQ161">
        <f>SUMIF('Как есть'!$A$45:$A$53,Доп.расчеты!$A161,'Как есть'!GR$45:GR$53)</f>
        <v>0</v>
      </c>
      <c r="GR161">
        <f>SUMIF('Как есть'!$A$45:$A$53,Доп.расчеты!$A161,'Как есть'!GS$45:GS$53)</f>
        <v>0</v>
      </c>
      <c r="GS161">
        <f>SUMIF('Как есть'!$A$45:$A$53,Доп.расчеты!$A161,'Как есть'!GT$45:GT$53)</f>
        <v>0</v>
      </c>
      <c r="GT161">
        <f>SUMIF('Как есть'!$A$45:$A$53,Доп.расчеты!$A161,'Как есть'!GU$45:GU$53)</f>
        <v>0</v>
      </c>
    </row>
    <row r="162" spans="1:202" hidden="1" outlineLevel="1">
      <c r="A162" s="238" t="s">
        <v>98</v>
      </c>
      <c r="B162">
        <f>SUMIF('Как есть'!$A$45:$A$53,Доп.расчеты!$A162,'Как есть'!C$45:C$53)</f>
        <v>0</v>
      </c>
      <c r="C162">
        <f>SUMIF('Как есть'!$A$45:$A$53,Доп.расчеты!$A162,'Как есть'!D$45:D$53)</f>
        <v>0</v>
      </c>
      <c r="D162">
        <f>SUMIF('Как есть'!$A$45:$A$53,Доп.расчеты!$A162,'Как есть'!E$45:E$53)</f>
        <v>0</v>
      </c>
      <c r="E162">
        <f>SUMIF('Как есть'!$A$45:$A$53,Доп.расчеты!$A162,'Как есть'!F$45:F$53)</f>
        <v>0</v>
      </c>
      <c r="F162">
        <f>SUMIF('Как есть'!$A$45:$A$53,Доп.расчеты!$A162,'Как есть'!G$45:G$53)</f>
        <v>0</v>
      </c>
      <c r="G162">
        <f>SUMIF('Как есть'!$A$45:$A$53,Доп.расчеты!$A162,'Как есть'!H$45:H$53)</f>
        <v>0</v>
      </c>
      <c r="H162">
        <f>SUMIF('Как есть'!$A$45:$A$53,Доп.расчеты!$A162,'Как есть'!I$45:I$53)</f>
        <v>0</v>
      </c>
      <c r="I162">
        <f>SUMIF('Как есть'!$A$45:$A$53,Доп.расчеты!$A162,'Как есть'!J$45:J$53)</f>
        <v>0</v>
      </c>
      <c r="J162">
        <f>SUMIF('Как есть'!$A$45:$A$53,Доп.расчеты!$A162,'Как есть'!K$45:K$53)</f>
        <v>0</v>
      </c>
      <c r="K162">
        <f>SUMIF('Как есть'!$A$45:$A$53,Доп.расчеты!$A162,'Как есть'!L$45:L$53)</f>
        <v>0</v>
      </c>
      <c r="L162">
        <f>SUMIF('Как есть'!$A$45:$A$53,Доп.расчеты!$A162,'Как есть'!M$45:M$53)</f>
        <v>0</v>
      </c>
      <c r="M162">
        <f>SUMIF('Как есть'!$A$45:$A$53,Доп.расчеты!$A162,'Как есть'!N$45:N$53)</f>
        <v>0</v>
      </c>
      <c r="N162">
        <f>SUMIF('Как есть'!$A$45:$A$53,Доп.расчеты!$A162,'Как есть'!O$45:O$53)</f>
        <v>0</v>
      </c>
      <c r="O162">
        <f>SUMIF('Как есть'!$A$45:$A$53,Доп.расчеты!$A162,'Как есть'!P$45:P$53)</f>
        <v>0</v>
      </c>
      <c r="P162">
        <f>SUMIF('Как есть'!$A$45:$A$53,Доп.расчеты!$A162,'Как есть'!Q$45:Q$53)</f>
        <v>0</v>
      </c>
      <c r="Q162">
        <f>SUMIF('Как есть'!$A$45:$A$53,Доп.расчеты!$A162,'Как есть'!R$45:R$53)</f>
        <v>0</v>
      </c>
      <c r="R162">
        <f>SUMIF('Как есть'!$A$45:$A$53,Доп.расчеты!$A162,'Как есть'!S$45:S$53)</f>
        <v>0</v>
      </c>
      <c r="S162">
        <f>SUMIF('Как есть'!$A$45:$A$53,Доп.расчеты!$A162,'Как есть'!T$45:T$53)</f>
        <v>0</v>
      </c>
      <c r="T162">
        <f>SUMIF('Как есть'!$A$45:$A$53,Доп.расчеты!$A162,'Как есть'!U$45:U$53)</f>
        <v>0</v>
      </c>
      <c r="U162">
        <f>SUMIF('Как есть'!$A$45:$A$53,Доп.расчеты!$A162,'Как есть'!V$45:V$53)</f>
        <v>0</v>
      </c>
      <c r="V162">
        <f>SUMIF('Как есть'!$A$45:$A$53,Доп.расчеты!$A162,'Как есть'!W$45:W$53)</f>
        <v>0</v>
      </c>
      <c r="W162">
        <f>SUMIF('Как есть'!$A$45:$A$53,Доп.расчеты!$A162,'Как есть'!X$45:X$53)</f>
        <v>0</v>
      </c>
      <c r="X162">
        <f>SUMIF('Как есть'!$A$45:$A$53,Доп.расчеты!$A162,'Как есть'!Y$45:Y$53)</f>
        <v>0</v>
      </c>
      <c r="Y162">
        <f>SUMIF('Как есть'!$A$45:$A$53,Доп.расчеты!$A162,'Как есть'!Z$45:Z$53)</f>
        <v>0</v>
      </c>
      <c r="Z162">
        <f>SUMIF('Как есть'!$A$45:$A$53,Доп.расчеты!$A162,'Как есть'!AA$45:AA$53)</f>
        <v>0</v>
      </c>
      <c r="AA162">
        <f>SUMIF('Как есть'!$A$45:$A$53,Доп.расчеты!$A162,'Как есть'!AB$45:AB$53)</f>
        <v>0</v>
      </c>
      <c r="AB162">
        <f>SUMIF('Как есть'!$A$45:$A$53,Доп.расчеты!$A162,'Как есть'!AC$45:AC$53)</f>
        <v>0</v>
      </c>
      <c r="AC162">
        <f>SUMIF('Как есть'!$A$45:$A$53,Доп.расчеты!$A162,'Как есть'!AD$45:AD$53)</f>
        <v>0</v>
      </c>
      <c r="AD162">
        <f>SUMIF('Как есть'!$A$45:$A$53,Доп.расчеты!$A162,'Как есть'!AE$45:AE$53)</f>
        <v>0</v>
      </c>
      <c r="AE162">
        <f>SUMIF('Как есть'!$A$45:$A$53,Доп.расчеты!$A162,'Как есть'!AF$45:AF$53)</f>
        <v>0</v>
      </c>
      <c r="AF162">
        <f>SUMIF('Как есть'!$A$45:$A$53,Доп.расчеты!$A162,'Как есть'!AG$45:AG$53)</f>
        <v>0</v>
      </c>
      <c r="AG162">
        <f>SUMIF('Как есть'!$A$45:$A$53,Доп.расчеты!$A162,'Как есть'!AH$45:AH$53)</f>
        <v>0</v>
      </c>
      <c r="AH162">
        <f>SUMIF('Как есть'!$A$45:$A$53,Доп.расчеты!$A162,'Как есть'!AI$45:AI$53)</f>
        <v>0</v>
      </c>
      <c r="AI162">
        <f>SUMIF('Как есть'!$A$45:$A$53,Доп.расчеты!$A162,'Как есть'!AJ$45:AJ$53)</f>
        <v>0</v>
      </c>
      <c r="AJ162">
        <f>SUMIF('Как есть'!$A$45:$A$53,Доп.расчеты!$A162,'Как есть'!AK$45:AK$53)</f>
        <v>0</v>
      </c>
      <c r="AK162">
        <f>SUMIF('Как есть'!$A$45:$A$53,Доп.расчеты!$A162,'Как есть'!AL$45:AL$53)</f>
        <v>0</v>
      </c>
      <c r="AL162">
        <f>SUMIF('Как есть'!$A$45:$A$53,Доп.расчеты!$A162,'Как есть'!AM$45:AM$53)</f>
        <v>0</v>
      </c>
      <c r="AM162">
        <f>SUMIF('Как есть'!$A$45:$A$53,Доп.расчеты!$A162,'Как есть'!AN$45:AN$53)</f>
        <v>0</v>
      </c>
      <c r="AN162">
        <f>SUMIF('Как есть'!$A$45:$A$53,Доп.расчеты!$A162,'Как есть'!AO$45:AO$53)</f>
        <v>0</v>
      </c>
      <c r="AO162">
        <f>SUMIF('Как есть'!$A$45:$A$53,Доп.расчеты!$A162,'Как есть'!AP$45:AP$53)</f>
        <v>0</v>
      </c>
      <c r="AP162">
        <f>SUMIF('Как есть'!$A$45:$A$53,Доп.расчеты!$A162,'Как есть'!AQ$45:AQ$53)</f>
        <v>0</v>
      </c>
      <c r="AQ162">
        <f>SUMIF('Как есть'!$A$45:$A$53,Доп.расчеты!$A162,'Как есть'!AR$45:AR$53)</f>
        <v>0</v>
      </c>
      <c r="AR162">
        <f>SUMIF('Как есть'!$A$45:$A$53,Доп.расчеты!$A162,'Как есть'!AS$45:AS$53)</f>
        <v>0</v>
      </c>
      <c r="AS162">
        <f>SUMIF('Как есть'!$A$45:$A$53,Доп.расчеты!$A162,'Как есть'!AT$45:AT$53)</f>
        <v>0</v>
      </c>
      <c r="AT162">
        <f>SUMIF('Как есть'!$A$45:$A$53,Доп.расчеты!$A162,'Как есть'!AU$45:AU$53)</f>
        <v>0</v>
      </c>
      <c r="AU162">
        <f>SUMIF('Как есть'!$A$45:$A$53,Доп.расчеты!$A162,'Как есть'!AV$45:AV$53)</f>
        <v>0</v>
      </c>
      <c r="AV162">
        <f>SUMIF('Как есть'!$A$45:$A$53,Доп.расчеты!$A162,'Как есть'!AW$45:AW$53)</f>
        <v>0</v>
      </c>
      <c r="AW162">
        <f>SUMIF('Как есть'!$A$45:$A$53,Доп.расчеты!$A162,'Как есть'!AX$45:AX$53)</f>
        <v>0</v>
      </c>
      <c r="AX162">
        <f>SUMIF('Как есть'!$A$45:$A$53,Доп.расчеты!$A162,'Как есть'!AY$45:AY$53)</f>
        <v>0</v>
      </c>
      <c r="AY162">
        <f>SUMIF('Как есть'!$A$45:$A$53,Доп.расчеты!$A162,'Как есть'!AZ$45:AZ$53)</f>
        <v>0</v>
      </c>
      <c r="AZ162">
        <f>SUMIF('Как есть'!$A$45:$A$53,Доп.расчеты!$A162,'Как есть'!BA$45:BA$53)</f>
        <v>0</v>
      </c>
      <c r="BA162">
        <f>SUMIF('Как есть'!$A$45:$A$53,Доп.расчеты!$A162,'Как есть'!BB$45:BB$53)</f>
        <v>0</v>
      </c>
      <c r="BB162">
        <f>SUMIF('Как есть'!$A$45:$A$53,Доп.расчеты!$A162,'Как есть'!BC$45:BC$53)</f>
        <v>0</v>
      </c>
      <c r="BC162">
        <f>SUMIF('Как есть'!$A$45:$A$53,Доп.расчеты!$A162,'Как есть'!BD$45:BD$53)</f>
        <v>0</v>
      </c>
      <c r="BD162">
        <f>SUMIF('Как есть'!$A$45:$A$53,Доп.расчеты!$A162,'Как есть'!BE$45:BE$53)</f>
        <v>0</v>
      </c>
      <c r="BE162">
        <f>SUMIF('Как есть'!$A$45:$A$53,Доп.расчеты!$A162,'Как есть'!BF$45:BF$53)</f>
        <v>0</v>
      </c>
      <c r="BF162">
        <f>SUMIF('Как есть'!$A$45:$A$53,Доп.расчеты!$A162,'Как есть'!BG$45:BG$53)</f>
        <v>0</v>
      </c>
      <c r="BG162">
        <f>SUMIF('Как есть'!$A$45:$A$53,Доп.расчеты!$A162,'Как есть'!BH$45:BH$53)</f>
        <v>0</v>
      </c>
      <c r="BH162">
        <f>SUMIF('Как есть'!$A$45:$A$53,Доп.расчеты!$A162,'Как есть'!BI$45:BI$53)</f>
        <v>0</v>
      </c>
      <c r="BI162">
        <f>SUMIF('Как есть'!$A$45:$A$53,Доп.расчеты!$A162,'Как есть'!BJ$45:BJ$53)</f>
        <v>0</v>
      </c>
      <c r="BJ162">
        <f>SUMIF('Как есть'!$A$45:$A$53,Доп.расчеты!$A162,'Как есть'!BK$45:BK$53)</f>
        <v>0</v>
      </c>
      <c r="BK162">
        <f>SUMIF('Как есть'!$A$45:$A$53,Доп.расчеты!$A162,'Как есть'!BL$45:BL$53)</f>
        <v>0</v>
      </c>
      <c r="BL162">
        <f>SUMIF('Как есть'!$A$45:$A$53,Доп.расчеты!$A162,'Как есть'!BM$45:BM$53)</f>
        <v>0</v>
      </c>
      <c r="BM162">
        <f>SUMIF('Как есть'!$A$45:$A$53,Доп.расчеты!$A162,'Как есть'!BN$45:BN$53)</f>
        <v>0</v>
      </c>
      <c r="BN162">
        <f>SUMIF('Как есть'!$A$45:$A$53,Доп.расчеты!$A162,'Как есть'!BO$45:BO$53)</f>
        <v>0</v>
      </c>
      <c r="BO162">
        <f>SUMIF('Как есть'!$A$45:$A$53,Доп.расчеты!$A162,'Как есть'!BP$45:BP$53)</f>
        <v>0</v>
      </c>
      <c r="BP162">
        <f>SUMIF('Как есть'!$A$45:$A$53,Доп.расчеты!$A162,'Как есть'!BQ$45:BQ$53)</f>
        <v>0</v>
      </c>
      <c r="BQ162">
        <f>SUMIF('Как есть'!$A$45:$A$53,Доп.расчеты!$A162,'Как есть'!BR$45:BR$53)</f>
        <v>0</v>
      </c>
      <c r="BR162">
        <f>SUMIF('Как есть'!$A$45:$A$53,Доп.расчеты!$A162,'Как есть'!BS$45:BS$53)</f>
        <v>0</v>
      </c>
      <c r="BS162">
        <f>SUMIF('Как есть'!$A$45:$A$53,Доп.расчеты!$A162,'Как есть'!BT$45:BT$53)</f>
        <v>0</v>
      </c>
      <c r="BT162">
        <f>SUMIF('Как есть'!$A$45:$A$53,Доп.расчеты!$A162,'Как есть'!BU$45:BU$53)</f>
        <v>0</v>
      </c>
      <c r="BU162">
        <f>SUMIF('Как есть'!$A$45:$A$53,Доп.расчеты!$A162,'Как есть'!BV$45:BV$53)</f>
        <v>0</v>
      </c>
      <c r="BV162">
        <f>SUMIF('Как есть'!$A$45:$A$53,Доп.расчеты!$A162,'Как есть'!BW$45:BW$53)</f>
        <v>0</v>
      </c>
      <c r="BW162">
        <f>SUMIF('Как есть'!$A$45:$A$53,Доп.расчеты!$A162,'Как есть'!BX$45:BX$53)</f>
        <v>0</v>
      </c>
      <c r="BX162">
        <f>SUMIF('Как есть'!$A$45:$A$53,Доп.расчеты!$A162,'Как есть'!BY$45:BY$53)</f>
        <v>0</v>
      </c>
      <c r="BY162">
        <f>SUMIF('Как есть'!$A$45:$A$53,Доп.расчеты!$A162,'Как есть'!BZ$45:BZ$53)</f>
        <v>0</v>
      </c>
      <c r="BZ162">
        <f>SUMIF('Как есть'!$A$45:$A$53,Доп.расчеты!$A162,'Как есть'!CA$45:CA$53)</f>
        <v>0</v>
      </c>
      <c r="CA162">
        <f>SUMIF('Как есть'!$A$45:$A$53,Доп.расчеты!$A162,'Как есть'!CB$45:CB$53)</f>
        <v>0</v>
      </c>
      <c r="CB162">
        <f>SUMIF('Как есть'!$A$45:$A$53,Доп.расчеты!$A162,'Как есть'!CC$45:CC$53)</f>
        <v>0</v>
      </c>
      <c r="CC162">
        <f>SUMIF('Как есть'!$A$45:$A$53,Доп.расчеты!$A162,'Как есть'!CD$45:CD$53)</f>
        <v>0</v>
      </c>
      <c r="CD162">
        <f>SUMIF('Как есть'!$A$45:$A$53,Доп.расчеты!$A162,'Как есть'!CE$45:CE$53)</f>
        <v>0</v>
      </c>
      <c r="CE162">
        <f>SUMIF('Как есть'!$A$45:$A$53,Доп.расчеты!$A162,'Как есть'!CF$45:CF$53)</f>
        <v>0</v>
      </c>
      <c r="CF162">
        <f>SUMIF('Как есть'!$A$45:$A$53,Доп.расчеты!$A162,'Как есть'!CG$45:CG$53)</f>
        <v>0</v>
      </c>
      <c r="CG162">
        <f>SUMIF('Как есть'!$A$45:$A$53,Доп.расчеты!$A162,'Как есть'!CH$45:CH$53)</f>
        <v>0</v>
      </c>
      <c r="CH162">
        <f>SUMIF('Как есть'!$A$45:$A$53,Доп.расчеты!$A162,'Как есть'!CI$45:CI$53)</f>
        <v>0</v>
      </c>
      <c r="CI162">
        <f>SUMIF('Как есть'!$A$45:$A$53,Доп.расчеты!$A162,'Как есть'!CJ$45:CJ$53)</f>
        <v>0</v>
      </c>
      <c r="CJ162">
        <f>SUMIF('Как есть'!$A$45:$A$53,Доп.расчеты!$A162,'Как есть'!CK$45:CK$53)</f>
        <v>0</v>
      </c>
      <c r="CK162">
        <f>SUMIF('Как есть'!$A$45:$A$53,Доп.расчеты!$A162,'Как есть'!CL$45:CL$53)</f>
        <v>0</v>
      </c>
      <c r="CL162">
        <f>SUMIF('Как есть'!$A$45:$A$53,Доп.расчеты!$A162,'Как есть'!CM$45:CM$53)</f>
        <v>0</v>
      </c>
      <c r="CM162">
        <f>SUMIF('Как есть'!$A$45:$A$53,Доп.расчеты!$A162,'Как есть'!CN$45:CN$53)</f>
        <v>0</v>
      </c>
      <c r="CN162">
        <f>SUMIF('Как есть'!$A$45:$A$53,Доп.расчеты!$A162,'Как есть'!CO$45:CO$53)</f>
        <v>0</v>
      </c>
      <c r="CO162">
        <f>SUMIF('Как есть'!$A$45:$A$53,Доп.расчеты!$A162,'Как есть'!CP$45:CP$53)</f>
        <v>0</v>
      </c>
      <c r="CP162">
        <f>SUMIF('Как есть'!$A$45:$A$53,Доп.расчеты!$A162,'Как есть'!CQ$45:CQ$53)</f>
        <v>0</v>
      </c>
      <c r="CQ162">
        <f>SUMIF('Как есть'!$A$45:$A$53,Доп.расчеты!$A162,'Как есть'!CR$45:CR$53)</f>
        <v>0</v>
      </c>
      <c r="CR162">
        <f>SUMIF('Как есть'!$A$45:$A$53,Доп.расчеты!$A162,'Как есть'!CS$45:CS$53)</f>
        <v>0</v>
      </c>
      <c r="CS162">
        <f>SUMIF('Как есть'!$A$45:$A$53,Доп.расчеты!$A162,'Как есть'!CT$45:CT$53)</f>
        <v>0</v>
      </c>
      <c r="CT162">
        <f>SUMIF('Как есть'!$A$45:$A$53,Доп.расчеты!$A162,'Как есть'!CU$45:CU$53)</f>
        <v>0</v>
      </c>
      <c r="CU162">
        <f>SUMIF('Как есть'!$A$45:$A$53,Доп.расчеты!$A162,'Как есть'!CV$45:CV$53)</f>
        <v>0</v>
      </c>
      <c r="CV162">
        <f>SUMIF('Как есть'!$A$45:$A$53,Доп.расчеты!$A162,'Как есть'!CW$45:CW$53)</f>
        <v>0</v>
      </c>
      <c r="CW162">
        <f>SUMIF('Как есть'!$A$45:$A$53,Доп.расчеты!$A162,'Как есть'!CX$45:CX$53)</f>
        <v>0</v>
      </c>
      <c r="CX162">
        <f>SUMIF('Как есть'!$A$45:$A$53,Доп.расчеты!$A162,'Как есть'!CY$45:CY$53)</f>
        <v>0</v>
      </c>
      <c r="CY162">
        <f>SUMIF('Как есть'!$A$45:$A$53,Доп.расчеты!$A162,'Как есть'!CZ$45:CZ$53)</f>
        <v>0</v>
      </c>
      <c r="CZ162">
        <f>SUMIF('Как есть'!$A$45:$A$53,Доп.расчеты!$A162,'Как есть'!DA$45:DA$53)</f>
        <v>0</v>
      </c>
      <c r="DA162">
        <f>SUMIF('Как есть'!$A$45:$A$53,Доп.расчеты!$A162,'Как есть'!DB$45:DB$53)</f>
        <v>0</v>
      </c>
      <c r="DB162">
        <f>SUMIF('Как есть'!$A$45:$A$53,Доп.расчеты!$A162,'Как есть'!DC$45:DC$53)</f>
        <v>0</v>
      </c>
      <c r="DC162">
        <f>SUMIF('Как есть'!$A$45:$A$53,Доп.расчеты!$A162,'Как есть'!DD$45:DD$53)</f>
        <v>0</v>
      </c>
      <c r="DD162">
        <f>SUMIF('Как есть'!$A$45:$A$53,Доп.расчеты!$A162,'Как есть'!DE$45:DE$53)</f>
        <v>0</v>
      </c>
      <c r="DE162">
        <f>SUMIF('Как есть'!$A$45:$A$53,Доп.расчеты!$A162,'Как есть'!DF$45:DF$53)</f>
        <v>0</v>
      </c>
      <c r="DF162">
        <f>SUMIF('Как есть'!$A$45:$A$53,Доп.расчеты!$A162,'Как есть'!DG$45:DG$53)</f>
        <v>0</v>
      </c>
      <c r="DG162">
        <f>SUMIF('Как есть'!$A$45:$A$53,Доп.расчеты!$A162,'Как есть'!DH$45:DH$53)</f>
        <v>0</v>
      </c>
      <c r="DH162">
        <f>SUMIF('Как есть'!$A$45:$A$53,Доп.расчеты!$A162,'Как есть'!DI$45:DI$53)</f>
        <v>0</v>
      </c>
      <c r="DI162">
        <f>SUMIF('Как есть'!$A$45:$A$53,Доп.расчеты!$A162,'Как есть'!DJ$45:DJ$53)</f>
        <v>0</v>
      </c>
      <c r="DJ162">
        <f>SUMIF('Как есть'!$A$45:$A$53,Доп.расчеты!$A162,'Как есть'!DK$45:DK$53)</f>
        <v>0</v>
      </c>
      <c r="DK162">
        <f>SUMIF('Как есть'!$A$45:$A$53,Доп.расчеты!$A162,'Как есть'!DL$45:DL$53)</f>
        <v>0</v>
      </c>
      <c r="DL162">
        <f>SUMIF('Как есть'!$A$45:$A$53,Доп.расчеты!$A162,'Как есть'!DM$45:DM$53)</f>
        <v>0</v>
      </c>
      <c r="DM162">
        <f>SUMIF('Как есть'!$A$45:$A$53,Доп.расчеты!$A162,'Как есть'!DN$45:DN$53)</f>
        <v>0</v>
      </c>
      <c r="DN162">
        <f>SUMIF('Как есть'!$A$45:$A$53,Доп.расчеты!$A162,'Как есть'!DO$45:DO$53)</f>
        <v>0</v>
      </c>
      <c r="DO162">
        <f>SUMIF('Как есть'!$A$45:$A$53,Доп.расчеты!$A162,'Как есть'!DP$45:DP$53)</f>
        <v>0</v>
      </c>
      <c r="DP162">
        <f>SUMIF('Как есть'!$A$45:$A$53,Доп.расчеты!$A162,'Как есть'!DQ$45:DQ$53)</f>
        <v>0</v>
      </c>
      <c r="DQ162">
        <f>SUMIF('Как есть'!$A$45:$A$53,Доп.расчеты!$A162,'Как есть'!DR$45:DR$53)</f>
        <v>0</v>
      </c>
      <c r="DR162">
        <f>SUMIF('Как есть'!$A$45:$A$53,Доп.расчеты!$A162,'Как есть'!DS$45:DS$53)</f>
        <v>0</v>
      </c>
      <c r="DS162">
        <f>SUMIF('Как есть'!$A$45:$A$53,Доп.расчеты!$A162,'Как есть'!DT$45:DT$53)</f>
        <v>0</v>
      </c>
      <c r="DT162">
        <f>SUMIF('Как есть'!$A$45:$A$53,Доп.расчеты!$A162,'Как есть'!DU$45:DU$53)</f>
        <v>0</v>
      </c>
      <c r="DU162">
        <f>SUMIF('Как есть'!$A$45:$A$53,Доп.расчеты!$A162,'Как есть'!DV$45:DV$53)</f>
        <v>0</v>
      </c>
      <c r="DV162">
        <f>SUMIF('Как есть'!$A$45:$A$53,Доп.расчеты!$A162,'Как есть'!DW$45:DW$53)</f>
        <v>0</v>
      </c>
      <c r="DW162">
        <f>SUMIF('Как есть'!$A$45:$A$53,Доп.расчеты!$A162,'Как есть'!DX$45:DX$53)</f>
        <v>0</v>
      </c>
      <c r="DX162">
        <f>SUMIF('Как есть'!$A$45:$A$53,Доп.расчеты!$A162,'Как есть'!DY$45:DY$53)</f>
        <v>0</v>
      </c>
      <c r="DY162">
        <f>SUMIF('Как есть'!$A$45:$A$53,Доп.расчеты!$A162,'Как есть'!DZ$45:DZ$53)</f>
        <v>0</v>
      </c>
      <c r="DZ162">
        <f>SUMIF('Как есть'!$A$45:$A$53,Доп.расчеты!$A162,'Как есть'!EA$45:EA$53)</f>
        <v>0</v>
      </c>
      <c r="EA162">
        <f>SUMIF('Как есть'!$A$45:$A$53,Доп.расчеты!$A162,'Как есть'!EB$45:EB$53)</f>
        <v>0</v>
      </c>
      <c r="EB162">
        <f>SUMIF('Как есть'!$A$45:$A$53,Доп.расчеты!$A162,'Как есть'!EC$45:EC$53)</f>
        <v>0</v>
      </c>
      <c r="EC162">
        <f>SUMIF('Как есть'!$A$45:$A$53,Доп.расчеты!$A162,'Как есть'!ED$45:ED$53)</f>
        <v>0</v>
      </c>
      <c r="ED162">
        <f>SUMIF('Как есть'!$A$45:$A$53,Доп.расчеты!$A162,'Как есть'!EE$45:EE$53)</f>
        <v>0</v>
      </c>
      <c r="EE162">
        <f>SUMIF('Как есть'!$A$45:$A$53,Доп.расчеты!$A162,'Как есть'!EF$45:EF$53)</f>
        <v>0</v>
      </c>
      <c r="EF162">
        <f>SUMIF('Как есть'!$A$45:$A$53,Доп.расчеты!$A162,'Как есть'!EG$45:EG$53)</f>
        <v>0</v>
      </c>
      <c r="EG162">
        <f>SUMIF('Как есть'!$A$45:$A$53,Доп.расчеты!$A162,'Как есть'!EH$45:EH$53)</f>
        <v>0</v>
      </c>
      <c r="EH162">
        <f>SUMIF('Как есть'!$A$45:$A$53,Доп.расчеты!$A162,'Как есть'!EI$45:EI$53)</f>
        <v>0</v>
      </c>
      <c r="EI162">
        <f>SUMIF('Как есть'!$A$45:$A$53,Доп.расчеты!$A162,'Как есть'!EJ$45:EJ$53)</f>
        <v>0</v>
      </c>
      <c r="EJ162">
        <f>SUMIF('Как есть'!$A$45:$A$53,Доп.расчеты!$A162,'Как есть'!EK$45:EK$53)</f>
        <v>0</v>
      </c>
      <c r="EK162">
        <f>SUMIF('Как есть'!$A$45:$A$53,Доп.расчеты!$A162,'Как есть'!EL$45:EL$53)</f>
        <v>0</v>
      </c>
      <c r="EL162">
        <f>SUMIF('Как есть'!$A$45:$A$53,Доп.расчеты!$A162,'Как есть'!EM$45:EM$53)</f>
        <v>0</v>
      </c>
      <c r="EM162">
        <f>SUMIF('Как есть'!$A$45:$A$53,Доп.расчеты!$A162,'Как есть'!EN$45:EN$53)</f>
        <v>0</v>
      </c>
      <c r="EN162">
        <f>SUMIF('Как есть'!$A$45:$A$53,Доп.расчеты!$A162,'Как есть'!EO$45:EO$53)</f>
        <v>0</v>
      </c>
      <c r="EO162">
        <f>SUMIF('Как есть'!$A$45:$A$53,Доп.расчеты!$A162,'Как есть'!EP$45:EP$53)</f>
        <v>0</v>
      </c>
      <c r="EP162">
        <f>SUMIF('Как есть'!$A$45:$A$53,Доп.расчеты!$A162,'Как есть'!EQ$45:EQ$53)</f>
        <v>0</v>
      </c>
      <c r="EQ162">
        <f>SUMIF('Как есть'!$A$45:$A$53,Доп.расчеты!$A162,'Как есть'!ER$45:ER$53)</f>
        <v>0</v>
      </c>
      <c r="ER162">
        <f>SUMIF('Как есть'!$A$45:$A$53,Доп.расчеты!$A162,'Как есть'!ES$45:ES$53)</f>
        <v>0</v>
      </c>
      <c r="ES162">
        <f>SUMIF('Как есть'!$A$45:$A$53,Доп.расчеты!$A162,'Как есть'!ET$45:ET$53)</f>
        <v>0</v>
      </c>
      <c r="ET162">
        <f>SUMIF('Как есть'!$A$45:$A$53,Доп.расчеты!$A162,'Как есть'!EU$45:EU$53)</f>
        <v>0</v>
      </c>
      <c r="EU162">
        <f>SUMIF('Как есть'!$A$45:$A$53,Доп.расчеты!$A162,'Как есть'!EV$45:EV$53)</f>
        <v>0</v>
      </c>
      <c r="EV162">
        <f>SUMIF('Как есть'!$A$45:$A$53,Доп.расчеты!$A162,'Как есть'!EW$45:EW$53)</f>
        <v>0</v>
      </c>
      <c r="EW162">
        <f>SUMIF('Как есть'!$A$45:$A$53,Доп.расчеты!$A162,'Как есть'!EX$45:EX$53)</f>
        <v>0</v>
      </c>
      <c r="EX162">
        <f>SUMIF('Как есть'!$A$45:$A$53,Доп.расчеты!$A162,'Как есть'!EY$45:EY$53)</f>
        <v>0</v>
      </c>
      <c r="EY162">
        <f>SUMIF('Как есть'!$A$45:$A$53,Доп.расчеты!$A162,'Как есть'!EZ$45:EZ$53)</f>
        <v>0</v>
      </c>
      <c r="EZ162">
        <f>SUMIF('Как есть'!$A$45:$A$53,Доп.расчеты!$A162,'Как есть'!FA$45:FA$53)</f>
        <v>0</v>
      </c>
      <c r="FA162">
        <f>SUMIF('Как есть'!$A$45:$A$53,Доп.расчеты!$A162,'Как есть'!FB$45:FB$53)</f>
        <v>0</v>
      </c>
      <c r="FB162">
        <f>SUMIF('Как есть'!$A$45:$A$53,Доп.расчеты!$A162,'Как есть'!FC$45:FC$53)</f>
        <v>0</v>
      </c>
      <c r="FC162">
        <f>SUMIF('Как есть'!$A$45:$A$53,Доп.расчеты!$A162,'Как есть'!FD$45:FD$53)</f>
        <v>0</v>
      </c>
      <c r="FD162">
        <f>SUMIF('Как есть'!$A$45:$A$53,Доп.расчеты!$A162,'Как есть'!FE$45:FE$53)</f>
        <v>0</v>
      </c>
      <c r="FE162">
        <f>SUMIF('Как есть'!$A$45:$A$53,Доп.расчеты!$A162,'Как есть'!FF$45:FF$53)</f>
        <v>0</v>
      </c>
      <c r="FF162">
        <f>SUMIF('Как есть'!$A$45:$A$53,Доп.расчеты!$A162,'Как есть'!FG$45:FG$53)</f>
        <v>0</v>
      </c>
      <c r="FG162">
        <f>SUMIF('Как есть'!$A$45:$A$53,Доп.расчеты!$A162,'Как есть'!FH$45:FH$53)</f>
        <v>0</v>
      </c>
      <c r="FH162">
        <f>SUMIF('Как есть'!$A$45:$A$53,Доп.расчеты!$A162,'Как есть'!FI$45:FI$53)</f>
        <v>0</v>
      </c>
      <c r="FI162">
        <f>SUMIF('Как есть'!$A$45:$A$53,Доп.расчеты!$A162,'Как есть'!FJ$45:FJ$53)</f>
        <v>0</v>
      </c>
      <c r="FJ162">
        <f>SUMIF('Как есть'!$A$45:$A$53,Доп.расчеты!$A162,'Как есть'!FK$45:FK$53)</f>
        <v>0</v>
      </c>
      <c r="FK162">
        <f>SUMIF('Как есть'!$A$45:$A$53,Доп.расчеты!$A162,'Как есть'!FL$45:FL$53)</f>
        <v>0</v>
      </c>
      <c r="FL162">
        <f>SUMIF('Как есть'!$A$45:$A$53,Доп.расчеты!$A162,'Как есть'!FM$45:FM$53)</f>
        <v>0</v>
      </c>
      <c r="FM162">
        <f>SUMIF('Как есть'!$A$45:$A$53,Доп.расчеты!$A162,'Как есть'!FN$45:FN$53)</f>
        <v>0</v>
      </c>
      <c r="FN162">
        <f>SUMIF('Как есть'!$A$45:$A$53,Доп.расчеты!$A162,'Как есть'!FO$45:FO$53)</f>
        <v>0</v>
      </c>
      <c r="FO162">
        <f>SUMIF('Как есть'!$A$45:$A$53,Доп.расчеты!$A162,'Как есть'!FP$45:FP$53)</f>
        <v>0</v>
      </c>
      <c r="FP162">
        <f>SUMIF('Как есть'!$A$45:$A$53,Доп.расчеты!$A162,'Как есть'!FQ$45:FQ$53)</f>
        <v>0</v>
      </c>
      <c r="FQ162">
        <f>SUMIF('Как есть'!$A$45:$A$53,Доп.расчеты!$A162,'Как есть'!FR$45:FR$53)</f>
        <v>0</v>
      </c>
      <c r="FR162">
        <f>SUMIF('Как есть'!$A$45:$A$53,Доп.расчеты!$A162,'Как есть'!FS$45:FS$53)</f>
        <v>0</v>
      </c>
      <c r="FS162">
        <f>SUMIF('Как есть'!$A$45:$A$53,Доп.расчеты!$A162,'Как есть'!FT$45:FT$53)</f>
        <v>0</v>
      </c>
      <c r="FT162">
        <f>SUMIF('Как есть'!$A$45:$A$53,Доп.расчеты!$A162,'Как есть'!FU$45:FU$53)</f>
        <v>0</v>
      </c>
      <c r="FU162">
        <f>SUMIF('Как есть'!$A$45:$A$53,Доп.расчеты!$A162,'Как есть'!FV$45:FV$53)</f>
        <v>0</v>
      </c>
      <c r="FV162">
        <f>SUMIF('Как есть'!$A$45:$A$53,Доп.расчеты!$A162,'Как есть'!FW$45:FW$53)</f>
        <v>0</v>
      </c>
      <c r="FW162">
        <f>SUMIF('Как есть'!$A$45:$A$53,Доп.расчеты!$A162,'Как есть'!FX$45:FX$53)</f>
        <v>0</v>
      </c>
      <c r="FX162">
        <f>SUMIF('Как есть'!$A$45:$A$53,Доп.расчеты!$A162,'Как есть'!FY$45:FY$53)</f>
        <v>0</v>
      </c>
      <c r="FY162">
        <f>SUMIF('Как есть'!$A$45:$A$53,Доп.расчеты!$A162,'Как есть'!FZ$45:FZ$53)</f>
        <v>0</v>
      </c>
      <c r="FZ162">
        <f>SUMIF('Как есть'!$A$45:$A$53,Доп.расчеты!$A162,'Как есть'!GA$45:GA$53)</f>
        <v>0</v>
      </c>
      <c r="GA162">
        <f>SUMIF('Как есть'!$A$45:$A$53,Доп.расчеты!$A162,'Как есть'!GB$45:GB$53)</f>
        <v>0</v>
      </c>
      <c r="GB162">
        <f>SUMIF('Как есть'!$A$45:$A$53,Доп.расчеты!$A162,'Как есть'!GC$45:GC$53)</f>
        <v>0</v>
      </c>
      <c r="GC162">
        <f>SUMIF('Как есть'!$A$45:$A$53,Доп.расчеты!$A162,'Как есть'!GD$45:GD$53)</f>
        <v>0</v>
      </c>
      <c r="GD162">
        <f>SUMIF('Как есть'!$A$45:$A$53,Доп.расчеты!$A162,'Как есть'!GE$45:GE$53)</f>
        <v>0</v>
      </c>
      <c r="GE162">
        <f>SUMIF('Как есть'!$A$45:$A$53,Доп.расчеты!$A162,'Как есть'!GF$45:GF$53)</f>
        <v>0</v>
      </c>
      <c r="GF162">
        <f>SUMIF('Как есть'!$A$45:$A$53,Доп.расчеты!$A162,'Как есть'!GG$45:GG$53)</f>
        <v>0</v>
      </c>
      <c r="GG162">
        <f>SUMIF('Как есть'!$A$45:$A$53,Доп.расчеты!$A162,'Как есть'!GH$45:GH$53)</f>
        <v>0</v>
      </c>
      <c r="GH162">
        <f>SUMIF('Как есть'!$A$45:$A$53,Доп.расчеты!$A162,'Как есть'!GI$45:GI$53)</f>
        <v>0</v>
      </c>
      <c r="GI162">
        <f>SUMIF('Как есть'!$A$45:$A$53,Доп.расчеты!$A162,'Как есть'!GJ$45:GJ$53)</f>
        <v>0</v>
      </c>
      <c r="GJ162">
        <f>SUMIF('Как есть'!$A$45:$A$53,Доп.расчеты!$A162,'Как есть'!GK$45:GK$53)</f>
        <v>0</v>
      </c>
      <c r="GK162">
        <f>SUMIF('Как есть'!$A$45:$A$53,Доп.расчеты!$A162,'Как есть'!GL$45:GL$53)</f>
        <v>0</v>
      </c>
      <c r="GL162">
        <f>SUMIF('Как есть'!$A$45:$A$53,Доп.расчеты!$A162,'Как есть'!GM$45:GM$53)</f>
        <v>0</v>
      </c>
      <c r="GM162">
        <f>SUMIF('Как есть'!$A$45:$A$53,Доп.расчеты!$A162,'Как есть'!GN$45:GN$53)</f>
        <v>0</v>
      </c>
      <c r="GN162">
        <f>SUMIF('Как есть'!$A$45:$A$53,Доп.расчеты!$A162,'Как есть'!GO$45:GO$53)</f>
        <v>0</v>
      </c>
      <c r="GO162">
        <f>SUMIF('Как есть'!$A$45:$A$53,Доп.расчеты!$A162,'Как есть'!GP$45:GP$53)</f>
        <v>0</v>
      </c>
      <c r="GP162">
        <f>SUMIF('Как есть'!$A$45:$A$53,Доп.расчеты!$A162,'Как есть'!GQ$45:GQ$53)</f>
        <v>0</v>
      </c>
      <c r="GQ162">
        <f>SUMIF('Как есть'!$A$45:$A$53,Доп.расчеты!$A162,'Как есть'!GR$45:GR$53)</f>
        <v>0</v>
      </c>
      <c r="GR162">
        <f>SUMIF('Как есть'!$A$45:$A$53,Доп.расчеты!$A162,'Как есть'!GS$45:GS$53)</f>
        <v>0</v>
      </c>
      <c r="GS162">
        <f>SUMIF('Как есть'!$A$45:$A$53,Доп.расчеты!$A162,'Как есть'!GT$45:GT$53)</f>
        <v>0</v>
      </c>
      <c r="GT162">
        <f>SUMIF('Как есть'!$A$45:$A$53,Доп.расчеты!$A162,'Как есть'!GU$45:GU$53)</f>
        <v>0</v>
      </c>
    </row>
    <row r="163" spans="1:202" hidden="1" outlineLevel="1">
      <c r="A163" s="238" t="s">
        <v>99</v>
      </c>
      <c r="B163">
        <f>SUMIF('Как есть'!$A$45:$A$53,Доп.расчеты!$A163,'Как есть'!C$45:C$53)</f>
        <v>0</v>
      </c>
      <c r="C163">
        <f>SUMIF('Как есть'!$A$45:$A$53,Доп.расчеты!$A163,'Как есть'!D$45:D$53)</f>
        <v>0</v>
      </c>
      <c r="D163">
        <f>SUMIF('Как есть'!$A$45:$A$53,Доп.расчеты!$A163,'Как есть'!E$45:E$53)</f>
        <v>0</v>
      </c>
      <c r="E163">
        <f>SUMIF('Как есть'!$A$45:$A$53,Доп.расчеты!$A163,'Как есть'!F$45:F$53)</f>
        <v>0</v>
      </c>
      <c r="F163">
        <f>SUMIF('Как есть'!$A$45:$A$53,Доп.расчеты!$A163,'Как есть'!G$45:G$53)</f>
        <v>0</v>
      </c>
      <c r="G163">
        <f>SUMIF('Как есть'!$A$45:$A$53,Доп.расчеты!$A163,'Как есть'!H$45:H$53)</f>
        <v>0</v>
      </c>
      <c r="H163">
        <f>SUMIF('Как есть'!$A$45:$A$53,Доп.расчеты!$A163,'Как есть'!I$45:I$53)</f>
        <v>0</v>
      </c>
      <c r="I163">
        <f>SUMIF('Как есть'!$A$45:$A$53,Доп.расчеты!$A163,'Как есть'!J$45:J$53)</f>
        <v>0</v>
      </c>
      <c r="J163">
        <f>SUMIF('Как есть'!$A$45:$A$53,Доп.расчеты!$A163,'Как есть'!K$45:K$53)</f>
        <v>0</v>
      </c>
      <c r="K163">
        <f>SUMIF('Как есть'!$A$45:$A$53,Доп.расчеты!$A163,'Как есть'!L$45:L$53)</f>
        <v>0</v>
      </c>
      <c r="L163">
        <f>SUMIF('Как есть'!$A$45:$A$53,Доп.расчеты!$A163,'Как есть'!M$45:M$53)</f>
        <v>0</v>
      </c>
      <c r="M163">
        <f>SUMIF('Как есть'!$A$45:$A$53,Доп.расчеты!$A163,'Как есть'!N$45:N$53)</f>
        <v>0</v>
      </c>
      <c r="N163">
        <f>SUMIF('Как есть'!$A$45:$A$53,Доп.расчеты!$A163,'Как есть'!O$45:O$53)</f>
        <v>0</v>
      </c>
      <c r="O163">
        <f>SUMIF('Как есть'!$A$45:$A$53,Доп.расчеты!$A163,'Как есть'!P$45:P$53)</f>
        <v>0</v>
      </c>
      <c r="P163">
        <f>SUMIF('Как есть'!$A$45:$A$53,Доп.расчеты!$A163,'Как есть'!Q$45:Q$53)</f>
        <v>0</v>
      </c>
      <c r="Q163">
        <f>SUMIF('Как есть'!$A$45:$A$53,Доп.расчеты!$A163,'Как есть'!R$45:R$53)</f>
        <v>0</v>
      </c>
      <c r="R163">
        <f>SUMIF('Как есть'!$A$45:$A$53,Доп.расчеты!$A163,'Как есть'!S$45:S$53)</f>
        <v>0</v>
      </c>
      <c r="S163">
        <f>SUMIF('Как есть'!$A$45:$A$53,Доп.расчеты!$A163,'Как есть'!T$45:T$53)</f>
        <v>0</v>
      </c>
      <c r="T163">
        <f>SUMIF('Как есть'!$A$45:$A$53,Доп.расчеты!$A163,'Как есть'!U$45:U$53)</f>
        <v>0</v>
      </c>
      <c r="U163">
        <f>SUMIF('Как есть'!$A$45:$A$53,Доп.расчеты!$A163,'Как есть'!V$45:V$53)</f>
        <v>0</v>
      </c>
      <c r="V163">
        <f>SUMIF('Как есть'!$A$45:$A$53,Доп.расчеты!$A163,'Как есть'!W$45:W$53)</f>
        <v>0</v>
      </c>
      <c r="W163">
        <f>SUMIF('Как есть'!$A$45:$A$53,Доп.расчеты!$A163,'Как есть'!X$45:X$53)</f>
        <v>0</v>
      </c>
      <c r="X163">
        <f>SUMIF('Как есть'!$A$45:$A$53,Доп.расчеты!$A163,'Как есть'!Y$45:Y$53)</f>
        <v>0</v>
      </c>
      <c r="Y163">
        <f>SUMIF('Как есть'!$A$45:$A$53,Доп.расчеты!$A163,'Как есть'!Z$45:Z$53)</f>
        <v>0</v>
      </c>
      <c r="Z163">
        <f>SUMIF('Как есть'!$A$45:$A$53,Доп.расчеты!$A163,'Как есть'!AA$45:AA$53)</f>
        <v>0</v>
      </c>
      <c r="AA163">
        <f>SUMIF('Как есть'!$A$45:$A$53,Доп.расчеты!$A163,'Как есть'!AB$45:AB$53)</f>
        <v>0</v>
      </c>
      <c r="AB163">
        <f>SUMIF('Как есть'!$A$45:$A$53,Доп.расчеты!$A163,'Как есть'!AC$45:AC$53)</f>
        <v>0</v>
      </c>
      <c r="AC163">
        <f>SUMIF('Как есть'!$A$45:$A$53,Доп.расчеты!$A163,'Как есть'!AD$45:AD$53)</f>
        <v>0</v>
      </c>
      <c r="AD163">
        <f>SUMIF('Как есть'!$A$45:$A$53,Доп.расчеты!$A163,'Как есть'!AE$45:AE$53)</f>
        <v>0</v>
      </c>
      <c r="AE163">
        <f>SUMIF('Как есть'!$A$45:$A$53,Доп.расчеты!$A163,'Как есть'!AF$45:AF$53)</f>
        <v>0</v>
      </c>
      <c r="AF163">
        <f>SUMIF('Как есть'!$A$45:$A$53,Доп.расчеты!$A163,'Как есть'!AG$45:AG$53)</f>
        <v>0</v>
      </c>
      <c r="AG163">
        <f>SUMIF('Как есть'!$A$45:$A$53,Доп.расчеты!$A163,'Как есть'!AH$45:AH$53)</f>
        <v>0</v>
      </c>
      <c r="AH163">
        <f>SUMIF('Как есть'!$A$45:$A$53,Доп.расчеты!$A163,'Как есть'!AI$45:AI$53)</f>
        <v>0</v>
      </c>
      <c r="AI163">
        <f>SUMIF('Как есть'!$A$45:$A$53,Доп.расчеты!$A163,'Как есть'!AJ$45:AJ$53)</f>
        <v>0</v>
      </c>
      <c r="AJ163">
        <f>SUMIF('Как есть'!$A$45:$A$53,Доп.расчеты!$A163,'Как есть'!AK$45:AK$53)</f>
        <v>0</v>
      </c>
      <c r="AK163">
        <f>SUMIF('Как есть'!$A$45:$A$53,Доп.расчеты!$A163,'Как есть'!AL$45:AL$53)</f>
        <v>0</v>
      </c>
      <c r="AL163">
        <f>SUMIF('Как есть'!$A$45:$A$53,Доп.расчеты!$A163,'Как есть'!AM$45:AM$53)</f>
        <v>0</v>
      </c>
      <c r="AM163">
        <f>SUMIF('Как есть'!$A$45:$A$53,Доп.расчеты!$A163,'Как есть'!AN$45:AN$53)</f>
        <v>0</v>
      </c>
      <c r="AN163">
        <f>SUMIF('Как есть'!$A$45:$A$53,Доп.расчеты!$A163,'Как есть'!AO$45:AO$53)</f>
        <v>0</v>
      </c>
      <c r="AO163">
        <f>SUMIF('Как есть'!$A$45:$A$53,Доп.расчеты!$A163,'Как есть'!AP$45:AP$53)</f>
        <v>0</v>
      </c>
      <c r="AP163">
        <f>SUMIF('Как есть'!$A$45:$A$53,Доп.расчеты!$A163,'Как есть'!AQ$45:AQ$53)</f>
        <v>0</v>
      </c>
      <c r="AQ163">
        <f>SUMIF('Как есть'!$A$45:$A$53,Доп.расчеты!$A163,'Как есть'!AR$45:AR$53)</f>
        <v>0</v>
      </c>
      <c r="AR163">
        <f>SUMIF('Как есть'!$A$45:$A$53,Доп.расчеты!$A163,'Как есть'!AS$45:AS$53)</f>
        <v>0</v>
      </c>
      <c r="AS163">
        <f>SUMIF('Как есть'!$A$45:$A$53,Доп.расчеты!$A163,'Как есть'!AT$45:AT$53)</f>
        <v>0</v>
      </c>
      <c r="AT163">
        <f>SUMIF('Как есть'!$A$45:$A$53,Доп.расчеты!$A163,'Как есть'!AU$45:AU$53)</f>
        <v>0</v>
      </c>
      <c r="AU163">
        <f>SUMIF('Как есть'!$A$45:$A$53,Доп.расчеты!$A163,'Как есть'!AV$45:AV$53)</f>
        <v>0</v>
      </c>
      <c r="AV163">
        <f>SUMIF('Как есть'!$A$45:$A$53,Доп.расчеты!$A163,'Как есть'!AW$45:AW$53)</f>
        <v>0</v>
      </c>
      <c r="AW163">
        <f>SUMIF('Как есть'!$A$45:$A$53,Доп.расчеты!$A163,'Как есть'!AX$45:AX$53)</f>
        <v>0</v>
      </c>
      <c r="AX163">
        <f>SUMIF('Как есть'!$A$45:$A$53,Доп.расчеты!$A163,'Как есть'!AY$45:AY$53)</f>
        <v>0</v>
      </c>
      <c r="AY163">
        <f>SUMIF('Как есть'!$A$45:$A$53,Доп.расчеты!$A163,'Как есть'!AZ$45:AZ$53)</f>
        <v>0</v>
      </c>
      <c r="AZ163">
        <f>SUMIF('Как есть'!$A$45:$A$53,Доп.расчеты!$A163,'Как есть'!BA$45:BA$53)</f>
        <v>0</v>
      </c>
      <c r="BA163">
        <f>SUMIF('Как есть'!$A$45:$A$53,Доп.расчеты!$A163,'Как есть'!BB$45:BB$53)</f>
        <v>0</v>
      </c>
      <c r="BB163">
        <f>SUMIF('Как есть'!$A$45:$A$53,Доп.расчеты!$A163,'Как есть'!BC$45:BC$53)</f>
        <v>0</v>
      </c>
      <c r="BC163">
        <f>SUMIF('Как есть'!$A$45:$A$53,Доп.расчеты!$A163,'Как есть'!BD$45:BD$53)</f>
        <v>0</v>
      </c>
      <c r="BD163">
        <f>SUMIF('Как есть'!$A$45:$A$53,Доп.расчеты!$A163,'Как есть'!BE$45:BE$53)</f>
        <v>0</v>
      </c>
      <c r="BE163">
        <f>SUMIF('Как есть'!$A$45:$A$53,Доп.расчеты!$A163,'Как есть'!BF$45:BF$53)</f>
        <v>0</v>
      </c>
      <c r="BF163">
        <f>SUMIF('Как есть'!$A$45:$A$53,Доп.расчеты!$A163,'Как есть'!BG$45:BG$53)</f>
        <v>0</v>
      </c>
      <c r="BG163">
        <f>SUMIF('Как есть'!$A$45:$A$53,Доп.расчеты!$A163,'Как есть'!BH$45:BH$53)</f>
        <v>0</v>
      </c>
      <c r="BH163">
        <f>SUMIF('Как есть'!$A$45:$A$53,Доп.расчеты!$A163,'Как есть'!BI$45:BI$53)</f>
        <v>0</v>
      </c>
      <c r="BI163">
        <f>SUMIF('Как есть'!$A$45:$A$53,Доп.расчеты!$A163,'Как есть'!BJ$45:BJ$53)</f>
        <v>0</v>
      </c>
      <c r="BJ163">
        <f>SUMIF('Как есть'!$A$45:$A$53,Доп.расчеты!$A163,'Как есть'!BK$45:BK$53)</f>
        <v>0</v>
      </c>
      <c r="BK163">
        <f>SUMIF('Как есть'!$A$45:$A$53,Доп.расчеты!$A163,'Как есть'!BL$45:BL$53)</f>
        <v>0</v>
      </c>
      <c r="BL163">
        <f>SUMIF('Как есть'!$A$45:$A$53,Доп.расчеты!$A163,'Как есть'!BM$45:BM$53)</f>
        <v>0</v>
      </c>
      <c r="BM163">
        <f>SUMIF('Как есть'!$A$45:$A$53,Доп.расчеты!$A163,'Как есть'!BN$45:BN$53)</f>
        <v>0</v>
      </c>
      <c r="BN163">
        <f>SUMIF('Как есть'!$A$45:$A$53,Доп.расчеты!$A163,'Как есть'!BO$45:BO$53)</f>
        <v>0</v>
      </c>
      <c r="BO163">
        <f>SUMIF('Как есть'!$A$45:$A$53,Доп.расчеты!$A163,'Как есть'!BP$45:BP$53)</f>
        <v>0</v>
      </c>
      <c r="BP163">
        <f>SUMIF('Как есть'!$A$45:$A$53,Доп.расчеты!$A163,'Как есть'!BQ$45:BQ$53)</f>
        <v>0</v>
      </c>
      <c r="BQ163">
        <f>SUMIF('Как есть'!$A$45:$A$53,Доп.расчеты!$A163,'Как есть'!BR$45:BR$53)</f>
        <v>0</v>
      </c>
      <c r="BR163">
        <f>SUMIF('Как есть'!$A$45:$A$53,Доп.расчеты!$A163,'Как есть'!BS$45:BS$53)</f>
        <v>0</v>
      </c>
      <c r="BS163">
        <f>SUMIF('Как есть'!$A$45:$A$53,Доп.расчеты!$A163,'Как есть'!BT$45:BT$53)</f>
        <v>0</v>
      </c>
      <c r="BT163">
        <f>SUMIF('Как есть'!$A$45:$A$53,Доп.расчеты!$A163,'Как есть'!BU$45:BU$53)</f>
        <v>0</v>
      </c>
      <c r="BU163">
        <f>SUMIF('Как есть'!$A$45:$A$53,Доп.расчеты!$A163,'Как есть'!BV$45:BV$53)</f>
        <v>0</v>
      </c>
      <c r="BV163">
        <f>SUMIF('Как есть'!$A$45:$A$53,Доп.расчеты!$A163,'Как есть'!BW$45:BW$53)</f>
        <v>0</v>
      </c>
      <c r="BW163">
        <f>SUMIF('Как есть'!$A$45:$A$53,Доп.расчеты!$A163,'Как есть'!BX$45:BX$53)</f>
        <v>0</v>
      </c>
      <c r="BX163">
        <f>SUMIF('Как есть'!$A$45:$A$53,Доп.расчеты!$A163,'Как есть'!BY$45:BY$53)</f>
        <v>0</v>
      </c>
      <c r="BY163">
        <f>SUMIF('Как есть'!$A$45:$A$53,Доп.расчеты!$A163,'Как есть'!BZ$45:BZ$53)</f>
        <v>0</v>
      </c>
      <c r="BZ163">
        <f>SUMIF('Как есть'!$A$45:$A$53,Доп.расчеты!$A163,'Как есть'!CA$45:CA$53)</f>
        <v>0</v>
      </c>
      <c r="CA163">
        <f>SUMIF('Как есть'!$A$45:$A$53,Доп.расчеты!$A163,'Как есть'!CB$45:CB$53)</f>
        <v>0</v>
      </c>
      <c r="CB163">
        <f>SUMIF('Как есть'!$A$45:$A$53,Доп.расчеты!$A163,'Как есть'!CC$45:CC$53)</f>
        <v>0</v>
      </c>
      <c r="CC163">
        <f>SUMIF('Как есть'!$A$45:$A$53,Доп.расчеты!$A163,'Как есть'!CD$45:CD$53)</f>
        <v>0</v>
      </c>
      <c r="CD163">
        <f>SUMIF('Как есть'!$A$45:$A$53,Доп.расчеты!$A163,'Как есть'!CE$45:CE$53)</f>
        <v>0</v>
      </c>
      <c r="CE163">
        <f>SUMIF('Как есть'!$A$45:$A$53,Доп.расчеты!$A163,'Как есть'!CF$45:CF$53)</f>
        <v>0</v>
      </c>
      <c r="CF163">
        <f>SUMIF('Как есть'!$A$45:$A$53,Доп.расчеты!$A163,'Как есть'!CG$45:CG$53)</f>
        <v>0</v>
      </c>
      <c r="CG163">
        <f>SUMIF('Как есть'!$A$45:$A$53,Доп.расчеты!$A163,'Как есть'!CH$45:CH$53)</f>
        <v>0</v>
      </c>
      <c r="CH163">
        <f>SUMIF('Как есть'!$A$45:$A$53,Доп.расчеты!$A163,'Как есть'!CI$45:CI$53)</f>
        <v>0</v>
      </c>
      <c r="CI163">
        <f>SUMIF('Как есть'!$A$45:$A$53,Доп.расчеты!$A163,'Как есть'!CJ$45:CJ$53)</f>
        <v>0</v>
      </c>
      <c r="CJ163">
        <f>SUMIF('Как есть'!$A$45:$A$53,Доп.расчеты!$A163,'Как есть'!CK$45:CK$53)</f>
        <v>0</v>
      </c>
      <c r="CK163">
        <f>SUMIF('Как есть'!$A$45:$A$53,Доп.расчеты!$A163,'Как есть'!CL$45:CL$53)</f>
        <v>0</v>
      </c>
      <c r="CL163">
        <f>SUMIF('Как есть'!$A$45:$A$53,Доп.расчеты!$A163,'Как есть'!CM$45:CM$53)</f>
        <v>0</v>
      </c>
      <c r="CM163">
        <f>SUMIF('Как есть'!$A$45:$A$53,Доп.расчеты!$A163,'Как есть'!CN$45:CN$53)</f>
        <v>0</v>
      </c>
      <c r="CN163">
        <f>SUMIF('Как есть'!$A$45:$A$53,Доп.расчеты!$A163,'Как есть'!CO$45:CO$53)</f>
        <v>0</v>
      </c>
      <c r="CO163">
        <f>SUMIF('Как есть'!$A$45:$A$53,Доп.расчеты!$A163,'Как есть'!CP$45:CP$53)</f>
        <v>0</v>
      </c>
      <c r="CP163">
        <f>SUMIF('Как есть'!$A$45:$A$53,Доп.расчеты!$A163,'Как есть'!CQ$45:CQ$53)</f>
        <v>0</v>
      </c>
      <c r="CQ163">
        <f>SUMIF('Как есть'!$A$45:$A$53,Доп.расчеты!$A163,'Как есть'!CR$45:CR$53)</f>
        <v>0</v>
      </c>
      <c r="CR163">
        <f>SUMIF('Как есть'!$A$45:$A$53,Доп.расчеты!$A163,'Как есть'!CS$45:CS$53)</f>
        <v>0</v>
      </c>
      <c r="CS163">
        <f>SUMIF('Как есть'!$A$45:$A$53,Доп.расчеты!$A163,'Как есть'!CT$45:CT$53)</f>
        <v>0</v>
      </c>
      <c r="CT163">
        <f>SUMIF('Как есть'!$A$45:$A$53,Доп.расчеты!$A163,'Как есть'!CU$45:CU$53)</f>
        <v>0</v>
      </c>
      <c r="CU163">
        <f>SUMIF('Как есть'!$A$45:$A$53,Доп.расчеты!$A163,'Как есть'!CV$45:CV$53)</f>
        <v>0</v>
      </c>
      <c r="CV163">
        <f>SUMIF('Как есть'!$A$45:$A$53,Доп.расчеты!$A163,'Как есть'!CW$45:CW$53)</f>
        <v>0</v>
      </c>
      <c r="CW163">
        <f>SUMIF('Как есть'!$A$45:$A$53,Доп.расчеты!$A163,'Как есть'!CX$45:CX$53)</f>
        <v>0</v>
      </c>
      <c r="CX163">
        <f>SUMIF('Как есть'!$A$45:$A$53,Доп.расчеты!$A163,'Как есть'!CY$45:CY$53)</f>
        <v>0</v>
      </c>
      <c r="CY163">
        <f>SUMIF('Как есть'!$A$45:$A$53,Доп.расчеты!$A163,'Как есть'!CZ$45:CZ$53)</f>
        <v>0</v>
      </c>
      <c r="CZ163">
        <f>SUMIF('Как есть'!$A$45:$A$53,Доп.расчеты!$A163,'Как есть'!DA$45:DA$53)</f>
        <v>0</v>
      </c>
      <c r="DA163">
        <f>SUMIF('Как есть'!$A$45:$A$53,Доп.расчеты!$A163,'Как есть'!DB$45:DB$53)</f>
        <v>0</v>
      </c>
      <c r="DB163">
        <f>SUMIF('Как есть'!$A$45:$A$53,Доп.расчеты!$A163,'Как есть'!DC$45:DC$53)</f>
        <v>0</v>
      </c>
      <c r="DC163">
        <f>SUMIF('Как есть'!$A$45:$A$53,Доп.расчеты!$A163,'Как есть'!DD$45:DD$53)</f>
        <v>0</v>
      </c>
      <c r="DD163">
        <f>SUMIF('Как есть'!$A$45:$A$53,Доп.расчеты!$A163,'Как есть'!DE$45:DE$53)</f>
        <v>0</v>
      </c>
      <c r="DE163">
        <f>SUMIF('Как есть'!$A$45:$A$53,Доп.расчеты!$A163,'Как есть'!DF$45:DF$53)</f>
        <v>0</v>
      </c>
      <c r="DF163">
        <f>SUMIF('Как есть'!$A$45:$A$53,Доп.расчеты!$A163,'Как есть'!DG$45:DG$53)</f>
        <v>0</v>
      </c>
      <c r="DG163">
        <f>SUMIF('Как есть'!$A$45:$A$53,Доп.расчеты!$A163,'Как есть'!DH$45:DH$53)</f>
        <v>0</v>
      </c>
      <c r="DH163">
        <f>SUMIF('Как есть'!$A$45:$A$53,Доп.расчеты!$A163,'Как есть'!DI$45:DI$53)</f>
        <v>0</v>
      </c>
      <c r="DI163">
        <f>SUMIF('Как есть'!$A$45:$A$53,Доп.расчеты!$A163,'Как есть'!DJ$45:DJ$53)</f>
        <v>0</v>
      </c>
      <c r="DJ163">
        <f>SUMIF('Как есть'!$A$45:$A$53,Доп.расчеты!$A163,'Как есть'!DK$45:DK$53)</f>
        <v>0</v>
      </c>
      <c r="DK163">
        <f>SUMIF('Как есть'!$A$45:$A$53,Доп.расчеты!$A163,'Как есть'!DL$45:DL$53)</f>
        <v>0</v>
      </c>
      <c r="DL163">
        <f>SUMIF('Как есть'!$A$45:$A$53,Доп.расчеты!$A163,'Как есть'!DM$45:DM$53)</f>
        <v>0</v>
      </c>
      <c r="DM163">
        <f>SUMIF('Как есть'!$A$45:$A$53,Доп.расчеты!$A163,'Как есть'!DN$45:DN$53)</f>
        <v>0</v>
      </c>
      <c r="DN163">
        <f>SUMIF('Как есть'!$A$45:$A$53,Доп.расчеты!$A163,'Как есть'!DO$45:DO$53)</f>
        <v>0</v>
      </c>
      <c r="DO163">
        <f>SUMIF('Как есть'!$A$45:$A$53,Доп.расчеты!$A163,'Как есть'!DP$45:DP$53)</f>
        <v>0</v>
      </c>
      <c r="DP163">
        <f>SUMIF('Как есть'!$A$45:$A$53,Доп.расчеты!$A163,'Как есть'!DQ$45:DQ$53)</f>
        <v>0</v>
      </c>
      <c r="DQ163">
        <f>SUMIF('Как есть'!$A$45:$A$53,Доп.расчеты!$A163,'Как есть'!DR$45:DR$53)</f>
        <v>0</v>
      </c>
      <c r="DR163">
        <f>SUMIF('Как есть'!$A$45:$A$53,Доп.расчеты!$A163,'Как есть'!DS$45:DS$53)</f>
        <v>0</v>
      </c>
      <c r="DS163">
        <f>SUMIF('Как есть'!$A$45:$A$53,Доп.расчеты!$A163,'Как есть'!DT$45:DT$53)</f>
        <v>0</v>
      </c>
      <c r="DT163">
        <f>SUMIF('Как есть'!$A$45:$A$53,Доп.расчеты!$A163,'Как есть'!DU$45:DU$53)</f>
        <v>0</v>
      </c>
      <c r="DU163">
        <f>SUMIF('Как есть'!$A$45:$A$53,Доп.расчеты!$A163,'Как есть'!DV$45:DV$53)</f>
        <v>0</v>
      </c>
      <c r="DV163">
        <f>SUMIF('Как есть'!$A$45:$A$53,Доп.расчеты!$A163,'Как есть'!DW$45:DW$53)</f>
        <v>0</v>
      </c>
      <c r="DW163">
        <f>SUMIF('Как есть'!$A$45:$A$53,Доп.расчеты!$A163,'Как есть'!DX$45:DX$53)</f>
        <v>0</v>
      </c>
      <c r="DX163">
        <f>SUMIF('Как есть'!$A$45:$A$53,Доп.расчеты!$A163,'Как есть'!DY$45:DY$53)</f>
        <v>0</v>
      </c>
      <c r="DY163">
        <f>SUMIF('Как есть'!$A$45:$A$53,Доп.расчеты!$A163,'Как есть'!DZ$45:DZ$53)</f>
        <v>0</v>
      </c>
      <c r="DZ163">
        <f>SUMIF('Как есть'!$A$45:$A$53,Доп.расчеты!$A163,'Как есть'!EA$45:EA$53)</f>
        <v>0</v>
      </c>
      <c r="EA163">
        <f>SUMIF('Как есть'!$A$45:$A$53,Доп.расчеты!$A163,'Как есть'!EB$45:EB$53)</f>
        <v>0</v>
      </c>
      <c r="EB163">
        <f>SUMIF('Как есть'!$A$45:$A$53,Доп.расчеты!$A163,'Как есть'!EC$45:EC$53)</f>
        <v>0</v>
      </c>
      <c r="EC163">
        <f>SUMIF('Как есть'!$A$45:$A$53,Доп.расчеты!$A163,'Как есть'!ED$45:ED$53)</f>
        <v>0</v>
      </c>
      <c r="ED163">
        <f>SUMIF('Как есть'!$A$45:$A$53,Доп.расчеты!$A163,'Как есть'!EE$45:EE$53)</f>
        <v>0</v>
      </c>
      <c r="EE163">
        <f>SUMIF('Как есть'!$A$45:$A$53,Доп.расчеты!$A163,'Как есть'!EF$45:EF$53)</f>
        <v>0</v>
      </c>
      <c r="EF163">
        <f>SUMIF('Как есть'!$A$45:$A$53,Доп.расчеты!$A163,'Как есть'!EG$45:EG$53)</f>
        <v>0</v>
      </c>
      <c r="EG163">
        <f>SUMIF('Как есть'!$A$45:$A$53,Доп.расчеты!$A163,'Как есть'!EH$45:EH$53)</f>
        <v>0</v>
      </c>
      <c r="EH163">
        <f>SUMIF('Как есть'!$A$45:$A$53,Доп.расчеты!$A163,'Как есть'!EI$45:EI$53)</f>
        <v>0</v>
      </c>
      <c r="EI163">
        <f>SUMIF('Как есть'!$A$45:$A$53,Доп.расчеты!$A163,'Как есть'!EJ$45:EJ$53)</f>
        <v>0</v>
      </c>
      <c r="EJ163">
        <f>SUMIF('Как есть'!$A$45:$A$53,Доп.расчеты!$A163,'Как есть'!EK$45:EK$53)</f>
        <v>0</v>
      </c>
      <c r="EK163">
        <f>SUMIF('Как есть'!$A$45:$A$53,Доп.расчеты!$A163,'Как есть'!EL$45:EL$53)</f>
        <v>0</v>
      </c>
      <c r="EL163">
        <f>SUMIF('Как есть'!$A$45:$A$53,Доп.расчеты!$A163,'Как есть'!EM$45:EM$53)</f>
        <v>0</v>
      </c>
      <c r="EM163">
        <f>SUMIF('Как есть'!$A$45:$A$53,Доп.расчеты!$A163,'Как есть'!EN$45:EN$53)</f>
        <v>0</v>
      </c>
      <c r="EN163">
        <f>SUMIF('Как есть'!$A$45:$A$53,Доп.расчеты!$A163,'Как есть'!EO$45:EO$53)</f>
        <v>0</v>
      </c>
      <c r="EO163">
        <f>SUMIF('Как есть'!$A$45:$A$53,Доп.расчеты!$A163,'Как есть'!EP$45:EP$53)</f>
        <v>0</v>
      </c>
      <c r="EP163">
        <f>SUMIF('Как есть'!$A$45:$A$53,Доп.расчеты!$A163,'Как есть'!EQ$45:EQ$53)</f>
        <v>0</v>
      </c>
      <c r="EQ163">
        <f>SUMIF('Как есть'!$A$45:$A$53,Доп.расчеты!$A163,'Как есть'!ER$45:ER$53)</f>
        <v>0</v>
      </c>
      <c r="ER163">
        <f>SUMIF('Как есть'!$A$45:$A$53,Доп.расчеты!$A163,'Как есть'!ES$45:ES$53)</f>
        <v>0</v>
      </c>
      <c r="ES163">
        <f>SUMIF('Как есть'!$A$45:$A$53,Доп.расчеты!$A163,'Как есть'!ET$45:ET$53)</f>
        <v>0</v>
      </c>
      <c r="ET163">
        <f>SUMIF('Как есть'!$A$45:$A$53,Доп.расчеты!$A163,'Как есть'!EU$45:EU$53)</f>
        <v>0</v>
      </c>
      <c r="EU163">
        <f>SUMIF('Как есть'!$A$45:$A$53,Доп.расчеты!$A163,'Как есть'!EV$45:EV$53)</f>
        <v>0</v>
      </c>
      <c r="EV163">
        <f>SUMIF('Как есть'!$A$45:$A$53,Доп.расчеты!$A163,'Как есть'!EW$45:EW$53)</f>
        <v>0</v>
      </c>
      <c r="EW163">
        <f>SUMIF('Как есть'!$A$45:$A$53,Доп.расчеты!$A163,'Как есть'!EX$45:EX$53)</f>
        <v>0</v>
      </c>
      <c r="EX163">
        <f>SUMIF('Как есть'!$A$45:$A$53,Доп.расчеты!$A163,'Как есть'!EY$45:EY$53)</f>
        <v>0</v>
      </c>
      <c r="EY163">
        <f>SUMIF('Как есть'!$A$45:$A$53,Доп.расчеты!$A163,'Как есть'!EZ$45:EZ$53)</f>
        <v>0</v>
      </c>
      <c r="EZ163">
        <f>SUMIF('Как есть'!$A$45:$A$53,Доп.расчеты!$A163,'Как есть'!FA$45:FA$53)</f>
        <v>0</v>
      </c>
      <c r="FA163">
        <f>SUMIF('Как есть'!$A$45:$A$53,Доп.расчеты!$A163,'Как есть'!FB$45:FB$53)</f>
        <v>0</v>
      </c>
      <c r="FB163">
        <f>SUMIF('Как есть'!$A$45:$A$53,Доп.расчеты!$A163,'Как есть'!FC$45:FC$53)</f>
        <v>0</v>
      </c>
      <c r="FC163">
        <f>SUMIF('Как есть'!$A$45:$A$53,Доп.расчеты!$A163,'Как есть'!FD$45:FD$53)</f>
        <v>0</v>
      </c>
      <c r="FD163">
        <f>SUMIF('Как есть'!$A$45:$A$53,Доп.расчеты!$A163,'Как есть'!FE$45:FE$53)</f>
        <v>0</v>
      </c>
      <c r="FE163">
        <f>SUMIF('Как есть'!$A$45:$A$53,Доп.расчеты!$A163,'Как есть'!FF$45:FF$53)</f>
        <v>0</v>
      </c>
      <c r="FF163">
        <f>SUMIF('Как есть'!$A$45:$A$53,Доп.расчеты!$A163,'Как есть'!FG$45:FG$53)</f>
        <v>0</v>
      </c>
      <c r="FG163">
        <f>SUMIF('Как есть'!$A$45:$A$53,Доп.расчеты!$A163,'Как есть'!FH$45:FH$53)</f>
        <v>0</v>
      </c>
      <c r="FH163">
        <f>SUMIF('Как есть'!$A$45:$A$53,Доп.расчеты!$A163,'Как есть'!FI$45:FI$53)</f>
        <v>0</v>
      </c>
      <c r="FI163">
        <f>SUMIF('Как есть'!$A$45:$A$53,Доп.расчеты!$A163,'Как есть'!FJ$45:FJ$53)</f>
        <v>0</v>
      </c>
      <c r="FJ163">
        <f>SUMIF('Как есть'!$A$45:$A$53,Доп.расчеты!$A163,'Как есть'!FK$45:FK$53)</f>
        <v>0</v>
      </c>
      <c r="FK163">
        <f>SUMIF('Как есть'!$A$45:$A$53,Доп.расчеты!$A163,'Как есть'!FL$45:FL$53)</f>
        <v>0</v>
      </c>
      <c r="FL163">
        <f>SUMIF('Как есть'!$A$45:$A$53,Доп.расчеты!$A163,'Как есть'!FM$45:FM$53)</f>
        <v>0</v>
      </c>
      <c r="FM163">
        <f>SUMIF('Как есть'!$A$45:$A$53,Доп.расчеты!$A163,'Как есть'!FN$45:FN$53)</f>
        <v>0</v>
      </c>
      <c r="FN163">
        <f>SUMIF('Как есть'!$A$45:$A$53,Доп.расчеты!$A163,'Как есть'!FO$45:FO$53)</f>
        <v>0</v>
      </c>
      <c r="FO163">
        <f>SUMIF('Как есть'!$A$45:$A$53,Доп.расчеты!$A163,'Как есть'!FP$45:FP$53)</f>
        <v>0</v>
      </c>
      <c r="FP163">
        <f>SUMIF('Как есть'!$A$45:$A$53,Доп.расчеты!$A163,'Как есть'!FQ$45:FQ$53)</f>
        <v>0</v>
      </c>
      <c r="FQ163">
        <f>SUMIF('Как есть'!$A$45:$A$53,Доп.расчеты!$A163,'Как есть'!FR$45:FR$53)</f>
        <v>0</v>
      </c>
      <c r="FR163">
        <f>SUMIF('Как есть'!$A$45:$A$53,Доп.расчеты!$A163,'Как есть'!FS$45:FS$53)</f>
        <v>0</v>
      </c>
      <c r="FS163">
        <f>SUMIF('Как есть'!$A$45:$A$53,Доп.расчеты!$A163,'Как есть'!FT$45:FT$53)</f>
        <v>0</v>
      </c>
      <c r="FT163">
        <f>SUMIF('Как есть'!$A$45:$A$53,Доп.расчеты!$A163,'Как есть'!FU$45:FU$53)</f>
        <v>0</v>
      </c>
      <c r="FU163">
        <f>SUMIF('Как есть'!$A$45:$A$53,Доп.расчеты!$A163,'Как есть'!FV$45:FV$53)</f>
        <v>0</v>
      </c>
      <c r="FV163">
        <f>SUMIF('Как есть'!$A$45:$A$53,Доп.расчеты!$A163,'Как есть'!FW$45:FW$53)</f>
        <v>0</v>
      </c>
      <c r="FW163">
        <f>SUMIF('Как есть'!$A$45:$A$53,Доп.расчеты!$A163,'Как есть'!FX$45:FX$53)</f>
        <v>0</v>
      </c>
      <c r="FX163">
        <f>SUMIF('Как есть'!$A$45:$A$53,Доп.расчеты!$A163,'Как есть'!FY$45:FY$53)</f>
        <v>0</v>
      </c>
      <c r="FY163">
        <f>SUMIF('Как есть'!$A$45:$A$53,Доп.расчеты!$A163,'Как есть'!FZ$45:FZ$53)</f>
        <v>0</v>
      </c>
      <c r="FZ163">
        <f>SUMIF('Как есть'!$A$45:$A$53,Доп.расчеты!$A163,'Как есть'!GA$45:GA$53)</f>
        <v>0</v>
      </c>
      <c r="GA163">
        <f>SUMIF('Как есть'!$A$45:$A$53,Доп.расчеты!$A163,'Как есть'!GB$45:GB$53)</f>
        <v>0</v>
      </c>
      <c r="GB163">
        <f>SUMIF('Как есть'!$A$45:$A$53,Доп.расчеты!$A163,'Как есть'!GC$45:GC$53)</f>
        <v>0</v>
      </c>
      <c r="GC163">
        <f>SUMIF('Как есть'!$A$45:$A$53,Доп.расчеты!$A163,'Как есть'!GD$45:GD$53)</f>
        <v>0</v>
      </c>
      <c r="GD163">
        <f>SUMIF('Как есть'!$A$45:$A$53,Доп.расчеты!$A163,'Как есть'!GE$45:GE$53)</f>
        <v>0</v>
      </c>
      <c r="GE163">
        <f>SUMIF('Как есть'!$A$45:$A$53,Доп.расчеты!$A163,'Как есть'!GF$45:GF$53)</f>
        <v>0</v>
      </c>
      <c r="GF163">
        <f>SUMIF('Как есть'!$A$45:$A$53,Доп.расчеты!$A163,'Как есть'!GG$45:GG$53)</f>
        <v>0</v>
      </c>
      <c r="GG163">
        <f>SUMIF('Как есть'!$A$45:$A$53,Доп.расчеты!$A163,'Как есть'!GH$45:GH$53)</f>
        <v>0</v>
      </c>
      <c r="GH163">
        <f>SUMIF('Как есть'!$A$45:$A$53,Доп.расчеты!$A163,'Как есть'!GI$45:GI$53)</f>
        <v>0</v>
      </c>
      <c r="GI163">
        <f>SUMIF('Как есть'!$A$45:$A$53,Доп.расчеты!$A163,'Как есть'!GJ$45:GJ$53)</f>
        <v>0</v>
      </c>
      <c r="GJ163">
        <f>SUMIF('Как есть'!$A$45:$A$53,Доп.расчеты!$A163,'Как есть'!GK$45:GK$53)</f>
        <v>0</v>
      </c>
      <c r="GK163">
        <f>SUMIF('Как есть'!$A$45:$A$53,Доп.расчеты!$A163,'Как есть'!GL$45:GL$53)</f>
        <v>0</v>
      </c>
      <c r="GL163">
        <f>SUMIF('Как есть'!$A$45:$A$53,Доп.расчеты!$A163,'Как есть'!GM$45:GM$53)</f>
        <v>0</v>
      </c>
      <c r="GM163">
        <f>SUMIF('Как есть'!$A$45:$A$53,Доп.расчеты!$A163,'Как есть'!GN$45:GN$53)</f>
        <v>0</v>
      </c>
      <c r="GN163">
        <f>SUMIF('Как есть'!$A$45:$A$53,Доп.расчеты!$A163,'Как есть'!GO$45:GO$53)</f>
        <v>0</v>
      </c>
      <c r="GO163">
        <f>SUMIF('Как есть'!$A$45:$A$53,Доп.расчеты!$A163,'Как есть'!GP$45:GP$53)</f>
        <v>0</v>
      </c>
      <c r="GP163">
        <f>SUMIF('Как есть'!$A$45:$A$53,Доп.расчеты!$A163,'Как есть'!GQ$45:GQ$53)</f>
        <v>0</v>
      </c>
      <c r="GQ163">
        <f>SUMIF('Как есть'!$A$45:$A$53,Доп.расчеты!$A163,'Как есть'!GR$45:GR$53)</f>
        <v>0</v>
      </c>
      <c r="GR163">
        <f>SUMIF('Как есть'!$A$45:$A$53,Доп.расчеты!$A163,'Как есть'!GS$45:GS$53)</f>
        <v>0</v>
      </c>
      <c r="GS163">
        <f>SUMIF('Как есть'!$A$45:$A$53,Доп.расчеты!$A163,'Как есть'!GT$45:GT$53)</f>
        <v>0</v>
      </c>
      <c r="GT163">
        <f>SUMIF('Как есть'!$A$45:$A$53,Доп.расчеты!$A163,'Как есть'!GU$45:GU$53)</f>
        <v>0</v>
      </c>
    </row>
    <row r="164" spans="1:202" hidden="1" outlineLevel="1">
      <c r="A164" s="238" t="s">
        <v>100</v>
      </c>
      <c r="B164">
        <f>SUMIF('Как есть'!$A$45:$A$53,Доп.расчеты!$A164,'Как есть'!C$45:C$53)</f>
        <v>0</v>
      </c>
      <c r="C164">
        <f>SUMIF('Как есть'!$A$45:$A$53,Доп.расчеты!$A164,'Как есть'!D$45:D$53)</f>
        <v>0</v>
      </c>
      <c r="D164">
        <f>SUMIF('Как есть'!$A$45:$A$53,Доп.расчеты!$A164,'Как есть'!E$45:E$53)</f>
        <v>0</v>
      </c>
      <c r="E164">
        <f>SUMIF('Как есть'!$A$45:$A$53,Доп.расчеты!$A164,'Как есть'!F$45:F$53)</f>
        <v>0</v>
      </c>
      <c r="F164">
        <f>SUMIF('Как есть'!$A$45:$A$53,Доп.расчеты!$A164,'Как есть'!G$45:G$53)</f>
        <v>0</v>
      </c>
      <c r="G164">
        <f>SUMIF('Как есть'!$A$45:$A$53,Доп.расчеты!$A164,'Как есть'!H$45:H$53)</f>
        <v>0</v>
      </c>
      <c r="H164">
        <f>SUMIF('Как есть'!$A$45:$A$53,Доп.расчеты!$A164,'Как есть'!I$45:I$53)</f>
        <v>0</v>
      </c>
      <c r="I164">
        <f>SUMIF('Как есть'!$A$45:$A$53,Доп.расчеты!$A164,'Как есть'!J$45:J$53)</f>
        <v>0</v>
      </c>
      <c r="J164">
        <f>SUMIF('Как есть'!$A$45:$A$53,Доп.расчеты!$A164,'Как есть'!K$45:K$53)</f>
        <v>0</v>
      </c>
      <c r="K164">
        <f>SUMIF('Как есть'!$A$45:$A$53,Доп.расчеты!$A164,'Как есть'!L$45:L$53)</f>
        <v>0</v>
      </c>
      <c r="L164">
        <f>SUMIF('Как есть'!$A$45:$A$53,Доп.расчеты!$A164,'Как есть'!M$45:M$53)</f>
        <v>0</v>
      </c>
      <c r="M164">
        <f>SUMIF('Как есть'!$A$45:$A$53,Доп.расчеты!$A164,'Как есть'!N$45:N$53)</f>
        <v>0</v>
      </c>
      <c r="N164">
        <f>SUMIF('Как есть'!$A$45:$A$53,Доп.расчеты!$A164,'Как есть'!O$45:O$53)</f>
        <v>0</v>
      </c>
      <c r="O164">
        <f>SUMIF('Как есть'!$A$45:$A$53,Доп.расчеты!$A164,'Как есть'!P$45:P$53)</f>
        <v>0</v>
      </c>
      <c r="P164">
        <f>SUMIF('Как есть'!$A$45:$A$53,Доп.расчеты!$A164,'Как есть'!Q$45:Q$53)</f>
        <v>0</v>
      </c>
      <c r="Q164">
        <f>SUMIF('Как есть'!$A$45:$A$53,Доп.расчеты!$A164,'Как есть'!R$45:R$53)</f>
        <v>0</v>
      </c>
      <c r="R164">
        <f>SUMIF('Как есть'!$A$45:$A$53,Доп.расчеты!$A164,'Как есть'!S$45:S$53)</f>
        <v>0</v>
      </c>
      <c r="S164">
        <f>SUMIF('Как есть'!$A$45:$A$53,Доп.расчеты!$A164,'Как есть'!T$45:T$53)</f>
        <v>0</v>
      </c>
      <c r="T164">
        <f>SUMIF('Как есть'!$A$45:$A$53,Доп.расчеты!$A164,'Как есть'!U$45:U$53)</f>
        <v>0</v>
      </c>
      <c r="U164">
        <f>SUMIF('Как есть'!$A$45:$A$53,Доп.расчеты!$A164,'Как есть'!V$45:V$53)</f>
        <v>0</v>
      </c>
      <c r="V164">
        <f>SUMIF('Как есть'!$A$45:$A$53,Доп.расчеты!$A164,'Как есть'!W$45:W$53)</f>
        <v>0</v>
      </c>
      <c r="W164">
        <f>SUMIF('Как есть'!$A$45:$A$53,Доп.расчеты!$A164,'Как есть'!X$45:X$53)</f>
        <v>0</v>
      </c>
      <c r="X164">
        <f>SUMIF('Как есть'!$A$45:$A$53,Доп.расчеты!$A164,'Как есть'!Y$45:Y$53)</f>
        <v>0</v>
      </c>
      <c r="Y164">
        <f>SUMIF('Как есть'!$A$45:$A$53,Доп.расчеты!$A164,'Как есть'!Z$45:Z$53)</f>
        <v>0</v>
      </c>
      <c r="Z164">
        <f>SUMIF('Как есть'!$A$45:$A$53,Доп.расчеты!$A164,'Как есть'!AA$45:AA$53)</f>
        <v>0</v>
      </c>
      <c r="AA164">
        <f>SUMIF('Как есть'!$A$45:$A$53,Доп.расчеты!$A164,'Как есть'!AB$45:AB$53)</f>
        <v>0</v>
      </c>
      <c r="AB164">
        <f>SUMIF('Как есть'!$A$45:$A$53,Доп.расчеты!$A164,'Как есть'!AC$45:AC$53)</f>
        <v>0</v>
      </c>
      <c r="AC164">
        <f>SUMIF('Как есть'!$A$45:$A$53,Доп.расчеты!$A164,'Как есть'!AD$45:AD$53)</f>
        <v>0</v>
      </c>
      <c r="AD164">
        <f>SUMIF('Как есть'!$A$45:$A$53,Доп.расчеты!$A164,'Как есть'!AE$45:AE$53)</f>
        <v>0</v>
      </c>
      <c r="AE164">
        <f>SUMIF('Как есть'!$A$45:$A$53,Доп.расчеты!$A164,'Как есть'!AF$45:AF$53)</f>
        <v>0</v>
      </c>
      <c r="AF164">
        <f>SUMIF('Как есть'!$A$45:$A$53,Доп.расчеты!$A164,'Как есть'!AG$45:AG$53)</f>
        <v>0</v>
      </c>
      <c r="AG164">
        <f>SUMIF('Как есть'!$A$45:$A$53,Доп.расчеты!$A164,'Как есть'!AH$45:AH$53)</f>
        <v>0</v>
      </c>
      <c r="AH164">
        <f>SUMIF('Как есть'!$A$45:$A$53,Доп.расчеты!$A164,'Как есть'!AI$45:AI$53)</f>
        <v>0</v>
      </c>
      <c r="AI164">
        <f>SUMIF('Как есть'!$A$45:$A$53,Доп.расчеты!$A164,'Как есть'!AJ$45:AJ$53)</f>
        <v>0</v>
      </c>
      <c r="AJ164">
        <f>SUMIF('Как есть'!$A$45:$A$53,Доп.расчеты!$A164,'Как есть'!AK$45:AK$53)</f>
        <v>0</v>
      </c>
      <c r="AK164">
        <f>SUMIF('Как есть'!$A$45:$A$53,Доп.расчеты!$A164,'Как есть'!AL$45:AL$53)</f>
        <v>0</v>
      </c>
      <c r="AL164">
        <f>SUMIF('Как есть'!$A$45:$A$53,Доп.расчеты!$A164,'Как есть'!AM$45:AM$53)</f>
        <v>0</v>
      </c>
      <c r="AM164">
        <f>SUMIF('Как есть'!$A$45:$A$53,Доп.расчеты!$A164,'Как есть'!AN$45:AN$53)</f>
        <v>0</v>
      </c>
      <c r="AN164">
        <f>SUMIF('Как есть'!$A$45:$A$53,Доп.расчеты!$A164,'Как есть'!AO$45:AO$53)</f>
        <v>0</v>
      </c>
      <c r="AO164">
        <f>SUMIF('Как есть'!$A$45:$A$53,Доп.расчеты!$A164,'Как есть'!AP$45:AP$53)</f>
        <v>0</v>
      </c>
      <c r="AP164">
        <f>SUMIF('Как есть'!$A$45:$A$53,Доп.расчеты!$A164,'Как есть'!AQ$45:AQ$53)</f>
        <v>0</v>
      </c>
      <c r="AQ164">
        <f>SUMIF('Как есть'!$A$45:$A$53,Доп.расчеты!$A164,'Как есть'!AR$45:AR$53)</f>
        <v>0</v>
      </c>
      <c r="AR164">
        <f>SUMIF('Как есть'!$A$45:$A$53,Доп.расчеты!$A164,'Как есть'!AS$45:AS$53)</f>
        <v>0</v>
      </c>
      <c r="AS164">
        <f>SUMIF('Как есть'!$A$45:$A$53,Доп.расчеты!$A164,'Как есть'!AT$45:AT$53)</f>
        <v>0</v>
      </c>
      <c r="AT164">
        <f>SUMIF('Как есть'!$A$45:$A$53,Доп.расчеты!$A164,'Как есть'!AU$45:AU$53)</f>
        <v>0</v>
      </c>
      <c r="AU164">
        <f>SUMIF('Как есть'!$A$45:$A$53,Доп.расчеты!$A164,'Как есть'!AV$45:AV$53)</f>
        <v>0</v>
      </c>
      <c r="AV164">
        <f>SUMIF('Как есть'!$A$45:$A$53,Доп.расчеты!$A164,'Как есть'!AW$45:AW$53)</f>
        <v>0</v>
      </c>
      <c r="AW164">
        <f>SUMIF('Как есть'!$A$45:$A$53,Доп.расчеты!$A164,'Как есть'!AX$45:AX$53)</f>
        <v>0</v>
      </c>
      <c r="AX164">
        <f>SUMIF('Как есть'!$A$45:$A$53,Доп.расчеты!$A164,'Как есть'!AY$45:AY$53)</f>
        <v>0</v>
      </c>
      <c r="AY164">
        <f>SUMIF('Как есть'!$A$45:$A$53,Доп.расчеты!$A164,'Как есть'!AZ$45:AZ$53)</f>
        <v>0</v>
      </c>
      <c r="AZ164">
        <f>SUMIF('Как есть'!$A$45:$A$53,Доп.расчеты!$A164,'Как есть'!BA$45:BA$53)</f>
        <v>0</v>
      </c>
      <c r="BA164">
        <f>SUMIF('Как есть'!$A$45:$A$53,Доп.расчеты!$A164,'Как есть'!BB$45:BB$53)</f>
        <v>0</v>
      </c>
      <c r="BB164">
        <f>SUMIF('Как есть'!$A$45:$A$53,Доп.расчеты!$A164,'Как есть'!BC$45:BC$53)</f>
        <v>0</v>
      </c>
      <c r="BC164">
        <f>SUMIF('Как есть'!$A$45:$A$53,Доп.расчеты!$A164,'Как есть'!BD$45:BD$53)</f>
        <v>0</v>
      </c>
      <c r="BD164">
        <f>SUMIF('Как есть'!$A$45:$A$53,Доп.расчеты!$A164,'Как есть'!BE$45:BE$53)</f>
        <v>0</v>
      </c>
      <c r="BE164">
        <f>SUMIF('Как есть'!$A$45:$A$53,Доп.расчеты!$A164,'Как есть'!BF$45:BF$53)</f>
        <v>0</v>
      </c>
      <c r="BF164">
        <f>SUMIF('Как есть'!$A$45:$A$53,Доп.расчеты!$A164,'Как есть'!BG$45:BG$53)</f>
        <v>0</v>
      </c>
      <c r="BG164">
        <f>SUMIF('Как есть'!$A$45:$A$53,Доп.расчеты!$A164,'Как есть'!BH$45:BH$53)</f>
        <v>0</v>
      </c>
      <c r="BH164">
        <f>SUMIF('Как есть'!$A$45:$A$53,Доп.расчеты!$A164,'Как есть'!BI$45:BI$53)</f>
        <v>0</v>
      </c>
      <c r="BI164">
        <f>SUMIF('Как есть'!$A$45:$A$53,Доп.расчеты!$A164,'Как есть'!BJ$45:BJ$53)</f>
        <v>0</v>
      </c>
      <c r="BJ164">
        <f>SUMIF('Как есть'!$A$45:$A$53,Доп.расчеты!$A164,'Как есть'!BK$45:BK$53)</f>
        <v>0</v>
      </c>
      <c r="BK164">
        <f>SUMIF('Как есть'!$A$45:$A$53,Доп.расчеты!$A164,'Как есть'!BL$45:BL$53)</f>
        <v>0</v>
      </c>
      <c r="BL164">
        <f>SUMIF('Как есть'!$A$45:$A$53,Доп.расчеты!$A164,'Как есть'!BM$45:BM$53)</f>
        <v>0</v>
      </c>
      <c r="BM164">
        <f>SUMIF('Как есть'!$A$45:$A$53,Доп.расчеты!$A164,'Как есть'!BN$45:BN$53)</f>
        <v>0</v>
      </c>
      <c r="BN164">
        <f>SUMIF('Как есть'!$A$45:$A$53,Доп.расчеты!$A164,'Как есть'!BO$45:BO$53)</f>
        <v>0</v>
      </c>
      <c r="BO164">
        <f>SUMIF('Как есть'!$A$45:$A$53,Доп.расчеты!$A164,'Как есть'!BP$45:BP$53)</f>
        <v>0</v>
      </c>
      <c r="BP164">
        <f>SUMIF('Как есть'!$A$45:$A$53,Доп.расчеты!$A164,'Как есть'!BQ$45:BQ$53)</f>
        <v>0</v>
      </c>
      <c r="BQ164">
        <f>SUMIF('Как есть'!$A$45:$A$53,Доп.расчеты!$A164,'Как есть'!BR$45:BR$53)</f>
        <v>0</v>
      </c>
      <c r="BR164">
        <f>SUMIF('Как есть'!$A$45:$A$53,Доп.расчеты!$A164,'Как есть'!BS$45:BS$53)</f>
        <v>0</v>
      </c>
      <c r="BS164">
        <f>SUMIF('Как есть'!$A$45:$A$53,Доп.расчеты!$A164,'Как есть'!BT$45:BT$53)</f>
        <v>0</v>
      </c>
      <c r="BT164">
        <f>SUMIF('Как есть'!$A$45:$A$53,Доп.расчеты!$A164,'Как есть'!BU$45:BU$53)</f>
        <v>0</v>
      </c>
      <c r="BU164">
        <f>SUMIF('Как есть'!$A$45:$A$53,Доп.расчеты!$A164,'Как есть'!BV$45:BV$53)</f>
        <v>0</v>
      </c>
      <c r="BV164">
        <f>SUMIF('Как есть'!$A$45:$A$53,Доп.расчеты!$A164,'Как есть'!BW$45:BW$53)</f>
        <v>0</v>
      </c>
      <c r="BW164">
        <f>SUMIF('Как есть'!$A$45:$A$53,Доп.расчеты!$A164,'Как есть'!BX$45:BX$53)</f>
        <v>0</v>
      </c>
      <c r="BX164">
        <f>SUMIF('Как есть'!$A$45:$A$53,Доп.расчеты!$A164,'Как есть'!BY$45:BY$53)</f>
        <v>0</v>
      </c>
      <c r="BY164">
        <f>SUMIF('Как есть'!$A$45:$A$53,Доп.расчеты!$A164,'Как есть'!BZ$45:BZ$53)</f>
        <v>0</v>
      </c>
      <c r="BZ164">
        <f>SUMIF('Как есть'!$A$45:$A$53,Доп.расчеты!$A164,'Как есть'!CA$45:CA$53)</f>
        <v>0</v>
      </c>
      <c r="CA164">
        <f>SUMIF('Как есть'!$A$45:$A$53,Доп.расчеты!$A164,'Как есть'!CB$45:CB$53)</f>
        <v>0</v>
      </c>
      <c r="CB164">
        <f>SUMIF('Как есть'!$A$45:$A$53,Доп.расчеты!$A164,'Как есть'!CC$45:CC$53)</f>
        <v>0</v>
      </c>
      <c r="CC164">
        <f>SUMIF('Как есть'!$A$45:$A$53,Доп.расчеты!$A164,'Как есть'!CD$45:CD$53)</f>
        <v>0</v>
      </c>
      <c r="CD164">
        <f>SUMIF('Как есть'!$A$45:$A$53,Доп.расчеты!$A164,'Как есть'!CE$45:CE$53)</f>
        <v>0</v>
      </c>
      <c r="CE164">
        <f>SUMIF('Как есть'!$A$45:$A$53,Доп.расчеты!$A164,'Как есть'!CF$45:CF$53)</f>
        <v>0</v>
      </c>
      <c r="CF164">
        <f>SUMIF('Как есть'!$A$45:$A$53,Доп.расчеты!$A164,'Как есть'!CG$45:CG$53)</f>
        <v>0</v>
      </c>
      <c r="CG164">
        <f>SUMIF('Как есть'!$A$45:$A$53,Доп.расчеты!$A164,'Как есть'!CH$45:CH$53)</f>
        <v>0</v>
      </c>
      <c r="CH164">
        <f>SUMIF('Как есть'!$A$45:$A$53,Доп.расчеты!$A164,'Как есть'!CI$45:CI$53)</f>
        <v>0</v>
      </c>
      <c r="CI164">
        <f>SUMIF('Как есть'!$A$45:$A$53,Доп.расчеты!$A164,'Как есть'!CJ$45:CJ$53)</f>
        <v>0</v>
      </c>
      <c r="CJ164">
        <f>SUMIF('Как есть'!$A$45:$A$53,Доп.расчеты!$A164,'Как есть'!CK$45:CK$53)</f>
        <v>0</v>
      </c>
      <c r="CK164">
        <f>SUMIF('Как есть'!$A$45:$A$53,Доп.расчеты!$A164,'Как есть'!CL$45:CL$53)</f>
        <v>0</v>
      </c>
      <c r="CL164">
        <f>SUMIF('Как есть'!$A$45:$A$53,Доп.расчеты!$A164,'Как есть'!CM$45:CM$53)</f>
        <v>0</v>
      </c>
      <c r="CM164">
        <f>SUMIF('Как есть'!$A$45:$A$53,Доп.расчеты!$A164,'Как есть'!CN$45:CN$53)</f>
        <v>0</v>
      </c>
      <c r="CN164">
        <f>SUMIF('Как есть'!$A$45:$A$53,Доп.расчеты!$A164,'Как есть'!CO$45:CO$53)</f>
        <v>0</v>
      </c>
      <c r="CO164">
        <f>SUMIF('Как есть'!$A$45:$A$53,Доп.расчеты!$A164,'Как есть'!CP$45:CP$53)</f>
        <v>0</v>
      </c>
      <c r="CP164">
        <f>SUMIF('Как есть'!$A$45:$A$53,Доп.расчеты!$A164,'Как есть'!CQ$45:CQ$53)</f>
        <v>0</v>
      </c>
      <c r="CQ164">
        <f>SUMIF('Как есть'!$A$45:$A$53,Доп.расчеты!$A164,'Как есть'!CR$45:CR$53)</f>
        <v>0</v>
      </c>
      <c r="CR164">
        <f>SUMIF('Как есть'!$A$45:$A$53,Доп.расчеты!$A164,'Как есть'!CS$45:CS$53)</f>
        <v>0</v>
      </c>
      <c r="CS164">
        <f>SUMIF('Как есть'!$A$45:$A$53,Доп.расчеты!$A164,'Как есть'!CT$45:CT$53)</f>
        <v>0</v>
      </c>
      <c r="CT164">
        <f>SUMIF('Как есть'!$A$45:$A$53,Доп.расчеты!$A164,'Как есть'!CU$45:CU$53)</f>
        <v>0</v>
      </c>
      <c r="CU164">
        <f>SUMIF('Как есть'!$A$45:$A$53,Доп.расчеты!$A164,'Как есть'!CV$45:CV$53)</f>
        <v>0</v>
      </c>
      <c r="CV164">
        <f>SUMIF('Как есть'!$A$45:$A$53,Доп.расчеты!$A164,'Как есть'!CW$45:CW$53)</f>
        <v>0</v>
      </c>
      <c r="CW164">
        <f>SUMIF('Как есть'!$A$45:$A$53,Доп.расчеты!$A164,'Как есть'!CX$45:CX$53)</f>
        <v>0</v>
      </c>
      <c r="CX164">
        <f>SUMIF('Как есть'!$A$45:$A$53,Доп.расчеты!$A164,'Как есть'!CY$45:CY$53)</f>
        <v>0</v>
      </c>
      <c r="CY164">
        <f>SUMIF('Как есть'!$A$45:$A$53,Доп.расчеты!$A164,'Как есть'!CZ$45:CZ$53)</f>
        <v>0</v>
      </c>
      <c r="CZ164">
        <f>SUMIF('Как есть'!$A$45:$A$53,Доп.расчеты!$A164,'Как есть'!DA$45:DA$53)</f>
        <v>0</v>
      </c>
      <c r="DA164">
        <f>SUMIF('Как есть'!$A$45:$A$53,Доп.расчеты!$A164,'Как есть'!DB$45:DB$53)</f>
        <v>0</v>
      </c>
      <c r="DB164">
        <f>SUMIF('Как есть'!$A$45:$A$53,Доп.расчеты!$A164,'Как есть'!DC$45:DC$53)</f>
        <v>0</v>
      </c>
      <c r="DC164">
        <f>SUMIF('Как есть'!$A$45:$A$53,Доп.расчеты!$A164,'Как есть'!DD$45:DD$53)</f>
        <v>0</v>
      </c>
      <c r="DD164">
        <f>SUMIF('Как есть'!$A$45:$A$53,Доп.расчеты!$A164,'Как есть'!DE$45:DE$53)</f>
        <v>0</v>
      </c>
      <c r="DE164">
        <f>SUMIF('Как есть'!$A$45:$A$53,Доп.расчеты!$A164,'Как есть'!DF$45:DF$53)</f>
        <v>0</v>
      </c>
      <c r="DF164">
        <f>SUMIF('Как есть'!$A$45:$A$53,Доп.расчеты!$A164,'Как есть'!DG$45:DG$53)</f>
        <v>0</v>
      </c>
      <c r="DG164">
        <f>SUMIF('Как есть'!$A$45:$A$53,Доп.расчеты!$A164,'Как есть'!DH$45:DH$53)</f>
        <v>0</v>
      </c>
      <c r="DH164">
        <f>SUMIF('Как есть'!$A$45:$A$53,Доп.расчеты!$A164,'Как есть'!DI$45:DI$53)</f>
        <v>0</v>
      </c>
      <c r="DI164">
        <f>SUMIF('Как есть'!$A$45:$A$53,Доп.расчеты!$A164,'Как есть'!DJ$45:DJ$53)</f>
        <v>0</v>
      </c>
      <c r="DJ164">
        <f>SUMIF('Как есть'!$A$45:$A$53,Доп.расчеты!$A164,'Как есть'!DK$45:DK$53)</f>
        <v>0</v>
      </c>
      <c r="DK164">
        <f>SUMIF('Как есть'!$A$45:$A$53,Доп.расчеты!$A164,'Как есть'!DL$45:DL$53)</f>
        <v>0</v>
      </c>
      <c r="DL164">
        <f>SUMIF('Как есть'!$A$45:$A$53,Доп.расчеты!$A164,'Как есть'!DM$45:DM$53)</f>
        <v>0</v>
      </c>
      <c r="DM164">
        <f>SUMIF('Как есть'!$A$45:$A$53,Доп.расчеты!$A164,'Как есть'!DN$45:DN$53)</f>
        <v>0</v>
      </c>
      <c r="DN164">
        <f>SUMIF('Как есть'!$A$45:$A$53,Доп.расчеты!$A164,'Как есть'!DO$45:DO$53)</f>
        <v>0</v>
      </c>
      <c r="DO164">
        <f>SUMIF('Как есть'!$A$45:$A$53,Доп.расчеты!$A164,'Как есть'!DP$45:DP$53)</f>
        <v>0</v>
      </c>
      <c r="DP164">
        <f>SUMIF('Как есть'!$A$45:$A$53,Доп.расчеты!$A164,'Как есть'!DQ$45:DQ$53)</f>
        <v>0</v>
      </c>
      <c r="DQ164">
        <f>SUMIF('Как есть'!$A$45:$A$53,Доп.расчеты!$A164,'Как есть'!DR$45:DR$53)</f>
        <v>0</v>
      </c>
      <c r="DR164">
        <f>SUMIF('Как есть'!$A$45:$A$53,Доп.расчеты!$A164,'Как есть'!DS$45:DS$53)</f>
        <v>0</v>
      </c>
      <c r="DS164">
        <f>SUMIF('Как есть'!$A$45:$A$53,Доп.расчеты!$A164,'Как есть'!DT$45:DT$53)</f>
        <v>0</v>
      </c>
      <c r="DT164">
        <f>SUMIF('Как есть'!$A$45:$A$53,Доп.расчеты!$A164,'Как есть'!DU$45:DU$53)</f>
        <v>0</v>
      </c>
      <c r="DU164">
        <f>SUMIF('Как есть'!$A$45:$A$53,Доп.расчеты!$A164,'Как есть'!DV$45:DV$53)</f>
        <v>0</v>
      </c>
      <c r="DV164">
        <f>SUMIF('Как есть'!$A$45:$A$53,Доп.расчеты!$A164,'Как есть'!DW$45:DW$53)</f>
        <v>0</v>
      </c>
      <c r="DW164">
        <f>SUMIF('Как есть'!$A$45:$A$53,Доп.расчеты!$A164,'Как есть'!DX$45:DX$53)</f>
        <v>0</v>
      </c>
      <c r="DX164">
        <f>SUMIF('Как есть'!$A$45:$A$53,Доп.расчеты!$A164,'Как есть'!DY$45:DY$53)</f>
        <v>0</v>
      </c>
      <c r="DY164">
        <f>SUMIF('Как есть'!$A$45:$A$53,Доп.расчеты!$A164,'Как есть'!DZ$45:DZ$53)</f>
        <v>0</v>
      </c>
      <c r="DZ164">
        <f>SUMIF('Как есть'!$A$45:$A$53,Доп.расчеты!$A164,'Как есть'!EA$45:EA$53)</f>
        <v>0</v>
      </c>
      <c r="EA164">
        <f>SUMIF('Как есть'!$A$45:$A$53,Доп.расчеты!$A164,'Как есть'!EB$45:EB$53)</f>
        <v>0</v>
      </c>
      <c r="EB164">
        <f>SUMIF('Как есть'!$A$45:$A$53,Доп.расчеты!$A164,'Как есть'!EC$45:EC$53)</f>
        <v>0</v>
      </c>
      <c r="EC164">
        <f>SUMIF('Как есть'!$A$45:$A$53,Доп.расчеты!$A164,'Как есть'!ED$45:ED$53)</f>
        <v>0</v>
      </c>
      <c r="ED164">
        <f>SUMIF('Как есть'!$A$45:$A$53,Доп.расчеты!$A164,'Как есть'!EE$45:EE$53)</f>
        <v>0</v>
      </c>
      <c r="EE164">
        <f>SUMIF('Как есть'!$A$45:$A$53,Доп.расчеты!$A164,'Как есть'!EF$45:EF$53)</f>
        <v>0</v>
      </c>
      <c r="EF164">
        <f>SUMIF('Как есть'!$A$45:$A$53,Доп.расчеты!$A164,'Как есть'!EG$45:EG$53)</f>
        <v>0</v>
      </c>
      <c r="EG164">
        <f>SUMIF('Как есть'!$A$45:$A$53,Доп.расчеты!$A164,'Как есть'!EH$45:EH$53)</f>
        <v>0</v>
      </c>
      <c r="EH164">
        <f>SUMIF('Как есть'!$A$45:$A$53,Доп.расчеты!$A164,'Как есть'!EI$45:EI$53)</f>
        <v>0</v>
      </c>
      <c r="EI164">
        <f>SUMIF('Как есть'!$A$45:$A$53,Доп.расчеты!$A164,'Как есть'!EJ$45:EJ$53)</f>
        <v>0</v>
      </c>
      <c r="EJ164">
        <f>SUMIF('Как есть'!$A$45:$A$53,Доп.расчеты!$A164,'Как есть'!EK$45:EK$53)</f>
        <v>0</v>
      </c>
      <c r="EK164">
        <f>SUMIF('Как есть'!$A$45:$A$53,Доп.расчеты!$A164,'Как есть'!EL$45:EL$53)</f>
        <v>0</v>
      </c>
      <c r="EL164">
        <f>SUMIF('Как есть'!$A$45:$A$53,Доп.расчеты!$A164,'Как есть'!EM$45:EM$53)</f>
        <v>0</v>
      </c>
      <c r="EM164">
        <f>SUMIF('Как есть'!$A$45:$A$53,Доп.расчеты!$A164,'Как есть'!EN$45:EN$53)</f>
        <v>0</v>
      </c>
      <c r="EN164">
        <f>SUMIF('Как есть'!$A$45:$A$53,Доп.расчеты!$A164,'Как есть'!EO$45:EO$53)</f>
        <v>0</v>
      </c>
      <c r="EO164">
        <f>SUMIF('Как есть'!$A$45:$A$53,Доп.расчеты!$A164,'Как есть'!EP$45:EP$53)</f>
        <v>0</v>
      </c>
      <c r="EP164">
        <f>SUMIF('Как есть'!$A$45:$A$53,Доп.расчеты!$A164,'Как есть'!EQ$45:EQ$53)</f>
        <v>0</v>
      </c>
      <c r="EQ164">
        <f>SUMIF('Как есть'!$A$45:$A$53,Доп.расчеты!$A164,'Как есть'!ER$45:ER$53)</f>
        <v>0</v>
      </c>
      <c r="ER164">
        <f>SUMIF('Как есть'!$A$45:$A$53,Доп.расчеты!$A164,'Как есть'!ES$45:ES$53)</f>
        <v>0</v>
      </c>
      <c r="ES164">
        <f>SUMIF('Как есть'!$A$45:$A$53,Доп.расчеты!$A164,'Как есть'!ET$45:ET$53)</f>
        <v>0</v>
      </c>
      <c r="ET164">
        <f>SUMIF('Как есть'!$A$45:$A$53,Доп.расчеты!$A164,'Как есть'!EU$45:EU$53)</f>
        <v>0</v>
      </c>
      <c r="EU164">
        <f>SUMIF('Как есть'!$A$45:$A$53,Доп.расчеты!$A164,'Как есть'!EV$45:EV$53)</f>
        <v>0</v>
      </c>
      <c r="EV164">
        <f>SUMIF('Как есть'!$A$45:$A$53,Доп.расчеты!$A164,'Как есть'!EW$45:EW$53)</f>
        <v>0</v>
      </c>
      <c r="EW164">
        <f>SUMIF('Как есть'!$A$45:$A$53,Доп.расчеты!$A164,'Как есть'!EX$45:EX$53)</f>
        <v>0</v>
      </c>
      <c r="EX164">
        <f>SUMIF('Как есть'!$A$45:$A$53,Доп.расчеты!$A164,'Как есть'!EY$45:EY$53)</f>
        <v>0</v>
      </c>
      <c r="EY164">
        <f>SUMIF('Как есть'!$A$45:$A$53,Доп.расчеты!$A164,'Как есть'!EZ$45:EZ$53)</f>
        <v>0</v>
      </c>
      <c r="EZ164">
        <f>SUMIF('Как есть'!$A$45:$A$53,Доп.расчеты!$A164,'Как есть'!FA$45:FA$53)</f>
        <v>0</v>
      </c>
      <c r="FA164">
        <f>SUMIF('Как есть'!$A$45:$A$53,Доп.расчеты!$A164,'Как есть'!FB$45:FB$53)</f>
        <v>0</v>
      </c>
      <c r="FB164">
        <f>SUMIF('Как есть'!$A$45:$A$53,Доп.расчеты!$A164,'Как есть'!FC$45:FC$53)</f>
        <v>0</v>
      </c>
      <c r="FC164">
        <f>SUMIF('Как есть'!$A$45:$A$53,Доп.расчеты!$A164,'Как есть'!FD$45:FD$53)</f>
        <v>0</v>
      </c>
      <c r="FD164">
        <f>SUMIF('Как есть'!$A$45:$A$53,Доп.расчеты!$A164,'Как есть'!FE$45:FE$53)</f>
        <v>0</v>
      </c>
      <c r="FE164">
        <f>SUMIF('Как есть'!$A$45:$A$53,Доп.расчеты!$A164,'Как есть'!FF$45:FF$53)</f>
        <v>0</v>
      </c>
      <c r="FF164">
        <f>SUMIF('Как есть'!$A$45:$A$53,Доп.расчеты!$A164,'Как есть'!FG$45:FG$53)</f>
        <v>0</v>
      </c>
      <c r="FG164">
        <f>SUMIF('Как есть'!$A$45:$A$53,Доп.расчеты!$A164,'Как есть'!FH$45:FH$53)</f>
        <v>0</v>
      </c>
      <c r="FH164">
        <f>SUMIF('Как есть'!$A$45:$A$53,Доп.расчеты!$A164,'Как есть'!FI$45:FI$53)</f>
        <v>0</v>
      </c>
      <c r="FI164">
        <f>SUMIF('Как есть'!$A$45:$A$53,Доп.расчеты!$A164,'Как есть'!FJ$45:FJ$53)</f>
        <v>0</v>
      </c>
      <c r="FJ164">
        <f>SUMIF('Как есть'!$A$45:$A$53,Доп.расчеты!$A164,'Как есть'!FK$45:FK$53)</f>
        <v>0</v>
      </c>
      <c r="FK164">
        <f>SUMIF('Как есть'!$A$45:$A$53,Доп.расчеты!$A164,'Как есть'!FL$45:FL$53)</f>
        <v>0</v>
      </c>
      <c r="FL164">
        <f>SUMIF('Как есть'!$A$45:$A$53,Доп.расчеты!$A164,'Как есть'!FM$45:FM$53)</f>
        <v>0</v>
      </c>
      <c r="FM164">
        <f>SUMIF('Как есть'!$A$45:$A$53,Доп.расчеты!$A164,'Как есть'!FN$45:FN$53)</f>
        <v>0</v>
      </c>
      <c r="FN164">
        <f>SUMIF('Как есть'!$A$45:$A$53,Доп.расчеты!$A164,'Как есть'!FO$45:FO$53)</f>
        <v>0</v>
      </c>
      <c r="FO164">
        <f>SUMIF('Как есть'!$A$45:$A$53,Доп.расчеты!$A164,'Как есть'!FP$45:FP$53)</f>
        <v>0</v>
      </c>
      <c r="FP164">
        <f>SUMIF('Как есть'!$A$45:$A$53,Доп.расчеты!$A164,'Как есть'!FQ$45:FQ$53)</f>
        <v>0</v>
      </c>
      <c r="FQ164">
        <f>SUMIF('Как есть'!$A$45:$A$53,Доп.расчеты!$A164,'Как есть'!FR$45:FR$53)</f>
        <v>0</v>
      </c>
      <c r="FR164">
        <f>SUMIF('Как есть'!$A$45:$A$53,Доп.расчеты!$A164,'Как есть'!FS$45:FS$53)</f>
        <v>0</v>
      </c>
      <c r="FS164">
        <f>SUMIF('Как есть'!$A$45:$A$53,Доп.расчеты!$A164,'Как есть'!FT$45:FT$53)</f>
        <v>0</v>
      </c>
      <c r="FT164">
        <f>SUMIF('Как есть'!$A$45:$A$53,Доп.расчеты!$A164,'Как есть'!FU$45:FU$53)</f>
        <v>0</v>
      </c>
      <c r="FU164">
        <f>SUMIF('Как есть'!$A$45:$A$53,Доп.расчеты!$A164,'Как есть'!FV$45:FV$53)</f>
        <v>0</v>
      </c>
      <c r="FV164">
        <f>SUMIF('Как есть'!$A$45:$A$53,Доп.расчеты!$A164,'Как есть'!FW$45:FW$53)</f>
        <v>0</v>
      </c>
      <c r="FW164">
        <f>SUMIF('Как есть'!$A$45:$A$53,Доп.расчеты!$A164,'Как есть'!FX$45:FX$53)</f>
        <v>0</v>
      </c>
      <c r="FX164">
        <f>SUMIF('Как есть'!$A$45:$A$53,Доп.расчеты!$A164,'Как есть'!FY$45:FY$53)</f>
        <v>0</v>
      </c>
      <c r="FY164">
        <f>SUMIF('Как есть'!$A$45:$A$53,Доп.расчеты!$A164,'Как есть'!FZ$45:FZ$53)</f>
        <v>0</v>
      </c>
      <c r="FZ164">
        <f>SUMIF('Как есть'!$A$45:$A$53,Доп.расчеты!$A164,'Как есть'!GA$45:GA$53)</f>
        <v>0</v>
      </c>
      <c r="GA164">
        <f>SUMIF('Как есть'!$A$45:$A$53,Доп.расчеты!$A164,'Как есть'!GB$45:GB$53)</f>
        <v>0</v>
      </c>
      <c r="GB164">
        <f>SUMIF('Как есть'!$A$45:$A$53,Доп.расчеты!$A164,'Как есть'!GC$45:GC$53)</f>
        <v>0</v>
      </c>
      <c r="GC164">
        <f>SUMIF('Как есть'!$A$45:$A$53,Доп.расчеты!$A164,'Как есть'!GD$45:GD$53)</f>
        <v>0</v>
      </c>
      <c r="GD164">
        <f>SUMIF('Как есть'!$A$45:$A$53,Доп.расчеты!$A164,'Как есть'!GE$45:GE$53)</f>
        <v>0</v>
      </c>
      <c r="GE164">
        <f>SUMIF('Как есть'!$A$45:$A$53,Доп.расчеты!$A164,'Как есть'!GF$45:GF$53)</f>
        <v>0</v>
      </c>
      <c r="GF164">
        <f>SUMIF('Как есть'!$A$45:$A$53,Доп.расчеты!$A164,'Как есть'!GG$45:GG$53)</f>
        <v>0</v>
      </c>
      <c r="GG164">
        <f>SUMIF('Как есть'!$A$45:$A$53,Доп.расчеты!$A164,'Как есть'!GH$45:GH$53)</f>
        <v>0</v>
      </c>
      <c r="GH164">
        <f>SUMIF('Как есть'!$A$45:$A$53,Доп.расчеты!$A164,'Как есть'!GI$45:GI$53)</f>
        <v>0</v>
      </c>
      <c r="GI164">
        <f>SUMIF('Как есть'!$A$45:$A$53,Доп.расчеты!$A164,'Как есть'!GJ$45:GJ$53)</f>
        <v>0</v>
      </c>
      <c r="GJ164">
        <f>SUMIF('Как есть'!$A$45:$A$53,Доп.расчеты!$A164,'Как есть'!GK$45:GK$53)</f>
        <v>0</v>
      </c>
      <c r="GK164">
        <f>SUMIF('Как есть'!$A$45:$A$53,Доп.расчеты!$A164,'Как есть'!GL$45:GL$53)</f>
        <v>0</v>
      </c>
      <c r="GL164">
        <f>SUMIF('Как есть'!$A$45:$A$53,Доп.расчеты!$A164,'Как есть'!GM$45:GM$53)</f>
        <v>0</v>
      </c>
      <c r="GM164">
        <f>SUMIF('Как есть'!$A$45:$A$53,Доп.расчеты!$A164,'Как есть'!GN$45:GN$53)</f>
        <v>0</v>
      </c>
      <c r="GN164">
        <f>SUMIF('Как есть'!$A$45:$A$53,Доп.расчеты!$A164,'Как есть'!GO$45:GO$53)</f>
        <v>0</v>
      </c>
      <c r="GO164">
        <f>SUMIF('Как есть'!$A$45:$A$53,Доп.расчеты!$A164,'Как есть'!GP$45:GP$53)</f>
        <v>0</v>
      </c>
      <c r="GP164">
        <f>SUMIF('Как есть'!$A$45:$A$53,Доп.расчеты!$A164,'Как есть'!GQ$45:GQ$53)</f>
        <v>0</v>
      </c>
      <c r="GQ164">
        <f>SUMIF('Как есть'!$A$45:$A$53,Доп.расчеты!$A164,'Как есть'!GR$45:GR$53)</f>
        <v>0</v>
      </c>
      <c r="GR164">
        <f>SUMIF('Как есть'!$A$45:$A$53,Доп.расчеты!$A164,'Как есть'!GS$45:GS$53)</f>
        <v>0</v>
      </c>
      <c r="GS164">
        <f>SUMIF('Как есть'!$A$45:$A$53,Доп.расчеты!$A164,'Как есть'!GT$45:GT$53)</f>
        <v>0</v>
      </c>
      <c r="GT164">
        <f>SUMIF('Как есть'!$A$45:$A$53,Доп.расчеты!$A164,'Как есть'!GU$45:GU$53)</f>
        <v>0</v>
      </c>
    </row>
    <row r="165" spans="1:202" hidden="1" outlineLevel="1">
      <c r="A165" s="238" t="s">
        <v>101</v>
      </c>
      <c r="B165">
        <f>SUMIF('Как есть'!$A$45:$A$53,Доп.расчеты!$A165,'Как есть'!C$45:C$53)</f>
        <v>0</v>
      </c>
      <c r="C165">
        <f>SUMIF('Как есть'!$A$45:$A$53,Доп.расчеты!$A165,'Как есть'!D$45:D$53)</f>
        <v>0</v>
      </c>
      <c r="D165">
        <f>SUMIF('Как есть'!$A$45:$A$53,Доп.расчеты!$A165,'Как есть'!E$45:E$53)</f>
        <v>0</v>
      </c>
      <c r="E165">
        <f>SUMIF('Как есть'!$A$45:$A$53,Доп.расчеты!$A165,'Как есть'!F$45:F$53)</f>
        <v>0</v>
      </c>
      <c r="F165">
        <f>SUMIF('Как есть'!$A$45:$A$53,Доп.расчеты!$A165,'Как есть'!G$45:G$53)</f>
        <v>0</v>
      </c>
      <c r="G165">
        <f>SUMIF('Как есть'!$A$45:$A$53,Доп.расчеты!$A165,'Как есть'!H$45:H$53)</f>
        <v>0</v>
      </c>
      <c r="H165">
        <f>SUMIF('Как есть'!$A$45:$A$53,Доп.расчеты!$A165,'Как есть'!I$45:I$53)</f>
        <v>0</v>
      </c>
      <c r="I165">
        <f>SUMIF('Как есть'!$A$45:$A$53,Доп.расчеты!$A165,'Как есть'!J$45:J$53)</f>
        <v>0</v>
      </c>
      <c r="J165">
        <f>SUMIF('Как есть'!$A$45:$A$53,Доп.расчеты!$A165,'Как есть'!K$45:K$53)</f>
        <v>0</v>
      </c>
      <c r="K165">
        <f>SUMIF('Как есть'!$A$45:$A$53,Доп.расчеты!$A165,'Как есть'!L$45:L$53)</f>
        <v>0</v>
      </c>
      <c r="L165">
        <f>SUMIF('Как есть'!$A$45:$A$53,Доп.расчеты!$A165,'Как есть'!M$45:M$53)</f>
        <v>0</v>
      </c>
      <c r="M165">
        <f>SUMIF('Как есть'!$A$45:$A$53,Доп.расчеты!$A165,'Как есть'!N$45:N$53)</f>
        <v>0</v>
      </c>
      <c r="N165">
        <f>SUMIF('Как есть'!$A$45:$A$53,Доп.расчеты!$A165,'Как есть'!O$45:O$53)</f>
        <v>0</v>
      </c>
      <c r="O165">
        <f>SUMIF('Как есть'!$A$45:$A$53,Доп.расчеты!$A165,'Как есть'!P$45:P$53)</f>
        <v>0</v>
      </c>
      <c r="P165">
        <f>SUMIF('Как есть'!$A$45:$A$53,Доп.расчеты!$A165,'Как есть'!Q$45:Q$53)</f>
        <v>0</v>
      </c>
      <c r="Q165">
        <f>SUMIF('Как есть'!$A$45:$A$53,Доп.расчеты!$A165,'Как есть'!R$45:R$53)</f>
        <v>0</v>
      </c>
      <c r="R165">
        <f>SUMIF('Как есть'!$A$45:$A$53,Доп.расчеты!$A165,'Как есть'!S$45:S$53)</f>
        <v>0</v>
      </c>
      <c r="S165">
        <f>SUMIF('Как есть'!$A$45:$A$53,Доп.расчеты!$A165,'Как есть'!T$45:T$53)</f>
        <v>0</v>
      </c>
      <c r="T165">
        <f>SUMIF('Как есть'!$A$45:$A$53,Доп.расчеты!$A165,'Как есть'!U$45:U$53)</f>
        <v>0</v>
      </c>
      <c r="U165">
        <f>SUMIF('Как есть'!$A$45:$A$53,Доп.расчеты!$A165,'Как есть'!V$45:V$53)</f>
        <v>0</v>
      </c>
      <c r="V165">
        <f>SUMIF('Как есть'!$A$45:$A$53,Доп.расчеты!$A165,'Как есть'!W$45:W$53)</f>
        <v>0</v>
      </c>
      <c r="W165">
        <f>SUMIF('Как есть'!$A$45:$A$53,Доп.расчеты!$A165,'Как есть'!X$45:X$53)</f>
        <v>0</v>
      </c>
      <c r="X165">
        <f>SUMIF('Как есть'!$A$45:$A$53,Доп.расчеты!$A165,'Как есть'!Y$45:Y$53)</f>
        <v>0</v>
      </c>
      <c r="Y165">
        <f>SUMIF('Как есть'!$A$45:$A$53,Доп.расчеты!$A165,'Как есть'!Z$45:Z$53)</f>
        <v>0</v>
      </c>
      <c r="Z165">
        <f>SUMIF('Как есть'!$A$45:$A$53,Доп.расчеты!$A165,'Как есть'!AA$45:AA$53)</f>
        <v>0</v>
      </c>
      <c r="AA165">
        <f>SUMIF('Как есть'!$A$45:$A$53,Доп.расчеты!$A165,'Как есть'!AB$45:AB$53)</f>
        <v>0</v>
      </c>
      <c r="AB165">
        <f>SUMIF('Как есть'!$A$45:$A$53,Доп.расчеты!$A165,'Как есть'!AC$45:AC$53)</f>
        <v>0</v>
      </c>
      <c r="AC165">
        <f>SUMIF('Как есть'!$A$45:$A$53,Доп.расчеты!$A165,'Как есть'!AD$45:AD$53)</f>
        <v>0</v>
      </c>
      <c r="AD165">
        <f>SUMIF('Как есть'!$A$45:$A$53,Доп.расчеты!$A165,'Как есть'!AE$45:AE$53)</f>
        <v>0</v>
      </c>
      <c r="AE165">
        <f>SUMIF('Как есть'!$A$45:$A$53,Доп.расчеты!$A165,'Как есть'!AF$45:AF$53)</f>
        <v>0</v>
      </c>
      <c r="AF165">
        <f>SUMIF('Как есть'!$A$45:$A$53,Доп.расчеты!$A165,'Как есть'!AG$45:AG$53)</f>
        <v>0</v>
      </c>
      <c r="AG165">
        <f>SUMIF('Как есть'!$A$45:$A$53,Доп.расчеты!$A165,'Как есть'!AH$45:AH$53)</f>
        <v>0</v>
      </c>
      <c r="AH165">
        <f>SUMIF('Как есть'!$A$45:$A$53,Доп.расчеты!$A165,'Как есть'!AI$45:AI$53)</f>
        <v>0</v>
      </c>
      <c r="AI165">
        <f>SUMIF('Как есть'!$A$45:$A$53,Доп.расчеты!$A165,'Как есть'!AJ$45:AJ$53)</f>
        <v>0</v>
      </c>
      <c r="AJ165">
        <f>SUMIF('Как есть'!$A$45:$A$53,Доп.расчеты!$A165,'Как есть'!AK$45:AK$53)</f>
        <v>0</v>
      </c>
      <c r="AK165">
        <f>SUMIF('Как есть'!$A$45:$A$53,Доп.расчеты!$A165,'Как есть'!AL$45:AL$53)</f>
        <v>0</v>
      </c>
      <c r="AL165">
        <f>SUMIF('Как есть'!$A$45:$A$53,Доп.расчеты!$A165,'Как есть'!AM$45:AM$53)</f>
        <v>0</v>
      </c>
      <c r="AM165">
        <f>SUMIF('Как есть'!$A$45:$A$53,Доп.расчеты!$A165,'Как есть'!AN$45:AN$53)</f>
        <v>0</v>
      </c>
      <c r="AN165">
        <f>SUMIF('Как есть'!$A$45:$A$53,Доп.расчеты!$A165,'Как есть'!AO$45:AO$53)</f>
        <v>0</v>
      </c>
      <c r="AO165">
        <f>SUMIF('Как есть'!$A$45:$A$53,Доп.расчеты!$A165,'Как есть'!AP$45:AP$53)</f>
        <v>0</v>
      </c>
      <c r="AP165">
        <f>SUMIF('Как есть'!$A$45:$A$53,Доп.расчеты!$A165,'Как есть'!AQ$45:AQ$53)</f>
        <v>0</v>
      </c>
      <c r="AQ165">
        <f>SUMIF('Как есть'!$A$45:$A$53,Доп.расчеты!$A165,'Как есть'!AR$45:AR$53)</f>
        <v>0</v>
      </c>
      <c r="AR165">
        <f>SUMIF('Как есть'!$A$45:$A$53,Доп.расчеты!$A165,'Как есть'!AS$45:AS$53)</f>
        <v>0</v>
      </c>
      <c r="AS165">
        <f>SUMIF('Как есть'!$A$45:$A$53,Доп.расчеты!$A165,'Как есть'!AT$45:AT$53)</f>
        <v>0</v>
      </c>
      <c r="AT165">
        <f>SUMIF('Как есть'!$A$45:$A$53,Доп.расчеты!$A165,'Как есть'!AU$45:AU$53)</f>
        <v>0</v>
      </c>
      <c r="AU165">
        <f>SUMIF('Как есть'!$A$45:$A$53,Доп.расчеты!$A165,'Как есть'!AV$45:AV$53)</f>
        <v>0</v>
      </c>
      <c r="AV165">
        <f>SUMIF('Как есть'!$A$45:$A$53,Доп.расчеты!$A165,'Как есть'!AW$45:AW$53)</f>
        <v>0</v>
      </c>
      <c r="AW165">
        <f>SUMIF('Как есть'!$A$45:$A$53,Доп.расчеты!$A165,'Как есть'!AX$45:AX$53)</f>
        <v>0</v>
      </c>
      <c r="AX165">
        <f>SUMIF('Как есть'!$A$45:$A$53,Доп.расчеты!$A165,'Как есть'!AY$45:AY$53)</f>
        <v>0</v>
      </c>
      <c r="AY165">
        <f>SUMIF('Как есть'!$A$45:$A$53,Доп.расчеты!$A165,'Как есть'!AZ$45:AZ$53)</f>
        <v>0</v>
      </c>
      <c r="AZ165">
        <f>SUMIF('Как есть'!$A$45:$A$53,Доп.расчеты!$A165,'Как есть'!BA$45:BA$53)</f>
        <v>0</v>
      </c>
      <c r="BA165">
        <f>SUMIF('Как есть'!$A$45:$A$53,Доп.расчеты!$A165,'Как есть'!BB$45:BB$53)</f>
        <v>0</v>
      </c>
      <c r="BB165">
        <f>SUMIF('Как есть'!$A$45:$A$53,Доп.расчеты!$A165,'Как есть'!BC$45:BC$53)</f>
        <v>0</v>
      </c>
      <c r="BC165">
        <f>SUMIF('Как есть'!$A$45:$A$53,Доп.расчеты!$A165,'Как есть'!BD$45:BD$53)</f>
        <v>0</v>
      </c>
      <c r="BD165">
        <f>SUMIF('Как есть'!$A$45:$A$53,Доп.расчеты!$A165,'Как есть'!BE$45:BE$53)</f>
        <v>0</v>
      </c>
      <c r="BE165">
        <f>SUMIF('Как есть'!$A$45:$A$53,Доп.расчеты!$A165,'Как есть'!BF$45:BF$53)</f>
        <v>0</v>
      </c>
      <c r="BF165">
        <f>SUMIF('Как есть'!$A$45:$A$53,Доп.расчеты!$A165,'Как есть'!BG$45:BG$53)</f>
        <v>0</v>
      </c>
      <c r="BG165">
        <f>SUMIF('Как есть'!$A$45:$A$53,Доп.расчеты!$A165,'Как есть'!BH$45:BH$53)</f>
        <v>0</v>
      </c>
      <c r="BH165">
        <f>SUMIF('Как есть'!$A$45:$A$53,Доп.расчеты!$A165,'Как есть'!BI$45:BI$53)</f>
        <v>0</v>
      </c>
      <c r="BI165">
        <f>SUMIF('Как есть'!$A$45:$A$53,Доп.расчеты!$A165,'Как есть'!BJ$45:BJ$53)</f>
        <v>0</v>
      </c>
      <c r="BJ165">
        <f>SUMIF('Как есть'!$A$45:$A$53,Доп.расчеты!$A165,'Как есть'!BK$45:BK$53)</f>
        <v>0</v>
      </c>
      <c r="BK165">
        <f>SUMIF('Как есть'!$A$45:$A$53,Доп.расчеты!$A165,'Как есть'!BL$45:BL$53)</f>
        <v>0</v>
      </c>
      <c r="BL165">
        <f>SUMIF('Как есть'!$A$45:$A$53,Доп.расчеты!$A165,'Как есть'!BM$45:BM$53)</f>
        <v>0</v>
      </c>
      <c r="BM165">
        <f>SUMIF('Как есть'!$A$45:$A$53,Доп.расчеты!$A165,'Как есть'!BN$45:BN$53)</f>
        <v>0</v>
      </c>
      <c r="BN165">
        <f>SUMIF('Как есть'!$A$45:$A$53,Доп.расчеты!$A165,'Как есть'!BO$45:BO$53)</f>
        <v>0</v>
      </c>
      <c r="BO165">
        <f>SUMIF('Как есть'!$A$45:$A$53,Доп.расчеты!$A165,'Как есть'!BP$45:BP$53)</f>
        <v>0</v>
      </c>
      <c r="BP165">
        <f>SUMIF('Как есть'!$A$45:$A$53,Доп.расчеты!$A165,'Как есть'!BQ$45:BQ$53)</f>
        <v>0</v>
      </c>
      <c r="BQ165">
        <f>SUMIF('Как есть'!$A$45:$A$53,Доп.расчеты!$A165,'Как есть'!BR$45:BR$53)</f>
        <v>0</v>
      </c>
      <c r="BR165">
        <f>SUMIF('Как есть'!$A$45:$A$53,Доп.расчеты!$A165,'Как есть'!BS$45:BS$53)</f>
        <v>0</v>
      </c>
      <c r="BS165">
        <f>SUMIF('Как есть'!$A$45:$A$53,Доп.расчеты!$A165,'Как есть'!BT$45:BT$53)</f>
        <v>0</v>
      </c>
      <c r="BT165">
        <f>SUMIF('Как есть'!$A$45:$A$53,Доп.расчеты!$A165,'Как есть'!BU$45:BU$53)</f>
        <v>0</v>
      </c>
      <c r="BU165">
        <f>SUMIF('Как есть'!$A$45:$A$53,Доп.расчеты!$A165,'Как есть'!BV$45:BV$53)</f>
        <v>0</v>
      </c>
      <c r="BV165">
        <f>SUMIF('Как есть'!$A$45:$A$53,Доп.расчеты!$A165,'Как есть'!BW$45:BW$53)</f>
        <v>0</v>
      </c>
      <c r="BW165">
        <f>SUMIF('Как есть'!$A$45:$A$53,Доп.расчеты!$A165,'Как есть'!BX$45:BX$53)</f>
        <v>0</v>
      </c>
      <c r="BX165">
        <f>SUMIF('Как есть'!$A$45:$A$53,Доп.расчеты!$A165,'Как есть'!BY$45:BY$53)</f>
        <v>0</v>
      </c>
      <c r="BY165">
        <f>SUMIF('Как есть'!$A$45:$A$53,Доп.расчеты!$A165,'Как есть'!BZ$45:BZ$53)</f>
        <v>0</v>
      </c>
      <c r="BZ165">
        <f>SUMIF('Как есть'!$A$45:$A$53,Доп.расчеты!$A165,'Как есть'!CA$45:CA$53)</f>
        <v>0</v>
      </c>
      <c r="CA165">
        <f>SUMIF('Как есть'!$A$45:$A$53,Доп.расчеты!$A165,'Как есть'!CB$45:CB$53)</f>
        <v>0</v>
      </c>
      <c r="CB165">
        <f>SUMIF('Как есть'!$A$45:$A$53,Доп.расчеты!$A165,'Как есть'!CC$45:CC$53)</f>
        <v>0</v>
      </c>
      <c r="CC165">
        <f>SUMIF('Как есть'!$A$45:$A$53,Доп.расчеты!$A165,'Как есть'!CD$45:CD$53)</f>
        <v>0</v>
      </c>
      <c r="CD165">
        <f>SUMIF('Как есть'!$A$45:$A$53,Доп.расчеты!$A165,'Как есть'!CE$45:CE$53)</f>
        <v>0</v>
      </c>
      <c r="CE165">
        <f>SUMIF('Как есть'!$A$45:$A$53,Доп.расчеты!$A165,'Как есть'!CF$45:CF$53)</f>
        <v>0</v>
      </c>
      <c r="CF165">
        <f>SUMIF('Как есть'!$A$45:$A$53,Доп.расчеты!$A165,'Как есть'!CG$45:CG$53)</f>
        <v>0</v>
      </c>
      <c r="CG165">
        <f>SUMIF('Как есть'!$A$45:$A$53,Доп.расчеты!$A165,'Как есть'!CH$45:CH$53)</f>
        <v>0</v>
      </c>
      <c r="CH165">
        <f>SUMIF('Как есть'!$A$45:$A$53,Доп.расчеты!$A165,'Как есть'!CI$45:CI$53)</f>
        <v>0</v>
      </c>
      <c r="CI165">
        <f>SUMIF('Как есть'!$A$45:$A$53,Доп.расчеты!$A165,'Как есть'!CJ$45:CJ$53)</f>
        <v>0</v>
      </c>
      <c r="CJ165">
        <f>SUMIF('Как есть'!$A$45:$A$53,Доп.расчеты!$A165,'Как есть'!CK$45:CK$53)</f>
        <v>0</v>
      </c>
      <c r="CK165">
        <f>SUMIF('Как есть'!$A$45:$A$53,Доп.расчеты!$A165,'Как есть'!CL$45:CL$53)</f>
        <v>0</v>
      </c>
      <c r="CL165">
        <f>SUMIF('Как есть'!$A$45:$A$53,Доп.расчеты!$A165,'Как есть'!CM$45:CM$53)</f>
        <v>0</v>
      </c>
      <c r="CM165">
        <f>SUMIF('Как есть'!$A$45:$A$53,Доп.расчеты!$A165,'Как есть'!CN$45:CN$53)</f>
        <v>0</v>
      </c>
      <c r="CN165">
        <f>SUMIF('Как есть'!$A$45:$A$53,Доп.расчеты!$A165,'Как есть'!CO$45:CO$53)</f>
        <v>0</v>
      </c>
      <c r="CO165">
        <f>SUMIF('Как есть'!$A$45:$A$53,Доп.расчеты!$A165,'Как есть'!CP$45:CP$53)</f>
        <v>0</v>
      </c>
      <c r="CP165">
        <f>SUMIF('Как есть'!$A$45:$A$53,Доп.расчеты!$A165,'Как есть'!CQ$45:CQ$53)</f>
        <v>0</v>
      </c>
      <c r="CQ165">
        <f>SUMIF('Как есть'!$A$45:$A$53,Доп.расчеты!$A165,'Как есть'!CR$45:CR$53)</f>
        <v>0</v>
      </c>
      <c r="CR165">
        <f>SUMIF('Как есть'!$A$45:$A$53,Доп.расчеты!$A165,'Как есть'!CS$45:CS$53)</f>
        <v>0</v>
      </c>
      <c r="CS165">
        <f>SUMIF('Как есть'!$A$45:$A$53,Доп.расчеты!$A165,'Как есть'!CT$45:CT$53)</f>
        <v>0</v>
      </c>
      <c r="CT165">
        <f>SUMIF('Как есть'!$A$45:$A$53,Доп.расчеты!$A165,'Как есть'!CU$45:CU$53)</f>
        <v>0</v>
      </c>
      <c r="CU165">
        <f>SUMIF('Как есть'!$A$45:$A$53,Доп.расчеты!$A165,'Как есть'!CV$45:CV$53)</f>
        <v>0</v>
      </c>
      <c r="CV165">
        <f>SUMIF('Как есть'!$A$45:$A$53,Доп.расчеты!$A165,'Как есть'!CW$45:CW$53)</f>
        <v>0</v>
      </c>
      <c r="CW165">
        <f>SUMIF('Как есть'!$A$45:$A$53,Доп.расчеты!$A165,'Как есть'!CX$45:CX$53)</f>
        <v>0</v>
      </c>
      <c r="CX165">
        <f>SUMIF('Как есть'!$A$45:$A$53,Доп.расчеты!$A165,'Как есть'!CY$45:CY$53)</f>
        <v>0</v>
      </c>
      <c r="CY165">
        <f>SUMIF('Как есть'!$A$45:$A$53,Доп.расчеты!$A165,'Как есть'!CZ$45:CZ$53)</f>
        <v>0</v>
      </c>
      <c r="CZ165">
        <f>SUMIF('Как есть'!$A$45:$A$53,Доп.расчеты!$A165,'Как есть'!DA$45:DA$53)</f>
        <v>0</v>
      </c>
      <c r="DA165">
        <f>SUMIF('Как есть'!$A$45:$A$53,Доп.расчеты!$A165,'Как есть'!DB$45:DB$53)</f>
        <v>0</v>
      </c>
      <c r="DB165">
        <f>SUMIF('Как есть'!$A$45:$A$53,Доп.расчеты!$A165,'Как есть'!DC$45:DC$53)</f>
        <v>0</v>
      </c>
      <c r="DC165">
        <f>SUMIF('Как есть'!$A$45:$A$53,Доп.расчеты!$A165,'Как есть'!DD$45:DD$53)</f>
        <v>0</v>
      </c>
      <c r="DD165">
        <f>SUMIF('Как есть'!$A$45:$A$53,Доп.расчеты!$A165,'Как есть'!DE$45:DE$53)</f>
        <v>0</v>
      </c>
      <c r="DE165">
        <f>SUMIF('Как есть'!$A$45:$A$53,Доп.расчеты!$A165,'Как есть'!DF$45:DF$53)</f>
        <v>0</v>
      </c>
      <c r="DF165">
        <f>SUMIF('Как есть'!$A$45:$A$53,Доп.расчеты!$A165,'Как есть'!DG$45:DG$53)</f>
        <v>0</v>
      </c>
      <c r="DG165">
        <f>SUMIF('Как есть'!$A$45:$A$53,Доп.расчеты!$A165,'Как есть'!DH$45:DH$53)</f>
        <v>0</v>
      </c>
      <c r="DH165">
        <f>SUMIF('Как есть'!$A$45:$A$53,Доп.расчеты!$A165,'Как есть'!DI$45:DI$53)</f>
        <v>0</v>
      </c>
      <c r="DI165">
        <f>SUMIF('Как есть'!$A$45:$A$53,Доп.расчеты!$A165,'Как есть'!DJ$45:DJ$53)</f>
        <v>0</v>
      </c>
      <c r="DJ165">
        <f>SUMIF('Как есть'!$A$45:$A$53,Доп.расчеты!$A165,'Как есть'!DK$45:DK$53)</f>
        <v>0</v>
      </c>
      <c r="DK165">
        <f>SUMIF('Как есть'!$A$45:$A$53,Доп.расчеты!$A165,'Как есть'!DL$45:DL$53)</f>
        <v>0</v>
      </c>
      <c r="DL165">
        <f>SUMIF('Как есть'!$A$45:$A$53,Доп.расчеты!$A165,'Как есть'!DM$45:DM$53)</f>
        <v>0</v>
      </c>
      <c r="DM165">
        <f>SUMIF('Как есть'!$A$45:$A$53,Доп.расчеты!$A165,'Как есть'!DN$45:DN$53)</f>
        <v>0</v>
      </c>
      <c r="DN165">
        <f>SUMIF('Как есть'!$A$45:$A$53,Доп.расчеты!$A165,'Как есть'!DO$45:DO$53)</f>
        <v>0</v>
      </c>
      <c r="DO165">
        <f>SUMIF('Как есть'!$A$45:$A$53,Доп.расчеты!$A165,'Как есть'!DP$45:DP$53)</f>
        <v>0</v>
      </c>
      <c r="DP165">
        <f>SUMIF('Как есть'!$A$45:$A$53,Доп.расчеты!$A165,'Как есть'!DQ$45:DQ$53)</f>
        <v>0</v>
      </c>
      <c r="DQ165">
        <f>SUMIF('Как есть'!$A$45:$A$53,Доп.расчеты!$A165,'Как есть'!DR$45:DR$53)</f>
        <v>0</v>
      </c>
      <c r="DR165">
        <f>SUMIF('Как есть'!$A$45:$A$53,Доп.расчеты!$A165,'Как есть'!DS$45:DS$53)</f>
        <v>0</v>
      </c>
      <c r="DS165">
        <f>SUMIF('Как есть'!$A$45:$A$53,Доп.расчеты!$A165,'Как есть'!DT$45:DT$53)</f>
        <v>0</v>
      </c>
      <c r="DT165">
        <f>SUMIF('Как есть'!$A$45:$A$53,Доп.расчеты!$A165,'Как есть'!DU$45:DU$53)</f>
        <v>0</v>
      </c>
      <c r="DU165">
        <f>SUMIF('Как есть'!$A$45:$A$53,Доп.расчеты!$A165,'Как есть'!DV$45:DV$53)</f>
        <v>0</v>
      </c>
      <c r="DV165">
        <f>SUMIF('Как есть'!$A$45:$A$53,Доп.расчеты!$A165,'Как есть'!DW$45:DW$53)</f>
        <v>0</v>
      </c>
      <c r="DW165">
        <f>SUMIF('Как есть'!$A$45:$A$53,Доп.расчеты!$A165,'Как есть'!DX$45:DX$53)</f>
        <v>0</v>
      </c>
      <c r="DX165">
        <f>SUMIF('Как есть'!$A$45:$A$53,Доп.расчеты!$A165,'Как есть'!DY$45:DY$53)</f>
        <v>0</v>
      </c>
      <c r="DY165">
        <f>SUMIF('Как есть'!$A$45:$A$53,Доп.расчеты!$A165,'Как есть'!DZ$45:DZ$53)</f>
        <v>0</v>
      </c>
      <c r="DZ165">
        <f>SUMIF('Как есть'!$A$45:$A$53,Доп.расчеты!$A165,'Как есть'!EA$45:EA$53)</f>
        <v>0</v>
      </c>
      <c r="EA165">
        <f>SUMIF('Как есть'!$A$45:$A$53,Доп.расчеты!$A165,'Как есть'!EB$45:EB$53)</f>
        <v>0</v>
      </c>
      <c r="EB165">
        <f>SUMIF('Как есть'!$A$45:$A$53,Доп.расчеты!$A165,'Как есть'!EC$45:EC$53)</f>
        <v>0</v>
      </c>
      <c r="EC165">
        <f>SUMIF('Как есть'!$A$45:$A$53,Доп.расчеты!$A165,'Как есть'!ED$45:ED$53)</f>
        <v>0</v>
      </c>
      <c r="ED165">
        <f>SUMIF('Как есть'!$A$45:$A$53,Доп.расчеты!$A165,'Как есть'!EE$45:EE$53)</f>
        <v>0</v>
      </c>
      <c r="EE165">
        <f>SUMIF('Как есть'!$A$45:$A$53,Доп.расчеты!$A165,'Как есть'!EF$45:EF$53)</f>
        <v>0</v>
      </c>
      <c r="EF165">
        <f>SUMIF('Как есть'!$A$45:$A$53,Доп.расчеты!$A165,'Как есть'!EG$45:EG$53)</f>
        <v>0</v>
      </c>
      <c r="EG165">
        <f>SUMIF('Как есть'!$A$45:$A$53,Доп.расчеты!$A165,'Как есть'!EH$45:EH$53)</f>
        <v>0</v>
      </c>
      <c r="EH165">
        <f>SUMIF('Как есть'!$A$45:$A$53,Доп.расчеты!$A165,'Как есть'!EI$45:EI$53)</f>
        <v>0</v>
      </c>
      <c r="EI165">
        <f>SUMIF('Как есть'!$A$45:$A$53,Доп.расчеты!$A165,'Как есть'!EJ$45:EJ$53)</f>
        <v>0</v>
      </c>
      <c r="EJ165">
        <f>SUMIF('Как есть'!$A$45:$A$53,Доп.расчеты!$A165,'Как есть'!EK$45:EK$53)</f>
        <v>0</v>
      </c>
      <c r="EK165">
        <f>SUMIF('Как есть'!$A$45:$A$53,Доп.расчеты!$A165,'Как есть'!EL$45:EL$53)</f>
        <v>0</v>
      </c>
      <c r="EL165">
        <f>SUMIF('Как есть'!$A$45:$A$53,Доп.расчеты!$A165,'Как есть'!EM$45:EM$53)</f>
        <v>0</v>
      </c>
      <c r="EM165">
        <f>SUMIF('Как есть'!$A$45:$A$53,Доп.расчеты!$A165,'Как есть'!EN$45:EN$53)</f>
        <v>0</v>
      </c>
      <c r="EN165">
        <f>SUMIF('Как есть'!$A$45:$A$53,Доп.расчеты!$A165,'Как есть'!EO$45:EO$53)</f>
        <v>0</v>
      </c>
      <c r="EO165">
        <f>SUMIF('Как есть'!$A$45:$A$53,Доп.расчеты!$A165,'Как есть'!EP$45:EP$53)</f>
        <v>0</v>
      </c>
      <c r="EP165">
        <f>SUMIF('Как есть'!$A$45:$A$53,Доп.расчеты!$A165,'Как есть'!EQ$45:EQ$53)</f>
        <v>0</v>
      </c>
      <c r="EQ165">
        <f>SUMIF('Как есть'!$A$45:$A$53,Доп.расчеты!$A165,'Как есть'!ER$45:ER$53)</f>
        <v>0</v>
      </c>
      <c r="ER165">
        <f>SUMIF('Как есть'!$A$45:$A$53,Доп.расчеты!$A165,'Как есть'!ES$45:ES$53)</f>
        <v>0</v>
      </c>
      <c r="ES165">
        <f>SUMIF('Как есть'!$A$45:$A$53,Доп.расчеты!$A165,'Как есть'!ET$45:ET$53)</f>
        <v>0</v>
      </c>
      <c r="ET165">
        <f>SUMIF('Как есть'!$A$45:$A$53,Доп.расчеты!$A165,'Как есть'!EU$45:EU$53)</f>
        <v>0</v>
      </c>
      <c r="EU165">
        <f>SUMIF('Как есть'!$A$45:$A$53,Доп.расчеты!$A165,'Как есть'!EV$45:EV$53)</f>
        <v>0</v>
      </c>
      <c r="EV165">
        <f>SUMIF('Как есть'!$A$45:$A$53,Доп.расчеты!$A165,'Как есть'!EW$45:EW$53)</f>
        <v>0</v>
      </c>
      <c r="EW165">
        <f>SUMIF('Как есть'!$A$45:$A$53,Доп.расчеты!$A165,'Как есть'!EX$45:EX$53)</f>
        <v>0</v>
      </c>
      <c r="EX165">
        <f>SUMIF('Как есть'!$A$45:$A$53,Доп.расчеты!$A165,'Как есть'!EY$45:EY$53)</f>
        <v>0</v>
      </c>
      <c r="EY165">
        <f>SUMIF('Как есть'!$A$45:$A$53,Доп.расчеты!$A165,'Как есть'!EZ$45:EZ$53)</f>
        <v>0</v>
      </c>
      <c r="EZ165">
        <f>SUMIF('Как есть'!$A$45:$A$53,Доп.расчеты!$A165,'Как есть'!FA$45:FA$53)</f>
        <v>0</v>
      </c>
      <c r="FA165">
        <f>SUMIF('Как есть'!$A$45:$A$53,Доп.расчеты!$A165,'Как есть'!FB$45:FB$53)</f>
        <v>0</v>
      </c>
      <c r="FB165">
        <f>SUMIF('Как есть'!$A$45:$A$53,Доп.расчеты!$A165,'Как есть'!FC$45:FC$53)</f>
        <v>0</v>
      </c>
      <c r="FC165">
        <f>SUMIF('Как есть'!$A$45:$A$53,Доп.расчеты!$A165,'Как есть'!FD$45:FD$53)</f>
        <v>0</v>
      </c>
      <c r="FD165">
        <f>SUMIF('Как есть'!$A$45:$A$53,Доп.расчеты!$A165,'Как есть'!FE$45:FE$53)</f>
        <v>0</v>
      </c>
      <c r="FE165">
        <f>SUMIF('Как есть'!$A$45:$A$53,Доп.расчеты!$A165,'Как есть'!FF$45:FF$53)</f>
        <v>0</v>
      </c>
      <c r="FF165">
        <f>SUMIF('Как есть'!$A$45:$A$53,Доп.расчеты!$A165,'Как есть'!FG$45:FG$53)</f>
        <v>0</v>
      </c>
      <c r="FG165">
        <f>SUMIF('Как есть'!$A$45:$A$53,Доп.расчеты!$A165,'Как есть'!FH$45:FH$53)</f>
        <v>0</v>
      </c>
      <c r="FH165">
        <f>SUMIF('Как есть'!$A$45:$A$53,Доп.расчеты!$A165,'Как есть'!FI$45:FI$53)</f>
        <v>0</v>
      </c>
      <c r="FI165">
        <f>SUMIF('Как есть'!$A$45:$A$53,Доп.расчеты!$A165,'Как есть'!FJ$45:FJ$53)</f>
        <v>0</v>
      </c>
      <c r="FJ165">
        <f>SUMIF('Как есть'!$A$45:$A$53,Доп.расчеты!$A165,'Как есть'!FK$45:FK$53)</f>
        <v>0</v>
      </c>
      <c r="FK165">
        <f>SUMIF('Как есть'!$A$45:$A$53,Доп.расчеты!$A165,'Как есть'!FL$45:FL$53)</f>
        <v>0</v>
      </c>
      <c r="FL165">
        <f>SUMIF('Как есть'!$A$45:$A$53,Доп.расчеты!$A165,'Как есть'!FM$45:FM$53)</f>
        <v>0</v>
      </c>
      <c r="FM165">
        <f>SUMIF('Как есть'!$A$45:$A$53,Доп.расчеты!$A165,'Как есть'!FN$45:FN$53)</f>
        <v>0</v>
      </c>
      <c r="FN165">
        <f>SUMIF('Как есть'!$A$45:$A$53,Доп.расчеты!$A165,'Как есть'!FO$45:FO$53)</f>
        <v>0</v>
      </c>
      <c r="FO165">
        <f>SUMIF('Как есть'!$A$45:$A$53,Доп.расчеты!$A165,'Как есть'!FP$45:FP$53)</f>
        <v>0</v>
      </c>
      <c r="FP165">
        <f>SUMIF('Как есть'!$A$45:$A$53,Доп.расчеты!$A165,'Как есть'!FQ$45:FQ$53)</f>
        <v>0</v>
      </c>
      <c r="FQ165">
        <f>SUMIF('Как есть'!$A$45:$A$53,Доп.расчеты!$A165,'Как есть'!FR$45:FR$53)</f>
        <v>0</v>
      </c>
      <c r="FR165">
        <f>SUMIF('Как есть'!$A$45:$A$53,Доп.расчеты!$A165,'Как есть'!FS$45:FS$53)</f>
        <v>0</v>
      </c>
      <c r="FS165">
        <f>SUMIF('Как есть'!$A$45:$A$53,Доп.расчеты!$A165,'Как есть'!FT$45:FT$53)</f>
        <v>0</v>
      </c>
      <c r="FT165">
        <f>SUMIF('Как есть'!$A$45:$A$53,Доп.расчеты!$A165,'Как есть'!FU$45:FU$53)</f>
        <v>0</v>
      </c>
      <c r="FU165">
        <f>SUMIF('Как есть'!$A$45:$A$53,Доп.расчеты!$A165,'Как есть'!FV$45:FV$53)</f>
        <v>0</v>
      </c>
      <c r="FV165">
        <f>SUMIF('Как есть'!$A$45:$A$53,Доп.расчеты!$A165,'Как есть'!FW$45:FW$53)</f>
        <v>0</v>
      </c>
      <c r="FW165">
        <f>SUMIF('Как есть'!$A$45:$A$53,Доп.расчеты!$A165,'Как есть'!FX$45:FX$53)</f>
        <v>0</v>
      </c>
      <c r="FX165">
        <f>SUMIF('Как есть'!$A$45:$A$53,Доп.расчеты!$A165,'Как есть'!FY$45:FY$53)</f>
        <v>0</v>
      </c>
      <c r="FY165">
        <f>SUMIF('Как есть'!$A$45:$A$53,Доп.расчеты!$A165,'Как есть'!FZ$45:FZ$53)</f>
        <v>0</v>
      </c>
      <c r="FZ165">
        <f>SUMIF('Как есть'!$A$45:$A$53,Доп.расчеты!$A165,'Как есть'!GA$45:GA$53)</f>
        <v>0</v>
      </c>
      <c r="GA165">
        <f>SUMIF('Как есть'!$A$45:$A$53,Доп.расчеты!$A165,'Как есть'!GB$45:GB$53)</f>
        <v>0</v>
      </c>
      <c r="GB165">
        <f>SUMIF('Как есть'!$A$45:$A$53,Доп.расчеты!$A165,'Как есть'!GC$45:GC$53)</f>
        <v>0</v>
      </c>
      <c r="GC165">
        <f>SUMIF('Как есть'!$A$45:$A$53,Доп.расчеты!$A165,'Как есть'!GD$45:GD$53)</f>
        <v>0</v>
      </c>
      <c r="GD165">
        <f>SUMIF('Как есть'!$A$45:$A$53,Доп.расчеты!$A165,'Как есть'!GE$45:GE$53)</f>
        <v>0</v>
      </c>
      <c r="GE165">
        <f>SUMIF('Как есть'!$A$45:$A$53,Доп.расчеты!$A165,'Как есть'!GF$45:GF$53)</f>
        <v>0</v>
      </c>
      <c r="GF165">
        <f>SUMIF('Как есть'!$A$45:$A$53,Доп.расчеты!$A165,'Как есть'!GG$45:GG$53)</f>
        <v>0</v>
      </c>
      <c r="GG165">
        <f>SUMIF('Как есть'!$A$45:$A$53,Доп.расчеты!$A165,'Как есть'!GH$45:GH$53)</f>
        <v>0</v>
      </c>
      <c r="GH165">
        <f>SUMIF('Как есть'!$A$45:$A$53,Доп.расчеты!$A165,'Как есть'!GI$45:GI$53)</f>
        <v>0</v>
      </c>
      <c r="GI165">
        <f>SUMIF('Как есть'!$A$45:$A$53,Доп.расчеты!$A165,'Как есть'!GJ$45:GJ$53)</f>
        <v>0</v>
      </c>
      <c r="GJ165">
        <f>SUMIF('Как есть'!$A$45:$A$53,Доп.расчеты!$A165,'Как есть'!GK$45:GK$53)</f>
        <v>0</v>
      </c>
      <c r="GK165">
        <f>SUMIF('Как есть'!$A$45:$A$53,Доп.расчеты!$A165,'Как есть'!GL$45:GL$53)</f>
        <v>0</v>
      </c>
      <c r="GL165">
        <f>SUMIF('Как есть'!$A$45:$A$53,Доп.расчеты!$A165,'Как есть'!GM$45:GM$53)</f>
        <v>0</v>
      </c>
      <c r="GM165">
        <f>SUMIF('Как есть'!$A$45:$A$53,Доп.расчеты!$A165,'Как есть'!GN$45:GN$53)</f>
        <v>0</v>
      </c>
      <c r="GN165">
        <f>SUMIF('Как есть'!$A$45:$A$53,Доп.расчеты!$A165,'Как есть'!GO$45:GO$53)</f>
        <v>0</v>
      </c>
      <c r="GO165">
        <f>SUMIF('Как есть'!$A$45:$A$53,Доп.расчеты!$A165,'Как есть'!GP$45:GP$53)</f>
        <v>0</v>
      </c>
      <c r="GP165">
        <f>SUMIF('Как есть'!$A$45:$A$53,Доп.расчеты!$A165,'Как есть'!GQ$45:GQ$53)</f>
        <v>0</v>
      </c>
      <c r="GQ165">
        <f>SUMIF('Как есть'!$A$45:$A$53,Доп.расчеты!$A165,'Как есть'!GR$45:GR$53)</f>
        <v>0</v>
      </c>
      <c r="GR165">
        <f>SUMIF('Как есть'!$A$45:$A$53,Доп.расчеты!$A165,'Как есть'!GS$45:GS$53)</f>
        <v>0</v>
      </c>
      <c r="GS165">
        <f>SUMIF('Как есть'!$A$45:$A$53,Доп.расчеты!$A165,'Как есть'!GT$45:GT$53)</f>
        <v>0</v>
      </c>
      <c r="GT165">
        <f>SUMIF('Как есть'!$A$45:$A$53,Доп.расчеты!$A165,'Как есть'!GU$45:GU$53)</f>
        <v>0</v>
      </c>
    </row>
    <row r="166" spans="1:202" hidden="1" outlineLevel="1">
      <c r="A166" s="238" t="s">
        <v>102</v>
      </c>
      <c r="B166">
        <f>SUMIF('Как есть'!$A$45:$A$53,Доп.расчеты!$A166,'Как есть'!C$45:C$53)</f>
        <v>0</v>
      </c>
      <c r="C166">
        <f>SUMIF('Как есть'!$A$45:$A$53,Доп.расчеты!$A166,'Как есть'!D$45:D$53)</f>
        <v>0</v>
      </c>
      <c r="D166">
        <f>SUMIF('Как есть'!$A$45:$A$53,Доп.расчеты!$A166,'Как есть'!E$45:E$53)</f>
        <v>0</v>
      </c>
      <c r="E166">
        <f>SUMIF('Как есть'!$A$45:$A$53,Доп.расчеты!$A166,'Как есть'!F$45:F$53)</f>
        <v>0</v>
      </c>
      <c r="F166">
        <f>SUMIF('Как есть'!$A$45:$A$53,Доп.расчеты!$A166,'Как есть'!G$45:G$53)</f>
        <v>0</v>
      </c>
      <c r="G166">
        <f>SUMIF('Как есть'!$A$45:$A$53,Доп.расчеты!$A166,'Как есть'!H$45:H$53)</f>
        <v>0</v>
      </c>
      <c r="H166">
        <f>SUMIF('Как есть'!$A$45:$A$53,Доп.расчеты!$A166,'Как есть'!I$45:I$53)</f>
        <v>0</v>
      </c>
      <c r="I166">
        <f>SUMIF('Как есть'!$A$45:$A$53,Доп.расчеты!$A166,'Как есть'!J$45:J$53)</f>
        <v>0</v>
      </c>
      <c r="J166">
        <f>SUMIF('Как есть'!$A$45:$A$53,Доп.расчеты!$A166,'Как есть'!K$45:K$53)</f>
        <v>0</v>
      </c>
      <c r="K166">
        <f>SUMIF('Как есть'!$A$45:$A$53,Доп.расчеты!$A166,'Как есть'!L$45:L$53)</f>
        <v>0</v>
      </c>
      <c r="L166">
        <f>SUMIF('Как есть'!$A$45:$A$53,Доп.расчеты!$A166,'Как есть'!M$45:M$53)</f>
        <v>0</v>
      </c>
      <c r="M166">
        <f>SUMIF('Как есть'!$A$45:$A$53,Доп.расчеты!$A166,'Как есть'!N$45:N$53)</f>
        <v>0</v>
      </c>
      <c r="N166">
        <f>SUMIF('Как есть'!$A$45:$A$53,Доп.расчеты!$A166,'Как есть'!O$45:O$53)</f>
        <v>0</v>
      </c>
      <c r="O166">
        <f>SUMIF('Как есть'!$A$45:$A$53,Доп.расчеты!$A166,'Как есть'!P$45:P$53)</f>
        <v>0</v>
      </c>
      <c r="P166">
        <f>SUMIF('Как есть'!$A$45:$A$53,Доп.расчеты!$A166,'Как есть'!Q$45:Q$53)</f>
        <v>0</v>
      </c>
      <c r="Q166">
        <f>SUMIF('Как есть'!$A$45:$A$53,Доп.расчеты!$A166,'Как есть'!R$45:R$53)</f>
        <v>0</v>
      </c>
      <c r="R166">
        <f>SUMIF('Как есть'!$A$45:$A$53,Доп.расчеты!$A166,'Как есть'!S$45:S$53)</f>
        <v>0</v>
      </c>
      <c r="S166">
        <f>SUMIF('Как есть'!$A$45:$A$53,Доп.расчеты!$A166,'Как есть'!T$45:T$53)</f>
        <v>0</v>
      </c>
      <c r="T166">
        <f>SUMIF('Как есть'!$A$45:$A$53,Доп.расчеты!$A166,'Как есть'!U$45:U$53)</f>
        <v>0</v>
      </c>
      <c r="U166">
        <f>SUMIF('Как есть'!$A$45:$A$53,Доп.расчеты!$A166,'Как есть'!V$45:V$53)</f>
        <v>0</v>
      </c>
      <c r="V166">
        <f>SUMIF('Как есть'!$A$45:$A$53,Доп.расчеты!$A166,'Как есть'!W$45:W$53)</f>
        <v>0</v>
      </c>
      <c r="W166">
        <f>SUMIF('Как есть'!$A$45:$A$53,Доп.расчеты!$A166,'Как есть'!X$45:X$53)</f>
        <v>0</v>
      </c>
      <c r="X166">
        <f>SUMIF('Как есть'!$A$45:$A$53,Доп.расчеты!$A166,'Как есть'!Y$45:Y$53)</f>
        <v>0</v>
      </c>
      <c r="Y166">
        <f>SUMIF('Как есть'!$A$45:$A$53,Доп.расчеты!$A166,'Как есть'!Z$45:Z$53)</f>
        <v>0</v>
      </c>
      <c r="Z166">
        <f>SUMIF('Как есть'!$A$45:$A$53,Доп.расчеты!$A166,'Как есть'!AA$45:AA$53)</f>
        <v>0</v>
      </c>
      <c r="AA166">
        <f>SUMIF('Как есть'!$A$45:$A$53,Доп.расчеты!$A166,'Как есть'!AB$45:AB$53)</f>
        <v>0</v>
      </c>
      <c r="AB166">
        <f>SUMIF('Как есть'!$A$45:$A$53,Доп.расчеты!$A166,'Как есть'!AC$45:AC$53)</f>
        <v>0</v>
      </c>
      <c r="AC166">
        <f>SUMIF('Как есть'!$A$45:$A$53,Доп.расчеты!$A166,'Как есть'!AD$45:AD$53)</f>
        <v>0</v>
      </c>
      <c r="AD166">
        <f>SUMIF('Как есть'!$A$45:$A$53,Доп.расчеты!$A166,'Как есть'!AE$45:AE$53)</f>
        <v>0</v>
      </c>
      <c r="AE166">
        <f>SUMIF('Как есть'!$A$45:$A$53,Доп.расчеты!$A166,'Как есть'!AF$45:AF$53)</f>
        <v>0</v>
      </c>
      <c r="AF166">
        <f>SUMIF('Как есть'!$A$45:$A$53,Доп.расчеты!$A166,'Как есть'!AG$45:AG$53)</f>
        <v>0</v>
      </c>
      <c r="AG166">
        <f>SUMIF('Как есть'!$A$45:$A$53,Доп.расчеты!$A166,'Как есть'!AH$45:AH$53)</f>
        <v>0</v>
      </c>
      <c r="AH166">
        <f>SUMIF('Как есть'!$A$45:$A$53,Доп.расчеты!$A166,'Как есть'!AI$45:AI$53)</f>
        <v>0</v>
      </c>
      <c r="AI166">
        <f>SUMIF('Как есть'!$A$45:$A$53,Доп.расчеты!$A166,'Как есть'!AJ$45:AJ$53)</f>
        <v>0</v>
      </c>
      <c r="AJ166">
        <f>SUMIF('Как есть'!$A$45:$A$53,Доп.расчеты!$A166,'Как есть'!AK$45:AK$53)</f>
        <v>0</v>
      </c>
      <c r="AK166">
        <f>SUMIF('Как есть'!$A$45:$A$53,Доп.расчеты!$A166,'Как есть'!AL$45:AL$53)</f>
        <v>0</v>
      </c>
      <c r="AL166">
        <f>SUMIF('Как есть'!$A$45:$A$53,Доп.расчеты!$A166,'Как есть'!AM$45:AM$53)</f>
        <v>0</v>
      </c>
      <c r="AM166">
        <f>SUMIF('Как есть'!$A$45:$A$53,Доп.расчеты!$A166,'Как есть'!AN$45:AN$53)</f>
        <v>0</v>
      </c>
      <c r="AN166">
        <f>SUMIF('Как есть'!$A$45:$A$53,Доп.расчеты!$A166,'Как есть'!AO$45:AO$53)</f>
        <v>0</v>
      </c>
      <c r="AO166">
        <f>SUMIF('Как есть'!$A$45:$A$53,Доп.расчеты!$A166,'Как есть'!AP$45:AP$53)</f>
        <v>0</v>
      </c>
      <c r="AP166">
        <f>SUMIF('Как есть'!$A$45:$A$53,Доп.расчеты!$A166,'Как есть'!AQ$45:AQ$53)</f>
        <v>0</v>
      </c>
      <c r="AQ166">
        <f>SUMIF('Как есть'!$A$45:$A$53,Доп.расчеты!$A166,'Как есть'!AR$45:AR$53)</f>
        <v>0</v>
      </c>
      <c r="AR166">
        <f>SUMIF('Как есть'!$A$45:$A$53,Доп.расчеты!$A166,'Как есть'!AS$45:AS$53)</f>
        <v>0</v>
      </c>
      <c r="AS166">
        <f>SUMIF('Как есть'!$A$45:$A$53,Доп.расчеты!$A166,'Как есть'!AT$45:AT$53)</f>
        <v>0</v>
      </c>
      <c r="AT166">
        <f>SUMIF('Как есть'!$A$45:$A$53,Доп.расчеты!$A166,'Как есть'!AU$45:AU$53)</f>
        <v>0</v>
      </c>
      <c r="AU166">
        <f>SUMIF('Как есть'!$A$45:$A$53,Доп.расчеты!$A166,'Как есть'!AV$45:AV$53)</f>
        <v>0</v>
      </c>
      <c r="AV166">
        <f>SUMIF('Как есть'!$A$45:$A$53,Доп.расчеты!$A166,'Как есть'!AW$45:AW$53)</f>
        <v>0</v>
      </c>
      <c r="AW166">
        <f>SUMIF('Как есть'!$A$45:$A$53,Доп.расчеты!$A166,'Как есть'!AX$45:AX$53)</f>
        <v>0</v>
      </c>
      <c r="AX166">
        <f>SUMIF('Как есть'!$A$45:$A$53,Доп.расчеты!$A166,'Как есть'!AY$45:AY$53)</f>
        <v>0</v>
      </c>
      <c r="AY166">
        <f>SUMIF('Как есть'!$A$45:$A$53,Доп.расчеты!$A166,'Как есть'!AZ$45:AZ$53)</f>
        <v>0</v>
      </c>
      <c r="AZ166">
        <f>SUMIF('Как есть'!$A$45:$A$53,Доп.расчеты!$A166,'Как есть'!BA$45:BA$53)</f>
        <v>0</v>
      </c>
      <c r="BA166">
        <f>SUMIF('Как есть'!$A$45:$A$53,Доп.расчеты!$A166,'Как есть'!BB$45:BB$53)</f>
        <v>0</v>
      </c>
      <c r="BB166">
        <f>SUMIF('Как есть'!$A$45:$A$53,Доп.расчеты!$A166,'Как есть'!BC$45:BC$53)</f>
        <v>0</v>
      </c>
      <c r="BC166">
        <f>SUMIF('Как есть'!$A$45:$A$53,Доп.расчеты!$A166,'Как есть'!BD$45:BD$53)</f>
        <v>0</v>
      </c>
      <c r="BD166">
        <f>SUMIF('Как есть'!$A$45:$A$53,Доп.расчеты!$A166,'Как есть'!BE$45:BE$53)</f>
        <v>0</v>
      </c>
      <c r="BE166">
        <f>SUMIF('Как есть'!$A$45:$A$53,Доп.расчеты!$A166,'Как есть'!BF$45:BF$53)</f>
        <v>0</v>
      </c>
      <c r="BF166">
        <f>SUMIF('Как есть'!$A$45:$A$53,Доп.расчеты!$A166,'Как есть'!BG$45:BG$53)</f>
        <v>0</v>
      </c>
      <c r="BG166">
        <f>SUMIF('Как есть'!$A$45:$A$53,Доп.расчеты!$A166,'Как есть'!BH$45:BH$53)</f>
        <v>0</v>
      </c>
      <c r="BH166">
        <f>SUMIF('Как есть'!$A$45:$A$53,Доп.расчеты!$A166,'Как есть'!BI$45:BI$53)</f>
        <v>0</v>
      </c>
      <c r="BI166">
        <f>SUMIF('Как есть'!$A$45:$A$53,Доп.расчеты!$A166,'Как есть'!BJ$45:BJ$53)</f>
        <v>0</v>
      </c>
      <c r="BJ166">
        <f>SUMIF('Как есть'!$A$45:$A$53,Доп.расчеты!$A166,'Как есть'!BK$45:BK$53)</f>
        <v>0</v>
      </c>
      <c r="BK166">
        <f>SUMIF('Как есть'!$A$45:$A$53,Доп.расчеты!$A166,'Как есть'!BL$45:BL$53)</f>
        <v>0</v>
      </c>
      <c r="BL166">
        <f>SUMIF('Как есть'!$A$45:$A$53,Доп.расчеты!$A166,'Как есть'!BM$45:BM$53)</f>
        <v>0</v>
      </c>
      <c r="BM166">
        <f>SUMIF('Как есть'!$A$45:$A$53,Доп.расчеты!$A166,'Как есть'!BN$45:BN$53)</f>
        <v>0</v>
      </c>
      <c r="BN166">
        <f>SUMIF('Как есть'!$A$45:$A$53,Доп.расчеты!$A166,'Как есть'!BO$45:BO$53)</f>
        <v>0</v>
      </c>
      <c r="BO166">
        <f>SUMIF('Как есть'!$A$45:$A$53,Доп.расчеты!$A166,'Как есть'!BP$45:BP$53)</f>
        <v>0</v>
      </c>
      <c r="BP166">
        <f>SUMIF('Как есть'!$A$45:$A$53,Доп.расчеты!$A166,'Как есть'!BQ$45:BQ$53)</f>
        <v>0</v>
      </c>
      <c r="BQ166">
        <f>SUMIF('Как есть'!$A$45:$A$53,Доп.расчеты!$A166,'Как есть'!BR$45:BR$53)</f>
        <v>0</v>
      </c>
      <c r="BR166">
        <f>SUMIF('Как есть'!$A$45:$A$53,Доп.расчеты!$A166,'Как есть'!BS$45:BS$53)</f>
        <v>0</v>
      </c>
      <c r="BS166">
        <f>SUMIF('Как есть'!$A$45:$A$53,Доп.расчеты!$A166,'Как есть'!BT$45:BT$53)</f>
        <v>0</v>
      </c>
      <c r="BT166">
        <f>SUMIF('Как есть'!$A$45:$A$53,Доп.расчеты!$A166,'Как есть'!BU$45:BU$53)</f>
        <v>0</v>
      </c>
      <c r="BU166">
        <f>SUMIF('Как есть'!$A$45:$A$53,Доп.расчеты!$A166,'Как есть'!BV$45:BV$53)</f>
        <v>0</v>
      </c>
      <c r="BV166">
        <f>SUMIF('Как есть'!$A$45:$A$53,Доп.расчеты!$A166,'Как есть'!BW$45:BW$53)</f>
        <v>0</v>
      </c>
      <c r="BW166">
        <f>SUMIF('Как есть'!$A$45:$A$53,Доп.расчеты!$A166,'Как есть'!BX$45:BX$53)</f>
        <v>0</v>
      </c>
      <c r="BX166">
        <f>SUMIF('Как есть'!$A$45:$A$53,Доп.расчеты!$A166,'Как есть'!BY$45:BY$53)</f>
        <v>0</v>
      </c>
      <c r="BY166">
        <f>SUMIF('Как есть'!$A$45:$A$53,Доп.расчеты!$A166,'Как есть'!BZ$45:BZ$53)</f>
        <v>0</v>
      </c>
      <c r="BZ166">
        <f>SUMIF('Как есть'!$A$45:$A$53,Доп.расчеты!$A166,'Как есть'!CA$45:CA$53)</f>
        <v>0</v>
      </c>
      <c r="CA166">
        <f>SUMIF('Как есть'!$A$45:$A$53,Доп.расчеты!$A166,'Как есть'!CB$45:CB$53)</f>
        <v>0</v>
      </c>
      <c r="CB166">
        <f>SUMIF('Как есть'!$A$45:$A$53,Доп.расчеты!$A166,'Как есть'!CC$45:CC$53)</f>
        <v>0</v>
      </c>
      <c r="CC166">
        <f>SUMIF('Как есть'!$A$45:$A$53,Доп.расчеты!$A166,'Как есть'!CD$45:CD$53)</f>
        <v>0</v>
      </c>
      <c r="CD166">
        <f>SUMIF('Как есть'!$A$45:$A$53,Доп.расчеты!$A166,'Как есть'!CE$45:CE$53)</f>
        <v>0</v>
      </c>
      <c r="CE166">
        <f>SUMIF('Как есть'!$A$45:$A$53,Доп.расчеты!$A166,'Как есть'!CF$45:CF$53)</f>
        <v>0</v>
      </c>
      <c r="CF166">
        <f>SUMIF('Как есть'!$A$45:$A$53,Доп.расчеты!$A166,'Как есть'!CG$45:CG$53)</f>
        <v>0</v>
      </c>
      <c r="CG166">
        <f>SUMIF('Как есть'!$A$45:$A$53,Доп.расчеты!$A166,'Как есть'!CH$45:CH$53)</f>
        <v>0</v>
      </c>
      <c r="CH166">
        <f>SUMIF('Как есть'!$A$45:$A$53,Доп.расчеты!$A166,'Как есть'!CI$45:CI$53)</f>
        <v>0</v>
      </c>
      <c r="CI166">
        <f>SUMIF('Как есть'!$A$45:$A$53,Доп.расчеты!$A166,'Как есть'!CJ$45:CJ$53)</f>
        <v>0</v>
      </c>
      <c r="CJ166">
        <f>SUMIF('Как есть'!$A$45:$A$53,Доп.расчеты!$A166,'Как есть'!CK$45:CK$53)</f>
        <v>0</v>
      </c>
      <c r="CK166">
        <f>SUMIF('Как есть'!$A$45:$A$53,Доп.расчеты!$A166,'Как есть'!CL$45:CL$53)</f>
        <v>0</v>
      </c>
      <c r="CL166">
        <f>SUMIF('Как есть'!$A$45:$A$53,Доп.расчеты!$A166,'Как есть'!CM$45:CM$53)</f>
        <v>0</v>
      </c>
      <c r="CM166">
        <f>SUMIF('Как есть'!$A$45:$A$53,Доп.расчеты!$A166,'Как есть'!CN$45:CN$53)</f>
        <v>0</v>
      </c>
      <c r="CN166">
        <f>SUMIF('Как есть'!$A$45:$A$53,Доп.расчеты!$A166,'Как есть'!CO$45:CO$53)</f>
        <v>0</v>
      </c>
      <c r="CO166">
        <f>SUMIF('Как есть'!$A$45:$A$53,Доп.расчеты!$A166,'Как есть'!CP$45:CP$53)</f>
        <v>0</v>
      </c>
      <c r="CP166">
        <f>SUMIF('Как есть'!$A$45:$A$53,Доп.расчеты!$A166,'Как есть'!CQ$45:CQ$53)</f>
        <v>0</v>
      </c>
      <c r="CQ166">
        <f>SUMIF('Как есть'!$A$45:$A$53,Доп.расчеты!$A166,'Как есть'!CR$45:CR$53)</f>
        <v>0</v>
      </c>
      <c r="CR166">
        <f>SUMIF('Как есть'!$A$45:$A$53,Доп.расчеты!$A166,'Как есть'!CS$45:CS$53)</f>
        <v>0</v>
      </c>
      <c r="CS166">
        <f>SUMIF('Как есть'!$A$45:$A$53,Доп.расчеты!$A166,'Как есть'!CT$45:CT$53)</f>
        <v>0</v>
      </c>
      <c r="CT166">
        <f>SUMIF('Как есть'!$A$45:$A$53,Доп.расчеты!$A166,'Как есть'!CU$45:CU$53)</f>
        <v>0</v>
      </c>
      <c r="CU166">
        <f>SUMIF('Как есть'!$A$45:$A$53,Доп.расчеты!$A166,'Как есть'!CV$45:CV$53)</f>
        <v>0</v>
      </c>
      <c r="CV166">
        <f>SUMIF('Как есть'!$A$45:$A$53,Доп.расчеты!$A166,'Как есть'!CW$45:CW$53)</f>
        <v>0</v>
      </c>
      <c r="CW166">
        <f>SUMIF('Как есть'!$A$45:$A$53,Доп.расчеты!$A166,'Как есть'!CX$45:CX$53)</f>
        <v>0</v>
      </c>
      <c r="CX166">
        <f>SUMIF('Как есть'!$A$45:$A$53,Доп.расчеты!$A166,'Как есть'!CY$45:CY$53)</f>
        <v>0</v>
      </c>
      <c r="CY166">
        <f>SUMIF('Как есть'!$A$45:$A$53,Доп.расчеты!$A166,'Как есть'!CZ$45:CZ$53)</f>
        <v>0</v>
      </c>
      <c r="CZ166">
        <f>SUMIF('Как есть'!$A$45:$A$53,Доп.расчеты!$A166,'Как есть'!DA$45:DA$53)</f>
        <v>0</v>
      </c>
      <c r="DA166">
        <f>SUMIF('Как есть'!$A$45:$A$53,Доп.расчеты!$A166,'Как есть'!DB$45:DB$53)</f>
        <v>0</v>
      </c>
      <c r="DB166">
        <f>SUMIF('Как есть'!$A$45:$A$53,Доп.расчеты!$A166,'Как есть'!DC$45:DC$53)</f>
        <v>0</v>
      </c>
      <c r="DC166">
        <f>SUMIF('Как есть'!$A$45:$A$53,Доп.расчеты!$A166,'Как есть'!DD$45:DD$53)</f>
        <v>0</v>
      </c>
      <c r="DD166">
        <f>SUMIF('Как есть'!$A$45:$A$53,Доп.расчеты!$A166,'Как есть'!DE$45:DE$53)</f>
        <v>0</v>
      </c>
      <c r="DE166">
        <f>SUMIF('Как есть'!$A$45:$A$53,Доп.расчеты!$A166,'Как есть'!DF$45:DF$53)</f>
        <v>0</v>
      </c>
      <c r="DF166">
        <f>SUMIF('Как есть'!$A$45:$A$53,Доп.расчеты!$A166,'Как есть'!DG$45:DG$53)</f>
        <v>0</v>
      </c>
      <c r="DG166">
        <f>SUMIF('Как есть'!$A$45:$A$53,Доп.расчеты!$A166,'Как есть'!DH$45:DH$53)</f>
        <v>0</v>
      </c>
      <c r="DH166">
        <f>SUMIF('Как есть'!$A$45:$A$53,Доп.расчеты!$A166,'Как есть'!DI$45:DI$53)</f>
        <v>0</v>
      </c>
      <c r="DI166">
        <f>SUMIF('Как есть'!$A$45:$A$53,Доп.расчеты!$A166,'Как есть'!DJ$45:DJ$53)</f>
        <v>0</v>
      </c>
      <c r="DJ166">
        <f>SUMIF('Как есть'!$A$45:$A$53,Доп.расчеты!$A166,'Как есть'!DK$45:DK$53)</f>
        <v>0</v>
      </c>
      <c r="DK166">
        <f>SUMIF('Как есть'!$A$45:$A$53,Доп.расчеты!$A166,'Как есть'!DL$45:DL$53)</f>
        <v>0</v>
      </c>
      <c r="DL166">
        <f>SUMIF('Как есть'!$A$45:$A$53,Доп.расчеты!$A166,'Как есть'!DM$45:DM$53)</f>
        <v>0</v>
      </c>
      <c r="DM166">
        <f>SUMIF('Как есть'!$A$45:$A$53,Доп.расчеты!$A166,'Как есть'!DN$45:DN$53)</f>
        <v>0</v>
      </c>
      <c r="DN166">
        <f>SUMIF('Как есть'!$A$45:$A$53,Доп.расчеты!$A166,'Как есть'!DO$45:DO$53)</f>
        <v>0</v>
      </c>
      <c r="DO166">
        <f>SUMIF('Как есть'!$A$45:$A$53,Доп.расчеты!$A166,'Как есть'!DP$45:DP$53)</f>
        <v>0</v>
      </c>
      <c r="DP166">
        <f>SUMIF('Как есть'!$A$45:$A$53,Доп.расчеты!$A166,'Как есть'!DQ$45:DQ$53)</f>
        <v>0</v>
      </c>
      <c r="DQ166">
        <f>SUMIF('Как есть'!$A$45:$A$53,Доп.расчеты!$A166,'Как есть'!DR$45:DR$53)</f>
        <v>0</v>
      </c>
      <c r="DR166">
        <f>SUMIF('Как есть'!$A$45:$A$53,Доп.расчеты!$A166,'Как есть'!DS$45:DS$53)</f>
        <v>0</v>
      </c>
      <c r="DS166">
        <f>SUMIF('Как есть'!$A$45:$A$53,Доп.расчеты!$A166,'Как есть'!DT$45:DT$53)</f>
        <v>0</v>
      </c>
      <c r="DT166">
        <f>SUMIF('Как есть'!$A$45:$A$53,Доп.расчеты!$A166,'Как есть'!DU$45:DU$53)</f>
        <v>0</v>
      </c>
      <c r="DU166">
        <f>SUMIF('Как есть'!$A$45:$A$53,Доп.расчеты!$A166,'Как есть'!DV$45:DV$53)</f>
        <v>0</v>
      </c>
      <c r="DV166">
        <f>SUMIF('Как есть'!$A$45:$A$53,Доп.расчеты!$A166,'Как есть'!DW$45:DW$53)</f>
        <v>0</v>
      </c>
      <c r="DW166">
        <f>SUMIF('Как есть'!$A$45:$A$53,Доп.расчеты!$A166,'Как есть'!DX$45:DX$53)</f>
        <v>0</v>
      </c>
      <c r="DX166">
        <f>SUMIF('Как есть'!$A$45:$A$53,Доп.расчеты!$A166,'Как есть'!DY$45:DY$53)</f>
        <v>0</v>
      </c>
      <c r="DY166">
        <f>SUMIF('Как есть'!$A$45:$A$53,Доп.расчеты!$A166,'Как есть'!DZ$45:DZ$53)</f>
        <v>0</v>
      </c>
      <c r="DZ166">
        <f>SUMIF('Как есть'!$A$45:$A$53,Доп.расчеты!$A166,'Как есть'!EA$45:EA$53)</f>
        <v>0</v>
      </c>
      <c r="EA166">
        <f>SUMIF('Как есть'!$A$45:$A$53,Доп.расчеты!$A166,'Как есть'!EB$45:EB$53)</f>
        <v>0</v>
      </c>
      <c r="EB166">
        <f>SUMIF('Как есть'!$A$45:$A$53,Доп.расчеты!$A166,'Как есть'!EC$45:EC$53)</f>
        <v>0</v>
      </c>
      <c r="EC166">
        <f>SUMIF('Как есть'!$A$45:$A$53,Доп.расчеты!$A166,'Как есть'!ED$45:ED$53)</f>
        <v>0</v>
      </c>
      <c r="ED166">
        <f>SUMIF('Как есть'!$A$45:$A$53,Доп.расчеты!$A166,'Как есть'!EE$45:EE$53)</f>
        <v>0</v>
      </c>
      <c r="EE166">
        <f>SUMIF('Как есть'!$A$45:$A$53,Доп.расчеты!$A166,'Как есть'!EF$45:EF$53)</f>
        <v>0</v>
      </c>
      <c r="EF166">
        <f>SUMIF('Как есть'!$A$45:$A$53,Доп.расчеты!$A166,'Как есть'!EG$45:EG$53)</f>
        <v>0</v>
      </c>
      <c r="EG166">
        <f>SUMIF('Как есть'!$A$45:$A$53,Доп.расчеты!$A166,'Как есть'!EH$45:EH$53)</f>
        <v>0</v>
      </c>
      <c r="EH166">
        <f>SUMIF('Как есть'!$A$45:$A$53,Доп.расчеты!$A166,'Как есть'!EI$45:EI$53)</f>
        <v>0</v>
      </c>
      <c r="EI166">
        <f>SUMIF('Как есть'!$A$45:$A$53,Доп.расчеты!$A166,'Как есть'!EJ$45:EJ$53)</f>
        <v>0</v>
      </c>
      <c r="EJ166">
        <f>SUMIF('Как есть'!$A$45:$A$53,Доп.расчеты!$A166,'Как есть'!EK$45:EK$53)</f>
        <v>0</v>
      </c>
      <c r="EK166">
        <f>SUMIF('Как есть'!$A$45:$A$53,Доп.расчеты!$A166,'Как есть'!EL$45:EL$53)</f>
        <v>0</v>
      </c>
      <c r="EL166">
        <f>SUMIF('Как есть'!$A$45:$A$53,Доп.расчеты!$A166,'Как есть'!EM$45:EM$53)</f>
        <v>0</v>
      </c>
      <c r="EM166">
        <f>SUMIF('Как есть'!$A$45:$A$53,Доп.расчеты!$A166,'Как есть'!EN$45:EN$53)</f>
        <v>0</v>
      </c>
      <c r="EN166">
        <f>SUMIF('Как есть'!$A$45:$A$53,Доп.расчеты!$A166,'Как есть'!EO$45:EO$53)</f>
        <v>0</v>
      </c>
      <c r="EO166">
        <f>SUMIF('Как есть'!$A$45:$A$53,Доп.расчеты!$A166,'Как есть'!EP$45:EP$53)</f>
        <v>0</v>
      </c>
      <c r="EP166">
        <f>SUMIF('Как есть'!$A$45:$A$53,Доп.расчеты!$A166,'Как есть'!EQ$45:EQ$53)</f>
        <v>0</v>
      </c>
      <c r="EQ166">
        <f>SUMIF('Как есть'!$A$45:$A$53,Доп.расчеты!$A166,'Как есть'!ER$45:ER$53)</f>
        <v>0</v>
      </c>
      <c r="ER166">
        <f>SUMIF('Как есть'!$A$45:$A$53,Доп.расчеты!$A166,'Как есть'!ES$45:ES$53)</f>
        <v>0</v>
      </c>
      <c r="ES166">
        <f>SUMIF('Как есть'!$A$45:$A$53,Доп.расчеты!$A166,'Как есть'!ET$45:ET$53)</f>
        <v>0</v>
      </c>
      <c r="ET166">
        <f>SUMIF('Как есть'!$A$45:$A$53,Доп.расчеты!$A166,'Как есть'!EU$45:EU$53)</f>
        <v>0</v>
      </c>
      <c r="EU166">
        <f>SUMIF('Как есть'!$A$45:$A$53,Доп.расчеты!$A166,'Как есть'!EV$45:EV$53)</f>
        <v>0</v>
      </c>
      <c r="EV166">
        <f>SUMIF('Как есть'!$A$45:$A$53,Доп.расчеты!$A166,'Как есть'!EW$45:EW$53)</f>
        <v>0</v>
      </c>
      <c r="EW166">
        <f>SUMIF('Как есть'!$A$45:$A$53,Доп.расчеты!$A166,'Как есть'!EX$45:EX$53)</f>
        <v>0</v>
      </c>
      <c r="EX166">
        <f>SUMIF('Как есть'!$A$45:$A$53,Доп.расчеты!$A166,'Как есть'!EY$45:EY$53)</f>
        <v>0</v>
      </c>
      <c r="EY166">
        <f>SUMIF('Как есть'!$A$45:$A$53,Доп.расчеты!$A166,'Как есть'!EZ$45:EZ$53)</f>
        <v>0</v>
      </c>
      <c r="EZ166">
        <f>SUMIF('Как есть'!$A$45:$A$53,Доп.расчеты!$A166,'Как есть'!FA$45:FA$53)</f>
        <v>0</v>
      </c>
      <c r="FA166">
        <f>SUMIF('Как есть'!$A$45:$A$53,Доп.расчеты!$A166,'Как есть'!FB$45:FB$53)</f>
        <v>0</v>
      </c>
      <c r="FB166">
        <f>SUMIF('Как есть'!$A$45:$A$53,Доп.расчеты!$A166,'Как есть'!FC$45:FC$53)</f>
        <v>0</v>
      </c>
      <c r="FC166">
        <f>SUMIF('Как есть'!$A$45:$A$53,Доп.расчеты!$A166,'Как есть'!FD$45:FD$53)</f>
        <v>0</v>
      </c>
      <c r="FD166">
        <f>SUMIF('Как есть'!$A$45:$A$53,Доп.расчеты!$A166,'Как есть'!FE$45:FE$53)</f>
        <v>0</v>
      </c>
      <c r="FE166">
        <f>SUMIF('Как есть'!$A$45:$A$53,Доп.расчеты!$A166,'Как есть'!FF$45:FF$53)</f>
        <v>0</v>
      </c>
      <c r="FF166">
        <f>SUMIF('Как есть'!$A$45:$A$53,Доп.расчеты!$A166,'Как есть'!FG$45:FG$53)</f>
        <v>0</v>
      </c>
      <c r="FG166">
        <f>SUMIF('Как есть'!$A$45:$A$53,Доп.расчеты!$A166,'Как есть'!FH$45:FH$53)</f>
        <v>0</v>
      </c>
      <c r="FH166">
        <f>SUMIF('Как есть'!$A$45:$A$53,Доп.расчеты!$A166,'Как есть'!FI$45:FI$53)</f>
        <v>0</v>
      </c>
      <c r="FI166">
        <f>SUMIF('Как есть'!$A$45:$A$53,Доп.расчеты!$A166,'Как есть'!FJ$45:FJ$53)</f>
        <v>0</v>
      </c>
      <c r="FJ166">
        <f>SUMIF('Как есть'!$A$45:$A$53,Доп.расчеты!$A166,'Как есть'!FK$45:FK$53)</f>
        <v>0</v>
      </c>
      <c r="FK166">
        <f>SUMIF('Как есть'!$A$45:$A$53,Доп.расчеты!$A166,'Как есть'!FL$45:FL$53)</f>
        <v>0</v>
      </c>
      <c r="FL166">
        <f>SUMIF('Как есть'!$A$45:$A$53,Доп.расчеты!$A166,'Как есть'!FM$45:FM$53)</f>
        <v>0</v>
      </c>
      <c r="FM166">
        <f>SUMIF('Как есть'!$A$45:$A$53,Доп.расчеты!$A166,'Как есть'!FN$45:FN$53)</f>
        <v>0</v>
      </c>
      <c r="FN166">
        <f>SUMIF('Как есть'!$A$45:$A$53,Доп.расчеты!$A166,'Как есть'!FO$45:FO$53)</f>
        <v>0</v>
      </c>
      <c r="FO166">
        <f>SUMIF('Как есть'!$A$45:$A$53,Доп.расчеты!$A166,'Как есть'!FP$45:FP$53)</f>
        <v>0</v>
      </c>
      <c r="FP166">
        <f>SUMIF('Как есть'!$A$45:$A$53,Доп.расчеты!$A166,'Как есть'!FQ$45:FQ$53)</f>
        <v>0</v>
      </c>
      <c r="FQ166">
        <f>SUMIF('Как есть'!$A$45:$A$53,Доп.расчеты!$A166,'Как есть'!FR$45:FR$53)</f>
        <v>0</v>
      </c>
      <c r="FR166">
        <f>SUMIF('Как есть'!$A$45:$A$53,Доп.расчеты!$A166,'Как есть'!FS$45:FS$53)</f>
        <v>0</v>
      </c>
      <c r="FS166">
        <f>SUMIF('Как есть'!$A$45:$A$53,Доп.расчеты!$A166,'Как есть'!FT$45:FT$53)</f>
        <v>0</v>
      </c>
      <c r="FT166">
        <f>SUMIF('Как есть'!$A$45:$A$53,Доп.расчеты!$A166,'Как есть'!FU$45:FU$53)</f>
        <v>0</v>
      </c>
      <c r="FU166">
        <f>SUMIF('Как есть'!$A$45:$A$53,Доп.расчеты!$A166,'Как есть'!FV$45:FV$53)</f>
        <v>0</v>
      </c>
      <c r="FV166">
        <f>SUMIF('Как есть'!$A$45:$A$53,Доп.расчеты!$A166,'Как есть'!FW$45:FW$53)</f>
        <v>0</v>
      </c>
      <c r="FW166">
        <f>SUMIF('Как есть'!$A$45:$A$53,Доп.расчеты!$A166,'Как есть'!FX$45:FX$53)</f>
        <v>0</v>
      </c>
      <c r="FX166">
        <f>SUMIF('Как есть'!$A$45:$A$53,Доп.расчеты!$A166,'Как есть'!FY$45:FY$53)</f>
        <v>0</v>
      </c>
      <c r="FY166">
        <f>SUMIF('Как есть'!$A$45:$A$53,Доп.расчеты!$A166,'Как есть'!FZ$45:FZ$53)</f>
        <v>0</v>
      </c>
      <c r="FZ166">
        <f>SUMIF('Как есть'!$A$45:$A$53,Доп.расчеты!$A166,'Как есть'!GA$45:GA$53)</f>
        <v>0</v>
      </c>
      <c r="GA166">
        <f>SUMIF('Как есть'!$A$45:$A$53,Доп.расчеты!$A166,'Как есть'!GB$45:GB$53)</f>
        <v>0</v>
      </c>
      <c r="GB166">
        <f>SUMIF('Как есть'!$A$45:$A$53,Доп.расчеты!$A166,'Как есть'!GC$45:GC$53)</f>
        <v>0</v>
      </c>
      <c r="GC166">
        <f>SUMIF('Как есть'!$A$45:$A$53,Доп.расчеты!$A166,'Как есть'!GD$45:GD$53)</f>
        <v>0</v>
      </c>
      <c r="GD166">
        <f>SUMIF('Как есть'!$A$45:$A$53,Доп.расчеты!$A166,'Как есть'!GE$45:GE$53)</f>
        <v>0</v>
      </c>
      <c r="GE166">
        <f>SUMIF('Как есть'!$A$45:$A$53,Доп.расчеты!$A166,'Как есть'!GF$45:GF$53)</f>
        <v>0</v>
      </c>
      <c r="GF166">
        <f>SUMIF('Как есть'!$A$45:$A$53,Доп.расчеты!$A166,'Как есть'!GG$45:GG$53)</f>
        <v>0</v>
      </c>
      <c r="GG166">
        <f>SUMIF('Как есть'!$A$45:$A$53,Доп.расчеты!$A166,'Как есть'!GH$45:GH$53)</f>
        <v>0</v>
      </c>
      <c r="GH166">
        <f>SUMIF('Как есть'!$A$45:$A$53,Доп.расчеты!$A166,'Как есть'!GI$45:GI$53)</f>
        <v>0</v>
      </c>
      <c r="GI166">
        <f>SUMIF('Как есть'!$A$45:$A$53,Доп.расчеты!$A166,'Как есть'!GJ$45:GJ$53)</f>
        <v>0</v>
      </c>
      <c r="GJ166">
        <f>SUMIF('Как есть'!$A$45:$A$53,Доп.расчеты!$A166,'Как есть'!GK$45:GK$53)</f>
        <v>0</v>
      </c>
      <c r="GK166">
        <f>SUMIF('Как есть'!$A$45:$A$53,Доп.расчеты!$A166,'Как есть'!GL$45:GL$53)</f>
        <v>0</v>
      </c>
      <c r="GL166">
        <f>SUMIF('Как есть'!$A$45:$A$53,Доп.расчеты!$A166,'Как есть'!GM$45:GM$53)</f>
        <v>0</v>
      </c>
      <c r="GM166">
        <f>SUMIF('Как есть'!$A$45:$A$53,Доп.расчеты!$A166,'Как есть'!GN$45:GN$53)</f>
        <v>0</v>
      </c>
      <c r="GN166">
        <f>SUMIF('Как есть'!$A$45:$A$53,Доп.расчеты!$A166,'Как есть'!GO$45:GO$53)</f>
        <v>0</v>
      </c>
      <c r="GO166">
        <f>SUMIF('Как есть'!$A$45:$A$53,Доп.расчеты!$A166,'Как есть'!GP$45:GP$53)</f>
        <v>0</v>
      </c>
      <c r="GP166">
        <f>SUMIF('Как есть'!$A$45:$A$53,Доп.расчеты!$A166,'Как есть'!GQ$45:GQ$53)</f>
        <v>0</v>
      </c>
      <c r="GQ166">
        <f>SUMIF('Как есть'!$A$45:$A$53,Доп.расчеты!$A166,'Как есть'!GR$45:GR$53)</f>
        <v>0</v>
      </c>
      <c r="GR166">
        <f>SUMIF('Как есть'!$A$45:$A$53,Доп.расчеты!$A166,'Как есть'!GS$45:GS$53)</f>
        <v>0</v>
      </c>
      <c r="GS166">
        <f>SUMIF('Как есть'!$A$45:$A$53,Доп.расчеты!$A166,'Как есть'!GT$45:GT$53)</f>
        <v>0</v>
      </c>
      <c r="GT166">
        <f>SUMIF('Как есть'!$A$45:$A$53,Доп.расчеты!$A166,'Как есть'!GU$45:GU$53)</f>
        <v>0</v>
      </c>
    </row>
    <row r="167" spans="1:202" hidden="1" outlineLevel="1">
      <c r="A167" s="238" t="s">
        <v>103</v>
      </c>
      <c r="B167">
        <f>SUMIF('Как есть'!$A$45:$A$53,Доп.расчеты!$A167,'Как есть'!C$45:C$53)</f>
        <v>0</v>
      </c>
      <c r="C167">
        <f>SUMIF('Как есть'!$A$45:$A$53,Доп.расчеты!$A167,'Как есть'!D$45:D$53)</f>
        <v>0</v>
      </c>
      <c r="D167">
        <f>SUMIF('Как есть'!$A$45:$A$53,Доп.расчеты!$A167,'Как есть'!E$45:E$53)</f>
        <v>0</v>
      </c>
      <c r="E167">
        <f>SUMIF('Как есть'!$A$45:$A$53,Доп.расчеты!$A167,'Как есть'!F$45:F$53)</f>
        <v>0</v>
      </c>
      <c r="F167">
        <f>SUMIF('Как есть'!$A$45:$A$53,Доп.расчеты!$A167,'Как есть'!G$45:G$53)</f>
        <v>0</v>
      </c>
      <c r="G167">
        <f>SUMIF('Как есть'!$A$45:$A$53,Доп.расчеты!$A167,'Как есть'!H$45:H$53)</f>
        <v>0</v>
      </c>
      <c r="H167">
        <f>SUMIF('Как есть'!$A$45:$A$53,Доп.расчеты!$A167,'Как есть'!I$45:I$53)</f>
        <v>0</v>
      </c>
      <c r="I167">
        <f>SUMIF('Как есть'!$A$45:$A$53,Доп.расчеты!$A167,'Как есть'!J$45:J$53)</f>
        <v>0</v>
      </c>
      <c r="J167">
        <f>SUMIF('Как есть'!$A$45:$A$53,Доп.расчеты!$A167,'Как есть'!K$45:K$53)</f>
        <v>0</v>
      </c>
      <c r="K167">
        <f>SUMIF('Как есть'!$A$45:$A$53,Доп.расчеты!$A167,'Как есть'!L$45:L$53)</f>
        <v>0</v>
      </c>
      <c r="L167">
        <f>SUMIF('Как есть'!$A$45:$A$53,Доп.расчеты!$A167,'Как есть'!M$45:M$53)</f>
        <v>0</v>
      </c>
      <c r="M167">
        <f>SUMIF('Как есть'!$A$45:$A$53,Доп.расчеты!$A167,'Как есть'!N$45:N$53)</f>
        <v>0</v>
      </c>
      <c r="N167">
        <f>SUMIF('Как есть'!$A$45:$A$53,Доп.расчеты!$A167,'Как есть'!O$45:O$53)</f>
        <v>0</v>
      </c>
      <c r="O167">
        <f>SUMIF('Как есть'!$A$45:$A$53,Доп.расчеты!$A167,'Как есть'!P$45:P$53)</f>
        <v>0</v>
      </c>
      <c r="P167">
        <f>SUMIF('Как есть'!$A$45:$A$53,Доп.расчеты!$A167,'Как есть'!Q$45:Q$53)</f>
        <v>0</v>
      </c>
      <c r="Q167">
        <f>SUMIF('Как есть'!$A$45:$A$53,Доп.расчеты!$A167,'Как есть'!R$45:R$53)</f>
        <v>0</v>
      </c>
      <c r="R167">
        <f>SUMIF('Как есть'!$A$45:$A$53,Доп.расчеты!$A167,'Как есть'!S$45:S$53)</f>
        <v>0</v>
      </c>
      <c r="S167">
        <f>SUMIF('Как есть'!$A$45:$A$53,Доп.расчеты!$A167,'Как есть'!T$45:T$53)</f>
        <v>0</v>
      </c>
      <c r="T167">
        <f>SUMIF('Как есть'!$A$45:$A$53,Доп.расчеты!$A167,'Как есть'!U$45:U$53)</f>
        <v>0</v>
      </c>
      <c r="U167">
        <f>SUMIF('Как есть'!$A$45:$A$53,Доп.расчеты!$A167,'Как есть'!V$45:V$53)</f>
        <v>0</v>
      </c>
      <c r="V167">
        <f>SUMIF('Как есть'!$A$45:$A$53,Доп.расчеты!$A167,'Как есть'!W$45:W$53)</f>
        <v>0</v>
      </c>
      <c r="W167">
        <f>SUMIF('Как есть'!$A$45:$A$53,Доп.расчеты!$A167,'Как есть'!X$45:X$53)</f>
        <v>0</v>
      </c>
      <c r="X167">
        <f>SUMIF('Как есть'!$A$45:$A$53,Доп.расчеты!$A167,'Как есть'!Y$45:Y$53)</f>
        <v>0</v>
      </c>
      <c r="Y167">
        <f>SUMIF('Как есть'!$A$45:$A$53,Доп.расчеты!$A167,'Как есть'!Z$45:Z$53)</f>
        <v>0</v>
      </c>
      <c r="Z167">
        <f>SUMIF('Как есть'!$A$45:$A$53,Доп.расчеты!$A167,'Как есть'!AA$45:AA$53)</f>
        <v>0</v>
      </c>
      <c r="AA167">
        <f>SUMIF('Как есть'!$A$45:$A$53,Доп.расчеты!$A167,'Как есть'!AB$45:AB$53)</f>
        <v>0</v>
      </c>
      <c r="AB167">
        <f>SUMIF('Как есть'!$A$45:$A$53,Доп.расчеты!$A167,'Как есть'!AC$45:AC$53)</f>
        <v>0</v>
      </c>
      <c r="AC167">
        <f>SUMIF('Как есть'!$A$45:$A$53,Доп.расчеты!$A167,'Как есть'!AD$45:AD$53)</f>
        <v>0</v>
      </c>
      <c r="AD167">
        <f>SUMIF('Как есть'!$A$45:$A$53,Доп.расчеты!$A167,'Как есть'!AE$45:AE$53)</f>
        <v>0</v>
      </c>
      <c r="AE167">
        <f>SUMIF('Как есть'!$A$45:$A$53,Доп.расчеты!$A167,'Как есть'!AF$45:AF$53)</f>
        <v>0</v>
      </c>
      <c r="AF167">
        <f>SUMIF('Как есть'!$A$45:$A$53,Доп.расчеты!$A167,'Как есть'!AG$45:AG$53)</f>
        <v>0</v>
      </c>
      <c r="AG167">
        <f>SUMIF('Как есть'!$A$45:$A$53,Доп.расчеты!$A167,'Как есть'!AH$45:AH$53)</f>
        <v>0</v>
      </c>
      <c r="AH167">
        <f>SUMIF('Как есть'!$A$45:$A$53,Доп.расчеты!$A167,'Как есть'!AI$45:AI$53)</f>
        <v>0</v>
      </c>
      <c r="AI167">
        <f>SUMIF('Как есть'!$A$45:$A$53,Доп.расчеты!$A167,'Как есть'!AJ$45:AJ$53)</f>
        <v>0</v>
      </c>
      <c r="AJ167">
        <f>SUMIF('Как есть'!$A$45:$A$53,Доп.расчеты!$A167,'Как есть'!AK$45:AK$53)</f>
        <v>0</v>
      </c>
      <c r="AK167">
        <f>SUMIF('Как есть'!$A$45:$A$53,Доп.расчеты!$A167,'Как есть'!AL$45:AL$53)</f>
        <v>0</v>
      </c>
      <c r="AL167">
        <f>SUMIF('Как есть'!$A$45:$A$53,Доп.расчеты!$A167,'Как есть'!AM$45:AM$53)</f>
        <v>0</v>
      </c>
      <c r="AM167">
        <f>SUMIF('Как есть'!$A$45:$A$53,Доп.расчеты!$A167,'Как есть'!AN$45:AN$53)</f>
        <v>0</v>
      </c>
      <c r="AN167">
        <f>SUMIF('Как есть'!$A$45:$A$53,Доп.расчеты!$A167,'Как есть'!AO$45:AO$53)</f>
        <v>0</v>
      </c>
      <c r="AO167">
        <f>SUMIF('Как есть'!$A$45:$A$53,Доп.расчеты!$A167,'Как есть'!AP$45:AP$53)</f>
        <v>0</v>
      </c>
      <c r="AP167">
        <f>SUMIF('Как есть'!$A$45:$A$53,Доп.расчеты!$A167,'Как есть'!AQ$45:AQ$53)</f>
        <v>0</v>
      </c>
      <c r="AQ167">
        <f>SUMIF('Как есть'!$A$45:$A$53,Доп.расчеты!$A167,'Как есть'!AR$45:AR$53)</f>
        <v>0</v>
      </c>
      <c r="AR167">
        <f>SUMIF('Как есть'!$A$45:$A$53,Доп.расчеты!$A167,'Как есть'!AS$45:AS$53)</f>
        <v>0</v>
      </c>
      <c r="AS167">
        <f>SUMIF('Как есть'!$A$45:$A$53,Доп.расчеты!$A167,'Как есть'!AT$45:AT$53)</f>
        <v>0</v>
      </c>
      <c r="AT167">
        <f>SUMIF('Как есть'!$A$45:$A$53,Доп.расчеты!$A167,'Как есть'!AU$45:AU$53)</f>
        <v>0</v>
      </c>
      <c r="AU167">
        <f>SUMIF('Как есть'!$A$45:$A$53,Доп.расчеты!$A167,'Как есть'!AV$45:AV$53)</f>
        <v>0</v>
      </c>
      <c r="AV167">
        <f>SUMIF('Как есть'!$A$45:$A$53,Доп.расчеты!$A167,'Как есть'!AW$45:AW$53)</f>
        <v>0</v>
      </c>
      <c r="AW167">
        <f>SUMIF('Как есть'!$A$45:$A$53,Доп.расчеты!$A167,'Как есть'!AX$45:AX$53)</f>
        <v>0</v>
      </c>
      <c r="AX167">
        <f>SUMIF('Как есть'!$A$45:$A$53,Доп.расчеты!$A167,'Как есть'!AY$45:AY$53)</f>
        <v>0</v>
      </c>
      <c r="AY167">
        <f>SUMIF('Как есть'!$A$45:$A$53,Доп.расчеты!$A167,'Как есть'!AZ$45:AZ$53)</f>
        <v>0</v>
      </c>
      <c r="AZ167">
        <f>SUMIF('Как есть'!$A$45:$A$53,Доп.расчеты!$A167,'Как есть'!BA$45:BA$53)</f>
        <v>0</v>
      </c>
      <c r="BA167">
        <f>SUMIF('Как есть'!$A$45:$A$53,Доп.расчеты!$A167,'Как есть'!BB$45:BB$53)</f>
        <v>0</v>
      </c>
      <c r="BB167">
        <f>SUMIF('Как есть'!$A$45:$A$53,Доп.расчеты!$A167,'Как есть'!BC$45:BC$53)</f>
        <v>0</v>
      </c>
      <c r="BC167">
        <f>SUMIF('Как есть'!$A$45:$A$53,Доп.расчеты!$A167,'Как есть'!BD$45:BD$53)</f>
        <v>0</v>
      </c>
      <c r="BD167">
        <f>SUMIF('Как есть'!$A$45:$A$53,Доп.расчеты!$A167,'Как есть'!BE$45:BE$53)</f>
        <v>0</v>
      </c>
      <c r="BE167">
        <f>SUMIF('Как есть'!$A$45:$A$53,Доп.расчеты!$A167,'Как есть'!BF$45:BF$53)</f>
        <v>0</v>
      </c>
      <c r="BF167">
        <f>SUMIF('Как есть'!$A$45:$A$53,Доп.расчеты!$A167,'Как есть'!BG$45:BG$53)</f>
        <v>0</v>
      </c>
      <c r="BG167">
        <f>SUMIF('Как есть'!$A$45:$A$53,Доп.расчеты!$A167,'Как есть'!BH$45:BH$53)</f>
        <v>0</v>
      </c>
      <c r="BH167">
        <f>SUMIF('Как есть'!$A$45:$A$53,Доп.расчеты!$A167,'Как есть'!BI$45:BI$53)</f>
        <v>0</v>
      </c>
      <c r="BI167">
        <f>SUMIF('Как есть'!$A$45:$A$53,Доп.расчеты!$A167,'Как есть'!BJ$45:BJ$53)</f>
        <v>0</v>
      </c>
      <c r="BJ167">
        <f>SUMIF('Как есть'!$A$45:$A$53,Доп.расчеты!$A167,'Как есть'!BK$45:BK$53)</f>
        <v>0</v>
      </c>
      <c r="BK167">
        <f>SUMIF('Как есть'!$A$45:$A$53,Доп.расчеты!$A167,'Как есть'!BL$45:BL$53)</f>
        <v>0</v>
      </c>
      <c r="BL167">
        <f>SUMIF('Как есть'!$A$45:$A$53,Доп.расчеты!$A167,'Как есть'!BM$45:BM$53)</f>
        <v>0</v>
      </c>
      <c r="BM167">
        <f>SUMIF('Как есть'!$A$45:$A$53,Доп.расчеты!$A167,'Как есть'!BN$45:BN$53)</f>
        <v>0</v>
      </c>
      <c r="BN167">
        <f>SUMIF('Как есть'!$A$45:$A$53,Доп.расчеты!$A167,'Как есть'!BO$45:BO$53)</f>
        <v>0</v>
      </c>
      <c r="BO167">
        <f>SUMIF('Как есть'!$A$45:$A$53,Доп.расчеты!$A167,'Как есть'!BP$45:BP$53)</f>
        <v>0</v>
      </c>
      <c r="BP167">
        <f>SUMIF('Как есть'!$A$45:$A$53,Доп.расчеты!$A167,'Как есть'!BQ$45:BQ$53)</f>
        <v>0</v>
      </c>
      <c r="BQ167">
        <f>SUMIF('Как есть'!$A$45:$A$53,Доп.расчеты!$A167,'Как есть'!BR$45:BR$53)</f>
        <v>0</v>
      </c>
      <c r="BR167">
        <f>SUMIF('Как есть'!$A$45:$A$53,Доп.расчеты!$A167,'Как есть'!BS$45:BS$53)</f>
        <v>0</v>
      </c>
      <c r="BS167">
        <f>SUMIF('Как есть'!$A$45:$A$53,Доп.расчеты!$A167,'Как есть'!BT$45:BT$53)</f>
        <v>0</v>
      </c>
      <c r="BT167">
        <f>SUMIF('Как есть'!$A$45:$A$53,Доп.расчеты!$A167,'Как есть'!BU$45:BU$53)</f>
        <v>0</v>
      </c>
      <c r="BU167">
        <f>SUMIF('Как есть'!$A$45:$A$53,Доп.расчеты!$A167,'Как есть'!BV$45:BV$53)</f>
        <v>0</v>
      </c>
      <c r="BV167">
        <f>SUMIF('Как есть'!$A$45:$A$53,Доп.расчеты!$A167,'Как есть'!BW$45:BW$53)</f>
        <v>0</v>
      </c>
      <c r="BW167">
        <f>SUMIF('Как есть'!$A$45:$A$53,Доп.расчеты!$A167,'Как есть'!BX$45:BX$53)</f>
        <v>0</v>
      </c>
      <c r="BX167">
        <f>SUMIF('Как есть'!$A$45:$A$53,Доп.расчеты!$A167,'Как есть'!BY$45:BY$53)</f>
        <v>0</v>
      </c>
      <c r="BY167">
        <f>SUMIF('Как есть'!$A$45:$A$53,Доп.расчеты!$A167,'Как есть'!BZ$45:BZ$53)</f>
        <v>0</v>
      </c>
      <c r="BZ167">
        <f>SUMIF('Как есть'!$A$45:$A$53,Доп.расчеты!$A167,'Как есть'!CA$45:CA$53)</f>
        <v>0</v>
      </c>
      <c r="CA167">
        <f>SUMIF('Как есть'!$A$45:$A$53,Доп.расчеты!$A167,'Как есть'!CB$45:CB$53)</f>
        <v>0</v>
      </c>
      <c r="CB167">
        <f>SUMIF('Как есть'!$A$45:$A$53,Доп.расчеты!$A167,'Как есть'!CC$45:CC$53)</f>
        <v>0</v>
      </c>
      <c r="CC167">
        <f>SUMIF('Как есть'!$A$45:$A$53,Доп.расчеты!$A167,'Как есть'!CD$45:CD$53)</f>
        <v>0</v>
      </c>
      <c r="CD167">
        <f>SUMIF('Как есть'!$A$45:$A$53,Доп.расчеты!$A167,'Как есть'!CE$45:CE$53)</f>
        <v>0</v>
      </c>
      <c r="CE167">
        <f>SUMIF('Как есть'!$A$45:$A$53,Доп.расчеты!$A167,'Как есть'!CF$45:CF$53)</f>
        <v>0</v>
      </c>
      <c r="CF167">
        <f>SUMIF('Как есть'!$A$45:$A$53,Доп.расчеты!$A167,'Как есть'!CG$45:CG$53)</f>
        <v>0</v>
      </c>
      <c r="CG167">
        <f>SUMIF('Как есть'!$A$45:$A$53,Доп.расчеты!$A167,'Как есть'!CH$45:CH$53)</f>
        <v>0</v>
      </c>
      <c r="CH167">
        <f>SUMIF('Как есть'!$A$45:$A$53,Доп.расчеты!$A167,'Как есть'!CI$45:CI$53)</f>
        <v>0</v>
      </c>
      <c r="CI167">
        <f>SUMIF('Как есть'!$A$45:$A$53,Доп.расчеты!$A167,'Как есть'!CJ$45:CJ$53)</f>
        <v>0</v>
      </c>
      <c r="CJ167">
        <f>SUMIF('Как есть'!$A$45:$A$53,Доп.расчеты!$A167,'Как есть'!CK$45:CK$53)</f>
        <v>0</v>
      </c>
      <c r="CK167">
        <f>SUMIF('Как есть'!$A$45:$A$53,Доп.расчеты!$A167,'Как есть'!CL$45:CL$53)</f>
        <v>0</v>
      </c>
      <c r="CL167">
        <f>SUMIF('Как есть'!$A$45:$A$53,Доп.расчеты!$A167,'Как есть'!CM$45:CM$53)</f>
        <v>0</v>
      </c>
      <c r="CM167">
        <f>SUMIF('Как есть'!$A$45:$A$53,Доп.расчеты!$A167,'Как есть'!CN$45:CN$53)</f>
        <v>0</v>
      </c>
      <c r="CN167">
        <f>SUMIF('Как есть'!$A$45:$A$53,Доп.расчеты!$A167,'Как есть'!CO$45:CO$53)</f>
        <v>0</v>
      </c>
      <c r="CO167">
        <f>SUMIF('Как есть'!$A$45:$A$53,Доп.расчеты!$A167,'Как есть'!CP$45:CP$53)</f>
        <v>0</v>
      </c>
      <c r="CP167">
        <f>SUMIF('Как есть'!$A$45:$A$53,Доп.расчеты!$A167,'Как есть'!CQ$45:CQ$53)</f>
        <v>0</v>
      </c>
      <c r="CQ167">
        <f>SUMIF('Как есть'!$A$45:$A$53,Доп.расчеты!$A167,'Как есть'!CR$45:CR$53)</f>
        <v>0</v>
      </c>
      <c r="CR167">
        <f>SUMIF('Как есть'!$A$45:$A$53,Доп.расчеты!$A167,'Как есть'!CS$45:CS$53)</f>
        <v>0</v>
      </c>
      <c r="CS167">
        <f>SUMIF('Как есть'!$A$45:$A$53,Доп.расчеты!$A167,'Как есть'!CT$45:CT$53)</f>
        <v>0</v>
      </c>
      <c r="CT167">
        <f>SUMIF('Как есть'!$A$45:$A$53,Доп.расчеты!$A167,'Как есть'!CU$45:CU$53)</f>
        <v>0</v>
      </c>
      <c r="CU167">
        <f>SUMIF('Как есть'!$A$45:$A$53,Доп.расчеты!$A167,'Как есть'!CV$45:CV$53)</f>
        <v>0</v>
      </c>
      <c r="CV167">
        <f>SUMIF('Как есть'!$A$45:$A$53,Доп.расчеты!$A167,'Как есть'!CW$45:CW$53)</f>
        <v>0</v>
      </c>
      <c r="CW167">
        <f>SUMIF('Как есть'!$A$45:$A$53,Доп.расчеты!$A167,'Как есть'!CX$45:CX$53)</f>
        <v>0</v>
      </c>
      <c r="CX167">
        <f>SUMIF('Как есть'!$A$45:$A$53,Доп.расчеты!$A167,'Как есть'!CY$45:CY$53)</f>
        <v>0</v>
      </c>
      <c r="CY167">
        <f>SUMIF('Как есть'!$A$45:$A$53,Доп.расчеты!$A167,'Как есть'!CZ$45:CZ$53)</f>
        <v>0</v>
      </c>
      <c r="CZ167">
        <f>SUMIF('Как есть'!$A$45:$A$53,Доп.расчеты!$A167,'Как есть'!DA$45:DA$53)</f>
        <v>0</v>
      </c>
      <c r="DA167">
        <f>SUMIF('Как есть'!$A$45:$A$53,Доп.расчеты!$A167,'Как есть'!DB$45:DB$53)</f>
        <v>0</v>
      </c>
      <c r="DB167">
        <f>SUMIF('Как есть'!$A$45:$A$53,Доп.расчеты!$A167,'Как есть'!DC$45:DC$53)</f>
        <v>0</v>
      </c>
      <c r="DC167">
        <f>SUMIF('Как есть'!$A$45:$A$53,Доп.расчеты!$A167,'Как есть'!DD$45:DD$53)</f>
        <v>0</v>
      </c>
      <c r="DD167">
        <f>SUMIF('Как есть'!$A$45:$A$53,Доп.расчеты!$A167,'Как есть'!DE$45:DE$53)</f>
        <v>0</v>
      </c>
      <c r="DE167">
        <f>SUMIF('Как есть'!$A$45:$A$53,Доп.расчеты!$A167,'Как есть'!DF$45:DF$53)</f>
        <v>0</v>
      </c>
      <c r="DF167">
        <f>SUMIF('Как есть'!$A$45:$A$53,Доп.расчеты!$A167,'Как есть'!DG$45:DG$53)</f>
        <v>0</v>
      </c>
      <c r="DG167">
        <f>SUMIF('Как есть'!$A$45:$A$53,Доп.расчеты!$A167,'Как есть'!DH$45:DH$53)</f>
        <v>0</v>
      </c>
      <c r="DH167">
        <f>SUMIF('Как есть'!$A$45:$A$53,Доп.расчеты!$A167,'Как есть'!DI$45:DI$53)</f>
        <v>0</v>
      </c>
      <c r="DI167">
        <f>SUMIF('Как есть'!$A$45:$A$53,Доп.расчеты!$A167,'Как есть'!DJ$45:DJ$53)</f>
        <v>0</v>
      </c>
      <c r="DJ167">
        <f>SUMIF('Как есть'!$A$45:$A$53,Доп.расчеты!$A167,'Как есть'!DK$45:DK$53)</f>
        <v>0</v>
      </c>
      <c r="DK167">
        <f>SUMIF('Как есть'!$A$45:$A$53,Доп.расчеты!$A167,'Как есть'!DL$45:DL$53)</f>
        <v>0</v>
      </c>
      <c r="DL167">
        <f>SUMIF('Как есть'!$A$45:$A$53,Доп.расчеты!$A167,'Как есть'!DM$45:DM$53)</f>
        <v>0</v>
      </c>
      <c r="DM167">
        <f>SUMIF('Как есть'!$A$45:$A$53,Доп.расчеты!$A167,'Как есть'!DN$45:DN$53)</f>
        <v>0</v>
      </c>
      <c r="DN167">
        <f>SUMIF('Как есть'!$A$45:$A$53,Доп.расчеты!$A167,'Как есть'!DO$45:DO$53)</f>
        <v>0</v>
      </c>
      <c r="DO167">
        <f>SUMIF('Как есть'!$A$45:$A$53,Доп.расчеты!$A167,'Как есть'!DP$45:DP$53)</f>
        <v>0</v>
      </c>
      <c r="DP167">
        <f>SUMIF('Как есть'!$A$45:$A$53,Доп.расчеты!$A167,'Как есть'!DQ$45:DQ$53)</f>
        <v>0</v>
      </c>
      <c r="DQ167">
        <f>SUMIF('Как есть'!$A$45:$A$53,Доп.расчеты!$A167,'Как есть'!DR$45:DR$53)</f>
        <v>0</v>
      </c>
      <c r="DR167">
        <f>SUMIF('Как есть'!$A$45:$A$53,Доп.расчеты!$A167,'Как есть'!DS$45:DS$53)</f>
        <v>0</v>
      </c>
      <c r="DS167">
        <f>SUMIF('Как есть'!$A$45:$A$53,Доп.расчеты!$A167,'Как есть'!DT$45:DT$53)</f>
        <v>0</v>
      </c>
      <c r="DT167">
        <f>SUMIF('Как есть'!$A$45:$A$53,Доп.расчеты!$A167,'Как есть'!DU$45:DU$53)</f>
        <v>0</v>
      </c>
      <c r="DU167">
        <f>SUMIF('Как есть'!$A$45:$A$53,Доп.расчеты!$A167,'Как есть'!DV$45:DV$53)</f>
        <v>0</v>
      </c>
      <c r="DV167">
        <f>SUMIF('Как есть'!$A$45:$A$53,Доп.расчеты!$A167,'Как есть'!DW$45:DW$53)</f>
        <v>0</v>
      </c>
      <c r="DW167">
        <f>SUMIF('Как есть'!$A$45:$A$53,Доп.расчеты!$A167,'Как есть'!DX$45:DX$53)</f>
        <v>0</v>
      </c>
      <c r="DX167">
        <f>SUMIF('Как есть'!$A$45:$A$53,Доп.расчеты!$A167,'Как есть'!DY$45:DY$53)</f>
        <v>0</v>
      </c>
      <c r="DY167">
        <f>SUMIF('Как есть'!$A$45:$A$53,Доп.расчеты!$A167,'Как есть'!DZ$45:DZ$53)</f>
        <v>0</v>
      </c>
      <c r="DZ167">
        <f>SUMIF('Как есть'!$A$45:$A$53,Доп.расчеты!$A167,'Как есть'!EA$45:EA$53)</f>
        <v>0</v>
      </c>
      <c r="EA167">
        <f>SUMIF('Как есть'!$A$45:$A$53,Доп.расчеты!$A167,'Как есть'!EB$45:EB$53)</f>
        <v>0</v>
      </c>
      <c r="EB167">
        <f>SUMIF('Как есть'!$A$45:$A$53,Доп.расчеты!$A167,'Как есть'!EC$45:EC$53)</f>
        <v>0</v>
      </c>
      <c r="EC167">
        <f>SUMIF('Как есть'!$A$45:$A$53,Доп.расчеты!$A167,'Как есть'!ED$45:ED$53)</f>
        <v>0</v>
      </c>
      <c r="ED167">
        <f>SUMIF('Как есть'!$A$45:$A$53,Доп.расчеты!$A167,'Как есть'!EE$45:EE$53)</f>
        <v>0</v>
      </c>
      <c r="EE167">
        <f>SUMIF('Как есть'!$A$45:$A$53,Доп.расчеты!$A167,'Как есть'!EF$45:EF$53)</f>
        <v>0</v>
      </c>
      <c r="EF167">
        <f>SUMIF('Как есть'!$A$45:$A$53,Доп.расчеты!$A167,'Как есть'!EG$45:EG$53)</f>
        <v>0</v>
      </c>
      <c r="EG167">
        <f>SUMIF('Как есть'!$A$45:$A$53,Доп.расчеты!$A167,'Как есть'!EH$45:EH$53)</f>
        <v>0</v>
      </c>
      <c r="EH167">
        <f>SUMIF('Как есть'!$A$45:$A$53,Доп.расчеты!$A167,'Как есть'!EI$45:EI$53)</f>
        <v>0</v>
      </c>
      <c r="EI167">
        <f>SUMIF('Как есть'!$A$45:$A$53,Доп.расчеты!$A167,'Как есть'!EJ$45:EJ$53)</f>
        <v>0</v>
      </c>
      <c r="EJ167">
        <f>SUMIF('Как есть'!$A$45:$A$53,Доп.расчеты!$A167,'Как есть'!EK$45:EK$53)</f>
        <v>0</v>
      </c>
      <c r="EK167">
        <f>SUMIF('Как есть'!$A$45:$A$53,Доп.расчеты!$A167,'Как есть'!EL$45:EL$53)</f>
        <v>0</v>
      </c>
      <c r="EL167">
        <f>SUMIF('Как есть'!$A$45:$A$53,Доп.расчеты!$A167,'Как есть'!EM$45:EM$53)</f>
        <v>0</v>
      </c>
      <c r="EM167">
        <f>SUMIF('Как есть'!$A$45:$A$53,Доп.расчеты!$A167,'Как есть'!EN$45:EN$53)</f>
        <v>0</v>
      </c>
      <c r="EN167">
        <f>SUMIF('Как есть'!$A$45:$A$53,Доп.расчеты!$A167,'Как есть'!EO$45:EO$53)</f>
        <v>0</v>
      </c>
      <c r="EO167">
        <f>SUMIF('Как есть'!$A$45:$A$53,Доп.расчеты!$A167,'Как есть'!EP$45:EP$53)</f>
        <v>0</v>
      </c>
      <c r="EP167">
        <f>SUMIF('Как есть'!$A$45:$A$53,Доп.расчеты!$A167,'Как есть'!EQ$45:EQ$53)</f>
        <v>0</v>
      </c>
      <c r="EQ167">
        <f>SUMIF('Как есть'!$A$45:$A$53,Доп.расчеты!$A167,'Как есть'!ER$45:ER$53)</f>
        <v>0</v>
      </c>
      <c r="ER167">
        <f>SUMIF('Как есть'!$A$45:$A$53,Доп.расчеты!$A167,'Как есть'!ES$45:ES$53)</f>
        <v>0</v>
      </c>
      <c r="ES167">
        <f>SUMIF('Как есть'!$A$45:$A$53,Доп.расчеты!$A167,'Как есть'!ET$45:ET$53)</f>
        <v>0</v>
      </c>
      <c r="ET167">
        <f>SUMIF('Как есть'!$A$45:$A$53,Доп.расчеты!$A167,'Как есть'!EU$45:EU$53)</f>
        <v>0</v>
      </c>
      <c r="EU167">
        <f>SUMIF('Как есть'!$A$45:$A$53,Доп.расчеты!$A167,'Как есть'!EV$45:EV$53)</f>
        <v>0</v>
      </c>
      <c r="EV167">
        <f>SUMIF('Как есть'!$A$45:$A$53,Доп.расчеты!$A167,'Как есть'!EW$45:EW$53)</f>
        <v>0</v>
      </c>
      <c r="EW167">
        <f>SUMIF('Как есть'!$A$45:$A$53,Доп.расчеты!$A167,'Как есть'!EX$45:EX$53)</f>
        <v>0</v>
      </c>
      <c r="EX167">
        <f>SUMIF('Как есть'!$A$45:$A$53,Доп.расчеты!$A167,'Как есть'!EY$45:EY$53)</f>
        <v>0</v>
      </c>
      <c r="EY167">
        <f>SUMIF('Как есть'!$A$45:$A$53,Доп.расчеты!$A167,'Как есть'!EZ$45:EZ$53)</f>
        <v>0</v>
      </c>
      <c r="EZ167">
        <f>SUMIF('Как есть'!$A$45:$A$53,Доп.расчеты!$A167,'Как есть'!FA$45:FA$53)</f>
        <v>0</v>
      </c>
      <c r="FA167">
        <f>SUMIF('Как есть'!$A$45:$A$53,Доп.расчеты!$A167,'Как есть'!FB$45:FB$53)</f>
        <v>0</v>
      </c>
      <c r="FB167">
        <f>SUMIF('Как есть'!$A$45:$A$53,Доп.расчеты!$A167,'Как есть'!FC$45:FC$53)</f>
        <v>0</v>
      </c>
      <c r="FC167">
        <f>SUMIF('Как есть'!$A$45:$A$53,Доп.расчеты!$A167,'Как есть'!FD$45:FD$53)</f>
        <v>0</v>
      </c>
      <c r="FD167">
        <f>SUMIF('Как есть'!$A$45:$A$53,Доп.расчеты!$A167,'Как есть'!FE$45:FE$53)</f>
        <v>0</v>
      </c>
      <c r="FE167">
        <f>SUMIF('Как есть'!$A$45:$A$53,Доп.расчеты!$A167,'Как есть'!FF$45:FF$53)</f>
        <v>0</v>
      </c>
      <c r="FF167">
        <f>SUMIF('Как есть'!$A$45:$A$53,Доп.расчеты!$A167,'Как есть'!FG$45:FG$53)</f>
        <v>0</v>
      </c>
      <c r="FG167">
        <f>SUMIF('Как есть'!$A$45:$A$53,Доп.расчеты!$A167,'Как есть'!FH$45:FH$53)</f>
        <v>0</v>
      </c>
      <c r="FH167">
        <f>SUMIF('Как есть'!$A$45:$A$53,Доп.расчеты!$A167,'Как есть'!FI$45:FI$53)</f>
        <v>0</v>
      </c>
      <c r="FI167">
        <f>SUMIF('Как есть'!$A$45:$A$53,Доп.расчеты!$A167,'Как есть'!FJ$45:FJ$53)</f>
        <v>0</v>
      </c>
      <c r="FJ167">
        <f>SUMIF('Как есть'!$A$45:$A$53,Доп.расчеты!$A167,'Как есть'!FK$45:FK$53)</f>
        <v>0</v>
      </c>
      <c r="FK167">
        <f>SUMIF('Как есть'!$A$45:$A$53,Доп.расчеты!$A167,'Как есть'!FL$45:FL$53)</f>
        <v>0</v>
      </c>
      <c r="FL167">
        <f>SUMIF('Как есть'!$A$45:$A$53,Доп.расчеты!$A167,'Как есть'!FM$45:FM$53)</f>
        <v>0</v>
      </c>
      <c r="FM167">
        <f>SUMIF('Как есть'!$A$45:$A$53,Доп.расчеты!$A167,'Как есть'!FN$45:FN$53)</f>
        <v>0</v>
      </c>
      <c r="FN167">
        <f>SUMIF('Как есть'!$A$45:$A$53,Доп.расчеты!$A167,'Как есть'!FO$45:FO$53)</f>
        <v>0</v>
      </c>
      <c r="FO167">
        <f>SUMIF('Как есть'!$A$45:$A$53,Доп.расчеты!$A167,'Как есть'!FP$45:FP$53)</f>
        <v>0</v>
      </c>
      <c r="FP167">
        <f>SUMIF('Как есть'!$A$45:$A$53,Доп.расчеты!$A167,'Как есть'!FQ$45:FQ$53)</f>
        <v>0</v>
      </c>
      <c r="FQ167">
        <f>SUMIF('Как есть'!$A$45:$A$53,Доп.расчеты!$A167,'Как есть'!FR$45:FR$53)</f>
        <v>0</v>
      </c>
      <c r="FR167">
        <f>SUMIF('Как есть'!$A$45:$A$53,Доп.расчеты!$A167,'Как есть'!FS$45:FS$53)</f>
        <v>0</v>
      </c>
      <c r="FS167">
        <f>SUMIF('Как есть'!$A$45:$A$53,Доп.расчеты!$A167,'Как есть'!FT$45:FT$53)</f>
        <v>0</v>
      </c>
      <c r="FT167">
        <f>SUMIF('Как есть'!$A$45:$A$53,Доп.расчеты!$A167,'Как есть'!FU$45:FU$53)</f>
        <v>0</v>
      </c>
      <c r="FU167">
        <f>SUMIF('Как есть'!$A$45:$A$53,Доп.расчеты!$A167,'Как есть'!FV$45:FV$53)</f>
        <v>0</v>
      </c>
      <c r="FV167">
        <f>SUMIF('Как есть'!$A$45:$A$53,Доп.расчеты!$A167,'Как есть'!FW$45:FW$53)</f>
        <v>0</v>
      </c>
      <c r="FW167">
        <f>SUMIF('Как есть'!$A$45:$A$53,Доп.расчеты!$A167,'Как есть'!FX$45:FX$53)</f>
        <v>0</v>
      </c>
      <c r="FX167">
        <f>SUMIF('Как есть'!$A$45:$A$53,Доп.расчеты!$A167,'Как есть'!FY$45:FY$53)</f>
        <v>0</v>
      </c>
      <c r="FY167">
        <f>SUMIF('Как есть'!$A$45:$A$53,Доп.расчеты!$A167,'Как есть'!FZ$45:FZ$53)</f>
        <v>0</v>
      </c>
      <c r="FZ167">
        <f>SUMIF('Как есть'!$A$45:$A$53,Доп.расчеты!$A167,'Как есть'!GA$45:GA$53)</f>
        <v>0</v>
      </c>
      <c r="GA167">
        <f>SUMIF('Как есть'!$A$45:$A$53,Доп.расчеты!$A167,'Как есть'!GB$45:GB$53)</f>
        <v>0</v>
      </c>
      <c r="GB167">
        <f>SUMIF('Как есть'!$A$45:$A$53,Доп.расчеты!$A167,'Как есть'!GC$45:GC$53)</f>
        <v>0</v>
      </c>
      <c r="GC167">
        <f>SUMIF('Как есть'!$A$45:$A$53,Доп.расчеты!$A167,'Как есть'!GD$45:GD$53)</f>
        <v>0</v>
      </c>
      <c r="GD167">
        <f>SUMIF('Как есть'!$A$45:$A$53,Доп.расчеты!$A167,'Как есть'!GE$45:GE$53)</f>
        <v>0</v>
      </c>
      <c r="GE167">
        <f>SUMIF('Как есть'!$A$45:$A$53,Доп.расчеты!$A167,'Как есть'!GF$45:GF$53)</f>
        <v>0</v>
      </c>
      <c r="GF167">
        <f>SUMIF('Как есть'!$A$45:$A$53,Доп.расчеты!$A167,'Как есть'!GG$45:GG$53)</f>
        <v>0</v>
      </c>
      <c r="GG167">
        <f>SUMIF('Как есть'!$A$45:$A$53,Доп.расчеты!$A167,'Как есть'!GH$45:GH$53)</f>
        <v>0</v>
      </c>
      <c r="GH167">
        <f>SUMIF('Как есть'!$A$45:$A$53,Доп.расчеты!$A167,'Как есть'!GI$45:GI$53)</f>
        <v>0</v>
      </c>
      <c r="GI167">
        <f>SUMIF('Как есть'!$A$45:$A$53,Доп.расчеты!$A167,'Как есть'!GJ$45:GJ$53)</f>
        <v>0</v>
      </c>
      <c r="GJ167">
        <f>SUMIF('Как есть'!$A$45:$A$53,Доп.расчеты!$A167,'Как есть'!GK$45:GK$53)</f>
        <v>0</v>
      </c>
      <c r="GK167">
        <f>SUMIF('Как есть'!$A$45:$A$53,Доп.расчеты!$A167,'Как есть'!GL$45:GL$53)</f>
        <v>0</v>
      </c>
      <c r="GL167">
        <f>SUMIF('Как есть'!$A$45:$A$53,Доп.расчеты!$A167,'Как есть'!GM$45:GM$53)</f>
        <v>0</v>
      </c>
      <c r="GM167">
        <f>SUMIF('Как есть'!$A$45:$A$53,Доп.расчеты!$A167,'Как есть'!GN$45:GN$53)</f>
        <v>0</v>
      </c>
      <c r="GN167">
        <f>SUMIF('Как есть'!$A$45:$A$53,Доп.расчеты!$A167,'Как есть'!GO$45:GO$53)</f>
        <v>0</v>
      </c>
      <c r="GO167">
        <f>SUMIF('Как есть'!$A$45:$A$53,Доп.расчеты!$A167,'Как есть'!GP$45:GP$53)</f>
        <v>0</v>
      </c>
      <c r="GP167">
        <f>SUMIF('Как есть'!$A$45:$A$53,Доп.расчеты!$A167,'Как есть'!GQ$45:GQ$53)</f>
        <v>0</v>
      </c>
      <c r="GQ167">
        <f>SUMIF('Как есть'!$A$45:$A$53,Доп.расчеты!$A167,'Как есть'!GR$45:GR$53)</f>
        <v>0</v>
      </c>
      <c r="GR167">
        <f>SUMIF('Как есть'!$A$45:$A$53,Доп.расчеты!$A167,'Как есть'!GS$45:GS$53)</f>
        <v>0</v>
      </c>
      <c r="GS167">
        <f>SUMIF('Как есть'!$A$45:$A$53,Доп.расчеты!$A167,'Как есть'!GT$45:GT$53)</f>
        <v>0</v>
      </c>
      <c r="GT167">
        <f>SUMIF('Как есть'!$A$45:$A$53,Доп.расчеты!$A167,'Как есть'!GU$45:GU$53)</f>
        <v>0</v>
      </c>
    </row>
    <row r="168" spans="1:202" hidden="1" outlineLevel="1">
      <c r="A168" s="238" t="s">
        <v>104</v>
      </c>
      <c r="B168">
        <f>SUMIF('Как есть'!$A$45:$A$53,Доп.расчеты!$A168,'Как есть'!C$45:C$53)</f>
        <v>0</v>
      </c>
      <c r="C168">
        <f>SUMIF('Как есть'!$A$45:$A$53,Доп.расчеты!$A168,'Как есть'!D$45:D$53)</f>
        <v>0</v>
      </c>
      <c r="D168">
        <f>SUMIF('Как есть'!$A$45:$A$53,Доп.расчеты!$A168,'Как есть'!E$45:E$53)</f>
        <v>0</v>
      </c>
      <c r="E168">
        <f>SUMIF('Как есть'!$A$45:$A$53,Доп.расчеты!$A168,'Как есть'!F$45:F$53)</f>
        <v>0</v>
      </c>
      <c r="F168">
        <f>SUMIF('Как есть'!$A$45:$A$53,Доп.расчеты!$A168,'Как есть'!G$45:G$53)</f>
        <v>0</v>
      </c>
      <c r="G168">
        <f>SUMIF('Как есть'!$A$45:$A$53,Доп.расчеты!$A168,'Как есть'!H$45:H$53)</f>
        <v>0</v>
      </c>
      <c r="H168">
        <f>SUMIF('Как есть'!$A$45:$A$53,Доп.расчеты!$A168,'Как есть'!I$45:I$53)</f>
        <v>0</v>
      </c>
      <c r="I168">
        <f>SUMIF('Как есть'!$A$45:$A$53,Доп.расчеты!$A168,'Как есть'!J$45:J$53)</f>
        <v>0</v>
      </c>
      <c r="J168">
        <f>SUMIF('Как есть'!$A$45:$A$53,Доп.расчеты!$A168,'Как есть'!K$45:K$53)</f>
        <v>0</v>
      </c>
      <c r="K168">
        <f>SUMIF('Как есть'!$A$45:$A$53,Доп.расчеты!$A168,'Как есть'!L$45:L$53)</f>
        <v>0</v>
      </c>
      <c r="L168">
        <f>SUMIF('Как есть'!$A$45:$A$53,Доп.расчеты!$A168,'Как есть'!M$45:M$53)</f>
        <v>0</v>
      </c>
      <c r="M168">
        <f>SUMIF('Как есть'!$A$45:$A$53,Доп.расчеты!$A168,'Как есть'!N$45:N$53)</f>
        <v>0</v>
      </c>
      <c r="N168">
        <f>SUMIF('Как есть'!$A$45:$A$53,Доп.расчеты!$A168,'Как есть'!O$45:O$53)</f>
        <v>0</v>
      </c>
      <c r="O168">
        <f>SUMIF('Как есть'!$A$45:$A$53,Доп.расчеты!$A168,'Как есть'!P$45:P$53)</f>
        <v>0</v>
      </c>
      <c r="P168">
        <f>SUMIF('Как есть'!$A$45:$A$53,Доп.расчеты!$A168,'Как есть'!Q$45:Q$53)</f>
        <v>0</v>
      </c>
      <c r="Q168">
        <f>SUMIF('Как есть'!$A$45:$A$53,Доп.расчеты!$A168,'Как есть'!R$45:R$53)</f>
        <v>0</v>
      </c>
      <c r="R168">
        <f>SUMIF('Как есть'!$A$45:$A$53,Доп.расчеты!$A168,'Как есть'!S$45:S$53)</f>
        <v>0</v>
      </c>
      <c r="S168">
        <f>SUMIF('Как есть'!$A$45:$A$53,Доп.расчеты!$A168,'Как есть'!T$45:T$53)</f>
        <v>0</v>
      </c>
      <c r="T168">
        <f>SUMIF('Как есть'!$A$45:$A$53,Доп.расчеты!$A168,'Как есть'!U$45:U$53)</f>
        <v>0</v>
      </c>
      <c r="U168">
        <f>SUMIF('Как есть'!$A$45:$A$53,Доп.расчеты!$A168,'Как есть'!V$45:V$53)</f>
        <v>0</v>
      </c>
      <c r="V168">
        <f>SUMIF('Как есть'!$A$45:$A$53,Доп.расчеты!$A168,'Как есть'!W$45:W$53)</f>
        <v>0</v>
      </c>
      <c r="W168">
        <f>SUMIF('Как есть'!$A$45:$A$53,Доп.расчеты!$A168,'Как есть'!X$45:X$53)</f>
        <v>0</v>
      </c>
      <c r="X168">
        <f>SUMIF('Как есть'!$A$45:$A$53,Доп.расчеты!$A168,'Как есть'!Y$45:Y$53)</f>
        <v>0</v>
      </c>
      <c r="Y168">
        <f>SUMIF('Как есть'!$A$45:$A$53,Доп.расчеты!$A168,'Как есть'!Z$45:Z$53)</f>
        <v>0</v>
      </c>
      <c r="Z168">
        <f>SUMIF('Как есть'!$A$45:$A$53,Доп.расчеты!$A168,'Как есть'!AA$45:AA$53)</f>
        <v>0</v>
      </c>
      <c r="AA168">
        <f>SUMIF('Как есть'!$A$45:$A$53,Доп.расчеты!$A168,'Как есть'!AB$45:AB$53)</f>
        <v>0</v>
      </c>
      <c r="AB168">
        <f>SUMIF('Как есть'!$A$45:$A$53,Доп.расчеты!$A168,'Как есть'!AC$45:AC$53)</f>
        <v>0</v>
      </c>
      <c r="AC168">
        <f>SUMIF('Как есть'!$A$45:$A$53,Доп.расчеты!$A168,'Как есть'!AD$45:AD$53)</f>
        <v>0</v>
      </c>
      <c r="AD168">
        <f>SUMIF('Как есть'!$A$45:$A$53,Доп.расчеты!$A168,'Как есть'!AE$45:AE$53)</f>
        <v>0</v>
      </c>
      <c r="AE168">
        <f>SUMIF('Как есть'!$A$45:$A$53,Доп.расчеты!$A168,'Как есть'!AF$45:AF$53)</f>
        <v>0</v>
      </c>
      <c r="AF168">
        <f>SUMIF('Как есть'!$A$45:$A$53,Доп.расчеты!$A168,'Как есть'!AG$45:AG$53)</f>
        <v>0</v>
      </c>
      <c r="AG168">
        <f>SUMIF('Как есть'!$A$45:$A$53,Доп.расчеты!$A168,'Как есть'!AH$45:AH$53)</f>
        <v>0</v>
      </c>
      <c r="AH168">
        <f>SUMIF('Как есть'!$A$45:$A$53,Доп.расчеты!$A168,'Как есть'!AI$45:AI$53)</f>
        <v>0</v>
      </c>
      <c r="AI168">
        <f>SUMIF('Как есть'!$A$45:$A$53,Доп.расчеты!$A168,'Как есть'!AJ$45:AJ$53)</f>
        <v>0</v>
      </c>
      <c r="AJ168">
        <f>SUMIF('Как есть'!$A$45:$A$53,Доп.расчеты!$A168,'Как есть'!AK$45:AK$53)</f>
        <v>0</v>
      </c>
      <c r="AK168">
        <f>SUMIF('Как есть'!$A$45:$A$53,Доп.расчеты!$A168,'Как есть'!AL$45:AL$53)</f>
        <v>0</v>
      </c>
      <c r="AL168">
        <f>SUMIF('Как есть'!$A$45:$A$53,Доп.расчеты!$A168,'Как есть'!AM$45:AM$53)</f>
        <v>0</v>
      </c>
      <c r="AM168">
        <f>SUMIF('Как есть'!$A$45:$A$53,Доп.расчеты!$A168,'Как есть'!AN$45:AN$53)</f>
        <v>0</v>
      </c>
      <c r="AN168">
        <f>SUMIF('Как есть'!$A$45:$A$53,Доп.расчеты!$A168,'Как есть'!AO$45:AO$53)</f>
        <v>0</v>
      </c>
      <c r="AO168">
        <f>SUMIF('Как есть'!$A$45:$A$53,Доп.расчеты!$A168,'Как есть'!AP$45:AP$53)</f>
        <v>0</v>
      </c>
      <c r="AP168">
        <f>SUMIF('Как есть'!$A$45:$A$53,Доп.расчеты!$A168,'Как есть'!AQ$45:AQ$53)</f>
        <v>0</v>
      </c>
      <c r="AQ168">
        <f>SUMIF('Как есть'!$A$45:$A$53,Доп.расчеты!$A168,'Как есть'!AR$45:AR$53)</f>
        <v>0</v>
      </c>
      <c r="AR168">
        <f>SUMIF('Как есть'!$A$45:$A$53,Доп.расчеты!$A168,'Как есть'!AS$45:AS$53)</f>
        <v>0</v>
      </c>
      <c r="AS168">
        <f>SUMIF('Как есть'!$A$45:$A$53,Доп.расчеты!$A168,'Как есть'!AT$45:AT$53)</f>
        <v>0</v>
      </c>
      <c r="AT168">
        <f>SUMIF('Как есть'!$A$45:$A$53,Доп.расчеты!$A168,'Как есть'!AU$45:AU$53)</f>
        <v>0</v>
      </c>
      <c r="AU168">
        <f>SUMIF('Как есть'!$A$45:$A$53,Доп.расчеты!$A168,'Как есть'!AV$45:AV$53)</f>
        <v>0</v>
      </c>
      <c r="AV168">
        <f>SUMIF('Как есть'!$A$45:$A$53,Доп.расчеты!$A168,'Как есть'!AW$45:AW$53)</f>
        <v>0</v>
      </c>
      <c r="AW168">
        <f>SUMIF('Как есть'!$A$45:$A$53,Доп.расчеты!$A168,'Как есть'!AX$45:AX$53)</f>
        <v>0</v>
      </c>
      <c r="AX168">
        <f>SUMIF('Как есть'!$A$45:$A$53,Доп.расчеты!$A168,'Как есть'!AY$45:AY$53)</f>
        <v>0</v>
      </c>
      <c r="AY168">
        <f>SUMIF('Как есть'!$A$45:$A$53,Доп.расчеты!$A168,'Как есть'!AZ$45:AZ$53)</f>
        <v>0</v>
      </c>
      <c r="AZ168">
        <f>SUMIF('Как есть'!$A$45:$A$53,Доп.расчеты!$A168,'Как есть'!BA$45:BA$53)</f>
        <v>0</v>
      </c>
      <c r="BA168">
        <f>SUMIF('Как есть'!$A$45:$A$53,Доп.расчеты!$A168,'Как есть'!BB$45:BB$53)</f>
        <v>0</v>
      </c>
      <c r="BB168">
        <f>SUMIF('Как есть'!$A$45:$A$53,Доп.расчеты!$A168,'Как есть'!BC$45:BC$53)</f>
        <v>0</v>
      </c>
      <c r="BC168">
        <f>SUMIF('Как есть'!$A$45:$A$53,Доп.расчеты!$A168,'Как есть'!BD$45:BD$53)</f>
        <v>0</v>
      </c>
      <c r="BD168">
        <f>SUMIF('Как есть'!$A$45:$A$53,Доп.расчеты!$A168,'Как есть'!BE$45:BE$53)</f>
        <v>0</v>
      </c>
      <c r="BE168">
        <f>SUMIF('Как есть'!$A$45:$A$53,Доп.расчеты!$A168,'Как есть'!BF$45:BF$53)</f>
        <v>0</v>
      </c>
      <c r="BF168">
        <f>SUMIF('Как есть'!$A$45:$A$53,Доп.расчеты!$A168,'Как есть'!BG$45:BG$53)</f>
        <v>0</v>
      </c>
      <c r="BG168">
        <f>SUMIF('Как есть'!$A$45:$A$53,Доп.расчеты!$A168,'Как есть'!BH$45:BH$53)</f>
        <v>0</v>
      </c>
      <c r="BH168">
        <f>SUMIF('Как есть'!$A$45:$A$53,Доп.расчеты!$A168,'Как есть'!BI$45:BI$53)</f>
        <v>0</v>
      </c>
      <c r="BI168">
        <f>SUMIF('Как есть'!$A$45:$A$53,Доп.расчеты!$A168,'Как есть'!BJ$45:BJ$53)</f>
        <v>0</v>
      </c>
      <c r="BJ168">
        <f>SUMIF('Как есть'!$A$45:$A$53,Доп.расчеты!$A168,'Как есть'!BK$45:BK$53)</f>
        <v>0</v>
      </c>
      <c r="BK168">
        <f>SUMIF('Как есть'!$A$45:$A$53,Доп.расчеты!$A168,'Как есть'!BL$45:BL$53)</f>
        <v>0</v>
      </c>
      <c r="BL168">
        <f>SUMIF('Как есть'!$A$45:$A$53,Доп.расчеты!$A168,'Как есть'!BM$45:BM$53)</f>
        <v>0</v>
      </c>
      <c r="BM168">
        <f>SUMIF('Как есть'!$A$45:$A$53,Доп.расчеты!$A168,'Как есть'!BN$45:BN$53)</f>
        <v>0</v>
      </c>
      <c r="BN168">
        <f>SUMIF('Как есть'!$A$45:$A$53,Доп.расчеты!$A168,'Как есть'!BO$45:BO$53)</f>
        <v>0</v>
      </c>
      <c r="BO168">
        <f>SUMIF('Как есть'!$A$45:$A$53,Доп.расчеты!$A168,'Как есть'!BP$45:BP$53)</f>
        <v>0</v>
      </c>
      <c r="BP168">
        <f>SUMIF('Как есть'!$A$45:$A$53,Доп.расчеты!$A168,'Как есть'!BQ$45:BQ$53)</f>
        <v>0</v>
      </c>
      <c r="BQ168">
        <f>SUMIF('Как есть'!$A$45:$A$53,Доп.расчеты!$A168,'Как есть'!BR$45:BR$53)</f>
        <v>0</v>
      </c>
      <c r="BR168">
        <f>SUMIF('Как есть'!$A$45:$A$53,Доп.расчеты!$A168,'Как есть'!BS$45:BS$53)</f>
        <v>0</v>
      </c>
      <c r="BS168">
        <f>SUMIF('Как есть'!$A$45:$A$53,Доп.расчеты!$A168,'Как есть'!BT$45:BT$53)</f>
        <v>0</v>
      </c>
      <c r="BT168">
        <f>SUMIF('Как есть'!$A$45:$A$53,Доп.расчеты!$A168,'Как есть'!BU$45:BU$53)</f>
        <v>0</v>
      </c>
      <c r="BU168">
        <f>SUMIF('Как есть'!$A$45:$A$53,Доп.расчеты!$A168,'Как есть'!BV$45:BV$53)</f>
        <v>0</v>
      </c>
      <c r="BV168">
        <f>SUMIF('Как есть'!$A$45:$A$53,Доп.расчеты!$A168,'Как есть'!BW$45:BW$53)</f>
        <v>0</v>
      </c>
      <c r="BW168">
        <f>SUMIF('Как есть'!$A$45:$A$53,Доп.расчеты!$A168,'Как есть'!BX$45:BX$53)</f>
        <v>0</v>
      </c>
      <c r="BX168">
        <f>SUMIF('Как есть'!$A$45:$A$53,Доп.расчеты!$A168,'Как есть'!BY$45:BY$53)</f>
        <v>0</v>
      </c>
      <c r="BY168">
        <f>SUMIF('Как есть'!$A$45:$A$53,Доп.расчеты!$A168,'Как есть'!BZ$45:BZ$53)</f>
        <v>0</v>
      </c>
      <c r="BZ168">
        <f>SUMIF('Как есть'!$A$45:$A$53,Доп.расчеты!$A168,'Как есть'!CA$45:CA$53)</f>
        <v>0</v>
      </c>
      <c r="CA168">
        <f>SUMIF('Как есть'!$A$45:$A$53,Доп.расчеты!$A168,'Как есть'!CB$45:CB$53)</f>
        <v>0</v>
      </c>
      <c r="CB168">
        <f>SUMIF('Как есть'!$A$45:$A$53,Доп.расчеты!$A168,'Как есть'!CC$45:CC$53)</f>
        <v>0</v>
      </c>
      <c r="CC168">
        <f>SUMIF('Как есть'!$A$45:$A$53,Доп.расчеты!$A168,'Как есть'!CD$45:CD$53)</f>
        <v>0</v>
      </c>
      <c r="CD168">
        <f>SUMIF('Как есть'!$A$45:$A$53,Доп.расчеты!$A168,'Как есть'!CE$45:CE$53)</f>
        <v>0</v>
      </c>
      <c r="CE168">
        <f>SUMIF('Как есть'!$A$45:$A$53,Доп.расчеты!$A168,'Как есть'!CF$45:CF$53)</f>
        <v>0</v>
      </c>
      <c r="CF168">
        <f>SUMIF('Как есть'!$A$45:$A$53,Доп.расчеты!$A168,'Как есть'!CG$45:CG$53)</f>
        <v>0</v>
      </c>
      <c r="CG168">
        <f>SUMIF('Как есть'!$A$45:$A$53,Доп.расчеты!$A168,'Как есть'!CH$45:CH$53)</f>
        <v>0</v>
      </c>
      <c r="CH168">
        <f>SUMIF('Как есть'!$A$45:$A$53,Доп.расчеты!$A168,'Как есть'!CI$45:CI$53)</f>
        <v>0</v>
      </c>
      <c r="CI168">
        <f>SUMIF('Как есть'!$A$45:$A$53,Доп.расчеты!$A168,'Как есть'!CJ$45:CJ$53)</f>
        <v>0</v>
      </c>
      <c r="CJ168">
        <f>SUMIF('Как есть'!$A$45:$A$53,Доп.расчеты!$A168,'Как есть'!CK$45:CK$53)</f>
        <v>0</v>
      </c>
      <c r="CK168">
        <f>SUMIF('Как есть'!$A$45:$A$53,Доп.расчеты!$A168,'Как есть'!CL$45:CL$53)</f>
        <v>0</v>
      </c>
      <c r="CL168">
        <f>SUMIF('Как есть'!$A$45:$A$53,Доп.расчеты!$A168,'Как есть'!CM$45:CM$53)</f>
        <v>0</v>
      </c>
      <c r="CM168">
        <f>SUMIF('Как есть'!$A$45:$A$53,Доп.расчеты!$A168,'Как есть'!CN$45:CN$53)</f>
        <v>0</v>
      </c>
      <c r="CN168">
        <f>SUMIF('Как есть'!$A$45:$A$53,Доп.расчеты!$A168,'Как есть'!CO$45:CO$53)</f>
        <v>0</v>
      </c>
      <c r="CO168">
        <f>SUMIF('Как есть'!$A$45:$A$53,Доп.расчеты!$A168,'Как есть'!CP$45:CP$53)</f>
        <v>0</v>
      </c>
      <c r="CP168">
        <f>SUMIF('Как есть'!$A$45:$A$53,Доп.расчеты!$A168,'Как есть'!CQ$45:CQ$53)</f>
        <v>0</v>
      </c>
      <c r="CQ168">
        <f>SUMIF('Как есть'!$A$45:$A$53,Доп.расчеты!$A168,'Как есть'!CR$45:CR$53)</f>
        <v>0</v>
      </c>
      <c r="CR168">
        <f>SUMIF('Как есть'!$A$45:$A$53,Доп.расчеты!$A168,'Как есть'!CS$45:CS$53)</f>
        <v>0</v>
      </c>
      <c r="CS168">
        <f>SUMIF('Как есть'!$A$45:$A$53,Доп.расчеты!$A168,'Как есть'!CT$45:CT$53)</f>
        <v>0</v>
      </c>
      <c r="CT168">
        <f>SUMIF('Как есть'!$A$45:$A$53,Доп.расчеты!$A168,'Как есть'!CU$45:CU$53)</f>
        <v>0</v>
      </c>
      <c r="CU168">
        <f>SUMIF('Как есть'!$A$45:$A$53,Доп.расчеты!$A168,'Как есть'!CV$45:CV$53)</f>
        <v>0</v>
      </c>
      <c r="CV168">
        <f>SUMIF('Как есть'!$A$45:$A$53,Доп.расчеты!$A168,'Как есть'!CW$45:CW$53)</f>
        <v>0</v>
      </c>
      <c r="CW168">
        <f>SUMIF('Как есть'!$A$45:$A$53,Доп.расчеты!$A168,'Как есть'!CX$45:CX$53)</f>
        <v>0</v>
      </c>
      <c r="CX168">
        <f>SUMIF('Как есть'!$A$45:$A$53,Доп.расчеты!$A168,'Как есть'!CY$45:CY$53)</f>
        <v>0</v>
      </c>
      <c r="CY168">
        <f>SUMIF('Как есть'!$A$45:$A$53,Доп.расчеты!$A168,'Как есть'!CZ$45:CZ$53)</f>
        <v>0</v>
      </c>
      <c r="CZ168">
        <f>SUMIF('Как есть'!$A$45:$A$53,Доп.расчеты!$A168,'Как есть'!DA$45:DA$53)</f>
        <v>0</v>
      </c>
      <c r="DA168">
        <f>SUMIF('Как есть'!$A$45:$A$53,Доп.расчеты!$A168,'Как есть'!DB$45:DB$53)</f>
        <v>0</v>
      </c>
      <c r="DB168">
        <f>SUMIF('Как есть'!$A$45:$A$53,Доп.расчеты!$A168,'Как есть'!DC$45:DC$53)</f>
        <v>0</v>
      </c>
      <c r="DC168">
        <f>SUMIF('Как есть'!$A$45:$A$53,Доп.расчеты!$A168,'Как есть'!DD$45:DD$53)</f>
        <v>0</v>
      </c>
      <c r="DD168">
        <f>SUMIF('Как есть'!$A$45:$A$53,Доп.расчеты!$A168,'Как есть'!DE$45:DE$53)</f>
        <v>0</v>
      </c>
      <c r="DE168">
        <f>SUMIF('Как есть'!$A$45:$A$53,Доп.расчеты!$A168,'Как есть'!DF$45:DF$53)</f>
        <v>0</v>
      </c>
      <c r="DF168">
        <f>SUMIF('Как есть'!$A$45:$A$53,Доп.расчеты!$A168,'Как есть'!DG$45:DG$53)</f>
        <v>0</v>
      </c>
      <c r="DG168">
        <f>SUMIF('Как есть'!$A$45:$A$53,Доп.расчеты!$A168,'Как есть'!DH$45:DH$53)</f>
        <v>0</v>
      </c>
      <c r="DH168">
        <f>SUMIF('Как есть'!$A$45:$A$53,Доп.расчеты!$A168,'Как есть'!DI$45:DI$53)</f>
        <v>0</v>
      </c>
      <c r="DI168">
        <f>SUMIF('Как есть'!$A$45:$A$53,Доп.расчеты!$A168,'Как есть'!DJ$45:DJ$53)</f>
        <v>0</v>
      </c>
      <c r="DJ168">
        <f>SUMIF('Как есть'!$A$45:$A$53,Доп.расчеты!$A168,'Как есть'!DK$45:DK$53)</f>
        <v>0</v>
      </c>
      <c r="DK168">
        <f>SUMIF('Как есть'!$A$45:$A$53,Доп.расчеты!$A168,'Как есть'!DL$45:DL$53)</f>
        <v>0</v>
      </c>
      <c r="DL168">
        <f>SUMIF('Как есть'!$A$45:$A$53,Доп.расчеты!$A168,'Как есть'!DM$45:DM$53)</f>
        <v>0</v>
      </c>
      <c r="DM168">
        <f>SUMIF('Как есть'!$A$45:$A$53,Доп.расчеты!$A168,'Как есть'!DN$45:DN$53)</f>
        <v>0</v>
      </c>
      <c r="DN168">
        <f>SUMIF('Как есть'!$A$45:$A$53,Доп.расчеты!$A168,'Как есть'!DO$45:DO$53)</f>
        <v>0</v>
      </c>
      <c r="DO168">
        <f>SUMIF('Как есть'!$A$45:$A$53,Доп.расчеты!$A168,'Как есть'!DP$45:DP$53)</f>
        <v>0</v>
      </c>
      <c r="DP168">
        <f>SUMIF('Как есть'!$A$45:$A$53,Доп.расчеты!$A168,'Как есть'!DQ$45:DQ$53)</f>
        <v>0</v>
      </c>
      <c r="DQ168">
        <f>SUMIF('Как есть'!$A$45:$A$53,Доп.расчеты!$A168,'Как есть'!DR$45:DR$53)</f>
        <v>0</v>
      </c>
      <c r="DR168">
        <f>SUMIF('Как есть'!$A$45:$A$53,Доп.расчеты!$A168,'Как есть'!DS$45:DS$53)</f>
        <v>0</v>
      </c>
      <c r="DS168">
        <f>SUMIF('Как есть'!$A$45:$A$53,Доп.расчеты!$A168,'Как есть'!DT$45:DT$53)</f>
        <v>0</v>
      </c>
      <c r="DT168">
        <f>SUMIF('Как есть'!$A$45:$A$53,Доп.расчеты!$A168,'Как есть'!DU$45:DU$53)</f>
        <v>0</v>
      </c>
      <c r="DU168">
        <f>SUMIF('Как есть'!$A$45:$A$53,Доп.расчеты!$A168,'Как есть'!DV$45:DV$53)</f>
        <v>0</v>
      </c>
      <c r="DV168">
        <f>SUMIF('Как есть'!$A$45:$A$53,Доп.расчеты!$A168,'Как есть'!DW$45:DW$53)</f>
        <v>0</v>
      </c>
      <c r="DW168">
        <f>SUMIF('Как есть'!$A$45:$A$53,Доп.расчеты!$A168,'Как есть'!DX$45:DX$53)</f>
        <v>0</v>
      </c>
      <c r="DX168">
        <f>SUMIF('Как есть'!$A$45:$A$53,Доп.расчеты!$A168,'Как есть'!DY$45:DY$53)</f>
        <v>0</v>
      </c>
      <c r="DY168">
        <f>SUMIF('Как есть'!$A$45:$A$53,Доп.расчеты!$A168,'Как есть'!DZ$45:DZ$53)</f>
        <v>0</v>
      </c>
      <c r="DZ168">
        <f>SUMIF('Как есть'!$A$45:$A$53,Доп.расчеты!$A168,'Как есть'!EA$45:EA$53)</f>
        <v>0</v>
      </c>
      <c r="EA168">
        <f>SUMIF('Как есть'!$A$45:$A$53,Доп.расчеты!$A168,'Как есть'!EB$45:EB$53)</f>
        <v>0</v>
      </c>
      <c r="EB168">
        <f>SUMIF('Как есть'!$A$45:$A$53,Доп.расчеты!$A168,'Как есть'!EC$45:EC$53)</f>
        <v>0</v>
      </c>
      <c r="EC168">
        <f>SUMIF('Как есть'!$A$45:$A$53,Доп.расчеты!$A168,'Как есть'!ED$45:ED$53)</f>
        <v>0</v>
      </c>
      <c r="ED168">
        <f>SUMIF('Как есть'!$A$45:$A$53,Доп.расчеты!$A168,'Как есть'!EE$45:EE$53)</f>
        <v>0</v>
      </c>
      <c r="EE168">
        <f>SUMIF('Как есть'!$A$45:$A$53,Доп.расчеты!$A168,'Как есть'!EF$45:EF$53)</f>
        <v>0</v>
      </c>
      <c r="EF168">
        <f>SUMIF('Как есть'!$A$45:$A$53,Доп.расчеты!$A168,'Как есть'!EG$45:EG$53)</f>
        <v>0</v>
      </c>
      <c r="EG168">
        <f>SUMIF('Как есть'!$A$45:$A$53,Доп.расчеты!$A168,'Как есть'!EH$45:EH$53)</f>
        <v>0</v>
      </c>
      <c r="EH168">
        <f>SUMIF('Как есть'!$A$45:$A$53,Доп.расчеты!$A168,'Как есть'!EI$45:EI$53)</f>
        <v>0</v>
      </c>
      <c r="EI168">
        <f>SUMIF('Как есть'!$A$45:$A$53,Доп.расчеты!$A168,'Как есть'!EJ$45:EJ$53)</f>
        <v>0</v>
      </c>
      <c r="EJ168">
        <f>SUMIF('Как есть'!$A$45:$A$53,Доп.расчеты!$A168,'Как есть'!EK$45:EK$53)</f>
        <v>0</v>
      </c>
      <c r="EK168">
        <f>SUMIF('Как есть'!$A$45:$A$53,Доп.расчеты!$A168,'Как есть'!EL$45:EL$53)</f>
        <v>0</v>
      </c>
      <c r="EL168">
        <f>SUMIF('Как есть'!$A$45:$A$53,Доп.расчеты!$A168,'Как есть'!EM$45:EM$53)</f>
        <v>0</v>
      </c>
      <c r="EM168">
        <f>SUMIF('Как есть'!$A$45:$A$53,Доп.расчеты!$A168,'Как есть'!EN$45:EN$53)</f>
        <v>0</v>
      </c>
      <c r="EN168">
        <f>SUMIF('Как есть'!$A$45:$A$53,Доп.расчеты!$A168,'Как есть'!EO$45:EO$53)</f>
        <v>0</v>
      </c>
      <c r="EO168">
        <f>SUMIF('Как есть'!$A$45:$A$53,Доп.расчеты!$A168,'Как есть'!EP$45:EP$53)</f>
        <v>0</v>
      </c>
      <c r="EP168">
        <f>SUMIF('Как есть'!$A$45:$A$53,Доп.расчеты!$A168,'Как есть'!EQ$45:EQ$53)</f>
        <v>0</v>
      </c>
      <c r="EQ168">
        <f>SUMIF('Как есть'!$A$45:$A$53,Доп.расчеты!$A168,'Как есть'!ER$45:ER$53)</f>
        <v>0</v>
      </c>
      <c r="ER168">
        <f>SUMIF('Как есть'!$A$45:$A$53,Доп.расчеты!$A168,'Как есть'!ES$45:ES$53)</f>
        <v>0</v>
      </c>
      <c r="ES168">
        <f>SUMIF('Как есть'!$A$45:$A$53,Доп.расчеты!$A168,'Как есть'!ET$45:ET$53)</f>
        <v>0</v>
      </c>
      <c r="ET168">
        <f>SUMIF('Как есть'!$A$45:$A$53,Доп.расчеты!$A168,'Как есть'!EU$45:EU$53)</f>
        <v>0</v>
      </c>
      <c r="EU168">
        <f>SUMIF('Как есть'!$A$45:$A$53,Доп.расчеты!$A168,'Как есть'!EV$45:EV$53)</f>
        <v>0</v>
      </c>
      <c r="EV168">
        <f>SUMIF('Как есть'!$A$45:$A$53,Доп.расчеты!$A168,'Как есть'!EW$45:EW$53)</f>
        <v>0</v>
      </c>
      <c r="EW168">
        <f>SUMIF('Как есть'!$A$45:$A$53,Доп.расчеты!$A168,'Как есть'!EX$45:EX$53)</f>
        <v>0</v>
      </c>
      <c r="EX168">
        <f>SUMIF('Как есть'!$A$45:$A$53,Доп.расчеты!$A168,'Как есть'!EY$45:EY$53)</f>
        <v>0</v>
      </c>
      <c r="EY168">
        <f>SUMIF('Как есть'!$A$45:$A$53,Доп.расчеты!$A168,'Как есть'!EZ$45:EZ$53)</f>
        <v>0</v>
      </c>
      <c r="EZ168">
        <f>SUMIF('Как есть'!$A$45:$A$53,Доп.расчеты!$A168,'Как есть'!FA$45:FA$53)</f>
        <v>0</v>
      </c>
      <c r="FA168">
        <f>SUMIF('Как есть'!$A$45:$A$53,Доп.расчеты!$A168,'Как есть'!FB$45:FB$53)</f>
        <v>0</v>
      </c>
      <c r="FB168">
        <f>SUMIF('Как есть'!$A$45:$A$53,Доп.расчеты!$A168,'Как есть'!FC$45:FC$53)</f>
        <v>0</v>
      </c>
      <c r="FC168">
        <f>SUMIF('Как есть'!$A$45:$A$53,Доп.расчеты!$A168,'Как есть'!FD$45:FD$53)</f>
        <v>0</v>
      </c>
      <c r="FD168">
        <f>SUMIF('Как есть'!$A$45:$A$53,Доп.расчеты!$A168,'Как есть'!FE$45:FE$53)</f>
        <v>0</v>
      </c>
      <c r="FE168">
        <f>SUMIF('Как есть'!$A$45:$A$53,Доп.расчеты!$A168,'Как есть'!FF$45:FF$53)</f>
        <v>0</v>
      </c>
      <c r="FF168">
        <f>SUMIF('Как есть'!$A$45:$A$53,Доп.расчеты!$A168,'Как есть'!FG$45:FG$53)</f>
        <v>0</v>
      </c>
      <c r="FG168">
        <f>SUMIF('Как есть'!$A$45:$A$53,Доп.расчеты!$A168,'Как есть'!FH$45:FH$53)</f>
        <v>0</v>
      </c>
      <c r="FH168">
        <f>SUMIF('Как есть'!$A$45:$A$53,Доп.расчеты!$A168,'Как есть'!FI$45:FI$53)</f>
        <v>0</v>
      </c>
      <c r="FI168">
        <f>SUMIF('Как есть'!$A$45:$A$53,Доп.расчеты!$A168,'Как есть'!FJ$45:FJ$53)</f>
        <v>0</v>
      </c>
      <c r="FJ168">
        <f>SUMIF('Как есть'!$A$45:$A$53,Доп.расчеты!$A168,'Как есть'!FK$45:FK$53)</f>
        <v>0</v>
      </c>
      <c r="FK168">
        <f>SUMIF('Как есть'!$A$45:$A$53,Доп.расчеты!$A168,'Как есть'!FL$45:FL$53)</f>
        <v>0</v>
      </c>
      <c r="FL168">
        <f>SUMIF('Как есть'!$A$45:$A$53,Доп.расчеты!$A168,'Как есть'!FM$45:FM$53)</f>
        <v>0</v>
      </c>
      <c r="FM168">
        <f>SUMIF('Как есть'!$A$45:$A$53,Доп.расчеты!$A168,'Как есть'!FN$45:FN$53)</f>
        <v>0</v>
      </c>
      <c r="FN168">
        <f>SUMIF('Как есть'!$A$45:$A$53,Доп.расчеты!$A168,'Как есть'!FO$45:FO$53)</f>
        <v>0</v>
      </c>
      <c r="FO168">
        <f>SUMIF('Как есть'!$A$45:$A$53,Доп.расчеты!$A168,'Как есть'!FP$45:FP$53)</f>
        <v>0</v>
      </c>
      <c r="FP168">
        <f>SUMIF('Как есть'!$A$45:$A$53,Доп.расчеты!$A168,'Как есть'!FQ$45:FQ$53)</f>
        <v>0</v>
      </c>
      <c r="FQ168">
        <f>SUMIF('Как есть'!$A$45:$A$53,Доп.расчеты!$A168,'Как есть'!FR$45:FR$53)</f>
        <v>0</v>
      </c>
      <c r="FR168">
        <f>SUMIF('Как есть'!$A$45:$A$53,Доп.расчеты!$A168,'Как есть'!FS$45:FS$53)</f>
        <v>0</v>
      </c>
      <c r="FS168">
        <f>SUMIF('Как есть'!$A$45:$A$53,Доп.расчеты!$A168,'Как есть'!FT$45:FT$53)</f>
        <v>0</v>
      </c>
      <c r="FT168">
        <f>SUMIF('Как есть'!$A$45:$A$53,Доп.расчеты!$A168,'Как есть'!FU$45:FU$53)</f>
        <v>0</v>
      </c>
      <c r="FU168">
        <f>SUMIF('Как есть'!$A$45:$A$53,Доп.расчеты!$A168,'Как есть'!FV$45:FV$53)</f>
        <v>0</v>
      </c>
      <c r="FV168">
        <f>SUMIF('Как есть'!$A$45:$A$53,Доп.расчеты!$A168,'Как есть'!FW$45:FW$53)</f>
        <v>0</v>
      </c>
      <c r="FW168">
        <f>SUMIF('Как есть'!$A$45:$A$53,Доп.расчеты!$A168,'Как есть'!FX$45:FX$53)</f>
        <v>0</v>
      </c>
      <c r="FX168">
        <f>SUMIF('Как есть'!$A$45:$A$53,Доп.расчеты!$A168,'Как есть'!FY$45:FY$53)</f>
        <v>0</v>
      </c>
      <c r="FY168">
        <f>SUMIF('Как есть'!$A$45:$A$53,Доп.расчеты!$A168,'Как есть'!FZ$45:FZ$53)</f>
        <v>0</v>
      </c>
      <c r="FZ168">
        <f>SUMIF('Как есть'!$A$45:$A$53,Доп.расчеты!$A168,'Как есть'!GA$45:GA$53)</f>
        <v>0</v>
      </c>
      <c r="GA168">
        <f>SUMIF('Как есть'!$A$45:$A$53,Доп.расчеты!$A168,'Как есть'!GB$45:GB$53)</f>
        <v>0</v>
      </c>
      <c r="GB168">
        <f>SUMIF('Как есть'!$A$45:$A$53,Доп.расчеты!$A168,'Как есть'!GC$45:GC$53)</f>
        <v>0</v>
      </c>
      <c r="GC168">
        <f>SUMIF('Как есть'!$A$45:$A$53,Доп.расчеты!$A168,'Как есть'!GD$45:GD$53)</f>
        <v>0</v>
      </c>
      <c r="GD168">
        <f>SUMIF('Как есть'!$A$45:$A$53,Доп.расчеты!$A168,'Как есть'!GE$45:GE$53)</f>
        <v>0</v>
      </c>
      <c r="GE168">
        <f>SUMIF('Как есть'!$A$45:$A$53,Доп.расчеты!$A168,'Как есть'!GF$45:GF$53)</f>
        <v>0</v>
      </c>
      <c r="GF168">
        <f>SUMIF('Как есть'!$A$45:$A$53,Доп.расчеты!$A168,'Как есть'!GG$45:GG$53)</f>
        <v>0</v>
      </c>
      <c r="GG168">
        <f>SUMIF('Как есть'!$A$45:$A$53,Доп.расчеты!$A168,'Как есть'!GH$45:GH$53)</f>
        <v>0</v>
      </c>
      <c r="GH168">
        <f>SUMIF('Как есть'!$A$45:$A$53,Доп.расчеты!$A168,'Как есть'!GI$45:GI$53)</f>
        <v>0</v>
      </c>
      <c r="GI168">
        <f>SUMIF('Как есть'!$A$45:$A$53,Доп.расчеты!$A168,'Как есть'!GJ$45:GJ$53)</f>
        <v>0</v>
      </c>
      <c r="GJ168">
        <f>SUMIF('Как есть'!$A$45:$A$53,Доп.расчеты!$A168,'Как есть'!GK$45:GK$53)</f>
        <v>0</v>
      </c>
      <c r="GK168">
        <f>SUMIF('Как есть'!$A$45:$A$53,Доп.расчеты!$A168,'Как есть'!GL$45:GL$53)</f>
        <v>0</v>
      </c>
      <c r="GL168">
        <f>SUMIF('Как есть'!$A$45:$A$53,Доп.расчеты!$A168,'Как есть'!GM$45:GM$53)</f>
        <v>0</v>
      </c>
      <c r="GM168">
        <f>SUMIF('Как есть'!$A$45:$A$53,Доп.расчеты!$A168,'Как есть'!GN$45:GN$53)</f>
        <v>0</v>
      </c>
      <c r="GN168">
        <f>SUMIF('Как есть'!$A$45:$A$53,Доп.расчеты!$A168,'Как есть'!GO$45:GO$53)</f>
        <v>0</v>
      </c>
      <c r="GO168">
        <f>SUMIF('Как есть'!$A$45:$A$53,Доп.расчеты!$A168,'Как есть'!GP$45:GP$53)</f>
        <v>0</v>
      </c>
      <c r="GP168">
        <f>SUMIF('Как есть'!$A$45:$A$53,Доп.расчеты!$A168,'Как есть'!GQ$45:GQ$53)</f>
        <v>0</v>
      </c>
      <c r="GQ168">
        <f>SUMIF('Как есть'!$A$45:$A$53,Доп.расчеты!$A168,'Как есть'!GR$45:GR$53)</f>
        <v>0</v>
      </c>
      <c r="GR168">
        <f>SUMIF('Как есть'!$A$45:$A$53,Доп.расчеты!$A168,'Как есть'!GS$45:GS$53)</f>
        <v>0</v>
      </c>
      <c r="GS168">
        <f>SUMIF('Как есть'!$A$45:$A$53,Доп.расчеты!$A168,'Как есть'!GT$45:GT$53)</f>
        <v>0</v>
      </c>
      <c r="GT168">
        <f>SUMIF('Как есть'!$A$45:$A$53,Доп.расчеты!$A168,'Как есть'!GU$45:GU$53)</f>
        <v>0</v>
      </c>
    </row>
    <row r="169" spans="1:202" hidden="1" outlineLevel="1">
      <c r="A169" s="238" t="s">
        <v>105</v>
      </c>
      <c r="B169">
        <f>SUMIF('Как есть'!$A$45:$A$53,Доп.расчеты!$A169,'Как есть'!C$45:C$53)</f>
        <v>0</v>
      </c>
      <c r="C169">
        <f>SUMIF('Как есть'!$A$45:$A$53,Доп.расчеты!$A169,'Как есть'!D$45:D$53)</f>
        <v>0</v>
      </c>
      <c r="D169">
        <f>SUMIF('Как есть'!$A$45:$A$53,Доп.расчеты!$A169,'Как есть'!E$45:E$53)</f>
        <v>0</v>
      </c>
      <c r="E169">
        <f>SUMIF('Как есть'!$A$45:$A$53,Доп.расчеты!$A169,'Как есть'!F$45:F$53)</f>
        <v>0</v>
      </c>
      <c r="F169">
        <f>SUMIF('Как есть'!$A$45:$A$53,Доп.расчеты!$A169,'Как есть'!G$45:G$53)</f>
        <v>0</v>
      </c>
      <c r="G169">
        <f>SUMIF('Как есть'!$A$45:$A$53,Доп.расчеты!$A169,'Как есть'!H$45:H$53)</f>
        <v>0</v>
      </c>
      <c r="H169">
        <f>SUMIF('Как есть'!$A$45:$A$53,Доп.расчеты!$A169,'Как есть'!I$45:I$53)</f>
        <v>0</v>
      </c>
      <c r="I169">
        <f>SUMIF('Как есть'!$A$45:$A$53,Доп.расчеты!$A169,'Как есть'!J$45:J$53)</f>
        <v>0</v>
      </c>
      <c r="J169">
        <f>SUMIF('Как есть'!$A$45:$A$53,Доп.расчеты!$A169,'Как есть'!K$45:K$53)</f>
        <v>0</v>
      </c>
      <c r="K169">
        <f>SUMIF('Как есть'!$A$45:$A$53,Доп.расчеты!$A169,'Как есть'!L$45:L$53)</f>
        <v>0</v>
      </c>
      <c r="L169">
        <f>SUMIF('Как есть'!$A$45:$A$53,Доп.расчеты!$A169,'Как есть'!M$45:M$53)</f>
        <v>0</v>
      </c>
      <c r="M169">
        <f>SUMIF('Как есть'!$A$45:$A$53,Доп.расчеты!$A169,'Как есть'!N$45:N$53)</f>
        <v>0</v>
      </c>
      <c r="N169">
        <f>SUMIF('Как есть'!$A$45:$A$53,Доп.расчеты!$A169,'Как есть'!O$45:O$53)</f>
        <v>0</v>
      </c>
      <c r="O169">
        <f>SUMIF('Как есть'!$A$45:$A$53,Доп.расчеты!$A169,'Как есть'!P$45:P$53)</f>
        <v>0</v>
      </c>
      <c r="P169">
        <f>SUMIF('Как есть'!$A$45:$A$53,Доп.расчеты!$A169,'Как есть'!Q$45:Q$53)</f>
        <v>0</v>
      </c>
      <c r="Q169">
        <f>SUMIF('Как есть'!$A$45:$A$53,Доп.расчеты!$A169,'Как есть'!R$45:R$53)</f>
        <v>0</v>
      </c>
      <c r="R169">
        <f>SUMIF('Как есть'!$A$45:$A$53,Доп.расчеты!$A169,'Как есть'!S$45:S$53)</f>
        <v>0</v>
      </c>
      <c r="S169">
        <f>SUMIF('Как есть'!$A$45:$A$53,Доп.расчеты!$A169,'Как есть'!T$45:T$53)</f>
        <v>0</v>
      </c>
      <c r="T169">
        <f>SUMIF('Как есть'!$A$45:$A$53,Доп.расчеты!$A169,'Как есть'!U$45:U$53)</f>
        <v>0</v>
      </c>
      <c r="U169">
        <f>SUMIF('Как есть'!$A$45:$A$53,Доп.расчеты!$A169,'Как есть'!V$45:V$53)</f>
        <v>0</v>
      </c>
      <c r="V169">
        <f>SUMIF('Как есть'!$A$45:$A$53,Доп.расчеты!$A169,'Как есть'!W$45:W$53)</f>
        <v>0</v>
      </c>
      <c r="W169">
        <f>SUMIF('Как есть'!$A$45:$A$53,Доп.расчеты!$A169,'Как есть'!X$45:X$53)</f>
        <v>0</v>
      </c>
      <c r="X169">
        <f>SUMIF('Как есть'!$A$45:$A$53,Доп.расчеты!$A169,'Как есть'!Y$45:Y$53)</f>
        <v>0</v>
      </c>
      <c r="Y169">
        <f>SUMIF('Как есть'!$A$45:$A$53,Доп.расчеты!$A169,'Как есть'!Z$45:Z$53)</f>
        <v>0</v>
      </c>
      <c r="Z169">
        <f>SUMIF('Как есть'!$A$45:$A$53,Доп.расчеты!$A169,'Как есть'!AA$45:AA$53)</f>
        <v>0</v>
      </c>
      <c r="AA169">
        <f>SUMIF('Как есть'!$A$45:$A$53,Доп.расчеты!$A169,'Как есть'!AB$45:AB$53)</f>
        <v>0</v>
      </c>
      <c r="AB169">
        <f>SUMIF('Как есть'!$A$45:$A$53,Доп.расчеты!$A169,'Как есть'!AC$45:AC$53)</f>
        <v>0</v>
      </c>
      <c r="AC169">
        <f>SUMIF('Как есть'!$A$45:$A$53,Доп.расчеты!$A169,'Как есть'!AD$45:AD$53)</f>
        <v>0</v>
      </c>
      <c r="AD169">
        <f>SUMIF('Как есть'!$A$45:$A$53,Доп.расчеты!$A169,'Как есть'!AE$45:AE$53)</f>
        <v>0</v>
      </c>
      <c r="AE169">
        <f>SUMIF('Как есть'!$A$45:$A$53,Доп.расчеты!$A169,'Как есть'!AF$45:AF$53)</f>
        <v>0</v>
      </c>
      <c r="AF169">
        <f>SUMIF('Как есть'!$A$45:$A$53,Доп.расчеты!$A169,'Как есть'!AG$45:AG$53)</f>
        <v>0</v>
      </c>
      <c r="AG169">
        <f>SUMIF('Как есть'!$A$45:$A$53,Доп.расчеты!$A169,'Как есть'!AH$45:AH$53)</f>
        <v>0</v>
      </c>
      <c r="AH169">
        <f>SUMIF('Как есть'!$A$45:$A$53,Доп.расчеты!$A169,'Как есть'!AI$45:AI$53)</f>
        <v>0</v>
      </c>
      <c r="AI169">
        <f>SUMIF('Как есть'!$A$45:$A$53,Доп.расчеты!$A169,'Как есть'!AJ$45:AJ$53)</f>
        <v>0</v>
      </c>
      <c r="AJ169">
        <f>SUMIF('Как есть'!$A$45:$A$53,Доп.расчеты!$A169,'Как есть'!AK$45:AK$53)</f>
        <v>0</v>
      </c>
      <c r="AK169">
        <f>SUMIF('Как есть'!$A$45:$A$53,Доп.расчеты!$A169,'Как есть'!AL$45:AL$53)</f>
        <v>0</v>
      </c>
      <c r="AL169">
        <f>SUMIF('Как есть'!$A$45:$A$53,Доп.расчеты!$A169,'Как есть'!AM$45:AM$53)</f>
        <v>0</v>
      </c>
      <c r="AM169">
        <f>SUMIF('Как есть'!$A$45:$A$53,Доп.расчеты!$A169,'Как есть'!AN$45:AN$53)</f>
        <v>0</v>
      </c>
      <c r="AN169">
        <f>SUMIF('Как есть'!$A$45:$A$53,Доп.расчеты!$A169,'Как есть'!AO$45:AO$53)</f>
        <v>0</v>
      </c>
      <c r="AO169">
        <f>SUMIF('Как есть'!$A$45:$A$53,Доп.расчеты!$A169,'Как есть'!AP$45:AP$53)</f>
        <v>0</v>
      </c>
      <c r="AP169">
        <f>SUMIF('Как есть'!$A$45:$A$53,Доп.расчеты!$A169,'Как есть'!AQ$45:AQ$53)</f>
        <v>0</v>
      </c>
      <c r="AQ169">
        <f>SUMIF('Как есть'!$A$45:$A$53,Доп.расчеты!$A169,'Как есть'!AR$45:AR$53)</f>
        <v>0</v>
      </c>
      <c r="AR169">
        <f>SUMIF('Как есть'!$A$45:$A$53,Доп.расчеты!$A169,'Как есть'!AS$45:AS$53)</f>
        <v>0</v>
      </c>
      <c r="AS169">
        <f>SUMIF('Как есть'!$A$45:$A$53,Доп.расчеты!$A169,'Как есть'!AT$45:AT$53)</f>
        <v>0</v>
      </c>
      <c r="AT169">
        <f>SUMIF('Как есть'!$A$45:$A$53,Доп.расчеты!$A169,'Как есть'!AU$45:AU$53)</f>
        <v>0</v>
      </c>
      <c r="AU169">
        <f>SUMIF('Как есть'!$A$45:$A$53,Доп.расчеты!$A169,'Как есть'!AV$45:AV$53)</f>
        <v>0</v>
      </c>
      <c r="AV169">
        <f>SUMIF('Как есть'!$A$45:$A$53,Доп.расчеты!$A169,'Как есть'!AW$45:AW$53)</f>
        <v>0</v>
      </c>
      <c r="AW169">
        <f>SUMIF('Как есть'!$A$45:$A$53,Доп.расчеты!$A169,'Как есть'!AX$45:AX$53)</f>
        <v>0</v>
      </c>
      <c r="AX169">
        <f>SUMIF('Как есть'!$A$45:$A$53,Доп.расчеты!$A169,'Как есть'!AY$45:AY$53)</f>
        <v>0</v>
      </c>
      <c r="AY169">
        <f>SUMIF('Как есть'!$A$45:$A$53,Доп.расчеты!$A169,'Как есть'!AZ$45:AZ$53)</f>
        <v>0</v>
      </c>
      <c r="AZ169">
        <f>SUMIF('Как есть'!$A$45:$A$53,Доп.расчеты!$A169,'Как есть'!BA$45:BA$53)</f>
        <v>0</v>
      </c>
      <c r="BA169">
        <f>SUMIF('Как есть'!$A$45:$A$53,Доп.расчеты!$A169,'Как есть'!BB$45:BB$53)</f>
        <v>0</v>
      </c>
      <c r="BB169">
        <f>SUMIF('Как есть'!$A$45:$A$53,Доп.расчеты!$A169,'Как есть'!BC$45:BC$53)</f>
        <v>0</v>
      </c>
      <c r="BC169">
        <f>SUMIF('Как есть'!$A$45:$A$53,Доп.расчеты!$A169,'Как есть'!BD$45:BD$53)</f>
        <v>0</v>
      </c>
      <c r="BD169">
        <f>SUMIF('Как есть'!$A$45:$A$53,Доп.расчеты!$A169,'Как есть'!BE$45:BE$53)</f>
        <v>0</v>
      </c>
      <c r="BE169">
        <f>SUMIF('Как есть'!$A$45:$A$53,Доп.расчеты!$A169,'Как есть'!BF$45:BF$53)</f>
        <v>0</v>
      </c>
      <c r="BF169">
        <f>SUMIF('Как есть'!$A$45:$A$53,Доп.расчеты!$A169,'Как есть'!BG$45:BG$53)</f>
        <v>0</v>
      </c>
      <c r="BG169">
        <f>SUMIF('Как есть'!$A$45:$A$53,Доп.расчеты!$A169,'Как есть'!BH$45:BH$53)</f>
        <v>0</v>
      </c>
      <c r="BH169">
        <f>SUMIF('Как есть'!$A$45:$A$53,Доп.расчеты!$A169,'Как есть'!BI$45:BI$53)</f>
        <v>0</v>
      </c>
      <c r="BI169">
        <f>SUMIF('Как есть'!$A$45:$A$53,Доп.расчеты!$A169,'Как есть'!BJ$45:BJ$53)</f>
        <v>0</v>
      </c>
      <c r="BJ169">
        <f>SUMIF('Как есть'!$A$45:$A$53,Доп.расчеты!$A169,'Как есть'!BK$45:BK$53)</f>
        <v>0</v>
      </c>
      <c r="BK169">
        <f>SUMIF('Как есть'!$A$45:$A$53,Доп.расчеты!$A169,'Как есть'!BL$45:BL$53)</f>
        <v>0</v>
      </c>
      <c r="BL169">
        <f>SUMIF('Как есть'!$A$45:$A$53,Доп.расчеты!$A169,'Как есть'!BM$45:BM$53)</f>
        <v>0</v>
      </c>
      <c r="BM169">
        <f>SUMIF('Как есть'!$A$45:$A$53,Доп.расчеты!$A169,'Как есть'!BN$45:BN$53)</f>
        <v>0</v>
      </c>
      <c r="BN169">
        <f>SUMIF('Как есть'!$A$45:$A$53,Доп.расчеты!$A169,'Как есть'!BO$45:BO$53)</f>
        <v>0</v>
      </c>
      <c r="BO169">
        <f>SUMIF('Как есть'!$A$45:$A$53,Доп.расчеты!$A169,'Как есть'!BP$45:BP$53)</f>
        <v>0</v>
      </c>
      <c r="BP169">
        <f>SUMIF('Как есть'!$A$45:$A$53,Доп.расчеты!$A169,'Как есть'!BQ$45:BQ$53)</f>
        <v>0</v>
      </c>
      <c r="BQ169">
        <f>SUMIF('Как есть'!$A$45:$A$53,Доп.расчеты!$A169,'Как есть'!BR$45:BR$53)</f>
        <v>0</v>
      </c>
      <c r="BR169">
        <f>SUMIF('Как есть'!$A$45:$A$53,Доп.расчеты!$A169,'Как есть'!BS$45:BS$53)</f>
        <v>0</v>
      </c>
      <c r="BS169">
        <f>SUMIF('Как есть'!$A$45:$A$53,Доп.расчеты!$A169,'Как есть'!BT$45:BT$53)</f>
        <v>0</v>
      </c>
      <c r="BT169">
        <f>SUMIF('Как есть'!$A$45:$A$53,Доп.расчеты!$A169,'Как есть'!BU$45:BU$53)</f>
        <v>0</v>
      </c>
      <c r="BU169">
        <f>SUMIF('Как есть'!$A$45:$A$53,Доп.расчеты!$A169,'Как есть'!BV$45:BV$53)</f>
        <v>0</v>
      </c>
      <c r="BV169">
        <f>SUMIF('Как есть'!$A$45:$A$53,Доп.расчеты!$A169,'Как есть'!BW$45:BW$53)</f>
        <v>0</v>
      </c>
      <c r="BW169">
        <f>SUMIF('Как есть'!$A$45:$A$53,Доп.расчеты!$A169,'Как есть'!BX$45:BX$53)</f>
        <v>0</v>
      </c>
      <c r="BX169">
        <f>SUMIF('Как есть'!$A$45:$A$53,Доп.расчеты!$A169,'Как есть'!BY$45:BY$53)</f>
        <v>0</v>
      </c>
      <c r="BY169">
        <f>SUMIF('Как есть'!$A$45:$A$53,Доп.расчеты!$A169,'Как есть'!BZ$45:BZ$53)</f>
        <v>0</v>
      </c>
      <c r="BZ169">
        <f>SUMIF('Как есть'!$A$45:$A$53,Доп.расчеты!$A169,'Как есть'!CA$45:CA$53)</f>
        <v>0</v>
      </c>
      <c r="CA169">
        <f>SUMIF('Как есть'!$A$45:$A$53,Доп.расчеты!$A169,'Как есть'!CB$45:CB$53)</f>
        <v>0</v>
      </c>
      <c r="CB169">
        <f>SUMIF('Как есть'!$A$45:$A$53,Доп.расчеты!$A169,'Как есть'!CC$45:CC$53)</f>
        <v>0</v>
      </c>
      <c r="CC169">
        <f>SUMIF('Как есть'!$A$45:$A$53,Доп.расчеты!$A169,'Как есть'!CD$45:CD$53)</f>
        <v>0</v>
      </c>
      <c r="CD169">
        <f>SUMIF('Как есть'!$A$45:$A$53,Доп.расчеты!$A169,'Как есть'!CE$45:CE$53)</f>
        <v>0</v>
      </c>
      <c r="CE169">
        <f>SUMIF('Как есть'!$A$45:$A$53,Доп.расчеты!$A169,'Как есть'!CF$45:CF$53)</f>
        <v>0</v>
      </c>
      <c r="CF169">
        <f>SUMIF('Как есть'!$A$45:$A$53,Доп.расчеты!$A169,'Как есть'!CG$45:CG$53)</f>
        <v>0</v>
      </c>
      <c r="CG169">
        <f>SUMIF('Как есть'!$A$45:$A$53,Доп.расчеты!$A169,'Как есть'!CH$45:CH$53)</f>
        <v>0</v>
      </c>
      <c r="CH169">
        <f>SUMIF('Как есть'!$A$45:$A$53,Доп.расчеты!$A169,'Как есть'!CI$45:CI$53)</f>
        <v>0</v>
      </c>
      <c r="CI169">
        <f>SUMIF('Как есть'!$A$45:$A$53,Доп.расчеты!$A169,'Как есть'!CJ$45:CJ$53)</f>
        <v>0</v>
      </c>
      <c r="CJ169">
        <f>SUMIF('Как есть'!$A$45:$A$53,Доп.расчеты!$A169,'Как есть'!CK$45:CK$53)</f>
        <v>0</v>
      </c>
      <c r="CK169">
        <f>SUMIF('Как есть'!$A$45:$A$53,Доп.расчеты!$A169,'Как есть'!CL$45:CL$53)</f>
        <v>0</v>
      </c>
      <c r="CL169">
        <f>SUMIF('Как есть'!$A$45:$A$53,Доп.расчеты!$A169,'Как есть'!CM$45:CM$53)</f>
        <v>0</v>
      </c>
      <c r="CM169">
        <f>SUMIF('Как есть'!$A$45:$A$53,Доп.расчеты!$A169,'Как есть'!CN$45:CN$53)</f>
        <v>0</v>
      </c>
      <c r="CN169">
        <f>SUMIF('Как есть'!$A$45:$A$53,Доп.расчеты!$A169,'Как есть'!CO$45:CO$53)</f>
        <v>0</v>
      </c>
      <c r="CO169">
        <f>SUMIF('Как есть'!$A$45:$A$53,Доп.расчеты!$A169,'Как есть'!CP$45:CP$53)</f>
        <v>0</v>
      </c>
      <c r="CP169">
        <f>SUMIF('Как есть'!$A$45:$A$53,Доп.расчеты!$A169,'Как есть'!CQ$45:CQ$53)</f>
        <v>0</v>
      </c>
      <c r="CQ169">
        <f>SUMIF('Как есть'!$A$45:$A$53,Доп.расчеты!$A169,'Как есть'!CR$45:CR$53)</f>
        <v>0</v>
      </c>
      <c r="CR169">
        <f>SUMIF('Как есть'!$A$45:$A$53,Доп.расчеты!$A169,'Как есть'!CS$45:CS$53)</f>
        <v>0</v>
      </c>
      <c r="CS169">
        <f>SUMIF('Как есть'!$A$45:$A$53,Доп.расчеты!$A169,'Как есть'!CT$45:CT$53)</f>
        <v>0</v>
      </c>
      <c r="CT169">
        <f>SUMIF('Как есть'!$A$45:$A$53,Доп.расчеты!$A169,'Как есть'!CU$45:CU$53)</f>
        <v>0</v>
      </c>
      <c r="CU169">
        <f>SUMIF('Как есть'!$A$45:$A$53,Доп.расчеты!$A169,'Как есть'!CV$45:CV$53)</f>
        <v>0</v>
      </c>
      <c r="CV169">
        <f>SUMIF('Как есть'!$A$45:$A$53,Доп.расчеты!$A169,'Как есть'!CW$45:CW$53)</f>
        <v>0</v>
      </c>
      <c r="CW169">
        <f>SUMIF('Как есть'!$A$45:$A$53,Доп.расчеты!$A169,'Как есть'!CX$45:CX$53)</f>
        <v>0</v>
      </c>
      <c r="CX169">
        <f>SUMIF('Как есть'!$A$45:$A$53,Доп.расчеты!$A169,'Как есть'!CY$45:CY$53)</f>
        <v>0</v>
      </c>
      <c r="CY169">
        <f>SUMIF('Как есть'!$A$45:$A$53,Доп.расчеты!$A169,'Как есть'!CZ$45:CZ$53)</f>
        <v>0</v>
      </c>
      <c r="CZ169">
        <f>SUMIF('Как есть'!$A$45:$A$53,Доп.расчеты!$A169,'Как есть'!DA$45:DA$53)</f>
        <v>0</v>
      </c>
      <c r="DA169">
        <f>SUMIF('Как есть'!$A$45:$A$53,Доп.расчеты!$A169,'Как есть'!DB$45:DB$53)</f>
        <v>0</v>
      </c>
      <c r="DB169">
        <f>SUMIF('Как есть'!$A$45:$A$53,Доп.расчеты!$A169,'Как есть'!DC$45:DC$53)</f>
        <v>0</v>
      </c>
      <c r="DC169">
        <f>SUMIF('Как есть'!$A$45:$A$53,Доп.расчеты!$A169,'Как есть'!DD$45:DD$53)</f>
        <v>0</v>
      </c>
      <c r="DD169">
        <f>SUMIF('Как есть'!$A$45:$A$53,Доп.расчеты!$A169,'Как есть'!DE$45:DE$53)</f>
        <v>0</v>
      </c>
      <c r="DE169">
        <f>SUMIF('Как есть'!$A$45:$A$53,Доп.расчеты!$A169,'Как есть'!DF$45:DF$53)</f>
        <v>0</v>
      </c>
      <c r="DF169">
        <f>SUMIF('Как есть'!$A$45:$A$53,Доп.расчеты!$A169,'Как есть'!DG$45:DG$53)</f>
        <v>0</v>
      </c>
      <c r="DG169">
        <f>SUMIF('Как есть'!$A$45:$A$53,Доп.расчеты!$A169,'Как есть'!DH$45:DH$53)</f>
        <v>0</v>
      </c>
      <c r="DH169">
        <f>SUMIF('Как есть'!$A$45:$A$53,Доп.расчеты!$A169,'Как есть'!DI$45:DI$53)</f>
        <v>0</v>
      </c>
      <c r="DI169">
        <f>SUMIF('Как есть'!$A$45:$A$53,Доп.расчеты!$A169,'Как есть'!DJ$45:DJ$53)</f>
        <v>0</v>
      </c>
      <c r="DJ169">
        <f>SUMIF('Как есть'!$A$45:$A$53,Доп.расчеты!$A169,'Как есть'!DK$45:DK$53)</f>
        <v>0</v>
      </c>
      <c r="DK169">
        <f>SUMIF('Как есть'!$A$45:$A$53,Доп.расчеты!$A169,'Как есть'!DL$45:DL$53)</f>
        <v>0</v>
      </c>
      <c r="DL169">
        <f>SUMIF('Как есть'!$A$45:$A$53,Доп.расчеты!$A169,'Как есть'!DM$45:DM$53)</f>
        <v>0</v>
      </c>
      <c r="DM169">
        <f>SUMIF('Как есть'!$A$45:$A$53,Доп.расчеты!$A169,'Как есть'!DN$45:DN$53)</f>
        <v>0</v>
      </c>
      <c r="DN169">
        <f>SUMIF('Как есть'!$A$45:$A$53,Доп.расчеты!$A169,'Как есть'!DO$45:DO$53)</f>
        <v>0</v>
      </c>
      <c r="DO169">
        <f>SUMIF('Как есть'!$A$45:$A$53,Доп.расчеты!$A169,'Как есть'!DP$45:DP$53)</f>
        <v>0</v>
      </c>
      <c r="DP169">
        <f>SUMIF('Как есть'!$A$45:$A$53,Доп.расчеты!$A169,'Как есть'!DQ$45:DQ$53)</f>
        <v>0</v>
      </c>
      <c r="DQ169">
        <f>SUMIF('Как есть'!$A$45:$A$53,Доп.расчеты!$A169,'Как есть'!DR$45:DR$53)</f>
        <v>0</v>
      </c>
      <c r="DR169">
        <f>SUMIF('Как есть'!$A$45:$A$53,Доп.расчеты!$A169,'Как есть'!DS$45:DS$53)</f>
        <v>0</v>
      </c>
      <c r="DS169">
        <f>SUMIF('Как есть'!$A$45:$A$53,Доп.расчеты!$A169,'Как есть'!DT$45:DT$53)</f>
        <v>0</v>
      </c>
      <c r="DT169">
        <f>SUMIF('Как есть'!$A$45:$A$53,Доп.расчеты!$A169,'Как есть'!DU$45:DU$53)</f>
        <v>0</v>
      </c>
      <c r="DU169">
        <f>SUMIF('Как есть'!$A$45:$A$53,Доп.расчеты!$A169,'Как есть'!DV$45:DV$53)</f>
        <v>0</v>
      </c>
      <c r="DV169">
        <f>SUMIF('Как есть'!$A$45:$A$53,Доп.расчеты!$A169,'Как есть'!DW$45:DW$53)</f>
        <v>0</v>
      </c>
      <c r="DW169">
        <f>SUMIF('Как есть'!$A$45:$A$53,Доп.расчеты!$A169,'Как есть'!DX$45:DX$53)</f>
        <v>0</v>
      </c>
      <c r="DX169">
        <f>SUMIF('Как есть'!$A$45:$A$53,Доп.расчеты!$A169,'Как есть'!DY$45:DY$53)</f>
        <v>0</v>
      </c>
      <c r="DY169">
        <f>SUMIF('Как есть'!$A$45:$A$53,Доп.расчеты!$A169,'Как есть'!DZ$45:DZ$53)</f>
        <v>0</v>
      </c>
      <c r="DZ169">
        <f>SUMIF('Как есть'!$A$45:$A$53,Доп.расчеты!$A169,'Как есть'!EA$45:EA$53)</f>
        <v>0</v>
      </c>
      <c r="EA169">
        <f>SUMIF('Как есть'!$A$45:$A$53,Доп.расчеты!$A169,'Как есть'!EB$45:EB$53)</f>
        <v>0</v>
      </c>
      <c r="EB169">
        <f>SUMIF('Как есть'!$A$45:$A$53,Доп.расчеты!$A169,'Как есть'!EC$45:EC$53)</f>
        <v>0</v>
      </c>
      <c r="EC169">
        <f>SUMIF('Как есть'!$A$45:$A$53,Доп.расчеты!$A169,'Как есть'!ED$45:ED$53)</f>
        <v>0</v>
      </c>
      <c r="ED169">
        <f>SUMIF('Как есть'!$A$45:$A$53,Доп.расчеты!$A169,'Как есть'!EE$45:EE$53)</f>
        <v>0</v>
      </c>
      <c r="EE169">
        <f>SUMIF('Как есть'!$A$45:$A$53,Доп.расчеты!$A169,'Как есть'!EF$45:EF$53)</f>
        <v>0</v>
      </c>
      <c r="EF169">
        <f>SUMIF('Как есть'!$A$45:$A$53,Доп.расчеты!$A169,'Как есть'!EG$45:EG$53)</f>
        <v>0</v>
      </c>
      <c r="EG169">
        <f>SUMIF('Как есть'!$A$45:$A$53,Доп.расчеты!$A169,'Как есть'!EH$45:EH$53)</f>
        <v>0</v>
      </c>
      <c r="EH169">
        <f>SUMIF('Как есть'!$A$45:$A$53,Доп.расчеты!$A169,'Как есть'!EI$45:EI$53)</f>
        <v>0</v>
      </c>
      <c r="EI169">
        <f>SUMIF('Как есть'!$A$45:$A$53,Доп.расчеты!$A169,'Как есть'!EJ$45:EJ$53)</f>
        <v>0</v>
      </c>
      <c r="EJ169">
        <f>SUMIF('Как есть'!$A$45:$A$53,Доп.расчеты!$A169,'Как есть'!EK$45:EK$53)</f>
        <v>0</v>
      </c>
      <c r="EK169">
        <f>SUMIF('Как есть'!$A$45:$A$53,Доп.расчеты!$A169,'Как есть'!EL$45:EL$53)</f>
        <v>0</v>
      </c>
      <c r="EL169">
        <f>SUMIF('Как есть'!$A$45:$A$53,Доп.расчеты!$A169,'Как есть'!EM$45:EM$53)</f>
        <v>0</v>
      </c>
      <c r="EM169">
        <f>SUMIF('Как есть'!$A$45:$A$53,Доп.расчеты!$A169,'Как есть'!EN$45:EN$53)</f>
        <v>0</v>
      </c>
      <c r="EN169">
        <f>SUMIF('Как есть'!$A$45:$A$53,Доп.расчеты!$A169,'Как есть'!EO$45:EO$53)</f>
        <v>0</v>
      </c>
      <c r="EO169">
        <f>SUMIF('Как есть'!$A$45:$A$53,Доп.расчеты!$A169,'Как есть'!EP$45:EP$53)</f>
        <v>0</v>
      </c>
      <c r="EP169">
        <f>SUMIF('Как есть'!$A$45:$A$53,Доп.расчеты!$A169,'Как есть'!EQ$45:EQ$53)</f>
        <v>0</v>
      </c>
      <c r="EQ169">
        <f>SUMIF('Как есть'!$A$45:$A$53,Доп.расчеты!$A169,'Как есть'!ER$45:ER$53)</f>
        <v>0</v>
      </c>
      <c r="ER169">
        <f>SUMIF('Как есть'!$A$45:$A$53,Доп.расчеты!$A169,'Как есть'!ES$45:ES$53)</f>
        <v>0</v>
      </c>
      <c r="ES169">
        <f>SUMIF('Как есть'!$A$45:$A$53,Доп.расчеты!$A169,'Как есть'!ET$45:ET$53)</f>
        <v>0</v>
      </c>
      <c r="ET169">
        <f>SUMIF('Как есть'!$A$45:$A$53,Доп.расчеты!$A169,'Как есть'!EU$45:EU$53)</f>
        <v>0</v>
      </c>
      <c r="EU169">
        <f>SUMIF('Как есть'!$A$45:$A$53,Доп.расчеты!$A169,'Как есть'!EV$45:EV$53)</f>
        <v>0</v>
      </c>
      <c r="EV169">
        <f>SUMIF('Как есть'!$A$45:$A$53,Доп.расчеты!$A169,'Как есть'!EW$45:EW$53)</f>
        <v>0</v>
      </c>
      <c r="EW169">
        <f>SUMIF('Как есть'!$A$45:$A$53,Доп.расчеты!$A169,'Как есть'!EX$45:EX$53)</f>
        <v>0</v>
      </c>
      <c r="EX169">
        <f>SUMIF('Как есть'!$A$45:$A$53,Доп.расчеты!$A169,'Как есть'!EY$45:EY$53)</f>
        <v>0</v>
      </c>
      <c r="EY169">
        <f>SUMIF('Как есть'!$A$45:$A$53,Доп.расчеты!$A169,'Как есть'!EZ$45:EZ$53)</f>
        <v>0</v>
      </c>
      <c r="EZ169">
        <f>SUMIF('Как есть'!$A$45:$A$53,Доп.расчеты!$A169,'Как есть'!FA$45:FA$53)</f>
        <v>0</v>
      </c>
      <c r="FA169">
        <f>SUMIF('Как есть'!$A$45:$A$53,Доп.расчеты!$A169,'Как есть'!FB$45:FB$53)</f>
        <v>0</v>
      </c>
      <c r="FB169">
        <f>SUMIF('Как есть'!$A$45:$A$53,Доп.расчеты!$A169,'Как есть'!FC$45:FC$53)</f>
        <v>0</v>
      </c>
      <c r="FC169">
        <f>SUMIF('Как есть'!$A$45:$A$53,Доп.расчеты!$A169,'Как есть'!FD$45:FD$53)</f>
        <v>0</v>
      </c>
      <c r="FD169">
        <f>SUMIF('Как есть'!$A$45:$A$53,Доп.расчеты!$A169,'Как есть'!FE$45:FE$53)</f>
        <v>0</v>
      </c>
      <c r="FE169">
        <f>SUMIF('Как есть'!$A$45:$A$53,Доп.расчеты!$A169,'Как есть'!FF$45:FF$53)</f>
        <v>0</v>
      </c>
      <c r="FF169">
        <f>SUMIF('Как есть'!$A$45:$A$53,Доп.расчеты!$A169,'Как есть'!FG$45:FG$53)</f>
        <v>0</v>
      </c>
      <c r="FG169">
        <f>SUMIF('Как есть'!$A$45:$A$53,Доп.расчеты!$A169,'Как есть'!FH$45:FH$53)</f>
        <v>0</v>
      </c>
      <c r="FH169">
        <f>SUMIF('Как есть'!$A$45:$A$53,Доп.расчеты!$A169,'Как есть'!FI$45:FI$53)</f>
        <v>0</v>
      </c>
      <c r="FI169">
        <f>SUMIF('Как есть'!$A$45:$A$53,Доп.расчеты!$A169,'Как есть'!FJ$45:FJ$53)</f>
        <v>0</v>
      </c>
      <c r="FJ169">
        <f>SUMIF('Как есть'!$A$45:$A$53,Доп.расчеты!$A169,'Как есть'!FK$45:FK$53)</f>
        <v>0</v>
      </c>
      <c r="FK169">
        <f>SUMIF('Как есть'!$A$45:$A$53,Доп.расчеты!$A169,'Как есть'!FL$45:FL$53)</f>
        <v>0</v>
      </c>
      <c r="FL169">
        <f>SUMIF('Как есть'!$A$45:$A$53,Доп.расчеты!$A169,'Как есть'!FM$45:FM$53)</f>
        <v>0</v>
      </c>
      <c r="FM169">
        <f>SUMIF('Как есть'!$A$45:$A$53,Доп.расчеты!$A169,'Как есть'!FN$45:FN$53)</f>
        <v>0</v>
      </c>
      <c r="FN169">
        <f>SUMIF('Как есть'!$A$45:$A$53,Доп.расчеты!$A169,'Как есть'!FO$45:FO$53)</f>
        <v>0</v>
      </c>
      <c r="FO169">
        <f>SUMIF('Как есть'!$A$45:$A$53,Доп.расчеты!$A169,'Как есть'!FP$45:FP$53)</f>
        <v>0</v>
      </c>
      <c r="FP169">
        <f>SUMIF('Как есть'!$A$45:$A$53,Доп.расчеты!$A169,'Как есть'!FQ$45:FQ$53)</f>
        <v>0</v>
      </c>
      <c r="FQ169">
        <f>SUMIF('Как есть'!$A$45:$A$53,Доп.расчеты!$A169,'Как есть'!FR$45:FR$53)</f>
        <v>0</v>
      </c>
      <c r="FR169">
        <f>SUMIF('Как есть'!$A$45:$A$53,Доп.расчеты!$A169,'Как есть'!FS$45:FS$53)</f>
        <v>0</v>
      </c>
      <c r="FS169">
        <f>SUMIF('Как есть'!$A$45:$A$53,Доп.расчеты!$A169,'Как есть'!FT$45:FT$53)</f>
        <v>0</v>
      </c>
      <c r="FT169">
        <f>SUMIF('Как есть'!$A$45:$A$53,Доп.расчеты!$A169,'Как есть'!FU$45:FU$53)</f>
        <v>0</v>
      </c>
      <c r="FU169">
        <f>SUMIF('Как есть'!$A$45:$A$53,Доп.расчеты!$A169,'Как есть'!FV$45:FV$53)</f>
        <v>0</v>
      </c>
      <c r="FV169">
        <f>SUMIF('Как есть'!$A$45:$A$53,Доп.расчеты!$A169,'Как есть'!FW$45:FW$53)</f>
        <v>0</v>
      </c>
      <c r="FW169">
        <f>SUMIF('Как есть'!$A$45:$A$53,Доп.расчеты!$A169,'Как есть'!FX$45:FX$53)</f>
        <v>0</v>
      </c>
      <c r="FX169">
        <f>SUMIF('Как есть'!$A$45:$A$53,Доп.расчеты!$A169,'Как есть'!FY$45:FY$53)</f>
        <v>0</v>
      </c>
      <c r="FY169">
        <f>SUMIF('Как есть'!$A$45:$A$53,Доп.расчеты!$A169,'Как есть'!FZ$45:FZ$53)</f>
        <v>0</v>
      </c>
      <c r="FZ169">
        <f>SUMIF('Как есть'!$A$45:$A$53,Доп.расчеты!$A169,'Как есть'!GA$45:GA$53)</f>
        <v>0</v>
      </c>
      <c r="GA169">
        <f>SUMIF('Как есть'!$A$45:$A$53,Доп.расчеты!$A169,'Как есть'!GB$45:GB$53)</f>
        <v>0</v>
      </c>
      <c r="GB169">
        <f>SUMIF('Как есть'!$A$45:$A$53,Доп.расчеты!$A169,'Как есть'!GC$45:GC$53)</f>
        <v>0</v>
      </c>
      <c r="GC169">
        <f>SUMIF('Как есть'!$A$45:$A$53,Доп.расчеты!$A169,'Как есть'!GD$45:GD$53)</f>
        <v>0</v>
      </c>
      <c r="GD169">
        <f>SUMIF('Как есть'!$A$45:$A$53,Доп.расчеты!$A169,'Как есть'!GE$45:GE$53)</f>
        <v>0</v>
      </c>
      <c r="GE169">
        <f>SUMIF('Как есть'!$A$45:$A$53,Доп.расчеты!$A169,'Как есть'!GF$45:GF$53)</f>
        <v>0</v>
      </c>
      <c r="GF169">
        <f>SUMIF('Как есть'!$A$45:$A$53,Доп.расчеты!$A169,'Как есть'!GG$45:GG$53)</f>
        <v>0</v>
      </c>
      <c r="GG169">
        <f>SUMIF('Как есть'!$A$45:$A$53,Доп.расчеты!$A169,'Как есть'!GH$45:GH$53)</f>
        <v>0</v>
      </c>
      <c r="GH169">
        <f>SUMIF('Как есть'!$A$45:$A$53,Доп.расчеты!$A169,'Как есть'!GI$45:GI$53)</f>
        <v>0</v>
      </c>
      <c r="GI169">
        <f>SUMIF('Как есть'!$A$45:$A$53,Доп.расчеты!$A169,'Как есть'!GJ$45:GJ$53)</f>
        <v>0</v>
      </c>
      <c r="GJ169">
        <f>SUMIF('Как есть'!$A$45:$A$53,Доп.расчеты!$A169,'Как есть'!GK$45:GK$53)</f>
        <v>0</v>
      </c>
      <c r="GK169">
        <f>SUMIF('Как есть'!$A$45:$A$53,Доп.расчеты!$A169,'Как есть'!GL$45:GL$53)</f>
        <v>0</v>
      </c>
      <c r="GL169">
        <f>SUMIF('Как есть'!$A$45:$A$53,Доп.расчеты!$A169,'Как есть'!GM$45:GM$53)</f>
        <v>0</v>
      </c>
      <c r="GM169">
        <f>SUMIF('Как есть'!$A$45:$A$53,Доп.расчеты!$A169,'Как есть'!GN$45:GN$53)</f>
        <v>0</v>
      </c>
      <c r="GN169">
        <f>SUMIF('Как есть'!$A$45:$A$53,Доп.расчеты!$A169,'Как есть'!GO$45:GO$53)</f>
        <v>0</v>
      </c>
      <c r="GO169">
        <f>SUMIF('Как есть'!$A$45:$A$53,Доп.расчеты!$A169,'Как есть'!GP$45:GP$53)</f>
        <v>0</v>
      </c>
      <c r="GP169">
        <f>SUMIF('Как есть'!$A$45:$A$53,Доп.расчеты!$A169,'Как есть'!GQ$45:GQ$53)</f>
        <v>0</v>
      </c>
      <c r="GQ169">
        <f>SUMIF('Как есть'!$A$45:$A$53,Доп.расчеты!$A169,'Как есть'!GR$45:GR$53)</f>
        <v>0</v>
      </c>
      <c r="GR169">
        <f>SUMIF('Как есть'!$A$45:$A$53,Доп.расчеты!$A169,'Как есть'!GS$45:GS$53)</f>
        <v>0</v>
      </c>
      <c r="GS169">
        <f>SUMIF('Как есть'!$A$45:$A$53,Доп.расчеты!$A169,'Как есть'!GT$45:GT$53)</f>
        <v>0</v>
      </c>
      <c r="GT169">
        <f>SUMIF('Как есть'!$A$45:$A$53,Доп.расчеты!$A169,'Как есть'!GU$45:GU$53)</f>
        <v>0</v>
      </c>
    </row>
    <row r="170" spans="1:202" hidden="1" outlineLevel="1">
      <c r="A170" s="238" t="s">
        <v>106</v>
      </c>
      <c r="B170">
        <f>SUMIF('Как есть'!$A$45:$A$53,Доп.расчеты!$A170,'Как есть'!C$45:C$53)</f>
        <v>0</v>
      </c>
      <c r="C170">
        <f>SUMIF('Как есть'!$A$45:$A$53,Доп.расчеты!$A170,'Как есть'!D$45:D$53)</f>
        <v>0</v>
      </c>
      <c r="D170">
        <f>SUMIF('Как есть'!$A$45:$A$53,Доп.расчеты!$A170,'Как есть'!E$45:E$53)</f>
        <v>0</v>
      </c>
      <c r="E170">
        <f>SUMIF('Как есть'!$A$45:$A$53,Доп.расчеты!$A170,'Как есть'!F$45:F$53)</f>
        <v>0</v>
      </c>
      <c r="F170">
        <f>SUMIF('Как есть'!$A$45:$A$53,Доп.расчеты!$A170,'Как есть'!G$45:G$53)</f>
        <v>0</v>
      </c>
      <c r="G170">
        <f>SUMIF('Как есть'!$A$45:$A$53,Доп.расчеты!$A170,'Как есть'!H$45:H$53)</f>
        <v>0</v>
      </c>
      <c r="H170">
        <f>SUMIF('Как есть'!$A$45:$A$53,Доп.расчеты!$A170,'Как есть'!I$45:I$53)</f>
        <v>0</v>
      </c>
      <c r="I170">
        <f>SUMIF('Как есть'!$A$45:$A$53,Доп.расчеты!$A170,'Как есть'!J$45:J$53)</f>
        <v>0</v>
      </c>
      <c r="J170">
        <f>SUMIF('Как есть'!$A$45:$A$53,Доп.расчеты!$A170,'Как есть'!K$45:K$53)</f>
        <v>0</v>
      </c>
      <c r="K170">
        <f>SUMIF('Как есть'!$A$45:$A$53,Доп.расчеты!$A170,'Как есть'!L$45:L$53)</f>
        <v>0</v>
      </c>
      <c r="L170">
        <f>SUMIF('Как есть'!$A$45:$A$53,Доп.расчеты!$A170,'Как есть'!M$45:M$53)</f>
        <v>0</v>
      </c>
      <c r="M170">
        <f>SUMIF('Как есть'!$A$45:$A$53,Доп.расчеты!$A170,'Как есть'!N$45:N$53)</f>
        <v>0</v>
      </c>
      <c r="N170">
        <f>SUMIF('Как есть'!$A$45:$A$53,Доп.расчеты!$A170,'Как есть'!O$45:O$53)</f>
        <v>0</v>
      </c>
      <c r="O170">
        <f>SUMIF('Как есть'!$A$45:$A$53,Доп.расчеты!$A170,'Как есть'!P$45:P$53)</f>
        <v>0</v>
      </c>
      <c r="P170">
        <f>SUMIF('Как есть'!$A$45:$A$53,Доп.расчеты!$A170,'Как есть'!Q$45:Q$53)</f>
        <v>0</v>
      </c>
      <c r="Q170">
        <f>SUMIF('Как есть'!$A$45:$A$53,Доп.расчеты!$A170,'Как есть'!R$45:R$53)</f>
        <v>0</v>
      </c>
      <c r="R170">
        <f>SUMIF('Как есть'!$A$45:$A$53,Доп.расчеты!$A170,'Как есть'!S$45:S$53)</f>
        <v>0</v>
      </c>
      <c r="S170">
        <f>SUMIF('Как есть'!$A$45:$A$53,Доп.расчеты!$A170,'Как есть'!T$45:T$53)</f>
        <v>0</v>
      </c>
      <c r="T170">
        <f>SUMIF('Как есть'!$A$45:$A$53,Доп.расчеты!$A170,'Как есть'!U$45:U$53)</f>
        <v>0</v>
      </c>
      <c r="U170">
        <f>SUMIF('Как есть'!$A$45:$A$53,Доп.расчеты!$A170,'Как есть'!V$45:V$53)</f>
        <v>0</v>
      </c>
      <c r="V170">
        <f>SUMIF('Как есть'!$A$45:$A$53,Доп.расчеты!$A170,'Как есть'!W$45:W$53)</f>
        <v>0</v>
      </c>
      <c r="W170">
        <f>SUMIF('Как есть'!$A$45:$A$53,Доп.расчеты!$A170,'Как есть'!X$45:X$53)</f>
        <v>0</v>
      </c>
      <c r="X170">
        <f>SUMIF('Как есть'!$A$45:$A$53,Доп.расчеты!$A170,'Как есть'!Y$45:Y$53)</f>
        <v>0</v>
      </c>
      <c r="Y170">
        <f>SUMIF('Как есть'!$A$45:$A$53,Доп.расчеты!$A170,'Как есть'!Z$45:Z$53)</f>
        <v>0</v>
      </c>
      <c r="Z170">
        <f>SUMIF('Как есть'!$A$45:$A$53,Доп.расчеты!$A170,'Как есть'!AA$45:AA$53)</f>
        <v>0</v>
      </c>
      <c r="AA170">
        <f>SUMIF('Как есть'!$A$45:$A$53,Доп.расчеты!$A170,'Как есть'!AB$45:AB$53)</f>
        <v>0</v>
      </c>
      <c r="AB170">
        <f>SUMIF('Как есть'!$A$45:$A$53,Доп.расчеты!$A170,'Как есть'!AC$45:AC$53)</f>
        <v>0</v>
      </c>
      <c r="AC170">
        <f>SUMIF('Как есть'!$A$45:$A$53,Доп.расчеты!$A170,'Как есть'!AD$45:AD$53)</f>
        <v>0</v>
      </c>
      <c r="AD170">
        <f>SUMIF('Как есть'!$A$45:$A$53,Доп.расчеты!$A170,'Как есть'!AE$45:AE$53)</f>
        <v>0</v>
      </c>
      <c r="AE170">
        <f>SUMIF('Как есть'!$A$45:$A$53,Доп.расчеты!$A170,'Как есть'!AF$45:AF$53)</f>
        <v>0</v>
      </c>
      <c r="AF170">
        <f>SUMIF('Как есть'!$A$45:$A$53,Доп.расчеты!$A170,'Как есть'!AG$45:AG$53)</f>
        <v>0</v>
      </c>
      <c r="AG170">
        <f>SUMIF('Как есть'!$A$45:$A$53,Доп.расчеты!$A170,'Как есть'!AH$45:AH$53)</f>
        <v>0</v>
      </c>
      <c r="AH170">
        <f>SUMIF('Как есть'!$A$45:$A$53,Доп.расчеты!$A170,'Как есть'!AI$45:AI$53)</f>
        <v>0</v>
      </c>
      <c r="AI170">
        <f>SUMIF('Как есть'!$A$45:$A$53,Доп.расчеты!$A170,'Как есть'!AJ$45:AJ$53)</f>
        <v>0</v>
      </c>
      <c r="AJ170">
        <f>SUMIF('Как есть'!$A$45:$A$53,Доп.расчеты!$A170,'Как есть'!AK$45:AK$53)</f>
        <v>0</v>
      </c>
      <c r="AK170">
        <f>SUMIF('Как есть'!$A$45:$A$53,Доп.расчеты!$A170,'Как есть'!AL$45:AL$53)</f>
        <v>0</v>
      </c>
      <c r="AL170">
        <f>SUMIF('Как есть'!$A$45:$A$53,Доп.расчеты!$A170,'Как есть'!AM$45:AM$53)</f>
        <v>0</v>
      </c>
      <c r="AM170">
        <f>SUMIF('Как есть'!$A$45:$A$53,Доп.расчеты!$A170,'Как есть'!AN$45:AN$53)</f>
        <v>0</v>
      </c>
      <c r="AN170">
        <f>SUMIF('Как есть'!$A$45:$A$53,Доп.расчеты!$A170,'Как есть'!AO$45:AO$53)</f>
        <v>0</v>
      </c>
      <c r="AO170">
        <f>SUMIF('Как есть'!$A$45:$A$53,Доп.расчеты!$A170,'Как есть'!AP$45:AP$53)</f>
        <v>0</v>
      </c>
      <c r="AP170">
        <f>SUMIF('Как есть'!$A$45:$A$53,Доп.расчеты!$A170,'Как есть'!AQ$45:AQ$53)</f>
        <v>0</v>
      </c>
      <c r="AQ170">
        <f>SUMIF('Как есть'!$A$45:$A$53,Доп.расчеты!$A170,'Как есть'!AR$45:AR$53)</f>
        <v>0</v>
      </c>
      <c r="AR170">
        <f>SUMIF('Как есть'!$A$45:$A$53,Доп.расчеты!$A170,'Как есть'!AS$45:AS$53)</f>
        <v>0</v>
      </c>
      <c r="AS170">
        <f>SUMIF('Как есть'!$A$45:$A$53,Доп.расчеты!$A170,'Как есть'!AT$45:AT$53)</f>
        <v>0</v>
      </c>
      <c r="AT170">
        <f>SUMIF('Как есть'!$A$45:$A$53,Доп.расчеты!$A170,'Как есть'!AU$45:AU$53)</f>
        <v>0</v>
      </c>
      <c r="AU170">
        <f>SUMIF('Как есть'!$A$45:$A$53,Доп.расчеты!$A170,'Как есть'!AV$45:AV$53)</f>
        <v>0</v>
      </c>
      <c r="AV170">
        <f>SUMIF('Как есть'!$A$45:$A$53,Доп.расчеты!$A170,'Как есть'!AW$45:AW$53)</f>
        <v>0</v>
      </c>
      <c r="AW170">
        <f>SUMIF('Как есть'!$A$45:$A$53,Доп.расчеты!$A170,'Как есть'!AX$45:AX$53)</f>
        <v>0</v>
      </c>
      <c r="AX170">
        <f>SUMIF('Как есть'!$A$45:$A$53,Доп.расчеты!$A170,'Как есть'!AY$45:AY$53)</f>
        <v>0</v>
      </c>
      <c r="AY170">
        <f>SUMIF('Как есть'!$A$45:$A$53,Доп.расчеты!$A170,'Как есть'!AZ$45:AZ$53)</f>
        <v>0</v>
      </c>
      <c r="AZ170">
        <f>SUMIF('Как есть'!$A$45:$A$53,Доп.расчеты!$A170,'Как есть'!BA$45:BA$53)</f>
        <v>0</v>
      </c>
      <c r="BA170">
        <f>SUMIF('Как есть'!$A$45:$A$53,Доп.расчеты!$A170,'Как есть'!BB$45:BB$53)</f>
        <v>0</v>
      </c>
      <c r="BB170">
        <f>SUMIF('Как есть'!$A$45:$A$53,Доп.расчеты!$A170,'Как есть'!BC$45:BC$53)</f>
        <v>0</v>
      </c>
      <c r="BC170">
        <f>SUMIF('Как есть'!$A$45:$A$53,Доп.расчеты!$A170,'Как есть'!BD$45:BD$53)</f>
        <v>0</v>
      </c>
      <c r="BD170">
        <f>SUMIF('Как есть'!$A$45:$A$53,Доп.расчеты!$A170,'Как есть'!BE$45:BE$53)</f>
        <v>0</v>
      </c>
      <c r="BE170">
        <f>SUMIF('Как есть'!$A$45:$A$53,Доп.расчеты!$A170,'Как есть'!BF$45:BF$53)</f>
        <v>0</v>
      </c>
      <c r="BF170">
        <f>SUMIF('Как есть'!$A$45:$A$53,Доп.расчеты!$A170,'Как есть'!BG$45:BG$53)</f>
        <v>0</v>
      </c>
      <c r="BG170">
        <f>SUMIF('Как есть'!$A$45:$A$53,Доп.расчеты!$A170,'Как есть'!BH$45:BH$53)</f>
        <v>0</v>
      </c>
      <c r="BH170">
        <f>SUMIF('Как есть'!$A$45:$A$53,Доп.расчеты!$A170,'Как есть'!BI$45:BI$53)</f>
        <v>0</v>
      </c>
      <c r="BI170">
        <f>SUMIF('Как есть'!$A$45:$A$53,Доп.расчеты!$A170,'Как есть'!BJ$45:BJ$53)</f>
        <v>0</v>
      </c>
      <c r="BJ170">
        <f>SUMIF('Как есть'!$A$45:$A$53,Доп.расчеты!$A170,'Как есть'!BK$45:BK$53)</f>
        <v>0</v>
      </c>
      <c r="BK170">
        <f>SUMIF('Как есть'!$A$45:$A$53,Доп.расчеты!$A170,'Как есть'!BL$45:BL$53)</f>
        <v>0</v>
      </c>
      <c r="BL170">
        <f>SUMIF('Как есть'!$A$45:$A$53,Доп.расчеты!$A170,'Как есть'!BM$45:BM$53)</f>
        <v>0</v>
      </c>
      <c r="BM170">
        <f>SUMIF('Как есть'!$A$45:$A$53,Доп.расчеты!$A170,'Как есть'!BN$45:BN$53)</f>
        <v>0</v>
      </c>
      <c r="BN170">
        <f>SUMIF('Как есть'!$A$45:$A$53,Доп.расчеты!$A170,'Как есть'!BO$45:BO$53)</f>
        <v>0</v>
      </c>
      <c r="BO170">
        <f>SUMIF('Как есть'!$A$45:$A$53,Доп.расчеты!$A170,'Как есть'!BP$45:BP$53)</f>
        <v>0</v>
      </c>
      <c r="BP170">
        <f>SUMIF('Как есть'!$A$45:$A$53,Доп.расчеты!$A170,'Как есть'!BQ$45:BQ$53)</f>
        <v>0</v>
      </c>
      <c r="BQ170">
        <f>SUMIF('Как есть'!$A$45:$A$53,Доп.расчеты!$A170,'Как есть'!BR$45:BR$53)</f>
        <v>0</v>
      </c>
      <c r="BR170">
        <f>SUMIF('Как есть'!$A$45:$A$53,Доп.расчеты!$A170,'Как есть'!BS$45:BS$53)</f>
        <v>0</v>
      </c>
      <c r="BS170">
        <f>SUMIF('Как есть'!$A$45:$A$53,Доп.расчеты!$A170,'Как есть'!BT$45:BT$53)</f>
        <v>0</v>
      </c>
      <c r="BT170">
        <f>SUMIF('Как есть'!$A$45:$A$53,Доп.расчеты!$A170,'Как есть'!BU$45:BU$53)</f>
        <v>0</v>
      </c>
      <c r="BU170">
        <f>SUMIF('Как есть'!$A$45:$A$53,Доп.расчеты!$A170,'Как есть'!BV$45:BV$53)</f>
        <v>0</v>
      </c>
      <c r="BV170">
        <f>SUMIF('Как есть'!$A$45:$A$53,Доп.расчеты!$A170,'Как есть'!BW$45:BW$53)</f>
        <v>0</v>
      </c>
      <c r="BW170">
        <f>SUMIF('Как есть'!$A$45:$A$53,Доп.расчеты!$A170,'Как есть'!BX$45:BX$53)</f>
        <v>0</v>
      </c>
      <c r="BX170">
        <f>SUMIF('Как есть'!$A$45:$A$53,Доп.расчеты!$A170,'Как есть'!BY$45:BY$53)</f>
        <v>0</v>
      </c>
      <c r="BY170">
        <f>SUMIF('Как есть'!$A$45:$A$53,Доп.расчеты!$A170,'Как есть'!BZ$45:BZ$53)</f>
        <v>0</v>
      </c>
      <c r="BZ170">
        <f>SUMIF('Как есть'!$A$45:$A$53,Доп.расчеты!$A170,'Как есть'!CA$45:CA$53)</f>
        <v>0</v>
      </c>
      <c r="CA170">
        <f>SUMIF('Как есть'!$A$45:$A$53,Доп.расчеты!$A170,'Как есть'!CB$45:CB$53)</f>
        <v>0</v>
      </c>
      <c r="CB170">
        <f>SUMIF('Как есть'!$A$45:$A$53,Доп.расчеты!$A170,'Как есть'!CC$45:CC$53)</f>
        <v>0</v>
      </c>
      <c r="CC170">
        <f>SUMIF('Как есть'!$A$45:$A$53,Доп.расчеты!$A170,'Как есть'!CD$45:CD$53)</f>
        <v>0</v>
      </c>
      <c r="CD170">
        <f>SUMIF('Как есть'!$A$45:$A$53,Доп.расчеты!$A170,'Как есть'!CE$45:CE$53)</f>
        <v>0</v>
      </c>
      <c r="CE170">
        <f>SUMIF('Как есть'!$A$45:$A$53,Доп.расчеты!$A170,'Как есть'!CF$45:CF$53)</f>
        <v>0</v>
      </c>
      <c r="CF170">
        <f>SUMIF('Как есть'!$A$45:$A$53,Доп.расчеты!$A170,'Как есть'!CG$45:CG$53)</f>
        <v>0</v>
      </c>
      <c r="CG170">
        <f>SUMIF('Как есть'!$A$45:$A$53,Доп.расчеты!$A170,'Как есть'!CH$45:CH$53)</f>
        <v>0</v>
      </c>
      <c r="CH170">
        <f>SUMIF('Как есть'!$A$45:$A$53,Доп.расчеты!$A170,'Как есть'!CI$45:CI$53)</f>
        <v>0</v>
      </c>
      <c r="CI170">
        <f>SUMIF('Как есть'!$A$45:$A$53,Доп.расчеты!$A170,'Как есть'!CJ$45:CJ$53)</f>
        <v>0</v>
      </c>
      <c r="CJ170">
        <f>SUMIF('Как есть'!$A$45:$A$53,Доп.расчеты!$A170,'Как есть'!CK$45:CK$53)</f>
        <v>0</v>
      </c>
      <c r="CK170">
        <f>SUMIF('Как есть'!$A$45:$A$53,Доп.расчеты!$A170,'Как есть'!CL$45:CL$53)</f>
        <v>0</v>
      </c>
      <c r="CL170">
        <f>SUMIF('Как есть'!$A$45:$A$53,Доп.расчеты!$A170,'Как есть'!CM$45:CM$53)</f>
        <v>0</v>
      </c>
      <c r="CM170">
        <f>SUMIF('Как есть'!$A$45:$A$53,Доп.расчеты!$A170,'Как есть'!CN$45:CN$53)</f>
        <v>0</v>
      </c>
      <c r="CN170">
        <f>SUMIF('Как есть'!$A$45:$A$53,Доп.расчеты!$A170,'Как есть'!CO$45:CO$53)</f>
        <v>0</v>
      </c>
      <c r="CO170">
        <f>SUMIF('Как есть'!$A$45:$A$53,Доп.расчеты!$A170,'Как есть'!CP$45:CP$53)</f>
        <v>0</v>
      </c>
      <c r="CP170">
        <f>SUMIF('Как есть'!$A$45:$A$53,Доп.расчеты!$A170,'Как есть'!CQ$45:CQ$53)</f>
        <v>0</v>
      </c>
      <c r="CQ170">
        <f>SUMIF('Как есть'!$A$45:$A$53,Доп.расчеты!$A170,'Как есть'!CR$45:CR$53)</f>
        <v>0</v>
      </c>
      <c r="CR170">
        <f>SUMIF('Как есть'!$A$45:$A$53,Доп.расчеты!$A170,'Как есть'!CS$45:CS$53)</f>
        <v>0</v>
      </c>
      <c r="CS170">
        <f>SUMIF('Как есть'!$A$45:$A$53,Доп.расчеты!$A170,'Как есть'!CT$45:CT$53)</f>
        <v>0</v>
      </c>
      <c r="CT170">
        <f>SUMIF('Как есть'!$A$45:$A$53,Доп.расчеты!$A170,'Как есть'!CU$45:CU$53)</f>
        <v>0</v>
      </c>
      <c r="CU170">
        <f>SUMIF('Как есть'!$A$45:$A$53,Доп.расчеты!$A170,'Как есть'!CV$45:CV$53)</f>
        <v>0</v>
      </c>
      <c r="CV170">
        <f>SUMIF('Как есть'!$A$45:$A$53,Доп.расчеты!$A170,'Как есть'!CW$45:CW$53)</f>
        <v>0</v>
      </c>
      <c r="CW170">
        <f>SUMIF('Как есть'!$A$45:$A$53,Доп.расчеты!$A170,'Как есть'!CX$45:CX$53)</f>
        <v>0</v>
      </c>
      <c r="CX170">
        <f>SUMIF('Как есть'!$A$45:$A$53,Доп.расчеты!$A170,'Как есть'!CY$45:CY$53)</f>
        <v>0</v>
      </c>
      <c r="CY170">
        <f>SUMIF('Как есть'!$A$45:$A$53,Доп.расчеты!$A170,'Как есть'!CZ$45:CZ$53)</f>
        <v>0</v>
      </c>
      <c r="CZ170">
        <f>SUMIF('Как есть'!$A$45:$A$53,Доп.расчеты!$A170,'Как есть'!DA$45:DA$53)</f>
        <v>0</v>
      </c>
      <c r="DA170">
        <f>SUMIF('Как есть'!$A$45:$A$53,Доп.расчеты!$A170,'Как есть'!DB$45:DB$53)</f>
        <v>0</v>
      </c>
      <c r="DB170">
        <f>SUMIF('Как есть'!$A$45:$A$53,Доп.расчеты!$A170,'Как есть'!DC$45:DC$53)</f>
        <v>0</v>
      </c>
      <c r="DC170">
        <f>SUMIF('Как есть'!$A$45:$A$53,Доп.расчеты!$A170,'Как есть'!DD$45:DD$53)</f>
        <v>0</v>
      </c>
      <c r="DD170">
        <f>SUMIF('Как есть'!$A$45:$A$53,Доп.расчеты!$A170,'Как есть'!DE$45:DE$53)</f>
        <v>0</v>
      </c>
      <c r="DE170">
        <f>SUMIF('Как есть'!$A$45:$A$53,Доп.расчеты!$A170,'Как есть'!DF$45:DF$53)</f>
        <v>0</v>
      </c>
      <c r="DF170">
        <f>SUMIF('Как есть'!$A$45:$A$53,Доп.расчеты!$A170,'Как есть'!DG$45:DG$53)</f>
        <v>0</v>
      </c>
      <c r="DG170">
        <f>SUMIF('Как есть'!$A$45:$A$53,Доп.расчеты!$A170,'Как есть'!DH$45:DH$53)</f>
        <v>0</v>
      </c>
      <c r="DH170">
        <f>SUMIF('Как есть'!$A$45:$A$53,Доп.расчеты!$A170,'Как есть'!DI$45:DI$53)</f>
        <v>0</v>
      </c>
      <c r="DI170">
        <f>SUMIF('Как есть'!$A$45:$A$53,Доп.расчеты!$A170,'Как есть'!DJ$45:DJ$53)</f>
        <v>0</v>
      </c>
      <c r="DJ170">
        <f>SUMIF('Как есть'!$A$45:$A$53,Доп.расчеты!$A170,'Как есть'!DK$45:DK$53)</f>
        <v>0</v>
      </c>
      <c r="DK170">
        <f>SUMIF('Как есть'!$A$45:$A$53,Доп.расчеты!$A170,'Как есть'!DL$45:DL$53)</f>
        <v>0</v>
      </c>
      <c r="DL170">
        <f>SUMIF('Как есть'!$A$45:$A$53,Доп.расчеты!$A170,'Как есть'!DM$45:DM$53)</f>
        <v>0</v>
      </c>
      <c r="DM170">
        <f>SUMIF('Как есть'!$A$45:$A$53,Доп.расчеты!$A170,'Как есть'!DN$45:DN$53)</f>
        <v>0</v>
      </c>
      <c r="DN170">
        <f>SUMIF('Как есть'!$A$45:$A$53,Доп.расчеты!$A170,'Как есть'!DO$45:DO$53)</f>
        <v>0</v>
      </c>
      <c r="DO170">
        <f>SUMIF('Как есть'!$A$45:$A$53,Доп.расчеты!$A170,'Как есть'!DP$45:DP$53)</f>
        <v>0</v>
      </c>
      <c r="DP170">
        <f>SUMIF('Как есть'!$A$45:$A$53,Доп.расчеты!$A170,'Как есть'!DQ$45:DQ$53)</f>
        <v>0</v>
      </c>
      <c r="DQ170">
        <f>SUMIF('Как есть'!$A$45:$A$53,Доп.расчеты!$A170,'Как есть'!DR$45:DR$53)</f>
        <v>0</v>
      </c>
      <c r="DR170">
        <f>SUMIF('Как есть'!$A$45:$A$53,Доп.расчеты!$A170,'Как есть'!DS$45:DS$53)</f>
        <v>0</v>
      </c>
      <c r="DS170">
        <f>SUMIF('Как есть'!$A$45:$A$53,Доп.расчеты!$A170,'Как есть'!DT$45:DT$53)</f>
        <v>0</v>
      </c>
      <c r="DT170">
        <f>SUMIF('Как есть'!$A$45:$A$53,Доп.расчеты!$A170,'Как есть'!DU$45:DU$53)</f>
        <v>0</v>
      </c>
      <c r="DU170">
        <f>SUMIF('Как есть'!$A$45:$A$53,Доп.расчеты!$A170,'Как есть'!DV$45:DV$53)</f>
        <v>0</v>
      </c>
      <c r="DV170">
        <f>SUMIF('Как есть'!$A$45:$A$53,Доп.расчеты!$A170,'Как есть'!DW$45:DW$53)</f>
        <v>0</v>
      </c>
      <c r="DW170">
        <f>SUMIF('Как есть'!$A$45:$A$53,Доп.расчеты!$A170,'Как есть'!DX$45:DX$53)</f>
        <v>0</v>
      </c>
      <c r="DX170">
        <f>SUMIF('Как есть'!$A$45:$A$53,Доп.расчеты!$A170,'Как есть'!DY$45:DY$53)</f>
        <v>0</v>
      </c>
      <c r="DY170">
        <f>SUMIF('Как есть'!$A$45:$A$53,Доп.расчеты!$A170,'Как есть'!DZ$45:DZ$53)</f>
        <v>0</v>
      </c>
      <c r="DZ170">
        <f>SUMIF('Как есть'!$A$45:$A$53,Доп.расчеты!$A170,'Как есть'!EA$45:EA$53)</f>
        <v>0</v>
      </c>
      <c r="EA170">
        <f>SUMIF('Как есть'!$A$45:$A$53,Доп.расчеты!$A170,'Как есть'!EB$45:EB$53)</f>
        <v>0</v>
      </c>
      <c r="EB170">
        <f>SUMIF('Как есть'!$A$45:$A$53,Доп.расчеты!$A170,'Как есть'!EC$45:EC$53)</f>
        <v>0</v>
      </c>
      <c r="EC170">
        <f>SUMIF('Как есть'!$A$45:$A$53,Доп.расчеты!$A170,'Как есть'!ED$45:ED$53)</f>
        <v>0</v>
      </c>
      <c r="ED170">
        <f>SUMIF('Как есть'!$A$45:$A$53,Доп.расчеты!$A170,'Как есть'!EE$45:EE$53)</f>
        <v>0</v>
      </c>
      <c r="EE170">
        <f>SUMIF('Как есть'!$A$45:$A$53,Доп.расчеты!$A170,'Как есть'!EF$45:EF$53)</f>
        <v>0</v>
      </c>
      <c r="EF170">
        <f>SUMIF('Как есть'!$A$45:$A$53,Доп.расчеты!$A170,'Как есть'!EG$45:EG$53)</f>
        <v>0</v>
      </c>
      <c r="EG170">
        <f>SUMIF('Как есть'!$A$45:$A$53,Доп.расчеты!$A170,'Как есть'!EH$45:EH$53)</f>
        <v>0</v>
      </c>
      <c r="EH170">
        <f>SUMIF('Как есть'!$A$45:$A$53,Доп.расчеты!$A170,'Как есть'!EI$45:EI$53)</f>
        <v>0</v>
      </c>
      <c r="EI170">
        <f>SUMIF('Как есть'!$A$45:$A$53,Доп.расчеты!$A170,'Как есть'!EJ$45:EJ$53)</f>
        <v>0</v>
      </c>
      <c r="EJ170">
        <f>SUMIF('Как есть'!$A$45:$A$53,Доп.расчеты!$A170,'Как есть'!EK$45:EK$53)</f>
        <v>0</v>
      </c>
      <c r="EK170">
        <f>SUMIF('Как есть'!$A$45:$A$53,Доп.расчеты!$A170,'Как есть'!EL$45:EL$53)</f>
        <v>0</v>
      </c>
      <c r="EL170">
        <f>SUMIF('Как есть'!$A$45:$A$53,Доп.расчеты!$A170,'Как есть'!EM$45:EM$53)</f>
        <v>0</v>
      </c>
      <c r="EM170">
        <f>SUMIF('Как есть'!$A$45:$A$53,Доп.расчеты!$A170,'Как есть'!EN$45:EN$53)</f>
        <v>0</v>
      </c>
      <c r="EN170">
        <f>SUMIF('Как есть'!$A$45:$A$53,Доп.расчеты!$A170,'Как есть'!EO$45:EO$53)</f>
        <v>0</v>
      </c>
      <c r="EO170">
        <f>SUMIF('Как есть'!$A$45:$A$53,Доп.расчеты!$A170,'Как есть'!EP$45:EP$53)</f>
        <v>0</v>
      </c>
      <c r="EP170">
        <f>SUMIF('Как есть'!$A$45:$A$53,Доп.расчеты!$A170,'Как есть'!EQ$45:EQ$53)</f>
        <v>0</v>
      </c>
      <c r="EQ170">
        <f>SUMIF('Как есть'!$A$45:$A$53,Доп.расчеты!$A170,'Как есть'!ER$45:ER$53)</f>
        <v>0</v>
      </c>
      <c r="ER170">
        <f>SUMIF('Как есть'!$A$45:$A$53,Доп.расчеты!$A170,'Как есть'!ES$45:ES$53)</f>
        <v>0</v>
      </c>
      <c r="ES170">
        <f>SUMIF('Как есть'!$A$45:$A$53,Доп.расчеты!$A170,'Как есть'!ET$45:ET$53)</f>
        <v>0</v>
      </c>
      <c r="ET170">
        <f>SUMIF('Как есть'!$A$45:$A$53,Доп.расчеты!$A170,'Как есть'!EU$45:EU$53)</f>
        <v>0</v>
      </c>
      <c r="EU170">
        <f>SUMIF('Как есть'!$A$45:$A$53,Доп.расчеты!$A170,'Как есть'!EV$45:EV$53)</f>
        <v>0</v>
      </c>
      <c r="EV170">
        <f>SUMIF('Как есть'!$A$45:$A$53,Доп.расчеты!$A170,'Как есть'!EW$45:EW$53)</f>
        <v>0</v>
      </c>
      <c r="EW170">
        <f>SUMIF('Как есть'!$A$45:$A$53,Доп.расчеты!$A170,'Как есть'!EX$45:EX$53)</f>
        <v>0</v>
      </c>
      <c r="EX170">
        <f>SUMIF('Как есть'!$A$45:$A$53,Доп.расчеты!$A170,'Как есть'!EY$45:EY$53)</f>
        <v>0</v>
      </c>
      <c r="EY170">
        <f>SUMIF('Как есть'!$A$45:$A$53,Доп.расчеты!$A170,'Как есть'!EZ$45:EZ$53)</f>
        <v>0</v>
      </c>
      <c r="EZ170">
        <f>SUMIF('Как есть'!$A$45:$A$53,Доп.расчеты!$A170,'Как есть'!FA$45:FA$53)</f>
        <v>0</v>
      </c>
      <c r="FA170">
        <f>SUMIF('Как есть'!$A$45:$A$53,Доп.расчеты!$A170,'Как есть'!FB$45:FB$53)</f>
        <v>0</v>
      </c>
      <c r="FB170">
        <f>SUMIF('Как есть'!$A$45:$A$53,Доп.расчеты!$A170,'Как есть'!FC$45:FC$53)</f>
        <v>0</v>
      </c>
      <c r="FC170">
        <f>SUMIF('Как есть'!$A$45:$A$53,Доп.расчеты!$A170,'Как есть'!FD$45:FD$53)</f>
        <v>0</v>
      </c>
      <c r="FD170">
        <f>SUMIF('Как есть'!$A$45:$A$53,Доп.расчеты!$A170,'Как есть'!FE$45:FE$53)</f>
        <v>0</v>
      </c>
      <c r="FE170">
        <f>SUMIF('Как есть'!$A$45:$A$53,Доп.расчеты!$A170,'Как есть'!FF$45:FF$53)</f>
        <v>0</v>
      </c>
      <c r="FF170">
        <f>SUMIF('Как есть'!$A$45:$A$53,Доп.расчеты!$A170,'Как есть'!FG$45:FG$53)</f>
        <v>0</v>
      </c>
      <c r="FG170">
        <f>SUMIF('Как есть'!$A$45:$A$53,Доп.расчеты!$A170,'Как есть'!FH$45:FH$53)</f>
        <v>0</v>
      </c>
      <c r="FH170">
        <f>SUMIF('Как есть'!$A$45:$A$53,Доп.расчеты!$A170,'Как есть'!FI$45:FI$53)</f>
        <v>0</v>
      </c>
      <c r="FI170">
        <f>SUMIF('Как есть'!$A$45:$A$53,Доп.расчеты!$A170,'Как есть'!FJ$45:FJ$53)</f>
        <v>0</v>
      </c>
      <c r="FJ170">
        <f>SUMIF('Как есть'!$A$45:$A$53,Доп.расчеты!$A170,'Как есть'!FK$45:FK$53)</f>
        <v>0</v>
      </c>
      <c r="FK170">
        <f>SUMIF('Как есть'!$A$45:$A$53,Доп.расчеты!$A170,'Как есть'!FL$45:FL$53)</f>
        <v>0</v>
      </c>
      <c r="FL170">
        <f>SUMIF('Как есть'!$A$45:$A$53,Доп.расчеты!$A170,'Как есть'!FM$45:FM$53)</f>
        <v>0</v>
      </c>
      <c r="FM170">
        <f>SUMIF('Как есть'!$A$45:$A$53,Доп.расчеты!$A170,'Как есть'!FN$45:FN$53)</f>
        <v>0</v>
      </c>
      <c r="FN170">
        <f>SUMIF('Как есть'!$A$45:$A$53,Доп.расчеты!$A170,'Как есть'!FO$45:FO$53)</f>
        <v>0</v>
      </c>
      <c r="FO170">
        <f>SUMIF('Как есть'!$A$45:$A$53,Доп.расчеты!$A170,'Как есть'!FP$45:FP$53)</f>
        <v>0</v>
      </c>
      <c r="FP170">
        <f>SUMIF('Как есть'!$A$45:$A$53,Доп.расчеты!$A170,'Как есть'!FQ$45:FQ$53)</f>
        <v>0</v>
      </c>
      <c r="FQ170">
        <f>SUMIF('Как есть'!$A$45:$A$53,Доп.расчеты!$A170,'Как есть'!FR$45:FR$53)</f>
        <v>0</v>
      </c>
      <c r="FR170">
        <f>SUMIF('Как есть'!$A$45:$A$53,Доп.расчеты!$A170,'Как есть'!FS$45:FS$53)</f>
        <v>0</v>
      </c>
      <c r="FS170">
        <f>SUMIF('Как есть'!$A$45:$A$53,Доп.расчеты!$A170,'Как есть'!FT$45:FT$53)</f>
        <v>0</v>
      </c>
      <c r="FT170">
        <f>SUMIF('Как есть'!$A$45:$A$53,Доп.расчеты!$A170,'Как есть'!FU$45:FU$53)</f>
        <v>0</v>
      </c>
      <c r="FU170">
        <f>SUMIF('Как есть'!$A$45:$A$53,Доп.расчеты!$A170,'Как есть'!FV$45:FV$53)</f>
        <v>0</v>
      </c>
      <c r="FV170">
        <f>SUMIF('Как есть'!$A$45:$A$53,Доп.расчеты!$A170,'Как есть'!FW$45:FW$53)</f>
        <v>0</v>
      </c>
      <c r="FW170">
        <f>SUMIF('Как есть'!$A$45:$A$53,Доп.расчеты!$A170,'Как есть'!FX$45:FX$53)</f>
        <v>0</v>
      </c>
      <c r="FX170">
        <f>SUMIF('Как есть'!$A$45:$A$53,Доп.расчеты!$A170,'Как есть'!FY$45:FY$53)</f>
        <v>0</v>
      </c>
      <c r="FY170">
        <f>SUMIF('Как есть'!$A$45:$A$53,Доп.расчеты!$A170,'Как есть'!FZ$45:FZ$53)</f>
        <v>0</v>
      </c>
      <c r="FZ170">
        <f>SUMIF('Как есть'!$A$45:$A$53,Доп.расчеты!$A170,'Как есть'!GA$45:GA$53)</f>
        <v>0</v>
      </c>
      <c r="GA170">
        <f>SUMIF('Как есть'!$A$45:$A$53,Доп.расчеты!$A170,'Как есть'!GB$45:GB$53)</f>
        <v>0</v>
      </c>
      <c r="GB170">
        <f>SUMIF('Как есть'!$A$45:$A$53,Доп.расчеты!$A170,'Как есть'!GC$45:GC$53)</f>
        <v>0</v>
      </c>
      <c r="GC170">
        <f>SUMIF('Как есть'!$A$45:$A$53,Доп.расчеты!$A170,'Как есть'!GD$45:GD$53)</f>
        <v>0</v>
      </c>
      <c r="GD170">
        <f>SUMIF('Как есть'!$A$45:$A$53,Доп.расчеты!$A170,'Как есть'!GE$45:GE$53)</f>
        <v>0</v>
      </c>
      <c r="GE170">
        <f>SUMIF('Как есть'!$A$45:$A$53,Доп.расчеты!$A170,'Как есть'!GF$45:GF$53)</f>
        <v>0</v>
      </c>
      <c r="GF170">
        <f>SUMIF('Как есть'!$A$45:$A$53,Доп.расчеты!$A170,'Как есть'!GG$45:GG$53)</f>
        <v>0</v>
      </c>
      <c r="GG170">
        <f>SUMIF('Как есть'!$A$45:$A$53,Доп.расчеты!$A170,'Как есть'!GH$45:GH$53)</f>
        <v>0</v>
      </c>
      <c r="GH170">
        <f>SUMIF('Как есть'!$A$45:$A$53,Доп.расчеты!$A170,'Как есть'!GI$45:GI$53)</f>
        <v>0</v>
      </c>
      <c r="GI170">
        <f>SUMIF('Как есть'!$A$45:$A$53,Доп.расчеты!$A170,'Как есть'!GJ$45:GJ$53)</f>
        <v>0</v>
      </c>
      <c r="GJ170">
        <f>SUMIF('Как есть'!$A$45:$A$53,Доп.расчеты!$A170,'Как есть'!GK$45:GK$53)</f>
        <v>0</v>
      </c>
      <c r="GK170">
        <f>SUMIF('Как есть'!$A$45:$A$53,Доп.расчеты!$A170,'Как есть'!GL$45:GL$53)</f>
        <v>0</v>
      </c>
      <c r="GL170">
        <f>SUMIF('Как есть'!$A$45:$A$53,Доп.расчеты!$A170,'Как есть'!GM$45:GM$53)</f>
        <v>0</v>
      </c>
      <c r="GM170">
        <f>SUMIF('Как есть'!$A$45:$A$53,Доп.расчеты!$A170,'Как есть'!GN$45:GN$53)</f>
        <v>0</v>
      </c>
      <c r="GN170">
        <f>SUMIF('Как есть'!$A$45:$A$53,Доп.расчеты!$A170,'Как есть'!GO$45:GO$53)</f>
        <v>0</v>
      </c>
      <c r="GO170">
        <f>SUMIF('Как есть'!$A$45:$A$53,Доп.расчеты!$A170,'Как есть'!GP$45:GP$53)</f>
        <v>0</v>
      </c>
      <c r="GP170">
        <f>SUMIF('Как есть'!$A$45:$A$53,Доп.расчеты!$A170,'Как есть'!GQ$45:GQ$53)</f>
        <v>0</v>
      </c>
      <c r="GQ170">
        <f>SUMIF('Как есть'!$A$45:$A$53,Доп.расчеты!$A170,'Как есть'!GR$45:GR$53)</f>
        <v>0</v>
      </c>
      <c r="GR170">
        <f>SUMIF('Как есть'!$A$45:$A$53,Доп.расчеты!$A170,'Как есть'!GS$45:GS$53)</f>
        <v>0</v>
      </c>
      <c r="GS170">
        <f>SUMIF('Как есть'!$A$45:$A$53,Доп.расчеты!$A170,'Как есть'!GT$45:GT$53)</f>
        <v>0</v>
      </c>
      <c r="GT170">
        <f>SUMIF('Как есть'!$A$45:$A$53,Доп.расчеты!$A170,'Как есть'!GU$45:GU$53)</f>
        <v>0</v>
      </c>
    </row>
    <row r="171" spans="1:202" hidden="1" outlineLevel="1">
      <c r="A171" s="238" t="s">
        <v>107</v>
      </c>
      <c r="B171">
        <f>SUMIF('Как есть'!$A$45:$A$53,Доп.расчеты!$A171,'Как есть'!C$45:C$53)</f>
        <v>0</v>
      </c>
      <c r="C171">
        <f>SUMIF('Как есть'!$A$45:$A$53,Доп.расчеты!$A171,'Как есть'!D$45:D$53)</f>
        <v>0</v>
      </c>
      <c r="D171">
        <f>SUMIF('Как есть'!$A$45:$A$53,Доп.расчеты!$A171,'Как есть'!E$45:E$53)</f>
        <v>0</v>
      </c>
      <c r="E171">
        <f>SUMIF('Как есть'!$A$45:$A$53,Доп.расчеты!$A171,'Как есть'!F$45:F$53)</f>
        <v>0</v>
      </c>
      <c r="F171">
        <f>SUMIF('Как есть'!$A$45:$A$53,Доп.расчеты!$A171,'Как есть'!G$45:G$53)</f>
        <v>0</v>
      </c>
      <c r="G171">
        <f>SUMIF('Как есть'!$A$45:$A$53,Доп.расчеты!$A171,'Как есть'!H$45:H$53)</f>
        <v>0</v>
      </c>
      <c r="H171">
        <f>SUMIF('Как есть'!$A$45:$A$53,Доп.расчеты!$A171,'Как есть'!I$45:I$53)</f>
        <v>0</v>
      </c>
      <c r="I171">
        <f>SUMIF('Как есть'!$A$45:$A$53,Доп.расчеты!$A171,'Как есть'!J$45:J$53)</f>
        <v>0</v>
      </c>
      <c r="J171">
        <f>SUMIF('Как есть'!$A$45:$A$53,Доп.расчеты!$A171,'Как есть'!K$45:K$53)</f>
        <v>0</v>
      </c>
      <c r="K171">
        <f>SUMIF('Как есть'!$A$45:$A$53,Доп.расчеты!$A171,'Как есть'!L$45:L$53)</f>
        <v>0</v>
      </c>
      <c r="L171">
        <f>SUMIF('Как есть'!$A$45:$A$53,Доп.расчеты!$A171,'Как есть'!M$45:M$53)</f>
        <v>0</v>
      </c>
      <c r="M171">
        <f>SUMIF('Как есть'!$A$45:$A$53,Доп.расчеты!$A171,'Как есть'!N$45:N$53)</f>
        <v>0</v>
      </c>
      <c r="N171">
        <f>SUMIF('Как есть'!$A$45:$A$53,Доп.расчеты!$A171,'Как есть'!O$45:O$53)</f>
        <v>0</v>
      </c>
      <c r="O171">
        <f>SUMIF('Как есть'!$A$45:$A$53,Доп.расчеты!$A171,'Как есть'!P$45:P$53)</f>
        <v>0</v>
      </c>
      <c r="P171">
        <f>SUMIF('Как есть'!$A$45:$A$53,Доп.расчеты!$A171,'Как есть'!Q$45:Q$53)</f>
        <v>0</v>
      </c>
      <c r="Q171">
        <f>SUMIF('Как есть'!$A$45:$A$53,Доп.расчеты!$A171,'Как есть'!R$45:R$53)</f>
        <v>0</v>
      </c>
      <c r="R171">
        <f>SUMIF('Как есть'!$A$45:$A$53,Доп.расчеты!$A171,'Как есть'!S$45:S$53)</f>
        <v>0</v>
      </c>
      <c r="S171">
        <f>SUMIF('Как есть'!$A$45:$A$53,Доп.расчеты!$A171,'Как есть'!T$45:T$53)</f>
        <v>0</v>
      </c>
      <c r="T171">
        <f>SUMIF('Как есть'!$A$45:$A$53,Доп.расчеты!$A171,'Как есть'!U$45:U$53)</f>
        <v>0</v>
      </c>
      <c r="U171">
        <f>SUMIF('Как есть'!$A$45:$A$53,Доп.расчеты!$A171,'Как есть'!V$45:V$53)</f>
        <v>0</v>
      </c>
      <c r="V171">
        <f>SUMIF('Как есть'!$A$45:$A$53,Доп.расчеты!$A171,'Как есть'!W$45:W$53)</f>
        <v>0</v>
      </c>
      <c r="W171">
        <f>SUMIF('Как есть'!$A$45:$A$53,Доп.расчеты!$A171,'Как есть'!X$45:X$53)</f>
        <v>0</v>
      </c>
      <c r="X171">
        <f>SUMIF('Как есть'!$A$45:$A$53,Доп.расчеты!$A171,'Как есть'!Y$45:Y$53)</f>
        <v>0</v>
      </c>
      <c r="Y171">
        <f>SUMIF('Как есть'!$A$45:$A$53,Доп.расчеты!$A171,'Как есть'!Z$45:Z$53)</f>
        <v>0</v>
      </c>
      <c r="Z171">
        <f>SUMIF('Как есть'!$A$45:$A$53,Доп.расчеты!$A171,'Как есть'!AA$45:AA$53)</f>
        <v>0</v>
      </c>
      <c r="AA171">
        <f>SUMIF('Как есть'!$A$45:$A$53,Доп.расчеты!$A171,'Как есть'!AB$45:AB$53)</f>
        <v>0</v>
      </c>
      <c r="AB171">
        <f>SUMIF('Как есть'!$A$45:$A$53,Доп.расчеты!$A171,'Как есть'!AC$45:AC$53)</f>
        <v>0</v>
      </c>
      <c r="AC171">
        <f>SUMIF('Как есть'!$A$45:$A$53,Доп.расчеты!$A171,'Как есть'!AD$45:AD$53)</f>
        <v>0</v>
      </c>
      <c r="AD171">
        <f>SUMIF('Как есть'!$A$45:$A$53,Доп.расчеты!$A171,'Как есть'!AE$45:AE$53)</f>
        <v>0</v>
      </c>
      <c r="AE171">
        <f>SUMIF('Как есть'!$A$45:$A$53,Доп.расчеты!$A171,'Как есть'!AF$45:AF$53)</f>
        <v>0</v>
      </c>
      <c r="AF171">
        <f>SUMIF('Как есть'!$A$45:$A$53,Доп.расчеты!$A171,'Как есть'!AG$45:AG$53)</f>
        <v>0</v>
      </c>
      <c r="AG171">
        <f>SUMIF('Как есть'!$A$45:$A$53,Доп.расчеты!$A171,'Как есть'!AH$45:AH$53)</f>
        <v>0</v>
      </c>
      <c r="AH171">
        <f>SUMIF('Как есть'!$A$45:$A$53,Доп.расчеты!$A171,'Как есть'!AI$45:AI$53)</f>
        <v>0</v>
      </c>
      <c r="AI171">
        <f>SUMIF('Как есть'!$A$45:$A$53,Доп.расчеты!$A171,'Как есть'!AJ$45:AJ$53)</f>
        <v>0</v>
      </c>
      <c r="AJ171">
        <f>SUMIF('Как есть'!$A$45:$A$53,Доп.расчеты!$A171,'Как есть'!AK$45:AK$53)</f>
        <v>0</v>
      </c>
      <c r="AK171">
        <f>SUMIF('Как есть'!$A$45:$A$53,Доп.расчеты!$A171,'Как есть'!AL$45:AL$53)</f>
        <v>0</v>
      </c>
      <c r="AL171">
        <f>SUMIF('Как есть'!$A$45:$A$53,Доп.расчеты!$A171,'Как есть'!AM$45:AM$53)</f>
        <v>0</v>
      </c>
      <c r="AM171">
        <f>SUMIF('Как есть'!$A$45:$A$53,Доп.расчеты!$A171,'Как есть'!AN$45:AN$53)</f>
        <v>0</v>
      </c>
      <c r="AN171">
        <f>SUMIF('Как есть'!$A$45:$A$53,Доп.расчеты!$A171,'Как есть'!AO$45:AO$53)</f>
        <v>0</v>
      </c>
      <c r="AO171">
        <f>SUMIF('Как есть'!$A$45:$A$53,Доп.расчеты!$A171,'Как есть'!AP$45:AP$53)</f>
        <v>0</v>
      </c>
      <c r="AP171">
        <f>SUMIF('Как есть'!$A$45:$A$53,Доп.расчеты!$A171,'Как есть'!AQ$45:AQ$53)</f>
        <v>0</v>
      </c>
      <c r="AQ171">
        <f>SUMIF('Как есть'!$A$45:$A$53,Доп.расчеты!$A171,'Как есть'!AR$45:AR$53)</f>
        <v>0</v>
      </c>
      <c r="AR171">
        <f>SUMIF('Как есть'!$A$45:$A$53,Доп.расчеты!$A171,'Как есть'!AS$45:AS$53)</f>
        <v>0</v>
      </c>
      <c r="AS171">
        <f>SUMIF('Как есть'!$A$45:$A$53,Доп.расчеты!$A171,'Как есть'!AT$45:AT$53)</f>
        <v>0</v>
      </c>
      <c r="AT171">
        <f>SUMIF('Как есть'!$A$45:$A$53,Доп.расчеты!$A171,'Как есть'!AU$45:AU$53)</f>
        <v>0</v>
      </c>
      <c r="AU171">
        <f>SUMIF('Как есть'!$A$45:$A$53,Доп.расчеты!$A171,'Как есть'!AV$45:AV$53)</f>
        <v>0</v>
      </c>
      <c r="AV171">
        <f>SUMIF('Как есть'!$A$45:$A$53,Доп.расчеты!$A171,'Как есть'!AW$45:AW$53)</f>
        <v>0</v>
      </c>
      <c r="AW171">
        <f>SUMIF('Как есть'!$A$45:$A$53,Доп.расчеты!$A171,'Как есть'!AX$45:AX$53)</f>
        <v>0</v>
      </c>
      <c r="AX171">
        <f>SUMIF('Как есть'!$A$45:$A$53,Доп.расчеты!$A171,'Как есть'!AY$45:AY$53)</f>
        <v>0</v>
      </c>
      <c r="AY171">
        <f>SUMIF('Как есть'!$A$45:$A$53,Доп.расчеты!$A171,'Как есть'!AZ$45:AZ$53)</f>
        <v>0</v>
      </c>
      <c r="AZ171">
        <f>SUMIF('Как есть'!$A$45:$A$53,Доп.расчеты!$A171,'Как есть'!BA$45:BA$53)</f>
        <v>0</v>
      </c>
      <c r="BA171">
        <f>SUMIF('Как есть'!$A$45:$A$53,Доп.расчеты!$A171,'Как есть'!BB$45:BB$53)</f>
        <v>0</v>
      </c>
      <c r="BB171">
        <f>SUMIF('Как есть'!$A$45:$A$53,Доп.расчеты!$A171,'Как есть'!BC$45:BC$53)</f>
        <v>0</v>
      </c>
      <c r="BC171">
        <f>SUMIF('Как есть'!$A$45:$A$53,Доп.расчеты!$A171,'Как есть'!BD$45:BD$53)</f>
        <v>0</v>
      </c>
      <c r="BD171">
        <f>SUMIF('Как есть'!$A$45:$A$53,Доп.расчеты!$A171,'Как есть'!BE$45:BE$53)</f>
        <v>0</v>
      </c>
      <c r="BE171">
        <f>SUMIF('Как есть'!$A$45:$A$53,Доп.расчеты!$A171,'Как есть'!BF$45:BF$53)</f>
        <v>0</v>
      </c>
      <c r="BF171">
        <f>SUMIF('Как есть'!$A$45:$A$53,Доп.расчеты!$A171,'Как есть'!BG$45:BG$53)</f>
        <v>0</v>
      </c>
      <c r="BG171">
        <f>SUMIF('Как есть'!$A$45:$A$53,Доп.расчеты!$A171,'Как есть'!BH$45:BH$53)</f>
        <v>0</v>
      </c>
      <c r="BH171">
        <f>SUMIF('Как есть'!$A$45:$A$53,Доп.расчеты!$A171,'Как есть'!BI$45:BI$53)</f>
        <v>0</v>
      </c>
      <c r="BI171">
        <f>SUMIF('Как есть'!$A$45:$A$53,Доп.расчеты!$A171,'Как есть'!BJ$45:BJ$53)</f>
        <v>0</v>
      </c>
      <c r="BJ171">
        <f>SUMIF('Как есть'!$A$45:$A$53,Доп.расчеты!$A171,'Как есть'!BK$45:BK$53)</f>
        <v>0</v>
      </c>
      <c r="BK171">
        <f>SUMIF('Как есть'!$A$45:$A$53,Доп.расчеты!$A171,'Как есть'!BL$45:BL$53)</f>
        <v>0</v>
      </c>
      <c r="BL171">
        <f>SUMIF('Как есть'!$A$45:$A$53,Доп.расчеты!$A171,'Как есть'!BM$45:BM$53)</f>
        <v>0</v>
      </c>
      <c r="BM171">
        <f>SUMIF('Как есть'!$A$45:$A$53,Доп.расчеты!$A171,'Как есть'!BN$45:BN$53)</f>
        <v>0</v>
      </c>
      <c r="BN171">
        <f>SUMIF('Как есть'!$A$45:$A$53,Доп.расчеты!$A171,'Как есть'!BO$45:BO$53)</f>
        <v>0</v>
      </c>
      <c r="BO171">
        <f>SUMIF('Как есть'!$A$45:$A$53,Доп.расчеты!$A171,'Как есть'!BP$45:BP$53)</f>
        <v>0</v>
      </c>
      <c r="BP171">
        <f>SUMIF('Как есть'!$A$45:$A$53,Доп.расчеты!$A171,'Как есть'!BQ$45:BQ$53)</f>
        <v>0</v>
      </c>
      <c r="BQ171">
        <f>SUMIF('Как есть'!$A$45:$A$53,Доп.расчеты!$A171,'Как есть'!BR$45:BR$53)</f>
        <v>0</v>
      </c>
      <c r="BR171">
        <f>SUMIF('Как есть'!$A$45:$A$53,Доп.расчеты!$A171,'Как есть'!BS$45:BS$53)</f>
        <v>0</v>
      </c>
      <c r="BS171">
        <f>SUMIF('Как есть'!$A$45:$A$53,Доп.расчеты!$A171,'Как есть'!BT$45:BT$53)</f>
        <v>0</v>
      </c>
      <c r="BT171">
        <f>SUMIF('Как есть'!$A$45:$A$53,Доп.расчеты!$A171,'Как есть'!BU$45:BU$53)</f>
        <v>0</v>
      </c>
      <c r="BU171">
        <f>SUMIF('Как есть'!$A$45:$A$53,Доп.расчеты!$A171,'Как есть'!BV$45:BV$53)</f>
        <v>0</v>
      </c>
      <c r="BV171">
        <f>SUMIF('Как есть'!$A$45:$A$53,Доп.расчеты!$A171,'Как есть'!BW$45:BW$53)</f>
        <v>0</v>
      </c>
      <c r="BW171">
        <f>SUMIF('Как есть'!$A$45:$A$53,Доп.расчеты!$A171,'Как есть'!BX$45:BX$53)</f>
        <v>0</v>
      </c>
      <c r="BX171">
        <f>SUMIF('Как есть'!$A$45:$A$53,Доп.расчеты!$A171,'Как есть'!BY$45:BY$53)</f>
        <v>0</v>
      </c>
      <c r="BY171">
        <f>SUMIF('Как есть'!$A$45:$A$53,Доп.расчеты!$A171,'Как есть'!BZ$45:BZ$53)</f>
        <v>0</v>
      </c>
      <c r="BZ171">
        <f>SUMIF('Как есть'!$A$45:$A$53,Доп.расчеты!$A171,'Как есть'!CA$45:CA$53)</f>
        <v>0</v>
      </c>
      <c r="CA171">
        <f>SUMIF('Как есть'!$A$45:$A$53,Доп.расчеты!$A171,'Как есть'!CB$45:CB$53)</f>
        <v>0</v>
      </c>
      <c r="CB171">
        <f>SUMIF('Как есть'!$A$45:$A$53,Доп.расчеты!$A171,'Как есть'!CC$45:CC$53)</f>
        <v>0</v>
      </c>
      <c r="CC171">
        <f>SUMIF('Как есть'!$A$45:$A$53,Доп.расчеты!$A171,'Как есть'!CD$45:CD$53)</f>
        <v>0</v>
      </c>
      <c r="CD171">
        <f>SUMIF('Как есть'!$A$45:$A$53,Доп.расчеты!$A171,'Как есть'!CE$45:CE$53)</f>
        <v>0</v>
      </c>
      <c r="CE171">
        <f>SUMIF('Как есть'!$A$45:$A$53,Доп.расчеты!$A171,'Как есть'!CF$45:CF$53)</f>
        <v>0</v>
      </c>
      <c r="CF171">
        <f>SUMIF('Как есть'!$A$45:$A$53,Доп.расчеты!$A171,'Как есть'!CG$45:CG$53)</f>
        <v>0</v>
      </c>
      <c r="CG171">
        <f>SUMIF('Как есть'!$A$45:$A$53,Доп.расчеты!$A171,'Как есть'!CH$45:CH$53)</f>
        <v>0</v>
      </c>
      <c r="CH171">
        <f>SUMIF('Как есть'!$A$45:$A$53,Доп.расчеты!$A171,'Как есть'!CI$45:CI$53)</f>
        <v>0</v>
      </c>
      <c r="CI171">
        <f>SUMIF('Как есть'!$A$45:$A$53,Доп.расчеты!$A171,'Как есть'!CJ$45:CJ$53)</f>
        <v>0</v>
      </c>
      <c r="CJ171">
        <f>SUMIF('Как есть'!$A$45:$A$53,Доп.расчеты!$A171,'Как есть'!CK$45:CK$53)</f>
        <v>0</v>
      </c>
      <c r="CK171">
        <f>SUMIF('Как есть'!$A$45:$A$53,Доп.расчеты!$A171,'Как есть'!CL$45:CL$53)</f>
        <v>0</v>
      </c>
      <c r="CL171">
        <f>SUMIF('Как есть'!$A$45:$A$53,Доп.расчеты!$A171,'Как есть'!CM$45:CM$53)</f>
        <v>0</v>
      </c>
      <c r="CM171">
        <f>SUMIF('Как есть'!$A$45:$A$53,Доп.расчеты!$A171,'Как есть'!CN$45:CN$53)</f>
        <v>0</v>
      </c>
      <c r="CN171">
        <f>SUMIF('Как есть'!$A$45:$A$53,Доп.расчеты!$A171,'Как есть'!CO$45:CO$53)</f>
        <v>0</v>
      </c>
      <c r="CO171">
        <f>SUMIF('Как есть'!$A$45:$A$53,Доп.расчеты!$A171,'Как есть'!CP$45:CP$53)</f>
        <v>0</v>
      </c>
      <c r="CP171">
        <f>SUMIF('Как есть'!$A$45:$A$53,Доп.расчеты!$A171,'Как есть'!CQ$45:CQ$53)</f>
        <v>0</v>
      </c>
      <c r="CQ171">
        <f>SUMIF('Как есть'!$A$45:$A$53,Доп.расчеты!$A171,'Как есть'!CR$45:CR$53)</f>
        <v>0</v>
      </c>
      <c r="CR171">
        <f>SUMIF('Как есть'!$A$45:$A$53,Доп.расчеты!$A171,'Как есть'!CS$45:CS$53)</f>
        <v>0</v>
      </c>
      <c r="CS171">
        <f>SUMIF('Как есть'!$A$45:$A$53,Доп.расчеты!$A171,'Как есть'!CT$45:CT$53)</f>
        <v>0</v>
      </c>
      <c r="CT171">
        <f>SUMIF('Как есть'!$A$45:$A$53,Доп.расчеты!$A171,'Как есть'!CU$45:CU$53)</f>
        <v>0</v>
      </c>
      <c r="CU171">
        <f>SUMIF('Как есть'!$A$45:$A$53,Доп.расчеты!$A171,'Как есть'!CV$45:CV$53)</f>
        <v>0</v>
      </c>
      <c r="CV171">
        <f>SUMIF('Как есть'!$A$45:$A$53,Доп.расчеты!$A171,'Как есть'!CW$45:CW$53)</f>
        <v>0</v>
      </c>
      <c r="CW171">
        <f>SUMIF('Как есть'!$A$45:$A$53,Доп.расчеты!$A171,'Как есть'!CX$45:CX$53)</f>
        <v>0</v>
      </c>
      <c r="CX171">
        <f>SUMIF('Как есть'!$A$45:$A$53,Доп.расчеты!$A171,'Как есть'!CY$45:CY$53)</f>
        <v>0</v>
      </c>
      <c r="CY171">
        <f>SUMIF('Как есть'!$A$45:$A$53,Доп.расчеты!$A171,'Как есть'!CZ$45:CZ$53)</f>
        <v>0</v>
      </c>
      <c r="CZ171">
        <f>SUMIF('Как есть'!$A$45:$A$53,Доп.расчеты!$A171,'Как есть'!DA$45:DA$53)</f>
        <v>0</v>
      </c>
      <c r="DA171">
        <f>SUMIF('Как есть'!$A$45:$A$53,Доп.расчеты!$A171,'Как есть'!DB$45:DB$53)</f>
        <v>0</v>
      </c>
      <c r="DB171">
        <f>SUMIF('Как есть'!$A$45:$A$53,Доп.расчеты!$A171,'Как есть'!DC$45:DC$53)</f>
        <v>0</v>
      </c>
      <c r="DC171">
        <f>SUMIF('Как есть'!$A$45:$A$53,Доп.расчеты!$A171,'Как есть'!DD$45:DD$53)</f>
        <v>0</v>
      </c>
      <c r="DD171">
        <f>SUMIF('Как есть'!$A$45:$A$53,Доп.расчеты!$A171,'Как есть'!DE$45:DE$53)</f>
        <v>0</v>
      </c>
      <c r="DE171">
        <f>SUMIF('Как есть'!$A$45:$A$53,Доп.расчеты!$A171,'Как есть'!DF$45:DF$53)</f>
        <v>0</v>
      </c>
      <c r="DF171">
        <f>SUMIF('Как есть'!$A$45:$A$53,Доп.расчеты!$A171,'Как есть'!DG$45:DG$53)</f>
        <v>0</v>
      </c>
      <c r="DG171">
        <f>SUMIF('Как есть'!$A$45:$A$53,Доп.расчеты!$A171,'Как есть'!DH$45:DH$53)</f>
        <v>0</v>
      </c>
      <c r="DH171">
        <f>SUMIF('Как есть'!$A$45:$A$53,Доп.расчеты!$A171,'Как есть'!DI$45:DI$53)</f>
        <v>0</v>
      </c>
      <c r="DI171">
        <f>SUMIF('Как есть'!$A$45:$A$53,Доп.расчеты!$A171,'Как есть'!DJ$45:DJ$53)</f>
        <v>0</v>
      </c>
      <c r="DJ171">
        <f>SUMIF('Как есть'!$A$45:$A$53,Доп.расчеты!$A171,'Как есть'!DK$45:DK$53)</f>
        <v>0</v>
      </c>
      <c r="DK171">
        <f>SUMIF('Как есть'!$A$45:$A$53,Доп.расчеты!$A171,'Как есть'!DL$45:DL$53)</f>
        <v>0</v>
      </c>
      <c r="DL171">
        <f>SUMIF('Как есть'!$A$45:$A$53,Доп.расчеты!$A171,'Как есть'!DM$45:DM$53)</f>
        <v>0</v>
      </c>
      <c r="DM171">
        <f>SUMIF('Как есть'!$A$45:$A$53,Доп.расчеты!$A171,'Как есть'!DN$45:DN$53)</f>
        <v>0</v>
      </c>
      <c r="DN171">
        <f>SUMIF('Как есть'!$A$45:$A$53,Доп.расчеты!$A171,'Как есть'!DO$45:DO$53)</f>
        <v>0</v>
      </c>
      <c r="DO171">
        <f>SUMIF('Как есть'!$A$45:$A$53,Доп.расчеты!$A171,'Как есть'!DP$45:DP$53)</f>
        <v>0</v>
      </c>
      <c r="DP171">
        <f>SUMIF('Как есть'!$A$45:$A$53,Доп.расчеты!$A171,'Как есть'!DQ$45:DQ$53)</f>
        <v>0</v>
      </c>
      <c r="DQ171">
        <f>SUMIF('Как есть'!$A$45:$A$53,Доп.расчеты!$A171,'Как есть'!DR$45:DR$53)</f>
        <v>0</v>
      </c>
      <c r="DR171">
        <f>SUMIF('Как есть'!$A$45:$A$53,Доп.расчеты!$A171,'Как есть'!DS$45:DS$53)</f>
        <v>0</v>
      </c>
      <c r="DS171">
        <f>SUMIF('Как есть'!$A$45:$A$53,Доп.расчеты!$A171,'Как есть'!DT$45:DT$53)</f>
        <v>0</v>
      </c>
      <c r="DT171">
        <f>SUMIF('Как есть'!$A$45:$A$53,Доп.расчеты!$A171,'Как есть'!DU$45:DU$53)</f>
        <v>0</v>
      </c>
      <c r="DU171">
        <f>SUMIF('Как есть'!$A$45:$A$53,Доп.расчеты!$A171,'Как есть'!DV$45:DV$53)</f>
        <v>0</v>
      </c>
      <c r="DV171">
        <f>SUMIF('Как есть'!$A$45:$A$53,Доп.расчеты!$A171,'Как есть'!DW$45:DW$53)</f>
        <v>0</v>
      </c>
      <c r="DW171">
        <f>SUMIF('Как есть'!$A$45:$A$53,Доп.расчеты!$A171,'Как есть'!DX$45:DX$53)</f>
        <v>0</v>
      </c>
      <c r="DX171">
        <f>SUMIF('Как есть'!$A$45:$A$53,Доп.расчеты!$A171,'Как есть'!DY$45:DY$53)</f>
        <v>0</v>
      </c>
      <c r="DY171">
        <f>SUMIF('Как есть'!$A$45:$A$53,Доп.расчеты!$A171,'Как есть'!DZ$45:DZ$53)</f>
        <v>0</v>
      </c>
      <c r="DZ171">
        <f>SUMIF('Как есть'!$A$45:$A$53,Доп.расчеты!$A171,'Как есть'!EA$45:EA$53)</f>
        <v>0</v>
      </c>
      <c r="EA171">
        <f>SUMIF('Как есть'!$A$45:$A$53,Доп.расчеты!$A171,'Как есть'!EB$45:EB$53)</f>
        <v>0</v>
      </c>
      <c r="EB171">
        <f>SUMIF('Как есть'!$A$45:$A$53,Доп.расчеты!$A171,'Как есть'!EC$45:EC$53)</f>
        <v>0</v>
      </c>
      <c r="EC171">
        <f>SUMIF('Как есть'!$A$45:$A$53,Доп.расчеты!$A171,'Как есть'!ED$45:ED$53)</f>
        <v>0</v>
      </c>
      <c r="ED171">
        <f>SUMIF('Как есть'!$A$45:$A$53,Доп.расчеты!$A171,'Как есть'!EE$45:EE$53)</f>
        <v>0</v>
      </c>
      <c r="EE171">
        <f>SUMIF('Как есть'!$A$45:$A$53,Доп.расчеты!$A171,'Как есть'!EF$45:EF$53)</f>
        <v>0</v>
      </c>
      <c r="EF171">
        <f>SUMIF('Как есть'!$A$45:$A$53,Доп.расчеты!$A171,'Как есть'!EG$45:EG$53)</f>
        <v>0</v>
      </c>
      <c r="EG171">
        <f>SUMIF('Как есть'!$A$45:$A$53,Доп.расчеты!$A171,'Как есть'!EH$45:EH$53)</f>
        <v>0</v>
      </c>
      <c r="EH171">
        <f>SUMIF('Как есть'!$A$45:$A$53,Доп.расчеты!$A171,'Как есть'!EI$45:EI$53)</f>
        <v>0</v>
      </c>
      <c r="EI171">
        <f>SUMIF('Как есть'!$A$45:$A$53,Доп.расчеты!$A171,'Как есть'!EJ$45:EJ$53)</f>
        <v>0</v>
      </c>
      <c r="EJ171">
        <f>SUMIF('Как есть'!$A$45:$A$53,Доп.расчеты!$A171,'Как есть'!EK$45:EK$53)</f>
        <v>0</v>
      </c>
      <c r="EK171">
        <f>SUMIF('Как есть'!$A$45:$A$53,Доп.расчеты!$A171,'Как есть'!EL$45:EL$53)</f>
        <v>0</v>
      </c>
      <c r="EL171">
        <f>SUMIF('Как есть'!$A$45:$A$53,Доп.расчеты!$A171,'Как есть'!EM$45:EM$53)</f>
        <v>0</v>
      </c>
      <c r="EM171">
        <f>SUMIF('Как есть'!$A$45:$A$53,Доп.расчеты!$A171,'Как есть'!EN$45:EN$53)</f>
        <v>0</v>
      </c>
      <c r="EN171">
        <f>SUMIF('Как есть'!$A$45:$A$53,Доп.расчеты!$A171,'Как есть'!EO$45:EO$53)</f>
        <v>0</v>
      </c>
      <c r="EO171">
        <f>SUMIF('Как есть'!$A$45:$A$53,Доп.расчеты!$A171,'Как есть'!EP$45:EP$53)</f>
        <v>0</v>
      </c>
      <c r="EP171">
        <f>SUMIF('Как есть'!$A$45:$A$53,Доп.расчеты!$A171,'Как есть'!EQ$45:EQ$53)</f>
        <v>0</v>
      </c>
      <c r="EQ171">
        <f>SUMIF('Как есть'!$A$45:$A$53,Доп.расчеты!$A171,'Как есть'!ER$45:ER$53)</f>
        <v>0</v>
      </c>
      <c r="ER171">
        <f>SUMIF('Как есть'!$A$45:$A$53,Доп.расчеты!$A171,'Как есть'!ES$45:ES$53)</f>
        <v>0</v>
      </c>
      <c r="ES171">
        <f>SUMIF('Как есть'!$A$45:$A$53,Доп.расчеты!$A171,'Как есть'!ET$45:ET$53)</f>
        <v>0</v>
      </c>
      <c r="ET171">
        <f>SUMIF('Как есть'!$A$45:$A$53,Доп.расчеты!$A171,'Как есть'!EU$45:EU$53)</f>
        <v>0</v>
      </c>
      <c r="EU171">
        <f>SUMIF('Как есть'!$A$45:$A$53,Доп.расчеты!$A171,'Как есть'!EV$45:EV$53)</f>
        <v>0</v>
      </c>
      <c r="EV171">
        <f>SUMIF('Как есть'!$A$45:$A$53,Доп.расчеты!$A171,'Как есть'!EW$45:EW$53)</f>
        <v>0</v>
      </c>
      <c r="EW171">
        <f>SUMIF('Как есть'!$A$45:$A$53,Доп.расчеты!$A171,'Как есть'!EX$45:EX$53)</f>
        <v>0</v>
      </c>
      <c r="EX171">
        <f>SUMIF('Как есть'!$A$45:$A$53,Доп.расчеты!$A171,'Как есть'!EY$45:EY$53)</f>
        <v>0</v>
      </c>
      <c r="EY171">
        <f>SUMIF('Как есть'!$A$45:$A$53,Доп.расчеты!$A171,'Как есть'!EZ$45:EZ$53)</f>
        <v>0</v>
      </c>
      <c r="EZ171">
        <f>SUMIF('Как есть'!$A$45:$A$53,Доп.расчеты!$A171,'Как есть'!FA$45:FA$53)</f>
        <v>0</v>
      </c>
      <c r="FA171">
        <f>SUMIF('Как есть'!$A$45:$A$53,Доп.расчеты!$A171,'Как есть'!FB$45:FB$53)</f>
        <v>0</v>
      </c>
      <c r="FB171">
        <f>SUMIF('Как есть'!$A$45:$A$53,Доп.расчеты!$A171,'Как есть'!FC$45:FC$53)</f>
        <v>0</v>
      </c>
      <c r="FC171">
        <f>SUMIF('Как есть'!$A$45:$A$53,Доп.расчеты!$A171,'Как есть'!FD$45:FD$53)</f>
        <v>0</v>
      </c>
      <c r="FD171">
        <f>SUMIF('Как есть'!$A$45:$A$53,Доп.расчеты!$A171,'Как есть'!FE$45:FE$53)</f>
        <v>0</v>
      </c>
      <c r="FE171">
        <f>SUMIF('Как есть'!$A$45:$A$53,Доп.расчеты!$A171,'Как есть'!FF$45:FF$53)</f>
        <v>0</v>
      </c>
      <c r="FF171">
        <f>SUMIF('Как есть'!$A$45:$A$53,Доп.расчеты!$A171,'Как есть'!FG$45:FG$53)</f>
        <v>0</v>
      </c>
      <c r="FG171">
        <f>SUMIF('Как есть'!$A$45:$A$53,Доп.расчеты!$A171,'Как есть'!FH$45:FH$53)</f>
        <v>0</v>
      </c>
      <c r="FH171">
        <f>SUMIF('Как есть'!$A$45:$A$53,Доп.расчеты!$A171,'Как есть'!FI$45:FI$53)</f>
        <v>0</v>
      </c>
      <c r="FI171">
        <f>SUMIF('Как есть'!$A$45:$A$53,Доп.расчеты!$A171,'Как есть'!FJ$45:FJ$53)</f>
        <v>0</v>
      </c>
      <c r="FJ171">
        <f>SUMIF('Как есть'!$A$45:$A$53,Доп.расчеты!$A171,'Как есть'!FK$45:FK$53)</f>
        <v>0</v>
      </c>
      <c r="FK171">
        <f>SUMIF('Как есть'!$A$45:$A$53,Доп.расчеты!$A171,'Как есть'!FL$45:FL$53)</f>
        <v>0</v>
      </c>
      <c r="FL171">
        <f>SUMIF('Как есть'!$A$45:$A$53,Доп.расчеты!$A171,'Как есть'!FM$45:FM$53)</f>
        <v>0</v>
      </c>
      <c r="FM171">
        <f>SUMIF('Как есть'!$A$45:$A$53,Доп.расчеты!$A171,'Как есть'!FN$45:FN$53)</f>
        <v>0</v>
      </c>
      <c r="FN171">
        <f>SUMIF('Как есть'!$A$45:$A$53,Доп.расчеты!$A171,'Как есть'!FO$45:FO$53)</f>
        <v>0</v>
      </c>
      <c r="FO171">
        <f>SUMIF('Как есть'!$A$45:$A$53,Доп.расчеты!$A171,'Как есть'!FP$45:FP$53)</f>
        <v>0</v>
      </c>
      <c r="FP171">
        <f>SUMIF('Как есть'!$A$45:$A$53,Доп.расчеты!$A171,'Как есть'!FQ$45:FQ$53)</f>
        <v>0</v>
      </c>
      <c r="FQ171">
        <f>SUMIF('Как есть'!$A$45:$A$53,Доп.расчеты!$A171,'Как есть'!FR$45:FR$53)</f>
        <v>0</v>
      </c>
      <c r="FR171">
        <f>SUMIF('Как есть'!$A$45:$A$53,Доп.расчеты!$A171,'Как есть'!FS$45:FS$53)</f>
        <v>0</v>
      </c>
      <c r="FS171">
        <f>SUMIF('Как есть'!$A$45:$A$53,Доп.расчеты!$A171,'Как есть'!FT$45:FT$53)</f>
        <v>0</v>
      </c>
      <c r="FT171">
        <f>SUMIF('Как есть'!$A$45:$A$53,Доп.расчеты!$A171,'Как есть'!FU$45:FU$53)</f>
        <v>0</v>
      </c>
      <c r="FU171">
        <f>SUMIF('Как есть'!$A$45:$A$53,Доп.расчеты!$A171,'Как есть'!FV$45:FV$53)</f>
        <v>0</v>
      </c>
      <c r="FV171">
        <f>SUMIF('Как есть'!$A$45:$A$53,Доп.расчеты!$A171,'Как есть'!FW$45:FW$53)</f>
        <v>0</v>
      </c>
      <c r="FW171">
        <f>SUMIF('Как есть'!$A$45:$A$53,Доп.расчеты!$A171,'Как есть'!FX$45:FX$53)</f>
        <v>0</v>
      </c>
      <c r="FX171">
        <f>SUMIF('Как есть'!$A$45:$A$53,Доп.расчеты!$A171,'Как есть'!FY$45:FY$53)</f>
        <v>0</v>
      </c>
      <c r="FY171">
        <f>SUMIF('Как есть'!$A$45:$A$53,Доп.расчеты!$A171,'Как есть'!FZ$45:FZ$53)</f>
        <v>0</v>
      </c>
      <c r="FZ171">
        <f>SUMIF('Как есть'!$A$45:$A$53,Доп.расчеты!$A171,'Как есть'!GA$45:GA$53)</f>
        <v>0</v>
      </c>
      <c r="GA171">
        <f>SUMIF('Как есть'!$A$45:$A$53,Доп.расчеты!$A171,'Как есть'!GB$45:GB$53)</f>
        <v>0</v>
      </c>
      <c r="GB171">
        <f>SUMIF('Как есть'!$A$45:$A$53,Доп.расчеты!$A171,'Как есть'!GC$45:GC$53)</f>
        <v>0</v>
      </c>
      <c r="GC171">
        <f>SUMIF('Как есть'!$A$45:$A$53,Доп.расчеты!$A171,'Как есть'!GD$45:GD$53)</f>
        <v>0</v>
      </c>
      <c r="GD171">
        <f>SUMIF('Как есть'!$A$45:$A$53,Доп.расчеты!$A171,'Как есть'!GE$45:GE$53)</f>
        <v>0</v>
      </c>
      <c r="GE171">
        <f>SUMIF('Как есть'!$A$45:$A$53,Доп.расчеты!$A171,'Как есть'!GF$45:GF$53)</f>
        <v>0</v>
      </c>
      <c r="GF171">
        <f>SUMIF('Как есть'!$A$45:$A$53,Доп.расчеты!$A171,'Как есть'!GG$45:GG$53)</f>
        <v>0</v>
      </c>
      <c r="GG171">
        <f>SUMIF('Как есть'!$A$45:$A$53,Доп.расчеты!$A171,'Как есть'!GH$45:GH$53)</f>
        <v>0</v>
      </c>
      <c r="GH171">
        <f>SUMIF('Как есть'!$A$45:$A$53,Доп.расчеты!$A171,'Как есть'!GI$45:GI$53)</f>
        <v>0</v>
      </c>
      <c r="GI171">
        <f>SUMIF('Как есть'!$A$45:$A$53,Доп.расчеты!$A171,'Как есть'!GJ$45:GJ$53)</f>
        <v>0</v>
      </c>
      <c r="GJ171">
        <f>SUMIF('Как есть'!$A$45:$A$53,Доп.расчеты!$A171,'Как есть'!GK$45:GK$53)</f>
        <v>0</v>
      </c>
      <c r="GK171">
        <f>SUMIF('Как есть'!$A$45:$A$53,Доп.расчеты!$A171,'Как есть'!GL$45:GL$53)</f>
        <v>0</v>
      </c>
      <c r="GL171">
        <f>SUMIF('Как есть'!$A$45:$A$53,Доп.расчеты!$A171,'Как есть'!GM$45:GM$53)</f>
        <v>0</v>
      </c>
      <c r="GM171">
        <f>SUMIF('Как есть'!$A$45:$A$53,Доп.расчеты!$A171,'Как есть'!GN$45:GN$53)</f>
        <v>0</v>
      </c>
      <c r="GN171">
        <f>SUMIF('Как есть'!$A$45:$A$53,Доп.расчеты!$A171,'Как есть'!GO$45:GO$53)</f>
        <v>0</v>
      </c>
      <c r="GO171">
        <f>SUMIF('Как есть'!$A$45:$A$53,Доп.расчеты!$A171,'Как есть'!GP$45:GP$53)</f>
        <v>0</v>
      </c>
      <c r="GP171">
        <f>SUMIF('Как есть'!$A$45:$A$53,Доп.расчеты!$A171,'Как есть'!GQ$45:GQ$53)</f>
        <v>0</v>
      </c>
      <c r="GQ171">
        <f>SUMIF('Как есть'!$A$45:$A$53,Доп.расчеты!$A171,'Как есть'!GR$45:GR$53)</f>
        <v>0</v>
      </c>
      <c r="GR171">
        <f>SUMIF('Как есть'!$A$45:$A$53,Доп.расчеты!$A171,'Как есть'!GS$45:GS$53)</f>
        <v>0</v>
      </c>
      <c r="GS171">
        <f>SUMIF('Как есть'!$A$45:$A$53,Доп.расчеты!$A171,'Как есть'!GT$45:GT$53)</f>
        <v>0</v>
      </c>
      <c r="GT171">
        <f>SUMIF('Как есть'!$A$45:$A$53,Доп.расчеты!$A171,'Как есть'!GU$45:GU$53)</f>
        <v>0</v>
      </c>
    </row>
    <row r="172" spans="1:202" hidden="1" outlineLevel="1">
      <c r="A172" s="238" t="s">
        <v>108</v>
      </c>
      <c r="B172">
        <f>SUMIF('Как есть'!$A$45:$A$53,Доп.расчеты!$A172,'Как есть'!C$45:C$53)</f>
        <v>0</v>
      </c>
      <c r="C172">
        <f>SUMIF('Как есть'!$A$45:$A$53,Доп.расчеты!$A172,'Как есть'!D$45:D$53)</f>
        <v>0</v>
      </c>
      <c r="D172">
        <f>SUMIF('Как есть'!$A$45:$A$53,Доп.расчеты!$A172,'Как есть'!E$45:E$53)</f>
        <v>0</v>
      </c>
      <c r="E172">
        <f>SUMIF('Как есть'!$A$45:$A$53,Доп.расчеты!$A172,'Как есть'!F$45:F$53)</f>
        <v>0</v>
      </c>
      <c r="F172">
        <f>SUMIF('Как есть'!$A$45:$A$53,Доп.расчеты!$A172,'Как есть'!G$45:G$53)</f>
        <v>0</v>
      </c>
      <c r="G172">
        <f>SUMIF('Как есть'!$A$45:$A$53,Доп.расчеты!$A172,'Как есть'!H$45:H$53)</f>
        <v>0</v>
      </c>
      <c r="H172">
        <f>SUMIF('Как есть'!$A$45:$A$53,Доп.расчеты!$A172,'Как есть'!I$45:I$53)</f>
        <v>0</v>
      </c>
      <c r="I172">
        <f>SUMIF('Как есть'!$A$45:$A$53,Доп.расчеты!$A172,'Как есть'!J$45:J$53)</f>
        <v>0</v>
      </c>
      <c r="J172">
        <f>SUMIF('Как есть'!$A$45:$A$53,Доп.расчеты!$A172,'Как есть'!K$45:K$53)</f>
        <v>0</v>
      </c>
      <c r="K172">
        <f>SUMIF('Как есть'!$A$45:$A$53,Доп.расчеты!$A172,'Как есть'!L$45:L$53)</f>
        <v>0</v>
      </c>
      <c r="L172">
        <f>SUMIF('Как есть'!$A$45:$A$53,Доп.расчеты!$A172,'Как есть'!M$45:M$53)</f>
        <v>0</v>
      </c>
      <c r="M172">
        <f>SUMIF('Как есть'!$A$45:$A$53,Доп.расчеты!$A172,'Как есть'!N$45:N$53)</f>
        <v>0</v>
      </c>
      <c r="N172">
        <f>SUMIF('Как есть'!$A$45:$A$53,Доп.расчеты!$A172,'Как есть'!O$45:O$53)</f>
        <v>0</v>
      </c>
      <c r="O172">
        <f>SUMIF('Как есть'!$A$45:$A$53,Доп.расчеты!$A172,'Как есть'!P$45:P$53)</f>
        <v>0</v>
      </c>
      <c r="P172">
        <f>SUMIF('Как есть'!$A$45:$A$53,Доп.расчеты!$A172,'Как есть'!Q$45:Q$53)</f>
        <v>0</v>
      </c>
      <c r="Q172">
        <f>SUMIF('Как есть'!$A$45:$A$53,Доп.расчеты!$A172,'Как есть'!R$45:R$53)</f>
        <v>0</v>
      </c>
      <c r="R172">
        <f>SUMIF('Как есть'!$A$45:$A$53,Доп.расчеты!$A172,'Как есть'!S$45:S$53)</f>
        <v>0</v>
      </c>
      <c r="S172">
        <f>SUMIF('Как есть'!$A$45:$A$53,Доп.расчеты!$A172,'Как есть'!T$45:T$53)</f>
        <v>0</v>
      </c>
      <c r="T172">
        <f>SUMIF('Как есть'!$A$45:$A$53,Доп.расчеты!$A172,'Как есть'!U$45:U$53)</f>
        <v>0</v>
      </c>
      <c r="U172">
        <f>SUMIF('Как есть'!$A$45:$A$53,Доп.расчеты!$A172,'Как есть'!V$45:V$53)</f>
        <v>0</v>
      </c>
      <c r="V172">
        <f>SUMIF('Как есть'!$A$45:$A$53,Доп.расчеты!$A172,'Как есть'!W$45:W$53)</f>
        <v>0</v>
      </c>
      <c r="W172">
        <f>SUMIF('Как есть'!$A$45:$A$53,Доп.расчеты!$A172,'Как есть'!X$45:X$53)</f>
        <v>0</v>
      </c>
      <c r="X172">
        <f>SUMIF('Как есть'!$A$45:$A$53,Доп.расчеты!$A172,'Как есть'!Y$45:Y$53)</f>
        <v>0</v>
      </c>
      <c r="Y172">
        <f>SUMIF('Как есть'!$A$45:$A$53,Доп.расчеты!$A172,'Как есть'!Z$45:Z$53)</f>
        <v>0</v>
      </c>
      <c r="Z172">
        <f>SUMIF('Как есть'!$A$45:$A$53,Доп.расчеты!$A172,'Как есть'!AA$45:AA$53)</f>
        <v>0</v>
      </c>
      <c r="AA172">
        <f>SUMIF('Как есть'!$A$45:$A$53,Доп.расчеты!$A172,'Как есть'!AB$45:AB$53)</f>
        <v>0</v>
      </c>
      <c r="AB172">
        <f>SUMIF('Как есть'!$A$45:$A$53,Доп.расчеты!$A172,'Как есть'!AC$45:AC$53)</f>
        <v>0</v>
      </c>
      <c r="AC172">
        <f>SUMIF('Как есть'!$A$45:$A$53,Доп.расчеты!$A172,'Как есть'!AD$45:AD$53)</f>
        <v>0</v>
      </c>
      <c r="AD172">
        <f>SUMIF('Как есть'!$A$45:$A$53,Доп.расчеты!$A172,'Как есть'!AE$45:AE$53)</f>
        <v>0</v>
      </c>
      <c r="AE172">
        <f>SUMIF('Как есть'!$A$45:$A$53,Доп.расчеты!$A172,'Как есть'!AF$45:AF$53)</f>
        <v>0</v>
      </c>
      <c r="AF172">
        <f>SUMIF('Как есть'!$A$45:$A$53,Доп.расчеты!$A172,'Как есть'!AG$45:AG$53)</f>
        <v>0</v>
      </c>
      <c r="AG172">
        <f>SUMIF('Как есть'!$A$45:$A$53,Доп.расчеты!$A172,'Как есть'!AH$45:AH$53)</f>
        <v>0</v>
      </c>
      <c r="AH172">
        <f>SUMIF('Как есть'!$A$45:$A$53,Доп.расчеты!$A172,'Как есть'!AI$45:AI$53)</f>
        <v>0</v>
      </c>
      <c r="AI172">
        <f>SUMIF('Как есть'!$A$45:$A$53,Доп.расчеты!$A172,'Как есть'!AJ$45:AJ$53)</f>
        <v>0</v>
      </c>
      <c r="AJ172">
        <f>SUMIF('Как есть'!$A$45:$A$53,Доп.расчеты!$A172,'Как есть'!AK$45:AK$53)</f>
        <v>0</v>
      </c>
      <c r="AK172">
        <f>SUMIF('Как есть'!$A$45:$A$53,Доп.расчеты!$A172,'Как есть'!AL$45:AL$53)</f>
        <v>0</v>
      </c>
      <c r="AL172">
        <f>SUMIF('Как есть'!$A$45:$A$53,Доп.расчеты!$A172,'Как есть'!AM$45:AM$53)</f>
        <v>0</v>
      </c>
      <c r="AM172">
        <f>SUMIF('Как есть'!$A$45:$A$53,Доп.расчеты!$A172,'Как есть'!AN$45:AN$53)</f>
        <v>0</v>
      </c>
      <c r="AN172">
        <f>SUMIF('Как есть'!$A$45:$A$53,Доп.расчеты!$A172,'Как есть'!AO$45:AO$53)</f>
        <v>0</v>
      </c>
      <c r="AO172">
        <f>SUMIF('Как есть'!$A$45:$A$53,Доп.расчеты!$A172,'Как есть'!AP$45:AP$53)</f>
        <v>0</v>
      </c>
      <c r="AP172">
        <f>SUMIF('Как есть'!$A$45:$A$53,Доп.расчеты!$A172,'Как есть'!AQ$45:AQ$53)</f>
        <v>0</v>
      </c>
      <c r="AQ172">
        <f>SUMIF('Как есть'!$A$45:$A$53,Доп.расчеты!$A172,'Как есть'!AR$45:AR$53)</f>
        <v>0</v>
      </c>
      <c r="AR172">
        <f>SUMIF('Как есть'!$A$45:$A$53,Доп.расчеты!$A172,'Как есть'!AS$45:AS$53)</f>
        <v>0</v>
      </c>
      <c r="AS172">
        <f>SUMIF('Как есть'!$A$45:$A$53,Доп.расчеты!$A172,'Как есть'!AT$45:AT$53)</f>
        <v>0</v>
      </c>
      <c r="AT172">
        <f>SUMIF('Как есть'!$A$45:$A$53,Доп.расчеты!$A172,'Как есть'!AU$45:AU$53)</f>
        <v>0</v>
      </c>
      <c r="AU172">
        <f>SUMIF('Как есть'!$A$45:$A$53,Доп.расчеты!$A172,'Как есть'!AV$45:AV$53)</f>
        <v>0</v>
      </c>
      <c r="AV172">
        <f>SUMIF('Как есть'!$A$45:$A$53,Доп.расчеты!$A172,'Как есть'!AW$45:AW$53)</f>
        <v>0</v>
      </c>
      <c r="AW172">
        <f>SUMIF('Как есть'!$A$45:$A$53,Доп.расчеты!$A172,'Как есть'!AX$45:AX$53)</f>
        <v>0</v>
      </c>
      <c r="AX172">
        <f>SUMIF('Как есть'!$A$45:$A$53,Доп.расчеты!$A172,'Как есть'!AY$45:AY$53)</f>
        <v>0</v>
      </c>
      <c r="AY172">
        <f>SUMIF('Как есть'!$A$45:$A$53,Доп.расчеты!$A172,'Как есть'!AZ$45:AZ$53)</f>
        <v>0</v>
      </c>
      <c r="AZ172">
        <f>SUMIF('Как есть'!$A$45:$A$53,Доп.расчеты!$A172,'Как есть'!BA$45:BA$53)</f>
        <v>0</v>
      </c>
      <c r="BA172">
        <f>SUMIF('Как есть'!$A$45:$A$53,Доп.расчеты!$A172,'Как есть'!BB$45:BB$53)</f>
        <v>0</v>
      </c>
      <c r="BB172">
        <f>SUMIF('Как есть'!$A$45:$A$53,Доп.расчеты!$A172,'Как есть'!BC$45:BC$53)</f>
        <v>0</v>
      </c>
      <c r="BC172">
        <f>SUMIF('Как есть'!$A$45:$A$53,Доп.расчеты!$A172,'Как есть'!BD$45:BD$53)</f>
        <v>0</v>
      </c>
      <c r="BD172">
        <f>SUMIF('Как есть'!$A$45:$A$53,Доп.расчеты!$A172,'Как есть'!BE$45:BE$53)</f>
        <v>0</v>
      </c>
      <c r="BE172">
        <f>SUMIF('Как есть'!$A$45:$A$53,Доп.расчеты!$A172,'Как есть'!BF$45:BF$53)</f>
        <v>0</v>
      </c>
      <c r="BF172">
        <f>SUMIF('Как есть'!$A$45:$A$53,Доп.расчеты!$A172,'Как есть'!BG$45:BG$53)</f>
        <v>0</v>
      </c>
      <c r="BG172">
        <f>SUMIF('Как есть'!$A$45:$A$53,Доп.расчеты!$A172,'Как есть'!BH$45:BH$53)</f>
        <v>0</v>
      </c>
      <c r="BH172">
        <f>SUMIF('Как есть'!$A$45:$A$53,Доп.расчеты!$A172,'Как есть'!BI$45:BI$53)</f>
        <v>0</v>
      </c>
      <c r="BI172">
        <f>SUMIF('Как есть'!$A$45:$A$53,Доп.расчеты!$A172,'Как есть'!BJ$45:BJ$53)</f>
        <v>0</v>
      </c>
      <c r="BJ172">
        <f>SUMIF('Как есть'!$A$45:$A$53,Доп.расчеты!$A172,'Как есть'!BK$45:BK$53)</f>
        <v>0</v>
      </c>
      <c r="BK172">
        <f>SUMIF('Как есть'!$A$45:$A$53,Доп.расчеты!$A172,'Как есть'!BL$45:BL$53)</f>
        <v>0</v>
      </c>
      <c r="BL172">
        <f>SUMIF('Как есть'!$A$45:$A$53,Доп.расчеты!$A172,'Как есть'!BM$45:BM$53)</f>
        <v>0</v>
      </c>
      <c r="BM172">
        <f>SUMIF('Как есть'!$A$45:$A$53,Доп.расчеты!$A172,'Как есть'!BN$45:BN$53)</f>
        <v>0</v>
      </c>
      <c r="BN172">
        <f>SUMIF('Как есть'!$A$45:$A$53,Доп.расчеты!$A172,'Как есть'!BO$45:BO$53)</f>
        <v>0</v>
      </c>
      <c r="BO172">
        <f>SUMIF('Как есть'!$A$45:$A$53,Доп.расчеты!$A172,'Как есть'!BP$45:BP$53)</f>
        <v>0</v>
      </c>
      <c r="BP172">
        <f>SUMIF('Как есть'!$A$45:$A$53,Доп.расчеты!$A172,'Как есть'!BQ$45:BQ$53)</f>
        <v>0</v>
      </c>
      <c r="BQ172">
        <f>SUMIF('Как есть'!$A$45:$A$53,Доп.расчеты!$A172,'Как есть'!BR$45:BR$53)</f>
        <v>0</v>
      </c>
      <c r="BR172">
        <f>SUMIF('Как есть'!$A$45:$A$53,Доп.расчеты!$A172,'Как есть'!BS$45:BS$53)</f>
        <v>0</v>
      </c>
      <c r="BS172">
        <f>SUMIF('Как есть'!$A$45:$A$53,Доп.расчеты!$A172,'Как есть'!BT$45:BT$53)</f>
        <v>0</v>
      </c>
      <c r="BT172">
        <f>SUMIF('Как есть'!$A$45:$A$53,Доп.расчеты!$A172,'Как есть'!BU$45:BU$53)</f>
        <v>0</v>
      </c>
      <c r="BU172">
        <f>SUMIF('Как есть'!$A$45:$A$53,Доп.расчеты!$A172,'Как есть'!BV$45:BV$53)</f>
        <v>0</v>
      </c>
      <c r="BV172">
        <f>SUMIF('Как есть'!$A$45:$A$53,Доп.расчеты!$A172,'Как есть'!BW$45:BW$53)</f>
        <v>0</v>
      </c>
      <c r="BW172">
        <f>SUMIF('Как есть'!$A$45:$A$53,Доп.расчеты!$A172,'Как есть'!BX$45:BX$53)</f>
        <v>0</v>
      </c>
      <c r="BX172">
        <f>SUMIF('Как есть'!$A$45:$A$53,Доп.расчеты!$A172,'Как есть'!BY$45:BY$53)</f>
        <v>0</v>
      </c>
      <c r="BY172">
        <f>SUMIF('Как есть'!$A$45:$A$53,Доп.расчеты!$A172,'Как есть'!BZ$45:BZ$53)</f>
        <v>0</v>
      </c>
      <c r="BZ172">
        <f>SUMIF('Как есть'!$A$45:$A$53,Доп.расчеты!$A172,'Как есть'!CA$45:CA$53)</f>
        <v>0</v>
      </c>
      <c r="CA172">
        <f>SUMIF('Как есть'!$A$45:$A$53,Доп.расчеты!$A172,'Как есть'!CB$45:CB$53)</f>
        <v>0</v>
      </c>
      <c r="CB172">
        <f>SUMIF('Как есть'!$A$45:$A$53,Доп.расчеты!$A172,'Как есть'!CC$45:CC$53)</f>
        <v>0</v>
      </c>
      <c r="CC172">
        <f>SUMIF('Как есть'!$A$45:$A$53,Доп.расчеты!$A172,'Как есть'!CD$45:CD$53)</f>
        <v>0</v>
      </c>
      <c r="CD172">
        <f>SUMIF('Как есть'!$A$45:$A$53,Доп.расчеты!$A172,'Как есть'!CE$45:CE$53)</f>
        <v>0</v>
      </c>
      <c r="CE172">
        <f>SUMIF('Как есть'!$A$45:$A$53,Доп.расчеты!$A172,'Как есть'!CF$45:CF$53)</f>
        <v>0</v>
      </c>
      <c r="CF172">
        <f>SUMIF('Как есть'!$A$45:$A$53,Доп.расчеты!$A172,'Как есть'!CG$45:CG$53)</f>
        <v>0</v>
      </c>
      <c r="CG172">
        <f>SUMIF('Как есть'!$A$45:$A$53,Доп.расчеты!$A172,'Как есть'!CH$45:CH$53)</f>
        <v>0</v>
      </c>
      <c r="CH172">
        <f>SUMIF('Как есть'!$A$45:$A$53,Доп.расчеты!$A172,'Как есть'!CI$45:CI$53)</f>
        <v>0</v>
      </c>
      <c r="CI172">
        <f>SUMIF('Как есть'!$A$45:$A$53,Доп.расчеты!$A172,'Как есть'!CJ$45:CJ$53)</f>
        <v>0</v>
      </c>
      <c r="CJ172">
        <f>SUMIF('Как есть'!$A$45:$A$53,Доп.расчеты!$A172,'Как есть'!CK$45:CK$53)</f>
        <v>0</v>
      </c>
      <c r="CK172">
        <f>SUMIF('Как есть'!$A$45:$A$53,Доп.расчеты!$A172,'Как есть'!CL$45:CL$53)</f>
        <v>0</v>
      </c>
      <c r="CL172">
        <f>SUMIF('Как есть'!$A$45:$A$53,Доп.расчеты!$A172,'Как есть'!CM$45:CM$53)</f>
        <v>0</v>
      </c>
      <c r="CM172">
        <f>SUMIF('Как есть'!$A$45:$A$53,Доп.расчеты!$A172,'Как есть'!CN$45:CN$53)</f>
        <v>0</v>
      </c>
      <c r="CN172">
        <f>SUMIF('Как есть'!$A$45:$A$53,Доп.расчеты!$A172,'Как есть'!CO$45:CO$53)</f>
        <v>0</v>
      </c>
      <c r="CO172">
        <f>SUMIF('Как есть'!$A$45:$A$53,Доп.расчеты!$A172,'Как есть'!CP$45:CP$53)</f>
        <v>0</v>
      </c>
      <c r="CP172">
        <f>SUMIF('Как есть'!$A$45:$A$53,Доп.расчеты!$A172,'Как есть'!CQ$45:CQ$53)</f>
        <v>0</v>
      </c>
      <c r="CQ172">
        <f>SUMIF('Как есть'!$A$45:$A$53,Доп.расчеты!$A172,'Как есть'!CR$45:CR$53)</f>
        <v>0</v>
      </c>
      <c r="CR172">
        <f>SUMIF('Как есть'!$A$45:$A$53,Доп.расчеты!$A172,'Как есть'!CS$45:CS$53)</f>
        <v>0</v>
      </c>
      <c r="CS172">
        <f>SUMIF('Как есть'!$A$45:$A$53,Доп.расчеты!$A172,'Как есть'!CT$45:CT$53)</f>
        <v>0</v>
      </c>
      <c r="CT172">
        <f>SUMIF('Как есть'!$A$45:$A$53,Доп.расчеты!$A172,'Как есть'!CU$45:CU$53)</f>
        <v>0</v>
      </c>
      <c r="CU172">
        <f>SUMIF('Как есть'!$A$45:$A$53,Доп.расчеты!$A172,'Как есть'!CV$45:CV$53)</f>
        <v>0</v>
      </c>
      <c r="CV172">
        <f>SUMIF('Как есть'!$A$45:$A$53,Доп.расчеты!$A172,'Как есть'!CW$45:CW$53)</f>
        <v>0</v>
      </c>
      <c r="CW172">
        <f>SUMIF('Как есть'!$A$45:$A$53,Доп.расчеты!$A172,'Как есть'!CX$45:CX$53)</f>
        <v>0</v>
      </c>
      <c r="CX172">
        <f>SUMIF('Как есть'!$A$45:$A$53,Доп.расчеты!$A172,'Как есть'!CY$45:CY$53)</f>
        <v>0</v>
      </c>
      <c r="CY172">
        <f>SUMIF('Как есть'!$A$45:$A$53,Доп.расчеты!$A172,'Как есть'!CZ$45:CZ$53)</f>
        <v>0</v>
      </c>
      <c r="CZ172">
        <f>SUMIF('Как есть'!$A$45:$A$53,Доп.расчеты!$A172,'Как есть'!DA$45:DA$53)</f>
        <v>0</v>
      </c>
      <c r="DA172">
        <f>SUMIF('Как есть'!$A$45:$A$53,Доп.расчеты!$A172,'Как есть'!DB$45:DB$53)</f>
        <v>0</v>
      </c>
      <c r="DB172">
        <f>SUMIF('Как есть'!$A$45:$A$53,Доп.расчеты!$A172,'Как есть'!DC$45:DC$53)</f>
        <v>0</v>
      </c>
      <c r="DC172">
        <f>SUMIF('Как есть'!$A$45:$A$53,Доп.расчеты!$A172,'Как есть'!DD$45:DD$53)</f>
        <v>0</v>
      </c>
      <c r="DD172">
        <f>SUMIF('Как есть'!$A$45:$A$53,Доп.расчеты!$A172,'Как есть'!DE$45:DE$53)</f>
        <v>0</v>
      </c>
      <c r="DE172">
        <f>SUMIF('Как есть'!$A$45:$A$53,Доп.расчеты!$A172,'Как есть'!DF$45:DF$53)</f>
        <v>0</v>
      </c>
      <c r="DF172">
        <f>SUMIF('Как есть'!$A$45:$A$53,Доп.расчеты!$A172,'Как есть'!DG$45:DG$53)</f>
        <v>0</v>
      </c>
      <c r="DG172">
        <f>SUMIF('Как есть'!$A$45:$A$53,Доп.расчеты!$A172,'Как есть'!DH$45:DH$53)</f>
        <v>0</v>
      </c>
      <c r="DH172">
        <f>SUMIF('Как есть'!$A$45:$A$53,Доп.расчеты!$A172,'Как есть'!DI$45:DI$53)</f>
        <v>0</v>
      </c>
      <c r="DI172">
        <f>SUMIF('Как есть'!$A$45:$A$53,Доп.расчеты!$A172,'Как есть'!DJ$45:DJ$53)</f>
        <v>0</v>
      </c>
      <c r="DJ172">
        <f>SUMIF('Как есть'!$A$45:$A$53,Доп.расчеты!$A172,'Как есть'!DK$45:DK$53)</f>
        <v>0</v>
      </c>
      <c r="DK172">
        <f>SUMIF('Как есть'!$A$45:$A$53,Доп.расчеты!$A172,'Как есть'!DL$45:DL$53)</f>
        <v>0</v>
      </c>
      <c r="DL172">
        <f>SUMIF('Как есть'!$A$45:$A$53,Доп.расчеты!$A172,'Как есть'!DM$45:DM$53)</f>
        <v>0</v>
      </c>
      <c r="DM172">
        <f>SUMIF('Как есть'!$A$45:$A$53,Доп.расчеты!$A172,'Как есть'!DN$45:DN$53)</f>
        <v>0</v>
      </c>
      <c r="DN172">
        <f>SUMIF('Как есть'!$A$45:$A$53,Доп.расчеты!$A172,'Как есть'!DO$45:DO$53)</f>
        <v>0</v>
      </c>
      <c r="DO172">
        <f>SUMIF('Как есть'!$A$45:$A$53,Доп.расчеты!$A172,'Как есть'!DP$45:DP$53)</f>
        <v>0</v>
      </c>
      <c r="DP172">
        <f>SUMIF('Как есть'!$A$45:$A$53,Доп.расчеты!$A172,'Как есть'!DQ$45:DQ$53)</f>
        <v>0</v>
      </c>
      <c r="DQ172">
        <f>SUMIF('Как есть'!$A$45:$A$53,Доп.расчеты!$A172,'Как есть'!DR$45:DR$53)</f>
        <v>0</v>
      </c>
      <c r="DR172">
        <f>SUMIF('Как есть'!$A$45:$A$53,Доп.расчеты!$A172,'Как есть'!DS$45:DS$53)</f>
        <v>0</v>
      </c>
      <c r="DS172">
        <f>SUMIF('Как есть'!$A$45:$A$53,Доп.расчеты!$A172,'Как есть'!DT$45:DT$53)</f>
        <v>0</v>
      </c>
      <c r="DT172">
        <f>SUMIF('Как есть'!$A$45:$A$53,Доп.расчеты!$A172,'Как есть'!DU$45:DU$53)</f>
        <v>0</v>
      </c>
      <c r="DU172">
        <f>SUMIF('Как есть'!$A$45:$A$53,Доп.расчеты!$A172,'Как есть'!DV$45:DV$53)</f>
        <v>0</v>
      </c>
      <c r="DV172">
        <f>SUMIF('Как есть'!$A$45:$A$53,Доп.расчеты!$A172,'Как есть'!DW$45:DW$53)</f>
        <v>0</v>
      </c>
      <c r="DW172">
        <f>SUMIF('Как есть'!$A$45:$A$53,Доп.расчеты!$A172,'Как есть'!DX$45:DX$53)</f>
        <v>0</v>
      </c>
      <c r="DX172">
        <f>SUMIF('Как есть'!$A$45:$A$53,Доп.расчеты!$A172,'Как есть'!DY$45:DY$53)</f>
        <v>0</v>
      </c>
      <c r="DY172">
        <f>SUMIF('Как есть'!$A$45:$A$53,Доп.расчеты!$A172,'Как есть'!DZ$45:DZ$53)</f>
        <v>0</v>
      </c>
      <c r="DZ172">
        <f>SUMIF('Как есть'!$A$45:$A$53,Доп.расчеты!$A172,'Как есть'!EA$45:EA$53)</f>
        <v>0</v>
      </c>
      <c r="EA172">
        <f>SUMIF('Как есть'!$A$45:$A$53,Доп.расчеты!$A172,'Как есть'!EB$45:EB$53)</f>
        <v>0</v>
      </c>
      <c r="EB172">
        <f>SUMIF('Как есть'!$A$45:$A$53,Доп.расчеты!$A172,'Как есть'!EC$45:EC$53)</f>
        <v>0</v>
      </c>
      <c r="EC172">
        <f>SUMIF('Как есть'!$A$45:$A$53,Доп.расчеты!$A172,'Как есть'!ED$45:ED$53)</f>
        <v>0</v>
      </c>
      <c r="ED172">
        <f>SUMIF('Как есть'!$A$45:$A$53,Доп.расчеты!$A172,'Как есть'!EE$45:EE$53)</f>
        <v>0</v>
      </c>
      <c r="EE172">
        <f>SUMIF('Как есть'!$A$45:$A$53,Доп.расчеты!$A172,'Как есть'!EF$45:EF$53)</f>
        <v>0</v>
      </c>
      <c r="EF172">
        <f>SUMIF('Как есть'!$A$45:$A$53,Доп.расчеты!$A172,'Как есть'!EG$45:EG$53)</f>
        <v>0</v>
      </c>
      <c r="EG172">
        <f>SUMIF('Как есть'!$A$45:$A$53,Доп.расчеты!$A172,'Как есть'!EH$45:EH$53)</f>
        <v>0</v>
      </c>
      <c r="EH172">
        <f>SUMIF('Как есть'!$A$45:$A$53,Доп.расчеты!$A172,'Как есть'!EI$45:EI$53)</f>
        <v>0</v>
      </c>
      <c r="EI172">
        <f>SUMIF('Как есть'!$A$45:$A$53,Доп.расчеты!$A172,'Как есть'!EJ$45:EJ$53)</f>
        <v>0</v>
      </c>
      <c r="EJ172">
        <f>SUMIF('Как есть'!$A$45:$A$53,Доп.расчеты!$A172,'Как есть'!EK$45:EK$53)</f>
        <v>0</v>
      </c>
      <c r="EK172">
        <f>SUMIF('Как есть'!$A$45:$A$53,Доп.расчеты!$A172,'Как есть'!EL$45:EL$53)</f>
        <v>0</v>
      </c>
      <c r="EL172">
        <f>SUMIF('Как есть'!$A$45:$A$53,Доп.расчеты!$A172,'Как есть'!EM$45:EM$53)</f>
        <v>0</v>
      </c>
      <c r="EM172">
        <f>SUMIF('Как есть'!$A$45:$A$53,Доп.расчеты!$A172,'Как есть'!EN$45:EN$53)</f>
        <v>0</v>
      </c>
      <c r="EN172">
        <f>SUMIF('Как есть'!$A$45:$A$53,Доп.расчеты!$A172,'Как есть'!EO$45:EO$53)</f>
        <v>0</v>
      </c>
      <c r="EO172">
        <f>SUMIF('Как есть'!$A$45:$A$53,Доп.расчеты!$A172,'Как есть'!EP$45:EP$53)</f>
        <v>0</v>
      </c>
      <c r="EP172">
        <f>SUMIF('Как есть'!$A$45:$A$53,Доп.расчеты!$A172,'Как есть'!EQ$45:EQ$53)</f>
        <v>0</v>
      </c>
      <c r="EQ172">
        <f>SUMIF('Как есть'!$A$45:$A$53,Доп.расчеты!$A172,'Как есть'!ER$45:ER$53)</f>
        <v>0</v>
      </c>
      <c r="ER172">
        <f>SUMIF('Как есть'!$A$45:$A$53,Доп.расчеты!$A172,'Как есть'!ES$45:ES$53)</f>
        <v>0</v>
      </c>
      <c r="ES172">
        <f>SUMIF('Как есть'!$A$45:$A$53,Доп.расчеты!$A172,'Как есть'!ET$45:ET$53)</f>
        <v>0</v>
      </c>
      <c r="ET172">
        <f>SUMIF('Как есть'!$A$45:$A$53,Доп.расчеты!$A172,'Как есть'!EU$45:EU$53)</f>
        <v>0</v>
      </c>
      <c r="EU172">
        <f>SUMIF('Как есть'!$A$45:$A$53,Доп.расчеты!$A172,'Как есть'!EV$45:EV$53)</f>
        <v>0</v>
      </c>
      <c r="EV172">
        <f>SUMIF('Как есть'!$A$45:$A$53,Доп.расчеты!$A172,'Как есть'!EW$45:EW$53)</f>
        <v>0</v>
      </c>
      <c r="EW172">
        <f>SUMIF('Как есть'!$A$45:$A$53,Доп.расчеты!$A172,'Как есть'!EX$45:EX$53)</f>
        <v>0</v>
      </c>
      <c r="EX172">
        <f>SUMIF('Как есть'!$A$45:$A$53,Доп.расчеты!$A172,'Как есть'!EY$45:EY$53)</f>
        <v>0</v>
      </c>
      <c r="EY172">
        <f>SUMIF('Как есть'!$A$45:$A$53,Доп.расчеты!$A172,'Как есть'!EZ$45:EZ$53)</f>
        <v>0</v>
      </c>
      <c r="EZ172">
        <f>SUMIF('Как есть'!$A$45:$A$53,Доп.расчеты!$A172,'Как есть'!FA$45:FA$53)</f>
        <v>0</v>
      </c>
      <c r="FA172">
        <f>SUMIF('Как есть'!$A$45:$A$53,Доп.расчеты!$A172,'Как есть'!FB$45:FB$53)</f>
        <v>0</v>
      </c>
      <c r="FB172">
        <f>SUMIF('Как есть'!$A$45:$A$53,Доп.расчеты!$A172,'Как есть'!FC$45:FC$53)</f>
        <v>0</v>
      </c>
      <c r="FC172">
        <f>SUMIF('Как есть'!$A$45:$A$53,Доп.расчеты!$A172,'Как есть'!FD$45:FD$53)</f>
        <v>0</v>
      </c>
      <c r="FD172">
        <f>SUMIF('Как есть'!$A$45:$A$53,Доп.расчеты!$A172,'Как есть'!FE$45:FE$53)</f>
        <v>0</v>
      </c>
      <c r="FE172">
        <f>SUMIF('Как есть'!$A$45:$A$53,Доп.расчеты!$A172,'Как есть'!FF$45:FF$53)</f>
        <v>0</v>
      </c>
      <c r="FF172">
        <f>SUMIF('Как есть'!$A$45:$A$53,Доп.расчеты!$A172,'Как есть'!FG$45:FG$53)</f>
        <v>0</v>
      </c>
      <c r="FG172">
        <f>SUMIF('Как есть'!$A$45:$A$53,Доп.расчеты!$A172,'Как есть'!FH$45:FH$53)</f>
        <v>0</v>
      </c>
      <c r="FH172">
        <f>SUMIF('Как есть'!$A$45:$A$53,Доп.расчеты!$A172,'Как есть'!FI$45:FI$53)</f>
        <v>0</v>
      </c>
      <c r="FI172">
        <f>SUMIF('Как есть'!$A$45:$A$53,Доп.расчеты!$A172,'Как есть'!FJ$45:FJ$53)</f>
        <v>0</v>
      </c>
      <c r="FJ172">
        <f>SUMIF('Как есть'!$A$45:$A$53,Доп.расчеты!$A172,'Как есть'!FK$45:FK$53)</f>
        <v>0</v>
      </c>
      <c r="FK172">
        <f>SUMIF('Как есть'!$A$45:$A$53,Доп.расчеты!$A172,'Как есть'!FL$45:FL$53)</f>
        <v>0</v>
      </c>
      <c r="FL172">
        <f>SUMIF('Как есть'!$A$45:$A$53,Доп.расчеты!$A172,'Как есть'!FM$45:FM$53)</f>
        <v>0</v>
      </c>
      <c r="FM172">
        <f>SUMIF('Как есть'!$A$45:$A$53,Доп.расчеты!$A172,'Как есть'!FN$45:FN$53)</f>
        <v>0</v>
      </c>
      <c r="FN172">
        <f>SUMIF('Как есть'!$A$45:$A$53,Доп.расчеты!$A172,'Как есть'!FO$45:FO$53)</f>
        <v>0</v>
      </c>
      <c r="FO172">
        <f>SUMIF('Как есть'!$A$45:$A$53,Доп.расчеты!$A172,'Как есть'!FP$45:FP$53)</f>
        <v>0</v>
      </c>
      <c r="FP172">
        <f>SUMIF('Как есть'!$A$45:$A$53,Доп.расчеты!$A172,'Как есть'!FQ$45:FQ$53)</f>
        <v>0</v>
      </c>
      <c r="FQ172">
        <f>SUMIF('Как есть'!$A$45:$A$53,Доп.расчеты!$A172,'Как есть'!FR$45:FR$53)</f>
        <v>0</v>
      </c>
      <c r="FR172">
        <f>SUMIF('Как есть'!$A$45:$A$53,Доп.расчеты!$A172,'Как есть'!FS$45:FS$53)</f>
        <v>0</v>
      </c>
      <c r="FS172">
        <f>SUMIF('Как есть'!$A$45:$A$53,Доп.расчеты!$A172,'Как есть'!FT$45:FT$53)</f>
        <v>0</v>
      </c>
      <c r="FT172">
        <f>SUMIF('Как есть'!$A$45:$A$53,Доп.расчеты!$A172,'Как есть'!FU$45:FU$53)</f>
        <v>0</v>
      </c>
      <c r="FU172">
        <f>SUMIF('Как есть'!$A$45:$A$53,Доп.расчеты!$A172,'Как есть'!FV$45:FV$53)</f>
        <v>0</v>
      </c>
      <c r="FV172">
        <f>SUMIF('Как есть'!$A$45:$A$53,Доп.расчеты!$A172,'Как есть'!FW$45:FW$53)</f>
        <v>0</v>
      </c>
      <c r="FW172">
        <f>SUMIF('Как есть'!$A$45:$A$53,Доп.расчеты!$A172,'Как есть'!FX$45:FX$53)</f>
        <v>0</v>
      </c>
      <c r="FX172">
        <f>SUMIF('Как есть'!$A$45:$A$53,Доп.расчеты!$A172,'Как есть'!FY$45:FY$53)</f>
        <v>0</v>
      </c>
      <c r="FY172">
        <f>SUMIF('Как есть'!$A$45:$A$53,Доп.расчеты!$A172,'Как есть'!FZ$45:FZ$53)</f>
        <v>0</v>
      </c>
      <c r="FZ172">
        <f>SUMIF('Как есть'!$A$45:$A$53,Доп.расчеты!$A172,'Как есть'!GA$45:GA$53)</f>
        <v>0</v>
      </c>
      <c r="GA172">
        <f>SUMIF('Как есть'!$A$45:$A$53,Доп.расчеты!$A172,'Как есть'!GB$45:GB$53)</f>
        <v>0</v>
      </c>
      <c r="GB172">
        <f>SUMIF('Как есть'!$A$45:$A$53,Доп.расчеты!$A172,'Как есть'!GC$45:GC$53)</f>
        <v>0</v>
      </c>
      <c r="GC172">
        <f>SUMIF('Как есть'!$A$45:$A$53,Доп.расчеты!$A172,'Как есть'!GD$45:GD$53)</f>
        <v>0</v>
      </c>
      <c r="GD172">
        <f>SUMIF('Как есть'!$A$45:$A$53,Доп.расчеты!$A172,'Как есть'!GE$45:GE$53)</f>
        <v>0</v>
      </c>
      <c r="GE172">
        <f>SUMIF('Как есть'!$A$45:$A$53,Доп.расчеты!$A172,'Как есть'!GF$45:GF$53)</f>
        <v>0</v>
      </c>
      <c r="GF172">
        <f>SUMIF('Как есть'!$A$45:$A$53,Доп.расчеты!$A172,'Как есть'!GG$45:GG$53)</f>
        <v>0</v>
      </c>
      <c r="GG172">
        <f>SUMIF('Как есть'!$A$45:$A$53,Доп.расчеты!$A172,'Как есть'!GH$45:GH$53)</f>
        <v>0</v>
      </c>
      <c r="GH172">
        <f>SUMIF('Как есть'!$A$45:$A$53,Доп.расчеты!$A172,'Как есть'!GI$45:GI$53)</f>
        <v>0</v>
      </c>
      <c r="GI172">
        <f>SUMIF('Как есть'!$A$45:$A$53,Доп.расчеты!$A172,'Как есть'!GJ$45:GJ$53)</f>
        <v>0</v>
      </c>
      <c r="GJ172">
        <f>SUMIF('Как есть'!$A$45:$A$53,Доп.расчеты!$A172,'Как есть'!GK$45:GK$53)</f>
        <v>0</v>
      </c>
      <c r="GK172">
        <f>SUMIF('Как есть'!$A$45:$A$53,Доп.расчеты!$A172,'Как есть'!GL$45:GL$53)</f>
        <v>0</v>
      </c>
      <c r="GL172">
        <f>SUMIF('Как есть'!$A$45:$A$53,Доп.расчеты!$A172,'Как есть'!GM$45:GM$53)</f>
        <v>0</v>
      </c>
      <c r="GM172">
        <f>SUMIF('Как есть'!$A$45:$A$53,Доп.расчеты!$A172,'Как есть'!GN$45:GN$53)</f>
        <v>0</v>
      </c>
      <c r="GN172">
        <f>SUMIF('Как есть'!$A$45:$A$53,Доп.расчеты!$A172,'Как есть'!GO$45:GO$53)</f>
        <v>0</v>
      </c>
      <c r="GO172">
        <f>SUMIF('Как есть'!$A$45:$A$53,Доп.расчеты!$A172,'Как есть'!GP$45:GP$53)</f>
        <v>0</v>
      </c>
      <c r="GP172">
        <f>SUMIF('Как есть'!$A$45:$A$53,Доп.расчеты!$A172,'Как есть'!GQ$45:GQ$53)</f>
        <v>0</v>
      </c>
      <c r="GQ172">
        <f>SUMIF('Как есть'!$A$45:$A$53,Доп.расчеты!$A172,'Как есть'!GR$45:GR$53)</f>
        <v>0</v>
      </c>
      <c r="GR172">
        <f>SUMIF('Как есть'!$A$45:$A$53,Доп.расчеты!$A172,'Как есть'!GS$45:GS$53)</f>
        <v>0</v>
      </c>
      <c r="GS172">
        <f>SUMIF('Как есть'!$A$45:$A$53,Доп.расчеты!$A172,'Как есть'!GT$45:GT$53)</f>
        <v>0</v>
      </c>
      <c r="GT172">
        <f>SUMIF('Как есть'!$A$45:$A$53,Доп.расчеты!$A172,'Как есть'!GU$45:GU$53)</f>
        <v>0</v>
      </c>
    </row>
    <row r="173" spans="1:202" hidden="1" outlineLevel="1">
      <c r="A173" s="238" t="s">
        <v>109</v>
      </c>
      <c r="B173">
        <f>SUMIF('Как есть'!$A$45:$A$53,Доп.расчеты!$A173,'Как есть'!C$45:C$53)</f>
        <v>0</v>
      </c>
      <c r="C173">
        <f>SUMIF('Как есть'!$A$45:$A$53,Доп.расчеты!$A173,'Как есть'!D$45:D$53)</f>
        <v>0</v>
      </c>
      <c r="D173">
        <f>SUMIF('Как есть'!$A$45:$A$53,Доп.расчеты!$A173,'Как есть'!E$45:E$53)</f>
        <v>0</v>
      </c>
      <c r="E173">
        <f>SUMIF('Как есть'!$A$45:$A$53,Доп.расчеты!$A173,'Как есть'!F$45:F$53)</f>
        <v>0</v>
      </c>
      <c r="F173">
        <f>SUMIF('Как есть'!$A$45:$A$53,Доп.расчеты!$A173,'Как есть'!G$45:G$53)</f>
        <v>0</v>
      </c>
      <c r="G173">
        <f>SUMIF('Как есть'!$A$45:$A$53,Доп.расчеты!$A173,'Как есть'!H$45:H$53)</f>
        <v>0</v>
      </c>
      <c r="H173">
        <f>SUMIF('Как есть'!$A$45:$A$53,Доп.расчеты!$A173,'Как есть'!I$45:I$53)</f>
        <v>0</v>
      </c>
      <c r="I173">
        <f>SUMIF('Как есть'!$A$45:$A$53,Доп.расчеты!$A173,'Как есть'!J$45:J$53)</f>
        <v>0</v>
      </c>
      <c r="J173">
        <f>SUMIF('Как есть'!$A$45:$A$53,Доп.расчеты!$A173,'Как есть'!K$45:K$53)</f>
        <v>0</v>
      </c>
      <c r="K173">
        <f>SUMIF('Как есть'!$A$45:$A$53,Доп.расчеты!$A173,'Как есть'!L$45:L$53)</f>
        <v>0</v>
      </c>
      <c r="L173">
        <f>SUMIF('Как есть'!$A$45:$A$53,Доп.расчеты!$A173,'Как есть'!M$45:M$53)</f>
        <v>0</v>
      </c>
      <c r="M173">
        <f>SUMIF('Как есть'!$A$45:$A$53,Доп.расчеты!$A173,'Как есть'!N$45:N$53)</f>
        <v>0</v>
      </c>
      <c r="N173">
        <f>SUMIF('Как есть'!$A$45:$A$53,Доп.расчеты!$A173,'Как есть'!O$45:O$53)</f>
        <v>0</v>
      </c>
      <c r="O173">
        <f>SUMIF('Как есть'!$A$45:$A$53,Доп.расчеты!$A173,'Как есть'!P$45:P$53)</f>
        <v>0</v>
      </c>
      <c r="P173">
        <f>SUMIF('Как есть'!$A$45:$A$53,Доп.расчеты!$A173,'Как есть'!Q$45:Q$53)</f>
        <v>0</v>
      </c>
      <c r="Q173">
        <f>SUMIF('Как есть'!$A$45:$A$53,Доп.расчеты!$A173,'Как есть'!R$45:R$53)</f>
        <v>0</v>
      </c>
      <c r="R173">
        <f>SUMIF('Как есть'!$A$45:$A$53,Доп.расчеты!$A173,'Как есть'!S$45:S$53)</f>
        <v>0</v>
      </c>
      <c r="S173">
        <f>SUMIF('Как есть'!$A$45:$A$53,Доп.расчеты!$A173,'Как есть'!T$45:T$53)</f>
        <v>0</v>
      </c>
      <c r="T173">
        <f>SUMIF('Как есть'!$A$45:$A$53,Доп.расчеты!$A173,'Как есть'!U$45:U$53)</f>
        <v>0</v>
      </c>
      <c r="U173">
        <f>SUMIF('Как есть'!$A$45:$A$53,Доп.расчеты!$A173,'Как есть'!V$45:V$53)</f>
        <v>0</v>
      </c>
      <c r="V173">
        <f>SUMIF('Как есть'!$A$45:$A$53,Доп.расчеты!$A173,'Как есть'!W$45:W$53)</f>
        <v>0</v>
      </c>
      <c r="W173">
        <f>SUMIF('Как есть'!$A$45:$A$53,Доп.расчеты!$A173,'Как есть'!X$45:X$53)</f>
        <v>0</v>
      </c>
      <c r="X173">
        <f>SUMIF('Как есть'!$A$45:$A$53,Доп.расчеты!$A173,'Как есть'!Y$45:Y$53)</f>
        <v>0</v>
      </c>
      <c r="Y173">
        <f>SUMIF('Как есть'!$A$45:$A$53,Доп.расчеты!$A173,'Как есть'!Z$45:Z$53)</f>
        <v>0</v>
      </c>
      <c r="Z173">
        <f>SUMIF('Как есть'!$A$45:$A$53,Доп.расчеты!$A173,'Как есть'!AA$45:AA$53)</f>
        <v>0</v>
      </c>
      <c r="AA173">
        <f>SUMIF('Как есть'!$A$45:$A$53,Доп.расчеты!$A173,'Как есть'!AB$45:AB$53)</f>
        <v>0</v>
      </c>
      <c r="AB173">
        <f>SUMIF('Как есть'!$A$45:$A$53,Доп.расчеты!$A173,'Как есть'!AC$45:AC$53)</f>
        <v>0</v>
      </c>
      <c r="AC173">
        <f>SUMIF('Как есть'!$A$45:$A$53,Доп.расчеты!$A173,'Как есть'!AD$45:AD$53)</f>
        <v>0</v>
      </c>
      <c r="AD173">
        <f>SUMIF('Как есть'!$A$45:$A$53,Доп.расчеты!$A173,'Как есть'!AE$45:AE$53)</f>
        <v>0</v>
      </c>
      <c r="AE173">
        <f>SUMIF('Как есть'!$A$45:$A$53,Доп.расчеты!$A173,'Как есть'!AF$45:AF$53)</f>
        <v>0</v>
      </c>
      <c r="AF173">
        <f>SUMIF('Как есть'!$A$45:$A$53,Доп.расчеты!$A173,'Как есть'!AG$45:AG$53)</f>
        <v>0</v>
      </c>
      <c r="AG173">
        <f>SUMIF('Как есть'!$A$45:$A$53,Доп.расчеты!$A173,'Как есть'!AH$45:AH$53)</f>
        <v>0</v>
      </c>
      <c r="AH173">
        <f>SUMIF('Как есть'!$A$45:$A$53,Доп.расчеты!$A173,'Как есть'!AI$45:AI$53)</f>
        <v>0</v>
      </c>
      <c r="AI173">
        <f>SUMIF('Как есть'!$A$45:$A$53,Доп.расчеты!$A173,'Как есть'!AJ$45:AJ$53)</f>
        <v>0</v>
      </c>
      <c r="AJ173">
        <f>SUMIF('Как есть'!$A$45:$A$53,Доп.расчеты!$A173,'Как есть'!AK$45:AK$53)</f>
        <v>0</v>
      </c>
      <c r="AK173">
        <f>SUMIF('Как есть'!$A$45:$A$53,Доп.расчеты!$A173,'Как есть'!AL$45:AL$53)</f>
        <v>0</v>
      </c>
      <c r="AL173">
        <f>SUMIF('Как есть'!$A$45:$A$53,Доп.расчеты!$A173,'Как есть'!AM$45:AM$53)</f>
        <v>0</v>
      </c>
      <c r="AM173">
        <f>SUMIF('Как есть'!$A$45:$A$53,Доп.расчеты!$A173,'Как есть'!AN$45:AN$53)</f>
        <v>0</v>
      </c>
      <c r="AN173">
        <f>SUMIF('Как есть'!$A$45:$A$53,Доп.расчеты!$A173,'Как есть'!AO$45:AO$53)</f>
        <v>0</v>
      </c>
      <c r="AO173">
        <f>SUMIF('Как есть'!$A$45:$A$53,Доп.расчеты!$A173,'Как есть'!AP$45:AP$53)</f>
        <v>0</v>
      </c>
      <c r="AP173">
        <f>SUMIF('Как есть'!$A$45:$A$53,Доп.расчеты!$A173,'Как есть'!AQ$45:AQ$53)</f>
        <v>0</v>
      </c>
      <c r="AQ173">
        <f>SUMIF('Как есть'!$A$45:$A$53,Доп.расчеты!$A173,'Как есть'!AR$45:AR$53)</f>
        <v>0</v>
      </c>
      <c r="AR173">
        <f>SUMIF('Как есть'!$A$45:$A$53,Доп.расчеты!$A173,'Как есть'!AS$45:AS$53)</f>
        <v>0</v>
      </c>
      <c r="AS173">
        <f>SUMIF('Как есть'!$A$45:$A$53,Доп.расчеты!$A173,'Как есть'!AT$45:AT$53)</f>
        <v>0</v>
      </c>
      <c r="AT173">
        <f>SUMIF('Как есть'!$A$45:$A$53,Доп.расчеты!$A173,'Как есть'!AU$45:AU$53)</f>
        <v>0</v>
      </c>
      <c r="AU173">
        <f>SUMIF('Как есть'!$A$45:$A$53,Доп.расчеты!$A173,'Как есть'!AV$45:AV$53)</f>
        <v>0</v>
      </c>
      <c r="AV173">
        <f>SUMIF('Как есть'!$A$45:$A$53,Доп.расчеты!$A173,'Как есть'!AW$45:AW$53)</f>
        <v>0</v>
      </c>
      <c r="AW173">
        <f>SUMIF('Как есть'!$A$45:$A$53,Доп.расчеты!$A173,'Как есть'!AX$45:AX$53)</f>
        <v>0</v>
      </c>
      <c r="AX173">
        <f>SUMIF('Как есть'!$A$45:$A$53,Доп.расчеты!$A173,'Как есть'!AY$45:AY$53)</f>
        <v>0</v>
      </c>
      <c r="AY173">
        <f>SUMIF('Как есть'!$A$45:$A$53,Доп.расчеты!$A173,'Как есть'!AZ$45:AZ$53)</f>
        <v>0</v>
      </c>
      <c r="AZ173">
        <f>SUMIF('Как есть'!$A$45:$A$53,Доп.расчеты!$A173,'Как есть'!BA$45:BA$53)</f>
        <v>0</v>
      </c>
      <c r="BA173">
        <f>SUMIF('Как есть'!$A$45:$A$53,Доп.расчеты!$A173,'Как есть'!BB$45:BB$53)</f>
        <v>0</v>
      </c>
      <c r="BB173">
        <f>SUMIF('Как есть'!$A$45:$A$53,Доп.расчеты!$A173,'Как есть'!BC$45:BC$53)</f>
        <v>0</v>
      </c>
      <c r="BC173">
        <f>SUMIF('Как есть'!$A$45:$A$53,Доп.расчеты!$A173,'Как есть'!BD$45:BD$53)</f>
        <v>0</v>
      </c>
      <c r="BD173">
        <f>SUMIF('Как есть'!$A$45:$A$53,Доп.расчеты!$A173,'Как есть'!BE$45:BE$53)</f>
        <v>0</v>
      </c>
      <c r="BE173">
        <f>SUMIF('Как есть'!$A$45:$A$53,Доп.расчеты!$A173,'Как есть'!BF$45:BF$53)</f>
        <v>0</v>
      </c>
      <c r="BF173">
        <f>SUMIF('Как есть'!$A$45:$A$53,Доп.расчеты!$A173,'Как есть'!BG$45:BG$53)</f>
        <v>0</v>
      </c>
      <c r="BG173">
        <f>SUMIF('Как есть'!$A$45:$A$53,Доп.расчеты!$A173,'Как есть'!BH$45:BH$53)</f>
        <v>0</v>
      </c>
      <c r="BH173">
        <f>SUMIF('Как есть'!$A$45:$A$53,Доп.расчеты!$A173,'Как есть'!BI$45:BI$53)</f>
        <v>0</v>
      </c>
      <c r="BI173">
        <f>SUMIF('Как есть'!$A$45:$A$53,Доп.расчеты!$A173,'Как есть'!BJ$45:BJ$53)</f>
        <v>0</v>
      </c>
      <c r="BJ173">
        <f>SUMIF('Как есть'!$A$45:$A$53,Доп.расчеты!$A173,'Как есть'!BK$45:BK$53)</f>
        <v>0</v>
      </c>
      <c r="BK173">
        <f>SUMIF('Как есть'!$A$45:$A$53,Доп.расчеты!$A173,'Как есть'!BL$45:BL$53)</f>
        <v>0</v>
      </c>
      <c r="BL173">
        <f>SUMIF('Как есть'!$A$45:$A$53,Доп.расчеты!$A173,'Как есть'!BM$45:BM$53)</f>
        <v>0</v>
      </c>
      <c r="BM173">
        <f>SUMIF('Как есть'!$A$45:$A$53,Доп.расчеты!$A173,'Как есть'!BN$45:BN$53)</f>
        <v>0</v>
      </c>
      <c r="BN173">
        <f>SUMIF('Как есть'!$A$45:$A$53,Доп.расчеты!$A173,'Как есть'!BO$45:BO$53)</f>
        <v>0</v>
      </c>
      <c r="BO173">
        <f>SUMIF('Как есть'!$A$45:$A$53,Доп.расчеты!$A173,'Как есть'!BP$45:BP$53)</f>
        <v>0</v>
      </c>
      <c r="BP173">
        <f>SUMIF('Как есть'!$A$45:$A$53,Доп.расчеты!$A173,'Как есть'!BQ$45:BQ$53)</f>
        <v>0</v>
      </c>
      <c r="BQ173">
        <f>SUMIF('Как есть'!$A$45:$A$53,Доп.расчеты!$A173,'Как есть'!BR$45:BR$53)</f>
        <v>0</v>
      </c>
      <c r="BR173">
        <f>SUMIF('Как есть'!$A$45:$A$53,Доп.расчеты!$A173,'Как есть'!BS$45:BS$53)</f>
        <v>0</v>
      </c>
      <c r="BS173">
        <f>SUMIF('Как есть'!$A$45:$A$53,Доп.расчеты!$A173,'Как есть'!BT$45:BT$53)</f>
        <v>0</v>
      </c>
      <c r="BT173">
        <f>SUMIF('Как есть'!$A$45:$A$53,Доп.расчеты!$A173,'Как есть'!BU$45:BU$53)</f>
        <v>0</v>
      </c>
      <c r="BU173">
        <f>SUMIF('Как есть'!$A$45:$A$53,Доп.расчеты!$A173,'Как есть'!BV$45:BV$53)</f>
        <v>0</v>
      </c>
      <c r="BV173">
        <f>SUMIF('Как есть'!$A$45:$A$53,Доп.расчеты!$A173,'Как есть'!BW$45:BW$53)</f>
        <v>0</v>
      </c>
      <c r="BW173">
        <f>SUMIF('Как есть'!$A$45:$A$53,Доп.расчеты!$A173,'Как есть'!BX$45:BX$53)</f>
        <v>0</v>
      </c>
      <c r="BX173">
        <f>SUMIF('Как есть'!$A$45:$A$53,Доп.расчеты!$A173,'Как есть'!BY$45:BY$53)</f>
        <v>0</v>
      </c>
      <c r="BY173">
        <f>SUMIF('Как есть'!$A$45:$A$53,Доп.расчеты!$A173,'Как есть'!BZ$45:BZ$53)</f>
        <v>0</v>
      </c>
      <c r="BZ173">
        <f>SUMIF('Как есть'!$A$45:$A$53,Доп.расчеты!$A173,'Как есть'!CA$45:CA$53)</f>
        <v>0</v>
      </c>
      <c r="CA173">
        <f>SUMIF('Как есть'!$A$45:$A$53,Доп.расчеты!$A173,'Как есть'!CB$45:CB$53)</f>
        <v>0</v>
      </c>
      <c r="CB173">
        <f>SUMIF('Как есть'!$A$45:$A$53,Доп.расчеты!$A173,'Как есть'!CC$45:CC$53)</f>
        <v>0</v>
      </c>
      <c r="CC173">
        <f>SUMIF('Как есть'!$A$45:$A$53,Доп.расчеты!$A173,'Как есть'!CD$45:CD$53)</f>
        <v>0</v>
      </c>
      <c r="CD173">
        <f>SUMIF('Как есть'!$A$45:$A$53,Доп.расчеты!$A173,'Как есть'!CE$45:CE$53)</f>
        <v>0</v>
      </c>
      <c r="CE173">
        <f>SUMIF('Как есть'!$A$45:$A$53,Доп.расчеты!$A173,'Как есть'!CF$45:CF$53)</f>
        <v>0</v>
      </c>
      <c r="CF173">
        <f>SUMIF('Как есть'!$A$45:$A$53,Доп.расчеты!$A173,'Как есть'!CG$45:CG$53)</f>
        <v>0</v>
      </c>
      <c r="CG173">
        <f>SUMIF('Как есть'!$A$45:$A$53,Доп.расчеты!$A173,'Как есть'!CH$45:CH$53)</f>
        <v>0</v>
      </c>
      <c r="CH173">
        <f>SUMIF('Как есть'!$A$45:$A$53,Доп.расчеты!$A173,'Как есть'!CI$45:CI$53)</f>
        <v>0</v>
      </c>
      <c r="CI173">
        <f>SUMIF('Как есть'!$A$45:$A$53,Доп.расчеты!$A173,'Как есть'!CJ$45:CJ$53)</f>
        <v>0</v>
      </c>
      <c r="CJ173">
        <f>SUMIF('Как есть'!$A$45:$A$53,Доп.расчеты!$A173,'Как есть'!CK$45:CK$53)</f>
        <v>0</v>
      </c>
      <c r="CK173">
        <f>SUMIF('Как есть'!$A$45:$A$53,Доп.расчеты!$A173,'Как есть'!CL$45:CL$53)</f>
        <v>0</v>
      </c>
      <c r="CL173">
        <f>SUMIF('Как есть'!$A$45:$A$53,Доп.расчеты!$A173,'Как есть'!CM$45:CM$53)</f>
        <v>0</v>
      </c>
      <c r="CM173">
        <f>SUMIF('Как есть'!$A$45:$A$53,Доп.расчеты!$A173,'Как есть'!CN$45:CN$53)</f>
        <v>0</v>
      </c>
      <c r="CN173">
        <f>SUMIF('Как есть'!$A$45:$A$53,Доп.расчеты!$A173,'Как есть'!CO$45:CO$53)</f>
        <v>0</v>
      </c>
      <c r="CO173">
        <f>SUMIF('Как есть'!$A$45:$A$53,Доп.расчеты!$A173,'Как есть'!CP$45:CP$53)</f>
        <v>0</v>
      </c>
      <c r="CP173">
        <f>SUMIF('Как есть'!$A$45:$A$53,Доп.расчеты!$A173,'Как есть'!CQ$45:CQ$53)</f>
        <v>0</v>
      </c>
      <c r="CQ173">
        <f>SUMIF('Как есть'!$A$45:$A$53,Доп.расчеты!$A173,'Как есть'!CR$45:CR$53)</f>
        <v>0</v>
      </c>
      <c r="CR173">
        <f>SUMIF('Как есть'!$A$45:$A$53,Доп.расчеты!$A173,'Как есть'!CS$45:CS$53)</f>
        <v>0</v>
      </c>
      <c r="CS173">
        <f>SUMIF('Как есть'!$A$45:$A$53,Доп.расчеты!$A173,'Как есть'!CT$45:CT$53)</f>
        <v>0</v>
      </c>
      <c r="CT173">
        <f>SUMIF('Как есть'!$A$45:$A$53,Доп.расчеты!$A173,'Как есть'!CU$45:CU$53)</f>
        <v>0</v>
      </c>
      <c r="CU173">
        <f>SUMIF('Как есть'!$A$45:$A$53,Доп.расчеты!$A173,'Как есть'!CV$45:CV$53)</f>
        <v>0</v>
      </c>
      <c r="CV173">
        <f>SUMIF('Как есть'!$A$45:$A$53,Доп.расчеты!$A173,'Как есть'!CW$45:CW$53)</f>
        <v>0</v>
      </c>
      <c r="CW173">
        <f>SUMIF('Как есть'!$A$45:$A$53,Доп.расчеты!$A173,'Как есть'!CX$45:CX$53)</f>
        <v>0</v>
      </c>
      <c r="CX173">
        <f>SUMIF('Как есть'!$A$45:$A$53,Доп.расчеты!$A173,'Как есть'!CY$45:CY$53)</f>
        <v>0</v>
      </c>
      <c r="CY173">
        <f>SUMIF('Как есть'!$A$45:$A$53,Доп.расчеты!$A173,'Как есть'!CZ$45:CZ$53)</f>
        <v>0</v>
      </c>
      <c r="CZ173">
        <f>SUMIF('Как есть'!$A$45:$A$53,Доп.расчеты!$A173,'Как есть'!DA$45:DA$53)</f>
        <v>0</v>
      </c>
      <c r="DA173">
        <f>SUMIF('Как есть'!$A$45:$A$53,Доп.расчеты!$A173,'Как есть'!DB$45:DB$53)</f>
        <v>0</v>
      </c>
      <c r="DB173">
        <f>SUMIF('Как есть'!$A$45:$A$53,Доп.расчеты!$A173,'Как есть'!DC$45:DC$53)</f>
        <v>0</v>
      </c>
      <c r="DC173">
        <f>SUMIF('Как есть'!$A$45:$A$53,Доп.расчеты!$A173,'Как есть'!DD$45:DD$53)</f>
        <v>0</v>
      </c>
      <c r="DD173">
        <f>SUMIF('Как есть'!$A$45:$A$53,Доп.расчеты!$A173,'Как есть'!DE$45:DE$53)</f>
        <v>0</v>
      </c>
      <c r="DE173">
        <f>SUMIF('Как есть'!$A$45:$A$53,Доп.расчеты!$A173,'Как есть'!DF$45:DF$53)</f>
        <v>0</v>
      </c>
      <c r="DF173">
        <f>SUMIF('Как есть'!$A$45:$A$53,Доп.расчеты!$A173,'Как есть'!DG$45:DG$53)</f>
        <v>0</v>
      </c>
      <c r="DG173">
        <f>SUMIF('Как есть'!$A$45:$A$53,Доп.расчеты!$A173,'Как есть'!DH$45:DH$53)</f>
        <v>0</v>
      </c>
      <c r="DH173">
        <f>SUMIF('Как есть'!$A$45:$A$53,Доп.расчеты!$A173,'Как есть'!DI$45:DI$53)</f>
        <v>0</v>
      </c>
      <c r="DI173">
        <f>SUMIF('Как есть'!$A$45:$A$53,Доп.расчеты!$A173,'Как есть'!DJ$45:DJ$53)</f>
        <v>0</v>
      </c>
      <c r="DJ173">
        <f>SUMIF('Как есть'!$A$45:$A$53,Доп.расчеты!$A173,'Как есть'!DK$45:DK$53)</f>
        <v>0</v>
      </c>
      <c r="DK173">
        <f>SUMIF('Как есть'!$A$45:$A$53,Доп.расчеты!$A173,'Как есть'!DL$45:DL$53)</f>
        <v>0</v>
      </c>
      <c r="DL173">
        <f>SUMIF('Как есть'!$A$45:$A$53,Доп.расчеты!$A173,'Как есть'!DM$45:DM$53)</f>
        <v>0</v>
      </c>
      <c r="DM173">
        <f>SUMIF('Как есть'!$A$45:$A$53,Доп.расчеты!$A173,'Как есть'!DN$45:DN$53)</f>
        <v>0</v>
      </c>
      <c r="DN173">
        <f>SUMIF('Как есть'!$A$45:$A$53,Доп.расчеты!$A173,'Как есть'!DO$45:DO$53)</f>
        <v>0</v>
      </c>
      <c r="DO173">
        <f>SUMIF('Как есть'!$A$45:$A$53,Доп.расчеты!$A173,'Как есть'!DP$45:DP$53)</f>
        <v>0</v>
      </c>
      <c r="DP173">
        <f>SUMIF('Как есть'!$A$45:$A$53,Доп.расчеты!$A173,'Как есть'!DQ$45:DQ$53)</f>
        <v>0</v>
      </c>
      <c r="DQ173">
        <f>SUMIF('Как есть'!$A$45:$A$53,Доп.расчеты!$A173,'Как есть'!DR$45:DR$53)</f>
        <v>0</v>
      </c>
      <c r="DR173">
        <f>SUMIF('Как есть'!$A$45:$A$53,Доп.расчеты!$A173,'Как есть'!DS$45:DS$53)</f>
        <v>0</v>
      </c>
      <c r="DS173">
        <f>SUMIF('Как есть'!$A$45:$A$53,Доп.расчеты!$A173,'Как есть'!DT$45:DT$53)</f>
        <v>0</v>
      </c>
      <c r="DT173">
        <f>SUMIF('Как есть'!$A$45:$A$53,Доп.расчеты!$A173,'Как есть'!DU$45:DU$53)</f>
        <v>0</v>
      </c>
      <c r="DU173">
        <f>SUMIF('Как есть'!$A$45:$A$53,Доп.расчеты!$A173,'Как есть'!DV$45:DV$53)</f>
        <v>0</v>
      </c>
      <c r="DV173">
        <f>SUMIF('Как есть'!$A$45:$A$53,Доп.расчеты!$A173,'Как есть'!DW$45:DW$53)</f>
        <v>0</v>
      </c>
      <c r="DW173">
        <f>SUMIF('Как есть'!$A$45:$A$53,Доп.расчеты!$A173,'Как есть'!DX$45:DX$53)</f>
        <v>0</v>
      </c>
      <c r="DX173">
        <f>SUMIF('Как есть'!$A$45:$A$53,Доп.расчеты!$A173,'Как есть'!DY$45:DY$53)</f>
        <v>0</v>
      </c>
      <c r="DY173">
        <f>SUMIF('Как есть'!$A$45:$A$53,Доп.расчеты!$A173,'Как есть'!DZ$45:DZ$53)</f>
        <v>0</v>
      </c>
      <c r="DZ173">
        <f>SUMIF('Как есть'!$A$45:$A$53,Доп.расчеты!$A173,'Как есть'!EA$45:EA$53)</f>
        <v>0</v>
      </c>
      <c r="EA173">
        <f>SUMIF('Как есть'!$A$45:$A$53,Доп.расчеты!$A173,'Как есть'!EB$45:EB$53)</f>
        <v>0</v>
      </c>
      <c r="EB173">
        <f>SUMIF('Как есть'!$A$45:$A$53,Доп.расчеты!$A173,'Как есть'!EC$45:EC$53)</f>
        <v>0</v>
      </c>
      <c r="EC173">
        <f>SUMIF('Как есть'!$A$45:$A$53,Доп.расчеты!$A173,'Как есть'!ED$45:ED$53)</f>
        <v>0</v>
      </c>
      <c r="ED173">
        <f>SUMIF('Как есть'!$A$45:$A$53,Доп.расчеты!$A173,'Как есть'!EE$45:EE$53)</f>
        <v>0</v>
      </c>
      <c r="EE173">
        <f>SUMIF('Как есть'!$A$45:$A$53,Доп.расчеты!$A173,'Как есть'!EF$45:EF$53)</f>
        <v>0</v>
      </c>
      <c r="EF173">
        <f>SUMIF('Как есть'!$A$45:$A$53,Доп.расчеты!$A173,'Как есть'!EG$45:EG$53)</f>
        <v>0</v>
      </c>
      <c r="EG173">
        <f>SUMIF('Как есть'!$A$45:$A$53,Доп.расчеты!$A173,'Как есть'!EH$45:EH$53)</f>
        <v>0</v>
      </c>
      <c r="EH173">
        <f>SUMIF('Как есть'!$A$45:$A$53,Доп.расчеты!$A173,'Как есть'!EI$45:EI$53)</f>
        <v>0</v>
      </c>
      <c r="EI173">
        <f>SUMIF('Как есть'!$A$45:$A$53,Доп.расчеты!$A173,'Как есть'!EJ$45:EJ$53)</f>
        <v>0</v>
      </c>
      <c r="EJ173">
        <f>SUMIF('Как есть'!$A$45:$A$53,Доп.расчеты!$A173,'Как есть'!EK$45:EK$53)</f>
        <v>0</v>
      </c>
      <c r="EK173">
        <f>SUMIF('Как есть'!$A$45:$A$53,Доп.расчеты!$A173,'Как есть'!EL$45:EL$53)</f>
        <v>0</v>
      </c>
      <c r="EL173">
        <f>SUMIF('Как есть'!$A$45:$A$53,Доп.расчеты!$A173,'Как есть'!EM$45:EM$53)</f>
        <v>0</v>
      </c>
      <c r="EM173">
        <f>SUMIF('Как есть'!$A$45:$A$53,Доп.расчеты!$A173,'Как есть'!EN$45:EN$53)</f>
        <v>0</v>
      </c>
      <c r="EN173">
        <f>SUMIF('Как есть'!$A$45:$A$53,Доп.расчеты!$A173,'Как есть'!EO$45:EO$53)</f>
        <v>0</v>
      </c>
      <c r="EO173">
        <f>SUMIF('Как есть'!$A$45:$A$53,Доп.расчеты!$A173,'Как есть'!EP$45:EP$53)</f>
        <v>0</v>
      </c>
      <c r="EP173">
        <f>SUMIF('Как есть'!$A$45:$A$53,Доп.расчеты!$A173,'Как есть'!EQ$45:EQ$53)</f>
        <v>0</v>
      </c>
      <c r="EQ173">
        <f>SUMIF('Как есть'!$A$45:$A$53,Доп.расчеты!$A173,'Как есть'!ER$45:ER$53)</f>
        <v>0</v>
      </c>
      <c r="ER173">
        <f>SUMIF('Как есть'!$A$45:$A$53,Доп.расчеты!$A173,'Как есть'!ES$45:ES$53)</f>
        <v>0</v>
      </c>
      <c r="ES173">
        <f>SUMIF('Как есть'!$A$45:$A$53,Доп.расчеты!$A173,'Как есть'!ET$45:ET$53)</f>
        <v>0</v>
      </c>
      <c r="ET173">
        <f>SUMIF('Как есть'!$A$45:$A$53,Доп.расчеты!$A173,'Как есть'!EU$45:EU$53)</f>
        <v>0</v>
      </c>
      <c r="EU173">
        <f>SUMIF('Как есть'!$A$45:$A$53,Доп.расчеты!$A173,'Как есть'!EV$45:EV$53)</f>
        <v>0</v>
      </c>
      <c r="EV173">
        <f>SUMIF('Как есть'!$A$45:$A$53,Доп.расчеты!$A173,'Как есть'!EW$45:EW$53)</f>
        <v>0</v>
      </c>
      <c r="EW173">
        <f>SUMIF('Как есть'!$A$45:$A$53,Доп.расчеты!$A173,'Как есть'!EX$45:EX$53)</f>
        <v>0</v>
      </c>
      <c r="EX173">
        <f>SUMIF('Как есть'!$A$45:$A$53,Доп.расчеты!$A173,'Как есть'!EY$45:EY$53)</f>
        <v>0</v>
      </c>
      <c r="EY173">
        <f>SUMIF('Как есть'!$A$45:$A$53,Доп.расчеты!$A173,'Как есть'!EZ$45:EZ$53)</f>
        <v>0</v>
      </c>
      <c r="EZ173">
        <f>SUMIF('Как есть'!$A$45:$A$53,Доп.расчеты!$A173,'Как есть'!FA$45:FA$53)</f>
        <v>0</v>
      </c>
      <c r="FA173">
        <f>SUMIF('Как есть'!$A$45:$A$53,Доп.расчеты!$A173,'Как есть'!FB$45:FB$53)</f>
        <v>0</v>
      </c>
      <c r="FB173">
        <f>SUMIF('Как есть'!$A$45:$A$53,Доп.расчеты!$A173,'Как есть'!FC$45:FC$53)</f>
        <v>0</v>
      </c>
      <c r="FC173">
        <f>SUMIF('Как есть'!$A$45:$A$53,Доп.расчеты!$A173,'Как есть'!FD$45:FD$53)</f>
        <v>0</v>
      </c>
      <c r="FD173">
        <f>SUMIF('Как есть'!$A$45:$A$53,Доп.расчеты!$A173,'Как есть'!FE$45:FE$53)</f>
        <v>0</v>
      </c>
      <c r="FE173">
        <f>SUMIF('Как есть'!$A$45:$A$53,Доп.расчеты!$A173,'Как есть'!FF$45:FF$53)</f>
        <v>0</v>
      </c>
      <c r="FF173">
        <f>SUMIF('Как есть'!$A$45:$A$53,Доп.расчеты!$A173,'Как есть'!FG$45:FG$53)</f>
        <v>0</v>
      </c>
      <c r="FG173">
        <f>SUMIF('Как есть'!$A$45:$A$53,Доп.расчеты!$A173,'Как есть'!FH$45:FH$53)</f>
        <v>0</v>
      </c>
      <c r="FH173">
        <f>SUMIF('Как есть'!$A$45:$A$53,Доп.расчеты!$A173,'Как есть'!FI$45:FI$53)</f>
        <v>0</v>
      </c>
      <c r="FI173">
        <f>SUMIF('Как есть'!$A$45:$A$53,Доп.расчеты!$A173,'Как есть'!FJ$45:FJ$53)</f>
        <v>0</v>
      </c>
      <c r="FJ173">
        <f>SUMIF('Как есть'!$A$45:$A$53,Доп.расчеты!$A173,'Как есть'!FK$45:FK$53)</f>
        <v>0</v>
      </c>
      <c r="FK173">
        <f>SUMIF('Как есть'!$A$45:$A$53,Доп.расчеты!$A173,'Как есть'!FL$45:FL$53)</f>
        <v>0</v>
      </c>
      <c r="FL173">
        <f>SUMIF('Как есть'!$A$45:$A$53,Доп.расчеты!$A173,'Как есть'!FM$45:FM$53)</f>
        <v>0</v>
      </c>
      <c r="FM173">
        <f>SUMIF('Как есть'!$A$45:$A$53,Доп.расчеты!$A173,'Как есть'!FN$45:FN$53)</f>
        <v>0</v>
      </c>
      <c r="FN173">
        <f>SUMIF('Как есть'!$A$45:$A$53,Доп.расчеты!$A173,'Как есть'!FO$45:FO$53)</f>
        <v>0</v>
      </c>
      <c r="FO173">
        <f>SUMIF('Как есть'!$A$45:$A$53,Доп.расчеты!$A173,'Как есть'!FP$45:FP$53)</f>
        <v>0</v>
      </c>
      <c r="FP173">
        <f>SUMIF('Как есть'!$A$45:$A$53,Доп.расчеты!$A173,'Как есть'!FQ$45:FQ$53)</f>
        <v>0</v>
      </c>
      <c r="FQ173">
        <f>SUMIF('Как есть'!$A$45:$A$53,Доп.расчеты!$A173,'Как есть'!FR$45:FR$53)</f>
        <v>0</v>
      </c>
      <c r="FR173">
        <f>SUMIF('Как есть'!$A$45:$A$53,Доп.расчеты!$A173,'Как есть'!FS$45:FS$53)</f>
        <v>0</v>
      </c>
      <c r="FS173">
        <f>SUMIF('Как есть'!$A$45:$A$53,Доп.расчеты!$A173,'Как есть'!FT$45:FT$53)</f>
        <v>0</v>
      </c>
      <c r="FT173">
        <f>SUMIF('Как есть'!$A$45:$A$53,Доп.расчеты!$A173,'Как есть'!FU$45:FU$53)</f>
        <v>0</v>
      </c>
      <c r="FU173">
        <f>SUMIF('Как есть'!$A$45:$A$53,Доп.расчеты!$A173,'Как есть'!FV$45:FV$53)</f>
        <v>0</v>
      </c>
      <c r="FV173">
        <f>SUMIF('Как есть'!$A$45:$A$53,Доп.расчеты!$A173,'Как есть'!FW$45:FW$53)</f>
        <v>0</v>
      </c>
      <c r="FW173">
        <f>SUMIF('Как есть'!$A$45:$A$53,Доп.расчеты!$A173,'Как есть'!FX$45:FX$53)</f>
        <v>0</v>
      </c>
      <c r="FX173">
        <f>SUMIF('Как есть'!$A$45:$A$53,Доп.расчеты!$A173,'Как есть'!FY$45:FY$53)</f>
        <v>0</v>
      </c>
      <c r="FY173">
        <f>SUMIF('Как есть'!$A$45:$A$53,Доп.расчеты!$A173,'Как есть'!FZ$45:FZ$53)</f>
        <v>0</v>
      </c>
      <c r="FZ173">
        <f>SUMIF('Как есть'!$A$45:$A$53,Доп.расчеты!$A173,'Как есть'!GA$45:GA$53)</f>
        <v>0</v>
      </c>
      <c r="GA173">
        <f>SUMIF('Как есть'!$A$45:$A$53,Доп.расчеты!$A173,'Как есть'!GB$45:GB$53)</f>
        <v>0</v>
      </c>
      <c r="GB173">
        <f>SUMIF('Как есть'!$A$45:$A$53,Доп.расчеты!$A173,'Как есть'!GC$45:GC$53)</f>
        <v>0</v>
      </c>
      <c r="GC173">
        <f>SUMIF('Как есть'!$A$45:$A$53,Доп.расчеты!$A173,'Как есть'!GD$45:GD$53)</f>
        <v>0</v>
      </c>
      <c r="GD173">
        <f>SUMIF('Как есть'!$A$45:$A$53,Доп.расчеты!$A173,'Как есть'!GE$45:GE$53)</f>
        <v>0</v>
      </c>
      <c r="GE173">
        <f>SUMIF('Как есть'!$A$45:$A$53,Доп.расчеты!$A173,'Как есть'!GF$45:GF$53)</f>
        <v>0</v>
      </c>
      <c r="GF173">
        <f>SUMIF('Как есть'!$A$45:$A$53,Доп.расчеты!$A173,'Как есть'!GG$45:GG$53)</f>
        <v>0</v>
      </c>
      <c r="GG173">
        <f>SUMIF('Как есть'!$A$45:$A$53,Доп.расчеты!$A173,'Как есть'!GH$45:GH$53)</f>
        <v>0</v>
      </c>
      <c r="GH173">
        <f>SUMIF('Как есть'!$A$45:$A$53,Доп.расчеты!$A173,'Как есть'!GI$45:GI$53)</f>
        <v>0</v>
      </c>
      <c r="GI173">
        <f>SUMIF('Как есть'!$A$45:$A$53,Доп.расчеты!$A173,'Как есть'!GJ$45:GJ$53)</f>
        <v>0</v>
      </c>
      <c r="GJ173">
        <f>SUMIF('Как есть'!$A$45:$A$53,Доп.расчеты!$A173,'Как есть'!GK$45:GK$53)</f>
        <v>0</v>
      </c>
      <c r="GK173">
        <f>SUMIF('Как есть'!$A$45:$A$53,Доп.расчеты!$A173,'Как есть'!GL$45:GL$53)</f>
        <v>0</v>
      </c>
      <c r="GL173">
        <f>SUMIF('Как есть'!$A$45:$A$53,Доп.расчеты!$A173,'Как есть'!GM$45:GM$53)</f>
        <v>0</v>
      </c>
      <c r="GM173">
        <f>SUMIF('Как есть'!$A$45:$A$53,Доп.расчеты!$A173,'Как есть'!GN$45:GN$53)</f>
        <v>0</v>
      </c>
      <c r="GN173">
        <f>SUMIF('Как есть'!$A$45:$A$53,Доп.расчеты!$A173,'Как есть'!GO$45:GO$53)</f>
        <v>0</v>
      </c>
      <c r="GO173">
        <f>SUMIF('Как есть'!$A$45:$A$53,Доп.расчеты!$A173,'Как есть'!GP$45:GP$53)</f>
        <v>0</v>
      </c>
      <c r="GP173">
        <f>SUMIF('Как есть'!$A$45:$A$53,Доп.расчеты!$A173,'Как есть'!GQ$45:GQ$53)</f>
        <v>0</v>
      </c>
      <c r="GQ173">
        <f>SUMIF('Как есть'!$A$45:$A$53,Доп.расчеты!$A173,'Как есть'!GR$45:GR$53)</f>
        <v>0</v>
      </c>
      <c r="GR173">
        <f>SUMIF('Как есть'!$A$45:$A$53,Доп.расчеты!$A173,'Как есть'!GS$45:GS$53)</f>
        <v>0</v>
      </c>
      <c r="GS173">
        <f>SUMIF('Как есть'!$A$45:$A$53,Доп.расчеты!$A173,'Как есть'!GT$45:GT$53)</f>
        <v>0</v>
      </c>
      <c r="GT173">
        <f>SUMIF('Как есть'!$A$45:$A$53,Доп.расчеты!$A173,'Как есть'!GU$45:GU$53)</f>
        <v>0</v>
      </c>
    </row>
    <row r="174" spans="1:202" hidden="1" outlineLevel="1">
      <c r="A174" s="238" t="s">
        <v>110</v>
      </c>
      <c r="B174">
        <f>SUMIF('Как есть'!$A$45:$A$53,Доп.расчеты!$A174,'Как есть'!C$45:C$53)</f>
        <v>0</v>
      </c>
      <c r="C174">
        <f>SUMIF('Как есть'!$A$45:$A$53,Доп.расчеты!$A174,'Как есть'!D$45:D$53)</f>
        <v>0</v>
      </c>
      <c r="D174">
        <f>SUMIF('Как есть'!$A$45:$A$53,Доп.расчеты!$A174,'Как есть'!E$45:E$53)</f>
        <v>0</v>
      </c>
      <c r="E174">
        <f>SUMIF('Как есть'!$A$45:$A$53,Доп.расчеты!$A174,'Как есть'!F$45:F$53)</f>
        <v>0</v>
      </c>
      <c r="F174">
        <f>SUMIF('Как есть'!$A$45:$A$53,Доп.расчеты!$A174,'Как есть'!G$45:G$53)</f>
        <v>0</v>
      </c>
      <c r="G174">
        <f>SUMIF('Как есть'!$A$45:$A$53,Доп.расчеты!$A174,'Как есть'!H$45:H$53)</f>
        <v>0</v>
      </c>
      <c r="H174">
        <f>SUMIF('Как есть'!$A$45:$A$53,Доп.расчеты!$A174,'Как есть'!I$45:I$53)</f>
        <v>0</v>
      </c>
      <c r="I174">
        <f>SUMIF('Как есть'!$A$45:$A$53,Доп.расчеты!$A174,'Как есть'!J$45:J$53)</f>
        <v>0</v>
      </c>
      <c r="J174">
        <f>SUMIF('Как есть'!$A$45:$A$53,Доп.расчеты!$A174,'Как есть'!K$45:K$53)</f>
        <v>0</v>
      </c>
      <c r="K174">
        <f>SUMIF('Как есть'!$A$45:$A$53,Доп.расчеты!$A174,'Как есть'!L$45:L$53)</f>
        <v>0</v>
      </c>
      <c r="L174">
        <f>SUMIF('Как есть'!$A$45:$A$53,Доп.расчеты!$A174,'Как есть'!M$45:M$53)</f>
        <v>0</v>
      </c>
      <c r="M174">
        <f>SUMIF('Как есть'!$A$45:$A$53,Доп.расчеты!$A174,'Как есть'!N$45:N$53)</f>
        <v>0</v>
      </c>
      <c r="N174">
        <f>SUMIF('Как есть'!$A$45:$A$53,Доп.расчеты!$A174,'Как есть'!O$45:O$53)</f>
        <v>0</v>
      </c>
      <c r="O174">
        <f>SUMIF('Как есть'!$A$45:$A$53,Доп.расчеты!$A174,'Как есть'!P$45:P$53)</f>
        <v>0</v>
      </c>
      <c r="P174">
        <f>SUMIF('Как есть'!$A$45:$A$53,Доп.расчеты!$A174,'Как есть'!Q$45:Q$53)</f>
        <v>0</v>
      </c>
      <c r="Q174">
        <f>SUMIF('Как есть'!$A$45:$A$53,Доп.расчеты!$A174,'Как есть'!R$45:R$53)</f>
        <v>0</v>
      </c>
      <c r="R174">
        <f>SUMIF('Как есть'!$A$45:$A$53,Доп.расчеты!$A174,'Как есть'!S$45:S$53)</f>
        <v>0</v>
      </c>
      <c r="S174">
        <f>SUMIF('Как есть'!$A$45:$A$53,Доп.расчеты!$A174,'Как есть'!T$45:T$53)</f>
        <v>0</v>
      </c>
      <c r="T174">
        <f>SUMIF('Как есть'!$A$45:$A$53,Доп.расчеты!$A174,'Как есть'!U$45:U$53)</f>
        <v>0</v>
      </c>
      <c r="U174">
        <f>SUMIF('Как есть'!$A$45:$A$53,Доп.расчеты!$A174,'Как есть'!V$45:V$53)</f>
        <v>0</v>
      </c>
      <c r="V174">
        <f>SUMIF('Как есть'!$A$45:$A$53,Доп.расчеты!$A174,'Как есть'!W$45:W$53)</f>
        <v>0</v>
      </c>
      <c r="W174">
        <f>SUMIF('Как есть'!$A$45:$A$53,Доп.расчеты!$A174,'Как есть'!X$45:X$53)</f>
        <v>0</v>
      </c>
      <c r="X174">
        <f>SUMIF('Как есть'!$A$45:$A$53,Доп.расчеты!$A174,'Как есть'!Y$45:Y$53)</f>
        <v>0</v>
      </c>
      <c r="Y174">
        <f>SUMIF('Как есть'!$A$45:$A$53,Доп.расчеты!$A174,'Как есть'!Z$45:Z$53)</f>
        <v>0</v>
      </c>
      <c r="Z174">
        <f>SUMIF('Как есть'!$A$45:$A$53,Доп.расчеты!$A174,'Как есть'!AA$45:AA$53)</f>
        <v>0</v>
      </c>
      <c r="AA174">
        <f>SUMIF('Как есть'!$A$45:$A$53,Доп.расчеты!$A174,'Как есть'!AB$45:AB$53)</f>
        <v>0</v>
      </c>
      <c r="AB174">
        <f>SUMIF('Как есть'!$A$45:$A$53,Доп.расчеты!$A174,'Как есть'!AC$45:AC$53)</f>
        <v>0</v>
      </c>
      <c r="AC174">
        <f>SUMIF('Как есть'!$A$45:$A$53,Доп.расчеты!$A174,'Как есть'!AD$45:AD$53)</f>
        <v>0</v>
      </c>
      <c r="AD174">
        <f>SUMIF('Как есть'!$A$45:$A$53,Доп.расчеты!$A174,'Как есть'!AE$45:AE$53)</f>
        <v>0</v>
      </c>
      <c r="AE174">
        <f>SUMIF('Как есть'!$A$45:$A$53,Доп.расчеты!$A174,'Как есть'!AF$45:AF$53)</f>
        <v>0</v>
      </c>
      <c r="AF174">
        <f>SUMIF('Как есть'!$A$45:$A$53,Доп.расчеты!$A174,'Как есть'!AG$45:AG$53)</f>
        <v>0</v>
      </c>
      <c r="AG174">
        <f>SUMIF('Как есть'!$A$45:$A$53,Доп.расчеты!$A174,'Как есть'!AH$45:AH$53)</f>
        <v>0</v>
      </c>
      <c r="AH174">
        <f>SUMIF('Как есть'!$A$45:$A$53,Доп.расчеты!$A174,'Как есть'!AI$45:AI$53)</f>
        <v>0</v>
      </c>
      <c r="AI174">
        <f>SUMIF('Как есть'!$A$45:$A$53,Доп.расчеты!$A174,'Как есть'!AJ$45:AJ$53)</f>
        <v>0</v>
      </c>
      <c r="AJ174">
        <f>SUMIF('Как есть'!$A$45:$A$53,Доп.расчеты!$A174,'Как есть'!AK$45:AK$53)</f>
        <v>0</v>
      </c>
      <c r="AK174">
        <f>SUMIF('Как есть'!$A$45:$A$53,Доп.расчеты!$A174,'Как есть'!AL$45:AL$53)</f>
        <v>0</v>
      </c>
      <c r="AL174">
        <f>SUMIF('Как есть'!$A$45:$A$53,Доп.расчеты!$A174,'Как есть'!AM$45:AM$53)</f>
        <v>0</v>
      </c>
      <c r="AM174">
        <f>SUMIF('Как есть'!$A$45:$A$53,Доп.расчеты!$A174,'Как есть'!AN$45:AN$53)</f>
        <v>0</v>
      </c>
      <c r="AN174">
        <f>SUMIF('Как есть'!$A$45:$A$53,Доп.расчеты!$A174,'Как есть'!AO$45:AO$53)</f>
        <v>0</v>
      </c>
      <c r="AO174">
        <f>SUMIF('Как есть'!$A$45:$A$53,Доп.расчеты!$A174,'Как есть'!AP$45:AP$53)</f>
        <v>0</v>
      </c>
      <c r="AP174">
        <f>SUMIF('Как есть'!$A$45:$A$53,Доп.расчеты!$A174,'Как есть'!AQ$45:AQ$53)</f>
        <v>0</v>
      </c>
      <c r="AQ174">
        <f>SUMIF('Как есть'!$A$45:$A$53,Доп.расчеты!$A174,'Как есть'!AR$45:AR$53)</f>
        <v>0</v>
      </c>
      <c r="AR174">
        <f>SUMIF('Как есть'!$A$45:$A$53,Доп.расчеты!$A174,'Как есть'!AS$45:AS$53)</f>
        <v>0</v>
      </c>
      <c r="AS174">
        <f>SUMIF('Как есть'!$A$45:$A$53,Доп.расчеты!$A174,'Как есть'!AT$45:AT$53)</f>
        <v>0</v>
      </c>
      <c r="AT174">
        <f>SUMIF('Как есть'!$A$45:$A$53,Доп.расчеты!$A174,'Как есть'!AU$45:AU$53)</f>
        <v>0</v>
      </c>
      <c r="AU174">
        <f>SUMIF('Как есть'!$A$45:$A$53,Доп.расчеты!$A174,'Как есть'!AV$45:AV$53)</f>
        <v>0</v>
      </c>
      <c r="AV174">
        <f>SUMIF('Как есть'!$A$45:$A$53,Доп.расчеты!$A174,'Как есть'!AW$45:AW$53)</f>
        <v>0</v>
      </c>
      <c r="AW174">
        <f>SUMIF('Как есть'!$A$45:$A$53,Доп.расчеты!$A174,'Как есть'!AX$45:AX$53)</f>
        <v>0</v>
      </c>
      <c r="AX174">
        <f>SUMIF('Как есть'!$A$45:$A$53,Доп.расчеты!$A174,'Как есть'!AY$45:AY$53)</f>
        <v>0</v>
      </c>
      <c r="AY174">
        <f>SUMIF('Как есть'!$A$45:$A$53,Доп.расчеты!$A174,'Как есть'!AZ$45:AZ$53)</f>
        <v>0</v>
      </c>
      <c r="AZ174">
        <f>SUMIF('Как есть'!$A$45:$A$53,Доп.расчеты!$A174,'Как есть'!BA$45:BA$53)</f>
        <v>0</v>
      </c>
      <c r="BA174">
        <f>SUMIF('Как есть'!$A$45:$A$53,Доп.расчеты!$A174,'Как есть'!BB$45:BB$53)</f>
        <v>0</v>
      </c>
      <c r="BB174">
        <f>SUMIF('Как есть'!$A$45:$A$53,Доп.расчеты!$A174,'Как есть'!BC$45:BC$53)</f>
        <v>0</v>
      </c>
      <c r="BC174">
        <f>SUMIF('Как есть'!$A$45:$A$53,Доп.расчеты!$A174,'Как есть'!BD$45:BD$53)</f>
        <v>0</v>
      </c>
      <c r="BD174">
        <f>SUMIF('Как есть'!$A$45:$A$53,Доп.расчеты!$A174,'Как есть'!BE$45:BE$53)</f>
        <v>0</v>
      </c>
      <c r="BE174">
        <f>SUMIF('Как есть'!$A$45:$A$53,Доп.расчеты!$A174,'Как есть'!BF$45:BF$53)</f>
        <v>0</v>
      </c>
      <c r="BF174">
        <f>SUMIF('Как есть'!$A$45:$A$53,Доп.расчеты!$A174,'Как есть'!BG$45:BG$53)</f>
        <v>0</v>
      </c>
      <c r="BG174">
        <f>SUMIF('Как есть'!$A$45:$A$53,Доп.расчеты!$A174,'Как есть'!BH$45:BH$53)</f>
        <v>0</v>
      </c>
      <c r="BH174">
        <f>SUMIF('Как есть'!$A$45:$A$53,Доп.расчеты!$A174,'Как есть'!BI$45:BI$53)</f>
        <v>0</v>
      </c>
      <c r="BI174">
        <f>SUMIF('Как есть'!$A$45:$A$53,Доп.расчеты!$A174,'Как есть'!BJ$45:BJ$53)</f>
        <v>0</v>
      </c>
      <c r="BJ174">
        <f>SUMIF('Как есть'!$A$45:$A$53,Доп.расчеты!$A174,'Как есть'!BK$45:BK$53)</f>
        <v>0</v>
      </c>
      <c r="BK174">
        <f>SUMIF('Как есть'!$A$45:$A$53,Доп.расчеты!$A174,'Как есть'!BL$45:BL$53)</f>
        <v>0</v>
      </c>
      <c r="BL174">
        <f>SUMIF('Как есть'!$A$45:$A$53,Доп.расчеты!$A174,'Как есть'!BM$45:BM$53)</f>
        <v>0</v>
      </c>
      <c r="BM174">
        <f>SUMIF('Как есть'!$A$45:$A$53,Доп.расчеты!$A174,'Как есть'!BN$45:BN$53)</f>
        <v>0</v>
      </c>
      <c r="BN174">
        <f>SUMIF('Как есть'!$A$45:$A$53,Доп.расчеты!$A174,'Как есть'!BO$45:BO$53)</f>
        <v>0</v>
      </c>
      <c r="BO174">
        <f>SUMIF('Как есть'!$A$45:$A$53,Доп.расчеты!$A174,'Как есть'!BP$45:BP$53)</f>
        <v>0</v>
      </c>
      <c r="BP174">
        <f>SUMIF('Как есть'!$A$45:$A$53,Доп.расчеты!$A174,'Как есть'!BQ$45:BQ$53)</f>
        <v>0</v>
      </c>
      <c r="BQ174">
        <f>SUMIF('Как есть'!$A$45:$A$53,Доп.расчеты!$A174,'Как есть'!BR$45:BR$53)</f>
        <v>0</v>
      </c>
      <c r="BR174">
        <f>SUMIF('Как есть'!$A$45:$A$53,Доп.расчеты!$A174,'Как есть'!BS$45:BS$53)</f>
        <v>0</v>
      </c>
      <c r="BS174">
        <f>SUMIF('Как есть'!$A$45:$A$53,Доп.расчеты!$A174,'Как есть'!BT$45:BT$53)</f>
        <v>0</v>
      </c>
      <c r="BT174">
        <f>SUMIF('Как есть'!$A$45:$A$53,Доп.расчеты!$A174,'Как есть'!BU$45:BU$53)</f>
        <v>0</v>
      </c>
      <c r="BU174">
        <f>SUMIF('Как есть'!$A$45:$A$53,Доп.расчеты!$A174,'Как есть'!BV$45:BV$53)</f>
        <v>0</v>
      </c>
      <c r="BV174">
        <f>SUMIF('Как есть'!$A$45:$A$53,Доп.расчеты!$A174,'Как есть'!BW$45:BW$53)</f>
        <v>0</v>
      </c>
      <c r="BW174">
        <f>SUMIF('Как есть'!$A$45:$A$53,Доп.расчеты!$A174,'Как есть'!BX$45:BX$53)</f>
        <v>0</v>
      </c>
      <c r="BX174">
        <f>SUMIF('Как есть'!$A$45:$A$53,Доп.расчеты!$A174,'Как есть'!BY$45:BY$53)</f>
        <v>0</v>
      </c>
      <c r="BY174">
        <f>SUMIF('Как есть'!$A$45:$A$53,Доп.расчеты!$A174,'Как есть'!BZ$45:BZ$53)</f>
        <v>0</v>
      </c>
      <c r="BZ174">
        <f>SUMIF('Как есть'!$A$45:$A$53,Доп.расчеты!$A174,'Как есть'!CA$45:CA$53)</f>
        <v>0</v>
      </c>
      <c r="CA174">
        <f>SUMIF('Как есть'!$A$45:$A$53,Доп.расчеты!$A174,'Как есть'!CB$45:CB$53)</f>
        <v>0</v>
      </c>
      <c r="CB174">
        <f>SUMIF('Как есть'!$A$45:$A$53,Доп.расчеты!$A174,'Как есть'!CC$45:CC$53)</f>
        <v>0</v>
      </c>
      <c r="CC174">
        <f>SUMIF('Как есть'!$A$45:$A$53,Доп.расчеты!$A174,'Как есть'!CD$45:CD$53)</f>
        <v>0</v>
      </c>
      <c r="CD174">
        <f>SUMIF('Как есть'!$A$45:$A$53,Доп.расчеты!$A174,'Как есть'!CE$45:CE$53)</f>
        <v>0</v>
      </c>
      <c r="CE174">
        <f>SUMIF('Как есть'!$A$45:$A$53,Доп.расчеты!$A174,'Как есть'!CF$45:CF$53)</f>
        <v>0</v>
      </c>
      <c r="CF174">
        <f>SUMIF('Как есть'!$A$45:$A$53,Доп.расчеты!$A174,'Как есть'!CG$45:CG$53)</f>
        <v>0</v>
      </c>
      <c r="CG174">
        <f>SUMIF('Как есть'!$A$45:$A$53,Доп.расчеты!$A174,'Как есть'!CH$45:CH$53)</f>
        <v>0</v>
      </c>
      <c r="CH174">
        <f>SUMIF('Как есть'!$A$45:$A$53,Доп.расчеты!$A174,'Как есть'!CI$45:CI$53)</f>
        <v>0</v>
      </c>
      <c r="CI174">
        <f>SUMIF('Как есть'!$A$45:$A$53,Доп.расчеты!$A174,'Как есть'!CJ$45:CJ$53)</f>
        <v>0</v>
      </c>
      <c r="CJ174">
        <f>SUMIF('Как есть'!$A$45:$A$53,Доп.расчеты!$A174,'Как есть'!CK$45:CK$53)</f>
        <v>0</v>
      </c>
      <c r="CK174">
        <f>SUMIF('Как есть'!$A$45:$A$53,Доп.расчеты!$A174,'Как есть'!CL$45:CL$53)</f>
        <v>0</v>
      </c>
      <c r="CL174">
        <f>SUMIF('Как есть'!$A$45:$A$53,Доп.расчеты!$A174,'Как есть'!CM$45:CM$53)</f>
        <v>0</v>
      </c>
      <c r="CM174">
        <f>SUMIF('Как есть'!$A$45:$A$53,Доп.расчеты!$A174,'Как есть'!CN$45:CN$53)</f>
        <v>0</v>
      </c>
      <c r="CN174">
        <f>SUMIF('Как есть'!$A$45:$A$53,Доп.расчеты!$A174,'Как есть'!CO$45:CO$53)</f>
        <v>0</v>
      </c>
      <c r="CO174">
        <f>SUMIF('Как есть'!$A$45:$A$53,Доп.расчеты!$A174,'Как есть'!CP$45:CP$53)</f>
        <v>0</v>
      </c>
      <c r="CP174">
        <f>SUMIF('Как есть'!$A$45:$A$53,Доп.расчеты!$A174,'Как есть'!CQ$45:CQ$53)</f>
        <v>0</v>
      </c>
      <c r="CQ174">
        <f>SUMIF('Как есть'!$A$45:$A$53,Доп.расчеты!$A174,'Как есть'!CR$45:CR$53)</f>
        <v>0</v>
      </c>
      <c r="CR174">
        <f>SUMIF('Как есть'!$A$45:$A$53,Доп.расчеты!$A174,'Как есть'!CS$45:CS$53)</f>
        <v>0</v>
      </c>
      <c r="CS174">
        <f>SUMIF('Как есть'!$A$45:$A$53,Доп.расчеты!$A174,'Как есть'!CT$45:CT$53)</f>
        <v>0</v>
      </c>
      <c r="CT174">
        <f>SUMIF('Как есть'!$A$45:$A$53,Доп.расчеты!$A174,'Как есть'!CU$45:CU$53)</f>
        <v>0</v>
      </c>
      <c r="CU174">
        <f>SUMIF('Как есть'!$A$45:$A$53,Доп.расчеты!$A174,'Как есть'!CV$45:CV$53)</f>
        <v>0</v>
      </c>
      <c r="CV174">
        <f>SUMIF('Как есть'!$A$45:$A$53,Доп.расчеты!$A174,'Как есть'!CW$45:CW$53)</f>
        <v>0</v>
      </c>
      <c r="CW174">
        <f>SUMIF('Как есть'!$A$45:$A$53,Доп.расчеты!$A174,'Как есть'!CX$45:CX$53)</f>
        <v>0</v>
      </c>
      <c r="CX174">
        <f>SUMIF('Как есть'!$A$45:$A$53,Доп.расчеты!$A174,'Как есть'!CY$45:CY$53)</f>
        <v>0</v>
      </c>
      <c r="CY174">
        <f>SUMIF('Как есть'!$A$45:$A$53,Доп.расчеты!$A174,'Как есть'!CZ$45:CZ$53)</f>
        <v>0</v>
      </c>
      <c r="CZ174">
        <f>SUMIF('Как есть'!$A$45:$A$53,Доп.расчеты!$A174,'Как есть'!DA$45:DA$53)</f>
        <v>0</v>
      </c>
      <c r="DA174">
        <f>SUMIF('Как есть'!$A$45:$A$53,Доп.расчеты!$A174,'Как есть'!DB$45:DB$53)</f>
        <v>0</v>
      </c>
      <c r="DB174">
        <f>SUMIF('Как есть'!$A$45:$A$53,Доп.расчеты!$A174,'Как есть'!DC$45:DC$53)</f>
        <v>0</v>
      </c>
      <c r="DC174">
        <f>SUMIF('Как есть'!$A$45:$A$53,Доп.расчеты!$A174,'Как есть'!DD$45:DD$53)</f>
        <v>0</v>
      </c>
      <c r="DD174">
        <f>SUMIF('Как есть'!$A$45:$A$53,Доп.расчеты!$A174,'Как есть'!DE$45:DE$53)</f>
        <v>0</v>
      </c>
      <c r="DE174">
        <f>SUMIF('Как есть'!$A$45:$A$53,Доп.расчеты!$A174,'Как есть'!DF$45:DF$53)</f>
        <v>0</v>
      </c>
      <c r="DF174">
        <f>SUMIF('Как есть'!$A$45:$A$53,Доп.расчеты!$A174,'Как есть'!DG$45:DG$53)</f>
        <v>0</v>
      </c>
      <c r="DG174">
        <f>SUMIF('Как есть'!$A$45:$A$53,Доп.расчеты!$A174,'Как есть'!DH$45:DH$53)</f>
        <v>0</v>
      </c>
      <c r="DH174">
        <f>SUMIF('Как есть'!$A$45:$A$53,Доп.расчеты!$A174,'Как есть'!DI$45:DI$53)</f>
        <v>0</v>
      </c>
      <c r="DI174">
        <f>SUMIF('Как есть'!$A$45:$A$53,Доп.расчеты!$A174,'Как есть'!DJ$45:DJ$53)</f>
        <v>0</v>
      </c>
      <c r="DJ174">
        <f>SUMIF('Как есть'!$A$45:$A$53,Доп.расчеты!$A174,'Как есть'!DK$45:DK$53)</f>
        <v>0</v>
      </c>
      <c r="DK174">
        <f>SUMIF('Как есть'!$A$45:$A$53,Доп.расчеты!$A174,'Как есть'!DL$45:DL$53)</f>
        <v>0</v>
      </c>
      <c r="DL174">
        <f>SUMIF('Как есть'!$A$45:$A$53,Доп.расчеты!$A174,'Как есть'!DM$45:DM$53)</f>
        <v>0</v>
      </c>
      <c r="DM174">
        <f>SUMIF('Как есть'!$A$45:$A$53,Доп.расчеты!$A174,'Как есть'!DN$45:DN$53)</f>
        <v>0</v>
      </c>
      <c r="DN174">
        <f>SUMIF('Как есть'!$A$45:$A$53,Доп.расчеты!$A174,'Как есть'!DO$45:DO$53)</f>
        <v>0</v>
      </c>
      <c r="DO174">
        <f>SUMIF('Как есть'!$A$45:$A$53,Доп.расчеты!$A174,'Как есть'!DP$45:DP$53)</f>
        <v>0</v>
      </c>
      <c r="DP174">
        <f>SUMIF('Как есть'!$A$45:$A$53,Доп.расчеты!$A174,'Как есть'!DQ$45:DQ$53)</f>
        <v>0</v>
      </c>
      <c r="DQ174">
        <f>SUMIF('Как есть'!$A$45:$A$53,Доп.расчеты!$A174,'Как есть'!DR$45:DR$53)</f>
        <v>0</v>
      </c>
      <c r="DR174">
        <f>SUMIF('Как есть'!$A$45:$A$53,Доп.расчеты!$A174,'Как есть'!DS$45:DS$53)</f>
        <v>0</v>
      </c>
      <c r="DS174">
        <f>SUMIF('Как есть'!$A$45:$A$53,Доп.расчеты!$A174,'Как есть'!DT$45:DT$53)</f>
        <v>0</v>
      </c>
      <c r="DT174">
        <f>SUMIF('Как есть'!$A$45:$A$53,Доп.расчеты!$A174,'Как есть'!DU$45:DU$53)</f>
        <v>0</v>
      </c>
      <c r="DU174">
        <f>SUMIF('Как есть'!$A$45:$A$53,Доп.расчеты!$A174,'Как есть'!DV$45:DV$53)</f>
        <v>0</v>
      </c>
      <c r="DV174">
        <f>SUMIF('Как есть'!$A$45:$A$53,Доп.расчеты!$A174,'Как есть'!DW$45:DW$53)</f>
        <v>0</v>
      </c>
      <c r="DW174">
        <f>SUMIF('Как есть'!$A$45:$A$53,Доп.расчеты!$A174,'Как есть'!DX$45:DX$53)</f>
        <v>0</v>
      </c>
      <c r="DX174">
        <f>SUMIF('Как есть'!$A$45:$A$53,Доп.расчеты!$A174,'Как есть'!DY$45:DY$53)</f>
        <v>0</v>
      </c>
      <c r="DY174">
        <f>SUMIF('Как есть'!$A$45:$A$53,Доп.расчеты!$A174,'Как есть'!DZ$45:DZ$53)</f>
        <v>0</v>
      </c>
      <c r="DZ174">
        <f>SUMIF('Как есть'!$A$45:$A$53,Доп.расчеты!$A174,'Как есть'!EA$45:EA$53)</f>
        <v>0</v>
      </c>
      <c r="EA174">
        <f>SUMIF('Как есть'!$A$45:$A$53,Доп.расчеты!$A174,'Как есть'!EB$45:EB$53)</f>
        <v>0</v>
      </c>
      <c r="EB174">
        <f>SUMIF('Как есть'!$A$45:$A$53,Доп.расчеты!$A174,'Как есть'!EC$45:EC$53)</f>
        <v>0</v>
      </c>
      <c r="EC174">
        <f>SUMIF('Как есть'!$A$45:$A$53,Доп.расчеты!$A174,'Как есть'!ED$45:ED$53)</f>
        <v>0</v>
      </c>
      <c r="ED174">
        <f>SUMIF('Как есть'!$A$45:$A$53,Доп.расчеты!$A174,'Как есть'!EE$45:EE$53)</f>
        <v>0</v>
      </c>
      <c r="EE174">
        <f>SUMIF('Как есть'!$A$45:$A$53,Доп.расчеты!$A174,'Как есть'!EF$45:EF$53)</f>
        <v>0</v>
      </c>
      <c r="EF174">
        <f>SUMIF('Как есть'!$A$45:$A$53,Доп.расчеты!$A174,'Как есть'!EG$45:EG$53)</f>
        <v>0</v>
      </c>
      <c r="EG174">
        <f>SUMIF('Как есть'!$A$45:$A$53,Доп.расчеты!$A174,'Как есть'!EH$45:EH$53)</f>
        <v>0</v>
      </c>
      <c r="EH174">
        <f>SUMIF('Как есть'!$A$45:$A$53,Доп.расчеты!$A174,'Как есть'!EI$45:EI$53)</f>
        <v>0</v>
      </c>
      <c r="EI174">
        <f>SUMIF('Как есть'!$A$45:$A$53,Доп.расчеты!$A174,'Как есть'!EJ$45:EJ$53)</f>
        <v>0</v>
      </c>
      <c r="EJ174">
        <f>SUMIF('Как есть'!$A$45:$A$53,Доп.расчеты!$A174,'Как есть'!EK$45:EK$53)</f>
        <v>0</v>
      </c>
      <c r="EK174">
        <f>SUMIF('Как есть'!$A$45:$A$53,Доп.расчеты!$A174,'Как есть'!EL$45:EL$53)</f>
        <v>0</v>
      </c>
      <c r="EL174">
        <f>SUMIF('Как есть'!$A$45:$A$53,Доп.расчеты!$A174,'Как есть'!EM$45:EM$53)</f>
        <v>0</v>
      </c>
      <c r="EM174">
        <f>SUMIF('Как есть'!$A$45:$A$53,Доп.расчеты!$A174,'Как есть'!EN$45:EN$53)</f>
        <v>0</v>
      </c>
      <c r="EN174">
        <f>SUMIF('Как есть'!$A$45:$A$53,Доп.расчеты!$A174,'Как есть'!EO$45:EO$53)</f>
        <v>0</v>
      </c>
      <c r="EO174">
        <f>SUMIF('Как есть'!$A$45:$A$53,Доп.расчеты!$A174,'Как есть'!EP$45:EP$53)</f>
        <v>0</v>
      </c>
      <c r="EP174">
        <f>SUMIF('Как есть'!$A$45:$A$53,Доп.расчеты!$A174,'Как есть'!EQ$45:EQ$53)</f>
        <v>0</v>
      </c>
      <c r="EQ174">
        <f>SUMIF('Как есть'!$A$45:$A$53,Доп.расчеты!$A174,'Как есть'!ER$45:ER$53)</f>
        <v>0</v>
      </c>
      <c r="ER174">
        <f>SUMIF('Как есть'!$A$45:$A$53,Доп.расчеты!$A174,'Как есть'!ES$45:ES$53)</f>
        <v>0</v>
      </c>
      <c r="ES174">
        <f>SUMIF('Как есть'!$A$45:$A$53,Доп.расчеты!$A174,'Как есть'!ET$45:ET$53)</f>
        <v>0</v>
      </c>
      <c r="ET174">
        <f>SUMIF('Как есть'!$A$45:$A$53,Доп.расчеты!$A174,'Как есть'!EU$45:EU$53)</f>
        <v>0</v>
      </c>
      <c r="EU174">
        <f>SUMIF('Как есть'!$A$45:$A$53,Доп.расчеты!$A174,'Как есть'!EV$45:EV$53)</f>
        <v>0</v>
      </c>
      <c r="EV174">
        <f>SUMIF('Как есть'!$A$45:$A$53,Доп.расчеты!$A174,'Как есть'!EW$45:EW$53)</f>
        <v>0</v>
      </c>
      <c r="EW174">
        <f>SUMIF('Как есть'!$A$45:$A$53,Доп.расчеты!$A174,'Как есть'!EX$45:EX$53)</f>
        <v>0</v>
      </c>
      <c r="EX174">
        <f>SUMIF('Как есть'!$A$45:$A$53,Доп.расчеты!$A174,'Как есть'!EY$45:EY$53)</f>
        <v>0</v>
      </c>
      <c r="EY174">
        <f>SUMIF('Как есть'!$A$45:$A$53,Доп.расчеты!$A174,'Как есть'!EZ$45:EZ$53)</f>
        <v>0</v>
      </c>
      <c r="EZ174">
        <f>SUMIF('Как есть'!$A$45:$A$53,Доп.расчеты!$A174,'Как есть'!FA$45:FA$53)</f>
        <v>0</v>
      </c>
      <c r="FA174">
        <f>SUMIF('Как есть'!$A$45:$A$53,Доп.расчеты!$A174,'Как есть'!FB$45:FB$53)</f>
        <v>0</v>
      </c>
      <c r="FB174">
        <f>SUMIF('Как есть'!$A$45:$A$53,Доп.расчеты!$A174,'Как есть'!FC$45:FC$53)</f>
        <v>0</v>
      </c>
      <c r="FC174">
        <f>SUMIF('Как есть'!$A$45:$A$53,Доп.расчеты!$A174,'Как есть'!FD$45:FD$53)</f>
        <v>0</v>
      </c>
      <c r="FD174">
        <f>SUMIF('Как есть'!$A$45:$A$53,Доп.расчеты!$A174,'Как есть'!FE$45:FE$53)</f>
        <v>0</v>
      </c>
      <c r="FE174">
        <f>SUMIF('Как есть'!$A$45:$A$53,Доп.расчеты!$A174,'Как есть'!FF$45:FF$53)</f>
        <v>0</v>
      </c>
      <c r="FF174">
        <f>SUMIF('Как есть'!$A$45:$A$53,Доп.расчеты!$A174,'Как есть'!FG$45:FG$53)</f>
        <v>0</v>
      </c>
      <c r="FG174">
        <f>SUMIF('Как есть'!$A$45:$A$53,Доп.расчеты!$A174,'Как есть'!FH$45:FH$53)</f>
        <v>0</v>
      </c>
      <c r="FH174">
        <f>SUMIF('Как есть'!$A$45:$A$53,Доп.расчеты!$A174,'Как есть'!FI$45:FI$53)</f>
        <v>0</v>
      </c>
      <c r="FI174">
        <f>SUMIF('Как есть'!$A$45:$A$53,Доп.расчеты!$A174,'Как есть'!FJ$45:FJ$53)</f>
        <v>0</v>
      </c>
      <c r="FJ174">
        <f>SUMIF('Как есть'!$A$45:$A$53,Доп.расчеты!$A174,'Как есть'!FK$45:FK$53)</f>
        <v>0</v>
      </c>
      <c r="FK174">
        <f>SUMIF('Как есть'!$A$45:$A$53,Доп.расчеты!$A174,'Как есть'!FL$45:FL$53)</f>
        <v>0</v>
      </c>
      <c r="FL174">
        <f>SUMIF('Как есть'!$A$45:$A$53,Доп.расчеты!$A174,'Как есть'!FM$45:FM$53)</f>
        <v>0</v>
      </c>
      <c r="FM174">
        <f>SUMIF('Как есть'!$A$45:$A$53,Доп.расчеты!$A174,'Как есть'!FN$45:FN$53)</f>
        <v>0</v>
      </c>
      <c r="FN174">
        <f>SUMIF('Как есть'!$A$45:$A$53,Доп.расчеты!$A174,'Как есть'!FO$45:FO$53)</f>
        <v>0</v>
      </c>
      <c r="FO174">
        <f>SUMIF('Как есть'!$A$45:$A$53,Доп.расчеты!$A174,'Как есть'!FP$45:FP$53)</f>
        <v>0</v>
      </c>
      <c r="FP174">
        <f>SUMIF('Как есть'!$A$45:$A$53,Доп.расчеты!$A174,'Как есть'!FQ$45:FQ$53)</f>
        <v>0</v>
      </c>
      <c r="FQ174">
        <f>SUMIF('Как есть'!$A$45:$A$53,Доп.расчеты!$A174,'Как есть'!FR$45:FR$53)</f>
        <v>0</v>
      </c>
      <c r="FR174">
        <f>SUMIF('Как есть'!$A$45:$A$53,Доп.расчеты!$A174,'Как есть'!FS$45:FS$53)</f>
        <v>0</v>
      </c>
      <c r="FS174">
        <f>SUMIF('Как есть'!$A$45:$A$53,Доп.расчеты!$A174,'Как есть'!FT$45:FT$53)</f>
        <v>0</v>
      </c>
      <c r="FT174">
        <f>SUMIF('Как есть'!$A$45:$A$53,Доп.расчеты!$A174,'Как есть'!FU$45:FU$53)</f>
        <v>0</v>
      </c>
      <c r="FU174">
        <f>SUMIF('Как есть'!$A$45:$A$53,Доп.расчеты!$A174,'Как есть'!FV$45:FV$53)</f>
        <v>0</v>
      </c>
      <c r="FV174">
        <f>SUMIF('Как есть'!$A$45:$A$53,Доп.расчеты!$A174,'Как есть'!FW$45:FW$53)</f>
        <v>0</v>
      </c>
      <c r="FW174">
        <f>SUMIF('Как есть'!$A$45:$A$53,Доп.расчеты!$A174,'Как есть'!FX$45:FX$53)</f>
        <v>0</v>
      </c>
      <c r="FX174">
        <f>SUMIF('Как есть'!$A$45:$A$53,Доп.расчеты!$A174,'Как есть'!FY$45:FY$53)</f>
        <v>0</v>
      </c>
      <c r="FY174">
        <f>SUMIF('Как есть'!$A$45:$A$53,Доп.расчеты!$A174,'Как есть'!FZ$45:FZ$53)</f>
        <v>0</v>
      </c>
      <c r="FZ174">
        <f>SUMIF('Как есть'!$A$45:$A$53,Доп.расчеты!$A174,'Как есть'!GA$45:GA$53)</f>
        <v>0</v>
      </c>
      <c r="GA174">
        <f>SUMIF('Как есть'!$A$45:$A$53,Доп.расчеты!$A174,'Как есть'!GB$45:GB$53)</f>
        <v>0</v>
      </c>
      <c r="GB174">
        <f>SUMIF('Как есть'!$A$45:$A$53,Доп.расчеты!$A174,'Как есть'!GC$45:GC$53)</f>
        <v>0</v>
      </c>
      <c r="GC174">
        <f>SUMIF('Как есть'!$A$45:$A$53,Доп.расчеты!$A174,'Как есть'!GD$45:GD$53)</f>
        <v>0</v>
      </c>
      <c r="GD174">
        <f>SUMIF('Как есть'!$A$45:$A$53,Доп.расчеты!$A174,'Как есть'!GE$45:GE$53)</f>
        <v>0</v>
      </c>
      <c r="GE174">
        <f>SUMIF('Как есть'!$A$45:$A$53,Доп.расчеты!$A174,'Как есть'!GF$45:GF$53)</f>
        <v>0</v>
      </c>
      <c r="GF174">
        <f>SUMIF('Как есть'!$A$45:$A$53,Доп.расчеты!$A174,'Как есть'!GG$45:GG$53)</f>
        <v>0</v>
      </c>
      <c r="GG174">
        <f>SUMIF('Как есть'!$A$45:$A$53,Доп.расчеты!$A174,'Как есть'!GH$45:GH$53)</f>
        <v>0</v>
      </c>
      <c r="GH174">
        <f>SUMIF('Как есть'!$A$45:$A$53,Доп.расчеты!$A174,'Как есть'!GI$45:GI$53)</f>
        <v>0</v>
      </c>
      <c r="GI174">
        <f>SUMIF('Как есть'!$A$45:$A$53,Доп.расчеты!$A174,'Как есть'!GJ$45:GJ$53)</f>
        <v>0</v>
      </c>
      <c r="GJ174">
        <f>SUMIF('Как есть'!$A$45:$A$53,Доп.расчеты!$A174,'Как есть'!GK$45:GK$53)</f>
        <v>0</v>
      </c>
      <c r="GK174">
        <f>SUMIF('Как есть'!$A$45:$A$53,Доп.расчеты!$A174,'Как есть'!GL$45:GL$53)</f>
        <v>0</v>
      </c>
      <c r="GL174">
        <f>SUMIF('Как есть'!$A$45:$A$53,Доп.расчеты!$A174,'Как есть'!GM$45:GM$53)</f>
        <v>0</v>
      </c>
      <c r="GM174">
        <f>SUMIF('Как есть'!$A$45:$A$53,Доп.расчеты!$A174,'Как есть'!GN$45:GN$53)</f>
        <v>0</v>
      </c>
      <c r="GN174">
        <f>SUMIF('Как есть'!$A$45:$A$53,Доп.расчеты!$A174,'Как есть'!GO$45:GO$53)</f>
        <v>0</v>
      </c>
      <c r="GO174">
        <f>SUMIF('Как есть'!$A$45:$A$53,Доп.расчеты!$A174,'Как есть'!GP$45:GP$53)</f>
        <v>0</v>
      </c>
      <c r="GP174">
        <f>SUMIF('Как есть'!$A$45:$A$53,Доп.расчеты!$A174,'Как есть'!GQ$45:GQ$53)</f>
        <v>0</v>
      </c>
      <c r="GQ174">
        <f>SUMIF('Как есть'!$A$45:$A$53,Доп.расчеты!$A174,'Как есть'!GR$45:GR$53)</f>
        <v>0</v>
      </c>
      <c r="GR174">
        <f>SUMIF('Как есть'!$A$45:$A$53,Доп.расчеты!$A174,'Как есть'!GS$45:GS$53)</f>
        <v>0</v>
      </c>
      <c r="GS174">
        <f>SUMIF('Как есть'!$A$45:$A$53,Доп.расчеты!$A174,'Как есть'!GT$45:GT$53)</f>
        <v>0</v>
      </c>
      <c r="GT174">
        <f>SUMIF('Как есть'!$A$45:$A$53,Доп.расчеты!$A174,'Как есть'!GU$45:GU$53)</f>
        <v>0</v>
      </c>
    </row>
    <row r="175" spans="1:202" hidden="1" outlineLevel="1">
      <c r="A175" s="238" t="s">
        <v>111</v>
      </c>
      <c r="B175">
        <f>SUMIF('Как есть'!$A$45:$A$53,Доп.расчеты!$A175,'Как есть'!C$45:C$53)</f>
        <v>0</v>
      </c>
      <c r="C175">
        <f>SUMIF('Как есть'!$A$45:$A$53,Доп.расчеты!$A175,'Как есть'!D$45:D$53)</f>
        <v>0</v>
      </c>
      <c r="D175">
        <f>SUMIF('Как есть'!$A$45:$A$53,Доп.расчеты!$A175,'Как есть'!E$45:E$53)</f>
        <v>0</v>
      </c>
      <c r="E175">
        <f>SUMIF('Как есть'!$A$45:$A$53,Доп.расчеты!$A175,'Как есть'!F$45:F$53)</f>
        <v>0</v>
      </c>
      <c r="F175">
        <f>SUMIF('Как есть'!$A$45:$A$53,Доп.расчеты!$A175,'Как есть'!G$45:G$53)</f>
        <v>0</v>
      </c>
      <c r="G175">
        <f>SUMIF('Как есть'!$A$45:$A$53,Доп.расчеты!$A175,'Как есть'!H$45:H$53)</f>
        <v>0</v>
      </c>
      <c r="H175">
        <f>SUMIF('Как есть'!$A$45:$A$53,Доп.расчеты!$A175,'Как есть'!I$45:I$53)</f>
        <v>0</v>
      </c>
      <c r="I175">
        <f>SUMIF('Как есть'!$A$45:$A$53,Доп.расчеты!$A175,'Как есть'!J$45:J$53)</f>
        <v>0</v>
      </c>
      <c r="J175">
        <f>SUMIF('Как есть'!$A$45:$A$53,Доп.расчеты!$A175,'Как есть'!K$45:K$53)</f>
        <v>0</v>
      </c>
      <c r="K175">
        <f>SUMIF('Как есть'!$A$45:$A$53,Доп.расчеты!$A175,'Как есть'!L$45:L$53)</f>
        <v>0</v>
      </c>
      <c r="L175">
        <f>SUMIF('Как есть'!$A$45:$A$53,Доп.расчеты!$A175,'Как есть'!M$45:M$53)</f>
        <v>0</v>
      </c>
      <c r="M175">
        <f>SUMIF('Как есть'!$A$45:$A$53,Доп.расчеты!$A175,'Как есть'!N$45:N$53)</f>
        <v>0</v>
      </c>
      <c r="N175">
        <f>SUMIF('Как есть'!$A$45:$A$53,Доп.расчеты!$A175,'Как есть'!O$45:O$53)</f>
        <v>0</v>
      </c>
      <c r="O175">
        <f>SUMIF('Как есть'!$A$45:$A$53,Доп.расчеты!$A175,'Как есть'!P$45:P$53)</f>
        <v>0</v>
      </c>
      <c r="P175">
        <f>SUMIF('Как есть'!$A$45:$A$53,Доп.расчеты!$A175,'Как есть'!Q$45:Q$53)</f>
        <v>0</v>
      </c>
      <c r="Q175">
        <f>SUMIF('Как есть'!$A$45:$A$53,Доп.расчеты!$A175,'Как есть'!R$45:R$53)</f>
        <v>0</v>
      </c>
      <c r="R175">
        <f>SUMIF('Как есть'!$A$45:$A$53,Доп.расчеты!$A175,'Как есть'!S$45:S$53)</f>
        <v>0</v>
      </c>
      <c r="S175">
        <f>SUMIF('Как есть'!$A$45:$A$53,Доп.расчеты!$A175,'Как есть'!T$45:T$53)</f>
        <v>0</v>
      </c>
      <c r="T175">
        <f>SUMIF('Как есть'!$A$45:$A$53,Доп.расчеты!$A175,'Как есть'!U$45:U$53)</f>
        <v>0</v>
      </c>
      <c r="U175">
        <f>SUMIF('Как есть'!$A$45:$A$53,Доп.расчеты!$A175,'Как есть'!V$45:V$53)</f>
        <v>0</v>
      </c>
      <c r="V175">
        <f>SUMIF('Как есть'!$A$45:$A$53,Доп.расчеты!$A175,'Как есть'!W$45:W$53)</f>
        <v>0</v>
      </c>
      <c r="W175">
        <f>SUMIF('Как есть'!$A$45:$A$53,Доп.расчеты!$A175,'Как есть'!X$45:X$53)</f>
        <v>0</v>
      </c>
      <c r="X175">
        <f>SUMIF('Как есть'!$A$45:$A$53,Доп.расчеты!$A175,'Как есть'!Y$45:Y$53)</f>
        <v>0</v>
      </c>
      <c r="Y175">
        <f>SUMIF('Как есть'!$A$45:$A$53,Доп.расчеты!$A175,'Как есть'!Z$45:Z$53)</f>
        <v>0</v>
      </c>
      <c r="Z175">
        <f>SUMIF('Как есть'!$A$45:$A$53,Доп.расчеты!$A175,'Как есть'!AA$45:AA$53)</f>
        <v>0</v>
      </c>
      <c r="AA175">
        <f>SUMIF('Как есть'!$A$45:$A$53,Доп.расчеты!$A175,'Как есть'!AB$45:AB$53)</f>
        <v>0</v>
      </c>
      <c r="AB175">
        <f>SUMIF('Как есть'!$A$45:$A$53,Доп.расчеты!$A175,'Как есть'!AC$45:AC$53)</f>
        <v>0</v>
      </c>
      <c r="AC175">
        <f>SUMIF('Как есть'!$A$45:$A$53,Доп.расчеты!$A175,'Как есть'!AD$45:AD$53)</f>
        <v>0</v>
      </c>
      <c r="AD175">
        <f>SUMIF('Как есть'!$A$45:$A$53,Доп.расчеты!$A175,'Как есть'!AE$45:AE$53)</f>
        <v>0</v>
      </c>
      <c r="AE175">
        <f>SUMIF('Как есть'!$A$45:$A$53,Доп.расчеты!$A175,'Как есть'!AF$45:AF$53)</f>
        <v>0</v>
      </c>
      <c r="AF175">
        <f>SUMIF('Как есть'!$A$45:$A$53,Доп.расчеты!$A175,'Как есть'!AG$45:AG$53)</f>
        <v>0</v>
      </c>
      <c r="AG175">
        <f>SUMIF('Как есть'!$A$45:$A$53,Доп.расчеты!$A175,'Как есть'!AH$45:AH$53)</f>
        <v>0</v>
      </c>
      <c r="AH175">
        <f>SUMIF('Как есть'!$A$45:$A$53,Доп.расчеты!$A175,'Как есть'!AI$45:AI$53)</f>
        <v>0</v>
      </c>
      <c r="AI175">
        <f>SUMIF('Как есть'!$A$45:$A$53,Доп.расчеты!$A175,'Как есть'!AJ$45:AJ$53)</f>
        <v>0</v>
      </c>
      <c r="AJ175">
        <f>SUMIF('Как есть'!$A$45:$A$53,Доп.расчеты!$A175,'Как есть'!AK$45:AK$53)</f>
        <v>0</v>
      </c>
      <c r="AK175">
        <f>SUMIF('Как есть'!$A$45:$A$53,Доп.расчеты!$A175,'Как есть'!AL$45:AL$53)</f>
        <v>0</v>
      </c>
      <c r="AL175">
        <f>SUMIF('Как есть'!$A$45:$A$53,Доп.расчеты!$A175,'Как есть'!AM$45:AM$53)</f>
        <v>0</v>
      </c>
      <c r="AM175">
        <f>SUMIF('Как есть'!$A$45:$A$53,Доп.расчеты!$A175,'Как есть'!AN$45:AN$53)</f>
        <v>0</v>
      </c>
      <c r="AN175">
        <f>SUMIF('Как есть'!$A$45:$A$53,Доп.расчеты!$A175,'Как есть'!AO$45:AO$53)</f>
        <v>0</v>
      </c>
      <c r="AO175">
        <f>SUMIF('Как есть'!$A$45:$A$53,Доп.расчеты!$A175,'Как есть'!AP$45:AP$53)</f>
        <v>0</v>
      </c>
      <c r="AP175">
        <f>SUMIF('Как есть'!$A$45:$A$53,Доп.расчеты!$A175,'Как есть'!AQ$45:AQ$53)</f>
        <v>0</v>
      </c>
      <c r="AQ175">
        <f>SUMIF('Как есть'!$A$45:$A$53,Доп.расчеты!$A175,'Как есть'!AR$45:AR$53)</f>
        <v>0</v>
      </c>
      <c r="AR175">
        <f>SUMIF('Как есть'!$A$45:$A$53,Доп.расчеты!$A175,'Как есть'!AS$45:AS$53)</f>
        <v>0</v>
      </c>
      <c r="AS175">
        <f>SUMIF('Как есть'!$A$45:$A$53,Доп.расчеты!$A175,'Как есть'!AT$45:AT$53)</f>
        <v>0</v>
      </c>
      <c r="AT175">
        <f>SUMIF('Как есть'!$A$45:$A$53,Доп.расчеты!$A175,'Как есть'!AU$45:AU$53)</f>
        <v>0</v>
      </c>
      <c r="AU175">
        <f>SUMIF('Как есть'!$A$45:$A$53,Доп.расчеты!$A175,'Как есть'!AV$45:AV$53)</f>
        <v>0</v>
      </c>
      <c r="AV175">
        <f>SUMIF('Как есть'!$A$45:$A$53,Доп.расчеты!$A175,'Как есть'!AW$45:AW$53)</f>
        <v>0</v>
      </c>
      <c r="AW175">
        <f>SUMIF('Как есть'!$A$45:$A$53,Доп.расчеты!$A175,'Как есть'!AX$45:AX$53)</f>
        <v>0</v>
      </c>
      <c r="AX175">
        <f>SUMIF('Как есть'!$A$45:$A$53,Доп.расчеты!$A175,'Как есть'!AY$45:AY$53)</f>
        <v>0</v>
      </c>
      <c r="AY175">
        <f>SUMIF('Как есть'!$A$45:$A$53,Доп.расчеты!$A175,'Как есть'!AZ$45:AZ$53)</f>
        <v>0</v>
      </c>
      <c r="AZ175">
        <f>SUMIF('Как есть'!$A$45:$A$53,Доп.расчеты!$A175,'Как есть'!BA$45:BA$53)</f>
        <v>0</v>
      </c>
      <c r="BA175">
        <f>SUMIF('Как есть'!$A$45:$A$53,Доп.расчеты!$A175,'Как есть'!BB$45:BB$53)</f>
        <v>0</v>
      </c>
      <c r="BB175">
        <f>SUMIF('Как есть'!$A$45:$A$53,Доп.расчеты!$A175,'Как есть'!BC$45:BC$53)</f>
        <v>0</v>
      </c>
      <c r="BC175">
        <f>SUMIF('Как есть'!$A$45:$A$53,Доп.расчеты!$A175,'Как есть'!BD$45:BD$53)</f>
        <v>0</v>
      </c>
      <c r="BD175">
        <f>SUMIF('Как есть'!$A$45:$A$53,Доп.расчеты!$A175,'Как есть'!BE$45:BE$53)</f>
        <v>0</v>
      </c>
      <c r="BE175">
        <f>SUMIF('Как есть'!$A$45:$A$53,Доп.расчеты!$A175,'Как есть'!BF$45:BF$53)</f>
        <v>0</v>
      </c>
      <c r="BF175">
        <f>SUMIF('Как есть'!$A$45:$A$53,Доп.расчеты!$A175,'Как есть'!BG$45:BG$53)</f>
        <v>0</v>
      </c>
      <c r="BG175">
        <f>SUMIF('Как есть'!$A$45:$A$53,Доп.расчеты!$A175,'Как есть'!BH$45:BH$53)</f>
        <v>0</v>
      </c>
      <c r="BH175">
        <f>SUMIF('Как есть'!$A$45:$A$53,Доп.расчеты!$A175,'Как есть'!BI$45:BI$53)</f>
        <v>0</v>
      </c>
      <c r="BI175">
        <f>SUMIF('Как есть'!$A$45:$A$53,Доп.расчеты!$A175,'Как есть'!BJ$45:BJ$53)</f>
        <v>0</v>
      </c>
      <c r="BJ175">
        <f>SUMIF('Как есть'!$A$45:$A$53,Доп.расчеты!$A175,'Как есть'!BK$45:BK$53)</f>
        <v>0</v>
      </c>
      <c r="BK175">
        <f>SUMIF('Как есть'!$A$45:$A$53,Доп.расчеты!$A175,'Как есть'!BL$45:BL$53)</f>
        <v>0</v>
      </c>
      <c r="BL175">
        <f>SUMIF('Как есть'!$A$45:$A$53,Доп.расчеты!$A175,'Как есть'!BM$45:BM$53)</f>
        <v>0</v>
      </c>
      <c r="BM175">
        <f>SUMIF('Как есть'!$A$45:$A$53,Доп.расчеты!$A175,'Как есть'!BN$45:BN$53)</f>
        <v>0</v>
      </c>
      <c r="BN175">
        <f>SUMIF('Как есть'!$A$45:$A$53,Доп.расчеты!$A175,'Как есть'!BO$45:BO$53)</f>
        <v>0</v>
      </c>
      <c r="BO175">
        <f>SUMIF('Как есть'!$A$45:$A$53,Доп.расчеты!$A175,'Как есть'!BP$45:BP$53)</f>
        <v>0</v>
      </c>
      <c r="BP175">
        <f>SUMIF('Как есть'!$A$45:$A$53,Доп.расчеты!$A175,'Как есть'!BQ$45:BQ$53)</f>
        <v>0</v>
      </c>
      <c r="BQ175">
        <f>SUMIF('Как есть'!$A$45:$A$53,Доп.расчеты!$A175,'Как есть'!BR$45:BR$53)</f>
        <v>0</v>
      </c>
      <c r="BR175">
        <f>SUMIF('Как есть'!$A$45:$A$53,Доп.расчеты!$A175,'Как есть'!BS$45:BS$53)</f>
        <v>0</v>
      </c>
      <c r="BS175">
        <f>SUMIF('Как есть'!$A$45:$A$53,Доп.расчеты!$A175,'Как есть'!BT$45:BT$53)</f>
        <v>0</v>
      </c>
      <c r="BT175">
        <f>SUMIF('Как есть'!$A$45:$A$53,Доп.расчеты!$A175,'Как есть'!BU$45:BU$53)</f>
        <v>0</v>
      </c>
      <c r="BU175">
        <f>SUMIF('Как есть'!$A$45:$A$53,Доп.расчеты!$A175,'Как есть'!BV$45:BV$53)</f>
        <v>0</v>
      </c>
      <c r="BV175">
        <f>SUMIF('Как есть'!$A$45:$A$53,Доп.расчеты!$A175,'Как есть'!BW$45:BW$53)</f>
        <v>0</v>
      </c>
      <c r="BW175">
        <f>SUMIF('Как есть'!$A$45:$A$53,Доп.расчеты!$A175,'Как есть'!BX$45:BX$53)</f>
        <v>0</v>
      </c>
      <c r="BX175">
        <f>SUMIF('Как есть'!$A$45:$A$53,Доп.расчеты!$A175,'Как есть'!BY$45:BY$53)</f>
        <v>0</v>
      </c>
      <c r="BY175">
        <f>SUMIF('Как есть'!$A$45:$A$53,Доп.расчеты!$A175,'Как есть'!BZ$45:BZ$53)</f>
        <v>0</v>
      </c>
      <c r="BZ175">
        <f>SUMIF('Как есть'!$A$45:$A$53,Доп.расчеты!$A175,'Как есть'!CA$45:CA$53)</f>
        <v>0</v>
      </c>
      <c r="CA175">
        <f>SUMIF('Как есть'!$A$45:$A$53,Доп.расчеты!$A175,'Как есть'!CB$45:CB$53)</f>
        <v>0</v>
      </c>
      <c r="CB175">
        <f>SUMIF('Как есть'!$A$45:$A$53,Доп.расчеты!$A175,'Как есть'!CC$45:CC$53)</f>
        <v>0</v>
      </c>
      <c r="CC175">
        <f>SUMIF('Как есть'!$A$45:$A$53,Доп.расчеты!$A175,'Как есть'!CD$45:CD$53)</f>
        <v>0</v>
      </c>
      <c r="CD175">
        <f>SUMIF('Как есть'!$A$45:$A$53,Доп.расчеты!$A175,'Как есть'!CE$45:CE$53)</f>
        <v>0</v>
      </c>
      <c r="CE175">
        <f>SUMIF('Как есть'!$A$45:$A$53,Доп.расчеты!$A175,'Как есть'!CF$45:CF$53)</f>
        <v>0</v>
      </c>
      <c r="CF175">
        <f>SUMIF('Как есть'!$A$45:$A$53,Доп.расчеты!$A175,'Как есть'!CG$45:CG$53)</f>
        <v>0</v>
      </c>
      <c r="CG175">
        <f>SUMIF('Как есть'!$A$45:$A$53,Доп.расчеты!$A175,'Как есть'!CH$45:CH$53)</f>
        <v>0</v>
      </c>
      <c r="CH175">
        <f>SUMIF('Как есть'!$A$45:$A$53,Доп.расчеты!$A175,'Как есть'!CI$45:CI$53)</f>
        <v>0</v>
      </c>
      <c r="CI175">
        <f>SUMIF('Как есть'!$A$45:$A$53,Доп.расчеты!$A175,'Как есть'!CJ$45:CJ$53)</f>
        <v>0</v>
      </c>
      <c r="CJ175">
        <f>SUMIF('Как есть'!$A$45:$A$53,Доп.расчеты!$A175,'Как есть'!CK$45:CK$53)</f>
        <v>0</v>
      </c>
      <c r="CK175">
        <f>SUMIF('Как есть'!$A$45:$A$53,Доп.расчеты!$A175,'Как есть'!CL$45:CL$53)</f>
        <v>0</v>
      </c>
      <c r="CL175">
        <f>SUMIF('Как есть'!$A$45:$A$53,Доп.расчеты!$A175,'Как есть'!CM$45:CM$53)</f>
        <v>0</v>
      </c>
      <c r="CM175">
        <f>SUMIF('Как есть'!$A$45:$A$53,Доп.расчеты!$A175,'Как есть'!CN$45:CN$53)</f>
        <v>0</v>
      </c>
      <c r="CN175">
        <f>SUMIF('Как есть'!$A$45:$A$53,Доп.расчеты!$A175,'Как есть'!CO$45:CO$53)</f>
        <v>0</v>
      </c>
      <c r="CO175">
        <f>SUMIF('Как есть'!$A$45:$A$53,Доп.расчеты!$A175,'Как есть'!CP$45:CP$53)</f>
        <v>0</v>
      </c>
      <c r="CP175">
        <f>SUMIF('Как есть'!$A$45:$A$53,Доп.расчеты!$A175,'Как есть'!CQ$45:CQ$53)</f>
        <v>0</v>
      </c>
      <c r="CQ175">
        <f>SUMIF('Как есть'!$A$45:$A$53,Доп.расчеты!$A175,'Как есть'!CR$45:CR$53)</f>
        <v>0</v>
      </c>
      <c r="CR175">
        <f>SUMIF('Как есть'!$A$45:$A$53,Доп.расчеты!$A175,'Как есть'!CS$45:CS$53)</f>
        <v>0</v>
      </c>
      <c r="CS175">
        <f>SUMIF('Как есть'!$A$45:$A$53,Доп.расчеты!$A175,'Как есть'!CT$45:CT$53)</f>
        <v>0</v>
      </c>
      <c r="CT175">
        <f>SUMIF('Как есть'!$A$45:$A$53,Доп.расчеты!$A175,'Как есть'!CU$45:CU$53)</f>
        <v>0</v>
      </c>
      <c r="CU175">
        <f>SUMIF('Как есть'!$A$45:$A$53,Доп.расчеты!$A175,'Как есть'!CV$45:CV$53)</f>
        <v>0</v>
      </c>
      <c r="CV175">
        <f>SUMIF('Как есть'!$A$45:$A$53,Доп.расчеты!$A175,'Как есть'!CW$45:CW$53)</f>
        <v>0</v>
      </c>
      <c r="CW175">
        <f>SUMIF('Как есть'!$A$45:$A$53,Доп.расчеты!$A175,'Как есть'!CX$45:CX$53)</f>
        <v>0</v>
      </c>
      <c r="CX175">
        <f>SUMIF('Как есть'!$A$45:$A$53,Доп.расчеты!$A175,'Как есть'!CY$45:CY$53)</f>
        <v>0</v>
      </c>
      <c r="CY175">
        <f>SUMIF('Как есть'!$A$45:$A$53,Доп.расчеты!$A175,'Как есть'!CZ$45:CZ$53)</f>
        <v>0</v>
      </c>
      <c r="CZ175">
        <f>SUMIF('Как есть'!$A$45:$A$53,Доп.расчеты!$A175,'Как есть'!DA$45:DA$53)</f>
        <v>0</v>
      </c>
      <c r="DA175">
        <f>SUMIF('Как есть'!$A$45:$A$53,Доп.расчеты!$A175,'Как есть'!DB$45:DB$53)</f>
        <v>0</v>
      </c>
      <c r="DB175">
        <f>SUMIF('Как есть'!$A$45:$A$53,Доп.расчеты!$A175,'Как есть'!DC$45:DC$53)</f>
        <v>0</v>
      </c>
      <c r="DC175">
        <f>SUMIF('Как есть'!$A$45:$A$53,Доп.расчеты!$A175,'Как есть'!DD$45:DD$53)</f>
        <v>0</v>
      </c>
      <c r="DD175">
        <f>SUMIF('Как есть'!$A$45:$A$53,Доп.расчеты!$A175,'Как есть'!DE$45:DE$53)</f>
        <v>0</v>
      </c>
      <c r="DE175">
        <f>SUMIF('Как есть'!$A$45:$A$53,Доп.расчеты!$A175,'Как есть'!DF$45:DF$53)</f>
        <v>0</v>
      </c>
      <c r="DF175">
        <f>SUMIF('Как есть'!$A$45:$A$53,Доп.расчеты!$A175,'Как есть'!DG$45:DG$53)</f>
        <v>0</v>
      </c>
      <c r="DG175">
        <f>SUMIF('Как есть'!$A$45:$A$53,Доп.расчеты!$A175,'Как есть'!DH$45:DH$53)</f>
        <v>0</v>
      </c>
      <c r="DH175">
        <f>SUMIF('Как есть'!$A$45:$A$53,Доп.расчеты!$A175,'Как есть'!DI$45:DI$53)</f>
        <v>0</v>
      </c>
      <c r="DI175">
        <f>SUMIF('Как есть'!$A$45:$A$53,Доп.расчеты!$A175,'Как есть'!DJ$45:DJ$53)</f>
        <v>0</v>
      </c>
      <c r="DJ175">
        <f>SUMIF('Как есть'!$A$45:$A$53,Доп.расчеты!$A175,'Как есть'!DK$45:DK$53)</f>
        <v>0</v>
      </c>
      <c r="DK175">
        <f>SUMIF('Как есть'!$A$45:$A$53,Доп.расчеты!$A175,'Как есть'!DL$45:DL$53)</f>
        <v>0</v>
      </c>
      <c r="DL175">
        <f>SUMIF('Как есть'!$A$45:$A$53,Доп.расчеты!$A175,'Как есть'!DM$45:DM$53)</f>
        <v>0</v>
      </c>
      <c r="DM175">
        <f>SUMIF('Как есть'!$A$45:$A$53,Доп.расчеты!$A175,'Как есть'!DN$45:DN$53)</f>
        <v>0</v>
      </c>
      <c r="DN175">
        <f>SUMIF('Как есть'!$A$45:$A$53,Доп.расчеты!$A175,'Как есть'!DO$45:DO$53)</f>
        <v>0</v>
      </c>
      <c r="DO175">
        <f>SUMIF('Как есть'!$A$45:$A$53,Доп.расчеты!$A175,'Как есть'!DP$45:DP$53)</f>
        <v>0</v>
      </c>
      <c r="DP175">
        <f>SUMIF('Как есть'!$A$45:$A$53,Доп.расчеты!$A175,'Как есть'!DQ$45:DQ$53)</f>
        <v>0</v>
      </c>
      <c r="DQ175">
        <f>SUMIF('Как есть'!$A$45:$A$53,Доп.расчеты!$A175,'Как есть'!DR$45:DR$53)</f>
        <v>0</v>
      </c>
      <c r="DR175">
        <f>SUMIF('Как есть'!$A$45:$A$53,Доп.расчеты!$A175,'Как есть'!DS$45:DS$53)</f>
        <v>0</v>
      </c>
      <c r="DS175">
        <f>SUMIF('Как есть'!$A$45:$A$53,Доп.расчеты!$A175,'Как есть'!DT$45:DT$53)</f>
        <v>0</v>
      </c>
      <c r="DT175">
        <f>SUMIF('Как есть'!$A$45:$A$53,Доп.расчеты!$A175,'Как есть'!DU$45:DU$53)</f>
        <v>0</v>
      </c>
      <c r="DU175">
        <f>SUMIF('Как есть'!$A$45:$A$53,Доп.расчеты!$A175,'Как есть'!DV$45:DV$53)</f>
        <v>0</v>
      </c>
      <c r="DV175">
        <f>SUMIF('Как есть'!$A$45:$A$53,Доп.расчеты!$A175,'Как есть'!DW$45:DW$53)</f>
        <v>0</v>
      </c>
      <c r="DW175">
        <f>SUMIF('Как есть'!$A$45:$A$53,Доп.расчеты!$A175,'Как есть'!DX$45:DX$53)</f>
        <v>0</v>
      </c>
      <c r="DX175">
        <f>SUMIF('Как есть'!$A$45:$A$53,Доп.расчеты!$A175,'Как есть'!DY$45:DY$53)</f>
        <v>0</v>
      </c>
      <c r="DY175">
        <f>SUMIF('Как есть'!$A$45:$A$53,Доп.расчеты!$A175,'Как есть'!DZ$45:DZ$53)</f>
        <v>0</v>
      </c>
      <c r="DZ175">
        <f>SUMIF('Как есть'!$A$45:$A$53,Доп.расчеты!$A175,'Как есть'!EA$45:EA$53)</f>
        <v>0</v>
      </c>
      <c r="EA175">
        <f>SUMIF('Как есть'!$A$45:$A$53,Доп.расчеты!$A175,'Как есть'!EB$45:EB$53)</f>
        <v>0</v>
      </c>
      <c r="EB175">
        <f>SUMIF('Как есть'!$A$45:$A$53,Доп.расчеты!$A175,'Как есть'!EC$45:EC$53)</f>
        <v>0</v>
      </c>
      <c r="EC175">
        <f>SUMIF('Как есть'!$A$45:$A$53,Доп.расчеты!$A175,'Как есть'!ED$45:ED$53)</f>
        <v>0</v>
      </c>
      <c r="ED175">
        <f>SUMIF('Как есть'!$A$45:$A$53,Доп.расчеты!$A175,'Как есть'!EE$45:EE$53)</f>
        <v>0</v>
      </c>
      <c r="EE175">
        <f>SUMIF('Как есть'!$A$45:$A$53,Доп.расчеты!$A175,'Как есть'!EF$45:EF$53)</f>
        <v>0</v>
      </c>
      <c r="EF175">
        <f>SUMIF('Как есть'!$A$45:$A$53,Доп.расчеты!$A175,'Как есть'!EG$45:EG$53)</f>
        <v>0</v>
      </c>
      <c r="EG175">
        <f>SUMIF('Как есть'!$A$45:$A$53,Доп.расчеты!$A175,'Как есть'!EH$45:EH$53)</f>
        <v>0</v>
      </c>
      <c r="EH175">
        <f>SUMIF('Как есть'!$A$45:$A$53,Доп.расчеты!$A175,'Как есть'!EI$45:EI$53)</f>
        <v>0</v>
      </c>
      <c r="EI175">
        <f>SUMIF('Как есть'!$A$45:$A$53,Доп.расчеты!$A175,'Как есть'!EJ$45:EJ$53)</f>
        <v>0</v>
      </c>
      <c r="EJ175">
        <f>SUMIF('Как есть'!$A$45:$A$53,Доп.расчеты!$A175,'Как есть'!EK$45:EK$53)</f>
        <v>0</v>
      </c>
      <c r="EK175">
        <f>SUMIF('Как есть'!$A$45:$A$53,Доп.расчеты!$A175,'Как есть'!EL$45:EL$53)</f>
        <v>0</v>
      </c>
      <c r="EL175">
        <f>SUMIF('Как есть'!$A$45:$A$53,Доп.расчеты!$A175,'Как есть'!EM$45:EM$53)</f>
        <v>0</v>
      </c>
      <c r="EM175">
        <f>SUMIF('Как есть'!$A$45:$A$53,Доп.расчеты!$A175,'Как есть'!EN$45:EN$53)</f>
        <v>0</v>
      </c>
      <c r="EN175">
        <f>SUMIF('Как есть'!$A$45:$A$53,Доп.расчеты!$A175,'Как есть'!EO$45:EO$53)</f>
        <v>0</v>
      </c>
      <c r="EO175">
        <f>SUMIF('Как есть'!$A$45:$A$53,Доп.расчеты!$A175,'Как есть'!EP$45:EP$53)</f>
        <v>0</v>
      </c>
      <c r="EP175">
        <f>SUMIF('Как есть'!$A$45:$A$53,Доп.расчеты!$A175,'Как есть'!EQ$45:EQ$53)</f>
        <v>0</v>
      </c>
      <c r="EQ175">
        <f>SUMIF('Как есть'!$A$45:$A$53,Доп.расчеты!$A175,'Как есть'!ER$45:ER$53)</f>
        <v>0</v>
      </c>
      <c r="ER175">
        <f>SUMIF('Как есть'!$A$45:$A$53,Доп.расчеты!$A175,'Как есть'!ES$45:ES$53)</f>
        <v>0</v>
      </c>
      <c r="ES175">
        <f>SUMIF('Как есть'!$A$45:$A$53,Доп.расчеты!$A175,'Как есть'!ET$45:ET$53)</f>
        <v>0</v>
      </c>
      <c r="ET175">
        <f>SUMIF('Как есть'!$A$45:$A$53,Доп.расчеты!$A175,'Как есть'!EU$45:EU$53)</f>
        <v>0</v>
      </c>
      <c r="EU175">
        <f>SUMIF('Как есть'!$A$45:$A$53,Доп.расчеты!$A175,'Как есть'!EV$45:EV$53)</f>
        <v>0</v>
      </c>
      <c r="EV175">
        <f>SUMIF('Как есть'!$A$45:$A$53,Доп.расчеты!$A175,'Как есть'!EW$45:EW$53)</f>
        <v>0</v>
      </c>
      <c r="EW175">
        <f>SUMIF('Как есть'!$A$45:$A$53,Доп.расчеты!$A175,'Как есть'!EX$45:EX$53)</f>
        <v>0</v>
      </c>
      <c r="EX175">
        <f>SUMIF('Как есть'!$A$45:$A$53,Доп.расчеты!$A175,'Как есть'!EY$45:EY$53)</f>
        <v>0</v>
      </c>
      <c r="EY175">
        <f>SUMIF('Как есть'!$A$45:$A$53,Доп.расчеты!$A175,'Как есть'!EZ$45:EZ$53)</f>
        <v>0</v>
      </c>
      <c r="EZ175">
        <f>SUMIF('Как есть'!$A$45:$A$53,Доп.расчеты!$A175,'Как есть'!FA$45:FA$53)</f>
        <v>0</v>
      </c>
      <c r="FA175">
        <f>SUMIF('Как есть'!$A$45:$A$53,Доп.расчеты!$A175,'Как есть'!FB$45:FB$53)</f>
        <v>0</v>
      </c>
      <c r="FB175">
        <f>SUMIF('Как есть'!$A$45:$A$53,Доп.расчеты!$A175,'Как есть'!FC$45:FC$53)</f>
        <v>0</v>
      </c>
      <c r="FC175">
        <f>SUMIF('Как есть'!$A$45:$A$53,Доп.расчеты!$A175,'Как есть'!FD$45:FD$53)</f>
        <v>0</v>
      </c>
      <c r="FD175">
        <f>SUMIF('Как есть'!$A$45:$A$53,Доп.расчеты!$A175,'Как есть'!FE$45:FE$53)</f>
        <v>0</v>
      </c>
      <c r="FE175">
        <f>SUMIF('Как есть'!$A$45:$A$53,Доп.расчеты!$A175,'Как есть'!FF$45:FF$53)</f>
        <v>0</v>
      </c>
      <c r="FF175">
        <f>SUMIF('Как есть'!$A$45:$A$53,Доп.расчеты!$A175,'Как есть'!FG$45:FG$53)</f>
        <v>0</v>
      </c>
      <c r="FG175">
        <f>SUMIF('Как есть'!$A$45:$A$53,Доп.расчеты!$A175,'Как есть'!FH$45:FH$53)</f>
        <v>0</v>
      </c>
      <c r="FH175">
        <f>SUMIF('Как есть'!$A$45:$A$53,Доп.расчеты!$A175,'Как есть'!FI$45:FI$53)</f>
        <v>0</v>
      </c>
      <c r="FI175">
        <f>SUMIF('Как есть'!$A$45:$A$53,Доп.расчеты!$A175,'Как есть'!FJ$45:FJ$53)</f>
        <v>0</v>
      </c>
      <c r="FJ175">
        <f>SUMIF('Как есть'!$A$45:$A$53,Доп.расчеты!$A175,'Как есть'!FK$45:FK$53)</f>
        <v>0</v>
      </c>
      <c r="FK175">
        <f>SUMIF('Как есть'!$A$45:$A$53,Доп.расчеты!$A175,'Как есть'!FL$45:FL$53)</f>
        <v>0</v>
      </c>
      <c r="FL175">
        <f>SUMIF('Как есть'!$A$45:$A$53,Доп.расчеты!$A175,'Как есть'!FM$45:FM$53)</f>
        <v>0</v>
      </c>
      <c r="FM175">
        <f>SUMIF('Как есть'!$A$45:$A$53,Доп.расчеты!$A175,'Как есть'!FN$45:FN$53)</f>
        <v>0</v>
      </c>
      <c r="FN175">
        <f>SUMIF('Как есть'!$A$45:$A$53,Доп.расчеты!$A175,'Как есть'!FO$45:FO$53)</f>
        <v>0</v>
      </c>
      <c r="FO175">
        <f>SUMIF('Как есть'!$A$45:$A$53,Доп.расчеты!$A175,'Как есть'!FP$45:FP$53)</f>
        <v>0</v>
      </c>
      <c r="FP175">
        <f>SUMIF('Как есть'!$A$45:$A$53,Доп.расчеты!$A175,'Как есть'!FQ$45:FQ$53)</f>
        <v>0</v>
      </c>
      <c r="FQ175">
        <f>SUMIF('Как есть'!$A$45:$A$53,Доп.расчеты!$A175,'Как есть'!FR$45:FR$53)</f>
        <v>0</v>
      </c>
      <c r="FR175">
        <f>SUMIF('Как есть'!$A$45:$A$53,Доп.расчеты!$A175,'Как есть'!FS$45:FS$53)</f>
        <v>0</v>
      </c>
      <c r="FS175">
        <f>SUMIF('Как есть'!$A$45:$A$53,Доп.расчеты!$A175,'Как есть'!FT$45:FT$53)</f>
        <v>0</v>
      </c>
      <c r="FT175">
        <f>SUMIF('Как есть'!$A$45:$A$53,Доп.расчеты!$A175,'Как есть'!FU$45:FU$53)</f>
        <v>0</v>
      </c>
      <c r="FU175">
        <f>SUMIF('Как есть'!$A$45:$A$53,Доп.расчеты!$A175,'Как есть'!FV$45:FV$53)</f>
        <v>0</v>
      </c>
      <c r="FV175">
        <f>SUMIF('Как есть'!$A$45:$A$53,Доп.расчеты!$A175,'Как есть'!FW$45:FW$53)</f>
        <v>0</v>
      </c>
      <c r="FW175">
        <f>SUMIF('Как есть'!$A$45:$A$53,Доп.расчеты!$A175,'Как есть'!FX$45:FX$53)</f>
        <v>0</v>
      </c>
      <c r="FX175">
        <f>SUMIF('Как есть'!$A$45:$A$53,Доп.расчеты!$A175,'Как есть'!FY$45:FY$53)</f>
        <v>0</v>
      </c>
      <c r="FY175">
        <f>SUMIF('Как есть'!$A$45:$A$53,Доп.расчеты!$A175,'Как есть'!FZ$45:FZ$53)</f>
        <v>0</v>
      </c>
      <c r="FZ175">
        <f>SUMIF('Как есть'!$A$45:$A$53,Доп.расчеты!$A175,'Как есть'!GA$45:GA$53)</f>
        <v>0</v>
      </c>
      <c r="GA175">
        <f>SUMIF('Как есть'!$A$45:$A$53,Доп.расчеты!$A175,'Как есть'!GB$45:GB$53)</f>
        <v>0</v>
      </c>
      <c r="GB175">
        <f>SUMIF('Как есть'!$A$45:$A$53,Доп.расчеты!$A175,'Как есть'!GC$45:GC$53)</f>
        <v>0</v>
      </c>
      <c r="GC175">
        <f>SUMIF('Как есть'!$A$45:$A$53,Доп.расчеты!$A175,'Как есть'!GD$45:GD$53)</f>
        <v>0</v>
      </c>
      <c r="GD175">
        <f>SUMIF('Как есть'!$A$45:$A$53,Доп.расчеты!$A175,'Как есть'!GE$45:GE$53)</f>
        <v>0</v>
      </c>
      <c r="GE175">
        <f>SUMIF('Как есть'!$A$45:$A$53,Доп.расчеты!$A175,'Как есть'!GF$45:GF$53)</f>
        <v>0</v>
      </c>
      <c r="GF175">
        <f>SUMIF('Как есть'!$A$45:$A$53,Доп.расчеты!$A175,'Как есть'!GG$45:GG$53)</f>
        <v>0</v>
      </c>
      <c r="GG175">
        <f>SUMIF('Как есть'!$A$45:$A$53,Доп.расчеты!$A175,'Как есть'!GH$45:GH$53)</f>
        <v>0</v>
      </c>
      <c r="GH175">
        <f>SUMIF('Как есть'!$A$45:$A$53,Доп.расчеты!$A175,'Как есть'!GI$45:GI$53)</f>
        <v>0</v>
      </c>
      <c r="GI175">
        <f>SUMIF('Как есть'!$A$45:$A$53,Доп.расчеты!$A175,'Как есть'!GJ$45:GJ$53)</f>
        <v>0</v>
      </c>
      <c r="GJ175">
        <f>SUMIF('Как есть'!$A$45:$A$53,Доп.расчеты!$A175,'Как есть'!GK$45:GK$53)</f>
        <v>0</v>
      </c>
      <c r="GK175">
        <f>SUMIF('Как есть'!$A$45:$A$53,Доп.расчеты!$A175,'Как есть'!GL$45:GL$53)</f>
        <v>0</v>
      </c>
      <c r="GL175">
        <f>SUMIF('Как есть'!$A$45:$A$53,Доп.расчеты!$A175,'Как есть'!GM$45:GM$53)</f>
        <v>0</v>
      </c>
      <c r="GM175">
        <f>SUMIF('Как есть'!$A$45:$A$53,Доп.расчеты!$A175,'Как есть'!GN$45:GN$53)</f>
        <v>0</v>
      </c>
      <c r="GN175">
        <f>SUMIF('Как есть'!$A$45:$A$53,Доп.расчеты!$A175,'Как есть'!GO$45:GO$53)</f>
        <v>0</v>
      </c>
      <c r="GO175">
        <f>SUMIF('Как есть'!$A$45:$A$53,Доп.расчеты!$A175,'Как есть'!GP$45:GP$53)</f>
        <v>0</v>
      </c>
      <c r="GP175">
        <f>SUMIF('Как есть'!$A$45:$A$53,Доп.расчеты!$A175,'Как есть'!GQ$45:GQ$53)</f>
        <v>0</v>
      </c>
      <c r="GQ175">
        <f>SUMIF('Как есть'!$A$45:$A$53,Доп.расчеты!$A175,'Как есть'!GR$45:GR$53)</f>
        <v>0</v>
      </c>
      <c r="GR175">
        <f>SUMIF('Как есть'!$A$45:$A$53,Доп.расчеты!$A175,'Как есть'!GS$45:GS$53)</f>
        <v>0</v>
      </c>
      <c r="GS175">
        <f>SUMIF('Как есть'!$A$45:$A$53,Доп.расчеты!$A175,'Как есть'!GT$45:GT$53)</f>
        <v>0</v>
      </c>
      <c r="GT175">
        <f>SUMIF('Как есть'!$A$45:$A$53,Доп.расчеты!$A175,'Как есть'!GU$45:GU$53)</f>
        <v>0</v>
      </c>
    </row>
    <row r="176" spans="1:202" hidden="1" outlineLevel="1">
      <c r="A176" s="57" t="s">
        <v>134</v>
      </c>
    </row>
    <row r="177" spans="1:202" hidden="1" outlineLevel="1">
      <c r="A177" s="238" t="s">
        <v>23</v>
      </c>
      <c r="B177">
        <f>SUMIF('Как есть'!$A$63:$A$70,Доп.расчеты!$A177,'Как есть'!C$63:C$70)</f>
        <v>0</v>
      </c>
      <c r="C177">
        <f>SUMIF('Как есть'!$A$63:$A$70,Доп.расчеты!$A177,'Как есть'!D$63:D$70)</f>
        <v>0</v>
      </c>
      <c r="D177">
        <f>SUMIF('Как есть'!$A$63:$A$70,Доп.расчеты!$A177,'Как есть'!E$63:E$70)</f>
        <v>0</v>
      </c>
      <c r="E177">
        <f>SUMIF('Как есть'!$A$63:$A$70,Доп.расчеты!$A177,'Как есть'!F$63:F$70)</f>
        <v>0</v>
      </c>
      <c r="F177">
        <f>SUMIF('Как есть'!$A$63:$A$70,Доп.расчеты!$A177,'Как есть'!G$63:G$70)</f>
        <v>0</v>
      </c>
      <c r="G177">
        <f>SUMIF('Как есть'!$A$63:$A$70,Доп.расчеты!$A177,'Как есть'!H$63:H$70)</f>
        <v>0</v>
      </c>
      <c r="H177">
        <f>SUMIF('Как есть'!$A$63:$A$70,Доп.расчеты!$A177,'Как есть'!I$63:I$70)</f>
        <v>0</v>
      </c>
      <c r="I177">
        <f>SUMIF('Как есть'!$A$63:$A$70,Доп.расчеты!$A177,'Как есть'!J$63:J$70)</f>
        <v>0</v>
      </c>
      <c r="J177">
        <f>SUMIF('Как есть'!$A$63:$A$70,Доп.расчеты!$A177,'Как есть'!K$63:K$70)</f>
        <v>0</v>
      </c>
      <c r="K177">
        <f>SUMIF('Как есть'!$A$63:$A$70,Доп.расчеты!$A177,'Как есть'!L$63:L$70)</f>
        <v>0</v>
      </c>
      <c r="L177">
        <f>SUMIF('Как есть'!$A$63:$A$70,Доп.расчеты!$A177,'Как есть'!M$63:M$70)</f>
        <v>0</v>
      </c>
      <c r="M177">
        <f>SUMIF('Как есть'!$A$63:$A$70,Доп.расчеты!$A177,'Как есть'!N$63:N$70)</f>
        <v>0</v>
      </c>
      <c r="N177">
        <f>SUMIF('Как есть'!$A$63:$A$70,Доп.расчеты!$A177,'Как есть'!O$63:O$70)</f>
        <v>0</v>
      </c>
      <c r="O177">
        <f>SUMIF('Как есть'!$A$63:$A$70,Доп.расчеты!$A177,'Как есть'!P$63:P$70)</f>
        <v>0</v>
      </c>
      <c r="P177">
        <f>SUMIF('Как есть'!$A$63:$A$70,Доп.расчеты!$A177,'Как есть'!Q$63:Q$70)</f>
        <v>0</v>
      </c>
      <c r="Q177">
        <f>SUMIF('Как есть'!$A$63:$A$70,Доп.расчеты!$A177,'Как есть'!R$63:R$70)</f>
        <v>0</v>
      </c>
      <c r="R177">
        <f>SUMIF('Как есть'!$A$63:$A$70,Доп.расчеты!$A177,'Как есть'!S$63:S$70)</f>
        <v>0</v>
      </c>
      <c r="S177">
        <f>SUMIF('Как есть'!$A$63:$A$70,Доп.расчеты!$A177,'Как есть'!T$63:T$70)</f>
        <v>0</v>
      </c>
      <c r="T177">
        <f>SUMIF('Как есть'!$A$63:$A$70,Доп.расчеты!$A177,'Как есть'!U$63:U$70)</f>
        <v>0</v>
      </c>
      <c r="U177">
        <f>SUMIF('Как есть'!$A$63:$A$70,Доп.расчеты!$A177,'Как есть'!V$63:V$70)</f>
        <v>0</v>
      </c>
      <c r="V177">
        <f>SUMIF('Как есть'!$A$63:$A$70,Доп.расчеты!$A177,'Как есть'!W$63:W$70)</f>
        <v>0</v>
      </c>
      <c r="W177">
        <f>SUMIF('Как есть'!$A$63:$A$70,Доп.расчеты!$A177,'Как есть'!X$63:X$70)</f>
        <v>0</v>
      </c>
      <c r="X177">
        <f>SUMIF('Как есть'!$A$63:$A$70,Доп.расчеты!$A177,'Как есть'!Y$63:Y$70)</f>
        <v>0</v>
      </c>
      <c r="Y177">
        <f>SUMIF('Как есть'!$A$63:$A$70,Доп.расчеты!$A177,'Как есть'!Z$63:Z$70)</f>
        <v>0</v>
      </c>
      <c r="Z177">
        <f>SUMIF('Как есть'!$A$63:$A$70,Доп.расчеты!$A177,'Как есть'!AA$63:AA$70)</f>
        <v>0</v>
      </c>
      <c r="AA177">
        <f>SUMIF('Как есть'!$A$63:$A$70,Доп.расчеты!$A177,'Как есть'!AB$63:AB$70)</f>
        <v>0</v>
      </c>
      <c r="AB177">
        <f>SUMIF('Как есть'!$A$63:$A$70,Доп.расчеты!$A177,'Как есть'!AC$63:AC$70)</f>
        <v>0</v>
      </c>
      <c r="AC177">
        <f>SUMIF('Как есть'!$A$63:$A$70,Доп.расчеты!$A177,'Как есть'!AD$63:AD$70)</f>
        <v>0</v>
      </c>
      <c r="AD177">
        <f>SUMIF('Как есть'!$A$63:$A$70,Доп.расчеты!$A177,'Как есть'!AE$63:AE$70)</f>
        <v>0</v>
      </c>
      <c r="AE177">
        <f>SUMIF('Как есть'!$A$63:$A$70,Доп.расчеты!$A177,'Как есть'!AF$63:AF$70)</f>
        <v>0</v>
      </c>
      <c r="AF177">
        <f>SUMIF('Как есть'!$A$63:$A$70,Доп.расчеты!$A177,'Как есть'!AG$63:AG$70)</f>
        <v>0</v>
      </c>
      <c r="AG177">
        <f>SUMIF('Как есть'!$A$63:$A$70,Доп.расчеты!$A177,'Как есть'!AH$63:AH$70)</f>
        <v>0</v>
      </c>
      <c r="AH177">
        <f>SUMIF('Как есть'!$A$63:$A$70,Доп.расчеты!$A177,'Как есть'!AI$63:AI$70)</f>
        <v>0</v>
      </c>
      <c r="AI177">
        <f>SUMIF('Как есть'!$A$63:$A$70,Доп.расчеты!$A177,'Как есть'!AJ$63:AJ$70)</f>
        <v>0</v>
      </c>
      <c r="AJ177">
        <f>SUMIF('Как есть'!$A$63:$A$70,Доп.расчеты!$A177,'Как есть'!AK$63:AK$70)</f>
        <v>0</v>
      </c>
      <c r="AK177">
        <f>SUMIF('Как есть'!$A$63:$A$70,Доп.расчеты!$A177,'Как есть'!AL$63:AL$70)</f>
        <v>0</v>
      </c>
      <c r="AL177">
        <f>SUMIF('Как есть'!$A$63:$A$70,Доп.расчеты!$A177,'Как есть'!AM$63:AM$70)</f>
        <v>0</v>
      </c>
      <c r="AM177">
        <f>SUMIF('Как есть'!$A$63:$A$70,Доп.расчеты!$A177,'Как есть'!AN$63:AN$70)</f>
        <v>0</v>
      </c>
      <c r="AN177">
        <f>SUMIF('Как есть'!$A$63:$A$70,Доп.расчеты!$A177,'Как есть'!AO$63:AO$70)</f>
        <v>0</v>
      </c>
      <c r="AO177">
        <f>SUMIF('Как есть'!$A$63:$A$70,Доп.расчеты!$A177,'Как есть'!AP$63:AP$70)</f>
        <v>0</v>
      </c>
      <c r="AP177">
        <f>SUMIF('Как есть'!$A$63:$A$70,Доп.расчеты!$A177,'Как есть'!AQ$63:AQ$70)</f>
        <v>0</v>
      </c>
      <c r="AQ177">
        <f>SUMIF('Как есть'!$A$63:$A$70,Доп.расчеты!$A177,'Как есть'!AR$63:AR$70)</f>
        <v>0</v>
      </c>
      <c r="AR177">
        <f>SUMIF('Как есть'!$A$63:$A$70,Доп.расчеты!$A177,'Как есть'!AS$63:AS$70)</f>
        <v>0</v>
      </c>
      <c r="AS177">
        <f>SUMIF('Как есть'!$A$63:$A$70,Доп.расчеты!$A177,'Как есть'!AT$63:AT$70)</f>
        <v>0</v>
      </c>
      <c r="AT177">
        <f>SUMIF('Как есть'!$A$63:$A$70,Доп.расчеты!$A177,'Как есть'!AU$63:AU$70)</f>
        <v>0</v>
      </c>
      <c r="AU177">
        <f>SUMIF('Как есть'!$A$63:$A$70,Доп.расчеты!$A177,'Как есть'!AV$63:AV$70)</f>
        <v>0</v>
      </c>
      <c r="AV177">
        <f>SUMIF('Как есть'!$A$63:$A$70,Доп.расчеты!$A177,'Как есть'!AW$63:AW$70)</f>
        <v>0</v>
      </c>
      <c r="AW177">
        <f>SUMIF('Как есть'!$A$63:$A$70,Доп.расчеты!$A177,'Как есть'!AX$63:AX$70)</f>
        <v>0</v>
      </c>
      <c r="AX177">
        <f>SUMIF('Как есть'!$A$63:$A$70,Доп.расчеты!$A177,'Как есть'!AY$63:AY$70)</f>
        <v>0</v>
      </c>
      <c r="AY177">
        <f>SUMIF('Как есть'!$A$63:$A$70,Доп.расчеты!$A177,'Как есть'!AZ$63:AZ$70)</f>
        <v>0</v>
      </c>
      <c r="AZ177">
        <f>SUMIF('Как есть'!$A$63:$A$70,Доп.расчеты!$A177,'Как есть'!BA$63:BA$70)</f>
        <v>0</v>
      </c>
      <c r="BA177">
        <f>SUMIF('Как есть'!$A$63:$A$70,Доп.расчеты!$A177,'Как есть'!BB$63:BB$70)</f>
        <v>0</v>
      </c>
      <c r="BB177">
        <f>SUMIF('Как есть'!$A$63:$A$70,Доп.расчеты!$A177,'Как есть'!BC$63:BC$70)</f>
        <v>0</v>
      </c>
      <c r="BC177">
        <f>SUMIF('Как есть'!$A$63:$A$70,Доп.расчеты!$A177,'Как есть'!BD$63:BD$70)</f>
        <v>0</v>
      </c>
      <c r="BD177">
        <f>SUMIF('Как есть'!$A$63:$A$70,Доп.расчеты!$A177,'Как есть'!BE$63:BE$70)</f>
        <v>0</v>
      </c>
      <c r="BE177">
        <f>SUMIF('Как есть'!$A$63:$A$70,Доп.расчеты!$A177,'Как есть'!BF$63:BF$70)</f>
        <v>0</v>
      </c>
      <c r="BF177">
        <f>SUMIF('Как есть'!$A$63:$A$70,Доп.расчеты!$A177,'Как есть'!BG$63:BG$70)</f>
        <v>0</v>
      </c>
      <c r="BG177">
        <f>SUMIF('Как есть'!$A$63:$A$70,Доп.расчеты!$A177,'Как есть'!BH$63:BH$70)</f>
        <v>0</v>
      </c>
      <c r="BH177">
        <f>SUMIF('Как есть'!$A$63:$A$70,Доп.расчеты!$A177,'Как есть'!BI$63:BI$70)</f>
        <v>0</v>
      </c>
      <c r="BI177">
        <f>SUMIF('Как есть'!$A$63:$A$70,Доп.расчеты!$A177,'Как есть'!BJ$63:BJ$70)</f>
        <v>0</v>
      </c>
      <c r="BJ177">
        <f>SUMIF('Как есть'!$A$63:$A$70,Доп.расчеты!$A177,'Как есть'!BK$63:BK$70)</f>
        <v>0</v>
      </c>
      <c r="BK177">
        <f>SUMIF('Как есть'!$A$63:$A$70,Доп.расчеты!$A177,'Как есть'!BL$63:BL$70)</f>
        <v>0</v>
      </c>
      <c r="BL177">
        <f>SUMIF('Как есть'!$A$63:$A$70,Доп.расчеты!$A177,'Как есть'!BM$63:BM$70)</f>
        <v>0</v>
      </c>
      <c r="BM177">
        <f>SUMIF('Как есть'!$A$63:$A$70,Доп.расчеты!$A177,'Как есть'!BN$63:BN$70)</f>
        <v>0</v>
      </c>
      <c r="BN177">
        <f>SUMIF('Как есть'!$A$63:$A$70,Доп.расчеты!$A177,'Как есть'!BO$63:BO$70)</f>
        <v>0</v>
      </c>
      <c r="BO177">
        <f>SUMIF('Как есть'!$A$63:$A$70,Доп.расчеты!$A177,'Как есть'!BP$63:BP$70)</f>
        <v>0</v>
      </c>
      <c r="BP177">
        <f>SUMIF('Как есть'!$A$63:$A$70,Доп.расчеты!$A177,'Как есть'!BQ$63:BQ$70)</f>
        <v>0</v>
      </c>
      <c r="BQ177">
        <f>SUMIF('Как есть'!$A$63:$A$70,Доп.расчеты!$A177,'Как есть'!BR$63:BR$70)</f>
        <v>0</v>
      </c>
      <c r="BR177">
        <f>SUMIF('Как есть'!$A$63:$A$70,Доп.расчеты!$A177,'Как есть'!BS$63:BS$70)</f>
        <v>0</v>
      </c>
      <c r="BS177">
        <f>SUMIF('Как есть'!$A$63:$A$70,Доп.расчеты!$A177,'Как есть'!BT$63:BT$70)</f>
        <v>0</v>
      </c>
      <c r="BT177">
        <f>SUMIF('Как есть'!$A$63:$A$70,Доп.расчеты!$A177,'Как есть'!BU$63:BU$70)</f>
        <v>0</v>
      </c>
      <c r="BU177">
        <f>SUMIF('Как есть'!$A$63:$A$70,Доп.расчеты!$A177,'Как есть'!BV$63:BV$70)</f>
        <v>0</v>
      </c>
      <c r="BV177">
        <f>SUMIF('Как есть'!$A$63:$A$70,Доп.расчеты!$A177,'Как есть'!BW$63:BW$70)</f>
        <v>0</v>
      </c>
      <c r="BW177">
        <f>SUMIF('Как есть'!$A$63:$A$70,Доп.расчеты!$A177,'Как есть'!BX$63:BX$70)</f>
        <v>0</v>
      </c>
      <c r="BX177">
        <f>SUMIF('Как есть'!$A$63:$A$70,Доп.расчеты!$A177,'Как есть'!BY$63:BY$70)</f>
        <v>0</v>
      </c>
      <c r="BY177">
        <f>SUMIF('Как есть'!$A$63:$A$70,Доп.расчеты!$A177,'Как есть'!BZ$63:BZ$70)</f>
        <v>0</v>
      </c>
      <c r="BZ177">
        <f>SUMIF('Как есть'!$A$63:$A$70,Доп.расчеты!$A177,'Как есть'!CA$63:CA$70)</f>
        <v>0</v>
      </c>
      <c r="CA177">
        <f>SUMIF('Как есть'!$A$63:$A$70,Доп.расчеты!$A177,'Как есть'!CB$63:CB$70)</f>
        <v>0</v>
      </c>
      <c r="CB177">
        <f>SUMIF('Как есть'!$A$63:$A$70,Доп.расчеты!$A177,'Как есть'!CC$63:CC$70)</f>
        <v>0</v>
      </c>
      <c r="CC177">
        <f>SUMIF('Как есть'!$A$63:$A$70,Доп.расчеты!$A177,'Как есть'!CD$63:CD$70)</f>
        <v>0</v>
      </c>
      <c r="CD177">
        <f>SUMIF('Как есть'!$A$63:$A$70,Доп.расчеты!$A177,'Как есть'!CE$63:CE$70)</f>
        <v>0</v>
      </c>
      <c r="CE177">
        <f>SUMIF('Как есть'!$A$63:$A$70,Доп.расчеты!$A177,'Как есть'!CF$63:CF$70)</f>
        <v>0</v>
      </c>
      <c r="CF177">
        <f>SUMIF('Как есть'!$A$63:$A$70,Доп.расчеты!$A177,'Как есть'!CG$63:CG$70)</f>
        <v>0</v>
      </c>
      <c r="CG177">
        <f>SUMIF('Как есть'!$A$63:$A$70,Доп.расчеты!$A177,'Как есть'!CH$63:CH$70)</f>
        <v>0</v>
      </c>
      <c r="CH177">
        <f>SUMIF('Как есть'!$A$63:$A$70,Доп.расчеты!$A177,'Как есть'!CI$63:CI$70)</f>
        <v>0</v>
      </c>
      <c r="CI177">
        <f>SUMIF('Как есть'!$A$63:$A$70,Доп.расчеты!$A177,'Как есть'!CJ$63:CJ$70)</f>
        <v>0</v>
      </c>
      <c r="CJ177">
        <f>SUMIF('Как есть'!$A$63:$A$70,Доп.расчеты!$A177,'Как есть'!CK$63:CK$70)</f>
        <v>0</v>
      </c>
      <c r="CK177">
        <f>SUMIF('Как есть'!$A$63:$A$70,Доп.расчеты!$A177,'Как есть'!CL$63:CL$70)</f>
        <v>0</v>
      </c>
      <c r="CL177">
        <f>SUMIF('Как есть'!$A$63:$A$70,Доп.расчеты!$A177,'Как есть'!CM$63:CM$70)</f>
        <v>0</v>
      </c>
      <c r="CM177">
        <f>SUMIF('Как есть'!$A$63:$A$70,Доп.расчеты!$A177,'Как есть'!CN$63:CN$70)</f>
        <v>0</v>
      </c>
      <c r="CN177">
        <f>SUMIF('Как есть'!$A$63:$A$70,Доп.расчеты!$A177,'Как есть'!CO$63:CO$70)</f>
        <v>0</v>
      </c>
      <c r="CO177">
        <f>SUMIF('Как есть'!$A$63:$A$70,Доп.расчеты!$A177,'Как есть'!CP$63:CP$70)</f>
        <v>0</v>
      </c>
      <c r="CP177">
        <f>SUMIF('Как есть'!$A$63:$A$70,Доп.расчеты!$A177,'Как есть'!CQ$63:CQ$70)</f>
        <v>0</v>
      </c>
      <c r="CQ177">
        <f>SUMIF('Как есть'!$A$63:$A$70,Доп.расчеты!$A177,'Как есть'!CR$63:CR$70)</f>
        <v>0</v>
      </c>
      <c r="CR177">
        <f>SUMIF('Как есть'!$A$63:$A$70,Доп.расчеты!$A177,'Как есть'!CS$63:CS$70)</f>
        <v>0</v>
      </c>
      <c r="CS177">
        <f>SUMIF('Как есть'!$A$63:$A$70,Доп.расчеты!$A177,'Как есть'!CT$63:CT$70)</f>
        <v>0</v>
      </c>
      <c r="CT177">
        <f>SUMIF('Как есть'!$A$63:$A$70,Доп.расчеты!$A177,'Как есть'!CU$63:CU$70)</f>
        <v>0</v>
      </c>
      <c r="CU177">
        <f>SUMIF('Как есть'!$A$63:$A$70,Доп.расчеты!$A177,'Как есть'!CV$63:CV$70)</f>
        <v>0</v>
      </c>
      <c r="CV177">
        <f>SUMIF('Как есть'!$A$63:$A$70,Доп.расчеты!$A177,'Как есть'!CW$63:CW$70)</f>
        <v>0</v>
      </c>
      <c r="CW177">
        <f>SUMIF('Как есть'!$A$63:$A$70,Доп.расчеты!$A177,'Как есть'!CX$63:CX$70)</f>
        <v>0</v>
      </c>
      <c r="CX177">
        <f>SUMIF('Как есть'!$A$63:$A$70,Доп.расчеты!$A177,'Как есть'!CY$63:CY$70)</f>
        <v>0</v>
      </c>
      <c r="CY177">
        <f>SUMIF('Как есть'!$A$63:$A$70,Доп.расчеты!$A177,'Как есть'!CZ$63:CZ$70)</f>
        <v>0</v>
      </c>
      <c r="CZ177">
        <f>SUMIF('Как есть'!$A$63:$A$70,Доп.расчеты!$A177,'Как есть'!DA$63:DA$70)</f>
        <v>0</v>
      </c>
      <c r="DA177">
        <f>SUMIF('Как есть'!$A$63:$A$70,Доп.расчеты!$A177,'Как есть'!DB$63:DB$70)</f>
        <v>0</v>
      </c>
      <c r="DB177">
        <f>SUMIF('Как есть'!$A$63:$A$70,Доп.расчеты!$A177,'Как есть'!DC$63:DC$70)</f>
        <v>0</v>
      </c>
      <c r="DC177">
        <f>SUMIF('Как есть'!$A$63:$A$70,Доп.расчеты!$A177,'Как есть'!DD$63:DD$70)</f>
        <v>0</v>
      </c>
      <c r="DD177">
        <f>SUMIF('Как есть'!$A$63:$A$70,Доп.расчеты!$A177,'Как есть'!DE$63:DE$70)</f>
        <v>0</v>
      </c>
      <c r="DE177">
        <f>SUMIF('Как есть'!$A$63:$A$70,Доп.расчеты!$A177,'Как есть'!DF$63:DF$70)</f>
        <v>0</v>
      </c>
      <c r="DF177">
        <f>SUMIF('Как есть'!$A$63:$A$70,Доп.расчеты!$A177,'Как есть'!DG$63:DG$70)</f>
        <v>0</v>
      </c>
      <c r="DG177">
        <f>SUMIF('Как есть'!$A$63:$A$70,Доп.расчеты!$A177,'Как есть'!DH$63:DH$70)</f>
        <v>0</v>
      </c>
      <c r="DH177">
        <f>SUMIF('Как есть'!$A$63:$A$70,Доп.расчеты!$A177,'Как есть'!DI$63:DI$70)</f>
        <v>0</v>
      </c>
      <c r="DI177">
        <f>SUMIF('Как есть'!$A$63:$A$70,Доп.расчеты!$A177,'Как есть'!DJ$63:DJ$70)</f>
        <v>0</v>
      </c>
      <c r="DJ177">
        <f>SUMIF('Как есть'!$A$63:$A$70,Доп.расчеты!$A177,'Как есть'!DK$63:DK$70)</f>
        <v>0</v>
      </c>
      <c r="DK177">
        <f>SUMIF('Как есть'!$A$63:$A$70,Доп.расчеты!$A177,'Как есть'!DL$63:DL$70)</f>
        <v>0</v>
      </c>
      <c r="DL177">
        <f>SUMIF('Как есть'!$A$63:$A$70,Доп.расчеты!$A177,'Как есть'!DM$63:DM$70)</f>
        <v>0</v>
      </c>
      <c r="DM177">
        <f>SUMIF('Как есть'!$A$63:$A$70,Доп.расчеты!$A177,'Как есть'!DN$63:DN$70)</f>
        <v>0</v>
      </c>
      <c r="DN177">
        <f>SUMIF('Как есть'!$A$63:$A$70,Доп.расчеты!$A177,'Как есть'!DO$63:DO$70)</f>
        <v>0</v>
      </c>
      <c r="DO177">
        <f>SUMIF('Как есть'!$A$63:$A$70,Доп.расчеты!$A177,'Как есть'!DP$63:DP$70)</f>
        <v>0</v>
      </c>
      <c r="DP177">
        <f>SUMIF('Как есть'!$A$63:$A$70,Доп.расчеты!$A177,'Как есть'!DQ$63:DQ$70)</f>
        <v>0</v>
      </c>
      <c r="DQ177">
        <f>SUMIF('Как есть'!$A$63:$A$70,Доп.расчеты!$A177,'Как есть'!DR$63:DR$70)</f>
        <v>0</v>
      </c>
      <c r="DR177">
        <f>SUMIF('Как есть'!$A$63:$A$70,Доп.расчеты!$A177,'Как есть'!DS$63:DS$70)</f>
        <v>0</v>
      </c>
      <c r="DS177">
        <f>SUMIF('Как есть'!$A$63:$A$70,Доп.расчеты!$A177,'Как есть'!DT$63:DT$70)</f>
        <v>0</v>
      </c>
      <c r="DT177">
        <f>SUMIF('Как есть'!$A$63:$A$70,Доп.расчеты!$A177,'Как есть'!DU$63:DU$70)</f>
        <v>0</v>
      </c>
      <c r="DU177">
        <f>SUMIF('Как есть'!$A$63:$A$70,Доп.расчеты!$A177,'Как есть'!DV$63:DV$70)</f>
        <v>0</v>
      </c>
      <c r="DV177">
        <f>SUMIF('Как есть'!$A$63:$A$70,Доп.расчеты!$A177,'Как есть'!DW$63:DW$70)</f>
        <v>0</v>
      </c>
      <c r="DW177">
        <f>SUMIF('Как есть'!$A$63:$A$70,Доп.расчеты!$A177,'Как есть'!DX$63:DX$70)</f>
        <v>0</v>
      </c>
      <c r="DX177">
        <f>SUMIF('Как есть'!$A$63:$A$70,Доп.расчеты!$A177,'Как есть'!DY$63:DY$70)</f>
        <v>0</v>
      </c>
      <c r="DY177">
        <f>SUMIF('Как есть'!$A$63:$A$70,Доп.расчеты!$A177,'Как есть'!DZ$63:DZ$70)</f>
        <v>0</v>
      </c>
      <c r="DZ177">
        <f>SUMIF('Как есть'!$A$63:$A$70,Доп.расчеты!$A177,'Как есть'!EA$63:EA$70)</f>
        <v>0</v>
      </c>
      <c r="EA177">
        <f>SUMIF('Как есть'!$A$63:$A$70,Доп.расчеты!$A177,'Как есть'!EB$63:EB$70)</f>
        <v>0</v>
      </c>
      <c r="EB177">
        <f>SUMIF('Как есть'!$A$63:$A$70,Доп.расчеты!$A177,'Как есть'!EC$63:EC$70)</f>
        <v>0</v>
      </c>
      <c r="EC177">
        <f>SUMIF('Как есть'!$A$63:$A$70,Доп.расчеты!$A177,'Как есть'!ED$63:ED$70)</f>
        <v>0</v>
      </c>
      <c r="ED177">
        <f>SUMIF('Как есть'!$A$63:$A$70,Доп.расчеты!$A177,'Как есть'!EE$63:EE$70)</f>
        <v>0</v>
      </c>
      <c r="EE177">
        <f>SUMIF('Как есть'!$A$63:$A$70,Доп.расчеты!$A177,'Как есть'!EF$63:EF$70)</f>
        <v>0</v>
      </c>
      <c r="EF177">
        <f>SUMIF('Как есть'!$A$63:$A$70,Доп.расчеты!$A177,'Как есть'!EG$63:EG$70)</f>
        <v>0</v>
      </c>
      <c r="EG177">
        <f>SUMIF('Как есть'!$A$63:$A$70,Доп.расчеты!$A177,'Как есть'!EH$63:EH$70)</f>
        <v>0</v>
      </c>
      <c r="EH177">
        <f>SUMIF('Как есть'!$A$63:$A$70,Доп.расчеты!$A177,'Как есть'!EI$63:EI$70)</f>
        <v>0</v>
      </c>
      <c r="EI177">
        <f>SUMIF('Как есть'!$A$63:$A$70,Доп.расчеты!$A177,'Как есть'!EJ$63:EJ$70)</f>
        <v>0</v>
      </c>
      <c r="EJ177">
        <f>SUMIF('Как есть'!$A$63:$A$70,Доп.расчеты!$A177,'Как есть'!EK$63:EK$70)</f>
        <v>0</v>
      </c>
      <c r="EK177">
        <f>SUMIF('Как есть'!$A$63:$A$70,Доп.расчеты!$A177,'Как есть'!EL$63:EL$70)</f>
        <v>0</v>
      </c>
      <c r="EL177">
        <f>SUMIF('Как есть'!$A$63:$A$70,Доп.расчеты!$A177,'Как есть'!EM$63:EM$70)</f>
        <v>0</v>
      </c>
      <c r="EM177">
        <f>SUMIF('Как есть'!$A$63:$A$70,Доп.расчеты!$A177,'Как есть'!EN$63:EN$70)</f>
        <v>0</v>
      </c>
      <c r="EN177">
        <f>SUMIF('Как есть'!$A$63:$A$70,Доп.расчеты!$A177,'Как есть'!EO$63:EO$70)</f>
        <v>0</v>
      </c>
      <c r="EO177">
        <f>SUMIF('Как есть'!$A$63:$A$70,Доп.расчеты!$A177,'Как есть'!EP$63:EP$70)</f>
        <v>0</v>
      </c>
      <c r="EP177">
        <f>SUMIF('Как есть'!$A$63:$A$70,Доп.расчеты!$A177,'Как есть'!EQ$63:EQ$70)</f>
        <v>0</v>
      </c>
      <c r="EQ177">
        <f>SUMIF('Как есть'!$A$63:$A$70,Доп.расчеты!$A177,'Как есть'!ER$63:ER$70)</f>
        <v>0</v>
      </c>
      <c r="ER177">
        <f>SUMIF('Как есть'!$A$63:$A$70,Доп.расчеты!$A177,'Как есть'!ES$63:ES$70)</f>
        <v>0</v>
      </c>
      <c r="ES177">
        <f>SUMIF('Как есть'!$A$63:$A$70,Доп.расчеты!$A177,'Как есть'!ET$63:ET$70)</f>
        <v>0</v>
      </c>
      <c r="ET177">
        <f>SUMIF('Как есть'!$A$63:$A$70,Доп.расчеты!$A177,'Как есть'!EU$63:EU$70)</f>
        <v>0</v>
      </c>
      <c r="EU177">
        <f>SUMIF('Как есть'!$A$63:$A$70,Доп.расчеты!$A177,'Как есть'!EV$63:EV$70)</f>
        <v>0</v>
      </c>
      <c r="EV177">
        <f>SUMIF('Как есть'!$A$63:$A$70,Доп.расчеты!$A177,'Как есть'!EW$63:EW$70)</f>
        <v>0</v>
      </c>
      <c r="EW177">
        <f>SUMIF('Как есть'!$A$63:$A$70,Доп.расчеты!$A177,'Как есть'!EX$63:EX$70)</f>
        <v>0</v>
      </c>
      <c r="EX177">
        <f>SUMIF('Как есть'!$A$63:$A$70,Доп.расчеты!$A177,'Как есть'!EY$63:EY$70)</f>
        <v>0</v>
      </c>
      <c r="EY177">
        <f>SUMIF('Как есть'!$A$63:$A$70,Доп.расчеты!$A177,'Как есть'!EZ$63:EZ$70)</f>
        <v>0</v>
      </c>
      <c r="EZ177">
        <f>SUMIF('Как есть'!$A$63:$A$70,Доп.расчеты!$A177,'Как есть'!FA$63:FA$70)</f>
        <v>0</v>
      </c>
      <c r="FA177">
        <f>SUMIF('Как есть'!$A$63:$A$70,Доп.расчеты!$A177,'Как есть'!FB$63:FB$70)</f>
        <v>0</v>
      </c>
      <c r="FB177">
        <f>SUMIF('Как есть'!$A$63:$A$70,Доп.расчеты!$A177,'Как есть'!FC$63:FC$70)</f>
        <v>0</v>
      </c>
      <c r="FC177">
        <f>SUMIF('Как есть'!$A$63:$A$70,Доп.расчеты!$A177,'Как есть'!FD$63:FD$70)</f>
        <v>0</v>
      </c>
      <c r="FD177">
        <f>SUMIF('Как есть'!$A$63:$A$70,Доп.расчеты!$A177,'Как есть'!FE$63:FE$70)</f>
        <v>0</v>
      </c>
      <c r="FE177">
        <f>SUMIF('Как есть'!$A$63:$A$70,Доп.расчеты!$A177,'Как есть'!FF$63:FF$70)</f>
        <v>0</v>
      </c>
      <c r="FF177">
        <f>SUMIF('Как есть'!$A$63:$A$70,Доп.расчеты!$A177,'Как есть'!FG$63:FG$70)</f>
        <v>0</v>
      </c>
      <c r="FG177">
        <f>SUMIF('Как есть'!$A$63:$A$70,Доп.расчеты!$A177,'Как есть'!FH$63:FH$70)</f>
        <v>0</v>
      </c>
      <c r="FH177">
        <f>SUMIF('Как есть'!$A$63:$A$70,Доп.расчеты!$A177,'Как есть'!FI$63:FI$70)</f>
        <v>0</v>
      </c>
      <c r="FI177">
        <f>SUMIF('Как есть'!$A$63:$A$70,Доп.расчеты!$A177,'Как есть'!FJ$63:FJ$70)</f>
        <v>0</v>
      </c>
      <c r="FJ177">
        <f>SUMIF('Как есть'!$A$63:$A$70,Доп.расчеты!$A177,'Как есть'!FK$63:FK$70)</f>
        <v>0</v>
      </c>
      <c r="FK177">
        <f>SUMIF('Как есть'!$A$63:$A$70,Доп.расчеты!$A177,'Как есть'!FL$63:FL$70)</f>
        <v>0</v>
      </c>
      <c r="FL177">
        <f>SUMIF('Как есть'!$A$63:$A$70,Доп.расчеты!$A177,'Как есть'!FM$63:FM$70)</f>
        <v>0</v>
      </c>
      <c r="FM177">
        <f>SUMIF('Как есть'!$A$63:$A$70,Доп.расчеты!$A177,'Как есть'!FN$63:FN$70)</f>
        <v>0</v>
      </c>
      <c r="FN177">
        <f>SUMIF('Как есть'!$A$63:$A$70,Доп.расчеты!$A177,'Как есть'!FO$63:FO$70)</f>
        <v>0</v>
      </c>
      <c r="FO177">
        <f>SUMIF('Как есть'!$A$63:$A$70,Доп.расчеты!$A177,'Как есть'!FP$63:FP$70)</f>
        <v>0</v>
      </c>
      <c r="FP177">
        <f>SUMIF('Как есть'!$A$63:$A$70,Доп.расчеты!$A177,'Как есть'!FQ$63:FQ$70)</f>
        <v>0</v>
      </c>
      <c r="FQ177">
        <f>SUMIF('Как есть'!$A$63:$A$70,Доп.расчеты!$A177,'Как есть'!FR$63:FR$70)</f>
        <v>0</v>
      </c>
      <c r="FR177">
        <f>SUMIF('Как есть'!$A$63:$A$70,Доп.расчеты!$A177,'Как есть'!FS$63:FS$70)</f>
        <v>0</v>
      </c>
      <c r="FS177">
        <f>SUMIF('Как есть'!$A$63:$A$70,Доп.расчеты!$A177,'Как есть'!FT$63:FT$70)</f>
        <v>0</v>
      </c>
      <c r="FT177">
        <f>SUMIF('Как есть'!$A$63:$A$70,Доп.расчеты!$A177,'Как есть'!FU$63:FU$70)</f>
        <v>0</v>
      </c>
      <c r="FU177">
        <f>SUMIF('Как есть'!$A$63:$A$70,Доп.расчеты!$A177,'Как есть'!FV$63:FV$70)</f>
        <v>0</v>
      </c>
      <c r="FV177">
        <f>SUMIF('Как есть'!$A$63:$A$70,Доп.расчеты!$A177,'Как есть'!FW$63:FW$70)</f>
        <v>0</v>
      </c>
      <c r="FW177">
        <f>SUMIF('Как есть'!$A$63:$A$70,Доп.расчеты!$A177,'Как есть'!FX$63:FX$70)</f>
        <v>0</v>
      </c>
      <c r="FX177">
        <f>SUMIF('Как есть'!$A$63:$A$70,Доп.расчеты!$A177,'Как есть'!FY$63:FY$70)</f>
        <v>0</v>
      </c>
      <c r="FY177">
        <f>SUMIF('Как есть'!$A$63:$A$70,Доп.расчеты!$A177,'Как есть'!FZ$63:FZ$70)</f>
        <v>0</v>
      </c>
      <c r="FZ177">
        <f>SUMIF('Как есть'!$A$63:$A$70,Доп.расчеты!$A177,'Как есть'!GA$63:GA$70)</f>
        <v>0</v>
      </c>
      <c r="GA177">
        <f>SUMIF('Как есть'!$A$63:$A$70,Доп.расчеты!$A177,'Как есть'!GB$63:GB$70)</f>
        <v>0</v>
      </c>
      <c r="GB177">
        <f>SUMIF('Как есть'!$A$63:$A$70,Доп.расчеты!$A177,'Как есть'!GC$63:GC$70)</f>
        <v>0</v>
      </c>
      <c r="GC177">
        <f>SUMIF('Как есть'!$A$63:$A$70,Доп.расчеты!$A177,'Как есть'!GD$63:GD$70)</f>
        <v>0</v>
      </c>
      <c r="GD177">
        <f>SUMIF('Как есть'!$A$63:$A$70,Доп.расчеты!$A177,'Как есть'!GE$63:GE$70)</f>
        <v>0</v>
      </c>
      <c r="GE177">
        <f>SUMIF('Как есть'!$A$63:$A$70,Доп.расчеты!$A177,'Как есть'!GF$63:GF$70)</f>
        <v>0</v>
      </c>
      <c r="GF177">
        <f>SUMIF('Как есть'!$A$63:$A$70,Доп.расчеты!$A177,'Как есть'!GG$63:GG$70)</f>
        <v>0</v>
      </c>
      <c r="GG177">
        <f>SUMIF('Как есть'!$A$63:$A$70,Доп.расчеты!$A177,'Как есть'!GH$63:GH$70)</f>
        <v>0</v>
      </c>
      <c r="GH177">
        <f>SUMIF('Как есть'!$A$63:$A$70,Доп.расчеты!$A177,'Как есть'!GI$63:GI$70)</f>
        <v>0</v>
      </c>
      <c r="GI177">
        <f>SUMIF('Как есть'!$A$63:$A$70,Доп.расчеты!$A177,'Как есть'!GJ$63:GJ$70)</f>
        <v>0</v>
      </c>
      <c r="GJ177">
        <f>SUMIF('Как есть'!$A$63:$A$70,Доп.расчеты!$A177,'Как есть'!GK$63:GK$70)</f>
        <v>0</v>
      </c>
      <c r="GK177">
        <f>SUMIF('Как есть'!$A$63:$A$70,Доп.расчеты!$A177,'Как есть'!GL$63:GL$70)</f>
        <v>0</v>
      </c>
      <c r="GL177">
        <f>SUMIF('Как есть'!$A$63:$A$70,Доп.расчеты!$A177,'Как есть'!GM$63:GM$70)</f>
        <v>0</v>
      </c>
      <c r="GM177">
        <f>SUMIF('Как есть'!$A$63:$A$70,Доп.расчеты!$A177,'Как есть'!GN$63:GN$70)</f>
        <v>0</v>
      </c>
      <c r="GN177">
        <f>SUMIF('Как есть'!$A$63:$A$70,Доп.расчеты!$A177,'Как есть'!GO$63:GO$70)</f>
        <v>0</v>
      </c>
      <c r="GO177">
        <f>SUMIF('Как есть'!$A$63:$A$70,Доп.расчеты!$A177,'Как есть'!GP$63:GP$70)</f>
        <v>0</v>
      </c>
      <c r="GP177">
        <f>SUMIF('Как есть'!$A$63:$A$70,Доп.расчеты!$A177,'Как есть'!GQ$63:GQ$70)</f>
        <v>0</v>
      </c>
      <c r="GQ177">
        <f>SUMIF('Как есть'!$A$63:$A$70,Доп.расчеты!$A177,'Как есть'!GR$63:GR$70)</f>
        <v>0</v>
      </c>
      <c r="GR177">
        <f>SUMIF('Как есть'!$A$63:$A$70,Доп.расчеты!$A177,'Как есть'!GS$63:GS$70)</f>
        <v>0</v>
      </c>
      <c r="GS177">
        <f>SUMIF('Как есть'!$A$63:$A$70,Доп.расчеты!$A177,'Как есть'!GT$63:GT$70)</f>
        <v>0</v>
      </c>
      <c r="GT177">
        <f>SUMIF('Как есть'!$A$63:$A$70,Доп.расчеты!$A177,'Как есть'!GU$63:GU$70)</f>
        <v>0</v>
      </c>
    </row>
    <row r="178" spans="1:202" hidden="1" outlineLevel="1">
      <c r="A178" s="238" t="s">
        <v>64</v>
      </c>
      <c r="B178">
        <f>SUMIF('Как есть'!$A$63:$A$70,Доп.расчеты!$A178,'Как есть'!C$63:C$70)</f>
        <v>0</v>
      </c>
      <c r="C178">
        <f>SUMIF('Как есть'!$A$63:$A$70,Доп.расчеты!$A178,'Как есть'!D$63:D$70)</f>
        <v>0</v>
      </c>
      <c r="D178">
        <f>SUMIF('Как есть'!$A$63:$A$70,Доп.расчеты!$A178,'Как есть'!E$63:E$70)</f>
        <v>0</v>
      </c>
      <c r="E178">
        <f>SUMIF('Как есть'!$A$63:$A$70,Доп.расчеты!$A178,'Как есть'!F$63:F$70)</f>
        <v>0</v>
      </c>
      <c r="F178">
        <f>SUMIF('Как есть'!$A$63:$A$70,Доп.расчеты!$A178,'Как есть'!G$63:G$70)</f>
        <v>0</v>
      </c>
      <c r="G178">
        <f>SUMIF('Как есть'!$A$63:$A$70,Доп.расчеты!$A178,'Как есть'!H$63:H$70)</f>
        <v>0</v>
      </c>
      <c r="H178">
        <f>SUMIF('Как есть'!$A$63:$A$70,Доп.расчеты!$A178,'Как есть'!I$63:I$70)</f>
        <v>0</v>
      </c>
      <c r="I178">
        <f>SUMIF('Как есть'!$A$63:$A$70,Доп.расчеты!$A178,'Как есть'!J$63:J$70)</f>
        <v>0</v>
      </c>
      <c r="J178">
        <f>SUMIF('Как есть'!$A$63:$A$70,Доп.расчеты!$A178,'Как есть'!K$63:K$70)</f>
        <v>0</v>
      </c>
      <c r="K178">
        <f>SUMIF('Как есть'!$A$63:$A$70,Доп.расчеты!$A178,'Как есть'!L$63:L$70)</f>
        <v>0</v>
      </c>
      <c r="L178">
        <f>SUMIF('Как есть'!$A$63:$A$70,Доп.расчеты!$A178,'Как есть'!M$63:M$70)</f>
        <v>0</v>
      </c>
      <c r="M178">
        <f>SUMIF('Как есть'!$A$63:$A$70,Доп.расчеты!$A178,'Как есть'!N$63:N$70)</f>
        <v>0</v>
      </c>
      <c r="N178">
        <f>SUMIF('Как есть'!$A$63:$A$70,Доп.расчеты!$A178,'Как есть'!O$63:O$70)</f>
        <v>0</v>
      </c>
      <c r="O178">
        <f>SUMIF('Как есть'!$A$63:$A$70,Доп.расчеты!$A178,'Как есть'!P$63:P$70)</f>
        <v>0</v>
      </c>
      <c r="P178">
        <f>SUMIF('Как есть'!$A$63:$A$70,Доп.расчеты!$A178,'Как есть'!Q$63:Q$70)</f>
        <v>0</v>
      </c>
      <c r="Q178">
        <f>SUMIF('Как есть'!$A$63:$A$70,Доп.расчеты!$A178,'Как есть'!R$63:R$70)</f>
        <v>0</v>
      </c>
      <c r="R178">
        <f>SUMIF('Как есть'!$A$63:$A$70,Доп.расчеты!$A178,'Как есть'!S$63:S$70)</f>
        <v>0</v>
      </c>
      <c r="S178">
        <f>SUMIF('Как есть'!$A$63:$A$70,Доп.расчеты!$A178,'Как есть'!T$63:T$70)</f>
        <v>0</v>
      </c>
      <c r="T178">
        <f>SUMIF('Как есть'!$A$63:$A$70,Доп.расчеты!$A178,'Как есть'!U$63:U$70)</f>
        <v>0</v>
      </c>
      <c r="U178">
        <f>SUMIF('Как есть'!$A$63:$A$70,Доп.расчеты!$A178,'Как есть'!V$63:V$70)</f>
        <v>0</v>
      </c>
      <c r="V178">
        <f>SUMIF('Как есть'!$A$63:$A$70,Доп.расчеты!$A178,'Как есть'!W$63:W$70)</f>
        <v>0</v>
      </c>
      <c r="W178">
        <f>SUMIF('Как есть'!$A$63:$A$70,Доп.расчеты!$A178,'Как есть'!X$63:X$70)</f>
        <v>0</v>
      </c>
      <c r="X178">
        <f>SUMIF('Как есть'!$A$63:$A$70,Доп.расчеты!$A178,'Как есть'!Y$63:Y$70)</f>
        <v>0</v>
      </c>
      <c r="Y178">
        <f>SUMIF('Как есть'!$A$63:$A$70,Доп.расчеты!$A178,'Как есть'!Z$63:Z$70)</f>
        <v>0</v>
      </c>
      <c r="Z178">
        <f>SUMIF('Как есть'!$A$63:$A$70,Доп.расчеты!$A178,'Как есть'!AA$63:AA$70)</f>
        <v>0</v>
      </c>
      <c r="AA178">
        <f>SUMIF('Как есть'!$A$63:$A$70,Доп.расчеты!$A178,'Как есть'!AB$63:AB$70)</f>
        <v>0</v>
      </c>
      <c r="AB178">
        <f>SUMIF('Как есть'!$A$63:$A$70,Доп.расчеты!$A178,'Как есть'!AC$63:AC$70)</f>
        <v>0</v>
      </c>
      <c r="AC178">
        <f>SUMIF('Как есть'!$A$63:$A$70,Доп.расчеты!$A178,'Как есть'!AD$63:AD$70)</f>
        <v>0</v>
      </c>
      <c r="AD178">
        <f>SUMIF('Как есть'!$A$63:$A$70,Доп.расчеты!$A178,'Как есть'!AE$63:AE$70)</f>
        <v>0</v>
      </c>
      <c r="AE178">
        <f>SUMIF('Как есть'!$A$63:$A$70,Доп.расчеты!$A178,'Как есть'!AF$63:AF$70)</f>
        <v>0</v>
      </c>
      <c r="AF178">
        <f>SUMIF('Как есть'!$A$63:$A$70,Доп.расчеты!$A178,'Как есть'!AG$63:AG$70)</f>
        <v>0</v>
      </c>
      <c r="AG178">
        <f>SUMIF('Как есть'!$A$63:$A$70,Доп.расчеты!$A178,'Как есть'!AH$63:AH$70)</f>
        <v>0</v>
      </c>
      <c r="AH178">
        <f>SUMIF('Как есть'!$A$63:$A$70,Доп.расчеты!$A178,'Как есть'!AI$63:AI$70)</f>
        <v>0</v>
      </c>
      <c r="AI178">
        <f>SUMIF('Как есть'!$A$63:$A$70,Доп.расчеты!$A178,'Как есть'!AJ$63:AJ$70)</f>
        <v>0</v>
      </c>
      <c r="AJ178">
        <f>SUMIF('Как есть'!$A$63:$A$70,Доп.расчеты!$A178,'Как есть'!AK$63:AK$70)</f>
        <v>0</v>
      </c>
      <c r="AK178">
        <f>SUMIF('Как есть'!$A$63:$A$70,Доп.расчеты!$A178,'Как есть'!AL$63:AL$70)</f>
        <v>0</v>
      </c>
      <c r="AL178">
        <f>SUMIF('Как есть'!$A$63:$A$70,Доп.расчеты!$A178,'Как есть'!AM$63:AM$70)</f>
        <v>0</v>
      </c>
      <c r="AM178">
        <f>SUMIF('Как есть'!$A$63:$A$70,Доп.расчеты!$A178,'Как есть'!AN$63:AN$70)</f>
        <v>0</v>
      </c>
      <c r="AN178">
        <f>SUMIF('Как есть'!$A$63:$A$70,Доп.расчеты!$A178,'Как есть'!AO$63:AO$70)</f>
        <v>0</v>
      </c>
      <c r="AO178">
        <f>SUMIF('Как есть'!$A$63:$A$70,Доп.расчеты!$A178,'Как есть'!AP$63:AP$70)</f>
        <v>0</v>
      </c>
      <c r="AP178">
        <f>SUMIF('Как есть'!$A$63:$A$70,Доп.расчеты!$A178,'Как есть'!AQ$63:AQ$70)</f>
        <v>0</v>
      </c>
      <c r="AQ178">
        <f>SUMIF('Как есть'!$A$63:$A$70,Доп.расчеты!$A178,'Как есть'!AR$63:AR$70)</f>
        <v>0</v>
      </c>
      <c r="AR178">
        <f>SUMIF('Как есть'!$A$63:$A$70,Доп.расчеты!$A178,'Как есть'!AS$63:AS$70)</f>
        <v>0</v>
      </c>
      <c r="AS178">
        <f>SUMIF('Как есть'!$A$63:$A$70,Доп.расчеты!$A178,'Как есть'!AT$63:AT$70)</f>
        <v>0</v>
      </c>
      <c r="AT178">
        <f>SUMIF('Как есть'!$A$63:$A$70,Доп.расчеты!$A178,'Как есть'!AU$63:AU$70)</f>
        <v>0</v>
      </c>
      <c r="AU178">
        <f>SUMIF('Как есть'!$A$63:$A$70,Доп.расчеты!$A178,'Как есть'!AV$63:AV$70)</f>
        <v>0</v>
      </c>
      <c r="AV178">
        <f>SUMIF('Как есть'!$A$63:$A$70,Доп.расчеты!$A178,'Как есть'!AW$63:AW$70)</f>
        <v>0</v>
      </c>
      <c r="AW178">
        <f>SUMIF('Как есть'!$A$63:$A$70,Доп.расчеты!$A178,'Как есть'!AX$63:AX$70)</f>
        <v>0</v>
      </c>
      <c r="AX178">
        <f>SUMIF('Как есть'!$A$63:$A$70,Доп.расчеты!$A178,'Как есть'!AY$63:AY$70)</f>
        <v>0</v>
      </c>
      <c r="AY178">
        <f>SUMIF('Как есть'!$A$63:$A$70,Доп.расчеты!$A178,'Как есть'!AZ$63:AZ$70)</f>
        <v>0</v>
      </c>
      <c r="AZ178">
        <f>SUMIF('Как есть'!$A$63:$A$70,Доп.расчеты!$A178,'Как есть'!BA$63:BA$70)</f>
        <v>0</v>
      </c>
      <c r="BA178">
        <f>SUMIF('Как есть'!$A$63:$A$70,Доп.расчеты!$A178,'Как есть'!BB$63:BB$70)</f>
        <v>0</v>
      </c>
      <c r="BB178">
        <f>SUMIF('Как есть'!$A$63:$A$70,Доп.расчеты!$A178,'Как есть'!BC$63:BC$70)</f>
        <v>0</v>
      </c>
      <c r="BC178">
        <f>SUMIF('Как есть'!$A$63:$A$70,Доп.расчеты!$A178,'Как есть'!BD$63:BD$70)</f>
        <v>0</v>
      </c>
      <c r="BD178">
        <f>SUMIF('Как есть'!$A$63:$A$70,Доп.расчеты!$A178,'Как есть'!BE$63:BE$70)</f>
        <v>0</v>
      </c>
      <c r="BE178">
        <f>SUMIF('Как есть'!$A$63:$A$70,Доп.расчеты!$A178,'Как есть'!BF$63:BF$70)</f>
        <v>0</v>
      </c>
      <c r="BF178">
        <f>SUMIF('Как есть'!$A$63:$A$70,Доп.расчеты!$A178,'Как есть'!BG$63:BG$70)</f>
        <v>0</v>
      </c>
      <c r="BG178">
        <f>SUMIF('Как есть'!$A$63:$A$70,Доп.расчеты!$A178,'Как есть'!BH$63:BH$70)</f>
        <v>0</v>
      </c>
      <c r="BH178">
        <f>SUMIF('Как есть'!$A$63:$A$70,Доп.расчеты!$A178,'Как есть'!BI$63:BI$70)</f>
        <v>0</v>
      </c>
      <c r="BI178">
        <f>SUMIF('Как есть'!$A$63:$A$70,Доп.расчеты!$A178,'Как есть'!BJ$63:BJ$70)</f>
        <v>0</v>
      </c>
      <c r="BJ178">
        <f>SUMIF('Как есть'!$A$63:$A$70,Доп.расчеты!$A178,'Как есть'!BK$63:BK$70)</f>
        <v>0</v>
      </c>
      <c r="BK178">
        <f>SUMIF('Как есть'!$A$63:$A$70,Доп.расчеты!$A178,'Как есть'!BL$63:BL$70)</f>
        <v>0</v>
      </c>
      <c r="BL178">
        <f>SUMIF('Как есть'!$A$63:$A$70,Доп.расчеты!$A178,'Как есть'!BM$63:BM$70)</f>
        <v>0</v>
      </c>
      <c r="BM178">
        <f>SUMIF('Как есть'!$A$63:$A$70,Доп.расчеты!$A178,'Как есть'!BN$63:BN$70)</f>
        <v>0</v>
      </c>
      <c r="BN178">
        <f>SUMIF('Как есть'!$A$63:$A$70,Доп.расчеты!$A178,'Как есть'!BO$63:BO$70)</f>
        <v>0</v>
      </c>
      <c r="BO178">
        <f>SUMIF('Как есть'!$A$63:$A$70,Доп.расчеты!$A178,'Как есть'!BP$63:BP$70)</f>
        <v>0</v>
      </c>
      <c r="BP178">
        <f>SUMIF('Как есть'!$A$63:$A$70,Доп.расчеты!$A178,'Как есть'!BQ$63:BQ$70)</f>
        <v>0</v>
      </c>
      <c r="BQ178">
        <f>SUMIF('Как есть'!$A$63:$A$70,Доп.расчеты!$A178,'Как есть'!BR$63:BR$70)</f>
        <v>0</v>
      </c>
      <c r="BR178">
        <f>SUMIF('Как есть'!$A$63:$A$70,Доп.расчеты!$A178,'Как есть'!BS$63:BS$70)</f>
        <v>0</v>
      </c>
      <c r="BS178">
        <f>SUMIF('Как есть'!$A$63:$A$70,Доп.расчеты!$A178,'Как есть'!BT$63:BT$70)</f>
        <v>0</v>
      </c>
      <c r="BT178">
        <f>SUMIF('Как есть'!$A$63:$A$70,Доп.расчеты!$A178,'Как есть'!BU$63:BU$70)</f>
        <v>0</v>
      </c>
      <c r="BU178">
        <f>SUMIF('Как есть'!$A$63:$A$70,Доп.расчеты!$A178,'Как есть'!BV$63:BV$70)</f>
        <v>0</v>
      </c>
      <c r="BV178">
        <f>SUMIF('Как есть'!$A$63:$A$70,Доп.расчеты!$A178,'Как есть'!BW$63:BW$70)</f>
        <v>0</v>
      </c>
      <c r="BW178">
        <f>SUMIF('Как есть'!$A$63:$A$70,Доп.расчеты!$A178,'Как есть'!BX$63:BX$70)</f>
        <v>0</v>
      </c>
      <c r="BX178">
        <f>SUMIF('Как есть'!$A$63:$A$70,Доп.расчеты!$A178,'Как есть'!BY$63:BY$70)</f>
        <v>0</v>
      </c>
      <c r="BY178">
        <f>SUMIF('Как есть'!$A$63:$A$70,Доп.расчеты!$A178,'Как есть'!BZ$63:BZ$70)</f>
        <v>0</v>
      </c>
      <c r="BZ178">
        <f>SUMIF('Как есть'!$A$63:$A$70,Доп.расчеты!$A178,'Как есть'!CA$63:CA$70)</f>
        <v>0</v>
      </c>
      <c r="CA178">
        <f>SUMIF('Как есть'!$A$63:$A$70,Доп.расчеты!$A178,'Как есть'!CB$63:CB$70)</f>
        <v>0</v>
      </c>
      <c r="CB178">
        <f>SUMIF('Как есть'!$A$63:$A$70,Доп.расчеты!$A178,'Как есть'!CC$63:CC$70)</f>
        <v>0</v>
      </c>
      <c r="CC178">
        <f>SUMIF('Как есть'!$A$63:$A$70,Доп.расчеты!$A178,'Как есть'!CD$63:CD$70)</f>
        <v>0</v>
      </c>
      <c r="CD178">
        <f>SUMIF('Как есть'!$A$63:$A$70,Доп.расчеты!$A178,'Как есть'!CE$63:CE$70)</f>
        <v>0</v>
      </c>
      <c r="CE178">
        <f>SUMIF('Как есть'!$A$63:$A$70,Доп.расчеты!$A178,'Как есть'!CF$63:CF$70)</f>
        <v>0</v>
      </c>
      <c r="CF178">
        <f>SUMIF('Как есть'!$A$63:$A$70,Доп.расчеты!$A178,'Как есть'!CG$63:CG$70)</f>
        <v>0</v>
      </c>
      <c r="CG178">
        <f>SUMIF('Как есть'!$A$63:$A$70,Доп.расчеты!$A178,'Как есть'!CH$63:CH$70)</f>
        <v>0</v>
      </c>
      <c r="CH178">
        <f>SUMIF('Как есть'!$A$63:$A$70,Доп.расчеты!$A178,'Как есть'!CI$63:CI$70)</f>
        <v>0</v>
      </c>
      <c r="CI178">
        <f>SUMIF('Как есть'!$A$63:$A$70,Доп.расчеты!$A178,'Как есть'!CJ$63:CJ$70)</f>
        <v>0</v>
      </c>
      <c r="CJ178">
        <f>SUMIF('Как есть'!$A$63:$A$70,Доп.расчеты!$A178,'Как есть'!CK$63:CK$70)</f>
        <v>0</v>
      </c>
      <c r="CK178">
        <f>SUMIF('Как есть'!$A$63:$A$70,Доп.расчеты!$A178,'Как есть'!CL$63:CL$70)</f>
        <v>0</v>
      </c>
      <c r="CL178">
        <f>SUMIF('Как есть'!$A$63:$A$70,Доп.расчеты!$A178,'Как есть'!CM$63:CM$70)</f>
        <v>0</v>
      </c>
      <c r="CM178">
        <f>SUMIF('Как есть'!$A$63:$A$70,Доп.расчеты!$A178,'Как есть'!CN$63:CN$70)</f>
        <v>0</v>
      </c>
      <c r="CN178">
        <f>SUMIF('Как есть'!$A$63:$A$70,Доп.расчеты!$A178,'Как есть'!CO$63:CO$70)</f>
        <v>0</v>
      </c>
      <c r="CO178">
        <f>SUMIF('Как есть'!$A$63:$A$70,Доп.расчеты!$A178,'Как есть'!CP$63:CP$70)</f>
        <v>0</v>
      </c>
      <c r="CP178">
        <f>SUMIF('Как есть'!$A$63:$A$70,Доп.расчеты!$A178,'Как есть'!CQ$63:CQ$70)</f>
        <v>0</v>
      </c>
      <c r="CQ178">
        <f>SUMIF('Как есть'!$A$63:$A$70,Доп.расчеты!$A178,'Как есть'!CR$63:CR$70)</f>
        <v>0</v>
      </c>
      <c r="CR178">
        <f>SUMIF('Как есть'!$A$63:$A$70,Доп.расчеты!$A178,'Как есть'!CS$63:CS$70)</f>
        <v>0</v>
      </c>
      <c r="CS178">
        <f>SUMIF('Как есть'!$A$63:$A$70,Доп.расчеты!$A178,'Как есть'!CT$63:CT$70)</f>
        <v>0</v>
      </c>
      <c r="CT178">
        <f>SUMIF('Как есть'!$A$63:$A$70,Доп.расчеты!$A178,'Как есть'!CU$63:CU$70)</f>
        <v>0</v>
      </c>
      <c r="CU178">
        <f>SUMIF('Как есть'!$A$63:$A$70,Доп.расчеты!$A178,'Как есть'!CV$63:CV$70)</f>
        <v>0</v>
      </c>
      <c r="CV178">
        <f>SUMIF('Как есть'!$A$63:$A$70,Доп.расчеты!$A178,'Как есть'!CW$63:CW$70)</f>
        <v>0</v>
      </c>
      <c r="CW178">
        <f>SUMIF('Как есть'!$A$63:$A$70,Доп.расчеты!$A178,'Как есть'!CX$63:CX$70)</f>
        <v>0</v>
      </c>
      <c r="CX178">
        <f>SUMIF('Как есть'!$A$63:$A$70,Доп.расчеты!$A178,'Как есть'!CY$63:CY$70)</f>
        <v>0</v>
      </c>
      <c r="CY178">
        <f>SUMIF('Как есть'!$A$63:$A$70,Доп.расчеты!$A178,'Как есть'!CZ$63:CZ$70)</f>
        <v>0</v>
      </c>
      <c r="CZ178">
        <f>SUMIF('Как есть'!$A$63:$A$70,Доп.расчеты!$A178,'Как есть'!DA$63:DA$70)</f>
        <v>0</v>
      </c>
      <c r="DA178">
        <f>SUMIF('Как есть'!$A$63:$A$70,Доп.расчеты!$A178,'Как есть'!DB$63:DB$70)</f>
        <v>0</v>
      </c>
      <c r="DB178">
        <f>SUMIF('Как есть'!$A$63:$A$70,Доп.расчеты!$A178,'Как есть'!DC$63:DC$70)</f>
        <v>0</v>
      </c>
      <c r="DC178">
        <f>SUMIF('Как есть'!$A$63:$A$70,Доп.расчеты!$A178,'Как есть'!DD$63:DD$70)</f>
        <v>0</v>
      </c>
      <c r="DD178">
        <f>SUMIF('Как есть'!$A$63:$A$70,Доп.расчеты!$A178,'Как есть'!DE$63:DE$70)</f>
        <v>0</v>
      </c>
      <c r="DE178">
        <f>SUMIF('Как есть'!$A$63:$A$70,Доп.расчеты!$A178,'Как есть'!DF$63:DF$70)</f>
        <v>0</v>
      </c>
      <c r="DF178">
        <f>SUMIF('Как есть'!$A$63:$A$70,Доп.расчеты!$A178,'Как есть'!DG$63:DG$70)</f>
        <v>0</v>
      </c>
      <c r="DG178">
        <f>SUMIF('Как есть'!$A$63:$A$70,Доп.расчеты!$A178,'Как есть'!DH$63:DH$70)</f>
        <v>0</v>
      </c>
      <c r="DH178">
        <f>SUMIF('Как есть'!$A$63:$A$70,Доп.расчеты!$A178,'Как есть'!DI$63:DI$70)</f>
        <v>0</v>
      </c>
      <c r="DI178">
        <f>SUMIF('Как есть'!$A$63:$A$70,Доп.расчеты!$A178,'Как есть'!DJ$63:DJ$70)</f>
        <v>0</v>
      </c>
      <c r="DJ178">
        <f>SUMIF('Как есть'!$A$63:$A$70,Доп.расчеты!$A178,'Как есть'!DK$63:DK$70)</f>
        <v>0</v>
      </c>
      <c r="DK178">
        <f>SUMIF('Как есть'!$A$63:$A$70,Доп.расчеты!$A178,'Как есть'!DL$63:DL$70)</f>
        <v>0</v>
      </c>
      <c r="DL178">
        <f>SUMIF('Как есть'!$A$63:$A$70,Доп.расчеты!$A178,'Как есть'!DM$63:DM$70)</f>
        <v>0</v>
      </c>
      <c r="DM178">
        <f>SUMIF('Как есть'!$A$63:$A$70,Доп.расчеты!$A178,'Как есть'!DN$63:DN$70)</f>
        <v>0</v>
      </c>
      <c r="DN178">
        <f>SUMIF('Как есть'!$A$63:$A$70,Доп.расчеты!$A178,'Как есть'!DO$63:DO$70)</f>
        <v>0</v>
      </c>
      <c r="DO178">
        <f>SUMIF('Как есть'!$A$63:$A$70,Доп.расчеты!$A178,'Как есть'!DP$63:DP$70)</f>
        <v>0</v>
      </c>
      <c r="DP178">
        <f>SUMIF('Как есть'!$A$63:$A$70,Доп.расчеты!$A178,'Как есть'!DQ$63:DQ$70)</f>
        <v>0</v>
      </c>
      <c r="DQ178">
        <f>SUMIF('Как есть'!$A$63:$A$70,Доп.расчеты!$A178,'Как есть'!DR$63:DR$70)</f>
        <v>0</v>
      </c>
      <c r="DR178">
        <f>SUMIF('Как есть'!$A$63:$A$70,Доп.расчеты!$A178,'Как есть'!DS$63:DS$70)</f>
        <v>0</v>
      </c>
      <c r="DS178">
        <f>SUMIF('Как есть'!$A$63:$A$70,Доп.расчеты!$A178,'Как есть'!DT$63:DT$70)</f>
        <v>0</v>
      </c>
      <c r="DT178">
        <f>SUMIF('Как есть'!$A$63:$A$70,Доп.расчеты!$A178,'Как есть'!DU$63:DU$70)</f>
        <v>0</v>
      </c>
      <c r="DU178">
        <f>SUMIF('Как есть'!$A$63:$A$70,Доп.расчеты!$A178,'Как есть'!DV$63:DV$70)</f>
        <v>0</v>
      </c>
      <c r="DV178">
        <f>SUMIF('Как есть'!$A$63:$A$70,Доп.расчеты!$A178,'Как есть'!DW$63:DW$70)</f>
        <v>0</v>
      </c>
      <c r="DW178">
        <f>SUMIF('Как есть'!$A$63:$A$70,Доп.расчеты!$A178,'Как есть'!DX$63:DX$70)</f>
        <v>0</v>
      </c>
      <c r="DX178">
        <f>SUMIF('Как есть'!$A$63:$A$70,Доп.расчеты!$A178,'Как есть'!DY$63:DY$70)</f>
        <v>0</v>
      </c>
      <c r="DY178">
        <f>SUMIF('Как есть'!$A$63:$A$70,Доп.расчеты!$A178,'Как есть'!DZ$63:DZ$70)</f>
        <v>0</v>
      </c>
      <c r="DZ178">
        <f>SUMIF('Как есть'!$A$63:$A$70,Доп.расчеты!$A178,'Как есть'!EA$63:EA$70)</f>
        <v>0</v>
      </c>
      <c r="EA178">
        <f>SUMIF('Как есть'!$A$63:$A$70,Доп.расчеты!$A178,'Как есть'!EB$63:EB$70)</f>
        <v>0</v>
      </c>
      <c r="EB178">
        <f>SUMIF('Как есть'!$A$63:$A$70,Доп.расчеты!$A178,'Как есть'!EC$63:EC$70)</f>
        <v>0</v>
      </c>
      <c r="EC178">
        <f>SUMIF('Как есть'!$A$63:$A$70,Доп.расчеты!$A178,'Как есть'!ED$63:ED$70)</f>
        <v>0</v>
      </c>
      <c r="ED178">
        <f>SUMIF('Как есть'!$A$63:$A$70,Доп.расчеты!$A178,'Как есть'!EE$63:EE$70)</f>
        <v>0</v>
      </c>
      <c r="EE178">
        <f>SUMIF('Как есть'!$A$63:$A$70,Доп.расчеты!$A178,'Как есть'!EF$63:EF$70)</f>
        <v>0</v>
      </c>
      <c r="EF178">
        <f>SUMIF('Как есть'!$A$63:$A$70,Доп.расчеты!$A178,'Как есть'!EG$63:EG$70)</f>
        <v>0</v>
      </c>
      <c r="EG178">
        <f>SUMIF('Как есть'!$A$63:$A$70,Доп.расчеты!$A178,'Как есть'!EH$63:EH$70)</f>
        <v>0</v>
      </c>
      <c r="EH178">
        <f>SUMIF('Как есть'!$A$63:$A$70,Доп.расчеты!$A178,'Как есть'!EI$63:EI$70)</f>
        <v>0</v>
      </c>
      <c r="EI178">
        <f>SUMIF('Как есть'!$A$63:$A$70,Доп.расчеты!$A178,'Как есть'!EJ$63:EJ$70)</f>
        <v>0</v>
      </c>
      <c r="EJ178">
        <f>SUMIF('Как есть'!$A$63:$A$70,Доп.расчеты!$A178,'Как есть'!EK$63:EK$70)</f>
        <v>0</v>
      </c>
      <c r="EK178">
        <f>SUMIF('Как есть'!$A$63:$A$70,Доп.расчеты!$A178,'Как есть'!EL$63:EL$70)</f>
        <v>0</v>
      </c>
      <c r="EL178">
        <f>SUMIF('Как есть'!$A$63:$A$70,Доп.расчеты!$A178,'Как есть'!EM$63:EM$70)</f>
        <v>0</v>
      </c>
      <c r="EM178">
        <f>SUMIF('Как есть'!$A$63:$A$70,Доп.расчеты!$A178,'Как есть'!EN$63:EN$70)</f>
        <v>0</v>
      </c>
      <c r="EN178">
        <f>SUMIF('Как есть'!$A$63:$A$70,Доп.расчеты!$A178,'Как есть'!EO$63:EO$70)</f>
        <v>0</v>
      </c>
      <c r="EO178">
        <f>SUMIF('Как есть'!$A$63:$A$70,Доп.расчеты!$A178,'Как есть'!EP$63:EP$70)</f>
        <v>0</v>
      </c>
      <c r="EP178">
        <f>SUMIF('Как есть'!$A$63:$A$70,Доп.расчеты!$A178,'Как есть'!EQ$63:EQ$70)</f>
        <v>0</v>
      </c>
      <c r="EQ178">
        <f>SUMIF('Как есть'!$A$63:$A$70,Доп.расчеты!$A178,'Как есть'!ER$63:ER$70)</f>
        <v>0</v>
      </c>
      <c r="ER178">
        <f>SUMIF('Как есть'!$A$63:$A$70,Доп.расчеты!$A178,'Как есть'!ES$63:ES$70)</f>
        <v>0</v>
      </c>
      <c r="ES178">
        <f>SUMIF('Как есть'!$A$63:$A$70,Доп.расчеты!$A178,'Как есть'!ET$63:ET$70)</f>
        <v>0</v>
      </c>
      <c r="ET178">
        <f>SUMIF('Как есть'!$A$63:$A$70,Доп.расчеты!$A178,'Как есть'!EU$63:EU$70)</f>
        <v>0</v>
      </c>
      <c r="EU178">
        <f>SUMIF('Как есть'!$A$63:$A$70,Доп.расчеты!$A178,'Как есть'!EV$63:EV$70)</f>
        <v>0</v>
      </c>
      <c r="EV178">
        <f>SUMIF('Как есть'!$A$63:$A$70,Доп.расчеты!$A178,'Как есть'!EW$63:EW$70)</f>
        <v>0</v>
      </c>
      <c r="EW178">
        <f>SUMIF('Как есть'!$A$63:$A$70,Доп.расчеты!$A178,'Как есть'!EX$63:EX$70)</f>
        <v>0</v>
      </c>
      <c r="EX178">
        <f>SUMIF('Как есть'!$A$63:$A$70,Доп.расчеты!$A178,'Как есть'!EY$63:EY$70)</f>
        <v>0</v>
      </c>
      <c r="EY178">
        <f>SUMIF('Как есть'!$A$63:$A$70,Доп.расчеты!$A178,'Как есть'!EZ$63:EZ$70)</f>
        <v>0</v>
      </c>
      <c r="EZ178">
        <f>SUMIF('Как есть'!$A$63:$A$70,Доп.расчеты!$A178,'Как есть'!FA$63:FA$70)</f>
        <v>0</v>
      </c>
      <c r="FA178">
        <f>SUMIF('Как есть'!$A$63:$A$70,Доп.расчеты!$A178,'Как есть'!FB$63:FB$70)</f>
        <v>0</v>
      </c>
      <c r="FB178">
        <f>SUMIF('Как есть'!$A$63:$A$70,Доп.расчеты!$A178,'Как есть'!FC$63:FC$70)</f>
        <v>0</v>
      </c>
      <c r="FC178">
        <f>SUMIF('Как есть'!$A$63:$A$70,Доп.расчеты!$A178,'Как есть'!FD$63:FD$70)</f>
        <v>0</v>
      </c>
      <c r="FD178">
        <f>SUMIF('Как есть'!$A$63:$A$70,Доп.расчеты!$A178,'Как есть'!FE$63:FE$70)</f>
        <v>0</v>
      </c>
      <c r="FE178">
        <f>SUMIF('Как есть'!$A$63:$A$70,Доп.расчеты!$A178,'Как есть'!FF$63:FF$70)</f>
        <v>0</v>
      </c>
      <c r="FF178">
        <f>SUMIF('Как есть'!$A$63:$A$70,Доп.расчеты!$A178,'Как есть'!FG$63:FG$70)</f>
        <v>0</v>
      </c>
      <c r="FG178">
        <f>SUMIF('Как есть'!$A$63:$A$70,Доп.расчеты!$A178,'Как есть'!FH$63:FH$70)</f>
        <v>0</v>
      </c>
      <c r="FH178">
        <f>SUMIF('Как есть'!$A$63:$A$70,Доп.расчеты!$A178,'Как есть'!FI$63:FI$70)</f>
        <v>0</v>
      </c>
      <c r="FI178">
        <f>SUMIF('Как есть'!$A$63:$A$70,Доп.расчеты!$A178,'Как есть'!FJ$63:FJ$70)</f>
        <v>0</v>
      </c>
      <c r="FJ178">
        <f>SUMIF('Как есть'!$A$63:$A$70,Доп.расчеты!$A178,'Как есть'!FK$63:FK$70)</f>
        <v>0</v>
      </c>
      <c r="FK178">
        <f>SUMIF('Как есть'!$A$63:$A$70,Доп.расчеты!$A178,'Как есть'!FL$63:FL$70)</f>
        <v>0</v>
      </c>
      <c r="FL178">
        <f>SUMIF('Как есть'!$A$63:$A$70,Доп.расчеты!$A178,'Как есть'!FM$63:FM$70)</f>
        <v>0</v>
      </c>
      <c r="FM178">
        <f>SUMIF('Как есть'!$A$63:$A$70,Доп.расчеты!$A178,'Как есть'!FN$63:FN$70)</f>
        <v>0</v>
      </c>
      <c r="FN178">
        <f>SUMIF('Как есть'!$A$63:$A$70,Доп.расчеты!$A178,'Как есть'!FO$63:FO$70)</f>
        <v>0</v>
      </c>
      <c r="FO178">
        <f>SUMIF('Как есть'!$A$63:$A$70,Доп.расчеты!$A178,'Как есть'!FP$63:FP$70)</f>
        <v>0</v>
      </c>
      <c r="FP178">
        <f>SUMIF('Как есть'!$A$63:$A$70,Доп.расчеты!$A178,'Как есть'!FQ$63:FQ$70)</f>
        <v>0</v>
      </c>
      <c r="FQ178">
        <f>SUMIF('Как есть'!$A$63:$A$70,Доп.расчеты!$A178,'Как есть'!FR$63:FR$70)</f>
        <v>0</v>
      </c>
      <c r="FR178">
        <f>SUMIF('Как есть'!$A$63:$A$70,Доп.расчеты!$A178,'Как есть'!FS$63:FS$70)</f>
        <v>0</v>
      </c>
      <c r="FS178">
        <f>SUMIF('Как есть'!$A$63:$A$70,Доп.расчеты!$A178,'Как есть'!FT$63:FT$70)</f>
        <v>0</v>
      </c>
      <c r="FT178">
        <f>SUMIF('Как есть'!$A$63:$A$70,Доп.расчеты!$A178,'Как есть'!FU$63:FU$70)</f>
        <v>0</v>
      </c>
      <c r="FU178">
        <f>SUMIF('Как есть'!$A$63:$A$70,Доп.расчеты!$A178,'Как есть'!FV$63:FV$70)</f>
        <v>0</v>
      </c>
      <c r="FV178">
        <f>SUMIF('Как есть'!$A$63:$A$70,Доп.расчеты!$A178,'Как есть'!FW$63:FW$70)</f>
        <v>0</v>
      </c>
      <c r="FW178">
        <f>SUMIF('Как есть'!$A$63:$A$70,Доп.расчеты!$A178,'Как есть'!FX$63:FX$70)</f>
        <v>0</v>
      </c>
      <c r="FX178">
        <f>SUMIF('Как есть'!$A$63:$A$70,Доп.расчеты!$A178,'Как есть'!FY$63:FY$70)</f>
        <v>0</v>
      </c>
      <c r="FY178">
        <f>SUMIF('Как есть'!$A$63:$A$70,Доп.расчеты!$A178,'Как есть'!FZ$63:FZ$70)</f>
        <v>0</v>
      </c>
      <c r="FZ178">
        <f>SUMIF('Как есть'!$A$63:$A$70,Доп.расчеты!$A178,'Как есть'!GA$63:GA$70)</f>
        <v>0</v>
      </c>
      <c r="GA178">
        <f>SUMIF('Как есть'!$A$63:$A$70,Доп.расчеты!$A178,'Как есть'!GB$63:GB$70)</f>
        <v>0</v>
      </c>
      <c r="GB178">
        <f>SUMIF('Как есть'!$A$63:$A$70,Доп.расчеты!$A178,'Как есть'!GC$63:GC$70)</f>
        <v>0</v>
      </c>
      <c r="GC178">
        <f>SUMIF('Как есть'!$A$63:$A$70,Доп.расчеты!$A178,'Как есть'!GD$63:GD$70)</f>
        <v>0</v>
      </c>
      <c r="GD178">
        <f>SUMIF('Как есть'!$A$63:$A$70,Доп.расчеты!$A178,'Как есть'!GE$63:GE$70)</f>
        <v>0</v>
      </c>
      <c r="GE178">
        <f>SUMIF('Как есть'!$A$63:$A$70,Доп.расчеты!$A178,'Как есть'!GF$63:GF$70)</f>
        <v>0</v>
      </c>
      <c r="GF178">
        <f>SUMIF('Как есть'!$A$63:$A$70,Доп.расчеты!$A178,'Как есть'!GG$63:GG$70)</f>
        <v>0</v>
      </c>
      <c r="GG178">
        <f>SUMIF('Как есть'!$A$63:$A$70,Доп.расчеты!$A178,'Как есть'!GH$63:GH$70)</f>
        <v>0</v>
      </c>
      <c r="GH178">
        <f>SUMIF('Как есть'!$A$63:$A$70,Доп.расчеты!$A178,'Как есть'!GI$63:GI$70)</f>
        <v>0</v>
      </c>
      <c r="GI178">
        <f>SUMIF('Как есть'!$A$63:$A$70,Доп.расчеты!$A178,'Как есть'!GJ$63:GJ$70)</f>
        <v>0</v>
      </c>
      <c r="GJ178">
        <f>SUMIF('Как есть'!$A$63:$A$70,Доп.расчеты!$A178,'Как есть'!GK$63:GK$70)</f>
        <v>0</v>
      </c>
      <c r="GK178">
        <f>SUMIF('Как есть'!$A$63:$A$70,Доп.расчеты!$A178,'Как есть'!GL$63:GL$70)</f>
        <v>0</v>
      </c>
      <c r="GL178">
        <f>SUMIF('Как есть'!$A$63:$A$70,Доп.расчеты!$A178,'Как есть'!GM$63:GM$70)</f>
        <v>0</v>
      </c>
      <c r="GM178">
        <f>SUMIF('Как есть'!$A$63:$A$70,Доп.расчеты!$A178,'Как есть'!GN$63:GN$70)</f>
        <v>0</v>
      </c>
      <c r="GN178">
        <f>SUMIF('Как есть'!$A$63:$A$70,Доп.расчеты!$A178,'Как есть'!GO$63:GO$70)</f>
        <v>0</v>
      </c>
      <c r="GO178">
        <f>SUMIF('Как есть'!$A$63:$A$70,Доп.расчеты!$A178,'Как есть'!GP$63:GP$70)</f>
        <v>0</v>
      </c>
      <c r="GP178">
        <f>SUMIF('Как есть'!$A$63:$A$70,Доп.расчеты!$A178,'Как есть'!GQ$63:GQ$70)</f>
        <v>0</v>
      </c>
      <c r="GQ178">
        <f>SUMIF('Как есть'!$A$63:$A$70,Доп.расчеты!$A178,'Как есть'!GR$63:GR$70)</f>
        <v>0</v>
      </c>
      <c r="GR178">
        <f>SUMIF('Как есть'!$A$63:$A$70,Доп.расчеты!$A178,'Как есть'!GS$63:GS$70)</f>
        <v>0</v>
      </c>
      <c r="GS178">
        <f>SUMIF('Как есть'!$A$63:$A$70,Доп.расчеты!$A178,'Как есть'!GT$63:GT$70)</f>
        <v>0</v>
      </c>
      <c r="GT178">
        <f>SUMIF('Как есть'!$A$63:$A$70,Доп.расчеты!$A178,'Как есть'!GU$63:GU$70)</f>
        <v>0</v>
      </c>
    </row>
    <row r="179" spans="1:202" hidden="1" outlineLevel="1">
      <c r="A179" s="238" t="s">
        <v>113</v>
      </c>
      <c r="B179">
        <f>SUMIF('Как есть'!$A$63:$A$70,Доп.расчеты!$A179,'Как есть'!C$63:C$70)</f>
        <v>0</v>
      </c>
      <c r="C179">
        <f>SUMIF('Как есть'!$A$63:$A$70,Доп.расчеты!$A179,'Как есть'!D$63:D$70)</f>
        <v>0</v>
      </c>
      <c r="D179">
        <f>SUMIF('Как есть'!$A$63:$A$70,Доп.расчеты!$A179,'Как есть'!E$63:E$70)</f>
        <v>0</v>
      </c>
      <c r="E179">
        <f>SUMIF('Как есть'!$A$63:$A$70,Доп.расчеты!$A179,'Как есть'!F$63:F$70)</f>
        <v>0</v>
      </c>
      <c r="F179">
        <f>SUMIF('Как есть'!$A$63:$A$70,Доп.расчеты!$A179,'Как есть'!G$63:G$70)</f>
        <v>0</v>
      </c>
      <c r="G179">
        <f>SUMIF('Как есть'!$A$63:$A$70,Доп.расчеты!$A179,'Как есть'!H$63:H$70)</f>
        <v>0</v>
      </c>
      <c r="H179">
        <f>SUMIF('Как есть'!$A$63:$A$70,Доп.расчеты!$A179,'Как есть'!I$63:I$70)</f>
        <v>0</v>
      </c>
      <c r="I179">
        <f>SUMIF('Как есть'!$A$63:$A$70,Доп.расчеты!$A179,'Как есть'!J$63:J$70)</f>
        <v>0</v>
      </c>
      <c r="J179">
        <f>SUMIF('Как есть'!$A$63:$A$70,Доп.расчеты!$A179,'Как есть'!K$63:K$70)</f>
        <v>0</v>
      </c>
      <c r="K179">
        <f>SUMIF('Как есть'!$A$63:$A$70,Доп.расчеты!$A179,'Как есть'!L$63:L$70)</f>
        <v>0</v>
      </c>
      <c r="L179">
        <f>SUMIF('Как есть'!$A$63:$A$70,Доп.расчеты!$A179,'Как есть'!M$63:M$70)</f>
        <v>0</v>
      </c>
      <c r="M179">
        <f>SUMIF('Как есть'!$A$63:$A$70,Доп.расчеты!$A179,'Как есть'!N$63:N$70)</f>
        <v>0</v>
      </c>
      <c r="N179">
        <f>SUMIF('Как есть'!$A$63:$A$70,Доп.расчеты!$A179,'Как есть'!O$63:O$70)</f>
        <v>0</v>
      </c>
      <c r="O179">
        <f>SUMIF('Как есть'!$A$63:$A$70,Доп.расчеты!$A179,'Как есть'!P$63:P$70)</f>
        <v>0</v>
      </c>
      <c r="P179">
        <f>SUMIF('Как есть'!$A$63:$A$70,Доп.расчеты!$A179,'Как есть'!Q$63:Q$70)</f>
        <v>0</v>
      </c>
      <c r="Q179">
        <f>SUMIF('Как есть'!$A$63:$A$70,Доп.расчеты!$A179,'Как есть'!R$63:R$70)</f>
        <v>0</v>
      </c>
      <c r="R179">
        <f>SUMIF('Как есть'!$A$63:$A$70,Доп.расчеты!$A179,'Как есть'!S$63:S$70)</f>
        <v>0</v>
      </c>
      <c r="S179">
        <f>SUMIF('Как есть'!$A$63:$A$70,Доп.расчеты!$A179,'Как есть'!T$63:T$70)</f>
        <v>0</v>
      </c>
      <c r="T179">
        <f>SUMIF('Как есть'!$A$63:$A$70,Доп.расчеты!$A179,'Как есть'!U$63:U$70)</f>
        <v>0</v>
      </c>
      <c r="U179">
        <f>SUMIF('Как есть'!$A$63:$A$70,Доп.расчеты!$A179,'Как есть'!V$63:V$70)</f>
        <v>0</v>
      </c>
      <c r="V179">
        <f>SUMIF('Как есть'!$A$63:$A$70,Доп.расчеты!$A179,'Как есть'!W$63:W$70)</f>
        <v>0</v>
      </c>
      <c r="W179">
        <f>SUMIF('Как есть'!$A$63:$A$70,Доп.расчеты!$A179,'Как есть'!X$63:X$70)</f>
        <v>0</v>
      </c>
      <c r="X179">
        <f>SUMIF('Как есть'!$A$63:$A$70,Доп.расчеты!$A179,'Как есть'!Y$63:Y$70)</f>
        <v>0</v>
      </c>
      <c r="Y179">
        <f>SUMIF('Как есть'!$A$63:$A$70,Доп.расчеты!$A179,'Как есть'!Z$63:Z$70)</f>
        <v>0</v>
      </c>
      <c r="Z179">
        <f>SUMIF('Как есть'!$A$63:$A$70,Доп.расчеты!$A179,'Как есть'!AA$63:AA$70)</f>
        <v>0</v>
      </c>
      <c r="AA179">
        <f>SUMIF('Как есть'!$A$63:$A$70,Доп.расчеты!$A179,'Как есть'!AB$63:AB$70)</f>
        <v>0</v>
      </c>
      <c r="AB179">
        <f>SUMIF('Как есть'!$A$63:$A$70,Доп.расчеты!$A179,'Как есть'!AC$63:AC$70)</f>
        <v>0</v>
      </c>
      <c r="AC179">
        <f>SUMIF('Как есть'!$A$63:$A$70,Доп.расчеты!$A179,'Как есть'!AD$63:AD$70)</f>
        <v>0</v>
      </c>
      <c r="AD179">
        <f>SUMIF('Как есть'!$A$63:$A$70,Доп.расчеты!$A179,'Как есть'!AE$63:AE$70)</f>
        <v>0</v>
      </c>
      <c r="AE179">
        <f>SUMIF('Как есть'!$A$63:$A$70,Доп.расчеты!$A179,'Как есть'!AF$63:AF$70)</f>
        <v>0</v>
      </c>
      <c r="AF179">
        <f>SUMIF('Как есть'!$A$63:$A$70,Доп.расчеты!$A179,'Как есть'!AG$63:AG$70)</f>
        <v>0</v>
      </c>
      <c r="AG179">
        <f>SUMIF('Как есть'!$A$63:$A$70,Доп.расчеты!$A179,'Как есть'!AH$63:AH$70)</f>
        <v>0</v>
      </c>
      <c r="AH179">
        <f>SUMIF('Как есть'!$A$63:$A$70,Доп.расчеты!$A179,'Как есть'!AI$63:AI$70)</f>
        <v>0</v>
      </c>
      <c r="AI179">
        <f>SUMIF('Как есть'!$A$63:$A$70,Доп.расчеты!$A179,'Как есть'!AJ$63:AJ$70)</f>
        <v>0</v>
      </c>
      <c r="AJ179">
        <f>SUMIF('Как есть'!$A$63:$A$70,Доп.расчеты!$A179,'Как есть'!AK$63:AK$70)</f>
        <v>0</v>
      </c>
      <c r="AK179">
        <f>SUMIF('Как есть'!$A$63:$A$70,Доп.расчеты!$A179,'Как есть'!AL$63:AL$70)</f>
        <v>0</v>
      </c>
      <c r="AL179">
        <f>SUMIF('Как есть'!$A$63:$A$70,Доп.расчеты!$A179,'Как есть'!AM$63:AM$70)</f>
        <v>0</v>
      </c>
      <c r="AM179">
        <f>SUMIF('Как есть'!$A$63:$A$70,Доп.расчеты!$A179,'Как есть'!AN$63:AN$70)</f>
        <v>0</v>
      </c>
      <c r="AN179">
        <f>SUMIF('Как есть'!$A$63:$A$70,Доп.расчеты!$A179,'Как есть'!AO$63:AO$70)</f>
        <v>0</v>
      </c>
      <c r="AO179">
        <f>SUMIF('Как есть'!$A$63:$A$70,Доп.расчеты!$A179,'Как есть'!AP$63:AP$70)</f>
        <v>0</v>
      </c>
      <c r="AP179">
        <f>SUMIF('Как есть'!$A$63:$A$70,Доп.расчеты!$A179,'Как есть'!AQ$63:AQ$70)</f>
        <v>0</v>
      </c>
      <c r="AQ179">
        <f>SUMIF('Как есть'!$A$63:$A$70,Доп.расчеты!$A179,'Как есть'!AR$63:AR$70)</f>
        <v>0</v>
      </c>
      <c r="AR179">
        <f>SUMIF('Как есть'!$A$63:$A$70,Доп.расчеты!$A179,'Как есть'!AS$63:AS$70)</f>
        <v>0</v>
      </c>
      <c r="AS179">
        <f>SUMIF('Как есть'!$A$63:$A$70,Доп.расчеты!$A179,'Как есть'!AT$63:AT$70)</f>
        <v>0</v>
      </c>
      <c r="AT179">
        <f>SUMIF('Как есть'!$A$63:$A$70,Доп.расчеты!$A179,'Как есть'!AU$63:AU$70)</f>
        <v>0</v>
      </c>
      <c r="AU179">
        <f>SUMIF('Как есть'!$A$63:$A$70,Доп.расчеты!$A179,'Как есть'!AV$63:AV$70)</f>
        <v>0</v>
      </c>
      <c r="AV179">
        <f>SUMIF('Как есть'!$A$63:$A$70,Доп.расчеты!$A179,'Как есть'!AW$63:AW$70)</f>
        <v>0</v>
      </c>
      <c r="AW179">
        <f>SUMIF('Как есть'!$A$63:$A$70,Доп.расчеты!$A179,'Как есть'!AX$63:AX$70)</f>
        <v>0</v>
      </c>
      <c r="AX179">
        <f>SUMIF('Как есть'!$A$63:$A$70,Доп.расчеты!$A179,'Как есть'!AY$63:AY$70)</f>
        <v>0</v>
      </c>
      <c r="AY179">
        <f>SUMIF('Как есть'!$A$63:$A$70,Доп.расчеты!$A179,'Как есть'!AZ$63:AZ$70)</f>
        <v>0</v>
      </c>
      <c r="AZ179">
        <f>SUMIF('Как есть'!$A$63:$A$70,Доп.расчеты!$A179,'Как есть'!BA$63:BA$70)</f>
        <v>0</v>
      </c>
      <c r="BA179">
        <f>SUMIF('Как есть'!$A$63:$A$70,Доп.расчеты!$A179,'Как есть'!BB$63:BB$70)</f>
        <v>0</v>
      </c>
      <c r="BB179">
        <f>SUMIF('Как есть'!$A$63:$A$70,Доп.расчеты!$A179,'Как есть'!BC$63:BC$70)</f>
        <v>0</v>
      </c>
      <c r="BC179">
        <f>SUMIF('Как есть'!$A$63:$A$70,Доп.расчеты!$A179,'Как есть'!BD$63:BD$70)</f>
        <v>0</v>
      </c>
      <c r="BD179">
        <f>SUMIF('Как есть'!$A$63:$A$70,Доп.расчеты!$A179,'Как есть'!BE$63:BE$70)</f>
        <v>0</v>
      </c>
      <c r="BE179">
        <f>SUMIF('Как есть'!$A$63:$A$70,Доп.расчеты!$A179,'Как есть'!BF$63:BF$70)</f>
        <v>0</v>
      </c>
      <c r="BF179">
        <f>SUMIF('Как есть'!$A$63:$A$70,Доп.расчеты!$A179,'Как есть'!BG$63:BG$70)</f>
        <v>0</v>
      </c>
      <c r="BG179">
        <f>SUMIF('Как есть'!$A$63:$A$70,Доп.расчеты!$A179,'Как есть'!BH$63:BH$70)</f>
        <v>0</v>
      </c>
      <c r="BH179">
        <f>SUMIF('Как есть'!$A$63:$A$70,Доп.расчеты!$A179,'Как есть'!BI$63:BI$70)</f>
        <v>0</v>
      </c>
      <c r="BI179">
        <f>SUMIF('Как есть'!$A$63:$A$70,Доп.расчеты!$A179,'Как есть'!BJ$63:BJ$70)</f>
        <v>0</v>
      </c>
      <c r="BJ179">
        <f>SUMIF('Как есть'!$A$63:$A$70,Доп.расчеты!$A179,'Как есть'!BK$63:BK$70)</f>
        <v>0</v>
      </c>
      <c r="BK179">
        <f>SUMIF('Как есть'!$A$63:$A$70,Доп.расчеты!$A179,'Как есть'!BL$63:BL$70)</f>
        <v>0</v>
      </c>
      <c r="BL179">
        <f>SUMIF('Как есть'!$A$63:$A$70,Доп.расчеты!$A179,'Как есть'!BM$63:BM$70)</f>
        <v>0</v>
      </c>
      <c r="BM179">
        <f>SUMIF('Как есть'!$A$63:$A$70,Доп.расчеты!$A179,'Как есть'!BN$63:BN$70)</f>
        <v>0</v>
      </c>
      <c r="BN179">
        <f>SUMIF('Как есть'!$A$63:$A$70,Доп.расчеты!$A179,'Как есть'!BO$63:BO$70)</f>
        <v>0</v>
      </c>
      <c r="BO179">
        <f>SUMIF('Как есть'!$A$63:$A$70,Доп.расчеты!$A179,'Как есть'!BP$63:BP$70)</f>
        <v>0</v>
      </c>
      <c r="BP179">
        <f>SUMIF('Как есть'!$A$63:$A$70,Доп.расчеты!$A179,'Как есть'!BQ$63:BQ$70)</f>
        <v>0</v>
      </c>
      <c r="BQ179">
        <f>SUMIF('Как есть'!$A$63:$A$70,Доп.расчеты!$A179,'Как есть'!BR$63:BR$70)</f>
        <v>0</v>
      </c>
      <c r="BR179">
        <f>SUMIF('Как есть'!$A$63:$A$70,Доп.расчеты!$A179,'Как есть'!BS$63:BS$70)</f>
        <v>0</v>
      </c>
      <c r="BS179">
        <f>SUMIF('Как есть'!$A$63:$A$70,Доп.расчеты!$A179,'Как есть'!BT$63:BT$70)</f>
        <v>0</v>
      </c>
      <c r="BT179">
        <f>SUMIF('Как есть'!$A$63:$A$70,Доп.расчеты!$A179,'Как есть'!BU$63:BU$70)</f>
        <v>0</v>
      </c>
      <c r="BU179">
        <f>SUMIF('Как есть'!$A$63:$A$70,Доп.расчеты!$A179,'Как есть'!BV$63:BV$70)</f>
        <v>0</v>
      </c>
      <c r="BV179">
        <f>SUMIF('Как есть'!$A$63:$A$70,Доп.расчеты!$A179,'Как есть'!BW$63:BW$70)</f>
        <v>0</v>
      </c>
      <c r="BW179">
        <f>SUMIF('Как есть'!$A$63:$A$70,Доп.расчеты!$A179,'Как есть'!BX$63:BX$70)</f>
        <v>0</v>
      </c>
      <c r="BX179">
        <f>SUMIF('Как есть'!$A$63:$A$70,Доп.расчеты!$A179,'Как есть'!BY$63:BY$70)</f>
        <v>0</v>
      </c>
      <c r="BY179">
        <f>SUMIF('Как есть'!$A$63:$A$70,Доп.расчеты!$A179,'Как есть'!BZ$63:BZ$70)</f>
        <v>0</v>
      </c>
      <c r="BZ179">
        <f>SUMIF('Как есть'!$A$63:$A$70,Доп.расчеты!$A179,'Как есть'!CA$63:CA$70)</f>
        <v>0</v>
      </c>
      <c r="CA179">
        <f>SUMIF('Как есть'!$A$63:$A$70,Доп.расчеты!$A179,'Как есть'!CB$63:CB$70)</f>
        <v>0</v>
      </c>
      <c r="CB179">
        <f>SUMIF('Как есть'!$A$63:$A$70,Доп.расчеты!$A179,'Как есть'!CC$63:CC$70)</f>
        <v>0</v>
      </c>
      <c r="CC179">
        <f>SUMIF('Как есть'!$A$63:$A$70,Доп.расчеты!$A179,'Как есть'!CD$63:CD$70)</f>
        <v>0</v>
      </c>
      <c r="CD179">
        <f>SUMIF('Как есть'!$A$63:$A$70,Доп.расчеты!$A179,'Как есть'!CE$63:CE$70)</f>
        <v>0</v>
      </c>
      <c r="CE179">
        <f>SUMIF('Как есть'!$A$63:$A$70,Доп.расчеты!$A179,'Как есть'!CF$63:CF$70)</f>
        <v>0</v>
      </c>
      <c r="CF179">
        <f>SUMIF('Как есть'!$A$63:$A$70,Доп.расчеты!$A179,'Как есть'!CG$63:CG$70)</f>
        <v>0</v>
      </c>
      <c r="CG179">
        <f>SUMIF('Как есть'!$A$63:$A$70,Доп.расчеты!$A179,'Как есть'!CH$63:CH$70)</f>
        <v>0</v>
      </c>
      <c r="CH179">
        <f>SUMIF('Как есть'!$A$63:$A$70,Доп.расчеты!$A179,'Как есть'!CI$63:CI$70)</f>
        <v>0</v>
      </c>
      <c r="CI179">
        <f>SUMIF('Как есть'!$A$63:$A$70,Доп.расчеты!$A179,'Как есть'!CJ$63:CJ$70)</f>
        <v>0</v>
      </c>
      <c r="CJ179">
        <f>SUMIF('Как есть'!$A$63:$A$70,Доп.расчеты!$A179,'Как есть'!CK$63:CK$70)</f>
        <v>0</v>
      </c>
      <c r="CK179">
        <f>SUMIF('Как есть'!$A$63:$A$70,Доп.расчеты!$A179,'Как есть'!CL$63:CL$70)</f>
        <v>0</v>
      </c>
      <c r="CL179">
        <f>SUMIF('Как есть'!$A$63:$A$70,Доп.расчеты!$A179,'Как есть'!CM$63:CM$70)</f>
        <v>0</v>
      </c>
      <c r="CM179">
        <f>SUMIF('Как есть'!$A$63:$A$70,Доп.расчеты!$A179,'Как есть'!CN$63:CN$70)</f>
        <v>0</v>
      </c>
      <c r="CN179">
        <f>SUMIF('Как есть'!$A$63:$A$70,Доп.расчеты!$A179,'Как есть'!CO$63:CO$70)</f>
        <v>0</v>
      </c>
      <c r="CO179">
        <f>SUMIF('Как есть'!$A$63:$A$70,Доп.расчеты!$A179,'Как есть'!CP$63:CP$70)</f>
        <v>0</v>
      </c>
      <c r="CP179">
        <f>SUMIF('Как есть'!$A$63:$A$70,Доп.расчеты!$A179,'Как есть'!CQ$63:CQ$70)</f>
        <v>0</v>
      </c>
      <c r="CQ179">
        <f>SUMIF('Как есть'!$A$63:$A$70,Доп.расчеты!$A179,'Как есть'!CR$63:CR$70)</f>
        <v>0</v>
      </c>
      <c r="CR179">
        <f>SUMIF('Как есть'!$A$63:$A$70,Доп.расчеты!$A179,'Как есть'!CS$63:CS$70)</f>
        <v>0</v>
      </c>
      <c r="CS179">
        <f>SUMIF('Как есть'!$A$63:$A$70,Доп.расчеты!$A179,'Как есть'!CT$63:CT$70)</f>
        <v>0</v>
      </c>
      <c r="CT179">
        <f>SUMIF('Как есть'!$A$63:$A$70,Доп.расчеты!$A179,'Как есть'!CU$63:CU$70)</f>
        <v>0</v>
      </c>
      <c r="CU179">
        <f>SUMIF('Как есть'!$A$63:$A$70,Доп.расчеты!$A179,'Как есть'!CV$63:CV$70)</f>
        <v>0</v>
      </c>
      <c r="CV179">
        <f>SUMIF('Как есть'!$A$63:$A$70,Доп.расчеты!$A179,'Как есть'!CW$63:CW$70)</f>
        <v>0</v>
      </c>
      <c r="CW179">
        <f>SUMIF('Как есть'!$A$63:$A$70,Доп.расчеты!$A179,'Как есть'!CX$63:CX$70)</f>
        <v>0</v>
      </c>
      <c r="CX179">
        <f>SUMIF('Как есть'!$A$63:$A$70,Доп.расчеты!$A179,'Как есть'!CY$63:CY$70)</f>
        <v>0</v>
      </c>
      <c r="CY179">
        <f>SUMIF('Как есть'!$A$63:$A$70,Доп.расчеты!$A179,'Как есть'!CZ$63:CZ$70)</f>
        <v>0</v>
      </c>
      <c r="CZ179">
        <f>SUMIF('Как есть'!$A$63:$A$70,Доп.расчеты!$A179,'Как есть'!DA$63:DA$70)</f>
        <v>0</v>
      </c>
      <c r="DA179">
        <f>SUMIF('Как есть'!$A$63:$A$70,Доп.расчеты!$A179,'Как есть'!DB$63:DB$70)</f>
        <v>0</v>
      </c>
      <c r="DB179">
        <f>SUMIF('Как есть'!$A$63:$A$70,Доп.расчеты!$A179,'Как есть'!DC$63:DC$70)</f>
        <v>0</v>
      </c>
      <c r="DC179">
        <f>SUMIF('Как есть'!$A$63:$A$70,Доп.расчеты!$A179,'Как есть'!DD$63:DD$70)</f>
        <v>0</v>
      </c>
      <c r="DD179">
        <f>SUMIF('Как есть'!$A$63:$A$70,Доп.расчеты!$A179,'Как есть'!DE$63:DE$70)</f>
        <v>0</v>
      </c>
      <c r="DE179">
        <f>SUMIF('Как есть'!$A$63:$A$70,Доп.расчеты!$A179,'Как есть'!DF$63:DF$70)</f>
        <v>0</v>
      </c>
      <c r="DF179">
        <f>SUMIF('Как есть'!$A$63:$A$70,Доп.расчеты!$A179,'Как есть'!DG$63:DG$70)</f>
        <v>0</v>
      </c>
      <c r="DG179">
        <f>SUMIF('Как есть'!$A$63:$A$70,Доп.расчеты!$A179,'Как есть'!DH$63:DH$70)</f>
        <v>0</v>
      </c>
      <c r="DH179">
        <f>SUMIF('Как есть'!$A$63:$A$70,Доп.расчеты!$A179,'Как есть'!DI$63:DI$70)</f>
        <v>0</v>
      </c>
      <c r="DI179">
        <f>SUMIF('Как есть'!$A$63:$A$70,Доп.расчеты!$A179,'Как есть'!DJ$63:DJ$70)</f>
        <v>0</v>
      </c>
      <c r="DJ179">
        <f>SUMIF('Как есть'!$A$63:$A$70,Доп.расчеты!$A179,'Как есть'!DK$63:DK$70)</f>
        <v>0</v>
      </c>
      <c r="DK179">
        <f>SUMIF('Как есть'!$A$63:$A$70,Доп.расчеты!$A179,'Как есть'!DL$63:DL$70)</f>
        <v>0</v>
      </c>
      <c r="DL179">
        <f>SUMIF('Как есть'!$A$63:$A$70,Доп.расчеты!$A179,'Как есть'!DM$63:DM$70)</f>
        <v>0</v>
      </c>
      <c r="DM179">
        <f>SUMIF('Как есть'!$A$63:$A$70,Доп.расчеты!$A179,'Как есть'!DN$63:DN$70)</f>
        <v>0</v>
      </c>
      <c r="DN179">
        <f>SUMIF('Как есть'!$A$63:$A$70,Доп.расчеты!$A179,'Как есть'!DO$63:DO$70)</f>
        <v>0</v>
      </c>
      <c r="DO179">
        <f>SUMIF('Как есть'!$A$63:$A$70,Доп.расчеты!$A179,'Как есть'!DP$63:DP$70)</f>
        <v>0</v>
      </c>
      <c r="DP179">
        <f>SUMIF('Как есть'!$A$63:$A$70,Доп.расчеты!$A179,'Как есть'!DQ$63:DQ$70)</f>
        <v>0</v>
      </c>
      <c r="DQ179">
        <f>SUMIF('Как есть'!$A$63:$A$70,Доп.расчеты!$A179,'Как есть'!DR$63:DR$70)</f>
        <v>0</v>
      </c>
      <c r="DR179">
        <f>SUMIF('Как есть'!$A$63:$A$70,Доп.расчеты!$A179,'Как есть'!DS$63:DS$70)</f>
        <v>0</v>
      </c>
      <c r="DS179">
        <f>SUMIF('Как есть'!$A$63:$A$70,Доп.расчеты!$A179,'Как есть'!DT$63:DT$70)</f>
        <v>0</v>
      </c>
      <c r="DT179">
        <f>SUMIF('Как есть'!$A$63:$A$70,Доп.расчеты!$A179,'Как есть'!DU$63:DU$70)</f>
        <v>0</v>
      </c>
      <c r="DU179">
        <f>SUMIF('Как есть'!$A$63:$A$70,Доп.расчеты!$A179,'Как есть'!DV$63:DV$70)</f>
        <v>0</v>
      </c>
      <c r="DV179">
        <f>SUMIF('Как есть'!$A$63:$A$70,Доп.расчеты!$A179,'Как есть'!DW$63:DW$70)</f>
        <v>0</v>
      </c>
      <c r="DW179">
        <f>SUMIF('Как есть'!$A$63:$A$70,Доп.расчеты!$A179,'Как есть'!DX$63:DX$70)</f>
        <v>0</v>
      </c>
      <c r="DX179">
        <f>SUMIF('Как есть'!$A$63:$A$70,Доп.расчеты!$A179,'Как есть'!DY$63:DY$70)</f>
        <v>0</v>
      </c>
      <c r="DY179">
        <f>SUMIF('Как есть'!$A$63:$A$70,Доп.расчеты!$A179,'Как есть'!DZ$63:DZ$70)</f>
        <v>0</v>
      </c>
      <c r="DZ179">
        <f>SUMIF('Как есть'!$A$63:$A$70,Доп.расчеты!$A179,'Как есть'!EA$63:EA$70)</f>
        <v>0</v>
      </c>
      <c r="EA179">
        <f>SUMIF('Как есть'!$A$63:$A$70,Доп.расчеты!$A179,'Как есть'!EB$63:EB$70)</f>
        <v>0</v>
      </c>
      <c r="EB179">
        <f>SUMIF('Как есть'!$A$63:$A$70,Доп.расчеты!$A179,'Как есть'!EC$63:EC$70)</f>
        <v>0</v>
      </c>
      <c r="EC179">
        <f>SUMIF('Как есть'!$A$63:$A$70,Доп.расчеты!$A179,'Как есть'!ED$63:ED$70)</f>
        <v>0</v>
      </c>
      <c r="ED179">
        <f>SUMIF('Как есть'!$A$63:$A$70,Доп.расчеты!$A179,'Как есть'!EE$63:EE$70)</f>
        <v>0</v>
      </c>
      <c r="EE179">
        <f>SUMIF('Как есть'!$A$63:$A$70,Доп.расчеты!$A179,'Как есть'!EF$63:EF$70)</f>
        <v>0</v>
      </c>
      <c r="EF179">
        <f>SUMIF('Как есть'!$A$63:$A$70,Доп.расчеты!$A179,'Как есть'!EG$63:EG$70)</f>
        <v>0</v>
      </c>
      <c r="EG179">
        <f>SUMIF('Как есть'!$A$63:$A$70,Доп.расчеты!$A179,'Как есть'!EH$63:EH$70)</f>
        <v>0</v>
      </c>
      <c r="EH179">
        <f>SUMIF('Как есть'!$A$63:$A$70,Доп.расчеты!$A179,'Как есть'!EI$63:EI$70)</f>
        <v>0</v>
      </c>
      <c r="EI179">
        <f>SUMIF('Как есть'!$A$63:$A$70,Доп.расчеты!$A179,'Как есть'!EJ$63:EJ$70)</f>
        <v>0</v>
      </c>
      <c r="EJ179">
        <f>SUMIF('Как есть'!$A$63:$A$70,Доп.расчеты!$A179,'Как есть'!EK$63:EK$70)</f>
        <v>0</v>
      </c>
      <c r="EK179">
        <f>SUMIF('Как есть'!$A$63:$A$70,Доп.расчеты!$A179,'Как есть'!EL$63:EL$70)</f>
        <v>0</v>
      </c>
      <c r="EL179">
        <f>SUMIF('Как есть'!$A$63:$A$70,Доп.расчеты!$A179,'Как есть'!EM$63:EM$70)</f>
        <v>0</v>
      </c>
      <c r="EM179">
        <f>SUMIF('Как есть'!$A$63:$A$70,Доп.расчеты!$A179,'Как есть'!EN$63:EN$70)</f>
        <v>0</v>
      </c>
      <c r="EN179">
        <f>SUMIF('Как есть'!$A$63:$A$70,Доп.расчеты!$A179,'Как есть'!EO$63:EO$70)</f>
        <v>0</v>
      </c>
      <c r="EO179">
        <f>SUMIF('Как есть'!$A$63:$A$70,Доп.расчеты!$A179,'Как есть'!EP$63:EP$70)</f>
        <v>0</v>
      </c>
      <c r="EP179">
        <f>SUMIF('Как есть'!$A$63:$A$70,Доп.расчеты!$A179,'Как есть'!EQ$63:EQ$70)</f>
        <v>0</v>
      </c>
      <c r="EQ179">
        <f>SUMIF('Как есть'!$A$63:$A$70,Доп.расчеты!$A179,'Как есть'!ER$63:ER$70)</f>
        <v>0</v>
      </c>
      <c r="ER179">
        <f>SUMIF('Как есть'!$A$63:$A$70,Доп.расчеты!$A179,'Как есть'!ES$63:ES$70)</f>
        <v>0</v>
      </c>
      <c r="ES179">
        <f>SUMIF('Как есть'!$A$63:$A$70,Доп.расчеты!$A179,'Как есть'!ET$63:ET$70)</f>
        <v>0</v>
      </c>
      <c r="ET179">
        <f>SUMIF('Как есть'!$A$63:$A$70,Доп.расчеты!$A179,'Как есть'!EU$63:EU$70)</f>
        <v>0</v>
      </c>
      <c r="EU179">
        <f>SUMIF('Как есть'!$A$63:$A$70,Доп.расчеты!$A179,'Как есть'!EV$63:EV$70)</f>
        <v>0</v>
      </c>
      <c r="EV179">
        <f>SUMIF('Как есть'!$A$63:$A$70,Доп.расчеты!$A179,'Как есть'!EW$63:EW$70)</f>
        <v>0</v>
      </c>
      <c r="EW179">
        <f>SUMIF('Как есть'!$A$63:$A$70,Доп.расчеты!$A179,'Как есть'!EX$63:EX$70)</f>
        <v>0</v>
      </c>
      <c r="EX179">
        <f>SUMIF('Как есть'!$A$63:$A$70,Доп.расчеты!$A179,'Как есть'!EY$63:EY$70)</f>
        <v>0</v>
      </c>
      <c r="EY179">
        <f>SUMIF('Как есть'!$A$63:$A$70,Доп.расчеты!$A179,'Как есть'!EZ$63:EZ$70)</f>
        <v>0</v>
      </c>
      <c r="EZ179">
        <f>SUMIF('Как есть'!$A$63:$A$70,Доп.расчеты!$A179,'Как есть'!FA$63:FA$70)</f>
        <v>0</v>
      </c>
      <c r="FA179">
        <f>SUMIF('Как есть'!$A$63:$A$70,Доп.расчеты!$A179,'Как есть'!FB$63:FB$70)</f>
        <v>0</v>
      </c>
      <c r="FB179">
        <f>SUMIF('Как есть'!$A$63:$A$70,Доп.расчеты!$A179,'Как есть'!FC$63:FC$70)</f>
        <v>0</v>
      </c>
      <c r="FC179">
        <f>SUMIF('Как есть'!$A$63:$A$70,Доп.расчеты!$A179,'Как есть'!FD$63:FD$70)</f>
        <v>0</v>
      </c>
      <c r="FD179">
        <f>SUMIF('Как есть'!$A$63:$A$70,Доп.расчеты!$A179,'Как есть'!FE$63:FE$70)</f>
        <v>0</v>
      </c>
      <c r="FE179">
        <f>SUMIF('Как есть'!$A$63:$A$70,Доп.расчеты!$A179,'Как есть'!FF$63:FF$70)</f>
        <v>0</v>
      </c>
      <c r="FF179">
        <f>SUMIF('Как есть'!$A$63:$A$70,Доп.расчеты!$A179,'Как есть'!FG$63:FG$70)</f>
        <v>0</v>
      </c>
      <c r="FG179">
        <f>SUMIF('Как есть'!$A$63:$A$70,Доп.расчеты!$A179,'Как есть'!FH$63:FH$70)</f>
        <v>0</v>
      </c>
      <c r="FH179">
        <f>SUMIF('Как есть'!$A$63:$A$70,Доп.расчеты!$A179,'Как есть'!FI$63:FI$70)</f>
        <v>0</v>
      </c>
      <c r="FI179">
        <f>SUMIF('Как есть'!$A$63:$A$70,Доп.расчеты!$A179,'Как есть'!FJ$63:FJ$70)</f>
        <v>0</v>
      </c>
      <c r="FJ179">
        <f>SUMIF('Как есть'!$A$63:$A$70,Доп.расчеты!$A179,'Как есть'!FK$63:FK$70)</f>
        <v>0</v>
      </c>
      <c r="FK179">
        <f>SUMIF('Как есть'!$A$63:$A$70,Доп.расчеты!$A179,'Как есть'!FL$63:FL$70)</f>
        <v>0</v>
      </c>
      <c r="FL179">
        <f>SUMIF('Как есть'!$A$63:$A$70,Доп.расчеты!$A179,'Как есть'!FM$63:FM$70)</f>
        <v>0</v>
      </c>
      <c r="FM179">
        <f>SUMIF('Как есть'!$A$63:$A$70,Доп.расчеты!$A179,'Как есть'!FN$63:FN$70)</f>
        <v>0</v>
      </c>
      <c r="FN179">
        <f>SUMIF('Как есть'!$A$63:$A$70,Доп.расчеты!$A179,'Как есть'!FO$63:FO$70)</f>
        <v>0</v>
      </c>
      <c r="FO179">
        <f>SUMIF('Как есть'!$A$63:$A$70,Доп.расчеты!$A179,'Как есть'!FP$63:FP$70)</f>
        <v>0</v>
      </c>
      <c r="FP179">
        <f>SUMIF('Как есть'!$A$63:$A$70,Доп.расчеты!$A179,'Как есть'!FQ$63:FQ$70)</f>
        <v>0</v>
      </c>
      <c r="FQ179">
        <f>SUMIF('Как есть'!$A$63:$A$70,Доп.расчеты!$A179,'Как есть'!FR$63:FR$70)</f>
        <v>0</v>
      </c>
      <c r="FR179">
        <f>SUMIF('Как есть'!$A$63:$A$70,Доп.расчеты!$A179,'Как есть'!FS$63:FS$70)</f>
        <v>0</v>
      </c>
      <c r="FS179">
        <f>SUMIF('Как есть'!$A$63:$A$70,Доп.расчеты!$A179,'Как есть'!FT$63:FT$70)</f>
        <v>0</v>
      </c>
      <c r="FT179">
        <f>SUMIF('Как есть'!$A$63:$A$70,Доп.расчеты!$A179,'Как есть'!FU$63:FU$70)</f>
        <v>0</v>
      </c>
      <c r="FU179">
        <f>SUMIF('Как есть'!$A$63:$A$70,Доп.расчеты!$A179,'Как есть'!FV$63:FV$70)</f>
        <v>0</v>
      </c>
      <c r="FV179">
        <f>SUMIF('Как есть'!$A$63:$A$70,Доп.расчеты!$A179,'Как есть'!FW$63:FW$70)</f>
        <v>0</v>
      </c>
      <c r="FW179">
        <f>SUMIF('Как есть'!$A$63:$A$70,Доп.расчеты!$A179,'Как есть'!FX$63:FX$70)</f>
        <v>0</v>
      </c>
      <c r="FX179">
        <f>SUMIF('Как есть'!$A$63:$A$70,Доп.расчеты!$A179,'Как есть'!FY$63:FY$70)</f>
        <v>0</v>
      </c>
      <c r="FY179">
        <f>SUMIF('Как есть'!$A$63:$A$70,Доп.расчеты!$A179,'Как есть'!FZ$63:FZ$70)</f>
        <v>0</v>
      </c>
      <c r="FZ179">
        <f>SUMIF('Как есть'!$A$63:$A$70,Доп.расчеты!$A179,'Как есть'!GA$63:GA$70)</f>
        <v>0</v>
      </c>
      <c r="GA179">
        <f>SUMIF('Как есть'!$A$63:$A$70,Доп.расчеты!$A179,'Как есть'!GB$63:GB$70)</f>
        <v>0</v>
      </c>
      <c r="GB179">
        <f>SUMIF('Как есть'!$A$63:$A$70,Доп.расчеты!$A179,'Как есть'!GC$63:GC$70)</f>
        <v>0</v>
      </c>
      <c r="GC179">
        <f>SUMIF('Как есть'!$A$63:$A$70,Доп.расчеты!$A179,'Как есть'!GD$63:GD$70)</f>
        <v>0</v>
      </c>
      <c r="GD179">
        <f>SUMIF('Как есть'!$A$63:$A$70,Доп.расчеты!$A179,'Как есть'!GE$63:GE$70)</f>
        <v>0</v>
      </c>
      <c r="GE179">
        <f>SUMIF('Как есть'!$A$63:$A$70,Доп.расчеты!$A179,'Как есть'!GF$63:GF$70)</f>
        <v>0</v>
      </c>
      <c r="GF179">
        <f>SUMIF('Как есть'!$A$63:$A$70,Доп.расчеты!$A179,'Как есть'!GG$63:GG$70)</f>
        <v>0</v>
      </c>
      <c r="GG179">
        <f>SUMIF('Как есть'!$A$63:$A$70,Доп.расчеты!$A179,'Как есть'!GH$63:GH$70)</f>
        <v>0</v>
      </c>
      <c r="GH179">
        <f>SUMIF('Как есть'!$A$63:$A$70,Доп.расчеты!$A179,'Как есть'!GI$63:GI$70)</f>
        <v>0</v>
      </c>
      <c r="GI179">
        <f>SUMIF('Как есть'!$A$63:$A$70,Доп.расчеты!$A179,'Как есть'!GJ$63:GJ$70)</f>
        <v>0</v>
      </c>
      <c r="GJ179">
        <f>SUMIF('Как есть'!$A$63:$A$70,Доп.расчеты!$A179,'Как есть'!GK$63:GK$70)</f>
        <v>0</v>
      </c>
      <c r="GK179">
        <f>SUMIF('Как есть'!$A$63:$A$70,Доп.расчеты!$A179,'Как есть'!GL$63:GL$70)</f>
        <v>0</v>
      </c>
      <c r="GL179">
        <f>SUMIF('Как есть'!$A$63:$A$70,Доп.расчеты!$A179,'Как есть'!GM$63:GM$70)</f>
        <v>0</v>
      </c>
      <c r="GM179">
        <f>SUMIF('Как есть'!$A$63:$A$70,Доп.расчеты!$A179,'Как есть'!GN$63:GN$70)</f>
        <v>0</v>
      </c>
      <c r="GN179">
        <f>SUMIF('Как есть'!$A$63:$A$70,Доп.расчеты!$A179,'Как есть'!GO$63:GO$70)</f>
        <v>0</v>
      </c>
      <c r="GO179">
        <f>SUMIF('Как есть'!$A$63:$A$70,Доп.расчеты!$A179,'Как есть'!GP$63:GP$70)</f>
        <v>0</v>
      </c>
      <c r="GP179">
        <f>SUMIF('Как есть'!$A$63:$A$70,Доп.расчеты!$A179,'Как есть'!GQ$63:GQ$70)</f>
        <v>0</v>
      </c>
      <c r="GQ179">
        <f>SUMIF('Как есть'!$A$63:$A$70,Доп.расчеты!$A179,'Как есть'!GR$63:GR$70)</f>
        <v>0</v>
      </c>
      <c r="GR179">
        <f>SUMIF('Как есть'!$A$63:$A$70,Доп.расчеты!$A179,'Как есть'!GS$63:GS$70)</f>
        <v>0</v>
      </c>
      <c r="GS179">
        <f>SUMIF('Как есть'!$A$63:$A$70,Доп.расчеты!$A179,'Как есть'!GT$63:GT$70)</f>
        <v>0</v>
      </c>
      <c r="GT179">
        <f>SUMIF('Как есть'!$A$63:$A$70,Доп.расчеты!$A179,'Как есть'!GU$63:GU$70)</f>
        <v>0</v>
      </c>
    </row>
    <row r="180" spans="1:202" hidden="1" outlineLevel="1">
      <c r="A180" s="238" t="s">
        <v>114</v>
      </c>
      <c r="B180">
        <f>SUMIF('Как есть'!$A$63:$A$70,Доп.расчеты!$A180,'Как есть'!C$63:C$70)</f>
        <v>0</v>
      </c>
      <c r="C180">
        <f>SUMIF('Как есть'!$A$63:$A$70,Доп.расчеты!$A180,'Как есть'!D$63:D$70)</f>
        <v>0</v>
      </c>
      <c r="D180">
        <f>SUMIF('Как есть'!$A$63:$A$70,Доп.расчеты!$A180,'Как есть'!E$63:E$70)</f>
        <v>0</v>
      </c>
      <c r="E180">
        <f>SUMIF('Как есть'!$A$63:$A$70,Доп.расчеты!$A180,'Как есть'!F$63:F$70)</f>
        <v>0</v>
      </c>
      <c r="F180">
        <f>SUMIF('Как есть'!$A$63:$A$70,Доп.расчеты!$A180,'Как есть'!G$63:G$70)</f>
        <v>0</v>
      </c>
      <c r="G180">
        <f>SUMIF('Как есть'!$A$63:$A$70,Доп.расчеты!$A180,'Как есть'!H$63:H$70)</f>
        <v>0</v>
      </c>
      <c r="H180">
        <f>SUMIF('Как есть'!$A$63:$A$70,Доп.расчеты!$A180,'Как есть'!I$63:I$70)</f>
        <v>0</v>
      </c>
      <c r="I180">
        <f>SUMIF('Как есть'!$A$63:$A$70,Доп.расчеты!$A180,'Как есть'!J$63:J$70)</f>
        <v>0</v>
      </c>
      <c r="J180">
        <f>SUMIF('Как есть'!$A$63:$A$70,Доп.расчеты!$A180,'Как есть'!K$63:K$70)</f>
        <v>0</v>
      </c>
      <c r="K180">
        <f>SUMIF('Как есть'!$A$63:$A$70,Доп.расчеты!$A180,'Как есть'!L$63:L$70)</f>
        <v>0</v>
      </c>
      <c r="L180">
        <f>SUMIF('Как есть'!$A$63:$A$70,Доп.расчеты!$A180,'Как есть'!M$63:M$70)</f>
        <v>0</v>
      </c>
      <c r="M180">
        <f>SUMIF('Как есть'!$A$63:$A$70,Доп.расчеты!$A180,'Как есть'!N$63:N$70)</f>
        <v>0</v>
      </c>
      <c r="N180">
        <f>SUMIF('Как есть'!$A$63:$A$70,Доп.расчеты!$A180,'Как есть'!O$63:O$70)</f>
        <v>0</v>
      </c>
      <c r="O180">
        <f>SUMIF('Как есть'!$A$63:$A$70,Доп.расчеты!$A180,'Как есть'!P$63:P$70)</f>
        <v>0</v>
      </c>
      <c r="P180">
        <f>SUMIF('Как есть'!$A$63:$A$70,Доп.расчеты!$A180,'Как есть'!Q$63:Q$70)</f>
        <v>0</v>
      </c>
      <c r="Q180">
        <f>SUMIF('Как есть'!$A$63:$A$70,Доп.расчеты!$A180,'Как есть'!R$63:R$70)</f>
        <v>0</v>
      </c>
      <c r="R180">
        <f>SUMIF('Как есть'!$A$63:$A$70,Доп.расчеты!$A180,'Как есть'!S$63:S$70)</f>
        <v>0</v>
      </c>
      <c r="S180">
        <f>SUMIF('Как есть'!$A$63:$A$70,Доп.расчеты!$A180,'Как есть'!T$63:T$70)</f>
        <v>0</v>
      </c>
      <c r="T180">
        <f>SUMIF('Как есть'!$A$63:$A$70,Доп.расчеты!$A180,'Как есть'!U$63:U$70)</f>
        <v>0</v>
      </c>
      <c r="U180">
        <f>SUMIF('Как есть'!$A$63:$A$70,Доп.расчеты!$A180,'Как есть'!V$63:V$70)</f>
        <v>0</v>
      </c>
      <c r="V180">
        <f>SUMIF('Как есть'!$A$63:$A$70,Доп.расчеты!$A180,'Как есть'!W$63:W$70)</f>
        <v>0</v>
      </c>
      <c r="W180">
        <f>SUMIF('Как есть'!$A$63:$A$70,Доп.расчеты!$A180,'Как есть'!X$63:X$70)</f>
        <v>0</v>
      </c>
      <c r="X180">
        <f>SUMIF('Как есть'!$A$63:$A$70,Доп.расчеты!$A180,'Как есть'!Y$63:Y$70)</f>
        <v>0</v>
      </c>
      <c r="Y180">
        <f>SUMIF('Как есть'!$A$63:$A$70,Доп.расчеты!$A180,'Как есть'!Z$63:Z$70)</f>
        <v>0</v>
      </c>
      <c r="Z180">
        <f>SUMIF('Как есть'!$A$63:$A$70,Доп.расчеты!$A180,'Как есть'!AA$63:AA$70)</f>
        <v>0</v>
      </c>
      <c r="AA180">
        <f>SUMIF('Как есть'!$A$63:$A$70,Доп.расчеты!$A180,'Как есть'!AB$63:AB$70)</f>
        <v>0</v>
      </c>
      <c r="AB180">
        <f>SUMIF('Как есть'!$A$63:$A$70,Доп.расчеты!$A180,'Как есть'!AC$63:AC$70)</f>
        <v>0</v>
      </c>
      <c r="AC180">
        <f>SUMIF('Как есть'!$A$63:$A$70,Доп.расчеты!$A180,'Как есть'!AD$63:AD$70)</f>
        <v>0</v>
      </c>
      <c r="AD180">
        <f>SUMIF('Как есть'!$A$63:$A$70,Доп.расчеты!$A180,'Как есть'!AE$63:AE$70)</f>
        <v>0</v>
      </c>
      <c r="AE180">
        <f>SUMIF('Как есть'!$A$63:$A$70,Доп.расчеты!$A180,'Как есть'!AF$63:AF$70)</f>
        <v>0</v>
      </c>
      <c r="AF180">
        <f>SUMIF('Как есть'!$A$63:$A$70,Доп.расчеты!$A180,'Как есть'!AG$63:AG$70)</f>
        <v>0</v>
      </c>
      <c r="AG180">
        <f>SUMIF('Как есть'!$A$63:$A$70,Доп.расчеты!$A180,'Как есть'!AH$63:AH$70)</f>
        <v>0</v>
      </c>
      <c r="AH180">
        <f>SUMIF('Как есть'!$A$63:$A$70,Доп.расчеты!$A180,'Как есть'!AI$63:AI$70)</f>
        <v>0</v>
      </c>
      <c r="AI180">
        <f>SUMIF('Как есть'!$A$63:$A$70,Доп.расчеты!$A180,'Как есть'!AJ$63:AJ$70)</f>
        <v>0</v>
      </c>
      <c r="AJ180">
        <f>SUMIF('Как есть'!$A$63:$A$70,Доп.расчеты!$A180,'Как есть'!AK$63:AK$70)</f>
        <v>0</v>
      </c>
      <c r="AK180">
        <f>SUMIF('Как есть'!$A$63:$A$70,Доп.расчеты!$A180,'Как есть'!AL$63:AL$70)</f>
        <v>0</v>
      </c>
      <c r="AL180">
        <f>SUMIF('Как есть'!$A$63:$A$70,Доп.расчеты!$A180,'Как есть'!AM$63:AM$70)</f>
        <v>0</v>
      </c>
      <c r="AM180">
        <f>SUMIF('Как есть'!$A$63:$A$70,Доп.расчеты!$A180,'Как есть'!AN$63:AN$70)</f>
        <v>0</v>
      </c>
      <c r="AN180">
        <f>SUMIF('Как есть'!$A$63:$A$70,Доп.расчеты!$A180,'Как есть'!AO$63:AO$70)</f>
        <v>0</v>
      </c>
      <c r="AO180">
        <f>SUMIF('Как есть'!$A$63:$A$70,Доп.расчеты!$A180,'Как есть'!AP$63:AP$70)</f>
        <v>0</v>
      </c>
      <c r="AP180">
        <f>SUMIF('Как есть'!$A$63:$A$70,Доп.расчеты!$A180,'Как есть'!AQ$63:AQ$70)</f>
        <v>0</v>
      </c>
      <c r="AQ180">
        <f>SUMIF('Как есть'!$A$63:$A$70,Доп.расчеты!$A180,'Как есть'!AR$63:AR$70)</f>
        <v>0</v>
      </c>
      <c r="AR180">
        <f>SUMIF('Как есть'!$A$63:$A$70,Доп.расчеты!$A180,'Как есть'!AS$63:AS$70)</f>
        <v>0</v>
      </c>
      <c r="AS180">
        <f>SUMIF('Как есть'!$A$63:$A$70,Доп.расчеты!$A180,'Как есть'!AT$63:AT$70)</f>
        <v>0</v>
      </c>
      <c r="AT180">
        <f>SUMIF('Как есть'!$A$63:$A$70,Доп.расчеты!$A180,'Как есть'!AU$63:AU$70)</f>
        <v>0</v>
      </c>
      <c r="AU180">
        <f>SUMIF('Как есть'!$A$63:$A$70,Доп.расчеты!$A180,'Как есть'!AV$63:AV$70)</f>
        <v>0</v>
      </c>
      <c r="AV180">
        <f>SUMIF('Как есть'!$A$63:$A$70,Доп.расчеты!$A180,'Как есть'!AW$63:AW$70)</f>
        <v>0</v>
      </c>
      <c r="AW180">
        <f>SUMIF('Как есть'!$A$63:$A$70,Доп.расчеты!$A180,'Как есть'!AX$63:AX$70)</f>
        <v>0</v>
      </c>
      <c r="AX180">
        <f>SUMIF('Как есть'!$A$63:$A$70,Доп.расчеты!$A180,'Как есть'!AY$63:AY$70)</f>
        <v>0</v>
      </c>
      <c r="AY180">
        <f>SUMIF('Как есть'!$A$63:$A$70,Доп.расчеты!$A180,'Как есть'!AZ$63:AZ$70)</f>
        <v>0</v>
      </c>
      <c r="AZ180">
        <f>SUMIF('Как есть'!$A$63:$A$70,Доп.расчеты!$A180,'Как есть'!BA$63:BA$70)</f>
        <v>0</v>
      </c>
      <c r="BA180">
        <f>SUMIF('Как есть'!$A$63:$A$70,Доп.расчеты!$A180,'Как есть'!BB$63:BB$70)</f>
        <v>0</v>
      </c>
      <c r="BB180">
        <f>SUMIF('Как есть'!$A$63:$A$70,Доп.расчеты!$A180,'Как есть'!BC$63:BC$70)</f>
        <v>0</v>
      </c>
      <c r="BC180">
        <f>SUMIF('Как есть'!$A$63:$A$70,Доп.расчеты!$A180,'Как есть'!BD$63:BD$70)</f>
        <v>0</v>
      </c>
      <c r="BD180">
        <f>SUMIF('Как есть'!$A$63:$A$70,Доп.расчеты!$A180,'Как есть'!BE$63:BE$70)</f>
        <v>0</v>
      </c>
      <c r="BE180">
        <f>SUMIF('Как есть'!$A$63:$A$70,Доп.расчеты!$A180,'Как есть'!BF$63:BF$70)</f>
        <v>0</v>
      </c>
      <c r="BF180">
        <f>SUMIF('Как есть'!$A$63:$A$70,Доп.расчеты!$A180,'Как есть'!BG$63:BG$70)</f>
        <v>0</v>
      </c>
      <c r="BG180">
        <f>SUMIF('Как есть'!$A$63:$A$70,Доп.расчеты!$A180,'Как есть'!BH$63:BH$70)</f>
        <v>0</v>
      </c>
      <c r="BH180">
        <f>SUMIF('Как есть'!$A$63:$A$70,Доп.расчеты!$A180,'Как есть'!BI$63:BI$70)</f>
        <v>0</v>
      </c>
      <c r="BI180">
        <f>SUMIF('Как есть'!$A$63:$A$70,Доп.расчеты!$A180,'Как есть'!BJ$63:BJ$70)</f>
        <v>0</v>
      </c>
      <c r="BJ180">
        <f>SUMIF('Как есть'!$A$63:$A$70,Доп.расчеты!$A180,'Как есть'!BK$63:BK$70)</f>
        <v>0</v>
      </c>
      <c r="BK180">
        <f>SUMIF('Как есть'!$A$63:$A$70,Доп.расчеты!$A180,'Как есть'!BL$63:BL$70)</f>
        <v>0</v>
      </c>
      <c r="BL180">
        <f>SUMIF('Как есть'!$A$63:$A$70,Доп.расчеты!$A180,'Как есть'!BM$63:BM$70)</f>
        <v>0</v>
      </c>
      <c r="BM180">
        <f>SUMIF('Как есть'!$A$63:$A$70,Доп.расчеты!$A180,'Как есть'!BN$63:BN$70)</f>
        <v>0</v>
      </c>
      <c r="BN180">
        <f>SUMIF('Как есть'!$A$63:$A$70,Доп.расчеты!$A180,'Как есть'!BO$63:BO$70)</f>
        <v>0</v>
      </c>
      <c r="BO180">
        <f>SUMIF('Как есть'!$A$63:$A$70,Доп.расчеты!$A180,'Как есть'!BP$63:BP$70)</f>
        <v>0</v>
      </c>
      <c r="BP180">
        <f>SUMIF('Как есть'!$A$63:$A$70,Доп.расчеты!$A180,'Как есть'!BQ$63:BQ$70)</f>
        <v>0</v>
      </c>
      <c r="BQ180">
        <f>SUMIF('Как есть'!$A$63:$A$70,Доп.расчеты!$A180,'Как есть'!BR$63:BR$70)</f>
        <v>0</v>
      </c>
      <c r="BR180">
        <f>SUMIF('Как есть'!$A$63:$A$70,Доп.расчеты!$A180,'Как есть'!BS$63:BS$70)</f>
        <v>0</v>
      </c>
      <c r="BS180">
        <f>SUMIF('Как есть'!$A$63:$A$70,Доп.расчеты!$A180,'Как есть'!BT$63:BT$70)</f>
        <v>0</v>
      </c>
      <c r="BT180">
        <f>SUMIF('Как есть'!$A$63:$A$70,Доп.расчеты!$A180,'Как есть'!BU$63:BU$70)</f>
        <v>0</v>
      </c>
      <c r="BU180">
        <f>SUMIF('Как есть'!$A$63:$A$70,Доп.расчеты!$A180,'Как есть'!BV$63:BV$70)</f>
        <v>0</v>
      </c>
      <c r="BV180">
        <f>SUMIF('Как есть'!$A$63:$A$70,Доп.расчеты!$A180,'Как есть'!BW$63:BW$70)</f>
        <v>0</v>
      </c>
      <c r="BW180">
        <f>SUMIF('Как есть'!$A$63:$A$70,Доп.расчеты!$A180,'Как есть'!BX$63:BX$70)</f>
        <v>0</v>
      </c>
      <c r="BX180">
        <f>SUMIF('Как есть'!$A$63:$A$70,Доп.расчеты!$A180,'Как есть'!BY$63:BY$70)</f>
        <v>0</v>
      </c>
      <c r="BY180">
        <f>SUMIF('Как есть'!$A$63:$A$70,Доп.расчеты!$A180,'Как есть'!BZ$63:BZ$70)</f>
        <v>0</v>
      </c>
      <c r="BZ180">
        <f>SUMIF('Как есть'!$A$63:$A$70,Доп.расчеты!$A180,'Как есть'!CA$63:CA$70)</f>
        <v>0</v>
      </c>
      <c r="CA180">
        <f>SUMIF('Как есть'!$A$63:$A$70,Доп.расчеты!$A180,'Как есть'!CB$63:CB$70)</f>
        <v>0</v>
      </c>
      <c r="CB180">
        <f>SUMIF('Как есть'!$A$63:$A$70,Доп.расчеты!$A180,'Как есть'!CC$63:CC$70)</f>
        <v>0</v>
      </c>
      <c r="CC180">
        <f>SUMIF('Как есть'!$A$63:$A$70,Доп.расчеты!$A180,'Как есть'!CD$63:CD$70)</f>
        <v>0</v>
      </c>
      <c r="CD180">
        <f>SUMIF('Как есть'!$A$63:$A$70,Доп.расчеты!$A180,'Как есть'!CE$63:CE$70)</f>
        <v>0</v>
      </c>
      <c r="CE180">
        <f>SUMIF('Как есть'!$A$63:$A$70,Доп.расчеты!$A180,'Как есть'!CF$63:CF$70)</f>
        <v>0</v>
      </c>
      <c r="CF180">
        <f>SUMIF('Как есть'!$A$63:$A$70,Доп.расчеты!$A180,'Как есть'!CG$63:CG$70)</f>
        <v>0</v>
      </c>
      <c r="CG180">
        <f>SUMIF('Как есть'!$A$63:$A$70,Доп.расчеты!$A180,'Как есть'!CH$63:CH$70)</f>
        <v>0</v>
      </c>
      <c r="CH180">
        <f>SUMIF('Как есть'!$A$63:$A$70,Доп.расчеты!$A180,'Как есть'!CI$63:CI$70)</f>
        <v>0</v>
      </c>
      <c r="CI180">
        <f>SUMIF('Как есть'!$A$63:$A$70,Доп.расчеты!$A180,'Как есть'!CJ$63:CJ$70)</f>
        <v>0</v>
      </c>
      <c r="CJ180">
        <f>SUMIF('Как есть'!$A$63:$A$70,Доп.расчеты!$A180,'Как есть'!CK$63:CK$70)</f>
        <v>0</v>
      </c>
      <c r="CK180">
        <f>SUMIF('Как есть'!$A$63:$A$70,Доп.расчеты!$A180,'Как есть'!CL$63:CL$70)</f>
        <v>0</v>
      </c>
      <c r="CL180">
        <f>SUMIF('Как есть'!$A$63:$A$70,Доп.расчеты!$A180,'Как есть'!CM$63:CM$70)</f>
        <v>0</v>
      </c>
      <c r="CM180">
        <f>SUMIF('Как есть'!$A$63:$A$70,Доп.расчеты!$A180,'Как есть'!CN$63:CN$70)</f>
        <v>0</v>
      </c>
      <c r="CN180">
        <f>SUMIF('Как есть'!$A$63:$A$70,Доп.расчеты!$A180,'Как есть'!CO$63:CO$70)</f>
        <v>0</v>
      </c>
      <c r="CO180">
        <f>SUMIF('Как есть'!$A$63:$A$70,Доп.расчеты!$A180,'Как есть'!CP$63:CP$70)</f>
        <v>0</v>
      </c>
      <c r="CP180">
        <f>SUMIF('Как есть'!$A$63:$A$70,Доп.расчеты!$A180,'Как есть'!CQ$63:CQ$70)</f>
        <v>0</v>
      </c>
      <c r="CQ180">
        <f>SUMIF('Как есть'!$A$63:$A$70,Доп.расчеты!$A180,'Как есть'!CR$63:CR$70)</f>
        <v>0</v>
      </c>
      <c r="CR180">
        <f>SUMIF('Как есть'!$A$63:$A$70,Доп.расчеты!$A180,'Как есть'!CS$63:CS$70)</f>
        <v>0</v>
      </c>
      <c r="CS180">
        <f>SUMIF('Как есть'!$A$63:$A$70,Доп.расчеты!$A180,'Как есть'!CT$63:CT$70)</f>
        <v>0</v>
      </c>
      <c r="CT180">
        <f>SUMIF('Как есть'!$A$63:$A$70,Доп.расчеты!$A180,'Как есть'!CU$63:CU$70)</f>
        <v>0</v>
      </c>
      <c r="CU180">
        <f>SUMIF('Как есть'!$A$63:$A$70,Доп.расчеты!$A180,'Как есть'!CV$63:CV$70)</f>
        <v>0</v>
      </c>
      <c r="CV180">
        <f>SUMIF('Как есть'!$A$63:$A$70,Доп.расчеты!$A180,'Как есть'!CW$63:CW$70)</f>
        <v>0</v>
      </c>
      <c r="CW180">
        <f>SUMIF('Как есть'!$A$63:$A$70,Доп.расчеты!$A180,'Как есть'!CX$63:CX$70)</f>
        <v>0</v>
      </c>
      <c r="CX180">
        <f>SUMIF('Как есть'!$A$63:$A$70,Доп.расчеты!$A180,'Как есть'!CY$63:CY$70)</f>
        <v>0</v>
      </c>
      <c r="CY180">
        <f>SUMIF('Как есть'!$A$63:$A$70,Доп.расчеты!$A180,'Как есть'!CZ$63:CZ$70)</f>
        <v>0</v>
      </c>
      <c r="CZ180">
        <f>SUMIF('Как есть'!$A$63:$A$70,Доп.расчеты!$A180,'Как есть'!DA$63:DA$70)</f>
        <v>0</v>
      </c>
      <c r="DA180">
        <f>SUMIF('Как есть'!$A$63:$A$70,Доп.расчеты!$A180,'Как есть'!DB$63:DB$70)</f>
        <v>0</v>
      </c>
      <c r="DB180">
        <f>SUMIF('Как есть'!$A$63:$A$70,Доп.расчеты!$A180,'Как есть'!DC$63:DC$70)</f>
        <v>0</v>
      </c>
      <c r="DC180">
        <f>SUMIF('Как есть'!$A$63:$A$70,Доп.расчеты!$A180,'Как есть'!DD$63:DD$70)</f>
        <v>0</v>
      </c>
      <c r="DD180">
        <f>SUMIF('Как есть'!$A$63:$A$70,Доп.расчеты!$A180,'Как есть'!DE$63:DE$70)</f>
        <v>0</v>
      </c>
      <c r="DE180">
        <f>SUMIF('Как есть'!$A$63:$A$70,Доп.расчеты!$A180,'Как есть'!DF$63:DF$70)</f>
        <v>0</v>
      </c>
      <c r="DF180">
        <f>SUMIF('Как есть'!$A$63:$A$70,Доп.расчеты!$A180,'Как есть'!DG$63:DG$70)</f>
        <v>0</v>
      </c>
      <c r="DG180">
        <f>SUMIF('Как есть'!$A$63:$A$70,Доп.расчеты!$A180,'Как есть'!DH$63:DH$70)</f>
        <v>0</v>
      </c>
      <c r="DH180">
        <f>SUMIF('Как есть'!$A$63:$A$70,Доп.расчеты!$A180,'Как есть'!DI$63:DI$70)</f>
        <v>0</v>
      </c>
      <c r="DI180">
        <f>SUMIF('Как есть'!$A$63:$A$70,Доп.расчеты!$A180,'Как есть'!DJ$63:DJ$70)</f>
        <v>0</v>
      </c>
      <c r="DJ180">
        <f>SUMIF('Как есть'!$A$63:$A$70,Доп.расчеты!$A180,'Как есть'!DK$63:DK$70)</f>
        <v>0</v>
      </c>
      <c r="DK180">
        <f>SUMIF('Как есть'!$A$63:$A$70,Доп.расчеты!$A180,'Как есть'!DL$63:DL$70)</f>
        <v>0</v>
      </c>
      <c r="DL180">
        <f>SUMIF('Как есть'!$A$63:$A$70,Доп.расчеты!$A180,'Как есть'!DM$63:DM$70)</f>
        <v>0</v>
      </c>
      <c r="DM180">
        <f>SUMIF('Как есть'!$A$63:$A$70,Доп.расчеты!$A180,'Как есть'!DN$63:DN$70)</f>
        <v>0</v>
      </c>
      <c r="DN180">
        <f>SUMIF('Как есть'!$A$63:$A$70,Доп.расчеты!$A180,'Как есть'!DO$63:DO$70)</f>
        <v>0</v>
      </c>
      <c r="DO180">
        <f>SUMIF('Как есть'!$A$63:$A$70,Доп.расчеты!$A180,'Как есть'!DP$63:DP$70)</f>
        <v>0</v>
      </c>
      <c r="DP180">
        <f>SUMIF('Как есть'!$A$63:$A$70,Доп.расчеты!$A180,'Как есть'!DQ$63:DQ$70)</f>
        <v>0</v>
      </c>
      <c r="DQ180">
        <f>SUMIF('Как есть'!$A$63:$A$70,Доп.расчеты!$A180,'Как есть'!DR$63:DR$70)</f>
        <v>0</v>
      </c>
      <c r="DR180">
        <f>SUMIF('Как есть'!$A$63:$A$70,Доп.расчеты!$A180,'Как есть'!DS$63:DS$70)</f>
        <v>0</v>
      </c>
      <c r="DS180">
        <f>SUMIF('Как есть'!$A$63:$A$70,Доп.расчеты!$A180,'Как есть'!DT$63:DT$70)</f>
        <v>0</v>
      </c>
      <c r="DT180">
        <f>SUMIF('Как есть'!$A$63:$A$70,Доп.расчеты!$A180,'Как есть'!DU$63:DU$70)</f>
        <v>0</v>
      </c>
      <c r="DU180">
        <f>SUMIF('Как есть'!$A$63:$A$70,Доп.расчеты!$A180,'Как есть'!DV$63:DV$70)</f>
        <v>0</v>
      </c>
      <c r="DV180">
        <f>SUMIF('Как есть'!$A$63:$A$70,Доп.расчеты!$A180,'Как есть'!DW$63:DW$70)</f>
        <v>0</v>
      </c>
      <c r="DW180">
        <f>SUMIF('Как есть'!$A$63:$A$70,Доп.расчеты!$A180,'Как есть'!DX$63:DX$70)</f>
        <v>0</v>
      </c>
      <c r="DX180">
        <f>SUMIF('Как есть'!$A$63:$A$70,Доп.расчеты!$A180,'Как есть'!DY$63:DY$70)</f>
        <v>0</v>
      </c>
      <c r="DY180">
        <f>SUMIF('Как есть'!$A$63:$A$70,Доп.расчеты!$A180,'Как есть'!DZ$63:DZ$70)</f>
        <v>0</v>
      </c>
      <c r="DZ180">
        <f>SUMIF('Как есть'!$A$63:$A$70,Доп.расчеты!$A180,'Как есть'!EA$63:EA$70)</f>
        <v>0</v>
      </c>
      <c r="EA180">
        <f>SUMIF('Как есть'!$A$63:$A$70,Доп.расчеты!$A180,'Как есть'!EB$63:EB$70)</f>
        <v>0</v>
      </c>
      <c r="EB180">
        <f>SUMIF('Как есть'!$A$63:$A$70,Доп.расчеты!$A180,'Как есть'!EC$63:EC$70)</f>
        <v>0</v>
      </c>
      <c r="EC180">
        <f>SUMIF('Как есть'!$A$63:$A$70,Доп.расчеты!$A180,'Как есть'!ED$63:ED$70)</f>
        <v>0</v>
      </c>
      <c r="ED180">
        <f>SUMIF('Как есть'!$A$63:$A$70,Доп.расчеты!$A180,'Как есть'!EE$63:EE$70)</f>
        <v>0</v>
      </c>
      <c r="EE180">
        <f>SUMIF('Как есть'!$A$63:$A$70,Доп.расчеты!$A180,'Как есть'!EF$63:EF$70)</f>
        <v>0</v>
      </c>
      <c r="EF180">
        <f>SUMIF('Как есть'!$A$63:$A$70,Доп.расчеты!$A180,'Как есть'!EG$63:EG$70)</f>
        <v>0</v>
      </c>
      <c r="EG180">
        <f>SUMIF('Как есть'!$A$63:$A$70,Доп.расчеты!$A180,'Как есть'!EH$63:EH$70)</f>
        <v>0</v>
      </c>
      <c r="EH180">
        <f>SUMIF('Как есть'!$A$63:$A$70,Доп.расчеты!$A180,'Как есть'!EI$63:EI$70)</f>
        <v>0</v>
      </c>
      <c r="EI180">
        <f>SUMIF('Как есть'!$A$63:$A$70,Доп.расчеты!$A180,'Как есть'!EJ$63:EJ$70)</f>
        <v>0</v>
      </c>
      <c r="EJ180">
        <f>SUMIF('Как есть'!$A$63:$A$70,Доп.расчеты!$A180,'Как есть'!EK$63:EK$70)</f>
        <v>0</v>
      </c>
      <c r="EK180">
        <f>SUMIF('Как есть'!$A$63:$A$70,Доп.расчеты!$A180,'Как есть'!EL$63:EL$70)</f>
        <v>0</v>
      </c>
      <c r="EL180">
        <f>SUMIF('Как есть'!$A$63:$A$70,Доп.расчеты!$A180,'Как есть'!EM$63:EM$70)</f>
        <v>0</v>
      </c>
      <c r="EM180">
        <f>SUMIF('Как есть'!$A$63:$A$70,Доп.расчеты!$A180,'Как есть'!EN$63:EN$70)</f>
        <v>0</v>
      </c>
      <c r="EN180">
        <f>SUMIF('Как есть'!$A$63:$A$70,Доп.расчеты!$A180,'Как есть'!EO$63:EO$70)</f>
        <v>0</v>
      </c>
      <c r="EO180">
        <f>SUMIF('Как есть'!$A$63:$A$70,Доп.расчеты!$A180,'Как есть'!EP$63:EP$70)</f>
        <v>0</v>
      </c>
      <c r="EP180">
        <f>SUMIF('Как есть'!$A$63:$A$70,Доп.расчеты!$A180,'Как есть'!EQ$63:EQ$70)</f>
        <v>0</v>
      </c>
      <c r="EQ180">
        <f>SUMIF('Как есть'!$A$63:$A$70,Доп.расчеты!$A180,'Как есть'!ER$63:ER$70)</f>
        <v>0</v>
      </c>
      <c r="ER180">
        <f>SUMIF('Как есть'!$A$63:$A$70,Доп.расчеты!$A180,'Как есть'!ES$63:ES$70)</f>
        <v>0</v>
      </c>
      <c r="ES180">
        <f>SUMIF('Как есть'!$A$63:$A$70,Доп.расчеты!$A180,'Как есть'!ET$63:ET$70)</f>
        <v>0</v>
      </c>
      <c r="ET180">
        <f>SUMIF('Как есть'!$A$63:$A$70,Доп.расчеты!$A180,'Как есть'!EU$63:EU$70)</f>
        <v>0</v>
      </c>
      <c r="EU180">
        <f>SUMIF('Как есть'!$A$63:$A$70,Доп.расчеты!$A180,'Как есть'!EV$63:EV$70)</f>
        <v>0</v>
      </c>
      <c r="EV180">
        <f>SUMIF('Как есть'!$A$63:$A$70,Доп.расчеты!$A180,'Как есть'!EW$63:EW$70)</f>
        <v>0</v>
      </c>
      <c r="EW180">
        <f>SUMIF('Как есть'!$A$63:$A$70,Доп.расчеты!$A180,'Как есть'!EX$63:EX$70)</f>
        <v>0</v>
      </c>
      <c r="EX180">
        <f>SUMIF('Как есть'!$A$63:$A$70,Доп.расчеты!$A180,'Как есть'!EY$63:EY$70)</f>
        <v>0</v>
      </c>
      <c r="EY180">
        <f>SUMIF('Как есть'!$A$63:$A$70,Доп.расчеты!$A180,'Как есть'!EZ$63:EZ$70)</f>
        <v>0</v>
      </c>
      <c r="EZ180">
        <f>SUMIF('Как есть'!$A$63:$A$70,Доп.расчеты!$A180,'Как есть'!FA$63:FA$70)</f>
        <v>0</v>
      </c>
      <c r="FA180">
        <f>SUMIF('Как есть'!$A$63:$A$70,Доп.расчеты!$A180,'Как есть'!FB$63:FB$70)</f>
        <v>0</v>
      </c>
      <c r="FB180">
        <f>SUMIF('Как есть'!$A$63:$A$70,Доп.расчеты!$A180,'Как есть'!FC$63:FC$70)</f>
        <v>0</v>
      </c>
      <c r="FC180">
        <f>SUMIF('Как есть'!$A$63:$A$70,Доп.расчеты!$A180,'Как есть'!FD$63:FD$70)</f>
        <v>0</v>
      </c>
      <c r="FD180">
        <f>SUMIF('Как есть'!$A$63:$A$70,Доп.расчеты!$A180,'Как есть'!FE$63:FE$70)</f>
        <v>0</v>
      </c>
      <c r="FE180">
        <f>SUMIF('Как есть'!$A$63:$A$70,Доп.расчеты!$A180,'Как есть'!FF$63:FF$70)</f>
        <v>0</v>
      </c>
      <c r="FF180">
        <f>SUMIF('Как есть'!$A$63:$A$70,Доп.расчеты!$A180,'Как есть'!FG$63:FG$70)</f>
        <v>0</v>
      </c>
      <c r="FG180">
        <f>SUMIF('Как есть'!$A$63:$A$70,Доп.расчеты!$A180,'Как есть'!FH$63:FH$70)</f>
        <v>0</v>
      </c>
      <c r="FH180">
        <f>SUMIF('Как есть'!$A$63:$A$70,Доп.расчеты!$A180,'Как есть'!FI$63:FI$70)</f>
        <v>0</v>
      </c>
      <c r="FI180">
        <f>SUMIF('Как есть'!$A$63:$A$70,Доп.расчеты!$A180,'Как есть'!FJ$63:FJ$70)</f>
        <v>0</v>
      </c>
      <c r="FJ180">
        <f>SUMIF('Как есть'!$A$63:$A$70,Доп.расчеты!$A180,'Как есть'!FK$63:FK$70)</f>
        <v>0</v>
      </c>
      <c r="FK180">
        <f>SUMIF('Как есть'!$A$63:$A$70,Доп.расчеты!$A180,'Как есть'!FL$63:FL$70)</f>
        <v>0</v>
      </c>
      <c r="FL180">
        <f>SUMIF('Как есть'!$A$63:$A$70,Доп.расчеты!$A180,'Как есть'!FM$63:FM$70)</f>
        <v>0</v>
      </c>
      <c r="FM180">
        <f>SUMIF('Как есть'!$A$63:$A$70,Доп.расчеты!$A180,'Как есть'!FN$63:FN$70)</f>
        <v>0</v>
      </c>
      <c r="FN180">
        <f>SUMIF('Как есть'!$A$63:$A$70,Доп.расчеты!$A180,'Как есть'!FO$63:FO$70)</f>
        <v>0</v>
      </c>
      <c r="FO180">
        <f>SUMIF('Как есть'!$A$63:$A$70,Доп.расчеты!$A180,'Как есть'!FP$63:FP$70)</f>
        <v>0</v>
      </c>
      <c r="FP180">
        <f>SUMIF('Как есть'!$A$63:$A$70,Доп.расчеты!$A180,'Как есть'!FQ$63:FQ$70)</f>
        <v>0</v>
      </c>
      <c r="FQ180">
        <f>SUMIF('Как есть'!$A$63:$A$70,Доп.расчеты!$A180,'Как есть'!FR$63:FR$70)</f>
        <v>0</v>
      </c>
      <c r="FR180">
        <f>SUMIF('Как есть'!$A$63:$A$70,Доп.расчеты!$A180,'Как есть'!FS$63:FS$70)</f>
        <v>0</v>
      </c>
      <c r="FS180">
        <f>SUMIF('Как есть'!$A$63:$A$70,Доп.расчеты!$A180,'Как есть'!FT$63:FT$70)</f>
        <v>0</v>
      </c>
      <c r="FT180">
        <f>SUMIF('Как есть'!$A$63:$A$70,Доп.расчеты!$A180,'Как есть'!FU$63:FU$70)</f>
        <v>0</v>
      </c>
      <c r="FU180">
        <f>SUMIF('Как есть'!$A$63:$A$70,Доп.расчеты!$A180,'Как есть'!FV$63:FV$70)</f>
        <v>0</v>
      </c>
      <c r="FV180">
        <f>SUMIF('Как есть'!$A$63:$A$70,Доп.расчеты!$A180,'Как есть'!FW$63:FW$70)</f>
        <v>0</v>
      </c>
      <c r="FW180">
        <f>SUMIF('Как есть'!$A$63:$A$70,Доп.расчеты!$A180,'Как есть'!FX$63:FX$70)</f>
        <v>0</v>
      </c>
      <c r="FX180">
        <f>SUMIF('Как есть'!$A$63:$A$70,Доп.расчеты!$A180,'Как есть'!FY$63:FY$70)</f>
        <v>0</v>
      </c>
      <c r="FY180">
        <f>SUMIF('Как есть'!$A$63:$A$70,Доп.расчеты!$A180,'Как есть'!FZ$63:FZ$70)</f>
        <v>0</v>
      </c>
      <c r="FZ180">
        <f>SUMIF('Как есть'!$A$63:$A$70,Доп.расчеты!$A180,'Как есть'!GA$63:GA$70)</f>
        <v>0</v>
      </c>
      <c r="GA180">
        <f>SUMIF('Как есть'!$A$63:$A$70,Доп.расчеты!$A180,'Как есть'!GB$63:GB$70)</f>
        <v>0</v>
      </c>
      <c r="GB180">
        <f>SUMIF('Как есть'!$A$63:$A$70,Доп.расчеты!$A180,'Как есть'!GC$63:GC$70)</f>
        <v>0</v>
      </c>
      <c r="GC180">
        <f>SUMIF('Как есть'!$A$63:$A$70,Доп.расчеты!$A180,'Как есть'!GD$63:GD$70)</f>
        <v>0</v>
      </c>
      <c r="GD180">
        <f>SUMIF('Как есть'!$A$63:$A$70,Доп.расчеты!$A180,'Как есть'!GE$63:GE$70)</f>
        <v>0</v>
      </c>
      <c r="GE180">
        <f>SUMIF('Как есть'!$A$63:$A$70,Доп.расчеты!$A180,'Как есть'!GF$63:GF$70)</f>
        <v>0</v>
      </c>
      <c r="GF180">
        <f>SUMIF('Как есть'!$A$63:$A$70,Доп.расчеты!$A180,'Как есть'!GG$63:GG$70)</f>
        <v>0</v>
      </c>
      <c r="GG180">
        <f>SUMIF('Как есть'!$A$63:$A$70,Доп.расчеты!$A180,'Как есть'!GH$63:GH$70)</f>
        <v>0</v>
      </c>
      <c r="GH180">
        <f>SUMIF('Как есть'!$A$63:$A$70,Доп.расчеты!$A180,'Как есть'!GI$63:GI$70)</f>
        <v>0</v>
      </c>
      <c r="GI180">
        <f>SUMIF('Как есть'!$A$63:$A$70,Доп.расчеты!$A180,'Как есть'!GJ$63:GJ$70)</f>
        <v>0</v>
      </c>
      <c r="GJ180">
        <f>SUMIF('Как есть'!$A$63:$A$70,Доп.расчеты!$A180,'Как есть'!GK$63:GK$70)</f>
        <v>0</v>
      </c>
      <c r="GK180">
        <f>SUMIF('Как есть'!$A$63:$A$70,Доп.расчеты!$A180,'Как есть'!GL$63:GL$70)</f>
        <v>0</v>
      </c>
      <c r="GL180">
        <f>SUMIF('Как есть'!$A$63:$A$70,Доп.расчеты!$A180,'Как есть'!GM$63:GM$70)</f>
        <v>0</v>
      </c>
      <c r="GM180">
        <f>SUMIF('Как есть'!$A$63:$A$70,Доп.расчеты!$A180,'Как есть'!GN$63:GN$70)</f>
        <v>0</v>
      </c>
      <c r="GN180">
        <f>SUMIF('Как есть'!$A$63:$A$70,Доп.расчеты!$A180,'Как есть'!GO$63:GO$70)</f>
        <v>0</v>
      </c>
      <c r="GO180">
        <f>SUMIF('Как есть'!$A$63:$A$70,Доп.расчеты!$A180,'Как есть'!GP$63:GP$70)</f>
        <v>0</v>
      </c>
      <c r="GP180">
        <f>SUMIF('Как есть'!$A$63:$A$70,Доп.расчеты!$A180,'Как есть'!GQ$63:GQ$70)</f>
        <v>0</v>
      </c>
      <c r="GQ180">
        <f>SUMIF('Как есть'!$A$63:$A$70,Доп.расчеты!$A180,'Как есть'!GR$63:GR$70)</f>
        <v>0</v>
      </c>
      <c r="GR180">
        <f>SUMIF('Как есть'!$A$63:$A$70,Доп.расчеты!$A180,'Как есть'!GS$63:GS$70)</f>
        <v>0</v>
      </c>
      <c r="GS180">
        <f>SUMIF('Как есть'!$A$63:$A$70,Доп.расчеты!$A180,'Как есть'!GT$63:GT$70)</f>
        <v>0</v>
      </c>
      <c r="GT180">
        <f>SUMIF('Как есть'!$A$63:$A$70,Доп.расчеты!$A180,'Как есть'!GU$63:GU$70)</f>
        <v>0</v>
      </c>
    </row>
    <row r="181" spans="1:202" hidden="1" outlineLevel="1">
      <c r="A181" s="238" t="s">
        <v>115</v>
      </c>
      <c r="B181">
        <f>SUMIF('Как есть'!$A$63:$A$70,Доп.расчеты!$A181,'Как есть'!C$63:C$70)</f>
        <v>0</v>
      </c>
      <c r="C181">
        <f>SUMIF('Как есть'!$A$63:$A$70,Доп.расчеты!$A181,'Как есть'!D$63:D$70)</f>
        <v>0</v>
      </c>
      <c r="D181">
        <f>SUMIF('Как есть'!$A$63:$A$70,Доп.расчеты!$A181,'Как есть'!E$63:E$70)</f>
        <v>0</v>
      </c>
      <c r="E181">
        <f>SUMIF('Как есть'!$A$63:$A$70,Доп.расчеты!$A181,'Как есть'!F$63:F$70)</f>
        <v>0</v>
      </c>
      <c r="F181">
        <f>SUMIF('Как есть'!$A$63:$A$70,Доп.расчеты!$A181,'Как есть'!G$63:G$70)</f>
        <v>0</v>
      </c>
      <c r="G181">
        <f>SUMIF('Как есть'!$A$63:$A$70,Доп.расчеты!$A181,'Как есть'!H$63:H$70)</f>
        <v>0</v>
      </c>
      <c r="H181">
        <f>SUMIF('Как есть'!$A$63:$A$70,Доп.расчеты!$A181,'Как есть'!I$63:I$70)</f>
        <v>0</v>
      </c>
      <c r="I181">
        <f>SUMIF('Как есть'!$A$63:$A$70,Доп.расчеты!$A181,'Как есть'!J$63:J$70)</f>
        <v>0</v>
      </c>
      <c r="J181">
        <f>SUMIF('Как есть'!$A$63:$A$70,Доп.расчеты!$A181,'Как есть'!K$63:K$70)</f>
        <v>0</v>
      </c>
      <c r="K181">
        <f>SUMIF('Как есть'!$A$63:$A$70,Доп.расчеты!$A181,'Как есть'!L$63:L$70)</f>
        <v>0</v>
      </c>
      <c r="L181">
        <f>SUMIF('Как есть'!$A$63:$A$70,Доп.расчеты!$A181,'Как есть'!M$63:M$70)</f>
        <v>0</v>
      </c>
      <c r="M181">
        <f>SUMIF('Как есть'!$A$63:$A$70,Доп.расчеты!$A181,'Как есть'!N$63:N$70)</f>
        <v>0</v>
      </c>
      <c r="N181">
        <f>SUMIF('Как есть'!$A$63:$A$70,Доп.расчеты!$A181,'Как есть'!O$63:O$70)</f>
        <v>0</v>
      </c>
      <c r="O181">
        <f>SUMIF('Как есть'!$A$63:$A$70,Доп.расчеты!$A181,'Как есть'!P$63:P$70)</f>
        <v>0</v>
      </c>
      <c r="P181">
        <f>SUMIF('Как есть'!$A$63:$A$70,Доп.расчеты!$A181,'Как есть'!Q$63:Q$70)</f>
        <v>0</v>
      </c>
      <c r="Q181">
        <f>SUMIF('Как есть'!$A$63:$A$70,Доп.расчеты!$A181,'Как есть'!R$63:R$70)</f>
        <v>0</v>
      </c>
      <c r="R181">
        <f>SUMIF('Как есть'!$A$63:$A$70,Доп.расчеты!$A181,'Как есть'!S$63:S$70)</f>
        <v>0</v>
      </c>
      <c r="S181">
        <f>SUMIF('Как есть'!$A$63:$A$70,Доп.расчеты!$A181,'Как есть'!T$63:T$70)</f>
        <v>0</v>
      </c>
      <c r="T181">
        <f>SUMIF('Как есть'!$A$63:$A$70,Доп.расчеты!$A181,'Как есть'!U$63:U$70)</f>
        <v>0</v>
      </c>
      <c r="U181">
        <f>SUMIF('Как есть'!$A$63:$A$70,Доп.расчеты!$A181,'Как есть'!V$63:V$70)</f>
        <v>0</v>
      </c>
      <c r="V181">
        <f>SUMIF('Как есть'!$A$63:$A$70,Доп.расчеты!$A181,'Как есть'!W$63:W$70)</f>
        <v>0</v>
      </c>
      <c r="W181">
        <f>SUMIF('Как есть'!$A$63:$A$70,Доп.расчеты!$A181,'Как есть'!X$63:X$70)</f>
        <v>0</v>
      </c>
      <c r="X181">
        <f>SUMIF('Как есть'!$A$63:$A$70,Доп.расчеты!$A181,'Как есть'!Y$63:Y$70)</f>
        <v>0</v>
      </c>
      <c r="Y181">
        <f>SUMIF('Как есть'!$A$63:$A$70,Доп.расчеты!$A181,'Как есть'!Z$63:Z$70)</f>
        <v>0</v>
      </c>
      <c r="Z181">
        <f>SUMIF('Как есть'!$A$63:$A$70,Доп.расчеты!$A181,'Как есть'!AA$63:AA$70)</f>
        <v>0</v>
      </c>
      <c r="AA181">
        <f>SUMIF('Как есть'!$A$63:$A$70,Доп.расчеты!$A181,'Как есть'!AB$63:AB$70)</f>
        <v>0</v>
      </c>
      <c r="AB181">
        <f>SUMIF('Как есть'!$A$63:$A$70,Доп.расчеты!$A181,'Как есть'!AC$63:AC$70)</f>
        <v>0</v>
      </c>
      <c r="AC181">
        <f>SUMIF('Как есть'!$A$63:$A$70,Доп.расчеты!$A181,'Как есть'!AD$63:AD$70)</f>
        <v>0</v>
      </c>
      <c r="AD181">
        <f>SUMIF('Как есть'!$A$63:$A$70,Доп.расчеты!$A181,'Как есть'!AE$63:AE$70)</f>
        <v>0</v>
      </c>
      <c r="AE181">
        <f>SUMIF('Как есть'!$A$63:$A$70,Доп.расчеты!$A181,'Как есть'!AF$63:AF$70)</f>
        <v>0</v>
      </c>
      <c r="AF181">
        <f>SUMIF('Как есть'!$A$63:$A$70,Доп.расчеты!$A181,'Как есть'!AG$63:AG$70)</f>
        <v>0</v>
      </c>
      <c r="AG181">
        <f>SUMIF('Как есть'!$A$63:$A$70,Доп.расчеты!$A181,'Как есть'!AH$63:AH$70)</f>
        <v>0</v>
      </c>
      <c r="AH181">
        <f>SUMIF('Как есть'!$A$63:$A$70,Доп.расчеты!$A181,'Как есть'!AI$63:AI$70)</f>
        <v>0</v>
      </c>
      <c r="AI181">
        <f>SUMIF('Как есть'!$A$63:$A$70,Доп.расчеты!$A181,'Как есть'!AJ$63:AJ$70)</f>
        <v>0</v>
      </c>
      <c r="AJ181">
        <f>SUMIF('Как есть'!$A$63:$A$70,Доп.расчеты!$A181,'Как есть'!AK$63:AK$70)</f>
        <v>0</v>
      </c>
      <c r="AK181">
        <f>SUMIF('Как есть'!$A$63:$A$70,Доп.расчеты!$A181,'Как есть'!AL$63:AL$70)</f>
        <v>0</v>
      </c>
      <c r="AL181">
        <f>SUMIF('Как есть'!$A$63:$A$70,Доп.расчеты!$A181,'Как есть'!AM$63:AM$70)</f>
        <v>0</v>
      </c>
      <c r="AM181">
        <f>SUMIF('Как есть'!$A$63:$A$70,Доп.расчеты!$A181,'Как есть'!AN$63:AN$70)</f>
        <v>0</v>
      </c>
      <c r="AN181">
        <f>SUMIF('Как есть'!$A$63:$A$70,Доп.расчеты!$A181,'Как есть'!AO$63:AO$70)</f>
        <v>0</v>
      </c>
      <c r="AO181">
        <f>SUMIF('Как есть'!$A$63:$A$70,Доп.расчеты!$A181,'Как есть'!AP$63:AP$70)</f>
        <v>0</v>
      </c>
      <c r="AP181">
        <f>SUMIF('Как есть'!$A$63:$A$70,Доп.расчеты!$A181,'Как есть'!AQ$63:AQ$70)</f>
        <v>0</v>
      </c>
      <c r="AQ181">
        <f>SUMIF('Как есть'!$A$63:$A$70,Доп.расчеты!$A181,'Как есть'!AR$63:AR$70)</f>
        <v>0</v>
      </c>
      <c r="AR181">
        <f>SUMIF('Как есть'!$A$63:$A$70,Доп.расчеты!$A181,'Как есть'!AS$63:AS$70)</f>
        <v>0</v>
      </c>
      <c r="AS181">
        <f>SUMIF('Как есть'!$A$63:$A$70,Доп.расчеты!$A181,'Как есть'!AT$63:AT$70)</f>
        <v>0</v>
      </c>
      <c r="AT181">
        <f>SUMIF('Как есть'!$A$63:$A$70,Доп.расчеты!$A181,'Как есть'!AU$63:AU$70)</f>
        <v>0</v>
      </c>
      <c r="AU181">
        <f>SUMIF('Как есть'!$A$63:$A$70,Доп.расчеты!$A181,'Как есть'!AV$63:AV$70)</f>
        <v>0</v>
      </c>
      <c r="AV181">
        <f>SUMIF('Как есть'!$A$63:$A$70,Доп.расчеты!$A181,'Как есть'!AW$63:AW$70)</f>
        <v>0</v>
      </c>
      <c r="AW181">
        <f>SUMIF('Как есть'!$A$63:$A$70,Доп.расчеты!$A181,'Как есть'!AX$63:AX$70)</f>
        <v>0</v>
      </c>
      <c r="AX181">
        <f>SUMIF('Как есть'!$A$63:$A$70,Доп.расчеты!$A181,'Как есть'!AY$63:AY$70)</f>
        <v>0</v>
      </c>
      <c r="AY181">
        <f>SUMIF('Как есть'!$A$63:$A$70,Доп.расчеты!$A181,'Как есть'!AZ$63:AZ$70)</f>
        <v>0</v>
      </c>
      <c r="AZ181">
        <f>SUMIF('Как есть'!$A$63:$A$70,Доп.расчеты!$A181,'Как есть'!BA$63:BA$70)</f>
        <v>0</v>
      </c>
      <c r="BA181">
        <f>SUMIF('Как есть'!$A$63:$A$70,Доп.расчеты!$A181,'Как есть'!BB$63:BB$70)</f>
        <v>0</v>
      </c>
      <c r="BB181">
        <f>SUMIF('Как есть'!$A$63:$A$70,Доп.расчеты!$A181,'Как есть'!BC$63:BC$70)</f>
        <v>0</v>
      </c>
      <c r="BC181">
        <f>SUMIF('Как есть'!$A$63:$A$70,Доп.расчеты!$A181,'Как есть'!BD$63:BD$70)</f>
        <v>0</v>
      </c>
      <c r="BD181">
        <f>SUMIF('Как есть'!$A$63:$A$70,Доп.расчеты!$A181,'Как есть'!BE$63:BE$70)</f>
        <v>0</v>
      </c>
      <c r="BE181">
        <f>SUMIF('Как есть'!$A$63:$A$70,Доп.расчеты!$A181,'Как есть'!BF$63:BF$70)</f>
        <v>0</v>
      </c>
      <c r="BF181">
        <f>SUMIF('Как есть'!$A$63:$A$70,Доп.расчеты!$A181,'Как есть'!BG$63:BG$70)</f>
        <v>0</v>
      </c>
      <c r="BG181">
        <f>SUMIF('Как есть'!$A$63:$A$70,Доп.расчеты!$A181,'Как есть'!BH$63:BH$70)</f>
        <v>0</v>
      </c>
      <c r="BH181">
        <f>SUMIF('Как есть'!$A$63:$A$70,Доп.расчеты!$A181,'Как есть'!BI$63:BI$70)</f>
        <v>0</v>
      </c>
      <c r="BI181">
        <f>SUMIF('Как есть'!$A$63:$A$70,Доп.расчеты!$A181,'Как есть'!BJ$63:BJ$70)</f>
        <v>0</v>
      </c>
      <c r="BJ181">
        <f>SUMIF('Как есть'!$A$63:$A$70,Доп.расчеты!$A181,'Как есть'!BK$63:BK$70)</f>
        <v>0</v>
      </c>
      <c r="BK181">
        <f>SUMIF('Как есть'!$A$63:$A$70,Доп.расчеты!$A181,'Как есть'!BL$63:BL$70)</f>
        <v>0</v>
      </c>
      <c r="BL181">
        <f>SUMIF('Как есть'!$A$63:$A$70,Доп.расчеты!$A181,'Как есть'!BM$63:BM$70)</f>
        <v>0</v>
      </c>
      <c r="BM181">
        <f>SUMIF('Как есть'!$A$63:$A$70,Доп.расчеты!$A181,'Как есть'!BN$63:BN$70)</f>
        <v>0</v>
      </c>
      <c r="BN181">
        <f>SUMIF('Как есть'!$A$63:$A$70,Доп.расчеты!$A181,'Как есть'!BO$63:BO$70)</f>
        <v>0</v>
      </c>
      <c r="BO181">
        <f>SUMIF('Как есть'!$A$63:$A$70,Доп.расчеты!$A181,'Как есть'!BP$63:BP$70)</f>
        <v>0</v>
      </c>
      <c r="BP181">
        <f>SUMIF('Как есть'!$A$63:$A$70,Доп.расчеты!$A181,'Как есть'!BQ$63:BQ$70)</f>
        <v>0</v>
      </c>
      <c r="BQ181">
        <f>SUMIF('Как есть'!$A$63:$A$70,Доп.расчеты!$A181,'Как есть'!BR$63:BR$70)</f>
        <v>0</v>
      </c>
      <c r="BR181">
        <f>SUMIF('Как есть'!$A$63:$A$70,Доп.расчеты!$A181,'Как есть'!BS$63:BS$70)</f>
        <v>0</v>
      </c>
      <c r="BS181">
        <f>SUMIF('Как есть'!$A$63:$A$70,Доп.расчеты!$A181,'Как есть'!BT$63:BT$70)</f>
        <v>0</v>
      </c>
      <c r="BT181">
        <f>SUMIF('Как есть'!$A$63:$A$70,Доп.расчеты!$A181,'Как есть'!BU$63:BU$70)</f>
        <v>0</v>
      </c>
      <c r="BU181">
        <f>SUMIF('Как есть'!$A$63:$A$70,Доп.расчеты!$A181,'Как есть'!BV$63:BV$70)</f>
        <v>0</v>
      </c>
      <c r="BV181">
        <f>SUMIF('Как есть'!$A$63:$A$70,Доп.расчеты!$A181,'Как есть'!BW$63:BW$70)</f>
        <v>0</v>
      </c>
      <c r="BW181">
        <f>SUMIF('Как есть'!$A$63:$A$70,Доп.расчеты!$A181,'Как есть'!BX$63:BX$70)</f>
        <v>0</v>
      </c>
      <c r="BX181">
        <f>SUMIF('Как есть'!$A$63:$A$70,Доп.расчеты!$A181,'Как есть'!BY$63:BY$70)</f>
        <v>0</v>
      </c>
      <c r="BY181">
        <f>SUMIF('Как есть'!$A$63:$A$70,Доп.расчеты!$A181,'Как есть'!BZ$63:BZ$70)</f>
        <v>0</v>
      </c>
      <c r="BZ181">
        <f>SUMIF('Как есть'!$A$63:$A$70,Доп.расчеты!$A181,'Как есть'!CA$63:CA$70)</f>
        <v>0</v>
      </c>
      <c r="CA181">
        <f>SUMIF('Как есть'!$A$63:$A$70,Доп.расчеты!$A181,'Как есть'!CB$63:CB$70)</f>
        <v>0</v>
      </c>
      <c r="CB181">
        <f>SUMIF('Как есть'!$A$63:$A$70,Доп.расчеты!$A181,'Как есть'!CC$63:CC$70)</f>
        <v>0</v>
      </c>
      <c r="CC181">
        <f>SUMIF('Как есть'!$A$63:$A$70,Доп.расчеты!$A181,'Как есть'!CD$63:CD$70)</f>
        <v>0</v>
      </c>
      <c r="CD181">
        <f>SUMIF('Как есть'!$A$63:$A$70,Доп.расчеты!$A181,'Как есть'!CE$63:CE$70)</f>
        <v>0</v>
      </c>
      <c r="CE181">
        <f>SUMIF('Как есть'!$A$63:$A$70,Доп.расчеты!$A181,'Как есть'!CF$63:CF$70)</f>
        <v>0</v>
      </c>
      <c r="CF181">
        <f>SUMIF('Как есть'!$A$63:$A$70,Доп.расчеты!$A181,'Как есть'!CG$63:CG$70)</f>
        <v>0</v>
      </c>
      <c r="CG181">
        <f>SUMIF('Как есть'!$A$63:$A$70,Доп.расчеты!$A181,'Как есть'!CH$63:CH$70)</f>
        <v>0</v>
      </c>
      <c r="CH181">
        <f>SUMIF('Как есть'!$A$63:$A$70,Доп.расчеты!$A181,'Как есть'!CI$63:CI$70)</f>
        <v>0</v>
      </c>
      <c r="CI181">
        <f>SUMIF('Как есть'!$A$63:$A$70,Доп.расчеты!$A181,'Как есть'!CJ$63:CJ$70)</f>
        <v>0</v>
      </c>
      <c r="CJ181">
        <f>SUMIF('Как есть'!$A$63:$A$70,Доп.расчеты!$A181,'Как есть'!CK$63:CK$70)</f>
        <v>0</v>
      </c>
      <c r="CK181">
        <f>SUMIF('Как есть'!$A$63:$A$70,Доп.расчеты!$A181,'Как есть'!CL$63:CL$70)</f>
        <v>0</v>
      </c>
      <c r="CL181">
        <f>SUMIF('Как есть'!$A$63:$A$70,Доп.расчеты!$A181,'Как есть'!CM$63:CM$70)</f>
        <v>0</v>
      </c>
      <c r="CM181">
        <f>SUMIF('Как есть'!$A$63:$A$70,Доп.расчеты!$A181,'Как есть'!CN$63:CN$70)</f>
        <v>0</v>
      </c>
      <c r="CN181">
        <f>SUMIF('Как есть'!$A$63:$A$70,Доп.расчеты!$A181,'Как есть'!CO$63:CO$70)</f>
        <v>0</v>
      </c>
      <c r="CO181">
        <f>SUMIF('Как есть'!$A$63:$A$70,Доп.расчеты!$A181,'Как есть'!CP$63:CP$70)</f>
        <v>0</v>
      </c>
      <c r="CP181">
        <f>SUMIF('Как есть'!$A$63:$A$70,Доп.расчеты!$A181,'Как есть'!CQ$63:CQ$70)</f>
        <v>0</v>
      </c>
      <c r="CQ181">
        <f>SUMIF('Как есть'!$A$63:$A$70,Доп.расчеты!$A181,'Как есть'!CR$63:CR$70)</f>
        <v>0</v>
      </c>
      <c r="CR181">
        <f>SUMIF('Как есть'!$A$63:$A$70,Доп.расчеты!$A181,'Как есть'!CS$63:CS$70)</f>
        <v>0</v>
      </c>
      <c r="CS181">
        <f>SUMIF('Как есть'!$A$63:$A$70,Доп.расчеты!$A181,'Как есть'!CT$63:CT$70)</f>
        <v>0</v>
      </c>
      <c r="CT181">
        <f>SUMIF('Как есть'!$A$63:$A$70,Доп.расчеты!$A181,'Как есть'!CU$63:CU$70)</f>
        <v>0</v>
      </c>
      <c r="CU181">
        <f>SUMIF('Как есть'!$A$63:$A$70,Доп.расчеты!$A181,'Как есть'!CV$63:CV$70)</f>
        <v>0</v>
      </c>
      <c r="CV181">
        <f>SUMIF('Как есть'!$A$63:$A$70,Доп.расчеты!$A181,'Как есть'!CW$63:CW$70)</f>
        <v>0</v>
      </c>
      <c r="CW181">
        <f>SUMIF('Как есть'!$A$63:$A$70,Доп.расчеты!$A181,'Как есть'!CX$63:CX$70)</f>
        <v>0</v>
      </c>
      <c r="CX181">
        <f>SUMIF('Как есть'!$A$63:$A$70,Доп.расчеты!$A181,'Как есть'!CY$63:CY$70)</f>
        <v>0</v>
      </c>
      <c r="CY181">
        <f>SUMIF('Как есть'!$A$63:$A$70,Доп.расчеты!$A181,'Как есть'!CZ$63:CZ$70)</f>
        <v>0</v>
      </c>
      <c r="CZ181">
        <f>SUMIF('Как есть'!$A$63:$A$70,Доп.расчеты!$A181,'Как есть'!DA$63:DA$70)</f>
        <v>0</v>
      </c>
      <c r="DA181">
        <f>SUMIF('Как есть'!$A$63:$A$70,Доп.расчеты!$A181,'Как есть'!DB$63:DB$70)</f>
        <v>0</v>
      </c>
      <c r="DB181">
        <f>SUMIF('Как есть'!$A$63:$A$70,Доп.расчеты!$A181,'Как есть'!DC$63:DC$70)</f>
        <v>0</v>
      </c>
      <c r="DC181">
        <f>SUMIF('Как есть'!$A$63:$A$70,Доп.расчеты!$A181,'Как есть'!DD$63:DD$70)</f>
        <v>0</v>
      </c>
      <c r="DD181">
        <f>SUMIF('Как есть'!$A$63:$A$70,Доп.расчеты!$A181,'Как есть'!DE$63:DE$70)</f>
        <v>0</v>
      </c>
      <c r="DE181">
        <f>SUMIF('Как есть'!$A$63:$A$70,Доп.расчеты!$A181,'Как есть'!DF$63:DF$70)</f>
        <v>0</v>
      </c>
      <c r="DF181">
        <f>SUMIF('Как есть'!$A$63:$A$70,Доп.расчеты!$A181,'Как есть'!DG$63:DG$70)</f>
        <v>0</v>
      </c>
      <c r="DG181">
        <f>SUMIF('Как есть'!$A$63:$A$70,Доп.расчеты!$A181,'Как есть'!DH$63:DH$70)</f>
        <v>0</v>
      </c>
      <c r="DH181">
        <f>SUMIF('Как есть'!$A$63:$A$70,Доп.расчеты!$A181,'Как есть'!DI$63:DI$70)</f>
        <v>0</v>
      </c>
      <c r="DI181">
        <f>SUMIF('Как есть'!$A$63:$A$70,Доп.расчеты!$A181,'Как есть'!DJ$63:DJ$70)</f>
        <v>0</v>
      </c>
      <c r="DJ181">
        <f>SUMIF('Как есть'!$A$63:$A$70,Доп.расчеты!$A181,'Как есть'!DK$63:DK$70)</f>
        <v>0</v>
      </c>
      <c r="DK181">
        <f>SUMIF('Как есть'!$A$63:$A$70,Доп.расчеты!$A181,'Как есть'!DL$63:DL$70)</f>
        <v>0</v>
      </c>
      <c r="DL181">
        <f>SUMIF('Как есть'!$A$63:$A$70,Доп.расчеты!$A181,'Как есть'!DM$63:DM$70)</f>
        <v>0</v>
      </c>
      <c r="DM181">
        <f>SUMIF('Как есть'!$A$63:$A$70,Доп.расчеты!$A181,'Как есть'!DN$63:DN$70)</f>
        <v>0</v>
      </c>
      <c r="DN181">
        <f>SUMIF('Как есть'!$A$63:$A$70,Доп.расчеты!$A181,'Как есть'!DO$63:DO$70)</f>
        <v>0</v>
      </c>
      <c r="DO181">
        <f>SUMIF('Как есть'!$A$63:$A$70,Доп.расчеты!$A181,'Как есть'!DP$63:DP$70)</f>
        <v>0</v>
      </c>
      <c r="DP181">
        <f>SUMIF('Как есть'!$A$63:$A$70,Доп.расчеты!$A181,'Как есть'!DQ$63:DQ$70)</f>
        <v>0</v>
      </c>
      <c r="DQ181">
        <f>SUMIF('Как есть'!$A$63:$A$70,Доп.расчеты!$A181,'Как есть'!DR$63:DR$70)</f>
        <v>0</v>
      </c>
      <c r="DR181">
        <f>SUMIF('Как есть'!$A$63:$A$70,Доп.расчеты!$A181,'Как есть'!DS$63:DS$70)</f>
        <v>0</v>
      </c>
      <c r="DS181">
        <f>SUMIF('Как есть'!$A$63:$A$70,Доп.расчеты!$A181,'Как есть'!DT$63:DT$70)</f>
        <v>0</v>
      </c>
      <c r="DT181">
        <f>SUMIF('Как есть'!$A$63:$A$70,Доп.расчеты!$A181,'Как есть'!DU$63:DU$70)</f>
        <v>0</v>
      </c>
      <c r="DU181">
        <f>SUMIF('Как есть'!$A$63:$A$70,Доп.расчеты!$A181,'Как есть'!DV$63:DV$70)</f>
        <v>0</v>
      </c>
      <c r="DV181">
        <f>SUMIF('Как есть'!$A$63:$A$70,Доп.расчеты!$A181,'Как есть'!DW$63:DW$70)</f>
        <v>0</v>
      </c>
      <c r="DW181">
        <f>SUMIF('Как есть'!$A$63:$A$70,Доп.расчеты!$A181,'Как есть'!DX$63:DX$70)</f>
        <v>0</v>
      </c>
      <c r="DX181">
        <f>SUMIF('Как есть'!$A$63:$A$70,Доп.расчеты!$A181,'Как есть'!DY$63:DY$70)</f>
        <v>0</v>
      </c>
      <c r="DY181">
        <f>SUMIF('Как есть'!$A$63:$A$70,Доп.расчеты!$A181,'Как есть'!DZ$63:DZ$70)</f>
        <v>0</v>
      </c>
      <c r="DZ181">
        <f>SUMIF('Как есть'!$A$63:$A$70,Доп.расчеты!$A181,'Как есть'!EA$63:EA$70)</f>
        <v>0</v>
      </c>
      <c r="EA181">
        <f>SUMIF('Как есть'!$A$63:$A$70,Доп.расчеты!$A181,'Как есть'!EB$63:EB$70)</f>
        <v>0</v>
      </c>
      <c r="EB181">
        <f>SUMIF('Как есть'!$A$63:$A$70,Доп.расчеты!$A181,'Как есть'!EC$63:EC$70)</f>
        <v>0</v>
      </c>
      <c r="EC181">
        <f>SUMIF('Как есть'!$A$63:$A$70,Доп.расчеты!$A181,'Как есть'!ED$63:ED$70)</f>
        <v>0</v>
      </c>
      <c r="ED181">
        <f>SUMIF('Как есть'!$A$63:$A$70,Доп.расчеты!$A181,'Как есть'!EE$63:EE$70)</f>
        <v>0</v>
      </c>
      <c r="EE181">
        <f>SUMIF('Как есть'!$A$63:$A$70,Доп.расчеты!$A181,'Как есть'!EF$63:EF$70)</f>
        <v>0</v>
      </c>
      <c r="EF181">
        <f>SUMIF('Как есть'!$A$63:$A$70,Доп.расчеты!$A181,'Как есть'!EG$63:EG$70)</f>
        <v>0</v>
      </c>
      <c r="EG181">
        <f>SUMIF('Как есть'!$A$63:$A$70,Доп.расчеты!$A181,'Как есть'!EH$63:EH$70)</f>
        <v>0</v>
      </c>
      <c r="EH181">
        <f>SUMIF('Как есть'!$A$63:$A$70,Доп.расчеты!$A181,'Как есть'!EI$63:EI$70)</f>
        <v>0</v>
      </c>
      <c r="EI181">
        <f>SUMIF('Как есть'!$A$63:$A$70,Доп.расчеты!$A181,'Как есть'!EJ$63:EJ$70)</f>
        <v>0</v>
      </c>
      <c r="EJ181">
        <f>SUMIF('Как есть'!$A$63:$A$70,Доп.расчеты!$A181,'Как есть'!EK$63:EK$70)</f>
        <v>0</v>
      </c>
      <c r="EK181">
        <f>SUMIF('Как есть'!$A$63:$A$70,Доп.расчеты!$A181,'Как есть'!EL$63:EL$70)</f>
        <v>0</v>
      </c>
      <c r="EL181">
        <f>SUMIF('Как есть'!$A$63:$A$70,Доп.расчеты!$A181,'Как есть'!EM$63:EM$70)</f>
        <v>0</v>
      </c>
      <c r="EM181">
        <f>SUMIF('Как есть'!$A$63:$A$70,Доп.расчеты!$A181,'Как есть'!EN$63:EN$70)</f>
        <v>0</v>
      </c>
      <c r="EN181">
        <f>SUMIF('Как есть'!$A$63:$A$70,Доп.расчеты!$A181,'Как есть'!EO$63:EO$70)</f>
        <v>0</v>
      </c>
      <c r="EO181">
        <f>SUMIF('Как есть'!$A$63:$A$70,Доп.расчеты!$A181,'Как есть'!EP$63:EP$70)</f>
        <v>0</v>
      </c>
      <c r="EP181">
        <f>SUMIF('Как есть'!$A$63:$A$70,Доп.расчеты!$A181,'Как есть'!EQ$63:EQ$70)</f>
        <v>0</v>
      </c>
      <c r="EQ181">
        <f>SUMIF('Как есть'!$A$63:$A$70,Доп.расчеты!$A181,'Как есть'!ER$63:ER$70)</f>
        <v>0</v>
      </c>
      <c r="ER181">
        <f>SUMIF('Как есть'!$A$63:$A$70,Доп.расчеты!$A181,'Как есть'!ES$63:ES$70)</f>
        <v>0</v>
      </c>
      <c r="ES181">
        <f>SUMIF('Как есть'!$A$63:$A$70,Доп.расчеты!$A181,'Как есть'!ET$63:ET$70)</f>
        <v>0</v>
      </c>
      <c r="ET181">
        <f>SUMIF('Как есть'!$A$63:$A$70,Доп.расчеты!$A181,'Как есть'!EU$63:EU$70)</f>
        <v>0</v>
      </c>
      <c r="EU181">
        <f>SUMIF('Как есть'!$A$63:$A$70,Доп.расчеты!$A181,'Как есть'!EV$63:EV$70)</f>
        <v>0</v>
      </c>
      <c r="EV181">
        <f>SUMIF('Как есть'!$A$63:$A$70,Доп.расчеты!$A181,'Как есть'!EW$63:EW$70)</f>
        <v>0</v>
      </c>
      <c r="EW181">
        <f>SUMIF('Как есть'!$A$63:$A$70,Доп.расчеты!$A181,'Как есть'!EX$63:EX$70)</f>
        <v>0</v>
      </c>
      <c r="EX181">
        <f>SUMIF('Как есть'!$A$63:$A$70,Доп.расчеты!$A181,'Как есть'!EY$63:EY$70)</f>
        <v>0</v>
      </c>
      <c r="EY181">
        <f>SUMIF('Как есть'!$A$63:$A$70,Доп.расчеты!$A181,'Как есть'!EZ$63:EZ$70)</f>
        <v>0</v>
      </c>
      <c r="EZ181">
        <f>SUMIF('Как есть'!$A$63:$A$70,Доп.расчеты!$A181,'Как есть'!FA$63:FA$70)</f>
        <v>0</v>
      </c>
      <c r="FA181">
        <f>SUMIF('Как есть'!$A$63:$A$70,Доп.расчеты!$A181,'Как есть'!FB$63:FB$70)</f>
        <v>0</v>
      </c>
      <c r="FB181">
        <f>SUMIF('Как есть'!$A$63:$A$70,Доп.расчеты!$A181,'Как есть'!FC$63:FC$70)</f>
        <v>0</v>
      </c>
      <c r="FC181">
        <f>SUMIF('Как есть'!$A$63:$A$70,Доп.расчеты!$A181,'Как есть'!FD$63:FD$70)</f>
        <v>0</v>
      </c>
      <c r="FD181">
        <f>SUMIF('Как есть'!$A$63:$A$70,Доп.расчеты!$A181,'Как есть'!FE$63:FE$70)</f>
        <v>0</v>
      </c>
      <c r="FE181">
        <f>SUMIF('Как есть'!$A$63:$A$70,Доп.расчеты!$A181,'Как есть'!FF$63:FF$70)</f>
        <v>0</v>
      </c>
      <c r="FF181">
        <f>SUMIF('Как есть'!$A$63:$A$70,Доп.расчеты!$A181,'Как есть'!FG$63:FG$70)</f>
        <v>0</v>
      </c>
      <c r="FG181">
        <f>SUMIF('Как есть'!$A$63:$A$70,Доп.расчеты!$A181,'Как есть'!FH$63:FH$70)</f>
        <v>0</v>
      </c>
      <c r="FH181">
        <f>SUMIF('Как есть'!$A$63:$A$70,Доп.расчеты!$A181,'Как есть'!FI$63:FI$70)</f>
        <v>0</v>
      </c>
      <c r="FI181">
        <f>SUMIF('Как есть'!$A$63:$A$70,Доп.расчеты!$A181,'Как есть'!FJ$63:FJ$70)</f>
        <v>0</v>
      </c>
      <c r="FJ181">
        <f>SUMIF('Как есть'!$A$63:$A$70,Доп.расчеты!$A181,'Как есть'!FK$63:FK$70)</f>
        <v>0</v>
      </c>
      <c r="FK181">
        <f>SUMIF('Как есть'!$A$63:$A$70,Доп.расчеты!$A181,'Как есть'!FL$63:FL$70)</f>
        <v>0</v>
      </c>
      <c r="FL181">
        <f>SUMIF('Как есть'!$A$63:$A$70,Доп.расчеты!$A181,'Как есть'!FM$63:FM$70)</f>
        <v>0</v>
      </c>
      <c r="FM181">
        <f>SUMIF('Как есть'!$A$63:$A$70,Доп.расчеты!$A181,'Как есть'!FN$63:FN$70)</f>
        <v>0</v>
      </c>
      <c r="FN181">
        <f>SUMIF('Как есть'!$A$63:$A$70,Доп.расчеты!$A181,'Как есть'!FO$63:FO$70)</f>
        <v>0</v>
      </c>
      <c r="FO181">
        <f>SUMIF('Как есть'!$A$63:$A$70,Доп.расчеты!$A181,'Как есть'!FP$63:FP$70)</f>
        <v>0</v>
      </c>
      <c r="FP181">
        <f>SUMIF('Как есть'!$A$63:$A$70,Доп.расчеты!$A181,'Как есть'!FQ$63:FQ$70)</f>
        <v>0</v>
      </c>
      <c r="FQ181">
        <f>SUMIF('Как есть'!$A$63:$A$70,Доп.расчеты!$A181,'Как есть'!FR$63:FR$70)</f>
        <v>0</v>
      </c>
      <c r="FR181">
        <f>SUMIF('Как есть'!$A$63:$A$70,Доп.расчеты!$A181,'Как есть'!FS$63:FS$70)</f>
        <v>0</v>
      </c>
      <c r="FS181">
        <f>SUMIF('Как есть'!$A$63:$A$70,Доп.расчеты!$A181,'Как есть'!FT$63:FT$70)</f>
        <v>0</v>
      </c>
      <c r="FT181">
        <f>SUMIF('Как есть'!$A$63:$A$70,Доп.расчеты!$A181,'Как есть'!FU$63:FU$70)</f>
        <v>0</v>
      </c>
      <c r="FU181">
        <f>SUMIF('Как есть'!$A$63:$A$70,Доп.расчеты!$A181,'Как есть'!FV$63:FV$70)</f>
        <v>0</v>
      </c>
      <c r="FV181">
        <f>SUMIF('Как есть'!$A$63:$A$70,Доп.расчеты!$A181,'Как есть'!FW$63:FW$70)</f>
        <v>0</v>
      </c>
      <c r="FW181">
        <f>SUMIF('Как есть'!$A$63:$A$70,Доп.расчеты!$A181,'Как есть'!FX$63:FX$70)</f>
        <v>0</v>
      </c>
      <c r="FX181">
        <f>SUMIF('Как есть'!$A$63:$A$70,Доп.расчеты!$A181,'Как есть'!FY$63:FY$70)</f>
        <v>0</v>
      </c>
      <c r="FY181">
        <f>SUMIF('Как есть'!$A$63:$A$70,Доп.расчеты!$A181,'Как есть'!FZ$63:FZ$70)</f>
        <v>0</v>
      </c>
      <c r="FZ181">
        <f>SUMIF('Как есть'!$A$63:$A$70,Доп.расчеты!$A181,'Как есть'!GA$63:GA$70)</f>
        <v>0</v>
      </c>
      <c r="GA181">
        <f>SUMIF('Как есть'!$A$63:$A$70,Доп.расчеты!$A181,'Как есть'!GB$63:GB$70)</f>
        <v>0</v>
      </c>
      <c r="GB181">
        <f>SUMIF('Как есть'!$A$63:$A$70,Доп.расчеты!$A181,'Как есть'!GC$63:GC$70)</f>
        <v>0</v>
      </c>
      <c r="GC181">
        <f>SUMIF('Как есть'!$A$63:$A$70,Доп.расчеты!$A181,'Как есть'!GD$63:GD$70)</f>
        <v>0</v>
      </c>
      <c r="GD181">
        <f>SUMIF('Как есть'!$A$63:$A$70,Доп.расчеты!$A181,'Как есть'!GE$63:GE$70)</f>
        <v>0</v>
      </c>
      <c r="GE181">
        <f>SUMIF('Как есть'!$A$63:$A$70,Доп.расчеты!$A181,'Как есть'!GF$63:GF$70)</f>
        <v>0</v>
      </c>
      <c r="GF181">
        <f>SUMIF('Как есть'!$A$63:$A$70,Доп.расчеты!$A181,'Как есть'!GG$63:GG$70)</f>
        <v>0</v>
      </c>
      <c r="GG181">
        <f>SUMIF('Как есть'!$A$63:$A$70,Доп.расчеты!$A181,'Как есть'!GH$63:GH$70)</f>
        <v>0</v>
      </c>
      <c r="GH181">
        <f>SUMIF('Как есть'!$A$63:$A$70,Доп.расчеты!$A181,'Как есть'!GI$63:GI$70)</f>
        <v>0</v>
      </c>
      <c r="GI181">
        <f>SUMIF('Как есть'!$A$63:$A$70,Доп.расчеты!$A181,'Как есть'!GJ$63:GJ$70)</f>
        <v>0</v>
      </c>
      <c r="GJ181">
        <f>SUMIF('Как есть'!$A$63:$A$70,Доп.расчеты!$A181,'Как есть'!GK$63:GK$70)</f>
        <v>0</v>
      </c>
      <c r="GK181">
        <f>SUMIF('Как есть'!$A$63:$A$70,Доп.расчеты!$A181,'Как есть'!GL$63:GL$70)</f>
        <v>0</v>
      </c>
      <c r="GL181">
        <f>SUMIF('Как есть'!$A$63:$A$70,Доп.расчеты!$A181,'Как есть'!GM$63:GM$70)</f>
        <v>0</v>
      </c>
      <c r="GM181">
        <f>SUMIF('Как есть'!$A$63:$A$70,Доп.расчеты!$A181,'Как есть'!GN$63:GN$70)</f>
        <v>0</v>
      </c>
      <c r="GN181">
        <f>SUMIF('Как есть'!$A$63:$A$70,Доп.расчеты!$A181,'Как есть'!GO$63:GO$70)</f>
        <v>0</v>
      </c>
      <c r="GO181">
        <f>SUMIF('Как есть'!$A$63:$A$70,Доп.расчеты!$A181,'Как есть'!GP$63:GP$70)</f>
        <v>0</v>
      </c>
      <c r="GP181">
        <f>SUMIF('Как есть'!$A$63:$A$70,Доп.расчеты!$A181,'Как есть'!GQ$63:GQ$70)</f>
        <v>0</v>
      </c>
      <c r="GQ181">
        <f>SUMIF('Как есть'!$A$63:$A$70,Доп.расчеты!$A181,'Как есть'!GR$63:GR$70)</f>
        <v>0</v>
      </c>
      <c r="GR181">
        <f>SUMIF('Как есть'!$A$63:$A$70,Доп.расчеты!$A181,'Как есть'!GS$63:GS$70)</f>
        <v>0</v>
      </c>
      <c r="GS181">
        <f>SUMIF('Как есть'!$A$63:$A$70,Доп.расчеты!$A181,'Как есть'!GT$63:GT$70)</f>
        <v>0</v>
      </c>
      <c r="GT181">
        <f>SUMIF('Как есть'!$A$63:$A$70,Доп.расчеты!$A181,'Как есть'!GU$63:GU$70)</f>
        <v>0</v>
      </c>
    </row>
    <row r="182" spans="1:202" hidden="1" outlineLevel="1">
      <c r="A182" s="238" t="s">
        <v>11</v>
      </c>
      <c r="B182">
        <f>SUMIF('Как есть'!$A$63:$A$70,Доп.расчеты!$A182,'Как есть'!C$63:C$70)</f>
        <v>0</v>
      </c>
      <c r="C182">
        <f>SUMIF('Как есть'!$A$63:$A$70,Доп.расчеты!$A182,'Как есть'!D$63:D$70)</f>
        <v>0</v>
      </c>
      <c r="D182">
        <f>SUMIF('Как есть'!$A$63:$A$70,Доп.расчеты!$A182,'Как есть'!E$63:E$70)</f>
        <v>0</v>
      </c>
      <c r="E182">
        <f>SUMIF('Как есть'!$A$63:$A$70,Доп.расчеты!$A182,'Как есть'!F$63:F$70)</f>
        <v>0</v>
      </c>
      <c r="F182">
        <f>SUMIF('Как есть'!$A$63:$A$70,Доп.расчеты!$A182,'Как есть'!G$63:G$70)</f>
        <v>0</v>
      </c>
      <c r="G182">
        <f>SUMIF('Как есть'!$A$63:$A$70,Доп.расчеты!$A182,'Как есть'!H$63:H$70)</f>
        <v>0</v>
      </c>
      <c r="H182">
        <f>SUMIF('Как есть'!$A$63:$A$70,Доп.расчеты!$A182,'Как есть'!I$63:I$70)</f>
        <v>0</v>
      </c>
      <c r="I182">
        <f>SUMIF('Как есть'!$A$63:$A$70,Доп.расчеты!$A182,'Как есть'!J$63:J$70)</f>
        <v>0</v>
      </c>
      <c r="J182">
        <f>SUMIF('Как есть'!$A$63:$A$70,Доп.расчеты!$A182,'Как есть'!K$63:K$70)</f>
        <v>0</v>
      </c>
      <c r="K182">
        <f>SUMIF('Как есть'!$A$63:$A$70,Доп.расчеты!$A182,'Как есть'!L$63:L$70)</f>
        <v>0</v>
      </c>
      <c r="L182">
        <f>SUMIF('Как есть'!$A$63:$A$70,Доп.расчеты!$A182,'Как есть'!M$63:M$70)</f>
        <v>0</v>
      </c>
      <c r="M182">
        <f>SUMIF('Как есть'!$A$63:$A$70,Доп.расчеты!$A182,'Как есть'!N$63:N$70)</f>
        <v>0</v>
      </c>
      <c r="N182">
        <f>SUMIF('Как есть'!$A$63:$A$70,Доп.расчеты!$A182,'Как есть'!O$63:O$70)</f>
        <v>0</v>
      </c>
      <c r="O182">
        <f>SUMIF('Как есть'!$A$63:$A$70,Доп.расчеты!$A182,'Как есть'!P$63:P$70)</f>
        <v>0</v>
      </c>
      <c r="P182">
        <f>SUMIF('Как есть'!$A$63:$A$70,Доп.расчеты!$A182,'Как есть'!Q$63:Q$70)</f>
        <v>0</v>
      </c>
      <c r="Q182">
        <f>SUMIF('Как есть'!$A$63:$A$70,Доп.расчеты!$A182,'Как есть'!R$63:R$70)</f>
        <v>0</v>
      </c>
      <c r="R182">
        <f>SUMIF('Как есть'!$A$63:$A$70,Доп.расчеты!$A182,'Как есть'!S$63:S$70)</f>
        <v>0</v>
      </c>
      <c r="S182">
        <f>SUMIF('Как есть'!$A$63:$A$70,Доп.расчеты!$A182,'Как есть'!T$63:T$70)</f>
        <v>0</v>
      </c>
      <c r="T182">
        <f>SUMIF('Как есть'!$A$63:$A$70,Доп.расчеты!$A182,'Как есть'!U$63:U$70)</f>
        <v>0</v>
      </c>
      <c r="U182">
        <f>SUMIF('Как есть'!$A$63:$A$70,Доп.расчеты!$A182,'Как есть'!V$63:V$70)</f>
        <v>0</v>
      </c>
      <c r="V182">
        <f>SUMIF('Как есть'!$A$63:$A$70,Доп.расчеты!$A182,'Как есть'!W$63:W$70)</f>
        <v>0</v>
      </c>
      <c r="W182">
        <f>SUMIF('Как есть'!$A$63:$A$70,Доп.расчеты!$A182,'Как есть'!X$63:X$70)</f>
        <v>0</v>
      </c>
      <c r="X182">
        <f>SUMIF('Как есть'!$A$63:$A$70,Доп.расчеты!$A182,'Как есть'!Y$63:Y$70)</f>
        <v>0</v>
      </c>
      <c r="Y182">
        <f>SUMIF('Как есть'!$A$63:$A$70,Доп.расчеты!$A182,'Как есть'!Z$63:Z$70)</f>
        <v>0</v>
      </c>
      <c r="Z182">
        <f>SUMIF('Как есть'!$A$63:$A$70,Доп.расчеты!$A182,'Как есть'!AA$63:AA$70)</f>
        <v>0</v>
      </c>
      <c r="AA182">
        <f>SUMIF('Как есть'!$A$63:$A$70,Доп.расчеты!$A182,'Как есть'!AB$63:AB$70)</f>
        <v>0</v>
      </c>
      <c r="AB182">
        <f>SUMIF('Как есть'!$A$63:$A$70,Доп.расчеты!$A182,'Как есть'!AC$63:AC$70)</f>
        <v>0</v>
      </c>
      <c r="AC182">
        <f>SUMIF('Как есть'!$A$63:$A$70,Доп.расчеты!$A182,'Как есть'!AD$63:AD$70)</f>
        <v>0</v>
      </c>
      <c r="AD182">
        <f>SUMIF('Как есть'!$A$63:$A$70,Доп.расчеты!$A182,'Как есть'!AE$63:AE$70)</f>
        <v>0</v>
      </c>
      <c r="AE182">
        <f>SUMIF('Как есть'!$A$63:$A$70,Доп.расчеты!$A182,'Как есть'!AF$63:AF$70)</f>
        <v>0</v>
      </c>
      <c r="AF182">
        <f>SUMIF('Как есть'!$A$63:$A$70,Доп.расчеты!$A182,'Как есть'!AG$63:AG$70)</f>
        <v>0</v>
      </c>
      <c r="AG182">
        <f>SUMIF('Как есть'!$A$63:$A$70,Доп.расчеты!$A182,'Как есть'!AH$63:AH$70)</f>
        <v>0</v>
      </c>
      <c r="AH182">
        <f>SUMIF('Как есть'!$A$63:$A$70,Доп.расчеты!$A182,'Как есть'!AI$63:AI$70)</f>
        <v>0</v>
      </c>
      <c r="AI182">
        <f>SUMIF('Как есть'!$A$63:$A$70,Доп.расчеты!$A182,'Как есть'!AJ$63:AJ$70)</f>
        <v>0</v>
      </c>
      <c r="AJ182">
        <f>SUMIF('Как есть'!$A$63:$A$70,Доп.расчеты!$A182,'Как есть'!AK$63:AK$70)</f>
        <v>0</v>
      </c>
      <c r="AK182">
        <f>SUMIF('Как есть'!$A$63:$A$70,Доп.расчеты!$A182,'Как есть'!AL$63:AL$70)</f>
        <v>0</v>
      </c>
      <c r="AL182">
        <f>SUMIF('Как есть'!$A$63:$A$70,Доп.расчеты!$A182,'Как есть'!AM$63:AM$70)</f>
        <v>0</v>
      </c>
      <c r="AM182">
        <f>SUMIF('Как есть'!$A$63:$A$70,Доп.расчеты!$A182,'Как есть'!AN$63:AN$70)</f>
        <v>0</v>
      </c>
      <c r="AN182">
        <f>SUMIF('Как есть'!$A$63:$A$70,Доп.расчеты!$A182,'Как есть'!AO$63:AO$70)</f>
        <v>0</v>
      </c>
      <c r="AO182">
        <f>SUMIF('Как есть'!$A$63:$A$70,Доп.расчеты!$A182,'Как есть'!AP$63:AP$70)</f>
        <v>0</v>
      </c>
      <c r="AP182">
        <f>SUMIF('Как есть'!$A$63:$A$70,Доп.расчеты!$A182,'Как есть'!AQ$63:AQ$70)</f>
        <v>0</v>
      </c>
      <c r="AQ182">
        <f>SUMIF('Как есть'!$A$63:$A$70,Доп.расчеты!$A182,'Как есть'!AR$63:AR$70)</f>
        <v>0</v>
      </c>
      <c r="AR182">
        <f>SUMIF('Как есть'!$A$63:$A$70,Доп.расчеты!$A182,'Как есть'!AS$63:AS$70)</f>
        <v>0</v>
      </c>
      <c r="AS182">
        <f>SUMIF('Как есть'!$A$63:$A$70,Доп.расчеты!$A182,'Как есть'!AT$63:AT$70)</f>
        <v>0</v>
      </c>
      <c r="AT182">
        <f>SUMIF('Как есть'!$A$63:$A$70,Доп.расчеты!$A182,'Как есть'!AU$63:AU$70)</f>
        <v>0</v>
      </c>
      <c r="AU182">
        <f>SUMIF('Как есть'!$A$63:$A$70,Доп.расчеты!$A182,'Как есть'!AV$63:AV$70)</f>
        <v>0</v>
      </c>
      <c r="AV182">
        <f>SUMIF('Как есть'!$A$63:$A$70,Доп.расчеты!$A182,'Как есть'!AW$63:AW$70)</f>
        <v>0</v>
      </c>
      <c r="AW182">
        <f>SUMIF('Как есть'!$A$63:$A$70,Доп.расчеты!$A182,'Как есть'!AX$63:AX$70)</f>
        <v>0</v>
      </c>
      <c r="AX182">
        <f>SUMIF('Как есть'!$A$63:$A$70,Доп.расчеты!$A182,'Как есть'!AY$63:AY$70)</f>
        <v>0</v>
      </c>
      <c r="AY182">
        <f>SUMIF('Как есть'!$A$63:$A$70,Доп.расчеты!$A182,'Как есть'!AZ$63:AZ$70)</f>
        <v>0</v>
      </c>
      <c r="AZ182">
        <f>SUMIF('Как есть'!$A$63:$A$70,Доп.расчеты!$A182,'Как есть'!BA$63:BA$70)</f>
        <v>0</v>
      </c>
      <c r="BA182">
        <f>SUMIF('Как есть'!$A$63:$A$70,Доп.расчеты!$A182,'Как есть'!BB$63:BB$70)</f>
        <v>0</v>
      </c>
      <c r="BB182">
        <f>SUMIF('Как есть'!$A$63:$A$70,Доп.расчеты!$A182,'Как есть'!BC$63:BC$70)</f>
        <v>0</v>
      </c>
      <c r="BC182">
        <f>SUMIF('Как есть'!$A$63:$A$70,Доп.расчеты!$A182,'Как есть'!BD$63:BD$70)</f>
        <v>0</v>
      </c>
      <c r="BD182">
        <f>SUMIF('Как есть'!$A$63:$A$70,Доп.расчеты!$A182,'Как есть'!BE$63:BE$70)</f>
        <v>0</v>
      </c>
      <c r="BE182">
        <f>SUMIF('Как есть'!$A$63:$A$70,Доп.расчеты!$A182,'Как есть'!BF$63:BF$70)</f>
        <v>0</v>
      </c>
      <c r="BF182">
        <f>SUMIF('Как есть'!$A$63:$A$70,Доп.расчеты!$A182,'Как есть'!BG$63:BG$70)</f>
        <v>0</v>
      </c>
      <c r="BG182">
        <f>SUMIF('Как есть'!$A$63:$A$70,Доп.расчеты!$A182,'Как есть'!BH$63:BH$70)</f>
        <v>0</v>
      </c>
      <c r="BH182">
        <f>SUMIF('Как есть'!$A$63:$A$70,Доп.расчеты!$A182,'Как есть'!BI$63:BI$70)</f>
        <v>0</v>
      </c>
      <c r="BI182">
        <f>SUMIF('Как есть'!$A$63:$A$70,Доп.расчеты!$A182,'Как есть'!BJ$63:BJ$70)</f>
        <v>0</v>
      </c>
      <c r="BJ182">
        <f>SUMIF('Как есть'!$A$63:$A$70,Доп.расчеты!$A182,'Как есть'!BK$63:BK$70)</f>
        <v>0</v>
      </c>
      <c r="BK182">
        <f>SUMIF('Как есть'!$A$63:$A$70,Доп.расчеты!$A182,'Как есть'!BL$63:BL$70)</f>
        <v>0</v>
      </c>
      <c r="BL182">
        <f>SUMIF('Как есть'!$A$63:$A$70,Доп.расчеты!$A182,'Как есть'!BM$63:BM$70)</f>
        <v>0</v>
      </c>
      <c r="BM182">
        <f>SUMIF('Как есть'!$A$63:$A$70,Доп.расчеты!$A182,'Как есть'!BN$63:BN$70)</f>
        <v>0</v>
      </c>
      <c r="BN182">
        <f>SUMIF('Как есть'!$A$63:$A$70,Доп.расчеты!$A182,'Как есть'!BO$63:BO$70)</f>
        <v>0</v>
      </c>
      <c r="BO182">
        <f>SUMIF('Как есть'!$A$63:$A$70,Доп.расчеты!$A182,'Как есть'!BP$63:BP$70)</f>
        <v>0</v>
      </c>
      <c r="BP182">
        <f>SUMIF('Как есть'!$A$63:$A$70,Доп.расчеты!$A182,'Как есть'!BQ$63:BQ$70)</f>
        <v>0</v>
      </c>
      <c r="BQ182">
        <f>SUMIF('Как есть'!$A$63:$A$70,Доп.расчеты!$A182,'Как есть'!BR$63:BR$70)</f>
        <v>0</v>
      </c>
      <c r="BR182">
        <f>SUMIF('Как есть'!$A$63:$A$70,Доп.расчеты!$A182,'Как есть'!BS$63:BS$70)</f>
        <v>0</v>
      </c>
      <c r="BS182">
        <f>SUMIF('Как есть'!$A$63:$A$70,Доп.расчеты!$A182,'Как есть'!BT$63:BT$70)</f>
        <v>0</v>
      </c>
      <c r="BT182">
        <f>SUMIF('Как есть'!$A$63:$A$70,Доп.расчеты!$A182,'Как есть'!BU$63:BU$70)</f>
        <v>0</v>
      </c>
      <c r="BU182">
        <f>SUMIF('Как есть'!$A$63:$A$70,Доп.расчеты!$A182,'Как есть'!BV$63:BV$70)</f>
        <v>0</v>
      </c>
      <c r="BV182">
        <f>SUMIF('Как есть'!$A$63:$A$70,Доп.расчеты!$A182,'Как есть'!BW$63:BW$70)</f>
        <v>0</v>
      </c>
      <c r="BW182">
        <f>SUMIF('Как есть'!$A$63:$A$70,Доп.расчеты!$A182,'Как есть'!BX$63:BX$70)</f>
        <v>0</v>
      </c>
      <c r="BX182">
        <f>SUMIF('Как есть'!$A$63:$A$70,Доп.расчеты!$A182,'Как есть'!BY$63:BY$70)</f>
        <v>0</v>
      </c>
      <c r="BY182">
        <f>SUMIF('Как есть'!$A$63:$A$70,Доп.расчеты!$A182,'Как есть'!BZ$63:BZ$70)</f>
        <v>0</v>
      </c>
      <c r="BZ182">
        <f>SUMIF('Как есть'!$A$63:$A$70,Доп.расчеты!$A182,'Как есть'!CA$63:CA$70)</f>
        <v>0</v>
      </c>
      <c r="CA182">
        <f>SUMIF('Как есть'!$A$63:$A$70,Доп.расчеты!$A182,'Как есть'!CB$63:CB$70)</f>
        <v>0</v>
      </c>
      <c r="CB182">
        <f>SUMIF('Как есть'!$A$63:$A$70,Доп.расчеты!$A182,'Как есть'!CC$63:CC$70)</f>
        <v>0</v>
      </c>
      <c r="CC182">
        <f>SUMIF('Как есть'!$A$63:$A$70,Доп.расчеты!$A182,'Как есть'!CD$63:CD$70)</f>
        <v>0</v>
      </c>
      <c r="CD182">
        <f>SUMIF('Как есть'!$A$63:$A$70,Доп.расчеты!$A182,'Как есть'!CE$63:CE$70)</f>
        <v>0</v>
      </c>
      <c r="CE182">
        <f>SUMIF('Как есть'!$A$63:$A$70,Доп.расчеты!$A182,'Как есть'!CF$63:CF$70)</f>
        <v>0</v>
      </c>
      <c r="CF182">
        <f>SUMIF('Как есть'!$A$63:$A$70,Доп.расчеты!$A182,'Как есть'!CG$63:CG$70)</f>
        <v>0</v>
      </c>
      <c r="CG182">
        <f>SUMIF('Как есть'!$A$63:$A$70,Доп.расчеты!$A182,'Как есть'!CH$63:CH$70)</f>
        <v>0</v>
      </c>
      <c r="CH182">
        <f>SUMIF('Как есть'!$A$63:$A$70,Доп.расчеты!$A182,'Как есть'!CI$63:CI$70)</f>
        <v>0</v>
      </c>
      <c r="CI182">
        <f>SUMIF('Как есть'!$A$63:$A$70,Доп.расчеты!$A182,'Как есть'!CJ$63:CJ$70)</f>
        <v>0</v>
      </c>
      <c r="CJ182">
        <f>SUMIF('Как есть'!$A$63:$A$70,Доп.расчеты!$A182,'Как есть'!CK$63:CK$70)</f>
        <v>0</v>
      </c>
      <c r="CK182">
        <f>SUMIF('Как есть'!$A$63:$A$70,Доп.расчеты!$A182,'Как есть'!CL$63:CL$70)</f>
        <v>0</v>
      </c>
      <c r="CL182">
        <f>SUMIF('Как есть'!$A$63:$A$70,Доп.расчеты!$A182,'Как есть'!CM$63:CM$70)</f>
        <v>0</v>
      </c>
      <c r="CM182">
        <f>SUMIF('Как есть'!$A$63:$A$70,Доп.расчеты!$A182,'Как есть'!CN$63:CN$70)</f>
        <v>0</v>
      </c>
      <c r="CN182">
        <f>SUMIF('Как есть'!$A$63:$A$70,Доп.расчеты!$A182,'Как есть'!CO$63:CO$70)</f>
        <v>0</v>
      </c>
      <c r="CO182">
        <f>SUMIF('Как есть'!$A$63:$A$70,Доп.расчеты!$A182,'Как есть'!CP$63:CP$70)</f>
        <v>0</v>
      </c>
      <c r="CP182">
        <f>SUMIF('Как есть'!$A$63:$A$70,Доп.расчеты!$A182,'Как есть'!CQ$63:CQ$70)</f>
        <v>0</v>
      </c>
      <c r="CQ182">
        <f>SUMIF('Как есть'!$A$63:$A$70,Доп.расчеты!$A182,'Как есть'!CR$63:CR$70)</f>
        <v>0</v>
      </c>
      <c r="CR182">
        <f>SUMIF('Как есть'!$A$63:$A$70,Доп.расчеты!$A182,'Как есть'!CS$63:CS$70)</f>
        <v>0</v>
      </c>
      <c r="CS182">
        <f>SUMIF('Как есть'!$A$63:$A$70,Доп.расчеты!$A182,'Как есть'!CT$63:CT$70)</f>
        <v>0</v>
      </c>
      <c r="CT182">
        <f>SUMIF('Как есть'!$A$63:$A$70,Доп.расчеты!$A182,'Как есть'!CU$63:CU$70)</f>
        <v>0</v>
      </c>
      <c r="CU182">
        <f>SUMIF('Как есть'!$A$63:$A$70,Доп.расчеты!$A182,'Как есть'!CV$63:CV$70)</f>
        <v>0</v>
      </c>
      <c r="CV182">
        <f>SUMIF('Как есть'!$A$63:$A$70,Доп.расчеты!$A182,'Как есть'!CW$63:CW$70)</f>
        <v>0</v>
      </c>
      <c r="CW182">
        <f>SUMIF('Как есть'!$A$63:$A$70,Доп.расчеты!$A182,'Как есть'!CX$63:CX$70)</f>
        <v>0</v>
      </c>
      <c r="CX182">
        <f>SUMIF('Как есть'!$A$63:$A$70,Доп.расчеты!$A182,'Как есть'!CY$63:CY$70)</f>
        <v>0</v>
      </c>
      <c r="CY182">
        <f>SUMIF('Как есть'!$A$63:$A$70,Доп.расчеты!$A182,'Как есть'!CZ$63:CZ$70)</f>
        <v>0</v>
      </c>
      <c r="CZ182">
        <f>SUMIF('Как есть'!$A$63:$A$70,Доп.расчеты!$A182,'Как есть'!DA$63:DA$70)</f>
        <v>0</v>
      </c>
      <c r="DA182">
        <f>SUMIF('Как есть'!$A$63:$A$70,Доп.расчеты!$A182,'Как есть'!DB$63:DB$70)</f>
        <v>0</v>
      </c>
      <c r="DB182">
        <f>SUMIF('Как есть'!$A$63:$A$70,Доп.расчеты!$A182,'Как есть'!DC$63:DC$70)</f>
        <v>0</v>
      </c>
      <c r="DC182">
        <f>SUMIF('Как есть'!$A$63:$A$70,Доп.расчеты!$A182,'Как есть'!DD$63:DD$70)</f>
        <v>0</v>
      </c>
      <c r="DD182">
        <f>SUMIF('Как есть'!$A$63:$A$70,Доп.расчеты!$A182,'Как есть'!DE$63:DE$70)</f>
        <v>0</v>
      </c>
      <c r="DE182">
        <f>SUMIF('Как есть'!$A$63:$A$70,Доп.расчеты!$A182,'Как есть'!DF$63:DF$70)</f>
        <v>0</v>
      </c>
      <c r="DF182">
        <f>SUMIF('Как есть'!$A$63:$A$70,Доп.расчеты!$A182,'Как есть'!DG$63:DG$70)</f>
        <v>0</v>
      </c>
      <c r="DG182">
        <f>SUMIF('Как есть'!$A$63:$A$70,Доп.расчеты!$A182,'Как есть'!DH$63:DH$70)</f>
        <v>0</v>
      </c>
      <c r="DH182">
        <f>SUMIF('Как есть'!$A$63:$A$70,Доп.расчеты!$A182,'Как есть'!DI$63:DI$70)</f>
        <v>0</v>
      </c>
      <c r="DI182">
        <f>SUMIF('Как есть'!$A$63:$A$70,Доп.расчеты!$A182,'Как есть'!DJ$63:DJ$70)</f>
        <v>0</v>
      </c>
      <c r="DJ182">
        <f>SUMIF('Как есть'!$A$63:$A$70,Доп.расчеты!$A182,'Как есть'!DK$63:DK$70)</f>
        <v>0</v>
      </c>
      <c r="DK182">
        <f>SUMIF('Как есть'!$A$63:$A$70,Доп.расчеты!$A182,'Как есть'!DL$63:DL$70)</f>
        <v>0</v>
      </c>
      <c r="DL182">
        <f>SUMIF('Как есть'!$A$63:$A$70,Доп.расчеты!$A182,'Как есть'!DM$63:DM$70)</f>
        <v>0</v>
      </c>
      <c r="DM182">
        <f>SUMIF('Как есть'!$A$63:$A$70,Доп.расчеты!$A182,'Как есть'!DN$63:DN$70)</f>
        <v>0</v>
      </c>
      <c r="DN182">
        <f>SUMIF('Как есть'!$A$63:$A$70,Доп.расчеты!$A182,'Как есть'!DO$63:DO$70)</f>
        <v>0</v>
      </c>
      <c r="DO182">
        <f>SUMIF('Как есть'!$A$63:$A$70,Доп.расчеты!$A182,'Как есть'!DP$63:DP$70)</f>
        <v>0</v>
      </c>
      <c r="DP182">
        <f>SUMIF('Как есть'!$A$63:$A$70,Доп.расчеты!$A182,'Как есть'!DQ$63:DQ$70)</f>
        <v>0</v>
      </c>
      <c r="DQ182">
        <f>SUMIF('Как есть'!$A$63:$A$70,Доп.расчеты!$A182,'Как есть'!DR$63:DR$70)</f>
        <v>0</v>
      </c>
      <c r="DR182">
        <f>SUMIF('Как есть'!$A$63:$A$70,Доп.расчеты!$A182,'Как есть'!DS$63:DS$70)</f>
        <v>0</v>
      </c>
      <c r="DS182">
        <f>SUMIF('Как есть'!$A$63:$A$70,Доп.расчеты!$A182,'Как есть'!DT$63:DT$70)</f>
        <v>0</v>
      </c>
      <c r="DT182">
        <f>SUMIF('Как есть'!$A$63:$A$70,Доп.расчеты!$A182,'Как есть'!DU$63:DU$70)</f>
        <v>0</v>
      </c>
      <c r="DU182">
        <f>SUMIF('Как есть'!$A$63:$A$70,Доп.расчеты!$A182,'Как есть'!DV$63:DV$70)</f>
        <v>0</v>
      </c>
      <c r="DV182">
        <f>SUMIF('Как есть'!$A$63:$A$70,Доп.расчеты!$A182,'Как есть'!DW$63:DW$70)</f>
        <v>0</v>
      </c>
      <c r="DW182">
        <f>SUMIF('Как есть'!$A$63:$A$70,Доп.расчеты!$A182,'Как есть'!DX$63:DX$70)</f>
        <v>0</v>
      </c>
      <c r="DX182">
        <f>SUMIF('Как есть'!$A$63:$A$70,Доп.расчеты!$A182,'Как есть'!DY$63:DY$70)</f>
        <v>0</v>
      </c>
      <c r="DY182">
        <f>SUMIF('Как есть'!$A$63:$A$70,Доп.расчеты!$A182,'Как есть'!DZ$63:DZ$70)</f>
        <v>0</v>
      </c>
      <c r="DZ182">
        <f>SUMIF('Как есть'!$A$63:$A$70,Доп.расчеты!$A182,'Как есть'!EA$63:EA$70)</f>
        <v>0</v>
      </c>
      <c r="EA182">
        <f>SUMIF('Как есть'!$A$63:$A$70,Доп.расчеты!$A182,'Как есть'!EB$63:EB$70)</f>
        <v>0</v>
      </c>
      <c r="EB182">
        <f>SUMIF('Как есть'!$A$63:$A$70,Доп.расчеты!$A182,'Как есть'!EC$63:EC$70)</f>
        <v>0</v>
      </c>
      <c r="EC182">
        <f>SUMIF('Как есть'!$A$63:$A$70,Доп.расчеты!$A182,'Как есть'!ED$63:ED$70)</f>
        <v>0</v>
      </c>
      <c r="ED182">
        <f>SUMIF('Как есть'!$A$63:$A$70,Доп.расчеты!$A182,'Как есть'!EE$63:EE$70)</f>
        <v>0</v>
      </c>
      <c r="EE182">
        <f>SUMIF('Как есть'!$A$63:$A$70,Доп.расчеты!$A182,'Как есть'!EF$63:EF$70)</f>
        <v>0</v>
      </c>
      <c r="EF182">
        <f>SUMIF('Как есть'!$A$63:$A$70,Доп.расчеты!$A182,'Как есть'!EG$63:EG$70)</f>
        <v>0</v>
      </c>
      <c r="EG182">
        <f>SUMIF('Как есть'!$A$63:$A$70,Доп.расчеты!$A182,'Как есть'!EH$63:EH$70)</f>
        <v>0</v>
      </c>
      <c r="EH182">
        <f>SUMIF('Как есть'!$A$63:$A$70,Доп.расчеты!$A182,'Как есть'!EI$63:EI$70)</f>
        <v>0</v>
      </c>
      <c r="EI182">
        <f>SUMIF('Как есть'!$A$63:$A$70,Доп.расчеты!$A182,'Как есть'!EJ$63:EJ$70)</f>
        <v>0</v>
      </c>
      <c r="EJ182">
        <f>SUMIF('Как есть'!$A$63:$A$70,Доп.расчеты!$A182,'Как есть'!EK$63:EK$70)</f>
        <v>0</v>
      </c>
      <c r="EK182">
        <f>SUMIF('Как есть'!$A$63:$A$70,Доп.расчеты!$A182,'Как есть'!EL$63:EL$70)</f>
        <v>0</v>
      </c>
      <c r="EL182">
        <f>SUMIF('Как есть'!$A$63:$A$70,Доп.расчеты!$A182,'Как есть'!EM$63:EM$70)</f>
        <v>0</v>
      </c>
      <c r="EM182">
        <f>SUMIF('Как есть'!$A$63:$A$70,Доп.расчеты!$A182,'Как есть'!EN$63:EN$70)</f>
        <v>0</v>
      </c>
      <c r="EN182">
        <f>SUMIF('Как есть'!$A$63:$A$70,Доп.расчеты!$A182,'Как есть'!EO$63:EO$70)</f>
        <v>0</v>
      </c>
      <c r="EO182">
        <f>SUMIF('Как есть'!$A$63:$A$70,Доп.расчеты!$A182,'Как есть'!EP$63:EP$70)</f>
        <v>0</v>
      </c>
      <c r="EP182">
        <f>SUMIF('Как есть'!$A$63:$A$70,Доп.расчеты!$A182,'Как есть'!EQ$63:EQ$70)</f>
        <v>0</v>
      </c>
      <c r="EQ182">
        <f>SUMIF('Как есть'!$A$63:$A$70,Доп.расчеты!$A182,'Как есть'!ER$63:ER$70)</f>
        <v>0</v>
      </c>
      <c r="ER182">
        <f>SUMIF('Как есть'!$A$63:$A$70,Доп.расчеты!$A182,'Как есть'!ES$63:ES$70)</f>
        <v>0</v>
      </c>
      <c r="ES182">
        <f>SUMIF('Как есть'!$A$63:$A$70,Доп.расчеты!$A182,'Как есть'!ET$63:ET$70)</f>
        <v>0</v>
      </c>
      <c r="ET182">
        <f>SUMIF('Как есть'!$A$63:$A$70,Доп.расчеты!$A182,'Как есть'!EU$63:EU$70)</f>
        <v>0</v>
      </c>
      <c r="EU182">
        <f>SUMIF('Как есть'!$A$63:$A$70,Доп.расчеты!$A182,'Как есть'!EV$63:EV$70)</f>
        <v>0</v>
      </c>
      <c r="EV182">
        <f>SUMIF('Как есть'!$A$63:$A$70,Доп.расчеты!$A182,'Как есть'!EW$63:EW$70)</f>
        <v>0</v>
      </c>
      <c r="EW182">
        <f>SUMIF('Как есть'!$A$63:$A$70,Доп.расчеты!$A182,'Как есть'!EX$63:EX$70)</f>
        <v>0</v>
      </c>
      <c r="EX182">
        <f>SUMIF('Как есть'!$A$63:$A$70,Доп.расчеты!$A182,'Как есть'!EY$63:EY$70)</f>
        <v>0</v>
      </c>
      <c r="EY182">
        <f>SUMIF('Как есть'!$A$63:$A$70,Доп.расчеты!$A182,'Как есть'!EZ$63:EZ$70)</f>
        <v>0</v>
      </c>
      <c r="EZ182">
        <f>SUMIF('Как есть'!$A$63:$A$70,Доп.расчеты!$A182,'Как есть'!FA$63:FA$70)</f>
        <v>0</v>
      </c>
      <c r="FA182">
        <f>SUMIF('Как есть'!$A$63:$A$70,Доп.расчеты!$A182,'Как есть'!FB$63:FB$70)</f>
        <v>0</v>
      </c>
      <c r="FB182">
        <f>SUMIF('Как есть'!$A$63:$A$70,Доп.расчеты!$A182,'Как есть'!FC$63:FC$70)</f>
        <v>0</v>
      </c>
      <c r="FC182">
        <f>SUMIF('Как есть'!$A$63:$A$70,Доп.расчеты!$A182,'Как есть'!FD$63:FD$70)</f>
        <v>0</v>
      </c>
      <c r="FD182">
        <f>SUMIF('Как есть'!$A$63:$A$70,Доп.расчеты!$A182,'Как есть'!FE$63:FE$70)</f>
        <v>0</v>
      </c>
      <c r="FE182">
        <f>SUMIF('Как есть'!$A$63:$A$70,Доп.расчеты!$A182,'Как есть'!FF$63:FF$70)</f>
        <v>0</v>
      </c>
      <c r="FF182">
        <f>SUMIF('Как есть'!$A$63:$A$70,Доп.расчеты!$A182,'Как есть'!FG$63:FG$70)</f>
        <v>0</v>
      </c>
      <c r="FG182">
        <f>SUMIF('Как есть'!$A$63:$A$70,Доп.расчеты!$A182,'Как есть'!FH$63:FH$70)</f>
        <v>0</v>
      </c>
      <c r="FH182">
        <f>SUMIF('Как есть'!$A$63:$A$70,Доп.расчеты!$A182,'Как есть'!FI$63:FI$70)</f>
        <v>0</v>
      </c>
      <c r="FI182">
        <f>SUMIF('Как есть'!$A$63:$A$70,Доп.расчеты!$A182,'Как есть'!FJ$63:FJ$70)</f>
        <v>0</v>
      </c>
      <c r="FJ182">
        <f>SUMIF('Как есть'!$A$63:$A$70,Доп.расчеты!$A182,'Как есть'!FK$63:FK$70)</f>
        <v>0</v>
      </c>
      <c r="FK182">
        <f>SUMIF('Как есть'!$A$63:$A$70,Доп.расчеты!$A182,'Как есть'!FL$63:FL$70)</f>
        <v>0</v>
      </c>
      <c r="FL182">
        <f>SUMIF('Как есть'!$A$63:$A$70,Доп.расчеты!$A182,'Как есть'!FM$63:FM$70)</f>
        <v>0</v>
      </c>
      <c r="FM182">
        <f>SUMIF('Как есть'!$A$63:$A$70,Доп.расчеты!$A182,'Как есть'!FN$63:FN$70)</f>
        <v>0</v>
      </c>
      <c r="FN182">
        <f>SUMIF('Как есть'!$A$63:$A$70,Доп.расчеты!$A182,'Как есть'!FO$63:FO$70)</f>
        <v>0</v>
      </c>
      <c r="FO182">
        <f>SUMIF('Как есть'!$A$63:$A$70,Доп.расчеты!$A182,'Как есть'!FP$63:FP$70)</f>
        <v>0</v>
      </c>
      <c r="FP182">
        <f>SUMIF('Как есть'!$A$63:$A$70,Доп.расчеты!$A182,'Как есть'!FQ$63:FQ$70)</f>
        <v>0</v>
      </c>
      <c r="FQ182">
        <f>SUMIF('Как есть'!$A$63:$A$70,Доп.расчеты!$A182,'Как есть'!FR$63:FR$70)</f>
        <v>0</v>
      </c>
      <c r="FR182">
        <f>SUMIF('Как есть'!$A$63:$A$70,Доп.расчеты!$A182,'Как есть'!FS$63:FS$70)</f>
        <v>0</v>
      </c>
      <c r="FS182">
        <f>SUMIF('Как есть'!$A$63:$A$70,Доп.расчеты!$A182,'Как есть'!FT$63:FT$70)</f>
        <v>0</v>
      </c>
      <c r="FT182">
        <f>SUMIF('Как есть'!$A$63:$A$70,Доп.расчеты!$A182,'Как есть'!FU$63:FU$70)</f>
        <v>0</v>
      </c>
      <c r="FU182">
        <f>SUMIF('Как есть'!$A$63:$A$70,Доп.расчеты!$A182,'Как есть'!FV$63:FV$70)</f>
        <v>0</v>
      </c>
      <c r="FV182">
        <f>SUMIF('Как есть'!$A$63:$A$70,Доп.расчеты!$A182,'Как есть'!FW$63:FW$70)</f>
        <v>0</v>
      </c>
      <c r="FW182">
        <f>SUMIF('Как есть'!$A$63:$A$70,Доп.расчеты!$A182,'Как есть'!FX$63:FX$70)</f>
        <v>0</v>
      </c>
      <c r="FX182">
        <f>SUMIF('Как есть'!$A$63:$A$70,Доп.расчеты!$A182,'Как есть'!FY$63:FY$70)</f>
        <v>0</v>
      </c>
      <c r="FY182">
        <f>SUMIF('Как есть'!$A$63:$A$70,Доп.расчеты!$A182,'Как есть'!FZ$63:FZ$70)</f>
        <v>0</v>
      </c>
      <c r="FZ182">
        <f>SUMIF('Как есть'!$A$63:$A$70,Доп.расчеты!$A182,'Как есть'!GA$63:GA$70)</f>
        <v>0</v>
      </c>
      <c r="GA182">
        <f>SUMIF('Как есть'!$A$63:$A$70,Доп.расчеты!$A182,'Как есть'!GB$63:GB$70)</f>
        <v>0</v>
      </c>
      <c r="GB182">
        <f>SUMIF('Как есть'!$A$63:$A$70,Доп.расчеты!$A182,'Как есть'!GC$63:GC$70)</f>
        <v>0</v>
      </c>
      <c r="GC182">
        <f>SUMIF('Как есть'!$A$63:$A$70,Доп.расчеты!$A182,'Как есть'!GD$63:GD$70)</f>
        <v>0</v>
      </c>
      <c r="GD182">
        <f>SUMIF('Как есть'!$A$63:$A$70,Доп.расчеты!$A182,'Как есть'!GE$63:GE$70)</f>
        <v>0</v>
      </c>
      <c r="GE182">
        <f>SUMIF('Как есть'!$A$63:$A$70,Доп.расчеты!$A182,'Как есть'!GF$63:GF$70)</f>
        <v>0</v>
      </c>
      <c r="GF182">
        <f>SUMIF('Как есть'!$A$63:$A$70,Доп.расчеты!$A182,'Как есть'!GG$63:GG$70)</f>
        <v>0</v>
      </c>
      <c r="GG182">
        <f>SUMIF('Как есть'!$A$63:$A$70,Доп.расчеты!$A182,'Как есть'!GH$63:GH$70)</f>
        <v>0</v>
      </c>
      <c r="GH182">
        <f>SUMIF('Как есть'!$A$63:$A$70,Доп.расчеты!$A182,'Как есть'!GI$63:GI$70)</f>
        <v>0</v>
      </c>
      <c r="GI182">
        <f>SUMIF('Как есть'!$A$63:$A$70,Доп.расчеты!$A182,'Как есть'!GJ$63:GJ$70)</f>
        <v>0</v>
      </c>
      <c r="GJ182">
        <f>SUMIF('Как есть'!$A$63:$A$70,Доп.расчеты!$A182,'Как есть'!GK$63:GK$70)</f>
        <v>0</v>
      </c>
      <c r="GK182">
        <f>SUMIF('Как есть'!$A$63:$A$70,Доп.расчеты!$A182,'Как есть'!GL$63:GL$70)</f>
        <v>0</v>
      </c>
      <c r="GL182">
        <f>SUMIF('Как есть'!$A$63:$A$70,Доп.расчеты!$A182,'Как есть'!GM$63:GM$70)</f>
        <v>0</v>
      </c>
      <c r="GM182">
        <f>SUMIF('Как есть'!$A$63:$A$70,Доп.расчеты!$A182,'Как есть'!GN$63:GN$70)</f>
        <v>0</v>
      </c>
      <c r="GN182">
        <f>SUMIF('Как есть'!$A$63:$A$70,Доп.расчеты!$A182,'Как есть'!GO$63:GO$70)</f>
        <v>0</v>
      </c>
      <c r="GO182">
        <f>SUMIF('Как есть'!$A$63:$A$70,Доп.расчеты!$A182,'Как есть'!GP$63:GP$70)</f>
        <v>0</v>
      </c>
      <c r="GP182">
        <f>SUMIF('Как есть'!$A$63:$A$70,Доп.расчеты!$A182,'Как есть'!GQ$63:GQ$70)</f>
        <v>0</v>
      </c>
      <c r="GQ182">
        <f>SUMIF('Как есть'!$A$63:$A$70,Доп.расчеты!$A182,'Как есть'!GR$63:GR$70)</f>
        <v>0</v>
      </c>
      <c r="GR182">
        <f>SUMIF('Как есть'!$A$63:$A$70,Доп.расчеты!$A182,'Как есть'!GS$63:GS$70)</f>
        <v>0</v>
      </c>
      <c r="GS182">
        <f>SUMIF('Как есть'!$A$63:$A$70,Доп.расчеты!$A182,'Как есть'!GT$63:GT$70)</f>
        <v>0</v>
      </c>
      <c r="GT182">
        <f>SUMIF('Как есть'!$A$63:$A$70,Доп.расчеты!$A182,'Как есть'!GU$63:GU$70)</f>
        <v>0</v>
      </c>
    </row>
    <row r="183" spans="1:202" hidden="1" outlineLevel="1">
      <c r="A183" s="238" t="s">
        <v>12</v>
      </c>
      <c r="B183">
        <f>SUMIF('Как есть'!$A$63:$A$70,Доп.расчеты!$A183,'Как есть'!C$63:C$70)</f>
        <v>0</v>
      </c>
      <c r="C183">
        <f>SUMIF('Как есть'!$A$63:$A$70,Доп.расчеты!$A183,'Как есть'!D$63:D$70)</f>
        <v>0</v>
      </c>
      <c r="D183">
        <f>SUMIF('Как есть'!$A$63:$A$70,Доп.расчеты!$A183,'Как есть'!E$63:E$70)</f>
        <v>0</v>
      </c>
      <c r="E183">
        <f>SUMIF('Как есть'!$A$63:$A$70,Доп.расчеты!$A183,'Как есть'!F$63:F$70)</f>
        <v>0</v>
      </c>
      <c r="F183">
        <f>SUMIF('Как есть'!$A$63:$A$70,Доп.расчеты!$A183,'Как есть'!G$63:G$70)</f>
        <v>0</v>
      </c>
      <c r="G183">
        <f>SUMIF('Как есть'!$A$63:$A$70,Доп.расчеты!$A183,'Как есть'!H$63:H$70)</f>
        <v>0</v>
      </c>
      <c r="H183">
        <f>SUMIF('Как есть'!$A$63:$A$70,Доп.расчеты!$A183,'Как есть'!I$63:I$70)</f>
        <v>0</v>
      </c>
      <c r="I183">
        <f>SUMIF('Как есть'!$A$63:$A$70,Доп.расчеты!$A183,'Как есть'!J$63:J$70)</f>
        <v>0</v>
      </c>
      <c r="J183">
        <f>SUMIF('Как есть'!$A$63:$A$70,Доп.расчеты!$A183,'Как есть'!K$63:K$70)</f>
        <v>0</v>
      </c>
      <c r="K183">
        <f>SUMIF('Как есть'!$A$63:$A$70,Доп.расчеты!$A183,'Как есть'!L$63:L$70)</f>
        <v>0</v>
      </c>
      <c r="L183">
        <f>SUMIF('Как есть'!$A$63:$A$70,Доп.расчеты!$A183,'Как есть'!M$63:M$70)</f>
        <v>0</v>
      </c>
      <c r="M183">
        <f>SUMIF('Как есть'!$A$63:$A$70,Доп.расчеты!$A183,'Как есть'!N$63:N$70)</f>
        <v>0</v>
      </c>
      <c r="N183">
        <f>SUMIF('Как есть'!$A$63:$A$70,Доп.расчеты!$A183,'Как есть'!O$63:O$70)</f>
        <v>0</v>
      </c>
      <c r="O183">
        <f>SUMIF('Как есть'!$A$63:$A$70,Доп.расчеты!$A183,'Как есть'!P$63:P$70)</f>
        <v>0</v>
      </c>
      <c r="P183">
        <f>SUMIF('Как есть'!$A$63:$A$70,Доп.расчеты!$A183,'Как есть'!Q$63:Q$70)</f>
        <v>0</v>
      </c>
      <c r="Q183">
        <f>SUMIF('Как есть'!$A$63:$A$70,Доп.расчеты!$A183,'Как есть'!R$63:R$70)</f>
        <v>0</v>
      </c>
      <c r="R183">
        <f>SUMIF('Как есть'!$A$63:$A$70,Доп.расчеты!$A183,'Как есть'!S$63:S$70)</f>
        <v>0</v>
      </c>
      <c r="S183">
        <f>SUMIF('Как есть'!$A$63:$A$70,Доп.расчеты!$A183,'Как есть'!T$63:T$70)</f>
        <v>0</v>
      </c>
      <c r="T183">
        <f>SUMIF('Как есть'!$A$63:$A$70,Доп.расчеты!$A183,'Как есть'!U$63:U$70)</f>
        <v>0</v>
      </c>
      <c r="U183">
        <f>SUMIF('Как есть'!$A$63:$A$70,Доп.расчеты!$A183,'Как есть'!V$63:V$70)</f>
        <v>0</v>
      </c>
      <c r="V183">
        <f>SUMIF('Как есть'!$A$63:$A$70,Доп.расчеты!$A183,'Как есть'!W$63:W$70)</f>
        <v>0</v>
      </c>
      <c r="W183">
        <f>SUMIF('Как есть'!$A$63:$A$70,Доп.расчеты!$A183,'Как есть'!X$63:X$70)</f>
        <v>0</v>
      </c>
      <c r="X183">
        <f>SUMIF('Как есть'!$A$63:$A$70,Доп.расчеты!$A183,'Как есть'!Y$63:Y$70)</f>
        <v>0</v>
      </c>
      <c r="Y183">
        <f>SUMIF('Как есть'!$A$63:$A$70,Доп.расчеты!$A183,'Как есть'!Z$63:Z$70)</f>
        <v>0</v>
      </c>
      <c r="Z183">
        <f>SUMIF('Как есть'!$A$63:$A$70,Доп.расчеты!$A183,'Как есть'!AA$63:AA$70)</f>
        <v>0</v>
      </c>
      <c r="AA183">
        <f>SUMIF('Как есть'!$A$63:$A$70,Доп.расчеты!$A183,'Как есть'!AB$63:AB$70)</f>
        <v>0</v>
      </c>
      <c r="AB183">
        <f>SUMIF('Как есть'!$A$63:$A$70,Доп.расчеты!$A183,'Как есть'!AC$63:AC$70)</f>
        <v>0</v>
      </c>
      <c r="AC183">
        <f>SUMIF('Как есть'!$A$63:$A$70,Доп.расчеты!$A183,'Как есть'!AD$63:AD$70)</f>
        <v>0</v>
      </c>
      <c r="AD183">
        <f>SUMIF('Как есть'!$A$63:$A$70,Доп.расчеты!$A183,'Как есть'!AE$63:AE$70)</f>
        <v>0</v>
      </c>
      <c r="AE183">
        <f>SUMIF('Как есть'!$A$63:$A$70,Доп.расчеты!$A183,'Как есть'!AF$63:AF$70)</f>
        <v>0</v>
      </c>
      <c r="AF183">
        <f>SUMIF('Как есть'!$A$63:$A$70,Доп.расчеты!$A183,'Как есть'!AG$63:AG$70)</f>
        <v>0</v>
      </c>
      <c r="AG183">
        <f>SUMIF('Как есть'!$A$63:$A$70,Доп.расчеты!$A183,'Как есть'!AH$63:AH$70)</f>
        <v>0</v>
      </c>
      <c r="AH183">
        <f>SUMIF('Как есть'!$A$63:$A$70,Доп.расчеты!$A183,'Как есть'!AI$63:AI$70)</f>
        <v>0</v>
      </c>
      <c r="AI183">
        <f>SUMIF('Как есть'!$A$63:$A$70,Доп.расчеты!$A183,'Как есть'!AJ$63:AJ$70)</f>
        <v>0</v>
      </c>
      <c r="AJ183">
        <f>SUMIF('Как есть'!$A$63:$A$70,Доп.расчеты!$A183,'Как есть'!AK$63:AK$70)</f>
        <v>0</v>
      </c>
      <c r="AK183">
        <f>SUMIF('Как есть'!$A$63:$A$70,Доп.расчеты!$A183,'Как есть'!AL$63:AL$70)</f>
        <v>0</v>
      </c>
      <c r="AL183">
        <f>SUMIF('Как есть'!$A$63:$A$70,Доп.расчеты!$A183,'Как есть'!AM$63:AM$70)</f>
        <v>0</v>
      </c>
      <c r="AM183">
        <f>SUMIF('Как есть'!$A$63:$A$70,Доп.расчеты!$A183,'Как есть'!AN$63:AN$70)</f>
        <v>0</v>
      </c>
      <c r="AN183">
        <f>SUMIF('Как есть'!$A$63:$A$70,Доп.расчеты!$A183,'Как есть'!AO$63:AO$70)</f>
        <v>0</v>
      </c>
      <c r="AO183">
        <f>SUMIF('Как есть'!$A$63:$A$70,Доп.расчеты!$A183,'Как есть'!AP$63:AP$70)</f>
        <v>0</v>
      </c>
      <c r="AP183">
        <f>SUMIF('Как есть'!$A$63:$A$70,Доп.расчеты!$A183,'Как есть'!AQ$63:AQ$70)</f>
        <v>0</v>
      </c>
      <c r="AQ183">
        <f>SUMIF('Как есть'!$A$63:$A$70,Доп.расчеты!$A183,'Как есть'!AR$63:AR$70)</f>
        <v>0</v>
      </c>
      <c r="AR183">
        <f>SUMIF('Как есть'!$A$63:$A$70,Доп.расчеты!$A183,'Как есть'!AS$63:AS$70)</f>
        <v>0</v>
      </c>
      <c r="AS183">
        <f>SUMIF('Как есть'!$A$63:$A$70,Доп.расчеты!$A183,'Как есть'!AT$63:AT$70)</f>
        <v>0</v>
      </c>
      <c r="AT183">
        <f>SUMIF('Как есть'!$A$63:$A$70,Доп.расчеты!$A183,'Как есть'!AU$63:AU$70)</f>
        <v>0</v>
      </c>
      <c r="AU183">
        <f>SUMIF('Как есть'!$A$63:$A$70,Доп.расчеты!$A183,'Как есть'!AV$63:AV$70)</f>
        <v>0</v>
      </c>
      <c r="AV183">
        <f>SUMIF('Как есть'!$A$63:$A$70,Доп.расчеты!$A183,'Как есть'!AW$63:AW$70)</f>
        <v>0</v>
      </c>
      <c r="AW183">
        <f>SUMIF('Как есть'!$A$63:$A$70,Доп.расчеты!$A183,'Как есть'!AX$63:AX$70)</f>
        <v>0</v>
      </c>
      <c r="AX183">
        <f>SUMIF('Как есть'!$A$63:$A$70,Доп.расчеты!$A183,'Как есть'!AY$63:AY$70)</f>
        <v>0</v>
      </c>
      <c r="AY183">
        <f>SUMIF('Как есть'!$A$63:$A$70,Доп.расчеты!$A183,'Как есть'!AZ$63:AZ$70)</f>
        <v>0</v>
      </c>
      <c r="AZ183">
        <f>SUMIF('Как есть'!$A$63:$A$70,Доп.расчеты!$A183,'Как есть'!BA$63:BA$70)</f>
        <v>0</v>
      </c>
      <c r="BA183">
        <f>SUMIF('Как есть'!$A$63:$A$70,Доп.расчеты!$A183,'Как есть'!BB$63:BB$70)</f>
        <v>0</v>
      </c>
      <c r="BB183">
        <f>SUMIF('Как есть'!$A$63:$A$70,Доп.расчеты!$A183,'Как есть'!BC$63:BC$70)</f>
        <v>0</v>
      </c>
      <c r="BC183">
        <f>SUMIF('Как есть'!$A$63:$A$70,Доп.расчеты!$A183,'Как есть'!BD$63:BD$70)</f>
        <v>0</v>
      </c>
      <c r="BD183">
        <f>SUMIF('Как есть'!$A$63:$A$70,Доп.расчеты!$A183,'Как есть'!BE$63:BE$70)</f>
        <v>0</v>
      </c>
      <c r="BE183">
        <f>SUMIF('Как есть'!$A$63:$A$70,Доп.расчеты!$A183,'Как есть'!BF$63:BF$70)</f>
        <v>0</v>
      </c>
      <c r="BF183">
        <f>SUMIF('Как есть'!$A$63:$A$70,Доп.расчеты!$A183,'Как есть'!BG$63:BG$70)</f>
        <v>0</v>
      </c>
      <c r="BG183">
        <f>SUMIF('Как есть'!$A$63:$A$70,Доп.расчеты!$A183,'Как есть'!BH$63:BH$70)</f>
        <v>0</v>
      </c>
      <c r="BH183">
        <f>SUMIF('Как есть'!$A$63:$A$70,Доп.расчеты!$A183,'Как есть'!BI$63:BI$70)</f>
        <v>0</v>
      </c>
      <c r="BI183">
        <f>SUMIF('Как есть'!$A$63:$A$70,Доп.расчеты!$A183,'Как есть'!BJ$63:BJ$70)</f>
        <v>0</v>
      </c>
      <c r="BJ183">
        <f>SUMIF('Как есть'!$A$63:$A$70,Доп.расчеты!$A183,'Как есть'!BK$63:BK$70)</f>
        <v>0</v>
      </c>
      <c r="BK183">
        <f>SUMIF('Как есть'!$A$63:$A$70,Доп.расчеты!$A183,'Как есть'!BL$63:BL$70)</f>
        <v>0</v>
      </c>
      <c r="BL183">
        <f>SUMIF('Как есть'!$A$63:$A$70,Доп.расчеты!$A183,'Как есть'!BM$63:BM$70)</f>
        <v>0</v>
      </c>
      <c r="BM183">
        <f>SUMIF('Как есть'!$A$63:$A$70,Доп.расчеты!$A183,'Как есть'!BN$63:BN$70)</f>
        <v>0</v>
      </c>
      <c r="BN183">
        <f>SUMIF('Как есть'!$A$63:$A$70,Доп.расчеты!$A183,'Как есть'!BO$63:BO$70)</f>
        <v>0</v>
      </c>
      <c r="BO183">
        <f>SUMIF('Как есть'!$A$63:$A$70,Доп.расчеты!$A183,'Как есть'!BP$63:BP$70)</f>
        <v>0</v>
      </c>
      <c r="BP183">
        <f>SUMIF('Как есть'!$A$63:$A$70,Доп.расчеты!$A183,'Как есть'!BQ$63:BQ$70)</f>
        <v>0</v>
      </c>
      <c r="BQ183">
        <f>SUMIF('Как есть'!$A$63:$A$70,Доп.расчеты!$A183,'Как есть'!BR$63:BR$70)</f>
        <v>0</v>
      </c>
      <c r="BR183">
        <f>SUMIF('Как есть'!$A$63:$A$70,Доп.расчеты!$A183,'Как есть'!BS$63:BS$70)</f>
        <v>0</v>
      </c>
      <c r="BS183">
        <f>SUMIF('Как есть'!$A$63:$A$70,Доп.расчеты!$A183,'Как есть'!BT$63:BT$70)</f>
        <v>0</v>
      </c>
      <c r="BT183">
        <f>SUMIF('Как есть'!$A$63:$A$70,Доп.расчеты!$A183,'Как есть'!BU$63:BU$70)</f>
        <v>0</v>
      </c>
      <c r="BU183">
        <f>SUMIF('Как есть'!$A$63:$A$70,Доп.расчеты!$A183,'Как есть'!BV$63:BV$70)</f>
        <v>0</v>
      </c>
      <c r="BV183">
        <f>SUMIF('Как есть'!$A$63:$A$70,Доп.расчеты!$A183,'Как есть'!BW$63:BW$70)</f>
        <v>0</v>
      </c>
      <c r="BW183">
        <f>SUMIF('Как есть'!$A$63:$A$70,Доп.расчеты!$A183,'Как есть'!BX$63:BX$70)</f>
        <v>0</v>
      </c>
      <c r="BX183">
        <f>SUMIF('Как есть'!$A$63:$A$70,Доп.расчеты!$A183,'Как есть'!BY$63:BY$70)</f>
        <v>0</v>
      </c>
      <c r="BY183">
        <f>SUMIF('Как есть'!$A$63:$A$70,Доп.расчеты!$A183,'Как есть'!BZ$63:BZ$70)</f>
        <v>0</v>
      </c>
      <c r="BZ183">
        <f>SUMIF('Как есть'!$A$63:$A$70,Доп.расчеты!$A183,'Как есть'!CA$63:CA$70)</f>
        <v>0</v>
      </c>
      <c r="CA183">
        <f>SUMIF('Как есть'!$A$63:$A$70,Доп.расчеты!$A183,'Как есть'!CB$63:CB$70)</f>
        <v>0</v>
      </c>
      <c r="CB183">
        <f>SUMIF('Как есть'!$A$63:$A$70,Доп.расчеты!$A183,'Как есть'!CC$63:CC$70)</f>
        <v>0</v>
      </c>
      <c r="CC183">
        <f>SUMIF('Как есть'!$A$63:$A$70,Доп.расчеты!$A183,'Как есть'!CD$63:CD$70)</f>
        <v>0</v>
      </c>
      <c r="CD183">
        <f>SUMIF('Как есть'!$A$63:$A$70,Доп.расчеты!$A183,'Как есть'!CE$63:CE$70)</f>
        <v>0</v>
      </c>
      <c r="CE183">
        <f>SUMIF('Как есть'!$A$63:$A$70,Доп.расчеты!$A183,'Как есть'!CF$63:CF$70)</f>
        <v>0</v>
      </c>
      <c r="CF183">
        <f>SUMIF('Как есть'!$A$63:$A$70,Доп.расчеты!$A183,'Как есть'!CG$63:CG$70)</f>
        <v>0</v>
      </c>
      <c r="CG183">
        <f>SUMIF('Как есть'!$A$63:$A$70,Доп.расчеты!$A183,'Как есть'!CH$63:CH$70)</f>
        <v>0</v>
      </c>
      <c r="CH183">
        <f>SUMIF('Как есть'!$A$63:$A$70,Доп.расчеты!$A183,'Как есть'!CI$63:CI$70)</f>
        <v>0</v>
      </c>
      <c r="CI183">
        <f>SUMIF('Как есть'!$A$63:$A$70,Доп.расчеты!$A183,'Как есть'!CJ$63:CJ$70)</f>
        <v>0</v>
      </c>
      <c r="CJ183">
        <f>SUMIF('Как есть'!$A$63:$A$70,Доп.расчеты!$A183,'Как есть'!CK$63:CK$70)</f>
        <v>0</v>
      </c>
      <c r="CK183">
        <f>SUMIF('Как есть'!$A$63:$A$70,Доп.расчеты!$A183,'Как есть'!CL$63:CL$70)</f>
        <v>0</v>
      </c>
      <c r="CL183">
        <f>SUMIF('Как есть'!$A$63:$A$70,Доп.расчеты!$A183,'Как есть'!CM$63:CM$70)</f>
        <v>0</v>
      </c>
      <c r="CM183">
        <f>SUMIF('Как есть'!$A$63:$A$70,Доп.расчеты!$A183,'Как есть'!CN$63:CN$70)</f>
        <v>0</v>
      </c>
      <c r="CN183">
        <f>SUMIF('Как есть'!$A$63:$A$70,Доп.расчеты!$A183,'Как есть'!CO$63:CO$70)</f>
        <v>0</v>
      </c>
      <c r="CO183">
        <f>SUMIF('Как есть'!$A$63:$A$70,Доп.расчеты!$A183,'Как есть'!CP$63:CP$70)</f>
        <v>0</v>
      </c>
      <c r="CP183">
        <f>SUMIF('Как есть'!$A$63:$A$70,Доп.расчеты!$A183,'Как есть'!CQ$63:CQ$70)</f>
        <v>0</v>
      </c>
      <c r="CQ183">
        <f>SUMIF('Как есть'!$A$63:$A$70,Доп.расчеты!$A183,'Как есть'!CR$63:CR$70)</f>
        <v>0</v>
      </c>
      <c r="CR183">
        <f>SUMIF('Как есть'!$A$63:$A$70,Доп.расчеты!$A183,'Как есть'!CS$63:CS$70)</f>
        <v>0</v>
      </c>
      <c r="CS183">
        <f>SUMIF('Как есть'!$A$63:$A$70,Доп.расчеты!$A183,'Как есть'!CT$63:CT$70)</f>
        <v>0</v>
      </c>
      <c r="CT183">
        <f>SUMIF('Как есть'!$A$63:$A$70,Доп.расчеты!$A183,'Как есть'!CU$63:CU$70)</f>
        <v>0</v>
      </c>
      <c r="CU183">
        <f>SUMIF('Как есть'!$A$63:$A$70,Доп.расчеты!$A183,'Как есть'!CV$63:CV$70)</f>
        <v>0</v>
      </c>
      <c r="CV183">
        <f>SUMIF('Как есть'!$A$63:$A$70,Доп.расчеты!$A183,'Как есть'!CW$63:CW$70)</f>
        <v>0</v>
      </c>
      <c r="CW183">
        <f>SUMIF('Как есть'!$A$63:$A$70,Доп.расчеты!$A183,'Как есть'!CX$63:CX$70)</f>
        <v>0</v>
      </c>
      <c r="CX183">
        <f>SUMIF('Как есть'!$A$63:$A$70,Доп.расчеты!$A183,'Как есть'!CY$63:CY$70)</f>
        <v>0</v>
      </c>
      <c r="CY183">
        <f>SUMIF('Как есть'!$A$63:$A$70,Доп.расчеты!$A183,'Как есть'!CZ$63:CZ$70)</f>
        <v>0</v>
      </c>
      <c r="CZ183">
        <f>SUMIF('Как есть'!$A$63:$A$70,Доп.расчеты!$A183,'Как есть'!DA$63:DA$70)</f>
        <v>0</v>
      </c>
      <c r="DA183">
        <f>SUMIF('Как есть'!$A$63:$A$70,Доп.расчеты!$A183,'Как есть'!DB$63:DB$70)</f>
        <v>0</v>
      </c>
      <c r="DB183">
        <f>SUMIF('Как есть'!$A$63:$A$70,Доп.расчеты!$A183,'Как есть'!DC$63:DC$70)</f>
        <v>0</v>
      </c>
      <c r="DC183">
        <f>SUMIF('Как есть'!$A$63:$A$70,Доп.расчеты!$A183,'Как есть'!DD$63:DD$70)</f>
        <v>0</v>
      </c>
      <c r="DD183">
        <f>SUMIF('Как есть'!$A$63:$A$70,Доп.расчеты!$A183,'Как есть'!DE$63:DE$70)</f>
        <v>0</v>
      </c>
      <c r="DE183">
        <f>SUMIF('Как есть'!$A$63:$A$70,Доп.расчеты!$A183,'Как есть'!DF$63:DF$70)</f>
        <v>0</v>
      </c>
      <c r="DF183">
        <f>SUMIF('Как есть'!$A$63:$A$70,Доп.расчеты!$A183,'Как есть'!DG$63:DG$70)</f>
        <v>0</v>
      </c>
      <c r="DG183">
        <f>SUMIF('Как есть'!$A$63:$A$70,Доп.расчеты!$A183,'Как есть'!DH$63:DH$70)</f>
        <v>0</v>
      </c>
      <c r="DH183">
        <f>SUMIF('Как есть'!$A$63:$A$70,Доп.расчеты!$A183,'Как есть'!DI$63:DI$70)</f>
        <v>0</v>
      </c>
      <c r="DI183">
        <f>SUMIF('Как есть'!$A$63:$A$70,Доп.расчеты!$A183,'Как есть'!DJ$63:DJ$70)</f>
        <v>0</v>
      </c>
      <c r="DJ183">
        <f>SUMIF('Как есть'!$A$63:$A$70,Доп.расчеты!$A183,'Как есть'!DK$63:DK$70)</f>
        <v>0</v>
      </c>
      <c r="DK183">
        <f>SUMIF('Как есть'!$A$63:$A$70,Доп.расчеты!$A183,'Как есть'!DL$63:DL$70)</f>
        <v>0</v>
      </c>
      <c r="DL183">
        <f>SUMIF('Как есть'!$A$63:$A$70,Доп.расчеты!$A183,'Как есть'!DM$63:DM$70)</f>
        <v>0</v>
      </c>
      <c r="DM183">
        <f>SUMIF('Как есть'!$A$63:$A$70,Доп.расчеты!$A183,'Как есть'!DN$63:DN$70)</f>
        <v>0</v>
      </c>
      <c r="DN183">
        <f>SUMIF('Как есть'!$A$63:$A$70,Доп.расчеты!$A183,'Как есть'!DO$63:DO$70)</f>
        <v>0</v>
      </c>
      <c r="DO183">
        <f>SUMIF('Как есть'!$A$63:$A$70,Доп.расчеты!$A183,'Как есть'!DP$63:DP$70)</f>
        <v>0</v>
      </c>
      <c r="DP183">
        <f>SUMIF('Как есть'!$A$63:$A$70,Доп.расчеты!$A183,'Как есть'!DQ$63:DQ$70)</f>
        <v>0</v>
      </c>
      <c r="DQ183">
        <f>SUMIF('Как есть'!$A$63:$A$70,Доп.расчеты!$A183,'Как есть'!DR$63:DR$70)</f>
        <v>0</v>
      </c>
      <c r="DR183">
        <f>SUMIF('Как есть'!$A$63:$A$70,Доп.расчеты!$A183,'Как есть'!DS$63:DS$70)</f>
        <v>0</v>
      </c>
      <c r="DS183">
        <f>SUMIF('Как есть'!$A$63:$A$70,Доп.расчеты!$A183,'Как есть'!DT$63:DT$70)</f>
        <v>0</v>
      </c>
      <c r="DT183">
        <f>SUMIF('Как есть'!$A$63:$A$70,Доп.расчеты!$A183,'Как есть'!DU$63:DU$70)</f>
        <v>0</v>
      </c>
      <c r="DU183">
        <f>SUMIF('Как есть'!$A$63:$A$70,Доп.расчеты!$A183,'Как есть'!DV$63:DV$70)</f>
        <v>0</v>
      </c>
      <c r="DV183">
        <f>SUMIF('Как есть'!$A$63:$A$70,Доп.расчеты!$A183,'Как есть'!DW$63:DW$70)</f>
        <v>0</v>
      </c>
      <c r="DW183">
        <f>SUMIF('Как есть'!$A$63:$A$70,Доп.расчеты!$A183,'Как есть'!DX$63:DX$70)</f>
        <v>0</v>
      </c>
      <c r="DX183">
        <f>SUMIF('Как есть'!$A$63:$A$70,Доп.расчеты!$A183,'Как есть'!DY$63:DY$70)</f>
        <v>0</v>
      </c>
      <c r="DY183">
        <f>SUMIF('Как есть'!$A$63:$A$70,Доп.расчеты!$A183,'Как есть'!DZ$63:DZ$70)</f>
        <v>0</v>
      </c>
      <c r="DZ183">
        <f>SUMIF('Как есть'!$A$63:$A$70,Доп.расчеты!$A183,'Как есть'!EA$63:EA$70)</f>
        <v>0</v>
      </c>
      <c r="EA183">
        <f>SUMIF('Как есть'!$A$63:$A$70,Доп.расчеты!$A183,'Как есть'!EB$63:EB$70)</f>
        <v>0</v>
      </c>
      <c r="EB183">
        <f>SUMIF('Как есть'!$A$63:$A$70,Доп.расчеты!$A183,'Как есть'!EC$63:EC$70)</f>
        <v>0</v>
      </c>
      <c r="EC183">
        <f>SUMIF('Как есть'!$A$63:$A$70,Доп.расчеты!$A183,'Как есть'!ED$63:ED$70)</f>
        <v>0</v>
      </c>
      <c r="ED183">
        <f>SUMIF('Как есть'!$A$63:$A$70,Доп.расчеты!$A183,'Как есть'!EE$63:EE$70)</f>
        <v>0</v>
      </c>
      <c r="EE183">
        <f>SUMIF('Как есть'!$A$63:$A$70,Доп.расчеты!$A183,'Как есть'!EF$63:EF$70)</f>
        <v>0</v>
      </c>
      <c r="EF183">
        <f>SUMIF('Как есть'!$A$63:$A$70,Доп.расчеты!$A183,'Как есть'!EG$63:EG$70)</f>
        <v>0</v>
      </c>
      <c r="EG183">
        <f>SUMIF('Как есть'!$A$63:$A$70,Доп.расчеты!$A183,'Как есть'!EH$63:EH$70)</f>
        <v>0</v>
      </c>
      <c r="EH183">
        <f>SUMIF('Как есть'!$A$63:$A$70,Доп.расчеты!$A183,'Как есть'!EI$63:EI$70)</f>
        <v>0</v>
      </c>
      <c r="EI183">
        <f>SUMIF('Как есть'!$A$63:$A$70,Доп.расчеты!$A183,'Как есть'!EJ$63:EJ$70)</f>
        <v>0</v>
      </c>
      <c r="EJ183">
        <f>SUMIF('Как есть'!$A$63:$A$70,Доп.расчеты!$A183,'Как есть'!EK$63:EK$70)</f>
        <v>0</v>
      </c>
      <c r="EK183">
        <f>SUMIF('Как есть'!$A$63:$A$70,Доп.расчеты!$A183,'Как есть'!EL$63:EL$70)</f>
        <v>0</v>
      </c>
      <c r="EL183">
        <f>SUMIF('Как есть'!$A$63:$A$70,Доп.расчеты!$A183,'Как есть'!EM$63:EM$70)</f>
        <v>0</v>
      </c>
      <c r="EM183">
        <f>SUMIF('Как есть'!$A$63:$A$70,Доп.расчеты!$A183,'Как есть'!EN$63:EN$70)</f>
        <v>0</v>
      </c>
      <c r="EN183">
        <f>SUMIF('Как есть'!$A$63:$A$70,Доп.расчеты!$A183,'Как есть'!EO$63:EO$70)</f>
        <v>0</v>
      </c>
      <c r="EO183">
        <f>SUMIF('Как есть'!$A$63:$A$70,Доп.расчеты!$A183,'Как есть'!EP$63:EP$70)</f>
        <v>0</v>
      </c>
      <c r="EP183">
        <f>SUMIF('Как есть'!$A$63:$A$70,Доп.расчеты!$A183,'Как есть'!EQ$63:EQ$70)</f>
        <v>0</v>
      </c>
      <c r="EQ183">
        <f>SUMIF('Как есть'!$A$63:$A$70,Доп.расчеты!$A183,'Как есть'!ER$63:ER$70)</f>
        <v>0</v>
      </c>
      <c r="ER183">
        <f>SUMIF('Как есть'!$A$63:$A$70,Доп.расчеты!$A183,'Как есть'!ES$63:ES$70)</f>
        <v>0</v>
      </c>
      <c r="ES183">
        <f>SUMIF('Как есть'!$A$63:$A$70,Доп.расчеты!$A183,'Как есть'!ET$63:ET$70)</f>
        <v>0</v>
      </c>
      <c r="ET183">
        <f>SUMIF('Как есть'!$A$63:$A$70,Доп.расчеты!$A183,'Как есть'!EU$63:EU$70)</f>
        <v>0</v>
      </c>
      <c r="EU183">
        <f>SUMIF('Как есть'!$A$63:$A$70,Доп.расчеты!$A183,'Как есть'!EV$63:EV$70)</f>
        <v>0</v>
      </c>
      <c r="EV183">
        <f>SUMIF('Как есть'!$A$63:$A$70,Доп.расчеты!$A183,'Как есть'!EW$63:EW$70)</f>
        <v>0</v>
      </c>
      <c r="EW183">
        <f>SUMIF('Как есть'!$A$63:$A$70,Доп.расчеты!$A183,'Как есть'!EX$63:EX$70)</f>
        <v>0</v>
      </c>
      <c r="EX183">
        <f>SUMIF('Как есть'!$A$63:$A$70,Доп.расчеты!$A183,'Как есть'!EY$63:EY$70)</f>
        <v>0</v>
      </c>
      <c r="EY183">
        <f>SUMIF('Как есть'!$A$63:$A$70,Доп.расчеты!$A183,'Как есть'!EZ$63:EZ$70)</f>
        <v>0</v>
      </c>
      <c r="EZ183">
        <f>SUMIF('Как есть'!$A$63:$A$70,Доп.расчеты!$A183,'Как есть'!FA$63:FA$70)</f>
        <v>0</v>
      </c>
      <c r="FA183">
        <f>SUMIF('Как есть'!$A$63:$A$70,Доп.расчеты!$A183,'Как есть'!FB$63:FB$70)</f>
        <v>0</v>
      </c>
      <c r="FB183">
        <f>SUMIF('Как есть'!$A$63:$A$70,Доп.расчеты!$A183,'Как есть'!FC$63:FC$70)</f>
        <v>0</v>
      </c>
      <c r="FC183">
        <f>SUMIF('Как есть'!$A$63:$A$70,Доп.расчеты!$A183,'Как есть'!FD$63:FD$70)</f>
        <v>0</v>
      </c>
      <c r="FD183">
        <f>SUMIF('Как есть'!$A$63:$A$70,Доп.расчеты!$A183,'Как есть'!FE$63:FE$70)</f>
        <v>0</v>
      </c>
      <c r="FE183">
        <f>SUMIF('Как есть'!$A$63:$A$70,Доп.расчеты!$A183,'Как есть'!FF$63:FF$70)</f>
        <v>0</v>
      </c>
      <c r="FF183">
        <f>SUMIF('Как есть'!$A$63:$A$70,Доп.расчеты!$A183,'Как есть'!FG$63:FG$70)</f>
        <v>0</v>
      </c>
      <c r="FG183">
        <f>SUMIF('Как есть'!$A$63:$A$70,Доп.расчеты!$A183,'Как есть'!FH$63:FH$70)</f>
        <v>0</v>
      </c>
      <c r="FH183">
        <f>SUMIF('Как есть'!$A$63:$A$70,Доп.расчеты!$A183,'Как есть'!FI$63:FI$70)</f>
        <v>0</v>
      </c>
      <c r="FI183">
        <f>SUMIF('Как есть'!$A$63:$A$70,Доп.расчеты!$A183,'Как есть'!FJ$63:FJ$70)</f>
        <v>0</v>
      </c>
      <c r="FJ183">
        <f>SUMIF('Как есть'!$A$63:$A$70,Доп.расчеты!$A183,'Как есть'!FK$63:FK$70)</f>
        <v>0</v>
      </c>
      <c r="FK183">
        <f>SUMIF('Как есть'!$A$63:$A$70,Доп.расчеты!$A183,'Как есть'!FL$63:FL$70)</f>
        <v>0</v>
      </c>
      <c r="FL183">
        <f>SUMIF('Как есть'!$A$63:$A$70,Доп.расчеты!$A183,'Как есть'!FM$63:FM$70)</f>
        <v>0</v>
      </c>
      <c r="FM183">
        <f>SUMIF('Как есть'!$A$63:$A$70,Доп.расчеты!$A183,'Как есть'!FN$63:FN$70)</f>
        <v>0</v>
      </c>
      <c r="FN183">
        <f>SUMIF('Как есть'!$A$63:$A$70,Доп.расчеты!$A183,'Как есть'!FO$63:FO$70)</f>
        <v>0</v>
      </c>
      <c r="FO183">
        <f>SUMIF('Как есть'!$A$63:$A$70,Доп.расчеты!$A183,'Как есть'!FP$63:FP$70)</f>
        <v>0</v>
      </c>
      <c r="FP183">
        <f>SUMIF('Как есть'!$A$63:$A$70,Доп.расчеты!$A183,'Как есть'!FQ$63:FQ$70)</f>
        <v>0</v>
      </c>
      <c r="FQ183">
        <f>SUMIF('Как есть'!$A$63:$A$70,Доп.расчеты!$A183,'Как есть'!FR$63:FR$70)</f>
        <v>0</v>
      </c>
      <c r="FR183">
        <f>SUMIF('Как есть'!$A$63:$A$70,Доп.расчеты!$A183,'Как есть'!FS$63:FS$70)</f>
        <v>0</v>
      </c>
      <c r="FS183">
        <f>SUMIF('Как есть'!$A$63:$A$70,Доп.расчеты!$A183,'Как есть'!FT$63:FT$70)</f>
        <v>0</v>
      </c>
      <c r="FT183">
        <f>SUMIF('Как есть'!$A$63:$A$70,Доп.расчеты!$A183,'Как есть'!FU$63:FU$70)</f>
        <v>0</v>
      </c>
      <c r="FU183">
        <f>SUMIF('Как есть'!$A$63:$A$70,Доп.расчеты!$A183,'Как есть'!FV$63:FV$70)</f>
        <v>0</v>
      </c>
      <c r="FV183">
        <f>SUMIF('Как есть'!$A$63:$A$70,Доп.расчеты!$A183,'Как есть'!FW$63:FW$70)</f>
        <v>0</v>
      </c>
      <c r="FW183">
        <f>SUMIF('Как есть'!$A$63:$A$70,Доп.расчеты!$A183,'Как есть'!FX$63:FX$70)</f>
        <v>0</v>
      </c>
      <c r="FX183">
        <f>SUMIF('Как есть'!$A$63:$A$70,Доп.расчеты!$A183,'Как есть'!FY$63:FY$70)</f>
        <v>0</v>
      </c>
      <c r="FY183">
        <f>SUMIF('Как есть'!$A$63:$A$70,Доп.расчеты!$A183,'Как есть'!FZ$63:FZ$70)</f>
        <v>0</v>
      </c>
      <c r="FZ183">
        <f>SUMIF('Как есть'!$A$63:$A$70,Доп.расчеты!$A183,'Как есть'!GA$63:GA$70)</f>
        <v>0</v>
      </c>
      <c r="GA183">
        <f>SUMIF('Как есть'!$A$63:$A$70,Доп.расчеты!$A183,'Как есть'!GB$63:GB$70)</f>
        <v>0</v>
      </c>
      <c r="GB183">
        <f>SUMIF('Как есть'!$A$63:$A$70,Доп.расчеты!$A183,'Как есть'!GC$63:GC$70)</f>
        <v>0</v>
      </c>
      <c r="GC183">
        <f>SUMIF('Как есть'!$A$63:$A$70,Доп.расчеты!$A183,'Как есть'!GD$63:GD$70)</f>
        <v>0</v>
      </c>
      <c r="GD183">
        <f>SUMIF('Как есть'!$A$63:$A$70,Доп.расчеты!$A183,'Как есть'!GE$63:GE$70)</f>
        <v>0</v>
      </c>
      <c r="GE183">
        <f>SUMIF('Как есть'!$A$63:$A$70,Доп.расчеты!$A183,'Как есть'!GF$63:GF$70)</f>
        <v>0</v>
      </c>
      <c r="GF183">
        <f>SUMIF('Как есть'!$A$63:$A$70,Доп.расчеты!$A183,'Как есть'!GG$63:GG$70)</f>
        <v>0</v>
      </c>
      <c r="GG183">
        <f>SUMIF('Как есть'!$A$63:$A$70,Доп.расчеты!$A183,'Как есть'!GH$63:GH$70)</f>
        <v>0</v>
      </c>
      <c r="GH183">
        <f>SUMIF('Как есть'!$A$63:$A$70,Доп.расчеты!$A183,'Как есть'!GI$63:GI$70)</f>
        <v>0</v>
      </c>
      <c r="GI183">
        <f>SUMIF('Как есть'!$A$63:$A$70,Доп.расчеты!$A183,'Как есть'!GJ$63:GJ$70)</f>
        <v>0</v>
      </c>
      <c r="GJ183">
        <f>SUMIF('Как есть'!$A$63:$A$70,Доп.расчеты!$A183,'Как есть'!GK$63:GK$70)</f>
        <v>0</v>
      </c>
      <c r="GK183">
        <f>SUMIF('Как есть'!$A$63:$A$70,Доп.расчеты!$A183,'Как есть'!GL$63:GL$70)</f>
        <v>0</v>
      </c>
      <c r="GL183">
        <f>SUMIF('Как есть'!$A$63:$A$70,Доп.расчеты!$A183,'Как есть'!GM$63:GM$70)</f>
        <v>0</v>
      </c>
      <c r="GM183">
        <f>SUMIF('Как есть'!$A$63:$A$70,Доп.расчеты!$A183,'Как есть'!GN$63:GN$70)</f>
        <v>0</v>
      </c>
      <c r="GN183">
        <f>SUMIF('Как есть'!$A$63:$A$70,Доп.расчеты!$A183,'Как есть'!GO$63:GO$70)</f>
        <v>0</v>
      </c>
      <c r="GO183">
        <f>SUMIF('Как есть'!$A$63:$A$70,Доп.расчеты!$A183,'Как есть'!GP$63:GP$70)</f>
        <v>0</v>
      </c>
      <c r="GP183">
        <f>SUMIF('Как есть'!$A$63:$A$70,Доп.расчеты!$A183,'Как есть'!GQ$63:GQ$70)</f>
        <v>0</v>
      </c>
      <c r="GQ183">
        <f>SUMIF('Как есть'!$A$63:$A$70,Доп.расчеты!$A183,'Как есть'!GR$63:GR$70)</f>
        <v>0</v>
      </c>
      <c r="GR183">
        <f>SUMIF('Как есть'!$A$63:$A$70,Доп.расчеты!$A183,'Как есть'!GS$63:GS$70)</f>
        <v>0</v>
      </c>
      <c r="GS183">
        <f>SUMIF('Как есть'!$A$63:$A$70,Доп.расчеты!$A183,'Как есть'!GT$63:GT$70)</f>
        <v>0</v>
      </c>
      <c r="GT183">
        <f>SUMIF('Как есть'!$A$63:$A$70,Доп.расчеты!$A183,'Как есть'!GU$63:GU$70)</f>
        <v>0</v>
      </c>
    </row>
    <row r="184" spans="1:202" hidden="1" outlineLevel="1">
      <c r="A184" s="238" t="s">
        <v>116</v>
      </c>
      <c r="B184">
        <f>SUMIF('Как есть'!$A$63:$A$70,Доп.расчеты!$A184,'Как есть'!C$63:C$70)</f>
        <v>0</v>
      </c>
      <c r="C184">
        <f>SUMIF('Как есть'!$A$63:$A$70,Доп.расчеты!$A184,'Как есть'!D$63:D$70)</f>
        <v>0</v>
      </c>
      <c r="D184">
        <f>SUMIF('Как есть'!$A$63:$A$70,Доп.расчеты!$A184,'Как есть'!E$63:E$70)</f>
        <v>0</v>
      </c>
      <c r="E184">
        <f>SUMIF('Как есть'!$A$63:$A$70,Доп.расчеты!$A184,'Как есть'!F$63:F$70)</f>
        <v>0</v>
      </c>
      <c r="F184">
        <f>SUMIF('Как есть'!$A$63:$A$70,Доп.расчеты!$A184,'Как есть'!G$63:G$70)</f>
        <v>0</v>
      </c>
      <c r="G184">
        <f>SUMIF('Как есть'!$A$63:$A$70,Доп.расчеты!$A184,'Как есть'!H$63:H$70)</f>
        <v>0</v>
      </c>
      <c r="H184">
        <f>SUMIF('Как есть'!$A$63:$A$70,Доп.расчеты!$A184,'Как есть'!I$63:I$70)</f>
        <v>0</v>
      </c>
      <c r="I184">
        <f>SUMIF('Как есть'!$A$63:$A$70,Доп.расчеты!$A184,'Как есть'!J$63:J$70)</f>
        <v>0</v>
      </c>
      <c r="J184">
        <f>SUMIF('Как есть'!$A$63:$A$70,Доп.расчеты!$A184,'Как есть'!K$63:K$70)</f>
        <v>0</v>
      </c>
      <c r="K184">
        <f>SUMIF('Как есть'!$A$63:$A$70,Доп.расчеты!$A184,'Как есть'!L$63:L$70)</f>
        <v>0</v>
      </c>
      <c r="L184">
        <f>SUMIF('Как есть'!$A$63:$A$70,Доп.расчеты!$A184,'Как есть'!M$63:M$70)</f>
        <v>0</v>
      </c>
      <c r="M184">
        <f>SUMIF('Как есть'!$A$63:$A$70,Доп.расчеты!$A184,'Как есть'!N$63:N$70)</f>
        <v>0</v>
      </c>
      <c r="N184">
        <f>SUMIF('Как есть'!$A$63:$A$70,Доп.расчеты!$A184,'Как есть'!O$63:O$70)</f>
        <v>0</v>
      </c>
      <c r="O184">
        <f>SUMIF('Как есть'!$A$63:$A$70,Доп.расчеты!$A184,'Как есть'!P$63:P$70)</f>
        <v>0</v>
      </c>
      <c r="P184">
        <f>SUMIF('Как есть'!$A$63:$A$70,Доп.расчеты!$A184,'Как есть'!Q$63:Q$70)</f>
        <v>0</v>
      </c>
      <c r="Q184">
        <f>SUMIF('Как есть'!$A$63:$A$70,Доп.расчеты!$A184,'Как есть'!R$63:R$70)</f>
        <v>0</v>
      </c>
      <c r="R184">
        <f>SUMIF('Как есть'!$A$63:$A$70,Доп.расчеты!$A184,'Как есть'!S$63:S$70)</f>
        <v>0</v>
      </c>
      <c r="S184">
        <f>SUMIF('Как есть'!$A$63:$A$70,Доп.расчеты!$A184,'Как есть'!T$63:T$70)</f>
        <v>0</v>
      </c>
      <c r="T184">
        <f>SUMIF('Как есть'!$A$63:$A$70,Доп.расчеты!$A184,'Как есть'!U$63:U$70)</f>
        <v>0</v>
      </c>
      <c r="U184">
        <f>SUMIF('Как есть'!$A$63:$A$70,Доп.расчеты!$A184,'Как есть'!V$63:V$70)</f>
        <v>0</v>
      </c>
      <c r="V184">
        <f>SUMIF('Как есть'!$A$63:$A$70,Доп.расчеты!$A184,'Как есть'!W$63:W$70)</f>
        <v>0</v>
      </c>
      <c r="W184">
        <f>SUMIF('Как есть'!$A$63:$A$70,Доп.расчеты!$A184,'Как есть'!X$63:X$70)</f>
        <v>0</v>
      </c>
      <c r="X184">
        <f>SUMIF('Как есть'!$A$63:$A$70,Доп.расчеты!$A184,'Как есть'!Y$63:Y$70)</f>
        <v>0</v>
      </c>
      <c r="Y184">
        <f>SUMIF('Как есть'!$A$63:$A$70,Доп.расчеты!$A184,'Как есть'!Z$63:Z$70)</f>
        <v>0</v>
      </c>
      <c r="Z184">
        <f>SUMIF('Как есть'!$A$63:$A$70,Доп.расчеты!$A184,'Как есть'!AA$63:AA$70)</f>
        <v>0</v>
      </c>
      <c r="AA184">
        <f>SUMIF('Как есть'!$A$63:$A$70,Доп.расчеты!$A184,'Как есть'!AB$63:AB$70)</f>
        <v>0</v>
      </c>
      <c r="AB184">
        <f>SUMIF('Как есть'!$A$63:$A$70,Доп.расчеты!$A184,'Как есть'!AC$63:AC$70)</f>
        <v>0</v>
      </c>
      <c r="AC184">
        <f>SUMIF('Как есть'!$A$63:$A$70,Доп.расчеты!$A184,'Как есть'!AD$63:AD$70)</f>
        <v>0</v>
      </c>
      <c r="AD184">
        <f>SUMIF('Как есть'!$A$63:$A$70,Доп.расчеты!$A184,'Как есть'!AE$63:AE$70)</f>
        <v>0</v>
      </c>
      <c r="AE184">
        <f>SUMIF('Как есть'!$A$63:$A$70,Доп.расчеты!$A184,'Как есть'!AF$63:AF$70)</f>
        <v>0</v>
      </c>
      <c r="AF184">
        <f>SUMIF('Как есть'!$A$63:$A$70,Доп.расчеты!$A184,'Как есть'!AG$63:AG$70)</f>
        <v>0</v>
      </c>
      <c r="AG184">
        <f>SUMIF('Как есть'!$A$63:$A$70,Доп.расчеты!$A184,'Как есть'!AH$63:AH$70)</f>
        <v>0</v>
      </c>
      <c r="AH184">
        <f>SUMIF('Как есть'!$A$63:$A$70,Доп.расчеты!$A184,'Как есть'!AI$63:AI$70)</f>
        <v>0</v>
      </c>
      <c r="AI184">
        <f>SUMIF('Как есть'!$A$63:$A$70,Доп.расчеты!$A184,'Как есть'!AJ$63:AJ$70)</f>
        <v>0</v>
      </c>
      <c r="AJ184">
        <f>SUMIF('Как есть'!$A$63:$A$70,Доп.расчеты!$A184,'Как есть'!AK$63:AK$70)</f>
        <v>0</v>
      </c>
      <c r="AK184">
        <f>SUMIF('Как есть'!$A$63:$A$70,Доп.расчеты!$A184,'Как есть'!AL$63:AL$70)</f>
        <v>0</v>
      </c>
      <c r="AL184">
        <f>SUMIF('Как есть'!$A$63:$A$70,Доп.расчеты!$A184,'Как есть'!AM$63:AM$70)</f>
        <v>0</v>
      </c>
      <c r="AM184">
        <f>SUMIF('Как есть'!$A$63:$A$70,Доп.расчеты!$A184,'Как есть'!AN$63:AN$70)</f>
        <v>0</v>
      </c>
      <c r="AN184">
        <f>SUMIF('Как есть'!$A$63:$A$70,Доп.расчеты!$A184,'Как есть'!AO$63:AO$70)</f>
        <v>0</v>
      </c>
      <c r="AO184">
        <f>SUMIF('Как есть'!$A$63:$A$70,Доп.расчеты!$A184,'Как есть'!AP$63:AP$70)</f>
        <v>0</v>
      </c>
      <c r="AP184">
        <f>SUMIF('Как есть'!$A$63:$A$70,Доп.расчеты!$A184,'Как есть'!AQ$63:AQ$70)</f>
        <v>0</v>
      </c>
      <c r="AQ184">
        <f>SUMIF('Как есть'!$A$63:$A$70,Доп.расчеты!$A184,'Как есть'!AR$63:AR$70)</f>
        <v>0</v>
      </c>
      <c r="AR184">
        <f>SUMIF('Как есть'!$A$63:$A$70,Доп.расчеты!$A184,'Как есть'!AS$63:AS$70)</f>
        <v>0</v>
      </c>
      <c r="AS184">
        <f>SUMIF('Как есть'!$A$63:$A$70,Доп.расчеты!$A184,'Как есть'!AT$63:AT$70)</f>
        <v>0</v>
      </c>
      <c r="AT184">
        <f>SUMIF('Как есть'!$A$63:$A$70,Доп.расчеты!$A184,'Как есть'!AU$63:AU$70)</f>
        <v>0</v>
      </c>
      <c r="AU184">
        <f>SUMIF('Как есть'!$A$63:$A$70,Доп.расчеты!$A184,'Как есть'!AV$63:AV$70)</f>
        <v>0</v>
      </c>
      <c r="AV184">
        <f>SUMIF('Как есть'!$A$63:$A$70,Доп.расчеты!$A184,'Как есть'!AW$63:AW$70)</f>
        <v>0</v>
      </c>
      <c r="AW184">
        <f>SUMIF('Как есть'!$A$63:$A$70,Доп.расчеты!$A184,'Как есть'!AX$63:AX$70)</f>
        <v>0</v>
      </c>
      <c r="AX184">
        <f>SUMIF('Как есть'!$A$63:$A$70,Доп.расчеты!$A184,'Как есть'!AY$63:AY$70)</f>
        <v>0</v>
      </c>
      <c r="AY184">
        <f>SUMIF('Как есть'!$A$63:$A$70,Доп.расчеты!$A184,'Как есть'!AZ$63:AZ$70)</f>
        <v>0</v>
      </c>
      <c r="AZ184">
        <f>SUMIF('Как есть'!$A$63:$A$70,Доп.расчеты!$A184,'Как есть'!BA$63:BA$70)</f>
        <v>0</v>
      </c>
      <c r="BA184">
        <f>SUMIF('Как есть'!$A$63:$A$70,Доп.расчеты!$A184,'Как есть'!BB$63:BB$70)</f>
        <v>0</v>
      </c>
      <c r="BB184">
        <f>SUMIF('Как есть'!$A$63:$A$70,Доп.расчеты!$A184,'Как есть'!BC$63:BC$70)</f>
        <v>0</v>
      </c>
      <c r="BC184">
        <f>SUMIF('Как есть'!$A$63:$A$70,Доп.расчеты!$A184,'Как есть'!BD$63:BD$70)</f>
        <v>0</v>
      </c>
      <c r="BD184">
        <f>SUMIF('Как есть'!$A$63:$A$70,Доп.расчеты!$A184,'Как есть'!BE$63:BE$70)</f>
        <v>0</v>
      </c>
      <c r="BE184">
        <f>SUMIF('Как есть'!$A$63:$A$70,Доп.расчеты!$A184,'Как есть'!BF$63:BF$70)</f>
        <v>0</v>
      </c>
      <c r="BF184">
        <f>SUMIF('Как есть'!$A$63:$A$70,Доп.расчеты!$A184,'Как есть'!BG$63:BG$70)</f>
        <v>0</v>
      </c>
      <c r="BG184">
        <f>SUMIF('Как есть'!$A$63:$A$70,Доп.расчеты!$A184,'Как есть'!BH$63:BH$70)</f>
        <v>0</v>
      </c>
      <c r="BH184">
        <f>SUMIF('Как есть'!$A$63:$A$70,Доп.расчеты!$A184,'Как есть'!BI$63:BI$70)</f>
        <v>0</v>
      </c>
      <c r="BI184">
        <f>SUMIF('Как есть'!$A$63:$A$70,Доп.расчеты!$A184,'Как есть'!BJ$63:BJ$70)</f>
        <v>0</v>
      </c>
      <c r="BJ184">
        <f>SUMIF('Как есть'!$A$63:$A$70,Доп.расчеты!$A184,'Как есть'!BK$63:BK$70)</f>
        <v>0</v>
      </c>
      <c r="BK184">
        <f>SUMIF('Как есть'!$A$63:$A$70,Доп.расчеты!$A184,'Как есть'!BL$63:BL$70)</f>
        <v>0</v>
      </c>
      <c r="BL184">
        <f>SUMIF('Как есть'!$A$63:$A$70,Доп.расчеты!$A184,'Как есть'!BM$63:BM$70)</f>
        <v>0</v>
      </c>
      <c r="BM184">
        <f>SUMIF('Как есть'!$A$63:$A$70,Доп.расчеты!$A184,'Как есть'!BN$63:BN$70)</f>
        <v>0</v>
      </c>
      <c r="BN184">
        <f>SUMIF('Как есть'!$A$63:$A$70,Доп.расчеты!$A184,'Как есть'!BO$63:BO$70)</f>
        <v>0</v>
      </c>
      <c r="BO184">
        <f>SUMIF('Как есть'!$A$63:$A$70,Доп.расчеты!$A184,'Как есть'!BP$63:BP$70)</f>
        <v>0</v>
      </c>
      <c r="BP184">
        <f>SUMIF('Как есть'!$A$63:$A$70,Доп.расчеты!$A184,'Как есть'!BQ$63:BQ$70)</f>
        <v>0</v>
      </c>
      <c r="BQ184">
        <f>SUMIF('Как есть'!$A$63:$A$70,Доп.расчеты!$A184,'Как есть'!BR$63:BR$70)</f>
        <v>0</v>
      </c>
      <c r="BR184">
        <f>SUMIF('Как есть'!$A$63:$A$70,Доп.расчеты!$A184,'Как есть'!BS$63:BS$70)</f>
        <v>0</v>
      </c>
      <c r="BS184">
        <f>SUMIF('Как есть'!$A$63:$A$70,Доп.расчеты!$A184,'Как есть'!BT$63:BT$70)</f>
        <v>0</v>
      </c>
      <c r="BT184">
        <f>SUMIF('Как есть'!$A$63:$A$70,Доп.расчеты!$A184,'Как есть'!BU$63:BU$70)</f>
        <v>0</v>
      </c>
      <c r="BU184">
        <f>SUMIF('Как есть'!$A$63:$A$70,Доп.расчеты!$A184,'Как есть'!BV$63:BV$70)</f>
        <v>0</v>
      </c>
      <c r="BV184">
        <f>SUMIF('Как есть'!$A$63:$A$70,Доп.расчеты!$A184,'Как есть'!BW$63:BW$70)</f>
        <v>0</v>
      </c>
      <c r="BW184">
        <f>SUMIF('Как есть'!$A$63:$A$70,Доп.расчеты!$A184,'Как есть'!BX$63:BX$70)</f>
        <v>0</v>
      </c>
      <c r="BX184">
        <f>SUMIF('Как есть'!$A$63:$A$70,Доп.расчеты!$A184,'Как есть'!BY$63:BY$70)</f>
        <v>0</v>
      </c>
      <c r="BY184">
        <f>SUMIF('Как есть'!$A$63:$A$70,Доп.расчеты!$A184,'Как есть'!BZ$63:BZ$70)</f>
        <v>0</v>
      </c>
      <c r="BZ184">
        <f>SUMIF('Как есть'!$A$63:$A$70,Доп.расчеты!$A184,'Как есть'!CA$63:CA$70)</f>
        <v>0</v>
      </c>
      <c r="CA184">
        <f>SUMIF('Как есть'!$A$63:$A$70,Доп.расчеты!$A184,'Как есть'!CB$63:CB$70)</f>
        <v>0</v>
      </c>
      <c r="CB184">
        <f>SUMIF('Как есть'!$A$63:$A$70,Доп.расчеты!$A184,'Как есть'!CC$63:CC$70)</f>
        <v>0</v>
      </c>
      <c r="CC184">
        <f>SUMIF('Как есть'!$A$63:$A$70,Доп.расчеты!$A184,'Как есть'!CD$63:CD$70)</f>
        <v>0</v>
      </c>
      <c r="CD184">
        <f>SUMIF('Как есть'!$A$63:$A$70,Доп.расчеты!$A184,'Как есть'!CE$63:CE$70)</f>
        <v>0</v>
      </c>
      <c r="CE184">
        <f>SUMIF('Как есть'!$A$63:$A$70,Доп.расчеты!$A184,'Как есть'!CF$63:CF$70)</f>
        <v>0</v>
      </c>
      <c r="CF184">
        <f>SUMIF('Как есть'!$A$63:$A$70,Доп.расчеты!$A184,'Как есть'!CG$63:CG$70)</f>
        <v>0</v>
      </c>
      <c r="CG184">
        <f>SUMIF('Как есть'!$A$63:$A$70,Доп.расчеты!$A184,'Как есть'!CH$63:CH$70)</f>
        <v>0</v>
      </c>
      <c r="CH184">
        <f>SUMIF('Как есть'!$A$63:$A$70,Доп.расчеты!$A184,'Как есть'!CI$63:CI$70)</f>
        <v>0</v>
      </c>
      <c r="CI184">
        <f>SUMIF('Как есть'!$A$63:$A$70,Доп.расчеты!$A184,'Как есть'!CJ$63:CJ$70)</f>
        <v>0</v>
      </c>
      <c r="CJ184">
        <f>SUMIF('Как есть'!$A$63:$A$70,Доп.расчеты!$A184,'Как есть'!CK$63:CK$70)</f>
        <v>0</v>
      </c>
      <c r="CK184">
        <f>SUMIF('Как есть'!$A$63:$A$70,Доп.расчеты!$A184,'Как есть'!CL$63:CL$70)</f>
        <v>0</v>
      </c>
      <c r="CL184">
        <f>SUMIF('Как есть'!$A$63:$A$70,Доп.расчеты!$A184,'Как есть'!CM$63:CM$70)</f>
        <v>0</v>
      </c>
      <c r="CM184">
        <f>SUMIF('Как есть'!$A$63:$A$70,Доп.расчеты!$A184,'Как есть'!CN$63:CN$70)</f>
        <v>0</v>
      </c>
      <c r="CN184">
        <f>SUMIF('Как есть'!$A$63:$A$70,Доп.расчеты!$A184,'Как есть'!CO$63:CO$70)</f>
        <v>0</v>
      </c>
      <c r="CO184">
        <f>SUMIF('Как есть'!$A$63:$A$70,Доп.расчеты!$A184,'Как есть'!CP$63:CP$70)</f>
        <v>0</v>
      </c>
      <c r="CP184">
        <f>SUMIF('Как есть'!$A$63:$A$70,Доп.расчеты!$A184,'Как есть'!CQ$63:CQ$70)</f>
        <v>0</v>
      </c>
      <c r="CQ184">
        <f>SUMIF('Как есть'!$A$63:$A$70,Доп.расчеты!$A184,'Как есть'!CR$63:CR$70)</f>
        <v>0</v>
      </c>
      <c r="CR184">
        <f>SUMIF('Как есть'!$A$63:$A$70,Доп.расчеты!$A184,'Как есть'!CS$63:CS$70)</f>
        <v>0</v>
      </c>
      <c r="CS184">
        <f>SUMIF('Как есть'!$A$63:$A$70,Доп.расчеты!$A184,'Как есть'!CT$63:CT$70)</f>
        <v>0</v>
      </c>
      <c r="CT184">
        <f>SUMIF('Как есть'!$A$63:$A$70,Доп.расчеты!$A184,'Как есть'!CU$63:CU$70)</f>
        <v>0</v>
      </c>
      <c r="CU184">
        <f>SUMIF('Как есть'!$A$63:$A$70,Доп.расчеты!$A184,'Как есть'!CV$63:CV$70)</f>
        <v>0</v>
      </c>
      <c r="CV184">
        <f>SUMIF('Как есть'!$A$63:$A$70,Доп.расчеты!$A184,'Как есть'!CW$63:CW$70)</f>
        <v>0</v>
      </c>
      <c r="CW184">
        <f>SUMIF('Как есть'!$A$63:$A$70,Доп.расчеты!$A184,'Как есть'!CX$63:CX$70)</f>
        <v>0</v>
      </c>
      <c r="CX184">
        <f>SUMIF('Как есть'!$A$63:$A$70,Доп.расчеты!$A184,'Как есть'!CY$63:CY$70)</f>
        <v>0</v>
      </c>
      <c r="CY184">
        <f>SUMIF('Как есть'!$A$63:$A$70,Доп.расчеты!$A184,'Как есть'!CZ$63:CZ$70)</f>
        <v>0</v>
      </c>
      <c r="CZ184">
        <f>SUMIF('Как есть'!$A$63:$A$70,Доп.расчеты!$A184,'Как есть'!DA$63:DA$70)</f>
        <v>0</v>
      </c>
      <c r="DA184">
        <f>SUMIF('Как есть'!$A$63:$A$70,Доп.расчеты!$A184,'Как есть'!DB$63:DB$70)</f>
        <v>0</v>
      </c>
      <c r="DB184">
        <f>SUMIF('Как есть'!$A$63:$A$70,Доп.расчеты!$A184,'Как есть'!DC$63:DC$70)</f>
        <v>0</v>
      </c>
      <c r="DC184">
        <f>SUMIF('Как есть'!$A$63:$A$70,Доп.расчеты!$A184,'Как есть'!DD$63:DD$70)</f>
        <v>0</v>
      </c>
      <c r="DD184">
        <f>SUMIF('Как есть'!$A$63:$A$70,Доп.расчеты!$A184,'Как есть'!DE$63:DE$70)</f>
        <v>0</v>
      </c>
      <c r="DE184">
        <f>SUMIF('Как есть'!$A$63:$A$70,Доп.расчеты!$A184,'Как есть'!DF$63:DF$70)</f>
        <v>0</v>
      </c>
      <c r="DF184">
        <f>SUMIF('Как есть'!$A$63:$A$70,Доп.расчеты!$A184,'Как есть'!DG$63:DG$70)</f>
        <v>0</v>
      </c>
      <c r="DG184">
        <f>SUMIF('Как есть'!$A$63:$A$70,Доп.расчеты!$A184,'Как есть'!DH$63:DH$70)</f>
        <v>0</v>
      </c>
      <c r="DH184">
        <f>SUMIF('Как есть'!$A$63:$A$70,Доп.расчеты!$A184,'Как есть'!DI$63:DI$70)</f>
        <v>0</v>
      </c>
      <c r="DI184">
        <f>SUMIF('Как есть'!$A$63:$A$70,Доп.расчеты!$A184,'Как есть'!DJ$63:DJ$70)</f>
        <v>0</v>
      </c>
      <c r="DJ184">
        <f>SUMIF('Как есть'!$A$63:$A$70,Доп.расчеты!$A184,'Как есть'!DK$63:DK$70)</f>
        <v>0</v>
      </c>
      <c r="DK184">
        <f>SUMIF('Как есть'!$A$63:$A$70,Доп.расчеты!$A184,'Как есть'!DL$63:DL$70)</f>
        <v>0</v>
      </c>
      <c r="DL184">
        <f>SUMIF('Как есть'!$A$63:$A$70,Доп.расчеты!$A184,'Как есть'!DM$63:DM$70)</f>
        <v>0</v>
      </c>
      <c r="DM184">
        <f>SUMIF('Как есть'!$A$63:$A$70,Доп.расчеты!$A184,'Как есть'!DN$63:DN$70)</f>
        <v>0</v>
      </c>
      <c r="DN184">
        <f>SUMIF('Как есть'!$A$63:$A$70,Доп.расчеты!$A184,'Как есть'!DO$63:DO$70)</f>
        <v>0</v>
      </c>
      <c r="DO184">
        <f>SUMIF('Как есть'!$A$63:$A$70,Доп.расчеты!$A184,'Как есть'!DP$63:DP$70)</f>
        <v>0</v>
      </c>
      <c r="DP184">
        <f>SUMIF('Как есть'!$A$63:$A$70,Доп.расчеты!$A184,'Как есть'!DQ$63:DQ$70)</f>
        <v>0</v>
      </c>
      <c r="DQ184">
        <f>SUMIF('Как есть'!$A$63:$A$70,Доп.расчеты!$A184,'Как есть'!DR$63:DR$70)</f>
        <v>0</v>
      </c>
      <c r="DR184">
        <f>SUMIF('Как есть'!$A$63:$A$70,Доп.расчеты!$A184,'Как есть'!DS$63:DS$70)</f>
        <v>0</v>
      </c>
      <c r="DS184">
        <f>SUMIF('Как есть'!$A$63:$A$70,Доп.расчеты!$A184,'Как есть'!DT$63:DT$70)</f>
        <v>0</v>
      </c>
      <c r="DT184">
        <f>SUMIF('Как есть'!$A$63:$A$70,Доп.расчеты!$A184,'Как есть'!DU$63:DU$70)</f>
        <v>0</v>
      </c>
      <c r="DU184">
        <f>SUMIF('Как есть'!$A$63:$A$70,Доп.расчеты!$A184,'Как есть'!DV$63:DV$70)</f>
        <v>0</v>
      </c>
      <c r="DV184">
        <f>SUMIF('Как есть'!$A$63:$A$70,Доп.расчеты!$A184,'Как есть'!DW$63:DW$70)</f>
        <v>0</v>
      </c>
      <c r="DW184">
        <f>SUMIF('Как есть'!$A$63:$A$70,Доп.расчеты!$A184,'Как есть'!DX$63:DX$70)</f>
        <v>0</v>
      </c>
      <c r="DX184">
        <f>SUMIF('Как есть'!$A$63:$A$70,Доп.расчеты!$A184,'Как есть'!DY$63:DY$70)</f>
        <v>0</v>
      </c>
      <c r="DY184">
        <f>SUMIF('Как есть'!$A$63:$A$70,Доп.расчеты!$A184,'Как есть'!DZ$63:DZ$70)</f>
        <v>0</v>
      </c>
      <c r="DZ184">
        <f>SUMIF('Как есть'!$A$63:$A$70,Доп.расчеты!$A184,'Как есть'!EA$63:EA$70)</f>
        <v>0</v>
      </c>
      <c r="EA184">
        <f>SUMIF('Как есть'!$A$63:$A$70,Доп.расчеты!$A184,'Как есть'!EB$63:EB$70)</f>
        <v>0</v>
      </c>
      <c r="EB184">
        <f>SUMIF('Как есть'!$A$63:$A$70,Доп.расчеты!$A184,'Как есть'!EC$63:EC$70)</f>
        <v>0</v>
      </c>
      <c r="EC184">
        <f>SUMIF('Как есть'!$A$63:$A$70,Доп.расчеты!$A184,'Как есть'!ED$63:ED$70)</f>
        <v>0</v>
      </c>
      <c r="ED184">
        <f>SUMIF('Как есть'!$A$63:$A$70,Доп.расчеты!$A184,'Как есть'!EE$63:EE$70)</f>
        <v>0</v>
      </c>
      <c r="EE184">
        <f>SUMIF('Как есть'!$A$63:$A$70,Доп.расчеты!$A184,'Как есть'!EF$63:EF$70)</f>
        <v>0</v>
      </c>
      <c r="EF184">
        <f>SUMIF('Как есть'!$A$63:$A$70,Доп.расчеты!$A184,'Как есть'!EG$63:EG$70)</f>
        <v>0</v>
      </c>
      <c r="EG184">
        <f>SUMIF('Как есть'!$A$63:$A$70,Доп.расчеты!$A184,'Как есть'!EH$63:EH$70)</f>
        <v>0</v>
      </c>
      <c r="EH184">
        <f>SUMIF('Как есть'!$A$63:$A$70,Доп.расчеты!$A184,'Как есть'!EI$63:EI$70)</f>
        <v>0</v>
      </c>
      <c r="EI184">
        <f>SUMIF('Как есть'!$A$63:$A$70,Доп.расчеты!$A184,'Как есть'!EJ$63:EJ$70)</f>
        <v>0</v>
      </c>
      <c r="EJ184">
        <f>SUMIF('Как есть'!$A$63:$A$70,Доп.расчеты!$A184,'Как есть'!EK$63:EK$70)</f>
        <v>0</v>
      </c>
      <c r="EK184">
        <f>SUMIF('Как есть'!$A$63:$A$70,Доп.расчеты!$A184,'Как есть'!EL$63:EL$70)</f>
        <v>0</v>
      </c>
      <c r="EL184">
        <f>SUMIF('Как есть'!$A$63:$A$70,Доп.расчеты!$A184,'Как есть'!EM$63:EM$70)</f>
        <v>0</v>
      </c>
      <c r="EM184">
        <f>SUMIF('Как есть'!$A$63:$A$70,Доп.расчеты!$A184,'Как есть'!EN$63:EN$70)</f>
        <v>0</v>
      </c>
      <c r="EN184">
        <f>SUMIF('Как есть'!$A$63:$A$70,Доп.расчеты!$A184,'Как есть'!EO$63:EO$70)</f>
        <v>0</v>
      </c>
      <c r="EO184">
        <f>SUMIF('Как есть'!$A$63:$A$70,Доп.расчеты!$A184,'Как есть'!EP$63:EP$70)</f>
        <v>0</v>
      </c>
      <c r="EP184">
        <f>SUMIF('Как есть'!$A$63:$A$70,Доп.расчеты!$A184,'Как есть'!EQ$63:EQ$70)</f>
        <v>0</v>
      </c>
      <c r="EQ184">
        <f>SUMIF('Как есть'!$A$63:$A$70,Доп.расчеты!$A184,'Как есть'!ER$63:ER$70)</f>
        <v>0</v>
      </c>
      <c r="ER184">
        <f>SUMIF('Как есть'!$A$63:$A$70,Доп.расчеты!$A184,'Как есть'!ES$63:ES$70)</f>
        <v>0</v>
      </c>
      <c r="ES184">
        <f>SUMIF('Как есть'!$A$63:$A$70,Доп.расчеты!$A184,'Как есть'!ET$63:ET$70)</f>
        <v>0</v>
      </c>
      <c r="ET184">
        <f>SUMIF('Как есть'!$A$63:$A$70,Доп.расчеты!$A184,'Как есть'!EU$63:EU$70)</f>
        <v>0</v>
      </c>
      <c r="EU184">
        <f>SUMIF('Как есть'!$A$63:$A$70,Доп.расчеты!$A184,'Как есть'!EV$63:EV$70)</f>
        <v>0</v>
      </c>
      <c r="EV184">
        <f>SUMIF('Как есть'!$A$63:$A$70,Доп.расчеты!$A184,'Как есть'!EW$63:EW$70)</f>
        <v>0</v>
      </c>
      <c r="EW184">
        <f>SUMIF('Как есть'!$A$63:$A$70,Доп.расчеты!$A184,'Как есть'!EX$63:EX$70)</f>
        <v>0</v>
      </c>
      <c r="EX184">
        <f>SUMIF('Как есть'!$A$63:$A$70,Доп.расчеты!$A184,'Как есть'!EY$63:EY$70)</f>
        <v>0</v>
      </c>
      <c r="EY184">
        <f>SUMIF('Как есть'!$A$63:$A$70,Доп.расчеты!$A184,'Как есть'!EZ$63:EZ$70)</f>
        <v>0</v>
      </c>
      <c r="EZ184">
        <f>SUMIF('Как есть'!$A$63:$A$70,Доп.расчеты!$A184,'Как есть'!FA$63:FA$70)</f>
        <v>0</v>
      </c>
      <c r="FA184">
        <f>SUMIF('Как есть'!$A$63:$A$70,Доп.расчеты!$A184,'Как есть'!FB$63:FB$70)</f>
        <v>0</v>
      </c>
      <c r="FB184">
        <f>SUMIF('Как есть'!$A$63:$A$70,Доп.расчеты!$A184,'Как есть'!FC$63:FC$70)</f>
        <v>0</v>
      </c>
      <c r="FC184">
        <f>SUMIF('Как есть'!$A$63:$A$70,Доп.расчеты!$A184,'Как есть'!FD$63:FD$70)</f>
        <v>0</v>
      </c>
      <c r="FD184">
        <f>SUMIF('Как есть'!$A$63:$A$70,Доп.расчеты!$A184,'Как есть'!FE$63:FE$70)</f>
        <v>0</v>
      </c>
      <c r="FE184">
        <f>SUMIF('Как есть'!$A$63:$A$70,Доп.расчеты!$A184,'Как есть'!FF$63:FF$70)</f>
        <v>0</v>
      </c>
      <c r="FF184">
        <f>SUMIF('Как есть'!$A$63:$A$70,Доп.расчеты!$A184,'Как есть'!FG$63:FG$70)</f>
        <v>0</v>
      </c>
      <c r="FG184">
        <f>SUMIF('Как есть'!$A$63:$A$70,Доп.расчеты!$A184,'Как есть'!FH$63:FH$70)</f>
        <v>0</v>
      </c>
      <c r="FH184">
        <f>SUMIF('Как есть'!$A$63:$A$70,Доп.расчеты!$A184,'Как есть'!FI$63:FI$70)</f>
        <v>0</v>
      </c>
      <c r="FI184">
        <f>SUMIF('Как есть'!$A$63:$A$70,Доп.расчеты!$A184,'Как есть'!FJ$63:FJ$70)</f>
        <v>0</v>
      </c>
      <c r="FJ184">
        <f>SUMIF('Как есть'!$A$63:$A$70,Доп.расчеты!$A184,'Как есть'!FK$63:FK$70)</f>
        <v>0</v>
      </c>
      <c r="FK184">
        <f>SUMIF('Как есть'!$A$63:$A$70,Доп.расчеты!$A184,'Как есть'!FL$63:FL$70)</f>
        <v>0</v>
      </c>
      <c r="FL184">
        <f>SUMIF('Как есть'!$A$63:$A$70,Доп.расчеты!$A184,'Как есть'!FM$63:FM$70)</f>
        <v>0</v>
      </c>
      <c r="FM184">
        <f>SUMIF('Как есть'!$A$63:$A$70,Доп.расчеты!$A184,'Как есть'!FN$63:FN$70)</f>
        <v>0</v>
      </c>
      <c r="FN184">
        <f>SUMIF('Как есть'!$A$63:$A$70,Доп.расчеты!$A184,'Как есть'!FO$63:FO$70)</f>
        <v>0</v>
      </c>
      <c r="FO184">
        <f>SUMIF('Как есть'!$A$63:$A$70,Доп.расчеты!$A184,'Как есть'!FP$63:FP$70)</f>
        <v>0</v>
      </c>
      <c r="FP184">
        <f>SUMIF('Как есть'!$A$63:$A$70,Доп.расчеты!$A184,'Как есть'!FQ$63:FQ$70)</f>
        <v>0</v>
      </c>
      <c r="FQ184">
        <f>SUMIF('Как есть'!$A$63:$A$70,Доп.расчеты!$A184,'Как есть'!FR$63:FR$70)</f>
        <v>0</v>
      </c>
      <c r="FR184">
        <f>SUMIF('Как есть'!$A$63:$A$70,Доп.расчеты!$A184,'Как есть'!FS$63:FS$70)</f>
        <v>0</v>
      </c>
      <c r="FS184">
        <f>SUMIF('Как есть'!$A$63:$A$70,Доп.расчеты!$A184,'Как есть'!FT$63:FT$70)</f>
        <v>0</v>
      </c>
      <c r="FT184">
        <f>SUMIF('Как есть'!$A$63:$A$70,Доп.расчеты!$A184,'Как есть'!FU$63:FU$70)</f>
        <v>0</v>
      </c>
      <c r="FU184">
        <f>SUMIF('Как есть'!$A$63:$A$70,Доп.расчеты!$A184,'Как есть'!FV$63:FV$70)</f>
        <v>0</v>
      </c>
      <c r="FV184">
        <f>SUMIF('Как есть'!$A$63:$A$70,Доп.расчеты!$A184,'Как есть'!FW$63:FW$70)</f>
        <v>0</v>
      </c>
      <c r="FW184">
        <f>SUMIF('Как есть'!$A$63:$A$70,Доп.расчеты!$A184,'Как есть'!FX$63:FX$70)</f>
        <v>0</v>
      </c>
      <c r="FX184">
        <f>SUMIF('Как есть'!$A$63:$A$70,Доп.расчеты!$A184,'Как есть'!FY$63:FY$70)</f>
        <v>0</v>
      </c>
      <c r="FY184">
        <f>SUMIF('Как есть'!$A$63:$A$70,Доп.расчеты!$A184,'Как есть'!FZ$63:FZ$70)</f>
        <v>0</v>
      </c>
      <c r="FZ184">
        <f>SUMIF('Как есть'!$A$63:$A$70,Доп.расчеты!$A184,'Как есть'!GA$63:GA$70)</f>
        <v>0</v>
      </c>
      <c r="GA184">
        <f>SUMIF('Как есть'!$A$63:$A$70,Доп.расчеты!$A184,'Как есть'!GB$63:GB$70)</f>
        <v>0</v>
      </c>
      <c r="GB184">
        <f>SUMIF('Как есть'!$A$63:$A$70,Доп.расчеты!$A184,'Как есть'!GC$63:GC$70)</f>
        <v>0</v>
      </c>
      <c r="GC184">
        <f>SUMIF('Как есть'!$A$63:$A$70,Доп.расчеты!$A184,'Как есть'!GD$63:GD$70)</f>
        <v>0</v>
      </c>
      <c r="GD184">
        <f>SUMIF('Как есть'!$A$63:$A$70,Доп.расчеты!$A184,'Как есть'!GE$63:GE$70)</f>
        <v>0</v>
      </c>
      <c r="GE184">
        <f>SUMIF('Как есть'!$A$63:$A$70,Доп.расчеты!$A184,'Как есть'!GF$63:GF$70)</f>
        <v>0</v>
      </c>
      <c r="GF184">
        <f>SUMIF('Как есть'!$A$63:$A$70,Доп.расчеты!$A184,'Как есть'!GG$63:GG$70)</f>
        <v>0</v>
      </c>
      <c r="GG184">
        <f>SUMIF('Как есть'!$A$63:$A$70,Доп.расчеты!$A184,'Как есть'!GH$63:GH$70)</f>
        <v>0</v>
      </c>
      <c r="GH184">
        <f>SUMIF('Как есть'!$A$63:$A$70,Доп.расчеты!$A184,'Как есть'!GI$63:GI$70)</f>
        <v>0</v>
      </c>
      <c r="GI184">
        <f>SUMIF('Как есть'!$A$63:$A$70,Доп.расчеты!$A184,'Как есть'!GJ$63:GJ$70)</f>
        <v>0</v>
      </c>
      <c r="GJ184">
        <f>SUMIF('Как есть'!$A$63:$A$70,Доп.расчеты!$A184,'Как есть'!GK$63:GK$70)</f>
        <v>0</v>
      </c>
      <c r="GK184">
        <f>SUMIF('Как есть'!$A$63:$A$70,Доп.расчеты!$A184,'Как есть'!GL$63:GL$70)</f>
        <v>0</v>
      </c>
      <c r="GL184">
        <f>SUMIF('Как есть'!$A$63:$A$70,Доп.расчеты!$A184,'Как есть'!GM$63:GM$70)</f>
        <v>0</v>
      </c>
      <c r="GM184">
        <f>SUMIF('Как есть'!$A$63:$A$70,Доп.расчеты!$A184,'Как есть'!GN$63:GN$70)</f>
        <v>0</v>
      </c>
      <c r="GN184">
        <f>SUMIF('Как есть'!$A$63:$A$70,Доп.расчеты!$A184,'Как есть'!GO$63:GO$70)</f>
        <v>0</v>
      </c>
      <c r="GO184">
        <f>SUMIF('Как есть'!$A$63:$A$70,Доп.расчеты!$A184,'Как есть'!GP$63:GP$70)</f>
        <v>0</v>
      </c>
      <c r="GP184">
        <f>SUMIF('Как есть'!$A$63:$A$70,Доп.расчеты!$A184,'Как есть'!GQ$63:GQ$70)</f>
        <v>0</v>
      </c>
      <c r="GQ184">
        <f>SUMIF('Как есть'!$A$63:$A$70,Доп.расчеты!$A184,'Как есть'!GR$63:GR$70)</f>
        <v>0</v>
      </c>
      <c r="GR184">
        <f>SUMIF('Как есть'!$A$63:$A$70,Доп.расчеты!$A184,'Как есть'!GS$63:GS$70)</f>
        <v>0</v>
      </c>
      <c r="GS184">
        <f>SUMIF('Как есть'!$A$63:$A$70,Доп.расчеты!$A184,'Как есть'!GT$63:GT$70)</f>
        <v>0</v>
      </c>
      <c r="GT184">
        <f>SUMIF('Как есть'!$A$63:$A$70,Доп.расчеты!$A184,'Как есть'!GU$63:GU$70)</f>
        <v>0</v>
      </c>
    </row>
    <row r="185" spans="1:202" hidden="1" outlineLevel="1">
      <c r="A185" s="238" t="s">
        <v>24</v>
      </c>
      <c r="B185">
        <f>SUMIF('Как есть'!$A$63:$A$70,Доп.расчеты!$A185,'Как есть'!C$63:C$70)</f>
        <v>0</v>
      </c>
      <c r="C185">
        <f>SUMIF('Как есть'!$A$63:$A$70,Доп.расчеты!$A185,'Как есть'!D$63:D$70)</f>
        <v>0</v>
      </c>
      <c r="D185">
        <f>SUMIF('Как есть'!$A$63:$A$70,Доп.расчеты!$A185,'Как есть'!E$63:E$70)</f>
        <v>0</v>
      </c>
      <c r="E185">
        <f>SUMIF('Как есть'!$A$63:$A$70,Доп.расчеты!$A185,'Как есть'!F$63:F$70)</f>
        <v>0</v>
      </c>
      <c r="F185">
        <f>SUMIF('Как есть'!$A$63:$A$70,Доп.расчеты!$A185,'Как есть'!G$63:G$70)</f>
        <v>0</v>
      </c>
      <c r="G185">
        <f>SUMIF('Как есть'!$A$63:$A$70,Доп.расчеты!$A185,'Как есть'!H$63:H$70)</f>
        <v>0</v>
      </c>
      <c r="H185">
        <f>SUMIF('Как есть'!$A$63:$A$70,Доп.расчеты!$A185,'Как есть'!I$63:I$70)</f>
        <v>0</v>
      </c>
      <c r="I185">
        <f>SUMIF('Как есть'!$A$63:$A$70,Доп.расчеты!$A185,'Как есть'!J$63:J$70)</f>
        <v>0</v>
      </c>
      <c r="J185">
        <f>SUMIF('Как есть'!$A$63:$A$70,Доп.расчеты!$A185,'Как есть'!K$63:K$70)</f>
        <v>0</v>
      </c>
      <c r="K185">
        <f>SUMIF('Как есть'!$A$63:$A$70,Доп.расчеты!$A185,'Как есть'!L$63:L$70)</f>
        <v>0</v>
      </c>
      <c r="L185">
        <f>SUMIF('Как есть'!$A$63:$A$70,Доп.расчеты!$A185,'Как есть'!M$63:M$70)</f>
        <v>0</v>
      </c>
      <c r="M185">
        <f>SUMIF('Как есть'!$A$63:$A$70,Доп.расчеты!$A185,'Как есть'!N$63:N$70)</f>
        <v>0</v>
      </c>
      <c r="N185">
        <f>SUMIF('Как есть'!$A$63:$A$70,Доп.расчеты!$A185,'Как есть'!O$63:O$70)</f>
        <v>0</v>
      </c>
      <c r="O185">
        <f>SUMIF('Как есть'!$A$63:$A$70,Доп.расчеты!$A185,'Как есть'!P$63:P$70)</f>
        <v>0</v>
      </c>
      <c r="P185">
        <f>SUMIF('Как есть'!$A$63:$A$70,Доп.расчеты!$A185,'Как есть'!Q$63:Q$70)</f>
        <v>0</v>
      </c>
      <c r="Q185">
        <f>SUMIF('Как есть'!$A$63:$A$70,Доп.расчеты!$A185,'Как есть'!R$63:R$70)</f>
        <v>0</v>
      </c>
      <c r="R185">
        <f>SUMIF('Как есть'!$A$63:$A$70,Доп.расчеты!$A185,'Как есть'!S$63:S$70)</f>
        <v>0</v>
      </c>
      <c r="S185">
        <f>SUMIF('Как есть'!$A$63:$A$70,Доп.расчеты!$A185,'Как есть'!T$63:T$70)</f>
        <v>0</v>
      </c>
      <c r="T185">
        <f>SUMIF('Как есть'!$A$63:$A$70,Доп.расчеты!$A185,'Как есть'!U$63:U$70)</f>
        <v>0</v>
      </c>
      <c r="U185">
        <f>SUMIF('Как есть'!$A$63:$A$70,Доп.расчеты!$A185,'Как есть'!V$63:V$70)</f>
        <v>0</v>
      </c>
      <c r="V185">
        <f>SUMIF('Как есть'!$A$63:$A$70,Доп.расчеты!$A185,'Как есть'!W$63:W$70)</f>
        <v>0</v>
      </c>
      <c r="W185">
        <f>SUMIF('Как есть'!$A$63:$A$70,Доп.расчеты!$A185,'Как есть'!X$63:X$70)</f>
        <v>0</v>
      </c>
      <c r="X185">
        <f>SUMIF('Как есть'!$A$63:$A$70,Доп.расчеты!$A185,'Как есть'!Y$63:Y$70)</f>
        <v>0</v>
      </c>
      <c r="Y185">
        <f>SUMIF('Как есть'!$A$63:$A$70,Доп.расчеты!$A185,'Как есть'!Z$63:Z$70)</f>
        <v>0</v>
      </c>
      <c r="Z185">
        <f>SUMIF('Как есть'!$A$63:$A$70,Доп.расчеты!$A185,'Как есть'!AA$63:AA$70)</f>
        <v>0</v>
      </c>
      <c r="AA185">
        <f>SUMIF('Как есть'!$A$63:$A$70,Доп.расчеты!$A185,'Как есть'!AB$63:AB$70)</f>
        <v>0</v>
      </c>
      <c r="AB185">
        <f>SUMIF('Как есть'!$A$63:$A$70,Доп.расчеты!$A185,'Как есть'!AC$63:AC$70)</f>
        <v>0</v>
      </c>
      <c r="AC185">
        <f>SUMIF('Как есть'!$A$63:$A$70,Доп.расчеты!$A185,'Как есть'!AD$63:AD$70)</f>
        <v>0</v>
      </c>
      <c r="AD185">
        <f>SUMIF('Как есть'!$A$63:$A$70,Доп.расчеты!$A185,'Как есть'!AE$63:AE$70)</f>
        <v>0</v>
      </c>
      <c r="AE185">
        <f>SUMIF('Как есть'!$A$63:$A$70,Доп.расчеты!$A185,'Как есть'!AF$63:AF$70)</f>
        <v>0</v>
      </c>
      <c r="AF185">
        <f>SUMIF('Как есть'!$A$63:$A$70,Доп.расчеты!$A185,'Как есть'!AG$63:AG$70)</f>
        <v>0</v>
      </c>
      <c r="AG185">
        <f>SUMIF('Как есть'!$A$63:$A$70,Доп.расчеты!$A185,'Как есть'!AH$63:AH$70)</f>
        <v>0</v>
      </c>
      <c r="AH185">
        <f>SUMIF('Как есть'!$A$63:$A$70,Доп.расчеты!$A185,'Как есть'!AI$63:AI$70)</f>
        <v>0</v>
      </c>
      <c r="AI185">
        <f>SUMIF('Как есть'!$A$63:$A$70,Доп.расчеты!$A185,'Как есть'!AJ$63:AJ$70)</f>
        <v>0</v>
      </c>
      <c r="AJ185">
        <f>SUMIF('Как есть'!$A$63:$A$70,Доп.расчеты!$A185,'Как есть'!AK$63:AK$70)</f>
        <v>0</v>
      </c>
      <c r="AK185">
        <f>SUMIF('Как есть'!$A$63:$A$70,Доп.расчеты!$A185,'Как есть'!AL$63:AL$70)</f>
        <v>0</v>
      </c>
      <c r="AL185">
        <f>SUMIF('Как есть'!$A$63:$A$70,Доп.расчеты!$A185,'Как есть'!AM$63:AM$70)</f>
        <v>0</v>
      </c>
      <c r="AM185">
        <f>SUMIF('Как есть'!$A$63:$A$70,Доп.расчеты!$A185,'Как есть'!AN$63:AN$70)</f>
        <v>0</v>
      </c>
      <c r="AN185">
        <f>SUMIF('Как есть'!$A$63:$A$70,Доп.расчеты!$A185,'Как есть'!AO$63:AO$70)</f>
        <v>0</v>
      </c>
      <c r="AO185">
        <f>SUMIF('Как есть'!$A$63:$A$70,Доп.расчеты!$A185,'Как есть'!AP$63:AP$70)</f>
        <v>0</v>
      </c>
      <c r="AP185">
        <f>SUMIF('Как есть'!$A$63:$A$70,Доп.расчеты!$A185,'Как есть'!AQ$63:AQ$70)</f>
        <v>0</v>
      </c>
      <c r="AQ185">
        <f>SUMIF('Как есть'!$A$63:$A$70,Доп.расчеты!$A185,'Как есть'!AR$63:AR$70)</f>
        <v>0</v>
      </c>
      <c r="AR185">
        <f>SUMIF('Как есть'!$A$63:$A$70,Доп.расчеты!$A185,'Как есть'!AS$63:AS$70)</f>
        <v>0</v>
      </c>
      <c r="AS185">
        <f>SUMIF('Как есть'!$A$63:$A$70,Доп.расчеты!$A185,'Как есть'!AT$63:AT$70)</f>
        <v>0</v>
      </c>
      <c r="AT185">
        <f>SUMIF('Как есть'!$A$63:$A$70,Доп.расчеты!$A185,'Как есть'!AU$63:AU$70)</f>
        <v>0</v>
      </c>
      <c r="AU185">
        <f>SUMIF('Как есть'!$A$63:$A$70,Доп.расчеты!$A185,'Как есть'!AV$63:AV$70)</f>
        <v>0</v>
      </c>
      <c r="AV185">
        <f>SUMIF('Как есть'!$A$63:$A$70,Доп.расчеты!$A185,'Как есть'!AW$63:AW$70)</f>
        <v>0</v>
      </c>
      <c r="AW185">
        <f>SUMIF('Как есть'!$A$63:$A$70,Доп.расчеты!$A185,'Как есть'!AX$63:AX$70)</f>
        <v>0</v>
      </c>
      <c r="AX185">
        <f>SUMIF('Как есть'!$A$63:$A$70,Доп.расчеты!$A185,'Как есть'!AY$63:AY$70)</f>
        <v>0</v>
      </c>
      <c r="AY185">
        <f>SUMIF('Как есть'!$A$63:$A$70,Доп.расчеты!$A185,'Как есть'!AZ$63:AZ$70)</f>
        <v>0</v>
      </c>
      <c r="AZ185">
        <f>SUMIF('Как есть'!$A$63:$A$70,Доп.расчеты!$A185,'Как есть'!BA$63:BA$70)</f>
        <v>0</v>
      </c>
      <c r="BA185">
        <f>SUMIF('Как есть'!$A$63:$A$70,Доп.расчеты!$A185,'Как есть'!BB$63:BB$70)</f>
        <v>0</v>
      </c>
      <c r="BB185">
        <f>SUMIF('Как есть'!$A$63:$A$70,Доп.расчеты!$A185,'Как есть'!BC$63:BC$70)</f>
        <v>0</v>
      </c>
      <c r="BC185">
        <f>SUMIF('Как есть'!$A$63:$A$70,Доп.расчеты!$A185,'Как есть'!BD$63:BD$70)</f>
        <v>0</v>
      </c>
      <c r="BD185">
        <f>SUMIF('Как есть'!$A$63:$A$70,Доп.расчеты!$A185,'Как есть'!BE$63:BE$70)</f>
        <v>0</v>
      </c>
      <c r="BE185">
        <f>SUMIF('Как есть'!$A$63:$A$70,Доп.расчеты!$A185,'Как есть'!BF$63:BF$70)</f>
        <v>0</v>
      </c>
      <c r="BF185">
        <f>SUMIF('Как есть'!$A$63:$A$70,Доп.расчеты!$A185,'Как есть'!BG$63:BG$70)</f>
        <v>0</v>
      </c>
      <c r="BG185">
        <f>SUMIF('Как есть'!$A$63:$A$70,Доп.расчеты!$A185,'Как есть'!BH$63:BH$70)</f>
        <v>0</v>
      </c>
      <c r="BH185">
        <f>SUMIF('Как есть'!$A$63:$A$70,Доп.расчеты!$A185,'Как есть'!BI$63:BI$70)</f>
        <v>0</v>
      </c>
      <c r="BI185">
        <f>SUMIF('Как есть'!$A$63:$A$70,Доп.расчеты!$A185,'Как есть'!BJ$63:BJ$70)</f>
        <v>0</v>
      </c>
      <c r="BJ185">
        <f>SUMIF('Как есть'!$A$63:$A$70,Доп.расчеты!$A185,'Как есть'!BK$63:BK$70)</f>
        <v>0</v>
      </c>
      <c r="BK185">
        <f>SUMIF('Как есть'!$A$63:$A$70,Доп.расчеты!$A185,'Как есть'!BL$63:BL$70)</f>
        <v>0</v>
      </c>
      <c r="BL185">
        <f>SUMIF('Как есть'!$A$63:$A$70,Доп.расчеты!$A185,'Как есть'!BM$63:BM$70)</f>
        <v>0</v>
      </c>
      <c r="BM185">
        <f>SUMIF('Как есть'!$A$63:$A$70,Доп.расчеты!$A185,'Как есть'!BN$63:BN$70)</f>
        <v>0</v>
      </c>
      <c r="BN185">
        <f>SUMIF('Как есть'!$A$63:$A$70,Доп.расчеты!$A185,'Как есть'!BO$63:BO$70)</f>
        <v>0</v>
      </c>
      <c r="BO185">
        <f>SUMIF('Как есть'!$A$63:$A$70,Доп.расчеты!$A185,'Как есть'!BP$63:BP$70)</f>
        <v>0</v>
      </c>
      <c r="BP185">
        <f>SUMIF('Как есть'!$A$63:$A$70,Доп.расчеты!$A185,'Как есть'!BQ$63:BQ$70)</f>
        <v>0</v>
      </c>
      <c r="BQ185">
        <f>SUMIF('Как есть'!$A$63:$A$70,Доп.расчеты!$A185,'Как есть'!BR$63:BR$70)</f>
        <v>0</v>
      </c>
      <c r="BR185">
        <f>SUMIF('Как есть'!$A$63:$A$70,Доп.расчеты!$A185,'Как есть'!BS$63:BS$70)</f>
        <v>0</v>
      </c>
      <c r="BS185">
        <f>SUMIF('Как есть'!$A$63:$A$70,Доп.расчеты!$A185,'Как есть'!BT$63:BT$70)</f>
        <v>0</v>
      </c>
      <c r="BT185">
        <f>SUMIF('Как есть'!$A$63:$A$70,Доп.расчеты!$A185,'Как есть'!BU$63:BU$70)</f>
        <v>0</v>
      </c>
      <c r="BU185">
        <f>SUMIF('Как есть'!$A$63:$A$70,Доп.расчеты!$A185,'Как есть'!BV$63:BV$70)</f>
        <v>0</v>
      </c>
      <c r="BV185">
        <f>SUMIF('Как есть'!$A$63:$A$70,Доп.расчеты!$A185,'Как есть'!BW$63:BW$70)</f>
        <v>0</v>
      </c>
      <c r="BW185">
        <f>SUMIF('Как есть'!$A$63:$A$70,Доп.расчеты!$A185,'Как есть'!BX$63:BX$70)</f>
        <v>0</v>
      </c>
      <c r="BX185">
        <f>SUMIF('Как есть'!$A$63:$A$70,Доп.расчеты!$A185,'Как есть'!BY$63:BY$70)</f>
        <v>0</v>
      </c>
      <c r="BY185">
        <f>SUMIF('Как есть'!$A$63:$A$70,Доп.расчеты!$A185,'Как есть'!BZ$63:BZ$70)</f>
        <v>0</v>
      </c>
      <c r="BZ185">
        <f>SUMIF('Как есть'!$A$63:$A$70,Доп.расчеты!$A185,'Как есть'!CA$63:CA$70)</f>
        <v>0</v>
      </c>
      <c r="CA185">
        <f>SUMIF('Как есть'!$A$63:$A$70,Доп.расчеты!$A185,'Как есть'!CB$63:CB$70)</f>
        <v>0</v>
      </c>
      <c r="CB185">
        <f>SUMIF('Как есть'!$A$63:$A$70,Доп.расчеты!$A185,'Как есть'!CC$63:CC$70)</f>
        <v>0</v>
      </c>
      <c r="CC185">
        <f>SUMIF('Как есть'!$A$63:$A$70,Доп.расчеты!$A185,'Как есть'!CD$63:CD$70)</f>
        <v>0</v>
      </c>
      <c r="CD185">
        <f>SUMIF('Как есть'!$A$63:$A$70,Доп.расчеты!$A185,'Как есть'!CE$63:CE$70)</f>
        <v>0</v>
      </c>
      <c r="CE185">
        <f>SUMIF('Как есть'!$A$63:$A$70,Доп.расчеты!$A185,'Как есть'!CF$63:CF$70)</f>
        <v>0</v>
      </c>
      <c r="CF185">
        <f>SUMIF('Как есть'!$A$63:$A$70,Доп.расчеты!$A185,'Как есть'!CG$63:CG$70)</f>
        <v>0</v>
      </c>
      <c r="CG185">
        <f>SUMIF('Как есть'!$A$63:$A$70,Доп.расчеты!$A185,'Как есть'!CH$63:CH$70)</f>
        <v>0</v>
      </c>
      <c r="CH185">
        <f>SUMIF('Как есть'!$A$63:$A$70,Доп.расчеты!$A185,'Как есть'!CI$63:CI$70)</f>
        <v>0</v>
      </c>
      <c r="CI185">
        <f>SUMIF('Как есть'!$A$63:$A$70,Доп.расчеты!$A185,'Как есть'!CJ$63:CJ$70)</f>
        <v>0</v>
      </c>
      <c r="CJ185">
        <f>SUMIF('Как есть'!$A$63:$A$70,Доп.расчеты!$A185,'Как есть'!CK$63:CK$70)</f>
        <v>0</v>
      </c>
      <c r="CK185">
        <f>SUMIF('Как есть'!$A$63:$A$70,Доп.расчеты!$A185,'Как есть'!CL$63:CL$70)</f>
        <v>0</v>
      </c>
      <c r="CL185">
        <f>SUMIF('Как есть'!$A$63:$A$70,Доп.расчеты!$A185,'Как есть'!CM$63:CM$70)</f>
        <v>0</v>
      </c>
      <c r="CM185">
        <f>SUMIF('Как есть'!$A$63:$A$70,Доп.расчеты!$A185,'Как есть'!CN$63:CN$70)</f>
        <v>0</v>
      </c>
      <c r="CN185">
        <f>SUMIF('Как есть'!$A$63:$A$70,Доп.расчеты!$A185,'Как есть'!CO$63:CO$70)</f>
        <v>0</v>
      </c>
      <c r="CO185">
        <f>SUMIF('Как есть'!$A$63:$A$70,Доп.расчеты!$A185,'Как есть'!CP$63:CP$70)</f>
        <v>0</v>
      </c>
      <c r="CP185">
        <f>SUMIF('Как есть'!$A$63:$A$70,Доп.расчеты!$A185,'Как есть'!CQ$63:CQ$70)</f>
        <v>0</v>
      </c>
      <c r="CQ185">
        <f>SUMIF('Как есть'!$A$63:$A$70,Доп.расчеты!$A185,'Как есть'!CR$63:CR$70)</f>
        <v>0</v>
      </c>
      <c r="CR185">
        <f>SUMIF('Как есть'!$A$63:$A$70,Доп.расчеты!$A185,'Как есть'!CS$63:CS$70)</f>
        <v>0</v>
      </c>
      <c r="CS185">
        <f>SUMIF('Как есть'!$A$63:$A$70,Доп.расчеты!$A185,'Как есть'!CT$63:CT$70)</f>
        <v>0</v>
      </c>
      <c r="CT185">
        <f>SUMIF('Как есть'!$A$63:$A$70,Доп.расчеты!$A185,'Как есть'!CU$63:CU$70)</f>
        <v>0</v>
      </c>
      <c r="CU185">
        <f>SUMIF('Как есть'!$A$63:$A$70,Доп.расчеты!$A185,'Как есть'!CV$63:CV$70)</f>
        <v>0</v>
      </c>
      <c r="CV185">
        <f>SUMIF('Как есть'!$A$63:$A$70,Доп.расчеты!$A185,'Как есть'!CW$63:CW$70)</f>
        <v>0</v>
      </c>
      <c r="CW185">
        <f>SUMIF('Как есть'!$A$63:$A$70,Доп.расчеты!$A185,'Как есть'!CX$63:CX$70)</f>
        <v>0</v>
      </c>
      <c r="CX185">
        <f>SUMIF('Как есть'!$A$63:$A$70,Доп.расчеты!$A185,'Как есть'!CY$63:CY$70)</f>
        <v>0</v>
      </c>
      <c r="CY185">
        <f>SUMIF('Как есть'!$A$63:$A$70,Доп.расчеты!$A185,'Как есть'!CZ$63:CZ$70)</f>
        <v>0</v>
      </c>
      <c r="CZ185">
        <f>SUMIF('Как есть'!$A$63:$A$70,Доп.расчеты!$A185,'Как есть'!DA$63:DA$70)</f>
        <v>0</v>
      </c>
      <c r="DA185">
        <f>SUMIF('Как есть'!$A$63:$A$70,Доп.расчеты!$A185,'Как есть'!DB$63:DB$70)</f>
        <v>0</v>
      </c>
      <c r="DB185">
        <f>SUMIF('Как есть'!$A$63:$A$70,Доп.расчеты!$A185,'Как есть'!DC$63:DC$70)</f>
        <v>0</v>
      </c>
      <c r="DC185">
        <f>SUMIF('Как есть'!$A$63:$A$70,Доп.расчеты!$A185,'Как есть'!DD$63:DD$70)</f>
        <v>0</v>
      </c>
      <c r="DD185">
        <f>SUMIF('Как есть'!$A$63:$A$70,Доп.расчеты!$A185,'Как есть'!DE$63:DE$70)</f>
        <v>0</v>
      </c>
      <c r="DE185">
        <f>SUMIF('Как есть'!$A$63:$A$70,Доп.расчеты!$A185,'Как есть'!DF$63:DF$70)</f>
        <v>0</v>
      </c>
      <c r="DF185">
        <f>SUMIF('Как есть'!$A$63:$A$70,Доп.расчеты!$A185,'Как есть'!DG$63:DG$70)</f>
        <v>0</v>
      </c>
      <c r="DG185">
        <f>SUMIF('Как есть'!$A$63:$A$70,Доп.расчеты!$A185,'Как есть'!DH$63:DH$70)</f>
        <v>0</v>
      </c>
      <c r="DH185">
        <f>SUMIF('Как есть'!$A$63:$A$70,Доп.расчеты!$A185,'Как есть'!DI$63:DI$70)</f>
        <v>0</v>
      </c>
      <c r="DI185">
        <f>SUMIF('Как есть'!$A$63:$A$70,Доп.расчеты!$A185,'Как есть'!DJ$63:DJ$70)</f>
        <v>0</v>
      </c>
      <c r="DJ185">
        <f>SUMIF('Как есть'!$A$63:$A$70,Доп.расчеты!$A185,'Как есть'!DK$63:DK$70)</f>
        <v>0</v>
      </c>
      <c r="DK185">
        <f>SUMIF('Как есть'!$A$63:$A$70,Доп.расчеты!$A185,'Как есть'!DL$63:DL$70)</f>
        <v>0</v>
      </c>
      <c r="DL185">
        <f>SUMIF('Как есть'!$A$63:$A$70,Доп.расчеты!$A185,'Как есть'!DM$63:DM$70)</f>
        <v>0</v>
      </c>
      <c r="DM185">
        <f>SUMIF('Как есть'!$A$63:$A$70,Доп.расчеты!$A185,'Как есть'!DN$63:DN$70)</f>
        <v>0</v>
      </c>
      <c r="DN185">
        <f>SUMIF('Как есть'!$A$63:$A$70,Доп.расчеты!$A185,'Как есть'!DO$63:DO$70)</f>
        <v>0</v>
      </c>
      <c r="DO185">
        <f>SUMIF('Как есть'!$A$63:$A$70,Доп.расчеты!$A185,'Как есть'!DP$63:DP$70)</f>
        <v>0</v>
      </c>
      <c r="DP185">
        <f>SUMIF('Как есть'!$A$63:$A$70,Доп.расчеты!$A185,'Как есть'!DQ$63:DQ$70)</f>
        <v>0</v>
      </c>
      <c r="DQ185">
        <f>SUMIF('Как есть'!$A$63:$A$70,Доп.расчеты!$A185,'Как есть'!DR$63:DR$70)</f>
        <v>0</v>
      </c>
      <c r="DR185">
        <f>SUMIF('Как есть'!$A$63:$A$70,Доп.расчеты!$A185,'Как есть'!DS$63:DS$70)</f>
        <v>0</v>
      </c>
      <c r="DS185">
        <f>SUMIF('Как есть'!$A$63:$A$70,Доп.расчеты!$A185,'Как есть'!DT$63:DT$70)</f>
        <v>0</v>
      </c>
      <c r="DT185">
        <f>SUMIF('Как есть'!$A$63:$A$70,Доп.расчеты!$A185,'Как есть'!DU$63:DU$70)</f>
        <v>0</v>
      </c>
      <c r="DU185">
        <f>SUMIF('Как есть'!$A$63:$A$70,Доп.расчеты!$A185,'Как есть'!DV$63:DV$70)</f>
        <v>0</v>
      </c>
      <c r="DV185">
        <f>SUMIF('Как есть'!$A$63:$A$70,Доп.расчеты!$A185,'Как есть'!DW$63:DW$70)</f>
        <v>0</v>
      </c>
      <c r="DW185">
        <f>SUMIF('Как есть'!$A$63:$A$70,Доп.расчеты!$A185,'Как есть'!DX$63:DX$70)</f>
        <v>0</v>
      </c>
      <c r="DX185">
        <f>SUMIF('Как есть'!$A$63:$A$70,Доп.расчеты!$A185,'Как есть'!DY$63:DY$70)</f>
        <v>0</v>
      </c>
      <c r="DY185">
        <f>SUMIF('Как есть'!$A$63:$A$70,Доп.расчеты!$A185,'Как есть'!DZ$63:DZ$70)</f>
        <v>0</v>
      </c>
      <c r="DZ185">
        <f>SUMIF('Как есть'!$A$63:$A$70,Доп.расчеты!$A185,'Как есть'!EA$63:EA$70)</f>
        <v>0</v>
      </c>
      <c r="EA185">
        <f>SUMIF('Как есть'!$A$63:$A$70,Доп.расчеты!$A185,'Как есть'!EB$63:EB$70)</f>
        <v>0</v>
      </c>
      <c r="EB185">
        <f>SUMIF('Как есть'!$A$63:$A$70,Доп.расчеты!$A185,'Как есть'!EC$63:EC$70)</f>
        <v>0</v>
      </c>
      <c r="EC185">
        <f>SUMIF('Как есть'!$A$63:$A$70,Доп.расчеты!$A185,'Как есть'!ED$63:ED$70)</f>
        <v>0</v>
      </c>
      <c r="ED185">
        <f>SUMIF('Как есть'!$A$63:$A$70,Доп.расчеты!$A185,'Как есть'!EE$63:EE$70)</f>
        <v>0</v>
      </c>
      <c r="EE185">
        <f>SUMIF('Как есть'!$A$63:$A$70,Доп.расчеты!$A185,'Как есть'!EF$63:EF$70)</f>
        <v>0</v>
      </c>
      <c r="EF185">
        <f>SUMIF('Как есть'!$A$63:$A$70,Доп.расчеты!$A185,'Как есть'!EG$63:EG$70)</f>
        <v>0</v>
      </c>
      <c r="EG185">
        <f>SUMIF('Как есть'!$A$63:$A$70,Доп.расчеты!$A185,'Как есть'!EH$63:EH$70)</f>
        <v>0</v>
      </c>
      <c r="EH185">
        <f>SUMIF('Как есть'!$A$63:$A$70,Доп.расчеты!$A185,'Как есть'!EI$63:EI$70)</f>
        <v>0</v>
      </c>
      <c r="EI185">
        <f>SUMIF('Как есть'!$A$63:$A$70,Доп.расчеты!$A185,'Как есть'!EJ$63:EJ$70)</f>
        <v>0</v>
      </c>
      <c r="EJ185">
        <f>SUMIF('Как есть'!$A$63:$A$70,Доп.расчеты!$A185,'Как есть'!EK$63:EK$70)</f>
        <v>0</v>
      </c>
      <c r="EK185">
        <f>SUMIF('Как есть'!$A$63:$A$70,Доп.расчеты!$A185,'Как есть'!EL$63:EL$70)</f>
        <v>0</v>
      </c>
      <c r="EL185">
        <f>SUMIF('Как есть'!$A$63:$A$70,Доп.расчеты!$A185,'Как есть'!EM$63:EM$70)</f>
        <v>0</v>
      </c>
      <c r="EM185">
        <f>SUMIF('Как есть'!$A$63:$A$70,Доп.расчеты!$A185,'Как есть'!EN$63:EN$70)</f>
        <v>0</v>
      </c>
      <c r="EN185">
        <f>SUMIF('Как есть'!$A$63:$A$70,Доп.расчеты!$A185,'Как есть'!EO$63:EO$70)</f>
        <v>0</v>
      </c>
      <c r="EO185">
        <f>SUMIF('Как есть'!$A$63:$A$70,Доп.расчеты!$A185,'Как есть'!EP$63:EP$70)</f>
        <v>0</v>
      </c>
      <c r="EP185">
        <f>SUMIF('Как есть'!$A$63:$A$70,Доп.расчеты!$A185,'Как есть'!EQ$63:EQ$70)</f>
        <v>0</v>
      </c>
      <c r="EQ185">
        <f>SUMIF('Как есть'!$A$63:$A$70,Доп.расчеты!$A185,'Как есть'!ER$63:ER$70)</f>
        <v>0</v>
      </c>
      <c r="ER185">
        <f>SUMIF('Как есть'!$A$63:$A$70,Доп.расчеты!$A185,'Как есть'!ES$63:ES$70)</f>
        <v>0</v>
      </c>
      <c r="ES185">
        <f>SUMIF('Как есть'!$A$63:$A$70,Доп.расчеты!$A185,'Как есть'!ET$63:ET$70)</f>
        <v>0</v>
      </c>
      <c r="ET185">
        <f>SUMIF('Как есть'!$A$63:$A$70,Доп.расчеты!$A185,'Как есть'!EU$63:EU$70)</f>
        <v>0</v>
      </c>
      <c r="EU185">
        <f>SUMIF('Как есть'!$A$63:$A$70,Доп.расчеты!$A185,'Как есть'!EV$63:EV$70)</f>
        <v>0</v>
      </c>
      <c r="EV185">
        <f>SUMIF('Как есть'!$A$63:$A$70,Доп.расчеты!$A185,'Как есть'!EW$63:EW$70)</f>
        <v>0</v>
      </c>
      <c r="EW185">
        <f>SUMIF('Как есть'!$A$63:$A$70,Доп.расчеты!$A185,'Как есть'!EX$63:EX$70)</f>
        <v>0</v>
      </c>
      <c r="EX185">
        <f>SUMIF('Как есть'!$A$63:$A$70,Доп.расчеты!$A185,'Как есть'!EY$63:EY$70)</f>
        <v>0</v>
      </c>
      <c r="EY185">
        <f>SUMIF('Как есть'!$A$63:$A$70,Доп.расчеты!$A185,'Как есть'!EZ$63:EZ$70)</f>
        <v>0</v>
      </c>
      <c r="EZ185">
        <f>SUMIF('Как есть'!$A$63:$A$70,Доп.расчеты!$A185,'Как есть'!FA$63:FA$70)</f>
        <v>0</v>
      </c>
      <c r="FA185">
        <f>SUMIF('Как есть'!$A$63:$A$70,Доп.расчеты!$A185,'Как есть'!FB$63:FB$70)</f>
        <v>0</v>
      </c>
      <c r="FB185">
        <f>SUMIF('Как есть'!$A$63:$A$70,Доп.расчеты!$A185,'Как есть'!FC$63:FC$70)</f>
        <v>0</v>
      </c>
      <c r="FC185">
        <f>SUMIF('Как есть'!$A$63:$A$70,Доп.расчеты!$A185,'Как есть'!FD$63:FD$70)</f>
        <v>0</v>
      </c>
      <c r="FD185">
        <f>SUMIF('Как есть'!$A$63:$A$70,Доп.расчеты!$A185,'Как есть'!FE$63:FE$70)</f>
        <v>0</v>
      </c>
      <c r="FE185">
        <f>SUMIF('Как есть'!$A$63:$A$70,Доп.расчеты!$A185,'Как есть'!FF$63:FF$70)</f>
        <v>0</v>
      </c>
      <c r="FF185">
        <f>SUMIF('Как есть'!$A$63:$A$70,Доп.расчеты!$A185,'Как есть'!FG$63:FG$70)</f>
        <v>0</v>
      </c>
      <c r="FG185">
        <f>SUMIF('Как есть'!$A$63:$A$70,Доп.расчеты!$A185,'Как есть'!FH$63:FH$70)</f>
        <v>0</v>
      </c>
      <c r="FH185">
        <f>SUMIF('Как есть'!$A$63:$A$70,Доп.расчеты!$A185,'Как есть'!FI$63:FI$70)</f>
        <v>0</v>
      </c>
      <c r="FI185">
        <f>SUMIF('Как есть'!$A$63:$A$70,Доп.расчеты!$A185,'Как есть'!FJ$63:FJ$70)</f>
        <v>0</v>
      </c>
      <c r="FJ185">
        <f>SUMIF('Как есть'!$A$63:$A$70,Доп.расчеты!$A185,'Как есть'!FK$63:FK$70)</f>
        <v>0</v>
      </c>
      <c r="FK185">
        <f>SUMIF('Как есть'!$A$63:$A$70,Доп.расчеты!$A185,'Как есть'!FL$63:FL$70)</f>
        <v>0</v>
      </c>
      <c r="FL185">
        <f>SUMIF('Как есть'!$A$63:$A$70,Доп.расчеты!$A185,'Как есть'!FM$63:FM$70)</f>
        <v>0</v>
      </c>
      <c r="FM185">
        <f>SUMIF('Как есть'!$A$63:$A$70,Доп.расчеты!$A185,'Как есть'!FN$63:FN$70)</f>
        <v>0</v>
      </c>
      <c r="FN185">
        <f>SUMIF('Как есть'!$A$63:$A$70,Доп.расчеты!$A185,'Как есть'!FO$63:FO$70)</f>
        <v>0</v>
      </c>
      <c r="FO185">
        <f>SUMIF('Как есть'!$A$63:$A$70,Доп.расчеты!$A185,'Как есть'!FP$63:FP$70)</f>
        <v>0</v>
      </c>
      <c r="FP185">
        <f>SUMIF('Как есть'!$A$63:$A$70,Доп.расчеты!$A185,'Как есть'!FQ$63:FQ$70)</f>
        <v>0</v>
      </c>
      <c r="FQ185">
        <f>SUMIF('Как есть'!$A$63:$A$70,Доп.расчеты!$A185,'Как есть'!FR$63:FR$70)</f>
        <v>0</v>
      </c>
      <c r="FR185">
        <f>SUMIF('Как есть'!$A$63:$A$70,Доп.расчеты!$A185,'Как есть'!FS$63:FS$70)</f>
        <v>0</v>
      </c>
      <c r="FS185">
        <f>SUMIF('Как есть'!$A$63:$A$70,Доп.расчеты!$A185,'Как есть'!FT$63:FT$70)</f>
        <v>0</v>
      </c>
      <c r="FT185">
        <f>SUMIF('Как есть'!$A$63:$A$70,Доп.расчеты!$A185,'Как есть'!FU$63:FU$70)</f>
        <v>0</v>
      </c>
      <c r="FU185">
        <f>SUMIF('Как есть'!$A$63:$A$70,Доп.расчеты!$A185,'Как есть'!FV$63:FV$70)</f>
        <v>0</v>
      </c>
      <c r="FV185">
        <f>SUMIF('Как есть'!$A$63:$A$70,Доп.расчеты!$A185,'Как есть'!FW$63:FW$70)</f>
        <v>0</v>
      </c>
      <c r="FW185">
        <f>SUMIF('Как есть'!$A$63:$A$70,Доп.расчеты!$A185,'Как есть'!FX$63:FX$70)</f>
        <v>0</v>
      </c>
      <c r="FX185">
        <f>SUMIF('Как есть'!$A$63:$A$70,Доп.расчеты!$A185,'Как есть'!FY$63:FY$70)</f>
        <v>0</v>
      </c>
      <c r="FY185">
        <f>SUMIF('Как есть'!$A$63:$A$70,Доп.расчеты!$A185,'Как есть'!FZ$63:FZ$70)</f>
        <v>0</v>
      </c>
      <c r="FZ185">
        <f>SUMIF('Как есть'!$A$63:$A$70,Доп.расчеты!$A185,'Как есть'!GA$63:GA$70)</f>
        <v>0</v>
      </c>
      <c r="GA185">
        <f>SUMIF('Как есть'!$A$63:$A$70,Доп.расчеты!$A185,'Как есть'!GB$63:GB$70)</f>
        <v>0</v>
      </c>
      <c r="GB185">
        <f>SUMIF('Как есть'!$A$63:$A$70,Доп.расчеты!$A185,'Как есть'!GC$63:GC$70)</f>
        <v>0</v>
      </c>
      <c r="GC185">
        <f>SUMIF('Как есть'!$A$63:$A$70,Доп.расчеты!$A185,'Как есть'!GD$63:GD$70)</f>
        <v>0</v>
      </c>
      <c r="GD185">
        <f>SUMIF('Как есть'!$A$63:$A$70,Доп.расчеты!$A185,'Как есть'!GE$63:GE$70)</f>
        <v>0</v>
      </c>
      <c r="GE185">
        <f>SUMIF('Как есть'!$A$63:$A$70,Доп.расчеты!$A185,'Как есть'!GF$63:GF$70)</f>
        <v>0</v>
      </c>
      <c r="GF185">
        <f>SUMIF('Как есть'!$A$63:$A$70,Доп.расчеты!$A185,'Как есть'!GG$63:GG$70)</f>
        <v>0</v>
      </c>
      <c r="GG185">
        <f>SUMIF('Как есть'!$A$63:$A$70,Доп.расчеты!$A185,'Как есть'!GH$63:GH$70)</f>
        <v>0</v>
      </c>
      <c r="GH185">
        <f>SUMIF('Как есть'!$A$63:$A$70,Доп.расчеты!$A185,'Как есть'!GI$63:GI$70)</f>
        <v>0</v>
      </c>
      <c r="GI185">
        <f>SUMIF('Как есть'!$A$63:$A$70,Доп.расчеты!$A185,'Как есть'!GJ$63:GJ$70)</f>
        <v>0</v>
      </c>
      <c r="GJ185">
        <f>SUMIF('Как есть'!$A$63:$A$70,Доп.расчеты!$A185,'Как есть'!GK$63:GK$70)</f>
        <v>0</v>
      </c>
      <c r="GK185">
        <f>SUMIF('Как есть'!$A$63:$A$70,Доп.расчеты!$A185,'Как есть'!GL$63:GL$70)</f>
        <v>0</v>
      </c>
      <c r="GL185">
        <f>SUMIF('Как есть'!$A$63:$A$70,Доп.расчеты!$A185,'Как есть'!GM$63:GM$70)</f>
        <v>0</v>
      </c>
      <c r="GM185">
        <f>SUMIF('Как есть'!$A$63:$A$70,Доп.расчеты!$A185,'Как есть'!GN$63:GN$70)</f>
        <v>0</v>
      </c>
      <c r="GN185">
        <f>SUMIF('Как есть'!$A$63:$A$70,Доп.расчеты!$A185,'Как есть'!GO$63:GO$70)</f>
        <v>0</v>
      </c>
      <c r="GO185">
        <f>SUMIF('Как есть'!$A$63:$A$70,Доп.расчеты!$A185,'Как есть'!GP$63:GP$70)</f>
        <v>0</v>
      </c>
      <c r="GP185">
        <f>SUMIF('Как есть'!$A$63:$A$70,Доп.расчеты!$A185,'Как есть'!GQ$63:GQ$70)</f>
        <v>0</v>
      </c>
      <c r="GQ185">
        <f>SUMIF('Как есть'!$A$63:$A$70,Доп.расчеты!$A185,'Как есть'!GR$63:GR$70)</f>
        <v>0</v>
      </c>
      <c r="GR185">
        <f>SUMIF('Как есть'!$A$63:$A$70,Доп.расчеты!$A185,'Как есть'!GS$63:GS$70)</f>
        <v>0</v>
      </c>
      <c r="GS185">
        <f>SUMIF('Как есть'!$A$63:$A$70,Доп.расчеты!$A185,'Как есть'!GT$63:GT$70)</f>
        <v>0</v>
      </c>
      <c r="GT185">
        <f>SUMIF('Как есть'!$A$63:$A$70,Доп.расчеты!$A185,'Как есть'!GU$63:GU$70)</f>
        <v>0</v>
      </c>
    </row>
    <row r="186" spans="1:202" hidden="1" outlineLevel="1">
      <c r="A186" s="238" t="s">
        <v>25</v>
      </c>
      <c r="B186">
        <f>SUMIF('Как есть'!$A$63:$A$70,Доп.расчеты!$A186,'Как есть'!C$63:C$70)</f>
        <v>0</v>
      </c>
      <c r="C186">
        <f>SUMIF('Как есть'!$A$63:$A$70,Доп.расчеты!$A186,'Как есть'!D$63:D$70)</f>
        <v>0</v>
      </c>
      <c r="D186">
        <f>SUMIF('Как есть'!$A$63:$A$70,Доп.расчеты!$A186,'Как есть'!E$63:E$70)</f>
        <v>0</v>
      </c>
      <c r="E186">
        <f>SUMIF('Как есть'!$A$63:$A$70,Доп.расчеты!$A186,'Как есть'!F$63:F$70)</f>
        <v>0</v>
      </c>
      <c r="F186">
        <f>SUMIF('Как есть'!$A$63:$A$70,Доп.расчеты!$A186,'Как есть'!G$63:G$70)</f>
        <v>0</v>
      </c>
      <c r="G186">
        <f>SUMIF('Как есть'!$A$63:$A$70,Доп.расчеты!$A186,'Как есть'!H$63:H$70)</f>
        <v>0</v>
      </c>
      <c r="H186">
        <f>SUMIF('Как есть'!$A$63:$A$70,Доп.расчеты!$A186,'Как есть'!I$63:I$70)</f>
        <v>0</v>
      </c>
      <c r="I186">
        <f>SUMIF('Как есть'!$A$63:$A$70,Доп.расчеты!$A186,'Как есть'!J$63:J$70)</f>
        <v>0</v>
      </c>
      <c r="J186">
        <f>SUMIF('Как есть'!$A$63:$A$70,Доп.расчеты!$A186,'Как есть'!K$63:K$70)</f>
        <v>0</v>
      </c>
      <c r="K186">
        <f>SUMIF('Как есть'!$A$63:$A$70,Доп.расчеты!$A186,'Как есть'!L$63:L$70)</f>
        <v>0</v>
      </c>
      <c r="L186">
        <f>SUMIF('Как есть'!$A$63:$A$70,Доп.расчеты!$A186,'Как есть'!M$63:M$70)</f>
        <v>0</v>
      </c>
      <c r="M186">
        <f>SUMIF('Как есть'!$A$63:$A$70,Доп.расчеты!$A186,'Как есть'!N$63:N$70)</f>
        <v>0</v>
      </c>
      <c r="N186">
        <f>SUMIF('Как есть'!$A$63:$A$70,Доп.расчеты!$A186,'Как есть'!O$63:O$70)</f>
        <v>0</v>
      </c>
      <c r="O186">
        <f>SUMIF('Как есть'!$A$63:$A$70,Доп.расчеты!$A186,'Как есть'!P$63:P$70)</f>
        <v>0</v>
      </c>
      <c r="P186">
        <f>SUMIF('Как есть'!$A$63:$A$70,Доп.расчеты!$A186,'Как есть'!Q$63:Q$70)</f>
        <v>0</v>
      </c>
      <c r="Q186">
        <f>SUMIF('Как есть'!$A$63:$A$70,Доп.расчеты!$A186,'Как есть'!R$63:R$70)</f>
        <v>0</v>
      </c>
      <c r="R186">
        <f>SUMIF('Как есть'!$A$63:$A$70,Доп.расчеты!$A186,'Как есть'!S$63:S$70)</f>
        <v>0</v>
      </c>
      <c r="S186">
        <f>SUMIF('Как есть'!$A$63:$A$70,Доп.расчеты!$A186,'Как есть'!T$63:T$70)</f>
        <v>0</v>
      </c>
      <c r="T186">
        <f>SUMIF('Как есть'!$A$63:$A$70,Доп.расчеты!$A186,'Как есть'!U$63:U$70)</f>
        <v>0</v>
      </c>
      <c r="U186">
        <f>SUMIF('Как есть'!$A$63:$A$70,Доп.расчеты!$A186,'Как есть'!V$63:V$70)</f>
        <v>0</v>
      </c>
      <c r="V186">
        <f>SUMIF('Как есть'!$A$63:$A$70,Доп.расчеты!$A186,'Как есть'!W$63:W$70)</f>
        <v>0</v>
      </c>
      <c r="W186">
        <f>SUMIF('Как есть'!$A$63:$A$70,Доп.расчеты!$A186,'Как есть'!X$63:X$70)</f>
        <v>0</v>
      </c>
      <c r="X186">
        <f>SUMIF('Как есть'!$A$63:$A$70,Доп.расчеты!$A186,'Как есть'!Y$63:Y$70)</f>
        <v>0</v>
      </c>
      <c r="Y186">
        <f>SUMIF('Как есть'!$A$63:$A$70,Доп.расчеты!$A186,'Как есть'!Z$63:Z$70)</f>
        <v>0</v>
      </c>
      <c r="Z186">
        <f>SUMIF('Как есть'!$A$63:$A$70,Доп.расчеты!$A186,'Как есть'!AA$63:AA$70)</f>
        <v>0</v>
      </c>
      <c r="AA186">
        <f>SUMIF('Как есть'!$A$63:$A$70,Доп.расчеты!$A186,'Как есть'!AB$63:AB$70)</f>
        <v>0</v>
      </c>
      <c r="AB186">
        <f>SUMIF('Как есть'!$A$63:$A$70,Доп.расчеты!$A186,'Как есть'!AC$63:AC$70)</f>
        <v>0</v>
      </c>
      <c r="AC186">
        <f>SUMIF('Как есть'!$A$63:$A$70,Доп.расчеты!$A186,'Как есть'!AD$63:AD$70)</f>
        <v>0</v>
      </c>
      <c r="AD186">
        <f>SUMIF('Как есть'!$A$63:$A$70,Доп.расчеты!$A186,'Как есть'!AE$63:AE$70)</f>
        <v>0</v>
      </c>
      <c r="AE186">
        <f>SUMIF('Как есть'!$A$63:$A$70,Доп.расчеты!$A186,'Как есть'!AF$63:AF$70)</f>
        <v>0</v>
      </c>
      <c r="AF186">
        <f>SUMIF('Как есть'!$A$63:$A$70,Доп.расчеты!$A186,'Как есть'!AG$63:AG$70)</f>
        <v>0</v>
      </c>
      <c r="AG186">
        <f>SUMIF('Как есть'!$A$63:$A$70,Доп.расчеты!$A186,'Как есть'!AH$63:AH$70)</f>
        <v>0</v>
      </c>
      <c r="AH186">
        <f>SUMIF('Как есть'!$A$63:$A$70,Доп.расчеты!$A186,'Как есть'!AI$63:AI$70)</f>
        <v>0</v>
      </c>
      <c r="AI186">
        <f>SUMIF('Как есть'!$A$63:$A$70,Доп.расчеты!$A186,'Как есть'!AJ$63:AJ$70)</f>
        <v>0</v>
      </c>
      <c r="AJ186">
        <f>SUMIF('Как есть'!$A$63:$A$70,Доп.расчеты!$A186,'Как есть'!AK$63:AK$70)</f>
        <v>0</v>
      </c>
      <c r="AK186">
        <f>SUMIF('Как есть'!$A$63:$A$70,Доп.расчеты!$A186,'Как есть'!AL$63:AL$70)</f>
        <v>0</v>
      </c>
      <c r="AL186">
        <f>SUMIF('Как есть'!$A$63:$A$70,Доп.расчеты!$A186,'Как есть'!AM$63:AM$70)</f>
        <v>0</v>
      </c>
      <c r="AM186">
        <f>SUMIF('Как есть'!$A$63:$A$70,Доп.расчеты!$A186,'Как есть'!AN$63:AN$70)</f>
        <v>0</v>
      </c>
      <c r="AN186">
        <f>SUMIF('Как есть'!$A$63:$A$70,Доп.расчеты!$A186,'Как есть'!AO$63:AO$70)</f>
        <v>0</v>
      </c>
      <c r="AO186">
        <f>SUMIF('Как есть'!$A$63:$A$70,Доп.расчеты!$A186,'Как есть'!AP$63:AP$70)</f>
        <v>0</v>
      </c>
      <c r="AP186">
        <f>SUMIF('Как есть'!$A$63:$A$70,Доп.расчеты!$A186,'Как есть'!AQ$63:AQ$70)</f>
        <v>0</v>
      </c>
      <c r="AQ186">
        <f>SUMIF('Как есть'!$A$63:$A$70,Доп.расчеты!$A186,'Как есть'!AR$63:AR$70)</f>
        <v>0</v>
      </c>
      <c r="AR186">
        <f>SUMIF('Как есть'!$A$63:$A$70,Доп.расчеты!$A186,'Как есть'!AS$63:AS$70)</f>
        <v>0</v>
      </c>
      <c r="AS186">
        <f>SUMIF('Как есть'!$A$63:$A$70,Доп.расчеты!$A186,'Как есть'!AT$63:AT$70)</f>
        <v>0</v>
      </c>
      <c r="AT186">
        <f>SUMIF('Как есть'!$A$63:$A$70,Доп.расчеты!$A186,'Как есть'!AU$63:AU$70)</f>
        <v>0</v>
      </c>
      <c r="AU186">
        <f>SUMIF('Как есть'!$A$63:$A$70,Доп.расчеты!$A186,'Как есть'!AV$63:AV$70)</f>
        <v>0</v>
      </c>
      <c r="AV186">
        <f>SUMIF('Как есть'!$A$63:$A$70,Доп.расчеты!$A186,'Как есть'!AW$63:AW$70)</f>
        <v>0</v>
      </c>
      <c r="AW186">
        <f>SUMIF('Как есть'!$A$63:$A$70,Доп.расчеты!$A186,'Как есть'!AX$63:AX$70)</f>
        <v>0</v>
      </c>
      <c r="AX186">
        <f>SUMIF('Как есть'!$A$63:$A$70,Доп.расчеты!$A186,'Как есть'!AY$63:AY$70)</f>
        <v>0</v>
      </c>
      <c r="AY186">
        <f>SUMIF('Как есть'!$A$63:$A$70,Доп.расчеты!$A186,'Как есть'!AZ$63:AZ$70)</f>
        <v>0</v>
      </c>
      <c r="AZ186">
        <f>SUMIF('Как есть'!$A$63:$A$70,Доп.расчеты!$A186,'Как есть'!BA$63:BA$70)</f>
        <v>0</v>
      </c>
      <c r="BA186">
        <f>SUMIF('Как есть'!$A$63:$A$70,Доп.расчеты!$A186,'Как есть'!BB$63:BB$70)</f>
        <v>0</v>
      </c>
      <c r="BB186">
        <f>SUMIF('Как есть'!$A$63:$A$70,Доп.расчеты!$A186,'Как есть'!BC$63:BC$70)</f>
        <v>0</v>
      </c>
      <c r="BC186">
        <f>SUMIF('Как есть'!$A$63:$A$70,Доп.расчеты!$A186,'Как есть'!BD$63:BD$70)</f>
        <v>0</v>
      </c>
      <c r="BD186">
        <f>SUMIF('Как есть'!$A$63:$A$70,Доп.расчеты!$A186,'Как есть'!BE$63:BE$70)</f>
        <v>0</v>
      </c>
      <c r="BE186">
        <f>SUMIF('Как есть'!$A$63:$A$70,Доп.расчеты!$A186,'Как есть'!BF$63:BF$70)</f>
        <v>0</v>
      </c>
      <c r="BF186">
        <f>SUMIF('Как есть'!$A$63:$A$70,Доп.расчеты!$A186,'Как есть'!BG$63:BG$70)</f>
        <v>0</v>
      </c>
      <c r="BG186">
        <f>SUMIF('Как есть'!$A$63:$A$70,Доп.расчеты!$A186,'Как есть'!BH$63:BH$70)</f>
        <v>0</v>
      </c>
      <c r="BH186">
        <f>SUMIF('Как есть'!$A$63:$A$70,Доп.расчеты!$A186,'Как есть'!BI$63:BI$70)</f>
        <v>0</v>
      </c>
      <c r="BI186">
        <f>SUMIF('Как есть'!$A$63:$A$70,Доп.расчеты!$A186,'Как есть'!BJ$63:BJ$70)</f>
        <v>0</v>
      </c>
      <c r="BJ186">
        <f>SUMIF('Как есть'!$A$63:$A$70,Доп.расчеты!$A186,'Как есть'!BK$63:BK$70)</f>
        <v>0</v>
      </c>
      <c r="BK186">
        <f>SUMIF('Как есть'!$A$63:$A$70,Доп.расчеты!$A186,'Как есть'!BL$63:BL$70)</f>
        <v>0</v>
      </c>
      <c r="BL186">
        <f>SUMIF('Как есть'!$A$63:$A$70,Доп.расчеты!$A186,'Как есть'!BM$63:BM$70)</f>
        <v>0</v>
      </c>
      <c r="BM186">
        <f>SUMIF('Как есть'!$A$63:$A$70,Доп.расчеты!$A186,'Как есть'!BN$63:BN$70)</f>
        <v>0</v>
      </c>
      <c r="BN186">
        <f>SUMIF('Как есть'!$A$63:$A$70,Доп.расчеты!$A186,'Как есть'!BO$63:BO$70)</f>
        <v>0</v>
      </c>
      <c r="BO186">
        <f>SUMIF('Как есть'!$A$63:$A$70,Доп.расчеты!$A186,'Как есть'!BP$63:BP$70)</f>
        <v>0</v>
      </c>
      <c r="BP186">
        <f>SUMIF('Как есть'!$A$63:$A$70,Доп.расчеты!$A186,'Как есть'!BQ$63:BQ$70)</f>
        <v>0</v>
      </c>
      <c r="BQ186">
        <f>SUMIF('Как есть'!$A$63:$A$70,Доп.расчеты!$A186,'Как есть'!BR$63:BR$70)</f>
        <v>0</v>
      </c>
      <c r="BR186">
        <f>SUMIF('Как есть'!$A$63:$A$70,Доп.расчеты!$A186,'Как есть'!BS$63:BS$70)</f>
        <v>0</v>
      </c>
      <c r="BS186">
        <f>SUMIF('Как есть'!$A$63:$A$70,Доп.расчеты!$A186,'Как есть'!BT$63:BT$70)</f>
        <v>0</v>
      </c>
      <c r="BT186">
        <f>SUMIF('Как есть'!$A$63:$A$70,Доп.расчеты!$A186,'Как есть'!BU$63:BU$70)</f>
        <v>0</v>
      </c>
      <c r="BU186">
        <f>SUMIF('Как есть'!$A$63:$A$70,Доп.расчеты!$A186,'Как есть'!BV$63:BV$70)</f>
        <v>0</v>
      </c>
      <c r="BV186">
        <f>SUMIF('Как есть'!$A$63:$A$70,Доп.расчеты!$A186,'Как есть'!BW$63:BW$70)</f>
        <v>0</v>
      </c>
      <c r="BW186">
        <f>SUMIF('Как есть'!$A$63:$A$70,Доп.расчеты!$A186,'Как есть'!BX$63:BX$70)</f>
        <v>0</v>
      </c>
      <c r="BX186">
        <f>SUMIF('Как есть'!$A$63:$A$70,Доп.расчеты!$A186,'Как есть'!BY$63:BY$70)</f>
        <v>0</v>
      </c>
      <c r="BY186">
        <f>SUMIF('Как есть'!$A$63:$A$70,Доп.расчеты!$A186,'Как есть'!BZ$63:BZ$70)</f>
        <v>0</v>
      </c>
      <c r="BZ186">
        <f>SUMIF('Как есть'!$A$63:$A$70,Доп.расчеты!$A186,'Как есть'!CA$63:CA$70)</f>
        <v>0</v>
      </c>
      <c r="CA186">
        <f>SUMIF('Как есть'!$A$63:$A$70,Доп.расчеты!$A186,'Как есть'!CB$63:CB$70)</f>
        <v>0</v>
      </c>
      <c r="CB186">
        <f>SUMIF('Как есть'!$A$63:$A$70,Доп.расчеты!$A186,'Как есть'!CC$63:CC$70)</f>
        <v>0</v>
      </c>
      <c r="CC186">
        <f>SUMIF('Как есть'!$A$63:$A$70,Доп.расчеты!$A186,'Как есть'!CD$63:CD$70)</f>
        <v>0</v>
      </c>
      <c r="CD186">
        <f>SUMIF('Как есть'!$A$63:$A$70,Доп.расчеты!$A186,'Как есть'!CE$63:CE$70)</f>
        <v>0</v>
      </c>
      <c r="CE186">
        <f>SUMIF('Как есть'!$A$63:$A$70,Доп.расчеты!$A186,'Как есть'!CF$63:CF$70)</f>
        <v>0</v>
      </c>
      <c r="CF186">
        <f>SUMIF('Как есть'!$A$63:$A$70,Доп.расчеты!$A186,'Как есть'!CG$63:CG$70)</f>
        <v>0</v>
      </c>
      <c r="CG186">
        <f>SUMIF('Как есть'!$A$63:$A$70,Доп.расчеты!$A186,'Как есть'!CH$63:CH$70)</f>
        <v>0</v>
      </c>
      <c r="CH186">
        <f>SUMIF('Как есть'!$A$63:$A$70,Доп.расчеты!$A186,'Как есть'!CI$63:CI$70)</f>
        <v>0</v>
      </c>
      <c r="CI186">
        <f>SUMIF('Как есть'!$A$63:$A$70,Доп.расчеты!$A186,'Как есть'!CJ$63:CJ$70)</f>
        <v>0</v>
      </c>
      <c r="CJ186">
        <f>SUMIF('Как есть'!$A$63:$A$70,Доп.расчеты!$A186,'Как есть'!CK$63:CK$70)</f>
        <v>0</v>
      </c>
      <c r="CK186">
        <f>SUMIF('Как есть'!$A$63:$A$70,Доп.расчеты!$A186,'Как есть'!CL$63:CL$70)</f>
        <v>0</v>
      </c>
      <c r="CL186">
        <f>SUMIF('Как есть'!$A$63:$A$70,Доп.расчеты!$A186,'Как есть'!CM$63:CM$70)</f>
        <v>0</v>
      </c>
      <c r="CM186">
        <f>SUMIF('Как есть'!$A$63:$A$70,Доп.расчеты!$A186,'Как есть'!CN$63:CN$70)</f>
        <v>0</v>
      </c>
      <c r="CN186">
        <f>SUMIF('Как есть'!$A$63:$A$70,Доп.расчеты!$A186,'Как есть'!CO$63:CO$70)</f>
        <v>0</v>
      </c>
      <c r="CO186">
        <f>SUMIF('Как есть'!$A$63:$A$70,Доп.расчеты!$A186,'Как есть'!CP$63:CP$70)</f>
        <v>0</v>
      </c>
      <c r="CP186">
        <f>SUMIF('Как есть'!$A$63:$A$70,Доп.расчеты!$A186,'Как есть'!CQ$63:CQ$70)</f>
        <v>0</v>
      </c>
      <c r="CQ186">
        <f>SUMIF('Как есть'!$A$63:$A$70,Доп.расчеты!$A186,'Как есть'!CR$63:CR$70)</f>
        <v>0</v>
      </c>
      <c r="CR186">
        <f>SUMIF('Как есть'!$A$63:$A$70,Доп.расчеты!$A186,'Как есть'!CS$63:CS$70)</f>
        <v>0</v>
      </c>
      <c r="CS186">
        <f>SUMIF('Как есть'!$A$63:$A$70,Доп.расчеты!$A186,'Как есть'!CT$63:CT$70)</f>
        <v>0</v>
      </c>
      <c r="CT186">
        <f>SUMIF('Как есть'!$A$63:$A$70,Доп.расчеты!$A186,'Как есть'!CU$63:CU$70)</f>
        <v>0</v>
      </c>
      <c r="CU186">
        <f>SUMIF('Как есть'!$A$63:$A$70,Доп.расчеты!$A186,'Как есть'!CV$63:CV$70)</f>
        <v>0</v>
      </c>
      <c r="CV186">
        <f>SUMIF('Как есть'!$A$63:$A$70,Доп.расчеты!$A186,'Как есть'!CW$63:CW$70)</f>
        <v>0</v>
      </c>
      <c r="CW186">
        <f>SUMIF('Как есть'!$A$63:$A$70,Доп.расчеты!$A186,'Как есть'!CX$63:CX$70)</f>
        <v>0</v>
      </c>
      <c r="CX186">
        <f>SUMIF('Как есть'!$A$63:$A$70,Доп.расчеты!$A186,'Как есть'!CY$63:CY$70)</f>
        <v>0</v>
      </c>
      <c r="CY186">
        <f>SUMIF('Как есть'!$A$63:$A$70,Доп.расчеты!$A186,'Как есть'!CZ$63:CZ$70)</f>
        <v>0</v>
      </c>
      <c r="CZ186">
        <f>SUMIF('Как есть'!$A$63:$A$70,Доп.расчеты!$A186,'Как есть'!DA$63:DA$70)</f>
        <v>0</v>
      </c>
      <c r="DA186">
        <f>SUMIF('Как есть'!$A$63:$A$70,Доп.расчеты!$A186,'Как есть'!DB$63:DB$70)</f>
        <v>0</v>
      </c>
      <c r="DB186">
        <f>SUMIF('Как есть'!$A$63:$A$70,Доп.расчеты!$A186,'Как есть'!DC$63:DC$70)</f>
        <v>0</v>
      </c>
      <c r="DC186">
        <f>SUMIF('Как есть'!$A$63:$A$70,Доп.расчеты!$A186,'Как есть'!DD$63:DD$70)</f>
        <v>0</v>
      </c>
      <c r="DD186">
        <f>SUMIF('Как есть'!$A$63:$A$70,Доп.расчеты!$A186,'Как есть'!DE$63:DE$70)</f>
        <v>0</v>
      </c>
      <c r="DE186">
        <f>SUMIF('Как есть'!$A$63:$A$70,Доп.расчеты!$A186,'Как есть'!DF$63:DF$70)</f>
        <v>0</v>
      </c>
      <c r="DF186">
        <f>SUMIF('Как есть'!$A$63:$A$70,Доп.расчеты!$A186,'Как есть'!DG$63:DG$70)</f>
        <v>0</v>
      </c>
      <c r="DG186">
        <f>SUMIF('Как есть'!$A$63:$A$70,Доп.расчеты!$A186,'Как есть'!DH$63:DH$70)</f>
        <v>0</v>
      </c>
      <c r="DH186">
        <f>SUMIF('Как есть'!$A$63:$A$70,Доп.расчеты!$A186,'Как есть'!DI$63:DI$70)</f>
        <v>0</v>
      </c>
      <c r="DI186">
        <f>SUMIF('Как есть'!$A$63:$A$70,Доп.расчеты!$A186,'Как есть'!DJ$63:DJ$70)</f>
        <v>0</v>
      </c>
      <c r="DJ186">
        <f>SUMIF('Как есть'!$A$63:$A$70,Доп.расчеты!$A186,'Как есть'!DK$63:DK$70)</f>
        <v>0</v>
      </c>
      <c r="DK186">
        <f>SUMIF('Как есть'!$A$63:$A$70,Доп.расчеты!$A186,'Как есть'!DL$63:DL$70)</f>
        <v>0</v>
      </c>
      <c r="DL186">
        <f>SUMIF('Как есть'!$A$63:$A$70,Доп.расчеты!$A186,'Как есть'!DM$63:DM$70)</f>
        <v>0</v>
      </c>
      <c r="DM186">
        <f>SUMIF('Как есть'!$A$63:$A$70,Доп.расчеты!$A186,'Как есть'!DN$63:DN$70)</f>
        <v>0</v>
      </c>
      <c r="DN186">
        <f>SUMIF('Как есть'!$A$63:$A$70,Доп.расчеты!$A186,'Как есть'!DO$63:DO$70)</f>
        <v>0</v>
      </c>
      <c r="DO186">
        <f>SUMIF('Как есть'!$A$63:$A$70,Доп.расчеты!$A186,'Как есть'!DP$63:DP$70)</f>
        <v>0</v>
      </c>
      <c r="DP186">
        <f>SUMIF('Как есть'!$A$63:$A$70,Доп.расчеты!$A186,'Как есть'!DQ$63:DQ$70)</f>
        <v>0</v>
      </c>
      <c r="DQ186">
        <f>SUMIF('Как есть'!$A$63:$A$70,Доп.расчеты!$A186,'Как есть'!DR$63:DR$70)</f>
        <v>0</v>
      </c>
      <c r="DR186">
        <f>SUMIF('Как есть'!$A$63:$A$70,Доп.расчеты!$A186,'Как есть'!DS$63:DS$70)</f>
        <v>0</v>
      </c>
      <c r="DS186">
        <f>SUMIF('Как есть'!$A$63:$A$70,Доп.расчеты!$A186,'Как есть'!DT$63:DT$70)</f>
        <v>0</v>
      </c>
      <c r="DT186">
        <f>SUMIF('Как есть'!$A$63:$A$70,Доп.расчеты!$A186,'Как есть'!DU$63:DU$70)</f>
        <v>0</v>
      </c>
      <c r="DU186">
        <f>SUMIF('Как есть'!$A$63:$A$70,Доп.расчеты!$A186,'Как есть'!DV$63:DV$70)</f>
        <v>0</v>
      </c>
      <c r="DV186">
        <f>SUMIF('Как есть'!$A$63:$A$70,Доп.расчеты!$A186,'Как есть'!DW$63:DW$70)</f>
        <v>0</v>
      </c>
      <c r="DW186">
        <f>SUMIF('Как есть'!$A$63:$A$70,Доп.расчеты!$A186,'Как есть'!DX$63:DX$70)</f>
        <v>0</v>
      </c>
      <c r="DX186">
        <f>SUMIF('Как есть'!$A$63:$A$70,Доп.расчеты!$A186,'Как есть'!DY$63:DY$70)</f>
        <v>0</v>
      </c>
      <c r="DY186">
        <f>SUMIF('Как есть'!$A$63:$A$70,Доп.расчеты!$A186,'Как есть'!DZ$63:DZ$70)</f>
        <v>0</v>
      </c>
      <c r="DZ186">
        <f>SUMIF('Как есть'!$A$63:$A$70,Доп.расчеты!$A186,'Как есть'!EA$63:EA$70)</f>
        <v>0</v>
      </c>
      <c r="EA186">
        <f>SUMIF('Как есть'!$A$63:$A$70,Доп.расчеты!$A186,'Как есть'!EB$63:EB$70)</f>
        <v>0</v>
      </c>
      <c r="EB186">
        <f>SUMIF('Как есть'!$A$63:$A$70,Доп.расчеты!$A186,'Как есть'!EC$63:EC$70)</f>
        <v>0</v>
      </c>
      <c r="EC186">
        <f>SUMIF('Как есть'!$A$63:$A$70,Доп.расчеты!$A186,'Как есть'!ED$63:ED$70)</f>
        <v>0</v>
      </c>
      <c r="ED186">
        <f>SUMIF('Как есть'!$A$63:$A$70,Доп.расчеты!$A186,'Как есть'!EE$63:EE$70)</f>
        <v>0</v>
      </c>
      <c r="EE186">
        <f>SUMIF('Как есть'!$A$63:$A$70,Доп.расчеты!$A186,'Как есть'!EF$63:EF$70)</f>
        <v>0</v>
      </c>
      <c r="EF186">
        <f>SUMIF('Как есть'!$A$63:$A$70,Доп.расчеты!$A186,'Как есть'!EG$63:EG$70)</f>
        <v>0</v>
      </c>
      <c r="EG186">
        <f>SUMIF('Как есть'!$A$63:$A$70,Доп.расчеты!$A186,'Как есть'!EH$63:EH$70)</f>
        <v>0</v>
      </c>
      <c r="EH186">
        <f>SUMIF('Как есть'!$A$63:$A$70,Доп.расчеты!$A186,'Как есть'!EI$63:EI$70)</f>
        <v>0</v>
      </c>
      <c r="EI186">
        <f>SUMIF('Как есть'!$A$63:$A$70,Доп.расчеты!$A186,'Как есть'!EJ$63:EJ$70)</f>
        <v>0</v>
      </c>
      <c r="EJ186">
        <f>SUMIF('Как есть'!$A$63:$A$70,Доп.расчеты!$A186,'Как есть'!EK$63:EK$70)</f>
        <v>0</v>
      </c>
      <c r="EK186">
        <f>SUMIF('Как есть'!$A$63:$A$70,Доп.расчеты!$A186,'Как есть'!EL$63:EL$70)</f>
        <v>0</v>
      </c>
      <c r="EL186">
        <f>SUMIF('Как есть'!$A$63:$A$70,Доп.расчеты!$A186,'Как есть'!EM$63:EM$70)</f>
        <v>0</v>
      </c>
      <c r="EM186">
        <f>SUMIF('Как есть'!$A$63:$A$70,Доп.расчеты!$A186,'Как есть'!EN$63:EN$70)</f>
        <v>0</v>
      </c>
      <c r="EN186">
        <f>SUMIF('Как есть'!$A$63:$A$70,Доп.расчеты!$A186,'Как есть'!EO$63:EO$70)</f>
        <v>0</v>
      </c>
      <c r="EO186">
        <f>SUMIF('Как есть'!$A$63:$A$70,Доп.расчеты!$A186,'Как есть'!EP$63:EP$70)</f>
        <v>0</v>
      </c>
      <c r="EP186">
        <f>SUMIF('Как есть'!$A$63:$A$70,Доп.расчеты!$A186,'Как есть'!EQ$63:EQ$70)</f>
        <v>0</v>
      </c>
      <c r="EQ186">
        <f>SUMIF('Как есть'!$A$63:$A$70,Доп.расчеты!$A186,'Как есть'!ER$63:ER$70)</f>
        <v>0</v>
      </c>
      <c r="ER186">
        <f>SUMIF('Как есть'!$A$63:$A$70,Доп.расчеты!$A186,'Как есть'!ES$63:ES$70)</f>
        <v>0</v>
      </c>
      <c r="ES186">
        <f>SUMIF('Как есть'!$A$63:$A$70,Доп.расчеты!$A186,'Как есть'!ET$63:ET$70)</f>
        <v>0</v>
      </c>
      <c r="ET186">
        <f>SUMIF('Как есть'!$A$63:$A$70,Доп.расчеты!$A186,'Как есть'!EU$63:EU$70)</f>
        <v>0</v>
      </c>
      <c r="EU186">
        <f>SUMIF('Как есть'!$A$63:$A$70,Доп.расчеты!$A186,'Как есть'!EV$63:EV$70)</f>
        <v>0</v>
      </c>
      <c r="EV186">
        <f>SUMIF('Как есть'!$A$63:$A$70,Доп.расчеты!$A186,'Как есть'!EW$63:EW$70)</f>
        <v>0</v>
      </c>
      <c r="EW186">
        <f>SUMIF('Как есть'!$A$63:$A$70,Доп.расчеты!$A186,'Как есть'!EX$63:EX$70)</f>
        <v>0</v>
      </c>
      <c r="EX186">
        <f>SUMIF('Как есть'!$A$63:$A$70,Доп.расчеты!$A186,'Как есть'!EY$63:EY$70)</f>
        <v>0</v>
      </c>
      <c r="EY186">
        <f>SUMIF('Как есть'!$A$63:$A$70,Доп.расчеты!$A186,'Как есть'!EZ$63:EZ$70)</f>
        <v>0</v>
      </c>
      <c r="EZ186">
        <f>SUMIF('Как есть'!$A$63:$A$70,Доп.расчеты!$A186,'Как есть'!FA$63:FA$70)</f>
        <v>0</v>
      </c>
      <c r="FA186">
        <f>SUMIF('Как есть'!$A$63:$A$70,Доп.расчеты!$A186,'Как есть'!FB$63:FB$70)</f>
        <v>0</v>
      </c>
      <c r="FB186">
        <f>SUMIF('Как есть'!$A$63:$A$70,Доп.расчеты!$A186,'Как есть'!FC$63:FC$70)</f>
        <v>0</v>
      </c>
      <c r="FC186">
        <f>SUMIF('Как есть'!$A$63:$A$70,Доп.расчеты!$A186,'Как есть'!FD$63:FD$70)</f>
        <v>0</v>
      </c>
      <c r="FD186">
        <f>SUMIF('Как есть'!$A$63:$A$70,Доп.расчеты!$A186,'Как есть'!FE$63:FE$70)</f>
        <v>0</v>
      </c>
      <c r="FE186">
        <f>SUMIF('Как есть'!$A$63:$A$70,Доп.расчеты!$A186,'Как есть'!FF$63:FF$70)</f>
        <v>0</v>
      </c>
      <c r="FF186">
        <f>SUMIF('Как есть'!$A$63:$A$70,Доп.расчеты!$A186,'Как есть'!FG$63:FG$70)</f>
        <v>0</v>
      </c>
      <c r="FG186">
        <f>SUMIF('Как есть'!$A$63:$A$70,Доп.расчеты!$A186,'Как есть'!FH$63:FH$70)</f>
        <v>0</v>
      </c>
      <c r="FH186">
        <f>SUMIF('Как есть'!$A$63:$A$70,Доп.расчеты!$A186,'Как есть'!FI$63:FI$70)</f>
        <v>0</v>
      </c>
      <c r="FI186">
        <f>SUMIF('Как есть'!$A$63:$A$70,Доп.расчеты!$A186,'Как есть'!FJ$63:FJ$70)</f>
        <v>0</v>
      </c>
      <c r="FJ186">
        <f>SUMIF('Как есть'!$A$63:$A$70,Доп.расчеты!$A186,'Как есть'!FK$63:FK$70)</f>
        <v>0</v>
      </c>
      <c r="FK186">
        <f>SUMIF('Как есть'!$A$63:$A$70,Доп.расчеты!$A186,'Как есть'!FL$63:FL$70)</f>
        <v>0</v>
      </c>
      <c r="FL186">
        <f>SUMIF('Как есть'!$A$63:$A$70,Доп.расчеты!$A186,'Как есть'!FM$63:FM$70)</f>
        <v>0</v>
      </c>
      <c r="FM186">
        <f>SUMIF('Как есть'!$A$63:$A$70,Доп.расчеты!$A186,'Как есть'!FN$63:FN$70)</f>
        <v>0</v>
      </c>
      <c r="FN186">
        <f>SUMIF('Как есть'!$A$63:$A$70,Доп.расчеты!$A186,'Как есть'!FO$63:FO$70)</f>
        <v>0</v>
      </c>
      <c r="FO186">
        <f>SUMIF('Как есть'!$A$63:$A$70,Доп.расчеты!$A186,'Как есть'!FP$63:FP$70)</f>
        <v>0</v>
      </c>
      <c r="FP186">
        <f>SUMIF('Как есть'!$A$63:$A$70,Доп.расчеты!$A186,'Как есть'!FQ$63:FQ$70)</f>
        <v>0</v>
      </c>
      <c r="FQ186">
        <f>SUMIF('Как есть'!$A$63:$A$70,Доп.расчеты!$A186,'Как есть'!FR$63:FR$70)</f>
        <v>0</v>
      </c>
      <c r="FR186">
        <f>SUMIF('Как есть'!$A$63:$A$70,Доп.расчеты!$A186,'Как есть'!FS$63:FS$70)</f>
        <v>0</v>
      </c>
      <c r="FS186">
        <f>SUMIF('Как есть'!$A$63:$A$70,Доп.расчеты!$A186,'Как есть'!FT$63:FT$70)</f>
        <v>0</v>
      </c>
      <c r="FT186">
        <f>SUMIF('Как есть'!$A$63:$A$70,Доп.расчеты!$A186,'Как есть'!FU$63:FU$70)</f>
        <v>0</v>
      </c>
      <c r="FU186">
        <f>SUMIF('Как есть'!$A$63:$A$70,Доп.расчеты!$A186,'Как есть'!FV$63:FV$70)</f>
        <v>0</v>
      </c>
      <c r="FV186">
        <f>SUMIF('Как есть'!$A$63:$A$70,Доп.расчеты!$A186,'Как есть'!FW$63:FW$70)</f>
        <v>0</v>
      </c>
      <c r="FW186">
        <f>SUMIF('Как есть'!$A$63:$A$70,Доп.расчеты!$A186,'Как есть'!FX$63:FX$70)</f>
        <v>0</v>
      </c>
      <c r="FX186">
        <f>SUMIF('Как есть'!$A$63:$A$70,Доп.расчеты!$A186,'Как есть'!FY$63:FY$70)</f>
        <v>0</v>
      </c>
      <c r="FY186">
        <f>SUMIF('Как есть'!$A$63:$A$70,Доп.расчеты!$A186,'Как есть'!FZ$63:FZ$70)</f>
        <v>0</v>
      </c>
      <c r="FZ186">
        <f>SUMIF('Как есть'!$A$63:$A$70,Доп.расчеты!$A186,'Как есть'!GA$63:GA$70)</f>
        <v>0</v>
      </c>
      <c r="GA186">
        <f>SUMIF('Как есть'!$A$63:$A$70,Доп.расчеты!$A186,'Как есть'!GB$63:GB$70)</f>
        <v>0</v>
      </c>
      <c r="GB186">
        <f>SUMIF('Как есть'!$A$63:$A$70,Доп.расчеты!$A186,'Как есть'!GC$63:GC$70)</f>
        <v>0</v>
      </c>
      <c r="GC186">
        <f>SUMIF('Как есть'!$A$63:$A$70,Доп.расчеты!$A186,'Как есть'!GD$63:GD$70)</f>
        <v>0</v>
      </c>
      <c r="GD186">
        <f>SUMIF('Как есть'!$A$63:$A$70,Доп.расчеты!$A186,'Как есть'!GE$63:GE$70)</f>
        <v>0</v>
      </c>
      <c r="GE186">
        <f>SUMIF('Как есть'!$A$63:$A$70,Доп.расчеты!$A186,'Как есть'!GF$63:GF$70)</f>
        <v>0</v>
      </c>
      <c r="GF186">
        <f>SUMIF('Как есть'!$A$63:$A$70,Доп.расчеты!$A186,'Как есть'!GG$63:GG$70)</f>
        <v>0</v>
      </c>
      <c r="GG186">
        <f>SUMIF('Как есть'!$A$63:$A$70,Доп.расчеты!$A186,'Как есть'!GH$63:GH$70)</f>
        <v>0</v>
      </c>
      <c r="GH186">
        <f>SUMIF('Как есть'!$A$63:$A$70,Доп.расчеты!$A186,'Как есть'!GI$63:GI$70)</f>
        <v>0</v>
      </c>
      <c r="GI186">
        <f>SUMIF('Как есть'!$A$63:$A$70,Доп.расчеты!$A186,'Как есть'!GJ$63:GJ$70)</f>
        <v>0</v>
      </c>
      <c r="GJ186">
        <f>SUMIF('Как есть'!$A$63:$A$70,Доп.расчеты!$A186,'Как есть'!GK$63:GK$70)</f>
        <v>0</v>
      </c>
      <c r="GK186">
        <f>SUMIF('Как есть'!$A$63:$A$70,Доп.расчеты!$A186,'Как есть'!GL$63:GL$70)</f>
        <v>0</v>
      </c>
      <c r="GL186">
        <f>SUMIF('Как есть'!$A$63:$A$70,Доп.расчеты!$A186,'Как есть'!GM$63:GM$70)</f>
        <v>0</v>
      </c>
      <c r="GM186">
        <f>SUMIF('Как есть'!$A$63:$A$70,Доп.расчеты!$A186,'Как есть'!GN$63:GN$70)</f>
        <v>0</v>
      </c>
      <c r="GN186">
        <f>SUMIF('Как есть'!$A$63:$A$70,Доп.расчеты!$A186,'Как есть'!GO$63:GO$70)</f>
        <v>0</v>
      </c>
      <c r="GO186">
        <f>SUMIF('Как есть'!$A$63:$A$70,Доп.расчеты!$A186,'Как есть'!GP$63:GP$70)</f>
        <v>0</v>
      </c>
      <c r="GP186">
        <f>SUMIF('Как есть'!$A$63:$A$70,Доп.расчеты!$A186,'Как есть'!GQ$63:GQ$70)</f>
        <v>0</v>
      </c>
      <c r="GQ186">
        <f>SUMIF('Как есть'!$A$63:$A$70,Доп.расчеты!$A186,'Как есть'!GR$63:GR$70)</f>
        <v>0</v>
      </c>
      <c r="GR186">
        <f>SUMIF('Как есть'!$A$63:$A$70,Доп.расчеты!$A186,'Как есть'!GS$63:GS$70)</f>
        <v>0</v>
      </c>
      <c r="GS186">
        <f>SUMIF('Как есть'!$A$63:$A$70,Доп.расчеты!$A186,'Как есть'!GT$63:GT$70)</f>
        <v>0</v>
      </c>
      <c r="GT186">
        <f>SUMIF('Как есть'!$A$63:$A$70,Доп.расчеты!$A186,'Как есть'!GU$63:GU$70)</f>
        <v>0</v>
      </c>
    </row>
    <row r="187" spans="1:202" hidden="1" outlineLevel="1">
      <c r="A187" s="238" t="s">
        <v>14</v>
      </c>
      <c r="B187">
        <f>SUMIF('Как есть'!$A$63:$A$70,Доп.расчеты!$A187,'Как есть'!C$63:C$70)</f>
        <v>0</v>
      </c>
      <c r="C187">
        <f>SUMIF('Как есть'!$A$63:$A$70,Доп.расчеты!$A187,'Как есть'!D$63:D$70)</f>
        <v>0</v>
      </c>
      <c r="D187">
        <f>SUMIF('Как есть'!$A$63:$A$70,Доп.расчеты!$A187,'Как есть'!E$63:E$70)</f>
        <v>0</v>
      </c>
      <c r="E187">
        <f>SUMIF('Как есть'!$A$63:$A$70,Доп.расчеты!$A187,'Как есть'!F$63:F$70)</f>
        <v>0</v>
      </c>
      <c r="F187">
        <f>SUMIF('Как есть'!$A$63:$A$70,Доп.расчеты!$A187,'Как есть'!G$63:G$70)</f>
        <v>0</v>
      </c>
      <c r="G187">
        <f>SUMIF('Как есть'!$A$63:$A$70,Доп.расчеты!$A187,'Как есть'!H$63:H$70)</f>
        <v>0</v>
      </c>
      <c r="H187">
        <f>SUMIF('Как есть'!$A$63:$A$70,Доп.расчеты!$A187,'Как есть'!I$63:I$70)</f>
        <v>0</v>
      </c>
      <c r="I187">
        <f>SUMIF('Как есть'!$A$63:$A$70,Доп.расчеты!$A187,'Как есть'!J$63:J$70)</f>
        <v>0</v>
      </c>
      <c r="J187">
        <f>SUMIF('Как есть'!$A$63:$A$70,Доп.расчеты!$A187,'Как есть'!K$63:K$70)</f>
        <v>0</v>
      </c>
      <c r="K187">
        <f>SUMIF('Как есть'!$A$63:$A$70,Доп.расчеты!$A187,'Как есть'!L$63:L$70)</f>
        <v>0</v>
      </c>
      <c r="L187">
        <f>SUMIF('Как есть'!$A$63:$A$70,Доп.расчеты!$A187,'Как есть'!M$63:M$70)</f>
        <v>0</v>
      </c>
      <c r="M187">
        <f>SUMIF('Как есть'!$A$63:$A$70,Доп.расчеты!$A187,'Как есть'!N$63:N$70)</f>
        <v>0</v>
      </c>
      <c r="N187">
        <f>SUMIF('Как есть'!$A$63:$A$70,Доп.расчеты!$A187,'Как есть'!O$63:O$70)</f>
        <v>0</v>
      </c>
      <c r="O187">
        <f>SUMIF('Как есть'!$A$63:$A$70,Доп.расчеты!$A187,'Как есть'!P$63:P$70)</f>
        <v>0</v>
      </c>
      <c r="P187">
        <f>SUMIF('Как есть'!$A$63:$A$70,Доп.расчеты!$A187,'Как есть'!Q$63:Q$70)</f>
        <v>0</v>
      </c>
      <c r="Q187">
        <f>SUMIF('Как есть'!$A$63:$A$70,Доп.расчеты!$A187,'Как есть'!R$63:R$70)</f>
        <v>0</v>
      </c>
      <c r="R187">
        <f>SUMIF('Как есть'!$A$63:$A$70,Доп.расчеты!$A187,'Как есть'!S$63:S$70)</f>
        <v>0</v>
      </c>
      <c r="S187">
        <f>SUMIF('Как есть'!$A$63:$A$70,Доп.расчеты!$A187,'Как есть'!T$63:T$70)</f>
        <v>0</v>
      </c>
      <c r="T187">
        <f>SUMIF('Как есть'!$A$63:$A$70,Доп.расчеты!$A187,'Как есть'!U$63:U$70)</f>
        <v>0</v>
      </c>
      <c r="U187">
        <f>SUMIF('Как есть'!$A$63:$A$70,Доп.расчеты!$A187,'Как есть'!V$63:V$70)</f>
        <v>0</v>
      </c>
      <c r="V187">
        <f>SUMIF('Как есть'!$A$63:$A$70,Доп.расчеты!$A187,'Как есть'!W$63:W$70)</f>
        <v>0</v>
      </c>
      <c r="W187">
        <f>SUMIF('Как есть'!$A$63:$A$70,Доп.расчеты!$A187,'Как есть'!X$63:X$70)</f>
        <v>0</v>
      </c>
      <c r="X187">
        <f>SUMIF('Как есть'!$A$63:$A$70,Доп.расчеты!$A187,'Как есть'!Y$63:Y$70)</f>
        <v>0</v>
      </c>
      <c r="Y187">
        <f>SUMIF('Как есть'!$A$63:$A$70,Доп.расчеты!$A187,'Как есть'!Z$63:Z$70)</f>
        <v>0</v>
      </c>
      <c r="Z187">
        <f>SUMIF('Как есть'!$A$63:$A$70,Доп.расчеты!$A187,'Как есть'!AA$63:AA$70)</f>
        <v>0</v>
      </c>
      <c r="AA187">
        <f>SUMIF('Как есть'!$A$63:$A$70,Доп.расчеты!$A187,'Как есть'!AB$63:AB$70)</f>
        <v>0</v>
      </c>
      <c r="AB187">
        <f>SUMIF('Как есть'!$A$63:$A$70,Доп.расчеты!$A187,'Как есть'!AC$63:AC$70)</f>
        <v>0</v>
      </c>
      <c r="AC187">
        <f>SUMIF('Как есть'!$A$63:$A$70,Доп.расчеты!$A187,'Как есть'!AD$63:AD$70)</f>
        <v>0</v>
      </c>
      <c r="AD187">
        <f>SUMIF('Как есть'!$A$63:$A$70,Доп.расчеты!$A187,'Как есть'!AE$63:AE$70)</f>
        <v>0</v>
      </c>
      <c r="AE187">
        <f>SUMIF('Как есть'!$A$63:$A$70,Доп.расчеты!$A187,'Как есть'!AF$63:AF$70)</f>
        <v>0</v>
      </c>
      <c r="AF187">
        <f>SUMIF('Как есть'!$A$63:$A$70,Доп.расчеты!$A187,'Как есть'!AG$63:AG$70)</f>
        <v>0</v>
      </c>
      <c r="AG187">
        <f>SUMIF('Как есть'!$A$63:$A$70,Доп.расчеты!$A187,'Как есть'!AH$63:AH$70)</f>
        <v>0</v>
      </c>
      <c r="AH187">
        <f>SUMIF('Как есть'!$A$63:$A$70,Доп.расчеты!$A187,'Как есть'!AI$63:AI$70)</f>
        <v>0</v>
      </c>
      <c r="AI187">
        <f>SUMIF('Как есть'!$A$63:$A$70,Доп.расчеты!$A187,'Как есть'!AJ$63:AJ$70)</f>
        <v>0</v>
      </c>
      <c r="AJ187">
        <f>SUMIF('Как есть'!$A$63:$A$70,Доп.расчеты!$A187,'Как есть'!AK$63:AK$70)</f>
        <v>0</v>
      </c>
      <c r="AK187">
        <f>SUMIF('Как есть'!$A$63:$A$70,Доп.расчеты!$A187,'Как есть'!AL$63:AL$70)</f>
        <v>0</v>
      </c>
      <c r="AL187">
        <f>SUMIF('Как есть'!$A$63:$A$70,Доп.расчеты!$A187,'Как есть'!AM$63:AM$70)</f>
        <v>0</v>
      </c>
      <c r="AM187">
        <f>SUMIF('Как есть'!$A$63:$A$70,Доп.расчеты!$A187,'Как есть'!AN$63:AN$70)</f>
        <v>0</v>
      </c>
      <c r="AN187">
        <f>SUMIF('Как есть'!$A$63:$A$70,Доп.расчеты!$A187,'Как есть'!AO$63:AO$70)</f>
        <v>0</v>
      </c>
      <c r="AO187">
        <f>SUMIF('Как есть'!$A$63:$A$70,Доп.расчеты!$A187,'Как есть'!AP$63:AP$70)</f>
        <v>0</v>
      </c>
      <c r="AP187">
        <f>SUMIF('Как есть'!$A$63:$A$70,Доп.расчеты!$A187,'Как есть'!AQ$63:AQ$70)</f>
        <v>0</v>
      </c>
      <c r="AQ187">
        <f>SUMIF('Как есть'!$A$63:$A$70,Доп.расчеты!$A187,'Как есть'!AR$63:AR$70)</f>
        <v>0</v>
      </c>
      <c r="AR187">
        <f>SUMIF('Как есть'!$A$63:$A$70,Доп.расчеты!$A187,'Как есть'!AS$63:AS$70)</f>
        <v>0</v>
      </c>
      <c r="AS187">
        <f>SUMIF('Как есть'!$A$63:$A$70,Доп.расчеты!$A187,'Как есть'!AT$63:AT$70)</f>
        <v>0</v>
      </c>
      <c r="AT187">
        <f>SUMIF('Как есть'!$A$63:$A$70,Доп.расчеты!$A187,'Как есть'!AU$63:AU$70)</f>
        <v>0</v>
      </c>
      <c r="AU187">
        <f>SUMIF('Как есть'!$A$63:$A$70,Доп.расчеты!$A187,'Как есть'!AV$63:AV$70)</f>
        <v>0</v>
      </c>
      <c r="AV187">
        <f>SUMIF('Как есть'!$A$63:$A$70,Доп.расчеты!$A187,'Как есть'!AW$63:AW$70)</f>
        <v>0</v>
      </c>
      <c r="AW187">
        <f>SUMIF('Как есть'!$A$63:$A$70,Доп.расчеты!$A187,'Как есть'!AX$63:AX$70)</f>
        <v>0</v>
      </c>
      <c r="AX187">
        <f>SUMIF('Как есть'!$A$63:$A$70,Доп.расчеты!$A187,'Как есть'!AY$63:AY$70)</f>
        <v>0</v>
      </c>
      <c r="AY187">
        <f>SUMIF('Как есть'!$A$63:$A$70,Доп.расчеты!$A187,'Как есть'!AZ$63:AZ$70)</f>
        <v>0</v>
      </c>
      <c r="AZ187">
        <f>SUMIF('Как есть'!$A$63:$A$70,Доп.расчеты!$A187,'Как есть'!BA$63:BA$70)</f>
        <v>0</v>
      </c>
      <c r="BA187">
        <f>SUMIF('Как есть'!$A$63:$A$70,Доп.расчеты!$A187,'Как есть'!BB$63:BB$70)</f>
        <v>0</v>
      </c>
      <c r="BB187">
        <f>SUMIF('Как есть'!$A$63:$A$70,Доп.расчеты!$A187,'Как есть'!BC$63:BC$70)</f>
        <v>0</v>
      </c>
      <c r="BC187">
        <f>SUMIF('Как есть'!$A$63:$A$70,Доп.расчеты!$A187,'Как есть'!BD$63:BD$70)</f>
        <v>0</v>
      </c>
      <c r="BD187">
        <f>SUMIF('Как есть'!$A$63:$A$70,Доп.расчеты!$A187,'Как есть'!BE$63:BE$70)</f>
        <v>0</v>
      </c>
      <c r="BE187">
        <f>SUMIF('Как есть'!$A$63:$A$70,Доп.расчеты!$A187,'Как есть'!BF$63:BF$70)</f>
        <v>0</v>
      </c>
      <c r="BF187">
        <f>SUMIF('Как есть'!$A$63:$A$70,Доп.расчеты!$A187,'Как есть'!BG$63:BG$70)</f>
        <v>0</v>
      </c>
      <c r="BG187">
        <f>SUMIF('Как есть'!$A$63:$A$70,Доп.расчеты!$A187,'Как есть'!BH$63:BH$70)</f>
        <v>0</v>
      </c>
      <c r="BH187">
        <f>SUMIF('Как есть'!$A$63:$A$70,Доп.расчеты!$A187,'Как есть'!BI$63:BI$70)</f>
        <v>0</v>
      </c>
      <c r="BI187">
        <f>SUMIF('Как есть'!$A$63:$A$70,Доп.расчеты!$A187,'Как есть'!BJ$63:BJ$70)</f>
        <v>0</v>
      </c>
      <c r="BJ187">
        <f>SUMIF('Как есть'!$A$63:$A$70,Доп.расчеты!$A187,'Как есть'!BK$63:BK$70)</f>
        <v>0</v>
      </c>
      <c r="BK187">
        <f>SUMIF('Как есть'!$A$63:$A$70,Доп.расчеты!$A187,'Как есть'!BL$63:BL$70)</f>
        <v>0</v>
      </c>
      <c r="BL187">
        <f>SUMIF('Как есть'!$A$63:$A$70,Доп.расчеты!$A187,'Как есть'!BM$63:BM$70)</f>
        <v>0</v>
      </c>
      <c r="BM187">
        <f>SUMIF('Как есть'!$A$63:$A$70,Доп.расчеты!$A187,'Как есть'!BN$63:BN$70)</f>
        <v>0</v>
      </c>
      <c r="BN187">
        <f>SUMIF('Как есть'!$A$63:$A$70,Доп.расчеты!$A187,'Как есть'!BO$63:BO$70)</f>
        <v>0</v>
      </c>
      <c r="BO187">
        <f>SUMIF('Как есть'!$A$63:$A$70,Доп.расчеты!$A187,'Как есть'!BP$63:BP$70)</f>
        <v>0</v>
      </c>
      <c r="BP187">
        <f>SUMIF('Как есть'!$A$63:$A$70,Доп.расчеты!$A187,'Как есть'!BQ$63:BQ$70)</f>
        <v>0</v>
      </c>
      <c r="BQ187">
        <f>SUMIF('Как есть'!$A$63:$A$70,Доп.расчеты!$A187,'Как есть'!BR$63:BR$70)</f>
        <v>0</v>
      </c>
      <c r="BR187">
        <f>SUMIF('Как есть'!$A$63:$A$70,Доп.расчеты!$A187,'Как есть'!BS$63:BS$70)</f>
        <v>0</v>
      </c>
      <c r="BS187">
        <f>SUMIF('Как есть'!$A$63:$A$70,Доп.расчеты!$A187,'Как есть'!BT$63:BT$70)</f>
        <v>0</v>
      </c>
      <c r="BT187">
        <f>SUMIF('Как есть'!$A$63:$A$70,Доп.расчеты!$A187,'Как есть'!BU$63:BU$70)</f>
        <v>0</v>
      </c>
      <c r="BU187">
        <f>SUMIF('Как есть'!$A$63:$A$70,Доп.расчеты!$A187,'Как есть'!BV$63:BV$70)</f>
        <v>0</v>
      </c>
      <c r="BV187">
        <f>SUMIF('Как есть'!$A$63:$A$70,Доп.расчеты!$A187,'Как есть'!BW$63:BW$70)</f>
        <v>0</v>
      </c>
      <c r="BW187">
        <f>SUMIF('Как есть'!$A$63:$A$70,Доп.расчеты!$A187,'Как есть'!BX$63:BX$70)</f>
        <v>0</v>
      </c>
      <c r="BX187">
        <f>SUMIF('Как есть'!$A$63:$A$70,Доп.расчеты!$A187,'Как есть'!BY$63:BY$70)</f>
        <v>0</v>
      </c>
      <c r="BY187">
        <f>SUMIF('Как есть'!$A$63:$A$70,Доп.расчеты!$A187,'Как есть'!BZ$63:BZ$70)</f>
        <v>0</v>
      </c>
      <c r="BZ187">
        <f>SUMIF('Как есть'!$A$63:$A$70,Доп.расчеты!$A187,'Как есть'!CA$63:CA$70)</f>
        <v>0</v>
      </c>
      <c r="CA187">
        <f>SUMIF('Как есть'!$A$63:$A$70,Доп.расчеты!$A187,'Как есть'!CB$63:CB$70)</f>
        <v>0</v>
      </c>
      <c r="CB187">
        <f>SUMIF('Как есть'!$A$63:$A$70,Доп.расчеты!$A187,'Как есть'!CC$63:CC$70)</f>
        <v>0</v>
      </c>
      <c r="CC187">
        <f>SUMIF('Как есть'!$A$63:$A$70,Доп.расчеты!$A187,'Как есть'!CD$63:CD$70)</f>
        <v>0</v>
      </c>
      <c r="CD187">
        <f>SUMIF('Как есть'!$A$63:$A$70,Доп.расчеты!$A187,'Как есть'!CE$63:CE$70)</f>
        <v>0</v>
      </c>
      <c r="CE187">
        <f>SUMIF('Как есть'!$A$63:$A$70,Доп.расчеты!$A187,'Как есть'!CF$63:CF$70)</f>
        <v>0</v>
      </c>
      <c r="CF187">
        <f>SUMIF('Как есть'!$A$63:$A$70,Доп.расчеты!$A187,'Как есть'!CG$63:CG$70)</f>
        <v>0</v>
      </c>
      <c r="CG187">
        <f>SUMIF('Как есть'!$A$63:$A$70,Доп.расчеты!$A187,'Как есть'!CH$63:CH$70)</f>
        <v>0</v>
      </c>
      <c r="CH187">
        <f>SUMIF('Как есть'!$A$63:$A$70,Доп.расчеты!$A187,'Как есть'!CI$63:CI$70)</f>
        <v>0</v>
      </c>
      <c r="CI187">
        <f>SUMIF('Как есть'!$A$63:$A$70,Доп.расчеты!$A187,'Как есть'!CJ$63:CJ$70)</f>
        <v>0</v>
      </c>
      <c r="CJ187">
        <f>SUMIF('Как есть'!$A$63:$A$70,Доп.расчеты!$A187,'Как есть'!CK$63:CK$70)</f>
        <v>0</v>
      </c>
      <c r="CK187">
        <f>SUMIF('Как есть'!$A$63:$A$70,Доп.расчеты!$A187,'Как есть'!CL$63:CL$70)</f>
        <v>0</v>
      </c>
      <c r="CL187">
        <f>SUMIF('Как есть'!$A$63:$A$70,Доп.расчеты!$A187,'Как есть'!CM$63:CM$70)</f>
        <v>0</v>
      </c>
      <c r="CM187">
        <f>SUMIF('Как есть'!$A$63:$A$70,Доп.расчеты!$A187,'Как есть'!CN$63:CN$70)</f>
        <v>0</v>
      </c>
      <c r="CN187">
        <f>SUMIF('Как есть'!$A$63:$A$70,Доп.расчеты!$A187,'Как есть'!CO$63:CO$70)</f>
        <v>0</v>
      </c>
      <c r="CO187">
        <f>SUMIF('Как есть'!$A$63:$A$70,Доп.расчеты!$A187,'Как есть'!CP$63:CP$70)</f>
        <v>0</v>
      </c>
      <c r="CP187">
        <f>SUMIF('Как есть'!$A$63:$A$70,Доп.расчеты!$A187,'Как есть'!CQ$63:CQ$70)</f>
        <v>0</v>
      </c>
      <c r="CQ187">
        <f>SUMIF('Как есть'!$A$63:$A$70,Доп.расчеты!$A187,'Как есть'!CR$63:CR$70)</f>
        <v>0</v>
      </c>
      <c r="CR187">
        <f>SUMIF('Как есть'!$A$63:$A$70,Доп.расчеты!$A187,'Как есть'!CS$63:CS$70)</f>
        <v>0</v>
      </c>
      <c r="CS187">
        <f>SUMIF('Как есть'!$A$63:$A$70,Доп.расчеты!$A187,'Как есть'!CT$63:CT$70)</f>
        <v>0</v>
      </c>
      <c r="CT187">
        <f>SUMIF('Как есть'!$A$63:$A$70,Доп.расчеты!$A187,'Как есть'!CU$63:CU$70)</f>
        <v>0</v>
      </c>
      <c r="CU187">
        <f>SUMIF('Как есть'!$A$63:$A$70,Доп.расчеты!$A187,'Как есть'!CV$63:CV$70)</f>
        <v>0</v>
      </c>
      <c r="CV187">
        <f>SUMIF('Как есть'!$A$63:$A$70,Доп.расчеты!$A187,'Как есть'!CW$63:CW$70)</f>
        <v>0</v>
      </c>
      <c r="CW187">
        <f>SUMIF('Как есть'!$A$63:$A$70,Доп.расчеты!$A187,'Как есть'!CX$63:CX$70)</f>
        <v>0</v>
      </c>
      <c r="CX187">
        <f>SUMIF('Как есть'!$A$63:$A$70,Доп.расчеты!$A187,'Как есть'!CY$63:CY$70)</f>
        <v>0</v>
      </c>
      <c r="CY187">
        <f>SUMIF('Как есть'!$A$63:$A$70,Доп.расчеты!$A187,'Как есть'!CZ$63:CZ$70)</f>
        <v>0</v>
      </c>
      <c r="CZ187">
        <f>SUMIF('Как есть'!$A$63:$A$70,Доп.расчеты!$A187,'Как есть'!DA$63:DA$70)</f>
        <v>0</v>
      </c>
      <c r="DA187">
        <f>SUMIF('Как есть'!$A$63:$A$70,Доп.расчеты!$A187,'Как есть'!DB$63:DB$70)</f>
        <v>0</v>
      </c>
      <c r="DB187">
        <f>SUMIF('Как есть'!$A$63:$A$70,Доп.расчеты!$A187,'Как есть'!DC$63:DC$70)</f>
        <v>0</v>
      </c>
      <c r="DC187">
        <f>SUMIF('Как есть'!$A$63:$A$70,Доп.расчеты!$A187,'Как есть'!DD$63:DD$70)</f>
        <v>0</v>
      </c>
      <c r="DD187">
        <f>SUMIF('Как есть'!$A$63:$A$70,Доп.расчеты!$A187,'Как есть'!DE$63:DE$70)</f>
        <v>0</v>
      </c>
      <c r="DE187">
        <f>SUMIF('Как есть'!$A$63:$A$70,Доп.расчеты!$A187,'Как есть'!DF$63:DF$70)</f>
        <v>0</v>
      </c>
      <c r="DF187">
        <f>SUMIF('Как есть'!$A$63:$A$70,Доп.расчеты!$A187,'Как есть'!DG$63:DG$70)</f>
        <v>0</v>
      </c>
      <c r="DG187">
        <f>SUMIF('Как есть'!$A$63:$A$70,Доп.расчеты!$A187,'Как есть'!DH$63:DH$70)</f>
        <v>0</v>
      </c>
      <c r="DH187">
        <f>SUMIF('Как есть'!$A$63:$A$70,Доп.расчеты!$A187,'Как есть'!DI$63:DI$70)</f>
        <v>0</v>
      </c>
      <c r="DI187">
        <f>SUMIF('Как есть'!$A$63:$A$70,Доп.расчеты!$A187,'Как есть'!DJ$63:DJ$70)</f>
        <v>0</v>
      </c>
      <c r="DJ187">
        <f>SUMIF('Как есть'!$A$63:$A$70,Доп.расчеты!$A187,'Как есть'!DK$63:DK$70)</f>
        <v>0</v>
      </c>
      <c r="DK187">
        <f>SUMIF('Как есть'!$A$63:$A$70,Доп.расчеты!$A187,'Как есть'!DL$63:DL$70)</f>
        <v>0</v>
      </c>
      <c r="DL187">
        <f>SUMIF('Как есть'!$A$63:$A$70,Доп.расчеты!$A187,'Как есть'!DM$63:DM$70)</f>
        <v>0</v>
      </c>
      <c r="DM187">
        <f>SUMIF('Как есть'!$A$63:$A$70,Доп.расчеты!$A187,'Как есть'!DN$63:DN$70)</f>
        <v>0</v>
      </c>
      <c r="DN187">
        <f>SUMIF('Как есть'!$A$63:$A$70,Доп.расчеты!$A187,'Как есть'!DO$63:DO$70)</f>
        <v>0</v>
      </c>
      <c r="DO187">
        <f>SUMIF('Как есть'!$A$63:$A$70,Доп.расчеты!$A187,'Как есть'!DP$63:DP$70)</f>
        <v>0</v>
      </c>
      <c r="DP187">
        <f>SUMIF('Как есть'!$A$63:$A$70,Доп.расчеты!$A187,'Как есть'!DQ$63:DQ$70)</f>
        <v>0</v>
      </c>
      <c r="DQ187">
        <f>SUMIF('Как есть'!$A$63:$A$70,Доп.расчеты!$A187,'Как есть'!DR$63:DR$70)</f>
        <v>0</v>
      </c>
      <c r="DR187">
        <f>SUMIF('Как есть'!$A$63:$A$70,Доп.расчеты!$A187,'Как есть'!DS$63:DS$70)</f>
        <v>0</v>
      </c>
      <c r="DS187">
        <f>SUMIF('Как есть'!$A$63:$A$70,Доп.расчеты!$A187,'Как есть'!DT$63:DT$70)</f>
        <v>0</v>
      </c>
      <c r="DT187">
        <f>SUMIF('Как есть'!$A$63:$A$70,Доп.расчеты!$A187,'Как есть'!DU$63:DU$70)</f>
        <v>0</v>
      </c>
      <c r="DU187">
        <f>SUMIF('Как есть'!$A$63:$A$70,Доп.расчеты!$A187,'Как есть'!DV$63:DV$70)</f>
        <v>0</v>
      </c>
      <c r="DV187">
        <f>SUMIF('Как есть'!$A$63:$A$70,Доп.расчеты!$A187,'Как есть'!DW$63:DW$70)</f>
        <v>0</v>
      </c>
      <c r="DW187">
        <f>SUMIF('Как есть'!$A$63:$A$70,Доп.расчеты!$A187,'Как есть'!DX$63:DX$70)</f>
        <v>0</v>
      </c>
      <c r="DX187">
        <f>SUMIF('Как есть'!$A$63:$A$70,Доп.расчеты!$A187,'Как есть'!DY$63:DY$70)</f>
        <v>0</v>
      </c>
      <c r="DY187">
        <f>SUMIF('Как есть'!$A$63:$A$70,Доп.расчеты!$A187,'Как есть'!DZ$63:DZ$70)</f>
        <v>0</v>
      </c>
      <c r="DZ187">
        <f>SUMIF('Как есть'!$A$63:$A$70,Доп.расчеты!$A187,'Как есть'!EA$63:EA$70)</f>
        <v>0</v>
      </c>
      <c r="EA187">
        <f>SUMIF('Как есть'!$A$63:$A$70,Доп.расчеты!$A187,'Как есть'!EB$63:EB$70)</f>
        <v>0</v>
      </c>
      <c r="EB187">
        <f>SUMIF('Как есть'!$A$63:$A$70,Доп.расчеты!$A187,'Как есть'!EC$63:EC$70)</f>
        <v>0</v>
      </c>
      <c r="EC187">
        <f>SUMIF('Как есть'!$A$63:$A$70,Доп.расчеты!$A187,'Как есть'!ED$63:ED$70)</f>
        <v>0</v>
      </c>
      <c r="ED187">
        <f>SUMIF('Как есть'!$A$63:$A$70,Доп.расчеты!$A187,'Как есть'!EE$63:EE$70)</f>
        <v>0</v>
      </c>
      <c r="EE187">
        <f>SUMIF('Как есть'!$A$63:$A$70,Доп.расчеты!$A187,'Как есть'!EF$63:EF$70)</f>
        <v>0</v>
      </c>
      <c r="EF187">
        <f>SUMIF('Как есть'!$A$63:$A$70,Доп.расчеты!$A187,'Как есть'!EG$63:EG$70)</f>
        <v>0</v>
      </c>
      <c r="EG187">
        <f>SUMIF('Как есть'!$A$63:$A$70,Доп.расчеты!$A187,'Как есть'!EH$63:EH$70)</f>
        <v>0</v>
      </c>
      <c r="EH187">
        <f>SUMIF('Как есть'!$A$63:$A$70,Доп.расчеты!$A187,'Как есть'!EI$63:EI$70)</f>
        <v>0</v>
      </c>
      <c r="EI187">
        <f>SUMIF('Как есть'!$A$63:$A$70,Доп.расчеты!$A187,'Как есть'!EJ$63:EJ$70)</f>
        <v>0</v>
      </c>
      <c r="EJ187">
        <f>SUMIF('Как есть'!$A$63:$A$70,Доп.расчеты!$A187,'Как есть'!EK$63:EK$70)</f>
        <v>0</v>
      </c>
      <c r="EK187">
        <f>SUMIF('Как есть'!$A$63:$A$70,Доп.расчеты!$A187,'Как есть'!EL$63:EL$70)</f>
        <v>0</v>
      </c>
      <c r="EL187">
        <f>SUMIF('Как есть'!$A$63:$A$70,Доп.расчеты!$A187,'Как есть'!EM$63:EM$70)</f>
        <v>0</v>
      </c>
      <c r="EM187">
        <f>SUMIF('Как есть'!$A$63:$A$70,Доп.расчеты!$A187,'Как есть'!EN$63:EN$70)</f>
        <v>0</v>
      </c>
      <c r="EN187">
        <f>SUMIF('Как есть'!$A$63:$A$70,Доп.расчеты!$A187,'Как есть'!EO$63:EO$70)</f>
        <v>0</v>
      </c>
      <c r="EO187">
        <f>SUMIF('Как есть'!$A$63:$A$70,Доп.расчеты!$A187,'Как есть'!EP$63:EP$70)</f>
        <v>0</v>
      </c>
      <c r="EP187">
        <f>SUMIF('Как есть'!$A$63:$A$70,Доп.расчеты!$A187,'Как есть'!EQ$63:EQ$70)</f>
        <v>0</v>
      </c>
      <c r="EQ187">
        <f>SUMIF('Как есть'!$A$63:$A$70,Доп.расчеты!$A187,'Как есть'!ER$63:ER$70)</f>
        <v>0</v>
      </c>
      <c r="ER187">
        <f>SUMIF('Как есть'!$A$63:$A$70,Доп.расчеты!$A187,'Как есть'!ES$63:ES$70)</f>
        <v>0</v>
      </c>
      <c r="ES187">
        <f>SUMIF('Как есть'!$A$63:$A$70,Доп.расчеты!$A187,'Как есть'!ET$63:ET$70)</f>
        <v>0</v>
      </c>
      <c r="ET187">
        <f>SUMIF('Как есть'!$A$63:$A$70,Доп.расчеты!$A187,'Как есть'!EU$63:EU$70)</f>
        <v>0</v>
      </c>
      <c r="EU187">
        <f>SUMIF('Как есть'!$A$63:$A$70,Доп.расчеты!$A187,'Как есть'!EV$63:EV$70)</f>
        <v>0</v>
      </c>
      <c r="EV187">
        <f>SUMIF('Как есть'!$A$63:$A$70,Доп.расчеты!$A187,'Как есть'!EW$63:EW$70)</f>
        <v>0</v>
      </c>
      <c r="EW187">
        <f>SUMIF('Как есть'!$A$63:$A$70,Доп.расчеты!$A187,'Как есть'!EX$63:EX$70)</f>
        <v>0</v>
      </c>
      <c r="EX187">
        <f>SUMIF('Как есть'!$A$63:$A$70,Доп.расчеты!$A187,'Как есть'!EY$63:EY$70)</f>
        <v>0</v>
      </c>
      <c r="EY187">
        <f>SUMIF('Как есть'!$A$63:$A$70,Доп.расчеты!$A187,'Как есть'!EZ$63:EZ$70)</f>
        <v>0</v>
      </c>
      <c r="EZ187">
        <f>SUMIF('Как есть'!$A$63:$A$70,Доп.расчеты!$A187,'Как есть'!FA$63:FA$70)</f>
        <v>0</v>
      </c>
      <c r="FA187">
        <f>SUMIF('Как есть'!$A$63:$A$70,Доп.расчеты!$A187,'Как есть'!FB$63:FB$70)</f>
        <v>0</v>
      </c>
      <c r="FB187">
        <f>SUMIF('Как есть'!$A$63:$A$70,Доп.расчеты!$A187,'Как есть'!FC$63:FC$70)</f>
        <v>0</v>
      </c>
      <c r="FC187">
        <f>SUMIF('Как есть'!$A$63:$A$70,Доп.расчеты!$A187,'Как есть'!FD$63:FD$70)</f>
        <v>0</v>
      </c>
      <c r="FD187">
        <f>SUMIF('Как есть'!$A$63:$A$70,Доп.расчеты!$A187,'Как есть'!FE$63:FE$70)</f>
        <v>0</v>
      </c>
      <c r="FE187">
        <f>SUMIF('Как есть'!$A$63:$A$70,Доп.расчеты!$A187,'Как есть'!FF$63:FF$70)</f>
        <v>0</v>
      </c>
      <c r="FF187">
        <f>SUMIF('Как есть'!$A$63:$A$70,Доп.расчеты!$A187,'Как есть'!FG$63:FG$70)</f>
        <v>0</v>
      </c>
      <c r="FG187">
        <f>SUMIF('Как есть'!$A$63:$A$70,Доп.расчеты!$A187,'Как есть'!FH$63:FH$70)</f>
        <v>0</v>
      </c>
      <c r="FH187">
        <f>SUMIF('Как есть'!$A$63:$A$70,Доп.расчеты!$A187,'Как есть'!FI$63:FI$70)</f>
        <v>0</v>
      </c>
      <c r="FI187">
        <f>SUMIF('Как есть'!$A$63:$A$70,Доп.расчеты!$A187,'Как есть'!FJ$63:FJ$70)</f>
        <v>0</v>
      </c>
      <c r="FJ187">
        <f>SUMIF('Как есть'!$A$63:$A$70,Доп.расчеты!$A187,'Как есть'!FK$63:FK$70)</f>
        <v>0</v>
      </c>
      <c r="FK187">
        <f>SUMIF('Как есть'!$A$63:$A$70,Доп.расчеты!$A187,'Как есть'!FL$63:FL$70)</f>
        <v>0</v>
      </c>
      <c r="FL187">
        <f>SUMIF('Как есть'!$A$63:$A$70,Доп.расчеты!$A187,'Как есть'!FM$63:FM$70)</f>
        <v>0</v>
      </c>
      <c r="FM187">
        <f>SUMIF('Как есть'!$A$63:$A$70,Доп.расчеты!$A187,'Как есть'!FN$63:FN$70)</f>
        <v>0</v>
      </c>
      <c r="FN187">
        <f>SUMIF('Как есть'!$A$63:$A$70,Доп.расчеты!$A187,'Как есть'!FO$63:FO$70)</f>
        <v>0</v>
      </c>
      <c r="FO187">
        <f>SUMIF('Как есть'!$A$63:$A$70,Доп.расчеты!$A187,'Как есть'!FP$63:FP$70)</f>
        <v>0</v>
      </c>
      <c r="FP187">
        <f>SUMIF('Как есть'!$A$63:$A$70,Доп.расчеты!$A187,'Как есть'!FQ$63:FQ$70)</f>
        <v>0</v>
      </c>
      <c r="FQ187">
        <f>SUMIF('Как есть'!$A$63:$A$70,Доп.расчеты!$A187,'Как есть'!FR$63:FR$70)</f>
        <v>0</v>
      </c>
      <c r="FR187">
        <f>SUMIF('Как есть'!$A$63:$A$70,Доп.расчеты!$A187,'Как есть'!FS$63:FS$70)</f>
        <v>0</v>
      </c>
      <c r="FS187">
        <f>SUMIF('Как есть'!$A$63:$A$70,Доп.расчеты!$A187,'Как есть'!FT$63:FT$70)</f>
        <v>0</v>
      </c>
      <c r="FT187">
        <f>SUMIF('Как есть'!$A$63:$A$70,Доп.расчеты!$A187,'Как есть'!FU$63:FU$70)</f>
        <v>0</v>
      </c>
      <c r="FU187">
        <f>SUMIF('Как есть'!$A$63:$A$70,Доп.расчеты!$A187,'Как есть'!FV$63:FV$70)</f>
        <v>0</v>
      </c>
      <c r="FV187">
        <f>SUMIF('Как есть'!$A$63:$A$70,Доп.расчеты!$A187,'Как есть'!FW$63:FW$70)</f>
        <v>0</v>
      </c>
      <c r="FW187">
        <f>SUMIF('Как есть'!$A$63:$A$70,Доп.расчеты!$A187,'Как есть'!FX$63:FX$70)</f>
        <v>0</v>
      </c>
      <c r="FX187">
        <f>SUMIF('Как есть'!$A$63:$A$70,Доп.расчеты!$A187,'Как есть'!FY$63:FY$70)</f>
        <v>0</v>
      </c>
      <c r="FY187">
        <f>SUMIF('Как есть'!$A$63:$A$70,Доп.расчеты!$A187,'Как есть'!FZ$63:FZ$70)</f>
        <v>0</v>
      </c>
      <c r="FZ187">
        <f>SUMIF('Как есть'!$A$63:$A$70,Доп.расчеты!$A187,'Как есть'!GA$63:GA$70)</f>
        <v>0</v>
      </c>
      <c r="GA187">
        <f>SUMIF('Как есть'!$A$63:$A$70,Доп.расчеты!$A187,'Как есть'!GB$63:GB$70)</f>
        <v>0</v>
      </c>
      <c r="GB187">
        <f>SUMIF('Как есть'!$A$63:$A$70,Доп.расчеты!$A187,'Как есть'!GC$63:GC$70)</f>
        <v>0</v>
      </c>
      <c r="GC187">
        <f>SUMIF('Как есть'!$A$63:$A$70,Доп.расчеты!$A187,'Как есть'!GD$63:GD$70)</f>
        <v>0</v>
      </c>
      <c r="GD187">
        <f>SUMIF('Как есть'!$A$63:$A$70,Доп.расчеты!$A187,'Как есть'!GE$63:GE$70)</f>
        <v>0</v>
      </c>
      <c r="GE187">
        <f>SUMIF('Как есть'!$A$63:$A$70,Доп.расчеты!$A187,'Как есть'!GF$63:GF$70)</f>
        <v>0</v>
      </c>
      <c r="GF187">
        <f>SUMIF('Как есть'!$A$63:$A$70,Доп.расчеты!$A187,'Как есть'!GG$63:GG$70)</f>
        <v>0</v>
      </c>
      <c r="GG187">
        <f>SUMIF('Как есть'!$A$63:$A$70,Доп.расчеты!$A187,'Как есть'!GH$63:GH$70)</f>
        <v>0</v>
      </c>
      <c r="GH187">
        <f>SUMIF('Как есть'!$A$63:$A$70,Доп.расчеты!$A187,'Как есть'!GI$63:GI$70)</f>
        <v>0</v>
      </c>
      <c r="GI187">
        <f>SUMIF('Как есть'!$A$63:$A$70,Доп.расчеты!$A187,'Как есть'!GJ$63:GJ$70)</f>
        <v>0</v>
      </c>
      <c r="GJ187">
        <f>SUMIF('Как есть'!$A$63:$A$70,Доп.расчеты!$A187,'Как есть'!GK$63:GK$70)</f>
        <v>0</v>
      </c>
      <c r="GK187">
        <f>SUMIF('Как есть'!$A$63:$A$70,Доп.расчеты!$A187,'Как есть'!GL$63:GL$70)</f>
        <v>0</v>
      </c>
      <c r="GL187">
        <f>SUMIF('Как есть'!$A$63:$A$70,Доп.расчеты!$A187,'Как есть'!GM$63:GM$70)</f>
        <v>0</v>
      </c>
      <c r="GM187">
        <f>SUMIF('Как есть'!$A$63:$A$70,Доп.расчеты!$A187,'Как есть'!GN$63:GN$70)</f>
        <v>0</v>
      </c>
      <c r="GN187">
        <f>SUMIF('Как есть'!$A$63:$A$70,Доп.расчеты!$A187,'Как есть'!GO$63:GO$70)</f>
        <v>0</v>
      </c>
      <c r="GO187">
        <f>SUMIF('Как есть'!$A$63:$A$70,Доп.расчеты!$A187,'Как есть'!GP$63:GP$70)</f>
        <v>0</v>
      </c>
      <c r="GP187">
        <f>SUMIF('Как есть'!$A$63:$A$70,Доп.расчеты!$A187,'Как есть'!GQ$63:GQ$70)</f>
        <v>0</v>
      </c>
      <c r="GQ187">
        <f>SUMIF('Как есть'!$A$63:$A$70,Доп.расчеты!$A187,'Как есть'!GR$63:GR$70)</f>
        <v>0</v>
      </c>
      <c r="GR187">
        <f>SUMIF('Как есть'!$A$63:$A$70,Доп.расчеты!$A187,'Как есть'!GS$63:GS$70)</f>
        <v>0</v>
      </c>
      <c r="GS187">
        <f>SUMIF('Как есть'!$A$63:$A$70,Доп.расчеты!$A187,'Как есть'!GT$63:GT$70)</f>
        <v>0</v>
      </c>
      <c r="GT187">
        <f>SUMIF('Как есть'!$A$63:$A$70,Доп.расчеты!$A187,'Как есть'!GU$63:GU$70)</f>
        <v>0</v>
      </c>
    </row>
    <row r="188" spans="1:202" hidden="1" outlineLevel="1">
      <c r="A188" s="238" t="s">
        <v>117</v>
      </c>
      <c r="B188">
        <f>SUMIF('Как есть'!$A$63:$A$70,Доп.расчеты!$A188,'Как есть'!C$63:C$70)</f>
        <v>0</v>
      </c>
      <c r="C188">
        <f>SUMIF('Как есть'!$A$63:$A$70,Доп.расчеты!$A188,'Как есть'!D$63:D$70)</f>
        <v>0</v>
      </c>
      <c r="D188">
        <f>SUMIF('Как есть'!$A$63:$A$70,Доп.расчеты!$A188,'Как есть'!E$63:E$70)</f>
        <v>0</v>
      </c>
      <c r="E188">
        <f>SUMIF('Как есть'!$A$63:$A$70,Доп.расчеты!$A188,'Как есть'!F$63:F$70)</f>
        <v>0</v>
      </c>
      <c r="F188">
        <f>SUMIF('Как есть'!$A$63:$A$70,Доп.расчеты!$A188,'Как есть'!G$63:G$70)</f>
        <v>0</v>
      </c>
      <c r="G188">
        <f>SUMIF('Как есть'!$A$63:$A$70,Доп.расчеты!$A188,'Как есть'!H$63:H$70)</f>
        <v>0</v>
      </c>
      <c r="H188">
        <f>SUMIF('Как есть'!$A$63:$A$70,Доп.расчеты!$A188,'Как есть'!I$63:I$70)</f>
        <v>0</v>
      </c>
      <c r="I188">
        <f>SUMIF('Как есть'!$A$63:$A$70,Доп.расчеты!$A188,'Как есть'!J$63:J$70)</f>
        <v>0</v>
      </c>
      <c r="J188">
        <f>SUMIF('Как есть'!$A$63:$A$70,Доп.расчеты!$A188,'Как есть'!K$63:K$70)</f>
        <v>0</v>
      </c>
      <c r="K188">
        <f>SUMIF('Как есть'!$A$63:$A$70,Доп.расчеты!$A188,'Как есть'!L$63:L$70)</f>
        <v>0</v>
      </c>
      <c r="L188">
        <f>SUMIF('Как есть'!$A$63:$A$70,Доп.расчеты!$A188,'Как есть'!M$63:M$70)</f>
        <v>0</v>
      </c>
      <c r="M188">
        <f>SUMIF('Как есть'!$A$63:$A$70,Доп.расчеты!$A188,'Как есть'!N$63:N$70)</f>
        <v>0</v>
      </c>
      <c r="N188">
        <f>SUMIF('Как есть'!$A$63:$A$70,Доп.расчеты!$A188,'Как есть'!O$63:O$70)</f>
        <v>0</v>
      </c>
      <c r="O188">
        <f>SUMIF('Как есть'!$A$63:$A$70,Доп.расчеты!$A188,'Как есть'!P$63:P$70)</f>
        <v>0</v>
      </c>
      <c r="P188">
        <f>SUMIF('Как есть'!$A$63:$A$70,Доп.расчеты!$A188,'Как есть'!Q$63:Q$70)</f>
        <v>0</v>
      </c>
      <c r="Q188">
        <f>SUMIF('Как есть'!$A$63:$A$70,Доп.расчеты!$A188,'Как есть'!R$63:R$70)</f>
        <v>0</v>
      </c>
      <c r="R188">
        <f>SUMIF('Как есть'!$A$63:$A$70,Доп.расчеты!$A188,'Как есть'!S$63:S$70)</f>
        <v>0</v>
      </c>
      <c r="S188">
        <f>SUMIF('Как есть'!$A$63:$A$70,Доп.расчеты!$A188,'Как есть'!T$63:T$70)</f>
        <v>0</v>
      </c>
      <c r="T188">
        <f>SUMIF('Как есть'!$A$63:$A$70,Доп.расчеты!$A188,'Как есть'!U$63:U$70)</f>
        <v>0</v>
      </c>
      <c r="U188">
        <f>SUMIF('Как есть'!$A$63:$A$70,Доп.расчеты!$A188,'Как есть'!V$63:V$70)</f>
        <v>0</v>
      </c>
      <c r="V188">
        <f>SUMIF('Как есть'!$A$63:$A$70,Доп.расчеты!$A188,'Как есть'!W$63:W$70)</f>
        <v>0</v>
      </c>
      <c r="W188">
        <f>SUMIF('Как есть'!$A$63:$A$70,Доп.расчеты!$A188,'Как есть'!X$63:X$70)</f>
        <v>0</v>
      </c>
      <c r="X188">
        <f>SUMIF('Как есть'!$A$63:$A$70,Доп.расчеты!$A188,'Как есть'!Y$63:Y$70)</f>
        <v>0</v>
      </c>
      <c r="Y188">
        <f>SUMIF('Как есть'!$A$63:$A$70,Доп.расчеты!$A188,'Как есть'!Z$63:Z$70)</f>
        <v>0</v>
      </c>
      <c r="Z188">
        <f>SUMIF('Как есть'!$A$63:$A$70,Доп.расчеты!$A188,'Как есть'!AA$63:AA$70)</f>
        <v>0</v>
      </c>
      <c r="AA188">
        <f>SUMIF('Как есть'!$A$63:$A$70,Доп.расчеты!$A188,'Как есть'!AB$63:AB$70)</f>
        <v>0</v>
      </c>
      <c r="AB188">
        <f>SUMIF('Как есть'!$A$63:$A$70,Доп.расчеты!$A188,'Как есть'!AC$63:AC$70)</f>
        <v>0</v>
      </c>
      <c r="AC188">
        <f>SUMIF('Как есть'!$A$63:$A$70,Доп.расчеты!$A188,'Как есть'!AD$63:AD$70)</f>
        <v>0</v>
      </c>
      <c r="AD188">
        <f>SUMIF('Как есть'!$A$63:$A$70,Доп.расчеты!$A188,'Как есть'!AE$63:AE$70)</f>
        <v>0</v>
      </c>
      <c r="AE188">
        <f>SUMIF('Как есть'!$A$63:$A$70,Доп.расчеты!$A188,'Как есть'!AF$63:AF$70)</f>
        <v>0</v>
      </c>
      <c r="AF188">
        <f>SUMIF('Как есть'!$A$63:$A$70,Доп.расчеты!$A188,'Как есть'!AG$63:AG$70)</f>
        <v>0</v>
      </c>
      <c r="AG188">
        <f>SUMIF('Как есть'!$A$63:$A$70,Доп.расчеты!$A188,'Как есть'!AH$63:AH$70)</f>
        <v>0</v>
      </c>
      <c r="AH188">
        <f>SUMIF('Как есть'!$A$63:$A$70,Доп.расчеты!$A188,'Как есть'!AI$63:AI$70)</f>
        <v>0</v>
      </c>
      <c r="AI188">
        <f>SUMIF('Как есть'!$A$63:$A$70,Доп.расчеты!$A188,'Как есть'!AJ$63:AJ$70)</f>
        <v>0</v>
      </c>
      <c r="AJ188">
        <f>SUMIF('Как есть'!$A$63:$A$70,Доп.расчеты!$A188,'Как есть'!AK$63:AK$70)</f>
        <v>0</v>
      </c>
      <c r="AK188">
        <f>SUMIF('Как есть'!$A$63:$A$70,Доп.расчеты!$A188,'Как есть'!AL$63:AL$70)</f>
        <v>0</v>
      </c>
      <c r="AL188">
        <f>SUMIF('Как есть'!$A$63:$A$70,Доп.расчеты!$A188,'Как есть'!AM$63:AM$70)</f>
        <v>0</v>
      </c>
      <c r="AM188">
        <f>SUMIF('Как есть'!$A$63:$A$70,Доп.расчеты!$A188,'Как есть'!AN$63:AN$70)</f>
        <v>0</v>
      </c>
      <c r="AN188">
        <f>SUMIF('Как есть'!$A$63:$A$70,Доп.расчеты!$A188,'Как есть'!AO$63:AO$70)</f>
        <v>0</v>
      </c>
      <c r="AO188">
        <f>SUMIF('Как есть'!$A$63:$A$70,Доп.расчеты!$A188,'Как есть'!AP$63:AP$70)</f>
        <v>0</v>
      </c>
      <c r="AP188">
        <f>SUMIF('Как есть'!$A$63:$A$70,Доп.расчеты!$A188,'Как есть'!AQ$63:AQ$70)</f>
        <v>0</v>
      </c>
      <c r="AQ188">
        <f>SUMIF('Как есть'!$A$63:$A$70,Доп.расчеты!$A188,'Как есть'!AR$63:AR$70)</f>
        <v>0</v>
      </c>
      <c r="AR188">
        <f>SUMIF('Как есть'!$A$63:$A$70,Доп.расчеты!$A188,'Как есть'!AS$63:AS$70)</f>
        <v>0</v>
      </c>
      <c r="AS188">
        <f>SUMIF('Как есть'!$A$63:$A$70,Доп.расчеты!$A188,'Как есть'!AT$63:AT$70)</f>
        <v>0</v>
      </c>
      <c r="AT188">
        <f>SUMIF('Как есть'!$A$63:$A$70,Доп.расчеты!$A188,'Как есть'!AU$63:AU$70)</f>
        <v>0</v>
      </c>
      <c r="AU188">
        <f>SUMIF('Как есть'!$A$63:$A$70,Доп.расчеты!$A188,'Как есть'!AV$63:AV$70)</f>
        <v>0</v>
      </c>
      <c r="AV188">
        <f>SUMIF('Как есть'!$A$63:$A$70,Доп.расчеты!$A188,'Как есть'!AW$63:AW$70)</f>
        <v>0</v>
      </c>
      <c r="AW188">
        <f>SUMIF('Как есть'!$A$63:$A$70,Доп.расчеты!$A188,'Как есть'!AX$63:AX$70)</f>
        <v>0</v>
      </c>
      <c r="AX188">
        <f>SUMIF('Как есть'!$A$63:$A$70,Доп.расчеты!$A188,'Как есть'!AY$63:AY$70)</f>
        <v>0</v>
      </c>
      <c r="AY188">
        <f>SUMIF('Как есть'!$A$63:$A$70,Доп.расчеты!$A188,'Как есть'!AZ$63:AZ$70)</f>
        <v>0</v>
      </c>
      <c r="AZ188">
        <f>SUMIF('Как есть'!$A$63:$A$70,Доп.расчеты!$A188,'Как есть'!BA$63:BA$70)</f>
        <v>0</v>
      </c>
      <c r="BA188">
        <f>SUMIF('Как есть'!$A$63:$A$70,Доп.расчеты!$A188,'Как есть'!BB$63:BB$70)</f>
        <v>0</v>
      </c>
      <c r="BB188">
        <f>SUMIF('Как есть'!$A$63:$A$70,Доп.расчеты!$A188,'Как есть'!BC$63:BC$70)</f>
        <v>0</v>
      </c>
      <c r="BC188">
        <f>SUMIF('Как есть'!$A$63:$A$70,Доп.расчеты!$A188,'Как есть'!BD$63:BD$70)</f>
        <v>0</v>
      </c>
      <c r="BD188">
        <f>SUMIF('Как есть'!$A$63:$A$70,Доп.расчеты!$A188,'Как есть'!BE$63:BE$70)</f>
        <v>0</v>
      </c>
      <c r="BE188">
        <f>SUMIF('Как есть'!$A$63:$A$70,Доп.расчеты!$A188,'Как есть'!BF$63:BF$70)</f>
        <v>0</v>
      </c>
      <c r="BF188">
        <f>SUMIF('Как есть'!$A$63:$A$70,Доп.расчеты!$A188,'Как есть'!BG$63:BG$70)</f>
        <v>0</v>
      </c>
      <c r="BG188">
        <f>SUMIF('Как есть'!$A$63:$A$70,Доп.расчеты!$A188,'Как есть'!BH$63:BH$70)</f>
        <v>0</v>
      </c>
      <c r="BH188">
        <f>SUMIF('Как есть'!$A$63:$A$70,Доп.расчеты!$A188,'Как есть'!BI$63:BI$70)</f>
        <v>0</v>
      </c>
      <c r="BI188">
        <f>SUMIF('Как есть'!$A$63:$A$70,Доп.расчеты!$A188,'Как есть'!BJ$63:BJ$70)</f>
        <v>0</v>
      </c>
      <c r="BJ188">
        <f>SUMIF('Как есть'!$A$63:$A$70,Доп.расчеты!$A188,'Как есть'!BK$63:BK$70)</f>
        <v>0</v>
      </c>
      <c r="BK188">
        <f>SUMIF('Как есть'!$A$63:$A$70,Доп.расчеты!$A188,'Как есть'!BL$63:BL$70)</f>
        <v>0</v>
      </c>
      <c r="BL188">
        <f>SUMIF('Как есть'!$A$63:$A$70,Доп.расчеты!$A188,'Как есть'!BM$63:BM$70)</f>
        <v>0</v>
      </c>
      <c r="BM188">
        <f>SUMIF('Как есть'!$A$63:$A$70,Доп.расчеты!$A188,'Как есть'!BN$63:BN$70)</f>
        <v>0</v>
      </c>
      <c r="BN188">
        <f>SUMIF('Как есть'!$A$63:$A$70,Доп.расчеты!$A188,'Как есть'!BO$63:BO$70)</f>
        <v>0</v>
      </c>
      <c r="BO188">
        <f>SUMIF('Как есть'!$A$63:$A$70,Доп.расчеты!$A188,'Как есть'!BP$63:BP$70)</f>
        <v>0</v>
      </c>
      <c r="BP188">
        <f>SUMIF('Как есть'!$A$63:$A$70,Доп.расчеты!$A188,'Как есть'!BQ$63:BQ$70)</f>
        <v>0</v>
      </c>
      <c r="BQ188">
        <f>SUMIF('Как есть'!$A$63:$A$70,Доп.расчеты!$A188,'Как есть'!BR$63:BR$70)</f>
        <v>0</v>
      </c>
      <c r="BR188">
        <f>SUMIF('Как есть'!$A$63:$A$70,Доп.расчеты!$A188,'Как есть'!BS$63:BS$70)</f>
        <v>0</v>
      </c>
      <c r="BS188">
        <f>SUMIF('Как есть'!$A$63:$A$70,Доп.расчеты!$A188,'Как есть'!BT$63:BT$70)</f>
        <v>0</v>
      </c>
      <c r="BT188">
        <f>SUMIF('Как есть'!$A$63:$A$70,Доп.расчеты!$A188,'Как есть'!BU$63:BU$70)</f>
        <v>0</v>
      </c>
      <c r="BU188">
        <f>SUMIF('Как есть'!$A$63:$A$70,Доп.расчеты!$A188,'Как есть'!BV$63:BV$70)</f>
        <v>0</v>
      </c>
      <c r="BV188">
        <f>SUMIF('Как есть'!$A$63:$A$70,Доп.расчеты!$A188,'Как есть'!BW$63:BW$70)</f>
        <v>0</v>
      </c>
      <c r="BW188">
        <f>SUMIF('Как есть'!$A$63:$A$70,Доп.расчеты!$A188,'Как есть'!BX$63:BX$70)</f>
        <v>0</v>
      </c>
      <c r="BX188">
        <f>SUMIF('Как есть'!$A$63:$A$70,Доп.расчеты!$A188,'Как есть'!BY$63:BY$70)</f>
        <v>0</v>
      </c>
      <c r="BY188">
        <f>SUMIF('Как есть'!$A$63:$A$70,Доп.расчеты!$A188,'Как есть'!BZ$63:BZ$70)</f>
        <v>0</v>
      </c>
      <c r="BZ188">
        <f>SUMIF('Как есть'!$A$63:$A$70,Доп.расчеты!$A188,'Как есть'!CA$63:CA$70)</f>
        <v>0</v>
      </c>
      <c r="CA188">
        <f>SUMIF('Как есть'!$A$63:$A$70,Доп.расчеты!$A188,'Как есть'!CB$63:CB$70)</f>
        <v>0</v>
      </c>
      <c r="CB188">
        <f>SUMIF('Как есть'!$A$63:$A$70,Доп.расчеты!$A188,'Как есть'!CC$63:CC$70)</f>
        <v>0</v>
      </c>
      <c r="CC188">
        <f>SUMIF('Как есть'!$A$63:$A$70,Доп.расчеты!$A188,'Как есть'!CD$63:CD$70)</f>
        <v>0</v>
      </c>
      <c r="CD188">
        <f>SUMIF('Как есть'!$A$63:$A$70,Доп.расчеты!$A188,'Как есть'!CE$63:CE$70)</f>
        <v>0</v>
      </c>
      <c r="CE188">
        <f>SUMIF('Как есть'!$A$63:$A$70,Доп.расчеты!$A188,'Как есть'!CF$63:CF$70)</f>
        <v>0</v>
      </c>
      <c r="CF188">
        <f>SUMIF('Как есть'!$A$63:$A$70,Доп.расчеты!$A188,'Как есть'!CG$63:CG$70)</f>
        <v>0</v>
      </c>
      <c r="CG188">
        <f>SUMIF('Как есть'!$A$63:$A$70,Доп.расчеты!$A188,'Как есть'!CH$63:CH$70)</f>
        <v>0</v>
      </c>
      <c r="CH188">
        <f>SUMIF('Как есть'!$A$63:$A$70,Доп.расчеты!$A188,'Как есть'!CI$63:CI$70)</f>
        <v>0</v>
      </c>
      <c r="CI188">
        <f>SUMIF('Как есть'!$A$63:$A$70,Доп.расчеты!$A188,'Как есть'!CJ$63:CJ$70)</f>
        <v>0</v>
      </c>
      <c r="CJ188">
        <f>SUMIF('Как есть'!$A$63:$A$70,Доп.расчеты!$A188,'Как есть'!CK$63:CK$70)</f>
        <v>0</v>
      </c>
      <c r="CK188">
        <f>SUMIF('Как есть'!$A$63:$A$70,Доп.расчеты!$A188,'Как есть'!CL$63:CL$70)</f>
        <v>0</v>
      </c>
      <c r="CL188">
        <f>SUMIF('Как есть'!$A$63:$A$70,Доп.расчеты!$A188,'Как есть'!CM$63:CM$70)</f>
        <v>0</v>
      </c>
      <c r="CM188">
        <f>SUMIF('Как есть'!$A$63:$A$70,Доп.расчеты!$A188,'Как есть'!CN$63:CN$70)</f>
        <v>0</v>
      </c>
      <c r="CN188">
        <f>SUMIF('Как есть'!$A$63:$A$70,Доп.расчеты!$A188,'Как есть'!CO$63:CO$70)</f>
        <v>0</v>
      </c>
      <c r="CO188">
        <f>SUMIF('Как есть'!$A$63:$A$70,Доп.расчеты!$A188,'Как есть'!CP$63:CP$70)</f>
        <v>0</v>
      </c>
      <c r="CP188">
        <f>SUMIF('Как есть'!$A$63:$A$70,Доп.расчеты!$A188,'Как есть'!CQ$63:CQ$70)</f>
        <v>0</v>
      </c>
      <c r="CQ188">
        <f>SUMIF('Как есть'!$A$63:$A$70,Доп.расчеты!$A188,'Как есть'!CR$63:CR$70)</f>
        <v>0</v>
      </c>
      <c r="CR188">
        <f>SUMIF('Как есть'!$A$63:$A$70,Доп.расчеты!$A188,'Как есть'!CS$63:CS$70)</f>
        <v>0</v>
      </c>
      <c r="CS188">
        <f>SUMIF('Как есть'!$A$63:$A$70,Доп.расчеты!$A188,'Как есть'!CT$63:CT$70)</f>
        <v>0</v>
      </c>
      <c r="CT188">
        <f>SUMIF('Как есть'!$A$63:$A$70,Доп.расчеты!$A188,'Как есть'!CU$63:CU$70)</f>
        <v>0</v>
      </c>
      <c r="CU188">
        <f>SUMIF('Как есть'!$A$63:$A$70,Доп.расчеты!$A188,'Как есть'!CV$63:CV$70)</f>
        <v>0</v>
      </c>
      <c r="CV188">
        <f>SUMIF('Как есть'!$A$63:$A$70,Доп.расчеты!$A188,'Как есть'!CW$63:CW$70)</f>
        <v>0</v>
      </c>
      <c r="CW188">
        <f>SUMIF('Как есть'!$A$63:$A$70,Доп.расчеты!$A188,'Как есть'!CX$63:CX$70)</f>
        <v>0</v>
      </c>
      <c r="CX188">
        <f>SUMIF('Как есть'!$A$63:$A$70,Доп.расчеты!$A188,'Как есть'!CY$63:CY$70)</f>
        <v>0</v>
      </c>
      <c r="CY188">
        <f>SUMIF('Как есть'!$A$63:$A$70,Доп.расчеты!$A188,'Как есть'!CZ$63:CZ$70)</f>
        <v>0</v>
      </c>
      <c r="CZ188">
        <f>SUMIF('Как есть'!$A$63:$A$70,Доп.расчеты!$A188,'Как есть'!DA$63:DA$70)</f>
        <v>0</v>
      </c>
      <c r="DA188">
        <f>SUMIF('Как есть'!$A$63:$A$70,Доп.расчеты!$A188,'Как есть'!DB$63:DB$70)</f>
        <v>0</v>
      </c>
      <c r="DB188">
        <f>SUMIF('Как есть'!$A$63:$A$70,Доп.расчеты!$A188,'Как есть'!DC$63:DC$70)</f>
        <v>0</v>
      </c>
      <c r="DC188">
        <f>SUMIF('Как есть'!$A$63:$A$70,Доп.расчеты!$A188,'Как есть'!DD$63:DD$70)</f>
        <v>0</v>
      </c>
      <c r="DD188">
        <f>SUMIF('Как есть'!$A$63:$A$70,Доп.расчеты!$A188,'Как есть'!DE$63:DE$70)</f>
        <v>0</v>
      </c>
      <c r="DE188">
        <f>SUMIF('Как есть'!$A$63:$A$70,Доп.расчеты!$A188,'Как есть'!DF$63:DF$70)</f>
        <v>0</v>
      </c>
      <c r="DF188">
        <f>SUMIF('Как есть'!$A$63:$A$70,Доп.расчеты!$A188,'Как есть'!DG$63:DG$70)</f>
        <v>0</v>
      </c>
      <c r="DG188">
        <f>SUMIF('Как есть'!$A$63:$A$70,Доп.расчеты!$A188,'Как есть'!DH$63:DH$70)</f>
        <v>0</v>
      </c>
      <c r="DH188">
        <f>SUMIF('Как есть'!$A$63:$A$70,Доп.расчеты!$A188,'Как есть'!DI$63:DI$70)</f>
        <v>0</v>
      </c>
      <c r="DI188">
        <f>SUMIF('Как есть'!$A$63:$A$70,Доп.расчеты!$A188,'Как есть'!DJ$63:DJ$70)</f>
        <v>0</v>
      </c>
      <c r="DJ188">
        <f>SUMIF('Как есть'!$A$63:$A$70,Доп.расчеты!$A188,'Как есть'!DK$63:DK$70)</f>
        <v>0</v>
      </c>
      <c r="DK188">
        <f>SUMIF('Как есть'!$A$63:$A$70,Доп.расчеты!$A188,'Как есть'!DL$63:DL$70)</f>
        <v>0</v>
      </c>
      <c r="DL188">
        <f>SUMIF('Как есть'!$A$63:$A$70,Доп.расчеты!$A188,'Как есть'!DM$63:DM$70)</f>
        <v>0</v>
      </c>
      <c r="DM188">
        <f>SUMIF('Как есть'!$A$63:$A$70,Доп.расчеты!$A188,'Как есть'!DN$63:DN$70)</f>
        <v>0</v>
      </c>
      <c r="DN188">
        <f>SUMIF('Как есть'!$A$63:$A$70,Доп.расчеты!$A188,'Как есть'!DO$63:DO$70)</f>
        <v>0</v>
      </c>
      <c r="DO188">
        <f>SUMIF('Как есть'!$A$63:$A$70,Доп.расчеты!$A188,'Как есть'!DP$63:DP$70)</f>
        <v>0</v>
      </c>
      <c r="DP188">
        <f>SUMIF('Как есть'!$A$63:$A$70,Доп.расчеты!$A188,'Как есть'!DQ$63:DQ$70)</f>
        <v>0</v>
      </c>
      <c r="DQ188">
        <f>SUMIF('Как есть'!$A$63:$A$70,Доп.расчеты!$A188,'Как есть'!DR$63:DR$70)</f>
        <v>0</v>
      </c>
      <c r="DR188">
        <f>SUMIF('Как есть'!$A$63:$A$70,Доп.расчеты!$A188,'Как есть'!DS$63:DS$70)</f>
        <v>0</v>
      </c>
      <c r="DS188">
        <f>SUMIF('Как есть'!$A$63:$A$70,Доп.расчеты!$A188,'Как есть'!DT$63:DT$70)</f>
        <v>0</v>
      </c>
      <c r="DT188">
        <f>SUMIF('Как есть'!$A$63:$A$70,Доп.расчеты!$A188,'Как есть'!DU$63:DU$70)</f>
        <v>0</v>
      </c>
      <c r="DU188">
        <f>SUMIF('Как есть'!$A$63:$A$70,Доп.расчеты!$A188,'Как есть'!DV$63:DV$70)</f>
        <v>0</v>
      </c>
      <c r="DV188">
        <f>SUMIF('Как есть'!$A$63:$A$70,Доп.расчеты!$A188,'Как есть'!DW$63:DW$70)</f>
        <v>0</v>
      </c>
      <c r="DW188">
        <f>SUMIF('Как есть'!$A$63:$A$70,Доп.расчеты!$A188,'Как есть'!DX$63:DX$70)</f>
        <v>0</v>
      </c>
      <c r="DX188">
        <f>SUMIF('Как есть'!$A$63:$A$70,Доп.расчеты!$A188,'Как есть'!DY$63:DY$70)</f>
        <v>0</v>
      </c>
      <c r="DY188">
        <f>SUMIF('Как есть'!$A$63:$A$70,Доп.расчеты!$A188,'Как есть'!DZ$63:DZ$70)</f>
        <v>0</v>
      </c>
      <c r="DZ188">
        <f>SUMIF('Как есть'!$A$63:$A$70,Доп.расчеты!$A188,'Как есть'!EA$63:EA$70)</f>
        <v>0</v>
      </c>
      <c r="EA188">
        <f>SUMIF('Как есть'!$A$63:$A$70,Доп.расчеты!$A188,'Как есть'!EB$63:EB$70)</f>
        <v>0</v>
      </c>
      <c r="EB188">
        <f>SUMIF('Как есть'!$A$63:$A$70,Доп.расчеты!$A188,'Как есть'!EC$63:EC$70)</f>
        <v>0</v>
      </c>
      <c r="EC188">
        <f>SUMIF('Как есть'!$A$63:$A$70,Доп.расчеты!$A188,'Как есть'!ED$63:ED$70)</f>
        <v>0</v>
      </c>
      <c r="ED188">
        <f>SUMIF('Как есть'!$A$63:$A$70,Доп.расчеты!$A188,'Как есть'!EE$63:EE$70)</f>
        <v>0</v>
      </c>
      <c r="EE188">
        <f>SUMIF('Как есть'!$A$63:$A$70,Доп.расчеты!$A188,'Как есть'!EF$63:EF$70)</f>
        <v>0</v>
      </c>
      <c r="EF188">
        <f>SUMIF('Как есть'!$A$63:$A$70,Доп.расчеты!$A188,'Как есть'!EG$63:EG$70)</f>
        <v>0</v>
      </c>
      <c r="EG188">
        <f>SUMIF('Как есть'!$A$63:$A$70,Доп.расчеты!$A188,'Как есть'!EH$63:EH$70)</f>
        <v>0</v>
      </c>
      <c r="EH188">
        <f>SUMIF('Как есть'!$A$63:$A$70,Доп.расчеты!$A188,'Как есть'!EI$63:EI$70)</f>
        <v>0</v>
      </c>
      <c r="EI188">
        <f>SUMIF('Как есть'!$A$63:$A$70,Доп.расчеты!$A188,'Как есть'!EJ$63:EJ$70)</f>
        <v>0</v>
      </c>
      <c r="EJ188">
        <f>SUMIF('Как есть'!$A$63:$A$70,Доп.расчеты!$A188,'Как есть'!EK$63:EK$70)</f>
        <v>0</v>
      </c>
      <c r="EK188">
        <f>SUMIF('Как есть'!$A$63:$A$70,Доп.расчеты!$A188,'Как есть'!EL$63:EL$70)</f>
        <v>0</v>
      </c>
      <c r="EL188">
        <f>SUMIF('Как есть'!$A$63:$A$70,Доп.расчеты!$A188,'Как есть'!EM$63:EM$70)</f>
        <v>0</v>
      </c>
      <c r="EM188">
        <f>SUMIF('Как есть'!$A$63:$A$70,Доп.расчеты!$A188,'Как есть'!EN$63:EN$70)</f>
        <v>0</v>
      </c>
      <c r="EN188">
        <f>SUMIF('Как есть'!$A$63:$A$70,Доп.расчеты!$A188,'Как есть'!EO$63:EO$70)</f>
        <v>0</v>
      </c>
      <c r="EO188">
        <f>SUMIF('Как есть'!$A$63:$A$70,Доп.расчеты!$A188,'Как есть'!EP$63:EP$70)</f>
        <v>0</v>
      </c>
      <c r="EP188">
        <f>SUMIF('Как есть'!$A$63:$A$70,Доп.расчеты!$A188,'Как есть'!EQ$63:EQ$70)</f>
        <v>0</v>
      </c>
      <c r="EQ188">
        <f>SUMIF('Как есть'!$A$63:$A$70,Доп.расчеты!$A188,'Как есть'!ER$63:ER$70)</f>
        <v>0</v>
      </c>
      <c r="ER188">
        <f>SUMIF('Как есть'!$A$63:$A$70,Доп.расчеты!$A188,'Как есть'!ES$63:ES$70)</f>
        <v>0</v>
      </c>
      <c r="ES188">
        <f>SUMIF('Как есть'!$A$63:$A$70,Доп.расчеты!$A188,'Как есть'!ET$63:ET$70)</f>
        <v>0</v>
      </c>
      <c r="ET188">
        <f>SUMIF('Как есть'!$A$63:$A$70,Доп.расчеты!$A188,'Как есть'!EU$63:EU$70)</f>
        <v>0</v>
      </c>
      <c r="EU188">
        <f>SUMIF('Как есть'!$A$63:$A$70,Доп.расчеты!$A188,'Как есть'!EV$63:EV$70)</f>
        <v>0</v>
      </c>
      <c r="EV188">
        <f>SUMIF('Как есть'!$A$63:$A$70,Доп.расчеты!$A188,'Как есть'!EW$63:EW$70)</f>
        <v>0</v>
      </c>
      <c r="EW188">
        <f>SUMIF('Как есть'!$A$63:$A$70,Доп.расчеты!$A188,'Как есть'!EX$63:EX$70)</f>
        <v>0</v>
      </c>
      <c r="EX188">
        <f>SUMIF('Как есть'!$A$63:$A$70,Доп.расчеты!$A188,'Как есть'!EY$63:EY$70)</f>
        <v>0</v>
      </c>
      <c r="EY188">
        <f>SUMIF('Как есть'!$A$63:$A$70,Доп.расчеты!$A188,'Как есть'!EZ$63:EZ$70)</f>
        <v>0</v>
      </c>
      <c r="EZ188">
        <f>SUMIF('Как есть'!$A$63:$A$70,Доп.расчеты!$A188,'Как есть'!FA$63:FA$70)</f>
        <v>0</v>
      </c>
      <c r="FA188">
        <f>SUMIF('Как есть'!$A$63:$A$70,Доп.расчеты!$A188,'Как есть'!FB$63:FB$70)</f>
        <v>0</v>
      </c>
      <c r="FB188">
        <f>SUMIF('Как есть'!$A$63:$A$70,Доп.расчеты!$A188,'Как есть'!FC$63:FC$70)</f>
        <v>0</v>
      </c>
      <c r="FC188">
        <f>SUMIF('Как есть'!$A$63:$A$70,Доп.расчеты!$A188,'Как есть'!FD$63:FD$70)</f>
        <v>0</v>
      </c>
      <c r="FD188">
        <f>SUMIF('Как есть'!$A$63:$A$70,Доп.расчеты!$A188,'Как есть'!FE$63:FE$70)</f>
        <v>0</v>
      </c>
      <c r="FE188">
        <f>SUMIF('Как есть'!$A$63:$A$70,Доп.расчеты!$A188,'Как есть'!FF$63:FF$70)</f>
        <v>0</v>
      </c>
      <c r="FF188">
        <f>SUMIF('Как есть'!$A$63:$A$70,Доп.расчеты!$A188,'Как есть'!FG$63:FG$70)</f>
        <v>0</v>
      </c>
      <c r="FG188">
        <f>SUMIF('Как есть'!$A$63:$A$70,Доп.расчеты!$A188,'Как есть'!FH$63:FH$70)</f>
        <v>0</v>
      </c>
      <c r="FH188">
        <f>SUMIF('Как есть'!$A$63:$A$70,Доп.расчеты!$A188,'Как есть'!FI$63:FI$70)</f>
        <v>0</v>
      </c>
      <c r="FI188">
        <f>SUMIF('Как есть'!$A$63:$A$70,Доп.расчеты!$A188,'Как есть'!FJ$63:FJ$70)</f>
        <v>0</v>
      </c>
      <c r="FJ188">
        <f>SUMIF('Как есть'!$A$63:$A$70,Доп.расчеты!$A188,'Как есть'!FK$63:FK$70)</f>
        <v>0</v>
      </c>
      <c r="FK188">
        <f>SUMIF('Как есть'!$A$63:$A$70,Доп.расчеты!$A188,'Как есть'!FL$63:FL$70)</f>
        <v>0</v>
      </c>
      <c r="FL188">
        <f>SUMIF('Как есть'!$A$63:$A$70,Доп.расчеты!$A188,'Как есть'!FM$63:FM$70)</f>
        <v>0</v>
      </c>
      <c r="FM188">
        <f>SUMIF('Как есть'!$A$63:$A$70,Доп.расчеты!$A188,'Как есть'!FN$63:FN$70)</f>
        <v>0</v>
      </c>
      <c r="FN188">
        <f>SUMIF('Как есть'!$A$63:$A$70,Доп.расчеты!$A188,'Как есть'!FO$63:FO$70)</f>
        <v>0</v>
      </c>
      <c r="FO188">
        <f>SUMIF('Как есть'!$A$63:$A$70,Доп.расчеты!$A188,'Как есть'!FP$63:FP$70)</f>
        <v>0</v>
      </c>
      <c r="FP188">
        <f>SUMIF('Как есть'!$A$63:$A$70,Доп.расчеты!$A188,'Как есть'!FQ$63:FQ$70)</f>
        <v>0</v>
      </c>
      <c r="FQ188">
        <f>SUMIF('Как есть'!$A$63:$A$70,Доп.расчеты!$A188,'Как есть'!FR$63:FR$70)</f>
        <v>0</v>
      </c>
      <c r="FR188">
        <f>SUMIF('Как есть'!$A$63:$A$70,Доп.расчеты!$A188,'Как есть'!FS$63:FS$70)</f>
        <v>0</v>
      </c>
      <c r="FS188">
        <f>SUMIF('Как есть'!$A$63:$A$70,Доп.расчеты!$A188,'Как есть'!FT$63:FT$70)</f>
        <v>0</v>
      </c>
      <c r="FT188">
        <f>SUMIF('Как есть'!$A$63:$A$70,Доп.расчеты!$A188,'Как есть'!FU$63:FU$70)</f>
        <v>0</v>
      </c>
      <c r="FU188">
        <f>SUMIF('Как есть'!$A$63:$A$70,Доп.расчеты!$A188,'Как есть'!FV$63:FV$70)</f>
        <v>0</v>
      </c>
      <c r="FV188">
        <f>SUMIF('Как есть'!$A$63:$A$70,Доп.расчеты!$A188,'Как есть'!FW$63:FW$70)</f>
        <v>0</v>
      </c>
      <c r="FW188">
        <f>SUMIF('Как есть'!$A$63:$A$70,Доп.расчеты!$A188,'Как есть'!FX$63:FX$70)</f>
        <v>0</v>
      </c>
      <c r="FX188">
        <f>SUMIF('Как есть'!$A$63:$A$70,Доп.расчеты!$A188,'Как есть'!FY$63:FY$70)</f>
        <v>0</v>
      </c>
      <c r="FY188">
        <f>SUMIF('Как есть'!$A$63:$A$70,Доп.расчеты!$A188,'Как есть'!FZ$63:FZ$70)</f>
        <v>0</v>
      </c>
      <c r="FZ188">
        <f>SUMIF('Как есть'!$A$63:$A$70,Доп.расчеты!$A188,'Как есть'!GA$63:GA$70)</f>
        <v>0</v>
      </c>
      <c r="GA188">
        <f>SUMIF('Как есть'!$A$63:$A$70,Доп.расчеты!$A188,'Как есть'!GB$63:GB$70)</f>
        <v>0</v>
      </c>
      <c r="GB188">
        <f>SUMIF('Как есть'!$A$63:$A$70,Доп.расчеты!$A188,'Как есть'!GC$63:GC$70)</f>
        <v>0</v>
      </c>
      <c r="GC188">
        <f>SUMIF('Как есть'!$A$63:$A$70,Доп.расчеты!$A188,'Как есть'!GD$63:GD$70)</f>
        <v>0</v>
      </c>
      <c r="GD188">
        <f>SUMIF('Как есть'!$A$63:$A$70,Доп.расчеты!$A188,'Как есть'!GE$63:GE$70)</f>
        <v>0</v>
      </c>
      <c r="GE188">
        <f>SUMIF('Как есть'!$A$63:$A$70,Доп.расчеты!$A188,'Как есть'!GF$63:GF$70)</f>
        <v>0</v>
      </c>
      <c r="GF188">
        <f>SUMIF('Как есть'!$A$63:$A$70,Доп.расчеты!$A188,'Как есть'!GG$63:GG$70)</f>
        <v>0</v>
      </c>
      <c r="GG188">
        <f>SUMIF('Как есть'!$A$63:$A$70,Доп.расчеты!$A188,'Как есть'!GH$63:GH$70)</f>
        <v>0</v>
      </c>
      <c r="GH188">
        <f>SUMIF('Как есть'!$A$63:$A$70,Доп.расчеты!$A188,'Как есть'!GI$63:GI$70)</f>
        <v>0</v>
      </c>
      <c r="GI188">
        <f>SUMIF('Как есть'!$A$63:$A$70,Доп.расчеты!$A188,'Как есть'!GJ$63:GJ$70)</f>
        <v>0</v>
      </c>
      <c r="GJ188">
        <f>SUMIF('Как есть'!$A$63:$A$70,Доп.расчеты!$A188,'Как есть'!GK$63:GK$70)</f>
        <v>0</v>
      </c>
      <c r="GK188">
        <f>SUMIF('Как есть'!$A$63:$A$70,Доп.расчеты!$A188,'Как есть'!GL$63:GL$70)</f>
        <v>0</v>
      </c>
      <c r="GL188">
        <f>SUMIF('Как есть'!$A$63:$A$70,Доп.расчеты!$A188,'Как есть'!GM$63:GM$70)</f>
        <v>0</v>
      </c>
      <c r="GM188">
        <f>SUMIF('Как есть'!$A$63:$A$70,Доп.расчеты!$A188,'Как есть'!GN$63:GN$70)</f>
        <v>0</v>
      </c>
      <c r="GN188">
        <f>SUMIF('Как есть'!$A$63:$A$70,Доп.расчеты!$A188,'Как есть'!GO$63:GO$70)</f>
        <v>0</v>
      </c>
      <c r="GO188">
        <f>SUMIF('Как есть'!$A$63:$A$70,Доп.расчеты!$A188,'Как есть'!GP$63:GP$70)</f>
        <v>0</v>
      </c>
      <c r="GP188">
        <f>SUMIF('Как есть'!$A$63:$A$70,Доп.расчеты!$A188,'Как есть'!GQ$63:GQ$70)</f>
        <v>0</v>
      </c>
      <c r="GQ188">
        <f>SUMIF('Как есть'!$A$63:$A$70,Доп.расчеты!$A188,'Как есть'!GR$63:GR$70)</f>
        <v>0</v>
      </c>
      <c r="GR188">
        <f>SUMIF('Как есть'!$A$63:$A$70,Доп.расчеты!$A188,'Как есть'!GS$63:GS$70)</f>
        <v>0</v>
      </c>
      <c r="GS188">
        <f>SUMIF('Как есть'!$A$63:$A$70,Доп.расчеты!$A188,'Как есть'!GT$63:GT$70)</f>
        <v>0</v>
      </c>
      <c r="GT188">
        <f>SUMIF('Как есть'!$A$63:$A$70,Доп.расчеты!$A188,'Как есть'!GU$63:GU$70)</f>
        <v>0</v>
      </c>
    </row>
    <row r="189" spans="1:202" hidden="1" outlineLevel="1">
      <c r="A189" s="238" t="s">
        <v>118</v>
      </c>
      <c r="B189">
        <f>SUMIF('Как есть'!$A$63:$A$70,Доп.расчеты!$A189,'Как есть'!C$63:C$70)</f>
        <v>0</v>
      </c>
      <c r="C189">
        <f>SUMIF('Как есть'!$A$63:$A$70,Доп.расчеты!$A189,'Как есть'!D$63:D$70)</f>
        <v>0</v>
      </c>
      <c r="D189">
        <f>SUMIF('Как есть'!$A$63:$A$70,Доп.расчеты!$A189,'Как есть'!E$63:E$70)</f>
        <v>0</v>
      </c>
      <c r="E189">
        <f>SUMIF('Как есть'!$A$63:$A$70,Доп.расчеты!$A189,'Как есть'!F$63:F$70)</f>
        <v>0</v>
      </c>
      <c r="F189">
        <f>SUMIF('Как есть'!$A$63:$A$70,Доп.расчеты!$A189,'Как есть'!G$63:G$70)</f>
        <v>0</v>
      </c>
      <c r="G189">
        <f>SUMIF('Как есть'!$A$63:$A$70,Доп.расчеты!$A189,'Как есть'!H$63:H$70)</f>
        <v>0</v>
      </c>
      <c r="H189">
        <f>SUMIF('Как есть'!$A$63:$A$70,Доп.расчеты!$A189,'Как есть'!I$63:I$70)</f>
        <v>0</v>
      </c>
      <c r="I189">
        <f>SUMIF('Как есть'!$A$63:$A$70,Доп.расчеты!$A189,'Как есть'!J$63:J$70)</f>
        <v>0</v>
      </c>
      <c r="J189">
        <f>SUMIF('Как есть'!$A$63:$A$70,Доп.расчеты!$A189,'Как есть'!K$63:K$70)</f>
        <v>0</v>
      </c>
      <c r="K189">
        <f>SUMIF('Как есть'!$A$63:$A$70,Доп.расчеты!$A189,'Как есть'!L$63:L$70)</f>
        <v>0</v>
      </c>
      <c r="L189">
        <f>SUMIF('Как есть'!$A$63:$A$70,Доп.расчеты!$A189,'Как есть'!M$63:M$70)</f>
        <v>0</v>
      </c>
      <c r="M189">
        <f>SUMIF('Как есть'!$A$63:$A$70,Доп.расчеты!$A189,'Как есть'!N$63:N$70)</f>
        <v>0</v>
      </c>
      <c r="N189">
        <f>SUMIF('Как есть'!$A$63:$A$70,Доп.расчеты!$A189,'Как есть'!O$63:O$70)</f>
        <v>0</v>
      </c>
      <c r="O189">
        <f>SUMIF('Как есть'!$A$63:$A$70,Доп.расчеты!$A189,'Как есть'!P$63:P$70)</f>
        <v>0</v>
      </c>
      <c r="P189">
        <f>SUMIF('Как есть'!$A$63:$A$70,Доп.расчеты!$A189,'Как есть'!Q$63:Q$70)</f>
        <v>0</v>
      </c>
      <c r="Q189">
        <f>SUMIF('Как есть'!$A$63:$A$70,Доп.расчеты!$A189,'Как есть'!R$63:R$70)</f>
        <v>0</v>
      </c>
      <c r="R189">
        <f>SUMIF('Как есть'!$A$63:$A$70,Доп.расчеты!$A189,'Как есть'!S$63:S$70)</f>
        <v>0</v>
      </c>
      <c r="S189">
        <f>SUMIF('Как есть'!$A$63:$A$70,Доп.расчеты!$A189,'Как есть'!T$63:T$70)</f>
        <v>0</v>
      </c>
      <c r="T189">
        <f>SUMIF('Как есть'!$A$63:$A$70,Доп.расчеты!$A189,'Как есть'!U$63:U$70)</f>
        <v>0</v>
      </c>
      <c r="U189">
        <f>SUMIF('Как есть'!$A$63:$A$70,Доп.расчеты!$A189,'Как есть'!V$63:V$70)</f>
        <v>0</v>
      </c>
      <c r="V189">
        <f>SUMIF('Как есть'!$A$63:$A$70,Доп.расчеты!$A189,'Как есть'!W$63:W$70)</f>
        <v>0</v>
      </c>
      <c r="W189">
        <f>SUMIF('Как есть'!$A$63:$A$70,Доп.расчеты!$A189,'Как есть'!X$63:X$70)</f>
        <v>0</v>
      </c>
      <c r="X189">
        <f>SUMIF('Как есть'!$A$63:$A$70,Доп.расчеты!$A189,'Как есть'!Y$63:Y$70)</f>
        <v>0</v>
      </c>
      <c r="Y189">
        <f>SUMIF('Как есть'!$A$63:$A$70,Доп.расчеты!$A189,'Как есть'!Z$63:Z$70)</f>
        <v>0</v>
      </c>
      <c r="Z189">
        <f>SUMIF('Как есть'!$A$63:$A$70,Доп.расчеты!$A189,'Как есть'!AA$63:AA$70)</f>
        <v>0</v>
      </c>
      <c r="AA189">
        <f>SUMIF('Как есть'!$A$63:$A$70,Доп.расчеты!$A189,'Как есть'!AB$63:AB$70)</f>
        <v>0</v>
      </c>
      <c r="AB189">
        <f>SUMIF('Как есть'!$A$63:$A$70,Доп.расчеты!$A189,'Как есть'!AC$63:AC$70)</f>
        <v>0</v>
      </c>
      <c r="AC189">
        <f>SUMIF('Как есть'!$A$63:$A$70,Доп.расчеты!$A189,'Как есть'!AD$63:AD$70)</f>
        <v>0</v>
      </c>
      <c r="AD189">
        <f>SUMIF('Как есть'!$A$63:$A$70,Доп.расчеты!$A189,'Как есть'!AE$63:AE$70)</f>
        <v>0</v>
      </c>
      <c r="AE189">
        <f>SUMIF('Как есть'!$A$63:$A$70,Доп.расчеты!$A189,'Как есть'!AF$63:AF$70)</f>
        <v>0</v>
      </c>
      <c r="AF189">
        <f>SUMIF('Как есть'!$A$63:$A$70,Доп.расчеты!$A189,'Как есть'!AG$63:AG$70)</f>
        <v>0</v>
      </c>
      <c r="AG189">
        <f>SUMIF('Как есть'!$A$63:$A$70,Доп.расчеты!$A189,'Как есть'!AH$63:AH$70)</f>
        <v>0</v>
      </c>
      <c r="AH189">
        <f>SUMIF('Как есть'!$A$63:$A$70,Доп.расчеты!$A189,'Как есть'!AI$63:AI$70)</f>
        <v>0</v>
      </c>
      <c r="AI189">
        <f>SUMIF('Как есть'!$A$63:$A$70,Доп.расчеты!$A189,'Как есть'!AJ$63:AJ$70)</f>
        <v>0</v>
      </c>
      <c r="AJ189">
        <f>SUMIF('Как есть'!$A$63:$A$70,Доп.расчеты!$A189,'Как есть'!AK$63:AK$70)</f>
        <v>0</v>
      </c>
      <c r="AK189">
        <f>SUMIF('Как есть'!$A$63:$A$70,Доп.расчеты!$A189,'Как есть'!AL$63:AL$70)</f>
        <v>0</v>
      </c>
      <c r="AL189">
        <f>SUMIF('Как есть'!$A$63:$A$70,Доп.расчеты!$A189,'Как есть'!AM$63:AM$70)</f>
        <v>0</v>
      </c>
      <c r="AM189">
        <f>SUMIF('Как есть'!$A$63:$A$70,Доп.расчеты!$A189,'Как есть'!AN$63:AN$70)</f>
        <v>0</v>
      </c>
      <c r="AN189">
        <f>SUMIF('Как есть'!$A$63:$A$70,Доп.расчеты!$A189,'Как есть'!AO$63:AO$70)</f>
        <v>0</v>
      </c>
      <c r="AO189">
        <f>SUMIF('Как есть'!$A$63:$A$70,Доп.расчеты!$A189,'Как есть'!AP$63:AP$70)</f>
        <v>0</v>
      </c>
      <c r="AP189">
        <f>SUMIF('Как есть'!$A$63:$A$70,Доп.расчеты!$A189,'Как есть'!AQ$63:AQ$70)</f>
        <v>0</v>
      </c>
      <c r="AQ189">
        <f>SUMIF('Как есть'!$A$63:$A$70,Доп.расчеты!$A189,'Как есть'!AR$63:AR$70)</f>
        <v>0</v>
      </c>
      <c r="AR189">
        <f>SUMIF('Как есть'!$A$63:$A$70,Доп.расчеты!$A189,'Как есть'!AS$63:AS$70)</f>
        <v>0</v>
      </c>
      <c r="AS189">
        <f>SUMIF('Как есть'!$A$63:$A$70,Доп.расчеты!$A189,'Как есть'!AT$63:AT$70)</f>
        <v>0</v>
      </c>
      <c r="AT189">
        <f>SUMIF('Как есть'!$A$63:$A$70,Доп.расчеты!$A189,'Как есть'!AU$63:AU$70)</f>
        <v>0</v>
      </c>
      <c r="AU189">
        <f>SUMIF('Как есть'!$A$63:$A$70,Доп.расчеты!$A189,'Как есть'!AV$63:AV$70)</f>
        <v>0</v>
      </c>
      <c r="AV189">
        <f>SUMIF('Как есть'!$A$63:$A$70,Доп.расчеты!$A189,'Как есть'!AW$63:AW$70)</f>
        <v>0</v>
      </c>
      <c r="AW189">
        <f>SUMIF('Как есть'!$A$63:$A$70,Доп.расчеты!$A189,'Как есть'!AX$63:AX$70)</f>
        <v>0</v>
      </c>
      <c r="AX189">
        <f>SUMIF('Как есть'!$A$63:$A$70,Доп.расчеты!$A189,'Как есть'!AY$63:AY$70)</f>
        <v>0</v>
      </c>
      <c r="AY189">
        <f>SUMIF('Как есть'!$A$63:$A$70,Доп.расчеты!$A189,'Как есть'!AZ$63:AZ$70)</f>
        <v>0</v>
      </c>
      <c r="AZ189">
        <f>SUMIF('Как есть'!$A$63:$A$70,Доп.расчеты!$A189,'Как есть'!BA$63:BA$70)</f>
        <v>0</v>
      </c>
      <c r="BA189">
        <f>SUMIF('Как есть'!$A$63:$A$70,Доп.расчеты!$A189,'Как есть'!BB$63:BB$70)</f>
        <v>0</v>
      </c>
      <c r="BB189">
        <f>SUMIF('Как есть'!$A$63:$A$70,Доп.расчеты!$A189,'Как есть'!BC$63:BC$70)</f>
        <v>0</v>
      </c>
      <c r="BC189">
        <f>SUMIF('Как есть'!$A$63:$A$70,Доп.расчеты!$A189,'Как есть'!BD$63:BD$70)</f>
        <v>0</v>
      </c>
      <c r="BD189">
        <f>SUMIF('Как есть'!$A$63:$A$70,Доп.расчеты!$A189,'Как есть'!BE$63:BE$70)</f>
        <v>0</v>
      </c>
      <c r="BE189">
        <f>SUMIF('Как есть'!$A$63:$A$70,Доп.расчеты!$A189,'Как есть'!BF$63:BF$70)</f>
        <v>0</v>
      </c>
      <c r="BF189">
        <f>SUMIF('Как есть'!$A$63:$A$70,Доп.расчеты!$A189,'Как есть'!BG$63:BG$70)</f>
        <v>0</v>
      </c>
      <c r="BG189">
        <f>SUMIF('Как есть'!$A$63:$A$70,Доп.расчеты!$A189,'Как есть'!BH$63:BH$70)</f>
        <v>0</v>
      </c>
      <c r="BH189">
        <f>SUMIF('Как есть'!$A$63:$A$70,Доп.расчеты!$A189,'Как есть'!BI$63:BI$70)</f>
        <v>0</v>
      </c>
      <c r="BI189">
        <f>SUMIF('Как есть'!$A$63:$A$70,Доп.расчеты!$A189,'Как есть'!BJ$63:BJ$70)</f>
        <v>0</v>
      </c>
      <c r="BJ189">
        <f>SUMIF('Как есть'!$A$63:$A$70,Доп.расчеты!$A189,'Как есть'!BK$63:BK$70)</f>
        <v>0</v>
      </c>
      <c r="BK189">
        <f>SUMIF('Как есть'!$A$63:$A$70,Доп.расчеты!$A189,'Как есть'!BL$63:BL$70)</f>
        <v>0</v>
      </c>
      <c r="BL189">
        <f>SUMIF('Как есть'!$A$63:$A$70,Доп.расчеты!$A189,'Как есть'!BM$63:BM$70)</f>
        <v>0</v>
      </c>
      <c r="BM189">
        <f>SUMIF('Как есть'!$A$63:$A$70,Доп.расчеты!$A189,'Как есть'!BN$63:BN$70)</f>
        <v>0</v>
      </c>
      <c r="BN189">
        <f>SUMIF('Как есть'!$A$63:$A$70,Доп.расчеты!$A189,'Как есть'!BO$63:BO$70)</f>
        <v>0</v>
      </c>
      <c r="BO189">
        <f>SUMIF('Как есть'!$A$63:$A$70,Доп.расчеты!$A189,'Как есть'!BP$63:BP$70)</f>
        <v>0</v>
      </c>
      <c r="BP189">
        <f>SUMIF('Как есть'!$A$63:$A$70,Доп.расчеты!$A189,'Как есть'!BQ$63:BQ$70)</f>
        <v>0</v>
      </c>
      <c r="BQ189">
        <f>SUMIF('Как есть'!$A$63:$A$70,Доп.расчеты!$A189,'Как есть'!BR$63:BR$70)</f>
        <v>0</v>
      </c>
      <c r="BR189">
        <f>SUMIF('Как есть'!$A$63:$A$70,Доп.расчеты!$A189,'Как есть'!BS$63:BS$70)</f>
        <v>0</v>
      </c>
      <c r="BS189">
        <f>SUMIF('Как есть'!$A$63:$A$70,Доп.расчеты!$A189,'Как есть'!BT$63:BT$70)</f>
        <v>0</v>
      </c>
      <c r="BT189">
        <f>SUMIF('Как есть'!$A$63:$A$70,Доп.расчеты!$A189,'Как есть'!BU$63:BU$70)</f>
        <v>0</v>
      </c>
      <c r="BU189">
        <f>SUMIF('Как есть'!$A$63:$A$70,Доп.расчеты!$A189,'Как есть'!BV$63:BV$70)</f>
        <v>0</v>
      </c>
      <c r="BV189">
        <f>SUMIF('Как есть'!$A$63:$A$70,Доп.расчеты!$A189,'Как есть'!BW$63:BW$70)</f>
        <v>0</v>
      </c>
      <c r="BW189">
        <f>SUMIF('Как есть'!$A$63:$A$70,Доп.расчеты!$A189,'Как есть'!BX$63:BX$70)</f>
        <v>0</v>
      </c>
      <c r="BX189">
        <f>SUMIF('Как есть'!$A$63:$A$70,Доп.расчеты!$A189,'Как есть'!BY$63:BY$70)</f>
        <v>0</v>
      </c>
      <c r="BY189">
        <f>SUMIF('Как есть'!$A$63:$A$70,Доп.расчеты!$A189,'Как есть'!BZ$63:BZ$70)</f>
        <v>0</v>
      </c>
      <c r="BZ189">
        <f>SUMIF('Как есть'!$A$63:$A$70,Доп.расчеты!$A189,'Как есть'!CA$63:CA$70)</f>
        <v>0</v>
      </c>
      <c r="CA189">
        <f>SUMIF('Как есть'!$A$63:$A$70,Доп.расчеты!$A189,'Как есть'!CB$63:CB$70)</f>
        <v>0</v>
      </c>
      <c r="CB189">
        <f>SUMIF('Как есть'!$A$63:$A$70,Доп.расчеты!$A189,'Как есть'!CC$63:CC$70)</f>
        <v>0</v>
      </c>
      <c r="CC189">
        <f>SUMIF('Как есть'!$A$63:$A$70,Доп.расчеты!$A189,'Как есть'!CD$63:CD$70)</f>
        <v>0</v>
      </c>
      <c r="CD189">
        <f>SUMIF('Как есть'!$A$63:$A$70,Доп.расчеты!$A189,'Как есть'!CE$63:CE$70)</f>
        <v>0</v>
      </c>
      <c r="CE189">
        <f>SUMIF('Как есть'!$A$63:$A$70,Доп.расчеты!$A189,'Как есть'!CF$63:CF$70)</f>
        <v>0</v>
      </c>
      <c r="CF189">
        <f>SUMIF('Как есть'!$A$63:$A$70,Доп.расчеты!$A189,'Как есть'!CG$63:CG$70)</f>
        <v>0</v>
      </c>
      <c r="CG189">
        <f>SUMIF('Как есть'!$A$63:$A$70,Доп.расчеты!$A189,'Как есть'!CH$63:CH$70)</f>
        <v>0</v>
      </c>
      <c r="CH189">
        <f>SUMIF('Как есть'!$A$63:$A$70,Доп.расчеты!$A189,'Как есть'!CI$63:CI$70)</f>
        <v>0</v>
      </c>
      <c r="CI189">
        <f>SUMIF('Как есть'!$A$63:$A$70,Доп.расчеты!$A189,'Как есть'!CJ$63:CJ$70)</f>
        <v>0</v>
      </c>
      <c r="CJ189">
        <f>SUMIF('Как есть'!$A$63:$A$70,Доп.расчеты!$A189,'Как есть'!CK$63:CK$70)</f>
        <v>0</v>
      </c>
      <c r="CK189">
        <f>SUMIF('Как есть'!$A$63:$A$70,Доп.расчеты!$A189,'Как есть'!CL$63:CL$70)</f>
        <v>0</v>
      </c>
      <c r="CL189">
        <f>SUMIF('Как есть'!$A$63:$A$70,Доп.расчеты!$A189,'Как есть'!CM$63:CM$70)</f>
        <v>0</v>
      </c>
      <c r="CM189">
        <f>SUMIF('Как есть'!$A$63:$A$70,Доп.расчеты!$A189,'Как есть'!CN$63:CN$70)</f>
        <v>0</v>
      </c>
      <c r="CN189">
        <f>SUMIF('Как есть'!$A$63:$A$70,Доп.расчеты!$A189,'Как есть'!CO$63:CO$70)</f>
        <v>0</v>
      </c>
      <c r="CO189">
        <f>SUMIF('Как есть'!$A$63:$A$70,Доп.расчеты!$A189,'Как есть'!CP$63:CP$70)</f>
        <v>0</v>
      </c>
      <c r="CP189">
        <f>SUMIF('Как есть'!$A$63:$A$70,Доп.расчеты!$A189,'Как есть'!CQ$63:CQ$70)</f>
        <v>0</v>
      </c>
      <c r="CQ189">
        <f>SUMIF('Как есть'!$A$63:$A$70,Доп.расчеты!$A189,'Как есть'!CR$63:CR$70)</f>
        <v>0</v>
      </c>
      <c r="CR189">
        <f>SUMIF('Как есть'!$A$63:$A$70,Доп.расчеты!$A189,'Как есть'!CS$63:CS$70)</f>
        <v>0</v>
      </c>
      <c r="CS189">
        <f>SUMIF('Как есть'!$A$63:$A$70,Доп.расчеты!$A189,'Как есть'!CT$63:CT$70)</f>
        <v>0</v>
      </c>
      <c r="CT189">
        <f>SUMIF('Как есть'!$A$63:$A$70,Доп.расчеты!$A189,'Как есть'!CU$63:CU$70)</f>
        <v>0</v>
      </c>
      <c r="CU189">
        <f>SUMIF('Как есть'!$A$63:$A$70,Доп.расчеты!$A189,'Как есть'!CV$63:CV$70)</f>
        <v>0</v>
      </c>
      <c r="CV189">
        <f>SUMIF('Как есть'!$A$63:$A$70,Доп.расчеты!$A189,'Как есть'!CW$63:CW$70)</f>
        <v>0</v>
      </c>
      <c r="CW189">
        <f>SUMIF('Как есть'!$A$63:$A$70,Доп.расчеты!$A189,'Как есть'!CX$63:CX$70)</f>
        <v>0</v>
      </c>
      <c r="CX189">
        <f>SUMIF('Как есть'!$A$63:$A$70,Доп.расчеты!$A189,'Как есть'!CY$63:CY$70)</f>
        <v>0</v>
      </c>
      <c r="CY189">
        <f>SUMIF('Как есть'!$A$63:$A$70,Доп.расчеты!$A189,'Как есть'!CZ$63:CZ$70)</f>
        <v>0</v>
      </c>
      <c r="CZ189">
        <f>SUMIF('Как есть'!$A$63:$A$70,Доп.расчеты!$A189,'Как есть'!DA$63:DA$70)</f>
        <v>0</v>
      </c>
      <c r="DA189">
        <f>SUMIF('Как есть'!$A$63:$A$70,Доп.расчеты!$A189,'Как есть'!DB$63:DB$70)</f>
        <v>0</v>
      </c>
      <c r="DB189">
        <f>SUMIF('Как есть'!$A$63:$A$70,Доп.расчеты!$A189,'Как есть'!DC$63:DC$70)</f>
        <v>0</v>
      </c>
      <c r="DC189">
        <f>SUMIF('Как есть'!$A$63:$A$70,Доп.расчеты!$A189,'Как есть'!DD$63:DD$70)</f>
        <v>0</v>
      </c>
      <c r="DD189">
        <f>SUMIF('Как есть'!$A$63:$A$70,Доп.расчеты!$A189,'Как есть'!DE$63:DE$70)</f>
        <v>0</v>
      </c>
      <c r="DE189">
        <f>SUMIF('Как есть'!$A$63:$A$70,Доп.расчеты!$A189,'Как есть'!DF$63:DF$70)</f>
        <v>0</v>
      </c>
      <c r="DF189">
        <f>SUMIF('Как есть'!$A$63:$A$70,Доп.расчеты!$A189,'Как есть'!DG$63:DG$70)</f>
        <v>0</v>
      </c>
      <c r="DG189">
        <f>SUMIF('Как есть'!$A$63:$A$70,Доп.расчеты!$A189,'Как есть'!DH$63:DH$70)</f>
        <v>0</v>
      </c>
      <c r="DH189">
        <f>SUMIF('Как есть'!$A$63:$A$70,Доп.расчеты!$A189,'Как есть'!DI$63:DI$70)</f>
        <v>0</v>
      </c>
      <c r="DI189">
        <f>SUMIF('Как есть'!$A$63:$A$70,Доп.расчеты!$A189,'Как есть'!DJ$63:DJ$70)</f>
        <v>0</v>
      </c>
      <c r="DJ189">
        <f>SUMIF('Как есть'!$A$63:$A$70,Доп.расчеты!$A189,'Как есть'!DK$63:DK$70)</f>
        <v>0</v>
      </c>
      <c r="DK189">
        <f>SUMIF('Как есть'!$A$63:$A$70,Доп.расчеты!$A189,'Как есть'!DL$63:DL$70)</f>
        <v>0</v>
      </c>
      <c r="DL189">
        <f>SUMIF('Как есть'!$A$63:$A$70,Доп.расчеты!$A189,'Как есть'!DM$63:DM$70)</f>
        <v>0</v>
      </c>
      <c r="DM189">
        <f>SUMIF('Как есть'!$A$63:$A$70,Доп.расчеты!$A189,'Как есть'!DN$63:DN$70)</f>
        <v>0</v>
      </c>
      <c r="DN189">
        <f>SUMIF('Как есть'!$A$63:$A$70,Доп.расчеты!$A189,'Как есть'!DO$63:DO$70)</f>
        <v>0</v>
      </c>
      <c r="DO189">
        <f>SUMIF('Как есть'!$A$63:$A$70,Доп.расчеты!$A189,'Как есть'!DP$63:DP$70)</f>
        <v>0</v>
      </c>
      <c r="DP189">
        <f>SUMIF('Как есть'!$A$63:$A$70,Доп.расчеты!$A189,'Как есть'!DQ$63:DQ$70)</f>
        <v>0</v>
      </c>
      <c r="DQ189">
        <f>SUMIF('Как есть'!$A$63:$A$70,Доп.расчеты!$A189,'Как есть'!DR$63:DR$70)</f>
        <v>0</v>
      </c>
      <c r="DR189">
        <f>SUMIF('Как есть'!$A$63:$A$70,Доп.расчеты!$A189,'Как есть'!DS$63:DS$70)</f>
        <v>0</v>
      </c>
      <c r="DS189">
        <f>SUMIF('Как есть'!$A$63:$A$70,Доп.расчеты!$A189,'Как есть'!DT$63:DT$70)</f>
        <v>0</v>
      </c>
      <c r="DT189">
        <f>SUMIF('Как есть'!$A$63:$A$70,Доп.расчеты!$A189,'Как есть'!DU$63:DU$70)</f>
        <v>0</v>
      </c>
      <c r="DU189">
        <f>SUMIF('Как есть'!$A$63:$A$70,Доп.расчеты!$A189,'Как есть'!DV$63:DV$70)</f>
        <v>0</v>
      </c>
      <c r="DV189">
        <f>SUMIF('Как есть'!$A$63:$A$70,Доп.расчеты!$A189,'Как есть'!DW$63:DW$70)</f>
        <v>0</v>
      </c>
      <c r="DW189">
        <f>SUMIF('Как есть'!$A$63:$A$70,Доп.расчеты!$A189,'Как есть'!DX$63:DX$70)</f>
        <v>0</v>
      </c>
      <c r="DX189">
        <f>SUMIF('Как есть'!$A$63:$A$70,Доп.расчеты!$A189,'Как есть'!DY$63:DY$70)</f>
        <v>0</v>
      </c>
      <c r="DY189">
        <f>SUMIF('Как есть'!$A$63:$A$70,Доп.расчеты!$A189,'Как есть'!DZ$63:DZ$70)</f>
        <v>0</v>
      </c>
      <c r="DZ189">
        <f>SUMIF('Как есть'!$A$63:$A$70,Доп.расчеты!$A189,'Как есть'!EA$63:EA$70)</f>
        <v>0</v>
      </c>
      <c r="EA189">
        <f>SUMIF('Как есть'!$A$63:$A$70,Доп.расчеты!$A189,'Как есть'!EB$63:EB$70)</f>
        <v>0</v>
      </c>
      <c r="EB189">
        <f>SUMIF('Как есть'!$A$63:$A$70,Доп.расчеты!$A189,'Как есть'!EC$63:EC$70)</f>
        <v>0</v>
      </c>
      <c r="EC189">
        <f>SUMIF('Как есть'!$A$63:$A$70,Доп.расчеты!$A189,'Как есть'!ED$63:ED$70)</f>
        <v>0</v>
      </c>
      <c r="ED189">
        <f>SUMIF('Как есть'!$A$63:$A$70,Доп.расчеты!$A189,'Как есть'!EE$63:EE$70)</f>
        <v>0</v>
      </c>
      <c r="EE189">
        <f>SUMIF('Как есть'!$A$63:$A$70,Доп.расчеты!$A189,'Как есть'!EF$63:EF$70)</f>
        <v>0</v>
      </c>
      <c r="EF189">
        <f>SUMIF('Как есть'!$A$63:$A$70,Доп.расчеты!$A189,'Как есть'!EG$63:EG$70)</f>
        <v>0</v>
      </c>
      <c r="EG189">
        <f>SUMIF('Как есть'!$A$63:$A$70,Доп.расчеты!$A189,'Как есть'!EH$63:EH$70)</f>
        <v>0</v>
      </c>
      <c r="EH189">
        <f>SUMIF('Как есть'!$A$63:$A$70,Доп.расчеты!$A189,'Как есть'!EI$63:EI$70)</f>
        <v>0</v>
      </c>
      <c r="EI189">
        <f>SUMIF('Как есть'!$A$63:$A$70,Доп.расчеты!$A189,'Как есть'!EJ$63:EJ$70)</f>
        <v>0</v>
      </c>
      <c r="EJ189">
        <f>SUMIF('Как есть'!$A$63:$A$70,Доп.расчеты!$A189,'Как есть'!EK$63:EK$70)</f>
        <v>0</v>
      </c>
      <c r="EK189">
        <f>SUMIF('Как есть'!$A$63:$A$70,Доп.расчеты!$A189,'Как есть'!EL$63:EL$70)</f>
        <v>0</v>
      </c>
      <c r="EL189">
        <f>SUMIF('Как есть'!$A$63:$A$70,Доп.расчеты!$A189,'Как есть'!EM$63:EM$70)</f>
        <v>0</v>
      </c>
      <c r="EM189">
        <f>SUMIF('Как есть'!$A$63:$A$70,Доп.расчеты!$A189,'Как есть'!EN$63:EN$70)</f>
        <v>0</v>
      </c>
      <c r="EN189">
        <f>SUMIF('Как есть'!$A$63:$A$70,Доп.расчеты!$A189,'Как есть'!EO$63:EO$70)</f>
        <v>0</v>
      </c>
      <c r="EO189">
        <f>SUMIF('Как есть'!$A$63:$A$70,Доп.расчеты!$A189,'Как есть'!EP$63:EP$70)</f>
        <v>0</v>
      </c>
      <c r="EP189">
        <f>SUMIF('Как есть'!$A$63:$A$70,Доп.расчеты!$A189,'Как есть'!EQ$63:EQ$70)</f>
        <v>0</v>
      </c>
      <c r="EQ189">
        <f>SUMIF('Как есть'!$A$63:$A$70,Доп.расчеты!$A189,'Как есть'!ER$63:ER$70)</f>
        <v>0</v>
      </c>
      <c r="ER189">
        <f>SUMIF('Как есть'!$A$63:$A$70,Доп.расчеты!$A189,'Как есть'!ES$63:ES$70)</f>
        <v>0</v>
      </c>
      <c r="ES189">
        <f>SUMIF('Как есть'!$A$63:$A$70,Доп.расчеты!$A189,'Как есть'!ET$63:ET$70)</f>
        <v>0</v>
      </c>
      <c r="ET189">
        <f>SUMIF('Как есть'!$A$63:$A$70,Доп.расчеты!$A189,'Как есть'!EU$63:EU$70)</f>
        <v>0</v>
      </c>
      <c r="EU189">
        <f>SUMIF('Как есть'!$A$63:$A$70,Доп.расчеты!$A189,'Как есть'!EV$63:EV$70)</f>
        <v>0</v>
      </c>
      <c r="EV189">
        <f>SUMIF('Как есть'!$A$63:$A$70,Доп.расчеты!$A189,'Как есть'!EW$63:EW$70)</f>
        <v>0</v>
      </c>
      <c r="EW189">
        <f>SUMIF('Как есть'!$A$63:$A$70,Доп.расчеты!$A189,'Как есть'!EX$63:EX$70)</f>
        <v>0</v>
      </c>
      <c r="EX189">
        <f>SUMIF('Как есть'!$A$63:$A$70,Доп.расчеты!$A189,'Как есть'!EY$63:EY$70)</f>
        <v>0</v>
      </c>
      <c r="EY189">
        <f>SUMIF('Как есть'!$A$63:$A$70,Доп.расчеты!$A189,'Как есть'!EZ$63:EZ$70)</f>
        <v>0</v>
      </c>
      <c r="EZ189">
        <f>SUMIF('Как есть'!$A$63:$A$70,Доп.расчеты!$A189,'Как есть'!FA$63:FA$70)</f>
        <v>0</v>
      </c>
      <c r="FA189">
        <f>SUMIF('Как есть'!$A$63:$A$70,Доп.расчеты!$A189,'Как есть'!FB$63:FB$70)</f>
        <v>0</v>
      </c>
      <c r="FB189">
        <f>SUMIF('Как есть'!$A$63:$A$70,Доп.расчеты!$A189,'Как есть'!FC$63:FC$70)</f>
        <v>0</v>
      </c>
      <c r="FC189">
        <f>SUMIF('Как есть'!$A$63:$A$70,Доп.расчеты!$A189,'Как есть'!FD$63:FD$70)</f>
        <v>0</v>
      </c>
      <c r="FD189">
        <f>SUMIF('Как есть'!$A$63:$A$70,Доп.расчеты!$A189,'Как есть'!FE$63:FE$70)</f>
        <v>0</v>
      </c>
      <c r="FE189">
        <f>SUMIF('Как есть'!$A$63:$A$70,Доп.расчеты!$A189,'Как есть'!FF$63:FF$70)</f>
        <v>0</v>
      </c>
      <c r="FF189">
        <f>SUMIF('Как есть'!$A$63:$A$70,Доп.расчеты!$A189,'Как есть'!FG$63:FG$70)</f>
        <v>0</v>
      </c>
      <c r="FG189">
        <f>SUMIF('Как есть'!$A$63:$A$70,Доп.расчеты!$A189,'Как есть'!FH$63:FH$70)</f>
        <v>0</v>
      </c>
      <c r="FH189">
        <f>SUMIF('Как есть'!$A$63:$A$70,Доп.расчеты!$A189,'Как есть'!FI$63:FI$70)</f>
        <v>0</v>
      </c>
      <c r="FI189">
        <f>SUMIF('Как есть'!$A$63:$A$70,Доп.расчеты!$A189,'Как есть'!FJ$63:FJ$70)</f>
        <v>0</v>
      </c>
      <c r="FJ189">
        <f>SUMIF('Как есть'!$A$63:$A$70,Доп.расчеты!$A189,'Как есть'!FK$63:FK$70)</f>
        <v>0</v>
      </c>
      <c r="FK189">
        <f>SUMIF('Как есть'!$A$63:$A$70,Доп.расчеты!$A189,'Как есть'!FL$63:FL$70)</f>
        <v>0</v>
      </c>
      <c r="FL189">
        <f>SUMIF('Как есть'!$A$63:$A$70,Доп.расчеты!$A189,'Как есть'!FM$63:FM$70)</f>
        <v>0</v>
      </c>
      <c r="FM189">
        <f>SUMIF('Как есть'!$A$63:$A$70,Доп.расчеты!$A189,'Как есть'!FN$63:FN$70)</f>
        <v>0</v>
      </c>
      <c r="FN189">
        <f>SUMIF('Как есть'!$A$63:$A$70,Доп.расчеты!$A189,'Как есть'!FO$63:FO$70)</f>
        <v>0</v>
      </c>
      <c r="FO189">
        <f>SUMIF('Как есть'!$A$63:$A$70,Доп.расчеты!$A189,'Как есть'!FP$63:FP$70)</f>
        <v>0</v>
      </c>
      <c r="FP189">
        <f>SUMIF('Как есть'!$A$63:$A$70,Доп.расчеты!$A189,'Как есть'!FQ$63:FQ$70)</f>
        <v>0</v>
      </c>
      <c r="FQ189">
        <f>SUMIF('Как есть'!$A$63:$A$70,Доп.расчеты!$A189,'Как есть'!FR$63:FR$70)</f>
        <v>0</v>
      </c>
      <c r="FR189">
        <f>SUMIF('Как есть'!$A$63:$A$70,Доп.расчеты!$A189,'Как есть'!FS$63:FS$70)</f>
        <v>0</v>
      </c>
      <c r="FS189">
        <f>SUMIF('Как есть'!$A$63:$A$70,Доп.расчеты!$A189,'Как есть'!FT$63:FT$70)</f>
        <v>0</v>
      </c>
      <c r="FT189">
        <f>SUMIF('Как есть'!$A$63:$A$70,Доп.расчеты!$A189,'Как есть'!FU$63:FU$70)</f>
        <v>0</v>
      </c>
      <c r="FU189">
        <f>SUMIF('Как есть'!$A$63:$A$70,Доп.расчеты!$A189,'Как есть'!FV$63:FV$70)</f>
        <v>0</v>
      </c>
      <c r="FV189">
        <f>SUMIF('Как есть'!$A$63:$A$70,Доп.расчеты!$A189,'Как есть'!FW$63:FW$70)</f>
        <v>0</v>
      </c>
      <c r="FW189">
        <f>SUMIF('Как есть'!$A$63:$A$70,Доп.расчеты!$A189,'Как есть'!FX$63:FX$70)</f>
        <v>0</v>
      </c>
      <c r="FX189">
        <f>SUMIF('Как есть'!$A$63:$A$70,Доп.расчеты!$A189,'Как есть'!FY$63:FY$70)</f>
        <v>0</v>
      </c>
      <c r="FY189">
        <f>SUMIF('Как есть'!$A$63:$A$70,Доп.расчеты!$A189,'Как есть'!FZ$63:FZ$70)</f>
        <v>0</v>
      </c>
      <c r="FZ189">
        <f>SUMIF('Как есть'!$A$63:$A$70,Доп.расчеты!$A189,'Как есть'!GA$63:GA$70)</f>
        <v>0</v>
      </c>
      <c r="GA189">
        <f>SUMIF('Как есть'!$A$63:$A$70,Доп.расчеты!$A189,'Как есть'!GB$63:GB$70)</f>
        <v>0</v>
      </c>
      <c r="GB189">
        <f>SUMIF('Как есть'!$A$63:$A$70,Доп.расчеты!$A189,'Как есть'!GC$63:GC$70)</f>
        <v>0</v>
      </c>
      <c r="GC189">
        <f>SUMIF('Как есть'!$A$63:$A$70,Доп.расчеты!$A189,'Как есть'!GD$63:GD$70)</f>
        <v>0</v>
      </c>
      <c r="GD189">
        <f>SUMIF('Как есть'!$A$63:$A$70,Доп.расчеты!$A189,'Как есть'!GE$63:GE$70)</f>
        <v>0</v>
      </c>
      <c r="GE189">
        <f>SUMIF('Как есть'!$A$63:$A$70,Доп.расчеты!$A189,'Как есть'!GF$63:GF$70)</f>
        <v>0</v>
      </c>
      <c r="GF189">
        <f>SUMIF('Как есть'!$A$63:$A$70,Доп.расчеты!$A189,'Как есть'!GG$63:GG$70)</f>
        <v>0</v>
      </c>
      <c r="GG189">
        <f>SUMIF('Как есть'!$A$63:$A$70,Доп.расчеты!$A189,'Как есть'!GH$63:GH$70)</f>
        <v>0</v>
      </c>
      <c r="GH189">
        <f>SUMIF('Как есть'!$A$63:$A$70,Доп.расчеты!$A189,'Как есть'!GI$63:GI$70)</f>
        <v>0</v>
      </c>
      <c r="GI189">
        <f>SUMIF('Как есть'!$A$63:$A$70,Доп.расчеты!$A189,'Как есть'!GJ$63:GJ$70)</f>
        <v>0</v>
      </c>
      <c r="GJ189">
        <f>SUMIF('Как есть'!$A$63:$A$70,Доп.расчеты!$A189,'Как есть'!GK$63:GK$70)</f>
        <v>0</v>
      </c>
      <c r="GK189">
        <f>SUMIF('Как есть'!$A$63:$A$70,Доп.расчеты!$A189,'Как есть'!GL$63:GL$70)</f>
        <v>0</v>
      </c>
      <c r="GL189">
        <f>SUMIF('Как есть'!$A$63:$A$70,Доп.расчеты!$A189,'Как есть'!GM$63:GM$70)</f>
        <v>0</v>
      </c>
      <c r="GM189">
        <f>SUMIF('Как есть'!$A$63:$A$70,Доп.расчеты!$A189,'Как есть'!GN$63:GN$70)</f>
        <v>0</v>
      </c>
      <c r="GN189">
        <f>SUMIF('Как есть'!$A$63:$A$70,Доп.расчеты!$A189,'Как есть'!GO$63:GO$70)</f>
        <v>0</v>
      </c>
      <c r="GO189">
        <f>SUMIF('Как есть'!$A$63:$A$70,Доп.расчеты!$A189,'Как есть'!GP$63:GP$70)</f>
        <v>0</v>
      </c>
      <c r="GP189">
        <f>SUMIF('Как есть'!$A$63:$A$70,Доп.расчеты!$A189,'Как есть'!GQ$63:GQ$70)</f>
        <v>0</v>
      </c>
      <c r="GQ189">
        <f>SUMIF('Как есть'!$A$63:$A$70,Доп.расчеты!$A189,'Как есть'!GR$63:GR$70)</f>
        <v>0</v>
      </c>
      <c r="GR189">
        <f>SUMIF('Как есть'!$A$63:$A$70,Доп.расчеты!$A189,'Как есть'!GS$63:GS$70)</f>
        <v>0</v>
      </c>
      <c r="GS189">
        <f>SUMIF('Как есть'!$A$63:$A$70,Доп.расчеты!$A189,'Как есть'!GT$63:GT$70)</f>
        <v>0</v>
      </c>
      <c r="GT189">
        <f>SUMIF('Как есть'!$A$63:$A$70,Доп.расчеты!$A189,'Как есть'!GU$63:GU$70)</f>
        <v>0</v>
      </c>
    </row>
    <row r="190" spans="1:202" collapsed="1">
      <c r="A190" s="236"/>
    </row>
    <row r="191" spans="1:202">
      <c r="A191" s="57" t="s">
        <v>137</v>
      </c>
    </row>
    <row r="192" spans="1:202">
      <c r="A192" s="57" t="s">
        <v>242</v>
      </c>
    </row>
    <row r="193" spans="1:202">
      <c r="A193" s="238" t="s">
        <v>88</v>
      </c>
      <c r="B193">
        <f>SUMIF('Как будет'!$A$17:$A$24,Доп.расчеты!$A193,'Как будет'!C$17:C$24)</f>
        <v>0</v>
      </c>
      <c r="C193">
        <f>SUMIF('Как будет'!$A$17:$A$24,Доп.расчеты!$A193,'Как будет'!D$17:D$24)</f>
        <v>0</v>
      </c>
      <c r="D193">
        <f>SUMIF('Как будет'!$A$17:$A$24,Доп.расчеты!$A193,'Как будет'!E$17:E$24)</f>
        <v>0</v>
      </c>
      <c r="E193">
        <f>SUMIF('Как будет'!$A$17:$A$24,Доп.расчеты!$A193,'Как будет'!F$17:F$24)</f>
        <v>0</v>
      </c>
      <c r="F193">
        <f>SUMIF('Как будет'!$A$17:$A$24,Доп.расчеты!$A193,'Как будет'!G$17:G$24)</f>
        <v>0</v>
      </c>
      <c r="G193">
        <f>SUMIF('Как будет'!$A$17:$A$24,Доп.расчеты!$A193,'Как будет'!H$17:H$24)</f>
        <v>0</v>
      </c>
      <c r="H193">
        <f>SUMIF('Как будет'!$A$17:$A$24,Доп.расчеты!$A193,'Как будет'!I$17:I$24)</f>
        <v>0</v>
      </c>
      <c r="I193">
        <f>SUMIF('Как будет'!$A$17:$A$24,Доп.расчеты!$A193,'Как будет'!J$17:J$24)</f>
        <v>0</v>
      </c>
      <c r="J193">
        <f>SUMIF('Как будет'!$A$17:$A$24,Доп.расчеты!$A193,'Как будет'!K$17:K$24)</f>
        <v>0</v>
      </c>
      <c r="K193">
        <f>SUMIF('Как будет'!$A$17:$A$24,Доп.расчеты!$A193,'Как будет'!L$17:L$24)</f>
        <v>0</v>
      </c>
      <c r="L193">
        <f>SUMIF('Как будет'!$A$17:$A$24,Доп.расчеты!$A193,'Как будет'!M$17:M$24)</f>
        <v>0</v>
      </c>
      <c r="M193">
        <f>SUMIF('Как будет'!$A$17:$A$24,Доп.расчеты!$A193,'Как будет'!N$17:N$24)</f>
        <v>0</v>
      </c>
      <c r="N193">
        <f>SUMIF('Как будет'!$A$17:$A$24,Доп.расчеты!$A193,'Как будет'!O$17:O$24)</f>
        <v>0</v>
      </c>
      <c r="O193">
        <f>SUMIF('Как будет'!$A$17:$A$24,Доп.расчеты!$A193,'Как будет'!P$17:P$24)</f>
        <v>0</v>
      </c>
      <c r="P193">
        <f>SUMIF('Как будет'!$A$17:$A$24,Доп.расчеты!$A193,'Как будет'!Q$17:Q$24)</f>
        <v>0</v>
      </c>
      <c r="Q193">
        <f>SUMIF('Как будет'!$A$17:$A$24,Доп.расчеты!$A193,'Как будет'!R$17:R$24)</f>
        <v>0</v>
      </c>
      <c r="R193">
        <f>SUMIF('Как будет'!$A$17:$A$24,Доп.расчеты!$A193,'Как будет'!S$17:S$24)</f>
        <v>0</v>
      </c>
      <c r="S193">
        <f>SUMIF('Как будет'!$A$17:$A$24,Доп.расчеты!$A193,'Как будет'!T$17:T$24)</f>
        <v>0</v>
      </c>
      <c r="T193">
        <f>SUMIF('Как будет'!$A$17:$A$24,Доп.расчеты!$A193,'Как будет'!U$17:U$24)</f>
        <v>0</v>
      </c>
      <c r="U193">
        <f>SUMIF('Как будет'!$A$17:$A$24,Доп.расчеты!$A193,'Как будет'!V$17:V$24)</f>
        <v>0</v>
      </c>
      <c r="V193">
        <f>SUMIF('Как будет'!$A$17:$A$24,Доп.расчеты!$A193,'Как будет'!W$17:W$24)</f>
        <v>0</v>
      </c>
      <c r="W193">
        <f>SUMIF('Как будет'!$A$17:$A$24,Доп.расчеты!$A193,'Как будет'!X$17:X$24)</f>
        <v>0</v>
      </c>
      <c r="X193">
        <f>SUMIF('Как будет'!$A$17:$A$24,Доп.расчеты!$A193,'Как будет'!Y$17:Y$24)</f>
        <v>0</v>
      </c>
      <c r="Y193">
        <f>SUMIF('Как будет'!$A$17:$A$24,Доп.расчеты!$A193,'Как будет'!Z$17:Z$24)</f>
        <v>0</v>
      </c>
      <c r="Z193">
        <f>SUMIF('Как будет'!$A$17:$A$24,Доп.расчеты!$A193,'Как будет'!AA$17:AA$24)</f>
        <v>0</v>
      </c>
      <c r="AA193">
        <f>SUMIF('Как будет'!$A$17:$A$24,Доп.расчеты!$A193,'Как будет'!AB$17:AB$24)</f>
        <v>0</v>
      </c>
      <c r="AB193">
        <f>SUMIF('Как будет'!$A$17:$A$24,Доп.расчеты!$A193,'Как будет'!AC$17:AC$24)</f>
        <v>0</v>
      </c>
      <c r="AC193">
        <f>SUMIF('Как будет'!$A$17:$A$24,Доп.расчеты!$A193,'Как будет'!AD$17:AD$24)</f>
        <v>0</v>
      </c>
      <c r="AD193">
        <f>SUMIF('Как будет'!$A$17:$A$24,Доп.расчеты!$A193,'Как будет'!AE$17:AE$24)</f>
        <v>0</v>
      </c>
      <c r="AE193">
        <f>SUMIF('Как будет'!$A$17:$A$24,Доп.расчеты!$A193,'Как будет'!AF$17:AF$24)</f>
        <v>0</v>
      </c>
      <c r="AF193">
        <f>SUMIF('Как будет'!$A$17:$A$24,Доп.расчеты!$A193,'Как будет'!AG$17:AG$24)</f>
        <v>0</v>
      </c>
      <c r="AG193">
        <f>SUMIF('Как будет'!$A$17:$A$24,Доп.расчеты!$A193,'Как будет'!AH$17:AH$24)</f>
        <v>0</v>
      </c>
      <c r="AH193">
        <f>SUMIF('Как будет'!$A$17:$A$24,Доп.расчеты!$A193,'Как будет'!AI$17:AI$24)</f>
        <v>0</v>
      </c>
      <c r="AI193">
        <f>SUMIF('Как будет'!$A$17:$A$24,Доп.расчеты!$A193,'Как будет'!AJ$17:AJ$24)</f>
        <v>0</v>
      </c>
      <c r="AJ193">
        <f>SUMIF('Как будет'!$A$17:$A$24,Доп.расчеты!$A193,'Как будет'!AK$17:AK$24)</f>
        <v>0</v>
      </c>
      <c r="AK193">
        <f>SUMIF('Как будет'!$A$17:$A$24,Доп.расчеты!$A193,'Как будет'!AL$17:AL$24)</f>
        <v>0</v>
      </c>
      <c r="AL193">
        <f>SUMIF('Как будет'!$A$17:$A$24,Доп.расчеты!$A193,'Как будет'!AM$17:AM$24)</f>
        <v>0</v>
      </c>
      <c r="AM193">
        <f>SUMIF('Как будет'!$A$17:$A$24,Доп.расчеты!$A193,'Как будет'!AN$17:AN$24)</f>
        <v>0</v>
      </c>
      <c r="AN193">
        <f>SUMIF('Как будет'!$A$17:$A$24,Доп.расчеты!$A193,'Как будет'!AO$17:AO$24)</f>
        <v>0</v>
      </c>
      <c r="AO193">
        <f>SUMIF('Как будет'!$A$17:$A$24,Доп.расчеты!$A193,'Как будет'!AP$17:AP$24)</f>
        <v>0</v>
      </c>
      <c r="AP193">
        <f>SUMIF('Как будет'!$A$17:$A$24,Доп.расчеты!$A193,'Как будет'!AQ$17:AQ$24)</f>
        <v>0</v>
      </c>
      <c r="AQ193">
        <f>SUMIF('Как будет'!$A$17:$A$24,Доп.расчеты!$A193,'Как будет'!AR$17:AR$24)</f>
        <v>0</v>
      </c>
      <c r="AR193">
        <f>SUMIF('Как будет'!$A$17:$A$24,Доп.расчеты!$A193,'Как будет'!AS$17:AS$24)</f>
        <v>0</v>
      </c>
      <c r="AS193">
        <f>SUMIF('Как будет'!$A$17:$A$24,Доп.расчеты!$A193,'Как будет'!AT$17:AT$24)</f>
        <v>0</v>
      </c>
      <c r="AT193">
        <f>SUMIF('Как будет'!$A$17:$A$24,Доп.расчеты!$A193,'Как будет'!AU$17:AU$24)</f>
        <v>0</v>
      </c>
      <c r="AU193">
        <f>SUMIF('Как будет'!$A$17:$A$24,Доп.расчеты!$A193,'Как будет'!AV$17:AV$24)</f>
        <v>0</v>
      </c>
      <c r="AV193">
        <f>SUMIF('Как будет'!$A$17:$A$24,Доп.расчеты!$A193,'Как будет'!AW$17:AW$24)</f>
        <v>0</v>
      </c>
      <c r="AW193">
        <f>SUMIF('Как будет'!$A$17:$A$24,Доп.расчеты!$A193,'Как будет'!AX$17:AX$24)</f>
        <v>0</v>
      </c>
      <c r="AX193">
        <f>SUMIF('Как будет'!$A$17:$A$24,Доп.расчеты!$A193,'Как будет'!AY$17:AY$24)</f>
        <v>0</v>
      </c>
      <c r="AY193">
        <f>SUMIF('Как будет'!$A$17:$A$24,Доп.расчеты!$A193,'Как будет'!AZ$17:AZ$24)</f>
        <v>0</v>
      </c>
      <c r="AZ193">
        <f>SUMIF('Как будет'!$A$17:$A$24,Доп.расчеты!$A193,'Как будет'!BA$17:BA$24)</f>
        <v>0</v>
      </c>
      <c r="BA193">
        <f>SUMIF('Как будет'!$A$17:$A$24,Доп.расчеты!$A193,'Как будет'!BB$17:BB$24)</f>
        <v>0</v>
      </c>
      <c r="BB193">
        <f>SUMIF('Как будет'!$A$17:$A$24,Доп.расчеты!$A193,'Как будет'!BC$17:BC$24)</f>
        <v>0</v>
      </c>
      <c r="BC193">
        <f>SUMIF('Как будет'!$A$17:$A$24,Доп.расчеты!$A193,'Как будет'!BD$17:BD$24)</f>
        <v>0</v>
      </c>
      <c r="BD193">
        <f>SUMIF('Как будет'!$A$17:$A$24,Доп.расчеты!$A193,'Как будет'!BE$17:BE$24)</f>
        <v>0</v>
      </c>
      <c r="BE193">
        <f>SUMIF('Как будет'!$A$17:$A$24,Доп.расчеты!$A193,'Как будет'!BF$17:BF$24)</f>
        <v>0</v>
      </c>
      <c r="BF193">
        <f>SUMIF('Как будет'!$A$17:$A$24,Доп.расчеты!$A193,'Как будет'!BG$17:BG$24)</f>
        <v>0</v>
      </c>
      <c r="BG193">
        <f>SUMIF('Как будет'!$A$17:$A$24,Доп.расчеты!$A193,'Как будет'!BH$17:BH$24)</f>
        <v>0</v>
      </c>
      <c r="BH193">
        <f>SUMIF('Как будет'!$A$17:$A$24,Доп.расчеты!$A193,'Как будет'!BI$17:BI$24)</f>
        <v>0</v>
      </c>
      <c r="BI193">
        <f>SUMIF('Как будет'!$A$17:$A$24,Доп.расчеты!$A193,'Как будет'!BJ$17:BJ$24)</f>
        <v>0</v>
      </c>
      <c r="BJ193">
        <f>SUMIF('Как будет'!$A$17:$A$24,Доп.расчеты!$A193,'Как будет'!BK$17:BK$24)</f>
        <v>0</v>
      </c>
      <c r="BK193">
        <f>SUMIF('Как будет'!$A$17:$A$24,Доп.расчеты!$A193,'Как будет'!BL$17:BL$24)</f>
        <v>0</v>
      </c>
      <c r="BL193">
        <f>SUMIF('Как будет'!$A$17:$A$24,Доп.расчеты!$A193,'Как будет'!BM$17:BM$24)</f>
        <v>0</v>
      </c>
      <c r="BM193">
        <f>SUMIF('Как будет'!$A$17:$A$24,Доп.расчеты!$A193,'Как будет'!BN$17:BN$24)</f>
        <v>0</v>
      </c>
      <c r="BN193">
        <f>SUMIF('Как будет'!$A$17:$A$24,Доп.расчеты!$A193,'Как будет'!BO$17:BO$24)</f>
        <v>0</v>
      </c>
      <c r="BO193">
        <f>SUMIF('Как будет'!$A$17:$A$24,Доп.расчеты!$A193,'Как будет'!BP$17:BP$24)</f>
        <v>0</v>
      </c>
      <c r="BP193">
        <f>SUMIF('Как будет'!$A$17:$A$24,Доп.расчеты!$A193,'Как будет'!BQ$17:BQ$24)</f>
        <v>0</v>
      </c>
      <c r="BQ193">
        <f>SUMIF('Как будет'!$A$17:$A$24,Доп.расчеты!$A193,'Как будет'!BR$17:BR$24)</f>
        <v>0</v>
      </c>
      <c r="BR193">
        <f>SUMIF('Как будет'!$A$17:$A$24,Доп.расчеты!$A193,'Как будет'!BS$17:BS$24)</f>
        <v>0</v>
      </c>
      <c r="BS193">
        <f>SUMIF('Как будет'!$A$17:$A$24,Доп.расчеты!$A193,'Как будет'!BT$17:BT$24)</f>
        <v>0</v>
      </c>
      <c r="BT193">
        <f>SUMIF('Как будет'!$A$17:$A$24,Доп.расчеты!$A193,'Как будет'!BU$17:BU$24)</f>
        <v>0</v>
      </c>
      <c r="BU193">
        <f>SUMIF('Как будет'!$A$17:$A$24,Доп.расчеты!$A193,'Как будет'!BV$17:BV$24)</f>
        <v>0</v>
      </c>
      <c r="BV193">
        <f>SUMIF('Как будет'!$A$17:$A$24,Доп.расчеты!$A193,'Как будет'!BW$17:BW$24)</f>
        <v>0</v>
      </c>
      <c r="BW193">
        <f>SUMIF('Как будет'!$A$17:$A$24,Доп.расчеты!$A193,'Как будет'!BX$17:BX$24)</f>
        <v>0</v>
      </c>
      <c r="BX193">
        <f>SUMIF('Как будет'!$A$17:$A$24,Доп.расчеты!$A193,'Как будет'!BY$17:BY$24)</f>
        <v>0</v>
      </c>
      <c r="BY193">
        <f>SUMIF('Как будет'!$A$17:$A$24,Доп.расчеты!$A193,'Как будет'!BZ$17:BZ$24)</f>
        <v>0</v>
      </c>
      <c r="BZ193">
        <f>SUMIF('Как будет'!$A$17:$A$24,Доп.расчеты!$A193,'Как будет'!CA$17:CA$24)</f>
        <v>0</v>
      </c>
      <c r="CA193">
        <f>SUMIF('Как будет'!$A$17:$A$24,Доп.расчеты!$A193,'Как будет'!CB$17:CB$24)</f>
        <v>0</v>
      </c>
      <c r="CB193">
        <f>SUMIF('Как будет'!$A$17:$A$24,Доп.расчеты!$A193,'Как будет'!CC$17:CC$24)</f>
        <v>0</v>
      </c>
      <c r="CC193">
        <f>SUMIF('Как будет'!$A$17:$A$24,Доп.расчеты!$A193,'Как будет'!CD$17:CD$24)</f>
        <v>0</v>
      </c>
      <c r="CD193">
        <f>SUMIF('Как будет'!$A$17:$A$24,Доп.расчеты!$A193,'Как будет'!CE$17:CE$24)</f>
        <v>0</v>
      </c>
      <c r="CE193">
        <f>SUMIF('Как будет'!$A$17:$A$24,Доп.расчеты!$A193,'Как будет'!CF$17:CF$24)</f>
        <v>0</v>
      </c>
      <c r="CF193">
        <f>SUMIF('Как будет'!$A$17:$A$24,Доп.расчеты!$A193,'Как будет'!CG$17:CG$24)</f>
        <v>0</v>
      </c>
      <c r="CG193">
        <f>SUMIF('Как будет'!$A$17:$A$24,Доп.расчеты!$A193,'Как будет'!CH$17:CH$24)</f>
        <v>0</v>
      </c>
      <c r="CH193">
        <f>SUMIF('Как будет'!$A$17:$A$24,Доп.расчеты!$A193,'Как будет'!CI$17:CI$24)</f>
        <v>0</v>
      </c>
      <c r="CI193">
        <f>SUMIF('Как будет'!$A$17:$A$24,Доп.расчеты!$A193,'Как будет'!CJ$17:CJ$24)</f>
        <v>0</v>
      </c>
      <c r="CJ193">
        <f>SUMIF('Как будет'!$A$17:$A$24,Доп.расчеты!$A193,'Как будет'!CK$17:CK$24)</f>
        <v>0</v>
      </c>
      <c r="CK193">
        <f>SUMIF('Как будет'!$A$17:$A$24,Доп.расчеты!$A193,'Как будет'!CL$17:CL$24)</f>
        <v>0</v>
      </c>
      <c r="CL193">
        <f>SUMIF('Как будет'!$A$17:$A$24,Доп.расчеты!$A193,'Как будет'!CM$17:CM$24)</f>
        <v>0</v>
      </c>
      <c r="CM193">
        <f>SUMIF('Как будет'!$A$17:$A$24,Доп.расчеты!$A193,'Как будет'!CN$17:CN$24)</f>
        <v>0</v>
      </c>
      <c r="CN193">
        <f>SUMIF('Как будет'!$A$17:$A$24,Доп.расчеты!$A193,'Как будет'!CO$17:CO$24)</f>
        <v>0</v>
      </c>
      <c r="CO193">
        <f>SUMIF('Как будет'!$A$17:$A$24,Доп.расчеты!$A193,'Как будет'!CP$17:CP$24)</f>
        <v>0</v>
      </c>
      <c r="CP193">
        <f>SUMIF('Как будет'!$A$17:$A$24,Доп.расчеты!$A193,'Как будет'!CQ$17:CQ$24)</f>
        <v>0</v>
      </c>
      <c r="CQ193">
        <f>SUMIF('Как будет'!$A$17:$A$24,Доп.расчеты!$A193,'Как будет'!CR$17:CR$24)</f>
        <v>0</v>
      </c>
      <c r="CR193">
        <f>SUMIF('Как будет'!$A$17:$A$24,Доп.расчеты!$A193,'Как будет'!CS$17:CS$24)</f>
        <v>0</v>
      </c>
      <c r="CS193">
        <f>SUMIF('Как будет'!$A$17:$A$24,Доп.расчеты!$A193,'Как будет'!CT$17:CT$24)</f>
        <v>0</v>
      </c>
      <c r="CT193">
        <f>SUMIF('Как будет'!$A$17:$A$24,Доп.расчеты!$A193,'Как будет'!CU$17:CU$24)</f>
        <v>0</v>
      </c>
      <c r="CU193">
        <f>SUMIF('Как будет'!$A$17:$A$24,Доп.расчеты!$A193,'Как будет'!CV$17:CV$24)</f>
        <v>0</v>
      </c>
      <c r="CV193">
        <f>SUMIF('Как будет'!$A$17:$A$24,Доп.расчеты!$A193,'Как будет'!CW$17:CW$24)</f>
        <v>0</v>
      </c>
      <c r="CW193">
        <f>SUMIF('Как будет'!$A$17:$A$24,Доп.расчеты!$A193,'Как будет'!CX$17:CX$24)</f>
        <v>0</v>
      </c>
      <c r="CX193">
        <f>SUMIF('Как будет'!$A$17:$A$24,Доп.расчеты!$A193,'Как будет'!CY$17:CY$24)</f>
        <v>0</v>
      </c>
      <c r="CY193">
        <f>SUMIF('Как будет'!$A$17:$A$24,Доп.расчеты!$A193,'Как будет'!CZ$17:CZ$24)</f>
        <v>0</v>
      </c>
      <c r="CZ193">
        <f>SUMIF('Как будет'!$A$17:$A$24,Доп.расчеты!$A193,'Как будет'!DA$17:DA$24)</f>
        <v>0</v>
      </c>
      <c r="DA193">
        <f>SUMIF('Как будет'!$A$17:$A$24,Доп.расчеты!$A193,'Как будет'!DB$17:DB$24)</f>
        <v>0</v>
      </c>
      <c r="DB193">
        <f>SUMIF('Как будет'!$A$17:$A$24,Доп.расчеты!$A193,'Как будет'!DC$17:DC$24)</f>
        <v>0</v>
      </c>
      <c r="DC193">
        <f>SUMIF('Как будет'!$A$17:$A$24,Доп.расчеты!$A193,'Как будет'!DD$17:DD$24)</f>
        <v>0</v>
      </c>
      <c r="DD193">
        <f>SUMIF('Как будет'!$A$17:$A$24,Доп.расчеты!$A193,'Как будет'!DE$17:DE$24)</f>
        <v>0</v>
      </c>
      <c r="DE193">
        <f>SUMIF('Как будет'!$A$17:$A$24,Доп.расчеты!$A193,'Как будет'!DF$17:DF$24)</f>
        <v>0</v>
      </c>
      <c r="DF193">
        <f>SUMIF('Как будет'!$A$17:$A$24,Доп.расчеты!$A193,'Как будет'!DG$17:DG$24)</f>
        <v>0</v>
      </c>
      <c r="DG193">
        <f>SUMIF('Как будет'!$A$17:$A$24,Доп.расчеты!$A193,'Как будет'!DH$17:DH$24)</f>
        <v>0</v>
      </c>
      <c r="DH193">
        <f>SUMIF('Как будет'!$A$17:$A$24,Доп.расчеты!$A193,'Как будет'!DI$17:DI$24)</f>
        <v>0</v>
      </c>
      <c r="DI193">
        <f>SUMIF('Как будет'!$A$17:$A$24,Доп.расчеты!$A193,'Как будет'!DJ$17:DJ$24)</f>
        <v>0</v>
      </c>
      <c r="DJ193">
        <f>SUMIF('Как будет'!$A$17:$A$24,Доп.расчеты!$A193,'Как будет'!DK$17:DK$24)</f>
        <v>0</v>
      </c>
      <c r="DK193">
        <f>SUMIF('Как будет'!$A$17:$A$24,Доп.расчеты!$A193,'Как будет'!DL$17:DL$24)</f>
        <v>0</v>
      </c>
      <c r="DL193">
        <f>SUMIF('Как будет'!$A$17:$A$24,Доп.расчеты!$A193,'Как будет'!DM$17:DM$24)</f>
        <v>0</v>
      </c>
      <c r="DM193">
        <f>SUMIF('Как будет'!$A$17:$A$24,Доп.расчеты!$A193,'Как будет'!DN$17:DN$24)</f>
        <v>0</v>
      </c>
      <c r="DN193">
        <f>SUMIF('Как будет'!$A$17:$A$24,Доп.расчеты!$A193,'Как будет'!DO$17:DO$24)</f>
        <v>0</v>
      </c>
      <c r="DO193">
        <f>SUMIF('Как будет'!$A$17:$A$24,Доп.расчеты!$A193,'Как будет'!DP$17:DP$24)</f>
        <v>0</v>
      </c>
      <c r="DP193">
        <f>SUMIF('Как будет'!$A$17:$A$24,Доп.расчеты!$A193,'Как будет'!DQ$17:DQ$24)</f>
        <v>0</v>
      </c>
      <c r="DQ193">
        <f>SUMIF('Как будет'!$A$17:$A$24,Доп.расчеты!$A193,'Как будет'!DR$17:DR$24)</f>
        <v>0</v>
      </c>
      <c r="DR193">
        <f>SUMIF('Как будет'!$A$17:$A$24,Доп.расчеты!$A193,'Как будет'!DS$17:DS$24)</f>
        <v>0</v>
      </c>
      <c r="DS193">
        <f>SUMIF('Как будет'!$A$17:$A$24,Доп.расчеты!$A193,'Как будет'!DT$17:DT$24)</f>
        <v>0</v>
      </c>
      <c r="DT193">
        <f>SUMIF('Как будет'!$A$17:$A$24,Доп.расчеты!$A193,'Как будет'!DU$17:DU$24)</f>
        <v>0</v>
      </c>
      <c r="DU193">
        <f>SUMIF('Как будет'!$A$17:$A$24,Доп.расчеты!$A193,'Как будет'!DV$17:DV$24)</f>
        <v>0</v>
      </c>
      <c r="DV193">
        <f>SUMIF('Как будет'!$A$17:$A$24,Доп.расчеты!$A193,'Как будет'!DW$17:DW$24)</f>
        <v>0</v>
      </c>
      <c r="DW193">
        <f>SUMIF('Как будет'!$A$17:$A$24,Доп.расчеты!$A193,'Как будет'!DX$17:DX$24)</f>
        <v>0</v>
      </c>
      <c r="DX193">
        <f>SUMIF('Как будет'!$A$17:$A$24,Доп.расчеты!$A193,'Как будет'!DY$17:DY$24)</f>
        <v>0</v>
      </c>
      <c r="DY193">
        <f>SUMIF('Как будет'!$A$17:$A$24,Доп.расчеты!$A193,'Как будет'!DZ$17:DZ$24)</f>
        <v>0</v>
      </c>
      <c r="DZ193">
        <f>SUMIF('Как будет'!$A$17:$A$24,Доп.расчеты!$A193,'Как будет'!EA$17:EA$24)</f>
        <v>0</v>
      </c>
      <c r="EA193">
        <f>SUMIF('Как будет'!$A$17:$A$24,Доп.расчеты!$A193,'Как будет'!EB$17:EB$24)</f>
        <v>0</v>
      </c>
      <c r="EB193">
        <f>SUMIF('Как будет'!$A$17:$A$24,Доп.расчеты!$A193,'Как будет'!EC$17:EC$24)</f>
        <v>0</v>
      </c>
      <c r="EC193">
        <f>SUMIF('Как будет'!$A$17:$A$24,Доп.расчеты!$A193,'Как будет'!ED$17:ED$24)</f>
        <v>0</v>
      </c>
      <c r="ED193">
        <f>SUMIF('Как будет'!$A$17:$A$24,Доп.расчеты!$A193,'Как будет'!EE$17:EE$24)</f>
        <v>0</v>
      </c>
      <c r="EE193">
        <f>SUMIF('Как будет'!$A$17:$A$24,Доп.расчеты!$A193,'Как будет'!EF$17:EF$24)</f>
        <v>0</v>
      </c>
      <c r="EF193">
        <f>SUMIF('Как будет'!$A$17:$A$24,Доп.расчеты!$A193,'Как будет'!EG$17:EG$24)</f>
        <v>0</v>
      </c>
      <c r="EG193">
        <f>SUMIF('Как будет'!$A$17:$A$24,Доп.расчеты!$A193,'Как будет'!EH$17:EH$24)</f>
        <v>0</v>
      </c>
      <c r="EH193">
        <f>SUMIF('Как будет'!$A$17:$A$24,Доп.расчеты!$A193,'Как будет'!EI$17:EI$24)</f>
        <v>0</v>
      </c>
      <c r="EI193">
        <f>SUMIF('Как будет'!$A$17:$A$24,Доп.расчеты!$A193,'Как будет'!EJ$17:EJ$24)</f>
        <v>0</v>
      </c>
      <c r="EJ193">
        <f>SUMIF('Как будет'!$A$17:$A$24,Доп.расчеты!$A193,'Как будет'!EK$17:EK$24)</f>
        <v>0</v>
      </c>
      <c r="EK193">
        <f>SUMIF('Как будет'!$A$17:$A$24,Доп.расчеты!$A193,'Как будет'!EL$17:EL$24)</f>
        <v>0</v>
      </c>
      <c r="EL193">
        <f>SUMIF('Как будет'!$A$17:$A$24,Доп.расчеты!$A193,'Как будет'!EM$17:EM$24)</f>
        <v>0</v>
      </c>
      <c r="EM193">
        <f>SUMIF('Как будет'!$A$17:$A$24,Доп.расчеты!$A193,'Как будет'!EN$17:EN$24)</f>
        <v>0</v>
      </c>
      <c r="EN193">
        <f>SUMIF('Как будет'!$A$17:$A$24,Доп.расчеты!$A193,'Как будет'!EO$17:EO$24)</f>
        <v>0</v>
      </c>
      <c r="EO193">
        <f>SUMIF('Как будет'!$A$17:$A$24,Доп.расчеты!$A193,'Как будет'!EP$17:EP$24)</f>
        <v>0</v>
      </c>
      <c r="EP193">
        <f>SUMIF('Как будет'!$A$17:$A$24,Доп.расчеты!$A193,'Как будет'!EQ$17:EQ$24)</f>
        <v>0</v>
      </c>
      <c r="EQ193">
        <f>SUMIF('Как будет'!$A$17:$A$24,Доп.расчеты!$A193,'Как будет'!ER$17:ER$24)</f>
        <v>0</v>
      </c>
      <c r="ER193">
        <f>SUMIF('Как будет'!$A$17:$A$24,Доп.расчеты!$A193,'Как будет'!ES$17:ES$24)</f>
        <v>0</v>
      </c>
      <c r="ES193">
        <f>SUMIF('Как будет'!$A$17:$A$24,Доп.расчеты!$A193,'Как будет'!ET$17:ET$24)</f>
        <v>0</v>
      </c>
      <c r="ET193">
        <f>SUMIF('Как будет'!$A$17:$A$24,Доп.расчеты!$A193,'Как будет'!EU$17:EU$24)</f>
        <v>0</v>
      </c>
      <c r="EU193">
        <f>SUMIF('Как будет'!$A$17:$A$24,Доп.расчеты!$A193,'Как будет'!EV$17:EV$24)</f>
        <v>0</v>
      </c>
      <c r="EV193">
        <f>SUMIF('Как будет'!$A$17:$A$24,Доп.расчеты!$A193,'Как будет'!EW$17:EW$24)</f>
        <v>0</v>
      </c>
      <c r="EW193">
        <f>SUMIF('Как будет'!$A$17:$A$24,Доп.расчеты!$A193,'Как будет'!EX$17:EX$24)</f>
        <v>0</v>
      </c>
      <c r="EX193">
        <f>SUMIF('Как будет'!$A$17:$A$24,Доп.расчеты!$A193,'Как будет'!EY$17:EY$24)</f>
        <v>0</v>
      </c>
      <c r="EY193">
        <f>SUMIF('Как будет'!$A$17:$A$24,Доп.расчеты!$A193,'Как будет'!EZ$17:EZ$24)</f>
        <v>0</v>
      </c>
      <c r="EZ193">
        <f>SUMIF('Как будет'!$A$17:$A$24,Доп.расчеты!$A193,'Как будет'!FA$17:FA$24)</f>
        <v>0</v>
      </c>
      <c r="FA193">
        <f>SUMIF('Как будет'!$A$17:$A$24,Доп.расчеты!$A193,'Как будет'!FB$17:FB$24)</f>
        <v>0</v>
      </c>
      <c r="FB193">
        <f>SUMIF('Как будет'!$A$17:$A$24,Доп.расчеты!$A193,'Как будет'!FC$17:FC$24)</f>
        <v>0</v>
      </c>
      <c r="FC193">
        <f>SUMIF('Как будет'!$A$17:$A$24,Доп.расчеты!$A193,'Как будет'!FD$17:FD$24)</f>
        <v>0</v>
      </c>
      <c r="FD193">
        <f>SUMIF('Как будет'!$A$17:$A$24,Доп.расчеты!$A193,'Как будет'!FE$17:FE$24)</f>
        <v>0</v>
      </c>
      <c r="FE193">
        <f>SUMIF('Как будет'!$A$17:$A$24,Доп.расчеты!$A193,'Как будет'!FF$17:FF$24)</f>
        <v>0</v>
      </c>
      <c r="FF193">
        <f>SUMIF('Как будет'!$A$17:$A$24,Доп.расчеты!$A193,'Как будет'!FG$17:FG$24)</f>
        <v>0</v>
      </c>
      <c r="FG193">
        <f>SUMIF('Как будет'!$A$17:$A$24,Доп.расчеты!$A193,'Как будет'!FH$17:FH$24)</f>
        <v>0</v>
      </c>
      <c r="FH193">
        <f>SUMIF('Как будет'!$A$17:$A$24,Доп.расчеты!$A193,'Как будет'!FI$17:FI$24)</f>
        <v>0</v>
      </c>
      <c r="FI193">
        <f>SUMIF('Как будет'!$A$17:$A$24,Доп.расчеты!$A193,'Как будет'!FJ$17:FJ$24)</f>
        <v>0</v>
      </c>
      <c r="FJ193">
        <f>SUMIF('Как будет'!$A$17:$A$24,Доп.расчеты!$A193,'Как будет'!FK$17:FK$24)</f>
        <v>0</v>
      </c>
      <c r="FK193">
        <f>SUMIF('Как будет'!$A$17:$A$24,Доп.расчеты!$A193,'Как будет'!FL$17:FL$24)</f>
        <v>0</v>
      </c>
      <c r="FL193">
        <f>SUMIF('Как будет'!$A$17:$A$24,Доп.расчеты!$A193,'Как будет'!FM$17:FM$24)</f>
        <v>0</v>
      </c>
      <c r="FM193">
        <f>SUMIF('Как будет'!$A$17:$A$24,Доп.расчеты!$A193,'Как будет'!FN$17:FN$24)</f>
        <v>0</v>
      </c>
      <c r="FN193">
        <f>SUMIF('Как будет'!$A$17:$A$24,Доп.расчеты!$A193,'Как будет'!FO$17:FO$24)</f>
        <v>0</v>
      </c>
      <c r="FO193">
        <f>SUMIF('Как будет'!$A$17:$A$24,Доп.расчеты!$A193,'Как будет'!FP$17:FP$24)</f>
        <v>0</v>
      </c>
      <c r="FP193">
        <f>SUMIF('Как будет'!$A$17:$A$24,Доп.расчеты!$A193,'Как будет'!FQ$17:FQ$24)</f>
        <v>0</v>
      </c>
      <c r="FQ193">
        <f>SUMIF('Как будет'!$A$17:$A$24,Доп.расчеты!$A193,'Как будет'!FR$17:FR$24)</f>
        <v>0</v>
      </c>
      <c r="FR193">
        <f>SUMIF('Как будет'!$A$17:$A$24,Доп.расчеты!$A193,'Как будет'!FS$17:FS$24)</f>
        <v>0</v>
      </c>
      <c r="FS193">
        <f>SUMIF('Как будет'!$A$17:$A$24,Доп.расчеты!$A193,'Как будет'!FT$17:FT$24)</f>
        <v>0</v>
      </c>
      <c r="FT193">
        <f>SUMIF('Как будет'!$A$17:$A$24,Доп.расчеты!$A193,'Как будет'!FU$17:FU$24)</f>
        <v>0</v>
      </c>
      <c r="FU193">
        <f>SUMIF('Как будет'!$A$17:$A$24,Доп.расчеты!$A193,'Как будет'!FV$17:FV$24)</f>
        <v>0</v>
      </c>
      <c r="FV193">
        <f>SUMIF('Как будет'!$A$17:$A$24,Доп.расчеты!$A193,'Как будет'!FW$17:FW$24)</f>
        <v>0</v>
      </c>
      <c r="FW193">
        <f>SUMIF('Как будет'!$A$17:$A$24,Доп.расчеты!$A193,'Как будет'!FX$17:FX$24)</f>
        <v>0</v>
      </c>
      <c r="FX193">
        <f>SUMIF('Как будет'!$A$17:$A$24,Доп.расчеты!$A193,'Как будет'!FY$17:FY$24)</f>
        <v>0</v>
      </c>
      <c r="FY193">
        <f>SUMIF('Как будет'!$A$17:$A$24,Доп.расчеты!$A193,'Как будет'!FZ$17:FZ$24)</f>
        <v>0</v>
      </c>
      <c r="FZ193">
        <f>SUMIF('Как будет'!$A$17:$A$24,Доп.расчеты!$A193,'Как будет'!GA$17:GA$24)</f>
        <v>0</v>
      </c>
      <c r="GA193">
        <f>SUMIF('Как будет'!$A$17:$A$24,Доп.расчеты!$A193,'Как будет'!GB$17:GB$24)</f>
        <v>0</v>
      </c>
      <c r="GB193">
        <f>SUMIF('Как будет'!$A$17:$A$24,Доп.расчеты!$A193,'Как будет'!GC$17:GC$24)</f>
        <v>0</v>
      </c>
      <c r="GC193">
        <f>SUMIF('Как будет'!$A$17:$A$24,Доп.расчеты!$A193,'Как будет'!GD$17:GD$24)</f>
        <v>0</v>
      </c>
      <c r="GD193">
        <f>SUMIF('Как будет'!$A$17:$A$24,Доп.расчеты!$A193,'Как будет'!GE$17:GE$24)</f>
        <v>0</v>
      </c>
      <c r="GE193">
        <f>SUMIF('Как будет'!$A$17:$A$24,Доп.расчеты!$A193,'Как будет'!GF$17:GF$24)</f>
        <v>0</v>
      </c>
      <c r="GF193">
        <f>SUMIF('Как будет'!$A$17:$A$24,Доп.расчеты!$A193,'Как будет'!GG$17:GG$24)</f>
        <v>0</v>
      </c>
      <c r="GG193">
        <f>SUMIF('Как будет'!$A$17:$A$24,Доп.расчеты!$A193,'Как будет'!GH$17:GH$24)</f>
        <v>0</v>
      </c>
      <c r="GH193">
        <f>SUMIF('Как будет'!$A$17:$A$24,Доп.расчеты!$A193,'Как будет'!GI$17:GI$24)</f>
        <v>0</v>
      </c>
      <c r="GI193">
        <f>SUMIF('Как будет'!$A$17:$A$24,Доп.расчеты!$A193,'Как будет'!GJ$17:GJ$24)</f>
        <v>0</v>
      </c>
      <c r="GJ193">
        <f>SUMIF('Как будет'!$A$17:$A$24,Доп.расчеты!$A193,'Как будет'!GK$17:GK$24)</f>
        <v>0</v>
      </c>
      <c r="GK193">
        <f>SUMIF('Как будет'!$A$17:$A$24,Доп.расчеты!$A193,'Как будет'!GL$17:GL$24)</f>
        <v>0</v>
      </c>
      <c r="GL193">
        <f>SUMIF('Как будет'!$A$17:$A$24,Доп.расчеты!$A193,'Как будет'!GM$17:GM$24)</f>
        <v>0</v>
      </c>
      <c r="GM193">
        <f>SUMIF('Как будет'!$A$17:$A$24,Доп.расчеты!$A193,'Как будет'!GN$17:GN$24)</f>
        <v>0</v>
      </c>
      <c r="GN193">
        <f>SUMIF('Как будет'!$A$17:$A$24,Доп.расчеты!$A193,'Как будет'!GO$17:GO$24)</f>
        <v>0</v>
      </c>
      <c r="GO193">
        <f>SUMIF('Как будет'!$A$17:$A$24,Доп.расчеты!$A193,'Как будет'!GP$17:GP$24)</f>
        <v>0</v>
      </c>
      <c r="GP193">
        <f>SUMIF('Как будет'!$A$17:$A$24,Доп.расчеты!$A193,'Как будет'!GQ$17:GQ$24)</f>
        <v>0</v>
      </c>
      <c r="GQ193">
        <f>SUMIF('Как будет'!$A$17:$A$24,Доп.расчеты!$A193,'Как будет'!GR$17:GR$24)</f>
        <v>0</v>
      </c>
      <c r="GR193">
        <f>SUMIF('Как будет'!$A$17:$A$24,Доп.расчеты!$A193,'Как будет'!GS$17:GS$24)</f>
        <v>0</v>
      </c>
      <c r="GS193">
        <f>SUMIF('Как будет'!$A$17:$A$24,Доп.расчеты!$A193,'Как будет'!GT$17:GT$24)</f>
        <v>0</v>
      </c>
      <c r="GT193">
        <f>SUMIF('Как будет'!$A$17:$A$24,Доп.расчеты!$A193,'Как будет'!GU$17:GU$24)</f>
        <v>0</v>
      </c>
    </row>
    <row r="194" spans="1:202">
      <c r="A194" s="238" t="s">
        <v>89</v>
      </c>
      <c r="B194">
        <f>SUMIF('Как будет'!$A$17:$A$24,Доп.расчеты!$A194,'Как будет'!C$17:C$24)</f>
        <v>0</v>
      </c>
      <c r="C194">
        <f>SUMIF('Как будет'!$A$17:$A$24,Доп.расчеты!$A194,'Как будет'!D$17:D$24)</f>
        <v>0</v>
      </c>
      <c r="D194">
        <f>SUMIF('Как будет'!$A$17:$A$24,Доп.расчеты!$A194,'Как будет'!E$17:E$24)</f>
        <v>0</v>
      </c>
      <c r="E194">
        <f>SUMIF('Как будет'!$A$17:$A$24,Доп.расчеты!$A194,'Как будет'!F$17:F$24)</f>
        <v>0</v>
      </c>
      <c r="F194">
        <f>SUMIF('Как будет'!$A$17:$A$24,Доп.расчеты!$A194,'Как будет'!G$17:G$24)</f>
        <v>0</v>
      </c>
      <c r="G194">
        <f>SUMIF('Как будет'!$A$17:$A$24,Доп.расчеты!$A194,'Как будет'!H$17:H$24)</f>
        <v>0</v>
      </c>
      <c r="H194">
        <f>SUMIF('Как будет'!$A$17:$A$24,Доп.расчеты!$A194,'Как будет'!I$17:I$24)</f>
        <v>0</v>
      </c>
      <c r="I194">
        <f>SUMIF('Как будет'!$A$17:$A$24,Доп.расчеты!$A194,'Как будет'!J$17:J$24)</f>
        <v>0</v>
      </c>
      <c r="J194">
        <f>SUMIF('Как будет'!$A$17:$A$24,Доп.расчеты!$A194,'Как будет'!K$17:K$24)</f>
        <v>0</v>
      </c>
      <c r="K194">
        <f>SUMIF('Как будет'!$A$17:$A$24,Доп.расчеты!$A194,'Как будет'!L$17:L$24)</f>
        <v>0</v>
      </c>
      <c r="L194">
        <f>SUMIF('Как будет'!$A$17:$A$24,Доп.расчеты!$A194,'Как будет'!M$17:M$24)</f>
        <v>0</v>
      </c>
      <c r="M194">
        <f>SUMIF('Как будет'!$A$17:$A$24,Доп.расчеты!$A194,'Как будет'!N$17:N$24)</f>
        <v>0</v>
      </c>
      <c r="N194">
        <f>SUMIF('Как будет'!$A$17:$A$24,Доп.расчеты!$A194,'Как будет'!O$17:O$24)</f>
        <v>0</v>
      </c>
      <c r="O194">
        <f>SUMIF('Как будет'!$A$17:$A$24,Доп.расчеты!$A194,'Как будет'!P$17:P$24)</f>
        <v>0</v>
      </c>
      <c r="P194">
        <f>SUMIF('Как будет'!$A$17:$A$24,Доп.расчеты!$A194,'Как будет'!Q$17:Q$24)</f>
        <v>0</v>
      </c>
      <c r="Q194">
        <f>SUMIF('Как будет'!$A$17:$A$24,Доп.расчеты!$A194,'Как будет'!R$17:R$24)</f>
        <v>0</v>
      </c>
      <c r="R194">
        <f>SUMIF('Как будет'!$A$17:$A$24,Доп.расчеты!$A194,'Как будет'!S$17:S$24)</f>
        <v>0</v>
      </c>
      <c r="S194">
        <f>SUMIF('Как будет'!$A$17:$A$24,Доп.расчеты!$A194,'Как будет'!T$17:T$24)</f>
        <v>0</v>
      </c>
      <c r="T194">
        <f>SUMIF('Как будет'!$A$17:$A$24,Доп.расчеты!$A194,'Как будет'!U$17:U$24)</f>
        <v>0</v>
      </c>
      <c r="U194">
        <f>SUMIF('Как будет'!$A$17:$A$24,Доп.расчеты!$A194,'Как будет'!V$17:V$24)</f>
        <v>0</v>
      </c>
      <c r="V194">
        <f>SUMIF('Как будет'!$A$17:$A$24,Доп.расчеты!$A194,'Как будет'!W$17:W$24)</f>
        <v>0</v>
      </c>
      <c r="W194">
        <f>SUMIF('Как будет'!$A$17:$A$24,Доп.расчеты!$A194,'Как будет'!X$17:X$24)</f>
        <v>0</v>
      </c>
      <c r="X194">
        <f>SUMIF('Как будет'!$A$17:$A$24,Доп.расчеты!$A194,'Как будет'!Y$17:Y$24)</f>
        <v>0</v>
      </c>
      <c r="Y194">
        <f>SUMIF('Как будет'!$A$17:$A$24,Доп.расчеты!$A194,'Как будет'!Z$17:Z$24)</f>
        <v>0</v>
      </c>
      <c r="Z194">
        <f>SUMIF('Как будет'!$A$17:$A$24,Доп.расчеты!$A194,'Как будет'!AA$17:AA$24)</f>
        <v>0</v>
      </c>
      <c r="AA194">
        <f>SUMIF('Как будет'!$A$17:$A$24,Доп.расчеты!$A194,'Как будет'!AB$17:AB$24)</f>
        <v>0</v>
      </c>
      <c r="AB194">
        <f>SUMIF('Как будет'!$A$17:$A$24,Доп.расчеты!$A194,'Как будет'!AC$17:AC$24)</f>
        <v>0</v>
      </c>
      <c r="AC194">
        <f>SUMIF('Как будет'!$A$17:$A$24,Доп.расчеты!$A194,'Как будет'!AD$17:AD$24)</f>
        <v>0</v>
      </c>
      <c r="AD194">
        <f>SUMIF('Как будет'!$A$17:$A$24,Доп.расчеты!$A194,'Как будет'!AE$17:AE$24)</f>
        <v>0</v>
      </c>
      <c r="AE194">
        <f>SUMIF('Как будет'!$A$17:$A$24,Доп.расчеты!$A194,'Как будет'!AF$17:AF$24)</f>
        <v>0</v>
      </c>
      <c r="AF194">
        <f>SUMIF('Как будет'!$A$17:$A$24,Доп.расчеты!$A194,'Как будет'!AG$17:AG$24)</f>
        <v>0</v>
      </c>
      <c r="AG194">
        <f>SUMIF('Как будет'!$A$17:$A$24,Доп.расчеты!$A194,'Как будет'!AH$17:AH$24)</f>
        <v>0</v>
      </c>
      <c r="AH194">
        <f>SUMIF('Как будет'!$A$17:$A$24,Доп.расчеты!$A194,'Как будет'!AI$17:AI$24)</f>
        <v>0</v>
      </c>
      <c r="AI194">
        <f>SUMIF('Как будет'!$A$17:$A$24,Доп.расчеты!$A194,'Как будет'!AJ$17:AJ$24)</f>
        <v>0</v>
      </c>
      <c r="AJ194">
        <f>SUMIF('Как будет'!$A$17:$A$24,Доп.расчеты!$A194,'Как будет'!AK$17:AK$24)</f>
        <v>0</v>
      </c>
      <c r="AK194">
        <f>SUMIF('Как будет'!$A$17:$A$24,Доп.расчеты!$A194,'Как будет'!AL$17:AL$24)</f>
        <v>0</v>
      </c>
      <c r="AL194">
        <f>SUMIF('Как будет'!$A$17:$A$24,Доп.расчеты!$A194,'Как будет'!AM$17:AM$24)</f>
        <v>0</v>
      </c>
      <c r="AM194">
        <f>SUMIF('Как будет'!$A$17:$A$24,Доп.расчеты!$A194,'Как будет'!AN$17:AN$24)</f>
        <v>0</v>
      </c>
      <c r="AN194">
        <f>SUMIF('Как будет'!$A$17:$A$24,Доп.расчеты!$A194,'Как будет'!AO$17:AO$24)</f>
        <v>0</v>
      </c>
      <c r="AO194">
        <f>SUMIF('Как будет'!$A$17:$A$24,Доп.расчеты!$A194,'Как будет'!AP$17:AP$24)</f>
        <v>0</v>
      </c>
      <c r="AP194">
        <f>SUMIF('Как будет'!$A$17:$A$24,Доп.расчеты!$A194,'Как будет'!AQ$17:AQ$24)</f>
        <v>0</v>
      </c>
      <c r="AQ194">
        <f>SUMIF('Как будет'!$A$17:$A$24,Доп.расчеты!$A194,'Как будет'!AR$17:AR$24)</f>
        <v>0</v>
      </c>
      <c r="AR194">
        <f>SUMIF('Как будет'!$A$17:$A$24,Доп.расчеты!$A194,'Как будет'!AS$17:AS$24)</f>
        <v>0</v>
      </c>
      <c r="AS194">
        <f>SUMIF('Как будет'!$A$17:$A$24,Доп.расчеты!$A194,'Как будет'!AT$17:AT$24)</f>
        <v>0</v>
      </c>
      <c r="AT194">
        <f>SUMIF('Как будет'!$A$17:$A$24,Доп.расчеты!$A194,'Как будет'!AU$17:AU$24)</f>
        <v>0</v>
      </c>
      <c r="AU194">
        <f>SUMIF('Как будет'!$A$17:$A$24,Доп.расчеты!$A194,'Как будет'!AV$17:AV$24)</f>
        <v>0</v>
      </c>
      <c r="AV194">
        <f>SUMIF('Как будет'!$A$17:$A$24,Доп.расчеты!$A194,'Как будет'!AW$17:AW$24)</f>
        <v>0</v>
      </c>
      <c r="AW194">
        <f>SUMIF('Как будет'!$A$17:$A$24,Доп.расчеты!$A194,'Как будет'!AX$17:AX$24)</f>
        <v>0</v>
      </c>
      <c r="AX194">
        <f>SUMIF('Как будет'!$A$17:$A$24,Доп.расчеты!$A194,'Как будет'!AY$17:AY$24)</f>
        <v>0</v>
      </c>
      <c r="AY194">
        <f>SUMIF('Как будет'!$A$17:$A$24,Доп.расчеты!$A194,'Как будет'!AZ$17:AZ$24)</f>
        <v>0</v>
      </c>
      <c r="AZ194">
        <f>SUMIF('Как будет'!$A$17:$A$24,Доп.расчеты!$A194,'Как будет'!BA$17:BA$24)</f>
        <v>0</v>
      </c>
      <c r="BA194">
        <f>SUMIF('Как будет'!$A$17:$A$24,Доп.расчеты!$A194,'Как будет'!BB$17:BB$24)</f>
        <v>0</v>
      </c>
      <c r="BB194">
        <f>SUMIF('Как будет'!$A$17:$A$24,Доп.расчеты!$A194,'Как будет'!BC$17:BC$24)</f>
        <v>0</v>
      </c>
      <c r="BC194">
        <f>SUMIF('Как будет'!$A$17:$A$24,Доп.расчеты!$A194,'Как будет'!BD$17:BD$24)</f>
        <v>0</v>
      </c>
      <c r="BD194">
        <f>SUMIF('Как будет'!$A$17:$A$24,Доп.расчеты!$A194,'Как будет'!BE$17:BE$24)</f>
        <v>0</v>
      </c>
      <c r="BE194">
        <f>SUMIF('Как будет'!$A$17:$A$24,Доп.расчеты!$A194,'Как будет'!BF$17:BF$24)</f>
        <v>0</v>
      </c>
      <c r="BF194">
        <f>SUMIF('Как будет'!$A$17:$A$24,Доп.расчеты!$A194,'Как будет'!BG$17:BG$24)</f>
        <v>0</v>
      </c>
      <c r="BG194">
        <f>SUMIF('Как будет'!$A$17:$A$24,Доп.расчеты!$A194,'Как будет'!BH$17:BH$24)</f>
        <v>0</v>
      </c>
      <c r="BH194">
        <f>SUMIF('Как будет'!$A$17:$A$24,Доп.расчеты!$A194,'Как будет'!BI$17:BI$24)</f>
        <v>0</v>
      </c>
      <c r="BI194">
        <f>SUMIF('Как будет'!$A$17:$A$24,Доп.расчеты!$A194,'Как будет'!BJ$17:BJ$24)</f>
        <v>0</v>
      </c>
      <c r="BJ194">
        <f>SUMIF('Как будет'!$A$17:$A$24,Доп.расчеты!$A194,'Как будет'!BK$17:BK$24)</f>
        <v>0</v>
      </c>
      <c r="BK194">
        <f>SUMIF('Как будет'!$A$17:$A$24,Доп.расчеты!$A194,'Как будет'!BL$17:BL$24)</f>
        <v>0</v>
      </c>
      <c r="BL194">
        <f>SUMIF('Как будет'!$A$17:$A$24,Доп.расчеты!$A194,'Как будет'!BM$17:BM$24)</f>
        <v>0</v>
      </c>
      <c r="BM194">
        <f>SUMIF('Как будет'!$A$17:$A$24,Доп.расчеты!$A194,'Как будет'!BN$17:BN$24)</f>
        <v>0</v>
      </c>
      <c r="BN194">
        <f>SUMIF('Как будет'!$A$17:$A$24,Доп.расчеты!$A194,'Как будет'!BO$17:BO$24)</f>
        <v>0</v>
      </c>
      <c r="BO194">
        <f>SUMIF('Как будет'!$A$17:$A$24,Доп.расчеты!$A194,'Как будет'!BP$17:BP$24)</f>
        <v>0</v>
      </c>
      <c r="BP194">
        <f>SUMIF('Как будет'!$A$17:$A$24,Доп.расчеты!$A194,'Как будет'!BQ$17:BQ$24)</f>
        <v>0</v>
      </c>
      <c r="BQ194">
        <f>SUMIF('Как будет'!$A$17:$A$24,Доп.расчеты!$A194,'Как будет'!BR$17:BR$24)</f>
        <v>0</v>
      </c>
      <c r="BR194">
        <f>SUMIF('Как будет'!$A$17:$A$24,Доп.расчеты!$A194,'Как будет'!BS$17:BS$24)</f>
        <v>0</v>
      </c>
      <c r="BS194">
        <f>SUMIF('Как будет'!$A$17:$A$24,Доп.расчеты!$A194,'Как будет'!BT$17:BT$24)</f>
        <v>0</v>
      </c>
      <c r="BT194">
        <f>SUMIF('Как будет'!$A$17:$A$24,Доп.расчеты!$A194,'Как будет'!BU$17:BU$24)</f>
        <v>0</v>
      </c>
      <c r="BU194">
        <f>SUMIF('Как будет'!$A$17:$A$24,Доп.расчеты!$A194,'Как будет'!BV$17:BV$24)</f>
        <v>0</v>
      </c>
      <c r="BV194">
        <f>SUMIF('Как будет'!$A$17:$A$24,Доп.расчеты!$A194,'Как будет'!BW$17:BW$24)</f>
        <v>0</v>
      </c>
      <c r="BW194">
        <f>SUMIF('Как будет'!$A$17:$A$24,Доп.расчеты!$A194,'Как будет'!BX$17:BX$24)</f>
        <v>0</v>
      </c>
      <c r="BX194">
        <f>SUMIF('Как будет'!$A$17:$A$24,Доп.расчеты!$A194,'Как будет'!BY$17:BY$24)</f>
        <v>0</v>
      </c>
      <c r="BY194">
        <f>SUMIF('Как будет'!$A$17:$A$24,Доп.расчеты!$A194,'Как будет'!BZ$17:BZ$24)</f>
        <v>0</v>
      </c>
      <c r="BZ194">
        <f>SUMIF('Как будет'!$A$17:$A$24,Доп.расчеты!$A194,'Как будет'!CA$17:CA$24)</f>
        <v>0</v>
      </c>
      <c r="CA194">
        <f>SUMIF('Как будет'!$A$17:$A$24,Доп.расчеты!$A194,'Как будет'!CB$17:CB$24)</f>
        <v>0</v>
      </c>
      <c r="CB194">
        <f>SUMIF('Как будет'!$A$17:$A$24,Доп.расчеты!$A194,'Как будет'!CC$17:CC$24)</f>
        <v>0</v>
      </c>
      <c r="CC194">
        <f>SUMIF('Как будет'!$A$17:$A$24,Доп.расчеты!$A194,'Как будет'!CD$17:CD$24)</f>
        <v>0</v>
      </c>
      <c r="CD194">
        <f>SUMIF('Как будет'!$A$17:$A$24,Доп.расчеты!$A194,'Как будет'!CE$17:CE$24)</f>
        <v>0</v>
      </c>
      <c r="CE194">
        <f>SUMIF('Как будет'!$A$17:$A$24,Доп.расчеты!$A194,'Как будет'!CF$17:CF$24)</f>
        <v>0</v>
      </c>
      <c r="CF194">
        <f>SUMIF('Как будет'!$A$17:$A$24,Доп.расчеты!$A194,'Как будет'!CG$17:CG$24)</f>
        <v>0</v>
      </c>
      <c r="CG194">
        <f>SUMIF('Как будет'!$A$17:$A$24,Доп.расчеты!$A194,'Как будет'!CH$17:CH$24)</f>
        <v>0</v>
      </c>
      <c r="CH194">
        <f>SUMIF('Как будет'!$A$17:$A$24,Доп.расчеты!$A194,'Как будет'!CI$17:CI$24)</f>
        <v>0</v>
      </c>
      <c r="CI194">
        <f>SUMIF('Как будет'!$A$17:$A$24,Доп.расчеты!$A194,'Как будет'!CJ$17:CJ$24)</f>
        <v>0</v>
      </c>
      <c r="CJ194">
        <f>SUMIF('Как будет'!$A$17:$A$24,Доп.расчеты!$A194,'Как будет'!CK$17:CK$24)</f>
        <v>0</v>
      </c>
      <c r="CK194">
        <f>SUMIF('Как будет'!$A$17:$A$24,Доп.расчеты!$A194,'Как будет'!CL$17:CL$24)</f>
        <v>0</v>
      </c>
      <c r="CL194">
        <f>SUMIF('Как будет'!$A$17:$A$24,Доп.расчеты!$A194,'Как будет'!CM$17:CM$24)</f>
        <v>0</v>
      </c>
      <c r="CM194">
        <f>SUMIF('Как будет'!$A$17:$A$24,Доп.расчеты!$A194,'Как будет'!CN$17:CN$24)</f>
        <v>0</v>
      </c>
      <c r="CN194">
        <f>SUMIF('Как будет'!$A$17:$A$24,Доп.расчеты!$A194,'Как будет'!CO$17:CO$24)</f>
        <v>0</v>
      </c>
      <c r="CO194">
        <f>SUMIF('Как будет'!$A$17:$A$24,Доп.расчеты!$A194,'Как будет'!CP$17:CP$24)</f>
        <v>0</v>
      </c>
      <c r="CP194">
        <f>SUMIF('Как будет'!$A$17:$A$24,Доп.расчеты!$A194,'Как будет'!CQ$17:CQ$24)</f>
        <v>0</v>
      </c>
      <c r="CQ194">
        <f>SUMIF('Как будет'!$A$17:$A$24,Доп.расчеты!$A194,'Как будет'!CR$17:CR$24)</f>
        <v>0</v>
      </c>
      <c r="CR194">
        <f>SUMIF('Как будет'!$A$17:$A$24,Доп.расчеты!$A194,'Как будет'!CS$17:CS$24)</f>
        <v>0</v>
      </c>
      <c r="CS194">
        <f>SUMIF('Как будет'!$A$17:$A$24,Доп.расчеты!$A194,'Как будет'!CT$17:CT$24)</f>
        <v>0</v>
      </c>
      <c r="CT194">
        <f>SUMIF('Как будет'!$A$17:$A$24,Доп.расчеты!$A194,'Как будет'!CU$17:CU$24)</f>
        <v>0</v>
      </c>
      <c r="CU194">
        <f>SUMIF('Как будет'!$A$17:$A$24,Доп.расчеты!$A194,'Как будет'!CV$17:CV$24)</f>
        <v>0</v>
      </c>
      <c r="CV194">
        <f>SUMIF('Как будет'!$A$17:$A$24,Доп.расчеты!$A194,'Как будет'!CW$17:CW$24)</f>
        <v>0</v>
      </c>
      <c r="CW194">
        <f>SUMIF('Как будет'!$A$17:$A$24,Доп.расчеты!$A194,'Как будет'!CX$17:CX$24)</f>
        <v>0</v>
      </c>
      <c r="CX194">
        <f>SUMIF('Как будет'!$A$17:$A$24,Доп.расчеты!$A194,'Как будет'!CY$17:CY$24)</f>
        <v>0</v>
      </c>
      <c r="CY194">
        <f>SUMIF('Как будет'!$A$17:$A$24,Доп.расчеты!$A194,'Как будет'!CZ$17:CZ$24)</f>
        <v>0</v>
      </c>
      <c r="CZ194">
        <f>SUMIF('Как будет'!$A$17:$A$24,Доп.расчеты!$A194,'Как будет'!DA$17:DA$24)</f>
        <v>0</v>
      </c>
      <c r="DA194">
        <f>SUMIF('Как будет'!$A$17:$A$24,Доп.расчеты!$A194,'Как будет'!DB$17:DB$24)</f>
        <v>0</v>
      </c>
      <c r="DB194">
        <f>SUMIF('Как будет'!$A$17:$A$24,Доп.расчеты!$A194,'Как будет'!DC$17:DC$24)</f>
        <v>0</v>
      </c>
      <c r="DC194">
        <f>SUMIF('Как будет'!$A$17:$A$24,Доп.расчеты!$A194,'Как будет'!DD$17:DD$24)</f>
        <v>0</v>
      </c>
      <c r="DD194">
        <f>SUMIF('Как будет'!$A$17:$A$24,Доп.расчеты!$A194,'Как будет'!DE$17:DE$24)</f>
        <v>0</v>
      </c>
      <c r="DE194">
        <f>SUMIF('Как будет'!$A$17:$A$24,Доп.расчеты!$A194,'Как будет'!DF$17:DF$24)</f>
        <v>0</v>
      </c>
      <c r="DF194">
        <f>SUMIF('Как будет'!$A$17:$A$24,Доп.расчеты!$A194,'Как будет'!DG$17:DG$24)</f>
        <v>0</v>
      </c>
      <c r="DG194">
        <f>SUMIF('Как будет'!$A$17:$A$24,Доп.расчеты!$A194,'Как будет'!DH$17:DH$24)</f>
        <v>0</v>
      </c>
      <c r="DH194">
        <f>SUMIF('Как будет'!$A$17:$A$24,Доп.расчеты!$A194,'Как будет'!DI$17:DI$24)</f>
        <v>0</v>
      </c>
      <c r="DI194">
        <f>SUMIF('Как будет'!$A$17:$A$24,Доп.расчеты!$A194,'Как будет'!DJ$17:DJ$24)</f>
        <v>0</v>
      </c>
      <c r="DJ194">
        <f>SUMIF('Как будет'!$A$17:$A$24,Доп.расчеты!$A194,'Как будет'!DK$17:DK$24)</f>
        <v>0</v>
      </c>
      <c r="DK194">
        <f>SUMIF('Как будет'!$A$17:$A$24,Доп.расчеты!$A194,'Как будет'!DL$17:DL$24)</f>
        <v>0</v>
      </c>
      <c r="DL194">
        <f>SUMIF('Как будет'!$A$17:$A$24,Доп.расчеты!$A194,'Как будет'!DM$17:DM$24)</f>
        <v>0</v>
      </c>
      <c r="DM194">
        <f>SUMIF('Как будет'!$A$17:$A$24,Доп.расчеты!$A194,'Как будет'!DN$17:DN$24)</f>
        <v>0</v>
      </c>
      <c r="DN194">
        <f>SUMIF('Как будет'!$A$17:$A$24,Доп.расчеты!$A194,'Как будет'!DO$17:DO$24)</f>
        <v>0</v>
      </c>
      <c r="DO194">
        <f>SUMIF('Как будет'!$A$17:$A$24,Доп.расчеты!$A194,'Как будет'!DP$17:DP$24)</f>
        <v>0</v>
      </c>
      <c r="DP194">
        <f>SUMIF('Как будет'!$A$17:$A$24,Доп.расчеты!$A194,'Как будет'!DQ$17:DQ$24)</f>
        <v>0</v>
      </c>
      <c r="DQ194">
        <f>SUMIF('Как будет'!$A$17:$A$24,Доп.расчеты!$A194,'Как будет'!DR$17:DR$24)</f>
        <v>0</v>
      </c>
      <c r="DR194">
        <f>SUMIF('Как будет'!$A$17:$A$24,Доп.расчеты!$A194,'Как будет'!DS$17:DS$24)</f>
        <v>0</v>
      </c>
      <c r="DS194">
        <f>SUMIF('Как будет'!$A$17:$A$24,Доп.расчеты!$A194,'Как будет'!DT$17:DT$24)</f>
        <v>0</v>
      </c>
      <c r="DT194">
        <f>SUMIF('Как будет'!$A$17:$A$24,Доп.расчеты!$A194,'Как будет'!DU$17:DU$24)</f>
        <v>0</v>
      </c>
      <c r="DU194">
        <f>SUMIF('Как будет'!$A$17:$A$24,Доп.расчеты!$A194,'Как будет'!DV$17:DV$24)</f>
        <v>0</v>
      </c>
      <c r="DV194">
        <f>SUMIF('Как будет'!$A$17:$A$24,Доп.расчеты!$A194,'Как будет'!DW$17:DW$24)</f>
        <v>0</v>
      </c>
      <c r="DW194">
        <f>SUMIF('Как будет'!$A$17:$A$24,Доп.расчеты!$A194,'Как будет'!DX$17:DX$24)</f>
        <v>0</v>
      </c>
      <c r="DX194">
        <f>SUMIF('Как будет'!$A$17:$A$24,Доп.расчеты!$A194,'Как будет'!DY$17:DY$24)</f>
        <v>0</v>
      </c>
      <c r="DY194">
        <f>SUMIF('Как будет'!$A$17:$A$24,Доп.расчеты!$A194,'Как будет'!DZ$17:DZ$24)</f>
        <v>0</v>
      </c>
      <c r="DZ194">
        <f>SUMIF('Как будет'!$A$17:$A$24,Доп.расчеты!$A194,'Как будет'!EA$17:EA$24)</f>
        <v>0</v>
      </c>
      <c r="EA194">
        <f>SUMIF('Как будет'!$A$17:$A$24,Доп.расчеты!$A194,'Как будет'!EB$17:EB$24)</f>
        <v>0</v>
      </c>
      <c r="EB194">
        <f>SUMIF('Как будет'!$A$17:$A$24,Доп.расчеты!$A194,'Как будет'!EC$17:EC$24)</f>
        <v>0</v>
      </c>
      <c r="EC194">
        <f>SUMIF('Как будет'!$A$17:$A$24,Доп.расчеты!$A194,'Как будет'!ED$17:ED$24)</f>
        <v>0</v>
      </c>
      <c r="ED194">
        <f>SUMIF('Как будет'!$A$17:$A$24,Доп.расчеты!$A194,'Как будет'!EE$17:EE$24)</f>
        <v>0</v>
      </c>
      <c r="EE194">
        <f>SUMIF('Как будет'!$A$17:$A$24,Доп.расчеты!$A194,'Как будет'!EF$17:EF$24)</f>
        <v>0</v>
      </c>
      <c r="EF194">
        <f>SUMIF('Как будет'!$A$17:$A$24,Доп.расчеты!$A194,'Как будет'!EG$17:EG$24)</f>
        <v>0</v>
      </c>
      <c r="EG194">
        <f>SUMIF('Как будет'!$A$17:$A$24,Доп.расчеты!$A194,'Как будет'!EH$17:EH$24)</f>
        <v>0</v>
      </c>
      <c r="EH194">
        <f>SUMIF('Как будет'!$A$17:$A$24,Доп.расчеты!$A194,'Как будет'!EI$17:EI$24)</f>
        <v>0</v>
      </c>
      <c r="EI194">
        <f>SUMIF('Как будет'!$A$17:$A$24,Доп.расчеты!$A194,'Как будет'!EJ$17:EJ$24)</f>
        <v>0</v>
      </c>
      <c r="EJ194">
        <f>SUMIF('Как будет'!$A$17:$A$24,Доп.расчеты!$A194,'Как будет'!EK$17:EK$24)</f>
        <v>0</v>
      </c>
      <c r="EK194">
        <f>SUMIF('Как будет'!$A$17:$A$24,Доп.расчеты!$A194,'Как будет'!EL$17:EL$24)</f>
        <v>0</v>
      </c>
      <c r="EL194">
        <f>SUMIF('Как будет'!$A$17:$A$24,Доп.расчеты!$A194,'Как будет'!EM$17:EM$24)</f>
        <v>0</v>
      </c>
      <c r="EM194">
        <f>SUMIF('Как будет'!$A$17:$A$24,Доп.расчеты!$A194,'Как будет'!EN$17:EN$24)</f>
        <v>0</v>
      </c>
      <c r="EN194">
        <f>SUMIF('Как будет'!$A$17:$A$24,Доп.расчеты!$A194,'Как будет'!EO$17:EO$24)</f>
        <v>0</v>
      </c>
      <c r="EO194">
        <f>SUMIF('Как будет'!$A$17:$A$24,Доп.расчеты!$A194,'Как будет'!EP$17:EP$24)</f>
        <v>0</v>
      </c>
      <c r="EP194">
        <f>SUMIF('Как будет'!$A$17:$A$24,Доп.расчеты!$A194,'Как будет'!EQ$17:EQ$24)</f>
        <v>0</v>
      </c>
      <c r="EQ194">
        <f>SUMIF('Как будет'!$A$17:$A$24,Доп.расчеты!$A194,'Как будет'!ER$17:ER$24)</f>
        <v>0</v>
      </c>
      <c r="ER194">
        <f>SUMIF('Как будет'!$A$17:$A$24,Доп.расчеты!$A194,'Как будет'!ES$17:ES$24)</f>
        <v>0</v>
      </c>
      <c r="ES194">
        <f>SUMIF('Как будет'!$A$17:$A$24,Доп.расчеты!$A194,'Как будет'!ET$17:ET$24)</f>
        <v>0</v>
      </c>
      <c r="ET194">
        <f>SUMIF('Как будет'!$A$17:$A$24,Доп.расчеты!$A194,'Как будет'!EU$17:EU$24)</f>
        <v>0</v>
      </c>
      <c r="EU194">
        <f>SUMIF('Как будет'!$A$17:$A$24,Доп.расчеты!$A194,'Как будет'!EV$17:EV$24)</f>
        <v>0</v>
      </c>
      <c r="EV194">
        <f>SUMIF('Как будет'!$A$17:$A$24,Доп.расчеты!$A194,'Как будет'!EW$17:EW$24)</f>
        <v>0</v>
      </c>
      <c r="EW194">
        <f>SUMIF('Как будет'!$A$17:$A$24,Доп.расчеты!$A194,'Как будет'!EX$17:EX$24)</f>
        <v>0</v>
      </c>
      <c r="EX194">
        <f>SUMIF('Как будет'!$A$17:$A$24,Доп.расчеты!$A194,'Как будет'!EY$17:EY$24)</f>
        <v>0</v>
      </c>
      <c r="EY194">
        <f>SUMIF('Как будет'!$A$17:$A$24,Доп.расчеты!$A194,'Как будет'!EZ$17:EZ$24)</f>
        <v>0</v>
      </c>
      <c r="EZ194">
        <f>SUMIF('Как будет'!$A$17:$A$24,Доп.расчеты!$A194,'Как будет'!FA$17:FA$24)</f>
        <v>0</v>
      </c>
      <c r="FA194">
        <f>SUMIF('Как будет'!$A$17:$A$24,Доп.расчеты!$A194,'Как будет'!FB$17:FB$24)</f>
        <v>0</v>
      </c>
      <c r="FB194">
        <f>SUMIF('Как будет'!$A$17:$A$24,Доп.расчеты!$A194,'Как будет'!FC$17:FC$24)</f>
        <v>0</v>
      </c>
      <c r="FC194">
        <f>SUMIF('Как будет'!$A$17:$A$24,Доп.расчеты!$A194,'Как будет'!FD$17:FD$24)</f>
        <v>0</v>
      </c>
      <c r="FD194">
        <f>SUMIF('Как будет'!$A$17:$A$24,Доп.расчеты!$A194,'Как будет'!FE$17:FE$24)</f>
        <v>0</v>
      </c>
      <c r="FE194">
        <f>SUMIF('Как будет'!$A$17:$A$24,Доп.расчеты!$A194,'Как будет'!FF$17:FF$24)</f>
        <v>0</v>
      </c>
      <c r="FF194">
        <f>SUMIF('Как будет'!$A$17:$A$24,Доп.расчеты!$A194,'Как будет'!FG$17:FG$24)</f>
        <v>0</v>
      </c>
      <c r="FG194">
        <f>SUMIF('Как будет'!$A$17:$A$24,Доп.расчеты!$A194,'Как будет'!FH$17:FH$24)</f>
        <v>0</v>
      </c>
      <c r="FH194">
        <f>SUMIF('Как будет'!$A$17:$A$24,Доп.расчеты!$A194,'Как будет'!FI$17:FI$24)</f>
        <v>0</v>
      </c>
      <c r="FI194">
        <f>SUMIF('Как будет'!$A$17:$A$24,Доп.расчеты!$A194,'Как будет'!FJ$17:FJ$24)</f>
        <v>0</v>
      </c>
      <c r="FJ194">
        <f>SUMIF('Как будет'!$A$17:$A$24,Доп.расчеты!$A194,'Как будет'!FK$17:FK$24)</f>
        <v>0</v>
      </c>
      <c r="FK194">
        <f>SUMIF('Как будет'!$A$17:$A$24,Доп.расчеты!$A194,'Как будет'!FL$17:FL$24)</f>
        <v>0</v>
      </c>
      <c r="FL194">
        <f>SUMIF('Как будет'!$A$17:$A$24,Доп.расчеты!$A194,'Как будет'!FM$17:FM$24)</f>
        <v>0</v>
      </c>
      <c r="FM194">
        <f>SUMIF('Как будет'!$A$17:$A$24,Доп.расчеты!$A194,'Как будет'!FN$17:FN$24)</f>
        <v>0</v>
      </c>
      <c r="FN194">
        <f>SUMIF('Как будет'!$A$17:$A$24,Доп.расчеты!$A194,'Как будет'!FO$17:FO$24)</f>
        <v>0</v>
      </c>
      <c r="FO194">
        <f>SUMIF('Как будет'!$A$17:$A$24,Доп.расчеты!$A194,'Как будет'!FP$17:FP$24)</f>
        <v>0</v>
      </c>
      <c r="FP194">
        <f>SUMIF('Как будет'!$A$17:$A$24,Доп.расчеты!$A194,'Как будет'!FQ$17:FQ$24)</f>
        <v>0</v>
      </c>
      <c r="FQ194">
        <f>SUMIF('Как будет'!$A$17:$A$24,Доп.расчеты!$A194,'Как будет'!FR$17:FR$24)</f>
        <v>0</v>
      </c>
      <c r="FR194">
        <f>SUMIF('Как будет'!$A$17:$A$24,Доп.расчеты!$A194,'Как будет'!FS$17:FS$24)</f>
        <v>0</v>
      </c>
      <c r="FS194">
        <f>SUMIF('Как будет'!$A$17:$A$24,Доп.расчеты!$A194,'Как будет'!FT$17:FT$24)</f>
        <v>0</v>
      </c>
      <c r="FT194">
        <f>SUMIF('Как будет'!$A$17:$A$24,Доп.расчеты!$A194,'Как будет'!FU$17:FU$24)</f>
        <v>0</v>
      </c>
      <c r="FU194">
        <f>SUMIF('Как будет'!$A$17:$A$24,Доп.расчеты!$A194,'Как будет'!FV$17:FV$24)</f>
        <v>0</v>
      </c>
      <c r="FV194">
        <f>SUMIF('Как будет'!$A$17:$A$24,Доп.расчеты!$A194,'Как будет'!FW$17:FW$24)</f>
        <v>0</v>
      </c>
      <c r="FW194">
        <f>SUMIF('Как будет'!$A$17:$A$24,Доп.расчеты!$A194,'Как будет'!FX$17:FX$24)</f>
        <v>0</v>
      </c>
      <c r="FX194">
        <f>SUMIF('Как будет'!$A$17:$A$24,Доп.расчеты!$A194,'Как будет'!FY$17:FY$24)</f>
        <v>0</v>
      </c>
      <c r="FY194">
        <f>SUMIF('Как будет'!$A$17:$A$24,Доп.расчеты!$A194,'Как будет'!FZ$17:FZ$24)</f>
        <v>0</v>
      </c>
      <c r="FZ194">
        <f>SUMIF('Как будет'!$A$17:$A$24,Доп.расчеты!$A194,'Как будет'!GA$17:GA$24)</f>
        <v>0</v>
      </c>
      <c r="GA194">
        <f>SUMIF('Как будет'!$A$17:$A$24,Доп.расчеты!$A194,'Как будет'!GB$17:GB$24)</f>
        <v>0</v>
      </c>
      <c r="GB194">
        <f>SUMIF('Как будет'!$A$17:$A$24,Доп.расчеты!$A194,'Как будет'!GC$17:GC$24)</f>
        <v>0</v>
      </c>
      <c r="GC194">
        <f>SUMIF('Как будет'!$A$17:$A$24,Доп.расчеты!$A194,'Как будет'!GD$17:GD$24)</f>
        <v>0</v>
      </c>
      <c r="GD194">
        <f>SUMIF('Как будет'!$A$17:$A$24,Доп.расчеты!$A194,'Как будет'!GE$17:GE$24)</f>
        <v>0</v>
      </c>
      <c r="GE194">
        <f>SUMIF('Как будет'!$A$17:$A$24,Доп.расчеты!$A194,'Как будет'!GF$17:GF$24)</f>
        <v>0</v>
      </c>
      <c r="GF194">
        <f>SUMIF('Как будет'!$A$17:$A$24,Доп.расчеты!$A194,'Как будет'!GG$17:GG$24)</f>
        <v>0</v>
      </c>
      <c r="GG194">
        <f>SUMIF('Как будет'!$A$17:$A$24,Доп.расчеты!$A194,'Как будет'!GH$17:GH$24)</f>
        <v>0</v>
      </c>
      <c r="GH194">
        <f>SUMIF('Как будет'!$A$17:$A$24,Доп.расчеты!$A194,'Как будет'!GI$17:GI$24)</f>
        <v>0</v>
      </c>
      <c r="GI194">
        <f>SUMIF('Как будет'!$A$17:$A$24,Доп.расчеты!$A194,'Как будет'!GJ$17:GJ$24)</f>
        <v>0</v>
      </c>
      <c r="GJ194">
        <f>SUMIF('Как будет'!$A$17:$A$24,Доп.расчеты!$A194,'Как будет'!GK$17:GK$24)</f>
        <v>0</v>
      </c>
      <c r="GK194">
        <f>SUMIF('Как будет'!$A$17:$A$24,Доп.расчеты!$A194,'Как будет'!GL$17:GL$24)</f>
        <v>0</v>
      </c>
      <c r="GL194">
        <f>SUMIF('Как будет'!$A$17:$A$24,Доп.расчеты!$A194,'Как будет'!GM$17:GM$24)</f>
        <v>0</v>
      </c>
      <c r="GM194">
        <f>SUMIF('Как будет'!$A$17:$A$24,Доп.расчеты!$A194,'Как будет'!GN$17:GN$24)</f>
        <v>0</v>
      </c>
      <c r="GN194">
        <f>SUMIF('Как будет'!$A$17:$A$24,Доп.расчеты!$A194,'Как будет'!GO$17:GO$24)</f>
        <v>0</v>
      </c>
      <c r="GO194">
        <f>SUMIF('Как будет'!$A$17:$A$24,Доп.расчеты!$A194,'Как будет'!GP$17:GP$24)</f>
        <v>0</v>
      </c>
      <c r="GP194">
        <f>SUMIF('Как будет'!$A$17:$A$24,Доп.расчеты!$A194,'Как будет'!GQ$17:GQ$24)</f>
        <v>0</v>
      </c>
      <c r="GQ194">
        <f>SUMIF('Как будет'!$A$17:$A$24,Доп.расчеты!$A194,'Как будет'!GR$17:GR$24)</f>
        <v>0</v>
      </c>
      <c r="GR194">
        <f>SUMIF('Как будет'!$A$17:$A$24,Доп.расчеты!$A194,'Как будет'!GS$17:GS$24)</f>
        <v>0</v>
      </c>
      <c r="GS194">
        <f>SUMIF('Как будет'!$A$17:$A$24,Доп.расчеты!$A194,'Как будет'!GT$17:GT$24)</f>
        <v>0</v>
      </c>
      <c r="GT194">
        <f>SUMIF('Как будет'!$A$17:$A$24,Доп.расчеты!$A194,'Как будет'!GU$17:GU$24)</f>
        <v>0</v>
      </c>
    </row>
    <row r="195" spans="1:202">
      <c r="A195" s="238" t="s">
        <v>90</v>
      </c>
      <c r="B195">
        <f>SUMIF('Как будет'!$A$17:$A$24,Доп.расчеты!$A195,'Как будет'!C$17:C$24)</f>
        <v>0</v>
      </c>
      <c r="C195">
        <f>SUMIF('Как будет'!$A$17:$A$24,Доп.расчеты!$A195,'Как будет'!D$17:D$24)</f>
        <v>0</v>
      </c>
      <c r="D195">
        <f>SUMIF('Как будет'!$A$17:$A$24,Доп.расчеты!$A195,'Как будет'!E$17:E$24)</f>
        <v>0</v>
      </c>
      <c r="E195">
        <f>SUMIF('Как будет'!$A$17:$A$24,Доп.расчеты!$A195,'Как будет'!F$17:F$24)</f>
        <v>0</v>
      </c>
      <c r="F195">
        <f>SUMIF('Как будет'!$A$17:$A$24,Доп.расчеты!$A195,'Как будет'!G$17:G$24)</f>
        <v>0</v>
      </c>
      <c r="G195">
        <f>SUMIF('Как будет'!$A$17:$A$24,Доп.расчеты!$A195,'Как будет'!H$17:H$24)</f>
        <v>0</v>
      </c>
      <c r="H195">
        <f>SUMIF('Как будет'!$A$17:$A$24,Доп.расчеты!$A195,'Как будет'!I$17:I$24)</f>
        <v>0</v>
      </c>
      <c r="I195">
        <f>SUMIF('Как будет'!$A$17:$A$24,Доп.расчеты!$A195,'Как будет'!J$17:J$24)</f>
        <v>0</v>
      </c>
      <c r="J195">
        <f>SUMIF('Как будет'!$A$17:$A$24,Доп.расчеты!$A195,'Как будет'!K$17:K$24)</f>
        <v>0</v>
      </c>
      <c r="K195">
        <f>SUMIF('Как будет'!$A$17:$A$24,Доп.расчеты!$A195,'Как будет'!L$17:L$24)</f>
        <v>0</v>
      </c>
      <c r="L195">
        <f>SUMIF('Как будет'!$A$17:$A$24,Доп.расчеты!$A195,'Как будет'!M$17:M$24)</f>
        <v>0</v>
      </c>
      <c r="M195">
        <f>SUMIF('Как будет'!$A$17:$A$24,Доп.расчеты!$A195,'Как будет'!N$17:N$24)</f>
        <v>0</v>
      </c>
      <c r="N195">
        <f>SUMIF('Как будет'!$A$17:$A$24,Доп.расчеты!$A195,'Как будет'!O$17:O$24)</f>
        <v>0</v>
      </c>
      <c r="O195">
        <f>SUMIF('Как будет'!$A$17:$A$24,Доп.расчеты!$A195,'Как будет'!P$17:P$24)</f>
        <v>0</v>
      </c>
      <c r="P195">
        <f>SUMIF('Как будет'!$A$17:$A$24,Доп.расчеты!$A195,'Как будет'!Q$17:Q$24)</f>
        <v>0</v>
      </c>
      <c r="Q195">
        <f>SUMIF('Как будет'!$A$17:$A$24,Доп.расчеты!$A195,'Как будет'!R$17:R$24)</f>
        <v>0</v>
      </c>
      <c r="R195">
        <f>SUMIF('Как будет'!$A$17:$A$24,Доп.расчеты!$A195,'Как будет'!S$17:S$24)</f>
        <v>0</v>
      </c>
      <c r="S195">
        <f>SUMIF('Как будет'!$A$17:$A$24,Доп.расчеты!$A195,'Как будет'!T$17:T$24)</f>
        <v>0</v>
      </c>
      <c r="T195">
        <f>SUMIF('Как будет'!$A$17:$A$24,Доп.расчеты!$A195,'Как будет'!U$17:U$24)</f>
        <v>0</v>
      </c>
      <c r="U195">
        <f>SUMIF('Как будет'!$A$17:$A$24,Доп.расчеты!$A195,'Как будет'!V$17:V$24)</f>
        <v>0</v>
      </c>
      <c r="V195">
        <f>SUMIF('Как будет'!$A$17:$A$24,Доп.расчеты!$A195,'Как будет'!W$17:W$24)</f>
        <v>0</v>
      </c>
      <c r="W195">
        <f>SUMIF('Как будет'!$A$17:$A$24,Доп.расчеты!$A195,'Как будет'!X$17:X$24)</f>
        <v>0</v>
      </c>
      <c r="X195">
        <f>SUMIF('Как будет'!$A$17:$A$24,Доп.расчеты!$A195,'Как будет'!Y$17:Y$24)</f>
        <v>0</v>
      </c>
      <c r="Y195">
        <f>SUMIF('Как будет'!$A$17:$A$24,Доп.расчеты!$A195,'Как будет'!Z$17:Z$24)</f>
        <v>0</v>
      </c>
      <c r="Z195">
        <f>SUMIF('Как будет'!$A$17:$A$24,Доп.расчеты!$A195,'Как будет'!AA$17:AA$24)</f>
        <v>0</v>
      </c>
      <c r="AA195">
        <f>SUMIF('Как будет'!$A$17:$A$24,Доп.расчеты!$A195,'Как будет'!AB$17:AB$24)</f>
        <v>0</v>
      </c>
      <c r="AB195">
        <f>SUMIF('Как будет'!$A$17:$A$24,Доп.расчеты!$A195,'Как будет'!AC$17:AC$24)</f>
        <v>0</v>
      </c>
      <c r="AC195">
        <f>SUMIF('Как будет'!$A$17:$A$24,Доп.расчеты!$A195,'Как будет'!AD$17:AD$24)</f>
        <v>0</v>
      </c>
      <c r="AD195">
        <f>SUMIF('Как будет'!$A$17:$A$24,Доп.расчеты!$A195,'Как будет'!AE$17:AE$24)</f>
        <v>0</v>
      </c>
      <c r="AE195">
        <f>SUMIF('Как будет'!$A$17:$A$24,Доп.расчеты!$A195,'Как будет'!AF$17:AF$24)</f>
        <v>0</v>
      </c>
      <c r="AF195">
        <f>SUMIF('Как будет'!$A$17:$A$24,Доп.расчеты!$A195,'Как будет'!AG$17:AG$24)</f>
        <v>0</v>
      </c>
      <c r="AG195">
        <f>SUMIF('Как будет'!$A$17:$A$24,Доп.расчеты!$A195,'Как будет'!AH$17:AH$24)</f>
        <v>0</v>
      </c>
      <c r="AH195">
        <f>SUMIF('Как будет'!$A$17:$A$24,Доп.расчеты!$A195,'Как будет'!AI$17:AI$24)</f>
        <v>0</v>
      </c>
      <c r="AI195">
        <f>SUMIF('Как будет'!$A$17:$A$24,Доп.расчеты!$A195,'Как будет'!AJ$17:AJ$24)</f>
        <v>0</v>
      </c>
      <c r="AJ195">
        <f>SUMIF('Как будет'!$A$17:$A$24,Доп.расчеты!$A195,'Как будет'!AK$17:AK$24)</f>
        <v>0</v>
      </c>
      <c r="AK195">
        <f>SUMIF('Как будет'!$A$17:$A$24,Доп.расчеты!$A195,'Как будет'!AL$17:AL$24)</f>
        <v>0</v>
      </c>
      <c r="AL195">
        <f>SUMIF('Как будет'!$A$17:$A$24,Доп.расчеты!$A195,'Как будет'!AM$17:AM$24)</f>
        <v>0</v>
      </c>
      <c r="AM195">
        <f>SUMIF('Как будет'!$A$17:$A$24,Доп.расчеты!$A195,'Как будет'!AN$17:AN$24)</f>
        <v>0</v>
      </c>
      <c r="AN195">
        <f>SUMIF('Как будет'!$A$17:$A$24,Доп.расчеты!$A195,'Как будет'!AO$17:AO$24)</f>
        <v>0</v>
      </c>
      <c r="AO195">
        <f>SUMIF('Как будет'!$A$17:$A$24,Доп.расчеты!$A195,'Как будет'!AP$17:AP$24)</f>
        <v>0</v>
      </c>
      <c r="AP195">
        <f>SUMIF('Как будет'!$A$17:$A$24,Доп.расчеты!$A195,'Как будет'!AQ$17:AQ$24)</f>
        <v>0</v>
      </c>
      <c r="AQ195">
        <f>SUMIF('Как будет'!$A$17:$A$24,Доп.расчеты!$A195,'Как будет'!AR$17:AR$24)</f>
        <v>0</v>
      </c>
      <c r="AR195">
        <f>SUMIF('Как будет'!$A$17:$A$24,Доп.расчеты!$A195,'Как будет'!AS$17:AS$24)</f>
        <v>0</v>
      </c>
      <c r="AS195">
        <f>SUMIF('Как будет'!$A$17:$A$24,Доп.расчеты!$A195,'Как будет'!AT$17:AT$24)</f>
        <v>0</v>
      </c>
      <c r="AT195">
        <f>SUMIF('Как будет'!$A$17:$A$24,Доп.расчеты!$A195,'Как будет'!AU$17:AU$24)</f>
        <v>0</v>
      </c>
      <c r="AU195">
        <f>SUMIF('Как будет'!$A$17:$A$24,Доп.расчеты!$A195,'Как будет'!AV$17:AV$24)</f>
        <v>0</v>
      </c>
      <c r="AV195">
        <f>SUMIF('Как будет'!$A$17:$A$24,Доп.расчеты!$A195,'Как будет'!AW$17:AW$24)</f>
        <v>0</v>
      </c>
      <c r="AW195">
        <f>SUMIF('Как будет'!$A$17:$A$24,Доп.расчеты!$A195,'Как будет'!AX$17:AX$24)</f>
        <v>0</v>
      </c>
      <c r="AX195">
        <f>SUMIF('Как будет'!$A$17:$A$24,Доп.расчеты!$A195,'Как будет'!AY$17:AY$24)</f>
        <v>0</v>
      </c>
      <c r="AY195">
        <f>SUMIF('Как будет'!$A$17:$A$24,Доп.расчеты!$A195,'Как будет'!AZ$17:AZ$24)</f>
        <v>0</v>
      </c>
      <c r="AZ195">
        <f>SUMIF('Как будет'!$A$17:$A$24,Доп.расчеты!$A195,'Как будет'!BA$17:BA$24)</f>
        <v>0</v>
      </c>
      <c r="BA195">
        <f>SUMIF('Как будет'!$A$17:$A$24,Доп.расчеты!$A195,'Как будет'!BB$17:BB$24)</f>
        <v>0</v>
      </c>
      <c r="BB195">
        <f>SUMIF('Как будет'!$A$17:$A$24,Доп.расчеты!$A195,'Как будет'!BC$17:BC$24)</f>
        <v>0</v>
      </c>
      <c r="BC195">
        <f>SUMIF('Как будет'!$A$17:$A$24,Доп.расчеты!$A195,'Как будет'!BD$17:BD$24)</f>
        <v>0</v>
      </c>
      <c r="BD195">
        <f>SUMIF('Как будет'!$A$17:$A$24,Доп.расчеты!$A195,'Как будет'!BE$17:BE$24)</f>
        <v>0</v>
      </c>
      <c r="BE195">
        <f>SUMIF('Как будет'!$A$17:$A$24,Доп.расчеты!$A195,'Как будет'!BF$17:BF$24)</f>
        <v>0</v>
      </c>
      <c r="BF195">
        <f>SUMIF('Как будет'!$A$17:$A$24,Доп.расчеты!$A195,'Как будет'!BG$17:BG$24)</f>
        <v>0</v>
      </c>
      <c r="BG195">
        <f>SUMIF('Как будет'!$A$17:$A$24,Доп.расчеты!$A195,'Как будет'!BH$17:BH$24)</f>
        <v>0</v>
      </c>
      <c r="BH195">
        <f>SUMIF('Как будет'!$A$17:$A$24,Доп.расчеты!$A195,'Как будет'!BI$17:BI$24)</f>
        <v>0</v>
      </c>
      <c r="BI195">
        <f>SUMIF('Как будет'!$A$17:$A$24,Доп.расчеты!$A195,'Как будет'!BJ$17:BJ$24)</f>
        <v>0</v>
      </c>
      <c r="BJ195">
        <f>SUMIF('Как будет'!$A$17:$A$24,Доп.расчеты!$A195,'Как будет'!BK$17:BK$24)</f>
        <v>0</v>
      </c>
      <c r="BK195">
        <f>SUMIF('Как будет'!$A$17:$A$24,Доп.расчеты!$A195,'Как будет'!BL$17:BL$24)</f>
        <v>0</v>
      </c>
      <c r="BL195">
        <f>SUMIF('Как будет'!$A$17:$A$24,Доп.расчеты!$A195,'Как будет'!BM$17:BM$24)</f>
        <v>0</v>
      </c>
      <c r="BM195">
        <f>SUMIF('Как будет'!$A$17:$A$24,Доп.расчеты!$A195,'Как будет'!BN$17:BN$24)</f>
        <v>0</v>
      </c>
      <c r="BN195">
        <f>SUMIF('Как будет'!$A$17:$A$24,Доп.расчеты!$A195,'Как будет'!BO$17:BO$24)</f>
        <v>0</v>
      </c>
      <c r="BO195">
        <f>SUMIF('Как будет'!$A$17:$A$24,Доп.расчеты!$A195,'Как будет'!BP$17:BP$24)</f>
        <v>0</v>
      </c>
      <c r="BP195">
        <f>SUMIF('Как будет'!$A$17:$A$24,Доп.расчеты!$A195,'Как будет'!BQ$17:BQ$24)</f>
        <v>0</v>
      </c>
      <c r="BQ195">
        <f>SUMIF('Как будет'!$A$17:$A$24,Доп.расчеты!$A195,'Как будет'!BR$17:BR$24)</f>
        <v>0</v>
      </c>
      <c r="BR195">
        <f>SUMIF('Как будет'!$A$17:$A$24,Доп.расчеты!$A195,'Как будет'!BS$17:BS$24)</f>
        <v>0</v>
      </c>
      <c r="BS195">
        <f>SUMIF('Как будет'!$A$17:$A$24,Доп.расчеты!$A195,'Как будет'!BT$17:BT$24)</f>
        <v>0</v>
      </c>
      <c r="BT195">
        <f>SUMIF('Как будет'!$A$17:$A$24,Доп.расчеты!$A195,'Как будет'!BU$17:BU$24)</f>
        <v>0</v>
      </c>
      <c r="BU195">
        <f>SUMIF('Как будет'!$A$17:$A$24,Доп.расчеты!$A195,'Как будет'!BV$17:BV$24)</f>
        <v>0</v>
      </c>
      <c r="BV195">
        <f>SUMIF('Как будет'!$A$17:$A$24,Доп.расчеты!$A195,'Как будет'!BW$17:BW$24)</f>
        <v>0</v>
      </c>
      <c r="BW195">
        <f>SUMIF('Как будет'!$A$17:$A$24,Доп.расчеты!$A195,'Как будет'!BX$17:BX$24)</f>
        <v>0</v>
      </c>
      <c r="BX195">
        <f>SUMIF('Как будет'!$A$17:$A$24,Доп.расчеты!$A195,'Как будет'!BY$17:BY$24)</f>
        <v>0</v>
      </c>
      <c r="BY195">
        <f>SUMIF('Как будет'!$A$17:$A$24,Доп.расчеты!$A195,'Как будет'!BZ$17:BZ$24)</f>
        <v>0</v>
      </c>
      <c r="BZ195">
        <f>SUMIF('Как будет'!$A$17:$A$24,Доп.расчеты!$A195,'Как будет'!CA$17:CA$24)</f>
        <v>0</v>
      </c>
      <c r="CA195">
        <f>SUMIF('Как будет'!$A$17:$A$24,Доп.расчеты!$A195,'Как будет'!CB$17:CB$24)</f>
        <v>0</v>
      </c>
      <c r="CB195">
        <f>SUMIF('Как будет'!$A$17:$A$24,Доп.расчеты!$A195,'Как будет'!CC$17:CC$24)</f>
        <v>0</v>
      </c>
      <c r="CC195">
        <f>SUMIF('Как будет'!$A$17:$A$24,Доп.расчеты!$A195,'Как будет'!CD$17:CD$24)</f>
        <v>0</v>
      </c>
      <c r="CD195">
        <f>SUMIF('Как будет'!$A$17:$A$24,Доп.расчеты!$A195,'Как будет'!CE$17:CE$24)</f>
        <v>0</v>
      </c>
      <c r="CE195">
        <f>SUMIF('Как будет'!$A$17:$A$24,Доп.расчеты!$A195,'Как будет'!CF$17:CF$24)</f>
        <v>0</v>
      </c>
      <c r="CF195">
        <f>SUMIF('Как будет'!$A$17:$A$24,Доп.расчеты!$A195,'Как будет'!CG$17:CG$24)</f>
        <v>0</v>
      </c>
      <c r="CG195">
        <f>SUMIF('Как будет'!$A$17:$A$24,Доп.расчеты!$A195,'Как будет'!CH$17:CH$24)</f>
        <v>0</v>
      </c>
      <c r="CH195">
        <f>SUMIF('Как будет'!$A$17:$A$24,Доп.расчеты!$A195,'Как будет'!CI$17:CI$24)</f>
        <v>0</v>
      </c>
      <c r="CI195">
        <f>SUMIF('Как будет'!$A$17:$A$24,Доп.расчеты!$A195,'Как будет'!CJ$17:CJ$24)</f>
        <v>0</v>
      </c>
      <c r="CJ195">
        <f>SUMIF('Как будет'!$A$17:$A$24,Доп.расчеты!$A195,'Как будет'!CK$17:CK$24)</f>
        <v>0</v>
      </c>
      <c r="CK195">
        <f>SUMIF('Как будет'!$A$17:$A$24,Доп.расчеты!$A195,'Как будет'!CL$17:CL$24)</f>
        <v>0</v>
      </c>
      <c r="CL195">
        <f>SUMIF('Как будет'!$A$17:$A$24,Доп.расчеты!$A195,'Как будет'!CM$17:CM$24)</f>
        <v>0</v>
      </c>
      <c r="CM195">
        <f>SUMIF('Как будет'!$A$17:$A$24,Доп.расчеты!$A195,'Как будет'!CN$17:CN$24)</f>
        <v>0</v>
      </c>
      <c r="CN195">
        <f>SUMIF('Как будет'!$A$17:$A$24,Доп.расчеты!$A195,'Как будет'!CO$17:CO$24)</f>
        <v>0</v>
      </c>
      <c r="CO195">
        <f>SUMIF('Как будет'!$A$17:$A$24,Доп.расчеты!$A195,'Как будет'!CP$17:CP$24)</f>
        <v>0</v>
      </c>
      <c r="CP195">
        <f>SUMIF('Как будет'!$A$17:$A$24,Доп.расчеты!$A195,'Как будет'!CQ$17:CQ$24)</f>
        <v>0</v>
      </c>
      <c r="CQ195">
        <f>SUMIF('Как будет'!$A$17:$A$24,Доп.расчеты!$A195,'Как будет'!CR$17:CR$24)</f>
        <v>0</v>
      </c>
      <c r="CR195">
        <f>SUMIF('Как будет'!$A$17:$A$24,Доп.расчеты!$A195,'Как будет'!CS$17:CS$24)</f>
        <v>0</v>
      </c>
      <c r="CS195">
        <f>SUMIF('Как будет'!$A$17:$A$24,Доп.расчеты!$A195,'Как будет'!CT$17:CT$24)</f>
        <v>0</v>
      </c>
      <c r="CT195">
        <f>SUMIF('Как будет'!$A$17:$A$24,Доп.расчеты!$A195,'Как будет'!CU$17:CU$24)</f>
        <v>0</v>
      </c>
      <c r="CU195">
        <f>SUMIF('Как будет'!$A$17:$A$24,Доп.расчеты!$A195,'Как будет'!CV$17:CV$24)</f>
        <v>0</v>
      </c>
      <c r="CV195">
        <f>SUMIF('Как будет'!$A$17:$A$24,Доп.расчеты!$A195,'Как будет'!CW$17:CW$24)</f>
        <v>0</v>
      </c>
      <c r="CW195">
        <f>SUMIF('Как будет'!$A$17:$A$24,Доп.расчеты!$A195,'Как будет'!CX$17:CX$24)</f>
        <v>0</v>
      </c>
      <c r="CX195">
        <f>SUMIF('Как будет'!$A$17:$A$24,Доп.расчеты!$A195,'Как будет'!CY$17:CY$24)</f>
        <v>0</v>
      </c>
      <c r="CY195">
        <f>SUMIF('Как будет'!$A$17:$A$24,Доп.расчеты!$A195,'Как будет'!CZ$17:CZ$24)</f>
        <v>0</v>
      </c>
      <c r="CZ195">
        <f>SUMIF('Как будет'!$A$17:$A$24,Доп.расчеты!$A195,'Как будет'!DA$17:DA$24)</f>
        <v>0</v>
      </c>
      <c r="DA195">
        <f>SUMIF('Как будет'!$A$17:$A$24,Доп.расчеты!$A195,'Как будет'!DB$17:DB$24)</f>
        <v>0</v>
      </c>
      <c r="DB195">
        <f>SUMIF('Как будет'!$A$17:$A$24,Доп.расчеты!$A195,'Как будет'!DC$17:DC$24)</f>
        <v>0</v>
      </c>
      <c r="DC195">
        <f>SUMIF('Как будет'!$A$17:$A$24,Доп.расчеты!$A195,'Как будет'!DD$17:DD$24)</f>
        <v>0</v>
      </c>
      <c r="DD195">
        <f>SUMIF('Как будет'!$A$17:$A$24,Доп.расчеты!$A195,'Как будет'!DE$17:DE$24)</f>
        <v>0</v>
      </c>
      <c r="DE195">
        <f>SUMIF('Как будет'!$A$17:$A$24,Доп.расчеты!$A195,'Как будет'!DF$17:DF$24)</f>
        <v>0</v>
      </c>
      <c r="DF195">
        <f>SUMIF('Как будет'!$A$17:$A$24,Доп.расчеты!$A195,'Как будет'!DG$17:DG$24)</f>
        <v>0</v>
      </c>
      <c r="DG195">
        <f>SUMIF('Как будет'!$A$17:$A$24,Доп.расчеты!$A195,'Как будет'!DH$17:DH$24)</f>
        <v>0</v>
      </c>
      <c r="DH195">
        <f>SUMIF('Как будет'!$A$17:$A$24,Доп.расчеты!$A195,'Как будет'!DI$17:DI$24)</f>
        <v>0</v>
      </c>
      <c r="DI195">
        <f>SUMIF('Как будет'!$A$17:$A$24,Доп.расчеты!$A195,'Как будет'!DJ$17:DJ$24)</f>
        <v>0</v>
      </c>
      <c r="DJ195">
        <f>SUMIF('Как будет'!$A$17:$A$24,Доп.расчеты!$A195,'Как будет'!DK$17:DK$24)</f>
        <v>0</v>
      </c>
      <c r="DK195">
        <f>SUMIF('Как будет'!$A$17:$A$24,Доп.расчеты!$A195,'Как будет'!DL$17:DL$24)</f>
        <v>0</v>
      </c>
      <c r="DL195">
        <f>SUMIF('Как будет'!$A$17:$A$24,Доп.расчеты!$A195,'Как будет'!DM$17:DM$24)</f>
        <v>0</v>
      </c>
      <c r="DM195">
        <f>SUMIF('Как будет'!$A$17:$A$24,Доп.расчеты!$A195,'Как будет'!DN$17:DN$24)</f>
        <v>0</v>
      </c>
      <c r="DN195">
        <f>SUMIF('Как будет'!$A$17:$A$24,Доп.расчеты!$A195,'Как будет'!DO$17:DO$24)</f>
        <v>0</v>
      </c>
      <c r="DO195">
        <f>SUMIF('Как будет'!$A$17:$A$24,Доп.расчеты!$A195,'Как будет'!DP$17:DP$24)</f>
        <v>0</v>
      </c>
      <c r="DP195">
        <f>SUMIF('Как будет'!$A$17:$A$24,Доп.расчеты!$A195,'Как будет'!DQ$17:DQ$24)</f>
        <v>0</v>
      </c>
      <c r="DQ195">
        <f>SUMIF('Как будет'!$A$17:$A$24,Доп.расчеты!$A195,'Как будет'!DR$17:DR$24)</f>
        <v>0</v>
      </c>
      <c r="DR195">
        <f>SUMIF('Как будет'!$A$17:$A$24,Доп.расчеты!$A195,'Как будет'!DS$17:DS$24)</f>
        <v>0</v>
      </c>
      <c r="DS195">
        <f>SUMIF('Как будет'!$A$17:$A$24,Доп.расчеты!$A195,'Как будет'!DT$17:DT$24)</f>
        <v>0</v>
      </c>
      <c r="DT195">
        <f>SUMIF('Как будет'!$A$17:$A$24,Доп.расчеты!$A195,'Как будет'!DU$17:DU$24)</f>
        <v>0</v>
      </c>
      <c r="DU195">
        <f>SUMIF('Как будет'!$A$17:$A$24,Доп.расчеты!$A195,'Как будет'!DV$17:DV$24)</f>
        <v>0</v>
      </c>
      <c r="DV195">
        <f>SUMIF('Как будет'!$A$17:$A$24,Доп.расчеты!$A195,'Как будет'!DW$17:DW$24)</f>
        <v>0</v>
      </c>
      <c r="DW195">
        <f>SUMIF('Как будет'!$A$17:$A$24,Доп.расчеты!$A195,'Как будет'!DX$17:DX$24)</f>
        <v>0</v>
      </c>
      <c r="DX195">
        <f>SUMIF('Как будет'!$A$17:$A$24,Доп.расчеты!$A195,'Как будет'!DY$17:DY$24)</f>
        <v>0</v>
      </c>
      <c r="DY195">
        <f>SUMIF('Как будет'!$A$17:$A$24,Доп.расчеты!$A195,'Как будет'!DZ$17:DZ$24)</f>
        <v>0</v>
      </c>
      <c r="DZ195">
        <f>SUMIF('Как будет'!$A$17:$A$24,Доп.расчеты!$A195,'Как будет'!EA$17:EA$24)</f>
        <v>0</v>
      </c>
      <c r="EA195">
        <f>SUMIF('Как будет'!$A$17:$A$24,Доп.расчеты!$A195,'Как будет'!EB$17:EB$24)</f>
        <v>0</v>
      </c>
      <c r="EB195">
        <f>SUMIF('Как будет'!$A$17:$A$24,Доп.расчеты!$A195,'Как будет'!EC$17:EC$24)</f>
        <v>0</v>
      </c>
      <c r="EC195">
        <f>SUMIF('Как будет'!$A$17:$A$24,Доп.расчеты!$A195,'Как будет'!ED$17:ED$24)</f>
        <v>0</v>
      </c>
      <c r="ED195">
        <f>SUMIF('Как будет'!$A$17:$A$24,Доп.расчеты!$A195,'Как будет'!EE$17:EE$24)</f>
        <v>0</v>
      </c>
      <c r="EE195">
        <f>SUMIF('Как будет'!$A$17:$A$24,Доп.расчеты!$A195,'Как будет'!EF$17:EF$24)</f>
        <v>0</v>
      </c>
      <c r="EF195">
        <f>SUMIF('Как будет'!$A$17:$A$24,Доп.расчеты!$A195,'Как будет'!EG$17:EG$24)</f>
        <v>0</v>
      </c>
      <c r="EG195">
        <f>SUMIF('Как будет'!$A$17:$A$24,Доп.расчеты!$A195,'Как будет'!EH$17:EH$24)</f>
        <v>0</v>
      </c>
      <c r="EH195">
        <f>SUMIF('Как будет'!$A$17:$A$24,Доп.расчеты!$A195,'Как будет'!EI$17:EI$24)</f>
        <v>0</v>
      </c>
      <c r="EI195">
        <f>SUMIF('Как будет'!$A$17:$A$24,Доп.расчеты!$A195,'Как будет'!EJ$17:EJ$24)</f>
        <v>0</v>
      </c>
      <c r="EJ195">
        <f>SUMIF('Как будет'!$A$17:$A$24,Доп.расчеты!$A195,'Как будет'!EK$17:EK$24)</f>
        <v>0</v>
      </c>
      <c r="EK195">
        <f>SUMIF('Как будет'!$A$17:$A$24,Доп.расчеты!$A195,'Как будет'!EL$17:EL$24)</f>
        <v>0</v>
      </c>
      <c r="EL195">
        <f>SUMIF('Как будет'!$A$17:$A$24,Доп.расчеты!$A195,'Как будет'!EM$17:EM$24)</f>
        <v>0</v>
      </c>
      <c r="EM195">
        <f>SUMIF('Как будет'!$A$17:$A$24,Доп.расчеты!$A195,'Как будет'!EN$17:EN$24)</f>
        <v>0</v>
      </c>
      <c r="EN195">
        <f>SUMIF('Как будет'!$A$17:$A$24,Доп.расчеты!$A195,'Как будет'!EO$17:EO$24)</f>
        <v>0</v>
      </c>
      <c r="EO195">
        <f>SUMIF('Как будет'!$A$17:$A$24,Доп.расчеты!$A195,'Как будет'!EP$17:EP$24)</f>
        <v>0</v>
      </c>
      <c r="EP195">
        <f>SUMIF('Как будет'!$A$17:$A$24,Доп.расчеты!$A195,'Как будет'!EQ$17:EQ$24)</f>
        <v>0</v>
      </c>
      <c r="EQ195">
        <f>SUMIF('Как будет'!$A$17:$A$24,Доп.расчеты!$A195,'Как будет'!ER$17:ER$24)</f>
        <v>0</v>
      </c>
      <c r="ER195">
        <f>SUMIF('Как будет'!$A$17:$A$24,Доп.расчеты!$A195,'Как будет'!ES$17:ES$24)</f>
        <v>0</v>
      </c>
      <c r="ES195">
        <f>SUMIF('Как будет'!$A$17:$A$24,Доп.расчеты!$A195,'Как будет'!ET$17:ET$24)</f>
        <v>0</v>
      </c>
      <c r="ET195">
        <f>SUMIF('Как будет'!$A$17:$A$24,Доп.расчеты!$A195,'Как будет'!EU$17:EU$24)</f>
        <v>0</v>
      </c>
      <c r="EU195">
        <f>SUMIF('Как будет'!$A$17:$A$24,Доп.расчеты!$A195,'Как будет'!EV$17:EV$24)</f>
        <v>0</v>
      </c>
      <c r="EV195">
        <f>SUMIF('Как будет'!$A$17:$A$24,Доп.расчеты!$A195,'Как будет'!EW$17:EW$24)</f>
        <v>0</v>
      </c>
      <c r="EW195">
        <f>SUMIF('Как будет'!$A$17:$A$24,Доп.расчеты!$A195,'Как будет'!EX$17:EX$24)</f>
        <v>0</v>
      </c>
      <c r="EX195">
        <f>SUMIF('Как будет'!$A$17:$A$24,Доп.расчеты!$A195,'Как будет'!EY$17:EY$24)</f>
        <v>0</v>
      </c>
      <c r="EY195">
        <f>SUMIF('Как будет'!$A$17:$A$24,Доп.расчеты!$A195,'Как будет'!EZ$17:EZ$24)</f>
        <v>0</v>
      </c>
      <c r="EZ195">
        <f>SUMIF('Как будет'!$A$17:$A$24,Доп.расчеты!$A195,'Как будет'!FA$17:FA$24)</f>
        <v>0</v>
      </c>
      <c r="FA195">
        <f>SUMIF('Как будет'!$A$17:$A$24,Доп.расчеты!$A195,'Как будет'!FB$17:FB$24)</f>
        <v>0</v>
      </c>
      <c r="FB195">
        <f>SUMIF('Как будет'!$A$17:$A$24,Доп.расчеты!$A195,'Как будет'!FC$17:FC$24)</f>
        <v>0</v>
      </c>
      <c r="FC195">
        <f>SUMIF('Как будет'!$A$17:$A$24,Доп.расчеты!$A195,'Как будет'!FD$17:FD$24)</f>
        <v>0</v>
      </c>
      <c r="FD195">
        <f>SUMIF('Как будет'!$A$17:$A$24,Доп.расчеты!$A195,'Как будет'!FE$17:FE$24)</f>
        <v>0</v>
      </c>
      <c r="FE195">
        <f>SUMIF('Как будет'!$A$17:$A$24,Доп.расчеты!$A195,'Как будет'!FF$17:FF$24)</f>
        <v>0</v>
      </c>
      <c r="FF195">
        <f>SUMIF('Как будет'!$A$17:$A$24,Доп.расчеты!$A195,'Как будет'!FG$17:FG$24)</f>
        <v>0</v>
      </c>
      <c r="FG195">
        <f>SUMIF('Как будет'!$A$17:$A$24,Доп.расчеты!$A195,'Как будет'!FH$17:FH$24)</f>
        <v>0</v>
      </c>
      <c r="FH195">
        <f>SUMIF('Как будет'!$A$17:$A$24,Доп.расчеты!$A195,'Как будет'!FI$17:FI$24)</f>
        <v>0</v>
      </c>
      <c r="FI195">
        <f>SUMIF('Как будет'!$A$17:$A$24,Доп.расчеты!$A195,'Как будет'!FJ$17:FJ$24)</f>
        <v>0</v>
      </c>
      <c r="FJ195">
        <f>SUMIF('Как будет'!$A$17:$A$24,Доп.расчеты!$A195,'Как будет'!FK$17:FK$24)</f>
        <v>0</v>
      </c>
      <c r="FK195">
        <f>SUMIF('Как будет'!$A$17:$A$24,Доп.расчеты!$A195,'Как будет'!FL$17:FL$24)</f>
        <v>0</v>
      </c>
      <c r="FL195">
        <f>SUMIF('Как будет'!$A$17:$A$24,Доп.расчеты!$A195,'Как будет'!FM$17:FM$24)</f>
        <v>0</v>
      </c>
      <c r="FM195">
        <f>SUMIF('Как будет'!$A$17:$A$24,Доп.расчеты!$A195,'Как будет'!FN$17:FN$24)</f>
        <v>0</v>
      </c>
      <c r="FN195">
        <f>SUMIF('Как будет'!$A$17:$A$24,Доп.расчеты!$A195,'Как будет'!FO$17:FO$24)</f>
        <v>0</v>
      </c>
      <c r="FO195">
        <f>SUMIF('Как будет'!$A$17:$A$24,Доп.расчеты!$A195,'Как будет'!FP$17:FP$24)</f>
        <v>0</v>
      </c>
      <c r="FP195">
        <f>SUMIF('Как будет'!$A$17:$A$24,Доп.расчеты!$A195,'Как будет'!FQ$17:FQ$24)</f>
        <v>0</v>
      </c>
      <c r="FQ195">
        <f>SUMIF('Как будет'!$A$17:$A$24,Доп.расчеты!$A195,'Как будет'!FR$17:FR$24)</f>
        <v>0</v>
      </c>
      <c r="FR195">
        <f>SUMIF('Как будет'!$A$17:$A$24,Доп.расчеты!$A195,'Как будет'!FS$17:FS$24)</f>
        <v>0</v>
      </c>
      <c r="FS195">
        <f>SUMIF('Как будет'!$A$17:$A$24,Доп.расчеты!$A195,'Как будет'!FT$17:FT$24)</f>
        <v>0</v>
      </c>
      <c r="FT195">
        <f>SUMIF('Как будет'!$A$17:$A$24,Доп.расчеты!$A195,'Как будет'!FU$17:FU$24)</f>
        <v>0</v>
      </c>
      <c r="FU195">
        <f>SUMIF('Как будет'!$A$17:$A$24,Доп.расчеты!$A195,'Как будет'!FV$17:FV$24)</f>
        <v>0</v>
      </c>
      <c r="FV195">
        <f>SUMIF('Как будет'!$A$17:$A$24,Доп.расчеты!$A195,'Как будет'!FW$17:FW$24)</f>
        <v>0</v>
      </c>
      <c r="FW195">
        <f>SUMIF('Как будет'!$A$17:$A$24,Доп.расчеты!$A195,'Как будет'!FX$17:FX$24)</f>
        <v>0</v>
      </c>
      <c r="FX195">
        <f>SUMIF('Как будет'!$A$17:$A$24,Доп.расчеты!$A195,'Как будет'!FY$17:FY$24)</f>
        <v>0</v>
      </c>
      <c r="FY195">
        <f>SUMIF('Как будет'!$A$17:$A$24,Доп.расчеты!$A195,'Как будет'!FZ$17:FZ$24)</f>
        <v>0</v>
      </c>
      <c r="FZ195">
        <f>SUMIF('Как будет'!$A$17:$A$24,Доп.расчеты!$A195,'Как будет'!GA$17:GA$24)</f>
        <v>0</v>
      </c>
      <c r="GA195">
        <f>SUMIF('Как будет'!$A$17:$A$24,Доп.расчеты!$A195,'Как будет'!GB$17:GB$24)</f>
        <v>0</v>
      </c>
      <c r="GB195">
        <f>SUMIF('Как будет'!$A$17:$A$24,Доп.расчеты!$A195,'Как будет'!GC$17:GC$24)</f>
        <v>0</v>
      </c>
      <c r="GC195">
        <f>SUMIF('Как будет'!$A$17:$A$24,Доп.расчеты!$A195,'Как будет'!GD$17:GD$24)</f>
        <v>0</v>
      </c>
      <c r="GD195">
        <f>SUMIF('Как будет'!$A$17:$A$24,Доп.расчеты!$A195,'Как будет'!GE$17:GE$24)</f>
        <v>0</v>
      </c>
      <c r="GE195">
        <f>SUMIF('Как будет'!$A$17:$A$24,Доп.расчеты!$A195,'Как будет'!GF$17:GF$24)</f>
        <v>0</v>
      </c>
      <c r="GF195">
        <f>SUMIF('Как будет'!$A$17:$A$24,Доп.расчеты!$A195,'Как будет'!GG$17:GG$24)</f>
        <v>0</v>
      </c>
      <c r="GG195">
        <f>SUMIF('Как будет'!$A$17:$A$24,Доп.расчеты!$A195,'Как будет'!GH$17:GH$24)</f>
        <v>0</v>
      </c>
      <c r="GH195">
        <f>SUMIF('Как будет'!$A$17:$A$24,Доп.расчеты!$A195,'Как будет'!GI$17:GI$24)</f>
        <v>0</v>
      </c>
      <c r="GI195">
        <f>SUMIF('Как будет'!$A$17:$A$24,Доп.расчеты!$A195,'Как будет'!GJ$17:GJ$24)</f>
        <v>0</v>
      </c>
      <c r="GJ195">
        <f>SUMIF('Как будет'!$A$17:$A$24,Доп.расчеты!$A195,'Как будет'!GK$17:GK$24)</f>
        <v>0</v>
      </c>
      <c r="GK195">
        <f>SUMIF('Как будет'!$A$17:$A$24,Доп.расчеты!$A195,'Как будет'!GL$17:GL$24)</f>
        <v>0</v>
      </c>
      <c r="GL195">
        <f>SUMIF('Как будет'!$A$17:$A$24,Доп.расчеты!$A195,'Как будет'!GM$17:GM$24)</f>
        <v>0</v>
      </c>
      <c r="GM195">
        <f>SUMIF('Как будет'!$A$17:$A$24,Доп.расчеты!$A195,'Как будет'!GN$17:GN$24)</f>
        <v>0</v>
      </c>
      <c r="GN195">
        <f>SUMIF('Как будет'!$A$17:$A$24,Доп.расчеты!$A195,'Как будет'!GO$17:GO$24)</f>
        <v>0</v>
      </c>
      <c r="GO195">
        <f>SUMIF('Как будет'!$A$17:$A$24,Доп.расчеты!$A195,'Как будет'!GP$17:GP$24)</f>
        <v>0</v>
      </c>
      <c r="GP195">
        <f>SUMIF('Как будет'!$A$17:$A$24,Доп.расчеты!$A195,'Как будет'!GQ$17:GQ$24)</f>
        <v>0</v>
      </c>
      <c r="GQ195">
        <f>SUMIF('Как будет'!$A$17:$A$24,Доп.расчеты!$A195,'Как будет'!GR$17:GR$24)</f>
        <v>0</v>
      </c>
      <c r="GR195">
        <f>SUMIF('Как будет'!$A$17:$A$24,Доп.расчеты!$A195,'Как будет'!GS$17:GS$24)</f>
        <v>0</v>
      </c>
      <c r="GS195">
        <f>SUMIF('Как будет'!$A$17:$A$24,Доп.расчеты!$A195,'Как будет'!GT$17:GT$24)</f>
        <v>0</v>
      </c>
      <c r="GT195">
        <f>SUMIF('Как будет'!$A$17:$A$24,Доп.расчеты!$A195,'Как будет'!GU$17:GU$24)</f>
        <v>0</v>
      </c>
    </row>
    <row r="196" spans="1:202">
      <c r="A196" s="238" t="s">
        <v>91</v>
      </c>
      <c r="B196">
        <f>SUMIF('Как будет'!$A$17:$A$24,Доп.расчеты!$A196,'Как будет'!C$17:C$24)</f>
        <v>0</v>
      </c>
      <c r="C196">
        <f>SUMIF('Как будет'!$A$17:$A$24,Доп.расчеты!$A196,'Как будет'!D$17:D$24)</f>
        <v>0</v>
      </c>
      <c r="D196">
        <f>SUMIF('Как будет'!$A$17:$A$24,Доп.расчеты!$A196,'Как будет'!E$17:E$24)</f>
        <v>0</v>
      </c>
      <c r="E196">
        <f>SUMIF('Как будет'!$A$17:$A$24,Доп.расчеты!$A196,'Как будет'!F$17:F$24)</f>
        <v>0</v>
      </c>
      <c r="F196">
        <f>SUMIF('Как будет'!$A$17:$A$24,Доп.расчеты!$A196,'Как будет'!G$17:G$24)</f>
        <v>0</v>
      </c>
      <c r="G196">
        <f>SUMIF('Как будет'!$A$17:$A$24,Доп.расчеты!$A196,'Как будет'!H$17:H$24)</f>
        <v>0</v>
      </c>
      <c r="H196">
        <f>SUMIF('Как будет'!$A$17:$A$24,Доп.расчеты!$A196,'Как будет'!I$17:I$24)</f>
        <v>0</v>
      </c>
      <c r="I196">
        <f>SUMIF('Как будет'!$A$17:$A$24,Доп.расчеты!$A196,'Как будет'!J$17:J$24)</f>
        <v>0</v>
      </c>
      <c r="J196">
        <f>SUMIF('Как будет'!$A$17:$A$24,Доп.расчеты!$A196,'Как будет'!K$17:K$24)</f>
        <v>0</v>
      </c>
      <c r="K196">
        <f>SUMIF('Как будет'!$A$17:$A$24,Доп.расчеты!$A196,'Как будет'!L$17:L$24)</f>
        <v>0</v>
      </c>
      <c r="L196">
        <f>SUMIF('Как будет'!$A$17:$A$24,Доп.расчеты!$A196,'Как будет'!M$17:M$24)</f>
        <v>0</v>
      </c>
      <c r="M196">
        <f>SUMIF('Как будет'!$A$17:$A$24,Доп.расчеты!$A196,'Как будет'!N$17:N$24)</f>
        <v>0</v>
      </c>
      <c r="N196">
        <f>SUMIF('Как будет'!$A$17:$A$24,Доп.расчеты!$A196,'Как будет'!O$17:O$24)</f>
        <v>0</v>
      </c>
      <c r="O196">
        <f>SUMIF('Как будет'!$A$17:$A$24,Доп.расчеты!$A196,'Как будет'!P$17:P$24)</f>
        <v>0</v>
      </c>
      <c r="P196">
        <f>SUMIF('Как будет'!$A$17:$A$24,Доп.расчеты!$A196,'Как будет'!Q$17:Q$24)</f>
        <v>0</v>
      </c>
      <c r="Q196">
        <f>SUMIF('Как будет'!$A$17:$A$24,Доп.расчеты!$A196,'Как будет'!R$17:R$24)</f>
        <v>0</v>
      </c>
      <c r="R196">
        <f>SUMIF('Как будет'!$A$17:$A$24,Доп.расчеты!$A196,'Как будет'!S$17:S$24)</f>
        <v>0</v>
      </c>
      <c r="S196">
        <f>SUMIF('Как будет'!$A$17:$A$24,Доп.расчеты!$A196,'Как будет'!T$17:T$24)</f>
        <v>0</v>
      </c>
      <c r="T196">
        <f>SUMIF('Как будет'!$A$17:$A$24,Доп.расчеты!$A196,'Как будет'!U$17:U$24)</f>
        <v>0</v>
      </c>
      <c r="U196">
        <f>SUMIF('Как будет'!$A$17:$A$24,Доп.расчеты!$A196,'Как будет'!V$17:V$24)</f>
        <v>0</v>
      </c>
      <c r="V196">
        <f>SUMIF('Как будет'!$A$17:$A$24,Доп.расчеты!$A196,'Как будет'!W$17:W$24)</f>
        <v>0</v>
      </c>
      <c r="W196">
        <f>SUMIF('Как будет'!$A$17:$A$24,Доп.расчеты!$A196,'Как будет'!X$17:X$24)</f>
        <v>0</v>
      </c>
      <c r="X196">
        <f>SUMIF('Как будет'!$A$17:$A$24,Доп.расчеты!$A196,'Как будет'!Y$17:Y$24)</f>
        <v>0</v>
      </c>
      <c r="Y196">
        <f>SUMIF('Как будет'!$A$17:$A$24,Доп.расчеты!$A196,'Как будет'!Z$17:Z$24)</f>
        <v>0</v>
      </c>
      <c r="Z196">
        <f>SUMIF('Как будет'!$A$17:$A$24,Доп.расчеты!$A196,'Как будет'!AA$17:AA$24)</f>
        <v>0</v>
      </c>
      <c r="AA196">
        <f>SUMIF('Как будет'!$A$17:$A$24,Доп.расчеты!$A196,'Как будет'!AB$17:AB$24)</f>
        <v>0</v>
      </c>
      <c r="AB196">
        <f>SUMIF('Как будет'!$A$17:$A$24,Доп.расчеты!$A196,'Как будет'!AC$17:AC$24)</f>
        <v>0</v>
      </c>
      <c r="AC196">
        <f>SUMIF('Как будет'!$A$17:$A$24,Доп.расчеты!$A196,'Как будет'!AD$17:AD$24)</f>
        <v>0</v>
      </c>
      <c r="AD196">
        <f>SUMIF('Как будет'!$A$17:$A$24,Доп.расчеты!$A196,'Как будет'!AE$17:AE$24)</f>
        <v>0</v>
      </c>
      <c r="AE196">
        <f>SUMIF('Как будет'!$A$17:$A$24,Доп.расчеты!$A196,'Как будет'!AF$17:AF$24)</f>
        <v>0</v>
      </c>
      <c r="AF196">
        <f>SUMIF('Как будет'!$A$17:$A$24,Доп.расчеты!$A196,'Как будет'!AG$17:AG$24)</f>
        <v>0</v>
      </c>
      <c r="AG196">
        <f>SUMIF('Как будет'!$A$17:$A$24,Доп.расчеты!$A196,'Как будет'!AH$17:AH$24)</f>
        <v>0</v>
      </c>
      <c r="AH196">
        <f>SUMIF('Как будет'!$A$17:$A$24,Доп.расчеты!$A196,'Как будет'!AI$17:AI$24)</f>
        <v>0</v>
      </c>
      <c r="AI196">
        <f>SUMIF('Как будет'!$A$17:$A$24,Доп.расчеты!$A196,'Как будет'!AJ$17:AJ$24)</f>
        <v>0</v>
      </c>
      <c r="AJ196">
        <f>SUMIF('Как будет'!$A$17:$A$24,Доп.расчеты!$A196,'Как будет'!AK$17:AK$24)</f>
        <v>0</v>
      </c>
      <c r="AK196">
        <f>SUMIF('Как будет'!$A$17:$A$24,Доп.расчеты!$A196,'Как будет'!AL$17:AL$24)</f>
        <v>0</v>
      </c>
      <c r="AL196">
        <f>SUMIF('Как будет'!$A$17:$A$24,Доп.расчеты!$A196,'Как будет'!AM$17:AM$24)</f>
        <v>0</v>
      </c>
      <c r="AM196">
        <f>SUMIF('Как будет'!$A$17:$A$24,Доп.расчеты!$A196,'Как будет'!AN$17:AN$24)</f>
        <v>0</v>
      </c>
      <c r="AN196">
        <f>SUMIF('Как будет'!$A$17:$A$24,Доп.расчеты!$A196,'Как будет'!AO$17:AO$24)</f>
        <v>0</v>
      </c>
      <c r="AO196">
        <f>SUMIF('Как будет'!$A$17:$A$24,Доп.расчеты!$A196,'Как будет'!AP$17:AP$24)</f>
        <v>0</v>
      </c>
      <c r="AP196">
        <f>SUMIF('Как будет'!$A$17:$A$24,Доп.расчеты!$A196,'Как будет'!AQ$17:AQ$24)</f>
        <v>0</v>
      </c>
      <c r="AQ196">
        <f>SUMIF('Как будет'!$A$17:$A$24,Доп.расчеты!$A196,'Как будет'!AR$17:AR$24)</f>
        <v>0</v>
      </c>
      <c r="AR196">
        <f>SUMIF('Как будет'!$A$17:$A$24,Доп.расчеты!$A196,'Как будет'!AS$17:AS$24)</f>
        <v>0</v>
      </c>
      <c r="AS196">
        <f>SUMIF('Как будет'!$A$17:$A$24,Доп.расчеты!$A196,'Как будет'!AT$17:AT$24)</f>
        <v>0</v>
      </c>
      <c r="AT196">
        <f>SUMIF('Как будет'!$A$17:$A$24,Доп.расчеты!$A196,'Как будет'!AU$17:AU$24)</f>
        <v>0</v>
      </c>
      <c r="AU196">
        <f>SUMIF('Как будет'!$A$17:$A$24,Доп.расчеты!$A196,'Как будет'!AV$17:AV$24)</f>
        <v>0</v>
      </c>
      <c r="AV196">
        <f>SUMIF('Как будет'!$A$17:$A$24,Доп.расчеты!$A196,'Как будет'!AW$17:AW$24)</f>
        <v>0</v>
      </c>
      <c r="AW196">
        <f>SUMIF('Как будет'!$A$17:$A$24,Доп.расчеты!$A196,'Как будет'!AX$17:AX$24)</f>
        <v>0</v>
      </c>
      <c r="AX196">
        <f>SUMIF('Как будет'!$A$17:$A$24,Доп.расчеты!$A196,'Как будет'!AY$17:AY$24)</f>
        <v>0</v>
      </c>
      <c r="AY196">
        <f>SUMIF('Как будет'!$A$17:$A$24,Доп.расчеты!$A196,'Как будет'!AZ$17:AZ$24)</f>
        <v>0</v>
      </c>
      <c r="AZ196">
        <f>SUMIF('Как будет'!$A$17:$A$24,Доп.расчеты!$A196,'Как будет'!BA$17:BA$24)</f>
        <v>0</v>
      </c>
      <c r="BA196">
        <f>SUMIF('Как будет'!$A$17:$A$24,Доп.расчеты!$A196,'Как будет'!BB$17:BB$24)</f>
        <v>0</v>
      </c>
      <c r="BB196">
        <f>SUMIF('Как будет'!$A$17:$A$24,Доп.расчеты!$A196,'Как будет'!BC$17:BC$24)</f>
        <v>0</v>
      </c>
      <c r="BC196">
        <f>SUMIF('Как будет'!$A$17:$A$24,Доп.расчеты!$A196,'Как будет'!BD$17:BD$24)</f>
        <v>0</v>
      </c>
      <c r="BD196">
        <f>SUMIF('Как будет'!$A$17:$A$24,Доп.расчеты!$A196,'Как будет'!BE$17:BE$24)</f>
        <v>0</v>
      </c>
      <c r="BE196">
        <f>SUMIF('Как будет'!$A$17:$A$24,Доп.расчеты!$A196,'Как будет'!BF$17:BF$24)</f>
        <v>0</v>
      </c>
      <c r="BF196">
        <f>SUMIF('Как будет'!$A$17:$A$24,Доп.расчеты!$A196,'Как будет'!BG$17:BG$24)</f>
        <v>0</v>
      </c>
      <c r="BG196">
        <f>SUMIF('Как будет'!$A$17:$A$24,Доп.расчеты!$A196,'Как будет'!BH$17:BH$24)</f>
        <v>0</v>
      </c>
      <c r="BH196">
        <f>SUMIF('Как будет'!$A$17:$A$24,Доп.расчеты!$A196,'Как будет'!BI$17:BI$24)</f>
        <v>0</v>
      </c>
      <c r="BI196">
        <f>SUMIF('Как будет'!$A$17:$A$24,Доп.расчеты!$A196,'Как будет'!BJ$17:BJ$24)</f>
        <v>0</v>
      </c>
      <c r="BJ196">
        <f>SUMIF('Как будет'!$A$17:$A$24,Доп.расчеты!$A196,'Как будет'!BK$17:BK$24)</f>
        <v>0</v>
      </c>
      <c r="BK196">
        <f>SUMIF('Как будет'!$A$17:$A$24,Доп.расчеты!$A196,'Как будет'!BL$17:BL$24)</f>
        <v>0</v>
      </c>
      <c r="BL196">
        <f>SUMIF('Как будет'!$A$17:$A$24,Доп.расчеты!$A196,'Как будет'!BM$17:BM$24)</f>
        <v>0</v>
      </c>
      <c r="BM196">
        <f>SUMIF('Как будет'!$A$17:$A$24,Доп.расчеты!$A196,'Как будет'!BN$17:BN$24)</f>
        <v>0</v>
      </c>
      <c r="BN196">
        <f>SUMIF('Как будет'!$A$17:$A$24,Доп.расчеты!$A196,'Как будет'!BO$17:BO$24)</f>
        <v>0</v>
      </c>
      <c r="BO196">
        <f>SUMIF('Как будет'!$A$17:$A$24,Доп.расчеты!$A196,'Как будет'!BP$17:BP$24)</f>
        <v>0</v>
      </c>
      <c r="BP196">
        <f>SUMIF('Как будет'!$A$17:$A$24,Доп.расчеты!$A196,'Как будет'!BQ$17:BQ$24)</f>
        <v>0</v>
      </c>
      <c r="BQ196">
        <f>SUMIF('Как будет'!$A$17:$A$24,Доп.расчеты!$A196,'Как будет'!BR$17:BR$24)</f>
        <v>0</v>
      </c>
      <c r="BR196">
        <f>SUMIF('Как будет'!$A$17:$A$24,Доп.расчеты!$A196,'Как будет'!BS$17:BS$24)</f>
        <v>0</v>
      </c>
      <c r="BS196">
        <f>SUMIF('Как будет'!$A$17:$A$24,Доп.расчеты!$A196,'Как будет'!BT$17:BT$24)</f>
        <v>0</v>
      </c>
      <c r="BT196">
        <f>SUMIF('Как будет'!$A$17:$A$24,Доп.расчеты!$A196,'Как будет'!BU$17:BU$24)</f>
        <v>0</v>
      </c>
      <c r="BU196">
        <f>SUMIF('Как будет'!$A$17:$A$24,Доп.расчеты!$A196,'Как будет'!BV$17:BV$24)</f>
        <v>0</v>
      </c>
      <c r="BV196">
        <f>SUMIF('Как будет'!$A$17:$A$24,Доп.расчеты!$A196,'Как будет'!BW$17:BW$24)</f>
        <v>0</v>
      </c>
      <c r="BW196">
        <f>SUMIF('Как будет'!$A$17:$A$24,Доп.расчеты!$A196,'Как будет'!BX$17:BX$24)</f>
        <v>0</v>
      </c>
      <c r="BX196">
        <f>SUMIF('Как будет'!$A$17:$A$24,Доп.расчеты!$A196,'Как будет'!BY$17:BY$24)</f>
        <v>0</v>
      </c>
      <c r="BY196">
        <f>SUMIF('Как будет'!$A$17:$A$24,Доп.расчеты!$A196,'Как будет'!BZ$17:BZ$24)</f>
        <v>0</v>
      </c>
      <c r="BZ196">
        <f>SUMIF('Как будет'!$A$17:$A$24,Доп.расчеты!$A196,'Как будет'!CA$17:CA$24)</f>
        <v>0</v>
      </c>
      <c r="CA196">
        <f>SUMIF('Как будет'!$A$17:$A$24,Доп.расчеты!$A196,'Как будет'!CB$17:CB$24)</f>
        <v>0</v>
      </c>
      <c r="CB196">
        <f>SUMIF('Как будет'!$A$17:$A$24,Доп.расчеты!$A196,'Как будет'!CC$17:CC$24)</f>
        <v>0</v>
      </c>
      <c r="CC196">
        <f>SUMIF('Как будет'!$A$17:$A$24,Доп.расчеты!$A196,'Как будет'!CD$17:CD$24)</f>
        <v>0</v>
      </c>
      <c r="CD196">
        <f>SUMIF('Как будет'!$A$17:$A$24,Доп.расчеты!$A196,'Как будет'!CE$17:CE$24)</f>
        <v>0</v>
      </c>
      <c r="CE196">
        <f>SUMIF('Как будет'!$A$17:$A$24,Доп.расчеты!$A196,'Как будет'!CF$17:CF$24)</f>
        <v>0</v>
      </c>
      <c r="CF196">
        <f>SUMIF('Как будет'!$A$17:$A$24,Доп.расчеты!$A196,'Как будет'!CG$17:CG$24)</f>
        <v>0</v>
      </c>
      <c r="CG196">
        <f>SUMIF('Как будет'!$A$17:$A$24,Доп.расчеты!$A196,'Как будет'!CH$17:CH$24)</f>
        <v>0</v>
      </c>
      <c r="CH196">
        <f>SUMIF('Как будет'!$A$17:$A$24,Доп.расчеты!$A196,'Как будет'!CI$17:CI$24)</f>
        <v>0</v>
      </c>
      <c r="CI196">
        <f>SUMIF('Как будет'!$A$17:$A$24,Доп.расчеты!$A196,'Как будет'!CJ$17:CJ$24)</f>
        <v>0</v>
      </c>
      <c r="CJ196">
        <f>SUMIF('Как будет'!$A$17:$A$24,Доп.расчеты!$A196,'Как будет'!CK$17:CK$24)</f>
        <v>0</v>
      </c>
      <c r="CK196">
        <f>SUMIF('Как будет'!$A$17:$A$24,Доп.расчеты!$A196,'Как будет'!CL$17:CL$24)</f>
        <v>0</v>
      </c>
      <c r="CL196">
        <f>SUMIF('Как будет'!$A$17:$A$24,Доп.расчеты!$A196,'Как будет'!CM$17:CM$24)</f>
        <v>0</v>
      </c>
      <c r="CM196">
        <f>SUMIF('Как будет'!$A$17:$A$24,Доп.расчеты!$A196,'Как будет'!CN$17:CN$24)</f>
        <v>0</v>
      </c>
      <c r="CN196">
        <f>SUMIF('Как будет'!$A$17:$A$24,Доп.расчеты!$A196,'Как будет'!CO$17:CO$24)</f>
        <v>0</v>
      </c>
      <c r="CO196">
        <f>SUMIF('Как будет'!$A$17:$A$24,Доп.расчеты!$A196,'Как будет'!CP$17:CP$24)</f>
        <v>0</v>
      </c>
      <c r="CP196">
        <f>SUMIF('Как будет'!$A$17:$A$24,Доп.расчеты!$A196,'Как будет'!CQ$17:CQ$24)</f>
        <v>0</v>
      </c>
      <c r="CQ196">
        <f>SUMIF('Как будет'!$A$17:$A$24,Доп.расчеты!$A196,'Как будет'!CR$17:CR$24)</f>
        <v>0</v>
      </c>
      <c r="CR196">
        <f>SUMIF('Как будет'!$A$17:$A$24,Доп.расчеты!$A196,'Как будет'!CS$17:CS$24)</f>
        <v>0</v>
      </c>
      <c r="CS196">
        <f>SUMIF('Как будет'!$A$17:$A$24,Доп.расчеты!$A196,'Как будет'!CT$17:CT$24)</f>
        <v>0</v>
      </c>
      <c r="CT196">
        <f>SUMIF('Как будет'!$A$17:$A$24,Доп.расчеты!$A196,'Как будет'!CU$17:CU$24)</f>
        <v>0</v>
      </c>
      <c r="CU196">
        <f>SUMIF('Как будет'!$A$17:$A$24,Доп.расчеты!$A196,'Как будет'!CV$17:CV$24)</f>
        <v>0</v>
      </c>
      <c r="CV196">
        <f>SUMIF('Как будет'!$A$17:$A$24,Доп.расчеты!$A196,'Как будет'!CW$17:CW$24)</f>
        <v>0</v>
      </c>
      <c r="CW196">
        <f>SUMIF('Как будет'!$A$17:$A$24,Доп.расчеты!$A196,'Как будет'!CX$17:CX$24)</f>
        <v>0</v>
      </c>
      <c r="CX196">
        <f>SUMIF('Как будет'!$A$17:$A$24,Доп.расчеты!$A196,'Как будет'!CY$17:CY$24)</f>
        <v>0</v>
      </c>
      <c r="CY196">
        <f>SUMIF('Как будет'!$A$17:$A$24,Доп.расчеты!$A196,'Как будет'!CZ$17:CZ$24)</f>
        <v>0</v>
      </c>
      <c r="CZ196">
        <f>SUMIF('Как будет'!$A$17:$A$24,Доп.расчеты!$A196,'Как будет'!DA$17:DA$24)</f>
        <v>0</v>
      </c>
      <c r="DA196">
        <f>SUMIF('Как будет'!$A$17:$A$24,Доп.расчеты!$A196,'Как будет'!DB$17:DB$24)</f>
        <v>0</v>
      </c>
      <c r="DB196">
        <f>SUMIF('Как будет'!$A$17:$A$24,Доп.расчеты!$A196,'Как будет'!DC$17:DC$24)</f>
        <v>0</v>
      </c>
      <c r="DC196">
        <f>SUMIF('Как будет'!$A$17:$A$24,Доп.расчеты!$A196,'Как будет'!DD$17:DD$24)</f>
        <v>0</v>
      </c>
      <c r="DD196">
        <f>SUMIF('Как будет'!$A$17:$A$24,Доп.расчеты!$A196,'Как будет'!DE$17:DE$24)</f>
        <v>0</v>
      </c>
      <c r="DE196">
        <f>SUMIF('Как будет'!$A$17:$A$24,Доп.расчеты!$A196,'Как будет'!DF$17:DF$24)</f>
        <v>0</v>
      </c>
      <c r="DF196">
        <f>SUMIF('Как будет'!$A$17:$A$24,Доп.расчеты!$A196,'Как будет'!DG$17:DG$24)</f>
        <v>0</v>
      </c>
      <c r="DG196">
        <f>SUMIF('Как будет'!$A$17:$A$24,Доп.расчеты!$A196,'Как будет'!DH$17:DH$24)</f>
        <v>0</v>
      </c>
      <c r="DH196">
        <f>SUMIF('Как будет'!$A$17:$A$24,Доп.расчеты!$A196,'Как будет'!DI$17:DI$24)</f>
        <v>0</v>
      </c>
      <c r="DI196">
        <f>SUMIF('Как будет'!$A$17:$A$24,Доп.расчеты!$A196,'Как будет'!DJ$17:DJ$24)</f>
        <v>0</v>
      </c>
      <c r="DJ196">
        <f>SUMIF('Как будет'!$A$17:$A$24,Доп.расчеты!$A196,'Как будет'!DK$17:DK$24)</f>
        <v>0</v>
      </c>
      <c r="DK196">
        <f>SUMIF('Как будет'!$A$17:$A$24,Доп.расчеты!$A196,'Как будет'!DL$17:DL$24)</f>
        <v>0</v>
      </c>
      <c r="DL196">
        <f>SUMIF('Как будет'!$A$17:$A$24,Доп.расчеты!$A196,'Как будет'!DM$17:DM$24)</f>
        <v>0</v>
      </c>
      <c r="DM196">
        <f>SUMIF('Как будет'!$A$17:$A$24,Доп.расчеты!$A196,'Как будет'!DN$17:DN$24)</f>
        <v>0</v>
      </c>
      <c r="DN196">
        <f>SUMIF('Как будет'!$A$17:$A$24,Доп.расчеты!$A196,'Как будет'!DO$17:DO$24)</f>
        <v>0</v>
      </c>
      <c r="DO196">
        <f>SUMIF('Как будет'!$A$17:$A$24,Доп.расчеты!$A196,'Как будет'!DP$17:DP$24)</f>
        <v>0</v>
      </c>
      <c r="DP196">
        <f>SUMIF('Как будет'!$A$17:$A$24,Доп.расчеты!$A196,'Как будет'!DQ$17:DQ$24)</f>
        <v>0</v>
      </c>
      <c r="DQ196">
        <f>SUMIF('Как будет'!$A$17:$A$24,Доп.расчеты!$A196,'Как будет'!DR$17:DR$24)</f>
        <v>0</v>
      </c>
      <c r="DR196">
        <f>SUMIF('Как будет'!$A$17:$A$24,Доп.расчеты!$A196,'Как будет'!DS$17:DS$24)</f>
        <v>0</v>
      </c>
      <c r="DS196">
        <f>SUMIF('Как будет'!$A$17:$A$24,Доп.расчеты!$A196,'Как будет'!DT$17:DT$24)</f>
        <v>0</v>
      </c>
      <c r="DT196">
        <f>SUMIF('Как будет'!$A$17:$A$24,Доп.расчеты!$A196,'Как будет'!DU$17:DU$24)</f>
        <v>0</v>
      </c>
      <c r="DU196">
        <f>SUMIF('Как будет'!$A$17:$A$24,Доп.расчеты!$A196,'Как будет'!DV$17:DV$24)</f>
        <v>0</v>
      </c>
      <c r="DV196">
        <f>SUMIF('Как будет'!$A$17:$A$24,Доп.расчеты!$A196,'Как будет'!DW$17:DW$24)</f>
        <v>0</v>
      </c>
      <c r="DW196">
        <f>SUMIF('Как будет'!$A$17:$A$24,Доп.расчеты!$A196,'Как будет'!DX$17:DX$24)</f>
        <v>0</v>
      </c>
      <c r="DX196">
        <f>SUMIF('Как будет'!$A$17:$A$24,Доп.расчеты!$A196,'Как будет'!DY$17:DY$24)</f>
        <v>0</v>
      </c>
      <c r="DY196">
        <f>SUMIF('Как будет'!$A$17:$A$24,Доп.расчеты!$A196,'Как будет'!DZ$17:DZ$24)</f>
        <v>0</v>
      </c>
      <c r="DZ196">
        <f>SUMIF('Как будет'!$A$17:$A$24,Доп.расчеты!$A196,'Как будет'!EA$17:EA$24)</f>
        <v>0</v>
      </c>
      <c r="EA196">
        <f>SUMIF('Как будет'!$A$17:$A$24,Доп.расчеты!$A196,'Как будет'!EB$17:EB$24)</f>
        <v>0</v>
      </c>
      <c r="EB196">
        <f>SUMIF('Как будет'!$A$17:$A$24,Доп.расчеты!$A196,'Как будет'!EC$17:EC$24)</f>
        <v>0</v>
      </c>
      <c r="EC196">
        <f>SUMIF('Как будет'!$A$17:$A$24,Доп.расчеты!$A196,'Как будет'!ED$17:ED$24)</f>
        <v>0</v>
      </c>
      <c r="ED196">
        <f>SUMIF('Как будет'!$A$17:$A$24,Доп.расчеты!$A196,'Как будет'!EE$17:EE$24)</f>
        <v>0</v>
      </c>
      <c r="EE196">
        <f>SUMIF('Как будет'!$A$17:$A$24,Доп.расчеты!$A196,'Как будет'!EF$17:EF$24)</f>
        <v>0</v>
      </c>
      <c r="EF196">
        <f>SUMIF('Как будет'!$A$17:$A$24,Доп.расчеты!$A196,'Как будет'!EG$17:EG$24)</f>
        <v>0</v>
      </c>
      <c r="EG196">
        <f>SUMIF('Как будет'!$A$17:$A$24,Доп.расчеты!$A196,'Как будет'!EH$17:EH$24)</f>
        <v>0</v>
      </c>
      <c r="EH196">
        <f>SUMIF('Как будет'!$A$17:$A$24,Доп.расчеты!$A196,'Как будет'!EI$17:EI$24)</f>
        <v>0</v>
      </c>
      <c r="EI196">
        <f>SUMIF('Как будет'!$A$17:$A$24,Доп.расчеты!$A196,'Как будет'!EJ$17:EJ$24)</f>
        <v>0</v>
      </c>
      <c r="EJ196">
        <f>SUMIF('Как будет'!$A$17:$A$24,Доп.расчеты!$A196,'Как будет'!EK$17:EK$24)</f>
        <v>0</v>
      </c>
      <c r="EK196">
        <f>SUMIF('Как будет'!$A$17:$A$24,Доп.расчеты!$A196,'Как будет'!EL$17:EL$24)</f>
        <v>0</v>
      </c>
      <c r="EL196">
        <f>SUMIF('Как будет'!$A$17:$A$24,Доп.расчеты!$A196,'Как будет'!EM$17:EM$24)</f>
        <v>0</v>
      </c>
      <c r="EM196">
        <f>SUMIF('Как будет'!$A$17:$A$24,Доп.расчеты!$A196,'Как будет'!EN$17:EN$24)</f>
        <v>0</v>
      </c>
      <c r="EN196">
        <f>SUMIF('Как будет'!$A$17:$A$24,Доп.расчеты!$A196,'Как будет'!EO$17:EO$24)</f>
        <v>0</v>
      </c>
      <c r="EO196">
        <f>SUMIF('Как будет'!$A$17:$A$24,Доп.расчеты!$A196,'Как будет'!EP$17:EP$24)</f>
        <v>0</v>
      </c>
      <c r="EP196">
        <f>SUMIF('Как будет'!$A$17:$A$24,Доп.расчеты!$A196,'Как будет'!EQ$17:EQ$24)</f>
        <v>0</v>
      </c>
      <c r="EQ196">
        <f>SUMIF('Как будет'!$A$17:$A$24,Доп.расчеты!$A196,'Как будет'!ER$17:ER$24)</f>
        <v>0</v>
      </c>
      <c r="ER196">
        <f>SUMIF('Как будет'!$A$17:$A$24,Доп.расчеты!$A196,'Как будет'!ES$17:ES$24)</f>
        <v>0</v>
      </c>
      <c r="ES196">
        <f>SUMIF('Как будет'!$A$17:$A$24,Доп.расчеты!$A196,'Как будет'!ET$17:ET$24)</f>
        <v>0</v>
      </c>
      <c r="ET196">
        <f>SUMIF('Как будет'!$A$17:$A$24,Доп.расчеты!$A196,'Как будет'!EU$17:EU$24)</f>
        <v>0</v>
      </c>
      <c r="EU196">
        <f>SUMIF('Как будет'!$A$17:$A$24,Доп.расчеты!$A196,'Как будет'!EV$17:EV$24)</f>
        <v>0</v>
      </c>
      <c r="EV196">
        <f>SUMIF('Как будет'!$A$17:$A$24,Доп.расчеты!$A196,'Как будет'!EW$17:EW$24)</f>
        <v>0</v>
      </c>
      <c r="EW196">
        <f>SUMIF('Как будет'!$A$17:$A$24,Доп.расчеты!$A196,'Как будет'!EX$17:EX$24)</f>
        <v>0</v>
      </c>
      <c r="EX196">
        <f>SUMIF('Как будет'!$A$17:$A$24,Доп.расчеты!$A196,'Как будет'!EY$17:EY$24)</f>
        <v>0</v>
      </c>
      <c r="EY196">
        <f>SUMIF('Как будет'!$A$17:$A$24,Доп.расчеты!$A196,'Как будет'!EZ$17:EZ$24)</f>
        <v>0</v>
      </c>
      <c r="EZ196">
        <f>SUMIF('Как будет'!$A$17:$A$24,Доп.расчеты!$A196,'Как будет'!FA$17:FA$24)</f>
        <v>0</v>
      </c>
      <c r="FA196">
        <f>SUMIF('Как будет'!$A$17:$A$24,Доп.расчеты!$A196,'Как будет'!FB$17:FB$24)</f>
        <v>0</v>
      </c>
      <c r="FB196">
        <f>SUMIF('Как будет'!$A$17:$A$24,Доп.расчеты!$A196,'Как будет'!FC$17:FC$24)</f>
        <v>0</v>
      </c>
      <c r="FC196">
        <f>SUMIF('Как будет'!$A$17:$A$24,Доп.расчеты!$A196,'Как будет'!FD$17:FD$24)</f>
        <v>0</v>
      </c>
      <c r="FD196">
        <f>SUMIF('Как будет'!$A$17:$A$24,Доп.расчеты!$A196,'Как будет'!FE$17:FE$24)</f>
        <v>0</v>
      </c>
      <c r="FE196">
        <f>SUMIF('Как будет'!$A$17:$A$24,Доп.расчеты!$A196,'Как будет'!FF$17:FF$24)</f>
        <v>0</v>
      </c>
      <c r="FF196">
        <f>SUMIF('Как будет'!$A$17:$A$24,Доп.расчеты!$A196,'Как будет'!FG$17:FG$24)</f>
        <v>0</v>
      </c>
      <c r="FG196">
        <f>SUMIF('Как будет'!$A$17:$A$24,Доп.расчеты!$A196,'Как будет'!FH$17:FH$24)</f>
        <v>0</v>
      </c>
      <c r="FH196">
        <f>SUMIF('Как будет'!$A$17:$A$24,Доп.расчеты!$A196,'Как будет'!FI$17:FI$24)</f>
        <v>0</v>
      </c>
      <c r="FI196">
        <f>SUMIF('Как будет'!$A$17:$A$24,Доп.расчеты!$A196,'Как будет'!FJ$17:FJ$24)</f>
        <v>0</v>
      </c>
      <c r="FJ196">
        <f>SUMIF('Как будет'!$A$17:$A$24,Доп.расчеты!$A196,'Как будет'!FK$17:FK$24)</f>
        <v>0</v>
      </c>
      <c r="FK196">
        <f>SUMIF('Как будет'!$A$17:$A$24,Доп.расчеты!$A196,'Как будет'!FL$17:FL$24)</f>
        <v>0</v>
      </c>
      <c r="FL196">
        <f>SUMIF('Как будет'!$A$17:$A$24,Доп.расчеты!$A196,'Как будет'!FM$17:FM$24)</f>
        <v>0</v>
      </c>
      <c r="FM196">
        <f>SUMIF('Как будет'!$A$17:$A$24,Доп.расчеты!$A196,'Как будет'!FN$17:FN$24)</f>
        <v>0</v>
      </c>
      <c r="FN196">
        <f>SUMIF('Как будет'!$A$17:$A$24,Доп.расчеты!$A196,'Как будет'!FO$17:FO$24)</f>
        <v>0</v>
      </c>
      <c r="FO196">
        <f>SUMIF('Как будет'!$A$17:$A$24,Доп.расчеты!$A196,'Как будет'!FP$17:FP$24)</f>
        <v>0</v>
      </c>
      <c r="FP196">
        <f>SUMIF('Как будет'!$A$17:$A$24,Доп.расчеты!$A196,'Как будет'!FQ$17:FQ$24)</f>
        <v>0</v>
      </c>
      <c r="FQ196">
        <f>SUMIF('Как будет'!$A$17:$A$24,Доп.расчеты!$A196,'Как будет'!FR$17:FR$24)</f>
        <v>0</v>
      </c>
      <c r="FR196">
        <f>SUMIF('Как будет'!$A$17:$A$24,Доп.расчеты!$A196,'Как будет'!FS$17:FS$24)</f>
        <v>0</v>
      </c>
      <c r="FS196">
        <f>SUMIF('Как будет'!$A$17:$A$24,Доп.расчеты!$A196,'Как будет'!FT$17:FT$24)</f>
        <v>0</v>
      </c>
      <c r="FT196">
        <f>SUMIF('Как будет'!$A$17:$A$24,Доп.расчеты!$A196,'Как будет'!FU$17:FU$24)</f>
        <v>0</v>
      </c>
      <c r="FU196">
        <f>SUMIF('Как будет'!$A$17:$A$24,Доп.расчеты!$A196,'Как будет'!FV$17:FV$24)</f>
        <v>0</v>
      </c>
      <c r="FV196">
        <f>SUMIF('Как будет'!$A$17:$A$24,Доп.расчеты!$A196,'Как будет'!FW$17:FW$24)</f>
        <v>0</v>
      </c>
      <c r="FW196">
        <f>SUMIF('Как будет'!$A$17:$A$24,Доп.расчеты!$A196,'Как будет'!FX$17:FX$24)</f>
        <v>0</v>
      </c>
      <c r="FX196">
        <f>SUMIF('Как будет'!$A$17:$A$24,Доп.расчеты!$A196,'Как будет'!FY$17:FY$24)</f>
        <v>0</v>
      </c>
      <c r="FY196">
        <f>SUMIF('Как будет'!$A$17:$A$24,Доп.расчеты!$A196,'Как будет'!FZ$17:FZ$24)</f>
        <v>0</v>
      </c>
      <c r="FZ196">
        <f>SUMIF('Как будет'!$A$17:$A$24,Доп.расчеты!$A196,'Как будет'!GA$17:GA$24)</f>
        <v>0</v>
      </c>
      <c r="GA196">
        <f>SUMIF('Как будет'!$A$17:$A$24,Доп.расчеты!$A196,'Как будет'!GB$17:GB$24)</f>
        <v>0</v>
      </c>
      <c r="GB196">
        <f>SUMIF('Как будет'!$A$17:$A$24,Доп.расчеты!$A196,'Как будет'!GC$17:GC$24)</f>
        <v>0</v>
      </c>
      <c r="GC196">
        <f>SUMIF('Как будет'!$A$17:$A$24,Доп.расчеты!$A196,'Как будет'!GD$17:GD$24)</f>
        <v>0</v>
      </c>
      <c r="GD196">
        <f>SUMIF('Как будет'!$A$17:$A$24,Доп.расчеты!$A196,'Как будет'!GE$17:GE$24)</f>
        <v>0</v>
      </c>
      <c r="GE196">
        <f>SUMIF('Как будет'!$A$17:$A$24,Доп.расчеты!$A196,'Как будет'!GF$17:GF$24)</f>
        <v>0</v>
      </c>
      <c r="GF196">
        <f>SUMIF('Как будет'!$A$17:$A$24,Доп.расчеты!$A196,'Как будет'!GG$17:GG$24)</f>
        <v>0</v>
      </c>
      <c r="GG196">
        <f>SUMIF('Как будет'!$A$17:$A$24,Доп.расчеты!$A196,'Как будет'!GH$17:GH$24)</f>
        <v>0</v>
      </c>
      <c r="GH196">
        <f>SUMIF('Как будет'!$A$17:$A$24,Доп.расчеты!$A196,'Как будет'!GI$17:GI$24)</f>
        <v>0</v>
      </c>
      <c r="GI196">
        <f>SUMIF('Как будет'!$A$17:$A$24,Доп.расчеты!$A196,'Как будет'!GJ$17:GJ$24)</f>
        <v>0</v>
      </c>
      <c r="GJ196">
        <f>SUMIF('Как будет'!$A$17:$A$24,Доп.расчеты!$A196,'Как будет'!GK$17:GK$24)</f>
        <v>0</v>
      </c>
      <c r="GK196">
        <f>SUMIF('Как будет'!$A$17:$A$24,Доп.расчеты!$A196,'Как будет'!GL$17:GL$24)</f>
        <v>0</v>
      </c>
      <c r="GL196">
        <f>SUMIF('Как будет'!$A$17:$A$24,Доп.расчеты!$A196,'Как будет'!GM$17:GM$24)</f>
        <v>0</v>
      </c>
      <c r="GM196">
        <f>SUMIF('Как будет'!$A$17:$A$24,Доп.расчеты!$A196,'Как будет'!GN$17:GN$24)</f>
        <v>0</v>
      </c>
      <c r="GN196">
        <f>SUMIF('Как будет'!$A$17:$A$24,Доп.расчеты!$A196,'Как будет'!GO$17:GO$24)</f>
        <v>0</v>
      </c>
      <c r="GO196">
        <f>SUMIF('Как будет'!$A$17:$A$24,Доп.расчеты!$A196,'Как будет'!GP$17:GP$24)</f>
        <v>0</v>
      </c>
      <c r="GP196">
        <f>SUMIF('Как будет'!$A$17:$A$24,Доп.расчеты!$A196,'Как будет'!GQ$17:GQ$24)</f>
        <v>0</v>
      </c>
      <c r="GQ196">
        <f>SUMIF('Как будет'!$A$17:$A$24,Доп.расчеты!$A196,'Как будет'!GR$17:GR$24)</f>
        <v>0</v>
      </c>
      <c r="GR196">
        <f>SUMIF('Как будет'!$A$17:$A$24,Доп.расчеты!$A196,'Как будет'!GS$17:GS$24)</f>
        <v>0</v>
      </c>
      <c r="GS196">
        <f>SUMIF('Как будет'!$A$17:$A$24,Доп.расчеты!$A196,'Как будет'!GT$17:GT$24)</f>
        <v>0</v>
      </c>
      <c r="GT196">
        <f>SUMIF('Как будет'!$A$17:$A$24,Доп.расчеты!$A196,'Как будет'!GU$17:GU$24)</f>
        <v>0</v>
      </c>
    </row>
    <row r="197" spans="1:202">
      <c r="A197" s="238" t="s">
        <v>92</v>
      </c>
      <c r="B197">
        <f>SUMIF('Как будет'!$A$17:$A$24,Доп.расчеты!$A197,'Как будет'!C$17:C$24)</f>
        <v>0</v>
      </c>
      <c r="C197">
        <f>SUMIF('Как будет'!$A$17:$A$24,Доп.расчеты!$A197,'Как будет'!D$17:D$24)</f>
        <v>0</v>
      </c>
      <c r="D197">
        <f>SUMIF('Как будет'!$A$17:$A$24,Доп.расчеты!$A197,'Как будет'!E$17:E$24)</f>
        <v>0</v>
      </c>
      <c r="E197">
        <f>SUMIF('Как будет'!$A$17:$A$24,Доп.расчеты!$A197,'Как будет'!F$17:F$24)</f>
        <v>0</v>
      </c>
      <c r="F197">
        <f>SUMIF('Как будет'!$A$17:$A$24,Доп.расчеты!$A197,'Как будет'!G$17:G$24)</f>
        <v>0</v>
      </c>
      <c r="G197">
        <f>SUMIF('Как будет'!$A$17:$A$24,Доп.расчеты!$A197,'Как будет'!H$17:H$24)</f>
        <v>0</v>
      </c>
      <c r="H197">
        <f>SUMIF('Как будет'!$A$17:$A$24,Доп.расчеты!$A197,'Как будет'!I$17:I$24)</f>
        <v>0</v>
      </c>
      <c r="I197">
        <f>SUMIF('Как будет'!$A$17:$A$24,Доп.расчеты!$A197,'Как будет'!J$17:J$24)</f>
        <v>0</v>
      </c>
      <c r="J197">
        <f>SUMIF('Как будет'!$A$17:$A$24,Доп.расчеты!$A197,'Как будет'!K$17:K$24)</f>
        <v>0</v>
      </c>
      <c r="K197">
        <f>SUMIF('Как будет'!$A$17:$A$24,Доп.расчеты!$A197,'Как будет'!L$17:L$24)</f>
        <v>0</v>
      </c>
      <c r="L197">
        <f>SUMIF('Как будет'!$A$17:$A$24,Доп.расчеты!$A197,'Как будет'!M$17:M$24)</f>
        <v>0</v>
      </c>
      <c r="M197">
        <f>SUMIF('Как будет'!$A$17:$A$24,Доп.расчеты!$A197,'Как будет'!N$17:N$24)</f>
        <v>0</v>
      </c>
      <c r="N197">
        <f>SUMIF('Как будет'!$A$17:$A$24,Доп.расчеты!$A197,'Как будет'!O$17:O$24)</f>
        <v>0</v>
      </c>
      <c r="O197">
        <f>SUMIF('Как будет'!$A$17:$A$24,Доп.расчеты!$A197,'Как будет'!P$17:P$24)</f>
        <v>0</v>
      </c>
      <c r="P197">
        <f>SUMIF('Как будет'!$A$17:$A$24,Доп.расчеты!$A197,'Как будет'!Q$17:Q$24)</f>
        <v>0</v>
      </c>
      <c r="Q197">
        <f>SUMIF('Как будет'!$A$17:$A$24,Доп.расчеты!$A197,'Как будет'!R$17:R$24)</f>
        <v>0</v>
      </c>
      <c r="R197">
        <f>SUMIF('Как будет'!$A$17:$A$24,Доп.расчеты!$A197,'Как будет'!S$17:S$24)</f>
        <v>0</v>
      </c>
      <c r="S197">
        <f>SUMIF('Как будет'!$A$17:$A$24,Доп.расчеты!$A197,'Как будет'!T$17:T$24)</f>
        <v>0</v>
      </c>
      <c r="T197">
        <f>SUMIF('Как будет'!$A$17:$A$24,Доп.расчеты!$A197,'Как будет'!U$17:U$24)</f>
        <v>0</v>
      </c>
      <c r="U197">
        <f>SUMIF('Как будет'!$A$17:$A$24,Доп.расчеты!$A197,'Как будет'!V$17:V$24)</f>
        <v>0</v>
      </c>
      <c r="V197">
        <f>SUMIF('Как будет'!$A$17:$A$24,Доп.расчеты!$A197,'Как будет'!W$17:W$24)</f>
        <v>0</v>
      </c>
      <c r="W197">
        <f>SUMIF('Как будет'!$A$17:$A$24,Доп.расчеты!$A197,'Как будет'!X$17:X$24)</f>
        <v>0</v>
      </c>
      <c r="X197">
        <f>SUMIF('Как будет'!$A$17:$A$24,Доп.расчеты!$A197,'Как будет'!Y$17:Y$24)</f>
        <v>0</v>
      </c>
      <c r="Y197">
        <f>SUMIF('Как будет'!$A$17:$A$24,Доп.расчеты!$A197,'Как будет'!Z$17:Z$24)</f>
        <v>0</v>
      </c>
      <c r="Z197">
        <f>SUMIF('Как будет'!$A$17:$A$24,Доп.расчеты!$A197,'Как будет'!AA$17:AA$24)</f>
        <v>0</v>
      </c>
      <c r="AA197">
        <f>SUMIF('Как будет'!$A$17:$A$24,Доп.расчеты!$A197,'Как будет'!AB$17:AB$24)</f>
        <v>0</v>
      </c>
      <c r="AB197">
        <f>SUMIF('Как будет'!$A$17:$A$24,Доп.расчеты!$A197,'Как будет'!AC$17:AC$24)</f>
        <v>0</v>
      </c>
      <c r="AC197">
        <f>SUMIF('Как будет'!$A$17:$A$24,Доп.расчеты!$A197,'Как будет'!AD$17:AD$24)</f>
        <v>0</v>
      </c>
      <c r="AD197">
        <f>SUMIF('Как будет'!$A$17:$A$24,Доп.расчеты!$A197,'Как будет'!AE$17:AE$24)</f>
        <v>0</v>
      </c>
      <c r="AE197">
        <f>SUMIF('Как будет'!$A$17:$A$24,Доп.расчеты!$A197,'Как будет'!AF$17:AF$24)</f>
        <v>0</v>
      </c>
      <c r="AF197">
        <f>SUMIF('Как будет'!$A$17:$A$24,Доп.расчеты!$A197,'Как будет'!AG$17:AG$24)</f>
        <v>0</v>
      </c>
      <c r="AG197">
        <f>SUMIF('Как будет'!$A$17:$A$24,Доп.расчеты!$A197,'Как будет'!AH$17:AH$24)</f>
        <v>0</v>
      </c>
      <c r="AH197">
        <f>SUMIF('Как будет'!$A$17:$A$24,Доп.расчеты!$A197,'Как будет'!AI$17:AI$24)</f>
        <v>0</v>
      </c>
      <c r="AI197">
        <f>SUMIF('Как будет'!$A$17:$A$24,Доп.расчеты!$A197,'Как будет'!AJ$17:AJ$24)</f>
        <v>0</v>
      </c>
      <c r="AJ197">
        <f>SUMIF('Как будет'!$A$17:$A$24,Доп.расчеты!$A197,'Как будет'!AK$17:AK$24)</f>
        <v>0</v>
      </c>
      <c r="AK197">
        <f>SUMIF('Как будет'!$A$17:$A$24,Доп.расчеты!$A197,'Как будет'!AL$17:AL$24)</f>
        <v>0</v>
      </c>
      <c r="AL197">
        <f>SUMIF('Как будет'!$A$17:$A$24,Доп.расчеты!$A197,'Как будет'!AM$17:AM$24)</f>
        <v>0</v>
      </c>
      <c r="AM197">
        <f>SUMIF('Как будет'!$A$17:$A$24,Доп.расчеты!$A197,'Как будет'!AN$17:AN$24)</f>
        <v>0</v>
      </c>
      <c r="AN197">
        <f>SUMIF('Как будет'!$A$17:$A$24,Доп.расчеты!$A197,'Как будет'!AO$17:AO$24)</f>
        <v>0</v>
      </c>
      <c r="AO197">
        <f>SUMIF('Как будет'!$A$17:$A$24,Доп.расчеты!$A197,'Как будет'!AP$17:AP$24)</f>
        <v>0</v>
      </c>
      <c r="AP197">
        <f>SUMIF('Как будет'!$A$17:$A$24,Доп.расчеты!$A197,'Как будет'!AQ$17:AQ$24)</f>
        <v>0</v>
      </c>
      <c r="AQ197">
        <f>SUMIF('Как будет'!$A$17:$A$24,Доп.расчеты!$A197,'Как будет'!AR$17:AR$24)</f>
        <v>0</v>
      </c>
      <c r="AR197">
        <f>SUMIF('Как будет'!$A$17:$A$24,Доп.расчеты!$A197,'Как будет'!AS$17:AS$24)</f>
        <v>0</v>
      </c>
      <c r="AS197">
        <f>SUMIF('Как будет'!$A$17:$A$24,Доп.расчеты!$A197,'Как будет'!AT$17:AT$24)</f>
        <v>0</v>
      </c>
      <c r="AT197">
        <f>SUMIF('Как будет'!$A$17:$A$24,Доп.расчеты!$A197,'Как будет'!AU$17:AU$24)</f>
        <v>0</v>
      </c>
      <c r="AU197">
        <f>SUMIF('Как будет'!$A$17:$A$24,Доп.расчеты!$A197,'Как будет'!AV$17:AV$24)</f>
        <v>0</v>
      </c>
      <c r="AV197">
        <f>SUMIF('Как будет'!$A$17:$A$24,Доп.расчеты!$A197,'Как будет'!AW$17:AW$24)</f>
        <v>0</v>
      </c>
      <c r="AW197">
        <f>SUMIF('Как будет'!$A$17:$A$24,Доп.расчеты!$A197,'Как будет'!AX$17:AX$24)</f>
        <v>0</v>
      </c>
      <c r="AX197">
        <f>SUMIF('Как будет'!$A$17:$A$24,Доп.расчеты!$A197,'Как будет'!AY$17:AY$24)</f>
        <v>0</v>
      </c>
      <c r="AY197">
        <f>SUMIF('Как будет'!$A$17:$A$24,Доп.расчеты!$A197,'Как будет'!AZ$17:AZ$24)</f>
        <v>0</v>
      </c>
      <c r="AZ197">
        <f>SUMIF('Как будет'!$A$17:$A$24,Доп.расчеты!$A197,'Как будет'!BA$17:BA$24)</f>
        <v>0</v>
      </c>
      <c r="BA197">
        <f>SUMIF('Как будет'!$A$17:$A$24,Доп.расчеты!$A197,'Как будет'!BB$17:BB$24)</f>
        <v>0</v>
      </c>
      <c r="BB197">
        <f>SUMIF('Как будет'!$A$17:$A$24,Доп.расчеты!$A197,'Как будет'!BC$17:BC$24)</f>
        <v>0</v>
      </c>
      <c r="BC197">
        <f>SUMIF('Как будет'!$A$17:$A$24,Доп.расчеты!$A197,'Как будет'!BD$17:BD$24)</f>
        <v>0</v>
      </c>
      <c r="BD197">
        <f>SUMIF('Как будет'!$A$17:$A$24,Доп.расчеты!$A197,'Как будет'!BE$17:BE$24)</f>
        <v>0</v>
      </c>
      <c r="BE197">
        <f>SUMIF('Как будет'!$A$17:$A$24,Доп.расчеты!$A197,'Как будет'!BF$17:BF$24)</f>
        <v>0</v>
      </c>
      <c r="BF197">
        <f>SUMIF('Как будет'!$A$17:$A$24,Доп.расчеты!$A197,'Как будет'!BG$17:BG$24)</f>
        <v>0</v>
      </c>
      <c r="BG197">
        <f>SUMIF('Как будет'!$A$17:$A$24,Доп.расчеты!$A197,'Как будет'!BH$17:BH$24)</f>
        <v>0</v>
      </c>
      <c r="BH197">
        <f>SUMIF('Как будет'!$A$17:$A$24,Доп.расчеты!$A197,'Как будет'!BI$17:BI$24)</f>
        <v>0</v>
      </c>
      <c r="BI197">
        <f>SUMIF('Как будет'!$A$17:$A$24,Доп.расчеты!$A197,'Как будет'!BJ$17:BJ$24)</f>
        <v>0</v>
      </c>
      <c r="BJ197">
        <f>SUMIF('Как будет'!$A$17:$A$24,Доп.расчеты!$A197,'Как будет'!BK$17:BK$24)</f>
        <v>0</v>
      </c>
      <c r="BK197">
        <f>SUMIF('Как будет'!$A$17:$A$24,Доп.расчеты!$A197,'Как будет'!BL$17:BL$24)</f>
        <v>0</v>
      </c>
      <c r="BL197">
        <f>SUMIF('Как будет'!$A$17:$A$24,Доп.расчеты!$A197,'Как будет'!BM$17:BM$24)</f>
        <v>0</v>
      </c>
      <c r="BM197">
        <f>SUMIF('Как будет'!$A$17:$A$24,Доп.расчеты!$A197,'Как будет'!BN$17:BN$24)</f>
        <v>0</v>
      </c>
      <c r="BN197">
        <f>SUMIF('Как будет'!$A$17:$A$24,Доп.расчеты!$A197,'Как будет'!BO$17:BO$24)</f>
        <v>0</v>
      </c>
      <c r="BO197">
        <f>SUMIF('Как будет'!$A$17:$A$24,Доп.расчеты!$A197,'Как будет'!BP$17:BP$24)</f>
        <v>0</v>
      </c>
      <c r="BP197">
        <f>SUMIF('Как будет'!$A$17:$A$24,Доп.расчеты!$A197,'Как будет'!BQ$17:BQ$24)</f>
        <v>0</v>
      </c>
      <c r="BQ197">
        <f>SUMIF('Как будет'!$A$17:$A$24,Доп.расчеты!$A197,'Как будет'!BR$17:BR$24)</f>
        <v>0</v>
      </c>
      <c r="BR197">
        <f>SUMIF('Как будет'!$A$17:$A$24,Доп.расчеты!$A197,'Как будет'!BS$17:BS$24)</f>
        <v>0</v>
      </c>
      <c r="BS197">
        <f>SUMIF('Как будет'!$A$17:$A$24,Доп.расчеты!$A197,'Как будет'!BT$17:BT$24)</f>
        <v>0</v>
      </c>
      <c r="BT197">
        <f>SUMIF('Как будет'!$A$17:$A$24,Доп.расчеты!$A197,'Как будет'!BU$17:BU$24)</f>
        <v>0</v>
      </c>
      <c r="BU197">
        <f>SUMIF('Как будет'!$A$17:$A$24,Доп.расчеты!$A197,'Как будет'!BV$17:BV$24)</f>
        <v>0</v>
      </c>
      <c r="BV197">
        <f>SUMIF('Как будет'!$A$17:$A$24,Доп.расчеты!$A197,'Как будет'!BW$17:BW$24)</f>
        <v>0</v>
      </c>
      <c r="BW197">
        <f>SUMIF('Как будет'!$A$17:$A$24,Доп.расчеты!$A197,'Как будет'!BX$17:BX$24)</f>
        <v>0</v>
      </c>
      <c r="BX197">
        <f>SUMIF('Как будет'!$A$17:$A$24,Доп.расчеты!$A197,'Как будет'!BY$17:BY$24)</f>
        <v>0</v>
      </c>
      <c r="BY197">
        <f>SUMIF('Как будет'!$A$17:$A$24,Доп.расчеты!$A197,'Как будет'!BZ$17:BZ$24)</f>
        <v>0</v>
      </c>
      <c r="BZ197">
        <f>SUMIF('Как будет'!$A$17:$A$24,Доп.расчеты!$A197,'Как будет'!CA$17:CA$24)</f>
        <v>0</v>
      </c>
      <c r="CA197">
        <f>SUMIF('Как будет'!$A$17:$A$24,Доп.расчеты!$A197,'Как будет'!CB$17:CB$24)</f>
        <v>0</v>
      </c>
      <c r="CB197">
        <f>SUMIF('Как будет'!$A$17:$A$24,Доп.расчеты!$A197,'Как будет'!CC$17:CC$24)</f>
        <v>0</v>
      </c>
      <c r="CC197">
        <f>SUMIF('Как будет'!$A$17:$A$24,Доп.расчеты!$A197,'Как будет'!CD$17:CD$24)</f>
        <v>0</v>
      </c>
      <c r="CD197">
        <f>SUMIF('Как будет'!$A$17:$A$24,Доп.расчеты!$A197,'Как будет'!CE$17:CE$24)</f>
        <v>0</v>
      </c>
      <c r="CE197">
        <f>SUMIF('Как будет'!$A$17:$A$24,Доп.расчеты!$A197,'Как будет'!CF$17:CF$24)</f>
        <v>0</v>
      </c>
      <c r="CF197">
        <f>SUMIF('Как будет'!$A$17:$A$24,Доп.расчеты!$A197,'Как будет'!CG$17:CG$24)</f>
        <v>0</v>
      </c>
      <c r="CG197">
        <f>SUMIF('Как будет'!$A$17:$A$24,Доп.расчеты!$A197,'Как будет'!CH$17:CH$24)</f>
        <v>0</v>
      </c>
      <c r="CH197">
        <f>SUMIF('Как будет'!$A$17:$A$24,Доп.расчеты!$A197,'Как будет'!CI$17:CI$24)</f>
        <v>0</v>
      </c>
      <c r="CI197">
        <f>SUMIF('Как будет'!$A$17:$A$24,Доп.расчеты!$A197,'Как будет'!CJ$17:CJ$24)</f>
        <v>0</v>
      </c>
      <c r="CJ197">
        <f>SUMIF('Как будет'!$A$17:$A$24,Доп.расчеты!$A197,'Как будет'!CK$17:CK$24)</f>
        <v>0</v>
      </c>
      <c r="CK197">
        <f>SUMIF('Как будет'!$A$17:$A$24,Доп.расчеты!$A197,'Как будет'!CL$17:CL$24)</f>
        <v>0</v>
      </c>
      <c r="CL197">
        <f>SUMIF('Как будет'!$A$17:$A$24,Доп.расчеты!$A197,'Как будет'!CM$17:CM$24)</f>
        <v>0</v>
      </c>
      <c r="CM197">
        <f>SUMIF('Как будет'!$A$17:$A$24,Доп.расчеты!$A197,'Как будет'!CN$17:CN$24)</f>
        <v>0</v>
      </c>
      <c r="CN197">
        <f>SUMIF('Как будет'!$A$17:$A$24,Доп.расчеты!$A197,'Как будет'!CO$17:CO$24)</f>
        <v>0</v>
      </c>
      <c r="CO197">
        <f>SUMIF('Как будет'!$A$17:$A$24,Доп.расчеты!$A197,'Как будет'!CP$17:CP$24)</f>
        <v>0</v>
      </c>
      <c r="CP197">
        <f>SUMIF('Как будет'!$A$17:$A$24,Доп.расчеты!$A197,'Как будет'!CQ$17:CQ$24)</f>
        <v>0</v>
      </c>
      <c r="CQ197">
        <f>SUMIF('Как будет'!$A$17:$A$24,Доп.расчеты!$A197,'Как будет'!CR$17:CR$24)</f>
        <v>0</v>
      </c>
      <c r="CR197">
        <f>SUMIF('Как будет'!$A$17:$A$24,Доп.расчеты!$A197,'Как будет'!CS$17:CS$24)</f>
        <v>0</v>
      </c>
      <c r="CS197">
        <f>SUMIF('Как будет'!$A$17:$A$24,Доп.расчеты!$A197,'Как будет'!CT$17:CT$24)</f>
        <v>0</v>
      </c>
      <c r="CT197">
        <f>SUMIF('Как будет'!$A$17:$A$24,Доп.расчеты!$A197,'Как будет'!CU$17:CU$24)</f>
        <v>0</v>
      </c>
      <c r="CU197">
        <f>SUMIF('Как будет'!$A$17:$A$24,Доп.расчеты!$A197,'Как будет'!CV$17:CV$24)</f>
        <v>0</v>
      </c>
      <c r="CV197">
        <f>SUMIF('Как будет'!$A$17:$A$24,Доп.расчеты!$A197,'Как будет'!CW$17:CW$24)</f>
        <v>0</v>
      </c>
      <c r="CW197">
        <f>SUMIF('Как будет'!$A$17:$A$24,Доп.расчеты!$A197,'Как будет'!CX$17:CX$24)</f>
        <v>0</v>
      </c>
      <c r="CX197">
        <f>SUMIF('Как будет'!$A$17:$A$24,Доп.расчеты!$A197,'Как будет'!CY$17:CY$24)</f>
        <v>0</v>
      </c>
      <c r="CY197">
        <f>SUMIF('Как будет'!$A$17:$A$24,Доп.расчеты!$A197,'Как будет'!CZ$17:CZ$24)</f>
        <v>0</v>
      </c>
      <c r="CZ197">
        <f>SUMIF('Как будет'!$A$17:$A$24,Доп.расчеты!$A197,'Как будет'!DA$17:DA$24)</f>
        <v>0</v>
      </c>
      <c r="DA197">
        <f>SUMIF('Как будет'!$A$17:$A$24,Доп.расчеты!$A197,'Как будет'!DB$17:DB$24)</f>
        <v>0</v>
      </c>
      <c r="DB197">
        <f>SUMIF('Как будет'!$A$17:$A$24,Доп.расчеты!$A197,'Как будет'!DC$17:DC$24)</f>
        <v>0</v>
      </c>
      <c r="DC197">
        <f>SUMIF('Как будет'!$A$17:$A$24,Доп.расчеты!$A197,'Как будет'!DD$17:DD$24)</f>
        <v>0</v>
      </c>
      <c r="DD197">
        <f>SUMIF('Как будет'!$A$17:$A$24,Доп.расчеты!$A197,'Как будет'!DE$17:DE$24)</f>
        <v>0</v>
      </c>
      <c r="DE197">
        <f>SUMIF('Как будет'!$A$17:$A$24,Доп.расчеты!$A197,'Как будет'!DF$17:DF$24)</f>
        <v>0</v>
      </c>
      <c r="DF197">
        <f>SUMIF('Как будет'!$A$17:$A$24,Доп.расчеты!$A197,'Как будет'!DG$17:DG$24)</f>
        <v>0</v>
      </c>
      <c r="DG197">
        <f>SUMIF('Как будет'!$A$17:$A$24,Доп.расчеты!$A197,'Как будет'!DH$17:DH$24)</f>
        <v>0</v>
      </c>
      <c r="DH197">
        <f>SUMIF('Как будет'!$A$17:$A$24,Доп.расчеты!$A197,'Как будет'!DI$17:DI$24)</f>
        <v>0</v>
      </c>
      <c r="DI197">
        <f>SUMIF('Как будет'!$A$17:$A$24,Доп.расчеты!$A197,'Как будет'!DJ$17:DJ$24)</f>
        <v>0</v>
      </c>
      <c r="DJ197">
        <f>SUMIF('Как будет'!$A$17:$A$24,Доп.расчеты!$A197,'Как будет'!DK$17:DK$24)</f>
        <v>0</v>
      </c>
      <c r="DK197">
        <f>SUMIF('Как будет'!$A$17:$A$24,Доп.расчеты!$A197,'Как будет'!DL$17:DL$24)</f>
        <v>0</v>
      </c>
      <c r="DL197">
        <f>SUMIF('Как будет'!$A$17:$A$24,Доп.расчеты!$A197,'Как будет'!DM$17:DM$24)</f>
        <v>0</v>
      </c>
      <c r="DM197">
        <f>SUMIF('Как будет'!$A$17:$A$24,Доп.расчеты!$A197,'Как будет'!DN$17:DN$24)</f>
        <v>0</v>
      </c>
      <c r="DN197">
        <f>SUMIF('Как будет'!$A$17:$A$24,Доп.расчеты!$A197,'Как будет'!DO$17:DO$24)</f>
        <v>0</v>
      </c>
      <c r="DO197">
        <f>SUMIF('Как будет'!$A$17:$A$24,Доп.расчеты!$A197,'Как будет'!DP$17:DP$24)</f>
        <v>0</v>
      </c>
      <c r="DP197">
        <f>SUMIF('Как будет'!$A$17:$A$24,Доп.расчеты!$A197,'Как будет'!DQ$17:DQ$24)</f>
        <v>0</v>
      </c>
      <c r="DQ197">
        <f>SUMIF('Как будет'!$A$17:$A$24,Доп.расчеты!$A197,'Как будет'!DR$17:DR$24)</f>
        <v>0</v>
      </c>
      <c r="DR197">
        <f>SUMIF('Как будет'!$A$17:$A$24,Доп.расчеты!$A197,'Как будет'!DS$17:DS$24)</f>
        <v>0</v>
      </c>
      <c r="DS197">
        <f>SUMIF('Как будет'!$A$17:$A$24,Доп.расчеты!$A197,'Как будет'!DT$17:DT$24)</f>
        <v>0</v>
      </c>
      <c r="DT197">
        <f>SUMIF('Как будет'!$A$17:$A$24,Доп.расчеты!$A197,'Как будет'!DU$17:DU$24)</f>
        <v>0</v>
      </c>
      <c r="DU197">
        <f>SUMIF('Как будет'!$A$17:$A$24,Доп.расчеты!$A197,'Как будет'!DV$17:DV$24)</f>
        <v>0</v>
      </c>
      <c r="DV197">
        <f>SUMIF('Как будет'!$A$17:$A$24,Доп.расчеты!$A197,'Как будет'!DW$17:DW$24)</f>
        <v>0</v>
      </c>
      <c r="DW197">
        <f>SUMIF('Как будет'!$A$17:$A$24,Доп.расчеты!$A197,'Как будет'!DX$17:DX$24)</f>
        <v>0</v>
      </c>
      <c r="DX197">
        <f>SUMIF('Как будет'!$A$17:$A$24,Доп.расчеты!$A197,'Как будет'!DY$17:DY$24)</f>
        <v>0</v>
      </c>
      <c r="DY197">
        <f>SUMIF('Как будет'!$A$17:$A$24,Доп.расчеты!$A197,'Как будет'!DZ$17:DZ$24)</f>
        <v>0</v>
      </c>
      <c r="DZ197">
        <f>SUMIF('Как будет'!$A$17:$A$24,Доп.расчеты!$A197,'Как будет'!EA$17:EA$24)</f>
        <v>0</v>
      </c>
      <c r="EA197">
        <f>SUMIF('Как будет'!$A$17:$A$24,Доп.расчеты!$A197,'Как будет'!EB$17:EB$24)</f>
        <v>0</v>
      </c>
      <c r="EB197">
        <f>SUMIF('Как будет'!$A$17:$A$24,Доп.расчеты!$A197,'Как будет'!EC$17:EC$24)</f>
        <v>0</v>
      </c>
      <c r="EC197">
        <f>SUMIF('Как будет'!$A$17:$A$24,Доп.расчеты!$A197,'Как будет'!ED$17:ED$24)</f>
        <v>0</v>
      </c>
      <c r="ED197">
        <f>SUMIF('Как будет'!$A$17:$A$24,Доп.расчеты!$A197,'Как будет'!EE$17:EE$24)</f>
        <v>0</v>
      </c>
      <c r="EE197">
        <f>SUMIF('Как будет'!$A$17:$A$24,Доп.расчеты!$A197,'Как будет'!EF$17:EF$24)</f>
        <v>0</v>
      </c>
      <c r="EF197">
        <f>SUMIF('Как будет'!$A$17:$A$24,Доп.расчеты!$A197,'Как будет'!EG$17:EG$24)</f>
        <v>0</v>
      </c>
      <c r="EG197">
        <f>SUMIF('Как будет'!$A$17:$A$24,Доп.расчеты!$A197,'Как будет'!EH$17:EH$24)</f>
        <v>0</v>
      </c>
      <c r="EH197">
        <f>SUMIF('Как будет'!$A$17:$A$24,Доп.расчеты!$A197,'Как будет'!EI$17:EI$24)</f>
        <v>0</v>
      </c>
      <c r="EI197">
        <f>SUMIF('Как будет'!$A$17:$A$24,Доп.расчеты!$A197,'Как будет'!EJ$17:EJ$24)</f>
        <v>0</v>
      </c>
      <c r="EJ197">
        <f>SUMIF('Как будет'!$A$17:$A$24,Доп.расчеты!$A197,'Как будет'!EK$17:EK$24)</f>
        <v>0</v>
      </c>
      <c r="EK197">
        <f>SUMIF('Как будет'!$A$17:$A$24,Доп.расчеты!$A197,'Как будет'!EL$17:EL$24)</f>
        <v>0</v>
      </c>
      <c r="EL197">
        <f>SUMIF('Как будет'!$A$17:$A$24,Доп.расчеты!$A197,'Как будет'!EM$17:EM$24)</f>
        <v>0</v>
      </c>
      <c r="EM197">
        <f>SUMIF('Как будет'!$A$17:$A$24,Доп.расчеты!$A197,'Как будет'!EN$17:EN$24)</f>
        <v>0</v>
      </c>
      <c r="EN197">
        <f>SUMIF('Как будет'!$A$17:$A$24,Доп.расчеты!$A197,'Как будет'!EO$17:EO$24)</f>
        <v>0</v>
      </c>
      <c r="EO197">
        <f>SUMIF('Как будет'!$A$17:$A$24,Доп.расчеты!$A197,'Как будет'!EP$17:EP$24)</f>
        <v>0</v>
      </c>
      <c r="EP197">
        <f>SUMIF('Как будет'!$A$17:$A$24,Доп.расчеты!$A197,'Как будет'!EQ$17:EQ$24)</f>
        <v>0</v>
      </c>
      <c r="EQ197">
        <f>SUMIF('Как будет'!$A$17:$A$24,Доп.расчеты!$A197,'Как будет'!ER$17:ER$24)</f>
        <v>0</v>
      </c>
      <c r="ER197">
        <f>SUMIF('Как будет'!$A$17:$A$24,Доп.расчеты!$A197,'Как будет'!ES$17:ES$24)</f>
        <v>0</v>
      </c>
      <c r="ES197">
        <f>SUMIF('Как будет'!$A$17:$A$24,Доп.расчеты!$A197,'Как будет'!ET$17:ET$24)</f>
        <v>0</v>
      </c>
      <c r="ET197">
        <f>SUMIF('Как будет'!$A$17:$A$24,Доп.расчеты!$A197,'Как будет'!EU$17:EU$24)</f>
        <v>0</v>
      </c>
      <c r="EU197">
        <f>SUMIF('Как будет'!$A$17:$A$24,Доп.расчеты!$A197,'Как будет'!EV$17:EV$24)</f>
        <v>0</v>
      </c>
      <c r="EV197">
        <f>SUMIF('Как будет'!$A$17:$A$24,Доп.расчеты!$A197,'Как будет'!EW$17:EW$24)</f>
        <v>0</v>
      </c>
      <c r="EW197">
        <f>SUMIF('Как будет'!$A$17:$A$24,Доп.расчеты!$A197,'Как будет'!EX$17:EX$24)</f>
        <v>0</v>
      </c>
      <c r="EX197">
        <f>SUMIF('Как будет'!$A$17:$A$24,Доп.расчеты!$A197,'Как будет'!EY$17:EY$24)</f>
        <v>0</v>
      </c>
      <c r="EY197">
        <f>SUMIF('Как будет'!$A$17:$A$24,Доп.расчеты!$A197,'Как будет'!EZ$17:EZ$24)</f>
        <v>0</v>
      </c>
      <c r="EZ197">
        <f>SUMIF('Как будет'!$A$17:$A$24,Доп.расчеты!$A197,'Как будет'!FA$17:FA$24)</f>
        <v>0</v>
      </c>
      <c r="FA197">
        <f>SUMIF('Как будет'!$A$17:$A$24,Доп.расчеты!$A197,'Как будет'!FB$17:FB$24)</f>
        <v>0</v>
      </c>
      <c r="FB197">
        <f>SUMIF('Как будет'!$A$17:$A$24,Доп.расчеты!$A197,'Как будет'!FC$17:FC$24)</f>
        <v>0</v>
      </c>
      <c r="FC197">
        <f>SUMIF('Как будет'!$A$17:$A$24,Доп.расчеты!$A197,'Как будет'!FD$17:FD$24)</f>
        <v>0</v>
      </c>
      <c r="FD197">
        <f>SUMIF('Как будет'!$A$17:$A$24,Доп.расчеты!$A197,'Как будет'!FE$17:FE$24)</f>
        <v>0</v>
      </c>
      <c r="FE197">
        <f>SUMIF('Как будет'!$A$17:$A$24,Доп.расчеты!$A197,'Как будет'!FF$17:FF$24)</f>
        <v>0</v>
      </c>
      <c r="FF197">
        <f>SUMIF('Как будет'!$A$17:$A$24,Доп.расчеты!$A197,'Как будет'!FG$17:FG$24)</f>
        <v>0</v>
      </c>
      <c r="FG197">
        <f>SUMIF('Как будет'!$A$17:$A$24,Доп.расчеты!$A197,'Как будет'!FH$17:FH$24)</f>
        <v>0</v>
      </c>
      <c r="FH197">
        <f>SUMIF('Как будет'!$A$17:$A$24,Доп.расчеты!$A197,'Как будет'!FI$17:FI$24)</f>
        <v>0</v>
      </c>
      <c r="FI197">
        <f>SUMIF('Как будет'!$A$17:$A$24,Доп.расчеты!$A197,'Как будет'!FJ$17:FJ$24)</f>
        <v>0</v>
      </c>
      <c r="FJ197">
        <f>SUMIF('Как будет'!$A$17:$A$24,Доп.расчеты!$A197,'Как будет'!FK$17:FK$24)</f>
        <v>0</v>
      </c>
      <c r="FK197">
        <f>SUMIF('Как будет'!$A$17:$A$24,Доп.расчеты!$A197,'Как будет'!FL$17:FL$24)</f>
        <v>0</v>
      </c>
      <c r="FL197">
        <f>SUMIF('Как будет'!$A$17:$A$24,Доп.расчеты!$A197,'Как будет'!FM$17:FM$24)</f>
        <v>0</v>
      </c>
      <c r="FM197">
        <f>SUMIF('Как будет'!$A$17:$A$24,Доп.расчеты!$A197,'Как будет'!FN$17:FN$24)</f>
        <v>0</v>
      </c>
      <c r="FN197">
        <f>SUMIF('Как будет'!$A$17:$A$24,Доп.расчеты!$A197,'Как будет'!FO$17:FO$24)</f>
        <v>0</v>
      </c>
      <c r="FO197">
        <f>SUMIF('Как будет'!$A$17:$A$24,Доп.расчеты!$A197,'Как будет'!FP$17:FP$24)</f>
        <v>0</v>
      </c>
      <c r="FP197">
        <f>SUMIF('Как будет'!$A$17:$A$24,Доп.расчеты!$A197,'Как будет'!FQ$17:FQ$24)</f>
        <v>0</v>
      </c>
      <c r="FQ197">
        <f>SUMIF('Как будет'!$A$17:$A$24,Доп.расчеты!$A197,'Как будет'!FR$17:FR$24)</f>
        <v>0</v>
      </c>
      <c r="FR197">
        <f>SUMIF('Как будет'!$A$17:$A$24,Доп.расчеты!$A197,'Как будет'!FS$17:FS$24)</f>
        <v>0</v>
      </c>
      <c r="FS197">
        <f>SUMIF('Как будет'!$A$17:$A$24,Доп.расчеты!$A197,'Как будет'!FT$17:FT$24)</f>
        <v>0</v>
      </c>
      <c r="FT197">
        <f>SUMIF('Как будет'!$A$17:$A$24,Доп.расчеты!$A197,'Как будет'!FU$17:FU$24)</f>
        <v>0</v>
      </c>
      <c r="FU197">
        <f>SUMIF('Как будет'!$A$17:$A$24,Доп.расчеты!$A197,'Как будет'!FV$17:FV$24)</f>
        <v>0</v>
      </c>
      <c r="FV197">
        <f>SUMIF('Как будет'!$A$17:$A$24,Доп.расчеты!$A197,'Как будет'!FW$17:FW$24)</f>
        <v>0</v>
      </c>
      <c r="FW197">
        <f>SUMIF('Как будет'!$A$17:$A$24,Доп.расчеты!$A197,'Как будет'!FX$17:FX$24)</f>
        <v>0</v>
      </c>
      <c r="FX197">
        <f>SUMIF('Как будет'!$A$17:$A$24,Доп.расчеты!$A197,'Как будет'!FY$17:FY$24)</f>
        <v>0</v>
      </c>
      <c r="FY197">
        <f>SUMIF('Как будет'!$A$17:$A$24,Доп.расчеты!$A197,'Как будет'!FZ$17:FZ$24)</f>
        <v>0</v>
      </c>
      <c r="FZ197">
        <f>SUMIF('Как будет'!$A$17:$A$24,Доп.расчеты!$A197,'Как будет'!GA$17:GA$24)</f>
        <v>0</v>
      </c>
      <c r="GA197">
        <f>SUMIF('Как будет'!$A$17:$A$24,Доп.расчеты!$A197,'Как будет'!GB$17:GB$24)</f>
        <v>0</v>
      </c>
      <c r="GB197">
        <f>SUMIF('Как будет'!$A$17:$A$24,Доп.расчеты!$A197,'Как будет'!GC$17:GC$24)</f>
        <v>0</v>
      </c>
      <c r="GC197">
        <f>SUMIF('Как будет'!$A$17:$A$24,Доп.расчеты!$A197,'Как будет'!GD$17:GD$24)</f>
        <v>0</v>
      </c>
      <c r="GD197">
        <f>SUMIF('Как будет'!$A$17:$A$24,Доп.расчеты!$A197,'Как будет'!GE$17:GE$24)</f>
        <v>0</v>
      </c>
      <c r="GE197">
        <f>SUMIF('Как будет'!$A$17:$A$24,Доп.расчеты!$A197,'Как будет'!GF$17:GF$24)</f>
        <v>0</v>
      </c>
      <c r="GF197">
        <f>SUMIF('Как будет'!$A$17:$A$24,Доп.расчеты!$A197,'Как будет'!GG$17:GG$24)</f>
        <v>0</v>
      </c>
      <c r="GG197">
        <f>SUMIF('Как будет'!$A$17:$A$24,Доп.расчеты!$A197,'Как будет'!GH$17:GH$24)</f>
        <v>0</v>
      </c>
      <c r="GH197">
        <f>SUMIF('Как будет'!$A$17:$A$24,Доп.расчеты!$A197,'Как будет'!GI$17:GI$24)</f>
        <v>0</v>
      </c>
      <c r="GI197">
        <f>SUMIF('Как будет'!$A$17:$A$24,Доп.расчеты!$A197,'Как будет'!GJ$17:GJ$24)</f>
        <v>0</v>
      </c>
      <c r="GJ197">
        <f>SUMIF('Как будет'!$A$17:$A$24,Доп.расчеты!$A197,'Как будет'!GK$17:GK$24)</f>
        <v>0</v>
      </c>
      <c r="GK197">
        <f>SUMIF('Как будет'!$A$17:$A$24,Доп.расчеты!$A197,'Как будет'!GL$17:GL$24)</f>
        <v>0</v>
      </c>
      <c r="GL197">
        <f>SUMIF('Как будет'!$A$17:$A$24,Доп.расчеты!$A197,'Как будет'!GM$17:GM$24)</f>
        <v>0</v>
      </c>
      <c r="GM197">
        <f>SUMIF('Как будет'!$A$17:$A$24,Доп.расчеты!$A197,'Как будет'!GN$17:GN$24)</f>
        <v>0</v>
      </c>
      <c r="GN197">
        <f>SUMIF('Как будет'!$A$17:$A$24,Доп.расчеты!$A197,'Как будет'!GO$17:GO$24)</f>
        <v>0</v>
      </c>
      <c r="GO197">
        <f>SUMIF('Как будет'!$A$17:$A$24,Доп.расчеты!$A197,'Как будет'!GP$17:GP$24)</f>
        <v>0</v>
      </c>
      <c r="GP197">
        <f>SUMIF('Как будет'!$A$17:$A$24,Доп.расчеты!$A197,'Как будет'!GQ$17:GQ$24)</f>
        <v>0</v>
      </c>
      <c r="GQ197">
        <f>SUMIF('Как будет'!$A$17:$A$24,Доп.расчеты!$A197,'Как будет'!GR$17:GR$24)</f>
        <v>0</v>
      </c>
      <c r="GR197">
        <f>SUMIF('Как будет'!$A$17:$A$24,Доп.расчеты!$A197,'Как будет'!GS$17:GS$24)</f>
        <v>0</v>
      </c>
      <c r="GS197">
        <f>SUMIF('Как будет'!$A$17:$A$24,Доп.расчеты!$A197,'Как будет'!GT$17:GT$24)</f>
        <v>0</v>
      </c>
      <c r="GT197">
        <f>SUMIF('Как будет'!$A$17:$A$24,Доп.расчеты!$A197,'Как будет'!GU$17:GU$24)</f>
        <v>0</v>
      </c>
    </row>
    <row r="198" spans="1:202">
      <c r="A198" s="238" t="s">
        <v>93</v>
      </c>
      <c r="B198">
        <f>SUMIF('Как будет'!$A$17:$A$24,Доп.расчеты!$A198,'Как будет'!C$17:C$24)</f>
        <v>0</v>
      </c>
      <c r="C198">
        <f>SUMIF('Как будет'!$A$17:$A$24,Доп.расчеты!$A198,'Как будет'!D$17:D$24)</f>
        <v>0</v>
      </c>
      <c r="D198">
        <f>SUMIF('Как будет'!$A$17:$A$24,Доп.расчеты!$A198,'Как будет'!E$17:E$24)</f>
        <v>0</v>
      </c>
      <c r="E198">
        <f>SUMIF('Как будет'!$A$17:$A$24,Доп.расчеты!$A198,'Как будет'!F$17:F$24)</f>
        <v>0</v>
      </c>
      <c r="F198">
        <f>SUMIF('Как будет'!$A$17:$A$24,Доп.расчеты!$A198,'Как будет'!G$17:G$24)</f>
        <v>0</v>
      </c>
      <c r="G198">
        <f>SUMIF('Как будет'!$A$17:$A$24,Доп.расчеты!$A198,'Как будет'!H$17:H$24)</f>
        <v>0</v>
      </c>
      <c r="H198">
        <f>SUMIF('Как будет'!$A$17:$A$24,Доп.расчеты!$A198,'Как будет'!I$17:I$24)</f>
        <v>0</v>
      </c>
      <c r="I198">
        <f>SUMIF('Как будет'!$A$17:$A$24,Доп.расчеты!$A198,'Как будет'!J$17:J$24)</f>
        <v>0</v>
      </c>
      <c r="J198">
        <f>SUMIF('Как будет'!$A$17:$A$24,Доп.расчеты!$A198,'Как будет'!K$17:K$24)</f>
        <v>0</v>
      </c>
      <c r="K198">
        <f>SUMIF('Как будет'!$A$17:$A$24,Доп.расчеты!$A198,'Как будет'!L$17:L$24)</f>
        <v>0</v>
      </c>
      <c r="L198">
        <f>SUMIF('Как будет'!$A$17:$A$24,Доп.расчеты!$A198,'Как будет'!M$17:M$24)</f>
        <v>0</v>
      </c>
      <c r="M198">
        <f>SUMIF('Как будет'!$A$17:$A$24,Доп.расчеты!$A198,'Как будет'!N$17:N$24)</f>
        <v>0</v>
      </c>
      <c r="N198">
        <f>SUMIF('Как будет'!$A$17:$A$24,Доп.расчеты!$A198,'Как будет'!O$17:O$24)</f>
        <v>0</v>
      </c>
      <c r="O198">
        <f>SUMIF('Как будет'!$A$17:$A$24,Доп.расчеты!$A198,'Как будет'!P$17:P$24)</f>
        <v>0</v>
      </c>
      <c r="P198">
        <f>SUMIF('Как будет'!$A$17:$A$24,Доп.расчеты!$A198,'Как будет'!Q$17:Q$24)</f>
        <v>0</v>
      </c>
      <c r="Q198">
        <f>SUMIF('Как будет'!$A$17:$A$24,Доп.расчеты!$A198,'Как будет'!R$17:R$24)</f>
        <v>0</v>
      </c>
      <c r="R198">
        <f>SUMIF('Как будет'!$A$17:$A$24,Доп.расчеты!$A198,'Как будет'!S$17:S$24)</f>
        <v>0</v>
      </c>
      <c r="S198">
        <f>SUMIF('Как будет'!$A$17:$A$24,Доп.расчеты!$A198,'Как будет'!T$17:T$24)</f>
        <v>0</v>
      </c>
      <c r="T198">
        <f>SUMIF('Как будет'!$A$17:$A$24,Доп.расчеты!$A198,'Как будет'!U$17:U$24)</f>
        <v>0</v>
      </c>
      <c r="U198">
        <f>SUMIF('Как будет'!$A$17:$A$24,Доп.расчеты!$A198,'Как будет'!V$17:V$24)</f>
        <v>0</v>
      </c>
      <c r="V198">
        <f>SUMIF('Как будет'!$A$17:$A$24,Доп.расчеты!$A198,'Как будет'!W$17:W$24)</f>
        <v>0</v>
      </c>
      <c r="W198">
        <f>SUMIF('Как будет'!$A$17:$A$24,Доп.расчеты!$A198,'Как будет'!X$17:X$24)</f>
        <v>0</v>
      </c>
      <c r="X198">
        <f>SUMIF('Как будет'!$A$17:$A$24,Доп.расчеты!$A198,'Как будет'!Y$17:Y$24)</f>
        <v>0</v>
      </c>
      <c r="Y198">
        <f>SUMIF('Как будет'!$A$17:$A$24,Доп.расчеты!$A198,'Как будет'!Z$17:Z$24)</f>
        <v>0</v>
      </c>
      <c r="Z198">
        <f>SUMIF('Как будет'!$A$17:$A$24,Доп.расчеты!$A198,'Как будет'!AA$17:AA$24)</f>
        <v>0</v>
      </c>
      <c r="AA198">
        <f>SUMIF('Как будет'!$A$17:$A$24,Доп.расчеты!$A198,'Как будет'!AB$17:AB$24)</f>
        <v>0</v>
      </c>
      <c r="AB198">
        <f>SUMIF('Как будет'!$A$17:$A$24,Доп.расчеты!$A198,'Как будет'!AC$17:AC$24)</f>
        <v>0</v>
      </c>
      <c r="AC198">
        <f>SUMIF('Как будет'!$A$17:$A$24,Доп.расчеты!$A198,'Как будет'!AD$17:AD$24)</f>
        <v>0</v>
      </c>
      <c r="AD198">
        <f>SUMIF('Как будет'!$A$17:$A$24,Доп.расчеты!$A198,'Как будет'!AE$17:AE$24)</f>
        <v>0</v>
      </c>
      <c r="AE198">
        <f>SUMIF('Как будет'!$A$17:$A$24,Доп.расчеты!$A198,'Как будет'!AF$17:AF$24)</f>
        <v>0</v>
      </c>
      <c r="AF198">
        <f>SUMIF('Как будет'!$A$17:$A$24,Доп.расчеты!$A198,'Как будет'!AG$17:AG$24)</f>
        <v>0</v>
      </c>
      <c r="AG198">
        <f>SUMIF('Как будет'!$A$17:$A$24,Доп.расчеты!$A198,'Как будет'!AH$17:AH$24)</f>
        <v>0</v>
      </c>
      <c r="AH198">
        <f>SUMIF('Как будет'!$A$17:$A$24,Доп.расчеты!$A198,'Как будет'!AI$17:AI$24)</f>
        <v>0</v>
      </c>
      <c r="AI198">
        <f>SUMIF('Как будет'!$A$17:$A$24,Доп.расчеты!$A198,'Как будет'!AJ$17:AJ$24)</f>
        <v>0</v>
      </c>
      <c r="AJ198">
        <f>SUMIF('Как будет'!$A$17:$A$24,Доп.расчеты!$A198,'Как будет'!AK$17:AK$24)</f>
        <v>0</v>
      </c>
      <c r="AK198">
        <f>SUMIF('Как будет'!$A$17:$A$24,Доп.расчеты!$A198,'Как будет'!AL$17:AL$24)</f>
        <v>0</v>
      </c>
      <c r="AL198">
        <f>SUMIF('Как будет'!$A$17:$A$24,Доп.расчеты!$A198,'Как будет'!AM$17:AM$24)</f>
        <v>0</v>
      </c>
      <c r="AM198">
        <f>SUMIF('Как будет'!$A$17:$A$24,Доп.расчеты!$A198,'Как будет'!AN$17:AN$24)</f>
        <v>0</v>
      </c>
      <c r="AN198">
        <f>SUMIF('Как будет'!$A$17:$A$24,Доп.расчеты!$A198,'Как будет'!AO$17:AO$24)</f>
        <v>0</v>
      </c>
      <c r="AO198">
        <f>SUMIF('Как будет'!$A$17:$A$24,Доп.расчеты!$A198,'Как будет'!AP$17:AP$24)</f>
        <v>0</v>
      </c>
      <c r="AP198">
        <f>SUMIF('Как будет'!$A$17:$A$24,Доп.расчеты!$A198,'Как будет'!AQ$17:AQ$24)</f>
        <v>0</v>
      </c>
      <c r="AQ198">
        <f>SUMIF('Как будет'!$A$17:$A$24,Доп.расчеты!$A198,'Как будет'!AR$17:AR$24)</f>
        <v>0</v>
      </c>
      <c r="AR198">
        <f>SUMIF('Как будет'!$A$17:$A$24,Доп.расчеты!$A198,'Как будет'!AS$17:AS$24)</f>
        <v>0</v>
      </c>
      <c r="AS198">
        <f>SUMIF('Как будет'!$A$17:$A$24,Доп.расчеты!$A198,'Как будет'!AT$17:AT$24)</f>
        <v>0</v>
      </c>
      <c r="AT198">
        <f>SUMIF('Как будет'!$A$17:$A$24,Доп.расчеты!$A198,'Как будет'!AU$17:AU$24)</f>
        <v>0</v>
      </c>
      <c r="AU198">
        <f>SUMIF('Как будет'!$A$17:$A$24,Доп.расчеты!$A198,'Как будет'!AV$17:AV$24)</f>
        <v>0</v>
      </c>
      <c r="AV198">
        <f>SUMIF('Как будет'!$A$17:$A$24,Доп.расчеты!$A198,'Как будет'!AW$17:AW$24)</f>
        <v>0</v>
      </c>
      <c r="AW198">
        <f>SUMIF('Как будет'!$A$17:$A$24,Доп.расчеты!$A198,'Как будет'!AX$17:AX$24)</f>
        <v>0</v>
      </c>
      <c r="AX198">
        <f>SUMIF('Как будет'!$A$17:$A$24,Доп.расчеты!$A198,'Как будет'!AY$17:AY$24)</f>
        <v>0</v>
      </c>
      <c r="AY198">
        <f>SUMIF('Как будет'!$A$17:$A$24,Доп.расчеты!$A198,'Как будет'!AZ$17:AZ$24)</f>
        <v>0</v>
      </c>
      <c r="AZ198">
        <f>SUMIF('Как будет'!$A$17:$A$24,Доп.расчеты!$A198,'Как будет'!BA$17:BA$24)</f>
        <v>0</v>
      </c>
      <c r="BA198">
        <f>SUMIF('Как будет'!$A$17:$A$24,Доп.расчеты!$A198,'Как будет'!BB$17:BB$24)</f>
        <v>0</v>
      </c>
      <c r="BB198">
        <f>SUMIF('Как будет'!$A$17:$A$24,Доп.расчеты!$A198,'Как будет'!BC$17:BC$24)</f>
        <v>0</v>
      </c>
      <c r="BC198">
        <f>SUMIF('Как будет'!$A$17:$A$24,Доп.расчеты!$A198,'Как будет'!BD$17:BD$24)</f>
        <v>0</v>
      </c>
      <c r="BD198">
        <f>SUMIF('Как будет'!$A$17:$A$24,Доп.расчеты!$A198,'Как будет'!BE$17:BE$24)</f>
        <v>0</v>
      </c>
      <c r="BE198">
        <f>SUMIF('Как будет'!$A$17:$A$24,Доп.расчеты!$A198,'Как будет'!BF$17:BF$24)</f>
        <v>0</v>
      </c>
      <c r="BF198">
        <f>SUMIF('Как будет'!$A$17:$A$24,Доп.расчеты!$A198,'Как будет'!BG$17:BG$24)</f>
        <v>0</v>
      </c>
      <c r="BG198">
        <f>SUMIF('Как будет'!$A$17:$A$24,Доп.расчеты!$A198,'Как будет'!BH$17:BH$24)</f>
        <v>0</v>
      </c>
      <c r="BH198">
        <f>SUMIF('Как будет'!$A$17:$A$24,Доп.расчеты!$A198,'Как будет'!BI$17:BI$24)</f>
        <v>0</v>
      </c>
      <c r="BI198">
        <f>SUMIF('Как будет'!$A$17:$A$24,Доп.расчеты!$A198,'Как будет'!BJ$17:BJ$24)</f>
        <v>0</v>
      </c>
      <c r="BJ198">
        <f>SUMIF('Как будет'!$A$17:$A$24,Доп.расчеты!$A198,'Как будет'!BK$17:BK$24)</f>
        <v>0</v>
      </c>
      <c r="BK198">
        <f>SUMIF('Как будет'!$A$17:$A$24,Доп.расчеты!$A198,'Как будет'!BL$17:BL$24)</f>
        <v>0</v>
      </c>
      <c r="BL198">
        <f>SUMIF('Как будет'!$A$17:$A$24,Доп.расчеты!$A198,'Как будет'!BM$17:BM$24)</f>
        <v>0</v>
      </c>
      <c r="BM198">
        <f>SUMIF('Как будет'!$A$17:$A$24,Доп.расчеты!$A198,'Как будет'!BN$17:BN$24)</f>
        <v>0</v>
      </c>
      <c r="BN198">
        <f>SUMIF('Как будет'!$A$17:$A$24,Доп.расчеты!$A198,'Как будет'!BO$17:BO$24)</f>
        <v>0</v>
      </c>
      <c r="BO198">
        <f>SUMIF('Как будет'!$A$17:$A$24,Доп.расчеты!$A198,'Как будет'!BP$17:BP$24)</f>
        <v>0</v>
      </c>
      <c r="BP198">
        <f>SUMIF('Как будет'!$A$17:$A$24,Доп.расчеты!$A198,'Как будет'!BQ$17:BQ$24)</f>
        <v>0</v>
      </c>
      <c r="BQ198">
        <f>SUMIF('Как будет'!$A$17:$A$24,Доп.расчеты!$A198,'Как будет'!BR$17:BR$24)</f>
        <v>0</v>
      </c>
      <c r="BR198">
        <f>SUMIF('Как будет'!$A$17:$A$24,Доп.расчеты!$A198,'Как будет'!BS$17:BS$24)</f>
        <v>0</v>
      </c>
      <c r="BS198">
        <f>SUMIF('Как будет'!$A$17:$A$24,Доп.расчеты!$A198,'Как будет'!BT$17:BT$24)</f>
        <v>0</v>
      </c>
      <c r="BT198">
        <f>SUMIF('Как будет'!$A$17:$A$24,Доп.расчеты!$A198,'Как будет'!BU$17:BU$24)</f>
        <v>0</v>
      </c>
      <c r="BU198">
        <f>SUMIF('Как будет'!$A$17:$A$24,Доп.расчеты!$A198,'Как будет'!BV$17:BV$24)</f>
        <v>0</v>
      </c>
      <c r="BV198">
        <f>SUMIF('Как будет'!$A$17:$A$24,Доп.расчеты!$A198,'Как будет'!BW$17:BW$24)</f>
        <v>0</v>
      </c>
      <c r="BW198">
        <f>SUMIF('Как будет'!$A$17:$A$24,Доп.расчеты!$A198,'Как будет'!BX$17:BX$24)</f>
        <v>0</v>
      </c>
      <c r="BX198">
        <f>SUMIF('Как будет'!$A$17:$A$24,Доп.расчеты!$A198,'Как будет'!BY$17:BY$24)</f>
        <v>0</v>
      </c>
      <c r="BY198">
        <f>SUMIF('Как будет'!$A$17:$A$24,Доп.расчеты!$A198,'Как будет'!BZ$17:BZ$24)</f>
        <v>0</v>
      </c>
      <c r="BZ198">
        <f>SUMIF('Как будет'!$A$17:$A$24,Доп.расчеты!$A198,'Как будет'!CA$17:CA$24)</f>
        <v>0</v>
      </c>
      <c r="CA198">
        <f>SUMIF('Как будет'!$A$17:$A$24,Доп.расчеты!$A198,'Как будет'!CB$17:CB$24)</f>
        <v>0</v>
      </c>
      <c r="CB198">
        <f>SUMIF('Как будет'!$A$17:$A$24,Доп.расчеты!$A198,'Как будет'!CC$17:CC$24)</f>
        <v>0</v>
      </c>
      <c r="CC198">
        <f>SUMIF('Как будет'!$A$17:$A$24,Доп.расчеты!$A198,'Как будет'!CD$17:CD$24)</f>
        <v>0</v>
      </c>
      <c r="CD198">
        <f>SUMIF('Как будет'!$A$17:$A$24,Доп.расчеты!$A198,'Как будет'!CE$17:CE$24)</f>
        <v>0</v>
      </c>
      <c r="CE198">
        <f>SUMIF('Как будет'!$A$17:$A$24,Доп.расчеты!$A198,'Как будет'!CF$17:CF$24)</f>
        <v>0</v>
      </c>
      <c r="CF198">
        <f>SUMIF('Как будет'!$A$17:$A$24,Доп.расчеты!$A198,'Как будет'!CG$17:CG$24)</f>
        <v>0</v>
      </c>
      <c r="CG198">
        <f>SUMIF('Как будет'!$A$17:$A$24,Доп.расчеты!$A198,'Как будет'!CH$17:CH$24)</f>
        <v>0</v>
      </c>
      <c r="CH198">
        <f>SUMIF('Как будет'!$A$17:$A$24,Доп.расчеты!$A198,'Как будет'!CI$17:CI$24)</f>
        <v>0</v>
      </c>
      <c r="CI198">
        <f>SUMIF('Как будет'!$A$17:$A$24,Доп.расчеты!$A198,'Как будет'!CJ$17:CJ$24)</f>
        <v>0</v>
      </c>
      <c r="CJ198">
        <f>SUMIF('Как будет'!$A$17:$A$24,Доп.расчеты!$A198,'Как будет'!CK$17:CK$24)</f>
        <v>0</v>
      </c>
      <c r="CK198">
        <f>SUMIF('Как будет'!$A$17:$A$24,Доп.расчеты!$A198,'Как будет'!CL$17:CL$24)</f>
        <v>0</v>
      </c>
      <c r="CL198">
        <f>SUMIF('Как будет'!$A$17:$A$24,Доп.расчеты!$A198,'Как будет'!CM$17:CM$24)</f>
        <v>0</v>
      </c>
      <c r="CM198">
        <f>SUMIF('Как будет'!$A$17:$A$24,Доп.расчеты!$A198,'Как будет'!CN$17:CN$24)</f>
        <v>0</v>
      </c>
      <c r="CN198">
        <f>SUMIF('Как будет'!$A$17:$A$24,Доп.расчеты!$A198,'Как будет'!CO$17:CO$24)</f>
        <v>0</v>
      </c>
      <c r="CO198">
        <f>SUMIF('Как будет'!$A$17:$A$24,Доп.расчеты!$A198,'Как будет'!CP$17:CP$24)</f>
        <v>0</v>
      </c>
      <c r="CP198">
        <f>SUMIF('Как будет'!$A$17:$A$24,Доп.расчеты!$A198,'Как будет'!CQ$17:CQ$24)</f>
        <v>0</v>
      </c>
      <c r="CQ198">
        <f>SUMIF('Как будет'!$A$17:$A$24,Доп.расчеты!$A198,'Как будет'!CR$17:CR$24)</f>
        <v>0</v>
      </c>
      <c r="CR198">
        <f>SUMIF('Как будет'!$A$17:$A$24,Доп.расчеты!$A198,'Как будет'!CS$17:CS$24)</f>
        <v>0</v>
      </c>
      <c r="CS198">
        <f>SUMIF('Как будет'!$A$17:$A$24,Доп.расчеты!$A198,'Как будет'!CT$17:CT$24)</f>
        <v>0</v>
      </c>
      <c r="CT198">
        <f>SUMIF('Как будет'!$A$17:$A$24,Доп.расчеты!$A198,'Как будет'!CU$17:CU$24)</f>
        <v>0</v>
      </c>
      <c r="CU198">
        <f>SUMIF('Как будет'!$A$17:$A$24,Доп.расчеты!$A198,'Как будет'!CV$17:CV$24)</f>
        <v>0</v>
      </c>
      <c r="CV198">
        <f>SUMIF('Как будет'!$A$17:$A$24,Доп.расчеты!$A198,'Как будет'!CW$17:CW$24)</f>
        <v>0</v>
      </c>
      <c r="CW198">
        <f>SUMIF('Как будет'!$A$17:$A$24,Доп.расчеты!$A198,'Как будет'!CX$17:CX$24)</f>
        <v>0</v>
      </c>
      <c r="CX198">
        <f>SUMIF('Как будет'!$A$17:$A$24,Доп.расчеты!$A198,'Как будет'!CY$17:CY$24)</f>
        <v>0</v>
      </c>
      <c r="CY198">
        <f>SUMIF('Как будет'!$A$17:$A$24,Доп.расчеты!$A198,'Как будет'!CZ$17:CZ$24)</f>
        <v>0</v>
      </c>
      <c r="CZ198">
        <f>SUMIF('Как будет'!$A$17:$A$24,Доп.расчеты!$A198,'Как будет'!DA$17:DA$24)</f>
        <v>0</v>
      </c>
      <c r="DA198">
        <f>SUMIF('Как будет'!$A$17:$A$24,Доп.расчеты!$A198,'Как будет'!DB$17:DB$24)</f>
        <v>0</v>
      </c>
      <c r="DB198">
        <f>SUMIF('Как будет'!$A$17:$A$24,Доп.расчеты!$A198,'Как будет'!DC$17:DC$24)</f>
        <v>0</v>
      </c>
      <c r="DC198">
        <f>SUMIF('Как будет'!$A$17:$A$24,Доп.расчеты!$A198,'Как будет'!DD$17:DD$24)</f>
        <v>0</v>
      </c>
      <c r="DD198">
        <f>SUMIF('Как будет'!$A$17:$A$24,Доп.расчеты!$A198,'Как будет'!DE$17:DE$24)</f>
        <v>0</v>
      </c>
      <c r="DE198">
        <f>SUMIF('Как будет'!$A$17:$A$24,Доп.расчеты!$A198,'Как будет'!DF$17:DF$24)</f>
        <v>0</v>
      </c>
      <c r="DF198">
        <f>SUMIF('Как будет'!$A$17:$A$24,Доп.расчеты!$A198,'Как будет'!DG$17:DG$24)</f>
        <v>0</v>
      </c>
      <c r="DG198">
        <f>SUMIF('Как будет'!$A$17:$A$24,Доп.расчеты!$A198,'Как будет'!DH$17:DH$24)</f>
        <v>0</v>
      </c>
      <c r="DH198">
        <f>SUMIF('Как будет'!$A$17:$A$24,Доп.расчеты!$A198,'Как будет'!DI$17:DI$24)</f>
        <v>0</v>
      </c>
      <c r="DI198">
        <f>SUMIF('Как будет'!$A$17:$A$24,Доп.расчеты!$A198,'Как будет'!DJ$17:DJ$24)</f>
        <v>0</v>
      </c>
      <c r="DJ198">
        <f>SUMIF('Как будет'!$A$17:$A$24,Доп.расчеты!$A198,'Как будет'!DK$17:DK$24)</f>
        <v>0</v>
      </c>
      <c r="DK198">
        <f>SUMIF('Как будет'!$A$17:$A$24,Доп.расчеты!$A198,'Как будет'!DL$17:DL$24)</f>
        <v>0</v>
      </c>
      <c r="DL198">
        <f>SUMIF('Как будет'!$A$17:$A$24,Доп.расчеты!$A198,'Как будет'!DM$17:DM$24)</f>
        <v>0</v>
      </c>
      <c r="DM198">
        <f>SUMIF('Как будет'!$A$17:$A$24,Доп.расчеты!$A198,'Как будет'!DN$17:DN$24)</f>
        <v>0</v>
      </c>
      <c r="DN198">
        <f>SUMIF('Как будет'!$A$17:$A$24,Доп.расчеты!$A198,'Как будет'!DO$17:DO$24)</f>
        <v>0</v>
      </c>
      <c r="DO198">
        <f>SUMIF('Как будет'!$A$17:$A$24,Доп.расчеты!$A198,'Как будет'!DP$17:DP$24)</f>
        <v>0</v>
      </c>
      <c r="DP198">
        <f>SUMIF('Как будет'!$A$17:$A$24,Доп.расчеты!$A198,'Как будет'!DQ$17:DQ$24)</f>
        <v>0</v>
      </c>
      <c r="DQ198">
        <f>SUMIF('Как будет'!$A$17:$A$24,Доп.расчеты!$A198,'Как будет'!DR$17:DR$24)</f>
        <v>0</v>
      </c>
      <c r="DR198">
        <f>SUMIF('Как будет'!$A$17:$A$24,Доп.расчеты!$A198,'Как будет'!DS$17:DS$24)</f>
        <v>0</v>
      </c>
      <c r="DS198">
        <f>SUMIF('Как будет'!$A$17:$A$24,Доп.расчеты!$A198,'Как будет'!DT$17:DT$24)</f>
        <v>0</v>
      </c>
      <c r="DT198">
        <f>SUMIF('Как будет'!$A$17:$A$24,Доп.расчеты!$A198,'Как будет'!DU$17:DU$24)</f>
        <v>0</v>
      </c>
      <c r="DU198">
        <f>SUMIF('Как будет'!$A$17:$A$24,Доп.расчеты!$A198,'Как будет'!DV$17:DV$24)</f>
        <v>0</v>
      </c>
      <c r="DV198">
        <f>SUMIF('Как будет'!$A$17:$A$24,Доп.расчеты!$A198,'Как будет'!DW$17:DW$24)</f>
        <v>0</v>
      </c>
      <c r="DW198">
        <f>SUMIF('Как будет'!$A$17:$A$24,Доп.расчеты!$A198,'Как будет'!DX$17:DX$24)</f>
        <v>0</v>
      </c>
      <c r="DX198">
        <f>SUMIF('Как будет'!$A$17:$A$24,Доп.расчеты!$A198,'Как будет'!DY$17:DY$24)</f>
        <v>0</v>
      </c>
      <c r="DY198">
        <f>SUMIF('Как будет'!$A$17:$A$24,Доп.расчеты!$A198,'Как будет'!DZ$17:DZ$24)</f>
        <v>0</v>
      </c>
      <c r="DZ198">
        <f>SUMIF('Как будет'!$A$17:$A$24,Доп.расчеты!$A198,'Как будет'!EA$17:EA$24)</f>
        <v>0</v>
      </c>
      <c r="EA198">
        <f>SUMIF('Как будет'!$A$17:$A$24,Доп.расчеты!$A198,'Как будет'!EB$17:EB$24)</f>
        <v>0</v>
      </c>
      <c r="EB198">
        <f>SUMIF('Как будет'!$A$17:$A$24,Доп.расчеты!$A198,'Как будет'!EC$17:EC$24)</f>
        <v>0</v>
      </c>
      <c r="EC198">
        <f>SUMIF('Как будет'!$A$17:$A$24,Доп.расчеты!$A198,'Как будет'!ED$17:ED$24)</f>
        <v>0</v>
      </c>
      <c r="ED198">
        <f>SUMIF('Как будет'!$A$17:$A$24,Доп.расчеты!$A198,'Как будет'!EE$17:EE$24)</f>
        <v>0</v>
      </c>
      <c r="EE198">
        <f>SUMIF('Как будет'!$A$17:$A$24,Доп.расчеты!$A198,'Как будет'!EF$17:EF$24)</f>
        <v>0</v>
      </c>
      <c r="EF198">
        <f>SUMIF('Как будет'!$A$17:$A$24,Доп.расчеты!$A198,'Как будет'!EG$17:EG$24)</f>
        <v>0</v>
      </c>
      <c r="EG198">
        <f>SUMIF('Как будет'!$A$17:$A$24,Доп.расчеты!$A198,'Как будет'!EH$17:EH$24)</f>
        <v>0</v>
      </c>
      <c r="EH198">
        <f>SUMIF('Как будет'!$A$17:$A$24,Доп.расчеты!$A198,'Как будет'!EI$17:EI$24)</f>
        <v>0</v>
      </c>
      <c r="EI198">
        <f>SUMIF('Как будет'!$A$17:$A$24,Доп.расчеты!$A198,'Как будет'!EJ$17:EJ$24)</f>
        <v>0</v>
      </c>
      <c r="EJ198">
        <f>SUMIF('Как будет'!$A$17:$A$24,Доп.расчеты!$A198,'Как будет'!EK$17:EK$24)</f>
        <v>0</v>
      </c>
      <c r="EK198">
        <f>SUMIF('Как будет'!$A$17:$A$24,Доп.расчеты!$A198,'Как будет'!EL$17:EL$24)</f>
        <v>0</v>
      </c>
      <c r="EL198">
        <f>SUMIF('Как будет'!$A$17:$A$24,Доп.расчеты!$A198,'Как будет'!EM$17:EM$24)</f>
        <v>0</v>
      </c>
      <c r="EM198">
        <f>SUMIF('Как будет'!$A$17:$A$24,Доп.расчеты!$A198,'Как будет'!EN$17:EN$24)</f>
        <v>0</v>
      </c>
      <c r="EN198">
        <f>SUMIF('Как будет'!$A$17:$A$24,Доп.расчеты!$A198,'Как будет'!EO$17:EO$24)</f>
        <v>0</v>
      </c>
      <c r="EO198">
        <f>SUMIF('Как будет'!$A$17:$A$24,Доп.расчеты!$A198,'Как будет'!EP$17:EP$24)</f>
        <v>0</v>
      </c>
      <c r="EP198">
        <f>SUMIF('Как будет'!$A$17:$A$24,Доп.расчеты!$A198,'Как будет'!EQ$17:EQ$24)</f>
        <v>0</v>
      </c>
      <c r="EQ198">
        <f>SUMIF('Как будет'!$A$17:$A$24,Доп.расчеты!$A198,'Как будет'!ER$17:ER$24)</f>
        <v>0</v>
      </c>
      <c r="ER198">
        <f>SUMIF('Как будет'!$A$17:$A$24,Доп.расчеты!$A198,'Как будет'!ES$17:ES$24)</f>
        <v>0</v>
      </c>
      <c r="ES198">
        <f>SUMIF('Как будет'!$A$17:$A$24,Доп.расчеты!$A198,'Как будет'!ET$17:ET$24)</f>
        <v>0</v>
      </c>
      <c r="ET198">
        <f>SUMIF('Как будет'!$A$17:$A$24,Доп.расчеты!$A198,'Как будет'!EU$17:EU$24)</f>
        <v>0</v>
      </c>
      <c r="EU198">
        <f>SUMIF('Как будет'!$A$17:$A$24,Доп.расчеты!$A198,'Как будет'!EV$17:EV$24)</f>
        <v>0</v>
      </c>
      <c r="EV198">
        <f>SUMIF('Как будет'!$A$17:$A$24,Доп.расчеты!$A198,'Как будет'!EW$17:EW$24)</f>
        <v>0</v>
      </c>
      <c r="EW198">
        <f>SUMIF('Как будет'!$A$17:$A$24,Доп.расчеты!$A198,'Как будет'!EX$17:EX$24)</f>
        <v>0</v>
      </c>
      <c r="EX198">
        <f>SUMIF('Как будет'!$A$17:$A$24,Доп.расчеты!$A198,'Как будет'!EY$17:EY$24)</f>
        <v>0</v>
      </c>
      <c r="EY198">
        <f>SUMIF('Как будет'!$A$17:$A$24,Доп.расчеты!$A198,'Как будет'!EZ$17:EZ$24)</f>
        <v>0</v>
      </c>
      <c r="EZ198">
        <f>SUMIF('Как будет'!$A$17:$A$24,Доп.расчеты!$A198,'Как будет'!FA$17:FA$24)</f>
        <v>0</v>
      </c>
      <c r="FA198">
        <f>SUMIF('Как будет'!$A$17:$A$24,Доп.расчеты!$A198,'Как будет'!FB$17:FB$24)</f>
        <v>0</v>
      </c>
      <c r="FB198">
        <f>SUMIF('Как будет'!$A$17:$A$24,Доп.расчеты!$A198,'Как будет'!FC$17:FC$24)</f>
        <v>0</v>
      </c>
      <c r="FC198">
        <f>SUMIF('Как будет'!$A$17:$A$24,Доп.расчеты!$A198,'Как будет'!FD$17:FD$24)</f>
        <v>0</v>
      </c>
      <c r="FD198">
        <f>SUMIF('Как будет'!$A$17:$A$24,Доп.расчеты!$A198,'Как будет'!FE$17:FE$24)</f>
        <v>0</v>
      </c>
      <c r="FE198">
        <f>SUMIF('Как будет'!$A$17:$A$24,Доп.расчеты!$A198,'Как будет'!FF$17:FF$24)</f>
        <v>0</v>
      </c>
      <c r="FF198">
        <f>SUMIF('Как будет'!$A$17:$A$24,Доп.расчеты!$A198,'Как будет'!FG$17:FG$24)</f>
        <v>0</v>
      </c>
      <c r="FG198">
        <f>SUMIF('Как будет'!$A$17:$A$24,Доп.расчеты!$A198,'Как будет'!FH$17:FH$24)</f>
        <v>0</v>
      </c>
      <c r="FH198">
        <f>SUMIF('Как будет'!$A$17:$A$24,Доп.расчеты!$A198,'Как будет'!FI$17:FI$24)</f>
        <v>0</v>
      </c>
      <c r="FI198">
        <f>SUMIF('Как будет'!$A$17:$A$24,Доп.расчеты!$A198,'Как будет'!FJ$17:FJ$24)</f>
        <v>0</v>
      </c>
      <c r="FJ198">
        <f>SUMIF('Как будет'!$A$17:$A$24,Доп.расчеты!$A198,'Как будет'!FK$17:FK$24)</f>
        <v>0</v>
      </c>
      <c r="FK198">
        <f>SUMIF('Как будет'!$A$17:$A$24,Доп.расчеты!$A198,'Как будет'!FL$17:FL$24)</f>
        <v>0</v>
      </c>
      <c r="FL198">
        <f>SUMIF('Как будет'!$A$17:$A$24,Доп.расчеты!$A198,'Как будет'!FM$17:FM$24)</f>
        <v>0</v>
      </c>
      <c r="FM198">
        <f>SUMIF('Как будет'!$A$17:$A$24,Доп.расчеты!$A198,'Как будет'!FN$17:FN$24)</f>
        <v>0</v>
      </c>
      <c r="FN198">
        <f>SUMIF('Как будет'!$A$17:$A$24,Доп.расчеты!$A198,'Как будет'!FO$17:FO$24)</f>
        <v>0</v>
      </c>
      <c r="FO198">
        <f>SUMIF('Как будет'!$A$17:$A$24,Доп.расчеты!$A198,'Как будет'!FP$17:FP$24)</f>
        <v>0</v>
      </c>
      <c r="FP198">
        <f>SUMIF('Как будет'!$A$17:$A$24,Доп.расчеты!$A198,'Как будет'!FQ$17:FQ$24)</f>
        <v>0</v>
      </c>
      <c r="FQ198">
        <f>SUMIF('Как будет'!$A$17:$A$24,Доп.расчеты!$A198,'Как будет'!FR$17:FR$24)</f>
        <v>0</v>
      </c>
      <c r="FR198">
        <f>SUMIF('Как будет'!$A$17:$A$24,Доп.расчеты!$A198,'Как будет'!FS$17:FS$24)</f>
        <v>0</v>
      </c>
      <c r="FS198">
        <f>SUMIF('Как будет'!$A$17:$A$24,Доп.расчеты!$A198,'Как будет'!FT$17:FT$24)</f>
        <v>0</v>
      </c>
      <c r="FT198">
        <f>SUMIF('Как будет'!$A$17:$A$24,Доп.расчеты!$A198,'Как будет'!FU$17:FU$24)</f>
        <v>0</v>
      </c>
      <c r="FU198">
        <f>SUMIF('Как будет'!$A$17:$A$24,Доп.расчеты!$A198,'Как будет'!FV$17:FV$24)</f>
        <v>0</v>
      </c>
      <c r="FV198">
        <f>SUMIF('Как будет'!$A$17:$A$24,Доп.расчеты!$A198,'Как будет'!FW$17:FW$24)</f>
        <v>0</v>
      </c>
      <c r="FW198">
        <f>SUMIF('Как будет'!$A$17:$A$24,Доп.расчеты!$A198,'Как будет'!FX$17:FX$24)</f>
        <v>0</v>
      </c>
      <c r="FX198">
        <f>SUMIF('Как будет'!$A$17:$A$24,Доп.расчеты!$A198,'Как будет'!FY$17:FY$24)</f>
        <v>0</v>
      </c>
      <c r="FY198">
        <f>SUMIF('Как будет'!$A$17:$A$24,Доп.расчеты!$A198,'Как будет'!FZ$17:FZ$24)</f>
        <v>0</v>
      </c>
      <c r="FZ198">
        <f>SUMIF('Как будет'!$A$17:$A$24,Доп.расчеты!$A198,'Как будет'!GA$17:GA$24)</f>
        <v>0</v>
      </c>
      <c r="GA198">
        <f>SUMIF('Как будет'!$A$17:$A$24,Доп.расчеты!$A198,'Как будет'!GB$17:GB$24)</f>
        <v>0</v>
      </c>
      <c r="GB198">
        <f>SUMIF('Как будет'!$A$17:$A$24,Доп.расчеты!$A198,'Как будет'!GC$17:GC$24)</f>
        <v>0</v>
      </c>
      <c r="GC198">
        <f>SUMIF('Как будет'!$A$17:$A$24,Доп.расчеты!$A198,'Как будет'!GD$17:GD$24)</f>
        <v>0</v>
      </c>
      <c r="GD198">
        <f>SUMIF('Как будет'!$A$17:$A$24,Доп.расчеты!$A198,'Как будет'!GE$17:GE$24)</f>
        <v>0</v>
      </c>
      <c r="GE198">
        <f>SUMIF('Как будет'!$A$17:$A$24,Доп.расчеты!$A198,'Как будет'!GF$17:GF$24)</f>
        <v>0</v>
      </c>
      <c r="GF198">
        <f>SUMIF('Как будет'!$A$17:$A$24,Доп.расчеты!$A198,'Как будет'!GG$17:GG$24)</f>
        <v>0</v>
      </c>
      <c r="GG198">
        <f>SUMIF('Как будет'!$A$17:$A$24,Доп.расчеты!$A198,'Как будет'!GH$17:GH$24)</f>
        <v>0</v>
      </c>
      <c r="GH198">
        <f>SUMIF('Как будет'!$A$17:$A$24,Доп.расчеты!$A198,'Как будет'!GI$17:GI$24)</f>
        <v>0</v>
      </c>
      <c r="GI198">
        <f>SUMIF('Как будет'!$A$17:$A$24,Доп.расчеты!$A198,'Как будет'!GJ$17:GJ$24)</f>
        <v>0</v>
      </c>
      <c r="GJ198">
        <f>SUMIF('Как будет'!$A$17:$A$24,Доп.расчеты!$A198,'Как будет'!GK$17:GK$24)</f>
        <v>0</v>
      </c>
      <c r="GK198">
        <f>SUMIF('Как будет'!$A$17:$A$24,Доп.расчеты!$A198,'Как будет'!GL$17:GL$24)</f>
        <v>0</v>
      </c>
      <c r="GL198">
        <f>SUMIF('Как будет'!$A$17:$A$24,Доп.расчеты!$A198,'Как будет'!GM$17:GM$24)</f>
        <v>0</v>
      </c>
      <c r="GM198">
        <f>SUMIF('Как будет'!$A$17:$A$24,Доп.расчеты!$A198,'Как будет'!GN$17:GN$24)</f>
        <v>0</v>
      </c>
      <c r="GN198">
        <f>SUMIF('Как будет'!$A$17:$A$24,Доп.расчеты!$A198,'Как будет'!GO$17:GO$24)</f>
        <v>0</v>
      </c>
      <c r="GO198">
        <f>SUMIF('Как будет'!$A$17:$A$24,Доп.расчеты!$A198,'Как будет'!GP$17:GP$24)</f>
        <v>0</v>
      </c>
      <c r="GP198">
        <f>SUMIF('Как будет'!$A$17:$A$24,Доп.расчеты!$A198,'Как будет'!GQ$17:GQ$24)</f>
        <v>0</v>
      </c>
      <c r="GQ198">
        <f>SUMIF('Как будет'!$A$17:$A$24,Доп.расчеты!$A198,'Как будет'!GR$17:GR$24)</f>
        <v>0</v>
      </c>
      <c r="GR198">
        <f>SUMIF('Как будет'!$A$17:$A$24,Доп.расчеты!$A198,'Как будет'!GS$17:GS$24)</f>
        <v>0</v>
      </c>
      <c r="GS198">
        <f>SUMIF('Как будет'!$A$17:$A$24,Доп.расчеты!$A198,'Как будет'!GT$17:GT$24)</f>
        <v>0</v>
      </c>
      <c r="GT198">
        <f>SUMIF('Как будет'!$A$17:$A$24,Доп.расчеты!$A198,'Как будет'!GU$17:GU$24)</f>
        <v>0</v>
      </c>
    </row>
    <row r="199" spans="1:202">
      <c r="A199" s="238" t="s">
        <v>94</v>
      </c>
      <c r="B199">
        <f>SUMIF('Как будет'!$A$17:$A$24,Доп.расчеты!$A199,'Как будет'!C$17:C$24)</f>
        <v>0</v>
      </c>
      <c r="C199">
        <f>SUMIF('Как будет'!$A$17:$A$24,Доп.расчеты!$A199,'Как будет'!D$17:D$24)</f>
        <v>0</v>
      </c>
      <c r="D199">
        <f>SUMIF('Как будет'!$A$17:$A$24,Доп.расчеты!$A199,'Как будет'!E$17:E$24)</f>
        <v>0</v>
      </c>
      <c r="E199">
        <f>SUMIF('Как будет'!$A$17:$A$24,Доп.расчеты!$A199,'Как будет'!F$17:F$24)</f>
        <v>0</v>
      </c>
      <c r="F199">
        <f>SUMIF('Как будет'!$A$17:$A$24,Доп.расчеты!$A199,'Как будет'!G$17:G$24)</f>
        <v>0</v>
      </c>
      <c r="G199">
        <f>SUMIF('Как будет'!$A$17:$A$24,Доп.расчеты!$A199,'Как будет'!H$17:H$24)</f>
        <v>0</v>
      </c>
      <c r="H199">
        <f>SUMIF('Как будет'!$A$17:$A$24,Доп.расчеты!$A199,'Как будет'!I$17:I$24)</f>
        <v>0</v>
      </c>
      <c r="I199">
        <f>SUMIF('Как будет'!$A$17:$A$24,Доп.расчеты!$A199,'Как будет'!J$17:J$24)</f>
        <v>0</v>
      </c>
      <c r="J199">
        <f>SUMIF('Как будет'!$A$17:$A$24,Доп.расчеты!$A199,'Как будет'!K$17:K$24)</f>
        <v>0</v>
      </c>
      <c r="K199">
        <f>SUMIF('Как будет'!$A$17:$A$24,Доп.расчеты!$A199,'Как будет'!L$17:L$24)</f>
        <v>0</v>
      </c>
      <c r="L199">
        <f>SUMIF('Как будет'!$A$17:$A$24,Доп.расчеты!$A199,'Как будет'!M$17:M$24)</f>
        <v>0</v>
      </c>
      <c r="M199">
        <f>SUMIF('Как будет'!$A$17:$A$24,Доп.расчеты!$A199,'Как будет'!N$17:N$24)</f>
        <v>0</v>
      </c>
      <c r="N199">
        <f>SUMIF('Как будет'!$A$17:$A$24,Доп.расчеты!$A199,'Как будет'!O$17:O$24)</f>
        <v>0</v>
      </c>
      <c r="O199">
        <f>SUMIF('Как будет'!$A$17:$A$24,Доп.расчеты!$A199,'Как будет'!P$17:P$24)</f>
        <v>0</v>
      </c>
      <c r="P199">
        <f>SUMIF('Как будет'!$A$17:$A$24,Доп.расчеты!$A199,'Как будет'!Q$17:Q$24)</f>
        <v>0</v>
      </c>
      <c r="Q199">
        <f>SUMIF('Как будет'!$A$17:$A$24,Доп.расчеты!$A199,'Как будет'!R$17:R$24)</f>
        <v>0</v>
      </c>
      <c r="R199">
        <f>SUMIF('Как будет'!$A$17:$A$24,Доп.расчеты!$A199,'Как будет'!S$17:S$24)</f>
        <v>0</v>
      </c>
      <c r="S199">
        <f>SUMIF('Как будет'!$A$17:$A$24,Доп.расчеты!$A199,'Как будет'!T$17:T$24)</f>
        <v>0</v>
      </c>
      <c r="T199">
        <f>SUMIF('Как будет'!$A$17:$A$24,Доп.расчеты!$A199,'Как будет'!U$17:U$24)</f>
        <v>0</v>
      </c>
      <c r="U199">
        <f>SUMIF('Как будет'!$A$17:$A$24,Доп.расчеты!$A199,'Как будет'!V$17:V$24)</f>
        <v>0</v>
      </c>
      <c r="V199">
        <f>SUMIF('Как будет'!$A$17:$A$24,Доп.расчеты!$A199,'Как будет'!W$17:W$24)</f>
        <v>0</v>
      </c>
      <c r="W199">
        <f>SUMIF('Как будет'!$A$17:$A$24,Доп.расчеты!$A199,'Как будет'!X$17:X$24)</f>
        <v>0</v>
      </c>
      <c r="X199">
        <f>SUMIF('Как будет'!$A$17:$A$24,Доп.расчеты!$A199,'Как будет'!Y$17:Y$24)</f>
        <v>0</v>
      </c>
      <c r="Y199">
        <f>SUMIF('Как будет'!$A$17:$A$24,Доп.расчеты!$A199,'Как будет'!Z$17:Z$24)</f>
        <v>0</v>
      </c>
      <c r="Z199">
        <f>SUMIF('Как будет'!$A$17:$A$24,Доп.расчеты!$A199,'Как будет'!AA$17:AA$24)</f>
        <v>0</v>
      </c>
      <c r="AA199">
        <f>SUMIF('Как будет'!$A$17:$A$24,Доп.расчеты!$A199,'Как будет'!AB$17:AB$24)</f>
        <v>0</v>
      </c>
      <c r="AB199">
        <f>SUMIF('Как будет'!$A$17:$A$24,Доп.расчеты!$A199,'Как будет'!AC$17:AC$24)</f>
        <v>0</v>
      </c>
      <c r="AC199">
        <f>SUMIF('Как будет'!$A$17:$A$24,Доп.расчеты!$A199,'Как будет'!AD$17:AD$24)</f>
        <v>0</v>
      </c>
      <c r="AD199">
        <f>SUMIF('Как будет'!$A$17:$A$24,Доп.расчеты!$A199,'Как будет'!AE$17:AE$24)</f>
        <v>0</v>
      </c>
      <c r="AE199">
        <f>SUMIF('Как будет'!$A$17:$A$24,Доп.расчеты!$A199,'Как будет'!AF$17:AF$24)</f>
        <v>0</v>
      </c>
      <c r="AF199">
        <f>SUMIF('Как будет'!$A$17:$A$24,Доп.расчеты!$A199,'Как будет'!AG$17:AG$24)</f>
        <v>0</v>
      </c>
      <c r="AG199">
        <f>SUMIF('Как будет'!$A$17:$A$24,Доп.расчеты!$A199,'Как будет'!AH$17:AH$24)</f>
        <v>0</v>
      </c>
      <c r="AH199">
        <f>SUMIF('Как будет'!$A$17:$A$24,Доп.расчеты!$A199,'Как будет'!AI$17:AI$24)</f>
        <v>0</v>
      </c>
      <c r="AI199">
        <f>SUMIF('Как будет'!$A$17:$A$24,Доп.расчеты!$A199,'Как будет'!AJ$17:AJ$24)</f>
        <v>0</v>
      </c>
      <c r="AJ199">
        <f>SUMIF('Как будет'!$A$17:$A$24,Доп.расчеты!$A199,'Как будет'!AK$17:AK$24)</f>
        <v>0</v>
      </c>
      <c r="AK199">
        <f>SUMIF('Как будет'!$A$17:$A$24,Доп.расчеты!$A199,'Как будет'!AL$17:AL$24)</f>
        <v>0</v>
      </c>
      <c r="AL199">
        <f>SUMIF('Как будет'!$A$17:$A$24,Доп.расчеты!$A199,'Как будет'!AM$17:AM$24)</f>
        <v>0</v>
      </c>
      <c r="AM199">
        <f>SUMIF('Как будет'!$A$17:$A$24,Доп.расчеты!$A199,'Как будет'!AN$17:AN$24)</f>
        <v>0</v>
      </c>
      <c r="AN199">
        <f>SUMIF('Как будет'!$A$17:$A$24,Доп.расчеты!$A199,'Как будет'!AO$17:AO$24)</f>
        <v>0</v>
      </c>
      <c r="AO199">
        <f>SUMIF('Как будет'!$A$17:$A$24,Доп.расчеты!$A199,'Как будет'!AP$17:AP$24)</f>
        <v>0</v>
      </c>
      <c r="AP199">
        <f>SUMIF('Как будет'!$A$17:$A$24,Доп.расчеты!$A199,'Как будет'!AQ$17:AQ$24)</f>
        <v>0</v>
      </c>
      <c r="AQ199">
        <f>SUMIF('Как будет'!$A$17:$A$24,Доп.расчеты!$A199,'Как будет'!AR$17:AR$24)</f>
        <v>0</v>
      </c>
      <c r="AR199">
        <f>SUMIF('Как будет'!$A$17:$A$24,Доп.расчеты!$A199,'Как будет'!AS$17:AS$24)</f>
        <v>0</v>
      </c>
      <c r="AS199">
        <f>SUMIF('Как будет'!$A$17:$A$24,Доп.расчеты!$A199,'Как будет'!AT$17:AT$24)</f>
        <v>0</v>
      </c>
      <c r="AT199">
        <f>SUMIF('Как будет'!$A$17:$A$24,Доп.расчеты!$A199,'Как будет'!AU$17:AU$24)</f>
        <v>0</v>
      </c>
      <c r="AU199">
        <f>SUMIF('Как будет'!$A$17:$A$24,Доп.расчеты!$A199,'Как будет'!AV$17:AV$24)</f>
        <v>0</v>
      </c>
      <c r="AV199">
        <f>SUMIF('Как будет'!$A$17:$A$24,Доп.расчеты!$A199,'Как будет'!AW$17:AW$24)</f>
        <v>0</v>
      </c>
      <c r="AW199">
        <f>SUMIF('Как будет'!$A$17:$A$24,Доп.расчеты!$A199,'Как будет'!AX$17:AX$24)</f>
        <v>0</v>
      </c>
      <c r="AX199">
        <f>SUMIF('Как будет'!$A$17:$A$24,Доп.расчеты!$A199,'Как будет'!AY$17:AY$24)</f>
        <v>0</v>
      </c>
      <c r="AY199">
        <f>SUMIF('Как будет'!$A$17:$A$24,Доп.расчеты!$A199,'Как будет'!AZ$17:AZ$24)</f>
        <v>0</v>
      </c>
      <c r="AZ199">
        <f>SUMIF('Как будет'!$A$17:$A$24,Доп.расчеты!$A199,'Как будет'!BA$17:BA$24)</f>
        <v>0</v>
      </c>
      <c r="BA199">
        <f>SUMIF('Как будет'!$A$17:$A$24,Доп.расчеты!$A199,'Как будет'!BB$17:BB$24)</f>
        <v>0</v>
      </c>
      <c r="BB199">
        <f>SUMIF('Как будет'!$A$17:$A$24,Доп.расчеты!$A199,'Как будет'!BC$17:BC$24)</f>
        <v>0</v>
      </c>
      <c r="BC199">
        <f>SUMIF('Как будет'!$A$17:$A$24,Доп.расчеты!$A199,'Как будет'!BD$17:BD$24)</f>
        <v>0</v>
      </c>
      <c r="BD199">
        <f>SUMIF('Как будет'!$A$17:$A$24,Доп.расчеты!$A199,'Как будет'!BE$17:BE$24)</f>
        <v>0</v>
      </c>
      <c r="BE199">
        <f>SUMIF('Как будет'!$A$17:$A$24,Доп.расчеты!$A199,'Как будет'!BF$17:BF$24)</f>
        <v>0</v>
      </c>
      <c r="BF199">
        <f>SUMIF('Как будет'!$A$17:$A$24,Доп.расчеты!$A199,'Как будет'!BG$17:BG$24)</f>
        <v>0</v>
      </c>
      <c r="BG199">
        <f>SUMIF('Как будет'!$A$17:$A$24,Доп.расчеты!$A199,'Как будет'!BH$17:BH$24)</f>
        <v>0</v>
      </c>
      <c r="BH199">
        <f>SUMIF('Как будет'!$A$17:$A$24,Доп.расчеты!$A199,'Как будет'!BI$17:BI$24)</f>
        <v>0</v>
      </c>
      <c r="BI199">
        <f>SUMIF('Как будет'!$A$17:$A$24,Доп.расчеты!$A199,'Как будет'!BJ$17:BJ$24)</f>
        <v>0</v>
      </c>
      <c r="BJ199">
        <f>SUMIF('Как будет'!$A$17:$A$24,Доп.расчеты!$A199,'Как будет'!BK$17:BK$24)</f>
        <v>0</v>
      </c>
      <c r="BK199">
        <f>SUMIF('Как будет'!$A$17:$A$24,Доп.расчеты!$A199,'Как будет'!BL$17:BL$24)</f>
        <v>0</v>
      </c>
      <c r="BL199">
        <f>SUMIF('Как будет'!$A$17:$A$24,Доп.расчеты!$A199,'Как будет'!BM$17:BM$24)</f>
        <v>0</v>
      </c>
      <c r="BM199">
        <f>SUMIF('Как будет'!$A$17:$A$24,Доп.расчеты!$A199,'Как будет'!BN$17:BN$24)</f>
        <v>0</v>
      </c>
      <c r="BN199">
        <f>SUMIF('Как будет'!$A$17:$A$24,Доп.расчеты!$A199,'Как будет'!BO$17:BO$24)</f>
        <v>0</v>
      </c>
      <c r="BO199">
        <f>SUMIF('Как будет'!$A$17:$A$24,Доп.расчеты!$A199,'Как будет'!BP$17:BP$24)</f>
        <v>0</v>
      </c>
      <c r="BP199">
        <f>SUMIF('Как будет'!$A$17:$A$24,Доп.расчеты!$A199,'Как будет'!BQ$17:BQ$24)</f>
        <v>0</v>
      </c>
      <c r="BQ199">
        <f>SUMIF('Как будет'!$A$17:$A$24,Доп.расчеты!$A199,'Как будет'!BR$17:BR$24)</f>
        <v>0</v>
      </c>
      <c r="BR199">
        <f>SUMIF('Как будет'!$A$17:$A$24,Доп.расчеты!$A199,'Как будет'!BS$17:BS$24)</f>
        <v>0</v>
      </c>
      <c r="BS199">
        <f>SUMIF('Как будет'!$A$17:$A$24,Доп.расчеты!$A199,'Как будет'!BT$17:BT$24)</f>
        <v>0</v>
      </c>
      <c r="BT199">
        <f>SUMIF('Как будет'!$A$17:$A$24,Доп.расчеты!$A199,'Как будет'!BU$17:BU$24)</f>
        <v>0</v>
      </c>
      <c r="BU199">
        <f>SUMIF('Как будет'!$A$17:$A$24,Доп.расчеты!$A199,'Как будет'!BV$17:BV$24)</f>
        <v>0</v>
      </c>
      <c r="BV199">
        <f>SUMIF('Как будет'!$A$17:$A$24,Доп.расчеты!$A199,'Как будет'!BW$17:BW$24)</f>
        <v>0</v>
      </c>
      <c r="BW199">
        <f>SUMIF('Как будет'!$A$17:$A$24,Доп.расчеты!$A199,'Как будет'!BX$17:BX$24)</f>
        <v>0</v>
      </c>
      <c r="BX199">
        <f>SUMIF('Как будет'!$A$17:$A$24,Доп.расчеты!$A199,'Как будет'!BY$17:BY$24)</f>
        <v>0</v>
      </c>
      <c r="BY199">
        <f>SUMIF('Как будет'!$A$17:$A$24,Доп.расчеты!$A199,'Как будет'!BZ$17:BZ$24)</f>
        <v>0</v>
      </c>
      <c r="BZ199">
        <f>SUMIF('Как будет'!$A$17:$A$24,Доп.расчеты!$A199,'Как будет'!CA$17:CA$24)</f>
        <v>0</v>
      </c>
      <c r="CA199">
        <f>SUMIF('Как будет'!$A$17:$A$24,Доп.расчеты!$A199,'Как будет'!CB$17:CB$24)</f>
        <v>0</v>
      </c>
      <c r="CB199">
        <f>SUMIF('Как будет'!$A$17:$A$24,Доп.расчеты!$A199,'Как будет'!CC$17:CC$24)</f>
        <v>0</v>
      </c>
      <c r="CC199">
        <f>SUMIF('Как будет'!$A$17:$A$24,Доп.расчеты!$A199,'Как будет'!CD$17:CD$24)</f>
        <v>0</v>
      </c>
      <c r="CD199">
        <f>SUMIF('Как будет'!$A$17:$A$24,Доп.расчеты!$A199,'Как будет'!CE$17:CE$24)</f>
        <v>0</v>
      </c>
      <c r="CE199">
        <f>SUMIF('Как будет'!$A$17:$A$24,Доп.расчеты!$A199,'Как будет'!CF$17:CF$24)</f>
        <v>0</v>
      </c>
      <c r="CF199">
        <f>SUMIF('Как будет'!$A$17:$A$24,Доп.расчеты!$A199,'Как будет'!CG$17:CG$24)</f>
        <v>0</v>
      </c>
      <c r="CG199">
        <f>SUMIF('Как будет'!$A$17:$A$24,Доп.расчеты!$A199,'Как будет'!CH$17:CH$24)</f>
        <v>0</v>
      </c>
      <c r="CH199">
        <f>SUMIF('Как будет'!$A$17:$A$24,Доп.расчеты!$A199,'Как будет'!CI$17:CI$24)</f>
        <v>0</v>
      </c>
      <c r="CI199">
        <f>SUMIF('Как будет'!$A$17:$A$24,Доп.расчеты!$A199,'Как будет'!CJ$17:CJ$24)</f>
        <v>0</v>
      </c>
      <c r="CJ199">
        <f>SUMIF('Как будет'!$A$17:$A$24,Доп.расчеты!$A199,'Как будет'!CK$17:CK$24)</f>
        <v>0</v>
      </c>
      <c r="CK199">
        <f>SUMIF('Как будет'!$A$17:$A$24,Доп.расчеты!$A199,'Как будет'!CL$17:CL$24)</f>
        <v>0</v>
      </c>
      <c r="CL199">
        <f>SUMIF('Как будет'!$A$17:$A$24,Доп.расчеты!$A199,'Как будет'!CM$17:CM$24)</f>
        <v>0</v>
      </c>
      <c r="CM199">
        <f>SUMIF('Как будет'!$A$17:$A$24,Доп.расчеты!$A199,'Как будет'!CN$17:CN$24)</f>
        <v>0</v>
      </c>
      <c r="CN199">
        <f>SUMIF('Как будет'!$A$17:$A$24,Доп.расчеты!$A199,'Как будет'!CO$17:CO$24)</f>
        <v>0</v>
      </c>
      <c r="CO199">
        <f>SUMIF('Как будет'!$A$17:$A$24,Доп.расчеты!$A199,'Как будет'!CP$17:CP$24)</f>
        <v>0</v>
      </c>
      <c r="CP199">
        <f>SUMIF('Как будет'!$A$17:$A$24,Доп.расчеты!$A199,'Как будет'!CQ$17:CQ$24)</f>
        <v>0</v>
      </c>
      <c r="CQ199">
        <f>SUMIF('Как будет'!$A$17:$A$24,Доп.расчеты!$A199,'Как будет'!CR$17:CR$24)</f>
        <v>0</v>
      </c>
      <c r="CR199">
        <f>SUMIF('Как будет'!$A$17:$A$24,Доп.расчеты!$A199,'Как будет'!CS$17:CS$24)</f>
        <v>0</v>
      </c>
      <c r="CS199">
        <f>SUMIF('Как будет'!$A$17:$A$24,Доп.расчеты!$A199,'Как будет'!CT$17:CT$24)</f>
        <v>0</v>
      </c>
      <c r="CT199">
        <f>SUMIF('Как будет'!$A$17:$A$24,Доп.расчеты!$A199,'Как будет'!CU$17:CU$24)</f>
        <v>0</v>
      </c>
      <c r="CU199">
        <f>SUMIF('Как будет'!$A$17:$A$24,Доп.расчеты!$A199,'Как будет'!CV$17:CV$24)</f>
        <v>0</v>
      </c>
      <c r="CV199">
        <f>SUMIF('Как будет'!$A$17:$A$24,Доп.расчеты!$A199,'Как будет'!CW$17:CW$24)</f>
        <v>0</v>
      </c>
      <c r="CW199">
        <f>SUMIF('Как будет'!$A$17:$A$24,Доп.расчеты!$A199,'Как будет'!CX$17:CX$24)</f>
        <v>0</v>
      </c>
      <c r="CX199">
        <f>SUMIF('Как будет'!$A$17:$A$24,Доп.расчеты!$A199,'Как будет'!CY$17:CY$24)</f>
        <v>0</v>
      </c>
      <c r="CY199">
        <f>SUMIF('Как будет'!$A$17:$A$24,Доп.расчеты!$A199,'Как будет'!CZ$17:CZ$24)</f>
        <v>0</v>
      </c>
      <c r="CZ199">
        <f>SUMIF('Как будет'!$A$17:$A$24,Доп.расчеты!$A199,'Как будет'!DA$17:DA$24)</f>
        <v>0</v>
      </c>
      <c r="DA199">
        <f>SUMIF('Как будет'!$A$17:$A$24,Доп.расчеты!$A199,'Как будет'!DB$17:DB$24)</f>
        <v>0</v>
      </c>
      <c r="DB199">
        <f>SUMIF('Как будет'!$A$17:$A$24,Доп.расчеты!$A199,'Как будет'!DC$17:DC$24)</f>
        <v>0</v>
      </c>
      <c r="DC199">
        <f>SUMIF('Как будет'!$A$17:$A$24,Доп.расчеты!$A199,'Как будет'!DD$17:DD$24)</f>
        <v>0</v>
      </c>
      <c r="DD199">
        <f>SUMIF('Как будет'!$A$17:$A$24,Доп.расчеты!$A199,'Как будет'!DE$17:DE$24)</f>
        <v>0</v>
      </c>
      <c r="DE199">
        <f>SUMIF('Как будет'!$A$17:$A$24,Доп.расчеты!$A199,'Как будет'!DF$17:DF$24)</f>
        <v>0</v>
      </c>
      <c r="DF199">
        <f>SUMIF('Как будет'!$A$17:$A$24,Доп.расчеты!$A199,'Как будет'!DG$17:DG$24)</f>
        <v>0</v>
      </c>
      <c r="DG199">
        <f>SUMIF('Как будет'!$A$17:$A$24,Доп.расчеты!$A199,'Как будет'!DH$17:DH$24)</f>
        <v>0</v>
      </c>
      <c r="DH199">
        <f>SUMIF('Как будет'!$A$17:$A$24,Доп.расчеты!$A199,'Как будет'!DI$17:DI$24)</f>
        <v>0</v>
      </c>
      <c r="DI199">
        <f>SUMIF('Как будет'!$A$17:$A$24,Доп.расчеты!$A199,'Как будет'!DJ$17:DJ$24)</f>
        <v>0</v>
      </c>
      <c r="DJ199">
        <f>SUMIF('Как будет'!$A$17:$A$24,Доп.расчеты!$A199,'Как будет'!DK$17:DK$24)</f>
        <v>0</v>
      </c>
      <c r="DK199">
        <f>SUMIF('Как будет'!$A$17:$A$24,Доп.расчеты!$A199,'Как будет'!DL$17:DL$24)</f>
        <v>0</v>
      </c>
      <c r="DL199">
        <f>SUMIF('Как будет'!$A$17:$A$24,Доп.расчеты!$A199,'Как будет'!DM$17:DM$24)</f>
        <v>0</v>
      </c>
      <c r="DM199">
        <f>SUMIF('Как будет'!$A$17:$A$24,Доп.расчеты!$A199,'Как будет'!DN$17:DN$24)</f>
        <v>0</v>
      </c>
      <c r="DN199">
        <f>SUMIF('Как будет'!$A$17:$A$24,Доп.расчеты!$A199,'Как будет'!DO$17:DO$24)</f>
        <v>0</v>
      </c>
      <c r="DO199">
        <f>SUMIF('Как будет'!$A$17:$A$24,Доп.расчеты!$A199,'Как будет'!DP$17:DP$24)</f>
        <v>0</v>
      </c>
      <c r="DP199">
        <f>SUMIF('Как будет'!$A$17:$A$24,Доп.расчеты!$A199,'Как будет'!DQ$17:DQ$24)</f>
        <v>0</v>
      </c>
      <c r="DQ199">
        <f>SUMIF('Как будет'!$A$17:$A$24,Доп.расчеты!$A199,'Как будет'!DR$17:DR$24)</f>
        <v>0</v>
      </c>
      <c r="DR199">
        <f>SUMIF('Как будет'!$A$17:$A$24,Доп.расчеты!$A199,'Как будет'!DS$17:DS$24)</f>
        <v>0</v>
      </c>
      <c r="DS199">
        <f>SUMIF('Как будет'!$A$17:$A$24,Доп.расчеты!$A199,'Как будет'!DT$17:DT$24)</f>
        <v>0</v>
      </c>
      <c r="DT199">
        <f>SUMIF('Как будет'!$A$17:$A$24,Доп.расчеты!$A199,'Как будет'!DU$17:DU$24)</f>
        <v>0</v>
      </c>
      <c r="DU199">
        <f>SUMIF('Как будет'!$A$17:$A$24,Доп.расчеты!$A199,'Как будет'!DV$17:DV$24)</f>
        <v>0</v>
      </c>
      <c r="DV199">
        <f>SUMIF('Как будет'!$A$17:$A$24,Доп.расчеты!$A199,'Как будет'!DW$17:DW$24)</f>
        <v>0</v>
      </c>
      <c r="DW199">
        <f>SUMIF('Как будет'!$A$17:$A$24,Доп.расчеты!$A199,'Как будет'!DX$17:DX$24)</f>
        <v>0</v>
      </c>
      <c r="DX199">
        <f>SUMIF('Как будет'!$A$17:$A$24,Доп.расчеты!$A199,'Как будет'!DY$17:DY$24)</f>
        <v>0</v>
      </c>
      <c r="DY199">
        <f>SUMIF('Как будет'!$A$17:$A$24,Доп.расчеты!$A199,'Как будет'!DZ$17:DZ$24)</f>
        <v>0</v>
      </c>
      <c r="DZ199">
        <f>SUMIF('Как будет'!$A$17:$A$24,Доп.расчеты!$A199,'Как будет'!EA$17:EA$24)</f>
        <v>0</v>
      </c>
      <c r="EA199">
        <f>SUMIF('Как будет'!$A$17:$A$24,Доп.расчеты!$A199,'Как будет'!EB$17:EB$24)</f>
        <v>0</v>
      </c>
      <c r="EB199">
        <f>SUMIF('Как будет'!$A$17:$A$24,Доп.расчеты!$A199,'Как будет'!EC$17:EC$24)</f>
        <v>0</v>
      </c>
      <c r="EC199">
        <f>SUMIF('Как будет'!$A$17:$A$24,Доп.расчеты!$A199,'Как будет'!ED$17:ED$24)</f>
        <v>0</v>
      </c>
      <c r="ED199">
        <f>SUMIF('Как будет'!$A$17:$A$24,Доп.расчеты!$A199,'Как будет'!EE$17:EE$24)</f>
        <v>0</v>
      </c>
      <c r="EE199">
        <f>SUMIF('Как будет'!$A$17:$A$24,Доп.расчеты!$A199,'Как будет'!EF$17:EF$24)</f>
        <v>0</v>
      </c>
      <c r="EF199">
        <f>SUMIF('Как будет'!$A$17:$A$24,Доп.расчеты!$A199,'Как будет'!EG$17:EG$24)</f>
        <v>0</v>
      </c>
      <c r="EG199">
        <f>SUMIF('Как будет'!$A$17:$A$24,Доп.расчеты!$A199,'Как будет'!EH$17:EH$24)</f>
        <v>0</v>
      </c>
      <c r="EH199">
        <f>SUMIF('Как будет'!$A$17:$A$24,Доп.расчеты!$A199,'Как будет'!EI$17:EI$24)</f>
        <v>0</v>
      </c>
      <c r="EI199">
        <f>SUMIF('Как будет'!$A$17:$A$24,Доп.расчеты!$A199,'Как будет'!EJ$17:EJ$24)</f>
        <v>0</v>
      </c>
      <c r="EJ199">
        <f>SUMIF('Как будет'!$A$17:$A$24,Доп.расчеты!$A199,'Как будет'!EK$17:EK$24)</f>
        <v>0</v>
      </c>
      <c r="EK199">
        <f>SUMIF('Как будет'!$A$17:$A$24,Доп.расчеты!$A199,'Как будет'!EL$17:EL$24)</f>
        <v>0</v>
      </c>
      <c r="EL199">
        <f>SUMIF('Как будет'!$A$17:$A$24,Доп.расчеты!$A199,'Как будет'!EM$17:EM$24)</f>
        <v>0</v>
      </c>
      <c r="EM199">
        <f>SUMIF('Как будет'!$A$17:$A$24,Доп.расчеты!$A199,'Как будет'!EN$17:EN$24)</f>
        <v>0</v>
      </c>
      <c r="EN199">
        <f>SUMIF('Как будет'!$A$17:$A$24,Доп.расчеты!$A199,'Как будет'!EO$17:EO$24)</f>
        <v>0</v>
      </c>
      <c r="EO199">
        <f>SUMIF('Как будет'!$A$17:$A$24,Доп.расчеты!$A199,'Как будет'!EP$17:EP$24)</f>
        <v>0</v>
      </c>
      <c r="EP199">
        <f>SUMIF('Как будет'!$A$17:$A$24,Доп.расчеты!$A199,'Как будет'!EQ$17:EQ$24)</f>
        <v>0</v>
      </c>
      <c r="EQ199">
        <f>SUMIF('Как будет'!$A$17:$A$24,Доп.расчеты!$A199,'Как будет'!ER$17:ER$24)</f>
        <v>0</v>
      </c>
      <c r="ER199">
        <f>SUMIF('Как будет'!$A$17:$A$24,Доп.расчеты!$A199,'Как будет'!ES$17:ES$24)</f>
        <v>0</v>
      </c>
      <c r="ES199">
        <f>SUMIF('Как будет'!$A$17:$A$24,Доп.расчеты!$A199,'Как будет'!ET$17:ET$24)</f>
        <v>0</v>
      </c>
      <c r="ET199">
        <f>SUMIF('Как будет'!$A$17:$A$24,Доп.расчеты!$A199,'Как будет'!EU$17:EU$24)</f>
        <v>0</v>
      </c>
      <c r="EU199">
        <f>SUMIF('Как будет'!$A$17:$A$24,Доп.расчеты!$A199,'Как будет'!EV$17:EV$24)</f>
        <v>0</v>
      </c>
      <c r="EV199">
        <f>SUMIF('Как будет'!$A$17:$A$24,Доп.расчеты!$A199,'Как будет'!EW$17:EW$24)</f>
        <v>0</v>
      </c>
      <c r="EW199">
        <f>SUMIF('Как будет'!$A$17:$A$24,Доп.расчеты!$A199,'Как будет'!EX$17:EX$24)</f>
        <v>0</v>
      </c>
      <c r="EX199">
        <f>SUMIF('Как будет'!$A$17:$A$24,Доп.расчеты!$A199,'Как будет'!EY$17:EY$24)</f>
        <v>0</v>
      </c>
      <c r="EY199">
        <f>SUMIF('Как будет'!$A$17:$A$24,Доп.расчеты!$A199,'Как будет'!EZ$17:EZ$24)</f>
        <v>0</v>
      </c>
      <c r="EZ199">
        <f>SUMIF('Как будет'!$A$17:$A$24,Доп.расчеты!$A199,'Как будет'!FA$17:FA$24)</f>
        <v>0</v>
      </c>
      <c r="FA199">
        <f>SUMIF('Как будет'!$A$17:$A$24,Доп.расчеты!$A199,'Как будет'!FB$17:FB$24)</f>
        <v>0</v>
      </c>
      <c r="FB199">
        <f>SUMIF('Как будет'!$A$17:$A$24,Доп.расчеты!$A199,'Как будет'!FC$17:FC$24)</f>
        <v>0</v>
      </c>
      <c r="FC199">
        <f>SUMIF('Как будет'!$A$17:$A$24,Доп.расчеты!$A199,'Как будет'!FD$17:FD$24)</f>
        <v>0</v>
      </c>
      <c r="FD199">
        <f>SUMIF('Как будет'!$A$17:$A$24,Доп.расчеты!$A199,'Как будет'!FE$17:FE$24)</f>
        <v>0</v>
      </c>
      <c r="FE199">
        <f>SUMIF('Как будет'!$A$17:$A$24,Доп.расчеты!$A199,'Как будет'!FF$17:FF$24)</f>
        <v>0</v>
      </c>
      <c r="FF199">
        <f>SUMIF('Как будет'!$A$17:$A$24,Доп.расчеты!$A199,'Как будет'!FG$17:FG$24)</f>
        <v>0</v>
      </c>
      <c r="FG199">
        <f>SUMIF('Как будет'!$A$17:$A$24,Доп.расчеты!$A199,'Как будет'!FH$17:FH$24)</f>
        <v>0</v>
      </c>
      <c r="FH199">
        <f>SUMIF('Как будет'!$A$17:$A$24,Доп.расчеты!$A199,'Как будет'!FI$17:FI$24)</f>
        <v>0</v>
      </c>
      <c r="FI199">
        <f>SUMIF('Как будет'!$A$17:$A$24,Доп.расчеты!$A199,'Как будет'!FJ$17:FJ$24)</f>
        <v>0</v>
      </c>
      <c r="FJ199">
        <f>SUMIF('Как будет'!$A$17:$A$24,Доп.расчеты!$A199,'Как будет'!FK$17:FK$24)</f>
        <v>0</v>
      </c>
      <c r="FK199">
        <f>SUMIF('Как будет'!$A$17:$A$24,Доп.расчеты!$A199,'Как будет'!FL$17:FL$24)</f>
        <v>0</v>
      </c>
      <c r="FL199">
        <f>SUMIF('Как будет'!$A$17:$A$24,Доп.расчеты!$A199,'Как будет'!FM$17:FM$24)</f>
        <v>0</v>
      </c>
      <c r="FM199">
        <f>SUMIF('Как будет'!$A$17:$A$24,Доп.расчеты!$A199,'Как будет'!FN$17:FN$24)</f>
        <v>0</v>
      </c>
      <c r="FN199">
        <f>SUMIF('Как будет'!$A$17:$A$24,Доп.расчеты!$A199,'Как будет'!FO$17:FO$24)</f>
        <v>0</v>
      </c>
      <c r="FO199">
        <f>SUMIF('Как будет'!$A$17:$A$24,Доп.расчеты!$A199,'Как будет'!FP$17:FP$24)</f>
        <v>0</v>
      </c>
      <c r="FP199">
        <f>SUMIF('Как будет'!$A$17:$A$24,Доп.расчеты!$A199,'Как будет'!FQ$17:FQ$24)</f>
        <v>0</v>
      </c>
      <c r="FQ199">
        <f>SUMIF('Как будет'!$A$17:$A$24,Доп.расчеты!$A199,'Как будет'!FR$17:FR$24)</f>
        <v>0</v>
      </c>
      <c r="FR199">
        <f>SUMIF('Как будет'!$A$17:$A$24,Доп.расчеты!$A199,'Как будет'!FS$17:FS$24)</f>
        <v>0</v>
      </c>
      <c r="FS199">
        <f>SUMIF('Как будет'!$A$17:$A$24,Доп.расчеты!$A199,'Как будет'!FT$17:FT$24)</f>
        <v>0</v>
      </c>
      <c r="FT199">
        <f>SUMIF('Как будет'!$A$17:$A$24,Доп.расчеты!$A199,'Как будет'!FU$17:FU$24)</f>
        <v>0</v>
      </c>
      <c r="FU199">
        <f>SUMIF('Как будет'!$A$17:$A$24,Доп.расчеты!$A199,'Как будет'!FV$17:FV$24)</f>
        <v>0</v>
      </c>
      <c r="FV199">
        <f>SUMIF('Как будет'!$A$17:$A$24,Доп.расчеты!$A199,'Как будет'!FW$17:FW$24)</f>
        <v>0</v>
      </c>
      <c r="FW199">
        <f>SUMIF('Как будет'!$A$17:$A$24,Доп.расчеты!$A199,'Как будет'!FX$17:FX$24)</f>
        <v>0</v>
      </c>
      <c r="FX199">
        <f>SUMIF('Как будет'!$A$17:$A$24,Доп.расчеты!$A199,'Как будет'!FY$17:FY$24)</f>
        <v>0</v>
      </c>
      <c r="FY199">
        <f>SUMIF('Как будет'!$A$17:$A$24,Доп.расчеты!$A199,'Как будет'!FZ$17:FZ$24)</f>
        <v>0</v>
      </c>
      <c r="FZ199">
        <f>SUMIF('Как будет'!$A$17:$A$24,Доп.расчеты!$A199,'Как будет'!GA$17:GA$24)</f>
        <v>0</v>
      </c>
      <c r="GA199">
        <f>SUMIF('Как будет'!$A$17:$A$24,Доп.расчеты!$A199,'Как будет'!GB$17:GB$24)</f>
        <v>0</v>
      </c>
      <c r="GB199">
        <f>SUMIF('Как будет'!$A$17:$A$24,Доп.расчеты!$A199,'Как будет'!GC$17:GC$24)</f>
        <v>0</v>
      </c>
      <c r="GC199">
        <f>SUMIF('Как будет'!$A$17:$A$24,Доп.расчеты!$A199,'Как будет'!GD$17:GD$24)</f>
        <v>0</v>
      </c>
      <c r="GD199">
        <f>SUMIF('Как будет'!$A$17:$A$24,Доп.расчеты!$A199,'Как будет'!GE$17:GE$24)</f>
        <v>0</v>
      </c>
      <c r="GE199">
        <f>SUMIF('Как будет'!$A$17:$A$24,Доп.расчеты!$A199,'Как будет'!GF$17:GF$24)</f>
        <v>0</v>
      </c>
      <c r="GF199">
        <f>SUMIF('Как будет'!$A$17:$A$24,Доп.расчеты!$A199,'Как будет'!GG$17:GG$24)</f>
        <v>0</v>
      </c>
      <c r="GG199">
        <f>SUMIF('Как будет'!$A$17:$A$24,Доп.расчеты!$A199,'Как будет'!GH$17:GH$24)</f>
        <v>0</v>
      </c>
      <c r="GH199">
        <f>SUMIF('Как будет'!$A$17:$A$24,Доп.расчеты!$A199,'Как будет'!GI$17:GI$24)</f>
        <v>0</v>
      </c>
      <c r="GI199">
        <f>SUMIF('Как будет'!$A$17:$A$24,Доп.расчеты!$A199,'Как будет'!GJ$17:GJ$24)</f>
        <v>0</v>
      </c>
      <c r="GJ199">
        <f>SUMIF('Как будет'!$A$17:$A$24,Доп.расчеты!$A199,'Как будет'!GK$17:GK$24)</f>
        <v>0</v>
      </c>
      <c r="GK199">
        <f>SUMIF('Как будет'!$A$17:$A$24,Доп.расчеты!$A199,'Как будет'!GL$17:GL$24)</f>
        <v>0</v>
      </c>
      <c r="GL199">
        <f>SUMIF('Как будет'!$A$17:$A$24,Доп.расчеты!$A199,'Как будет'!GM$17:GM$24)</f>
        <v>0</v>
      </c>
      <c r="GM199">
        <f>SUMIF('Как будет'!$A$17:$A$24,Доп.расчеты!$A199,'Как будет'!GN$17:GN$24)</f>
        <v>0</v>
      </c>
      <c r="GN199">
        <f>SUMIF('Как будет'!$A$17:$A$24,Доп.расчеты!$A199,'Как будет'!GO$17:GO$24)</f>
        <v>0</v>
      </c>
      <c r="GO199">
        <f>SUMIF('Как будет'!$A$17:$A$24,Доп.расчеты!$A199,'Как будет'!GP$17:GP$24)</f>
        <v>0</v>
      </c>
      <c r="GP199">
        <f>SUMIF('Как будет'!$A$17:$A$24,Доп.расчеты!$A199,'Как будет'!GQ$17:GQ$24)</f>
        <v>0</v>
      </c>
      <c r="GQ199">
        <f>SUMIF('Как будет'!$A$17:$A$24,Доп.расчеты!$A199,'Как будет'!GR$17:GR$24)</f>
        <v>0</v>
      </c>
      <c r="GR199">
        <f>SUMIF('Как будет'!$A$17:$A$24,Доп.расчеты!$A199,'Как будет'!GS$17:GS$24)</f>
        <v>0</v>
      </c>
      <c r="GS199">
        <f>SUMIF('Как будет'!$A$17:$A$24,Доп.расчеты!$A199,'Как будет'!GT$17:GT$24)</f>
        <v>0</v>
      </c>
      <c r="GT199">
        <f>SUMIF('Как будет'!$A$17:$A$24,Доп.расчеты!$A199,'Как будет'!GU$17:GU$24)</f>
        <v>0</v>
      </c>
    </row>
    <row r="200" spans="1:202">
      <c r="A200" s="238" t="s">
        <v>95</v>
      </c>
      <c r="B200">
        <f>SUMIF('Как будет'!$A$17:$A$24,Доп.расчеты!$A200,'Как будет'!C$17:C$24)</f>
        <v>0</v>
      </c>
      <c r="C200">
        <f>SUMIF('Как будет'!$A$17:$A$24,Доп.расчеты!$A200,'Как будет'!D$17:D$24)</f>
        <v>0</v>
      </c>
      <c r="D200">
        <f>SUMIF('Как будет'!$A$17:$A$24,Доп.расчеты!$A200,'Как будет'!E$17:E$24)</f>
        <v>0</v>
      </c>
      <c r="E200">
        <f>SUMIF('Как будет'!$A$17:$A$24,Доп.расчеты!$A200,'Как будет'!F$17:F$24)</f>
        <v>0</v>
      </c>
      <c r="F200">
        <f>SUMIF('Как будет'!$A$17:$A$24,Доп.расчеты!$A200,'Как будет'!G$17:G$24)</f>
        <v>0</v>
      </c>
      <c r="G200">
        <f>SUMIF('Как будет'!$A$17:$A$24,Доп.расчеты!$A200,'Как будет'!H$17:H$24)</f>
        <v>0</v>
      </c>
      <c r="H200">
        <f>SUMIF('Как будет'!$A$17:$A$24,Доп.расчеты!$A200,'Как будет'!I$17:I$24)</f>
        <v>0</v>
      </c>
      <c r="I200">
        <f>SUMIF('Как будет'!$A$17:$A$24,Доп.расчеты!$A200,'Как будет'!J$17:J$24)</f>
        <v>0</v>
      </c>
      <c r="J200">
        <f>SUMIF('Как будет'!$A$17:$A$24,Доп.расчеты!$A200,'Как будет'!K$17:K$24)</f>
        <v>0</v>
      </c>
      <c r="K200">
        <f>SUMIF('Как будет'!$A$17:$A$24,Доп.расчеты!$A200,'Как будет'!L$17:L$24)</f>
        <v>0</v>
      </c>
      <c r="L200">
        <f>SUMIF('Как будет'!$A$17:$A$24,Доп.расчеты!$A200,'Как будет'!M$17:M$24)</f>
        <v>0</v>
      </c>
      <c r="M200">
        <f>SUMIF('Как будет'!$A$17:$A$24,Доп.расчеты!$A200,'Как будет'!N$17:N$24)</f>
        <v>0</v>
      </c>
      <c r="N200">
        <f>SUMIF('Как будет'!$A$17:$A$24,Доп.расчеты!$A200,'Как будет'!O$17:O$24)</f>
        <v>0</v>
      </c>
      <c r="O200">
        <f>SUMIF('Как будет'!$A$17:$A$24,Доп.расчеты!$A200,'Как будет'!P$17:P$24)</f>
        <v>0</v>
      </c>
      <c r="P200">
        <f>SUMIF('Как будет'!$A$17:$A$24,Доп.расчеты!$A200,'Как будет'!Q$17:Q$24)</f>
        <v>0</v>
      </c>
      <c r="Q200">
        <f>SUMIF('Как будет'!$A$17:$A$24,Доп.расчеты!$A200,'Как будет'!R$17:R$24)</f>
        <v>0</v>
      </c>
      <c r="R200">
        <f>SUMIF('Как будет'!$A$17:$A$24,Доп.расчеты!$A200,'Как будет'!S$17:S$24)</f>
        <v>0</v>
      </c>
      <c r="S200">
        <f>SUMIF('Как будет'!$A$17:$A$24,Доп.расчеты!$A200,'Как будет'!T$17:T$24)</f>
        <v>0</v>
      </c>
      <c r="T200">
        <f>SUMIF('Как будет'!$A$17:$A$24,Доп.расчеты!$A200,'Как будет'!U$17:U$24)</f>
        <v>0</v>
      </c>
      <c r="U200">
        <f>SUMIF('Как будет'!$A$17:$A$24,Доп.расчеты!$A200,'Как будет'!V$17:V$24)</f>
        <v>0</v>
      </c>
      <c r="V200">
        <f>SUMIF('Как будет'!$A$17:$A$24,Доп.расчеты!$A200,'Как будет'!W$17:W$24)</f>
        <v>0</v>
      </c>
      <c r="W200">
        <f>SUMIF('Как будет'!$A$17:$A$24,Доп.расчеты!$A200,'Как будет'!X$17:X$24)</f>
        <v>0</v>
      </c>
      <c r="X200">
        <f>SUMIF('Как будет'!$A$17:$A$24,Доп.расчеты!$A200,'Как будет'!Y$17:Y$24)</f>
        <v>0</v>
      </c>
      <c r="Y200">
        <f>SUMIF('Как будет'!$A$17:$A$24,Доп.расчеты!$A200,'Как будет'!Z$17:Z$24)</f>
        <v>0</v>
      </c>
      <c r="Z200">
        <f>SUMIF('Как будет'!$A$17:$A$24,Доп.расчеты!$A200,'Как будет'!AA$17:AA$24)</f>
        <v>0</v>
      </c>
      <c r="AA200">
        <f>SUMIF('Как будет'!$A$17:$A$24,Доп.расчеты!$A200,'Как будет'!AB$17:AB$24)</f>
        <v>0</v>
      </c>
      <c r="AB200">
        <f>SUMIF('Как будет'!$A$17:$A$24,Доп.расчеты!$A200,'Как будет'!AC$17:AC$24)</f>
        <v>0</v>
      </c>
      <c r="AC200">
        <f>SUMIF('Как будет'!$A$17:$A$24,Доп.расчеты!$A200,'Как будет'!AD$17:AD$24)</f>
        <v>0</v>
      </c>
      <c r="AD200">
        <f>SUMIF('Как будет'!$A$17:$A$24,Доп.расчеты!$A200,'Как будет'!AE$17:AE$24)</f>
        <v>0</v>
      </c>
      <c r="AE200">
        <f>SUMIF('Как будет'!$A$17:$A$24,Доп.расчеты!$A200,'Как будет'!AF$17:AF$24)</f>
        <v>0</v>
      </c>
      <c r="AF200">
        <f>SUMIF('Как будет'!$A$17:$A$24,Доп.расчеты!$A200,'Как будет'!AG$17:AG$24)</f>
        <v>0</v>
      </c>
      <c r="AG200">
        <f>SUMIF('Как будет'!$A$17:$A$24,Доп.расчеты!$A200,'Как будет'!AH$17:AH$24)</f>
        <v>0</v>
      </c>
      <c r="AH200">
        <f>SUMIF('Как будет'!$A$17:$A$24,Доп.расчеты!$A200,'Как будет'!AI$17:AI$24)</f>
        <v>0</v>
      </c>
      <c r="AI200">
        <f>SUMIF('Как будет'!$A$17:$A$24,Доп.расчеты!$A200,'Как будет'!AJ$17:AJ$24)</f>
        <v>0</v>
      </c>
      <c r="AJ200">
        <f>SUMIF('Как будет'!$A$17:$A$24,Доп.расчеты!$A200,'Как будет'!AK$17:AK$24)</f>
        <v>0</v>
      </c>
      <c r="AK200">
        <f>SUMIF('Как будет'!$A$17:$A$24,Доп.расчеты!$A200,'Как будет'!AL$17:AL$24)</f>
        <v>0</v>
      </c>
      <c r="AL200">
        <f>SUMIF('Как будет'!$A$17:$A$24,Доп.расчеты!$A200,'Как будет'!AM$17:AM$24)</f>
        <v>0</v>
      </c>
      <c r="AM200">
        <f>SUMIF('Как будет'!$A$17:$A$24,Доп.расчеты!$A200,'Как будет'!AN$17:AN$24)</f>
        <v>0</v>
      </c>
      <c r="AN200">
        <f>SUMIF('Как будет'!$A$17:$A$24,Доп.расчеты!$A200,'Как будет'!AO$17:AO$24)</f>
        <v>0</v>
      </c>
      <c r="AO200">
        <f>SUMIF('Как будет'!$A$17:$A$24,Доп.расчеты!$A200,'Как будет'!AP$17:AP$24)</f>
        <v>0</v>
      </c>
      <c r="AP200">
        <f>SUMIF('Как будет'!$A$17:$A$24,Доп.расчеты!$A200,'Как будет'!AQ$17:AQ$24)</f>
        <v>0</v>
      </c>
      <c r="AQ200">
        <f>SUMIF('Как будет'!$A$17:$A$24,Доп.расчеты!$A200,'Как будет'!AR$17:AR$24)</f>
        <v>0</v>
      </c>
      <c r="AR200">
        <f>SUMIF('Как будет'!$A$17:$A$24,Доп.расчеты!$A200,'Как будет'!AS$17:AS$24)</f>
        <v>0</v>
      </c>
      <c r="AS200">
        <f>SUMIF('Как будет'!$A$17:$A$24,Доп.расчеты!$A200,'Как будет'!AT$17:AT$24)</f>
        <v>0</v>
      </c>
      <c r="AT200">
        <f>SUMIF('Как будет'!$A$17:$A$24,Доп.расчеты!$A200,'Как будет'!AU$17:AU$24)</f>
        <v>0</v>
      </c>
      <c r="AU200">
        <f>SUMIF('Как будет'!$A$17:$A$24,Доп.расчеты!$A200,'Как будет'!AV$17:AV$24)</f>
        <v>0</v>
      </c>
      <c r="AV200">
        <f>SUMIF('Как будет'!$A$17:$A$24,Доп.расчеты!$A200,'Как будет'!AW$17:AW$24)</f>
        <v>0</v>
      </c>
      <c r="AW200">
        <f>SUMIF('Как будет'!$A$17:$A$24,Доп.расчеты!$A200,'Как будет'!AX$17:AX$24)</f>
        <v>0</v>
      </c>
      <c r="AX200">
        <f>SUMIF('Как будет'!$A$17:$A$24,Доп.расчеты!$A200,'Как будет'!AY$17:AY$24)</f>
        <v>0</v>
      </c>
      <c r="AY200">
        <f>SUMIF('Как будет'!$A$17:$A$24,Доп.расчеты!$A200,'Как будет'!AZ$17:AZ$24)</f>
        <v>0</v>
      </c>
      <c r="AZ200">
        <f>SUMIF('Как будет'!$A$17:$A$24,Доп.расчеты!$A200,'Как будет'!BA$17:BA$24)</f>
        <v>0</v>
      </c>
      <c r="BA200">
        <f>SUMIF('Как будет'!$A$17:$A$24,Доп.расчеты!$A200,'Как будет'!BB$17:BB$24)</f>
        <v>0</v>
      </c>
      <c r="BB200">
        <f>SUMIF('Как будет'!$A$17:$A$24,Доп.расчеты!$A200,'Как будет'!BC$17:BC$24)</f>
        <v>0</v>
      </c>
      <c r="BC200">
        <f>SUMIF('Как будет'!$A$17:$A$24,Доп.расчеты!$A200,'Как будет'!BD$17:BD$24)</f>
        <v>0</v>
      </c>
      <c r="BD200">
        <f>SUMIF('Как будет'!$A$17:$A$24,Доп.расчеты!$A200,'Как будет'!BE$17:BE$24)</f>
        <v>0</v>
      </c>
      <c r="BE200">
        <f>SUMIF('Как будет'!$A$17:$A$24,Доп.расчеты!$A200,'Как будет'!BF$17:BF$24)</f>
        <v>0</v>
      </c>
      <c r="BF200">
        <f>SUMIF('Как будет'!$A$17:$A$24,Доп.расчеты!$A200,'Как будет'!BG$17:BG$24)</f>
        <v>0</v>
      </c>
      <c r="BG200">
        <f>SUMIF('Как будет'!$A$17:$A$24,Доп.расчеты!$A200,'Как будет'!BH$17:BH$24)</f>
        <v>0</v>
      </c>
      <c r="BH200">
        <f>SUMIF('Как будет'!$A$17:$A$24,Доп.расчеты!$A200,'Как будет'!BI$17:BI$24)</f>
        <v>0</v>
      </c>
      <c r="BI200">
        <f>SUMIF('Как будет'!$A$17:$A$24,Доп.расчеты!$A200,'Как будет'!BJ$17:BJ$24)</f>
        <v>0</v>
      </c>
      <c r="BJ200">
        <f>SUMIF('Как будет'!$A$17:$A$24,Доп.расчеты!$A200,'Как будет'!BK$17:BK$24)</f>
        <v>0</v>
      </c>
      <c r="BK200">
        <f>SUMIF('Как будет'!$A$17:$A$24,Доп.расчеты!$A200,'Как будет'!BL$17:BL$24)</f>
        <v>0</v>
      </c>
      <c r="BL200">
        <f>SUMIF('Как будет'!$A$17:$A$24,Доп.расчеты!$A200,'Как будет'!BM$17:BM$24)</f>
        <v>0</v>
      </c>
      <c r="BM200">
        <f>SUMIF('Как будет'!$A$17:$A$24,Доп.расчеты!$A200,'Как будет'!BN$17:BN$24)</f>
        <v>0</v>
      </c>
      <c r="BN200">
        <f>SUMIF('Как будет'!$A$17:$A$24,Доп.расчеты!$A200,'Как будет'!BO$17:BO$24)</f>
        <v>0</v>
      </c>
      <c r="BO200">
        <f>SUMIF('Как будет'!$A$17:$A$24,Доп.расчеты!$A200,'Как будет'!BP$17:BP$24)</f>
        <v>0</v>
      </c>
      <c r="BP200">
        <f>SUMIF('Как будет'!$A$17:$A$24,Доп.расчеты!$A200,'Как будет'!BQ$17:BQ$24)</f>
        <v>0</v>
      </c>
      <c r="BQ200">
        <f>SUMIF('Как будет'!$A$17:$A$24,Доп.расчеты!$A200,'Как будет'!BR$17:BR$24)</f>
        <v>0</v>
      </c>
      <c r="BR200">
        <f>SUMIF('Как будет'!$A$17:$A$24,Доп.расчеты!$A200,'Как будет'!BS$17:BS$24)</f>
        <v>0</v>
      </c>
      <c r="BS200">
        <f>SUMIF('Как будет'!$A$17:$A$24,Доп.расчеты!$A200,'Как будет'!BT$17:BT$24)</f>
        <v>0</v>
      </c>
      <c r="BT200">
        <f>SUMIF('Как будет'!$A$17:$A$24,Доп.расчеты!$A200,'Как будет'!BU$17:BU$24)</f>
        <v>0</v>
      </c>
      <c r="BU200">
        <f>SUMIF('Как будет'!$A$17:$A$24,Доп.расчеты!$A200,'Как будет'!BV$17:BV$24)</f>
        <v>0</v>
      </c>
      <c r="BV200">
        <f>SUMIF('Как будет'!$A$17:$A$24,Доп.расчеты!$A200,'Как будет'!BW$17:BW$24)</f>
        <v>0</v>
      </c>
      <c r="BW200">
        <f>SUMIF('Как будет'!$A$17:$A$24,Доп.расчеты!$A200,'Как будет'!BX$17:BX$24)</f>
        <v>0</v>
      </c>
      <c r="BX200">
        <f>SUMIF('Как будет'!$A$17:$A$24,Доп.расчеты!$A200,'Как будет'!BY$17:BY$24)</f>
        <v>0</v>
      </c>
      <c r="BY200">
        <f>SUMIF('Как будет'!$A$17:$A$24,Доп.расчеты!$A200,'Как будет'!BZ$17:BZ$24)</f>
        <v>0</v>
      </c>
      <c r="BZ200">
        <f>SUMIF('Как будет'!$A$17:$A$24,Доп.расчеты!$A200,'Как будет'!CA$17:CA$24)</f>
        <v>0</v>
      </c>
      <c r="CA200">
        <f>SUMIF('Как будет'!$A$17:$A$24,Доп.расчеты!$A200,'Как будет'!CB$17:CB$24)</f>
        <v>0</v>
      </c>
      <c r="CB200">
        <f>SUMIF('Как будет'!$A$17:$A$24,Доп.расчеты!$A200,'Как будет'!CC$17:CC$24)</f>
        <v>0</v>
      </c>
      <c r="CC200">
        <f>SUMIF('Как будет'!$A$17:$A$24,Доп.расчеты!$A200,'Как будет'!CD$17:CD$24)</f>
        <v>0</v>
      </c>
      <c r="CD200">
        <f>SUMIF('Как будет'!$A$17:$A$24,Доп.расчеты!$A200,'Как будет'!CE$17:CE$24)</f>
        <v>0</v>
      </c>
      <c r="CE200">
        <f>SUMIF('Как будет'!$A$17:$A$24,Доп.расчеты!$A200,'Как будет'!CF$17:CF$24)</f>
        <v>0</v>
      </c>
      <c r="CF200">
        <f>SUMIF('Как будет'!$A$17:$A$24,Доп.расчеты!$A200,'Как будет'!CG$17:CG$24)</f>
        <v>0</v>
      </c>
      <c r="CG200">
        <f>SUMIF('Как будет'!$A$17:$A$24,Доп.расчеты!$A200,'Как будет'!CH$17:CH$24)</f>
        <v>0</v>
      </c>
      <c r="CH200">
        <f>SUMIF('Как будет'!$A$17:$A$24,Доп.расчеты!$A200,'Как будет'!CI$17:CI$24)</f>
        <v>0</v>
      </c>
      <c r="CI200">
        <f>SUMIF('Как будет'!$A$17:$A$24,Доп.расчеты!$A200,'Как будет'!CJ$17:CJ$24)</f>
        <v>0</v>
      </c>
      <c r="CJ200">
        <f>SUMIF('Как будет'!$A$17:$A$24,Доп.расчеты!$A200,'Как будет'!CK$17:CK$24)</f>
        <v>0</v>
      </c>
      <c r="CK200">
        <f>SUMIF('Как будет'!$A$17:$A$24,Доп.расчеты!$A200,'Как будет'!CL$17:CL$24)</f>
        <v>0</v>
      </c>
      <c r="CL200">
        <f>SUMIF('Как будет'!$A$17:$A$24,Доп.расчеты!$A200,'Как будет'!CM$17:CM$24)</f>
        <v>0</v>
      </c>
      <c r="CM200">
        <f>SUMIF('Как будет'!$A$17:$A$24,Доп.расчеты!$A200,'Как будет'!CN$17:CN$24)</f>
        <v>0</v>
      </c>
      <c r="CN200">
        <f>SUMIF('Как будет'!$A$17:$A$24,Доп.расчеты!$A200,'Как будет'!CO$17:CO$24)</f>
        <v>0</v>
      </c>
      <c r="CO200">
        <f>SUMIF('Как будет'!$A$17:$A$24,Доп.расчеты!$A200,'Как будет'!CP$17:CP$24)</f>
        <v>0</v>
      </c>
      <c r="CP200">
        <f>SUMIF('Как будет'!$A$17:$A$24,Доп.расчеты!$A200,'Как будет'!CQ$17:CQ$24)</f>
        <v>0</v>
      </c>
      <c r="CQ200">
        <f>SUMIF('Как будет'!$A$17:$A$24,Доп.расчеты!$A200,'Как будет'!CR$17:CR$24)</f>
        <v>0</v>
      </c>
      <c r="CR200">
        <f>SUMIF('Как будет'!$A$17:$A$24,Доп.расчеты!$A200,'Как будет'!CS$17:CS$24)</f>
        <v>0</v>
      </c>
      <c r="CS200">
        <f>SUMIF('Как будет'!$A$17:$A$24,Доп.расчеты!$A200,'Как будет'!CT$17:CT$24)</f>
        <v>0</v>
      </c>
      <c r="CT200">
        <f>SUMIF('Как будет'!$A$17:$A$24,Доп.расчеты!$A200,'Как будет'!CU$17:CU$24)</f>
        <v>0</v>
      </c>
      <c r="CU200">
        <f>SUMIF('Как будет'!$A$17:$A$24,Доп.расчеты!$A200,'Как будет'!CV$17:CV$24)</f>
        <v>0</v>
      </c>
      <c r="CV200">
        <f>SUMIF('Как будет'!$A$17:$A$24,Доп.расчеты!$A200,'Как будет'!CW$17:CW$24)</f>
        <v>0</v>
      </c>
      <c r="CW200">
        <f>SUMIF('Как будет'!$A$17:$A$24,Доп.расчеты!$A200,'Как будет'!CX$17:CX$24)</f>
        <v>0</v>
      </c>
      <c r="CX200">
        <f>SUMIF('Как будет'!$A$17:$A$24,Доп.расчеты!$A200,'Как будет'!CY$17:CY$24)</f>
        <v>0</v>
      </c>
      <c r="CY200">
        <f>SUMIF('Как будет'!$A$17:$A$24,Доп.расчеты!$A200,'Как будет'!CZ$17:CZ$24)</f>
        <v>0</v>
      </c>
      <c r="CZ200">
        <f>SUMIF('Как будет'!$A$17:$A$24,Доп.расчеты!$A200,'Как будет'!DA$17:DA$24)</f>
        <v>0</v>
      </c>
      <c r="DA200">
        <f>SUMIF('Как будет'!$A$17:$A$24,Доп.расчеты!$A200,'Как будет'!DB$17:DB$24)</f>
        <v>0</v>
      </c>
      <c r="DB200">
        <f>SUMIF('Как будет'!$A$17:$A$24,Доп.расчеты!$A200,'Как будет'!DC$17:DC$24)</f>
        <v>0</v>
      </c>
      <c r="DC200">
        <f>SUMIF('Как будет'!$A$17:$A$24,Доп.расчеты!$A200,'Как будет'!DD$17:DD$24)</f>
        <v>0</v>
      </c>
      <c r="DD200">
        <f>SUMIF('Как будет'!$A$17:$A$24,Доп.расчеты!$A200,'Как будет'!DE$17:DE$24)</f>
        <v>0</v>
      </c>
      <c r="DE200">
        <f>SUMIF('Как будет'!$A$17:$A$24,Доп.расчеты!$A200,'Как будет'!DF$17:DF$24)</f>
        <v>0</v>
      </c>
      <c r="DF200">
        <f>SUMIF('Как будет'!$A$17:$A$24,Доп.расчеты!$A200,'Как будет'!DG$17:DG$24)</f>
        <v>0</v>
      </c>
      <c r="DG200">
        <f>SUMIF('Как будет'!$A$17:$A$24,Доп.расчеты!$A200,'Как будет'!DH$17:DH$24)</f>
        <v>0</v>
      </c>
      <c r="DH200">
        <f>SUMIF('Как будет'!$A$17:$A$24,Доп.расчеты!$A200,'Как будет'!DI$17:DI$24)</f>
        <v>0</v>
      </c>
      <c r="DI200">
        <f>SUMIF('Как будет'!$A$17:$A$24,Доп.расчеты!$A200,'Как будет'!DJ$17:DJ$24)</f>
        <v>0</v>
      </c>
      <c r="DJ200">
        <f>SUMIF('Как будет'!$A$17:$A$24,Доп.расчеты!$A200,'Как будет'!DK$17:DK$24)</f>
        <v>0</v>
      </c>
      <c r="DK200">
        <f>SUMIF('Как будет'!$A$17:$A$24,Доп.расчеты!$A200,'Как будет'!DL$17:DL$24)</f>
        <v>0</v>
      </c>
      <c r="DL200">
        <f>SUMIF('Как будет'!$A$17:$A$24,Доп.расчеты!$A200,'Как будет'!DM$17:DM$24)</f>
        <v>0</v>
      </c>
      <c r="DM200">
        <f>SUMIF('Как будет'!$A$17:$A$24,Доп.расчеты!$A200,'Как будет'!DN$17:DN$24)</f>
        <v>0</v>
      </c>
      <c r="DN200">
        <f>SUMIF('Как будет'!$A$17:$A$24,Доп.расчеты!$A200,'Как будет'!DO$17:DO$24)</f>
        <v>0</v>
      </c>
      <c r="DO200">
        <f>SUMIF('Как будет'!$A$17:$A$24,Доп.расчеты!$A200,'Как будет'!DP$17:DP$24)</f>
        <v>0</v>
      </c>
      <c r="DP200">
        <f>SUMIF('Как будет'!$A$17:$A$24,Доп.расчеты!$A200,'Как будет'!DQ$17:DQ$24)</f>
        <v>0</v>
      </c>
      <c r="DQ200">
        <f>SUMIF('Как будет'!$A$17:$A$24,Доп.расчеты!$A200,'Как будет'!DR$17:DR$24)</f>
        <v>0</v>
      </c>
      <c r="DR200">
        <f>SUMIF('Как будет'!$A$17:$A$24,Доп.расчеты!$A200,'Как будет'!DS$17:DS$24)</f>
        <v>0</v>
      </c>
      <c r="DS200">
        <f>SUMIF('Как будет'!$A$17:$A$24,Доп.расчеты!$A200,'Как будет'!DT$17:DT$24)</f>
        <v>0</v>
      </c>
      <c r="DT200">
        <f>SUMIF('Как будет'!$A$17:$A$24,Доп.расчеты!$A200,'Как будет'!DU$17:DU$24)</f>
        <v>0</v>
      </c>
      <c r="DU200">
        <f>SUMIF('Как будет'!$A$17:$A$24,Доп.расчеты!$A200,'Как будет'!DV$17:DV$24)</f>
        <v>0</v>
      </c>
      <c r="DV200">
        <f>SUMIF('Как будет'!$A$17:$A$24,Доп.расчеты!$A200,'Как будет'!DW$17:DW$24)</f>
        <v>0</v>
      </c>
      <c r="DW200">
        <f>SUMIF('Как будет'!$A$17:$A$24,Доп.расчеты!$A200,'Как будет'!DX$17:DX$24)</f>
        <v>0</v>
      </c>
      <c r="DX200">
        <f>SUMIF('Как будет'!$A$17:$A$24,Доп.расчеты!$A200,'Как будет'!DY$17:DY$24)</f>
        <v>0</v>
      </c>
      <c r="DY200">
        <f>SUMIF('Как будет'!$A$17:$A$24,Доп.расчеты!$A200,'Как будет'!DZ$17:DZ$24)</f>
        <v>0</v>
      </c>
      <c r="DZ200">
        <f>SUMIF('Как будет'!$A$17:$A$24,Доп.расчеты!$A200,'Как будет'!EA$17:EA$24)</f>
        <v>0</v>
      </c>
      <c r="EA200">
        <f>SUMIF('Как будет'!$A$17:$A$24,Доп.расчеты!$A200,'Как будет'!EB$17:EB$24)</f>
        <v>0</v>
      </c>
      <c r="EB200">
        <f>SUMIF('Как будет'!$A$17:$A$24,Доп.расчеты!$A200,'Как будет'!EC$17:EC$24)</f>
        <v>0</v>
      </c>
      <c r="EC200">
        <f>SUMIF('Как будет'!$A$17:$A$24,Доп.расчеты!$A200,'Как будет'!ED$17:ED$24)</f>
        <v>0</v>
      </c>
      <c r="ED200">
        <f>SUMIF('Как будет'!$A$17:$A$24,Доп.расчеты!$A200,'Как будет'!EE$17:EE$24)</f>
        <v>0</v>
      </c>
      <c r="EE200">
        <f>SUMIF('Как будет'!$A$17:$A$24,Доп.расчеты!$A200,'Как будет'!EF$17:EF$24)</f>
        <v>0</v>
      </c>
      <c r="EF200">
        <f>SUMIF('Как будет'!$A$17:$A$24,Доп.расчеты!$A200,'Как будет'!EG$17:EG$24)</f>
        <v>0</v>
      </c>
      <c r="EG200">
        <f>SUMIF('Как будет'!$A$17:$A$24,Доп.расчеты!$A200,'Как будет'!EH$17:EH$24)</f>
        <v>0</v>
      </c>
      <c r="EH200">
        <f>SUMIF('Как будет'!$A$17:$A$24,Доп.расчеты!$A200,'Как будет'!EI$17:EI$24)</f>
        <v>0</v>
      </c>
      <c r="EI200">
        <f>SUMIF('Как будет'!$A$17:$A$24,Доп.расчеты!$A200,'Как будет'!EJ$17:EJ$24)</f>
        <v>0</v>
      </c>
      <c r="EJ200">
        <f>SUMIF('Как будет'!$A$17:$A$24,Доп.расчеты!$A200,'Как будет'!EK$17:EK$24)</f>
        <v>0</v>
      </c>
      <c r="EK200">
        <f>SUMIF('Как будет'!$A$17:$A$24,Доп.расчеты!$A200,'Как будет'!EL$17:EL$24)</f>
        <v>0</v>
      </c>
      <c r="EL200">
        <f>SUMIF('Как будет'!$A$17:$A$24,Доп.расчеты!$A200,'Как будет'!EM$17:EM$24)</f>
        <v>0</v>
      </c>
      <c r="EM200">
        <f>SUMIF('Как будет'!$A$17:$A$24,Доп.расчеты!$A200,'Как будет'!EN$17:EN$24)</f>
        <v>0</v>
      </c>
      <c r="EN200">
        <f>SUMIF('Как будет'!$A$17:$A$24,Доп.расчеты!$A200,'Как будет'!EO$17:EO$24)</f>
        <v>0</v>
      </c>
      <c r="EO200">
        <f>SUMIF('Как будет'!$A$17:$A$24,Доп.расчеты!$A200,'Как будет'!EP$17:EP$24)</f>
        <v>0</v>
      </c>
      <c r="EP200">
        <f>SUMIF('Как будет'!$A$17:$A$24,Доп.расчеты!$A200,'Как будет'!EQ$17:EQ$24)</f>
        <v>0</v>
      </c>
      <c r="EQ200">
        <f>SUMIF('Как будет'!$A$17:$A$24,Доп.расчеты!$A200,'Как будет'!ER$17:ER$24)</f>
        <v>0</v>
      </c>
      <c r="ER200">
        <f>SUMIF('Как будет'!$A$17:$A$24,Доп.расчеты!$A200,'Как будет'!ES$17:ES$24)</f>
        <v>0</v>
      </c>
      <c r="ES200">
        <f>SUMIF('Как будет'!$A$17:$A$24,Доп.расчеты!$A200,'Как будет'!ET$17:ET$24)</f>
        <v>0</v>
      </c>
      <c r="ET200">
        <f>SUMIF('Как будет'!$A$17:$A$24,Доп.расчеты!$A200,'Как будет'!EU$17:EU$24)</f>
        <v>0</v>
      </c>
      <c r="EU200">
        <f>SUMIF('Как будет'!$A$17:$A$24,Доп.расчеты!$A200,'Как будет'!EV$17:EV$24)</f>
        <v>0</v>
      </c>
      <c r="EV200">
        <f>SUMIF('Как будет'!$A$17:$A$24,Доп.расчеты!$A200,'Как будет'!EW$17:EW$24)</f>
        <v>0</v>
      </c>
      <c r="EW200">
        <f>SUMIF('Как будет'!$A$17:$A$24,Доп.расчеты!$A200,'Как будет'!EX$17:EX$24)</f>
        <v>0</v>
      </c>
      <c r="EX200">
        <f>SUMIF('Как будет'!$A$17:$A$24,Доп.расчеты!$A200,'Как будет'!EY$17:EY$24)</f>
        <v>0</v>
      </c>
      <c r="EY200">
        <f>SUMIF('Как будет'!$A$17:$A$24,Доп.расчеты!$A200,'Как будет'!EZ$17:EZ$24)</f>
        <v>0</v>
      </c>
      <c r="EZ200">
        <f>SUMIF('Как будет'!$A$17:$A$24,Доп.расчеты!$A200,'Как будет'!FA$17:FA$24)</f>
        <v>0</v>
      </c>
      <c r="FA200">
        <f>SUMIF('Как будет'!$A$17:$A$24,Доп.расчеты!$A200,'Как будет'!FB$17:FB$24)</f>
        <v>0</v>
      </c>
      <c r="FB200">
        <f>SUMIF('Как будет'!$A$17:$A$24,Доп.расчеты!$A200,'Как будет'!FC$17:FC$24)</f>
        <v>0</v>
      </c>
      <c r="FC200">
        <f>SUMIF('Как будет'!$A$17:$A$24,Доп.расчеты!$A200,'Как будет'!FD$17:FD$24)</f>
        <v>0</v>
      </c>
      <c r="FD200">
        <f>SUMIF('Как будет'!$A$17:$A$24,Доп.расчеты!$A200,'Как будет'!FE$17:FE$24)</f>
        <v>0</v>
      </c>
      <c r="FE200">
        <f>SUMIF('Как будет'!$A$17:$A$24,Доп.расчеты!$A200,'Как будет'!FF$17:FF$24)</f>
        <v>0</v>
      </c>
      <c r="FF200">
        <f>SUMIF('Как будет'!$A$17:$A$24,Доп.расчеты!$A200,'Как будет'!FG$17:FG$24)</f>
        <v>0</v>
      </c>
      <c r="FG200">
        <f>SUMIF('Как будет'!$A$17:$A$24,Доп.расчеты!$A200,'Как будет'!FH$17:FH$24)</f>
        <v>0</v>
      </c>
      <c r="FH200">
        <f>SUMIF('Как будет'!$A$17:$A$24,Доп.расчеты!$A200,'Как будет'!FI$17:FI$24)</f>
        <v>0</v>
      </c>
      <c r="FI200">
        <f>SUMIF('Как будет'!$A$17:$A$24,Доп.расчеты!$A200,'Как будет'!FJ$17:FJ$24)</f>
        <v>0</v>
      </c>
      <c r="FJ200">
        <f>SUMIF('Как будет'!$A$17:$A$24,Доп.расчеты!$A200,'Как будет'!FK$17:FK$24)</f>
        <v>0</v>
      </c>
      <c r="FK200">
        <f>SUMIF('Как будет'!$A$17:$A$24,Доп.расчеты!$A200,'Как будет'!FL$17:FL$24)</f>
        <v>0</v>
      </c>
      <c r="FL200">
        <f>SUMIF('Как будет'!$A$17:$A$24,Доп.расчеты!$A200,'Как будет'!FM$17:FM$24)</f>
        <v>0</v>
      </c>
      <c r="FM200">
        <f>SUMIF('Как будет'!$A$17:$A$24,Доп.расчеты!$A200,'Как будет'!FN$17:FN$24)</f>
        <v>0</v>
      </c>
      <c r="FN200">
        <f>SUMIF('Как будет'!$A$17:$A$24,Доп.расчеты!$A200,'Как будет'!FO$17:FO$24)</f>
        <v>0</v>
      </c>
      <c r="FO200">
        <f>SUMIF('Как будет'!$A$17:$A$24,Доп.расчеты!$A200,'Как будет'!FP$17:FP$24)</f>
        <v>0</v>
      </c>
      <c r="FP200">
        <f>SUMIF('Как будет'!$A$17:$A$24,Доп.расчеты!$A200,'Как будет'!FQ$17:FQ$24)</f>
        <v>0</v>
      </c>
      <c r="FQ200">
        <f>SUMIF('Как будет'!$A$17:$A$24,Доп.расчеты!$A200,'Как будет'!FR$17:FR$24)</f>
        <v>0</v>
      </c>
      <c r="FR200">
        <f>SUMIF('Как будет'!$A$17:$A$24,Доп.расчеты!$A200,'Как будет'!FS$17:FS$24)</f>
        <v>0</v>
      </c>
      <c r="FS200">
        <f>SUMIF('Как будет'!$A$17:$A$24,Доп.расчеты!$A200,'Как будет'!FT$17:FT$24)</f>
        <v>0</v>
      </c>
      <c r="FT200">
        <f>SUMIF('Как будет'!$A$17:$A$24,Доп.расчеты!$A200,'Как будет'!FU$17:FU$24)</f>
        <v>0</v>
      </c>
      <c r="FU200">
        <f>SUMIF('Как будет'!$A$17:$A$24,Доп.расчеты!$A200,'Как будет'!FV$17:FV$24)</f>
        <v>0</v>
      </c>
      <c r="FV200">
        <f>SUMIF('Как будет'!$A$17:$A$24,Доп.расчеты!$A200,'Как будет'!FW$17:FW$24)</f>
        <v>0</v>
      </c>
      <c r="FW200">
        <f>SUMIF('Как будет'!$A$17:$A$24,Доп.расчеты!$A200,'Как будет'!FX$17:FX$24)</f>
        <v>0</v>
      </c>
      <c r="FX200">
        <f>SUMIF('Как будет'!$A$17:$A$24,Доп.расчеты!$A200,'Как будет'!FY$17:FY$24)</f>
        <v>0</v>
      </c>
      <c r="FY200">
        <f>SUMIF('Как будет'!$A$17:$A$24,Доп.расчеты!$A200,'Как будет'!FZ$17:FZ$24)</f>
        <v>0</v>
      </c>
      <c r="FZ200">
        <f>SUMIF('Как будет'!$A$17:$A$24,Доп.расчеты!$A200,'Как будет'!GA$17:GA$24)</f>
        <v>0</v>
      </c>
      <c r="GA200">
        <f>SUMIF('Как будет'!$A$17:$A$24,Доп.расчеты!$A200,'Как будет'!GB$17:GB$24)</f>
        <v>0</v>
      </c>
      <c r="GB200">
        <f>SUMIF('Как будет'!$A$17:$A$24,Доп.расчеты!$A200,'Как будет'!GC$17:GC$24)</f>
        <v>0</v>
      </c>
      <c r="GC200">
        <f>SUMIF('Как будет'!$A$17:$A$24,Доп.расчеты!$A200,'Как будет'!GD$17:GD$24)</f>
        <v>0</v>
      </c>
      <c r="GD200">
        <f>SUMIF('Как будет'!$A$17:$A$24,Доп.расчеты!$A200,'Как будет'!GE$17:GE$24)</f>
        <v>0</v>
      </c>
      <c r="GE200">
        <f>SUMIF('Как будет'!$A$17:$A$24,Доп.расчеты!$A200,'Как будет'!GF$17:GF$24)</f>
        <v>0</v>
      </c>
      <c r="GF200">
        <f>SUMIF('Как будет'!$A$17:$A$24,Доп.расчеты!$A200,'Как будет'!GG$17:GG$24)</f>
        <v>0</v>
      </c>
      <c r="GG200">
        <f>SUMIF('Как будет'!$A$17:$A$24,Доп.расчеты!$A200,'Как будет'!GH$17:GH$24)</f>
        <v>0</v>
      </c>
      <c r="GH200">
        <f>SUMIF('Как будет'!$A$17:$A$24,Доп.расчеты!$A200,'Как будет'!GI$17:GI$24)</f>
        <v>0</v>
      </c>
      <c r="GI200">
        <f>SUMIF('Как будет'!$A$17:$A$24,Доп.расчеты!$A200,'Как будет'!GJ$17:GJ$24)</f>
        <v>0</v>
      </c>
      <c r="GJ200">
        <f>SUMIF('Как будет'!$A$17:$A$24,Доп.расчеты!$A200,'Как будет'!GK$17:GK$24)</f>
        <v>0</v>
      </c>
      <c r="GK200">
        <f>SUMIF('Как будет'!$A$17:$A$24,Доп.расчеты!$A200,'Как будет'!GL$17:GL$24)</f>
        <v>0</v>
      </c>
      <c r="GL200">
        <f>SUMIF('Как будет'!$A$17:$A$24,Доп.расчеты!$A200,'Как будет'!GM$17:GM$24)</f>
        <v>0</v>
      </c>
      <c r="GM200">
        <f>SUMIF('Как будет'!$A$17:$A$24,Доп.расчеты!$A200,'Как будет'!GN$17:GN$24)</f>
        <v>0</v>
      </c>
      <c r="GN200">
        <f>SUMIF('Как будет'!$A$17:$A$24,Доп.расчеты!$A200,'Как будет'!GO$17:GO$24)</f>
        <v>0</v>
      </c>
      <c r="GO200">
        <f>SUMIF('Как будет'!$A$17:$A$24,Доп.расчеты!$A200,'Как будет'!GP$17:GP$24)</f>
        <v>0</v>
      </c>
      <c r="GP200">
        <f>SUMIF('Как будет'!$A$17:$A$24,Доп.расчеты!$A200,'Как будет'!GQ$17:GQ$24)</f>
        <v>0</v>
      </c>
      <c r="GQ200">
        <f>SUMIF('Как будет'!$A$17:$A$24,Доп.расчеты!$A200,'Как будет'!GR$17:GR$24)</f>
        <v>0</v>
      </c>
      <c r="GR200">
        <f>SUMIF('Как будет'!$A$17:$A$24,Доп.расчеты!$A200,'Как будет'!GS$17:GS$24)</f>
        <v>0</v>
      </c>
      <c r="GS200">
        <f>SUMIF('Как будет'!$A$17:$A$24,Доп.расчеты!$A200,'Как будет'!GT$17:GT$24)</f>
        <v>0</v>
      </c>
      <c r="GT200">
        <f>SUMIF('Как будет'!$A$17:$A$24,Доп.расчеты!$A200,'Как будет'!GU$17:GU$24)</f>
        <v>0</v>
      </c>
    </row>
    <row r="201" spans="1:202">
      <c r="A201" s="238" t="s">
        <v>96</v>
      </c>
      <c r="B201">
        <f>SUMIF('Как будет'!$A$17:$A$24,Доп.расчеты!$A201,'Как будет'!C$17:C$24)</f>
        <v>0</v>
      </c>
      <c r="C201">
        <f>SUMIF('Как будет'!$A$17:$A$24,Доп.расчеты!$A201,'Как будет'!D$17:D$24)</f>
        <v>0</v>
      </c>
      <c r="D201">
        <f>SUMIF('Как будет'!$A$17:$A$24,Доп.расчеты!$A201,'Как будет'!E$17:E$24)</f>
        <v>0</v>
      </c>
      <c r="E201">
        <f>SUMIF('Как будет'!$A$17:$A$24,Доп.расчеты!$A201,'Как будет'!F$17:F$24)</f>
        <v>0</v>
      </c>
      <c r="F201">
        <f>SUMIF('Как будет'!$A$17:$A$24,Доп.расчеты!$A201,'Как будет'!G$17:G$24)</f>
        <v>0</v>
      </c>
      <c r="G201">
        <f>SUMIF('Как будет'!$A$17:$A$24,Доп.расчеты!$A201,'Как будет'!H$17:H$24)</f>
        <v>0</v>
      </c>
      <c r="H201">
        <f>SUMIF('Как будет'!$A$17:$A$24,Доп.расчеты!$A201,'Как будет'!I$17:I$24)</f>
        <v>0</v>
      </c>
      <c r="I201">
        <f>SUMIF('Как будет'!$A$17:$A$24,Доп.расчеты!$A201,'Как будет'!J$17:J$24)</f>
        <v>0</v>
      </c>
      <c r="J201">
        <f>SUMIF('Как будет'!$A$17:$A$24,Доп.расчеты!$A201,'Как будет'!K$17:K$24)</f>
        <v>0</v>
      </c>
      <c r="K201">
        <f>SUMIF('Как будет'!$A$17:$A$24,Доп.расчеты!$A201,'Как будет'!L$17:L$24)</f>
        <v>0</v>
      </c>
      <c r="L201">
        <f>SUMIF('Как будет'!$A$17:$A$24,Доп.расчеты!$A201,'Как будет'!M$17:M$24)</f>
        <v>0</v>
      </c>
      <c r="M201">
        <f>SUMIF('Как будет'!$A$17:$A$24,Доп.расчеты!$A201,'Как будет'!N$17:N$24)</f>
        <v>0</v>
      </c>
      <c r="N201">
        <f>SUMIF('Как будет'!$A$17:$A$24,Доп.расчеты!$A201,'Как будет'!O$17:O$24)</f>
        <v>0</v>
      </c>
      <c r="O201">
        <f>SUMIF('Как будет'!$A$17:$A$24,Доп.расчеты!$A201,'Как будет'!P$17:P$24)</f>
        <v>0</v>
      </c>
      <c r="P201">
        <f>SUMIF('Как будет'!$A$17:$A$24,Доп.расчеты!$A201,'Как будет'!Q$17:Q$24)</f>
        <v>0</v>
      </c>
      <c r="Q201">
        <f>SUMIF('Как будет'!$A$17:$A$24,Доп.расчеты!$A201,'Как будет'!R$17:R$24)</f>
        <v>0</v>
      </c>
      <c r="R201">
        <f>SUMIF('Как будет'!$A$17:$A$24,Доп.расчеты!$A201,'Как будет'!S$17:S$24)</f>
        <v>0</v>
      </c>
      <c r="S201">
        <f>SUMIF('Как будет'!$A$17:$A$24,Доп.расчеты!$A201,'Как будет'!T$17:T$24)</f>
        <v>0</v>
      </c>
      <c r="T201">
        <f>SUMIF('Как будет'!$A$17:$A$24,Доп.расчеты!$A201,'Как будет'!U$17:U$24)</f>
        <v>0</v>
      </c>
      <c r="U201">
        <f>SUMIF('Как будет'!$A$17:$A$24,Доп.расчеты!$A201,'Как будет'!V$17:V$24)</f>
        <v>0</v>
      </c>
      <c r="V201">
        <f>SUMIF('Как будет'!$A$17:$A$24,Доп.расчеты!$A201,'Как будет'!W$17:W$24)</f>
        <v>0</v>
      </c>
      <c r="W201">
        <f>SUMIF('Как будет'!$A$17:$A$24,Доп.расчеты!$A201,'Как будет'!X$17:X$24)</f>
        <v>0</v>
      </c>
      <c r="X201">
        <f>SUMIF('Как будет'!$A$17:$A$24,Доп.расчеты!$A201,'Как будет'!Y$17:Y$24)</f>
        <v>0</v>
      </c>
      <c r="Y201">
        <f>SUMIF('Как будет'!$A$17:$A$24,Доп.расчеты!$A201,'Как будет'!Z$17:Z$24)</f>
        <v>0</v>
      </c>
      <c r="Z201">
        <f>SUMIF('Как будет'!$A$17:$A$24,Доп.расчеты!$A201,'Как будет'!AA$17:AA$24)</f>
        <v>0</v>
      </c>
      <c r="AA201">
        <f>SUMIF('Как будет'!$A$17:$A$24,Доп.расчеты!$A201,'Как будет'!AB$17:AB$24)</f>
        <v>0</v>
      </c>
      <c r="AB201">
        <f>SUMIF('Как будет'!$A$17:$A$24,Доп.расчеты!$A201,'Как будет'!AC$17:AC$24)</f>
        <v>0</v>
      </c>
      <c r="AC201">
        <f>SUMIF('Как будет'!$A$17:$A$24,Доп.расчеты!$A201,'Как будет'!AD$17:AD$24)</f>
        <v>0</v>
      </c>
      <c r="AD201">
        <f>SUMIF('Как будет'!$A$17:$A$24,Доп.расчеты!$A201,'Как будет'!AE$17:AE$24)</f>
        <v>0</v>
      </c>
      <c r="AE201">
        <f>SUMIF('Как будет'!$A$17:$A$24,Доп.расчеты!$A201,'Как будет'!AF$17:AF$24)</f>
        <v>0</v>
      </c>
      <c r="AF201">
        <f>SUMIF('Как будет'!$A$17:$A$24,Доп.расчеты!$A201,'Как будет'!AG$17:AG$24)</f>
        <v>0</v>
      </c>
      <c r="AG201">
        <f>SUMIF('Как будет'!$A$17:$A$24,Доп.расчеты!$A201,'Как будет'!AH$17:AH$24)</f>
        <v>0</v>
      </c>
      <c r="AH201">
        <f>SUMIF('Как будет'!$A$17:$A$24,Доп.расчеты!$A201,'Как будет'!AI$17:AI$24)</f>
        <v>0</v>
      </c>
      <c r="AI201">
        <f>SUMIF('Как будет'!$A$17:$A$24,Доп.расчеты!$A201,'Как будет'!AJ$17:AJ$24)</f>
        <v>0</v>
      </c>
      <c r="AJ201">
        <f>SUMIF('Как будет'!$A$17:$A$24,Доп.расчеты!$A201,'Как будет'!AK$17:AK$24)</f>
        <v>0</v>
      </c>
      <c r="AK201">
        <f>SUMIF('Как будет'!$A$17:$A$24,Доп.расчеты!$A201,'Как будет'!AL$17:AL$24)</f>
        <v>0</v>
      </c>
      <c r="AL201">
        <f>SUMIF('Как будет'!$A$17:$A$24,Доп.расчеты!$A201,'Как будет'!AM$17:AM$24)</f>
        <v>0</v>
      </c>
      <c r="AM201">
        <f>SUMIF('Как будет'!$A$17:$A$24,Доп.расчеты!$A201,'Как будет'!AN$17:AN$24)</f>
        <v>0</v>
      </c>
      <c r="AN201">
        <f>SUMIF('Как будет'!$A$17:$A$24,Доп.расчеты!$A201,'Как будет'!AO$17:AO$24)</f>
        <v>0</v>
      </c>
      <c r="AO201">
        <f>SUMIF('Как будет'!$A$17:$A$24,Доп.расчеты!$A201,'Как будет'!AP$17:AP$24)</f>
        <v>0</v>
      </c>
      <c r="AP201">
        <f>SUMIF('Как будет'!$A$17:$A$24,Доп.расчеты!$A201,'Как будет'!AQ$17:AQ$24)</f>
        <v>0</v>
      </c>
      <c r="AQ201">
        <f>SUMIF('Как будет'!$A$17:$A$24,Доп.расчеты!$A201,'Как будет'!AR$17:AR$24)</f>
        <v>0</v>
      </c>
      <c r="AR201">
        <f>SUMIF('Как будет'!$A$17:$A$24,Доп.расчеты!$A201,'Как будет'!AS$17:AS$24)</f>
        <v>0</v>
      </c>
      <c r="AS201">
        <f>SUMIF('Как будет'!$A$17:$A$24,Доп.расчеты!$A201,'Как будет'!AT$17:AT$24)</f>
        <v>0</v>
      </c>
      <c r="AT201">
        <f>SUMIF('Как будет'!$A$17:$A$24,Доп.расчеты!$A201,'Как будет'!AU$17:AU$24)</f>
        <v>0</v>
      </c>
      <c r="AU201">
        <f>SUMIF('Как будет'!$A$17:$A$24,Доп.расчеты!$A201,'Как будет'!AV$17:AV$24)</f>
        <v>0</v>
      </c>
      <c r="AV201">
        <f>SUMIF('Как будет'!$A$17:$A$24,Доп.расчеты!$A201,'Как будет'!AW$17:AW$24)</f>
        <v>0</v>
      </c>
      <c r="AW201">
        <f>SUMIF('Как будет'!$A$17:$A$24,Доп.расчеты!$A201,'Как будет'!AX$17:AX$24)</f>
        <v>0</v>
      </c>
      <c r="AX201">
        <f>SUMIF('Как будет'!$A$17:$A$24,Доп.расчеты!$A201,'Как будет'!AY$17:AY$24)</f>
        <v>0</v>
      </c>
      <c r="AY201">
        <f>SUMIF('Как будет'!$A$17:$A$24,Доп.расчеты!$A201,'Как будет'!AZ$17:AZ$24)</f>
        <v>0</v>
      </c>
      <c r="AZ201">
        <f>SUMIF('Как будет'!$A$17:$A$24,Доп.расчеты!$A201,'Как будет'!BA$17:BA$24)</f>
        <v>0</v>
      </c>
      <c r="BA201">
        <f>SUMIF('Как будет'!$A$17:$A$24,Доп.расчеты!$A201,'Как будет'!BB$17:BB$24)</f>
        <v>0</v>
      </c>
      <c r="BB201">
        <f>SUMIF('Как будет'!$A$17:$A$24,Доп.расчеты!$A201,'Как будет'!BC$17:BC$24)</f>
        <v>0</v>
      </c>
      <c r="BC201">
        <f>SUMIF('Как будет'!$A$17:$A$24,Доп.расчеты!$A201,'Как будет'!BD$17:BD$24)</f>
        <v>0</v>
      </c>
      <c r="BD201">
        <f>SUMIF('Как будет'!$A$17:$A$24,Доп.расчеты!$A201,'Как будет'!BE$17:BE$24)</f>
        <v>0</v>
      </c>
      <c r="BE201">
        <f>SUMIF('Как будет'!$A$17:$A$24,Доп.расчеты!$A201,'Как будет'!BF$17:BF$24)</f>
        <v>0</v>
      </c>
      <c r="BF201">
        <f>SUMIF('Как будет'!$A$17:$A$24,Доп.расчеты!$A201,'Как будет'!BG$17:BG$24)</f>
        <v>0</v>
      </c>
      <c r="BG201">
        <f>SUMIF('Как будет'!$A$17:$A$24,Доп.расчеты!$A201,'Как будет'!BH$17:BH$24)</f>
        <v>0</v>
      </c>
      <c r="BH201">
        <f>SUMIF('Как будет'!$A$17:$A$24,Доп.расчеты!$A201,'Как будет'!BI$17:BI$24)</f>
        <v>0</v>
      </c>
      <c r="BI201">
        <f>SUMIF('Как будет'!$A$17:$A$24,Доп.расчеты!$A201,'Как будет'!BJ$17:BJ$24)</f>
        <v>0</v>
      </c>
      <c r="BJ201">
        <f>SUMIF('Как будет'!$A$17:$A$24,Доп.расчеты!$A201,'Как будет'!BK$17:BK$24)</f>
        <v>0</v>
      </c>
      <c r="BK201">
        <f>SUMIF('Как будет'!$A$17:$A$24,Доп.расчеты!$A201,'Как будет'!BL$17:BL$24)</f>
        <v>0</v>
      </c>
      <c r="BL201">
        <f>SUMIF('Как будет'!$A$17:$A$24,Доп.расчеты!$A201,'Как будет'!BM$17:BM$24)</f>
        <v>0</v>
      </c>
      <c r="BM201">
        <f>SUMIF('Как будет'!$A$17:$A$24,Доп.расчеты!$A201,'Как будет'!BN$17:BN$24)</f>
        <v>0</v>
      </c>
      <c r="BN201">
        <f>SUMIF('Как будет'!$A$17:$A$24,Доп.расчеты!$A201,'Как будет'!BO$17:BO$24)</f>
        <v>0</v>
      </c>
      <c r="BO201">
        <f>SUMIF('Как будет'!$A$17:$A$24,Доп.расчеты!$A201,'Как будет'!BP$17:BP$24)</f>
        <v>0</v>
      </c>
      <c r="BP201">
        <f>SUMIF('Как будет'!$A$17:$A$24,Доп.расчеты!$A201,'Как будет'!BQ$17:BQ$24)</f>
        <v>0</v>
      </c>
      <c r="BQ201">
        <f>SUMIF('Как будет'!$A$17:$A$24,Доп.расчеты!$A201,'Как будет'!BR$17:BR$24)</f>
        <v>0</v>
      </c>
      <c r="BR201">
        <f>SUMIF('Как будет'!$A$17:$A$24,Доп.расчеты!$A201,'Как будет'!BS$17:BS$24)</f>
        <v>0</v>
      </c>
      <c r="BS201">
        <f>SUMIF('Как будет'!$A$17:$A$24,Доп.расчеты!$A201,'Как будет'!BT$17:BT$24)</f>
        <v>0</v>
      </c>
      <c r="BT201">
        <f>SUMIF('Как будет'!$A$17:$A$24,Доп.расчеты!$A201,'Как будет'!BU$17:BU$24)</f>
        <v>0</v>
      </c>
      <c r="BU201">
        <f>SUMIF('Как будет'!$A$17:$A$24,Доп.расчеты!$A201,'Как будет'!BV$17:BV$24)</f>
        <v>0</v>
      </c>
      <c r="BV201">
        <f>SUMIF('Как будет'!$A$17:$A$24,Доп.расчеты!$A201,'Как будет'!BW$17:BW$24)</f>
        <v>0</v>
      </c>
      <c r="BW201">
        <f>SUMIF('Как будет'!$A$17:$A$24,Доп.расчеты!$A201,'Как будет'!BX$17:BX$24)</f>
        <v>0</v>
      </c>
      <c r="BX201">
        <f>SUMIF('Как будет'!$A$17:$A$24,Доп.расчеты!$A201,'Как будет'!BY$17:BY$24)</f>
        <v>0</v>
      </c>
      <c r="BY201">
        <f>SUMIF('Как будет'!$A$17:$A$24,Доп.расчеты!$A201,'Как будет'!BZ$17:BZ$24)</f>
        <v>0</v>
      </c>
      <c r="BZ201">
        <f>SUMIF('Как будет'!$A$17:$A$24,Доп.расчеты!$A201,'Как будет'!CA$17:CA$24)</f>
        <v>0</v>
      </c>
      <c r="CA201">
        <f>SUMIF('Как будет'!$A$17:$A$24,Доп.расчеты!$A201,'Как будет'!CB$17:CB$24)</f>
        <v>0</v>
      </c>
      <c r="CB201">
        <f>SUMIF('Как будет'!$A$17:$A$24,Доп.расчеты!$A201,'Как будет'!CC$17:CC$24)</f>
        <v>0</v>
      </c>
      <c r="CC201">
        <f>SUMIF('Как будет'!$A$17:$A$24,Доп.расчеты!$A201,'Как будет'!CD$17:CD$24)</f>
        <v>0</v>
      </c>
      <c r="CD201">
        <f>SUMIF('Как будет'!$A$17:$A$24,Доп.расчеты!$A201,'Как будет'!CE$17:CE$24)</f>
        <v>0</v>
      </c>
      <c r="CE201">
        <f>SUMIF('Как будет'!$A$17:$A$24,Доп.расчеты!$A201,'Как будет'!CF$17:CF$24)</f>
        <v>0</v>
      </c>
      <c r="CF201">
        <f>SUMIF('Как будет'!$A$17:$A$24,Доп.расчеты!$A201,'Как будет'!CG$17:CG$24)</f>
        <v>0</v>
      </c>
      <c r="CG201">
        <f>SUMIF('Как будет'!$A$17:$A$24,Доп.расчеты!$A201,'Как будет'!CH$17:CH$24)</f>
        <v>0</v>
      </c>
      <c r="CH201">
        <f>SUMIF('Как будет'!$A$17:$A$24,Доп.расчеты!$A201,'Как будет'!CI$17:CI$24)</f>
        <v>0</v>
      </c>
      <c r="CI201">
        <f>SUMIF('Как будет'!$A$17:$A$24,Доп.расчеты!$A201,'Как будет'!CJ$17:CJ$24)</f>
        <v>0</v>
      </c>
      <c r="CJ201">
        <f>SUMIF('Как будет'!$A$17:$A$24,Доп.расчеты!$A201,'Как будет'!CK$17:CK$24)</f>
        <v>0</v>
      </c>
      <c r="CK201">
        <f>SUMIF('Как будет'!$A$17:$A$24,Доп.расчеты!$A201,'Как будет'!CL$17:CL$24)</f>
        <v>0</v>
      </c>
      <c r="CL201">
        <f>SUMIF('Как будет'!$A$17:$A$24,Доп.расчеты!$A201,'Как будет'!CM$17:CM$24)</f>
        <v>0</v>
      </c>
      <c r="CM201">
        <f>SUMIF('Как будет'!$A$17:$A$24,Доп.расчеты!$A201,'Как будет'!CN$17:CN$24)</f>
        <v>0</v>
      </c>
      <c r="CN201">
        <f>SUMIF('Как будет'!$A$17:$A$24,Доп.расчеты!$A201,'Как будет'!CO$17:CO$24)</f>
        <v>0</v>
      </c>
      <c r="CO201">
        <f>SUMIF('Как будет'!$A$17:$A$24,Доп.расчеты!$A201,'Как будет'!CP$17:CP$24)</f>
        <v>0</v>
      </c>
      <c r="CP201">
        <f>SUMIF('Как будет'!$A$17:$A$24,Доп.расчеты!$A201,'Как будет'!CQ$17:CQ$24)</f>
        <v>0</v>
      </c>
      <c r="CQ201">
        <f>SUMIF('Как будет'!$A$17:$A$24,Доп.расчеты!$A201,'Как будет'!CR$17:CR$24)</f>
        <v>0</v>
      </c>
      <c r="CR201">
        <f>SUMIF('Как будет'!$A$17:$A$24,Доп.расчеты!$A201,'Как будет'!CS$17:CS$24)</f>
        <v>0</v>
      </c>
      <c r="CS201">
        <f>SUMIF('Как будет'!$A$17:$A$24,Доп.расчеты!$A201,'Как будет'!CT$17:CT$24)</f>
        <v>0</v>
      </c>
      <c r="CT201">
        <f>SUMIF('Как будет'!$A$17:$A$24,Доп.расчеты!$A201,'Как будет'!CU$17:CU$24)</f>
        <v>0</v>
      </c>
      <c r="CU201">
        <f>SUMIF('Как будет'!$A$17:$A$24,Доп.расчеты!$A201,'Как будет'!CV$17:CV$24)</f>
        <v>0</v>
      </c>
      <c r="CV201">
        <f>SUMIF('Как будет'!$A$17:$A$24,Доп.расчеты!$A201,'Как будет'!CW$17:CW$24)</f>
        <v>0</v>
      </c>
      <c r="CW201">
        <f>SUMIF('Как будет'!$A$17:$A$24,Доп.расчеты!$A201,'Как будет'!CX$17:CX$24)</f>
        <v>0</v>
      </c>
      <c r="CX201">
        <f>SUMIF('Как будет'!$A$17:$A$24,Доп.расчеты!$A201,'Как будет'!CY$17:CY$24)</f>
        <v>0</v>
      </c>
      <c r="CY201">
        <f>SUMIF('Как будет'!$A$17:$A$24,Доп.расчеты!$A201,'Как будет'!CZ$17:CZ$24)</f>
        <v>0</v>
      </c>
      <c r="CZ201">
        <f>SUMIF('Как будет'!$A$17:$A$24,Доп.расчеты!$A201,'Как будет'!DA$17:DA$24)</f>
        <v>0</v>
      </c>
      <c r="DA201">
        <f>SUMIF('Как будет'!$A$17:$A$24,Доп.расчеты!$A201,'Как будет'!DB$17:DB$24)</f>
        <v>0</v>
      </c>
      <c r="DB201">
        <f>SUMIF('Как будет'!$A$17:$A$24,Доп.расчеты!$A201,'Как будет'!DC$17:DC$24)</f>
        <v>0</v>
      </c>
      <c r="DC201">
        <f>SUMIF('Как будет'!$A$17:$A$24,Доп.расчеты!$A201,'Как будет'!DD$17:DD$24)</f>
        <v>0</v>
      </c>
      <c r="DD201">
        <f>SUMIF('Как будет'!$A$17:$A$24,Доп.расчеты!$A201,'Как будет'!DE$17:DE$24)</f>
        <v>0</v>
      </c>
      <c r="DE201">
        <f>SUMIF('Как будет'!$A$17:$A$24,Доп.расчеты!$A201,'Как будет'!DF$17:DF$24)</f>
        <v>0</v>
      </c>
      <c r="DF201">
        <f>SUMIF('Как будет'!$A$17:$A$24,Доп.расчеты!$A201,'Как будет'!DG$17:DG$24)</f>
        <v>0</v>
      </c>
      <c r="DG201">
        <f>SUMIF('Как будет'!$A$17:$A$24,Доп.расчеты!$A201,'Как будет'!DH$17:DH$24)</f>
        <v>0</v>
      </c>
      <c r="DH201">
        <f>SUMIF('Как будет'!$A$17:$A$24,Доп.расчеты!$A201,'Как будет'!DI$17:DI$24)</f>
        <v>0</v>
      </c>
      <c r="DI201">
        <f>SUMIF('Как будет'!$A$17:$A$24,Доп.расчеты!$A201,'Как будет'!DJ$17:DJ$24)</f>
        <v>0</v>
      </c>
      <c r="DJ201">
        <f>SUMIF('Как будет'!$A$17:$A$24,Доп.расчеты!$A201,'Как будет'!DK$17:DK$24)</f>
        <v>0</v>
      </c>
      <c r="DK201">
        <f>SUMIF('Как будет'!$A$17:$A$24,Доп.расчеты!$A201,'Как будет'!DL$17:DL$24)</f>
        <v>0</v>
      </c>
      <c r="DL201">
        <f>SUMIF('Как будет'!$A$17:$A$24,Доп.расчеты!$A201,'Как будет'!DM$17:DM$24)</f>
        <v>0</v>
      </c>
      <c r="DM201">
        <f>SUMIF('Как будет'!$A$17:$A$24,Доп.расчеты!$A201,'Как будет'!DN$17:DN$24)</f>
        <v>0</v>
      </c>
      <c r="DN201">
        <f>SUMIF('Как будет'!$A$17:$A$24,Доп.расчеты!$A201,'Как будет'!DO$17:DO$24)</f>
        <v>0</v>
      </c>
      <c r="DO201">
        <f>SUMIF('Как будет'!$A$17:$A$24,Доп.расчеты!$A201,'Как будет'!DP$17:DP$24)</f>
        <v>0</v>
      </c>
      <c r="DP201">
        <f>SUMIF('Как будет'!$A$17:$A$24,Доп.расчеты!$A201,'Как будет'!DQ$17:DQ$24)</f>
        <v>0</v>
      </c>
      <c r="DQ201">
        <f>SUMIF('Как будет'!$A$17:$A$24,Доп.расчеты!$A201,'Как будет'!DR$17:DR$24)</f>
        <v>0</v>
      </c>
      <c r="DR201">
        <f>SUMIF('Как будет'!$A$17:$A$24,Доп.расчеты!$A201,'Как будет'!DS$17:DS$24)</f>
        <v>0</v>
      </c>
      <c r="DS201">
        <f>SUMIF('Как будет'!$A$17:$A$24,Доп.расчеты!$A201,'Как будет'!DT$17:DT$24)</f>
        <v>0</v>
      </c>
      <c r="DT201">
        <f>SUMIF('Как будет'!$A$17:$A$24,Доп.расчеты!$A201,'Как будет'!DU$17:DU$24)</f>
        <v>0</v>
      </c>
      <c r="DU201">
        <f>SUMIF('Как будет'!$A$17:$A$24,Доп.расчеты!$A201,'Как будет'!DV$17:DV$24)</f>
        <v>0</v>
      </c>
      <c r="DV201">
        <f>SUMIF('Как будет'!$A$17:$A$24,Доп.расчеты!$A201,'Как будет'!DW$17:DW$24)</f>
        <v>0</v>
      </c>
      <c r="DW201">
        <f>SUMIF('Как будет'!$A$17:$A$24,Доп.расчеты!$A201,'Как будет'!DX$17:DX$24)</f>
        <v>0</v>
      </c>
      <c r="DX201">
        <f>SUMIF('Как будет'!$A$17:$A$24,Доп.расчеты!$A201,'Как будет'!DY$17:DY$24)</f>
        <v>0</v>
      </c>
      <c r="DY201">
        <f>SUMIF('Как будет'!$A$17:$A$24,Доп.расчеты!$A201,'Как будет'!DZ$17:DZ$24)</f>
        <v>0</v>
      </c>
      <c r="DZ201">
        <f>SUMIF('Как будет'!$A$17:$A$24,Доп.расчеты!$A201,'Как будет'!EA$17:EA$24)</f>
        <v>0</v>
      </c>
      <c r="EA201">
        <f>SUMIF('Как будет'!$A$17:$A$24,Доп.расчеты!$A201,'Как будет'!EB$17:EB$24)</f>
        <v>0</v>
      </c>
      <c r="EB201">
        <f>SUMIF('Как будет'!$A$17:$A$24,Доп.расчеты!$A201,'Как будет'!EC$17:EC$24)</f>
        <v>0</v>
      </c>
      <c r="EC201">
        <f>SUMIF('Как будет'!$A$17:$A$24,Доп.расчеты!$A201,'Как будет'!ED$17:ED$24)</f>
        <v>0</v>
      </c>
      <c r="ED201">
        <f>SUMIF('Как будет'!$A$17:$A$24,Доп.расчеты!$A201,'Как будет'!EE$17:EE$24)</f>
        <v>0</v>
      </c>
      <c r="EE201">
        <f>SUMIF('Как будет'!$A$17:$A$24,Доп.расчеты!$A201,'Как будет'!EF$17:EF$24)</f>
        <v>0</v>
      </c>
      <c r="EF201">
        <f>SUMIF('Как будет'!$A$17:$A$24,Доп.расчеты!$A201,'Как будет'!EG$17:EG$24)</f>
        <v>0</v>
      </c>
      <c r="EG201">
        <f>SUMIF('Как будет'!$A$17:$A$24,Доп.расчеты!$A201,'Как будет'!EH$17:EH$24)</f>
        <v>0</v>
      </c>
      <c r="EH201">
        <f>SUMIF('Как будет'!$A$17:$A$24,Доп.расчеты!$A201,'Как будет'!EI$17:EI$24)</f>
        <v>0</v>
      </c>
      <c r="EI201">
        <f>SUMIF('Как будет'!$A$17:$A$24,Доп.расчеты!$A201,'Как будет'!EJ$17:EJ$24)</f>
        <v>0</v>
      </c>
      <c r="EJ201">
        <f>SUMIF('Как будет'!$A$17:$A$24,Доп.расчеты!$A201,'Как будет'!EK$17:EK$24)</f>
        <v>0</v>
      </c>
      <c r="EK201">
        <f>SUMIF('Как будет'!$A$17:$A$24,Доп.расчеты!$A201,'Как будет'!EL$17:EL$24)</f>
        <v>0</v>
      </c>
      <c r="EL201">
        <f>SUMIF('Как будет'!$A$17:$A$24,Доп.расчеты!$A201,'Как будет'!EM$17:EM$24)</f>
        <v>0</v>
      </c>
      <c r="EM201">
        <f>SUMIF('Как будет'!$A$17:$A$24,Доп.расчеты!$A201,'Как будет'!EN$17:EN$24)</f>
        <v>0</v>
      </c>
      <c r="EN201">
        <f>SUMIF('Как будет'!$A$17:$A$24,Доп.расчеты!$A201,'Как будет'!EO$17:EO$24)</f>
        <v>0</v>
      </c>
      <c r="EO201">
        <f>SUMIF('Как будет'!$A$17:$A$24,Доп.расчеты!$A201,'Как будет'!EP$17:EP$24)</f>
        <v>0</v>
      </c>
      <c r="EP201">
        <f>SUMIF('Как будет'!$A$17:$A$24,Доп.расчеты!$A201,'Как будет'!EQ$17:EQ$24)</f>
        <v>0</v>
      </c>
      <c r="EQ201">
        <f>SUMIF('Как будет'!$A$17:$A$24,Доп.расчеты!$A201,'Как будет'!ER$17:ER$24)</f>
        <v>0</v>
      </c>
      <c r="ER201">
        <f>SUMIF('Как будет'!$A$17:$A$24,Доп.расчеты!$A201,'Как будет'!ES$17:ES$24)</f>
        <v>0</v>
      </c>
      <c r="ES201">
        <f>SUMIF('Как будет'!$A$17:$A$24,Доп.расчеты!$A201,'Как будет'!ET$17:ET$24)</f>
        <v>0</v>
      </c>
      <c r="ET201">
        <f>SUMIF('Как будет'!$A$17:$A$24,Доп.расчеты!$A201,'Как будет'!EU$17:EU$24)</f>
        <v>0</v>
      </c>
      <c r="EU201">
        <f>SUMIF('Как будет'!$A$17:$A$24,Доп.расчеты!$A201,'Как будет'!EV$17:EV$24)</f>
        <v>0</v>
      </c>
      <c r="EV201">
        <f>SUMIF('Как будет'!$A$17:$A$24,Доп.расчеты!$A201,'Как будет'!EW$17:EW$24)</f>
        <v>0</v>
      </c>
      <c r="EW201">
        <f>SUMIF('Как будет'!$A$17:$A$24,Доп.расчеты!$A201,'Как будет'!EX$17:EX$24)</f>
        <v>0</v>
      </c>
      <c r="EX201">
        <f>SUMIF('Как будет'!$A$17:$A$24,Доп.расчеты!$A201,'Как будет'!EY$17:EY$24)</f>
        <v>0</v>
      </c>
      <c r="EY201">
        <f>SUMIF('Как будет'!$A$17:$A$24,Доп.расчеты!$A201,'Как будет'!EZ$17:EZ$24)</f>
        <v>0</v>
      </c>
      <c r="EZ201">
        <f>SUMIF('Как будет'!$A$17:$A$24,Доп.расчеты!$A201,'Как будет'!FA$17:FA$24)</f>
        <v>0</v>
      </c>
      <c r="FA201">
        <f>SUMIF('Как будет'!$A$17:$A$24,Доп.расчеты!$A201,'Как будет'!FB$17:FB$24)</f>
        <v>0</v>
      </c>
      <c r="FB201">
        <f>SUMIF('Как будет'!$A$17:$A$24,Доп.расчеты!$A201,'Как будет'!FC$17:FC$24)</f>
        <v>0</v>
      </c>
      <c r="FC201">
        <f>SUMIF('Как будет'!$A$17:$A$24,Доп.расчеты!$A201,'Как будет'!FD$17:FD$24)</f>
        <v>0</v>
      </c>
      <c r="FD201">
        <f>SUMIF('Как будет'!$A$17:$A$24,Доп.расчеты!$A201,'Как будет'!FE$17:FE$24)</f>
        <v>0</v>
      </c>
      <c r="FE201">
        <f>SUMIF('Как будет'!$A$17:$A$24,Доп.расчеты!$A201,'Как будет'!FF$17:FF$24)</f>
        <v>0</v>
      </c>
      <c r="FF201">
        <f>SUMIF('Как будет'!$A$17:$A$24,Доп.расчеты!$A201,'Как будет'!FG$17:FG$24)</f>
        <v>0</v>
      </c>
      <c r="FG201">
        <f>SUMIF('Как будет'!$A$17:$A$24,Доп.расчеты!$A201,'Как будет'!FH$17:FH$24)</f>
        <v>0</v>
      </c>
      <c r="FH201">
        <f>SUMIF('Как будет'!$A$17:$A$24,Доп.расчеты!$A201,'Как будет'!FI$17:FI$24)</f>
        <v>0</v>
      </c>
      <c r="FI201">
        <f>SUMIF('Как будет'!$A$17:$A$24,Доп.расчеты!$A201,'Как будет'!FJ$17:FJ$24)</f>
        <v>0</v>
      </c>
      <c r="FJ201">
        <f>SUMIF('Как будет'!$A$17:$A$24,Доп.расчеты!$A201,'Как будет'!FK$17:FK$24)</f>
        <v>0</v>
      </c>
      <c r="FK201">
        <f>SUMIF('Как будет'!$A$17:$A$24,Доп.расчеты!$A201,'Как будет'!FL$17:FL$24)</f>
        <v>0</v>
      </c>
      <c r="FL201">
        <f>SUMIF('Как будет'!$A$17:$A$24,Доп.расчеты!$A201,'Как будет'!FM$17:FM$24)</f>
        <v>0</v>
      </c>
      <c r="FM201">
        <f>SUMIF('Как будет'!$A$17:$A$24,Доп.расчеты!$A201,'Как будет'!FN$17:FN$24)</f>
        <v>0</v>
      </c>
      <c r="FN201">
        <f>SUMIF('Как будет'!$A$17:$A$24,Доп.расчеты!$A201,'Как будет'!FO$17:FO$24)</f>
        <v>0</v>
      </c>
      <c r="FO201">
        <f>SUMIF('Как будет'!$A$17:$A$24,Доп.расчеты!$A201,'Как будет'!FP$17:FP$24)</f>
        <v>0</v>
      </c>
      <c r="FP201">
        <f>SUMIF('Как будет'!$A$17:$A$24,Доп.расчеты!$A201,'Как будет'!FQ$17:FQ$24)</f>
        <v>0</v>
      </c>
      <c r="FQ201">
        <f>SUMIF('Как будет'!$A$17:$A$24,Доп.расчеты!$A201,'Как будет'!FR$17:FR$24)</f>
        <v>0</v>
      </c>
      <c r="FR201">
        <f>SUMIF('Как будет'!$A$17:$A$24,Доп.расчеты!$A201,'Как будет'!FS$17:FS$24)</f>
        <v>0</v>
      </c>
      <c r="FS201">
        <f>SUMIF('Как будет'!$A$17:$A$24,Доп.расчеты!$A201,'Как будет'!FT$17:FT$24)</f>
        <v>0</v>
      </c>
      <c r="FT201">
        <f>SUMIF('Как будет'!$A$17:$A$24,Доп.расчеты!$A201,'Как будет'!FU$17:FU$24)</f>
        <v>0</v>
      </c>
      <c r="FU201">
        <f>SUMIF('Как будет'!$A$17:$A$24,Доп.расчеты!$A201,'Как будет'!FV$17:FV$24)</f>
        <v>0</v>
      </c>
      <c r="FV201">
        <f>SUMIF('Как будет'!$A$17:$A$24,Доп.расчеты!$A201,'Как будет'!FW$17:FW$24)</f>
        <v>0</v>
      </c>
      <c r="FW201">
        <f>SUMIF('Как будет'!$A$17:$A$24,Доп.расчеты!$A201,'Как будет'!FX$17:FX$24)</f>
        <v>0</v>
      </c>
      <c r="FX201">
        <f>SUMIF('Как будет'!$A$17:$A$24,Доп.расчеты!$A201,'Как будет'!FY$17:FY$24)</f>
        <v>0</v>
      </c>
      <c r="FY201">
        <f>SUMIF('Как будет'!$A$17:$A$24,Доп.расчеты!$A201,'Как будет'!FZ$17:FZ$24)</f>
        <v>0</v>
      </c>
      <c r="FZ201">
        <f>SUMIF('Как будет'!$A$17:$A$24,Доп.расчеты!$A201,'Как будет'!GA$17:GA$24)</f>
        <v>0</v>
      </c>
      <c r="GA201">
        <f>SUMIF('Как будет'!$A$17:$A$24,Доп.расчеты!$A201,'Как будет'!GB$17:GB$24)</f>
        <v>0</v>
      </c>
      <c r="GB201">
        <f>SUMIF('Как будет'!$A$17:$A$24,Доп.расчеты!$A201,'Как будет'!GC$17:GC$24)</f>
        <v>0</v>
      </c>
      <c r="GC201">
        <f>SUMIF('Как будет'!$A$17:$A$24,Доп.расчеты!$A201,'Как будет'!GD$17:GD$24)</f>
        <v>0</v>
      </c>
      <c r="GD201">
        <f>SUMIF('Как будет'!$A$17:$A$24,Доп.расчеты!$A201,'Как будет'!GE$17:GE$24)</f>
        <v>0</v>
      </c>
      <c r="GE201">
        <f>SUMIF('Как будет'!$A$17:$A$24,Доп.расчеты!$A201,'Как будет'!GF$17:GF$24)</f>
        <v>0</v>
      </c>
      <c r="GF201">
        <f>SUMIF('Как будет'!$A$17:$A$24,Доп.расчеты!$A201,'Как будет'!GG$17:GG$24)</f>
        <v>0</v>
      </c>
      <c r="GG201">
        <f>SUMIF('Как будет'!$A$17:$A$24,Доп.расчеты!$A201,'Как будет'!GH$17:GH$24)</f>
        <v>0</v>
      </c>
      <c r="GH201">
        <f>SUMIF('Как будет'!$A$17:$A$24,Доп.расчеты!$A201,'Как будет'!GI$17:GI$24)</f>
        <v>0</v>
      </c>
      <c r="GI201">
        <f>SUMIF('Как будет'!$A$17:$A$24,Доп.расчеты!$A201,'Как будет'!GJ$17:GJ$24)</f>
        <v>0</v>
      </c>
      <c r="GJ201">
        <f>SUMIF('Как будет'!$A$17:$A$24,Доп.расчеты!$A201,'Как будет'!GK$17:GK$24)</f>
        <v>0</v>
      </c>
      <c r="GK201">
        <f>SUMIF('Как будет'!$A$17:$A$24,Доп.расчеты!$A201,'Как будет'!GL$17:GL$24)</f>
        <v>0</v>
      </c>
      <c r="GL201">
        <f>SUMIF('Как будет'!$A$17:$A$24,Доп.расчеты!$A201,'Как будет'!GM$17:GM$24)</f>
        <v>0</v>
      </c>
      <c r="GM201">
        <f>SUMIF('Как будет'!$A$17:$A$24,Доп.расчеты!$A201,'Как будет'!GN$17:GN$24)</f>
        <v>0</v>
      </c>
      <c r="GN201">
        <f>SUMIF('Как будет'!$A$17:$A$24,Доп.расчеты!$A201,'Как будет'!GO$17:GO$24)</f>
        <v>0</v>
      </c>
      <c r="GO201">
        <f>SUMIF('Как будет'!$A$17:$A$24,Доп.расчеты!$A201,'Как будет'!GP$17:GP$24)</f>
        <v>0</v>
      </c>
      <c r="GP201">
        <f>SUMIF('Как будет'!$A$17:$A$24,Доп.расчеты!$A201,'Как будет'!GQ$17:GQ$24)</f>
        <v>0</v>
      </c>
      <c r="GQ201">
        <f>SUMIF('Как будет'!$A$17:$A$24,Доп.расчеты!$A201,'Как будет'!GR$17:GR$24)</f>
        <v>0</v>
      </c>
      <c r="GR201">
        <f>SUMIF('Как будет'!$A$17:$A$24,Доп.расчеты!$A201,'Как будет'!GS$17:GS$24)</f>
        <v>0</v>
      </c>
      <c r="GS201">
        <f>SUMIF('Как будет'!$A$17:$A$24,Доп.расчеты!$A201,'Как будет'!GT$17:GT$24)</f>
        <v>0</v>
      </c>
      <c r="GT201">
        <f>SUMIF('Как будет'!$A$17:$A$24,Доп.расчеты!$A201,'Как будет'!GU$17:GU$24)</f>
        <v>0</v>
      </c>
    </row>
    <row r="202" spans="1:202">
      <c r="A202" s="238" t="s">
        <v>97</v>
      </c>
      <c r="B202">
        <f>SUMIF('Как будет'!$A$17:$A$24,Доп.расчеты!$A202,'Как будет'!C$17:C$24)</f>
        <v>0</v>
      </c>
      <c r="C202">
        <f>SUMIF('Как будет'!$A$17:$A$24,Доп.расчеты!$A202,'Как будет'!D$17:D$24)</f>
        <v>0</v>
      </c>
      <c r="D202">
        <f>SUMIF('Как будет'!$A$17:$A$24,Доп.расчеты!$A202,'Как будет'!E$17:E$24)</f>
        <v>0</v>
      </c>
      <c r="E202">
        <f>SUMIF('Как будет'!$A$17:$A$24,Доп.расчеты!$A202,'Как будет'!F$17:F$24)</f>
        <v>0</v>
      </c>
      <c r="F202">
        <f>SUMIF('Как будет'!$A$17:$A$24,Доп.расчеты!$A202,'Как будет'!G$17:G$24)</f>
        <v>0</v>
      </c>
      <c r="G202">
        <f>SUMIF('Как будет'!$A$17:$A$24,Доп.расчеты!$A202,'Как будет'!H$17:H$24)</f>
        <v>0</v>
      </c>
      <c r="H202">
        <f>SUMIF('Как будет'!$A$17:$A$24,Доп.расчеты!$A202,'Как будет'!I$17:I$24)</f>
        <v>0</v>
      </c>
      <c r="I202">
        <f>SUMIF('Как будет'!$A$17:$A$24,Доп.расчеты!$A202,'Как будет'!J$17:J$24)</f>
        <v>0</v>
      </c>
      <c r="J202">
        <f>SUMIF('Как будет'!$A$17:$A$24,Доп.расчеты!$A202,'Как будет'!K$17:K$24)</f>
        <v>0</v>
      </c>
      <c r="K202">
        <f>SUMIF('Как будет'!$A$17:$A$24,Доп.расчеты!$A202,'Как будет'!L$17:L$24)</f>
        <v>0</v>
      </c>
      <c r="L202">
        <f>SUMIF('Как будет'!$A$17:$A$24,Доп.расчеты!$A202,'Как будет'!M$17:M$24)</f>
        <v>0</v>
      </c>
      <c r="M202">
        <f>SUMIF('Как будет'!$A$17:$A$24,Доп.расчеты!$A202,'Как будет'!N$17:N$24)</f>
        <v>0</v>
      </c>
      <c r="N202">
        <f>SUMIF('Как будет'!$A$17:$A$24,Доп.расчеты!$A202,'Как будет'!O$17:O$24)</f>
        <v>0</v>
      </c>
      <c r="O202">
        <f>SUMIF('Как будет'!$A$17:$A$24,Доп.расчеты!$A202,'Как будет'!P$17:P$24)</f>
        <v>0</v>
      </c>
      <c r="P202">
        <f>SUMIF('Как будет'!$A$17:$A$24,Доп.расчеты!$A202,'Как будет'!Q$17:Q$24)</f>
        <v>0</v>
      </c>
      <c r="Q202">
        <f>SUMIF('Как будет'!$A$17:$A$24,Доп.расчеты!$A202,'Как будет'!R$17:R$24)</f>
        <v>0</v>
      </c>
      <c r="R202">
        <f>SUMIF('Как будет'!$A$17:$A$24,Доп.расчеты!$A202,'Как будет'!S$17:S$24)</f>
        <v>0</v>
      </c>
      <c r="S202">
        <f>SUMIF('Как будет'!$A$17:$A$24,Доп.расчеты!$A202,'Как будет'!T$17:T$24)</f>
        <v>0</v>
      </c>
      <c r="T202">
        <f>SUMIF('Как будет'!$A$17:$A$24,Доп.расчеты!$A202,'Как будет'!U$17:U$24)</f>
        <v>0</v>
      </c>
      <c r="U202">
        <f>SUMIF('Как будет'!$A$17:$A$24,Доп.расчеты!$A202,'Как будет'!V$17:V$24)</f>
        <v>0</v>
      </c>
      <c r="V202">
        <f>SUMIF('Как будет'!$A$17:$A$24,Доп.расчеты!$A202,'Как будет'!W$17:W$24)</f>
        <v>0</v>
      </c>
      <c r="W202">
        <f>SUMIF('Как будет'!$A$17:$A$24,Доп.расчеты!$A202,'Как будет'!X$17:X$24)</f>
        <v>0</v>
      </c>
      <c r="X202">
        <f>SUMIF('Как будет'!$A$17:$A$24,Доп.расчеты!$A202,'Как будет'!Y$17:Y$24)</f>
        <v>0</v>
      </c>
      <c r="Y202">
        <f>SUMIF('Как будет'!$A$17:$A$24,Доп.расчеты!$A202,'Как будет'!Z$17:Z$24)</f>
        <v>0</v>
      </c>
      <c r="Z202">
        <f>SUMIF('Как будет'!$A$17:$A$24,Доп.расчеты!$A202,'Как будет'!AA$17:AA$24)</f>
        <v>0</v>
      </c>
      <c r="AA202">
        <f>SUMIF('Как будет'!$A$17:$A$24,Доп.расчеты!$A202,'Как будет'!AB$17:AB$24)</f>
        <v>0</v>
      </c>
      <c r="AB202">
        <f>SUMIF('Как будет'!$A$17:$A$24,Доп.расчеты!$A202,'Как будет'!AC$17:AC$24)</f>
        <v>0</v>
      </c>
      <c r="AC202">
        <f>SUMIF('Как будет'!$A$17:$A$24,Доп.расчеты!$A202,'Как будет'!AD$17:AD$24)</f>
        <v>0</v>
      </c>
      <c r="AD202">
        <f>SUMIF('Как будет'!$A$17:$A$24,Доп.расчеты!$A202,'Как будет'!AE$17:AE$24)</f>
        <v>0</v>
      </c>
      <c r="AE202">
        <f>SUMIF('Как будет'!$A$17:$A$24,Доп.расчеты!$A202,'Как будет'!AF$17:AF$24)</f>
        <v>0</v>
      </c>
      <c r="AF202">
        <f>SUMIF('Как будет'!$A$17:$A$24,Доп.расчеты!$A202,'Как будет'!AG$17:AG$24)</f>
        <v>0</v>
      </c>
      <c r="AG202">
        <f>SUMIF('Как будет'!$A$17:$A$24,Доп.расчеты!$A202,'Как будет'!AH$17:AH$24)</f>
        <v>0</v>
      </c>
      <c r="AH202">
        <f>SUMIF('Как будет'!$A$17:$A$24,Доп.расчеты!$A202,'Как будет'!AI$17:AI$24)</f>
        <v>0</v>
      </c>
      <c r="AI202">
        <f>SUMIF('Как будет'!$A$17:$A$24,Доп.расчеты!$A202,'Как будет'!AJ$17:AJ$24)</f>
        <v>0</v>
      </c>
      <c r="AJ202">
        <f>SUMIF('Как будет'!$A$17:$A$24,Доп.расчеты!$A202,'Как будет'!AK$17:AK$24)</f>
        <v>0</v>
      </c>
      <c r="AK202">
        <f>SUMIF('Как будет'!$A$17:$A$24,Доп.расчеты!$A202,'Как будет'!AL$17:AL$24)</f>
        <v>0</v>
      </c>
      <c r="AL202">
        <f>SUMIF('Как будет'!$A$17:$A$24,Доп.расчеты!$A202,'Как будет'!AM$17:AM$24)</f>
        <v>0</v>
      </c>
      <c r="AM202">
        <f>SUMIF('Как будет'!$A$17:$A$24,Доп.расчеты!$A202,'Как будет'!AN$17:AN$24)</f>
        <v>0</v>
      </c>
      <c r="AN202">
        <f>SUMIF('Как будет'!$A$17:$A$24,Доп.расчеты!$A202,'Как будет'!AO$17:AO$24)</f>
        <v>0</v>
      </c>
      <c r="AO202">
        <f>SUMIF('Как будет'!$A$17:$A$24,Доп.расчеты!$A202,'Как будет'!AP$17:AP$24)</f>
        <v>0</v>
      </c>
      <c r="AP202">
        <f>SUMIF('Как будет'!$A$17:$A$24,Доп.расчеты!$A202,'Как будет'!AQ$17:AQ$24)</f>
        <v>0</v>
      </c>
      <c r="AQ202">
        <f>SUMIF('Как будет'!$A$17:$A$24,Доп.расчеты!$A202,'Как будет'!AR$17:AR$24)</f>
        <v>0</v>
      </c>
      <c r="AR202">
        <f>SUMIF('Как будет'!$A$17:$A$24,Доп.расчеты!$A202,'Как будет'!AS$17:AS$24)</f>
        <v>0</v>
      </c>
      <c r="AS202">
        <f>SUMIF('Как будет'!$A$17:$A$24,Доп.расчеты!$A202,'Как будет'!AT$17:AT$24)</f>
        <v>0</v>
      </c>
      <c r="AT202">
        <f>SUMIF('Как будет'!$A$17:$A$24,Доп.расчеты!$A202,'Как будет'!AU$17:AU$24)</f>
        <v>0</v>
      </c>
      <c r="AU202">
        <f>SUMIF('Как будет'!$A$17:$A$24,Доп.расчеты!$A202,'Как будет'!AV$17:AV$24)</f>
        <v>0</v>
      </c>
      <c r="AV202">
        <f>SUMIF('Как будет'!$A$17:$A$24,Доп.расчеты!$A202,'Как будет'!AW$17:AW$24)</f>
        <v>0</v>
      </c>
      <c r="AW202">
        <f>SUMIF('Как будет'!$A$17:$A$24,Доп.расчеты!$A202,'Как будет'!AX$17:AX$24)</f>
        <v>0</v>
      </c>
      <c r="AX202">
        <f>SUMIF('Как будет'!$A$17:$A$24,Доп.расчеты!$A202,'Как будет'!AY$17:AY$24)</f>
        <v>0</v>
      </c>
      <c r="AY202">
        <f>SUMIF('Как будет'!$A$17:$A$24,Доп.расчеты!$A202,'Как будет'!AZ$17:AZ$24)</f>
        <v>0</v>
      </c>
      <c r="AZ202">
        <f>SUMIF('Как будет'!$A$17:$A$24,Доп.расчеты!$A202,'Как будет'!BA$17:BA$24)</f>
        <v>0</v>
      </c>
      <c r="BA202">
        <f>SUMIF('Как будет'!$A$17:$A$24,Доп.расчеты!$A202,'Как будет'!BB$17:BB$24)</f>
        <v>0</v>
      </c>
      <c r="BB202">
        <f>SUMIF('Как будет'!$A$17:$A$24,Доп.расчеты!$A202,'Как будет'!BC$17:BC$24)</f>
        <v>0</v>
      </c>
      <c r="BC202">
        <f>SUMIF('Как будет'!$A$17:$A$24,Доп.расчеты!$A202,'Как будет'!BD$17:BD$24)</f>
        <v>0</v>
      </c>
      <c r="BD202">
        <f>SUMIF('Как будет'!$A$17:$A$24,Доп.расчеты!$A202,'Как будет'!BE$17:BE$24)</f>
        <v>0</v>
      </c>
      <c r="BE202">
        <f>SUMIF('Как будет'!$A$17:$A$24,Доп.расчеты!$A202,'Как будет'!BF$17:BF$24)</f>
        <v>0</v>
      </c>
      <c r="BF202">
        <f>SUMIF('Как будет'!$A$17:$A$24,Доп.расчеты!$A202,'Как будет'!BG$17:BG$24)</f>
        <v>0</v>
      </c>
      <c r="BG202">
        <f>SUMIF('Как будет'!$A$17:$A$24,Доп.расчеты!$A202,'Как будет'!BH$17:BH$24)</f>
        <v>0</v>
      </c>
      <c r="BH202">
        <f>SUMIF('Как будет'!$A$17:$A$24,Доп.расчеты!$A202,'Как будет'!BI$17:BI$24)</f>
        <v>0</v>
      </c>
      <c r="BI202">
        <f>SUMIF('Как будет'!$A$17:$A$24,Доп.расчеты!$A202,'Как будет'!BJ$17:BJ$24)</f>
        <v>0</v>
      </c>
      <c r="BJ202">
        <f>SUMIF('Как будет'!$A$17:$A$24,Доп.расчеты!$A202,'Как будет'!BK$17:BK$24)</f>
        <v>0</v>
      </c>
      <c r="BK202">
        <f>SUMIF('Как будет'!$A$17:$A$24,Доп.расчеты!$A202,'Как будет'!BL$17:BL$24)</f>
        <v>0</v>
      </c>
      <c r="BL202">
        <f>SUMIF('Как будет'!$A$17:$A$24,Доп.расчеты!$A202,'Как будет'!BM$17:BM$24)</f>
        <v>0</v>
      </c>
      <c r="BM202">
        <f>SUMIF('Как будет'!$A$17:$A$24,Доп.расчеты!$A202,'Как будет'!BN$17:BN$24)</f>
        <v>0</v>
      </c>
      <c r="BN202">
        <f>SUMIF('Как будет'!$A$17:$A$24,Доп.расчеты!$A202,'Как будет'!BO$17:BO$24)</f>
        <v>0</v>
      </c>
      <c r="BO202">
        <f>SUMIF('Как будет'!$A$17:$A$24,Доп.расчеты!$A202,'Как будет'!BP$17:BP$24)</f>
        <v>0</v>
      </c>
      <c r="BP202">
        <f>SUMIF('Как будет'!$A$17:$A$24,Доп.расчеты!$A202,'Как будет'!BQ$17:BQ$24)</f>
        <v>0</v>
      </c>
      <c r="BQ202">
        <f>SUMIF('Как будет'!$A$17:$A$24,Доп.расчеты!$A202,'Как будет'!BR$17:BR$24)</f>
        <v>0</v>
      </c>
      <c r="BR202">
        <f>SUMIF('Как будет'!$A$17:$A$24,Доп.расчеты!$A202,'Как будет'!BS$17:BS$24)</f>
        <v>0</v>
      </c>
      <c r="BS202">
        <f>SUMIF('Как будет'!$A$17:$A$24,Доп.расчеты!$A202,'Как будет'!BT$17:BT$24)</f>
        <v>0</v>
      </c>
      <c r="BT202">
        <f>SUMIF('Как будет'!$A$17:$A$24,Доп.расчеты!$A202,'Как будет'!BU$17:BU$24)</f>
        <v>0</v>
      </c>
      <c r="BU202">
        <f>SUMIF('Как будет'!$A$17:$A$24,Доп.расчеты!$A202,'Как будет'!BV$17:BV$24)</f>
        <v>0</v>
      </c>
      <c r="BV202">
        <f>SUMIF('Как будет'!$A$17:$A$24,Доп.расчеты!$A202,'Как будет'!BW$17:BW$24)</f>
        <v>0</v>
      </c>
      <c r="BW202">
        <f>SUMIF('Как будет'!$A$17:$A$24,Доп.расчеты!$A202,'Как будет'!BX$17:BX$24)</f>
        <v>0</v>
      </c>
      <c r="BX202">
        <f>SUMIF('Как будет'!$A$17:$A$24,Доп.расчеты!$A202,'Как будет'!BY$17:BY$24)</f>
        <v>0</v>
      </c>
      <c r="BY202">
        <f>SUMIF('Как будет'!$A$17:$A$24,Доп.расчеты!$A202,'Как будет'!BZ$17:BZ$24)</f>
        <v>0</v>
      </c>
      <c r="BZ202">
        <f>SUMIF('Как будет'!$A$17:$A$24,Доп.расчеты!$A202,'Как будет'!CA$17:CA$24)</f>
        <v>0</v>
      </c>
      <c r="CA202">
        <f>SUMIF('Как будет'!$A$17:$A$24,Доп.расчеты!$A202,'Как будет'!CB$17:CB$24)</f>
        <v>0</v>
      </c>
      <c r="CB202">
        <f>SUMIF('Как будет'!$A$17:$A$24,Доп.расчеты!$A202,'Как будет'!CC$17:CC$24)</f>
        <v>0</v>
      </c>
      <c r="CC202">
        <f>SUMIF('Как будет'!$A$17:$A$24,Доп.расчеты!$A202,'Как будет'!CD$17:CD$24)</f>
        <v>0</v>
      </c>
      <c r="CD202">
        <f>SUMIF('Как будет'!$A$17:$A$24,Доп.расчеты!$A202,'Как будет'!CE$17:CE$24)</f>
        <v>0</v>
      </c>
      <c r="CE202">
        <f>SUMIF('Как будет'!$A$17:$A$24,Доп.расчеты!$A202,'Как будет'!CF$17:CF$24)</f>
        <v>0</v>
      </c>
      <c r="CF202">
        <f>SUMIF('Как будет'!$A$17:$A$24,Доп.расчеты!$A202,'Как будет'!CG$17:CG$24)</f>
        <v>0</v>
      </c>
      <c r="CG202">
        <f>SUMIF('Как будет'!$A$17:$A$24,Доп.расчеты!$A202,'Как будет'!CH$17:CH$24)</f>
        <v>0</v>
      </c>
      <c r="CH202">
        <f>SUMIF('Как будет'!$A$17:$A$24,Доп.расчеты!$A202,'Как будет'!CI$17:CI$24)</f>
        <v>0</v>
      </c>
      <c r="CI202">
        <f>SUMIF('Как будет'!$A$17:$A$24,Доп.расчеты!$A202,'Как будет'!CJ$17:CJ$24)</f>
        <v>0</v>
      </c>
      <c r="CJ202">
        <f>SUMIF('Как будет'!$A$17:$A$24,Доп.расчеты!$A202,'Как будет'!CK$17:CK$24)</f>
        <v>0</v>
      </c>
      <c r="CK202">
        <f>SUMIF('Как будет'!$A$17:$A$24,Доп.расчеты!$A202,'Как будет'!CL$17:CL$24)</f>
        <v>0</v>
      </c>
      <c r="CL202">
        <f>SUMIF('Как будет'!$A$17:$A$24,Доп.расчеты!$A202,'Как будет'!CM$17:CM$24)</f>
        <v>0</v>
      </c>
      <c r="CM202">
        <f>SUMIF('Как будет'!$A$17:$A$24,Доп.расчеты!$A202,'Как будет'!CN$17:CN$24)</f>
        <v>0</v>
      </c>
      <c r="CN202">
        <f>SUMIF('Как будет'!$A$17:$A$24,Доп.расчеты!$A202,'Как будет'!CO$17:CO$24)</f>
        <v>0</v>
      </c>
      <c r="CO202">
        <f>SUMIF('Как будет'!$A$17:$A$24,Доп.расчеты!$A202,'Как будет'!CP$17:CP$24)</f>
        <v>0</v>
      </c>
      <c r="CP202">
        <f>SUMIF('Как будет'!$A$17:$A$24,Доп.расчеты!$A202,'Как будет'!CQ$17:CQ$24)</f>
        <v>0</v>
      </c>
      <c r="CQ202">
        <f>SUMIF('Как будет'!$A$17:$A$24,Доп.расчеты!$A202,'Как будет'!CR$17:CR$24)</f>
        <v>0</v>
      </c>
      <c r="CR202">
        <f>SUMIF('Как будет'!$A$17:$A$24,Доп.расчеты!$A202,'Как будет'!CS$17:CS$24)</f>
        <v>0</v>
      </c>
      <c r="CS202">
        <f>SUMIF('Как будет'!$A$17:$A$24,Доп.расчеты!$A202,'Как будет'!CT$17:CT$24)</f>
        <v>0</v>
      </c>
      <c r="CT202">
        <f>SUMIF('Как будет'!$A$17:$A$24,Доп.расчеты!$A202,'Как будет'!CU$17:CU$24)</f>
        <v>0</v>
      </c>
      <c r="CU202">
        <f>SUMIF('Как будет'!$A$17:$A$24,Доп.расчеты!$A202,'Как будет'!CV$17:CV$24)</f>
        <v>0</v>
      </c>
      <c r="CV202">
        <f>SUMIF('Как будет'!$A$17:$A$24,Доп.расчеты!$A202,'Как будет'!CW$17:CW$24)</f>
        <v>0</v>
      </c>
      <c r="CW202">
        <f>SUMIF('Как будет'!$A$17:$A$24,Доп.расчеты!$A202,'Как будет'!CX$17:CX$24)</f>
        <v>0</v>
      </c>
      <c r="CX202">
        <f>SUMIF('Как будет'!$A$17:$A$24,Доп.расчеты!$A202,'Как будет'!CY$17:CY$24)</f>
        <v>0</v>
      </c>
      <c r="CY202">
        <f>SUMIF('Как будет'!$A$17:$A$24,Доп.расчеты!$A202,'Как будет'!CZ$17:CZ$24)</f>
        <v>0</v>
      </c>
      <c r="CZ202">
        <f>SUMIF('Как будет'!$A$17:$A$24,Доп.расчеты!$A202,'Как будет'!DA$17:DA$24)</f>
        <v>0</v>
      </c>
      <c r="DA202">
        <f>SUMIF('Как будет'!$A$17:$A$24,Доп.расчеты!$A202,'Как будет'!DB$17:DB$24)</f>
        <v>0</v>
      </c>
      <c r="DB202">
        <f>SUMIF('Как будет'!$A$17:$A$24,Доп.расчеты!$A202,'Как будет'!DC$17:DC$24)</f>
        <v>0</v>
      </c>
      <c r="DC202">
        <f>SUMIF('Как будет'!$A$17:$A$24,Доп.расчеты!$A202,'Как будет'!DD$17:DD$24)</f>
        <v>0</v>
      </c>
      <c r="DD202">
        <f>SUMIF('Как будет'!$A$17:$A$24,Доп.расчеты!$A202,'Как будет'!DE$17:DE$24)</f>
        <v>0</v>
      </c>
      <c r="DE202">
        <f>SUMIF('Как будет'!$A$17:$A$24,Доп.расчеты!$A202,'Как будет'!DF$17:DF$24)</f>
        <v>0</v>
      </c>
      <c r="DF202">
        <f>SUMIF('Как будет'!$A$17:$A$24,Доп.расчеты!$A202,'Как будет'!DG$17:DG$24)</f>
        <v>0</v>
      </c>
      <c r="DG202">
        <f>SUMIF('Как будет'!$A$17:$A$24,Доп.расчеты!$A202,'Как будет'!DH$17:DH$24)</f>
        <v>0</v>
      </c>
      <c r="DH202">
        <f>SUMIF('Как будет'!$A$17:$A$24,Доп.расчеты!$A202,'Как будет'!DI$17:DI$24)</f>
        <v>0</v>
      </c>
      <c r="DI202">
        <f>SUMIF('Как будет'!$A$17:$A$24,Доп.расчеты!$A202,'Как будет'!DJ$17:DJ$24)</f>
        <v>0</v>
      </c>
      <c r="DJ202">
        <f>SUMIF('Как будет'!$A$17:$A$24,Доп.расчеты!$A202,'Как будет'!DK$17:DK$24)</f>
        <v>0</v>
      </c>
      <c r="DK202">
        <f>SUMIF('Как будет'!$A$17:$A$24,Доп.расчеты!$A202,'Как будет'!DL$17:DL$24)</f>
        <v>0</v>
      </c>
      <c r="DL202">
        <f>SUMIF('Как будет'!$A$17:$A$24,Доп.расчеты!$A202,'Как будет'!DM$17:DM$24)</f>
        <v>0</v>
      </c>
      <c r="DM202">
        <f>SUMIF('Как будет'!$A$17:$A$24,Доп.расчеты!$A202,'Как будет'!DN$17:DN$24)</f>
        <v>0</v>
      </c>
      <c r="DN202">
        <f>SUMIF('Как будет'!$A$17:$A$24,Доп.расчеты!$A202,'Как будет'!DO$17:DO$24)</f>
        <v>0</v>
      </c>
      <c r="DO202">
        <f>SUMIF('Как будет'!$A$17:$A$24,Доп.расчеты!$A202,'Как будет'!DP$17:DP$24)</f>
        <v>0</v>
      </c>
      <c r="DP202">
        <f>SUMIF('Как будет'!$A$17:$A$24,Доп.расчеты!$A202,'Как будет'!DQ$17:DQ$24)</f>
        <v>0</v>
      </c>
      <c r="DQ202">
        <f>SUMIF('Как будет'!$A$17:$A$24,Доп.расчеты!$A202,'Как будет'!DR$17:DR$24)</f>
        <v>0</v>
      </c>
      <c r="DR202">
        <f>SUMIF('Как будет'!$A$17:$A$24,Доп.расчеты!$A202,'Как будет'!DS$17:DS$24)</f>
        <v>0</v>
      </c>
      <c r="DS202">
        <f>SUMIF('Как будет'!$A$17:$A$24,Доп.расчеты!$A202,'Как будет'!DT$17:DT$24)</f>
        <v>0</v>
      </c>
      <c r="DT202">
        <f>SUMIF('Как будет'!$A$17:$A$24,Доп.расчеты!$A202,'Как будет'!DU$17:DU$24)</f>
        <v>0</v>
      </c>
      <c r="DU202">
        <f>SUMIF('Как будет'!$A$17:$A$24,Доп.расчеты!$A202,'Как будет'!DV$17:DV$24)</f>
        <v>0</v>
      </c>
      <c r="DV202">
        <f>SUMIF('Как будет'!$A$17:$A$24,Доп.расчеты!$A202,'Как будет'!DW$17:DW$24)</f>
        <v>0</v>
      </c>
      <c r="DW202">
        <f>SUMIF('Как будет'!$A$17:$A$24,Доп.расчеты!$A202,'Как будет'!DX$17:DX$24)</f>
        <v>0</v>
      </c>
      <c r="DX202">
        <f>SUMIF('Как будет'!$A$17:$A$24,Доп.расчеты!$A202,'Как будет'!DY$17:DY$24)</f>
        <v>0</v>
      </c>
      <c r="DY202">
        <f>SUMIF('Как будет'!$A$17:$A$24,Доп.расчеты!$A202,'Как будет'!DZ$17:DZ$24)</f>
        <v>0</v>
      </c>
      <c r="DZ202">
        <f>SUMIF('Как будет'!$A$17:$A$24,Доп.расчеты!$A202,'Как будет'!EA$17:EA$24)</f>
        <v>0</v>
      </c>
      <c r="EA202">
        <f>SUMIF('Как будет'!$A$17:$A$24,Доп.расчеты!$A202,'Как будет'!EB$17:EB$24)</f>
        <v>0</v>
      </c>
      <c r="EB202">
        <f>SUMIF('Как будет'!$A$17:$A$24,Доп.расчеты!$A202,'Как будет'!EC$17:EC$24)</f>
        <v>0</v>
      </c>
      <c r="EC202">
        <f>SUMIF('Как будет'!$A$17:$A$24,Доп.расчеты!$A202,'Как будет'!ED$17:ED$24)</f>
        <v>0</v>
      </c>
      <c r="ED202">
        <f>SUMIF('Как будет'!$A$17:$A$24,Доп.расчеты!$A202,'Как будет'!EE$17:EE$24)</f>
        <v>0</v>
      </c>
      <c r="EE202">
        <f>SUMIF('Как будет'!$A$17:$A$24,Доп.расчеты!$A202,'Как будет'!EF$17:EF$24)</f>
        <v>0</v>
      </c>
      <c r="EF202">
        <f>SUMIF('Как будет'!$A$17:$A$24,Доп.расчеты!$A202,'Как будет'!EG$17:EG$24)</f>
        <v>0</v>
      </c>
      <c r="EG202">
        <f>SUMIF('Как будет'!$A$17:$A$24,Доп.расчеты!$A202,'Как будет'!EH$17:EH$24)</f>
        <v>0</v>
      </c>
      <c r="EH202">
        <f>SUMIF('Как будет'!$A$17:$A$24,Доп.расчеты!$A202,'Как будет'!EI$17:EI$24)</f>
        <v>0</v>
      </c>
      <c r="EI202">
        <f>SUMIF('Как будет'!$A$17:$A$24,Доп.расчеты!$A202,'Как будет'!EJ$17:EJ$24)</f>
        <v>0</v>
      </c>
      <c r="EJ202">
        <f>SUMIF('Как будет'!$A$17:$A$24,Доп.расчеты!$A202,'Как будет'!EK$17:EK$24)</f>
        <v>0</v>
      </c>
      <c r="EK202">
        <f>SUMIF('Как будет'!$A$17:$A$24,Доп.расчеты!$A202,'Как будет'!EL$17:EL$24)</f>
        <v>0</v>
      </c>
      <c r="EL202">
        <f>SUMIF('Как будет'!$A$17:$A$24,Доп.расчеты!$A202,'Как будет'!EM$17:EM$24)</f>
        <v>0</v>
      </c>
      <c r="EM202">
        <f>SUMIF('Как будет'!$A$17:$A$24,Доп.расчеты!$A202,'Как будет'!EN$17:EN$24)</f>
        <v>0</v>
      </c>
      <c r="EN202">
        <f>SUMIF('Как будет'!$A$17:$A$24,Доп.расчеты!$A202,'Как будет'!EO$17:EO$24)</f>
        <v>0</v>
      </c>
      <c r="EO202">
        <f>SUMIF('Как будет'!$A$17:$A$24,Доп.расчеты!$A202,'Как будет'!EP$17:EP$24)</f>
        <v>0</v>
      </c>
      <c r="EP202">
        <f>SUMIF('Как будет'!$A$17:$A$24,Доп.расчеты!$A202,'Как будет'!EQ$17:EQ$24)</f>
        <v>0</v>
      </c>
      <c r="EQ202">
        <f>SUMIF('Как будет'!$A$17:$A$24,Доп.расчеты!$A202,'Как будет'!ER$17:ER$24)</f>
        <v>0</v>
      </c>
      <c r="ER202">
        <f>SUMIF('Как будет'!$A$17:$A$24,Доп.расчеты!$A202,'Как будет'!ES$17:ES$24)</f>
        <v>0</v>
      </c>
      <c r="ES202">
        <f>SUMIF('Как будет'!$A$17:$A$24,Доп.расчеты!$A202,'Как будет'!ET$17:ET$24)</f>
        <v>0</v>
      </c>
      <c r="ET202">
        <f>SUMIF('Как будет'!$A$17:$A$24,Доп.расчеты!$A202,'Как будет'!EU$17:EU$24)</f>
        <v>0</v>
      </c>
      <c r="EU202">
        <f>SUMIF('Как будет'!$A$17:$A$24,Доп.расчеты!$A202,'Как будет'!EV$17:EV$24)</f>
        <v>0</v>
      </c>
      <c r="EV202">
        <f>SUMIF('Как будет'!$A$17:$A$24,Доп.расчеты!$A202,'Как будет'!EW$17:EW$24)</f>
        <v>0</v>
      </c>
      <c r="EW202">
        <f>SUMIF('Как будет'!$A$17:$A$24,Доп.расчеты!$A202,'Как будет'!EX$17:EX$24)</f>
        <v>0</v>
      </c>
      <c r="EX202">
        <f>SUMIF('Как будет'!$A$17:$A$24,Доп.расчеты!$A202,'Как будет'!EY$17:EY$24)</f>
        <v>0</v>
      </c>
      <c r="EY202">
        <f>SUMIF('Как будет'!$A$17:$A$24,Доп.расчеты!$A202,'Как будет'!EZ$17:EZ$24)</f>
        <v>0</v>
      </c>
      <c r="EZ202">
        <f>SUMIF('Как будет'!$A$17:$A$24,Доп.расчеты!$A202,'Как будет'!FA$17:FA$24)</f>
        <v>0</v>
      </c>
      <c r="FA202">
        <f>SUMIF('Как будет'!$A$17:$A$24,Доп.расчеты!$A202,'Как будет'!FB$17:FB$24)</f>
        <v>0</v>
      </c>
      <c r="FB202">
        <f>SUMIF('Как будет'!$A$17:$A$24,Доп.расчеты!$A202,'Как будет'!FC$17:FC$24)</f>
        <v>0</v>
      </c>
      <c r="FC202">
        <f>SUMIF('Как будет'!$A$17:$A$24,Доп.расчеты!$A202,'Как будет'!FD$17:FD$24)</f>
        <v>0</v>
      </c>
      <c r="FD202">
        <f>SUMIF('Как будет'!$A$17:$A$24,Доп.расчеты!$A202,'Как будет'!FE$17:FE$24)</f>
        <v>0</v>
      </c>
      <c r="FE202">
        <f>SUMIF('Как будет'!$A$17:$A$24,Доп.расчеты!$A202,'Как будет'!FF$17:FF$24)</f>
        <v>0</v>
      </c>
      <c r="FF202">
        <f>SUMIF('Как будет'!$A$17:$A$24,Доп.расчеты!$A202,'Как будет'!FG$17:FG$24)</f>
        <v>0</v>
      </c>
      <c r="FG202">
        <f>SUMIF('Как будет'!$A$17:$A$24,Доп.расчеты!$A202,'Как будет'!FH$17:FH$24)</f>
        <v>0</v>
      </c>
      <c r="FH202">
        <f>SUMIF('Как будет'!$A$17:$A$24,Доп.расчеты!$A202,'Как будет'!FI$17:FI$24)</f>
        <v>0</v>
      </c>
      <c r="FI202">
        <f>SUMIF('Как будет'!$A$17:$A$24,Доп.расчеты!$A202,'Как будет'!FJ$17:FJ$24)</f>
        <v>0</v>
      </c>
      <c r="FJ202">
        <f>SUMIF('Как будет'!$A$17:$A$24,Доп.расчеты!$A202,'Как будет'!FK$17:FK$24)</f>
        <v>0</v>
      </c>
      <c r="FK202">
        <f>SUMIF('Как будет'!$A$17:$A$24,Доп.расчеты!$A202,'Как будет'!FL$17:FL$24)</f>
        <v>0</v>
      </c>
      <c r="FL202">
        <f>SUMIF('Как будет'!$A$17:$A$24,Доп.расчеты!$A202,'Как будет'!FM$17:FM$24)</f>
        <v>0</v>
      </c>
      <c r="FM202">
        <f>SUMIF('Как будет'!$A$17:$A$24,Доп.расчеты!$A202,'Как будет'!FN$17:FN$24)</f>
        <v>0</v>
      </c>
      <c r="FN202">
        <f>SUMIF('Как будет'!$A$17:$A$24,Доп.расчеты!$A202,'Как будет'!FO$17:FO$24)</f>
        <v>0</v>
      </c>
      <c r="FO202">
        <f>SUMIF('Как будет'!$A$17:$A$24,Доп.расчеты!$A202,'Как будет'!FP$17:FP$24)</f>
        <v>0</v>
      </c>
      <c r="FP202">
        <f>SUMIF('Как будет'!$A$17:$A$24,Доп.расчеты!$A202,'Как будет'!FQ$17:FQ$24)</f>
        <v>0</v>
      </c>
      <c r="FQ202">
        <f>SUMIF('Как будет'!$A$17:$A$24,Доп.расчеты!$A202,'Как будет'!FR$17:FR$24)</f>
        <v>0</v>
      </c>
      <c r="FR202">
        <f>SUMIF('Как будет'!$A$17:$A$24,Доп.расчеты!$A202,'Как будет'!FS$17:FS$24)</f>
        <v>0</v>
      </c>
      <c r="FS202">
        <f>SUMIF('Как будет'!$A$17:$A$24,Доп.расчеты!$A202,'Как будет'!FT$17:FT$24)</f>
        <v>0</v>
      </c>
      <c r="FT202">
        <f>SUMIF('Как будет'!$A$17:$A$24,Доп.расчеты!$A202,'Как будет'!FU$17:FU$24)</f>
        <v>0</v>
      </c>
      <c r="FU202">
        <f>SUMIF('Как будет'!$A$17:$A$24,Доп.расчеты!$A202,'Как будет'!FV$17:FV$24)</f>
        <v>0</v>
      </c>
      <c r="FV202">
        <f>SUMIF('Как будет'!$A$17:$A$24,Доп.расчеты!$A202,'Как будет'!FW$17:FW$24)</f>
        <v>0</v>
      </c>
      <c r="FW202">
        <f>SUMIF('Как будет'!$A$17:$A$24,Доп.расчеты!$A202,'Как будет'!FX$17:FX$24)</f>
        <v>0</v>
      </c>
      <c r="FX202">
        <f>SUMIF('Как будет'!$A$17:$A$24,Доп.расчеты!$A202,'Как будет'!FY$17:FY$24)</f>
        <v>0</v>
      </c>
      <c r="FY202">
        <f>SUMIF('Как будет'!$A$17:$A$24,Доп.расчеты!$A202,'Как будет'!FZ$17:FZ$24)</f>
        <v>0</v>
      </c>
      <c r="FZ202">
        <f>SUMIF('Как будет'!$A$17:$A$24,Доп.расчеты!$A202,'Как будет'!GA$17:GA$24)</f>
        <v>0</v>
      </c>
      <c r="GA202">
        <f>SUMIF('Как будет'!$A$17:$A$24,Доп.расчеты!$A202,'Как будет'!GB$17:GB$24)</f>
        <v>0</v>
      </c>
      <c r="GB202">
        <f>SUMIF('Как будет'!$A$17:$A$24,Доп.расчеты!$A202,'Как будет'!GC$17:GC$24)</f>
        <v>0</v>
      </c>
      <c r="GC202">
        <f>SUMIF('Как будет'!$A$17:$A$24,Доп.расчеты!$A202,'Как будет'!GD$17:GD$24)</f>
        <v>0</v>
      </c>
      <c r="GD202">
        <f>SUMIF('Как будет'!$A$17:$A$24,Доп.расчеты!$A202,'Как будет'!GE$17:GE$24)</f>
        <v>0</v>
      </c>
      <c r="GE202">
        <f>SUMIF('Как будет'!$A$17:$A$24,Доп.расчеты!$A202,'Как будет'!GF$17:GF$24)</f>
        <v>0</v>
      </c>
      <c r="GF202">
        <f>SUMIF('Как будет'!$A$17:$A$24,Доп.расчеты!$A202,'Как будет'!GG$17:GG$24)</f>
        <v>0</v>
      </c>
      <c r="GG202">
        <f>SUMIF('Как будет'!$A$17:$A$24,Доп.расчеты!$A202,'Как будет'!GH$17:GH$24)</f>
        <v>0</v>
      </c>
      <c r="GH202">
        <f>SUMIF('Как будет'!$A$17:$A$24,Доп.расчеты!$A202,'Как будет'!GI$17:GI$24)</f>
        <v>0</v>
      </c>
      <c r="GI202">
        <f>SUMIF('Как будет'!$A$17:$A$24,Доп.расчеты!$A202,'Как будет'!GJ$17:GJ$24)</f>
        <v>0</v>
      </c>
      <c r="GJ202">
        <f>SUMIF('Как будет'!$A$17:$A$24,Доп.расчеты!$A202,'Как будет'!GK$17:GK$24)</f>
        <v>0</v>
      </c>
      <c r="GK202">
        <f>SUMIF('Как будет'!$A$17:$A$24,Доп.расчеты!$A202,'Как будет'!GL$17:GL$24)</f>
        <v>0</v>
      </c>
      <c r="GL202">
        <f>SUMIF('Как будет'!$A$17:$A$24,Доп.расчеты!$A202,'Как будет'!GM$17:GM$24)</f>
        <v>0</v>
      </c>
      <c r="GM202">
        <f>SUMIF('Как будет'!$A$17:$A$24,Доп.расчеты!$A202,'Как будет'!GN$17:GN$24)</f>
        <v>0</v>
      </c>
      <c r="GN202">
        <f>SUMIF('Как будет'!$A$17:$A$24,Доп.расчеты!$A202,'Как будет'!GO$17:GO$24)</f>
        <v>0</v>
      </c>
      <c r="GO202">
        <f>SUMIF('Как будет'!$A$17:$A$24,Доп.расчеты!$A202,'Как будет'!GP$17:GP$24)</f>
        <v>0</v>
      </c>
      <c r="GP202">
        <f>SUMIF('Как будет'!$A$17:$A$24,Доп.расчеты!$A202,'Как будет'!GQ$17:GQ$24)</f>
        <v>0</v>
      </c>
      <c r="GQ202">
        <f>SUMIF('Как будет'!$A$17:$A$24,Доп.расчеты!$A202,'Как будет'!GR$17:GR$24)</f>
        <v>0</v>
      </c>
      <c r="GR202">
        <f>SUMIF('Как будет'!$A$17:$A$24,Доп.расчеты!$A202,'Как будет'!GS$17:GS$24)</f>
        <v>0</v>
      </c>
      <c r="GS202">
        <f>SUMIF('Как будет'!$A$17:$A$24,Доп.расчеты!$A202,'Как будет'!GT$17:GT$24)</f>
        <v>0</v>
      </c>
      <c r="GT202">
        <f>SUMIF('Как будет'!$A$17:$A$24,Доп.расчеты!$A202,'Как будет'!GU$17:GU$24)</f>
        <v>0</v>
      </c>
    </row>
    <row r="203" spans="1:202">
      <c r="A203" s="238" t="s">
        <v>98</v>
      </c>
      <c r="B203">
        <f>SUMIF('Как будет'!$A$17:$A$24,Доп.расчеты!$A203,'Как будет'!C$17:C$24)</f>
        <v>0</v>
      </c>
      <c r="C203">
        <f>SUMIF('Как будет'!$A$17:$A$24,Доп.расчеты!$A203,'Как будет'!D$17:D$24)</f>
        <v>0</v>
      </c>
      <c r="D203">
        <f>SUMIF('Как будет'!$A$17:$A$24,Доп.расчеты!$A203,'Как будет'!E$17:E$24)</f>
        <v>0</v>
      </c>
      <c r="E203">
        <f>SUMIF('Как будет'!$A$17:$A$24,Доп.расчеты!$A203,'Как будет'!F$17:F$24)</f>
        <v>0</v>
      </c>
      <c r="F203">
        <f>SUMIF('Как будет'!$A$17:$A$24,Доп.расчеты!$A203,'Как будет'!G$17:G$24)</f>
        <v>0</v>
      </c>
      <c r="G203">
        <f>SUMIF('Как будет'!$A$17:$A$24,Доп.расчеты!$A203,'Как будет'!H$17:H$24)</f>
        <v>0</v>
      </c>
      <c r="H203">
        <f>SUMIF('Как будет'!$A$17:$A$24,Доп.расчеты!$A203,'Как будет'!I$17:I$24)</f>
        <v>0</v>
      </c>
      <c r="I203">
        <f>SUMIF('Как будет'!$A$17:$A$24,Доп.расчеты!$A203,'Как будет'!J$17:J$24)</f>
        <v>0</v>
      </c>
      <c r="J203">
        <f>SUMIF('Как будет'!$A$17:$A$24,Доп.расчеты!$A203,'Как будет'!K$17:K$24)</f>
        <v>0</v>
      </c>
      <c r="K203">
        <f>SUMIF('Как будет'!$A$17:$A$24,Доп.расчеты!$A203,'Как будет'!L$17:L$24)</f>
        <v>0</v>
      </c>
      <c r="L203">
        <f>SUMIF('Как будет'!$A$17:$A$24,Доп.расчеты!$A203,'Как будет'!M$17:M$24)</f>
        <v>0</v>
      </c>
      <c r="M203">
        <f>SUMIF('Как будет'!$A$17:$A$24,Доп.расчеты!$A203,'Как будет'!N$17:N$24)</f>
        <v>0</v>
      </c>
      <c r="N203">
        <f>SUMIF('Как будет'!$A$17:$A$24,Доп.расчеты!$A203,'Как будет'!O$17:O$24)</f>
        <v>0</v>
      </c>
      <c r="O203">
        <f>SUMIF('Как будет'!$A$17:$A$24,Доп.расчеты!$A203,'Как будет'!P$17:P$24)</f>
        <v>0</v>
      </c>
      <c r="P203">
        <f>SUMIF('Как будет'!$A$17:$A$24,Доп.расчеты!$A203,'Как будет'!Q$17:Q$24)</f>
        <v>0</v>
      </c>
      <c r="Q203">
        <f>SUMIF('Как будет'!$A$17:$A$24,Доп.расчеты!$A203,'Как будет'!R$17:R$24)</f>
        <v>0</v>
      </c>
      <c r="R203">
        <f>SUMIF('Как будет'!$A$17:$A$24,Доп.расчеты!$A203,'Как будет'!S$17:S$24)</f>
        <v>0</v>
      </c>
      <c r="S203">
        <f>SUMIF('Как будет'!$A$17:$A$24,Доп.расчеты!$A203,'Как будет'!T$17:T$24)</f>
        <v>0</v>
      </c>
      <c r="T203">
        <f>SUMIF('Как будет'!$A$17:$A$24,Доп.расчеты!$A203,'Как будет'!U$17:U$24)</f>
        <v>0</v>
      </c>
      <c r="U203">
        <f>SUMIF('Как будет'!$A$17:$A$24,Доп.расчеты!$A203,'Как будет'!V$17:V$24)</f>
        <v>0</v>
      </c>
      <c r="V203">
        <f>SUMIF('Как будет'!$A$17:$A$24,Доп.расчеты!$A203,'Как будет'!W$17:W$24)</f>
        <v>0</v>
      </c>
      <c r="W203">
        <f>SUMIF('Как будет'!$A$17:$A$24,Доп.расчеты!$A203,'Как будет'!X$17:X$24)</f>
        <v>0</v>
      </c>
      <c r="X203">
        <f>SUMIF('Как будет'!$A$17:$A$24,Доп.расчеты!$A203,'Как будет'!Y$17:Y$24)</f>
        <v>0</v>
      </c>
      <c r="Y203">
        <f>SUMIF('Как будет'!$A$17:$A$24,Доп.расчеты!$A203,'Как будет'!Z$17:Z$24)</f>
        <v>0</v>
      </c>
      <c r="Z203">
        <f>SUMIF('Как будет'!$A$17:$A$24,Доп.расчеты!$A203,'Как будет'!AA$17:AA$24)</f>
        <v>0</v>
      </c>
      <c r="AA203">
        <f>SUMIF('Как будет'!$A$17:$A$24,Доп.расчеты!$A203,'Как будет'!AB$17:AB$24)</f>
        <v>0</v>
      </c>
      <c r="AB203">
        <f>SUMIF('Как будет'!$A$17:$A$24,Доп.расчеты!$A203,'Как будет'!AC$17:AC$24)</f>
        <v>0</v>
      </c>
      <c r="AC203">
        <f>SUMIF('Как будет'!$A$17:$A$24,Доп.расчеты!$A203,'Как будет'!AD$17:AD$24)</f>
        <v>0</v>
      </c>
      <c r="AD203">
        <f>SUMIF('Как будет'!$A$17:$A$24,Доп.расчеты!$A203,'Как будет'!AE$17:AE$24)</f>
        <v>0</v>
      </c>
      <c r="AE203">
        <f>SUMIF('Как будет'!$A$17:$A$24,Доп.расчеты!$A203,'Как будет'!AF$17:AF$24)</f>
        <v>0</v>
      </c>
      <c r="AF203">
        <f>SUMIF('Как будет'!$A$17:$A$24,Доп.расчеты!$A203,'Как будет'!AG$17:AG$24)</f>
        <v>0</v>
      </c>
      <c r="AG203">
        <f>SUMIF('Как будет'!$A$17:$A$24,Доп.расчеты!$A203,'Как будет'!AH$17:AH$24)</f>
        <v>0</v>
      </c>
      <c r="AH203">
        <f>SUMIF('Как будет'!$A$17:$A$24,Доп.расчеты!$A203,'Как будет'!AI$17:AI$24)</f>
        <v>0</v>
      </c>
      <c r="AI203">
        <f>SUMIF('Как будет'!$A$17:$A$24,Доп.расчеты!$A203,'Как будет'!AJ$17:AJ$24)</f>
        <v>0</v>
      </c>
      <c r="AJ203">
        <f>SUMIF('Как будет'!$A$17:$A$24,Доп.расчеты!$A203,'Как будет'!AK$17:AK$24)</f>
        <v>0</v>
      </c>
      <c r="AK203">
        <f>SUMIF('Как будет'!$A$17:$A$24,Доп.расчеты!$A203,'Как будет'!AL$17:AL$24)</f>
        <v>0</v>
      </c>
      <c r="AL203">
        <f>SUMIF('Как будет'!$A$17:$A$24,Доп.расчеты!$A203,'Как будет'!AM$17:AM$24)</f>
        <v>0</v>
      </c>
      <c r="AM203">
        <f>SUMIF('Как будет'!$A$17:$A$24,Доп.расчеты!$A203,'Как будет'!AN$17:AN$24)</f>
        <v>0</v>
      </c>
      <c r="AN203">
        <f>SUMIF('Как будет'!$A$17:$A$24,Доп.расчеты!$A203,'Как будет'!AO$17:AO$24)</f>
        <v>0</v>
      </c>
      <c r="AO203">
        <f>SUMIF('Как будет'!$A$17:$A$24,Доп.расчеты!$A203,'Как будет'!AP$17:AP$24)</f>
        <v>0</v>
      </c>
      <c r="AP203">
        <f>SUMIF('Как будет'!$A$17:$A$24,Доп.расчеты!$A203,'Как будет'!AQ$17:AQ$24)</f>
        <v>0</v>
      </c>
      <c r="AQ203">
        <f>SUMIF('Как будет'!$A$17:$A$24,Доп.расчеты!$A203,'Как будет'!AR$17:AR$24)</f>
        <v>0</v>
      </c>
      <c r="AR203">
        <f>SUMIF('Как будет'!$A$17:$A$24,Доп.расчеты!$A203,'Как будет'!AS$17:AS$24)</f>
        <v>0</v>
      </c>
      <c r="AS203">
        <f>SUMIF('Как будет'!$A$17:$A$24,Доп.расчеты!$A203,'Как будет'!AT$17:AT$24)</f>
        <v>0</v>
      </c>
      <c r="AT203">
        <f>SUMIF('Как будет'!$A$17:$A$24,Доп.расчеты!$A203,'Как будет'!AU$17:AU$24)</f>
        <v>0</v>
      </c>
      <c r="AU203">
        <f>SUMIF('Как будет'!$A$17:$A$24,Доп.расчеты!$A203,'Как будет'!AV$17:AV$24)</f>
        <v>0</v>
      </c>
      <c r="AV203">
        <f>SUMIF('Как будет'!$A$17:$A$24,Доп.расчеты!$A203,'Как будет'!AW$17:AW$24)</f>
        <v>0</v>
      </c>
      <c r="AW203">
        <f>SUMIF('Как будет'!$A$17:$A$24,Доп.расчеты!$A203,'Как будет'!AX$17:AX$24)</f>
        <v>0</v>
      </c>
      <c r="AX203">
        <f>SUMIF('Как будет'!$A$17:$A$24,Доп.расчеты!$A203,'Как будет'!AY$17:AY$24)</f>
        <v>0</v>
      </c>
      <c r="AY203">
        <f>SUMIF('Как будет'!$A$17:$A$24,Доп.расчеты!$A203,'Как будет'!AZ$17:AZ$24)</f>
        <v>0</v>
      </c>
      <c r="AZ203">
        <f>SUMIF('Как будет'!$A$17:$A$24,Доп.расчеты!$A203,'Как будет'!BA$17:BA$24)</f>
        <v>0</v>
      </c>
      <c r="BA203">
        <f>SUMIF('Как будет'!$A$17:$A$24,Доп.расчеты!$A203,'Как будет'!BB$17:BB$24)</f>
        <v>0</v>
      </c>
      <c r="BB203">
        <f>SUMIF('Как будет'!$A$17:$A$24,Доп.расчеты!$A203,'Как будет'!BC$17:BC$24)</f>
        <v>0</v>
      </c>
      <c r="BC203">
        <f>SUMIF('Как будет'!$A$17:$A$24,Доп.расчеты!$A203,'Как будет'!BD$17:BD$24)</f>
        <v>0</v>
      </c>
      <c r="BD203">
        <f>SUMIF('Как будет'!$A$17:$A$24,Доп.расчеты!$A203,'Как будет'!BE$17:BE$24)</f>
        <v>0</v>
      </c>
      <c r="BE203">
        <f>SUMIF('Как будет'!$A$17:$A$24,Доп.расчеты!$A203,'Как будет'!BF$17:BF$24)</f>
        <v>0</v>
      </c>
      <c r="BF203">
        <f>SUMIF('Как будет'!$A$17:$A$24,Доп.расчеты!$A203,'Как будет'!BG$17:BG$24)</f>
        <v>0</v>
      </c>
      <c r="BG203">
        <f>SUMIF('Как будет'!$A$17:$A$24,Доп.расчеты!$A203,'Как будет'!BH$17:BH$24)</f>
        <v>0</v>
      </c>
      <c r="BH203">
        <f>SUMIF('Как будет'!$A$17:$A$24,Доп.расчеты!$A203,'Как будет'!BI$17:BI$24)</f>
        <v>0</v>
      </c>
      <c r="BI203">
        <f>SUMIF('Как будет'!$A$17:$A$24,Доп.расчеты!$A203,'Как будет'!BJ$17:BJ$24)</f>
        <v>0</v>
      </c>
      <c r="BJ203">
        <f>SUMIF('Как будет'!$A$17:$A$24,Доп.расчеты!$A203,'Как будет'!BK$17:BK$24)</f>
        <v>0</v>
      </c>
      <c r="BK203">
        <f>SUMIF('Как будет'!$A$17:$A$24,Доп.расчеты!$A203,'Как будет'!BL$17:BL$24)</f>
        <v>0</v>
      </c>
      <c r="BL203">
        <f>SUMIF('Как будет'!$A$17:$A$24,Доп.расчеты!$A203,'Как будет'!BM$17:BM$24)</f>
        <v>0</v>
      </c>
      <c r="BM203">
        <f>SUMIF('Как будет'!$A$17:$A$24,Доп.расчеты!$A203,'Как будет'!BN$17:BN$24)</f>
        <v>0</v>
      </c>
      <c r="BN203">
        <f>SUMIF('Как будет'!$A$17:$A$24,Доп.расчеты!$A203,'Как будет'!BO$17:BO$24)</f>
        <v>0</v>
      </c>
      <c r="BO203">
        <f>SUMIF('Как будет'!$A$17:$A$24,Доп.расчеты!$A203,'Как будет'!BP$17:BP$24)</f>
        <v>0</v>
      </c>
      <c r="BP203">
        <f>SUMIF('Как будет'!$A$17:$A$24,Доп.расчеты!$A203,'Как будет'!BQ$17:BQ$24)</f>
        <v>0</v>
      </c>
      <c r="BQ203">
        <f>SUMIF('Как будет'!$A$17:$A$24,Доп.расчеты!$A203,'Как будет'!BR$17:BR$24)</f>
        <v>0</v>
      </c>
      <c r="BR203">
        <f>SUMIF('Как будет'!$A$17:$A$24,Доп.расчеты!$A203,'Как будет'!BS$17:BS$24)</f>
        <v>0</v>
      </c>
      <c r="BS203">
        <f>SUMIF('Как будет'!$A$17:$A$24,Доп.расчеты!$A203,'Как будет'!BT$17:BT$24)</f>
        <v>0</v>
      </c>
      <c r="BT203">
        <f>SUMIF('Как будет'!$A$17:$A$24,Доп.расчеты!$A203,'Как будет'!BU$17:BU$24)</f>
        <v>0</v>
      </c>
      <c r="BU203">
        <f>SUMIF('Как будет'!$A$17:$A$24,Доп.расчеты!$A203,'Как будет'!BV$17:BV$24)</f>
        <v>0</v>
      </c>
      <c r="BV203">
        <f>SUMIF('Как будет'!$A$17:$A$24,Доп.расчеты!$A203,'Как будет'!BW$17:BW$24)</f>
        <v>0</v>
      </c>
      <c r="BW203">
        <f>SUMIF('Как будет'!$A$17:$A$24,Доп.расчеты!$A203,'Как будет'!BX$17:BX$24)</f>
        <v>0</v>
      </c>
      <c r="BX203">
        <f>SUMIF('Как будет'!$A$17:$A$24,Доп.расчеты!$A203,'Как будет'!BY$17:BY$24)</f>
        <v>0</v>
      </c>
      <c r="BY203">
        <f>SUMIF('Как будет'!$A$17:$A$24,Доп.расчеты!$A203,'Как будет'!BZ$17:BZ$24)</f>
        <v>0</v>
      </c>
      <c r="BZ203">
        <f>SUMIF('Как будет'!$A$17:$A$24,Доп.расчеты!$A203,'Как будет'!CA$17:CA$24)</f>
        <v>0</v>
      </c>
      <c r="CA203">
        <f>SUMIF('Как будет'!$A$17:$A$24,Доп.расчеты!$A203,'Как будет'!CB$17:CB$24)</f>
        <v>0</v>
      </c>
      <c r="CB203">
        <f>SUMIF('Как будет'!$A$17:$A$24,Доп.расчеты!$A203,'Как будет'!CC$17:CC$24)</f>
        <v>0</v>
      </c>
      <c r="CC203">
        <f>SUMIF('Как будет'!$A$17:$A$24,Доп.расчеты!$A203,'Как будет'!CD$17:CD$24)</f>
        <v>0</v>
      </c>
      <c r="CD203">
        <f>SUMIF('Как будет'!$A$17:$A$24,Доп.расчеты!$A203,'Как будет'!CE$17:CE$24)</f>
        <v>0</v>
      </c>
      <c r="CE203">
        <f>SUMIF('Как будет'!$A$17:$A$24,Доп.расчеты!$A203,'Как будет'!CF$17:CF$24)</f>
        <v>0</v>
      </c>
      <c r="CF203">
        <f>SUMIF('Как будет'!$A$17:$A$24,Доп.расчеты!$A203,'Как будет'!CG$17:CG$24)</f>
        <v>0</v>
      </c>
      <c r="CG203">
        <f>SUMIF('Как будет'!$A$17:$A$24,Доп.расчеты!$A203,'Как будет'!CH$17:CH$24)</f>
        <v>0</v>
      </c>
      <c r="CH203">
        <f>SUMIF('Как будет'!$A$17:$A$24,Доп.расчеты!$A203,'Как будет'!CI$17:CI$24)</f>
        <v>0</v>
      </c>
      <c r="CI203">
        <f>SUMIF('Как будет'!$A$17:$A$24,Доп.расчеты!$A203,'Как будет'!CJ$17:CJ$24)</f>
        <v>0</v>
      </c>
      <c r="CJ203">
        <f>SUMIF('Как будет'!$A$17:$A$24,Доп.расчеты!$A203,'Как будет'!CK$17:CK$24)</f>
        <v>0</v>
      </c>
      <c r="CK203">
        <f>SUMIF('Как будет'!$A$17:$A$24,Доп.расчеты!$A203,'Как будет'!CL$17:CL$24)</f>
        <v>0</v>
      </c>
      <c r="CL203">
        <f>SUMIF('Как будет'!$A$17:$A$24,Доп.расчеты!$A203,'Как будет'!CM$17:CM$24)</f>
        <v>0</v>
      </c>
      <c r="CM203">
        <f>SUMIF('Как будет'!$A$17:$A$24,Доп.расчеты!$A203,'Как будет'!CN$17:CN$24)</f>
        <v>0</v>
      </c>
      <c r="CN203">
        <f>SUMIF('Как будет'!$A$17:$A$24,Доп.расчеты!$A203,'Как будет'!CO$17:CO$24)</f>
        <v>0</v>
      </c>
      <c r="CO203">
        <f>SUMIF('Как будет'!$A$17:$A$24,Доп.расчеты!$A203,'Как будет'!CP$17:CP$24)</f>
        <v>0</v>
      </c>
      <c r="CP203">
        <f>SUMIF('Как будет'!$A$17:$A$24,Доп.расчеты!$A203,'Как будет'!CQ$17:CQ$24)</f>
        <v>0</v>
      </c>
      <c r="CQ203">
        <f>SUMIF('Как будет'!$A$17:$A$24,Доп.расчеты!$A203,'Как будет'!CR$17:CR$24)</f>
        <v>0</v>
      </c>
      <c r="CR203">
        <f>SUMIF('Как будет'!$A$17:$A$24,Доп.расчеты!$A203,'Как будет'!CS$17:CS$24)</f>
        <v>0</v>
      </c>
      <c r="CS203">
        <f>SUMIF('Как будет'!$A$17:$A$24,Доп.расчеты!$A203,'Как будет'!CT$17:CT$24)</f>
        <v>0</v>
      </c>
      <c r="CT203">
        <f>SUMIF('Как будет'!$A$17:$A$24,Доп.расчеты!$A203,'Как будет'!CU$17:CU$24)</f>
        <v>0</v>
      </c>
      <c r="CU203">
        <f>SUMIF('Как будет'!$A$17:$A$24,Доп.расчеты!$A203,'Как будет'!CV$17:CV$24)</f>
        <v>0</v>
      </c>
      <c r="CV203">
        <f>SUMIF('Как будет'!$A$17:$A$24,Доп.расчеты!$A203,'Как будет'!CW$17:CW$24)</f>
        <v>0</v>
      </c>
      <c r="CW203">
        <f>SUMIF('Как будет'!$A$17:$A$24,Доп.расчеты!$A203,'Как будет'!CX$17:CX$24)</f>
        <v>0</v>
      </c>
      <c r="CX203">
        <f>SUMIF('Как будет'!$A$17:$A$24,Доп.расчеты!$A203,'Как будет'!CY$17:CY$24)</f>
        <v>0</v>
      </c>
      <c r="CY203">
        <f>SUMIF('Как будет'!$A$17:$A$24,Доп.расчеты!$A203,'Как будет'!CZ$17:CZ$24)</f>
        <v>0</v>
      </c>
      <c r="CZ203">
        <f>SUMIF('Как будет'!$A$17:$A$24,Доп.расчеты!$A203,'Как будет'!DA$17:DA$24)</f>
        <v>0</v>
      </c>
      <c r="DA203">
        <f>SUMIF('Как будет'!$A$17:$A$24,Доп.расчеты!$A203,'Как будет'!DB$17:DB$24)</f>
        <v>0</v>
      </c>
      <c r="DB203">
        <f>SUMIF('Как будет'!$A$17:$A$24,Доп.расчеты!$A203,'Как будет'!DC$17:DC$24)</f>
        <v>0</v>
      </c>
      <c r="DC203">
        <f>SUMIF('Как будет'!$A$17:$A$24,Доп.расчеты!$A203,'Как будет'!DD$17:DD$24)</f>
        <v>0</v>
      </c>
      <c r="DD203">
        <f>SUMIF('Как будет'!$A$17:$A$24,Доп.расчеты!$A203,'Как будет'!DE$17:DE$24)</f>
        <v>0</v>
      </c>
      <c r="DE203">
        <f>SUMIF('Как будет'!$A$17:$A$24,Доп.расчеты!$A203,'Как будет'!DF$17:DF$24)</f>
        <v>0</v>
      </c>
      <c r="DF203">
        <f>SUMIF('Как будет'!$A$17:$A$24,Доп.расчеты!$A203,'Как будет'!DG$17:DG$24)</f>
        <v>0</v>
      </c>
      <c r="DG203">
        <f>SUMIF('Как будет'!$A$17:$A$24,Доп.расчеты!$A203,'Как будет'!DH$17:DH$24)</f>
        <v>0</v>
      </c>
      <c r="DH203">
        <f>SUMIF('Как будет'!$A$17:$A$24,Доп.расчеты!$A203,'Как будет'!DI$17:DI$24)</f>
        <v>0</v>
      </c>
      <c r="DI203">
        <f>SUMIF('Как будет'!$A$17:$A$24,Доп.расчеты!$A203,'Как будет'!DJ$17:DJ$24)</f>
        <v>0</v>
      </c>
      <c r="DJ203">
        <f>SUMIF('Как будет'!$A$17:$A$24,Доп.расчеты!$A203,'Как будет'!DK$17:DK$24)</f>
        <v>0</v>
      </c>
      <c r="DK203">
        <f>SUMIF('Как будет'!$A$17:$A$24,Доп.расчеты!$A203,'Как будет'!DL$17:DL$24)</f>
        <v>0</v>
      </c>
      <c r="DL203">
        <f>SUMIF('Как будет'!$A$17:$A$24,Доп.расчеты!$A203,'Как будет'!DM$17:DM$24)</f>
        <v>0</v>
      </c>
      <c r="DM203">
        <f>SUMIF('Как будет'!$A$17:$A$24,Доп.расчеты!$A203,'Как будет'!DN$17:DN$24)</f>
        <v>0</v>
      </c>
      <c r="DN203">
        <f>SUMIF('Как будет'!$A$17:$A$24,Доп.расчеты!$A203,'Как будет'!DO$17:DO$24)</f>
        <v>0</v>
      </c>
      <c r="DO203">
        <f>SUMIF('Как будет'!$A$17:$A$24,Доп.расчеты!$A203,'Как будет'!DP$17:DP$24)</f>
        <v>0</v>
      </c>
      <c r="DP203">
        <f>SUMIF('Как будет'!$A$17:$A$24,Доп.расчеты!$A203,'Как будет'!DQ$17:DQ$24)</f>
        <v>0</v>
      </c>
      <c r="DQ203">
        <f>SUMIF('Как будет'!$A$17:$A$24,Доп.расчеты!$A203,'Как будет'!DR$17:DR$24)</f>
        <v>0</v>
      </c>
      <c r="DR203">
        <f>SUMIF('Как будет'!$A$17:$A$24,Доп.расчеты!$A203,'Как будет'!DS$17:DS$24)</f>
        <v>0</v>
      </c>
      <c r="DS203">
        <f>SUMIF('Как будет'!$A$17:$A$24,Доп.расчеты!$A203,'Как будет'!DT$17:DT$24)</f>
        <v>0</v>
      </c>
      <c r="DT203">
        <f>SUMIF('Как будет'!$A$17:$A$24,Доп.расчеты!$A203,'Как будет'!DU$17:DU$24)</f>
        <v>0</v>
      </c>
      <c r="DU203">
        <f>SUMIF('Как будет'!$A$17:$A$24,Доп.расчеты!$A203,'Как будет'!DV$17:DV$24)</f>
        <v>0</v>
      </c>
      <c r="DV203">
        <f>SUMIF('Как будет'!$A$17:$A$24,Доп.расчеты!$A203,'Как будет'!DW$17:DW$24)</f>
        <v>0</v>
      </c>
      <c r="DW203">
        <f>SUMIF('Как будет'!$A$17:$A$24,Доп.расчеты!$A203,'Как будет'!DX$17:DX$24)</f>
        <v>0</v>
      </c>
      <c r="DX203">
        <f>SUMIF('Как будет'!$A$17:$A$24,Доп.расчеты!$A203,'Как будет'!DY$17:DY$24)</f>
        <v>0</v>
      </c>
      <c r="DY203">
        <f>SUMIF('Как будет'!$A$17:$A$24,Доп.расчеты!$A203,'Как будет'!DZ$17:DZ$24)</f>
        <v>0</v>
      </c>
      <c r="DZ203">
        <f>SUMIF('Как будет'!$A$17:$A$24,Доп.расчеты!$A203,'Как будет'!EA$17:EA$24)</f>
        <v>0</v>
      </c>
      <c r="EA203">
        <f>SUMIF('Как будет'!$A$17:$A$24,Доп.расчеты!$A203,'Как будет'!EB$17:EB$24)</f>
        <v>0</v>
      </c>
      <c r="EB203">
        <f>SUMIF('Как будет'!$A$17:$A$24,Доп.расчеты!$A203,'Как будет'!EC$17:EC$24)</f>
        <v>0</v>
      </c>
      <c r="EC203">
        <f>SUMIF('Как будет'!$A$17:$A$24,Доп.расчеты!$A203,'Как будет'!ED$17:ED$24)</f>
        <v>0</v>
      </c>
      <c r="ED203">
        <f>SUMIF('Как будет'!$A$17:$A$24,Доп.расчеты!$A203,'Как будет'!EE$17:EE$24)</f>
        <v>0</v>
      </c>
      <c r="EE203">
        <f>SUMIF('Как будет'!$A$17:$A$24,Доп.расчеты!$A203,'Как будет'!EF$17:EF$24)</f>
        <v>0</v>
      </c>
      <c r="EF203">
        <f>SUMIF('Как будет'!$A$17:$A$24,Доп.расчеты!$A203,'Как будет'!EG$17:EG$24)</f>
        <v>0</v>
      </c>
      <c r="EG203">
        <f>SUMIF('Как будет'!$A$17:$A$24,Доп.расчеты!$A203,'Как будет'!EH$17:EH$24)</f>
        <v>0</v>
      </c>
      <c r="EH203">
        <f>SUMIF('Как будет'!$A$17:$A$24,Доп.расчеты!$A203,'Как будет'!EI$17:EI$24)</f>
        <v>0</v>
      </c>
      <c r="EI203">
        <f>SUMIF('Как будет'!$A$17:$A$24,Доп.расчеты!$A203,'Как будет'!EJ$17:EJ$24)</f>
        <v>0</v>
      </c>
      <c r="EJ203">
        <f>SUMIF('Как будет'!$A$17:$A$24,Доп.расчеты!$A203,'Как будет'!EK$17:EK$24)</f>
        <v>0</v>
      </c>
      <c r="EK203">
        <f>SUMIF('Как будет'!$A$17:$A$24,Доп.расчеты!$A203,'Как будет'!EL$17:EL$24)</f>
        <v>0</v>
      </c>
      <c r="EL203">
        <f>SUMIF('Как будет'!$A$17:$A$24,Доп.расчеты!$A203,'Как будет'!EM$17:EM$24)</f>
        <v>0</v>
      </c>
      <c r="EM203">
        <f>SUMIF('Как будет'!$A$17:$A$24,Доп.расчеты!$A203,'Как будет'!EN$17:EN$24)</f>
        <v>0</v>
      </c>
      <c r="EN203">
        <f>SUMIF('Как будет'!$A$17:$A$24,Доп.расчеты!$A203,'Как будет'!EO$17:EO$24)</f>
        <v>0</v>
      </c>
      <c r="EO203">
        <f>SUMIF('Как будет'!$A$17:$A$24,Доп.расчеты!$A203,'Как будет'!EP$17:EP$24)</f>
        <v>0</v>
      </c>
      <c r="EP203">
        <f>SUMIF('Как будет'!$A$17:$A$24,Доп.расчеты!$A203,'Как будет'!EQ$17:EQ$24)</f>
        <v>0</v>
      </c>
      <c r="EQ203">
        <f>SUMIF('Как будет'!$A$17:$A$24,Доп.расчеты!$A203,'Как будет'!ER$17:ER$24)</f>
        <v>0</v>
      </c>
      <c r="ER203">
        <f>SUMIF('Как будет'!$A$17:$A$24,Доп.расчеты!$A203,'Как будет'!ES$17:ES$24)</f>
        <v>0</v>
      </c>
      <c r="ES203">
        <f>SUMIF('Как будет'!$A$17:$A$24,Доп.расчеты!$A203,'Как будет'!ET$17:ET$24)</f>
        <v>0</v>
      </c>
      <c r="ET203">
        <f>SUMIF('Как будет'!$A$17:$A$24,Доп.расчеты!$A203,'Как будет'!EU$17:EU$24)</f>
        <v>0</v>
      </c>
      <c r="EU203">
        <f>SUMIF('Как будет'!$A$17:$A$24,Доп.расчеты!$A203,'Как будет'!EV$17:EV$24)</f>
        <v>0</v>
      </c>
      <c r="EV203">
        <f>SUMIF('Как будет'!$A$17:$A$24,Доп.расчеты!$A203,'Как будет'!EW$17:EW$24)</f>
        <v>0</v>
      </c>
      <c r="EW203">
        <f>SUMIF('Как будет'!$A$17:$A$24,Доп.расчеты!$A203,'Как будет'!EX$17:EX$24)</f>
        <v>0</v>
      </c>
      <c r="EX203">
        <f>SUMIF('Как будет'!$A$17:$A$24,Доп.расчеты!$A203,'Как будет'!EY$17:EY$24)</f>
        <v>0</v>
      </c>
      <c r="EY203">
        <f>SUMIF('Как будет'!$A$17:$A$24,Доп.расчеты!$A203,'Как будет'!EZ$17:EZ$24)</f>
        <v>0</v>
      </c>
      <c r="EZ203">
        <f>SUMIF('Как будет'!$A$17:$A$24,Доп.расчеты!$A203,'Как будет'!FA$17:FA$24)</f>
        <v>0</v>
      </c>
      <c r="FA203">
        <f>SUMIF('Как будет'!$A$17:$A$24,Доп.расчеты!$A203,'Как будет'!FB$17:FB$24)</f>
        <v>0</v>
      </c>
      <c r="FB203">
        <f>SUMIF('Как будет'!$A$17:$A$24,Доп.расчеты!$A203,'Как будет'!FC$17:FC$24)</f>
        <v>0</v>
      </c>
      <c r="FC203">
        <f>SUMIF('Как будет'!$A$17:$A$24,Доп.расчеты!$A203,'Как будет'!FD$17:FD$24)</f>
        <v>0</v>
      </c>
      <c r="FD203">
        <f>SUMIF('Как будет'!$A$17:$A$24,Доп.расчеты!$A203,'Как будет'!FE$17:FE$24)</f>
        <v>0</v>
      </c>
      <c r="FE203">
        <f>SUMIF('Как будет'!$A$17:$A$24,Доп.расчеты!$A203,'Как будет'!FF$17:FF$24)</f>
        <v>0</v>
      </c>
      <c r="FF203">
        <f>SUMIF('Как будет'!$A$17:$A$24,Доп.расчеты!$A203,'Как будет'!FG$17:FG$24)</f>
        <v>0</v>
      </c>
      <c r="FG203">
        <f>SUMIF('Как будет'!$A$17:$A$24,Доп.расчеты!$A203,'Как будет'!FH$17:FH$24)</f>
        <v>0</v>
      </c>
      <c r="FH203">
        <f>SUMIF('Как будет'!$A$17:$A$24,Доп.расчеты!$A203,'Как будет'!FI$17:FI$24)</f>
        <v>0</v>
      </c>
      <c r="FI203">
        <f>SUMIF('Как будет'!$A$17:$A$24,Доп.расчеты!$A203,'Как будет'!FJ$17:FJ$24)</f>
        <v>0</v>
      </c>
      <c r="FJ203">
        <f>SUMIF('Как будет'!$A$17:$A$24,Доп.расчеты!$A203,'Как будет'!FK$17:FK$24)</f>
        <v>0</v>
      </c>
      <c r="FK203">
        <f>SUMIF('Как будет'!$A$17:$A$24,Доп.расчеты!$A203,'Как будет'!FL$17:FL$24)</f>
        <v>0</v>
      </c>
      <c r="FL203">
        <f>SUMIF('Как будет'!$A$17:$A$24,Доп.расчеты!$A203,'Как будет'!FM$17:FM$24)</f>
        <v>0</v>
      </c>
      <c r="FM203">
        <f>SUMIF('Как будет'!$A$17:$A$24,Доп.расчеты!$A203,'Как будет'!FN$17:FN$24)</f>
        <v>0</v>
      </c>
      <c r="FN203">
        <f>SUMIF('Как будет'!$A$17:$A$24,Доп.расчеты!$A203,'Как будет'!FO$17:FO$24)</f>
        <v>0</v>
      </c>
      <c r="FO203">
        <f>SUMIF('Как будет'!$A$17:$A$24,Доп.расчеты!$A203,'Как будет'!FP$17:FP$24)</f>
        <v>0</v>
      </c>
      <c r="FP203">
        <f>SUMIF('Как будет'!$A$17:$A$24,Доп.расчеты!$A203,'Как будет'!FQ$17:FQ$24)</f>
        <v>0</v>
      </c>
      <c r="FQ203">
        <f>SUMIF('Как будет'!$A$17:$A$24,Доп.расчеты!$A203,'Как будет'!FR$17:FR$24)</f>
        <v>0</v>
      </c>
      <c r="FR203">
        <f>SUMIF('Как будет'!$A$17:$A$24,Доп.расчеты!$A203,'Как будет'!FS$17:FS$24)</f>
        <v>0</v>
      </c>
      <c r="FS203">
        <f>SUMIF('Как будет'!$A$17:$A$24,Доп.расчеты!$A203,'Как будет'!FT$17:FT$24)</f>
        <v>0</v>
      </c>
      <c r="FT203">
        <f>SUMIF('Как будет'!$A$17:$A$24,Доп.расчеты!$A203,'Как будет'!FU$17:FU$24)</f>
        <v>0</v>
      </c>
      <c r="FU203">
        <f>SUMIF('Как будет'!$A$17:$A$24,Доп.расчеты!$A203,'Как будет'!FV$17:FV$24)</f>
        <v>0</v>
      </c>
      <c r="FV203">
        <f>SUMIF('Как будет'!$A$17:$A$24,Доп.расчеты!$A203,'Как будет'!FW$17:FW$24)</f>
        <v>0</v>
      </c>
      <c r="FW203">
        <f>SUMIF('Как будет'!$A$17:$A$24,Доп.расчеты!$A203,'Как будет'!FX$17:FX$24)</f>
        <v>0</v>
      </c>
      <c r="FX203">
        <f>SUMIF('Как будет'!$A$17:$A$24,Доп.расчеты!$A203,'Как будет'!FY$17:FY$24)</f>
        <v>0</v>
      </c>
      <c r="FY203">
        <f>SUMIF('Как будет'!$A$17:$A$24,Доп.расчеты!$A203,'Как будет'!FZ$17:FZ$24)</f>
        <v>0</v>
      </c>
      <c r="FZ203">
        <f>SUMIF('Как будет'!$A$17:$A$24,Доп.расчеты!$A203,'Как будет'!GA$17:GA$24)</f>
        <v>0</v>
      </c>
      <c r="GA203">
        <f>SUMIF('Как будет'!$A$17:$A$24,Доп.расчеты!$A203,'Как будет'!GB$17:GB$24)</f>
        <v>0</v>
      </c>
      <c r="GB203">
        <f>SUMIF('Как будет'!$A$17:$A$24,Доп.расчеты!$A203,'Как будет'!GC$17:GC$24)</f>
        <v>0</v>
      </c>
      <c r="GC203">
        <f>SUMIF('Как будет'!$A$17:$A$24,Доп.расчеты!$A203,'Как будет'!GD$17:GD$24)</f>
        <v>0</v>
      </c>
      <c r="GD203">
        <f>SUMIF('Как будет'!$A$17:$A$24,Доп.расчеты!$A203,'Как будет'!GE$17:GE$24)</f>
        <v>0</v>
      </c>
      <c r="GE203">
        <f>SUMIF('Как будет'!$A$17:$A$24,Доп.расчеты!$A203,'Как будет'!GF$17:GF$24)</f>
        <v>0</v>
      </c>
      <c r="GF203">
        <f>SUMIF('Как будет'!$A$17:$A$24,Доп.расчеты!$A203,'Как будет'!GG$17:GG$24)</f>
        <v>0</v>
      </c>
      <c r="GG203">
        <f>SUMIF('Как будет'!$A$17:$A$24,Доп.расчеты!$A203,'Как будет'!GH$17:GH$24)</f>
        <v>0</v>
      </c>
      <c r="GH203">
        <f>SUMIF('Как будет'!$A$17:$A$24,Доп.расчеты!$A203,'Как будет'!GI$17:GI$24)</f>
        <v>0</v>
      </c>
      <c r="GI203">
        <f>SUMIF('Как будет'!$A$17:$A$24,Доп.расчеты!$A203,'Как будет'!GJ$17:GJ$24)</f>
        <v>0</v>
      </c>
      <c r="GJ203">
        <f>SUMIF('Как будет'!$A$17:$A$24,Доп.расчеты!$A203,'Как будет'!GK$17:GK$24)</f>
        <v>0</v>
      </c>
      <c r="GK203">
        <f>SUMIF('Как будет'!$A$17:$A$24,Доп.расчеты!$A203,'Как будет'!GL$17:GL$24)</f>
        <v>0</v>
      </c>
      <c r="GL203">
        <f>SUMIF('Как будет'!$A$17:$A$24,Доп.расчеты!$A203,'Как будет'!GM$17:GM$24)</f>
        <v>0</v>
      </c>
      <c r="GM203">
        <f>SUMIF('Как будет'!$A$17:$A$24,Доп.расчеты!$A203,'Как будет'!GN$17:GN$24)</f>
        <v>0</v>
      </c>
      <c r="GN203">
        <f>SUMIF('Как будет'!$A$17:$A$24,Доп.расчеты!$A203,'Как будет'!GO$17:GO$24)</f>
        <v>0</v>
      </c>
      <c r="GO203">
        <f>SUMIF('Как будет'!$A$17:$A$24,Доп.расчеты!$A203,'Как будет'!GP$17:GP$24)</f>
        <v>0</v>
      </c>
      <c r="GP203">
        <f>SUMIF('Как будет'!$A$17:$A$24,Доп.расчеты!$A203,'Как будет'!GQ$17:GQ$24)</f>
        <v>0</v>
      </c>
      <c r="GQ203">
        <f>SUMIF('Как будет'!$A$17:$A$24,Доп.расчеты!$A203,'Как будет'!GR$17:GR$24)</f>
        <v>0</v>
      </c>
      <c r="GR203">
        <f>SUMIF('Как будет'!$A$17:$A$24,Доп.расчеты!$A203,'Как будет'!GS$17:GS$24)</f>
        <v>0</v>
      </c>
      <c r="GS203">
        <f>SUMIF('Как будет'!$A$17:$A$24,Доп.расчеты!$A203,'Как будет'!GT$17:GT$24)</f>
        <v>0</v>
      </c>
      <c r="GT203">
        <f>SUMIF('Как будет'!$A$17:$A$24,Доп.расчеты!$A203,'Как будет'!GU$17:GU$24)</f>
        <v>0</v>
      </c>
    </row>
    <row r="204" spans="1:202">
      <c r="A204" s="238" t="s">
        <v>99</v>
      </c>
      <c r="B204">
        <f>SUMIF('Как будет'!$A$17:$A$24,Доп.расчеты!$A204,'Как будет'!C$17:C$24)</f>
        <v>0</v>
      </c>
      <c r="C204">
        <f>SUMIF('Как будет'!$A$17:$A$24,Доп.расчеты!$A204,'Как будет'!D$17:D$24)</f>
        <v>0</v>
      </c>
      <c r="D204">
        <f>SUMIF('Как будет'!$A$17:$A$24,Доп.расчеты!$A204,'Как будет'!E$17:E$24)</f>
        <v>0</v>
      </c>
      <c r="E204">
        <f>SUMIF('Как будет'!$A$17:$A$24,Доп.расчеты!$A204,'Как будет'!F$17:F$24)</f>
        <v>0</v>
      </c>
      <c r="F204">
        <f>SUMIF('Как будет'!$A$17:$A$24,Доп.расчеты!$A204,'Как будет'!G$17:G$24)</f>
        <v>0</v>
      </c>
      <c r="G204">
        <f>SUMIF('Как будет'!$A$17:$A$24,Доп.расчеты!$A204,'Как будет'!H$17:H$24)</f>
        <v>0</v>
      </c>
      <c r="H204">
        <f>SUMIF('Как будет'!$A$17:$A$24,Доп.расчеты!$A204,'Как будет'!I$17:I$24)</f>
        <v>0</v>
      </c>
      <c r="I204">
        <f>SUMIF('Как будет'!$A$17:$A$24,Доп.расчеты!$A204,'Как будет'!J$17:J$24)</f>
        <v>0</v>
      </c>
      <c r="J204">
        <f>SUMIF('Как будет'!$A$17:$A$24,Доп.расчеты!$A204,'Как будет'!K$17:K$24)</f>
        <v>0</v>
      </c>
      <c r="K204">
        <f>SUMIF('Как будет'!$A$17:$A$24,Доп.расчеты!$A204,'Как будет'!L$17:L$24)</f>
        <v>0</v>
      </c>
      <c r="L204">
        <f>SUMIF('Как будет'!$A$17:$A$24,Доп.расчеты!$A204,'Как будет'!M$17:M$24)</f>
        <v>0</v>
      </c>
      <c r="M204">
        <f>SUMIF('Как будет'!$A$17:$A$24,Доп.расчеты!$A204,'Как будет'!N$17:N$24)</f>
        <v>0</v>
      </c>
      <c r="N204">
        <f>SUMIF('Как будет'!$A$17:$A$24,Доп.расчеты!$A204,'Как будет'!O$17:O$24)</f>
        <v>0</v>
      </c>
      <c r="O204">
        <f>SUMIF('Как будет'!$A$17:$A$24,Доп.расчеты!$A204,'Как будет'!P$17:P$24)</f>
        <v>0</v>
      </c>
      <c r="P204">
        <f>SUMIF('Как будет'!$A$17:$A$24,Доп.расчеты!$A204,'Как будет'!Q$17:Q$24)</f>
        <v>0</v>
      </c>
      <c r="Q204">
        <f>SUMIF('Как будет'!$A$17:$A$24,Доп.расчеты!$A204,'Как будет'!R$17:R$24)</f>
        <v>0</v>
      </c>
      <c r="R204">
        <f>SUMIF('Как будет'!$A$17:$A$24,Доп.расчеты!$A204,'Как будет'!S$17:S$24)</f>
        <v>0</v>
      </c>
      <c r="S204">
        <f>SUMIF('Как будет'!$A$17:$A$24,Доп.расчеты!$A204,'Как будет'!T$17:T$24)</f>
        <v>0</v>
      </c>
      <c r="T204">
        <f>SUMIF('Как будет'!$A$17:$A$24,Доп.расчеты!$A204,'Как будет'!U$17:U$24)</f>
        <v>0</v>
      </c>
      <c r="U204">
        <f>SUMIF('Как будет'!$A$17:$A$24,Доп.расчеты!$A204,'Как будет'!V$17:V$24)</f>
        <v>0</v>
      </c>
      <c r="V204">
        <f>SUMIF('Как будет'!$A$17:$A$24,Доп.расчеты!$A204,'Как будет'!W$17:W$24)</f>
        <v>0</v>
      </c>
      <c r="W204">
        <f>SUMIF('Как будет'!$A$17:$A$24,Доп.расчеты!$A204,'Как будет'!X$17:X$24)</f>
        <v>0</v>
      </c>
      <c r="X204">
        <f>SUMIF('Как будет'!$A$17:$A$24,Доп.расчеты!$A204,'Как будет'!Y$17:Y$24)</f>
        <v>0</v>
      </c>
      <c r="Y204">
        <f>SUMIF('Как будет'!$A$17:$A$24,Доп.расчеты!$A204,'Как будет'!Z$17:Z$24)</f>
        <v>0</v>
      </c>
      <c r="Z204">
        <f>SUMIF('Как будет'!$A$17:$A$24,Доп.расчеты!$A204,'Как будет'!AA$17:AA$24)</f>
        <v>0</v>
      </c>
      <c r="AA204">
        <f>SUMIF('Как будет'!$A$17:$A$24,Доп.расчеты!$A204,'Как будет'!AB$17:AB$24)</f>
        <v>0</v>
      </c>
      <c r="AB204">
        <f>SUMIF('Как будет'!$A$17:$A$24,Доп.расчеты!$A204,'Как будет'!AC$17:AC$24)</f>
        <v>0</v>
      </c>
      <c r="AC204">
        <f>SUMIF('Как будет'!$A$17:$A$24,Доп.расчеты!$A204,'Как будет'!AD$17:AD$24)</f>
        <v>0</v>
      </c>
      <c r="AD204">
        <f>SUMIF('Как будет'!$A$17:$A$24,Доп.расчеты!$A204,'Как будет'!AE$17:AE$24)</f>
        <v>0</v>
      </c>
      <c r="AE204">
        <f>SUMIF('Как будет'!$A$17:$A$24,Доп.расчеты!$A204,'Как будет'!AF$17:AF$24)</f>
        <v>0</v>
      </c>
      <c r="AF204">
        <f>SUMIF('Как будет'!$A$17:$A$24,Доп.расчеты!$A204,'Как будет'!AG$17:AG$24)</f>
        <v>0</v>
      </c>
      <c r="AG204">
        <f>SUMIF('Как будет'!$A$17:$A$24,Доп.расчеты!$A204,'Как будет'!AH$17:AH$24)</f>
        <v>0</v>
      </c>
      <c r="AH204">
        <f>SUMIF('Как будет'!$A$17:$A$24,Доп.расчеты!$A204,'Как будет'!AI$17:AI$24)</f>
        <v>0</v>
      </c>
      <c r="AI204">
        <f>SUMIF('Как будет'!$A$17:$A$24,Доп.расчеты!$A204,'Как будет'!AJ$17:AJ$24)</f>
        <v>0</v>
      </c>
      <c r="AJ204">
        <f>SUMIF('Как будет'!$A$17:$A$24,Доп.расчеты!$A204,'Как будет'!AK$17:AK$24)</f>
        <v>0</v>
      </c>
      <c r="AK204">
        <f>SUMIF('Как будет'!$A$17:$A$24,Доп.расчеты!$A204,'Как будет'!AL$17:AL$24)</f>
        <v>0</v>
      </c>
      <c r="AL204">
        <f>SUMIF('Как будет'!$A$17:$A$24,Доп.расчеты!$A204,'Как будет'!AM$17:AM$24)</f>
        <v>0</v>
      </c>
      <c r="AM204">
        <f>SUMIF('Как будет'!$A$17:$A$24,Доп.расчеты!$A204,'Как будет'!AN$17:AN$24)</f>
        <v>0</v>
      </c>
      <c r="AN204">
        <f>SUMIF('Как будет'!$A$17:$A$24,Доп.расчеты!$A204,'Как будет'!AO$17:AO$24)</f>
        <v>0</v>
      </c>
      <c r="AO204">
        <f>SUMIF('Как будет'!$A$17:$A$24,Доп.расчеты!$A204,'Как будет'!AP$17:AP$24)</f>
        <v>0</v>
      </c>
      <c r="AP204">
        <f>SUMIF('Как будет'!$A$17:$A$24,Доп.расчеты!$A204,'Как будет'!AQ$17:AQ$24)</f>
        <v>0</v>
      </c>
      <c r="AQ204">
        <f>SUMIF('Как будет'!$A$17:$A$24,Доп.расчеты!$A204,'Как будет'!AR$17:AR$24)</f>
        <v>0</v>
      </c>
      <c r="AR204">
        <f>SUMIF('Как будет'!$A$17:$A$24,Доп.расчеты!$A204,'Как будет'!AS$17:AS$24)</f>
        <v>0</v>
      </c>
      <c r="AS204">
        <f>SUMIF('Как будет'!$A$17:$A$24,Доп.расчеты!$A204,'Как будет'!AT$17:AT$24)</f>
        <v>0</v>
      </c>
      <c r="AT204">
        <f>SUMIF('Как будет'!$A$17:$A$24,Доп.расчеты!$A204,'Как будет'!AU$17:AU$24)</f>
        <v>0</v>
      </c>
      <c r="AU204">
        <f>SUMIF('Как будет'!$A$17:$A$24,Доп.расчеты!$A204,'Как будет'!AV$17:AV$24)</f>
        <v>0</v>
      </c>
      <c r="AV204">
        <f>SUMIF('Как будет'!$A$17:$A$24,Доп.расчеты!$A204,'Как будет'!AW$17:AW$24)</f>
        <v>0</v>
      </c>
      <c r="AW204">
        <f>SUMIF('Как будет'!$A$17:$A$24,Доп.расчеты!$A204,'Как будет'!AX$17:AX$24)</f>
        <v>0</v>
      </c>
      <c r="AX204">
        <f>SUMIF('Как будет'!$A$17:$A$24,Доп.расчеты!$A204,'Как будет'!AY$17:AY$24)</f>
        <v>0</v>
      </c>
      <c r="AY204">
        <f>SUMIF('Как будет'!$A$17:$A$24,Доп.расчеты!$A204,'Как будет'!AZ$17:AZ$24)</f>
        <v>0</v>
      </c>
      <c r="AZ204">
        <f>SUMIF('Как будет'!$A$17:$A$24,Доп.расчеты!$A204,'Как будет'!BA$17:BA$24)</f>
        <v>0</v>
      </c>
      <c r="BA204">
        <f>SUMIF('Как будет'!$A$17:$A$24,Доп.расчеты!$A204,'Как будет'!BB$17:BB$24)</f>
        <v>0</v>
      </c>
      <c r="BB204">
        <f>SUMIF('Как будет'!$A$17:$A$24,Доп.расчеты!$A204,'Как будет'!BC$17:BC$24)</f>
        <v>0</v>
      </c>
      <c r="BC204">
        <f>SUMIF('Как будет'!$A$17:$A$24,Доп.расчеты!$A204,'Как будет'!BD$17:BD$24)</f>
        <v>0</v>
      </c>
      <c r="BD204">
        <f>SUMIF('Как будет'!$A$17:$A$24,Доп.расчеты!$A204,'Как будет'!BE$17:BE$24)</f>
        <v>0</v>
      </c>
      <c r="BE204">
        <f>SUMIF('Как будет'!$A$17:$A$24,Доп.расчеты!$A204,'Как будет'!BF$17:BF$24)</f>
        <v>0</v>
      </c>
      <c r="BF204">
        <f>SUMIF('Как будет'!$A$17:$A$24,Доп.расчеты!$A204,'Как будет'!BG$17:BG$24)</f>
        <v>0</v>
      </c>
      <c r="BG204">
        <f>SUMIF('Как будет'!$A$17:$A$24,Доп.расчеты!$A204,'Как будет'!BH$17:BH$24)</f>
        <v>0</v>
      </c>
      <c r="BH204">
        <f>SUMIF('Как будет'!$A$17:$A$24,Доп.расчеты!$A204,'Как будет'!BI$17:BI$24)</f>
        <v>0</v>
      </c>
      <c r="BI204">
        <f>SUMIF('Как будет'!$A$17:$A$24,Доп.расчеты!$A204,'Как будет'!BJ$17:BJ$24)</f>
        <v>0</v>
      </c>
      <c r="BJ204">
        <f>SUMIF('Как будет'!$A$17:$A$24,Доп.расчеты!$A204,'Как будет'!BK$17:BK$24)</f>
        <v>0</v>
      </c>
      <c r="BK204">
        <f>SUMIF('Как будет'!$A$17:$A$24,Доп.расчеты!$A204,'Как будет'!BL$17:BL$24)</f>
        <v>0</v>
      </c>
      <c r="BL204">
        <f>SUMIF('Как будет'!$A$17:$A$24,Доп.расчеты!$A204,'Как будет'!BM$17:BM$24)</f>
        <v>0</v>
      </c>
      <c r="BM204">
        <f>SUMIF('Как будет'!$A$17:$A$24,Доп.расчеты!$A204,'Как будет'!BN$17:BN$24)</f>
        <v>0</v>
      </c>
      <c r="BN204">
        <f>SUMIF('Как будет'!$A$17:$A$24,Доп.расчеты!$A204,'Как будет'!BO$17:BO$24)</f>
        <v>0</v>
      </c>
      <c r="BO204">
        <f>SUMIF('Как будет'!$A$17:$A$24,Доп.расчеты!$A204,'Как будет'!BP$17:BP$24)</f>
        <v>0</v>
      </c>
      <c r="BP204">
        <f>SUMIF('Как будет'!$A$17:$A$24,Доп.расчеты!$A204,'Как будет'!BQ$17:BQ$24)</f>
        <v>0</v>
      </c>
      <c r="BQ204">
        <f>SUMIF('Как будет'!$A$17:$A$24,Доп.расчеты!$A204,'Как будет'!BR$17:BR$24)</f>
        <v>0</v>
      </c>
      <c r="BR204">
        <f>SUMIF('Как будет'!$A$17:$A$24,Доп.расчеты!$A204,'Как будет'!BS$17:BS$24)</f>
        <v>0</v>
      </c>
      <c r="BS204">
        <f>SUMIF('Как будет'!$A$17:$A$24,Доп.расчеты!$A204,'Как будет'!BT$17:BT$24)</f>
        <v>0</v>
      </c>
      <c r="BT204">
        <f>SUMIF('Как будет'!$A$17:$A$24,Доп.расчеты!$A204,'Как будет'!BU$17:BU$24)</f>
        <v>0</v>
      </c>
      <c r="BU204">
        <f>SUMIF('Как будет'!$A$17:$A$24,Доп.расчеты!$A204,'Как будет'!BV$17:BV$24)</f>
        <v>0</v>
      </c>
      <c r="BV204">
        <f>SUMIF('Как будет'!$A$17:$A$24,Доп.расчеты!$A204,'Как будет'!BW$17:BW$24)</f>
        <v>0</v>
      </c>
      <c r="BW204">
        <f>SUMIF('Как будет'!$A$17:$A$24,Доп.расчеты!$A204,'Как будет'!BX$17:BX$24)</f>
        <v>0</v>
      </c>
      <c r="BX204">
        <f>SUMIF('Как будет'!$A$17:$A$24,Доп.расчеты!$A204,'Как будет'!BY$17:BY$24)</f>
        <v>0</v>
      </c>
      <c r="BY204">
        <f>SUMIF('Как будет'!$A$17:$A$24,Доп.расчеты!$A204,'Как будет'!BZ$17:BZ$24)</f>
        <v>0</v>
      </c>
      <c r="BZ204">
        <f>SUMIF('Как будет'!$A$17:$A$24,Доп.расчеты!$A204,'Как будет'!CA$17:CA$24)</f>
        <v>0</v>
      </c>
      <c r="CA204">
        <f>SUMIF('Как будет'!$A$17:$A$24,Доп.расчеты!$A204,'Как будет'!CB$17:CB$24)</f>
        <v>0</v>
      </c>
      <c r="CB204">
        <f>SUMIF('Как будет'!$A$17:$A$24,Доп.расчеты!$A204,'Как будет'!CC$17:CC$24)</f>
        <v>0</v>
      </c>
      <c r="CC204">
        <f>SUMIF('Как будет'!$A$17:$A$24,Доп.расчеты!$A204,'Как будет'!CD$17:CD$24)</f>
        <v>0</v>
      </c>
      <c r="CD204">
        <f>SUMIF('Как будет'!$A$17:$A$24,Доп.расчеты!$A204,'Как будет'!CE$17:CE$24)</f>
        <v>0</v>
      </c>
      <c r="CE204">
        <f>SUMIF('Как будет'!$A$17:$A$24,Доп.расчеты!$A204,'Как будет'!CF$17:CF$24)</f>
        <v>0</v>
      </c>
      <c r="CF204">
        <f>SUMIF('Как будет'!$A$17:$A$24,Доп.расчеты!$A204,'Как будет'!CG$17:CG$24)</f>
        <v>0</v>
      </c>
      <c r="CG204">
        <f>SUMIF('Как будет'!$A$17:$A$24,Доп.расчеты!$A204,'Как будет'!CH$17:CH$24)</f>
        <v>0</v>
      </c>
      <c r="CH204">
        <f>SUMIF('Как будет'!$A$17:$A$24,Доп.расчеты!$A204,'Как будет'!CI$17:CI$24)</f>
        <v>0</v>
      </c>
      <c r="CI204">
        <f>SUMIF('Как будет'!$A$17:$A$24,Доп.расчеты!$A204,'Как будет'!CJ$17:CJ$24)</f>
        <v>0</v>
      </c>
      <c r="CJ204">
        <f>SUMIF('Как будет'!$A$17:$A$24,Доп.расчеты!$A204,'Как будет'!CK$17:CK$24)</f>
        <v>0</v>
      </c>
      <c r="CK204">
        <f>SUMIF('Как будет'!$A$17:$A$24,Доп.расчеты!$A204,'Как будет'!CL$17:CL$24)</f>
        <v>0</v>
      </c>
      <c r="CL204">
        <f>SUMIF('Как будет'!$A$17:$A$24,Доп.расчеты!$A204,'Как будет'!CM$17:CM$24)</f>
        <v>0</v>
      </c>
      <c r="CM204">
        <f>SUMIF('Как будет'!$A$17:$A$24,Доп.расчеты!$A204,'Как будет'!CN$17:CN$24)</f>
        <v>0</v>
      </c>
      <c r="CN204">
        <f>SUMIF('Как будет'!$A$17:$A$24,Доп.расчеты!$A204,'Как будет'!CO$17:CO$24)</f>
        <v>0</v>
      </c>
      <c r="CO204">
        <f>SUMIF('Как будет'!$A$17:$A$24,Доп.расчеты!$A204,'Как будет'!CP$17:CP$24)</f>
        <v>0</v>
      </c>
      <c r="CP204">
        <f>SUMIF('Как будет'!$A$17:$A$24,Доп.расчеты!$A204,'Как будет'!CQ$17:CQ$24)</f>
        <v>0</v>
      </c>
      <c r="CQ204">
        <f>SUMIF('Как будет'!$A$17:$A$24,Доп.расчеты!$A204,'Как будет'!CR$17:CR$24)</f>
        <v>0</v>
      </c>
      <c r="CR204">
        <f>SUMIF('Как будет'!$A$17:$A$24,Доп.расчеты!$A204,'Как будет'!CS$17:CS$24)</f>
        <v>0</v>
      </c>
      <c r="CS204">
        <f>SUMIF('Как будет'!$A$17:$A$24,Доп.расчеты!$A204,'Как будет'!CT$17:CT$24)</f>
        <v>0</v>
      </c>
      <c r="CT204">
        <f>SUMIF('Как будет'!$A$17:$A$24,Доп.расчеты!$A204,'Как будет'!CU$17:CU$24)</f>
        <v>0</v>
      </c>
      <c r="CU204">
        <f>SUMIF('Как будет'!$A$17:$A$24,Доп.расчеты!$A204,'Как будет'!CV$17:CV$24)</f>
        <v>0</v>
      </c>
      <c r="CV204">
        <f>SUMIF('Как будет'!$A$17:$A$24,Доп.расчеты!$A204,'Как будет'!CW$17:CW$24)</f>
        <v>0</v>
      </c>
      <c r="CW204">
        <f>SUMIF('Как будет'!$A$17:$A$24,Доп.расчеты!$A204,'Как будет'!CX$17:CX$24)</f>
        <v>0</v>
      </c>
      <c r="CX204">
        <f>SUMIF('Как будет'!$A$17:$A$24,Доп.расчеты!$A204,'Как будет'!CY$17:CY$24)</f>
        <v>0</v>
      </c>
      <c r="CY204">
        <f>SUMIF('Как будет'!$A$17:$A$24,Доп.расчеты!$A204,'Как будет'!CZ$17:CZ$24)</f>
        <v>0</v>
      </c>
      <c r="CZ204">
        <f>SUMIF('Как будет'!$A$17:$A$24,Доп.расчеты!$A204,'Как будет'!DA$17:DA$24)</f>
        <v>0</v>
      </c>
      <c r="DA204">
        <f>SUMIF('Как будет'!$A$17:$A$24,Доп.расчеты!$A204,'Как будет'!DB$17:DB$24)</f>
        <v>0</v>
      </c>
      <c r="DB204">
        <f>SUMIF('Как будет'!$A$17:$A$24,Доп.расчеты!$A204,'Как будет'!DC$17:DC$24)</f>
        <v>0</v>
      </c>
      <c r="DC204">
        <f>SUMIF('Как будет'!$A$17:$A$24,Доп.расчеты!$A204,'Как будет'!DD$17:DD$24)</f>
        <v>0</v>
      </c>
      <c r="DD204">
        <f>SUMIF('Как будет'!$A$17:$A$24,Доп.расчеты!$A204,'Как будет'!DE$17:DE$24)</f>
        <v>0</v>
      </c>
      <c r="DE204">
        <f>SUMIF('Как будет'!$A$17:$A$24,Доп.расчеты!$A204,'Как будет'!DF$17:DF$24)</f>
        <v>0</v>
      </c>
      <c r="DF204">
        <f>SUMIF('Как будет'!$A$17:$A$24,Доп.расчеты!$A204,'Как будет'!DG$17:DG$24)</f>
        <v>0</v>
      </c>
      <c r="DG204">
        <f>SUMIF('Как будет'!$A$17:$A$24,Доп.расчеты!$A204,'Как будет'!DH$17:DH$24)</f>
        <v>0</v>
      </c>
      <c r="DH204">
        <f>SUMIF('Как будет'!$A$17:$A$24,Доп.расчеты!$A204,'Как будет'!DI$17:DI$24)</f>
        <v>0</v>
      </c>
      <c r="DI204">
        <f>SUMIF('Как будет'!$A$17:$A$24,Доп.расчеты!$A204,'Как будет'!DJ$17:DJ$24)</f>
        <v>0</v>
      </c>
      <c r="DJ204">
        <f>SUMIF('Как будет'!$A$17:$A$24,Доп.расчеты!$A204,'Как будет'!DK$17:DK$24)</f>
        <v>0</v>
      </c>
      <c r="DK204">
        <f>SUMIF('Как будет'!$A$17:$A$24,Доп.расчеты!$A204,'Как будет'!DL$17:DL$24)</f>
        <v>0</v>
      </c>
      <c r="DL204">
        <f>SUMIF('Как будет'!$A$17:$A$24,Доп.расчеты!$A204,'Как будет'!DM$17:DM$24)</f>
        <v>0</v>
      </c>
      <c r="DM204">
        <f>SUMIF('Как будет'!$A$17:$A$24,Доп.расчеты!$A204,'Как будет'!DN$17:DN$24)</f>
        <v>0</v>
      </c>
      <c r="DN204">
        <f>SUMIF('Как будет'!$A$17:$A$24,Доп.расчеты!$A204,'Как будет'!DO$17:DO$24)</f>
        <v>0</v>
      </c>
      <c r="DO204">
        <f>SUMIF('Как будет'!$A$17:$A$24,Доп.расчеты!$A204,'Как будет'!DP$17:DP$24)</f>
        <v>0</v>
      </c>
      <c r="DP204">
        <f>SUMIF('Как будет'!$A$17:$A$24,Доп.расчеты!$A204,'Как будет'!DQ$17:DQ$24)</f>
        <v>0</v>
      </c>
      <c r="DQ204">
        <f>SUMIF('Как будет'!$A$17:$A$24,Доп.расчеты!$A204,'Как будет'!DR$17:DR$24)</f>
        <v>0</v>
      </c>
      <c r="DR204">
        <f>SUMIF('Как будет'!$A$17:$A$24,Доп.расчеты!$A204,'Как будет'!DS$17:DS$24)</f>
        <v>0</v>
      </c>
      <c r="DS204">
        <f>SUMIF('Как будет'!$A$17:$A$24,Доп.расчеты!$A204,'Как будет'!DT$17:DT$24)</f>
        <v>0</v>
      </c>
      <c r="DT204">
        <f>SUMIF('Как будет'!$A$17:$A$24,Доп.расчеты!$A204,'Как будет'!DU$17:DU$24)</f>
        <v>0</v>
      </c>
      <c r="DU204">
        <f>SUMIF('Как будет'!$A$17:$A$24,Доп.расчеты!$A204,'Как будет'!DV$17:DV$24)</f>
        <v>0</v>
      </c>
      <c r="DV204">
        <f>SUMIF('Как будет'!$A$17:$A$24,Доп.расчеты!$A204,'Как будет'!DW$17:DW$24)</f>
        <v>0</v>
      </c>
      <c r="DW204">
        <f>SUMIF('Как будет'!$A$17:$A$24,Доп.расчеты!$A204,'Как будет'!DX$17:DX$24)</f>
        <v>0</v>
      </c>
      <c r="DX204">
        <f>SUMIF('Как будет'!$A$17:$A$24,Доп.расчеты!$A204,'Как будет'!DY$17:DY$24)</f>
        <v>0</v>
      </c>
      <c r="DY204">
        <f>SUMIF('Как будет'!$A$17:$A$24,Доп.расчеты!$A204,'Как будет'!DZ$17:DZ$24)</f>
        <v>0</v>
      </c>
      <c r="DZ204">
        <f>SUMIF('Как будет'!$A$17:$A$24,Доп.расчеты!$A204,'Как будет'!EA$17:EA$24)</f>
        <v>0</v>
      </c>
      <c r="EA204">
        <f>SUMIF('Как будет'!$A$17:$A$24,Доп.расчеты!$A204,'Как будет'!EB$17:EB$24)</f>
        <v>0</v>
      </c>
      <c r="EB204">
        <f>SUMIF('Как будет'!$A$17:$A$24,Доп.расчеты!$A204,'Как будет'!EC$17:EC$24)</f>
        <v>0</v>
      </c>
      <c r="EC204">
        <f>SUMIF('Как будет'!$A$17:$A$24,Доп.расчеты!$A204,'Как будет'!ED$17:ED$24)</f>
        <v>0</v>
      </c>
      <c r="ED204">
        <f>SUMIF('Как будет'!$A$17:$A$24,Доп.расчеты!$A204,'Как будет'!EE$17:EE$24)</f>
        <v>0</v>
      </c>
      <c r="EE204">
        <f>SUMIF('Как будет'!$A$17:$A$24,Доп.расчеты!$A204,'Как будет'!EF$17:EF$24)</f>
        <v>0</v>
      </c>
      <c r="EF204">
        <f>SUMIF('Как будет'!$A$17:$A$24,Доп.расчеты!$A204,'Как будет'!EG$17:EG$24)</f>
        <v>0</v>
      </c>
      <c r="EG204">
        <f>SUMIF('Как будет'!$A$17:$A$24,Доп.расчеты!$A204,'Как будет'!EH$17:EH$24)</f>
        <v>0</v>
      </c>
      <c r="EH204">
        <f>SUMIF('Как будет'!$A$17:$A$24,Доп.расчеты!$A204,'Как будет'!EI$17:EI$24)</f>
        <v>0</v>
      </c>
      <c r="EI204">
        <f>SUMIF('Как будет'!$A$17:$A$24,Доп.расчеты!$A204,'Как будет'!EJ$17:EJ$24)</f>
        <v>0</v>
      </c>
      <c r="EJ204">
        <f>SUMIF('Как будет'!$A$17:$A$24,Доп.расчеты!$A204,'Как будет'!EK$17:EK$24)</f>
        <v>0</v>
      </c>
      <c r="EK204">
        <f>SUMIF('Как будет'!$A$17:$A$24,Доп.расчеты!$A204,'Как будет'!EL$17:EL$24)</f>
        <v>0</v>
      </c>
      <c r="EL204">
        <f>SUMIF('Как будет'!$A$17:$A$24,Доп.расчеты!$A204,'Как будет'!EM$17:EM$24)</f>
        <v>0</v>
      </c>
      <c r="EM204">
        <f>SUMIF('Как будет'!$A$17:$A$24,Доп.расчеты!$A204,'Как будет'!EN$17:EN$24)</f>
        <v>0</v>
      </c>
      <c r="EN204">
        <f>SUMIF('Как будет'!$A$17:$A$24,Доп.расчеты!$A204,'Как будет'!EO$17:EO$24)</f>
        <v>0</v>
      </c>
      <c r="EO204">
        <f>SUMIF('Как будет'!$A$17:$A$24,Доп.расчеты!$A204,'Как будет'!EP$17:EP$24)</f>
        <v>0</v>
      </c>
      <c r="EP204">
        <f>SUMIF('Как будет'!$A$17:$A$24,Доп.расчеты!$A204,'Как будет'!EQ$17:EQ$24)</f>
        <v>0</v>
      </c>
      <c r="EQ204">
        <f>SUMIF('Как будет'!$A$17:$A$24,Доп.расчеты!$A204,'Как будет'!ER$17:ER$24)</f>
        <v>0</v>
      </c>
      <c r="ER204">
        <f>SUMIF('Как будет'!$A$17:$A$24,Доп.расчеты!$A204,'Как будет'!ES$17:ES$24)</f>
        <v>0</v>
      </c>
      <c r="ES204">
        <f>SUMIF('Как будет'!$A$17:$A$24,Доп.расчеты!$A204,'Как будет'!ET$17:ET$24)</f>
        <v>0</v>
      </c>
      <c r="ET204">
        <f>SUMIF('Как будет'!$A$17:$A$24,Доп.расчеты!$A204,'Как будет'!EU$17:EU$24)</f>
        <v>0</v>
      </c>
      <c r="EU204">
        <f>SUMIF('Как будет'!$A$17:$A$24,Доп.расчеты!$A204,'Как будет'!EV$17:EV$24)</f>
        <v>0</v>
      </c>
      <c r="EV204">
        <f>SUMIF('Как будет'!$A$17:$A$24,Доп.расчеты!$A204,'Как будет'!EW$17:EW$24)</f>
        <v>0</v>
      </c>
      <c r="EW204">
        <f>SUMIF('Как будет'!$A$17:$A$24,Доп.расчеты!$A204,'Как будет'!EX$17:EX$24)</f>
        <v>0</v>
      </c>
      <c r="EX204">
        <f>SUMIF('Как будет'!$A$17:$A$24,Доп.расчеты!$A204,'Как будет'!EY$17:EY$24)</f>
        <v>0</v>
      </c>
      <c r="EY204">
        <f>SUMIF('Как будет'!$A$17:$A$24,Доп.расчеты!$A204,'Как будет'!EZ$17:EZ$24)</f>
        <v>0</v>
      </c>
      <c r="EZ204">
        <f>SUMIF('Как будет'!$A$17:$A$24,Доп.расчеты!$A204,'Как будет'!FA$17:FA$24)</f>
        <v>0</v>
      </c>
      <c r="FA204">
        <f>SUMIF('Как будет'!$A$17:$A$24,Доп.расчеты!$A204,'Как будет'!FB$17:FB$24)</f>
        <v>0</v>
      </c>
      <c r="FB204">
        <f>SUMIF('Как будет'!$A$17:$A$24,Доп.расчеты!$A204,'Как будет'!FC$17:FC$24)</f>
        <v>0</v>
      </c>
      <c r="FC204">
        <f>SUMIF('Как будет'!$A$17:$A$24,Доп.расчеты!$A204,'Как будет'!FD$17:FD$24)</f>
        <v>0</v>
      </c>
      <c r="FD204">
        <f>SUMIF('Как будет'!$A$17:$A$24,Доп.расчеты!$A204,'Как будет'!FE$17:FE$24)</f>
        <v>0</v>
      </c>
      <c r="FE204">
        <f>SUMIF('Как будет'!$A$17:$A$24,Доп.расчеты!$A204,'Как будет'!FF$17:FF$24)</f>
        <v>0</v>
      </c>
      <c r="FF204">
        <f>SUMIF('Как будет'!$A$17:$A$24,Доп.расчеты!$A204,'Как будет'!FG$17:FG$24)</f>
        <v>0</v>
      </c>
      <c r="FG204">
        <f>SUMIF('Как будет'!$A$17:$A$24,Доп.расчеты!$A204,'Как будет'!FH$17:FH$24)</f>
        <v>0</v>
      </c>
      <c r="FH204">
        <f>SUMIF('Как будет'!$A$17:$A$24,Доп.расчеты!$A204,'Как будет'!FI$17:FI$24)</f>
        <v>0</v>
      </c>
      <c r="FI204">
        <f>SUMIF('Как будет'!$A$17:$A$24,Доп.расчеты!$A204,'Как будет'!FJ$17:FJ$24)</f>
        <v>0</v>
      </c>
      <c r="FJ204">
        <f>SUMIF('Как будет'!$A$17:$A$24,Доп.расчеты!$A204,'Как будет'!FK$17:FK$24)</f>
        <v>0</v>
      </c>
      <c r="FK204">
        <f>SUMIF('Как будет'!$A$17:$A$24,Доп.расчеты!$A204,'Как будет'!FL$17:FL$24)</f>
        <v>0</v>
      </c>
      <c r="FL204">
        <f>SUMIF('Как будет'!$A$17:$A$24,Доп.расчеты!$A204,'Как будет'!FM$17:FM$24)</f>
        <v>0</v>
      </c>
      <c r="FM204">
        <f>SUMIF('Как будет'!$A$17:$A$24,Доп.расчеты!$A204,'Как будет'!FN$17:FN$24)</f>
        <v>0</v>
      </c>
      <c r="FN204">
        <f>SUMIF('Как будет'!$A$17:$A$24,Доп.расчеты!$A204,'Как будет'!FO$17:FO$24)</f>
        <v>0</v>
      </c>
      <c r="FO204">
        <f>SUMIF('Как будет'!$A$17:$A$24,Доп.расчеты!$A204,'Как будет'!FP$17:FP$24)</f>
        <v>0</v>
      </c>
      <c r="FP204">
        <f>SUMIF('Как будет'!$A$17:$A$24,Доп.расчеты!$A204,'Как будет'!FQ$17:FQ$24)</f>
        <v>0</v>
      </c>
      <c r="FQ204">
        <f>SUMIF('Как будет'!$A$17:$A$24,Доп.расчеты!$A204,'Как будет'!FR$17:FR$24)</f>
        <v>0</v>
      </c>
      <c r="FR204">
        <f>SUMIF('Как будет'!$A$17:$A$24,Доп.расчеты!$A204,'Как будет'!FS$17:FS$24)</f>
        <v>0</v>
      </c>
      <c r="FS204">
        <f>SUMIF('Как будет'!$A$17:$A$24,Доп.расчеты!$A204,'Как будет'!FT$17:FT$24)</f>
        <v>0</v>
      </c>
      <c r="FT204">
        <f>SUMIF('Как будет'!$A$17:$A$24,Доп.расчеты!$A204,'Как будет'!FU$17:FU$24)</f>
        <v>0</v>
      </c>
      <c r="FU204">
        <f>SUMIF('Как будет'!$A$17:$A$24,Доп.расчеты!$A204,'Как будет'!FV$17:FV$24)</f>
        <v>0</v>
      </c>
      <c r="FV204">
        <f>SUMIF('Как будет'!$A$17:$A$24,Доп.расчеты!$A204,'Как будет'!FW$17:FW$24)</f>
        <v>0</v>
      </c>
      <c r="FW204">
        <f>SUMIF('Как будет'!$A$17:$A$24,Доп.расчеты!$A204,'Как будет'!FX$17:FX$24)</f>
        <v>0</v>
      </c>
      <c r="FX204">
        <f>SUMIF('Как будет'!$A$17:$A$24,Доп.расчеты!$A204,'Как будет'!FY$17:FY$24)</f>
        <v>0</v>
      </c>
      <c r="FY204">
        <f>SUMIF('Как будет'!$A$17:$A$24,Доп.расчеты!$A204,'Как будет'!FZ$17:FZ$24)</f>
        <v>0</v>
      </c>
      <c r="FZ204">
        <f>SUMIF('Как будет'!$A$17:$A$24,Доп.расчеты!$A204,'Как будет'!GA$17:GA$24)</f>
        <v>0</v>
      </c>
      <c r="GA204">
        <f>SUMIF('Как будет'!$A$17:$A$24,Доп.расчеты!$A204,'Как будет'!GB$17:GB$24)</f>
        <v>0</v>
      </c>
      <c r="GB204">
        <f>SUMIF('Как будет'!$A$17:$A$24,Доп.расчеты!$A204,'Как будет'!GC$17:GC$24)</f>
        <v>0</v>
      </c>
      <c r="GC204">
        <f>SUMIF('Как будет'!$A$17:$A$24,Доп.расчеты!$A204,'Как будет'!GD$17:GD$24)</f>
        <v>0</v>
      </c>
      <c r="GD204">
        <f>SUMIF('Как будет'!$A$17:$A$24,Доп.расчеты!$A204,'Как будет'!GE$17:GE$24)</f>
        <v>0</v>
      </c>
      <c r="GE204">
        <f>SUMIF('Как будет'!$A$17:$A$24,Доп.расчеты!$A204,'Как будет'!GF$17:GF$24)</f>
        <v>0</v>
      </c>
      <c r="GF204">
        <f>SUMIF('Как будет'!$A$17:$A$24,Доп.расчеты!$A204,'Как будет'!GG$17:GG$24)</f>
        <v>0</v>
      </c>
      <c r="GG204">
        <f>SUMIF('Как будет'!$A$17:$A$24,Доп.расчеты!$A204,'Как будет'!GH$17:GH$24)</f>
        <v>0</v>
      </c>
      <c r="GH204">
        <f>SUMIF('Как будет'!$A$17:$A$24,Доп.расчеты!$A204,'Как будет'!GI$17:GI$24)</f>
        <v>0</v>
      </c>
      <c r="GI204">
        <f>SUMIF('Как будет'!$A$17:$A$24,Доп.расчеты!$A204,'Как будет'!GJ$17:GJ$24)</f>
        <v>0</v>
      </c>
      <c r="GJ204">
        <f>SUMIF('Как будет'!$A$17:$A$24,Доп.расчеты!$A204,'Как будет'!GK$17:GK$24)</f>
        <v>0</v>
      </c>
      <c r="GK204">
        <f>SUMIF('Как будет'!$A$17:$A$24,Доп.расчеты!$A204,'Как будет'!GL$17:GL$24)</f>
        <v>0</v>
      </c>
      <c r="GL204">
        <f>SUMIF('Как будет'!$A$17:$A$24,Доп.расчеты!$A204,'Как будет'!GM$17:GM$24)</f>
        <v>0</v>
      </c>
      <c r="GM204">
        <f>SUMIF('Как будет'!$A$17:$A$24,Доп.расчеты!$A204,'Как будет'!GN$17:GN$24)</f>
        <v>0</v>
      </c>
      <c r="GN204">
        <f>SUMIF('Как будет'!$A$17:$A$24,Доп.расчеты!$A204,'Как будет'!GO$17:GO$24)</f>
        <v>0</v>
      </c>
      <c r="GO204">
        <f>SUMIF('Как будет'!$A$17:$A$24,Доп.расчеты!$A204,'Как будет'!GP$17:GP$24)</f>
        <v>0</v>
      </c>
      <c r="GP204">
        <f>SUMIF('Как будет'!$A$17:$A$24,Доп.расчеты!$A204,'Как будет'!GQ$17:GQ$24)</f>
        <v>0</v>
      </c>
      <c r="GQ204">
        <f>SUMIF('Как будет'!$A$17:$A$24,Доп.расчеты!$A204,'Как будет'!GR$17:GR$24)</f>
        <v>0</v>
      </c>
      <c r="GR204">
        <f>SUMIF('Как будет'!$A$17:$A$24,Доп.расчеты!$A204,'Как будет'!GS$17:GS$24)</f>
        <v>0</v>
      </c>
      <c r="GS204">
        <f>SUMIF('Как будет'!$A$17:$A$24,Доп.расчеты!$A204,'Как будет'!GT$17:GT$24)</f>
        <v>0</v>
      </c>
      <c r="GT204">
        <f>SUMIF('Как будет'!$A$17:$A$24,Доп.расчеты!$A204,'Как будет'!GU$17:GU$24)</f>
        <v>0</v>
      </c>
    </row>
    <row r="205" spans="1:202">
      <c r="A205" s="238" t="s">
        <v>100</v>
      </c>
      <c r="B205">
        <f>SUMIF('Как будет'!$A$17:$A$24,Доп.расчеты!$A205,'Как будет'!C$17:C$24)</f>
        <v>0</v>
      </c>
      <c r="C205">
        <f>SUMIF('Как будет'!$A$17:$A$24,Доп.расчеты!$A205,'Как будет'!D$17:D$24)</f>
        <v>0</v>
      </c>
      <c r="D205">
        <f>SUMIF('Как будет'!$A$17:$A$24,Доп.расчеты!$A205,'Как будет'!E$17:E$24)</f>
        <v>0</v>
      </c>
      <c r="E205">
        <f>SUMIF('Как будет'!$A$17:$A$24,Доп.расчеты!$A205,'Как будет'!F$17:F$24)</f>
        <v>0</v>
      </c>
      <c r="F205">
        <f>SUMIF('Как будет'!$A$17:$A$24,Доп.расчеты!$A205,'Как будет'!G$17:G$24)</f>
        <v>0</v>
      </c>
      <c r="G205">
        <f>SUMIF('Как будет'!$A$17:$A$24,Доп.расчеты!$A205,'Как будет'!H$17:H$24)</f>
        <v>0</v>
      </c>
      <c r="H205">
        <f>SUMIF('Как будет'!$A$17:$A$24,Доп.расчеты!$A205,'Как будет'!I$17:I$24)</f>
        <v>0</v>
      </c>
      <c r="I205">
        <f>SUMIF('Как будет'!$A$17:$A$24,Доп.расчеты!$A205,'Как будет'!J$17:J$24)</f>
        <v>0</v>
      </c>
      <c r="J205">
        <f>SUMIF('Как будет'!$A$17:$A$24,Доп.расчеты!$A205,'Как будет'!K$17:K$24)</f>
        <v>0</v>
      </c>
      <c r="K205">
        <f>SUMIF('Как будет'!$A$17:$A$24,Доп.расчеты!$A205,'Как будет'!L$17:L$24)</f>
        <v>0</v>
      </c>
      <c r="L205">
        <f>SUMIF('Как будет'!$A$17:$A$24,Доп.расчеты!$A205,'Как будет'!M$17:M$24)</f>
        <v>0</v>
      </c>
      <c r="M205">
        <f>SUMIF('Как будет'!$A$17:$A$24,Доп.расчеты!$A205,'Как будет'!N$17:N$24)</f>
        <v>0</v>
      </c>
      <c r="N205">
        <f>SUMIF('Как будет'!$A$17:$A$24,Доп.расчеты!$A205,'Как будет'!O$17:O$24)</f>
        <v>0</v>
      </c>
      <c r="O205">
        <f>SUMIF('Как будет'!$A$17:$A$24,Доп.расчеты!$A205,'Как будет'!P$17:P$24)</f>
        <v>0</v>
      </c>
      <c r="P205">
        <f>SUMIF('Как будет'!$A$17:$A$24,Доп.расчеты!$A205,'Как будет'!Q$17:Q$24)</f>
        <v>0</v>
      </c>
      <c r="Q205">
        <f>SUMIF('Как будет'!$A$17:$A$24,Доп.расчеты!$A205,'Как будет'!R$17:R$24)</f>
        <v>0</v>
      </c>
      <c r="R205">
        <f>SUMIF('Как будет'!$A$17:$A$24,Доп.расчеты!$A205,'Как будет'!S$17:S$24)</f>
        <v>0</v>
      </c>
      <c r="S205">
        <f>SUMIF('Как будет'!$A$17:$A$24,Доп.расчеты!$A205,'Как будет'!T$17:T$24)</f>
        <v>0</v>
      </c>
      <c r="T205">
        <f>SUMIF('Как будет'!$A$17:$A$24,Доп.расчеты!$A205,'Как будет'!U$17:U$24)</f>
        <v>0</v>
      </c>
      <c r="U205">
        <f>SUMIF('Как будет'!$A$17:$A$24,Доп.расчеты!$A205,'Как будет'!V$17:V$24)</f>
        <v>0</v>
      </c>
      <c r="V205">
        <f>SUMIF('Как будет'!$A$17:$A$24,Доп.расчеты!$A205,'Как будет'!W$17:W$24)</f>
        <v>0</v>
      </c>
      <c r="W205">
        <f>SUMIF('Как будет'!$A$17:$A$24,Доп.расчеты!$A205,'Как будет'!X$17:X$24)</f>
        <v>0</v>
      </c>
      <c r="X205">
        <f>SUMIF('Как будет'!$A$17:$A$24,Доп.расчеты!$A205,'Как будет'!Y$17:Y$24)</f>
        <v>0</v>
      </c>
      <c r="Y205">
        <f>SUMIF('Как будет'!$A$17:$A$24,Доп.расчеты!$A205,'Как будет'!Z$17:Z$24)</f>
        <v>0</v>
      </c>
      <c r="Z205">
        <f>SUMIF('Как будет'!$A$17:$A$24,Доп.расчеты!$A205,'Как будет'!AA$17:AA$24)</f>
        <v>0</v>
      </c>
      <c r="AA205">
        <f>SUMIF('Как будет'!$A$17:$A$24,Доп.расчеты!$A205,'Как будет'!AB$17:AB$24)</f>
        <v>0</v>
      </c>
      <c r="AB205">
        <f>SUMIF('Как будет'!$A$17:$A$24,Доп.расчеты!$A205,'Как будет'!AC$17:AC$24)</f>
        <v>0</v>
      </c>
      <c r="AC205">
        <f>SUMIF('Как будет'!$A$17:$A$24,Доп.расчеты!$A205,'Как будет'!AD$17:AD$24)</f>
        <v>0</v>
      </c>
      <c r="AD205">
        <f>SUMIF('Как будет'!$A$17:$A$24,Доп.расчеты!$A205,'Как будет'!AE$17:AE$24)</f>
        <v>0</v>
      </c>
      <c r="AE205">
        <f>SUMIF('Как будет'!$A$17:$A$24,Доп.расчеты!$A205,'Как будет'!AF$17:AF$24)</f>
        <v>0</v>
      </c>
      <c r="AF205">
        <f>SUMIF('Как будет'!$A$17:$A$24,Доп.расчеты!$A205,'Как будет'!AG$17:AG$24)</f>
        <v>0</v>
      </c>
      <c r="AG205">
        <f>SUMIF('Как будет'!$A$17:$A$24,Доп.расчеты!$A205,'Как будет'!AH$17:AH$24)</f>
        <v>0</v>
      </c>
      <c r="AH205">
        <f>SUMIF('Как будет'!$A$17:$A$24,Доп.расчеты!$A205,'Как будет'!AI$17:AI$24)</f>
        <v>0</v>
      </c>
      <c r="AI205">
        <f>SUMIF('Как будет'!$A$17:$A$24,Доп.расчеты!$A205,'Как будет'!AJ$17:AJ$24)</f>
        <v>0</v>
      </c>
      <c r="AJ205">
        <f>SUMIF('Как будет'!$A$17:$A$24,Доп.расчеты!$A205,'Как будет'!AK$17:AK$24)</f>
        <v>0</v>
      </c>
      <c r="AK205">
        <f>SUMIF('Как будет'!$A$17:$A$24,Доп.расчеты!$A205,'Как будет'!AL$17:AL$24)</f>
        <v>0</v>
      </c>
      <c r="AL205">
        <f>SUMIF('Как будет'!$A$17:$A$24,Доп.расчеты!$A205,'Как будет'!AM$17:AM$24)</f>
        <v>0</v>
      </c>
      <c r="AM205">
        <f>SUMIF('Как будет'!$A$17:$A$24,Доп.расчеты!$A205,'Как будет'!AN$17:AN$24)</f>
        <v>0</v>
      </c>
      <c r="AN205">
        <f>SUMIF('Как будет'!$A$17:$A$24,Доп.расчеты!$A205,'Как будет'!AO$17:AO$24)</f>
        <v>0</v>
      </c>
      <c r="AO205">
        <f>SUMIF('Как будет'!$A$17:$A$24,Доп.расчеты!$A205,'Как будет'!AP$17:AP$24)</f>
        <v>0</v>
      </c>
      <c r="AP205">
        <f>SUMIF('Как будет'!$A$17:$A$24,Доп.расчеты!$A205,'Как будет'!AQ$17:AQ$24)</f>
        <v>0</v>
      </c>
      <c r="AQ205">
        <f>SUMIF('Как будет'!$A$17:$A$24,Доп.расчеты!$A205,'Как будет'!AR$17:AR$24)</f>
        <v>0</v>
      </c>
      <c r="AR205">
        <f>SUMIF('Как будет'!$A$17:$A$24,Доп.расчеты!$A205,'Как будет'!AS$17:AS$24)</f>
        <v>0</v>
      </c>
      <c r="AS205">
        <f>SUMIF('Как будет'!$A$17:$A$24,Доп.расчеты!$A205,'Как будет'!AT$17:AT$24)</f>
        <v>0</v>
      </c>
      <c r="AT205">
        <f>SUMIF('Как будет'!$A$17:$A$24,Доп.расчеты!$A205,'Как будет'!AU$17:AU$24)</f>
        <v>0</v>
      </c>
      <c r="AU205">
        <f>SUMIF('Как будет'!$A$17:$A$24,Доп.расчеты!$A205,'Как будет'!AV$17:AV$24)</f>
        <v>0</v>
      </c>
      <c r="AV205">
        <f>SUMIF('Как будет'!$A$17:$A$24,Доп.расчеты!$A205,'Как будет'!AW$17:AW$24)</f>
        <v>0</v>
      </c>
      <c r="AW205">
        <f>SUMIF('Как будет'!$A$17:$A$24,Доп.расчеты!$A205,'Как будет'!AX$17:AX$24)</f>
        <v>0</v>
      </c>
      <c r="AX205">
        <f>SUMIF('Как будет'!$A$17:$A$24,Доп.расчеты!$A205,'Как будет'!AY$17:AY$24)</f>
        <v>0</v>
      </c>
      <c r="AY205">
        <f>SUMIF('Как будет'!$A$17:$A$24,Доп.расчеты!$A205,'Как будет'!AZ$17:AZ$24)</f>
        <v>0</v>
      </c>
      <c r="AZ205">
        <f>SUMIF('Как будет'!$A$17:$A$24,Доп.расчеты!$A205,'Как будет'!BA$17:BA$24)</f>
        <v>0</v>
      </c>
      <c r="BA205">
        <f>SUMIF('Как будет'!$A$17:$A$24,Доп.расчеты!$A205,'Как будет'!BB$17:BB$24)</f>
        <v>0</v>
      </c>
      <c r="BB205">
        <f>SUMIF('Как будет'!$A$17:$A$24,Доп.расчеты!$A205,'Как будет'!BC$17:BC$24)</f>
        <v>0</v>
      </c>
      <c r="BC205">
        <f>SUMIF('Как будет'!$A$17:$A$24,Доп.расчеты!$A205,'Как будет'!BD$17:BD$24)</f>
        <v>0</v>
      </c>
      <c r="BD205">
        <f>SUMIF('Как будет'!$A$17:$A$24,Доп.расчеты!$A205,'Как будет'!BE$17:BE$24)</f>
        <v>0</v>
      </c>
      <c r="BE205">
        <f>SUMIF('Как будет'!$A$17:$A$24,Доп.расчеты!$A205,'Как будет'!BF$17:BF$24)</f>
        <v>0</v>
      </c>
      <c r="BF205">
        <f>SUMIF('Как будет'!$A$17:$A$24,Доп.расчеты!$A205,'Как будет'!BG$17:BG$24)</f>
        <v>0</v>
      </c>
      <c r="BG205">
        <f>SUMIF('Как будет'!$A$17:$A$24,Доп.расчеты!$A205,'Как будет'!BH$17:BH$24)</f>
        <v>0</v>
      </c>
      <c r="BH205">
        <f>SUMIF('Как будет'!$A$17:$A$24,Доп.расчеты!$A205,'Как будет'!BI$17:BI$24)</f>
        <v>0</v>
      </c>
      <c r="BI205">
        <f>SUMIF('Как будет'!$A$17:$A$24,Доп.расчеты!$A205,'Как будет'!BJ$17:BJ$24)</f>
        <v>0</v>
      </c>
      <c r="BJ205">
        <f>SUMIF('Как будет'!$A$17:$A$24,Доп.расчеты!$A205,'Как будет'!BK$17:BK$24)</f>
        <v>0</v>
      </c>
      <c r="BK205">
        <f>SUMIF('Как будет'!$A$17:$A$24,Доп.расчеты!$A205,'Как будет'!BL$17:BL$24)</f>
        <v>0</v>
      </c>
      <c r="BL205">
        <f>SUMIF('Как будет'!$A$17:$A$24,Доп.расчеты!$A205,'Как будет'!BM$17:BM$24)</f>
        <v>0</v>
      </c>
      <c r="BM205">
        <f>SUMIF('Как будет'!$A$17:$A$24,Доп.расчеты!$A205,'Как будет'!BN$17:BN$24)</f>
        <v>0</v>
      </c>
      <c r="BN205">
        <f>SUMIF('Как будет'!$A$17:$A$24,Доп.расчеты!$A205,'Как будет'!BO$17:BO$24)</f>
        <v>0</v>
      </c>
      <c r="BO205">
        <f>SUMIF('Как будет'!$A$17:$A$24,Доп.расчеты!$A205,'Как будет'!BP$17:BP$24)</f>
        <v>0</v>
      </c>
      <c r="BP205">
        <f>SUMIF('Как будет'!$A$17:$A$24,Доп.расчеты!$A205,'Как будет'!BQ$17:BQ$24)</f>
        <v>0</v>
      </c>
      <c r="BQ205">
        <f>SUMIF('Как будет'!$A$17:$A$24,Доп.расчеты!$A205,'Как будет'!BR$17:BR$24)</f>
        <v>0</v>
      </c>
      <c r="BR205">
        <f>SUMIF('Как будет'!$A$17:$A$24,Доп.расчеты!$A205,'Как будет'!BS$17:BS$24)</f>
        <v>0</v>
      </c>
      <c r="BS205">
        <f>SUMIF('Как будет'!$A$17:$A$24,Доп.расчеты!$A205,'Как будет'!BT$17:BT$24)</f>
        <v>0</v>
      </c>
      <c r="BT205">
        <f>SUMIF('Как будет'!$A$17:$A$24,Доп.расчеты!$A205,'Как будет'!BU$17:BU$24)</f>
        <v>0</v>
      </c>
      <c r="BU205">
        <f>SUMIF('Как будет'!$A$17:$A$24,Доп.расчеты!$A205,'Как будет'!BV$17:BV$24)</f>
        <v>0</v>
      </c>
      <c r="BV205">
        <f>SUMIF('Как будет'!$A$17:$A$24,Доп.расчеты!$A205,'Как будет'!BW$17:BW$24)</f>
        <v>0</v>
      </c>
      <c r="BW205">
        <f>SUMIF('Как будет'!$A$17:$A$24,Доп.расчеты!$A205,'Как будет'!BX$17:BX$24)</f>
        <v>0</v>
      </c>
      <c r="BX205">
        <f>SUMIF('Как будет'!$A$17:$A$24,Доп.расчеты!$A205,'Как будет'!BY$17:BY$24)</f>
        <v>0</v>
      </c>
      <c r="BY205">
        <f>SUMIF('Как будет'!$A$17:$A$24,Доп.расчеты!$A205,'Как будет'!BZ$17:BZ$24)</f>
        <v>0</v>
      </c>
      <c r="BZ205">
        <f>SUMIF('Как будет'!$A$17:$A$24,Доп.расчеты!$A205,'Как будет'!CA$17:CA$24)</f>
        <v>0</v>
      </c>
      <c r="CA205">
        <f>SUMIF('Как будет'!$A$17:$A$24,Доп.расчеты!$A205,'Как будет'!CB$17:CB$24)</f>
        <v>0</v>
      </c>
      <c r="CB205">
        <f>SUMIF('Как будет'!$A$17:$A$24,Доп.расчеты!$A205,'Как будет'!CC$17:CC$24)</f>
        <v>0</v>
      </c>
      <c r="CC205">
        <f>SUMIF('Как будет'!$A$17:$A$24,Доп.расчеты!$A205,'Как будет'!CD$17:CD$24)</f>
        <v>0</v>
      </c>
      <c r="CD205">
        <f>SUMIF('Как будет'!$A$17:$A$24,Доп.расчеты!$A205,'Как будет'!CE$17:CE$24)</f>
        <v>0</v>
      </c>
      <c r="CE205">
        <f>SUMIF('Как будет'!$A$17:$A$24,Доп.расчеты!$A205,'Как будет'!CF$17:CF$24)</f>
        <v>0</v>
      </c>
      <c r="CF205">
        <f>SUMIF('Как будет'!$A$17:$A$24,Доп.расчеты!$A205,'Как будет'!CG$17:CG$24)</f>
        <v>0</v>
      </c>
      <c r="CG205">
        <f>SUMIF('Как будет'!$A$17:$A$24,Доп.расчеты!$A205,'Как будет'!CH$17:CH$24)</f>
        <v>0</v>
      </c>
      <c r="CH205">
        <f>SUMIF('Как будет'!$A$17:$A$24,Доп.расчеты!$A205,'Как будет'!CI$17:CI$24)</f>
        <v>0</v>
      </c>
      <c r="CI205">
        <f>SUMIF('Как будет'!$A$17:$A$24,Доп.расчеты!$A205,'Как будет'!CJ$17:CJ$24)</f>
        <v>0</v>
      </c>
      <c r="CJ205">
        <f>SUMIF('Как будет'!$A$17:$A$24,Доп.расчеты!$A205,'Как будет'!CK$17:CK$24)</f>
        <v>0</v>
      </c>
      <c r="CK205">
        <f>SUMIF('Как будет'!$A$17:$A$24,Доп.расчеты!$A205,'Как будет'!CL$17:CL$24)</f>
        <v>0</v>
      </c>
      <c r="CL205">
        <f>SUMIF('Как будет'!$A$17:$A$24,Доп.расчеты!$A205,'Как будет'!CM$17:CM$24)</f>
        <v>0</v>
      </c>
      <c r="CM205">
        <f>SUMIF('Как будет'!$A$17:$A$24,Доп.расчеты!$A205,'Как будет'!CN$17:CN$24)</f>
        <v>0</v>
      </c>
      <c r="CN205">
        <f>SUMIF('Как будет'!$A$17:$A$24,Доп.расчеты!$A205,'Как будет'!CO$17:CO$24)</f>
        <v>0</v>
      </c>
      <c r="CO205">
        <f>SUMIF('Как будет'!$A$17:$A$24,Доп.расчеты!$A205,'Как будет'!CP$17:CP$24)</f>
        <v>0</v>
      </c>
      <c r="CP205">
        <f>SUMIF('Как будет'!$A$17:$A$24,Доп.расчеты!$A205,'Как будет'!CQ$17:CQ$24)</f>
        <v>0</v>
      </c>
      <c r="CQ205">
        <f>SUMIF('Как будет'!$A$17:$A$24,Доп.расчеты!$A205,'Как будет'!CR$17:CR$24)</f>
        <v>0</v>
      </c>
      <c r="CR205">
        <f>SUMIF('Как будет'!$A$17:$A$24,Доп.расчеты!$A205,'Как будет'!CS$17:CS$24)</f>
        <v>0</v>
      </c>
      <c r="CS205">
        <f>SUMIF('Как будет'!$A$17:$A$24,Доп.расчеты!$A205,'Как будет'!CT$17:CT$24)</f>
        <v>0</v>
      </c>
      <c r="CT205">
        <f>SUMIF('Как будет'!$A$17:$A$24,Доп.расчеты!$A205,'Как будет'!CU$17:CU$24)</f>
        <v>0</v>
      </c>
      <c r="CU205">
        <f>SUMIF('Как будет'!$A$17:$A$24,Доп.расчеты!$A205,'Как будет'!CV$17:CV$24)</f>
        <v>0</v>
      </c>
      <c r="CV205">
        <f>SUMIF('Как будет'!$A$17:$A$24,Доп.расчеты!$A205,'Как будет'!CW$17:CW$24)</f>
        <v>0</v>
      </c>
      <c r="CW205">
        <f>SUMIF('Как будет'!$A$17:$A$24,Доп.расчеты!$A205,'Как будет'!CX$17:CX$24)</f>
        <v>0</v>
      </c>
      <c r="CX205">
        <f>SUMIF('Как будет'!$A$17:$A$24,Доп.расчеты!$A205,'Как будет'!CY$17:CY$24)</f>
        <v>0</v>
      </c>
      <c r="CY205">
        <f>SUMIF('Как будет'!$A$17:$A$24,Доп.расчеты!$A205,'Как будет'!CZ$17:CZ$24)</f>
        <v>0</v>
      </c>
      <c r="CZ205">
        <f>SUMIF('Как будет'!$A$17:$A$24,Доп.расчеты!$A205,'Как будет'!DA$17:DA$24)</f>
        <v>0</v>
      </c>
      <c r="DA205">
        <f>SUMIF('Как будет'!$A$17:$A$24,Доп.расчеты!$A205,'Как будет'!DB$17:DB$24)</f>
        <v>0</v>
      </c>
      <c r="DB205">
        <f>SUMIF('Как будет'!$A$17:$A$24,Доп.расчеты!$A205,'Как будет'!DC$17:DC$24)</f>
        <v>0</v>
      </c>
      <c r="DC205">
        <f>SUMIF('Как будет'!$A$17:$A$24,Доп.расчеты!$A205,'Как будет'!DD$17:DD$24)</f>
        <v>0</v>
      </c>
      <c r="DD205">
        <f>SUMIF('Как будет'!$A$17:$A$24,Доп.расчеты!$A205,'Как будет'!DE$17:DE$24)</f>
        <v>0</v>
      </c>
      <c r="DE205">
        <f>SUMIF('Как будет'!$A$17:$A$24,Доп.расчеты!$A205,'Как будет'!DF$17:DF$24)</f>
        <v>0</v>
      </c>
      <c r="DF205">
        <f>SUMIF('Как будет'!$A$17:$A$24,Доп.расчеты!$A205,'Как будет'!DG$17:DG$24)</f>
        <v>0</v>
      </c>
      <c r="DG205">
        <f>SUMIF('Как будет'!$A$17:$A$24,Доп.расчеты!$A205,'Как будет'!DH$17:DH$24)</f>
        <v>0</v>
      </c>
      <c r="DH205">
        <f>SUMIF('Как будет'!$A$17:$A$24,Доп.расчеты!$A205,'Как будет'!DI$17:DI$24)</f>
        <v>0</v>
      </c>
      <c r="DI205">
        <f>SUMIF('Как будет'!$A$17:$A$24,Доп.расчеты!$A205,'Как будет'!DJ$17:DJ$24)</f>
        <v>0</v>
      </c>
      <c r="DJ205">
        <f>SUMIF('Как будет'!$A$17:$A$24,Доп.расчеты!$A205,'Как будет'!DK$17:DK$24)</f>
        <v>0</v>
      </c>
      <c r="DK205">
        <f>SUMIF('Как будет'!$A$17:$A$24,Доп.расчеты!$A205,'Как будет'!DL$17:DL$24)</f>
        <v>0</v>
      </c>
      <c r="DL205">
        <f>SUMIF('Как будет'!$A$17:$A$24,Доп.расчеты!$A205,'Как будет'!DM$17:DM$24)</f>
        <v>0</v>
      </c>
      <c r="DM205">
        <f>SUMIF('Как будет'!$A$17:$A$24,Доп.расчеты!$A205,'Как будет'!DN$17:DN$24)</f>
        <v>0</v>
      </c>
      <c r="DN205">
        <f>SUMIF('Как будет'!$A$17:$A$24,Доп.расчеты!$A205,'Как будет'!DO$17:DO$24)</f>
        <v>0</v>
      </c>
      <c r="DO205">
        <f>SUMIF('Как будет'!$A$17:$A$24,Доп.расчеты!$A205,'Как будет'!DP$17:DP$24)</f>
        <v>0</v>
      </c>
      <c r="DP205">
        <f>SUMIF('Как будет'!$A$17:$A$24,Доп.расчеты!$A205,'Как будет'!DQ$17:DQ$24)</f>
        <v>0</v>
      </c>
      <c r="DQ205">
        <f>SUMIF('Как будет'!$A$17:$A$24,Доп.расчеты!$A205,'Как будет'!DR$17:DR$24)</f>
        <v>0</v>
      </c>
      <c r="DR205">
        <f>SUMIF('Как будет'!$A$17:$A$24,Доп.расчеты!$A205,'Как будет'!DS$17:DS$24)</f>
        <v>0</v>
      </c>
      <c r="DS205">
        <f>SUMIF('Как будет'!$A$17:$A$24,Доп.расчеты!$A205,'Как будет'!DT$17:DT$24)</f>
        <v>0</v>
      </c>
      <c r="DT205">
        <f>SUMIF('Как будет'!$A$17:$A$24,Доп.расчеты!$A205,'Как будет'!DU$17:DU$24)</f>
        <v>0</v>
      </c>
      <c r="DU205">
        <f>SUMIF('Как будет'!$A$17:$A$24,Доп.расчеты!$A205,'Как будет'!DV$17:DV$24)</f>
        <v>0</v>
      </c>
      <c r="DV205">
        <f>SUMIF('Как будет'!$A$17:$A$24,Доп.расчеты!$A205,'Как будет'!DW$17:DW$24)</f>
        <v>0</v>
      </c>
      <c r="DW205">
        <f>SUMIF('Как будет'!$A$17:$A$24,Доп.расчеты!$A205,'Как будет'!DX$17:DX$24)</f>
        <v>0</v>
      </c>
      <c r="DX205">
        <f>SUMIF('Как будет'!$A$17:$A$24,Доп.расчеты!$A205,'Как будет'!DY$17:DY$24)</f>
        <v>0</v>
      </c>
      <c r="DY205">
        <f>SUMIF('Как будет'!$A$17:$A$24,Доп.расчеты!$A205,'Как будет'!DZ$17:DZ$24)</f>
        <v>0</v>
      </c>
      <c r="DZ205">
        <f>SUMIF('Как будет'!$A$17:$A$24,Доп.расчеты!$A205,'Как будет'!EA$17:EA$24)</f>
        <v>0</v>
      </c>
      <c r="EA205">
        <f>SUMIF('Как будет'!$A$17:$A$24,Доп.расчеты!$A205,'Как будет'!EB$17:EB$24)</f>
        <v>0</v>
      </c>
      <c r="EB205">
        <f>SUMIF('Как будет'!$A$17:$A$24,Доп.расчеты!$A205,'Как будет'!EC$17:EC$24)</f>
        <v>0</v>
      </c>
      <c r="EC205">
        <f>SUMIF('Как будет'!$A$17:$A$24,Доп.расчеты!$A205,'Как будет'!ED$17:ED$24)</f>
        <v>0</v>
      </c>
      <c r="ED205">
        <f>SUMIF('Как будет'!$A$17:$A$24,Доп.расчеты!$A205,'Как будет'!EE$17:EE$24)</f>
        <v>0</v>
      </c>
      <c r="EE205">
        <f>SUMIF('Как будет'!$A$17:$A$24,Доп.расчеты!$A205,'Как будет'!EF$17:EF$24)</f>
        <v>0</v>
      </c>
      <c r="EF205">
        <f>SUMIF('Как будет'!$A$17:$A$24,Доп.расчеты!$A205,'Как будет'!EG$17:EG$24)</f>
        <v>0</v>
      </c>
      <c r="EG205">
        <f>SUMIF('Как будет'!$A$17:$A$24,Доп.расчеты!$A205,'Как будет'!EH$17:EH$24)</f>
        <v>0</v>
      </c>
      <c r="EH205">
        <f>SUMIF('Как будет'!$A$17:$A$24,Доп.расчеты!$A205,'Как будет'!EI$17:EI$24)</f>
        <v>0</v>
      </c>
      <c r="EI205">
        <f>SUMIF('Как будет'!$A$17:$A$24,Доп.расчеты!$A205,'Как будет'!EJ$17:EJ$24)</f>
        <v>0</v>
      </c>
      <c r="EJ205">
        <f>SUMIF('Как будет'!$A$17:$A$24,Доп.расчеты!$A205,'Как будет'!EK$17:EK$24)</f>
        <v>0</v>
      </c>
      <c r="EK205">
        <f>SUMIF('Как будет'!$A$17:$A$24,Доп.расчеты!$A205,'Как будет'!EL$17:EL$24)</f>
        <v>0</v>
      </c>
      <c r="EL205">
        <f>SUMIF('Как будет'!$A$17:$A$24,Доп.расчеты!$A205,'Как будет'!EM$17:EM$24)</f>
        <v>0</v>
      </c>
      <c r="EM205">
        <f>SUMIF('Как будет'!$A$17:$A$24,Доп.расчеты!$A205,'Как будет'!EN$17:EN$24)</f>
        <v>0</v>
      </c>
      <c r="EN205">
        <f>SUMIF('Как будет'!$A$17:$A$24,Доп.расчеты!$A205,'Как будет'!EO$17:EO$24)</f>
        <v>0</v>
      </c>
      <c r="EO205">
        <f>SUMIF('Как будет'!$A$17:$A$24,Доп.расчеты!$A205,'Как будет'!EP$17:EP$24)</f>
        <v>0</v>
      </c>
      <c r="EP205">
        <f>SUMIF('Как будет'!$A$17:$A$24,Доп.расчеты!$A205,'Как будет'!EQ$17:EQ$24)</f>
        <v>0</v>
      </c>
      <c r="EQ205">
        <f>SUMIF('Как будет'!$A$17:$A$24,Доп.расчеты!$A205,'Как будет'!ER$17:ER$24)</f>
        <v>0</v>
      </c>
      <c r="ER205">
        <f>SUMIF('Как будет'!$A$17:$A$24,Доп.расчеты!$A205,'Как будет'!ES$17:ES$24)</f>
        <v>0</v>
      </c>
      <c r="ES205">
        <f>SUMIF('Как будет'!$A$17:$A$24,Доп.расчеты!$A205,'Как будет'!ET$17:ET$24)</f>
        <v>0</v>
      </c>
      <c r="ET205">
        <f>SUMIF('Как будет'!$A$17:$A$24,Доп.расчеты!$A205,'Как будет'!EU$17:EU$24)</f>
        <v>0</v>
      </c>
      <c r="EU205">
        <f>SUMIF('Как будет'!$A$17:$A$24,Доп.расчеты!$A205,'Как будет'!EV$17:EV$24)</f>
        <v>0</v>
      </c>
      <c r="EV205">
        <f>SUMIF('Как будет'!$A$17:$A$24,Доп.расчеты!$A205,'Как будет'!EW$17:EW$24)</f>
        <v>0</v>
      </c>
      <c r="EW205">
        <f>SUMIF('Как будет'!$A$17:$A$24,Доп.расчеты!$A205,'Как будет'!EX$17:EX$24)</f>
        <v>0</v>
      </c>
      <c r="EX205">
        <f>SUMIF('Как будет'!$A$17:$A$24,Доп.расчеты!$A205,'Как будет'!EY$17:EY$24)</f>
        <v>0</v>
      </c>
      <c r="EY205">
        <f>SUMIF('Как будет'!$A$17:$A$24,Доп.расчеты!$A205,'Как будет'!EZ$17:EZ$24)</f>
        <v>0</v>
      </c>
      <c r="EZ205">
        <f>SUMIF('Как будет'!$A$17:$A$24,Доп.расчеты!$A205,'Как будет'!FA$17:FA$24)</f>
        <v>0</v>
      </c>
      <c r="FA205">
        <f>SUMIF('Как будет'!$A$17:$A$24,Доп.расчеты!$A205,'Как будет'!FB$17:FB$24)</f>
        <v>0</v>
      </c>
      <c r="FB205">
        <f>SUMIF('Как будет'!$A$17:$A$24,Доп.расчеты!$A205,'Как будет'!FC$17:FC$24)</f>
        <v>0</v>
      </c>
      <c r="FC205">
        <f>SUMIF('Как будет'!$A$17:$A$24,Доп.расчеты!$A205,'Как будет'!FD$17:FD$24)</f>
        <v>0</v>
      </c>
      <c r="FD205">
        <f>SUMIF('Как будет'!$A$17:$A$24,Доп.расчеты!$A205,'Как будет'!FE$17:FE$24)</f>
        <v>0</v>
      </c>
      <c r="FE205">
        <f>SUMIF('Как будет'!$A$17:$A$24,Доп.расчеты!$A205,'Как будет'!FF$17:FF$24)</f>
        <v>0</v>
      </c>
      <c r="FF205">
        <f>SUMIF('Как будет'!$A$17:$A$24,Доп.расчеты!$A205,'Как будет'!FG$17:FG$24)</f>
        <v>0</v>
      </c>
      <c r="FG205">
        <f>SUMIF('Как будет'!$A$17:$A$24,Доп.расчеты!$A205,'Как будет'!FH$17:FH$24)</f>
        <v>0</v>
      </c>
      <c r="FH205">
        <f>SUMIF('Как будет'!$A$17:$A$24,Доп.расчеты!$A205,'Как будет'!FI$17:FI$24)</f>
        <v>0</v>
      </c>
      <c r="FI205">
        <f>SUMIF('Как будет'!$A$17:$A$24,Доп.расчеты!$A205,'Как будет'!FJ$17:FJ$24)</f>
        <v>0</v>
      </c>
      <c r="FJ205">
        <f>SUMIF('Как будет'!$A$17:$A$24,Доп.расчеты!$A205,'Как будет'!FK$17:FK$24)</f>
        <v>0</v>
      </c>
      <c r="FK205">
        <f>SUMIF('Как будет'!$A$17:$A$24,Доп.расчеты!$A205,'Как будет'!FL$17:FL$24)</f>
        <v>0</v>
      </c>
      <c r="FL205">
        <f>SUMIF('Как будет'!$A$17:$A$24,Доп.расчеты!$A205,'Как будет'!FM$17:FM$24)</f>
        <v>0</v>
      </c>
      <c r="FM205">
        <f>SUMIF('Как будет'!$A$17:$A$24,Доп.расчеты!$A205,'Как будет'!FN$17:FN$24)</f>
        <v>0</v>
      </c>
      <c r="FN205">
        <f>SUMIF('Как будет'!$A$17:$A$24,Доп.расчеты!$A205,'Как будет'!FO$17:FO$24)</f>
        <v>0</v>
      </c>
      <c r="FO205">
        <f>SUMIF('Как будет'!$A$17:$A$24,Доп.расчеты!$A205,'Как будет'!FP$17:FP$24)</f>
        <v>0</v>
      </c>
      <c r="FP205">
        <f>SUMIF('Как будет'!$A$17:$A$24,Доп.расчеты!$A205,'Как будет'!FQ$17:FQ$24)</f>
        <v>0</v>
      </c>
      <c r="FQ205">
        <f>SUMIF('Как будет'!$A$17:$A$24,Доп.расчеты!$A205,'Как будет'!FR$17:FR$24)</f>
        <v>0</v>
      </c>
      <c r="FR205">
        <f>SUMIF('Как будет'!$A$17:$A$24,Доп.расчеты!$A205,'Как будет'!FS$17:FS$24)</f>
        <v>0</v>
      </c>
      <c r="FS205">
        <f>SUMIF('Как будет'!$A$17:$A$24,Доп.расчеты!$A205,'Как будет'!FT$17:FT$24)</f>
        <v>0</v>
      </c>
      <c r="FT205">
        <f>SUMIF('Как будет'!$A$17:$A$24,Доп.расчеты!$A205,'Как будет'!FU$17:FU$24)</f>
        <v>0</v>
      </c>
      <c r="FU205">
        <f>SUMIF('Как будет'!$A$17:$A$24,Доп.расчеты!$A205,'Как будет'!FV$17:FV$24)</f>
        <v>0</v>
      </c>
      <c r="FV205">
        <f>SUMIF('Как будет'!$A$17:$A$24,Доп.расчеты!$A205,'Как будет'!FW$17:FW$24)</f>
        <v>0</v>
      </c>
      <c r="FW205">
        <f>SUMIF('Как будет'!$A$17:$A$24,Доп.расчеты!$A205,'Как будет'!FX$17:FX$24)</f>
        <v>0</v>
      </c>
      <c r="FX205">
        <f>SUMIF('Как будет'!$A$17:$A$24,Доп.расчеты!$A205,'Как будет'!FY$17:FY$24)</f>
        <v>0</v>
      </c>
      <c r="FY205">
        <f>SUMIF('Как будет'!$A$17:$A$24,Доп.расчеты!$A205,'Как будет'!FZ$17:FZ$24)</f>
        <v>0</v>
      </c>
      <c r="FZ205">
        <f>SUMIF('Как будет'!$A$17:$A$24,Доп.расчеты!$A205,'Как будет'!GA$17:GA$24)</f>
        <v>0</v>
      </c>
      <c r="GA205">
        <f>SUMIF('Как будет'!$A$17:$A$24,Доп.расчеты!$A205,'Как будет'!GB$17:GB$24)</f>
        <v>0</v>
      </c>
      <c r="GB205">
        <f>SUMIF('Как будет'!$A$17:$A$24,Доп.расчеты!$A205,'Как будет'!GC$17:GC$24)</f>
        <v>0</v>
      </c>
      <c r="GC205">
        <f>SUMIF('Как будет'!$A$17:$A$24,Доп.расчеты!$A205,'Как будет'!GD$17:GD$24)</f>
        <v>0</v>
      </c>
      <c r="GD205">
        <f>SUMIF('Как будет'!$A$17:$A$24,Доп.расчеты!$A205,'Как будет'!GE$17:GE$24)</f>
        <v>0</v>
      </c>
      <c r="GE205">
        <f>SUMIF('Как будет'!$A$17:$A$24,Доп.расчеты!$A205,'Как будет'!GF$17:GF$24)</f>
        <v>0</v>
      </c>
      <c r="GF205">
        <f>SUMIF('Как будет'!$A$17:$A$24,Доп.расчеты!$A205,'Как будет'!GG$17:GG$24)</f>
        <v>0</v>
      </c>
      <c r="GG205">
        <f>SUMIF('Как будет'!$A$17:$A$24,Доп.расчеты!$A205,'Как будет'!GH$17:GH$24)</f>
        <v>0</v>
      </c>
      <c r="GH205">
        <f>SUMIF('Как будет'!$A$17:$A$24,Доп.расчеты!$A205,'Как будет'!GI$17:GI$24)</f>
        <v>0</v>
      </c>
      <c r="GI205">
        <f>SUMIF('Как будет'!$A$17:$A$24,Доп.расчеты!$A205,'Как будет'!GJ$17:GJ$24)</f>
        <v>0</v>
      </c>
      <c r="GJ205">
        <f>SUMIF('Как будет'!$A$17:$A$24,Доп.расчеты!$A205,'Как будет'!GK$17:GK$24)</f>
        <v>0</v>
      </c>
      <c r="GK205">
        <f>SUMIF('Как будет'!$A$17:$A$24,Доп.расчеты!$A205,'Как будет'!GL$17:GL$24)</f>
        <v>0</v>
      </c>
      <c r="GL205">
        <f>SUMIF('Как будет'!$A$17:$A$24,Доп.расчеты!$A205,'Как будет'!GM$17:GM$24)</f>
        <v>0</v>
      </c>
      <c r="GM205">
        <f>SUMIF('Как будет'!$A$17:$A$24,Доп.расчеты!$A205,'Как будет'!GN$17:GN$24)</f>
        <v>0</v>
      </c>
      <c r="GN205">
        <f>SUMIF('Как будет'!$A$17:$A$24,Доп.расчеты!$A205,'Как будет'!GO$17:GO$24)</f>
        <v>0</v>
      </c>
      <c r="GO205">
        <f>SUMIF('Как будет'!$A$17:$A$24,Доп.расчеты!$A205,'Как будет'!GP$17:GP$24)</f>
        <v>0</v>
      </c>
      <c r="GP205">
        <f>SUMIF('Как будет'!$A$17:$A$24,Доп.расчеты!$A205,'Как будет'!GQ$17:GQ$24)</f>
        <v>0</v>
      </c>
      <c r="GQ205">
        <f>SUMIF('Как будет'!$A$17:$A$24,Доп.расчеты!$A205,'Как будет'!GR$17:GR$24)</f>
        <v>0</v>
      </c>
      <c r="GR205">
        <f>SUMIF('Как будет'!$A$17:$A$24,Доп.расчеты!$A205,'Как будет'!GS$17:GS$24)</f>
        <v>0</v>
      </c>
      <c r="GS205">
        <f>SUMIF('Как будет'!$A$17:$A$24,Доп.расчеты!$A205,'Как будет'!GT$17:GT$24)</f>
        <v>0</v>
      </c>
      <c r="GT205">
        <f>SUMIF('Как будет'!$A$17:$A$24,Доп.расчеты!$A205,'Как будет'!GU$17:GU$24)</f>
        <v>0</v>
      </c>
    </row>
    <row r="206" spans="1:202">
      <c r="A206" s="238" t="s">
        <v>101</v>
      </c>
      <c r="B206">
        <f>SUMIF('Как будет'!$A$17:$A$24,Доп.расчеты!$A206,'Как будет'!C$17:C$24)</f>
        <v>1000</v>
      </c>
      <c r="C206">
        <f>SUMIF('Как будет'!$A$17:$A$24,Доп.расчеты!$A206,'Как будет'!D$17:D$24)</f>
        <v>0</v>
      </c>
      <c r="D206">
        <f>SUMIF('Как будет'!$A$17:$A$24,Доп.расчеты!$A206,'Как будет'!E$17:E$24)</f>
        <v>0</v>
      </c>
      <c r="E206">
        <f>SUMIF('Как будет'!$A$17:$A$24,Доп.расчеты!$A206,'Как будет'!F$17:F$24)</f>
        <v>0</v>
      </c>
      <c r="F206">
        <f>SUMIF('Как будет'!$A$17:$A$24,Доп.расчеты!$A206,'Как будет'!G$17:G$24)</f>
        <v>0</v>
      </c>
      <c r="G206">
        <f>SUMIF('Как будет'!$A$17:$A$24,Доп.расчеты!$A206,'Как будет'!H$17:H$24)</f>
        <v>0</v>
      </c>
      <c r="H206">
        <f>SUMIF('Как будет'!$A$17:$A$24,Доп.расчеты!$A206,'Как будет'!I$17:I$24)</f>
        <v>0</v>
      </c>
      <c r="I206">
        <f>SUMIF('Как будет'!$A$17:$A$24,Доп.расчеты!$A206,'Как будет'!J$17:J$24)</f>
        <v>0</v>
      </c>
      <c r="J206">
        <f>SUMIF('Как будет'!$A$17:$A$24,Доп.расчеты!$A206,'Как будет'!K$17:K$24)</f>
        <v>0</v>
      </c>
      <c r="K206">
        <f>SUMIF('Как будет'!$A$17:$A$24,Доп.расчеты!$A206,'Как будет'!L$17:L$24)</f>
        <v>0</v>
      </c>
      <c r="L206">
        <f>SUMIF('Как будет'!$A$17:$A$24,Доп.расчеты!$A206,'Как будет'!M$17:M$24)</f>
        <v>0</v>
      </c>
      <c r="M206">
        <f>SUMIF('Как будет'!$A$17:$A$24,Доп.расчеты!$A206,'Как будет'!N$17:N$24)</f>
        <v>0</v>
      </c>
      <c r="N206">
        <f>SUMIF('Как будет'!$A$17:$A$24,Доп.расчеты!$A206,'Как будет'!O$17:O$24)</f>
        <v>0</v>
      </c>
      <c r="O206">
        <f>SUMIF('Как будет'!$A$17:$A$24,Доп.расчеты!$A206,'Как будет'!P$17:P$24)</f>
        <v>0</v>
      </c>
      <c r="P206">
        <f>SUMIF('Как будет'!$A$17:$A$24,Доп.расчеты!$A206,'Как будет'!Q$17:Q$24)</f>
        <v>0</v>
      </c>
      <c r="Q206">
        <f>SUMIF('Как будет'!$A$17:$A$24,Доп.расчеты!$A206,'Как будет'!R$17:R$24)</f>
        <v>0</v>
      </c>
      <c r="R206">
        <f>SUMIF('Как будет'!$A$17:$A$24,Доп.расчеты!$A206,'Как будет'!S$17:S$24)</f>
        <v>0</v>
      </c>
      <c r="S206">
        <f>SUMIF('Как будет'!$A$17:$A$24,Доп.расчеты!$A206,'Как будет'!T$17:T$24)</f>
        <v>0</v>
      </c>
      <c r="T206">
        <f>SUMIF('Как будет'!$A$17:$A$24,Доп.расчеты!$A206,'Как будет'!U$17:U$24)</f>
        <v>0</v>
      </c>
      <c r="U206">
        <f>SUMIF('Как будет'!$A$17:$A$24,Доп.расчеты!$A206,'Как будет'!V$17:V$24)</f>
        <v>0</v>
      </c>
      <c r="V206">
        <f>SUMIF('Как будет'!$A$17:$A$24,Доп.расчеты!$A206,'Как будет'!W$17:W$24)</f>
        <v>0</v>
      </c>
      <c r="W206">
        <f>SUMIF('Как будет'!$A$17:$A$24,Доп.расчеты!$A206,'Как будет'!X$17:X$24)</f>
        <v>0</v>
      </c>
      <c r="X206">
        <f>SUMIF('Как будет'!$A$17:$A$24,Доп.расчеты!$A206,'Как будет'!Y$17:Y$24)</f>
        <v>0</v>
      </c>
      <c r="Y206">
        <f>SUMIF('Как будет'!$A$17:$A$24,Доп.расчеты!$A206,'Как будет'!Z$17:Z$24)</f>
        <v>0</v>
      </c>
      <c r="Z206">
        <f>SUMIF('Как будет'!$A$17:$A$24,Доп.расчеты!$A206,'Как будет'!AA$17:AA$24)</f>
        <v>0</v>
      </c>
      <c r="AA206">
        <f>SUMIF('Как будет'!$A$17:$A$24,Доп.расчеты!$A206,'Как будет'!AB$17:AB$24)</f>
        <v>0</v>
      </c>
      <c r="AB206">
        <f>SUMIF('Как будет'!$A$17:$A$24,Доп.расчеты!$A206,'Как будет'!AC$17:AC$24)</f>
        <v>0</v>
      </c>
      <c r="AC206">
        <f>SUMIF('Как будет'!$A$17:$A$24,Доп.расчеты!$A206,'Как будет'!AD$17:AD$24)</f>
        <v>0</v>
      </c>
      <c r="AD206">
        <f>SUMIF('Как будет'!$A$17:$A$24,Доп.расчеты!$A206,'Как будет'!AE$17:AE$24)</f>
        <v>0</v>
      </c>
      <c r="AE206">
        <f>SUMIF('Как будет'!$A$17:$A$24,Доп.расчеты!$A206,'Как будет'!AF$17:AF$24)</f>
        <v>0</v>
      </c>
      <c r="AF206">
        <f>SUMIF('Как будет'!$A$17:$A$24,Доп.расчеты!$A206,'Как будет'!AG$17:AG$24)</f>
        <v>0</v>
      </c>
      <c r="AG206">
        <f>SUMIF('Как будет'!$A$17:$A$24,Доп.расчеты!$A206,'Как будет'!AH$17:AH$24)</f>
        <v>0</v>
      </c>
      <c r="AH206">
        <f>SUMIF('Как будет'!$A$17:$A$24,Доп.расчеты!$A206,'Как будет'!AI$17:AI$24)</f>
        <v>0</v>
      </c>
      <c r="AI206">
        <f>SUMIF('Как будет'!$A$17:$A$24,Доп.расчеты!$A206,'Как будет'!AJ$17:AJ$24)</f>
        <v>0</v>
      </c>
      <c r="AJ206">
        <f>SUMIF('Как будет'!$A$17:$A$24,Доп.расчеты!$A206,'Как будет'!AK$17:AK$24)</f>
        <v>0</v>
      </c>
      <c r="AK206">
        <f>SUMIF('Как будет'!$A$17:$A$24,Доп.расчеты!$A206,'Как будет'!AL$17:AL$24)</f>
        <v>0</v>
      </c>
      <c r="AL206">
        <f>SUMIF('Как будет'!$A$17:$A$24,Доп.расчеты!$A206,'Как будет'!AM$17:AM$24)</f>
        <v>0</v>
      </c>
      <c r="AM206">
        <f>SUMIF('Как будет'!$A$17:$A$24,Доп.расчеты!$A206,'Как будет'!AN$17:AN$24)</f>
        <v>0</v>
      </c>
      <c r="AN206">
        <f>SUMIF('Как будет'!$A$17:$A$24,Доп.расчеты!$A206,'Как будет'!AO$17:AO$24)</f>
        <v>0</v>
      </c>
      <c r="AO206">
        <f>SUMIF('Как будет'!$A$17:$A$24,Доп.расчеты!$A206,'Как будет'!AP$17:AP$24)</f>
        <v>0</v>
      </c>
      <c r="AP206">
        <f>SUMIF('Как будет'!$A$17:$A$24,Доп.расчеты!$A206,'Как будет'!AQ$17:AQ$24)</f>
        <v>0</v>
      </c>
      <c r="AQ206">
        <f>SUMIF('Как будет'!$A$17:$A$24,Доп.расчеты!$A206,'Как будет'!AR$17:AR$24)</f>
        <v>0</v>
      </c>
      <c r="AR206">
        <f>SUMIF('Как будет'!$A$17:$A$24,Доп.расчеты!$A206,'Как будет'!AS$17:AS$24)</f>
        <v>0</v>
      </c>
      <c r="AS206">
        <f>SUMIF('Как будет'!$A$17:$A$24,Доп.расчеты!$A206,'Как будет'!AT$17:AT$24)</f>
        <v>0</v>
      </c>
      <c r="AT206">
        <f>SUMIF('Как будет'!$A$17:$A$24,Доп.расчеты!$A206,'Как будет'!AU$17:AU$24)</f>
        <v>0</v>
      </c>
      <c r="AU206">
        <f>SUMIF('Как будет'!$A$17:$A$24,Доп.расчеты!$A206,'Как будет'!AV$17:AV$24)</f>
        <v>0</v>
      </c>
      <c r="AV206">
        <f>SUMIF('Как будет'!$A$17:$A$24,Доп.расчеты!$A206,'Как будет'!AW$17:AW$24)</f>
        <v>0</v>
      </c>
      <c r="AW206">
        <f>SUMIF('Как будет'!$A$17:$A$24,Доп.расчеты!$A206,'Как будет'!AX$17:AX$24)</f>
        <v>0</v>
      </c>
      <c r="AX206">
        <f>SUMIF('Как будет'!$A$17:$A$24,Доп.расчеты!$A206,'Как будет'!AY$17:AY$24)</f>
        <v>0</v>
      </c>
      <c r="AY206">
        <f>SUMIF('Как будет'!$A$17:$A$24,Доп.расчеты!$A206,'Как будет'!AZ$17:AZ$24)</f>
        <v>0</v>
      </c>
      <c r="AZ206">
        <f>SUMIF('Как будет'!$A$17:$A$24,Доп.расчеты!$A206,'Как будет'!BA$17:BA$24)</f>
        <v>0</v>
      </c>
      <c r="BA206">
        <f>SUMIF('Как будет'!$A$17:$A$24,Доп.расчеты!$A206,'Как будет'!BB$17:BB$24)</f>
        <v>0</v>
      </c>
      <c r="BB206">
        <f>SUMIF('Как будет'!$A$17:$A$24,Доп.расчеты!$A206,'Как будет'!BC$17:BC$24)</f>
        <v>0</v>
      </c>
      <c r="BC206">
        <f>SUMIF('Как будет'!$A$17:$A$24,Доп.расчеты!$A206,'Как будет'!BD$17:BD$24)</f>
        <v>0</v>
      </c>
      <c r="BD206">
        <f>SUMIF('Как будет'!$A$17:$A$24,Доп.расчеты!$A206,'Как будет'!BE$17:BE$24)</f>
        <v>0</v>
      </c>
      <c r="BE206">
        <f>SUMIF('Как будет'!$A$17:$A$24,Доп.расчеты!$A206,'Как будет'!BF$17:BF$24)</f>
        <v>0</v>
      </c>
      <c r="BF206">
        <f>SUMIF('Как будет'!$A$17:$A$24,Доп.расчеты!$A206,'Как будет'!BG$17:BG$24)</f>
        <v>0</v>
      </c>
      <c r="BG206">
        <f>SUMIF('Как будет'!$A$17:$A$24,Доп.расчеты!$A206,'Как будет'!BH$17:BH$24)</f>
        <v>0</v>
      </c>
      <c r="BH206">
        <f>SUMIF('Как будет'!$A$17:$A$24,Доп.расчеты!$A206,'Как будет'!BI$17:BI$24)</f>
        <v>0</v>
      </c>
      <c r="BI206">
        <f>SUMIF('Как будет'!$A$17:$A$24,Доп.расчеты!$A206,'Как будет'!BJ$17:BJ$24)</f>
        <v>0</v>
      </c>
      <c r="BJ206">
        <f>SUMIF('Как будет'!$A$17:$A$24,Доп.расчеты!$A206,'Как будет'!BK$17:BK$24)</f>
        <v>0</v>
      </c>
      <c r="BK206">
        <f>SUMIF('Как будет'!$A$17:$A$24,Доп.расчеты!$A206,'Как будет'!BL$17:BL$24)</f>
        <v>0</v>
      </c>
      <c r="BL206">
        <f>SUMIF('Как будет'!$A$17:$A$24,Доп.расчеты!$A206,'Как будет'!BM$17:BM$24)</f>
        <v>0</v>
      </c>
      <c r="BM206">
        <f>SUMIF('Как будет'!$A$17:$A$24,Доп.расчеты!$A206,'Как будет'!BN$17:BN$24)</f>
        <v>0</v>
      </c>
      <c r="BN206">
        <f>SUMIF('Как будет'!$A$17:$A$24,Доп.расчеты!$A206,'Как будет'!BO$17:BO$24)</f>
        <v>0</v>
      </c>
      <c r="BO206">
        <f>SUMIF('Как будет'!$A$17:$A$24,Доп.расчеты!$A206,'Как будет'!BP$17:BP$24)</f>
        <v>0</v>
      </c>
      <c r="BP206">
        <f>SUMIF('Как будет'!$A$17:$A$24,Доп.расчеты!$A206,'Как будет'!BQ$17:BQ$24)</f>
        <v>0</v>
      </c>
      <c r="BQ206">
        <f>SUMIF('Как будет'!$A$17:$A$24,Доп.расчеты!$A206,'Как будет'!BR$17:BR$24)</f>
        <v>0</v>
      </c>
      <c r="BR206">
        <f>SUMIF('Как будет'!$A$17:$A$24,Доп.расчеты!$A206,'Как будет'!BS$17:BS$24)</f>
        <v>0</v>
      </c>
      <c r="BS206">
        <f>SUMIF('Как будет'!$A$17:$A$24,Доп.расчеты!$A206,'Как будет'!BT$17:BT$24)</f>
        <v>0</v>
      </c>
      <c r="BT206">
        <f>SUMIF('Как будет'!$A$17:$A$24,Доп.расчеты!$A206,'Как будет'!BU$17:BU$24)</f>
        <v>0</v>
      </c>
      <c r="BU206">
        <f>SUMIF('Как будет'!$A$17:$A$24,Доп.расчеты!$A206,'Как будет'!BV$17:BV$24)</f>
        <v>0</v>
      </c>
      <c r="BV206">
        <f>SUMIF('Как будет'!$A$17:$A$24,Доп.расчеты!$A206,'Как будет'!BW$17:BW$24)</f>
        <v>0</v>
      </c>
      <c r="BW206">
        <f>SUMIF('Как будет'!$A$17:$A$24,Доп.расчеты!$A206,'Как будет'!BX$17:BX$24)</f>
        <v>0</v>
      </c>
      <c r="BX206">
        <f>SUMIF('Как будет'!$A$17:$A$24,Доп.расчеты!$A206,'Как будет'!BY$17:BY$24)</f>
        <v>0</v>
      </c>
      <c r="BY206">
        <f>SUMIF('Как будет'!$A$17:$A$24,Доп.расчеты!$A206,'Как будет'!BZ$17:BZ$24)</f>
        <v>0</v>
      </c>
      <c r="BZ206">
        <f>SUMIF('Как будет'!$A$17:$A$24,Доп.расчеты!$A206,'Как будет'!CA$17:CA$24)</f>
        <v>0</v>
      </c>
      <c r="CA206">
        <f>SUMIF('Как будет'!$A$17:$A$24,Доп.расчеты!$A206,'Как будет'!CB$17:CB$24)</f>
        <v>0</v>
      </c>
      <c r="CB206">
        <f>SUMIF('Как будет'!$A$17:$A$24,Доп.расчеты!$A206,'Как будет'!CC$17:CC$24)</f>
        <v>0</v>
      </c>
      <c r="CC206">
        <f>SUMIF('Как будет'!$A$17:$A$24,Доп.расчеты!$A206,'Как будет'!CD$17:CD$24)</f>
        <v>0</v>
      </c>
      <c r="CD206">
        <f>SUMIF('Как будет'!$A$17:$A$24,Доп.расчеты!$A206,'Как будет'!CE$17:CE$24)</f>
        <v>0</v>
      </c>
      <c r="CE206">
        <f>SUMIF('Как будет'!$A$17:$A$24,Доп.расчеты!$A206,'Как будет'!CF$17:CF$24)</f>
        <v>0</v>
      </c>
      <c r="CF206">
        <f>SUMIF('Как будет'!$A$17:$A$24,Доп.расчеты!$A206,'Как будет'!CG$17:CG$24)</f>
        <v>0</v>
      </c>
      <c r="CG206">
        <f>SUMIF('Как будет'!$A$17:$A$24,Доп.расчеты!$A206,'Как будет'!CH$17:CH$24)</f>
        <v>0</v>
      </c>
      <c r="CH206">
        <f>SUMIF('Как будет'!$A$17:$A$24,Доп.расчеты!$A206,'Как будет'!CI$17:CI$24)</f>
        <v>0</v>
      </c>
      <c r="CI206">
        <f>SUMIF('Как будет'!$A$17:$A$24,Доп.расчеты!$A206,'Как будет'!CJ$17:CJ$24)</f>
        <v>0</v>
      </c>
      <c r="CJ206">
        <f>SUMIF('Как будет'!$A$17:$A$24,Доп.расчеты!$A206,'Как будет'!CK$17:CK$24)</f>
        <v>0</v>
      </c>
      <c r="CK206">
        <f>SUMIF('Как будет'!$A$17:$A$24,Доп.расчеты!$A206,'Как будет'!CL$17:CL$24)</f>
        <v>0</v>
      </c>
      <c r="CL206">
        <f>SUMIF('Как будет'!$A$17:$A$24,Доп.расчеты!$A206,'Как будет'!CM$17:CM$24)</f>
        <v>0</v>
      </c>
      <c r="CM206">
        <f>SUMIF('Как будет'!$A$17:$A$24,Доп.расчеты!$A206,'Как будет'!CN$17:CN$24)</f>
        <v>0</v>
      </c>
      <c r="CN206">
        <f>SUMIF('Как будет'!$A$17:$A$24,Доп.расчеты!$A206,'Как будет'!CO$17:CO$24)</f>
        <v>0</v>
      </c>
      <c r="CO206">
        <f>SUMIF('Как будет'!$A$17:$A$24,Доп.расчеты!$A206,'Как будет'!CP$17:CP$24)</f>
        <v>0</v>
      </c>
      <c r="CP206">
        <f>SUMIF('Как будет'!$A$17:$A$24,Доп.расчеты!$A206,'Как будет'!CQ$17:CQ$24)</f>
        <v>0</v>
      </c>
      <c r="CQ206">
        <f>SUMIF('Как будет'!$A$17:$A$24,Доп.расчеты!$A206,'Как будет'!CR$17:CR$24)</f>
        <v>0</v>
      </c>
      <c r="CR206">
        <f>SUMIF('Как будет'!$A$17:$A$24,Доп.расчеты!$A206,'Как будет'!CS$17:CS$24)</f>
        <v>0</v>
      </c>
      <c r="CS206">
        <f>SUMIF('Как будет'!$A$17:$A$24,Доп.расчеты!$A206,'Как будет'!CT$17:CT$24)</f>
        <v>0</v>
      </c>
      <c r="CT206">
        <f>SUMIF('Как будет'!$A$17:$A$24,Доп.расчеты!$A206,'Как будет'!CU$17:CU$24)</f>
        <v>0</v>
      </c>
      <c r="CU206">
        <f>SUMIF('Как будет'!$A$17:$A$24,Доп.расчеты!$A206,'Как будет'!CV$17:CV$24)</f>
        <v>0</v>
      </c>
      <c r="CV206">
        <f>SUMIF('Как будет'!$A$17:$A$24,Доп.расчеты!$A206,'Как будет'!CW$17:CW$24)</f>
        <v>0</v>
      </c>
      <c r="CW206">
        <f>SUMIF('Как будет'!$A$17:$A$24,Доп.расчеты!$A206,'Как будет'!CX$17:CX$24)</f>
        <v>0</v>
      </c>
      <c r="CX206">
        <f>SUMIF('Как будет'!$A$17:$A$24,Доп.расчеты!$A206,'Как будет'!CY$17:CY$24)</f>
        <v>0</v>
      </c>
      <c r="CY206">
        <f>SUMIF('Как будет'!$A$17:$A$24,Доп.расчеты!$A206,'Как будет'!CZ$17:CZ$24)</f>
        <v>0</v>
      </c>
      <c r="CZ206">
        <f>SUMIF('Как будет'!$A$17:$A$24,Доп.расчеты!$A206,'Как будет'!DA$17:DA$24)</f>
        <v>0</v>
      </c>
      <c r="DA206">
        <f>SUMIF('Как будет'!$A$17:$A$24,Доп.расчеты!$A206,'Как будет'!DB$17:DB$24)</f>
        <v>0</v>
      </c>
      <c r="DB206">
        <f>SUMIF('Как будет'!$A$17:$A$24,Доп.расчеты!$A206,'Как будет'!DC$17:DC$24)</f>
        <v>0</v>
      </c>
      <c r="DC206">
        <f>SUMIF('Как будет'!$A$17:$A$24,Доп.расчеты!$A206,'Как будет'!DD$17:DD$24)</f>
        <v>0</v>
      </c>
      <c r="DD206">
        <f>SUMIF('Как будет'!$A$17:$A$24,Доп.расчеты!$A206,'Как будет'!DE$17:DE$24)</f>
        <v>0</v>
      </c>
      <c r="DE206">
        <f>SUMIF('Как будет'!$A$17:$A$24,Доп.расчеты!$A206,'Как будет'!DF$17:DF$24)</f>
        <v>0</v>
      </c>
      <c r="DF206">
        <f>SUMIF('Как будет'!$A$17:$A$24,Доп.расчеты!$A206,'Как будет'!DG$17:DG$24)</f>
        <v>0</v>
      </c>
      <c r="DG206">
        <f>SUMIF('Как будет'!$A$17:$A$24,Доп.расчеты!$A206,'Как будет'!DH$17:DH$24)</f>
        <v>0</v>
      </c>
      <c r="DH206">
        <f>SUMIF('Как будет'!$A$17:$A$24,Доп.расчеты!$A206,'Как будет'!DI$17:DI$24)</f>
        <v>0</v>
      </c>
      <c r="DI206">
        <f>SUMIF('Как будет'!$A$17:$A$24,Доп.расчеты!$A206,'Как будет'!DJ$17:DJ$24)</f>
        <v>0</v>
      </c>
      <c r="DJ206">
        <f>SUMIF('Как будет'!$A$17:$A$24,Доп.расчеты!$A206,'Как будет'!DK$17:DK$24)</f>
        <v>0</v>
      </c>
      <c r="DK206">
        <f>SUMIF('Как будет'!$A$17:$A$24,Доп.расчеты!$A206,'Как будет'!DL$17:DL$24)</f>
        <v>0</v>
      </c>
      <c r="DL206">
        <f>SUMIF('Как будет'!$A$17:$A$24,Доп.расчеты!$A206,'Как будет'!DM$17:DM$24)</f>
        <v>0</v>
      </c>
      <c r="DM206">
        <f>SUMIF('Как будет'!$A$17:$A$24,Доп.расчеты!$A206,'Как будет'!DN$17:DN$24)</f>
        <v>0</v>
      </c>
      <c r="DN206">
        <f>SUMIF('Как будет'!$A$17:$A$24,Доп.расчеты!$A206,'Как будет'!DO$17:DO$24)</f>
        <v>0</v>
      </c>
      <c r="DO206">
        <f>SUMIF('Как будет'!$A$17:$A$24,Доп.расчеты!$A206,'Как будет'!DP$17:DP$24)</f>
        <v>0</v>
      </c>
      <c r="DP206">
        <f>SUMIF('Как будет'!$A$17:$A$24,Доп.расчеты!$A206,'Как будет'!DQ$17:DQ$24)</f>
        <v>0</v>
      </c>
      <c r="DQ206">
        <f>SUMIF('Как будет'!$A$17:$A$24,Доп.расчеты!$A206,'Как будет'!DR$17:DR$24)</f>
        <v>0</v>
      </c>
      <c r="DR206">
        <f>SUMIF('Как будет'!$A$17:$A$24,Доп.расчеты!$A206,'Как будет'!DS$17:DS$24)</f>
        <v>0</v>
      </c>
      <c r="DS206">
        <f>SUMIF('Как будет'!$A$17:$A$24,Доп.расчеты!$A206,'Как будет'!DT$17:DT$24)</f>
        <v>0</v>
      </c>
      <c r="DT206">
        <f>SUMIF('Как будет'!$A$17:$A$24,Доп.расчеты!$A206,'Как будет'!DU$17:DU$24)</f>
        <v>0</v>
      </c>
      <c r="DU206">
        <f>SUMIF('Как будет'!$A$17:$A$24,Доп.расчеты!$A206,'Как будет'!DV$17:DV$24)</f>
        <v>0</v>
      </c>
      <c r="DV206">
        <f>SUMIF('Как будет'!$A$17:$A$24,Доп.расчеты!$A206,'Как будет'!DW$17:DW$24)</f>
        <v>0</v>
      </c>
      <c r="DW206">
        <f>SUMIF('Как будет'!$A$17:$A$24,Доп.расчеты!$A206,'Как будет'!DX$17:DX$24)</f>
        <v>0</v>
      </c>
      <c r="DX206">
        <f>SUMIF('Как будет'!$A$17:$A$24,Доп.расчеты!$A206,'Как будет'!DY$17:DY$24)</f>
        <v>0</v>
      </c>
      <c r="DY206">
        <f>SUMIF('Как будет'!$A$17:$A$24,Доп.расчеты!$A206,'Как будет'!DZ$17:DZ$24)</f>
        <v>0</v>
      </c>
      <c r="DZ206">
        <f>SUMIF('Как будет'!$A$17:$A$24,Доп.расчеты!$A206,'Как будет'!EA$17:EA$24)</f>
        <v>0</v>
      </c>
      <c r="EA206">
        <f>SUMIF('Как будет'!$A$17:$A$24,Доп.расчеты!$A206,'Как будет'!EB$17:EB$24)</f>
        <v>0</v>
      </c>
      <c r="EB206">
        <f>SUMIF('Как будет'!$A$17:$A$24,Доп.расчеты!$A206,'Как будет'!EC$17:EC$24)</f>
        <v>0</v>
      </c>
      <c r="EC206">
        <f>SUMIF('Как будет'!$A$17:$A$24,Доп.расчеты!$A206,'Как будет'!ED$17:ED$24)</f>
        <v>0</v>
      </c>
      <c r="ED206">
        <f>SUMIF('Как будет'!$A$17:$A$24,Доп.расчеты!$A206,'Как будет'!EE$17:EE$24)</f>
        <v>0</v>
      </c>
      <c r="EE206">
        <f>SUMIF('Как будет'!$A$17:$A$24,Доп.расчеты!$A206,'Как будет'!EF$17:EF$24)</f>
        <v>0</v>
      </c>
      <c r="EF206">
        <f>SUMIF('Как будет'!$A$17:$A$24,Доп.расчеты!$A206,'Как будет'!EG$17:EG$24)</f>
        <v>0</v>
      </c>
      <c r="EG206">
        <f>SUMIF('Как будет'!$A$17:$A$24,Доп.расчеты!$A206,'Как будет'!EH$17:EH$24)</f>
        <v>0</v>
      </c>
      <c r="EH206">
        <f>SUMIF('Как будет'!$A$17:$A$24,Доп.расчеты!$A206,'Как будет'!EI$17:EI$24)</f>
        <v>0</v>
      </c>
      <c r="EI206">
        <f>SUMIF('Как будет'!$A$17:$A$24,Доп.расчеты!$A206,'Как будет'!EJ$17:EJ$24)</f>
        <v>0</v>
      </c>
      <c r="EJ206">
        <f>SUMIF('Как будет'!$A$17:$A$24,Доп.расчеты!$A206,'Как будет'!EK$17:EK$24)</f>
        <v>0</v>
      </c>
      <c r="EK206">
        <f>SUMIF('Как будет'!$A$17:$A$24,Доп.расчеты!$A206,'Как будет'!EL$17:EL$24)</f>
        <v>0</v>
      </c>
      <c r="EL206">
        <f>SUMIF('Как будет'!$A$17:$A$24,Доп.расчеты!$A206,'Как будет'!EM$17:EM$24)</f>
        <v>0</v>
      </c>
      <c r="EM206">
        <f>SUMIF('Как будет'!$A$17:$A$24,Доп.расчеты!$A206,'Как будет'!EN$17:EN$24)</f>
        <v>0</v>
      </c>
      <c r="EN206">
        <f>SUMIF('Как будет'!$A$17:$A$24,Доп.расчеты!$A206,'Как будет'!EO$17:EO$24)</f>
        <v>0</v>
      </c>
      <c r="EO206">
        <f>SUMIF('Как будет'!$A$17:$A$24,Доп.расчеты!$A206,'Как будет'!EP$17:EP$24)</f>
        <v>0</v>
      </c>
      <c r="EP206">
        <f>SUMIF('Как будет'!$A$17:$A$24,Доп.расчеты!$A206,'Как будет'!EQ$17:EQ$24)</f>
        <v>0</v>
      </c>
      <c r="EQ206">
        <f>SUMIF('Как будет'!$A$17:$A$24,Доп.расчеты!$A206,'Как будет'!ER$17:ER$24)</f>
        <v>0</v>
      </c>
      <c r="ER206">
        <f>SUMIF('Как будет'!$A$17:$A$24,Доп.расчеты!$A206,'Как будет'!ES$17:ES$24)</f>
        <v>0</v>
      </c>
      <c r="ES206">
        <f>SUMIF('Как будет'!$A$17:$A$24,Доп.расчеты!$A206,'Как будет'!ET$17:ET$24)</f>
        <v>0</v>
      </c>
      <c r="ET206">
        <f>SUMIF('Как будет'!$A$17:$A$24,Доп.расчеты!$A206,'Как будет'!EU$17:EU$24)</f>
        <v>0</v>
      </c>
      <c r="EU206">
        <f>SUMIF('Как будет'!$A$17:$A$24,Доп.расчеты!$A206,'Как будет'!EV$17:EV$24)</f>
        <v>0</v>
      </c>
      <c r="EV206">
        <f>SUMIF('Как будет'!$A$17:$A$24,Доп.расчеты!$A206,'Как будет'!EW$17:EW$24)</f>
        <v>0</v>
      </c>
      <c r="EW206">
        <f>SUMIF('Как будет'!$A$17:$A$24,Доп.расчеты!$A206,'Как будет'!EX$17:EX$24)</f>
        <v>0</v>
      </c>
      <c r="EX206">
        <f>SUMIF('Как будет'!$A$17:$A$24,Доп.расчеты!$A206,'Как будет'!EY$17:EY$24)</f>
        <v>0</v>
      </c>
      <c r="EY206">
        <f>SUMIF('Как будет'!$A$17:$A$24,Доп.расчеты!$A206,'Как будет'!EZ$17:EZ$24)</f>
        <v>0</v>
      </c>
      <c r="EZ206">
        <f>SUMIF('Как будет'!$A$17:$A$24,Доп.расчеты!$A206,'Как будет'!FA$17:FA$24)</f>
        <v>0</v>
      </c>
      <c r="FA206">
        <f>SUMIF('Как будет'!$A$17:$A$24,Доп.расчеты!$A206,'Как будет'!FB$17:FB$24)</f>
        <v>0</v>
      </c>
      <c r="FB206">
        <f>SUMIF('Как будет'!$A$17:$A$24,Доп.расчеты!$A206,'Как будет'!FC$17:FC$24)</f>
        <v>0</v>
      </c>
      <c r="FC206">
        <f>SUMIF('Как будет'!$A$17:$A$24,Доп.расчеты!$A206,'Как будет'!FD$17:FD$24)</f>
        <v>0</v>
      </c>
      <c r="FD206">
        <f>SUMIF('Как будет'!$A$17:$A$24,Доп.расчеты!$A206,'Как будет'!FE$17:FE$24)</f>
        <v>0</v>
      </c>
      <c r="FE206">
        <f>SUMIF('Как будет'!$A$17:$A$24,Доп.расчеты!$A206,'Как будет'!FF$17:FF$24)</f>
        <v>0</v>
      </c>
      <c r="FF206">
        <f>SUMIF('Как будет'!$A$17:$A$24,Доп.расчеты!$A206,'Как будет'!FG$17:FG$24)</f>
        <v>0</v>
      </c>
      <c r="FG206">
        <f>SUMIF('Как будет'!$A$17:$A$24,Доп.расчеты!$A206,'Как будет'!FH$17:FH$24)</f>
        <v>0</v>
      </c>
      <c r="FH206">
        <f>SUMIF('Как будет'!$A$17:$A$24,Доп.расчеты!$A206,'Как будет'!FI$17:FI$24)</f>
        <v>0</v>
      </c>
      <c r="FI206">
        <f>SUMIF('Как будет'!$A$17:$A$24,Доп.расчеты!$A206,'Как будет'!FJ$17:FJ$24)</f>
        <v>0</v>
      </c>
      <c r="FJ206">
        <f>SUMIF('Как будет'!$A$17:$A$24,Доп.расчеты!$A206,'Как будет'!FK$17:FK$24)</f>
        <v>0</v>
      </c>
      <c r="FK206">
        <f>SUMIF('Как будет'!$A$17:$A$24,Доп.расчеты!$A206,'Как будет'!FL$17:FL$24)</f>
        <v>0</v>
      </c>
      <c r="FL206">
        <f>SUMIF('Как будет'!$A$17:$A$24,Доп.расчеты!$A206,'Как будет'!FM$17:FM$24)</f>
        <v>0</v>
      </c>
      <c r="FM206">
        <f>SUMIF('Как будет'!$A$17:$A$24,Доп.расчеты!$A206,'Как будет'!FN$17:FN$24)</f>
        <v>0</v>
      </c>
      <c r="FN206">
        <f>SUMIF('Как будет'!$A$17:$A$24,Доп.расчеты!$A206,'Как будет'!FO$17:FO$24)</f>
        <v>0</v>
      </c>
      <c r="FO206">
        <f>SUMIF('Как будет'!$A$17:$A$24,Доп.расчеты!$A206,'Как будет'!FP$17:FP$24)</f>
        <v>0</v>
      </c>
      <c r="FP206">
        <f>SUMIF('Как будет'!$A$17:$A$24,Доп.расчеты!$A206,'Как будет'!FQ$17:FQ$24)</f>
        <v>0</v>
      </c>
      <c r="FQ206">
        <f>SUMIF('Как будет'!$A$17:$A$24,Доп.расчеты!$A206,'Как будет'!FR$17:FR$24)</f>
        <v>0</v>
      </c>
      <c r="FR206">
        <f>SUMIF('Как будет'!$A$17:$A$24,Доп.расчеты!$A206,'Как будет'!FS$17:FS$24)</f>
        <v>0</v>
      </c>
      <c r="FS206">
        <f>SUMIF('Как будет'!$A$17:$A$24,Доп.расчеты!$A206,'Как будет'!FT$17:FT$24)</f>
        <v>0</v>
      </c>
      <c r="FT206">
        <f>SUMIF('Как будет'!$A$17:$A$24,Доп.расчеты!$A206,'Как будет'!FU$17:FU$24)</f>
        <v>0</v>
      </c>
      <c r="FU206">
        <f>SUMIF('Как будет'!$A$17:$A$24,Доп.расчеты!$A206,'Как будет'!FV$17:FV$24)</f>
        <v>0</v>
      </c>
      <c r="FV206">
        <f>SUMIF('Как будет'!$A$17:$A$24,Доп.расчеты!$A206,'Как будет'!FW$17:FW$24)</f>
        <v>0</v>
      </c>
      <c r="FW206">
        <f>SUMIF('Как будет'!$A$17:$A$24,Доп.расчеты!$A206,'Как будет'!FX$17:FX$24)</f>
        <v>0</v>
      </c>
      <c r="FX206">
        <f>SUMIF('Как будет'!$A$17:$A$24,Доп.расчеты!$A206,'Как будет'!FY$17:FY$24)</f>
        <v>0</v>
      </c>
      <c r="FY206">
        <f>SUMIF('Как будет'!$A$17:$A$24,Доп.расчеты!$A206,'Как будет'!FZ$17:FZ$24)</f>
        <v>0</v>
      </c>
      <c r="FZ206">
        <f>SUMIF('Как будет'!$A$17:$A$24,Доп.расчеты!$A206,'Как будет'!GA$17:GA$24)</f>
        <v>0</v>
      </c>
      <c r="GA206">
        <f>SUMIF('Как будет'!$A$17:$A$24,Доп.расчеты!$A206,'Как будет'!GB$17:GB$24)</f>
        <v>0</v>
      </c>
      <c r="GB206">
        <f>SUMIF('Как будет'!$A$17:$A$24,Доп.расчеты!$A206,'Как будет'!GC$17:GC$24)</f>
        <v>0</v>
      </c>
      <c r="GC206">
        <f>SUMIF('Как будет'!$A$17:$A$24,Доп.расчеты!$A206,'Как будет'!GD$17:GD$24)</f>
        <v>0</v>
      </c>
      <c r="GD206">
        <f>SUMIF('Как будет'!$A$17:$A$24,Доп.расчеты!$A206,'Как будет'!GE$17:GE$24)</f>
        <v>0</v>
      </c>
      <c r="GE206">
        <f>SUMIF('Как будет'!$A$17:$A$24,Доп.расчеты!$A206,'Как будет'!GF$17:GF$24)</f>
        <v>0</v>
      </c>
      <c r="GF206">
        <f>SUMIF('Как будет'!$A$17:$A$24,Доп.расчеты!$A206,'Как будет'!GG$17:GG$24)</f>
        <v>0</v>
      </c>
      <c r="GG206">
        <f>SUMIF('Как будет'!$A$17:$A$24,Доп.расчеты!$A206,'Как будет'!GH$17:GH$24)</f>
        <v>0</v>
      </c>
      <c r="GH206">
        <f>SUMIF('Как будет'!$A$17:$A$24,Доп.расчеты!$A206,'Как будет'!GI$17:GI$24)</f>
        <v>0</v>
      </c>
      <c r="GI206">
        <f>SUMIF('Как будет'!$A$17:$A$24,Доп.расчеты!$A206,'Как будет'!GJ$17:GJ$24)</f>
        <v>0</v>
      </c>
      <c r="GJ206">
        <f>SUMIF('Как будет'!$A$17:$A$24,Доп.расчеты!$A206,'Как будет'!GK$17:GK$24)</f>
        <v>0</v>
      </c>
      <c r="GK206">
        <f>SUMIF('Как будет'!$A$17:$A$24,Доп.расчеты!$A206,'Как будет'!GL$17:GL$24)</f>
        <v>0</v>
      </c>
      <c r="GL206">
        <f>SUMIF('Как будет'!$A$17:$A$24,Доп.расчеты!$A206,'Как будет'!GM$17:GM$24)</f>
        <v>0</v>
      </c>
      <c r="GM206">
        <f>SUMIF('Как будет'!$A$17:$A$24,Доп.расчеты!$A206,'Как будет'!GN$17:GN$24)</f>
        <v>0</v>
      </c>
      <c r="GN206">
        <f>SUMIF('Как будет'!$A$17:$A$24,Доп.расчеты!$A206,'Как будет'!GO$17:GO$24)</f>
        <v>0</v>
      </c>
      <c r="GO206">
        <f>SUMIF('Как будет'!$A$17:$A$24,Доп.расчеты!$A206,'Как будет'!GP$17:GP$24)</f>
        <v>0</v>
      </c>
      <c r="GP206">
        <f>SUMIF('Как будет'!$A$17:$A$24,Доп.расчеты!$A206,'Как будет'!GQ$17:GQ$24)</f>
        <v>0</v>
      </c>
      <c r="GQ206">
        <f>SUMIF('Как будет'!$A$17:$A$24,Доп.расчеты!$A206,'Как будет'!GR$17:GR$24)</f>
        <v>0</v>
      </c>
      <c r="GR206">
        <f>SUMIF('Как будет'!$A$17:$A$24,Доп.расчеты!$A206,'Как будет'!GS$17:GS$24)</f>
        <v>0</v>
      </c>
      <c r="GS206">
        <f>SUMIF('Как будет'!$A$17:$A$24,Доп.расчеты!$A206,'Как будет'!GT$17:GT$24)</f>
        <v>0</v>
      </c>
      <c r="GT206">
        <f>SUMIF('Как будет'!$A$17:$A$24,Доп.расчеты!$A206,'Как будет'!GU$17:GU$24)</f>
        <v>0</v>
      </c>
    </row>
    <row r="207" spans="1:202">
      <c r="A207" s="238" t="s">
        <v>102</v>
      </c>
      <c r="B207">
        <f>SUMIF('Как будет'!$A$17:$A$24,Доп.расчеты!$A207,'Как будет'!C$17:C$24)</f>
        <v>0</v>
      </c>
      <c r="C207">
        <f>SUMIF('Как будет'!$A$17:$A$24,Доп.расчеты!$A207,'Как будет'!D$17:D$24)</f>
        <v>0</v>
      </c>
      <c r="D207">
        <f>SUMIF('Как будет'!$A$17:$A$24,Доп.расчеты!$A207,'Как будет'!E$17:E$24)</f>
        <v>0</v>
      </c>
      <c r="E207">
        <f>SUMIF('Как будет'!$A$17:$A$24,Доп.расчеты!$A207,'Как будет'!F$17:F$24)</f>
        <v>0</v>
      </c>
      <c r="F207">
        <f>SUMIF('Как будет'!$A$17:$A$24,Доп.расчеты!$A207,'Как будет'!G$17:G$24)</f>
        <v>0</v>
      </c>
      <c r="G207">
        <f>SUMIF('Как будет'!$A$17:$A$24,Доп.расчеты!$A207,'Как будет'!H$17:H$24)</f>
        <v>0</v>
      </c>
      <c r="H207">
        <f>SUMIF('Как будет'!$A$17:$A$24,Доп.расчеты!$A207,'Как будет'!I$17:I$24)</f>
        <v>0</v>
      </c>
      <c r="I207">
        <f>SUMIF('Как будет'!$A$17:$A$24,Доп.расчеты!$A207,'Как будет'!J$17:J$24)</f>
        <v>0</v>
      </c>
      <c r="J207">
        <f>SUMIF('Как будет'!$A$17:$A$24,Доп.расчеты!$A207,'Как будет'!K$17:K$24)</f>
        <v>0</v>
      </c>
      <c r="K207">
        <f>SUMIF('Как будет'!$A$17:$A$24,Доп.расчеты!$A207,'Как будет'!L$17:L$24)</f>
        <v>0</v>
      </c>
      <c r="L207">
        <f>SUMIF('Как будет'!$A$17:$A$24,Доп.расчеты!$A207,'Как будет'!M$17:M$24)</f>
        <v>0</v>
      </c>
      <c r="M207">
        <f>SUMIF('Как будет'!$A$17:$A$24,Доп.расчеты!$A207,'Как будет'!N$17:N$24)</f>
        <v>0</v>
      </c>
      <c r="N207">
        <f>SUMIF('Как будет'!$A$17:$A$24,Доп.расчеты!$A207,'Как будет'!O$17:O$24)</f>
        <v>0</v>
      </c>
      <c r="O207">
        <f>SUMIF('Как будет'!$A$17:$A$24,Доп.расчеты!$A207,'Как будет'!P$17:P$24)</f>
        <v>0</v>
      </c>
      <c r="P207">
        <f>SUMIF('Как будет'!$A$17:$A$24,Доп.расчеты!$A207,'Как будет'!Q$17:Q$24)</f>
        <v>0</v>
      </c>
      <c r="Q207">
        <f>SUMIF('Как будет'!$A$17:$A$24,Доп.расчеты!$A207,'Как будет'!R$17:R$24)</f>
        <v>0</v>
      </c>
      <c r="R207">
        <f>SUMIF('Как будет'!$A$17:$A$24,Доп.расчеты!$A207,'Как будет'!S$17:S$24)</f>
        <v>0</v>
      </c>
      <c r="S207">
        <f>SUMIF('Как будет'!$A$17:$A$24,Доп.расчеты!$A207,'Как будет'!T$17:T$24)</f>
        <v>0</v>
      </c>
      <c r="T207">
        <f>SUMIF('Как будет'!$A$17:$A$24,Доп.расчеты!$A207,'Как будет'!U$17:U$24)</f>
        <v>0</v>
      </c>
      <c r="U207">
        <f>SUMIF('Как будет'!$A$17:$A$24,Доп.расчеты!$A207,'Как будет'!V$17:V$24)</f>
        <v>0</v>
      </c>
      <c r="V207">
        <f>SUMIF('Как будет'!$A$17:$A$24,Доп.расчеты!$A207,'Как будет'!W$17:W$24)</f>
        <v>0</v>
      </c>
      <c r="W207">
        <f>SUMIF('Как будет'!$A$17:$A$24,Доп.расчеты!$A207,'Как будет'!X$17:X$24)</f>
        <v>0</v>
      </c>
      <c r="X207">
        <f>SUMIF('Как будет'!$A$17:$A$24,Доп.расчеты!$A207,'Как будет'!Y$17:Y$24)</f>
        <v>0</v>
      </c>
      <c r="Y207">
        <f>SUMIF('Как будет'!$A$17:$A$24,Доп.расчеты!$A207,'Как будет'!Z$17:Z$24)</f>
        <v>0</v>
      </c>
      <c r="Z207">
        <f>SUMIF('Как будет'!$A$17:$A$24,Доп.расчеты!$A207,'Как будет'!AA$17:AA$24)</f>
        <v>0</v>
      </c>
      <c r="AA207">
        <f>SUMIF('Как будет'!$A$17:$A$24,Доп.расчеты!$A207,'Как будет'!AB$17:AB$24)</f>
        <v>0</v>
      </c>
      <c r="AB207">
        <f>SUMIF('Как будет'!$A$17:$A$24,Доп.расчеты!$A207,'Как будет'!AC$17:AC$24)</f>
        <v>0</v>
      </c>
      <c r="AC207">
        <f>SUMIF('Как будет'!$A$17:$A$24,Доп.расчеты!$A207,'Как будет'!AD$17:AD$24)</f>
        <v>0</v>
      </c>
      <c r="AD207">
        <f>SUMIF('Как будет'!$A$17:$A$24,Доп.расчеты!$A207,'Как будет'!AE$17:AE$24)</f>
        <v>0</v>
      </c>
      <c r="AE207">
        <f>SUMIF('Как будет'!$A$17:$A$24,Доп.расчеты!$A207,'Как будет'!AF$17:AF$24)</f>
        <v>0</v>
      </c>
      <c r="AF207">
        <f>SUMIF('Как будет'!$A$17:$A$24,Доп.расчеты!$A207,'Как будет'!AG$17:AG$24)</f>
        <v>0</v>
      </c>
      <c r="AG207">
        <f>SUMIF('Как будет'!$A$17:$A$24,Доп.расчеты!$A207,'Как будет'!AH$17:AH$24)</f>
        <v>0</v>
      </c>
      <c r="AH207">
        <f>SUMIF('Как будет'!$A$17:$A$24,Доп.расчеты!$A207,'Как будет'!AI$17:AI$24)</f>
        <v>0</v>
      </c>
      <c r="AI207">
        <f>SUMIF('Как будет'!$A$17:$A$24,Доп.расчеты!$A207,'Как будет'!AJ$17:AJ$24)</f>
        <v>0</v>
      </c>
      <c r="AJ207">
        <f>SUMIF('Как будет'!$A$17:$A$24,Доп.расчеты!$A207,'Как будет'!AK$17:AK$24)</f>
        <v>0</v>
      </c>
      <c r="AK207">
        <f>SUMIF('Как будет'!$A$17:$A$24,Доп.расчеты!$A207,'Как будет'!AL$17:AL$24)</f>
        <v>0</v>
      </c>
      <c r="AL207">
        <f>SUMIF('Как будет'!$A$17:$A$24,Доп.расчеты!$A207,'Как будет'!AM$17:AM$24)</f>
        <v>0</v>
      </c>
      <c r="AM207">
        <f>SUMIF('Как будет'!$A$17:$A$24,Доп.расчеты!$A207,'Как будет'!AN$17:AN$24)</f>
        <v>0</v>
      </c>
      <c r="AN207">
        <f>SUMIF('Как будет'!$A$17:$A$24,Доп.расчеты!$A207,'Как будет'!AO$17:AO$24)</f>
        <v>0</v>
      </c>
      <c r="AO207">
        <f>SUMIF('Как будет'!$A$17:$A$24,Доп.расчеты!$A207,'Как будет'!AP$17:AP$24)</f>
        <v>0</v>
      </c>
      <c r="AP207">
        <f>SUMIF('Как будет'!$A$17:$A$24,Доп.расчеты!$A207,'Как будет'!AQ$17:AQ$24)</f>
        <v>0</v>
      </c>
      <c r="AQ207">
        <f>SUMIF('Как будет'!$A$17:$A$24,Доп.расчеты!$A207,'Как будет'!AR$17:AR$24)</f>
        <v>0</v>
      </c>
      <c r="AR207">
        <f>SUMIF('Как будет'!$A$17:$A$24,Доп.расчеты!$A207,'Как будет'!AS$17:AS$24)</f>
        <v>0</v>
      </c>
      <c r="AS207">
        <f>SUMIF('Как будет'!$A$17:$A$24,Доп.расчеты!$A207,'Как будет'!AT$17:AT$24)</f>
        <v>0</v>
      </c>
      <c r="AT207">
        <f>SUMIF('Как будет'!$A$17:$A$24,Доп.расчеты!$A207,'Как будет'!AU$17:AU$24)</f>
        <v>0</v>
      </c>
      <c r="AU207">
        <f>SUMIF('Как будет'!$A$17:$A$24,Доп.расчеты!$A207,'Как будет'!AV$17:AV$24)</f>
        <v>0</v>
      </c>
      <c r="AV207">
        <f>SUMIF('Как будет'!$A$17:$A$24,Доп.расчеты!$A207,'Как будет'!AW$17:AW$24)</f>
        <v>0</v>
      </c>
      <c r="AW207">
        <f>SUMIF('Как будет'!$A$17:$A$24,Доп.расчеты!$A207,'Как будет'!AX$17:AX$24)</f>
        <v>0</v>
      </c>
      <c r="AX207">
        <f>SUMIF('Как будет'!$A$17:$A$24,Доп.расчеты!$A207,'Как будет'!AY$17:AY$24)</f>
        <v>0</v>
      </c>
      <c r="AY207">
        <f>SUMIF('Как будет'!$A$17:$A$24,Доп.расчеты!$A207,'Как будет'!AZ$17:AZ$24)</f>
        <v>0</v>
      </c>
      <c r="AZ207">
        <f>SUMIF('Как будет'!$A$17:$A$24,Доп.расчеты!$A207,'Как будет'!BA$17:BA$24)</f>
        <v>0</v>
      </c>
      <c r="BA207">
        <f>SUMIF('Как будет'!$A$17:$A$24,Доп.расчеты!$A207,'Как будет'!BB$17:BB$24)</f>
        <v>0</v>
      </c>
      <c r="BB207">
        <f>SUMIF('Как будет'!$A$17:$A$24,Доп.расчеты!$A207,'Как будет'!BC$17:BC$24)</f>
        <v>0</v>
      </c>
      <c r="BC207">
        <f>SUMIF('Как будет'!$A$17:$A$24,Доп.расчеты!$A207,'Как будет'!BD$17:BD$24)</f>
        <v>0</v>
      </c>
      <c r="BD207">
        <f>SUMIF('Как будет'!$A$17:$A$24,Доп.расчеты!$A207,'Как будет'!BE$17:BE$24)</f>
        <v>0</v>
      </c>
      <c r="BE207">
        <f>SUMIF('Как будет'!$A$17:$A$24,Доп.расчеты!$A207,'Как будет'!BF$17:BF$24)</f>
        <v>0</v>
      </c>
      <c r="BF207">
        <f>SUMIF('Как будет'!$A$17:$A$24,Доп.расчеты!$A207,'Как будет'!BG$17:BG$24)</f>
        <v>0</v>
      </c>
      <c r="BG207">
        <f>SUMIF('Как будет'!$A$17:$A$24,Доп.расчеты!$A207,'Как будет'!BH$17:BH$24)</f>
        <v>0</v>
      </c>
      <c r="BH207">
        <f>SUMIF('Как будет'!$A$17:$A$24,Доп.расчеты!$A207,'Как будет'!BI$17:BI$24)</f>
        <v>0</v>
      </c>
      <c r="BI207">
        <f>SUMIF('Как будет'!$A$17:$A$24,Доп.расчеты!$A207,'Как будет'!BJ$17:BJ$24)</f>
        <v>0</v>
      </c>
      <c r="BJ207">
        <f>SUMIF('Как будет'!$A$17:$A$24,Доп.расчеты!$A207,'Как будет'!BK$17:BK$24)</f>
        <v>0</v>
      </c>
      <c r="BK207">
        <f>SUMIF('Как будет'!$A$17:$A$24,Доп.расчеты!$A207,'Как будет'!BL$17:BL$24)</f>
        <v>0</v>
      </c>
      <c r="BL207">
        <f>SUMIF('Как будет'!$A$17:$A$24,Доп.расчеты!$A207,'Как будет'!BM$17:BM$24)</f>
        <v>0</v>
      </c>
      <c r="BM207">
        <f>SUMIF('Как будет'!$A$17:$A$24,Доп.расчеты!$A207,'Как будет'!BN$17:BN$24)</f>
        <v>0</v>
      </c>
      <c r="BN207">
        <f>SUMIF('Как будет'!$A$17:$A$24,Доп.расчеты!$A207,'Как будет'!BO$17:BO$24)</f>
        <v>0</v>
      </c>
      <c r="BO207">
        <f>SUMIF('Как будет'!$A$17:$A$24,Доп.расчеты!$A207,'Как будет'!BP$17:BP$24)</f>
        <v>0</v>
      </c>
      <c r="BP207">
        <f>SUMIF('Как будет'!$A$17:$A$24,Доп.расчеты!$A207,'Как будет'!BQ$17:BQ$24)</f>
        <v>0</v>
      </c>
      <c r="BQ207">
        <f>SUMIF('Как будет'!$A$17:$A$24,Доп.расчеты!$A207,'Как будет'!BR$17:BR$24)</f>
        <v>0</v>
      </c>
      <c r="BR207">
        <f>SUMIF('Как будет'!$A$17:$A$24,Доп.расчеты!$A207,'Как будет'!BS$17:BS$24)</f>
        <v>0</v>
      </c>
      <c r="BS207">
        <f>SUMIF('Как будет'!$A$17:$A$24,Доп.расчеты!$A207,'Как будет'!BT$17:BT$24)</f>
        <v>0</v>
      </c>
      <c r="BT207">
        <f>SUMIF('Как будет'!$A$17:$A$24,Доп.расчеты!$A207,'Как будет'!BU$17:BU$24)</f>
        <v>0</v>
      </c>
      <c r="BU207">
        <f>SUMIF('Как будет'!$A$17:$A$24,Доп.расчеты!$A207,'Как будет'!BV$17:BV$24)</f>
        <v>0</v>
      </c>
      <c r="BV207">
        <f>SUMIF('Как будет'!$A$17:$A$24,Доп.расчеты!$A207,'Как будет'!BW$17:BW$24)</f>
        <v>0</v>
      </c>
      <c r="BW207">
        <f>SUMIF('Как будет'!$A$17:$A$24,Доп.расчеты!$A207,'Как будет'!BX$17:BX$24)</f>
        <v>0</v>
      </c>
      <c r="BX207">
        <f>SUMIF('Как будет'!$A$17:$A$24,Доп.расчеты!$A207,'Как будет'!BY$17:BY$24)</f>
        <v>0</v>
      </c>
      <c r="BY207">
        <f>SUMIF('Как будет'!$A$17:$A$24,Доп.расчеты!$A207,'Как будет'!BZ$17:BZ$24)</f>
        <v>0</v>
      </c>
      <c r="BZ207">
        <f>SUMIF('Как будет'!$A$17:$A$24,Доп.расчеты!$A207,'Как будет'!CA$17:CA$24)</f>
        <v>0</v>
      </c>
      <c r="CA207">
        <f>SUMIF('Как будет'!$A$17:$A$24,Доп.расчеты!$A207,'Как будет'!CB$17:CB$24)</f>
        <v>0</v>
      </c>
      <c r="CB207">
        <f>SUMIF('Как будет'!$A$17:$A$24,Доп.расчеты!$A207,'Как будет'!CC$17:CC$24)</f>
        <v>0</v>
      </c>
      <c r="CC207">
        <f>SUMIF('Как будет'!$A$17:$A$24,Доп.расчеты!$A207,'Как будет'!CD$17:CD$24)</f>
        <v>0</v>
      </c>
      <c r="CD207">
        <f>SUMIF('Как будет'!$A$17:$A$24,Доп.расчеты!$A207,'Как будет'!CE$17:CE$24)</f>
        <v>0</v>
      </c>
      <c r="CE207">
        <f>SUMIF('Как будет'!$A$17:$A$24,Доп.расчеты!$A207,'Как будет'!CF$17:CF$24)</f>
        <v>0</v>
      </c>
      <c r="CF207">
        <f>SUMIF('Как будет'!$A$17:$A$24,Доп.расчеты!$A207,'Как будет'!CG$17:CG$24)</f>
        <v>0</v>
      </c>
      <c r="CG207">
        <f>SUMIF('Как будет'!$A$17:$A$24,Доп.расчеты!$A207,'Как будет'!CH$17:CH$24)</f>
        <v>0</v>
      </c>
      <c r="CH207">
        <f>SUMIF('Как будет'!$A$17:$A$24,Доп.расчеты!$A207,'Как будет'!CI$17:CI$24)</f>
        <v>0</v>
      </c>
      <c r="CI207">
        <f>SUMIF('Как будет'!$A$17:$A$24,Доп.расчеты!$A207,'Как будет'!CJ$17:CJ$24)</f>
        <v>0</v>
      </c>
      <c r="CJ207">
        <f>SUMIF('Как будет'!$A$17:$A$24,Доп.расчеты!$A207,'Как будет'!CK$17:CK$24)</f>
        <v>0</v>
      </c>
      <c r="CK207">
        <f>SUMIF('Как будет'!$A$17:$A$24,Доп.расчеты!$A207,'Как будет'!CL$17:CL$24)</f>
        <v>0</v>
      </c>
      <c r="CL207">
        <f>SUMIF('Как будет'!$A$17:$A$24,Доп.расчеты!$A207,'Как будет'!CM$17:CM$24)</f>
        <v>0</v>
      </c>
      <c r="CM207">
        <f>SUMIF('Как будет'!$A$17:$A$24,Доп.расчеты!$A207,'Как будет'!CN$17:CN$24)</f>
        <v>0</v>
      </c>
      <c r="CN207">
        <f>SUMIF('Как будет'!$A$17:$A$24,Доп.расчеты!$A207,'Как будет'!CO$17:CO$24)</f>
        <v>0</v>
      </c>
      <c r="CO207">
        <f>SUMIF('Как будет'!$A$17:$A$24,Доп.расчеты!$A207,'Как будет'!CP$17:CP$24)</f>
        <v>0</v>
      </c>
      <c r="CP207">
        <f>SUMIF('Как будет'!$A$17:$A$24,Доп.расчеты!$A207,'Как будет'!CQ$17:CQ$24)</f>
        <v>0</v>
      </c>
      <c r="CQ207">
        <f>SUMIF('Как будет'!$A$17:$A$24,Доп.расчеты!$A207,'Как будет'!CR$17:CR$24)</f>
        <v>0</v>
      </c>
      <c r="CR207">
        <f>SUMIF('Как будет'!$A$17:$A$24,Доп.расчеты!$A207,'Как будет'!CS$17:CS$24)</f>
        <v>0</v>
      </c>
      <c r="CS207">
        <f>SUMIF('Как будет'!$A$17:$A$24,Доп.расчеты!$A207,'Как будет'!CT$17:CT$24)</f>
        <v>0</v>
      </c>
      <c r="CT207">
        <f>SUMIF('Как будет'!$A$17:$A$24,Доп.расчеты!$A207,'Как будет'!CU$17:CU$24)</f>
        <v>0</v>
      </c>
      <c r="CU207">
        <f>SUMIF('Как будет'!$A$17:$A$24,Доп.расчеты!$A207,'Как будет'!CV$17:CV$24)</f>
        <v>0</v>
      </c>
      <c r="CV207">
        <f>SUMIF('Как будет'!$A$17:$A$24,Доп.расчеты!$A207,'Как будет'!CW$17:CW$24)</f>
        <v>0</v>
      </c>
      <c r="CW207">
        <f>SUMIF('Как будет'!$A$17:$A$24,Доп.расчеты!$A207,'Как будет'!CX$17:CX$24)</f>
        <v>0</v>
      </c>
      <c r="CX207">
        <f>SUMIF('Как будет'!$A$17:$A$24,Доп.расчеты!$A207,'Как будет'!CY$17:CY$24)</f>
        <v>0</v>
      </c>
      <c r="CY207">
        <f>SUMIF('Как будет'!$A$17:$A$24,Доп.расчеты!$A207,'Как будет'!CZ$17:CZ$24)</f>
        <v>0</v>
      </c>
      <c r="CZ207">
        <f>SUMIF('Как будет'!$A$17:$A$24,Доп.расчеты!$A207,'Как будет'!DA$17:DA$24)</f>
        <v>0</v>
      </c>
      <c r="DA207">
        <f>SUMIF('Как будет'!$A$17:$A$24,Доп.расчеты!$A207,'Как будет'!DB$17:DB$24)</f>
        <v>0</v>
      </c>
      <c r="DB207">
        <f>SUMIF('Как будет'!$A$17:$A$24,Доп.расчеты!$A207,'Как будет'!DC$17:DC$24)</f>
        <v>0</v>
      </c>
      <c r="DC207">
        <f>SUMIF('Как будет'!$A$17:$A$24,Доп.расчеты!$A207,'Как будет'!DD$17:DD$24)</f>
        <v>0</v>
      </c>
      <c r="DD207">
        <f>SUMIF('Как будет'!$A$17:$A$24,Доп.расчеты!$A207,'Как будет'!DE$17:DE$24)</f>
        <v>0</v>
      </c>
      <c r="DE207">
        <f>SUMIF('Как будет'!$A$17:$A$24,Доп.расчеты!$A207,'Как будет'!DF$17:DF$24)</f>
        <v>0</v>
      </c>
      <c r="DF207">
        <f>SUMIF('Как будет'!$A$17:$A$24,Доп.расчеты!$A207,'Как будет'!DG$17:DG$24)</f>
        <v>0</v>
      </c>
      <c r="DG207">
        <f>SUMIF('Как будет'!$A$17:$A$24,Доп.расчеты!$A207,'Как будет'!DH$17:DH$24)</f>
        <v>0</v>
      </c>
      <c r="DH207">
        <f>SUMIF('Как будет'!$A$17:$A$24,Доп.расчеты!$A207,'Как будет'!DI$17:DI$24)</f>
        <v>0</v>
      </c>
      <c r="DI207">
        <f>SUMIF('Как будет'!$A$17:$A$24,Доп.расчеты!$A207,'Как будет'!DJ$17:DJ$24)</f>
        <v>0</v>
      </c>
      <c r="DJ207">
        <f>SUMIF('Как будет'!$A$17:$A$24,Доп.расчеты!$A207,'Как будет'!DK$17:DK$24)</f>
        <v>0</v>
      </c>
      <c r="DK207">
        <f>SUMIF('Как будет'!$A$17:$A$24,Доп.расчеты!$A207,'Как будет'!DL$17:DL$24)</f>
        <v>0</v>
      </c>
      <c r="DL207">
        <f>SUMIF('Как будет'!$A$17:$A$24,Доп.расчеты!$A207,'Как будет'!DM$17:DM$24)</f>
        <v>0</v>
      </c>
      <c r="DM207">
        <f>SUMIF('Как будет'!$A$17:$A$24,Доп.расчеты!$A207,'Как будет'!DN$17:DN$24)</f>
        <v>0</v>
      </c>
      <c r="DN207">
        <f>SUMIF('Как будет'!$A$17:$A$24,Доп.расчеты!$A207,'Как будет'!DO$17:DO$24)</f>
        <v>0</v>
      </c>
      <c r="DO207">
        <f>SUMIF('Как будет'!$A$17:$A$24,Доп.расчеты!$A207,'Как будет'!DP$17:DP$24)</f>
        <v>0</v>
      </c>
      <c r="DP207">
        <f>SUMIF('Как будет'!$A$17:$A$24,Доп.расчеты!$A207,'Как будет'!DQ$17:DQ$24)</f>
        <v>0</v>
      </c>
      <c r="DQ207">
        <f>SUMIF('Как будет'!$A$17:$A$24,Доп.расчеты!$A207,'Как будет'!DR$17:DR$24)</f>
        <v>0</v>
      </c>
      <c r="DR207">
        <f>SUMIF('Как будет'!$A$17:$A$24,Доп.расчеты!$A207,'Как будет'!DS$17:DS$24)</f>
        <v>0</v>
      </c>
      <c r="DS207">
        <f>SUMIF('Как будет'!$A$17:$A$24,Доп.расчеты!$A207,'Как будет'!DT$17:DT$24)</f>
        <v>0</v>
      </c>
      <c r="DT207">
        <f>SUMIF('Как будет'!$A$17:$A$24,Доп.расчеты!$A207,'Как будет'!DU$17:DU$24)</f>
        <v>0</v>
      </c>
      <c r="DU207">
        <f>SUMIF('Как будет'!$A$17:$A$24,Доп.расчеты!$A207,'Как будет'!DV$17:DV$24)</f>
        <v>0</v>
      </c>
      <c r="DV207">
        <f>SUMIF('Как будет'!$A$17:$A$24,Доп.расчеты!$A207,'Как будет'!DW$17:DW$24)</f>
        <v>0</v>
      </c>
      <c r="DW207">
        <f>SUMIF('Как будет'!$A$17:$A$24,Доп.расчеты!$A207,'Как будет'!DX$17:DX$24)</f>
        <v>0</v>
      </c>
      <c r="DX207">
        <f>SUMIF('Как будет'!$A$17:$A$24,Доп.расчеты!$A207,'Как будет'!DY$17:DY$24)</f>
        <v>0</v>
      </c>
      <c r="DY207">
        <f>SUMIF('Как будет'!$A$17:$A$24,Доп.расчеты!$A207,'Как будет'!DZ$17:DZ$24)</f>
        <v>0</v>
      </c>
      <c r="DZ207">
        <f>SUMIF('Как будет'!$A$17:$A$24,Доп.расчеты!$A207,'Как будет'!EA$17:EA$24)</f>
        <v>0</v>
      </c>
      <c r="EA207">
        <f>SUMIF('Как будет'!$A$17:$A$24,Доп.расчеты!$A207,'Как будет'!EB$17:EB$24)</f>
        <v>0</v>
      </c>
      <c r="EB207">
        <f>SUMIF('Как будет'!$A$17:$A$24,Доп.расчеты!$A207,'Как будет'!EC$17:EC$24)</f>
        <v>0</v>
      </c>
      <c r="EC207">
        <f>SUMIF('Как будет'!$A$17:$A$24,Доп.расчеты!$A207,'Как будет'!ED$17:ED$24)</f>
        <v>0</v>
      </c>
      <c r="ED207">
        <f>SUMIF('Как будет'!$A$17:$A$24,Доп.расчеты!$A207,'Как будет'!EE$17:EE$24)</f>
        <v>0</v>
      </c>
      <c r="EE207">
        <f>SUMIF('Как будет'!$A$17:$A$24,Доп.расчеты!$A207,'Как будет'!EF$17:EF$24)</f>
        <v>0</v>
      </c>
      <c r="EF207">
        <f>SUMIF('Как будет'!$A$17:$A$24,Доп.расчеты!$A207,'Как будет'!EG$17:EG$24)</f>
        <v>0</v>
      </c>
      <c r="EG207">
        <f>SUMIF('Как будет'!$A$17:$A$24,Доп.расчеты!$A207,'Как будет'!EH$17:EH$24)</f>
        <v>0</v>
      </c>
      <c r="EH207">
        <f>SUMIF('Как будет'!$A$17:$A$24,Доп.расчеты!$A207,'Как будет'!EI$17:EI$24)</f>
        <v>0</v>
      </c>
      <c r="EI207">
        <f>SUMIF('Как будет'!$A$17:$A$24,Доп.расчеты!$A207,'Как будет'!EJ$17:EJ$24)</f>
        <v>0</v>
      </c>
      <c r="EJ207">
        <f>SUMIF('Как будет'!$A$17:$A$24,Доп.расчеты!$A207,'Как будет'!EK$17:EK$24)</f>
        <v>0</v>
      </c>
      <c r="EK207">
        <f>SUMIF('Как будет'!$A$17:$A$24,Доп.расчеты!$A207,'Как будет'!EL$17:EL$24)</f>
        <v>0</v>
      </c>
      <c r="EL207">
        <f>SUMIF('Как будет'!$A$17:$A$24,Доп.расчеты!$A207,'Как будет'!EM$17:EM$24)</f>
        <v>0</v>
      </c>
      <c r="EM207">
        <f>SUMIF('Как будет'!$A$17:$A$24,Доп.расчеты!$A207,'Как будет'!EN$17:EN$24)</f>
        <v>0</v>
      </c>
      <c r="EN207">
        <f>SUMIF('Как будет'!$A$17:$A$24,Доп.расчеты!$A207,'Как будет'!EO$17:EO$24)</f>
        <v>0</v>
      </c>
      <c r="EO207">
        <f>SUMIF('Как будет'!$A$17:$A$24,Доп.расчеты!$A207,'Как будет'!EP$17:EP$24)</f>
        <v>0</v>
      </c>
      <c r="EP207">
        <f>SUMIF('Как будет'!$A$17:$A$24,Доп.расчеты!$A207,'Как будет'!EQ$17:EQ$24)</f>
        <v>0</v>
      </c>
      <c r="EQ207">
        <f>SUMIF('Как будет'!$A$17:$A$24,Доп.расчеты!$A207,'Как будет'!ER$17:ER$24)</f>
        <v>0</v>
      </c>
      <c r="ER207">
        <f>SUMIF('Как будет'!$A$17:$A$24,Доп.расчеты!$A207,'Как будет'!ES$17:ES$24)</f>
        <v>0</v>
      </c>
      <c r="ES207">
        <f>SUMIF('Как будет'!$A$17:$A$24,Доп.расчеты!$A207,'Как будет'!ET$17:ET$24)</f>
        <v>0</v>
      </c>
      <c r="ET207">
        <f>SUMIF('Как будет'!$A$17:$A$24,Доп.расчеты!$A207,'Как будет'!EU$17:EU$24)</f>
        <v>0</v>
      </c>
      <c r="EU207">
        <f>SUMIF('Как будет'!$A$17:$A$24,Доп.расчеты!$A207,'Как будет'!EV$17:EV$24)</f>
        <v>0</v>
      </c>
      <c r="EV207">
        <f>SUMIF('Как будет'!$A$17:$A$24,Доп.расчеты!$A207,'Как будет'!EW$17:EW$24)</f>
        <v>0</v>
      </c>
      <c r="EW207">
        <f>SUMIF('Как будет'!$A$17:$A$24,Доп.расчеты!$A207,'Как будет'!EX$17:EX$24)</f>
        <v>0</v>
      </c>
      <c r="EX207">
        <f>SUMIF('Как будет'!$A$17:$A$24,Доп.расчеты!$A207,'Как будет'!EY$17:EY$24)</f>
        <v>0</v>
      </c>
      <c r="EY207">
        <f>SUMIF('Как будет'!$A$17:$A$24,Доп.расчеты!$A207,'Как будет'!EZ$17:EZ$24)</f>
        <v>0</v>
      </c>
      <c r="EZ207">
        <f>SUMIF('Как будет'!$A$17:$A$24,Доп.расчеты!$A207,'Как будет'!FA$17:FA$24)</f>
        <v>0</v>
      </c>
      <c r="FA207">
        <f>SUMIF('Как будет'!$A$17:$A$24,Доп.расчеты!$A207,'Как будет'!FB$17:FB$24)</f>
        <v>0</v>
      </c>
      <c r="FB207">
        <f>SUMIF('Как будет'!$A$17:$A$24,Доп.расчеты!$A207,'Как будет'!FC$17:FC$24)</f>
        <v>0</v>
      </c>
      <c r="FC207">
        <f>SUMIF('Как будет'!$A$17:$A$24,Доп.расчеты!$A207,'Как будет'!FD$17:FD$24)</f>
        <v>0</v>
      </c>
      <c r="FD207">
        <f>SUMIF('Как будет'!$A$17:$A$24,Доп.расчеты!$A207,'Как будет'!FE$17:FE$24)</f>
        <v>0</v>
      </c>
      <c r="FE207">
        <f>SUMIF('Как будет'!$A$17:$A$24,Доп.расчеты!$A207,'Как будет'!FF$17:FF$24)</f>
        <v>0</v>
      </c>
      <c r="FF207">
        <f>SUMIF('Как будет'!$A$17:$A$24,Доп.расчеты!$A207,'Как будет'!FG$17:FG$24)</f>
        <v>0</v>
      </c>
      <c r="FG207">
        <f>SUMIF('Как будет'!$A$17:$A$24,Доп.расчеты!$A207,'Как будет'!FH$17:FH$24)</f>
        <v>0</v>
      </c>
      <c r="FH207">
        <f>SUMIF('Как будет'!$A$17:$A$24,Доп.расчеты!$A207,'Как будет'!FI$17:FI$24)</f>
        <v>0</v>
      </c>
      <c r="FI207">
        <f>SUMIF('Как будет'!$A$17:$A$24,Доп.расчеты!$A207,'Как будет'!FJ$17:FJ$24)</f>
        <v>0</v>
      </c>
      <c r="FJ207">
        <f>SUMIF('Как будет'!$A$17:$A$24,Доп.расчеты!$A207,'Как будет'!FK$17:FK$24)</f>
        <v>0</v>
      </c>
      <c r="FK207">
        <f>SUMIF('Как будет'!$A$17:$A$24,Доп.расчеты!$A207,'Как будет'!FL$17:FL$24)</f>
        <v>0</v>
      </c>
      <c r="FL207">
        <f>SUMIF('Как будет'!$A$17:$A$24,Доп.расчеты!$A207,'Как будет'!FM$17:FM$24)</f>
        <v>0</v>
      </c>
      <c r="FM207">
        <f>SUMIF('Как будет'!$A$17:$A$24,Доп.расчеты!$A207,'Как будет'!FN$17:FN$24)</f>
        <v>0</v>
      </c>
      <c r="FN207">
        <f>SUMIF('Как будет'!$A$17:$A$24,Доп.расчеты!$A207,'Как будет'!FO$17:FO$24)</f>
        <v>0</v>
      </c>
      <c r="FO207">
        <f>SUMIF('Как будет'!$A$17:$A$24,Доп.расчеты!$A207,'Как будет'!FP$17:FP$24)</f>
        <v>0</v>
      </c>
      <c r="FP207">
        <f>SUMIF('Как будет'!$A$17:$A$24,Доп.расчеты!$A207,'Как будет'!FQ$17:FQ$24)</f>
        <v>0</v>
      </c>
      <c r="FQ207">
        <f>SUMIF('Как будет'!$A$17:$A$24,Доп.расчеты!$A207,'Как будет'!FR$17:FR$24)</f>
        <v>0</v>
      </c>
      <c r="FR207">
        <f>SUMIF('Как будет'!$A$17:$A$24,Доп.расчеты!$A207,'Как будет'!FS$17:FS$24)</f>
        <v>0</v>
      </c>
      <c r="FS207">
        <f>SUMIF('Как будет'!$A$17:$A$24,Доп.расчеты!$A207,'Как будет'!FT$17:FT$24)</f>
        <v>0</v>
      </c>
      <c r="FT207">
        <f>SUMIF('Как будет'!$A$17:$A$24,Доп.расчеты!$A207,'Как будет'!FU$17:FU$24)</f>
        <v>0</v>
      </c>
      <c r="FU207">
        <f>SUMIF('Как будет'!$A$17:$A$24,Доп.расчеты!$A207,'Как будет'!FV$17:FV$24)</f>
        <v>0</v>
      </c>
      <c r="FV207">
        <f>SUMIF('Как будет'!$A$17:$A$24,Доп.расчеты!$A207,'Как будет'!FW$17:FW$24)</f>
        <v>0</v>
      </c>
      <c r="FW207">
        <f>SUMIF('Как будет'!$A$17:$A$24,Доп.расчеты!$A207,'Как будет'!FX$17:FX$24)</f>
        <v>0</v>
      </c>
      <c r="FX207">
        <f>SUMIF('Как будет'!$A$17:$A$24,Доп.расчеты!$A207,'Как будет'!FY$17:FY$24)</f>
        <v>0</v>
      </c>
      <c r="FY207">
        <f>SUMIF('Как будет'!$A$17:$A$24,Доп.расчеты!$A207,'Как будет'!FZ$17:FZ$24)</f>
        <v>0</v>
      </c>
      <c r="FZ207">
        <f>SUMIF('Как будет'!$A$17:$A$24,Доп.расчеты!$A207,'Как будет'!GA$17:GA$24)</f>
        <v>0</v>
      </c>
      <c r="GA207">
        <f>SUMIF('Как будет'!$A$17:$A$24,Доп.расчеты!$A207,'Как будет'!GB$17:GB$24)</f>
        <v>0</v>
      </c>
      <c r="GB207">
        <f>SUMIF('Как будет'!$A$17:$A$24,Доп.расчеты!$A207,'Как будет'!GC$17:GC$24)</f>
        <v>0</v>
      </c>
      <c r="GC207">
        <f>SUMIF('Как будет'!$A$17:$A$24,Доп.расчеты!$A207,'Как будет'!GD$17:GD$24)</f>
        <v>0</v>
      </c>
      <c r="GD207">
        <f>SUMIF('Как будет'!$A$17:$A$24,Доп.расчеты!$A207,'Как будет'!GE$17:GE$24)</f>
        <v>0</v>
      </c>
      <c r="GE207">
        <f>SUMIF('Как будет'!$A$17:$A$24,Доп.расчеты!$A207,'Как будет'!GF$17:GF$24)</f>
        <v>0</v>
      </c>
      <c r="GF207">
        <f>SUMIF('Как будет'!$A$17:$A$24,Доп.расчеты!$A207,'Как будет'!GG$17:GG$24)</f>
        <v>0</v>
      </c>
      <c r="GG207">
        <f>SUMIF('Как будет'!$A$17:$A$24,Доп.расчеты!$A207,'Как будет'!GH$17:GH$24)</f>
        <v>0</v>
      </c>
      <c r="GH207">
        <f>SUMIF('Как будет'!$A$17:$A$24,Доп.расчеты!$A207,'Как будет'!GI$17:GI$24)</f>
        <v>0</v>
      </c>
      <c r="GI207">
        <f>SUMIF('Как будет'!$A$17:$A$24,Доп.расчеты!$A207,'Как будет'!GJ$17:GJ$24)</f>
        <v>0</v>
      </c>
      <c r="GJ207">
        <f>SUMIF('Как будет'!$A$17:$A$24,Доп.расчеты!$A207,'Как будет'!GK$17:GK$24)</f>
        <v>0</v>
      </c>
      <c r="GK207">
        <f>SUMIF('Как будет'!$A$17:$A$24,Доп.расчеты!$A207,'Как будет'!GL$17:GL$24)</f>
        <v>0</v>
      </c>
      <c r="GL207">
        <f>SUMIF('Как будет'!$A$17:$A$24,Доп.расчеты!$A207,'Как будет'!GM$17:GM$24)</f>
        <v>0</v>
      </c>
      <c r="GM207">
        <f>SUMIF('Как будет'!$A$17:$A$24,Доп.расчеты!$A207,'Как будет'!GN$17:GN$24)</f>
        <v>0</v>
      </c>
      <c r="GN207">
        <f>SUMIF('Как будет'!$A$17:$A$24,Доп.расчеты!$A207,'Как будет'!GO$17:GO$24)</f>
        <v>0</v>
      </c>
      <c r="GO207">
        <f>SUMIF('Как будет'!$A$17:$A$24,Доп.расчеты!$A207,'Как будет'!GP$17:GP$24)</f>
        <v>0</v>
      </c>
      <c r="GP207">
        <f>SUMIF('Как будет'!$A$17:$A$24,Доп.расчеты!$A207,'Как будет'!GQ$17:GQ$24)</f>
        <v>0</v>
      </c>
      <c r="GQ207">
        <f>SUMIF('Как будет'!$A$17:$A$24,Доп.расчеты!$A207,'Как будет'!GR$17:GR$24)</f>
        <v>0</v>
      </c>
      <c r="GR207">
        <f>SUMIF('Как будет'!$A$17:$A$24,Доп.расчеты!$A207,'Как будет'!GS$17:GS$24)</f>
        <v>0</v>
      </c>
      <c r="GS207">
        <f>SUMIF('Как будет'!$A$17:$A$24,Доп.расчеты!$A207,'Как будет'!GT$17:GT$24)</f>
        <v>0</v>
      </c>
      <c r="GT207">
        <f>SUMIF('Как будет'!$A$17:$A$24,Доп.расчеты!$A207,'Как будет'!GU$17:GU$24)</f>
        <v>0</v>
      </c>
    </row>
    <row r="208" spans="1:202">
      <c r="A208" s="238" t="s">
        <v>103</v>
      </c>
      <c r="B208">
        <f>SUMIF('Как будет'!$A$17:$A$24,Доп.расчеты!$A208,'Как будет'!C$17:C$24)</f>
        <v>0</v>
      </c>
      <c r="C208">
        <f>SUMIF('Как будет'!$A$17:$A$24,Доп.расчеты!$A208,'Как будет'!D$17:D$24)</f>
        <v>0</v>
      </c>
      <c r="D208">
        <f>SUMIF('Как будет'!$A$17:$A$24,Доп.расчеты!$A208,'Как будет'!E$17:E$24)</f>
        <v>0</v>
      </c>
      <c r="E208">
        <f>SUMIF('Как будет'!$A$17:$A$24,Доп.расчеты!$A208,'Как будет'!F$17:F$24)</f>
        <v>0</v>
      </c>
      <c r="F208">
        <f>SUMIF('Как будет'!$A$17:$A$24,Доп.расчеты!$A208,'Как будет'!G$17:G$24)</f>
        <v>0</v>
      </c>
      <c r="G208">
        <f>SUMIF('Как будет'!$A$17:$A$24,Доп.расчеты!$A208,'Как будет'!H$17:H$24)</f>
        <v>0</v>
      </c>
      <c r="H208">
        <f>SUMIF('Как будет'!$A$17:$A$24,Доп.расчеты!$A208,'Как будет'!I$17:I$24)</f>
        <v>0</v>
      </c>
      <c r="I208">
        <f>SUMIF('Как будет'!$A$17:$A$24,Доп.расчеты!$A208,'Как будет'!J$17:J$24)</f>
        <v>0</v>
      </c>
      <c r="J208">
        <f>SUMIF('Как будет'!$A$17:$A$24,Доп.расчеты!$A208,'Как будет'!K$17:K$24)</f>
        <v>0</v>
      </c>
      <c r="K208">
        <f>SUMIF('Как будет'!$A$17:$A$24,Доп.расчеты!$A208,'Как будет'!L$17:L$24)</f>
        <v>0</v>
      </c>
      <c r="L208">
        <f>SUMIF('Как будет'!$A$17:$A$24,Доп.расчеты!$A208,'Как будет'!M$17:M$24)</f>
        <v>0</v>
      </c>
      <c r="M208">
        <f>SUMIF('Как будет'!$A$17:$A$24,Доп.расчеты!$A208,'Как будет'!N$17:N$24)</f>
        <v>0</v>
      </c>
      <c r="N208">
        <f>SUMIF('Как будет'!$A$17:$A$24,Доп.расчеты!$A208,'Как будет'!O$17:O$24)</f>
        <v>0</v>
      </c>
      <c r="O208">
        <f>SUMIF('Как будет'!$A$17:$A$24,Доп.расчеты!$A208,'Как будет'!P$17:P$24)</f>
        <v>0</v>
      </c>
      <c r="P208">
        <f>SUMIF('Как будет'!$A$17:$A$24,Доп.расчеты!$A208,'Как будет'!Q$17:Q$24)</f>
        <v>0</v>
      </c>
      <c r="Q208">
        <f>SUMIF('Как будет'!$A$17:$A$24,Доп.расчеты!$A208,'Как будет'!R$17:R$24)</f>
        <v>0</v>
      </c>
      <c r="R208">
        <f>SUMIF('Как будет'!$A$17:$A$24,Доп.расчеты!$A208,'Как будет'!S$17:S$24)</f>
        <v>0</v>
      </c>
      <c r="S208">
        <f>SUMIF('Как будет'!$A$17:$A$24,Доп.расчеты!$A208,'Как будет'!T$17:T$24)</f>
        <v>0</v>
      </c>
      <c r="T208">
        <f>SUMIF('Как будет'!$A$17:$A$24,Доп.расчеты!$A208,'Как будет'!U$17:U$24)</f>
        <v>0</v>
      </c>
      <c r="U208">
        <f>SUMIF('Как будет'!$A$17:$A$24,Доп.расчеты!$A208,'Как будет'!V$17:V$24)</f>
        <v>0</v>
      </c>
      <c r="V208">
        <f>SUMIF('Как будет'!$A$17:$A$24,Доп.расчеты!$A208,'Как будет'!W$17:W$24)</f>
        <v>0</v>
      </c>
      <c r="W208">
        <f>SUMIF('Как будет'!$A$17:$A$24,Доп.расчеты!$A208,'Как будет'!X$17:X$24)</f>
        <v>0</v>
      </c>
      <c r="X208">
        <f>SUMIF('Как будет'!$A$17:$A$24,Доп.расчеты!$A208,'Как будет'!Y$17:Y$24)</f>
        <v>0</v>
      </c>
      <c r="Y208">
        <f>SUMIF('Как будет'!$A$17:$A$24,Доп.расчеты!$A208,'Как будет'!Z$17:Z$24)</f>
        <v>0</v>
      </c>
      <c r="Z208">
        <f>SUMIF('Как будет'!$A$17:$A$24,Доп.расчеты!$A208,'Как будет'!AA$17:AA$24)</f>
        <v>0</v>
      </c>
      <c r="AA208">
        <f>SUMIF('Как будет'!$A$17:$A$24,Доп.расчеты!$A208,'Как будет'!AB$17:AB$24)</f>
        <v>0</v>
      </c>
      <c r="AB208">
        <f>SUMIF('Как будет'!$A$17:$A$24,Доп.расчеты!$A208,'Как будет'!AC$17:AC$24)</f>
        <v>0</v>
      </c>
      <c r="AC208">
        <f>SUMIF('Как будет'!$A$17:$A$24,Доп.расчеты!$A208,'Как будет'!AD$17:AD$24)</f>
        <v>0</v>
      </c>
      <c r="AD208">
        <f>SUMIF('Как будет'!$A$17:$A$24,Доп.расчеты!$A208,'Как будет'!AE$17:AE$24)</f>
        <v>0</v>
      </c>
      <c r="AE208">
        <f>SUMIF('Как будет'!$A$17:$A$24,Доп.расчеты!$A208,'Как будет'!AF$17:AF$24)</f>
        <v>0</v>
      </c>
      <c r="AF208">
        <f>SUMIF('Как будет'!$A$17:$A$24,Доп.расчеты!$A208,'Как будет'!AG$17:AG$24)</f>
        <v>0</v>
      </c>
      <c r="AG208">
        <f>SUMIF('Как будет'!$A$17:$A$24,Доп.расчеты!$A208,'Как будет'!AH$17:AH$24)</f>
        <v>0</v>
      </c>
      <c r="AH208">
        <f>SUMIF('Как будет'!$A$17:$A$24,Доп.расчеты!$A208,'Как будет'!AI$17:AI$24)</f>
        <v>0</v>
      </c>
      <c r="AI208">
        <f>SUMIF('Как будет'!$A$17:$A$24,Доп.расчеты!$A208,'Как будет'!AJ$17:AJ$24)</f>
        <v>0</v>
      </c>
      <c r="AJ208">
        <f>SUMIF('Как будет'!$A$17:$A$24,Доп.расчеты!$A208,'Как будет'!AK$17:AK$24)</f>
        <v>0</v>
      </c>
      <c r="AK208">
        <f>SUMIF('Как будет'!$A$17:$A$24,Доп.расчеты!$A208,'Как будет'!AL$17:AL$24)</f>
        <v>0</v>
      </c>
      <c r="AL208">
        <f>SUMIF('Как будет'!$A$17:$A$24,Доп.расчеты!$A208,'Как будет'!AM$17:AM$24)</f>
        <v>0</v>
      </c>
      <c r="AM208">
        <f>SUMIF('Как будет'!$A$17:$A$24,Доп.расчеты!$A208,'Как будет'!AN$17:AN$24)</f>
        <v>0</v>
      </c>
      <c r="AN208">
        <f>SUMIF('Как будет'!$A$17:$A$24,Доп.расчеты!$A208,'Как будет'!AO$17:AO$24)</f>
        <v>0</v>
      </c>
      <c r="AO208">
        <f>SUMIF('Как будет'!$A$17:$A$24,Доп.расчеты!$A208,'Как будет'!AP$17:AP$24)</f>
        <v>0</v>
      </c>
      <c r="AP208">
        <f>SUMIF('Как будет'!$A$17:$A$24,Доп.расчеты!$A208,'Как будет'!AQ$17:AQ$24)</f>
        <v>0</v>
      </c>
      <c r="AQ208">
        <f>SUMIF('Как будет'!$A$17:$A$24,Доп.расчеты!$A208,'Как будет'!AR$17:AR$24)</f>
        <v>0</v>
      </c>
      <c r="AR208">
        <f>SUMIF('Как будет'!$A$17:$A$24,Доп.расчеты!$A208,'Как будет'!AS$17:AS$24)</f>
        <v>0</v>
      </c>
      <c r="AS208">
        <f>SUMIF('Как будет'!$A$17:$A$24,Доп.расчеты!$A208,'Как будет'!AT$17:AT$24)</f>
        <v>0</v>
      </c>
      <c r="AT208">
        <f>SUMIF('Как будет'!$A$17:$A$24,Доп.расчеты!$A208,'Как будет'!AU$17:AU$24)</f>
        <v>0</v>
      </c>
      <c r="AU208">
        <f>SUMIF('Как будет'!$A$17:$A$24,Доп.расчеты!$A208,'Как будет'!AV$17:AV$24)</f>
        <v>0</v>
      </c>
      <c r="AV208">
        <f>SUMIF('Как будет'!$A$17:$A$24,Доп.расчеты!$A208,'Как будет'!AW$17:AW$24)</f>
        <v>0</v>
      </c>
      <c r="AW208">
        <f>SUMIF('Как будет'!$A$17:$A$24,Доп.расчеты!$A208,'Как будет'!AX$17:AX$24)</f>
        <v>0</v>
      </c>
      <c r="AX208">
        <f>SUMIF('Как будет'!$A$17:$A$24,Доп.расчеты!$A208,'Как будет'!AY$17:AY$24)</f>
        <v>0</v>
      </c>
      <c r="AY208">
        <f>SUMIF('Как будет'!$A$17:$A$24,Доп.расчеты!$A208,'Как будет'!AZ$17:AZ$24)</f>
        <v>0</v>
      </c>
      <c r="AZ208">
        <f>SUMIF('Как будет'!$A$17:$A$24,Доп.расчеты!$A208,'Как будет'!BA$17:BA$24)</f>
        <v>0</v>
      </c>
      <c r="BA208">
        <f>SUMIF('Как будет'!$A$17:$A$24,Доп.расчеты!$A208,'Как будет'!BB$17:BB$24)</f>
        <v>0</v>
      </c>
      <c r="BB208">
        <f>SUMIF('Как будет'!$A$17:$A$24,Доп.расчеты!$A208,'Как будет'!BC$17:BC$24)</f>
        <v>0</v>
      </c>
      <c r="BC208">
        <f>SUMIF('Как будет'!$A$17:$A$24,Доп.расчеты!$A208,'Как будет'!BD$17:BD$24)</f>
        <v>0</v>
      </c>
      <c r="BD208">
        <f>SUMIF('Как будет'!$A$17:$A$24,Доп.расчеты!$A208,'Как будет'!BE$17:BE$24)</f>
        <v>0</v>
      </c>
      <c r="BE208">
        <f>SUMIF('Как будет'!$A$17:$A$24,Доп.расчеты!$A208,'Как будет'!BF$17:BF$24)</f>
        <v>0</v>
      </c>
      <c r="BF208">
        <f>SUMIF('Как будет'!$A$17:$A$24,Доп.расчеты!$A208,'Как будет'!BG$17:BG$24)</f>
        <v>0</v>
      </c>
      <c r="BG208">
        <f>SUMIF('Как будет'!$A$17:$A$24,Доп.расчеты!$A208,'Как будет'!BH$17:BH$24)</f>
        <v>0</v>
      </c>
      <c r="BH208">
        <f>SUMIF('Как будет'!$A$17:$A$24,Доп.расчеты!$A208,'Как будет'!BI$17:BI$24)</f>
        <v>0</v>
      </c>
      <c r="BI208">
        <f>SUMIF('Как будет'!$A$17:$A$24,Доп.расчеты!$A208,'Как будет'!BJ$17:BJ$24)</f>
        <v>0</v>
      </c>
      <c r="BJ208">
        <f>SUMIF('Как будет'!$A$17:$A$24,Доп.расчеты!$A208,'Как будет'!BK$17:BK$24)</f>
        <v>0</v>
      </c>
      <c r="BK208">
        <f>SUMIF('Как будет'!$A$17:$A$24,Доп.расчеты!$A208,'Как будет'!BL$17:BL$24)</f>
        <v>0</v>
      </c>
      <c r="BL208">
        <f>SUMIF('Как будет'!$A$17:$A$24,Доп.расчеты!$A208,'Как будет'!BM$17:BM$24)</f>
        <v>0</v>
      </c>
      <c r="BM208">
        <f>SUMIF('Как будет'!$A$17:$A$24,Доп.расчеты!$A208,'Как будет'!BN$17:BN$24)</f>
        <v>0</v>
      </c>
      <c r="BN208">
        <f>SUMIF('Как будет'!$A$17:$A$24,Доп.расчеты!$A208,'Как будет'!BO$17:BO$24)</f>
        <v>0</v>
      </c>
      <c r="BO208">
        <f>SUMIF('Как будет'!$A$17:$A$24,Доп.расчеты!$A208,'Как будет'!BP$17:BP$24)</f>
        <v>0</v>
      </c>
      <c r="BP208">
        <f>SUMIF('Как будет'!$A$17:$A$24,Доп.расчеты!$A208,'Как будет'!BQ$17:BQ$24)</f>
        <v>0</v>
      </c>
      <c r="BQ208">
        <f>SUMIF('Как будет'!$A$17:$A$24,Доп.расчеты!$A208,'Как будет'!BR$17:BR$24)</f>
        <v>0</v>
      </c>
      <c r="BR208">
        <f>SUMIF('Как будет'!$A$17:$A$24,Доп.расчеты!$A208,'Как будет'!BS$17:BS$24)</f>
        <v>0</v>
      </c>
      <c r="BS208">
        <f>SUMIF('Как будет'!$A$17:$A$24,Доп.расчеты!$A208,'Как будет'!BT$17:BT$24)</f>
        <v>0</v>
      </c>
      <c r="BT208">
        <f>SUMIF('Как будет'!$A$17:$A$24,Доп.расчеты!$A208,'Как будет'!BU$17:BU$24)</f>
        <v>0</v>
      </c>
      <c r="BU208">
        <f>SUMIF('Как будет'!$A$17:$A$24,Доп.расчеты!$A208,'Как будет'!BV$17:BV$24)</f>
        <v>0</v>
      </c>
      <c r="BV208">
        <f>SUMIF('Как будет'!$A$17:$A$24,Доп.расчеты!$A208,'Как будет'!BW$17:BW$24)</f>
        <v>0</v>
      </c>
      <c r="BW208">
        <f>SUMIF('Как будет'!$A$17:$A$24,Доп.расчеты!$A208,'Как будет'!BX$17:BX$24)</f>
        <v>0</v>
      </c>
      <c r="BX208">
        <f>SUMIF('Как будет'!$A$17:$A$24,Доп.расчеты!$A208,'Как будет'!BY$17:BY$24)</f>
        <v>0</v>
      </c>
      <c r="BY208">
        <f>SUMIF('Как будет'!$A$17:$A$24,Доп.расчеты!$A208,'Как будет'!BZ$17:BZ$24)</f>
        <v>0</v>
      </c>
      <c r="BZ208">
        <f>SUMIF('Как будет'!$A$17:$A$24,Доп.расчеты!$A208,'Как будет'!CA$17:CA$24)</f>
        <v>0</v>
      </c>
      <c r="CA208">
        <f>SUMIF('Как будет'!$A$17:$A$24,Доп.расчеты!$A208,'Как будет'!CB$17:CB$24)</f>
        <v>0</v>
      </c>
      <c r="CB208">
        <f>SUMIF('Как будет'!$A$17:$A$24,Доп.расчеты!$A208,'Как будет'!CC$17:CC$24)</f>
        <v>0</v>
      </c>
      <c r="CC208">
        <f>SUMIF('Как будет'!$A$17:$A$24,Доп.расчеты!$A208,'Как будет'!CD$17:CD$24)</f>
        <v>0</v>
      </c>
      <c r="CD208">
        <f>SUMIF('Как будет'!$A$17:$A$24,Доп.расчеты!$A208,'Как будет'!CE$17:CE$24)</f>
        <v>0</v>
      </c>
      <c r="CE208">
        <f>SUMIF('Как будет'!$A$17:$A$24,Доп.расчеты!$A208,'Как будет'!CF$17:CF$24)</f>
        <v>0</v>
      </c>
      <c r="CF208">
        <f>SUMIF('Как будет'!$A$17:$A$24,Доп.расчеты!$A208,'Как будет'!CG$17:CG$24)</f>
        <v>0</v>
      </c>
      <c r="CG208">
        <f>SUMIF('Как будет'!$A$17:$A$24,Доп.расчеты!$A208,'Как будет'!CH$17:CH$24)</f>
        <v>0</v>
      </c>
      <c r="CH208">
        <f>SUMIF('Как будет'!$A$17:$A$24,Доп.расчеты!$A208,'Как будет'!CI$17:CI$24)</f>
        <v>0</v>
      </c>
      <c r="CI208">
        <f>SUMIF('Как будет'!$A$17:$A$24,Доп.расчеты!$A208,'Как будет'!CJ$17:CJ$24)</f>
        <v>0</v>
      </c>
      <c r="CJ208">
        <f>SUMIF('Как будет'!$A$17:$A$24,Доп.расчеты!$A208,'Как будет'!CK$17:CK$24)</f>
        <v>0</v>
      </c>
      <c r="CK208">
        <f>SUMIF('Как будет'!$A$17:$A$24,Доп.расчеты!$A208,'Как будет'!CL$17:CL$24)</f>
        <v>0</v>
      </c>
      <c r="CL208">
        <f>SUMIF('Как будет'!$A$17:$A$24,Доп.расчеты!$A208,'Как будет'!CM$17:CM$24)</f>
        <v>0</v>
      </c>
      <c r="CM208">
        <f>SUMIF('Как будет'!$A$17:$A$24,Доп.расчеты!$A208,'Как будет'!CN$17:CN$24)</f>
        <v>0</v>
      </c>
      <c r="CN208">
        <f>SUMIF('Как будет'!$A$17:$A$24,Доп.расчеты!$A208,'Как будет'!CO$17:CO$24)</f>
        <v>0</v>
      </c>
      <c r="CO208">
        <f>SUMIF('Как будет'!$A$17:$A$24,Доп.расчеты!$A208,'Как будет'!CP$17:CP$24)</f>
        <v>0</v>
      </c>
      <c r="CP208">
        <f>SUMIF('Как будет'!$A$17:$A$24,Доп.расчеты!$A208,'Как будет'!CQ$17:CQ$24)</f>
        <v>0</v>
      </c>
      <c r="CQ208">
        <f>SUMIF('Как будет'!$A$17:$A$24,Доп.расчеты!$A208,'Как будет'!CR$17:CR$24)</f>
        <v>0</v>
      </c>
      <c r="CR208">
        <f>SUMIF('Как будет'!$A$17:$A$24,Доп.расчеты!$A208,'Как будет'!CS$17:CS$24)</f>
        <v>0</v>
      </c>
      <c r="CS208">
        <f>SUMIF('Как будет'!$A$17:$A$24,Доп.расчеты!$A208,'Как будет'!CT$17:CT$24)</f>
        <v>0</v>
      </c>
      <c r="CT208">
        <f>SUMIF('Как будет'!$A$17:$A$24,Доп.расчеты!$A208,'Как будет'!CU$17:CU$24)</f>
        <v>0</v>
      </c>
      <c r="CU208">
        <f>SUMIF('Как будет'!$A$17:$A$24,Доп.расчеты!$A208,'Как будет'!CV$17:CV$24)</f>
        <v>0</v>
      </c>
      <c r="CV208">
        <f>SUMIF('Как будет'!$A$17:$A$24,Доп.расчеты!$A208,'Как будет'!CW$17:CW$24)</f>
        <v>0</v>
      </c>
      <c r="CW208">
        <f>SUMIF('Как будет'!$A$17:$A$24,Доп.расчеты!$A208,'Как будет'!CX$17:CX$24)</f>
        <v>0</v>
      </c>
      <c r="CX208">
        <f>SUMIF('Как будет'!$A$17:$A$24,Доп.расчеты!$A208,'Как будет'!CY$17:CY$24)</f>
        <v>0</v>
      </c>
      <c r="CY208">
        <f>SUMIF('Как будет'!$A$17:$A$24,Доп.расчеты!$A208,'Как будет'!CZ$17:CZ$24)</f>
        <v>0</v>
      </c>
      <c r="CZ208">
        <f>SUMIF('Как будет'!$A$17:$A$24,Доп.расчеты!$A208,'Как будет'!DA$17:DA$24)</f>
        <v>0</v>
      </c>
      <c r="DA208">
        <f>SUMIF('Как будет'!$A$17:$A$24,Доп.расчеты!$A208,'Как будет'!DB$17:DB$24)</f>
        <v>0</v>
      </c>
      <c r="DB208">
        <f>SUMIF('Как будет'!$A$17:$A$24,Доп.расчеты!$A208,'Как будет'!DC$17:DC$24)</f>
        <v>0</v>
      </c>
      <c r="DC208">
        <f>SUMIF('Как будет'!$A$17:$A$24,Доп.расчеты!$A208,'Как будет'!DD$17:DD$24)</f>
        <v>0</v>
      </c>
      <c r="DD208">
        <f>SUMIF('Как будет'!$A$17:$A$24,Доп.расчеты!$A208,'Как будет'!DE$17:DE$24)</f>
        <v>0</v>
      </c>
      <c r="DE208">
        <f>SUMIF('Как будет'!$A$17:$A$24,Доп.расчеты!$A208,'Как будет'!DF$17:DF$24)</f>
        <v>0</v>
      </c>
      <c r="DF208">
        <f>SUMIF('Как будет'!$A$17:$A$24,Доп.расчеты!$A208,'Как будет'!DG$17:DG$24)</f>
        <v>0</v>
      </c>
      <c r="DG208">
        <f>SUMIF('Как будет'!$A$17:$A$24,Доп.расчеты!$A208,'Как будет'!DH$17:DH$24)</f>
        <v>0</v>
      </c>
      <c r="DH208">
        <f>SUMIF('Как будет'!$A$17:$A$24,Доп.расчеты!$A208,'Как будет'!DI$17:DI$24)</f>
        <v>0</v>
      </c>
      <c r="DI208">
        <f>SUMIF('Как будет'!$A$17:$A$24,Доп.расчеты!$A208,'Как будет'!DJ$17:DJ$24)</f>
        <v>0</v>
      </c>
      <c r="DJ208">
        <f>SUMIF('Как будет'!$A$17:$A$24,Доп.расчеты!$A208,'Как будет'!DK$17:DK$24)</f>
        <v>0</v>
      </c>
      <c r="DK208">
        <f>SUMIF('Как будет'!$A$17:$A$24,Доп.расчеты!$A208,'Как будет'!DL$17:DL$24)</f>
        <v>0</v>
      </c>
      <c r="DL208">
        <f>SUMIF('Как будет'!$A$17:$A$24,Доп.расчеты!$A208,'Как будет'!DM$17:DM$24)</f>
        <v>0</v>
      </c>
      <c r="DM208">
        <f>SUMIF('Как будет'!$A$17:$A$24,Доп.расчеты!$A208,'Как будет'!DN$17:DN$24)</f>
        <v>0</v>
      </c>
      <c r="DN208">
        <f>SUMIF('Как будет'!$A$17:$A$24,Доп.расчеты!$A208,'Как будет'!DO$17:DO$24)</f>
        <v>0</v>
      </c>
      <c r="DO208">
        <f>SUMIF('Как будет'!$A$17:$A$24,Доп.расчеты!$A208,'Как будет'!DP$17:DP$24)</f>
        <v>0</v>
      </c>
      <c r="DP208">
        <f>SUMIF('Как будет'!$A$17:$A$24,Доп.расчеты!$A208,'Как будет'!DQ$17:DQ$24)</f>
        <v>0</v>
      </c>
      <c r="DQ208">
        <f>SUMIF('Как будет'!$A$17:$A$24,Доп.расчеты!$A208,'Как будет'!DR$17:DR$24)</f>
        <v>0</v>
      </c>
      <c r="DR208">
        <f>SUMIF('Как будет'!$A$17:$A$24,Доп.расчеты!$A208,'Как будет'!DS$17:DS$24)</f>
        <v>0</v>
      </c>
      <c r="DS208">
        <f>SUMIF('Как будет'!$A$17:$A$24,Доп.расчеты!$A208,'Как будет'!DT$17:DT$24)</f>
        <v>0</v>
      </c>
      <c r="DT208">
        <f>SUMIF('Как будет'!$A$17:$A$24,Доп.расчеты!$A208,'Как будет'!DU$17:DU$24)</f>
        <v>0</v>
      </c>
      <c r="DU208">
        <f>SUMIF('Как будет'!$A$17:$A$24,Доп.расчеты!$A208,'Как будет'!DV$17:DV$24)</f>
        <v>0</v>
      </c>
      <c r="DV208">
        <f>SUMIF('Как будет'!$A$17:$A$24,Доп.расчеты!$A208,'Как будет'!DW$17:DW$24)</f>
        <v>0</v>
      </c>
      <c r="DW208">
        <f>SUMIF('Как будет'!$A$17:$A$24,Доп.расчеты!$A208,'Как будет'!DX$17:DX$24)</f>
        <v>0</v>
      </c>
      <c r="DX208">
        <f>SUMIF('Как будет'!$A$17:$A$24,Доп.расчеты!$A208,'Как будет'!DY$17:DY$24)</f>
        <v>0</v>
      </c>
      <c r="DY208">
        <f>SUMIF('Как будет'!$A$17:$A$24,Доп.расчеты!$A208,'Как будет'!DZ$17:DZ$24)</f>
        <v>0</v>
      </c>
      <c r="DZ208">
        <f>SUMIF('Как будет'!$A$17:$A$24,Доп.расчеты!$A208,'Как будет'!EA$17:EA$24)</f>
        <v>0</v>
      </c>
      <c r="EA208">
        <f>SUMIF('Как будет'!$A$17:$A$24,Доп.расчеты!$A208,'Как будет'!EB$17:EB$24)</f>
        <v>0</v>
      </c>
      <c r="EB208">
        <f>SUMIF('Как будет'!$A$17:$A$24,Доп.расчеты!$A208,'Как будет'!EC$17:EC$24)</f>
        <v>0</v>
      </c>
      <c r="EC208">
        <f>SUMIF('Как будет'!$A$17:$A$24,Доп.расчеты!$A208,'Как будет'!ED$17:ED$24)</f>
        <v>0</v>
      </c>
      <c r="ED208">
        <f>SUMIF('Как будет'!$A$17:$A$24,Доп.расчеты!$A208,'Как будет'!EE$17:EE$24)</f>
        <v>0</v>
      </c>
      <c r="EE208">
        <f>SUMIF('Как будет'!$A$17:$A$24,Доп.расчеты!$A208,'Как будет'!EF$17:EF$24)</f>
        <v>0</v>
      </c>
      <c r="EF208">
        <f>SUMIF('Как будет'!$A$17:$A$24,Доп.расчеты!$A208,'Как будет'!EG$17:EG$24)</f>
        <v>0</v>
      </c>
      <c r="EG208">
        <f>SUMIF('Как будет'!$A$17:$A$24,Доп.расчеты!$A208,'Как будет'!EH$17:EH$24)</f>
        <v>0</v>
      </c>
      <c r="EH208">
        <f>SUMIF('Как будет'!$A$17:$A$24,Доп.расчеты!$A208,'Как будет'!EI$17:EI$24)</f>
        <v>0</v>
      </c>
      <c r="EI208">
        <f>SUMIF('Как будет'!$A$17:$A$24,Доп.расчеты!$A208,'Как будет'!EJ$17:EJ$24)</f>
        <v>0</v>
      </c>
      <c r="EJ208">
        <f>SUMIF('Как будет'!$A$17:$A$24,Доп.расчеты!$A208,'Как будет'!EK$17:EK$24)</f>
        <v>0</v>
      </c>
      <c r="EK208">
        <f>SUMIF('Как будет'!$A$17:$A$24,Доп.расчеты!$A208,'Как будет'!EL$17:EL$24)</f>
        <v>0</v>
      </c>
      <c r="EL208">
        <f>SUMIF('Как будет'!$A$17:$A$24,Доп.расчеты!$A208,'Как будет'!EM$17:EM$24)</f>
        <v>0</v>
      </c>
      <c r="EM208">
        <f>SUMIF('Как будет'!$A$17:$A$24,Доп.расчеты!$A208,'Как будет'!EN$17:EN$24)</f>
        <v>0</v>
      </c>
      <c r="EN208">
        <f>SUMIF('Как будет'!$A$17:$A$24,Доп.расчеты!$A208,'Как будет'!EO$17:EO$24)</f>
        <v>0</v>
      </c>
      <c r="EO208">
        <f>SUMIF('Как будет'!$A$17:$A$24,Доп.расчеты!$A208,'Как будет'!EP$17:EP$24)</f>
        <v>0</v>
      </c>
      <c r="EP208">
        <f>SUMIF('Как будет'!$A$17:$A$24,Доп.расчеты!$A208,'Как будет'!EQ$17:EQ$24)</f>
        <v>0</v>
      </c>
      <c r="EQ208">
        <f>SUMIF('Как будет'!$A$17:$A$24,Доп.расчеты!$A208,'Как будет'!ER$17:ER$24)</f>
        <v>0</v>
      </c>
      <c r="ER208">
        <f>SUMIF('Как будет'!$A$17:$A$24,Доп.расчеты!$A208,'Как будет'!ES$17:ES$24)</f>
        <v>0</v>
      </c>
      <c r="ES208">
        <f>SUMIF('Как будет'!$A$17:$A$24,Доп.расчеты!$A208,'Как будет'!ET$17:ET$24)</f>
        <v>0</v>
      </c>
      <c r="ET208">
        <f>SUMIF('Как будет'!$A$17:$A$24,Доп.расчеты!$A208,'Как будет'!EU$17:EU$24)</f>
        <v>0</v>
      </c>
      <c r="EU208">
        <f>SUMIF('Как будет'!$A$17:$A$24,Доп.расчеты!$A208,'Как будет'!EV$17:EV$24)</f>
        <v>0</v>
      </c>
      <c r="EV208">
        <f>SUMIF('Как будет'!$A$17:$A$24,Доп.расчеты!$A208,'Как будет'!EW$17:EW$24)</f>
        <v>0</v>
      </c>
      <c r="EW208">
        <f>SUMIF('Как будет'!$A$17:$A$24,Доп.расчеты!$A208,'Как будет'!EX$17:EX$24)</f>
        <v>0</v>
      </c>
      <c r="EX208">
        <f>SUMIF('Как будет'!$A$17:$A$24,Доп.расчеты!$A208,'Как будет'!EY$17:EY$24)</f>
        <v>0</v>
      </c>
      <c r="EY208">
        <f>SUMIF('Как будет'!$A$17:$A$24,Доп.расчеты!$A208,'Как будет'!EZ$17:EZ$24)</f>
        <v>0</v>
      </c>
      <c r="EZ208">
        <f>SUMIF('Как будет'!$A$17:$A$24,Доп.расчеты!$A208,'Как будет'!FA$17:FA$24)</f>
        <v>0</v>
      </c>
      <c r="FA208">
        <f>SUMIF('Как будет'!$A$17:$A$24,Доп.расчеты!$A208,'Как будет'!FB$17:FB$24)</f>
        <v>0</v>
      </c>
      <c r="FB208">
        <f>SUMIF('Как будет'!$A$17:$A$24,Доп.расчеты!$A208,'Как будет'!FC$17:FC$24)</f>
        <v>0</v>
      </c>
      <c r="FC208">
        <f>SUMIF('Как будет'!$A$17:$A$24,Доп.расчеты!$A208,'Как будет'!FD$17:FD$24)</f>
        <v>0</v>
      </c>
      <c r="FD208">
        <f>SUMIF('Как будет'!$A$17:$A$24,Доп.расчеты!$A208,'Как будет'!FE$17:FE$24)</f>
        <v>0</v>
      </c>
      <c r="FE208">
        <f>SUMIF('Как будет'!$A$17:$A$24,Доп.расчеты!$A208,'Как будет'!FF$17:FF$24)</f>
        <v>0</v>
      </c>
      <c r="FF208">
        <f>SUMIF('Как будет'!$A$17:$A$24,Доп.расчеты!$A208,'Как будет'!FG$17:FG$24)</f>
        <v>0</v>
      </c>
      <c r="FG208">
        <f>SUMIF('Как будет'!$A$17:$A$24,Доп.расчеты!$A208,'Как будет'!FH$17:FH$24)</f>
        <v>0</v>
      </c>
      <c r="FH208">
        <f>SUMIF('Как будет'!$A$17:$A$24,Доп.расчеты!$A208,'Как будет'!FI$17:FI$24)</f>
        <v>0</v>
      </c>
      <c r="FI208">
        <f>SUMIF('Как будет'!$A$17:$A$24,Доп.расчеты!$A208,'Как будет'!FJ$17:FJ$24)</f>
        <v>0</v>
      </c>
      <c r="FJ208">
        <f>SUMIF('Как будет'!$A$17:$A$24,Доп.расчеты!$A208,'Как будет'!FK$17:FK$24)</f>
        <v>0</v>
      </c>
      <c r="FK208">
        <f>SUMIF('Как будет'!$A$17:$A$24,Доп.расчеты!$A208,'Как будет'!FL$17:FL$24)</f>
        <v>0</v>
      </c>
      <c r="FL208">
        <f>SUMIF('Как будет'!$A$17:$A$24,Доп.расчеты!$A208,'Как будет'!FM$17:FM$24)</f>
        <v>0</v>
      </c>
      <c r="FM208">
        <f>SUMIF('Как будет'!$A$17:$A$24,Доп.расчеты!$A208,'Как будет'!FN$17:FN$24)</f>
        <v>0</v>
      </c>
      <c r="FN208">
        <f>SUMIF('Как будет'!$A$17:$A$24,Доп.расчеты!$A208,'Как будет'!FO$17:FO$24)</f>
        <v>0</v>
      </c>
      <c r="FO208">
        <f>SUMIF('Как будет'!$A$17:$A$24,Доп.расчеты!$A208,'Как будет'!FP$17:FP$24)</f>
        <v>0</v>
      </c>
      <c r="FP208">
        <f>SUMIF('Как будет'!$A$17:$A$24,Доп.расчеты!$A208,'Как будет'!FQ$17:FQ$24)</f>
        <v>0</v>
      </c>
      <c r="FQ208">
        <f>SUMIF('Как будет'!$A$17:$A$24,Доп.расчеты!$A208,'Как будет'!FR$17:FR$24)</f>
        <v>0</v>
      </c>
      <c r="FR208">
        <f>SUMIF('Как будет'!$A$17:$A$24,Доп.расчеты!$A208,'Как будет'!FS$17:FS$24)</f>
        <v>0</v>
      </c>
      <c r="FS208">
        <f>SUMIF('Как будет'!$A$17:$A$24,Доп.расчеты!$A208,'Как будет'!FT$17:FT$24)</f>
        <v>0</v>
      </c>
      <c r="FT208">
        <f>SUMIF('Как будет'!$A$17:$A$24,Доп.расчеты!$A208,'Как будет'!FU$17:FU$24)</f>
        <v>0</v>
      </c>
      <c r="FU208">
        <f>SUMIF('Как будет'!$A$17:$A$24,Доп.расчеты!$A208,'Как будет'!FV$17:FV$24)</f>
        <v>0</v>
      </c>
      <c r="FV208">
        <f>SUMIF('Как будет'!$A$17:$A$24,Доп.расчеты!$A208,'Как будет'!FW$17:FW$24)</f>
        <v>0</v>
      </c>
      <c r="FW208">
        <f>SUMIF('Как будет'!$A$17:$A$24,Доп.расчеты!$A208,'Как будет'!FX$17:FX$24)</f>
        <v>0</v>
      </c>
      <c r="FX208">
        <f>SUMIF('Как будет'!$A$17:$A$24,Доп.расчеты!$A208,'Как будет'!FY$17:FY$24)</f>
        <v>0</v>
      </c>
      <c r="FY208">
        <f>SUMIF('Как будет'!$A$17:$A$24,Доп.расчеты!$A208,'Как будет'!FZ$17:FZ$24)</f>
        <v>0</v>
      </c>
      <c r="FZ208">
        <f>SUMIF('Как будет'!$A$17:$A$24,Доп.расчеты!$A208,'Как будет'!GA$17:GA$24)</f>
        <v>0</v>
      </c>
      <c r="GA208">
        <f>SUMIF('Как будет'!$A$17:$A$24,Доп.расчеты!$A208,'Как будет'!GB$17:GB$24)</f>
        <v>0</v>
      </c>
      <c r="GB208">
        <f>SUMIF('Как будет'!$A$17:$A$24,Доп.расчеты!$A208,'Как будет'!GC$17:GC$24)</f>
        <v>0</v>
      </c>
      <c r="GC208">
        <f>SUMIF('Как будет'!$A$17:$A$24,Доп.расчеты!$A208,'Как будет'!GD$17:GD$24)</f>
        <v>0</v>
      </c>
      <c r="GD208">
        <f>SUMIF('Как будет'!$A$17:$A$24,Доп.расчеты!$A208,'Как будет'!GE$17:GE$24)</f>
        <v>0</v>
      </c>
      <c r="GE208">
        <f>SUMIF('Как будет'!$A$17:$A$24,Доп.расчеты!$A208,'Как будет'!GF$17:GF$24)</f>
        <v>0</v>
      </c>
      <c r="GF208">
        <f>SUMIF('Как будет'!$A$17:$A$24,Доп.расчеты!$A208,'Как будет'!GG$17:GG$24)</f>
        <v>0</v>
      </c>
      <c r="GG208">
        <f>SUMIF('Как будет'!$A$17:$A$24,Доп.расчеты!$A208,'Как будет'!GH$17:GH$24)</f>
        <v>0</v>
      </c>
      <c r="GH208">
        <f>SUMIF('Как будет'!$A$17:$A$24,Доп.расчеты!$A208,'Как будет'!GI$17:GI$24)</f>
        <v>0</v>
      </c>
      <c r="GI208">
        <f>SUMIF('Как будет'!$A$17:$A$24,Доп.расчеты!$A208,'Как будет'!GJ$17:GJ$24)</f>
        <v>0</v>
      </c>
      <c r="GJ208">
        <f>SUMIF('Как будет'!$A$17:$A$24,Доп.расчеты!$A208,'Как будет'!GK$17:GK$24)</f>
        <v>0</v>
      </c>
      <c r="GK208">
        <f>SUMIF('Как будет'!$A$17:$A$24,Доп.расчеты!$A208,'Как будет'!GL$17:GL$24)</f>
        <v>0</v>
      </c>
      <c r="GL208">
        <f>SUMIF('Как будет'!$A$17:$A$24,Доп.расчеты!$A208,'Как будет'!GM$17:GM$24)</f>
        <v>0</v>
      </c>
      <c r="GM208">
        <f>SUMIF('Как будет'!$A$17:$A$24,Доп.расчеты!$A208,'Как будет'!GN$17:GN$24)</f>
        <v>0</v>
      </c>
      <c r="GN208">
        <f>SUMIF('Как будет'!$A$17:$A$24,Доп.расчеты!$A208,'Как будет'!GO$17:GO$24)</f>
        <v>0</v>
      </c>
      <c r="GO208">
        <f>SUMIF('Как будет'!$A$17:$A$24,Доп.расчеты!$A208,'Как будет'!GP$17:GP$24)</f>
        <v>0</v>
      </c>
      <c r="GP208">
        <f>SUMIF('Как будет'!$A$17:$A$24,Доп.расчеты!$A208,'Как будет'!GQ$17:GQ$24)</f>
        <v>0</v>
      </c>
      <c r="GQ208">
        <f>SUMIF('Как будет'!$A$17:$A$24,Доп.расчеты!$A208,'Как будет'!GR$17:GR$24)</f>
        <v>0</v>
      </c>
      <c r="GR208">
        <f>SUMIF('Как будет'!$A$17:$A$24,Доп.расчеты!$A208,'Как будет'!GS$17:GS$24)</f>
        <v>0</v>
      </c>
      <c r="GS208">
        <f>SUMIF('Как будет'!$A$17:$A$24,Доп.расчеты!$A208,'Как будет'!GT$17:GT$24)</f>
        <v>0</v>
      </c>
      <c r="GT208">
        <f>SUMIF('Как будет'!$A$17:$A$24,Доп.расчеты!$A208,'Как будет'!GU$17:GU$24)</f>
        <v>0</v>
      </c>
    </row>
    <row r="209" spans="1:202">
      <c r="A209" s="238" t="s">
        <v>104</v>
      </c>
      <c r="B209">
        <f>SUMIF('Как будет'!$A$17:$A$24,Доп.расчеты!$A209,'Как будет'!C$17:C$24)</f>
        <v>0</v>
      </c>
      <c r="C209">
        <f>SUMIF('Как будет'!$A$17:$A$24,Доп.расчеты!$A209,'Как будет'!D$17:D$24)</f>
        <v>0</v>
      </c>
      <c r="D209">
        <f>SUMIF('Как будет'!$A$17:$A$24,Доп.расчеты!$A209,'Как будет'!E$17:E$24)</f>
        <v>0</v>
      </c>
      <c r="E209">
        <f>SUMIF('Как будет'!$A$17:$A$24,Доп.расчеты!$A209,'Как будет'!F$17:F$24)</f>
        <v>0</v>
      </c>
      <c r="F209">
        <f>SUMIF('Как будет'!$A$17:$A$24,Доп.расчеты!$A209,'Как будет'!G$17:G$24)</f>
        <v>0</v>
      </c>
      <c r="G209">
        <f>SUMIF('Как будет'!$A$17:$A$24,Доп.расчеты!$A209,'Как будет'!H$17:H$24)</f>
        <v>0</v>
      </c>
      <c r="H209">
        <f>SUMIF('Как будет'!$A$17:$A$24,Доп.расчеты!$A209,'Как будет'!I$17:I$24)</f>
        <v>0</v>
      </c>
      <c r="I209">
        <f>SUMIF('Как будет'!$A$17:$A$24,Доп.расчеты!$A209,'Как будет'!J$17:J$24)</f>
        <v>0</v>
      </c>
      <c r="J209">
        <f>SUMIF('Как будет'!$A$17:$A$24,Доп.расчеты!$A209,'Как будет'!K$17:K$24)</f>
        <v>0</v>
      </c>
      <c r="K209">
        <f>SUMIF('Как будет'!$A$17:$A$24,Доп.расчеты!$A209,'Как будет'!L$17:L$24)</f>
        <v>0</v>
      </c>
      <c r="L209">
        <f>SUMIF('Как будет'!$A$17:$A$24,Доп.расчеты!$A209,'Как будет'!M$17:M$24)</f>
        <v>0</v>
      </c>
      <c r="M209">
        <f>SUMIF('Как будет'!$A$17:$A$24,Доп.расчеты!$A209,'Как будет'!N$17:N$24)</f>
        <v>0</v>
      </c>
      <c r="N209">
        <f>SUMIF('Как будет'!$A$17:$A$24,Доп.расчеты!$A209,'Как будет'!O$17:O$24)</f>
        <v>0</v>
      </c>
      <c r="O209">
        <f>SUMIF('Как будет'!$A$17:$A$24,Доп.расчеты!$A209,'Как будет'!P$17:P$24)</f>
        <v>0</v>
      </c>
      <c r="P209">
        <f>SUMIF('Как будет'!$A$17:$A$24,Доп.расчеты!$A209,'Как будет'!Q$17:Q$24)</f>
        <v>0</v>
      </c>
      <c r="Q209">
        <f>SUMIF('Как будет'!$A$17:$A$24,Доп.расчеты!$A209,'Как будет'!R$17:R$24)</f>
        <v>0</v>
      </c>
      <c r="R209">
        <f>SUMIF('Как будет'!$A$17:$A$24,Доп.расчеты!$A209,'Как будет'!S$17:S$24)</f>
        <v>0</v>
      </c>
      <c r="S209">
        <f>SUMIF('Как будет'!$A$17:$A$24,Доп.расчеты!$A209,'Как будет'!T$17:T$24)</f>
        <v>0</v>
      </c>
      <c r="T209">
        <f>SUMIF('Как будет'!$A$17:$A$24,Доп.расчеты!$A209,'Как будет'!U$17:U$24)</f>
        <v>0</v>
      </c>
      <c r="U209">
        <f>SUMIF('Как будет'!$A$17:$A$24,Доп.расчеты!$A209,'Как будет'!V$17:V$24)</f>
        <v>0</v>
      </c>
      <c r="V209">
        <f>SUMIF('Как будет'!$A$17:$A$24,Доп.расчеты!$A209,'Как будет'!W$17:W$24)</f>
        <v>0</v>
      </c>
      <c r="W209">
        <f>SUMIF('Как будет'!$A$17:$A$24,Доп.расчеты!$A209,'Как будет'!X$17:X$24)</f>
        <v>0</v>
      </c>
      <c r="X209">
        <f>SUMIF('Как будет'!$A$17:$A$24,Доп.расчеты!$A209,'Как будет'!Y$17:Y$24)</f>
        <v>0</v>
      </c>
      <c r="Y209">
        <f>SUMIF('Как будет'!$A$17:$A$24,Доп.расчеты!$A209,'Как будет'!Z$17:Z$24)</f>
        <v>0</v>
      </c>
      <c r="Z209">
        <f>SUMIF('Как будет'!$A$17:$A$24,Доп.расчеты!$A209,'Как будет'!AA$17:AA$24)</f>
        <v>0</v>
      </c>
      <c r="AA209">
        <f>SUMIF('Как будет'!$A$17:$A$24,Доп.расчеты!$A209,'Как будет'!AB$17:AB$24)</f>
        <v>0</v>
      </c>
      <c r="AB209">
        <f>SUMIF('Как будет'!$A$17:$A$24,Доп.расчеты!$A209,'Как будет'!AC$17:AC$24)</f>
        <v>0</v>
      </c>
      <c r="AC209">
        <f>SUMIF('Как будет'!$A$17:$A$24,Доп.расчеты!$A209,'Как будет'!AD$17:AD$24)</f>
        <v>0</v>
      </c>
      <c r="AD209">
        <f>SUMIF('Как будет'!$A$17:$A$24,Доп.расчеты!$A209,'Как будет'!AE$17:AE$24)</f>
        <v>0</v>
      </c>
      <c r="AE209">
        <f>SUMIF('Как будет'!$A$17:$A$24,Доп.расчеты!$A209,'Как будет'!AF$17:AF$24)</f>
        <v>0</v>
      </c>
      <c r="AF209">
        <f>SUMIF('Как будет'!$A$17:$A$24,Доп.расчеты!$A209,'Как будет'!AG$17:AG$24)</f>
        <v>0</v>
      </c>
      <c r="AG209">
        <f>SUMIF('Как будет'!$A$17:$A$24,Доп.расчеты!$A209,'Как будет'!AH$17:AH$24)</f>
        <v>0</v>
      </c>
      <c r="AH209">
        <f>SUMIF('Как будет'!$A$17:$A$24,Доп.расчеты!$A209,'Как будет'!AI$17:AI$24)</f>
        <v>0</v>
      </c>
      <c r="AI209">
        <f>SUMIF('Как будет'!$A$17:$A$24,Доп.расчеты!$A209,'Как будет'!AJ$17:AJ$24)</f>
        <v>0</v>
      </c>
      <c r="AJ209">
        <f>SUMIF('Как будет'!$A$17:$A$24,Доп.расчеты!$A209,'Как будет'!AK$17:AK$24)</f>
        <v>0</v>
      </c>
      <c r="AK209">
        <f>SUMIF('Как будет'!$A$17:$A$24,Доп.расчеты!$A209,'Как будет'!AL$17:AL$24)</f>
        <v>0</v>
      </c>
      <c r="AL209">
        <f>SUMIF('Как будет'!$A$17:$A$24,Доп.расчеты!$A209,'Как будет'!AM$17:AM$24)</f>
        <v>0</v>
      </c>
      <c r="AM209">
        <f>SUMIF('Как будет'!$A$17:$A$24,Доп.расчеты!$A209,'Как будет'!AN$17:AN$24)</f>
        <v>0</v>
      </c>
      <c r="AN209">
        <f>SUMIF('Как будет'!$A$17:$A$24,Доп.расчеты!$A209,'Как будет'!AO$17:AO$24)</f>
        <v>0</v>
      </c>
      <c r="AO209">
        <f>SUMIF('Как будет'!$A$17:$A$24,Доп.расчеты!$A209,'Как будет'!AP$17:AP$24)</f>
        <v>0</v>
      </c>
      <c r="AP209">
        <f>SUMIF('Как будет'!$A$17:$A$24,Доп.расчеты!$A209,'Как будет'!AQ$17:AQ$24)</f>
        <v>0</v>
      </c>
      <c r="AQ209">
        <f>SUMIF('Как будет'!$A$17:$A$24,Доп.расчеты!$A209,'Как будет'!AR$17:AR$24)</f>
        <v>0</v>
      </c>
      <c r="AR209">
        <f>SUMIF('Как будет'!$A$17:$A$24,Доп.расчеты!$A209,'Как будет'!AS$17:AS$24)</f>
        <v>0</v>
      </c>
      <c r="AS209">
        <f>SUMIF('Как будет'!$A$17:$A$24,Доп.расчеты!$A209,'Как будет'!AT$17:AT$24)</f>
        <v>0</v>
      </c>
      <c r="AT209">
        <f>SUMIF('Как будет'!$A$17:$A$24,Доп.расчеты!$A209,'Как будет'!AU$17:AU$24)</f>
        <v>0</v>
      </c>
      <c r="AU209">
        <f>SUMIF('Как будет'!$A$17:$A$24,Доп.расчеты!$A209,'Как будет'!AV$17:AV$24)</f>
        <v>0</v>
      </c>
      <c r="AV209">
        <f>SUMIF('Как будет'!$A$17:$A$24,Доп.расчеты!$A209,'Как будет'!AW$17:AW$24)</f>
        <v>0</v>
      </c>
      <c r="AW209">
        <f>SUMIF('Как будет'!$A$17:$A$24,Доп.расчеты!$A209,'Как будет'!AX$17:AX$24)</f>
        <v>0</v>
      </c>
      <c r="AX209">
        <f>SUMIF('Как будет'!$A$17:$A$24,Доп.расчеты!$A209,'Как будет'!AY$17:AY$24)</f>
        <v>0</v>
      </c>
      <c r="AY209">
        <f>SUMIF('Как будет'!$A$17:$A$24,Доп.расчеты!$A209,'Как будет'!AZ$17:AZ$24)</f>
        <v>0</v>
      </c>
      <c r="AZ209">
        <f>SUMIF('Как будет'!$A$17:$A$24,Доп.расчеты!$A209,'Как будет'!BA$17:BA$24)</f>
        <v>0</v>
      </c>
      <c r="BA209">
        <f>SUMIF('Как будет'!$A$17:$A$24,Доп.расчеты!$A209,'Как будет'!BB$17:BB$24)</f>
        <v>0</v>
      </c>
      <c r="BB209">
        <f>SUMIF('Как будет'!$A$17:$A$24,Доп.расчеты!$A209,'Как будет'!BC$17:BC$24)</f>
        <v>0</v>
      </c>
      <c r="BC209">
        <f>SUMIF('Как будет'!$A$17:$A$24,Доп.расчеты!$A209,'Как будет'!BD$17:BD$24)</f>
        <v>0</v>
      </c>
      <c r="BD209">
        <f>SUMIF('Как будет'!$A$17:$A$24,Доп.расчеты!$A209,'Как будет'!BE$17:BE$24)</f>
        <v>0</v>
      </c>
      <c r="BE209">
        <f>SUMIF('Как будет'!$A$17:$A$24,Доп.расчеты!$A209,'Как будет'!BF$17:BF$24)</f>
        <v>0</v>
      </c>
      <c r="BF209">
        <f>SUMIF('Как будет'!$A$17:$A$24,Доп.расчеты!$A209,'Как будет'!BG$17:BG$24)</f>
        <v>0</v>
      </c>
      <c r="BG209">
        <f>SUMIF('Как будет'!$A$17:$A$24,Доп.расчеты!$A209,'Как будет'!BH$17:BH$24)</f>
        <v>0</v>
      </c>
      <c r="BH209">
        <f>SUMIF('Как будет'!$A$17:$A$24,Доп.расчеты!$A209,'Как будет'!BI$17:BI$24)</f>
        <v>0</v>
      </c>
      <c r="BI209">
        <f>SUMIF('Как будет'!$A$17:$A$24,Доп.расчеты!$A209,'Как будет'!BJ$17:BJ$24)</f>
        <v>0</v>
      </c>
      <c r="BJ209">
        <f>SUMIF('Как будет'!$A$17:$A$24,Доп.расчеты!$A209,'Как будет'!BK$17:BK$24)</f>
        <v>0</v>
      </c>
      <c r="BK209">
        <f>SUMIF('Как будет'!$A$17:$A$24,Доп.расчеты!$A209,'Как будет'!BL$17:BL$24)</f>
        <v>0</v>
      </c>
      <c r="BL209">
        <f>SUMIF('Как будет'!$A$17:$A$24,Доп.расчеты!$A209,'Как будет'!BM$17:BM$24)</f>
        <v>0</v>
      </c>
      <c r="BM209">
        <f>SUMIF('Как будет'!$A$17:$A$24,Доп.расчеты!$A209,'Как будет'!BN$17:BN$24)</f>
        <v>0</v>
      </c>
      <c r="BN209">
        <f>SUMIF('Как будет'!$A$17:$A$24,Доп.расчеты!$A209,'Как будет'!BO$17:BO$24)</f>
        <v>0</v>
      </c>
      <c r="BO209">
        <f>SUMIF('Как будет'!$A$17:$A$24,Доп.расчеты!$A209,'Как будет'!BP$17:BP$24)</f>
        <v>0</v>
      </c>
      <c r="BP209">
        <f>SUMIF('Как будет'!$A$17:$A$24,Доп.расчеты!$A209,'Как будет'!BQ$17:BQ$24)</f>
        <v>0</v>
      </c>
      <c r="BQ209">
        <f>SUMIF('Как будет'!$A$17:$A$24,Доп.расчеты!$A209,'Как будет'!BR$17:BR$24)</f>
        <v>0</v>
      </c>
      <c r="BR209">
        <f>SUMIF('Как будет'!$A$17:$A$24,Доп.расчеты!$A209,'Как будет'!BS$17:BS$24)</f>
        <v>0</v>
      </c>
      <c r="BS209">
        <f>SUMIF('Как будет'!$A$17:$A$24,Доп.расчеты!$A209,'Как будет'!BT$17:BT$24)</f>
        <v>0</v>
      </c>
      <c r="BT209">
        <f>SUMIF('Как будет'!$A$17:$A$24,Доп.расчеты!$A209,'Как будет'!BU$17:BU$24)</f>
        <v>0</v>
      </c>
      <c r="BU209">
        <f>SUMIF('Как будет'!$A$17:$A$24,Доп.расчеты!$A209,'Как будет'!BV$17:BV$24)</f>
        <v>0</v>
      </c>
      <c r="BV209">
        <f>SUMIF('Как будет'!$A$17:$A$24,Доп.расчеты!$A209,'Как будет'!BW$17:BW$24)</f>
        <v>0</v>
      </c>
      <c r="BW209">
        <f>SUMIF('Как будет'!$A$17:$A$24,Доп.расчеты!$A209,'Как будет'!BX$17:BX$24)</f>
        <v>0</v>
      </c>
      <c r="BX209">
        <f>SUMIF('Как будет'!$A$17:$A$24,Доп.расчеты!$A209,'Как будет'!BY$17:BY$24)</f>
        <v>0</v>
      </c>
      <c r="BY209">
        <f>SUMIF('Как будет'!$A$17:$A$24,Доп.расчеты!$A209,'Как будет'!BZ$17:BZ$24)</f>
        <v>0</v>
      </c>
      <c r="BZ209">
        <f>SUMIF('Как будет'!$A$17:$A$24,Доп.расчеты!$A209,'Как будет'!CA$17:CA$24)</f>
        <v>0</v>
      </c>
      <c r="CA209">
        <f>SUMIF('Как будет'!$A$17:$A$24,Доп.расчеты!$A209,'Как будет'!CB$17:CB$24)</f>
        <v>0</v>
      </c>
      <c r="CB209">
        <f>SUMIF('Как будет'!$A$17:$A$24,Доп.расчеты!$A209,'Как будет'!CC$17:CC$24)</f>
        <v>0</v>
      </c>
      <c r="CC209">
        <f>SUMIF('Как будет'!$A$17:$A$24,Доп.расчеты!$A209,'Как будет'!CD$17:CD$24)</f>
        <v>0</v>
      </c>
      <c r="CD209">
        <f>SUMIF('Как будет'!$A$17:$A$24,Доп.расчеты!$A209,'Как будет'!CE$17:CE$24)</f>
        <v>0</v>
      </c>
      <c r="CE209">
        <f>SUMIF('Как будет'!$A$17:$A$24,Доп.расчеты!$A209,'Как будет'!CF$17:CF$24)</f>
        <v>0</v>
      </c>
      <c r="CF209">
        <f>SUMIF('Как будет'!$A$17:$A$24,Доп.расчеты!$A209,'Как будет'!CG$17:CG$24)</f>
        <v>0</v>
      </c>
      <c r="CG209">
        <f>SUMIF('Как будет'!$A$17:$A$24,Доп.расчеты!$A209,'Как будет'!CH$17:CH$24)</f>
        <v>0</v>
      </c>
      <c r="CH209">
        <f>SUMIF('Как будет'!$A$17:$A$24,Доп.расчеты!$A209,'Как будет'!CI$17:CI$24)</f>
        <v>0</v>
      </c>
      <c r="CI209">
        <f>SUMIF('Как будет'!$A$17:$A$24,Доп.расчеты!$A209,'Как будет'!CJ$17:CJ$24)</f>
        <v>0</v>
      </c>
      <c r="CJ209">
        <f>SUMIF('Как будет'!$A$17:$A$24,Доп.расчеты!$A209,'Как будет'!CK$17:CK$24)</f>
        <v>0</v>
      </c>
      <c r="CK209">
        <f>SUMIF('Как будет'!$A$17:$A$24,Доп.расчеты!$A209,'Как будет'!CL$17:CL$24)</f>
        <v>0</v>
      </c>
      <c r="CL209">
        <f>SUMIF('Как будет'!$A$17:$A$24,Доп.расчеты!$A209,'Как будет'!CM$17:CM$24)</f>
        <v>0</v>
      </c>
      <c r="CM209">
        <f>SUMIF('Как будет'!$A$17:$A$24,Доп.расчеты!$A209,'Как будет'!CN$17:CN$24)</f>
        <v>0</v>
      </c>
      <c r="CN209">
        <f>SUMIF('Как будет'!$A$17:$A$24,Доп.расчеты!$A209,'Как будет'!CO$17:CO$24)</f>
        <v>0</v>
      </c>
      <c r="CO209">
        <f>SUMIF('Как будет'!$A$17:$A$24,Доп.расчеты!$A209,'Как будет'!CP$17:CP$24)</f>
        <v>0</v>
      </c>
      <c r="CP209">
        <f>SUMIF('Как будет'!$A$17:$A$24,Доп.расчеты!$A209,'Как будет'!CQ$17:CQ$24)</f>
        <v>0</v>
      </c>
      <c r="CQ209">
        <f>SUMIF('Как будет'!$A$17:$A$24,Доп.расчеты!$A209,'Как будет'!CR$17:CR$24)</f>
        <v>0</v>
      </c>
      <c r="CR209">
        <f>SUMIF('Как будет'!$A$17:$A$24,Доп.расчеты!$A209,'Как будет'!CS$17:CS$24)</f>
        <v>0</v>
      </c>
      <c r="CS209">
        <f>SUMIF('Как будет'!$A$17:$A$24,Доп.расчеты!$A209,'Как будет'!CT$17:CT$24)</f>
        <v>0</v>
      </c>
      <c r="CT209">
        <f>SUMIF('Как будет'!$A$17:$A$24,Доп.расчеты!$A209,'Как будет'!CU$17:CU$24)</f>
        <v>0</v>
      </c>
      <c r="CU209">
        <f>SUMIF('Как будет'!$A$17:$A$24,Доп.расчеты!$A209,'Как будет'!CV$17:CV$24)</f>
        <v>0</v>
      </c>
      <c r="CV209">
        <f>SUMIF('Как будет'!$A$17:$A$24,Доп.расчеты!$A209,'Как будет'!CW$17:CW$24)</f>
        <v>0</v>
      </c>
      <c r="CW209">
        <f>SUMIF('Как будет'!$A$17:$A$24,Доп.расчеты!$A209,'Как будет'!CX$17:CX$24)</f>
        <v>0</v>
      </c>
      <c r="CX209">
        <f>SUMIF('Как будет'!$A$17:$A$24,Доп.расчеты!$A209,'Как будет'!CY$17:CY$24)</f>
        <v>0</v>
      </c>
      <c r="CY209">
        <f>SUMIF('Как будет'!$A$17:$A$24,Доп.расчеты!$A209,'Как будет'!CZ$17:CZ$24)</f>
        <v>0</v>
      </c>
      <c r="CZ209">
        <f>SUMIF('Как будет'!$A$17:$A$24,Доп.расчеты!$A209,'Как будет'!DA$17:DA$24)</f>
        <v>0</v>
      </c>
      <c r="DA209">
        <f>SUMIF('Как будет'!$A$17:$A$24,Доп.расчеты!$A209,'Как будет'!DB$17:DB$24)</f>
        <v>0</v>
      </c>
      <c r="DB209">
        <f>SUMIF('Как будет'!$A$17:$A$24,Доп.расчеты!$A209,'Как будет'!DC$17:DC$24)</f>
        <v>0</v>
      </c>
      <c r="DC209">
        <f>SUMIF('Как будет'!$A$17:$A$24,Доп.расчеты!$A209,'Как будет'!DD$17:DD$24)</f>
        <v>0</v>
      </c>
      <c r="DD209">
        <f>SUMIF('Как будет'!$A$17:$A$24,Доп.расчеты!$A209,'Как будет'!DE$17:DE$24)</f>
        <v>0</v>
      </c>
      <c r="DE209">
        <f>SUMIF('Как будет'!$A$17:$A$24,Доп.расчеты!$A209,'Как будет'!DF$17:DF$24)</f>
        <v>0</v>
      </c>
      <c r="DF209">
        <f>SUMIF('Как будет'!$A$17:$A$24,Доп.расчеты!$A209,'Как будет'!DG$17:DG$24)</f>
        <v>0</v>
      </c>
      <c r="DG209">
        <f>SUMIF('Как будет'!$A$17:$A$24,Доп.расчеты!$A209,'Как будет'!DH$17:DH$24)</f>
        <v>0</v>
      </c>
      <c r="DH209">
        <f>SUMIF('Как будет'!$A$17:$A$24,Доп.расчеты!$A209,'Как будет'!DI$17:DI$24)</f>
        <v>0</v>
      </c>
      <c r="DI209">
        <f>SUMIF('Как будет'!$A$17:$A$24,Доп.расчеты!$A209,'Как будет'!DJ$17:DJ$24)</f>
        <v>0</v>
      </c>
      <c r="DJ209">
        <f>SUMIF('Как будет'!$A$17:$A$24,Доп.расчеты!$A209,'Как будет'!DK$17:DK$24)</f>
        <v>0</v>
      </c>
      <c r="DK209">
        <f>SUMIF('Как будет'!$A$17:$A$24,Доп.расчеты!$A209,'Как будет'!DL$17:DL$24)</f>
        <v>0</v>
      </c>
      <c r="DL209">
        <f>SUMIF('Как будет'!$A$17:$A$24,Доп.расчеты!$A209,'Как будет'!DM$17:DM$24)</f>
        <v>0</v>
      </c>
      <c r="DM209">
        <f>SUMIF('Как будет'!$A$17:$A$24,Доп.расчеты!$A209,'Как будет'!DN$17:DN$24)</f>
        <v>0</v>
      </c>
      <c r="DN209">
        <f>SUMIF('Как будет'!$A$17:$A$24,Доп.расчеты!$A209,'Как будет'!DO$17:DO$24)</f>
        <v>0</v>
      </c>
      <c r="DO209">
        <f>SUMIF('Как будет'!$A$17:$A$24,Доп.расчеты!$A209,'Как будет'!DP$17:DP$24)</f>
        <v>0</v>
      </c>
      <c r="DP209">
        <f>SUMIF('Как будет'!$A$17:$A$24,Доп.расчеты!$A209,'Как будет'!DQ$17:DQ$24)</f>
        <v>0</v>
      </c>
      <c r="DQ209">
        <f>SUMIF('Как будет'!$A$17:$A$24,Доп.расчеты!$A209,'Как будет'!DR$17:DR$24)</f>
        <v>0</v>
      </c>
      <c r="DR209">
        <f>SUMIF('Как будет'!$A$17:$A$24,Доп.расчеты!$A209,'Как будет'!DS$17:DS$24)</f>
        <v>0</v>
      </c>
      <c r="DS209">
        <f>SUMIF('Как будет'!$A$17:$A$24,Доп.расчеты!$A209,'Как будет'!DT$17:DT$24)</f>
        <v>0</v>
      </c>
      <c r="DT209">
        <f>SUMIF('Как будет'!$A$17:$A$24,Доп.расчеты!$A209,'Как будет'!DU$17:DU$24)</f>
        <v>0</v>
      </c>
      <c r="DU209">
        <f>SUMIF('Как будет'!$A$17:$A$24,Доп.расчеты!$A209,'Как будет'!DV$17:DV$24)</f>
        <v>0</v>
      </c>
      <c r="DV209">
        <f>SUMIF('Как будет'!$A$17:$A$24,Доп.расчеты!$A209,'Как будет'!DW$17:DW$24)</f>
        <v>0</v>
      </c>
      <c r="DW209">
        <f>SUMIF('Как будет'!$A$17:$A$24,Доп.расчеты!$A209,'Как будет'!DX$17:DX$24)</f>
        <v>0</v>
      </c>
      <c r="DX209">
        <f>SUMIF('Как будет'!$A$17:$A$24,Доп.расчеты!$A209,'Как будет'!DY$17:DY$24)</f>
        <v>0</v>
      </c>
      <c r="DY209">
        <f>SUMIF('Как будет'!$A$17:$A$24,Доп.расчеты!$A209,'Как будет'!DZ$17:DZ$24)</f>
        <v>0</v>
      </c>
      <c r="DZ209">
        <f>SUMIF('Как будет'!$A$17:$A$24,Доп.расчеты!$A209,'Как будет'!EA$17:EA$24)</f>
        <v>0</v>
      </c>
      <c r="EA209">
        <f>SUMIF('Как будет'!$A$17:$A$24,Доп.расчеты!$A209,'Как будет'!EB$17:EB$24)</f>
        <v>0</v>
      </c>
      <c r="EB209">
        <f>SUMIF('Как будет'!$A$17:$A$24,Доп.расчеты!$A209,'Как будет'!EC$17:EC$24)</f>
        <v>0</v>
      </c>
      <c r="EC209">
        <f>SUMIF('Как будет'!$A$17:$A$24,Доп.расчеты!$A209,'Как будет'!ED$17:ED$24)</f>
        <v>0</v>
      </c>
      <c r="ED209">
        <f>SUMIF('Как будет'!$A$17:$A$24,Доп.расчеты!$A209,'Как будет'!EE$17:EE$24)</f>
        <v>0</v>
      </c>
      <c r="EE209">
        <f>SUMIF('Как будет'!$A$17:$A$24,Доп.расчеты!$A209,'Как будет'!EF$17:EF$24)</f>
        <v>0</v>
      </c>
      <c r="EF209">
        <f>SUMIF('Как будет'!$A$17:$A$24,Доп.расчеты!$A209,'Как будет'!EG$17:EG$24)</f>
        <v>0</v>
      </c>
      <c r="EG209">
        <f>SUMIF('Как будет'!$A$17:$A$24,Доп.расчеты!$A209,'Как будет'!EH$17:EH$24)</f>
        <v>0</v>
      </c>
      <c r="EH209">
        <f>SUMIF('Как будет'!$A$17:$A$24,Доп.расчеты!$A209,'Как будет'!EI$17:EI$24)</f>
        <v>0</v>
      </c>
      <c r="EI209">
        <f>SUMIF('Как будет'!$A$17:$A$24,Доп.расчеты!$A209,'Как будет'!EJ$17:EJ$24)</f>
        <v>0</v>
      </c>
      <c r="EJ209">
        <f>SUMIF('Как будет'!$A$17:$A$24,Доп.расчеты!$A209,'Как будет'!EK$17:EK$24)</f>
        <v>0</v>
      </c>
      <c r="EK209">
        <f>SUMIF('Как будет'!$A$17:$A$24,Доп.расчеты!$A209,'Как будет'!EL$17:EL$24)</f>
        <v>0</v>
      </c>
      <c r="EL209">
        <f>SUMIF('Как будет'!$A$17:$A$24,Доп.расчеты!$A209,'Как будет'!EM$17:EM$24)</f>
        <v>0</v>
      </c>
      <c r="EM209">
        <f>SUMIF('Как будет'!$A$17:$A$24,Доп.расчеты!$A209,'Как будет'!EN$17:EN$24)</f>
        <v>0</v>
      </c>
      <c r="EN209">
        <f>SUMIF('Как будет'!$A$17:$A$24,Доп.расчеты!$A209,'Как будет'!EO$17:EO$24)</f>
        <v>0</v>
      </c>
      <c r="EO209">
        <f>SUMIF('Как будет'!$A$17:$A$24,Доп.расчеты!$A209,'Как будет'!EP$17:EP$24)</f>
        <v>0</v>
      </c>
      <c r="EP209">
        <f>SUMIF('Как будет'!$A$17:$A$24,Доп.расчеты!$A209,'Как будет'!EQ$17:EQ$24)</f>
        <v>0</v>
      </c>
      <c r="EQ209">
        <f>SUMIF('Как будет'!$A$17:$A$24,Доп.расчеты!$A209,'Как будет'!ER$17:ER$24)</f>
        <v>0</v>
      </c>
      <c r="ER209">
        <f>SUMIF('Как будет'!$A$17:$A$24,Доп.расчеты!$A209,'Как будет'!ES$17:ES$24)</f>
        <v>0</v>
      </c>
      <c r="ES209">
        <f>SUMIF('Как будет'!$A$17:$A$24,Доп.расчеты!$A209,'Как будет'!ET$17:ET$24)</f>
        <v>0</v>
      </c>
      <c r="ET209">
        <f>SUMIF('Как будет'!$A$17:$A$24,Доп.расчеты!$A209,'Как будет'!EU$17:EU$24)</f>
        <v>0</v>
      </c>
      <c r="EU209">
        <f>SUMIF('Как будет'!$A$17:$A$24,Доп.расчеты!$A209,'Как будет'!EV$17:EV$24)</f>
        <v>0</v>
      </c>
      <c r="EV209">
        <f>SUMIF('Как будет'!$A$17:$A$24,Доп.расчеты!$A209,'Как будет'!EW$17:EW$24)</f>
        <v>0</v>
      </c>
      <c r="EW209">
        <f>SUMIF('Как будет'!$A$17:$A$24,Доп.расчеты!$A209,'Как будет'!EX$17:EX$24)</f>
        <v>0</v>
      </c>
      <c r="EX209">
        <f>SUMIF('Как будет'!$A$17:$A$24,Доп.расчеты!$A209,'Как будет'!EY$17:EY$24)</f>
        <v>0</v>
      </c>
      <c r="EY209">
        <f>SUMIF('Как будет'!$A$17:$A$24,Доп.расчеты!$A209,'Как будет'!EZ$17:EZ$24)</f>
        <v>0</v>
      </c>
      <c r="EZ209">
        <f>SUMIF('Как будет'!$A$17:$A$24,Доп.расчеты!$A209,'Как будет'!FA$17:FA$24)</f>
        <v>0</v>
      </c>
      <c r="FA209">
        <f>SUMIF('Как будет'!$A$17:$A$24,Доп.расчеты!$A209,'Как будет'!FB$17:FB$24)</f>
        <v>0</v>
      </c>
      <c r="FB209">
        <f>SUMIF('Как будет'!$A$17:$A$24,Доп.расчеты!$A209,'Как будет'!FC$17:FC$24)</f>
        <v>0</v>
      </c>
      <c r="FC209">
        <f>SUMIF('Как будет'!$A$17:$A$24,Доп.расчеты!$A209,'Как будет'!FD$17:FD$24)</f>
        <v>0</v>
      </c>
      <c r="FD209">
        <f>SUMIF('Как будет'!$A$17:$A$24,Доп.расчеты!$A209,'Как будет'!FE$17:FE$24)</f>
        <v>0</v>
      </c>
      <c r="FE209">
        <f>SUMIF('Как будет'!$A$17:$A$24,Доп.расчеты!$A209,'Как будет'!FF$17:FF$24)</f>
        <v>0</v>
      </c>
      <c r="FF209">
        <f>SUMIF('Как будет'!$A$17:$A$24,Доп.расчеты!$A209,'Как будет'!FG$17:FG$24)</f>
        <v>0</v>
      </c>
      <c r="FG209">
        <f>SUMIF('Как будет'!$A$17:$A$24,Доп.расчеты!$A209,'Как будет'!FH$17:FH$24)</f>
        <v>0</v>
      </c>
      <c r="FH209">
        <f>SUMIF('Как будет'!$A$17:$A$24,Доп.расчеты!$A209,'Как будет'!FI$17:FI$24)</f>
        <v>0</v>
      </c>
      <c r="FI209">
        <f>SUMIF('Как будет'!$A$17:$A$24,Доп.расчеты!$A209,'Как будет'!FJ$17:FJ$24)</f>
        <v>0</v>
      </c>
      <c r="FJ209">
        <f>SUMIF('Как будет'!$A$17:$A$24,Доп.расчеты!$A209,'Как будет'!FK$17:FK$24)</f>
        <v>0</v>
      </c>
      <c r="FK209">
        <f>SUMIF('Как будет'!$A$17:$A$24,Доп.расчеты!$A209,'Как будет'!FL$17:FL$24)</f>
        <v>0</v>
      </c>
      <c r="FL209">
        <f>SUMIF('Как будет'!$A$17:$A$24,Доп.расчеты!$A209,'Как будет'!FM$17:FM$24)</f>
        <v>0</v>
      </c>
      <c r="FM209">
        <f>SUMIF('Как будет'!$A$17:$A$24,Доп.расчеты!$A209,'Как будет'!FN$17:FN$24)</f>
        <v>0</v>
      </c>
      <c r="FN209">
        <f>SUMIF('Как будет'!$A$17:$A$24,Доп.расчеты!$A209,'Как будет'!FO$17:FO$24)</f>
        <v>0</v>
      </c>
      <c r="FO209">
        <f>SUMIF('Как будет'!$A$17:$A$24,Доп.расчеты!$A209,'Как будет'!FP$17:FP$24)</f>
        <v>0</v>
      </c>
      <c r="FP209">
        <f>SUMIF('Как будет'!$A$17:$A$24,Доп.расчеты!$A209,'Как будет'!FQ$17:FQ$24)</f>
        <v>0</v>
      </c>
      <c r="FQ209">
        <f>SUMIF('Как будет'!$A$17:$A$24,Доп.расчеты!$A209,'Как будет'!FR$17:FR$24)</f>
        <v>0</v>
      </c>
      <c r="FR209">
        <f>SUMIF('Как будет'!$A$17:$A$24,Доп.расчеты!$A209,'Как будет'!FS$17:FS$24)</f>
        <v>0</v>
      </c>
      <c r="FS209">
        <f>SUMIF('Как будет'!$A$17:$A$24,Доп.расчеты!$A209,'Как будет'!FT$17:FT$24)</f>
        <v>0</v>
      </c>
      <c r="FT209">
        <f>SUMIF('Как будет'!$A$17:$A$24,Доп.расчеты!$A209,'Как будет'!FU$17:FU$24)</f>
        <v>0</v>
      </c>
      <c r="FU209">
        <f>SUMIF('Как будет'!$A$17:$A$24,Доп.расчеты!$A209,'Как будет'!FV$17:FV$24)</f>
        <v>0</v>
      </c>
      <c r="FV209">
        <f>SUMIF('Как будет'!$A$17:$A$24,Доп.расчеты!$A209,'Как будет'!FW$17:FW$24)</f>
        <v>0</v>
      </c>
      <c r="FW209">
        <f>SUMIF('Как будет'!$A$17:$A$24,Доп.расчеты!$A209,'Как будет'!FX$17:FX$24)</f>
        <v>0</v>
      </c>
      <c r="FX209">
        <f>SUMIF('Как будет'!$A$17:$A$24,Доп.расчеты!$A209,'Как будет'!FY$17:FY$24)</f>
        <v>0</v>
      </c>
      <c r="FY209">
        <f>SUMIF('Как будет'!$A$17:$A$24,Доп.расчеты!$A209,'Как будет'!FZ$17:FZ$24)</f>
        <v>0</v>
      </c>
      <c r="FZ209">
        <f>SUMIF('Как будет'!$A$17:$A$24,Доп.расчеты!$A209,'Как будет'!GA$17:GA$24)</f>
        <v>0</v>
      </c>
      <c r="GA209">
        <f>SUMIF('Как будет'!$A$17:$A$24,Доп.расчеты!$A209,'Как будет'!GB$17:GB$24)</f>
        <v>0</v>
      </c>
      <c r="GB209">
        <f>SUMIF('Как будет'!$A$17:$A$24,Доп.расчеты!$A209,'Как будет'!GC$17:GC$24)</f>
        <v>0</v>
      </c>
      <c r="GC209">
        <f>SUMIF('Как будет'!$A$17:$A$24,Доп.расчеты!$A209,'Как будет'!GD$17:GD$24)</f>
        <v>0</v>
      </c>
      <c r="GD209">
        <f>SUMIF('Как будет'!$A$17:$A$24,Доп.расчеты!$A209,'Как будет'!GE$17:GE$24)</f>
        <v>0</v>
      </c>
      <c r="GE209">
        <f>SUMIF('Как будет'!$A$17:$A$24,Доп.расчеты!$A209,'Как будет'!GF$17:GF$24)</f>
        <v>0</v>
      </c>
      <c r="GF209">
        <f>SUMIF('Как будет'!$A$17:$A$24,Доп.расчеты!$A209,'Как будет'!GG$17:GG$24)</f>
        <v>0</v>
      </c>
      <c r="GG209">
        <f>SUMIF('Как будет'!$A$17:$A$24,Доп.расчеты!$A209,'Как будет'!GH$17:GH$24)</f>
        <v>0</v>
      </c>
      <c r="GH209">
        <f>SUMIF('Как будет'!$A$17:$A$24,Доп.расчеты!$A209,'Как будет'!GI$17:GI$24)</f>
        <v>0</v>
      </c>
      <c r="GI209">
        <f>SUMIF('Как будет'!$A$17:$A$24,Доп.расчеты!$A209,'Как будет'!GJ$17:GJ$24)</f>
        <v>0</v>
      </c>
      <c r="GJ209">
        <f>SUMIF('Как будет'!$A$17:$A$24,Доп.расчеты!$A209,'Как будет'!GK$17:GK$24)</f>
        <v>0</v>
      </c>
      <c r="GK209">
        <f>SUMIF('Как будет'!$A$17:$A$24,Доп.расчеты!$A209,'Как будет'!GL$17:GL$24)</f>
        <v>0</v>
      </c>
      <c r="GL209">
        <f>SUMIF('Как будет'!$A$17:$A$24,Доп.расчеты!$A209,'Как будет'!GM$17:GM$24)</f>
        <v>0</v>
      </c>
      <c r="GM209">
        <f>SUMIF('Как будет'!$A$17:$A$24,Доп.расчеты!$A209,'Как будет'!GN$17:GN$24)</f>
        <v>0</v>
      </c>
      <c r="GN209">
        <f>SUMIF('Как будет'!$A$17:$A$24,Доп.расчеты!$A209,'Как будет'!GO$17:GO$24)</f>
        <v>0</v>
      </c>
      <c r="GO209">
        <f>SUMIF('Как будет'!$A$17:$A$24,Доп.расчеты!$A209,'Как будет'!GP$17:GP$24)</f>
        <v>0</v>
      </c>
      <c r="GP209">
        <f>SUMIF('Как будет'!$A$17:$A$24,Доп.расчеты!$A209,'Как будет'!GQ$17:GQ$24)</f>
        <v>0</v>
      </c>
      <c r="GQ209">
        <f>SUMIF('Как будет'!$A$17:$A$24,Доп.расчеты!$A209,'Как будет'!GR$17:GR$24)</f>
        <v>0</v>
      </c>
      <c r="GR209">
        <f>SUMIF('Как будет'!$A$17:$A$24,Доп.расчеты!$A209,'Как будет'!GS$17:GS$24)</f>
        <v>0</v>
      </c>
      <c r="GS209">
        <f>SUMIF('Как будет'!$A$17:$A$24,Доп.расчеты!$A209,'Как будет'!GT$17:GT$24)</f>
        <v>0</v>
      </c>
      <c r="GT209">
        <f>SUMIF('Как будет'!$A$17:$A$24,Доп.расчеты!$A209,'Как будет'!GU$17:GU$24)</f>
        <v>0</v>
      </c>
    </row>
    <row r="210" spans="1:202">
      <c r="A210" s="238" t="s">
        <v>105</v>
      </c>
      <c r="B210">
        <f>SUMIF('Как будет'!$A$17:$A$24,Доп.расчеты!$A210,'Как будет'!C$17:C$24)</f>
        <v>0</v>
      </c>
      <c r="C210">
        <f>SUMIF('Как будет'!$A$17:$A$24,Доп.расчеты!$A210,'Как будет'!D$17:D$24)</f>
        <v>0</v>
      </c>
      <c r="D210">
        <f>SUMIF('Как будет'!$A$17:$A$24,Доп.расчеты!$A210,'Как будет'!E$17:E$24)</f>
        <v>0</v>
      </c>
      <c r="E210">
        <f>SUMIF('Как будет'!$A$17:$A$24,Доп.расчеты!$A210,'Как будет'!F$17:F$24)</f>
        <v>0</v>
      </c>
      <c r="F210">
        <f>SUMIF('Как будет'!$A$17:$A$24,Доп.расчеты!$A210,'Как будет'!G$17:G$24)</f>
        <v>0</v>
      </c>
      <c r="G210">
        <f>SUMIF('Как будет'!$A$17:$A$24,Доп.расчеты!$A210,'Как будет'!H$17:H$24)</f>
        <v>0</v>
      </c>
      <c r="H210">
        <f>SUMIF('Как будет'!$A$17:$A$24,Доп.расчеты!$A210,'Как будет'!I$17:I$24)</f>
        <v>0</v>
      </c>
      <c r="I210">
        <f>SUMIF('Как будет'!$A$17:$A$24,Доп.расчеты!$A210,'Как будет'!J$17:J$24)</f>
        <v>0</v>
      </c>
      <c r="J210">
        <f>SUMIF('Как будет'!$A$17:$A$24,Доп.расчеты!$A210,'Как будет'!K$17:K$24)</f>
        <v>0</v>
      </c>
      <c r="K210">
        <f>SUMIF('Как будет'!$A$17:$A$24,Доп.расчеты!$A210,'Как будет'!L$17:L$24)</f>
        <v>0</v>
      </c>
      <c r="L210">
        <f>SUMIF('Как будет'!$A$17:$A$24,Доп.расчеты!$A210,'Как будет'!M$17:M$24)</f>
        <v>0</v>
      </c>
      <c r="M210">
        <f>SUMIF('Как будет'!$A$17:$A$24,Доп.расчеты!$A210,'Как будет'!N$17:N$24)</f>
        <v>0</v>
      </c>
      <c r="N210">
        <f>SUMIF('Как будет'!$A$17:$A$24,Доп.расчеты!$A210,'Как будет'!O$17:O$24)</f>
        <v>0</v>
      </c>
      <c r="O210">
        <f>SUMIF('Как будет'!$A$17:$A$24,Доп.расчеты!$A210,'Как будет'!P$17:P$24)</f>
        <v>0</v>
      </c>
      <c r="P210">
        <f>SUMIF('Как будет'!$A$17:$A$24,Доп.расчеты!$A210,'Как будет'!Q$17:Q$24)</f>
        <v>0</v>
      </c>
      <c r="Q210">
        <f>SUMIF('Как будет'!$A$17:$A$24,Доп.расчеты!$A210,'Как будет'!R$17:R$24)</f>
        <v>0</v>
      </c>
      <c r="R210">
        <f>SUMIF('Как будет'!$A$17:$A$24,Доп.расчеты!$A210,'Как будет'!S$17:S$24)</f>
        <v>0</v>
      </c>
      <c r="S210">
        <f>SUMIF('Как будет'!$A$17:$A$24,Доп.расчеты!$A210,'Как будет'!T$17:T$24)</f>
        <v>0</v>
      </c>
      <c r="T210">
        <f>SUMIF('Как будет'!$A$17:$A$24,Доп.расчеты!$A210,'Как будет'!U$17:U$24)</f>
        <v>0</v>
      </c>
      <c r="U210">
        <f>SUMIF('Как будет'!$A$17:$A$24,Доп.расчеты!$A210,'Как будет'!V$17:V$24)</f>
        <v>0</v>
      </c>
      <c r="V210">
        <f>SUMIF('Как будет'!$A$17:$A$24,Доп.расчеты!$A210,'Как будет'!W$17:W$24)</f>
        <v>0</v>
      </c>
      <c r="W210">
        <f>SUMIF('Как будет'!$A$17:$A$24,Доп.расчеты!$A210,'Как будет'!X$17:X$24)</f>
        <v>0</v>
      </c>
      <c r="X210">
        <f>SUMIF('Как будет'!$A$17:$A$24,Доп.расчеты!$A210,'Как будет'!Y$17:Y$24)</f>
        <v>0</v>
      </c>
      <c r="Y210">
        <f>SUMIF('Как будет'!$A$17:$A$24,Доп.расчеты!$A210,'Как будет'!Z$17:Z$24)</f>
        <v>0</v>
      </c>
      <c r="Z210">
        <f>SUMIF('Как будет'!$A$17:$A$24,Доп.расчеты!$A210,'Как будет'!AA$17:AA$24)</f>
        <v>0</v>
      </c>
      <c r="AA210">
        <f>SUMIF('Как будет'!$A$17:$A$24,Доп.расчеты!$A210,'Как будет'!AB$17:AB$24)</f>
        <v>0</v>
      </c>
      <c r="AB210">
        <f>SUMIF('Как будет'!$A$17:$A$24,Доп.расчеты!$A210,'Как будет'!AC$17:AC$24)</f>
        <v>0</v>
      </c>
      <c r="AC210">
        <f>SUMIF('Как будет'!$A$17:$A$24,Доп.расчеты!$A210,'Как будет'!AD$17:AD$24)</f>
        <v>0</v>
      </c>
      <c r="AD210">
        <f>SUMIF('Как будет'!$A$17:$A$24,Доп.расчеты!$A210,'Как будет'!AE$17:AE$24)</f>
        <v>0</v>
      </c>
      <c r="AE210">
        <f>SUMIF('Как будет'!$A$17:$A$24,Доп.расчеты!$A210,'Как будет'!AF$17:AF$24)</f>
        <v>0</v>
      </c>
      <c r="AF210">
        <f>SUMIF('Как будет'!$A$17:$A$24,Доп.расчеты!$A210,'Как будет'!AG$17:AG$24)</f>
        <v>0</v>
      </c>
      <c r="AG210">
        <f>SUMIF('Как будет'!$A$17:$A$24,Доп.расчеты!$A210,'Как будет'!AH$17:AH$24)</f>
        <v>0</v>
      </c>
      <c r="AH210">
        <f>SUMIF('Как будет'!$A$17:$A$24,Доп.расчеты!$A210,'Как будет'!AI$17:AI$24)</f>
        <v>0</v>
      </c>
      <c r="AI210">
        <f>SUMIF('Как будет'!$A$17:$A$24,Доп.расчеты!$A210,'Как будет'!AJ$17:AJ$24)</f>
        <v>0</v>
      </c>
      <c r="AJ210">
        <f>SUMIF('Как будет'!$A$17:$A$24,Доп.расчеты!$A210,'Как будет'!AK$17:AK$24)</f>
        <v>0</v>
      </c>
      <c r="AK210">
        <f>SUMIF('Как будет'!$A$17:$A$24,Доп.расчеты!$A210,'Как будет'!AL$17:AL$24)</f>
        <v>0</v>
      </c>
      <c r="AL210">
        <f>SUMIF('Как будет'!$A$17:$A$24,Доп.расчеты!$A210,'Как будет'!AM$17:AM$24)</f>
        <v>0</v>
      </c>
      <c r="AM210">
        <f>SUMIF('Как будет'!$A$17:$A$24,Доп.расчеты!$A210,'Как будет'!AN$17:AN$24)</f>
        <v>0</v>
      </c>
      <c r="AN210">
        <f>SUMIF('Как будет'!$A$17:$A$24,Доп.расчеты!$A210,'Как будет'!AO$17:AO$24)</f>
        <v>0</v>
      </c>
      <c r="AO210">
        <f>SUMIF('Как будет'!$A$17:$A$24,Доп.расчеты!$A210,'Как будет'!AP$17:AP$24)</f>
        <v>0</v>
      </c>
      <c r="AP210">
        <f>SUMIF('Как будет'!$A$17:$A$24,Доп.расчеты!$A210,'Как будет'!AQ$17:AQ$24)</f>
        <v>0</v>
      </c>
      <c r="AQ210">
        <f>SUMIF('Как будет'!$A$17:$A$24,Доп.расчеты!$A210,'Как будет'!AR$17:AR$24)</f>
        <v>0</v>
      </c>
      <c r="AR210">
        <f>SUMIF('Как будет'!$A$17:$A$24,Доп.расчеты!$A210,'Как будет'!AS$17:AS$24)</f>
        <v>0</v>
      </c>
      <c r="AS210">
        <f>SUMIF('Как будет'!$A$17:$A$24,Доп.расчеты!$A210,'Как будет'!AT$17:AT$24)</f>
        <v>0</v>
      </c>
      <c r="AT210">
        <f>SUMIF('Как будет'!$A$17:$A$24,Доп.расчеты!$A210,'Как будет'!AU$17:AU$24)</f>
        <v>0</v>
      </c>
      <c r="AU210">
        <f>SUMIF('Как будет'!$A$17:$A$24,Доп.расчеты!$A210,'Как будет'!AV$17:AV$24)</f>
        <v>0</v>
      </c>
      <c r="AV210">
        <f>SUMIF('Как будет'!$A$17:$A$24,Доп.расчеты!$A210,'Как будет'!AW$17:AW$24)</f>
        <v>0</v>
      </c>
      <c r="AW210">
        <f>SUMIF('Как будет'!$A$17:$A$24,Доп.расчеты!$A210,'Как будет'!AX$17:AX$24)</f>
        <v>0</v>
      </c>
      <c r="AX210">
        <f>SUMIF('Как будет'!$A$17:$A$24,Доп.расчеты!$A210,'Как будет'!AY$17:AY$24)</f>
        <v>0</v>
      </c>
      <c r="AY210">
        <f>SUMIF('Как будет'!$A$17:$A$24,Доп.расчеты!$A210,'Как будет'!AZ$17:AZ$24)</f>
        <v>0</v>
      </c>
      <c r="AZ210">
        <f>SUMIF('Как будет'!$A$17:$A$24,Доп.расчеты!$A210,'Как будет'!BA$17:BA$24)</f>
        <v>0</v>
      </c>
      <c r="BA210">
        <f>SUMIF('Как будет'!$A$17:$A$24,Доп.расчеты!$A210,'Как будет'!BB$17:BB$24)</f>
        <v>0</v>
      </c>
      <c r="BB210">
        <f>SUMIF('Как будет'!$A$17:$A$24,Доп.расчеты!$A210,'Как будет'!BC$17:BC$24)</f>
        <v>0</v>
      </c>
      <c r="BC210">
        <f>SUMIF('Как будет'!$A$17:$A$24,Доп.расчеты!$A210,'Как будет'!BD$17:BD$24)</f>
        <v>0</v>
      </c>
      <c r="BD210">
        <f>SUMIF('Как будет'!$A$17:$A$24,Доп.расчеты!$A210,'Как будет'!BE$17:BE$24)</f>
        <v>0</v>
      </c>
      <c r="BE210">
        <f>SUMIF('Как будет'!$A$17:$A$24,Доп.расчеты!$A210,'Как будет'!BF$17:BF$24)</f>
        <v>0</v>
      </c>
      <c r="BF210">
        <f>SUMIF('Как будет'!$A$17:$A$24,Доп.расчеты!$A210,'Как будет'!BG$17:BG$24)</f>
        <v>0</v>
      </c>
      <c r="BG210">
        <f>SUMIF('Как будет'!$A$17:$A$24,Доп.расчеты!$A210,'Как будет'!BH$17:BH$24)</f>
        <v>0</v>
      </c>
      <c r="BH210">
        <f>SUMIF('Как будет'!$A$17:$A$24,Доп.расчеты!$A210,'Как будет'!BI$17:BI$24)</f>
        <v>0</v>
      </c>
      <c r="BI210">
        <f>SUMIF('Как будет'!$A$17:$A$24,Доп.расчеты!$A210,'Как будет'!BJ$17:BJ$24)</f>
        <v>0</v>
      </c>
      <c r="BJ210">
        <f>SUMIF('Как будет'!$A$17:$A$24,Доп.расчеты!$A210,'Как будет'!BK$17:BK$24)</f>
        <v>0</v>
      </c>
      <c r="BK210">
        <f>SUMIF('Как будет'!$A$17:$A$24,Доп.расчеты!$A210,'Как будет'!BL$17:BL$24)</f>
        <v>0</v>
      </c>
      <c r="BL210">
        <f>SUMIF('Как будет'!$A$17:$A$24,Доп.расчеты!$A210,'Как будет'!BM$17:BM$24)</f>
        <v>0</v>
      </c>
      <c r="BM210">
        <f>SUMIF('Как будет'!$A$17:$A$24,Доп.расчеты!$A210,'Как будет'!BN$17:BN$24)</f>
        <v>0</v>
      </c>
      <c r="BN210">
        <f>SUMIF('Как будет'!$A$17:$A$24,Доп.расчеты!$A210,'Как будет'!BO$17:BO$24)</f>
        <v>0</v>
      </c>
      <c r="BO210">
        <f>SUMIF('Как будет'!$A$17:$A$24,Доп.расчеты!$A210,'Как будет'!BP$17:BP$24)</f>
        <v>0</v>
      </c>
      <c r="BP210">
        <f>SUMIF('Как будет'!$A$17:$A$24,Доп.расчеты!$A210,'Как будет'!BQ$17:BQ$24)</f>
        <v>0</v>
      </c>
      <c r="BQ210">
        <f>SUMIF('Как будет'!$A$17:$A$24,Доп.расчеты!$A210,'Как будет'!BR$17:BR$24)</f>
        <v>0</v>
      </c>
      <c r="BR210">
        <f>SUMIF('Как будет'!$A$17:$A$24,Доп.расчеты!$A210,'Как будет'!BS$17:BS$24)</f>
        <v>0</v>
      </c>
      <c r="BS210">
        <f>SUMIF('Как будет'!$A$17:$A$24,Доп.расчеты!$A210,'Как будет'!BT$17:BT$24)</f>
        <v>0</v>
      </c>
      <c r="BT210">
        <f>SUMIF('Как будет'!$A$17:$A$24,Доп.расчеты!$A210,'Как будет'!BU$17:BU$24)</f>
        <v>0</v>
      </c>
      <c r="BU210">
        <f>SUMIF('Как будет'!$A$17:$A$24,Доп.расчеты!$A210,'Как будет'!BV$17:BV$24)</f>
        <v>0</v>
      </c>
      <c r="BV210">
        <f>SUMIF('Как будет'!$A$17:$A$24,Доп.расчеты!$A210,'Как будет'!BW$17:BW$24)</f>
        <v>0</v>
      </c>
      <c r="BW210">
        <f>SUMIF('Как будет'!$A$17:$A$24,Доп.расчеты!$A210,'Как будет'!BX$17:BX$24)</f>
        <v>0</v>
      </c>
      <c r="BX210">
        <f>SUMIF('Как будет'!$A$17:$A$24,Доп.расчеты!$A210,'Как будет'!BY$17:BY$24)</f>
        <v>0</v>
      </c>
      <c r="BY210">
        <f>SUMIF('Как будет'!$A$17:$A$24,Доп.расчеты!$A210,'Как будет'!BZ$17:BZ$24)</f>
        <v>0</v>
      </c>
      <c r="BZ210">
        <f>SUMIF('Как будет'!$A$17:$A$24,Доп.расчеты!$A210,'Как будет'!CA$17:CA$24)</f>
        <v>0</v>
      </c>
      <c r="CA210">
        <f>SUMIF('Как будет'!$A$17:$A$24,Доп.расчеты!$A210,'Как будет'!CB$17:CB$24)</f>
        <v>0</v>
      </c>
      <c r="CB210">
        <f>SUMIF('Как будет'!$A$17:$A$24,Доп.расчеты!$A210,'Как будет'!CC$17:CC$24)</f>
        <v>0</v>
      </c>
      <c r="CC210">
        <f>SUMIF('Как будет'!$A$17:$A$24,Доп.расчеты!$A210,'Как будет'!CD$17:CD$24)</f>
        <v>0</v>
      </c>
      <c r="CD210">
        <f>SUMIF('Как будет'!$A$17:$A$24,Доп.расчеты!$A210,'Как будет'!CE$17:CE$24)</f>
        <v>0</v>
      </c>
      <c r="CE210">
        <f>SUMIF('Как будет'!$A$17:$A$24,Доп.расчеты!$A210,'Как будет'!CF$17:CF$24)</f>
        <v>0</v>
      </c>
      <c r="CF210">
        <f>SUMIF('Как будет'!$A$17:$A$24,Доп.расчеты!$A210,'Как будет'!CG$17:CG$24)</f>
        <v>0</v>
      </c>
      <c r="CG210">
        <f>SUMIF('Как будет'!$A$17:$A$24,Доп.расчеты!$A210,'Как будет'!CH$17:CH$24)</f>
        <v>0</v>
      </c>
      <c r="CH210">
        <f>SUMIF('Как будет'!$A$17:$A$24,Доп.расчеты!$A210,'Как будет'!CI$17:CI$24)</f>
        <v>0</v>
      </c>
      <c r="CI210">
        <f>SUMIF('Как будет'!$A$17:$A$24,Доп.расчеты!$A210,'Как будет'!CJ$17:CJ$24)</f>
        <v>0</v>
      </c>
      <c r="CJ210">
        <f>SUMIF('Как будет'!$A$17:$A$24,Доп.расчеты!$A210,'Как будет'!CK$17:CK$24)</f>
        <v>0</v>
      </c>
      <c r="CK210">
        <f>SUMIF('Как будет'!$A$17:$A$24,Доп.расчеты!$A210,'Как будет'!CL$17:CL$24)</f>
        <v>0</v>
      </c>
      <c r="CL210">
        <f>SUMIF('Как будет'!$A$17:$A$24,Доп.расчеты!$A210,'Как будет'!CM$17:CM$24)</f>
        <v>0</v>
      </c>
      <c r="CM210">
        <f>SUMIF('Как будет'!$A$17:$A$24,Доп.расчеты!$A210,'Как будет'!CN$17:CN$24)</f>
        <v>0</v>
      </c>
      <c r="CN210">
        <f>SUMIF('Как будет'!$A$17:$A$24,Доп.расчеты!$A210,'Как будет'!CO$17:CO$24)</f>
        <v>0</v>
      </c>
      <c r="CO210">
        <f>SUMIF('Как будет'!$A$17:$A$24,Доп.расчеты!$A210,'Как будет'!CP$17:CP$24)</f>
        <v>0</v>
      </c>
      <c r="CP210">
        <f>SUMIF('Как будет'!$A$17:$A$24,Доп.расчеты!$A210,'Как будет'!CQ$17:CQ$24)</f>
        <v>0</v>
      </c>
      <c r="CQ210">
        <f>SUMIF('Как будет'!$A$17:$A$24,Доп.расчеты!$A210,'Как будет'!CR$17:CR$24)</f>
        <v>0</v>
      </c>
      <c r="CR210">
        <f>SUMIF('Как будет'!$A$17:$A$24,Доп.расчеты!$A210,'Как будет'!CS$17:CS$24)</f>
        <v>0</v>
      </c>
      <c r="CS210">
        <f>SUMIF('Как будет'!$A$17:$A$24,Доп.расчеты!$A210,'Как будет'!CT$17:CT$24)</f>
        <v>0</v>
      </c>
      <c r="CT210">
        <f>SUMIF('Как будет'!$A$17:$A$24,Доп.расчеты!$A210,'Как будет'!CU$17:CU$24)</f>
        <v>0</v>
      </c>
      <c r="CU210">
        <f>SUMIF('Как будет'!$A$17:$A$24,Доп.расчеты!$A210,'Как будет'!CV$17:CV$24)</f>
        <v>0</v>
      </c>
      <c r="CV210">
        <f>SUMIF('Как будет'!$A$17:$A$24,Доп.расчеты!$A210,'Как будет'!CW$17:CW$24)</f>
        <v>0</v>
      </c>
      <c r="CW210">
        <f>SUMIF('Как будет'!$A$17:$A$24,Доп.расчеты!$A210,'Как будет'!CX$17:CX$24)</f>
        <v>0</v>
      </c>
      <c r="CX210">
        <f>SUMIF('Как будет'!$A$17:$A$24,Доп.расчеты!$A210,'Как будет'!CY$17:CY$24)</f>
        <v>0</v>
      </c>
      <c r="CY210">
        <f>SUMIF('Как будет'!$A$17:$A$24,Доп.расчеты!$A210,'Как будет'!CZ$17:CZ$24)</f>
        <v>0</v>
      </c>
      <c r="CZ210">
        <f>SUMIF('Как будет'!$A$17:$A$24,Доп.расчеты!$A210,'Как будет'!DA$17:DA$24)</f>
        <v>0</v>
      </c>
      <c r="DA210">
        <f>SUMIF('Как будет'!$A$17:$A$24,Доп.расчеты!$A210,'Как будет'!DB$17:DB$24)</f>
        <v>0</v>
      </c>
      <c r="DB210">
        <f>SUMIF('Как будет'!$A$17:$A$24,Доп.расчеты!$A210,'Как будет'!DC$17:DC$24)</f>
        <v>0</v>
      </c>
      <c r="DC210">
        <f>SUMIF('Как будет'!$A$17:$A$24,Доп.расчеты!$A210,'Как будет'!DD$17:DD$24)</f>
        <v>0</v>
      </c>
      <c r="DD210">
        <f>SUMIF('Как будет'!$A$17:$A$24,Доп.расчеты!$A210,'Как будет'!DE$17:DE$24)</f>
        <v>0</v>
      </c>
      <c r="DE210">
        <f>SUMIF('Как будет'!$A$17:$A$24,Доп.расчеты!$A210,'Как будет'!DF$17:DF$24)</f>
        <v>0</v>
      </c>
      <c r="DF210">
        <f>SUMIF('Как будет'!$A$17:$A$24,Доп.расчеты!$A210,'Как будет'!DG$17:DG$24)</f>
        <v>0</v>
      </c>
      <c r="DG210">
        <f>SUMIF('Как будет'!$A$17:$A$24,Доп.расчеты!$A210,'Как будет'!DH$17:DH$24)</f>
        <v>0</v>
      </c>
      <c r="DH210">
        <f>SUMIF('Как будет'!$A$17:$A$24,Доп.расчеты!$A210,'Как будет'!DI$17:DI$24)</f>
        <v>0</v>
      </c>
      <c r="DI210">
        <f>SUMIF('Как будет'!$A$17:$A$24,Доп.расчеты!$A210,'Как будет'!DJ$17:DJ$24)</f>
        <v>0</v>
      </c>
      <c r="DJ210">
        <f>SUMIF('Как будет'!$A$17:$A$24,Доп.расчеты!$A210,'Как будет'!DK$17:DK$24)</f>
        <v>0</v>
      </c>
      <c r="DK210">
        <f>SUMIF('Как будет'!$A$17:$A$24,Доп.расчеты!$A210,'Как будет'!DL$17:DL$24)</f>
        <v>0</v>
      </c>
      <c r="DL210">
        <f>SUMIF('Как будет'!$A$17:$A$24,Доп.расчеты!$A210,'Как будет'!DM$17:DM$24)</f>
        <v>0</v>
      </c>
      <c r="DM210">
        <f>SUMIF('Как будет'!$A$17:$A$24,Доп.расчеты!$A210,'Как будет'!DN$17:DN$24)</f>
        <v>0</v>
      </c>
      <c r="DN210">
        <f>SUMIF('Как будет'!$A$17:$A$24,Доп.расчеты!$A210,'Как будет'!DO$17:DO$24)</f>
        <v>0</v>
      </c>
      <c r="DO210">
        <f>SUMIF('Как будет'!$A$17:$A$24,Доп.расчеты!$A210,'Как будет'!DP$17:DP$24)</f>
        <v>0</v>
      </c>
      <c r="DP210">
        <f>SUMIF('Как будет'!$A$17:$A$24,Доп.расчеты!$A210,'Как будет'!DQ$17:DQ$24)</f>
        <v>0</v>
      </c>
      <c r="DQ210">
        <f>SUMIF('Как будет'!$A$17:$A$24,Доп.расчеты!$A210,'Как будет'!DR$17:DR$24)</f>
        <v>0</v>
      </c>
      <c r="DR210">
        <f>SUMIF('Как будет'!$A$17:$A$24,Доп.расчеты!$A210,'Как будет'!DS$17:DS$24)</f>
        <v>0</v>
      </c>
      <c r="DS210">
        <f>SUMIF('Как будет'!$A$17:$A$24,Доп.расчеты!$A210,'Как будет'!DT$17:DT$24)</f>
        <v>0</v>
      </c>
      <c r="DT210">
        <f>SUMIF('Как будет'!$A$17:$A$24,Доп.расчеты!$A210,'Как будет'!DU$17:DU$24)</f>
        <v>0</v>
      </c>
      <c r="DU210">
        <f>SUMIF('Как будет'!$A$17:$A$24,Доп.расчеты!$A210,'Как будет'!DV$17:DV$24)</f>
        <v>0</v>
      </c>
      <c r="DV210">
        <f>SUMIF('Как будет'!$A$17:$A$24,Доп.расчеты!$A210,'Как будет'!DW$17:DW$24)</f>
        <v>0</v>
      </c>
      <c r="DW210">
        <f>SUMIF('Как будет'!$A$17:$A$24,Доп.расчеты!$A210,'Как будет'!DX$17:DX$24)</f>
        <v>0</v>
      </c>
      <c r="DX210">
        <f>SUMIF('Как будет'!$A$17:$A$24,Доп.расчеты!$A210,'Как будет'!DY$17:DY$24)</f>
        <v>0</v>
      </c>
      <c r="DY210">
        <f>SUMIF('Как будет'!$A$17:$A$24,Доп.расчеты!$A210,'Как будет'!DZ$17:DZ$24)</f>
        <v>0</v>
      </c>
      <c r="DZ210">
        <f>SUMIF('Как будет'!$A$17:$A$24,Доп.расчеты!$A210,'Как будет'!EA$17:EA$24)</f>
        <v>0</v>
      </c>
      <c r="EA210">
        <f>SUMIF('Как будет'!$A$17:$A$24,Доп.расчеты!$A210,'Как будет'!EB$17:EB$24)</f>
        <v>0</v>
      </c>
      <c r="EB210">
        <f>SUMIF('Как будет'!$A$17:$A$24,Доп.расчеты!$A210,'Как будет'!EC$17:EC$24)</f>
        <v>0</v>
      </c>
      <c r="EC210">
        <f>SUMIF('Как будет'!$A$17:$A$24,Доп.расчеты!$A210,'Как будет'!ED$17:ED$24)</f>
        <v>0</v>
      </c>
      <c r="ED210">
        <f>SUMIF('Как будет'!$A$17:$A$24,Доп.расчеты!$A210,'Как будет'!EE$17:EE$24)</f>
        <v>0</v>
      </c>
      <c r="EE210">
        <f>SUMIF('Как будет'!$A$17:$A$24,Доп.расчеты!$A210,'Как будет'!EF$17:EF$24)</f>
        <v>0</v>
      </c>
      <c r="EF210">
        <f>SUMIF('Как будет'!$A$17:$A$24,Доп.расчеты!$A210,'Как будет'!EG$17:EG$24)</f>
        <v>0</v>
      </c>
      <c r="EG210">
        <f>SUMIF('Как будет'!$A$17:$A$24,Доп.расчеты!$A210,'Как будет'!EH$17:EH$24)</f>
        <v>0</v>
      </c>
      <c r="EH210">
        <f>SUMIF('Как будет'!$A$17:$A$24,Доп.расчеты!$A210,'Как будет'!EI$17:EI$24)</f>
        <v>0</v>
      </c>
      <c r="EI210">
        <f>SUMIF('Как будет'!$A$17:$A$24,Доп.расчеты!$A210,'Как будет'!EJ$17:EJ$24)</f>
        <v>0</v>
      </c>
      <c r="EJ210">
        <f>SUMIF('Как будет'!$A$17:$A$24,Доп.расчеты!$A210,'Как будет'!EK$17:EK$24)</f>
        <v>0</v>
      </c>
      <c r="EK210">
        <f>SUMIF('Как будет'!$A$17:$A$24,Доп.расчеты!$A210,'Как будет'!EL$17:EL$24)</f>
        <v>0</v>
      </c>
      <c r="EL210">
        <f>SUMIF('Как будет'!$A$17:$A$24,Доп.расчеты!$A210,'Как будет'!EM$17:EM$24)</f>
        <v>0</v>
      </c>
      <c r="EM210">
        <f>SUMIF('Как будет'!$A$17:$A$24,Доп.расчеты!$A210,'Как будет'!EN$17:EN$24)</f>
        <v>0</v>
      </c>
      <c r="EN210">
        <f>SUMIF('Как будет'!$A$17:$A$24,Доп.расчеты!$A210,'Как будет'!EO$17:EO$24)</f>
        <v>0</v>
      </c>
      <c r="EO210">
        <f>SUMIF('Как будет'!$A$17:$A$24,Доп.расчеты!$A210,'Как будет'!EP$17:EP$24)</f>
        <v>0</v>
      </c>
      <c r="EP210">
        <f>SUMIF('Как будет'!$A$17:$A$24,Доп.расчеты!$A210,'Как будет'!EQ$17:EQ$24)</f>
        <v>0</v>
      </c>
      <c r="EQ210">
        <f>SUMIF('Как будет'!$A$17:$A$24,Доп.расчеты!$A210,'Как будет'!ER$17:ER$24)</f>
        <v>0</v>
      </c>
      <c r="ER210">
        <f>SUMIF('Как будет'!$A$17:$A$24,Доп.расчеты!$A210,'Как будет'!ES$17:ES$24)</f>
        <v>0</v>
      </c>
      <c r="ES210">
        <f>SUMIF('Как будет'!$A$17:$A$24,Доп.расчеты!$A210,'Как будет'!ET$17:ET$24)</f>
        <v>0</v>
      </c>
      <c r="ET210">
        <f>SUMIF('Как будет'!$A$17:$A$24,Доп.расчеты!$A210,'Как будет'!EU$17:EU$24)</f>
        <v>0</v>
      </c>
      <c r="EU210">
        <f>SUMIF('Как будет'!$A$17:$A$24,Доп.расчеты!$A210,'Как будет'!EV$17:EV$24)</f>
        <v>0</v>
      </c>
      <c r="EV210">
        <f>SUMIF('Как будет'!$A$17:$A$24,Доп.расчеты!$A210,'Как будет'!EW$17:EW$24)</f>
        <v>0</v>
      </c>
      <c r="EW210">
        <f>SUMIF('Как будет'!$A$17:$A$24,Доп.расчеты!$A210,'Как будет'!EX$17:EX$24)</f>
        <v>0</v>
      </c>
      <c r="EX210">
        <f>SUMIF('Как будет'!$A$17:$A$24,Доп.расчеты!$A210,'Как будет'!EY$17:EY$24)</f>
        <v>0</v>
      </c>
      <c r="EY210">
        <f>SUMIF('Как будет'!$A$17:$A$24,Доп.расчеты!$A210,'Как будет'!EZ$17:EZ$24)</f>
        <v>0</v>
      </c>
      <c r="EZ210">
        <f>SUMIF('Как будет'!$A$17:$A$24,Доп.расчеты!$A210,'Как будет'!FA$17:FA$24)</f>
        <v>0</v>
      </c>
      <c r="FA210">
        <f>SUMIF('Как будет'!$A$17:$A$24,Доп.расчеты!$A210,'Как будет'!FB$17:FB$24)</f>
        <v>0</v>
      </c>
      <c r="FB210">
        <f>SUMIF('Как будет'!$A$17:$A$24,Доп.расчеты!$A210,'Как будет'!FC$17:FC$24)</f>
        <v>0</v>
      </c>
      <c r="FC210">
        <f>SUMIF('Как будет'!$A$17:$A$24,Доп.расчеты!$A210,'Как будет'!FD$17:FD$24)</f>
        <v>0</v>
      </c>
      <c r="FD210">
        <f>SUMIF('Как будет'!$A$17:$A$24,Доп.расчеты!$A210,'Как будет'!FE$17:FE$24)</f>
        <v>0</v>
      </c>
      <c r="FE210">
        <f>SUMIF('Как будет'!$A$17:$A$24,Доп.расчеты!$A210,'Как будет'!FF$17:FF$24)</f>
        <v>0</v>
      </c>
      <c r="FF210">
        <f>SUMIF('Как будет'!$A$17:$A$24,Доп.расчеты!$A210,'Как будет'!FG$17:FG$24)</f>
        <v>0</v>
      </c>
      <c r="FG210">
        <f>SUMIF('Как будет'!$A$17:$A$24,Доп.расчеты!$A210,'Как будет'!FH$17:FH$24)</f>
        <v>0</v>
      </c>
      <c r="FH210">
        <f>SUMIF('Как будет'!$A$17:$A$24,Доп.расчеты!$A210,'Как будет'!FI$17:FI$24)</f>
        <v>0</v>
      </c>
      <c r="FI210">
        <f>SUMIF('Как будет'!$A$17:$A$24,Доп.расчеты!$A210,'Как будет'!FJ$17:FJ$24)</f>
        <v>0</v>
      </c>
      <c r="FJ210">
        <f>SUMIF('Как будет'!$A$17:$A$24,Доп.расчеты!$A210,'Как будет'!FK$17:FK$24)</f>
        <v>0</v>
      </c>
      <c r="FK210">
        <f>SUMIF('Как будет'!$A$17:$A$24,Доп.расчеты!$A210,'Как будет'!FL$17:FL$24)</f>
        <v>0</v>
      </c>
      <c r="FL210">
        <f>SUMIF('Как будет'!$A$17:$A$24,Доп.расчеты!$A210,'Как будет'!FM$17:FM$24)</f>
        <v>0</v>
      </c>
      <c r="FM210">
        <f>SUMIF('Как будет'!$A$17:$A$24,Доп.расчеты!$A210,'Как будет'!FN$17:FN$24)</f>
        <v>0</v>
      </c>
      <c r="FN210">
        <f>SUMIF('Как будет'!$A$17:$A$24,Доп.расчеты!$A210,'Как будет'!FO$17:FO$24)</f>
        <v>0</v>
      </c>
      <c r="FO210">
        <f>SUMIF('Как будет'!$A$17:$A$24,Доп.расчеты!$A210,'Как будет'!FP$17:FP$24)</f>
        <v>0</v>
      </c>
      <c r="FP210">
        <f>SUMIF('Как будет'!$A$17:$A$24,Доп.расчеты!$A210,'Как будет'!FQ$17:FQ$24)</f>
        <v>0</v>
      </c>
      <c r="FQ210">
        <f>SUMIF('Как будет'!$A$17:$A$24,Доп.расчеты!$A210,'Как будет'!FR$17:FR$24)</f>
        <v>0</v>
      </c>
      <c r="FR210">
        <f>SUMIF('Как будет'!$A$17:$A$24,Доп.расчеты!$A210,'Как будет'!FS$17:FS$24)</f>
        <v>0</v>
      </c>
      <c r="FS210">
        <f>SUMIF('Как будет'!$A$17:$A$24,Доп.расчеты!$A210,'Как будет'!FT$17:FT$24)</f>
        <v>0</v>
      </c>
      <c r="FT210">
        <f>SUMIF('Как будет'!$A$17:$A$24,Доп.расчеты!$A210,'Как будет'!FU$17:FU$24)</f>
        <v>0</v>
      </c>
      <c r="FU210">
        <f>SUMIF('Как будет'!$A$17:$A$24,Доп.расчеты!$A210,'Как будет'!FV$17:FV$24)</f>
        <v>0</v>
      </c>
      <c r="FV210">
        <f>SUMIF('Как будет'!$A$17:$A$24,Доп.расчеты!$A210,'Как будет'!FW$17:FW$24)</f>
        <v>0</v>
      </c>
      <c r="FW210">
        <f>SUMIF('Как будет'!$A$17:$A$24,Доп.расчеты!$A210,'Как будет'!FX$17:FX$24)</f>
        <v>0</v>
      </c>
      <c r="FX210">
        <f>SUMIF('Как будет'!$A$17:$A$24,Доп.расчеты!$A210,'Как будет'!FY$17:FY$24)</f>
        <v>0</v>
      </c>
      <c r="FY210">
        <f>SUMIF('Как будет'!$A$17:$A$24,Доп.расчеты!$A210,'Как будет'!FZ$17:FZ$24)</f>
        <v>0</v>
      </c>
      <c r="FZ210">
        <f>SUMIF('Как будет'!$A$17:$A$24,Доп.расчеты!$A210,'Как будет'!GA$17:GA$24)</f>
        <v>0</v>
      </c>
      <c r="GA210">
        <f>SUMIF('Как будет'!$A$17:$A$24,Доп.расчеты!$A210,'Как будет'!GB$17:GB$24)</f>
        <v>0</v>
      </c>
      <c r="GB210">
        <f>SUMIF('Как будет'!$A$17:$A$24,Доп.расчеты!$A210,'Как будет'!GC$17:GC$24)</f>
        <v>0</v>
      </c>
      <c r="GC210">
        <f>SUMIF('Как будет'!$A$17:$A$24,Доп.расчеты!$A210,'Как будет'!GD$17:GD$24)</f>
        <v>0</v>
      </c>
      <c r="GD210">
        <f>SUMIF('Как будет'!$A$17:$A$24,Доп.расчеты!$A210,'Как будет'!GE$17:GE$24)</f>
        <v>0</v>
      </c>
      <c r="GE210">
        <f>SUMIF('Как будет'!$A$17:$A$24,Доп.расчеты!$A210,'Как будет'!GF$17:GF$24)</f>
        <v>0</v>
      </c>
      <c r="GF210">
        <f>SUMIF('Как будет'!$A$17:$A$24,Доп.расчеты!$A210,'Как будет'!GG$17:GG$24)</f>
        <v>0</v>
      </c>
      <c r="GG210">
        <f>SUMIF('Как будет'!$A$17:$A$24,Доп.расчеты!$A210,'Как будет'!GH$17:GH$24)</f>
        <v>0</v>
      </c>
      <c r="GH210">
        <f>SUMIF('Как будет'!$A$17:$A$24,Доп.расчеты!$A210,'Как будет'!GI$17:GI$24)</f>
        <v>0</v>
      </c>
      <c r="GI210">
        <f>SUMIF('Как будет'!$A$17:$A$24,Доп.расчеты!$A210,'Как будет'!GJ$17:GJ$24)</f>
        <v>0</v>
      </c>
      <c r="GJ210">
        <f>SUMIF('Как будет'!$A$17:$A$24,Доп.расчеты!$A210,'Как будет'!GK$17:GK$24)</f>
        <v>0</v>
      </c>
      <c r="GK210">
        <f>SUMIF('Как будет'!$A$17:$A$24,Доп.расчеты!$A210,'Как будет'!GL$17:GL$24)</f>
        <v>0</v>
      </c>
      <c r="GL210">
        <f>SUMIF('Как будет'!$A$17:$A$24,Доп.расчеты!$A210,'Как будет'!GM$17:GM$24)</f>
        <v>0</v>
      </c>
      <c r="GM210">
        <f>SUMIF('Как будет'!$A$17:$A$24,Доп.расчеты!$A210,'Как будет'!GN$17:GN$24)</f>
        <v>0</v>
      </c>
      <c r="GN210">
        <f>SUMIF('Как будет'!$A$17:$A$24,Доп.расчеты!$A210,'Как будет'!GO$17:GO$24)</f>
        <v>0</v>
      </c>
      <c r="GO210">
        <f>SUMIF('Как будет'!$A$17:$A$24,Доп.расчеты!$A210,'Как будет'!GP$17:GP$24)</f>
        <v>0</v>
      </c>
      <c r="GP210">
        <f>SUMIF('Как будет'!$A$17:$A$24,Доп.расчеты!$A210,'Как будет'!GQ$17:GQ$24)</f>
        <v>0</v>
      </c>
      <c r="GQ210">
        <f>SUMIF('Как будет'!$A$17:$A$24,Доп.расчеты!$A210,'Как будет'!GR$17:GR$24)</f>
        <v>0</v>
      </c>
      <c r="GR210">
        <f>SUMIF('Как будет'!$A$17:$A$24,Доп.расчеты!$A210,'Как будет'!GS$17:GS$24)</f>
        <v>0</v>
      </c>
      <c r="GS210">
        <f>SUMIF('Как будет'!$A$17:$A$24,Доп.расчеты!$A210,'Как будет'!GT$17:GT$24)</f>
        <v>0</v>
      </c>
      <c r="GT210">
        <f>SUMIF('Как будет'!$A$17:$A$24,Доп.расчеты!$A210,'Как будет'!GU$17:GU$24)</f>
        <v>0</v>
      </c>
    </row>
    <row r="211" spans="1:202">
      <c r="A211" s="238" t="s">
        <v>106</v>
      </c>
      <c r="B211">
        <f>SUMIF('Как будет'!$A$17:$A$24,Доп.расчеты!$A211,'Как будет'!C$17:C$24)</f>
        <v>0</v>
      </c>
      <c r="C211">
        <f>SUMIF('Как будет'!$A$17:$A$24,Доп.расчеты!$A211,'Как будет'!D$17:D$24)</f>
        <v>0</v>
      </c>
      <c r="D211">
        <f>SUMIF('Как будет'!$A$17:$A$24,Доп.расчеты!$A211,'Как будет'!E$17:E$24)</f>
        <v>0</v>
      </c>
      <c r="E211">
        <f>SUMIF('Как будет'!$A$17:$A$24,Доп.расчеты!$A211,'Как будет'!F$17:F$24)</f>
        <v>0</v>
      </c>
      <c r="F211">
        <f>SUMIF('Как будет'!$A$17:$A$24,Доп.расчеты!$A211,'Как будет'!G$17:G$24)</f>
        <v>0</v>
      </c>
      <c r="G211">
        <f>SUMIF('Как будет'!$A$17:$A$24,Доп.расчеты!$A211,'Как будет'!H$17:H$24)</f>
        <v>0</v>
      </c>
      <c r="H211">
        <f>SUMIF('Как будет'!$A$17:$A$24,Доп.расчеты!$A211,'Как будет'!I$17:I$24)</f>
        <v>0</v>
      </c>
      <c r="I211">
        <f>SUMIF('Как будет'!$A$17:$A$24,Доп.расчеты!$A211,'Как будет'!J$17:J$24)</f>
        <v>0</v>
      </c>
      <c r="J211">
        <f>SUMIF('Как будет'!$A$17:$A$24,Доп.расчеты!$A211,'Как будет'!K$17:K$24)</f>
        <v>0</v>
      </c>
      <c r="K211">
        <f>SUMIF('Как будет'!$A$17:$A$24,Доп.расчеты!$A211,'Как будет'!L$17:L$24)</f>
        <v>0</v>
      </c>
      <c r="L211">
        <f>SUMIF('Как будет'!$A$17:$A$24,Доп.расчеты!$A211,'Как будет'!M$17:M$24)</f>
        <v>0</v>
      </c>
      <c r="M211">
        <f>SUMIF('Как будет'!$A$17:$A$24,Доп.расчеты!$A211,'Как будет'!N$17:N$24)</f>
        <v>0</v>
      </c>
      <c r="N211">
        <f>SUMIF('Как будет'!$A$17:$A$24,Доп.расчеты!$A211,'Как будет'!O$17:O$24)</f>
        <v>0</v>
      </c>
      <c r="O211">
        <f>SUMIF('Как будет'!$A$17:$A$24,Доп.расчеты!$A211,'Как будет'!P$17:P$24)</f>
        <v>0</v>
      </c>
      <c r="P211">
        <f>SUMIF('Как будет'!$A$17:$A$24,Доп.расчеты!$A211,'Как будет'!Q$17:Q$24)</f>
        <v>0</v>
      </c>
      <c r="Q211">
        <f>SUMIF('Как будет'!$A$17:$A$24,Доп.расчеты!$A211,'Как будет'!R$17:R$24)</f>
        <v>0</v>
      </c>
      <c r="R211">
        <f>SUMIF('Как будет'!$A$17:$A$24,Доп.расчеты!$A211,'Как будет'!S$17:S$24)</f>
        <v>0</v>
      </c>
      <c r="S211">
        <f>SUMIF('Как будет'!$A$17:$A$24,Доп.расчеты!$A211,'Как будет'!T$17:T$24)</f>
        <v>0</v>
      </c>
      <c r="T211">
        <f>SUMIF('Как будет'!$A$17:$A$24,Доп.расчеты!$A211,'Как будет'!U$17:U$24)</f>
        <v>0</v>
      </c>
      <c r="U211">
        <f>SUMIF('Как будет'!$A$17:$A$24,Доп.расчеты!$A211,'Как будет'!V$17:V$24)</f>
        <v>0</v>
      </c>
      <c r="V211">
        <f>SUMIF('Как будет'!$A$17:$A$24,Доп.расчеты!$A211,'Как будет'!W$17:W$24)</f>
        <v>0</v>
      </c>
      <c r="W211">
        <f>SUMIF('Как будет'!$A$17:$A$24,Доп.расчеты!$A211,'Как будет'!X$17:X$24)</f>
        <v>0</v>
      </c>
      <c r="X211">
        <f>SUMIF('Как будет'!$A$17:$A$24,Доп.расчеты!$A211,'Как будет'!Y$17:Y$24)</f>
        <v>0</v>
      </c>
      <c r="Y211">
        <f>SUMIF('Как будет'!$A$17:$A$24,Доп.расчеты!$A211,'Как будет'!Z$17:Z$24)</f>
        <v>0</v>
      </c>
      <c r="Z211">
        <f>SUMIF('Как будет'!$A$17:$A$24,Доп.расчеты!$A211,'Как будет'!AA$17:AA$24)</f>
        <v>0</v>
      </c>
      <c r="AA211">
        <f>SUMIF('Как будет'!$A$17:$A$24,Доп.расчеты!$A211,'Как будет'!AB$17:AB$24)</f>
        <v>0</v>
      </c>
      <c r="AB211">
        <f>SUMIF('Как будет'!$A$17:$A$24,Доп.расчеты!$A211,'Как будет'!AC$17:AC$24)</f>
        <v>0</v>
      </c>
      <c r="AC211">
        <f>SUMIF('Как будет'!$A$17:$A$24,Доп.расчеты!$A211,'Как будет'!AD$17:AD$24)</f>
        <v>0</v>
      </c>
      <c r="AD211">
        <f>SUMIF('Как будет'!$A$17:$A$24,Доп.расчеты!$A211,'Как будет'!AE$17:AE$24)</f>
        <v>0</v>
      </c>
      <c r="AE211">
        <f>SUMIF('Как будет'!$A$17:$A$24,Доп.расчеты!$A211,'Как будет'!AF$17:AF$24)</f>
        <v>0</v>
      </c>
      <c r="AF211">
        <f>SUMIF('Как будет'!$A$17:$A$24,Доп.расчеты!$A211,'Как будет'!AG$17:AG$24)</f>
        <v>0</v>
      </c>
      <c r="AG211">
        <f>SUMIF('Как будет'!$A$17:$A$24,Доп.расчеты!$A211,'Как будет'!AH$17:AH$24)</f>
        <v>0</v>
      </c>
      <c r="AH211">
        <f>SUMIF('Как будет'!$A$17:$A$24,Доп.расчеты!$A211,'Как будет'!AI$17:AI$24)</f>
        <v>0</v>
      </c>
      <c r="AI211">
        <f>SUMIF('Как будет'!$A$17:$A$24,Доп.расчеты!$A211,'Как будет'!AJ$17:AJ$24)</f>
        <v>0</v>
      </c>
      <c r="AJ211">
        <f>SUMIF('Как будет'!$A$17:$A$24,Доп.расчеты!$A211,'Как будет'!AK$17:AK$24)</f>
        <v>0</v>
      </c>
      <c r="AK211">
        <f>SUMIF('Как будет'!$A$17:$A$24,Доп.расчеты!$A211,'Как будет'!AL$17:AL$24)</f>
        <v>0</v>
      </c>
      <c r="AL211">
        <f>SUMIF('Как будет'!$A$17:$A$24,Доп.расчеты!$A211,'Как будет'!AM$17:AM$24)</f>
        <v>0</v>
      </c>
      <c r="AM211">
        <f>SUMIF('Как будет'!$A$17:$A$24,Доп.расчеты!$A211,'Как будет'!AN$17:AN$24)</f>
        <v>0</v>
      </c>
      <c r="AN211">
        <f>SUMIF('Как будет'!$A$17:$A$24,Доп.расчеты!$A211,'Как будет'!AO$17:AO$24)</f>
        <v>0</v>
      </c>
      <c r="AO211">
        <f>SUMIF('Как будет'!$A$17:$A$24,Доп.расчеты!$A211,'Как будет'!AP$17:AP$24)</f>
        <v>0</v>
      </c>
      <c r="AP211">
        <f>SUMIF('Как будет'!$A$17:$A$24,Доп.расчеты!$A211,'Как будет'!AQ$17:AQ$24)</f>
        <v>0</v>
      </c>
      <c r="AQ211">
        <f>SUMIF('Как будет'!$A$17:$A$24,Доп.расчеты!$A211,'Как будет'!AR$17:AR$24)</f>
        <v>0</v>
      </c>
      <c r="AR211">
        <f>SUMIF('Как будет'!$A$17:$A$24,Доп.расчеты!$A211,'Как будет'!AS$17:AS$24)</f>
        <v>0</v>
      </c>
      <c r="AS211">
        <f>SUMIF('Как будет'!$A$17:$A$24,Доп.расчеты!$A211,'Как будет'!AT$17:AT$24)</f>
        <v>0</v>
      </c>
      <c r="AT211">
        <f>SUMIF('Как будет'!$A$17:$A$24,Доп.расчеты!$A211,'Как будет'!AU$17:AU$24)</f>
        <v>0</v>
      </c>
      <c r="AU211">
        <f>SUMIF('Как будет'!$A$17:$A$24,Доп.расчеты!$A211,'Как будет'!AV$17:AV$24)</f>
        <v>0</v>
      </c>
      <c r="AV211">
        <f>SUMIF('Как будет'!$A$17:$A$24,Доп.расчеты!$A211,'Как будет'!AW$17:AW$24)</f>
        <v>0</v>
      </c>
      <c r="AW211">
        <f>SUMIF('Как будет'!$A$17:$A$24,Доп.расчеты!$A211,'Как будет'!AX$17:AX$24)</f>
        <v>0</v>
      </c>
      <c r="AX211">
        <f>SUMIF('Как будет'!$A$17:$A$24,Доп.расчеты!$A211,'Как будет'!AY$17:AY$24)</f>
        <v>0</v>
      </c>
      <c r="AY211">
        <f>SUMIF('Как будет'!$A$17:$A$24,Доп.расчеты!$A211,'Как будет'!AZ$17:AZ$24)</f>
        <v>0</v>
      </c>
      <c r="AZ211">
        <f>SUMIF('Как будет'!$A$17:$A$24,Доп.расчеты!$A211,'Как будет'!BA$17:BA$24)</f>
        <v>0</v>
      </c>
      <c r="BA211">
        <f>SUMIF('Как будет'!$A$17:$A$24,Доп.расчеты!$A211,'Как будет'!BB$17:BB$24)</f>
        <v>0</v>
      </c>
      <c r="BB211">
        <f>SUMIF('Как будет'!$A$17:$A$24,Доп.расчеты!$A211,'Как будет'!BC$17:BC$24)</f>
        <v>0</v>
      </c>
      <c r="BC211">
        <f>SUMIF('Как будет'!$A$17:$A$24,Доп.расчеты!$A211,'Как будет'!BD$17:BD$24)</f>
        <v>0</v>
      </c>
      <c r="BD211">
        <f>SUMIF('Как будет'!$A$17:$A$24,Доп.расчеты!$A211,'Как будет'!BE$17:BE$24)</f>
        <v>0</v>
      </c>
      <c r="BE211">
        <f>SUMIF('Как будет'!$A$17:$A$24,Доп.расчеты!$A211,'Как будет'!BF$17:BF$24)</f>
        <v>0</v>
      </c>
      <c r="BF211">
        <f>SUMIF('Как будет'!$A$17:$A$24,Доп.расчеты!$A211,'Как будет'!BG$17:BG$24)</f>
        <v>0</v>
      </c>
      <c r="BG211">
        <f>SUMIF('Как будет'!$A$17:$A$24,Доп.расчеты!$A211,'Как будет'!BH$17:BH$24)</f>
        <v>0</v>
      </c>
      <c r="BH211">
        <f>SUMIF('Как будет'!$A$17:$A$24,Доп.расчеты!$A211,'Как будет'!BI$17:BI$24)</f>
        <v>0</v>
      </c>
      <c r="BI211">
        <f>SUMIF('Как будет'!$A$17:$A$24,Доп.расчеты!$A211,'Как будет'!BJ$17:BJ$24)</f>
        <v>0</v>
      </c>
      <c r="BJ211">
        <f>SUMIF('Как будет'!$A$17:$A$24,Доп.расчеты!$A211,'Как будет'!BK$17:BK$24)</f>
        <v>0</v>
      </c>
      <c r="BK211">
        <f>SUMIF('Как будет'!$A$17:$A$24,Доп.расчеты!$A211,'Как будет'!BL$17:BL$24)</f>
        <v>0</v>
      </c>
      <c r="BL211">
        <f>SUMIF('Как будет'!$A$17:$A$24,Доп.расчеты!$A211,'Как будет'!BM$17:BM$24)</f>
        <v>0</v>
      </c>
      <c r="BM211">
        <f>SUMIF('Как будет'!$A$17:$A$24,Доп.расчеты!$A211,'Как будет'!BN$17:BN$24)</f>
        <v>0</v>
      </c>
      <c r="BN211">
        <f>SUMIF('Как будет'!$A$17:$A$24,Доп.расчеты!$A211,'Как будет'!BO$17:BO$24)</f>
        <v>0</v>
      </c>
      <c r="BO211">
        <f>SUMIF('Как будет'!$A$17:$A$24,Доп.расчеты!$A211,'Как будет'!BP$17:BP$24)</f>
        <v>0</v>
      </c>
      <c r="BP211">
        <f>SUMIF('Как будет'!$A$17:$A$24,Доп.расчеты!$A211,'Как будет'!BQ$17:BQ$24)</f>
        <v>0</v>
      </c>
      <c r="BQ211">
        <f>SUMIF('Как будет'!$A$17:$A$24,Доп.расчеты!$A211,'Как будет'!BR$17:BR$24)</f>
        <v>0</v>
      </c>
      <c r="BR211">
        <f>SUMIF('Как будет'!$A$17:$A$24,Доп.расчеты!$A211,'Как будет'!BS$17:BS$24)</f>
        <v>0</v>
      </c>
      <c r="BS211">
        <f>SUMIF('Как будет'!$A$17:$A$24,Доп.расчеты!$A211,'Как будет'!BT$17:BT$24)</f>
        <v>0</v>
      </c>
      <c r="BT211">
        <f>SUMIF('Как будет'!$A$17:$A$24,Доп.расчеты!$A211,'Как будет'!BU$17:BU$24)</f>
        <v>0</v>
      </c>
      <c r="BU211">
        <f>SUMIF('Как будет'!$A$17:$A$24,Доп.расчеты!$A211,'Как будет'!BV$17:BV$24)</f>
        <v>0</v>
      </c>
      <c r="BV211">
        <f>SUMIF('Как будет'!$A$17:$A$24,Доп.расчеты!$A211,'Как будет'!BW$17:BW$24)</f>
        <v>0</v>
      </c>
      <c r="BW211">
        <f>SUMIF('Как будет'!$A$17:$A$24,Доп.расчеты!$A211,'Как будет'!BX$17:BX$24)</f>
        <v>0</v>
      </c>
      <c r="BX211">
        <f>SUMIF('Как будет'!$A$17:$A$24,Доп.расчеты!$A211,'Как будет'!BY$17:BY$24)</f>
        <v>0</v>
      </c>
      <c r="BY211">
        <f>SUMIF('Как будет'!$A$17:$A$24,Доп.расчеты!$A211,'Как будет'!BZ$17:BZ$24)</f>
        <v>0</v>
      </c>
      <c r="BZ211">
        <f>SUMIF('Как будет'!$A$17:$A$24,Доп.расчеты!$A211,'Как будет'!CA$17:CA$24)</f>
        <v>0</v>
      </c>
      <c r="CA211">
        <f>SUMIF('Как будет'!$A$17:$A$24,Доп.расчеты!$A211,'Как будет'!CB$17:CB$24)</f>
        <v>0</v>
      </c>
      <c r="CB211">
        <f>SUMIF('Как будет'!$A$17:$A$24,Доп.расчеты!$A211,'Как будет'!CC$17:CC$24)</f>
        <v>0</v>
      </c>
      <c r="CC211">
        <f>SUMIF('Как будет'!$A$17:$A$24,Доп.расчеты!$A211,'Как будет'!CD$17:CD$24)</f>
        <v>0</v>
      </c>
      <c r="CD211">
        <f>SUMIF('Как будет'!$A$17:$A$24,Доп.расчеты!$A211,'Как будет'!CE$17:CE$24)</f>
        <v>0</v>
      </c>
      <c r="CE211">
        <f>SUMIF('Как будет'!$A$17:$A$24,Доп.расчеты!$A211,'Как будет'!CF$17:CF$24)</f>
        <v>0</v>
      </c>
      <c r="CF211">
        <f>SUMIF('Как будет'!$A$17:$A$24,Доп.расчеты!$A211,'Как будет'!CG$17:CG$24)</f>
        <v>0</v>
      </c>
      <c r="CG211">
        <f>SUMIF('Как будет'!$A$17:$A$24,Доп.расчеты!$A211,'Как будет'!CH$17:CH$24)</f>
        <v>0</v>
      </c>
      <c r="CH211">
        <f>SUMIF('Как будет'!$A$17:$A$24,Доп.расчеты!$A211,'Как будет'!CI$17:CI$24)</f>
        <v>0</v>
      </c>
      <c r="CI211">
        <f>SUMIF('Как будет'!$A$17:$A$24,Доп.расчеты!$A211,'Как будет'!CJ$17:CJ$24)</f>
        <v>0</v>
      </c>
      <c r="CJ211">
        <f>SUMIF('Как будет'!$A$17:$A$24,Доп.расчеты!$A211,'Как будет'!CK$17:CK$24)</f>
        <v>0</v>
      </c>
      <c r="CK211">
        <f>SUMIF('Как будет'!$A$17:$A$24,Доп.расчеты!$A211,'Как будет'!CL$17:CL$24)</f>
        <v>0</v>
      </c>
      <c r="CL211">
        <f>SUMIF('Как будет'!$A$17:$A$24,Доп.расчеты!$A211,'Как будет'!CM$17:CM$24)</f>
        <v>0</v>
      </c>
      <c r="CM211">
        <f>SUMIF('Как будет'!$A$17:$A$24,Доп.расчеты!$A211,'Как будет'!CN$17:CN$24)</f>
        <v>0</v>
      </c>
      <c r="CN211">
        <f>SUMIF('Как будет'!$A$17:$A$24,Доп.расчеты!$A211,'Как будет'!CO$17:CO$24)</f>
        <v>0</v>
      </c>
      <c r="CO211">
        <f>SUMIF('Как будет'!$A$17:$A$24,Доп.расчеты!$A211,'Как будет'!CP$17:CP$24)</f>
        <v>0</v>
      </c>
      <c r="CP211">
        <f>SUMIF('Как будет'!$A$17:$A$24,Доп.расчеты!$A211,'Как будет'!CQ$17:CQ$24)</f>
        <v>0</v>
      </c>
      <c r="CQ211">
        <f>SUMIF('Как будет'!$A$17:$A$24,Доп.расчеты!$A211,'Как будет'!CR$17:CR$24)</f>
        <v>0</v>
      </c>
      <c r="CR211">
        <f>SUMIF('Как будет'!$A$17:$A$24,Доп.расчеты!$A211,'Как будет'!CS$17:CS$24)</f>
        <v>0</v>
      </c>
      <c r="CS211">
        <f>SUMIF('Как будет'!$A$17:$A$24,Доп.расчеты!$A211,'Как будет'!CT$17:CT$24)</f>
        <v>0</v>
      </c>
      <c r="CT211">
        <f>SUMIF('Как будет'!$A$17:$A$24,Доп.расчеты!$A211,'Как будет'!CU$17:CU$24)</f>
        <v>0</v>
      </c>
      <c r="CU211">
        <f>SUMIF('Как будет'!$A$17:$A$24,Доп.расчеты!$A211,'Как будет'!CV$17:CV$24)</f>
        <v>0</v>
      </c>
      <c r="CV211">
        <f>SUMIF('Как будет'!$A$17:$A$24,Доп.расчеты!$A211,'Как будет'!CW$17:CW$24)</f>
        <v>0</v>
      </c>
      <c r="CW211">
        <f>SUMIF('Как будет'!$A$17:$A$24,Доп.расчеты!$A211,'Как будет'!CX$17:CX$24)</f>
        <v>0</v>
      </c>
      <c r="CX211">
        <f>SUMIF('Как будет'!$A$17:$A$24,Доп.расчеты!$A211,'Как будет'!CY$17:CY$24)</f>
        <v>0</v>
      </c>
      <c r="CY211">
        <f>SUMIF('Как будет'!$A$17:$A$24,Доп.расчеты!$A211,'Как будет'!CZ$17:CZ$24)</f>
        <v>0</v>
      </c>
      <c r="CZ211">
        <f>SUMIF('Как будет'!$A$17:$A$24,Доп.расчеты!$A211,'Как будет'!DA$17:DA$24)</f>
        <v>0</v>
      </c>
      <c r="DA211">
        <f>SUMIF('Как будет'!$A$17:$A$24,Доп.расчеты!$A211,'Как будет'!DB$17:DB$24)</f>
        <v>0</v>
      </c>
      <c r="DB211">
        <f>SUMIF('Как будет'!$A$17:$A$24,Доп.расчеты!$A211,'Как будет'!DC$17:DC$24)</f>
        <v>0</v>
      </c>
      <c r="DC211">
        <f>SUMIF('Как будет'!$A$17:$A$24,Доп.расчеты!$A211,'Как будет'!DD$17:DD$24)</f>
        <v>0</v>
      </c>
      <c r="DD211">
        <f>SUMIF('Как будет'!$A$17:$A$24,Доп.расчеты!$A211,'Как будет'!DE$17:DE$24)</f>
        <v>0</v>
      </c>
      <c r="DE211">
        <f>SUMIF('Как будет'!$A$17:$A$24,Доп.расчеты!$A211,'Как будет'!DF$17:DF$24)</f>
        <v>0</v>
      </c>
      <c r="DF211">
        <f>SUMIF('Как будет'!$A$17:$A$24,Доп.расчеты!$A211,'Как будет'!DG$17:DG$24)</f>
        <v>0</v>
      </c>
      <c r="DG211">
        <f>SUMIF('Как будет'!$A$17:$A$24,Доп.расчеты!$A211,'Как будет'!DH$17:DH$24)</f>
        <v>0</v>
      </c>
      <c r="DH211">
        <f>SUMIF('Как будет'!$A$17:$A$24,Доп.расчеты!$A211,'Как будет'!DI$17:DI$24)</f>
        <v>0</v>
      </c>
      <c r="DI211">
        <f>SUMIF('Как будет'!$A$17:$A$24,Доп.расчеты!$A211,'Как будет'!DJ$17:DJ$24)</f>
        <v>0</v>
      </c>
      <c r="DJ211">
        <f>SUMIF('Как будет'!$A$17:$A$24,Доп.расчеты!$A211,'Как будет'!DK$17:DK$24)</f>
        <v>0</v>
      </c>
      <c r="DK211">
        <f>SUMIF('Как будет'!$A$17:$A$24,Доп.расчеты!$A211,'Как будет'!DL$17:DL$24)</f>
        <v>0</v>
      </c>
      <c r="DL211">
        <f>SUMIF('Как будет'!$A$17:$A$24,Доп.расчеты!$A211,'Как будет'!DM$17:DM$24)</f>
        <v>0</v>
      </c>
      <c r="DM211">
        <f>SUMIF('Как будет'!$A$17:$A$24,Доп.расчеты!$A211,'Как будет'!DN$17:DN$24)</f>
        <v>0</v>
      </c>
      <c r="DN211">
        <f>SUMIF('Как будет'!$A$17:$A$24,Доп.расчеты!$A211,'Как будет'!DO$17:DO$24)</f>
        <v>0</v>
      </c>
      <c r="DO211">
        <f>SUMIF('Как будет'!$A$17:$A$24,Доп.расчеты!$A211,'Как будет'!DP$17:DP$24)</f>
        <v>0</v>
      </c>
      <c r="DP211">
        <f>SUMIF('Как будет'!$A$17:$A$24,Доп.расчеты!$A211,'Как будет'!DQ$17:DQ$24)</f>
        <v>0</v>
      </c>
      <c r="DQ211">
        <f>SUMIF('Как будет'!$A$17:$A$24,Доп.расчеты!$A211,'Как будет'!DR$17:DR$24)</f>
        <v>0</v>
      </c>
      <c r="DR211">
        <f>SUMIF('Как будет'!$A$17:$A$24,Доп.расчеты!$A211,'Как будет'!DS$17:DS$24)</f>
        <v>0</v>
      </c>
      <c r="DS211">
        <f>SUMIF('Как будет'!$A$17:$A$24,Доп.расчеты!$A211,'Как будет'!DT$17:DT$24)</f>
        <v>0</v>
      </c>
      <c r="DT211">
        <f>SUMIF('Как будет'!$A$17:$A$24,Доп.расчеты!$A211,'Как будет'!DU$17:DU$24)</f>
        <v>0</v>
      </c>
      <c r="DU211">
        <f>SUMIF('Как будет'!$A$17:$A$24,Доп.расчеты!$A211,'Как будет'!DV$17:DV$24)</f>
        <v>0</v>
      </c>
      <c r="DV211">
        <f>SUMIF('Как будет'!$A$17:$A$24,Доп.расчеты!$A211,'Как будет'!DW$17:DW$24)</f>
        <v>0</v>
      </c>
      <c r="DW211">
        <f>SUMIF('Как будет'!$A$17:$A$24,Доп.расчеты!$A211,'Как будет'!DX$17:DX$24)</f>
        <v>0</v>
      </c>
      <c r="DX211">
        <f>SUMIF('Как будет'!$A$17:$A$24,Доп.расчеты!$A211,'Как будет'!DY$17:DY$24)</f>
        <v>0</v>
      </c>
      <c r="DY211">
        <f>SUMIF('Как будет'!$A$17:$A$24,Доп.расчеты!$A211,'Как будет'!DZ$17:DZ$24)</f>
        <v>0</v>
      </c>
      <c r="DZ211">
        <f>SUMIF('Как будет'!$A$17:$A$24,Доп.расчеты!$A211,'Как будет'!EA$17:EA$24)</f>
        <v>0</v>
      </c>
      <c r="EA211">
        <f>SUMIF('Как будет'!$A$17:$A$24,Доп.расчеты!$A211,'Как будет'!EB$17:EB$24)</f>
        <v>0</v>
      </c>
      <c r="EB211">
        <f>SUMIF('Как будет'!$A$17:$A$24,Доп.расчеты!$A211,'Как будет'!EC$17:EC$24)</f>
        <v>0</v>
      </c>
      <c r="EC211">
        <f>SUMIF('Как будет'!$A$17:$A$24,Доп.расчеты!$A211,'Как будет'!ED$17:ED$24)</f>
        <v>0</v>
      </c>
      <c r="ED211">
        <f>SUMIF('Как будет'!$A$17:$A$24,Доп.расчеты!$A211,'Как будет'!EE$17:EE$24)</f>
        <v>0</v>
      </c>
      <c r="EE211">
        <f>SUMIF('Как будет'!$A$17:$A$24,Доп.расчеты!$A211,'Как будет'!EF$17:EF$24)</f>
        <v>0</v>
      </c>
      <c r="EF211">
        <f>SUMIF('Как будет'!$A$17:$A$24,Доп.расчеты!$A211,'Как будет'!EG$17:EG$24)</f>
        <v>0</v>
      </c>
      <c r="EG211">
        <f>SUMIF('Как будет'!$A$17:$A$24,Доп.расчеты!$A211,'Как будет'!EH$17:EH$24)</f>
        <v>0</v>
      </c>
      <c r="EH211">
        <f>SUMIF('Как будет'!$A$17:$A$24,Доп.расчеты!$A211,'Как будет'!EI$17:EI$24)</f>
        <v>0</v>
      </c>
      <c r="EI211">
        <f>SUMIF('Как будет'!$A$17:$A$24,Доп.расчеты!$A211,'Как будет'!EJ$17:EJ$24)</f>
        <v>0</v>
      </c>
      <c r="EJ211">
        <f>SUMIF('Как будет'!$A$17:$A$24,Доп.расчеты!$A211,'Как будет'!EK$17:EK$24)</f>
        <v>0</v>
      </c>
      <c r="EK211">
        <f>SUMIF('Как будет'!$A$17:$A$24,Доп.расчеты!$A211,'Как будет'!EL$17:EL$24)</f>
        <v>0</v>
      </c>
      <c r="EL211">
        <f>SUMIF('Как будет'!$A$17:$A$24,Доп.расчеты!$A211,'Как будет'!EM$17:EM$24)</f>
        <v>0</v>
      </c>
      <c r="EM211">
        <f>SUMIF('Как будет'!$A$17:$A$24,Доп.расчеты!$A211,'Как будет'!EN$17:EN$24)</f>
        <v>0</v>
      </c>
      <c r="EN211">
        <f>SUMIF('Как будет'!$A$17:$A$24,Доп.расчеты!$A211,'Как будет'!EO$17:EO$24)</f>
        <v>0</v>
      </c>
      <c r="EO211">
        <f>SUMIF('Как будет'!$A$17:$A$24,Доп.расчеты!$A211,'Как будет'!EP$17:EP$24)</f>
        <v>0</v>
      </c>
      <c r="EP211">
        <f>SUMIF('Как будет'!$A$17:$A$24,Доп.расчеты!$A211,'Как будет'!EQ$17:EQ$24)</f>
        <v>0</v>
      </c>
      <c r="EQ211">
        <f>SUMIF('Как будет'!$A$17:$A$24,Доп.расчеты!$A211,'Как будет'!ER$17:ER$24)</f>
        <v>0</v>
      </c>
      <c r="ER211">
        <f>SUMIF('Как будет'!$A$17:$A$24,Доп.расчеты!$A211,'Как будет'!ES$17:ES$24)</f>
        <v>0</v>
      </c>
      <c r="ES211">
        <f>SUMIF('Как будет'!$A$17:$A$24,Доп.расчеты!$A211,'Как будет'!ET$17:ET$24)</f>
        <v>0</v>
      </c>
      <c r="ET211">
        <f>SUMIF('Как будет'!$A$17:$A$24,Доп.расчеты!$A211,'Как будет'!EU$17:EU$24)</f>
        <v>0</v>
      </c>
      <c r="EU211">
        <f>SUMIF('Как будет'!$A$17:$A$24,Доп.расчеты!$A211,'Как будет'!EV$17:EV$24)</f>
        <v>0</v>
      </c>
      <c r="EV211">
        <f>SUMIF('Как будет'!$A$17:$A$24,Доп.расчеты!$A211,'Как будет'!EW$17:EW$24)</f>
        <v>0</v>
      </c>
      <c r="EW211">
        <f>SUMIF('Как будет'!$A$17:$A$24,Доп.расчеты!$A211,'Как будет'!EX$17:EX$24)</f>
        <v>0</v>
      </c>
      <c r="EX211">
        <f>SUMIF('Как будет'!$A$17:$A$24,Доп.расчеты!$A211,'Как будет'!EY$17:EY$24)</f>
        <v>0</v>
      </c>
      <c r="EY211">
        <f>SUMIF('Как будет'!$A$17:$A$24,Доп.расчеты!$A211,'Как будет'!EZ$17:EZ$24)</f>
        <v>0</v>
      </c>
      <c r="EZ211">
        <f>SUMIF('Как будет'!$A$17:$A$24,Доп.расчеты!$A211,'Как будет'!FA$17:FA$24)</f>
        <v>0</v>
      </c>
      <c r="FA211">
        <f>SUMIF('Как будет'!$A$17:$A$24,Доп.расчеты!$A211,'Как будет'!FB$17:FB$24)</f>
        <v>0</v>
      </c>
      <c r="FB211">
        <f>SUMIF('Как будет'!$A$17:$A$24,Доп.расчеты!$A211,'Как будет'!FC$17:FC$24)</f>
        <v>0</v>
      </c>
      <c r="FC211">
        <f>SUMIF('Как будет'!$A$17:$A$24,Доп.расчеты!$A211,'Как будет'!FD$17:FD$24)</f>
        <v>0</v>
      </c>
      <c r="FD211">
        <f>SUMIF('Как будет'!$A$17:$A$24,Доп.расчеты!$A211,'Как будет'!FE$17:FE$24)</f>
        <v>0</v>
      </c>
      <c r="FE211">
        <f>SUMIF('Как будет'!$A$17:$A$24,Доп.расчеты!$A211,'Как будет'!FF$17:FF$24)</f>
        <v>0</v>
      </c>
      <c r="FF211">
        <f>SUMIF('Как будет'!$A$17:$A$24,Доп.расчеты!$A211,'Как будет'!FG$17:FG$24)</f>
        <v>0</v>
      </c>
      <c r="FG211">
        <f>SUMIF('Как будет'!$A$17:$A$24,Доп.расчеты!$A211,'Как будет'!FH$17:FH$24)</f>
        <v>0</v>
      </c>
      <c r="FH211">
        <f>SUMIF('Как будет'!$A$17:$A$24,Доп.расчеты!$A211,'Как будет'!FI$17:FI$24)</f>
        <v>0</v>
      </c>
      <c r="FI211">
        <f>SUMIF('Как будет'!$A$17:$A$24,Доп.расчеты!$A211,'Как будет'!FJ$17:FJ$24)</f>
        <v>0</v>
      </c>
      <c r="FJ211">
        <f>SUMIF('Как будет'!$A$17:$A$24,Доп.расчеты!$A211,'Как будет'!FK$17:FK$24)</f>
        <v>0</v>
      </c>
      <c r="FK211">
        <f>SUMIF('Как будет'!$A$17:$A$24,Доп.расчеты!$A211,'Как будет'!FL$17:FL$24)</f>
        <v>0</v>
      </c>
      <c r="FL211">
        <f>SUMIF('Как будет'!$A$17:$A$24,Доп.расчеты!$A211,'Как будет'!FM$17:FM$24)</f>
        <v>0</v>
      </c>
      <c r="FM211">
        <f>SUMIF('Как будет'!$A$17:$A$24,Доп.расчеты!$A211,'Как будет'!FN$17:FN$24)</f>
        <v>0</v>
      </c>
      <c r="FN211">
        <f>SUMIF('Как будет'!$A$17:$A$24,Доп.расчеты!$A211,'Как будет'!FO$17:FO$24)</f>
        <v>0</v>
      </c>
      <c r="FO211">
        <f>SUMIF('Как будет'!$A$17:$A$24,Доп.расчеты!$A211,'Как будет'!FP$17:FP$24)</f>
        <v>0</v>
      </c>
      <c r="FP211">
        <f>SUMIF('Как будет'!$A$17:$A$24,Доп.расчеты!$A211,'Как будет'!FQ$17:FQ$24)</f>
        <v>0</v>
      </c>
      <c r="FQ211">
        <f>SUMIF('Как будет'!$A$17:$A$24,Доп.расчеты!$A211,'Как будет'!FR$17:FR$24)</f>
        <v>0</v>
      </c>
      <c r="FR211">
        <f>SUMIF('Как будет'!$A$17:$A$24,Доп.расчеты!$A211,'Как будет'!FS$17:FS$24)</f>
        <v>0</v>
      </c>
      <c r="FS211">
        <f>SUMIF('Как будет'!$A$17:$A$24,Доп.расчеты!$A211,'Как будет'!FT$17:FT$24)</f>
        <v>0</v>
      </c>
      <c r="FT211">
        <f>SUMIF('Как будет'!$A$17:$A$24,Доп.расчеты!$A211,'Как будет'!FU$17:FU$24)</f>
        <v>0</v>
      </c>
      <c r="FU211">
        <f>SUMIF('Как будет'!$A$17:$A$24,Доп.расчеты!$A211,'Как будет'!FV$17:FV$24)</f>
        <v>0</v>
      </c>
      <c r="FV211">
        <f>SUMIF('Как будет'!$A$17:$A$24,Доп.расчеты!$A211,'Как будет'!FW$17:FW$24)</f>
        <v>0</v>
      </c>
      <c r="FW211">
        <f>SUMIF('Как будет'!$A$17:$A$24,Доп.расчеты!$A211,'Как будет'!FX$17:FX$24)</f>
        <v>0</v>
      </c>
      <c r="FX211">
        <f>SUMIF('Как будет'!$A$17:$A$24,Доп.расчеты!$A211,'Как будет'!FY$17:FY$24)</f>
        <v>0</v>
      </c>
      <c r="FY211">
        <f>SUMIF('Как будет'!$A$17:$A$24,Доп.расчеты!$A211,'Как будет'!FZ$17:FZ$24)</f>
        <v>0</v>
      </c>
      <c r="FZ211">
        <f>SUMIF('Как будет'!$A$17:$A$24,Доп.расчеты!$A211,'Как будет'!GA$17:GA$24)</f>
        <v>0</v>
      </c>
      <c r="GA211">
        <f>SUMIF('Как будет'!$A$17:$A$24,Доп.расчеты!$A211,'Как будет'!GB$17:GB$24)</f>
        <v>0</v>
      </c>
      <c r="GB211">
        <f>SUMIF('Как будет'!$A$17:$A$24,Доп.расчеты!$A211,'Как будет'!GC$17:GC$24)</f>
        <v>0</v>
      </c>
      <c r="GC211">
        <f>SUMIF('Как будет'!$A$17:$A$24,Доп.расчеты!$A211,'Как будет'!GD$17:GD$24)</f>
        <v>0</v>
      </c>
      <c r="GD211">
        <f>SUMIF('Как будет'!$A$17:$A$24,Доп.расчеты!$A211,'Как будет'!GE$17:GE$24)</f>
        <v>0</v>
      </c>
      <c r="GE211">
        <f>SUMIF('Как будет'!$A$17:$A$24,Доп.расчеты!$A211,'Как будет'!GF$17:GF$24)</f>
        <v>0</v>
      </c>
      <c r="GF211">
        <f>SUMIF('Как будет'!$A$17:$A$24,Доп.расчеты!$A211,'Как будет'!GG$17:GG$24)</f>
        <v>0</v>
      </c>
      <c r="GG211">
        <f>SUMIF('Как будет'!$A$17:$A$24,Доп.расчеты!$A211,'Как будет'!GH$17:GH$24)</f>
        <v>0</v>
      </c>
      <c r="GH211">
        <f>SUMIF('Как будет'!$A$17:$A$24,Доп.расчеты!$A211,'Как будет'!GI$17:GI$24)</f>
        <v>0</v>
      </c>
      <c r="GI211">
        <f>SUMIF('Как будет'!$A$17:$A$24,Доп.расчеты!$A211,'Как будет'!GJ$17:GJ$24)</f>
        <v>0</v>
      </c>
      <c r="GJ211">
        <f>SUMIF('Как будет'!$A$17:$A$24,Доп.расчеты!$A211,'Как будет'!GK$17:GK$24)</f>
        <v>0</v>
      </c>
      <c r="GK211">
        <f>SUMIF('Как будет'!$A$17:$A$24,Доп.расчеты!$A211,'Как будет'!GL$17:GL$24)</f>
        <v>0</v>
      </c>
      <c r="GL211">
        <f>SUMIF('Как будет'!$A$17:$A$24,Доп.расчеты!$A211,'Как будет'!GM$17:GM$24)</f>
        <v>0</v>
      </c>
      <c r="GM211">
        <f>SUMIF('Как будет'!$A$17:$A$24,Доп.расчеты!$A211,'Как будет'!GN$17:GN$24)</f>
        <v>0</v>
      </c>
      <c r="GN211">
        <f>SUMIF('Как будет'!$A$17:$A$24,Доп.расчеты!$A211,'Как будет'!GO$17:GO$24)</f>
        <v>0</v>
      </c>
      <c r="GO211">
        <f>SUMIF('Как будет'!$A$17:$A$24,Доп.расчеты!$A211,'Как будет'!GP$17:GP$24)</f>
        <v>0</v>
      </c>
      <c r="GP211">
        <f>SUMIF('Как будет'!$A$17:$A$24,Доп.расчеты!$A211,'Как будет'!GQ$17:GQ$24)</f>
        <v>0</v>
      </c>
      <c r="GQ211">
        <f>SUMIF('Как будет'!$A$17:$A$24,Доп.расчеты!$A211,'Как будет'!GR$17:GR$24)</f>
        <v>0</v>
      </c>
      <c r="GR211">
        <f>SUMIF('Как будет'!$A$17:$A$24,Доп.расчеты!$A211,'Как будет'!GS$17:GS$24)</f>
        <v>0</v>
      </c>
      <c r="GS211">
        <f>SUMIF('Как будет'!$A$17:$A$24,Доп.расчеты!$A211,'Как будет'!GT$17:GT$24)</f>
        <v>0</v>
      </c>
      <c r="GT211">
        <f>SUMIF('Как будет'!$A$17:$A$24,Доп.расчеты!$A211,'Как будет'!GU$17:GU$24)</f>
        <v>0</v>
      </c>
    </row>
    <row r="212" spans="1:202">
      <c r="A212" s="238" t="s">
        <v>107</v>
      </c>
      <c r="B212">
        <f>SUMIF('Как будет'!$A$17:$A$24,Доп.расчеты!$A212,'Как будет'!C$17:C$24)</f>
        <v>451.36</v>
      </c>
      <c r="C212">
        <f>SUMIF('Как будет'!$A$17:$A$24,Доп.расчеты!$A212,'Как будет'!D$17:D$24)</f>
        <v>488.44</v>
      </c>
      <c r="D212">
        <f>SUMIF('Как будет'!$A$17:$A$24,Доп.расчеты!$A212,'Как будет'!E$17:E$24)</f>
        <v>960.30000000000007</v>
      </c>
      <c r="E212">
        <f>SUMIF('Как будет'!$A$17:$A$24,Доп.расчеты!$A212,'Как будет'!F$17:F$24)</f>
        <v>723.74</v>
      </c>
      <c r="F212">
        <f>SUMIF('Как будет'!$A$17:$A$24,Доп.расчеты!$A212,'Как будет'!G$17:G$24)</f>
        <v>454.92</v>
      </c>
      <c r="G212">
        <f>SUMIF('Как будет'!$A$17:$A$24,Доп.расчеты!$A212,'Как будет'!H$17:H$24)</f>
        <v>257.48</v>
      </c>
      <c r="H212">
        <f>SUMIF('Как будет'!$A$17:$A$24,Доп.расчеты!$A212,'Как будет'!I$17:I$24)</f>
        <v>257.48</v>
      </c>
      <c r="I212">
        <f>SUMIF('Как будет'!$A$17:$A$24,Доп.расчеты!$A212,'Как будет'!J$17:J$24)</f>
        <v>257.48</v>
      </c>
      <c r="J212">
        <f>SUMIF('Как будет'!$A$17:$A$24,Доп.расчеты!$A212,'Как будет'!K$17:K$24)</f>
        <v>257.48</v>
      </c>
      <c r="K212">
        <f>SUMIF('Как будет'!$A$17:$A$24,Доп.расчеты!$A212,'Как будет'!L$17:L$24)</f>
        <v>257.48</v>
      </c>
      <c r="L212">
        <f>SUMIF('Как будет'!$A$17:$A$24,Доп.расчеты!$A212,'Как будет'!M$17:M$24)</f>
        <v>257.48</v>
      </c>
      <c r="M212">
        <f>SUMIF('Как будет'!$A$17:$A$24,Доп.расчеты!$A212,'Как будет'!N$17:N$24)</f>
        <v>164.1</v>
      </c>
      <c r="N212">
        <f>SUMIF('Как будет'!$A$17:$A$24,Доп.расчеты!$A212,'Как будет'!O$17:O$24)</f>
        <v>0</v>
      </c>
      <c r="O212">
        <f>SUMIF('Как будет'!$A$17:$A$24,Доп.расчеты!$A212,'Как будет'!P$17:P$24)</f>
        <v>0</v>
      </c>
      <c r="P212">
        <f>SUMIF('Как будет'!$A$17:$A$24,Доп.расчеты!$A212,'Как будет'!Q$17:Q$24)</f>
        <v>0</v>
      </c>
      <c r="Q212">
        <f>SUMIF('Как будет'!$A$17:$A$24,Доп.расчеты!$A212,'Как будет'!R$17:R$24)</f>
        <v>0</v>
      </c>
      <c r="R212">
        <f>SUMIF('Как будет'!$A$17:$A$24,Доп.расчеты!$A212,'Как будет'!S$17:S$24)</f>
        <v>0</v>
      </c>
      <c r="S212">
        <f>SUMIF('Как будет'!$A$17:$A$24,Доп.расчеты!$A212,'Как будет'!T$17:T$24)</f>
        <v>0</v>
      </c>
      <c r="T212">
        <f>SUMIF('Как будет'!$A$17:$A$24,Доп.расчеты!$A212,'Как будет'!U$17:U$24)</f>
        <v>0</v>
      </c>
      <c r="U212">
        <f>SUMIF('Как будет'!$A$17:$A$24,Доп.расчеты!$A212,'Как будет'!V$17:V$24)</f>
        <v>0</v>
      </c>
      <c r="V212">
        <f>SUMIF('Как будет'!$A$17:$A$24,Доп.расчеты!$A212,'Как будет'!W$17:W$24)</f>
        <v>0</v>
      </c>
      <c r="W212">
        <f>SUMIF('Как будет'!$A$17:$A$24,Доп.расчеты!$A212,'Как будет'!X$17:X$24)</f>
        <v>0</v>
      </c>
      <c r="X212">
        <f>SUMIF('Как будет'!$A$17:$A$24,Доп.расчеты!$A212,'Как будет'!Y$17:Y$24)</f>
        <v>0</v>
      </c>
      <c r="Y212">
        <f>SUMIF('Как будет'!$A$17:$A$24,Доп.расчеты!$A212,'Как будет'!Z$17:Z$24)</f>
        <v>0</v>
      </c>
      <c r="Z212">
        <f>SUMIF('Как будет'!$A$17:$A$24,Доп.расчеты!$A212,'Как будет'!AA$17:AA$24)</f>
        <v>0</v>
      </c>
      <c r="AA212">
        <f>SUMIF('Как будет'!$A$17:$A$24,Доп.расчеты!$A212,'Как будет'!AB$17:AB$24)</f>
        <v>0</v>
      </c>
      <c r="AB212">
        <f>SUMIF('Как будет'!$A$17:$A$24,Доп.расчеты!$A212,'Как будет'!AC$17:AC$24)</f>
        <v>0</v>
      </c>
      <c r="AC212">
        <f>SUMIF('Как будет'!$A$17:$A$24,Доп.расчеты!$A212,'Как будет'!AD$17:AD$24)</f>
        <v>0</v>
      </c>
      <c r="AD212">
        <f>SUMIF('Как будет'!$A$17:$A$24,Доп.расчеты!$A212,'Как будет'!AE$17:AE$24)</f>
        <v>0</v>
      </c>
      <c r="AE212">
        <f>SUMIF('Как будет'!$A$17:$A$24,Доп.расчеты!$A212,'Как будет'!AF$17:AF$24)</f>
        <v>0</v>
      </c>
      <c r="AF212">
        <f>SUMIF('Как будет'!$A$17:$A$24,Доп.расчеты!$A212,'Как будет'!AG$17:AG$24)</f>
        <v>0</v>
      </c>
      <c r="AG212">
        <f>SUMIF('Как будет'!$A$17:$A$24,Доп.расчеты!$A212,'Как будет'!AH$17:AH$24)</f>
        <v>0</v>
      </c>
      <c r="AH212">
        <f>SUMIF('Как будет'!$A$17:$A$24,Доп.расчеты!$A212,'Как будет'!AI$17:AI$24)</f>
        <v>0</v>
      </c>
      <c r="AI212">
        <f>SUMIF('Как будет'!$A$17:$A$24,Доп.расчеты!$A212,'Как будет'!AJ$17:AJ$24)</f>
        <v>0</v>
      </c>
      <c r="AJ212">
        <f>SUMIF('Как будет'!$A$17:$A$24,Доп.расчеты!$A212,'Как будет'!AK$17:AK$24)</f>
        <v>0</v>
      </c>
      <c r="AK212">
        <f>SUMIF('Как будет'!$A$17:$A$24,Доп.расчеты!$A212,'Как будет'!AL$17:AL$24)</f>
        <v>0</v>
      </c>
      <c r="AL212">
        <f>SUMIF('Как будет'!$A$17:$A$24,Доп.расчеты!$A212,'Как будет'!AM$17:AM$24)</f>
        <v>0</v>
      </c>
      <c r="AM212">
        <f>SUMIF('Как будет'!$A$17:$A$24,Доп.расчеты!$A212,'Как будет'!AN$17:AN$24)</f>
        <v>0</v>
      </c>
      <c r="AN212">
        <f>SUMIF('Как будет'!$A$17:$A$24,Доп.расчеты!$A212,'Как будет'!AO$17:AO$24)</f>
        <v>0</v>
      </c>
      <c r="AO212">
        <f>SUMIF('Как будет'!$A$17:$A$24,Доп.расчеты!$A212,'Как будет'!AP$17:AP$24)</f>
        <v>0</v>
      </c>
      <c r="AP212">
        <f>SUMIF('Как будет'!$A$17:$A$24,Доп.расчеты!$A212,'Как будет'!AQ$17:AQ$24)</f>
        <v>0</v>
      </c>
      <c r="AQ212">
        <f>SUMIF('Как будет'!$A$17:$A$24,Доп.расчеты!$A212,'Как будет'!AR$17:AR$24)</f>
        <v>0</v>
      </c>
      <c r="AR212">
        <f>SUMIF('Как будет'!$A$17:$A$24,Доп.расчеты!$A212,'Как будет'!AS$17:AS$24)</f>
        <v>0</v>
      </c>
      <c r="AS212">
        <f>SUMIF('Как будет'!$A$17:$A$24,Доп.расчеты!$A212,'Как будет'!AT$17:AT$24)</f>
        <v>0</v>
      </c>
      <c r="AT212">
        <f>SUMIF('Как будет'!$A$17:$A$24,Доп.расчеты!$A212,'Как будет'!AU$17:AU$24)</f>
        <v>0</v>
      </c>
      <c r="AU212">
        <f>SUMIF('Как будет'!$A$17:$A$24,Доп.расчеты!$A212,'Как будет'!AV$17:AV$24)</f>
        <v>0</v>
      </c>
      <c r="AV212">
        <f>SUMIF('Как будет'!$A$17:$A$24,Доп.расчеты!$A212,'Как будет'!AW$17:AW$24)</f>
        <v>0</v>
      </c>
      <c r="AW212">
        <f>SUMIF('Как будет'!$A$17:$A$24,Доп.расчеты!$A212,'Как будет'!AX$17:AX$24)</f>
        <v>0</v>
      </c>
      <c r="AX212">
        <f>SUMIF('Как будет'!$A$17:$A$24,Доп.расчеты!$A212,'Как будет'!AY$17:AY$24)</f>
        <v>0</v>
      </c>
      <c r="AY212">
        <f>SUMIF('Как будет'!$A$17:$A$24,Доп.расчеты!$A212,'Как будет'!AZ$17:AZ$24)</f>
        <v>0</v>
      </c>
      <c r="AZ212">
        <f>SUMIF('Как будет'!$A$17:$A$24,Доп.расчеты!$A212,'Как будет'!BA$17:BA$24)</f>
        <v>0</v>
      </c>
      <c r="BA212">
        <f>SUMIF('Как будет'!$A$17:$A$24,Доп.расчеты!$A212,'Как будет'!BB$17:BB$24)</f>
        <v>0</v>
      </c>
      <c r="BB212">
        <f>SUMIF('Как будет'!$A$17:$A$24,Доп.расчеты!$A212,'Как будет'!BC$17:BC$24)</f>
        <v>0</v>
      </c>
      <c r="BC212">
        <f>SUMIF('Как будет'!$A$17:$A$24,Доп.расчеты!$A212,'Как будет'!BD$17:BD$24)</f>
        <v>0</v>
      </c>
      <c r="BD212">
        <f>SUMIF('Как будет'!$A$17:$A$24,Доп.расчеты!$A212,'Как будет'!BE$17:BE$24)</f>
        <v>0</v>
      </c>
      <c r="BE212">
        <f>SUMIF('Как будет'!$A$17:$A$24,Доп.расчеты!$A212,'Как будет'!BF$17:BF$24)</f>
        <v>0</v>
      </c>
      <c r="BF212">
        <f>SUMIF('Как будет'!$A$17:$A$24,Доп.расчеты!$A212,'Как будет'!BG$17:BG$24)</f>
        <v>0</v>
      </c>
      <c r="BG212">
        <f>SUMIF('Как будет'!$A$17:$A$24,Доп.расчеты!$A212,'Как будет'!BH$17:BH$24)</f>
        <v>0</v>
      </c>
      <c r="BH212">
        <f>SUMIF('Как будет'!$A$17:$A$24,Доп.расчеты!$A212,'Как будет'!BI$17:BI$24)</f>
        <v>0</v>
      </c>
      <c r="BI212">
        <f>SUMIF('Как будет'!$A$17:$A$24,Доп.расчеты!$A212,'Как будет'!BJ$17:BJ$24)</f>
        <v>0</v>
      </c>
      <c r="BJ212">
        <f>SUMIF('Как будет'!$A$17:$A$24,Доп.расчеты!$A212,'Как будет'!BK$17:BK$24)</f>
        <v>0</v>
      </c>
      <c r="BK212">
        <f>SUMIF('Как будет'!$A$17:$A$24,Доп.расчеты!$A212,'Как будет'!BL$17:BL$24)</f>
        <v>0</v>
      </c>
      <c r="BL212">
        <f>SUMIF('Как будет'!$A$17:$A$24,Доп.расчеты!$A212,'Как будет'!BM$17:BM$24)</f>
        <v>0</v>
      </c>
      <c r="BM212">
        <f>SUMIF('Как будет'!$A$17:$A$24,Доп.расчеты!$A212,'Как будет'!BN$17:BN$24)</f>
        <v>0</v>
      </c>
      <c r="BN212">
        <f>SUMIF('Как будет'!$A$17:$A$24,Доп.расчеты!$A212,'Как будет'!BO$17:BO$24)</f>
        <v>0</v>
      </c>
      <c r="BO212">
        <f>SUMIF('Как будет'!$A$17:$A$24,Доп.расчеты!$A212,'Как будет'!BP$17:BP$24)</f>
        <v>0</v>
      </c>
      <c r="BP212">
        <f>SUMIF('Как будет'!$A$17:$A$24,Доп.расчеты!$A212,'Как будет'!BQ$17:BQ$24)</f>
        <v>0</v>
      </c>
      <c r="BQ212">
        <f>SUMIF('Как будет'!$A$17:$A$24,Доп.расчеты!$A212,'Как будет'!BR$17:BR$24)</f>
        <v>0</v>
      </c>
      <c r="BR212">
        <f>SUMIF('Как будет'!$A$17:$A$24,Доп.расчеты!$A212,'Как будет'!BS$17:BS$24)</f>
        <v>0</v>
      </c>
      <c r="BS212">
        <f>SUMIF('Как будет'!$A$17:$A$24,Доп.расчеты!$A212,'Как будет'!BT$17:BT$24)</f>
        <v>0</v>
      </c>
      <c r="BT212">
        <f>SUMIF('Как будет'!$A$17:$A$24,Доп.расчеты!$A212,'Как будет'!BU$17:BU$24)</f>
        <v>0</v>
      </c>
      <c r="BU212">
        <f>SUMIF('Как будет'!$A$17:$A$24,Доп.расчеты!$A212,'Как будет'!BV$17:BV$24)</f>
        <v>0</v>
      </c>
      <c r="BV212">
        <f>SUMIF('Как будет'!$A$17:$A$24,Доп.расчеты!$A212,'Как будет'!BW$17:BW$24)</f>
        <v>0</v>
      </c>
      <c r="BW212">
        <f>SUMIF('Как будет'!$A$17:$A$24,Доп.расчеты!$A212,'Как будет'!BX$17:BX$24)</f>
        <v>0</v>
      </c>
      <c r="BX212">
        <f>SUMIF('Как будет'!$A$17:$A$24,Доп.расчеты!$A212,'Как будет'!BY$17:BY$24)</f>
        <v>0</v>
      </c>
      <c r="BY212">
        <f>SUMIF('Как будет'!$A$17:$A$24,Доп.расчеты!$A212,'Как будет'!BZ$17:BZ$24)</f>
        <v>0</v>
      </c>
      <c r="BZ212">
        <f>SUMIF('Как будет'!$A$17:$A$24,Доп.расчеты!$A212,'Как будет'!CA$17:CA$24)</f>
        <v>0</v>
      </c>
      <c r="CA212">
        <f>SUMIF('Как будет'!$A$17:$A$24,Доп.расчеты!$A212,'Как будет'!CB$17:CB$24)</f>
        <v>0</v>
      </c>
      <c r="CB212">
        <f>SUMIF('Как будет'!$A$17:$A$24,Доп.расчеты!$A212,'Как будет'!CC$17:CC$24)</f>
        <v>0</v>
      </c>
      <c r="CC212">
        <f>SUMIF('Как будет'!$A$17:$A$24,Доп.расчеты!$A212,'Как будет'!CD$17:CD$24)</f>
        <v>0</v>
      </c>
      <c r="CD212">
        <f>SUMIF('Как будет'!$A$17:$A$24,Доп.расчеты!$A212,'Как будет'!CE$17:CE$24)</f>
        <v>0</v>
      </c>
      <c r="CE212">
        <f>SUMIF('Как будет'!$A$17:$A$24,Доп.расчеты!$A212,'Как будет'!CF$17:CF$24)</f>
        <v>0</v>
      </c>
      <c r="CF212">
        <f>SUMIF('Как будет'!$A$17:$A$24,Доп.расчеты!$A212,'Как будет'!CG$17:CG$24)</f>
        <v>0</v>
      </c>
      <c r="CG212">
        <f>SUMIF('Как будет'!$A$17:$A$24,Доп.расчеты!$A212,'Как будет'!CH$17:CH$24)</f>
        <v>0</v>
      </c>
      <c r="CH212">
        <f>SUMIF('Как будет'!$A$17:$A$24,Доп.расчеты!$A212,'Как будет'!CI$17:CI$24)</f>
        <v>0</v>
      </c>
      <c r="CI212">
        <f>SUMIF('Как будет'!$A$17:$A$24,Доп.расчеты!$A212,'Как будет'!CJ$17:CJ$24)</f>
        <v>0</v>
      </c>
      <c r="CJ212">
        <f>SUMIF('Как будет'!$A$17:$A$24,Доп.расчеты!$A212,'Как будет'!CK$17:CK$24)</f>
        <v>0</v>
      </c>
      <c r="CK212">
        <f>SUMIF('Как будет'!$A$17:$A$24,Доп.расчеты!$A212,'Как будет'!CL$17:CL$24)</f>
        <v>0</v>
      </c>
      <c r="CL212">
        <f>SUMIF('Как будет'!$A$17:$A$24,Доп.расчеты!$A212,'Как будет'!CM$17:CM$24)</f>
        <v>0</v>
      </c>
      <c r="CM212">
        <f>SUMIF('Как будет'!$A$17:$A$24,Доп.расчеты!$A212,'Как будет'!CN$17:CN$24)</f>
        <v>0</v>
      </c>
      <c r="CN212">
        <f>SUMIF('Как будет'!$A$17:$A$24,Доп.расчеты!$A212,'Как будет'!CO$17:CO$24)</f>
        <v>0</v>
      </c>
      <c r="CO212">
        <f>SUMIF('Как будет'!$A$17:$A$24,Доп.расчеты!$A212,'Как будет'!CP$17:CP$24)</f>
        <v>0</v>
      </c>
      <c r="CP212">
        <f>SUMIF('Как будет'!$A$17:$A$24,Доп.расчеты!$A212,'Как будет'!CQ$17:CQ$24)</f>
        <v>0</v>
      </c>
      <c r="CQ212">
        <f>SUMIF('Как будет'!$A$17:$A$24,Доп.расчеты!$A212,'Как будет'!CR$17:CR$24)</f>
        <v>0</v>
      </c>
      <c r="CR212">
        <f>SUMIF('Как будет'!$A$17:$A$24,Доп.расчеты!$A212,'Как будет'!CS$17:CS$24)</f>
        <v>0</v>
      </c>
      <c r="CS212">
        <f>SUMIF('Как будет'!$A$17:$A$24,Доп.расчеты!$A212,'Как будет'!CT$17:CT$24)</f>
        <v>0</v>
      </c>
      <c r="CT212">
        <f>SUMIF('Как будет'!$A$17:$A$24,Доп.расчеты!$A212,'Как будет'!CU$17:CU$24)</f>
        <v>0</v>
      </c>
      <c r="CU212">
        <f>SUMIF('Как будет'!$A$17:$A$24,Доп.расчеты!$A212,'Как будет'!CV$17:CV$24)</f>
        <v>0</v>
      </c>
      <c r="CV212">
        <f>SUMIF('Как будет'!$A$17:$A$24,Доп.расчеты!$A212,'Как будет'!CW$17:CW$24)</f>
        <v>0</v>
      </c>
      <c r="CW212">
        <f>SUMIF('Как будет'!$A$17:$A$24,Доп.расчеты!$A212,'Как будет'!CX$17:CX$24)</f>
        <v>0</v>
      </c>
      <c r="CX212">
        <f>SUMIF('Как будет'!$A$17:$A$24,Доп.расчеты!$A212,'Как будет'!CY$17:CY$24)</f>
        <v>0</v>
      </c>
      <c r="CY212">
        <f>SUMIF('Как будет'!$A$17:$A$24,Доп.расчеты!$A212,'Как будет'!CZ$17:CZ$24)</f>
        <v>0</v>
      </c>
      <c r="CZ212">
        <f>SUMIF('Как будет'!$A$17:$A$24,Доп.расчеты!$A212,'Как будет'!DA$17:DA$24)</f>
        <v>0</v>
      </c>
      <c r="DA212">
        <f>SUMIF('Как будет'!$A$17:$A$24,Доп.расчеты!$A212,'Как будет'!DB$17:DB$24)</f>
        <v>0</v>
      </c>
      <c r="DB212">
        <f>SUMIF('Как будет'!$A$17:$A$24,Доп.расчеты!$A212,'Как будет'!DC$17:DC$24)</f>
        <v>0</v>
      </c>
      <c r="DC212">
        <f>SUMIF('Как будет'!$A$17:$A$24,Доп.расчеты!$A212,'Как будет'!DD$17:DD$24)</f>
        <v>0</v>
      </c>
      <c r="DD212">
        <f>SUMIF('Как будет'!$A$17:$A$24,Доп.расчеты!$A212,'Как будет'!DE$17:DE$24)</f>
        <v>0</v>
      </c>
      <c r="DE212">
        <f>SUMIF('Как будет'!$A$17:$A$24,Доп.расчеты!$A212,'Как будет'!DF$17:DF$24)</f>
        <v>0</v>
      </c>
      <c r="DF212">
        <f>SUMIF('Как будет'!$A$17:$A$24,Доп.расчеты!$A212,'Как будет'!DG$17:DG$24)</f>
        <v>0</v>
      </c>
      <c r="DG212">
        <f>SUMIF('Как будет'!$A$17:$A$24,Доп.расчеты!$A212,'Как будет'!DH$17:DH$24)</f>
        <v>0</v>
      </c>
      <c r="DH212">
        <f>SUMIF('Как будет'!$A$17:$A$24,Доп.расчеты!$A212,'Как будет'!DI$17:DI$24)</f>
        <v>0</v>
      </c>
      <c r="DI212">
        <f>SUMIF('Как будет'!$A$17:$A$24,Доп.расчеты!$A212,'Как будет'!DJ$17:DJ$24)</f>
        <v>0</v>
      </c>
      <c r="DJ212">
        <f>SUMIF('Как будет'!$A$17:$A$24,Доп.расчеты!$A212,'Как будет'!DK$17:DK$24)</f>
        <v>0</v>
      </c>
      <c r="DK212">
        <f>SUMIF('Как будет'!$A$17:$A$24,Доп.расчеты!$A212,'Как будет'!DL$17:DL$24)</f>
        <v>0</v>
      </c>
      <c r="DL212">
        <f>SUMIF('Как будет'!$A$17:$A$24,Доп.расчеты!$A212,'Как будет'!DM$17:DM$24)</f>
        <v>0</v>
      </c>
      <c r="DM212">
        <f>SUMIF('Как будет'!$A$17:$A$24,Доп.расчеты!$A212,'Как будет'!DN$17:DN$24)</f>
        <v>0</v>
      </c>
      <c r="DN212">
        <f>SUMIF('Как будет'!$A$17:$A$24,Доп.расчеты!$A212,'Как будет'!DO$17:DO$24)</f>
        <v>0</v>
      </c>
      <c r="DO212">
        <f>SUMIF('Как будет'!$A$17:$A$24,Доп.расчеты!$A212,'Как будет'!DP$17:DP$24)</f>
        <v>0</v>
      </c>
      <c r="DP212">
        <f>SUMIF('Как будет'!$A$17:$A$24,Доп.расчеты!$A212,'Как будет'!DQ$17:DQ$24)</f>
        <v>0</v>
      </c>
      <c r="DQ212">
        <f>SUMIF('Как будет'!$A$17:$A$24,Доп.расчеты!$A212,'Как будет'!DR$17:DR$24)</f>
        <v>0</v>
      </c>
      <c r="DR212">
        <f>SUMIF('Как будет'!$A$17:$A$24,Доп.расчеты!$A212,'Как будет'!DS$17:DS$24)</f>
        <v>0</v>
      </c>
      <c r="DS212">
        <f>SUMIF('Как будет'!$A$17:$A$24,Доп.расчеты!$A212,'Как будет'!DT$17:DT$24)</f>
        <v>0</v>
      </c>
      <c r="DT212">
        <f>SUMIF('Как будет'!$A$17:$A$24,Доп.расчеты!$A212,'Как будет'!DU$17:DU$24)</f>
        <v>0</v>
      </c>
      <c r="DU212">
        <f>SUMIF('Как будет'!$A$17:$A$24,Доп.расчеты!$A212,'Как будет'!DV$17:DV$24)</f>
        <v>0</v>
      </c>
      <c r="DV212">
        <f>SUMIF('Как будет'!$A$17:$A$24,Доп.расчеты!$A212,'Как будет'!DW$17:DW$24)</f>
        <v>0</v>
      </c>
      <c r="DW212">
        <f>SUMIF('Как будет'!$A$17:$A$24,Доп.расчеты!$A212,'Как будет'!DX$17:DX$24)</f>
        <v>0</v>
      </c>
      <c r="DX212">
        <f>SUMIF('Как будет'!$A$17:$A$24,Доп.расчеты!$A212,'Как будет'!DY$17:DY$24)</f>
        <v>0</v>
      </c>
      <c r="DY212">
        <f>SUMIF('Как будет'!$A$17:$A$24,Доп.расчеты!$A212,'Как будет'!DZ$17:DZ$24)</f>
        <v>0</v>
      </c>
      <c r="DZ212">
        <f>SUMIF('Как будет'!$A$17:$A$24,Доп.расчеты!$A212,'Как будет'!EA$17:EA$24)</f>
        <v>0</v>
      </c>
      <c r="EA212">
        <f>SUMIF('Как будет'!$A$17:$A$24,Доп.расчеты!$A212,'Как будет'!EB$17:EB$24)</f>
        <v>0</v>
      </c>
      <c r="EB212">
        <f>SUMIF('Как будет'!$A$17:$A$24,Доп.расчеты!$A212,'Как будет'!EC$17:EC$24)</f>
        <v>0</v>
      </c>
      <c r="EC212">
        <f>SUMIF('Как будет'!$A$17:$A$24,Доп.расчеты!$A212,'Как будет'!ED$17:ED$24)</f>
        <v>0</v>
      </c>
      <c r="ED212">
        <f>SUMIF('Как будет'!$A$17:$A$24,Доп.расчеты!$A212,'Как будет'!EE$17:EE$24)</f>
        <v>0</v>
      </c>
      <c r="EE212">
        <f>SUMIF('Как будет'!$A$17:$A$24,Доп.расчеты!$A212,'Как будет'!EF$17:EF$24)</f>
        <v>0</v>
      </c>
      <c r="EF212">
        <f>SUMIF('Как будет'!$A$17:$A$24,Доп.расчеты!$A212,'Как будет'!EG$17:EG$24)</f>
        <v>0</v>
      </c>
      <c r="EG212">
        <f>SUMIF('Как будет'!$A$17:$A$24,Доп.расчеты!$A212,'Как будет'!EH$17:EH$24)</f>
        <v>0</v>
      </c>
      <c r="EH212">
        <f>SUMIF('Как будет'!$A$17:$A$24,Доп.расчеты!$A212,'Как будет'!EI$17:EI$24)</f>
        <v>0</v>
      </c>
      <c r="EI212">
        <f>SUMIF('Как будет'!$A$17:$A$24,Доп.расчеты!$A212,'Как будет'!EJ$17:EJ$24)</f>
        <v>0</v>
      </c>
      <c r="EJ212">
        <f>SUMIF('Как будет'!$A$17:$A$24,Доп.расчеты!$A212,'Как будет'!EK$17:EK$24)</f>
        <v>0</v>
      </c>
      <c r="EK212">
        <f>SUMIF('Как будет'!$A$17:$A$24,Доп.расчеты!$A212,'Как будет'!EL$17:EL$24)</f>
        <v>0</v>
      </c>
      <c r="EL212">
        <f>SUMIF('Как будет'!$A$17:$A$24,Доп.расчеты!$A212,'Как будет'!EM$17:EM$24)</f>
        <v>0</v>
      </c>
      <c r="EM212">
        <f>SUMIF('Как будет'!$A$17:$A$24,Доп.расчеты!$A212,'Как будет'!EN$17:EN$24)</f>
        <v>0</v>
      </c>
      <c r="EN212">
        <f>SUMIF('Как будет'!$A$17:$A$24,Доп.расчеты!$A212,'Как будет'!EO$17:EO$24)</f>
        <v>0</v>
      </c>
      <c r="EO212">
        <f>SUMIF('Как будет'!$A$17:$A$24,Доп.расчеты!$A212,'Как будет'!EP$17:EP$24)</f>
        <v>0</v>
      </c>
      <c r="EP212">
        <f>SUMIF('Как будет'!$A$17:$A$24,Доп.расчеты!$A212,'Как будет'!EQ$17:EQ$24)</f>
        <v>0</v>
      </c>
      <c r="EQ212">
        <f>SUMIF('Как будет'!$A$17:$A$24,Доп.расчеты!$A212,'Как будет'!ER$17:ER$24)</f>
        <v>0</v>
      </c>
      <c r="ER212">
        <f>SUMIF('Как будет'!$A$17:$A$24,Доп.расчеты!$A212,'Как будет'!ES$17:ES$24)</f>
        <v>0</v>
      </c>
      <c r="ES212">
        <f>SUMIF('Как будет'!$A$17:$A$24,Доп.расчеты!$A212,'Как будет'!ET$17:ET$24)</f>
        <v>0</v>
      </c>
      <c r="ET212">
        <f>SUMIF('Как будет'!$A$17:$A$24,Доп.расчеты!$A212,'Как будет'!EU$17:EU$24)</f>
        <v>0</v>
      </c>
      <c r="EU212">
        <f>SUMIF('Как будет'!$A$17:$A$24,Доп.расчеты!$A212,'Как будет'!EV$17:EV$24)</f>
        <v>0</v>
      </c>
      <c r="EV212">
        <f>SUMIF('Как будет'!$A$17:$A$24,Доп.расчеты!$A212,'Как будет'!EW$17:EW$24)</f>
        <v>0</v>
      </c>
      <c r="EW212">
        <f>SUMIF('Как будет'!$A$17:$A$24,Доп.расчеты!$A212,'Как будет'!EX$17:EX$24)</f>
        <v>0</v>
      </c>
      <c r="EX212">
        <f>SUMIF('Как будет'!$A$17:$A$24,Доп.расчеты!$A212,'Как будет'!EY$17:EY$24)</f>
        <v>0</v>
      </c>
      <c r="EY212">
        <f>SUMIF('Как будет'!$A$17:$A$24,Доп.расчеты!$A212,'Как будет'!EZ$17:EZ$24)</f>
        <v>0</v>
      </c>
      <c r="EZ212">
        <f>SUMIF('Как будет'!$A$17:$A$24,Доп.расчеты!$A212,'Как будет'!FA$17:FA$24)</f>
        <v>0</v>
      </c>
      <c r="FA212">
        <f>SUMIF('Как будет'!$A$17:$A$24,Доп.расчеты!$A212,'Как будет'!FB$17:FB$24)</f>
        <v>0</v>
      </c>
      <c r="FB212">
        <f>SUMIF('Как будет'!$A$17:$A$24,Доп.расчеты!$A212,'Как будет'!FC$17:FC$24)</f>
        <v>0</v>
      </c>
      <c r="FC212">
        <f>SUMIF('Как будет'!$A$17:$A$24,Доп.расчеты!$A212,'Как будет'!FD$17:FD$24)</f>
        <v>0</v>
      </c>
      <c r="FD212">
        <f>SUMIF('Как будет'!$A$17:$A$24,Доп.расчеты!$A212,'Как будет'!FE$17:FE$24)</f>
        <v>0</v>
      </c>
      <c r="FE212">
        <f>SUMIF('Как будет'!$A$17:$A$24,Доп.расчеты!$A212,'Как будет'!FF$17:FF$24)</f>
        <v>0</v>
      </c>
      <c r="FF212">
        <f>SUMIF('Как будет'!$A$17:$A$24,Доп.расчеты!$A212,'Как будет'!FG$17:FG$24)</f>
        <v>0</v>
      </c>
      <c r="FG212">
        <f>SUMIF('Как будет'!$A$17:$A$24,Доп.расчеты!$A212,'Как будет'!FH$17:FH$24)</f>
        <v>0</v>
      </c>
      <c r="FH212">
        <f>SUMIF('Как будет'!$A$17:$A$24,Доп.расчеты!$A212,'Как будет'!FI$17:FI$24)</f>
        <v>0</v>
      </c>
      <c r="FI212">
        <f>SUMIF('Как будет'!$A$17:$A$24,Доп.расчеты!$A212,'Как будет'!FJ$17:FJ$24)</f>
        <v>0</v>
      </c>
      <c r="FJ212">
        <f>SUMIF('Как будет'!$A$17:$A$24,Доп.расчеты!$A212,'Как будет'!FK$17:FK$24)</f>
        <v>0</v>
      </c>
      <c r="FK212">
        <f>SUMIF('Как будет'!$A$17:$A$24,Доп.расчеты!$A212,'Как будет'!FL$17:FL$24)</f>
        <v>0</v>
      </c>
      <c r="FL212">
        <f>SUMIF('Как будет'!$A$17:$A$24,Доп.расчеты!$A212,'Как будет'!FM$17:FM$24)</f>
        <v>0</v>
      </c>
      <c r="FM212">
        <f>SUMIF('Как будет'!$A$17:$A$24,Доп.расчеты!$A212,'Как будет'!FN$17:FN$24)</f>
        <v>0</v>
      </c>
      <c r="FN212">
        <f>SUMIF('Как будет'!$A$17:$A$24,Доп.расчеты!$A212,'Как будет'!FO$17:FO$24)</f>
        <v>0</v>
      </c>
      <c r="FO212">
        <f>SUMIF('Как будет'!$A$17:$A$24,Доп.расчеты!$A212,'Как будет'!FP$17:FP$24)</f>
        <v>0</v>
      </c>
      <c r="FP212">
        <f>SUMIF('Как будет'!$A$17:$A$24,Доп.расчеты!$A212,'Как будет'!FQ$17:FQ$24)</f>
        <v>0</v>
      </c>
      <c r="FQ212">
        <f>SUMIF('Как будет'!$A$17:$A$24,Доп.расчеты!$A212,'Как будет'!FR$17:FR$24)</f>
        <v>0</v>
      </c>
      <c r="FR212">
        <f>SUMIF('Как будет'!$A$17:$A$24,Доп.расчеты!$A212,'Как будет'!FS$17:FS$24)</f>
        <v>0</v>
      </c>
      <c r="FS212">
        <f>SUMIF('Как будет'!$A$17:$A$24,Доп.расчеты!$A212,'Как будет'!FT$17:FT$24)</f>
        <v>0</v>
      </c>
      <c r="FT212">
        <f>SUMIF('Как будет'!$A$17:$A$24,Доп.расчеты!$A212,'Как будет'!FU$17:FU$24)</f>
        <v>0</v>
      </c>
      <c r="FU212">
        <f>SUMIF('Как будет'!$A$17:$A$24,Доп.расчеты!$A212,'Как будет'!FV$17:FV$24)</f>
        <v>0</v>
      </c>
      <c r="FV212">
        <f>SUMIF('Как будет'!$A$17:$A$24,Доп.расчеты!$A212,'Как будет'!FW$17:FW$24)</f>
        <v>0</v>
      </c>
      <c r="FW212">
        <f>SUMIF('Как будет'!$A$17:$A$24,Доп.расчеты!$A212,'Как будет'!FX$17:FX$24)</f>
        <v>0</v>
      </c>
      <c r="FX212">
        <f>SUMIF('Как будет'!$A$17:$A$24,Доп.расчеты!$A212,'Как будет'!FY$17:FY$24)</f>
        <v>0</v>
      </c>
      <c r="FY212">
        <f>SUMIF('Как будет'!$A$17:$A$24,Доп.расчеты!$A212,'Как будет'!FZ$17:FZ$24)</f>
        <v>0</v>
      </c>
      <c r="FZ212">
        <f>SUMIF('Как будет'!$A$17:$A$24,Доп.расчеты!$A212,'Как будет'!GA$17:GA$24)</f>
        <v>0</v>
      </c>
      <c r="GA212">
        <f>SUMIF('Как будет'!$A$17:$A$24,Доп.расчеты!$A212,'Как будет'!GB$17:GB$24)</f>
        <v>0</v>
      </c>
      <c r="GB212">
        <f>SUMIF('Как будет'!$A$17:$A$24,Доп.расчеты!$A212,'Как будет'!GC$17:GC$24)</f>
        <v>0</v>
      </c>
      <c r="GC212">
        <f>SUMIF('Как будет'!$A$17:$A$24,Доп.расчеты!$A212,'Как будет'!GD$17:GD$24)</f>
        <v>0</v>
      </c>
      <c r="GD212">
        <f>SUMIF('Как будет'!$A$17:$A$24,Доп.расчеты!$A212,'Как будет'!GE$17:GE$24)</f>
        <v>0</v>
      </c>
      <c r="GE212">
        <f>SUMIF('Как будет'!$A$17:$A$24,Доп.расчеты!$A212,'Как будет'!GF$17:GF$24)</f>
        <v>0</v>
      </c>
      <c r="GF212">
        <f>SUMIF('Как будет'!$A$17:$A$24,Доп.расчеты!$A212,'Как будет'!GG$17:GG$24)</f>
        <v>0</v>
      </c>
      <c r="GG212">
        <f>SUMIF('Как будет'!$A$17:$A$24,Доп.расчеты!$A212,'Как будет'!GH$17:GH$24)</f>
        <v>0</v>
      </c>
      <c r="GH212">
        <f>SUMIF('Как будет'!$A$17:$A$24,Доп.расчеты!$A212,'Как будет'!GI$17:GI$24)</f>
        <v>0</v>
      </c>
      <c r="GI212">
        <f>SUMIF('Как будет'!$A$17:$A$24,Доп.расчеты!$A212,'Как будет'!GJ$17:GJ$24)</f>
        <v>0</v>
      </c>
      <c r="GJ212">
        <f>SUMIF('Как будет'!$A$17:$A$24,Доп.расчеты!$A212,'Как будет'!GK$17:GK$24)</f>
        <v>0</v>
      </c>
      <c r="GK212">
        <f>SUMIF('Как будет'!$A$17:$A$24,Доп.расчеты!$A212,'Как будет'!GL$17:GL$24)</f>
        <v>0</v>
      </c>
      <c r="GL212">
        <f>SUMIF('Как будет'!$A$17:$A$24,Доп.расчеты!$A212,'Как будет'!GM$17:GM$24)</f>
        <v>0</v>
      </c>
      <c r="GM212">
        <f>SUMIF('Как будет'!$A$17:$A$24,Доп.расчеты!$A212,'Как будет'!GN$17:GN$24)</f>
        <v>0</v>
      </c>
      <c r="GN212">
        <f>SUMIF('Как будет'!$A$17:$A$24,Доп.расчеты!$A212,'Как будет'!GO$17:GO$24)</f>
        <v>0</v>
      </c>
      <c r="GO212">
        <f>SUMIF('Как будет'!$A$17:$A$24,Доп.расчеты!$A212,'Как будет'!GP$17:GP$24)</f>
        <v>0</v>
      </c>
      <c r="GP212">
        <f>SUMIF('Как будет'!$A$17:$A$24,Доп.расчеты!$A212,'Как будет'!GQ$17:GQ$24)</f>
        <v>0</v>
      </c>
      <c r="GQ212">
        <f>SUMIF('Как будет'!$A$17:$A$24,Доп.расчеты!$A212,'Как будет'!GR$17:GR$24)</f>
        <v>0</v>
      </c>
      <c r="GR212">
        <f>SUMIF('Как будет'!$A$17:$A$24,Доп.расчеты!$A212,'Как будет'!GS$17:GS$24)</f>
        <v>0</v>
      </c>
      <c r="GS212">
        <f>SUMIF('Как будет'!$A$17:$A$24,Доп.расчеты!$A212,'Как будет'!GT$17:GT$24)</f>
        <v>0</v>
      </c>
      <c r="GT212">
        <f>SUMIF('Как будет'!$A$17:$A$24,Доп.расчеты!$A212,'Как будет'!GU$17:GU$24)</f>
        <v>0</v>
      </c>
    </row>
    <row r="213" spans="1:202">
      <c r="A213" s="238" t="s">
        <v>108</v>
      </c>
      <c r="B213">
        <f>SUMIF('Как будет'!$A$17:$A$24,Доп.расчеты!$A213,'Как будет'!C$17:C$24)</f>
        <v>560</v>
      </c>
      <c r="C213">
        <f>SUMIF('Как будет'!$A$17:$A$24,Доп.расчеты!$A213,'Как будет'!D$17:D$24)</f>
        <v>560</v>
      </c>
      <c r="D213">
        <f>SUMIF('Как будет'!$A$17:$A$24,Доп.расчеты!$A213,'Как будет'!E$17:E$24)</f>
        <v>560</v>
      </c>
      <c r="E213">
        <f>SUMIF('Как будет'!$A$17:$A$24,Доп.расчеты!$A213,'Как будет'!F$17:F$24)</f>
        <v>560</v>
      </c>
      <c r="F213">
        <f>SUMIF('Как будет'!$A$17:$A$24,Доп.расчеты!$A213,'Как будет'!G$17:G$24)</f>
        <v>560</v>
      </c>
      <c r="G213">
        <f>SUMIF('Как будет'!$A$17:$A$24,Доп.расчеты!$A213,'Как будет'!H$17:H$24)</f>
        <v>560</v>
      </c>
      <c r="H213">
        <f>SUMIF('Как будет'!$A$17:$A$24,Доп.расчеты!$A213,'Как будет'!I$17:I$24)</f>
        <v>560</v>
      </c>
      <c r="I213">
        <f>SUMIF('Как будет'!$A$17:$A$24,Доп.расчеты!$A213,'Как будет'!J$17:J$24)</f>
        <v>560</v>
      </c>
      <c r="J213">
        <f>SUMIF('Как будет'!$A$17:$A$24,Доп.расчеты!$A213,'Как будет'!K$17:K$24)</f>
        <v>560</v>
      </c>
      <c r="K213">
        <f>SUMIF('Как будет'!$A$17:$A$24,Доп.расчеты!$A213,'Как будет'!L$17:L$24)</f>
        <v>560</v>
      </c>
      <c r="L213">
        <f>SUMIF('Как будет'!$A$17:$A$24,Доп.расчеты!$A213,'Как будет'!M$17:M$24)</f>
        <v>560</v>
      </c>
      <c r="M213">
        <f>SUMIF('Как будет'!$A$17:$A$24,Доп.расчеты!$A213,'Как будет'!N$17:N$24)</f>
        <v>0</v>
      </c>
      <c r="N213">
        <f>SUMIF('Как будет'!$A$17:$A$24,Доп.расчеты!$A213,'Как будет'!O$17:O$24)</f>
        <v>0</v>
      </c>
      <c r="O213">
        <f>SUMIF('Как будет'!$A$17:$A$24,Доп.расчеты!$A213,'Как будет'!P$17:P$24)</f>
        <v>0</v>
      </c>
      <c r="P213">
        <f>SUMIF('Как будет'!$A$17:$A$24,Доп.расчеты!$A213,'Как будет'!Q$17:Q$24)</f>
        <v>0</v>
      </c>
      <c r="Q213">
        <f>SUMIF('Как будет'!$A$17:$A$24,Доп.расчеты!$A213,'Как будет'!R$17:R$24)</f>
        <v>0</v>
      </c>
      <c r="R213">
        <f>SUMIF('Как будет'!$A$17:$A$24,Доп.расчеты!$A213,'Как будет'!S$17:S$24)</f>
        <v>0</v>
      </c>
      <c r="S213">
        <f>SUMIF('Как будет'!$A$17:$A$24,Доп.расчеты!$A213,'Как будет'!T$17:T$24)</f>
        <v>0</v>
      </c>
      <c r="T213">
        <f>SUMIF('Как будет'!$A$17:$A$24,Доп.расчеты!$A213,'Как будет'!U$17:U$24)</f>
        <v>0</v>
      </c>
      <c r="U213">
        <f>SUMIF('Как будет'!$A$17:$A$24,Доп.расчеты!$A213,'Как будет'!V$17:V$24)</f>
        <v>0</v>
      </c>
      <c r="V213">
        <f>SUMIF('Как будет'!$A$17:$A$24,Доп.расчеты!$A213,'Как будет'!W$17:W$24)</f>
        <v>0</v>
      </c>
      <c r="W213">
        <f>SUMIF('Как будет'!$A$17:$A$24,Доп.расчеты!$A213,'Как будет'!X$17:X$24)</f>
        <v>0</v>
      </c>
      <c r="X213">
        <f>SUMIF('Как будет'!$A$17:$A$24,Доп.расчеты!$A213,'Как будет'!Y$17:Y$24)</f>
        <v>0</v>
      </c>
      <c r="Y213">
        <f>SUMIF('Как будет'!$A$17:$A$24,Доп.расчеты!$A213,'Как будет'!Z$17:Z$24)</f>
        <v>0</v>
      </c>
      <c r="Z213">
        <f>SUMIF('Как будет'!$A$17:$A$24,Доп.расчеты!$A213,'Как будет'!AA$17:AA$24)</f>
        <v>0</v>
      </c>
      <c r="AA213">
        <f>SUMIF('Как будет'!$A$17:$A$24,Доп.расчеты!$A213,'Как будет'!AB$17:AB$24)</f>
        <v>0</v>
      </c>
      <c r="AB213">
        <f>SUMIF('Как будет'!$A$17:$A$24,Доп.расчеты!$A213,'Как будет'!AC$17:AC$24)</f>
        <v>0</v>
      </c>
      <c r="AC213">
        <f>SUMIF('Как будет'!$A$17:$A$24,Доп.расчеты!$A213,'Как будет'!AD$17:AD$24)</f>
        <v>0</v>
      </c>
      <c r="AD213">
        <f>SUMIF('Как будет'!$A$17:$A$24,Доп.расчеты!$A213,'Как будет'!AE$17:AE$24)</f>
        <v>0</v>
      </c>
      <c r="AE213">
        <f>SUMIF('Как будет'!$A$17:$A$24,Доп.расчеты!$A213,'Как будет'!AF$17:AF$24)</f>
        <v>0</v>
      </c>
      <c r="AF213">
        <f>SUMIF('Как будет'!$A$17:$A$24,Доп.расчеты!$A213,'Как будет'!AG$17:AG$24)</f>
        <v>0</v>
      </c>
      <c r="AG213">
        <f>SUMIF('Как будет'!$A$17:$A$24,Доп.расчеты!$A213,'Как будет'!AH$17:AH$24)</f>
        <v>0</v>
      </c>
      <c r="AH213">
        <f>SUMIF('Как будет'!$A$17:$A$24,Доп.расчеты!$A213,'Как будет'!AI$17:AI$24)</f>
        <v>0</v>
      </c>
      <c r="AI213">
        <f>SUMIF('Как будет'!$A$17:$A$24,Доп.расчеты!$A213,'Как будет'!AJ$17:AJ$24)</f>
        <v>0</v>
      </c>
      <c r="AJ213">
        <f>SUMIF('Как будет'!$A$17:$A$24,Доп.расчеты!$A213,'Как будет'!AK$17:AK$24)</f>
        <v>0</v>
      </c>
      <c r="AK213">
        <f>SUMIF('Как будет'!$A$17:$A$24,Доп.расчеты!$A213,'Как будет'!AL$17:AL$24)</f>
        <v>0</v>
      </c>
      <c r="AL213">
        <f>SUMIF('Как будет'!$A$17:$A$24,Доп.расчеты!$A213,'Как будет'!AM$17:AM$24)</f>
        <v>0</v>
      </c>
      <c r="AM213">
        <f>SUMIF('Как будет'!$A$17:$A$24,Доп.расчеты!$A213,'Как будет'!AN$17:AN$24)</f>
        <v>0</v>
      </c>
      <c r="AN213">
        <f>SUMIF('Как будет'!$A$17:$A$24,Доп.расчеты!$A213,'Как будет'!AO$17:AO$24)</f>
        <v>0</v>
      </c>
      <c r="AO213">
        <f>SUMIF('Как будет'!$A$17:$A$24,Доп.расчеты!$A213,'Как будет'!AP$17:AP$24)</f>
        <v>0</v>
      </c>
      <c r="AP213">
        <f>SUMIF('Как будет'!$A$17:$A$24,Доп.расчеты!$A213,'Как будет'!AQ$17:AQ$24)</f>
        <v>0</v>
      </c>
      <c r="AQ213">
        <f>SUMIF('Как будет'!$A$17:$A$24,Доп.расчеты!$A213,'Как будет'!AR$17:AR$24)</f>
        <v>0</v>
      </c>
      <c r="AR213">
        <f>SUMIF('Как будет'!$A$17:$A$24,Доп.расчеты!$A213,'Как будет'!AS$17:AS$24)</f>
        <v>0</v>
      </c>
      <c r="AS213">
        <f>SUMIF('Как будет'!$A$17:$A$24,Доп.расчеты!$A213,'Как будет'!AT$17:AT$24)</f>
        <v>0</v>
      </c>
      <c r="AT213">
        <f>SUMIF('Как будет'!$A$17:$A$24,Доп.расчеты!$A213,'Как будет'!AU$17:AU$24)</f>
        <v>0</v>
      </c>
      <c r="AU213">
        <f>SUMIF('Как будет'!$A$17:$A$24,Доп.расчеты!$A213,'Как будет'!AV$17:AV$24)</f>
        <v>0</v>
      </c>
      <c r="AV213">
        <f>SUMIF('Как будет'!$A$17:$A$24,Доп.расчеты!$A213,'Как будет'!AW$17:AW$24)</f>
        <v>0</v>
      </c>
      <c r="AW213">
        <f>SUMIF('Как будет'!$A$17:$A$24,Доп.расчеты!$A213,'Как будет'!AX$17:AX$24)</f>
        <v>0</v>
      </c>
      <c r="AX213">
        <f>SUMIF('Как будет'!$A$17:$A$24,Доп.расчеты!$A213,'Как будет'!AY$17:AY$24)</f>
        <v>0</v>
      </c>
      <c r="AY213">
        <f>SUMIF('Как будет'!$A$17:$A$24,Доп.расчеты!$A213,'Как будет'!AZ$17:AZ$24)</f>
        <v>0</v>
      </c>
      <c r="AZ213">
        <f>SUMIF('Как будет'!$A$17:$A$24,Доп.расчеты!$A213,'Как будет'!BA$17:BA$24)</f>
        <v>0</v>
      </c>
      <c r="BA213">
        <f>SUMIF('Как будет'!$A$17:$A$24,Доп.расчеты!$A213,'Как будет'!BB$17:BB$24)</f>
        <v>0</v>
      </c>
      <c r="BB213">
        <f>SUMIF('Как будет'!$A$17:$A$24,Доп.расчеты!$A213,'Как будет'!BC$17:BC$24)</f>
        <v>0</v>
      </c>
      <c r="BC213">
        <f>SUMIF('Как будет'!$A$17:$A$24,Доп.расчеты!$A213,'Как будет'!BD$17:BD$24)</f>
        <v>0</v>
      </c>
      <c r="BD213">
        <f>SUMIF('Как будет'!$A$17:$A$24,Доп.расчеты!$A213,'Как будет'!BE$17:BE$24)</f>
        <v>0</v>
      </c>
      <c r="BE213">
        <f>SUMIF('Как будет'!$A$17:$A$24,Доп.расчеты!$A213,'Как будет'!BF$17:BF$24)</f>
        <v>0</v>
      </c>
      <c r="BF213">
        <f>SUMIF('Как будет'!$A$17:$A$24,Доп.расчеты!$A213,'Как будет'!BG$17:BG$24)</f>
        <v>0</v>
      </c>
      <c r="BG213">
        <f>SUMIF('Как будет'!$A$17:$A$24,Доп.расчеты!$A213,'Как будет'!BH$17:BH$24)</f>
        <v>0</v>
      </c>
      <c r="BH213">
        <f>SUMIF('Как будет'!$A$17:$A$24,Доп.расчеты!$A213,'Как будет'!BI$17:BI$24)</f>
        <v>0</v>
      </c>
      <c r="BI213">
        <f>SUMIF('Как будет'!$A$17:$A$24,Доп.расчеты!$A213,'Как будет'!BJ$17:BJ$24)</f>
        <v>0</v>
      </c>
      <c r="BJ213">
        <f>SUMIF('Как будет'!$A$17:$A$24,Доп.расчеты!$A213,'Как будет'!BK$17:BK$24)</f>
        <v>0</v>
      </c>
      <c r="BK213">
        <f>SUMIF('Как будет'!$A$17:$A$24,Доп.расчеты!$A213,'Как будет'!BL$17:BL$24)</f>
        <v>0</v>
      </c>
      <c r="BL213">
        <f>SUMIF('Как будет'!$A$17:$A$24,Доп.расчеты!$A213,'Как будет'!BM$17:BM$24)</f>
        <v>0</v>
      </c>
      <c r="BM213">
        <f>SUMIF('Как будет'!$A$17:$A$24,Доп.расчеты!$A213,'Как будет'!BN$17:BN$24)</f>
        <v>0</v>
      </c>
      <c r="BN213">
        <f>SUMIF('Как будет'!$A$17:$A$24,Доп.расчеты!$A213,'Как будет'!BO$17:BO$24)</f>
        <v>0</v>
      </c>
      <c r="BO213">
        <f>SUMIF('Как будет'!$A$17:$A$24,Доп.расчеты!$A213,'Как будет'!BP$17:BP$24)</f>
        <v>0</v>
      </c>
      <c r="BP213">
        <f>SUMIF('Как будет'!$A$17:$A$24,Доп.расчеты!$A213,'Как будет'!BQ$17:BQ$24)</f>
        <v>0</v>
      </c>
      <c r="BQ213">
        <f>SUMIF('Как будет'!$A$17:$A$24,Доп.расчеты!$A213,'Как будет'!BR$17:BR$24)</f>
        <v>0</v>
      </c>
      <c r="BR213">
        <f>SUMIF('Как будет'!$A$17:$A$24,Доп.расчеты!$A213,'Как будет'!BS$17:BS$24)</f>
        <v>0</v>
      </c>
      <c r="BS213">
        <f>SUMIF('Как будет'!$A$17:$A$24,Доп.расчеты!$A213,'Как будет'!BT$17:BT$24)</f>
        <v>0</v>
      </c>
      <c r="BT213">
        <f>SUMIF('Как будет'!$A$17:$A$24,Доп.расчеты!$A213,'Как будет'!BU$17:BU$24)</f>
        <v>0</v>
      </c>
      <c r="BU213">
        <f>SUMIF('Как будет'!$A$17:$A$24,Доп.расчеты!$A213,'Как будет'!BV$17:BV$24)</f>
        <v>0</v>
      </c>
      <c r="BV213">
        <f>SUMIF('Как будет'!$A$17:$A$24,Доп.расчеты!$A213,'Как будет'!BW$17:BW$24)</f>
        <v>0</v>
      </c>
      <c r="BW213">
        <f>SUMIF('Как будет'!$A$17:$A$24,Доп.расчеты!$A213,'Как будет'!BX$17:BX$24)</f>
        <v>0</v>
      </c>
      <c r="BX213">
        <f>SUMIF('Как будет'!$A$17:$A$24,Доп.расчеты!$A213,'Как будет'!BY$17:BY$24)</f>
        <v>0</v>
      </c>
      <c r="BY213">
        <f>SUMIF('Как будет'!$A$17:$A$24,Доп.расчеты!$A213,'Как будет'!BZ$17:BZ$24)</f>
        <v>0</v>
      </c>
      <c r="BZ213">
        <f>SUMIF('Как будет'!$A$17:$A$24,Доп.расчеты!$A213,'Как будет'!CA$17:CA$24)</f>
        <v>0</v>
      </c>
      <c r="CA213">
        <f>SUMIF('Как будет'!$A$17:$A$24,Доп.расчеты!$A213,'Как будет'!CB$17:CB$24)</f>
        <v>0</v>
      </c>
      <c r="CB213">
        <f>SUMIF('Как будет'!$A$17:$A$24,Доп.расчеты!$A213,'Как будет'!CC$17:CC$24)</f>
        <v>0</v>
      </c>
      <c r="CC213">
        <f>SUMIF('Как будет'!$A$17:$A$24,Доп.расчеты!$A213,'Как будет'!CD$17:CD$24)</f>
        <v>0</v>
      </c>
      <c r="CD213">
        <f>SUMIF('Как будет'!$A$17:$A$24,Доп.расчеты!$A213,'Как будет'!CE$17:CE$24)</f>
        <v>0</v>
      </c>
      <c r="CE213">
        <f>SUMIF('Как будет'!$A$17:$A$24,Доп.расчеты!$A213,'Как будет'!CF$17:CF$24)</f>
        <v>0</v>
      </c>
      <c r="CF213">
        <f>SUMIF('Как будет'!$A$17:$A$24,Доп.расчеты!$A213,'Как будет'!CG$17:CG$24)</f>
        <v>0</v>
      </c>
      <c r="CG213">
        <f>SUMIF('Как будет'!$A$17:$A$24,Доп.расчеты!$A213,'Как будет'!CH$17:CH$24)</f>
        <v>0</v>
      </c>
      <c r="CH213">
        <f>SUMIF('Как будет'!$A$17:$A$24,Доп.расчеты!$A213,'Как будет'!CI$17:CI$24)</f>
        <v>0</v>
      </c>
      <c r="CI213">
        <f>SUMIF('Как будет'!$A$17:$A$24,Доп.расчеты!$A213,'Как будет'!CJ$17:CJ$24)</f>
        <v>0</v>
      </c>
      <c r="CJ213">
        <f>SUMIF('Как будет'!$A$17:$A$24,Доп.расчеты!$A213,'Как будет'!CK$17:CK$24)</f>
        <v>0</v>
      </c>
      <c r="CK213">
        <f>SUMIF('Как будет'!$A$17:$A$24,Доп.расчеты!$A213,'Как будет'!CL$17:CL$24)</f>
        <v>0</v>
      </c>
      <c r="CL213">
        <f>SUMIF('Как будет'!$A$17:$A$24,Доп.расчеты!$A213,'Как будет'!CM$17:CM$24)</f>
        <v>0</v>
      </c>
      <c r="CM213">
        <f>SUMIF('Как будет'!$A$17:$A$24,Доп.расчеты!$A213,'Как будет'!CN$17:CN$24)</f>
        <v>0</v>
      </c>
      <c r="CN213">
        <f>SUMIF('Как будет'!$A$17:$A$24,Доп.расчеты!$A213,'Как будет'!CO$17:CO$24)</f>
        <v>0</v>
      </c>
      <c r="CO213">
        <f>SUMIF('Как будет'!$A$17:$A$24,Доп.расчеты!$A213,'Как будет'!CP$17:CP$24)</f>
        <v>0</v>
      </c>
      <c r="CP213">
        <f>SUMIF('Как будет'!$A$17:$A$24,Доп.расчеты!$A213,'Как будет'!CQ$17:CQ$24)</f>
        <v>0</v>
      </c>
      <c r="CQ213">
        <f>SUMIF('Как будет'!$A$17:$A$24,Доп.расчеты!$A213,'Как будет'!CR$17:CR$24)</f>
        <v>0</v>
      </c>
      <c r="CR213">
        <f>SUMIF('Как будет'!$A$17:$A$24,Доп.расчеты!$A213,'Как будет'!CS$17:CS$24)</f>
        <v>0</v>
      </c>
      <c r="CS213">
        <f>SUMIF('Как будет'!$A$17:$A$24,Доп.расчеты!$A213,'Как будет'!CT$17:CT$24)</f>
        <v>0</v>
      </c>
      <c r="CT213">
        <f>SUMIF('Как будет'!$A$17:$A$24,Доп.расчеты!$A213,'Как будет'!CU$17:CU$24)</f>
        <v>0</v>
      </c>
      <c r="CU213">
        <f>SUMIF('Как будет'!$A$17:$A$24,Доп.расчеты!$A213,'Как будет'!CV$17:CV$24)</f>
        <v>0</v>
      </c>
      <c r="CV213">
        <f>SUMIF('Как будет'!$A$17:$A$24,Доп.расчеты!$A213,'Как будет'!CW$17:CW$24)</f>
        <v>0</v>
      </c>
      <c r="CW213">
        <f>SUMIF('Как будет'!$A$17:$A$24,Доп.расчеты!$A213,'Как будет'!CX$17:CX$24)</f>
        <v>0</v>
      </c>
      <c r="CX213">
        <f>SUMIF('Как будет'!$A$17:$A$24,Доп.расчеты!$A213,'Как будет'!CY$17:CY$24)</f>
        <v>0</v>
      </c>
      <c r="CY213">
        <f>SUMIF('Как будет'!$A$17:$A$24,Доп.расчеты!$A213,'Как будет'!CZ$17:CZ$24)</f>
        <v>0</v>
      </c>
      <c r="CZ213">
        <f>SUMIF('Как будет'!$A$17:$A$24,Доп.расчеты!$A213,'Как будет'!DA$17:DA$24)</f>
        <v>0</v>
      </c>
      <c r="DA213">
        <f>SUMIF('Как будет'!$A$17:$A$24,Доп.расчеты!$A213,'Как будет'!DB$17:DB$24)</f>
        <v>0</v>
      </c>
      <c r="DB213">
        <f>SUMIF('Как будет'!$A$17:$A$24,Доп.расчеты!$A213,'Как будет'!DC$17:DC$24)</f>
        <v>0</v>
      </c>
      <c r="DC213">
        <f>SUMIF('Как будет'!$A$17:$A$24,Доп.расчеты!$A213,'Как будет'!DD$17:DD$24)</f>
        <v>0</v>
      </c>
      <c r="DD213">
        <f>SUMIF('Как будет'!$A$17:$A$24,Доп.расчеты!$A213,'Как будет'!DE$17:DE$24)</f>
        <v>0</v>
      </c>
      <c r="DE213">
        <f>SUMIF('Как будет'!$A$17:$A$24,Доп.расчеты!$A213,'Как будет'!DF$17:DF$24)</f>
        <v>0</v>
      </c>
      <c r="DF213">
        <f>SUMIF('Как будет'!$A$17:$A$24,Доп.расчеты!$A213,'Как будет'!DG$17:DG$24)</f>
        <v>0</v>
      </c>
      <c r="DG213">
        <f>SUMIF('Как будет'!$A$17:$A$24,Доп.расчеты!$A213,'Как будет'!DH$17:DH$24)</f>
        <v>0</v>
      </c>
      <c r="DH213">
        <f>SUMIF('Как будет'!$A$17:$A$24,Доп.расчеты!$A213,'Как будет'!DI$17:DI$24)</f>
        <v>0</v>
      </c>
      <c r="DI213">
        <f>SUMIF('Как будет'!$A$17:$A$24,Доп.расчеты!$A213,'Как будет'!DJ$17:DJ$24)</f>
        <v>0</v>
      </c>
      <c r="DJ213">
        <f>SUMIF('Как будет'!$A$17:$A$24,Доп.расчеты!$A213,'Как будет'!DK$17:DK$24)</f>
        <v>0</v>
      </c>
      <c r="DK213">
        <f>SUMIF('Как будет'!$A$17:$A$24,Доп.расчеты!$A213,'Как будет'!DL$17:DL$24)</f>
        <v>0</v>
      </c>
      <c r="DL213">
        <f>SUMIF('Как будет'!$A$17:$A$24,Доп.расчеты!$A213,'Как будет'!DM$17:DM$24)</f>
        <v>0</v>
      </c>
      <c r="DM213">
        <f>SUMIF('Как будет'!$A$17:$A$24,Доп.расчеты!$A213,'Как будет'!DN$17:DN$24)</f>
        <v>0</v>
      </c>
      <c r="DN213">
        <f>SUMIF('Как будет'!$A$17:$A$24,Доп.расчеты!$A213,'Как будет'!DO$17:DO$24)</f>
        <v>0</v>
      </c>
      <c r="DO213">
        <f>SUMIF('Как будет'!$A$17:$A$24,Доп.расчеты!$A213,'Как будет'!DP$17:DP$24)</f>
        <v>0</v>
      </c>
      <c r="DP213">
        <f>SUMIF('Как будет'!$A$17:$A$24,Доп.расчеты!$A213,'Как будет'!DQ$17:DQ$24)</f>
        <v>0</v>
      </c>
      <c r="DQ213">
        <f>SUMIF('Как будет'!$A$17:$A$24,Доп.расчеты!$A213,'Как будет'!DR$17:DR$24)</f>
        <v>0</v>
      </c>
      <c r="DR213">
        <f>SUMIF('Как будет'!$A$17:$A$24,Доп.расчеты!$A213,'Как будет'!DS$17:DS$24)</f>
        <v>0</v>
      </c>
      <c r="DS213">
        <f>SUMIF('Как будет'!$A$17:$A$24,Доп.расчеты!$A213,'Как будет'!DT$17:DT$24)</f>
        <v>0</v>
      </c>
      <c r="DT213">
        <f>SUMIF('Как будет'!$A$17:$A$24,Доп.расчеты!$A213,'Как будет'!DU$17:DU$24)</f>
        <v>0</v>
      </c>
      <c r="DU213">
        <f>SUMIF('Как будет'!$A$17:$A$24,Доп.расчеты!$A213,'Как будет'!DV$17:DV$24)</f>
        <v>0</v>
      </c>
      <c r="DV213">
        <f>SUMIF('Как будет'!$A$17:$A$24,Доп.расчеты!$A213,'Как будет'!DW$17:DW$24)</f>
        <v>0</v>
      </c>
      <c r="DW213">
        <f>SUMIF('Как будет'!$A$17:$A$24,Доп.расчеты!$A213,'Как будет'!DX$17:DX$24)</f>
        <v>0</v>
      </c>
      <c r="DX213">
        <f>SUMIF('Как будет'!$A$17:$A$24,Доп.расчеты!$A213,'Как будет'!DY$17:DY$24)</f>
        <v>0</v>
      </c>
      <c r="DY213">
        <f>SUMIF('Как будет'!$A$17:$A$24,Доп.расчеты!$A213,'Как будет'!DZ$17:DZ$24)</f>
        <v>0</v>
      </c>
      <c r="DZ213">
        <f>SUMIF('Как будет'!$A$17:$A$24,Доп.расчеты!$A213,'Как будет'!EA$17:EA$24)</f>
        <v>0</v>
      </c>
      <c r="EA213">
        <f>SUMIF('Как будет'!$A$17:$A$24,Доп.расчеты!$A213,'Как будет'!EB$17:EB$24)</f>
        <v>0</v>
      </c>
      <c r="EB213">
        <f>SUMIF('Как будет'!$A$17:$A$24,Доп.расчеты!$A213,'Как будет'!EC$17:EC$24)</f>
        <v>0</v>
      </c>
      <c r="EC213">
        <f>SUMIF('Как будет'!$A$17:$A$24,Доп.расчеты!$A213,'Как будет'!ED$17:ED$24)</f>
        <v>0</v>
      </c>
      <c r="ED213">
        <f>SUMIF('Как будет'!$A$17:$A$24,Доп.расчеты!$A213,'Как будет'!EE$17:EE$24)</f>
        <v>0</v>
      </c>
      <c r="EE213">
        <f>SUMIF('Как будет'!$A$17:$A$24,Доп.расчеты!$A213,'Как будет'!EF$17:EF$24)</f>
        <v>0</v>
      </c>
      <c r="EF213">
        <f>SUMIF('Как будет'!$A$17:$A$24,Доп.расчеты!$A213,'Как будет'!EG$17:EG$24)</f>
        <v>0</v>
      </c>
      <c r="EG213">
        <f>SUMIF('Как будет'!$A$17:$A$24,Доп.расчеты!$A213,'Как будет'!EH$17:EH$24)</f>
        <v>0</v>
      </c>
      <c r="EH213">
        <f>SUMIF('Как будет'!$A$17:$A$24,Доп.расчеты!$A213,'Как будет'!EI$17:EI$24)</f>
        <v>0</v>
      </c>
      <c r="EI213">
        <f>SUMIF('Как будет'!$A$17:$A$24,Доп.расчеты!$A213,'Как будет'!EJ$17:EJ$24)</f>
        <v>0</v>
      </c>
      <c r="EJ213">
        <f>SUMIF('Как будет'!$A$17:$A$24,Доп.расчеты!$A213,'Как будет'!EK$17:EK$24)</f>
        <v>0</v>
      </c>
      <c r="EK213">
        <f>SUMIF('Как будет'!$A$17:$A$24,Доп.расчеты!$A213,'Как будет'!EL$17:EL$24)</f>
        <v>0</v>
      </c>
      <c r="EL213">
        <f>SUMIF('Как будет'!$A$17:$A$24,Доп.расчеты!$A213,'Как будет'!EM$17:EM$24)</f>
        <v>0</v>
      </c>
      <c r="EM213">
        <f>SUMIF('Как будет'!$A$17:$A$24,Доп.расчеты!$A213,'Как будет'!EN$17:EN$24)</f>
        <v>0</v>
      </c>
      <c r="EN213">
        <f>SUMIF('Как будет'!$A$17:$A$24,Доп.расчеты!$A213,'Как будет'!EO$17:EO$24)</f>
        <v>0</v>
      </c>
      <c r="EO213">
        <f>SUMIF('Как будет'!$A$17:$A$24,Доп.расчеты!$A213,'Как будет'!EP$17:EP$24)</f>
        <v>0</v>
      </c>
      <c r="EP213">
        <f>SUMIF('Как будет'!$A$17:$A$24,Доп.расчеты!$A213,'Как будет'!EQ$17:EQ$24)</f>
        <v>0</v>
      </c>
      <c r="EQ213">
        <f>SUMIF('Как будет'!$A$17:$A$24,Доп.расчеты!$A213,'Как будет'!ER$17:ER$24)</f>
        <v>0</v>
      </c>
      <c r="ER213">
        <f>SUMIF('Как будет'!$A$17:$A$24,Доп.расчеты!$A213,'Как будет'!ES$17:ES$24)</f>
        <v>0</v>
      </c>
      <c r="ES213">
        <f>SUMIF('Как будет'!$A$17:$A$24,Доп.расчеты!$A213,'Как будет'!ET$17:ET$24)</f>
        <v>0</v>
      </c>
      <c r="ET213">
        <f>SUMIF('Как будет'!$A$17:$A$24,Доп.расчеты!$A213,'Как будет'!EU$17:EU$24)</f>
        <v>0</v>
      </c>
      <c r="EU213">
        <f>SUMIF('Как будет'!$A$17:$A$24,Доп.расчеты!$A213,'Как будет'!EV$17:EV$24)</f>
        <v>0</v>
      </c>
      <c r="EV213">
        <f>SUMIF('Как будет'!$A$17:$A$24,Доп.расчеты!$A213,'Как будет'!EW$17:EW$24)</f>
        <v>0</v>
      </c>
      <c r="EW213">
        <f>SUMIF('Как будет'!$A$17:$A$24,Доп.расчеты!$A213,'Как будет'!EX$17:EX$24)</f>
        <v>0</v>
      </c>
      <c r="EX213">
        <f>SUMIF('Как будет'!$A$17:$A$24,Доп.расчеты!$A213,'Как будет'!EY$17:EY$24)</f>
        <v>0</v>
      </c>
      <c r="EY213">
        <f>SUMIF('Как будет'!$A$17:$A$24,Доп.расчеты!$A213,'Как будет'!EZ$17:EZ$24)</f>
        <v>0</v>
      </c>
      <c r="EZ213">
        <f>SUMIF('Как будет'!$A$17:$A$24,Доп.расчеты!$A213,'Как будет'!FA$17:FA$24)</f>
        <v>0</v>
      </c>
      <c r="FA213">
        <f>SUMIF('Как будет'!$A$17:$A$24,Доп.расчеты!$A213,'Как будет'!FB$17:FB$24)</f>
        <v>0</v>
      </c>
      <c r="FB213">
        <f>SUMIF('Как будет'!$A$17:$A$24,Доп.расчеты!$A213,'Как будет'!FC$17:FC$24)</f>
        <v>0</v>
      </c>
      <c r="FC213">
        <f>SUMIF('Как будет'!$A$17:$A$24,Доп.расчеты!$A213,'Как будет'!FD$17:FD$24)</f>
        <v>0</v>
      </c>
      <c r="FD213">
        <f>SUMIF('Как будет'!$A$17:$A$24,Доп.расчеты!$A213,'Как будет'!FE$17:FE$24)</f>
        <v>0</v>
      </c>
      <c r="FE213">
        <f>SUMIF('Как будет'!$A$17:$A$24,Доп.расчеты!$A213,'Как будет'!FF$17:FF$24)</f>
        <v>0</v>
      </c>
      <c r="FF213">
        <f>SUMIF('Как будет'!$A$17:$A$24,Доп.расчеты!$A213,'Как будет'!FG$17:FG$24)</f>
        <v>0</v>
      </c>
      <c r="FG213">
        <f>SUMIF('Как будет'!$A$17:$A$24,Доп.расчеты!$A213,'Как будет'!FH$17:FH$24)</f>
        <v>0</v>
      </c>
      <c r="FH213">
        <f>SUMIF('Как будет'!$A$17:$A$24,Доп.расчеты!$A213,'Как будет'!FI$17:FI$24)</f>
        <v>0</v>
      </c>
      <c r="FI213">
        <f>SUMIF('Как будет'!$A$17:$A$24,Доп.расчеты!$A213,'Как будет'!FJ$17:FJ$24)</f>
        <v>0</v>
      </c>
      <c r="FJ213">
        <f>SUMIF('Как будет'!$A$17:$A$24,Доп.расчеты!$A213,'Как будет'!FK$17:FK$24)</f>
        <v>0</v>
      </c>
      <c r="FK213">
        <f>SUMIF('Как будет'!$A$17:$A$24,Доп.расчеты!$A213,'Как будет'!FL$17:FL$24)</f>
        <v>0</v>
      </c>
      <c r="FL213">
        <f>SUMIF('Как будет'!$A$17:$A$24,Доп.расчеты!$A213,'Как будет'!FM$17:FM$24)</f>
        <v>0</v>
      </c>
      <c r="FM213">
        <f>SUMIF('Как будет'!$A$17:$A$24,Доп.расчеты!$A213,'Как будет'!FN$17:FN$24)</f>
        <v>0</v>
      </c>
      <c r="FN213">
        <f>SUMIF('Как будет'!$A$17:$A$24,Доп.расчеты!$A213,'Как будет'!FO$17:FO$24)</f>
        <v>0</v>
      </c>
      <c r="FO213">
        <f>SUMIF('Как будет'!$A$17:$A$24,Доп.расчеты!$A213,'Как будет'!FP$17:FP$24)</f>
        <v>0</v>
      </c>
      <c r="FP213">
        <f>SUMIF('Как будет'!$A$17:$A$24,Доп.расчеты!$A213,'Как будет'!FQ$17:FQ$24)</f>
        <v>0</v>
      </c>
      <c r="FQ213">
        <f>SUMIF('Как будет'!$A$17:$A$24,Доп.расчеты!$A213,'Как будет'!FR$17:FR$24)</f>
        <v>0</v>
      </c>
      <c r="FR213">
        <f>SUMIF('Как будет'!$A$17:$A$24,Доп.расчеты!$A213,'Как будет'!FS$17:FS$24)</f>
        <v>0</v>
      </c>
      <c r="FS213">
        <f>SUMIF('Как будет'!$A$17:$A$24,Доп.расчеты!$A213,'Как будет'!FT$17:FT$24)</f>
        <v>0</v>
      </c>
      <c r="FT213">
        <f>SUMIF('Как будет'!$A$17:$A$24,Доп.расчеты!$A213,'Как будет'!FU$17:FU$24)</f>
        <v>0</v>
      </c>
      <c r="FU213">
        <f>SUMIF('Как будет'!$A$17:$A$24,Доп.расчеты!$A213,'Как будет'!FV$17:FV$24)</f>
        <v>0</v>
      </c>
      <c r="FV213">
        <f>SUMIF('Как будет'!$A$17:$A$24,Доп.расчеты!$A213,'Как будет'!FW$17:FW$24)</f>
        <v>0</v>
      </c>
      <c r="FW213">
        <f>SUMIF('Как будет'!$A$17:$A$24,Доп.расчеты!$A213,'Как будет'!FX$17:FX$24)</f>
        <v>0</v>
      </c>
      <c r="FX213">
        <f>SUMIF('Как будет'!$A$17:$A$24,Доп.расчеты!$A213,'Как будет'!FY$17:FY$24)</f>
        <v>0</v>
      </c>
      <c r="FY213">
        <f>SUMIF('Как будет'!$A$17:$A$24,Доп.расчеты!$A213,'Как будет'!FZ$17:FZ$24)</f>
        <v>0</v>
      </c>
      <c r="FZ213">
        <f>SUMIF('Как будет'!$A$17:$A$24,Доп.расчеты!$A213,'Как будет'!GA$17:GA$24)</f>
        <v>0</v>
      </c>
      <c r="GA213">
        <f>SUMIF('Как будет'!$A$17:$A$24,Доп.расчеты!$A213,'Как будет'!GB$17:GB$24)</f>
        <v>0</v>
      </c>
      <c r="GB213">
        <f>SUMIF('Как будет'!$A$17:$A$24,Доп.расчеты!$A213,'Как будет'!GC$17:GC$24)</f>
        <v>0</v>
      </c>
      <c r="GC213">
        <f>SUMIF('Как будет'!$A$17:$A$24,Доп.расчеты!$A213,'Как будет'!GD$17:GD$24)</f>
        <v>0</v>
      </c>
      <c r="GD213">
        <f>SUMIF('Как будет'!$A$17:$A$24,Доп.расчеты!$A213,'Как будет'!GE$17:GE$24)</f>
        <v>0</v>
      </c>
      <c r="GE213">
        <f>SUMIF('Как будет'!$A$17:$A$24,Доп.расчеты!$A213,'Как будет'!GF$17:GF$24)</f>
        <v>0</v>
      </c>
      <c r="GF213">
        <f>SUMIF('Как будет'!$A$17:$A$24,Доп.расчеты!$A213,'Как будет'!GG$17:GG$24)</f>
        <v>0</v>
      </c>
      <c r="GG213">
        <f>SUMIF('Как будет'!$A$17:$A$24,Доп.расчеты!$A213,'Как будет'!GH$17:GH$24)</f>
        <v>0</v>
      </c>
      <c r="GH213">
        <f>SUMIF('Как будет'!$A$17:$A$24,Доп.расчеты!$A213,'Как будет'!GI$17:GI$24)</f>
        <v>0</v>
      </c>
      <c r="GI213">
        <f>SUMIF('Как будет'!$A$17:$A$24,Доп.расчеты!$A213,'Как будет'!GJ$17:GJ$24)</f>
        <v>0</v>
      </c>
      <c r="GJ213">
        <f>SUMIF('Как будет'!$A$17:$A$24,Доп.расчеты!$A213,'Как будет'!GK$17:GK$24)</f>
        <v>0</v>
      </c>
      <c r="GK213">
        <f>SUMIF('Как будет'!$A$17:$A$24,Доп.расчеты!$A213,'Как будет'!GL$17:GL$24)</f>
        <v>0</v>
      </c>
      <c r="GL213">
        <f>SUMIF('Как будет'!$A$17:$A$24,Доп.расчеты!$A213,'Как будет'!GM$17:GM$24)</f>
        <v>0</v>
      </c>
      <c r="GM213">
        <f>SUMIF('Как будет'!$A$17:$A$24,Доп.расчеты!$A213,'Как будет'!GN$17:GN$24)</f>
        <v>0</v>
      </c>
      <c r="GN213">
        <f>SUMIF('Как будет'!$A$17:$A$24,Доп.расчеты!$A213,'Как будет'!GO$17:GO$24)</f>
        <v>0</v>
      </c>
      <c r="GO213">
        <f>SUMIF('Как будет'!$A$17:$A$24,Доп.расчеты!$A213,'Как будет'!GP$17:GP$24)</f>
        <v>0</v>
      </c>
      <c r="GP213">
        <f>SUMIF('Как будет'!$A$17:$A$24,Доп.расчеты!$A213,'Как будет'!GQ$17:GQ$24)</f>
        <v>0</v>
      </c>
      <c r="GQ213">
        <f>SUMIF('Как будет'!$A$17:$A$24,Доп.расчеты!$A213,'Как будет'!GR$17:GR$24)</f>
        <v>0</v>
      </c>
      <c r="GR213">
        <f>SUMIF('Как будет'!$A$17:$A$24,Доп.расчеты!$A213,'Как будет'!GS$17:GS$24)</f>
        <v>0</v>
      </c>
      <c r="GS213">
        <f>SUMIF('Как будет'!$A$17:$A$24,Доп.расчеты!$A213,'Как будет'!GT$17:GT$24)</f>
        <v>0</v>
      </c>
      <c r="GT213">
        <f>SUMIF('Как будет'!$A$17:$A$24,Доп.расчеты!$A213,'Как будет'!GU$17:GU$24)</f>
        <v>0</v>
      </c>
    </row>
    <row r="214" spans="1:202">
      <c r="A214" s="238" t="s">
        <v>109</v>
      </c>
      <c r="B214">
        <f>SUMIF('Как будет'!$A$17:$A$24,Доп.расчеты!$A214,'Как будет'!C$17:C$24)</f>
        <v>0</v>
      </c>
      <c r="C214">
        <f>SUMIF('Как будет'!$A$17:$A$24,Доп.расчеты!$A214,'Как будет'!D$17:D$24)</f>
        <v>0</v>
      </c>
      <c r="D214">
        <f>SUMIF('Как будет'!$A$17:$A$24,Доп.расчеты!$A214,'Как будет'!E$17:E$24)</f>
        <v>0</v>
      </c>
      <c r="E214">
        <f>SUMIF('Как будет'!$A$17:$A$24,Доп.расчеты!$A214,'Как будет'!F$17:F$24)</f>
        <v>0</v>
      </c>
      <c r="F214">
        <f>SUMIF('Как будет'!$A$17:$A$24,Доп.расчеты!$A214,'Как будет'!G$17:G$24)</f>
        <v>0</v>
      </c>
      <c r="G214">
        <f>SUMIF('Как будет'!$A$17:$A$24,Доп.расчеты!$A214,'Как будет'!H$17:H$24)</f>
        <v>0</v>
      </c>
      <c r="H214">
        <f>SUMIF('Как будет'!$A$17:$A$24,Доп.расчеты!$A214,'Как будет'!I$17:I$24)</f>
        <v>0</v>
      </c>
      <c r="I214">
        <f>SUMIF('Как будет'!$A$17:$A$24,Доп.расчеты!$A214,'Как будет'!J$17:J$24)</f>
        <v>0</v>
      </c>
      <c r="J214">
        <f>SUMIF('Как будет'!$A$17:$A$24,Доп.расчеты!$A214,'Как будет'!K$17:K$24)</f>
        <v>0</v>
      </c>
      <c r="K214">
        <f>SUMIF('Как будет'!$A$17:$A$24,Доп.расчеты!$A214,'Как будет'!L$17:L$24)</f>
        <v>0</v>
      </c>
      <c r="L214">
        <f>SUMIF('Как будет'!$A$17:$A$24,Доп.расчеты!$A214,'Как будет'!M$17:M$24)</f>
        <v>0</v>
      </c>
      <c r="M214">
        <f>SUMIF('Как будет'!$A$17:$A$24,Доп.расчеты!$A214,'Как будет'!N$17:N$24)</f>
        <v>0</v>
      </c>
      <c r="N214">
        <f>SUMIF('Как будет'!$A$17:$A$24,Доп.расчеты!$A214,'Как будет'!O$17:O$24)</f>
        <v>0</v>
      </c>
      <c r="O214">
        <f>SUMIF('Как будет'!$A$17:$A$24,Доп.расчеты!$A214,'Как будет'!P$17:P$24)</f>
        <v>0</v>
      </c>
      <c r="P214">
        <f>SUMIF('Как будет'!$A$17:$A$24,Доп.расчеты!$A214,'Как будет'!Q$17:Q$24)</f>
        <v>0</v>
      </c>
      <c r="Q214">
        <f>SUMIF('Как будет'!$A$17:$A$24,Доп.расчеты!$A214,'Как будет'!R$17:R$24)</f>
        <v>0</v>
      </c>
      <c r="R214">
        <f>SUMIF('Как будет'!$A$17:$A$24,Доп.расчеты!$A214,'Как будет'!S$17:S$24)</f>
        <v>0</v>
      </c>
      <c r="S214">
        <f>SUMIF('Как будет'!$A$17:$A$24,Доп.расчеты!$A214,'Как будет'!T$17:T$24)</f>
        <v>0</v>
      </c>
      <c r="T214">
        <f>SUMIF('Как будет'!$A$17:$A$24,Доп.расчеты!$A214,'Как будет'!U$17:U$24)</f>
        <v>0</v>
      </c>
      <c r="U214">
        <f>SUMIF('Как будет'!$A$17:$A$24,Доп.расчеты!$A214,'Как будет'!V$17:V$24)</f>
        <v>0</v>
      </c>
      <c r="V214">
        <f>SUMIF('Как будет'!$A$17:$A$24,Доп.расчеты!$A214,'Как будет'!W$17:W$24)</f>
        <v>0</v>
      </c>
      <c r="W214">
        <f>SUMIF('Как будет'!$A$17:$A$24,Доп.расчеты!$A214,'Как будет'!X$17:X$24)</f>
        <v>0</v>
      </c>
      <c r="X214">
        <f>SUMIF('Как будет'!$A$17:$A$24,Доп.расчеты!$A214,'Как будет'!Y$17:Y$24)</f>
        <v>0</v>
      </c>
      <c r="Y214">
        <f>SUMIF('Как будет'!$A$17:$A$24,Доп.расчеты!$A214,'Как будет'!Z$17:Z$24)</f>
        <v>0</v>
      </c>
      <c r="Z214">
        <f>SUMIF('Как будет'!$A$17:$A$24,Доп.расчеты!$A214,'Как будет'!AA$17:AA$24)</f>
        <v>0</v>
      </c>
      <c r="AA214">
        <f>SUMIF('Как будет'!$A$17:$A$24,Доп.расчеты!$A214,'Как будет'!AB$17:AB$24)</f>
        <v>0</v>
      </c>
      <c r="AB214">
        <f>SUMIF('Как будет'!$A$17:$A$24,Доп.расчеты!$A214,'Как будет'!AC$17:AC$24)</f>
        <v>0</v>
      </c>
      <c r="AC214">
        <f>SUMIF('Как будет'!$A$17:$A$24,Доп.расчеты!$A214,'Как будет'!AD$17:AD$24)</f>
        <v>0</v>
      </c>
      <c r="AD214">
        <f>SUMIF('Как будет'!$A$17:$A$24,Доп.расчеты!$A214,'Как будет'!AE$17:AE$24)</f>
        <v>0</v>
      </c>
      <c r="AE214">
        <f>SUMIF('Как будет'!$A$17:$A$24,Доп.расчеты!$A214,'Как будет'!AF$17:AF$24)</f>
        <v>0</v>
      </c>
      <c r="AF214">
        <f>SUMIF('Как будет'!$A$17:$A$24,Доп.расчеты!$A214,'Как будет'!AG$17:AG$24)</f>
        <v>0</v>
      </c>
      <c r="AG214">
        <f>SUMIF('Как будет'!$A$17:$A$24,Доп.расчеты!$A214,'Как будет'!AH$17:AH$24)</f>
        <v>0</v>
      </c>
      <c r="AH214">
        <f>SUMIF('Как будет'!$A$17:$A$24,Доп.расчеты!$A214,'Как будет'!AI$17:AI$24)</f>
        <v>0</v>
      </c>
      <c r="AI214">
        <f>SUMIF('Как будет'!$A$17:$A$24,Доп.расчеты!$A214,'Как будет'!AJ$17:AJ$24)</f>
        <v>0</v>
      </c>
      <c r="AJ214">
        <f>SUMIF('Как будет'!$A$17:$A$24,Доп.расчеты!$A214,'Как будет'!AK$17:AK$24)</f>
        <v>0</v>
      </c>
      <c r="AK214">
        <f>SUMIF('Как будет'!$A$17:$A$24,Доп.расчеты!$A214,'Как будет'!AL$17:AL$24)</f>
        <v>0</v>
      </c>
      <c r="AL214">
        <f>SUMIF('Как будет'!$A$17:$A$24,Доп.расчеты!$A214,'Как будет'!AM$17:AM$24)</f>
        <v>0</v>
      </c>
      <c r="AM214">
        <f>SUMIF('Как будет'!$A$17:$A$24,Доп.расчеты!$A214,'Как будет'!AN$17:AN$24)</f>
        <v>0</v>
      </c>
      <c r="AN214">
        <f>SUMIF('Как будет'!$A$17:$A$24,Доп.расчеты!$A214,'Как будет'!AO$17:AO$24)</f>
        <v>0</v>
      </c>
      <c r="AO214">
        <f>SUMIF('Как будет'!$A$17:$A$24,Доп.расчеты!$A214,'Как будет'!AP$17:AP$24)</f>
        <v>0</v>
      </c>
      <c r="AP214">
        <f>SUMIF('Как будет'!$A$17:$A$24,Доп.расчеты!$A214,'Как будет'!AQ$17:AQ$24)</f>
        <v>0</v>
      </c>
      <c r="AQ214">
        <f>SUMIF('Как будет'!$A$17:$A$24,Доп.расчеты!$A214,'Как будет'!AR$17:AR$24)</f>
        <v>0</v>
      </c>
      <c r="AR214">
        <f>SUMIF('Как будет'!$A$17:$A$24,Доп.расчеты!$A214,'Как будет'!AS$17:AS$24)</f>
        <v>0</v>
      </c>
      <c r="AS214">
        <f>SUMIF('Как будет'!$A$17:$A$24,Доп.расчеты!$A214,'Как будет'!AT$17:AT$24)</f>
        <v>0</v>
      </c>
      <c r="AT214">
        <f>SUMIF('Как будет'!$A$17:$A$24,Доп.расчеты!$A214,'Как будет'!AU$17:AU$24)</f>
        <v>0</v>
      </c>
      <c r="AU214">
        <f>SUMIF('Как будет'!$A$17:$A$24,Доп.расчеты!$A214,'Как будет'!AV$17:AV$24)</f>
        <v>0</v>
      </c>
      <c r="AV214">
        <f>SUMIF('Как будет'!$A$17:$A$24,Доп.расчеты!$A214,'Как будет'!AW$17:AW$24)</f>
        <v>0</v>
      </c>
      <c r="AW214">
        <f>SUMIF('Как будет'!$A$17:$A$24,Доп.расчеты!$A214,'Как будет'!AX$17:AX$24)</f>
        <v>0</v>
      </c>
      <c r="AX214">
        <f>SUMIF('Как будет'!$A$17:$A$24,Доп.расчеты!$A214,'Как будет'!AY$17:AY$24)</f>
        <v>0</v>
      </c>
      <c r="AY214">
        <f>SUMIF('Как будет'!$A$17:$A$24,Доп.расчеты!$A214,'Как будет'!AZ$17:AZ$24)</f>
        <v>0</v>
      </c>
      <c r="AZ214">
        <f>SUMIF('Как будет'!$A$17:$A$24,Доп.расчеты!$A214,'Как будет'!BA$17:BA$24)</f>
        <v>0</v>
      </c>
      <c r="BA214">
        <f>SUMIF('Как будет'!$A$17:$A$24,Доп.расчеты!$A214,'Как будет'!BB$17:BB$24)</f>
        <v>0</v>
      </c>
      <c r="BB214">
        <f>SUMIF('Как будет'!$A$17:$A$24,Доп.расчеты!$A214,'Как будет'!BC$17:BC$24)</f>
        <v>0</v>
      </c>
      <c r="BC214">
        <f>SUMIF('Как будет'!$A$17:$A$24,Доп.расчеты!$A214,'Как будет'!BD$17:BD$24)</f>
        <v>0</v>
      </c>
      <c r="BD214">
        <f>SUMIF('Как будет'!$A$17:$A$24,Доп.расчеты!$A214,'Как будет'!BE$17:BE$24)</f>
        <v>0</v>
      </c>
      <c r="BE214">
        <f>SUMIF('Как будет'!$A$17:$A$24,Доп.расчеты!$A214,'Как будет'!BF$17:BF$24)</f>
        <v>0</v>
      </c>
      <c r="BF214">
        <f>SUMIF('Как будет'!$A$17:$A$24,Доп.расчеты!$A214,'Как будет'!BG$17:BG$24)</f>
        <v>0</v>
      </c>
      <c r="BG214">
        <f>SUMIF('Как будет'!$A$17:$A$24,Доп.расчеты!$A214,'Как будет'!BH$17:BH$24)</f>
        <v>0</v>
      </c>
      <c r="BH214">
        <f>SUMIF('Как будет'!$A$17:$A$24,Доп.расчеты!$A214,'Как будет'!BI$17:BI$24)</f>
        <v>0</v>
      </c>
      <c r="BI214">
        <f>SUMIF('Как будет'!$A$17:$A$24,Доп.расчеты!$A214,'Как будет'!BJ$17:BJ$24)</f>
        <v>0</v>
      </c>
      <c r="BJ214">
        <f>SUMIF('Как будет'!$A$17:$A$24,Доп.расчеты!$A214,'Как будет'!BK$17:BK$24)</f>
        <v>0</v>
      </c>
      <c r="BK214">
        <f>SUMIF('Как будет'!$A$17:$A$24,Доп.расчеты!$A214,'Как будет'!BL$17:BL$24)</f>
        <v>0</v>
      </c>
      <c r="BL214">
        <f>SUMIF('Как будет'!$A$17:$A$24,Доп.расчеты!$A214,'Как будет'!BM$17:BM$24)</f>
        <v>0</v>
      </c>
      <c r="BM214">
        <f>SUMIF('Как будет'!$A$17:$A$24,Доп.расчеты!$A214,'Как будет'!BN$17:BN$24)</f>
        <v>0</v>
      </c>
      <c r="BN214">
        <f>SUMIF('Как будет'!$A$17:$A$24,Доп.расчеты!$A214,'Как будет'!BO$17:BO$24)</f>
        <v>0</v>
      </c>
      <c r="BO214">
        <f>SUMIF('Как будет'!$A$17:$A$24,Доп.расчеты!$A214,'Как будет'!BP$17:BP$24)</f>
        <v>0</v>
      </c>
      <c r="BP214">
        <f>SUMIF('Как будет'!$A$17:$A$24,Доп.расчеты!$A214,'Как будет'!BQ$17:BQ$24)</f>
        <v>0</v>
      </c>
      <c r="BQ214">
        <f>SUMIF('Как будет'!$A$17:$A$24,Доп.расчеты!$A214,'Как будет'!BR$17:BR$24)</f>
        <v>0</v>
      </c>
      <c r="BR214">
        <f>SUMIF('Как будет'!$A$17:$A$24,Доп.расчеты!$A214,'Как будет'!BS$17:BS$24)</f>
        <v>0</v>
      </c>
      <c r="BS214">
        <f>SUMIF('Как будет'!$A$17:$A$24,Доп.расчеты!$A214,'Как будет'!BT$17:BT$24)</f>
        <v>0</v>
      </c>
      <c r="BT214">
        <f>SUMIF('Как будет'!$A$17:$A$24,Доп.расчеты!$A214,'Как будет'!BU$17:BU$24)</f>
        <v>0</v>
      </c>
      <c r="BU214">
        <f>SUMIF('Как будет'!$A$17:$A$24,Доп.расчеты!$A214,'Как будет'!BV$17:BV$24)</f>
        <v>0</v>
      </c>
      <c r="BV214">
        <f>SUMIF('Как будет'!$A$17:$A$24,Доп.расчеты!$A214,'Как будет'!BW$17:BW$24)</f>
        <v>0</v>
      </c>
      <c r="BW214">
        <f>SUMIF('Как будет'!$A$17:$A$24,Доп.расчеты!$A214,'Как будет'!BX$17:BX$24)</f>
        <v>0</v>
      </c>
      <c r="BX214">
        <f>SUMIF('Как будет'!$A$17:$A$24,Доп.расчеты!$A214,'Как будет'!BY$17:BY$24)</f>
        <v>0</v>
      </c>
      <c r="BY214">
        <f>SUMIF('Как будет'!$A$17:$A$24,Доп.расчеты!$A214,'Как будет'!BZ$17:BZ$24)</f>
        <v>0</v>
      </c>
      <c r="BZ214">
        <f>SUMIF('Как будет'!$A$17:$A$24,Доп.расчеты!$A214,'Как будет'!CA$17:CA$24)</f>
        <v>0</v>
      </c>
      <c r="CA214">
        <f>SUMIF('Как будет'!$A$17:$A$24,Доп.расчеты!$A214,'Как будет'!CB$17:CB$24)</f>
        <v>0</v>
      </c>
      <c r="CB214">
        <f>SUMIF('Как будет'!$A$17:$A$24,Доп.расчеты!$A214,'Как будет'!CC$17:CC$24)</f>
        <v>0</v>
      </c>
      <c r="CC214">
        <f>SUMIF('Как будет'!$A$17:$A$24,Доп.расчеты!$A214,'Как будет'!CD$17:CD$24)</f>
        <v>0</v>
      </c>
      <c r="CD214">
        <f>SUMIF('Как будет'!$A$17:$A$24,Доп.расчеты!$A214,'Как будет'!CE$17:CE$24)</f>
        <v>0</v>
      </c>
      <c r="CE214">
        <f>SUMIF('Как будет'!$A$17:$A$24,Доп.расчеты!$A214,'Как будет'!CF$17:CF$24)</f>
        <v>0</v>
      </c>
      <c r="CF214">
        <f>SUMIF('Как будет'!$A$17:$A$24,Доп.расчеты!$A214,'Как будет'!CG$17:CG$24)</f>
        <v>0</v>
      </c>
      <c r="CG214">
        <f>SUMIF('Как будет'!$A$17:$A$24,Доп.расчеты!$A214,'Как будет'!CH$17:CH$24)</f>
        <v>0</v>
      </c>
      <c r="CH214">
        <f>SUMIF('Как будет'!$A$17:$A$24,Доп.расчеты!$A214,'Как будет'!CI$17:CI$24)</f>
        <v>0</v>
      </c>
      <c r="CI214">
        <f>SUMIF('Как будет'!$A$17:$A$24,Доп.расчеты!$A214,'Как будет'!CJ$17:CJ$24)</f>
        <v>0</v>
      </c>
      <c r="CJ214">
        <f>SUMIF('Как будет'!$A$17:$A$24,Доп.расчеты!$A214,'Как будет'!CK$17:CK$24)</f>
        <v>0</v>
      </c>
      <c r="CK214">
        <f>SUMIF('Как будет'!$A$17:$A$24,Доп.расчеты!$A214,'Как будет'!CL$17:CL$24)</f>
        <v>0</v>
      </c>
      <c r="CL214">
        <f>SUMIF('Как будет'!$A$17:$A$24,Доп.расчеты!$A214,'Как будет'!CM$17:CM$24)</f>
        <v>0</v>
      </c>
      <c r="CM214">
        <f>SUMIF('Как будет'!$A$17:$A$24,Доп.расчеты!$A214,'Как будет'!CN$17:CN$24)</f>
        <v>0</v>
      </c>
      <c r="CN214">
        <f>SUMIF('Как будет'!$A$17:$A$24,Доп.расчеты!$A214,'Как будет'!CO$17:CO$24)</f>
        <v>0</v>
      </c>
      <c r="CO214">
        <f>SUMIF('Как будет'!$A$17:$A$24,Доп.расчеты!$A214,'Как будет'!CP$17:CP$24)</f>
        <v>0</v>
      </c>
      <c r="CP214">
        <f>SUMIF('Как будет'!$A$17:$A$24,Доп.расчеты!$A214,'Как будет'!CQ$17:CQ$24)</f>
        <v>0</v>
      </c>
      <c r="CQ214">
        <f>SUMIF('Как будет'!$A$17:$A$24,Доп.расчеты!$A214,'Как будет'!CR$17:CR$24)</f>
        <v>0</v>
      </c>
      <c r="CR214">
        <f>SUMIF('Как будет'!$A$17:$A$24,Доп.расчеты!$A214,'Как будет'!CS$17:CS$24)</f>
        <v>0</v>
      </c>
      <c r="CS214">
        <f>SUMIF('Как будет'!$A$17:$A$24,Доп.расчеты!$A214,'Как будет'!CT$17:CT$24)</f>
        <v>0</v>
      </c>
      <c r="CT214">
        <f>SUMIF('Как будет'!$A$17:$A$24,Доп.расчеты!$A214,'Как будет'!CU$17:CU$24)</f>
        <v>0</v>
      </c>
      <c r="CU214">
        <f>SUMIF('Как будет'!$A$17:$A$24,Доп.расчеты!$A214,'Как будет'!CV$17:CV$24)</f>
        <v>0</v>
      </c>
      <c r="CV214">
        <f>SUMIF('Как будет'!$A$17:$A$24,Доп.расчеты!$A214,'Как будет'!CW$17:CW$24)</f>
        <v>0</v>
      </c>
      <c r="CW214">
        <f>SUMIF('Как будет'!$A$17:$A$24,Доп.расчеты!$A214,'Как будет'!CX$17:CX$24)</f>
        <v>0</v>
      </c>
      <c r="CX214">
        <f>SUMIF('Как будет'!$A$17:$A$24,Доп.расчеты!$A214,'Как будет'!CY$17:CY$24)</f>
        <v>0</v>
      </c>
      <c r="CY214">
        <f>SUMIF('Как будет'!$A$17:$A$24,Доп.расчеты!$A214,'Как будет'!CZ$17:CZ$24)</f>
        <v>0</v>
      </c>
      <c r="CZ214">
        <f>SUMIF('Как будет'!$A$17:$A$24,Доп.расчеты!$A214,'Как будет'!DA$17:DA$24)</f>
        <v>0</v>
      </c>
      <c r="DA214">
        <f>SUMIF('Как будет'!$A$17:$A$24,Доп.расчеты!$A214,'Как будет'!DB$17:DB$24)</f>
        <v>0</v>
      </c>
      <c r="DB214">
        <f>SUMIF('Как будет'!$A$17:$A$24,Доп.расчеты!$A214,'Как будет'!DC$17:DC$24)</f>
        <v>0</v>
      </c>
      <c r="DC214">
        <f>SUMIF('Как будет'!$A$17:$A$24,Доп.расчеты!$A214,'Как будет'!DD$17:DD$24)</f>
        <v>0</v>
      </c>
      <c r="DD214">
        <f>SUMIF('Как будет'!$A$17:$A$24,Доп.расчеты!$A214,'Как будет'!DE$17:DE$24)</f>
        <v>0</v>
      </c>
      <c r="DE214">
        <f>SUMIF('Как будет'!$A$17:$A$24,Доп.расчеты!$A214,'Как будет'!DF$17:DF$24)</f>
        <v>0</v>
      </c>
      <c r="DF214">
        <f>SUMIF('Как будет'!$A$17:$A$24,Доп.расчеты!$A214,'Как будет'!DG$17:DG$24)</f>
        <v>0</v>
      </c>
      <c r="DG214">
        <f>SUMIF('Как будет'!$A$17:$A$24,Доп.расчеты!$A214,'Как будет'!DH$17:DH$24)</f>
        <v>0</v>
      </c>
      <c r="DH214">
        <f>SUMIF('Как будет'!$A$17:$A$24,Доп.расчеты!$A214,'Как будет'!DI$17:DI$24)</f>
        <v>0</v>
      </c>
      <c r="DI214">
        <f>SUMIF('Как будет'!$A$17:$A$24,Доп.расчеты!$A214,'Как будет'!DJ$17:DJ$24)</f>
        <v>0</v>
      </c>
      <c r="DJ214">
        <f>SUMIF('Как будет'!$A$17:$A$24,Доп.расчеты!$A214,'Как будет'!DK$17:DK$24)</f>
        <v>0</v>
      </c>
      <c r="DK214">
        <f>SUMIF('Как будет'!$A$17:$A$24,Доп.расчеты!$A214,'Как будет'!DL$17:DL$24)</f>
        <v>0</v>
      </c>
      <c r="DL214">
        <f>SUMIF('Как будет'!$A$17:$A$24,Доп.расчеты!$A214,'Как будет'!DM$17:DM$24)</f>
        <v>0</v>
      </c>
      <c r="DM214">
        <f>SUMIF('Как будет'!$A$17:$A$24,Доп.расчеты!$A214,'Как будет'!DN$17:DN$24)</f>
        <v>0</v>
      </c>
      <c r="DN214">
        <f>SUMIF('Как будет'!$A$17:$A$24,Доп.расчеты!$A214,'Как будет'!DO$17:DO$24)</f>
        <v>0</v>
      </c>
      <c r="DO214">
        <f>SUMIF('Как будет'!$A$17:$A$24,Доп.расчеты!$A214,'Как будет'!DP$17:DP$24)</f>
        <v>0</v>
      </c>
      <c r="DP214">
        <f>SUMIF('Как будет'!$A$17:$A$24,Доп.расчеты!$A214,'Как будет'!DQ$17:DQ$24)</f>
        <v>0</v>
      </c>
      <c r="DQ214">
        <f>SUMIF('Как будет'!$A$17:$A$24,Доп.расчеты!$A214,'Как будет'!DR$17:DR$24)</f>
        <v>0</v>
      </c>
      <c r="DR214">
        <f>SUMIF('Как будет'!$A$17:$A$24,Доп.расчеты!$A214,'Как будет'!DS$17:DS$24)</f>
        <v>0</v>
      </c>
      <c r="DS214">
        <f>SUMIF('Как будет'!$A$17:$A$24,Доп.расчеты!$A214,'Как будет'!DT$17:DT$24)</f>
        <v>0</v>
      </c>
      <c r="DT214">
        <f>SUMIF('Как будет'!$A$17:$A$24,Доп.расчеты!$A214,'Как будет'!DU$17:DU$24)</f>
        <v>0</v>
      </c>
      <c r="DU214">
        <f>SUMIF('Как будет'!$A$17:$A$24,Доп.расчеты!$A214,'Как будет'!DV$17:DV$24)</f>
        <v>0</v>
      </c>
      <c r="DV214">
        <f>SUMIF('Как будет'!$A$17:$A$24,Доп.расчеты!$A214,'Как будет'!DW$17:DW$24)</f>
        <v>0</v>
      </c>
      <c r="DW214">
        <f>SUMIF('Как будет'!$A$17:$A$24,Доп.расчеты!$A214,'Как будет'!DX$17:DX$24)</f>
        <v>0</v>
      </c>
      <c r="DX214">
        <f>SUMIF('Как будет'!$A$17:$A$24,Доп.расчеты!$A214,'Как будет'!DY$17:DY$24)</f>
        <v>0</v>
      </c>
      <c r="DY214">
        <f>SUMIF('Как будет'!$A$17:$A$24,Доп.расчеты!$A214,'Как будет'!DZ$17:DZ$24)</f>
        <v>0</v>
      </c>
      <c r="DZ214">
        <f>SUMIF('Как будет'!$A$17:$A$24,Доп.расчеты!$A214,'Как будет'!EA$17:EA$24)</f>
        <v>0</v>
      </c>
      <c r="EA214">
        <f>SUMIF('Как будет'!$A$17:$A$24,Доп.расчеты!$A214,'Как будет'!EB$17:EB$24)</f>
        <v>0</v>
      </c>
      <c r="EB214">
        <f>SUMIF('Как будет'!$A$17:$A$24,Доп.расчеты!$A214,'Как будет'!EC$17:EC$24)</f>
        <v>0</v>
      </c>
      <c r="EC214">
        <f>SUMIF('Как будет'!$A$17:$A$24,Доп.расчеты!$A214,'Как будет'!ED$17:ED$24)</f>
        <v>0</v>
      </c>
      <c r="ED214">
        <f>SUMIF('Как будет'!$A$17:$A$24,Доп.расчеты!$A214,'Как будет'!EE$17:EE$24)</f>
        <v>0</v>
      </c>
      <c r="EE214">
        <f>SUMIF('Как будет'!$A$17:$A$24,Доп.расчеты!$A214,'Как будет'!EF$17:EF$24)</f>
        <v>0</v>
      </c>
      <c r="EF214">
        <f>SUMIF('Как будет'!$A$17:$A$24,Доп.расчеты!$A214,'Как будет'!EG$17:EG$24)</f>
        <v>0</v>
      </c>
      <c r="EG214">
        <f>SUMIF('Как будет'!$A$17:$A$24,Доп.расчеты!$A214,'Как будет'!EH$17:EH$24)</f>
        <v>0</v>
      </c>
      <c r="EH214">
        <f>SUMIF('Как будет'!$A$17:$A$24,Доп.расчеты!$A214,'Как будет'!EI$17:EI$24)</f>
        <v>0</v>
      </c>
      <c r="EI214">
        <f>SUMIF('Как будет'!$A$17:$A$24,Доп.расчеты!$A214,'Как будет'!EJ$17:EJ$24)</f>
        <v>0</v>
      </c>
      <c r="EJ214">
        <f>SUMIF('Как будет'!$A$17:$A$24,Доп.расчеты!$A214,'Как будет'!EK$17:EK$24)</f>
        <v>0</v>
      </c>
      <c r="EK214">
        <f>SUMIF('Как будет'!$A$17:$A$24,Доп.расчеты!$A214,'Как будет'!EL$17:EL$24)</f>
        <v>0</v>
      </c>
      <c r="EL214">
        <f>SUMIF('Как будет'!$A$17:$A$24,Доп.расчеты!$A214,'Как будет'!EM$17:EM$24)</f>
        <v>0</v>
      </c>
      <c r="EM214">
        <f>SUMIF('Как будет'!$A$17:$A$24,Доп.расчеты!$A214,'Как будет'!EN$17:EN$24)</f>
        <v>0</v>
      </c>
      <c r="EN214">
        <f>SUMIF('Как будет'!$A$17:$A$24,Доп.расчеты!$A214,'Как будет'!EO$17:EO$24)</f>
        <v>0</v>
      </c>
      <c r="EO214">
        <f>SUMIF('Как будет'!$A$17:$A$24,Доп.расчеты!$A214,'Как будет'!EP$17:EP$24)</f>
        <v>0</v>
      </c>
      <c r="EP214">
        <f>SUMIF('Как будет'!$A$17:$A$24,Доп.расчеты!$A214,'Как будет'!EQ$17:EQ$24)</f>
        <v>0</v>
      </c>
      <c r="EQ214">
        <f>SUMIF('Как будет'!$A$17:$A$24,Доп.расчеты!$A214,'Как будет'!ER$17:ER$24)</f>
        <v>0</v>
      </c>
      <c r="ER214">
        <f>SUMIF('Как будет'!$A$17:$A$24,Доп.расчеты!$A214,'Как будет'!ES$17:ES$24)</f>
        <v>0</v>
      </c>
      <c r="ES214">
        <f>SUMIF('Как будет'!$A$17:$A$24,Доп.расчеты!$A214,'Как будет'!ET$17:ET$24)</f>
        <v>0</v>
      </c>
      <c r="ET214">
        <f>SUMIF('Как будет'!$A$17:$A$24,Доп.расчеты!$A214,'Как будет'!EU$17:EU$24)</f>
        <v>0</v>
      </c>
      <c r="EU214">
        <f>SUMIF('Как будет'!$A$17:$A$24,Доп.расчеты!$A214,'Как будет'!EV$17:EV$24)</f>
        <v>0</v>
      </c>
      <c r="EV214">
        <f>SUMIF('Как будет'!$A$17:$A$24,Доп.расчеты!$A214,'Как будет'!EW$17:EW$24)</f>
        <v>0</v>
      </c>
      <c r="EW214">
        <f>SUMIF('Как будет'!$A$17:$A$24,Доп.расчеты!$A214,'Как будет'!EX$17:EX$24)</f>
        <v>0</v>
      </c>
      <c r="EX214">
        <f>SUMIF('Как будет'!$A$17:$A$24,Доп.расчеты!$A214,'Как будет'!EY$17:EY$24)</f>
        <v>0</v>
      </c>
      <c r="EY214">
        <f>SUMIF('Как будет'!$A$17:$A$24,Доп.расчеты!$A214,'Как будет'!EZ$17:EZ$24)</f>
        <v>0</v>
      </c>
      <c r="EZ214">
        <f>SUMIF('Как будет'!$A$17:$A$24,Доп.расчеты!$A214,'Как будет'!FA$17:FA$24)</f>
        <v>0</v>
      </c>
      <c r="FA214">
        <f>SUMIF('Как будет'!$A$17:$A$24,Доп.расчеты!$A214,'Как будет'!FB$17:FB$24)</f>
        <v>0</v>
      </c>
      <c r="FB214">
        <f>SUMIF('Как будет'!$A$17:$A$24,Доп.расчеты!$A214,'Как будет'!FC$17:FC$24)</f>
        <v>0</v>
      </c>
      <c r="FC214">
        <f>SUMIF('Как будет'!$A$17:$A$24,Доп.расчеты!$A214,'Как будет'!FD$17:FD$24)</f>
        <v>0</v>
      </c>
      <c r="FD214">
        <f>SUMIF('Как будет'!$A$17:$A$24,Доп.расчеты!$A214,'Как будет'!FE$17:FE$24)</f>
        <v>0</v>
      </c>
      <c r="FE214">
        <f>SUMIF('Как будет'!$A$17:$A$24,Доп.расчеты!$A214,'Как будет'!FF$17:FF$24)</f>
        <v>0</v>
      </c>
      <c r="FF214">
        <f>SUMIF('Как будет'!$A$17:$A$24,Доп.расчеты!$A214,'Как будет'!FG$17:FG$24)</f>
        <v>0</v>
      </c>
      <c r="FG214">
        <f>SUMIF('Как будет'!$A$17:$A$24,Доп.расчеты!$A214,'Как будет'!FH$17:FH$24)</f>
        <v>0</v>
      </c>
      <c r="FH214">
        <f>SUMIF('Как будет'!$A$17:$A$24,Доп.расчеты!$A214,'Как будет'!FI$17:FI$24)</f>
        <v>0</v>
      </c>
      <c r="FI214">
        <f>SUMIF('Как будет'!$A$17:$A$24,Доп.расчеты!$A214,'Как будет'!FJ$17:FJ$24)</f>
        <v>0</v>
      </c>
      <c r="FJ214">
        <f>SUMIF('Как будет'!$A$17:$A$24,Доп.расчеты!$A214,'Как будет'!FK$17:FK$24)</f>
        <v>0</v>
      </c>
      <c r="FK214">
        <f>SUMIF('Как будет'!$A$17:$A$24,Доп.расчеты!$A214,'Как будет'!FL$17:FL$24)</f>
        <v>0</v>
      </c>
      <c r="FL214">
        <f>SUMIF('Как будет'!$A$17:$A$24,Доп.расчеты!$A214,'Как будет'!FM$17:FM$24)</f>
        <v>0</v>
      </c>
      <c r="FM214">
        <f>SUMIF('Как будет'!$A$17:$A$24,Доп.расчеты!$A214,'Как будет'!FN$17:FN$24)</f>
        <v>0</v>
      </c>
      <c r="FN214">
        <f>SUMIF('Как будет'!$A$17:$A$24,Доп.расчеты!$A214,'Как будет'!FO$17:FO$24)</f>
        <v>0</v>
      </c>
      <c r="FO214">
        <f>SUMIF('Как будет'!$A$17:$A$24,Доп.расчеты!$A214,'Как будет'!FP$17:FP$24)</f>
        <v>0</v>
      </c>
      <c r="FP214">
        <f>SUMIF('Как будет'!$A$17:$A$24,Доп.расчеты!$A214,'Как будет'!FQ$17:FQ$24)</f>
        <v>0</v>
      </c>
      <c r="FQ214">
        <f>SUMIF('Как будет'!$A$17:$A$24,Доп.расчеты!$A214,'Как будет'!FR$17:FR$24)</f>
        <v>0</v>
      </c>
      <c r="FR214">
        <f>SUMIF('Как будет'!$A$17:$A$24,Доп.расчеты!$A214,'Как будет'!FS$17:FS$24)</f>
        <v>0</v>
      </c>
      <c r="FS214">
        <f>SUMIF('Как будет'!$A$17:$A$24,Доп.расчеты!$A214,'Как будет'!FT$17:FT$24)</f>
        <v>0</v>
      </c>
      <c r="FT214">
        <f>SUMIF('Как будет'!$A$17:$A$24,Доп.расчеты!$A214,'Как будет'!FU$17:FU$24)</f>
        <v>0</v>
      </c>
      <c r="FU214">
        <f>SUMIF('Как будет'!$A$17:$A$24,Доп.расчеты!$A214,'Как будет'!FV$17:FV$24)</f>
        <v>0</v>
      </c>
      <c r="FV214">
        <f>SUMIF('Как будет'!$A$17:$A$24,Доп.расчеты!$A214,'Как будет'!FW$17:FW$24)</f>
        <v>0</v>
      </c>
      <c r="FW214">
        <f>SUMIF('Как будет'!$A$17:$A$24,Доп.расчеты!$A214,'Как будет'!FX$17:FX$24)</f>
        <v>0</v>
      </c>
      <c r="FX214">
        <f>SUMIF('Как будет'!$A$17:$A$24,Доп.расчеты!$A214,'Как будет'!FY$17:FY$24)</f>
        <v>0</v>
      </c>
      <c r="FY214">
        <f>SUMIF('Как будет'!$A$17:$A$24,Доп.расчеты!$A214,'Как будет'!FZ$17:FZ$24)</f>
        <v>0</v>
      </c>
      <c r="FZ214">
        <f>SUMIF('Как будет'!$A$17:$A$24,Доп.расчеты!$A214,'Как будет'!GA$17:GA$24)</f>
        <v>0</v>
      </c>
      <c r="GA214">
        <f>SUMIF('Как будет'!$A$17:$A$24,Доп.расчеты!$A214,'Как будет'!GB$17:GB$24)</f>
        <v>0</v>
      </c>
      <c r="GB214">
        <f>SUMIF('Как будет'!$A$17:$A$24,Доп.расчеты!$A214,'Как будет'!GC$17:GC$24)</f>
        <v>0</v>
      </c>
      <c r="GC214">
        <f>SUMIF('Как будет'!$A$17:$A$24,Доп.расчеты!$A214,'Как будет'!GD$17:GD$24)</f>
        <v>0</v>
      </c>
      <c r="GD214">
        <f>SUMIF('Как будет'!$A$17:$A$24,Доп.расчеты!$A214,'Как будет'!GE$17:GE$24)</f>
        <v>0</v>
      </c>
      <c r="GE214">
        <f>SUMIF('Как будет'!$A$17:$A$24,Доп.расчеты!$A214,'Как будет'!GF$17:GF$24)</f>
        <v>0</v>
      </c>
      <c r="GF214">
        <f>SUMIF('Как будет'!$A$17:$A$24,Доп.расчеты!$A214,'Как будет'!GG$17:GG$24)</f>
        <v>0</v>
      </c>
      <c r="GG214">
        <f>SUMIF('Как будет'!$A$17:$A$24,Доп.расчеты!$A214,'Как будет'!GH$17:GH$24)</f>
        <v>0</v>
      </c>
      <c r="GH214">
        <f>SUMIF('Как будет'!$A$17:$A$24,Доп.расчеты!$A214,'Как будет'!GI$17:GI$24)</f>
        <v>0</v>
      </c>
      <c r="GI214">
        <f>SUMIF('Как будет'!$A$17:$A$24,Доп.расчеты!$A214,'Как будет'!GJ$17:GJ$24)</f>
        <v>0</v>
      </c>
      <c r="GJ214">
        <f>SUMIF('Как будет'!$A$17:$A$24,Доп.расчеты!$A214,'Как будет'!GK$17:GK$24)</f>
        <v>0</v>
      </c>
      <c r="GK214">
        <f>SUMIF('Как будет'!$A$17:$A$24,Доп.расчеты!$A214,'Как будет'!GL$17:GL$24)</f>
        <v>0</v>
      </c>
      <c r="GL214">
        <f>SUMIF('Как будет'!$A$17:$A$24,Доп.расчеты!$A214,'Как будет'!GM$17:GM$24)</f>
        <v>0</v>
      </c>
      <c r="GM214">
        <f>SUMIF('Как будет'!$A$17:$A$24,Доп.расчеты!$A214,'Как будет'!GN$17:GN$24)</f>
        <v>0</v>
      </c>
      <c r="GN214">
        <f>SUMIF('Как будет'!$A$17:$A$24,Доп.расчеты!$A214,'Как будет'!GO$17:GO$24)</f>
        <v>0</v>
      </c>
      <c r="GO214">
        <f>SUMIF('Как будет'!$A$17:$A$24,Доп.расчеты!$A214,'Как будет'!GP$17:GP$24)</f>
        <v>0</v>
      </c>
      <c r="GP214">
        <f>SUMIF('Как будет'!$A$17:$A$24,Доп.расчеты!$A214,'Как будет'!GQ$17:GQ$24)</f>
        <v>0</v>
      </c>
      <c r="GQ214">
        <f>SUMIF('Как будет'!$A$17:$A$24,Доп.расчеты!$A214,'Как будет'!GR$17:GR$24)</f>
        <v>0</v>
      </c>
      <c r="GR214">
        <f>SUMIF('Как будет'!$A$17:$A$24,Доп.расчеты!$A214,'Как будет'!GS$17:GS$24)</f>
        <v>0</v>
      </c>
      <c r="GS214">
        <f>SUMIF('Как будет'!$A$17:$A$24,Доп.расчеты!$A214,'Как будет'!GT$17:GT$24)</f>
        <v>0</v>
      </c>
      <c r="GT214">
        <f>SUMIF('Как будет'!$A$17:$A$24,Доп.расчеты!$A214,'Как будет'!GU$17:GU$24)</f>
        <v>0</v>
      </c>
    </row>
    <row r="215" spans="1:202">
      <c r="A215" s="238" t="s">
        <v>110</v>
      </c>
      <c r="B215">
        <f>SUMIF('Как будет'!$A$17:$A$24,Доп.расчеты!$A215,'Как будет'!C$17:C$24)</f>
        <v>0</v>
      </c>
      <c r="C215">
        <f>SUMIF('Как будет'!$A$17:$A$24,Доп.расчеты!$A215,'Как будет'!D$17:D$24)</f>
        <v>0</v>
      </c>
      <c r="D215">
        <f>SUMIF('Как будет'!$A$17:$A$24,Доп.расчеты!$A215,'Как будет'!E$17:E$24)</f>
        <v>0</v>
      </c>
      <c r="E215">
        <f>SUMIF('Как будет'!$A$17:$A$24,Доп.расчеты!$A215,'Как будет'!F$17:F$24)</f>
        <v>0</v>
      </c>
      <c r="F215">
        <f>SUMIF('Как будет'!$A$17:$A$24,Доп.расчеты!$A215,'Как будет'!G$17:G$24)</f>
        <v>0</v>
      </c>
      <c r="G215">
        <f>SUMIF('Как будет'!$A$17:$A$24,Доп.расчеты!$A215,'Как будет'!H$17:H$24)</f>
        <v>0</v>
      </c>
      <c r="H215">
        <f>SUMIF('Как будет'!$A$17:$A$24,Доп.расчеты!$A215,'Как будет'!I$17:I$24)</f>
        <v>0</v>
      </c>
      <c r="I215">
        <f>SUMIF('Как будет'!$A$17:$A$24,Доп.расчеты!$A215,'Как будет'!J$17:J$24)</f>
        <v>0</v>
      </c>
      <c r="J215">
        <f>SUMIF('Как будет'!$A$17:$A$24,Доп.расчеты!$A215,'Как будет'!K$17:K$24)</f>
        <v>0</v>
      </c>
      <c r="K215">
        <f>SUMIF('Как будет'!$A$17:$A$24,Доп.расчеты!$A215,'Как будет'!L$17:L$24)</f>
        <v>0</v>
      </c>
      <c r="L215">
        <f>SUMIF('Как будет'!$A$17:$A$24,Доп.расчеты!$A215,'Как будет'!M$17:M$24)</f>
        <v>0</v>
      </c>
      <c r="M215">
        <f>SUMIF('Как будет'!$A$17:$A$24,Доп.расчеты!$A215,'Как будет'!N$17:N$24)</f>
        <v>0</v>
      </c>
      <c r="N215">
        <f>SUMIF('Как будет'!$A$17:$A$24,Доп.расчеты!$A215,'Как будет'!O$17:O$24)</f>
        <v>0</v>
      </c>
      <c r="O215">
        <f>SUMIF('Как будет'!$A$17:$A$24,Доп.расчеты!$A215,'Как будет'!P$17:P$24)</f>
        <v>0</v>
      </c>
      <c r="P215">
        <f>SUMIF('Как будет'!$A$17:$A$24,Доп.расчеты!$A215,'Как будет'!Q$17:Q$24)</f>
        <v>0</v>
      </c>
      <c r="Q215">
        <f>SUMIF('Как будет'!$A$17:$A$24,Доп.расчеты!$A215,'Как будет'!R$17:R$24)</f>
        <v>0</v>
      </c>
      <c r="R215">
        <f>SUMIF('Как будет'!$A$17:$A$24,Доп.расчеты!$A215,'Как будет'!S$17:S$24)</f>
        <v>0</v>
      </c>
      <c r="S215">
        <f>SUMIF('Как будет'!$A$17:$A$24,Доп.расчеты!$A215,'Как будет'!T$17:T$24)</f>
        <v>0</v>
      </c>
      <c r="T215">
        <f>SUMIF('Как будет'!$A$17:$A$24,Доп.расчеты!$A215,'Как будет'!U$17:U$24)</f>
        <v>0</v>
      </c>
      <c r="U215">
        <f>SUMIF('Как будет'!$A$17:$A$24,Доп.расчеты!$A215,'Как будет'!V$17:V$24)</f>
        <v>0</v>
      </c>
      <c r="V215">
        <f>SUMIF('Как будет'!$A$17:$A$24,Доп.расчеты!$A215,'Как будет'!W$17:W$24)</f>
        <v>0</v>
      </c>
      <c r="W215">
        <f>SUMIF('Как будет'!$A$17:$A$24,Доп.расчеты!$A215,'Как будет'!X$17:X$24)</f>
        <v>0</v>
      </c>
      <c r="X215">
        <f>SUMIF('Как будет'!$A$17:$A$24,Доп.расчеты!$A215,'Как будет'!Y$17:Y$24)</f>
        <v>0</v>
      </c>
      <c r="Y215">
        <f>SUMIF('Как будет'!$A$17:$A$24,Доп.расчеты!$A215,'Как будет'!Z$17:Z$24)</f>
        <v>0</v>
      </c>
      <c r="Z215">
        <f>SUMIF('Как будет'!$A$17:$A$24,Доп.расчеты!$A215,'Как будет'!AA$17:AA$24)</f>
        <v>0</v>
      </c>
      <c r="AA215">
        <f>SUMIF('Как будет'!$A$17:$A$24,Доп.расчеты!$A215,'Как будет'!AB$17:AB$24)</f>
        <v>0</v>
      </c>
      <c r="AB215">
        <f>SUMIF('Как будет'!$A$17:$A$24,Доп.расчеты!$A215,'Как будет'!AC$17:AC$24)</f>
        <v>0</v>
      </c>
      <c r="AC215">
        <f>SUMIF('Как будет'!$A$17:$A$24,Доп.расчеты!$A215,'Как будет'!AD$17:AD$24)</f>
        <v>0</v>
      </c>
      <c r="AD215">
        <f>SUMIF('Как будет'!$A$17:$A$24,Доп.расчеты!$A215,'Как будет'!AE$17:AE$24)</f>
        <v>0</v>
      </c>
      <c r="AE215">
        <f>SUMIF('Как будет'!$A$17:$A$24,Доп.расчеты!$A215,'Как будет'!AF$17:AF$24)</f>
        <v>0</v>
      </c>
      <c r="AF215">
        <f>SUMIF('Как будет'!$A$17:$A$24,Доп.расчеты!$A215,'Как будет'!AG$17:AG$24)</f>
        <v>0</v>
      </c>
      <c r="AG215">
        <f>SUMIF('Как будет'!$A$17:$A$24,Доп.расчеты!$A215,'Как будет'!AH$17:AH$24)</f>
        <v>0</v>
      </c>
      <c r="AH215">
        <f>SUMIF('Как будет'!$A$17:$A$24,Доп.расчеты!$A215,'Как будет'!AI$17:AI$24)</f>
        <v>0</v>
      </c>
      <c r="AI215">
        <f>SUMIF('Как будет'!$A$17:$A$24,Доп.расчеты!$A215,'Как будет'!AJ$17:AJ$24)</f>
        <v>0</v>
      </c>
      <c r="AJ215">
        <f>SUMIF('Как будет'!$A$17:$A$24,Доп.расчеты!$A215,'Как будет'!AK$17:AK$24)</f>
        <v>0</v>
      </c>
      <c r="AK215">
        <f>SUMIF('Как будет'!$A$17:$A$24,Доп.расчеты!$A215,'Как будет'!AL$17:AL$24)</f>
        <v>0</v>
      </c>
      <c r="AL215">
        <f>SUMIF('Как будет'!$A$17:$A$24,Доп.расчеты!$A215,'Как будет'!AM$17:AM$24)</f>
        <v>0</v>
      </c>
      <c r="AM215">
        <f>SUMIF('Как будет'!$A$17:$A$24,Доп.расчеты!$A215,'Как будет'!AN$17:AN$24)</f>
        <v>0</v>
      </c>
      <c r="AN215">
        <f>SUMIF('Как будет'!$A$17:$A$24,Доп.расчеты!$A215,'Как будет'!AO$17:AO$24)</f>
        <v>0</v>
      </c>
      <c r="AO215">
        <f>SUMIF('Как будет'!$A$17:$A$24,Доп.расчеты!$A215,'Как будет'!AP$17:AP$24)</f>
        <v>0</v>
      </c>
      <c r="AP215">
        <f>SUMIF('Как будет'!$A$17:$A$24,Доп.расчеты!$A215,'Как будет'!AQ$17:AQ$24)</f>
        <v>0</v>
      </c>
      <c r="AQ215">
        <f>SUMIF('Как будет'!$A$17:$A$24,Доп.расчеты!$A215,'Как будет'!AR$17:AR$24)</f>
        <v>0</v>
      </c>
      <c r="AR215">
        <f>SUMIF('Как будет'!$A$17:$A$24,Доп.расчеты!$A215,'Как будет'!AS$17:AS$24)</f>
        <v>0</v>
      </c>
      <c r="AS215">
        <f>SUMIF('Как будет'!$A$17:$A$24,Доп.расчеты!$A215,'Как будет'!AT$17:AT$24)</f>
        <v>0</v>
      </c>
      <c r="AT215">
        <f>SUMIF('Как будет'!$A$17:$A$24,Доп.расчеты!$A215,'Как будет'!AU$17:AU$24)</f>
        <v>0</v>
      </c>
      <c r="AU215">
        <f>SUMIF('Как будет'!$A$17:$A$24,Доп.расчеты!$A215,'Как будет'!AV$17:AV$24)</f>
        <v>0</v>
      </c>
      <c r="AV215">
        <f>SUMIF('Как будет'!$A$17:$A$24,Доп.расчеты!$A215,'Как будет'!AW$17:AW$24)</f>
        <v>0</v>
      </c>
      <c r="AW215">
        <f>SUMIF('Как будет'!$A$17:$A$24,Доп.расчеты!$A215,'Как будет'!AX$17:AX$24)</f>
        <v>0</v>
      </c>
      <c r="AX215">
        <f>SUMIF('Как будет'!$A$17:$A$24,Доп.расчеты!$A215,'Как будет'!AY$17:AY$24)</f>
        <v>0</v>
      </c>
      <c r="AY215">
        <f>SUMIF('Как будет'!$A$17:$A$24,Доп.расчеты!$A215,'Как будет'!AZ$17:AZ$24)</f>
        <v>0</v>
      </c>
      <c r="AZ215">
        <f>SUMIF('Как будет'!$A$17:$A$24,Доп.расчеты!$A215,'Как будет'!BA$17:BA$24)</f>
        <v>0</v>
      </c>
      <c r="BA215">
        <f>SUMIF('Как будет'!$A$17:$A$24,Доп.расчеты!$A215,'Как будет'!BB$17:BB$24)</f>
        <v>0</v>
      </c>
      <c r="BB215">
        <f>SUMIF('Как будет'!$A$17:$A$24,Доп.расчеты!$A215,'Как будет'!BC$17:BC$24)</f>
        <v>0</v>
      </c>
      <c r="BC215">
        <f>SUMIF('Как будет'!$A$17:$A$24,Доп.расчеты!$A215,'Как будет'!BD$17:BD$24)</f>
        <v>0</v>
      </c>
      <c r="BD215">
        <f>SUMIF('Как будет'!$A$17:$A$24,Доп.расчеты!$A215,'Как будет'!BE$17:BE$24)</f>
        <v>0</v>
      </c>
      <c r="BE215">
        <f>SUMIF('Как будет'!$A$17:$A$24,Доп.расчеты!$A215,'Как будет'!BF$17:BF$24)</f>
        <v>0</v>
      </c>
      <c r="BF215">
        <f>SUMIF('Как будет'!$A$17:$A$24,Доп.расчеты!$A215,'Как будет'!BG$17:BG$24)</f>
        <v>0</v>
      </c>
      <c r="BG215">
        <f>SUMIF('Как будет'!$A$17:$A$24,Доп.расчеты!$A215,'Как будет'!BH$17:BH$24)</f>
        <v>0</v>
      </c>
      <c r="BH215">
        <f>SUMIF('Как будет'!$A$17:$A$24,Доп.расчеты!$A215,'Как будет'!BI$17:BI$24)</f>
        <v>0</v>
      </c>
      <c r="BI215">
        <f>SUMIF('Как будет'!$A$17:$A$24,Доп.расчеты!$A215,'Как будет'!BJ$17:BJ$24)</f>
        <v>0</v>
      </c>
      <c r="BJ215">
        <f>SUMIF('Как будет'!$A$17:$A$24,Доп.расчеты!$A215,'Как будет'!BK$17:BK$24)</f>
        <v>0</v>
      </c>
      <c r="BK215">
        <f>SUMIF('Как будет'!$A$17:$A$24,Доп.расчеты!$A215,'Как будет'!BL$17:BL$24)</f>
        <v>0</v>
      </c>
      <c r="BL215">
        <f>SUMIF('Как будет'!$A$17:$A$24,Доп.расчеты!$A215,'Как будет'!BM$17:BM$24)</f>
        <v>0</v>
      </c>
      <c r="BM215">
        <f>SUMIF('Как будет'!$A$17:$A$24,Доп.расчеты!$A215,'Как будет'!BN$17:BN$24)</f>
        <v>0</v>
      </c>
      <c r="BN215">
        <f>SUMIF('Как будет'!$A$17:$A$24,Доп.расчеты!$A215,'Как будет'!BO$17:BO$24)</f>
        <v>0</v>
      </c>
      <c r="BO215">
        <f>SUMIF('Как будет'!$A$17:$A$24,Доп.расчеты!$A215,'Как будет'!BP$17:BP$24)</f>
        <v>0</v>
      </c>
      <c r="BP215">
        <f>SUMIF('Как будет'!$A$17:$A$24,Доп.расчеты!$A215,'Как будет'!BQ$17:BQ$24)</f>
        <v>0</v>
      </c>
      <c r="BQ215">
        <f>SUMIF('Как будет'!$A$17:$A$24,Доп.расчеты!$A215,'Как будет'!BR$17:BR$24)</f>
        <v>0</v>
      </c>
      <c r="BR215">
        <f>SUMIF('Как будет'!$A$17:$A$24,Доп.расчеты!$A215,'Как будет'!BS$17:BS$24)</f>
        <v>0</v>
      </c>
      <c r="BS215">
        <f>SUMIF('Как будет'!$A$17:$A$24,Доп.расчеты!$A215,'Как будет'!BT$17:BT$24)</f>
        <v>0</v>
      </c>
      <c r="BT215">
        <f>SUMIF('Как будет'!$A$17:$A$24,Доп.расчеты!$A215,'Как будет'!BU$17:BU$24)</f>
        <v>0</v>
      </c>
      <c r="BU215">
        <f>SUMIF('Как будет'!$A$17:$A$24,Доп.расчеты!$A215,'Как будет'!BV$17:BV$24)</f>
        <v>0</v>
      </c>
      <c r="BV215">
        <f>SUMIF('Как будет'!$A$17:$A$24,Доп.расчеты!$A215,'Как будет'!BW$17:BW$24)</f>
        <v>0</v>
      </c>
      <c r="BW215">
        <f>SUMIF('Как будет'!$A$17:$A$24,Доп.расчеты!$A215,'Как будет'!BX$17:BX$24)</f>
        <v>0</v>
      </c>
      <c r="BX215">
        <f>SUMIF('Как будет'!$A$17:$A$24,Доп.расчеты!$A215,'Как будет'!BY$17:BY$24)</f>
        <v>0</v>
      </c>
      <c r="BY215">
        <f>SUMIF('Как будет'!$A$17:$A$24,Доп.расчеты!$A215,'Как будет'!BZ$17:BZ$24)</f>
        <v>0</v>
      </c>
      <c r="BZ215">
        <f>SUMIF('Как будет'!$A$17:$A$24,Доп.расчеты!$A215,'Как будет'!CA$17:CA$24)</f>
        <v>0</v>
      </c>
      <c r="CA215">
        <f>SUMIF('Как будет'!$A$17:$A$24,Доп.расчеты!$A215,'Как будет'!CB$17:CB$24)</f>
        <v>0</v>
      </c>
      <c r="CB215">
        <f>SUMIF('Как будет'!$A$17:$A$24,Доп.расчеты!$A215,'Как будет'!CC$17:CC$24)</f>
        <v>0</v>
      </c>
      <c r="CC215">
        <f>SUMIF('Как будет'!$A$17:$A$24,Доп.расчеты!$A215,'Как будет'!CD$17:CD$24)</f>
        <v>0</v>
      </c>
      <c r="CD215">
        <f>SUMIF('Как будет'!$A$17:$A$24,Доп.расчеты!$A215,'Как будет'!CE$17:CE$24)</f>
        <v>0</v>
      </c>
      <c r="CE215">
        <f>SUMIF('Как будет'!$A$17:$A$24,Доп.расчеты!$A215,'Как будет'!CF$17:CF$24)</f>
        <v>0</v>
      </c>
      <c r="CF215">
        <f>SUMIF('Как будет'!$A$17:$A$24,Доп.расчеты!$A215,'Как будет'!CG$17:CG$24)</f>
        <v>0</v>
      </c>
      <c r="CG215">
        <f>SUMIF('Как будет'!$A$17:$A$24,Доп.расчеты!$A215,'Как будет'!CH$17:CH$24)</f>
        <v>0</v>
      </c>
      <c r="CH215">
        <f>SUMIF('Как будет'!$A$17:$A$24,Доп.расчеты!$A215,'Как будет'!CI$17:CI$24)</f>
        <v>0</v>
      </c>
      <c r="CI215">
        <f>SUMIF('Как будет'!$A$17:$A$24,Доп.расчеты!$A215,'Как будет'!CJ$17:CJ$24)</f>
        <v>0</v>
      </c>
      <c r="CJ215">
        <f>SUMIF('Как будет'!$A$17:$A$24,Доп.расчеты!$A215,'Как будет'!CK$17:CK$24)</f>
        <v>0</v>
      </c>
      <c r="CK215">
        <f>SUMIF('Как будет'!$A$17:$A$24,Доп.расчеты!$A215,'Как будет'!CL$17:CL$24)</f>
        <v>0</v>
      </c>
      <c r="CL215">
        <f>SUMIF('Как будет'!$A$17:$A$24,Доп.расчеты!$A215,'Как будет'!CM$17:CM$24)</f>
        <v>0</v>
      </c>
      <c r="CM215">
        <f>SUMIF('Как будет'!$A$17:$A$24,Доп.расчеты!$A215,'Как будет'!CN$17:CN$24)</f>
        <v>0</v>
      </c>
      <c r="CN215">
        <f>SUMIF('Как будет'!$A$17:$A$24,Доп.расчеты!$A215,'Как будет'!CO$17:CO$24)</f>
        <v>0</v>
      </c>
      <c r="CO215">
        <f>SUMIF('Как будет'!$A$17:$A$24,Доп.расчеты!$A215,'Как будет'!CP$17:CP$24)</f>
        <v>0</v>
      </c>
      <c r="CP215">
        <f>SUMIF('Как будет'!$A$17:$A$24,Доп.расчеты!$A215,'Как будет'!CQ$17:CQ$24)</f>
        <v>0</v>
      </c>
      <c r="CQ215">
        <f>SUMIF('Как будет'!$A$17:$A$24,Доп.расчеты!$A215,'Как будет'!CR$17:CR$24)</f>
        <v>0</v>
      </c>
      <c r="CR215">
        <f>SUMIF('Как будет'!$A$17:$A$24,Доп.расчеты!$A215,'Как будет'!CS$17:CS$24)</f>
        <v>0</v>
      </c>
      <c r="CS215">
        <f>SUMIF('Как будет'!$A$17:$A$24,Доп.расчеты!$A215,'Как будет'!CT$17:CT$24)</f>
        <v>0</v>
      </c>
      <c r="CT215">
        <f>SUMIF('Как будет'!$A$17:$A$24,Доп.расчеты!$A215,'Как будет'!CU$17:CU$24)</f>
        <v>0</v>
      </c>
      <c r="CU215">
        <f>SUMIF('Как будет'!$A$17:$A$24,Доп.расчеты!$A215,'Как будет'!CV$17:CV$24)</f>
        <v>0</v>
      </c>
      <c r="CV215">
        <f>SUMIF('Как будет'!$A$17:$A$24,Доп.расчеты!$A215,'Как будет'!CW$17:CW$24)</f>
        <v>0</v>
      </c>
      <c r="CW215">
        <f>SUMIF('Как будет'!$A$17:$A$24,Доп.расчеты!$A215,'Как будет'!CX$17:CX$24)</f>
        <v>0</v>
      </c>
      <c r="CX215">
        <f>SUMIF('Как будет'!$A$17:$A$24,Доп.расчеты!$A215,'Как будет'!CY$17:CY$24)</f>
        <v>0</v>
      </c>
      <c r="CY215">
        <f>SUMIF('Как будет'!$A$17:$A$24,Доп.расчеты!$A215,'Как будет'!CZ$17:CZ$24)</f>
        <v>0</v>
      </c>
      <c r="CZ215">
        <f>SUMIF('Как будет'!$A$17:$A$24,Доп.расчеты!$A215,'Как будет'!DA$17:DA$24)</f>
        <v>0</v>
      </c>
      <c r="DA215">
        <f>SUMIF('Как будет'!$A$17:$A$24,Доп.расчеты!$A215,'Как будет'!DB$17:DB$24)</f>
        <v>0</v>
      </c>
      <c r="DB215">
        <f>SUMIF('Как будет'!$A$17:$A$24,Доп.расчеты!$A215,'Как будет'!DC$17:DC$24)</f>
        <v>0</v>
      </c>
      <c r="DC215">
        <f>SUMIF('Как будет'!$A$17:$A$24,Доп.расчеты!$A215,'Как будет'!DD$17:DD$24)</f>
        <v>0</v>
      </c>
      <c r="DD215">
        <f>SUMIF('Как будет'!$A$17:$A$24,Доп.расчеты!$A215,'Как будет'!DE$17:DE$24)</f>
        <v>0</v>
      </c>
      <c r="DE215">
        <f>SUMIF('Как будет'!$A$17:$A$24,Доп.расчеты!$A215,'Как будет'!DF$17:DF$24)</f>
        <v>0</v>
      </c>
      <c r="DF215">
        <f>SUMIF('Как будет'!$A$17:$A$24,Доп.расчеты!$A215,'Как будет'!DG$17:DG$24)</f>
        <v>0</v>
      </c>
      <c r="DG215">
        <f>SUMIF('Как будет'!$A$17:$A$24,Доп.расчеты!$A215,'Как будет'!DH$17:DH$24)</f>
        <v>0</v>
      </c>
      <c r="DH215">
        <f>SUMIF('Как будет'!$A$17:$A$24,Доп.расчеты!$A215,'Как будет'!DI$17:DI$24)</f>
        <v>0</v>
      </c>
      <c r="DI215">
        <f>SUMIF('Как будет'!$A$17:$A$24,Доп.расчеты!$A215,'Как будет'!DJ$17:DJ$24)</f>
        <v>0</v>
      </c>
      <c r="DJ215">
        <f>SUMIF('Как будет'!$A$17:$A$24,Доп.расчеты!$A215,'Как будет'!DK$17:DK$24)</f>
        <v>0</v>
      </c>
      <c r="DK215">
        <f>SUMIF('Как будет'!$A$17:$A$24,Доп.расчеты!$A215,'Как будет'!DL$17:DL$24)</f>
        <v>0</v>
      </c>
      <c r="DL215">
        <f>SUMIF('Как будет'!$A$17:$A$24,Доп.расчеты!$A215,'Как будет'!DM$17:DM$24)</f>
        <v>0</v>
      </c>
      <c r="DM215">
        <f>SUMIF('Как будет'!$A$17:$A$24,Доп.расчеты!$A215,'Как будет'!DN$17:DN$24)</f>
        <v>0</v>
      </c>
      <c r="DN215">
        <f>SUMIF('Как будет'!$A$17:$A$24,Доп.расчеты!$A215,'Как будет'!DO$17:DO$24)</f>
        <v>0</v>
      </c>
      <c r="DO215">
        <f>SUMIF('Как будет'!$A$17:$A$24,Доп.расчеты!$A215,'Как будет'!DP$17:DP$24)</f>
        <v>0</v>
      </c>
      <c r="DP215">
        <f>SUMIF('Как будет'!$A$17:$A$24,Доп.расчеты!$A215,'Как будет'!DQ$17:DQ$24)</f>
        <v>0</v>
      </c>
      <c r="DQ215">
        <f>SUMIF('Как будет'!$A$17:$A$24,Доп.расчеты!$A215,'Как будет'!DR$17:DR$24)</f>
        <v>0</v>
      </c>
      <c r="DR215">
        <f>SUMIF('Как будет'!$A$17:$A$24,Доп.расчеты!$A215,'Как будет'!DS$17:DS$24)</f>
        <v>0</v>
      </c>
      <c r="DS215">
        <f>SUMIF('Как будет'!$A$17:$A$24,Доп.расчеты!$A215,'Как будет'!DT$17:DT$24)</f>
        <v>0</v>
      </c>
      <c r="DT215">
        <f>SUMIF('Как будет'!$A$17:$A$24,Доп.расчеты!$A215,'Как будет'!DU$17:DU$24)</f>
        <v>0</v>
      </c>
      <c r="DU215">
        <f>SUMIF('Как будет'!$A$17:$A$24,Доп.расчеты!$A215,'Как будет'!DV$17:DV$24)</f>
        <v>0</v>
      </c>
      <c r="DV215">
        <f>SUMIF('Как будет'!$A$17:$A$24,Доп.расчеты!$A215,'Как будет'!DW$17:DW$24)</f>
        <v>0</v>
      </c>
      <c r="DW215">
        <f>SUMIF('Как будет'!$A$17:$A$24,Доп.расчеты!$A215,'Как будет'!DX$17:DX$24)</f>
        <v>0</v>
      </c>
      <c r="DX215">
        <f>SUMIF('Как будет'!$A$17:$A$24,Доп.расчеты!$A215,'Как будет'!DY$17:DY$24)</f>
        <v>0</v>
      </c>
      <c r="DY215">
        <f>SUMIF('Как будет'!$A$17:$A$24,Доп.расчеты!$A215,'Как будет'!DZ$17:DZ$24)</f>
        <v>0</v>
      </c>
      <c r="DZ215">
        <f>SUMIF('Как будет'!$A$17:$A$24,Доп.расчеты!$A215,'Как будет'!EA$17:EA$24)</f>
        <v>0</v>
      </c>
      <c r="EA215">
        <f>SUMIF('Как будет'!$A$17:$A$24,Доп.расчеты!$A215,'Как будет'!EB$17:EB$24)</f>
        <v>0</v>
      </c>
      <c r="EB215">
        <f>SUMIF('Как будет'!$A$17:$A$24,Доп.расчеты!$A215,'Как будет'!EC$17:EC$24)</f>
        <v>0</v>
      </c>
      <c r="EC215">
        <f>SUMIF('Как будет'!$A$17:$A$24,Доп.расчеты!$A215,'Как будет'!ED$17:ED$24)</f>
        <v>0</v>
      </c>
      <c r="ED215">
        <f>SUMIF('Как будет'!$A$17:$A$24,Доп.расчеты!$A215,'Как будет'!EE$17:EE$24)</f>
        <v>0</v>
      </c>
      <c r="EE215">
        <f>SUMIF('Как будет'!$A$17:$A$24,Доп.расчеты!$A215,'Как будет'!EF$17:EF$24)</f>
        <v>0</v>
      </c>
      <c r="EF215">
        <f>SUMIF('Как будет'!$A$17:$A$24,Доп.расчеты!$A215,'Как будет'!EG$17:EG$24)</f>
        <v>0</v>
      </c>
      <c r="EG215">
        <f>SUMIF('Как будет'!$A$17:$A$24,Доп.расчеты!$A215,'Как будет'!EH$17:EH$24)</f>
        <v>0</v>
      </c>
      <c r="EH215">
        <f>SUMIF('Как будет'!$A$17:$A$24,Доп.расчеты!$A215,'Как будет'!EI$17:EI$24)</f>
        <v>0</v>
      </c>
      <c r="EI215">
        <f>SUMIF('Как будет'!$A$17:$A$24,Доп.расчеты!$A215,'Как будет'!EJ$17:EJ$24)</f>
        <v>0</v>
      </c>
      <c r="EJ215">
        <f>SUMIF('Как будет'!$A$17:$A$24,Доп.расчеты!$A215,'Как будет'!EK$17:EK$24)</f>
        <v>0</v>
      </c>
      <c r="EK215">
        <f>SUMIF('Как будет'!$A$17:$A$24,Доп.расчеты!$A215,'Как будет'!EL$17:EL$24)</f>
        <v>0</v>
      </c>
      <c r="EL215">
        <f>SUMIF('Как будет'!$A$17:$A$24,Доп.расчеты!$A215,'Как будет'!EM$17:EM$24)</f>
        <v>0</v>
      </c>
      <c r="EM215">
        <f>SUMIF('Как будет'!$A$17:$A$24,Доп.расчеты!$A215,'Как будет'!EN$17:EN$24)</f>
        <v>0</v>
      </c>
      <c r="EN215">
        <f>SUMIF('Как будет'!$A$17:$A$24,Доп.расчеты!$A215,'Как будет'!EO$17:EO$24)</f>
        <v>0</v>
      </c>
      <c r="EO215">
        <f>SUMIF('Как будет'!$A$17:$A$24,Доп.расчеты!$A215,'Как будет'!EP$17:EP$24)</f>
        <v>0</v>
      </c>
      <c r="EP215">
        <f>SUMIF('Как будет'!$A$17:$A$24,Доп.расчеты!$A215,'Как будет'!EQ$17:EQ$24)</f>
        <v>0</v>
      </c>
      <c r="EQ215">
        <f>SUMIF('Как будет'!$A$17:$A$24,Доп.расчеты!$A215,'Как будет'!ER$17:ER$24)</f>
        <v>0</v>
      </c>
      <c r="ER215">
        <f>SUMIF('Как будет'!$A$17:$A$24,Доп.расчеты!$A215,'Как будет'!ES$17:ES$24)</f>
        <v>0</v>
      </c>
      <c r="ES215">
        <f>SUMIF('Как будет'!$A$17:$A$24,Доп.расчеты!$A215,'Как будет'!ET$17:ET$24)</f>
        <v>0</v>
      </c>
      <c r="ET215">
        <f>SUMIF('Как будет'!$A$17:$A$24,Доп.расчеты!$A215,'Как будет'!EU$17:EU$24)</f>
        <v>0</v>
      </c>
      <c r="EU215">
        <f>SUMIF('Как будет'!$A$17:$A$24,Доп.расчеты!$A215,'Как будет'!EV$17:EV$24)</f>
        <v>0</v>
      </c>
      <c r="EV215">
        <f>SUMIF('Как будет'!$A$17:$A$24,Доп.расчеты!$A215,'Как будет'!EW$17:EW$24)</f>
        <v>0</v>
      </c>
      <c r="EW215">
        <f>SUMIF('Как будет'!$A$17:$A$24,Доп.расчеты!$A215,'Как будет'!EX$17:EX$24)</f>
        <v>0</v>
      </c>
      <c r="EX215">
        <f>SUMIF('Как будет'!$A$17:$A$24,Доп.расчеты!$A215,'Как будет'!EY$17:EY$24)</f>
        <v>0</v>
      </c>
      <c r="EY215">
        <f>SUMIF('Как будет'!$A$17:$A$24,Доп.расчеты!$A215,'Как будет'!EZ$17:EZ$24)</f>
        <v>0</v>
      </c>
      <c r="EZ215">
        <f>SUMIF('Как будет'!$A$17:$A$24,Доп.расчеты!$A215,'Как будет'!FA$17:FA$24)</f>
        <v>0</v>
      </c>
      <c r="FA215">
        <f>SUMIF('Как будет'!$A$17:$A$24,Доп.расчеты!$A215,'Как будет'!FB$17:FB$24)</f>
        <v>0</v>
      </c>
      <c r="FB215">
        <f>SUMIF('Как будет'!$A$17:$A$24,Доп.расчеты!$A215,'Как будет'!FC$17:FC$24)</f>
        <v>0</v>
      </c>
      <c r="FC215">
        <f>SUMIF('Как будет'!$A$17:$A$24,Доп.расчеты!$A215,'Как будет'!FD$17:FD$24)</f>
        <v>0</v>
      </c>
      <c r="FD215">
        <f>SUMIF('Как будет'!$A$17:$A$24,Доп.расчеты!$A215,'Как будет'!FE$17:FE$24)</f>
        <v>0</v>
      </c>
      <c r="FE215">
        <f>SUMIF('Как будет'!$A$17:$A$24,Доп.расчеты!$A215,'Как будет'!FF$17:FF$24)</f>
        <v>0</v>
      </c>
      <c r="FF215">
        <f>SUMIF('Как будет'!$A$17:$A$24,Доп.расчеты!$A215,'Как будет'!FG$17:FG$24)</f>
        <v>0</v>
      </c>
      <c r="FG215">
        <f>SUMIF('Как будет'!$A$17:$A$24,Доп.расчеты!$A215,'Как будет'!FH$17:FH$24)</f>
        <v>0</v>
      </c>
      <c r="FH215">
        <f>SUMIF('Как будет'!$A$17:$A$24,Доп.расчеты!$A215,'Как будет'!FI$17:FI$24)</f>
        <v>0</v>
      </c>
      <c r="FI215">
        <f>SUMIF('Как будет'!$A$17:$A$24,Доп.расчеты!$A215,'Как будет'!FJ$17:FJ$24)</f>
        <v>0</v>
      </c>
      <c r="FJ215">
        <f>SUMIF('Как будет'!$A$17:$A$24,Доп.расчеты!$A215,'Как будет'!FK$17:FK$24)</f>
        <v>0</v>
      </c>
      <c r="FK215">
        <f>SUMIF('Как будет'!$A$17:$A$24,Доп.расчеты!$A215,'Как будет'!FL$17:FL$24)</f>
        <v>0</v>
      </c>
      <c r="FL215">
        <f>SUMIF('Как будет'!$A$17:$A$24,Доп.расчеты!$A215,'Как будет'!FM$17:FM$24)</f>
        <v>0</v>
      </c>
      <c r="FM215">
        <f>SUMIF('Как будет'!$A$17:$A$24,Доп.расчеты!$A215,'Как будет'!FN$17:FN$24)</f>
        <v>0</v>
      </c>
      <c r="FN215">
        <f>SUMIF('Как будет'!$A$17:$A$24,Доп.расчеты!$A215,'Как будет'!FO$17:FO$24)</f>
        <v>0</v>
      </c>
      <c r="FO215">
        <f>SUMIF('Как будет'!$A$17:$A$24,Доп.расчеты!$A215,'Как будет'!FP$17:FP$24)</f>
        <v>0</v>
      </c>
      <c r="FP215">
        <f>SUMIF('Как будет'!$A$17:$A$24,Доп.расчеты!$A215,'Как будет'!FQ$17:FQ$24)</f>
        <v>0</v>
      </c>
      <c r="FQ215">
        <f>SUMIF('Как будет'!$A$17:$A$24,Доп.расчеты!$A215,'Как будет'!FR$17:FR$24)</f>
        <v>0</v>
      </c>
      <c r="FR215">
        <f>SUMIF('Как будет'!$A$17:$A$24,Доп.расчеты!$A215,'Как будет'!FS$17:FS$24)</f>
        <v>0</v>
      </c>
      <c r="FS215">
        <f>SUMIF('Как будет'!$A$17:$A$24,Доп.расчеты!$A215,'Как будет'!FT$17:FT$24)</f>
        <v>0</v>
      </c>
      <c r="FT215">
        <f>SUMIF('Как будет'!$A$17:$A$24,Доп.расчеты!$A215,'Как будет'!FU$17:FU$24)</f>
        <v>0</v>
      </c>
      <c r="FU215">
        <f>SUMIF('Как будет'!$A$17:$A$24,Доп.расчеты!$A215,'Как будет'!FV$17:FV$24)</f>
        <v>0</v>
      </c>
      <c r="FV215">
        <f>SUMIF('Как будет'!$A$17:$A$24,Доп.расчеты!$A215,'Как будет'!FW$17:FW$24)</f>
        <v>0</v>
      </c>
      <c r="FW215">
        <f>SUMIF('Как будет'!$A$17:$A$24,Доп.расчеты!$A215,'Как будет'!FX$17:FX$24)</f>
        <v>0</v>
      </c>
      <c r="FX215">
        <f>SUMIF('Как будет'!$A$17:$A$24,Доп.расчеты!$A215,'Как будет'!FY$17:FY$24)</f>
        <v>0</v>
      </c>
      <c r="FY215">
        <f>SUMIF('Как будет'!$A$17:$A$24,Доп.расчеты!$A215,'Как будет'!FZ$17:FZ$24)</f>
        <v>0</v>
      </c>
      <c r="FZ215">
        <f>SUMIF('Как будет'!$A$17:$A$24,Доп.расчеты!$A215,'Как будет'!GA$17:GA$24)</f>
        <v>0</v>
      </c>
      <c r="GA215">
        <f>SUMIF('Как будет'!$A$17:$A$24,Доп.расчеты!$A215,'Как будет'!GB$17:GB$24)</f>
        <v>0</v>
      </c>
      <c r="GB215">
        <f>SUMIF('Как будет'!$A$17:$A$24,Доп.расчеты!$A215,'Как будет'!GC$17:GC$24)</f>
        <v>0</v>
      </c>
      <c r="GC215">
        <f>SUMIF('Как будет'!$A$17:$A$24,Доп.расчеты!$A215,'Как будет'!GD$17:GD$24)</f>
        <v>0</v>
      </c>
      <c r="GD215">
        <f>SUMIF('Как будет'!$A$17:$A$24,Доп.расчеты!$A215,'Как будет'!GE$17:GE$24)</f>
        <v>0</v>
      </c>
      <c r="GE215">
        <f>SUMIF('Как будет'!$A$17:$A$24,Доп.расчеты!$A215,'Как будет'!GF$17:GF$24)</f>
        <v>0</v>
      </c>
      <c r="GF215">
        <f>SUMIF('Как будет'!$A$17:$A$24,Доп.расчеты!$A215,'Как будет'!GG$17:GG$24)</f>
        <v>0</v>
      </c>
      <c r="GG215">
        <f>SUMIF('Как будет'!$A$17:$A$24,Доп.расчеты!$A215,'Как будет'!GH$17:GH$24)</f>
        <v>0</v>
      </c>
      <c r="GH215">
        <f>SUMIF('Как будет'!$A$17:$A$24,Доп.расчеты!$A215,'Как будет'!GI$17:GI$24)</f>
        <v>0</v>
      </c>
      <c r="GI215">
        <f>SUMIF('Как будет'!$A$17:$A$24,Доп.расчеты!$A215,'Как будет'!GJ$17:GJ$24)</f>
        <v>0</v>
      </c>
      <c r="GJ215">
        <f>SUMIF('Как будет'!$A$17:$A$24,Доп.расчеты!$A215,'Как будет'!GK$17:GK$24)</f>
        <v>0</v>
      </c>
      <c r="GK215">
        <f>SUMIF('Как будет'!$A$17:$A$24,Доп.расчеты!$A215,'Как будет'!GL$17:GL$24)</f>
        <v>0</v>
      </c>
      <c r="GL215">
        <f>SUMIF('Как будет'!$A$17:$A$24,Доп.расчеты!$A215,'Как будет'!GM$17:GM$24)</f>
        <v>0</v>
      </c>
      <c r="GM215">
        <f>SUMIF('Как будет'!$A$17:$A$24,Доп.расчеты!$A215,'Как будет'!GN$17:GN$24)</f>
        <v>0</v>
      </c>
      <c r="GN215">
        <f>SUMIF('Как будет'!$A$17:$A$24,Доп.расчеты!$A215,'Как будет'!GO$17:GO$24)</f>
        <v>0</v>
      </c>
      <c r="GO215">
        <f>SUMIF('Как будет'!$A$17:$A$24,Доп.расчеты!$A215,'Как будет'!GP$17:GP$24)</f>
        <v>0</v>
      </c>
      <c r="GP215">
        <f>SUMIF('Как будет'!$A$17:$A$24,Доп.расчеты!$A215,'Как будет'!GQ$17:GQ$24)</f>
        <v>0</v>
      </c>
      <c r="GQ215">
        <f>SUMIF('Как будет'!$A$17:$A$24,Доп.расчеты!$A215,'Как будет'!GR$17:GR$24)</f>
        <v>0</v>
      </c>
      <c r="GR215">
        <f>SUMIF('Как будет'!$A$17:$A$24,Доп.расчеты!$A215,'Как будет'!GS$17:GS$24)</f>
        <v>0</v>
      </c>
      <c r="GS215">
        <f>SUMIF('Как будет'!$A$17:$A$24,Доп.расчеты!$A215,'Как будет'!GT$17:GT$24)</f>
        <v>0</v>
      </c>
      <c r="GT215">
        <f>SUMIF('Как будет'!$A$17:$A$24,Доп.расчеты!$A215,'Как будет'!GU$17:GU$24)</f>
        <v>0</v>
      </c>
    </row>
    <row r="216" spans="1:202">
      <c r="A216" s="238" t="s">
        <v>111</v>
      </c>
      <c r="B216">
        <f>SUMIF('Как будет'!$A$17:$A$24,Доп.расчеты!$A216,'Как будет'!C$17:C$24)</f>
        <v>0</v>
      </c>
      <c r="C216">
        <f>SUMIF('Как будет'!$A$17:$A$24,Доп.расчеты!$A216,'Как будет'!D$17:D$24)</f>
        <v>0</v>
      </c>
      <c r="D216">
        <f>SUMIF('Как будет'!$A$17:$A$24,Доп.расчеты!$A216,'Как будет'!E$17:E$24)</f>
        <v>0</v>
      </c>
      <c r="E216">
        <f>SUMIF('Как будет'!$A$17:$A$24,Доп.расчеты!$A216,'Как будет'!F$17:F$24)</f>
        <v>0</v>
      </c>
      <c r="F216">
        <f>SUMIF('Как будет'!$A$17:$A$24,Доп.расчеты!$A216,'Как будет'!G$17:G$24)</f>
        <v>0</v>
      </c>
      <c r="G216">
        <f>SUMIF('Как будет'!$A$17:$A$24,Доп.расчеты!$A216,'Как будет'!H$17:H$24)</f>
        <v>0</v>
      </c>
      <c r="H216">
        <f>SUMIF('Как будет'!$A$17:$A$24,Доп.расчеты!$A216,'Как будет'!I$17:I$24)</f>
        <v>0</v>
      </c>
      <c r="I216">
        <f>SUMIF('Как будет'!$A$17:$A$24,Доп.расчеты!$A216,'Как будет'!J$17:J$24)</f>
        <v>0</v>
      </c>
      <c r="J216">
        <f>SUMIF('Как будет'!$A$17:$A$24,Доп.расчеты!$A216,'Как будет'!K$17:K$24)</f>
        <v>0</v>
      </c>
      <c r="K216">
        <f>SUMIF('Как будет'!$A$17:$A$24,Доп.расчеты!$A216,'Как будет'!L$17:L$24)</f>
        <v>0</v>
      </c>
      <c r="L216">
        <f>SUMIF('Как будет'!$A$17:$A$24,Доп.расчеты!$A216,'Как будет'!M$17:M$24)</f>
        <v>0</v>
      </c>
      <c r="M216">
        <f>SUMIF('Как будет'!$A$17:$A$24,Доп.расчеты!$A216,'Как будет'!N$17:N$24)</f>
        <v>0</v>
      </c>
      <c r="N216">
        <f>SUMIF('Как будет'!$A$17:$A$24,Доп.расчеты!$A216,'Как будет'!O$17:O$24)</f>
        <v>0</v>
      </c>
      <c r="O216">
        <f>SUMIF('Как будет'!$A$17:$A$24,Доп.расчеты!$A216,'Как будет'!P$17:P$24)</f>
        <v>0</v>
      </c>
      <c r="P216">
        <f>SUMIF('Как будет'!$A$17:$A$24,Доп.расчеты!$A216,'Как будет'!Q$17:Q$24)</f>
        <v>0</v>
      </c>
      <c r="Q216">
        <f>SUMIF('Как будет'!$A$17:$A$24,Доп.расчеты!$A216,'Как будет'!R$17:R$24)</f>
        <v>0</v>
      </c>
      <c r="R216">
        <f>SUMIF('Как будет'!$A$17:$A$24,Доп.расчеты!$A216,'Как будет'!S$17:S$24)</f>
        <v>0</v>
      </c>
      <c r="S216">
        <f>SUMIF('Как будет'!$A$17:$A$24,Доп.расчеты!$A216,'Как будет'!T$17:T$24)</f>
        <v>0</v>
      </c>
      <c r="T216">
        <f>SUMIF('Как будет'!$A$17:$A$24,Доп.расчеты!$A216,'Как будет'!U$17:U$24)</f>
        <v>0</v>
      </c>
      <c r="U216">
        <f>SUMIF('Как будет'!$A$17:$A$24,Доп.расчеты!$A216,'Как будет'!V$17:V$24)</f>
        <v>0</v>
      </c>
      <c r="V216">
        <f>SUMIF('Как будет'!$A$17:$A$24,Доп.расчеты!$A216,'Как будет'!W$17:W$24)</f>
        <v>0</v>
      </c>
      <c r="W216">
        <f>SUMIF('Как будет'!$A$17:$A$24,Доп.расчеты!$A216,'Как будет'!X$17:X$24)</f>
        <v>0</v>
      </c>
      <c r="X216">
        <f>SUMIF('Как будет'!$A$17:$A$24,Доп.расчеты!$A216,'Как будет'!Y$17:Y$24)</f>
        <v>0</v>
      </c>
      <c r="Y216">
        <f>SUMIF('Как будет'!$A$17:$A$24,Доп.расчеты!$A216,'Как будет'!Z$17:Z$24)</f>
        <v>0</v>
      </c>
      <c r="Z216">
        <f>SUMIF('Как будет'!$A$17:$A$24,Доп.расчеты!$A216,'Как будет'!AA$17:AA$24)</f>
        <v>0</v>
      </c>
      <c r="AA216">
        <f>SUMIF('Как будет'!$A$17:$A$24,Доп.расчеты!$A216,'Как будет'!AB$17:AB$24)</f>
        <v>0</v>
      </c>
      <c r="AB216">
        <f>SUMIF('Как будет'!$A$17:$A$24,Доп.расчеты!$A216,'Как будет'!AC$17:AC$24)</f>
        <v>0</v>
      </c>
      <c r="AC216">
        <f>SUMIF('Как будет'!$A$17:$A$24,Доп.расчеты!$A216,'Как будет'!AD$17:AD$24)</f>
        <v>0</v>
      </c>
      <c r="AD216">
        <f>SUMIF('Как будет'!$A$17:$A$24,Доп.расчеты!$A216,'Как будет'!AE$17:AE$24)</f>
        <v>0</v>
      </c>
      <c r="AE216">
        <f>SUMIF('Как будет'!$A$17:$A$24,Доп.расчеты!$A216,'Как будет'!AF$17:AF$24)</f>
        <v>0</v>
      </c>
      <c r="AF216">
        <f>SUMIF('Как будет'!$A$17:$A$24,Доп.расчеты!$A216,'Как будет'!AG$17:AG$24)</f>
        <v>0</v>
      </c>
      <c r="AG216">
        <f>SUMIF('Как будет'!$A$17:$A$24,Доп.расчеты!$A216,'Как будет'!AH$17:AH$24)</f>
        <v>0</v>
      </c>
      <c r="AH216">
        <f>SUMIF('Как будет'!$A$17:$A$24,Доп.расчеты!$A216,'Как будет'!AI$17:AI$24)</f>
        <v>0</v>
      </c>
      <c r="AI216">
        <f>SUMIF('Как будет'!$A$17:$A$24,Доп.расчеты!$A216,'Как будет'!AJ$17:AJ$24)</f>
        <v>0</v>
      </c>
      <c r="AJ216">
        <f>SUMIF('Как будет'!$A$17:$A$24,Доп.расчеты!$A216,'Как будет'!AK$17:AK$24)</f>
        <v>0</v>
      </c>
      <c r="AK216">
        <f>SUMIF('Как будет'!$A$17:$A$24,Доп.расчеты!$A216,'Как будет'!AL$17:AL$24)</f>
        <v>0</v>
      </c>
      <c r="AL216">
        <f>SUMIF('Как будет'!$A$17:$A$24,Доп.расчеты!$A216,'Как будет'!AM$17:AM$24)</f>
        <v>0</v>
      </c>
      <c r="AM216">
        <f>SUMIF('Как будет'!$A$17:$A$24,Доп.расчеты!$A216,'Как будет'!AN$17:AN$24)</f>
        <v>0</v>
      </c>
      <c r="AN216">
        <f>SUMIF('Как будет'!$A$17:$A$24,Доп.расчеты!$A216,'Как будет'!AO$17:AO$24)</f>
        <v>0</v>
      </c>
      <c r="AO216">
        <f>SUMIF('Как будет'!$A$17:$A$24,Доп.расчеты!$A216,'Как будет'!AP$17:AP$24)</f>
        <v>0</v>
      </c>
      <c r="AP216">
        <f>SUMIF('Как будет'!$A$17:$A$24,Доп.расчеты!$A216,'Как будет'!AQ$17:AQ$24)</f>
        <v>0</v>
      </c>
      <c r="AQ216">
        <f>SUMIF('Как будет'!$A$17:$A$24,Доп.расчеты!$A216,'Как будет'!AR$17:AR$24)</f>
        <v>0</v>
      </c>
      <c r="AR216">
        <f>SUMIF('Как будет'!$A$17:$A$24,Доп.расчеты!$A216,'Как будет'!AS$17:AS$24)</f>
        <v>0</v>
      </c>
      <c r="AS216">
        <f>SUMIF('Как будет'!$A$17:$A$24,Доп.расчеты!$A216,'Как будет'!AT$17:AT$24)</f>
        <v>0</v>
      </c>
      <c r="AT216">
        <f>SUMIF('Как будет'!$A$17:$A$24,Доп.расчеты!$A216,'Как будет'!AU$17:AU$24)</f>
        <v>0</v>
      </c>
      <c r="AU216">
        <f>SUMIF('Как будет'!$A$17:$A$24,Доп.расчеты!$A216,'Как будет'!AV$17:AV$24)</f>
        <v>0</v>
      </c>
      <c r="AV216">
        <f>SUMIF('Как будет'!$A$17:$A$24,Доп.расчеты!$A216,'Как будет'!AW$17:AW$24)</f>
        <v>0</v>
      </c>
      <c r="AW216">
        <f>SUMIF('Как будет'!$A$17:$A$24,Доп.расчеты!$A216,'Как будет'!AX$17:AX$24)</f>
        <v>0</v>
      </c>
      <c r="AX216">
        <f>SUMIF('Как будет'!$A$17:$A$24,Доп.расчеты!$A216,'Как будет'!AY$17:AY$24)</f>
        <v>0</v>
      </c>
      <c r="AY216">
        <f>SUMIF('Как будет'!$A$17:$A$24,Доп.расчеты!$A216,'Как будет'!AZ$17:AZ$24)</f>
        <v>0</v>
      </c>
      <c r="AZ216">
        <f>SUMIF('Как будет'!$A$17:$A$24,Доп.расчеты!$A216,'Как будет'!BA$17:BA$24)</f>
        <v>0</v>
      </c>
      <c r="BA216">
        <f>SUMIF('Как будет'!$A$17:$A$24,Доп.расчеты!$A216,'Как будет'!BB$17:BB$24)</f>
        <v>0</v>
      </c>
      <c r="BB216">
        <f>SUMIF('Как будет'!$A$17:$A$24,Доп.расчеты!$A216,'Как будет'!BC$17:BC$24)</f>
        <v>0</v>
      </c>
      <c r="BC216">
        <f>SUMIF('Как будет'!$A$17:$A$24,Доп.расчеты!$A216,'Как будет'!BD$17:BD$24)</f>
        <v>0</v>
      </c>
      <c r="BD216">
        <f>SUMIF('Как будет'!$A$17:$A$24,Доп.расчеты!$A216,'Как будет'!BE$17:BE$24)</f>
        <v>0</v>
      </c>
      <c r="BE216">
        <f>SUMIF('Как будет'!$A$17:$A$24,Доп.расчеты!$A216,'Как будет'!BF$17:BF$24)</f>
        <v>0</v>
      </c>
      <c r="BF216">
        <f>SUMIF('Как будет'!$A$17:$A$24,Доп.расчеты!$A216,'Как будет'!BG$17:BG$24)</f>
        <v>0</v>
      </c>
      <c r="BG216">
        <f>SUMIF('Как будет'!$A$17:$A$24,Доп.расчеты!$A216,'Как будет'!BH$17:BH$24)</f>
        <v>0</v>
      </c>
      <c r="BH216">
        <f>SUMIF('Как будет'!$A$17:$A$24,Доп.расчеты!$A216,'Как будет'!BI$17:BI$24)</f>
        <v>0</v>
      </c>
      <c r="BI216">
        <f>SUMIF('Как будет'!$A$17:$A$24,Доп.расчеты!$A216,'Как будет'!BJ$17:BJ$24)</f>
        <v>0</v>
      </c>
      <c r="BJ216">
        <f>SUMIF('Как будет'!$A$17:$A$24,Доп.расчеты!$A216,'Как будет'!BK$17:BK$24)</f>
        <v>0</v>
      </c>
      <c r="BK216">
        <f>SUMIF('Как будет'!$A$17:$A$24,Доп.расчеты!$A216,'Как будет'!BL$17:BL$24)</f>
        <v>0</v>
      </c>
      <c r="BL216">
        <f>SUMIF('Как будет'!$A$17:$A$24,Доп.расчеты!$A216,'Как будет'!BM$17:BM$24)</f>
        <v>0</v>
      </c>
      <c r="BM216">
        <f>SUMIF('Как будет'!$A$17:$A$24,Доп.расчеты!$A216,'Как будет'!BN$17:BN$24)</f>
        <v>0</v>
      </c>
      <c r="BN216">
        <f>SUMIF('Как будет'!$A$17:$A$24,Доп.расчеты!$A216,'Как будет'!BO$17:BO$24)</f>
        <v>0</v>
      </c>
      <c r="BO216">
        <f>SUMIF('Как будет'!$A$17:$A$24,Доп.расчеты!$A216,'Как будет'!BP$17:BP$24)</f>
        <v>0</v>
      </c>
      <c r="BP216">
        <f>SUMIF('Как будет'!$A$17:$A$24,Доп.расчеты!$A216,'Как будет'!BQ$17:BQ$24)</f>
        <v>0</v>
      </c>
      <c r="BQ216">
        <f>SUMIF('Как будет'!$A$17:$A$24,Доп.расчеты!$A216,'Как будет'!BR$17:BR$24)</f>
        <v>0</v>
      </c>
      <c r="BR216">
        <f>SUMIF('Как будет'!$A$17:$A$24,Доп.расчеты!$A216,'Как будет'!BS$17:BS$24)</f>
        <v>0</v>
      </c>
      <c r="BS216">
        <f>SUMIF('Как будет'!$A$17:$A$24,Доп.расчеты!$A216,'Как будет'!BT$17:BT$24)</f>
        <v>0</v>
      </c>
      <c r="BT216">
        <f>SUMIF('Как будет'!$A$17:$A$24,Доп.расчеты!$A216,'Как будет'!BU$17:BU$24)</f>
        <v>0</v>
      </c>
      <c r="BU216">
        <f>SUMIF('Как будет'!$A$17:$A$24,Доп.расчеты!$A216,'Как будет'!BV$17:BV$24)</f>
        <v>0</v>
      </c>
      <c r="BV216">
        <f>SUMIF('Как будет'!$A$17:$A$24,Доп.расчеты!$A216,'Как будет'!BW$17:BW$24)</f>
        <v>0</v>
      </c>
      <c r="BW216">
        <f>SUMIF('Как будет'!$A$17:$A$24,Доп.расчеты!$A216,'Как будет'!BX$17:BX$24)</f>
        <v>0</v>
      </c>
      <c r="BX216">
        <f>SUMIF('Как будет'!$A$17:$A$24,Доп.расчеты!$A216,'Как будет'!BY$17:BY$24)</f>
        <v>0</v>
      </c>
      <c r="BY216">
        <f>SUMIF('Как будет'!$A$17:$A$24,Доп.расчеты!$A216,'Как будет'!BZ$17:BZ$24)</f>
        <v>0</v>
      </c>
      <c r="BZ216">
        <f>SUMIF('Как будет'!$A$17:$A$24,Доп.расчеты!$A216,'Как будет'!CA$17:CA$24)</f>
        <v>0</v>
      </c>
      <c r="CA216">
        <f>SUMIF('Как будет'!$A$17:$A$24,Доп.расчеты!$A216,'Как будет'!CB$17:CB$24)</f>
        <v>0</v>
      </c>
      <c r="CB216">
        <f>SUMIF('Как будет'!$A$17:$A$24,Доп.расчеты!$A216,'Как будет'!CC$17:CC$24)</f>
        <v>0</v>
      </c>
      <c r="CC216">
        <f>SUMIF('Как будет'!$A$17:$A$24,Доп.расчеты!$A216,'Как будет'!CD$17:CD$24)</f>
        <v>0</v>
      </c>
      <c r="CD216">
        <f>SUMIF('Как будет'!$A$17:$A$24,Доп.расчеты!$A216,'Как будет'!CE$17:CE$24)</f>
        <v>0</v>
      </c>
      <c r="CE216">
        <f>SUMIF('Как будет'!$A$17:$A$24,Доп.расчеты!$A216,'Как будет'!CF$17:CF$24)</f>
        <v>0</v>
      </c>
      <c r="CF216">
        <f>SUMIF('Как будет'!$A$17:$A$24,Доп.расчеты!$A216,'Как будет'!CG$17:CG$24)</f>
        <v>0</v>
      </c>
      <c r="CG216">
        <f>SUMIF('Как будет'!$A$17:$A$24,Доп.расчеты!$A216,'Как будет'!CH$17:CH$24)</f>
        <v>0</v>
      </c>
      <c r="CH216">
        <f>SUMIF('Как будет'!$A$17:$A$24,Доп.расчеты!$A216,'Как будет'!CI$17:CI$24)</f>
        <v>0</v>
      </c>
      <c r="CI216">
        <f>SUMIF('Как будет'!$A$17:$A$24,Доп.расчеты!$A216,'Как будет'!CJ$17:CJ$24)</f>
        <v>0</v>
      </c>
      <c r="CJ216">
        <f>SUMIF('Как будет'!$A$17:$A$24,Доп.расчеты!$A216,'Как будет'!CK$17:CK$24)</f>
        <v>0</v>
      </c>
      <c r="CK216">
        <f>SUMIF('Как будет'!$A$17:$A$24,Доп.расчеты!$A216,'Как будет'!CL$17:CL$24)</f>
        <v>0</v>
      </c>
      <c r="CL216">
        <f>SUMIF('Как будет'!$A$17:$A$24,Доп.расчеты!$A216,'Как будет'!CM$17:CM$24)</f>
        <v>0</v>
      </c>
      <c r="CM216">
        <f>SUMIF('Как будет'!$A$17:$A$24,Доп.расчеты!$A216,'Как будет'!CN$17:CN$24)</f>
        <v>0</v>
      </c>
      <c r="CN216">
        <f>SUMIF('Как будет'!$A$17:$A$24,Доп.расчеты!$A216,'Как будет'!CO$17:CO$24)</f>
        <v>0</v>
      </c>
      <c r="CO216">
        <f>SUMIF('Как будет'!$A$17:$A$24,Доп.расчеты!$A216,'Как будет'!CP$17:CP$24)</f>
        <v>0</v>
      </c>
      <c r="CP216">
        <f>SUMIF('Как будет'!$A$17:$A$24,Доп.расчеты!$A216,'Как будет'!CQ$17:CQ$24)</f>
        <v>0</v>
      </c>
      <c r="CQ216">
        <f>SUMIF('Как будет'!$A$17:$A$24,Доп.расчеты!$A216,'Как будет'!CR$17:CR$24)</f>
        <v>0</v>
      </c>
      <c r="CR216">
        <f>SUMIF('Как будет'!$A$17:$A$24,Доп.расчеты!$A216,'Как будет'!CS$17:CS$24)</f>
        <v>0</v>
      </c>
      <c r="CS216">
        <f>SUMIF('Как будет'!$A$17:$A$24,Доп.расчеты!$A216,'Как будет'!CT$17:CT$24)</f>
        <v>0</v>
      </c>
      <c r="CT216">
        <f>SUMIF('Как будет'!$A$17:$A$24,Доп.расчеты!$A216,'Как будет'!CU$17:CU$24)</f>
        <v>0</v>
      </c>
      <c r="CU216">
        <f>SUMIF('Как будет'!$A$17:$A$24,Доп.расчеты!$A216,'Как будет'!CV$17:CV$24)</f>
        <v>0</v>
      </c>
      <c r="CV216">
        <f>SUMIF('Как будет'!$A$17:$A$24,Доп.расчеты!$A216,'Как будет'!CW$17:CW$24)</f>
        <v>0</v>
      </c>
      <c r="CW216">
        <f>SUMIF('Как будет'!$A$17:$A$24,Доп.расчеты!$A216,'Как будет'!CX$17:CX$24)</f>
        <v>0</v>
      </c>
      <c r="CX216">
        <f>SUMIF('Как будет'!$A$17:$A$24,Доп.расчеты!$A216,'Как будет'!CY$17:CY$24)</f>
        <v>0</v>
      </c>
      <c r="CY216">
        <f>SUMIF('Как будет'!$A$17:$A$24,Доп.расчеты!$A216,'Как будет'!CZ$17:CZ$24)</f>
        <v>0</v>
      </c>
      <c r="CZ216">
        <f>SUMIF('Как будет'!$A$17:$A$24,Доп.расчеты!$A216,'Как будет'!DA$17:DA$24)</f>
        <v>0</v>
      </c>
      <c r="DA216">
        <f>SUMIF('Как будет'!$A$17:$A$24,Доп.расчеты!$A216,'Как будет'!DB$17:DB$24)</f>
        <v>0</v>
      </c>
      <c r="DB216">
        <f>SUMIF('Как будет'!$A$17:$A$24,Доп.расчеты!$A216,'Как будет'!DC$17:DC$24)</f>
        <v>0</v>
      </c>
      <c r="DC216">
        <f>SUMIF('Как будет'!$A$17:$A$24,Доп.расчеты!$A216,'Как будет'!DD$17:DD$24)</f>
        <v>0</v>
      </c>
      <c r="DD216">
        <f>SUMIF('Как будет'!$A$17:$A$24,Доп.расчеты!$A216,'Как будет'!DE$17:DE$24)</f>
        <v>0</v>
      </c>
      <c r="DE216">
        <f>SUMIF('Как будет'!$A$17:$A$24,Доп.расчеты!$A216,'Как будет'!DF$17:DF$24)</f>
        <v>0</v>
      </c>
      <c r="DF216">
        <f>SUMIF('Как будет'!$A$17:$A$24,Доп.расчеты!$A216,'Как будет'!DG$17:DG$24)</f>
        <v>0</v>
      </c>
      <c r="DG216">
        <f>SUMIF('Как будет'!$A$17:$A$24,Доп.расчеты!$A216,'Как будет'!DH$17:DH$24)</f>
        <v>0</v>
      </c>
      <c r="DH216">
        <f>SUMIF('Как будет'!$A$17:$A$24,Доп.расчеты!$A216,'Как будет'!DI$17:DI$24)</f>
        <v>0</v>
      </c>
      <c r="DI216">
        <f>SUMIF('Как будет'!$A$17:$A$24,Доп.расчеты!$A216,'Как будет'!DJ$17:DJ$24)</f>
        <v>0</v>
      </c>
      <c r="DJ216">
        <f>SUMIF('Как будет'!$A$17:$A$24,Доп.расчеты!$A216,'Как будет'!DK$17:DK$24)</f>
        <v>0</v>
      </c>
      <c r="DK216">
        <f>SUMIF('Как будет'!$A$17:$A$24,Доп.расчеты!$A216,'Как будет'!DL$17:DL$24)</f>
        <v>0</v>
      </c>
      <c r="DL216">
        <f>SUMIF('Как будет'!$A$17:$A$24,Доп.расчеты!$A216,'Как будет'!DM$17:DM$24)</f>
        <v>0</v>
      </c>
      <c r="DM216">
        <f>SUMIF('Как будет'!$A$17:$A$24,Доп.расчеты!$A216,'Как будет'!DN$17:DN$24)</f>
        <v>0</v>
      </c>
      <c r="DN216">
        <f>SUMIF('Как будет'!$A$17:$A$24,Доп.расчеты!$A216,'Как будет'!DO$17:DO$24)</f>
        <v>0</v>
      </c>
      <c r="DO216">
        <f>SUMIF('Как будет'!$A$17:$A$24,Доп.расчеты!$A216,'Как будет'!DP$17:DP$24)</f>
        <v>0</v>
      </c>
      <c r="DP216">
        <f>SUMIF('Как будет'!$A$17:$A$24,Доп.расчеты!$A216,'Как будет'!DQ$17:DQ$24)</f>
        <v>0</v>
      </c>
      <c r="DQ216">
        <f>SUMIF('Как будет'!$A$17:$A$24,Доп.расчеты!$A216,'Как будет'!DR$17:DR$24)</f>
        <v>0</v>
      </c>
      <c r="DR216">
        <f>SUMIF('Как будет'!$A$17:$A$24,Доп.расчеты!$A216,'Как будет'!DS$17:DS$24)</f>
        <v>0</v>
      </c>
      <c r="DS216">
        <f>SUMIF('Как будет'!$A$17:$A$24,Доп.расчеты!$A216,'Как будет'!DT$17:DT$24)</f>
        <v>0</v>
      </c>
      <c r="DT216">
        <f>SUMIF('Как будет'!$A$17:$A$24,Доп.расчеты!$A216,'Как будет'!DU$17:DU$24)</f>
        <v>0</v>
      </c>
      <c r="DU216">
        <f>SUMIF('Как будет'!$A$17:$A$24,Доп.расчеты!$A216,'Как будет'!DV$17:DV$24)</f>
        <v>0</v>
      </c>
      <c r="DV216">
        <f>SUMIF('Как будет'!$A$17:$A$24,Доп.расчеты!$A216,'Как будет'!DW$17:DW$24)</f>
        <v>0</v>
      </c>
      <c r="DW216">
        <f>SUMIF('Как будет'!$A$17:$A$24,Доп.расчеты!$A216,'Как будет'!DX$17:DX$24)</f>
        <v>0</v>
      </c>
      <c r="DX216">
        <f>SUMIF('Как будет'!$A$17:$A$24,Доп.расчеты!$A216,'Как будет'!DY$17:DY$24)</f>
        <v>0</v>
      </c>
      <c r="DY216">
        <f>SUMIF('Как будет'!$A$17:$A$24,Доп.расчеты!$A216,'Как будет'!DZ$17:DZ$24)</f>
        <v>0</v>
      </c>
      <c r="DZ216">
        <f>SUMIF('Как будет'!$A$17:$A$24,Доп.расчеты!$A216,'Как будет'!EA$17:EA$24)</f>
        <v>0</v>
      </c>
      <c r="EA216">
        <f>SUMIF('Как будет'!$A$17:$A$24,Доп.расчеты!$A216,'Как будет'!EB$17:EB$24)</f>
        <v>0</v>
      </c>
      <c r="EB216">
        <f>SUMIF('Как будет'!$A$17:$A$24,Доп.расчеты!$A216,'Как будет'!EC$17:EC$24)</f>
        <v>0</v>
      </c>
      <c r="EC216">
        <f>SUMIF('Как будет'!$A$17:$A$24,Доп.расчеты!$A216,'Как будет'!ED$17:ED$24)</f>
        <v>0</v>
      </c>
      <c r="ED216">
        <f>SUMIF('Как будет'!$A$17:$A$24,Доп.расчеты!$A216,'Как будет'!EE$17:EE$24)</f>
        <v>0</v>
      </c>
      <c r="EE216">
        <f>SUMIF('Как будет'!$A$17:$A$24,Доп.расчеты!$A216,'Как будет'!EF$17:EF$24)</f>
        <v>0</v>
      </c>
      <c r="EF216">
        <f>SUMIF('Как будет'!$A$17:$A$24,Доп.расчеты!$A216,'Как будет'!EG$17:EG$24)</f>
        <v>0</v>
      </c>
      <c r="EG216">
        <f>SUMIF('Как будет'!$A$17:$A$24,Доп.расчеты!$A216,'Как будет'!EH$17:EH$24)</f>
        <v>0</v>
      </c>
      <c r="EH216">
        <f>SUMIF('Как будет'!$A$17:$A$24,Доп.расчеты!$A216,'Как будет'!EI$17:EI$24)</f>
        <v>0</v>
      </c>
      <c r="EI216">
        <f>SUMIF('Как будет'!$A$17:$A$24,Доп.расчеты!$A216,'Как будет'!EJ$17:EJ$24)</f>
        <v>0</v>
      </c>
      <c r="EJ216">
        <f>SUMIF('Как будет'!$A$17:$A$24,Доп.расчеты!$A216,'Как будет'!EK$17:EK$24)</f>
        <v>0</v>
      </c>
      <c r="EK216">
        <f>SUMIF('Как будет'!$A$17:$A$24,Доп.расчеты!$A216,'Как будет'!EL$17:EL$24)</f>
        <v>0</v>
      </c>
      <c r="EL216">
        <f>SUMIF('Как будет'!$A$17:$A$24,Доп.расчеты!$A216,'Как будет'!EM$17:EM$24)</f>
        <v>0</v>
      </c>
      <c r="EM216">
        <f>SUMIF('Как будет'!$A$17:$A$24,Доп.расчеты!$A216,'Как будет'!EN$17:EN$24)</f>
        <v>0</v>
      </c>
      <c r="EN216">
        <f>SUMIF('Как будет'!$A$17:$A$24,Доп.расчеты!$A216,'Как будет'!EO$17:EO$24)</f>
        <v>0</v>
      </c>
      <c r="EO216">
        <f>SUMIF('Как будет'!$A$17:$A$24,Доп.расчеты!$A216,'Как будет'!EP$17:EP$24)</f>
        <v>0</v>
      </c>
      <c r="EP216">
        <f>SUMIF('Как будет'!$A$17:$A$24,Доп.расчеты!$A216,'Как будет'!EQ$17:EQ$24)</f>
        <v>0</v>
      </c>
      <c r="EQ216">
        <f>SUMIF('Как будет'!$A$17:$A$24,Доп.расчеты!$A216,'Как будет'!ER$17:ER$24)</f>
        <v>0</v>
      </c>
      <c r="ER216">
        <f>SUMIF('Как будет'!$A$17:$A$24,Доп.расчеты!$A216,'Как будет'!ES$17:ES$24)</f>
        <v>0</v>
      </c>
      <c r="ES216">
        <f>SUMIF('Как будет'!$A$17:$A$24,Доп.расчеты!$A216,'Как будет'!ET$17:ET$24)</f>
        <v>0</v>
      </c>
      <c r="ET216">
        <f>SUMIF('Как будет'!$A$17:$A$24,Доп.расчеты!$A216,'Как будет'!EU$17:EU$24)</f>
        <v>0</v>
      </c>
      <c r="EU216">
        <f>SUMIF('Как будет'!$A$17:$A$24,Доп.расчеты!$A216,'Как будет'!EV$17:EV$24)</f>
        <v>0</v>
      </c>
      <c r="EV216">
        <f>SUMIF('Как будет'!$A$17:$A$24,Доп.расчеты!$A216,'Как будет'!EW$17:EW$24)</f>
        <v>0</v>
      </c>
      <c r="EW216">
        <f>SUMIF('Как будет'!$A$17:$A$24,Доп.расчеты!$A216,'Как будет'!EX$17:EX$24)</f>
        <v>0</v>
      </c>
      <c r="EX216">
        <f>SUMIF('Как будет'!$A$17:$A$24,Доп.расчеты!$A216,'Как будет'!EY$17:EY$24)</f>
        <v>0</v>
      </c>
      <c r="EY216">
        <f>SUMIF('Как будет'!$A$17:$A$24,Доп.расчеты!$A216,'Как будет'!EZ$17:EZ$24)</f>
        <v>0</v>
      </c>
      <c r="EZ216">
        <f>SUMIF('Как будет'!$A$17:$A$24,Доп.расчеты!$A216,'Как будет'!FA$17:FA$24)</f>
        <v>0</v>
      </c>
      <c r="FA216">
        <f>SUMIF('Как будет'!$A$17:$A$24,Доп.расчеты!$A216,'Как будет'!FB$17:FB$24)</f>
        <v>0</v>
      </c>
      <c r="FB216">
        <f>SUMIF('Как будет'!$A$17:$A$24,Доп.расчеты!$A216,'Как будет'!FC$17:FC$24)</f>
        <v>0</v>
      </c>
      <c r="FC216">
        <f>SUMIF('Как будет'!$A$17:$A$24,Доп.расчеты!$A216,'Как будет'!FD$17:FD$24)</f>
        <v>0</v>
      </c>
      <c r="FD216">
        <f>SUMIF('Как будет'!$A$17:$A$24,Доп.расчеты!$A216,'Как будет'!FE$17:FE$24)</f>
        <v>0</v>
      </c>
      <c r="FE216">
        <f>SUMIF('Как будет'!$A$17:$A$24,Доп.расчеты!$A216,'Как будет'!FF$17:FF$24)</f>
        <v>0</v>
      </c>
      <c r="FF216">
        <f>SUMIF('Как будет'!$A$17:$A$24,Доп.расчеты!$A216,'Как будет'!FG$17:FG$24)</f>
        <v>0</v>
      </c>
      <c r="FG216">
        <f>SUMIF('Как будет'!$A$17:$A$24,Доп.расчеты!$A216,'Как будет'!FH$17:FH$24)</f>
        <v>0</v>
      </c>
      <c r="FH216">
        <f>SUMIF('Как будет'!$A$17:$A$24,Доп.расчеты!$A216,'Как будет'!FI$17:FI$24)</f>
        <v>0</v>
      </c>
      <c r="FI216">
        <f>SUMIF('Как будет'!$A$17:$A$24,Доп.расчеты!$A216,'Как будет'!FJ$17:FJ$24)</f>
        <v>0</v>
      </c>
      <c r="FJ216">
        <f>SUMIF('Как будет'!$A$17:$A$24,Доп.расчеты!$A216,'Как будет'!FK$17:FK$24)</f>
        <v>0</v>
      </c>
      <c r="FK216">
        <f>SUMIF('Как будет'!$A$17:$A$24,Доп.расчеты!$A216,'Как будет'!FL$17:FL$24)</f>
        <v>0</v>
      </c>
      <c r="FL216">
        <f>SUMIF('Как будет'!$A$17:$A$24,Доп.расчеты!$A216,'Как будет'!FM$17:FM$24)</f>
        <v>0</v>
      </c>
      <c r="FM216">
        <f>SUMIF('Как будет'!$A$17:$A$24,Доп.расчеты!$A216,'Как будет'!FN$17:FN$24)</f>
        <v>0</v>
      </c>
      <c r="FN216">
        <f>SUMIF('Как будет'!$A$17:$A$24,Доп.расчеты!$A216,'Как будет'!FO$17:FO$24)</f>
        <v>0</v>
      </c>
      <c r="FO216">
        <f>SUMIF('Как будет'!$A$17:$A$24,Доп.расчеты!$A216,'Как будет'!FP$17:FP$24)</f>
        <v>0</v>
      </c>
      <c r="FP216">
        <f>SUMIF('Как будет'!$A$17:$A$24,Доп.расчеты!$A216,'Как будет'!FQ$17:FQ$24)</f>
        <v>0</v>
      </c>
      <c r="FQ216">
        <f>SUMIF('Как будет'!$A$17:$A$24,Доп.расчеты!$A216,'Как будет'!FR$17:FR$24)</f>
        <v>0</v>
      </c>
      <c r="FR216">
        <f>SUMIF('Как будет'!$A$17:$A$24,Доп.расчеты!$A216,'Как будет'!FS$17:FS$24)</f>
        <v>0</v>
      </c>
      <c r="FS216">
        <f>SUMIF('Как будет'!$A$17:$A$24,Доп.расчеты!$A216,'Как будет'!FT$17:FT$24)</f>
        <v>0</v>
      </c>
      <c r="FT216">
        <f>SUMIF('Как будет'!$A$17:$A$24,Доп.расчеты!$A216,'Как будет'!FU$17:FU$24)</f>
        <v>0</v>
      </c>
      <c r="FU216">
        <f>SUMIF('Как будет'!$A$17:$A$24,Доп.расчеты!$A216,'Как будет'!FV$17:FV$24)</f>
        <v>0</v>
      </c>
      <c r="FV216">
        <f>SUMIF('Как будет'!$A$17:$A$24,Доп.расчеты!$A216,'Как будет'!FW$17:FW$24)</f>
        <v>0</v>
      </c>
      <c r="FW216">
        <f>SUMIF('Как будет'!$A$17:$A$24,Доп.расчеты!$A216,'Как будет'!FX$17:FX$24)</f>
        <v>0</v>
      </c>
      <c r="FX216">
        <f>SUMIF('Как будет'!$A$17:$A$24,Доп.расчеты!$A216,'Как будет'!FY$17:FY$24)</f>
        <v>0</v>
      </c>
      <c r="FY216">
        <f>SUMIF('Как будет'!$A$17:$A$24,Доп.расчеты!$A216,'Как будет'!FZ$17:FZ$24)</f>
        <v>0</v>
      </c>
      <c r="FZ216">
        <f>SUMIF('Как будет'!$A$17:$A$24,Доп.расчеты!$A216,'Как будет'!GA$17:GA$24)</f>
        <v>0</v>
      </c>
      <c r="GA216">
        <f>SUMIF('Как будет'!$A$17:$A$24,Доп.расчеты!$A216,'Как будет'!GB$17:GB$24)</f>
        <v>0</v>
      </c>
      <c r="GB216">
        <f>SUMIF('Как будет'!$A$17:$A$24,Доп.расчеты!$A216,'Как будет'!GC$17:GC$24)</f>
        <v>0</v>
      </c>
      <c r="GC216">
        <f>SUMIF('Как будет'!$A$17:$A$24,Доп.расчеты!$A216,'Как будет'!GD$17:GD$24)</f>
        <v>0</v>
      </c>
      <c r="GD216">
        <f>SUMIF('Как будет'!$A$17:$A$24,Доп.расчеты!$A216,'Как будет'!GE$17:GE$24)</f>
        <v>0</v>
      </c>
      <c r="GE216">
        <f>SUMIF('Как будет'!$A$17:$A$24,Доп.расчеты!$A216,'Как будет'!GF$17:GF$24)</f>
        <v>0</v>
      </c>
      <c r="GF216">
        <f>SUMIF('Как будет'!$A$17:$A$24,Доп.расчеты!$A216,'Как будет'!GG$17:GG$24)</f>
        <v>0</v>
      </c>
      <c r="GG216">
        <f>SUMIF('Как будет'!$A$17:$A$24,Доп.расчеты!$A216,'Как будет'!GH$17:GH$24)</f>
        <v>0</v>
      </c>
      <c r="GH216">
        <f>SUMIF('Как будет'!$A$17:$A$24,Доп.расчеты!$A216,'Как будет'!GI$17:GI$24)</f>
        <v>0</v>
      </c>
      <c r="GI216">
        <f>SUMIF('Как будет'!$A$17:$A$24,Доп.расчеты!$A216,'Как будет'!GJ$17:GJ$24)</f>
        <v>0</v>
      </c>
      <c r="GJ216">
        <f>SUMIF('Как будет'!$A$17:$A$24,Доп.расчеты!$A216,'Как будет'!GK$17:GK$24)</f>
        <v>0</v>
      </c>
      <c r="GK216">
        <f>SUMIF('Как будет'!$A$17:$A$24,Доп.расчеты!$A216,'Как будет'!GL$17:GL$24)</f>
        <v>0</v>
      </c>
      <c r="GL216">
        <f>SUMIF('Как будет'!$A$17:$A$24,Доп.расчеты!$A216,'Как будет'!GM$17:GM$24)</f>
        <v>0</v>
      </c>
      <c r="GM216">
        <f>SUMIF('Как будет'!$A$17:$A$24,Доп.расчеты!$A216,'Как будет'!GN$17:GN$24)</f>
        <v>0</v>
      </c>
      <c r="GN216">
        <f>SUMIF('Как будет'!$A$17:$A$24,Доп.расчеты!$A216,'Как будет'!GO$17:GO$24)</f>
        <v>0</v>
      </c>
      <c r="GO216">
        <f>SUMIF('Как будет'!$A$17:$A$24,Доп.расчеты!$A216,'Как будет'!GP$17:GP$24)</f>
        <v>0</v>
      </c>
      <c r="GP216">
        <f>SUMIF('Как будет'!$A$17:$A$24,Доп.расчеты!$A216,'Как будет'!GQ$17:GQ$24)</f>
        <v>0</v>
      </c>
      <c r="GQ216">
        <f>SUMIF('Как будет'!$A$17:$A$24,Доп.расчеты!$A216,'Как будет'!GR$17:GR$24)</f>
        <v>0</v>
      </c>
      <c r="GR216">
        <f>SUMIF('Как будет'!$A$17:$A$24,Доп.расчеты!$A216,'Как будет'!GS$17:GS$24)</f>
        <v>0</v>
      </c>
      <c r="GS216">
        <f>SUMIF('Как будет'!$A$17:$A$24,Доп.расчеты!$A216,'Как будет'!GT$17:GT$24)</f>
        <v>0</v>
      </c>
      <c r="GT216">
        <f>SUMIF('Как будет'!$A$17:$A$24,Доп.расчеты!$A216,'Как будет'!GU$17:GU$24)</f>
        <v>0</v>
      </c>
    </row>
    <row r="217" spans="1:202">
      <c r="A217" s="234" t="s">
        <v>249</v>
      </c>
    </row>
    <row r="218" spans="1:202">
      <c r="A218" s="237" t="s">
        <v>23</v>
      </c>
      <c r="B218">
        <f>SUMIF('Как будет'!$A$26:$A$33,Доп.расчеты!$A218,'Как будет'!C$26:C$33)</f>
        <v>0</v>
      </c>
      <c r="C218">
        <f>SUMIF('Как будет'!$A$26:$A$33,Доп.расчеты!$A218,'Как будет'!D$26:D$33)</f>
        <v>0</v>
      </c>
      <c r="D218">
        <f>SUMIF('Как будет'!$A$26:$A$33,Доп.расчеты!$A218,'Как будет'!E$26:E$33)</f>
        <v>0</v>
      </c>
      <c r="E218">
        <f>SUMIF('Как будет'!$A$26:$A$33,Доп.расчеты!$A218,'Как будет'!F$26:F$33)</f>
        <v>0</v>
      </c>
      <c r="F218">
        <f>SUMIF('Как будет'!$A$26:$A$33,Доп.расчеты!$A218,'Как будет'!G$26:G$33)</f>
        <v>0</v>
      </c>
      <c r="G218">
        <f>SUMIF('Как будет'!$A$26:$A$33,Доп.расчеты!$A218,'Как будет'!H$26:H$33)</f>
        <v>0</v>
      </c>
      <c r="H218">
        <f>SUMIF('Как будет'!$A$26:$A$33,Доп.расчеты!$A218,'Как будет'!I$26:I$33)</f>
        <v>0</v>
      </c>
      <c r="I218">
        <f>SUMIF('Как будет'!$A$26:$A$33,Доп.расчеты!$A218,'Как будет'!J$26:J$33)</f>
        <v>0</v>
      </c>
      <c r="J218">
        <f>SUMIF('Как будет'!$A$26:$A$33,Доп.расчеты!$A218,'Как будет'!K$26:K$33)</f>
        <v>0</v>
      </c>
      <c r="K218">
        <f>SUMIF('Как будет'!$A$26:$A$33,Доп.расчеты!$A218,'Как будет'!L$26:L$33)</f>
        <v>0</v>
      </c>
      <c r="L218">
        <f>SUMIF('Как будет'!$A$26:$A$33,Доп.расчеты!$A218,'Как будет'!M$26:M$33)</f>
        <v>0</v>
      </c>
      <c r="M218">
        <f>SUMIF('Как будет'!$A$26:$A$33,Доп.расчеты!$A218,'Как будет'!N$26:N$33)</f>
        <v>0</v>
      </c>
      <c r="N218">
        <f>SUMIF('Как будет'!$A$26:$A$33,Доп.расчеты!$A218,'Как будет'!O$26:O$33)</f>
        <v>0</v>
      </c>
      <c r="O218">
        <f>SUMIF('Как будет'!$A$26:$A$33,Доп.расчеты!$A218,'Как будет'!P$26:P$33)</f>
        <v>0</v>
      </c>
      <c r="P218">
        <f>SUMIF('Как будет'!$A$26:$A$33,Доп.расчеты!$A218,'Как будет'!Q$26:Q$33)</f>
        <v>0</v>
      </c>
      <c r="Q218">
        <f>SUMIF('Как будет'!$A$26:$A$33,Доп.расчеты!$A218,'Как будет'!R$26:R$33)</f>
        <v>0</v>
      </c>
      <c r="R218">
        <f>SUMIF('Как будет'!$A$26:$A$33,Доп.расчеты!$A218,'Как будет'!S$26:S$33)</f>
        <v>0</v>
      </c>
      <c r="S218">
        <f>SUMIF('Как будет'!$A$26:$A$33,Доп.расчеты!$A218,'Как будет'!T$26:T$33)</f>
        <v>0</v>
      </c>
      <c r="T218">
        <f>SUMIF('Как будет'!$A$26:$A$33,Доп.расчеты!$A218,'Как будет'!U$26:U$33)</f>
        <v>0</v>
      </c>
      <c r="U218">
        <f>SUMIF('Как будет'!$A$26:$A$33,Доп.расчеты!$A218,'Как будет'!V$26:V$33)</f>
        <v>0</v>
      </c>
      <c r="V218">
        <f>SUMIF('Как будет'!$A$26:$A$33,Доп.расчеты!$A218,'Как будет'!W$26:W$33)</f>
        <v>0</v>
      </c>
      <c r="W218">
        <f>SUMIF('Как будет'!$A$26:$A$33,Доп.расчеты!$A218,'Как будет'!X$26:X$33)</f>
        <v>0</v>
      </c>
      <c r="X218">
        <f>SUMIF('Как будет'!$A$26:$A$33,Доп.расчеты!$A218,'Как будет'!Y$26:Y$33)</f>
        <v>0</v>
      </c>
      <c r="Y218">
        <f>SUMIF('Как будет'!$A$26:$A$33,Доп.расчеты!$A218,'Как будет'!Z$26:Z$33)</f>
        <v>0</v>
      </c>
      <c r="Z218">
        <f>SUMIF('Как будет'!$A$26:$A$33,Доп.расчеты!$A218,'Как будет'!AA$26:AA$33)</f>
        <v>0</v>
      </c>
      <c r="AA218">
        <f>SUMIF('Как будет'!$A$26:$A$33,Доп.расчеты!$A218,'Как будет'!AB$26:AB$33)</f>
        <v>0</v>
      </c>
      <c r="AB218">
        <f>SUMIF('Как будет'!$A$26:$A$33,Доп.расчеты!$A218,'Как будет'!AC$26:AC$33)</f>
        <v>0</v>
      </c>
      <c r="AC218">
        <f>SUMIF('Как будет'!$A$26:$A$33,Доп.расчеты!$A218,'Как будет'!AD$26:AD$33)</f>
        <v>0</v>
      </c>
      <c r="AD218">
        <f>SUMIF('Как будет'!$A$26:$A$33,Доп.расчеты!$A218,'Как будет'!AE$26:AE$33)</f>
        <v>0</v>
      </c>
      <c r="AE218">
        <f>SUMIF('Как будет'!$A$26:$A$33,Доп.расчеты!$A218,'Как будет'!AF$26:AF$33)</f>
        <v>0</v>
      </c>
      <c r="AF218">
        <f>SUMIF('Как будет'!$A$26:$A$33,Доп.расчеты!$A218,'Как будет'!AG$26:AG$33)</f>
        <v>0</v>
      </c>
      <c r="AG218">
        <f>SUMIF('Как будет'!$A$26:$A$33,Доп.расчеты!$A218,'Как будет'!AH$26:AH$33)</f>
        <v>0</v>
      </c>
      <c r="AH218">
        <f>SUMIF('Как будет'!$A$26:$A$33,Доп.расчеты!$A218,'Как будет'!AI$26:AI$33)</f>
        <v>0</v>
      </c>
      <c r="AI218">
        <f>SUMIF('Как будет'!$A$26:$A$33,Доп.расчеты!$A218,'Как будет'!AJ$26:AJ$33)</f>
        <v>0</v>
      </c>
      <c r="AJ218">
        <f>SUMIF('Как будет'!$A$26:$A$33,Доп.расчеты!$A218,'Как будет'!AK$26:AK$33)</f>
        <v>0</v>
      </c>
      <c r="AK218">
        <f>SUMIF('Как будет'!$A$26:$A$33,Доп.расчеты!$A218,'Как будет'!AL$26:AL$33)</f>
        <v>0</v>
      </c>
      <c r="AL218">
        <f>SUMIF('Как будет'!$A$26:$A$33,Доп.расчеты!$A218,'Как будет'!AM$26:AM$33)</f>
        <v>0</v>
      </c>
      <c r="AM218">
        <f>SUMIF('Как будет'!$A$26:$A$33,Доп.расчеты!$A218,'Как будет'!AN$26:AN$33)</f>
        <v>0</v>
      </c>
      <c r="AN218">
        <f>SUMIF('Как будет'!$A$26:$A$33,Доп.расчеты!$A218,'Как будет'!AO$26:AO$33)</f>
        <v>0</v>
      </c>
      <c r="AO218">
        <f>SUMIF('Как будет'!$A$26:$A$33,Доп.расчеты!$A218,'Как будет'!AP$26:AP$33)</f>
        <v>0</v>
      </c>
      <c r="AP218">
        <f>SUMIF('Как будет'!$A$26:$A$33,Доп.расчеты!$A218,'Как будет'!AQ$26:AQ$33)</f>
        <v>0</v>
      </c>
      <c r="AQ218">
        <f>SUMIF('Как будет'!$A$26:$A$33,Доп.расчеты!$A218,'Как будет'!AR$26:AR$33)</f>
        <v>0</v>
      </c>
      <c r="AR218">
        <f>SUMIF('Как будет'!$A$26:$A$33,Доп.расчеты!$A218,'Как будет'!AS$26:AS$33)</f>
        <v>0</v>
      </c>
      <c r="AS218">
        <f>SUMIF('Как будет'!$A$26:$A$33,Доп.расчеты!$A218,'Как будет'!AT$26:AT$33)</f>
        <v>0</v>
      </c>
      <c r="AT218">
        <f>SUMIF('Как будет'!$A$26:$A$33,Доп.расчеты!$A218,'Как будет'!AU$26:AU$33)</f>
        <v>0</v>
      </c>
      <c r="AU218">
        <f>SUMIF('Как будет'!$A$26:$A$33,Доп.расчеты!$A218,'Как будет'!AV$26:AV$33)</f>
        <v>0</v>
      </c>
      <c r="AV218">
        <f>SUMIF('Как будет'!$A$26:$A$33,Доп.расчеты!$A218,'Как будет'!AW$26:AW$33)</f>
        <v>0</v>
      </c>
      <c r="AW218">
        <f>SUMIF('Как будет'!$A$26:$A$33,Доп.расчеты!$A218,'Как будет'!AX$26:AX$33)</f>
        <v>0</v>
      </c>
      <c r="AX218">
        <f>SUMIF('Как будет'!$A$26:$A$33,Доп.расчеты!$A218,'Как будет'!AY$26:AY$33)</f>
        <v>0</v>
      </c>
      <c r="AY218">
        <f>SUMIF('Как будет'!$A$26:$A$33,Доп.расчеты!$A218,'Как будет'!AZ$26:AZ$33)</f>
        <v>0</v>
      </c>
      <c r="AZ218">
        <f>SUMIF('Как будет'!$A$26:$A$33,Доп.расчеты!$A218,'Как будет'!BA$26:BA$33)</f>
        <v>0</v>
      </c>
      <c r="BA218">
        <f>SUMIF('Как будет'!$A$26:$A$33,Доп.расчеты!$A218,'Как будет'!BB$26:BB$33)</f>
        <v>0</v>
      </c>
      <c r="BB218">
        <f>SUMIF('Как будет'!$A$26:$A$33,Доп.расчеты!$A218,'Как будет'!BC$26:BC$33)</f>
        <v>0</v>
      </c>
      <c r="BC218">
        <f>SUMIF('Как будет'!$A$26:$A$33,Доп.расчеты!$A218,'Как будет'!BD$26:BD$33)</f>
        <v>0</v>
      </c>
      <c r="BD218">
        <f>SUMIF('Как будет'!$A$26:$A$33,Доп.расчеты!$A218,'Как будет'!BE$26:BE$33)</f>
        <v>0</v>
      </c>
      <c r="BE218">
        <f>SUMIF('Как будет'!$A$26:$A$33,Доп.расчеты!$A218,'Как будет'!BF$26:BF$33)</f>
        <v>0</v>
      </c>
      <c r="BF218">
        <f>SUMIF('Как будет'!$A$26:$A$33,Доп.расчеты!$A218,'Как будет'!BG$26:BG$33)</f>
        <v>0</v>
      </c>
      <c r="BG218">
        <f>SUMIF('Как будет'!$A$26:$A$33,Доп.расчеты!$A218,'Как будет'!BH$26:BH$33)</f>
        <v>0</v>
      </c>
      <c r="BH218">
        <f>SUMIF('Как будет'!$A$26:$A$33,Доп.расчеты!$A218,'Как будет'!BI$26:BI$33)</f>
        <v>0</v>
      </c>
      <c r="BI218">
        <f>SUMIF('Как будет'!$A$26:$A$33,Доп.расчеты!$A218,'Как будет'!BJ$26:BJ$33)</f>
        <v>0</v>
      </c>
      <c r="BJ218">
        <f>SUMIF('Как будет'!$A$26:$A$33,Доп.расчеты!$A218,'Как будет'!BK$26:BK$33)</f>
        <v>0</v>
      </c>
      <c r="BK218">
        <f>SUMIF('Как будет'!$A$26:$A$33,Доп.расчеты!$A218,'Как будет'!BL$26:BL$33)</f>
        <v>0</v>
      </c>
      <c r="BL218">
        <f>SUMIF('Как будет'!$A$26:$A$33,Доп.расчеты!$A218,'Как будет'!BM$26:BM$33)</f>
        <v>0</v>
      </c>
      <c r="BM218">
        <f>SUMIF('Как будет'!$A$26:$A$33,Доп.расчеты!$A218,'Как будет'!BN$26:BN$33)</f>
        <v>0</v>
      </c>
      <c r="BN218">
        <f>SUMIF('Как будет'!$A$26:$A$33,Доп.расчеты!$A218,'Как будет'!BO$26:BO$33)</f>
        <v>0</v>
      </c>
      <c r="BO218">
        <f>SUMIF('Как будет'!$A$26:$A$33,Доп.расчеты!$A218,'Как будет'!BP$26:BP$33)</f>
        <v>0</v>
      </c>
      <c r="BP218">
        <f>SUMIF('Как будет'!$A$26:$A$33,Доп.расчеты!$A218,'Как будет'!BQ$26:BQ$33)</f>
        <v>0</v>
      </c>
      <c r="BQ218">
        <f>SUMIF('Как будет'!$A$26:$A$33,Доп.расчеты!$A218,'Как будет'!BR$26:BR$33)</f>
        <v>0</v>
      </c>
      <c r="BR218">
        <f>SUMIF('Как будет'!$A$26:$A$33,Доп.расчеты!$A218,'Как будет'!BS$26:BS$33)</f>
        <v>0</v>
      </c>
      <c r="BS218">
        <f>SUMIF('Как будет'!$A$26:$A$33,Доп.расчеты!$A218,'Как будет'!BT$26:BT$33)</f>
        <v>0</v>
      </c>
      <c r="BT218">
        <f>SUMIF('Как будет'!$A$26:$A$33,Доп.расчеты!$A218,'Как будет'!BU$26:BU$33)</f>
        <v>0</v>
      </c>
      <c r="BU218">
        <f>SUMIF('Как будет'!$A$26:$A$33,Доп.расчеты!$A218,'Как будет'!BV$26:BV$33)</f>
        <v>0</v>
      </c>
      <c r="BV218">
        <f>SUMIF('Как будет'!$A$26:$A$33,Доп.расчеты!$A218,'Как будет'!BW$26:BW$33)</f>
        <v>0</v>
      </c>
      <c r="BW218">
        <f>SUMIF('Как будет'!$A$26:$A$33,Доп.расчеты!$A218,'Как будет'!BX$26:BX$33)</f>
        <v>0</v>
      </c>
      <c r="BX218">
        <f>SUMIF('Как будет'!$A$26:$A$33,Доп.расчеты!$A218,'Как будет'!BY$26:BY$33)</f>
        <v>0</v>
      </c>
      <c r="BY218">
        <f>SUMIF('Как будет'!$A$26:$A$33,Доп.расчеты!$A218,'Как будет'!BZ$26:BZ$33)</f>
        <v>0</v>
      </c>
      <c r="BZ218">
        <f>SUMIF('Как будет'!$A$26:$A$33,Доп.расчеты!$A218,'Как будет'!CA$26:CA$33)</f>
        <v>0</v>
      </c>
      <c r="CA218">
        <f>SUMIF('Как будет'!$A$26:$A$33,Доп.расчеты!$A218,'Как будет'!CB$26:CB$33)</f>
        <v>0</v>
      </c>
      <c r="CB218">
        <f>SUMIF('Как будет'!$A$26:$A$33,Доп.расчеты!$A218,'Как будет'!CC$26:CC$33)</f>
        <v>0</v>
      </c>
      <c r="CC218">
        <f>SUMIF('Как будет'!$A$26:$A$33,Доп.расчеты!$A218,'Как будет'!CD$26:CD$33)</f>
        <v>0</v>
      </c>
      <c r="CD218">
        <f>SUMIF('Как будет'!$A$26:$A$33,Доп.расчеты!$A218,'Как будет'!CE$26:CE$33)</f>
        <v>0</v>
      </c>
      <c r="CE218">
        <f>SUMIF('Как будет'!$A$26:$A$33,Доп.расчеты!$A218,'Как будет'!CF$26:CF$33)</f>
        <v>0</v>
      </c>
      <c r="CF218">
        <f>SUMIF('Как будет'!$A$26:$A$33,Доп.расчеты!$A218,'Как будет'!CG$26:CG$33)</f>
        <v>0</v>
      </c>
      <c r="CG218">
        <f>SUMIF('Как будет'!$A$26:$A$33,Доп.расчеты!$A218,'Как будет'!CH$26:CH$33)</f>
        <v>0</v>
      </c>
      <c r="CH218">
        <f>SUMIF('Как будет'!$A$26:$A$33,Доп.расчеты!$A218,'Как будет'!CI$26:CI$33)</f>
        <v>0</v>
      </c>
      <c r="CI218">
        <f>SUMIF('Как будет'!$A$26:$A$33,Доп.расчеты!$A218,'Как будет'!CJ$26:CJ$33)</f>
        <v>0</v>
      </c>
      <c r="CJ218">
        <f>SUMIF('Как будет'!$A$26:$A$33,Доп.расчеты!$A218,'Как будет'!CK$26:CK$33)</f>
        <v>0</v>
      </c>
      <c r="CK218">
        <f>SUMIF('Как будет'!$A$26:$A$33,Доп.расчеты!$A218,'Как будет'!CL$26:CL$33)</f>
        <v>0</v>
      </c>
      <c r="CL218">
        <f>SUMIF('Как будет'!$A$26:$A$33,Доп.расчеты!$A218,'Как будет'!CM$26:CM$33)</f>
        <v>0</v>
      </c>
      <c r="CM218">
        <f>SUMIF('Как будет'!$A$26:$A$33,Доп.расчеты!$A218,'Как будет'!CN$26:CN$33)</f>
        <v>0</v>
      </c>
      <c r="CN218">
        <f>SUMIF('Как будет'!$A$26:$A$33,Доп.расчеты!$A218,'Как будет'!CO$26:CO$33)</f>
        <v>0</v>
      </c>
      <c r="CO218">
        <f>SUMIF('Как будет'!$A$26:$A$33,Доп.расчеты!$A218,'Как будет'!CP$26:CP$33)</f>
        <v>0</v>
      </c>
      <c r="CP218">
        <f>SUMIF('Как будет'!$A$26:$A$33,Доп.расчеты!$A218,'Как будет'!CQ$26:CQ$33)</f>
        <v>0</v>
      </c>
      <c r="CQ218">
        <f>SUMIF('Как будет'!$A$26:$A$33,Доп.расчеты!$A218,'Как будет'!CR$26:CR$33)</f>
        <v>0</v>
      </c>
      <c r="CR218">
        <f>SUMIF('Как будет'!$A$26:$A$33,Доп.расчеты!$A218,'Как будет'!CS$26:CS$33)</f>
        <v>0</v>
      </c>
      <c r="CS218">
        <f>SUMIF('Как будет'!$A$26:$A$33,Доп.расчеты!$A218,'Как будет'!CT$26:CT$33)</f>
        <v>0</v>
      </c>
      <c r="CT218">
        <f>SUMIF('Как будет'!$A$26:$A$33,Доп.расчеты!$A218,'Как будет'!CU$26:CU$33)</f>
        <v>0</v>
      </c>
      <c r="CU218">
        <f>SUMIF('Как будет'!$A$26:$A$33,Доп.расчеты!$A218,'Как будет'!CV$26:CV$33)</f>
        <v>0</v>
      </c>
      <c r="CV218">
        <f>SUMIF('Как будет'!$A$26:$A$33,Доп.расчеты!$A218,'Как будет'!CW$26:CW$33)</f>
        <v>0</v>
      </c>
      <c r="CW218">
        <f>SUMIF('Как будет'!$A$26:$A$33,Доп.расчеты!$A218,'Как будет'!CX$26:CX$33)</f>
        <v>0</v>
      </c>
      <c r="CX218">
        <f>SUMIF('Как будет'!$A$26:$A$33,Доп.расчеты!$A218,'Как будет'!CY$26:CY$33)</f>
        <v>0</v>
      </c>
      <c r="CY218">
        <f>SUMIF('Как будет'!$A$26:$A$33,Доп.расчеты!$A218,'Как будет'!CZ$26:CZ$33)</f>
        <v>0</v>
      </c>
      <c r="CZ218">
        <f>SUMIF('Как будет'!$A$26:$A$33,Доп.расчеты!$A218,'Как будет'!DA$26:DA$33)</f>
        <v>0</v>
      </c>
      <c r="DA218">
        <f>SUMIF('Как будет'!$A$26:$A$33,Доп.расчеты!$A218,'Как будет'!DB$26:DB$33)</f>
        <v>0</v>
      </c>
      <c r="DB218">
        <f>SUMIF('Как будет'!$A$26:$A$33,Доп.расчеты!$A218,'Как будет'!DC$26:DC$33)</f>
        <v>0</v>
      </c>
      <c r="DC218">
        <f>SUMIF('Как будет'!$A$26:$A$33,Доп.расчеты!$A218,'Как будет'!DD$26:DD$33)</f>
        <v>0</v>
      </c>
      <c r="DD218">
        <f>SUMIF('Как будет'!$A$26:$A$33,Доп.расчеты!$A218,'Как будет'!DE$26:DE$33)</f>
        <v>0</v>
      </c>
      <c r="DE218">
        <f>SUMIF('Как будет'!$A$26:$A$33,Доп.расчеты!$A218,'Как будет'!DF$26:DF$33)</f>
        <v>0</v>
      </c>
      <c r="DF218">
        <f>SUMIF('Как будет'!$A$26:$A$33,Доп.расчеты!$A218,'Как будет'!DG$26:DG$33)</f>
        <v>0</v>
      </c>
      <c r="DG218">
        <f>SUMIF('Как будет'!$A$26:$A$33,Доп.расчеты!$A218,'Как будет'!DH$26:DH$33)</f>
        <v>0</v>
      </c>
      <c r="DH218">
        <f>SUMIF('Как будет'!$A$26:$A$33,Доп.расчеты!$A218,'Как будет'!DI$26:DI$33)</f>
        <v>0</v>
      </c>
      <c r="DI218">
        <f>SUMIF('Как будет'!$A$26:$A$33,Доп.расчеты!$A218,'Как будет'!DJ$26:DJ$33)</f>
        <v>0</v>
      </c>
      <c r="DJ218">
        <f>SUMIF('Как будет'!$A$26:$A$33,Доп.расчеты!$A218,'Как будет'!DK$26:DK$33)</f>
        <v>0</v>
      </c>
      <c r="DK218">
        <f>SUMIF('Как будет'!$A$26:$A$33,Доп.расчеты!$A218,'Как будет'!DL$26:DL$33)</f>
        <v>0</v>
      </c>
      <c r="DL218">
        <f>SUMIF('Как будет'!$A$26:$A$33,Доп.расчеты!$A218,'Как будет'!DM$26:DM$33)</f>
        <v>0</v>
      </c>
      <c r="DM218">
        <f>SUMIF('Как будет'!$A$26:$A$33,Доп.расчеты!$A218,'Как будет'!DN$26:DN$33)</f>
        <v>0</v>
      </c>
      <c r="DN218">
        <f>SUMIF('Как будет'!$A$26:$A$33,Доп.расчеты!$A218,'Как будет'!DO$26:DO$33)</f>
        <v>0</v>
      </c>
      <c r="DO218">
        <f>SUMIF('Как будет'!$A$26:$A$33,Доп.расчеты!$A218,'Как будет'!DP$26:DP$33)</f>
        <v>0</v>
      </c>
      <c r="DP218">
        <f>SUMIF('Как будет'!$A$26:$A$33,Доп.расчеты!$A218,'Как будет'!DQ$26:DQ$33)</f>
        <v>0</v>
      </c>
      <c r="DQ218">
        <f>SUMIF('Как будет'!$A$26:$A$33,Доп.расчеты!$A218,'Как будет'!DR$26:DR$33)</f>
        <v>0</v>
      </c>
      <c r="DR218">
        <f>SUMIF('Как будет'!$A$26:$A$33,Доп.расчеты!$A218,'Как будет'!DS$26:DS$33)</f>
        <v>0</v>
      </c>
      <c r="DS218">
        <f>SUMIF('Как будет'!$A$26:$A$33,Доп.расчеты!$A218,'Как будет'!DT$26:DT$33)</f>
        <v>0</v>
      </c>
      <c r="DT218">
        <f>SUMIF('Как будет'!$A$26:$A$33,Доп.расчеты!$A218,'Как будет'!DU$26:DU$33)</f>
        <v>0</v>
      </c>
      <c r="DU218">
        <f>SUMIF('Как будет'!$A$26:$A$33,Доп.расчеты!$A218,'Как будет'!DV$26:DV$33)</f>
        <v>0</v>
      </c>
      <c r="DV218">
        <f>SUMIF('Как будет'!$A$26:$A$33,Доп.расчеты!$A218,'Как будет'!DW$26:DW$33)</f>
        <v>0</v>
      </c>
      <c r="DW218">
        <f>SUMIF('Как будет'!$A$26:$A$33,Доп.расчеты!$A218,'Как будет'!DX$26:DX$33)</f>
        <v>0</v>
      </c>
      <c r="DX218">
        <f>SUMIF('Как будет'!$A$26:$A$33,Доп.расчеты!$A218,'Как будет'!DY$26:DY$33)</f>
        <v>0</v>
      </c>
      <c r="DY218">
        <f>SUMIF('Как будет'!$A$26:$A$33,Доп.расчеты!$A218,'Как будет'!DZ$26:DZ$33)</f>
        <v>0</v>
      </c>
      <c r="DZ218">
        <f>SUMIF('Как будет'!$A$26:$A$33,Доп.расчеты!$A218,'Как будет'!EA$26:EA$33)</f>
        <v>0</v>
      </c>
      <c r="EA218">
        <f>SUMIF('Как будет'!$A$26:$A$33,Доп.расчеты!$A218,'Как будет'!EB$26:EB$33)</f>
        <v>0</v>
      </c>
      <c r="EB218">
        <f>SUMIF('Как будет'!$A$26:$A$33,Доп.расчеты!$A218,'Как будет'!EC$26:EC$33)</f>
        <v>0</v>
      </c>
      <c r="EC218">
        <f>SUMIF('Как будет'!$A$26:$A$33,Доп.расчеты!$A218,'Как будет'!ED$26:ED$33)</f>
        <v>0</v>
      </c>
      <c r="ED218">
        <f>SUMIF('Как будет'!$A$26:$A$33,Доп.расчеты!$A218,'Как будет'!EE$26:EE$33)</f>
        <v>0</v>
      </c>
      <c r="EE218">
        <f>SUMIF('Как будет'!$A$26:$A$33,Доп.расчеты!$A218,'Как будет'!EF$26:EF$33)</f>
        <v>0</v>
      </c>
      <c r="EF218">
        <f>SUMIF('Как будет'!$A$26:$A$33,Доп.расчеты!$A218,'Как будет'!EG$26:EG$33)</f>
        <v>0</v>
      </c>
      <c r="EG218">
        <f>SUMIF('Как будет'!$A$26:$A$33,Доп.расчеты!$A218,'Как будет'!EH$26:EH$33)</f>
        <v>0</v>
      </c>
      <c r="EH218">
        <f>SUMIF('Как будет'!$A$26:$A$33,Доп.расчеты!$A218,'Как будет'!EI$26:EI$33)</f>
        <v>0</v>
      </c>
      <c r="EI218">
        <f>SUMIF('Как будет'!$A$26:$A$33,Доп.расчеты!$A218,'Как будет'!EJ$26:EJ$33)</f>
        <v>0</v>
      </c>
      <c r="EJ218">
        <f>SUMIF('Как будет'!$A$26:$A$33,Доп.расчеты!$A218,'Как будет'!EK$26:EK$33)</f>
        <v>0</v>
      </c>
      <c r="EK218">
        <f>SUMIF('Как будет'!$A$26:$A$33,Доп.расчеты!$A218,'Как будет'!EL$26:EL$33)</f>
        <v>0</v>
      </c>
      <c r="EL218">
        <f>SUMIF('Как будет'!$A$26:$A$33,Доп.расчеты!$A218,'Как будет'!EM$26:EM$33)</f>
        <v>0</v>
      </c>
      <c r="EM218">
        <f>SUMIF('Как будет'!$A$26:$A$33,Доп.расчеты!$A218,'Как будет'!EN$26:EN$33)</f>
        <v>0</v>
      </c>
      <c r="EN218">
        <f>SUMIF('Как будет'!$A$26:$A$33,Доп.расчеты!$A218,'Как будет'!EO$26:EO$33)</f>
        <v>0</v>
      </c>
      <c r="EO218">
        <f>SUMIF('Как будет'!$A$26:$A$33,Доп.расчеты!$A218,'Как будет'!EP$26:EP$33)</f>
        <v>0</v>
      </c>
      <c r="EP218">
        <f>SUMIF('Как будет'!$A$26:$A$33,Доп.расчеты!$A218,'Как будет'!EQ$26:EQ$33)</f>
        <v>0</v>
      </c>
      <c r="EQ218">
        <f>SUMIF('Как будет'!$A$26:$A$33,Доп.расчеты!$A218,'Как будет'!ER$26:ER$33)</f>
        <v>0</v>
      </c>
      <c r="ER218">
        <f>SUMIF('Как будет'!$A$26:$A$33,Доп.расчеты!$A218,'Как будет'!ES$26:ES$33)</f>
        <v>0</v>
      </c>
      <c r="ES218">
        <f>SUMIF('Как будет'!$A$26:$A$33,Доп.расчеты!$A218,'Как будет'!ET$26:ET$33)</f>
        <v>0</v>
      </c>
      <c r="ET218">
        <f>SUMIF('Как будет'!$A$26:$A$33,Доп.расчеты!$A218,'Как будет'!EU$26:EU$33)</f>
        <v>0</v>
      </c>
      <c r="EU218">
        <f>SUMIF('Как будет'!$A$26:$A$33,Доп.расчеты!$A218,'Как будет'!EV$26:EV$33)</f>
        <v>0</v>
      </c>
      <c r="EV218">
        <f>SUMIF('Как будет'!$A$26:$A$33,Доп.расчеты!$A218,'Как будет'!EW$26:EW$33)</f>
        <v>0</v>
      </c>
      <c r="EW218">
        <f>SUMIF('Как будет'!$A$26:$A$33,Доп.расчеты!$A218,'Как будет'!EX$26:EX$33)</f>
        <v>0</v>
      </c>
      <c r="EX218">
        <f>SUMIF('Как будет'!$A$26:$A$33,Доп.расчеты!$A218,'Как будет'!EY$26:EY$33)</f>
        <v>0</v>
      </c>
      <c r="EY218">
        <f>SUMIF('Как будет'!$A$26:$A$33,Доп.расчеты!$A218,'Как будет'!EZ$26:EZ$33)</f>
        <v>0</v>
      </c>
      <c r="EZ218">
        <f>SUMIF('Как будет'!$A$26:$A$33,Доп.расчеты!$A218,'Как будет'!FA$26:FA$33)</f>
        <v>0</v>
      </c>
      <c r="FA218">
        <f>SUMIF('Как будет'!$A$26:$A$33,Доп.расчеты!$A218,'Как будет'!FB$26:FB$33)</f>
        <v>0</v>
      </c>
      <c r="FB218">
        <f>SUMIF('Как будет'!$A$26:$A$33,Доп.расчеты!$A218,'Как будет'!FC$26:FC$33)</f>
        <v>0</v>
      </c>
      <c r="FC218">
        <f>SUMIF('Как будет'!$A$26:$A$33,Доп.расчеты!$A218,'Как будет'!FD$26:FD$33)</f>
        <v>0</v>
      </c>
      <c r="FD218">
        <f>SUMIF('Как будет'!$A$26:$A$33,Доп.расчеты!$A218,'Как будет'!FE$26:FE$33)</f>
        <v>0</v>
      </c>
      <c r="FE218">
        <f>SUMIF('Как будет'!$A$26:$A$33,Доп.расчеты!$A218,'Как будет'!FF$26:FF$33)</f>
        <v>0</v>
      </c>
      <c r="FF218">
        <f>SUMIF('Как будет'!$A$26:$A$33,Доп.расчеты!$A218,'Как будет'!FG$26:FG$33)</f>
        <v>0</v>
      </c>
      <c r="FG218">
        <f>SUMIF('Как будет'!$A$26:$A$33,Доп.расчеты!$A218,'Как будет'!FH$26:FH$33)</f>
        <v>0</v>
      </c>
      <c r="FH218">
        <f>SUMIF('Как будет'!$A$26:$A$33,Доп.расчеты!$A218,'Как будет'!FI$26:FI$33)</f>
        <v>0</v>
      </c>
      <c r="FI218">
        <f>SUMIF('Как будет'!$A$26:$A$33,Доп.расчеты!$A218,'Как будет'!FJ$26:FJ$33)</f>
        <v>0</v>
      </c>
      <c r="FJ218">
        <f>SUMIF('Как будет'!$A$26:$A$33,Доп.расчеты!$A218,'Как будет'!FK$26:FK$33)</f>
        <v>0</v>
      </c>
      <c r="FK218">
        <f>SUMIF('Как будет'!$A$26:$A$33,Доп.расчеты!$A218,'Как будет'!FL$26:FL$33)</f>
        <v>0</v>
      </c>
      <c r="FL218">
        <f>SUMIF('Как будет'!$A$26:$A$33,Доп.расчеты!$A218,'Как будет'!FM$26:FM$33)</f>
        <v>0</v>
      </c>
      <c r="FM218">
        <f>SUMIF('Как будет'!$A$26:$A$33,Доп.расчеты!$A218,'Как будет'!FN$26:FN$33)</f>
        <v>0</v>
      </c>
      <c r="FN218">
        <f>SUMIF('Как будет'!$A$26:$A$33,Доп.расчеты!$A218,'Как будет'!FO$26:FO$33)</f>
        <v>0</v>
      </c>
      <c r="FO218">
        <f>SUMIF('Как будет'!$A$26:$A$33,Доп.расчеты!$A218,'Как будет'!FP$26:FP$33)</f>
        <v>0</v>
      </c>
      <c r="FP218">
        <f>SUMIF('Как будет'!$A$26:$A$33,Доп.расчеты!$A218,'Как будет'!FQ$26:FQ$33)</f>
        <v>0</v>
      </c>
      <c r="FQ218">
        <f>SUMIF('Как будет'!$A$26:$A$33,Доп.расчеты!$A218,'Как будет'!FR$26:FR$33)</f>
        <v>0</v>
      </c>
      <c r="FR218">
        <f>SUMIF('Как будет'!$A$26:$A$33,Доп.расчеты!$A218,'Как будет'!FS$26:FS$33)</f>
        <v>0</v>
      </c>
      <c r="FS218">
        <f>SUMIF('Как будет'!$A$26:$A$33,Доп.расчеты!$A218,'Как будет'!FT$26:FT$33)</f>
        <v>0</v>
      </c>
      <c r="FT218">
        <f>SUMIF('Как будет'!$A$26:$A$33,Доп.расчеты!$A218,'Как будет'!FU$26:FU$33)</f>
        <v>0</v>
      </c>
      <c r="FU218">
        <f>SUMIF('Как будет'!$A$26:$A$33,Доп.расчеты!$A218,'Как будет'!FV$26:FV$33)</f>
        <v>0</v>
      </c>
      <c r="FV218">
        <f>SUMIF('Как будет'!$A$26:$A$33,Доп.расчеты!$A218,'Как будет'!FW$26:FW$33)</f>
        <v>0</v>
      </c>
      <c r="FW218">
        <f>SUMIF('Как будет'!$A$26:$A$33,Доп.расчеты!$A218,'Как будет'!FX$26:FX$33)</f>
        <v>0</v>
      </c>
      <c r="FX218">
        <f>SUMIF('Как будет'!$A$26:$A$33,Доп.расчеты!$A218,'Как будет'!FY$26:FY$33)</f>
        <v>0</v>
      </c>
      <c r="FY218">
        <f>SUMIF('Как будет'!$A$26:$A$33,Доп.расчеты!$A218,'Как будет'!FZ$26:FZ$33)</f>
        <v>0</v>
      </c>
      <c r="FZ218">
        <f>SUMIF('Как будет'!$A$26:$A$33,Доп.расчеты!$A218,'Как будет'!GA$26:GA$33)</f>
        <v>0</v>
      </c>
      <c r="GA218">
        <f>SUMIF('Как будет'!$A$26:$A$33,Доп.расчеты!$A218,'Как будет'!GB$26:GB$33)</f>
        <v>0</v>
      </c>
      <c r="GB218">
        <f>SUMIF('Как будет'!$A$26:$A$33,Доп.расчеты!$A218,'Как будет'!GC$26:GC$33)</f>
        <v>0</v>
      </c>
      <c r="GC218">
        <f>SUMIF('Как будет'!$A$26:$A$33,Доп.расчеты!$A218,'Как будет'!GD$26:GD$33)</f>
        <v>0</v>
      </c>
      <c r="GD218">
        <f>SUMIF('Как будет'!$A$26:$A$33,Доп.расчеты!$A218,'Как будет'!GE$26:GE$33)</f>
        <v>0</v>
      </c>
      <c r="GE218">
        <f>SUMIF('Как будет'!$A$26:$A$33,Доп.расчеты!$A218,'Как будет'!GF$26:GF$33)</f>
        <v>0</v>
      </c>
      <c r="GF218">
        <f>SUMIF('Как будет'!$A$26:$A$33,Доп.расчеты!$A218,'Как будет'!GG$26:GG$33)</f>
        <v>0</v>
      </c>
      <c r="GG218">
        <f>SUMIF('Как будет'!$A$26:$A$33,Доп.расчеты!$A218,'Как будет'!GH$26:GH$33)</f>
        <v>0</v>
      </c>
      <c r="GH218">
        <f>SUMIF('Как будет'!$A$26:$A$33,Доп.расчеты!$A218,'Как будет'!GI$26:GI$33)</f>
        <v>0</v>
      </c>
      <c r="GI218">
        <f>SUMIF('Как будет'!$A$26:$A$33,Доп.расчеты!$A218,'Как будет'!GJ$26:GJ$33)</f>
        <v>0</v>
      </c>
      <c r="GJ218">
        <f>SUMIF('Как будет'!$A$26:$A$33,Доп.расчеты!$A218,'Как будет'!GK$26:GK$33)</f>
        <v>0</v>
      </c>
      <c r="GK218">
        <f>SUMIF('Как будет'!$A$26:$A$33,Доп.расчеты!$A218,'Как будет'!GL$26:GL$33)</f>
        <v>0</v>
      </c>
      <c r="GL218">
        <f>SUMIF('Как будет'!$A$26:$A$33,Доп.расчеты!$A218,'Как будет'!GM$26:GM$33)</f>
        <v>0</v>
      </c>
      <c r="GM218">
        <f>SUMIF('Как будет'!$A$26:$A$33,Доп.расчеты!$A218,'Как будет'!GN$26:GN$33)</f>
        <v>0</v>
      </c>
      <c r="GN218">
        <f>SUMIF('Как будет'!$A$26:$A$33,Доп.расчеты!$A218,'Как будет'!GO$26:GO$33)</f>
        <v>0</v>
      </c>
      <c r="GO218">
        <f>SUMIF('Как будет'!$A$26:$A$33,Доп.расчеты!$A218,'Как будет'!GP$26:GP$33)</f>
        <v>0</v>
      </c>
      <c r="GP218">
        <f>SUMIF('Как будет'!$A$26:$A$33,Доп.расчеты!$A218,'Как будет'!GQ$26:GQ$33)</f>
        <v>0</v>
      </c>
      <c r="GQ218">
        <f>SUMIF('Как будет'!$A$26:$A$33,Доп.расчеты!$A218,'Как будет'!GR$26:GR$33)</f>
        <v>0</v>
      </c>
      <c r="GR218">
        <f>SUMIF('Как будет'!$A$26:$A$33,Доп.расчеты!$A218,'Как будет'!GS$26:GS$33)</f>
        <v>0</v>
      </c>
      <c r="GS218">
        <f>SUMIF('Как будет'!$A$26:$A$33,Доп.расчеты!$A218,'Как будет'!GT$26:GT$33)</f>
        <v>0</v>
      </c>
      <c r="GT218">
        <f>SUMIF('Как будет'!$A$26:$A$33,Доп.расчеты!$A218,'Как будет'!GU$26:GU$33)</f>
        <v>0</v>
      </c>
    </row>
    <row r="219" spans="1:202">
      <c r="A219" s="237" t="s">
        <v>240</v>
      </c>
      <c r="B219">
        <f>SUMIF('Как будет'!$A$26:$A$33,Доп.расчеты!$A219,'Как будет'!C$26:C$33)</f>
        <v>0</v>
      </c>
      <c r="C219">
        <f>SUMIF('Как будет'!$A$26:$A$33,Доп.расчеты!$A219,'Как будет'!D$26:D$33)</f>
        <v>0</v>
      </c>
      <c r="D219">
        <f>SUMIF('Как будет'!$A$26:$A$33,Доп.расчеты!$A219,'Как будет'!E$26:E$33)</f>
        <v>0</v>
      </c>
      <c r="E219">
        <f>SUMIF('Как будет'!$A$26:$A$33,Доп.расчеты!$A219,'Как будет'!F$26:F$33)</f>
        <v>0</v>
      </c>
      <c r="F219">
        <f>SUMIF('Как будет'!$A$26:$A$33,Доп.расчеты!$A219,'Как будет'!G$26:G$33)</f>
        <v>0</v>
      </c>
      <c r="G219">
        <f>SUMIF('Как будет'!$A$26:$A$33,Доп.расчеты!$A219,'Как будет'!H$26:H$33)</f>
        <v>0</v>
      </c>
      <c r="H219">
        <f>SUMIF('Как будет'!$A$26:$A$33,Доп.расчеты!$A219,'Как будет'!I$26:I$33)</f>
        <v>0</v>
      </c>
      <c r="I219">
        <f>SUMIF('Как будет'!$A$26:$A$33,Доп.расчеты!$A219,'Как будет'!J$26:J$33)</f>
        <v>0</v>
      </c>
      <c r="J219">
        <f>SUMIF('Как будет'!$A$26:$A$33,Доп.расчеты!$A219,'Как будет'!K$26:K$33)</f>
        <v>0</v>
      </c>
      <c r="K219">
        <f>SUMIF('Как будет'!$A$26:$A$33,Доп.расчеты!$A219,'Как будет'!L$26:L$33)</f>
        <v>0</v>
      </c>
      <c r="L219">
        <f>SUMIF('Как будет'!$A$26:$A$33,Доп.расчеты!$A219,'Как будет'!M$26:M$33)</f>
        <v>0</v>
      </c>
      <c r="M219">
        <f>SUMIF('Как будет'!$A$26:$A$33,Доп.расчеты!$A219,'Как будет'!N$26:N$33)</f>
        <v>0</v>
      </c>
      <c r="N219">
        <f>SUMIF('Как будет'!$A$26:$A$33,Доп.расчеты!$A219,'Как будет'!O$26:O$33)</f>
        <v>0</v>
      </c>
      <c r="O219">
        <f>SUMIF('Как будет'!$A$26:$A$33,Доп.расчеты!$A219,'Как будет'!P$26:P$33)</f>
        <v>0</v>
      </c>
      <c r="P219">
        <f>SUMIF('Как будет'!$A$26:$A$33,Доп.расчеты!$A219,'Как будет'!Q$26:Q$33)</f>
        <v>0</v>
      </c>
      <c r="Q219">
        <f>SUMIF('Как будет'!$A$26:$A$33,Доп.расчеты!$A219,'Как будет'!R$26:R$33)</f>
        <v>0</v>
      </c>
      <c r="R219">
        <f>SUMIF('Как будет'!$A$26:$A$33,Доп.расчеты!$A219,'Как будет'!S$26:S$33)</f>
        <v>0</v>
      </c>
      <c r="S219">
        <f>SUMIF('Как будет'!$A$26:$A$33,Доп.расчеты!$A219,'Как будет'!T$26:T$33)</f>
        <v>0</v>
      </c>
      <c r="T219">
        <f>SUMIF('Как будет'!$A$26:$A$33,Доп.расчеты!$A219,'Как будет'!U$26:U$33)</f>
        <v>0</v>
      </c>
      <c r="U219">
        <f>SUMIF('Как будет'!$A$26:$A$33,Доп.расчеты!$A219,'Как будет'!V$26:V$33)</f>
        <v>0</v>
      </c>
      <c r="V219">
        <f>SUMIF('Как будет'!$A$26:$A$33,Доп.расчеты!$A219,'Как будет'!W$26:W$33)</f>
        <v>0</v>
      </c>
      <c r="W219">
        <f>SUMIF('Как будет'!$A$26:$A$33,Доп.расчеты!$A219,'Как будет'!X$26:X$33)</f>
        <v>0</v>
      </c>
      <c r="X219">
        <f>SUMIF('Как будет'!$A$26:$A$33,Доп.расчеты!$A219,'Как будет'!Y$26:Y$33)</f>
        <v>0</v>
      </c>
      <c r="Y219">
        <f>SUMIF('Как будет'!$A$26:$A$33,Доп.расчеты!$A219,'Как будет'!Z$26:Z$33)</f>
        <v>0</v>
      </c>
      <c r="Z219">
        <f>SUMIF('Как будет'!$A$26:$A$33,Доп.расчеты!$A219,'Как будет'!AA$26:AA$33)</f>
        <v>0</v>
      </c>
      <c r="AA219">
        <f>SUMIF('Как будет'!$A$26:$A$33,Доп.расчеты!$A219,'Как будет'!AB$26:AB$33)</f>
        <v>0</v>
      </c>
      <c r="AB219">
        <f>SUMIF('Как будет'!$A$26:$A$33,Доп.расчеты!$A219,'Как будет'!AC$26:AC$33)</f>
        <v>0</v>
      </c>
      <c r="AC219">
        <f>SUMIF('Как будет'!$A$26:$A$33,Доп.расчеты!$A219,'Как будет'!AD$26:AD$33)</f>
        <v>0</v>
      </c>
      <c r="AD219">
        <f>SUMIF('Как будет'!$A$26:$A$33,Доп.расчеты!$A219,'Как будет'!AE$26:AE$33)</f>
        <v>0</v>
      </c>
      <c r="AE219">
        <f>SUMIF('Как будет'!$A$26:$A$33,Доп.расчеты!$A219,'Как будет'!AF$26:AF$33)</f>
        <v>0</v>
      </c>
      <c r="AF219">
        <f>SUMIF('Как будет'!$A$26:$A$33,Доп.расчеты!$A219,'Как будет'!AG$26:AG$33)</f>
        <v>0</v>
      </c>
      <c r="AG219">
        <f>SUMIF('Как будет'!$A$26:$A$33,Доп.расчеты!$A219,'Как будет'!AH$26:AH$33)</f>
        <v>0</v>
      </c>
      <c r="AH219">
        <f>SUMIF('Как будет'!$A$26:$A$33,Доп.расчеты!$A219,'Как будет'!AI$26:AI$33)</f>
        <v>0</v>
      </c>
      <c r="AI219">
        <f>SUMIF('Как будет'!$A$26:$A$33,Доп.расчеты!$A219,'Как будет'!AJ$26:AJ$33)</f>
        <v>0</v>
      </c>
      <c r="AJ219">
        <f>SUMIF('Как будет'!$A$26:$A$33,Доп.расчеты!$A219,'Как будет'!AK$26:AK$33)</f>
        <v>0</v>
      </c>
      <c r="AK219">
        <f>SUMIF('Как будет'!$A$26:$A$33,Доп.расчеты!$A219,'Как будет'!AL$26:AL$33)</f>
        <v>0</v>
      </c>
      <c r="AL219">
        <f>SUMIF('Как будет'!$A$26:$A$33,Доп.расчеты!$A219,'Как будет'!AM$26:AM$33)</f>
        <v>0</v>
      </c>
      <c r="AM219">
        <f>SUMIF('Как будет'!$A$26:$A$33,Доп.расчеты!$A219,'Как будет'!AN$26:AN$33)</f>
        <v>0</v>
      </c>
      <c r="AN219">
        <f>SUMIF('Как будет'!$A$26:$A$33,Доп.расчеты!$A219,'Как будет'!AO$26:AO$33)</f>
        <v>0</v>
      </c>
      <c r="AO219">
        <f>SUMIF('Как будет'!$A$26:$A$33,Доп.расчеты!$A219,'Как будет'!AP$26:AP$33)</f>
        <v>0</v>
      </c>
      <c r="AP219">
        <f>SUMIF('Как будет'!$A$26:$A$33,Доп.расчеты!$A219,'Как будет'!AQ$26:AQ$33)</f>
        <v>0</v>
      </c>
      <c r="AQ219">
        <f>SUMIF('Как будет'!$A$26:$A$33,Доп.расчеты!$A219,'Как будет'!AR$26:AR$33)</f>
        <v>0</v>
      </c>
      <c r="AR219">
        <f>SUMIF('Как будет'!$A$26:$A$33,Доп.расчеты!$A219,'Как будет'!AS$26:AS$33)</f>
        <v>0</v>
      </c>
      <c r="AS219">
        <f>SUMIF('Как будет'!$A$26:$A$33,Доп.расчеты!$A219,'Как будет'!AT$26:AT$33)</f>
        <v>0</v>
      </c>
      <c r="AT219">
        <f>SUMIF('Как будет'!$A$26:$A$33,Доп.расчеты!$A219,'Как будет'!AU$26:AU$33)</f>
        <v>0</v>
      </c>
      <c r="AU219">
        <f>SUMIF('Как будет'!$A$26:$A$33,Доп.расчеты!$A219,'Как будет'!AV$26:AV$33)</f>
        <v>0</v>
      </c>
      <c r="AV219">
        <f>SUMIF('Как будет'!$A$26:$A$33,Доп.расчеты!$A219,'Как будет'!AW$26:AW$33)</f>
        <v>0</v>
      </c>
      <c r="AW219">
        <f>SUMIF('Как будет'!$A$26:$A$33,Доп.расчеты!$A219,'Как будет'!AX$26:AX$33)</f>
        <v>0</v>
      </c>
      <c r="AX219">
        <f>SUMIF('Как будет'!$A$26:$A$33,Доп.расчеты!$A219,'Как будет'!AY$26:AY$33)</f>
        <v>0</v>
      </c>
      <c r="AY219">
        <f>SUMIF('Как будет'!$A$26:$A$33,Доп.расчеты!$A219,'Как будет'!AZ$26:AZ$33)</f>
        <v>0</v>
      </c>
      <c r="AZ219">
        <f>SUMIF('Как будет'!$A$26:$A$33,Доп.расчеты!$A219,'Как будет'!BA$26:BA$33)</f>
        <v>0</v>
      </c>
      <c r="BA219">
        <f>SUMIF('Как будет'!$A$26:$A$33,Доп.расчеты!$A219,'Как будет'!BB$26:BB$33)</f>
        <v>0</v>
      </c>
      <c r="BB219">
        <f>SUMIF('Как будет'!$A$26:$A$33,Доп.расчеты!$A219,'Как будет'!BC$26:BC$33)</f>
        <v>0</v>
      </c>
      <c r="BC219">
        <f>SUMIF('Как будет'!$A$26:$A$33,Доп.расчеты!$A219,'Как будет'!BD$26:BD$33)</f>
        <v>0</v>
      </c>
      <c r="BD219">
        <f>SUMIF('Как будет'!$A$26:$A$33,Доп.расчеты!$A219,'Как будет'!BE$26:BE$33)</f>
        <v>0</v>
      </c>
      <c r="BE219">
        <f>SUMIF('Как будет'!$A$26:$A$33,Доп.расчеты!$A219,'Как будет'!BF$26:BF$33)</f>
        <v>0</v>
      </c>
      <c r="BF219">
        <f>SUMIF('Как будет'!$A$26:$A$33,Доп.расчеты!$A219,'Как будет'!BG$26:BG$33)</f>
        <v>0</v>
      </c>
      <c r="BG219">
        <f>SUMIF('Как будет'!$A$26:$A$33,Доп.расчеты!$A219,'Как будет'!BH$26:BH$33)</f>
        <v>0</v>
      </c>
      <c r="BH219">
        <f>SUMIF('Как будет'!$A$26:$A$33,Доп.расчеты!$A219,'Как будет'!BI$26:BI$33)</f>
        <v>0</v>
      </c>
      <c r="BI219">
        <f>SUMIF('Как будет'!$A$26:$A$33,Доп.расчеты!$A219,'Как будет'!BJ$26:BJ$33)</f>
        <v>0</v>
      </c>
      <c r="BJ219">
        <f>SUMIF('Как будет'!$A$26:$A$33,Доп.расчеты!$A219,'Как будет'!BK$26:BK$33)</f>
        <v>0</v>
      </c>
      <c r="BK219">
        <f>SUMIF('Как будет'!$A$26:$A$33,Доп.расчеты!$A219,'Как будет'!BL$26:BL$33)</f>
        <v>0</v>
      </c>
      <c r="BL219">
        <f>SUMIF('Как будет'!$A$26:$A$33,Доп.расчеты!$A219,'Как будет'!BM$26:BM$33)</f>
        <v>0</v>
      </c>
      <c r="BM219">
        <f>SUMIF('Как будет'!$A$26:$A$33,Доп.расчеты!$A219,'Как будет'!BN$26:BN$33)</f>
        <v>0</v>
      </c>
      <c r="BN219">
        <f>SUMIF('Как будет'!$A$26:$A$33,Доп.расчеты!$A219,'Как будет'!BO$26:BO$33)</f>
        <v>0</v>
      </c>
      <c r="BO219">
        <f>SUMIF('Как будет'!$A$26:$A$33,Доп.расчеты!$A219,'Как будет'!BP$26:BP$33)</f>
        <v>0</v>
      </c>
      <c r="BP219">
        <f>SUMIF('Как будет'!$A$26:$A$33,Доп.расчеты!$A219,'Как будет'!BQ$26:BQ$33)</f>
        <v>0</v>
      </c>
      <c r="BQ219">
        <f>SUMIF('Как будет'!$A$26:$A$33,Доп.расчеты!$A219,'Как будет'!BR$26:BR$33)</f>
        <v>0</v>
      </c>
      <c r="BR219">
        <f>SUMIF('Как будет'!$A$26:$A$33,Доп.расчеты!$A219,'Как будет'!BS$26:BS$33)</f>
        <v>0</v>
      </c>
      <c r="BS219">
        <f>SUMIF('Как будет'!$A$26:$A$33,Доп.расчеты!$A219,'Как будет'!BT$26:BT$33)</f>
        <v>0</v>
      </c>
      <c r="BT219">
        <f>SUMIF('Как будет'!$A$26:$A$33,Доп.расчеты!$A219,'Как будет'!BU$26:BU$33)</f>
        <v>0</v>
      </c>
      <c r="BU219">
        <f>SUMIF('Как будет'!$A$26:$A$33,Доп.расчеты!$A219,'Как будет'!BV$26:BV$33)</f>
        <v>0</v>
      </c>
      <c r="BV219">
        <f>SUMIF('Как будет'!$A$26:$A$33,Доп.расчеты!$A219,'Как будет'!BW$26:BW$33)</f>
        <v>0</v>
      </c>
      <c r="BW219">
        <f>SUMIF('Как будет'!$A$26:$A$33,Доп.расчеты!$A219,'Как будет'!BX$26:BX$33)</f>
        <v>0</v>
      </c>
      <c r="BX219">
        <f>SUMIF('Как будет'!$A$26:$A$33,Доп.расчеты!$A219,'Как будет'!BY$26:BY$33)</f>
        <v>0</v>
      </c>
      <c r="BY219">
        <f>SUMIF('Как будет'!$A$26:$A$33,Доп.расчеты!$A219,'Как будет'!BZ$26:BZ$33)</f>
        <v>0</v>
      </c>
      <c r="BZ219">
        <f>SUMIF('Как будет'!$A$26:$A$33,Доп.расчеты!$A219,'Как будет'!CA$26:CA$33)</f>
        <v>0</v>
      </c>
      <c r="CA219">
        <f>SUMIF('Как будет'!$A$26:$A$33,Доп.расчеты!$A219,'Как будет'!CB$26:CB$33)</f>
        <v>0</v>
      </c>
      <c r="CB219">
        <f>SUMIF('Как будет'!$A$26:$A$33,Доп.расчеты!$A219,'Как будет'!CC$26:CC$33)</f>
        <v>0</v>
      </c>
      <c r="CC219">
        <f>SUMIF('Как будет'!$A$26:$A$33,Доп.расчеты!$A219,'Как будет'!CD$26:CD$33)</f>
        <v>0</v>
      </c>
      <c r="CD219">
        <f>SUMIF('Как будет'!$A$26:$A$33,Доп.расчеты!$A219,'Как будет'!CE$26:CE$33)</f>
        <v>0</v>
      </c>
      <c r="CE219">
        <f>SUMIF('Как будет'!$A$26:$A$33,Доп.расчеты!$A219,'Как будет'!CF$26:CF$33)</f>
        <v>0</v>
      </c>
      <c r="CF219">
        <f>SUMIF('Как будет'!$A$26:$A$33,Доп.расчеты!$A219,'Как будет'!CG$26:CG$33)</f>
        <v>0</v>
      </c>
      <c r="CG219">
        <f>SUMIF('Как будет'!$A$26:$A$33,Доп.расчеты!$A219,'Как будет'!CH$26:CH$33)</f>
        <v>0</v>
      </c>
      <c r="CH219">
        <f>SUMIF('Как будет'!$A$26:$A$33,Доп.расчеты!$A219,'Как будет'!CI$26:CI$33)</f>
        <v>0</v>
      </c>
      <c r="CI219">
        <f>SUMIF('Как будет'!$A$26:$A$33,Доп.расчеты!$A219,'Как будет'!CJ$26:CJ$33)</f>
        <v>0</v>
      </c>
      <c r="CJ219">
        <f>SUMIF('Как будет'!$A$26:$A$33,Доп.расчеты!$A219,'Как будет'!CK$26:CK$33)</f>
        <v>0</v>
      </c>
      <c r="CK219">
        <f>SUMIF('Как будет'!$A$26:$A$33,Доп.расчеты!$A219,'Как будет'!CL$26:CL$33)</f>
        <v>0</v>
      </c>
      <c r="CL219">
        <f>SUMIF('Как будет'!$A$26:$A$33,Доп.расчеты!$A219,'Как будет'!CM$26:CM$33)</f>
        <v>0</v>
      </c>
      <c r="CM219">
        <f>SUMIF('Как будет'!$A$26:$A$33,Доп.расчеты!$A219,'Как будет'!CN$26:CN$33)</f>
        <v>0</v>
      </c>
      <c r="CN219">
        <f>SUMIF('Как будет'!$A$26:$A$33,Доп.расчеты!$A219,'Как будет'!CO$26:CO$33)</f>
        <v>0</v>
      </c>
      <c r="CO219">
        <f>SUMIF('Как будет'!$A$26:$A$33,Доп.расчеты!$A219,'Как будет'!CP$26:CP$33)</f>
        <v>0</v>
      </c>
      <c r="CP219">
        <f>SUMIF('Как будет'!$A$26:$A$33,Доп.расчеты!$A219,'Как будет'!CQ$26:CQ$33)</f>
        <v>0</v>
      </c>
      <c r="CQ219">
        <f>SUMIF('Как будет'!$A$26:$A$33,Доп.расчеты!$A219,'Как будет'!CR$26:CR$33)</f>
        <v>0</v>
      </c>
      <c r="CR219">
        <f>SUMIF('Как будет'!$A$26:$A$33,Доп.расчеты!$A219,'Как будет'!CS$26:CS$33)</f>
        <v>0</v>
      </c>
      <c r="CS219">
        <f>SUMIF('Как будет'!$A$26:$A$33,Доп.расчеты!$A219,'Как будет'!CT$26:CT$33)</f>
        <v>0</v>
      </c>
      <c r="CT219">
        <f>SUMIF('Как будет'!$A$26:$A$33,Доп.расчеты!$A219,'Как будет'!CU$26:CU$33)</f>
        <v>0</v>
      </c>
      <c r="CU219">
        <f>SUMIF('Как будет'!$A$26:$A$33,Доп.расчеты!$A219,'Как будет'!CV$26:CV$33)</f>
        <v>0</v>
      </c>
      <c r="CV219">
        <f>SUMIF('Как будет'!$A$26:$A$33,Доп.расчеты!$A219,'Как будет'!CW$26:CW$33)</f>
        <v>0</v>
      </c>
      <c r="CW219">
        <f>SUMIF('Как будет'!$A$26:$A$33,Доп.расчеты!$A219,'Как будет'!CX$26:CX$33)</f>
        <v>0</v>
      </c>
      <c r="CX219">
        <f>SUMIF('Как будет'!$A$26:$A$33,Доп.расчеты!$A219,'Как будет'!CY$26:CY$33)</f>
        <v>0</v>
      </c>
      <c r="CY219">
        <f>SUMIF('Как будет'!$A$26:$A$33,Доп.расчеты!$A219,'Как будет'!CZ$26:CZ$33)</f>
        <v>0</v>
      </c>
      <c r="CZ219">
        <f>SUMIF('Как будет'!$A$26:$A$33,Доп.расчеты!$A219,'Как будет'!DA$26:DA$33)</f>
        <v>0</v>
      </c>
      <c r="DA219">
        <f>SUMIF('Как будет'!$A$26:$A$33,Доп.расчеты!$A219,'Как будет'!DB$26:DB$33)</f>
        <v>0</v>
      </c>
      <c r="DB219">
        <f>SUMIF('Как будет'!$A$26:$A$33,Доп.расчеты!$A219,'Как будет'!DC$26:DC$33)</f>
        <v>0</v>
      </c>
      <c r="DC219">
        <f>SUMIF('Как будет'!$A$26:$A$33,Доп.расчеты!$A219,'Как будет'!DD$26:DD$33)</f>
        <v>0</v>
      </c>
      <c r="DD219">
        <f>SUMIF('Как будет'!$A$26:$A$33,Доп.расчеты!$A219,'Как будет'!DE$26:DE$33)</f>
        <v>0</v>
      </c>
      <c r="DE219">
        <f>SUMIF('Как будет'!$A$26:$A$33,Доп.расчеты!$A219,'Как будет'!DF$26:DF$33)</f>
        <v>0</v>
      </c>
      <c r="DF219">
        <f>SUMIF('Как будет'!$A$26:$A$33,Доп.расчеты!$A219,'Как будет'!DG$26:DG$33)</f>
        <v>0</v>
      </c>
      <c r="DG219">
        <f>SUMIF('Как будет'!$A$26:$A$33,Доп.расчеты!$A219,'Как будет'!DH$26:DH$33)</f>
        <v>0</v>
      </c>
      <c r="DH219">
        <f>SUMIF('Как будет'!$A$26:$A$33,Доп.расчеты!$A219,'Как будет'!DI$26:DI$33)</f>
        <v>0</v>
      </c>
      <c r="DI219">
        <f>SUMIF('Как будет'!$A$26:$A$33,Доп.расчеты!$A219,'Как будет'!DJ$26:DJ$33)</f>
        <v>0</v>
      </c>
      <c r="DJ219">
        <f>SUMIF('Как будет'!$A$26:$A$33,Доп.расчеты!$A219,'Как будет'!DK$26:DK$33)</f>
        <v>0</v>
      </c>
      <c r="DK219">
        <f>SUMIF('Как будет'!$A$26:$A$33,Доп.расчеты!$A219,'Как будет'!DL$26:DL$33)</f>
        <v>0</v>
      </c>
      <c r="DL219">
        <f>SUMIF('Как будет'!$A$26:$A$33,Доп.расчеты!$A219,'Как будет'!DM$26:DM$33)</f>
        <v>0</v>
      </c>
      <c r="DM219">
        <f>SUMIF('Как будет'!$A$26:$A$33,Доп.расчеты!$A219,'Как будет'!DN$26:DN$33)</f>
        <v>0</v>
      </c>
      <c r="DN219">
        <f>SUMIF('Как будет'!$A$26:$A$33,Доп.расчеты!$A219,'Как будет'!DO$26:DO$33)</f>
        <v>0</v>
      </c>
      <c r="DO219">
        <f>SUMIF('Как будет'!$A$26:$A$33,Доп.расчеты!$A219,'Как будет'!DP$26:DP$33)</f>
        <v>0</v>
      </c>
      <c r="DP219">
        <f>SUMIF('Как будет'!$A$26:$A$33,Доп.расчеты!$A219,'Как будет'!DQ$26:DQ$33)</f>
        <v>0</v>
      </c>
      <c r="DQ219">
        <f>SUMIF('Как будет'!$A$26:$A$33,Доп.расчеты!$A219,'Как будет'!DR$26:DR$33)</f>
        <v>0</v>
      </c>
      <c r="DR219">
        <f>SUMIF('Как будет'!$A$26:$A$33,Доп.расчеты!$A219,'Как будет'!DS$26:DS$33)</f>
        <v>0</v>
      </c>
      <c r="DS219">
        <f>SUMIF('Как будет'!$A$26:$A$33,Доп.расчеты!$A219,'Как будет'!DT$26:DT$33)</f>
        <v>0</v>
      </c>
      <c r="DT219">
        <f>SUMIF('Как будет'!$A$26:$A$33,Доп.расчеты!$A219,'Как будет'!DU$26:DU$33)</f>
        <v>0</v>
      </c>
      <c r="DU219">
        <f>SUMIF('Как будет'!$A$26:$A$33,Доп.расчеты!$A219,'Как будет'!DV$26:DV$33)</f>
        <v>0</v>
      </c>
      <c r="DV219">
        <f>SUMIF('Как будет'!$A$26:$A$33,Доп.расчеты!$A219,'Как будет'!DW$26:DW$33)</f>
        <v>0</v>
      </c>
      <c r="DW219">
        <f>SUMIF('Как будет'!$A$26:$A$33,Доп.расчеты!$A219,'Как будет'!DX$26:DX$33)</f>
        <v>0</v>
      </c>
      <c r="DX219">
        <f>SUMIF('Как будет'!$A$26:$A$33,Доп.расчеты!$A219,'Как будет'!DY$26:DY$33)</f>
        <v>0</v>
      </c>
      <c r="DY219">
        <f>SUMIF('Как будет'!$A$26:$A$33,Доп.расчеты!$A219,'Как будет'!DZ$26:DZ$33)</f>
        <v>0</v>
      </c>
      <c r="DZ219">
        <f>SUMIF('Как будет'!$A$26:$A$33,Доп.расчеты!$A219,'Как будет'!EA$26:EA$33)</f>
        <v>0</v>
      </c>
      <c r="EA219">
        <f>SUMIF('Как будет'!$A$26:$A$33,Доп.расчеты!$A219,'Как будет'!EB$26:EB$33)</f>
        <v>0</v>
      </c>
      <c r="EB219">
        <f>SUMIF('Как будет'!$A$26:$A$33,Доп.расчеты!$A219,'Как будет'!EC$26:EC$33)</f>
        <v>0</v>
      </c>
      <c r="EC219">
        <f>SUMIF('Как будет'!$A$26:$A$33,Доп.расчеты!$A219,'Как будет'!ED$26:ED$33)</f>
        <v>0</v>
      </c>
      <c r="ED219">
        <f>SUMIF('Как будет'!$A$26:$A$33,Доп.расчеты!$A219,'Как будет'!EE$26:EE$33)</f>
        <v>0</v>
      </c>
      <c r="EE219">
        <f>SUMIF('Как будет'!$A$26:$A$33,Доп.расчеты!$A219,'Как будет'!EF$26:EF$33)</f>
        <v>0</v>
      </c>
      <c r="EF219">
        <f>SUMIF('Как будет'!$A$26:$A$33,Доп.расчеты!$A219,'Как будет'!EG$26:EG$33)</f>
        <v>0</v>
      </c>
      <c r="EG219">
        <f>SUMIF('Как будет'!$A$26:$A$33,Доп.расчеты!$A219,'Как будет'!EH$26:EH$33)</f>
        <v>0</v>
      </c>
      <c r="EH219">
        <f>SUMIF('Как будет'!$A$26:$A$33,Доп.расчеты!$A219,'Как будет'!EI$26:EI$33)</f>
        <v>0</v>
      </c>
      <c r="EI219">
        <f>SUMIF('Как будет'!$A$26:$A$33,Доп.расчеты!$A219,'Как будет'!EJ$26:EJ$33)</f>
        <v>0</v>
      </c>
      <c r="EJ219">
        <f>SUMIF('Как будет'!$A$26:$A$33,Доп.расчеты!$A219,'Как будет'!EK$26:EK$33)</f>
        <v>0</v>
      </c>
      <c r="EK219">
        <f>SUMIF('Как будет'!$A$26:$A$33,Доп.расчеты!$A219,'Как будет'!EL$26:EL$33)</f>
        <v>0</v>
      </c>
      <c r="EL219">
        <f>SUMIF('Как будет'!$A$26:$A$33,Доп.расчеты!$A219,'Как будет'!EM$26:EM$33)</f>
        <v>0</v>
      </c>
      <c r="EM219">
        <f>SUMIF('Как будет'!$A$26:$A$33,Доп.расчеты!$A219,'Как будет'!EN$26:EN$33)</f>
        <v>0</v>
      </c>
      <c r="EN219">
        <f>SUMIF('Как будет'!$A$26:$A$33,Доп.расчеты!$A219,'Как будет'!EO$26:EO$33)</f>
        <v>0</v>
      </c>
      <c r="EO219">
        <f>SUMIF('Как будет'!$A$26:$A$33,Доп.расчеты!$A219,'Как будет'!EP$26:EP$33)</f>
        <v>0</v>
      </c>
      <c r="EP219">
        <f>SUMIF('Как будет'!$A$26:$A$33,Доп.расчеты!$A219,'Как будет'!EQ$26:EQ$33)</f>
        <v>0</v>
      </c>
      <c r="EQ219">
        <f>SUMIF('Как будет'!$A$26:$A$33,Доп.расчеты!$A219,'Как будет'!ER$26:ER$33)</f>
        <v>0</v>
      </c>
      <c r="ER219">
        <f>SUMIF('Как будет'!$A$26:$A$33,Доп.расчеты!$A219,'Как будет'!ES$26:ES$33)</f>
        <v>0</v>
      </c>
      <c r="ES219">
        <f>SUMIF('Как будет'!$A$26:$A$33,Доп.расчеты!$A219,'Как будет'!ET$26:ET$33)</f>
        <v>0</v>
      </c>
      <c r="ET219">
        <f>SUMIF('Как будет'!$A$26:$A$33,Доп.расчеты!$A219,'Как будет'!EU$26:EU$33)</f>
        <v>0</v>
      </c>
      <c r="EU219">
        <f>SUMIF('Как будет'!$A$26:$A$33,Доп.расчеты!$A219,'Как будет'!EV$26:EV$33)</f>
        <v>0</v>
      </c>
      <c r="EV219">
        <f>SUMIF('Как будет'!$A$26:$A$33,Доп.расчеты!$A219,'Как будет'!EW$26:EW$33)</f>
        <v>0</v>
      </c>
      <c r="EW219">
        <f>SUMIF('Как будет'!$A$26:$A$33,Доп.расчеты!$A219,'Как будет'!EX$26:EX$33)</f>
        <v>0</v>
      </c>
      <c r="EX219">
        <f>SUMIF('Как будет'!$A$26:$A$33,Доп.расчеты!$A219,'Как будет'!EY$26:EY$33)</f>
        <v>0</v>
      </c>
      <c r="EY219">
        <f>SUMIF('Как будет'!$A$26:$A$33,Доп.расчеты!$A219,'Как будет'!EZ$26:EZ$33)</f>
        <v>0</v>
      </c>
      <c r="EZ219">
        <f>SUMIF('Как будет'!$A$26:$A$33,Доп.расчеты!$A219,'Как будет'!FA$26:FA$33)</f>
        <v>0</v>
      </c>
      <c r="FA219">
        <f>SUMIF('Как будет'!$A$26:$A$33,Доп.расчеты!$A219,'Как будет'!FB$26:FB$33)</f>
        <v>0</v>
      </c>
      <c r="FB219">
        <f>SUMIF('Как будет'!$A$26:$A$33,Доп.расчеты!$A219,'Как будет'!FC$26:FC$33)</f>
        <v>0</v>
      </c>
      <c r="FC219">
        <f>SUMIF('Как будет'!$A$26:$A$33,Доп.расчеты!$A219,'Как будет'!FD$26:FD$33)</f>
        <v>0</v>
      </c>
      <c r="FD219">
        <f>SUMIF('Как будет'!$A$26:$A$33,Доп.расчеты!$A219,'Как будет'!FE$26:FE$33)</f>
        <v>0</v>
      </c>
      <c r="FE219">
        <f>SUMIF('Как будет'!$A$26:$A$33,Доп.расчеты!$A219,'Как будет'!FF$26:FF$33)</f>
        <v>0</v>
      </c>
      <c r="FF219">
        <f>SUMIF('Как будет'!$A$26:$A$33,Доп.расчеты!$A219,'Как будет'!FG$26:FG$33)</f>
        <v>0</v>
      </c>
      <c r="FG219">
        <f>SUMIF('Как будет'!$A$26:$A$33,Доп.расчеты!$A219,'Как будет'!FH$26:FH$33)</f>
        <v>0</v>
      </c>
      <c r="FH219">
        <f>SUMIF('Как будет'!$A$26:$A$33,Доп.расчеты!$A219,'Как будет'!FI$26:FI$33)</f>
        <v>0</v>
      </c>
      <c r="FI219">
        <f>SUMIF('Как будет'!$A$26:$A$33,Доп.расчеты!$A219,'Как будет'!FJ$26:FJ$33)</f>
        <v>0</v>
      </c>
      <c r="FJ219">
        <f>SUMIF('Как будет'!$A$26:$A$33,Доп.расчеты!$A219,'Как будет'!FK$26:FK$33)</f>
        <v>0</v>
      </c>
      <c r="FK219">
        <f>SUMIF('Как будет'!$A$26:$A$33,Доп.расчеты!$A219,'Как будет'!FL$26:FL$33)</f>
        <v>0</v>
      </c>
      <c r="FL219">
        <f>SUMIF('Как будет'!$A$26:$A$33,Доп.расчеты!$A219,'Как будет'!FM$26:FM$33)</f>
        <v>0</v>
      </c>
      <c r="FM219">
        <f>SUMIF('Как будет'!$A$26:$A$33,Доп.расчеты!$A219,'Как будет'!FN$26:FN$33)</f>
        <v>0</v>
      </c>
      <c r="FN219">
        <f>SUMIF('Как будет'!$A$26:$A$33,Доп.расчеты!$A219,'Как будет'!FO$26:FO$33)</f>
        <v>0</v>
      </c>
      <c r="FO219">
        <f>SUMIF('Как будет'!$A$26:$A$33,Доп.расчеты!$A219,'Как будет'!FP$26:FP$33)</f>
        <v>0</v>
      </c>
      <c r="FP219">
        <f>SUMIF('Как будет'!$A$26:$A$33,Доп.расчеты!$A219,'Как будет'!FQ$26:FQ$33)</f>
        <v>0</v>
      </c>
      <c r="FQ219">
        <f>SUMIF('Как будет'!$A$26:$A$33,Доп.расчеты!$A219,'Как будет'!FR$26:FR$33)</f>
        <v>0</v>
      </c>
      <c r="FR219">
        <f>SUMIF('Как будет'!$A$26:$A$33,Доп.расчеты!$A219,'Как будет'!FS$26:FS$33)</f>
        <v>0</v>
      </c>
      <c r="FS219">
        <f>SUMIF('Как будет'!$A$26:$A$33,Доп.расчеты!$A219,'Как будет'!FT$26:FT$33)</f>
        <v>0</v>
      </c>
      <c r="FT219">
        <f>SUMIF('Как будет'!$A$26:$A$33,Доп.расчеты!$A219,'Как будет'!FU$26:FU$33)</f>
        <v>0</v>
      </c>
      <c r="FU219">
        <f>SUMIF('Как будет'!$A$26:$A$33,Доп.расчеты!$A219,'Как будет'!FV$26:FV$33)</f>
        <v>0</v>
      </c>
      <c r="FV219">
        <f>SUMIF('Как будет'!$A$26:$A$33,Доп.расчеты!$A219,'Как будет'!FW$26:FW$33)</f>
        <v>0</v>
      </c>
      <c r="FW219">
        <f>SUMIF('Как будет'!$A$26:$A$33,Доп.расчеты!$A219,'Как будет'!FX$26:FX$33)</f>
        <v>0</v>
      </c>
      <c r="FX219">
        <f>SUMIF('Как будет'!$A$26:$A$33,Доп.расчеты!$A219,'Как будет'!FY$26:FY$33)</f>
        <v>0</v>
      </c>
      <c r="FY219">
        <f>SUMIF('Как будет'!$A$26:$A$33,Доп.расчеты!$A219,'Как будет'!FZ$26:FZ$33)</f>
        <v>0</v>
      </c>
      <c r="FZ219">
        <f>SUMIF('Как будет'!$A$26:$A$33,Доп.расчеты!$A219,'Как будет'!GA$26:GA$33)</f>
        <v>0</v>
      </c>
      <c r="GA219">
        <f>SUMIF('Как будет'!$A$26:$A$33,Доп.расчеты!$A219,'Как будет'!GB$26:GB$33)</f>
        <v>0</v>
      </c>
      <c r="GB219">
        <f>SUMIF('Как будет'!$A$26:$A$33,Доп.расчеты!$A219,'Как будет'!GC$26:GC$33)</f>
        <v>0</v>
      </c>
      <c r="GC219">
        <f>SUMIF('Как будет'!$A$26:$A$33,Доп.расчеты!$A219,'Как будет'!GD$26:GD$33)</f>
        <v>0</v>
      </c>
      <c r="GD219">
        <f>SUMIF('Как будет'!$A$26:$A$33,Доп.расчеты!$A219,'Как будет'!GE$26:GE$33)</f>
        <v>0</v>
      </c>
      <c r="GE219">
        <f>SUMIF('Как будет'!$A$26:$A$33,Доп.расчеты!$A219,'Как будет'!GF$26:GF$33)</f>
        <v>0</v>
      </c>
      <c r="GF219">
        <f>SUMIF('Как будет'!$A$26:$A$33,Доп.расчеты!$A219,'Как будет'!GG$26:GG$33)</f>
        <v>0</v>
      </c>
      <c r="GG219">
        <f>SUMIF('Как будет'!$A$26:$A$33,Доп.расчеты!$A219,'Как будет'!GH$26:GH$33)</f>
        <v>0</v>
      </c>
      <c r="GH219">
        <f>SUMIF('Как будет'!$A$26:$A$33,Доп.расчеты!$A219,'Как будет'!GI$26:GI$33)</f>
        <v>0</v>
      </c>
      <c r="GI219">
        <f>SUMIF('Как будет'!$A$26:$A$33,Доп.расчеты!$A219,'Как будет'!GJ$26:GJ$33)</f>
        <v>0</v>
      </c>
      <c r="GJ219">
        <f>SUMIF('Как будет'!$A$26:$A$33,Доп.расчеты!$A219,'Как будет'!GK$26:GK$33)</f>
        <v>0</v>
      </c>
      <c r="GK219">
        <f>SUMIF('Как будет'!$A$26:$A$33,Доп.расчеты!$A219,'Как будет'!GL$26:GL$33)</f>
        <v>0</v>
      </c>
      <c r="GL219">
        <f>SUMIF('Как будет'!$A$26:$A$33,Доп.расчеты!$A219,'Как будет'!GM$26:GM$33)</f>
        <v>0</v>
      </c>
      <c r="GM219">
        <f>SUMIF('Как будет'!$A$26:$A$33,Доп.расчеты!$A219,'Как будет'!GN$26:GN$33)</f>
        <v>0</v>
      </c>
      <c r="GN219">
        <f>SUMIF('Как будет'!$A$26:$A$33,Доп.расчеты!$A219,'Как будет'!GO$26:GO$33)</f>
        <v>0</v>
      </c>
      <c r="GO219">
        <f>SUMIF('Как будет'!$A$26:$A$33,Доп.расчеты!$A219,'Как будет'!GP$26:GP$33)</f>
        <v>0</v>
      </c>
      <c r="GP219">
        <f>SUMIF('Как будет'!$A$26:$A$33,Доп.расчеты!$A219,'Как будет'!GQ$26:GQ$33)</f>
        <v>0</v>
      </c>
      <c r="GQ219">
        <f>SUMIF('Как будет'!$A$26:$A$33,Доп.расчеты!$A219,'Как будет'!GR$26:GR$33)</f>
        <v>0</v>
      </c>
      <c r="GR219">
        <f>SUMIF('Как будет'!$A$26:$A$33,Доп.расчеты!$A219,'Как будет'!GS$26:GS$33)</f>
        <v>0</v>
      </c>
      <c r="GS219">
        <f>SUMIF('Как будет'!$A$26:$A$33,Доп.расчеты!$A219,'Как будет'!GT$26:GT$33)</f>
        <v>0</v>
      </c>
      <c r="GT219">
        <f>SUMIF('Как будет'!$A$26:$A$33,Доп.расчеты!$A219,'Как будет'!GU$26:GU$33)</f>
        <v>0</v>
      </c>
    </row>
    <row r="220" spans="1:202">
      <c r="A220" s="237" t="s">
        <v>11</v>
      </c>
      <c r="B220">
        <f>SUMIF('Как будет'!$A$26:$A$33,Доп.расчеты!$A220,'Как будет'!C$26:C$33)</f>
        <v>0</v>
      </c>
      <c r="C220">
        <f>SUMIF('Как будет'!$A$26:$A$33,Доп.расчеты!$A220,'Как будет'!D$26:D$33)</f>
        <v>0</v>
      </c>
      <c r="D220">
        <f>SUMIF('Как будет'!$A$26:$A$33,Доп.расчеты!$A220,'Как будет'!E$26:E$33)</f>
        <v>0</v>
      </c>
      <c r="E220">
        <f>SUMIF('Как будет'!$A$26:$A$33,Доп.расчеты!$A220,'Как будет'!F$26:F$33)</f>
        <v>0</v>
      </c>
      <c r="F220">
        <f>SUMIF('Как будет'!$A$26:$A$33,Доп.расчеты!$A220,'Как будет'!G$26:G$33)</f>
        <v>0</v>
      </c>
      <c r="G220">
        <f>SUMIF('Как будет'!$A$26:$A$33,Доп.расчеты!$A220,'Как будет'!H$26:H$33)</f>
        <v>0</v>
      </c>
      <c r="H220">
        <f>SUMIF('Как будет'!$A$26:$A$33,Доп.расчеты!$A220,'Как будет'!I$26:I$33)</f>
        <v>0</v>
      </c>
      <c r="I220">
        <f>SUMIF('Как будет'!$A$26:$A$33,Доп.расчеты!$A220,'Как будет'!J$26:J$33)</f>
        <v>0</v>
      </c>
      <c r="J220">
        <f>SUMIF('Как будет'!$A$26:$A$33,Доп.расчеты!$A220,'Как будет'!K$26:K$33)</f>
        <v>0</v>
      </c>
      <c r="K220">
        <f>SUMIF('Как будет'!$A$26:$A$33,Доп.расчеты!$A220,'Как будет'!L$26:L$33)</f>
        <v>0</v>
      </c>
      <c r="L220">
        <f>SUMIF('Как будет'!$A$26:$A$33,Доп.расчеты!$A220,'Как будет'!M$26:M$33)</f>
        <v>0</v>
      </c>
      <c r="M220">
        <f>SUMIF('Как будет'!$A$26:$A$33,Доп.расчеты!$A220,'Как будет'!N$26:N$33)</f>
        <v>0</v>
      </c>
      <c r="N220">
        <f>SUMIF('Как будет'!$A$26:$A$33,Доп.расчеты!$A220,'Как будет'!O$26:O$33)</f>
        <v>0</v>
      </c>
      <c r="O220">
        <f>SUMIF('Как будет'!$A$26:$A$33,Доп.расчеты!$A220,'Как будет'!P$26:P$33)</f>
        <v>0</v>
      </c>
      <c r="P220">
        <f>SUMIF('Как будет'!$A$26:$A$33,Доп.расчеты!$A220,'Как будет'!Q$26:Q$33)</f>
        <v>0</v>
      </c>
      <c r="Q220">
        <f>SUMIF('Как будет'!$A$26:$A$33,Доп.расчеты!$A220,'Как будет'!R$26:R$33)</f>
        <v>0</v>
      </c>
      <c r="R220">
        <f>SUMIF('Как будет'!$A$26:$A$33,Доп.расчеты!$A220,'Как будет'!S$26:S$33)</f>
        <v>0</v>
      </c>
      <c r="S220">
        <f>SUMIF('Как будет'!$A$26:$A$33,Доп.расчеты!$A220,'Как будет'!T$26:T$33)</f>
        <v>0</v>
      </c>
      <c r="T220">
        <f>SUMIF('Как будет'!$A$26:$A$33,Доп.расчеты!$A220,'Как будет'!U$26:U$33)</f>
        <v>0</v>
      </c>
      <c r="U220">
        <f>SUMIF('Как будет'!$A$26:$A$33,Доп.расчеты!$A220,'Как будет'!V$26:V$33)</f>
        <v>0</v>
      </c>
      <c r="V220">
        <f>SUMIF('Как будет'!$A$26:$A$33,Доп.расчеты!$A220,'Как будет'!W$26:W$33)</f>
        <v>0</v>
      </c>
      <c r="W220">
        <f>SUMIF('Как будет'!$A$26:$A$33,Доп.расчеты!$A220,'Как будет'!X$26:X$33)</f>
        <v>0</v>
      </c>
      <c r="X220">
        <f>SUMIF('Как будет'!$A$26:$A$33,Доп.расчеты!$A220,'Как будет'!Y$26:Y$33)</f>
        <v>0</v>
      </c>
      <c r="Y220">
        <f>SUMIF('Как будет'!$A$26:$A$33,Доп.расчеты!$A220,'Как будет'!Z$26:Z$33)</f>
        <v>0</v>
      </c>
      <c r="Z220">
        <f>SUMIF('Как будет'!$A$26:$A$33,Доп.расчеты!$A220,'Как будет'!AA$26:AA$33)</f>
        <v>0</v>
      </c>
      <c r="AA220">
        <f>SUMIF('Как будет'!$A$26:$A$33,Доп.расчеты!$A220,'Как будет'!AB$26:AB$33)</f>
        <v>0</v>
      </c>
      <c r="AB220">
        <f>SUMIF('Как будет'!$A$26:$A$33,Доп.расчеты!$A220,'Как будет'!AC$26:AC$33)</f>
        <v>0</v>
      </c>
      <c r="AC220">
        <f>SUMIF('Как будет'!$A$26:$A$33,Доп.расчеты!$A220,'Как будет'!AD$26:AD$33)</f>
        <v>0</v>
      </c>
      <c r="AD220">
        <f>SUMIF('Как будет'!$A$26:$A$33,Доп.расчеты!$A220,'Как будет'!AE$26:AE$33)</f>
        <v>0</v>
      </c>
      <c r="AE220">
        <f>SUMIF('Как будет'!$A$26:$A$33,Доп.расчеты!$A220,'Как будет'!AF$26:AF$33)</f>
        <v>0</v>
      </c>
      <c r="AF220">
        <f>SUMIF('Как будет'!$A$26:$A$33,Доп.расчеты!$A220,'Как будет'!AG$26:AG$33)</f>
        <v>0</v>
      </c>
      <c r="AG220">
        <f>SUMIF('Как будет'!$A$26:$A$33,Доп.расчеты!$A220,'Как будет'!AH$26:AH$33)</f>
        <v>0</v>
      </c>
      <c r="AH220">
        <f>SUMIF('Как будет'!$A$26:$A$33,Доп.расчеты!$A220,'Как будет'!AI$26:AI$33)</f>
        <v>0</v>
      </c>
      <c r="AI220">
        <f>SUMIF('Как будет'!$A$26:$A$33,Доп.расчеты!$A220,'Как будет'!AJ$26:AJ$33)</f>
        <v>0</v>
      </c>
      <c r="AJ220">
        <f>SUMIF('Как будет'!$A$26:$A$33,Доп.расчеты!$A220,'Как будет'!AK$26:AK$33)</f>
        <v>0</v>
      </c>
      <c r="AK220">
        <f>SUMIF('Как будет'!$A$26:$A$33,Доп.расчеты!$A220,'Как будет'!AL$26:AL$33)</f>
        <v>0</v>
      </c>
      <c r="AL220">
        <f>SUMIF('Как будет'!$A$26:$A$33,Доп.расчеты!$A220,'Как будет'!AM$26:AM$33)</f>
        <v>0</v>
      </c>
      <c r="AM220">
        <f>SUMIF('Как будет'!$A$26:$A$33,Доп.расчеты!$A220,'Как будет'!AN$26:AN$33)</f>
        <v>0</v>
      </c>
      <c r="AN220">
        <f>SUMIF('Как будет'!$A$26:$A$33,Доп.расчеты!$A220,'Как будет'!AO$26:AO$33)</f>
        <v>0</v>
      </c>
      <c r="AO220">
        <f>SUMIF('Как будет'!$A$26:$A$33,Доп.расчеты!$A220,'Как будет'!AP$26:AP$33)</f>
        <v>0</v>
      </c>
      <c r="AP220">
        <f>SUMIF('Как будет'!$A$26:$A$33,Доп.расчеты!$A220,'Как будет'!AQ$26:AQ$33)</f>
        <v>0</v>
      </c>
      <c r="AQ220">
        <f>SUMIF('Как будет'!$A$26:$A$33,Доп.расчеты!$A220,'Как будет'!AR$26:AR$33)</f>
        <v>0</v>
      </c>
      <c r="AR220">
        <f>SUMIF('Как будет'!$A$26:$A$33,Доп.расчеты!$A220,'Как будет'!AS$26:AS$33)</f>
        <v>0</v>
      </c>
      <c r="AS220">
        <f>SUMIF('Как будет'!$A$26:$A$33,Доп.расчеты!$A220,'Как будет'!AT$26:AT$33)</f>
        <v>0</v>
      </c>
      <c r="AT220">
        <f>SUMIF('Как будет'!$A$26:$A$33,Доп.расчеты!$A220,'Как будет'!AU$26:AU$33)</f>
        <v>0</v>
      </c>
      <c r="AU220">
        <f>SUMIF('Как будет'!$A$26:$A$33,Доп.расчеты!$A220,'Как будет'!AV$26:AV$33)</f>
        <v>0</v>
      </c>
      <c r="AV220">
        <f>SUMIF('Как будет'!$A$26:$A$33,Доп.расчеты!$A220,'Как будет'!AW$26:AW$33)</f>
        <v>0</v>
      </c>
      <c r="AW220">
        <f>SUMIF('Как будет'!$A$26:$A$33,Доп.расчеты!$A220,'Как будет'!AX$26:AX$33)</f>
        <v>0</v>
      </c>
      <c r="AX220">
        <f>SUMIF('Как будет'!$A$26:$A$33,Доп.расчеты!$A220,'Как будет'!AY$26:AY$33)</f>
        <v>0</v>
      </c>
      <c r="AY220">
        <f>SUMIF('Как будет'!$A$26:$A$33,Доп.расчеты!$A220,'Как будет'!AZ$26:AZ$33)</f>
        <v>0</v>
      </c>
      <c r="AZ220">
        <f>SUMIF('Как будет'!$A$26:$A$33,Доп.расчеты!$A220,'Как будет'!BA$26:BA$33)</f>
        <v>0</v>
      </c>
      <c r="BA220">
        <f>SUMIF('Как будет'!$A$26:$A$33,Доп.расчеты!$A220,'Как будет'!BB$26:BB$33)</f>
        <v>0</v>
      </c>
      <c r="BB220">
        <f>SUMIF('Как будет'!$A$26:$A$33,Доп.расчеты!$A220,'Как будет'!BC$26:BC$33)</f>
        <v>0</v>
      </c>
      <c r="BC220">
        <f>SUMIF('Как будет'!$A$26:$A$33,Доп.расчеты!$A220,'Как будет'!BD$26:BD$33)</f>
        <v>0</v>
      </c>
      <c r="BD220">
        <f>SUMIF('Как будет'!$A$26:$A$33,Доп.расчеты!$A220,'Как будет'!BE$26:BE$33)</f>
        <v>0</v>
      </c>
      <c r="BE220">
        <f>SUMIF('Как будет'!$A$26:$A$33,Доп.расчеты!$A220,'Как будет'!BF$26:BF$33)</f>
        <v>0</v>
      </c>
      <c r="BF220">
        <f>SUMIF('Как будет'!$A$26:$A$33,Доп.расчеты!$A220,'Как будет'!BG$26:BG$33)</f>
        <v>0</v>
      </c>
      <c r="BG220">
        <f>SUMIF('Как будет'!$A$26:$A$33,Доп.расчеты!$A220,'Как будет'!BH$26:BH$33)</f>
        <v>0</v>
      </c>
      <c r="BH220">
        <f>SUMIF('Как будет'!$A$26:$A$33,Доп.расчеты!$A220,'Как будет'!BI$26:BI$33)</f>
        <v>0</v>
      </c>
      <c r="BI220">
        <f>SUMIF('Как будет'!$A$26:$A$33,Доп.расчеты!$A220,'Как будет'!BJ$26:BJ$33)</f>
        <v>0</v>
      </c>
      <c r="BJ220">
        <f>SUMIF('Как будет'!$A$26:$A$33,Доп.расчеты!$A220,'Как будет'!BK$26:BK$33)</f>
        <v>0</v>
      </c>
      <c r="BK220">
        <f>SUMIF('Как будет'!$A$26:$A$33,Доп.расчеты!$A220,'Как будет'!BL$26:BL$33)</f>
        <v>0</v>
      </c>
      <c r="BL220">
        <f>SUMIF('Как будет'!$A$26:$A$33,Доп.расчеты!$A220,'Как будет'!BM$26:BM$33)</f>
        <v>0</v>
      </c>
      <c r="BM220">
        <f>SUMIF('Как будет'!$A$26:$A$33,Доп.расчеты!$A220,'Как будет'!BN$26:BN$33)</f>
        <v>0</v>
      </c>
      <c r="BN220">
        <f>SUMIF('Как будет'!$A$26:$A$33,Доп.расчеты!$A220,'Как будет'!BO$26:BO$33)</f>
        <v>0</v>
      </c>
      <c r="BO220">
        <f>SUMIF('Как будет'!$A$26:$A$33,Доп.расчеты!$A220,'Как будет'!BP$26:BP$33)</f>
        <v>0</v>
      </c>
      <c r="BP220">
        <f>SUMIF('Как будет'!$A$26:$A$33,Доп.расчеты!$A220,'Как будет'!BQ$26:BQ$33)</f>
        <v>0</v>
      </c>
      <c r="BQ220">
        <f>SUMIF('Как будет'!$A$26:$A$33,Доп.расчеты!$A220,'Как будет'!BR$26:BR$33)</f>
        <v>0</v>
      </c>
      <c r="BR220">
        <f>SUMIF('Как будет'!$A$26:$A$33,Доп.расчеты!$A220,'Как будет'!BS$26:BS$33)</f>
        <v>0</v>
      </c>
      <c r="BS220">
        <f>SUMIF('Как будет'!$A$26:$A$33,Доп.расчеты!$A220,'Как будет'!BT$26:BT$33)</f>
        <v>0</v>
      </c>
      <c r="BT220">
        <f>SUMIF('Как будет'!$A$26:$A$33,Доп.расчеты!$A220,'Как будет'!BU$26:BU$33)</f>
        <v>0</v>
      </c>
      <c r="BU220">
        <f>SUMIF('Как будет'!$A$26:$A$33,Доп.расчеты!$A220,'Как будет'!BV$26:BV$33)</f>
        <v>0</v>
      </c>
      <c r="BV220">
        <f>SUMIF('Как будет'!$A$26:$A$33,Доп.расчеты!$A220,'Как будет'!BW$26:BW$33)</f>
        <v>0</v>
      </c>
      <c r="BW220">
        <f>SUMIF('Как будет'!$A$26:$A$33,Доп.расчеты!$A220,'Как будет'!BX$26:BX$33)</f>
        <v>0</v>
      </c>
      <c r="BX220">
        <f>SUMIF('Как будет'!$A$26:$A$33,Доп.расчеты!$A220,'Как будет'!BY$26:BY$33)</f>
        <v>0</v>
      </c>
      <c r="BY220">
        <f>SUMIF('Как будет'!$A$26:$A$33,Доп.расчеты!$A220,'Как будет'!BZ$26:BZ$33)</f>
        <v>0</v>
      </c>
      <c r="BZ220">
        <f>SUMIF('Как будет'!$A$26:$A$33,Доп.расчеты!$A220,'Как будет'!CA$26:CA$33)</f>
        <v>0</v>
      </c>
      <c r="CA220">
        <f>SUMIF('Как будет'!$A$26:$A$33,Доп.расчеты!$A220,'Как будет'!CB$26:CB$33)</f>
        <v>0</v>
      </c>
      <c r="CB220">
        <f>SUMIF('Как будет'!$A$26:$A$33,Доп.расчеты!$A220,'Как будет'!CC$26:CC$33)</f>
        <v>0</v>
      </c>
      <c r="CC220">
        <f>SUMIF('Как будет'!$A$26:$A$33,Доп.расчеты!$A220,'Как будет'!CD$26:CD$33)</f>
        <v>0</v>
      </c>
      <c r="CD220">
        <f>SUMIF('Как будет'!$A$26:$A$33,Доп.расчеты!$A220,'Как будет'!CE$26:CE$33)</f>
        <v>0</v>
      </c>
      <c r="CE220">
        <f>SUMIF('Как будет'!$A$26:$A$33,Доп.расчеты!$A220,'Как будет'!CF$26:CF$33)</f>
        <v>0</v>
      </c>
      <c r="CF220">
        <f>SUMIF('Как будет'!$A$26:$A$33,Доп.расчеты!$A220,'Как будет'!CG$26:CG$33)</f>
        <v>0</v>
      </c>
      <c r="CG220">
        <f>SUMIF('Как будет'!$A$26:$A$33,Доп.расчеты!$A220,'Как будет'!CH$26:CH$33)</f>
        <v>0</v>
      </c>
      <c r="CH220">
        <f>SUMIF('Как будет'!$A$26:$A$33,Доп.расчеты!$A220,'Как будет'!CI$26:CI$33)</f>
        <v>0</v>
      </c>
      <c r="CI220">
        <f>SUMIF('Как будет'!$A$26:$A$33,Доп.расчеты!$A220,'Как будет'!CJ$26:CJ$33)</f>
        <v>0</v>
      </c>
      <c r="CJ220">
        <f>SUMIF('Как будет'!$A$26:$A$33,Доп.расчеты!$A220,'Как будет'!CK$26:CK$33)</f>
        <v>0</v>
      </c>
      <c r="CK220">
        <f>SUMIF('Как будет'!$A$26:$A$33,Доп.расчеты!$A220,'Как будет'!CL$26:CL$33)</f>
        <v>0</v>
      </c>
      <c r="CL220">
        <f>SUMIF('Как будет'!$A$26:$A$33,Доп.расчеты!$A220,'Как будет'!CM$26:CM$33)</f>
        <v>0</v>
      </c>
      <c r="CM220">
        <f>SUMIF('Как будет'!$A$26:$A$33,Доп.расчеты!$A220,'Как будет'!CN$26:CN$33)</f>
        <v>0</v>
      </c>
      <c r="CN220">
        <f>SUMIF('Как будет'!$A$26:$A$33,Доп.расчеты!$A220,'Как будет'!CO$26:CO$33)</f>
        <v>0</v>
      </c>
      <c r="CO220">
        <f>SUMIF('Как будет'!$A$26:$A$33,Доп.расчеты!$A220,'Как будет'!CP$26:CP$33)</f>
        <v>0</v>
      </c>
      <c r="CP220">
        <f>SUMIF('Как будет'!$A$26:$A$33,Доп.расчеты!$A220,'Как будет'!CQ$26:CQ$33)</f>
        <v>0</v>
      </c>
      <c r="CQ220">
        <f>SUMIF('Как будет'!$A$26:$A$33,Доп.расчеты!$A220,'Как будет'!CR$26:CR$33)</f>
        <v>0</v>
      </c>
      <c r="CR220">
        <f>SUMIF('Как будет'!$A$26:$A$33,Доп.расчеты!$A220,'Как будет'!CS$26:CS$33)</f>
        <v>0</v>
      </c>
      <c r="CS220">
        <f>SUMIF('Как будет'!$A$26:$A$33,Доп.расчеты!$A220,'Как будет'!CT$26:CT$33)</f>
        <v>0</v>
      </c>
      <c r="CT220">
        <f>SUMIF('Как будет'!$A$26:$A$33,Доп.расчеты!$A220,'Как будет'!CU$26:CU$33)</f>
        <v>0</v>
      </c>
      <c r="CU220">
        <f>SUMIF('Как будет'!$A$26:$A$33,Доп.расчеты!$A220,'Как будет'!CV$26:CV$33)</f>
        <v>0</v>
      </c>
      <c r="CV220">
        <f>SUMIF('Как будет'!$A$26:$A$33,Доп.расчеты!$A220,'Как будет'!CW$26:CW$33)</f>
        <v>0</v>
      </c>
      <c r="CW220">
        <f>SUMIF('Как будет'!$A$26:$A$33,Доп.расчеты!$A220,'Как будет'!CX$26:CX$33)</f>
        <v>0</v>
      </c>
      <c r="CX220">
        <f>SUMIF('Как будет'!$A$26:$A$33,Доп.расчеты!$A220,'Как будет'!CY$26:CY$33)</f>
        <v>0</v>
      </c>
      <c r="CY220">
        <f>SUMIF('Как будет'!$A$26:$A$33,Доп.расчеты!$A220,'Как будет'!CZ$26:CZ$33)</f>
        <v>0</v>
      </c>
      <c r="CZ220">
        <f>SUMIF('Как будет'!$A$26:$A$33,Доп.расчеты!$A220,'Как будет'!DA$26:DA$33)</f>
        <v>0</v>
      </c>
      <c r="DA220">
        <f>SUMIF('Как будет'!$A$26:$A$33,Доп.расчеты!$A220,'Как будет'!DB$26:DB$33)</f>
        <v>0</v>
      </c>
      <c r="DB220">
        <f>SUMIF('Как будет'!$A$26:$A$33,Доп.расчеты!$A220,'Как будет'!DC$26:DC$33)</f>
        <v>0</v>
      </c>
      <c r="DC220">
        <f>SUMIF('Как будет'!$A$26:$A$33,Доп.расчеты!$A220,'Как будет'!DD$26:DD$33)</f>
        <v>0</v>
      </c>
      <c r="DD220">
        <f>SUMIF('Как будет'!$A$26:$A$33,Доп.расчеты!$A220,'Как будет'!DE$26:DE$33)</f>
        <v>0</v>
      </c>
      <c r="DE220">
        <f>SUMIF('Как будет'!$A$26:$A$33,Доп.расчеты!$A220,'Как будет'!DF$26:DF$33)</f>
        <v>0</v>
      </c>
      <c r="DF220">
        <f>SUMIF('Как будет'!$A$26:$A$33,Доп.расчеты!$A220,'Как будет'!DG$26:DG$33)</f>
        <v>0</v>
      </c>
      <c r="DG220">
        <f>SUMIF('Как будет'!$A$26:$A$33,Доп.расчеты!$A220,'Как будет'!DH$26:DH$33)</f>
        <v>0</v>
      </c>
      <c r="DH220">
        <f>SUMIF('Как будет'!$A$26:$A$33,Доп.расчеты!$A220,'Как будет'!DI$26:DI$33)</f>
        <v>0</v>
      </c>
      <c r="DI220">
        <f>SUMIF('Как будет'!$A$26:$A$33,Доп.расчеты!$A220,'Как будет'!DJ$26:DJ$33)</f>
        <v>0</v>
      </c>
      <c r="DJ220">
        <f>SUMIF('Как будет'!$A$26:$A$33,Доп.расчеты!$A220,'Как будет'!DK$26:DK$33)</f>
        <v>0</v>
      </c>
      <c r="DK220">
        <f>SUMIF('Как будет'!$A$26:$A$33,Доп.расчеты!$A220,'Как будет'!DL$26:DL$33)</f>
        <v>0</v>
      </c>
      <c r="DL220">
        <f>SUMIF('Как будет'!$A$26:$A$33,Доп.расчеты!$A220,'Как будет'!DM$26:DM$33)</f>
        <v>0</v>
      </c>
      <c r="DM220">
        <f>SUMIF('Как будет'!$A$26:$A$33,Доп.расчеты!$A220,'Как будет'!DN$26:DN$33)</f>
        <v>0</v>
      </c>
      <c r="DN220">
        <f>SUMIF('Как будет'!$A$26:$A$33,Доп.расчеты!$A220,'Как будет'!DO$26:DO$33)</f>
        <v>0</v>
      </c>
      <c r="DO220">
        <f>SUMIF('Как будет'!$A$26:$A$33,Доп.расчеты!$A220,'Как будет'!DP$26:DP$33)</f>
        <v>0</v>
      </c>
      <c r="DP220">
        <f>SUMIF('Как будет'!$A$26:$A$33,Доп.расчеты!$A220,'Как будет'!DQ$26:DQ$33)</f>
        <v>0</v>
      </c>
      <c r="DQ220">
        <f>SUMIF('Как будет'!$A$26:$A$33,Доп.расчеты!$A220,'Как будет'!DR$26:DR$33)</f>
        <v>0</v>
      </c>
      <c r="DR220">
        <f>SUMIF('Как будет'!$A$26:$A$33,Доп.расчеты!$A220,'Как будет'!DS$26:DS$33)</f>
        <v>0</v>
      </c>
      <c r="DS220">
        <f>SUMIF('Как будет'!$A$26:$A$33,Доп.расчеты!$A220,'Как будет'!DT$26:DT$33)</f>
        <v>0</v>
      </c>
      <c r="DT220">
        <f>SUMIF('Как будет'!$A$26:$A$33,Доп.расчеты!$A220,'Как будет'!DU$26:DU$33)</f>
        <v>0</v>
      </c>
      <c r="DU220">
        <f>SUMIF('Как будет'!$A$26:$A$33,Доп.расчеты!$A220,'Как будет'!DV$26:DV$33)</f>
        <v>0</v>
      </c>
      <c r="DV220">
        <f>SUMIF('Как будет'!$A$26:$A$33,Доп.расчеты!$A220,'Как будет'!DW$26:DW$33)</f>
        <v>0</v>
      </c>
      <c r="DW220">
        <f>SUMIF('Как будет'!$A$26:$A$33,Доп.расчеты!$A220,'Как будет'!DX$26:DX$33)</f>
        <v>0</v>
      </c>
      <c r="DX220">
        <f>SUMIF('Как будет'!$A$26:$A$33,Доп.расчеты!$A220,'Как будет'!DY$26:DY$33)</f>
        <v>0</v>
      </c>
      <c r="DY220">
        <f>SUMIF('Как будет'!$A$26:$A$33,Доп.расчеты!$A220,'Как будет'!DZ$26:DZ$33)</f>
        <v>0</v>
      </c>
      <c r="DZ220">
        <f>SUMIF('Как будет'!$A$26:$A$33,Доп.расчеты!$A220,'Как будет'!EA$26:EA$33)</f>
        <v>0</v>
      </c>
      <c r="EA220">
        <f>SUMIF('Как будет'!$A$26:$A$33,Доп.расчеты!$A220,'Как будет'!EB$26:EB$33)</f>
        <v>0</v>
      </c>
      <c r="EB220">
        <f>SUMIF('Как будет'!$A$26:$A$33,Доп.расчеты!$A220,'Как будет'!EC$26:EC$33)</f>
        <v>0</v>
      </c>
      <c r="EC220">
        <f>SUMIF('Как будет'!$A$26:$A$33,Доп.расчеты!$A220,'Как будет'!ED$26:ED$33)</f>
        <v>0</v>
      </c>
      <c r="ED220">
        <f>SUMIF('Как будет'!$A$26:$A$33,Доп.расчеты!$A220,'Как будет'!EE$26:EE$33)</f>
        <v>0</v>
      </c>
      <c r="EE220">
        <f>SUMIF('Как будет'!$A$26:$A$33,Доп.расчеты!$A220,'Как будет'!EF$26:EF$33)</f>
        <v>0</v>
      </c>
      <c r="EF220">
        <f>SUMIF('Как будет'!$A$26:$A$33,Доп.расчеты!$A220,'Как будет'!EG$26:EG$33)</f>
        <v>0</v>
      </c>
      <c r="EG220">
        <f>SUMIF('Как будет'!$A$26:$A$33,Доп.расчеты!$A220,'Как будет'!EH$26:EH$33)</f>
        <v>0</v>
      </c>
      <c r="EH220">
        <f>SUMIF('Как будет'!$A$26:$A$33,Доп.расчеты!$A220,'Как будет'!EI$26:EI$33)</f>
        <v>0</v>
      </c>
      <c r="EI220">
        <f>SUMIF('Как будет'!$A$26:$A$33,Доп.расчеты!$A220,'Как будет'!EJ$26:EJ$33)</f>
        <v>0</v>
      </c>
      <c r="EJ220">
        <f>SUMIF('Как будет'!$A$26:$A$33,Доп.расчеты!$A220,'Как будет'!EK$26:EK$33)</f>
        <v>0</v>
      </c>
      <c r="EK220">
        <f>SUMIF('Как будет'!$A$26:$A$33,Доп.расчеты!$A220,'Как будет'!EL$26:EL$33)</f>
        <v>0</v>
      </c>
      <c r="EL220">
        <f>SUMIF('Как будет'!$A$26:$A$33,Доп.расчеты!$A220,'Как будет'!EM$26:EM$33)</f>
        <v>0</v>
      </c>
      <c r="EM220">
        <f>SUMIF('Как будет'!$A$26:$A$33,Доп.расчеты!$A220,'Как будет'!EN$26:EN$33)</f>
        <v>0</v>
      </c>
      <c r="EN220">
        <f>SUMIF('Как будет'!$A$26:$A$33,Доп.расчеты!$A220,'Как будет'!EO$26:EO$33)</f>
        <v>0</v>
      </c>
      <c r="EO220">
        <f>SUMIF('Как будет'!$A$26:$A$33,Доп.расчеты!$A220,'Как будет'!EP$26:EP$33)</f>
        <v>0</v>
      </c>
      <c r="EP220">
        <f>SUMIF('Как будет'!$A$26:$A$33,Доп.расчеты!$A220,'Как будет'!EQ$26:EQ$33)</f>
        <v>0</v>
      </c>
      <c r="EQ220">
        <f>SUMIF('Как будет'!$A$26:$A$33,Доп.расчеты!$A220,'Как будет'!ER$26:ER$33)</f>
        <v>0</v>
      </c>
      <c r="ER220">
        <f>SUMIF('Как будет'!$A$26:$A$33,Доп.расчеты!$A220,'Как будет'!ES$26:ES$33)</f>
        <v>0</v>
      </c>
      <c r="ES220">
        <f>SUMIF('Как будет'!$A$26:$A$33,Доп.расчеты!$A220,'Как будет'!ET$26:ET$33)</f>
        <v>0</v>
      </c>
      <c r="ET220">
        <f>SUMIF('Как будет'!$A$26:$A$33,Доп.расчеты!$A220,'Как будет'!EU$26:EU$33)</f>
        <v>0</v>
      </c>
      <c r="EU220">
        <f>SUMIF('Как будет'!$A$26:$A$33,Доп.расчеты!$A220,'Как будет'!EV$26:EV$33)</f>
        <v>0</v>
      </c>
      <c r="EV220">
        <f>SUMIF('Как будет'!$A$26:$A$33,Доп.расчеты!$A220,'Как будет'!EW$26:EW$33)</f>
        <v>0</v>
      </c>
      <c r="EW220">
        <f>SUMIF('Как будет'!$A$26:$A$33,Доп.расчеты!$A220,'Как будет'!EX$26:EX$33)</f>
        <v>0</v>
      </c>
      <c r="EX220">
        <f>SUMIF('Как будет'!$A$26:$A$33,Доп.расчеты!$A220,'Как будет'!EY$26:EY$33)</f>
        <v>0</v>
      </c>
      <c r="EY220">
        <f>SUMIF('Как будет'!$A$26:$A$33,Доп.расчеты!$A220,'Как будет'!EZ$26:EZ$33)</f>
        <v>0</v>
      </c>
      <c r="EZ220">
        <f>SUMIF('Как будет'!$A$26:$A$33,Доп.расчеты!$A220,'Как будет'!FA$26:FA$33)</f>
        <v>0</v>
      </c>
      <c r="FA220">
        <f>SUMIF('Как будет'!$A$26:$A$33,Доп.расчеты!$A220,'Как будет'!FB$26:FB$33)</f>
        <v>0</v>
      </c>
      <c r="FB220">
        <f>SUMIF('Как будет'!$A$26:$A$33,Доп.расчеты!$A220,'Как будет'!FC$26:FC$33)</f>
        <v>0</v>
      </c>
      <c r="FC220">
        <f>SUMIF('Как будет'!$A$26:$A$33,Доп.расчеты!$A220,'Как будет'!FD$26:FD$33)</f>
        <v>0</v>
      </c>
      <c r="FD220">
        <f>SUMIF('Как будет'!$A$26:$A$33,Доп.расчеты!$A220,'Как будет'!FE$26:FE$33)</f>
        <v>0</v>
      </c>
      <c r="FE220">
        <f>SUMIF('Как будет'!$A$26:$A$33,Доп.расчеты!$A220,'Как будет'!FF$26:FF$33)</f>
        <v>0</v>
      </c>
      <c r="FF220">
        <f>SUMIF('Как будет'!$A$26:$A$33,Доп.расчеты!$A220,'Как будет'!FG$26:FG$33)</f>
        <v>0</v>
      </c>
      <c r="FG220">
        <f>SUMIF('Как будет'!$A$26:$A$33,Доп.расчеты!$A220,'Как будет'!FH$26:FH$33)</f>
        <v>0</v>
      </c>
      <c r="FH220">
        <f>SUMIF('Как будет'!$A$26:$A$33,Доп.расчеты!$A220,'Как будет'!FI$26:FI$33)</f>
        <v>0</v>
      </c>
      <c r="FI220">
        <f>SUMIF('Как будет'!$A$26:$A$33,Доп.расчеты!$A220,'Как будет'!FJ$26:FJ$33)</f>
        <v>0</v>
      </c>
      <c r="FJ220">
        <f>SUMIF('Как будет'!$A$26:$A$33,Доп.расчеты!$A220,'Как будет'!FK$26:FK$33)</f>
        <v>0</v>
      </c>
      <c r="FK220">
        <f>SUMIF('Как будет'!$A$26:$A$33,Доп.расчеты!$A220,'Как будет'!FL$26:FL$33)</f>
        <v>0</v>
      </c>
      <c r="FL220">
        <f>SUMIF('Как будет'!$A$26:$A$33,Доп.расчеты!$A220,'Как будет'!FM$26:FM$33)</f>
        <v>0</v>
      </c>
      <c r="FM220">
        <f>SUMIF('Как будет'!$A$26:$A$33,Доп.расчеты!$A220,'Как будет'!FN$26:FN$33)</f>
        <v>0</v>
      </c>
      <c r="FN220">
        <f>SUMIF('Как будет'!$A$26:$A$33,Доп.расчеты!$A220,'Как будет'!FO$26:FO$33)</f>
        <v>0</v>
      </c>
      <c r="FO220">
        <f>SUMIF('Как будет'!$A$26:$A$33,Доп.расчеты!$A220,'Как будет'!FP$26:FP$33)</f>
        <v>0</v>
      </c>
      <c r="FP220">
        <f>SUMIF('Как будет'!$A$26:$A$33,Доп.расчеты!$A220,'Как будет'!FQ$26:FQ$33)</f>
        <v>0</v>
      </c>
      <c r="FQ220">
        <f>SUMIF('Как будет'!$A$26:$A$33,Доп.расчеты!$A220,'Как будет'!FR$26:FR$33)</f>
        <v>0</v>
      </c>
      <c r="FR220">
        <f>SUMIF('Как будет'!$A$26:$A$33,Доп.расчеты!$A220,'Как будет'!FS$26:FS$33)</f>
        <v>0</v>
      </c>
      <c r="FS220">
        <f>SUMIF('Как будет'!$A$26:$A$33,Доп.расчеты!$A220,'Как будет'!FT$26:FT$33)</f>
        <v>0</v>
      </c>
      <c r="FT220">
        <f>SUMIF('Как будет'!$A$26:$A$33,Доп.расчеты!$A220,'Как будет'!FU$26:FU$33)</f>
        <v>0</v>
      </c>
      <c r="FU220">
        <f>SUMIF('Как будет'!$A$26:$A$33,Доп.расчеты!$A220,'Как будет'!FV$26:FV$33)</f>
        <v>0</v>
      </c>
      <c r="FV220">
        <f>SUMIF('Как будет'!$A$26:$A$33,Доп.расчеты!$A220,'Как будет'!FW$26:FW$33)</f>
        <v>0</v>
      </c>
      <c r="FW220">
        <f>SUMIF('Как будет'!$A$26:$A$33,Доп.расчеты!$A220,'Как будет'!FX$26:FX$33)</f>
        <v>0</v>
      </c>
      <c r="FX220">
        <f>SUMIF('Как будет'!$A$26:$A$33,Доп.расчеты!$A220,'Как будет'!FY$26:FY$33)</f>
        <v>0</v>
      </c>
      <c r="FY220">
        <f>SUMIF('Как будет'!$A$26:$A$33,Доп.расчеты!$A220,'Как будет'!FZ$26:FZ$33)</f>
        <v>0</v>
      </c>
      <c r="FZ220">
        <f>SUMIF('Как будет'!$A$26:$A$33,Доп.расчеты!$A220,'Как будет'!GA$26:GA$33)</f>
        <v>0</v>
      </c>
      <c r="GA220">
        <f>SUMIF('Как будет'!$A$26:$A$33,Доп.расчеты!$A220,'Как будет'!GB$26:GB$33)</f>
        <v>0</v>
      </c>
      <c r="GB220">
        <f>SUMIF('Как будет'!$A$26:$A$33,Доп.расчеты!$A220,'Как будет'!GC$26:GC$33)</f>
        <v>0</v>
      </c>
      <c r="GC220">
        <f>SUMIF('Как будет'!$A$26:$A$33,Доп.расчеты!$A220,'Как будет'!GD$26:GD$33)</f>
        <v>0</v>
      </c>
      <c r="GD220">
        <f>SUMIF('Как будет'!$A$26:$A$33,Доп.расчеты!$A220,'Как будет'!GE$26:GE$33)</f>
        <v>0</v>
      </c>
      <c r="GE220">
        <f>SUMIF('Как будет'!$A$26:$A$33,Доп.расчеты!$A220,'Как будет'!GF$26:GF$33)</f>
        <v>0</v>
      </c>
      <c r="GF220">
        <f>SUMIF('Как будет'!$A$26:$A$33,Доп.расчеты!$A220,'Как будет'!GG$26:GG$33)</f>
        <v>0</v>
      </c>
      <c r="GG220">
        <f>SUMIF('Как будет'!$A$26:$A$33,Доп.расчеты!$A220,'Как будет'!GH$26:GH$33)</f>
        <v>0</v>
      </c>
      <c r="GH220">
        <f>SUMIF('Как будет'!$A$26:$A$33,Доп.расчеты!$A220,'Как будет'!GI$26:GI$33)</f>
        <v>0</v>
      </c>
      <c r="GI220">
        <f>SUMIF('Как будет'!$A$26:$A$33,Доп.расчеты!$A220,'Как будет'!GJ$26:GJ$33)</f>
        <v>0</v>
      </c>
      <c r="GJ220">
        <f>SUMIF('Как будет'!$A$26:$A$33,Доп.расчеты!$A220,'Как будет'!GK$26:GK$33)</f>
        <v>0</v>
      </c>
      <c r="GK220">
        <f>SUMIF('Как будет'!$A$26:$A$33,Доп.расчеты!$A220,'Как будет'!GL$26:GL$33)</f>
        <v>0</v>
      </c>
      <c r="GL220">
        <f>SUMIF('Как будет'!$A$26:$A$33,Доп.расчеты!$A220,'Как будет'!GM$26:GM$33)</f>
        <v>0</v>
      </c>
      <c r="GM220">
        <f>SUMIF('Как будет'!$A$26:$A$33,Доп.расчеты!$A220,'Как будет'!GN$26:GN$33)</f>
        <v>0</v>
      </c>
      <c r="GN220">
        <f>SUMIF('Как будет'!$A$26:$A$33,Доп.расчеты!$A220,'Как будет'!GO$26:GO$33)</f>
        <v>0</v>
      </c>
      <c r="GO220">
        <f>SUMIF('Как будет'!$A$26:$A$33,Доп.расчеты!$A220,'Как будет'!GP$26:GP$33)</f>
        <v>0</v>
      </c>
      <c r="GP220">
        <f>SUMIF('Как будет'!$A$26:$A$33,Доп.расчеты!$A220,'Как будет'!GQ$26:GQ$33)</f>
        <v>0</v>
      </c>
      <c r="GQ220">
        <f>SUMIF('Как будет'!$A$26:$A$33,Доп.расчеты!$A220,'Как будет'!GR$26:GR$33)</f>
        <v>0</v>
      </c>
      <c r="GR220">
        <f>SUMIF('Как будет'!$A$26:$A$33,Доп.расчеты!$A220,'Как будет'!GS$26:GS$33)</f>
        <v>0</v>
      </c>
      <c r="GS220">
        <f>SUMIF('Как будет'!$A$26:$A$33,Доп.расчеты!$A220,'Как будет'!GT$26:GT$33)</f>
        <v>0</v>
      </c>
      <c r="GT220">
        <f>SUMIF('Как будет'!$A$26:$A$33,Доп.расчеты!$A220,'Как будет'!GU$26:GU$33)</f>
        <v>0</v>
      </c>
    </row>
    <row r="221" spans="1:202">
      <c r="A221" s="57" t="s">
        <v>36</v>
      </c>
    </row>
    <row r="222" spans="1:202">
      <c r="A222" s="238" t="s">
        <v>23</v>
      </c>
      <c r="B222">
        <f>SUMIF('Как будет'!$A$35:$A$42,Доп.расчеты!$A222,'Как будет'!C$35:C$42)</f>
        <v>0</v>
      </c>
      <c r="C222">
        <f>SUMIF('Как будет'!$A$35:$A$42,Доп.расчеты!$A222,'Как будет'!D$35:D$42)</f>
        <v>0</v>
      </c>
      <c r="D222">
        <f>SUMIF('Как будет'!$A$35:$A$42,Доп.расчеты!$A222,'Как будет'!E$35:E$42)</f>
        <v>0</v>
      </c>
      <c r="E222">
        <f>SUMIF('Как будет'!$A$35:$A$42,Доп.расчеты!$A222,'Как будет'!F$35:F$42)</f>
        <v>0</v>
      </c>
      <c r="F222">
        <f>SUMIF('Как будет'!$A$35:$A$42,Доп.расчеты!$A222,'Как будет'!G$35:G$42)</f>
        <v>0</v>
      </c>
      <c r="G222">
        <f>SUMIF('Как будет'!$A$35:$A$42,Доп.расчеты!$A222,'Как будет'!H$35:H$42)</f>
        <v>0</v>
      </c>
      <c r="H222">
        <f>SUMIF('Как будет'!$A$35:$A$42,Доп.расчеты!$A222,'Как будет'!I$35:I$42)</f>
        <v>0</v>
      </c>
      <c r="I222">
        <f>SUMIF('Как будет'!$A$35:$A$42,Доп.расчеты!$A222,'Как будет'!J$35:J$42)</f>
        <v>0</v>
      </c>
      <c r="J222">
        <f>SUMIF('Как будет'!$A$35:$A$42,Доп.расчеты!$A222,'Как будет'!K$35:K$42)</f>
        <v>0</v>
      </c>
      <c r="K222">
        <f>SUMIF('Как будет'!$A$35:$A$42,Доп.расчеты!$A222,'Как будет'!L$35:L$42)</f>
        <v>0</v>
      </c>
      <c r="L222">
        <f>SUMIF('Как будет'!$A$35:$A$42,Доп.расчеты!$A222,'Как будет'!M$35:M$42)</f>
        <v>0</v>
      </c>
      <c r="M222">
        <f>SUMIF('Как будет'!$A$35:$A$42,Доп.расчеты!$A222,'Как будет'!N$35:N$42)</f>
        <v>0</v>
      </c>
      <c r="N222">
        <f>SUMIF('Как будет'!$A$35:$A$42,Доп.расчеты!$A222,'Как будет'!O$35:O$42)</f>
        <v>0</v>
      </c>
      <c r="O222">
        <f>SUMIF('Как будет'!$A$35:$A$42,Доп.расчеты!$A222,'Как будет'!P$35:P$42)</f>
        <v>0</v>
      </c>
      <c r="P222">
        <f>SUMIF('Как будет'!$A$35:$A$42,Доп.расчеты!$A222,'Как будет'!Q$35:Q$42)</f>
        <v>0</v>
      </c>
      <c r="Q222">
        <f>SUMIF('Как будет'!$A$35:$A$42,Доп.расчеты!$A222,'Как будет'!R$35:R$42)</f>
        <v>0</v>
      </c>
      <c r="R222">
        <f>SUMIF('Как будет'!$A$35:$A$42,Доп.расчеты!$A222,'Как будет'!S$35:S$42)</f>
        <v>0</v>
      </c>
      <c r="S222">
        <f>SUMIF('Как будет'!$A$35:$A$42,Доп.расчеты!$A222,'Как будет'!T$35:T$42)</f>
        <v>0</v>
      </c>
      <c r="T222">
        <f>SUMIF('Как будет'!$A$35:$A$42,Доп.расчеты!$A222,'Как будет'!U$35:U$42)</f>
        <v>0</v>
      </c>
      <c r="U222">
        <f>SUMIF('Как будет'!$A$35:$A$42,Доп.расчеты!$A222,'Как будет'!V$35:V$42)</f>
        <v>0</v>
      </c>
      <c r="V222">
        <f>SUMIF('Как будет'!$A$35:$A$42,Доп.расчеты!$A222,'Как будет'!W$35:W$42)</f>
        <v>0</v>
      </c>
      <c r="W222">
        <f>SUMIF('Как будет'!$A$35:$A$42,Доп.расчеты!$A222,'Как будет'!X$35:X$42)</f>
        <v>0</v>
      </c>
      <c r="X222">
        <f>SUMIF('Как будет'!$A$35:$A$42,Доп.расчеты!$A222,'Как будет'!Y$35:Y$42)</f>
        <v>0</v>
      </c>
      <c r="Y222">
        <f>SUMIF('Как будет'!$A$35:$A$42,Доп.расчеты!$A222,'Как будет'!Z$35:Z$42)</f>
        <v>0</v>
      </c>
      <c r="Z222">
        <f>SUMIF('Как будет'!$A$35:$A$42,Доп.расчеты!$A222,'Как будет'!AA$35:AA$42)</f>
        <v>0</v>
      </c>
      <c r="AA222">
        <f>SUMIF('Как будет'!$A$35:$A$42,Доп.расчеты!$A222,'Как будет'!AB$35:AB$42)</f>
        <v>0</v>
      </c>
      <c r="AB222">
        <f>SUMIF('Как будет'!$A$35:$A$42,Доп.расчеты!$A222,'Как будет'!AC$35:AC$42)</f>
        <v>0</v>
      </c>
      <c r="AC222">
        <f>SUMIF('Как будет'!$A$35:$A$42,Доп.расчеты!$A222,'Как будет'!AD$35:AD$42)</f>
        <v>0</v>
      </c>
      <c r="AD222">
        <f>SUMIF('Как будет'!$A$35:$A$42,Доп.расчеты!$A222,'Как будет'!AE$35:AE$42)</f>
        <v>0</v>
      </c>
      <c r="AE222">
        <f>SUMIF('Как будет'!$A$35:$A$42,Доп.расчеты!$A222,'Как будет'!AF$35:AF$42)</f>
        <v>0</v>
      </c>
      <c r="AF222">
        <f>SUMIF('Как будет'!$A$35:$A$42,Доп.расчеты!$A222,'Как будет'!AG$35:AG$42)</f>
        <v>0</v>
      </c>
      <c r="AG222">
        <f>SUMIF('Как будет'!$A$35:$A$42,Доп.расчеты!$A222,'Как будет'!AH$35:AH$42)</f>
        <v>0</v>
      </c>
      <c r="AH222">
        <f>SUMIF('Как будет'!$A$35:$A$42,Доп.расчеты!$A222,'Как будет'!AI$35:AI$42)</f>
        <v>0</v>
      </c>
      <c r="AI222">
        <f>SUMIF('Как будет'!$A$35:$A$42,Доп.расчеты!$A222,'Как будет'!AJ$35:AJ$42)</f>
        <v>0</v>
      </c>
      <c r="AJ222">
        <f>SUMIF('Как будет'!$A$35:$A$42,Доп.расчеты!$A222,'Как будет'!AK$35:AK$42)</f>
        <v>0</v>
      </c>
      <c r="AK222">
        <f>SUMIF('Как будет'!$A$35:$A$42,Доп.расчеты!$A222,'Как будет'!AL$35:AL$42)</f>
        <v>0</v>
      </c>
      <c r="AL222">
        <f>SUMIF('Как будет'!$A$35:$A$42,Доп.расчеты!$A222,'Как будет'!AM$35:AM$42)</f>
        <v>0</v>
      </c>
      <c r="AM222">
        <f>SUMIF('Как будет'!$A$35:$A$42,Доп.расчеты!$A222,'Как будет'!AN$35:AN$42)</f>
        <v>0</v>
      </c>
      <c r="AN222">
        <f>SUMIF('Как будет'!$A$35:$A$42,Доп.расчеты!$A222,'Как будет'!AO$35:AO$42)</f>
        <v>0</v>
      </c>
      <c r="AO222">
        <f>SUMIF('Как будет'!$A$35:$A$42,Доп.расчеты!$A222,'Как будет'!AP$35:AP$42)</f>
        <v>0</v>
      </c>
      <c r="AP222">
        <f>SUMIF('Как будет'!$A$35:$A$42,Доп.расчеты!$A222,'Как будет'!AQ$35:AQ$42)</f>
        <v>0</v>
      </c>
      <c r="AQ222">
        <f>SUMIF('Как будет'!$A$35:$A$42,Доп.расчеты!$A222,'Как будет'!AR$35:AR$42)</f>
        <v>0</v>
      </c>
      <c r="AR222">
        <f>SUMIF('Как будет'!$A$35:$A$42,Доп.расчеты!$A222,'Как будет'!AS$35:AS$42)</f>
        <v>0</v>
      </c>
      <c r="AS222">
        <f>SUMIF('Как будет'!$A$35:$A$42,Доп.расчеты!$A222,'Как будет'!AT$35:AT$42)</f>
        <v>0</v>
      </c>
      <c r="AT222">
        <f>SUMIF('Как будет'!$A$35:$A$42,Доп.расчеты!$A222,'Как будет'!AU$35:AU$42)</f>
        <v>0</v>
      </c>
      <c r="AU222">
        <f>SUMIF('Как будет'!$A$35:$A$42,Доп.расчеты!$A222,'Как будет'!AV$35:AV$42)</f>
        <v>0</v>
      </c>
      <c r="AV222">
        <f>SUMIF('Как будет'!$A$35:$A$42,Доп.расчеты!$A222,'Как будет'!AW$35:AW$42)</f>
        <v>0</v>
      </c>
      <c r="AW222">
        <f>SUMIF('Как будет'!$A$35:$A$42,Доп.расчеты!$A222,'Как будет'!AX$35:AX$42)</f>
        <v>0</v>
      </c>
      <c r="AX222">
        <f>SUMIF('Как будет'!$A$35:$A$42,Доп.расчеты!$A222,'Как будет'!AY$35:AY$42)</f>
        <v>0</v>
      </c>
      <c r="AY222">
        <f>SUMIF('Как будет'!$A$35:$A$42,Доп.расчеты!$A222,'Как будет'!AZ$35:AZ$42)</f>
        <v>0</v>
      </c>
      <c r="AZ222">
        <f>SUMIF('Как будет'!$A$35:$A$42,Доп.расчеты!$A222,'Как будет'!BA$35:BA$42)</f>
        <v>0</v>
      </c>
      <c r="BA222">
        <f>SUMIF('Как будет'!$A$35:$A$42,Доп.расчеты!$A222,'Как будет'!BB$35:BB$42)</f>
        <v>0</v>
      </c>
      <c r="BB222">
        <f>SUMIF('Как будет'!$A$35:$A$42,Доп.расчеты!$A222,'Как будет'!BC$35:BC$42)</f>
        <v>0</v>
      </c>
      <c r="BC222">
        <f>SUMIF('Как будет'!$A$35:$A$42,Доп.расчеты!$A222,'Как будет'!BD$35:BD$42)</f>
        <v>0</v>
      </c>
      <c r="BD222">
        <f>SUMIF('Как будет'!$A$35:$A$42,Доп.расчеты!$A222,'Как будет'!BE$35:BE$42)</f>
        <v>0</v>
      </c>
      <c r="BE222">
        <f>SUMIF('Как будет'!$A$35:$A$42,Доп.расчеты!$A222,'Как будет'!BF$35:BF$42)</f>
        <v>0</v>
      </c>
      <c r="BF222">
        <f>SUMIF('Как будет'!$A$35:$A$42,Доп.расчеты!$A222,'Как будет'!BG$35:BG$42)</f>
        <v>0</v>
      </c>
      <c r="BG222">
        <f>SUMIF('Как будет'!$A$35:$A$42,Доп.расчеты!$A222,'Как будет'!BH$35:BH$42)</f>
        <v>0</v>
      </c>
      <c r="BH222">
        <f>SUMIF('Как будет'!$A$35:$A$42,Доп.расчеты!$A222,'Как будет'!BI$35:BI$42)</f>
        <v>0</v>
      </c>
      <c r="BI222">
        <f>SUMIF('Как будет'!$A$35:$A$42,Доп.расчеты!$A222,'Как будет'!BJ$35:BJ$42)</f>
        <v>0</v>
      </c>
      <c r="BJ222">
        <f>SUMIF('Как будет'!$A$35:$A$42,Доп.расчеты!$A222,'Как будет'!BK$35:BK$42)</f>
        <v>0</v>
      </c>
      <c r="BK222">
        <f>SUMIF('Как будет'!$A$35:$A$42,Доп.расчеты!$A222,'Как будет'!BL$35:BL$42)</f>
        <v>0</v>
      </c>
      <c r="BL222">
        <f>SUMIF('Как будет'!$A$35:$A$42,Доп.расчеты!$A222,'Как будет'!BM$35:BM$42)</f>
        <v>0</v>
      </c>
      <c r="BM222">
        <f>SUMIF('Как будет'!$A$35:$A$42,Доп.расчеты!$A222,'Как будет'!BN$35:BN$42)</f>
        <v>0</v>
      </c>
      <c r="BN222">
        <f>SUMIF('Как будет'!$A$35:$A$42,Доп.расчеты!$A222,'Как будет'!BO$35:BO$42)</f>
        <v>0</v>
      </c>
      <c r="BO222">
        <f>SUMIF('Как будет'!$A$35:$A$42,Доп.расчеты!$A222,'Как будет'!BP$35:BP$42)</f>
        <v>0</v>
      </c>
      <c r="BP222">
        <f>SUMIF('Как будет'!$A$35:$A$42,Доп.расчеты!$A222,'Как будет'!BQ$35:BQ$42)</f>
        <v>0</v>
      </c>
      <c r="BQ222">
        <f>SUMIF('Как будет'!$A$35:$A$42,Доп.расчеты!$A222,'Как будет'!BR$35:BR$42)</f>
        <v>0</v>
      </c>
      <c r="BR222">
        <f>SUMIF('Как будет'!$A$35:$A$42,Доп.расчеты!$A222,'Как будет'!BS$35:BS$42)</f>
        <v>0</v>
      </c>
      <c r="BS222">
        <f>SUMIF('Как будет'!$A$35:$A$42,Доп.расчеты!$A222,'Как будет'!BT$35:BT$42)</f>
        <v>0</v>
      </c>
      <c r="BT222">
        <f>SUMIF('Как будет'!$A$35:$A$42,Доп.расчеты!$A222,'Как будет'!BU$35:BU$42)</f>
        <v>0</v>
      </c>
      <c r="BU222">
        <f>SUMIF('Как будет'!$A$35:$A$42,Доп.расчеты!$A222,'Как будет'!BV$35:BV$42)</f>
        <v>0</v>
      </c>
      <c r="BV222">
        <f>SUMIF('Как будет'!$A$35:$A$42,Доп.расчеты!$A222,'Как будет'!BW$35:BW$42)</f>
        <v>0</v>
      </c>
      <c r="BW222">
        <f>SUMIF('Как будет'!$A$35:$A$42,Доп.расчеты!$A222,'Как будет'!BX$35:BX$42)</f>
        <v>0</v>
      </c>
      <c r="BX222">
        <f>SUMIF('Как будет'!$A$35:$A$42,Доп.расчеты!$A222,'Как будет'!BY$35:BY$42)</f>
        <v>0</v>
      </c>
      <c r="BY222">
        <f>SUMIF('Как будет'!$A$35:$A$42,Доп.расчеты!$A222,'Как будет'!BZ$35:BZ$42)</f>
        <v>0</v>
      </c>
      <c r="BZ222">
        <f>SUMIF('Как будет'!$A$35:$A$42,Доп.расчеты!$A222,'Как будет'!CA$35:CA$42)</f>
        <v>0</v>
      </c>
      <c r="CA222">
        <f>SUMIF('Как будет'!$A$35:$A$42,Доп.расчеты!$A222,'Как будет'!CB$35:CB$42)</f>
        <v>0</v>
      </c>
      <c r="CB222">
        <f>SUMIF('Как будет'!$A$35:$A$42,Доп.расчеты!$A222,'Как будет'!CC$35:CC$42)</f>
        <v>0</v>
      </c>
      <c r="CC222">
        <f>SUMIF('Как будет'!$A$35:$A$42,Доп.расчеты!$A222,'Как будет'!CD$35:CD$42)</f>
        <v>0</v>
      </c>
      <c r="CD222">
        <f>SUMIF('Как будет'!$A$35:$A$42,Доп.расчеты!$A222,'Как будет'!CE$35:CE$42)</f>
        <v>0</v>
      </c>
      <c r="CE222">
        <f>SUMIF('Как будет'!$A$35:$A$42,Доп.расчеты!$A222,'Как будет'!CF$35:CF$42)</f>
        <v>0</v>
      </c>
      <c r="CF222">
        <f>SUMIF('Как будет'!$A$35:$A$42,Доп.расчеты!$A222,'Как будет'!CG$35:CG$42)</f>
        <v>0</v>
      </c>
      <c r="CG222">
        <f>SUMIF('Как будет'!$A$35:$A$42,Доп.расчеты!$A222,'Как будет'!CH$35:CH$42)</f>
        <v>0</v>
      </c>
      <c r="CH222">
        <f>SUMIF('Как будет'!$A$35:$A$42,Доп.расчеты!$A222,'Как будет'!CI$35:CI$42)</f>
        <v>0</v>
      </c>
      <c r="CI222">
        <f>SUMIF('Как будет'!$A$35:$A$42,Доп.расчеты!$A222,'Как будет'!CJ$35:CJ$42)</f>
        <v>0</v>
      </c>
      <c r="CJ222">
        <f>SUMIF('Как будет'!$A$35:$A$42,Доп.расчеты!$A222,'Как будет'!CK$35:CK$42)</f>
        <v>0</v>
      </c>
      <c r="CK222">
        <f>SUMIF('Как будет'!$A$35:$A$42,Доп.расчеты!$A222,'Как будет'!CL$35:CL$42)</f>
        <v>0</v>
      </c>
      <c r="CL222">
        <f>SUMIF('Как будет'!$A$35:$A$42,Доп.расчеты!$A222,'Как будет'!CM$35:CM$42)</f>
        <v>0</v>
      </c>
      <c r="CM222">
        <f>SUMIF('Как будет'!$A$35:$A$42,Доп.расчеты!$A222,'Как будет'!CN$35:CN$42)</f>
        <v>0</v>
      </c>
      <c r="CN222">
        <f>SUMIF('Как будет'!$A$35:$A$42,Доп.расчеты!$A222,'Как будет'!CO$35:CO$42)</f>
        <v>0</v>
      </c>
      <c r="CO222">
        <f>SUMIF('Как будет'!$A$35:$A$42,Доп.расчеты!$A222,'Как будет'!CP$35:CP$42)</f>
        <v>0</v>
      </c>
      <c r="CP222">
        <f>SUMIF('Как будет'!$A$35:$A$42,Доп.расчеты!$A222,'Как будет'!CQ$35:CQ$42)</f>
        <v>0</v>
      </c>
      <c r="CQ222">
        <f>SUMIF('Как будет'!$A$35:$A$42,Доп.расчеты!$A222,'Как будет'!CR$35:CR$42)</f>
        <v>0</v>
      </c>
      <c r="CR222">
        <f>SUMIF('Как будет'!$A$35:$A$42,Доп.расчеты!$A222,'Как будет'!CS$35:CS$42)</f>
        <v>0</v>
      </c>
      <c r="CS222">
        <f>SUMIF('Как будет'!$A$35:$A$42,Доп.расчеты!$A222,'Как будет'!CT$35:CT$42)</f>
        <v>0</v>
      </c>
      <c r="CT222">
        <f>SUMIF('Как будет'!$A$35:$A$42,Доп.расчеты!$A222,'Как будет'!CU$35:CU$42)</f>
        <v>0</v>
      </c>
      <c r="CU222">
        <f>SUMIF('Как будет'!$A$35:$A$42,Доп.расчеты!$A222,'Как будет'!CV$35:CV$42)</f>
        <v>0</v>
      </c>
      <c r="CV222">
        <f>SUMIF('Как будет'!$A$35:$A$42,Доп.расчеты!$A222,'Как будет'!CW$35:CW$42)</f>
        <v>0</v>
      </c>
      <c r="CW222">
        <f>SUMIF('Как будет'!$A$35:$A$42,Доп.расчеты!$A222,'Как будет'!CX$35:CX$42)</f>
        <v>0</v>
      </c>
      <c r="CX222">
        <f>SUMIF('Как будет'!$A$35:$A$42,Доп.расчеты!$A222,'Как будет'!CY$35:CY$42)</f>
        <v>0</v>
      </c>
      <c r="CY222">
        <f>SUMIF('Как будет'!$A$35:$A$42,Доп.расчеты!$A222,'Как будет'!CZ$35:CZ$42)</f>
        <v>0</v>
      </c>
      <c r="CZ222">
        <f>SUMIF('Как будет'!$A$35:$A$42,Доп.расчеты!$A222,'Как будет'!DA$35:DA$42)</f>
        <v>0</v>
      </c>
      <c r="DA222">
        <f>SUMIF('Как будет'!$A$35:$A$42,Доп.расчеты!$A222,'Как будет'!DB$35:DB$42)</f>
        <v>0</v>
      </c>
      <c r="DB222">
        <f>SUMIF('Как будет'!$A$35:$A$42,Доп.расчеты!$A222,'Как будет'!DC$35:DC$42)</f>
        <v>0</v>
      </c>
      <c r="DC222">
        <f>SUMIF('Как будет'!$A$35:$A$42,Доп.расчеты!$A222,'Как будет'!DD$35:DD$42)</f>
        <v>0</v>
      </c>
      <c r="DD222">
        <f>SUMIF('Как будет'!$A$35:$A$42,Доп.расчеты!$A222,'Как будет'!DE$35:DE$42)</f>
        <v>0</v>
      </c>
      <c r="DE222">
        <f>SUMIF('Как будет'!$A$35:$A$42,Доп.расчеты!$A222,'Как будет'!DF$35:DF$42)</f>
        <v>0</v>
      </c>
      <c r="DF222">
        <f>SUMIF('Как будет'!$A$35:$A$42,Доп.расчеты!$A222,'Как будет'!DG$35:DG$42)</f>
        <v>0</v>
      </c>
      <c r="DG222">
        <f>SUMIF('Как будет'!$A$35:$A$42,Доп.расчеты!$A222,'Как будет'!DH$35:DH$42)</f>
        <v>0</v>
      </c>
      <c r="DH222">
        <f>SUMIF('Как будет'!$A$35:$A$42,Доп.расчеты!$A222,'Как будет'!DI$35:DI$42)</f>
        <v>0</v>
      </c>
      <c r="DI222">
        <f>SUMIF('Как будет'!$A$35:$A$42,Доп.расчеты!$A222,'Как будет'!DJ$35:DJ$42)</f>
        <v>0</v>
      </c>
      <c r="DJ222">
        <f>SUMIF('Как будет'!$A$35:$A$42,Доп.расчеты!$A222,'Как будет'!DK$35:DK$42)</f>
        <v>0</v>
      </c>
      <c r="DK222">
        <f>SUMIF('Как будет'!$A$35:$A$42,Доп.расчеты!$A222,'Как будет'!DL$35:DL$42)</f>
        <v>0</v>
      </c>
      <c r="DL222">
        <f>SUMIF('Как будет'!$A$35:$A$42,Доп.расчеты!$A222,'Как будет'!DM$35:DM$42)</f>
        <v>0</v>
      </c>
      <c r="DM222">
        <f>SUMIF('Как будет'!$A$35:$A$42,Доп.расчеты!$A222,'Как будет'!DN$35:DN$42)</f>
        <v>0</v>
      </c>
      <c r="DN222">
        <f>SUMIF('Как будет'!$A$35:$A$42,Доп.расчеты!$A222,'Как будет'!DO$35:DO$42)</f>
        <v>0</v>
      </c>
      <c r="DO222">
        <f>SUMIF('Как будет'!$A$35:$A$42,Доп.расчеты!$A222,'Как будет'!DP$35:DP$42)</f>
        <v>0</v>
      </c>
      <c r="DP222">
        <f>SUMIF('Как будет'!$A$35:$A$42,Доп.расчеты!$A222,'Как будет'!DQ$35:DQ$42)</f>
        <v>0</v>
      </c>
      <c r="DQ222">
        <f>SUMIF('Как будет'!$A$35:$A$42,Доп.расчеты!$A222,'Как будет'!DR$35:DR$42)</f>
        <v>0</v>
      </c>
      <c r="DR222">
        <f>SUMIF('Как будет'!$A$35:$A$42,Доп.расчеты!$A222,'Как будет'!DS$35:DS$42)</f>
        <v>0</v>
      </c>
      <c r="DS222">
        <f>SUMIF('Как будет'!$A$35:$A$42,Доп.расчеты!$A222,'Как будет'!DT$35:DT$42)</f>
        <v>0</v>
      </c>
      <c r="DT222">
        <f>SUMIF('Как будет'!$A$35:$A$42,Доп.расчеты!$A222,'Как будет'!DU$35:DU$42)</f>
        <v>0</v>
      </c>
      <c r="DU222">
        <f>SUMIF('Как будет'!$A$35:$A$42,Доп.расчеты!$A222,'Как будет'!DV$35:DV$42)</f>
        <v>0</v>
      </c>
      <c r="DV222">
        <f>SUMIF('Как будет'!$A$35:$A$42,Доп.расчеты!$A222,'Как будет'!DW$35:DW$42)</f>
        <v>0</v>
      </c>
      <c r="DW222">
        <f>SUMIF('Как будет'!$A$35:$A$42,Доп.расчеты!$A222,'Как будет'!DX$35:DX$42)</f>
        <v>0</v>
      </c>
      <c r="DX222">
        <f>SUMIF('Как будет'!$A$35:$A$42,Доп.расчеты!$A222,'Как будет'!DY$35:DY$42)</f>
        <v>0</v>
      </c>
      <c r="DY222">
        <f>SUMIF('Как будет'!$A$35:$A$42,Доп.расчеты!$A222,'Как будет'!DZ$35:DZ$42)</f>
        <v>0</v>
      </c>
      <c r="DZ222">
        <f>SUMIF('Как будет'!$A$35:$A$42,Доп.расчеты!$A222,'Как будет'!EA$35:EA$42)</f>
        <v>0</v>
      </c>
      <c r="EA222">
        <f>SUMIF('Как будет'!$A$35:$A$42,Доп.расчеты!$A222,'Как будет'!EB$35:EB$42)</f>
        <v>0</v>
      </c>
      <c r="EB222">
        <f>SUMIF('Как будет'!$A$35:$A$42,Доп.расчеты!$A222,'Как будет'!EC$35:EC$42)</f>
        <v>0</v>
      </c>
      <c r="EC222">
        <f>SUMIF('Как будет'!$A$35:$A$42,Доп.расчеты!$A222,'Как будет'!ED$35:ED$42)</f>
        <v>0</v>
      </c>
      <c r="ED222">
        <f>SUMIF('Как будет'!$A$35:$A$42,Доп.расчеты!$A222,'Как будет'!EE$35:EE$42)</f>
        <v>0</v>
      </c>
      <c r="EE222">
        <f>SUMIF('Как будет'!$A$35:$A$42,Доп.расчеты!$A222,'Как будет'!EF$35:EF$42)</f>
        <v>0</v>
      </c>
      <c r="EF222">
        <f>SUMIF('Как будет'!$A$35:$A$42,Доп.расчеты!$A222,'Как будет'!EG$35:EG$42)</f>
        <v>0</v>
      </c>
      <c r="EG222">
        <f>SUMIF('Как будет'!$A$35:$A$42,Доп.расчеты!$A222,'Как будет'!EH$35:EH$42)</f>
        <v>0</v>
      </c>
      <c r="EH222">
        <f>SUMIF('Как будет'!$A$35:$A$42,Доп.расчеты!$A222,'Как будет'!EI$35:EI$42)</f>
        <v>0</v>
      </c>
      <c r="EI222">
        <f>SUMIF('Как будет'!$A$35:$A$42,Доп.расчеты!$A222,'Как будет'!EJ$35:EJ$42)</f>
        <v>0</v>
      </c>
      <c r="EJ222">
        <f>SUMIF('Как будет'!$A$35:$A$42,Доп.расчеты!$A222,'Как будет'!EK$35:EK$42)</f>
        <v>0</v>
      </c>
      <c r="EK222">
        <f>SUMIF('Как будет'!$A$35:$A$42,Доп.расчеты!$A222,'Как будет'!EL$35:EL$42)</f>
        <v>0</v>
      </c>
      <c r="EL222">
        <f>SUMIF('Как будет'!$A$35:$A$42,Доп.расчеты!$A222,'Как будет'!EM$35:EM$42)</f>
        <v>0</v>
      </c>
      <c r="EM222">
        <f>SUMIF('Как будет'!$A$35:$A$42,Доп.расчеты!$A222,'Как будет'!EN$35:EN$42)</f>
        <v>0</v>
      </c>
      <c r="EN222">
        <f>SUMIF('Как будет'!$A$35:$A$42,Доп.расчеты!$A222,'Как будет'!EO$35:EO$42)</f>
        <v>0</v>
      </c>
      <c r="EO222">
        <f>SUMIF('Как будет'!$A$35:$A$42,Доп.расчеты!$A222,'Как будет'!EP$35:EP$42)</f>
        <v>0</v>
      </c>
      <c r="EP222">
        <f>SUMIF('Как будет'!$A$35:$A$42,Доп.расчеты!$A222,'Как будет'!EQ$35:EQ$42)</f>
        <v>0</v>
      </c>
      <c r="EQ222">
        <f>SUMIF('Как будет'!$A$35:$A$42,Доп.расчеты!$A222,'Как будет'!ER$35:ER$42)</f>
        <v>0</v>
      </c>
      <c r="ER222">
        <f>SUMIF('Как будет'!$A$35:$A$42,Доп.расчеты!$A222,'Как будет'!ES$35:ES$42)</f>
        <v>0</v>
      </c>
      <c r="ES222">
        <f>SUMIF('Как будет'!$A$35:$A$42,Доп.расчеты!$A222,'Как будет'!ET$35:ET$42)</f>
        <v>0</v>
      </c>
      <c r="ET222">
        <f>SUMIF('Как будет'!$A$35:$A$42,Доп.расчеты!$A222,'Как будет'!EU$35:EU$42)</f>
        <v>0</v>
      </c>
      <c r="EU222">
        <f>SUMIF('Как будет'!$A$35:$A$42,Доп.расчеты!$A222,'Как будет'!EV$35:EV$42)</f>
        <v>0</v>
      </c>
      <c r="EV222">
        <f>SUMIF('Как будет'!$A$35:$A$42,Доп.расчеты!$A222,'Как будет'!EW$35:EW$42)</f>
        <v>0</v>
      </c>
      <c r="EW222">
        <f>SUMIF('Как будет'!$A$35:$A$42,Доп.расчеты!$A222,'Как будет'!EX$35:EX$42)</f>
        <v>0</v>
      </c>
      <c r="EX222">
        <f>SUMIF('Как будет'!$A$35:$A$42,Доп.расчеты!$A222,'Как будет'!EY$35:EY$42)</f>
        <v>0</v>
      </c>
      <c r="EY222">
        <f>SUMIF('Как будет'!$A$35:$A$42,Доп.расчеты!$A222,'Как будет'!EZ$35:EZ$42)</f>
        <v>0</v>
      </c>
      <c r="EZ222">
        <f>SUMIF('Как будет'!$A$35:$A$42,Доп.расчеты!$A222,'Как будет'!FA$35:FA$42)</f>
        <v>0</v>
      </c>
      <c r="FA222">
        <f>SUMIF('Как будет'!$A$35:$A$42,Доп.расчеты!$A222,'Как будет'!FB$35:FB$42)</f>
        <v>0</v>
      </c>
      <c r="FB222">
        <f>SUMIF('Как будет'!$A$35:$A$42,Доп.расчеты!$A222,'Как будет'!FC$35:FC$42)</f>
        <v>0</v>
      </c>
      <c r="FC222">
        <f>SUMIF('Как будет'!$A$35:$A$42,Доп.расчеты!$A222,'Как будет'!FD$35:FD$42)</f>
        <v>0</v>
      </c>
      <c r="FD222">
        <f>SUMIF('Как будет'!$A$35:$A$42,Доп.расчеты!$A222,'Как будет'!FE$35:FE$42)</f>
        <v>0</v>
      </c>
      <c r="FE222">
        <f>SUMIF('Как будет'!$A$35:$A$42,Доп.расчеты!$A222,'Как будет'!FF$35:FF$42)</f>
        <v>0</v>
      </c>
      <c r="FF222">
        <f>SUMIF('Как будет'!$A$35:$A$42,Доп.расчеты!$A222,'Как будет'!FG$35:FG$42)</f>
        <v>0</v>
      </c>
      <c r="FG222">
        <f>SUMIF('Как будет'!$A$35:$A$42,Доп.расчеты!$A222,'Как будет'!FH$35:FH$42)</f>
        <v>0</v>
      </c>
      <c r="FH222">
        <f>SUMIF('Как будет'!$A$35:$A$42,Доп.расчеты!$A222,'Как будет'!FI$35:FI$42)</f>
        <v>0</v>
      </c>
      <c r="FI222">
        <f>SUMIF('Как будет'!$A$35:$A$42,Доп.расчеты!$A222,'Как будет'!FJ$35:FJ$42)</f>
        <v>0</v>
      </c>
      <c r="FJ222">
        <f>SUMIF('Как будет'!$A$35:$A$42,Доп.расчеты!$A222,'Как будет'!FK$35:FK$42)</f>
        <v>0</v>
      </c>
      <c r="FK222">
        <f>SUMIF('Как будет'!$A$35:$A$42,Доп.расчеты!$A222,'Как будет'!FL$35:FL$42)</f>
        <v>0</v>
      </c>
      <c r="FL222">
        <f>SUMIF('Как будет'!$A$35:$A$42,Доп.расчеты!$A222,'Как будет'!FM$35:FM$42)</f>
        <v>0</v>
      </c>
      <c r="FM222">
        <f>SUMIF('Как будет'!$A$35:$A$42,Доп.расчеты!$A222,'Как будет'!FN$35:FN$42)</f>
        <v>0</v>
      </c>
      <c r="FN222">
        <f>SUMIF('Как будет'!$A$35:$A$42,Доп.расчеты!$A222,'Как будет'!FO$35:FO$42)</f>
        <v>0</v>
      </c>
      <c r="FO222">
        <f>SUMIF('Как будет'!$A$35:$A$42,Доп.расчеты!$A222,'Как будет'!FP$35:FP$42)</f>
        <v>0</v>
      </c>
      <c r="FP222">
        <f>SUMIF('Как будет'!$A$35:$A$42,Доп.расчеты!$A222,'Как будет'!FQ$35:FQ$42)</f>
        <v>0</v>
      </c>
      <c r="FQ222">
        <f>SUMIF('Как будет'!$A$35:$A$42,Доп.расчеты!$A222,'Как будет'!FR$35:FR$42)</f>
        <v>0</v>
      </c>
      <c r="FR222">
        <f>SUMIF('Как будет'!$A$35:$A$42,Доп.расчеты!$A222,'Как будет'!FS$35:FS$42)</f>
        <v>0</v>
      </c>
      <c r="FS222">
        <f>SUMIF('Как будет'!$A$35:$A$42,Доп.расчеты!$A222,'Как будет'!FT$35:FT$42)</f>
        <v>0</v>
      </c>
      <c r="FT222">
        <f>SUMIF('Как будет'!$A$35:$A$42,Доп.расчеты!$A222,'Как будет'!FU$35:FU$42)</f>
        <v>0</v>
      </c>
      <c r="FU222">
        <f>SUMIF('Как будет'!$A$35:$A$42,Доп.расчеты!$A222,'Как будет'!FV$35:FV$42)</f>
        <v>0</v>
      </c>
      <c r="FV222">
        <f>SUMIF('Как будет'!$A$35:$A$42,Доп.расчеты!$A222,'Как будет'!FW$35:FW$42)</f>
        <v>0</v>
      </c>
      <c r="FW222">
        <f>SUMIF('Как будет'!$A$35:$A$42,Доп.расчеты!$A222,'Как будет'!FX$35:FX$42)</f>
        <v>0</v>
      </c>
      <c r="FX222">
        <f>SUMIF('Как будет'!$A$35:$A$42,Доп.расчеты!$A222,'Как будет'!FY$35:FY$42)</f>
        <v>0</v>
      </c>
      <c r="FY222">
        <f>SUMIF('Как будет'!$A$35:$A$42,Доп.расчеты!$A222,'Как будет'!FZ$35:FZ$42)</f>
        <v>0</v>
      </c>
      <c r="FZ222">
        <f>SUMIF('Как будет'!$A$35:$A$42,Доп.расчеты!$A222,'Как будет'!GA$35:GA$42)</f>
        <v>0</v>
      </c>
      <c r="GA222">
        <f>SUMIF('Как будет'!$A$35:$A$42,Доп.расчеты!$A222,'Как будет'!GB$35:GB$42)</f>
        <v>0</v>
      </c>
      <c r="GB222">
        <f>SUMIF('Как будет'!$A$35:$A$42,Доп.расчеты!$A222,'Как будет'!GC$35:GC$42)</f>
        <v>0</v>
      </c>
      <c r="GC222">
        <f>SUMIF('Как будет'!$A$35:$A$42,Доп.расчеты!$A222,'Как будет'!GD$35:GD$42)</f>
        <v>0</v>
      </c>
      <c r="GD222">
        <f>SUMIF('Как будет'!$A$35:$A$42,Доп.расчеты!$A222,'Как будет'!GE$35:GE$42)</f>
        <v>0</v>
      </c>
      <c r="GE222">
        <f>SUMIF('Как будет'!$A$35:$A$42,Доп.расчеты!$A222,'Как будет'!GF$35:GF$42)</f>
        <v>0</v>
      </c>
      <c r="GF222">
        <f>SUMIF('Как будет'!$A$35:$A$42,Доп.расчеты!$A222,'Как будет'!GG$35:GG$42)</f>
        <v>0</v>
      </c>
      <c r="GG222">
        <f>SUMIF('Как будет'!$A$35:$A$42,Доп.расчеты!$A222,'Как будет'!GH$35:GH$42)</f>
        <v>0</v>
      </c>
      <c r="GH222">
        <f>SUMIF('Как будет'!$A$35:$A$42,Доп.расчеты!$A222,'Как будет'!GI$35:GI$42)</f>
        <v>0</v>
      </c>
      <c r="GI222">
        <f>SUMIF('Как будет'!$A$35:$A$42,Доп.расчеты!$A222,'Как будет'!GJ$35:GJ$42)</f>
        <v>0</v>
      </c>
      <c r="GJ222">
        <f>SUMIF('Как будет'!$A$35:$A$42,Доп.расчеты!$A222,'Как будет'!GK$35:GK$42)</f>
        <v>0</v>
      </c>
      <c r="GK222">
        <f>SUMIF('Как будет'!$A$35:$A$42,Доп.расчеты!$A222,'Как будет'!GL$35:GL$42)</f>
        <v>0</v>
      </c>
      <c r="GL222">
        <f>SUMIF('Как будет'!$A$35:$A$42,Доп.расчеты!$A222,'Как будет'!GM$35:GM$42)</f>
        <v>0</v>
      </c>
      <c r="GM222">
        <f>SUMIF('Как будет'!$A$35:$A$42,Доп.расчеты!$A222,'Как будет'!GN$35:GN$42)</f>
        <v>0</v>
      </c>
      <c r="GN222">
        <f>SUMIF('Как будет'!$A$35:$A$42,Доп.расчеты!$A222,'Как будет'!GO$35:GO$42)</f>
        <v>0</v>
      </c>
      <c r="GO222">
        <f>SUMIF('Как будет'!$A$35:$A$42,Доп.расчеты!$A222,'Как будет'!GP$35:GP$42)</f>
        <v>0</v>
      </c>
      <c r="GP222">
        <f>SUMIF('Как будет'!$A$35:$A$42,Доп.расчеты!$A222,'Как будет'!GQ$35:GQ$42)</f>
        <v>0</v>
      </c>
      <c r="GQ222">
        <f>SUMIF('Как будет'!$A$35:$A$42,Доп.расчеты!$A222,'Как будет'!GR$35:GR$42)</f>
        <v>0</v>
      </c>
      <c r="GR222">
        <f>SUMIF('Как будет'!$A$35:$A$42,Доп.расчеты!$A222,'Как будет'!GS$35:GS$42)</f>
        <v>0</v>
      </c>
      <c r="GS222">
        <f>SUMIF('Как будет'!$A$35:$A$42,Доп.расчеты!$A222,'Как будет'!GT$35:GT$42)</f>
        <v>0</v>
      </c>
      <c r="GT222">
        <f>SUMIF('Как будет'!$A$35:$A$42,Доп.расчеты!$A222,'Как будет'!GU$35:GU$42)</f>
        <v>0</v>
      </c>
    </row>
    <row r="223" spans="1:202">
      <c r="A223" s="238" t="s">
        <v>64</v>
      </c>
      <c r="B223">
        <f>SUMIF('Как будет'!$A$35:$A$42,Доп.расчеты!$A223,'Как будет'!C$35:C$42)</f>
        <v>0</v>
      </c>
      <c r="C223">
        <f>SUMIF('Как будет'!$A$35:$A$42,Доп.расчеты!$A223,'Как будет'!D$35:D$42)</f>
        <v>0</v>
      </c>
      <c r="D223">
        <f>SUMIF('Как будет'!$A$35:$A$42,Доп.расчеты!$A223,'Как будет'!E$35:E$42)</f>
        <v>0</v>
      </c>
      <c r="E223">
        <f>SUMIF('Как будет'!$A$35:$A$42,Доп.расчеты!$A223,'Как будет'!F$35:F$42)</f>
        <v>0</v>
      </c>
      <c r="F223">
        <f>SUMIF('Как будет'!$A$35:$A$42,Доп.расчеты!$A223,'Как будет'!G$35:G$42)</f>
        <v>0</v>
      </c>
      <c r="G223">
        <f>SUMIF('Как будет'!$A$35:$A$42,Доп.расчеты!$A223,'Как будет'!H$35:H$42)</f>
        <v>0</v>
      </c>
      <c r="H223">
        <f>SUMIF('Как будет'!$A$35:$A$42,Доп.расчеты!$A223,'Как будет'!I$35:I$42)</f>
        <v>0</v>
      </c>
      <c r="I223">
        <f>SUMIF('Как будет'!$A$35:$A$42,Доп.расчеты!$A223,'Как будет'!J$35:J$42)</f>
        <v>0</v>
      </c>
      <c r="J223">
        <f>SUMIF('Как будет'!$A$35:$A$42,Доп.расчеты!$A223,'Как будет'!K$35:K$42)</f>
        <v>0</v>
      </c>
      <c r="K223">
        <f>SUMIF('Как будет'!$A$35:$A$42,Доп.расчеты!$A223,'Как будет'!L$35:L$42)</f>
        <v>0</v>
      </c>
      <c r="L223">
        <f>SUMIF('Как будет'!$A$35:$A$42,Доп.расчеты!$A223,'Как будет'!M$35:M$42)</f>
        <v>0</v>
      </c>
      <c r="M223">
        <f>SUMIF('Как будет'!$A$35:$A$42,Доп.расчеты!$A223,'Как будет'!N$35:N$42)</f>
        <v>0</v>
      </c>
      <c r="N223">
        <f>SUMIF('Как будет'!$A$35:$A$42,Доп.расчеты!$A223,'Как будет'!O$35:O$42)</f>
        <v>0</v>
      </c>
      <c r="O223">
        <f>SUMIF('Как будет'!$A$35:$A$42,Доп.расчеты!$A223,'Как будет'!P$35:P$42)</f>
        <v>0</v>
      </c>
      <c r="P223">
        <f>SUMIF('Как будет'!$A$35:$A$42,Доп.расчеты!$A223,'Как будет'!Q$35:Q$42)</f>
        <v>0</v>
      </c>
      <c r="Q223">
        <f>SUMIF('Как будет'!$A$35:$A$42,Доп.расчеты!$A223,'Как будет'!R$35:R$42)</f>
        <v>0</v>
      </c>
      <c r="R223">
        <f>SUMIF('Как будет'!$A$35:$A$42,Доп.расчеты!$A223,'Как будет'!S$35:S$42)</f>
        <v>0</v>
      </c>
      <c r="S223">
        <f>SUMIF('Как будет'!$A$35:$A$42,Доп.расчеты!$A223,'Как будет'!T$35:T$42)</f>
        <v>0</v>
      </c>
      <c r="T223">
        <f>SUMIF('Как будет'!$A$35:$A$42,Доп.расчеты!$A223,'Как будет'!U$35:U$42)</f>
        <v>0</v>
      </c>
      <c r="U223">
        <f>SUMIF('Как будет'!$A$35:$A$42,Доп.расчеты!$A223,'Как будет'!V$35:V$42)</f>
        <v>0</v>
      </c>
      <c r="V223">
        <f>SUMIF('Как будет'!$A$35:$A$42,Доп.расчеты!$A223,'Как будет'!W$35:W$42)</f>
        <v>0</v>
      </c>
      <c r="W223">
        <f>SUMIF('Как будет'!$A$35:$A$42,Доп.расчеты!$A223,'Как будет'!X$35:X$42)</f>
        <v>0</v>
      </c>
      <c r="X223">
        <f>SUMIF('Как будет'!$A$35:$A$42,Доп.расчеты!$A223,'Как будет'!Y$35:Y$42)</f>
        <v>0</v>
      </c>
      <c r="Y223">
        <f>SUMIF('Как будет'!$A$35:$A$42,Доп.расчеты!$A223,'Как будет'!Z$35:Z$42)</f>
        <v>0</v>
      </c>
      <c r="Z223">
        <f>SUMIF('Как будет'!$A$35:$A$42,Доп.расчеты!$A223,'Как будет'!AA$35:AA$42)</f>
        <v>0</v>
      </c>
      <c r="AA223">
        <f>SUMIF('Как будет'!$A$35:$A$42,Доп.расчеты!$A223,'Как будет'!AB$35:AB$42)</f>
        <v>0</v>
      </c>
      <c r="AB223">
        <f>SUMIF('Как будет'!$A$35:$A$42,Доп.расчеты!$A223,'Как будет'!AC$35:AC$42)</f>
        <v>0</v>
      </c>
      <c r="AC223">
        <f>SUMIF('Как будет'!$A$35:$A$42,Доп.расчеты!$A223,'Как будет'!AD$35:AD$42)</f>
        <v>0</v>
      </c>
      <c r="AD223">
        <f>SUMIF('Как будет'!$A$35:$A$42,Доп.расчеты!$A223,'Как будет'!AE$35:AE$42)</f>
        <v>0</v>
      </c>
      <c r="AE223">
        <f>SUMIF('Как будет'!$A$35:$A$42,Доп.расчеты!$A223,'Как будет'!AF$35:AF$42)</f>
        <v>0</v>
      </c>
      <c r="AF223">
        <f>SUMIF('Как будет'!$A$35:$A$42,Доп.расчеты!$A223,'Как будет'!AG$35:AG$42)</f>
        <v>0</v>
      </c>
      <c r="AG223">
        <f>SUMIF('Как будет'!$A$35:$A$42,Доп.расчеты!$A223,'Как будет'!AH$35:AH$42)</f>
        <v>0</v>
      </c>
      <c r="AH223">
        <f>SUMIF('Как будет'!$A$35:$A$42,Доп.расчеты!$A223,'Как будет'!AI$35:AI$42)</f>
        <v>0</v>
      </c>
      <c r="AI223">
        <f>SUMIF('Как будет'!$A$35:$A$42,Доп.расчеты!$A223,'Как будет'!AJ$35:AJ$42)</f>
        <v>0</v>
      </c>
      <c r="AJ223">
        <f>SUMIF('Как будет'!$A$35:$A$42,Доп.расчеты!$A223,'Как будет'!AK$35:AK$42)</f>
        <v>0</v>
      </c>
      <c r="AK223">
        <f>SUMIF('Как будет'!$A$35:$A$42,Доп.расчеты!$A223,'Как будет'!AL$35:AL$42)</f>
        <v>0</v>
      </c>
      <c r="AL223">
        <f>SUMIF('Как будет'!$A$35:$A$42,Доп.расчеты!$A223,'Как будет'!AM$35:AM$42)</f>
        <v>0</v>
      </c>
      <c r="AM223">
        <f>SUMIF('Как будет'!$A$35:$A$42,Доп.расчеты!$A223,'Как будет'!AN$35:AN$42)</f>
        <v>0</v>
      </c>
      <c r="AN223">
        <f>SUMIF('Как будет'!$A$35:$A$42,Доп.расчеты!$A223,'Как будет'!AO$35:AO$42)</f>
        <v>0</v>
      </c>
      <c r="AO223">
        <f>SUMIF('Как будет'!$A$35:$A$42,Доп.расчеты!$A223,'Как будет'!AP$35:AP$42)</f>
        <v>0</v>
      </c>
      <c r="AP223">
        <f>SUMIF('Как будет'!$A$35:$A$42,Доп.расчеты!$A223,'Как будет'!AQ$35:AQ$42)</f>
        <v>0</v>
      </c>
      <c r="AQ223">
        <f>SUMIF('Как будет'!$A$35:$A$42,Доп.расчеты!$A223,'Как будет'!AR$35:AR$42)</f>
        <v>0</v>
      </c>
      <c r="AR223">
        <f>SUMIF('Как будет'!$A$35:$A$42,Доп.расчеты!$A223,'Как будет'!AS$35:AS$42)</f>
        <v>0</v>
      </c>
      <c r="AS223">
        <f>SUMIF('Как будет'!$A$35:$A$42,Доп.расчеты!$A223,'Как будет'!AT$35:AT$42)</f>
        <v>0</v>
      </c>
      <c r="AT223">
        <f>SUMIF('Как будет'!$A$35:$A$42,Доп.расчеты!$A223,'Как будет'!AU$35:AU$42)</f>
        <v>0</v>
      </c>
      <c r="AU223">
        <f>SUMIF('Как будет'!$A$35:$A$42,Доп.расчеты!$A223,'Как будет'!AV$35:AV$42)</f>
        <v>0</v>
      </c>
      <c r="AV223">
        <f>SUMIF('Как будет'!$A$35:$A$42,Доп.расчеты!$A223,'Как будет'!AW$35:AW$42)</f>
        <v>0</v>
      </c>
      <c r="AW223">
        <f>SUMIF('Как будет'!$A$35:$A$42,Доп.расчеты!$A223,'Как будет'!AX$35:AX$42)</f>
        <v>0</v>
      </c>
      <c r="AX223">
        <f>SUMIF('Как будет'!$A$35:$A$42,Доп.расчеты!$A223,'Как будет'!AY$35:AY$42)</f>
        <v>0</v>
      </c>
      <c r="AY223">
        <f>SUMIF('Как будет'!$A$35:$A$42,Доп.расчеты!$A223,'Как будет'!AZ$35:AZ$42)</f>
        <v>0</v>
      </c>
      <c r="AZ223">
        <f>SUMIF('Как будет'!$A$35:$A$42,Доп.расчеты!$A223,'Как будет'!BA$35:BA$42)</f>
        <v>0</v>
      </c>
      <c r="BA223">
        <f>SUMIF('Как будет'!$A$35:$A$42,Доп.расчеты!$A223,'Как будет'!BB$35:BB$42)</f>
        <v>0</v>
      </c>
      <c r="BB223">
        <f>SUMIF('Как будет'!$A$35:$A$42,Доп.расчеты!$A223,'Как будет'!BC$35:BC$42)</f>
        <v>0</v>
      </c>
      <c r="BC223">
        <f>SUMIF('Как будет'!$A$35:$A$42,Доп.расчеты!$A223,'Как будет'!BD$35:BD$42)</f>
        <v>0</v>
      </c>
      <c r="BD223">
        <f>SUMIF('Как будет'!$A$35:$A$42,Доп.расчеты!$A223,'Как будет'!BE$35:BE$42)</f>
        <v>0</v>
      </c>
      <c r="BE223">
        <f>SUMIF('Как будет'!$A$35:$A$42,Доп.расчеты!$A223,'Как будет'!BF$35:BF$42)</f>
        <v>0</v>
      </c>
      <c r="BF223">
        <f>SUMIF('Как будет'!$A$35:$A$42,Доп.расчеты!$A223,'Как будет'!BG$35:BG$42)</f>
        <v>0</v>
      </c>
      <c r="BG223">
        <f>SUMIF('Как будет'!$A$35:$A$42,Доп.расчеты!$A223,'Как будет'!BH$35:BH$42)</f>
        <v>0</v>
      </c>
      <c r="BH223">
        <f>SUMIF('Как будет'!$A$35:$A$42,Доп.расчеты!$A223,'Как будет'!BI$35:BI$42)</f>
        <v>0</v>
      </c>
      <c r="BI223">
        <f>SUMIF('Как будет'!$A$35:$A$42,Доп.расчеты!$A223,'Как будет'!BJ$35:BJ$42)</f>
        <v>0</v>
      </c>
      <c r="BJ223">
        <f>SUMIF('Как будет'!$A$35:$A$42,Доп.расчеты!$A223,'Как будет'!BK$35:BK$42)</f>
        <v>0</v>
      </c>
      <c r="BK223">
        <f>SUMIF('Как будет'!$A$35:$A$42,Доп.расчеты!$A223,'Как будет'!BL$35:BL$42)</f>
        <v>0</v>
      </c>
      <c r="BL223">
        <f>SUMIF('Как будет'!$A$35:$A$42,Доп.расчеты!$A223,'Как будет'!BM$35:BM$42)</f>
        <v>0</v>
      </c>
      <c r="BM223">
        <f>SUMIF('Как будет'!$A$35:$A$42,Доп.расчеты!$A223,'Как будет'!BN$35:BN$42)</f>
        <v>0</v>
      </c>
      <c r="BN223">
        <f>SUMIF('Как будет'!$A$35:$A$42,Доп.расчеты!$A223,'Как будет'!BO$35:BO$42)</f>
        <v>0</v>
      </c>
      <c r="BO223">
        <f>SUMIF('Как будет'!$A$35:$A$42,Доп.расчеты!$A223,'Как будет'!BP$35:BP$42)</f>
        <v>0</v>
      </c>
      <c r="BP223">
        <f>SUMIF('Как будет'!$A$35:$A$42,Доп.расчеты!$A223,'Как будет'!BQ$35:BQ$42)</f>
        <v>0</v>
      </c>
      <c r="BQ223">
        <f>SUMIF('Как будет'!$A$35:$A$42,Доп.расчеты!$A223,'Как будет'!BR$35:BR$42)</f>
        <v>0</v>
      </c>
      <c r="BR223">
        <f>SUMIF('Как будет'!$A$35:$A$42,Доп.расчеты!$A223,'Как будет'!BS$35:BS$42)</f>
        <v>0</v>
      </c>
      <c r="BS223">
        <f>SUMIF('Как будет'!$A$35:$A$42,Доп.расчеты!$A223,'Как будет'!BT$35:BT$42)</f>
        <v>0</v>
      </c>
      <c r="BT223">
        <f>SUMIF('Как будет'!$A$35:$A$42,Доп.расчеты!$A223,'Как будет'!BU$35:BU$42)</f>
        <v>0</v>
      </c>
      <c r="BU223">
        <f>SUMIF('Как будет'!$A$35:$A$42,Доп.расчеты!$A223,'Как будет'!BV$35:BV$42)</f>
        <v>0</v>
      </c>
      <c r="BV223">
        <f>SUMIF('Как будет'!$A$35:$A$42,Доп.расчеты!$A223,'Как будет'!BW$35:BW$42)</f>
        <v>0</v>
      </c>
      <c r="BW223">
        <f>SUMIF('Как будет'!$A$35:$A$42,Доп.расчеты!$A223,'Как будет'!BX$35:BX$42)</f>
        <v>0</v>
      </c>
      <c r="BX223">
        <f>SUMIF('Как будет'!$A$35:$A$42,Доп.расчеты!$A223,'Как будет'!BY$35:BY$42)</f>
        <v>0</v>
      </c>
      <c r="BY223">
        <f>SUMIF('Как будет'!$A$35:$A$42,Доп.расчеты!$A223,'Как будет'!BZ$35:BZ$42)</f>
        <v>0</v>
      </c>
      <c r="BZ223">
        <f>SUMIF('Как будет'!$A$35:$A$42,Доп.расчеты!$A223,'Как будет'!CA$35:CA$42)</f>
        <v>0</v>
      </c>
      <c r="CA223">
        <f>SUMIF('Как будет'!$A$35:$A$42,Доп.расчеты!$A223,'Как будет'!CB$35:CB$42)</f>
        <v>0</v>
      </c>
      <c r="CB223">
        <f>SUMIF('Как будет'!$A$35:$A$42,Доп.расчеты!$A223,'Как будет'!CC$35:CC$42)</f>
        <v>0</v>
      </c>
      <c r="CC223">
        <f>SUMIF('Как будет'!$A$35:$A$42,Доп.расчеты!$A223,'Как будет'!CD$35:CD$42)</f>
        <v>0</v>
      </c>
      <c r="CD223">
        <f>SUMIF('Как будет'!$A$35:$A$42,Доп.расчеты!$A223,'Как будет'!CE$35:CE$42)</f>
        <v>0</v>
      </c>
      <c r="CE223">
        <f>SUMIF('Как будет'!$A$35:$A$42,Доп.расчеты!$A223,'Как будет'!CF$35:CF$42)</f>
        <v>0</v>
      </c>
      <c r="CF223">
        <f>SUMIF('Как будет'!$A$35:$A$42,Доп.расчеты!$A223,'Как будет'!CG$35:CG$42)</f>
        <v>0</v>
      </c>
      <c r="CG223">
        <f>SUMIF('Как будет'!$A$35:$A$42,Доп.расчеты!$A223,'Как будет'!CH$35:CH$42)</f>
        <v>0</v>
      </c>
      <c r="CH223">
        <f>SUMIF('Как будет'!$A$35:$A$42,Доп.расчеты!$A223,'Как будет'!CI$35:CI$42)</f>
        <v>0</v>
      </c>
      <c r="CI223">
        <f>SUMIF('Как будет'!$A$35:$A$42,Доп.расчеты!$A223,'Как будет'!CJ$35:CJ$42)</f>
        <v>0</v>
      </c>
      <c r="CJ223">
        <f>SUMIF('Как будет'!$A$35:$A$42,Доп.расчеты!$A223,'Как будет'!CK$35:CK$42)</f>
        <v>0</v>
      </c>
      <c r="CK223">
        <f>SUMIF('Как будет'!$A$35:$A$42,Доп.расчеты!$A223,'Как будет'!CL$35:CL$42)</f>
        <v>0</v>
      </c>
      <c r="CL223">
        <f>SUMIF('Как будет'!$A$35:$A$42,Доп.расчеты!$A223,'Как будет'!CM$35:CM$42)</f>
        <v>0</v>
      </c>
      <c r="CM223">
        <f>SUMIF('Как будет'!$A$35:$A$42,Доп.расчеты!$A223,'Как будет'!CN$35:CN$42)</f>
        <v>0</v>
      </c>
      <c r="CN223">
        <f>SUMIF('Как будет'!$A$35:$A$42,Доп.расчеты!$A223,'Как будет'!CO$35:CO$42)</f>
        <v>0</v>
      </c>
      <c r="CO223">
        <f>SUMIF('Как будет'!$A$35:$A$42,Доп.расчеты!$A223,'Как будет'!CP$35:CP$42)</f>
        <v>0</v>
      </c>
      <c r="CP223">
        <f>SUMIF('Как будет'!$A$35:$A$42,Доп.расчеты!$A223,'Как будет'!CQ$35:CQ$42)</f>
        <v>0</v>
      </c>
      <c r="CQ223">
        <f>SUMIF('Как будет'!$A$35:$A$42,Доп.расчеты!$A223,'Как будет'!CR$35:CR$42)</f>
        <v>0</v>
      </c>
      <c r="CR223">
        <f>SUMIF('Как будет'!$A$35:$A$42,Доп.расчеты!$A223,'Как будет'!CS$35:CS$42)</f>
        <v>0</v>
      </c>
      <c r="CS223">
        <f>SUMIF('Как будет'!$A$35:$A$42,Доп.расчеты!$A223,'Как будет'!CT$35:CT$42)</f>
        <v>0</v>
      </c>
      <c r="CT223">
        <f>SUMIF('Как будет'!$A$35:$A$42,Доп.расчеты!$A223,'Как будет'!CU$35:CU$42)</f>
        <v>0</v>
      </c>
      <c r="CU223">
        <f>SUMIF('Как будет'!$A$35:$A$42,Доп.расчеты!$A223,'Как будет'!CV$35:CV$42)</f>
        <v>0</v>
      </c>
      <c r="CV223">
        <f>SUMIF('Как будет'!$A$35:$A$42,Доп.расчеты!$A223,'Как будет'!CW$35:CW$42)</f>
        <v>0</v>
      </c>
      <c r="CW223">
        <f>SUMIF('Как будет'!$A$35:$A$42,Доп.расчеты!$A223,'Как будет'!CX$35:CX$42)</f>
        <v>0</v>
      </c>
      <c r="CX223">
        <f>SUMIF('Как будет'!$A$35:$A$42,Доп.расчеты!$A223,'Как будет'!CY$35:CY$42)</f>
        <v>0</v>
      </c>
      <c r="CY223">
        <f>SUMIF('Как будет'!$A$35:$A$42,Доп.расчеты!$A223,'Как будет'!CZ$35:CZ$42)</f>
        <v>0</v>
      </c>
      <c r="CZ223">
        <f>SUMIF('Как будет'!$A$35:$A$42,Доп.расчеты!$A223,'Как будет'!DA$35:DA$42)</f>
        <v>0</v>
      </c>
      <c r="DA223">
        <f>SUMIF('Как будет'!$A$35:$A$42,Доп.расчеты!$A223,'Как будет'!DB$35:DB$42)</f>
        <v>0</v>
      </c>
      <c r="DB223">
        <f>SUMIF('Как будет'!$A$35:$A$42,Доп.расчеты!$A223,'Как будет'!DC$35:DC$42)</f>
        <v>0</v>
      </c>
      <c r="DC223">
        <f>SUMIF('Как будет'!$A$35:$A$42,Доп.расчеты!$A223,'Как будет'!DD$35:DD$42)</f>
        <v>0</v>
      </c>
      <c r="DD223">
        <f>SUMIF('Как будет'!$A$35:$A$42,Доп.расчеты!$A223,'Как будет'!DE$35:DE$42)</f>
        <v>0</v>
      </c>
      <c r="DE223">
        <f>SUMIF('Как будет'!$A$35:$A$42,Доп.расчеты!$A223,'Как будет'!DF$35:DF$42)</f>
        <v>0</v>
      </c>
      <c r="DF223">
        <f>SUMIF('Как будет'!$A$35:$A$42,Доп.расчеты!$A223,'Как будет'!DG$35:DG$42)</f>
        <v>0</v>
      </c>
      <c r="DG223">
        <f>SUMIF('Как будет'!$A$35:$A$42,Доп.расчеты!$A223,'Как будет'!DH$35:DH$42)</f>
        <v>0</v>
      </c>
      <c r="DH223">
        <f>SUMIF('Как будет'!$A$35:$A$42,Доп.расчеты!$A223,'Как будет'!DI$35:DI$42)</f>
        <v>0</v>
      </c>
      <c r="DI223">
        <f>SUMIF('Как будет'!$A$35:$A$42,Доп.расчеты!$A223,'Как будет'!DJ$35:DJ$42)</f>
        <v>0</v>
      </c>
      <c r="DJ223">
        <f>SUMIF('Как будет'!$A$35:$A$42,Доп.расчеты!$A223,'Как будет'!DK$35:DK$42)</f>
        <v>0</v>
      </c>
      <c r="DK223">
        <f>SUMIF('Как будет'!$A$35:$A$42,Доп.расчеты!$A223,'Как будет'!DL$35:DL$42)</f>
        <v>0</v>
      </c>
      <c r="DL223">
        <f>SUMIF('Как будет'!$A$35:$A$42,Доп.расчеты!$A223,'Как будет'!DM$35:DM$42)</f>
        <v>0</v>
      </c>
      <c r="DM223">
        <f>SUMIF('Как будет'!$A$35:$A$42,Доп.расчеты!$A223,'Как будет'!DN$35:DN$42)</f>
        <v>0</v>
      </c>
      <c r="DN223">
        <f>SUMIF('Как будет'!$A$35:$A$42,Доп.расчеты!$A223,'Как будет'!DO$35:DO$42)</f>
        <v>0</v>
      </c>
      <c r="DO223">
        <f>SUMIF('Как будет'!$A$35:$A$42,Доп.расчеты!$A223,'Как будет'!DP$35:DP$42)</f>
        <v>0</v>
      </c>
      <c r="DP223">
        <f>SUMIF('Как будет'!$A$35:$A$42,Доп.расчеты!$A223,'Как будет'!DQ$35:DQ$42)</f>
        <v>0</v>
      </c>
      <c r="DQ223">
        <f>SUMIF('Как будет'!$A$35:$A$42,Доп.расчеты!$A223,'Как будет'!DR$35:DR$42)</f>
        <v>0</v>
      </c>
      <c r="DR223">
        <f>SUMIF('Как будет'!$A$35:$A$42,Доп.расчеты!$A223,'Как будет'!DS$35:DS$42)</f>
        <v>0</v>
      </c>
      <c r="DS223">
        <f>SUMIF('Как будет'!$A$35:$A$42,Доп.расчеты!$A223,'Как будет'!DT$35:DT$42)</f>
        <v>0</v>
      </c>
      <c r="DT223">
        <f>SUMIF('Как будет'!$A$35:$A$42,Доп.расчеты!$A223,'Как будет'!DU$35:DU$42)</f>
        <v>0</v>
      </c>
      <c r="DU223">
        <f>SUMIF('Как будет'!$A$35:$A$42,Доп.расчеты!$A223,'Как будет'!DV$35:DV$42)</f>
        <v>0</v>
      </c>
      <c r="DV223">
        <f>SUMIF('Как будет'!$A$35:$A$42,Доп.расчеты!$A223,'Как будет'!DW$35:DW$42)</f>
        <v>0</v>
      </c>
      <c r="DW223">
        <f>SUMIF('Как будет'!$A$35:$A$42,Доп.расчеты!$A223,'Как будет'!DX$35:DX$42)</f>
        <v>0</v>
      </c>
      <c r="DX223">
        <f>SUMIF('Как будет'!$A$35:$A$42,Доп.расчеты!$A223,'Как будет'!DY$35:DY$42)</f>
        <v>0</v>
      </c>
      <c r="DY223">
        <f>SUMIF('Как будет'!$A$35:$A$42,Доп.расчеты!$A223,'Как будет'!DZ$35:DZ$42)</f>
        <v>0</v>
      </c>
      <c r="DZ223">
        <f>SUMIF('Как будет'!$A$35:$A$42,Доп.расчеты!$A223,'Как будет'!EA$35:EA$42)</f>
        <v>0</v>
      </c>
      <c r="EA223">
        <f>SUMIF('Как будет'!$A$35:$A$42,Доп.расчеты!$A223,'Как будет'!EB$35:EB$42)</f>
        <v>0</v>
      </c>
      <c r="EB223">
        <f>SUMIF('Как будет'!$A$35:$A$42,Доп.расчеты!$A223,'Как будет'!EC$35:EC$42)</f>
        <v>0</v>
      </c>
      <c r="EC223">
        <f>SUMIF('Как будет'!$A$35:$A$42,Доп.расчеты!$A223,'Как будет'!ED$35:ED$42)</f>
        <v>0</v>
      </c>
      <c r="ED223">
        <f>SUMIF('Как будет'!$A$35:$A$42,Доп.расчеты!$A223,'Как будет'!EE$35:EE$42)</f>
        <v>0</v>
      </c>
      <c r="EE223">
        <f>SUMIF('Как будет'!$A$35:$A$42,Доп.расчеты!$A223,'Как будет'!EF$35:EF$42)</f>
        <v>0</v>
      </c>
      <c r="EF223">
        <f>SUMIF('Как будет'!$A$35:$A$42,Доп.расчеты!$A223,'Как будет'!EG$35:EG$42)</f>
        <v>0</v>
      </c>
      <c r="EG223">
        <f>SUMIF('Как будет'!$A$35:$A$42,Доп.расчеты!$A223,'Как будет'!EH$35:EH$42)</f>
        <v>0</v>
      </c>
      <c r="EH223">
        <f>SUMIF('Как будет'!$A$35:$A$42,Доп.расчеты!$A223,'Как будет'!EI$35:EI$42)</f>
        <v>0</v>
      </c>
      <c r="EI223">
        <f>SUMIF('Как будет'!$A$35:$A$42,Доп.расчеты!$A223,'Как будет'!EJ$35:EJ$42)</f>
        <v>0</v>
      </c>
      <c r="EJ223">
        <f>SUMIF('Как будет'!$A$35:$A$42,Доп.расчеты!$A223,'Как будет'!EK$35:EK$42)</f>
        <v>0</v>
      </c>
      <c r="EK223">
        <f>SUMIF('Как будет'!$A$35:$A$42,Доп.расчеты!$A223,'Как будет'!EL$35:EL$42)</f>
        <v>0</v>
      </c>
      <c r="EL223">
        <f>SUMIF('Как будет'!$A$35:$A$42,Доп.расчеты!$A223,'Как будет'!EM$35:EM$42)</f>
        <v>0</v>
      </c>
      <c r="EM223">
        <f>SUMIF('Как будет'!$A$35:$A$42,Доп.расчеты!$A223,'Как будет'!EN$35:EN$42)</f>
        <v>0</v>
      </c>
      <c r="EN223">
        <f>SUMIF('Как будет'!$A$35:$A$42,Доп.расчеты!$A223,'Как будет'!EO$35:EO$42)</f>
        <v>0</v>
      </c>
      <c r="EO223">
        <f>SUMIF('Как будет'!$A$35:$A$42,Доп.расчеты!$A223,'Как будет'!EP$35:EP$42)</f>
        <v>0</v>
      </c>
      <c r="EP223">
        <f>SUMIF('Как будет'!$A$35:$A$42,Доп.расчеты!$A223,'Как будет'!EQ$35:EQ$42)</f>
        <v>0</v>
      </c>
      <c r="EQ223">
        <f>SUMIF('Как будет'!$A$35:$A$42,Доп.расчеты!$A223,'Как будет'!ER$35:ER$42)</f>
        <v>0</v>
      </c>
      <c r="ER223">
        <f>SUMIF('Как будет'!$A$35:$A$42,Доп.расчеты!$A223,'Как будет'!ES$35:ES$42)</f>
        <v>0</v>
      </c>
      <c r="ES223">
        <f>SUMIF('Как будет'!$A$35:$A$42,Доп.расчеты!$A223,'Как будет'!ET$35:ET$42)</f>
        <v>0</v>
      </c>
      <c r="ET223">
        <f>SUMIF('Как будет'!$A$35:$A$42,Доп.расчеты!$A223,'Как будет'!EU$35:EU$42)</f>
        <v>0</v>
      </c>
      <c r="EU223">
        <f>SUMIF('Как будет'!$A$35:$A$42,Доп.расчеты!$A223,'Как будет'!EV$35:EV$42)</f>
        <v>0</v>
      </c>
      <c r="EV223">
        <f>SUMIF('Как будет'!$A$35:$A$42,Доп.расчеты!$A223,'Как будет'!EW$35:EW$42)</f>
        <v>0</v>
      </c>
      <c r="EW223">
        <f>SUMIF('Как будет'!$A$35:$A$42,Доп.расчеты!$A223,'Как будет'!EX$35:EX$42)</f>
        <v>0</v>
      </c>
      <c r="EX223">
        <f>SUMIF('Как будет'!$A$35:$A$42,Доп.расчеты!$A223,'Как будет'!EY$35:EY$42)</f>
        <v>0</v>
      </c>
      <c r="EY223">
        <f>SUMIF('Как будет'!$A$35:$A$42,Доп.расчеты!$A223,'Как будет'!EZ$35:EZ$42)</f>
        <v>0</v>
      </c>
      <c r="EZ223">
        <f>SUMIF('Как будет'!$A$35:$A$42,Доп.расчеты!$A223,'Как будет'!FA$35:FA$42)</f>
        <v>0</v>
      </c>
      <c r="FA223">
        <f>SUMIF('Как будет'!$A$35:$A$42,Доп.расчеты!$A223,'Как будет'!FB$35:FB$42)</f>
        <v>0</v>
      </c>
      <c r="FB223">
        <f>SUMIF('Как будет'!$A$35:$A$42,Доп.расчеты!$A223,'Как будет'!FC$35:FC$42)</f>
        <v>0</v>
      </c>
      <c r="FC223">
        <f>SUMIF('Как будет'!$A$35:$A$42,Доп.расчеты!$A223,'Как будет'!FD$35:FD$42)</f>
        <v>0</v>
      </c>
      <c r="FD223">
        <f>SUMIF('Как будет'!$A$35:$A$42,Доп.расчеты!$A223,'Как будет'!FE$35:FE$42)</f>
        <v>0</v>
      </c>
      <c r="FE223">
        <f>SUMIF('Как будет'!$A$35:$A$42,Доп.расчеты!$A223,'Как будет'!FF$35:FF$42)</f>
        <v>0</v>
      </c>
      <c r="FF223">
        <f>SUMIF('Как будет'!$A$35:$A$42,Доп.расчеты!$A223,'Как будет'!FG$35:FG$42)</f>
        <v>0</v>
      </c>
      <c r="FG223">
        <f>SUMIF('Как будет'!$A$35:$A$42,Доп.расчеты!$A223,'Как будет'!FH$35:FH$42)</f>
        <v>0</v>
      </c>
      <c r="FH223">
        <f>SUMIF('Как будет'!$A$35:$A$42,Доп.расчеты!$A223,'Как будет'!FI$35:FI$42)</f>
        <v>0</v>
      </c>
      <c r="FI223">
        <f>SUMIF('Как будет'!$A$35:$A$42,Доп.расчеты!$A223,'Как будет'!FJ$35:FJ$42)</f>
        <v>0</v>
      </c>
      <c r="FJ223">
        <f>SUMIF('Как будет'!$A$35:$A$42,Доп.расчеты!$A223,'Как будет'!FK$35:FK$42)</f>
        <v>0</v>
      </c>
      <c r="FK223">
        <f>SUMIF('Как будет'!$A$35:$A$42,Доп.расчеты!$A223,'Как будет'!FL$35:FL$42)</f>
        <v>0</v>
      </c>
      <c r="FL223">
        <f>SUMIF('Как будет'!$A$35:$A$42,Доп.расчеты!$A223,'Как будет'!FM$35:FM$42)</f>
        <v>0</v>
      </c>
      <c r="FM223">
        <f>SUMIF('Как будет'!$A$35:$A$42,Доп.расчеты!$A223,'Как будет'!FN$35:FN$42)</f>
        <v>0</v>
      </c>
      <c r="FN223">
        <f>SUMIF('Как будет'!$A$35:$A$42,Доп.расчеты!$A223,'Как будет'!FO$35:FO$42)</f>
        <v>0</v>
      </c>
      <c r="FO223">
        <f>SUMIF('Как будет'!$A$35:$A$42,Доп.расчеты!$A223,'Как будет'!FP$35:FP$42)</f>
        <v>0</v>
      </c>
      <c r="FP223">
        <f>SUMIF('Как будет'!$A$35:$A$42,Доп.расчеты!$A223,'Как будет'!FQ$35:FQ$42)</f>
        <v>0</v>
      </c>
      <c r="FQ223">
        <f>SUMIF('Как будет'!$A$35:$A$42,Доп.расчеты!$A223,'Как будет'!FR$35:FR$42)</f>
        <v>0</v>
      </c>
      <c r="FR223">
        <f>SUMIF('Как будет'!$A$35:$A$42,Доп.расчеты!$A223,'Как будет'!FS$35:FS$42)</f>
        <v>0</v>
      </c>
      <c r="FS223">
        <f>SUMIF('Как будет'!$A$35:$A$42,Доп.расчеты!$A223,'Как будет'!FT$35:FT$42)</f>
        <v>0</v>
      </c>
      <c r="FT223">
        <f>SUMIF('Как будет'!$A$35:$A$42,Доп.расчеты!$A223,'Как будет'!FU$35:FU$42)</f>
        <v>0</v>
      </c>
      <c r="FU223">
        <f>SUMIF('Как будет'!$A$35:$A$42,Доп.расчеты!$A223,'Как будет'!FV$35:FV$42)</f>
        <v>0</v>
      </c>
      <c r="FV223">
        <f>SUMIF('Как будет'!$A$35:$A$42,Доп.расчеты!$A223,'Как будет'!FW$35:FW$42)</f>
        <v>0</v>
      </c>
      <c r="FW223">
        <f>SUMIF('Как будет'!$A$35:$A$42,Доп.расчеты!$A223,'Как будет'!FX$35:FX$42)</f>
        <v>0</v>
      </c>
      <c r="FX223">
        <f>SUMIF('Как будет'!$A$35:$A$42,Доп.расчеты!$A223,'Как будет'!FY$35:FY$42)</f>
        <v>0</v>
      </c>
      <c r="FY223">
        <f>SUMIF('Как будет'!$A$35:$A$42,Доп.расчеты!$A223,'Как будет'!FZ$35:FZ$42)</f>
        <v>0</v>
      </c>
      <c r="FZ223">
        <f>SUMIF('Как будет'!$A$35:$A$42,Доп.расчеты!$A223,'Как будет'!GA$35:GA$42)</f>
        <v>0</v>
      </c>
      <c r="GA223">
        <f>SUMIF('Как будет'!$A$35:$A$42,Доп.расчеты!$A223,'Как будет'!GB$35:GB$42)</f>
        <v>0</v>
      </c>
      <c r="GB223">
        <f>SUMIF('Как будет'!$A$35:$A$42,Доп.расчеты!$A223,'Как будет'!GC$35:GC$42)</f>
        <v>0</v>
      </c>
      <c r="GC223">
        <f>SUMIF('Как будет'!$A$35:$A$42,Доп.расчеты!$A223,'Как будет'!GD$35:GD$42)</f>
        <v>0</v>
      </c>
      <c r="GD223">
        <f>SUMIF('Как будет'!$A$35:$A$42,Доп.расчеты!$A223,'Как будет'!GE$35:GE$42)</f>
        <v>0</v>
      </c>
      <c r="GE223">
        <f>SUMIF('Как будет'!$A$35:$A$42,Доп.расчеты!$A223,'Как будет'!GF$35:GF$42)</f>
        <v>0</v>
      </c>
      <c r="GF223">
        <f>SUMIF('Как будет'!$A$35:$A$42,Доп.расчеты!$A223,'Как будет'!GG$35:GG$42)</f>
        <v>0</v>
      </c>
      <c r="GG223">
        <f>SUMIF('Как будет'!$A$35:$A$42,Доп.расчеты!$A223,'Как будет'!GH$35:GH$42)</f>
        <v>0</v>
      </c>
      <c r="GH223">
        <f>SUMIF('Как будет'!$A$35:$A$42,Доп.расчеты!$A223,'Как будет'!GI$35:GI$42)</f>
        <v>0</v>
      </c>
      <c r="GI223">
        <f>SUMIF('Как будет'!$A$35:$A$42,Доп.расчеты!$A223,'Как будет'!GJ$35:GJ$42)</f>
        <v>0</v>
      </c>
      <c r="GJ223">
        <f>SUMIF('Как будет'!$A$35:$A$42,Доп.расчеты!$A223,'Как будет'!GK$35:GK$42)</f>
        <v>0</v>
      </c>
      <c r="GK223">
        <f>SUMIF('Как будет'!$A$35:$A$42,Доп.расчеты!$A223,'Как будет'!GL$35:GL$42)</f>
        <v>0</v>
      </c>
      <c r="GL223">
        <f>SUMIF('Как будет'!$A$35:$A$42,Доп.расчеты!$A223,'Как будет'!GM$35:GM$42)</f>
        <v>0</v>
      </c>
      <c r="GM223">
        <f>SUMIF('Как будет'!$A$35:$A$42,Доп.расчеты!$A223,'Как будет'!GN$35:GN$42)</f>
        <v>0</v>
      </c>
      <c r="GN223">
        <f>SUMIF('Как будет'!$A$35:$A$42,Доп.расчеты!$A223,'Как будет'!GO$35:GO$42)</f>
        <v>0</v>
      </c>
      <c r="GO223">
        <f>SUMIF('Как будет'!$A$35:$A$42,Доп.расчеты!$A223,'Как будет'!GP$35:GP$42)</f>
        <v>0</v>
      </c>
      <c r="GP223">
        <f>SUMIF('Как будет'!$A$35:$A$42,Доп.расчеты!$A223,'Как будет'!GQ$35:GQ$42)</f>
        <v>0</v>
      </c>
      <c r="GQ223">
        <f>SUMIF('Как будет'!$A$35:$A$42,Доп.расчеты!$A223,'Как будет'!GR$35:GR$42)</f>
        <v>0</v>
      </c>
      <c r="GR223">
        <f>SUMIF('Как будет'!$A$35:$A$42,Доп.расчеты!$A223,'Как будет'!GS$35:GS$42)</f>
        <v>0</v>
      </c>
      <c r="GS223">
        <f>SUMIF('Как будет'!$A$35:$A$42,Доп.расчеты!$A223,'Как будет'!GT$35:GT$42)</f>
        <v>0</v>
      </c>
      <c r="GT223">
        <f>SUMIF('Как будет'!$A$35:$A$42,Доп.расчеты!$A223,'Как будет'!GU$35:GU$42)</f>
        <v>0</v>
      </c>
    </row>
    <row r="224" spans="1:202">
      <c r="A224" s="238" t="s">
        <v>113</v>
      </c>
      <c r="B224">
        <f>SUMIF('Как будет'!$A$35:$A$42,Доп.расчеты!$A224,'Как будет'!C$35:C$42)</f>
        <v>0</v>
      </c>
      <c r="C224">
        <f>SUMIF('Как будет'!$A$35:$A$42,Доп.расчеты!$A224,'Как будет'!D$35:D$42)</f>
        <v>0</v>
      </c>
      <c r="D224">
        <f>SUMIF('Как будет'!$A$35:$A$42,Доп.расчеты!$A224,'Как будет'!E$35:E$42)</f>
        <v>0</v>
      </c>
      <c r="E224">
        <f>SUMIF('Как будет'!$A$35:$A$42,Доп.расчеты!$A224,'Как будет'!F$35:F$42)</f>
        <v>0</v>
      </c>
      <c r="F224">
        <f>SUMIF('Как будет'!$A$35:$A$42,Доп.расчеты!$A224,'Как будет'!G$35:G$42)</f>
        <v>0</v>
      </c>
      <c r="G224">
        <f>SUMIF('Как будет'!$A$35:$A$42,Доп.расчеты!$A224,'Как будет'!H$35:H$42)</f>
        <v>0</v>
      </c>
      <c r="H224">
        <f>SUMIF('Как будет'!$A$35:$A$42,Доп.расчеты!$A224,'Как будет'!I$35:I$42)</f>
        <v>0</v>
      </c>
      <c r="I224">
        <f>SUMIF('Как будет'!$A$35:$A$42,Доп.расчеты!$A224,'Как будет'!J$35:J$42)</f>
        <v>0</v>
      </c>
      <c r="J224">
        <f>SUMIF('Как будет'!$A$35:$A$42,Доп.расчеты!$A224,'Как будет'!K$35:K$42)</f>
        <v>0</v>
      </c>
      <c r="K224">
        <f>SUMIF('Как будет'!$A$35:$A$42,Доп.расчеты!$A224,'Как будет'!L$35:L$42)</f>
        <v>0</v>
      </c>
      <c r="L224">
        <f>SUMIF('Как будет'!$A$35:$A$42,Доп.расчеты!$A224,'Как будет'!M$35:M$42)</f>
        <v>0</v>
      </c>
      <c r="M224">
        <f>SUMIF('Как будет'!$A$35:$A$42,Доп.расчеты!$A224,'Как будет'!N$35:N$42)</f>
        <v>0</v>
      </c>
      <c r="N224">
        <f>SUMIF('Как будет'!$A$35:$A$42,Доп.расчеты!$A224,'Как будет'!O$35:O$42)</f>
        <v>0</v>
      </c>
      <c r="O224">
        <f>SUMIF('Как будет'!$A$35:$A$42,Доп.расчеты!$A224,'Как будет'!P$35:P$42)</f>
        <v>0</v>
      </c>
      <c r="P224">
        <f>SUMIF('Как будет'!$A$35:$A$42,Доп.расчеты!$A224,'Как будет'!Q$35:Q$42)</f>
        <v>0</v>
      </c>
      <c r="Q224">
        <f>SUMIF('Как будет'!$A$35:$A$42,Доп.расчеты!$A224,'Как будет'!R$35:R$42)</f>
        <v>0</v>
      </c>
      <c r="R224">
        <f>SUMIF('Как будет'!$A$35:$A$42,Доп.расчеты!$A224,'Как будет'!S$35:S$42)</f>
        <v>0</v>
      </c>
      <c r="S224">
        <f>SUMIF('Как будет'!$A$35:$A$42,Доп.расчеты!$A224,'Как будет'!T$35:T$42)</f>
        <v>0</v>
      </c>
      <c r="T224">
        <f>SUMIF('Как будет'!$A$35:$A$42,Доп.расчеты!$A224,'Как будет'!U$35:U$42)</f>
        <v>0</v>
      </c>
      <c r="U224">
        <f>SUMIF('Как будет'!$A$35:$A$42,Доп.расчеты!$A224,'Как будет'!V$35:V$42)</f>
        <v>0</v>
      </c>
      <c r="V224">
        <f>SUMIF('Как будет'!$A$35:$A$42,Доп.расчеты!$A224,'Как будет'!W$35:W$42)</f>
        <v>0</v>
      </c>
      <c r="W224">
        <f>SUMIF('Как будет'!$A$35:$A$42,Доп.расчеты!$A224,'Как будет'!X$35:X$42)</f>
        <v>0</v>
      </c>
      <c r="X224">
        <f>SUMIF('Как будет'!$A$35:$A$42,Доп.расчеты!$A224,'Как будет'!Y$35:Y$42)</f>
        <v>0</v>
      </c>
      <c r="Y224">
        <f>SUMIF('Как будет'!$A$35:$A$42,Доп.расчеты!$A224,'Как будет'!Z$35:Z$42)</f>
        <v>0</v>
      </c>
      <c r="Z224">
        <f>SUMIF('Как будет'!$A$35:$A$42,Доп.расчеты!$A224,'Как будет'!AA$35:AA$42)</f>
        <v>0</v>
      </c>
      <c r="AA224">
        <f>SUMIF('Как будет'!$A$35:$A$42,Доп.расчеты!$A224,'Как будет'!AB$35:AB$42)</f>
        <v>0</v>
      </c>
      <c r="AB224">
        <f>SUMIF('Как будет'!$A$35:$A$42,Доп.расчеты!$A224,'Как будет'!AC$35:AC$42)</f>
        <v>0</v>
      </c>
      <c r="AC224">
        <f>SUMIF('Как будет'!$A$35:$A$42,Доп.расчеты!$A224,'Как будет'!AD$35:AD$42)</f>
        <v>0</v>
      </c>
      <c r="AD224">
        <f>SUMIF('Как будет'!$A$35:$A$42,Доп.расчеты!$A224,'Как будет'!AE$35:AE$42)</f>
        <v>0</v>
      </c>
      <c r="AE224">
        <f>SUMIF('Как будет'!$A$35:$A$42,Доп.расчеты!$A224,'Как будет'!AF$35:AF$42)</f>
        <v>0</v>
      </c>
      <c r="AF224">
        <f>SUMIF('Как будет'!$A$35:$A$42,Доп.расчеты!$A224,'Как будет'!AG$35:AG$42)</f>
        <v>0</v>
      </c>
      <c r="AG224">
        <f>SUMIF('Как будет'!$A$35:$A$42,Доп.расчеты!$A224,'Как будет'!AH$35:AH$42)</f>
        <v>0</v>
      </c>
      <c r="AH224">
        <f>SUMIF('Как будет'!$A$35:$A$42,Доп.расчеты!$A224,'Как будет'!AI$35:AI$42)</f>
        <v>0</v>
      </c>
      <c r="AI224">
        <f>SUMIF('Как будет'!$A$35:$A$42,Доп.расчеты!$A224,'Как будет'!AJ$35:AJ$42)</f>
        <v>0</v>
      </c>
      <c r="AJ224">
        <f>SUMIF('Как будет'!$A$35:$A$42,Доп.расчеты!$A224,'Как будет'!AK$35:AK$42)</f>
        <v>0</v>
      </c>
      <c r="AK224">
        <f>SUMIF('Как будет'!$A$35:$A$42,Доп.расчеты!$A224,'Как будет'!AL$35:AL$42)</f>
        <v>0</v>
      </c>
      <c r="AL224">
        <f>SUMIF('Как будет'!$A$35:$A$42,Доп.расчеты!$A224,'Как будет'!AM$35:AM$42)</f>
        <v>0</v>
      </c>
      <c r="AM224">
        <f>SUMIF('Как будет'!$A$35:$A$42,Доп.расчеты!$A224,'Как будет'!AN$35:AN$42)</f>
        <v>0</v>
      </c>
      <c r="AN224">
        <f>SUMIF('Как будет'!$A$35:$A$42,Доп.расчеты!$A224,'Как будет'!AO$35:AO$42)</f>
        <v>0</v>
      </c>
      <c r="AO224">
        <f>SUMIF('Как будет'!$A$35:$A$42,Доп.расчеты!$A224,'Как будет'!AP$35:AP$42)</f>
        <v>0</v>
      </c>
      <c r="AP224">
        <f>SUMIF('Как будет'!$A$35:$A$42,Доп.расчеты!$A224,'Как будет'!AQ$35:AQ$42)</f>
        <v>0</v>
      </c>
      <c r="AQ224">
        <f>SUMIF('Как будет'!$A$35:$A$42,Доп.расчеты!$A224,'Как будет'!AR$35:AR$42)</f>
        <v>0</v>
      </c>
      <c r="AR224">
        <f>SUMIF('Как будет'!$A$35:$A$42,Доп.расчеты!$A224,'Как будет'!AS$35:AS$42)</f>
        <v>0</v>
      </c>
      <c r="AS224">
        <f>SUMIF('Как будет'!$A$35:$A$42,Доп.расчеты!$A224,'Как будет'!AT$35:AT$42)</f>
        <v>0</v>
      </c>
      <c r="AT224">
        <f>SUMIF('Как будет'!$A$35:$A$42,Доп.расчеты!$A224,'Как будет'!AU$35:AU$42)</f>
        <v>0</v>
      </c>
      <c r="AU224">
        <f>SUMIF('Как будет'!$A$35:$A$42,Доп.расчеты!$A224,'Как будет'!AV$35:AV$42)</f>
        <v>0</v>
      </c>
      <c r="AV224">
        <f>SUMIF('Как будет'!$A$35:$A$42,Доп.расчеты!$A224,'Как будет'!AW$35:AW$42)</f>
        <v>0</v>
      </c>
      <c r="AW224">
        <f>SUMIF('Как будет'!$A$35:$A$42,Доп.расчеты!$A224,'Как будет'!AX$35:AX$42)</f>
        <v>0</v>
      </c>
      <c r="AX224">
        <f>SUMIF('Как будет'!$A$35:$A$42,Доп.расчеты!$A224,'Как будет'!AY$35:AY$42)</f>
        <v>0</v>
      </c>
      <c r="AY224">
        <f>SUMIF('Как будет'!$A$35:$A$42,Доп.расчеты!$A224,'Как будет'!AZ$35:AZ$42)</f>
        <v>0</v>
      </c>
      <c r="AZ224">
        <f>SUMIF('Как будет'!$A$35:$A$42,Доп.расчеты!$A224,'Как будет'!BA$35:BA$42)</f>
        <v>0</v>
      </c>
      <c r="BA224">
        <f>SUMIF('Как будет'!$A$35:$A$42,Доп.расчеты!$A224,'Как будет'!BB$35:BB$42)</f>
        <v>0</v>
      </c>
      <c r="BB224">
        <f>SUMIF('Как будет'!$A$35:$A$42,Доп.расчеты!$A224,'Как будет'!BC$35:BC$42)</f>
        <v>0</v>
      </c>
      <c r="BC224">
        <f>SUMIF('Как будет'!$A$35:$A$42,Доп.расчеты!$A224,'Как будет'!BD$35:BD$42)</f>
        <v>0</v>
      </c>
      <c r="BD224">
        <f>SUMIF('Как будет'!$A$35:$A$42,Доп.расчеты!$A224,'Как будет'!BE$35:BE$42)</f>
        <v>0</v>
      </c>
      <c r="BE224">
        <f>SUMIF('Как будет'!$A$35:$A$42,Доп.расчеты!$A224,'Как будет'!BF$35:BF$42)</f>
        <v>0</v>
      </c>
      <c r="BF224">
        <f>SUMIF('Как будет'!$A$35:$A$42,Доп.расчеты!$A224,'Как будет'!BG$35:BG$42)</f>
        <v>0</v>
      </c>
      <c r="BG224">
        <f>SUMIF('Как будет'!$A$35:$A$42,Доп.расчеты!$A224,'Как будет'!BH$35:BH$42)</f>
        <v>0</v>
      </c>
      <c r="BH224">
        <f>SUMIF('Как будет'!$A$35:$A$42,Доп.расчеты!$A224,'Как будет'!BI$35:BI$42)</f>
        <v>0</v>
      </c>
      <c r="BI224">
        <f>SUMIF('Как будет'!$A$35:$A$42,Доп.расчеты!$A224,'Как будет'!BJ$35:BJ$42)</f>
        <v>0</v>
      </c>
      <c r="BJ224">
        <f>SUMIF('Как будет'!$A$35:$A$42,Доп.расчеты!$A224,'Как будет'!BK$35:BK$42)</f>
        <v>0</v>
      </c>
      <c r="BK224">
        <f>SUMIF('Как будет'!$A$35:$A$42,Доп.расчеты!$A224,'Как будет'!BL$35:BL$42)</f>
        <v>0</v>
      </c>
      <c r="BL224">
        <f>SUMIF('Как будет'!$A$35:$A$42,Доп.расчеты!$A224,'Как будет'!BM$35:BM$42)</f>
        <v>0</v>
      </c>
      <c r="BM224">
        <f>SUMIF('Как будет'!$A$35:$A$42,Доп.расчеты!$A224,'Как будет'!BN$35:BN$42)</f>
        <v>0</v>
      </c>
      <c r="BN224">
        <f>SUMIF('Как будет'!$A$35:$A$42,Доп.расчеты!$A224,'Как будет'!BO$35:BO$42)</f>
        <v>0</v>
      </c>
      <c r="BO224">
        <f>SUMIF('Как будет'!$A$35:$A$42,Доп.расчеты!$A224,'Как будет'!BP$35:BP$42)</f>
        <v>0</v>
      </c>
      <c r="BP224">
        <f>SUMIF('Как будет'!$A$35:$A$42,Доп.расчеты!$A224,'Как будет'!BQ$35:BQ$42)</f>
        <v>0</v>
      </c>
      <c r="BQ224">
        <f>SUMIF('Как будет'!$A$35:$A$42,Доп.расчеты!$A224,'Как будет'!BR$35:BR$42)</f>
        <v>0</v>
      </c>
      <c r="BR224">
        <f>SUMIF('Как будет'!$A$35:$A$42,Доп.расчеты!$A224,'Как будет'!BS$35:BS$42)</f>
        <v>0</v>
      </c>
      <c r="BS224">
        <f>SUMIF('Как будет'!$A$35:$A$42,Доп.расчеты!$A224,'Как будет'!BT$35:BT$42)</f>
        <v>0</v>
      </c>
      <c r="BT224">
        <f>SUMIF('Как будет'!$A$35:$A$42,Доп.расчеты!$A224,'Как будет'!BU$35:BU$42)</f>
        <v>0</v>
      </c>
      <c r="BU224">
        <f>SUMIF('Как будет'!$A$35:$A$42,Доп.расчеты!$A224,'Как будет'!BV$35:BV$42)</f>
        <v>0</v>
      </c>
      <c r="BV224">
        <f>SUMIF('Как будет'!$A$35:$A$42,Доп.расчеты!$A224,'Как будет'!BW$35:BW$42)</f>
        <v>0</v>
      </c>
      <c r="BW224">
        <f>SUMIF('Как будет'!$A$35:$A$42,Доп.расчеты!$A224,'Как будет'!BX$35:BX$42)</f>
        <v>0</v>
      </c>
      <c r="BX224">
        <f>SUMIF('Как будет'!$A$35:$A$42,Доп.расчеты!$A224,'Как будет'!BY$35:BY$42)</f>
        <v>0</v>
      </c>
      <c r="BY224">
        <f>SUMIF('Как будет'!$A$35:$A$42,Доп.расчеты!$A224,'Как будет'!BZ$35:BZ$42)</f>
        <v>0</v>
      </c>
      <c r="BZ224">
        <f>SUMIF('Как будет'!$A$35:$A$42,Доп.расчеты!$A224,'Как будет'!CA$35:CA$42)</f>
        <v>0</v>
      </c>
      <c r="CA224">
        <f>SUMIF('Как будет'!$A$35:$A$42,Доп.расчеты!$A224,'Как будет'!CB$35:CB$42)</f>
        <v>0</v>
      </c>
      <c r="CB224">
        <f>SUMIF('Как будет'!$A$35:$A$42,Доп.расчеты!$A224,'Как будет'!CC$35:CC$42)</f>
        <v>0</v>
      </c>
      <c r="CC224">
        <f>SUMIF('Как будет'!$A$35:$A$42,Доп.расчеты!$A224,'Как будет'!CD$35:CD$42)</f>
        <v>0</v>
      </c>
      <c r="CD224">
        <f>SUMIF('Как будет'!$A$35:$A$42,Доп.расчеты!$A224,'Как будет'!CE$35:CE$42)</f>
        <v>0</v>
      </c>
      <c r="CE224">
        <f>SUMIF('Как будет'!$A$35:$A$42,Доп.расчеты!$A224,'Как будет'!CF$35:CF$42)</f>
        <v>0</v>
      </c>
      <c r="CF224">
        <f>SUMIF('Как будет'!$A$35:$A$42,Доп.расчеты!$A224,'Как будет'!CG$35:CG$42)</f>
        <v>0</v>
      </c>
      <c r="CG224">
        <f>SUMIF('Как будет'!$A$35:$A$42,Доп.расчеты!$A224,'Как будет'!CH$35:CH$42)</f>
        <v>0</v>
      </c>
      <c r="CH224">
        <f>SUMIF('Как будет'!$A$35:$A$42,Доп.расчеты!$A224,'Как будет'!CI$35:CI$42)</f>
        <v>0</v>
      </c>
      <c r="CI224">
        <f>SUMIF('Как будет'!$A$35:$A$42,Доп.расчеты!$A224,'Как будет'!CJ$35:CJ$42)</f>
        <v>0</v>
      </c>
      <c r="CJ224">
        <f>SUMIF('Как будет'!$A$35:$A$42,Доп.расчеты!$A224,'Как будет'!CK$35:CK$42)</f>
        <v>0</v>
      </c>
      <c r="CK224">
        <f>SUMIF('Как будет'!$A$35:$A$42,Доп.расчеты!$A224,'Как будет'!CL$35:CL$42)</f>
        <v>0</v>
      </c>
      <c r="CL224">
        <f>SUMIF('Как будет'!$A$35:$A$42,Доп.расчеты!$A224,'Как будет'!CM$35:CM$42)</f>
        <v>0</v>
      </c>
      <c r="CM224">
        <f>SUMIF('Как будет'!$A$35:$A$42,Доп.расчеты!$A224,'Как будет'!CN$35:CN$42)</f>
        <v>0</v>
      </c>
      <c r="CN224">
        <f>SUMIF('Как будет'!$A$35:$A$42,Доп.расчеты!$A224,'Как будет'!CO$35:CO$42)</f>
        <v>0</v>
      </c>
      <c r="CO224">
        <f>SUMIF('Как будет'!$A$35:$A$42,Доп.расчеты!$A224,'Как будет'!CP$35:CP$42)</f>
        <v>0</v>
      </c>
      <c r="CP224">
        <f>SUMIF('Как будет'!$A$35:$A$42,Доп.расчеты!$A224,'Как будет'!CQ$35:CQ$42)</f>
        <v>0</v>
      </c>
      <c r="CQ224">
        <f>SUMIF('Как будет'!$A$35:$A$42,Доп.расчеты!$A224,'Как будет'!CR$35:CR$42)</f>
        <v>0</v>
      </c>
      <c r="CR224">
        <f>SUMIF('Как будет'!$A$35:$A$42,Доп.расчеты!$A224,'Как будет'!CS$35:CS$42)</f>
        <v>0</v>
      </c>
      <c r="CS224">
        <f>SUMIF('Как будет'!$A$35:$A$42,Доп.расчеты!$A224,'Как будет'!CT$35:CT$42)</f>
        <v>0</v>
      </c>
      <c r="CT224">
        <f>SUMIF('Как будет'!$A$35:$A$42,Доп.расчеты!$A224,'Как будет'!CU$35:CU$42)</f>
        <v>0</v>
      </c>
      <c r="CU224">
        <f>SUMIF('Как будет'!$A$35:$A$42,Доп.расчеты!$A224,'Как будет'!CV$35:CV$42)</f>
        <v>0</v>
      </c>
      <c r="CV224">
        <f>SUMIF('Как будет'!$A$35:$A$42,Доп.расчеты!$A224,'Как будет'!CW$35:CW$42)</f>
        <v>0</v>
      </c>
      <c r="CW224">
        <f>SUMIF('Как будет'!$A$35:$A$42,Доп.расчеты!$A224,'Как будет'!CX$35:CX$42)</f>
        <v>0</v>
      </c>
      <c r="CX224">
        <f>SUMIF('Как будет'!$A$35:$A$42,Доп.расчеты!$A224,'Как будет'!CY$35:CY$42)</f>
        <v>0</v>
      </c>
      <c r="CY224">
        <f>SUMIF('Как будет'!$A$35:$A$42,Доп.расчеты!$A224,'Как будет'!CZ$35:CZ$42)</f>
        <v>0</v>
      </c>
      <c r="CZ224">
        <f>SUMIF('Как будет'!$A$35:$A$42,Доп.расчеты!$A224,'Как будет'!DA$35:DA$42)</f>
        <v>0</v>
      </c>
      <c r="DA224">
        <f>SUMIF('Как будет'!$A$35:$A$42,Доп.расчеты!$A224,'Как будет'!DB$35:DB$42)</f>
        <v>0</v>
      </c>
      <c r="DB224">
        <f>SUMIF('Как будет'!$A$35:$A$42,Доп.расчеты!$A224,'Как будет'!DC$35:DC$42)</f>
        <v>0</v>
      </c>
      <c r="DC224">
        <f>SUMIF('Как будет'!$A$35:$A$42,Доп.расчеты!$A224,'Как будет'!DD$35:DD$42)</f>
        <v>0</v>
      </c>
      <c r="DD224">
        <f>SUMIF('Как будет'!$A$35:$A$42,Доп.расчеты!$A224,'Как будет'!DE$35:DE$42)</f>
        <v>0</v>
      </c>
      <c r="DE224">
        <f>SUMIF('Как будет'!$A$35:$A$42,Доп.расчеты!$A224,'Как будет'!DF$35:DF$42)</f>
        <v>0</v>
      </c>
      <c r="DF224">
        <f>SUMIF('Как будет'!$A$35:$A$42,Доп.расчеты!$A224,'Как будет'!DG$35:DG$42)</f>
        <v>0</v>
      </c>
      <c r="DG224">
        <f>SUMIF('Как будет'!$A$35:$A$42,Доп.расчеты!$A224,'Как будет'!DH$35:DH$42)</f>
        <v>0</v>
      </c>
      <c r="DH224">
        <f>SUMIF('Как будет'!$A$35:$A$42,Доп.расчеты!$A224,'Как будет'!DI$35:DI$42)</f>
        <v>0</v>
      </c>
      <c r="DI224">
        <f>SUMIF('Как будет'!$A$35:$A$42,Доп.расчеты!$A224,'Как будет'!DJ$35:DJ$42)</f>
        <v>0</v>
      </c>
      <c r="DJ224">
        <f>SUMIF('Как будет'!$A$35:$A$42,Доп.расчеты!$A224,'Как будет'!DK$35:DK$42)</f>
        <v>0</v>
      </c>
      <c r="DK224">
        <f>SUMIF('Как будет'!$A$35:$A$42,Доп.расчеты!$A224,'Как будет'!DL$35:DL$42)</f>
        <v>0</v>
      </c>
      <c r="DL224">
        <f>SUMIF('Как будет'!$A$35:$A$42,Доп.расчеты!$A224,'Как будет'!DM$35:DM$42)</f>
        <v>0</v>
      </c>
      <c r="DM224">
        <f>SUMIF('Как будет'!$A$35:$A$42,Доп.расчеты!$A224,'Как будет'!DN$35:DN$42)</f>
        <v>0</v>
      </c>
      <c r="DN224">
        <f>SUMIF('Как будет'!$A$35:$A$42,Доп.расчеты!$A224,'Как будет'!DO$35:DO$42)</f>
        <v>0</v>
      </c>
      <c r="DO224">
        <f>SUMIF('Как будет'!$A$35:$A$42,Доп.расчеты!$A224,'Как будет'!DP$35:DP$42)</f>
        <v>0</v>
      </c>
      <c r="DP224">
        <f>SUMIF('Как будет'!$A$35:$A$42,Доп.расчеты!$A224,'Как будет'!DQ$35:DQ$42)</f>
        <v>0</v>
      </c>
      <c r="DQ224">
        <f>SUMIF('Как будет'!$A$35:$A$42,Доп.расчеты!$A224,'Как будет'!DR$35:DR$42)</f>
        <v>0</v>
      </c>
      <c r="DR224">
        <f>SUMIF('Как будет'!$A$35:$A$42,Доп.расчеты!$A224,'Как будет'!DS$35:DS$42)</f>
        <v>0</v>
      </c>
      <c r="DS224">
        <f>SUMIF('Как будет'!$A$35:$A$42,Доп.расчеты!$A224,'Как будет'!DT$35:DT$42)</f>
        <v>0</v>
      </c>
      <c r="DT224">
        <f>SUMIF('Как будет'!$A$35:$A$42,Доп.расчеты!$A224,'Как будет'!DU$35:DU$42)</f>
        <v>0</v>
      </c>
      <c r="DU224">
        <f>SUMIF('Как будет'!$A$35:$A$42,Доп.расчеты!$A224,'Как будет'!DV$35:DV$42)</f>
        <v>0</v>
      </c>
      <c r="DV224">
        <f>SUMIF('Как будет'!$A$35:$A$42,Доп.расчеты!$A224,'Как будет'!DW$35:DW$42)</f>
        <v>0</v>
      </c>
      <c r="DW224">
        <f>SUMIF('Как будет'!$A$35:$A$42,Доп.расчеты!$A224,'Как будет'!DX$35:DX$42)</f>
        <v>0</v>
      </c>
      <c r="DX224">
        <f>SUMIF('Как будет'!$A$35:$A$42,Доп.расчеты!$A224,'Как будет'!DY$35:DY$42)</f>
        <v>0</v>
      </c>
      <c r="DY224">
        <f>SUMIF('Как будет'!$A$35:$A$42,Доп.расчеты!$A224,'Как будет'!DZ$35:DZ$42)</f>
        <v>0</v>
      </c>
      <c r="DZ224">
        <f>SUMIF('Как будет'!$A$35:$A$42,Доп.расчеты!$A224,'Как будет'!EA$35:EA$42)</f>
        <v>0</v>
      </c>
      <c r="EA224">
        <f>SUMIF('Как будет'!$A$35:$A$42,Доп.расчеты!$A224,'Как будет'!EB$35:EB$42)</f>
        <v>0</v>
      </c>
      <c r="EB224">
        <f>SUMIF('Как будет'!$A$35:$A$42,Доп.расчеты!$A224,'Как будет'!EC$35:EC$42)</f>
        <v>0</v>
      </c>
      <c r="EC224">
        <f>SUMIF('Как будет'!$A$35:$A$42,Доп.расчеты!$A224,'Как будет'!ED$35:ED$42)</f>
        <v>0</v>
      </c>
      <c r="ED224">
        <f>SUMIF('Как будет'!$A$35:$A$42,Доп.расчеты!$A224,'Как будет'!EE$35:EE$42)</f>
        <v>0</v>
      </c>
      <c r="EE224">
        <f>SUMIF('Как будет'!$A$35:$A$42,Доп.расчеты!$A224,'Как будет'!EF$35:EF$42)</f>
        <v>0</v>
      </c>
      <c r="EF224">
        <f>SUMIF('Как будет'!$A$35:$A$42,Доп.расчеты!$A224,'Как будет'!EG$35:EG$42)</f>
        <v>0</v>
      </c>
      <c r="EG224">
        <f>SUMIF('Как будет'!$A$35:$A$42,Доп.расчеты!$A224,'Как будет'!EH$35:EH$42)</f>
        <v>0</v>
      </c>
      <c r="EH224">
        <f>SUMIF('Как будет'!$A$35:$A$42,Доп.расчеты!$A224,'Как будет'!EI$35:EI$42)</f>
        <v>0</v>
      </c>
      <c r="EI224">
        <f>SUMIF('Как будет'!$A$35:$A$42,Доп.расчеты!$A224,'Как будет'!EJ$35:EJ$42)</f>
        <v>0</v>
      </c>
      <c r="EJ224">
        <f>SUMIF('Как будет'!$A$35:$A$42,Доп.расчеты!$A224,'Как будет'!EK$35:EK$42)</f>
        <v>0</v>
      </c>
      <c r="EK224">
        <f>SUMIF('Как будет'!$A$35:$A$42,Доп.расчеты!$A224,'Как будет'!EL$35:EL$42)</f>
        <v>0</v>
      </c>
      <c r="EL224">
        <f>SUMIF('Как будет'!$A$35:$A$42,Доп.расчеты!$A224,'Как будет'!EM$35:EM$42)</f>
        <v>0</v>
      </c>
      <c r="EM224">
        <f>SUMIF('Как будет'!$A$35:$A$42,Доп.расчеты!$A224,'Как будет'!EN$35:EN$42)</f>
        <v>0</v>
      </c>
      <c r="EN224">
        <f>SUMIF('Как будет'!$A$35:$A$42,Доп.расчеты!$A224,'Как будет'!EO$35:EO$42)</f>
        <v>0</v>
      </c>
      <c r="EO224">
        <f>SUMIF('Как будет'!$A$35:$A$42,Доп.расчеты!$A224,'Как будет'!EP$35:EP$42)</f>
        <v>0</v>
      </c>
      <c r="EP224">
        <f>SUMIF('Как будет'!$A$35:$A$42,Доп.расчеты!$A224,'Как будет'!EQ$35:EQ$42)</f>
        <v>0</v>
      </c>
      <c r="EQ224">
        <f>SUMIF('Как будет'!$A$35:$A$42,Доп.расчеты!$A224,'Как будет'!ER$35:ER$42)</f>
        <v>0</v>
      </c>
      <c r="ER224">
        <f>SUMIF('Как будет'!$A$35:$A$42,Доп.расчеты!$A224,'Как будет'!ES$35:ES$42)</f>
        <v>0</v>
      </c>
      <c r="ES224">
        <f>SUMIF('Как будет'!$A$35:$A$42,Доп.расчеты!$A224,'Как будет'!ET$35:ET$42)</f>
        <v>0</v>
      </c>
      <c r="ET224">
        <f>SUMIF('Как будет'!$A$35:$A$42,Доп.расчеты!$A224,'Как будет'!EU$35:EU$42)</f>
        <v>0</v>
      </c>
      <c r="EU224">
        <f>SUMIF('Как будет'!$A$35:$A$42,Доп.расчеты!$A224,'Как будет'!EV$35:EV$42)</f>
        <v>0</v>
      </c>
      <c r="EV224">
        <f>SUMIF('Как будет'!$A$35:$A$42,Доп.расчеты!$A224,'Как будет'!EW$35:EW$42)</f>
        <v>0</v>
      </c>
      <c r="EW224">
        <f>SUMIF('Как будет'!$A$35:$A$42,Доп.расчеты!$A224,'Как будет'!EX$35:EX$42)</f>
        <v>0</v>
      </c>
      <c r="EX224">
        <f>SUMIF('Как будет'!$A$35:$A$42,Доп.расчеты!$A224,'Как будет'!EY$35:EY$42)</f>
        <v>0</v>
      </c>
      <c r="EY224">
        <f>SUMIF('Как будет'!$A$35:$A$42,Доп.расчеты!$A224,'Как будет'!EZ$35:EZ$42)</f>
        <v>0</v>
      </c>
      <c r="EZ224">
        <f>SUMIF('Как будет'!$A$35:$A$42,Доп.расчеты!$A224,'Как будет'!FA$35:FA$42)</f>
        <v>0</v>
      </c>
      <c r="FA224">
        <f>SUMIF('Как будет'!$A$35:$A$42,Доп.расчеты!$A224,'Как будет'!FB$35:FB$42)</f>
        <v>0</v>
      </c>
      <c r="FB224">
        <f>SUMIF('Как будет'!$A$35:$A$42,Доп.расчеты!$A224,'Как будет'!FC$35:FC$42)</f>
        <v>0</v>
      </c>
      <c r="FC224">
        <f>SUMIF('Как будет'!$A$35:$A$42,Доп.расчеты!$A224,'Как будет'!FD$35:FD$42)</f>
        <v>0</v>
      </c>
      <c r="FD224">
        <f>SUMIF('Как будет'!$A$35:$A$42,Доп.расчеты!$A224,'Как будет'!FE$35:FE$42)</f>
        <v>0</v>
      </c>
      <c r="FE224">
        <f>SUMIF('Как будет'!$A$35:$A$42,Доп.расчеты!$A224,'Как будет'!FF$35:FF$42)</f>
        <v>0</v>
      </c>
      <c r="FF224">
        <f>SUMIF('Как будет'!$A$35:$A$42,Доп.расчеты!$A224,'Как будет'!FG$35:FG$42)</f>
        <v>0</v>
      </c>
      <c r="FG224">
        <f>SUMIF('Как будет'!$A$35:$A$42,Доп.расчеты!$A224,'Как будет'!FH$35:FH$42)</f>
        <v>0</v>
      </c>
      <c r="FH224">
        <f>SUMIF('Как будет'!$A$35:$A$42,Доп.расчеты!$A224,'Как будет'!FI$35:FI$42)</f>
        <v>0</v>
      </c>
      <c r="FI224">
        <f>SUMIF('Как будет'!$A$35:$A$42,Доп.расчеты!$A224,'Как будет'!FJ$35:FJ$42)</f>
        <v>0</v>
      </c>
      <c r="FJ224">
        <f>SUMIF('Как будет'!$A$35:$A$42,Доп.расчеты!$A224,'Как будет'!FK$35:FK$42)</f>
        <v>0</v>
      </c>
      <c r="FK224">
        <f>SUMIF('Как будет'!$A$35:$A$42,Доп.расчеты!$A224,'Как будет'!FL$35:FL$42)</f>
        <v>0</v>
      </c>
      <c r="FL224">
        <f>SUMIF('Как будет'!$A$35:$A$42,Доп.расчеты!$A224,'Как будет'!FM$35:FM$42)</f>
        <v>0</v>
      </c>
      <c r="FM224">
        <f>SUMIF('Как будет'!$A$35:$A$42,Доп.расчеты!$A224,'Как будет'!FN$35:FN$42)</f>
        <v>0</v>
      </c>
      <c r="FN224">
        <f>SUMIF('Как будет'!$A$35:$A$42,Доп.расчеты!$A224,'Как будет'!FO$35:FO$42)</f>
        <v>0</v>
      </c>
      <c r="FO224">
        <f>SUMIF('Как будет'!$A$35:$A$42,Доп.расчеты!$A224,'Как будет'!FP$35:FP$42)</f>
        <v>0</v>
      </c>
      <c r="FP224">
        <f>SUMIF('Как будет'!$A$35:$A$42,Доп.расчеты!$A224,'Как будет'!FQ$35:FQ$42)</f>
        <v>0</v>
      </c>
      <c r="FQ224">
        <f>SUMIF('Как будет'!$A$35:$A$42,Доп.расчеты!$A224,'Как будет'!FR$35:FR$42)</f>
        <v>0</v>
      </c>
      <c r="FR224">
        <f>SUMIF('Как будет'!$A$35:$A$42,Доп.расчеты!$A224,'Как будет'!FS$35:FS$42)</f>
        <v>0</v>
      </c>
      <c r="FS224">
        <f>SUMIF('Как будет'!$A$35:$A$42,Доп.расчеты!$A224,'Как будет'!FT$35:FT$42)</f>
        <v>0</v>
      </c>
      <c r="FT224">
        <f>SUMIF('Как будет'!$A$35:$A$42,Доп.расчеты!$A224,'Как будет'!FU$35:FU$42)</f>
        <v>0</v>
      </c>
      <c r="FU224">
        <f>SUMIF('Как будет'!$A$35:$A$42,Доп.расчеты!$A224,'Как будет'!FV$35:FV$42)</f>
        <v>0</v>
      </c>
      <c r="FV224">
        <f>SUMIF('Как будет'!$A$35:$A$42,Доп.расчеты!$A224,'Как будет'!FW$35:FW$42)</f>
        <v>0</v>
      </c>
      <c r="FW224">
        <f>SUMIF('Как будет'!$A$35:$A$42,Доп.расчеты!$A224,'Как будет'!FX$35:FX$42)</f>
        <v>0</v>
      </c>
      <c r="FX224">
        <f>SUMIF('Как будет'!$A$35:$A$42,Доп.расчеты!$A224,'Как будет'!FY$35:FY$42)</f>
        <v>0</v>
      </c>
      <c r="FY224">
        <f>SUMIF('Как будет'!$A$35:$A$42,Доп.расчеты!$A224,'Как будет'!FZ$35:FZ$42)</f>
        <v>0</v>
      </c>
      <c r="FZ224">
        <f>SUMIF('Как будет'!$A$35:$A$42,Доп.расчеты!$A224,'Как будет'!GA$35:GA$42)</f>
        <v>0</v>
      </c>
      <c r="GA224">
        <f>SUMIF('Как будет'!$A$35:$A$42,Доп.расчеты!$A224,'Как будет'!GB$35:GB$42)</f>
        <v>0</v>
      </c>
      <c r="GB224">
        <f>SUMIF('Как будет'!$A$35:$A$42,Доп.расчеты!$A224,'Как будет'!GC$35:GC$42)</f>
        <v>0</v>
      </c>
      <c r="GC224">
        <f>SUMIF('Как будет'!$A$35:$A$42,Доп.расчеты!$A224,'Как будет'!GD$35:GD$42)</f>
        <v>0</v>
      </c>
      <c r="GD224">
        <f>SUMIF('Как будет'!$A$35:$A$42,Доп.расчеты!$A224,'Как будет'!GE$35:GE$42)</f>
        <v>0</v>
      </c>
      <c r="GE224">
        <f>SUMIF('Как будет'!$A$35:$A$42,Доп.расчеты!$A224,'Как будет'!GF$35:GF$42)</f>
        <v>0</v>
      </c>
      <c r="GF224">
        <f>SUMIF('Как будет'!$A$35:$A$42,Доп.расчеты!$A224,'Как будет'!GG$35:GG$42)</f>
        <v>0</v>
      </c>
      <c r="GG224">
        <f>SUMIF('Как будет'!$A$35:$A$42,Доп.расчеты!$A224,'Как будет'!GH$35:GH$42)</f>
        <v>0</v>
      </c>
      <c r="GH224">
        <f>SUMIF('Как будет'!$A$35:$A$42,Доп.расчеты!$A224,'Как будет'!GI$35:GI$42)</f>
        <v>0</v>
      </c>
      <c r="GI224">
        <f>SUMIF('Как будет'!$A$35:$A$42,Доп.расчеты!$A224,'Как будет'!GJ$35:GJ$42)</f>
        <v>0</v>
      </c>
      <c r="GJ224">
        <f>SUMIF('Как будет'!$A$35:$A$42,Доп.расчеты!$A224,'Как будет'!GK$35:GK$42)</f>
        <v>0</v>
      </c>
      <c r="GK224">
        <f>SUMIF('Как будет'!$A$35:$A$42,Доп.расчеты!$A224,'Как будет'!GL$35:GL$42)</f>
        <v>0</v>
      </c>
      <c r="GL224">
        <f>SUMIF('Как будет'!$A$35:$A$42,Доп.расчеты!$A224,'Как будет'!GM$35:GM$42)</f>
        <v>0</v>
      </c>
      <c r="GM224">
        <f>SUMIF('Как будет'!$A$35:$A$42,Доп.расчеты!$A224,'Как будет'!GN$35:GN$42)</f>
        <v>0</v>
      </c>
      <c r="GN224">
        <f>SUMIF('Как будет'!$A$35:$A$42,Доп.расчеты!$A224,'Как будет'!GO$35:GO$42)</f>
        <v>0</v>
      </c>
      <c r="GO224">
        <f>SUMIF('Как будет'!$A$35:$A$42,Доп.расчеты!$A224,'Как будет'!GP$35:GP$42)</f>
        <v>0</v>
      </c>
      <c r="GP224">
        <f>SUMIF('Как будет'!$A$35:$A$42,Доп.расчеты!$A224,'Как будет'!GQ$35:GQ$42)</f>
        <v>0</v>
      </c>
      <c r="GQ224">
        <f>SUMIF('Как будет'!$A$35:$A$42,Доп.расчеты!$A224,'Как будет'!GR$35:GR$42)</f>
        <v>0</v>
      </c>
      <c r="GR224">
        <f>SUMIF('Как будет'!$A$35:$A$42,Доп.расчеты!$A224,'Как будет'!GS$35:GS$42)</f>
        <v>0</v>
      </c>
      <c r="GS224">
        <f>SUMIF('Как будет'!$A$35:$A$42,Доп.расчеты!$A224,'Как будет'!GT$35:GT$42)</f>
        <v>0</v>
      </c>
      <c r="GT224">
        <f>SUMIF('Как будет'!$A$35:$A$42,Доп.расчеты!$A224,'Как будет'!GU$35:GU$42)</f>
        <v>0</v>
      </c>
    </row>
    <row r="225" spans="1:202">
      <c r="A225" s="238" t="s">
        <v>114</v>
      </c>
      <c r="B225">
        <f>SUMIF('Как будет'!$A$35:$A$42,Доп.расчеты!$A225,'Как будет'!C$35:C$42)</f>
        <v>0</v>
      </c>
      <c r="C225">
        <f>SUMIF('Как будет'!$A$35:$A$42,Доп.расчеты!$A225,'Как будет'!D$35:D$42)</f>
        <v>0</v>
      </c>
      <c r="D225">
        <f>SUMIF('Как будет'!$A$35:$A$42,Доп.расчеты!$A225,'Как будет'!E$35:E$42)</f>
        <v>0</v>
      </c>
      <c r="E225">
        <f>SUMIF('Как будет'!$A$35:$A$42,Доп.расчеты!$A225,'Как будет'!F$35:F$42)</f>
        <v>0</v>
      </c>
      <c r="F225">
        <f>SUMIF('Как будет'!$A$35:$A$42,Доп.расчеты!$A225,'Как будет'!G$35:G$42)</f>
        <v>0</v>
      </c>
      <c r="G225">
        <f>SUMIF('Как будет'!$A$35:$A$42,Доп.расчеты!$A225,'Как будет'!H$35:H$42)</f>
        <v>0</v>
      </c>
      <c r="H225">
        <f>SUMIF('Как будет'!$A$35:$A$42,Доп.расчеты!$A225,'Как будет'!I$35:I$42)</f>
        <v>0</v>
      </c>
      <c r="I225">
        <f>SUMIF('Как будет'!$A$35:$A$42,Доп.расчеты!$A225,'Как будет'!J$35:J$42)</f>
        <v>0</v>
      </c>
      <c r="J225">
        <f>SUMIF('Как будет'!$A$35:$A$42,Доп.расчеты!$A225,'Как будет'!K$35:K$42)</f>
        <v>0</v>
      </c>
      <c r="K225">
        <f>SUMIF('Как будет'!$A$35:$A$42,Доп.расчеты!$A225,'Как будет'!L$35:L$42)</f>
        <v>0</v>
      </c>
      <c r="L225">
        <f>SUMIF('Как будет'!$A$35:$A$42,Доп.расчеты!$A225,'Как будет'!M$35:M$42)</f>
        <v>0</v>
      </c>
      <c r="M225">
        <f>SUMIF('Как будет'!$A$35:$A$42,Доп.расчеты!$A225,'Как будет'!N$35:N$42)</f>
        <v>0</v>
      </c>
      <c r="N225">
        <f>SUMIF('Как будет'!$A$35:$A$42,Доп.расчеты!$A225,'Как будет'!O$35:O$42)</f>
        <v>0</v>
      </c>
      <c r="O225">
        <f>SUMIF('Как будет'!$A$35:$A$42,Доп.расчеты!$A225,'Как будет'!P$35:P$42)</f>
        <v>0</v>
      </c>
      <c r="P225">
        <f>SUMIF('Как будет'!$A$35:$A$42,Доп.расчеты!$A225,'Как будет'!Q$35:Q$42)</f>
        <v>0</v>
      </c>
      <c r="Q225">
        <f>SUMIF('Как будет'!$A$35:$A$42,Доп.расчеты!$A225,'Как будет'!R$35:R$42)</f>
        <v>0</v>
      </c>
      <c r="R225">
        <f>SUMIF('Как будет'!$A$35:$A$42,Доп.расчеты!$A225,'Как будет'!S$35:S$42)</f>
        <v>0</v>
      </c>
      <c r="S225">
        <f>SUMIF('Как будет'!$A$35:$A$42,Доп.расчеты!$A225,'Как будет'!T$35:T$42)</f>
        <v>0</v>
      </c>
      <c r="T225">
        <f>SUMIF('Как будет'!$A$35:$A$42,Доп.расчеты!$A225,'Как будет'!U$35:U$42)</f>
        <v>0</v>
      </c>
      <c r="U225">
        <f>SUMIF('Как будет'!$A$35:$A$42,Доп.расчеты!$A225,'Как будет'!V$35:V$42)</f>
        <v>0</v>
      </c>
      <c r="V225">
        <f>SUMIF('Как будет'!$A$35:$A$42,Доп.расчеты!$A225,'Как будет'!W$35:W$42)</f>
        <v>0</v>
      </c>
      <c r="W225">
        <f>SUMIF('Как будет'!$A$35:$A$42,Доп.расчеты!$A225,'Как будет'!X$35:X$42)</f>
        <v>0</v>
      </c>
      <c r="X225">
        <f>SUMIF('Как будет'!$A$35:$A$42,Доп.расчеты!$A225,'Как будет'!Y$35:Y$42)</f>
        <v>0</v>
      </c>
      <c r="Y225">
        <f>SUMIF('Как будет'!$A$35:$A$42,Доп.расчеты!$A225,'Как будет'!Z$35:Z$42)</f>
        <v>0</v>
      </c>
      <c r="Z225">
        <f>SUMIF('Как будет'!$A$35:$A$42,Доп.расчеты!$A225,'Как будет'!AA$35:AA$42)</f>
        <v>0</v>
      </c>
      <c r="AA225">
        <f>SUMIF('Как будет'!$A$35:$A$42,Доп.расчеты!$A225,'Как будет'!AB$35:AB$42)</f>
        <v>0</v>
      </c>
      <c r="AB225">
        <f>SUMIF('Как будет'!$A$35:$A$42,Доп.расчеты!$A225,'Как будет'!AC$35:AC$42)</f>
        <v>0</v>
      </c>
      <c r="AC225">
        <f>SUMIF('Как будет'!$A$35:$A$42,Доп.расчеты!$A225,'Как будет'!AD$35:AD$42)</f>
        <v>0</v>
      </c>
      <c r="AD225">
        <f>SUMIF('Как будет'!$A$35:$A$42,Доп.расчеты!$A225,'Как будет'!AE$35:AE$42)</f>
        <v>0</v>
      </c>
      <c r="AE225">
        <f>SUMIF('Как будет'!$A$35:$A$42,Доп.расчеты!$A225,'Как будет'!AF$35:AF$42)</f>
        <v>0</v>
      </c>
      <c r="AF225">
        <f>SUMIF('Как будет'!$A$35:$A$42,Доп.расчеты!$A225,'Как будет'!AG$35:AG$42)</f>
        <v>0</v>
      </c>
      <c r="AG225">
        <f>SUMIF('Как будет'!$A$35:$A$42,Доп.расчеты!$A225,'Как будет'!AH$35:AH$42)</f>
        <v>0</v>
      </c>
      <c r="AH225">
        <f>SUMIF('Как будет'!$A$35:$A$42,Доп.расчеты!$A225,'Как будет'!AI$35:AI$42)</f>
        <v>0</v>
      </c>
      <c r="AI225">
        <f>SUMIF('Как будет'!$A$35:$A$42,Доп.расчеты!$A225,'Как будет'!AJ$35:AJ$42)</f>
        <v>0</v>
      </c>
      <c r="AJ225">
        <f>SUMIF('Как будет'!$A$35:$A$42,Доп.расчеты!$A225,'Как будет'!AK$35:AK$42)</f>
        <v>0</v>
      </c>
      <c r="AK225">
        <f>SUMIF('Как будет'!$A$35:$A$42,Доп.расчеты!$A225,'Как будет'!AL$35:AL$42)</f>
        <v>0</v>
      </c>
      <c r="AL225">
        <f>SUMIF('Как будет'!$A$35:$A$42,Доп.расчеты!$A225,'Как будет'!AM$35:AM$42)</f>
        <v>0</v>
      </c>
      <c r="AM225">
        <f>SUMIF('Как будет'!$A$35:$A$42,Доп.расчеты!$A225,'Как будет'!AN$35:AN$42)</f>
        <v>0</v>
      </c>
      <c r="AN225">
        <f>SUMIF('Как будет'!$A$35:$A$42,Доп.расчеты!$A225,'Как будет'!AO$35:AO$42)</f>
        <v>0</v>
      </c>
      <c r="AO225">
        <f>SUMIF('Как будет'!$A$35:$A$42,Доп.расчеты!$A225,'Как будет'!AP$35:AP$42)</f>
        <v>0</v>
      </c>
      <c r="AP225">
        <f>SUMIF('Как будет'!$A$35:$A$42,Доп.расчеты!$A225,'Как будет'!AQ$35:AQ$42)</f>
        <v>0</v>
      </c>
      <c r="AQ225">
        <f>SUMIF('Как будет'!$A$35:$A$42,Доп.расчеты!$A225,'Как будет'!AR$35:AR$42)</f>
        <v>0</v>
      </c>
      <c r="AR225">
        <f>SUMIF('Как будет'!$A$35:$A$42,Доп.расчеты!$A225,'Как будет'!AS$35:AS$42)</f>
        <v>0</v>
      </c>
      <c r="AS225">
        <f>SUMIF('Как будет'!$A$35:$A$42,Доп.расчеты!$A225,'Как будет'!AT$35:AT$42)</f>
        <v>0</v>
      </c>
      <c r="AT225">
        <f>SUMIF('Как будет'!$A$35:$A$42,Доп.расчеты!$A225,'Как будет'!AU$35:AU$42)</f>
        <v>0</v>
      </c>
      <c r="AU225">
        <f>SUMIF('Как будет'!$A$35:$A$42,Доп.расчеты!$A225,'Как будет'!AV$35:AV$42)</f>
        <v>0</v>
      </c>
      <c r="AV225">
        <f>SUMIF('Как будет'!$A$35:$A$42,Доп.расчеты!$A225,'Как будет'!AW$35:AW$42)</f>
        <v>0</v>
      </c>
      <c r="AW225">
        <f>SUMIF('Как будет'!$A$35:$A$42,Доп.расчеты!$A225,'Как будет'!AX$35:AX$42)</f>
        <v>0</v>
      </c>
      <c r="AX225">
        <f>SUMIF('Как будет'!$A$35:$A$42,Доп.расчеты!$A225,'Как будет'!AY$35:AY$42)</f>
        <v>0</v>
      </c>
      <c r="AY225">
        <f>SUMIF('Как будет'!$A$35:$A$42,Доп.расчеты!$A225,'Как будет'!AZ$35:AZ$42)</f>
        <v>0</v>
      </c>
      <c r="AZ225">
        <f>SUMIF('Как будет'!$A$35:$A$42,Доп.расчеты!$A225,'Как будет'!BA$35:BA$42)</f>
        <v>0</v>
      </c>
      <c r="BA225">
        <f>SUMIF('Как будет'!$A$35:$A$42,Доп.расчеты!$A225,'Как будет'!BB$35:BB$42)</f>
        <v>0</v>
      </c>
      <c r="BB225">
        <f>SUMIF('Как будет'!$A$35:$A$42,Доп.расчеты!$A225,'Как будет'!BC$35:BC$42)</f>
        <v>0</v>
      </c>
      <c r="BC225">
        <f>SUMIF('Как будет'!$A$35:$A$42,Доп.расчеты!$A225,'Как будет'!BD$35:BD$42)</f>
        <v>0</v>
      </c>
      <c r="BD225">
        <f>SUMIF('Как будет'!$A$35:$A$42,Доп.расчеты!$A225,'Как будет'!BE$35:BE$42)</f>
        <v>0</v>
      </c>
      <c r="BE225">
        <f>SUMIF('Как будет'!$A$35:$A$42,Доп.расчеты!$A225,'Как будет'!BF$35:BF$42)</f>
        <v>0</v>
      </c>
      <c r="BF225">
        <f>SUMIF('Как будет'!$A$35:$A$42,Доп.расчеты!$A225,'Как будет'!BG$35:BG$42)</f>
        <v>0</v>
      </c>
      <c r="BG225">
        <f>SUMIF('Как будет'!$A$35:$A$42,Доп.расчеты!$A225,'Как будет'!BH$35:BH$42)</f>
        <v>0</v>
      </c>
      <c r="BH225">
        <f>SUMIF('Как будет'!$A$35:$A$42,Доп.расчеты!$A225,'Как будет'!BI$35:BI$42)</f>
        <v>0</v>
      </c>
      <c r="BI225">
        <f>SUMIF('Как будет'!$A$35:$A$42,Доп.расчеты!$A225,'Как будет'!BJ$35:BJ$42)</f>
        <v>0</v>
      </c>
      <c r="BJ225">
        <f>SUMIF('Как будет'!$A$35:$A$42,Доп.расчеты!$A225,'Как будет'!BK$35:BK$42)</f>
        <v>0</v>
      </c>
      <c r="BK225">
        <f>SUMIF('Как будет'!$A$35:$A$42,Доп.расчеты!$A225,'Как будет'!BL$35:BL$42)</f>
        <v>0</v>
      </c>
      <c r="BL225">
        <f>SUMIF('Как будет'!$A$35:$A$42,Доп.расчеты!$A225,'Как будет'!BM$35:BM$42)</f>
        <v>0</v>
      </c>
      <c r="BM225">
        <f>SUMIF('Как будет'!$A$35:$A$42,Доп.расчеты!$A225,'Как будет'!BN$35:BN$42)</f>
        <v>0</v>
      </c>
      <c r="BN225">
        <f>SUMIF('Как будет'!$A$35:$A$42,Доп.расчеты!$A225,'Как будет'!BO$35:BO$42)</f>
        <v>0</v>
      </c>
      <c r="BO225">
        <f>SUMIF('Как будет'!$A$35:$A$42,Доп.расчеты!$A225,'Как будет'!BP$35:BP$42)</f>
        <v>0</v>
      </c>
      <c r="BP225">
        <f>SUMIF('Как будет'!$A$35:$A$42,Доп.расчеты!$A225,'Как будет'!BQ$35:BQ$42)</f>
        <v>0</v>
      </c>
      <c r="BQ225">
        <f>SUMIF('Как будет'!$A$35:$A$42,Доп.расчеты!$A225,'Как будет'!BR$35:BR$42)</f>
        <v>0</v>
      </c>
      <c r="BR225">
        <f>SUMIF('Как будет'!$A$35:$A$42,Доп.расчеты!$A225,'Как будет'!BS$35:BS$42)</f>
        <v>0</v>
      </c>
      <c r="BS225">
        <f>SUMIF('Как будет'!$A$35:$A$42,Доп.расчеты!$A225,'Как будет'!BT$35:BT$42)</f>
        <v>0</v>
      </c>
      <c r="BT225">
        <f>SUMIF('Как будет'!$A$35:$A$42,Доп.расчеты!$A225,'Как будет'!BU$35:BU$42)</f>
        <v>0</v>
      </c>
      <c r="BU225">
        <f>SUMIF('Как будет'!$A$35:$A$42,Доп.расчеты!$A225,'Как будет'!BV$35:BV$42)</f>
        <v>0</v>
      </c>
      <c r="BV225">
        <f>SUMIF('Как будет'!$A$35:$A$42,Доп.расчеты!$A225,'Как будет'!BW$35:BW$42)</f>
        <v>0</v>
      </c>
      <c r="BW225">
        <f>SUMIF('Как будет'!$A$35:$A$42,Доп.расчеты!$A225,'Как будет'!BX$35:BX$42)</f>
        <v>0</v>
      </c>
      <c r="BX225">
        <f>SUMIF('Как будет'!$A$35:$A$42,Доп.расчеты!$A225,'Как будет'!BY$35:BY$42)</f>
        <v>0</v>
      </c>
      <c r="BY225">
        <f>SUMIF('Как будет'!$A$35:$A$42,Доп.расчеты!$A225,'Как будет'!BZ$35:BZ$42)</f>
        <v>0</v>
      </c>
      <c r="BZ225">
        <f>SUMIF('Как будет'!$A$35:$A$42,Доп.расчеты!$A225,'Как будет'!CA$35:CA$42)</f>
        <v>0</v>
      </c>
      <c r="CA225">
        <f>SUMIF('Как будет'!$A$35:$A$42,Доп.расчеты!$A225,'Как будет'!CB$35:CB$42)</f>
        <v>0</v>
      </c>
      <c r="CB225">
        <f>SUMIF('Как будет'!$A$35:$A$42,Доп.расчеты!$A225,'Как будет'!CC$35:CC$42)</f>
        <v>0</v>
      </c>
      <c r="CC225">
        <f>SUMIF('Как будет'!$A$35:$A$42,Доп.расчеты!$A225,'Как будет'!CD$35:CD$42)</f>
        <v>0</v>
      </c>
      <c r="CD225">
        <f>SUMIF('Как будет'!$A$35:$A$42,Доп.расчеты!$A225,'Как будет'!CE$35:CE$42)</f>
        <v>0</v>
      </c>
      <c r="CE225">
        <f>SUMIF('Как будет'!$A$35:$A$42,Доп.расчеты!$A225,'Как будет'!CF$35:CF$42)</f>
        <v>0</v>
      </c>
      <c r="CF225">
        <f>SUMIF('Как будет'!$A$35:$A$42,Доп.расчеты!$A225,'Как будет'!CG$35:CG$42)</f>
        <v>0</v>
      </c>
      <c r="CG225">
        <f>SUMIF('Как будет'!$A$35:$A$42,Доп.расчеты!$A225,'Как будет'!CH$35:CH$42)</f>
        <v>0</v>
      </c>
      <c r="CH225">
        <f>SUMIF('Как будет'!$A$35:$A$42,Доп.расчеты!$A225,'Как будет'!CI$35:CI$42)</f>
        <v>0</v>
      </c>
      <c r="CI225">
        <f>SUMIF('Как будет'!$A$35:$A$42,Доп.расчеты!$A225,'Как будет'!CJ$35:CJ$42)</f>
        <v>0</v>
      </c>
      <c r="CJ225">
        <f>SUMIF('Как будет'!$A$35:$A$42,Доп.расчеты!$A225,'Как будет'!CK$35:CK$42)</f>
        <v>0</v>
      </c>
      <c r="CK225">
        <f>SUMIF('Как будет'!$A$35:$A$42,Доп.расчеты!$A225,'Как будет'!CL$35:CL$42)</f>
        <v>0</v>
      </c>
      <c r="CL225">
        <f>SUMIF('Как будет'!$A$35:$A$42,Доп.расчеты!$A225,'Как будет'!CM$35:CM$42)</f>
        <v>0</v>
      </c>
      <c r="CM225">
        <f>SUMIF('Как будет'!$A$35:$A$42,Доп.расчеты!$A225,'Как будет'!CN$35:CN$42)</f>
        <v>0</v>
      </c>
      <c r="CN225">
        <f>SUMIF('Как будет'!$A$35:$A$42,Доп.расчеты!$A225,'Как будет'!CO$35:CO$42)</f>
        <v>0</v>
      </c>
      <c r="CO225">
        <f>SUMIF('Как будет'!$A$35:$A$42,Доп.расчеты!$A225,'Как будет'!CP$35:CP$42)</f>
        <v>0</v>
      </c>
      <c r="CP225">
        <f>SUMIF('Как будет'!$A$35:$A$42,Доп.расчеты!$A225,'Как будет'!CQ$35:CQ$42)</f>
        <v>0</v>
      </c>
      <c r="CQ225">
        <f>SUMIF('Как будет'!$A$35:$A$42,Доп.расчеты!$A225,'Как будет'!CR$35:CR$42)</f>
        <v>0</v>
      </c>
      <c r="CR225">
        <f>SUMIF('Как будет'!$A$35:$A$42,Доп.расчеты!$A225,'Как будет'!CS$35:CS$42)</f>
        <v>0</v>
      </c>
      <c r="CS225">
        <f>SUMIF('Как будет'!$A$35:$A$42,Доп.расчеты!$A225,'Как будет'!CT$35:CT$42)</f>
        <v>0</v>
      </c>
      <c r="CT225">
        <f>SUMIF('Как будет'!$A$35:$A$42,Доп.расчеты!$A225,'Как будет'!CU$35:CU$42)</f>
        <v>0</v>
      </c>
      <c r="CU225">
        <f>SUMIF('Как будет'!$A$35:$A$42,Доп.расчеты!$A225,'Как будет'!CV$35:CV$42)</f>
        <v>0</v>
      </c>
      <c r="CV225">
        <f>SUMIF('Как будет'!$A$35:$A$42,Доп.расчеты!$A225,'Как будет'!CW$35:CW$42)</f>
        <v>0</v>
      </c>
      <c r="CW225">
        <f>SUMIF('Как будет'!$A$35:$A$42,Доп.расчеты!$A225,'Как будет'!CX$35:CX$42)</f>
        <v>0</v>
      </c>
      <c r="CX225">
        <f>SUMIF('Как будет'!$A$35:$A$42,Доп.расчеты!$A225,'Как будет'!CY$35:CY$42)</f>
        <v>0</v>
      </c>
      <c r="CY225">
        <f>SUMIF('Как будет'!$A$35:$A$42,Доп.расчеты!$A225,'Как будет'!CZ$35:CZ$42)</f>
        <v>0</v>
      </c>
      <c r="CZ225">
        <f>SUMIF('Как будет'!$A$35:$A$42,Доп.расчеты!$A225,'Как будет'!DA$35:DA$42)</f>
        <v>0</v>
      </c>
      <c r="DA225">
        <f>SUMIF('Как будет'!$A$35:$A$42,Доп.расчеты!$A225,'Как будет'!DB$35:DB$42)</f>
        <v>0</v>
      </c>
      <c r="DB225">
        <f>SUMIF('Как будет'!$A$35:$A$42,Доп.расчеты!$A225,'Как будет'!DC$35:DC$42)</f>
        <v>0</v>
      </c>
      <c r="DC225">
        <f>SUMIF('Как будет'!$A$35:$A$42,Доп.расчеты!$A225,'Как будет'!DD$35:DD$42)</f>
        <v>0</v>
      </c>
      <c r="DD225">
        <f>SUMIF('Как будет'!$A$35:$A$42,Доп.расчеты!$A225,'Как будет'!DE$35:DE$42)</f>
        <v>0</v>
      </c>
      <c r="DE225">
        <f>SUMIF('Как будет'!$A$35:$A$42,Доп.расчеты!$A225,'Как будет'!DF$35:DF$42)</f>
        <v>0</v>
      </c>
      <c r="DF225">
        <f>SUMIF('Как будет'!$A$35:$A$42,Доп.расчеты!$A225,'Как будет'!DG$35:DG$42)</f>
        <v>0</v>
      </c>
      <c r="DG225">
        <f>SUMIF('Как будет'!$A$35:$A$42,Доп.расчеты!$A225,'Как будет'!DH$35:DH$42)</f>
        <v>0</v>
      </c>
      <c r="DH225">
        <f>SUMIF('Как будет'!$A$35:$A$42,Доп.расчеты!$A225,'Как будет'!DI$35:DI$42)</f>
        <v>0</v>
      </c>
      <c r="DI225">
        <f>SUMIF('Как будет'!$A$35:$A$42,Доп.расчеты!$A225,'Как будет'!DJ$35:DJ$42)</f>
        <v>0</v>
      </c>
      <c r="DJ225">
        <f>SUMIF('Как будет'!$A$35:$A$42,Доп.расчеты!$A225,'Как будет'!DK$35:DK$42)</f>
        <v>0</v>
      </c>
      <c r="DK225">
        <f>SUMIF('Как будет'!$A$35:$A$42,Доп.расчеты!$A225,'Как будет'!DL$35:DL$42)</f>
        <v>0</v>
      </c>
      <c r="DL225">
        <f>SUMIF('Как будет'!$A$35:$A$42,Доп.расчеты!$A225,'Как будет'!DM$35:DM$42)</f>
        <v>0</v>
      </c>
      <c r="DM225">
        <f>SUMIF('Как будет'!$A$35:$A$42,Доп.расчеты!$A225,'Как будет'!DN$35:DN$42)</f>
        <v>0</v>
      </c>
      <c r="DN225">
        <f>SUMIF('Как будет'!$A$35:$A$42,Доп.расчеты!$A225,'Как будет'!DO$35:DO$42)</f>
        <v>0</v>
      </c>
      <c r="DO225">
        <f>SUMIF('Как будет'!$A$35:$A$42,Доп.расчеты!$A225,'Как будет'!DP$35:DP$42)</f>
        <v>0</v>
      </c>
      <c r="DP225">
        <f>SUMIF('Как будет'!$A$35:$A$42,Доп.расчеты!$A225,'Как будет'!DQ$35:DQ$42)</f>
        <v>0</v>
      </c>
      <c r="DQ225">
        <f>SUMIF('Как будет'!$A$35:$A$42,Доп.расчеты!$A225,'Как будет'!DR$35:DR$42)</f>
        <v>0</v>
      </c>
      <c r="DR225">
        <f>SUMIF('Как будет'!$A$35:$A$42,Доп.расчеты!$A225,'Как будет'!DS$35:DS$42)</f>
        <v>0</v>
      </c>
      <c r="DS225">
        <f>SUMIF('Как будет'!$A$35:$A$42,Доп.расчеты!$A225,'Как будет'!DT$35:DT$42)</f>
        <v>0</v>
      </c>
      <c r="DT225">
        <f>SUMIF('Как будет'!$A$35:$A$42,Доп.расчеты!$A225,'Как будет'!DU$35:DU$42)</f>
        <v>0</v>
      </c>
      <c r="DU225">
        <f>SUMIF('Как будет'!$A$35:$A$42,Доп.расчеты!$A225,'Как будет'!DV$35:DV$42)</f>
        <v>0</v>
      </c>
      <c r="DV225">
        <f>SUMIF('Как будет'!$A$35:$A$42,Доп.расчеты!$A225,'Как будет'!DW$35:DW$42)</f>
        <v>0</v>
      </c>
      <c r="DW225">
        <f>SUMIF('Как будет'!$A$35:$A$42,Доп.расчеты!$A225,'Как будет'!DX$35:DX$42)</f>
        <v>0</v>
      </c>
      <c r="DX225">
        <f>SUMIF('Как будет'!$A$35:$A$42,Доп.расчеты!$A225,'Как будет'!DY$35:DY$42)</f>
        <v>0</v>
      </c>
      <c r="DY225">
        <f>SUMIF('Как будет'!$A$35:$A$42,Доп.расчеты!$A225,'Как будет'!DZ$35:DZ$42)</f>
        <v>0</v>
      </c>
      <c r="DZ225">
        <f>SUMIF('Как будет'!$A$35:$A$42,Доп.расчеты!$A225,'Как будет'!EA$35:EA$42)</f>
        <v>0</v>
      </c>
      <c r="EA225">
        <f>SUMIF('Как будет'!$A$35:$A$42,Доп.расчеты!$A225,'Как будет'!EB$35:EB$42)</f>
        <v>0</v>
      </c>
      <c r="EB225">
        <f>SUMIF('Как будет'!$A$35:$A$42,Доп.расчеты!$A225,'Как будет'!EC$35:EC$42)</f>
        <v>0</v>
      </c>
      <c r="EC225">
        <f>SUMIF('Как будет'!$A$35:$A$42,Доп.расчеты!$A225,'Как будет'!ED$35:ED$42)</f>
        <v>0</v>
      </c>
      <c r="ED225">
        <f>SUMIF('Как будет'!$A$35:$A$42,Доп.расчеты!$A225,'Как будет'!EE$35:EE$42)</f>
        <v>0</v>
      </c>
      <c r="EE225">
        <f>SUMIF('Как будет'!$A$35:$A$42,Доп.расчеты!$A225,'Как будет'!EF$35:EF$42)</f>
        <v>0</v>
      </c>
      <c r="EF225">
        <f>SUMIF('Как будет'!$A$35:$A$42,Доп.расчеты!$A225,'Как будет'!EG$35:EG$42)</f>
        <v>0</v>
      </c>
      <c r="EG225">
        <f>SUMIF('Как будет'!$A$35:$A$42,Доп.расчеты!$A225,'Как будет'!EH$35:EH$42)</f>
        <v>0</v>
      </c>
      <c r="EH225">
        <f>SUMIF('Как будет'!$A$35:$A$42,Доп.расчеты!$A225,'Как будет'!EI$35:EI$42)</f>
        <v>0</v>
      </c>
      <c r="EI225">
        <f>SUMIF('Как будет'!$A$35:$A$42,Доп.расчеты!$A225,'Как будет'!EJ$35:EJ$42)</f>
        <v>0</v>
      </c>
      <c r="EJ225">
        <f>SUMIF('Как будет'!$A$35:$A$42,Доп.расчеты!$A225,'Как будет'!EK$35:EK$42)</f>
        <v>0</v>
      </c>
      <c r="EK225">
        <f>SUMIF('Как будет'!$A$35:$A$42,Доп.расчеты!$A225,'Как будет'!EL$35:EL$42)</f>
        <v>0</v>
      </c>
      <c r="EL225">
        <f>SUMIF('Как будет'!$A$35:$A$42,Доп.расчеты!$A225,'Как будет'!EM$35:EM$42)</f>
        <v>0</v>
      </c>
      <c r="EM225">
        <f>SUMIF('Как будет'!$A$35:$A$42,Доп.расчеты!$A225,'Как будет'!EN$35:EN$42)</f>
        <v>0</v>
      </c>
      <c r="EN225">
        <f>SUMIF('Как будет'!$A$35:$A$42,Доп.расчеты!$A225,'Как будет'!EO$35:EO$42)</f>
        <v>0</v>
      </c>
      <c r="EO225">
        <f>SUMIF('Как будет'!$A$35:$A$42,Доп.расчеты!$A225,'Как будет'!EP$35:EP$42)</f>
        <v>0</v>
      </c>
      <c r="EP225">
        <f>SUMIF('Как будет'!$A$35:$A$42,Доп.расчеты!$A225,'Как будет'!EQ$35:EQ$42)</f>
        <v>0</v>
      </c>
      <c r="EQ225">
        <f>SUMIF('Как будет'!$A$35:$A$42,Доп.расчеты!$A225,'Как будет'!ER$35:ER$42)</f>
        <v>0</v>
      </c>
      <c r="ER225">
        <f>SUMIF('Как будет'!$A$35:$A$42,Доп.расчеты!$A225,'Как будет'!ES$35:ES$42)</f>
        <v>0</v>
      </c>
      <c r="ES225">
        <f>SUMIF('Как будет'!$A$35:$A$42,Доп.расчеты!$A225,'Как будет'!ET$35:ET$42)</f>
        <v>0</v>
      </c>
      <c r="ET225">
        <f>SUMIF('Как будет'!$A$35:$A$42,Доп.расчеты!$A225,'Как будет'!EU$35:EU$42)</f>
        <v>0</v>
      </c>
      <c r="EU225">
        <f>SUMIF('Как будет'!$A$35:$A$42,Доп.расчеты!$A225,'Как будет'!EV$35:EV$42)</f>
        <v>0</v>
      </c>
      <c r="EV225">
        <f>SUMIF('Как будет'!$A$35:$A$42,Доп.расчеты!$A225,'Как будет'!EW$35:EW$42)</f>
        <v>0</v>
      </c>
      <c r="EW225">
        <f>SUMIF('Как будет'!$A$35:$A$42,Доп.расчеты!$A225,'Как будет'!EX$35:EX$42)</f>
        <v>0</v>
      </c>
      <c r="EX225">
        <f>SUMIF('Как будет'!$A$35:$A$42,Доп.расчеты!$A225,'Как будет'!EY$35:EY$42)</f>
        <v>0</v>
      </c>
      <c r="EY225">
        <f>SUMIF('Как будет'!$A$35:$A$42,Доп.расчеты!$A225,'Как будет'!EZ$35:EZ$42)</f>
        <v>0</v>
      </c>
      <c r="EZ225">
        <f>SUMIF('Как будет'!$A$35:$A$42,Доп.расчеты!$A225,'Как будет'!FA$35:FA$42)</f>
        <v>0</v>
      </c>
      <c r="FA225">
        <f>SUMIF('Как будет'!$A$35:$A$42,Доп.расчеты!$A225,'Как будет'!FB$35:FB$42)</f>
        <v>0</v>
      </c>
      <c r="FB225">
        <f>SUMIF('Как будет'!$A$35:$A$42,Доп.расчеты!$A225,'Как будет'!FC$35:FC$42)</f>
        <v>0</v>
      </c>
      <c r="FC225">
        <f>SUMIF('Как будет'!$A$35:$A$42,Доп.расчеты!$A225,'Как будет'!FD$35:FD$42)</f>
        <v>0</v>
      </c>
      <c r="FD225">
        <f>SUMIF('Как будет'!$A$35:$A$42,Доп.расчеты!$A225,'Как будет'!FE$35:FE$42)</f>
        <v>0</v>
      </c>
      <c r="FE225">
        <f>SUMIF('Как будет'!$A$35:$A$42,Доп.расчеты!$A225,'Как будет'!FF$35:FF$42)</f>
        <v>0</v>
      </c>
      <c r="FF225">
        <f>SUMIF('Как будет'!$A$35:$A$42,Доп.расчеты!$A225,'Как будет'!FG$35:FG$42)</f>
        <v>0</v>
      </c>
      <c r="FG225">
        <f>SUMIF('Как будет'!$A$35:$A$42,Доп.расчеты!$A225,'Как будет'!FH$35:FH$42)</f>
        <v>0</v>
      </c>
      <c r="FH225">
        <f>SUMIF('Как будет'!$A$35:$A$42,Доп.расчеты!$A225,'Как будет'!FI$35:FI$42)</f>
        <v>0</v>
      </c>
      <c r="FI225">
        <f>SUMIF('Как будет'!$A$35:$A$42,Доп.расчеты!$A225,'Как будет'!FJ$35:FJ$42)</f>
        <v>0</v>
      </c>
      <c r="FJ225">
        <f>SUMIF('Как будет'!$A$35:$A$42,Доп.расчеты!$A225,'Как будет'!FK$35:FK$42)</f>
        <v>0</v>
      </c>
      <c r="FK225">
        <f>SUMIF('Как будет'!$A$35:$A$42,Доп.расчеты!$A225,'Как будет'!FL$35:FL$42)</f>
        <v>0</v>
      </c>
      <c r="FL225">
        <f>SUMIF('Как будет'!$A$35:$A$42,Доп.расчеты!$A225,'Как будет'!FM$35:FM$42)</f>
        <v>0</v>
      </c>
      <c r="FM225">
        <f>SUMIF('Как будет'!$A$35:$A$42,Доп.расчеты!$A225,'Как будет'!FN$35:FN$42)</f>
        <v>0</v>
      </c>
      <c r="FN225">
        <f>SUMIF('Как будет'!$A$35:$A$42,Доп.расчеты!$A225,'Как будет'!FO$35:FO$42)</f>
        <v>0</v>
      </c>
      <c r="FO225">
        <f>SUMIF('Как будет'!$A$35:$A$42,Доп.расчеты!$A225,'Как будет'!FP$35:FP$42)</f>
        <v>0</v>
      </c>
      <c r="FP225">
        <f>SUMIF('Как будет'!$A$35:$A$42,Доп.расчеты!$A225,'Как будет'!FQ$35:FQ$42)</f>
        <v>0</v>
      </c>
      <c r="FQ225">
        <f>SUMIF('Как будет'!$A$35:$A$42,Доп.расчеты!$A225,'Как будет'!FR$35:FR$42)</f>
        <v>0</v>
      </c>
      <c r="FR225">
        <f>SUMIF('Как будет'!$A$35:$A$42,Доп.расчеты!$A225,'Как будет'!FS$35:FS$42)</f>
        <v>0</v>
      </c>
      <c r="FS225">
        <f>SUMIF('Как будет'!$A$35:$A$42,Доп.расчеты!$A225,'Как будет'!FT$35:FT$42)</f>
        <v>0</v>
      </c>
      <c r="FT225">
        <f>SUMIF('Как будет'!$A$35:$A$42,Доп.расчеты!$A225,'Как будет'!FU$35:FU$42)</f>
        <v>0</v>
      </c>
      <c r="FU225">
        <f>SUMIF('Как будет'!$A$35:$A$42,Доп.расчеты!$A225,'Как будет'!FV$35:FV$42)</f>
        <v>0</v>
      </c>
      <c r="FV225">
        <f>SUMIF('Как будет'!$A$35:$A$42,Доп.расчеты!$A225,'Как будет'!FW$35:FW$42)</f>
        <v>0</v>
      </c>
      <c r="FW225">
        <f>SUMIF('Как будет'!$A$35:$A$42,Доп.расчеты!$A225,'Как будет'!FX$35:FX$42)</f>
        <v>0</v>
      </c>
      <c r="FX225">
        <f>SUMIF('Как будет'!$A$35:$A$42,Доп.расчеты!$A225,'Как будет'!FY$35:FY$42)</f>
        <v>0</v>
      </c>
      <c r="FY225">
        <f>SUMIF('Как будет'!$A$35:$A$42,Доп.расчеты!$A225,'Как будет'!FZ$35:FZ$42)</f>
        <v>0</v>
      </c>
      <c r="FZ225">
        <f>SUMIF('Как будет'!$A$35:$A$42,Доп.расчеты!$A225,'Как будет'!GA$35:GA$42)</f>
        <v>0</v>
      </c>
      <c r="GA225">
        <f>SUMIF('Как будет'!$A$35:$A$42,Доп.расчеты!$A225,'Как будет'!GB$35:GB$42)</f>
        <v>0</v>
      </c>
      <c r="GB225">
        <f>SUMIF('Как будет'!$A$35:$A$42,Доп.расчеты!$A225,'Как будет'!GC$35:GC$42)</f>
        <v>0</v>
      </c>
      <c r="GC225">
        <f>SUMIF('Как будет'!$A$35:$A$42,Доп.расчеты!$A225,'Как будет'!GD$35:GD$42)</f>
        <v>0</v>
      </c>
      <c r="GD225">
        <f>SUMIF('Как будет'!$A$35:$A$42,Доп.расчеты!$A225,'Как будет'!GE$35:GE$42)</f>
        <v>0</v>
      </c>
      <c r="GE225">
        <f>SUMIF('Как будет'!$A$35:$A$42,Доп.расчеты!$A225,'Как будет'!GF$35:GF$42)</f>
        <v>0</v>
      </c>
      <c r="GF225">
        <f>SUMIF('Как будет'!$A$35:$A$42,Доп.расчеты!$A225,'Как будет'!GG$35:GG$42)</f>
        <v>0</v>
      </c>
      <c r="GG225">
        <f>SUMIF('Как будет'!$A$35:$A$42,Доп.расчеты!$A225,'Как будет'!GH$35:GH$42)</f>
        <v>0</v>
      </c>
      <c r="GH225">
        <f>SUMIF('Как будет'!$A$35:$A$42,Доп.расчеты!$A225,'Как будет'!GI$35:GI$42)</f>
        <v>0</v>
      </c>
      <c r="GI225">
        <f>SUMIF('Как будет'!$A$35:$A$42,Доп.расчеты!$A225,'Как будет'!GJ$35:GJ$42)</f>
        <v>0</v>
      </c>
      <c r="GJ225">
        <f>SUMIF('Как будет'!$A$35:$A$42,Доп.расчеты!$A225,'Как будет'!GK$35:GK$42)</f>
        <v>0</v>
      </c>
      <c r="GK225">
        <f>SUMIF('Как будет'!$A$35:$A$42,Доп.расчеты!$A225,'Как будет'!GL$35:GL$42)</f>
        <v>0</v>
      </c>
      <c r="GL225">
        <f>SUMIF('Как будет'!$A$35:$A$42,Доп.расчеты!$A225,'Как будет'!GM$35:GM$42)</f>
        <v>0</v>
      </c>
      <c r="GM225">
        <f>SUMIF('Как будет'!$A$35:$A$42,Доп.расчеты!$A225,'Как будет'!GN$35:GN$42)</f>
        <v>0</v>
      </c>
      <c r="GN225">
        <f>SUMIF('Как будет'!$A$35:$A$42,Доп.расчеты!$A225,'Как будет'!GO$35:GO$42)</f>
        <v>0</v>
      </c>
      <c r="GO225">
        <f>SUMIF('Как будет'!$A$35:$A$42,Доп.расчеты!$A225,'Как будет'!GP$35:GP$42)</f>
        <v>0</v>
      </c>
      <c r="GP225">
        <f>SUMIF('Как будет'!$A$35:$A$42,Доп.расчеты!$A225,'Как будет'!GQ$35:GQ$42)</f>
        <v>0</v>
      </c>
      <c r="GQ225">
        <f>SUMIF('Как будет'!$A$35:$A$42,Доп.расчеты!$A225,'Как будет'!GR$35:GR$42)</f>
        <v>0</v>
      </c>
      <c r="GR225">
        <f>SUMIF('Как будет'!$A$35:$A$42,Доп.расчеты!$A225,'Как будет'!GS$35:GS$42)</f>
        <v>0</v>
      </c>
      <c r="GS225">
        <f>SUMIF('Как будет'!$A$35:$A$42,Доп.расчеты!$A225,'Как будет'!GT$35:GT$42)</f>
        <v>0</v>
      </c>
      <c r="GT225">
        <f>SUMIF('Как будет'!$A$35:$A$42,Доп.расчеты!$A225,'Как будет'!GU$35:GU$42)</f>
        <v>0</v>
      </c>
    </row>
    <row r="226" spans="1:202">
      <c r="A226" s="238" t="s">
        <v>115</v>
      </c>
      <c r="B226">
        <f>SUMIF('Как будет'!$A$35:$A$42,Доп.расчеты!$A226,'Как будет'!C$35:C$42)</f>
        <v>0</v>
      </c>
      <c r="C226">
        <f>SUMIF('Как будет'!$A$35:$A$42,Доп.расчеты!$A226,'Как будет'!D$35:D$42)</f>
        <v>0</v>
      </c>
      <c r="D226">
        <f>SUMIF('Как будет'!$A$35:$A$42,Доп.расчеты!$A226,'Как будет'!E$35:E$42)</f>
        <v>0</v>
      </c>
      <c r="E226">
        <f>SUMIF('Как будет'!$A$35:$A$42,Доп.расчеты!$A226,'Как будет'!F$35:F$42)</f>
        <v>0</v>
      </c>
      <c r="F226">
        <f>SUMIF('Как будет'!$A$35:$A$42,Доп.расчеты!$A226,'Как будет'!G$35:G$42)</f>
        <v>0</v>
      </c>
      <c r="G226">
        <f>SUMIF('Как будет'!$A$35:$A$42,Доп.расчеты!$A226,'Как будет'!H$35:H$42)</f>
        <v>0</v>
      </c>
      <c r="H226">
        <f>SUMIF('Как будет'!$A$35:$A$42,Доп.расчеты!$A226,'Как будет'!I$35:I$42)</f>
        <v>0</v>
      </c>
      <c r="I226">
        <f>SUMIF('Как будет'!$A$35:$A$42,Доп.расчеты!$A226,'Как будет'!J$35:J$42)</f>
        <v>0</v>
      </c>
      <c r="J226">
        <f>SUMIF('Как будет'!$A$35:$A$42,Доп.расчеты!$A226,'Как будет'!K$35:K$42)</f>
        <v>0</v>
      </c>
      <c r="K226">
        <f>SUMIF('Как будет'!$A$35:$A$42,Доп.расчеты!$A226,'Как будет'!L$35:L$42)</f>
        <v>0</v>
      </c>
      <c r="L226">
        <f>SUMIF('Как будет'!$A$35:$A$42,Доп.расчеты!$A226,'Как будет'!M$35:M$42)</f>
        <v>0</v>
      </c>
      <c r="M226">
        <f>SUMIF('Как будет'!$A$35:$A$42,Доп.расчеты!$A226,'Как будет'!N$35:N$42)</f>
        <v>0</v>
      </c>
      <c r="N226">
        <f>SUMIF('Как будет'!$A$35:$A$42,Доп.расчеты!$A226,'Как будет'!O$35:O$42)</f>
        <v>0</v>
      </c>
      <c r="O226">
        <f>SUMIF('Как будет'!$A$35:$A$42,Доп.расчеты!$A226,'Как будет'!P$35:P$42)</f>
        <v>0</v>
      </c>
      <c r="P226">
        <f>SUMIF('Как будет'!$A$35:$A$42,Доп.расчеты!$A226,'Как будет'!Q$35:Q$42)</f>
        <v>0</v>
      </c>
      <c r="Q226">
        <f>SUMIF('Как будет'!$A$35:$A$42,Доп.расчеты!$A226,'Как будет'!R$35:R$42)</f>
        <v>0</v>
      </c>
      <c r="R226">
        <f>SUMIF('Как будет'!$A$35:$A$42,Доп.расчеты!$A226,'Как будет'!S$35:S$42)</f>
        <v>0</v>
      </c>
      <c r="S226">
        <f>SUMIF('Как будет'!$A$35:$A$42,Доп.расчеты!$A226,'Как будет'!T$35:T$42)</f>
        <v>0</v>
      </c>
      <c r="T226">
        <f>SUMIF('Как будет'!$A$35:$A$42,Доп.расчеты!$A226,'Как будет'!U$35:U$42)</f>
        <v>0</v>
      </c>
      <c r="U226">
        <f>SUMIF('Как будет'!$A$35:$A$42,Доп.расчеты!$A226,'Как будет'!V$35:V$42)</f>
        <v>0</v>
      </c>
      <c r="V226">
        <f>SUMIF('Как будет'!$A$35:$A$42,Доп.расчеты!$A226,'Как будет'!W$35:W$42)</f>
        <v>0</v>
      </c>
      <c r="W226">
        <f>SUMIF('Как будет'!$A$35:$A$42,Доп.расчеты!$A226,'Как будет'!X$35:X$42)</f>
        <v>0</v>
      </c>
      <c r="X226">
        <f>SUMIF('Как будет'!$A$35:$A$42,Доп.расчеты!$A226,'Как будет'!Y$35:Y$42)</f>
        <v>0</v>
      </c>
      <c r="Y226">
        <f>SUMIF('Как будет'!$A$35:$A$42,Доп.расчеты!$A226,'Как будет'!Z$35:Z$42)</f>
        <v>0</v>
      </c>
      <c r="Z226">
        <f>SUMIF('Как будет'!$A$35:$A$42,Доп.расчеты!$A226,'Как будет'!AA$35:AA$42)</f>
        <v>0</v>
      </c>
      <c r="AA226">
        <f>SUMIF('Как будет'!$A$35:$A$42,Доп.расчеты!$A226,'Как будет'!AB$35:AB$42)</f>
        <v>0</v>
      </c>
      <c r="AB226">
        <f>SUMIF('Как будет'!$A$35:$A$42,Доп.расчеты!$A226,'Как будет'!AC$35:AC$42)</f>
        <v>0</v>
      </c>
      <c r="AC226">
        <f>SUMIF('Как будет'!$A$35:$A$42,Доп.расчеты!$A226,'Как будет'!AD$35:AD$42)</f>
        <v>0</v>
      </c>
      <c r="AD226">
        <f>SUMIF('Как будет'!$A$35:$A$42,Доп.расчеты!$A226,'Как будет'!AE$35:AE$42)</f>
        <v>0</v>
      </c>
      <c r="AE226">
        <f>SUMIF('Как будет'!$A$35:$A$42,Доп.расчеты!$A226,'Как будет'!AF$35:AF$42)</f>
        <v>0</v>
      </c>
      <c r="AF226">
        <f>SUMIF('Как будет'!$A$35:$A$42,Доп.расчеты!$A226,'Как будет'!AG$35:AG$42)</f>
        <v>0</v>
      </c>
      <c r="AG226">
        <f>SUMIF('Как будет'!$A$35:$A$42,Доп.расчеты!$A226,'Как будет'!AH$35:AH$42)</f>
        <v>0</v>
      </c>
      <c r="AH226">
        <f>SUMIF('Как будет'!$A$35:$A$42,Доп.расчеты!$A226,'Как будет'!AI$35:AI$42)</f>
        <v>0</v>
      </c>
      <c r="AI226">
        <f>SUMIF('Как будет'!$A$35:$A$42,Доп.расчеты!$A226,'Как будет'!AJ$35:AJ$42)</f>
        <v>0</v>
      </c>
      <c r="AJ226">
        <f>SUMIF('Как будет'!$A$35:$A$42,Доп.расчеты!$A226,'Как будет'!AK$35:AK$42)</f>
        <v>0</v>
      </c>
      <c r="AK226">
        <f>SUMIF('Как будет'!$A$35:$A$42,Доп.расчеты!$A226,'Как будет'!AL$35:AL$42)</f>
        <v>0</v>
      </c>
      <c r="AL226">
        <f>SUMIF('Как будет'!$A$35:$A$42,Доп.расчеты!$A226,'Как будет'!AM$35:AM$42)</f>
        <v>0</v>
      </c>
      <c r="AM226">
        <f>SUMIF('Как будет'!$A$35:$A$42,Доп.расчеты!$A226,'Как будет'!AN$35:AN$42)</f>
        <v>0</v>
      </c>
      <c r="AN226">
        <f>SUMIF('Как будет'!$A$35:$A$42,Доп.расчеты!$A226,'Как будет'!AO$35:AO$42)</f>
        <v>0</v>
      </c>
      <c r="AO226">
        <f>SUMIF('Как будет'!$A$35:$A$42,Доп.расчеты!$A226,'Как будет'!AP$35:AP$42)</f>
        <v>0</v>
      </c>
      <c r="AP226">
        <f>SUMIF('Как будет'!$A$35:$A$42,Доп.расчеты!$A226,'Как будет'!AQ$35:AQ$42)</f>
        <v>0</v>
      </c>
      <c r="AQ226">
        <f>SUMIF('Как будет'!$A$35:$A$42,Доп.расчеты!$A226,'Как будет'!AR$35:AR$42)</f>
        <v>0</v>
      </c>
      <c r="AR226">
        <f>SUMIF('Как будет'!$A$35:$A$42,Доп.расчеты!$A226,'Как будет'!AS$35:AS$42)</f>
        <v>0</v>
      </c>
      <c r="AS226">
        <f>SUMIF('Как будет'!$A$35:$A$42,Доп.расчеты!$A226,'Как будет'!AT$35:AT$42)</f>
        <v>0</v>
      </c>
      <c r="AT226">
        <f>SUMIF('Как будет'!$A$35:$A$42,Доп.расчеты!$A226,'Как будет'!AU$35:AU$42)</f>
        <v>0</v>
      </c>
      <c r="AU226">
        <f>SUMIF('Как будет'!$A$35:$A$42,Доп.расчеты!$A226,'Как будет'!AV$35:AV$42)</f>
        <v>0</v>
      </c>
      <c r="AV226">
        <f>SUMIF('Как будет'!$A$35:$A$42,Доп.расчеты!$A226,'Как будет'!AW$35:AW$42)</f>
        <v>0</v>
      </c>
      <c r="AW226">
        <f>SUMIF('Как будет'!$A$35:$A$42,Доп.расчеты!$A226,'Как будет'!AX$35:AX$42)</f>
        <v>0</v>
      </c>
      <c r="AX226">
        <f>SUMIF('Как будет'!$A$35:$A$42,Доп.расчеты!$A226,'Как будет'!AY$35:AY$42)</f>
        <v>0</v>
      </c>
      <c r="AY226">
        <f>SUMIF('Как будет'!$A$35:$A$42,Доп.расчеты!$A226,'Как будет'!AZ$35:AZ$42)</f>
        <v>0</v>
      </c>
      <c r="AZ226">
        <f>SUMIF('Как будет'!$A$35:$A$42,Доп.расчеты!$A226,'Как будет'!BA$35:BA$42)</f>
        <v>0</v>
      </c>
      <c r="BA226">
        <f>SUMIF('Как будет'!$A$35:$A$42,Доп.расчеты!$A226,'Как будет'!BB$35:BB$42)</f>
        <v>0</v>
      </c>
      <c r="BB226">
        <f>SUMIF('Как будет'!$A$35:$A$42,Доп.расчеты!$A226,'Как будет'!BC$35:BC$42)</f>
        <v>0</v>
      </c>
      <c r="BC226">
        <f>SUMIF('Как будет'!$A$35:$A$42,Доп.расчеты!$A226,'Как будет'!BD$35:BD$42)</f>
        <v>0</v>
      </c>
      <c r="BD226">
        <f>SUMIF('Как будет'!$A$35:$A$42,Доп.расчеты!$A226,'Как будет'!BE$35:BE$42)</f>
        <v>0</v>
      </c>
      <c r="BE226">
        <f>SUMIF('Как будет'!$A$35:$A$42,Доп.расчеты!$A226,'Как будет'!BF$35:BF$42)</f>
        <v>0</v>
      </c>
      <c r="BF226">
        <f>SUMIF('Как будет'!$A$35:$A$42,Доп.расчеты!$A226,'Как будет'!BG$35:BG$42)</f>
        <v>0</v>
      </c>
      <c r="BG226">
        <f>SUMIF('Как будет'!$A$35:$A$42,Доп.расчеты!$A226,'Как будет'!BH$35:BH$42)</f>
        <v>0</v>
      </c>
      <c r="BH226">
        <f>SUMIF('Как будет'!$A$35:$A$42,Доп.расчеты!$A226,'Как будет'!BI$35:BI$42)</f>
        <v>0</v>
      </c>
      <c r="BI226">
        <f>SUMIF('Как будет'!$A$35:$A$42,Доп.расчеты!$A226,'Как будет'!BJ$35:BJ$42)</f>
        <v>0</v>
      </c>
      <c r="BJ226">
        <f>SUMIF('Как будет'!$A$35:$A$42,Доп.расчеты!$A226,'Как будет'!BK$35:BK$42)</f>
        <v>0</v>
      </c>
      <c r="BK226">
        <f>SUMIF('Как будет'!$A$35:$A$42,Доп.расчеты!$A226,'Как будет'!BL$35:BL$42)</f>
        <v>0</v>
      </c>
      <c r="BL226">
        <f>SUMIF('Как будет'!$A$35:$A$42,Доп.расчеты!$A226,'Как будет'!BM$35:BM$42)</f>
        <v>0</v>
      </c>
      <c r="BM226">
        <f>SUMIF('Как будет'!$A$35:$A$42,Доп.расчеты!$A226,'Как будет'!BN$35:BN$42)</f>
        <v>0</v>
      </c>
      <c r="BN226">
        <f>SUMIF('Как будет'!$A$35:$A$42,Доп.расчеты!$A226,'Как будет'!BO$35:BO$42)</f>
        <v>0</v>
      </c>
      <c r="BO226">
        <f>SUMIF('Как будет'!$A$35:$A$42,Доп.расчеты!$A226,'Как будет'!BP$35:BP$42)</f>
        <v>0</v>
      </c>
      <c r="BP226">
        <f>SUMIF('Как будет'!$A$35:$A$42,Доп.расчеты!$A226,'Как будет'!BQ$35:BQ$42)</f>
        <v>0</v>
      </c>
      <c r="BQ226">
        <f>SUMIF('Как будет'!$A$35:$A$42,Доп.расчеты!$A226,'Как будет'!BR$35:BR$42)</f>
        <v>0</v>
      </c>
      <c r="BR226">
        <f>SUMIF('Как будет'!$A$35:$A$42,Доп.расчеты!$A226,'Как будет'!BS$35:BS$42)</f>
        <v>0</v>
      </c>
      <c r="BS226">
        <f>SUMIF('Как будет'!$A$35:$A$42,Доп.расчеты!$A226,'Как будет'!BT$35:BT$42)</f>
        <v>0</v>
      </c>
      <c r="BT226">
        <f>SUMIF('Как будет'!$A$35:$A$42,Доп.расчеты!$A226,'Как будет'!BU$35:BU$42)</f>
        <v>0</v>
      </c>
      <c r="BU226">
        <f>SUMIF('Как будет'!$A$35:$A$42,Доп.расчеты!$A226,'Как будет'!BV$35:BV$42)</f>
        <v>0</v>
      </c>
      <c r="BV226">
        <f>SUMIF('Как будет'!$A$35:$A$42,Доп.расчеты!$A226,'Как будет'!BW$35:BW$42)</f>
        <v>0</v>
      </c>
      <c r="BW226">
        <f>SUMIF('Как будет'!$A$35:$A$42,Доп.расчеты!$A226,'Как будет'!BX$35:BX$42)</f>
        <v>0</v>
      </c>
      <c r="BX226">
        <f>SUMIF('Как будет'!$A$35:$A$42,Доп.расчеты!$A226,'Как будет'!BY$35:BY$42)</f>
        <v>0</v>
      </c>
      <c r="BY226">
        <f>SUMIF('Как будет'!$A$35:$A$42,Доп.расчеты!$A226,'Как будет'!BZ$35:BZ$42)</f>
        <v>0</v>
      </c>
      <c r="BZ226">
        <f>SUMIF('Как будет'!$A$35:$A$42,Доп.расчеты!$A226,'Как будет'!CA$35:CA$42)</f>
        <v>0</v>
      </c>
      <c r="CA226">
        <f>SUMIF('Как будет'!$A$35:$A$42,Доп.расчеты!$A226,'Как будет'!CB$35:CB$42)</f>
        <v>0</v>
      </c>
      <c r="CB226">
        <f>SUMIF('Как будет'!$A$35:$A$42,Доп.расчеты!$A226,'Как будет'!CC$35:CC$42)</f>
        <v>0</v>
      </c>
      <c r="CC226">
        <f>SUMIF('Как будет'!$A$35:$A$42,Доп.расчеты!$A226,'Как будет'!CD$35:CD$42)</f>
        <v>0</v>
      </c>
      <c r="CD226">
        <f>SUMIF('Как будет'!$A$35:$A$42,Доп.расчеты!$A226,'Как будет'!CE$35:CE$42)</f>
        <v>0</v>
      </c>
      <c r="CE226">
        <f>SUMIF('Как будет'!$A$35:$A$42,Доп.расчеты!$A226,'Как будет'!CF$35:CF$42)</f>
        <v>0</v>
      </c>
      <c r="CF226">
        <f>SUMIF('Как будет'!$A$35:$A$42,Доп.расчеты!$A226,'Как будет'!CG$35:CG$42)</f>
        <v>0</v>
      </c>
      <c r="CG226">
        <f>SUMIF('Как будет'!$A$35:$A$42,Доп.расчеты!$A226,'Как будет'!CH$35:CH$42)</f>
        <v>0</v>
      </c>
      <c r="CH226">
        <f>SUMIF('Как будет'!$A$35:$A$42,Доп.расчеты!$A226,'Как будет'!CI$35:CI$42)</f>
        <v>0</v>
      </c>
      <c r="CI226">
        <f>SUMIF('Как будет'!$A$35:$A$42,Доп.расчеты!$A226,'Как будет'!CJ$35:CJ$42)</f>
        <v>0</v>
      </c>
      <c r="CJ226">
        <f>SUMIF('Как будет'!$A$35:$A$42,Доп.расчеты!$A226,'Как будет'!CK$35:CK$42)</f>
        <v>0</v>
      </c>
      <c r="CK226">
        <f>SUMIF('Как будет'!$A$35:$A$42,Доп.расчеты!$A226,'Как будет'!CL$35:CL$42)</f>
        <v>0</v>
      </c>
      <c r="CL226">
        <f>SUMIF('Как будет'!$A$35:$A$42,Доп.расчеты!$A226,'Как будет'!CM$35:CM$42)</f>
        <v>0</v>
      </c>
      <c r="CM226">
        <f>SUMIF('Как будет'!$A$35:$A$42,Доп.расчеты!$A226,'Как будет'!CN$35:CN$42)</f>
        <v>0</v>
      </c>
      <c r="CN226">
        <f>SUMIF('Как будет'!$A$35:$A$42,Доп.расчеты!$A226,'Как будет'!CO$35:CO$42)</f>
        <v>0</v>
      </c>
      <c r="CO226">
        <f>SUMIF('Как будет'!$A$35:$A$42,Доп.расчеты!$A226,'Как будет'!CP$35:CP$42)</f>
        <v>0</v>
      </c>
      <c r="CP226">
        <f>SUMIF('Как будет'!$A$35:$A$42,Доп.расчеты!$A226,'Как будет'!CQ$35:CQ$42)</f>
        <v>0</v>
      </c>
      <c r="CQ226">
        <f>SUMIF('Как будет'!$A$35:$A$42,Доп.расчеты!$A226,'Как будет'!CR$35:CR$42)</f>
        <v>0</v>
      </c>
      <c r="CR226">
        <f>SUMIF('Как будет'!$A$35:$A$42,Доп.расчеты!$A226,'Как будет'!CS$35:CS$42)</f>
        <v>0</v>
      </c>
      <c r="CS226">
        <f>SUMIF('Как будет'!$A$35:$A$42,Доп.расчеты!$A226,'Как будет'!CT$35:CT$42)</f>
        <v>0</v>
      </c>
      <c r="CT226">
        <f>SUMIF('Как будет'!$A$35:$A$42,Доп.расчеты!$A226,'Как будет'!CU$35:CU$42)</f>
        <v>0</v>
      </c>
      <c r="CU226">
        <f>SUMIF('Как будет'!$A$35:$A$42,Доп.расчеты!$A226,'Как будет'!CV$35:CV$42)</f>
        <v>0</v>
      </c>
      <c r="CV226">
        <f>SUMIF('Как будет'!$A$35:$A$42,Доп.расчеты!$A226,'Как будет'!CW$35:CW$42)</f>
        <v>0</v>
      </c>
      <c r="CW226">
        <f>SUMIF('Как будет'!$A$35:$A$42,Доп.расчеты!$A226,'Как будет'!CX$35:CX$42)</f>
        <v>0</v>
      </c>
      <c r="CX226">
        <f>SUMIF('Как будет'!$A$35:$A$42,Доп.расчеты!$A226,'Как будет'!CY$35:CY$42)</f>
        <v>0</v>
      </c>
      <c r="CY226">
        <f>SUMIF('Как будет'!$A$35:$A$42,Доп.расчеты!$A226,'Как будет'!CZ$35:CZ$42)</f>
        <v>0</v>
      </c>
      <c r="CZ226">
        <f>SUMIF('Как будет'!$A$35:$A$42,Доп.расчеты!$A226,'Как будет'!DA$35:DA$42)</f>
        <v>0</v>
      </c>
      <c r="DA226">
        <f>SUMIF('Как будет'!$A$35:$A$42,Доп.расчеты!$A226,'Как будет'!DB$35:DB$42)</f>
        <v>0</v>
      </c>
      <c r="DB226">
        <f>SUMIF('Как будет'!$A$35:$A$42,Доп.расчеты!$A226,'Как будет'!DC$35:DC$42)</f>
        <v>0</v>
      </c>
      <c r="DC226">
        <f>SUMIF('Как будет'!$A$35:$A$42,Доп.расчеты!$A226,'Как будет'!DD$35:DD$42)</f>
        <v>0</v>
      </c>
      <c r="DD226">
        <f>SUMIF('Как будет'!$A$35:$A$42,Доп.расчеты!$A226,'Как будет'!DE$35:DE$42)</f>
        <v>0</v>
      </c>
      <c r="DE226">
        <f>SUMIF('Как будет'!$A$35:$A$42,Доп.расчеты!$A226,'Как будет'!DF$35:DF$42)</f>
        <v>0</v>
      </c>
      <c r="DF226">
        <f>SUMIF('Как будет'!$A$35:$A$42,Доп.расчеты!$A226,'Как будет'!DG$35:DG$42)</f>
        <v>0</v>
      </c>
      <c r="DG226">
        <f>SUMIF('Как будет'!$A$35:$A$42,Доп.расчеты!$A226,'Как будет'!DH$35:DH$42)</f>
        <v>0</v>
      </c>
      <c r="DH226">
        <f>SUMIF('Как будет'!$A$35:$A$42,Доп.расчеты!$A226,'Как будет'!DI$35:DI$42)</f>
        <v>0</v>
      </c>
      <c r="DI226">
        <f>SUMIF('Как будет'!$A$35:$A$42,Доп.расчеты!$A226,'Как будет'!DJ$35:DJ$42)</f>
        <v>0</v>
      </c>
      <c r="DJ226">
        <f>SUMIF('Как будет'!$A$35:$A$42,Доп.расчеты!$A226,'Как будет'!DK$35:DK$42)</f>
        <v>0</v>
      </c>
      <c r="DK226">
        <f>SUMIF('Как будет'!$A$35:$A$42,Доп.расчеты!$A226,'Как будет'!DL$35:DL$42)</f>
        <v>0</v>
      </c>
      <c r="DL226">
        <f>SUMIF('Как будет'!$A$35:$A$42,Доп.расчеты!$A226,'Как будет'!DM$35:DM$42)</f>
        <v>0</v>
      </c>
      <c r="DM226">
        <f>SUMIF('Как будет'!$A$35:$A$42,Доп.расчеты!$A226,'Как будет'!DN$35:DN$42)</f>
        <v>0</v>
      </c>
      <c r="DN226">
        <f>SUMIF('Как будет'!$A$35:$A$42,Доп.расчеты!$A226,'Как будет'!DO$35:DO$42)</f>
        <v>0</v>
      </c>
      <c r="DO226">
        <f>SUMIF('Как будет'!$A$35:$A$42,Доп.расчеты!$A226,'Как будет'!DP$35:DP$42)</f>
        <v>0</v>
      </c>
      <c r="DP226">
        <f>SUMIF('Как будет'!$A$35:$A$42,Доп.расчеты!$A226,'Как будет'!DQ$35:DQ$42)</f>
        <v>0</v>
      </c>
      <c r="DQ226">
        <f>SUMIF('Как будет'!$A$35:$A$42,Доп.расчеты!$A226,'Как будет'!DR$35:DR$42)</f>
        <v>0</v>
      </c>
      <c r="DR226">
        <f>SUMIF('Как будет'!$A$35:$A$42,Доп.расчеты!$A226,'Как будет'!DS$35:DS$42)</f>
        <v>0</v>
      </c>
      <c r="DS226">
        <f>SUMIF('Как будет'!$A$35:$A$42,Доп.расчеты!$A226,'Как будет'!DT$35:DT$42)</f>
        <v>0</v>
      </c>
      <c r="DT226">
        <f>SUMIF('Как будет'!$A$35:$A$42,Доп.расчеты!$A226,'Как будет'!DU$35:DU$42)</f>
        <v>0</v>
      </c>
      <c r="DU226">
        <f>SUMIF('Как будет'!$A$35:$A$42,Доп.расчеты!$A226,'Как будет'!DV$35:DV$42)</f>
        <v>0</v>
      </c>
      <c r="DV226">
        <f>SUMIF('Как будет'!$A$35:$A$42,Доп.расчеты!$A226,'Как будет'!DW$35:DW$42)</f>
        <v>0</v>
      </c>
      <c r="DW226">
        <f>SUMIF('Как будет'!$A$35:$A$42,Доп.расчеты!$A226,'Как будет'!DX$35:DX$42)</f>
        <v>0</v>
      </c>
      <c r="DX226">
        <f>SUMIF('Как будет'!$A$35:$A$42,Доп.расчеты!$A226,'Как будет'!DY$35:DY$42)</f>
        <v>0</v>
      </c>
      <c r="DY226">
        <f>SUMIF('Как будет'!$A$35:$A$42,Доп.расчеты!$A226,'Как будет'!DZ$35:DZ$42)</f>
        <v>0</v>
      </c>
      <c r="DZ226">
        <f>SUMIF('Как будет'!$A$35:$A$42,Доп.расчеты!$A226,'Как будет'!EA$35:EA$42)</f>
        <v>0</v>
      </c>
      <c r="EA226">
        <f>SUMIF('Как будет'!$A$35:$A$42,Доп.расчеты!$A226,'Как будет'!EB$35:EB$42)</f>
        <v>0</v>
      </c>
      <c r="EB226">
        <f>SUMIF('Как будет'!$A$35:$A$42,Доп.расчеты!$A226,'Как будет'!EC$35:EC$42)</f>
        <v>0</v>
      </c>
      <c r="EC226">
        <f>SUMIF('Как будет'!$A$35:$A$42,Доп.расчеты!$A226,'Как будет'!ED$35:ED$42)</f>
        <v>0</v>
      </c>
      <c r="ED226">
        <f>SUMIF('Как будет'!$A$35:$A$42,Доп.расчеты!$A226,'Как будет'!EE$35:EE$42)</f>
        <v>0</v>
      </c>
      <c r="EE226">
        <f>SUMIF('Как будет'!$A$35:$A$42,Доп.расчеты!$A226,'Как будет'!EF$35:EF$42)</f>
        <v>0</v>
      </c>
      <c r="EF226">
        <f>SUMIF('Как будет'!$A$35:$A$42,Доп.расчеты!$A226,'Как будет'!EG$35:EG$42)</f>
        <v>0</v>
      </c>
      <c r="EG226">
        <f>SUMIF('Как будет'!$A$35:$A$42,Доп.расчеты!$A226,'Как будет'!EH$35:EH$42)</f>
        <v>0</v>
      </c>
      <c r="EH226">
        <f>SUMIF('Как будет'!$A$35:$A$42,Доп.расчеты!$A226,'Как будет'!EI$35:EI$42)</f>
        <v>0</v>
      </c>
      <c r="EI226">
        <f>SUMIF('Как будет'!$A$35:$A$42,Доп.расчеты!$A226,'Как будет'!EJ$35:EJ$42)</f>
        <v>0</v>
      </c>
      <c r="EJ226">
        <f>SUMIF('Как будет'!$A$35:$A$42,Доп.расчеты!$A226,'Как будет'!EK$35:EK$42)</f>
        <v>0</v>
      </c>
      <c r="EK226">
        <f>SUMIF('Как будет'!$A$35:$A$42,Доп.расчеты!$A226,'Как будет'!EL$35:EL$42)</f>
        <v>0</v>
      </c>
      <c r="EL226">
        <f>SUMIF('Как будет'!$A$35:$A$42,Доп.расчеты!$A226,'Как будет'!EM$35:EM$42)</f>
        <v>0</v>
      </c>
      <c r="EM226">
        <f>SUMIF('Как будет'!$A$35:$A$42,Доп.расчеты!$A226,'Как будет'!EN$35:EN$42)</f>
        <v>0</v>
      </c>
      <c r="EN226">
        <f>SUMIF('Как будет'!$A$35:$A$42,Доп.расчеты!$A226,'Как будет'!EO$35:EO$42)</f>
        <v>0</v>
      </c>
      <c r="EO226">
        <f>SUMIF('Как будет'!$A$35:$A$42,Доп.расчеты!$A226,'Как будет'!EP$35:EP$42)</f>
        <v>0</v>
      </c>
      <c r="EP226">
        <f>SUMIF('Как будет'!$A$35:$A$42,Доп.расчеты!$A226,'Как будет'!EQ$35:EQ$42)</f>
        <v>0</v>
      </c>
      <c r="EQ226">
        <f>SUMIF('Как будет'!$A$35:$A$42,Доп.расчеты!$A226,'Как будет'!ER$35:ER$42)</f>
        <v>0</v>
      </c>
      <c r="ER226">
        <f>SUMIF('Как будет'!$A$35:$A$42,Доп.расчеты!$A226,'Как будет'!ES$35:ES$42)</f>
        <v>0</v>
      </c>
      <c r="ES226">
        <f>SUMIF('Как будет'!$A$35:$A$42,Доп.расчеты!$A226,'Как будет'!ET$35:ET$42)</f>
        <v>0</v>
      </c>
      <c r="ET226">
        <f>SUMIF('Как будет'!$A$35:$A$42,Доп.расчеты!$A226,'Как будет'!EU$35:EU$42)</f>
        <v>0</v>
      </c>
      <c r="EU226">
        <f>SUMIF('Как будет'!$A$35:$A$42,Доп.расчеты!$A226,'Как будет'!EV$35:EV$42)</f>
        <v>0</v>
      </c>
      <c r="EV226">
        <f>SUMIF('Как будет'!$A$35:$A$42,Доп.расчеты!$A226,'Как будет'!EW$35:EW$42)</f>
        <v>0</v>
      </c>
      <c r="EW226">
        <f>SUMIF('Как будет'!$A$35:$A$42,Доп.расчеты!$A226,'Как будет'!EX$35:EX$42)</f>
        <v>0</v>
      </c>
      <c r="EX226">
        <f>SUMIF('Как будет'!$A$35:$A$42,Доп.расчеты!$A226,'Как будет'!EY$35:EY$42)</f>
        <v>0</v>
      </c>
      <c r="EY226">
        <f>SUMIF('Как будет'!$A$35:$A$42,Доп.расчеты!$A226,'Как будет'!EZ$35:EZ$42)</f>
        <v>0</v>
      </c>
      <c r="EZ226">
        <f>SUMIF('Как будет'!$A$35:$A$42,Доп.расчеты!$A226,'Как будет'!FA$35:FA$42)</f>
        <v>0</v>
      </c>
      <c r="FA226">
        <f>SUMIF('Как будет'!$A$35:$A$42,Доп.расчеты!$A226,'Как будет'!FB$35:FB$42)</f>
        <v>0</v>
      </c>
      <c r="FB226">
        <f>SUMIF('Как будет'!$A$35:$A$42,Доп.расчеты!$A226,'Как будет'!FC$35:FC$42)</f>
        <v>0</v>
      </c>
      <c r="FC226">
        <f>SUMIF('Как будет'!$A$35:$A$42,Доп.расчеты!$A226,'Как будет'!FD$35:FD$42)</f>
        <v>0</v>
      </c>
      <c r="FD226">
        <f>SUMIF('Как будет'!$A$35:$A$42,Доп.расчеты!$A226,'Как будет'!FE$35:FE$42)</f>
        <v>0</v>
      </c>
      <c r="FE226">
        <f>SUMIF('Как будет'!$A$35:$A$42,Доп.расчеты!$A226,'Как будет'!FF$35:FF$42)</f>
        <v>0</v>
      </c>
      <c r="FF226">
        <f>SUMIF('Как будет'!$A$35:$A$42,Доп.расчеты!$A226,'Как будет'!FG$35:FG$42)</f>
        <v>0</v>
      </c>
      <c r="FG226">
        <f>SUMIF('Как будет'!$A$35:$A$42,Доп.расчеты!$A226,'Как будет'!FH$35:FH$42)</f>
        <v>0</v>
      </c>
      <c r="FH226">
        <f>SUMIF('Как будет'!$A$35:$A$42,Доп.расчеты!$A226,'Как будет'!FI$35:FI$42)</f>
        <v>0</v>
      </c>
      <c r="FI226">
        <f>SUMIF('Как будет'!$A$35:$A$42,Доп.расчеты!$A226,'Как будет'!FJ$35:FJ$42)</f>
        <v>0</v>
      </c>
      <c r="FJ226">
        <f>SUMIF('Как будет'!$A$35:$A$42,Доп.расчеты!$A226,'Как будет'!FK$35:FK$42)</f>
        <v>0</v>
      </c>
      <c r="FK226">
        <f>SUMIF('Как будет'!$A$35:$A$42,Доп.расчеты!$A226,'Как будет'!FL$35:FL$42)</f>
        <v>0</v>
      </c>
      <c r="FL226">
        <f>SUMIF('Как будет'!$A$35:$A$42,Доп.расчеты!$A226,'Как будет'!FM$35:FM$42)</f>
        <v>0</v>
      </c>
      <c r="FM226">
        <f>SUMIF('Как будет'!$A$35:$A$42,Доп.расчеты!$A226,'Как будет'!FN$35:FN$42)</f>
        <v>0</v>
      </c>
      <c r="FN226">
        <f>SUMIF('Как будет'!$A$35:$A$42,Доп.расчеты!$A226,'Как будет'!FO$35:FO$42)</f>
        <v>0</v>
      </c>
      <c r="FO226">
        <f>SUMIF('Как будет'!$A$35:$A$42,Доп.расчеты!$A226,'Как будет'!FP$35:FP$42)</f>
        <v>0</v>
      </c>
      <c r="FP226">
        <f>SUMIF('Как будет'!$A$35:$A$42,Доп.расчеты!$A226,'Как будет'!FQ$35:FQ$42)</f>
        <v>0</v>
      </c>
      <c r="FQ226">
        <f>SUMIF('Как будет'!$A$35:$A$42,Доп.расчеты!$A226,'Как будет'!FR$35:FR$42)</f>
        <v>0</v>
      </c>
      <c r="FR226">
        <f>SUMIF('Как будет'!$A$35:$A$42,Доп.расчеты!$A226,'Как будет'!FS$35:FS$42)</f>
        <v>0</v>
      </c>
      <c r="FS226">
        <f>SUMIF('Как будет'!$A$35:$A$42,Доп.расчеты!$A226,'Как будет'!FT$35:FT$42)</f>
        <v>0</v>
      </c>
      <c r="FT226">
        <f>SUMIF('Как будет'!$A$35:$A$42,Доп.расчеты!$A226,'Как будет'!FU$35:FU$42)</f>
        <v>0</v>
      </c>
      <c r="FU226">
        <f>SUMIF('Как будет'!$A$35:$A$42,Доп.расчеты!$A226,'Как будет'!FV$35:FV$42)</f>
        <v>0</v>
      </c>
      <c r="FV226">
        <f>SUMIF('Как будет'!$A$35:$A$42,Доп.расчеты!$A226,'Как будет'!FW$35:FW$42)</f>
        <v>0</v>
      </c>
      <c r="FW226">
        <f>SUMIF('Как будет'!$A$35:$A$42,Доп.расчеты!$A226,'Как будет'!FX$35:FX$42)</f>
        <v>0</v>
      </c>
      <c r="FX226">
        <f>SUMIF('Как будет'!$A$35:$A$42,Доп.расчеты!$A226,'Как будет'!FY$35:FY$42)</f>
        <v>0</v>
      </c>
      <c r="FY226">
        <f>SUMIF('Как будет'!$A$35:$A$42,Доп.расчеты!$A226,'Как будет'!FZ$35:FZ$42)</f>
        <v>0</v>
      </c>
      <c r="FZ226">
        <f>SUMIF('Как будет'!$A$35:$A$42,Доп.расчеты!$A226,'Как будет'!GA$35:GA$42)</f>
        <v>0</v>
      </c>
      <c r="GA226">
        <f>SUMIF('Как будет'!$A$35:$A$42,Доп.расчеты!$A226,'Как будет'!GB$35:GB$42)</f>
        <v>0</v>
      </c>
      <c r="GB226">
        <f>SUMIF('Как будет'!$A$35:$A$42,Доп.расчеты!$A226,'Как будет'!GC$35:GC$42)</f>
        <v>0</v>
      </c>
      <c r="GC226">
        <f>SUMIF('Как будет'!$A$35:$A$42,Доп.расчеты!$A226,'Как будет'!GD$35:GD$42)</f>
        <v>0</v>
      </c>
      <c r="GD226">
        <f>SUMIF('Как будет'!$A$35:$A$42,Доп.расчеты!$A226,'Как будет'!GE$35:GE$42)</f>
        <v>0</v>
      </c>
      <c r="GE226">
        <f>SUMIF('Как будет'!$A$35:$A$42,Доп.расчеты!$A226,'Как будет'!GF$35:GF$42)</f>
        <v>0</v>
      </c>
      <c r="GF226">
        <f>SUMIF('Как будет'!$A$35:$A$42,Доп.расчеты!$A226,'Как будет'!GG$35:GG$42)</f>
        <v>0</v>
      </c>
      <c r="GG226">
        <f>SUMIF('Как будет'!$A$35:$A$42,Доп.расчеты!$A226,'Как будет'!GH$35:GH$42)</f>
        <v>0</v>
      </c>
      <c r="GH226">
        <f>SUMIF('Как будет'!$A$35:$A$42,Доп.расчеты!$A226,'Как будет'!GI$35:GI$42)</f>
        <v>0</v>
      </c>
      <c r="GI226">
        <f>SUMIF('Как будет'!$A$35:$A$42,Доп.расчеты!$A226,'Как будет'!GJ$35:GJ$42)</f>
        <v>0</v>
      </c>
      <c r="GJ226">
        <f>SUMIF('Как будет'!$A$35:$A$42,Доп.расчеты!$A226,'Как будет'!GK$35:GK$42)</f>
        <v>0</v>
      </c>
      <c r="GK226">
        <f>SUMIF('Как будет'!$A$35:$A$42,Доп.расчеты!$A226,'Как будет'!GL$35:GL$42)</f>
        <v>0</v>
      </c>
      <c r="GL226">
        <f>SUMIF('Как будет'!$A$35:$A$42,Доп.расчеты!$A226,'Как будет'!GM$35:GM$42)</f>
        <v>0</v>
      </c>
      <c r="GM226">
        <f>SUMIF('Как будет'!$A$35:$A$42,Доп.расчеты!$A226,'Как будет'!GN$35:GN$42)</f>
        <v>0</v>
      </c>
      <c r="GN226">
        <f>SUMIF('Как будет'!$A$35:$A$42,Доп.расчеты!$A226,'Как будет'!GO$35:GO$42)</f>
        <v>0</v>
      </c>
      <c r="GO226">
        <f>SUMIF('Как будет'!$A$35:$A$42,Доп.расчеты!$A226,'Как будет'!GP$35:GP$42)</f>
        <v>0</v>
      </c>
      <c r="GP226">
        <f>SUMIF('Как будет'!$A$35:$A$42,Доп.расчеты!$A226,'Как будет'!GQ$35:GQ$42)</f>
        <v>0</v>
      </c>
      <c r="GQ226">
        <f>SUMIF('Как будет'!$A$35:$A$42,Доп.расчеты!$A226,'Как будет'!GR$35:GR$42)</f>
        <v>0</v>
      </c>
      <c r="GR226">
        <f>SUMIF('Как будет'!$A$35:$A$42,Доп.расчеты!$A226,'Как будет'!GS$35:GS$42)</f>
        <v>0</v>
      </c>
      <c r="GS226">
        <f>SUMIF('Как будет'!$A$35:$A$42,Доп.расчеты!$A226,'Как будет'!GT$35:GT$42)</f>
        <v>0</v>
      </c>
      <c r="GT226">
        <f>SUMIF('Как будет'!$A$35:$A$42,Доп.расчеты!$A226,'Как будет'!GU$35:GU$42)</f>
        <v>0</v>
      </c>
    </row>
    <row r="227" spans="1:202">
      <c r="A227" s="238" t="s">
        <v>11</v>
      </c>
      <c r="B227">
        <f>SUMIF('Как будет'!$A$35:$A$42,Доп.расчеты!$A227,'Как будет'!C$35:C$42)</f>
        <v>0</v>
      </c>
      <c r="C227">
        <f>SUMIF('Как будет'!$A$35:$A$42,Доп.расчеты!$A227,'Как будет'!D$35:D$42)</f>
        <v>0</v>
      </c>
      <c r="D227">
        <f>SUMIF('Как будет'!$A$35:$A$42,Доп.расчеты!$A227,'Как будет'!E$35:E$42)</f>
        <v>0</v>
      </c>
      <c r="E227">
        <f>SUMIF('Как будет'!$A$35:$A$42,Доп.расчеты!$A227,'Как будет'!F$35:F$42)</f>
        <v>0</v>
      </c>
      <c r="F227">
        <f>SUMIF('Как будет'!$A$35:$A$42,Доп.расчеты!$A227,'Как будет'!G$35:G$42)</f>
        <v>0</v>
      </c>
      <c r="G227">
        <f>SUMIF('Как будет'!$A$35:$A$42,Доп.расчеты!$A227,'Как будет'!H$35:H$42)</f>
        <v>0</v>
      </c>
      <c r="H227">
        <f>SUMIF('Как будет'!$A$35:$A$42,Доп.расчеты!$A227,'Как будет'!I$35:I$42)</f>
        <v>0</v>
      </c>
      <c r="I227">
        <f>SUMIF('Как будет'!$A$35:$A$42,Доп.расчеты!$A227,'Как будет'!J$35:J$42)</f>
        <v>0</v>
      </c>
      <c r="J227">
        <f>SUMIF('Как будет'!$A$35:$A$42,Доп.расчеты!$A227,'Как будет'!K$35:K$42)</f>
        <v>0</v>
      </c>
      <c r="K227">
        <f>SUMIF('Как будет'!$A$35:$A$42,Доп.расчеты!$A227,'Как будет'!L$35:L$42)</f>
        <v>0</v>
      </c>
      <c r="L227">
        <f>SUMIF('Как будет'!$A$35:$A$42,Доп.расчеты!$A227,'Как будет'!M$35:M$42)</f>
        <v>0</v>
      </c>
      <c r="M227">
        <f>SUMIF('Как будет'!$A$35:$A$42,Доп.расчеты!$A227,'Как будет'!N$35:N$42)</f>
        <v>0</v>
      </c>
      <c r="N227">
        <f>SUMIF('Как будет'!$A$35:$A$42,Доп.расчеты!$A227,'Как будет'!O$35:O$42)</f>
        <v>0</v>
      </c>
      <c r="O227">
        <f>SUMIF('Как будет'!$A$35:$A$42,Доп.расчеты!$A227,'Как будет'!P$35:P$42)</f>
        <v>0</v>
      </c>
      <c r="P227">
        <f>SUMIF('Как будет'!$A$35:$A$42,Доп.расчеты!$A227,'Как будет'!Q$35:Q$42)</f>
        <v>0</v>
      </c>
      <c r="Q227">
        <f>SUMIF('Как будет'!$A$35:$A$42,Доп.расчеты!$A227,'Как будет'!R$35:R$42)</f>
        <v>0</v>
      </c>
      <c r="R227">
        <f>SUMIF('Как будет'!$A$35:$A$42,Доп.расчеты!$A227,'Как будет'!S$35:S$42)</f>
        <v>0</v>
      </c>
      <c r="S227">
        <f>SUMIF('Как будет'!$A$35:$A$42,Доп.расчеты!$A227,'Как будет'!T$35:T$42)</f>
        <v>0</v>
      </c>
      <c r="T227">
        <f>SUMIF('Как будет'!$A$35:$A$42,Доп.расчеты!$A227,'Как будет'!U$35:U$42)</f>
        <v>0</v>
      </c>
      <c r="U227">
        <f>SUMIF('Как будет'!$A$35:$A$42,Доп.расчеты!$A227,'Как будет'!V$35:V$42)</f>
        <v>0</v>
      </c>
      <c r="V227">
        <f>SUMIF('Как будет'!$A$35:$A$42,Доп.расчеты!$A227,'Как будет'!W$35:W$42)</f>
        <v>0</v>
      </c>
      <c r="W227">
        <f>SUMIF('Как будет'!$A$35:$A$42,Доп.расчеты!$A227,'Как будет'!X$35:X$42)</f>
        <v>0</v>
      </c>
      <c r="X227">
        <f>SUMIF('Как будет'!$A$35:$A$42,Доп.расчеты!$A227,'Как будет'!Y$35:Y$42)</f>
        <v>0</v>
      </c>
      <c r="Y227">
        <f>SUMIF('Как будет'!$A$35:$A$42,Доп.расчеты!$A227,'Как будет'!Z$35:Z$42)</f>
        <v>0</v>
      </c>
      <c r="Z227">
        <f>SUMIF('Как будет'!$A$35:$A$42,Доп.расчеты!$A227,'Как будет'!AA$35:AA$42)</f>
        <v>0</v>
      </c>
      <c r="AA227">
        <f>SUMIF('Как будет'!$A$35:$A$42,Доп.расчеты!$A227,'Как будет'!AB$35:AB$42)</f>
        <v>0</v>
      </c>
      <c r="AB227">
        <f>SUMIF('Как будет'!$A$35:$A$42,Доп.расчеты!$A227,'Как будет'!AC$35:AC$42)</f>
        <v>0</v>
      </c>
      <c r="AC227">
        <f>SUMIF('Как будет'!$A$35:$A$42,Доп.расчеты!$A227,'Как будет'!AD$35:AD$42)</f>
        <v>0</v>
      </c>
      <c r="AD227">
        <f>SUMIF('Как будет'!$A$35:$A$42,Доп.расчеты!$A227,'Как будет'!AE$35:AE$42)</f>
        <v>0</v>
      </c>
      <c r="AE227">
        <f>SUMIF('Как будет'!$A$35:$A$42,Доп.расчеты!$A227,'Как будет'!AF$35:AF$42)</f>
        <v>0</v>
      </c>
      <c r="AF227">
        <f>SUMIF('Как будет'!$A$35:$A$42,Доп.расчеты!$A227,'Как будет'!AG$35:AG$42)</f>
        <v>0</v>
      </c>
      <c r="AG227">
        <f>SUMIF('Как будет'!$A$35:$A$42,Доп.расчеты!$A227,'Как будет'!AH$35:AH$42)</f>
        <v>0</v>
      </c>
      <c r="AH227">
        <f>SUMIF('Как будет'!$A$35:$A$42,Доп.расчеты!$A227,'Как будет'!AI$35:AI$42)</f>
        <v>0</v>
      </c>
      <c r="AI227">
        <f>SUMIF('Как будет'!$A$35:$A$42,Доп.расчеты!$A227,'Как будет'!AJ$35:AJ$42)</f>
        <v>0</v>
      </c>
      <c r="AJ227">
        <f>SUMIF('Как будет'!$A$35:$A$42,Доп.расчеты!$A227,'Как будет'!AK$35:AK$42)</f>
        <v>0</v>
      </c>
      <c r="AK227">
        <f>SUMIF('Как будет'!$A$35:$A$42,Доп.расчеты!$A227,'Как будет'!AL$35:AL$42)</f>
        <v>0</v>
      </c>
      <c r="AL227">
        <f>SUMIF('Как будет'!$A$35:$A$42,Доп.расчеты!$A227,'Как будет'!AM$35:AM$42)</f>
        <v>0</v>
      </c>
      <c r="AM227">
        <f>SUMIF('Как будет'!$A$35:$A$42,Доп.расчеты!$A227,'Как будет'!AN$35:AN$42)</f>
        <v>0</v>
      </c>
      <c r="AN227">
        <f>SUMIF('Как будет'!$A$35:$A$42,Доп.расчеты!$A227,'Как будет'!AO$35:AO$42)</f>
        <v>0</v>
      </c>
      <c r="AO227">
        <f>SUMIF('Как будет'!$A$35:$A$42,Доп.расчеты!$A227,'Как будет'!AP$35:AP$42)</f>
        <v>0</v>
      </c>
      <c r="AP227">
        <f>SUMIF('Как будет'!$A$35:$A$42,Доп.расчеты!$A227,'Как будет'!AQ$35:AQ$42)</f>
        <v>0</v>
      </c>
      <c r="AQ227">
        <f>SUMIF('Как будет'!$A$35:$A$42,Доп.расчеты!$A227,'Как будет'!AR$35:AR$42)</f>
        <v>0</v>
      </c>
      <c r="AR227">
        <f>SUMIF('Как будет'!$A$35:$A$42,Доп.расчеты!$A227,'Как будет'!AS$35:AS$42)</f>
        <v>0</v>
      </c>
      <c r="AS227">
        <f>SUMIF('Как будет'!$A$35:$A$42,Доп.расчеты!$A227,'Как будет'!AT$35:AT$42)</f>
        <v>0</v>
      </c>
      <c r="AT227">
        <f>SUMIF('Как будет'!$A$35:$A$42,Доп.расчеты!$A227,'Как будет'!AU$35:AU$42)</f>
        <v>0</v>
      </c>
      <c r="AU227">
        <f>SUMIF('Как будет'!$A$35:$A$42,Доп.расчеты!$A227,'Как будет'!AV$35:AV$42)</f>
        <v>0</v>
      </c>
      <c r="AV227">
        <f>SUMIF('Как будет'!$A$35:$A$42,Доп.расчеты!$A227,'Как будет'!AW$35:AW$42)</f>
        <v>0</v>
      </c>
      <c r="AW227">
        <f>SUMIF('Как будет'!$A$35:$A$42,Доп.расчеты!$A227,'Как будет'!AX$35:AX$42)</f>
        <v>0</v>
      </c>
      <c r="AX227">
        <f>SUMIF('Как будет'!$A$35:$A$42,Доп.расчеты!$A227,'Как будет'!AY$35:AY$42)</f>
        <v>0</v>
      </c>
      <c r="AY227">
        <f>SUMIF('Как будет'!$A$35:$A$42,Доп.расчеты!$A227,'Как будет'!AZ$35:AZ$42)</f>
        <v>0</v>
      </c>
      <c r="AZ227">
        <f>SUMIF('Как будет'!$A$35:$A$42,Доп.расчеты!$A227,'Как будет'!BA$35:BA$42)</f>
        <v>0</v>
      </c>
      <c r="BA227">
        <f>SUMIF('Как будет'!$A$35:$A$42,Доп.расчеты!$A227,'Как будет'!BB$35:BB$42)</f>
        <v>0</v>
      </c>
      <c r="BB227">
        <f>SUMIF('Как будет'!$A$35:$A$42,Доп.расчеты!$A227,'Как будет'!BC$35:BC$42)</f>
        <v>0</v>
      </c>
      <c r="BC227">
        <f>SUMIF('Как будет'!$A$35:$A$42,Доп.расчеты!$A227,'Как будет'!BD$35:BD$42)</f>
        <v>0</v>
      </c>
      <c r="BD227">
        <f>SUMIF('Как будет'!$A$35:$A$42,Доп.расчеты!$A227,'Как будет'!BE$35:BE$42)</f>
        <v>0</v>
      </c>
      <c r="BE227">
        <f>SUMIF('Как будет'!$A$35:$A$42,Доп.расчеты!$A227,'Как будет'!BF$35:BF$42)</f>
        <v>0</v>
      </c>
      <c r="BF227">
        <f>SUMIF('Как будет'!$A$35:$A$42,Доп.расчеты!$A227,'Как будет'!BG$35:BG$42)</f>
        <v>0</v>
      </c>
      <c r="BG227">
        <f>SUMIF('Как будет'!$A$35:$A$42,Доп.расчеты!$A227,'Как будет'!BH$35:BH$42)</f>
        <v>0</v>
      </c>
      <c r="BH227">
        <f>SUMIF('Как будет'!$A$35:$A$42,Доп.расчеты!$A227,'Как будет'!BI$35:BI$42)</f>
        <v>0</v>
      </c>
      <c r="BI227">
        <f>SUMIF('Как будет'!$A$35:$A$42,Доп.расчеты!$A227,'Как будет'!BJ$35:BJ$42)</f>
        <v>0</v>
      </c>
      <c r="BJ227">
        <f>SUMIF('Как будет'!$A$35:$A$42,Доп.расчеты!$A227,'Как будет'!BK$35:BK$42)</f>
        <v>0</v>
      </c>
      <c r="BK227">
        <f>SUMIF('Как будет'!$A$35:$A$42,Доп.расчеты!$A227,'Как будет'!BL$35:BL$42)</f>
        <v>0</v>
      </c>
      <c r="BL227">
        <f>SUMIF('Как будет'!$A$35:$A$42,Доп.расчеты!$A227,'Как будет'!BM$35:BM$42)</f>
        <v>0</v>
      </c>
      <c r="BM227">
        <f>SUMIF('Как будет'!$A$35:$A$42,Доп.расчеты!$A227,'Как будет'!BN$35:BN$42)</f>
        <v>0</v>
      </c>
      <c r="BN227">
        <f>SUMIF('Как будет'!$A$35:$A$42,Доп.расчеты!$A227,'Как будет'!BO$35:BO$42)</f>
        <v>0</v>
      </c>
      <c r="BO227">
        <f>SUMIF('Как будет'!$A$35:$A$42,Доп.расчеты!$A227,'Как будет'!BP$35:BP$42)</f>
        <v>0</v>
      </c>
      <c r="BP227">
        <f>SUMIF('Как будет'!$A$35:$A$42,Доп.расчеты!$A227,'Как будет'!BQ$35:BQ$42)</f>
        <v>0</v>
      </c>
      <c r="BQ227">
        <f>SUMIF('Как будет'!$A$35:$A$42,Доп.расчеты!$A227,'Как будет'!BR$35:BR$42)</f>
        <v>0</v>
      </c>
      <c r="BR227">
        <f>SUMIF('Как будет'!$A$35:$A$42,Доп.расчеты!$A227,'Как будет'!BS$35:BS$42)</f>
        <v>0</v>
      </c>
      <c r="BS227">
        <f>SUMIF('Как будет'!$A$35:$A$42,Доп.расчеты!$A227,'Как будет'!BT$35:BT$42)</f>
        <v>0</v>
      </c>
      <c r="BT227">
        <f>SUMIF('Как будет'!$A$35:$A$42,Доп.расчеты!$A227,'Как будет'!BU$35:BU$42)</f>
        <v>0</v>
      </c>
      <c r="BU227">
        <f>SUMIF('Как будет'!$A$35:$A$42,Доп.расчеты!$A227,'Как будет'!BV$35:BV$42)</f>
        <v>0</v>
      </c>
      <c r="BV227">
        <f>SUMIF('Как будет'!$A$35:$A$42,Доп.расчеты!$A227,'Как будет'!BW$35:BW$42)</f>
        <v>0</v>
      </c>
      <c r="BW227">
        <f>SUMIF('Как будет'!$A$35:$A$42,Доп.расчеты!$A227,'Как будет'!BX$35:BX$42)</f>
        <v>0</v>
      </c>
      <c r="BX227">
        <f>SUMIF('Как будет'!$A$35:$A$42,Доп.расчеты!$A227,'Как будет'!BY$35:BY$42)</f>
        <v>0</v>
      </c>
      <c r="BY227">
        <f>SUMIF('Как будет'!$A$35:$A$42,Доп.расчеты!$A227,'Как будет'!BZ$35:BZ$42)</f>
        <v>0</v>
      </c>
      <c r="BZ227">
        <f>SUMIF('Как будет'!$A$35:$A$42,Доп.расчеты!$A227,'Как будет'!CA$35:CA$42)</f>
        <v>0</v>
      </c>
      <c r="CA227">
        <f>SUMIF('Как будет'!$A$35:$A$42,Доп.расчеты!$A227,'Как будет'!CB$35:CB$42)</f>
        <v>0</v>
      </c>
      <c r="CB227">
        <f>SUMIF('Как будет'!$A$35:$A$42,Доп.расчеты!$A227,'Как будет'!CC$35:CC$42)</f>
        <v>0</v>
      </c>
      <c r="CC227">
        <f>SUMIF('Как будет'!$A$35:$A$42,Доп.расчеты!$A227,'Как будет'!CD$35:CD$42)</f>
        <v>0</v>
      </c>
      <c r="CD227">
        <f>SUMIF('Как будет'!$A$35:$A$42,Доп.расчеты!$A227,'Как будет'!CE$35:CE$42)</f>
        <v>0</v>
      </c>
      <c r="CE227">
        <f>SUMIF('Как будет'!$A$35:$A$42,Доп.расчеты!$A227,'Как будет'!CF$35:CF$42)</f>
        <v>0</v>
      </c>
      <c r="CF227">
        <f>SUMIF('Как будет'!$A$35:$A$42,Доп.расчеты!$A227,'Как будет'!CG$35:CG$42)</f>
        <v>0</v>
      </c>
      <c r="CG227">
        <f>SUMIF('Как будет'!$A$35:$A$42,Доп.расчеты!$A227,'Как будет'!CH$35:CH$42)</f>
        <v>0</v>
      </c>
      <c r="CH227">
        <f>SUMIF('Как будет'!$A$35:$A$42,Доп.расчеты!$A227,'Как будет'!CI$35:CI$42)</f>
        <v>0</v>
      </c>
      <c r="CI227">
        <f>SUMIF('Как будет'!$A$35:$A$42,Доп.расчеты!$A227,'Как будет'!CJ$35:CJ$42)</f>
        <v>0</v>
      </c>
      <c r="CJ227">
        <f>SUMIF('Как будет'!$A$35:$A$42,Доп.расчеты!$A227,'Как будет'!CK$35:CK$42)</f>
        <v>0</v>
      </c>
      <c r="CK227">
        <f>SUMIF('Как будет'!$A$35:$A$42,Доп.расчеты!$A227,'Как будет'!CL$35:CL$42)</f>
        <v>0</v>
      </c>
      <c r="CL227">
        <f>SUMIF('Как будет'!$A$35:$A$42,Доп.расчеты!$A227,'Как будет'!CM$35:CM$42)</f>
        <v>0</v>
      </c>
      <c r="CM227">
        <f>SUMIF('Как будет'!$A$35:$A$42,Доп.расчеты!$A227,'Как будет'!CN$35:CN$42)</f>
        <v>0</v>
      </c>
      <c r="CN227">
        <f>SUMIF('Как будет'!$A$35:$A$42,Доп.расчеты!$A227,'Как будет'!CO$35:CO$42)</f>
        <v>0</v>
      </c>
      <c r="CO227">
        <f>SUMIF('Как будет'!$A$35:$A$42,Доп.расчеты!$A227,'Как будет'!CP$35:CP$42)</f>
        <v>0</v>
      </c>
      <c r="CP227">
        <f>SUMIF('Как будет'!$A$35:$A$42,Доп.расчеты!$A227,'Как будет'!CQ$35:CQ$42)</f>
        <v>0</v>
      </c>
      <c r="CQ227">
        <f>SUMIF('Как будет'!$A$35:$A$42,Доп.расчеты!$A227,'Как будет'!CR$35:CR$42)</f>
        <v>0</v>
      </c>
      <c r="CR227">
        <f>SUMIF('Как будет'!$A$35:$A$42,Доп.расчеты!$A227,'Как будет'!CS$35:CS$42)</f>
        <v>0</v>
      </c>
      <c r="CS227">
        <f>SUMIF('Как будет'!$A$35:$A$42,Доп.расчеты!$A227,'Как будет'!CT$35:CT$42)</f>
        <v>0</v>
      </c>
      <c r="CT227">
        <f>SUMIF('Как будет'!$A$35:$A$42,Доп.расчеты!$A227,'Как будет'!CU$35:CU$42)</f>
        <v>0</v>
      </c>
      <c r="CU227">
        <f>SUMIF('Как будет'!$A$35:$A$42,Доп.расчеты!$A227,'Как будет'!CV$35:CV$42)</f>
        <v>0</v>
      </c>
      <c r="CV227">
        <f>SUMIF('Как будет'!$A$35:$A$42,Доп.расчеты!$A227,'Как будет'!CW$35:CW$42)</f>
        <v>0</v>
      </c>
      <c r="CW227">
        <f>SUMIF('Как будет'!$A$35:$A$42,Доп.расчеты!$A227,'Как будет'!CX$35:CX$42)</f>
        <v>0</v>
      </c>
      <c r="CX227">
        <f>SUMIF('Как будет'!$A$35:$A$42,Доп.расчеты!$A227,'Как будет'!CY$35:CY$42)</f>
        <v>0</v>
      </c>
      <c r="CY227">
        <f>SUMIF('Как будет'!$A$35:$A$42,Доп.расчеты!$A227,'Как будет'!CZ$35:CZ$42)</f>
        <v>0</v>
      </c>
      <c r="CZ227">
        <f>SUMIF('Как будет'!$A$35:$A$42,Доп.расчеты!$A227,'Как будет'!DA$35:DA$42)</f>
        <v>0</v>
      </c>
      <c r="DA227">
        <f>SUMIF('Как будет'!$A$35:$A$42,Доп.расчеты!$A227,'Как будет'!DB$35:DB$42)</f>
        <v>0</v>
      </c>
      <c r="DB227">
        <f>SUMIF('Как будет'!$A$35:$A$42,Доп.расчеты!$A227,'Как будет'!DC$35:DC$42)</f>
        <v>0</v>
      </c>
      <c r="DC227">
        <f>SUMIF('Как будет'!$A$35:$A$42,Доп.расчеты!$A227,'Как будет'!DD$35:DD$42)</f>
        <v>0</v>
      </c>
      <c r="DD227">
        <f>SUMIF('Как будет'!$A$35:$A$42,Доп.расчеты!$A227,'Как будет'!DE$35:DE$42)</f>
        <v>0</v>
      </c>
      <c r="DE227">
        <f>SUMIF('Как будет'!$A$35:$A$42,Доп.расчеты!$A227,'Как будет'!DF$35:DF$42)</f>
        <v>0</v>
      </c>
      <c r="DF227">
        <f>SUMIF('Как будет'!$A$35:$A$42,Доп.расчеты!$A227,'Как будет'!DG$35:DG$42)</f>
        <v>0</v>
      </c>
      <c r="DG227">
        <f>SUMIF('Как будет'!$A$35:$A$42,Доп.расчеты!$A227,'Как будет'!DH$35:DH$42)</f>
        <v>0</v>
      </c>
      <c r="DH227">
        <f>SUMIF('Как будет'!$A$35:$A$42,Доп.расчеты!$A227,'Как будет'!DI$35:DI$42)</f>
        <v>0</v>
      </c>
      <c r="DI227">
        <f>SUMIF('Как будет'!$A$35:$A$42,Доп.расчеты!$A227,'Как будет'!DJ$35:DJ$42)</f>
        <v>0</v>
      </c>
      <c r="DJ227">
        <f>SUMIF('Как будет'!$A$35:$A$42,Доп.расчеты!$A227,'Как будет'!DK$35:DK$42)</f>
        <v>0</v>
      </c>
      <c r="DK227">
        <f>SUMIF('Как будет'!$A$35:$A$42,Доп.расчеты!$A227,'Как будет'!DL$35:DL$42)</f>
        <v>0</v>
      </c>
      <c r="DL227">
        <f>SUMIF('Как будет'!$A$35:$A$42,Доп.расчеты!$A227,'Как будет'!DM$35:DM$42)</f>
        <v>0</v>
      </c>
      <c r="DM227">
        <f>SUMIF('Как будет'!$A$35:$A$42,Доп.расчеты!$A227,'Как будет'!DN$35:DN$42)</f>
        <v>0</v>
      </c>
      <c r="DN227">
        <f>SUMIF('Как будет'!$A$35:$A$42,Доп.расчеты!$A227,'Как будет'!DO$35:DO$42)</f>
        <v>0</v>
      </c>
      <c r="DO227">
        <f>SUMIF('Как будет'!$A$35:$A$42,Доп.расчеты!$A227,'Как будет'!DP$35:DP$42)</f>
        <v>0</v>
      </c>
      <c r="DP227">
        <f>SUMIF('Как будет'!$A$35:$A$42,Доп.расчеты!$A227,'Как будет'!DQ$35:DQ$42)</f>
        <v>0</v>
      </c>
      <c r="DQ227">
        <f>SUMIF('Как будет'!$A$35:$A$42,Доп.расчеты!$A227,'Как будет'!DR$35:DR$42)</f>
        <v>0</v>
      </c>
      <c r="DR227">
        <f>SUMIF('Как будет'!$A$35:$A$42,Доп.расчеты!$A227,'Как будет'!DS$35:DS$42)</f>
        <v>0</v>
      </c>
      <c r="DS227">
        <f>SUMIF('Как будет'!$A$35:$A$42,Доп.расчеты!$A227,'Как будет'!DT$35:DT$42)</f>
        <v>0</v>
      </c>
      <c r="DT227">
        <f>SUMIF('Как будет'!$A$35:$A$42,Доп.расчеты!$A227,'Как будет'!DU$35:DU$42)</f>
        <v>0</v>
      </c>
      <c r="DU227">
        <f>SUMIF('Как будет'!$A$35:$A$42,Доп.расчеты!$A227,'Как будет'!DV$35:DV$42)</f>
        <v>0</v>
      </c>
      <c r="DV227">
        <f>SUMIF('Как будет'!$A$35:$A$42,Доп.расчеты!$A227,'Как будет'!DW$35:DW$42)</f>
        <v>0</v>
      </c>
      <c r="DW227">
        <f>SUMIF('Как будет'!$A$35:$A$42,Доп.расчеты!$A227,'Как будет'!DX$35:DX$42)</f>
        <v>0</v>
      </c>
      <c r="DX227">
        <f>SUMIF('Как будет'!$A$35:$A$42,Доп.расчеты!$A227,'Как будет'!DY$35:DY$42)</f>
        <v>0</v>
      </c>
      <c r="DY227">
        <f>SUMIF('Как будет'!$A$35:$A$42,Доп.расчеты!$A227,'Как будет'!DZ$35:DZ$42)</f>
        <v>0</v>
      </c>
      <c r="DZ227">
        <f>SUMIF('Как будет'!$A$35:$A$42,Доп.расчеты!$A227,'Как будет'!EA$35:EA$42)</f>
        <v>0</v>
      </c>
      <c r="EA227">
        <f>SUMIF('Как будет'!$A$35:$A$42,Доп.расчеты!$A227,'Как будет'!EB$35:EB$42)</f>
        <v>0</v>
      </c>
      <c r="EB227">
        <f>SUMIF('Как будет'!$A$35:$A$42,Доп.расчеты!$A227,'Как будет'!EC$35:EC$42)</f>
        <v>0</v>
      </c>
      <c r="EC227">
        <f>SUMIF('Как будет'!$A$35:$A$42,Доп.расчеты!$A227,'Как будет'!ED$35:ED$42)</f>
        <v>0</v>
      </c>
      <c r="ED227">
        <f>SUMIF('Как будет'!$A$35:$A$42,Доп.расчеты!$A227,'Как будет'!EE$35:EE$42)</f>
        <v>0</v>
      </c>
      <c r="EE227">
        <f>SUMIF('Как будет'!$A$35:$A$42,Доп.расчеты!$A227,'Как будет'!EF$35:EF$42)</f>
        <v>0</v>
      </c>
      <c r="EF227">
        <f>SUMIF('Как будет'!$A$35:$A$42,Доп.расчеты!$A227,'Как будет'!EG$35:EG$42)</f>
        <v>0</v>
      </c>
      <c r="EG227">
        <f>SUMIF('Как будет'!$A$35:$A$42,Доп.расчеты!$A227,'Как будет'!EH$35:EH$42)</f>
        <v>0</v>
      </c>
      <c r="EH227">
        <f>SUMIF('Как будет'!$A$35:$A$42,Доп.расчеты!$A227,'Как будет'!EI$35:EI$42)</f>
        <v>0</v>
      </c>
      <c r="EI227">
        <f>SUMIF('Как будет'!$A$35:$A$42,Доп.расчеты!$A227,'Как будет'!EJ$35:EJ$42)</f>
        <v>0</v>
      </c>
      <c r="EJ227">
        <f>SUMIF('Как будет'!$A$35:$A$42,Доп.расчеты!$A227,'Как будет'!EK$35:EK$42)</f>
        <v>0</v>
      </c>
      <c r="EK227">
        <f>SUMIF('Как будет'!$A$35:$A$42,Доп.расчеты!$A227,'Как будет'!EL$35:EL$42)</f>
        <v>0</v>
      </c>
      <c r="EL227">
        <f>SUMIF('Как будет'!$A$35:$A$42,Доп.расчеты!$A227,'Как будет'!EM$35:EM$42)</f>
        <v>0</v>
      </c>
      <c r="EM227">
        <f>SUMIF('Как будет'!$A$35:$A$42,Доп.расчеты!$A227,'Как будет'!EN$35:EN$42)</f>
        <v>0</v>
      </c>
      <c r="EN227">
        <f>SUMIF('Как будет'!$A$35:$A$42,Доп.расчеты!$A227,'Как будет'!EO$35:EO$42)</f>
        <v>0</v>
      </c>
      <c r="EO227">
        <f>SUMIF('Как будет'!$A$35:$A$42,Доп.расчеты!$A227,'Как будет'!EP$35:EP$42)</f>
        <v>0</v>
      </c>
      <c r="EP227">
        <f>SUMIF('Как будет'!$A$35:$A$42,Доп.расчеты!$A227,'Как будет'!EQ$35:EQ$42)</f>
        <v>0</v>
      </c>
      <c r="EQ227">
        <f>SUMIF('Как будет'!$A$35:$A$42,Доп.расчеты!$A227,'Как будет'!ER$35:ER$42)</f>
        <v>0</v>
      </c>
      <c r="ER227">
        <f>SUMIF('Как будет'!$A$35:$A$42,Доп.расчеты!$A227,'Как будет'!ES$35:ES$42)</f>
        <v>0</v>
      </c>
      <c r="ES227">
        <f>SUMIF('Как будет'!$A$35:$A$42,Доп.расчеты!$A227,'Как будет'!ET$35:ET$42)</f>
        <v>0</v>
      </c>
      <c r="ET227">
        <f>SUMIF('Как будет'!$A$35:$A$42,Доп.расчеты!$A227,'Как будет'!EU$35:EU$42)</f>
        <v>0</v>
      </c>
      <c r="EU227">
        <f>SUMIF('Как будет'!$A$35:$A$42,Доп.расчеты!$A227,'Как будет'!EV$35:EV$42)</f>
        <v>0</v>
      </c>
      <c r="EV227">
        <f>SUMIF('Как будет'!$A$35:$A$42,Доп.расчеты!$A227,'Как будет'!EW$35:EW$42)</f>
        <v>0</v>
      </c>
      <c r="EW227">
        <f>SUMIF('Как будет'!$A$35:$A$42,Доп.расчеты!$A227,'Как будет'!EX$35:EX$42)</f>
        <v>0</v>
      </c>
      <c r="EX227">
        <f>SUMIF('Как будет'!$A$35:$A$42,Доп.расчеты!$A227,'Как будет'!EY$35:EY$42)</f>
        <v>0</v>
      </c>
      <c r="EY227">
        <f>SUMIF('Как будет'!$A$35:$A$42,Доп.расчеты!$A227,'Как будет'!EZ$35:EZ$42)</f>
        <v>0</v>
      </c>
      <c r="EZ227">
        <f>SUMIF('Как будет'!$A$35:$A$42,Доп.расчеты!$A227,'Как будет'!FA$35:FA$42)</f>
        <v>0</v>
      </c>
      <c r="FA227">
        <f>SUMIF('Как будет'!$A$35:$A$42,Доп.расчеты!$A227,'Как будет'!FB$35:FB$42)</f>
        <v>0</v>
      </c>
      <c r="FB227">
        <f>SUMIF('Как будет'!$A$35:$A$42,Доп.расчеты!$A227,'Как будет'!FC$35:FC$42)</f>
        <v>0</v>
      </c>
      <c r="FC227">
        <f>SUMIF('Как будет'!$A$35:$A$42,Доп.расчеты!$A227,'Как будет'!FD$35:FD$42)</f>
        <v>0</v>
      </c>
      <c r="FD227">
        <f>SUMIF('Как будет'!$A$35:$A$42,Доп.расчеты!$A227,'Как будет'!FE$35:FE$42)</f>
        <v>0</v>
      </c>
      <c r="FE227">
        <f>SUMIF('Как будет'!$A$35:$A$42,Доп.расчеты!$A227,'Как будет'!FF$35:FF$42)</f>
        <v>0</v>
      </c>
      <c r="FF227">
        <f>SUMIF('Как будет'!$A$35:$A$42,Доп.расчеты!$A227,'Как будет'!FG$35:FG$42)</f>
        <v>0</v>
      </c>
      <c r="FG227">
        <f>SUMIF('Как будет'!$A$35:$A$42,Доп.расчеты!$A227,'Как будет'!FH$35:FH$42)</f>
        <v>0</v>
      </c>
      <c r="FH227">
        <f>SUMIF('Как будет'!$A$35:$A$42,Доп.расчеты!$A227,'Как будет'!FI$35:FI$42)</f>
        <v>0</v>
      </c>
      <c r="FI227">
        <f>SUMIF('Как будет'!$A$35:$A$42,Доп.расчеты!$A227,'Как будет'!FJ$35:FJ$42)</f>
        <v>0</v>
      </c>
      <c r="FJ227">
        <f>SUMIF('Как будет'!$A$35:$A$42,Доп.расчеты!$A227,'Как будет'!FK$35:FK$42)</f>
        <v>0</v>
      </c>
      <c r="FK227">
        <f>SUMIF('Как будет'!$A$35:$A$42,Доп.расчеты!$A227,'Как будет'!FL$35:FL$42)</f>
        <v>0</v>
      </c>
      <c r="FL227">
        <f>SUMIF('Как будет'!$A$35:$A$42,Доп.расчеты!$A227,'Как будет'!FM$35:FM$42)</f>
        <v>0</v>
      </c>
      <c r="FM227">
        <f>SUMIF('Как будет'!$A$35:$A$42,Доп.расчеты!$A227,'Как будет'!FN$35:FN$42)</f>
        <v>0</v>
      </c>
      <c r="FN227">
        <f>SUMIF('Как будет'!$A$35:$A$42,Доп.расчеты!$A227,'Как будет'!FO$35:FO$42)</f>
        <v>0</v>
      </c>
      <c r="FO227">
        <f>SUMIF('Как будет'!$A$35:$A$42,Доп.расчеты!$A227,'Как будет'!FP$35:FP$42)</f>
        <v>0</v>
      </c>
      <c r="FP227">
        <f>SUMIF('Как будет'!$A$35:$A$42,Доп.расчеты!$A227,'Как будет'!FQ$35:FQ$42)</f>
        <v>0</v>
      </c>
      <c r="FQ227">
        <f>SUMIF('Как будет'!$A$35:$A$42,Доп.расчеты!$A227,'Как будет'!FR$35:FR$42)</f>
        <v>0</v>
      </c>
      <c r="FR227">
        <f>SUMIF('Как будет'!$A$35:$A$42,Доп.расчеты!$A227,'Как будет'!FS$35:FS$42)</f>
        <v>0</v>
      </c>
      <c r="FS227">
        <f>SUMIF('Как будет'!$A$35:$A$42,Доп.расчеты!$A227,'Как будет'!FT$35:FT$42)</f>
        <v>0</v>
      </c>
      <c r="FT227">
        <f>SUMIF('Как будет'!$A$35:$A$42,Доп.расчеты!$A227,'Как будет'!FU$35:FU$42)</f>
        <v>0</v>
      </c>
      <c r="FU227">
        <f>SUMIF('Как будет'!$A$35:$A$42,Доп.расчеты!$A227,'Как будет'!FV$35:FV$42)</f>
        <v>0</v>
      </c>
      <c r="FV227">
        <f>SUMIF('Как будет'!$A$35:$A$42,Доп.расчеты!$A227,'Как будет'!FW$35:FW$42)</f>
        <v>0</v>
      </c>
      <c r="FW227">
        <f>SUMIF('Как будет'!$A$35:$A$42,Доп.расчеты!$A227,'Как будет'!FX$35:FX$42)</f>
        <v>0</v>
      </c>
      <c r="FX227">
        <f>SUMIF('Как будет'!$A$35:$A$42,Доп.расчеты!$A227,'Как будет'!FY$35:FY$42)</f>
        <v>0</v>
      </c>
      <c r="FY227">
        <f>SUMIF('Как будет'!$A$35:$A$42,Доп.расчеты!$A227,'Как будет'!FZ$35:FZ$42)</f>
        <v>0</v>
      </c>
      <c r="FZ227">
        <f>SUMIF('Как будет'!$A$35:$A$42,Доп.расчеты!$A227,'Как будет'!GA$35:GA$42)</f>
        <v>0</v>
      </c>
      <c r="GA227">
        <f>SUMIF('Как будет'!$A$35:$A$42,Доп.расчеты!$A227,'Как будет'!GB$35:GB$42)</f>
        <v>0</v>
      </c>
      <c r="GB227">
        <f>SUMIF('Как будет'!$A$35:$A$42,Доп.расчеты!$A227,'Как будет'!GC$35:GC$42)</f>
        <v>0</v>
      </c>
      <c r="GC227">
        <f>SUMIF('Как будет'!$A$35:$A$42,Доп.расчеты!$A227,'Как будет'!GD$35:GD$42)</f>
        <v>0</v>
      </c>
      <c r="GD227">
        <f>SUMIF('Как будет'!$A$35:$A$42,Доп.расчеты!$A227,'Как будет'!GE$35:GE$42)</f>
        <v>0</v>
      </c>
      <c r="GE227">
        <f>SUMIF('Как будет'!$A$35:$A$42,Доп.расчеты!$A227,'Как будет'!GF$35:GF$42)</f>
        <v>0</v>
      </c>
      <c r="GF227">
        <f>SUMIF('Как будет'!$A$35:$A$42,Доп.расчеты!$A227,'Как будет'!GG$35:GG$42)</f>
        <v>0</v>
      </c>
      <c r="GG227">
        <f>SUMIF('Как будет'!$A$35:$A$42,Доп.расчеты!$A227,'Как будет'!GH$35:GH$42)</f>
        <v>0</v>
      </c>
      <c r="GH227">
        <f>SUMIF('Как будет'!$A$35:$A$42,Доп.расчеты!$A227,'Как будет'!GI$35:GI$42)</f>
        <v>0</v>
      </c>
      <c r="GI227">
        <f>SUMIF('Как будет'!$A$35:$A$42,Доп.расчеты!$A227,'Как будет'!GJ$35:GJ$42)</f>
        <v>0</v>
      </c>
      <c r="GJ227">
        <f>SUMIF('Как будет'!$A$35:$A$42,Доп.расчеты!$A227,'Как будет'!GK$35:GK$42)</f>
        <v>0</v>
      </c>
      <c r="GK227">
        <f>SUMIF('Как будет'!$A$35:$A$42,Доп.расчеты!$A227,'Как будет'!GL$35:GL$42)</f>
        <v>0</v>
      </c>
      <c r="GL227">
        <f>SUMIF('Как будет'!$A$35:$A$42,Доп.расчеты!$A227,'Как будет'!GM$35:GM$42)</f>
        <v>0</v>
      </c>
      <c r="GM227">
        <f>SUMIF('Как будет'!$A$35:$A$42,Доп.расчеты!$A227,'Как будет'!GN$35:GN$42)</f>
        <v>0</v>
      </c>
      <c r="GN227">
        <f>SUMIF('Как будет'!$A$35:$A$42,Доп.расчеты!$A227,'Как будет'!GO$35:GO$42)</f>
        <v>0</v>
      </c>
      <c r="GO227">
        <f>SUMIF('Как будет'!$A$35:$A$42,Доп.расчеты!$A227,'Как будет'!GP$35:GP$42)</f>
        <v>0</v>
      </c>
      <c r="GP227">
        <f>SUMIF('Как будет'!$A$35:$A$42,Доп.расчеты!$A227,'Как будет'!GQ$35:GQ$42)</f>
        <v>0</v>
      </c>
      <c r="GQ227">
        <f>SUMIF('Как будет'!$A$35:$A$42,Доп.расчеты!$A227,'Как будет'!GR$35:GR$42)</f>
        <v>0</v>
      </c>
      <c r="GR227">
        <f>SUMIF('Как будет'!$A$35:$A$42,Доп.расчеты!$A227,'Как будет'!GS$35:GS$42)</f>
        <v>0</v>
      </c>
      <c r="GS227">
        <f>SUMIF('Как будет'!$A$35:$A$42,Доп.расчеты!$A227,'Как будет'!GT$35:GT$42)</f>
        <v>0</v>
      </c>
      <c r="GT227">
        <f>SUMIF('Как будет'!$A$35:$A$42,Доп.расчеты!$A227,'Как будет'!GU$35:GU$42)</f>
        <v>0</v>
      </c>
    </row>
    <row r="228" spans="1:202">
      <c r="A228" s="238" t="s">
        <v>12</v>
      </c>
      <c r="B228">
        <f>SUMIF('Как будет'!$A$35:$A$42,Доп.расчеты!$A228,'Как будет'!C$35:C$42)</f>
        <v>0</v>
      </c>
      <c r="C228">
        <f>SUMIF('Как будет'!$A$35:$A$42,Доп.расчеты!$A228,'Как будет'!D$35:D$42)</f>
        <v>0</v>
      </c>
      <c r="D228">
        <f>SUMIF('Как будет'!$A$35:$A$42,Доп.расчеты!$A228,'Как будет'!E$35:E$42)</f>
        <v>0</v>
      </c>
      <c r="E228">
        <f>SUMIF('Как будет'!$A$35:$A$42,Доп.расчеты!$A228,'Как будет'!F$35:F$42)</f>
        <v>0</v>
      </c>
      <c r="F228">
        <f>SUMIF('Как будет'!$A$35:$A$42,Доп.расчеты!$A228,'Как будет'!G$35:G$42)</f>
        <v>0</v>
      </c>
      <c r="G228">
        <f>SUMIF('Как будет'!$A$35:$A$42,Доп.расчеты!$A228,'Как будет'!H$35:H$42)</f>
        <v>0</v>
      </c>
      <c r="H228">
        <f>SUMIF('Как будет'!$A$35:$A$42,Доп.расчеты!$A228,'Как будет'!I$35:I$42)</f>
        <v>0</v>
      </c>
      <c r="I228">
        <f>SUMIF('Как будет'!$A$35:$A$42,Доп.расчеты!$A228,'Как будет'!J$35:J$42)</f>
        <v>0</v>
      </c>
      <c r="J228">
        <f>SUMIF('Как будет'!$A$35:$A$42,Доп.расчеты!$A228,'Как будет'!K$35:K$42)</f>
        <v>0</v>
      </c>
      <c r="K228">
        <f>SUMIF('Как будет'!$A$35:$A$42,Доп.расчеты!$A228,'Как будет'!L$35:L$42)</f>
        <v>0</v>
      </c>
      <c r="L228">
        <f>SUMIF('Как будет'!$A$35:$A$42,Доп.расчеты!$A228,'Как будет'!M$35:M$42)</f>
        <v>0</v>
      </c>
      <c r="M228">
        <f>SUMIF('Как будет'!$A$35:$A$42,Доп.расчеты!$A228,'Как будет'!N$35:N$42)</f>
        <v>0</v>
      </c>
      <c r="N228">
        <f>SUMIF('Как будет'!$A$35:$A$42,Доп.расчеты!$A228,'Как будет'!O$35:O$42)</f>
        <v>0</v>
      </c>
      <c r="O228">
        <f>SUMIF('Как будет'!$A$35:$A$42,Доп.расчеты!$A228,'Как будет'!P$35:P$42)</f>
        <v>0</v>
      </c>
      <c r="P228">
        <f>SUMIF('Как будет'!$A$35:$A$42,Доп.расчеты!$A228,'Как будет'!Q$35:Q$42)</f>
        <v>0</v>
      </c>
      <c r="Q228">
        <f>SUMIF('Как будет'!$A$35:$A$42,Доп.расчеты!$A228,'Как будет'!R$35:R$42)</f>
        <v>0</v>
      </c>
      <c r="R228">
        <f>SUMIF('Как будет'!$A$35:$A$42,Доп.расчеты!$A228,'Как будет'!S$35:S$42)</f>
        <v>0</v>
      </c>
      <c r="S228">
        <f>SUMIF('Как будет'!$A$35:$A$42,Доп.расчеты!$A228,'Как будет'!T$35:T$42)</f>
        <v>0</v>
      </c>
      <c r="T228">
        <f>SUMIF('Как будет'!$A$35:$A$42,Доп.расчеты!$A228,'Как будет'!U$35:U$42)</f>
        <v>0</v>
      </c>
      <c r="U228">
        <f>SUMIF('Как будет'!$A$35:$A$42,Доп.расчеты!$A228,'Как будет'!V$35:V$42)</f>
        <v>0</v>
      </c>
      <c r="V228">
        <f>SUMIF('Как будет'!$A$35:$A$42,Доп.расчеты!$A228,'Как будет'!W$35:W$42)</f>
        <v>0</v>
      </c>
      <c r="W228">
        <f>SUMIF('Как будет'!$A$35:$A$42,Доп.расчеты!$A228,'Как будет'!X$35:X$42)</f>
        <v>0</v>
      </c>
      <c r="X228">
        <f>SUMIF('Как будет'!$A$35:$A$42,Доп.расчеты!$A228,'Как будет'!Y$35:Y$42)</f>
        <v>0</v>
      </c>
      <c r="Y228">
        <f>SUMIF('Как будет'!$A$35:$A$42,Доп.расчеты!$A228,'Как будет'!Z$35:Z$42)</f>
        <v>0</v>
      </c>
      <c r="Z228">
        <f>SUMIF('Как будет'!$A$35:$A$42,Доп.расчеты!$A228,'Как будет'!AA$35:AA$42)</f>
        <v>0</v>
      </c>
      <c r="AA228">
        <f>SUMIF('Как будет'!$A$35:$A$42,Доп.расчеты!$A228,'Как будет'!AB$35:AB$42)</f>
        <v>0</v>
      </c>
      <c r="AB228">
        <f>SUMIF('Как будет'!$A$35:$A$42,Доп.расчеты!$A228,'Как будет'!AC$35:AC$42)</f>
        <v>0</v>
      </c>
      <c r="AC228">
        <f>SUMIF('Как будет'!$A$35:$A$42,Доп.расчеты!$A228,'Как будет'!AD$35:AD$42)</f>
        <v>0</v>
      </c>
      <c r="AD228">
        <f>SUMIF('Как будет'!$A$35:$A$42,Доп.расчеты!$A228,'Как будет'!AE$35:AE$42)</f>
        <v>0</v>
      </c>
      <c r="AE228">
        <f>SUMIF('Как будет'!$A$35:$A$42,Доп.расчеты!$A228,'Как будет'!AF$35:AF$42)</f>
        <v>0</v>
      </c>
      <c r="AF228">
        <f>SUMIF('Как будет'!$A$35:$A$42,Доп.расчеты!$A228,'Как будет'!AG$35:AG$42)</f>
        <v>0</v>
      </c>
      <c r="AG228">
        <f>SUMIF('Как будет'!$A$35:$A$42,Доп.расчеты!$A228,'Как будет'!AH$35:AH$42)</f>
        <v>0</v>
      </c>
      <c r="AH228">
        <f>SUMIF('Как будет'!$A$35:$A$42,Доп.расчеты!$A228,'Как будет'!AI$35:AI$42)</f>
        <v>0</v>
      </c>
      <c r="AI228">
        <f>SUMIF('Как будет'!$A$35:$A$42,Доп.расчеты!$A228,'Как будет'!AJ$35:AJ$42)</f>
        <v>0</v>
      </c>
      <c r="AJ228">
        <f>SUMIF('Как будет'!$A$35:$A$42,Доп.расчеты!$A228,'Как будет'!AK$35:AK$42)</f>
        <v>0</v>
      </c>
      <c r="AK228">
        <f>SUMIF('Как будет'!$A$35:$A$42,Доп.расчеты!$A228,'Как будет'!AL$35:AL$42)</f>
        <v>0</v>
      </c>
      <c r="AL228">
        <f>SUMIF('Как будет'!$A$35:$A$42,Доп.расчеты!$A228,'Как будет'!AM$35:AM$42)</f>
        <v>0</v>
      </c>
      <c r="AM228">
        <f>SUMIF('Как будет'!$A$35:$A$42,Доп.расчеты!$A228,'Как будет'!AN$35:AN$42)</f>
        <v>0</v>
      </c>
      <c r="AN228">
        <f>SUMIF('Как будет'!$A$35:$A$42,Доп.расчеты!$A228,'Как будет'!AO$35:AO$42)</f>
        <v>0</v>
      </c>
      <c r="AO228">
        <f>SUMIF('Как будет'!$A$35:$A$42,Доп.расчеты!$A228,'Как будет'!AP$35:AP$42)</f>
        <v>0</v>
      </c>
      <c r="AP228">
        <f>SUMIF('Как будет'!$A$35:$A$42,Доп.расчеты!$A228,'Как будет'!AQ$35:AQ$42)</f>
        <v>0</v>
      </c>
      <c r="AQ228">
        <f>SUMIF('Как будет'!$A$35:$A$42,Доп.расчеты!$A228,'Как будет'!AR$35:AR$42)</f>
        <v>0</v>
      </c>
      <c r="AR228">
        <f>SUMIF('Как будет'!$A$35:$A$42,Доп.расчеты!$A228,'Как будет'!AS$35:AS$42)</f>
        <v>0</v>
      </c>
      <c r="AS228">
        <f>SUMIF('Как будет'!$A$35:$A$42,Доп.расчеты!$A228,'Как будет'!AT$35:AT$42)</f>
        <v>0</v>
      </c>
      <c r="AT228">
        <f>SUMIF('Как будет'!$A$35:$A$42,Доп.расчеты!$A228,'Как будет'!AU$35:AU$42)</f>
        <v>0</v>
      </c>
      <c r="AU228">
        <f>SUMIF('Как будет'!$A$35:$A$42,Доп.расчеты!$A228,'Как будет'!AV$35:AV$42)</f>
        <v>0</v>
      </c>
      <c r="AV228">
        <f>SUMIF('Как будет'!$A$35:$A$42,Доп.расчеты!$A228,'Как будет'!AW$35:AW$42)</f>
        <v>0</v>
      </c>
      <c r="AW228">
        <f>SUMIF('Как будет'!$A$35:$A$42,Доп.расчеты!$A228,'Как будет'!AX$35:AX$42)</f>
        <v>0</v>
      </c>
      <c r="AX228">
        <f>SUMIF('Как будет'!$A$35:$A$42,Доп.расчеты!$A228,'Как будет'!AY$35:AY$42)</f>
        <v>0</v>
      </c>
      <c r="AY228">
        <f>SUMIF('Как будет'!$A$35:$A$42,Доп.расчеты!$A228,'Как будет'!AZ$35:AZ$42)</f>
        <v>0</v>
      </c>
      <c r="AZ228">
        <f>SUMIF('Как будет'!$A$35:$A$42,Доп.расчеты!$A228,'Как будет'!BA$35:BA$42)</f>
        <v>0</v>
      </c>
      <c r="BA228">
        <f>SUMIF('Как будет'!$A$35:$A$42,Доп.расчеты!$A228,'Как будет'!BB$35:BB$42)</f>
        <v>0</v>
      </c>
      <c r="BB228">
        <f>SUMIF('Как будет'!$A$35:$A$42,Доп.расчеты!$A228,'Как будет'!BC$35:BC$42)</f>
        <v>0</v>
      </c>
      <c r="BC228">
        <f>SUMIF('Как будет'!$A$35:$A$42,Доп.расчеты!$A228,'Как будет'!BD$35:BD$42)</f>
        <v>0</v>
      </c>
      <c r="BD228">
        <f>SUMIF('Как будет'!$A$35:$A$42,Доп.расчеты!$A228,'Как будет'!BE$35:BE$42)</f>
        <v>0</v>
      </c>
      <c r="BE228">
        <f>SUMIF('Как будет'!$A$35:$A$42,Доп.расчеты!$A228,'Как будет'!BF$35:BF$42)</f>
        <v>0</v>
      </c>
      <c r="BF228">
        <f>SUMIF('Как будет'!$A$35:$A$42,Доп.расчеты!$A228,'Как будет'!BG$35:BG$42)</f>
        <v>0</v>
      </c>
      <c r="BG228">
        <f>SUMIF('Как будет'!$A$35:$A$42,Доп.расчеты!$A228,'Как будет'!BH$35:BH$42)</f>
        <v>0</v>
      </c>
      <c r="BH228">
        <f>SUMIF('Как будет'!$A$35:$A$42,Доп.расчеты!$A228,'Как будет'!BI$35:BI$42)</f>
        <v>0</v>
      </c>
      <c r="BI228">
        <f>SUMIF('Как будет'!$A$35:$A$42,Доп.расчеты!$A228,'Как будет'!BJ$35:BJ$42)</f>
        <v>0</v>
      </c>
      <c r="BJ228">
        <f>SUMIF('Как будет'!$A$35:$A$42,Доп.расчеты!$A228,'Как будет'!BK$35:BK$42)</f>
        <v>0</v>
      </c>
      <c r="BK228">
        <f>SUMIF('Как будет'!$A$35:$A$42,Доп.расчеты!$A228,'Как будет'!BL$35:BL$42)</f>
        <v>0</v>
      </c>
      <c r="BL228">
        <f>SUMIF('Как будет'!$A$35:$A$42,Доп.расчеты!$A228,'Как будет'!BM$35:BM$42)</f>
        <v>0</v>
      </c>
      <c r="BM228">
        <f>SUMIF('Как будет'!$A$35:$A$42,Доп.расчеты!$A228,'Как будет'!BN$35:BN$42)</f>
        <v>0</v>
      </c>
      <c r="BN228">
        <f>SUMIF('Как будет'!$A$35:$A$42,Доп.расчеты!$A228,'Как будет'!BO$35:BO$42)</f>
        <v>0</v>
      </c>
      <c r="BO228">
        <f>SUMIF('Как будет'!$A$35:$A$42,Доп.расчеты!$A228,'Как будет'!BP$35:BP$42)</f>
        <v>0</v>
      </c>
      <c r="BP228">
        <f>SUMIF('Как будет'!$A$35:$A$42,Доп.расчеты!$A228,'Как будет'!BQ$35:BQ$42)</f>
        <v>0</v>
      </c>
      <c r="BQ228">
        <f>SUMIF('Как будет'!$A$35:$A$42,Доп.расчеты!$A228,'Как будет'!BR$35:BR$42)</f>
        <v>0</v>
      </c>
      <c r="BR228">
        <f>SUMIF('Как будет'!$A$35:$A$42,Доп.расчеты!$A228,'Как будет'!BS$35:BS$42)</f>
        <v>0</v>
      </c>
      <c r="BS228">
        <f>SUMIF('Как будет'!$A$35:$A$42,Доп.расчеты!$A228,'Как будет'!BT$35:BT$42)</f>
        <v>0</v>
      </c>
      <c r="BT228">
        <f>SUMIF('Как будет'!$A$35:$A$42,Доп.расчеты!$A228,'Как будет'!BU$35:BU$42)</f>
        <v>0</v>
      </c>
      <c r="BU228">
        <f>SUMIF('Как будет'!$A$35:$A$42,Доп.расчеты!$A228,'Как будет'!BV$35:BV$42)</f>
        <v>0</v>
      </c>
      <c r="BV228">
        <f>SUMIF('Как будет'!$A$35:$A$42,Доп.расчеты!$A228,'Как будет'!BW$35:BW$42)</f>
        <v>0</v>
      </c>
      <c r="BW228">
        <f>SUMIF('Как будет'!$A$35:$A$42,Доп.расчеты!$A228,'Как будет'!BX$35:BX$42)</f>
        <v>0</v>
      </c>
      <c r="BX228">
        <f>SUMIF('Как будет'!$A$35:$A$42,Доп.расчеты!$A228,'Как будет'!BY$35:BY$42)</f>
        <v>0</v>
      </c>
      <c r="BY228">
        <f>SUMIF('Как будет'!$A$35:$A$42,Доп.расчеты!$A228,'Как будет'!BZ$35:BZ$42)</f>
        <v>0</v>
      </c>
      <c r="BZ228">
        <f>SUMIF('Как будет'!$A$35:$A$42,Доп.расчеты!$A228,'Как будет'!CA$35:CA$42)</f>
        <v>0</v>
      </c>
      <c r="CA228">
        <f>SUMIF('Как будет'!$A$35:$A$42,Доп.расчеты!$A228,'Как будет'!CB$35:CB$42)</f>
        <v>0</v>
      </c>
      <c r="CB228">
        <f>SUMIF('Как будет'!$A$35:$A$42,Доп.расчеты!$A228,'Как будет'!CC$35:CC$42)</f>
        <v>0</v>
      </c>
      <c r="CC228">
        <f>SUMIF('Как будет'!$A$35:$A$42,Доп.расчеты!$A228,'Как будет'!CD$35:CD$42)</f>
        <v>0</v>
      </c>
      <c r="CD228">
        <f>SUMIF('Как будет'!$A$35:$A$42,Доп.расчеты!$A228,'Как будет'!CE$35:CE$42)</f>
        <v>0</v>
      </c>
      <c r="CE228">
        <f>SUMIF('Как будет'!$A$35:$A$42,Доп.расчеты!$A228,'Как будет'!CF$35:CF$42)</f>
        <v>0</v>
      </c>
      <c r="CF228">
        <f>SUMIF('Как будет'!$A$35:$A$42,Доп.расчеты!$A228,'Как будет'!CG$35:CG$42)</f>
        <v>0</v>
      </c>
      <c r="CG228">
        <f>SUMIF('Как будет'!$A$35:$A$42,Доп.расчеты!$A228,'Как будет'!CH$35:CH$42)</f>
        <v>0</v>
      </c>
      <c r="CH228">
        <f>SUMIF('Как будет'!$A$35:$A$42,Доп.расчеты!$A228,'Как будет'!CI$35:CI$42)</f>
        <v>0</v>
      </c>
      <c r="CI228">
        <f>SUMIF('Как будет'!$A$35:$A$42,Доп.расчеты!$A228,'Как будет'!CJ$35:CJ$42)</f>
        <v>0</v>
      </c>
      <c r="CJ228">
        <f>SUMIF('Как будет'!$A$35:$A$42,Доп.расчеты!$A228,'Как будет'!CK$35:CK$42)</f>
        <v>0</v>
      </c>
      <c r="CK228">
        <f>SUMIF('Как будет'!$A$35:$A$42,Доп.расчеты!$A228,'Как будет'!CL$35:CL$42)</f>
        <v>0</v>
      </c>
      <c r="CL228">
        <f>SUMIF('Как будет'!$A$35:$A$42,Доп.расчеты!$A228,'Как будет'!CM$35:CM$42)</f>
        <v>0</v>
      </c>
      <c r="CM228">
        <f>SUMIF('Как будет'!$A$35:$A$42,Доп.расчеты!$A228,'Как будет'!CN$35:CN$42)</f>
        <v>0</v>
      </c>
      <c r="CN228">
        <f>SUMIF('Как будет'!$A$35:$A$42,Доп.расчеты!$A228,'Как будет'!CO$35:CO$42)</f>
        <v>0</v>
      </c>
      <c r="CO228">
        <f>SUMIF('Как будет'!$A$35:$A$42,Доп.расчеты!$A228,'Как будет'!CP$35:CP$42)</f>
        <v>0</v>
      </c>
      <c r="CP228">
        <f>SUMIF('Как будет'!$A$35:$A$42,Доп.расчеты!$A228,'Как будет'!CQ$35:CQ$42)</f>
        <v>0</v>
      </c>
      <c r="CQ228">
        <f>SUMIF('Как будет'!$A$35:$A$42,Доп.расчеты!$A228,'Как будет'!CR$35:CR$42)</f>
        <v>0</v>
      </c>
      <c r="CR228">
        <f>SUMIF('Как будет'!$A$35:$A$42,Доп.расчеты!$A228,'Как будет'!CS$35:CS$42)</f>
        <v>0</v>
      </c>
      <c r="CS228">
        <f>SUMIF('Как будет'!$A$35:$A$42,Доп.расчеты!$A228,'Как будет'!CT$35:CT$42)</f>
        <v>0</v>
      </c>
      <c r="CT228">
        <f>SUMIF('Как будет'!$A$35:$A$42,Доп.расчеты!$A228,'Как будет'!CU$35:CU$42)</f>
        <v>0</v>
      </c>
      <c r="CU228">
        <f>SUMIF('Как будет'!$A$35:$A$42,Доп.расчеты!$A228,'Как будет'!CV$35:CV$42)</f>
        <v>0</v>
      </c>
      <c r="CV228">
        <f>SUMIF('Как будет'!$A$35:$A$42,Доп.расчеты!$A228,'Как будет'!CW$35:CW$42)</f>
        <v>0</v>
      </c>
      <c r="CW228">
        <f>SUMIF('Как будет'!$A$35:$A$42,Доп.расчеты!$A228,'Как будет'!CX$35:CX$42)</f>
        <v>0</v>
      </c>
      <c r="CX228">
        <f>SUMIF('Как будет'!$A$35:$A$42,Доп.расчеты!$A228,'Как будет'!CY$35:CY$42)</f>
        <v>0</v>
      </c>
      <c r="CY228">
        <f>SUMIF('Как будет'!$A$35:$A$42,Доп.расчеты!$A228,'Как будет'!CZ$35:CZ$42)</f>
        <v>0</v>
      </c>
      <c r="CZ228">
        <f>SUMIF('Как будет'!$A$35:$A$42,Доп.расчеты!$A228,'Как будет'!DA$35:DA$42)</f>
        <v>0</v>
      </c>
      <c r="DA228">
        <f>SUMIF('Как будет'!$A$35:$A$42,Доп.расчеты!$A228,'Как будет'!DB$35:DB$42)</f>
        <v>0</v>
      </c>
      <c r="DB228">
        <f>SUMIF('Как будет'!$A$35:$A$42,Доп.расчеты!$A228,'Как будет'!DC$35:DC$42)</f>
        <v>0</v>
      </c>
      <c r="DC228">
        <f>SUMIF('Как будет'!$A$35:$A$42,Доп.расчеты!$A228,'Как будет'!DD$35:DD$42)</f>
        <v>0</v>
      </c>
      <c r="DD228">
        <f>SUMIF('Как будет'!$A$35:$A$42,Доп.расчеты!$A228,'Как будет'!DE$35:DE$42)</f>
        <v>0</v>
      </c>
      <c r="DE228">
        <f>SUMIF('Как будет'!$A$35:$A$42,Доп.расчеты!$A228,'Как будет'!DF$35:DF$42)</f>
        <v>0</v>
      </c>
      <c r="DF228">
        <f>SUMIF('Как будет'!$A$35:$A$42,Доп.расчеты!$A228,'Как будет'!DG$35:DG$42)</f>
        <v>0</v>
      </c>
      <c r="DG228">
        <f>SUMIF('Как будет'!$A$35:$A$42,Доп.расчеты!$A228,'Как будет'!DH$35:DH$42)</f>
        <v>0</v>
      </c>
      <c r="DH228">
        <f>SUMIF('Как будет'!$A$35:$A$42,Доп.расчеты!$A228,'Как будет'!DI$35:DI$42)</f>
        <v>0</v>
      </c>
      <c r="DI228">
        <f>SUMIF('Как будет'!$A$35:$A$42,Доп.расчеты!$A228,'Как будет'!DJ$35:DJ$42)</f>
        <v>0</v>
      </c>
      <c r="DJ228">
        <f>SUMIF('Как будет'!$A$35:$A$42,Доп.расчеты!$A228,'Как будет'!DK$35:DK$42)</f>
        <v>0</v>
      </c>
      <c r="DK228">
        <f>SUMIF('Как будет'!$A$35:$A$42,Доп.расчеты!$A228,'Как будет'!DL$35:DL$42)</f>
        <v>0</v>
      </c>
      <c r="DL228">
        <f>SUMIF('Как будет'!$A$35:$A$42,Доп.расчеты!$A228,'Как будет'!DM$35:DM$42)</f>
        <v>0</v>
      </c>
      <c r="DM228">
        <f>SUMIF('Как будет'!$A$35:$A$42,Доп.расчеты!$A228,'Как будет'!DN$35:DN$42)</f>
        <v>0</v>
      </c>
      <c r="DN228">
        <f>SUMIF('Как будет'!$A$35:$A$42,Доп.расчеты!$A228,'Как будет'!DO$35:DO$42)</f>
        <v>0</v>
      </c>
      <c r="DO228">
        <f>SUMIF('Как будет'!$A$35:$A$42,Доп.расчеты!$A228,'Как будет'!DP$35:DP$42)</f>
        <v>0</v>
      </c>
      <c r="DP228">
        <f>SUMIF('Как будет'!$A$35:$A$42,Доп.расчеты!$A228,'Как будет'!DQ$35:DQ$42)</f>
        <v>0</v>
      </c>
      <c r="DQ228">
        <f>SUMIF('Как будет'!$A$35:$A$42,Доп.расчеты!$A228,'Как будет'!DR$35:DR$42)</f>
        <v>0</v>
      </c>
      <c r="DR228">
        <f>SUMIF('Как будет'!$A$35:$A$42,Доп.расчеты!$A228,'Как будет'!DS$35:DS$42)</f>
        <v>0</v>
      </c>
      <c r="DS228">
        <f>SUMIF('Как будет'!$A$35:$A$42,Доп.расчеты!$A228,'Как будет'!DT$35:DT$42)</f>
        <v>0</v>
      </c>
      <c r="DT228">
        <f>SUMIF('Как будет'!$A$35:$A$42,Доп.расчеты!$A228,'Как будет'!DU$35:DU$42)</f>
        <v>0</v>
      </c>
      <c r="DU228">
        <f>SUMIF('Как будет'!$A$35:$A$42,Доп.расчеты!$A228,'Как будет'!DV$35:DV$42)</f>
        <v>0</v>
      </c>
      <c r="DV228">
        <f>SUMIF('Как будет'!$A$35:$A$42,Доп.расчеты!$A228,'Как будет'!DW$35:DW$42)</f>
        <v>0</v>
      </c>
      <c r="DW228">
        <f>SUMIF('Как будет'!$A$35:$A$42,Доп.расчеты!$A228,'Как будет'!DX$35:DX$42)</f>
        <v>0</v>
      </c>
      <c r="DX228">
        <f>SUMIF('Как будет'!$A$35:$A$42,Доп.расчеты!$A228,'Как будет'!DY$35:DY$42)</f>
        <v>0</v>
      </c>
      <c r="DY228">
        <f>SUMIF('Как будет'!$A$35:$A$42,Доп.расчеты!$A228,'Как будет'!DZ$35:DZ$42)</f>
        <v>0</v>
      </c>
      <c r="DZ228">
        <f>SUMIF('Как будет'!$A$35:$A$42,Доп.расчеты!$A228,'Как будет'!EA$35:EA$42)</f>
        <v>0</v>
      </c>
      <c r="EA228">
        <f>SUMIF('Как будет'!$A$35:$A$42,Доп.расчеты!$A228,'Как будет'!EB$35:EB$42)</f>
        <v>0</v>
      </c>
      <c r="EB228">
        <f>SUMIF('Как будет'!$A$35:$A$42,Доп.расчеты!$A228,'Как будет'!EC$35:EC$42)</f>
        <v>0</v>
      </c>
      <c r="EC228">
        <f>SUMIF('Как будет'!$A$35:$A$42,Доп.расчеты!$A228,'Как будет'!ED$35:ED$42)</f>
        <v>0</v>
      </c>
      <c r="ED228">
        <f>SUMIF('Как будет'!$A$35:$A$42,Доп.расчеты!$A228,'Как будет'!EE$35:EE$42)</f>
        <v>0</v>
      </c>
      <c r="EE228">
        <f>SUMIF('Как будет'!$A$35:$A$42,Доп.расчеты!$A228,'Как будет'!EF$35:EF$42)</f>
        <v>0</v>
      </c>
      <c r="EF228">
        <f>SUMIF('Как будет'!$A$35:$A$42,Доп.расчеты!$A228,'Как будет'!EG$35:EG$42)</f>
        <v>0</v>
      </c>
      <c r="EG228">
        <f>SUMIF('Как будет'!$A$35:$A$42,Доп.расчеты!$A228,'Как будет'!EH$35:EH$42)</f>
        <v>0</v>
      </c>
      <c r="EH228">
        <f>SUMIF('Как будет'!$A$35:$A$42,Доп.расчеты!$A228,'Как будет'!EI$35:EI$42)</f>
        <v>0</v>
      </c>
      <c r="EI228">
        <f>SUMIF('Как будет'!$A$35:$A$42,Доп.расчеты!$A228,'Как будет'!EJ$35:EJ$42)</f>
        <v>0</v>
      </c>
      <c r="EJ228">
        <f>SUMIF('Как будет'!$A$35:$A$42,Доп.расчеты!$A228,'Как будет'!EK$35:EK$42)</f>
        <v>0</v>
      </c>
      <c r="EK228">
        <f>SUMIF('Как будет'!$A$35:$A$42,Доп.расчеты!$A228,'Как будет'!EL$35:EL$42)</f>
        <v>0</v>
      </c>
      <c r="EL228">
        <f>SUMIF('Как будет'!$A$35:$A$42,Доп.расчеты!$A228,'Как будет'!EM$35:EM$42)</f>
        <v>0</v>
      </c>
      <c r="EM228">
        <f>SUMIF('Как будет'!$A$35:$A$42,Доп.расчеты!$A228,'Как будет'!EN$35:EN$42)</f>
        <v>0</v>
      </c>
      <c r="EN228">
        <f>SUMIF('Как будет'!$A$35:$A$42,Доп.расчеты!$A228,'Как будет'!EO$35:EO$42)</f>
        <v>0</v>
      </c>
      <c r="EO228">
        <f>SUMIF('Как будет'!$A$35:$A$42,Доп.расчеты!$A228,'Как будет'!EP$35:EP$42)</f>
        <v>0</v>
      </c>
      <c r="EP228">
        <f>SUMIF('Как будет'!$A$35:$A$42,Доп.расчеты!$A228,'Как будет'!EQ$35:EQ$42)</f>
        <v>0</v>
      </c>
      <c r="EQ228">
        <f>SUMIF('Как будет'!$A$35:$A$42,Доп.расчеты!$A228,'Как будет'!ER$35:ER$42)</f>
        <v>0</v>
      </c>
      <c r="ER228">
        <f>SUMIF('Как будет'!$A$35:$A$42,Доп.расчеты!$A228,'Как будет'!ES$35:ES$42)</f>
        <v>0</v>
      </c>
      <c r="ES228">
        <f>SUMIF('Как будет'!$A$35:$A$42,Доп.расчеты!$A228,'Как будет'!ET$35:ET$42)</f>
        <v>0</v>
      </c>
      <c r="ET228">
        <f>SUMIF('Как будет'!$A$35:$A$42,Доп.расчеты!$A228,'Как будет'!EU$35:EU$42)</f>
        <v>0</v>
      </c>
      <c r="EU228">
        <f>SUMIF('Как будет'!$A$35:$A$42,Доп.расчеты!$A228,'Как будет'!EV$35:EV$42)</f>
        <v>0</v>
      </c>
      <c r="EV228">
        <f>SUMIF('Как будет'!$A$35:$A$42,Доп.расчеты!$A228,'Как будет'!EW$35:EW$42)</f>
        <v>0</v>
      </c>
      <c r="EW228">
        <f>SUMIF('Как будет'!$A$35:$A$42,Доп.расчеты!$A228,'Как будет'!EX$35:EX$42)</f>
        <v>0</v>
      </c>
      <c r="EX228">
        <f>SUMIF('Как будет'!$A$35:$A$42,Доп.расчеты!$A228,'Как будет'!EY$35:EY$42)</f>
        <v>0</v>
      </c>
      <c r="EY228">
        <f>SUMIF('Как будет'!$A$35:$A$42,Доп.расчеты!$A228,'Как будет'!EZ$35:EZ$42)</f>
        <v>0</v>
      </c>
      <c r="EZ228">
        <f>SUMIF('Как будет'!$A$35:$A$42,Доп.расчеты!$A228,'Как будет'!FA$35:FA$42)</f>
        <v>0</v>
      </c>
      <c r="FA228">
        <f>SUMIF('Как будет'!$A$35:$A$42,Доп.расчеты!$A228,'Как будет'!FB$35:FB$42)</f>
        <v>0</v>
      </c>
      <c r="FB228">
        <f>SUMIF('Как будет'!$A$35:$A$42,Доп.расчеты!$A228,'Как будет'!FC$35:FC$42)</f>
        <v>0</v>
      </c>
      <c r="FC228">
        <f>SUMIF('Как будет'!$A$35:$A$42,Доп.расчеты!$A228,'Как будет'!FD$35:FD$42)</f>
        <v>0</v>
      </c>
      <c r="FD228">
        <f>SUMIF('Как будет'!$A$35:$A$42,Доп.расчеты!$A228,'Как будет'!FE$35:FE$42)</f>
        <v>0</v>
      </c>
      <c r="FE228">
        <f>SUMIF('Как будет'!$A$35:$A$42,Доп.расчеты!$A228,'Как будет'!FF$35:FF$42)</f>
        <v>0</v>
      </c>
      <c r="FF228">
        <f>SUMIF('Как будет'!$A$35:$A$42,Доп.расчеты!$A228,'Как будет'!FG$35:FG$42)</f>
        <v>0</v>
      </c>
      <c r="FG228">
        <f>SUMIF('Как будет'!$A$35:$A$42,Доп.расчеты!$A228,'Как будет'!FH$35:FH$42)</f>
        <v>0</v>
      </c>
      <c r="FH228">
        <f>SUMIF('Как будет'!$A$35:$A$42,Доп.расчеты!$A228,'Как будет'!FI$35:FI$42)</f>
        <v>0</v>
      </c>
      <c r="FI228">
        <f>SUMIF('Как будет'!$A$35:$A$42,Доп.расчеты!$A228,'Как будет'!FJ$35:FJ$42)</f>
        <v>0</v>
      </c>
      <c r="FJ228">
        <f>SUMIF('Как будет'!$A$35:$A$42,Доп.расчеты!$A228,'Как будет'!FK$35:FK$42)</f>
        <v>0</v>
      </c>
      <c r="FK228">
        <f>SUMIF('Как будет'!$A$35:$A$42,Доп.расчеты!$A228,'Как будет'!FL$35:FL$42)</f>
        <v>0</v>
      </c>
      <c r="FL228">
        <f>SUMIF('Как будет'!$A$35:$A$42,Доп.расчеты!$A228,'Как будет'!FM$35:FM$42)</f>
        <v>0</v>
      </c>
      <c r="FM228">
        <f>SUMIF('Как будет'!$A$35:$A$42,Доп.расчеты!$A228,'Как будет'!FN$35:FN$42)</f>
        <v>0</v>
      </c>
      <c r="FN228">
        <f>SUMIF('Как будет'!$A$35:$A$42,Доп.расчеты!$A228,'Как будет'!FO$35:FO$42)</f>
        <v>0</v>
      </c>
      <c r="FO228">
        <f>SUMIF('Как будет'!$A$35:$A$42,Доп.расчеты!$A228,'Как будет'!FP$35:FP$42)</f>
        <v>0</v>
      </c>
      <c r="FP228">
        <f>SUMIF('Как будет'!$A$35:$A$42,Доп.расчеты!$A228,'Как будет'!FQ$35:FQ$42)</f>
        <v>0</v>
      </c>
      <c r="FQ228">
        <f>SUMIF('Как будет'!$A$35:$A$42,Доп.расчеты!$A228,'Как будет'!FR$35:FR$42)</f>
        <v>0</v>
      </c>
      <c r="FR228">
        <f>SUMIF('Как будет'!$A$35:$A$42,Доп.расчеты!$A228,'Как будет'!FS$35:FS$42)</f>
        <v>0</v>
      </c>
      <c r="FS228">
        <f>SUMIF('Как будет'!$A$35:$A$42,Доп.расчеты!$A228,'Как будет'!FT$35:FT$42)</f>
        <v>0</v>
      </c>
      <c r="FT228">
        <f>SUMIF('Как будет'!$A$35:$A$42,Доп.расчеты!$A228,'Как будет'!FU$35:FU$42)</f>
        <v>0</v>
      </c>
      <c r="FU228">
        <f>SUMIF('Как будет'!$A$35:$A$42,Доп.расчеты!$A228,'Как будет'!FV$35:FV$42)</f>
        <v>0</v>
      </c>
      <c r="FV228">
        <f>SUMIF('Как будет'!$A$35:$A$42,Доп.расчеты!$A228,'Как будет'!FW$35:FW$42)</f>
        <v>0</v>
      </c>
      <c r="FW228">
        <f>SUMIF('Как будет'!$A$35:$A$42,Доп.расчеты!$A228,'Как будет'!FX$35:FX$42)</f>
        <v>0</v>
      </c>
      <c r="FX228">
        <f>SUMIF('Как будет'!$A$35:$A$42,Доп.расчеты!$A228,'Как будет'!FY$35:FY$42)</f>
        <v>0</v>
      </c>
      <c r="FY228">
        <f>SUMIF('Как будет'!$A$35:$A$42,Доп.расчеты!$A228,'Как будет'!FZ$35:FZ$42)</f>
        <v>0</v>
      </c>
      <c r="FZ228">
        <f>SUMIF('Как будет'!$A$35:$A$42,Доп.расчеты!$A228,'Как будет'!GA$35:GA$42)</f>
        <v>0</v>
      </c>
      <c r="GA228">
        <f>SUMIF('Как будет'!$A$35:$A$42,Доп.расчеты!$A228,'Как будет'!GB$35:GB$42)</f>
        <v>0</v>
      </c>
      <c r="GB228">
        <f>SUMIF('Как будет'!$A$35:$A$42,Доп.расчеты!$A228,'Как будет'!GC$35:GC$42)</f>
        <v>0</v>
      </c>
      <c r="GC228">
        <f>SUMIF('Как будет'!$A$35:$A$42,Доп.расчеты!$A228,'Как будет'!GD$35:GD$42)</f>
        <v>0</v>
      </c>
      <c r="GD228">
        <f>SUMIF('Как будет'!$A$35:$A$42,Доп.расчеты!$A228,'Как будет'!GE$35:GE$42)</f>
        <v>0</v>
      </c>
      <c r="GE228">
        <f>SUMIF('Как будет'!$A$35:$A$42,Доп.расчеты!$A228,'Как будет'!GF$35:GF$42)</f>
        <v>0</v>
      </c>
      <c r="GF228">
        <f>SUMIF('Как будет'!$A$35:$A$42,Доп.расчеты!$A228,'Как будет'!GG$35:GG$42)</f>
        <v>0</v>
      </c>
      <c r="GG228">
        <f>SUMIF('Как будет'!$A$35:$A$42,Доп.расчеты!$A228,'Как будет'!GH$35:GH$42)</f>
        <v>0</v>
      </c>
      <c r="GH228">
        <f>SUMIF('Как будет'!$A$35:$A$42,Доп.расчеты!$A228,'Как будет'!GI$35:GI$42)</f>
        <v>0</v>
      </c>
      <c r="GI228">
        <f>SUMIF('Как будет'!$A$35:$A$42,Доп.расчеты!$A228,'Как будет'!GJ$35:GJ$42)</f>
        <v>0</v>
      </c>
      <c r="GJ228">
        <f>SUMIF('Как будет'!$A$35:$A$42,Доп.расчеты!$A228,'Как будет'!GK$35:GK$42)</f>
        <v>0</v>
      </c>
      <c r="GK228">
        <f>SUMIF('Как будет'!$A$35:$A$42,Доп.расчеты!$A228,'Как будет'!GL$35:GL$42)</f>
        <v>0</v>
      </c>
      <c r="GL228">
        <f>SUMIF('Как будет'!$A$35:$A$42,Доп.расчеты!$A228,'Как будет'!GM$35:GM$42)</f>
        <v>0</v>
      </c>
      <c r="GM228">
        <f>SUMIF('Как будет'!$A$35:$A$42,Доп.расчеты!$A228,'Как будет'!GN$35:GN$42)</f>
        <v>0</v>
      </c>
      <c r="GN228">
        <f>SUMIF('Как будет'!$A$35:$A$42,Доп.расчеты!$A228,'Как будет'!GO$35:GO$42)</f>
        <v>0</v>
      </c>
      <c r="GO228">
        <f>SUMIF('Как будет'!$A$35:$A$42,Доп.расчеты!$A228,'Как будет'!GP$35:GP$42)</f>
        <v>0</v>
      </c>
      <c r="GP228">
        <f>SUMIF('Как будет'!$A$35:$A$42,Доп.расчеты!$A228,'Как будет'!GQ$35:GQ$42)</f>
        <v>0</v>
      </c>
      <c r="GQ228">
        <f>SUMIF('Как будет'!$A$35:$A$42,Доп.расчеты!$A228,'Как будет'!GR$35:GR$42)</f>
        <v>0</v>
      </c>
      <c r="GR228">
        <f>SUMIF('Как будет'!$A$35:$A$42,Доп.расчеты!$A228,'Как будет'!GS$35:GS$42)</f>
        <v>0</v>
      </c>
      <c r="GS228">
        <f>SUMIF('Как будет'!$A$35:$A$42,Доп.расчеты!$A228,'Как будет'!GT$35:GT$42)</f>
        <v>0</v>
      </c>
      <c r="GT228">
        <f>SUMIF('Как будет'!$A$35:$A$42,Доп.расчеты!$A228,'Как будет'!GU$35:GU$42)</f>
        <v>0</v>
      </c>
    </row>
    <row r="229" spans="1:202">
      <c r="A229" s="238" t="s">
        <v>116</v>
      </c>
      <c r="B229">
        <f>SUMIF('Как будет'!$A$35:$A$42,Доп.расчеты!$A229,'Как будет'!C$35:C$42)</f>
        <v>0</v>
      </c>
      <c r="C229">
        <f>SUMIF('Как будет'!$A$35:$A$42,Доп.расчеты!$A229,'Как будет'!D$35:D$42)</f>
        <v>0</v>
      </c>
      <c r="D229">
        <f>SUMIF('Как будет'!$A$35:$A$42,Доп.расчеты!$A229,'Как будет'!E$35:E$42)</f>
        <v>0</v>
      </c>
      <c r="E229">
        <f>SUMIF('Как будет'!$A$35:$A$42,Доп.расчеты!$A229,'Как будет'!F$35:F$42)</f>
        <v>0</v>
      </c>
      <c r="F229">
        <f>SUMIF('Как будет'!$A$35:$A$42,Доп.расчеты!$A229,'Как будет'!G$35:G$42)</f>
        <v>0</v>
      </c>
      <c r="G229">
        <f>SUMIF('Как будет'!$A$35:$A$42,Доп.расчеты!$A229,'Как будет'!H$35:H$42)</f>
        <v>0</v>
      </c>
      <c r="H229">
        <f>SUMIF('Как будет'!$A$35:$A$42,Доп.расчеты!$A229,'Как будет'!I$35:I$42)</f>
        <v>0</v>
      </c>
      <c r="I229">
        <f>SUMIF('Как будет'!$A$35:$A$42,Доп.расчеты!$A229,'Как будет'!J$35:J$42)</f>
        <v>0</v>
      </c>
      <c r="J229">
        <f>SUMIF('Как будет'!$A$35:$A$42,Доп.расчеты!$A229,'Как будет'!K$35:K$42)</f>
        <v>0</v>
      </c>
      <c r="K229">
        <f>SUMIF('Как будет'!$A$35:$A$42,Доп.расчеты!$A229,'Как будет'!L$35:L$42)</f>
        <v>0</v>
      </c>
      <c r="L229">
        <f>SUMIF('Как будет'!$A$35:$A$42,Доп.расчеты!$A229,'Как будет'!M$35:M$42)</f>
        <v>0</v>
      </c>
      <c r="M229">
        <f>SUMIF('Как будет'!$A$35:$A$42,Доп.расчеты!$A229,'Как будет'!N$35:N$42)</f>
        <v>0</v>
      </c>
      <c r="N229">
        <f>SUMIF('Как будет'!$A$35:$A$42,Доп.расчеты!$A229,'Как будет'!O$35:O$42)</f>
        <v>0</v>
      </c>
      <c r="O229">
        <f>SUMIF('Как будет'!$A$35:$A$42,Доп.расчеты!$A229,'Как будет'!P$35:P$42)</f>
        <v>0</v>
      </c>
      <c r="P229">
        <f>SUMIF('Как будет'!$A$35:$A$42,Доп.расчеты!$A229,'Как будет'!Q$35:Q$42)</f>
        <v>0</v>
      </c>
      <c r="Q229">
        <f>SUMIF('Как будет'!$A$35:$A$42,Доп.расчеты!$A229,'Как будет'!R$35:R$42)</f>
        <v>0</v>
      </c>
      <c r="R229">
        <f>SUMIF('Как будет'!$A$35:$A$42,Доп.расчеты!$A229,'Как будет'!S$35:S$42)</f>
        <v>0</v>
      </c>
      <c r="S229">
        <f>SUMIF('Как будет'!$A$35:$A$42,Доп.расчеты!$A229,'Как будет'!T$35:T$42)</f>
        <v>0</v>
      </c>
      <c r="T229">
        <f>SUMIF('Как будет'!$A$35:$A$42,Доп.расчеты!$A229,'Как будет'!U$35:U$42)</f>
        <v>0</v>
      </c>
      <c r="U229">
        <f>SUMIF('Как будет'!$A$35:$A$42,Доп.расчеты!$A229,'Как будет'!V$35:V$42)</f>
        <v>0</v>
      </c>
      <c r="V229">
        <f>SUMIF('Как будет'!$A$35:$A$42,Доп.расчеты!$A229,'Как будет'!W$35:W$42)</f>
        <v>0</v>
      </c>
      <c r="W229">
        <f>SUMIF('Как будет'!$A$35:$A$42,Доп.расчеты!$A229,'Как будет'!X$35:X$42)</f>
        <v>0</v>
      </c>
      <c r="X229">
        <f>SUMIF('Как будет'!$A$35:$A$42,Доп.расчеты!$A229,'Как будет'!Y$35:Y$42)</f>
        <v>0</v>
      </c>
      <c r="Y229">
        <f>SUMIF('Как будет'!$A$35:$A$42,Доп.расчеты!$A229,'Как будет'!Z$35:Z$42)</f>
        <v>0</v>
      </c>
      <c r="Z229">
        <f>SUMIF('Как будет'!$A$35:$A$42,Доп.расчеты!$A229,'Как будет'!AA$35:AA$42)</f>
        <v>0</v>
      </c>
      <c r="AA229">
        <f>SUMIF('Как будет'!$A$35:$A$42,Доп.расчеты!$A229,'Как будет'!AB$35:AB$42)</f>
        <v>0</v>
      </c>
      <c r="AB229">
        <f>SUMIF('Как будет'!$A$35:$A$42,Доп.расчеты!$A229,'Как будет'!AC$35:AC$42)</f>
        <v>0</v>
      </c>
      <c r="AC229">
        <f>SUMIF('Как будет'!$A$35:$A$42,Доп.расчеты!$A229,'Как будет'!AD$35:AD$42)</f>
        <v>0</v>
      </c>
      <c r="AD229">
        <f>SUMIF('Как будет'!$A$35:$A$42,Доп.расчеты!$A229,'Как будет'!AE$35:AE$42)</f>
        <v>0</v>
      </c>
      <c r="AE229">
        <f>SUMIF('Как будет'!$A$35:$A$42,Доп.расчеты!$A229,'Как будет'!AF$35:AF$42)</f>
        <v>0</v>
      </c>
      <c r="AF229">
        <f>SUMIF('Как будет'!$A$35:$A$42,Доп.расчеты!$A229,'Как будет'!AG$35:AG$42)</f>
        <v>0</v>
      </c>
      <c r="AG229">
        <f>SUMIF('Как будет'!$A$35:$A$42,Доп.расчеты!$A229,'Как будет'!AH$35:AH$42)</f>
        <v>0</v>
      </c>
      <c r="AH229">
        <f>SUMIF('Как будет'!$A$35:$A$42,Доп.расчеты!$A229,'Как будет'!AI$35:AI$42)</f>
        <v>0</v>
      </c>
      <c r="AI229">
        <f>SUMIF('Как будет'!$A$35:$A$42,Доп.расчеты!$A229,'Как будет'!AJ$35:AJ$42)</f>
        <v>0</v>
      </c>
      <c r="AJ229">
        <f>SUMIF('Как будет'!$A$35:$A$42,Доп.расчеты!$A229,'Как будет'!AK$35:AK$42)</f>
        <v>0</v>
      </c>
      <c r="AK229">
        <f>SUMIF('Как будет'!$A$35:$A$42,Доп.расчеты!$A229,'Как будет'!AL$35:AL$42)</f>
        <v>0</v>
      </c>
      <c r="AL229">
        <f>SUMIF('Как будет'!$A$35:$A$42,Доп.расчеты!$A229,'Как будет'!AM$35:AM$42)</f>
        <v>0</v>
      </c>
      <c r="AM229">
        <f>SUMIF('Как будет'!$A$35:$A$42,Доп.расчеты!$A229,'Как будет'!AN$35:AN$42)</f>
        <v>0</v>
      </c>
      <c r="AN229">
        <f>SUMIF('Как будет'!$A$35:$A$42,Доп.расчеты!$A229,'Как будет'!AO$35:AO$42)</f>
        <v>0</v>
      </c>
      <c r="AO229">
        <f>SUMIF('Как будет'!$A$35:$A$42,Доп.расчеты!$A229,'Как будет'!AP$35:AP$42)</f>
        <v>0</v>
      </c>
      <c r="AP229">
        <f>SUMIF('Как будет'!$A$35:$A$42,Доп.расчеты!$A229,'Как будет'!AQ$35:AQ$42)</f>
        <v>0</v>
      </c>
      <c r="AQ229">
        <f>SUMIF('Как будет'!$A$35:$A$42,Доп.расчеты!$A229,'Как будет'!AR$35:AR$42)</f>
        <v>0</v>
      </c>
      <c r="AR229">
        <f>SUMIF('Как будет'!$A$35:$A$42,Доп.расчеты!$A229,'Как будет'!AS$35:AS$42)</f>
        <v>0</v>
      </c>
      <c r="AS229">
        <f>SUMIF('Как будет'!$A$35:$A$42,Доп.расчеты!$A229,'Как будет'!AT$35:AT$42)</f>
        <v>0</v>
      </c>
      <c r="AT229">
        <f>SUMIF('Как будет'!$A$35:$A$42,Доп.расчеты!$A229,'Как будет'!AU$35:AU$42)</f>
        <v>0</v>
      </c>
      <c r="AU229">
        <f>SUMIF('Как будет'!$A$35:$A$42,Доп.расчеты!$A229,'Как будет'!AV$35:AV$42)</f>
        <v>0</v>
      </c>
      <c r="AV229">
        <f>SUMIF('Как будет'!$A$35:$A$42,Доп.расчеты!$A229,'Как будет'!AW$35:AW$42)</f>
        <v>0</v>
      </c>
      <c r="AW229">
        <f>SUMIF('Как будет'!$A$35:$A$42,Доп.расчеты!$A229,'Как будет'!AX$35:AX$42)</f>
        <v>0</v>
      </c>
      <c r="AX229">
        <f>SUMIF('Как будет'!$A$35:$A$42,Доп.расчеты!$A229,'Как будет'!AY$35:AY$42)</f>
        <v>0</v>
      </c>
      <c r="AY229">
        <f>SUMIF('Как будет'!$A$35:$A$42,Доп.расчеты!$A229,'Как будет'!AZ$35:AZ$42)</f>
        <v>0</v>
      </c>
      <c r="AZ229">
        <f>SUMIF('Как будет'!$A$35:$A$42,Доп.расчеты!$A229,'Как будет'!BA$35:BA$42)</f>
        <v>0</v>
      </c>
      <c r="BA229">
        <f>SUMIF('Как будет'!$A$35:$A$42,Доп.расчеты!$A229,'Как будет'!BB$35:BB$42)</f>
        <v>0</v>
      </c>
      <c r="BB229">
        <f>SUMIF('Как будет'!$A$35:$A$42,Доп.расчеты!$A229,'Как будет'!BC$35:BC$42)</f>
        <v>0</v>
      </c>
      <c r="BC229">
        <f>SUMIF('Как будет'!$A$35:$A$42,Доп.расчеты!$A229,'Как будет'!BD$35:BD$42)</f>
        <v>0</v>
      </c>
      <c r="BD229">
        <f>SUMIF('Как будет'!$A$35:$A$42,Доп.расчеты!$A229,'Как будет'!BE$35:BE$42)</f>
        <v>0</v>
      </c>
      <c r="BE229">
        <f>SUMIF('Как будет'!$A$35:$A$42,Доп.расчеты!$A229,'Как будет'!BF$35:BF$42)</f>
        <v>0</v>
      </c>
      <c r="BF229">
        <f>SUMIF('Как будет'!$A$35:$A$42,Доп.расчеты!$A229,'Как будет'!BG$35:BG$42)</f>
        <v>0</v>
      </c>
      <c r="BG229">
        <f>SUMIF('Как будет'!$A$35:$A$42,Доп.расчеты!$A229,'Как будет'!BH$35:BH$42)</f>
        <v>0</v>
      </c>
      <c r="BH229">
        <f>SUMIF('Как будет'!$A$35:$A$42,Доп.расчеты!$A229,'Как будет'!BI$35:BI$42)</f>
        <v>0</v>
      </c>
      <c r="BI229">
        <f>SUMIF('Как будет'!$A$35:$A$42,Доп.расчеты!$A229,'Как будет'!BJ$35:BJ$42)</f>
        <v>0</v>
      </c>
      <c r="BJ229">
        <f>SUMIF('Как будет'!$A$35:$A$42,Доп.расчеты!$A229,'Как будет'!BK$35:BK$42)</f>
        <v>0</v>
      </c>
      <c r="BK229">
        <f>SUMIF('Как будет'!$A$35:$A$42,Доп.расчеты!$A229,'Как будет'!BL$35:BL$42)</f>
        <v>0</v>
      </c>
      <c r="BL229">
        <f>SUMIF('Как будет'!$A$35:$A$42,Доп.расчеты!$A229,'Как будет'!BM$35:BM$42)</f>
        <v>0</v>
      </c>
      <c r="BM229">
        <f>SUMIF('Как будет'!$A$35:$A$42,Доп.расчеты!$A229,'Как будет'!BN$35:BN$42)</f>
        <v>0</v>
      </c>
      <c r="BN229">
        <f>SUMIF('Как будет'!$A$35:$A$42,Доп.расчеты!$A229,'Как будет'!BO$35:BO$42)</f>
        <v>0</v>
      </c>
      <c r="BO229">
        <f>SUMIF('Как будет'!$A$35:$A$42,Доп.расчеты!$A229,'Как будет'!BP$35:BP$42)</f>
        <v>0</v>
      </c>
      <c r="BP229">
        <f>SUMIF('Как будет'!$A$35:$A$42,Доп.расчеты!$A229,'Как будет'!BQ$35:BQ$42)</f>
        <v>0</v>
      </c>
      <c r="BQ229">
        <f>SUMIF('Как будет'!$A$35:$A$42,Доп.расчеты!$A229,'Как будет'!BR$35:BR$42)</f>
        <v>0</v>
      </c>
      <c r="BR229">
        <f>SUMIF('Как будет'!$A$35:$A$42,Доп.расчеты!$A229,'Как будет'!BS$35:BS$42)</f>
        <v>0</v>
      </c>
      <c r="BS229">
        <f>SUMIF('Как будет'!$A$35:$A$42,Доп.расчеты!$A229,'Как будет'!BT$35:BT$42)</f>
        <v>0</v>
      </c>
      <c r="BT229">
        <f>SUMIF('Как будет'!$A$35:$A$42,Доп.расчеты!$A229,'Как будет'!BU$35:BU$42)</f>
        <v>0</v>
      </c>
      <c r="BU229">
        <f>SUMIF('Как будет'!$A$35:$A$42,Доп.расчеты!$A229,'Как будет'!BV$35:BV$42)</f>
        <v>0</v>
      </c>
      <c r="BV229">
        <f>SUMIF('Как будет'!$A$35:$A$42,Доп.расчеты!$A229,'Как будет'!BW$35:BW$42)</f>
        <v>0</v>
      </c>
      <c r="BW229">
        <f>SUMIF('Как будет'!$A$35:$A$42,Доп.расчеты!$A229,'Как будет'!BX$35:BX$42)</f>
        <v>0</v>
      </c>
      <c r="BX229">
        <f>SUMIF('Как будет'!$A$35:$A$42,Доп.расчеты!$A229,'Как будет'!BY$35:BY$42)</f>
        <v>0</v>
      </c>
      <c r="BY229">
        <f>SUMIF('Как будет'!$A$35:$A$42,Доп.расчеты!$A229,'Как будет'!BZ$35:BZ$42)</f>
        <v>0</v>
      </c>
      <c r="BZ229">
        <f>SUMIF('Как будет'!$A$35:$A$42,Доп.расчеты!$A229,'Как будет'!CA$35:CA$42)</f>
        <v>0</v>
      </c>
      <c r="CA229">
        <f>SUMIF('Как будет'!$A$35:$A$42,Доп.расчеты!$A229,'Как будет'!CB$35:CB$42)</f>
        <v>0</v>
      </c>
      <c r="CB229">
        <f>SUMIF('Как будет'!$A$35:$A$42,Доп.расчеты!$A229,'Как будет'!CC$35:CC$42)</f>
        <v>0</v>
      </c>
      <c r="CC229">
        <f>SUMIF('Как будет'!$A$35:$A$42,Доп.расчеты!$A229,'Как будет'!CD$35:CD$42)</f>
        <v>0</v>
      </c>
      <c r="CD229">
        <f>SUMIF('Как будет'!$A$35:$A$42,Доп.расчеты!$A229,'Как будет'!CE$35:CE$42)</f>
        <v>0</v>
      </c>
      <c r="CE229">
        <f>SUMIF('Как будет'!$A$35:$A$42,Доп.расчеты!$A229,'Как будет'!CF$35:CF$42)</f>
        <v>0</v>
      </c>
      <c r="CF229">
        <f>SUMIF('Как будет'!$A$35:$A$42,Доп.расчеты!$A229,'Как будет'!CG$35:CG$42)</f>
        <v>0</v>
      </c>
      <c r="CG229">
        <f>SUMIF('Как будет'!$A$35:$A$42,Доп.расчеты!$A229,'Как будет'!CH$35:CH$42)</f>
        <v>0</v>
      </c>
      <c r="CH229">
        <f>SUMIF('Как будет'!$A$35:$A$42,Доп.расчеты!$A229,'Как будет'!CI$35:CI$42)</f>
        <v>0</v>
      </c>
      <c r="CI229">
        <f>SUMIF('Как будет'!$A$35:$A$42,Доп.расчеты!$A229,'Как будет'!CJ$35:CJ$42)</f>
        <v>0</v>
      </c>
      <c r="CJ229">
        <f>SUMIF('Как будет'!$A$35:$A$42,Доп.расчеты!$A229,'Как будет'!CK$35:CK$42)</f>
        <v>0</v>
      </c>
      <c r="CK229">
        <f>SUMIF('Как будет'!$A$35:$A$42,Доп.расчеты!$A229,'Как будет'!CL$35:CL$42)</f>
        <v>0</v>
      </c>
      <c r="CL229">
        <f>SUMIF('Как будет'!$A$35:$A$42,Доп.расчеты!$A229,'Как будет'!CM$35:CM$42)</f>
        <v>0</v>
      </c>
      <c r="CM229">
        <f>SUMIF('Как будет'!$A$35:$A$42,Доп.расчеты!$A229,'Как будет'!CN$35:CN$42)</f>
        <v>0</v>
      </c>
      <c r="CN229">
        <f>SUMIF('Как будет'!$A$35:$A$42,Доп.расчеты!$A229,'Как будет'!CO$35:CO$42)</f>
        <v>0</v>
      </c>
      <c r="CO229">
        <f>SUMIF('Как будет'!$A$35:$A$42,Доп.расчеты!$A229,'Как будет'!CP$35:CP$42)</f>
        <v>0</v>
      </c>
      <c r="CP229">
        <f>SUMIF('Как будет'!$A$35:$A$42,Доп.расчеты!$A229,'Как будет'!CQ$35:CQ$42)</f>
        <v>0</v>
      </c>
      <c r="CQ229">
        <f>SUMIF('Как будет'!$A$35:$A$42,Доп.расчеты!$A229,'Как будет'!CR$35:CR$42)</f>
        <v>0</v>
      </c>
      <c r="CR229">
        <f>SUMIF('Как будет'!$A$35:$A$42,Доп.расчеты!$A229,'Как будет'!CS$35:CS$42)</f>
        <v>0</v>
      </c>
      <c r="CS229">
        <f>SUMIF('Как будет'!$A$35:$A$42,Доп.расчеты!$A229,'Как будет'!CT$35:CT$42)</f>
        <v>0</v>
      </c>
      <c r="CT229">
        <f>SUMIF('Как будет'!$A$35:$A$42,Доп.расчеты!$A229,'Как будет'!CU$35:CU$42)</f>
        <v>0</v>
      </c>
      <c r="CU229">
        <f>SUMIF('Как будет'!$A$35:$A$42,Доп.расчеты!$A229,'Как будет'!CV$35:CV$42)</f>
        <v>0</v>
      </c>
      <c r="CV229">
        <f>SUMIF('Как будет'!$A$35:$A$42,Доп.расчеты!$A229,'Как будет'!CW$35:CW$42)</f>
        <v>0</v>
      </c>
      <c r="CW229">
        <f>SUMIF('Как будет'!$A$35:$A$42,Доп.расчеты!$A229,'Как будет'!CX$35:CX$42)</f>
        <v>0</v>
      </c>
      <c r="CX229">
        <f>SUMIF('Как будет'!$A$35:$A$42,Доп.расчеты!$A229,'Как будет'!CY$35:CY$42)</f>
        <v>0</v>
      </c>
      <c r="CY229">
        <f>SUMIF('Как будет'!$A$35:$A$42,Доп.расчеты!$A229,'Как будет'!CZ$35:CZ$42)</f>
        <v>0</v>
      </c>
      <c r="CZ229">
        <f>SUMIF('Как будет'!$A$35:$A$42,Доп.расчеты!$A229,'Как будет'!DA$35:DA$42)</f>
        <v>0</v>
      </c>
      <c r="DA229">
        <f>SUMIF('Как будет'!$A$35:$A$42,Доп.расчеты!$A229,'Как будет'!DB$35:DB$42)</f>
        <v>0</v>
      </c>
      <c r="DB229">
        <f>SUMIF('Как будет'!$A$35:$A$42,Доп.расчеты!$A229,'Как будет'!DC$35:DC$42)</f>
        <v>0</v>
      </c>
      <c r="DC229">
        <f>SUMIF('Как будет'!$A$35:$A$42,Доп.расчеты!$A229,'Как будет'!DD$35:DD$42)</f>
        <v>0</v>
      </c>
      <c r="DD229">
        <f>SUMIF('Как будет'!$A$35:$A$42,Доп.расчеты!$A229,'Как будет'!DE$35:DE$42)</f>
        <v>0</v>
      </c>
      <c r="DE229">
        <f>SUMIF('Как будет'!$A$35:$A$42,Доп.расчеты!$A229,'Как будет'!DF$35:DF$42)</f>
        <v>0</v>
      </c>
      <c r="DF229">
        <f>SUMIF('Как будет'!$A$35:$A$42,Доп.расчеты!$A229,'Как будет'!DG$35:DG$42)</f>
        <v>0</v>
      </c>
      <c r="DG229">
        <f>SUMIF('Как будет'!$A$35:$A$42,Доп.расчеты!$A229,'Как будет'!DH$35:DH$42)</f>
        <v>0</v>
      </c>
      <c r="DH229">
        <f>SUMIF('Как будет'!$A$35:$A$42,Доп.расчеты!$A229,'Как будет'!DI$35:DI$42)</f>
        <v>0</v>
      </c>
      <c r="DI229">
        <f>SUMIF('Как будет'!$A$35:$A$42,Доп.расчеты!$A229,'Как будет'!DJ$35:DJ$42)</f>
        <v>0</v>
      </c>
      <c r="DJ229">
        <f>SUMIF('Как будет'!$A$35:$A$42,Доп.расчеты!$A229,'Как будет'!DK$35:DK$42)</f>
        <v>0</v>
      </c>
      <c r="DK229">
        <f>SUMIF('Как будет'!$A$35:$A$42,Доп.расчеты!$A229,'Как будет'!DL$35:DL$42)</f>
        <v>0</v>
      </c>
      <c r="DL229">
        <f>SUMIF('Как будет'!$A$35:$A$42,Доп.расчеты!$A229,'Как будет'!DM$35:DM$42)</f>
        <v>0</v>
      </c>
      <c r="DM229">
        <f>SUMIF('Как будет'!$A$35:$A$42,Доп.расчеты!$A229,'Как будет'!DN$35:DN$42)</f>
        <v>0</v>
      </c>
      <c r="DN229">
        <f>SUMIF('Как будет'!$A$35:$A$42,Доп.расчеты!$A229,'Как будет'!DO$35:DO$42)</f>
        <v>0</v>
      </c>
      <c r="DO229">
        <f>SUMIF('Как будет'!$A$35:$A$42,Доп.расчеты!$A229,'Как будет'!DP$35:DP$42)</f>
        <v>0</v>
      </c>
      <c r="DP229">
        <f>SUMIF('Как будет'!$A$35:$A$42,Доп.расчеты!$A229,'Как будет'!DQ$35:DQ$42)</f>
        <v>0</v>
      </c>
      <c r="DQ229">
        <f>SUMIF('Как будет'!$A$35:$A$42,Доп.расчеты!$A229,'Как будет'!DR$35:DR$42)</f>
        <v>0</v>
      </c>
      <c r="DR229">
        <f>SUMIF('Как будет'!$A$35:$A$42,Доп.расчеты!$A229,'Как будет'!DS$35:DS$42)</f>
        <v>0</v>
      </c>
      <c r="DS229">
        <f>SUMIF('Как будет'!$A$35:$A$42,Доп.расчеты!$A229,'Как будет'!DT$35:DT$42)</f>
        <v>0</v>
      </c>
      <c r="DT229">
        <f>SUMIF('Как будет'!$A$35:$A$42,Доп.расчеты!$A229,'Как будет'!DU$35:DU$42)</f>
        <v>0</v>
      </c>
      <c r="DU229">
        <f>SUMIF('Как будет'!$A$35:$A$42,Доп.расчеты!$A229,'Как будет'!DV$35:DV$42)</f>
        <v>0</v>
      </c>
      <c r="DV229">
        <f>SUMIF('Как будет'!$A$35:$A$42,Доп.расчеты!$A229,'Как будет'!DW$35:DW$42)</f>
        <v>0</v>
      </c>
      <c r="DW229">
        <f>SUMIF('Как будет'!$A$35:$A$42,Доп.расчеты!$A229,'Как будет'!DX$35:DX$42)</f>
        <v>0</v>
      </c>
      <c r="DX229">
        <f>SUMIF('Как будет'!$A$35:$A$42,Доп.расчеты!$A229,'Как будет'!DY$35:DY$42)</f>
        <v>0</v>
      </c>
      <c r="DY229">
        <f>SUMIF('Как будет'!$A$35:$A$42,Доп.расчеты!$A229,'Как будет'!DZ$35:DZ$42)</f>
        <v>0</v>
      </c>
      <c r="DZ229">
        <f>SUMIF('Как будет'!$A$35:$A$42,Доп.расчеты!$A229,'Как будет'!EA$35:EA$42)</f>
        <v>0</v>
      </c>
      <c r="EA229">
        <f>SUMIF('Как будет'!$A$35:$A$42,Доп.расчеты!$A229,'Как будет'!EB$35:EB$42)</f>
        <v>0</v>
      </c>
      <c r="EB229">
        <f>SUMIF('Как будет'!$A$35:$A$42,Доп.расчеты!$A229,'Как будет'!EC$35:EC$42)</f>
        <v>0</v>
      </c>
      <c r="EC229">
        <f>SUMIF('Как будет'!$A$35:$A$42,Доп.расчеты!$A229,'Как будет'!ED$35:ED$42)</f>
        <v>0</v>
      </c>
      <c r="ED229">
        <f>SUMIF('Как будет'!$A$35:$A$42,Доп.расчеты!$A229,'Как будет'!EE$35:EE$42)</f>
        <v>0</v>
      </c>
      <c r="EE229">
        <f>SUMIF('Как будет'!$A$35:$A$42,Доп.расчеты!$A229,'Как будет'!EF$35:EF$42)</f>
        <v>0</v>
      </c>
      <c r="EF229">
        <f>SUMIF('Как будет'!$A$35:$A$42,Доп.расчеты!$A229,'Как будет'!EG$35:EG$42)</f>
        <v>0</v>
      </c>
      <c r="EG229">
        <f>SUMIF('Как будет'!$A$35:$A$42,Доп.расчеты!$A229,'Как будет'!EH$35:EH$42)</f>
        <v>0</v>
      </c>
      <c r="EH229">
        <f>SUMIF('Как будет'!$A$35:$A$42,Доп.расчеты!$A229,'Как будет'!EI$35:EI$42)</f>
        <v>0</v>
      </c>
      <c r="EI229">
        <f>SUMIF('Как будет'!$A$35:$A$42,Доп.расчеты!$A229,'Как будет'!EJ$35:EJ$42)</f>
        <v>0</v>
      </c>
      <c r="EJ229">
        <f>SUMIF('Как будет'!$A$35:$A$42,Доп.расчеты!$A229,'Как будет'!EK$35:EK$42)</f>
        <v>0</v>
      </c>
      <c r="EK229">
        <f>SUMIF('Как будет'!$A$35:$A$42,Доп.расчеты!$A229,'Как будет'!EL$35:EL$42)</f>
        <v>0</v>
      </c>
      <c r="EL229">
        <f>SUMIF('Как будет'!$A$35:$A$42,Доп.расчеты!$A229,'Как будет'!EM$35:EM$42)</f>
        <v>0</v>
      </c>
      <c r="EM229">
        <f>SUMIF('Как будет'!$A$35:$A$42,Доп.расчеты!$A229,'Как будет'!EN$35:EN$42)</f>
        <v>0</v>
      </c>
      <c r="EN229">
        <f>SUMIF('Как будет'!$A$35:$A$42,Доп.расчеты!$A229,'Как будет'!EO$35:EO$42)</f>
        <v>0</v>
      </c>
      <c r="EO229">
        <f>SUMIF('Как будет'!$A$35:$A$42,Доп.расчеты!$A229,'Как будет'!EP$35:EP$42)</f>
        <v>0</v>
      </c>
      <c r="EP229">
        <f>SUMIF('Как будет'!$A$35:$A$42,Доп.расчеты!$A229,'Как будет'!EQ$35:EQ$42)</f>
        <v>0</v>
      </c>
      <c r="EQ229">
        <f>SUMIF('Как будет'!$A$35:$A$42,Доп.расчеты!$A229,'Как будет'!ER$35:ER$42)</f>
        <v>0</v>
      </c>
      <c r="ER229">
        <f>SUMIF('Как будет'!$A$35:$A$42,Доп.расчеты!$A229,'Как будет'!ES$35:ES$42)</f>
        <v>0</v>
      </c>
      <c r="ES229">
        <f>SUMIF('Как будет'!$A$35:$A$42,Доп.расчеты!$A229,'Как будет'!ET$35:ET$42)</f>
        <v>0</v>
      </c>
      <c r="ET229">
        <f>SUMIF('Как будет'!$A$35:$A$42,Доп.расчеты!$A229,'Как будет'!EU$35:EU$42)</f>
        <v>0</v>
      </c>
      <c r="EU229">
        <f>SUMIF('Как будет'!$A$35:$A$42,Доп.расчеты!$A229,'Как будет'!EV$35:EV$42)</f>
        <v>0</v>
      </c>
      <c r="EV229">
        <f>SUMIF('Как будет'!$A$35:$A$42,Доп.расчеты!$A229,'Как будет'!EW$35:EW$42)</f>
        <v>0</v>
      </c>
      <c r="EW229">
        <f>SUMIF('Как будет'!$A$35:$A$42,Доп.расчеты!$A229,'Как будет'!EX$35:EX$42)</f>
        <v>0</v>
      </c>
      <c r="EX229">
        <f>SUMIF('Как будет'!$A$35:$A$42,Доп.расчеты!$A229,'Как будет'!EY$35:EY$42)</f>
        <v>0</v>
      </c>
      <c r="EY229">
        <f>SUMIF('Как будет'!$A$35:$A$42,Доп.расчеты!$A229,'Как будет'!EZ$35:EZ$42)</f>
        <v>0</v>
      </c>
      <c r="EZ229">
        <f>SUMIF('Как будет'!$A$35:$A$42,Доп.расчеты!$A229,'Как будет'!FA$35:FA$42)</f>
        <v>0</v>
      </c>
      <c r="FA229">
        <f>SUMIF('Как будет'!$A$35:$A$42,Доп.расчеты!$A229,'Как будет'!FB$35:FB$42)</f>
        <v>0</v>
      </c>
      <c r="FB229">
        <f>SUMIF('Как будет'!$A$35:$A$42,Доп.расчеты!$A229,'Как будет'!FC$35:FC$42)</f>
        <v>0</v>
      </c>
      <c r="FC229">
        <f>SUMIF('Как будет'!$A$35:$A$42,Доп.расчеты!$A229,'Как будет'!FD$35:FD$42)</f>
        <v>0</v>
      </c>
      <c r="FD229">
        <f>SUMIF('Как будет'!$A$35:$A$42,Доп.расчеты!$A229,'Как будет'!FE$35:FE$42)</f>
        <v>0</v>
      </c>
      <c r="FE229">
        <f>SUMIF('Как будет'!$A$35:$A$42,Доп.расчеты!$A229,'Как будет'!FF$35:FF$42)</f>
        <v>0</v>
      </c>
      <c r="FF229">
        <f>SUMIF('Как будет'!$A$35:$A$42,Доп.расчеты!$A229,'Как будет'!FG$35:FG$42)</f>
        <v>0</v>
      </c>
      <c r="FG229">
        <f>SUMIF('Как будет'!$A$35:$A$42,Доп.расчеты!$A229,'Как будет'!FH$35:FH$42)</f>
        <v>0</v>
      </c>
      <c r="FH229">
        <f>SUMIF('Как будет'!$A$35:$A$42,Доп.расчеты!$A229,'Как будет'!FI$35:FI$42)</f>
        <v>0</v>
      </c>
      <c r="FI229">
        <f>SUMIF('Как будет'!$A$35:$A$42,Доп.расчеты!$A229,'Как будет'!FJ$35:FJ$42)</f>
        <v>0</v>
      </c>
      <c r="FJ229">
        <f>SUMIF('Как будет'!$A$35:$A$42,Доп.расчеты!$A229,'Как будет'!FK$35:FK$42)</f>
        <v>0</v>
      </c>
      <c r="FK229">
        <f>SUMIF('Как будет'!$A$35:$A$42,Доп.расчеты!$A229,'Как будет'!FL$35:FL$42)</f>
        <v>0</v>
      </c>
      <c r="FL229">
        <f>SUMIF('Как будет'!$A$35:$A$42,Доп.расчеты!$A229,'Как будет'!FM$35:FM$42)</f>
        <v>0</v>
      </c>
      <c r="FM229">
        <f>SUMIF('Как будет'!$A$35:$A$42,Доп.расчеты!$A229,'Как будет'!FN$35:FN$42)</f>
        <v>0</v>
      </c>
      <c r="FN229">
        <f>SUMIF('Как будет'!$A$35:$A$42,Доп.расчеты!$A229,'Как будет'!FO$35:FO$42)</f>
        <v>0</v>
      </c>
      <c r="FO229">
        <f>SUMIF('Как будет'!$A$35:$A$42,Доп.расчеты!$A229,'Как будет'!FP$35:FP$42)</f>
        <v>0</v>
      </c>
      <c r="FP229">
        <f>SUMIF('Как будет'!$A$35:$A$42,Доп.расчеты!$A229,'Как будет'!FQ$35:FQ$42)</f>
        <v>0</v>
      </c>
      <c r="FQ229">
        <f>SUMIF('Как будет'!$A$35:$A$42,Доп.расчеты!$A229,'Как будет'!FR$35:FR$42)</f>
        <v>0</v>
      </c>
      <c r="FR229">
        <f>SUMIF('Как будет'!$A$35:$A$42,Доп.расчеты!$A229,'Как будет'!FS$35:FS$42)</f>
        <v>0</v>
      </c>
      <c r="FS229">
        <f>SUMIF('Как будет'!$A$35:$A$42,Доп.расчеты!$A229,'Как будет'!FT$35:FT$42)</f>
        <v>0</v>
      </c>
      <c r="FT229">
        <f>SUMIF('Как будет'!$A$35:$A$42,Доп.расчеты!$A229,'Как будет'!FU$35:FU$42)</f>
        <v>0</v>
      </c>
      <c r="FU229">
        <f>SUMIF('Как будет'!$A$35:$A$42,Доп.расчеты!$A229,'Как будет'!FV$35:FV$42)</f>
        <v>0</v>
      </c>
      <c r="FV229">
        <f>SUMIF('Как будет'!$A$35:$A$42,Доп.расчеты!$A229,'Как будет'!FW$35:FW$42)</f>
        <v>0</v>
      </c>
      <c r="FW229">
        <f>SUMIF('Как будет'!$A$35:$A$42,Доп.расчеты!$A229,'Как будет'!FX$35:FX$42)</f>
        <v>0</v>
      </c>
      <c r="FX229">
        <f>SUMIF('Как будет'!$A$35:$A$42,Доп.расчеты!$A229,'Как будет'!FY$35:FY$42)</f>
        <v>0</v>
      </c>
      <c r="FY229">
        <f>SUMIF('Как будет'!$A$35:$A$42,Доп.расчеты!$A229,'Как будет'!FZ$35:FZ$42)</f>
        <v>0</v>
      </c>
      <c r="FZ229">
        <f>SUMIF('Как будет'!$A$35:$A$42,Доп.расчеты!$A229,'Как будет'!GA$35:GA$42)</f>
        <v>0</v>
      </c>
      <c r="GA229">
        <f>SUMIF('Как будет'!$A$35:$A$42,Доп.расчеты!$A229,'Как будет'!GB$35:GB$42)</f>
        <v>0</v>
      </c>
      <c r="GB229">
        <f>SUMIF('Как будет'!$A$35:$A$42,Доп.расчеты!$A229,'Как будет'!GC$35:GC$42)</f>
        <v>0</v>
      </c>
      <c r="GC229">
        <f>SUMIF('Как будет'!$A$35:$A$42,Доп.расчеты!$A229,'Как будет'!GD$35:GD$42)</f>
        <v>0</v>
      </c>
      <c r="GD229">
        <f>SUMIF('Как будет'!$A$35:$A$42,Доп.расчеты!$A229,'Как будет'!GE$35:GE$42)</f>
        <v>0</v>
      </c>
      <c r="GE229">
        <f>SUMIF('Как будет'!$A$35:$A$42,Доп.расчеты!$A229,'Как будет'!GF$35:GF$42)</f>
        <v>0</v>
      </c>
      <c r="GF229">
        <f>SUMIF('Как будет'!$A$35:$A$42,Доп.расчеты!$A229,'Как будет'!GG$35:GG$42)</f>
        <v>0</v>
      </c>
      <c r="GG229">
        <f>SUMIF('Как будет'!$A$35:$A$42,Доп.расчеты!$A229,'Как будет'!GH$35:GH$42)</f>
        <v>0</v>
      </c>
      <c r="GH229">
        <f>SUMIF('Как будет'!$A$35:$A$42,Доп.расчеты!$A229,'Как будет'!GI$35:GI$42)</f>
        <v>0</v>
      </c>
      <c r="GI229">
        <f>SUMIF('Как будет'!$A$35:$A$42,Доп.расчеты!$A229,'Как будет'!GJ$35:GJ$42)</f>
        <v>0</v>
      </c>
      <c r="GJ229">
        <f>SUMIF('Как будет'!$A$35:$A$42,Доп.расчеты!$A229,'Как будет'!GK$35:GK$42)</f>
        <v>0</v>
      </c>
      <c r="GK229">
        <f>SUMIF('Как будет'!$A$35:$A$42,Доп.расчеты!$A229,'Как будет'!GL$35:GL$42)</f>
        <v>0</v>
      </c>
      <c r="GL229">
        <f>SUMIF('Как будет'!$A$35:$A$42,Доп.расчеты!$A229,'Как будет'!GM$35:GM$42)</f>
        <v>0</v>
      </c>
      <c r="GM229">
        <f>SUMIF('Как будет'!$A$35:$A$42,Доп.расчеты!$A229,'Как будет'!GN$35:GN$42)</f>
        <v>0</v>
      </c>
      <c r="GN229">
        <f>SUMIF('Как будет'!$A$35:$A$42,Доп.расчеты!$A229,'Как будет'!GO$35:GO$42)</f>
        <v>0</v>
      </c>
      <c r="GO229">
        <f>SUMIF('Как будет'!$A$35:$A$42,Доп.расчеты!$A229,'Как будет'!GP$35:GP$42)</f>
        <v>0</v>
      </c>
      <c r="GP229">
        <f>SUMIF('Как будет'!$A$35:$A$42,Доп.расчеты!$A229,'Как будет'!GQ$35:GQ$42)</f>
        <v>0</v>
      </c>
      <c r="GQ229">
        <f>SUMIF('Как будет'!$A$35:$A$42,Доп.расчеты!$A229,'Как будет'!GR$35:GR$42)</f>
        <v>0</v>
      </c>
      <c r="GR229">
        <f>SUMIF('Как будет'!$A$35:$A$42,Доп.расчеты!$A229,'Как будет'!GS$35:GS$42)</f>
        <v>0</v>
      </c>
      <c r="GS229">
        <f>SUMIF('Как будет'!$A$35:$A$42,Доп.расчеты!$A229,'Как будет'!GT$35:GT$42)</f>
        <v>0</v>
      </c>
      <c r="GT229">
        <f>SUMIF('Как будет'!$A$35:$A$42,Доп.расчеты!$A229,'Как будет'!GU$35:GU$42)</f>
        <v>0</v>
      </c>
    </row>
    <row r="230" spans="1:202">
      <c r="A230" s="238" t="s">
        <v>24</v>
      </c>
      <c r="B230">
        <f>SUMIF('Как будет'!$A$35:$A$42,Доп.расчеты!$A230,'Как будет'!C$35:C$42)</f>
        <v>0</v>
      </c>
      <c r="C230">
        <f>SUMIF('Как будет'!$A$35:$A$42,Доп.расчеты!$A230,'Как будет'!D$35:D$42)</f>
        <v>0</v>
      </c>
      <c r="D230">
        <f>SUMIF('Как будет'!$A$35:$A$42,Доп.расчеты!$A230,'Как будет'!E$35:E$42)</f>
        <v>0</v>
      </c>
      <c r="E230">
        <f>SUMIF('Как будет'!$A$35:$A$42,Доп.расчеты!$A230,'Как будет'!F$35:F$42)</f>
        <v>0</v>
      </c>
      <c r="F230">
        <f>SUMIF('Как будет'!$A$35:$A$42,Доп.расчеты!$A230,'Как будет'!G$35:G$42)</f>
        <v>0</v>
      </c>
      <c r="G230">
        <f>SUMIF('Как будет'!$A$35:$A$42,Доп.расчеты!$A230,'Как будет'!H$35:H$42)</f>
        <v>0</v>
      </c>
      <c r="H230">
        <f>SUMIF('Как будет'!$A$35:$A$42,Доп.расчеты!$A230,'Как будет'!I$35:I$42)</f>
        <v>0</v>
      </c>
      <c r="I230">
        <f>SUMIF('Как будет'!$A$35:$A$42,Доп.расчеты!$A230,'Как будет'!J$35:J$42)</f>
        <v>0</v>
      </c>
      <c r="J230">
        <f>SUMIF('Как будет'!$A$35:$A$42,Доп.расчеты!$A230,'Как будет'!K$35:K$42)</f>
        <v>0</v>
      </c>
      <c r="K230">
        <f>SUMIF('Как будет'!$A$35:$A$42,Доп.расчеты!$A230,'Как будет'!L$35:L$42)</f>
        <v>0</v>
      </c>
      <c r="L230">
        <f>SUMIF('Как будет'!$A$35:$A$42,Доп.расчеты!$A230,'Как будет'!M$35:M$42)</f>
        <v>0</v>
      </c>
      <c r="M230">
        <f>SUMIF('Как будет'!$A$35:$A$42,Доп.расчеты!$A230,'Как будет'!N$35:N$42)</f>
        <v>0</v>
      </c>
      <c r="N230">
        <f>SUMIF('Как будет'!$A$35:$A$42,Доп.расчеты!$A230,'Как будет'!O$35:O$42)</f>
        <v>0</v>
      </c>
      <c r="O230">
        <f>SUMIF('Как будет'!$A$35:$A$42,Доп.расчеты!$A230,'Как будет'!P$35:P$42)</f>
        <v>0</v>
      </c>
      <c r="P230">
        <f>SUMIF('Как будет'!$A$35:$A$42,Доп.расчеты!$A230,'Как будет'!Q$35:Q$42)</f>
        <v>0</v>
      </c>
      <c r="Q230">
        <f>SUMIF('Как будет'!$A$35:$A$42,Доп.расчеты!$A230,'Как будет'!R$35:R$42)</f>
        <v>0</v>
      </c>
      <c r="R230">
        <f>SUMIF('Как будет'!$A$35:$A$42,Доп.расчеты!$A230,'Как будет'!S$35:S$42)</f>
        <v>0</v>
      </c>
      <c r="S230">
        <f>SUMIF('Как будет'!$A$35:$A$42,Доп.расчеты!$A230,'Как будет'!T$35:T$42)</f>
        <v>0</v>
      </c>
      <c r="T230">
        <f>SUMIF('Как будет'!$A$35:$A$42,Доп.расчеты!$A230,'Как будет'!U$35:U$42)</f>
        <v>0</v>
      </c>
      <c r="U230">
        <f>SUMIF('Как будет'!$A$35:$A$42,Доп.расчеты!$A230,'Как будет'!V$35:V$42)</f>
        <v>0</v>
      </c>
      <c r="V230">
        <f>SUMIF('Как будет'!$A$35:$A$42,Доп.расчеты!$A230,'Как будет'!W$35:W$42)</f>
        <v>0</v>
      </c>
      <c r="W230">
        <f>SUMIF('Как будет'!$A$35:$A$42,Доп.расчеты!$A230,'Как будет'!X$35:X$42)</f>
        <v>0</v>
      </c>
      <c r="X230">
        <f>SUMIF('Как будет'!$A$35:$A$42,Доп.расчеты!$A230,'Как будет'!Y$35:Y$42)</f>
        <v>0</v>
      </c>
      <c r="Y230">
        <f>SUMIF('Как будет'!$A$35:$A$42,Доп.расчеты!$A230,'Как будет'!Z$35:Z$42)</f>
        <v>0</v>
      </c>
      <c r="Z230">
        <f>SUMIF('Как будет'!$A$35:$A$42,Доп.расчеты!$A230,'Как будет'!AA$35:AA$42)</f>
        <v>0</v>
      </c>
      <c r="AA230">
        <f>SUMIF('Как будет'!$A$35:$A$42,Доп.расчеты!$A230,'Как будет'!AB$35:AB$42)</f>
        <v>0</v>
      </c>
      <c r="AB230">
        <f>SUMIF('Как будет'!$A$35:$A$42,Доп.расчеты!$A230,'Как будет'!AC$35:AC$42)</f>
        <v>0</v>
      </c>
      <c r="AC230">
        <f>SUMIF('Как будет'!$A$35:$A$42,Доп.расчеты!$A230,'Как будет'!AD$35:AD$42)</f>
        <v>0</v>
      </c>
      <c r="AD230">
        <f>SUMIF('Как будет'!$A$35:$A$42,Доп.расчеты!$A230,'Как будет'!AE$35:AE$42)</f>
        <v>0</v>
      </c>
      <c r="AE230">
        <f>SUMIF('Как будет'!$A$35:$A$42,Доп.расчеты!$A230,'Как будет'!AF$35:AF$42)</f>
        <v>0</v>
      </c>
      <c r="AF230">
        <f>SUMIF('Как будет'!$A$35:$A$42,Доп.расчеты!$A230,'Как будет'!AG$35:AG$42)</f>
        <v>0</v>
      </c>
      <c r="AG230">
        <f>SUMIF('Как будет'!$A$35:$A$42,Доп.расчеты!$A230,'Как будет'!AH$35:AH$42)</f>
        <v>0</v>
      </c>
      <c r="AH230">
        <f>SUMIF('Как будет'!$A$35:$A$42,Доп.расчеты!$A230,'Как будет'!AI$35:AI$42)</f>
        <v>0</v>
      </c>
      <c r="AI230">
        <f>SUMIF('Как будет'!$A$35:$A$42,Доп.расчеты!$A230,'Как будет'!AJ$35:AJ$42)</f>
        <v>0</v>
      </c>
      <c r="AJ230">
        <f>SUMIF('Как будет'!$A$35:$A$42,Доп.расчеты!$A230,'Как будет'!AK$35:AK$42)</f>
        <v>0</v>
      </c>
      <c r="AK230">
        <f>SUMIF('Как будет'!$A$35:$A$42,Доп.расчеты!$A230,'Как будет'!AL$35:AL$42)</f>
        <v>0</v>
      </c>
      <c r="AL230">
        <f>SUMIF('Как будет'!$A$35:$A$42,Доп.расчеты!$A230,'Как будет'!AM$35:AM$42)</f>
        <v>0</v>
      </c>
      <c r="AM230">
        <f>SUMIF('Как будет'!$A$35:$A$42,Доп.расчеты!$A230,'Как будет'!AN$35:AN$42)</f>
        <v>0</v>
      </c>
      <c r="AN230">
        <f>SUMIF('Как будет'!$A$35:$A$42,Доп.расчеты!$A230,'Как будет'!AO$35:AO$42)</f>
        <v>0</v>
      </c>
      <c r="AO230">
        <f>SUMIF('Как будет'!$A$35:$A$42,Доп.расчеты!$A230,'Как будет'!AP$35:AP$42)</f>
        <v>0</v>
      </c>
      <c r="AP230">
        <f>SUMIF('Как будет'!$A$35:$A$42,Доп.расчеты!$A230,'Как будет'!AQ$35:AQ$42)</f>
        <v>0</v>
      </c>
      <c r="AQ230">
        <f>SUMIF('Как будет'!$A$35:$A$42,Доп.расчеты!$A230,'Как будет'!AR$35:AR$42)</f>
        <v>0</v>
      </c>
      <c r="AR230">
        <f>SUMIF('Как будет'!$A$35:$A$42,Доп.расчеты!$A230,'Как будет'!AS$35:AS$42)</f>
        <v>0</v>
      </c>
      <c r="AS230">
        <f>SUMIF('Как будет'!$A$35:$A$42,Доп.расчеты!$A230,'Как будет'!AT$35:AT$42)</f>
        <v>0</v>
      </c>
      <c r="AT230">
        <f>SUMIF('Как будет'!$A$35:$A$42,Доп.расчеты!$A230,'Как будет'!AU$35:AU$42)</f>
        <v>0</v>
      </c>
      <c r="AU230">
        <f>SUMIF('Как будет'!$A$35:$A$42,Доп.расчеты!$A230,'Как будет'!AV$35:AV$42)</f>
        <v>0</v>
      </c>
      <c r="AV230">
        <f>SUMIF('Как будет'!$A$35:$A$42,Доп.расчеты!$A230,'Как будет'!AW$35:AW$42)</f>
        <v>0</v>
      </c>
      <c r="AW230">
        <f>SUMIF('Как будет'!$A$35:$A$42,Доп.расчеты!$A230,'Как будет'!AX$35:AX$42)</f>
        <v>0</v>
      </c>
      <c r="AX230">
        <f>SUMIF('Как будет'!$A$35:$A$42,Доп.расчеты!$A230,'Как будет'!AY$35:AY$42)</f>
        <v>0</v>
      </c>
      <c r="AY230">
        <f>SUMIF('Как будет'!$A$35:$A$42,Доп.расчеты!$A230,'Как будет'!AZ$35:AZ$42)</f>
        <v>0</v>
      </c>
      <c r="AZ230">
        <f>SUMIF('Как будет'!$A$35:$A$42,Доп.расчеты!$A230,'Как будет'!BA$35:BA$42)</f>
        <v>0</v>
      </c>
      <c r="BA230">
        <f>SUMIF('Как будет'!$A$35:$A$42,Доп.расчеты!$A230,'Как будет'!BB$35:BB$42)</f>
        <v>0</v>
      </c>
      <c r="BB230">
        <f>SUMIF('Как будет'!$A$35:$A$42,Доп.расчеты!$A230,'Как будет'!BC$35:BC$42)</f>
        <v>0</v>
      </c>
      <c r="BC230">
        <f>SUMIF('Как будет'!$A$35:$A$42,Доп.расчеты!$A230,'Как будет'!BD$35:BD$42)</f>
        <v>0</v>
      </c>
      <c r="BD230">
        <f>SUMIF('Как будет'!$A$35:$A$42,Доп.расчеты!$A230,'Как будет'!BE$35:BE$42)</f>
        <v>0</v>
      </c>
      <c r="BE230">
        <f>SUMIF('Как будет'!$A$35:$A$42,Доп.расчеты!$A230,'Как будет'!BF$35:BF$42)</f>
        <v>0</v>
      </c>
      <c r="BF230">
        <f>SUMIF('Как будет'!$A$35:$A$42,Доп.расчеты!$A230,'Как будет'!BG$35:BG$42)</f>
        <v>0</v>
      </c>
      <c r="BG230">
        <f>SUMIF('Как будет'!$A$35:$A$42,Доп.расчеты!$A230,'Как будет'!BH$35:BH$42)</f>
        <v>0</v>
      </c>
      <c r="BH230">
        <f>SUMIF('Как будет'!$A$35:$A$42,Доп.расчеты!$A230,'Как будет'!BI$35:BI$42)</f>
        <v>0</v>
      </c>
      <c r="BI230">
        <f>SUMIF('Как будет'!$A$35:$A$42,Доп.расчеты!$A230,'Как будет'!BJ$35:BJ$42)</f>
        <v>0</v>
      </c>
      <c r="BJ230">
        <f>SUMIF('Как будет'!$A$35:$A$42,Доп.расчеты!$A230,'Как будет'!BK$35:BK$42)</f>
        <v>0</v>
      </c>
      <c r="BK230">
        <f>SUMIF('Как будет'!$A$35:$A$42,Доп.расчеты!$A230,'Как будет'!BL$35:BL$42)</f>
        <v>0</v>
      </c>
      <c r="BL230">
        <f>SUMIF('Как будет'!$A$35:$A$42,Доп.расчеты!$A230,'Как будет'!BM$35:BM$42)</f>
        <v>0</v>
      </c>
      <c r="BM230">
        <f>SUMIF('Как будет'!$A$35:$A$42,Доп.расчеты!$A230,'Как будет'!BN$35:BN$42)</f>
        <v>0</v>
      </c>
      <c r="BN230">
        <f>SUMIF('Как будет'!$A$35:$A$42,Доп.расчеты!$A230,'Как будет'!BO$35:BO$42)</f>
        <v>0</v>
      </c>
      <c r="BO230">
        <f>SUMIF('Как будет'!$A$35:$A$42,Доп.расчеты!$A230,'Как будет'!BP$35:BP$42)</f>
        <v>0</v>
      </c>
      <c r="BP230">
        <f>SUMIF('Как будет'!$A$35:$A$42,Доп.расчеты!$A230,'Как будет'!BQ$35:BQ$42)</f>
        <v>0</v>
      </c>
      <c r="BQ230">
        <f>SUMIF('Как будет'!$A$35:$A$42,Доп.расчеты!$A230,'Как будет'!BR$35:BR$42)</f>
        <v>0</v>
      </c>
      <c r="BR230">
        <f>SUMIF('Как будет'!$A$35:$A$42,Доп.расчеты!$A230,'Как будет'!BS$35:BS$42)</f>
        <v>0</v>
      </c>
      <c r="BS230">
        <f>SUMIF('Как будет'!$A$35:$A$42,Доп.расчеты!$A230,'Как будет'!BT$35:BT$42)</f>
        <v>0</v>
      </c>
      <c r="BT230">
        <f>SUMIF('Как будет'!$A$35:$A$42,Доп.расчеты!$A230,'Как будет'!BU$35:BU$42)</f>
        <v>0</v>
      </c>
      <c r="BU230">
        <f>SUMIF('Как будет'!$A$35:$A$42,Доп.расчеты!$A230,'Как будет'!BV$35:BV$42)</f>
        <v>0</v>
      </c>
      <c r="BV230">
        <f>SUMIF('Как будет'!$A$35:$A$42,Доп.расчеты!$A230,'Как будет'!BW$35:BW$42)</f>
        <v>0</v>
      </c>
      <c r="BW230">
        <f>SUMIF('Как будет'!$A$35:$A$42,Доп.расчеты!$A230,'Как будет'!BX$35:BX$42)</f>
        <v>0</v>
      </c>
      <c r="BX230">
        <f>SUMIF('Как будет'!$A$35:$A$42,Доп.расчеты!$A230,'Как будет'!BY$35:BY$42)</f>
        <v>0</v>
      </c>
      <c r="BY230">
        <f>SUMIF('Как будет'!$A$35:$A$42,Доп.расчеты!$A230,'Как будет'!BZ$35:BZ$42)</f>
        <v>0</v>
      </c>
      <c r="BZ230">
        <f>SUMIF('Как будет'!$A$35:$A$42,Доп.расчеты!$A230,'Как будет'!CA$35:CA$42)</f>
        <v>0</v>
      </c>
      <c r="CA230">
        <f>SUMIF('Как будет'!$A$35:$A$42,Доп.расчеты!$A230,'Как будет'!CB$35:CB$42)</f>
        <v>0</v>
      </c>
      <c r="CB230">
        <f>SUMIF('Как будет'!$A$35:$A$42,Доп.расчеты!$A230,'Как будет'!CC$35:CC$42)</f>
        <v>0</v>
      </c>
      <c r="CC230">
        <f>SUMIF('Как будет'!$A$35:$A$42,Доп.расчеты!$A230,'Как будет'!CD$35:CD$42)</f>
        <v>0</v>
      </c>
      <c r="CD230">
        <f>SUMIF('Как будет'!$A$35:$A$42,Доп.расчеты!$A230,'Как будет'!CE$35:CE$42)</f>
        <v>0</v>
      </c>
      <c r="CE230">
        <f>SUMIF('Как будет'!$A$35:$A$42,Доп.расчеты!$A230,'Как будет'!CF$35:CF$42)</f>
        <v>0</v>
      </c>
      <c r="CF230">
        <f>SUMIF('Как будет'!$A$35:$A$42,Доп.расчеты!$A230,'Как будет'!CG$35:CG$42)</f>
        <v>0</v>
      </c>
      <c r="CG230">
        <f>SUMIF('Как будет'!$A$35:$A$42,Доп.расчеты!$A230,'Как будет'!CH$35:CH$42)</f>
        <v>0</v>
      </c>
      <c r="CH230">
        <f>SUMIF('Как будет'!$A$35:$A$42,Доп.расчеты!$A230,'Как будет'!CI$35:CI$42)</f>
        <v>0</v>
      </c>
      <c r="CI230">
        <f>SUMIF('Как будет'!$A$35:$A$42,Доп.расчеты!$A230,'Как будет'!CJ$35:CJ$42)</f>
        <v>0</v>
      </c>
      <c r="CJ230">
        <f>SUMIF('Как будет'!$A$35:$A$42,Доп.расчеты!$A230,'Как будет'!CK$35:CK$42)</f>
        <v>0</v>
      </c>
      <c r="CK230">
        <f>SUMIF('Как будет'!$A$35:$A$42,Доп.расчеты!$A230,'Как будет'!CL$35:CL$42)</f>
        <v>0</v>
      </c>
      <c r="CL230">
        <f>SUMIF('Как будет'!$A$35:$A$42,Доп.расчеты!$A230,'Как будет'!CM$35:CM$42)</f>
        <v>0</v>
      </c>
      <c r="CM230">
        <f>SUMIF('Как будет'!$A$35:$A$42,Доп.расчеты!$A230,'Как будет'!CN$35:CN$42)</f>
        <v>0</v>
      </c>
      <c r="CN230">
        <f>SUMIF('Как будет'!$A$35:$A$42,Доп.расчеты!$A230,'Как будет'!CO$35:CO$42)</f>
        <v>0</v>
      </c>
      <c r="CO230">
        <f>SUMIF('Как будет'!$A$35:$A$42,Доп.расчеты!$A230,'Как будет'!CP$35:CP$42)</f>
        <v>0</v>
      </c>
      <c r="CP230">
        <f>SUMIF('Как будет'!$A$35:$A$42,Доп.расчеты!$A230,'Как будет'!CQ$35:CQ$42)</f>
        <v>0</v>
      </c>
      <c r="CQ230">
        <f>SUMIF('Как будет'!$A$35:$A$42,Доп.расчеты!$A230,'Как будет'!CR$35:CR$42)</f>
        <v>0</v>
      </c>
      <c r="CR230">
        <f>SUMIF('Как будет'!$A$35:$A$42,Доп.расчеты!$A230,'Как будет'!CS$35:CS$42)</f>
        <v>0</v>
      </c>
      <c r="CS230">
        <f>SUMIF('Как будет'!$A$35:$A$42,Доп.расчеты!$A230,'Как будет'!CT$35:CT$42)</f>
        <v>0</v>
      </c>
      <c r="CT230">
        <f>SUMIF('Как будет'!$A$35:$A$42,Доп.расчеты!$A230,'Как будет'!CU$35:CU$42)</f>
        <v>0</v>
      </c>
      <c r="CU230">
        <f>SUMIF('Как будет'!$A$35:$A$42,Доп.расчеты!$A230,'Как будет'!CV$35:CV$42)</f>
        <v>0</v>
      </c>
      <c r="CV230">
        <f>SUMIF('Как будет'!$A$35:$A$42,Доп.расчеты!$A230,'Как будет'!CW$35:CW$42)</f>
        <v>0</v>
      </c>
      <c r="CW230">
        <f>SUMIF('Как будет'!$A$35:$A$42,Доп.расчеты!$A230,'Как будет'!CX$35:CX$42)</f>
        <v>0</v>
      </c>
      <c r="CX230">
        <f>SUMIF('Как будет'!$A$35:$A$42,Доп.расчеты!$A230,'Как будет'!CY$35:CY$42)</f>
        <v>0</v>
      </c>
      <c r="CY230">
        <f>SUMIF('Как будет'!$A$35:$A$42,Доп.расчеты!$A230,'Как будет'!CZ$35:CZ$42)</f>
        <v>0</v>
      </c>
      <c r="CZ230">
        <f>SUMIF('Как будет'!$A$35:$A$42,Доп.расчеты!$A230,'Как будет'!DA$35:DA$42)</f>
        <v>0</v>
      </c>
      <c r="DA230">
        <f>SUMIF('Как будет'!$A$35:$A$42,Доп.расчеты!$A230,'Как будет'!DB$35:DB$42)</f>
        <v>0</v>
      </c>
      <c r="DB230">
        <f>SUMIF('Как будет'!$A$35:$A$42,Доп.расчеты!$A230,'Как будет'!DC$35:DC$42)</f>
        <v>0</v>
      </c>
      <c r="DC230">
        <f>SUMIF('Как будет'!$A$35:$A$42,Доп.расчеты!$A230,'Как будет'!DD$35:DD$42)</f>
        <v>0</v>
      </c>
      <c r="DD230">
        <f>SUMIF('Как будет'!$A$35:$A$42,Доп.расчеты!$A230,'Как будет'!DE$35:DE$42)</f>
        <v>0</v>
      </c>
      <c r="DE230">
        <f>SUMIF('Как будет'!$A$35:$A$42,Доп.расчеты!$A230,'Как будет'!DF$35:DF$42)</f>
        <v>0</v>
      </c>
      <c r="DF230">
        <f>SUMIF('Как будет'!$A$35:$A$42,Доп.расчеты!$A230,'Как будет'!DG$35:DG$42)</f>
        <v>0</v>
      </c>
      <c r="DG230">
        <f>SUMIF('Как будет'!$A$35:$A$42,Доп.расчеты!$A230,'Как будет'!DH$35:DH$42)</f>
        <v>0</v>
      </c>
      <c r="DH230">
        <f>SUMIF('Как будет'!$A$35:$A$42,Доп.расчеты!$A230,'Как будет'!DI$35:DI$42)</f>
        <v>0</v>
      </c>
      <c r="DI230">
        <f>SUMIF('Как будет'!$A$35:$A$42,Доп.расчеты!$A230,'Как будет'!DJ$35:DJ$42)</f>
        <v>0</v>
      </c>
      <c r="DJ230">
        <f>SUMIF('Как будет'!$A$35:$A$42,Доп.расчеты!$A230,'Как будет'!DK$35:DK$42)</f>
        <v>0</v>
      </c>
      <c r="DK230">
        <f>SUMIF('Как будет'!$A$35:$A$42,Доп.расчеты!$A230,'Как будет'!DL$35:DL$42)</f>
        <v>0</v>
      </c>
      <c r="DL230">
        <f>SUMIF('Как будет'!$A$35:$A$42,Доп.расчеты!$A230,'Как будет'!DM$35:DM$42)</f>
        <v>0</v>
      </c>
      <c r="DM230">
        <f>SUMIF('Как будет'!$A$35:$A$42,Доп.расчеты!$A230,'Как будет'!DN$35:DN$42)</f>
        <v>0</v>
      </c>
      <c r="DN230">
        <f>SUMIF('Как будет'!$A$35:$A$42,Доп.расчеты!$A230,'Как будет'!DO$35:DO$42)</f>
        <v>0</v>
      </c>
      <c r="DO230">
        <f>SUMIF('Как будет'!$A$35:$A$42,Доп.расчеты!$A230,'Как будет'!DP$35:DP$42)</f>
        <v>0</v>
      </c>
      <c r="DP230">
        <f>SUMIF('Как будет'!$A$35:$A$42,Доп.расчеты!$A230,'Как будет'!DQ$35:DQ$42)</f>
        <v>0</v>
      </c>
      <c r="DQ230">
        <f>SUMIF('Как будет'!$A$35:$A$42,Доп.расчеты!$A230,'Как будет'!DR$35:DR$42)</f>
        <v>0</v>
      </c>
      <c r="DR230">
        <f>SUMIF('Как будет'!$A$35:$A$42,Доп.расчеты!$A230,'Как будет'!DS$35:DS$42)</f>
        <v>0</v>
      </c>
      <c r="DS230">
        <f>SUMIF('Как будет'!$A$35:$A$42,Доп.расчеты!$A230,'Как будет'!DT$35:DT$42)</f>
        <v>0</v>
      </c>
      <c r="DT230">
        <f>SUMIF('Как будет'!$A$35:$A$42,Доп.расчеты!$A230,'Как будет'!DU$35:DU$42)</f>
        <v>0</v>
      </c>
      <c r="DU230">
        <f>SUMIF('Как будет'!$A$35:$A$42,Доп.расчеты!$A230,'Как будет'!DV$35:DV$42)</f>
        <v>0</v>
      </c>
      <c r="DV230">
        <f>SUMIF('Как будет'!$A$35:$A$42,Доп.расчеты!$A230,'Как будет'!DW$35:DW$42)</f>
        <v>0</v>
      </c>
      <c r="DW230">
        <f>SUMIF('Как будет'!$A$35:$A$42,Доп.расчеты!$A230,'Как будет'!DX$35:DX$42)</f>
        <v>0</v>
      </c>
      <c r="DX230">
        <f>SUMIF('Как будет'!$A$35:$A$42,Доп.расчеты!$A230,'Как будет'!DY$35:DY$42)</f>
        <v>0</v>
      </c>
      <c r="DY230">
        <f>SUMIF('Как будет'!$A$35:$A$42,Доп.расчеты!$A230,'Как будет'!DZ$35:DZ$42)</f>
        <v>0</v>
      </c>
      <c r="DZ230">
        <f>SUMIF('Как будет'!$A$35:$A$42,Доп.расчеты!$A230,'Как будет'!EA$35:EA$42)</f>
        <v>0</v>
      </c>
      <c r="EA230">
        <f>SUMIF('Как будет'!$A$35:$A$42,Доп.расчеты!$A230,'Как будет'!EB$35:EB$42)</f>
        <v>0</v>
      </c>
      <c r="EB230">
        <f>SUMIF('Как будет'!$A$35:$A$42,Доп.расчеты!$A230,'Как будет'!EC$35:EC$42)</f>
        <v>0</v>
      </c>
      <c r="EC230">
        <f>SUMIF('Как будет'!$A$35:$A$42,Доп.расчеты!$A230,'Как будет'!ED$35:ED$42)</f>
        <v>0</v>
      </c>
      <c r="ED230">
        <f>SUMIF('Как будет'!$A$35:$A$42,Доп.расчеты!$A230,'Как будет'!EE$35:EE$42)</f>
        <v>0</v>
      </c>
      <c r="EE230">
        <f>SUMIF('Как будет'!$A$35:$A$42,Доп.расчеты!$A230,'Как будет'!EF$35:EF$42)</f>
        <v>0</v>
      </c>
      <c r="EF230">
        <f>SUMIF('Как будет'!$A$35:$A$42,Доп.расчеты!$A230,'Как будет'!EG$35:EG$42)</f>
        <v>0</v>
      </c>
      <c r="EG230">
        <f>SUMIF('Как будет'!$A$35:$A$42,Доп.расчеты!$A230,'Как будет'!EH$35:EH$42)</f>
        <v>0</v>
      </c>
      <c r="EH230">
        <f>SUMIF('Как будет'!$A$35:$A$42,Доп.расчеты!$A230,'Как будет'!EI$35:EI$42)</f>
        <v>0</v>
      </c>
      <c r="EI230">
        <f>SUMIF('Как будет'!$A$35:$A$42,Доп.расчеты!$A230,'Как будет'!EJ$35:EJ$42)</f>
        <v>0</v>
      </c>
      <c r="EJ230">
        <f>SUMIF('Как будет'!$A$35:$A$42,Доп.расчеты!$A230,'Как будет'!EK$35:EK$42)</f>
        <v>0</v>
      </c>
      <c r="EK230">
        <f>SUMIF('Как будет'!$A$35:$A$42,Доп.расчеты!$A230,'Как будет'!EL$35:EL$42)</f>
        <v>0</v>
      </c>
      <c r="EL230">
        <f>SUMIF('Как будет'!$A$35:$A$42,Доп.расчеты!$A230,'Как будет'!EM$35:EM$42)</f>
        <v>0</v>
      </c>
      <c r="EM230">
        <f>SUMIF('Как будет'!$A$35:$A$42,Доп.расчеты!$A230,'Как будет'!EN$35:EN$42)</f>
        <v>0</v>
      </c>
      <c r="EN230">
        <f>SUMIF('Как будет'!$A$35:$A$42,Доп.расчеты!$A230,'Как будет'!EO$35:EO$42)</f>
        <v>0</v>
      </c>
      <c r="EO230">
        <f>SUMIF('Как будет'!$A$35:$A$42,Доп.расчеты!$A230,'Как будет'!EP$35:EP$42)</f>
        <v>0</v>
      </c>
      <c r="EP230">
        <f>SUMIF('Как будет'!$A$35:$A$42,Доп.расчеты!$A230,'Как будет'!EQ$35:EQ$42)</f>
        <v>0</v>
      </c>
      <c r="EQ230">
        <f>SUMIF('Как будет'!$A$35:$A$42,Доп.расчеты!$A230,'Как будет'!ER$35:ER$42)</f>
        <v>0</v>
      </c>
      <c r="ER230">
        <f>SUMIF('Как будет'!$A$35:$A$42,Доп.расчеты!$A230,'Как будет'!ES$35:ES$42)</f>
        <v>0</v>
      </c>
      <c r="ES230">
        <f>SUMIF('Как будет'!$A$35:$A$42,Доп.расчеты!$A230,'Как будет'!ET$35:ET$42)</f>
        <v>0</v>
      </c>
      <c r="ET230">
        <f>SUMIF('Как будет'!$A$35:$A$42,Доп.расчеты!$A230,'Как будет'!EU$35:EU$42)</f>
        <v>0</v>
      </c>
      <c r="EU230">
        <f>SUMIF('Как будет'!$A$35:$A$42,Доп.расчеты!$A230,'Как будет'!EV$35:EV$42)</f>
        <v>0</v>
      </c>
      <c r="EV230">
        <f>SUMIF('Как будет'!$A$35:$A$42,Доп.расчеты!$A230,'Как будет'!EW$35:EW$42)</f>
        <v>0</v>
      </c>
      <c r="EW230">
        <f>SUMIF('Как будет'!$A$35:$A$42,Доп.расчеты!$A230,'Как будет'!EX$35:EX$42)</f>
        <v>0</v>
      </c>
      <c r="EX230">
        <f>SUMIF('Как будет'!$A$35:$A$42,Доп.расчеты!$A230,'Как будет'!EY$35:EY$42)</f>
        <v>0</v>
      </c>
      <c r="EY230">
        <f>SUMIF('Как будет'!$A$35:$A$42,Доп.расчеты!$A230,'Как будет'!EZ$35:EZ$42)</f>
        <v>0</v>
      </c>
      <c r="EZ230">
        <f>SUMIF('Как будет'!$A$35:$A$42,Доп.расчеты!$A230,'Как будет'!FA$35:FA$42)</f>
        <v>0</v>
      </c>
      <c r="FA230">
        <f>SUMIF('Как будет'!$A$35:$A$42,Доп.расчеты!$A230,'Как будет'!FB$35:FB$42)</f>
        <v>0</v>
      </c>
      <c r="FB230">
        <f>SUMIF('Как будет'!$A$35:$A$42,Доп.расчеты!$A230,'Как будет'!FC$35:FC$42)</f>
        <v>0</v>
      </c>
      <c r="FC230">
        <f>SUMIF('Как будет'!$A$35:$A$42,Доп.расчеты!$A230,'Как будет'!FD$35:FD$42)</f>
        <v>0</v>
      </c>
      <c r="FD230">
        <f>SUMIF('Как будет'!$A$35:$A$42,Доп.расчеты!$A230,'Как будет'!FE$35:FE$42)</f>
        <v>0</v>
      </c>
      <c r="FE230">
        <f>SUMIF('Как будет'!$A$35:$A$42,Доп.расчеты!$A230,'Как будет'!FF$35:FF$42)</f>
        <v>0</v>
      </c>
      <c r="FF230">
        <f>SUMIF('Как будет'!$A$35:$A$42,Доп.расчеты!$A230,'Как будет'!FG$35:FG$42)</f>
        <v>0</v>
      </c>
      <c r="FG230">
        <f>SUMIF('Как будет'!$A$35:$A$42,Доп.расчеты!$A230,'Как будет'!FH$35:FH$42)</f>
        <v>0</v>
      </c>
      <c r="FH230">
        <f>SUMIF('Как будет'!$A$35:$A$42,Доп.расчеты!$A230,'Как будет'!FI$35:FI$42)</f>
        <v>0</v>
      </c>
      <c r="FI230">
        <f>SUMIF('Как будет'!$A$35:$A$42,Доп.расчеты!$A230,'Как будет'!FJ$35:FJ$42)</f>
        <v>0</v>
      </c>
      <c r="FJ230">
        <f>SUMIF('Как будет'!$A$35:$A$42,Доп.расчеты!$A230,'Как будет'!FK$35:FK$42)</f>
        <v>0</v>
      </c>
      <c r="FK230">
        <f>SUMIF('Как будет'!$A$35:$A$42,Доп.расчеты!$A230,'Как будет'!FL$35:FL$42)</f>
        <v>0</v>
      </c>
      <c r="FL230">
        <f>SUMIF('Как будет'!$A$35:$A$42,Доп.расчеты!$A230,'Как будет'!FM$35:FM$42)</f>
        <v>0</v>
      </c>
      <c r="FM230">
        <f>SUMIF('Как будет'!$A$35:$A$42,Доп.расчеты!$A230,'Как будет'!FN$35:FN$42)</f>
        <v>0</v>
      </c>
      <c r="FN230">
        <f>SUMIF('Как будет'!$A$35:$A$42,Доп.расчеты!$A230,'Как будет'!FO$35:FO$42)</f>
        <v>0</v>
      </c>
      <c r="FO230">
        <f>SUMIF('Как будет'!$A$35:$A$42,Доп.расчеты!$A230,'Как будет'!FP$35:FP$42)</f>
        <v>0</v>
      </c>
      <c r="FP230">
        <f>SUMIF('Как будет'!$A$35:$A$42,Доп.расчеты!$A230,'Как будет'!FQ$35:FQ$42)</f>
        <v>0</v>
      </c>
      <c r="FQ230">
        <f>SUMIF('Как будет'!$A$35:$A$42,Доп.расчеты!$A230,'Как будет'!FR$35:FR$42)</f>
        <v>0</v>
      </c>
      <c r="FR230">
        <f>SUMIF('Как будет'!$A$35:$A$42,Доп.расчеты!$A230,'Как будет'!FS$35:FS$42)</f>
        <v>0</v>
      </c>
      <c r="FS230">
        <f>SUMIF('Как будет'!$A$35:$A$42,Доп.расчеты!$A230,'Как будет'!FT$35:FT$42)</f>
        <v>0</v>
      </c>
      <c r="FT230">
        <f>SUMIF('Как будет'!$A$35:$A$42,Доп.расчеты!$A230,'Как будет'!FU$35:FU$42)</f>
        <v>0</v>
      </c>
      <c r="FU230">
        <f>SUMIF('Как будет'!$A$35:$A$42,Доп.расчеты!$A230,'Как будет'!FV$35:FV$42)</f>
        <v>0</v>
      </c>
      <c r="FV230">
        <f>SUMIF('Как будет'!$A$35:$A$42,Доп.расчеты!$A230,'Как будет'!FW$35:FW$42)</f>
        <v>0</v>
      </c>
      <c r="FW230">
        <f>SUMIF('Как будет'!$A$35:$A$42,Доп.расчеты!$A230,'Как будет'!FX$35:FX$42)</f>
        <v>0</v>
      </c>
      <c r="FX230">
        <f>SUMIF('Как будет'!$A$35:$A$42,Доп.расчеты!$A230,'Как будет'!FY$35:FY$42)</f>
        <v>0</v>
      </c>
      <c r="FY230">
        <f>SUMIF('Как будет'!$A$35:$A$42,Доп.расчеты!$A230,'Как будет'!FZ$35:FZ$42)</f>
        <v>0</v>
      </c>
      <c r="FZ230">
        <f>SUMIF('Как будет'!$A$35:$A$42,Доп.расчеты!$A230,'Как будет'!GA$35:GA$42)</f>
        <v>0</v>
      </c>
      <c r="GA230">
        <f>SUMIF('Как будет'!$A$35:$A$42,Доп.расчеты!$A230,'Как будет'!GB$35:GB$42)</f>
        <v>0</v>
      </c>
      <c r="GB230">
        <f>SUMIF('Как будет'!$A$35:$A$42,Доп.расчеты!$A230,'Как будет'!GC$35:GC$42)</f>
        <v>0</v>
      </c>
      <c r="GC230">
        <f>SUMIF('Как будет'!$A$35:$A$42,Доп.расчеты!$A230,'Как будет'!GD$35:GD$42)</f>
        <v>0</v>
      </c>
      <c r="GD230">
        <f>SUMIF('Как будет'!$A$35:$A$42,Доп.расчеты!$A230,'Как будет'!GE$35:GE$42)</f>
        <v>0</v>
      </c>
      <c r="GE230">
        <f>SUMIF('Как будет'!$A$35:$A$42,Доп.расчеты!$A230,'Как будет'!GF$35:GF$42)</f>
        <v>0</v>
      </c>
      <c r="GF230">
        <f>SUMIF('Как будет'!$A$35:$A$42,Доп.расчеты!$A230,'Как будет'!GG$35:GG$42)</f>
        <v>0</v>
      </c>
      <c r="GG230">
        <f>SUMIF('Как будет'!$A$35:$A$42,Доп.расчеты!$A230,'Как будет'!GH$35:GH$42)</f>
        <v>0</v>
      </c>
      <c r="GH230">
        <f>SUMIF('Как будет'!$A$35:$A$42,Доп.расчеты!$A230,'Как будет'!GI$35:GI$42)</f>
        <v>0</v>
      </c>
      <c r="GI230">
        <f>SUMIF('Как будет'!$A$35:$A$42,Доп.расчеты!$A230,'Как будет'!GJ$35:GJ$42)</f>
        <v>0</v>
      </c>
      <c r="GJ230">
        <f>SUMIF('Как будет'!$A$35:$A$42,Доп.расчеты!$A230,'Как будет'!GK$35:GK$42)</f>
        <v>0</v>
      </c>
      <c r="GK230">
        <f>SUMIF('Как будет'!$A$35:$A$42,Доп.расчеты!$A230,'Как будет'!GL$35:GL$42)</f>
        <v>0</v>
      </c>
      <c r="GL230">
        <f>SUMIF('Как будет'!$A$35:$A$42,Доп.расчеты!$A230,'Как будет'!GM$35:GM$42)</f>
        <v>0</v>
      </c>
      <c r="GM230">
        <f>SUMIF('Как будет'!$A$35:$A$42,Доп.расчеты!$A230,'Как будет'!GN$35:GN$42)</f>
        <v>0</v>
      </c>
      <c r="GN230">
        <f>SUMIF('Как будет'!$A$35:$A$42,Доп.расчеты!$A230,'Как будет'!GO$35:GO$42)</f>
        <v>0</v>
      </c>
      <c r="GO230">
        <f>SUMIF('Как будет'!$A$35:$A$42,Доп.расчеты!$A230,'Как будет'!GP$35:GP$42)</f>
        <v>0</v>
      </c>
      <c r="GP230">
        <f>SUMIF('Как будет'!$A$35:$A$42,Доп.расчеты!$A230,'Как будет'!GQ$35:GQ$42)</f>
        <v>0</v>
      </c>
      <c r="GQ230">
        <f>SUMIF('Как будет'!$A$35:$A$42,Доп.расчеты!$A230,'Как будет'!GR$35:GR$42)</f>
        <v>0</v>
      </c>
      <c r="GR230">
        <f>SUMIF('Как будет'!$A$35:$A$42,Доп.расчеты!$A230,'Как будет'!GS$35:GS$42)</f>
        <v>0</v>
      </c>
      <c r="GS230">
        <f>SUMIF('Как будет'!$A$35:$A$42,Доп.расчеты!$A230,'Как будет'!GT$35:GT$42)</f>
        <v>0</v>
      </c>
      <c r="GT230">
        <f>SUMIF('Как будет'!$A$35:$A$42,Доп.расчеты!$A230,'Как будет'!GU$35:GU$42)</f>
        <v>0</v>
      </c>
    </row>
    <row r="231" spans="1:202">
      <c r="A231" s="238" t="s">
        <v>25</v>
      </c>
      <c r="B231">
        <f>SUMIF('Как будет'!$A$35:$A$42,Доп.расчеты!$A231,'Как будет'!C$35:C$42)</f>
        <v>0</v>
      </c>
      <c r="C231">
        <f>SUMIF('Как будет'!$A$35:$A$42,Доп.расчеты!$A231,'Как будет'!D$35:D$42)</f>
        <v>0</v>
      </c>
      <c r="D231">
        <f>SUMIF('Как будет'!$A$35:$A$42,Доп.расчеты!$A231,'Как будет'!E$35:E$42)</f>
        <v>0</v>
      </c>
      <c r="E231">
        <f>SUMIF('Как будет'!$A$35:$A$42,Доп.расчеты!$A231,'Как будет'!F$35:F$42)</f>
        <v>0</v>
      </c>
      <c r="F231">
        <f>SUMIF('Как будет'!$A$35:$A$42,Доп.расчеты!$A231,'Как будет'!G$35:G$42)</f>
        <v>0</v>
      </c>
      <c r="G231">
        <f>SUMIF('Как будет'!$A$35:$A$42,Доп.расчеты!$A231,'Как будет'!H$35:H$42)</f>
        <v>0</v>
      </c>
      <c r="H231">
        <f>SUMIF('Как будет'!$A$35:$A$42,Доп.расчеты!$A231,'Как будет'!I$35:I$42)</f>
        <v>0</v>
      </c>
      <c r="I231">
        <f>SUMIF('Как будет'!$A$35:$A$42,Доп.расчеты!$A231,'Как будет'!J$35:J$42)</f>
        <v>0</v>
      </c>
      <c r="J231">
        <f>SUMIF('Как будет'!$A$35:$A$42,Доп.расчеты!$A231,'Как будет'!K$35:K$42)</f>
        <v>0</v>
      </c>
      <c r="K231">
        <f>SUMIF('Как будет'!$A$35:$A$42,Доп.расчеты!$A231,'Как будет'!L$35:L$42)</f>
        <v>0</v>
      </c>
      <c r="L231">
        <f>SUMIF('Как будет'!$A$35:$A$42,Доп.расчеты!$A231,'Как будет'!M$35:M$42)</f>
        <v>0</v>
      </c>
      <c r="M231">
        <f>SUMIF('Как будет'!$A$35:$A$42,Доп.расчеты!$A231,'Как будет'!N$35:N$42)</f>
        <v>0</v>
      </c>
      <c r="N231">
        <f>SUMIF('Как будет'!$A$35:$A$42,Доп.расчеты!$A231,'Как будет'!O$35:O$42)</f>
        <v>0</v>
      </c>
      <c r="O231">
        <f>SUMIF('Как будет'!$A$35:$A$42,Доп.расчеты!$A231,'Как будет'!P$35:P$42)</f>
        <v>0</v>
      </c>
      <c r="P231">
        <f>SUMIF('Как будет'!$A$35:$A$42,Доп.расчеты!$A231,'Как будет'!Q$35:Q$42)</f>
        <v>0</v>
      </c>
      <c r="Q231">
        <f>SUMIF('Как будет'!$A$35:$A$42,Доп.расчеты!$A231,'Как будет'!R$35:R$42)</f>
        <v>0</v>
      </c>
      <c r="R231">
        <f>SUMIF('Как будет'!$A$35:$A$42,Доп.расчеты!$A231,'Как будет'!S$35:S$42)</f>
        <v>0</v>
      </c>
      <c r="S231">
        <f>SUMIF('Как будет'!$A$35:$A$42,Доп.расчеты!$A231,'Как будет'!T$35:T$42)</f>
        <v>0</v>
      </c>
      <c r="T231">
        <f>SUMIF('Как будет'!$A$35:$A$42,Доп.расчеты!$A231,'Как будет'!U$35:U$42)</f>
        <v>0</v>
      </c>
      <c r="U231">
        <f>SUMIF('Как будет'!$A$35:$A$42,Доп.расчеты!$A231,'Как будет'!V$35:V$42)</f>
        <v>0</v>
      </c>
      <c r="V231">
        <f>SUMIF('Как будет'!$A$35:$A$42,Доп.расчеты!$A231,'Как будет'!W$35:W$42)</f>
        <v>0</v>
      </c>
      <c r="W231">
        <f>SUMIF('Как будет'!$A$35:$A$42,Доп.расчеты!$A231,'Как будет'!X$35:X$42)</f>
        <v>0</v>
      </c>
      <c r="X231">
        <f>SUMIF('Как будет'!$A$35:$A$42,Доп.расчеты!$A231,'Как будет'!Y$35:Y$42)</f>
        <v>0</v>
      </c>
      <c r="Y231">
        <f>SUMIF('Как будет'!$A$35:$A$42,Доп.расчеты!$A231,'Как будет'!Z$35:Z$42)</f>
        <v>0</v>
      </c>
      <c r="Z231">
        <f>SUMIF('Как будет'!$A$35:$A$42,Доп.расчеты!$A231,'Как будет'!AA$35:AA$42)</f>
        <v>0</v>
      </c>
      <c r="AA231">
        <f>SUMIF('Как будет'!$A$35:$A$42,Доп.расчеты!$A231,'Как будет'!AB$35:AB$42)</f>
        <v>0</v>
      </c>
      <c r="AB231">
        <f>SUMIF('Как будет'!$A$35:$A$42,Доп.расчеты!$A231,'Как будет'!AC$35:AC$42)</f>
        <v>0</v>
      </c>
      <c r="AC231">
        <f>SUMIF('Как будет'!$A$35:$A$42,Доп.расчеты!$A231,'Как будет'!AD$35:AD$42)</f>
        <v>0</v>
      </c>
      <c r="AD231">
        <f>SUMIF('Как будет'!$A$35:$A$42,Доп.расчеты!$A231,'Как будет'!AE$35:AE$42)</f>
        <v>0</v>
      </c>
      <c r="AE231">
        <f>SUMIF('Как будет'!$A$35:$A$42,Доп.расчеты!$A231,'Как будет'!AF$35:AF$42)</f>
        <v>0</v>
      </c>
      <c r="AF231">
        <f>SUMIF('Как будет'!$A$35:$A$42,Доп.расчеты!$A231,'Как будет'!AG$35:AG$42)</f>
        <v>0</v>
      </c>
      <c r="AG231">
        <f>SUMIF('Как будет'!$A$35:$A$42,Доп.расчеты!$A231,'Как будет'!AH$35:AH$42)</f>
        <v>0</v>
      </c>
      <c r="AH231">
        <f>SUMIF('Как будет'!$A$35:$A$42,Доп.расчеты!$A231,'Как будет'!AI$35:AI$42)</f>
        <v>0</v>
      </c>
      <c r="AI231">
        <f>SUMIF('Как будет'!$A$35:$A$42,Доп.расчеты!$A231,'Как будет'!AJ$35:AJ$42)</f>
        <v>0</v>
      </c>
      <c r="AJ231">
        <f>SUMIF('Как будет'!$A$35:$A$42,Доп.расчеты!$A231,'Как будет'!AK$35:AK$42)</f>
        <v>0</v>
      </c>
      <c r="AK231">
        <f>SUMIF('Как будет'!$A$35:$A$42,Доп.расчеты!$A231,'Как будет'!AL$35:AL$42)</f>
        <v>0</v>
      </c>
      <c r="AL231">
        <f>SUMIF('Как будет'!$A$35:$A$42,Доп.расчеты!$A231,'Как будет'!AM$35:AM$42)</f>
        <v>0</v>
      </c>
      <c r="AM231">
        <f>SUMIF('Как будет'!$A$35:$A$42,Доп.расчеты!$A231,'Как будет'!AN$35:AN$42)</f>
        <v>0</v>
      </c>
      <c r="AN231">
        <f>SUMIF('Как будет'!$A$35:$A$42,Доп.расчеты!$A231,'Как будет'!AO$35:AO$42)</f>
        <v>0</v>
      </c>
      <c r="AO231">
        <f>SUMIF('Как будет'!$A$35:$A$42,Доп.расчеты!$A231,'Как будет'!AP$35:AP$42)</f>
        <v>0</v>
      </c>
      <c r="AP231">
        <f>SUMIF('Как будет'!$A$35:$A$42,Доп.расчеты!$A231,'Как будет'!AQ$35:AQ$42)</f>
        <v>0</v>
      </c>
      <c r="AQ231">
        <f>SUMIF('Как будет'!$A$35:$A$42,Доп.расчеты!$A231,'Как будет'!AR$35:AR$42)</f>
        <v>0</v>
      </c>
      <c r="AR231">
        <f>SUMIF('Как будет'!$A$35:$A$42,Доп.расчеты!$A231,'Как будет'!AS$35:AS$42)</f>
        <v>0</v>
      </c>
      <c r="AS231">
        <f>SUMIF('Как будет'!$A$35:$A$42,Доп.расчеты!$A231,'Как будет'!AT$35:AT$42)</f>
        <v>0</v>
      </c>
      <c r="AT231">
        <f>SUMIF('Как будет'!$A$35:$A$42,Доп.расчеты!$A231,'Как будет'!AU$35:AU$42)</f>
        <v>0</v>
      </c>
      <c r="AU231">
        <f>SUMIF('Как будет'!$A$35:$A$42,Доп.расчеты!$A231,'Как будет'!AV$35:AV$42)</f>
        <v>0</v>
      </c>
      <c r="AV231">
        <f>SUMIF('Как будет'!$A$35:$A$42,Доп.расчеты!$A231,'Как будет'!AW$35:AW$42)</f>
        <v>0</v>
      </c>
      <c r="AW231">
        <f>SUMIF('Как будет'!$A$35:$A$42,Доп.расчеты!$A231,'Как будет'!AX$35:AX$42)</f>
        <v>0</v>
      </c>
      <c r="AX231">
        <f>SUMIF('Как будет'!$A$35:$A$42,Доп.расчеты!$A231,'Как будет'!AY$35:AY$42)</f>
        <v>0</v>
      </c>
      <c r="AY231">
        <f>SUMIF('Как будет'!$A$35:$A$42,Доп.расчеты!$A231,'Как будет'!AZ$35:AZ$42)</f>
        <v>0</v>
      </c>
      <c r="AZ231">
        <f>SUMIF('Как будет'!$A$35:$A$42,Доп.расчеты!$A231,'Как будет'!BA$35:BA$42)</f>
        <v>0</v>
      </c>
      <c r="BA231">
        <f>SUMIF('Как будет'!$A$35:$A$42,Доп.расчеты!$A231,'Как будет'!BB$35:BB$42)</f>
        <v>0</v>
      </c>
      <c r="BB231">
        <f>SUMIF('Как будет'!$A$35:$A$42,Доп.расчеты!$A231,'Как будет'!BC$35:BC$42)</f>
        <v>0</v>
      </c>
      <c r="BC231">
        <f>SUMIF('Как будет'!$A$35:$A$42,Доп.расчеты!$A231,'Как будет'!BD$35:BD$42)</f>
        <v>0</v>
      </c>
      <c r="BD231">
        <f>SUMIF('Как будет'!$A$35:$A$42,Доп.расчеты!$A231,'Как будет'!BE$35:BE$42)</f>
        <v>0</v>
      </c>
      <c r="BE231">
        <f>SUMIF('Как будет'!$A$35:$A$42,Доп.расчеты!$A231,'Как будет'!BF$35:BF$42)</f>
        <v>0</v>
      </c>
      <c r="BF231">
        <f>SUMIF('Как будет'!$A$35:$A$42,Доп.расчеты!$A231,'Как будет'!BG$35:BG$42)</f>
        <v>0</v>
      </c>
      <c r="BG231">
        <f>SUMIF('Как будет'!$A$35:$A$42,Доп.расчеты!$A231,'Как будет'!BH$35:BH$42)</f>
        <v>0</v>
      </c>
      <c r="BH231">
        <f>SUMIF('Как будет'!$A$35:$A$42,Доп.расчеты!$A231,'Как будет'!BI$35:BI$42)</f>
        <v>0</v>
      </c>
      <c r="BI231">
        <f>SUMIF('Как будет'!$A$35:$A$42,Доп.расчеты!$A231,'Как будет'!BJ$35:BJ$42)</f>
        <v>0</v>
      </c>
      <c r="BJ231">
        <f>SUMIF('Как будет'!$A$35:$A$42,Доп.расчеты!$A231,'Как будет'!BK$35:BK$42)</f>
        <v>0</v>
      </c>
      <c r="BK231">
        <f>SUMIF('Как будет'!$A$35:$A$42,Доп.расчеты!$A231,'Как будет'!BL$35:BL$42)</f>
        <v>0</v>
      </c>
      <c r="BL231">
        <f>SUMIF('Как будет'!$A$35:$A$42,Доп.расчеты!$A231,'Как будет'!BM$35:BM$42)</f>
        <v>0</v>
      </c>
      <c r="BM231">
        <f>SUMIF('Как будет'!$A$35:$A$42,Доп.расчеты!$A231,'Как будет'!BN$35:BN$42)</f>
        <v>0</v>
      </c>
      <c r="BN231">
        <f>SUMIF('Как будет'!$A$35:$A$42,Доп.расчеты!$A231,'Как будет'!BO$35:BO$42)</f>
        <v>0</v>
      </c>
      <c r="BO231">
        <f>SUMIF('Как будет'!$A$35:$A$42,Доп.расчеты!$A231,'Как будет'!BP$35:BP$42)</f>
        <v>0</v>
      </c>
      <c r="BP231">
        <f>SUMIF('Как будет'!$A$35:$A$42,Доп.расчеты!$A231,'Как будет'!BQ$35:BQ$42)</f>
        <v>0</v>
      </c>
      <c r="BQ231">
        <f>SUMIF('Как будет'!$A$35:$A$42,Доп.расчеты!$A231,'Как будет'!BR$35:BR$42)</f>
        <v>0</v>
      </c>
      <c r="BR231">
        <f>SUMIF('Как будет'!$A$35:$A$42,Доп.расчеты!$A231,'Как будет'!BS$35:BS$42)</f>
        <v>0</v>
      </c>
      <c r="BS231">
        <f>SUMIF('Как будет'!$A$35:$A$42,Доп.расчеты!$A231,'Как будет'!BT$35:BT$42)</f>
        <v>0</v>
      </c>
      <c r="BT231">
        <f>SUMIF('Как будет'!$A$35:$A$42,Доп.расчеты!$A231,'Как будет'!BU$35:BU$42)</f>
        <v>0</v>
      </c>
      <c r="BU231">
        <f>SUMIF('Как будет'!$A$35:$A$42,Доп.расчеты!$A231,'Как будет'!BV$35:BV$42)</f>
        <v>0</v>
      </c>
      <c r="BV231">
        <f>SUMIF('Как будет'!$A$35:$A$42,Доп.расчеты!$A231,'Как будет'!BW$35:BW$42)</f>
        <v>0</v>
      </c>
      <c r="BW231">
        <f>SUMIF('Как будет'!$A$35:$A$42,Доп.расчеты!$A231,'Как будет'!BX$35:BX$42)</f>
        <v>0</v>
      </c>
      <c r="BX231">
        <f>SUMIF('Как будет'!$A$35:$A$42,Доп.расчеты!$A231,'Как будет'!BY$35:BY$42)</f>
        <v>0</v>
      </c>
      <c r="BY231">
        <f>SUMIF('Как будет'!$A$35:$A$42,Доп.расчеты!$A231,'Как будет'!BZ$35:BZ$42)</f>
        <v>0</v>
      </c>
      <c r="BZ231">
        <f>SUMIF('Как будет'!$A$35:$A$42,Доп.расчеты!$A231,'Как будет'!CA$35:CA$42)</f>
        <v>0</v>
      </c>
      <c r="CA231">
        <f>SUMIF('Как будет'!$A$35:$A$42,Доп.расчеты!$A231,'Как будет'!CB$35:CB$42)</f>
        <v>0</v>
      </c>
      <c r="CB231">
        <f>SUMIF('Как будет'!$A$35:$A$42,Доп.расчеты!$A231,'Как будет'!CC$35:CC$42)</f>
        <v>0</v>
      </c>
      <c r="CC231">
        <f>SUMIF('Как будет'!$A$35:$A$42,Доп.расчеты!$A231,'Как будет'!CD$35:CD$42)</f>
        <v>0</v>
      </c>
      <c r="CD231">
        <f>SUMIF('Как будет'!$A$35:$A$42,Доп.расчеты!$A231,'Как будет'!CE$35:CE$42)</f>
        <v>0</v>
      </c>
      <c r="CE231">
        <f>SUMIF('Как будет'!$A$35:$A$42,Доп.расчеты!$A231,'Как будет'!CF$35:CF$42)</f>
        <v>0</v>
      </c>
      <c r="CF231">
        <f>SUMIF('Как будет'!$A$35:$A$42,Доп.расчеты!$A231,'Как будет'!CG$35:CG$42)</f>
        <v>0</v>
      </c>
      <c r="CG231">
        <f>SUMIF('Как будет'!$A$35:$A$42,Доп.расчеты!$A231,'Как будет'!CH$35:CH$42)</f>
        <v>0</v>
      </c>
      <c r="CH231">
        <f>SUMIF('Как будет'!$A$35:$A$42,Доп.расчеты!$A231,'Как будет'!CI$35:CI$42)</f>
        <v>0</v>
      </c>
      <c r="CI231">
        <f>SUMIF('Как будет'!$A$35:$A$42,Доп.расчеты!$A231,'Как будет'!CJ$35:CJ$42)</f>
        <v>0</v>
      </c>
      <c r="CJ231">
        <f>SUMIF('Как будет'!$A$35:$A$42,Доп.расчеты!$A231,'Как будет'!CK$35:CK$42)</f>
        <v>0</v>
      </c>
      <c r="CK231">
        <f>SUMIF('Как будет'!$A$35:$A$42,Доп.расчеты!$A231,'Как будет'!CL$35:CL$42)</f>
        <v>0</v>
      </c>
      <c r="CL231">
        <f>SUMIF('Как будет'!$A$35:$A$42,Доп.расчеты!$A231,'Как будет'!CM$35:CM$42)</f>
        <v>0</v>
      </c>
      <c r="CM231">
        <f>SUMIF('Как будет'!$A$35:$A$42,Доп.расчеты!$A231,'Как будет'!CN$35:CN$42)</f>
        <v>0</v>
      </c>
      <c r="CN231">
        <f>SUMIF('Как будет'!$A$35:$A$42,Доп.расчеты!$A231,'Как будет'!CO$35:CO$42)</f>
        <v>0</v>
      </c>
      <c r="CO231">
        <f>SUMIF('Как будет'!$A$35:$A$42,Доп.расчеты!$A231,'Как будет'!CP$35:CP$42)</f>
        <v>0</v>
      </c>
      <c r="CP231">
        <f>SUMIF('Как будет'!$A$35:$A$42,Доп.расчеты!$A231,'Как будет'!CQ$35:CQ$42)</f>
        <v>0</v>
      </c>
      <c r="CQ231">
        <f>SUMIF('Как будет'!$A$35:$A$42,Доп.расчеты!$A231,'Как будет'!CR$35:CR$42)</f>
        <v>0</v>
      </c>
      <c r="CR231">
        <f>SUMIF('Как будет'!$A$35:$A$42,Доп.расчеты!$A231,'Как будет'!CS$35:CS$42)</f>
        <v>0</v>
      </c>
      <c r="CS231">
        <f>SUMIF('Как будет'!$A$35:$A$42,Доп.расчеты!$A231,'Как будет'!CT$35:CT$42)</f>
        <v>0</v>
      </c>
      <c r="CT231">
        <f>SUMIF('Как будет'!$A$35:$A$42,Доп.расчеты!$A231,'Как будет'!CU$35:CU$42)</f>
        <v>0</v>
      </c>
      <c r="CU231">
        <f>SUMIF('Как будет'!$A$35:$A$42,Доп.расчеты!$A231,'Как будет'!CV$35:CV$42)</f>
        <v>0</v>
      </c>
      <c r="CV231">
        <f>SUMIF('Как будет'!$A$35:$A$42,Доп.расчеты!$A231,'Как будет'!CW$35:CW$42)</f>
        <v>0</v>
      </c>
      <c r="CW231">
        <f>SUMIF('Как будет'!$A$35:$A$42,Доп.расчеты!$A231,'Как будет'!CX$35:CX$42)</f>
        <v>0</v>
      </c>
      <c r="CX231">
        <f>SUMIF('Как будет'!$A$35:$A$42,Доп.расчеты!$A231,'Как будет'!CY$35:CY$42)</f>
        <v>0</v>
      </c>
      <c r="CY231">
        <f>SUMIF('Как будет'!$A$35:$A$42,Доп.расчеты!$A231,'Как будет'!CZ$35:CZ$42)</f>
        <v>0</v>
      </c>
      <c r="CZ231">
        <f>SUMIF('Как будет'!$A$35:$A$42,Доп.расчеты!$A231,'Как будет'!DA$35:DA$42)</f>
        <v>0</v>
      </c>
      <c r="DA231">
        <f>SUMIF('Как будет'!$A$35:$A$42,Доп.расчеты!$A231,'Как будет'!DB$35:DB$42)</f>
        <v>0</v>
      </c>
      <c r="DB231">
        <f>SUMIF('Как будет'!$A$35:$A$42,Доп.расчеты!$A231,'Как будет'!DC$35:DC$42)</f>
        <v>0</v>
      </c>
      <c r="DC231">
        <f>SUMIF('Как будет'!$A$35:$A$42,Доп.расчеты!$A231,'Как будет'!DD$35:DD$42)</f>
        <v>0</v>
      </c>
      <c r="DD231">
        <f>SUMIF('Как будет'!$A$35:$A$42,Доп.расчеты!$A231,'Как будет'!DE$35:DE$42)</f>
        <v>0</v>
      </c>
      <c r="DE231">
        <f>SUMIF('Как будет'!$A$35:$A$42,Доп.расчеты!$A231,'Как будет'!DF$35:DF$42)</f>
        <v>0</v>
      </c>
      <c r="DF231">
        <f>SUMIF('Как будет'!$A$35:$A$42,Доп.расчеты!$A231,'Как будет'!DG$35:DG$42)</f>
        <v>0</v>
      </c>
      <c r="DG231">
        <f>SUMIF('Как будет'!$A$35:$A$42,Доп.расчеты!$A231,'Как будет'!DH$35:DH$42)</f>
        <v>0</v>
      </c>
      <c r="DH231">
        <f>SUMIF('Как будет'!$A$35:$A$42,Доп.расчеты!$A231,'Как будет'!DI$35:DI$42)</f>
        <v>0</v>
      </c>
      <c r="DI231">
        <f>SUMIF('Как будет'!$A$35:$A$42,Доп.расчеты!$A231,'Как будет'!DJ$35:DJ$42)</f>
        <v>0</v>
      </c>
      <c r="DJ231">
        <f>SUMIF('Как будет'!$A$35:$A$42,Доп.расчеты!$A231,'Как будет'!DK$35:DK$42)</f>
        <v>0</v>
      </c>
      <c r="DK231">
        <f>SUMIF('Как будет'!$A$35:$A$42,Доп.расчеты!$A231,'Как будет'!DL$35:DL$42)</f>
        <v>0</v>
      </c>
      <c r="DL231">
        <f>SUMIF('Как будет'!$A$35:$A$42,Доп.расчеты!$A231,'Как будет'!DM$35:DM$42)</f>
        <v>0</v>
      </c>
      <c r="DM231">
        <f>SUMIF('Как будет'!$A$35:$A$42,Доп.расчеты!$A231,'Как будет'!DN$35:DN$42)</f>
        <v>0</v>
      </c>
      <c r="DN231">
        <f>SUMIF('Как будет'!$A$35:$A$42,Доп.расчеты!$A231,'Как будет'!DO$35:DO$42)</f>
        <v>0</v>
      </c>
      <c r="DO231">
        <f>SUMIF('Как будет'!$A$35:$A$42,Доп.расчеты!$A231,'Как будет'!DP$35:DP$42)</f>
        <v>0</v>
      </c>
      <c r="DP231">
        <f>SUMIF('Как будет'!$A$35:$A$42,Доп.расчеты!$A231,'Как будет'!DQ$35:DQ$42)</f>
        <v>0</v>
      </c>
      <c r="DQ231">
        <f>SUMIF('Как будет'!$A$35:$A$42,Доп.расчеты!$A231,'Как будет'!DR$35:DR$42)</f>
        <v>0</v>
      </c>
      <c r="DR231">
        <f>SUMIF('Как будет'!$A$35:$A$42,Доп.расчеты!$A231,'Как будет'!DS$35:DS$42)</f>
        <v>0</v>
      </c>
      <c r="DS231">
        <f>SUMIF('Как будет'!$A$35:$A$42,Доп.расчеты!$A231,'Как будет'!DT$35:DT$42)</f>
        <v>0</v>
      </c>
      <c r="DT231">
        <f>SUMIF('Как будет'!$A$35:$A$42,Доп.расчеты!$A231,'Как будет'!DU$35:DU$42)</f>
        <v>0</v>
      </c>
      <c r="DU231">
        <f>SUMIF('Как будет'!$A$35:$A$42,Доп.расчеты!$A231,'Как будет'!DV$35:DV$42)</f>
        <v>0</v>
      </c>
      <c r="DV231">
        <f>SUMIF('Как будет'!$A$35:$A$42,Доп.расчеты!$A231,'Как будет'!DW$35:DW$42)</f>
        <v>0</v>
      </c>
      <c r="DW231">
        <f>SUMIF('Как будет'!$A$35:$A$42,Доп.расчеты!$A231,'Как будет'!DX$35:DX$42)</f>
        <v>0</v>
      </c>
      <c r="DX231">
        <f>SUMIF('Как будет'!$A$35:$A$42,Доп.расчеты!$A231,'Как будет'!DY$35:DY$42)</f>
        <v>0</v>
      </c>
      <c r="DY231">
        <f>SUMIF('Как будет'!$A$35:$A$42,Доп.расчеты!$A231,'Как будет'!DZ$35:DZ$42)</f>
        <v>0</v>
      </c>
      <c r="DZ231">
        <f>SUMIF('Как будет'!$A$35:$A$42,Доп.расчеты!$A231,'Как будет'!EA$35:EA$42)</f>
        <v>0</v>
      </c>
      <c r="EA231">
        <f>SUMIF('Как будет'!$A$35:$A$42,Доп.расчеты!$A231,'Как будет'!EB$35:EB$42)</f>
        <v>0</v>
      </c>
      <c r="EB231">
        <f>SUMIF('Как будет'!$A$35:$A$42,Доп.расчеты!$A231,'Как будет'!EC$35:EC$42)</f>
        <v>0</v>
      </c>
      <c r="EC231">
        <f>SUMIF('Как будет'!$A$35:$A$42,Доп.расчеты!$A231,'Как будет'!ED$35:ED$42)</f>
        <v>0</v>
      </c>
      <c r="ED231">
        <f>SUMIF('Как будет'!$A$35:$A$42,Доп.расчеты!$A231,'Как будет'!EE$35:EE$42)</f>
        <v>0</v>
      </c>
      <c r="EE231">
        <f>SUMIF('Как будет'!$A$35:$A$42,Доп.расчеты!$A231,'Как будет'!EF$35:EF$42)</f>
        <v>0</v>
      </c>
      <c r="EF231">
        <f>SUMIF('Как будет'!$A$35:$A$42,Доп.расчеты!$A231,'Как будет'!EG$35:EG$42)</f>
        <v>0</v>
      </c>
      <c r="EG231">
        <f>SUMIF('Как будет'!$A$35:$A$42,Доп.расчеты!$A231,'Как будет'!EH$35:EH$42)</f>
        <v>0</v>
      </c>
      <c r="EH231">
        <f>SUMIF('Как будет'!$A$35:$A$42,Доп.расчеты!$A231,'Как будет'!EI$35:EI$42)</f>
        <v>0</v>
      </c>
      <c r="EI231">
        <f>SUMIF('Как будет'!$A$35:$A$42,Доп.расчеты!$A231,'Как будет'!EJ$35:EJ$42)</f>
        <v>0</v>
      </c>
      <c r="EJ231">
        <f>SUMIF('Как будет'!$A$35:$A$42,Доп.расчеты!$A231,'Как будет'!EK$35:EK$42)</f>
        <v>0</v>
      </c>
      <c r="EK231">
        <f>SUMIF('Как будет'!$A$35:$A$42,Доп.расчеты!$A231,'Как будет'!EL$35:EL$42)</f>
        <v>0</v>
      </c>
      <c r="EL231">
        <f>SUMIF('Как будет'!$A$35:$A$42,Доп.расчеты!$A231,'Как будет'!EM$35:EM$42)</f>
        <v>0</v>
      </c>
      <c r="EM231">
        <f>SUMIF('Как будет'!$A$35:$A$42,Доп.расчеты!$A231,'Как будет'!EN$35:EN$42)</f>
        <v>0</v>
      </c>
      <c r="EN231">
        <f>SUMIF('Как будет'!$A$35:$A$42,Доп.расчеты!$A231,'Как будет'!EO$35:EO$42)</f>
        <v>0</v>
      </c>
      <c r="EO231">
        <f>SUMIF('Как будет'!$A$35:$A$42,Доп.расчеты!$A231,'Как будет'!EP$35:EP$42)</f>
        <v>0</v>
      </c>
      <c r="EP231">
        <f>SUMIF('Как будет'!$A$35:$A$42,Доп.расчеты!$A231,'Как будет'!EQ$35:EQ$42)</f>
        <v>0</v>
      </c>
      <c r="EQ231">
        <f>SUMIF('Как будет'!$A$35:$A$42,Доп.расчеты!$A231,'Как будет'!ER$35:ER$42)</f>
        <v>0</v>
      </c>
      <c r="ER231">
        <f>SUMIF('Как будет'!$A$35:$A$42,Доп.расчеты!$A231,'Как будет'!ES$35:ES$42)</f>
        <v>0</v>
      </c>
      <c r="ES231">
        <f>SUMIF('Как будет'!$A$35:$A$42,Доп.расчеты!$A231,'Как будет'!ET$35:ET$42)</f>
        <v>0</v>
      </c>
      <c r="ET231">
        <f>SUMIF('Как будет'!$A$35:$A$42,Доп.расчеты!$A231,'Как будет'!EU$35:EU$42)</f>
        <v>0</v>
      </c>
      <c r="EU231">
        <f>SUMIF('Как будет'!$A$35:$A$42,Доп.расчеты!$A231,'Как будет'!EV$35:EV$42)</f>
        <v>0</v>
      </c>
      <c r="EV231">
        <f>SUMIF('Как будет'!$A$35:$A$42,Доп.расчеты!$A231,'Как будет'!EW$35:EW$42)</f>
        <v>0</v>
      </c>
      <c r="EW231">
        <f>SUMIF('Как будет'!$A$35:$A$42,Доп.расчеты!$A231,'Как будет'!EX$35:EX$42)</f>
        <v>0</v>
      </c>
      <c r="EX231">
        <f>SUMIF('Как будет'!$A$35:$A$42,Доп.расчеты!$A231,'Как будет'!EY$35:EY$42)</f>
        <v>0</v>
      </c>
      <c r="EY231">
        <f>SUMIF('Как будет'!$A$35:$A$42,Доп.расчеты!$A231,'Как будет'!EZ$35:EZ$42)</f>
        <v>0</v>
      </c>
      <c r="EZ231">
        <f>SUMIF('Как будет'!$A$35:$A$42,Доп.расчеты!$A231,'Как будет'!FA$35:FA$42)</f>
        <v>0</v>
      </c>
      <c r="FA231">
        <f>SUMIF('Как будет'!$A$35:$A$42,Доп.расчеты!$A231,'Как будет'!FB$35:FB$42)</f>
        <v>0</v>
      </c>
      <c r="FB231">
        <f>SUMIF('Как будет'!$A$35:$A$42,Доп.расчеты!$A231,'Как будет'!FC$35:FC$42)</f>
        <v>0</v>
      </c>
      <c r="FC231">
        <f>SUMIF('Как будет'!$A$35:$A$42,Доп.расчеты!$A231,'Как будет'!FD$35:FD$42)</f>
        <v>0</v>
      </c>
      <c r="FD231">
        <f>SUMIF('Как будет'!$A$35:$A$42,Доп.расчеты!$A231,'Как будет'!FE$35:FE$42)</f>
        <v>0</v>
      </c>
      <c r="FE231">
        <f>SUMIF('Как будет'!$A$35:$A$42,Доп.расчеты!$A231,'Как будет'!FF$35:FF$42)</f>
        <v>0</v>
      </c>
      <c r="FF231">
        <f>SUMIF('Как будет'!$A$35:$A$42,Доп.расчеты!$A231,'Как будет'!FG$35:FG$42)</f>
        <v>0</v>
      </c>
      <c r="FG231">
        <f>SUMIF('Как будет'!$A$35:$A$42,Доп.расчеты!$A231,'Как будет'!FH$35:FH$42)</f>
        <v>0</v>
      </c>
      <c r="FH231">
        <f>SUMIF('Как будет'!$A$35:$A$42,Доп.расчеты!$A231,'Как будет'!FI$35:FI$42)</f>
        <v>0</v>
      </c>
      <c r="FI231">
        <f>SUMIF('Как будет'!$A$35:$A$42,Доп.расчеты!$A231,'Как будет'!FJ$35:FJ$42)</f>
        <v>0</v>
      </c>
      <c r="FJ231">
        <f>SUMIF('Как будет'!$A$35:$A$42,Доп.расчеты!$A231,'Как будет'!FK$35:FK$42)</f>
        <v>0</v>
      </c>
      <c r="FK231">
        <f>SUMIF('Как будет'!$A$35:$A$42,Доп.расчеты!$A231,'Как будет'!FL$35:FL$42)</f>
        <v>0</v>
      </c>
      <c r="FL231">
        <f>SUMIF('Как будет'!$A$35:$A$42,Доп.расчеты!$A231,'Как будет'!FM$35:FM$42)</f>
        <v>0</v>
      </c>
      <c r="FM231">
        <f>SUMIF('Как будет'!$A$35:$A$42,Доп.расчеты!$A231,'Как будет'!FN$35:FN$42)</f>
        <v>0</v>
      </c>
      <c r="FN231">
        <f>SUMIF('Как будет'!$A$35:$A$42,Доп.расчеты!$A231,'Как будет'!FO$35:FO$42)</f>
        <v>0</v>
      </c>
      <c r="FO231">
        <f>SUMIF('Как будет'!$A$35:$A$42,Доп.расчеты!$A231,'Как будет'!FP$35:FP$42)</f>
        <v>0</v>
      </c>
      <c r="FP231">
        <f>SUMIF('Как будет'!$A$35:$A$42,Доп.расчеты!$A231,'Как будет'!FQ$35:FQ$42)</f>
        <v>0</v>
      </c>
      <c r="FQ231">
        <f>SUMIF('Как будет'!$A$35:$A$42,Доп.расчеты!$A231,'Как будет'!FR$35:FR$42)</f>
        <v>0</v>
      </c>
      <c r="FR231">
        <f>SUMIF('Как будет'!$A$35:$A$42,Доп.расчеты!$A231,'Как будет'!FS$35:FS$42)</f>
        <v>0</v>
      </c>
      <c r="FS231">
        <f>SUMIF('Как будет'!$A$35:$A$42,Доп.расчеты!$A231,'Как будет'!FT$35:FT$42)</f>
        <v>0</v>
      </c>
      <c r="FT231">
        <f>SUMIF('Как будет'!$A$35:$A$42,Доп.расчеты!$A231,'Как будет'!FU$35:FU$42)</f>
        <v>0</v>
      </c>
      <c r="FU231">
        <f>SUMIF('Как будет'!$A$35:$A$42,Доп.расчеты!$A231,'Как будет'!FV$35:FV$42)</f>
        <v>0</v>
      </c>
      <c r="FV231">
        <f>SUMIF('Как будет'!$A$35:$A$42,Доп.расчеты!$A231,'Как будет'!FW$35:FW$42)</f>
        <v>0</v>
      </c>
      <c r="FW231">
        <f>SUMIF('Как будет'!$A$35:$A$42,Доп.расчеты!$A231,'Как будет'!FX$35:FX$42)</f>
        <v>0</v>
      </c>
      <c r="FX231">
        <f>SUMIF('Как будет'!$A$35:$A$42,Доп.расчеты!$A231,'Как будет'!FY$35:FY$42)</f>
        <v>0</v>
      </c>
      <c r="FY231">
        <f>SUMIF('Как будет'!$A$35:$A$42,Доп.расчеты!$A231,'Как будет'!FZ$35:FZ$42)</f>
        <v>0</v>
      </c>
      <c r="FZ231">
        <f>SUMIF('Как будет'!$A$35:$A$42,Доп.расчеты!$A231,'Как будет'!GA$35:GA$42)</f>
        <v>0</v>
      </c>
      <c r="GA231">
        <f>SUMIF('Как будет'!$A$35:$A$42,Доп.расчеты!$A231,'Как будет'!GB$35:GB$42)</f>
        <v>0</v>
      </c>
      <c r="GB231">
        <f>SUMIF('Как будет'!$A$35:$A$42,Доп.расчеты!$A231,'Как будет'!GC$35:GC$42)</f>
        <v>0</v>
      </c>
      <c r="GC231">
        <f>SUMIF('Как будет'!$A$35:$A$42,Доп.расчеты!$A231,'Как будет'!GD$35:GD$42)</f>
        <v>0</v>
      </c>
      <c r="GD231">
        <f>SUMIF('Как будет'!$A$35:$A$42,Доп.расчеты!$A231,'Как будет'!GE$35:GE$42)</f>
        <v>0</v>
      </c>
      <c r="GE231">
        <f>SUMIF('Как будет'!$A$35:$A$42,Доп.расчеты!$A231,'Как будет'!GF$35:GF$42)</f>
        <v>0</v>
      </c>
      <c r="GF231">
        <f>SUMIF('Как будет'!$A$35:$A$42,Доп.расчеты!$A231,'Как будет'!GG$35:GG$42)</f>
        <v>0</v>
      </c>
      <c r="GG231">
        <f>SUMIF('Как будет'!$A$35:$A$42,Доп.расчеты!$A231,'Как будет'!GH$35:GH$42)</f>
        <v>0</v>
      </c>
      <c r="GH231">
        <f>SUMIF('Как будет'!$A$35:$A$42,Доп.расчеты!$A231,'Как будет'!GI$35:GI$42)</f>
        <v>0</v>
      </c>
      <c r="GI231">
        <f>SUMIF('Как будет'!$A$35:$A$42,Доп.расчеты!$A231,'Как будет'!GJ$35:GJ$42)</f>
        <v>0</v>
      </c>
      <c r="GJ231">
        <f>SUMIF('Как будет'!$A$35:$A$42,Доп.расчеты!$A231,'Как будет'!GK$35:GK$42)</f>
        <v>0</v>
      </c>
      <c r="GK231">
        <f>SUMIF('Как будет'!$A$35:$A$42,Доп.расчеты!$A231,'Как будет'!GL$35:GL$42)</f>
        <v>0</v>
      </c>
      <c r="GL231">
        <f>SUMIF('Как будет'!$A$35:$A$42,Доп.расчеты!$A231,'Как будет'!GM$35:GM$42)</f>
        <v>0</v>
      </c>
      <c r="GM231">
        <f>SUMIF('Как будет'!$A$35:$A$42,Доп.расчеты!$A231,'Как будет'!GN$35:GN$42)</f>
        <v>0</v>
      </c>
      <c r="GN231">
        <f>SUMIF('Как будет'!$A$35:$A$42,Доп.расчеты!$A231,'Как будет'!GO$35:GO$42)</f>
        <v>0</v>
      </c>
      <c r="GO231">
        <f>SUMIF('Как будет'!$A$35:$A$42,Доп.расчеты!$A231,'Как будет'!GP$35:GP$42)</f>
        <v>0</v>
      </c>
      <c r="GP231">
        <f>SUMIF('Как будет'!$A$35:$A$42,Доп.расчеты!$A231,'Как будет'!GQ$35:GQ$42)</f>
        <v>0</v>
      </c>
      <c r="GQ231">
        <f>SUMIF('Как будет'!$A$35:$A$42,Доп.расчеты!$A231,'Как будет'!GR$35:GR$42)</f>
        <v>0</v>
      </c>
      <c r="GR231">
        <f>SUMIF('Как будет'!$A$35:$A$42,Доп.расчеты!$A231,'Как будет'!GS$35:GS$42)</f>
        <v>0</v>
      </c>
      <c r="GS231">
        <f>SUMIF('Как будет'!$A$35:$A$42,Доп.расчеты!$A231,'Как будет'!GT$35:GT$42)</f>
        <v>0</v>
      </c>
      <c r="GT231">
        <f>SUMIF('Как будет'!$A$35:$A$42,Доп.расчеты!$A231,'Как будет'!GU$35:GU$42)</f>
        <v>0</v>
      </c>
    </row>
    <row r="232" spans="1:202">
      <c r="A232" s="238" t="s">
        <v>14</v>
      </c>
      <c r="B232">
        <f>SUMIF('Как будет'!$A$35:$A$42,Доп.расчеты!$A232,'Как будет'!C$35:C$42)</f>
        <v>0</v>
      </c>
      <c r="C232">
        <f>SUMIF('Как будет'!$A$35:$A$42,Доп.расчеты!$A232,'Как будет'!D$35:D$42)</f>
        <v>0</v>
      </c>
      <c r="D232">
        <f>SUMIF('Как будет'!$A$35:$A$42,Доп.расчеты!$A232,'Как будет'!E$35:E$42)</f>
        <v>0</v>
      </c>
      <c r="E232">
        <f>SUMIF('Как будет'!$A$35:$A$42,Доп.расчеты!$A232,'Как будет'!F$35:F$42)</f>
        <v>0</v>
      </c>
      <c r="F232">
        <f>SUMIF('Как будет'!$A$35:$A$42,Доп.расчеты!$A232,'Как будет'!G$35:G$42)</f>
        <v>0</v>
      </c>
      <c r="G232">
        <f>SUMIF('Как будет'!$A$35:$A$42,Доп.расчеты!$A232,'Как будет'!H$35:H$42)</f>
        <v>0</v>
      </c>
      <c r="H232">
        <f>SUMIF('Как будет'!$A$35:$A$42,Доп.расчеты!$A232,'Как будет'!I$35:I$42)</f>
        <v>0</v>
      </c>
      <c r="I232">
        <f>SUMIF('Как будет'!$A$35:$A$42,Доп.расчеты!$A232,'Как будет'!J$35:J$42)</f>
        <v>0</v>
      </c>
      <c r="J232">
        <f>SUMIF('Как будет'!$A$35:$A$42,Доп.расчеты!$A232,'Как будет'!K$35:K$42)</f>
        <v>0</v>
      </c>
      <c r="K232">
        <f>SUMIF('Как будет'!$A$35:$A$42,Доп.расчеты!$A232,'Как будет'!L$35:L$42)</f>
        <v>0</v>
      </c>
      <c r="L232">
        <f>SUMIF('Как будет'!$A$35:$A$42,Доп.расчеты!$A232,'Как будет'!M$35:M$42)</f>
        <v>0</v>
      </c>
      <c r="M232">
        <f>SUMIF('Как будет'!$A$35:$A$42,Доп.расчеты!$A232,'Как будет'!N$35:N$42)</f>
        <v>0</v>
      </c>
      <c r="N232">
        <f>SUMIF('Как будет'!$A$35:$A$42,Доп.расчеты!$A232,'Как будет'!O$35:O$42)</f>
        <v>0</v>
      </c>
      <c r="O232">
        <f>SUMIF('Как будет'!$A$35:$A$42,Доп.расчеты!$A232,'Как будет'!P$35:P$42)</f>
        <v>0</v>
      </c>
      <c r="P232">
        <f>SUMIF('Как будет'!$A$35:$A$42,Доп.расчеты!$A232,'Как будет'!Q$35:Q$42)</f>
        <v>0</v>
      </c>
      <c r="Q232">
        <f>SUMIF('Как будет'!$A$35:$A$42,Доп.расчеты!$A232,'Как будет'!R$35:R$42)</f>
        <v>0</v>
      </c>
      <c r="R232">
        <f>SUMIF('Как будет'!$A$35:$A$42,Доп.расчеты!$A232,'Как будет'!S$35:S$42)</f>
        <v>0</v>
      </c>
      <c r="S232">
        <f>SUMIF('Как будет'!$A$35:$A$42,Доп.расчеты!$A232,'Как будет'!T$35:T$42)</f>
        <v>0</v>
      </c>
      <c r="T232">
        <f>SUMIF('Как будет'!$A$35:$A$42,Доп.расчеты!$A232,'Как будет'!U$35:U$42)</f>
        <v>0</v>
      </c>
      <c r="U232">
        <f>SUMIF('Как будет'!$A$35:$A$42,Доп.расчеты!$A232,'Как будет'!V$35:V$42)</f>
        <v>0</v>
      </c>
      <c r="V232">
        <f>SUMIF('Как будет'!$A$35:$A$42,Доп.расчеты!$A232,'Как будет'!W$35:W$42)</f>
        <v>0</v>
      </c>
      <c r="W232">
        <f>SUMIF('Как будет'!$A$35:$A$42,Доп.расчеты!$A232,'Как будет'!X$35:X$42)</f>
        <v>0</v>
      </c>
      <c r="X232">
        <f>SUMIF('Как будет'!$A$35:$A$42,Доп.расчеты!$A232,'Как будет'!Y$35:Y$42)</f>
        <v>0</v>
      </c>
      <c r="Y232">
        <f>SUMIF('Как будет'!$A$35:$A$42,Доп.расчеты!$A232,'Как будет'!Z$35:Z$42)</f>
        <v>0</v>
      </c>
      <c r="Z232">
        <f>SUMIF('Как будет'!$A$35:$A$42,Доп.расчеты!$A232,'Как будет'!AA$35:AA$42)</f>
        <v>0</v>
      </c>
      <c r="AA232">
        <f>SUMIF('Как будет'!$A$35:$A$42,Доп.расчеты!$A232,'Как будет'!AB$35:AB$42)</f>
        <v>0</v>
      </c>
      <c r="AB232">
        <f>SUMIF('Как будет'!$A$35:$A$42,Доп.расчеты!$A232,'Как будет'!AC$35:AC$42)</f>
        <v>0</v>
      </c>
      <c r="AC232">
        <f>SUMIF('Как будет'!$A$35:$A$42,Доп.расчеты!$A232,'Как будет'!AD$35:AD$42)</f>
        <v>0</v>
      </c>
      <c r="AD232">
        <f>SUMIF('Как будет'!$A$35:$A$42,Доп.расчеты!$A232,'Как будет'!AE$35:AE$42)</f>
        <v>0</v>
      </c>
      <c r="AE232">
        <f>SUMIF('Как будет'!$A$35:$A$42,Доп.расчеты!$A232,'Как будет'!AF$35:AF$42)</f>
        <v>0</v>
      </c>
      <c r="AF232">
        <f>SUMIF('Как будет'!$A$35:$A$42,Доп.расчеты!$A232,'Как будет'!AG$35:AG$42)</f>
        <v>0</v>
      </c>
      <c r="AG232">
        <f>SUMIF('Как будет'!$A$35:$A$42,Доп.расчеты!$A232,'Как будет'!AH$35:AH$42)</f>
        <v>0</v>
      </c>
      <c r="AH232">
        <f>SUMIF('Как будет'!$A$35:$A$42,Доп.расчеты!$A232,'Как будет'!AI$35:AI$42)</f>
        <v>0</v>
      </c>
      <c r="AI232">
        <f>SUMIF('Как будет'!$A$35:$A$42,Доп.расчеты!$A232,'Как будет'!AJ$35:AJ$42)</f>
        <v>0</v>
      </c>
      <c r="AJ232">
        <f>SUMIF('Как будет'!$A$35:$A$42,Доп.расчеты!$A232,'Как будет'!AK$35:AK$42)</f>
        <v>0</v>
      </c>
      <c r="AK232">
        <f>SUMIF('Как будет'!$A$35:$A$42,Доп.расчеты!$A232,'Как будет'!AL$35:AL$42)</f>
        <v>0</v>
      </c>
      <c r="AL232">
        <f>SUMIF('Как будет'!$A$35:$A$42,Доп.расчеты!$A232,'Как будет'!AM$35:AM$42)</f>
        <v>0</v>
      </c>
      <c r="AM232">
        <f>SUMIF('Как будет'!$A$35:$A$42,Доп.расчеты!$A232,'Как будет'!AN$35:AN$42)</f>
        <v>0</v>
      </c>
      <c r="AN232">
        <f>SUMIF('Как будет'!$A$35:$A$42,Доп.расчеты!$A232,'Как будет'!AO$35:AO$42)</f>
        <v>0</v>
      </c>
      <c r="AO232">
        <f>SUMIF('Как будет'!$A$35:$A$42,Доп.расчеты!$A232,'Как будет'!AP$35:AP$42)</f>
        <v>0</v>
      </c>
      <c r="AP232">
        <f>SUMIF('Как будет'!$A$35:$A$42,Доп.расчеты!$A232,'Как будет'!AQ$35:AQ$42)</f>
        <v>0</v>
      </c>
      <c r="AQ232">
        <f>SUMIF('Как будет'!$A$35:$A$42,Доп.расчеты!$A232,'Как будет'!AR$35:AR$42)</f>
        <v>0</v>
      </c>
      <c r="AR232">
        <f>SUMIF('Как будет'!$A$35:$A$42,Доп.расчеты!$A232,'Как будет'!AS$35:AS$42)</f>
        <v>0</v>
      </c>
      <c r="AS232">
        <f>SUMIF('Как будет'!$A$35:$A$42,Доп.расчеты!$A232,'Как будет'!AT$35:AT$42)</f>
        <v>0</v>
      </c>
      <c r="AT232">
        <f>SUMIF('Как будет'!$A$35:$A$42,Доп.расчеты!$A232,'Как будет'!AU$35:AU$42)</f>
        <v>0</v>
      </c>
      <c r="AU232">
        <f>SUMIF('Как будет'!$A$35:$A$42,Доп.расчеты!$A232,'Как будет'!AV$35:AV$42)</f>
        <v>0</v>
      </c>
      <c r="AV232">
        <f>SUMIF('Как будет'!$A$35:$A$42,Доп.расчеты!$A232,'Как будет'!AW$35:AW$42)</f>
        <v>0</v>
      </c>
      <c r="AW232">
        <f>SUMIF('Как будет'!$A$35:$A$42,Доп.расчеты!$A232,'Как будет'!AX$35:AX$42)</f>
        <v>0</v>
      </c>
      <c r="AX232">
        <f>SUMIF('Как будет'!$A$35:$A$42,Доп.расчеты!$A232,'Как будет'!AY$35:AY$42)</f>
        <v>0</v>
      </c>
      <c r="AY232">
        <f>SUMIF('Как будет'!$A$35:$A$42,Доп.расчеты!$A232,'Как будет'!AZ$35:AZ$42)</f>
        <v>0</v>
      </c>
      <c r="AZ232">
        <f>SUMIF('Как будет'!$A$35:$A$42,Доп.расчеты!$A232,'Как будет'!BA$35:BA$42)</f>
        <v>0</v>
      </c>
      <c r="BA232">
        <f>SUMIF('Как будет'!$A$35:$A$42,Доп.расчеты!$A232,'Как будет'!BB$35:BB$42)</f>
        <v>0</v>
      </c>
      <c r="BB232">
        <f>SUMIF('Как будет'!$A$35:$A$42,Доп.расчеты!$A232,'Как будет'!BC$35:BC$42)</f>
        <v>0</v>
      </c>
      <c r="BC232">
        <f>SUMIF('Как будет'!$A$35:$A$42,Доп.расчеты!$A232,'Как будет'!BD$35:BD$42)</f>
        <v>0</v>
      </c>
      <c r="BD232">
        <f>SUMIF('Как будет'!$A$35:$A$42,Доп.расчеты!$A232,'Как будет'!BE$35:BE$42)</f>
        <v>0</v>
      </c>
      <c r="BE232">
        <f>SUMIF('Как будет'!$A$35:$A$42,Доп.расчеты!$A232,'Как будет'!BF$35:BF$42)</f>
        <v>0</v>
      </c>
      <c r="BF232">
        <f>SUMIF('Как будет'!$A$35:$A$42,Доп.расчеты!$A232,'Как будет'!BG$35:BG$42)</f>
        <v>0</v>
      </c>
      <c r="BG232">
        <f>SUMIF('Как будет'!$A$35:$A$42,Доп.расчеты!$A232,'Как будет'!BH$35:BH$42)</f>
        <v>0</v>
      </c>
      <c r="BH232">
        <f>SUMIF('Как будет'!$A$35:$A$42,Доп.расчеты!$A232,'Как будет'!BI$35:BI$42)</f>
        <v>0</v>
      </c>
      <c r="BI232">
        <f>SUMIF('Как будет'!$A$35:$A$42,Доп.расчеты!$A232,'Как будет'!BJ$35:BJ$42)</f>
        <v>0</v>
      </c>
      <c r="BJ232">
        <f>SUMIF('Как будет'!$A$35:$A$42,Доп.расчеты!$A232,'Как будет'!BK$35:BK$42)</f>
        <v>0</v>
      </c>
      <c r="BK232">
        <f>SUMIF('Как будет'!$A$35:$A$42,Доп.расчеты!$A232,'Как будет'!BL$35:BL$42)</f>
        <v>0</v>
      </c>
      <c r="BL232">
        <f>SUMIF('Как будет'!$A$35:$A$42,Доп.расчеты!$A232,'Как будет'!BM$35:BM$42)</f>
        <v>0</v>
      </c>
      <c r="BM232">
        <f>SUMIF('Как будет'!$A$35:$A$42,Доп.расчеты!$A232,'Как будет'!BN$35:BN$42)</f>
        <v>0</v>
      </c>
      <c r="BN232">
        <f>SUMIF('Как будет'!$A$35:$A$42,Доп.расчеты!$A232,'Как будет'!BO$35:BO$42)</f>
        <v>0</v>
      </c>
      <c r="BO232">
        <f>SUMIF('Как будет'!$A$35:$A$42,Доп.расчеты!$A232,'Как будет'!BP$35:BP$42)</f>
        <v>0</v>
      </c>
      <c r="BP232">
        <f>SUMIF('Как будет'!$A$35:$A$42,Доп.расчеты!$A232,'Как будет'!BQ$35:BQ$42)</f>
        <v>0</v>
      </c>
      <c r="BQ232">
        <f>SUMIF('Как будет'!$A$35:$A$42,Доп.расчеты!$A232,'Как будет'!BR$35:BR$42)</f>
        <v>0</v>
      </c>
      <c r="BR232">
        <f>SUMIF('Как будет'!$A$35:$A$42,Доп.расчеты!$A232,'Как будет'!BS$35:BS$42)</f>
        <v>0</v>
      </c>
      <c r="BS232">
        <f>SUMIF('Как будет'!$A$35:$A$42,Доп.расчеты!$A232,'Как будет'!BT$35:BT$42)</f>
        <v>0</v>
      </c>
      <c r="BT232">
        <f>SUMIF('Как будет'!$A$35:$A$42,Доп.расчеты!$A232,'Как будет'!BU$35:BU$42)</f>
        <v>0</v>
      </c>
      <c r="BU232">
        <f>SUMIF('Как будет'!$A$35:$A$42,Доп.расчеты!$A232,'Как будет'!BV$35:BV$42)</f>
        <v>0</v>
      </c>
      <c r="BV232">
        <f>SUMIF('Как будет'!$A$35:$A$42,Доп.расчеты!$A232,'Как будет'!BW$35:BW$42)</f>
        <v>0</v>
      </c>
      <c r="BW232">
        <f>SUMIF('Как будет'!$A$35:$A$42,Доп.расчеты!$A232,'Как будет'!BX$35:BX$42)</f>
        <v>0</v>
      </c>
      <c r="BX232">
        <f>SUMIF('Как будет'!$A$35:$A$42,Доп.расчеты!$A232,'Как будет'!BY$35:BY$42)</f>
        <v>0</v>
      </c>
      <c r="BY232">
        <f>SUMIF('Как будет'!$A$35:$A$42,Доп.расчеты!$A232,'Как будет'!BZ$35:BZ$42)</f>
        <v>0</v>
      </c>
      <c r="BZ232">
        <f>SUMIF('Как будет'!$A$35:$A$42,Доп.расчеты!$A232,'Как будет'!CA$35:CA$42)</f>
        <v>0</v>
      </c>
      <c r="CA232">
        <f>SUMIF('Как будет'!$A$35:$A$42,Доп.расчеты!$A232,'Как будет'!CB$35:CB$42)</f>
        <v>0</v>
      </c>
      <c r="CB232">
        <f>SUMIF('Как будет'!$A$35:$A$42,Доп.расчеты!$A232,'Как будет'!CC$35:CC$42)</f>
        <v>0</v>
      </c>
      <c r="CC232">
        <f>SUMIF('Как будет'!$A$35:$A$42,Доп.расчеты!$A232,'Как будет'!CD$35:CD$42)</f>
        <v>0</v>
      </c>
      <c r="CD232">
        <f>SUMIF('Как будет'!$A$35:$A$42,Доп.расчеты!$A232,'Как будет'!CE$35:CE$42)</f>
        <v>0</v>
      </c>
      <c r="CE232">
        <f>SUMIF('Как будет'!$A$35:$A$42,Доп.расчеты!$A232,'Как будет'!CF$35:CF$42)</f>
        <v>0</v>
      </c>
      <c r="CF232">
        <f>SUMIF('Как будет'!$A$35:$A$42,Доп.расчеты!$A232,'Как будет'!CG$35:CG$42)</f>
        <v>0</v>
      </c>
      <c r="CG232">
        <f>SUMIF('Как будет'!$A$35:$A$42,Доп.расчеты!$A232,'Как будет'!CH$35:CH$42)</f>
        <v>0</v>
      </c>
      <c r="CH232">
        <f>SUMIF('Как будет'!$A$35:$A$42,Доп.расчеты!$A232,'Как будет'!CI$35:CI$42)</f>
        <v>0</v>
      </c>
      <c r="CI232">
        <f>SUMIF('Как будет'!$A$35:$A$42,Доп.расчеты!$A232,'Как будет'!CJ$35:CJ$42)</f>
        <v>0</v>
      </c>
      <c r="CJ232">
        <f>SUMIF('Как будет'!$A$35:$A$42,Доп.расчеты!$A232,'Как будет'!CK$35:CK$42)</f>
        <v>0</v>
      </c>
      <c r="CK232">
        <f>SUMIF('Как будет'!$A$35:$A$42,Доп.расчеты!$A232,'Как будет'!CL$35:CL$42)</f>
        <v>0</v>
      </c>
      <c r="CL232">
        <f>SUMIF('Как будет'!$A$35:$A$42,Доп.расчеты!$A232,'Как будет'!CM$35:CM$42)</f>
        <v>0</v>
      </c>
      <c r="CM232">
        <f>SUMIF('Как будет'!$A$35:$A$42,Доп.расчеты!$A232,'Как будет'!CN$35:CN$42)</f>
        <v>0</v>
      </c>
      <c r="CN232">
        <f>SUMIF('Как будет'!$A$35:$A$42,Доп.расчеты!$A232,'Как будет'!CO$35:CO$42)</f>
        <v>0</v>
      </c>
      <c r="CO232">
        <f>SUMIF('Как будет'!$A$35:$A$42,Доп.расчеты!$A232,'Как будет'!CP$35:CP$42)</f>
        <v>0</v>
      </c>
      <c r="CP232">
        <f>SUMIF('Как будет'!$A$35:$A$42,Доп.расчеты!$A232,'Как будет'!CQ$35:CQ$42)</f>
        <v>0</v>
      </c>
      <c r="CQ232">
        <f>SUMIF('Как будет'!$A$35:$A$42,Доп.расчеты!$A232,'Как будет'!CR$35:CR$42)</f>
        <v>0</v>
      </c>
      <c r="CR232">
        <f>SUMIF('Как будет'!$A$35:$A$42,Доп.расчеты!$A232,'Как будет'!CS$35:CS$42)</f>
        <v>0</v>
      </c>
      <c r="CS232">
        <f>SUMIF('Как будет'!$A$35:$A$42,Доп.расчеты!$A232,'Как будет'!CT$35:CT$42)</f>
        <v>0</v>
      </c>
      <c r="CT232">
        <f>SUMIF('Как будет'!$A$35:$A$42,Доп.расчеты!$A232,'Как будет'!CU$35:CU$42)</f>
        <v>0</v>
      </c>
      <c r="CU232">
        <f>SUMIF('Как будет'!$A$35:$A$42,Доп.расчеты!$A232,'Как будет'!CV$35:CV$42)</f>
        <v>0</v>
      </c>
      <c r="CV232">
        <f>SUMIF('Как будет'!$A$35:$A$42,Доп.расчеты!$A232,'Как будет'!CW$35:CW$42)</f>
        <v>0</v>
      </c>
      <c r="CW232">
        <f>SUMIF('Как будет'!$A$35:$A$42,Доп.расчеты!$A232,'Как будет'!CX$35:CX$42)</f>
        <v>0</v>
      </c>
      <c r="CX232">
        <f>SUMIF('Как будет'!$A$35:$A$42,Доп.расчеты!$A232,'Как будет'!CY$35:CY$42)</f>
        <v>0</v>
      </c>
      <c r="CY232">
        <f>SUMIF('Как будет'!$A$35:$A$42,Доп.расчеты!$A232,'Как будет'!CZ$35:CZ$42)</f>
        <v>0</v>
      </c>
      <c r="CZ232">
        <f>SUMIF('Как будет'!$A$35:$A$42,Доп.расчеты!$A232,'Как будет'!DA$35:DA$42)</f>
        <v>0</v>
      </c>
      <c r="DA232">
        <f>SUMIF('Как будет'!$A$35:$A$42,Доп.расчеты!$A232,'Как будет'!DB$35:DB$42)</f>
        <v>0</v>
      </c>
      <c r="DB232">
        <f>SUMIF('Как будет'!$A$35:$A$42,Доп.расчеты!$A232,'Как будет'!DC$35:DC$42)</f>
        <v>0</v>
      </c>
      <c r="DC232">
        <f>SUMIF('Как будет'!$A$35:$A$42,Доп.расчеты!$A232,'Как будет'!DD$35:DD$42)</f>
        <v>0</v>
      </c>
      <c r="DD232">
        <f>SUMIF('Как будет'!$A$35:$A$42,Доп.расчеты!$A232,'Как будет'!DE$35:DE$42)</f>
        <v>0</v>
      </c>
      <c r="DE232">
        <f>SUMIF('Как будет'!$A$35:$A$42,Доп.расчеты!$A232,'Как будет'!DF$35:DF$42)</f>
        <v>0</v>
      </c>
      <c r="DF232">
        <f>SUMIF('Как будет'!$A$35:$A$42,Доп.расчеты!$A232,'Как будет'!DG$35:DG$42)</f>
        <v>0</v>
      </c>
      <c r="DG232">
        <f>SUMIF('Как будет'!$A$35:$A$42,Доп.расчеты!$A232,'Как будет'!DH$35:DH$42)</f>
        <v>0</v>
      </c>
      <c r="DH232">
        <f>SUMIF('Как будет'!$A$35:$A$42,Доп.расчеты!$A232,'Как будет'!DI$35:DI$42)</f>
        <v>0</v>
      </c>
      <c r="DI232">
        <f>SUMIF('Как будет'!$A$35:$A$42,Доп.расчеты!$A232,'Как будет'!DJ$35:DJ$42)</f>
        <v>0</v>
      </c>
      <c r="DJ232">
        <f>SUMIF('Как будет'!$A$35:$A$42,Доп.расчеты!$A232,'Как будет'!DK$35:DK$42)</f>
        <v>0</v>
      </c>
      <c r="DK232">
        <f>SUMIF('Как будет'!$A$35:$A$42,Доп.расчеты!$A232,'Как будет'!DL$35:DL$42)</f>
        <v>0</v>
      </c>
      <c r="DL232">
        <f>SUMIF('Как будет'!$A$35:$A$42,Доп.расчеты!$A232,'Как будет'!DM$35:DM$42)</f>
        <v>0</v>
      </c>
      <c r="DM232">
        <f>SUMIF('Как будет'!$A$35:$A$42,Доп.расчеты!$A232,'Как будет'!DN$35:DN$42)</f>
        <v>0</v>
      </c>
      <c r="DN232">
        <f>SUMIF('Как будет'!$A$35:$A$42,Доп.расчеты!$A232,'Как будет'!DO$35:DO$42)</f>
        <v>0</v>
      </c>
      <c r="DO232">
        <f>SUMIF('Как будет'!$A$35:$A$42,Доп.расчеты!$A232,'Как будет'!DP$35:DP$42)</f>
        <v>0</v>
      </c>
      <c r="DP232">
        <f>SUMIF('Как будет'!$A$35:$A$42,Доп.расчеты!$A232,'Как будет'!DQ$35:DQ$42)</f>
        <v>0</v>
      </c>
      <c r="DQ232">
        <f>SUMIF('Как будет'!$A$35:$A$42,Доп.расчеты!$A232,'Как будет'!DR$35:DR$42)</f>
        <v>0</v>
      </c>
      <c r="DR232">
        <f>SUMIF('Как будет'!$A$35:$A$42,Доп.расчеты!$A232,'Как будет'!DS$35:DS$42)</f>
        <v>0</v>
      </c>
      <c r="DS232">
        <f>SUMIF('Как будет'!$A$35:$A$42,Доп.расчеты!$A232,'Как будет'!DT$35:DT$42)</f>
        <v>0</v>
      </c>
      <c r="DT232">
        <f>SUMIF('Как будет'!$A$35:$A$42,Доп.расчеты!$A232,'Как будет'!DU$35:DU$42)</f>
        <v>0</v>
      </c>
      <c r="DU232">
        <f>SUMIF('Как будет'!$A$35:$A$42,Доп.расчеты!$A232,'Как будет'!DV$35:DV$42)</f>
        <v>0</v>
      </c>
      <c r="DV232">
        <f>SUMIF('Как будет'!$A$35:$A$42,Доп.расчеты!$A232,'Как будет'!DW$35:DW$42)</f>
        <v>0</v>
      </c>
      <c r="DW232">
        <f>SUMIF('Как будет'!$A$35:$A$42,Доп.расчеты!$A232,'Как будет'!DX$35:DX$42)</f>
        <v>0</v>
      </c>
      <c r="DX232">
        <f>SUMIF('Как будет'!$A$35:$A$42,Доп.расчеты!$A232,'Как будет'!DY$35:DY$42)</f>
        <v>0</v>
      </c>
      <c r="DY232">
        <f>SUMIF('Как будет'!$A$35:$A$42,Доп.расчеты!$A232,'Как будет'!DZ$35:DZ$42)</f>
        <v>0</v>
      </c>
      <c r="DZ232">
        <f>SUMIF('Как будет'!$A$35:$A$42,Доп.расчеты!$A232,'Как будет'!EA$35:EA$42)</f>
        <v>0</v>
      </c>
      <c r="EA232">
        <f>SUMIF('Как будет'!$A$35:$A$42,Доп.расчеты!$A232,'Как будет'!EB$35:EB$42)</f>
        <v>0</v>
      </c>
      <c r="EB232">
        <f>SUMIF('Как будет'!$A$35:$A$42,Доп.расчеты!$A232,'Как будет'!EC$35:EC$42)</f>
        <v>0</v>
      </c>
      <c r="EC232">
        <f>SUMIF('Как будет'!$A$35:$A$42,Доп.расчеты!$A232,'Как будет'!ED$35:ED$42)</f>
        <v>0</v>
      </c>
      <c r="ED232">
        <f>SUMIF('Как будет'!$A$35:$A$42,Доп.расчеты!$A232,'Как будет'!EE$35:EE$42)</f>
        <v>0</v>
      </c>
      <c r="EE232">
        <f>SUMIF('Как будет'!$A$35:$A$42,Доп.расчеты!$A232,'Как будет'!EF$35:EF$42)</f>
        <v>0</v>
      </c>
      <c r="EF232">
        <f>SUMIF('Как будет'!$A$35:$A$42,Доп.расчеты!$A232,'Как будет'!EG$35:EG$42)</f>
        <v>0</v>
      </c>
      <c r="EG232">
        <f>SUMIF('Как будет'!$A$35:$A$42,Доп.расчеты!$A232,'Как будет'!EH$35:EH$42)</f>
        <v>0</v>
      </c>
      <c r="EH232">
        <f>SUMIF('Как будет'!$A$35:$A$42,Доп.расчеты!$A232,'Как будет'!EI$35:EI$42)</f>
        <v>0</v>
      </c>
      <c r="EI232">
        <f>SUMIF('Как будет'!$A$35:$A$42,Доп.расчеты!$A232,'Как будет'!EJ$35:EJ$42)</f>
        <v>0</v>
      </c>
      <c r="EJ232">
        <f>SUMIF('Как будет'!$A$35:$A$42,Доп.расчеты!$A232,'Как будет'!EK$35:EK$42)</f>
        <v>0</v>
      </c>
      <c r="EK232">
        <f>SUMIF('Как будет'!$A$35:$A$42,Доп.расчеты!$A232,'Как будет'!EL$35:EL$42)</f>
        <v>0</v>
      </c>
      <c r="EL232">
        <f>SUMIF('Как будет'!$A$35:$A$42,Доп.расчеты!$A232,'Как будет'!EM$35:EM$42)</f>
        <v>0</v>
      </c>
      <c r="EM232">
        <f>SUMIF('Как будет'!$A$35:$A$42,Доп.расчеты!$A232,'Как будет'!EN$35:EN$42)</f>
        <v>0</v>
      </c>
      <c r="EN232">
        <f>SUMIF('Как будет'!$A$35:$A$42,Доп.расчеты!$A232,'Как будет'!EO$35:EO$42)</f>
        <v>0</v>
      </c>
      <c r="EO232">
        <f>SUMIF('Как будет'!$A$35:$A$42,Доп.расчеты!$A232,'Как будет'!EP$35:EP$42)</f>
        <v>0</v>
      </c>
      <c r="EP232">
        <f>SUMIF('Как будет'!$A$35:$A$42,Доп.расчеты!$A232,'Как будет'!EQ$35:EQ$42)</f>
        <v>0</v>
      </c>
      <c r="EQ232">
        <f>SUMIF('Как будет'!$A$35:$A$42,Доп.расчеты!$A232,'Как будет'!ER$35:ER$42)</f>
        <v>0</v>
      </c>
      <c r="ER232">
        <f>SUMIF('Как будет'!$A$35:$A$42,Доп.расчеты!$A232,'Как будет'!ES$35:ES$42)</f>
        <v>0</v>
      </c>
      <c r="ES232">
        <f>SUMIF('Как будет'!$A$35:$A$42,Доп.расчеты!$A232,'Как будет'!ET$35:ET$42)</f>
        <v>0</v>
      </c>
      <c r="ET232">
        <f>SUMIF('Как будет'!$A$35:$A$42,Доп.расчеты!$A232,'Как будет'!EU$35:EU$42)</f>
        <v>0</v>
      </c>
      <c r="EU232">
        <f>SUMIF('Как будет'!$A$35:$A$42,Доп.расчеты!$A232,'Как будет'!EV$35:EV$42)</f>
        <v>0</v>
      </c>
      <c r="EV232">
        <f>SUMIF('Как будет'!$A$35:$A$42,Доп.расчеты!$A232,'Как будет'!EW$35:EW$42)</f>
        <v>0</v>
      </c>
      <c r="EW232">
        <f>SUMIF('Как будет'!$A$35:$A$42,Доп.расчеты!$A232,'Как будет'!EX$35:EX$42)</f>
        <v>0</v>
      </c>
      <c r="EX232">
        <f>SUMIF('Как будет'!$A$35:$A$42,Доп.расчеты!$A232,'Как будет'!EY$35:EY$42)</f>
        <v>0</v>
      </c>
      <c r="EY232">
        <f>SUMIF('Как будет'!$A$35:$A$42,Доп.расчеты!$A232,'Как будет'!EZ$35:EZ$42)</f>
        <v>0</v>
      </c>
      <c r="EZ232">
        <f>SUMIF('Как будет'!$A$35:$A$42,Доп.расчеты!$A232,'Как будет'!FA$35:FA$42)</f>
        <v>0</v>
      </c>
      <c r="FA232">
        <f>SUMIF('Как будет'!$A$35:$A$42,Доп.расчеты!$A232,'Как будет'!FB$35:FB$42)</f>
        <v>0</v>
      </c>
      <c r="FB232">
        <f>SUMIF('Как будет'!$A$35:$A$42,Доп.расчеты!$A232,'Как будет'!FC$35:FC$42)</f>
        <v>0</v>
      </c>
      <c r="FC232">
        <f>SUMIF('Как будет'!$A$35:$A$42,Доп.расчеты!$A232,'Как будет'!FD$35:FD$42)</f>
        <v>0</v>
      </c>
      <c r="FD232">
        <f>SUMIF('Как будет'!$A$35:$A$42,Доп.расчеты!$A232,'Как будет'!FE$35:FE$42)</f>
        <v>0</v>
      </c>
      <c r="FE232">
        <f>SUMIF('Как будет'!$A$35:$A$42,Доп.расчеты!$A232,'Как будет'!FF$35:FF$42)</f>
        <v>0</v>
      </c>
      <c r="FF232">
        <f>SUMIF('Как будет'!$A$35:$A$42,Доп.расчеты!$A232,'Как будет'!FG$35:FG$42)</f>
        <v>0</v>
      </c>
      <c r="FG232">
        <f>SUMIF('Как будет'!$A$35:$A$42,Доп.расчеты!$A232,'Как будет'!FH$35:FH$42)</f>
        <v>0</v>
      </c>
      <c r="FH232">
        <f>SUMIF('Как будет'!$A$35:$A$42,Доп.расчеты!$A232,'Как будет'!FI$35:FI$42)</f>
        <v>0</v>
      </c>
      <c r="FI232">
        <f>SUMIF('Как будет'!$A$35:$A$42,Доп.расчеты!$A232,'Как будет'!FJ$35:FJ$42)</f>
        <v>0</v>
      </c>
      <c r="FJ232">
        <f>SUMIF('Как будет'!$A$35:$A$42,Доп.расчеты!$A232,'Как будет'!FK$35:FK$42)</f>
        <v>0</v>
      </c>
      <c r="FK232">
        <f>SUMIF('Как будет'!$A$35:$A$42,Доп.расчеты!$A232,'Как будет'!FL$35:FL$42)</f>
        <v>0</v>
      </c>
      <c r="FL232">
        <f>SUMIF('Как будет'!$A$35:$A$42,Доп.расчеты!$A232,'Как будет'!FM$35:FM$42)</f>
        <v>0</v>
      </c>
      <c r="FM232">
        <f>SUMIF('Как будет'!$A$35:$A$42,Доп.расчеты!$A232,'Как будет'!FN$35:FN$42)</f>
        <v>0</v>
      </c>
      <c r="FN232">
        <f>SUMIF('Как будет'!$A$35:$A$42,Доп.расчеты!$A232,'Как будет'!FO$35:FO$42)</f>
        <v>0</v>
      </c>
      <c r="FO232">
        <f>SUMIF('Как будет'!$A$35:$A$42,Доп.расчеты!$A232,'Как будет'!FP$35:FP$42)</f>
        <v>0</v>
      </c>
      <c r="FP232">
        <f>SUMIF('Как будет'!$A$35:$A$42,Доп.расчеты!$A232,'Как будет'!FQ$35:FQ$42)</f>
        <v>0</v>
      </c>
      <c r="FQ232">
        <f>SUMIF('Как будет'!$A$35:$A$42,Доп.расчеты!$A232,'Как будет'!FR$35:FR$42)</f>
        <v>0</v>
      </c>
      <c r="FR232">
        <f>SUMIF('Как будет'!$A$35:$A$42,Доп.расчеты!$A232,'Как будет'!FS$35:FS$42)</f>
        <v>0</v>
      </c>
      <c r="FS232">
        <f>SUMIF('Как будет'!$A$35:$A$42,Доп.расчеты!$A232,'Как будет'!FT$35:FT$42)</f>
        <v>0</v>
      </c>
      <c r="FT232">
        <f>SUMIF('Как будет'!$A$35:$A$42,Доп.расчеты!$A232,'Как будет'!FU$35:FU$42)</f>
        <v>0</v>
      </c>
      <c r="FU232">
        <f>SUMIF('Как будет'!$A$35:$A$42,Доп.расчеты!$A232,'Как будет'!FV$35:FV$42)</f>
        <v>0</v>
      </c>
      <c r="FV232">
        <f>SUMIF('Как будет'!$A$35:$A$42,Доп.расчеты!$A232,'Как будет'!FW$35:FW$42)</f>
        <v>0</v>
      </c>
      <c r="FW232">
        <f>SUMIF('Как будет'!$A$35:$A$42,Доп.расчеты!$A232,'Как будет'!FX$35:FX$42)</f>
        <v>0</v>
      </c>
      <c r="FX232">
        <f>SUMIF('Как будет'!$A$35:$A$42,Доп.расчеты!$A232,'Как будет'!FY$35:FY$42)</f>
        <v>0</v>
      </c>
      <c r="FY232">
        <f>SUMIF('Как будет'!$A$35:$A$42,Доп.расчеты!$A232,'Как будет'!FZ$35:FZ$42)</f>
        <v>0</v>
      </c>
      <c r="FZ232">
        <f>SUMIF('Как будет'!$A$35:$A$42,Доп.расчеты!$A232,'Как будет'!GA$35:GA$42)</f>
        <v>0</v>
      </c>
      <c r="GA232">
        <f>SUMIF('Как будет'!$A$35:$A$42,Доп.расчеты!$A232,'Как будет'!GB$35:GB$42)</f>
        <v>0</v>
      </c>
      <c r="GB232">
        <f>SUMIF('Как будет'!$A$35:$A$42,Доп.расчеты!$A232,'Как будет'!GC$35:GC$42)</f>
        <v>0</v>
      </c>
      <c r="GC232">
        <f>SUMIF('Как будет'!$A$35:$A$42,Доп.расчеты!$A232,'Как будет'!GD$35:GD$42)</f>
        <v>0</v>
      </c>
      <c r="GD232">
        <f>SUMIF('Как будет'!$A$35:$A$42,Доп.расчеты!$A232,'Как будет'!GE$35:GE$42)</f>
        <v>0</v>
      </c>
      <c r="GE232">
        <f>SUMIF('Как будет'!$A$35:$A$42,Доп.расчеты!$A232,'Как будет'!GF$35:GF$42)</f>
        <v>0</v>
      </c>
      <c r="GF232">
        <f>SUMIF('Как будет'!$A$35:$A$42,Доп.расчеты!$A232,'Как будет'!GG$35:GG$42)</f>
        <v>0</v>
      </c>
      <c r="GG232">
        <f>SUMIF('Как будет'!$A$35:$A$42,Доп.расчеты!$A232,'Как будет'!GH$35:GH$42)</f>
        <v>0</v>
      </c>
      <c r="GH232">
        <f>SUMIF('Как будет'!$A$35:$A$42,Доп.расчеты!$A232,'Как будет'!GI$35:GI$42)</f>
        <v>0</v>
      </c>
      <c r="GI232">
        <f>SUMIF('Как будет'!$A$35:$A$42,Доп.расчеты!$A232,'Как будет'!GJ$35:GJ$42)</f>
        <v>0</v>
      </c>
      <c r="GJ232">
        <f>SUMIF('Как будет'!$A$35:$A$42,Доп.расчеты!$A232,'Как будет'!GK$35:GK$42)</f>
        <v>0</v>
      </c>
      <c r="GK232">
        <f>SUMIF('Как будет'!$A$35:$A$42,Доп.расчеты!$A232,'Как будет'!GL$35:GL$42)</f>
        <v>0</v>
      </c>
      <c r="GL232">
        <f>SUMIF('Как будет'!$A$35:$A$42,Доп.расчеты!$A232,'Как будет'!GM$35:GM$42)</f>
        <v>0</v>
      </c>
      <c r="GM232">
        <f>SUMIF('Как будет'!$A$35:$A$42,Доп.расчеты!$A232,'Как будет'!GN$35:GN$42)</f>
        <v>0</v>
      </c>
      <c r="GN232">
        <f>SUMIF('Как будет'!$A$35:$A$42,Доп.расчеты!$A232,'Как будет'!GO$35:GO$42)</f>
        <v>0</v>
      </c>
      <c r="GO232">
        <f>SUMIF('Как будет'!$A$35:$A$42,Доп.расчеты!$A232,'Как будет'!GP$35:GP$42)</f>
        <v>0</v>
      </c>
      <c r="GP232">
        <f>SUMIF('Как будет'!$A$35:$A$42,Доп.расчеты!$A232,'Как будет'!GQ$35:GQ$42)</f>
        <v>0</v>
      </c>
      <c r="GQ232">
        <f>SUMIF('Как будет'!$A$35:$A$42,Доп.расчеты!$A232,'Как будет'!GR$35:GR$42)</f>
        <v>0</v>
      </c>
      <c r="GR232">
        <f>SUMIF('Как будет'!$A$35:$A$42,Доп.расчеты!$A232,'Как будет'!GS$35:GS$42)</f>
        <v>0</v>
      </c>
      <c r="GS232">
        <f>SUMIF('Как будет'!$A$35:$A$42,Доп.расчеты!$A232,'Как будет'!GT$35:GT$42)</f>
        <v>0</v>
      </c>
      <c r="GT232">
        <f>SUMIF('Как будет'!$A$35:$A$42,Доп.расчеты!$A232,'Как будет'!GU$35:GU$42)</f>
        <v>0</v>
      </c>
    </row>
    <row r="233" spans="1:202">
      <c r="A233" s="238" t="s">
        <v>117</v>
      </c>
      <c r="B233">
        <f>SUMIF('Как будет'!$A$35:$A$42,Доп.расчеты!$A233,'Как будет'!C$35:C$42)</f>
        <v>0</v>
      </c>
      <c r="C233">
        <f>SUMIF('Как будет'!$A$35:$A$42,Доп.расчеты!$A233,'Как будет'!D$35:D$42)</f>
        <v>0</v>
      </c>
      <c r="D233">
        <f>SUMIF('Как будет'!$A$35:$A$42,Доп.расчеты!$A233,'Как будет'!E$35:E$42)</f>
        <v>0</v>
      </c>
      <c r="E233">
        <f>SUMIF('Как будет'!$A$35:$A$42,Доп.расчеты!$A233,'Как будет'!F$35:F$42)</f>
        <v>0</v>
      </c>
      <c r="F233">
        <f>SUMIF('Как будет'!$A$35:$A$42,Доп.расчеты!$A233,'Как будет'!G$35:G$42)</f>
        <v>0</v>
      </c>
      <c r="G233">
        <f>SUMIF('Как будет'!$A$35:$A$42,Доп.расчеты!$A233,'Как будет'!H$35:H$42)</f>
        <v>0</v>
      </c>
      <c r="H233">
        <f>SUMIF('Как будет'!$A$35:$A$42,Доп.расчеты!$A233,'Как будет'!I$35:I$42)</f>
        <v>0</v>
      </c>
      <c r="I233">
        <f>SUMIF('Как будет'!$A$35:$A$42,Доп.расчеты!$A233,'Как будет'!J$35:J$42)</f>
        <v>0</v>
      </c>
      <c r="J233">
        <f>SUMIF('Как будет'!$A$35:$A$42,Доп.расчеты!$A233,'Как будет'!K$35:K$42)</f>
        <v>0</v>
      </c>
      <c r="K233">
        <f>SUMIF('Как будет'!$A$35:$A$42,Доп.расчеты!$A233,'Как будет'!L$35:L$42)</f>
        <v>0</v>
      </c>
      <c r="L233">
        <f>SUMIF('Как будет'!$A$35:$A$42,Доп.расчеты!$A233,'Как будет'!M$35:M$42)</f>
        <v>0</v>
      </c>
      <c r="M233">
        <f>SUMIF('Как будет'!$A$35:$A$42,Доп.расчеты!$A233,'Как будет'!N$35:N$42)</f>
        <v>0</v>
      </c>
      <c r="N233">
        <f>SUMIF('Как будет'!$A$35:$A$42,Доп.расчеты!$A233,'Как будет'!O$35:O$42)</f>
        <v>0</v>
      </c>
      <c r="O233">
        <f>SUMIF('Как будет'!$A$35:$A$42,Доп.расчеты!$A233,'Как будет'!P$35:P$42)</f>
        <v>0</v>
      </c>
      <c r="P233">
        <f>SUMIF('Как будет'!$A$35:$A$42,Доп.расчеты!$A233,'Как будет'!Q$35:Q$42)</f>
        <v>0</v>
      </c>
      <c r="Q233">
        <f>SUMIF('Как будет'!$A$35:$A$42,Доп.расчеты!$A233,'Как будет'!R$35:R$42)</f>
        <v>0</v>
      </c>
      <c r="R233">
        <f>SUMIF('Как будет'!$A$35:$A$42,Доп.расчеты!$A233,'Как будет'!S$35:S$42)</f>
        <v>0</v>
      </c>
      <c r="S233">
        <f>SUMIF('Как будет'!$A$35:$A$42,Доп.расчеты!$A233,'Как будет'!T$35:T$42)</f>
        <v>0</v>
      </c>
      <c r="T233">
        <f>SUMIF('Как будет'!$A$35:$A$42,Доп.расчеты!$A233,'Как будет'!U$35:U$42)</f>
        <v>0</v>
      </c>
      <c r="U233">
        <f>SUMIF('Как будет'!$A$35:$A$42,Доп.расчеты!$A233,'Как будет'!V$35:V$42)</f>
        <v>0</v>
      </c>
      <c r="V233">
        <f>SUMIF('Как будет'!$A$35:$A$42,Доп.расчеты!$A233,'Как будет'!W$35:W$42)</f>
        <v>0</v>
      </c>
      <c r="W233">
        <f>SUMIF('Как будет'!$A$35:$A$42,Доп.расчеты!$A233,'Как будет'!X$35:X$42)</f>
        <v>0</v>
      </c>
      <c r="X233">
        <f>SUMIF('Как будет'!$A$35:$A$42,Доп.расчеты!$A233,'Как будет'!Y$35:Y$42)</f>
        <v>0</v>
      </c>
      <c r="Y233">
        <f>SUMIF('Как будет'!$A$35:$A$42,Доп.расчеты!$A233,'Как будет'!Z$35:Z$42)</f>
        <v>0</v>
      </c>
      <c r="Z233">
        <f>SUMIF('Как будет'!$A$35:$A$42,Доп.расчеты!$A233,'Как будет'!AA$35:AA$42)</f>
        <v>0</v>
      </c>
      <c r="AA233">
        <f>SUMIF('Как будет'!$A$35:$A$42,Доп.расчеты!$A233,'Как будет'!AB$35:AB$42)</f>
        <v>0</v>
      </c>
      <c r="AB233">
        <f>SUMIF('Как будет'!$A$35:$A$42,Доп.расчеты!$A233,'Как будет'!AC$35:AC$42)</f>
        <v>0</v>
      </c>
      <c r="AC233">
        <f>SUMIF('Как будет'!$A$35:$A$42,Доп.расчеты!$A233,'Как будет'!AD$35:AD$42)</f>
        <v>0</v>
      </c>
      <c r="AD233">
        <f>SUMIF('Как будет'!$A$35:$A$42,Доп.расчеты!$A233,'Как будет'!AE$35:AE$42)</f>
        <v>0</v>
      </c>
      <c r="AE233">
        <f>SUMIF('Как будет'!$A$35:$A$42,Доп.расчеты!$A233,'Как будет'!AF$35:AF$42)</f>
        <v>0</v>
      </c>
      <c r="AF233">
        <f>SUMIF('Как будет'!$A$35:$A$42,Доп.расчеты!$A233,'Как будет'!AG$35:AG$42)</f>
        <v>0</v>
      </c>
      <c r="AG233">
        <f>SUMIF('Как будет'!$A$35:$A$42,Доп.расчеты!$A233,'Как будет'!AH$35:AH$42)</f>
        <v>0</v>
      </c>
      <c r="AH233">
        <f>SUMIF('Как будет'!$A$35:$A$42,Доп.расчеты!$A233,'Как будет'!AI$35:AI$42)</f>
        <v>0</v>
      </c>
      <c r="AI233">
        <f>SUMIF('Как будет'!$A$35:$A$42,Доп.расчеты!$A233,'Как будет'!AJ$35:AJ$42)</f>
        <v>0</v>
      </c>
      <c r="AJ233">
        <f>SUMIF('Как будет'!$A$35:$A$42,Доп.расчеты!$A233,'Как будет'!AK$35:AK$42)</f>
        <v>0</v>
      </c>
      <c r="AK233">
        <f>SUMIF('Как будет'!$A$35:$A$42,Доп.расчеты!$A233,'Как будет'!AL$35:AL$42)</f>
        <v>0</v>
      </c>
      <c r="AL233">
        <f>SUMIF('Как будет'!$A$35:$A$42,Доп.расчеты!$A233,'Как будет'!AM$35:AM$42)</f>
        <v>0</v>
      </c>
      <c r="AM233">
        <f>SUMIF('Как будет'!$A$35:$A$42,Доп.расчеты!$A233,'Как будет'!AN$35:AN$42)</f>
        <v>0</v>
      </c>
      <c r="AN233">
        <f>SUMIF('Как будет'!$A$35:$A$42,Доп.расчеты!$A233,'Как будет'!AO$35:AO$42)</f>
        <v>0</v>
      </c>
      <c r="AO233">
        <f>SUMIF('Как будет'!$A$35:$A$42,Доп.расчеты!$A233,'Как будет'!AP$35:AP$42)</f>
        <v>0</v>
      </c>
      <c r="AP233">
        <f>SUMIF('Как будет'!$A$35:$A$42,Доп.расчеты!$A233,'Как будет'!AQ$35:AQ$42)</f>
        <v>0</v>
      </c>
      <c r="AQ233">
        <f>SUMIF('Как будет'!$A$35:$A$42,Доп.расчеты!$A233,'Как будет'!AR$35:AR$42)</f>
        <v>0</v>
      </c>
      <c r="AR233">
        <f>SUMIF('Как будет'!$A$35:$A$42,Доп.расчеты!$A233,'Как будет'!AS$35:AS$42)</f>
        <v>0</v>
      </c>
      <c r="AS233">
        <f>SUMIF('Как будет'!$A$35:$A$42,Доп.расчеты!$A233,'Как будет'!AT$35:AT$42)</f>
        <v>0</v>
      </c>
      <c r="AT233">
        <f>SUMIF('Как будет'!$A$35:$A$42,Доп.расчеты!$A233,'Как будет'!AU$35:AU$42)</f>
        <v>0</v>
      </c>
      <c r="AU233">
        <f>SUMIF('Как будет'!$A$35:$A$42,Доп.расчеты!$A233,'Как будет'!AV$35:AV$42)</f>
        <v>0</v>
      </c>
      <c r="AV233">
        <f>SUMIF('Как будет'!$A$35:$A$42,Доп.расчеты!$A233,'Как будет'!AW$35:AW$42)</f>
        <v>0</v>
      </c>
      <c r="AW233">
        <f>SUMIF('Как будет'!$A$35:$A$42,Доп.расчеты!$A233,'Как будет'!AX$35:AX$42)</f>
        <v>0</v>
      </c>
      <c r="AX233">
        <f>SUMIF('Как будет'!$A$35:$A$42,Доп.расчеты!$A233,'Как будет'!AY$35:AY$42)</f>
        <v>0</v>
      </c>
      <c r="AY233">
        <f>SUMIF('Как будет'!$A$35:$A$42,Доп.расчеты!$A233,'Как будет'!AZ$35:AZ$42)</f>
        <v>0</v>
      </c>
      <c r="AZ233">
        <f>SUMIF('Как будет'!$A$35:$A$42,Доп.расчеты!$A233,'Как будет'!BA$35:BA$42)</f>
        <v>0</v>
      </c>
      <c r="BA233">
        <f>SUMIF('Как будет'!$A$35:$A$42,Доп.расчеты!$A233,'Как будет'!BB$35:BB$42)</f>
        <v>0</v>
      </c>
      <c r="BB233">
        <f>SUMIF('Как будет'!$A$35:$A$42,Доп.расчеты!$A233,'Как будет'!BC$35:BC$42)</f>
        <v>0</v>
      </c>
      <c r="BC233">
        <f>SUMIF('Как будет'!$A$35:$A$42,Доп.расчеты!$A233,'Как будет'!BD$35:BD$42)</f>
        <v>0</v>
      </c>
      <c r="BD233">
        <f>SUMIF('Как будет'!$A$35:$A$42,Доп.расчеты!$A233,'Как будет'!BE$35:BE$42)</f>
        <v>0</v>
      </c>
      <c r="BE233">
        <f>SUMIF('Как будет'!$A$35:$A$42,Доп.расчеты!$A233,'Как будет'!BF$35:BF$42)</f>
        <v>0</v>
      </c>
      <c r="BF233">
        <f>SUMIF('Как будет'!$A$35:$A$42,Доп.расчеты!$A233,'Как будет'!BG$35:BG$42)</f>
        <v>0</v>
      </c>
      <c r="BG233">
        <f>SUMIF('Как будет'!$A$35:$A$42,Доп.расчеты!$A233,'Как будет'!BH$35:BH$42)</f>
        <v>0</v>
      </c>
      <c r="BH233">
        <f>SUMIF('Как будет'!$A$35:$A$42,Доп.расчеты!$A233,'Как будет'!BI$35:BI$42)</f>
        <v>0</v>
      </c>
      <c r="BI233">
        <f>SUMIF('Как будет'!$A$35:$A$42,Доп.расчеты!$A233,'Как будет'!BJ$35:BJ$42)</f>
        <v>0</v>
      </c>
      <c r="BJ233">
        <f>SUMIF('Как будет'!$A$35:$A$42,Доп.расчеты!$A233,'Как будет'!BK$35:BK$42)</f>
        <v>0</v>
      </c>
      <c r="BK233">
        <f>SUMIF('Как будет'!$A$35:$A$42,Доп.расчеты!$A233,'Как будет'!BL$35:BL$42)</f>
        <v>0</v>
      </c>
      <c r="BL233">
        <f>SUMIF('Как будет'!$A$35:$A$42,Доп.расчеты!$A233,'Как будет'!BM$35:BM$42)</f>
        <v>0</v>
      </c>
      <c r="BM233">
        <f>SUMIF('Как будет'!$A$35:$A$42,Доп.расчеты!$A233,'Как будет'!BN$35:BN$42)</f>
        <v>0</v>
      </c>
      <c r="BN233">
        <f>SUMIF('Как будет'!$A$35:$A$42,Доп.расчеты!$A233,'Как будет'!BO$35:BO$42)</f>
        <v>0</v>
      </c>
      <c r="BO233">
        <f>SUMIF('Как будет'!$A$35:$A$42,Доп.расчеты!$A233,'Как будет'!BP$35:BP$42)</f>
        <v>0</v>
      </c>
      <c r="BP233">
        <f>SUMIF('Как будет'!$A$35:$A$42,Доп.расчеты!$A233,'Как будет'!BQ$35:BQ$42)</f>
        <v>0</v>
      </c>
      <c r="BQ233">
        <f>SUMIF('Как будет'!$A$35:$A$42,Доп.расчеты!$A233,'Как будет'!BR$35:BR$42)</f>
        <v>0</v>
      </c>
      <c r="BR233">
        <f>SUMIF('Как будет'!$A$35:$A$42,Доп.расчеты!$A233,'Как будет'!BS$35:BS$42)</f>
        <v>0</v>
      </c>
      <c r="BS233">
        <f>SUMIF('Как будет'!$A$35:$A$42,Доп.расчеты!$A233,'Как будет'!BT$35:BT$42)</f>
        <v>0</v>
      </c>
      <c r="BT233">
        <f>SUMIF('Как будет'!$A$35:$A$42,Доп.расчеты!$A233,'Как будет'!BU$35:BU$42)</f>
        <v>0</v>
      </c>
      <c r="BU233">
        <f>SUMIF('Как будет'!$A$35:$A$42,Доп.расчеты!$A233,'Как будет'!BV$35:BV$42)</f>
        <v>0</v>
      </c>
      <c r="BV233">
        <f>SUMIF('Как будет'!$A$35:$A$42,Доп.расчеты!$A233,'Как будет'!BW$35:BW$42)</f>
        <v>0</v>
      </c>
      <c r="BW233">
        <f>SUMIF('Как будет'!$A$35:$A$42,Доп.расчеты!$A233,'Как будет'!BX$35:BX$42)</f>
        <v>0</v>
      </c>
      <c r="BX233">
        <f>SUMIF('Как будет'!$A$35:$A$42,Доп.расчеты!$A233,'Как будет'!BY$35:BY$42)</f>
        <v>0</v>
      </c>
      <c r="BY233">
        <f>SUMIF('Как будет'!$A$35:$A$42,Доп.расчеты!$A233,'Как будет'!BZ$35:BZ$42)</f>
        <v>0</v>
      </c>
      <c r="BZ233">
        <f>SUMIF('Как будет'!$A$35:$A$42,Доп.расчеты!$A233,'Как будет'!CA$35:CA$42)</f>
        <v>0</v>
      </c>
      <c r="CA233">
        <f>SUMIF('Как будет'!$A$35:$A$42,Доп.расчеты!$A233,'Как будет'!CB$35:CB$42)</f>
        <v>0</v>
      </c>
      <c r="CB233">
        <f>SUMIF('Как будет'!$A$35:$A$42,Доп.расчеты!$A233,'Как будет'!CC$35:CC$42)</f>
        <v>0</v>
      </c>
      <c r="CC233">
        <f>SUMIF('Как будет'!$A$35:$A$42,Доп.расчеты!$A233,'Как будет'!CD$35:CD$42)</f>
        <v>0</v>
      </c>
      <c r="CD233">
        <f>SUMIF('Как будет'!$A$35:$A$42,Доп.расчеты!$A233,'Как будет'!CE$35:CE$42)</f>
        <v>0</v>
      </c>
      <c r="CE233">
        <f>SUMIF('Как будет'!$A$35:$A$42,Доп.расчеты!$A233,'Как будет'!CF$35:CF$42)</f>
        <v>0</v>
      </c>
      <c r="CF233">
        <f>SUMIF('Как будет'!$A$35:$A$42,Доп.расчеты!$A233,'Как будет'!CG$35:CG$42)</f>
        <v>0</v>
      </c>
      <c r="CG233">
        <f>SUMIF('Как будет'!$A$35:$A$42,Доп.расчеты!$A233,'Как будет'!CH$35:CH$42)</f>
        <v>0</v>
      </c>
      <c r="CH233">
        <f>SUMIF('Как будет'!$A$35:$A$42,Доп.расчеты!$A233,'Как будет'!CI$35:CI$42)</f>
        <v>0</v>
      </c>
      <c r="CI233">
        <f>SUMIF('Как будет'!$A$35:$A$42,Доп.расчеты!$A233,'Как будет'!CJ$35:CJ$42)</f>
        <v>0</v>
      </c>
      <c r="CJ233">
        <f>SUMIF('Как будет'!$A$35:$A$42,Доп.расчеты!$A233,'Как будет'!CK$35:CK$42)</f>
        <v>0</v>
      </c>
      <c r="CK233">
        <f>SUMIF('Как будет'!$A$35:$A$42,Доп.расчеты!$A233,'Как будет'!CL$35:CL$42)</f>
        <v>0</v>
      </c>
      <c r="CL233">
        <f>SUMIF('Как будет'!$A$35:$A$42,Доп.расчеты!$A233,'Как будет'!CM$35:CM$42)</f>
        <v>0</v>
      </c>
      <c r="CM233">
        <f>SUMIF('Как будет'!$A$35:$A$42,Доп.расчеты!$A233,'Как будет'!CN$35:CN$42)</f>
        <v>0</v>
      </c>
      <c r="CN233">
        <f>SUMIF('Как будет'!$A$35:$A$42,Доп.расчеты!$A233,'Как будет'!CO$35:CO$42)</f>
        <v>0</v>
      </c>
      <c r="CO233">
        <f>SUMIF('Как будет'!$A$35:$A$42,Доп.расчеты!$A233,'Как будет'!CP$35:CP$42)</f>
        <v>0</v>
      </c>
      <c r="CP233">
        <f>SUMIF('Как будет'!$A$35:$A$42,Доп.расчеты!$A233,'Как будет'!CQ$35:CQ$42)</f>
        <v>0</v>
      </c>
      <c r="CQ233">
        <f>SUMIF('Как будет'!$A$35:$A$42,Доп.расчеты!$A233,'Как будет'!CR$35:CR$42)</f>
        <v>0</v>
      </c>
      <c r="CR233">
        <f>SUMIF('Как будет'!$A$35:$A$42,Доп.расчеты!$A233,'Как будет'!CS$35:CS$42)</f>
        <v>0</v>
      </c>
      <c r="CS233">
        <f>SUMIF('Как будет'!$A$35:$A$42,Доп.расчеты!$A233,'Как будет'!CT$35:CT$42)</f>
        <v>0</v>
      </c>
      <c r="CT233">
        <f>SUMIF('Как будет'!$A$35:$A$42,Доп.расчеты!$A233,'Как будет'!CU$35:CU$42)</f>
        <v>0</v>
      </c>
      <c r="CU233">
        <f>SUMIF('Как будет'!$A$35:$A$42,Доп.расчеты!$A233,'Как будет'!CV$35:CV$42)</f>
        <v>0</v>
      </c>
      <c r="CV233">
        <f>SUMIF('Как будет'!$A$35:$A$42,Доп.расчеты!$A233,'Как будет'!CW$35:CW$42)</f>
        <v>0</v>
      </c>
      <c r="CW233">
        <f>SUMIF('Как будет'!$A$35:$A$42,Доп.расчеты!$A233,'Как будет'!CX$35:CX$42)</f>
        <v>0</v>
      </c>
      <c r="CX233">
        <f>SUMIF('Как будет'!$A$35:$A$42,Доп.расчеты!$A233,'Как будет'!CY$35:CY$42)</f>
        <v>0</v>
      </c>
      <c r="CY233">
        <f>SUMIF('Как будет'!$A$35:$A$42,Доп.расчеты!$A233,'Как будет'!CZ$35:CZ$42)</f>
        <v>0</v>
      </c>
      <c r="CZ233">
        <f>SUMIF('Как будет'!$A$35:$A$42,Доп.расчеты!$A233,'Как будет'!DA$35:DA$42)</f>
        <v>0</v>
      </c>
      <c r="DA233">
        <f>SUMIF('Как будет'!$A$35:$A$42,Доп.расчеты!$A233,'Как будет'!DB$35:DB$42)</f>
        <v>0</v>
      </c>
      <c r="DB233">
        <f>SUMIF('Как будет'!$A$35:$A$42,Доп.расчеты!$A233,'Как будет'!DC$35:DC$42)</f>
        <v>0</v>
      </c>
      <c r="DC233">
        <f>SUMIF('Как будет'!$A$35:$A$42,Доп.расчеты!$A233,'Как будет'!DD$35:DD$42)</f>
        <v>0</v>
      </c>
      <c r="DD233">
        <f>SUMIF('Как будет'!$A$35:$A$42,Доп.расчеты!$A233,'Как будет'!DE$35:DE$42)</f>
        <v>0</v>
      </c>
      <c r="DE233">
        <f>SUMIF('Как будет'!$A$35:$A$42,Доп.расчеты!$A233,'Как будет'!DF$35:DF$42)</f>
        <v>0</v>
      </c>
      <c r="DF233">
        <f>SUMIF('Как будет'!$A$35:$A$42,Доп.расчеты!$A233,'Как будет'!DG$35:DG$42)</f>
        <v>0</v>
      </c>
      <c r="DG233">
        <f>SUMIF('Как будет'!$A$35:$A$42,Доп.расчеты!$A233,'Как будет'!DH$35:DH$42)</f>
        <v>0</v>
      </c>
      <c r="DH233">
        <f>SUMIF('Как будет'!$A$35:$A$42,Доп.расчеты!$A233,'Как будет'!DI$35:DI$42)</f>
        <v>0</v>
      </c>
      <c r="DI233">
        <f>SUMIF('Как будет'!$A$35:$A$42,Доп.расчеты!$A233,'Как будет'!DJ$35:DJ$42)</f>
        <v>0</v>
      </c>
      <c r="DJ233">
        <f>SUMIF('Как будет'!$A$35:$A$42,Доп.расчеты!$A233,'Как будет'!DK$35:DK$42)</f>
        <v>0</v>
      </c>
      <c r="DK233">
        <f>SUMIF('Как будет'!$A$35:$A$42,Доп.расчеты!$A233,'Как будет'!DL$35:DL$42)</f>
        <v>0</v>
      </c>
      <c r="DL233">
        <f>SUMIF('Как будет'!$A$35:$A$42,Доп.расчеты!$A233,'Как будет'!DM$35:DM$42)</f>
        <v>0</v>
      </c>
      <c r="DM233">
        <f>SUMIF('Как будет'!$A$35:$A$42,Доп.расчеты!$A233,'Как будет'!DN$35:DN$42)</f>
        <v>0</v>
      </c>
      <c r="DN233">
        <f>SUMIF('Как будет'!$A$35:$A$42,Доп.расчеты!$A233,'Как будет'!DO$35:DO$42)</f>
        <v>0</v>
      </c>
      <c r="DO233">
        <f>SUMIF('Как будет'!$A$35:$A$42,Доп.расчеты!$A233,'Как будет'!DP$35:DP$42)</f>
        <v>0</v>
      </c>
      <c r="DP233">
        <f>SUMIF('Как будет'!$A$35:$A$42,Доп.расчеты!$A233,'Как будет'!DQ$35:DQ$42)</f>
        <v>0</v>
      </c>
      <c r="DQ233">
        <f>SUMIF('Как будет'!$A$35:$A$42,Доп.расчеты!$A233,'Как будет'!DR$35:DR$42)</f>
        <v>0</v>
      </c>
      <c r="DR233">
        <f>SUMIF('Как будет'!$A$35:$A$42,Доп.расчеты!$A233,'Как будет'!DS$35:DS$42)</f>
        <v>0</v>
      </c>
      <c r="DS233">
        <f>SUMIF('Как будет'!$A$35:$A$42,Доп.расчеты!$A233,'Как будет'!DT$35:DT$42)</f>
        <v>0</v>
      </c>
      <c r="DT233">
        <f>SUMIF('Как будет'!$A$35:$A$42,Доп.расчеты!$A233,'Как будет'!DU$35:DU$42)</f>
        <v>0</v>
      </c>
      <c r="DU233">
        <f>SUMIF('Как будет'!$A$35:$A$42,Доп.расчеты!$A233,'Как будет'!DV$35:DV$42)</f>
        <v>0</v>
      </c>
      <c r="DV233">
        <f>SUMIF('Как будет'!$A$35:$A$42,Доп.расчеты!$A233,'Как будет'!DW$35:DW$42)</f>
        <v>0</v>
      </c>
      <c r="DW233">
        <f>SUMIF('Как будет'!$A$35:$A$42,Доп.расчеты!$A233,'Как будет'!DX$35:DX$42)</f>
        <v>0</v>
      </c>
      <c r="DX233">
        <f>SUMIF('Как будет'!$A$35:$A$42,Доп.расчеты!$A233,'Как будет'!DY$35:DY$42)</f>
        <v>0</v>
      </c>
      <c r="DY233">
        <f>SUMIF('Как будет'!$A$35:$A$42,Доп.расчеты!$A233,'Как будет'!DZ$35:DZ$42)</f>
        <v>0</v>
      </c>
      <c r="DZ233">
        <f>SUMIF('Как будет'!$A$35:$A$42,Доп.расчеты!$A233,'Как будет'!EA$35:EA$42)</f>
        <v>0</v>
      </c>
      <c r="EA233">
        <f>SUMIF('Как будет'!$A$35:$A$42,Доп.расчеты!$A233,'Как будет'!EB$35:EB$42)</f>
        <v>0</v>
      </c>
      <c r="EB233">
        <f>SUMIF('Как будет'!$A$35:$A$42,Доп.расчеты!$A233,'Как будет'!EC$35:EC$42)</f>
        <v>0</v>
      </c>
      <c r="EC233">
        <f>SUMIF('Как будет'!$A$35:$A$42,Доп.расчеты!$A233,'Как будет'!ED$35:ED$42)</f>
        <v>0</v>
      </c>
      <c r="ED233">
        <f>SUMIF('Как будет'!$A$35:$A$42,Доп.расчеты!$A233,'Как будет'!EE$35:EE$42)</f>
        <v>0</v>
      </c>
      <c r="EE233">
        <f>SUMIF('Как будет'!$A$35:$A$42,Доп.расчеты!$A233,'Как будет'!EF$35:EF$42)</f>
        <v>0</v>
      </c>
      <c r="EF233">
        <f>SUMIF('Как будет'!$A$35:$A$42,Доп.расчеты!$A233,'Как будет'!EG$35:EG$42)</f>
        <v>0</v>
      </c>
      <c r="EG233">
        <f>SUMIF('Как будет'!$A$35:$A$42,Доп.расчеты!$A233,'Как будет'!EH$35:EH$42)</f>
        <v>0</v>
      </c>
      <c r="EH233">
        <f>SUMIF('Как будет'!$A$35:$A$42,Доп.расчеты!$A233,'Как будет'!EI$35:EI$42)</f>
        <v>0</v>
      </c>
      <c r="EI233">
        <f>SUMIF('Как будет'!$A$35:$A$42,Доп.расчеты!$A233,'Как будет'!EJ$35:EJ$42)</f>
        <v>0</v>
      </c>
      <c r="EJ233">
        <f>SUMIF('Как будет'!$A$35:$A$42,Доп.расчеты!$A233,'Как будет'!EK$35:EK$42)</f>
        <v>0</v>
      </c>
      <c r="EK233">
        <f>SUMIF('Как будет'!$A$35:$A$42,Доп.расчеты!$A233,'Как будет'!EL$35:EL$42)</f>
        <v>0</v>
      </c>
      <c r="EL233">
        <f>SUMIF('Как будет'!$A$35:$A$42,Доп.расчеты!$A233,'Как будет'!EM$35:EM$42)</f>
        <v>0</v>
      </c>
      <c r="EM233">
        <f>SUMIF('Как будет'!$A$35:$A$42,Доп.расчеты!$A233,'Как будет'!EN$35:EN$42)</f>
        <v>0</v>
      </c>
      <c r="EN233">
        <f>SUMIF('Как будет'!$A$35:$A$42,Доп.расчеты!$A233,'Как будет'!EO$35:EO$42)</f>
        <v>0</v>
      </c>
      <c r="EO233">
        <f>SUMIF('Как будет'!$A$35:$A$42,Доп.расчеты!$A233,'Как будет'!EP$35:EP$42)</f>
        <v>0</v>
      </c>
      <c r="EP233">
        <f>SUMIF('Как будет'!$A$35:$A$42,Доп.расчеты!$A233,'Как будет'!EQ$35:EQ$42)</f>
        <v>0</v>
      </c>
      <c r="EQ233">
        <f>SUMIF('Как будет'!$A$35:$A$42,Доп.расчеты!$A233,'Как будет'!ER$35:ER$42)</f>
        <v>0</v>
      </c>
      <c r="ER233">
        <f>SUMIF('Как будет'!$A$35:$A$42,Доп.расчеты!$A233,'Как будет'!ES$35:ES$42)</f>
        <v>0</v>
      </c>
      <c r="ES233">
        <f>SUMIF('Как будет'!$A$35:$A$42,Доп.расчеты!$A233,'Как будет'!ET$35:ET$42)</f>
        <v>0</v>
      </c>
      <c r="ET233">
        <f>SUMIF('Как будет'!$A$35:$A$42,Доп.расчеты!$A233,'Как будет'!EU$35:EU$42)</f>
        <v>0</v>
      </c>
      <c r="EU233">
        <f>SUMIF('Как будет'!$A$35:$A$42,Доп.расчеты!$A233,'Как будет'!EV$35:EV$42)</f>
        <v>0</v>
      </c>
      <c r="EV233">
        <f>SUMIF('Как будет'!$A$35:$A$42,Доп.расчеты!$A233,'Как будет'!EW$35:EW$42)</f>
        <v>0</v>
      </c>
      <c r="EW233">
        <f>SUMIF('Как будет'!$A$35:$A$42,Доп.расчеты!$A233,'Как будет'!EX$35:EX$42)</f>
        <v>0</v>
      </c>
      <c r="EX233">
        <f>SUMIF('Как будет'!$A$35:$A$42,Доп.расчеты!$A233,'Как будет'!EY$35:EY$42)</f>
        <v>0</v>
      </c>
      <c r="EY233">
        <f>SUMIF('Как будет'!$A$35:$A$42,Доп.расчеты!$A233,'Как будет'!EZ$35:EZ$42)</f>
        <v>0</v>
      </c>
      <c r="EZ233">
        <f>SUMIF('Как будет'!$A$35:$A$42,Доп.расчеты!$A233,'Как будет'!FA$35:FA$42)</f>
        <v>0</v>
      </c>
      <c r="FA233">
        <f>SUMIF('Как будет'!$A$35:$A$42,Доп.расчеты!$A233,'Как будет'!FB$35:FB$42)</f>
        <v>0</v>
      </c>
      <c r="FB233">
        <f>SUMIF('Как будет'!$A$35:$A$42,Доп.расчеты!$A233,'Как будет'!FC$35:FC$42)</f>
        <v>0</v>
      </c>
      <c r="FC233">
        <f>SUMIF('Как будет'!$A$35:$A$42,Доп.расчеты!$A233,'Как будет'!FD$35:FD$42)</f>
        <v>0</v>
      </c>
      <c r="FD233">
        <f>SUMIF('Как будет'!$A$35:$A$42,Доп.расчеты!$A233,'Как будет'!FE$35:FE$42)</f>
        <v>0</v>
      </c>
      <c r="FE233">
        <f>SUMIF('Как будет'!$A$35:$A$42,Доп.расчеты!$A233,'Как будет'!FF$35:FF$42)</f>
        <v>0</v>
      </c>
      <c r="FF233">
        <f>SUMIF('Как будет'!$A$35:$A$42,Доп.расчеты!$A233,'Как будет'!FG$35:FG$42)</f>
        <v>0</v>
      </c>
      <c r="FG233">
        <f>SUMIF('Как будет'!$A$35:$A$42,Доп.расчеты!$A233,'Как будет'!FH$35:FH$42)</f>
        <v>0</v>
      </c>
      <c r="FH233">
        <f>SUMIF('Как будет'!$A$35:$A$42,Доп.расчеты!$A233,'Как будет'!FI$35:FI$42)</f>
        <v>0</v>
      </c>
      <c r="FI233">
        <f>SUMIF('Как будет'!$A$35:$A$42,Доп.расчеты!$A233,'Как будет'!FJ$35:FJ$42)</f>
        <v>0</v>
      </c>
      <c r="FJ233">
        <f>SUMIF('Как будет'!$A$35:$A$42,Доп.расчеты!$A233,'Как будет'!FK$35:FK$42)</f>
        <v>0</v>
      </c>
      <c r="FK233">
        <f>SUMIF('Как будет'!$A$35:$A$42,Доп.расчеты!$A233,'Как будет'!FL$35:FL$42)</f>
        <v>0</v>
      </c>
      <c r="FL233">
        <f>SUMIF('Как будет'!$A$35:$A$42,Доп.расчеты!$A233,'Как будет'!FM$35:FM$42)</f>
        <v>0</v>
      </c>
      <c r="FM233">
        <f>SUMIF('Как будет'!$A$35:$A$42,Доп.расчеты!$A233,'Как будет'!FN$35:FN$42)</f>
        <v>0</v>
      </c>
      <c r="FN233">
        <f>SUMIF('Как будет'!$A$35:$A$42,Доп.расчеты!$A233,'Как будет'!FO$35:FO$42)</f>
        <v>0</v>
      </c>
      <c r="FO233">
        <f>SUMIF('Как будет'!$A$35:$A$42,Доп.расчеты!$A233,'Как будет'!FP$35:FP$42)</f>
        <v>0</v>
      </c>
      <c r="FP233">
        <f>SUMIF('Как будет'!$A$35:$A$42,Доп.расчеты!$A233,'Как будет'!FQ$35:FQ$42)</f>
        <v>0</v>
      </c>
      <c r="FQ233">
        <f>SUMIF('Как будет'!$A$35:$A$42,Доп.расчеты!$A233,'Как будет'!FR$35:FR$42)</f>
        <v>0</v>
      </c>
      <c r="FR233">
        <f>SUMIF('Как будет'!$A$35:$A$42,Доп.расчеты!$A233,'Как будет'!FS$35:FS$42)</f>
        <v>0</v>
      </c>
      <c r="FS233">
        <f>SUMIF('Как будет'!$A$35:$A$42,Доп.расчеты!$A233,'Как будет'!FT$35:FT$42)</f>
        <v>0</v>
      </c>
      <c r="FT233">
        <f>SUMIF('Как будет'!$A$35:$A$42,Доп.расчеты!$A233,'Как будет'!FU$35:FU$42)</f>
        <v>0</v>
      </c>
      <c r="FU233">
        <f>SUMIF('Как будет'!$A$35:$A$42,Доп.расчеты!$A233,'Как будет'!FV$35:FV$42)</f>
        <v>0</v>
      </c>
      <c r="FV233">
        <f>SUMIF('Как будет'!$A$35:$A$42,Доп.расчеты!$A233,'Как будет'!FW$35:FW$42)</f>
        <v>0</v>
      </c>
      <c r="FW233">
        <f>SUMIF('Как будет'!$A$35:$A$42,Доп.расчеты!$A233,'Как будет'!FX$35:FX$42)</f>
        <v>0</v>
      </c>
      <c r="FX233">
        <f>SUMIF('Как будет'!$A$35:$A$42,Доп.расчеты!$A233,'Как будет'!FY$35:FY$42)</f>
        <v>0</v>
      </c>
      <c r="FY233">
        <f>SUMIF('Как будет'!$A$35:$A$42,Доп.расчеты!$A233,'Как будет'!FZ$35:FZ$42)</f>
        <v>0</v>
      </c>
      <c r="FZ233">
        <f>SUMIF('Как будет'!$A$35:$A$42,Доп.расчеты!$A233,'Как будет'!GA$35:GA$42)</f>
        <v>0</v>
      </c>
      <c r="GA233">
        <f>SUMIF('Как будет'!$A$35:$A$42,Доп.расчеты!$A233,'Как будет'!GB$35:GB$42)</f>
        <v>0</v>
      </c>
      <c r="GB233">
        <f>SUMIF('Как будет'!$A$35:$A$42,Доп.расчеты!$A233,'Как будет'!GC$35:GC$42)</f>
        <v>0</v>
      </c>
      <c r="GC233">
        <f>SUMIF('Как будет'!$A$35:$A$42,Доп.расчеты!$A233,'Как будет'!GD$35:GD$42)</f>
        <v>0</v>
      </c>
      <c r="GD233">
        <f>SUMIF('Как будет'!$A$35:$A$42,Доп.расчеты!$A233,'Как будет'!GE$35:GE$42)</f>
        <v>0</v>
      </c>
      <c r="GE233">
        <f>SUMIF('Как будет'!$A$35:$A$42,Доп.расчеты!$A233,'Как будет'!GF$35:GF$42)</f>
        <v>0</v>
      </c>
      <c r="GF233">
        <f>SUMIF('Как будет'!$A$35:$A$42,Доп.расчеты!$A233,'Как будет'!GG$35:GG$42)</f>
        <v>0</v>
      </c>
      <c r="GG233">
        <f>SUMIF('Как будет'!$A$35:$A$42,Доп.расчеты!$A233,'Как будет'!GH$35:GH$42)</f>
        <v>0</v>
      </c>
      <c r="GH233">
        <f>SUMIF('Как будет'!$A$35:$A$42,Доп.расчеты!$A233,'Как будет'!GI$35:GI$42)</f>
        <v>0</v>
      </c>
      <c r="GI233">
        <f>SUMIF('Как будет'!$A$35:$A$42,Доп.расчеты!$A233,'Как будет'!GJ$35:GJ$42)</f>
        <v>0</v>
      </c>
      <c r="GJ233">
        <f>SUMIF('Как будет'!$A$35:$A$42,Доп.расчеты!$A233,'Как будет'!GK$35:GK$42)</f>
        <v>0</v>
      </c>
      <c r="GK233">
        <f>SUMIF('Как будет'!$A$35:$A$42,Доп.расчеты!$A233,'Как будет'!GL$35:GL$42)</f>
        <v>0</v>
      </c>
      <c r="GL233">
        <f>SUMIF('Как будет'!$A$35:$A$42,Доп.расчеты!$A233,'Как будет'!GM$35:GM$42)</f>
        <v>0</v>
      </c>
      <c r="GM233">
        <f>SUMIF('Как будет'!$A$35:$A$42,Доп.расчеты!$A233,'Как будет'!GN$35:GN$42)</f>
        <v>0</v>
      </c>
      <c r="GN233">
        <f>SUMIF('Как будет'!$A$35:$A$42,Доп.расчеты!$A233,'Как будет'!GO$35:GO$42)</f>
        <v>0</v>
      </c>
      <c r="GO233">
        <f>SUMIF('Как будет'!$A$35:$A$42,Доп.расчеты!$A233,'Как будет'!GP$35:GP$42)</f>
        <v>0</v>
      </c>
      <c r="GP233">
        <f>SUMIF('Как будет'!$A$35:$A$42,Доп.расчеты!$A233,'Как будет'!GQ$35:GQ$42)</f>
        <v>0</v>
      </c>
      <c r="GQ233">
        <f>SUMIF('Как будет'!$A$35:$A$42,Доп.расчеты!$A233,'Как будет'!GR$35:GR$42)</f>
        <v>0</v>
      </c>
      <c r="GR233">
        <f>SUMIF('Как будет'!$A$35:$A$42,Доп.расчеты!$A233,'Как будет'!GS$35:GS$42)</f>
        <v>0</v>
      </c>
      <c r="GS233">
        <f>SUMIF('Как будет'!$A$35:$A$42,Доп.расчеты!$A233,'Как будет'!GT$35:GT$42)</f>
        <v>0</v>
      </c>
      <c r="GT233">
        <f>SUMIF('Как будет'!$A$35:$A$42,Доп.расчеты!$A233,'Как будет'!GU$35:GU$42)</f>
        <v>0</v>
      </c>
    </row>
    <row r="234" spans="1:202">
      <c r="A234" s="238" t="s">
        <v>118</v>
      </c>
      <c r="B234">
        <f>SUMIF('Как будет'!$A$35:$A$42,Доп.расчеты!$A234,'Как будет'!C$35:C$42)</f>
        <v>0</v>
      </c>
      <c r="C234">
        <f>SUMIF('Как будет'!$A$35:$A$42,Доп.расчеты!$A234,'Как будет'!D$35:D$42)</f>
        <v>0</v>
      </c>
      <c r="D234">
        <f>SUMIF('Как будет'!$A$35:$A$42,Доп.расчеты!$A234,'Как будет'!E$35:E$42)</f>
        <v>0</v>
      </c>
      <c r="E234">
        <f>SUMIF('Как будет'!$A$35:$A$42,Доп.расчеты!$A234,'Как будет'!F$35:F$42)</f>
        <v>0</v>
      </c>
      <c r="F234">
        <f>SUMIF('Как будет'!$A$35:$A$42,Доп.расчеты!$A234,'Как будет'!G$35:G$42)</f>
        <v>0</v>
      </c>
      <c r="G234">
        <f>SUMIF('Как будет'!$A$35:$A$42,Доп.расчеты!$A234,'Как будет'!H$35:H$42)</f>
        <v>0</v>
      </c>
      <c r="H234">
        <f>SUMIF('Как будет'!$A$35:$A$42,Доп.расчеты!$A234,'Как будет'!I$35:I$42)</f>
        <v>0</v>
      </c>
      <c r="I234">
        <f>SUMIF('Как будет'!$A$35:$A$42,Доп.расчеты!$A234,'Как будет'!J$35:J$42)</f>
        <v>0</v>
      </c>
      <c r="J234">
        <f>SUMIF('Как будет'!$A$35:$A$42,Доп.расчеты!$A234,'Как будет'!K$35:K$42)</f>
        <v>0</v>
      </c>
      <c r="K234">
        <f>SUMIF('Как будет'!$A$35:$A$42,Доп.расчеты!$A234,'Как будет'!L$35:L$42)</f>
        <v>0</v>
      </c>
      <c r="L234">
        <f>SUMIF('Как будет'!$A$35:$A$42,Доп.расчеты!$A234,'Как будет'!M$35:M$42)</f>
        <v>0</v>
      </c>
      <c r="M234">
        <f>SUMIF('Как будет'!$A$35:$A$42,Доп.расчеты!$A234,'Как будет'!N$35:N$42)</f>
        <v>0</v>
      </c>
      <c r="N234">
        <f>SUMIF('Как будет'!$A$35:$A$42,Доп.расчеты!$A234,'Как будет'!O$35:O$42)</f>
        <v>0</v>
      </c>
      <c r="O234">
        <f>SUMIF('Как будет'!$A$35:$A$42,Доп.расчеты!$A234,'Как будет'!P$35:P$42)</f>
        <v>0</v>
      </c>
      <c r="P234">
        <f>SUMIF('Как будет'!$A$35:$A$42,Доп.расчеты!$A234,'Как будет'!Q$35:Q$42)</f>
        <v>0</v>
      </c>
      <c r="Q234">
        <f>SUMIF('Как будет'!$A$35:$A$42,Доп.расчеты!$A234,'Как будет'!R$35:R$42)</f>
        <v>0</v>
      </c>
      <c r="R234">
        <f>SUMIF('Как будет'!$A$35:$A$42,Доп.расчеты!$A234,'Как будет'!S$35:S$42)</f>
        <v>0</v>
      </c>
      <c r="S234">
        <f>SUMIF('Как будет'!$A$35:$A$42,Доп.расчеты!$A234,'Как будет'!T$35:T$42)</f>
        <v>0</v>
      </c>
      <c r="T234">
        <f>SUMIF('Как будет'!$A$35:$A$42,Доп.расчеты!$A234,'Как будет'!U$35:U$42)</f>
        <v>0</v>
      </c>
      <c r="U234">
        <f>SUMIF('Как будет'!$A$35:$A$42,Доп.расчеты!$A234,'Как будет'!V$35:V$42)</f>
        <v>0</v>
      </c>
      <c r="V234">
        <f>SUMIF('Как будет'!$A$35:$A$42,Доп.расчеты!$A234,'Как будет'!W$35:W$42)</f>
        <v>0</v>
      </c>
      <c r="W234">
        <f>SUMIF('Как будет'!$A$35:$A$42,Доп.расчеты!$A234,'Как будет'!X$35:X$42)</f>
        <v>0</v>
      </c>
      <c r="X234">
        <f>SUMIF('Как будет'!$A$35:$A$42,Доп.расчеты!$A234,'Как будет'!Y$35:Y$42)</f>
        <v>0</v>
      </c>
      <c r="Y234">
        <f>SUMIF('Как будет'!$A$35:$A$42,Доп.расчеты!$A234,'Как будет'!Z$35:Z$42)</f>
        <v>0</v>
      </c>
      <c r="Z234">
        <f>SUMIF('Как будет'!$A$35:$A$42,Доп.расчеты!$A234,'Как будет'!AA$35:AA$42)</f>
        <v>0</v>
      </c>
      <c r="AA234">
        <f>SUMIF('Как будет'!$A$35:$A$42,Доп.расчеты!$A234,'Как будет'!AB$35:AB$42)</f>
        <v>0</v>
      </c>
      <c r="AB234">
        <f>SUMIF('Как будет'!$A$35:$A$42,Доп.расчеты!$A234,'Как будет'!AC$35:AC$42)</f>
        <v>0</v>
      </c>
      <c r="AC234">
        <f>SUMIF('Как будет'!$A$35:$A$42,Доп.расчеты!$A234,'Как будет'!AD$35:AD$42)</f>
        <v>0</v>
      </c>
      <c r="AD234">
        <f>SUMIF('Как будет'!$A$35:$A$42,Доп.расчеты!$A234,'Как будет'!AE$35:AE$42)</f>
        <v>0</v>
      </c>
      <c r="AE234">
        <f>SUMIF('Как будет'!$A$35:$A$42,Доп.расчеты!$A234,'Как будет'!AF$35:AF$42)</f>
        <v>0</v>
      </c>
      <c r="AF234">
        <f>SUMIF('Как будет'!$A$35:$A$42,Доп.расчеты!$A234,'Как будет'!AG$35:AG$42)</f>
        <v>0</v>
      </c>
      <c r="AG234">
        <f>SUMIF('Как будет'!$A$35:$A$42,Доп.расчеты!$A234,'Как будет'!AH$35:AH$42)</f>
        <v>0</v>
      </c>
      <c r="AH234">
        <f>SUMIF('Как будет'!$A$35:$A$42,Доп.расчеты!$A234,'Как будет'!AI$35:AI$42)</f>
        <v>0</v>
      </c>
      <c r="AI234">
        <f>SUMIF('Как будет'!$A$35:$A$42,Доп.расчеты!$A234,'Как будет'!AJ$35:AJ$42)</f>
        <v>0</v>
      </c>
      <c r="AJ234">
        <f>SUMIF('Как будет'!$A$35:$A$42,Доп.расчеты!$A234,'Как будет'!AK$35:AK$42)</f>
        <v>0</v>
      </c>
      <c r="AK234">
        <f>SUMIF('Как будет'!$A$35:$A$42,Доп.расчеты!$A234,'Как будет'!AL$35:AL$42)</f>
        <v>0</v>
      </c>
      <c r="AL234">
        <f>SUMIF('Как будет'!$A$35:$A$42,Доп.расчеты!$A234,'Как будет'!AM$35:AM$42)</f>
        <v>0</v>
      </c>
      <c r="AM234">
        <f>SUMIF('Как будет'!$A$35:$A$42,Доп.расчеты!$A234,'Как будет'!AN$35:AN$42)</f>
        <v>0</v>
      </c>
      <c r="AN234">
        <f>SUMIF('Как будет'!$A$35:$A$42,Доп.расчеты!$A234,'Как будет'!AO$35:AO$42)</f>
        <v>0</v>
      </c>
      <c r="AO234">
        <f>SUMIF('Как будет'!$A$35:$A$42,Доп.расчеты!$A234,'Как будет'!AP$35:AP$42)</f>
        <v>0</v>
      </c>
      <c r="AP234">
        <f>SUMIF('Как будет'!$A$35:$A$42,Доп.расчеты!$A234,'Как будет'!AQ$35:AQ$42)</f>
        <v>0</v>
      </c>
      <c r="AQ234">
        <f>SUMIF('Как будет'!$A$35:$A$42,Доп.расчеты!$A234,'Как будет'!AR$35:AR$42)</f>
        <v>0</v>
      </c>
      <c r="AR234">
        <f>SUMIF('Как будет'!$A$35:$A$42,Доп.расчеты!$A234,'Как будет'!AS$35:AS$42)</f>
        <v>0</v>
      </c>
      <c r="AS234">
        <f>SUMIF('Как будет'!$A$35:$A$42,Доп.расчеты!$A234,'Как будет'!AT$35:AT$42)</f>
        <v>0</v>
      </c>
      <c r="AT234">
        <f>SUMIF('Как будет'!$A$35:$A$42,Доп.расчеты!$A234,'Как будет'!AU$35:AU$42)</f>
        <v>0</v>
      </c>
      <c r="AU234">
        <f>SUMIF('Как будет'!$A$35:$A$42,Доп.расчеты!$A234,'Как будет'!AV$35:AV$42)</f>
        <v>0</v>
      </c>
      <c r="AV234">
        <f>SUMIF('Как будет'!$A$35:$A$42,Доп.расчеты!$A234,'Как будет'!AW$35:AW$42)</f>
        <v>0</v>
      </c>
      <c r="AW234">
        <f>SUMIF('Как будет'!$A$35:$A$42,Доп.расчеты!$A234,'Как будет'!AX$35:AX$42)</f>
        <v>0</v>
      </c>
      <c r="AX234">
        <f>SUMIF('Как будет'!$A$35:$A$42,Доп.расчеты!$A234,'Как будет'!AY$35:AY$42)</f>
        <v>0</v>
      </c>
      <c r="AY234">
        <f>SUMIF('Как будет'!$A$35:$A$42,Доп.расчеты!$A234,'Как будет'!AZ$35:AZ$42)</f>
        <v>0</v>
      </c>
      <c r="AZ234">
        <f>SUMIF('Как будет'!$A$35:$A$42,Доп.расчеты!$A234,'Как будет'!BA$35:BA$42)</f>
        <v>0</v>
      </c>
      <c r="BA234">
        <f>SUMIF('Как будет'!$A$35:$A$42,Доп.расчеты!$A234,'Как будет'!BB$35:BB$42)</f>
        <v>0</v>
      </c>
      <c r="BB234">
        <f>SUMIF('Как будет'!$A$35:$A$42,Доп.расчеты!$A234,'Как будет'!BC$35:BC$42)</f>
        <v>0</v>
      </c>
      <c r="BC234">
        <f>SUMIF('Как будет'!$A$35:$A$42,Доп.расчеты!$A234,'Как будет'!BD$35:BD$42)</f>
        <v>0</v>
      </c>
      <c r="BD234">
        <f>SUMIF('Как будет'!$A$35:$A$42,Доп.расчеты!$A234,'Как будет'!BE$35:BE$42)</f>
        <v>0</v>
      </c>
      <c r="BE234">
        <f>SUMIF('Как будет'!$A$35:$A$42,Доп.расчеты!$A234,'Как будет'!BF$35:BF$42)</f>
        <v>0</v>
      </c>
      <c r="BF234">
        <f>SUMIF('Как будет'!$A$35:$A$42,Доп.расчеты!$A234,'Как будет'!BG$35:BG$42)</f>
        <v>0</v>
      </c>
      <c r="BG234">
        <f>SUMIF('Как будет'!$A$35:$A$42,Доп.расчеты!$A234,'Как будет'!BH$35:BH$42)</f>
        <v>0</v>
      </c>
      <c r="BH234">
        <f>SUMIF('Как будет'!$A$35:$A$42,Доп.расчеты!$A234,'Как будет'!BI$35:BI$42)</f>
        <v>0</v>
      </c>
      <c r="BI234">
        <f>SUMIF('Как будет'!$A$35:$A$42,Доп.расчеты!$A234,'Как будет'!BJ$35:BJ$42)</f>
        <v>0</v>
      </c>
      <c r="BJ234">
        <f>SUMIF('Как будет'!$A$35:$A$42,Доп.расчеты!$A234,'Как будет'!BK$35:BK$42)</f>
        <v>0</v>
      </c>
      <c r="BK234">
        <f>SUMIF('Как будет'!$A$35:$A$42,Доп.расчеты!$A234,'Как будет'!BL$35:BL$42)</f>
        <v>0</v>
      </c>
      <c r="BL234">
        <f>SUMIF('Как будет'!$A$35:$A$42,Доп.расчеты!$A234,'Как будет'!BM$35:BM$42)</f>
        <v>0</v>
      </c>
      <c r="BM234">
        <f>SUMIF('Как будет'!$A$35:$A$42,Доп.расчеты!$A234,'Как будет'!BN$35:BN$42)</f>
        <v>0</v>
      </c>
      <c r="BN234">
        <f>SUMIF('Как будет'!$A$35:$A$42,Доп.расчеты!$A234,'Как будет'!BO$35:BO$42)</f>
        <v>0</v>
      </c>
      <c r="BO234">
        <f>SUMIF('Как будет'!$A$35:$A$42,Доп.расчеты!$A234,'Как будет'!BP$35:BP$42)</f>
        <v>0</v>
      </c>
      <c r="BP234">
        <f>SUMIF('Как будет'!$A$35:$A$42,Доп.расчеты!$A234,'Как будет'!BQ$35:BQ$42)</f>
        <v>0</v>
      </c>
      <c r="BQ234">
        <f>SUMIF('Как будет'!$A$35:$A$42,Доп.расчеты!$A234,'Как будет'!BR$35:BR$42)</f>
        <v>0</v>
      </c>
      <c r="BR234">
        <f>SUMIF('Как будет'!$A$35:$A$42,Доп.расчеты!$A234,'Как будет'!BS$35:BS$42)</f>
        <v>0</v>
      </c>
      <c r="BS234">
        <f>SUMIF('Как будет'!$A$35:$A$42,Доп.расчеты!$A234,'Как будет'!BT$35:BT$42)</f>
        <v>0</v>
      </c>
      <c r="BT234">
        <f>SUMIF('Как будет'!$A$35:$A$42,Доп.расчеты!$A234,'Как будет'!BU$35:BU$42)</f>
        <v>0</v>
      </c>
      <c r="BU234">
        <f>SUMIF('Как будет'!$A$35:$A$42,Доп.расчеты!$A234,'Как будет'!BV$35:BV$42)</f>
        <v>0</v>
      </c>
      <c r="BV234">
        <f>SUMIF('Как будет'!$A$35:$A$42,Доп.расчеты!$A234,'Как будет'!BW$35:BW$42)</f>
        <v>0</v>
      </c>
      <c r="BW234">
        <f>SUMIF('Как будет'!$A$35:$A$42,Доп.расчеты!$A234,'Как будет'!BX$35:BX$42)</f>
        <v>0</v>
      </c>
      <c r="BX234">
        <f>SUMIF('Как будет'!$A$35:$A$42,Доп.расчеты!$A234,'Как будет'!BY$35:BY$42)</f>
        <v>0</v>
      </c>
      <c r="BY234">
        <f>SUMIF('Как будет'!$A$35:$A$42,Доп.расчеты!$A234,'Как будет'!BZ$35:BZ$42)</f>
        <v>0</v>
      </c>
      <c r="BZ234">
        <f>SUMIF('Как будет'!$A$35:$A$42,Доп.расчеты!$A234,'Как будет'!CA$35:CA$42)</f>
        <v>0</v>
      </c>
      <c r="CA234">
        <f>SUMIF('Как будет'!$A$35:$A$42,Доп.расчеты!$A234,'Как будет'!CB$35:CB$42)</f>
        <v>0</v>
      </c>
      <c r="CB234">
        <f>SUMIF('Как будет'!$A$35:$A$42,Доп.расчеты!$A234,'Как будет'!CC$35:CC$42)</f>
        <v>0</v>
      </c>
      <c r="CC234">
        <f>SUMIF('Как будет'!$A$35:$A$42,Доп.расчеты!$A234,'Как будет'!CD$35:CD$42)</f>
        <v>0</v>
      </c>
      <c r="CD234">
        <f>SUMIF('Как будет'!$A$35:$A$42,Доп.расчеты!$A234,'Как будет'!CE$35:CE$42)</f>
        <v>0</v>
      </c>
      <c r="CE234">
        <f>SUMIF('Как будет'!$A$35:$A$42,Доп.расчеты!$A234,'Как будет'!CF$35:CF$42)</f>
        <v>0</v>
      </c>
      <c r="CF234">
        <f>SUMIF('Как будет'!$A$35:$A$42,Доп.расчеты!$A234,'Как будет'!CG$35:CG$42)</f>
        <v>0</v>
      </c>
      <c r="CG234">
        <f>SUMIF('Как будет'!$A$35:$A$42,Доп.расчеты!$A234,'Как будет'!CH$35:CH$42)</f>
        <v>0</v>
      </c>
      <c r="CH234">
        <f>SUMIF('Как будет'!$A$35:$A$42,Доп.расчеты!$A234,'Как будет'!CI$35:CI$42)</f>
        <v>0</v>
      </c>
      <c r="CI234">
        <f>SUMIF('Как будет'!$A$35:$A$42,Доп.расчеты!$A234,'Как будет'!CJ$35:CJ$42)</f>
        <v>0</v>
      </c>
      <c r="CJ234">
        <f>SUMIF('Как будет'!$A$35:$A$42,Доп.расчеты!$A234,'Как будет'!CK$35:CK$42)</f>
        <v>0</v>
      </c>
      <c r="CK234">
        <f>SUMIF('Как будет'!$A$35:$A$42,Доп.расчеты!$A234,'Как будет'!CL$35:CL$42)</f>
        <v>0</v>
      </c>
      <c r="CL234">
        <f>SUMIF('Как будет'!$A$35:$A$42,Доп.расчеты!$A234,'Как будет'!CM$35:CM$42)</f>
        <v>0</v>
      </c>
      <c r="CM234">
        <f>SUMIF('Как будет'!$A$35:$A$42,Доп.расчеты!$A234,'Как будет'!CN$35:CN$42)</f>
        <v>0</v>
      </c>
      <c r="CN234">
        <f>SUMIF('Как будет'!$A$35:$A$42,Доп.расчеты!$A234,'Как будет'!CO$35:CO$42)</f>
        <v>0</v>
      </c>
      <c r="CO234">
        <f>SUMIF('Как будет'!$A$35:$A$42,Доп.расчеты!$A234,'Как будет'!CP$35:CP$42)</f>
        <v>0</v>
      </c>
      <c r="CP234">
        <f>SUMIF('Как будет'!$A$35:$A$42,Доп.расчеты!$A234,'Как будет'!CQ$35:CQ$42)</f>
        <v>0</v>
      </c>
      <c r="CQ234">
        <f>SUMIF('Как будет'!$A$35:$A$42,Доп.расчеты!$A234,'Как будет'!CR$35:CR$42)</f>
        <v>0</v>
      </c>
      <c r="CR234">
        <f>SUMIF('Как будет'!$A$35:$A$42,Доп.расчеты!$A234,'Как будет'!CS$35:CS$42)</f>
        <v>0</v>
      </c>
      <c r="CS234">
        <f>SUMIF('Как будет'!$A$35:$A$42,Доп.расчеты!$A234,'Как будет'!CT$35:CT$42)</f>
        <v>0</v>
      </c>
      <c r="CT234">
        <f>SUMIF('Как будет'!$A$35:$A$42,Доп.расчеты!$A234,'Как будет'!CU$35:CU$42)</f>
        <v>0</v>
      </c>
      <c r="CU234">
        <f>SUMIF('Как будет'!$A$35:$A$42,Доп.расчеты!$A234,'Как будет'!CV$35:CV$42)</f>
        <v>0</v>
      </c>
      <c r="CV234">
        <f>SUMIF('Как будет'!$A$35:$A$42,Доп.расчеты!$A234,'Как будет'!CW$35:CW$42)</f>
        <v>0</v>
      </c>
      <c r="CW234">
        <f>SUMIF('Как будет'!$A$35:$A$42,Доп.расчеты!$A234,'Как будет'!CX$35:CX$42)</f>
        <v>0</v>
      </c>
      <c r="CX234">
        <f>SUMIF('Как будет'!$A$35:$A$42,Доп.расчеты!$A234,'Как будет'!CY$35:CY$42)</f>
        <v>0</v>
      </c>
      <c r="CY234">
        <f>SUMIF('Как будет'!$A$35:$A$42,Доп.расчеты!$A234,'Как будет'!CZ$35:CZ$42)</f>
        <v>0</v>
      </c>
      <c r="CZ234">
        <f>SUMIF('Как будет'!$A$35:$A$42,Доп.расчеты!$A234,'Как будет'!DA$35:DA$42)</f>
        <v>0</v>
      </c>
      <c r="DA234">
        <f>SUMIF('Как будет'!$A$35:$A$42,Доп.расчеты!$A234,'Как будет'!DB$35:DB$42)</f>
        <v>0</v>
      </c>
      <c r="DB234">
        <f>SUMIF('Как будет'!$A$35:$A$42,Доп.расчеты!$A234,'Как будет'!DC$35:DC$42)</f>
        <v>0</v>
      </c>
      <c r="DC234">
        <f>SUMIF('Как будет'!$A$35:$A$42,Доп.расчеты!$A234,'Как будет'!DD$35:DD$42)</f>
        <v>0</v>
      </c>
      <c r="DD234">
        <f>SUMIF('Как будет'!$A$35:$A$42,Доп.расчеты!$A234,'Как будет'!DE$35:DE$42)</f>
        <v>0</v>
      </c>
      <c r="DE234">
        <f>SUMIF('Как будет'!$A$35:$A$42,Доп.расчеты!$A234,'Как будет'!DF$35:DF$42)</f>
        <v>0</v>
      </c>
      <c r="DF234">
        <f>SUMIF('Как будет'!$A$35:$A$42,Доп.расчеты!$A234,'Как будет'!DG$35:DG$42)</f>
        <v>0</v>
      </c>
      <c r="DG234">
        <f>SUMIF('Как будет'!$A$35:$A$42,Доп.расчеты!$A234,'Как будет'!DH$35:DH$42)</f>
        <v>0</v>
      </c>
      <c r="DH234">
        <f>SUMIF('Как будет'!$A$35:$A$42,Доп.расчеты!$A234,'Как будет'!DI$35:DI$42)</f>
        <v>0</v>
      </c>
      <c r="DI234">
        <f>SUMIF('Как будет'!$A$35:$A$42,Доп.расчеты!$A234,'Как будет'!DJ$35:DJ$42)</f>
        <v>0</v>
      </c>
      <c r="DJ234">
        <f>SUMIF('Как будет'!$A$35:$A$42,Доп.расчеты!$A234,'Как будет'!DK$35:DK$42)</f>
        <v>0</v>
      </c>
      <c r="DK234">
        <f>SUMIF('Как будет'!$A$35:$A$42,Доп.расчеты!$A234,'Как будет'!DL$35:DL$42)</f>
        <v>0</v>
      </c>
      <c r="DL234">
        <f>SUMIF('Как будет'!$A$35:$A$42,Доп.расчеты!$A234,'Как будет'!DM$35:DM$42)</f>
        <v>0</v>
      </c>
      <c r="DM234">
        <f>SUMIF('Как будет'!$A$35:$A$42,Доп.расчеты!$A234,'Как будет'!DN$35:DN$42)</f>
        <v>0</v>
      </c>
      <c r="DN234">
        <f>SUMIF('Как будет'!$A$35:$A$42,Доп.расчеты!$A234,'Как будет'!DO$35:DO$42)</f>
        <v>0</v>
      </c>
      <c r="DO234">
        <f>SUMIF('Как будет'!$A$35:$A$42,Доп.расчеты!$A234,'Как будет'!DP$35:DP$42)</f>
        <v>0</v>
      </c>
      <c r="DP234">
        <f>SUMIF('Как будет'!$A$35:$A$42,Доп.расчеты!$A234,'Как будет'!DQ$35:DQ$42)</f>
        <v>0</v>
      </c>
      <c r="DQ234">
        <f>SUMIF('Как будет'!$A$35:$A$42,Доп.расчеты!$A234,'Как будет'!DR$35:DR$42)</f>
        <v>0</v>
      </c>
      <c r="DR234">
        <f>SUMIF('Как будет'!$A$35:$A$42,Доп.расчеты!$A234,'Как будет'!DS$35:DS$42)</f>
        <v>0</v>
      </c>
      <c r="DS234">
        <f>SUMIF('Как будет'!$A$35:$A$42,Доп.расчеты!$A234,'Как будет'!DT$35:DT$42)</f>
        <v>0</v>
      </c>
      <c r="DT234">
        <f>SUMIF('Как будет'!$A$35:$A$42,Доп.расчеты!$A234,'Как будет'!DU$35:DU$42)</f>
        <v>0</v>
      </c>
      <c r="DU234">
        <f>SUMIF('Как будет'!$A$35:$A$42,Доп.расчеты!$A234,'Как будет'!DV$35:DV$42)</f>
        <v>0</v>
      </c>
      <c r="DV234">
        <f>SUMIF('Как будет'!$A$35:$A$42,Доп.расчеты!$A234,'Как будет'!DW$35:DW$42)</f>
        <v>0</v>
      </c>
      <c r="DW234">
        <f>SUMIF('Как будет'!$A$35:$A$42,Доп.расчеты!$A234,'Как будет'!DX$35:DX$42)</f>
        <v>0</v>
      </c>
      <c r="DX234">
        <f>SUMIF('Как будет'!$A$35:$A$42,Доп.расчеты!$A234,'Как будет'!DY$35:DY$42)</f>
        <v>0</v>
      </c>
      <c r="DY234">
        <f>SUMIF('Как будет'!$A$35:$A$42,Доп.расчеты!$A234,'Как будет'!DZ$35:DZ$42)</f>
        <v>0</v>
      </c>
      <c r="DZ234">
        <f>SUMIF('Как будет'!$A$35:$A$42,Доп.расчеты!$A234,'Как будет'!EA$35:EA$42)</f>
        <v>0</v>
      </c>
      <c r="EA234">
        <f>SUMIF('Как будет'!$A$35:$A$42,Доп.расчеты!$A234,'Как будет'!EB$35:EB$42)</f>
        <v>0</v>
      </c>
      <c r="EB234">
        <f>SUMIF('Как будет'!$A$35:$A$42,Доп.расчеты!$A234,'Как будет'!EC$35:EC$42)</f>
        <v>0</v>
      </c>
      <c r="EC234">
        <f>SUMIF('Как будет'!$A$35:$A$42,Доп.расчеты!$A234,'Как будет'!ED$35:ED$42)</f>
        <v>0</v>
      </c>
      <c r="ED234">
        <f>SUMIF('Как будет'!$A$35:$A$42,Доп.расчеты!$A234,'Как будет'!EE$35:EE$42)</f>
        <v>0</v>
      </c>
      <c r="EE234">
        <f>SUMIF('Как будет'!$A$35:$A$42,Доп.расчеты!$A234,'Как будет'!EF$35:EF$42)</f>
        <v>0</v>
      </c>
      <c r="EF234">
        <f>SUMIF('Как будет'!$A$35:$A$42,Доп.расчеты!$A234,'Как будет'!EG$35:EG$42)</f>
        <v>0</v>
      </c>
      <c r="EG234">
        <f>SUMIF('Как будет'!$A$35:$A$42,Доп.расчеты!$A234,'Как будет'!EH$35:EH$42)</f>
        <v>0</v>
      </c>
      <c r="EH234">
        <f>SUMIF('Как будет'!$A$35:$A$42,Доп.расчеты!$A234,'Как будет'!EI$35:EI$42)</f>
        <v>0</v>
      </c>
      <c r="EI234">
        <f>SUMIF('Как будет'!$A$35:$A$42,Доп.расчеты!$A234,'Как будет'!EJ$35:EJ$42)</f>
        <v>0</v>
      </c>
      <c r="EJ234">
        <f>SUMIF('Как будет'!$A$35:$A$42,Доп.расчеты!$A234,'Как будет'!EK$35:EK$42)</f>
        <v>0</v>
      </c>
      <c r="EK234">
        <f>SUMIF('Как будет'!$A$35:$A$42,Доп.расчеты!$A234,'Как будет'!EL$35:EL$42)</f>
        <v>0</v>
      </c>
      <c r="EL234">
        <f>SUMIF('Как будет'!$A$35:$A$42,Доп.расчеты!$A234,'Как будет'!EM$35:EM$42)</f>
        <v>0</v>
      </c>
      <c r="EM234">
        <f>SUMIF('Как будет'!$A$35:$A$42,Доп.расчеты!$A234,'Как будет'!EN$35:EN$42)</f>
        <v>0</v>
      </c>
      <c r="EN234">
        <f>SUMIF('Как будет'!$A$35:$A$42,Доп.расчеты!$A234,'Как будет'!EO$35:EO$42)</f>
        <v>0</v>
      </c>
      <c r="EO234">
        <f>SUMIF('Как будет'!$A$35:$A$42,Доп.расчеты!$A234,'Как будет'!EP$35:EP$42)</f>
        <v>0</v>
      </c>
      <c r="EP234">
        <f>SUMIF('Как будет'!$A$35:$A$42,Доп.расчеты!$A234,'Как будет'!EQ$35:EQ$42)</f>
        <v>0</v>
      </c>
      <c r="EQ234">
        <f>SUMIF('Как будет'!$A$35:$A$42,Доп.расчеты!$A234,'Как будет'!ER$35:ER$42)</f>
        <v>0</v>
      </c>
      <c r="ER234">
        <f>SUMIF('Как будет'!$A$35:$A$42,Доп.расчеты!$A234,'Как будет'!ES$35:ES$42)</f>
        <v>0</v>
      </c>
      <c r="ES234">
        <f>SUMIF('Как будет'!$A$35:$A$42,Доп.расчеты!$A234,'Как будет'!ET$35:ET$42)</f>
        <v>0</v>
      </c>
      <c r="ET234">
        <f>SUMIF('Как будет'!$A$35:$A$42,Доп.расчеты!$A234,'Как будет'!EU$35:EU$42)</f>
        <v>0</v>
      </c>
      <c r="EU234">
        <f>SUMIF('Как будет'!$A$35:$A$42,Доп.расчеты!$A234,'Как будет'!EV$35:EV$42)</f>
        <v>0</v>
      </c>
      <c r="EV234">
        <f>SUMIF('Как будет'!$A$35:$A$42,Доп.расчеты!$A234,'Как будет'!EW$35:EW$42)</f>
        <v>0</v>
      </c>
      <c r="EW234">
        <f>SUMIF('Как будет'!$A$35:$A$42,Доп.расчеты!$A234,'Как будет'!EX$35:EX$42)</f>
        <v>0</v>
      </c>
      <c r="EX234">
        <f>SUMIF('Как будет'!$A$35:$A$42,Доп.расчеты!$A234,'Как будет'!EY$35:EY$42)</f>
        <v>0</v>
      </c>
      <c r="EY234">
        <f>SUMIF('Как будет'!$A$35:$A$42,Доп.расчеты!$A234,'Как будет'!EZ$35:EZ$42)</f>
        <v>0</v>
      </c>
      <c r="EZ234">
        <f>SUMIF('Как будет'!$A$35:$A$42,Доп.расчеты!$A234,'Как будет'!FA$35:FA$42)</f>
        <v>0</v>
      </c>
      <c r="FA234">
        <f>SUMIF('Как будет'!$A$35:$A$42,Доп.расчеты!$A234,'Как будет'!FB$35:FB$42)</f>
        <v>0</v>
      </c>
      <c r="FB234">
        <f>SUMIF('Как будет'!$A$35:$A$42,Доп.расчеты!$A234,'Как будет'!FC$35:FC$42)</f>
        <v>0</v>
      </c>
      <c r="FC234">
        <f>SUMIF('Как будет'!$A$35:$A$42,Доп.расчеты!$A234,'Как будет'!FD$35:FD$42)</f>
        <v>0</v>
      </c>
      <c r="FD234">
        <f>SUMIF('Как будет'!$A$35:$A$42,Доп.расчеты!$A234,'Как будет'!FE$35:FE$42)</f>
        <v>0</v>
      </c>
      <c r="FE234">
        <f>SUMIF('Как будет'!$A$35:$A$42,Доп.расчеты!$A234,'Как будет'!FF$35:FF$42)</f>
        <v>0</v>
      </c>
      <c r="FF234">
        <f>SUMIF('Как будет'!$A$35:$A$42,Доп.расчеты!$A234,'Как будет'!FG$35:FG$42)</f>
        <v>0</v>
      </c>
      <c r="FG234">
        <f>SUMIF('Как будет'!$A$35:$A$42,Доп.расчеты!$A234,'Как будет'!FH$35:FH$42)</f>
        <v>0</v>
      </c>
      <c r="FH234">
        <f>SUMIF('Как будет'!$A$35:$A$42,Доп.расчеты!$A234,'Как будет'!FI$35:FI$42)</f>
        <v>0</v>
      </c>
      <c r="FI234">
        <f>SUMIF('Как будет'!$A$35:$A$42,Доп.расчеты!$A234,'Как будет'!FJ$35:FJ$42)</f>
        <v>0</v>
      </c>
      <c r="FJ234">
        <f>SUMIF('Как будет'!$A$35:$A$42,Доп.расчеты!$A234,'Как будет'!FK$35:FK$42)</f>
        <v>0</v>
      </c>
      <c r="FK234">
        <f>SUMIF('Как будет'!$A$35:$A$42,Доп.расчеты!$A234,'Как будет'!FL$35:FL$42)</f>
        <v>0</v>
      </c>
      <c r="FL234">
        <f>SUMIF('Как будет'!$A$35:$A$42,Доп.расчеты!$A234,'Как будет'!FM$35:FM$42)</f>
        <v>0</v>
      </c>
      <c r="FM234">
        <f>SUMIF('Как будет'!$A$35:$A$42,Доп.расчеты!$A234,'Как будет'!FN$35:FN$42)</f>
        <v>0</v>
      </c>
      <c r="FN234">
        <f>SUMIF('Как будет'!$A$35:$A$42,Доп.расчеты!$A234,'Как будет'!FO$35:FO$42)</f>
        <v>0</v>
      </c>
      <c r="FO234">
        <f>SUMIF('Как будет'!$A$35:$A$42,Доп.расчеты!$A234,'Как будет'!FP$35:FP$42)</f>
        <v>0</v>
      </c>
      <c r="FP234">
        <f>SUMIF('Как будет'!$A$35:$A$42,Доп.расчеты!$A234,'Как будет'!FQ$35:FQ$42)</f>
        <v>0</v>
      </c>
      <c r="FQ234">
        <f>SUMIF('Как будет'!$A$35:$A$42,Доп.расчеты!$A234,'Как будет'!FR$35:FR$42)</f>
        <v>0</v>
      </c>
      <c r="FR234">
        <f>SUMIF('Как будет'!$A$35:$A$42,Доп.расчеты!$A234,'Как будет'!FS$35:FS$42)</f>
        <v>0</v>
      </c>
      <c r="FS234">
        <f>SUMIF('Как будет'!$A$35:$A$42,Доп.расчеты!$A234,'Как будет'!FT$35:FT$42)</f>
        <v>0</v>
      </c>
      <c r="FT234">
        <f>SUMIF('Как будет'!$A$35:$A$42,Доп.расчеты!$A234,'Как будет'!FU$35:FU$42)</f>
        <v>0</v>
      </c>
      <c r="FU234">
        <f>SUMIF('Как будет'!$A$35:$A$42,Доп.расчеты!$A234,'Как будет'!FV$35:FV$42)</f>
        <v>0</v>
      </c>
      <c r="FV234">
        <f>SUMIF('Как будет'!$A$35:$A$42,Доп.расчеты!$A234,'Как будет'!FW$35:FW$42)</f>
        <v>0</v>
      </c>
      <c r="FW234">
        <f>SUMIF('Как будет'!$A$35:$A$42,Доп.расчеты!$A234,'Как будет'!FX$35:FX$42)</f>
        <v>0</v>
      </c>
      <c r="FX234">
        <f>SUMIF('Как будет'!$A$35:$A$42,Доп.расчеты!$A234,'Как будет'!FY$35:FY$42)</f>
        <v>0</v>
      </c>
      <c r="FY234">
        <f>SUMIF('Как будет'!$A$35:$A$42,Доп.расчеты!$A234,'Как будет'!FZ$35:FZ$42)</f>
        <v>0</v>
      </c>
      <c r="FZ234">
        <f>SUMIF('Как будет'!$A$35:$A$42,Доп.расчеты!$A234,'Как будет'!GA$35:GA$42)</f>
        <v>0</v>
      </c>
      <c r="GA234">
        <f>SUMIF('Как будет'!$A$35:$A$42,Доп.расчеты!$A234,'Как будет'!GB$35:GB$42)</f>
        <v>0</v>
      </c>
      <c r="GB234">
        <f>SUMIF('Как будет'!$A$35:$A$42,Доп.расчеты!$A234,'Как будет'!GC$35:GC$42)</f>
        <v>0</v>
      </c>
      <c r="GC234">
        <f>SUMIF('Как будет'!$A$35:$A$42,Доп.расчеты!$A234,'Как будет'!GD$35:GD$42)</f>
        <v>0</v>
      </c>
      <c r="GD234">
        <f>SUMIF('Как будет'!$A$35:$A$42,Доп.расчеты!$A234,'Как будет'!GE$35:GE$42)</f>
        <v>0</v>
      </c>
      <c r="GE234">
        <f>SUMIF('Как будет'!$A$35:$A$42,Доп.расчеты!$A234,'Как будет'!GF$35:GF$42)</f>
        <v>0</v>
      </c>
      <c r="GF234">
        <f>SUMIF('Как будет'!$A$35:$A$42,Доп.расчеты!$A234,'Как будет'!GG$35:GG$42)</f>
        <v>0</v>
      </c>
      <c r="GG234">
        <f>SUMIF('Как будет'!$A$35:$A$42,Доп.расчеты!$A234,'Как будет'!GH$35:GH$42)</f>
        <v>0</v>
      </c>
      <c r="GH234">
        <f>SUMIF('Как будет'!$A$35:$A$42,Доп.расчеты!$A234,'Как будет'!GI$35:GI$42)</f>
        <v>0</v>
      </c>
      <c r="GI234">
        <f>SUMIF('Как будет'!$A$35:$A$42,Доп.расчеты!$A234,'Как будет'!GJ$35:GJ$42)</f>
        <v>0</v>
      </c>
      <c r="GJ234">
        <f>SUMIF('Как будет'!$A$35:$A$42,Доп.расчеты!$A234,'Как будет'!GK$35:GK$42)</f>
        <v>0</v>
      </c>
      <c r="GK234">
        <f>SUMIF('Как будет'!$A$35:$A$42,Доп.расчеты!$A234,'Как будет'!GL$35:GL$42)</f>
        <v>0</v>
      </c>
      <c r="GL234">
        <f>SUMIF('Как будет'!$A$35:$A$42,Доп.расчеты!$A234,'Как будет'!GM$35:GM$42)</f>
        <v>0</v>
      </c>
      <c r="GM234">
        <f>SUMIF('Как будет'!$A$35:$A$42,Доп.расчеты!$A234,'Как будет'!GN$35:GN$42)</f>
        <v>0</v>
      </c>
      <c r="GN234">
        <f>SUMIF('Как будет'!$A$35:$A$42,Доп.расчеты!$A234,'Как будет'!GO$35:GO$42)</f>
        <v>0</v>
      </c>
      <c r="GO234">
        <f>SUMIF('Как будет'!$A$35:$A$42,Доп.расчеты!$A234,'Как будет'!GP$35:GP$42)</f>
        <v>0</v>
      </c>
      <c r="GP234">
        <f>SUMIF('Как будет'!$A$35:$A$42,Доп.расчеты!$A234,'Как будет'!GQ$35:GQ$42)</f>
        <v>0</v>
      </c>
      <c r="GQ234">
        <f>SUMIF('Как будет'!$A$35:$A$42,Доп.расчеты!$A234,'Как будет'!GR$35:GR$42)</f>
        <v>0</v>
      </c>
      <c r="GR234">
        <f>SUMIF('Как будет'!$A$35:$A$42,Доп.расчеты!$A234,'Как будет'!GS$35:GS$42)</f>
        <v>0</v>
      </c>
      <c r="GS234">
        <f>SUMIF('Как будет'!$A$35:$A$42,Доп.расчеты!$A234,'Как будет'!GT$35:GT$42)</f>
        <v>0</v>
      </c>
      <c r="GT234">
        <f>SUMIF('Как будет'!$A$35:$A$42,Доп.расчеты!$A234,'Как будет'!GU$35:GU$42)</f>
        <v>0</v>
      </c>
    </row>
    <row r="235" spans="1:202">
      <c r="A235" s="236"/>
    </row>
    <row r="236" spans="1:202">
      <c r="A236" s="236"/>
    </row>
    <row r="237" spans="1:202">
      <c r="A237" s="57" t="s">
        <v>138</v>
      </c>
    </row>
    <row r="238" spans="1:202">
      <c r="A238" s="57" t="s">
        <v>242</v>
      </c>
    </row>
    <row r="239" spans="1:202">
      <c r="A239" s="238" t="s">
        <v>88</v>
      </c>
      <c r="B239">
        <f>SUMIF('Как будет'!$A$45:$A$52,Доп.расчеты!$A239,'Как будет'!C$45:C$52)</f>
        <v>0</v>
      </c>
      <c r="C239">
        <f>SUMIF('Как будет'!$A$45:$A$52,Доп.расчеты!$A239,'Как будет'!D$45:D$52)</f>
        <v>0</v>
      </c>
      <c r="D239">
        <f>SUMIF('Как будет'!$A$45:$A$52,Доп.расчеты!$A239,'Как будет'!E$45:E$52)</f>
        <v>0</v>
      </c>
      <c r="E239">
        <f>SUMIF('Как будет'!$A$45:$A$52,Доп.расчеты!$A239,'Как будет'!F$45:F$52)</f>
        <v>0</v>
      </c>
      <c r="F239">
        <f>SUMIF('Как будет'!$A$45:$A$52,Доп.расчеты!$A239,'Как будет'!G$45:G$52)</f>
        <v>0</v>
      </c>
      <c r="G239">
        <f>SUMIF('Как будет'!$A$45:$A$52,Доп.расчеты!$A239,'Как будет'!H$45:H$52)</f>
        <v>0</v>
      </c>
      <c r="H239">
        <f>SUMIF('Как будет'!$A$45:$A$52,Доп.расчеты!$A239,'Как будет'!I$45:I$52)</f>
        <v>0</v>
      </c>
      <c r="I239">
        <f>SUMIF('Как будет'!$A$45:$A$52,Доп.расчеты!$A239,'Как будет'!J$45:J$52)</f>
        <v>0</v>
      </c>
      <c r="J239">
        <f>SUMIF('Как будет'!$A$45:$A$52,Доп.расчеты!$A239,'Как будет'!K$45:K$52)</f>
        <v>0</v>
      </c>
      <c r="K239">
        <f>SUMIF('Как будет'!$A$45:$A$52,Доп.расчеты!$A239,'Как будет'!L$45:L$52)</f>
        <v>0</v>
      </c>
      <c r="L239">
        <f>SUMIF('Как будет'!$A$45:$A$52,Доп.расчеты!$A239,'Как будет'!M$45:M$52)</f>
        <v>0</v>
      </c>
      <c r="M239">
        <f>SUMIF('Как будет'!$A$45:$A$52,Доп.расчеты!$A239,'Как будет'!N$45:N$52)</f>
        <v>0</v>
      </c>
      <c r="N239">
        <f>SUMIF('Как будет'!$A$45:$A$52,Доп.расчеты!$A239,'Как будет'!O$45:O$52)</f>
        <v>0</v>
      </c>
      <c r="O239">
        <f>SUMIF('Как будет'!$A$45:$A$52,Доп.расчеты!$A239,'Как будет'!P$45:P$52)</f>
        <v>0</v>
      </c>
      <c r="P239">
        <f>SUMIF('Как будет'!$A$45:$A$52,Доп.расчеты!$A239,'Как будет'!Q$45:Q$52)</f>
        <v>0</v>
      </c>
      <c r="Q239">
        <f>SUMIF('Как будет'!$A$45:$A$52,Доп.расчеты!$A239,'Как будет'!R$45:R$52)</f>
        <v>0</v>
      </c>
      <c r="R239">
        <f>SUMIF('Как будет'!$A$45:$A$52,Доп.расчеты!$A239,'Как будет'!S$45:S$52)</f>
        <v>0</v>
      </c>
      <c r="S239">
        <f>SUMIF('Как будет'!$A$45:$A$52,Доп.расчеты!$A239,'Как будет'!T$45:T$52)</f>
        <v>0</v>
      </c>
      <c r="T239">
        <f>SUMIF('Как будет'!$A$45:$A$52,Доп.расчеты!$A239,'Как будет'!U$45:U$52)</f>
        <v>0</v>
      </c>
      <c r="U239">
        <f>SUMIF('Как будет'!$A$45:$A$52,Доп.расчеты!$A239,'Как будет'!V$45:V$52)</f>
        <v>0</v>
      </c>
      <c r="V239">
        <f>SUMIF('Как будет'!$A$45:$A$52,Доп.расчеты!$A239,'Как будет'!W$45:W$52)</f>
        <v>0</v>
      </c>
      <c r="W239">
        <f>SUMIF('Как будет'!$A$45:$A$52,Доп.расчеты!$A239,'Как будет'!X$45:X$52)</f>
        <v>0</v>
      </c>
      <c r="X239">
        <f>SUMIF('Как будет'!$A$45:$A$52,Доп.расчеты!$A239,'Как будет'!Y$45:Y$52)</f>
        <v>0</v>
      </c>
      <c r="Y239">
        <f>SUMIF('Как будет'!$A$45:$A$52,Доп.расчеты!$A239,'Как будет'!Z$45:Z$52)</f>
        <v>0</v>
      </c>
      <c r="Z239">
        <f>SUMIF('Как будет'!$A$45:$A$52,Доп.расчеты!$A239,'Как будет'!AA$45:AA$52)</f>
        <v>0</v>
      </c>
      <c r="AA239">
        <f>SUMIF('Как будет'!$A$45:$A$52,Доп.расчеты!$A239,'Как будет'!AB$45:AB$52)</f>
        <v>0</v>
      </c>
      <c r="AB239">
        <f>SUMIF('Как будет'!$A$45:$A$52,Доп.расчеты!$A239,'Как будет'!AC$45:AC$52)</f>
        <v>0</v>
      </c>
      <c r="AC239">
        <f>SUMIF('Как будет'!$A$45:$A$52,Доп.расчеты!$A239,'Как будет'!AD$45:AD$52)</f>
        <v>0</v>
      </c>
      <c r="AD239">
        <f>SUMIF('Как будет'!$A$45:$A$52,Доп.расчеты!$A239,'Как будет'!AE$45:AE$52)</f>
        <v>0</v>
      </c>
      <c r="AE239">
        <f>SUMIF('Как будет'!$A$45:$A$52,Доп.расчеты!$A239,'Как будет'!AF$45:AF$52)</f>
        <v>0</v>
      </c>
      <c r="AF239">
        <f>SUMIF('Как будет'!$A$45:$A$52,Доп.расчеты!$A239,'Как будет'!AG$45:AG$52)</f>
        <v>0</v>
      </c>
      <c r="AG239">
        <f>SUMIF('Как будет'!$A$45:$A$52,Доп.расчеты!$A239,'Как будет'!AH$45:AH$52)</f>
        <v>0</v>
      </c>
      <c r="AH239">
        <f>SUMIF('Как будет'!$A$45:$A$52,Доп.расчеты!$A239,'Как будет'!AI$45:AI$52)</f>
        <v>0</v>
      </c>
      <c r="AI239">
        <f>SUMIF('Как будет'!$A$45:$A$52,Доп.расчеты!$A239,'Как будет'!AJ$45:AJ$52)</f>
        <v>0</v>
      </c>
      <c r="AJ239">
        <f>SUMIF('Как будет'!$A$45:$A$52,Доп.расчеты!$A239,'Как будет'!AK$45:AK$52)</f>
        <v>0</v>
      </c>
      <c r="AK239">
        <f>SUMIF('Как будет'!$A$45:$A$52,Доп.расчеты!$A239,'Как будет'!AL$45:AL$52)</f>
        <v>0</v>
      </c>
      <c r="AL239">
        <f>SUMIF('Как будет'!$A$45:$A$52,Доп.расчеты!$A239,'Как будет'!AM$45:AM$52)</f>
        <v>0</v>
      </c>
      <c r="AM239">
        <f>SUMIF('Как будет'!$A$45:$A$52,Доп.расчеты!$A239,'Как будет'!AN$45:AN$52)</f>
        <v>0</v>
      </c>
      <c r="AN239">
        <f>SUMIF('Как будет'!$A$45:$A$52,Доп.расчеты!$A239,'Как будет'!AO$45:AO$52)</f>
        <v>0</v>
      </c>
      <c r="AO239">
        <f>SUMIF('Как будет'!$A$45:$A$52,Доп.расчеты!$A239,'Как будет'!AP$45:AP$52)</f>
        <v>0</v>
      </c>
      <c r="AP239">
        <f>SUMIF('Как будет'!$A$45:$A$52,Доп.расчеты!$A239,'Как будет'!AQ$45:AQ$52)</f>
        <v>0</v>
      </c>
      <c r="AQ239">
        <f>SUMIF('Как будет'!$A$45:$A$52,Доп.расчеты!$A239,'Как будет'!AR$45:AR$52)</f>
        <v>0</v>
      </c>
      <c r="AR239">
        <f>SUMIF('Как будет'!$A$45:$A$52,Доп.расчеты!$A239,'Как будет'!AS$45:AS$52)</f>
        <v>0</v>
      </c>
      <c r="AS239">
        <f>SUMIF('Как будет'!$A$45:$A$52,Доп.расчеты!$A239,'Как будет'!AT$45:AT$52)</f>
        <v>0</v>
      </c>
      <c r="AT239">
        <f>SUMIF('Как будет'!$A$45:$A$52,Доп.расчеты!$A239,'Как будет'!AU$45:AU$52)</f>
        <v>0</v>
      </c>
      <c r="AU239">
        <f>SUMIF('Как будет'!$A$45:$A$52,Доп.расчеты!$A239,'Как будет'!AV$45:AV$52)</f>
        <v>0</v>
      </c>
      <c r="AV239">
        <f>SUMIF('Как будет'!$A$45:$A$52,Доп.расчеты!$A239,'Как будет'!AW$45:AW$52)</f>
        <v>0</v>
      </c>
      <c r="AW239">
        <f>SUMIF('Как будет'!$A$45:$A$52,Доп.расчеты!$A239,'Как будет'!AX$45:AX$52)</f>
        <v>0</v>
      </c>
      <c r="AX239">
        <f>SUMIF('Как будет'!$A$45:$A$52,Доп.расчеты!$A239,'Как будет'!AY$45:AY$52)</f>
        <v>0</v>
      </c>
      <c r="AY239">
        <f>SUMIF('Как будет'!$A$45:$A$52,Доп.расчеты!$A239,'Как будет'!AZ$45:AZ$52)</f>
        <v>0</v>
      </c>
      <c r="AZ239">
        <f>SUMIF('Как будет'!$A$45:$A$52,Доп.расчеты!$A239,'Как будет'!BA$45:BA$52)</f>
        <v>0</v>
      </c>
      <c r="BA239">
        <f>SUMIF('Как будет'!$A$45:$A$52,Доп.расчеты!$A239,'Как будет'!BB$45:BB$52)</f>
        <v>0</v>
      </c>
      <c r="BB239">
        <f>SUMIF('Как будет'!$A$45:$A$52,Доп.расчеты!$A239,'Как будет'!BC$45:BC$52)</f>
        <v>0</v>
      </c>
      <c r="BC239">
        <f>SUMIF('Как будет'!$A$45:$A$52,Доп.расчеты!$A239,'Как будет'!BD$45:BD$52)</f>
        <v>0</v>
      </c>
      <c r="BD239">
        <f>SUMIF('Как будет'!$A$45:$A$52,Доп.расчеты!$A239,'Как будет'!BE$45:BE$52)</f>
        <v>0</v>
      </c>
      <c r="BE239">
        <f>SUMIF('Как будет'!$A$45:$A$52,Доп.расчеты!$A239,'Как будет'!BF$45:BF$52)</f>
        <v>0</v>
      </c>
      <c r="BF239">
        <f>SUMIF('Как будет'!$A$45:$A$52,Доп.расчеты!$A239,'Как будет'!BG$45:BG$52)</f>
        <v>0</v>
      </c>
      <c r="BG239">
        <f>SUMIF('Как будет'!$A$45:$A$52,Доп.расчеты!$A239,'Как будет'!BH$45:BH$52)</f>
        <v>0</v>
      </c>
      <c r="BH239">
        <f>SUMIF('Как будет'!$A$45:$A$52,Доп.расчеты!$A239,'Как будет'!BI$45:BI$52)</f>
        <v>0</v>
      </c>
      <c r="BI239">
        <f>SUMIF('Как будет'!$A$45:$A$52,Доп.расчеты!$A239,'Как будет'!BJ$45:BJ$52)</f>
        <v>0</v>
      </c>
      <c r="BJ239">
        <f>SUMIF('Как будет'!$A$45:$A$52,Доп.расчеты!$A239,'Как будет'!BK$45:BK$52)</f>
        <v>0</v>
      </c>
      <c r="BK239">
        <f>SUMIF('Как будет'!$A$45:$A$52,Доп.расчеты!$A239,'Как будет'!BL$45:BL$52)</f>
        <v>0</v>
      </c>
      <c r="BL239">
        <f>SUMIF('Как будет'!$A$45:$A$52,Доп.расчеты!$A239,'Как будет'!BM$45:BM$52)</f>
        <v>0</v>
      </c>
      <c r="BM239">
        <f>SUMIF('Как будет'!$A$45:$A$52,Доп.расчеты!$A239,'Как будет'!BN$45:BN$52)</f>
        <v>0</v>
      </c>
      <c r="BN239">
        <f>SUMIF('Как будет'!$A$45:$A$52,Доп.расчеты!$A239,'Как будет'!BO$45:BO$52)</f>
        <v>0</v>
      </c>
      <c r="BO239">
        <f>SUMIF('Как будет'!$A$45:$A$52,Доп.расчеты!$A239,'Как будет'!BP$45:BP$52)</f>
        <v>0</v>
      </c>
      <c r="BP239">
        <f>SUMIF('Как будет'!$A$45:$A$52,Доп.расчеты!$A239,'Как будет'!BQ$45:BQ$52)</f>
        <v>0</v>
      </c>
      <c r="BQ239">
        <f>SUMIF('Как будет'!$A$45:$A$52,Доп.расчеты!$A239,'Как будет'!BR$45:BR$52)</f>
        <v>0</v>
      </c>
      <c r="BR239">
        <f>SUMIF('Как будет'!$A$45:$A$52,Доп.расчеты!$A239,'Как будет'!BS$45:BS$52)</f>
        <v>0</v>
      </c>
      <c r="BS239">
        <f>SUMIF('Как будет'!$A$45:$A$52,Доп.расчеты!$A239,'Как будет'!BT$45:BT$52)</f>
        <v>0</v>
      </c>
      <c r="BT239">
        <f>SUMIF('Как будет'!$A$45:$A$52,Доп.расчеты!$A239,'Как будет'!BU$45:BU$52)</f>
        <v>0</v>
      </c>
      <c r="BU239">
        <f>SUMIF('Как будет'!$A$45:$A$52,Доп.расчеты!$A239,'Как будет'!BV$45:BV$52)</f>
        <v>0</v>
      </c>
      <c r="BV239">
        <f>SUMIF('Как будет'!$A$45:$A$52,Доп.расчеты!$A239,'Как будет'!BW$45:BW$52)</f>
        <v>0</v>
      </c>
      <c r="BW239">
        <f>SUMIF('Как будет'!$A$45:$A$52,Доп.расчеты!$A239,'Как будет'!BX$45:BX$52)</f>
        <v>0</v>
      </c>
      <c r="BX239">
        <f>SUMIF('Как будет'!$A$45:$A$52,Доп.расчеты!$A239,'Как будет'!BY$45:BY$52)</f>
        <v>0</v>
      </c>
      <c r="BY239">
        <f>SUMIF('Как будет'!$A$45:$A$52,Доп.расчеты!$A239,'Как будет'!BZ$45:BZ$52)</f>
        <v>0</v>
      </c>
      <c r="BZ239">
        <f>SUMIF('Как будет'!$A$45:$A$52,Доп.расчеты!$A239,'Как будет'!CA$45:CA$52)</f>
        <v>0</v>
      </c>
      <c r="CA239">
        <f>SUMIF('Как будет'!$A$45:$A$52,Доп.расчеты!$A239,'Как будет'!CB$45:CB$52)</f>
        <v>0</v>
      </c>
      <c r="CB239">
        <f>SUMIF('Как будет'!$A$45:$A$52,Доп.расчеты!$A239,'Как будет'!CC$45:CC$52)</f>
        <v>0</v>
      </c>
      <c r="CC239">
        <f>SUMIF('Как будет'!$A$45:$A$52,Доп.расчеты!$A239,'Как будет'!CD$45:CD$52)</f>
        <v>0</v>
      </c>
      <c r="CD239">
        <f>SUMIF('Как будет'!$A$45:$A$52,Доп.расчеты!$A239,'Как будет'!CE$45:CE$52)</f>
        <v>0</v>
      </c>
      <c r="CE239">
        <f>SUMIF('Как будет'!$A$45:$A$52,Доп.расчеты!$A239,'Как будет'!CF$45:CF$52)</f>
        <v>0</v>
      </c>
      <c r="CF239">
        <f>SUMIF('Как будет'!$A$45:$A$52,Доп.расчеты!$A239,'Как будет'!CG$45:CG$52)</f>
        <v>0</v>
      </c>
      <c r="CG239">
        <f>SUMIF('Как будет'!$A$45:$A$52,Доп.расчеты!$A239,'Как будет'!CH$45:CH$52)</f>
        <v>0</v>
      </c>
      <c r="CH239">
        <f>SUMIF('Как будет'!$A$45:$A$52,Доп.расчеты!$A239,'Как будет'!CI$45:CI$52)</f>
        <v>0</v>
      </c>
      <c r="CI239">
        <f>SUMIF('Как будет'!$A$45:$A$52,Доп.расчеты!$A239,'Как будет'!CJ$45:CJ$52)</f>
        <v>0</v>
      </c>
      <c r="CJ239">
        <f>SUMIF('Как будет'!$A$45:$A$52,Доп.расчеты!$A239,'Как будет'!CK$45:CK$52)</f>
        <v>0</v>
      </c>
      <c r="CK239">
        <f>SUMIF('Как будет'!$A$45:$A$52,Доп.расчеты!$A239,'Как будет'!CL$45:CL$52)</f>
        <v>0</v>
      </c>
      <c r="CL239">
        <f>SUMIF('Как будет'!$A$45:$A$52,Доп.расчеты!$A239,'Как будет'!CM$45:CM$52)</f>
        <v>0</v>
      </c>
      <c r="CM239">
        <f>SUMIF('Как будет'!$A$45:$A$52,Доп.расчеты!$A239,'Как будет'!CN$45:CN$52)</f>
        <v>0</v>
      </c>
      <c r="CN239">
        <f>SUMIF('Как будет'!$A$45:$A$52,Доп.расчеты!$A239,'Как будет'!CO$45:CO$52)</f>
        <v>0</v>
      </c>
      <c r="CO239">
        <f>SUMIF('Как будет'!$A$45:$A$52,Доп.расчеты!$A239,'Как будет'!CP$45:CP$52)</f>
        <v>0</v>
      </c>
      <c r="CP239">
        <f>SUMIF('Как будет'!$A$45:$A$52,Доп.расчеты!$A239,'Как будет'!CQ$45:CQ$52)</f>
        <v>0</v>
      </c>
      <c r="CQ239">
        <f>SUMIF('Как будет'!$A$45:$A$52,Доп.расчеты!$A239,'Как будет'!CR$45:CR$52)</f>
        <v>0</v>
      </c>
      <c r="CR239">
        <f>SUMIF('Как будет'!$A$45:$A$52,Доп.расчеты!$A239,'Как будет'!CS$45:CS$52)</f>
        <v>0</v>
      </c>
      <c r="CS239">
        <f>SUMIF('Как будет'!$A$45:$A$52,Доп.расчеты!$A239,'Как будет'!CT$45:CT$52)</f>
        <v>0</v>
      </c>
      <c r="CT239">
        <f>SUMIF('Как будет'!$A$45:$A$52,Доп.расчеты!$A239,'Как будет'!CU$45:CU$52)</f>
        <v>0</v>
      </c>
      <c r="CU239">
        <f>SUMIF('Как будет'!$A$45:$A$52,Доп.расчеты!$A239,'Как будет'!CV$45:CV$52)</f>
        <v>0</v>
      </c>
      <c r="CV239">
        <f>SUMIF('Как будет'!$A$45:$A$52,Доп.расчеты!$A239,'Как будет'!CW$45:CW$52)</f>
        <v>0</v>
      </c>
      <c r="CW239">
        <f>SUMIF('Как будет'!$A$45:$A$52,Доп.расчеты!$A239,'Как будет'!CX$45:CX$52)</f>
        <v>0</v>
      </c>
      <c r="CX239">
        <f>SUMIF('Как будет'!$A$45:$A$52,Доп.расчеты!$A239,'Как будет'!CY$45:CY$52)</f>
        <v>0</v>
      </c>
      <c r="CY239">
        <f>SUMIF('Как будет'!$A$45:$A$52,Доп.расчеты!$A239,'Как будет'!CZ$45:CZ$52)</f>
        <v>0</v>
      </c>
      <c r="CZ239">
        <f>SUMIF('Как будет'!$A$45:$A$52,Доп.расчеты!$A239,'Как будет'!DA$45:DA$52)</f>
        <v>0</v>
      </c>
      <c r="DA239">
        <f>SUMIF('Как будет'!$A$45:$A$52,Доп.расчеты!$A239,'Как будет'!DB$45:DB$52)</f>
        <v>0</v>
      </c>
      <c r="DB239">
        <f>SUMIF('Как будет'!$A$45:$A$52,Доп.расчеты!$A239,'Как будет'!DC$45:DC$52)</f>
        <v>0</v>
      </c>
      <c r="DC239">
        <f>SUMIF('Как будет'!$A$45:$A$52,Доп.расчеты!$A239,'Как будет'!DD$45:DD$52)</f>
        <v>0</v>
      </c>
      <c r="DD239">
        <f>SUMIF('Как будет'!$A$45:$A$52,Доп.расчеты!$A239,'Как будет'!DE$45:DE$52)</f>
        <v>0</v>
      </c>
      <c r="DE239">
        <f>SUMIF('Как будет'!$A$45:$A$52,Доп.расчеты!$A239,'Как будет'!DF$45:DF$52)</f>
        <v>0</v>
      </c>
      <c r="DF239">
        <f>SUMIF('Как будет'!$A$45:$A$52,Доп.расчеты!$A239,'Как будет'!DG$45:DG$52)</f>
        <v>0</v>
      </c>
      <c r="DG239">
        <f>SUMIF('Как будет'!$A$45:$A$52,Доп.расчеты!$A239,'Как будет'!DH$45:DH$52)</f>
        <v>0</v>
      </c>
      <c r="DH239">
        <f>SUMIF('Как будет'!$A$45:$A$52,Доп.расчеты!$A239,'Как будет'!DI$45:DI$52)</f>
        <v>0</v>
      </c>
      <c r="DI239">
        <f>SUMIF('Как будет'!$A$45:$A$52,Доп.расчеты!$A239,'Как будет'!DJ$45:DJ$52)</f>
        <v>0</v>
      </c>
      <c r="DJ239">
        <f>SUMIF('Как будет'!$A$45:$A$52,Доп.расчеты!$A239,'Как будет'!DK$45:DK$52)</f>
        <v>0</v>
      </c>
      <c r="DK239">
        <f>SUMIF('Как будет'!$A$45:$A$52,Доп.расчеты!$A239,'Как будет'!DL$45:DL$52)</f>
        <v>0</v>
      </c>
      <c r="DL239">
        <f>SUMIF('Как будет'!$A$45:$A$52,Доп.расчеты!$A239,'Как будет'!DM$45:DM$52)</f>
        <v>0</v>
      </c>
      <c r="DM239">
        <f>SUMIF('Как будет'!$A$45:$A$52,Доп.расчеты!$A239,'Как будет'!DN$45:DN$52)</f>
        <v>0</v>
      </c>
      <c r="DN239">
        <f>SUMIF('Как будет'!$A$45:$A$52,Доп.расчеты!$A239,'Как будет'!DO$45:DO$52)</f>
        <v>0</v>
      </c>
      <c r="DO239">
        <f>SUMIF('Как будет'!$A$45:$A$52,Доп.расчеты!$A239,'Как будет'!DP$45:DP$52)</f>
        <v>0</v>
      </c>
      <c r="DP239">
        <f>SUMIF('Как будет'!$A$45:$A$52,Доп.расчеты!$A239,'Как будет'!DQ$45:DQ$52)</f>
        <v>0</v>
      </c>
      <c r="DQ239">
        <f>SUMIF('Как будет'!$A$45:$A$52,Доп.расчеты!$A239,'Как будет'!DR$45:DR$52)</f>
        <v>0</v>
      </c>
      <c r="DR239">
        <f>SUMIF('Как будет'!$A$45:$A$52,Доп.расчеты!$A239,'Как будет'!DS$45:DS$52)</f>
        <v>0</v>
      </c>
      <c r="DS239">
        <f>SUMIF('Как будет'!$A$45:$A$52,Доп.расчеты!$A239,'Как будет'!DT$45:DT$52)</f>
        <v>0</v>
      </c>
      <c r="DT239">
        <f>SUMIF('Как будет'!$A$45:$A$52,Доп.расчеты!$A239,'Как будет'!DU$45:DU$52)</f>
        <v>0</v>
      </c>
      <c r="DU239">
        <f>SUMIF('Как будет'!$A$45:$A$52,Доп.расчеты!$A239,'Как будет'!DV$45:DV$52)</f>
        <v>0</v>
      </c>
      <c r="DV239">
        <f>SUMIF('Как будет'!$A$45:$A$52,Доп.расчеты!$A239,'Как будет'!DW$45:DW$52)</f>
        <v>0</v>
      </c>
      <c r="DW239">
        <f>SUMIF('Как будет'!$A$45:$A$52,Доп.расчеты!$A239,'Как будет'!DX$45:DX$52)</f>
        <v>0</v>
      </c>
      <c r="DX239">
        <f>SUMIF('Как будет'!$A$45:$A$52,Доп.расчеты!$A239,'Как будет'!DY$45:DY$52)</f>
        <v>0</v>
      </c>
      <c r="DY239">
        <f>SUMIF('Как будет'!$A$45:$A$52,Доп.расчеты!$A239,'Как будет'!DZ$45:DZ$52)</f>
        <v>0</v>
      </c>
      <c r="DZ239">
        <f>SUMIF('Как будет'!$A$45:$A$52,Доп.расчеты!$A239,'Как будет'!EA$45:EA$52)</f>
        <v>0</v>
      </c>
      <c r="EA239">
        <f>SUMIF('Как будет'!$A$45:$A$52,Доп.расчеты!$A239,'Как будет'!EB$45:EB$52)</f>
        <v>0</v>
      </c>
      <c r="EB239">
        <f>SUMIF('Как будет'!$A$45:$A$52,Доп.расчеты!$A239,'Как будет'!EC$45:EC$52)</f>
        <v>0</v>
      </c>
      <c r="EC239">
        <f>SUMIF('Как будет'!$A$45:$A$52,Доп.расчеты!$A239,'Как будет'!ED$45:ED$52)</f>
        <v>0</v>
      </c>
      <c r="ED239">
        <f>SUMIF('Как будет'!$A$45:$A$52,Доп.расчеты!$A239,'Как будет'!EE$45:EE$52)</f>
        <v>0</v>
      </c>
      <c r="EE239">
        <f>SUMIF('Как будет'!$A$45:$A$52,Доп.расчеты!$A239,'Как будет'!EF$45:EF$52)</f>
        <v>0</v>
      </c>
      <c r="EF239">
        <f>SUMIF('Как будет'!$A$45:$A$52,Доп.расчеты!$A239,'Как будет'!EG$45:EG$52)</f>
        <v>0</v>
      </c>
      <c r="EG239">
        <f>SUMIF('Как будет'!$A$45:$A$52,Доп.расчеты!$A239,'Как будет'!EH$45:EH$52)</f>
        <v>0</v>
      </c>
      <c r="EH239">
        <f>SUMIF('Как будет'!$A$45:$A$52,Доп.расчеты!$A239,'Как будет'!EI$45:EI$52)</f>
        <v>0</v>
      </c>
      <c r="EI239">
        <f>SUMIF('Как будет'!$A$45:$A$52,Доп.расчеты!$A239,'Как будет'!EJ$45:EJ$52)</f>
        <v>0</v>
      </c>
      <c r="EJ239">
        <f>SUMIF('Как будет'!$A$45:$A$52,Доп.расчеты!$A239,'Как будет'!EK$45:EK$52)</f>
        <v>0</v>
      </c>
      <c r="EK239">
        <f>SUMIF('Как будет'!$A$45:$A$52,Доп.расчеты!$A239,'Как будет'!EL$45:EL$52)</f>
        <v>0</v>
      </c>
      <c r="EL239">
        <f>SUMIF('Как будет'!$A$45:$A$52,Доп.расчеты!$A239,'Как будет'!EM$45:EM$52)</f>
        <v>0</v>
      </c>
      <c r="EM239">
        <f>SUMIF('Как будет'!$A$45:$A$52,Доп.расчеты!$A239,'Как будет'!EN$45:EN$52)</f>
        <v>0</v>
      </c>
      <c r="EN239">
        <f>SUMIF('Как будет'!$A$45:$A$52,Доп.расчеты!$A239,'Как будет'!EO$45:EO$52)</f>
        <v>0</v>
      </c>
      <c r="EO239">
        <f>SUMIF('Как будет'!$A$45:$A$52,Доп.расчеты!$A239,'Как будет'!EP$45:EP$52)</f>
        <v>0</v>
      </c>
      <c r="EP239">
        <f>SUMIF('Как будет'!$A$45:$A$52,Доп.расчеты!$A239,'Как будет'!EQ$45:EQ$52)</f>
        <v>0</v>
      </c>
      <c r="EQ239">
        <f>SUMIF('Как будет'!$A$45:$A$52,Доп.расчеты!$A239,'Как будет'!ER$45:ER$52)</f>
        <v>0</v>
      </c>
      <c r="ER239">
        <f>SUMIF('Как будет'!$A$45:$A$52,Доп.расчеты!$A239,'Как будет'!ES$45:ES$52)</f>
        <v>0</v>
      </c>
      <c r="ES239">
        <f>SUMIF('Как будет'!$A$45:$A$52,Доп.расчеты!$A239,'Как будет'!ET$45:ET$52)</f>
        <v>0</v>
      </c>
      <c r="ET239">
        <f>SUMIF('Как будет'!$A$45:$A$52,Доп.расчеты!$A239,'Как будет'!EU$45:EU$52)</f>
        <v>0</v>
      </c>
      <c r="EU239">
        <f>SUMIF('Как будет'!$A$45:$A$52,Доп.расчеты!$A239,'Как будет'!EV$45:EV$52)</f>
        <v>0</v>
      </c>
      <c r="EV239">
        <f>SUMIF('Как будет'!$A$45:$A$52,Доп.расчеты!$A239,'Как будет'!EW$45:EW$52)</f>
        <v>0</v>
      </c>
      <c r="EW239">
        <f>SUMIF('Как будет'!$A$45:$A$52,Доп.расчеты!$A239,'Как будет'!EX$45:EX$52)</f>
        <v>0</v>
      </c>
      <c r="EX239">
        <f>SUMIF('Как будет'!$A$45:$A$52,Доп.расчеты!$A239,'Как будет'!EY$45:EY$52)</f>
        <v>0</v>
      </c>
      <c r="EY239">
        <f>SUMIF('Как будет'!$A$45:$A$52,Доп.расчеты!$A239,'Как будет'!EZ$45:EZ$52)</f>
        <v>0</v>
      </c>
      <c r="EZ239">
        <f>SUMIF('Как будет'!$A$45:$A$52,Доп.расчеты!$A239,'Как будет'!FA$45:FA$52)</f>
        <v>0</v>
      </c>
      <c r="FA239">
        <f>SUMIF('Как будет'!$A$45:$A$52,Доп.расчеты!$A239,'Как будет'!FB$45:FB$52)</f>
        <v>0</v>
      </c>
      <c r="FB239">
        <f>SUMIF('Как будет'!$A$45:$A$52,Доп.расчеты!$A239,'Как будет'!FC$45:FC$52)</f>
        <v>0</v>
      </c>
      <c r="FC239">
        <f>SUMIF('Как будет'!$A$45:$A$52,Доп.расчеты!$A239,'Как будет'!FD$45:FD$52)</f>
        <v>0</v>
      </c>
      <c r="FD239">
        <f>SUMIF('Как будет'!$A$45:$A$52,Доп.расчеты!$A239,'Как будет'!FE$45:FE$52)</f>
        <v>0</v>
      </c>
      <c r="FE239">
        <f>SUMIF('Как будет'!$A$45:$A$52,Доп.расчеты!$A239,'Как будет'!FF$45:FF$52)</f>
        <v>0</v>
      </c>
      <c r="FF239">
        <f>SUMIF('Как будет'!$A$45:$A$52,Доп.расчеты!$A239,'Как будет'!FG$45:FG$52)</f>
        <v>0</v>
      </c>
      <c r="FG239">
        <f>SUMIF('Как будет'!$A$45:$A$52,Доп.расчеты!$A239,'Как будет'!FH$45:FH$52)</f>
        <v>0</v>
      </c>
      <c r="FH239">
        <f>SUMIF('Как будет'!$A$45:$A$52,Доп.расчеты!$A239,'Как будет'!FI$45:FI$52)</f>
        <v>0</v>
      </c>
      <c r="FI239">
        <f>SUMIF('Как будет'!$A$45:$A$52,Доп.расчеты!$A239,'Как будет'!FJ$45:FJ$52)</f>
        <v>0</v>
      </c>
      <c r="FJ239">
        <f>SUMIF('Как будет'!$A$45:$A$52,Доп.расчеты!$A239,'Как будет'!FK$45:FK$52)</f>
        <v>0</v>
      </c>
      <c r="FK239">
        <f>SUMIF('Как будет'!$A$45:$A$52,Доп.расчеты!$A239,'Как будет'!FL$45:FL$52)</f>
        <v>0</v>
      </c>
      <c r="FL239">
        <f>SUMIF('Как будет'!$A$45:$A$52,Доп.расчеты!$A239,'Как будет'!FM$45:FM$52)</f>
        <v>0</v>
      </c>
      <c r="FM239">
        <f>SUMIF('Как будет'!$A$45:$A$52,Доп.расчеты!$A239,'Как будет'!FN$45:FN$52)</f>
        <v>0</v>
      </c>
      <c r="FN239">
        <f>SUMIF('Как будет'!$A$45:$A$52,Доп.расчеты!$A239,'Как будет'!FO$45:FO$52)</f>
        <v>0</v>
      </c>
      <c r="FO239">
        <f>SUMIF('Как будет'!$A$45:$A$52,Доп.расчеты!$A239,'Как будет'!FP$45:FP$52)</f>
        <v>0</v>
      </c>
      <c r="FP239">
        <f>SUMIF('Как будет'!$A$45:$A$52,Доп.расчеты!$A239,'Как будет'!FQ$45:FQ$52)</f>
        <v>0</v>
      </c>
      <c r="FQ239">
        <f>SUMIF('Как будет'!$A$45:$A$52,Доп.расчеты!$A239,'Как будет'!FR$45:FR$52)</f>
        <v>0</v>
      </c>
      <c r="FR239">
        <f>SUMIF('Как будет'!$A$45:$A$52,Доп.расчеты!$A239,'Как будет'!FS$45:FS$52)</f>
        <v>0</v>
      </c>
      <c r="FS239">
        <f>SUMIF('Как будет'!$A$45:$A$52,Доп.расчеты!$A239,'Как будет'!FT$45:FT$52)</f>
        <v>0</v>
      </c>
      <c r="FT239">
        <f>SUMIF('Как будет'!$A$45:$A$52,Доп.расчеты!$A239,'Как будет'!FU$45:FU$52)</f>
        <v>0</v>
      </c>
      <c r="FU239">
        <f>SUMIF('Как будет'!$A$45:$A$52,Доп.расчеты!$A239,'Как будет'!FV$45:FV$52)</f>
        <v>0</v>
      </c>
      <c r="FV239">
        <f>SUMIF('Как будет'!$A$45:$A$52,Доп.расчеты!$A239,'Как будет'!FW$45:FW$52)</f>
        <v>0</v>
      </c>
      <c r="FW239">
        <f>SUMIF('Как будет'!$A$45:$A$52,Доп.расчеты!$A239,'Как будет'!FX$45:FX$52)</f>
        <v>0</v>
      </c>
      <c r="FX239">
        <f>SUMIF('Как будет'!$A$45:$A$52,Доп.расчеты!$A239,'Как будет'!FY$45:FY$52)</f>
        <v>0</v>
      </c>
      <c r="FY239">
        <f>SUMIF('Как будет'!$A$45:$A$52,Доп.расчеты!$A239,'Как будет'!FZ$45:FZ$52)</f>
        <v>0</v>
      </c>
      <c r="FZ239">
        <f>SUMIF('Как будет'!$A$45:$A$52,Доп.расчеты!$A239,'Как будет'!GA$45:GA$52)</f>
        <v>0</v>
      </c>
      <c r="GA239">
        <f>SUMIF('Как будет'!$A$45:$A$52,Доп.расчеты!$A239,'Как будет'!GB$45:GB$52)</f>
        <v>0</v>
      </c>
      <c r="GB239">
        <f>SUMIF('Как будет'!$A$45:$A$52,Доп.расчеты!$A239,'Как будет'!GC$45:GC$52)</f>
        <v>0</v>
      </c>
      <c r="GC239">
        <f>SUMIF('Как будет'!$A$45:$A$52,Доп.расчеты!$A239,'Как будет'!GD$45:GD$52)</f>
        <v>0</v>
      </c>
      <c r="GD239">
        <f>SUMIF('Как будет'!$A$45:$A$52,Доп.расчеты!$A239,'Как будет'!GE$45:GE$52)</f>
        <v>0</v>
      </c>
      <c r="GE239">
        <f>SUMIF('Как будет'!$A$45:$A$52,Доп.расчеты!$A239,'Как будет'!GF$45:GF$52)</f>
        <v>0</v>
      </c>
      <c r="GF239">
        <f>SUMIF('Как будет'!$A$45:$A$52,Доп.расчеты!$A239,'Как будет'!GG$45:GG$52)</f>
        <v>0</v>
      </c>
      <c r="GG239">
        <f>SUMIF('Как будет'!$A$45:$A$52,Доп.расчеты!$A239,'Как будет'!GH$45:GH$52)</f>
        <v>0</v>
      </c>
      <c r="GH239">
        <f>SUMIF('Как будет'!$A$45:$A$52,Доп.расчеты!$A239,'Как будет'!GI$45:GI$52)</f>
        <v>0</v>
      </c>
      <c r="GI239">
        <f>SUMIF('Как будет'!$A$45:$A$52,Доп.расчеты!$A239,'Как будет'!GJ$45:GJ$52)</f>
        <v>0</v>
      </c>
      <c r="GJ239">
        <f>SUMIF('Как будет'!$A$45:$A$52,Доп.расчеты!$A239,'Как будет'!GK$45:GK$52)</f>
        <v>0</v>
      </c>
      <c r="GK239">
        <f>SUMIF('Как будет'!$A$45:$A$52,Доп.расчеты!$A239,'Как будет'!GL$45:GL$52)</f>
        <v>0</v>
      </c>
      <c r="GL239">
        <f>SUMIF('Как будет'!$A$45:$A$52,Доп.расчеты!$A239,'Как будет'!GM$45:GM$52)</f>
        <v>0</v>
      </c>
      <c r="GM239">
        <f>SUMIF('Как будет'!$A$45:$A$52,Доп.расчеты!$A239,'Как будет'!GN$45:GN$52)</f>
        <v>0</v>
      </c>
      <c r="GN239">
        <f>SUMIF('Как будет'!$A$45:$A$52,Доп.расчеты!$A239,'Как будет'!GO$45:GO$52)</f>
        <v>0</v>
      </c>
      <c r="GO239">
        <f>SUMIF('Как будет'!$A$45:$A$52,Доп.расчеты!$A239,'Как будет'!GP$45:GP$52)</f>
        <v>0</v>
      </c>
      <c r="GP239">
        <f>SUMIF('Как будет'!$A$45:$A$52,Доп.расчеты!$A239,'Как будет'!GQ$45:GQ$52)</f>
        <v>0</v>
      </c>
      <c r="GQ239">
        <f>SUMIF('Как будет'!$A$45:$A$52,Доп.расчеты!$A239,'Как будет'!GR$45:GR$52)</f>
        <v>0</v>
      </c>
      <c r="GR239">
        <f>SUMIF('Как будет'!$A$45:$A$52,Доп.расчеты!$A239,'Как будет'!GS$45:GS$52)</f>
        <v>0</v>
      </c>
      <c r="GS239">
        <f>SUMIF('Как будет'!$A$45:$A$52,Доп.расчеты!$A239,'Как будет'!GT$45:GT$52)</f>
        <v>0</v>
      </c>
      <c r="GT239">
        <f>SUMIF('Как будет'!$A$45:$A$52,Доп.расчеты!$A239,'Как будет'!GU$45:GU$52)</f>
        <v>0</v>
      </c>
    </row>
    <row r="240" spans="1:202">
      <c r="A240" s="238" t="s">
        <v>89</v>
      </c>
      <c r="B240">
        <f>SUMIF('Как будет'!$A$45:$A$52,Доп.расчеты!$A240,'Как будет'!C$45:C$52)</f>
        <v>0</v>
      </c>
      <c r="C240">
        <f>SUMIF('Как будет'!$A$45:$A$52,Доп.расчеты!$A240,'Как будет'!D$45:D$52)</f>
        <v>0</v>
      </c>
      <c r="D240">
        <f>SUMIF('Как будет'!$A$45:$A$52,Доп.расчеты!$A240,'Как будет'!E$45:E$52)</f>
        <v>0</v>
      </c>
      <c r="E240">
        <f>SUMIF('Как будет'!$A$45:$A$52,Доп.расчеты!$A240,'Как будет'!F$45:F$52)</f>
        <v>0</v>
      </c>
      <c r="F240">
        <f>SUMIF('Как будет'!$A$45:$A$52,Доп.расчеты!$A240,'Как будет'!G$45:G$52)</f>
        <v>0</v>
      </c>
      <c r="G240">
        <f>SUMIF('Как будет'!$A$45:$A$52,Доп.расчеты!$A240,'Как будет'!H$45:H$52)</f>
        <v>0</v>
      </c>
      <c r="H240">
        <f>SUMIF('Как будет'!$A$45:$A$52,Доп.расчеты!$A240,'Как будет'!I$45:I$52)</f>
        <v>0</v>
      </c>
      <c r="I240">
        <f>SUMIF('Как будет'!$A$45:$A$52,Доп.расчеты!$A240,'Как будет'!J$45:J$52)</f>
        <v>0</v>
      </c>
      <c r="J240">
        <f>SUMIF('Как будет'!$A$45:$A$52,Доп.расчеты!$A240,'Как будет'!K$45:K$52)</f>
        <v>0</v>
      </c>
      <c r="K240">
        <f>SUMIF('Как будет'!$A$45:$A$52,Доп.расчеты!$A240,'Как будет'!L$45:L$52)</f>
        <v>0</v>
      </c>
      <c r="L240">
        <f>SUMIF('Как будет'!$A$45:$A$52,Доп.расчеты!$A240,'Как будет'!M$45:M$52)</f>
        <v>0</v>
      </c>
      <c r="M240">
        <f>SUMIF('Как будет'!$A$45:$A$52,Доп.расчеты!$A240,'Как будет'!N$45:N$52)</f>
        <v>0</v>
      </c>
      <c r="N240">
        <f>SUMIF('Как будет'!$A$45:$A$52,Доп.расчеты!$A240,'Как будет'!O$45:O$52)</f>
        <v>0</v>
      </c>
      <c r="O240">
        <f>SUMIF('Как будет'!$A$45:$A$52,Доп.расчеты!$A240,'Как будет'!P$45:P$52)</f>
        <v>0</v>
      </c>
      <c r="P240">
        <f>SUMIF('Как будет'!$A$45:$A$52,Доп.расчеты!$A240,'Как будет'!Q$45:Q$52)</f>
        <v>0</v>
      </c>
      <c r="Q240">
        <f>SUMIF('Как будет'!$A$45:$A$52,Доп.расчеты!$A240,'Как будет'!R$45:R$52)</f>
        <v>0</v>
      </c>
      <c r="R240">
        <f>SUMIF('Как будет'!$A$45:$A$52,Доп.расчеты!$A240,'Как будет'!S$45:S$52)</f>
        <v>0</v>
      </c>
      <c r="S240">
        <f>SUMIF('Как будет'!$A$45:$A$52,Доп.расчеты!$A240,'Как будет'!T$45:T$52)</f>
        <v>0</v>
      </c>
      <c r="T240">
        <f>SUMIF('Как будет'!$A$45:$A$52,Доп.расчеты!$A240,'Как будет'!U$45:U$52)</f>
        <v>0</v>
      </c>
      <c r="U240">
        <f>SUMIF('Как будет'!$A$45:$A$52,Доп.расчеты!$A240,'Как будет'!V$45:V$52)</f>
        <v>0</v>
      </c>
      <c r="V240">
        <f>SUMIF('Как будет'!$A$45:$A$52,Доп.расчеты!$A240,'Как будет'!W$45:W$52)</f>
        <v>0</v>
      </c>
      <c r="W240">
        <f>SUMIF('Как будет'!$A$45:$A$52,Доп.расчеты!$A240,'Как будет'!X$45:X$52)</f>
        <v>0</v>
      </c>
      <c r="X240">
        <f>SUMIF('Как будет'!$A$45:$A$52,Доп.расчеты!$A240,'Как будет'!Y$45:Y$52)</f>
        <v>0</v>
      </c>
      <c r="Y240">
        <f>SUMIF('Как будет'!$A$45:$A$52,Доп.расчеты!$A240,'Как будет'!Z$45:Z$52)</f>
        <v>0</v>
      </c>
      <c r="Z240">
        <f>SUMIF('Как будет'!$A$45:$A$52,Доп.расчеты!$A240,'Как будет'!AA$45:AA$52)</f>
        <v>0</v>
      </c>
      <c r="AA240">
        <f>SUMIF('Как будет'!$A$45:$A$52,Доп.расчеты!$A240,'Как будет'!AB$45:AB$52)</f>
        <v>0</v>
      </c>
      <c r="AB240">
        <f>SUMIF('Как будет'!$A$45:$A$52,Доп.расчеты!$A240,'Как будет'!AC$45:AC$52)</f>
        <v>0</v>
      </c>
      <c r="AC240">
        <f>SUMIF('Как будет'!$A$45:$A$52,Доп.расчеты!$A240,'Как будет'!AD$45:AD$52)</f>
        <v>0</v>
      </c>
      <c r="AD240">
        <f>SUMIF('Как будет'!$A$45:$A$52,Доп.расчеты!$A240,'Как будет'!AE$45:AE$52)</f>
        <v>0</v>
      </c>
      <c r="AE240">
        <f>SUMIF('Как будет'!$A$45:$A$52,Доп.расчеты!$A240,'Как будет'!AF$45:AF$52)</f>
        <v>0</v>
      </c>
      <c r="AF240">
        <f>SUMIF('Как будет'!$A$45:$A$52,Доп.расчеты!$A240,'Как будет'!AG$45:AG$52)</f>
        <v>0</v>
      </c>
      <c r="AG240">
        <f>SUMIF('Как будет'!$A$45:$A$52,Доп.расчеты!$A240,'Как будет'!AH$45:AH$52)</f>
        <v>0</v>
      </c>
      <c r="AH240">
        <f>SUMIF('Как будет'!$A$45:$A$52,Доп.расчеты!$A240,'Как будет'!AI$45:AI$52)</f>
        <v>0</v>
      </c>
      <c r="AI240">
        <f>SUMIF('Как будет'!$A$45:$A$52,Доп.расчеты!$A240,'Как будет'!AJ$45:AJ$52)</f>
        <v>0</v>
      </c>
      <c r="AJ240">
        <f>SUMIF('Как будет'!$A$45:$A$52,Доп.расчеты!$A240,'Как будет'!AK$45:AK$52)</f>
        <v>0</v>
      </c>
      <c r="AK240">
        <f>SUMIF('Как будет'!$A$45:$A$52,Доп.расчеты!$A240,'Как будет'!AL$45:AL$52)</f>
        <v>0</v>
      </c>
      <c r="AL240">
        <f>SUMIF('Как будет'!$A$45:$A$52,Доп.расчеты!$A240,'Как будет'!AM$45:AM$52)</f>
        <v>0</v>
      </c>
      <c r="AM240">
        <f>SUMIF('Как будет'!$A$45:$A$52,Доп.расчеты!$A240,'Как будет'!AN$45:AN$52)</f>
        <v>0</v>
      </c>
      <c r="AN240">
        <f>SUMIF('Как будет'!$A$45:$A$52,Доп.расчеты!$A240,'Как будет'!AO$45:AO$52)</f>
        <v>0</v>
      </c>
      <c r="AO240">
        <f>SUMIF('Как будет'!$A$45:$A$52,Доп.расчеты!$A240,'Как будет'!AP$45:AP$52)</f>
        <v>0</v>
      </c>
      <c r="AP240">
        <f>SUMIF('Как будет'!$A$45:$A$52,Доп.расчеты!$A240,'Как будет'!AQ$45:AQ$52)</f>
        <v>0</v>
      </c>
      <c r="AQ240">
        <f>SUMIF('Как будет'!$A$45:$A$52,Доп.расчеты!$A240,'Как будет'!AR$45:AR$52)</f>
        <v>0</v>
      </c>
      <c r="AR240">
        <f>SUMIF('Как будет'!$A$45:$A$52,Доп.расчеты!$A240,'Как будет'!AS$45:AS$52)</f>
        <v>0</v>
      </c>
      <c r="AS240">
        <f>SUMIF('Как будет'!$A$45:$A$52,Доп.расчеты!$A240,'Как будет'!AT$45:AT$52)</f>
        <v>0</v>
      </c>
      <c r="AT240">
        <f>SUMIF('Как будет'!$A$45:$A$52,Доп.расчеты!$A240,'Как будет'!AU$45:AU$52)</f>
        <v>0</v>
      </c>
      <c r="AU240">
        <f>SUMIF('Как будет'!$A$45:$A$52,Доп.расчеты!$A240,'Как будет'!AV$45:AV$52)</f>
        <v>0</v>
      </c>
      <c r="AV240">
        <f>SUMIF('Как будет'!$A$45:$A$52,Доп.расчеты!$A240,'Как будет'!AW$45:AW$52)</f>
        <v>0</v>
      </c>
      <c r="AW240">
        <f>SUMIF('Как будет'!$A$45:$A$52,Доп.расчеты!$A240,'Как будет'!AX$45:AX$52)</f>
        <v>0</v>
      </c>
      <c r="AX240">
        <f>SUMIF('Как будет'!$A$45:$A$52,Доп.расчеты!$A240,'Как будет'!AY$45:AY$52)</f>
        <v>0</v>
      </c>
      <c r="AY240">
        <f>SUMIF('Как будет'!$A$45:$A$52,Доп.расчеты!$A240,'Как будет'!AZ$45:AZ$52)</f>
        <v>0</v>
      </c>
      <c r="AZ240">
        <f>SUMIF('Как будет'!$A$45:$A$52,Доп.расчеты!$A240,'Как будет'!BA$45:BA$52)</f>
        <v>0</v>
      </c>
      <c r="BA240">
        <f>SUMIF('Как будет'!$A$45:$A$52,Доп.расчеты!$A240,'Как будет'!BB$45:BB$52)</f>
        <v>0</v>
      </c>
      <c r="BB240">
        <f>SUMIF('Как будет'!$A$45:$A$52,Доп.расчеты!$A240,'Как будет'!BC$45:BC$52)</f>
        <v>0</v>
      </c>
      <c r="BC240">
        <f>SUMIF('Как будет'!$A$45:$A$52,Доп.расчеты!$A240,'Как будет'!BD$45:BD$52)</f>
        <v>0</v>
      </c>
      <c r="BD240">
        <f>SUMIF('Как будет'!$A$45:$A$52,Доп.расчеты!$A240,'Как будет'!BE$45:BE$52)</f>
        <v>0</v>
      </c>
      <c r="BE240">
        <f>SUMIF('Как будет'!$A$45:$A$52,Доп.расчеты!$A240,'Как будет'!BF$45:BF$52)</f>
        <v>0</v>
      </c>
      <c r="BF240">
        <f>SUMIF('Как будет'!$A$45:$A$52,Доп.расчеты!$A240,'Как будет'!BG$45:BG$52)</f>
        <v>0</v>
      </c>
      <c r="BG240">
        <f>SUMIF('Как будет'!$A$45:$A$52,Доп.расчеты!$A240,'Как будет'!BH$45:BH$52)</f>
        <v>0</v>
      </c>
      <c r="BH240">
        <f>SUMIF('Как будет'!$A$45:$A$52,Доп.расчеты!$A240,'Как будет'!BI$45:BI$52)</f>
        <v>0</v>
      </c>
      <c r="BI240">
        <f>SUMIF('Как будет'!$A$45:$A$52,Доп.расчеты!$A240,'Как будет'!BJ$45:BJ$52)</f>
        <v>0</v>
      </c>
      <c r="BJ240">
        <f>SUMIF('Как будет'!$A$45:$A$52,Доп.расчеты!$A240,'Как будет'!BK$45:BK$52)</f>
        <v>0</v>
      </c>
      <c r="BK240">
        <f>SUMIF('Как будет'!$A$45:$A$52,Доп.расчеты!$A240,'Как будет'!BL$45:BL$52)</f>
        <v>0</v>
      </c>
      <c r="BL240">
        <f>SUMIF('Как будет'!$A$45:$A$52,Доп.расчеты!$A240,'Как будет'!BM$45:BM$52)</f>
        <v>0</v>
      </c>
      <c r="BM240">
        <f>SUMIF('Как будет'!$A$45:$A$52,Доп.расчеты!$A240,'Как будет'!BN$45:BN$52)</f>
        <v>0</v>
      </c>
      <c r="BN240">
        <f>SUMIF('Как будет'!$A$45:$A$52,Доп.расчеты!$A240,'Как будет'!BO$45:BO$52)</f>
        <v>0</v>
      </c>
      <c r="BO240">
        <f>SUMIF('Как будет'!$A$45:$A$52,Доп.расчеты!$A240,'Как будет'!BP$45:BP$52)</f>
        <v>0</v>
      </c>
      <c r="BP240">
        <f>SUMIF('Как будет'!$A$45:$A$52,Доп.расчеты!$A240,'Как будет'!BQ$45:BQ$52)</f>
        <v>0</v>
      </c>
      <c r="BQ240">
        <f>SUMIF('Как будет'!$A$45:$A$52,Доп.расчеты!$A240,'Как будет'!BR$45:BR$52)</f>
        <v>0</v>
      </c>
      <c r="BR240">
        <f>SUMIF('Как будет'!$A$45:$A$52,Доп.расчеты!$A240,'Как будет'!BS$45:BS$52)</f>
        <v>0</v>
      </c>
      <c r="BS240">
        <f>SUMIF('Как будет'!$A$45:$A$52,Доп.расчеты!$A240,'Как будет'!BT$45:BT$52)</f>
        <v>0</v>
      </c>
      <c r="BT240">
        <f>SUMIF('Как будет'!$A$45:$A$52,Доп.расчеты!$A240,'Как будет'!BU$45:BU$52)</f>
        <v>0</v>
      </c>
      <c r="BU240">
        <f>SUMIF('Как будет'!$A$45:$A$52,Доп.расчеты!$A240,'Как будет'!BV$45:BV$52)</f>
        <v>0</v>
      </c>
      <c r="BV240">
        <f>SUMIF('Как будет'!$A$45:$A$52,Доп.расчеты!$A240,'Как будет'!BW$45:BW$52)</f>
        <v>0</v>
      </c>
      <c r="BW240">
        <f>SUMIF('Как будет'!$A$45:$A$52,Доп.расчеты!$A240,'Как будет'!BX$45:BX$52)</f>
        <v>0</v>
      </c>
      <c r="BX240">
        <f>SUMIF('Как будет'!$A$45:$A$52,Доп.расчеты!$A240,'Как будет'!BY$45:BY$52)</f>
        <v>0</v>
      </c>
      <c r="BY240">
        <f>SUMIF('Как будет'!$A$45:$A$52,Доп.расчеты!$A240,'Как будет'!BZ$45:BZ$52)</f>
        <v>0</v>
      </c>
      <c r="BZ240">
        <f>SUMIF('Как будет'!$A$45:$A$52,Доп.расчеты!$A240,'Как будет'!CA$45:CA$52)</f>
        <v>0</v>
      </c>
      <c r="CA240">
        <f>SUMIF('Как будет'!$A$45:$A$52,Доп.расчеты!$A240,'Как будет'!CB$45:CB$52)</f>
        <v>0</v>
      </c>
      <c r="CB240">
        <f>SUMIF('Как будет'!$A$45:$A$52,Доп.расчеты!$A240,'Как будет'!CC$45:CC$52)</f>
        <v>0</v>
      </c>
      <c r="CC240">
        <f>SUMIF('Как будет'!$A$45:$A$52,Доп.расчеты!$A240,'Как будет'!CD$45:CD$52)</f>
        <v>0</v>
      </c>
      <c r="CD240">
        <f>SUMIF('Как будет'!$A$45:$A$52,Доп.расчеты!$A240,'Как будет'!CE$45:CE$52)</f>
        <v>0</v>
      </c>
      <c r="CE240">
        <f>SUMIF('Как будет'!$A$45:$A$52,Доп.расчеты!$A240,'Как будет'!CF$45:CF$52)</f>
        <v>0</v>
      </c>
      <c r="CF240">
        <f>SUMIF('Как будет'!$A$45:$A$52,Доп.расчеты!$A240,'Как будет'!CG$45:CG$52)</f>
        <v>0</v>
      </c>
      <c r="CG240">
        <f>SUMIF('Как будет'!$A$45:$A$52,Доп.расчеты!$A240,'Как будет'!CH$45:CH$52)</f>
        <v>0</v>
      </c>
      <c r="CH240">
        <f>SUMIF('Как будет'!$A$45:$A$52,Доп.расчеты!$A240,'Как будет'!CI$45:CI$52)</f>
        <v>0</v>
      </c>
      <c r="CI240">
        <f>SUMIF('Как будет'!$A$45:$A$52,Доп.расчеты!$A240,'Как будет'!CJ$45:CJ$52)</f>
        <v>0</v>
      </c>
      <c r="CJ240">
        <f>SUMIF('Как будет'!$A$45:$A$52,Доп.расчеты!$A240,'Как будет'!CK$45:CK$52)</f>
        <v>0</v>
      </c>
      <c r="CK240">
        <f>SUMIF('Как будет'!$A$45:$A$52,Доп.расчеты!$A240,'Как будет'!CL$45:CL$52)</f>
        <v>0</v>
      </c>
      <c r="CL240">
        <f>SUMIF('Как будет'!$A$45:$A$52,Доп.расчеты!$A240,'Как будет'!CM$45:CM$52)</f>
        <v>0</v>
      </c>
      <c r="CM240">
        <f>SUMIF('Как будет'!$A$45:$A$52,Доп.расчеты!$A240,'Как будет'!CN$45:CN$52)</f>
        <v>0</v>
      </c>
      <c r="CN240">
        <f>SUMIF('Как будет'!$A$45:$A$52,Доп.расчеты!$A240,'Как будет'!CO$45:CO$52)</f>
        <v>0</v>
      </c>
      <c r="CO240">
        <f>SUMIF('Как будет'!$A$45:$A$52,Доп.расчеты!$A240,'Как будет'!CP$45:CP$52)</f>
        <v>0</v>
      </c>
      <c r="CP240">
        <f>SUMIF('Как будет'!$A$45:$A$52,Доп.расчеты!$A240,'Как будет'!CQ$45:CQ$52)</f>
        <v>0</v>
      </c>
      <c r="CQ240">
        <f>SUMIF('Как будет'!$A$45:$A$52,Доп.расчеты!$A240,'Как будет'!CR$45:CR$52)</f>
        <v>0</v>
      </c>
      <c r="CR240">
        <f>SUMIF('Как будет'!$A$45:$A$52,Доп.расчеты!$A240,'Как будет'!CS$45:CS$52)</f>
        <v>0</v>
      </c>
      <c r="CS240">
        <f>SUMIF('Как будет'!$A$45:$A$52,Доп.расчеты!$A240,'Как будет'!CT$45:CT$52)</f>
        <v>0</v>
      </c>
      <c r="CT240">
        <f>SUMIF('Как будет'!$A$45:$A$52,Доп.расчеты!$A240,'Как будет'!CU$45:CU$52)</f>
        <v>0</v>
      </c>
      <c r="CU240">
        <f>SUMIF('Как будет'!$A$45:$A$52,Доп.расчеты!$A240,'Как будет'!CV$45:CV$52)</f>
        <v>0</v>
      </c>
      <c r="CV240">
        <f>SUMIF('Как будет'!$A$45:$A$52,Доп.расчеты!$A240,'Как будет'!CW$45:CW$52)</f>
        <v>0</v>
      </c>
      <c r="CW240">
        <f>SUMIF('Как будет'!$A$45:$A$52,Доп.расчеты!$A240,'Как будет'!CX$45:CX$52)</f>
        <v>0</v>
      </c>
      <c r="CX240">
        <f>SUMIF('Как будет'!$A$45:$A$52,Доп.расчеты!$A240,'Как будет'!CY$45:CY$52)</f>
        <v>0</v>
      </c>
      <c r="CY240">
        <f>SUMIF('Как будет'!$A$45:$A$52,Доп.расчеты!$A240,'Как будет'!CZ$45:CZ$52)</f>
        <v>0</v>
      </c>
      <c r="CZ240">
        <f>SUMIF('Как будет'!$A$45:$A$52,Доп.расчеты!$A240,'Как будет'!DA$45:DA$52)</f>
        <v>0</v>
      </c>
      <c r="DA240">
        <f>SUMIF('Как будет'!$A$45:$A$52,Доп.расчеты!$A240,'Как будет'!DB$45:DB$52)</f>
        <v>0</v>
      </c>
      <c r="DB240">
        <f>SUMIF('Как будет'!$A$45:$A$52,Доп.расчеты!$A240,'Как будет'!DC$45:DC$52)</f>
        <v>0</v>
      </c>
      <c r="DC240">
        <f>SUMIF('Как будет'!$A$45:$A$52,Доп.расчеты!$A240,'Как будет'!DD$45:DD$52)</f>
        <v>0</v>
      </c>
      <c r="DD240">
        <f>SUMIF('Как будет'!$A$45:$A$52,Доп.расчеты!$A240,'Как будет'!DE$45:DE$52)</f>
        <v>0</v>
      </c>
      <c r="DE240">
        <f>SUMIF('Как будет'!$A$45:$A$52,Доп.расчеты!$A240,'Как будет'!DF$45:DF$52)</f>
        <v>0</v>
      </c>
      <c r="DF240">
        <f>SUMIF('Как будет'!$A$45:$A$52,Доп.расчеты!$A240,'Как будет'!DG$45:DG$52)</f>
        <v>0</v>
      </c>
      <c r="DG240">
        <f>SUMIF('Как будет'!$A$45:$A$52,Доп.расчеты!$A240,'Как будет'!DH$45:DH$52)</f>
        <v>0</v>
      </c>
      <c r="DH240">
        <f>SUMIF('Как будет'!$A$45:$A$52,Доп.расчеты!$A240,'Как будет'!DI$45:DI$52)</f>
        <v>0</v>
      </c>
      <c r="DI240">
        <f>SUMIF('Как будет'!$A$45:$A$52,Доп.расчеты!$A240,'Как будет'!DJ$45:DJ$52)</f>
        <v>0</v>
      </c>
      <c r="DJ240">
        <f>SUMIF('Как будет'!$A$45:$A$52,Доп.расчеты!$A240,'Как будет'!DK$45:DK$52)</f>
        <v>0</v>
      </c>
      <c r="DK240">
        <f>SUMIF('Как будет'!$A$45:$A$52,Доп.расчеты!$A240,'Как будет'!DL$45:DL$52)</f>
        <v>0</v>
      </c>
      <c r="DL240">
        <f>SUMIF('Как будет'!$A$45:$A$52,Доп.расчеты!$A240,'Как будет'!DM$45:DM$52)</f>
        <v>0</v>
      </c>
      <c r="DM240">
        <f>SUMIF('Как будет'!$A$45:$A$52,Доп.расчеты!$A240,'Как будет'!DN$45:DN$52)</f>
        <v>0</v>
      </c>
      <c r="DN240">
        <f>SUMIF('Как будет'!$A$45:$A$52,Доп.расчеты!$A240,'Как будет'!DO$45:DO$52)</f>
        <v>0</v>
      </c>
      <c r="DO240">
        <f>SUMIF('Как будет'!$A$45:$A$52,Доп.расчеты!$A240,'Как будет'!DP$45:DP$52)</f>
        <v>0</v>
      </c>
      <c r="DP240">
        <f>SUMIF('Как будет'!$A$45:$A$52,Доп.расчеты!$A240,'Как будет'!DQ$45:DQ$52)</f>
        <v>0</v>
      </c>
      <c r="DQ240">
        <f>SUMIF('Как будет'!$A$45:$A$52,Доп.расчеты!$A240,'Как будет'!DR$45:DR$52)</f>
        <v>0</v>
      </c>
      <c r="DR240">
        <f>SUMIF('Как будет'!$A$45:$A$52,Доп.расчеты!$A240,'Как будет'!DS$45:DS$52)</f>
        <v>0</v>
      </c>
      <c r="DS240">
        <f>SUMIF('Как будет'!$A$45:$A$52,Доп.расчеты!$A240,'Как будет'!DT$45:DT$52)</f>
        <v>0</v>
      </c>
      <c r="DT240">
        <f>SUMIF('Как будет'!$A$45:$A$52,Доп.расчеты!$A240,'Как будет'!DU$45:DU$52)</f>
        <v>0</v>
      </c>
      <c r="DU240">
        <f>SUMIF('Как будет'!$A$45:$A$52,Доп.расчеты!$A240,'Как будет'!DV$45:DV$52)</f>
        <v>0</v>
      </c>
      <c r="DV240">
        <f>SUMIF('Как будет'!$A$45:$A$52,Доп.расчеты!$A240,'Как будет'!DW$45:DW$52)</f>
        <v>0</v>
      </c>
      <c r="DW240">
        <f>SUMIF('Как будет'!$A$45:$A$52,Доп.расчеты!$A240,'Как будет'!DX$45:DX$52)</f>
        <v>0</v>
      </c>
      <c r="DX240">
        <f>SUMIF('Как будет'!$A$45:$A$52,Доп.расчеты!$A240,'Как будет'!DY$45:DY$52)</f>
        <v>0</v>
      </c>
      <c r="DY240">
        <f>SUMIF('Как будет'!$A$45:$A$52,Доп.расчеты!$A240,'Как будет'!DZ$45:DZ$52)</f>
        <v>0</v>
      </c>
      <c r="DZ240">
        <f>SUMIF('Как будет'!$A$45:$A$52,Доп.расчеты!$A240,'Как будет'!EA$45:EA$52)</f>
        <v>0</v>
      </c>
      <c r="EA240">
        <f>SUMIF('Как будет'!$A$45:$A$52,Доп.расчеты!$A240,'Как будет'!EB$45:EB$52)</f>
        <v>0</v>
      </c>
      <c r="EB240">
        <f>SUMIF('Как будет'!$A$45:$A$52,Доп.расчеты!$A240,'Как будет'!EC$45:EC$52)</f>
        <v>0</v>
      </c>
      <c r="EC240">
        <f>SUMIF('Как будет'!$A$45:$A$52,Доп.расчеты!$A240,'Как будет'!ED$45:ED$52)</f>
        <v>0</v>
      </c>
      <c r="ED240">
        <f>SUMIF('Как будет'!$A$45:$A$52,Доп.расчеты!$A240,'Как будет'!EE$45:EE$52)</f>
        <v>0</v>
      </c>
      <c r="EE240">
        <f>SUMIF('Как будет'!$A$45:$A$52,Доп.расчеты!$A240,'Как будет'!EF$45:EF$52)</f>
        <v>0</v>
      </c>
      <c r="EF240">
        <f>SUMIF('Как будет'!$A$45:$A$52,Доп.расчеты!$A240,'Как будет'!EG$45:EG$52)</f>
        <v>0</v>
      </c>
      <c r="EG240">
        <f>SUMIF('Как будет'!$A$45:$A$52,Доп.расчеты!$A240,'Как будет'!EH$45:EH$52)</f>
        <v>0</v>
      </c>
      <c r="EH240">
        <f>SUMIF('Как будет'!$A$45:$A$52,Доп.расчеты!$A240,'Как будет'!EI$45:EI$52)</f>
        <v>0</v>
      </c>
      <c r="EI240">
        <f>SUMIF('Как будет'!$A$45:$A$52,Доп.расчеты!$A240,'Как будет'!EJ$45:EJ$52)</f>
        <v>0</v>
      </c>
      <c r="EJ240">
        <f>SUMIF('Как будет'!$A$45:$A$52,Доп.расчеты!$A240,'Как будет'!EK$45:EK$52)</f>
        <v>0</v>
      </c>
      <c r="EK240">
        <f>SUMIF('Как будет'!$A$45:$A$52,Доп.расчеты!$A240,'Как будет'!EL$45:EL$52)</f>
        <v>0</v>
      </c>
      <c r="EL240">
        <f>SUMIF('Как будет'!$A$45:$A$52,Доп.расчеты!$A240,'Как будет'!EM$45:EM$52)</f>
        <v>0</v>
      </c>
      <c r="EM240">
        <f>SUMIF('Как будет'!$A$45:$A$52,Доп.расчеты!$A240,'Как будет'!EN$45:EN$52)</f>
        <v>0</v>
      </c>
      <c r="EN240">
        <f>SUMIF('Как будет'!$A$45:$A$52,Доп.расчеты!$A240,'Как будет'!EO$45:EO$52)</f>
        <v>0</v>
      </c>
      <c r="EO240">
        <f>SUMIF('Как будет'!$A$45:$A$52,Доп.расчеты!$A240,'Как будет'!EP$45:EP$52)</f>
        <v>0</v>
      </c>
      <c r="EP240">
        <f>SUMIF('Как будет'!$A$45:$A$52,Доп.расчеты!$A240,'Как будет'!EQ$45:EQ$52)</f>
        <v>0</v>
      </c>
      <c r="EQ240">
        <f>SUMIF('Как будет'!$A$45:$A$52,Доп.расчеты!$A240,'Как будет'!ER$45:ER$52)</f>
        <v>0</v>
      </c>
      <c r="ER240">
        <f>SUMIF('Как будет'!$A$45:$A$52,Доп.расчеты!$A240,'Как будет'!ES$45:ES$52)</f>
        <v>0</v>
      </c>
      <c r="ES240">
        <f>SUMIF('Как будет'!$A$45:$A$52,Доп.расчеты!$A240,'Как будет'!ET$45:ET$52)</f>
        <v>0</v>
      </c>
      <c r="ET240">
        <f>SUMIF('Как будет'!$A$45:$A$52,Доп.расчеты!$A240,'Как будет'!EU$45:EU$52)</f>
        <v>0</v>
      </c>
      <c r="EU240">
        <f>SUMIF('Как будет'!$A$45:$A$52,Доп.расчеты!$A240,'Как будет'!EV$45:EV$52)</f>
        <v>0</v>
      </c>
      <c r="EV240">
        <f>SUMIF('Как будет'!$A$45:$A$52,Доп.расчеты!$A240,'Как будет'!EW$45:EW$52)</f>
        <v>0</v>
      </c>
      <c r="EW240">
        <f>SUMIF('Как будет'!$A$45:$A$52,Доп.расчеты!$A240,'Как будет'!EX$45:EX$52)</f>
        <v>0</v>
      </c>
      <c r="EX240">
        <f>SUMIF('Как будет'!$A$45:$A$52,Доп.расчеты!$A240,'Как будет'!EY$45:EY$52)</f>
        <v>0</v>
      </c>
      <c r="EY240">
        <f>SUMIF('Как будет'!$A$45:$A$52,Доп.расчеты!$A240,'Как будет'!EZ$45:EZ$52)</f>
        <v>0</v>
      </c>
      <c r="EZ240">
        <f>SUMIF('Как будет'!$A$45:$A$52,Доп.расчеты!$A240,'Как будет'!FA$45:FA$52)</f>
        <v>0</v>
      </c>
      <c r="FA240">
        <f>SUMIF('Как будет'!$A$45:$A$52,Доп.расчеты!$A240,'Как будет'!FB$45:FB$52)</f>
        <v>0</v>
      </c>
      <c r="FB240">
        <f>SUMIF('Как будет'!$A$45:$A$52,Доп.расчеты!$A240,'Как будет'!FC$45:FC$52)</f>
        <v>0</v>
      </c>
      <c r="FC240">
        <f>SUMIF('Как будет'!$A$45:$A$52,Доп.расчеты!$A240,'Как будет'!FD$45:FD$52)</f>
        <v>0</v>
      </c>
      <c r="FD240">
        <f>SUMIF('Как будет'!$A$45:$A$52,Доп.расчеты!$A240,'Как будет'!FE$45:FE$52)</f>
        <v>0</v>
      </c>
      <c r="FE240">
        <f>SUMIF('Как будет'!$A$45:$A$52,Доп.расчеты!$A240,'Как будет'!FF$45:FF$52)</f>
        <v>0</v>
      </c>
      <c r="FF240">
        <f>SUMIF('Как будет'!$A$45:$A$52,Доп.расчеты!$A240,'Как будет'!FG$45:FG$52)</f>
        <v>0</v>
      </c>
      <c r="FG240">
        <f>SUMIF('Как будет'!$A$45:$A$52,Доп.расчеты!$A240,'Как будет'!FH$45:FH$52)</f>
        <v>0</v>
      </c>
      <c r="FH240">
        <f>SUMIF('Как будет'!$A$45:$A$52,Доп.расчеты!$A240,'Как будет'!FI$45:FI$52)</f>
        <v>0</v>
      </c>
      <c r="FI240">
        <f>SUMIF('Как будет'!$A$45:$A$52,Доп.расчеты!$A240,'Как будет'!FJ$45:FJ$52)</f>
        <v>0</v>
      </c>
      <c r="FJ240">
        <f>SUMIF('Как будет'!$A$45:$A$52,Доп.расчеты!$A240,'Как будет'!FK$45:FK$52)</f>
        <v>0</v>
      </c>
      <c r="FK240">
        <f>SUMIF('Как будет'!$A$45:$A$52,Доп.расчеты!$A240,'Как будет'!FL$45:FL$52)</f>
        <v>0</v>
      </c>
      <c r="FL240">
        <f>SUMIF('Как будет'!$A$45:$A$52,Доп.расчеты!$A240,'Как будет'!FM$45:FM$52)</f>
        <v>0</v>
      </c>
      <c r="FM240">
        <f>SUMIF('Как будет'!$A$45:$A$52,Доп.расчеты!$A240,'Как будет'!FN$45:FN$52)</f>
        <v>0</v>
      </c>
      <c r="FN240">
        <f>SUMIF('Как будет'!$A$45:$A$52,Доп.расчеты!$A240,'Как будет'!FO$45:FO$52)</f>
        <v>0</v>
      </c>
      <c r="FO240">
        <f>SUMIF('Как будет'!$A$45:$A$52,Доп.расчеты!$A240,'Как будет'!FP$45:FP$52)</f>
        <v>0</v>
      </c>
      <c r="FP240">
        <f>SUMIF('Как будет'!$A$45:$A$52,Доп.расчеты!$A240,'Как будет'!FQ$45:FQ$52)</f>
        <v>0</v>
      </c>
      <c r="FQ240">
        <f>SUMIF('Как будет'!$A$45:$A$52,Доп.расчеты!$A240,'Как будет'!FR$45:FR$52)</f>
        <v>0</v>
      </c>
      <c r="FR240">
        <f>SUMIF('Как будет'!$A$45:$A$52,Доп.расчеты!$A240,'Как будет'!FS$45:FS$52)</f>
        <v>0</v>
      </c>
      <c r="FS240">
        <f>SUMIF('Как будет'!$A$45:$A$52,Доп.расчеты!$A240,'Как будет'!FT$45:FT$52)</f>
        <v>0</v>
      </c>
      <c r="FT240">
        <f>SUMIF('Как будет'!$A$45:$A$52,Доп.расчеты!$A240,'Как будет'!FU$45:FU$52)</f>
        <v>0</v>
      </c>
      <c r="FU240">
        <f>SUMIF('Как будет'!$A$45:$A$52,Доп.расчеты!$A240,'Как будет'!FV$45:FV$52)</f>
        <v>0</v>
      </c>
      <c r="FV240">
        <f>SUMIF('Как будет'!$A$45:$A$52,Доп.расчеты!$A240,'Как будет'!FW$45:FW$52)</f>
        <v>0</v>
      </c>
      <c r="FW240">
        <f>SUMIF('Как будет'!$A$45:$A$52,Доп.расчеты!$A240,'Как будет'!FX$45:FX$52)</f>
        <v>0</v>
      </c>
      <c r="FX240">
        <f>SUMIF('Как будет'!$A$45:$A$52,Доп.расчеты!$A240,'Как будет'!FY$45:FY$52)</f>
        <v>0</v>
      </c>
      <c r="FY240">
        <f>SUMIF('Как будет'!$A$45:$A$52,Доп.расчеты!$A240,'Как будет'!FZ$45:FZ$52)</f>
        <v>0</v>
      </c>
      <c r="FZ240">
        <f>SUMIF('Как будет'!$A$45:$A$52,Доп.расчеты!$A240,'Как будет'!GA$45:GA$52)</f>
        <v>0</v>
      </c>
      <c r="GA240">
        <f>SUMIF('Как будет'!$A$45:$A$52,Доп.расчеты!$A240,'Как будет'!GB$45:GB$52)</f>
        <v>0</v>
      </c>
      <c r="GB240">
        <f>SUMIF('Как будет'!$A$45:$A$52,Доп.расчеты!$A240,'Как будет'!GC$45:GC$52)</f>
        <v>0</v>
      </c>
      <c r="GC240">
        <f>SUMIF('Как будет'!$A$45:$A$52,Доп.расчеты!$A240,'Как будет'!GD$45:GD$52)</f>
        <v>0</v>
      </c>
      <c r="GD240">
        <f>SUMIF('Как будет'!$A$45:$A$52,Доп.расчеты!$A240,'Как будет'!GE$45:GE$52)</f>
        <v>0</v>
      </c>
      <c r="GE240">
        <f>SUMIF('Как будет'!$A$45:$A$52,Доп.расчеты!$A240,'Как будет'!GF$45:GF$52)</f>
        <v>0</v>
      </c>
      <c r="GF240">
        <f>SUMIF('Как будет'!$A$45:$A$52,Доп.расчеты!$A240,'Как будет'!GG$45:GG$52)</f>
        <v>0</v>
      </c>
      <c r="GG240">
        <f>SUMIF('Как будет'!$A$45:$A$52,Доп.расчеты!$A240,'Как будет'!GH$45:GH$52)</f>
        <v>0</v>
      </c>
      <c r="GH240">
        <f>SUMIF('Как будет'!$A$45:$A$52,Доп.расчеты!$A240,'Как будет'!GI$45:GI$52)</f>
        <v>0</v>
      </c>
      <c r="GI240">
        <f>SUMIF('Как будет'!$A$45:$A$52,Доп.расчеты!$A240,'Как будет'!GJ$45:GJ$52)</f>
        <v>0</v>
      </c>
      <c r="GJ240">
        <f>SUMIF('Как будет'!$A$45:$A$52,Доп.расчеты!$A240,'Как будет'!GK$45:GK$52)</f>
        <v>0</v>
      </c>
      <c r="GK240">
        <f>SUMIF('Как будет'!$A$45:$A$52,Доп.расчеты!$A240,'Как будет'!GL$45:GL$52)</f>
        <v>0</v>
      </c>
      <c r="GL240">
        <f>SUMIF('Как будет'!$A$45:$A$52,Доп.расчеты!$A240,'Как будет'!GM$45:GM$52)</f>
        <v>0</v>
      </c>
      <c r="GM240">
        <f>SUMIF('Как будет'!$A$45:$A$52,Доп.расчеты!$A240,'Как будет'!GN$45:GN$52)</f>
        <v>0</v>
      </c>
      <c r="GN240">
        <f>SUMIF('Как будет'!$A$45:$A$52,Доп.расчеты!$A240,'Как будет'!GO$45:GO$52)</f>
        <v>0</v>
      </c>
      <c r="GO240">
        <f>SUMIF('Как будет'!$A$45:$A$52,Доп.расчеты!$A240,'Как будет'!GP$45:GP$52)</f>
        <v>0</v>
      </c>
      <c r="GP240">
        <f>SUMIF('Как будет'!$A$45:$A$52,Доп.расчеты!$A240,'Как будет'!GQ$45:GQ$52)</f>
        <v>0</v>
      </c>
      <c r="GQ240">
        <f>SUMIF('Как будет'!$A$45:$A$52,Доп.расчеты!$A240,'Как будет'!GR$45:GR$52)</f>
        <v>0</v>
      </c>
      <c r="GR240">
        <f>SUMIF('Как будет'!$A$45:$A$52,Доп.расчеты!$A240,'Как будет'!GS$45:GS$52)</f>
        <v>0</v>
      </c>
      <c r="GS240">
        <f>SUMIF('Как будет'!$A$45:$A$52,Доп.расчеты!$A240,'Как будет'!GT$45:GT$52)</f>
        <v>0</v>
      </c>
      <c r="GT240">
        <f>SUMIF('Как будет'!$A$45:$A$52,Доп.расчеты!$A240,'Как будет'!GU$45:GU$52)</f>
        <v>0</v>
      </c>
    </row>
    <row r="241" spans="1:202">
      <c r="A241" s="238" t="s">
        <v>90</v>
      </c>
      <c r="B241">
        <f>SUMIF('Как будет'!$A$45:$A$52,Доп.расчеты!$A241,'Как будет'!C$45:C$52)</f>
        <v>0</v>
      </c>
      <c r="C241">
        <f>SUMIF('Как будет'!$A$45:$A$52,Доп.расчеты!$A241,'Как будет'!D$45:D$52)</f>
        <v>0</v>
      </c>
      <c r="D241">
        <f>SUMIF('Как будет'!$A$45:$A$52,Доп.расчеты!$A241,'Как будет'!E$45:E$52)</f>
        <v>0</v>
      </c>
      <c r="E241">
        <f>SUMIF('Как будет'!$A$45:$A$52,Доп.расчеты!$A241,'Как будет'!F$45:F$52)</f>
        <v>0</v>
      </c>
      <c r="F241">
        <f>SUMIF('Как будет'!$A$45:$A$52,Доп.расчеты!$A241,'Как будет'!G$45:G$52)</f>
        <v>0</v>
      </c>
      <c r="G241">
        <f>SUMIF('Как будет'!$A$45:$A$52,Доп.расчеты!$A241,'Как будет'!H$45:H$52)</f>
        <v>0</v>
      </c>
      <c r="H241">
        <f>SUMIF('Как будет'!$A$45:$A$52,Доп.расчеты!$A241,'Как будет'!I$45:I$52)</f>
        <v>0</v>
      </c>
      <c r="I241">
        <f>SUMIF('Как будет'!$A$45:$A$52,Доп.расчеты!$A241,'Как будет'!J$45:J$52)</f>
        <v>0</v>
      </c>
      <c r="J241">
        <f>SUMIF('Как будет'!$A$45:$A$52,Доп.расчеты!$A241,'Как будет'!K$45:K$52)</f>
        <v>0</v>
      </c>
      <c r="K241">
        <f>SUMIF('Как будет'!$A$45:$A$52,Доп.расчеты!$A241,'Как будет'!L$45:L$52)</f>
        <v>0</v>
      </c>
      <c r="L241">
        <f>SUMIF('Как будет'!$A$45:$A$52,Доп.расчеты!$A241,'Как будет'!M$45:M$52)</f>
        <v>0</v>
      </c>
      <c r="M241">
        <f>SUMIF('Как будет'!$A$45:$A$52,Доп.расчеты!$A241,'Как будет'!N$45:N$52)</f>
        <v>0</v>
      </c>
      <c r="N241">
        <f>SUMIF('Как будет'!$A$45:$A$52,Доп.расчеты!$A241,'Как будет'!O$45:O$52)</f>
        <v>0</v>
      </c>
      <c r="O241">
        <f>SUMIF('Как будет'!$A$45:$A$52,Доп.расчеты!$A241,'Как будет'!P$45:P$52)</f>
        <v>0</v>
      </c>
      <c r="P241">
        <f>SUMIF('Как будет'!$A$45:$A$52,Доп.расчеты!$A241,'Как будет'!Q$45:Q$52)</f>
        <v>0</v>
      </c>
      <c r="Q241">
        <f>SUMIF('Как будет'!$A$45:$A$52,Доп.расчеты!$A241,'Как будет'!R$45:R$52)</f>
        <v>0</v>
      </c>
      <c r="R241">
        <f>SUMIF('Как будет'!$A$45:$A$52,Доп.расчеты!$A241,'Как будет'!S$45:S$52)</f>
        <v>0</v>
      </c>
      <c r="S241">
        <f>SUMIF('Как будет'!$A$45:$A$52,Доп.расчеты!$A241,'Как будет'!T$45:T$52)</f>
        <v>0</v>
      </c>
      <c r="T241">
        <f>SUMIF('Как будет'!$A$45:$A$52,Доп.расчеты!$A241,'Как будет'!U$45:U$52)</f>
        <v>0</v>
      </c>
      <c r="U241">
        <f>SUMIF('Как будет'!$A$45:$A$52,Доп.расчеты!$A241,'Как будет'!V$45:V$52)</f>
        <v>0</v>
      </c>
      <c r="V241">
        <f>SUMIF('Как будет'!$A$45:$A$52,Доп.расчеты!$A241,'Как будет'!W$45:W$52)</f>
        <v>0</v>
      </c>
      <c r="W241">
        <f>SUMIF('Как будет'!$A$45:$A$52,Доп.расчеты!$A241,'Как будет'!X$45:X$52)</f>
        <v>0</v>
      </c>
      <c r="X241">
        <f>SUMIF('Как будет'!$A$45:$A$52,Доп.расчеты!$A241,'Как будет'!Y$45:Y$52)</f>
        <v>0</v>
      </c>
      <c r="Y241">
        <f>SUMIF('Как будет'!$A$45:$A$52,Доп.расчеты!$A241,'Как будет'!Z$45:Z$52)</f>
        <v>0</v>
      </c>
      <c r="Z241">
        <f>SUMIF('Как будет'!$A$45:$A$52,Доп.расчеты!$A241,'Как будет'!AA$45:AA$52)</f>
        <v>0</v>
      </c>
      <c r="AA241">
        <f>SUMIF('Как будет'!$A$45:$A$52,Доп.расчеты!$A241,'Как будет'!AB$45:AB$52)</f>
        <v>0</v>
      </c>
      <c r="AB241">
        <f>SUMIF('Как будет'!$A$45:$A$52,Доп.расчеты!$A241,'Как будет'!AC$45:AC$52)</f>
        <v>0</v>
      </c>
      <c r="AC241">
        <f>SUMIF('Как будет'!$A$45:$A$52,Доп.расчеты!$A241,'Как будет'!AD$45:AD$52)</f>
        <v>0</v>
      </c>
      <c r="AD241">
        <f>SUMIF('Как будет'!$A$45:$A$52,Доп.расчеты!$A241,'Как будет'!AE$45:AE$52)</f>
        <v>0</v>
      </c>
      <c r="AE241">
        <f>SUMIF('Как будет'!$A$45:$A$52,Доп.расчеты!$A241,'Как будет'!AF$45:AF$52)</f>
        <v>0</v>
      </c>
      <c r="AF241">
        <f>SUMIF('Как будет'!$A$45:$A$52,Доп.расчеты!$A241,'Как будет'!AG$45:AG$52)</f>
        <v>0</v>
      </c>
      <c r="AG241">
        <f>SUMIF('Как будет'!$A$45:$A$52,Доп.расчеты!$A241,'Как будет'!AH$45:AH$52)</f>
        <v>0</v>
      </c>
      <c r="AH241">
        <f>SUMIF('Как будет'!$A$45:$A$52,Доп.расчеты!$A241,'Как будет'!AI$45:AI$52)</f>
        <v>0</v>
      </c>
      <c r="AI241">
        <f>SUMIF('Как будет'!$A$45:$A$52,Доп.расчеты!$A241,'Как будет'!AJ$45:AJ$52)</f>
        <v>0</v>
      </c>
      <c r="AJ241">
        <f>SUMIF('Как будет'!$A$45:$A$52,Доп.расчеты!$A241,'Как будет'!AK$45:AK$52)</f>
        <v>0</v>
      </c>
      <c r="AK241">
        <f>SUMIF('Как будет'!$A$45:$A$52,Доп.расчеты!$A241,'Как будет'!AL$45:AL$52)</f>
        <v>0</v>
      </c>
      <c r="AL241">
        <f>SUMIF('Как будет'!$A$45:$A$52,Доп.расчеты!$A241,'Как будет'!AM$45:AM$52)</f>
        <v>0</v>
      </c>
      <c r="AM241">
        <f>SUMIF('Как будет'!$A$45:$A$52,Доп.расчеты!$A241,'Как будет'!AN$45:AN$52)</f>
        <v>0</v>
      </c>
      <c r="AN241">
        <f>SUMIF('Как будет'!$A$45:$A$52,Доп.расчеты!$A241,'Как будет'!AO$45:AO$52)</f>
        <v>0</v>
      </c>
      <c r="AO241">
        <f>SUMIF('Как будет'!$A$45:$A$52,Доп.расчеты!$A241,'Как будет'!AP$45:AP$52)</f>
        <v>0</v>
      </c>
      <c r="AP241">
        <f>SUMIF('Как будет'!$A$45:$A$52,Доп.расчеты!$A241,'Как будет'!AQ$45:AQ$52)</f>
        <v>0</v>
      </c>
      <c r="AQ241">
        <f>SUMIF('Как будет'!$A$45:$A$52,Доп.расчеты!$A241,'Как будет'!AR$45:AR$52)</f>
        <v>0</v>
      </c>
      <c r="AR241">
        <f>SUMIF('Как будет'!$A$45:$A$52,Доп.расчеты!$A241,'Как будет'!AS$45:AS$52)</f>
        <v>0</v>
      </c>
      <c r="AS241">
        <f>SUMIF('Как будет'!$A$45:$A$52,Доп.расчеты!$A241,'Как будет'!AT$45:AT$52)</f>
        <v>0</v>
      </c>
      <c r="AT241">
        <f>SUMIF('Как будет'!$A$45:$A$52,Доп.расчеты!$A241,'Как будет'!AU$45:AU$52)</f>
        <v>0</v>
      </c>
      <c r="AU241">
        <f>SUMIF('Как будет'!$A$45:$A$52,Доп.расчеты!$A241,'Как будет'!AV$45:AV$52)</f>
        <v>0</v>
      </c>
      <c r="AV241">
        <f>SUMIF('Как будет'!$A$45:$A$52,Доп.расчеты!$A241,'Как будет'!AW$45:AW$52)</f>
        <v>0</v>
      </c>
      <c r="AW241">
        <f>SUMIF('Как будет'!$A$45:$A$52,Доп.расчеты!$A241,'Как будет'!AX$45:AX$52)</f>
        <v>0</v>
      </c>
      <c r="AX241">
        <f>SUMIF('Как будет'!$A$45:$A$52,Доп.расчеты!$A241,'Как будет'!AY$45:AY$52)</f>
        <v>0</v>
      </c>
      <c r="AY241">
        <f>SUMIF('Как будет'!$A$45:$A$52,Доп.расчеты!$A241,'Как будет'!AZ$45:AZ$52)</f>
        <v>0</v>
      </c>
      <c r="AZ241">
        <f>SUMIF('Как будет'!$A$45:$A$52,Доп.расчеты!$A241,'Как будет'!BA$45:BA$52)</f>
        <v>0</v>
      </c>
      <c r="BA241">
        <f>SUMIF('Как будет'!$A$45:$A$52,Доп.расчеты!$A241,'Как будет'!BB$45:BB$52)</f>
        <v>0</v>
      </c>
      <c r="BB241">
        <f>SUMIF('Как будет'!$A$45:$A$52,Доп.расчеты!$A241,'Как будет'!BC$45:BC$52)</f>
        <v>0</v>
      </c>
      <c r="BC241">
        <f>SUMIF('Как будет'!$A$45:$A$52,Доп.расчеты!$A241,'Как будет'!BD$45:BD$52)</f>
        <v>0</v>
      </c>
      <c r="BD241">
        <f>SUMIF('Как будет'!$A$45:$A$52,Доп.расчеты!$A241,'Как будет'!BE$45:BE$52)</f>
        <v>0</v>
      </c>
      <c r="BE241">
        <f>SUMIF('Как будет'!$A$45:$A$52,Доп.расчеты!$A241,'Как будет'!BF$45:BF$52)</f>
        <v>0</v>
      </c>
      <c r="BF241">
        <f>SUMIF('Как будет'!$A$45:$A$52,Доп.расчеты!$A241,'Как будет'!BG$45:BG$52)</f>
        <v>0</v>
      </c>
      <c r="BG241">
        <f>SUMIF('Как будет'!$A$45:$A$52,Доп.расчеты!$A241,'Как будет'!BH$45:BH$52)</f>
        <v>0</v>
      </c>
      <c r="BH241">
        <f>SUMIF('Как будет'!$A$45:$A$52,Доп.расчеты!$A241,'Как будет'!BI$45:BI$52)</f>
        <v>0</v>
      </c>
      <c r="BI241">
        <f>SUMIF('Как будет'!$A$45:$A$52,Доп.расчеты!$A241,'Как будет'!BJ$45:BJ$52)</f>
        <v>0</v>
      </c>
      <c r="BJ241">
        <f>SUMIF('Как будет'!$A$45:$A$52,Доп.расчеты!$A241,'Как будет'!BK$45:BK$52)</f>
        <v>0</v>
      </c>
      <c r="BK241">
        <f>SUMIF('Как будет'!$A$45:$A$52,Доп.расчеты!$A241,'Как будет'!BL$45:BL$52)</f>
        <v>0</v>
      </c>
      <c r="BL241">
        <f>SUMIF('Как будет'!$A$45:$A$52,Доп.расчеты!$A241,'Как будет'!BM$45:BM$52)</f>
        <v>0</v>
      </c>
      <c r="BM241">
        <f>SUMIF('Как будет'!$A$45:$A$52,Доп.расчеты!$A241,'Как будет'!BN$45:BN$52)</f>
        <v>0</v>
      </c>
      <c r="BN241">
        <f>SUMIF('Как будет'!$A$45:$A$52,Доп.расчеты!$A241,'Как будет'!BO$45:BO$52)</f>
        <v>0</v>
      </c>
      <c r="BO241">
        <f>SUMIF('Как будет'!$A$45:$A$52,Доп.расчеты!$A241,'Как будет'!BP$45:BP$52)</f>
        <v>0</v>
      </c>
      <c r="BP241">
        <f>SUMIF('Как будет'!$A$45:$A$52,Доп.расчеты!$A241,'Как будет'!BQ$45:BQ$52)</f>
        <v>0</v>
      </c>
      <c r="BQ241">
        <f>SUMIF('Как будет'!$A$45:$A$52,Доп.расчеты!$A241,'Как будет'!BR$45:BR$52)</f>
        <v>0</v>
      </c>
      <c r="BR241">
        <f>SUMIF('Как будет'!$A$45:$A$52,Доп.расчеты!$A241,'Как будет'!BS$45:BS$52)</f>
        <v>0</v>
      </c>
      <c r="BS241">
        <f>SUMIF('Как будет'!$A$45:$A$52,Доп.расчеты!$A241,'Как будет'!BT$45:BT$52)</f>
        <v>0</v>
      </c>
      <c r="BT241">
        <f>SUMIF('Как будет'!$A$45:$A$52,Доп.расчеты!$A241,'Как будет'!BU$45:BU$52)</f>
        <v>0</v>
      </c>
      <c r="BU241">
        <f>SUMIF('Как будет'!$A$45:$A$52,Доп.расчеты!$A241,'Как будет'!BV$45:BV$52)</f>
        <v>0</v>
      </c>
      <c r="BV241">
        <f>SUMIF('Как будет'!$A$45:$A$52,Доп.расчеты!$A241,'Как будет'!BW$45:BW$52)</f>
        <v>0</v>
      </c>
      <c r="BW241">
        <f>SUMIF('Как будет'!$A$45:$A$52,Доп.расчеты!$A241,'Как будет'!BX$45:BX$52)</f>
        <v>0</v>
      </c>
      <c r="BX241">
        <f>SUMIF('Как будет'!$A$45:$A$52,Доп.расчеты!$A241,'Как будет'!BY$45:BY$52)</f>
        <v>0</v>
      </c>
      <c r="BY241">
        <f>SUMIF('Как будет'!$A$45:$A$52,Доп.расчеты!$A241,'Как будет'!BZ$45:BZ$52)</f>
        <v>0</v>
      </c>
      <c r="BZ241">
        <f>SUMIF('Как будет'!$A$45:$A$52,Доп.расчеты!$A241,'Как будет'!CA$45:CA$52)</f>
        <v>0</v>
      </c>
      <c r="CA241">
        <f>SUMIF('Как будет'!$A$45:$A$52,Доп.расчеты!$A241,'Как будет'!CB$45:CB$52)</f>
        <v>0</v>
      </c>
      <c r="CB241">
        <f>SUMIF('Как будет'!$A$45:$A$52,Доп.расчеты!$A241,'Как будет'!CC$45:CC$52)</f>
        <v>0</v>
      </c>
      <c r="CC241">
        <f>SUMIF('Как будет'!$A$45:$A$52,Доп.расчеты!$A241,'Как будет'!CD$45:CD$52)</f>
        <v>0</v>
      </c>
      <c r="CD241">
        <f>SUMIF('Как будет'!$A$45:$A$52,Доп.расчеты!$A241,'Как будет'!CE$45:CE$52)</f>
        <v>0</v>
      </c>
      <c r="CE241">
        <f>SUMIF('Как будет'!$A$45:$A$52,Доп.расчеты!$A241,'Как будет'!CF$45:CF$52)</f>
        <v>0</v>
      </c>
      <c r="CF241">
        <f>SUMIF('Как будет'!$A$45:$A$52,Доп.расчеты!$A241,'Как будет'!CG$45:CG$52)</f>
        <v>0</v>
      </c>
      <c r="CG241">
        <f>SUMIF('Как будет'!$A$45:$A$52,Доп.расчеты!$A241,'Как будет'!CH$45:CH$52)</f>
        <v>0</v>
      </c>
      <c r="CH241">
        <f>SUMIF('Как будет'!$A$45:$A$52,Доп.расчеты!$A241,'Как будет'!CI$45:CI$52)</f>
        <v>0</v>
      </c>
      <c r="CI241">
        <f>SUMIF('Как будет'!$A$45:$A$52,Доп.расчеты!$A241,'Как будет'!CJ$45:CJ$52)</f>
        <v>0</v>
      </c>
      <c r="CJ241">
        <f>SUMIF('Как будет'!$A$45:$A$52,Доп.расчеты!$A241,'Как будет'!CK$45:CK$52)</f>
        <v>0</v>
      </c>
      <c r="CK241">
        <f>SUMIF('Как будет'!$A$45:$A$52,Доп.расчеты!$A241,'Как будет'!CL$45:CL$52)</f>
        <v>0</v>
      </c>
      <c r="CL241">
        <f>SUMIF('Как будет'!$A$45:$A$52,Доп.расчеты!$A241,'Как будет'!CM$45:CM$52)</f>
        <v>0</v>
      </c>
      <c r="CM241">
        <f>SUMIF('Как будет'!$A$45:$A$52,Доп.расчеты!$A241,'Как будет'!CN$45:CN$52)</f>
        <v>0</v>
      </c>
      <c r="CN241">
        <f>SUMIF('Как будет'!$A$45:$A$52,Доп.расчеты!$A241,'Как будет'!CO$45:CO$52)</f>
        <v>0</v>
      </c>
      <c r="CO241">
        <f>SUMIF('Как будет'!$A$45:$A$52,Доп.расчеты!$A241,'Как будет'!CP$45:CP$52)</f>
        <v>0</v>
      </c>
      <c r="CP241">
        <f>SUMIF('Как будет'!$A$45:$A$52,Доп.расчеты!$A241,'Как будет'!CQ$45:CQ$52)</f>
        <v>0</v>
      </c>
      <c r="CQ241">
        <f>SUMIF('Как будет'!$A$45:$A$52,Доп.расчеты!$A241,'Как будет'!CR$45:CR$52)</f>
        <v>0</v>
      </c>
      <c r="CR241">
        <f>SUMIF('Как будет'!$A$45:$A$52,Доп.расчеты!$A241,'Как будет'!CS$45:CS$52)</f>
        <v>0</v>
      </c>
      <c r="CS241">
        <f>SUMIF('Как будет'!$A$45:$A$52,Доп.расчеты!$A241,'Как будет'!CT$45:CT$52)</f>
        <v>0</v>
      </c>
      <c r="CT241">
        <f>SUMIF('Как будет'!$A$45:$A$52,Доп.расчеты!$A241,'Как будет'!CU$45:CU$52)</f>
        <v>0</v>
      </c>
      <c r="CU241">
        <f>SUMIF('Как будет'!$A$45:$A$52,Доп.расчеты!$A241,'Как будет'!CV$45:CV$52)</f>
        <v>0</v>
      </c>
      <c r="CV241">
        <f>SUMIF('Как будет'!$A$45:$A$52,Доп.расчеты!$A241,'Как будет'!CW$45:CW$52)</f>
        <v>0</v>
      </c>
      <c r="CW241">
        <f>SUMIF('Как будет'!$A$45:$A$52,Доп.расчеты!$A241,'Как будет'!CX$45:CX$52)</f>
        <v>0</v>
      </c>
      <c r="CX241">
        <f>SUMIF('Как будет'!$A$45:$A$52,Доп.расчеты!$A241,'Как будет'!CY$45:CY$52)</f>
        <v>0</v>
      </c>
      <c r="CY241">
        <f>SUMIF('Как будет'!$A$45:$A$52,Доп.расчеты!$A241,'Как будет'!CZ$45:CZ$52)</f>
        <v>0</v>
      </c>
      <c r="CZ241">
        <f>SUMIF('Как будет'!$A$45:$A$52,Доп.расчеты!$A241,'Как будет'!DA$45:DA$52)</f>
        <v>0</v>
      </c>
      <c r="DA241">
        <f>SUMIF('Как будет'!$A$45:$A$52,Доп.расчеты!$A241,'Как будет'!DB$45:DB$52)</f>
        <v>0</v>
      </c>
      <c r="DB241">
        <f>SUMIF('Как будет'!$A$45:$A$52,Доп.расчеты!$A241,'Как будет'!DC$45:DC$52)</f>
        <v>0</v>
      </c>
      <c r="DC241">
        <f>SUMIF('Как будет'!$A$45:$A$52,Доп.расчеты!$A241,'Как будет'!DD$45:DD$52)</f>
        <v>0</v>
      </c>
      <c r="DD241">
        <f>SUMIF('Как будет'!$A$45:$A$52,Доп.расчеты!$A241,'Как будет'!DE$45:DE$52)</f>
        <v>0</v>
      </c>
      <c r="DE241">
        <f>SUMIF('Как будет'!$A$45:$A$52,Доп.расчеты!$A241,'Как будет'!DF$45:DF$52)</f>
        <v>0</v>
      </c>
      <c r="DF241">
        <f>SUMIF('Как будет'!$A$45:$A$52,Доп.расчеты!$A241,'Как будет'!DG$45:DG$52)</f>
        <v>0</v>
      </c>
      <c r="DG241">
        <f>SUMIF('Как будет'!$A$45:$A$52,Доп.расчеты!$A241,'Как будет'!DH$45:DH$52)</f>
        <v>0</v>
      </c>
      <c r="DH241">
        <f>SUMIF('Как будет'!$A$45:$A$52,Доп.расчеты!$A241,'Как будет'!DI$45:DI$52)</f>
        <v>0</v>
      </c>
      <c r="DI241">
        <f>SUMIF('Как будет'!$A$45:$A$52,Доп.расчеты!$A241,'Как будет'!DJ$45:DJ$52)</f>
        <v>0</v>
      </c>
      <c r="DJ241">
        <f>SUMIF('Как будет'!$A$45:$A$52,Доп.расчеты!$A241,'Как будет'!DK$45:DK$52)</f>
        <v>0</v>
      </c>
      <c r="DK241">
        <f>SUMIF('Как будет'!$A$45:$A$52,Доп.расчеты!$A241,'Как будет'!DL$45:DL$52)</f>
        <v>0</v>
      </c>
      <c r="DL241">
        <f>SUMIF('Как будет'!$A$45:$A$52,Доп.расчеты!$A241,'Как будет'!DM$45:DM$52)</f>
        <v>0</v>
      </c>
      <c r="DM241">
        <f>SUMIF('Как будет'!$A$45:$A$52,Доп.расчеты!$A241,'Как будет'!DN$45:DN$52)</f>
        <v>0</v>
      </c>
      <c r="DN241">
        <f>SUMIF('Как будет'!$A$45:$A$52,Доп.расчеты!$A241,'Как будет'!DO$45:DO$52)</f>
        <v>0</v>
      </c>
      <c r="DO241">
        <f>SUMIF('Как будет'!$A$45:$A$52,Доп.расчеты!$A241,'Как будет'!DP$45:DP$52)</f>
        <v>0</v>
      </c>
      <c r="DP241">
        <f>SUMIF('Как будет'!$A$45:$A$52,Доп.расчеты!$A241,'Как будет'!DQ$45:DQ$52)</f>
        <v>0</v>
      </c>
      <c r="DQ241">
        <f>SUMIF('Как будет'!$A$45:$A$52,Доп.расчеты!$A241,'Как будет'!DR$45:DR$52)</f>
        <v>0</v>
      </c>
      <c r="DR241">
        <f>SUMIF('Как будет'!$A$45:$A$52,Доп.расчеты!$A241,'Как будет'!DS$45:DS$52)</f>
        <v>0</v>
      </c>
      <c r="DS241">
        <f>SUMIF('Как будет'!$A$45:$A$52,Доп.расчеты!$A241,'Как будет'!DT$45:DT$52)</f>
        <v>0</v>
      </c>
      <c r="DT241">
        <f>SUMIF('Как будет'!$A$45:$A$52,Доп.расчеты!$A241,'Как будет'!DU$45:DU$52)</f>
        <v>0</v>
      </c>
      <c r="DU241">
        <f>SUMIF('Как будет'!$A$45:$A$52,Доп.расчеты!$A241,'Как будет'!DV$45:DV$52)</f>
        <v>0</v>
      </c>
      <c r="DV241">
        <f>SUMIF('Как будет'!$A$45:$A$52,Доп.расчеты!$A241,'Как будет'!DW$45:DW$52)</f>
        <v>0</v>
      </c>
      <c r="DW241">
        <f>SUMIF('Как будет'!$A$45:$A$52,Доп.расчеты!$A241,'Как будет'!DX$45:DX$52)</f>
        <v>0</v>
      </c>
      <c r="DX241">
        <f>SUMIF('Как будет'!$A$45:$A$52,Доп.расчеты!$A241,'Как будет'!DY$45:DY$52)</f>
        <v>0</v>
      </c>
      <c r="DY241">
        <f>SUMIF('Как будет'!$A$45:$A$52,Доп.расчеты!$A241,'Как будет'!DZ$45:DZ$52)</f>
        <v>0</v>
      </c>
      <c r="DZ241">
        <f>SUMIF('Как будет'!$A$45:$A$52,Доп.расчеты!$A241,'Как будет'!EA$45:EA$52)</f>
        <v>0</v>
      </c>
      <c r="EA241">
        <f>SUMIF('Как будет'!$A$45:$A$52,Доп.расчеты!$A241,'Как будет'!EB$45:EB$52)</f>
        <v>0</v>
      </c>
      <c r="EB241">
        <f>SUMIF('Как будет'!$A$45:$A$52,Доп.расчеты!$A241,'Как будет'!EC$45:EC$52)</f>
        <v>0</v>
      </c>
      <c r="EC241">
        <f>SUMIF('Как будет'!$A$45:$A$52,Доп.расчеты!$A241,'Как будет'!ED$45:ED$52)</f>
        <v>0</v>
      </c>
      <c r="ED241">
        <f>SUMIF('Как будет'!$A$45:$A$52,Доп.расчеты!$A241,'Как будет'!EE$45:EE$52)</f>
        <v>0</v>
      </c>
      <c r="EE241">
        <f>SUMIF('Как будет'!$A$45:$A$52,Доп.расчеты!$A241,'Как будет'!EF$45:EF$52)</f>
        <v>0</v>
      </c>
      <c r="EF241">
        <f>SUMIF('Как будет'!$A$45:$A$52,Доп.расчеты!$A241,'Как будет'!EG$45:EG$52)</f>
        <v>0</v>
      </c>
      <c r="EG241">
        <f>SUMIF('Как будет'!$A$45:$A$52,Доп.расчеты!$A241,'Как будет'!EH$45:EH$52)</f>
        <v>0</v>
      </c>
      <c r="EH241">
        <f>SUMIF('Как будет'!$A$45:$A$52,Доп.расчеты!$A241,'Как будет'!EI$45:EI$52)</f>
        <v>0</v>
      </c>
      <c r="EI241">
        <f>SUMIF('Как будет'!$A$45:$A$52,Доп.расчеты!$A241,'Как будет'!EJ$45:EJ$52)</f>
        <v>0</v>
      </c>
      <c r="EJ241">
        <f>SUMIF('Как будет'!$A$45:$A$52,Доп.расчеты!$A241,'Как будет'!EK$45:EK$52)</f>
        <v>0</v>
      </c>
      <c r="EK241">
        <f>SUMIF('Как будет'!$A$45:$A$52,Доп.расчеты!$A241,'Как будет'!EL$45:EL$52)</f>
        <v>0</v>
      </c>
      <c r="EL241">
        <f>SUMIF('Как будет'!$A$45:$A$52,Доп.расчеты!$A241,'Как будет'!EM$45:EM$52)</f>
        <v>0</v>
      </c>
      <c r="EM241">
        <f>SUMIF('Как будет'!$A$45:$A$52,Доп.расчеты!$A241,'Как будет'!EN$45:EN$52)</f>
        <v>0</v>
      </c>
      <c r="EN241">
        <f>SUMIF('Как будет'!$A$45:$A$52,Доп.расчеты!$A241,'Как будет'!EO$45:EO$52)</f>
        <v>0</v>
      </c>
      <c r="EO241">
        <f>SUMIF('Как будет'!$A$45:$A$52,Доп.расчеты!$A241,'Как будет'!EP$45:EP$52)</f>
        <v>0</v>
      </c>
      <c r="EP241">
        <f>SUMIF('Как будет'!$A$45:$A$52,Доп.расчеты!$A241,'Как будет'!EQ$45:EQ$52)</f>
        <v>0</v>
      </c>
      <c r="EQ241">
        <f>SUMIF('Как будет'!$A$45:$A$52,Доп.расчеты!$A241,'Как будет'!ER$45:ER$52)</f>
        <v>0</v>
      </c>
      <c r="ER241">
        <f>SUMIF('Как будет'!$A$45:$A$52,Доп.расчеты!$A241,'Как будет'!ES$45:ES$52)</f>
        <v>0</v>
      </c>
      <c r="ES241">
        <f>SUMIF('Как будет'!$A$45:$A$52,Доп.расчеты!$A241,'Как будет'!ET$45:ET$52)</f>
        <v>0</v>
      </c>
      <c r="ET241">
        <f>SUMIF('Как будет'!$A$45:$A$52,Доп.расчеты!$A241,'Как будет'!EU$45:EU$52)</f>
        <v>0</v>
      </c>
      <c r="EU241">
        <f>SUMIF('Как будет'!$A$45:$A$52,Доп.расчеты!$A241,'Как будет'!EV$45:EV$52)</f>
        <v>0</v>
      </c>
      <c r="EV241">
        <f>SUMIF('Как будет'!$A$45:$A$52,Доп.расчеты!$A241,'Как будет'!EW$45:EW$52)</f>
        <v>0</v>
      </c>
      <c r="EW241">
        <f>SUMIF('Как будет'!$A$45:$A$52,Доп.расчеты!$A241,'Как будет'!EX$45:EX$52)</f>
        <v>0</v>
      </c>
      <c r="EX241">
        <f>SUMIF('Как будет'!$A$45:$A$52,Доп.расчеты!$A241,'Как будет'!EY$45:EY$52)</f>
        <v>0</v>
      </c>
      <c r="EY241">
        <f>SUMIF('Как будет'!$A$45:$A$52,Доп.расчеты!$A241,'Как будет'!EZ$45:EZ$52)</f>
        <v>0</v>
      </c>
      <c r="EZ241">
        <f>SUMIF('Как будет'!$A$45:$A$52,Доп.расчеты!$A241,'Как будет'!FA$45:FA$52)</f>
        <v>0</v>
      </c>
      <c r="FA241">
        <f>SUMIF('Как будет'!$A$45:$A$52,Доп.расчеты!$A241,'Как будет'!FB$45:FB$52)</f>
        <v>0</v>
      </c>
      <c r="FB241">
        <f>SUMIF('Как будет'!$A$45:$A$52,Доп.расчеты!$A241,'Как будет'!FC$45:FC$52)</f>
        <v>0</v>
      </c>
      <c r="FC241">
        <f>SUMIF('Как будет'!$A$45:$A$52,Доп.расчеты!$A241,'Как будет'!FD$45:FD$52)</f>
        <v>0</v>
      </c>
      <c r="FD241">
        <f>SUMIF('Как будет'!$A$45:$A$52,Доп.расчеты!$A241,'Как будет'!FE$45:FE$52)</f>
        <v>0</v>
      </c>
      <c r="FE241">
        <f>SUMIF('Как будет'!$A$45:$A$52,Доп.расчеты!$A241,'Как будет'!FF$45:FF$52)</f>
        <v>0</v>
      </c>
      <c r="FF241">
        <f>SUMIF('Как будет'!$A$45:$A$52,Доп.расчеты!$A241,'Как будет'!FG$45:FG$52)</f>
        <v>0</v>
      </c>
      <c r="FG241">
        <f>SUMIF('Как будет'!$A$45:$A$52,Доп.расчеты!$A241,'Как будет'!FH$45:FH$52)</f>
        <v>0</v>
      </c>
      <c r="FH241">
        <f>SUMIF('Как будет'!$A$45:$A$52,Доп.расчеты!$A241,'Как будет'!FI$45:FI$52)</f>
        <v>0</v>
      </c>
      <c r="FI241">
        <f>SUMIF('Как будет'!$A$45:$A$52,Доп.расчеты!$A241,'Как будет'!FJ$45:FJ$52)</f>
        <v>0</v>
      </c>
      <c r="FJ241">
        <f>SUMIF('Как будет'!$A$45:$A$52,Доп.расчеты!$A241,'Как будет'!FK$45:FK$52)</f>
        <v>0</v>
      </c>
      <c r="FK241">
        <f>SUMIF('Как будет'!$A$45:$A$52,Доп.расчеты!$A241,'Как будет'!FL$45:FL$52)</f>
        <v>0</v>
      </c>
      <c r="FL241">
        <f>SUMIF('Как будет'!$A$45:$A$52,Доп.расчеты!$A241,'Как будет'!FM$45:FM$52)</f>
        <v>0</v>
      </c>
      <c r="FM241">
        <f>SUMIF('Как будет'!$A$45:$A$52,Доп.расчеты!$A241,'Как будет'!FN$45:FN$52)</f>
        <v>0</v>
      </c>
      <c r="FN241">
        <f>SUMIF('Как будет'!$A$45:$A$52,Доп.расчеты!$A241,'Как будет'!FO$45:FO$52)</f>
        <v>0</v>
      </c>
      <c r="FO241">
        <f>SUMIF('Как будет'!$A$45:$A$52,Доп.расчеты!$A241,'Как будет'!FP$45:FP$52)</f>
        <v>0</v>
      </c>
      <c r="FP241">
        <f>SUMIF('Как будет'!$A$45:$A$52,Доп.расчеты!$A241,'Как будет'!FQ$45:FQ$52)</f>
        <v>0</v>
      </c>
      <c r="FQ241">
        <f>SUMIF('Как будет'!$A$45:$A$52,Доп.расчеты!$A241,'Как будет'!FR$45:FR$52)</f>
        <v>0</v>
      </c>
      <c r="FR241">
        <f>SUMIF('Как будет'!$A$45:$A$52,Доп.расчеты!$A241,'Как будет'!FS$45:FS$52)</f>
        <v>0</v>
      </c>
      <c r="FS241">
        <f>SUMIF('Как будет'!$A$45:$A$52,Доп.расчеты!$A241,'Как будет'!FT$45:FT$52)</f>
        <v>0</v>
      </c>
      <c r="FT241">
        <f>SUMIF('Как будет'!$A$45:$A$52,Доп.расчеты!$A241,'Как будет'!FU$45:FU$52)</f>
        <v>0</v>
      </c>
      <c r="FU241">
        <f>SUMIF('Как будет'!$A$45:$A$52,Доп.расчеты!$A241,'Как будет'!FV$45:FV$52)</f>
        <v>0</v>
      </c>
      <c r="FV241">
        <f>SUMIF('Как будет'!$A$45:$A$52,Доп.расчеты!$A241,'Как будет'!FW$45:FW$52)</f>
        <v>0</v>
      </c>
      <c r="FW241">
        <f>SUMIF('Как будет'!$A$45:$A$52,Доп.расчеты!$A241,'Как будет'!FX$45:FX$52)</f>
        <v>0</v>
      </c>
      <c r="FX241">
        <f>SUMIF('Как будет'!$A$45:$A$52,Доп.расчеты!$A241,'Как будет'!FY$45:FY$52)</f>
        <v>0</v>
      </c>
      <c r="FY241">
        <f>SUMIF('Как будет'!$A$45:$A$52,Доп.расчеты!$A241,'Как будет'!FZ$45:FZ$52)</f>
        <v>0</v>
      </c>
      <c r="FZ241">
        <f>SUMIF('Как будет'!$A$45:$A$52,Доп.расчеты!$A241,'Как будет'!GA$45:GA$52)</f>
        <v>0</v>
      </c>
      <c r="GA241">
        <f>SUMIF('Как будет'!$A$45:$A$52,Доп.расчеты!$A241,'Как будет'!GB$45:GB$52)</f>
        <v>0</v>
      </c>
      <c r="GB241">
        <f>SUMIF('Как будет'!$A$45:$A$52,Доп.расчеты!$A241,'Как будет'!GC$45:GC$52)</f>
        <v>0</v>
      </c>
      <c r="GC241">
        <f>SUMIF('Как будет'!$A$45:$A$52,Доп.расчеты!$A241,'Как будет'!GD$45:GD$52)</f>
        <v>0</v>
      </c>
      <c r="GD241">
        <f>SUMIF('Как будет'!$A$45:$A$52,Доп.расчеты!$A241,'Как будет'!GE$45:GE$52)</f>
        <v>0</v>
      </c>
      <c r="GE241">
        <f>SUMIF('Как будет'!$A$45:$A$52,Доп.расчеты!$A241,'Как будет'!GF$45:GF$52)</f>
        <v>0</v>
      </c>
      <c r="GF241">
        <f>SUMIF('Как будет'!$A$45:$A$52,Доп.расчеты!$A241,'Как будет'!GG$45:GG$52)</f>
        <v>0</v>
      </c>
      <c r="GG241">
        <f>SUMIF('Как будет'!$A$45:$A$52,Доп.расчеты!$A241,'Как будет'!GH$45:GH$52)</f>
        <v>0</v>
      </c>
      <c r="GH241">
        <f>SUMIF('Как будет'!$A$45:$A$52,Доп.расчеты!$A241,'Как будет'!GI$45:GI$52)</f>
        <v>0</v>
      </c>
      <c r="GI241">
        <f>SUMIF('Как будет'!$A$45:$A$52,Доп.расчеты!$A241,'Как будет'!GJ$45:GJ$52)</f>
        <v>0</v>
      </c>
      <c r="GJ241">
        <f>SUMIF('Как будет'!$A$45:$A$52,Доп.расчеты!$A241,'Как будет'!GK$45:GK$52)</f>
        <v>0</v>
      </c>
      <c r="GK241">
        <f>SUMIF('Как будет'!$A$45:$A$52,Доп.расчеты!$A241,'Как будет'!GL$45:GL$52)</f>
        <v>0</v>
      </c>
      <c r="GL241">
        <f>SUMIF('Как будет'!$A$45:$A$52,Доп.расчеты!$A241,'Как будет'!GM$45:GM$52)</f>
        <v>0</v>
      </c>
      <c r="GM241">
        <f>SUMIF('Как будет'!$A$45:$A$52,Доп.расчеты!$A241,'Как будет'!GN$45:GN$52)</f>
        <v>0</v>
      </c>
      <c r="GN241">
        <f>SUMIF('Как будет'!$A$45:$A$52,Доп.расчеты!$A241,'Как будет'!GO$45:GO$52)</f>
        <v>0</v>
      </c>
      <c r="GO241">
        <f>SUMIF('Как будет'!$A$45:$A$52,Доп.расчеты!$A241,'Как будет'!GP$45:GP$52)</f>
        <v>0</v>
      </c>
      <c r="GP241">
        <f>SUMIF('Как будет'!$A$45:$A$52,Доп.расчеты!$A241,'Как будет'!GQ$45:GQ$52)</f>
        <v>0</v>
      </c>
      <c r="GQ241">
        <f>SUMIF('Как будет'!$A$45:$A$52,Доп.расчеты!$A241,'Как будет'!GR$45:GR$52)</f>
        <v>0</v>
      </c>
      <c r="GR241">
        <f>SUMIF('Как будет'!$A$45:$A$52,Доп.расчеты!$A241,'Как будет'!GS$45:GS$52)</f>
        <v>0</v>
      </c>
      <c r="GS241">
        <f>SUMIF('Как будет'!$A$45:$A$52,Доп.расчеты!$A241,'Как будет'!GT$45:GT$52)</f>
        <v>0</v>
      </c>
      <c r="GT241">
        <f>SUMIF('Как будет'!$A$45:$A$52,Доп.расчеты!$A241,'Как будет'!GU$45:GU$52)</f>
        <v>0</v>
      </c>
    </row>
    <row r="242" spans="1:202">
      <c r="A242" s="238" t="s">
        <v>91</v>
      </c>
      <c r="B242">
        <f>SUMIF('Как будет'!$A$45:$A$52,Доп.расчеты!$A242,'Как будет'!C$45:C$52)</f>
        <v>0</v>
      </c>
      <c r="C242">
        <f>SUMIF('Как будет'!$A$45:$A$52,Доп.расчеты!$A242,'Как будет'!D$45:D$52)</f>
        <v>0</v>
      </c>
      <c r="D242">
        <f>SUMIF('Как будет'!$A$45:$A$52,Доп.расчеты!$A242,'Как будет'!E$45:E$52)</f>
        <v>0</v>
      </c>
      <c r="E242">
        <f>SUMIF('Как будет'!$A$45:$A$52,Доп.расчеты!$A242,'Как будет'!F$45:F$52)</f>
        <v>0</v>
      </c>
      <c r="F242">
        <f>SUMIF('Как будет'!$A$45:$A$52,Доп.расчеты!$A242,'Как будет'!G$45:G$52)</f>
        <v>0</v>
      </c>
      <c r="G242">
        <f>SUMIF('Как будет'!$A$45:$A$52,Доп.расчеты!$A242,'Как будет'!H$45:H$52)</f>
        <v>0</v>
      </c>
      <c r="H242">
        <f>SUMIF('Как будет'!$A$45:$A$52,Доп.расчеты!$A242,'Как будет'!I$45:I$52)</f>
        <v>0</v>
      </c>
      <c r="I242">
        <f>SUMIF('Как будет'!$A$45:$A$52,Доп.расчеты!$A242,'Как будет'!J$45:J$52)</f>
        <v>0</v>
      </c>
      <c r="J242">
        <f>SUMIF('Как будет'!$A$45:$A$52,Доп.расчеты!$A242,'Как будет'!K$45:K$52)</f>
        <v>0</v>
      </c>
      <c r="K242">
        <f>SUMIF('Как будет'!$A$45:$A$52,Доп.расчеты!$A242,'Как будет'!L$45:L$52)</f>
        <v>0</v>
      </c>
      <c r="L242">
        <f>SUMIF('Как будет'!$A$45:$A$52,Доп.расчеты!$A242,'Как будет'!M$45:M$52)</f>
        <v>0</v>
      </c>
      <c r="M242">
        <f>SUMIF('Как будет'!$A$45:$A$52,Доп.расчеты!$A242,'Как будет'!N$45:N$52)</f>
        <v>0</v>
      </c>
      <c r="N242">
        <f>SUMIF('Как будет'!$A$45:$A$52,Доп.расчеты!$A242,'Как будет'!O$45:O$52)</f>
        <v>0</v>
      </c>
      <c r="O242">
        <f>SUMIF('Как будет'!$A$45:$A$52,Доп.расчеты!$A242,'Как будет'!P$45:P$52)</f>
        <v>0</v>
      </c>
      <c r="P242">
        <f>SUMIF('Как будет'!$A$45:$A$52,Доп.расчеты!$A242,'Как будет'!Q$45:Q$52)</f>
        <v>0</v>
      </c>
      <c r="Q242">
        <f>SUMIF('Как будет'!$A$45:$A$52,Доп.расчеты!$A242,'Как будет'!R$45:R$52)</f>
        <v>0</v>
      </c>
      <c r="R242">
        <f>SUMIF('Как будет'!$A$45:$A$52,Доп.расчеты!$A242,'Как будет'!S$45:S$52)</f>
        <v>0</v>
      </c>
      <c r="S242">
        <f>SUMIF('Как будет'!$A$45:$A$52,Доп.расчеты!$A242,'Как будет'!T$45:T$52)</f>
        <v>0</v>
      </c>
      <c r="T242">
        <f>SUMIF('Как будет'!$A$45:$A$52,Доп.расчеты!$A242,'Как будет'!U$45:U$52)</f>
        <v>0</v>
      </c>
      <c r="U242">
        <f>SUMIF('Как будет'!$A$45:$A$52,Доп.расчеты!$A242,'Как будет'!V$45:V$52)</f>
        <v>0</v>
      </c>
      <c r="V242">
        <f>SUMIF('Как будет'!$A$45:$A$52,Доп.расчеты!$A242,'Как будет'!W$45:W$52)</f>
        <v>0</v>
      </c>
      <c r="W242">
        <f>SUMIF('Как будет'!$A$45:$A$52,Доп.расчеты!$A242,'Как будет'!X$45:X$52)</f>
        <v>0</v>
      </c>
      <c r="X242">
        <f>SUMIF('Как будет'!$A$45:$A$52,Доп.расчеты!$A242,'Как будет'!Y$45:Y$52)</f>
        <v>0</v>
      </c>
      <c r="Y242">
        <f>SUMIF('Как будет'!$A$45:$A$52,Доп.расчеты!$A242,'Как будет'!Z$45:Z$52)</f>
        <v>0</v>
      </c>
      <c r="Z242">
        <f>SUMIF('Как будет'!$A$45:$A$52,Доп.расчеты!$A242,'Как будет'!AA$45:AA$52)</f>
        <v>0</v>
      </c>
      <c r="AA242">
        <f>SUMIF('Как будет'!$A$45:$A$52,Доп.расчеты!$A242,'Как будет'!AB$45:AB$52)</f>
        <v>0</v>
      </c>
      <c r="AB242">
        <f>SUMIF('Как будет'!$A$45:$A$52,Доп.расчеты!$A242,'Как будет'!AC$45:AC$52)</f>
        <v>0</v>
      </c>
      <c r="AC242">
        <f>SUMIF('Как будет'!$A$45:$A$52,Доп.расчеты!$A242,'Как будет'!AD$45:AD$52)</f>
        <v>0</v>
      </c>
      <c r="AD242">
        <f>SUMIF('Как будет'!$A$45:$A$52,Доп.расчеты!$A242,'Как будет'!AE$45:AE$52)</f>
        <v>0</v>
      </c>
      <c r="AE242">
        <f>SUMIF('Как будет'!$A$45:$A$52,Доп.расчеты!$A242,'Как будет'!AF$45:AF$52)</f>
        <v>0</v>
      </c>
      <c r="AF242">
        <f>SUMIF('Как будет'!$A$45:$A$52,Доп.расчеты!$A242,'Как будет'!AG$45:AG$52)</f>
        <v>0</v>
      </c>
      <c r="AG242">
        <f>SUMIF('Как будет'!$A$45:$A$52,Доп.расчеты!$A242,'Как будет'!AH$45:AH$52)</f>
        <v>0</v>
      </c>
      <c r="AH242">
        <f>SUMIF('Как будет'!$A$45:$A$52,Доп.расчеты!$A242,'Как будет'!AI$45:AI$52)</f>
        <v>0</v>
      </c>
      <c r="AI242">
        <f>SUMIF('Как будет'!$A$45:$A$52,Доп.расчеты!$A242,'Как будет'!AJ$45:AJ$52)</f>
        <v>0</v>
      </c>
      <c r="AJ242">
        <f>SUMIF('Как будет'!$A$45:$A$52,Доп.расчеты!$A242,'Как будет'!AK$45:AK$52)</f>
        <v>0</v>
      </c>
      <c r="AK242">
        <f>SUMIF('Как будет'!$A$45:$A$52,Доп.расчеты!$A242,'Как будет'!AL$45:AL$52)</f>
        <v>0</v>
      </c>
      <c r="AL242">
        <f>SUMIF('Как будет'!$A$45:$A$52,Доп.расчеты!$A242,'Как будет'!AM$45:AM$52)</f>
        <v>0</v>
      </c>
      <c r="AM242">
        <f>SUMIF('Как будет'!$A$45:$A$52,Доп.расчеты!$A242,'Как будет'!AN$45:AN$52)</f>
        <v>0</v>
      </c>
      <c r="AN242">
        <f>SUMIF('Как будет'!$A$45:$A$52,Доп.расчеты!$A242,'Как будет'!AO$45:AO$52)</f>
        <v>0</v>
      </c>
      <c r="AO242">
        <f>SUMIF('Как будет'!$A$45:$A$52,Доп.расчеты!$A242,'Как будет'!AP$45:AP$52)</f>
        <v>0</v>
      </c>
      <c r="AP242">
        <f>SUMIF('Как будет'!$A$45:$A$52,Доп.расчеты!$A242,'Как будет'!AQ$45:AQ$52)</f>
        <v>0</v>
      </c>
      <c r="AQ242">
        <f>SUMIF('Как будет'!$A$45:$A$52,Доп.расчеты!$A242,'Как будет'!AR$45:AR$52)</f>
        <v>0</v>
      </c>
      <c r="AR242">
        <f>SUMIF('Как будет'!$A$45:$A$52,Доп.расчеты!$A242,'Как будет'!AS$45:AS$52)</f>
        <v>0</v>
      </c>
      <c r="AS242">
        <f>SUMIF('Как будет'!$A$45:$A$52,Доп.расчеты!$A242,'Как будет'!AT$45:AT$52)</f>
        <v>0</v>
      </c>
      <c r="AT242">
        <f>SUMIF('Как будет'!$A$45:$A$52,Доп.расчеты!$A242,'Как будет'!AU$45:AU$52)</f>
        <v>0</v>
      </c>
      <c r="AU242">
        <f>SUMIF('Как будет'!$A$45:$A$52,Доп.расчеты!$A242,'Как будет'!AV$45:AV$52)</f>
        <v>0</v>
      </c>
      <c r="AV242">
        <f>SUMIF('Как будет'!$A$45:$A$52,Доп.расчеты!$A242,'Как будет'!AW$45:AW$52)</f>
        <v>0</v>
      </c>
      <c r="AW242">
        <f>SUMIF('Как будет'!$A$45:$A$52,Доп.расчеты!$A242,'Как будет'!AX$45:AX$52)</f>
        <v>0</v>
      </c>
      <c r="AX242">
        <f>SUMIF('Как будет'!$A$45:$A$52,Доп.расчеты!$A242,'Как будет'!AY$45:AY$52)</f>
        <v>0</v>
      </c>
      <c r="AY242">
        <f>SUMIF('Как будет'!$A$45:$A$52,Доп.расчеты!$A242,'Как будет'!AZ$45:AZ$52)</f>
        <v>0</v>
      </c>
      <c r="AZ242">
        <f>SUMIF('Как будет'!$A$45:$A$52,Доп.расчеты!$A242,'Как будет'!BA$45:BA$52)</f>
        <v>0</v>
      </c>
      <c r="BA242">
        <f>SUMIF('Как будет'!$A$45:$A$52,Доп.расчеты!$A242,'Как будет'!BB$45:BB$52)</f>
        <v>0</v>
      </c>
      <c r="BB242">
        <f>SUMIF('Как будет'!$A$45:$A$52,Доп.расчеты!$A242,'Как будет'!BC$45:BC$52)</f>
        <v>0</v>
      </c>
      <c r="BC242">
        <f>SUMIF('Как будет'!$A$45:$A$52,Доп.расчеты!$A242,'Как будет'!BD$45:BD$52)</f>
        <v>0</v>
      </c>
      <c r="BD242">
        <f>SUMIF('Как будет'!$A$45:$A$52,Доп.расчеты!$A242,'Как будет'!BE$45:BE$52)</f>
        <v>0</v>
      </c>
      <c r="BE242">
        <f>SUMIF('Как будет'!$A$45:$A$52,Доп.расчеты!$A242,'Как будет'!BF$45:BF$52)</f>
        <v>0</v>
      </c>
      <c r="BF242">
        <f>SUMIF('Как будет'!$A$45:$A$52,Доп.расчеты!$A242,'Как будет'!BG$45:BG$52)</f>
        <v>0</v>
      </c>
      <c r="BG242">
        <f>SUMIF('Как будет'!$A$45:$A$52,Доп.расчеты!$A242,'Как будет'!BH$45:BH$52)</f>
        <v>0</v>
      </c>
      <c r="BH242">
        <f>SUMIF('Как будет'!$A$45:$A$52,Доп.расчеты!$A242,'Как будет'!BI$45:BI$52)</f>
        <v>0</v>
      </c>
      <c r="BI242">
        <f>SUMIF('Как будет'!$A$45:$A$52,Доп.расчеты!$A242,'Как будет'!BJ$45:BJ$52)</f>
        <v>0</v>
      </c>
      <c r="BJ242">
        <f>SUMIF('Как будет'!$A$45:$A$52,Доп.расчеты!$A242,'Как будет'!BK$45:BK$52)</f>
        <v>0</v>
      </c>
      <c r="BK242">
        <f>SUMIF('Как будет'!$A$45:$A$52,Доп.расчеты!$A242,'Как будет'!BL$45:BL$52)</f>
        <v>0</v>
      </c>
      <c r="BL242">
        <f>SUMIF('Как будет'!$A$45:$A$52,Доп.расчеты!$A242,'Как будет'!BM$45:BM$52)</f>
        <v>0</v>
      </c>
      <c r="BM242">
        <f>SUMIF('Как будет'!$A$45:$A$52,Доп.расчеты!$A242,'Как будет'!BN$45:BN$52)</f>
        <v>0</v>
      </c>
      <c r="BN242">
        <f>SUMIF('Как будет'!$A$45:$A$52,Доп.расчеты!$A242,'Как будет'!BO$45:BO$52)</f>
        <v>0</v>
      </c>
      <c r="BO242">
        <f>SUMIF('Как будет'!$A$45:$A$52,Доп.расчеты!$A242,'Как будет'!BP$45:BP$52)</f>
        <v>0</v>
      </c>
      <c r="BP242">
        <f>SUMIF('Как будет'!$A$45:$A$52,Доп.расчеты!$A242,'Как будет'!BQ$45:BQ$52)</f>
        <v>0</v>
      </c>
      <c r="BQ242">
        <f>SUMIF('Как будет'!$A$45:$A$52,Доп.расчеты!$A242,'Как будет'!BR$45:BR$52)</f>
        <v>0</v>
      </c>
      <c r="BR242">
        <f>SUMIF('Как будет'!$A$45:$A$52,Доп.расчеты!$A242,'Как будет'!BS$45:BS$52)</f>
        <v>0</v>
      </c>
      <c r="BS242">
        <f>SUMIF('Как будет'!$A$45:$A$52,Доп.расчеты!$A242,'Как будет'!BT$45:BT$52)</f>
        <v>0</v>
      </c>
      <c r="BT242">
        <f>SUMIF('Как будет'!$A$45:$A$52,Доп.расчеты!$A242,'Как будет'!BU$45:BU$52)</f>
        <v>0</v>
      </c>
      <c r="BU242">
        <f>SUMIF('Как будет'!$A$45:$A$52,Доп.расчеты!$A242,'Как будет'!BV$45:BV$52)</f>
        <v>0</v>
      </c>
      <c r="BV242">
        <f>SUMIF('Как будет'!$A$45:$A$52,Доп.расчеты!$A242,'Как будет'!BW$45:BW$52)</f>
        <v>0</v>
      </c>
      <c r="BW242">
        <f>SUMIF('Как будет'!$A$45:$A$52,Доп.расчеты!$A242,'Как будет'!BX$45:BX$52)</f>
        <v>0</v>
      </c>
      <c r="BX242">
        <f>SUMIF('Как будет'!$A$45:$A$52,Доп.расчеты!$A242,'Как будет'!BY$45:BY$52)</f>
        <v>0</v>
      </c>
      <c r="BY242">
        <f>SUMIF('Как будет'!$A$45:$A$52,Доп.расчеты!$A242,'Как будет'!BZ$45:BZ$52)</f>
        <v>0</v>
      </c>
      <c r="BZ242">
        <f>SUMIF('Как будет'!$A$45:$A$52,Доп.расчеты!$A242,'Как будет'!CA$45:CA$52)</f>
        <v>0</v>
      </c>
      <c r="CA242">
        <f>SUMIF('Как будет'!$A$45:$A$52,Доп.расчеты!$A242,'Как будет'!CB$45:CB$52)</f>
        <v>0</v>
      </c>
      <c r="CB242">
        <f>SUMIF('Как будет'!$A$45:$A$52,Доп.расчеты!$A242,'Как будет'!CC$45:CC$52)</f>
        <v>0</v>
      </c>
      <c r="CC242">
        <f>SUMIF('Как будет'!$A$45:$A$52,Доп.расчеты!$A242,'Как будет'!CD$45:CD$52)</f>
        <v>0</v>
      </c>
      <c r="CD242">
        <f>SUMIF('Как будет'!$A$45:$A$52,Доп.расчеты!$A242,'Как будет'!CE$45:CE$52)</f>
        <v>0</v>
      </c>
      <c r="CE242">
        <f>SUMIF('Как будет'!$A$45:$A$52,Доп.расчеты!$A242,'Как будет'!CF$45:CF$52)</f>
        <v>0</v>
      </c>
      <c r="CF242">
        <f>SUMIF('Как будет'!$A$45:$A$52,Доп.расчеты!$A242,'Как будет'!CG$45:CG$52)</f>
        <v>0</v>
      </c>
      <c r="CG242">
        <f>SUMIF('Как будет'!$A$45:$A$52,Доп.расчеты!$A242,'Как будет'!CH$45:CH$52)</f>
        <v>0</v>
      </c>
      <c r="CH242">
        <f>SUMIF('Как будет'!$A$45:$A$52,Доп.расчеты!$A242,'Как будет'!CI$45:CI$52)</f>
        <v>0</v>
      </c>
      <c r="CI242">
        <f>SUMIF('Как будет'!$A$45:$A$52,Доп.расчеты!$A242,'Как будет'!CJ$45:CJ$52)</f>
        <v>0</v>
      </c>
      <c r="CJ242">
        <f>SUMIF('Как будет'!$A$45:$A$52,Доп.расчеты!$A242,'Как будет'!CK$45:CK$52)</f>
        <v>0</v>
      </c>
      <c r="CK242">
        <f>SUMIF('Как будет'!$A$45:$A$52,Доп.расчеты!$A242,'Как будет'!CL$45:CL$52)</f>
        <v>0</v>
      </c>
      <c r="CL242">
        <f>SUMIF('Как будет'!$A$45:$A$52,Доп.расчеты!$A242,'Как будет'!CM$45:CM$52)</f>
        <v>0</v>
      </c>
      <c r="CM242">
        <f>SUMIF('Как будет'!$A$45:$A$52,Доп.расчеты!$A242,'Как будет'!CN$45:CN$52)</f>
        <v>0</v>
      </c>
      <c r="CN242">
        <f>SUMIF('Как будет'!$A$45:$A$52,Доп.расчеты!$A242,'Как будет'!CO$45:CO$52)</f>
        <v>0</v>
      </c>
      <c r="CO242">
        <f>SUMIF('Как будет'!$A$45:$A$52,Доп.расчеты!$A242,'Как будет'!CP$45:CP$52)</f>
        <v>0</v>
      </c>
      <c r="CP242">
        <f>SUMIF('Как будет'!$A$45:$A$52,Доп.расчеты!$A242,'Как будет'!CQ$45:CQ$52)</f>
        <v>0</v>
      </c>
      <c r="CQ242">
        <f>SUMIF('Как будет'!$A$45:$A$52,Доп.расчеты!$A242,'Как будет'!CR$45:CR$52)</f>
        <v>0</v>
      </c>
      <c r="CR242">
        <f>SUMIF('Как будет'!$A$45:$A$52,Доп.расчеты!$A242,'Как будет'!CS$45:CS$52)</f>
        <v>0</v>
      </c>
      <c r="CS242">
        <f>SUMIF('Как будет'!$A$45:$A$52,Доп.расчеты!$A242,'Как будет'!CT$45:CT$52)</f>
        <v>0</v>
      </c>
      <c r="CT242">
        <f>SUMIF('Как будет'!$A$45:$A$52,Доп.расчеты!$A242,'Как будет'!CU$45:CU$52)</f>
        <v>0</v>
      </c>
      <c r="CU242">
        <f>SUMIF('Как будет'!$A$45:$A$52,Доп.расчеты!$A242,'Как будет'!CV$45:CV$52)</f>
        <v>0</v>
      </c>
      <c r="CV242">
        <f>SUMIF('Как будет'!$A$45:$A$52,Доп.расчеты!$A242,'Как будет'!CW$45:CW$52)</f>
        <v>0</v>
      </c>
      <c r="CW242">
        <f>SUMIF('Как будет'!$A$45:$A$52,Доп.расчеты!$A242,'Как будет'!CX$45:CX$52)</f>
        <v>0</v>
      </c>
      <c r="CX242">
        <f>SUMIF('Как будет'!$A$45:$A$52,Доп.расчеты!$A242,'Как будет'!CY$45:CY$52)</f>
        <v>0</v>
      </c>
      <c r="CY242">
        <f>SUMIF('Как будет'!$A$45:$A$52,Доп.расчеты!$A242,'Как будет'!CZ$45:CZ$52)</f>
        <v>0</v>
      </c>
      <c r="CZ242">
        <f>SUMIF('Как будет'!$A$45:$A$52,Доп.расчеты!$A242,'Как будет'!DA$45:DA$52)</f>
        <v>0</v>
      </c>
      <c r="DA242">
        <f>SUMIF('Как будет'!$A$45:$A$52,Доп.расчеты!$A242,'Как будет'!DB$45:DB$52)</f>
        <v>0</v>
      </c>
      <c r="DB242">
        <f>SUMIF('Как будет'!$A$45:$A$52,Доп.расчеты!$A242,'Как будет'!DC$45:DC$52)</f>
        <v>0</v>
      </c>
      <c r="DC242">
        <f>SUMIF('Как будет'!$A$45:$A$52,Доп.расчеты!$A242,'Как будет'!DD$45:DD$52)</f>
        <v>0</v>
      </c>
      <c r="DD242">
        <f>SUMIF('Как будет'!$A$45:$A$52,Доп.расчеты!$A242,'Как будет'!DE$45:DE$52)</f>
        <v>0</v>
      </c>
      <c r="DE242">
        <f>SUMIF('Как будет'!$A$45:$A$52,Доп.расчеты!$A242,'Как будет'!DF$45:DF$52)</f>
        <v>0</v>
      </c>
      <c r="DF242">
        <f>SUMIF('Как будет'!$A$45:$A$52,Доп.расчеты!$A242,'Как будет'!DG$45:DG$52)</f>
        <v>0</v>
      </c>
      <c r="DG242">
        <f>SUMIF('Как будет'!$A$45:$A$52,Доп.расчеты!$A242,'Как будет'!DH$45:DH$52)</f>
        <v>0</v>
      </c>
      <c r="DH242">
        <f>SUMIF('Как будет'!$A$45:$A$52,Доп.расчеты!$A242,'Как будет'!DI$45:DI$52)</f>
        <v>0</v>
      </c>
      <c r="DI242">
        <f>SUMIF('Как будет'!$A$45:$A$52,Доп.расчеты!$A242,'Как будет'!DJ$45:DJ$52)</f>
        <v>0</v>
      </c>
      <c r="DJ242">
        <f>SUMIF('Как будет'!$A$45:$A$52,Доп.расчеты!$A242,'Как будет'!DK$45:DK$52)</f>
        <v>0</v>
      </c>
      <c r="DK242">
        <f>SUMIF('Как будет'!$A$45:$A$52,Доп.расчеты!$A242,'Как будет'!DL$45:DL$52)</f>
        <v>0</v>
      </c>
      <c r="DL242">
        <f>SUMIF('Как будет'!$A$45:$A$52,Доп.расчеты!$A242,'Как будет'!DM$45:DM$52)</f>
        <v>0</v>
      </c>
      <c r="DM242">
        <f>SUMIF('Как будет'!$A$45:$A$52,Доп.расчеты!$A242,'Как будет'!DN$45:DN$52)</f>
        <v>0</v>
      </c>
      <c r="DN242">
        <f>SUMIF('Как будет'!$A$45:$A$52,Доп.расчеты!$A242,'Как будет'!DO$45:DO$52)</f>
        <v>0</v>
      </c>
      <c r="DO242">
        <f>SUMIF('Как будет'!$A$45:$A$52,Доп.расчеты!$A242,'Как будет'!DP$45:DP$52)</f>
        <v>0</v>
      </c>
      <c r="DP242">
        <f>SUMIF('Как будет'!$A$45:$A$52,Доп.расчеты!$A242,'Как будет'!DQ$45:DQ$52)</f>
        <v>0</v>
      </c>
      <c r="DQ242">
        <f>SUMIF('Как будет'!$A$45:$A$52,Доп.расчеты!$A242,'Как будет'!DR$45:DR$52)</f>
        <v>0</v>
      </c>
      <c r="DR242">
        <f>SUMIF('Как будет'!$A$45:$A$52,Доп.расчеты!$A242,'Как будет'!DS$45:DS$52)</f>
        <v>0</v>
      </c>
      <c r="DS242">
        <f>SUMIF('Как будет'!$A$45:$A$52,Доп.расчеты!$A242,'Как будет'!DT$45:DT$52)</f>
        <v>0</v>
      </c>
      <c r="DT242">
        <f>SUMIF('Как будет'!$A$45:$A$52,Доп.расчеты!$A242,'Как будет'!DU$45:DU$52)</f>
        <v>0</v>
      </c>
      <c r="DU242">
        <f>SUMIF('Как будет'!$A$45:$A$52,Доп.расчеты!$A242,'Как будет'!DV$45:DV$52)</f>
        <v>0</v>
      </c>
      <c r="DV242">
        <f>SUMIF('Как будет'!$A$45:$A$52,Доп.расчеты!$A242,'Как будет'!DW$45:DW$52)</f>
        <v>0</v>
      </c>
      <c r="DW242">
        <f>SUMIF('Как будет'!$A$45:$A$52,Доп.расчеты!$A242,'Как будет'!DX$45:DX$52)</f>
        <v>0</v>
      </c>
      <c r="DX242">
        <f>SUMIF('Как будет'!$A$45:$A$52,Доп.расчеты!$A242,'Как будет'!DY$45:DY$52)</f>
        <v>0</v>
      </c>
      <c r="DY242">
        <f>SUMIF('Как будет'!$A$45:$A$52,Доп.расчеты!$A242,'Как будет'!DZ$45:DZ$52)</f>
        <v>0</v>
      </c>
      <c r="DZ242">
        <f>SUMIF('Как будет'!$A$45:$A$52,Доп.расчеты!$A242,'Как будет'!EA$45:EA$52)</f>
        <v>0</v>
      </c>
      <c r="EA242">
        <f>SUMIF('Как будет'!$A$45:$A$52,Доп.расчеты!$A242,'Как будет'!EB$45:EB$52)</f>
        <v>0</v>
      </c>
      <c r="EB242">
        <f>SUMIF('Как будет'!$A$45:$A$52,Доп.расчеты!$A242,'Как будет'!EC$45:EC$52)</f>
        <v>0</v>
      </c>
      <c r="EC242">
        <f>SUMIF('Как будет'!$A$45:$A$52,Доп.расчеты!$A242,'Как будет'!ED$45:ED$52)</f>
        <v>0</v>
      </c>
      <c r="ED242">
        <f>SUMIF('Как будет'!$A$45:$A$52,Доп.расчеты!$A242,'Как будет'!EE$45:EE$52)</f>
        <v>0</v>
      </c>
      <c r="EE242">
        <f>SUMIF('Как будет'!$A$45:$A$52,Доп.расчеты!$A242,'Как будет'!EF$45:EF$52)</f>
        <v>0</v>
      </c>
      <c r="EF242">
        <f>SUMIF('Как будет'!$A$45:$A$52,Доп.расчеты!$A242,'Как будет'!EG$45:EG$52)</f>
        <v>0</v>
      </c>
      <c r="EG242">
        <f>SUMIF('Как будет'!$A$45:$A$52,Доп.расчеты!$A242,'Как будет'!EH$45:EH$52)</f>
        <v>0</v>
      </c>
      <c r="EH242">
        <f>SUMIF('Как будет'!$A$45:$A$52,Доп.расчеты!$A242,'Как будет'!EI$45:EI$52)</f>
        <v>0</v>
      </c>
      <c r="EI242">
        <f>SUMIF('Как будет'!$A$45:$A$52,Доп.расчеты!$A242,'Как будет'!EJ$45:EJ$52)</f>
        <v>0</v>
      </c>
      <c r="EJ242">
        <f>SUMIF('Как будет'!$A$45:$A$52,Доп.расчеты!$A242,'Как будет'!EK$45:EK$52)</f>
        <v>0</v>
      </c>
      <c r="EK242">
        <f>SUMIF('Как будет'!$A$45:$A$52,Доп.расчеты!$A242,'Как будет'!EL$45:EL$52)</f>
        <v>0</v>
      </c>
      <c r="EL242">
        <f>SUMIF('Как будет'!$A$45:$A$52,Доп.расчеты!$A242,'Как будет'!EM$45:EM$52)</f>
        <v>0</v>
      </c>
      <c r="EM242">
        <f>SUMIF('Как будет'!$A$45:$A$52,Доп.расчеты!$A242,'Как будет'!EN$45:EN$52)</f>
        <v>0</v>
      </c>
      <c r="EN242">
        <f>SUMIF('Как будет'!$A$45:$A$52,Доп.расчеты!$A242,'Как будет'!EO$45:EO$52)</f>
        <v>0</v>
      </c>
      <c r="EO242">
        <f>SUMIF('Как будет'!$A$45:$A$52,Доп.расчеты!$A242,'Как будет'!EP$45:EP$52)</f>
        <v>0</v>
      </c>
      <c r="EP242">
        <f>SUMIF('Как будет'!$A$45:$A$52,Доп.расчеты!$A242,'Как будет'!EQ$45:EQ$52)</f>
        <v>0</v>
      </c>
      <c r="EQ242">
        <f>SUMIF('Как будет'!$A$45:$A$52,Доп.расчеты!$A242,'Как будет'!ER$45:ER$52)</f>
        <v>0</v>
      </c>
      <c r="ER242">
        <f>SUMIF('Как будет'!$A$45:$A$52,Доп.расчеты!$A242,'Как будет'!ES$45:ES$52)</f>
        <v>0</v>
      </c>
      <c r="ES242">
        <f>SUMIF('Как будет'!$A$45:$A$52,Доп.расчеты!$A242,'Как будет'!ET$45:ET$52)</f>
        <v>0</v>
      </c>
      <c r="ET242">
        <f>SUMIF('Как будет'!$A$45:$A$52,Доп.расчеты!$A242,'Как будет'!EU$45:EU$52)</f>
        <v>0</v>
      </c>
      <c r="EU242">
        <f>SUMIF('Как будет'!$A$45:$A$52,Доп.расчеты!$A242,'Как будет'!EV$45:EV$52)</f>
        <v>0</v>
      </c>
      <c r="EV242">
        <f>SUMIF('Как будет'!$A$45:$A$52,Доп.расчеты!$A242,'Как будет'!EW$45:EW$52)</f>
        <v>0</v>
      </c>
      <c r="EW242">
        <f>SUMIF('Как будет'!$A$45:$A$52,Доп.расчеты!$A242,'Как будет'!EX$45:EX$52)</f>
        <v>0</v>
      </c>
      <c r="EX242">
        <f>SUMIF('Как будет'!$A$45:$A$52,Доп.расчеты!$A242,'Как будет'!EY$45:EY$52)</f>
        <v>0</v>
      </c>
      <c r="EY242">
        <f>SUMIF('Как будет'!$A$45:$A$52,Доп.расчеты!$A242,'Как будет'!EZ$45:EZ$52)</f>
        <v>0</v>
      </c>
      <c r="EZ242">
        <f>SUMIF('Как будет'!$A$45:$A$52,Доп.расчеты!$A242,'Как будет'!FA$45:FA$52)</f>
        <v>0</v>
      </c>
      <c r="FA242">
        <f>SUMIF('Как будет'!$A$45:$A$52,Доп.расчеты!$A242,'Как будет'!FB$45:FB$52)</f>
        <v>0</v>
      </c>
      <c r="FB242">
        <f>SUMIF('Как будет'!$A$45:$A$52,Доп.расчеты!$A242,'Как будет'!FC$45:FC$52)</f>
        <v>0</v>
      </c>
      <c r="FC242">
        <f>SUMIF('Как будет'!$A$45:$A$52,Доп.расчеты!$A242,'Как будет'!FD$45:FD$52)</f>
        <v>0</v>
      </c>
      <c r="FD242">
        <f>SUMIF('Как будет'!$A$45:$A$52,Доп.расчеты!$A242,'Как будет'!FE$45:FE$52)</f>
        <v>0</v>
      </c>
      <c r="FE242">
        <f>SUMIF('Как будет'!$A$45:$A$52,Доп.расчеты!$A242,'Как будет'!FF$45:FF$52)</f>
        <v>0</v>
      </c>
      <c r="FF242">
        <f>SUMIF('Как будет'!$A$45:$A$52,Доп.расчеты!$A242,'Как будет'!FG$45:FG$52)</f>
        <v>0</v>
      </c>
      <c r="FG242">
        <f>SUMIF('Как будет'!$A$45:$A$52,Доп.расчеты!$A242,'Как будет'!FH$45:FH$52)</f>
        <v>0</v>
      </c>
      <c r="FH242">
        <f>SUMIF('Как будет'!$A$45:$A$52,Доп.расчеты!$A242,'Как будет'!FI$45:FI$52)</f>
        <v>0</v>
      </c>
      <c r="FI242">
        <f>SUMIF('Как будет'!$A$45:$A$52,Доп.расчеты!$A242,'Как будет'!FJ$45:FJ$52)</f>
        <v>0</v>
      </c>
      <c r="FJ242">
        <f>SUMIF('Как будет'!$A$45:$A$52,Доп.расчеты!$A242,'Как будет'!FK$45:FK$52)</f>
        <v>0</v>
      </c>
      <c r="FK242">
        <f>SUMIF('Как будет'!$A$45:$A$52,Доп.расчеты!$A242,'Как будет'!FL$45:FL$52)</f>
        <v>0</v>
      </c>
      <c r="FL242">
        <f>SUMIF('Как будет'!$A$45:$A$52,Доп.расчеты!$A242,'Как будет'!FM$45:FM$52)</f>
        <v>0</v>
      </c>
      <c r="FM242">
        <f>SUMIF('Как будет'!$A$45:$A$52,Доп.расчеты!$A242,'Как будет'!FN$45:FN$52)</f>
        <v>0</v>
      </c>
      <c r="FN242">
        <f>SUMIF('Как будет'!$A$45:$A$52,Доп.расчеты!$A242,'Как будет'!FO$45:FO$52)</f>
        <v>0</v>
      </c>
      <c r="FO242">
        <f>SUMIF('Как будет'!$A$45:$A$52,Доп.расчеты!$A242,'Как будет'!FP$45:FP$52)</f>
        <v>0</v>
      </c>
      <c r="FP242">
        <f>SUMIF('Как будет'!$A$45:$A$52,Доп.расчеты!$A242,'Как будет'!FQ$45:FQ$52)</f>
        <v>0</v>
      </c>
      <c r="FQ242">
        <f>SUMIF('Как будет'!$A$45:$A$52,Доп.расчеты!$A242,'Как будет'!FR$45:FR$52)</f>
        <v>0</v>
      </c>
      <c r="FR242">
        <f>SUMIF('Как будет'!$A$45:$A$52,Доп.расчеты!$A242,'Как будет'!FS$45:FS$52)</f>
        <v>0</v>
      </c>
      <c r="FS242">
        <f>SUMIF('Как будет'!$A$45:$A$52,Доп.расчеты!$A242,'Как будет'!FT$45:FT$52)</f>
        <v>0</v>
      </c>
      <c r="FT242">
        <f>SUMIF('Как будет'!$A$45:$A$52,Доп.расчеты!$A242,'Как будет'!FU$45:FU$52)</f>
        <v>0</v>
      </c>
      <c r="FU242">
        <f>SUMIF('Как будет'!$A$45:$A$52,Доп.расчеты!$A242,'Как будет'!FV$45:FV$52)</f>
        <v>0</v>
      </c>
      <c r="FV242">
        <f>SUMIF('Как будет'!$A$45:$A$52,Доп.расчеты!$A242,'Как будет'!FW$45:FW$52)</f>
        <v>0</v>
      </c>
      <c r="FW242">
        <f>SUMIF('Как будет'!$A$45:$A$52,Доп.расчеты!$A242,'Как будет'!FX$45:FX$52)</f>
        <v>0</v>
      </c>
      <c r="FX242">
        <f>SUMIF('Как будет'!$A$45:$A$52,Доп.расчеты!$A242,'Как будет'!FY$45:FY$52)</f>
        <v>0</v>
      </c>
      <c r="FY242">
        <f>SUMIF('Как будет'!$A$45:$A$52,Доп.расчеты!$A242,'Как будет'!FZ$45:FZ$52)</f>
        <v>0</v>
      </c>
      <c r="FZ242">
        <f>SUMIF('Как будет'!$A$45:$A$52,Доп.расчеты!$A242,'Как будет'!GA$45:GA$52)</f>
        <v>0</v>
      </c>
      <c r="GA242">
        <f>SUMIF('Как будет'!$A$45:$A$52,Доп.расчеты!$A242,'Как будет'!GB$45:GB$52)</f>
        <v>0</v>
      </c>
      <c r="GB242">
        <f>SUMIF('Как будет'!$A$45:$A$52,Доп.расчеты!$A242,'Как будет'!GC$45:GC$52)</f>
        <v>0</v>
      </c>
      <c r="GC242">
        <f>SUMIF('Как будет'!$A$45:$A$52,Доп.расчеты!$A242,'Как будет'!GD$45:GD$52)</f>
        <v>0</v>
      </c>
      <c r="GD242">
        <f>SUMIF('Как будет'!$A$45:$A$52,Доп.расчеты!$A242,'Как будет'!GE$45:GE$52)</f>
        <v>0</v>
      </c>
      <c r="GE242">
        <f>SUMIF('Как будет'!$A$45:$A$52,Доп.расчеты!$A242,'Как будет'!GF$45:GF$52)</f>
        <v>0</v>
      </c>
      <c r="GF242">
        <f>SUMIF('Как будет'!$A$45:$A$52,Доп.расчеты!$A242,'Как будет'!GG$45:GG$52)</f>
        <v>0</v>
      </c>
      <c r="GG242">
        <f>SUMIF('Как будет'!$A$45:$A$52,Доп.расчеты!$A242,'Как будет'!GH$45:GH$52)</f>
        <v>0</v>
      </c>
      <c r="GH242">
        <f>SUMIF('Как будет'!$A$45:$A$52,Доп.расчеты!$A242,'Как будет'!GI$45:GI$52)</f>
        <v>0</v>
      </c>
      <c r="GI242">
        <f>SUMIF('Как будет'!$A$45:$A$52,Доп.расчеты!$A242,'Как будет'!GJ$45:GJ$52)</f>
        <v>0</v>
      </c>
      <c r="GJ242">
        <f>SUMIF('Как будет'!$A$45:$A$52,Доп.расчеты!$A242,'Как будет'!GK$45:GK$52)</f>
        <v>0</v>
      </c>
      <c r="GK242">
        <f>SUMIF('Как будет'!$A$45:$A$52,Доп.расчеты!$A242,'Как будет'!GL$45:GL$52)</f>
        <v>0</v>
      </c>
      <c r="GL242">
        <f>SUMIF('Как будет'!$A$45:$A$52,Доп.расчеты!$A242,'Как будет'!GM$45:GM$52)</f>
        <v>0</v>
      </c>
      <c r="GM242">
        <f>SUMIF('Как будет'!$A$45:$A$52,Доп.расчеты!$A242,'Как будет'!GN$45:GN$52)</f>
        <v>0</v>
      </c>
      <c r="GN242">
        <f>SUMIF('Как будет'!$A$45:$A$52,Доп.расчеты!$A242,'Как будет'!GO$45:GO$52)</f>
        <v>0</v>
      </c>
      <c r="GO242">
        <f>SUMIF('Как будет'!$A$45:$A$52,Доп.расчеты!$A242,'Как будет'!GP$45:GP$52)</f>
        <v>0</v>
      </c>
      <c r="GP242">
        <f>SUMIF('Как будет'!$A$45:$A$52,Доп.расчеты!$A242,'Как будет'!GQ$45:GQ$52)</f>
        <v>0</v>
      </c>
      <c r="GQ242">
        <f>SUMIF('Как будет'!$A$45:$A$52,Доп.расчеты!$A242,'Как будет'!GR$45:GR$52)</f>
        <v>0</v>
      </c>
      <c r="GR242">
        <f>SUMIF('Как будет'!$A$45:$A$52,Доп.расчеты!$A242,'Как будет'!GS$45:GS$52)</f>
        <v>0</v>
      </c>
      <c r="GS242">
        <f>SUMIF('Как будет'!$A$45:$A$52,Доп.расчеты!$A242,'Как будет'!GT$45:GT$52)</f>
        <v>0</v>
      </c>
      <c r="GT242">
        <f>SUMIF('Как будет'!$A$45:$A$52,Доп.расчеты!$A242,'Как будет'!GU$45:GU$52)</f>
        <v>0</v>
      </c>
    </row>
    <row r="243" spans="1:202">
      <c r="A243" s="238" t="s">
        <v>92</v>
      </c>
      <c r="B243">
        <f>SUMIF('Как будет'!$A$45:$A$52,Доп.расчеты!$A243,'Как будет'!C$45:C$52)</f>
        <v>0</v>
      </c>
      <c r="C243">
        <f>SUMIF('Как будет'!$A$45:$A$52,Доп.расчеты!$A243,'Как будет'!D$45:D$52)</f>
        <v>0</v>
      </c>
      <c r="D243">
        <f>SUMIF('Как будет'!$A$45:$A$52,Доп.расчеты!$A243,'Как будет'!E$45:E$52)</f>
        <v>0</v>
      </c>
      <c r="E243">
        <f>SUMIF('Как будет'!$A$45:$A$52,Доп.расчеты!$A243,'Как будет'!F$45:F$52)</f>
        <v>0</v>
      </c>
      <c r="F243">
        <f>SUMIF('Как будет'!$A$45:$A$52,Доп.расчеты!$A243,'Как будет'!G$45:G$52)</f>
        <v>0</v>
      </c>
      <c r="G243">
        <f>SUMIF('Как будет'!$A$45:$A$52,Доп.расчеты!$A243,'Как будет'!H$45:H$52)</f>
        <v>0</v>
      </c>
      <c r="H243">
        <f>SUMIF('Как будет'!$A$45:$A$52,Доп.расчеты!$A243,'Как будет'!I$45:I$52)</f>
        <v>0</v>
      </c>
      <c r="I243">
        <f>SUMIF('Как будет'!$A$45:$A$52,Доп.расчеты!$A243,'Как будет'!J$45:J$52)</f>
        <v>0</v>
      </c>
      <c r="J243">
        <f>SUMIF('Как будет'!$A$45:$A$52,Доп.расчеты!$A243,'Как будет'!K$45:K$52)</f>
        <v>0</v>
      </c>
      <c r="K243">
        <f>SUMIF('Как будет'!$A$45:$A$52,Доп.расчеты!$A243,'Как будет'!L$45:L$52)</f>
        <v>0</v>
      </c>
      <c r="L243">
        <f>SUMIF('Как будет'!$A$45:$A$52,Доп.расчеты!$A243,'Как будет'!M$45:M$52)</f>
        <v>0</v>
      </c>
      <c r="M243">
        <f>SUMIF('Как будет'!$A$45:$A$52,Доп.расчеты!$A243,'Как будет'!N$45:N$52)</f>
        <v>0</v>
      </c>
      <c r="N243">
        <f>SUMIF('Как будет'!$A$45:$A$52,Доп.расчеты!$A243,'Как будет'!O$45:O$52)</f>
        <v>0</v>
      </c>
      <c r="O243">
        <f>SUMIF('Как будет'!$A$45:$A$52,Доп.расчеты!$A243,'Как будет'!P$45:P$52)</f>
        <v>0</v>
      </c>
      <c r="P243">
        <f>SUMIF('Как будет'!$A$45:$A$52,Доп.расчеты!$A243,'Как будет'!Q$45:Q$52)</f>
        <v>0</v>
      </c>
      <c r="Q243">
        <f>SUMIF('Как будет'!$A$45:$A$52,Доп.расчеты!$A243,'Как будет'!R$45:R$52)</f>
        <v>0</v>
      </c>
      <c r="R243">
        <f>SUMIF('Как будет'!$A$45:$A$52,Доп.расчеты!$A243,'Как будет'!S$45:S$52)</f>
        <v>0</v>
      </c>
      <c r="S243">
        <f>SUMIF('Как будет'!$A$45:$A$52,Доп.расчеты!$A243,'Как будет'!T$45:T$52)</f>
        <v>0</v>
      </c>
      <c r="T243">
        <f>SUMIF('Как будет'!$A$45:$A$52,Доп.расчеты!$A243,'Как будет'!U$45:U$52)</f>
        <v>0</v>
      </c>
      <c r="U243">
        <f>SUMIF('Как будет'!$A$45:$A$52,Доп.расчеты!$A243,'Как будет'!V$45:V$52)</f>
        <v>0</v>
      </c>
      <c r="V243">
        <f>SUMIF('Как будет'!$A$45:$A$52,Доп.расчеты!$A243,'Как будет'!W$45:W$52)</f>
        <v>0</v>
      </c>
      <c r="W243">
        <f>SUMIF('Как будет'!$A$45:$A$52,Доп.расчеты!$A243,'Как будет'!X$45:X$52)</f>
        <v>0</v>
      </c>
      <c r="X243">
        <f>SUMIF('Как будет'!$A$45:$A$52,Доп.расчеты!$A243,'Как будет'!Y$45:Y$52)</f>
        <v>0</v>
      </c>
      <c r="Y243">
        <f>SUMIF('Как будет'!$A$45:$A$52,Доп.расчеты!$A243,'Как будет'!Z$45:Z$52)</f>
        <v>0</v>
      </c>
      <c r="Z243">
        <f>SUMIF('Как будет'!$A$45:$A$52,Доп.расчеты!$A243,'Как будет'!AA$45:AA$52)</f>
        <v>0</v>
      </c>
      <c r="AA243">
        <f>SUMIF('Как будет'!$A$45:$A$52,Доп.расчеты!$A243,'Как будет'!AB$45:AB$52)</f>
        <v>0</v>
      </c>
      <c r="AB243">
        <f>SUMIF('Как будет'!$A$45:$A$52,Доп.расчеты!$A243,'Как будет'!AC$45:AC$52)</f>
        <v>0</v>
      </c>
      <c r="AC243">
        <f>SUMIF('Как будет'!$A$45:$A$52,Доп.расчеты!$A243,'Как будет'!AD$45:AD$52)</f>
        <v>0</v>
      </c>
      <c r="AD243">
        <f>SUMIF('Как будет'!$A$45:$A$52,Доп.расчеты!$A243,'Как будет'!AE$45:AE$52)</f>
        <v>0</v>
      </c>
      <c r="AE243">
        <f>SUMIF('Как будет'!$A$45:$A$52,Доп.расчеты!$A243,'Как будет'!AF$45:AF$52)</f>
        <v>0</v>
      </c>
      <c r="AF243">
        <f>SUMIF('Как будет'!$A$45:$A$52,Доп.расчеты!$A243,'Как будет'!AG$45:AG$52)</f>
        <v>0</v>
      </c>
      <c r="AG243">
        <f>SUMIF('Как будет'!$A$45:$A$52,Доп.расчеты!$A243,'Как будет'!AH$45:AH$52)</f>
        <v>0</v>
      </c>
      <c r="AH243">
        <f>SUMIF('Как будет'!$A$45:$A$52,Доп.расчеты!$A243,'Как будет'!AI$45:AI$52)</f>
        <v>0</v>
      </c>
      <c r="AI243">
        <f>SUMIF('Как будет'!$A$45:$A$52,Доп.расчеты!$A243,'Как будет'!AJ$45:AJ$52)</f>
        <v>0</v>
      </c>
      <c r="AJ243">
        <f>SUMIF('Как будет'!$A$45:$A$52,Доп.расчеты!$A243,'Как будет'!AK$45:AK$52)</f>
        <v>0</v>
      </c>
      <c r="AK243">
        <f>SUMIF('Как будет'!$A$45:$A$52,Доп.расчеты!$A243,'Как будет'!AL$45:AL$52)</f>
        <v>0</v>
      </c>
      <c r="AL243">
        <f>SUMIF('Как будет'!$A$45:$A$52,Доп.расчеты!$A243,'Как будет'!AM$45:AM$52)</f>
        <v>0</v>
      </c>
      <c r="AM243">
        <f>SUMIF('Как будет'!$A$45:$A$52,Доп.расчеты!$A243,'Как будет'!AN$45:AN$52)</f>
        <v>0</v>
      </c>
      <c r="AN243">
        <f>SUMIF('Как будет'!$A$45:$A$52,Доп.расчеты!$A243,'Как будет'!AO$45:AO$52)</f>
        <v>0</v>
      </c>
      <c r="AO243">
        <f>SUMIF('Как будет'!$A$45:$A$52,Доп.расчеты!$A243,'Как будет'!AP$45:AP$52)</f>
        <v>0</v>
      </c>
      <c r="AP243">
        <f>SUMIF('Как будет'!$A$45:$A$52,Доп.расчеты!$A243,'Как будет'!AQ$45:AQ$52)</f>
        <v>0</v>
      </c>
      <c r="AQ243">
        <f>SUMIF('Как будет'!$A$45:$A$52,Доп.расчеты!$A243,'Как будет'!AR$45:AR$52)</f>
        <v>0</v>
      </c>
      <c r="AR243">
        <f>SUMIF('Как будет'!$A$45:$A$52,Доп.расчеты!$A243,'Как будет'!AS$45:AS$52)</f>
        <v>0</v>
      </c>
      <c r="AS243">
        <f>SUMIF('Как будет'!$A$45:$A$52,Доп.расчеты!$A243,'Как будет'!AT$45:AT$52)</f>
        <v>0</v>
      </c>
      <c r="AT243">
        <f>SUMIF('Как будет'!$A$45:$A$52,Доп.расчеты!$A243,'Как будет'!AU$45:AU$52)</f>
        <v>0</v>
      </c>
      <c r="AU243">
        <f>SUMIF('Как будет'!$A$45:$A$52,Доп.расчеты!$A243,'Как будет'!AV$45:AV$52)</f>
        <v>0</v>
      </c>
      <c r="AV243">
        <f>SUMIF('Как будет'!$A$45:$A$52,Доп.расчеты!$A243,'Как будет'!AW$45:AW$52)</f>
        <v>0</v>
      </c>
      <c r="AW243">
        <f>SUMIF('Как будет'!$A$45:$A$52,Доп.расчеты!$A243,'Как будет'!AX$45:AX$52)</f>
        <v>0</v>
      </c>
      <c r="AX243">
        <f>SUMIF('Как будет'!$A$45:$A$52,Доп.расчеты!$A243,'Как будет'!AY$45:AY$52)</f>
        <v>0</v>
      </c>
      <c r="AY243">
        <f>SUMIF('Как будет'!$A$45:$A$52,Доп.расчеты!$A243,'Как будет'!AZ$45:AZ$52)</f>
        <v>0</v>
      </c>
      <c r="AZ243">
        <f>SUMIF('Как будет'!$A$45:$A$52,Доп.расчеты!$A243,'Как будет'!BA$45:BA$52)</f>
        <v>0</v>
      </c>
      <c r="BA243">
        <f>SUMIF('Как будет'!$A$45:$A$52,Доп.расчеты!$A243,'Как будет'!BB$45:BB$52)</f>
        <v>0</v>
      </c>
      <c r="BB243">
        <f>SUMIF('Как будет'!$A$45:$A$52,Доп.расчеты!$A243,'Как будет'!BC$45:BC$52)</f>
        <v>0</v>
      </c>
      <c r="BC243">
        <f>SUMIF('Как будет'!$A$45:$A$52,Доп.расчеты!$A243,'Как будет'!BD$45:BD$52)</f>
        <v>0</v>
      </c>
      <c r="BD243">
        <f>SUMIF('Как будет'!$A$45:$A$52,Доп.расчеты!$A243,'Как будет'!BE$45:BE$52)</f>
        <v>0</v>
      </c>
      <c r="BE243">
        <f>SUMIF('Как будет'!$A$45:$A$52,Доп.расчеты!$A243,'Как будет'!BF$45:BF$52)</f>
        <v>0</v>
      </c>
      <c r="BF243">
        <f>SUMIF('Как будет'!$A$45:$A$52,Доп.расчеты!$A243,'Как будет'!BG$45:BG$52)</f>
        <v>0</v>
      </c>
      <c r="BG243">
        <f>SUMIF('Как будет'!$A$45:$A$52,Доп.расчеты!$A243,'Как будет'!BH$45:BH$52)</f>
        <v>0</v>
      </c>
      <c r="BH243">
        <f>SUMIF('Как будет'!$A$45:$A$52,Доп.расчеты!$A243,'Как будет'!BI$45:BI$52)</f>
        <v>0</v>
      </c>
      <c r="BI243">
        <f>SUMIF('Как будет'!$A$45:$A$52,Доп.расчеты!$A243,'Как будет'!BJ$45:BJ$52)</f>
        <v>0</v>
      </c>
      <c r="BJ243">
        <f>SUMIF('Как будет'!$A$45:$A$52,Доп.расчеты!$A243,'Как будет'!BK$45:BK$52)</f>
        <v>0</v>
      </c>
      <c r="BK243">
        <f>SUMIF('Как будет'!$A$45:$A$52,Доп.расчеты!$A243,'Как будет'!BL$45:BL$52)</f>
        <v>0</v>
      </c>
      <c r="BL243">
        <f>SUMIF('Как будет'!$A$45:$A$52,Доп.расчеты!$A243,'Как будет'!BM$45:BM$52)</f>
        <v>0</v>
      </c>
      <c r="BM243">
        <f>SUMIF('Как будет'!$A$45:$A$52,Доп.расчеты!$A243,'Как будет'!BN$45:BN$52)</f>
        <v>0</v>
      </c>
      <c r="BN243">
        <f>SUMIF('Как будет'!$A$45:$A$52,Доп.расчеты!$A243,'Как будет'!BO$45:BO$52)</f>
        <v>0</v>
      </c>
      <c r="BO243">
        <f>SUMIF('Как будет'!$A$45:$A$52,Доп.расчеты!$A243,'Как будет'!BP$45:BP$52)</f>
        <v>0</v>
      </c>
      <c r="BP243">
        <f>SUMIF('Как будет'!$A$45:$A$52,Доп.расчеты!$A243,'Как будет'!BQ$45:BQ$52)</f>
        <v>0</v>
      </c>
      <c r="BQ243">
        <f>SUMIF('Как будет'!$A$45:$A$52,Доп.расчеты!$A243,'Как будет'!BR$45:BR$52)</f>
        <v>0</v>
      </c>
      <c r="BR243">
        <f>SUMIF('Как будет'!$A$45:$A$52,Доп.расчеты!$A243,'Как будет'!BS$45:BS$52)</f>
        <v>0</v>
      </c>
      <c r="BS243">
        <f>SUMIF('Как будет'!$A$45:$A$52,Доп.расчеты!$A243,'Как будет'!BT$45:BT$52)</f>
        <v>0</v>
      </c>
      <c r="BT243">
        <f>SUMIF('Как будет'!$A$45:$A$52,Доп.расчеты!$A243,'Как будет'!BU$45:BU$52)</f>
        <v>0</v>
      </c>
      <c r="BU243">
        <f>SUMIF('Как будет'!$A$45:$A$52,Доп.расчеты!$A243,'Как будет'!BV$45:BV$52)</f>
        <v>0</v>
      </c>
      <c r="BV243">
        <f>SUMIF('Как будет'!$A$45:$A$52,Доп.расчеты!$A243,'Как будет'!BW$45:BW$52)</f>
        <v>0</v>
      </c>
      <c r="BW243">
        <f>SUMIF('Как будет'!$A$45:$A$52,Доп.расчеты!$A243,'Как будет'!BX$45:BX$52)</f>
        <v>0</v>
      </c>
      <c r="BX243">
        <f>SUMIF('Как будет'!$A$45:$A$52,Доп.расчеты!$A243,'Как будет'!BY$45:BY$52)</f>
        <v>0</v>
      </c>
      <c r="BY243">
        <f>SUMIF('Как будет'!$A$45:$A$52,Доп.расчеты!$A243,'Как будет'!BZ$45:BZ$52)</f>
        <v>0</v>
      </c>
      <c r="BZ243">
        <f>SUMIF('Как будет'!$A$45:$A$52,Доп.расчеты!$A243,'Как будет'!CA$45:CA$52)</f>
        <v>0</v>
      </c>
      <c r="CA243">
        <f>SUMIF('Как будет'!$A$45:$A$52,Доп.расчеты!$A243,'Как будет'!CB$45:CB$52)</f>
        <v>0</v>
      </c>
      <c r="CB243">
        <f>SUMIF('Как будет'!$A$45:$A$52,Доп.расчеты!$A243,'Как будет'!CC$45:CC$52)</f>
        <v>0</v>
      </c>
      <c r="CC243">
        <f>SUMIF('Как будет'!$A$45:$A$52,Доп.расчеты!$A243,'Как будет'!CD$45:CD$52)</f>
        <v>0</v>
      </c>
      <c r="CD243">
        <f>SUMIF('Как будет'!$A$45:$A$52,Доп.расчеты!$A243,'Как будет'!CE$45:CE$52)</f>
        <v>0</v>
      </c>
      <c r="CE243">
        <f>SUMIF('Как будет'!$A$45:$A$52,Доп.расчеты!$A243,'Как будет'!CF$45:CF$52)</f>
        <v>0</v>
      </c>
      <c r="CF243">
        <f>SUMIF('Как будет'!$A$45:$A$52,Доп.расчеты!$A243,'Как будет'!CG$45:CG$52)</f>
        <v>0</v>
      </c>
      <c r="CG243">
        <f>SUMIF('Как будет'!$A$45:$A$52,Доп.расчеты!$A243,'Как будет'!CH$45:CH$52)</f>
        <v>0</v>
      </c>
      <c r="CH243">
        <f>SUMIF('Как будет'!$A$45:$A$52,Доп.расчеты!$A243,'Как будет'!CI$45:CI$52)</f>
        <v>0</v>
      </c>
      <c r="CI243">
        <f>SUMIF('Как будет'!$A$45:$A$52,Доп.расчеты!$A243,'Как будет'!CJ$45:CJ$52)</f>
        <v>0</v>
      </c>
      <c r="CJ243">
        <f>SUMIF('Как будет'!$A$45:$A$52,Доп.расчеты!$A243,'Как будет'!CK$45:CK$52)</f>
        <v>0</v>
      </c>
      <c r="CK243">
        <f>SUMIF('Как будет'!$A$45:$A$52,Доп.расчеты!$A243,'Как будет'!CL$45:CL$52)</f>
        <v>0</v>
      </c>
      <c r="CL243">
        <f>SUMIF('Как будет'!$A$45:$A$52,Доп.расчеты!$A243,'Как будет'!CM$45:CM$52)</f>
        <v>0</v>
      </c>
      <c r="CM243">
        <f>SUMIF('Как будет'!$A$45:$A$52,Доп.расчеты!$A243,'Как будет'!CN$45:CN$52)</f>
        <v>0</v>
      </c>
      <c r="CN243">
        <f>SUMIF('Как будет'!$A$45:$A$52,Доп.расчеты!$A243,'Как будет'!CO$45:CO$52)</f>
        <v>0</v>
      </c>
      <c r="CO243">
        <f>SUMIF('Как будет'!$A$45:$A$52,Доп.расчеты!$A243,'Как будет'!CP$45:CP$52)</f>
        <v>0</v>
      </c>
      <c r="CP243">
        <f>SUMIF('Как будет'!$A$45:$A$52,Доп.расчеты!$A243,'Как будет'!CQ$45:CQ$52)</f>
        <v>0</v>
      </c>
      <c r="CQ243">
        <f>SUMIF('Как будет'!$A$45:$A$52,Доп.расчеты!$A243,'Как будет'!CR$45:CR$52)</f>
        <v>0</v>
      </c>
      <c r="CR243">
        <f>SUMIF('Как будет'!$A$45:$A$52,Доп.расчеты!$A243,'Как будет'!CS$45:CS$52)</f>
        <v>0</v>
      </c>
      <c r="CS243">
        <f>SUMIF('Как будет'!$A$45:$A$52,Доп.расчеты!$A243,'Как будет'!CT$45:CT$52)</f>
        <v>0</v>
      </c>
      <c r="CT243">
        <f>SUMIF('Как будет'!$A$45:$A$52,Доп.расчеты!$A243,'Как будет'!CU$45:CU$52)</f>
        <v>0</v>
      </c>
      <c r="CU243">
        <f>SUMIF('Как будет'!$A$45:$A$52,Доп.расчеты!$A243,'Как будет'!CV$45:CV$52)</f>
        <v>0</v>
      </c>
      <c r="CV243">
        <f>SUMIF('Как будет'!$A$45:$A$52,Доп.расчеты!$A243,'Как будет'!CW$45:CW$52)</f>
        <v>0</v>
      </c>
      <c r="CW243">
        <f>SUMIF('Как будет'!$A$45:$A$52,Доп.расчеты!$A243,'Как будет'!CX$45:CX$52)</f>
        <v>0</v>
      </c>
      <c r="CX243">
        <f>SUMIF('Как будет'!$A$45:$A$52,Доп.расчеты!$A243,'Как будет'!CY$45:CY$52)</f>
        <v>0</v>
      </c>
      <c r="CY243">
        <f>SUMIF('Как будет'!$A$45:$A$52,Доп.расчеты!$A243,'Как будет'!CZ$45:CZ$52)</f>
        <v>0</v>
      </c>
      <c r="CZ243">
        <f>SUMIF('Как будет'!$A$45:$A$52,Доп.расчеты!$A243,'Как будет'!DA$45:DA$52)</f>
        <v>0</v>
      </c>
      <c r="DA243">
        <f>SUMIF('Как будет'!$A$45:$A$52,Доп.расчеты!$A243,'Как будет'!DB$45:DB$52)</f>
        <v>0</v>
      </c>
      <c r="DB243">
        <f>SUMIF('Как будет'!$A$45:$A$52,Доп.расчеты!$A243,'Как будет'!DC$45:DC$52)</f>
        <v>0</v>
      </c>
      <c r="DC243">
        <f>SUMIF('Как будет'!$A$45:$A$52,Доп.расчеты!$A243,'Как будет'!DD$45:DD$52)</f>
        <v>0</v>
      </c>
      <c r="DD243">
        <f>SUMIF('Как будет'!$A$45:$A$52,Доп.расчеты!$A243,'Как будет'!DE$45:DE$52)</f>
        <v>0</v>
      </c>
      <c r="DE243">
        <f>SUMIF('Как будет'!$A$45:$A$52,Доп.расчеты!$A243,'Как будет'!DF$45:DF$52)</f>
        <v>0</v>
      </c>
      <c r="DF243">
        <f>SUMIF('Как будет'!$A$45:$A$52,Доп.расчеты!$A243,'Как будет'!DG$45:DG$52)</f>
        <v>0</v>
      </c>
      <c r="DG243">
        <f>SUMIF('Как будет'!$A$45:$A$52,Доп.расчеты!$A243,'Как будет'!DH$45:DH$52)</f>
        <v>0</v>
      </c>
      <c r="DH243">
        <f>SUMIF('Как будет'!$A$45:$A$52,Доп.расчеты!$A243,'Как будет'!DI$45:DI$52)</f>
        <v>0</v>
      </c>
      <c r="DI243">
        <f>SUMIF('Как будет'!$A$45:$A$52,Доп.расчеты!$A243,'Как будет'!DJ$45:DJ$52)</f>
        <v>0</v>
      </c>
      <c r="DJ243">
        <f>SUMIF('Как будет'!$A$45:$A$52,Доп.расчеты!$A243,'Как будет'!DK$45:DK$52)</f>
        <v>0</v>
      </c>
      <c r="DK243">
        <f>SUMIF('Как будет'!$A$45:$A$52,Доп.расчеты!$A243,'Как будет'!DL$45:DL$52)</f>
        <v>0</v>
      </c>
      <c r="DL243">
        <f>SUMIF('Как будет'!$A$45:$A$52,Доп.расчеты!$A243,'Как будет'!DM$45:DM$52)</f>
        <v>0</v>
      </c>
      <c r="DM243">
        <f>SUMIF('Как будет'!$A$45:$A$52,Доп.расчеты!$A243,'Как будет'!DN$45:DN$52)</f>
        <v>0</v>
      </c>
      <c r="DN243">
        <f>SUMIF('Как будет'!$A$45:$A$52,Доп.расчеты!$A243,'Как будет'!DO$45:DO$52)</f>
        <v>0</v>
      </c>
      <c r="DO243">
        <f>SUMIF('Как будет'!$A$45:$A$52,Доп.расчеты!$A243,'Как будет'!DP$45:DP$52)</f>
        <v>0</v>
      </c>
      <c r="DP243">
        <f>SUMIF('Как будет'!$A$45:$A$52,Доп.расчеты!$A243,'Как будет'!DQ$45:DQ$52)</f>
        <v>0</v>
      </c>
      <c r="DQ243">
        <f>SUMIF('Как будет'!$A$45:$A$52,Доп.расчеты!$A243,'Как будет'!DR$45:DR$52)</f>
        <v>0</v>
      </c>
      <c r="DR243">
        <f>SUMIF('Как будет'!$A$45:$A$52,Доп.расчеты!$A243,'Как будет'!DS$45:DS$52)</f>
        <v>0</v>
      </c>
      <c r="DS243">
        <f>SUMIF('Как будет'!$A$45:$A$52,Доп.расчеты!$A243,'Как будет'!DT$45:DT$52)</f>
        <v>0</v>
      </c>
      <c r="DT243">
        <f>SUMIF('Как будет'!$A$45:$A$52,Доп.расчеты!$A243,'Как будет'!DU$45:DU$52)</f>
        <v>0</v>
      </c>
      <c r="DU243">
        <f>SUMIF('Как будет'!$A$45:$A$52,Доп.расчеты!$A243,'Как будет'!DV$45:DV$52)</f>
        <v>0</v>
      </c>
      <c r="DV243">
        <f>SUMIF('Как будет'!$A$45:$A$52,Доп.расчеты!$A243,'Как будет'!DW$45:DW$52)</f>
        <v>0</v>
      </c>
      <c r="DW243">
        <f>SUMIF('Как будет'!$A$45:$A$52,Доп.расчеты!$A243,'Как будет'!DX$45:DX$52)</f>
        <v>0</v>
      </c>
      <c r="DX243">
        <f>SUMIF('Как будет'!$A$45:$A$52,Доп.расчеты!$A243,'Как будет'!DY$45:DY$52)</f>
        <v>0</v>
      </c>
      <c r="DY243">
        <f>SUMIF('Как будет'!$A$45:$A$52,Доп.расчеты!$A243,'Как будет'!DZ$45:DZ$52)</f>
        <v>0</v>
      </c>
      <c r="DZ243">
        <f>SUMIF('Как будет'!$A$45:$A$52,Доп.расчеты!$A243,'Как будет'!EA$45:EA$52)</f>
        <v>0</v>
      </c>
      <c r="EA243">
        <f>SUMIF('Как будет'!$A$45:$A$52,Доп.расчеты!$A243,'Как будет'!EB$45:EB$52)</f>
        <v>0</v>
      </c>
      <c r="EB243">
        <f>SUMIF('Как будет'!$A$45:$A$52,Доп.расчеты!$A243,'Как будет'!EC$45:EC$52)</f>
        <v>0</v>
      </c>
      <c r="EC243">
        <f>SUMIF('Как будет'!$A$45:$A$52,Доп.расчеты!$A243,'Как будет'!ED$45:ED$52)</f>
        <v>0</v>
      </c>
      <c r="ED243">
        <f>SUMIF('Как будет'!$A$45:$A$52,Доп.расчеты!$A243,'Как будет'!EE$45:EE$52)</f>
        <v>0</v>
      </c>
      <c r="EE243">
        <f>SUMIF('Как будет'!$A$45:$A$52,Доп.расчеты!$A243,'Как будет'!EF$45:EF$52)</f>
        <v>0</v>
      </c>
      <c r="EF243">
        <f>SUMIF('Как будет'!$A$45:$A$52,Доп.расчеты!$A243,'Как будет'!EG$45:EG$52)</f>
        <v>0</v>
      </c>
      <c r="EG243">
        <f>SUMIF('Как будет'!$A$45:$A$52,Доп.расчеты!$A243,'Как будет'!EH$45:EH$52)</f>
        <v>0</v>
      </c>
      <c r="EH243">
        <f>SUMIF('Как будет'!$A$45:$A$52,Доп.расчеты!$A243,'Как будет'!EI$45:EI$52)</f>
        <v>0</v>
      </c>
      <c r="EI243">
        <f>SUMIF('Как будет'!$A$45:$A$52,Доп.расчеты!$A243,'Как будет'!EJ$45:EJ$52)</f>
        <v>0</v>
      </c>
      <c r="EJ243">
        <f>SUMIF('Как будет'!$A$45:$A$52,Доп.расчеты!$A243,'Как будет'!EK$45:EK$52)</f>
        <v>0</v>
      </c>
      <c r="EK243">
        <f>SUMIF('Как будет'!$A$45:$A$52,Доп.расчеты!$A243,'Как будет'!EL$45:EL$52)</f>
        <v>0</v>
      </c>
      <c r="EL243">
        <f>SUMIF('Как будет'!$A$45:$A$52,Доп.расчеты!$A243,'Как будет'!EM$45:EM$52)</f>
        <v>0</v>
      </c>
      <c r="EM243">
        <f>SUMIF('Как будет'!$A$45:$A$52,Доп.расчеты!$A243,'Как будет'!EN$45:EN$52)</f>
        <v>0</v>
      </c>
      <c r="EN243">
        <f>SUMIF('Как будет'!$A$45:$A$52,Доп.расчеты!$A243,'Как будет'!EO$45:EO$52)</f>
        <v>0</v>
      </c>
      <c r="EO243">
        <f>SUMIF('Как будет'!$A$45:$A$52,Доп.расчеты!$A243,'Как будет'!EP$45:EP$52)</f>
        <v>0</v>
      </c>
      <c r="EP243">
        <f>SUMIF('Как будет'!$A$45:$A$52,Доп.расчеты!$A243,'Как будет'!EQ$45:EQ$52)</f>
        <v>0</v>
      </c>
      <c r="EQ243">
        <f>SUMIF('Как будет'!$A$45:$A$52,Доп.расчеты!$A243,'Как будет'!ER$45:ER$52)</f>
        <v>0</v>
      </c>
      <c r="ER243">
        <f>SUMIF('Как будет'!$A$45:$A$52,Доп.расчеты!$A243,'Как будет'!ES$45:ES$52)</f>
        <v>0</v>
      </c>
      <c r="ES243">
        <f>SUMIF('Как будет'!$A$45:$A$52,Доп.расчеты!$A243,'Как будет'!ET$45:ET$52)</f>
        <v>0</v>
      </c>
      <c r="ET243">
        <f>SUMIF('Как будет'!$A$45:$A$52,Доп.расчеты!$A243,'Как будет'!EU$45:EU$52)</f>
        <v>0</v>
      </c>
      <c r="EU243">
        <f>SUMIF('Как будет'!$A$45:$A$52,Доп.расчеты!$A243,'Как будет'!EV$45:EV$52)</f>
        <v>0</v>
      </c>
      <c r="EV243">
        <f>SUMIF('Как будет'!$A$45:$A$52,Доп.расчеты!$A243,'Как будет'!EW$45:EW$52)</f>
        <v>0</v>
      </c>
      <c r="EW243">
        <f>SUMIF('Как будет'!$A$45:$A$52,Доп.расчеты!$A243,'Как будет'!EX$45:EX$52)</f>
        <v>0</v>
      </c>
      <c r="EX243">
        <f>SUMIF('Как будет'!$A$45:$A$52,Доп.расчеты!$A243,'Как будет'!EY$45:EY$52)</f>
        <v>0</v>
      </c>
      <c r="EY243">
        <f>SUMIF('Как будет'!$A$45:$A$52,Доп.расчеты!$A243,'Как будет'!EZ$45:EZ$52)</f>
        <v>0</v>
      </c>
      <c r="EZ243">
        <f>SUMIF('Как будет'!$A$45:$A$52,Доп.расчеты!$A243,'Как будет'!FA$45:FA$52)</f>
        <v>0</v>
      </c>
      <c r="FA243">
        <f>SUMIF('Как будет'!$A$45:$A$52,Доп.расчеты!$A243,'Как будет'!FB$45:FB$52)</f>
        <v>0</v>
      </c>
      <c r="FB243">
        <f>SUMIF('Как будет'!$A$45:$A$52,Доп.расчеты!$A243,'Как будет'!FC$45:FC$52)</f>
        <v>0</v>
      </c>
      <c r="FC243">
        <f>SUMIF('Как будет'!$A$45:$A$52,Доп.расчеты!$A243,'Как будет'!FD$45:FD$52)</f>
        <v>0</v>
      </c>
      <c r="FD243">
        <f>SUMIF('Как будет'!$A$45:$A$52,Доп.расчеты!$A243,'Как будет'!FE$45:FE$52)</f>
        <v>0</v>
      </c>
      <c r="FE243">
        <f>SUMIF('Как будет'!$A$45:$A$52,Доп.расчеты!$A243,'Как будет'!FF$45:FF$52)</f>
        <v>0</v>
      </c>
      <c r="FF243">
        <f>SUMIF('Как будет'!$A$45:$A$52,Доп.расчеты!$A243,'Как будет'!FG$45:FG$52)</f>
        <v>0</v>
      </c>
      <c r="FG243">
        <f>SUMIF('Как будет'!$A$45:$A$52,Доп.расчеты!$A243,'Как будет'!FH$45:FH$52)</f>
        <v>0</v>
      </c>
      <c r="FH243">
        <f>SUMIF('Как будет'!$A$45:$A$52,Доп.расчеты!$A243,'Как будет'!FI$45:FI$52)</f>
        <v>0</v>
      </c>
      <c r="FI243">
        <f>SUMIF('Как будет'!$A$45:$A$52,Доп.расчеты!$A243,'Как будет'!FJ$45:FJ$52)</f>
        <v>0</v>
      </c>
      <c r="FJ243">
        <f>SUMIF('Как будет'!$A$45:$A$52,Доп.расчеты!$A243,'Как будет'!FK$45:FK$52)</f>
        <v>0</v>
      </c>
      <c r="FK243">
        <f>SUMIF('Как будет'!$A$45:$A$52,Доп.расчеты!$A243,'Как будет'!FL$45:FL$52)</f>
        <v>0</v>
      </c>
      <c r="FL243">
        <f>SUMIF('Как будет'!$A$45:$A$52,Доп.расчеты!$A243,'Как будет'!FM$45:FM$52)</f>
        <v>0</v>
      </c>
      <c r="FM243">
        <f>SUMIF('Как будет'!$A$45:$A$52,Доп.расчеты!$A243,'Как будет'!FN$45:FN$52)</f>
        <v>0</v>
      </c>
      <c r="FN243">
        <f>SUMIF('Как будет'!$A$45:$A$52,Доп.расчеты!$A243,'Как будет'!FO$45:FO$52)</f>
        <v>0</v>
      </c>
      <c r="FO243">
        <f>SUMIF('Как будет'!$A$45:$A$52,Доп.расчеты!$A243,'Как будет'!FP$45:FP$52)</f>
        <v>0</v>
      </c>
      <c r="FP243">
        <f>SUMIF('Как будет'!$A$45:$A$52,Доп.расчеты!$A243,'Как будет'!FQ$45:FQ$52)</f>
        <v>0</v>
      </c>
      <c r="FQ243">
        <f>SUMIF('Как будет'!$A$45:$A$52,Доп.расчеты!$A243,'Как будет'!FR$45:FR$52)</f>
        <v>0</v>
      </c>
      <c r="FR243">
        <f>SUMIF('Как будет'!$A$45:$A$52,Доп.расчеты!$A243,'Как будет'!FS$45:FS$52)</f>
        <v>0</v>
      </c>
      <c r="FS243">
        <f>SUMIF('Как будет'!$A$45:$A$52,Доп.расчеты!$A243,'Как будет'!FT$45:FT$52)</f>
        <v>0</v>
      </c>
      <c r="FT243">
        <f>SUMIF('Как будет'!$A$45:$A$52,Доп.расчеты!$A243,'Как будет'!FU$45:FU$52)</f>
        <v>0</v>
      </c>
      <c r="FU243">
        <f>SUMIF('Как будет'!$A$45:$A$52,Доп.расчеты!$A243,'Как будет'!FV$45:FV$52)</f>
        <v>0</v>
      </c>
      <c r="FV243">
        <f>SUMIF('Как будет'!$A$45:$A$52,Доп.расчеты!$A243,'Как будет'!FW$45:FW$52)</f>
        <v>0</v>
      </c>
      <c r="FW243">
        <f>SUMIF('Как будет'!$A$45:$A$52,Доп.расчеты!$A243,'Как будет'!FX$45:FX$52)</f>
        <v>0</v>
      </c>
      <c r="FX243">
        <f>SUMIF('Как будет'!$A$45:$A$52,Доп.расчеты!$A243,'Как будет'!FY$45:FY$52)</f>
        <v>0</v>
      </c>
      <c r="FY243">
        <f>SUMIF('Как будет'!$A$45:$A$52,Доп.расчеты!$A243,'Как будет'!FZ$45:FZ$52)</f>
        <v>0</v>
      </c>
      <c r="FZ243">
        <f>SUMIF('Как будет'!$A$45:$A$52,Доп.расчеты!$A243,'Как будет'!GA$45:GA$52)</f>
        <v>0</v>
      </c>
      <c r="GA243">
        <f>SUMIF('Как будет'!$A$45:$A$52,Доп.расчеты!$A243,'Как будет'!GB$45:GB$52)</f>
        <v>0</v>
      </c>
      <c r="GB243">
        <f>SUMIF('Как будет'!$A$45:$A$52,Доп.расчеты!$A243,'Как будет'!GC$45:GC$52)</f>
        <v>0</v>
      </c>
      <c r="GC243">
        <f>SUMIF('Как будет'!$A$45:$A$52,Доп.расчеты!$A243,'Как будет'!GD$45:GD$52)</f>
        <v>0</v>
      </c>
      <c r="GD243">
        <f>SUMIF('Как будет'!$A$45:$A$52,Доп.расчеты!$A243,'Как будет'!GE$45:GE$52)</f>
        <v>0</v>
      </c>
      <c r="GE243">
        <f>SUMIF('Как будет'!$A$45:$A$52,Доп.расчеты!$A243,'Как будет'!GF$45:GF$52)</f>
        <v>0</v>
      </c>
      <c r="GF243">
        <f>SUMIF('Как будет'!$A$45:$A$52,Доп.расчеты!$A243,'Как будет'!GG$45:GG$52)</f>
        <v>0</v>
      </c>
      <c r="GG243">
        <f>SUMIF('Как будет'!$A$45:$A$52,Доп.расчеты!$A243,'Как будет'!GH$45:GH$52)</f>
        <v>0</v>
      </c>
      <c r="GH243">
        <f>SUMIF('Как будет'!$A$45:$A$52,Доп.расчеты!$A243,'Как будет'!GI$45:GI$52)</f>
        <v>0</v>
      </c>
      <c r="GI243">
        <f>SUMIF('Как будет'!$A$45:$A$52,Доп.расчеты!$A243,'Как будет'!GJ$45:GJ$52)</f>
        <v>0</v>
      </c>
      <c r="GJ243">
        <f>SUMIF('Как будет'!$A$45:$A$52,Доп.расчеты!$A243,'Как будет'!GK$45:GK$52)</f>
        <v>0</v>
      </c>
      <c r="GK243">
        <f>SUMIF('Как будет'!$A$45:$A$52,Доп.расчеты!$A243,'Как будет'!GL$45:GL$52)</f>
        <v>0</v>
      </c>
      <c r="GL243">
        <f>SUMIF('Как будет'!$A$45:$A$52,Доп.расчеты!$A243,'Как будет'!GM$45:GM$52)</f>
        <v>0</v>
      </c>
      <c r="GM243">
        <f>SUMIF('Как будет'!$A$45:$A$52,Доп.расчеты!$A243,'Как будет'!GN$45:GN$52)</f>
        <v>0</v>
      </c>
      <c r="GN243">
        <f>SUMIF('Как будет'!$A$45:$A$52,Доп.расчеты!$A243,'Как будет'!GO$45:GO$52)</f>
        <v>0</v>
      </c>
      <c r="GO243">
        <f>SUMIF('Как будет'!$A$45:$A$52,Доп.расчеты!$A243,'Как будет'!GP$45:GP$52)</f>
        <v>0</v>
      </c>
      <c r="GP243">
        <f>SUMIF('Как будет'!$A$45:$A$52,Доп.расчеты!$A243,'Как будет'!GQ$45:GQ$52)</f>
        <v>0</v>
      </c>
      <c r="GQ243">
        <f>SUMIF('Как будет'!$A$45:$A$52,Доп.расчеты!$A243,'Как будет'!GR$45:GR$52)</f>
        <v>0</v>
      </c>
      <c r="GR243">
        <f>SUMIF('Как будет'!$A$45:$A$52,Доп.расчеты!$A243,'Как будет'!GS$45:GS$52)</f>
        <v>0</v>
      </c>
      <c r="GS243">
        <f>SUMIF('Как будет'!$A$45:$A$52,Доп.расчеты!$A243,'Как будет'!GT$45:GT$52)</f>
        <v>0</v>
      </c>
      <c r="GT243">
        <f>SUMIF('Как будет'!$A$45:$A$52,Доп.расчеты!$A243,'Как будет'!GU$45:GU$52)</f>
        <v>0</v>
      </c>
    </row>
    <row r="244" spans="1:202">
      <c r="A244" s="238" t="s">
        <v>93</v>
      </c>
      <c r="B244">
        <f>SUMIF('Как будет'!$A$45:$A$52,Доп.расчеты!$A244,'Как будет'!C$45:C$52)</f>
        <v>0</v>
      </c>
      <c r="C244">
        <f>SUMIF('Как будет'!$A$45:$A$52,Доп.расчеты!$A244,'Как будет'!D$45:D$52)</f>
        <v>0</v>
      </c>
      <c r="D244">
        <f>SUMIF('Как будет'!$A$45:$A$52,Доп.расчеты!$A244,'Как будет'!E$45:E$52)</f>
        <v>0</v>
      </c>
      <c r="E244">
        <f>SUMIF('Как будет'!$A$45:$A$52,Доп.расчеты!$A244,'Как будет'!F$45:F$52)</f>
        <v>0</v>
      </c>
      <c r="F244">
        <f>SUMIF('Как будет'!$A$45:$A$52,Доп.расчеты!$A244,'Как будет'!G$45:G$52)</f>
        <v>0</v>
      </c>
      <c r="G244">
        <f>SUMIF('Как будет'!$A$45:$A$52,Доп.расчеты!$A244,'Как будет'!H$45:H$52)</f>
        <v>0</v>
      </c>
      <c r="H244">
        <f>SUMIF('Как будет'!$A$45:$A$52,Доп.расчеты!$A244,'Как будет'!I$45:I$52)</f>
        <v>0</v>
      </c>
      <c r="I244">
        <f>SUMIF('Как будет'!$A$45:$A$52,Доп.расчеты!$A244,'Как будет'!J$45:J$52)</f>
        <v>0</v>
      </c>
      <c r="J244">
        <f>SUMIF('Как будет'!$A$45:$A$52,Доп.расчеты!$A244,'Как будет'!K$45:K$52)</f>
        <v>0</v>
      </c>
      <c r="K244">
        <f>SUMIF('Как будет'!$A$45:$A$52,Доп.расчеты!$A244,'Как будет'!L$45:L$52)</f>
        <v>0</v>
      </c>
      <c r="L244">
        <f>SUMIF('Как будет'!$A$45:$A$52,Доп.расчеты!$A244,'Как будет'!M$45:M$52)</f>
        <v>0</v>
      </c>
      <c r="M244">
        <f>SUMIF('Как будет'!$A$45:$A$52,Доп.расчеты!$A244,'Как будет'!N$45:N$52)</f>
        <v>0</v>
      </c>
      <c r="N244">
        <f>SUMIF('Как будет'!$A$45:$A$52,Доп.расчеты!$A244,'Как будет'!O$45:O$52)</f>
        <v>0</v>
      </c>
      <c r="O244">
        <f>SUMIF('Как будет'!$A$45:$A$52,Доп.расчеты!$A244,'Как будет'!P$45:P$52)</f>
        <v>0</v>
      </c>
      <c r="P244">
        <f>SUMIF('Как будет'!$A$45:$A$52,Доп.расчеты!$A244,'Как будет'!Q$45:Q$52)</f>
        <v>0</v>
      </c>
      <c r="Q244">
        <f>SUMIF('Как будет'!$A$45:$A$52,Доп.расчеты!$A244,'Как будет'!R$45:R$52)</f>
        <v>0</v>
      </c>
      <c r="R244">
        <f>SUMIF('Как будет'!$A$45:$A$52,Доп.расчеты!$A244,'Как будет'!S$45:S$52)</f>
        <v>0</v>
      </c>
      <c r="S244">
        <f>SUMIF('Как будет'!$A$45:$A$52,Доп.расчеты!$A244,'Как будет'!T$45:T$52)</f>
        <v>0</v>
      </c>
      <c r="T244">
        <f>SUMIF('Как будет'!$A$45:$A$52,Доп.расчеты!$A244,'Как будет'!U$45:U$52)</f>
        <v>0</v>
      </c>
      <c r="U244">
        <f>SUMIF('Как будет'!$A$45:$A$52,Доп.расчеты!$A244,'Как будет'!V$45:V$52)</f>
        <v>0</v>
      </c>
      <c r="V244">
        <f>SUMIF('Как будет'!$A$45:$A$52,Доп.расчеты!$A244,'Как будет'!W$45:W$52)</f>
        <v>0</v>
      </c>
      <c r="W244">
        <f>SUMIF('Как будет'!$A$45:$A$52,Доп.расчеты!$A244,'Как будет'!X$45:X$52)</f>
        <v>0</v>
      </c>
      <c r="X244">
        <f>SUMIF('Как будет'!$A$45:$A$52,Доп.расчеты!$A244,'Как будет'!Y$45:Y$52)</f>
        <v>0</v>
      </c>
      <c r="Y244">
        <f>SUMIF('Как будет'!$A$45:$A$52,Доп.расчеты!$A244,'Как будет'!Z$45:Z$52)</f>
        <v>0</v>
      </c>
      <c r="Z244">
        <f>SUMIF('Как будет'!$A$45:$A$52,Доп.расчеты!$A244,'Как будет'!AA$45:AA$52)</f>
        <v>0</v>
      </c>
      <c r="AA244">
        <f>SUMIF('Как будет'!$A$45:$A$52,Доп.расчеты!$A244,'Как будет'!AB$45:AB$52)</f>
        <v>0</v>
      </c>
      <c r="AB244">
        <f>SUMIF('Как будет'!$A$45:$A$52,Доп.расчеты!$A244,'Как будет'!AC$45:AC$52)</f>
        <v>0</v>
      </c>
      <c r="AC244">
        <f>SUMIF('Как будет'!$A$45:$A$52,Доп.расчеты!$A244,'Как будет'!AD$45:AD$52)</f>
        <v>0</v>
      </c>
      <c r="AD244">
        <f>SUMIF('Как будет'!$A$45:$A$52,Доп.расчеты!$A244,'Как будет'!AE$45:AE$52)</f>
        <v>0</v>
      </c>
      <c r="AE244">
        <f>SUMIF('Как будет'!$A$45:$A$52,Доп.расчеты!$A244,'Как будет'!AF$45:AF$52)</f>
        <v>0</v>
      </c>
      <c r="AF244">
        <f>SUMIF('Как будет'!$A$45:$A$52,Доп.расчеты!$A244,'Как будет'!AG$45:AG$52)</f>
        <v>0</v>
      </c>
      <c r="AG244">
        <f>SUMIF('Как будет'!$A$45:$A$52,Доп.расчеты!$A244,'Как будет'!AH$45:AH$52)</f>
        <v>0</v>
      </c>
      <c r="AH244">
        <f>SUMIF('Как будет'!$A$45:$A$52,Доп.расчеты!$A244,'Как будет'!AI$45:AI$52)</f>
        <v>0</v>
      </c>
      <c r="AI244">
        <f>SUMIF('Как будет'!$A$45:$A$52,Доп.расчеты!$A244,'Как будет'!AJ$45:AJ$52)</f>
        <v>0</v>
      </c>
      <c r="AJ244">
        <f>SUMIF('Как будет'!$A$45:$A$52,Доп.расчеты!$A244,'Как будет'!AK$45:AK$52)</f>
        <v>0</v>
      </c>
      <c r="AK244">
        <f>SUMIF('Как будет'!$A$45:$A$52,Доп.расчеты!$A244,'Как будет'!AL$45:AL$52)</f>
        <v>0</v>
      </c>
      <c r="AL244">
        <f>SUMIF('Как будет'!$A$45:$A$52,Доп.расчеты!$A244,'Как будет'!AM$45:AM$52)</f>
        <v>0</v>
      </c>
      <c r="AM244">
        <f>SUMIF('Как будет'!$A$45:$A$52,Доп.расчеты!$A244,'Как будет'!AN$45:AN$52)</f>
        <v>0</v>
      </c>
      <c r="AN244">
        <f>SUMIF('Как будет'!$A$45:$A$52,Доп.расчеты!$A244,'Как будет'!AO$45:AO$52)</f>
        <v>0</v>
      </c>
      <c r="AO244">
        <f>SUMIF('Как будет'!$A$45:$A$52,Доп.расчеты!$A244,'Как будет'!AP$45:AP$52)</f>
        <v>0</v>
      </c>
      <c r="AP244">
        <f>SUMIF('Как будет'!$A$45:$A$52,Доп.расчеты!$A244,'Как будет'!AQ$45:AQ$52)</f>
        <v>0</v>
      </c>
      <c r="AQ244">
        <f>SUMIF('Как будет'!$A$45:$A$52,Доп.расчеты!$A244,'Как будет'!AR$45:AR$52)</f>
        <v>0</v>
      </c>
      <c r="AR244">
        <f>SUMIF('Как будет'!$A$45:$A$52,Доп.расчеты!$A244,'Как будет'!AS$45:AS$52)</f>
        <v>0</v>
      </c>
      <c r="AS244">
        <f>SUMIF('Как будет'!$A$45:$A$52,Доп.расчеты!$A244,'Как будет'!AT$45:AT$52)</f>
        <v>0</v>
      </c>
      <c r="AT244">
        <f>SUMIF('Как будет'!$A$45:$A$52,Доп.расчеты!$A244,'Как будет'!AU$45:AU$52)</f>
        <v>0</v>
      </c>
      <c r="AU244">
        <f>SUMIF('Как будет'!$A$45:$A$52,Доп.расчеты!$A244,'Как будет'!AV$45:AV$52)</f>
        <v>0</v>
      </c>
      <c r="AV244">
        <f>SUMIF('Как будет'!$A$45:$A$52,Доп.расчеты!$A244,'Как будет'!AW$45:AW$52)</f>
        <v>0</v>
      </c>
      <c r="AW244">
        <f>SUMIF('Как будет'!$A$45:$A$52,Доп.расчеты!$A244,'Как будет'!AX$45:AX$52)</f>
        <v>0</v>
      </c>
      <c r="AX244">
        <f>SUMIF('Как будет'!$A$45:$A$52,Доп.расчеты!$A244,'Как будет'!AY$45:AY$52)</f>
        <v>0</v>
      </c>
      <c r="AY244">
        <f>SUMIF('Как будет'!$A$45:$A$52,Доп.расчеты!$A244,'Как будет'!AZ$45:AZ$52)</f>
        <v>0</v>
      </c>
      <c r="AZ244">
        <f>SUMIF('Как будет'!$A$45:$A$52,Доп.расчеты!$A244,'Как будет'!BA$45:BA$52)</f>
        <v>0</v>
      </c>
      <c r="BA244">
        <f>SUMIF('Как будет'!$A$45:$A$52,Доп.расчеты!$A244,'Как будет'!BB$45:BB$52)</f>
        <v>0</v>
      </c>
      <c r="BB244">
        <f>SUMIF('Как будет'!$A$45:$A$52,Доп.расчеты!$A244,'Как будет'!BC$45:BC$52)</f>
        <v>0</v>
      </c>
      <c r="BC244">
        <f>SUMIF('Как будет'!$A$45:$A$52,Доп.расчеты!$A244,'Как будет'!BD$45:BD$52)</f>
        <v>0</v>
      </c>
      <c r="BD244">
        <f>SUMIF('Как будет'!$A$45:$A$52,Доп.расчеты!$A244,'Как будет'!BE$45:BE$52)</f>
        <v>0</v>
      </c>
      <c r="BE244">
        <f>SUMIF('Как будет'!$A$45:$A$52,Доп.расчеты!$A244,'Как будет'!BF$45:BF$52)</f>
        <v>0</v>
      </c>
      <c r="BF244">
        <f>SUMIF('Как будет'!$A$45:$A$52,Доп.расчеты!$A244,'Как будет'!BG$45:BG$52)</f>
        <v>0</v>
      </c>
      <c r="BG244">
        <f>SUMIF('Как будет'!$A$45:$A$52,Доп.расчеты!$A244,'Как будет'!BH$45:BH$52)</f>
        <v>0</v>
      </c>
      <c r="BH244">
        <f>SUMIF('Как будет'!$A$45:$A$52,Доп.расчеты!$A244,'Как будет'!BI$45:BI$52)</f>
        <v>0</v>
      </c>
      <c r="BI244">
        <f>SUMIF('Как будет'!$A$45:$A$52,Доп.расчеты!$A244,'Как будет'!BJ$45:BJ$52)</f>
        <v>0</v>
      </c>
      <c r="BJ244">
        <f>SUMIF('Как будет'!$A$45:$A$52,Доп.расчеты!$A244,'Как будет'!BK$45:BK$52)</f>
        <v>0</v>
      </c>
      <c r="BK244">
        <f>SUMIF('Как будет'!$A$45:$A$52,Доп.расчеты!$A244,'Как будет'!BL$45:BL$52)</f>
        <v>0</v>
      </c>
      <c r="BL244">
        <f>SUMIF('Как будет'!$A$45:$A$52,Доп.расчеты!$A244,'Как будет'!BM$45:BM$52)</f>
        <v>0</v>
      </c>
      <c r="BM244">
        <f>SUMIF('Как будет'!$A$45:$A$52,Доп.расчеты!$A244,'Как будет'!BN$45:BN$52)</f>
        <v>0</v>
      </c>
      <c r="BN244">
        <f>SUMIF('Как будет'!$A$45:$A$52,Доп.расчеты!$A244,'Как будет'!BO$45:BO$52)</f>
        <v>0</v>
      </c>
      <c r="BO244">
        <f>SUMIF('Как будет'!$A$45:$A$52,Доп.расчеты!$A244,'Как будет'!BP$45:BP$52)</f>
        <v>0</v>
      </c>
      <c r="BP244">
        <f>SUMIF('Как будет'!$A$45:$A$52,Доп.расчеты!$A244,'Как будет'!BQ$45:BQ$52)</f>
        <v>0</v>
      </c>
      <c r="BQ244">
        <f>SUMIF('Как будет'!$A$45:$A$52,Доп.расчеты!$A244,'Как будет'!BR$45:BR$52)</f>
        <v>0</v>
      </c>
      <c r="BR244">
        <f>SUMIF('Как будет'!$A$45:$A$52,Доп.расчеты!$A244,'Как будет'!BS$45:BS$52)</f>
        <v>0</v>
      </c>
      <c r="BS244">
        <f>SUMIF('Как будет'!$A$45:$A$52,Доп.расчеты!$A244,'Как будет'!BT$45:BT$52)</f>
        <v>0</v>
      </c>
      <c r="BT244">
        <f>SUMIF('Как будет'!$A$45:$A$52,Доп.расчеты!$A244,'Как будет'!BU$45:BU$52)</f>
        <v>0</v>
      </c>
      <c r="BU244">
        <f>SUMIF('Как будет'!$A$45:$A$52,Доп.расчеты!$A244,'Как будет'!BV$45:BV$52)</f>
        <v>0</v>
      </c>
      <c r="BV244">
        <f>SUMIF('Как будет'!$A$45:$A$52,Доп.расчеты!$A244,'Как будет'!BW$45:BW$52)</f>
        <v>0</v>
      </c>
      <c r="BW244">
        <f>SUMIF('Как будет'!$A$45:$A$52,Доп.расчеты!$A244,'Как будет'!BX$45:BX$52)</f>
        <v>0</v>
      </c>
      <c r="BX244">
        <f>SUMIF('Как будет'!$A$45:$A$52,Доп.расчеты!$A244,'Как будет'!BY$45:BY$52)</f>
        <v>0</v>
      </c>
      <c r="BY244">
        <f>SUMIF('Как будет'!$A$45:$A$52,Доп.расчеты!$A244,'Как будет'!BZ$45:BZ$52)</f>
        <v>0</v>
      </c>
      <c r="BZ244">
        <f>SUMIF('Как будет'!$A$45:$A$52,Доп.расчеты!$A244,'Как будет'!CA$45:CA$52)</f>
        <v>0</v>
      </c>
      <c r="CA244">
        <f>SUMIF('Как будет'!$A$45:$A$52,Доп.расчеты!$A244,'Как будет'!CB$45:CB$52)</f>
        <v>0</v>
      </c>
      <c r="CB244">
        <f>SUMIF('Как будет'!$A$45:$A$52,Доп.расчеты!$A244,'Как будет'!CC$45:CC$52)</f>
        <v>0</v>
      </c>
      <c r="CC244">
        <f>SUMIF('Как будет'!$A$45:$A$52,Доп.расчеты!$A244,'Как будет'!CD$45:CD$52)</f>
        <v>0</v>
      </c>
      <c r="CD244">
        <f>SUMIF('Как будет'!$A$45:$A$52,Доп.расчеты!$A244,'Как будет'!CE$45:CE$52)</f>
        <v>0</v>
      </c>
      <c r="CE244">
        <f>SUMIF('Как будет'!$A$45:$A$52,Доп.расчеты!$A244,'Как будет'!CF$45:CF$52)</f>
        <v>0</v>
      </c>
      <c r="CF244">
        <f>SUMIF('Как будет'!$A$45:$A$52,Доп.расчеты!$A244,'Как будет'!CG$45:CG$52)</f>
        <v>0</v>
      </c>
      <c r="CG244">
        <f>SUMIF('Как будет'!$A$45:$A$52,Доп.расчеты!$A244,'Как будет'!CH$45:CH$52)</f>
        <v>0</v>
      </c>
      <c r="CH244">
        <f>SUMIF('Как будет'!$A$45:$A$52,Доп.расчеты!$A244,'Как будет'!CI$45:CI$52)</f>
        <v>0</v>
      </c>
      <c r="CI244">
        <f>SUMIF('Как будет'!$A$45:$A$52,Доп.расчеты!$A244,'Как будет'!CJ$45:CJ$52)</f>
        <v>0</v>
      </c>
      <c r="CJ244">
        <f>SUMIF('Как будет'!$A$45:$A$52,Доп.расчеты!$A244,'Как будет'!CK$45:CK$52)</f>
        <v>0</v>
      </c>
      <c r="CK244">
        <f>SUMIF('Как будет'!$A$45:$A$52,Доп.расчеты!$A244,'Как будет'!CL$45:CL$52)</f>
        <v>0</v>
      </c>
      <c r="CL244">
        <f>SUMIF('Как будет'!$A$45:$A$52,Доп.расчеты!$A244,'Как будет'!CM$45:CM$52)</f>
        <v>0</v>
      </c>
      <c r="CM244">
        <f>SUMIF('Как будет'!$A$45:$A$52,Доп.расчеты!$A244,'Как будет'!CN$45:CN$52)</f>
        <v>0</v>
      </c>
      <c r="CN244">
        <f>SUMIF('Как будет'!$A$45:$A$52,Доп.расчеты!$A244,'Как будет'!CO$45:CO$52)</f>
        <v>0</v>
      </c>
      <c r="CO244">
        <f>SUMIF('Как будет'!$A$45:$A$52,Доп.расчеты!$A244,'Как будет'!CP$45:CP$52)</f>
        <v>0</v>
      </c>
      <c r="CP244">
        <f>SUMIF('Как будет'!$A$45:$A$52,Доп.расчеты!$A244,'Как будет'!CQ$45:CQ$52)</f>
        <v>0</v>
      </c>
      <c r="CQ244">
        <f>SUMIF('Как будет'!$A$45:$A$52,Доп.расчеты!$A244,'Как будет'!CR$45:CR$52)</f>
        <v>0</v>
      </c>
      <c r="CR244">
        <f>SUMIF('Как будет'!$A$45:$A$52,Доп.расчеты!$A244,'Как будет'!CS$45:CS$52)</f>
        <v>0</v>
      </c>
      <c r="CS244">
        <f>SUMIF('Как будет'!$A$45:$A$52,Доп.расчеты!$A244,'Как будет'!CT$45:CT$52)</f>
        <v>0</v>
      </c>
      <c r="CT244">
        <f>SUMIF('Как будет'!$A$45:$A$52,Доп.расчеты!$A244,'Как будет'!CU$45:CU$52)</f>
        <v>0</v>
      </c>
      <c r="CU244">
        <f>SUMIF('Как будет'!$A$45:$A$52,Доп.расчеты!$A244,'Как будет'!CV$45:CV$52)</f>
        <v>0</v>
      </c>
      <c r="CV244">
        <f>SUMIF('Как будет'!$A$45:$A$52,Доп.расчеты!$A244,'Как будет'!CW$45:CW$52)</f>
        <v>0</v>
      </c>
      <c r="CW244">
        <f>SUMIF('Как будет'!$A$45:$A$52,Доп.расчеты!$A244,'Как будет'!CX$45:CX$52)</f>
        <v>0</v>
      </c>
      <c r="CX244">
        <f>SUMIF('Как будет'!$A$45:$A$52,Доп.расчеты!$A244,'Как будет'!CY$45:CY$52)</f>
        <v>0</v>
      </c>
      <c r="CY244">
        <f>SUMIF('Как будет'!$A$45:$A$52,Доп.расчеты!$A244,'Как будет'!CZ$45:CZ$52)</f>
        <v>0</v>
      </c>
      <c r="CZ244">
        <f>SUMIF('Как будет'!$A$45:$A$52,Доп.расчеты!$A244,'Как будет'!DA$45:DA$52)</f>
        <v>0</v>
      </c>
      <c r="DA244">
        <f>SUMIF('Как будет'!$A$45:$A$52,Доп.расчеты!$A244,'Как будет'!DB$45:DB$52)</f>
        <v>0</v>
      </c>
      <c r="DB244">
        <f>SUMIF('Как будет'!$A$45:$A$52,Доп.расчеты!$A244,'Как будет'!DC$45:DC$52)</f>
        <v>0</v>
      </c>
      <c r="DC244">
        <f>SUMIF('Как будет'!$A$45:$A$52,Доп.расчеты!$A244,'Как будет'!DD$45:DD$52)</f>
        <v>0</v>
      </c>
      <c r="DD244">
        <f>SUMIF('Как будет'!$A$45:$A$52,Доп.расчеты!$A244,'Как будет'!DE$45:DE$52)</f>
        <v>0</v>
      </c>
      <c r="DE244">
        <f>SUMIF('Как будет'!$A$45:$A$52,Доп.расчеты!$A244,'Как будет'!DF$45:DF$52)</f>
        <v>0</v>
      </c>
      <c r="DF244">
        <f>SUMIF('Как будет'!$A$45:$A$52,Доп.расчеты!$A244,'Как будет'!DG$45:DG$52)</f>
        <v>0</v>
      </c>
      <c r="DG244">
        <f>SUMIF('Как будет'!$A$45:$A$52,Доп.расчеты!$A244,'Как будет'!DH$45:DH$52)</f>
        <v>0</v>
      </c>
      <c r="DH244">
        <f>SUMIF('Как будет'!$A$45:$A$52,Доп.расчеты!$A244,'Как будет'!DI$45:DI$52)</f>
        <v>0</v>
      </c>
      <c r="DI244">
        <f>SUMIF('Как будет'!$A$45:$A$52,Доп.расчеты!$A244,'Как будет'!DJ$45:DJ$52)</f>
        <v>0</v>
      </c>
      <c r="DJ244">
        <f>SUMIF('Как будет'!$A$45:$A$52,Доп.расчеты!$A244,'Как будет'!DK$45:DK$52)</f>
        <v>0</v>
      </c>
      <c r="DK244">
        <f>SUMIF('Как будет'!$A$45:$A$52,Доп.расчеты!$A244,'Как будет'!DL$45:DL$52)</f>
        <v>0</v>
      </c>
      <c r="DL244">
        <f>SUMIF('Как будет'!$A$45:$A$52,Доп.расчеты!$A244,'Как будет'!DM$45:DM$52)</f>
        <v>0</v>
      </c>
      <c r="DM244">
        <f>SUMIF('Как будет'!$A$45:$A$52,Доп.расчеты!$A244,'Как будет'!DN$45:DN$52)</f>
        <v>0</v>
      </c>
      <c r="DN244">
        <f>SUMIF('Как будет'!$A$45:$A$52,Доп.расчеты!$A244,'Как будет'!DO$45:DO$52)</f>
        <v>0</v>
      </c>
      <c r="DO244">
        <f>SUMIF('Как будет'!$A$45:$A$52,Доп.расчеты!$A244,'Как будет'!DP$45:DP$52)</f>
        <v>0</v>
      </c>
      <c r="DP244">
        <f>SUMIF('Как будет'!$A$45:$A$52,Доп.расчеты!$A244,'Как будет'!DQ$45:DQ$52)</f>
        <v>0</v>
      </c>
      <c r="DQ244">
        <f>SUMIF('Как будет'!$A$45:$A$52,Доп.расчеты!$A244,'Как будет'!DR$45:DR$52)</f>
        <v>0</v>
      </c>
      <c r="DR244">
        <f>SUMIF('Как будет'!$A$45:$A$52,Доп.расчеты!$A244,'Как будет'!DS$45:DS$52)</f>
        <v>0</v>
      </c>
      <c r="DS244">
        <f>SUMIF('Как будет'!$A$45:$A$52,Доп.расчеты!$A244,'Как будет'!DT$45:DT$52)</f>
        <v>0</v>
      </c>
      <c r="DT244">
        <f>SUMIF('Как будет'!$A$45:$A$52,Доп.расчеты!$A244,'Как будет'!DU$45:DU$52)</f>
        <v>0</v>
      </c>
      <c r="DU244">
        <f>SUMIF('Как будет'!$A$45:$A$52,Доп.расчеты!$A244,'Как будет'!DV$45:DV$52)</f>
        <v>0</v>
      </c>
      <c r="DV244">
        <f>SUMIF('Как будет'!$A$45:$A$52,Доп.расчеты!$A244,'Как будет'!DW$45:DW$52)</f>
        <v>0</v>
      </c>
      <c r="DW244">
        <f>SUMIF('Как будет'!$A$45:$A$52,Доп.расчеты!$A244,'Как будет'!DX$45:DX$52)</f>
        <v>0</v>
      </c>
      <c r="DX244">
        <f>SUMIF('Как будет'!$A$45:$A$52,Доп.расчеты!$A244,'Как будет'!DY$45:DY$52)</f>
        <v>0</v>
      </c>
      <c r="DY244">
        <f>SUMIF('Как будет'!$A$45:$A$52,Доп.расчеты!$A244,'Как будет'!DZ$45:DZ$52)</f>
        <v>0</v>
      </c>
      <c r="DZ244">
        <f>SUMIF('Как будет'!$A$45:$A$52,Доп.расчеты!$A244,'Как будет'!EA$45:EA$52)</f>
        <v>0</v>
      </c>
      <c r="EA244">
        <f>SUMIF('Как будет'!$A$45:$A$52,Доп.расчеты!$A244,'Как будет'!EB$45:EB$52)</f>
        <v>0</v>
      </c>
      <c r="EB244">
        <f>SUMIF('Как будет'!$A$45:$A$52,Доп.расчеты!$A244,'Как будет'!EC$45:EC$52)</f>
        <v>0</v>
      </c>
      <c r="EC244">
        <f>SUMIF('Как будет'!$A$45:$A$52,Доп.расчеты!$A244,'Как будет'!ED$45:ED$52)</f>
        <v>0</v>
      </c>
      <c r="ED244">
        <f>SUMIF('Как будет'!$A$45:$A$52,Доп.расчеты!$A244,'Как будет'!EE$45:EE$52)</f>
        <v>0</v>
      </c>
      <c r="EE244">
        <f>SUMIF('Как будет'!$A$45:$A$52,Доп.расчеты!$A244,'Как будет'!EF$45:EF$52)</f>
        <v>0</v>
      </c>
      <c r="EF244">
        <f>SUMIF('Как будет'!$A$45:$A$52,Доп.расчеты!$A244,'Как будет'!EG$45:EG$52)</f>
        <v>0</v>
      </c>
      <c r="EG244">
        <f>SUMIF('Как будет'!$A$45:$A$52,Доп.расчеты!$A244,'Как будет'!EH$45:EH$52)</f>
        <v>0</v>
      </c>
      <c r="EH244">
        <f>SUMIF('Как будет'!$A$45:$A$52,Доп.расчеты!$A244,'Как будет'!EI$45:EI$52)</f>
        <v>0</v>
      </c>
      <c r="EI244">
        <f>SUMIF('Как будет'!$A$45:$A$52,Доп.расчеты!$A244,'Как будет'!EJ$45:EJ$52)</f>
        <v>0</v>
      </c>
      <c r="EJ244">
        <f>SUMIF('Как будет'!$A$45:$A$52,Доп.расчеты!$A244,'Как будет'!EK$45:EK$52)</f>
        <v>0</v>
      </c>
      <c r="EK244">
        <f>SUMIF('Как будет'!$A$45:$A$52,Доп.расчеты!$A244,'Как будет'!EL$45:EL$52)</f>
        <v>0</v>
      </c>
      <c r="EL244">
        <f>SUMIF('Как будет'!$A$45:$A$52,Доп.расчеты!$A244,'Как будет'!EM$45:EM$52)</f>
        <v>0</v>
      </c>
      <c r="EM244">
        <f>SUMIF('Как будет'!$A$45:$A$52,Доп.расчеты!$A244,'Как будет'!EN$45:EN$52)</f>
        <v>0</v>
      </c>
      <c r="EN244">
        <f>SUMIF('Как будет'!$A$45:$A$52,Доп.расчеты!$A244,'Как будет'!EO$45:EO$52)</f>
        <v>0</v>
      </c>
      <c r="EO244">
        <f>SUMIF('Как будет'!$A$45:$A$52,Доп.расчеты!$A244,'Как будет'!EP$45:EP$52)</f>
        <v>0</v>
      </c>
      <c r="EP244">
        <f>SUMIF('Как будет'!$A$45:$A$52,Доп.расчеты!$A244,'Как будет'!EQ$45:EQ$52)</f>
        <v>0</v>
      </c>
      <c r="EQ244">
        <f>SUMIF('Как будет'!$A$45:$A$52,Доп.расчеты!$A244,'Как будет'!ER$45:ER$52)</f>
        <v>0</v>
      </c>
      <c r="ER244">
        <f>SUMIF('Как будет'!$A$45:$A$52,Доп.расчеты!$A244,'Как будет'!ES$45:ES$52)</f>
        <v>0</v>
      </c>
      <c r="ES244">
        <f>SUMIF('Как будет'!$A$45:$A$52,Доп.расчеты!$A244,'Как будет'!ET$45:ET$52)</f>
        <v>0</v>
      </c>
      <c r="ET244">
        <f>SUMIF('Как будет'!$A$45:$A$52,Доп.расчеты!$A244,'Как будет'!EU$45:EU$52)</f>
        <v>0</v>
      </c>
      <c r="EU244">
        <f>SUMIF('Как будет'!$A$45:$A$52,Доп.расчеты!$A244,'Как будет'!EV$45:EV$52)</f>
        <v>0</v>
      </c>
      <c r="EV244">
        <f>SUMIF('Как будет'!$A$45:$A$52,Доп.расчеты!$A244,'Как будет'!EW$45:EW$52)</f>
        <v>0</v>
      </c>
      <c r="EW244">
        <f>SUMIF('Как будет'!$A$45:$A$52,Доп.расчеты!$A244,'Как будет'!EX$45:EX$52)</f>
        <v>0</v>
      </c>
      <c r="EX244">
        <f>SUMIF('Как будет'!$A$45:$A$52,Доп.расчеты!$A244,'Как будет'!EY$45:EY$52)</f>
        <v>0</v>
      </c>
      <c r="EY244">
        <f>SUMIF('Как будет'!$A$45:$A$52,Доп.расчеты!$A244,'Как будет'!EZ$45:EZ$52)</f>
        <v>0</v>
      </c>
      <c r="EZ244">
        <f>SUMIF('Как будет'!$A$45:$A$52,Доп.расчеты!$A244,'Как будет'!FA$45:FA$52)</f>
        <v>0</v>
      </c>
      <c r="FA244">
        <f>SUMIF('Как будет'!$A$45:$A$52,Доп.расчеты!$A244,'Как будет'!FB$45:FB$52)</f>
        <v>0</v>
      </c>
      <c r="FB244">
        <f>SUMIF('Как будет'!$A$45:$A$52,Доп.расчеты!$A244,'Как будет'!FC$45:FC$52)</f>
        <v>0</v>
      </c>
      <c r="FC244">
        <f>SUMIF('Как будет'!$A$45:$A$52,Доп.расчеты!$A244,'Как будет'!FD$45:FD$52)</f>
        <v>0</v>
      </c>
      <c r="FD244">
        <f>SUMIF('Как будет'!$A$45:$A$52,Доп.расчеты!$A244,'Как будет'!FE$45:FE$52)</f>
        <v>0</v>
      </c>
      <c r="FE244">
        <f>SUMIF('Как будет'!$A$45:$A$52,Доп.расчеты!$A244,'Как будет'!FF$45:FF$52)</f>
        <v>0</v>
      </c>
      <c r="FF244">
        <f>SUMIF('Как будет'!$A$45:$A$52,Доп.расчеты!$A244,'Как будет'!FG$45:FG$52)</f>
        <v>0</v>
      </c>
      <c r="FG244">
        <f>SUMIF('Как будет'!$A$45:$A$52,Доп.расчеты!$A244,'Как будет'!FH$45:FH$52)</f>
        <v>0</v>
      </c>
      <c r="FH244">
        <f>SUMIF('Как будет'!$A$45:$A$52,Доп.расчеты!$A244,'Как будет'!FI$45:FI$52)</f>
        <v>0</v>
      </c>
      <c r="FI244">
        <f>SUMIF('Как будет'!$A$45:$A$52,Доп.расчеты!$A244,'Как будет'!FJ$45:FJ$52)</f>
        <v>0</v>
      </c>
      <c r="FJ244">
        <f>SUMIF('Как будет'!$A$45:$A$52,Доп.расчеты!$A244,'Как будет'!FK$45:FK$52)</f>
        <v>0</v>
      </c>
      <c r="FK244">
        <f>SUMIF('Как будет'!$A$45:$A$52,Доп.расчеты!$A244,'Как будет'!FL$45:FL$52)</f>
        <v>0</v>
      </c>
      <c r="FL244">
        <f>SUMIF('Как будет'!$A$45:$A$52,Доп.расчеты!$A244,'Как будет'!FM$45:FM$52)</f>
        <v>0</v>
      </c>
      <c r="FM244">
        <f>SUMIF('Как будет'!$A$45:$A$52,Доп.расчеты!$A244,'Как будет'!FN$45:FN$52)</f>
        <v>0</v>
      </c>
      <c r="FN244">
        <f>SUMIF('Как будет'!$A$45:$A$52,Доп.расчеты!$A244,'Как будет'!FO$45:FO$52)</f>
        <v>0</v>
      </c>
      <c r="FO244">
        <f>SUMIF('Как будет'!$A$45:$A$52,Доп.расчеты!$A244,'Как будет'!FP$45:FP$52)</f>
        <v>0</v>
      </c>
      <c r="FP244">
        <f>SUMIF('Как будет'!$A$45:$A$52,Доп.расчеты!$A244,'Как будет'!FQ$45:FQ$52)</f>
        <v>0</v>
      </c>
      <c r="FQ244">
        <f>SUMIF('Как будет'!$A$45:$A$52,Доп.расчеты!$A244,'Как будет'!FR$45:FR$52)</f>
        <v>0</v>
      </c>
      <c r="FR244">
        <f>SUMIF('Как будет'!$A$45:$A$52,Доп.расчеты!$A244,'Как будет'!FS$45:FS$52)</f>
        <v>0</v>
      </c>
      <c r="FS244">
        <f>SUMIF('Как будет'!$A$45:$A$52,Доп.расчеты!$A244,'Как будет'!FT$45:FT$52)</f>
        <v>0</v>
      </c>
      <c r="FT244">
        <f>SUMIF('Как будет'!$A$45:$A$52,Доп.расчеты!$A244,'Как будет'!FU$45:FU$52)</f>
        <v>0</v>
      </c>
      <c r="FU244">
        <f>SUMIF('Как будет'!$A$45:$A$52,Доп.расчеты!$A244,'Как будет'!FV$45:FV$52)</f>
        <v>0</v>
      </c>
      <c r="FV244">
        <f>SUMIF('Как будет'!$A$45:$A$52,Доп.расчеты!$A244,'Как будет'!FW$45:FW$52)</f>
        <v>0</v>
      </c>
      <c r="FW244">
        <f>SUMIF('Как будет'!$A$45:$A$52,Доп.расчеты!$A244,'Как будет'!FX$45:FX$52)</f>
        <v>0</v>
      </c>
      <c r="FX244">
        <f>SUMIF('Как будет'!$A$45:$A$52,Доп.расчеты!$A244,'Как будет'!FY$45:FY$52)</f>
        <v>0</v>
      </c>
      <c r="FY244">
        <f>SUMIF('Как будет'!$A$45:$A$52,Доп.расчеты!$A244,'Как будет'!FZ$45:FZ$52)</f>
        <v>0</v>
      </c>
      <c r="FZ244">
        <f>SUMIF('Как будет'!$A$45:$A$52,Доп.расчеты!$A244,'Как будет'!GA$45:GA$52)</f>
        <v>0</v>
      </c>
      <c r="GA244">
        <f>SUMIF('Как будет'!$A$45:$A$52,Доп.расчеты!$A244,'Как будет'!GB$45:GB$52)</f>
        <v>0</v>
      </c>
      <c r="GB244">
        <f>SUMIF('Как будет'!$A$45:$A$52,Доп.расчеты!$A244,'Как будет'!GC$45:GC$52)</f>
        <v>0</v>
      </c>
      <c r="GC244">
        <f>SUMIF('Как будет'!$A$45:$A$52,Доп.расчеты!$A244,'Как будет'!GD$45:GD$52)</f>
        <v>0</v>
      </c>
      <c r="GD244">
        <f>SUMIF('Как будет'!$A$45:$A$52,Доп.расчеты!$A244,'Как будет'!GE$45:GE$52)</f>
        <v>0</v>
      </c>
      <c r="GE244">
        <f>SUMIF('Как будет'!$A$45:$A$52,Доп.расчеты!$A244,'Как будет'!GF$45:GF$52)</f>
        <v>0</v>
      </c>
      <c r="GF244">
        <f>SUMIF('Как будет'!$A$45:$A$52,Доп.расчеты!$A244,'Как будет'!GG$45:GG$52)</f>
        <v>0</v>
      </c>
      <c r="GG244">
        <f>SUMIF('Как будет'!$A$45:$A$52,Доп.расчеты!$A244,'Как будет'!GH$45:GH$52)</f>
        <v>0</v>
      </c>
      <c r="GH244">
        <f>SUMIF('Как будет'!$A$45:$A$52,Доп.расчеты!$A244,'Как будет'!GI$45:GI$52)</f>
        <v>0</v>
      </c>
      <c r="GI244">
        <f>SUMIF('Как будет'!$A$45:$A$52,Доп.расчеты!$A244,'Как будет'!GJ$45:GJ$52)</f>
        <v>0</v>
      </c>
      <c r="GJ244">
        <f>SUMIF('Как будет'!$A$45:$A$52,Доп.расчеты!$A244,'Как будет'!GK$45:GK$52)</f>
        <v>0</v>
      </c>
      <c r="GK244">
        <f>SUMIF('Как будет'!$A$45:$A$52,Доп.расчеты!$A244,'Как будет'!GL$45:GL$52)</f>
        <v>0</v>
      </c>
      <c r="GL244">
        <f>SUMIF('Как будет'!$A$45:$A$52,Доп.расчеты!$A244,'Как будет'!GM$45:GM$52)</f>
        <v>0</v>
      </c>
      <c r="GM244">
        <f>SUMIF('Как будет'!$A$45:$A$52,Доп.расчеты!$A244,'Как будет'!GN$45:GN$52)</f>
        <v>0</v>
      </c>
      <c r="GN244">
        <f>SUMIF('Как будет'!$A$45:$A$52,Доп.расчеты!$A244,'Как будет'!GO$45:GO$52)</f>
        <v>0</v>
      </c>
      <c r="GO244">
        <f>SUMIF('Как будет'!$A$45:$A$52,Доп.расчеты!$A244,'Как будет'!GP$45:GP$52)</f>
        <v>0</v>
      </c>
      <c r="GP244">
        <f>SUMIF('Как будет'!$A$45:$A$52,Доп.расчеты!$A244,'Как будет'!GQ$45:GQ$52)</f>
        <v>0</v>
      </c>
      <c r="GQ244">
        <f>SUMIF('Как будет'!$A$45:$A$52,Доп.расчеты!$A244,'Как будет'!GR$45:GR$52)</f>
        <v>0</v>
      </c>
      <c r="GR244">
        <f>SUMIF('Как будет'!$A$45:$A$52,Доп.расчеты!$A244,'Как будет'!GS$45:GS$52)</f>
        <v>0</v>
      </c>
      <c r="GS244">
        <f>SUMIF('Как будет'!$A$45:$A$52,Доп.расчеты!$A244,'Как будет'!GT$45:GT$52)</f>
        <v>0</v>
      </c>
      <c r="GT244">
        <f>SUMIF('Как будет'!$A$45:$A$52,Доп.расчеты!$A244,'Как будет'!GU$45:GU$52)</f>
        <v>0</v>
      </c>
    </row>
    <row r="245" spans="1:202">
      <c r="A245" s="238" t="s">
        <v>94</v>
      </c>
      <c r="B245">
        <f>SUMIF('Как будет'!$A$45:$A$52,Доп.расчеты!$A245,'Как будет'!C$45:C$52)</f>
        <v>0</v>
      </c>
      <c r="C245">
        <f>SUMIF('Как будет'!$A$45:$A$52,Доп.расчеты!$A245,'Как будет'!D$45:D$52)</f>
        <v>0</v>
      </c>
      <c r="D245">
        <f>SUMIF('Как будет'!$A$45:$A$52,Доп.расчеты!$A245,'Как будет'!E$45:E$52)</f>
        <v>0</v>
      </c>
      <c r="E245">
        <f>SUMIF('Как будет'!$A$45:$A$52,Доп.расчеты!$A245,'Как будет'!F$45:F$52)</f>
        <v>0</v>
      </c>
      <c r="F245">
        <f>SUMIF('Как будет'!$A$45:$A$52,Доп.расчеты!$A245,'Как будет'!G$45:G$52)</f>
        <v>0</v>
      </c>
      <c r="G245">
        <f>SUMIF('Как будет'!$A$45:$A$52,Доп.расчеты!$A245,'Как будет'!H$45:H$52)</f>
        <v>0</v>
      </c>
      <c r="H245">
        <f>SUMIF('Как будет'!$A$45:$A$52,Доп.расчеты!$A245,'Как будет'!I$45:I$52)</f>
        <v>0</v>
      </c>
      <c r="I245">
        <f>SUMIF('Как будет'!$A$45:$A$52,Доп.расчеты!$A245,'Как будет'!J$45:J$52)</f>
        <v>0</v>
      </c>
      <c r="J245">
        <f>SUMIF('Как будет'!$A$45:$A$52,Доп.расчеты!$A245,'Как будет'!K$45:K$52)</f>
        <v>0</v>
      </c>
      <c r="K245">
        <f>SUMIF('Как будет'!$A$45:$A$52,Доп.расчеты!$A245,'Как будет'!L$45:L$52)</f>
        <v>0</v>
      </c>
      <c r="L245">
        <f>SUMIF('Как будет'!$A$45:$A$52,Доп.расчеты!$A245,'Как будет'!M$45:M$52)</f>
        <v>0</v>
      </c>
      <c r="M245">
        <f>SUMIF('Как будет'!$A$45:$A$52,Доп.расчеты!$A245,'Как будет'!N$45:N$52)</f>
        <v>0</v>
      </c>
      <c r="N245">
        <f>SUMIF('Как будет'!$A$45:$A$52,Доп.расчеты!$A245,'Как будет'!O$45:O$52)</f>
        <v>0</v>
      </c>
      <c r="O245">
        <f>SUMIF('Как будет'!$A$45:$A$52,Доп.расчеты!$A245,'Как будет'!P$45:P$52)</f>
        <v>0</v>
      </c>
      <c r="P245">
        <f>SUMIF('Как будет'!$A$45:$A$52,Доп.расчеты!$A245,'Как будет'!Q$45:Q$52)</f>
        <v>0</v>
      </c>
      <c r="Q245">
        <f>SUMIF('Как будет'!$A$45:$A$52,Доп.расчеты!$A245,'Как будет'!R$45:R$52)</f>
        <v>0</v>
      </c>
      <c r="R245">
        <f>SUMIF('Как будет'!$A$45:$A$52,Доп.расчеты!$A245,'Как будет'!S$45:S$52)</f>
        <v>0</v>
      </c>
      <c r="S245">
        <f>SUMIF('Как будет'!$A$45:$A$52,Доп.расчеты!$A245,'Как будет'!T$45:T$52)</f>
        <v>0</v>
      </c>
      <c r="T245">
        <f>SUMIF('Как будет'!$A$45:$A$52,Доп.расчеты!$A245,'Как будет'!U$45:U$52)</f>
        <v>0</v>
      </c>
      <c r="U245">
        <f>SUMIF('Как будет'!$A$45:$A$52,Доп.расчеты!$A245,'Как будет'!V$45:V$52)</f>
        <v>0</v>
      </c>
      <c r="V245">
        <f>SUMIF('Как будет'!$A$45:$A$52,Доп.расчеты!$A245,'Как будет'!W$45:W$52)</f>
        <v>0</v>
      </c>
      <c r="W245">
        <f>SUMIF('Как будет'!$A$45:$A$52,Доп.расчеты!$A245,'Как будет'!X$45:X$52)</f>
        <v>0</v>
      </c>
      <c r="X245">
        <f>SUMIF('Как будет'!$A$45:$A$52,Доп.расчеты!$A245,'Как будет'!Y$45:Y$52)</f>
        <v>0</v>
      </c>
      <c r="Y245">
        <f>SUMIF('Как будет'!$A$45:$A$52,Доп.расчеты!$A245,'Как будет'!Z$45:Z$52)</f>
        <v>0</v>
      </c>
      <c r="Z245">
        <f>SUMIF('Как будет'!$A$45:$A$52,Доп.расчеты!$A245,'Как будет'!AA$45:AA$52)</f>
        <v>0</v>
      </c>
      <c r="AA245">
        <f>SUMIF('Как будет'!$A$45:$A$52,Доп.расчеты!$A245,'Как будет'!AB$45:AB$52)</f>
        <v>0</v>
      </c>
      <c r="AB245">
        <f>SUMIF('Как будет'!$A$45:$A$52,Доп.расчеты!$A245,'Как будет'!AC$45:AC$52)</f>
        <v>0</v>
      </c>
      <c r="AC245">
        <f>SUMIF('Как будет'!$A$45:$A$52,Доп.расчеты!$A245,'Как будет'!AD$45:AD$52)</f>
        <v>0</v>
      </c>
      <c r="AD245">
        <f>SUMIF('Как будет'!$A$45:$A$52,Доп.расчеты!$A245,'Как будет'!AE$45:AE$52)</f>
        <v>0</v>
      </c>
      <c r="AE245">
        <f>SUMIF('Как будет'!$A$45:$A$52,Доп.расчеты!$A245,'Как будет'!AF$45:AF$52)</f>
        <v>0</v>
      </c>
      <c r="AF245">
        <f>SUMIF('Как будет'!$A$45:$A$52,Доп.расчеты!$A245,'Как будет'!AG$45:AG$52)</f>
        <v>0</v>
      </c>
      <c r="AG245">
        <f>SUMIF('Как будет'!$A$45:$A$52,Доп.расчеты!$A245,'Как будет'!AH$45:AH$52)</f>
        <v>0</v>
      </c>
      <c r="AH245">
        <f>SUMIF('Как будет'!$A$45:$A$52,Доп.расчеты!$A245,'Как будет'!AI$45:AI$52)</f>
        <v>0</v>
      </c>
      <c r="AI245">
        <f>SUMIF('Как будет'!$A$45:$A$52,Доп.расчеты!$A245,'Как будет'!AJ$45:AJ$52)</f>
        <v>0</v>
      </c>
      <c r="AJ245">
        <f>SUMIF('Как будет'!$A$45:$A$52,Доп.расчеты!$A245,'Как будет'!AK$45:AK$52)</f>
        <v>0</v>
      </c>
      <c r="AK245">
        <f>SUMIF('Как будет'!$A$45:$A$52,Доп.расчеты!$A245,'Как будет'!AL$45:AL$52)</f>
        <v>0</v>
      </c>
      <c r="AL245">
        <f>SUMIF('Как будет'!$A$45:$A$52,Доп.расчеты!$A245,'Как будет'!AM$45:AM$52)</f>
        <v>0</v>
      </c>
      <c r="AM245">
        <f>SUMIF('Как будет'!$A$45:$A$52,Доп.расчеты!$A245,'Как будет'!AN$45:AN$52)</f>
        <v>0</v>
      </c>
      <c r="AN245">
        <f>SUMIF('Как будет'!$A$45:$A$52,Доп.расчеты!$A245,'Как будет'!AO$45:AO$52)</f>
        <v>0</v>
      </c>
      <c r="AO245">
        <f>SUMIF('Как будет'!$A$45:$A$52,Доп.расчеты!$A245,'Как будет'!AP$45:AP$52)</f>
        <v>0</v>
      </c>
      <c r="AP245">
        <f>SUMIF('Как будет'!$A$45:$A$52,Доп.расчеты!$A245,'Как будет'!AQ$45:AQ$52)</f>
        <v>0</v>
      </c>
      <c r="AQ245">
        <f>SUMIF('Как будет'!$A$45:$A$52,Доп.расчеты!$A245,'Как будет'!AR$45:AR$52)</f>
        <v>0</v>
      </c>
      <c r="AR245">
        <f>SUMIF('Как будет'!$A$45:$A$52,Доп.расчеты!$A245,'Как будет'!AS$45:AS$52)</f>
        <v>0</v>
      </c>
      <c r="AS245">
        <f>SUMIF('Как будет'!$A$45:$A$52,Доп.расчеты!$A245,'Как будет'!AT$45:AT$52)</f>
        <v>0</v>
      </c>
      <c r="AT245">
        <f>SUMIF('Как будет'!$A$45:$A$52,Доп.расчеты!$A245,'Как будет'!AU$45:AU$52)</f>
        <v>0</v>
      </c>
      <c r="AU245">
        <f>SUMIF('Как будет'!$A$45:$A$52,Доп.расчеты!$A245,'Как будет'!AV$45:AV$52)</f>
        <v>0</v>
      </c>
      <c r="AV245">
        <f>SUMIF('Как будет'!$A$45:$A$52,Доп.расчеты!$A245,'Как будет'!AW$45:AW$52)</f>
        <v>0</v>
      </c>
      <c r="AW245">
        <f>SUMIF('Как будет'!$A$45:$A$52,Доп.расчеты!$A245,'Как будет'!AX$45:AX$52)</f>
        <v>0</v>
      </c>
      <c r="AX245">
        <f>SUMIF('Как будет'!$A$45:$A$52,Доп.расчеты!$A245,'Как будет'!AY$45:AY$52)</f>
        <v>0</v>
      </c>
      <c r="AY245">
        <f>SUMIF('Как будет'!$A$45:$A$52,Доп.расчеты!$A245,'Как будет'!AZ$45:AZ$52)</f>
        <v>0</v>
      </c>
      <c r="AZ245">
        <f>SUMIF('Как будет'!$A$45:$A$52,Доп.расчеты!$A245,'Как будет'!BA$45:BA$52)</f>
        <v>0</v>
      </c>
      <c r="BA245">
        <f>SUMIF('Как будет'!$A$45:$A$52,Доп.расчеты!$A245,'Как будет'!BB$45:BB$52)</f>
        <v>0</v>
      </c>
      <c r="BB245">
        <f>SUMIF('Как будет'!$A$45:$A$52,Доп.расчеты!$A245,'Как будет'!BC$45:BC$52)</f>
        <v>0</v>
      </c>
      <c r="BC245">
        <f>SUMIF('Как будет'!$A$45:$A$52,Доп.расчеты!$A245,'Как будет'!BD$45:BD$52)</f>
        <v>0</v>
      </c>
      <c r="BD245">
        <f>SUMIF('Как будет'!$A$45:$A$52,Доп.расчеты!$A245,'Как будет'!BE$45:BE$52)</f>
        <v>0</v>
      </c>
      <c r="BE245">
        <f>SUMIF('Как будет'!$A$45:$A$52,Доп.расчеты!$A245,'Как будет'!BF$45:BF$52)</f>
        <v>0</v>
      </c>
      <c r="BF245">
        <f>SUMIF('Как будет'!$A$45:$A$52,Доп.расчеты!$A245,'Как будет'!BG$45:BG$52)</f>
        <v>0</v>
      </c>
      <c r="BG245">
        <f>SUMIF('Как будет'!$A$45:$A$52,Доп.расчеты!$A245,'Как будет'!BH$45:BH$52)</f>
        <v>0</v>
      </c>
      <c r="BH245">
        <f>SUMIF('Как будет'!$A$45:$A$52,Доп.расчеты!$A245,'Как будет'!BI$45:BI$52)</f>
        <v>0</v>
      </c>
      <c r="BI245">
        <f>SUMIF('Как будет'!$A$45:$A$52,Доп.расчеты!$A245,'Как будет'!BJ$45:BJ$52)</f>
        <v>0</v>
      </c>
      <c r="BJ245">
        <f>SUMIF('Как будет'!$A$45:$A$52,Доп.расчеты!$A245,'Как будет'!BK$45:BK$52)</f>
        <v>0</v>
      </c>
      <c r="BK245">
        <f>SUMIF('Как будет'!$A$45:$A$52,Доп.расчеты!$A245,'Как будет'!BL$45:BL$52)</f>
        <v>0</v>
      </c>
      <c r="BL245">
        <f>SUMIF('Как будет'!$A$45:$A$52,Доп.расчеты!$A245,'Как будет'!BM$45:BM$52)</f>
        <v>0</v>
      </c>
      <c r="BM245">
        <f>SUMIF('Как будет'!$A$45:$A$52,Доп.расчеты!$A245,'Как будет'!BN$45:BN$52)</f>
        <v>0</v>
      </c>
      <c r="BN245">
        <f>SUMIF('Как будет'!$A$45:$A$52,Доп.расчеты!$A245,'Как будет'!BO$45:BO$52)</f>
        <v>0</v>
      </c>
      <c r="BO245">
        <f>SUMIF('Как будет'!$A$45:$A$52,Доп.расчеты!$A245,'Как будет'!BP$45:BP$52)</f>
        <v>0</v>
      </c>
      <c r="BP245">
        <f>SUMIF('Как будет'!$A$45:$A$52,Доп.расчеты!$A245,'Как будет'!BQ$45:BQ$52)</f>
        <v>0</v>
      </c>
      <c r="BQ245">
        <f>SUMIF('Как будет'!$A$45:$A$52,Доп.расчеты!$A245,'Как будет'!BR$45:BR$52)</f>
        <v>0</v>
      </c>
      <c r="BR245">
        <f>SUMIF('Как будет'!$A$45:$A$52,Доп.расчеты!$A245,'Как будет'!BS$45:BS$52)</f>
        <v>0</v>
      </c>
      <c r="BS245">
        <f>SUMIF('Как будет'!$A$45:$A$52,Доп.расчеты!$A245,'Как будет'!BT$45:BT$52)</f>
        <v>0</v>
      </c>
      <c r="BT245">
        <f>SUMIF('Как будет'!$A$45:$A$52,Доп.расчеты!$A245,'Как будет'!BU$45:BU$52)</f>
        <v>0</v>
      </c>
      <c r="BU245">
        <f>SUMIF('Как будет'!$A$45:$A$52,Доп.расчеты!$A245,'Как будет'!BV$45:BV$52)</f>
        <v>0</v>
      </c>
      <c r="BV245">
        <f>SUMIF('Как будет'!$A$45:$A$52,Доп.расчеты!$A245,'Как будет'!BW$45:BW$52)</f>
        <v>0</v>
      </c>
      <c r="BW245">
        <f>SUMIF('Как будет'!$A$45:$A$52,Доп.расчеты!$A245,'Как будет'!BX$45:BX$52)</f>
        <v>0</v>
      </c>
      <c r="BX245">
        <f>SUMIF('Как будет'!$A$45:$A$52,Доп.расчеты!$A245,'Как будет'!BY$45:BY$52)</f>
        <v>0</v>
      </c>
      <c r="BY245">
        <f>SUMIF('Как будет'!$A$45:$A$52,Доп.расчеты!$A245,'Как будет'!BZ$45:BZ$52)</f>
        <v>0</v>
      </c>
      <c r="BZ245">
        <f>SUMIF('Как будет'!$A$45:$A$52,Доп.расчеты!$A245,'Как будет'!CA$45:CA$52)</f>
        <v>0</v>
      </c>
      <c r="CA245">
        <f>SUMIF('Как будет'!$A$45:$A$52,Доп.расчеты!$A245,'Как будет'!CB$45:CB$52)</f>
        <v>0</v>
      </c>
      <c r="CB245">
        <f>SUMIF('Как будет'!$A$45:$A$52,Доп.расчеты!$A245,'Как будет'!CC$45:CC$52)</f>
        <v>0</v>
      </c>
      <c r="CC245">
        <f>SUMIF('Как будет'!$A$45:$A$52,Доп.расчеты!$A245,'Как будет'!CD$45:CD$52)</f>
        <v>0</v>
      </c>
      <c r="CD245">
        <f>SUMIF('Как будет'!$A$45:$A$52,Доп.расчеты!$A245,'Как будет'!CE$45:CE$52)</f>
        <v>0</v>
      </c>
      <c r="CE245">
        <f>SUMIF('Как будет'!$A$45:$A$52,Доп.расчеты!$A245,'Как будет'!CF$45:CF$52)</f>
        <v>0</v>
      </c>
      <c r="CF245">
        <f>SUMIF('Как будет'!$A$45:$A$52,Доп.расчеты!$A245,'Как будет'!CG$45:CG$52)</f>
        <v>0</v>
      </c>
      <c r="CG245">
        <f>SUMIF('Как будет'!$A$45:$A$52,Доп.расчеты!$A245,'Как будет'!CH$45:CH$52)</f>
        <v>0</v>
      </c>
      <c r="CH245">
        <f>SUMIF('Как будет'!$A$45:$A$52,Доп.расчеты!$A245,'Как будет'!CI$45:CI$52)</f>
        <v>0</v>
      </c>
      <c r="CI245">
        <f>SUMIF('Как будет'!$A$45:$A$52,Доп.расчеты!$A245,'Как будет'!CJ$45:CJ$52)</f>
        <v>0</v>
      </c>
      <c r="CJ245">
        <f>SUMIF('Как будет'!$A$45:$A$52,Доп.расчеты!$A245,'Как будет'!CK$45:CK$52)</f>
        <v>0</v>
      </c>
      <c r="CK245">
        <f>SUMIF('Как будет'!$A$45:$A$52,Доп.расчеты!$A245,'Как будет'!CL$45:CL$52)</f>
        <v>0</v>
      </c>
      <c r="CL245">
        <f>SUMIF('Как будет'!$A$45:$A$52,Доп.расчеты!$A245,'Как будет'!CM$45:CM$52)</f>
        <v>0</v>
      </c>
      <c r="CM245">
        <f>SUMIF('Как будет'!$A$45:$A$52,Доп.расчеты!$A245,'Как будет'!CN$45:CN$52)</f>
        <v>0</v>
      </c>
      <c r="CN245">
        <f>SUMIF('Как будет'!$A$45:$A$52,Доп.расчеты!$A245,'Как будет'!CO$45:CO$52)</f>
        <v>0</v>
      </c>
      <c r="CO245">
        <f>SUMIF('Как будет'!$A$45:$A$52,Доп.расчеты!$A245,'Как будет'!CP$45:CP$52)</f>
        <v>0</v>
      </c>
      <c r="CP245">
        <f>SUMIF('Как будет'!$A$45:$A$52,Доп.расчеты!$A245,'Как будет'!CQ$45:CQ$52)</f>
        <v>0</v>
      </c>
      <c r="CQ245">
        <f>SUMIF('Как будет'!$A$45:$A$52,Доп.расчеты!$A245,'Как будет'!CR$45:CR$52)</f>
        <v>0</v>
      </c>
      <c r="CR245">
        <f>SUMIF('Как будет'!$A$45:$A$52,Доп.расчеты!$A245,'Как будет'!CS$45:CS$52)</f>
        <v>0</v>
      </c>
      <c r="CS245">
        <f>SUMIF('Как будет'!$A$45:$A$52,Доп.расчеты!$A245,'Как будет'!CT$45:CT$52)</f>
        <v>0</v>
      </c>
      <c r="CT245">
        <f>SUMIF('Как будет'!$A$45:$A$52,Доп.расчеты!$A245,'Как будет'!CU$45:CU$52)</f>
        <v>0</v>
      </c>
      <c r="CU245">
        <f>SUMIF('Как будет'!$A$45:$A$52,Доп.расчеты!$A245,'Как будет'!CV$45:CV$52)</f>
        <v>0</v>
      </c>
      <c r="CV245">
        <f>SUMIF('Как будет'!$A$45:$A$52,Доп.расчеты!$A245,'Как будет'!CW$45:CW$52)</f>
        <v>0</v>
      </c>
      <c r="CW245">
        <f>SUMIF('Как будет'!$A$45:$A$52,Доп.расчеты!$A245,'Как будет'!CX$45:CX$52)</f>
        <v>0</v>
      </c>
      <c r="CX245">
        <f>SUMIF('Как будет'!$A$45:$A$52,Доп.расчеты!$A245,'Как будет'!CY$45:CY$52)</f>
        <v>0</v>
      </c>
      <c r="CY245">
        <f>SUMIF('Как будет'!$A$45:$A$52,Доп.расчеты!$A245,'Как будет'!CZ$45:CZ$52)</f>
        <v>0</v>
      </c>
      <c r="CZ245">
        <f>SUMIF('Как будет'!$A$45:$A$52,Доп.расчеты!$A245,'Как будет'!DA$45:DA$52)</f>
        <v>0</v>
      </c>
      <c r="DA245">
        <f>SUMIF('Как будет'!$A$45:$A$52,Доп.расчеты!$A245,'Как будет'!DB$45:DB$52)</f>
        <v>0</v>
      </c>
      <c r="DB245">
        <f>SUMIF('Как будет'!$A$45:$A$52,Доп.расчеты!$A245,'Как будет'!DC$45:DC$52)</f>
        <v>0</v>
      </c>
      <c r="DC245">
        <f>SUMIF('Как будет'!$A$45:$A$52,Доп.расчеты!$A245,'Как будет'!DD$45:DD$52)</f>
        <v>0</v>
      </c>
      <c r="DD245">
        <f>SUMIF('Как будет'!$A$45:$A$52,Доп.расчеты!$A245,'Как будет'!DE$45:DE$52)</f>
        <v>0</v>
      </c>
      <c r="DE245">
        <f>SUMIF('Как будет'!$A$45:$A$52,Доп.расчеты!$A245,'Как будет'!DF$45:DF$52)</f>
        <v>0</v>
      </c>
      <c r="DF245">
        <f>SUMIF('Как будет'!$A$45:$A$52,Доп.расчеты!$A245,'Как будет'!DG$45:DG$52)</f>
        <v>0</v>
      </c>
      <c r="DG245">
        <f>SUMIF('Как будет'!$A$45:$A$52,Доп.расчеты!$A245,'Как будет'!DH$45:DH$52)</f>
        <v>0</v>
      </c>
      <c r="DH245">
        <f>SUMIF('Как будет'!$A$45:$A$52,Доп.расчеты!$A245,'Как будет'!DI$45:DI$52)</f>
        <v>0</v>
      </c>
      <c r="DI245">
        <f>SUMIF('Как будет'!$A$45:$A$52,Доп.расчеты!$A245,'Как будет'!DJ$45:DJ$52)</f>
        <v>0</v>
      </c>
      <c r="DJ245">
        <f>SUMIF('Как будет'!$A$45:$A$52,Доп.расчеты!$A245,'Как будет'!DK$45:DK$52)</f>
        <v>0</v>
      </c>
      <c r="DK245">
        <f>SUMIF('Как будет'!$A$45:$A$52,Доп.расчеты!$A245,'Как будет'!DL$45:DL$52)</f>
        <v>0</v>
      </c>
      <c r="DL245">
        <f>SUMIF('Как будет'!$A$45:$A$52,Доп.расчеты!$A245,'Как будет'!DM$45:DM$52)</f>
        <v>0</v>
      </c>
      <c r="DM245">
        <f>SUMIF('Как будет'!$A$45:$A$52,Доп.расчеты!$A245,'Как будет'!DN$45:DN$52)</f>
        <v>0</v>
      </c>
      <c r="DN245">
        <f>SUMIF('Как будет'!$A$45:$A$52,Доп.расчеты!$A245,'Как будет'!DO$45:DO$52)</f>
        <v>0</v>
      </c>
      <c r="DO245">
        <f>SUMIF('Как будет'!$A$45:$A$52,Доп.расчеты!$A245,'Как будет'!DP$45:DP$52)</f>
        <v>0</v>
      </c>
      <c r="DP245">
        <f>SUMIF('Как будет'!$A$45:$A$52,Доп.расчеты!$A245,'Как будет'!DQ$45:DQ$52)</f>
        <v>0</v>
      </c>
      <c r="DQ245">
        <f>SUMIF('Как будет'!$A$45:$A$52,Доп.расчеты!$A245,'Как будет'!DR$45:DR$52)</f>
        <v>0</v>
      </c>
      <c r="DR245">
        <f>SUMIF('Как будет'!$A$45:$A$52,Доп.расчеты!$A245,'Как будет'!DS$45:DS$52)</f>
        <v>0</v>
      </c>
      <c r="DS245">
        <f>SUMIF('Как будет'!$A$45:$A$52,Доп.расчеты!$A245,'Как будет'!DT$45:DT$52)</f>
        <v>0</v>
      </c>
      <c r="DT245">
        <f>SUMIF('Как будет'!$A$45:$A$52,Доп.расчеты!$A245,'Как будет'!DU$45:DU$52)</f>
        <v>0</v>
      </c>
      <c r="DU245">
        <f>SUMIF('Как будет'!$A$45:$A$52,Доп.расчеты!$A245,'Как будет'!DV$45:DV$52)</f>
        <v>0</v>
      </c>
      <c r="DV245">
        <f>SUMIF('Как будет'!$A$45:$A$52,Доп.расчеты!$A245,'Как будет'!DW$45:DW$52)</f>
        <v>0</v>
      </c>
      <c r="DW245">
        <f>SUMIF('Как будет'!$A$45:$A$52,Доп.расчеты!$A245,'Как будет'!DX$45:DX$52)</f>
        <v>0</v>
      </c>
      <c r="DX245">
        <f>SUMIF('Как будет'!$A$45:$A$52,Доп.расчеты!$A245,'Как будет'!DY$45:DY$52)</f>
        <v>0</v>
      </c>
      <c r="DY245">
        <f>SUMIF('Как будет'!$A$45:$A$52,Доп.расчеты!$A245,'Как будет'!DZ$45:DZ$52)</f>
        <v>0</v>
      </c>
      <c r="DZ245">
        <f>SUMIF('Как будет'!$A$45:$A$52,Доп.расчеты!$A245,'Как будет'!EA$45:EA$52)</f>
        <v>0</v>
      </c>
      <c r="EA245">
        <f>SUMIF('Как будет'!$A$45:$A$52,Доп.расчеты!$A245,'Как будет'!EB$45:EB$52)</f>
        <v>0</v>
      </c>
      <c r="EB245">
        <f>SUMIF('Как будет'!$A$45:$A$52,Доп.расчеты!$A245,'Как будет'!EC$45:EC$52)</f>
        <v>0</v>
      </c>
      <c r="EC245">
        <f>SUMIF('Как будет'!$A$45:$A$52,Доп.расчеты!$A245,'Как будет'!ED$45:ED$52)</f>
        <v>0</v>
      </c>
      <c r="ED245">
        <f>SUMIF('Как будет'!$A$45:$A$52,Доп.расчеты!$A245,'Как будет'!EE$45:EE$52)</f>
        <v>0</v>
      </c>
      <c r="EE245">
        <f>SUMIF('Как будет'!$A$45:$A$52,Доп.расчеты!$A245,'Как будет'!EF$45:EF$52)</f>
        <v>0</v>
      </c>
      <c r="EF245">
        <f>SUMIF('Как будет'!$A$45:$A$52,Доп.расчеты!$A245,'Как будет'!EG$45:EG$52)</f>
        <v>0</v>
      </c>
      <c r="EG245">
        <f>SUMIF('Как будет'!$A$45:$A$52,Доп.расчеты!$A245,'Как будет'!EH$45:EH$52)</f>
        <v>0</v>
      </c>
      <c r="EH245">
        <f>SUMIF('Как будет'!$A$45:$A$52,Доп.расчеты!$A245,'Как будет'!EI$45:EI$52)</f>
        <v>0</v>
      </c>
      <c r="EI245">
        <f>SUMIF('Как будет'!$A$45:$A$52,Доп.расчеты!$A245,'Как будет'!EJ$45:EJ$52)</f>
        <v>0</v>
      </c>
      <c r="EJ245">
        <f>SUMIF('Как будет'!$A$45:$A$52,Доп.расчеты!$A245,'Как будет'!EK$45:EK$52)</f>
        <v>0</v>
      </c>
      <c r="EK245">
        <f>SUMIF('Как будет'!$A$45:$A$52,Доп.расчеты!$A245,'Как будет'!EL$45:EL$52)</f>
        <v>0</v>
      </c>
      <c r="EL245">
        <f>SUMIF('Как будет'!$A$45:$A$52,Доп.расчеты!$A245,'Как будет'!EM$45:EM$52)</f>
        <v>0</v>
      </c>
      <c r="EM245">
        <f>SUMIF('Как будет'!$A$45:$A$52,Доп.расчеты!$A245,'Как будет'!EN$45:EN$52)</f>
        <v>0</v>
      </c>
      <c r="EN245">
        <f>SUMIF('Как будет'!$A$45:$A$52,Доп.расчеты!$A245,'Как будет'!EO$45:EO$52)</f>
        <v>0</v>
      </c>
      <c r="EO245">
        <f>SUMIF('Как будет'!$A$45:$A$52,Доп.расчеты!$A245,'Как будет'!EP$45:EP$52)</f>
        <v>0</v>
      </c>
      <c r="EP245">
        <f>SUMIF('Как будет'!$A$45:$A$52,Доп.расчеты!$A245,'Как будет'!EQ$45:EQ$52)</f>
        <v>0</v>
      </c>
      <c r="EQ245">
        <f>SUMIF('Как будет'!$A$45:$A$52,Доп.расчеты!$A245,'Как будет'!ER$45:ER$52)</f>
        <v>0</v>
      </c>
      <c r="ER245">
        <f>SUMIF('Как будет'!$A$45:$A$52,Доп.расчеты!$A245,'Как будет'!ES$45:ES$52)</f>
        <v>0</v>
      </c>
      <c r="ES245">
        <f>SUMIF('Как будет'!$A$45:$A$52,Доп.расчеты!$A245,'Как будет'!ET$45:ET$52)</f>
        <v>0</v>
      </c>
      <c r="ET245">
        <f>SUMIF('Как будет'!$A$45:$A$52,Доп.расчеты!$A245,'Как будет'!EU$45:EU$52)</f>
        <v>0</v>
      </c>
      <c r="EU245">
        <f>SUMIF('Как будет'!$A$45:$A$52,Доп.расчеты!$A245,'Как будет'!EV$45:EV$52)</f>
        <v>0</v>
      </c>
      <c r="EV245">
        <f>SUMIF('Как будет'!$A$45:$A$52,Доп.расчеты!$A245,'Как будет'!EW$45:EW$52)</f>
        <v>0</v>
      </c>
      <c r="EW245">
        <f>SUMIF('Как будет'!$A$45:$A$52,Доп.расчеты!$A245,'Как будет'!EX$45:EX$52)</f>
        <v>0</v>
      </c>
      <c r="EX245">
        <f>SUMIF('Как будет'!$A$45:$A$52,Доп.расчеты!$A245,'Как будет'!EY$45:EY$52)</f>
        <v>0</v>
      </c>
      <c r="EY245">
        <f>SUMIF('Как будет'!$A$45:$A$52,Доп.расчеты!$A245,'Как будет'!EZ$45:EZ$52)</f>
        <v>0</v>
      </c>
      <c r="EZ245">
        <f>SUMIF('Как будет'!$A$45:$A$52,Доп.расчеты!$A245,'Как будет'!FA$45:FA$52)</f>
        <v>0</v>
      </c>
      <c r="FA245">
        <f>SUMIF('Как будет'!$A$45:$A$52,Доп.расчеты!$A245,'Как будет'!FB$45:FB$52)</f>
        <v>0</v>
      </c>
      <c r="FB245">
        <f>SUMIF('Как будет'!$A$45:$A$52,Доп.расчеты!$A245,'Как будет'!FC$45:FC$52)</f>
        <v>0</v>
      </c>
      <c r="FC245">
        <f>SUMIF('Как будет'!$A$45:$A$52,Доп.расчеты!$A245,'Как будет'!FD$45:FD$52)</f>
        <v>0</v>
      </c>
      <c r="FD245">
        <f>SUMIF('Как будет'!$A$45:$A$52,Доп.расчеты!$A245,'Как будет'!FE$45:FE$52)</f>
        <v>0</v>
      </c>
      <c r="FE245">
        <f>SUMIF('Как будет'!$A$45:$A$52,Доп.расчеты!$A245,'Как будет'!FF$45:FF$52)</f>
        <v>0</v>
      </c>
      <c r="FF245">
        <f>SUMIF('Как будет'!$A$45:$A$52,Доп.расчеты!$A245,'Как будет'!FG$45:FG$52)</f>
        <v>0</v>
      </c>
      <c r="FG245">
        <f>SUMIF('Как будет'!$A$45:$A$52,Доп.расчеты!$A245,'Как будет'!FH$45:FH$52)</f>
        <v>0</v>
      </c>
      <c r="FH245">
        <f>SUMIF('Как будет'!$A$45:$A$52,Доп.расчеты!$A245,'Как будет'!FI$45:FI$52)</f>
        <v>0</v>
      </c>
      <c r="FI245">
        <f>SUMIF('Как будет'!$A$45:$A$52,Доп.расчеты!$A245,'Как будет'!FJ$45:FJ$52)</f>
        <v>0</v>
      </c>
      <c r="FJ245">
        <f>SUMIF('Как будет'!$A$45:$A$52,Доп.расчеты!$A245,'Как будет'!FK$45:FK$52)</f>
        <v>0</v>
      </c>
      <c r="FK245">
        <f>SUMIF('Как будет'!$A$45:$A$52,Доп.расчеты!$A245,'Как будет'!FL$45:FL$52)</f>
        <v>0</v>
      </c>
      <c r="FL245">
        <f>SUMIF('Как будет'!$A$45:$A$52,Доп.расчеты!$A245,'Как будет'!FM$45:FM$52)</f>
        <v>0</v>
      </c>
      <c r="FM245">
        <f>SUMIF('Как будет'!$A$45:$A$52,Доп.расчеты!$A245,'Как будет'!FN$45:FN$52)</f>
        <v>0</v>
      </c>
      <c r="FN245">
        <f>SUMIF('Как будет'!$A$45:$A$52,Доп.расчеты!$A245,'Как будет'!FO$45:FO$52)</f>
        <v>0</v>
      </c>
      <c r="FO245">
        <f>SUMIF('Как будет'!$A$45:$A$52,Доп.расчеты!$A245,'Как будет'!FP$45:FP$52)</f>
        <v>0</v>
      </c>
      <c r="FP245">
        <f>SUMIF('Как будет'!$A$45:$A$52,Доп.расчеты!$A245,'Как будет'!FQ$45:FQ$52)</f>
        <v>0</v>
      </c>
      <c r="FQ245">
        <f>SUMIF('Как будет'!$A$45:$A$52,Доп.расчеты!$A245,'Как будет'!FR$45:FR$52)</f>
        <v>0</v>
      </c>
      <c r="FR245">
        <f>SUMIF('Как будет'!$A$45:$A$52,Доп.расчеты!$A245,'Как будет'!FS$45:FS$52)</f>
        <v>0</v>
      </c>
      <c r="FS245">
        <f>SUMIF('Как будет'!$A$45:$A$52,Доп.расчеты!$A245,'Как будет'!FT$45:FT$52)</f>
        <v>0</v>
      </c>
      <c r="FT245">
        <f>SUMIF('Как будет'!$A$45:$A$52,Доп.расчеты!$A245,'Как будет'!FU$45:FU$52)</f>
        <v>0</v>
      </c>
      <c r="FU245">
        <f>SUMIF('Как будет'!$A$45:$A$52,Доп.расчеты!$A245,'Как будет'!FV$45:FV$52)</f>
        <v>0</v>
      </c>
      <c r="FV245">
        <f>SUMIF('Как будет'!$A$45:$A$52,Доп.расчеты!$A245,'Как будет'!FW$45:FW$52)</f>
        <v>0</v>
      </c>
      <c r="FW245">
        <f>SUMIF('Как будет'!$A$45:$A$52,Доп.расчеты!$A245,'Как будет'!FX$45:FX$52)</f>
        <v>0</v>
      </c>
      <c r="FX245">
        <f>SUMIF('Как будет'!$A$45:$A$52,Доп.расчеты!$A245,'Как будет'!FY$45:FY$52)</f>
        <v>0</v>
      </c>
      <c r="FY245">
        <f>SUMIF('Как будет'!$A$45:$A$52,Доп.расчеты!$A245,'Как будет'!FZ$45:FZ$52)</f>
        <v>0</v>
      </c>
      <c r="FZ245">
        <f>SUMIF('Как будет'!$A$45:$A$52,Доп.расчеты!$A245,'Как будет'!GA$45:GA$52)</f>
        <v>0</v>
      </c>
      <c r="GA245">
        <f>SUMIF('Как будет'!$A$45:$A$52,Доп.расчеты!$A245,'Как будет'!GB$45:GB$52)</f>
        <v>0</v>
      </c>
      <c r="GB245">
        <f>SUMIF('Как будет'!$A$45:$A$52,Доп.расчеты!$A245,'Как будет'!GC$45:GC$52)</f>
        <v>0</v>
      </c>
      <c r="GC245">
        <f>SUMIF('Как будет'!$A$45:$A$52,Доп.расчеты!$A245,'Как будет'!GD$45:GD$52)</f>
        <v>0</v>
      </c>
      <c r="GD245">
        <f>SUMIF('Как будет'!$A$45:$A$52,Доп.расчеты!$A245,'Как будет'!GE$45:GE$52)</f>
        <v>0</v>
      </c>
      <c r="GE245">
        <f>SUMIF('Как будет'!$A$45:$A$52,Доп.расчеты!$A245,'Как будет'!GF$45:GF$52)</f>
        <v>0</v>
      </c>
      <c r="GF245">
        <f>SUMIF('Как будет'!$A$45:$A$52,Доп.расчеты!$A245,'Как будет'!GG$45:GG$52)</f>
        <v>0</v>
      </c>
      <c r="GG245">
        <f>SUMIF('Как будет'!$A$45:$A$52,Доп.расчеты!$A245,'Как будет'!GH$45:GH$52)</f>
        <v>0</v>
      </c>
      <c r="GH245">
        <f>SUMIF('Как будет'!$A$45:$A$52,Доп.расчеты!$A245,'Как будет'!GI$45:GI$52)</f>
        <v>0</v>
      </c>
      <c r="GI245">
        <f>SUMIF('Как будет'!$A$45:$A$52,Доп.расчеты!$A245,'Как будет'!GJ$45:GJ$52)</f>
        <v>0</v>
      </c>
      <c r="GJ245">
        <f>SUMIF('Как будет'!$A$45:$A$52,Доп.расчеты!$A245,'Как будет'!GK$45:GK$52)</f>
        <v>0</v>
      </c>
      <c r="GK245">
        <f>SUMIF('Как будет'!$A$45:$A$52,Доп.расчеты!$A245,'Как будет'!GL$45:GL$52)</f>
        <v>0</v>
      </c>
      <c r="GL245">
        <f>SUMIF('Как будет'!$A$45:$A$52,Доп.расчеты!$A245,'Как будет'!GM$45:GM$52)</f>
        <v>0</v>
      </c>
      <c r="GM245">
        <f>SUMIF('Как будет'!$A$45:$A$52,Доп.расчеты!$A245,'Как будет'!GN$45:GN$52)</f>
        <v>0</v>
      </c>
      <c r="GN245">
        <f>SUMIF('Как будет'!$A$45:$A$52,Доп.расчеты!$A245,'Как будет'!GO$45:GO$52)</f>
        <v>0</v>
      </c>
      <c r="GO245">
        <f>SUMIF('Как будет'!$A$45:$A$52,Доп.расчеты!$A245,'Как будет'!GP$45:GP$52)</f>
        <v>0</v>
      </c>
      <c r="GP245">
        <f>SUMIF('Как будет'!$A$45:$A$52,Доп.расчеты!$A245,'Как будет'!GQ$45:GQ$52)</f>
        <v>0</v>
      </c>
      <c r="GQ245">
        <f>SUMIF('Как будет'!$A$45:$A$52,Доп.расчеты!$A245,'Как будет'!GR$45:GR$52)</f>
        <v>0</v>
      </c>
      <c r="GR245">
        <f>SUMIF('Как будет'!$A$45:$A$52,Доп.расчеты!$A245,'Как будет'!GS$45:GS$52)</f>
        <v>0</v>
      </c>
      <c r="GS245">
        <f>SUMIF('Как будет'!$A$45:$A$52,Доп.расчеты!$A245,'Как будет'!GT$45:GT$52)</f>
        <v>0</v>
      </c>
      <c r="GT245">
        <f>SUMIF('Как будет'!$A$45:$A$52,Доп.расчеты!$A245,'Как будет'!GU$45:GU$52)</f>
        <v>0</v>
      </c>
    </row>
    <row r="246" spans="1:202">
      <c r="A246" s="238" t="s">
        <v>95</v>
      </c>
      <c r="B246">
        <f>SUMIF('Как будет'!$A$45:$A$52,Доп.расчеты!$A246,'Как будет'!C$45:C$52)</f>
        <v>0</v>
      </c>
      <c r="C246">
        <f>SUMIF('Как будет'!$A$45:$A$52,Доп.расчеты!$A246,'Как будет'!D$45:D$52)</f>
        <v>0</v>
      </c>
      <c r="D246">
        <f>SUMIF('Как будет'!$A$45:$A$52,Доп.расчеты!$A246,'Как будет'!E$45:E$52)</f>
        <v>0</v>
      </c>
      <c r="E246">
        <f>SUMIF('Как будет'!$A$45:$A$52,Доп.расчеты!$A246,'Как будет'!F$45:F$52)</f>
        <v>0</v>
      </c>
      <c r="F246">
        <f>SUMIF('Как будет'!$A$45:$A$52,Доп.расчеты!$A246,'Как будет'!G$45:G$52)</f>
        <v>0</v>
      </c>
      <c r="G246">
        <f>SUMIF('Как будет'!$A$45:$A$52,Доп.расчеты!$A246,'Как будет'!H$45:H$52)</f>
        <v>0</v>
      </c>
      <c r="H246">
        <f>SUMIF('Как будет'!$A$45:$A$52,Доп.расчеты!$A246,'Как будет'!I$45:I$52)</f>
        <v>0</v>
      </c>
      <c r="I246">
        <f>SUMIF('Как будет'!$A$45:$A$52,Доп.расчеты!$A246,'Как будет'!J$45:J$52)</f>
        <v>0</v>
      </c>
      <c r="J246">
        <f>SUMIF('Как будет'!$A$45:$A$52,Доп.расчеты!$A246,'Как будет'!K$45:K$52)</f>
        <v>0</v>
      </c>
      <c r="K246">
        <f>SUMIF('Как будет'!$A$45:$A$52,Доп.расчеты!$A246,'Как будет'!L$45:L$52)</f>
        <v>0</v>
      </c>
      <c r="L246">
        <f>SUMIF('Как будет'!$A$45:$A$52,Доп.расчеты!$A246,'Как будет'!M$45:M$52)</f>
        <v>0</v>
      </c>
      <c r="M246">
        <f>SUMIF('Как будет'!$A$45:$A$52,Доп.расчеты!$A246,'Как будет'!N$45:N$52)</f>
        <v>0</v>
      </c>
      <c r="N246">
        <f>SUMIF('Как будет'!$A$45:$A$52,Доп.расчеты!$A246,'Как будет'!O$45:O$52)</f>
        <v>0</v>
      </c>
      <c r="O246">
        <f>SUMIF('Как будет'!$A$45:$A$52,Доп.расчеты!$A246,'Как будет'!P$45:P$52)</f>
        <v>0</v>
      </c>
      <c r="P246">
        <f>SUMIF('Как будет'!$A$45:$A$52,Доп.расчеты!$A246,'Как будет'!Q$45:Q$52)</f>
        <v>0</v>
      </c>
      <c r="Q246">
        <f>SUMIF('Как будет'!$A$45:$A$52,Доп.расчеты!$A246,'Как будет'!R$45:R$52)</f>
        <v>0</v>
      </c>
      <c r="R246">
        <f>SUMIF('Как будет'!$A$45:$A$52,Доп.расчеты!$A246,'Как будет'!S$45:S$52)</f>
        <v>0</v>
      </c>
      <c r="S246">
        <f>SUMIF('Как будет'!$A$45:$A$52,Доп.расчеты!$A246,'Как будет'!T$45:T$52)</f>
        <v>0</v>
      </c>
      <c r="T246">
        <f>SUMIF('Как будет'!$A$45:$A$52,Доп.расчеты!$A246,'Как будет'!U$45:U$52)</f>
        <v>0</v>
      </c>
      <c r="U246">
        <f>SUMIF('Как будет'!$A$45:$A$52,Доп.расчеты!$A246,'Как будет'!V$45:V$52)</f>
        <v>0</v>
      </c>
      <c r="V246">
        <f>SUMIF('Как будет'!$A$45:$A$52,Доп.расчеты!$A246,'Как будет'!W$45:W$52)</f>
        <v>0</v>
      </c>
      <c r="W246">
        <f>SUMIF('Как будет'!$A$45:$A$52,Доп.расчеты!$A246,'Как будет'!X$45:X$52)</f>
        <v>0</v>
      </c>
      <c r="X246">
        <f>SUMIF('Как будет'!$A$45:$A$52,Доп.расчеты!$A246,'Как будет'!Y$45:Y$52)</f>
        <v>0</v>
      </c>
      <c r="Y246">
        <f>SUMIF('Как будет'!$A$45:$A$52,Доп.расчеты!$A246,'Как будет'!Z$45:Z$52)</f>
        <v>0</v>
      </c>
      <c r="Z246">
        <f>SUMIF('Как будет'!$A$45:$A$52,Доп.расчеты!$A246,'Как будет'!AA$45:AA$52)</f>
        <v>0</v>
      </c>
      <c r="AA246">
        <f>SUMIF('Как будет'!$A$45:$A$52,Доп.расчеты!$A246,'Как будет'!AB$45:AB$52)</f>
        <v>0</v>
      </c>
      <c r="AB246">
        <f>SUMIF('Как будет'!$A$45:$A$52,Доп.расчеты!$A246,'Как будет'!AC$45:AC$52)</f>
        <v>0</v>
      </c>
      <c r="AC246">
        <f>SUMIF('Как будет'!$A$45:$A$52,Доп.расчеты!$A246,'Как будет'!AD$45:AD$52)</f>
        <v>0</v>
      </c>
      <c r="AD246">
        <f>SUMIF('Как будет'!$A$45:$A$52,Доп.расчеты!$A246,'Как будет'!AE$45:AE$52)</f>
        <v>0</v>
      </c>
      <c r="AE246">
        <f>SUMIF('Как будет'!$A$45:$A$52,Доп.расчеты!$A246,'Как будет'!AF$45:AF$52)</f>
        <v>0</v>
      </c>
      <c r="AF246">
        <f>SUMIF('Как будет'!$A$45:$A$52,Доп.расчеты!$A246,'Как будет'!AG$45:AG$52)</f>
        <v>0</v>
      </c>
      <c r="AG246">
        <f>SUMIF('Как будет'!$A$45:$A$52,Доп.расчеты!$A246,'Как будет'!AH$45:AH$52)</f>
        <v>0</v>
      </c>
      <c r="AH246">
        <f>SUMIF('Как будет'!$A$45:$A$52,Доп.расчеты!$A246,'Как будет'!AI$45:AI$52)</f>
        <v>0</v>
      </c>
      <c r="AI246">
        <f>SUMIF('Как будет'!$A$45:$A$52,Доп.расчеты!$A246,'Как будет'!AJ$45:AJ$52)</f>
        <v>0</v>
      </c>
      <c r="AJ246">
        <f>SUMIF('Как будет'!$A$45:$A$52,Доп.расчеты!$A246,'Как будет'!AK$45:AK$52)</f>
        <v>0</v>
      </c>
      <c r="AK246">
        <f>SUMIF('Как будет'!$A$45:$A$52,Доп.расчеты!$A246,'Как будет'!AL$45:AL$52)</f>
        <v>0</v>
      </c>
      <c r="AL246">
        <f>SUMIF('Как будет'!$A$45:$A$52,Доп.расчеты!$A246,'Как будет'!AM$45:AM$52)</f>
        <v>0</v>
      </c>
      <c r="AM246">
        <f>SUMIF('Как будет'!$A$45:$A$52,Доп.расчеты!$A246,'Как будет'!AN$45:AN$52)</f>
        <v>0</v>
      </c>
      <c r="AN246">
        <f>SUMIF('Как будет'!$A$45:$A$52,Доп.расчеты!$A246,'Как будет'!AO$45:AO$52)</f>
        <v>0</v>
      </c>
      <c r="AO246">
        <f>SUMIF('Как будет'!$A$45:$A$52,Доп.расчеты!$A246,'Как будет'!AP$45:AP$52)</f>
        <v>0</v>
      </c>
      <c r="AP246">
        <f>SUMIF('Как будет'!$A$45:$A$52,Доп.расчеты!$A246,'Как будет'!AQ$45:AQ$52)</f>
        <v>0</v>
      </c>
      <c r="AQ246">
        <f>SUMIF('Как будет'!$A$45:$A$52,Доп.расчеты!$A246,'Как будет'!AR$45:AR$52)</f>
        <v>0</v>
      </c>
      <c r="AR246">
        <f>SUMIF('Как будет'!$A$45:$A$52,Доп.расчеты!$A246,'Как будет'!AS$45:AS$52)</f>
        <v>0</v>
      </c>
      <c r="AS246">
        <f>SUMIF('Как будет'!$A$45:$A$52,Доп.расчеты!$A246,'Как будет'!AT$45:AT$52)</f>
        <v>0</v>
      </c>
      <c r="AT246">
        <f>SUMIF('Как будет'!$A$45:$A$52,Доп.расчеты!$A246,'Как будет'!AU$45:AU$52)</f>
        <v>0</v>
      </c>
      <c r="AU246">
        <f>SUMIF('Как будет'!$A$45:$A$52,Доп.расчеты!$A246,'Как будет'!AV$45:AV$52)</f>
        <v>0</v>
      </c>
      <c r="AV246">
        <f>SUMIF('Как будет'!$A$45:$A$52,Доп.расчеты!$A246,'Как будет'!AW$45:AW$52)</f>
        <v>0</v>
      </c>
      <c r="AW246">
        <f>SUMIF('Как будет'!$A$45:$A$52,Доп.расчеты!$A246,'Как будет'!AX$45:AX$52)</f>
        <v>0</v>
      </c>
      <c r="AX246">
        <f>SUMIF('Как будет'!$A$45:$A$52,Доп.расчеты!$A246,'Как будет'!AY$45:AY$52)</f>
        <v>0</v>
      </c>
      <c r="AY246">
        <f>SUMIF('Как будет'!$A$45:$A$52,Доп.расчеты!$A246,'Как будет'!AZ$45:AZ$52)</f>
        <v>0</v>
      </c>
      <c r="AZ246">
        <f>SUMIF('Как будет'!$A$45:$A$52,Доп.расчеты!$A246,'Как будет'!BA$45:BA$52)</f>
        <v>0</v>
      </c>
      <c r="BA246">
        <f>SUMIF('Как будет'!$A$45:$A$52,Доп.расчеты!$A246,'Как будет'!BB$45:BB$52)</f>
        <v>0</v>
      </c>
      <c r="BB246">
        <f>SUMIF('Как будет'!$A$45:$A$52,Доп.расчеты!$A246,'Как будет'!BC$45:BC$52)</f>
        <v>0</v>
      </c>
      <c r="BC246">
        <f>SUMIF('Как будет'!$A$45:$A$52,Доп.расчеты!$A246,'Как будет'!BD$45:BD$52)</f>
        <v>0</v>
      </c>
      <c r="BD246">
        <f>SUMIF('Как будет'!$A$45:$A$52,Доп.расчеты!$A246,'Как будет'!BE$45:BE$52)</f>
        <v>0</v>
      </c>
      <c r="BE246">
        <f>SUMIF('Как будет'!$A$45:$A$52,Доп.расчеты!$A246,'Как будет'!BF$45:BF$52)</f>
        <v>0</v>
      </c>
      <c r="BF246">
        <f>SUMIF('Как будет'!$A$45:$A$52,Доп.расчеты!$A246,'Как будет'!BG$45:BG$52)</f>
        <v>0</v>
      </c>
      <c r="BG246">
        <f>SUMIF('Как будет'!$A$45:$A$52,Доп.расчеты!$A246,'Как будет'!BH$45:BH$52)</f>
        <v>0</v>
      </c>
      <c r="BH246">
        <f>SUMIF('Как будет'!$A$45:$A$52,Доп.расчеты!$A246,'Как будет'!BI$45:BI$52)</f>
        <v>0</v>
      </c>
      <c r="BI246">
        <f>SUMIF('Как будет'!$A$45:$A$52,Доп.расчеты!$A246,'Как будет'!BJ$45:BJ$52)</f>
        <v>0</v>
      </c>
      <c r="BJ246">
        <f>SUMIF('Как будет'!$A$45:$A$52,Доп.расчеты!$A246,'Как будет'!BK$45:BK$52)</f>
        <v>0</v>
      </c>
      <c r="BK246">
        <f>SUMIF('Как будет'!$A$45:$A$52,Доп.расчеты!$A246,'Как будет'!BL$45:BL$52)</f>
        <v>0</v>
      </c>
      <c r="BL246">
        <f>SUMIF('Как будет'!$A$45:$A$52,Доп.расчеты!$A246,'Как будет'!BM$45:BM$52)</f>
        <v>0</v>
      </c>
      <c r="BM246">
        <f>SUMIF('Как будет'!$A$45:$A$52,Доп.расчеты!$A246,'Как будет'!BN$45:BN$52)</f>
        <v>0</v>
      </c>
      <c r="BN246">
        <f>SUMIF('Как будет'!$A$45:$A$52,Доп.расчеты!$A246,'Как будет'!BO$45:BO$52)</f>
        <v>0</v>
      </c>
      <c r="BO246">
        <f>SUMIF('Как будет'!$A$45:$A$52,Доп.расчеты!$A246,'Как будет'!BP$45:BP$52)</f>
        <v>0</v>
      </c>
      <c r="BP246">
        <f>SUMIF('Как будет'!$A$45:$A$52,Доп.расчеты!$A246,'Как будет'!BQ$45:BQ$52)</f>
        <v>0</v>
      </c>
      <c r="BQ246">
        <f>SUMIF('Как будет'!$A$45:$A$52,Доп.расчеты!$A246,'Как будет'!BR$45:BR$52)</f>
        <v>0</v>
      </c>
      <c r="BR246">
        <f>SUMIF('Как будет'!$A$45:$A$52,Доп.расчеты!$A246,'Как будет'!BS$45:BS$52)</f>
        <v>0</v>
      </c>
      <c r="BS246">
        <f>SUMIF('Как будет'!$A$45:$A$52,Доп.расчеты!$A246,'Как будет'!BT$45:BT$52)</f>
        <v>0</v>
      </c>
      <c r="BT246">
        <f>SUMIF('Как будет'!$A$45:$A$52,Доп.расчеты!$A246,'Как будет'!BU$45:BU$52)</f>
        <v>0</v>
      </c>
      <c r="BU246">
        <f>SUMIF('Как будет'!$A$45:$A$52,Доп.расчеты!$A246,'Как будет'!BV$45:BV$52)</f>
        <v>0</v>
      </c>
      <c r="BV246">
        <f>SUMIF('Как будет'!$A$45:$A$52,Доп.расчеты!$A246,'Как будет'!BW$45:BW$52)</f>
        <v>0</v>
      </c>
      <c r="BW246">
        <f>SUMIF('Как будет'!$A$45:$A$52,Доп.расчеты!$A246,'Как будет'!BX$45:BX$52)</f>
        <v>0</v>
      </c>
      <c r="BX246">
        <f>SUMIF('Как будет'!$A$45:$A$52,Доп.расчеты!$A246,'Как будет'!BY$45:BY$52)</f>
        <v>0</v>
      </c>
      <c r="BY246">
        <f>SUMIF('Как будет'!$A$45:$A$52,Доп.расчеты!$A246,'Как будет'!BZ$45:BZ$52)</f>
        <v>0</v>
      </c>
      <c r="BZ246">
        <f>SUMIF('Как будет'!$A$45:$A$52,Доп.расчеты!$A246,'Как будет'!CA$45:CA$52)</f>
        <v>0</v>
      </c>
      <c r="CA246">
        <f>SUMIF('Как будет'!$A$45:$A$52,Доп.расчеты!$A246,'Как будет'!CB$45:CB$52)</f>
        <v>0</v>
      </c>
      <c r="CB246">
        <f>SUMIF('Как будет'!$A$45:$A$52,Доп.расчеты!$A246,'Как будет'!CC$45:CC$52)</f>
        <v>0</v>
      </c>
      <c r="CC246">
        <f>SUMIF('Как будет'!$A$45:$A$52,Доп.расчеты!$A246,'Как будет'!CD$45:CD$52)</f>
        <v>0</v>
      </c>
      <c r="CD246">
        <f>SUMIF('Как будет'!$A$45:$A$52,Доп.расчеты!$A246,'Как будет'!CE$45:CE$52)</f>
        <v>0</v>
      </c>
      <c r="CE246">
        <f>SUMIF('Как будет'!$A$45:$A$52,Доп.расчеты!$A246,'Как будет'!CF$45:CF$52)</f>
        <v>0</v>
      </c>
      <c r="CF246">
        <f>SUMIF('Как будет'!$A$45:$A$52,Доп.расчеты!$A246,'Как будет'!CG$45:CG$52)</f>
        <v>0</v>
      </c>
      <c r="CG246">
        <f>SUMIF('Как будет'!$A$45:$A$52,Доп.расчеты!$A246,'Как будет'!CH$45:CH$52)</f>
        <v>0</v>
      </c>
      <c r="CH246">
        <f>SUMIF('Как будет'!$A$45:$A$52,Доп.расчеты!$A246,'Как будет'!CI$45:CI$52)</f>
        <v>0</v>
      </c>
      <c r="CI246">
        <f>SUMIF('Как будет'!$A$45:$A$52,Доп.расчеты!$A246,'Как будет'!CJ$45:CJ$52)</f>
        <v>0</v>
      </c>
      <c r="CJ246">
        <f>SUMIF('Как будет'!$A$45:$A$52,Доп.расчеты!$A246,'Как будет'!CK$45:CK$52)</f>
        <v>0</v>
      </c>
      <c r="CK246">
        <f>SUMIF('Как будет'!$A$45:$A$52,Доп.расчеты!$A246,'Как будет'!CL$45:CL$52)</f>
        <v>0</v>
      </c>
      <c r="CL246">
        <f>SUMIF('Как будет'!$A$45:$A$52,Доп.расчеты!$A246,'Как будет'!CM$45:CM$52)</f>
        <v>0</v>
      </c>
      <c r="CM246">
        <f>SUMIF('Как будет'!$A$45:$A$52,Доп.расчеты!$A246,'Как будет'!CN$45:CN$52)</f>
        <v>0</v>
      </c>
      <c r="CN246">
        <f>SUMIF('Как будет'!$A$45:$A$52,Доп.расчеты!$A246,'Как будет'!CO$45:CO$52)</f>
        <v>0</v>
      </c>
      <c r="CO246">
        <f>SUMIF('Как будет'!$A$45:$A$52,Доп.расчеты!$A246,'Как будет'!CP$45:CP$52)</f>
        <v>0</v>
      </c>
      <c r="CP246">
        <f>SUMIF('Как будет'!$A$45:$A$52,Доп.расчеты!$A246,'Как будет'!CQ$45:CQ$52)</f>
        <v>0</v>
      </c>
      <c r="CQ246">
        <f>SUMIF('Как будет'!$A$45:$A$52,Доп.расчеты!$A246,'Как будет'!CR$45:CR$52)</f>
        <v>0</v>
      </c>
      <c r="CR246">
        <f>SUMIF('Как будет'!$A$45:$A$52,Доп.расчеты!$A246,'Как будет'!CS$45:CS$52)</f>
        <v>0</v>
      </c>
      <c r="CS246">
        <f>SUMIF('Как будет'!$A$45:$A$52,Доп.расчеты!$A246,'Как будет'!CT$45:CT$52)</f>
        <v>0</v>
      </c>
      <c r="CT246">
        <f>SUMIF('Как будет'!$A$45:$A$52,Доп.расчеты!$A246,'Как будет'!CU$45:CU$52)</f>
        <v>0</v>
      </c>
      <c r="CU246">
        <f>SUMIF('Как будет'!$A$45:$A$52,Доп.расчеты!$A246,'Как будет'!CV$45:CV$52)</f>
        <v>0</v>
      </c>
      <c r="CV246">
        <f>SUMIF('Как будет'!$A$45:$A$52,Доп.расчеты!$A246,'Как будет'!CW$45:CW$52)</f>
        <v>0</v>
      </c>
      <c r="CW246">
        <f>SUMIF('Как будет'!$A$45:$A$52,Доп.расчеты!$A246,'Как будет'!CX$45:CX$52)</f>
        <v>0</v>
      </c>
      <c r="CX246">
        <f>SUMIF('Как будет'!$A$45:$A$52,Доп.расчеты!$A246,'Как будет'!CY$45:CY$52)</f>
        <v>0</v>
      </c>
      <c r="CY246">
        <f>SUMIF('Как будет'!$A$45:$A$52,Доп.расчеты!$A246,'Как будет'!CZ$45:CZ$52)</f>
        <v>0</v>
      </c>
      <c r="CZ246">
        <f>SUMIF('Как будет'!$A$45:$A$52,Доп.расчеты!$A246,'Как будет'!DA$45:DA$52)</f>
        <v>0</v>
      </c>
      <c r="DA246">
        <f>SUMIF('Как будет'!$A$45:$A$52,Доп.расчеты!$A246,'Как будет'!DB$45:DB$52)</f>
        <v>0</v>
      </c>
      <c r="DB246">
        <f>SUMIF('Как будет'!$A$45:$A$52,Доп.расчеты!$A246,'Как будет'!DC$45:DC$52)</f>
        <v>0</v>
      </c>
      <c r="DC246">
        <f>SUMIF('Как будет'!$A$45:$A$52,Доп.расчеты!$A246,'Как будет'!DD$45:DD$52)</f>
        <v>0</v>
      </c>
      <c r="DD246">
        <f>SUMIF('Как будет'!$A$45:$A$52,Доп.расчеты!$A246,'Как будет'!DE$45:DE$52)</f>
        <v>0</v>
      </c>
      <c r="DE246">
        <f>SUMIF('Как будет'!$A$45:$A$52,Доп.расчеты!$A246,'Как будет'!DF$45:DF$52)</f>
        <v>0</v>
      </c>
      <c r="DF246">
        <f>SUMIF('Как будет'!$A$45:$A$52,Доп.расчеты!$A246,'Как будет'!DG$45:DG$52)</f>
        <v>0</v>
      </c>
      <c r="DG246">
        <f>SUMIF('Как будет'!$A$45:$A$52,Доп.расчеты!$A246,'Как будет'!DH$45:DH$52)</f>
        <v>0</v>
      </c>
      <c r="DH246">
        <f>SUMIF('Как будет'!$A$45:$A$52,Доп.расчеты!$A246,'Как будет'!DI$45:DI$52)</f>
        <v>0</v>
      </c>
      <c r="DI246">
        <f>SUMIF('Как будет'!$A$45:$A$52,Доп.расчеты!$A246,'Как будет'!DJ$45:DJ$52)</f>
        <v>0</v>
      </c>
      <c r="DJ246">
        <f>SUMIF('Как будет'!$A$45:$A$52,Доп.расчеты!$A246,'Как будет'!DK$45:DK$52)</f>
        <v>0</v>
      </c>
      <c r="DK246">
        <f>SUMIF('Как будет'!$A$45:$A$52,Доп.расчеты!$A246,'Как будет'!DL$45:DL$52)</f>
        <v>0</v>
      </c>
      <c r="DL246">
        <f>SUMIF('Как будет'!$A$45:$A$52,Доп.расчеты!$A246,'Как будет'!DM$45:DM$52)</f>
        <v>0</v>
      </c>
      <c r="DM246">
        <f>SUMIF('Как будет'!$A$45:$A$52,Доп.расчеты!$A246,'Как будет'!DN$45:DN$52)</f>
        <v>0</v>
      </c>
      <c r="DN246">
        <f>SUMIF('Как будет'!$A$45:$A$52,Доп.расчеты!$A246,'Как будет'!DO$45:DO$52)</f>
        <v>0</v>
      </c>
      <c r="DO246">
        <f>SUMIF('Как будет'!$A$45:$A$52,Доп.расчеты!$A246,'Как будет'!DP$45:DP$52)</f>
        <v>0</v>
      </c>
      <c r="DP246">
        <f>SUMIF('Как будет'!$A$45:$A$52,Доп.расчеты!$A246,'Как будет'!DQ$45:DQ$52)</f>
        <v>0</v>
      </c>
      <c r="DQ246">
        <f>SUMIF('Как будет'!$A$45:$A$52,Доп.расчеты!$A246,'Как будет'!DR$45:DR$52)</f>
        <v>0</v>
      </c>
      <c r="DR246">
        <f>SUMIF('Как будет'!$A$45:$A$52,Доп.расчеты!$A246,'Как будет'!DS$45:DS$52)</f>
        <v>0</v>
      </c>
      <c r="DS246">
        <f>SUMIF('Как будет'!$A$45:$A$52,Доп.расчеты!$A246,'Как будет'!DT$45:DT$52)</f>
        <v>0</v>
      </c>
      <c r="DT246">
        <f>SUMIF('Как будет'!$A$45:$A$52,Доп.расчеты!$A246,'Как будет'!DU$45:DU$52)</f>
        <v>0</v>
      </c>
      <c r="DU246">
        <f>SUMIF('Как будет'!$A$45:$A$52,Доп.расчеты!$A246,'Как будет'!DV$45:DV$52)</f>
        <v>0</v>
      </c>
      <c r="DV246">
        <f>SUMIF('Как будет'!$A$45:$A$52,Доп.расчеты!$A246,'Как будет'!DW$45:DW$52)</f>
        <v>0</v>
      </c>
      <c r="DW246">
        <f>SUMIF('Как будет'!$A$45:$A$52,Доп.расчеты!$A246,'Как будет'!DX$45:DX$52)</f>
        <v>0</v>
      </c>
      <c r="DX246">
        <f>SUMIF('Как будет'!$A$45:$A$52,Доп.расчеты!$A246,'Как будет'!DY$45:DY$52)</f>
        <v>0</v>
      </c>
      <c r="DY246">
        <f>SUMIF('Как будет'!$A$45:$A$52,Доп.расчеты!$A246,'Как будет'!DZ$45:DZ$52)</f>
        <v>0</v>
      </c>
      <c r="DZ246">
        <f>SUMIF('Как будет'!$A$45:$A$52,Доп.расчеты!$A246,'Как будет'!EA$45:EA$52)</f>
        <v>0</v>
      </c>
      <c r="EA246">
        <f>SUMIF('Как будет'!$A$45:$A$52,Доп.расчеты!$A246,'Как будет'!EB$45:EB$52)</f>
        <v>0</v>
      </c>
      <c r="EB246">
        <f>SUMIF('Как будет'!$A$45:$A$52,Доп.расчеты!$A246,'Как будет'!EC$45:EC$52)</f>
        <v>0</v>
      </c>
      <c r="EC246">
        <f>SUMIF('Как будет'!$A$45:$A$52,Доп.расчеты!$A246,'Как будет'!ED$45:ED$52)</f>
        <v>0</v>
      </c>
      <c r="ED246">
        <f>SUMIF('Как будет'!$A$45:$A$52,Доп.расчеты!$A246,'Как будет'!EE$45:EE$52)</f>
        <v>0</v>
      </c>
      <c r="EE246">
        <f>SUMIF('Как будет'!$A$45:$A$52,Доп.расчеты!$A246,'Как будет'!EF$45:EF$52)</f>
        <v>0</v>
      </c>
      <c r="EF246">
        <f>SUMIF('Как будет'!$A$45:$A$52,Доп.расчеты!$A246,'Как будет'!EG$45:EG$52)</f>
        <v>0</v>
      </c>
      <c r="EG246">
        <f>SUMIF('Как будет'!$A$45:$A$52,Доп.расчеты!$A246,'Как будет'!EH$45:EH$52)</f>
        <v>0</v>
      </c>
      <c r="EH246">
        <f>SUMIF('Как будет'!$A$45:$A$52,Доп.расчеты!$A246,'Как будет'!EI$45:EI$52)</f>
        <v>0</v>
      </c>
      <c r="EI246">
        <f>SUMIF('Как будет'!$A$45:$A$52,Доп.расчеты!$A246,'Как будет'!EJ$45:EJ$52)</f>
        <v>0</v>
      </c>
      <c r="EJ246">
        <f>SUMIF('Как будет'!$A$45:$A$52,Доп.расчеты!$A246,'Как будет'!EK$45:EK$52)</f>
        <v>0</v>
      </c>
      <c r="EK246">
        <f>SUMIF('Как будет'!$A$45:$A$52,Доп.расчеты!$A246,'Как будет'!EL$45:EL$52)</f>
        <v>0</v>
      </c>
      <c r="EL246">
        <f>SUMIF('Как будет'!$A$45:$A$52,Доп.расчеты!$A246,'Как будет'!EM$45:EM$52)</f>
        <v>0</v>
      </c>
      <c r="EM246">
        <f>SUMIF('Как будет'!$A$45:$A$52,Доп.расчеты!$A246,'Как будет'!EN$45:EN$52)</f>
        <v>0</v>
      </c>
      <c r="EN246">
        <f>SUMIF('Как будет'!$A$45:$A$52,Доп.расчеты!$A246,'Как будет'!EO$45:EO$52)</f>
        <v>0</v>
      </c>
      <c r="EO246">
        <f>SUMIF('Как будет'!$A$45:$A$52,Доп.расчеты!$A246,'Как будет'!EP$45:EP$52)</f>
        <v>0</v>
      </c>
      <c r="EP246">
        <f>SUMIF('Как будет'!$A$45:$A$52,Доп.расчеты!$A246,'Как будет'!EQ$45:EQ$52)</f>
        <v>0</v>
      </c>
      <c r="EQ246">
        <f>SUMIF('Как будет'!$A$45:$A$52,Доп.расчеты!$A246,'Как будет'!ER$45:ER$52)</f>
        <v>0</v>
      </c>
      <c r="ER246">
        <f>SUMIF('Как будет'!$A$45:$A$52,Доп.расчеты!$A246,'Как будет'!ES$45:ES$52)</f>
        <v>0</v>
      </c>
      <c r="ES246">
        <f>SUMIF('Как будет'!$A$45:$A$52,Доп.расчеты!$A246,'Как будет'!ET$45:ET$52)</f>
        <v>0</v>
      </c>
      <c r="ET246">
        <f>SUMIF('Как будет'!$A$45:$A$52,Доп.расчеты!$A246,'Как будет'!EU$45:EU$52)</f>
        <v>0</v>
      </c>
      <c r="EU246">
        <f>SUMIF('Как будет'!$A$45:$A$52,Доп.расчеты!$A246,'Как будет'!EV$45:EV$52)</f>
        <v>0</v>
      </c>
      <c r="EV246">
        <f>SUMIF('Как будет'!$A$45:$A$52,Доп.расчеты!$A246,'Как будет'!EW$45:EW$52)</f>
        <v>0</v>
      </c>
      <c r="EW246">
        <f>SUMIF('Как будет'!$A$45:$A$52,Доп.расчеты!$A246,'Как будет'!EX$45:EX$52)</f>
        <v>0</v>
      </c>
      <c r="EX246">
        <f>SUMIF('Как будет'!$A$45:$A$52,Доп.расчеты!$A246,'Как будет'!EY$45:EY$52)</f>
        <v>0</v>
      </c>
      <c r="EY246">
        <f>SUMIF('Как будет'!$A$45:$A$52,Доп.расчеты!$A246,'Как будет'!EZ$45:EZ$52)</f>
        <v>0</v>
      </c>
      <c r="EZ246">
        <f>SUMIF('Как будет'!$A$45:$A$52,Доп.расчеты!$A246,'Как будет'!FA$45:FA$52)</f>
        <v>0</v>
      </c>
      <c r="FA246">
        <f>SUMIF('Как будет'!$A$45:$A$52,Доп.расчеты!$A246,'Как будет'!FB$45:FB$52)</f>
        <v>0</v>
      </c>
      <c r="FB246">
        <f>SUMIF('Как будет'!$A$45:$A$52,Доп.расчеты!$A246,'Как будет'!FC$45:FC$52)</f>
        <v>0</v>
      </c>
      <c r="FC246">
        <f>SUMIF('Как будет'!$A$45:$A$52,Доп.расчеты!$A246,'Как будет'!FD$45:FD$52)</f>
        <v>0</v>
      </c>
      <c r="FD246">
        <f>SUMIF('Как будет'!$A$45:$A$52,Доп.расчеты!$A246,'Как будет'!FE$45:FE$52)</f>
        <v>0</v>
      </c>
      <c r="FE246">
        <f>SUMIF('Как будет'!$A$45:$A$52,Доп.расчеты!$A246,'Как будет'!FF$45:FF$52)</f>
        <v>0</v>
      </c>
      <c r="FF246">
        <f>SUMIF('Как будет'!$A$45:$A$52,Доп.расчеты!$A246,'Как будет'!FG$45:FG$52)</f>
        <v>0</v>
      </c>
      <c r="FG246">
        <f>SUMIF('Как будет'!$A$45:$A$52,Доп.расчеты!$A246,'Как будет'!FH$45:FH$52)</f>
        <v>0</v>
      </c>
      <c r="FH246">
        <f>SUMIF('Как будет'!$A$45:$A$52,Доп.расчеты!$A246,'Как будет'!FI$45:FI$52)</f>
        <v>0</v>
      </c>
      <c r="FI246">
        <f>SUMIF('Как будет'!$A$45:$A$52,Доп.расчеты!$A246,'Как будет'!FJ$45:FJ$52)</f>
        <v>0</v>
      </c>
      <c r="FJ246">
        <f>SUMIF('Как будет'!$A$45:$A$52,Доп.расчеты!$A246,'Как будет'!FK$45:FK$52)</f>
        <v>0</v>
      </c>
      <c r="FK246">
        <f>SUMIF('Как будет'!$A$45:$A$52,Доп.расчеты!$A246,'Как будет'!FL$45:FL$52)</f>
        <v>0</v>
      </c>
      <c r="FL246">
        <f>SUMIF('Как будет'!$A$45:$A$52,Доп.расчеты!$A246,'Как будет'!FM$45:FM$52)</f>
        <v>0</v>
      </c>
      <c r="FM246">
        <f>SUMIF('Как будет'!$A$45:$A$52,Доп.расчеты!$A246,'Как будет'!FN$45:FN$52)</f>
        <v>0</v>
      </c>
      <c r="FN246">
        <f>SUMIF('Как будет'!$A$45:$A$52,Доп.расчеты!$A246,'Как будет'!FO$45:FO$52)</f>
        <v>0</v>
      </c>
      <c r="FO246">
        <f>SUMIF('Как будет'!$A$45:$A$52,Доп.расчеты!$A246,'Как будет'!FP$45:FP$52)</f>
        <v>0</v>
      </c>
      <c r="FP246">
        <f>SUMIF('Как будет'!$A$45:$A$52,Доп.расчеты!$A246,'Как будет'!FQ$45:FQ$52)</f>
        <v>0</v>
      </c>
      <c r="FQ246">
        <f>SUMIF('Как будет'!$A$45:$A$52,Доп.расчеты!$A246,'Как будет'!FR$45:FR$52)</f>
        <v>0</v>
      </c>
      <c r="FR246">
        <f>SUMIF('Как будет'!$A$45:$A$52,Доп.расчеты!$A246,'Как будет'!FS$45:FS$52)</f>
        <v>0</v>
      </c>
      <c r="FS246">
        <f>SUMIF('Как будет'!$A$45:$A$52,Доп.расчеты!$A246,'Как будет'!FT$45:FT$52)</f>
        <v>0</v>
      </c>
      <c r="FT246">
        <f>SUMIF('Как будет'!$A$45:$A$52,Доп.расчеты!$A246,'Как будет'!FU$45:FU$52)</f>
        <v>0</v>
      </c>
      <c r="FU246">
        <f>SUMIF('Как будет'!$A$45:$A$52,Доп.расчеты!$A246,'Как будет'!FV$45:FV$52)</f>
        <v>0</v>
      </c>
      <c r="FV246">
        <f>SUMIF('Как будет'!$A$45:$A$52,Доп.расчеты!$A246,'Как будет'!FW$45:FW$52)</f>
        <v>0</v>
      </c>
      <c r="FW246">
        <f>SUMIF('Как будет'!$A$45:$A$52,Доп.расчеты!$A246,'Как будет'!FX$45:FX$52)</f>
        <v>0</v>
      </c>
      <c r="FX246">
        <f>SUMIF('Как будет'!$A$45:$A$52,Доп.расчеты!$A246,'Как будет'!FY$45:FY$52)</f>
        <v>0</v>
      </c>
      <c r="FY246">
        <f>SUMIF('Как будет'!$A$45:$A$52,Доп.расчеты!$A246,'Как будет'!FZ$45:FZ$52)</f>
        <v>0</v>
      </c>
      <c r="FZ246">
        <f>SUMIF('Как будет'!$A$45:$A$52,Доп.расчеты!$A246,'Как будет'!GA$45:GA$52)</f>
        <v>0</v>
      </c>
      <c r="GA246">
        <f>SUMIF('Как будет'!$A$45:$A$52,Доп.расчеты!$A246,'Как будет'!GB$45:GB$52)</f>
        <v>0</v>
      </c>
      <c r="GB246">
        <f>SUMIF('Как будет'!$A$45:$A$52,Доп.расчеты!$A246,'Как будет'!GC$45:GC$52)</f>
        <v>0</v>
      </c>
      <c r="GC246">
        <f>SUMIF('Как будет'!$A$45:$A$52,Доп.расчеты!$A246,'Как будет'!GD$45:GD$52)</f>
        <v>0</v>
      </c>
      <c r="GD246">
        <f>SUMIF('Как будет'!$A$45:$A$52,Доп.расчеты!$A246,'Как будет'!GE$45:GE$52)</f>
        <v>0</v>
      </c>
      <c r="GE246">
        <f>SUMIF('Как будет'!$A$45:$A$52,Доп.расчеты!$A246,'Как будет'!GF$45:GF$52)</f>
        <v>0</v>
      </c>
      <c r="GF246">
        <f>SUMIF('Как будет'!$A$45:$A$52,Доп.расчеты!$A246,'Как будет'!GG$45:GG$52)</f>
        <v>0</v>
      </c>
      <c r="GG246">
        <f>SUMIF('Как будет'!$A$45:$A$52,Доп.расчеты!$A246,'Как будет'!GH$45:GH$52)</f>
        <v>0</v>
      </c>
      <c r="GH246">
        <f>SUMIF('Как будет'!$A$45:$A$52,Доп.расчеты!$A246,'Как будет'!GI$45:GI$52)</f>
        <v>0</v>
      </c>
      <c r="GI246">
        <f>SUMIF('Как будет'!$A$45:$A$52,Доп.расчеты!$A246,'Как будет'!GJ$45:GJ$52)</f>
        <v>0</v>
      </c>
      <c r="GJ246">
        <f>SUMIF('Как будет'!$A$45:$A$52,Доп.расчеты!$A246,'Как будет'!GK$45:GK$52)</f>
        <v>0</v>
      </c>
      <c r="GK246">
        <f>SUMIF('Как будет'!$A$45:$A$52,Доп.расчеты!$A246,'Как будет'!GL$45:GL$52)</f>
        <v>0</v>
      </c>
      <c r="GL246">
        <f>SUMIF('Как будет'!$A$45:$A$52,Доп.расчеты!$A246,'Как будет'!GM$45:GM$52)</f>
        <v>0</v>
      </c>
      <c r="GM246">
        <f>SUMIF('Как будет'!$A$45:$A$52,Доп.расчеты!$A246,'Как будет'!GN$45:GN$52)</f>
        <v>0</v>
      </c>
      <c r="GN246">
        <f>SUMIF('Как будет'!$A$45:$A$52,Доп.расчеты!$A246,'Как будет'!GO$45:GO$52)</f>
        <v>0</v>
      </c>
      <c r="GO246">
        <f>SUMIF('Как будет'!$A$45:$A$52,Доп.расчеты!$A246,'Как будет'!GP$45:GP$52)</f>
        <v>0</v>
      </c>
      <c r="GP246">
        <f>SUMIF('Как будет'!$A$45:$A$52,Доп.расчеты!$A246,'Как будет'!GQ$45:GQ$52)</f>
        <v>0</v>
      </c>
      <c r="GQ246">
        <f>SUMIF('Как будет'!$A$45:$A$52,Доп.расчеты!$A246,'Как будет'!GR$45:GR$52)</f>
        <v>0</v>
      </c>
      <c r="GR246">
        <f>SUMIF('Как будет'!$A$45:$A$52,Доп.расчеты!$A246,'Как будет'!GS$45:GS$52)</f>
        <v>0</v>
      </c>
      <c r="GS246">
        <f>SUMIF('Как будет'!$A$45:$A$52,Доп.расчеты!$A246,'Как будет'!GT$45:GT$52)</f>
        <v>0</v>
      </c>
      <c r="GT246">
        <f>SUMIF('Как будет'!$A$45:$A$52,Доп.расчеты!$A246,'Как будет'!GU$45:GU$52)</f>
        <v>0</v>
      </c>
    </row>
    <row r="247" spans="1:202">
      <c r="A247" s="238" t="s">
        <v>96</v>
      </c>
      <c r="B247">
        <f>SUMIF('Как будет'!$A$45:$A$52,Доп.расчеты!$A247,'Как будет'!C$45:C$52)</f>
        <v>0</v>
      </c>
      <c r="C247">
        <f>SUMIF('Как будет'!$A$45:$A$52,Доп.расчеты!$A247,'Как будет'!D$45:D$52)</f>
        <v>0</v>
      </c>
      <c r="D247">
        <f>SUMIF('Как будет'!$A$45:$A$52,Доп.расчеты!$A247,'Как будет'!E$45:E$52)</f>
        <v>0</v>
      </c>
      <c r="E247">
        <f>SUMIF('Как будет'!$A$45:$A$52,Доп.расчеты!$A247,'Как будет'!F$45:F$52)</f>
        <v>0</v>
      </c>
      <c r="F247">
        <f>SUMIF('Как будет'!$A$45:$A$52,Доп.расчеты!$A247,'Как будет'!G$45:G$52)</f>
        <v>0</v>
      </c>
      <c r="G247">
        <f>SUMIF('Как будет'!$A$45:$A$52,Доп.расчеты!$A247,'Как будет'!H$45:H$52)</f>
        <v>0</v>
      </c>
      <c r="H247">
        <f>SUMIF('Как будет'!$A$45:$A$52,Доп.расчеты!$A247,'Как будет'!I$45:I$52)</f>
        <v>0</v>
      </c>
      <c r="I247">
        <f>SUMIF('Как будет'!$A$45:$A$52,Доп.расчеты!$A247,'Как будет'!J$45:J$52)</f>
        <v>0</v>
      </c>
      <c r="J247">
        <f>SUMIF('Как будет'!$A$45:$A$52,Доп.расчеты!$A247,'Как будет'!K$45:K$52)</f>
        <v>0</v>
      </c>
      <c r="K247">
        <f>SUMIF('Как будет'!$A$45:$A$52,Доп.расчеты!$A247,'Как будет'!L$45:L$52)</f>
        <v>0</v>
      </c>
      <c r="L247">
        <f>SUMIF('Как будет'!$A$45:$A$52,Доп.расчеты!$A247,'Как будет'!M$45:M$52)</f>
        <v>0</v>
      </c>
      <c r="M247">
        <f>SUMIF('Как будет'!$A$45:$A$52,Доп.расчеты!$A247,'Как будет'!N$45:N$52)</f>
        <v>0</v>
      </c>
      <c r="N247">
        <f>SUMIF('Как будет'!$A$45:$A$52,Доп.расчеты!$A247,'Как будет'!O$45:O$52)</f>
        <v>0</v>
      </c>
      <c r="O247">
        <f>SUMIF('Как будет'!$A$45:$A$52,Доп.расчеты!$A247,'Как будет'!P$45:P$52)</f>
        <v>0</v>
      </c>
      <c r="P247">
        <f>SUMIF('Как будет'!$A$45:$A$52,Доп.расчеты!$A247,'Как будет'!Q$45:Q$52)</f>
        <v>0</v>
      </c>
      <c r="Q247">
        <f>SUMIF('Как будет'!$A$45:$A$52,Доп.расчеты!$A247,'Как будет'!R$45:R$52)</f>
        <v>0</v>
      </c>
      <c r="R247">
        <f>SUMIF('Как будет'!$A$45:$A$52,Доп.расчеты!$A247,'Как будет'!S$45:S$52)</f>
        <v>0</v>
      </c>
      <c r="S247">
        <f>SUMIF('Как будет'!$A$45:$A$52,Доп.расчеты!$A247,'Как будет'!T$45:T$52)</f>
        <v>0</v>
      </c>
      <c r="T247">
        <f>SUMIF('Как будет'!$A$45:$A$52,Доп.расчеты!$A247,'Как будет'!U$45:U$52)</f>
        <v>0</v>
      </c>
      <c r="U247">
        <f>SUMIF('Как будет'!$A$45:$A$52,Доп.расчеты!$A247,'Как будет'!V$45:V$52)</f>
        <v>0</v>
      </c>
      <c r="V247">
        <f>SUMIF('Как будет'!$A$45:$A$52,Доп.расчеты!$A247,'Как будет'!W$45:W$52)</f>
        <v>0</v>
      </c>
      <c r="W247">
        <f>SUMIF('Как будет'!$A$45:$A$52,Доп.расчеты!$A247,'Как будет'!X$45:X$52)</f>
        <v>0</v>
      </c>
      <c r="X247">
        <f>SUMIF('Как будет'!$A$45:$A$52,Доп.расчеты!$A247,'Как будет'!Y$45:Y$52)</f>
        <v>0</v>
      </c>
      <c r="Y247">
        <f>SUMIF('Как будет'!$A$45:$A$52,Доп.расчеты!$A247,'Как будет'!Z$45:Z$52)</f>
        <v>0</v>
      </c>
      <c r="Z247">
        <f>SUMIF('Как будет'!$A$45:$A$52,Доп.расчеты!$A247,'Как будет'!AA$45:AA$52)</f>
        <v>0</v>
      </c>
      <c r="AA247">
        <f>SUMIF('Как будет'!$A$45:$A$52,Доп.расчеты!$A247,'Как будет'!AB$45:AB$52)</f>
        <v>0</v>
      </c>
      <c r="AB247">
        <f>SUMIF('Как будет'!$A$45:$A$52,Доп.расчеты!$A247,'Как будет'!AC$45:AC$52)</f>
        <v>0</v>
      </c>
      <c r="AC247">
        <f>SUMIF('Как будет'!$A$45:$A$52,Доп.расчеты!$A247,'Как будет'!AD$45:AD$52)</f>
        <v>0</v>
      </c>
      <c r="AD247">
        <f>SUMIF('Как будет'!$A$45:$A$52,Доп.расчеты!$A247,'Как будет'!AE$45:AE$52)</f>
        <v>0</v>
      </c>
      <c r="AE247">
        <f>SUMIF('Как будет'!$A$45:$A$52,Доп.расчеты!$A247,'Как будет'!AF$45:AF$52)</f>
        <v>0</v>
      </c>
      <c r="AF247">
        <f>SUMIF('Как будет'!$A$45:$A$52,Доп.расчеты!$A247,'Как будет'!AG$45:AG$52)</f>
        <v>0</v>
      </c>
      <c r="AG247">
        <f>SUMIF('Как будет'!$A$45:$A$52,Доп.расчеты!$A247,'Как будет'!AH$45:AH$52)</f>
        <v>0</v>
      </c>
      <c r="AH247">
        <f>SUMIF('Как будет'!$A$45:$A$52,Доп.расчеты!$A247,'Как будет'!AI$45:AI$52)</f>
        <v>0</v>
      </c>
      <c r="AI247">
        <f>SUMIF('Как будет'!$A$45:$A$52,Доп.расчеты!$A247,'Как будет'!AJ$45:AJ$52)</f>
        <v>0</v>
      </c>
      <c r="AJ247">
        <f>SUMIF('Как будет'!$A$45:$A$52,Доп.расчеты!$A247,'Как будет'!AK$45:AK$52)</f>
        <v>0</v>
      </c>
      <c r="AK247">
        <f>SUMIF('Как будет'!$A$45:$A$52,Доп.расчеты!$A247,'Как будет'!AL$45:AL$52)</f>
        <v>0</v>
      </c>
      <c r="AL247">
        <f>SUMIF('Как будет'!$A$45:$A$52,Доп.расчеты!$A247,'Как будет'!AM$45:AM$52)</f>
        <v>0</v>
      </c>
      <c r="AM247">
        <f>SUMIF('Как будет'!$A$45:$A$52,Доп.расчеты!$A247,'Как будет'!AN$45:AN$52)</f>
        <v>0</v>
      </c>
      <c r="AN247">
        <f>SUMIF('Как будет'!$A$45:$A$52,Доп.расчеты!$A247,'Как будет'!AO$45:AO$52)</f>
        <v>0</v>
      </c>
      <c r="AO247">
        <f>SUMIF('Как будет'!$A$45:$A$52,Доп.расчеты!$A247,'Как будет'!AP$45:AP$52)</f>
        <v>0</v>
      </c>
      <c r="AP247">
        <f>SUMIF('Как будет'!$A$45:$A$52,Доп.расчеты!$A247,'Как будет'!AQ$45:AQ$52)</f>
        <v>0</v>
      </c>
      <c r="AQ247">
        <f>SUMIF('Как будет'!$A$45:$A$52,Доп.расчеты!$A247,'Как будет'!AR$45:AR$52)</f>
        <v>0</v>
      </c>
      <c r="AR247">
        <f>SUMIF('Как будет'!$A$45:$A$52,Доп.расчеты!$A247,'Как будет'!AS$45:AS$52)</f>
        <v>0</v>
      </c>
      <c r="AS247">
        <f>SUMIF('Как будет'!$A$45:$A$52,Доп.расчеты!$A247,'Как будет'!AT$45:AT$52)</f>
        <v>0</v>
      </c>
      <c r="AT247">
        <f>SUMIF('Как будет'!$A$45:$A$52,Доп.расчеты!$A247,'Как будет'!AU$45:AU$52)</f>
        <v>0</v>
      </c>
      <c r="AU247">
        <f>SUMIF('Как будет'!$A$45:$A$52,Доп.расчеты!$A247,'Как будет'!AV$45:AV$52)</f>
        <v>0</v>
      </c>
      <c r="AV247">
        <f>SUMIF('Как будет'!$A$45:$A$52,Доп.расчеты!$A247,'Как будет'!AW$45:AW$52)</f>
        <v>0</v>
      </c>
      <c r="AW247">
        <f>SUMIF('Как будет'!$A$45:$A$52,Доп.расчеты!$A247,'Как будет'!AX$45:AX$52)</f>
        <v>0</v>
      </c>
      <c r="AX247">
        <f>SUMIF('Как будет'!$A$45:$A$52,Доп.расчеты!$A247,'Как будет'!AY$45:AY$52)</f>
        <v>0</v>
      </c>
      <c r="AY247">
        <f>SUMIF('Как будет'!$A$45:$A$52,Доп.расчеты!$A247,'Как будет'!AZ$45:AZ$52)</f>
        <v>0</v>
      </c>
      <c r="AZ247">
        <f>SUMIF('Как будет'!$A$45:$A$52,Доп.расчеты!$A247,'Как будет'!BA$45:BA$52)</f>
        <v>0</v>
      </c>
      <c r="BA247">
        <f>SUMIF('Как будет'!$A$45:$A$52,Доп.расчеты!$A247,'Как будет'!BB$45:BB$52)</f>
        <v>0</v>
      </c>
      <c r="BB247">
        <f>SUMIF('Как будет'!$A$45:$A$52,Доп.расчеты!$A247,'Как будет'!BC$45:BC$52)</f>
        <v>0</v>
      </c>
      <c r="BC247">
        <f>SUMIF('Как будет'!$A$45:$A$52,Доп.расчеты!$A247,'Как будет'!BD$45:BD$52)</f>
        <v>0</v>
      </c>
      <c r="BD247">
        <f>SUMIF('Как будет'!$A$45:$A$52,Доп.расчеты!$A247,'Как будет'!BE$45:BE$52)</f>
        <v>0</v>
      </c>
      <c r="BE247">
        <f>SUMIF('Как будет'!$A$45:$A$52,Доп.расчеты!$A247,'Как будет'!BF$45:BF$52)</f>
        <v>0</v>
      </c>
      <c r="BF247">
        <f>SUMIF('Как будет'!$A$45:$A$52,Доп.расчеты!$A247,'Как будет'!BG$45:BG$52)</f>
        <v>0</v>
      </c>
      <c r="BG247">
        <f>SUMIF('Как будет'!$A$45:$A$52,Доп.расчеты!$A247,'Как будет'!BH$45:BH$52)</f>
        <v>0</v>
      </c>
      <c r="BH247">
        <f>SUMIF('Как будет'!$A$45:$A$52,Доп.расчеты!$A247,'Как будет'!BI$45:BI$52)</f>
        <v>0</v>
      </c>
      <c r="BI247">
        <f>SUMIF('Как будет'!$A$45:$A$52,Доп.расчеты!$A247,'Как будет'!BJ$45:BJ$52)</f>
        <v>0</v>
      </c>
      <c r="BJ247">
        <f>SUMIF('Как будет'!$A$45:$A$52,Доп.расчеты!$A247,'Как будет'!BK$45:BK$52)</f>
        <v>0</v>
      </c>
      <c r="BK247">
        <f>SUMIF('Как будет'!$A$45:$A$52,Доп.расчеты!$A247,'Как будет'!BL$45:BL$52)</f>
        <v>0</v>
      </c>
      <c r="BL247">
        <f>SUMIF('Как будет'!$A$45:$A$52,Доп.расчеты!$A247,'Как будет'!BM$45:BM$52)</f>
        <v>0</v>
      </c>
      <c r="BM247">
        <f>SUMIF('Как будет'!$A$45:$A$52,Доп.расчеты!$A247,'Как будет'!BN$45:BN$52)</f>
        <v>0</v>
      </c>
      <c r="BN247">
        <f>SUMIF('Как будет'!$A$45:$A$52,Доп.расчеты!$A247,'Как будет'!BO$45:BO$52)</f>
        <v>0</v>
      </c>
      <c r="BO247">
        <f>SUMIF('Как будет'!$A$45:$A$52,Доп.расчеты!$A247,'Как будет'!BP$45:BP$52)</f>
        <v>0</v>
      </c>
      <c r="BP247">
        <f>SUMIF('Как будет'!$A$45:$A$52,Доп.расчеты!$A247,'Как будет'!BQ$45:BQ$52)</f>
        <v>0</v>
      </c>
      <c r="BQ247">
        <f>SUMIF('Как будет'!$A$45:$A$52,Доп.расчеты!$A247,'Как будет'!BR$45:BR$52)</f>
        <v>0</v>
      </c>
      <c r="BR247">
        <f>SUMIF('Как будет'!$A$45:$A$52,Доп.расчеты!$A247,'Как будет'!BS$45:BS$52)</f>
        <v>0</v>
      </c>
      <c r="BS247">
        <f>SUMIF('Как будет'!$A$45:$A$52,Доп.расчеты!$A247,'Как будет'!BT$45:BT$52)</f>
        <v>0</v>
      </c>
      <c r="BT247">
        <f>SUMIF('Как будет'!$A$45:$A$52,Доп.расчеты!$A247,'Как будет'!BU$45:BU$52)</f>
        <v>0</v>
      </c>
      <c r="BU247">
        <f>SUMIF('Как будет'!$A$45:$A$52,Доп.расчеты!$A247,'Как будет'!BV$45:BV$52)</f>
        <v>0</v>
      </c>
      <c r="BV247">
        <f>SUMIF('Как будет'!$A$45:$A$52,Доп.расчеты!$A247,'Как будет'!BW$45:BW$52)</f>
        <v>0</v>
      </c>
      <c r="BW247">
        <f>SUMIF('Как будет'!$A$45:$A$52,Доп.расчеты!$A247,'Как будет'!BX$45:BX$52)</f>
        <v>0</v>
      </c>
      <c r="BX247">
        <f>SUMIF('Как будет'!$A$45:$A$52,Доп.расчеты!$A247,'Как будет'!BY$45:BY$52)</f>
        <v>0</v>
      </c>
      <c r="BY247">
        <f>SUMIF('Как будет'!$A$45:$A$52,Доп.расчеты!$A247,'Как будет'!BZ$45:BZ$52)</f>
        <v>0</v>
      </c>
      <c r="BZ247">
        <f>SUMIF('Как будет'!$A$45:$A$52,Доп.расчеты!$A247,'Как будет'!CA$45:CA$52)</f>
        <v>0</v>
      </c>
      <c r="CA247">
        <f>SUMIF('Как будет'!$A$45:$A$52,Доп.расчеты!$A247,'Как будет'!CB$45:CB$52)</f>
        <v>0</v>
      </c>
      <c r="CB247">
        <f>SUMIF('Как будет'!$A$45:$A$52,Доп.расчеты!$A247,'Как будет'!CC$45:CC$52)</f>
        <v>0</v>
      </c>
      <c r="CC247">
        <f>SUMIF('Как будет'!$A$45:$A$52,Доп.расчеты!$A247,'Как будет'!CD$45:CD$52)</f>
        <v>0</v>
      </c>
      <c r="CD247">
        <f>SUMIF('Как будет'!$A$45:$A$52,Доп.расчеты!$A247,'Как будет'!CE$45:CE$52)</f>
        <v>0</v>
      </c>
      <c r="CE247">
        <f>SUMIF('Как будет'!$A$45:$A$52,Доп.расчеты!$A247,'Как будет'!CF$45:CF$52)</f>
        <v>0</v>
      </c>
      <c r="CF247">
        <f>SUMIF('Как будет'!$A$45:$A$52,Доп.расчеты!$A247,'Как будет'!CG$45:CG$52)</f>
        <v>0</v>
      </c>
      <c r="CG247">
        <f>SUMIF('Как будет'!$A$45:$A$52,Доп.расчеты!$A247,'Как будет'!CH$45:CH$52)</f>
        <v>0</v>
      </c>
      <c r="CH247">
        <f>SUMIF('Как будет'!$A$45:$A$52,Доп.расчеты!$A247,'Как будет'!CI$45:CI$52)</f>
        <v>0</v>
      </c>
      <c r="CI247">
        <f>SUMIF('Как будет'!$A$45:$A$52,Доп.расчеты!$A247,'Как будет'!CJ$45:CJ$52)</f>
        <v>0</v>
      </c>
      <c r="CJ247">
        <f>SUMIF('Как будет'!$A$45:$A$52,Доп.расчеты!$A247,'Как будет'!CK$45:CK$52)</f>
        <v>0</v>
      </c>
      <c r="CK247">
        <f>SUMIF('Как будет'!$A$45:$A$52,Доп.расчеты!$A247,'Как будет'!CL$45:CL$52)</f>
        <v>0</v>
      </c>
      <c r="CL247">
        <f>SUMIF('Как будет'!$A$45:$A$52,Доп.расчеты!$A247,'Как будет'!CM$45:CM$52)</f>
        <v>0</v>
      </c>
      <c r="CM247">
        <f>SUMIF('Как будет'!$A$45:$A$52,Доп.расчеты!$A247,'Как будет'!CN$45:CN$52)</f>
        <v>0</v>
      </c>
      <c r="CN247">
        <f>SUMIF('Как будет'!$A$45:$A$52,Доп.расчеты!$A247,'Как будет'!CO$45:CO$52)</f>
        <v>0</v>
      </c>
      <c r="CO247">
        <f>SUMIF('Как будет'!$A$45:$A$52,Доп.расчеты!$A247,'Как будет'!CP$45:CP$52)</f>
        <v>0</v>
      </c>
      <c r="CP247">
        <f>SUMIF('Как будет'!$A$45:$A$52,Доп.расчеты!$A247,'Как будет'!CQ$45:CQ$52)</f>
        <v>0</v>
      </c>
      <c r="CQ247">
        <f>SUMIF('Как будет'!$A$45:$A$52,Доп.расчеты!$A247,'Как будет'!CR$45:CR$52)</f>
        <v>0</v>
      </c>
      <c r="CR247">
        <f>SUMIF('Как будет'!$A$45:$A$52,Доп.расчеты!$A247,'Как будет'!CS$45:CS$52)</f>
        <v>0</v>
      </c>
      <c r="CS247">
        <f>SUMIF('Как будет'!$A$45:$A$52,Доп.расчеты!$A247,'Как будет'!CT$45:CT$52)</f>
        <v>0</v>
      </c>
      <c r="CT247">
        <f>SUMIF('Как будет'!$A$45:$A$52,Доп.расчеты!$A247,'Как будет'!CU$45:CU$52)</f>
        <v>0</v>
      </c>
      <c r="CU247">
        <f>SUMIF('Как будет'!$A$45:$A$52,Доп.расчеты!$A247,'Как будет'!CV$45:CV$52)</f>
        <v>0</v>
      </c>
      <c r="CV247">
        <f>SUMIF('Как будет'!$A$45:$A$52,Доп.расчеты!$A247,'Как будет'!CW$45:CW$52)</f>
        <v>0</v>
      </c>
      <c r="CW247">
        <f>SUMIF('Как будет'!$A$45:$A$52,Доп.расчеты!$A247,'Как будет'!CX$45:CX$52)</f>
        <v>0</v>
      </c>
      <c r="CX247">
        <f>SUMIF('Как будет'!$A$45:$A$52,Доп.расчеты!$A247,'Как будет'!CY$45:CY$52)</f>
        <v>0</v>
      </c>
      <c r="CY247">
        <f>SUMIF('Как будет'!$A$45:$A$52,Доп.расчеты!$A247,'Как будет'!CZ$45:CZ$52)</f>
        <v>0</v>
      </c>
      <c r="CZ247">
        <f>SUMIF('Как будет'!$A$45:$A$52,Доп.расчеты!$A247,'Как будет'!DA$45:DA$52)</f>
        <v>0</v>
      </c>
      <c r="DA247">
        <f>SUMIF('Как будет'!$A$45:$A$52,Доп.расчеты!$A247,'Как будет'!DB$45:DB$52)</f>
        <v>0</v>
      </c>
      <c r="DB247">
        <f>SUMIF('Как будет'!$A$45:$A$52,Доп.расчеты!$A247,'Как будет'!DC$45:DC$52)</f>
        <v>0</v>
      </c>
      <c r="DC247">
        <f>SUMIF('Как будет'!$A$45:$A$52,Доп.расчеты!$A247,'Как будет'!DD$45:DD$52)</f>
        <v>0</v>
      </c>
      <c r="DD247">
        <f>SUMIF('Как будет'!$A$45:$A$52,Доп.расчеты!$A247,'Как будет'!DE$45:DE$52)</f>
        <v>0</v>
      </c>
      <c r="DE247">
        <f>SUMIF('Как будет'!$A$45:$A$52,Доп.расчеты!$A247,'Как будет'!DF$45:DF$52)</f>
        <v>0</v>
      </c>
      <c r="DF247">
        <f>SUMIF('Как будет'!$A$45:$A$52,Доп.расчеты!$A247,'Как будет'!DG$45:DG$52)</f>
        <v>0</v>
      </c>
      <c r="DG247">
        <f>SUMIF('Как будет'!$A$45:$A$52,Доп.расчеты!$A247,'Как будет'!DH$45:DH$52)</f>
        <v>0</v>
      </c>
      <c r="DH247">
        <f>SUMIF('Как будет'!$A$45:$A$52,Доп.расчеты!$A247,'Как будет'!DI$45:DI$52)</f>
        <v>0</v>
      </c>
      <c r="DI247">
        <f>SUMIF('Как будет'!$A$45:$A$52,Доп.расчеты!$A247,'Как будет'!DJ$45:DJ$52)</f>
        <v>0</v>
      </c>
      <c r="DJ247">
        <f>SUMIF('Как будет'!$A$45:$A$52,Доп.расчеты!$A247,'Как будет'!DK$45:DK$52)</f>
        <v>0</v>
      </c>
      <c r="DK247">
        <f>SUMIF('Как будет'!$A$45:$A$52,Доп.расчеты!$A247,'Как будет'!DL$45:DL$52)</f>
        <v>0</v>
      </c>
      <c r="DL247">
        <f>SUMIF('Как будет'!$A$45:$A$52,Доп.расчеты!$A247,'Как будет'!DM$45:DM$52)</f>
        <v>0</v>
      </c>
      <c r="DM247">
        <f>SUMIF('Как будет'!$A$45:$A$52,Доп.расчеты!$A247,'Как будет'!DN$45:DN$52)</f>
        <v>0</v>
      </c>
      <c r="DN247">
        <f>SUMIF('Как будет'!$A$45:$A$52,Доп.расчеты!$A247,'Как будет'!DO$45:DO$52)</f>
        <v>0</v>
      </c>
      <c r="DO247">
        <f>SUMIF('Как будет'!$A$45:$A$52,Доп.расчеты!$A247,'Как будет'!DP$45:DP$52)</f>
        <v>0</v>
      </c>
      <c r="DP247">
        <f>SUMIF('Как будет'!$A$45:$A$52,Доп.расчеты!$A247,'Как будет'!DQ$45:DQ$52)</f>
        <v>0</v>
      </c>
      <c r="DQ247">
        <f>SUMIF('Как будет'!$A$45:$A$52,Доп.расчеты!$A247,'Как будет'!DR$45:DR$52)</f>
        <v>0</v>
      </c>
      <c r="DR247">
        <f>SUMIF('Как будет'!$A$45:$A$52,Доп.расчеты!$A247,'Как будет'!DS$45:DS$52)</f>
        <v>0</v>
      </c>
      <c r="DS247">
        <f>SUMIF('Как будет'!$A$45:$A$52,Доп.расчеты!$A247,'Как будет'!DT$45:DT$52)</f>
        <v>0</v>
      </c>
      <c r="DT247">
        <f>SUMIF('Как будет'!$A$45:$A$52,Доп.расчеты!$A247,'Как будет'!DU$45:DU$52)</f>
        <v>0</v>
      </c>
      <c r="DU247">
        <f>SUMIF('Как будет'!$A$45:$A$52,Доп.расчеты!$A247,'Как будет'!DV$45:DV$52)</f>
        <v>0</v>
      </c>
      <c r="DV247">
        <f>SUMIF('Как будет'!$A$45:$A$52,Доп.расчеты!$A247,'Как будет'!DW$45:DW$52)</f>
        <v>0</v>
      </c>
      <c r="DW247">
        <f>SUMIF('Как будет'!$A$45:$A$52,Доп.расчеты!$A247,'Как будет'!DX$45:DX$52)</f>
        <v>0</v>
      </c>
      <c r="DX247">
        <f>SUMIF('Как будет'!$A$45:$A$52,Доп.расчеты!$A247,'Как будет'!DY$45:DY$52)</f>
        <v>0</v>
      </c>
      <c r="DY247">
        <f>SUMIF('Как будет'!$A$45:$A$52,Доп.расчеты!$A247,'Как будет'!DZ$45:DZ$52)</f>
        <v>0</v>
      </c>
      <c r="DZ247">
        <f>SUMIF('Как будет'!$A$45:$A$52,Доп.расчеты!$A247,'Как будет'!EA$45:EA$52)</f>
        <v>0</v>
      </c>
      <c r="EA247">
        <f>SUMIF('Как будет'!$A$45:$A$52,Доп.расчеты!$A247,'Как будет'!EB$45:EB$52)</f>
        <v>0</v>
      </c>
      <c r="EB247">
        <f>SUMIF('Как будет'!$A$45:$A$52,Доп.расчеты!$A247,'Как будет'!EC$45:EC$52)</f>
        <v>0</v>
      </c>
      <c r="EC247">
        <f>SUMIF('Как будет'!$A$45:$A$52,Доп.расчеты!$A247,'Как будет'!ED$45:ED$52)</f>
        <v>0</v>
      </c>
      <c r="ED247">
        <f>SUMIF('Как будет'!$A$45:$A$52,Доп.расчеты!$A247,'Как будет'!EE$45:EE$52)</f>
        <v>0</v>
      </c>
      <c r="EE247">
        <f>SUMIF('Как будет'!$A$45:$A$52,Доп.расчеты!$A247,'Как будет'!EF$45:EF$52)</f>
        <v>0</v>
      </c>
      <c r="EF247">
        <f>SUMIF('Как будет'!$A$45:$A$52,Доп.расчеты!$A247,'Как будет'!EG$45:EG$52)</f>
        <v>0</v>
      </c>
      <c r="EG247">
        <f>SUMIF('Как будет'!$A$45:$A$52,Доп.расчеты!$A247,'Как будет'!EH$45:EH$52)</f>
        <v>0</v>
      </c>
      <c r="EH247">
        <f>SUMIF('Как будет'!$A$45:$A$52,Доп.расчеты!$A247,'Как будет'!EI$45:EI$52)</f>
        <v>0</v>
      </c>
      <c r="EI247">
        <f>SUMIF('Как будет'!$A$45:$A$52,Доп.расчеты!$A247,'Как будет'!EJ$45:EJ$52)</f>
        <v>0</v>
      </c>
      <c r="EJ247">
        <f>SUMIF('Как будет'!$A$45:$A$52,Доп.расчеты!$A247,'Как будет'!EK$45:EK$52)</f>
        <v>0</v>
      </c>
      <c r="EK247">
        <f>SUMIF('Как будет'!$A$45:$A$52,Доп.расчеты!$A247,'Как будет'!EL$45:EL$52)</f>
        <v>0</v>
      </c>
      <c r="EL247">
        <f>SUMIF('Как будет'!$A$45:$A$52,Доп.расчеты!$A247,'Как будет'!EM$45:EM$52)</f>
        <v>0</v>
      </c>
      <c r="EM247">
        <f>SUMIF('Как будет'!$A$45:$A$52,Доп.расчеты!$A247,'Как будет'!EN$45:EN$52)</f>
        <v>0</v>
      </c>
      <c r="EN247">
        <f>SUMIF('Как будет'!$A$45:$A$52,Доп.расчеты!$A247,'Как будет'!EO$45:EO$52)</f>
        <v>0</v>
      </c>
      <c r="EO247">
        <f>SUMIF('Как будет'!$A$45:$A$52,Доп.расчеты!$A247,'Как будет'!EP$45:EP$52)</f>
        <v>0</v>
      </c>
      <c r="EP247">
        <f>SUMIF('Как будет'!$A$45:$A$52,Доп.расчеты!$A247,'Как будет'!EQ$45:EQ$52)</f>
        <v>0</v>
      </c>
      <c r="EQ247">
        <f>SUMIF('Как будет'!$A$45:$A$52,Доп.расчеты!$A247,'Как будет'!ER$45:ER$52)</f>
        <v>0</v>
      </c>
      <c r="ER247">
        <f>SUMIF('Как будет'!$A$45:$A$52,Доп.расчеты!$A247,'Как будет'!ES$45:ES$52)</f>
        <v>0</v>
      </c>
      <c r="ES247">
        <f>SUMIF('Как будет'!$A$45:$A$52,Доп.расчеты!$A247,'Как будет'!ET$45:ET$52)</f>
        <v>0</v>
      </c>
      <c r="ET247">
        <f>SUMIF('Как будет'!$A$45:$A$52,Доп.расчеты!$A247,'Как будет'!EU$45:EU$52)</f>
        <v>0</v>
      </c>
      <c r="EU247">
        <f>SUMIF('Как будет'!$A$45:$A$52,Доп.расчеты!$A247,'Как будет'!EV$45:EV$52)</f>
        <v>0</v>
      </c>
      <c r="EV247">
        <f>SUMIF('Как будет'!$A$45:$A$52,Доп.расчеты!$A247,'Как будет'!EW$45:EW$52)</f>
        <v>0</v>
      </c>
      <c r="EW247">
        <f>SUMIF('Как будет'!$A$45:$A$52,Доп.расчеты!$A247,'Как будет'!EX$45:EX$52)</f>
        <v>0</v>
      </c>
      <c r="EX247">
        <f>SUMIF('Как будет'!$A$45:$A$52,Доп.расчеты!$A247,'Как будет'!EY$45:EY$52)</f>
        <v>0</v>
      </c>
      <c r="EY247">
        <f>SUMIF('Как будет'!$A$45:$A$52,Доп.расчеты!$A247,'Как будет'!EZ$45:EZ$52)</f>
        <v>0</v>
      </c>
      <c r="EZ247">
        <f>SUMIF('Как будет'!$A$45:$A$52,Доп.расчеты!$A247,'Как будет'!FA$45:FA$52)</f>
        <v>0</v>
      </c>
      <c r="FA247">
        <f>SUMIF('Как будет'!$A$45:$A$52,Доп.расчеты!$A247,'Как будет'!FB$45:FB$52)</f>
        <v>0</v>
      </c>
      <c r="FB247">
        <f>SUMIF('Как будет'!$A$45:$A$52,Доп.расчеты!$A247,'Как будет'!FC$45:FC$52)</f>
        <v>0</v>
      </c>
      <c r="FC247">
        <f>SUMIF('Как будет'!$A$45:$A$52,Доп.расчеты!$A247,'Как будет'!FD$45:FD$52)</f>
        <v>0</v>
      </c>
      <c r="FD247">
        <f>SUMIF('Как будет'!$A$45:$A$52,Доп.расчеты!$A247,'Как будет'!FE$45:FE$52)</f>
        <v>0</v>
      </c>
      <c r="FE247">
        <f>SUMIF('Как будет'!$A$45:$A$52,Доп.расчеты!$A247,'Как будет'!FF$45:FF$52)</f>
        <v>0</v>
      </c>
      <c r="FF247">
        <f>SUMIF('Как будет'!$A$45:$A$52,Доп.расчеты!$A247,'Как будет'!FG$45:FG$52)</f>
        <v>0</v>
      </c>
      <c r="FG247">
        <f>SUMIF('Как будет'!$A$45:$A$52,Доп.расчеты!$A247,'Как будет'!FH$45:FH$52)</f>
        <v>0</v>
      </c>
      <c r="FH247">
        <f>SUMIF('Как будет'!$A$45:$A$52,Доп.расчеты!$A247,'Как будет'!FI$45:FI$52)</f>
        <v>0</v>
      </c>
      <c r="FI247">
        <f>SUMIF('Как будет'!$A$45:$A$52,Доп.расчеты!$A247,'Как будет'!FJ$45:FJ$52)</f>
        <v>0</v>
      </c>
      <c r="FJ247">
        <f>SUMIF('Как будет'!$A$45:$A$52,Доп.расчеты!$A247,'Как будет'!FK$45:FK$52)</f>
        <v>0</v>
      </c>
      <c r="FK247">
        <f>SUMIF('Как будет'!$A$45:$A$52,Доп.расчеты!$A247,'Как будет'!FL$45:FL$52)</f>
        <v>0</v>
      </c>
      <c r="FL247">
        <f>SUMIF('Как будет'!$A$45:$A$52,Доп.расчеты!$A247,'Как будет'!FM$45:FM$52)</f>
        <v>0</v>
      </c>
      <c r="FM247">
        <f>SUMIF('Как будет'!$A$45:$A$52,Доп.расчеты!$A247,'Как будет'!FN$45:FN$52)</f>
        <v>0</v>
      </c>
      <c r="FN247">
        <f>SUMIF('Как будет'!$A$45:$A$52,Доп.расчеты!$A247,'Как будет'!FO$45:FO$52)</f>
        <v>0</v>
      </c>
      <c r="FO247">
        <f>SUMIF('Как будет'!$A$45:$A$52,Доп.расчеты!$A247,'Как будет'!FP$45:FP$52)</f>
        <v>0</v>
      </c>
      <c r="FP247">
        <f>SUMIF('Как будет'!$A$45:$A$52,Доп.расчеты!$A247,'Как будет'!FQ$45:FQ$52)</f>
        <v>0</v>
      </c>
      <c r="FQ247">
        <f>SUMIF('Как будет'!$A$45:$A$52,Доп.расчеты!$A247,'Как будет'!FR$45:FR$52)</f>
        <v>0</v>
      </c>
      <c r="FR247">
        <f>SUMIF('Как будет'!$A$45:$A$52,Доп.расчеты!$A247,'Как будет'!FS$45:FS$52)</f>
        <v>0</v>
      </c>
      <c r="FS247">
        <f>SUMIF('Как будет'!$A$45:$A$52,Доп.расчеты!$A247,'Как будет'!FT$45:FT$52)</f>
        <v>0</v>
      </c>
      <c r="FT247">
        <f>SUMIF('Как будет'!$A$45:$A$52,Доп.расчеты!$A247,'Как будет'!FU$45:FU$52)</f>
        <v>0</v>
      </c>
      <c r="FU247">
        <f>SUMIF('Как будет'!$A$45:$A$52,Доп.расчеты!$A247,'Как будет'!FV$45:FV$52)</f>
        <v>0</v>
      </c>
      <c r="FV247">
        <f>SUMIF('Как будет'!$A$45:$A$52,Доп.расчеты!$A247,'Как будет'!FW$45:FW$52)</f>
        <v>0</v>
      </c>
      <c r="FW247">
        <f>SUMIF('Как будет'!$A$45:$A$52,Доп.расчеты!$A247,'Как будет'!FX$45:FX$52)</f>
        <v>0</v>
      </c>
      <c r="FX247">
        <f>SUMIF('Как будет'!$A$45:$A$52,Доп.расчеты!$A247,'Как будет'!FY$45:FY$52)</f>
        <v>0</v>
      </c>
      <c r="FY247">
        <f>SUMIF('Как будет'!$A$45:$A$52,Доп.расчеты!$A247,'Как будет'!FZ$45:FZ$52)</f>
        <v>0</v>
      </c>
      <c r="FZ247">
        <f>SUMIF('Как будет'!$A$45:$A$52,Доп.расчеты!$A247,'Как будет'!GA$45:GA$52)</f>
        <v>0</v>
      </c>
      <c r="GA247">
        <f>SUMIF('Как будет'!$A$45:$A$52,Доп.расчеты!$A247,'Как будет'!GB$45:GB$52)</f>
        <v>0</v>
      </c>
      <c r="GB247">
        <f>SUMIF('Как будет'!$A$45:$A$52,Доп.расчеты!$A247,'Как будет'!GC$45:GC$52)</f>
        <v>0</v>
      </c>
      <c r="GC247">
        <f>SUMIF('Как будет'!$A$45:$A$52,Доп.расчеты!$A247,'Как будет'!GD$45:GD$52)</f>
        <v>0</v>
      </c>
      <c r="GD247">
        <f>SUMIF('Как будет'!$A$45:$A$52,Доп.расчеты!$A247,'Как будет'!GE$45:GE$52)</f>
        <v>0</v>
      </c>
      <c r="GE247">
        <f>SUMIF('Как будет'!$A$45:$A$52,Доп.расчеты!$A247,'Как будет'!GF$45:GF$52)</f>
        <v>0</v>
      </c>
      <c r="GF247">
        <f>SUMIF('Как будет'!$A$45:$A$52,Доп.расчеты!$A247,'Как будет'!GG$45:GG$52)</f>
        <v>0</v>
      </c>
      <c r="GG247">
        <f>SUMIF('Как будет'!$A$45:$A$52,Доп.расчеты!$A247,'Как будет'!GH$45:GH$52)</f>
        <v>0</v>
      </c>
      <c r="GH247">
        <f>SUMIF('Как будет'!$A$45:$A$52,Доп.расчеты!$A247,'Как будет'!GI$45:GI$52)</f>
        <v>0</v>
      </c>
      <c r="GI247">
        <f>SUMIF('Как будет'!$A$45:$A$52,Доп.расчеты!$A247,'Как будет'!GJ$45:GJ$52)</f>
        <v>0</v>
      </c>
      <c r="GJ247">
        <f>SUMIF('Как будет'!$A$45:$A$52,Доп.расчеты!$A247,'Как будет'!GK$45:GK$52)</f>
        <v>0</v>
      </c>
      <c r="GK247">
        <f>SUMIF('Как будет'!$A$45:$A$52,Доп.расчеты!$A247,'Как будет'!GL$45:GL$52)</f>
        <v>0</v>
      </c>
      <c r="GL247">
        <f>SUMIF('Как будет'!$A$45:$A$52,Доп.расчеты!$A247,'Как будет'!GM$45:GM$52)</f>
        <v>0</v>
      </c>
      <c r="GM247">
        <f>SUMIF('Как будет'!$A$45:$A$52,Доп.расчеты!$A247,'Как будет'!GN$45:GN$52)</f>
        <v>0</v>
      </c>
      <c r="GN247">
        <f>SUMIF('Как будет'!$A$45:$A$52,Доп.расчеты!$A247,'Как будет'!GO$45:GO$52)</f>
        <v>0</v>
      </c>
      <c r="GO247">
        <f>SUMIF('Как будет'!$A$45:$A$52,Доп.расчеты!$A247,'Как будет'!GP$45:GP$52)</f>
        <v>0</v>
      </c>
      <c r="GP247">
        <f>SUMIF('Как будет'!$A$45:$A$52,Доп.расчеты!$A247,'Как будет'!GQ$45:GQ$52)</f>
        <v>0</v>
      </c>
      <c r="GQ247">
        <f>SUMIF('Как будет'!$A$45:$A$52,Доп.расчеты!$A247,'Как будет'!GR$45:GR$52)</f>
        <v>0</v>
      </c>
      <c r="GR247">
        <f>SUMIF('Как будет'!$A$45:$A$52,Доп.расчеты!$A247,'Как будет'!GS$45:GS$52)</f>
        <v>0</v>
      </c>
      <c r="GS247">
        <f>SUMIF('Как будет'!$A$45:$A$52,Доп.расчеты!$A247,'Как будет'!GT$45:GT$52)</f>
        <v>0</v>
      </c>
      <c r="GT247">
        <f>SUMIF('Как будет'!$A$45:$A$52,Доп.расчеты!$A247,'Как будет'!GU$45:GU$52)</f>
        <v>0</v>
      </c>
    </row>
    <row r="248" spans="1:202">
      <c r="A248" s="238" t="s">
        <v>97</v>
      </c>
      <c r="B248">
        <f>SUMIF('Как будет'!$A$45:$A$52,Доп.расчеты!$A248,'Как будет'!C$45:C$52)</f>
        <v>0</v>
      </c>
      <c r="C248">
        <f>SUMIF('Как будет'!$A$45:$A$52,Доп.расчеты!$A248,'Как будет'!D$45:D$52)</f>
        <v>0</v>
      </c>
      <c r="D248">
        <f>SUMIF('Как будет'!$A$45:$A$52,Доп.расчеты!$A248,'Как будет'!E$45:E$52)</f>
        <v>0</v>
      </c>
      <c r="E248">
        <f>SUMIF('Как будет'!$A$45:$A$52,Доп.расчеты!$A248,'Как будет'!F$45:F$52)</f>
        <v>0</v>
      </c>
      <c r="F248">
        <f>SUMIF('Как будет'!$A$45:$A$52,Доп.расчеты!$A248,'Как будет'!G$45:G$52)</f>
        <v>0</v>
      </c>
      <c r="G248">
        <f>SUMIF('Как будет'!$A$45:$A$52,Доп.расчеты!$A248,'Как будет'!H$45:H$52)</f>
        <v>0</v>
      </c>
      <c r="H248">
        <f>SUMIF('Как будет'!$A$45:$A$52,Доп.расчеты!$A248,'Как будет'!I$45:I$52)</f>
        <v>0</v>
      </c>
      <c r="I248">
        <f>SUMIF('Как будет'!$A$45:$A$52,Доп.расчеты!$A248,'Как будет'!J$45:J$52)</f>
        <v>0</v>
      </c>
      <c r="J248">
        <f>SUMIF('Как будет'!$A$45:$A$52,Доп.расчеты!$A248,'Как будет'!K$45:K$52)</f>
        <v>0</v>
      </c>
      <c r="K248">
        <f>SUMIF('Как будет'!$A$45:$A$52,Доп.расчеты!$A248,'Как будет'!L$45:L$52)</f>
        <v>0</v>
      </c>
      <c r="L248">
        <f>SUMIF('Как будет'!$A$45:$A$52,Доп.расчеты!$A248,'Как будет'!M$45:M$52)</f>
        <v>0</v>
      </c>
      <c r="M248">
        <f>SUMIF('Как будет'!$A$45:$A$52,Доп.расчеты!$A248,'Как будет'!N$45:N$52)</f>
        <v>0</v>
      </c>
      <c r="N248">
        <f>SUMIF('Как будет'!$A$45:$A$52,Доп.расчеты!$A248,'Как будет'!O$45:O$52)</f>
        <v>0</v>
      </c>
      <c r="O248">
        <f>SUMIF('Как будет'!$A$45:$A$52,Доп.расчеты!$A248,'Как будет'!P$45:P$52)</f>
        <v>0</v>
      </c>
      <c r="P248">
        <f>SUMIF('Как будет'!$A$45:$A$52,Доп.расчеты!$A248,'Как будет'!Q$45:Q$52)</f>
        <v>0</v>
      </c>
      <c r="Q248">
        <f>SUMIF('Как будет'!$A$45:$A$52,Доп.расчеты!$A248,'Как будет'!R$45:R$52)</f>
        <v>0</v>
      </c>
      <c r="R248">
        <f>SUMIF('Как будет'!$A$45:$A$52,Доп.расчеты!$A248,'Как будет'!S$45:S$52)</f>
        <v>0</v>
      </c>
      <c r="S248">
        <f>SUMIF('Как будет'!$A$45:$A$52,Доп.расчеты!$A248,'Как будет'!T$45:T$52)</f>
        <v>0</v>
      </c>
      <c r="T248">
        <f>SUMIF('Как будет'!$A$45:$A$52,Доп.расчеты!$A248,'Как будет'!U$45:U$52)</f>
        <v>0</v>
      </c>
      <c r="U248">
        <f>SUMIF('Как будет'!$A$45:$A$52,Доп.расчеты!$A248,'Как будет'!V$45:V$52)</f>
        <v>0</v>
      </c>
      <c r="V248">
        <f>SUMIF('Как будет'!$A$45:$A$52,Доп.расчеты!$A248,'Как будет'!W$45:W$52)</f>
        <v>0</v>
      </c>
      <c r="W248">
        <f>SUMIF('Как будет'!$A$45:$A$52,Доп.расчеты!$A248,'Как будет'!X$45:X$52)</f>
        <v>0</v>
      </c>
      <c r="X248">
        <f>SUMIF('Как будет'!$A$45:$A$52,Доп.расчеты!$A248,'Как будет'!Y$45:Y$52)</f>
        <v>0</v>
      </c>
      <c r="Y248">
        <f>SUMIF('Как будет'!$A$45:$A$52,Доп.расчеты!$A248,'Как будет'!Z$45:Z$52)</f>
        <v>0</v>
      </c>
      <c r="Z248">
        <f>SUMIF('Как будет'!$A$45:$A$52,Доп.расчеты!$A248,'Как будет'!AA$45:AA$52)</f>
        <v>0</v>
      </c>
      <c r="AA248">
        <f>SUMIF('Как будет'!$A$45:$A$52,Доп.расчеты!$A248,'Как будет'!AB$45:AB$52)</f>
        <v>0</v>
      </c>
      <c r="AB248">
        <f>SUMIF('Как будет'!$A$45:$A$52,Доп.расчеты!$A248,'Как будет'!AC$45:AC$52)</f>
        <v>0</v>
      </c>
      <c r="AC248">
        <f>SUMIF('Как будет'!$A$45:$A$52,Доп.расчеты!$A248,'Как будет'!AD$45:AD$52)</f>
        <v>0</v>
      </c>
      <c r="AD248">
        <f>SUMIF('Как будет'!$A$45:$A$52,Доп.расчеты!$A248,'Как будет'!AE$45:AE$52)</f>
        <v>0</v>
      </c>
      <c r="AE248">
        <f>SUMIF('Как будет'!$A$45:$A$52,Доп.расчеты!$A248,'Как будет'!AF$45:AF$52)</f>
        <v>0</v>
      </c>
      <c r="AF248">
        <f>SUMIF('Как будет'!$A$45:$A$52,Доп.расчеты!$A248,'Как будет'!AG$45:AG$52)</f>
        <v>0</v>
      </c>
      <c r="AG248">
        <f>SUMIF('Как будет'!$A$45:$A$52,Доп.расчеты!$A248,'Как будет'!AH$45:AH$52)</f>
        <v>0</v>
      </c>
      <c r="AH248">
        <f>SUMIF('Как будет'!$A$45:$A$52,Доп.расчеты!$A248,'Как будет'!AI$45:AI$52)</f>
        <v>0</v>
      </c>
      <c r="AI248">
        <f>SUMIF('Как будет'!$A$45:$A$52,Доп.расчеты!$A248,'Как будет'!AJ$45:AJ$52)</f>
        <v>0</v>
      </c>
      <c r="AJ248">
        <f>SUMIF('Как будет'!$A$45:$A$52,Доп.расчеты!$A248,'Как будет'!AK$45:AK$52)</f>
        <v>0</v>
      </c>
      <c r="AK248">
        <f>SUMIF('Как будет'!$A$45:$A$52,Доп.расчеты!$A248,'Как будет'!AL$45:AL$52)</f>
        <v>0</v>
      </c>
      <c r="AL248">
        <f>SUMIF('Как будет'!$A$45:$A$52,Доп.расчеты!$A248,'Как будет'!AM$45:AM$52)</f>
        <v>0</v>
      </c>
      <c r="AM248">
        <f>SUMIF('Как будет'!$A$45:$A$52,Доп.расчеты!$A248,'Как будет'!AN$45:AN$52)</f>
        <v>0</v>
      </c>
      <c r="AN248">
        <f>SUMIF('Как будет'!$A$45:$A$52,Доп.расчеты!$A248,'Как будет'!AO$45:AO$52)</f>
        <v>0</v>
      </c>
      <c r="AO248">
        <f>SUMIF('Как будет'!$A$45:$A$52,Доп.расчеты!$A248,'Как будет'!AP$45:AP$52)</f>
        <v>0</v>
      </c>
      <c r="AP248">
        <f>SUMIF('Как будет'!$A$45:$A$52,Доп.расчеты!$A248,'Как будет'!AQ$45:AQ$52)</f>
        <v>0</v>
      </c>
      <c r="AQ248">
        <f>SUMIF('Как будет'!$A$45:$A$52,Доп.расчеты!$A248,'Как будет'!AR$45:AR$52)</f>
        <v>0</v>
      </c>
      <c r="AR248">
        <f>SUMIF('Как будет'!$A$45:$A$52,Доп.расчеты!$A248,'Как будет'!AS$45:AS$52)</f>
        <v>0</v>
      </c>
      <c r="AS248">
        <f>SUMIF('Как будет'!$A$45:$A$52,Доп.расчеты!$A248,'Как будет'!AT$45:AT$52)</f>
        <v>0</v>
      </c>
      <c r="AT248">
        <f>SUMIF('Как будет'!$A$45:$A$52,Доп.расчеты!$A248,'Как будет'!AU$45:AU$52)</f>
        <v>0</v>
      </c>
      <c r="AU248">
        <f>SUMIF('Как будет'!$A$45:$A$52,Доп.расчеты!$A248,'Как будет'!AV$45:AV$52)</f>
        <v>0</v>
      </c>
      <c r="AV248">
        <f>SUMIF('Как будет'!$A$45:$A$52,Доп.расчеты!$A248,'Как будет'!AW$45:AW$52)</f>
        <v>0</v>
      </c>
      <c r="AW248">
        <f>SUMIF('Как будет'!$A$45:$A$52,Доп.расчеты!$A248,'Как будет'!AX$45:AX$52)</f>
        <v>0</v>
      </c>
      <c r="AX248">
        <f>SUMIF('Как будет'!$A$45:$A$52,Доп.расчеты!$A248,'Как будет'!AY$45:AY$52)</f>
        <v>0</v>
      </c>
      <c r="AY248">
        <f>SUMIF('Как будет'!$A$45:$A$52,Доп.расчеты!$A248,'Как будет'!AZ$45:AZ$52)</f>
        <v>0</v>
      </c>
      <c r="AZ248">
        <f>SUMIF('Как будет'!$A$45:$A$52,Доп.расчеты!$A248,'Как будет'!BA$45:BA$52)</f>
        <v>0</v>
      </c>
      <c r="BA248">
        <f>SUMIF('Как будет'!$A$45:$A$52,Доп.расчеты!$A248,'Как будет'!BB$45:BB$52)</f>
        <v>0</v>
      </c>
      <c r="BB248">
        <f>SUMIF('Как будет'!$A$45:$A$52,Доп.расчеты!$A248,'Как будет'!BC$45:BC$52)</f>
        <v>0</v>
      </c>
      <c r="BC248">
        <f>SUMIF('Как будет'!$A$45:$A$52,Доп.расчеты!$A248,'Как будет'!BD$45:BD$52)</f>
        <v>0</v>
      </c>
      <c r="BD248">
        <f>SUMIF('Как будет'!$A$45:$A$52,Доп.расчеты!$A248,'Как будет'!BE$45:BE$52)</f>
        <v>0</v>
      </c>
      <c r="BE248">
        <f>SUMIF('Как будет'!$A$45:$A$52,Доп.расчеты!$A248,'Как будет'!BF$45:BF$52)</f>
        <v>0</v>
      </c>
      <c r="BF248">
        <f>SUMIF('Как будет'!$A$45:$A$52,Доп.расчеты!$A248,'Как будет'!BG$45:BG$52)</f>
        <v>0</v>
      </c>
      <c r="BG248">
        <f>SUMIF('Как будет'!$A$45:$A$52,Доп.расчеты!$A248,'Как будет'!BH$45:BH$52)</f>
        <v>0</v>
      </c>
      <c r="BH248">
        <f>SUMIF('Как будет'!$A$45:$A$52,Доп.расчеты!$A248,'Как будет'!BI$45:BI$52)</f>
        <v>0</v>
      </c>
      <c r="BI248">
        <f>SUMIF('Как будет'!$A$45:$A$52,Доп.расчеты!$A248,'Как будет'!BJ$45:BJ$52)</f>
        <v>0</v>
      </c>
      <c r="BJ248">
        <f>SUMIF('Как будет'!$A$45:$A$52,Доп.расчеты!$A248,'Как будет'!BK$45:BK$52)</f>
        <v>0</v>
      </c>
      <c r="BK248">
        <f>SUMIF('Как будет'!$A$45:$A$52,Доп.расчеты!$A248,'Как будет'!BL$45:BL$52)</f>
        <v>0</v>
      </c>
      <c r="BL248">
        <f>SUMIF('Как будет'!$A$45:$A$52,Доп.расчеты!$A248,'Как будет'!BM$45:BM$52)</f>
        <v>0</v>
      </c>
      <c r="BM248">
        <f>SUMIF('Как будет'!$A$45:$A$52,Доп.расчеты!$A248,'Как будет'!BN$45:BN$52)</f>
        <v>0</v>
      </c>
      <c r="BN248">
        <f>SUMIF('Как будет'!$A$45:$A$52,Доп.расчеты!$A248,'Как будет'!BO$45:BO$52)</f>
        <v>0</v>
      </c>
      <c r="BO248">
        <f>SUMIF('Как будет'!$A$45:$A$52,Доп.расчеты!$A248,'Как будет'!BP$45:BP$52)</f>
        <v>0</v>
      </c>
      <c r="BP248">
        <f>SUMIF('Как будет'!$A$45:$A$52,Доп.расчеты!$A248,'Как будет'!BQ$45:BQ$52)</f>
        <v>0</v>
      </c>
      <c r="BQ248">
        <f>SUMIF('Как будет'!$A$45:$A$52,Доп.расчеты!$A248,'Как будет'!BR$45:BR$52)</f>
        <v>0</v>
      </c>
      <c r="BR248">
        <f>SUMIF('Как будет'!$A$45:$A$52,Доп.расчеты!$A248,'Как будет'!BS$45:BS$52)</f>
        <v>0</v>
      </c>
      <c r="BS248">
        <f>SUMIF('Как будет'!$A$45:$A$52,Доп.расчеты!$A248,'Как будет'!BT$45:BT$52)</f>
        <v>0</v>
      </c>
      <c r="BT248">
        <f>SUMIF('Как будет'!$A$45:$A$52,Доп.расчеты!$A248,'Как будет'!BU$45:BU$52)</f>
        <v>0</v>
      </c>
      <c r="BU248">
        <f>SUMIF('Как будет'!$A$45:$A$52,Доп.расчеты!$A248,'Как будет'!BV$45:BV$52)</f>
        <v>0</v>
      </c>
      <c r="BV248">
        <f>SUMIF('Как будет'!$A$45:$A$52,Доп.расчеты!$A248,'Как будет'!BW$45:BW$52)</f>
        <v>0</v>
      </c>
      <c r="BW248">
        <f>SUMIF('Как будет'!$A$45:$A$52,Доп.расчеты!$A248,'Как будет'!BX$45:BX$52)</f>
        <v>0</v>
      </c>
      <c r="BX248">
        <f>SUMIF('Как будет'!$A$45:$A$52,Доп.расчеты!$A248,'Как будет'!BY$45:BY$52)</f>
        <v>0</v>
      </c>
      <c r="BY248">
        <f>SUMIF('Как будет'!$A$45:$A$52,Доп.расчеты!$A248,'Как будет'!BZ$45:BZ$52)</f>
        <v>0</v>
      </c>
      <c r="BZ248">
        <f>SUMIF('Как будет'!$A$45:$A$52,Доп.расчеты!$A248,'Как будет'!CA$45:CA$52)</f>
        <v>0</v>
      </c>
      <c r="CA248">
        <f>SUMIF('Как будет'!$A$45:$A$52,Доп.расчеты!$A248,'Как будет'!CB$45:CB$52)</f>
        <v>0</v>
      </c>
      <c r="CB248">
        <f>SUMIF('Как будет'!$A$45:$A$52,Доп.расчеты!$A248,'Как будет'!CC$45:CC$52)</f>
        <v>0</v>
      </c>
      <c r="CC248">
        <f>SUMIF('Как будет'!$A$45:$A$52,Доп.расчеты!$A248,'Как будет'!CD$45:CD$52)</f>
        <v>0</v>
      </c>
      <c r="CD248">
        <f>SUMIF('Как будет'!$A$45:$A$52,Доп.расчеты!$A248,'Как будет'!CE$45:CE$52)</f>
        <v>0</v>
      </c>
      <c r="CE248">
        <f>SUMIF('Как будет'!$A$45:$A$52,Доп.расчеты!$A248,'Как будет'!CF$45:CF$52)</f>
        <v>0</v>
      </c>
      <c r="CF248">
        <f>SUMIF('Как будет'!$A$45:$A$52,Доп.расчеты!$A248,'Как будет'!CG$45:CG$52)</f>
        <v>0</v>
      </c>
      <c r="CG248">
        <f>SUMIF('Как будет'!$A$45:$A$52,Доп.расчеты!$A248,'Как будет'!CH$45:CH$52)</f>
        <v>0</v>
      </c>
      <c r="CH248">
        <f>SUMIF('Как будет'!$A$45:$A$52,Доп.расчеты!$A248,'Как будет'!CI$45:CI$52)</f>
        <v>0</v>
      </c>
      <c r="CI248">
        <f>SUMIF('Как будет'!$A$45:$A$52,Доп.расчеты!$A248,'Как будет'!CJ$45:CJ$52)</f>
        <v>0</v>
      </c>
      <c r="CJ248">
        <f>SUMIF('Как будет'!$A$45:$A$52,Доп.расчеты!$A248,'Как будет'!CK$45:CK$52)</f>
        <v>0</v>
      </c>
      <c r="CK248">
        <f>SUMIF('Как будет'!$A$45:$A$52,Доп.расчеты!$A248,'Как будет'!CL$45:CL$52)</f>
        <v>0</v>
      </c>
      <c r="CL248">
        <f>SUMIF('Как будет'!$A$45:$A$52,Доп.расчеты!$A248,'Как будет'!CM$45:CM$52)</f>
        <v>0</v>
      </c>
      <c r="CM248">
        <f>SUMIF('Как будет'!$A$45:$A$52,Доп.расчеты!$A248,'Как будет'!CN$45:CN$52)</f>
        <v>0</v>
      </c>
      <c r="CN248">
        <f>SUMIF('Как будет'!$A$45:$A$52,Доп.расчеты!$A248,'Как будет'!CO$45:CO$52)</f>
        <v>0</v>
      </c>
      <c r="CO248">
        <f>SUMIF('Как будет'!$A$45:$A$52,Доп.расчеты!$A248,'Как будет'!CP$45:CP$52)</f>
        <v>0</v>
      </c>
      <c r="CP248">
        <f>SUMIF('Как будет'!$A$45:$A$52,Доп.расчеты!$A248,'Как будет'!CQ$45:CQ$52)</f>
        <v>0</v>
      </c>
      <c r="CQ248">
        <f>SUMIF('Как будет'!$A$45:$A$52,Доп.расчеты!$A248,'Как будет'!CR$45:CR$52)</f>
        <v>0</v>
      </c>
      <c r="CR248">
        <f>SUMIF('Как будет'!$A$45:$A$52,Доп.расчеты!$A248,'Как будет'!CS$45:CS$52)</f>
        <v>0</v>
      </c>
      <c r="CS248">
        <f>SUMIF('Как будет'!$A$45:$A$52,Доп.расчеты!$A248,'Как будет'!CT$45:CT$52)</f>
        <v>0</v>
      </c>
      <c r="CT248">
        <f>SUMIF('Как будет'!$A$45:$A$52,Доп.расчеты!$A248,'Как будет'!CU$45:CU$52)</f>
        <v>0</v>
      </c>
      <c r="CU248">
        <f>SUMIF('Как будет'!$A$45:$A$52,Доп.расчеты!$A248,'Как будет'!CV$45:CV$52)</f>
        <v>0</v>
      </c>
      <c r="CV248">
        <f>SUMIF('Как будет'!$A$45:$A$52,Доп.расчеты!$A248,'Как будет'!CW$45:CW$52)</f>
        <v>0</v>
      </c>
      <c r="CW248">
        <f>SUMIF('Как будет'!$A$45:$A$52,Доп.расчеты!$A248,'Как будет'!CX$45:CX$52)</f>
        <v>0</v>
      </c>
      <c r="CX248">
        <f>SUMIF('Как будет'!$A$45:$A$52,Доп.расчеты!$A248,'Как будет'!CY$45:CY$52)</f>
        <v>0</v>
      </c>
      <c r="CY248">
        <f>SUMIF('Как будет'!$A$45:$A$52,Доп.расчеты!$A248,'Как будет'!CZ$45:CZ$52)</f>
        <v>0</v>
      </c>
      <c r="CZ248">
        <f>SUMIF('Как будет'!$A$45:$A$52,Доп.расчеты!$A248,'Как будет'!DA$45:DA$52)</f>
        <v>0</v>
      </c>
      <c r="DA248">
        <f>SUMIF('Как будет'!$A$45:$A$52,Доп.расчеты!$A248,'Как будет'!DB$45:DB$52)</f>
        <v>0</v>
      </c>
      <c r="DB248">
        <f>SUMIF('Как будет'!$A$45:$A$52,Доп.расчеты!$A248,'Как будет'!DC$45:DC$52)</f>
        <v>0</v>
      </c>
      <c r="DC248">
        <f>SUMIF('Как будет'!$A$45:$A$52,Доп.расчеты!$A248,'Как будет'!DD$45:DD$52)</f>
        <v>0</v>
      </c>
      <c r="DD248">
        <f>SUMIF('Как будет'!$A$45:$A$52,Доп.расчеты!$A248,'Как будет'!DE$45:DE$52)</f>
        <v>0</v>
      </c>
      <c r="DE248">
        <f>SUMIF('Как будет'!$A$45:$A$52,Доп.расчеты!$A248,'Как будет'!DF$45:DF$52)</f>
        <v>0</v>
      </c>
      <c r="DF248">
        <f>SUMIF('Как будет'!$A$45:$A$52,Доп.расчеты!$A248,'Как будет'!DG$45:DG$52)</f>
        <v>0</v>
      </c>
      <c r="DG248">
        <f>SUMIF('Как будет'!$A$45:$A$52,Доп.расчеты!$A248,'Как будет'!DH$45:DH$52)</f>
        <v>0</v>
      </c>
      <c r="DH248">
        <f>SUMIF('Как будет'!$A$45:$A$52,Доп.расчеты!$A248,'Как будет'!DI$45:DI$52)</f>
        <v>0</v>
      </c>
      <c r="DI248">
        <f>SUMIF('Как будет'!$A$45:$A$52,Доп.расчеты!$A248,'Как будет'!DJ$45:DJ$52)</f>
        <v>0</v>
      </c>
      <c r="DJ248">
        <f>SUMIF('Как будет'!$A$45:$A$52,Доп.расчеты!$A248,'Как будет'!DK$45:DK$52)</f>
        <v>0</v>
      </c>
      <c r="DK248">
        <f>SUMIF('Как будет'!$A$45:$A$52,Доп.расчеты!$A248,'Как будет'!DL$45:DL$52)</f>
        <v>0</v>
      </c>
      <c r="DL248">
        <f>SUMIF('Как будет'!$A$45:$A$52,Доп.расчеты!$A248,'Как будет'!DM$45:DM$52)</f>
        <v>0</v>
      </c>
      <c r="DM248">
        <f>SUMIF('Как будет'!$A$45:$A$52,Доп.расчеты!$A248,'Как будет'!DN$45:DN$52)</f>
        <v>0</v>
      </c>
      <c r="DN248">
        <f>SUMIF('Как будет'!$A$45:$A$52,Доп.расчеты!$A248,'Как будет'!DO$45:DO$52)</f>
        <v>0</v>
      </c>
      <c r="DO248">
        <f>SUMIF('Как будет'!$A$45:$A$52,Доп.расчеты!$A248,'Как будет'!DP$45:DP$52)</f>
        <v>0</v>
      </c>
      <c r="DP248">
        <f>SUMIF('Как будет'!$A$45:$A$52,Доп.расчеты!$A248,'Как будет'!DQ$45:DQ$52)</f>
        <v>0</v>
      </c>
      <c r="DQ248">
        <f>SUMIF('Как будет'!$A$45:$A$52,Доп.расчеты!$A248,'Как будет'!DR$45:DR$52)</f>
        <v>0</v>
      </c>
      <c r="DR248">
        <f>SUMIF('Как будет'!$A$45:$A$52,Доп.расчеты!$A248,'Как будет'!DS$45:DS$52)</f>
        <v>0</v>
      </c>
      <c r="DS248">
        <f>SUMIF('Как будет'!$A$45:$A$52,Доп.расчеты!$A248,'Как будет'!DT$45:DT$52)</f>
        <v>0</v>
      </c>
      <c r="DT248">
        <f>SUMIF('Как будет'!$A$45:$A$52,Доп.расчеты!$A248,'Как будет'!DU$45:DU$52)</f>
        <v>0</v>
      </c>
      <c r="DU248">
        <f>SUMIF('Как будет'!$A$45:$A$52,Доп.расчеты!$A248,'Как будет'!DV$45:DV$52)</f>
        <v>0</v>
      </c>
      <c r="DV248">
        <f>SUMIF('Как будет'!$A$45:$A$52,Доп.расчеты!$A248,'Как будет'!DW$45:DW$52)</f>
        <v>0</v>
      </c>
      <c r="DW248">
        <f>SUMIF('Как будет'!$A$45:$A$52,Доп.расчеты!$A248,'Как будет'!DX$45:DX$52)</f>
        <v>0</v>
      </c>
      <c r="DX248">
        <f>SUMIF('Как будет'!$A$45:$A$52,Доп.расчеты!$A248,'Как будет'!DY$45:DY$52)</f>
        <v>0</v>
      </c>
      <c r="DY248">
        <f>SUMIF('Как будет'!$A$45:$A$52,Доп.расчеты!$A248,'Как будет'!DZ$45:DZ$52)</f>
        <v>0</v>
      </c>
      <c r="DZ248">
        <f>SUMIF('Как будет'!$A$45:$A$52,Доп.расчеты!$A248,'Как будет'!EA$45:EA$52)</f>
        <v>0</v>
      </c>
      <c r="EA248">
        <f>SUMIF('Как будет'!$A$45:$A$52,Доп.расчеты!$A248,'Как будет'!EB$45:EB$52)</f>
        <v>0</v>
      </c>
      <c r="EB248">
        <f>SUMIF('Как будет'!$A$45:$A$52,Доп.расчеты!$A248,'Как будет'!EC$45:EC$52)</f>
        <v>0</v>
      </c>
      <c r="EC248">
        <f>SUMIF('Как будет'!$A$45:$A$52,Доп.расчеты!$A248,'Как будет'!ED$45:ED$52)</f>
        <v>0</v>
      </c>
      <c r="ED248">
        <f>SUMIF('Как будет'!$A$45:$A$52,Доп.расчеты!$A248,'Как будет'!EE$45:EE$52)</f>
        <v>0</v>
      </c>
      <c r="EE248">
        <f>SUMIF('Как будет'!$A$45:$A$52,Доп.расчеты!$A248,'Как будет'!EF$45:EF$52)</f>
        <v>0</v>
      </c>
      <c r="EF248">
        <f>SUMIF('Как будет'!$A$45:$A$52,Доп.расчеты!$A248,'Как будет'!EG$45:EG$52)</f>
        <v>0</v>
      </c>
      <c r="EG248">
        <f>SUMIF('Как будет'!$A$45:$A$52,Доп.расчеты!$A248,'Как будет'!EH$45:EH$52)</f>
        <v>0</v>
      </c>
      <c r="EH248">
        <f>SUMIF('Как будет'!$A$45:$A$52,Доп.расчеты!$A248,'Как будет'!EI$45:EI$52)</f>
        <v>0</v>
      </c>
      <c r="EI248">
        <f>SUMIF('Как будет'!$A$45:$A$52,Доп.расчеты!$A248,'Как будет'!EJ$45:EJ$52)</f>
        <v>0</v>
      </c>
      <c r="EJ248">
        <f>SUMIF('Как будет'!$A$45:$A$52,Доп.расчеты!$A248,'Как будет'!EK$45:EK$52)</f>
        <v>0</v>
      </c>
      <c r="EK248">
        <f>SUMIF('Как будет'!$A$45:$A$52,Доп.расчеты!$A248,'Как будет'!EL$45:EL$52)</f>
        <v>0</v>
      </c>
      <c r="EL248">
        <f>SUMIF('Как будет'!$A$45:$A$52,Доп.расчеты!$A248,'Как будет'!EM$45:EM$52)</f>
        <v>0</v>
      </c>
      <c r="EM248">
        <f>SUMIF('Как будет'!$A$45:$A$52,Доп.расчеты!$A248,'Как будет'!EN$45:EN$52)</f>
        <v>0</v>
      </c>
      <c r="EN248">
        <f>SUMIF('Как будет'!$A$45:$A$52,Доп.расчеты!$A248,'Как будет'!EO$45:EO$52)</f>
        <v>0</v>
      </c>
      <c r="EO248">
        <f>SUMIF('Как будет'!$A$45:$A$52,Доп.расчеты!$A248,'Как будет'!EP$45:EP$52)</f>
        <v>0</v>
      </c>
      <c r="EP248">
        <f>SUMIF('Как будет'!$A$45:$A$52,Доп.расчеты!$A248,'Как будет'!EQ$45:EQ$52)</f>
        <v>0</v>
      </c>
      <c r="EQ248">
        <f>SUMIF('Как будет'!$A$45:$A$52,Доп.расчеты!$A248,'Как будет'!ER$45:ER$52)</f>
        <v>0</v>
      </c>
      <c r="ER248">
        <f>SUMIF('Как будет'!$A$45:$A$52,Доп.расчеты!$A248,'Как будет'!ES$45:ES$52)</f>
        <v>0</v>
      </c>
      <c r="ES248">
        <f>SUMIF('Как будет'!$A$45:$A$52,Доп.расчеты!$A248,'Как будет'!ET$45:ET$52)</f>
        <v>0</v>
      </c>
      <c r="ET248">
        <f>SUMIF('Как будет'!$A$45:$A$52,Доп.расчеты!$A248,'Как будет'!EU$45:EU$52)</f>
        <v>0</v>
      </c>
      <c r="EU248">
        <f>SUMIF('Как будет'!$A$45:$A$52,Доп.расчеты!$A248,'Как будет'!EV$45:EV$52)</f>
        <v>0</v>
      </c>
      <c r="EV248">
        <f>SUMIF('Как будет'!$A$45:$A$52,Доп.расчеты!$A248,'Как будет'!EW$45:EW$52)</f>
        <v>0</v>
      </c>
      <c r="EW248">
        <f>SUMIF('Как будет'!$A$45:$A$52,Доп.расчеты!$A248,'Как будет'!EX$45:EX$52)</f>
        <v>0</v>
      </c>
      <c r="EX248">
        <f>SUMIF('Как будет'!$A$45:$A$52,Доп.расчеты!$A248,'Как будет'!EY$45:EY$52)</f>
        <v>0</v>
      </c>
      <c r="EY248">
        <f>SUMIF('Как будет'!$A$45:$A$52,Доп.расчеты!$A248,'Как будет'!EZ$45:EZ$52)</f>
        <v>0</v>
      </c>
      <c r="EZ248">
        <f>SUMIF('Как будет'!$A$45:$A$52,Доп.расчеты!$A248,'Как будет'!FA$45:FA$52)</f>
        <v>0</v>
      </c>
      <c r="FA248">
        <f>SUMIF('Как будет'!$A$45:$A$52,Доп.расчеты!$A248,'Как будет'!FB$45:FB$52)</f>
        <v>0</v>
      </c>
      <c r="FB248">
        <f>SUMIF('Как будет'!$A$45:$A$52,Доп.расчеты!$A248,'Как будет'!FC$45:FC$52)</f>
        <v>0</v>
      </c>
      <c r="FC248">
        <f>SUMIF('Как будет'!$A$45:$A$52,Доп.расчеты!$A248,'Как будет'!FD$45:FD$52)</f>
        <v>0</v>
      </c>
      <c r="FD248">
        <f>SUMIF('Как будет'!$A$45:$A$52,Доп.расчеты!$A248,'Как будет'!FE$45:FE$52)</f>
        <v>0</v>
      </c>
      <c r="FE248">
        <f>SUMIF('Как будет'!$A$45:$A$52,Доп.расчеты!$A248,'Как будет'!FF$45:FF$52)</f>
        <v>0</v>
      </c>
      <c r="FF248">
        <f>SUMIF('Как будет'!$A$45:$A$52,Доп.расчеты!$A248,'Как будет'!FG$45:FG$52)</f>
        <v>0</v>
      </c>
      <c r="FG248">
        <f>SUMIF('Как будет'!$A$45:$A$52,Доп.расчеты!$A248,'Как будет'!FH$45:FH$52)</f>
        <v>0</v>
      </c>
      <c r="FH248">
        <f>SUMIF('Как будет'!$A$45:$A$52,Доп.расчеты!$A248,'Как будет'!FI$45:FI$52)</f>
        <v>0</v>
      </c>
      <c r="FI248">
        <f>SUMIF('Как будет'!$A$45:$A$52,Доп.расчеты!$A248,'Как будет'!FJ$45:FJ$52)</f>
        <v>0</v>
      </c>
      <c r="FJ248">
        <f>SUMIF('Как будет'!$A$45:$A$52,Доп.расчеты!$A248,'Как будет'!FK$45:FK$52)</f>
        <v>0</v>
      </c>
      <c r="FK248">
        <f>SUMIF('Как будет'!$A$45:$A$52,Доп.расчеты!$A248,'Как будет'!FL$45:FL$52)</f>
        <v>0</v>
      </c>
      <c r="FL248">
        <f>SUMIF('Как будет'!$A$45:$A$52,Доп.расчеты!$A248,'Как будет'!FM$45:FM$52)</f>
        <v>0</v>
      </c>
      <c r="FM248">
        <f>SUMIF('Как будет'!$A$45:$A$52,Доп.расчеты!$A248,'Как будет'!FN$45:FN$52)</f>
        <v>0</v>
      </c>
      <c r="FN248">
        <f>SUMIF('Как будет'!$A$45:$A$52,Доп.расчеты!$A248,'Как будет'!FO$45:FO$52)</f>
        <v>0</v>
      </c>
      <c r="FO248">
        <f>SUMIF('Как будет'!$A$45:$A$52,Доп.расчеты!$A248,'Как будет'!FP$45:FP$52)</f>
        <v>0</v>
      </c>
      <c r="FP248">
        <f>SUMIF('Как будет'!$A$45:$A$52,Доп.расчеты!$A248,'Как будет'!FQ$45:FQ$52)</f>
        <v>0</v>
      </c>
      <c r="FQ248">
        <f>SUMIF('Как будет'!$A$45:$A$52,Доп.расчеты!$A248,'Как будет'!FR$45:FR$52)</f>
        <v>0</v>
      </c>
      <c r="FR248">
        <f>SUMIF('Как будет'!$A$45:$A$52,Доп.расчеты!$A248,'Как будет'!FS$45:FS$52)</f>
        <v>0</v>
      </c>
      <c r="FS248">
        <f>SUMIF('Как будет'!$A$45:$A$52,Доп.расчеты!$A248,'Как будет'!FT$45:FT$52)</f>
        <v>0</v>
      </c>
      <c r="FT248">
        <f>SUMIF('Как будет'!$A$45:$A$52,Доп.расчеты!$A248,'Как будет'!FU$45:FU$52)</f>
        <v>0</v>
      </c>
      <c r="FU248">
        <f>SUMIF('Как будет'!$A$45:$A$52,Доп.расчеты!$A248,'Как будет'!FV$45:FV$52)</f>
        <v>0</v>
      </c>
      <c r="FV248">
        <f>SUMIF('Как будет'!$A$45:$A$52,Доп.расчеты!$A248,'Как будет'!FW$45:FW$52)</f>
        <v>0</v>
      </c>
      <c r="FW248">
        <f>SUMIF('Как будет'!$A$45:$A$52,Доп.расчеты!$A248,'Как будет'!FX$45:FX$52)</f>
        <v>0</v>
      </c>
      <c r="FX248">
        <f>SUMIF('Как будет'!$A$45:$A$52,Доп.расчеты!$A248,'Как будет'!FY$45:FY$52)</f>
        <v>0</v>
      </c>
      <c r="FY248">
        <f>SUMIF('Как будет'!$A$45:$A$52,Доп.расчеты!$A248,'Как будет'!FZ$45:FZ$52)</f>
        <v>0</v>
      </c>
      <c r="FZ248">
        <f>SUMIF('Как будет'!$A$45:$A$52,Доп.расчеты!$A248,'Как будет'!GA$45:GA$52)</f>
        <v>0</v>
      </c>
      <c r="GA248">
        <f>SUMIF('Как будет'!$A$45:$A$52,Доп.расчеты!$A248,'Как будет'!GB$45:GB$52)</f>
        <v>0</v>
      </c>
      <c r="GB248">
        <f>SUMIF('Как будет'!$A$45:$A$52,Доп.расчеты!$A248,'Как будет'!GC$45:GC$52)</f>
        <v>0</v>
      </c>
      <c r="GC248">
        <f>SUMIF('Как будет'!$A$45:$A$52,Доп.расчеты!$A248,'Как будет'!GD$45:GD$52)</f>
        <v>0</v>
      </c>
      <c r="GD248">
        <f>SUMIF('Как будет'!$A$45:$A$52,Доп.расчеты!$A248,'Как будет'!GE$45:GE$52)</f>
        <v>0</v>
      </c>
      <c r="GE248">
        <f>SUMIF('Как будет'!$A$45:$A$52,Доп.расчеты!$A248,'Как будет'!GF$45:GF$52)</f>
        <v>0</v>
      </c>
      <c r="GF248">
        <f>SUMIF('Как будет'!$A$45:$A$52,Доп.расчеты!$A248,'Как будет'!GG$45:GG$52)</f>
        <v>0</v>
      </c>
      <c r="GG248">
        <f>SUMIF('Как будет'!$A$45:$A$52,Доп.расчеты!$A248,'Как будет'!GH$45:GH$52)</f>
        <v>0</v>
      </c>
      <c r="GH248">
        <f>SUMIF('Как будет'!$A$45:$A$52,Доп.расчеты!$A248,'Как будет'!GI$45:GI$52)</f>
        <v>0</v>
      </c>
      <c r="GI248">
        <f>SUMIF('Как будет'!$A$45:$A$52,Доп.расчеты!$A248,'Как будет'!GJ$45:GJ$52)</f>
        <v>0</v>
      </c>
      <c r="GJ248">
        <f>SUMIF('Как будет'!$A$45:$A$52,Доп.расчеты!$A248,'Как будет'!GK$45:GK$52)</f>
        <v>0</v>
      </c>
      <c r="GK248">
        <f>SUMIF('Как будет'!$A$45:$A$52,Доп.расчеты!$A248,'Как будет'!GL$45:GL$52)</f>
        <v>0</v>
      </c>
      <c r="GL248">
        <f>SUMIF('Как будет'!$A$45:$A$52,Доп.расчеты!$A248,'Как будет'!GM$45:GM$52)</f>
        <v>0</v>
      </c>
      <c r="GM248">
        <f>SUMIF('Как будет'!$A$45:$A$52,Доп.расчеты!$A248,'Как будет'!GN$45:GN$52)</f>
        <v>0</v>
      </c>
      <c r="GN248">
        <f>SUMIF('Как будет'!$A$45:$A$52,Доп.расчеты!$A248,'Как будет'!GO$45:GO$52)</f>
        <v>0</v>
      </c>
      <c r="GO248">
        <f>SUMIF('Как будет'!$A$45:$A$52,Доп.расчеты!$A248,'Как будет'!GP$45:GP$52)</f>
        <v>0</v>
      </c>
      <c r="GP248">
        <f>SUMIF('Как будет'!$A$45:$A$52,Доп.расчеты!$A248,'Как будет'!GQ$45:GQ$52)</f>
        <v>0</v>
      </c>
      <c r="GQ248">
        <f>SUMIF('Как будет'!$A$45:$A$52,Доп.расчеты!$A248,'Как будет'!GR$45:GR$52)</f>
        <v>0</v>
      </c>
      <c r="GR248">
        <f>SUMIF('Как будет'!$A$45:$A$52,Доп.расчеты!$A248,'Как будет'!GS$45:GS$52)</f>
        <v>0</v>
      </c>
      <c r="GS248">
        <f>SUMIF('Как будет'!$A$45:$A$52,Доп.расчеты!$A248,'Как будет'!GT$45:GT$52)</f>
        <v>0</v>
      </c>
      <c r="GT248">
        <f>SUMIF('Как будет'!$A$45:$A$52,Доп.расчеты!$A248,'Как будет'!GU$45:GU$52)</f>
        <v>0</v>
      </c>
    </row>
    <row r="249" spans="1:202">
      <c r="A249" s="238" t="s">
        <v>98</v>
      </c>
      <c r="B249">
        <f>SUMIF('Как будет'!$A$45:$A$52,Доп.расчеты!$A249,'Как будет'!C$45:C$52)</f>
        <v>0</v>
      </c>
      <c r="C249">
        <f>SUMIF('Как будет'!$A$45:$A$52,Доп.расчеты!$A249,'Как будет'!D$45:D$52)</f>
        <v>0</v>
      </c>
      <c r="D249">
        <f>SUMIF('Как будет'!$A$45:$A$52,Доп.расчеты!$A249,'Как будет'!E$45:E$52)</f>
        <v>0</v>
      </c>
      <c r="E249">
        <f>SUMIF('Как будет'!$A$45:$A$52,Доп.расчеты!$A249,'Как будет'!F$45:F$52)</f>
        <v>0</v>
      </c>
      <c r="F249">
        <f>SUMIF('Как будет'!$A$45:$A$52,Доп.расчеты!$A249,'Как будет'!G$45:G$52)</f>
        <v>0</v>
      </c>
      <c r="G249">
        <f>SUMIF('Как будет'!$A$45:$A$52,Доп.расчеты!$A249,'Как будет'!H$45:H$52)</f>
        <v>0</v>
      </c>
      <c r="H249">
        <f>SUMIF('Как будет'!$A$45:$A$52,Доп.расчеты!$A249,'Как будет'!I$45:I$52)</f>
        <v>0</v>
      </c>
      <c r="I249">
        <f>SUMIF('Как будет'!$A$45:$A$52,Доп.расчеты!$A249,'Как будет'!J$45:J$52)</f>
        <v>0</v>
      </c>
      <c r="J249">
        <f>SUMIF('Как будет'!$A$45:$A$52,Доп.расчеты!$A249,'Как будет'!K$45:K$52)</f>
        <v>0</v>
      </c>
      <c r="K249">
        <f>SUMIF('Как будет'!$A$45:$A$52,Доп.расчеты!$A249,'Как будет'!L$45:L$52)</f>
        <v>0</v>
      </c>
      <c r="L249">
        <f>SUMIF('Как будет'!$A$45:$A$52,Доп.расчеты!$A249,'Как будет'!M$45:M$52)</f>
        <v>0</v>
      </c>
      <c r="M249">
        <f>SUMIF('Как будет'!$A$45:$A$52,Доп.расчеты!$A249,'Как будет'!N$45:N$52)</f>
        <v>0</v>
      </c>
      <c r="N249">
        <f>SUMIF('Как будет'!$A$45:$A$52,Доп.расчеты!$A249,'Как будет'!O$45:O$52)</f>
        <v>0</v>
      </c>
      <c r="O249">
        <f>SUMIF('Как будет'!$A$45:$A$52,Доп.расчеты!$A249,'Как будет'!P$45:P$52)</f>
        <v>0</v>
      </c>
      <c r="P249">
        <f>SUMIF('Как будет'!$A$45:$A$52,Доп.расчеты!$A249,'Как будет'!Q$45:Q$52)</f>
        <v>0</v>
      </c>
      <c r="Q249">
        <f>SUMIF('Как будет'!$A$45:$A$52,Доп.расчеты!$A249,'Как будет'!R$45:R$52)</f>
        <v>0</v>
      </c>
      <c r="R249">
        <f>SUMIF('Как будет'!$A$45:$A$52,Доп.расчеты!$A249,'Как будет'!S$45:S$52)</f>
        <v>0</v>
      </c>
      <c r="S249">
        <f>SUMIF('Как будет'!$A$45:$A$52,Доп.расчеты!$A249,'Как будет'!T$45:T$52)</f>
        <v>0</v>
      </c>
      <c r="T249">
        <f>SUMIF('Как будет'!$A$45:$A$52,Доп.расчеты!$A249,'Как будет'!U$45:U$52)</f>
        <v>0</v>
      </c>
      <c r="U249">
        <f>SUMIF('Как будет'!$A$45:$A$52,Доп.расчеты!$A249,'Как будет'!V$45:V$52)</f>
        <v>0</v>
      </c>
      <c r="V249">
        <f>SUMIF('Как будет'!$A$45:$A$52,Доп.расчеты!$A249,'Как будет'!W$45:W$52)</f>
        <v>0</v>
      </c>
      <c r="W249">
        <f>SUMIF('Как будет'!$A$45:$A$52,Доп.расчеты!$A249,'Как будет'!X$45:X$52)</f>
        <v>0</v>
      </c>
      <c r="X249">
        <f>SUMIF('Как будет'!$A$45:$A$52,Доп.расчеты!$A249,'Как будет'!Y$45:Y$52)</f>
        <v>0</v>
      </c>
      <c r="Y249">
        <f>SUMIF('Как будет'!$A$45:$A$52,Доп.расчеты!$A249,'Как будет'!Z$45:Z$52)</f>
        <v>0</v>
      </c>
      <c r="Z249">
        <f>SUMIF('Как будет'!$A$45:$A$52,Доп.расчеты!$A249,'Как будет'!AA$45:AA$52)</f>
        <v>0</v>
      </c>
      <c r="AA249">
        <f>SUMIF('Как будет'!$A$45:$A$52,Доп.расчеты!$A249,'Как будет'!AB$45:AB$52)</f>
        <v>0</v>
      </c>
      <c r="AB249">
        <f>SUMIF('Как будет'!$A$45:$A$52,Доп.расчеты!$A249,'Как будет'!AC$45:AC$52)</f>
        <v>0</v>
      </c>
      <c r="AC249">
        <f>SUMIF('Как будет'!$A$45:$A$52,Доп.расчеты!$A249,'Как будет'!AD$45:AD$52)</f>
        <v>0</v>
      </c>
      <c r="AD249">
        <f>SUMIF('Как будет'!$A$45:$A$52,Доп.расчеты!$A249,'Как будет'!AE$45:AE$52)</f>
        <v>0</v>
      </c>
      <c r="AE249">
        <f>SUMIF('Как будет'!$A$45:$A$52,Доп.расчеты!$A249,'Как будет'!AF$45:AF$52)</f>
        <v>0</v>
      </c>
      <c r="AF249">
        <f>SUMIF('Как будет'!$A$45:$A$52,Доп.расчеты!$A249,'Как будет'!AG$45:AG$52)</f>
        <v>0</v>
      </c>
      <c r="AG249">
        <f>SUMIF('Как будет'!$A$45:$A$52,Доп.расчеты!$A249,'Как будет'!AH$45:AH$52)</f>
        <v>0</v>
      </c>
      <c r="AH249">
        <f>SUMIF('Как будет'!$A$45:$A$52,Доп.расчеты!$A249,'Как будет'!AI$45:AI$52)</f>
        <v>0</v>
      </c>
      <c r="AI249">
        <f>SUMIF('Как будет'!$A$45:$A$52,Доп.расчеты!$A249,'Как будет'!AJ$45:AJ$52)</f>
        <v>0</v>
      </c>
      <c r="AJ249">
        <f>SUMIF('Как будет'!$A$45:$A$52,Доп.расчеты!$A249,'Как будет'!AK$45:AK$52)</f>
        <v>0</v>
      </c>
      <c r="AK249">
        <f>SUMIF('Как будет'!$A$45:$A$52,Доп.расчеты!$A249,'Как будет'!AL$45:AL$52)</f>
        <v>0</v>
      </c>
      <c r="AL249">
        <f>SUMIF('Как будет'!$A$45:$A$52,Доп.расчеты!$A249,'Как будет'!AM$45:AM$52)</f>
        <v>0</v>
      </c>
      <c r="AM249">
        <f>SUMIF('Как будет'!$A$45:$A$52,Доп.расчеты!$A249,'Как будет'!AN$45:AN$52)</f>
        <v>0</v>
      </c>
      <c r="AN249">
        <f>SUMIF('Как будет'!$A$45:$A$52,Доп.расчеты!$A249,'Как будет'!AO$45:AO$52)</f>
        <v>0</v>
      </c>
      <c r="AO249">
        <f>SUMIF('Как будет'!$A$45:$A$52,Доп.расчеты!$A249,'Как будет'!AP$45:AP$52)</f>
        <v>0</v>
      </c>
      <c r="AP249">
        <f>SUMIF('Как будет'!$A$45:$A$52,Доп.расчеты!$A249,'Как будет'!AQ$45:AQ$52)</f>
        <v>0</v>
      </c>
      <c r="AQ249">
        <f>SUMIF('Как будет'!$A$45:$A$52,Доп.расчеты!$A249,'Как будет'!AR$45:AR$52)</f>
        <v>0</v>
      </c>
      <c r="AR249">
        <f>SUMIF('Как будет'!$A$45:$A$52,Доп.расчеты!$A249,'Как будет'!AS$45:AS$52)</f>
        <v>0</v>
      </c>
      <c r="AS249">
        <f>SUMIF('Как будет'!$A$45:$A$52,Доп.расчеты!$A249,'Как будет'!AT$45:AT$52)</f>
        <v>0</v>
      </c>
      <c r="AT249">
        <f>SUMIF('Как будет'!$A$45:$A$52,Доп.расчеты!$A249,'Как будет'!AU$45:AU$52)</f>
        <v>0</v>
      </c>
      <c r="AU249">
        <f>SUMIF('Как будет'!$A$45:$A$52,Доп.расчеты!$A249,'Как будет'!AV$45:AV$52)</f>
        <v>0</v>
      </c>
      <c r="AV249">
        <f>SUMIF('Как будет'!$A$45:$A$52,Доп.расчеты!$A249,'Как будет'!AW$45:AW$52)</f>
        <v>0</v>
      </c>
      <c r="AW249">
        <f>SUMIF('Как будет'!$A$45:$A$52,Доп.расчеты!$A249,'Как будет'!AX$45:AX$52)</f>
        <v>0</v>
      </c>
      <c r="AX249">
        <f>SUMIF('Как будет'!$A$45:$A$52,Доп.расчеты!$A249,'Как будет'!AY$45:AY$52)</f>
        <v>0</v>
      </c>
      <c r="AY249">
        <f>SUMIF('Как будет'!$A$45:$A$52,Доп.расчеты!$A249,'Как будет'!AZ$45:AZ$52)</f>
        <v>0</v>
      </c>
      <c r="AZ249">
        <f>SUMIF('Как будет'!$A$45:$A$52,Доп.расчеты!$A249,'Как будет'!BA$45:BA$52)</f>
        <v>0</v>
      </c>
      <c r="BA249">
        <f>SUMIF('Как будет'!$A$45:$A$52,Доп.расчеты!$A249,'Как будет'!BB$45:BB$52)</f>
        <v>0</v>
      </c>
      <c r="BB249">
        <f>SUMIF('Как будет'!$A$45:$A$52,Доп.расчеты!$A249,'Как будет'!BC$45:BC$52)</f>
        <v>0</v>
      </c>
      <c r="BC249">
        <f>SUMIF('Как будет'!$A$45:$A$52,Доп.расчеты!$A249,'Как будет'!BD$45:BD$52)</f>
        <v>0</v>
      </c>
      <c r="BD249">
        <f>SUMIF('Как будет'!$A$45:$A$52,Доп.расчеты!$A249,'Как будет'!BE$45:BE$52)</f>
        <v>0</v>
      </c>
      <c r="BE249">
        <f>SUMIF('Как будет'!$A$45:$A$52,Доп.расчеты!$A249,'Как будет'!BF$45:BF$52)</f>
        <v>0</v>
      </c>
      <c r="BF249">
        <f>SUMIF('Как будет'!$A$45:$A$52,Доп.расчеты!$A249,'Как будет'!BG$45:BG$52)</f>
        <v>0</v>
      </c>
      <c r="BG249">
        <f>SUMIF('Как будет'!$A$45:$A$52,Доп.расчеты!$A249,'Как будет'!BH$45:BH$52)</f>
        <v>0</v>
      </c>
      <c r="BH249">
        <f>SUMIF('Как будет'!$A$45:$A$52,Доп.расчеты!$A249,'Как будет'!BI$45:BI$52)</f>
        <v>0</v>
      </c>
      <c r="BI249">
        <f>SUMIF('Как будет'!$A$45:$A$52,Доп.расчеты!$A249,'Как будет'!BJ$45:BJ$52)</f>
        <v>0</v>
      </c>
      <c r="BJ249">
        <f>SUMIF('Как будет'!$A$45:$A$52,Доп.расчеты!$A249,'Как будет'!BK$45:BK$52)</f>
        <v>0</v>
      </c>
      <c r="BK249">
        <f>SUMIF('Как будет'!$A$45:$A$52,Доп.расчеты!$A249,'Как будет'!BL$45:BL$52)</f>
        <v>0</v>
      </c>
      <c r="BL249">
        <f>SUMIF('Как будет'!$A$45:$A$52,Доп.расчеты!$A249,'Как будет'!BM$45:BM$52)</f>
        <v>0</v>
      </c>
      <c r="BM249">
        <f>SUMIF('Как будет'!$A$45:$A$52,Доп.расчеты!$A249,'Как будет'!BN$45:BN$52)</f>
        <v>0</v>
      </c>
      <c r="BN249">
        <f>SUMIF('Как будет'!$A$45:$A$52,Доп.расчеты!$A249,'Как будет'!BO$45:BO$52)</f>
        <v>0</v>
      </c>
      <c r="BO249">
        <f>SUMIF('Как будет'!$A$45:$A$52,Доп.расчеты!$A249,'Как будет'!BP$45:BP$52)</f>
        <v>0</v>
      </c>
      <c r="BP249">
        <f>SUMIF('Как будет'!$A$45:$A$52,Доп.расчеты!$A249,'Как будет'!BQ$45:BQ$52)</f>
        <v>0</v>
      </c>
      <c r="BQ249">
        <f>SUMIF('Как будет'!$A$45:$A$52,Доп.расчеты!$A249,'Как будет'!BR$45:BR$52)</f>
        <v>0</v>
      </c>
      <c r="BR249">
        <f>SUMIF('Как будет'!$A$45:$A$52,Доп.расчеты!$A249,'Как будет'!BS$45:BS$52)</f>
        <v>0</v>
      </c>
      <c r="BS249">
        <f>SUMIF('Как будет'!$A$45:$A$52,Доп.расчеты!$A249,'Как будет'!BT$45:BT$52)</f>
        <v>0</v>
      </c>
      <c r="BT249">
        <f>SUMIF('Как будет'!$A$45:$A$52,Доп.расчеты!$A249,'Как будет'!BU$45:BU$52)</f>
        <v>0</v>
      </c>
      <c r="BU249">
        <f>SUMIF('Как будет'!$A$45:$A$52,Доп.расчеты!$A249,'Как будет'!BV$45:BV$52)</f>
        <v>0</v>
      </c>
      <c r="BV249">
        <f>SUMIF('Как будет'!$A$45:$A$52,Доп.расчеты!$A249,'Как будет'!BW$45:BW$52)</f>
        <v>0</v>
      </c>
      <c r="BW249">
        <f>SUMIF('Как будет'!$A$45:$A$52,Доп.расчеты!$A249,'Как будет'!BX$45:BX$52)</f>
        <v>0</v>
      </c>
      <c r="BX249">
        <f>SUMIF('Как будет'!$A$45:$A$52,Доп.расчеты!$A249,'Как будет'!BY$45:BY$52)</f>
        <v>0</v>
      </c>
      <c r="BY249">
        <f>SUMIF('Как будет'!$A$45:$A$52,Доп.расчеты!$A249,'Как будет'!BZ$45:BZ$52)</f>
        <v>0</v>
      </c>
      <c r="BZ249">
        <f>SUMIF('Как будет'!$A$45:$A$52,Доп.расчеты!$A249,'Как будет'!CA$45:CA$52)</f>
        <v>0</v>
      </c>
      <c r="CA249">
        <f>SUMIF('Как будет'!$A$45:$A$52,Доп.расчеты!$A249,'Как будет'!CB$45:CB$52)</f>
        <v>0</v>
      </c>
      <c r="CB249">
        <f>SUMIF('Как будет'!$A$45:$A$52,Доп.расчеты!$A249,'Как будет'!CC$45:CC$52)</f>
        <v>0</v>
      </c>
      <c r="CC249">
        <f>SUMIF('Как будет'!$A$45:$A$52,Доп.расчеты!$A249,'Как будет'!CD$45:CD$52)</f>
        <v>0</v>
      </c>
      <c r="CD249">
        <f>SUMIF('Как будет'!$A$45:$A$52,Доп.расчеты!$A249,'Как будет'!CE$45:CE$52)</f>
        <v>0</v>
      </c>
      <c r="CE249">
        <f>SUMIF('Как будет'!$A$45:$A$52,Доп.расчеты!$A249,'Как будет'!CF$45:CF$52)</f>
        <v>0</v>
      </c>
      <c r="CF249">
        <f>SUMIF('Как будет'!$A$45:$A$52,Доп.расчеты!$A249,'Как будет'!CG$45:CG$52)</f>
        <v>0</v>
      </c>
      <c r="CG249">
        <f>SUMIF('Как будет'!$A$45:$A$52,Доп.расчеты!$A249,'Как будет'!CH$45:CH$52)</f>
        <v>0</v>
      </c>
      <c r="CH249">
        <f>SUMIF('Как будет'!$A$45:$A$52,Доп.расчеты!$A249,'Как будет'!CI$45:CI$52)</f>
        <v>0</v>
      </c>
      <c r="CI249">
        <f>SUMIF('Как будет'!$A$45:$A$52,Доп.расчеты!$A249,'Как будет'!CJ$45:CJ$52)</f>
        <v>0</v>
      </c>
      <c r="CJ249">
        <f>SUMIF('Как будет'!$A$45:$A$52,Доп.расчеты!$A249,'Как будет'!CK$45:CK$52)</f>
        <v>0</v>
      </c>
      <c r="CK249">
        <f>SUMIF('Как будет'!$A$45:$A$52,Доп.расчеты!$A249,'Как будет'!CL$45:CL$52)</f>
        <v>0</v>
      </c>
      <c r="CL249">
        <f>SUMIF('Как будет'!$A$45:$A$52,Доп.расчеты!$A249,'Как будет'!CM$45:CM$52)</f>
        <v>0</v>
      </c>
      <c r="CM249">
        <f>SUMIF('Как будет'!$A$45:$A$52,Доп.расчеты!$A249,'Как будет'!CN$45:CN$52)</f>
        <v>0</v>
      </c>
      <c r="CN249">
        <f>SUMIF('Как будет'!$A$45:$A$52,Доп.расчеты!$A249,'Как будет'!CO$45:CO$52)</f>
        <v>0</v>
      </c>
      <c r="CO249">
        <f>SUMIF('Как будет'!$A$45:$A$52,Доп.расчеты!$A249,'Как будет'!CP$45:CP$52)</f>
        <v>0</v>
      </c>
      <c r="CP249">
        <f>SUMIF('Как будет'!$A$45:$A$52,Доп.расчеты!$A249,'Как будет'!CQ$45:CQ$52)</f>
        <v>0</v>
      </c>
      <c r="CQ249">
        <f>SUMIF('Как будет'!$A$45:$A$52,Доп.расчеты!$A249,'Как будет'!CR$45:CR$52)</f>
        <v>0</v>
      </c>
      <c r="CR249">
        <f>SUMIF('Как будет'!$A$45:$A$52,Доп.расчеты!$A249,'Как будет'!CS$45:CS$52)</f>
        <v>0</v>
      </c>
      <c r="CS249">
        <f>SUMIF('Как будет'!$A$45:$A$52,Доп.расчеты!$A249,'Как будет'!CT$45:CT$52)</f>
        <v>0</v>
      </c>
      <c r="CT249">
        <f>SUMIF('Как будет'!$A$45:$A$52,Доп.расчеты!$A249,'Как будет'!CU$45:CU$52)</f>
        <v>0</v>
      </c>
      <c r="CU249">
        <f>SUMIF('Как будет'!$A$45:$A$52,Доп.расчеты!$A249,'Как будет'!CV$45:CV$52)</f>
        <v>0</v>
      </c>
      <c r="CV249">
        <f>SUMIF('Как будет'!$A$45:$A$52,Доп.расчеты!$A249,'Как будет'!CW$45:CW$52)</f>
        <v>0</v>
      </c>
      <c r="CW249">
        <f>SUMIF('Как будет'!$A$45:$A$52,Доп.расчеты!$A249,'Как будет'!CX$45:CX$52)</f>
        <v>0</v>
      </c>
      <c r="CX249">
        <f>SUMIF('Как будет'!$A$45:$A$52,Доп.расчеты!$A249,'Как будет'!CY$45:CY$52)</f>
        <v>0</v>
      </c>
      <c r="CY249">
        <f>SUMIF('Как будет'!$A$45:$A$52,Доп.расчеты!$A249,'Как будет'!CZ$45:CZ$52)</f>
        <v>0</v>
      </c>
      <c r="CZ249">
        <f>SUMIF('Как будет'!$A$45:$A$52,Доп.расчеты!$A249,'Как будет'!DA$45:DA$52)</f>
        <v>0</v>
      </c>
      <c r="DA249">
        <f>SUMIF('Как будет'!$A$45:$A$52,Доп.расчеты!$A249,'Как будет'!DB$45:DB$52)</f>
        <v>0</v>
      </c>
      <c r="DB249">
        <f>SUMIF('Как будет'!$A$45:$A$52,Доп.расчеты!$A249,'Как будет'!DC$45:DC$52)</f>
        <v>0</v>
      </c>
      <c r="DC249">
        <f>SUMIF('Как будет'!$A$45:$A$52,Доп.расчеты!$A249,'Как будет'!DD$45:DD$52)</f>
        <v>0</v>
      </c>
      <c r="DD249">
        <f>SUMIF('Как будет'!$A$45:$A$52,Доп.расчеты!$A249,'Как будет'!DE$45:DE$52)</f>
        <v>0</v>
      </c>
      <c r="DE249">
        <f>SUMIF('Как будет'!$A$45:$A$52,Доп.расчеты!$A249,'Как будет'!DF$45:DF$52)</f>
        <v>0</v>
      </c>
      <c r="DF249">
        <f>SUMIF('Как будет'!$A$45:$A$52,Доп.расчеты!$A249,'Как будет'!DG$45:DG$52)</f>
        <v>0</v>
      </c>
      <c r="DG249">
        <f>SUMIF('Как будет'!$A$45:$A$52,Доп.расчеты!$A249,'Как будет'!DH$45:DH$52)</f>
        <v>0</v>
      </c>
      <c r="DH249">
        <f>SUMIF('Как будет'!$A$45:$A$52,Доп.расчеты!$A249,'Как будет'!DI$45:DI$52)</f>
        <v>0</v>
      </c>
      <c r="DI249">
        <f>SUMIF('Как будет'!$A$45:$A$52,Доп.расчеты!$A249,'Как будет'!DJ$45:DJ$52)</f>
        <v>0</v>
      </c>
      <c r="DJ249">
        <f>SUMIF('Как будет'!$A$45:$A$52,Доп.расчеты!$A249,'Как будет'!DK$45:DK$52)</f>
        <v>0</v>
      </c>
      <c r="DK249">
        <f>SUMIF('Как будет'!$A$45:$A$52,Доп.расчеты!$A249,'Как будет'!DL$45:DL$52)</f>
        <v>0</v>
      </c>
      <c r="DL249">
        <f>SUMIF('Как будет'!$A$45:$A$52,Доп.расчеты!$A249,'Как будет'!DM$45:DM$52)</f>
        <v>0</v>
      </c>
      <c r="DM249">
        <f>SUMIF('Как будет'!$A$45:$A$52,Доп.расчеты!$A249,'Как будет'!DN$45:DN$52)</f>
        <v>0</v>
      </c>
      <c r="DN249">
        <f>SUMIF('Как будет'!$A$45:$A$52,Доп.расчеты!$A249,'Как будет'!DO$45:DO$52)</f>
        <v>0</v>
      </c>
      <c r="DO249">
        <f>SUMIF('Как будет'!$A$45:$A$52,Доп.расчеты!$A249,'Как будет'!DP$45:DP$52)</f>
        <v>0</v>
      </c>
      <c r="DP249">
        <f>SUMIF('Как будет'!$A$45:$A$52,Доп.расчеты!$A249,'Как будет'!DQ$45:DQ$52)</f>
        <v>0</v>
      </c>
      <c r="DQ249">
        <f>SUMIF('Как будет'!$A$45:$A$52,Доп.расчеты!$A249,'Как будет'!DR$45:DR$52)</f>
        <v>0</v>
      </c>
      <c r="DR249">
        <f>SUMIF('Как будет'!$A$45:$A$52,Доп.расчеты!$A249,'Как будет'!DS$45:DS$52)</f>
        <v>0</v>
      </c>
      <c r="DS249">
        <f>SUMIF('Как будет'!$A$45:$A$52,Доп.расчеты!$A249,'Как будет'!DT$45:DT$52)</f>
        <v>0</v>
      </c>
      <c r="DT249">
        <f>SUMIF('Как будет'!$A$45:$A$52,Доп.расчеты!$A249,'Как будет'!DU$45:DU$52)</f>
        <v>0</v>
      </c>
      <c r="DU249">
        <f>SUMIF('Как будет'!$A$45:$A$52,Доп.расчеты!$A249,'Как будет'!DV$45:DV$52)</f>
        <v>0</v>
      </c>
      <c r="DV249">
        <f>SUMIF('Как будет'!$A$45:$A$52,Доп.расчеты!$A249,'Как будет'!DW$45:DW$52)</f>
        <v>0</v>
      </c>
      <c r="DW249">
        <f>SUMIF('Как будет'!$A$45:$A$52,Доп.расчеты!$A249,'Как будет'!DX$45:DX$52)</f>
        <v>0</v>
      </c>
      <c r="DX249">
        <f>SUMIF('Как будет'!$A$45:$A$52,Доп.расчеты!$A249,'Как будет'!DY$45:DY$52)</f>
        <v>0</v>
      </c>
      <c r="DY249">
        <f>SUMIF('Как будет'!$A$45:$A$52,Доп.расчеты!$A249,'Как будет'!DZ$45:DZ$52)</f>
        <v>0</v>
      </c>
      <c r="DZ249">
        <f>SUMIF('Как будет'!$A$45:$A$52,Доп.расчеты!$A249,'Как будет'!EA$45:EA$52)</f>
        <v>0</v>
      </c>
      <c r="EA249">
        <f>SUMIF('Как будет'!$A$45:$A$52,Доп.расчеты!$A249,'Как будет'!EB$45:EB$52)</f>
        <v>0</v>
      </c>
      <c r="EB249">
        <f>SUMIF('Как будет'!$A$45:$A$52,Доп.расчеты!$A249,'Как будет'!EC$45:EC$52)</f>
        <v>0</v>
      </c>
      <c r="EC249">
        <f>SUMIF('Как будет'!$A$45:$A$52,Доп.расчеты!$A249,'Как будет'!ED$45:ED$52)</f>
        <v>0</v>
      </c>
      <c r="ED249">
        <f>SUMIF('Как будет'!$A$45:$A$52,Доп.расчеты!$A249,'Как будет'!EE$45:EE$52)</f>
        <v>0</v>
      </c>
      <c r="EE249">
        <f>SUMIF('Как будет'!$A$45:$A$52,Доп.расчеты!$A249,'Как будет'!EF$45:EF$52)</f>
        <v>0</v>
      </c>
      <c r="EF249">
        <f>SUMIF('Как будет'!$A$45:$A$52,Доп.расчеты!$A249,'Как будет'!EG$45:EG$52)</f>
        <v>0</v>
      </c>
      <c r="EG249">
        <f>SUMIF('Как будет'!$A$45:$A$52,Доп.расчеты!$A249,'Как будет'!EH$45:EH$52)</f>
        <v>0</v>
      </c>
      <c r="EH249">
        <f>SUMIF('Как будет'!$A$45:$A$52,Доп.расчеты!$A249,'Как будет'!EI$45:EI$52)</f>
        <v>0</v>
      </c>
      <c r="EI249">
        <f>SUMIF('Как будет'!$A$45:$A$52,Доп.расчеты!$A249,'Как будет'!EJ$45:EJ$52)</f>
        <v>0</v>
      </c>
      <c r="EJ249">
        <f>SUMIF('Как будет'!$A$45:$A$52,Доп.расчеты!$A249,'Как будет'!EK$45:EK$52)</f>
        <v>0</v>
      </c>
      <c r="EK249">
        <f>SUMIF('Как будет'!$A$45:$A$52,Доп.расчеты!$A249,'Как будет'!EL$45:EL$52)</f>
        <v>0</v>
      </c>
      <c r="EL249">
        <f>SUMIF('Как будет'!$A$45:$A$52,Доп.расчеты!$A249,'Как будет'!EM$45:EM$52)</f>
        <v>0</v>
      </c>
      <c r="EM249">
        <f>SUMIF('Как будет'!$A$45:$A$52,Доп.расчеты!$A249,'Как будет'!EN$45:EN$52)</f>
        <v>0</v>
      </c>
      <c r="EN249">
        <f>SUMIF('Как будет'!$A$45:$A$52,Доп.расчеты!$A249,'Как будет'!EO$45:EO$52)</f>
        <v>0</v>
      </c>
      <c r="EO249">
        <f>SUMIF('Как будет'!$A$45:$A$52,Доп.расчеты!$A249,'Как будет'!EP$45:EP$52)</f>
        <v>0</v>
      </c>
      <c r="EP249">
        <f>SUMIF('Как будет'!$A$45:$A$52,Доп.расчеты!$A249,'Как будет'!EQ$45:EQ$52)</f>
        <v>0</v>
      </c>
      <c r="EQ249">
        <f>SUMIF('Как будет'!$A$45:$A$52,Доп.расчеты!$A249,'Как будет'!ER$45:ER$52)</f>
        <v>0</v>
      </c>
      <c r="ER249">
        <f>SUMIF('Как будет'!$A$45:$A$52,Доп.расчеты!$A249,'Как будет'!ES$45:ES$52)</f>
        <v>0</v>
      </c>
      <c r="ES249">
        <f>SUMIF('Как будет'!$A$45:$A$52,Доп.расчеты!$A249,'Как будет'!ET$45:ET$52)</f>
        <v>0</v>
      </c>
      <c r="ET249">
        <f>SUMIF('Как будет'!$A$45:$A$52,Доп.расчеты!$A249,'Как будет'!EU$45:EU$52)</f>
        <v>0</v>
      </c>
      <c r="EU249">
        <f>SUMIF('Как будет'!$A$45:$A$52,Доп.расчеты!$A249,'Как будет'!EV$45:EV$52)</f>
        <v>0</v>
      </c>
      <c r="EV249">
        <f>SUMIF('Как будет'!$A$45:$A$52,Доп.расчеты!$A249,'Как будет'!EW$45:EW$52)</f>
        <v>0</v>
      </c>
      <c r="EW249">
        <f>SUMIF('Как будет'!$A$45:$A$52,Доп.расчеты!$A249,'Как будет'!EX$45:EX$52)</f>
        <v>0</v>
      </c>
      <c r="EX249">
        <f>SUMIF('Как будет'!$A$45:$A$52,Доп.расчеты!$A249,'Как будет'!EY$45:EY$52)</f>
        <v>0</v>
      </c>
      <c r="EY249">
        <f>SUMIF('Как будет'!$A$45:$A$52,Доп.расчеты!$A249,'Как будет'!EZ$45:EZ$52)</f>
        <v>0</v>
      </c>
      <c r="EZ249">
        <f>SUMIF('Как будет'!$A$45:$A$52,Доп.расчеты!$A249,'Как будет'!FA$45:FA$52)</f>
        <v>0</v>
      </c>
      <c r="FA249">
        <f>SUMIF('Как будет'!$A$45:$A$52,Доп.расчеты!$A249,'Как будет'!FB$45:FB$52)</f>
        <v>0</v>
      </c>
      <c r="FB249">
        <f>SUMIF('Как будет'!$A$45:$A$52,Доп.расчеты!$A249,'Как будет'!FC$45:FC$52)</f>
        <v>0</v>
      </c>
      <c r="FC249">
        <f>SUMIF('Как будет'!$A$45:$A$52,Доп.расчеты!$A249,'Как будет'!FD$45:FD$52)</f>
        <v>0</v>
      </c>
      <c r="FD249">
        <f>SUMIF('Как будет'!$A$45:$A$52,Доп.расчеты!$A249,'Как будет'!FE$45:FE$52)</f>
        <v>0</v>
      </c>
      <c r="FE249">
        <f>SUMIF('Как будет'!$A$45:$A$52,Доп.расчеты!$A249,'Как будет'!FF$45:FF$52)</f>
        <v>0</v>
      </c>
      <c r="FF249">
        <f>SUMIF('Как будет'!$A$45:$A$52,Доп.расчеты!$A249,'Как будет'!FG$45:FG$52)</f>
        <v>0</v>
      </c>
      <c r="FG249">
        <f>SUMIF('Как будет'!$A$45:$A$52,Доп.расчеты!$A249,'Как будет'!FH$45:FH$52)</f>
        <v>0</v>
      </c>
      <c r="FH249">
        <f>SUMIF('Как будет'!$A$45:$A$52,Доп.расчеты!$A249,'Как будет'!FI$45:FI$52)</f>
        <v>0</v>
      </c>
      <c r="FI249">
        <f>SUMIF('Как будет'!$A$45:$A$52,Доп.расчеты!$A249,'Как будет'!FJ$45:FJ$52)</f>
        <v>0</v>
      </c>
      <c r="FJ249">
        <f>SUMIF('Как будет'!$A$45:$A$52,Доп.расчеты!$A249,'Как будет'!FK$45:FK$52)</f>
        <v>0</v>
      </c>
      <c r="FK249">
        <f>SUMIF('Как будет'!$A$45:$A$52,Доп.расчеты!$A249,'Как будет'!FL$45:FL$52)</f>
        <v>0</v>
      </c>
      <c r="FL249">
        <f>SUMIF('Как будет'!$A$45:$A$52,Доп.расчеты!$A249,'Как будет'!FM$45:FM$52)</f>
        <v>0</v>
      </c>
      <c r="FM249">
        <f>SUMIF('Как будет'!$A$45:$A$52,Доп.расчеты!$A249,'Как будет'!FN$45:FN$52)</f>
        <v>0</v>
      </c>
      <c r="FN249">
        <f>SUMIF('Как будет'!$A$45:$A$52,Доп.расчеты!$A249,'Как будет'!FO$45:FO$52)</f>
        <v>0</v>
      </c>
      <c r="FO249">
        <f>SUMIF('Как будет'!$A$45:$A$52,Доп.расчеты!$A249,'Как будет'!FP$45:FP$52)</f>
        <v>0</v>
      </c>
      <c r="FP249">
        <f>SUMIF('Как будет'!$A$45:$A$52,Доп.расчеты!$A249,'Как будет'!FQ$45:FQ$52)</f>
        <v>0</v>
      </c>
      <c r="FQ249">
        <f>SUMIF('Как будет'!$A$45:$A$52,Доп.расчеты!$A249,'Как будет'!FR$45:FR$52)</f>
        <v>0</v>
      </c>
      <c r="FR249">
        <f>SUMIF('Как будет'!$A$45:$A$52,Доп.расчеты!$A249,'Как будет'!FS$45:FS$52)</f>
        <v>0</v>
      </c>
      <c r="FS249">
        <f>SUMIF('Как будет'!$A$45:$A$52,Доп.расчеты!$A249,'Как будет'!FT$45:FT$52)</f>
        <v>0</v>
      </c>
      <c r="FT249">
        <f>SUMIF('Как будет'!$A$45:$A$52,Доп.расчеты!$A249,'Как будет'!FU$45:FU$52)</f>
        <v>0</v>
      </c>
      <c r="FU249">
        <f>SUMIF('Как будет'!$A$45:$A$52,Доп.расчеты!$A249,'Как будет'!FV$45:FV$52)</f>
        <v>0</v>
      </c>
      <c r="FV249">
        <f>SUMIF('Как будет'!$A$45:$A$52,Доп.расчеты!$A249,'Как будет'!FW$45:FW$52)</f>
        <v>0</v>
      </c>
      <c r="FW249">
        <f>SUMIF('Как будет'!$A$45:$A$52,Доп.расчеты!$A249,'Как будет'!FX$45:FX$52)</f>
        <v>0</v>
      </c>
      <c r="FX249">
        <f>SUMIF('Как будет'!$A$45:$A$52,Доп.расчеты!$A249,'Как будет'!FY$45:FY$52)</f>
        <v>0</v>
      </c>
      <c r="FY249">
        <f>SUMIF('Как будет'!$A$45:$A$52,Доп.расчеты!$A249,'Как будет'!FZ$45:FZ$52)</f>
        <v>0</v>
      </c>
      <c r="FZ249">
        <f>SUMIF('Как будет'!$A$45:$A$52,Доп.расчеты!$A249,'Как будет'!GA$45:GA$52)</f>
        <v>0</v>
      </c>
      <c r="GA249">
        <f>SUMIF('Как будет'!$A$45:$A$52,Доп.расчеты!$A249,'Как будет'!GB$45:GB$52)</f>
        <v>0</v>
      </c>
      <c r="GB249">
        <f>SUMIF('Как будет'!$A$45:$A$52,Доп.расчеты!$A249,'Как будет'!GC$45:GC$52)</f>
        <v>0</v>
      </c>
      <c r="GC249">
        <f>SUMIF('Как будет'!$A$45:$A$52,Доп.расчеты!$A249,'Как будет'!GD$45:GD$52)</f>
        <v>0</v>
      </c>
      <c r="GD249">
        <f>SUMIF('Как будет'!$A$45:$A$52,Доп.расчеты!$A249,'Как будет'!GE$45:GE$52)</f>
        <v>0</v>
      </c>
      <c r="GE249">
        <f>SUMIF('Как будет'!$A$45:$A$52,Доп.расчеты!$A249,'Как будет'!GF$45:GF$52)</f>
        <v>0</v>
      </c>
      <c r="GF249">
        <f>SUMIF('Как будет'!$A$45:$A$52,Доп.расчеты!$A249,'Как будет'!GG$45:GG$52)</f>
        <v>0</v>
      </c>
      <c r="GG249">
        <f>SUMIF('Как будет'!$A$45:$A$52,Доп.расчеты!$A249,'Как будет'!GH$45:GH$52)</f>
        <v>0</v>
      </c>
      <c r="GH249">
        <f>SUMIF('Как будет'!$A$45:$A$52,Доп.расчеты!$A249,'Как будет'!GI$45:GI$52)</f>
        <v>0</v>
      </c>
      <c r="GI249">
        <f>SUMIF('Как будет'!$A$45:$A$52,Доп.расчеты!$A249,'Как будет'!GJ$45:GJ$52)</f>
        <v>0</v>
      </c>
      <c r="GJ249">
        <f>SUMIF('Как будет'!$A$45:$A$52,Доп.расчеты!$A249,'Как будет'!GK$45:GK$52)</f>
        <v>0</v>
      </c>
      <c r="GK249">
        <f>SUMIF('Как будет'!$A$45:$A$52,Доп.расчеты!$A249,'Как будет'!GL$45:GL$52)</f>
        <v>0</v>
      </c>
      <c r="GL249">
        <f>SUMIF('Как будет'!$A$45:$A$52,Доп.расчеты!$A249,'Как будет'!GM$45:GM$52)</f>
        <v>0</v>
      </c>
      <c r="GM249">
        <f>SUMIF('Как будет'!$A$45:$A$52,Доп.расчеты!$A249,'Как будет'!GN$45:GN$52)</f>
        <v>0</v>
      </c>
      <c r="GN249">
        <f>SUMIF('Как будет'!$A$45:$A$52,Доп.расчеты!$A249,'Как будет'!GO$45:GO$52)</f>
        <v>0</v>
      </c>
      <c r="GO249">
        <f>SUMIF('Как будет'!$A$45:$A$52,Доп.расчеты!$A249,'Как будет'!GP$45:GP$52)</f>
        <v>0</v>
      </c>
      <c r="GP249">
        <f>SUMIF('Как будет'!$A$45:$A$52,Доп.расчеты!$A249,'Как будет'!GQ$45:GQ$52)</f>
        <v>0</v>
      </c>
      <c r="GQ249">
        <f>SUMIF('Как будет'!$A$45:$A$52,Доп.расчеты!$A249,'Как будет'!GR$45:GR$52)</f>
        <v>0</v>
      </c>
      <c r="GR249">
        <f>SUMIF('Как будет'!$A$45:$A$52,Доп.расчеты!$A249,'Как будет'!GS$45:GS$52)</f>
        <v>0</v>
      </c>
      <c r="GS249">
        <f>SUMIF('Как будет'!$A$45:$A$52,Доп.расчеты!$A249,'Как будет'!GT$45:GT$52)</f>
        <v>0</v>
      </c>
      <c r="GT249">
        <f>SUMIF('Как будет'!$A$45:$A$52,Доп.расчеты!$A249,'Как будет'!GU$45:GU$52)</f>
        <v>0</v>
      </c>
    </row>
    <row r="250" spans="1:202">
      <c r="A250" s="238" t="s">
        <v>99</v>
      </c>
      <c r="B250">
        <f>SUMIF('Как будет'!$A$45:$A$52,Доп.расчеты!$A250,'Как будет'!C$45:C$52)</f>
        <v>0</v>
      </c>
      <c r="C250">
        <f>SUMIF('Как будет'!$A$45:$A$52,Доп.расчеты!$A250,'Как будет'!D$45:D$52)</f>
        <v>0</v>
      </c>
      <c r="D250">
        <f>SUMIF('Как будет'!$A$45:$A$52,Доп.расчеты!$A250,'Как будет'!E$45:E$52)</f>
        <v>0</v>
      </c>
      <c r="E250">
        <f>SUMIF('Как будет'!$A$45:$A$52,Доп.расчеты!$A250,'Как будет'!F$45:F$52)</f>
        <v>0</v>
      </c>
      <c r="F250">
        <f>SUMIF('Как будет'!$A$45:$A$52,Доп.расчеты!$A250,'Как будет'!G$45:G$52)</f>
        <v>0</v>
      </c>
      <c r="G250">
        <f>SUMIF('Как будет'!$A$45:$A$52,Доп.расчеты!$A250,'Как будет'!H$45:H$52)</f>
        <v>0</v>
      </c>
      <c r="H250">
        <f>SUMIF('Как будет'!$A$45:$A$52,Доп.расчеты!$A250,'Как будет'!I$45:I$52)</f>
        <v>0</v>
      </c>
      <c r="I250">
        <f>SUMIF('Как будет'!$A$45:$A$52,Доп.расчеты!$A250,'Как будет'!J$45:J$52)</f>
        <v>0</v>
      </c>
      <c r="J250">
        <f>SUMIF('Как будет'!$A$45:$A$52,Доп.расчеты!$A250,'Как будет'!K$45:K$52)</f>
        <v>0</v>
      </c>
      <c r="K250">
        <f>SUMIF('Как будет'!$A$45:$A$52,Доп.расчеты!$A250,'Как будет'!L$45:L$52)</f>
        <v>0</v>
      </c>
      <c r="L250">
        <f>SUMIF('Как будет'!$A$45:$A$52,Доп.расчеты!$A250,'Как будет'!M$45:M$52)</f>
        <v>0</v>
      </c>
      <c r="M250">
        <f>SUMIF('Как будет'!$A$45:$A$52,Доп.расчеты!$A250,'Как будет'!N$45:N$52)</f>
        <v>0</v>
      </c>
      <c r="N250">
        <f>SUMIF('Как будет'!$A$45:$A$52,Доп.расчеты!$A250,'Как будет'!O$45:O$52)</f>
        <v>0</v>
      </c>
      <c r="O250">
        <f>SUMIF('Как будет'!$A$45:$A$52,Доп.расчеты!$A250,'Как будет'!P$45:P$52)</f>
        <v>0</v>
      </c>
      <c r="P250">
        <f>SUMIF('Как будет'!$A$45:$A$52,Доп.расчеты!$A250,'Как будет'!Q$45:Q$52)</f>
        <v>0</v>
      </c>
      <c r="Q250">
        <f>SUMIF('Как будет'!$A$45:$A$52,Доп.расчеты!$A250,'Как будет'!R$45:R$52)</f>
        <v>0</v>
      </c>
      <c r="R250">
        <f>SUMIF('Как будет'!$A$45:$A$52,Доп.расчеты!$A250,'Как будет'!S$45:S$52)</f>
        <v>0</v>
      </c>
      <c r="S250">
        <f>SUMIF('Как будет'!$A$45:$A$52,Доп.расчеты!$A250,'Как будет'!T$45:T$52)</f>
        <v>0</v>
      </c>
      <c r="T250">
        <f>SUMIF('Как будет'!$A$45:$A$52,Доп.расчеты!$A250,'Как будет'!U$45:U$52)</f>
        <v>0</v>
      </c>
      <c r="U250">
        <f>SUMIF('Как будет'!$A$45:$A$52,Доп.расчеты!$A250,'Как будет'!V$45:V$52)</f>
        <v>0</v>
      </c>
      <c r="V250">
        <f>SUMIF('Как будет'!$A$45:$A$52,Доп.расчеты!$A250,'Как будет'!W$45:W$52)</f>
        <v>0</v>
      </c>
      <c r="W250">
        <f>SUMIF('Как будет'!$A$45:$A$52,Доп.расчеты!$A250,'Как будет'!X$45:X$52)</f>
        <v>0</v>
      </c>
      <c r="X250">
        <f>SUMIF('Как будет'!$A$45:$A$52,Доп.расчеты!$A250,'Как будет'!Y$45:Y$52)</f>
        <v>0</v>
      </c>
      <c r="Y250">
        <f>SUMIF('Как будет'!$A$45:$A$52,Доп.расчеты!$A250,'Как будет'!Z$45:Z$52)</f>
        <v>0</v>
      </c>
      <c r="Z250">
        <f>SUMIF('Как будет'!$A$45:$A$52,Доп.расчеты!$A250,'Как будет'!AA$45:AA$52)</f>
        <v>0</v>
      </c>
      <c r="AA250">
        <f>SUMIF('Как будет'!$A$45:$A$52,Доп.расчеты!$A250,'Как будет'!AB$45:AB$52)</f>
        <v>0</v>
      </c>
      <c r="AB250">
        <f>SUMIF('Как будет'!$A$45:$A$52,Доп.расчеты!$A250,'Как будет'!AC$45:AC$52)</f>
        <v>0</v>
      </c>
      <c r="AC250">
        <f>SUMIF('Как будет'!$A$45:$A$52,Доп.расчеты!$A250,'Как будет'!AD$45:AD$52)</f>
        <v>0</v>
      </c>
      <c r="AD250">
        <f>SUMIF('Как будет'!$A$45:$A$52,Доп.расчеты!$A250,'Как будет'!AE$45:AE$52)</f>
        <v>0</v>
      </c>
      <c r="AE250">
        <f>SUMIF('Как будет'!$A$45:$A$52,Доп.расчеты!$A250,'Как будет'!AF$45:AF$52)</f>
        <v>0</v>
      </c>
      <c r="AF250">
        <f>SUMIF('Как будет'!$A$45:$A$52,Доп.расчеты!$A250,'Как будет'!AG$45:AG$52)</f>
        <v>0</v>
      </c>
      <c r="AG250">
        <f>SUMIF('Как будет'!$A$45:$A$52,Доп.расчеты!$A250,'Как будет'!AH$45:AH$52)</f>
        <v>0</v>
      </c>
      <c r="AH250">
        <f>SUMIF('Как будет'!$A$45:$A$52,Доп.расчеты!$A250,'Как будет'!AI$45:AI$52)</f>
        <v>0</v>
      </c>
      <c r="AI250">
        <f>SUMIF('Как будет'!$A$45:$A$52,Доп.расчеты!$A250,'Как будет'!AJ$45:AJ$52)</f>
        <v>0</v>
      </c>
      <c r="AJ250">
        <f>SUMIF('Как будет'!$A$45:$A$52,Доп.расчеты!$A250,'Как будет'!AK$45:AK$52)</f>
        <v>0</v>
      </c>
      <c r="AK250">
        <f>SUMIF('Как будет'!$A$45:$A$52,Доп.расчеты!$A250,'Как будет'!AL$45:AL$52)</f>
        <v>0</v>
      </c>
      <c r="AL250">
        <f>SUMIF('Как будет'!$A$45:$A$52,Доп.расчеты!$A250,'Как будет'!AM$45:AM$52)</f>
        <v>0</v>
      </c>
      <c r="AM250">
        <f>SUMIF('Как будет'!$A$45:$A$52,Доп.расчеты!$A250,'Как будет'!AN$45:AN$52)</f>
        <v>0</v>
      </c>
      <c r="AN250">
        <f>SUMIF('Как будет'!$A$45:$A$52,Доп.расчеты!$A250,'Как будет'!AO$45:AO$52)</f>
        <v>0</v>
      </c>
      <c r="AO250">
        <f>SUMIF('Как будет'!$A$45:$A$52,Доп.расчеты!$A250,'Как будет'!AP$45:AP$52)</f>
        <v>0</v>
      </c>
      <c r="AP250">
        <f>SUMIF('Как будет'!$A$45:$A$52,Доп.расчеты!$A250,'Как будет'!AQ$45:AQ$52)</f>
        <v>0</v>
      </c>
      <c r="AQ250">
        <f>SUMIF('Как будет'!$A$45:$A$52,Доп.расчеты!$A250,'Как будет'!AR$45:AR$52)</f>
        <v>0</v>
      </c>
      <c r="AR250">
        <f>SUMIF('Как будет'!$A$45:$A$52,Доп.расчеты!$A250,'Как будет'!AS$45:AS$52)</f>
        <v>0</v>
      </c>
      <c r="AS250">
        <f>SUMIF('Как будет'!$A$45:$A$52,Доп.расчеты!$A250,'Как будет'!AT$45:AT$52)</f>
        <v>0</v>
      </c>
      <c r="AT250">
        <f>SUMIF('Как будет'!$A$45:$A$52,Доп.расчеты!$A250,'Как будет'!AU$45:AU$52)</f>
        <v>0</v>
      </c>
      <c r="AU250">
        <f>SUMIF('Как будет'!$A$45:$A$52,Доп.расчеты!$A250,'Как будет'!AV$45:AV$52)</f>
        <v>0</v>
      </c>
      <c r="AV250">
        <f>SUMIF('Как будет'!$A$45:$A$52,Доп.расчеты!$A250,'Как будет'!AW$45:AW$52)</f>
        <v>0</v>
      </c>
      <c r="AW250">
        <f>SUMIF('Как будет'!$A$45:$A$52,Доп.расчеты!$A250,'Как будет'!AX$45:AX$52)</f>
        <v>0</v>
      </c>
      <c r="AX250">
        <f>SUMIF('Как будет'!$A$45:$A$52,Доп.расчеты!$A250,'Как будет'!AY$45:AY$52)</f>
        <v>0</v>
      </c>
      <c r="AY250">
        <f>SUMIF('Как будет'!$A$45:$A$52,Доп.расчеты!$A250,'Как будет'!AZ$45:AZ$52)</f>
        <v>0</v>
      </c>
      <c r="AZ250">
        <f>SUMIF('Как будет'!$A$45:$A$52,Доп.расчеты!$A250,'Как будет'!BA$45:BA$52)</f>
        <v>0</v>
      </c>
      <c r="BA250">
        <f>SUMIF('Как будет'!$A$45:$A$52,Доп.расчеты!$A250,'Как будет'!BB$45:BB$52)</f>
        <v>0</v>
      </c>
      <c r="BB250">
        <f>SUMIF('Как будет'!$A$45:$A$52,Доп.расчеты!$A250,'Как будет'!BC$45:BC$52)</f>
        <v>0</v>
      </c>
      <c r="BC250">
        <f>SUMIF('Как будет'!$A$45:$A$52,Доп.расчеты!$A250,'Как будет'!BD$45:BD$52)</f>
        <v>0</v>
      </c>
      <c r="BD250">
        <f>SUMIF('Как будет'!$A$45:$A$52,Доп.расчеты!$A250,'Как будет'!BE$45:BE$52)</f>
        <v>0</v>
      </c>
      <c r="BE250">
        <f>SUMIF('Как будет'!$A$45:$A$52,Доп.расчеты!$A250,'Как будет'!BF$45:BF$52)</f>
        <v>0</v>
      </c>
      <c r="BF250">
        <f>SUMIF('Как будет'!$A$45:$A$52,Доп.расчеты!$A250,'Как будет'!BG$45:BG$52)</f>
        <v>0</v>
      </c>
      <c r="BG250">
        <f>SUMIF('Как будет'!$A$45:$A$52,Доп.расчеты!$A250,'Как будет'!BH$45:BH$52)</f>
        <v>0</v>
      </c>
      <c r="BH250">
        <f>SUMIF('Как будет'!$A$45:$A$52,Доп.расчеты!$A250,'Как будет'!BI$45:BI$52)</f>
        <v>0</v>
      </c>
      <c r="BI250">
        <f>SUMIF('Как будет'!$A$45:$A$52,Доп.расчеты!$A250,'Как будет'!BJ$45:BJ$52)</f>
        <v>0</v>
      </c>
      <c r="BJ250">
        <f>SUMIF('Как будет'!$A$45:$A$52,Доп.расчеты!$A250,'Как будет'!BK$45:BK$52)</f>
        <v>0</v>
      </c>
      <c r="BK250">
        <f>SUMIF('Как будет'!$A$45:$A$52,Доп.расчеты!$A250,'Как будет'!BL$45:BL$52)</f>
        <v>0</v>
      </c>
      <c r="BL250">
        <f>SUMIF('Как будет'!$A$45:$A$52,Доп.расчеты!$A250,'Как будет'!BM$45:BM$52)</f>
        <v>0</v>
      </c>
      <c r="BM250">
        <f>SUMIF('Как будет'!$A$45:$A$52,Доп.расчеты!$A250,'Как будет'!BN$45:BN$52)</f>
        <v>0</v>
      </c>
      <c r="BN250">
        <f>SUMIF('Как будет'!$A$45:$A$52,Доп.расчеты!$A250,'Как будет'!BO$45:BO$52)</f>
        <v>0</v>
      </c>
      <c r="BO250">
        <f>SUMIF('Как будет'!$A$45:$A$52,Доп.расчеты!$A250,'Как будет'!BP$45:BP$52)</f>
        <v>0</v>
      </c>
      <c r="BP250">
        <f>SUMIF('Как будет'!$A$45:$A$52,Доп.расчеты!$A250,'Как будет'!BQ$45:BQ$52)</f>
        <v>0</v>
      </c>
      <c r="BQ250">
        <f>SUMIF('Как будет'!$A$45:$A$52,Доп.расчеты!$A250,'Как будет'!BR$45:BR$52)</f>
        <v>0</v>
      </c>
      <c r="BR250">
        <f>SUMIF('Как будет'!$A$45:$A$52,Доп.расчеты!$A250,'Как будет'!BS$45:BS$52)</f>
        <v>0</v>
      </c>
      <c r="BS250">
        <f>SUMIF('Как будет'!$A$45:$A$52,Доп.расчеты!$A250,'Как будет'!BT$45:BT$52)</f>
        <v>0</v>
      </c>
      <c r="BT250">
        <f>SUMIF('Как будет'!$A$45:$A$52,Доп.расчеты!$A250,'Как будет'!BU$45:BU$52)</f>
        <v>0</v>
      </c>
      <c r="BU250">
        <f>SUMIF('Как будет'!$A$45:$A$52,Доп.расчеты!$A250,'Как будет'!BV$45:BV$52)</f>
        <v>0</v>
      </c>
      <c r="BV250">
        <f>SUMIF('Как будет'!$A$45:$A$52,Доп.расчеты!$A250,'Как будет'!BW$45:BW$52)</f>
        <v>0</v>
      </c>
      <c r="BW250">
        <f>SUMIF('Как будет'!$A$45:$A$52,Доп.расчеты!$A250,'Как будет'!BX$45:BX$52)</f>
        <v>0</v>
      </c>
      <c r="BX250">
        <f>SUMIF('Как будет'!$A$45:$A$52,Доп.расчеты!$A250,'Как будет'!BY$45:BY$52)</f>
        <v>0</v>
      </c>
      <c r="BY250">
        <f>SUMIF('Как будет'!$A$45:$A$52,Доп.расчеты!$A250,'Как будет'!BZ$45:BZ$52)</f>
        <v>0</v>
      </c>
      <c r="BZ250">
        <f>SUMIF('Как будет'!$A$45:$A$52,Доп.расчеты!$A250,'Как будет'!CA$45:CA$52)</f>
        <v>0</v>
      </c>
      <c r="CA250">
        <f>SUMIF('Как будет'!$A$45:$A$52,Доп.расчеты!$A250,'Как будет'!CB$45:CB$52)</f>
        <v>0</v>
      </c>
      <c r="CB250">
        <f>SUMIF('Как будет'!$A$45:$A$52,Доп.расчеты!$A250,'Как будет'!CC$45:CC$52)</f>
        <v>0</v>
      </c>
      <c r="CC250">
        <f>SUMIF('Как будет'!$A$45:$A$52,Доп.расчеты!$A250,'Как будет'!CD$45:CD$52)</f>
        <v>0</v>
      </c>
      <c r="CD250">
        <f>SUMIF('Как будет'!$A$45:$A$52,Доп.расчеты!$A250,'Как будет'!CE$45:CE$52)</f>
        <v>0</v>
      </c>
      <c r="CE250">
        <f>SUMIF('Как будет'!$A$45:$A$52,Доп.расчеты!$A250,'Как будет'!CF$45:CF$52)</f>
        <v>0</v>
      </c>
      <c r="CF250">
        <f>SUMIF('Как будет'!$A$45:$A$52,Доп.расчеты!$A250,'Как будет'!CG$45:CG$52)</f>
        <v>0</v>
      </c>
      <c r="CG250">
        <f>SUMIF('Как будет'!$A$45:$A$52,Доп.расчеты!$A250,'Как будет'!CH$45:CH$52)</f>
        <v>0</v>
      </c>
      <c r="CH250">
        <f>SUMIF('Как будет'!$A$45:$A$52,Доп.расчеты!$A250,'Как будет'!CI$45:CI$52)</f>
        <v>0</v>
      </c>
      <c r="CI250">
        <f>SUMIF('Как будет'!$A$45:$A$52,Доп.расчеты!$A250,'Как будет'!CJ$45:CJ$52)</f>
        <v>0</v>
      </c>
      <c r="CJ250">
        <f>SUMIF('Как будет'!$A$45:$A$52,Доп.расчеты!$A250,'Как будет'!CK$45:CK$52)</f>
        <v>0</v>
      </c>
      <c r="CK250">
        <f>SUMIF('Как будет'!$A$45:$A$52,Доп.расчеты!$A250,'Как будет'!CL$45:CL$52)</f>
        <v>0</v>
      </c>
      <c r="CL250">
        <f>SUMIF('Как будет'!$A$45:$A$52,Доп.расчеты!$A250,'Как будет'!CM$45:CM$52)</f>
        <v>0</v>
      </c>
      <c r="CM250">
        <f>SUMIF('Как будет'!$A$45:$A$52,Доп.расчеты!$A250,'Как будет'!CN$45:CN$52)</f>
        <v>0</v>
      </c>
      <c r="CN250">
        <f>SUMIF('Как будет'!$A$45:$A$52,Доп.расчеты!$A250,'Как будет'!CO$45:CO$52)</f>
        <v>0</v>
      </c>
      <c r="CO250">
        <f>SUMIF('Как будет'!$A$45:$A$52,Доп.расчеты!$A250,'Как будет'!CP$45:CP$52)</f>
        <v>0</v>
      </c>
      <c r="CP250">
        <f>SUMIF('Как будет'!$A$45:$A$52,Доп.расчеты!$A250,'Как будет'!CQ$45:CQ$52)</f>
        <v>0</v>
      </c>
      <c r="CQ250">
        <f>SUMIF('Как будет'!$A$45:$A$52,Доп.расчеты!$A250,'Как будет'!CR$45:CR$52)</f>
        <v>0</v>
      </c>
      <c r="CR250">
        <f>SUMIF('Как будет'!$A$45:$A$52,Доп.расчеты!$A250,'Как будет'!CS$45:CS$52)</f>
        <v>0</v>
      </c>
      <c r="CS250">
        <f>SUMIF('Как будет'!$A$45:$A$52,Доп.расчеты!$A250,'Как будет'!CT$45:CT$52)</f>
        <v>0</v>
      </c>
      <c r="CT250">
        <f>SUMIF('Как будет'!$A$45:$A$52,Доп.расчеты!$A250,'Как будет'!CU$45:CU$52)</f>
        <v>0</v>
      </c>
      <c r="CU250">
        <f>SUMIF('Как будет'!$A$45:$A$52,Доп.расчеты!$A250,'Как будет'!CV$45:CV$52)</f>
        <v>0</v>
      </c>
      <c r="CV250">
        <f>SUMIF('Как будет'!$A$45:$A$52,Доп.расчеты!$A250,'Как будет'!CW$45:CW$52)</f>
        <v>0</v>
      </c>
      <c r="CW250">
        <f>SUMIF('Как будет'!$A$45:$A$52,Доп.расчеты!$A250,'Как будет'!CX$45:CX$52)</f>
        <v>0</v>
      </c>
      <c r="CX250">
        <f>SUMIF('Как будет'!$A$45:$A$52,Доп.расчеты!$A250,'Как будет'!CY$45:CY$52)</f>
        <v>0</v>
      </c>
      <c r="CY250">
        <f>SUMIF('Как будет'!$A$45:$A$52,Доп.расчеты!$A250,'Как будет'!CZ$45:CZ$52)</f>
        <v>0</v>
      </c>
      <c r="CZ250">
        <f>SUMIF('Как будет'!$A$45:$A$52,Доп.расчеты!$A250,'Как будет'!DA$45:DA$52)</f>
        <v>0</v>
      </c>
      <c r="DA250">
        <f>SUMIF('Как будет'!$A$45:$A$52,Доп.расчеты!$A250,'Как будет'!DB$45:DB$52)</f>
        <v>0</v>
      </c>
      <c r="DB250">
        <f>SUMIF('Как будет'!$A$45:$A$52,Доп.расчеты!$A250,'Как будет'!DC$45:DC$52)</f>
        <v>0</v>
      </c>
      <c r="DC250">
        <f>SUMIF('Как будет'!$A$45:$A$52,Доп.расчеты!$A250,'Как будет'!DD$45:DD$52)</f>
        <v>0</v>
      </c>
      <c r="DD250">
        <f>SUMIF('Как будет'!$A$45:$A$52,Доп.расчеты!$A250,'Как будет'!DE$45:DE$52)</f>
        <v>0</v>
      </c>
      <c r="DE250">
        <f>SUMIF('Как будет'!$A$45:$A$52,Доп.расчеты!$A250,'Как будет'!DF$45:DF$52)</f>
        <v>0</v>
      </c>
      <c r="DF250">
        <f>SUMIF('Как будет'!$A$45:$A$52,Доп.расчеты!$A250,'Как будет'!DG$45:DG$52)</f>
        <v>0</v>
      </c>
      <c r="DG250">
        <f>SUMIF('Как будет'!$A$45:$A$52,Доп.расчеты!$A250,'Как будет'!DH$45:DH$52)</f>
        <v>0</v>
      </c>
      <c r="DH250">
        <f>SUMIF('Как будет'!$A$45:$A$52,Доп.расчеты!$A250,'Как будет'!DI$45:DI$52)</f>
        <v>0</v>
      </c>
      <c r="DI250">
        <f>SUMIF('Как будет'!$A$45:$A$52,Доп.расчеты!$A250,'Как будет'!DJ$45:DJ$52)</f>
        <v>0</v>
      </c>
      <c r="DJ250">
        <f>SUMIF('Как будет'!$A$45:$A$52,Доп.расчеты!$A250,'Как будет'!DK$45:DK$52)</f>
        <v>0</v>
      </c>
      <c r="DK250">
        <f>SUMIF('Как будет'!$A$45:$A$52,Доп.расчеты!$A250,'Как будет'!DL$45:DL$52)</f>
        <v>0</v>
      </c>
      <c r="DL250">
        <f>SUMIF('Как будет'!$A$45:$A$52,Доп.расчеты!$A250,'Как будет'!DM$45:DM$52)</f>
        <v>0</v>
      </c>
      <c r="DM250">
        <f>SUMIF('Как будет'!$A$45:$A$52,Доп.расчеты!$A250,'Как будет'!DN$45:DN$52)</f>
        <v>0</v>
      </c>
      <c r="DN250">
        <f>SUMIF('Как будет'!$A$45:$A$52,Доп.расчеты!$A250,'Как будет'!DO$45:DO$52)</f>
        <v>0</v>
      </c>
      <c r="DO250">
        <f>SUMIF('Как будет'!$A$45:$A$52,Доп.расчеты!$A250,'Как будет'!DP$45:DP$52)</f>
        <v>0</v>
      </c>
      <c r="DP250">
        <f>SUMIF('Как будет'!$A$45:$A$52,Доп.расчеты!$A250,'Как будет'!DQ$45:DQ$52)</f>
        <v>0</v>
      </c>
      <c r="DQ250">
        <f>SUMIF('Как будет'!$A$45:$A$52,Доп.расчеты!$A250,'Как будет'!DR$45:DR$52)</f>
        <v>0</v>
      </c>
      <c r="DR250">
        <f>SUMIF('Как будет'!$A$45:$A$52,Доп.расчеты!$A250,'Как будет'!DS$45:DS$52)</f>
        <v>0</v>
      </c>
      <c r="DS250">
        <f>SUMIF('Как будет'!$A$45:$A$52,Доп.расчеты!$A250,'Как будет'!DT$45:DT$52)</f>
        <v>0</v>
      </c>
      <c r="DT250">
        <f>SUMIF('Как будет'!$A$45:$A$52,Доп.расчеты!$A250,'Как будет'!DU$45:DU$52)</f>
        <v>0</v>
      </c>
      <c r="DU250">
        <f>SUMIF('Как будет'!$A$45:$A$52,Доп.расчеты!$A250,'Как будет'!DV$45:DV$52)</f>
        <v>0</v>
      </c>
      <c r="DV250">
        <f>SUMIF('Как будет'!$A$45:$A$52,Доп.расчеты!$A250,'Как будет'!DW$45:DW$52)</f>
        <v>0</v>
      </c>
      <c r="DW250">
        <f>SUMIF('Как будет'!$A$45:$A$52,Доп.расчеты!$A250,'Как будет'!DX$45:DX$52)</f>
        <v>0</v>
      </c>
      <c r="DX250">
        <f>SUMIF('Как будет'!$A$45:$A$52,Доп.расчеты!$A250,'Как будет'!DY$45:DY$52)</f>
        <v>0</v>
      </c>
      <c r="DY250">
        <f>SUMIF('Как будет'!$A$45:$A$52,Доп.расчеты!$A250,'Как будет'!DZ$45:DZ$52)</f>
        <v>0</v>
      </c>
      <c r="DZ250">
        <f>SUMIF('Как будет'!$A$45:$A$52,Доп.расчеты!$A250,'Как будет'!EA$45:EA$52)</f>
        <v>0</v>
      </c>
      <c r="EA250">
        <f>SUMIF('Как будет'!$A$45:$A$52,Доп.расчеты!$A250,'Как будет'!EB$45:EB$52)</f>
        <v>0</v>
      </c>
      <c r="EB250">
        <f>SUMIF('Как будет'!$A$45:$A$52,Доп.расчеты!$A250,'Как будет'!EC$45:EC$52)</f>
        <v>0</v>
      </c>
      <c r="EC250">
        <f>SUMIF('Как будет'!$A$45:$A$52,Доп.расчеты!$A250,'Как будет'!ED$45:ED$52)</f>
        <v>0</v>
      </c>
      <c r="ED250">
        <f>SUMIF('Как будет'!$A$45:$A$52,Доп.расчеты!$A250,'Как будет'!EE$45:EE$52)</f>
        <v>0</v>
      </c>
      <c r="EE250">
        <f>SUMIF('Как будет'!$A$45:$A$52,Доп.расчеты!$A250,'Как будет'!EF$45:EF$52)</f>
        <v>0</v>
      </c>
      <c r="EF250">
        <f>SUMIF('Как будет'!$A$45:$A$52,Доп.расчеты!$A250,'Как будет'!EG$45:EG$52)</f>
        <v>0</v>
      </c>
      <c r="EG250">
        <f>SUMIF('Как будет'!$A$45:$A$52,Доп.расчеты!$A250,'Как будет'!EH$45:EH$52)</f>
        <v>0</v>
      </c>
      <c r="EH250">
        <f>SUMIF('Как будет'!$A$45:$A$52,Доп.расчеты!$A250,'Как будет'!EI$45:EI$52)</f>
        <v>0</v>
      </c>
      <c r="EI250">
        <f>SUMIF('Как будет'!$A$45:$A$52,Доп.расчеты!$A250,'Как будет'!EJ$45:EJ$52)</f>
        <v>0</v>
      </c>
      <c r="EJ250">
        <f>SUMIF('Как будет'!$A$45:$A$52,Доп.расчеты!$A250,'Как будет'!EK$45:EK$52)</f>
        <v>0</v>
      </c>
      <c r="EK250">
        <f>SUMIF('Как будет'!$A$45:$A$52,Доп.расчеты!$A250,'Как будет'!EL$45:EL$52)</f>
        <v>0</v>
      </c>
      <c r="EL250">
        <f>SUMIF('Как будет'!$A$45:$A$52,Доп.расчеты!$A250,'Как будет'!EM$45:EM$52)</f>
        <v>0</v>
      </c>
      <c r="EM250">
        <f>SUMIF('Как будет'!$A$45:$A$52,Доп.расчеты!$A250,'Как будет'!EN$45:EN$52)</f>
        <v>0</v>
      </c>
      <c r="EN250">
        <f>SUMIF('Как будет'!$A$45:$A$52,Доп.расчеты!$A250,'Как будет'!EO$45:EO$52)</f>
        <v>0</v>
      </c>
      <c r="EO250">
        <f>SUMIF('Как будет'!$A$45:$A$52,Доп.расчеты!$A250,'Как будет'!EP$45:EP$52)</f>
        <v>0</v>
      </c>
      <c r="EP250">
        <f>SUMIF('Как будет'!$A$45:$A$52,Доп.расчеты!$A250,'Как будет'!EQ$45:EQ$52)</f>
        <v>0</v>
      </c>
      <c r="EQ250">
        <f>SUMIF('Как будет'!$A$45:$A$52,Доп.расчеты!$A250,'Как будет'!ER$45:ER$52)</f>
        <v>0</v>
      </c>
      <c r="ER250">
        <f>SUMIF('Как будет'!$A$45:$A$52,Доп.расчеты!$A250,'Как будет'!ES$45:ES$52)</f>
        <v>0</v>
      </c>
      <c r="ES250">
        <f>SUMIF('Как будет'!$A$45:$A$52,Доп.расчеты!$A250,'Как будет'!ET$45:ET$52)</f>
        <v>0</v>
      </c>
      <c r="ET250">
        <f>SUMIF('Как будет'!$A$45:$A$52,Доп.расчеты!$A250,'Как будет'!EU$45:EU$52)</f>
        <v>0</v>
      </c>
      <c r="EU250">
        <f>SUMIF('Как будет'!$A$45:$A$52,Доп.расчеты!$A250,'Как будет'!EV$45:EV$52)</f>
        <v>0</v>
      </c>
      <c r="EV250">
        <f>SUMIF('Как будет'!$A$45:$A$52,Доп.расчеты!$A250,'Как будет'!EW$45:EW$52)</f>
        <v>0</v>
      </c>
      <c r="EW250">
        <f>SUMIF('Как будет'!$A$45:$A$52,Доп.расчеты!$A250,'Как будет'!EX$45:EX$52)</f>
        <v>0</v>
      </c>
      <c r="EX250">
        <f>SUMIF('Как будет'!$A$45:$A$52,Доп.расчеты!$A250,'Как будет'!EY$45:EY$52)</f>
        <v>0</v>
      </c>
      <c r="EY250">
        <f>SUMIF('Как будет'!$A$45:$A$52,Доп.расчеты!$A250,'Как будет'!EZ$45:EZ$52)</f>
        <v>0</v>
      </c>
      <c r="EZ250">
        <f>SUMIF('Как будет'!$A$45:$A$52,Доп.расчеты!$A250,'Как будет'!FA$45:FA$52)</f>
        <v>0</v>
      </c>
      <c r="FA250">
        <f>SUMIF('Как будет'!$A$45:$A$52,Доп.расчеты!$A250,'Как будет'!FB$45:FB$52)</f>
        <v>0</v>
      </c>
      <c r="FB250">
        <f>SUMIF('Как будет'!$A$45:$A$52,Доп.расчеты!$A250,'Как будет'!FC$45:FC$52)</f>
        <v>0</v>
      </c>
      <c r="FC250">
        <f>SUMIF('Как будет'!$A$45:$A$52,Доп.расчеты!$A250,'Как будет'!FD$45:FD$52)</f>
        <v>0</v>
      </c>
      <c r="FD250">
        <f>SUMIF('Как будет'!$A$45:$A$52,Доп.расчеты!$A250,'Как будет'!FE$45:FE$52)</f>
        <v>0</v>
      </c>
      <c r="FE250">
        <f>SUMIF('Как будет'!$A$45:$A$52,Доп.расчеты!$A250,'Как будет'!FF$45:FF$52)</f>
        <v>0</v>
      </c>
      <c r="FF250">
        <f>SUMIF('Как будет'!$A$45:$A$52,Доп.расчеты!$A250,'Как будет'!FG$45:FG$52)</f>
        <v>0</v>
      </c>
      <c r="FG250">
        <f>SUMIF('Как будет'!$A$45:$A$52,Доп.расчеты!$A250,'Как будет'!FH$45:FH$52)</f>
        <v>0</v>
      </c>
      <c r="FH250">
        <f>SUMIF('Как будет'!$A$45:$A$52,Доп.расчеты!$A250,'Как будет'!FI$45:FI$52)</f>
        <v>0</v>
      </c>
      <c r="FI250">
        <f>SUMIF('Как будет'!$A$45:$A$52,Доп.расчеты!$A250,'Как будет'!FJ$45:FJ$52)</f>
        <v>0</v>
      </c>
      <c r="FJ250">
        <f>SUMIF('Как будет'!$A$45:$A$52,Доп.расчеты!$A250,'Как будет'!FK$45:FK$52)</f>
        <v>0</v>
      </c>
      <c r="FK250">
        <f>SUMIF('Как будет'!$A$45:$A$52,Доп.расчеты!$A250,'Как будет'!FL$45:FL$52)</f>
        <v>0</v>
      </c>
      <c r="FL250">
        <f>SUMIF('Как будет'!$A$45:$A$52,Доп.расчеты!$A250,'Как будет'!FM$45:FM$52)</f>
        <v>0</v>
      </c>
      <c r="FM250">
        <f>SUMIF('Как будет'!$A$45:$A$52,Доп.расчеты!$A250,'Как будет'!FN$45:FN$52)</f>
        <v>0</v>
      </c>
      <c r="FN250">
        <f>SUMIF('Как будет'!$A$45:$A$52,Доп.расчеты!$A250,'Как будет'!FO$45:FO$52)</f>
        <v>0</v>
      </c>
      <c r="FO250">
        <f>SUMIF('Как будет'!$A$45:$A$52,Доп.расчеты!$A250,'Как будет'!FP$45:FP$52)</f>
        <v>0</v>
      </c>
      <c r="FP250">
        <f>SUMIF('Как будет'!$A$45:$A$52,Доп.расчеты!$A250,'Как будет'!FQ$45:FQ$52)</f>
        <v>0</v>
      </c>
      <c r="FQ250">
        <f>SUMIF('Как будет'!$A$45:$A$52,Доп.расчеты!$A250,'Как будет'!FR$45:FR$52)</f>
        <v>0</v>
      </c>
      <c r="FR250">
        <f>SUMIF('Как будет'!$A$45:$A$52,Доп.расчеты!$A250,'Как будет'!FS$45:FS$52)</f>
        <v>0</v>
      </c>
      <c r="FS250">
        <f>SUMIF('Как будет'!$A$45:$A$52,Доп.расчеты!$A250,'Как будет'!FT$45:FT$52)</f>
        <v>0</v>
      </c>
      <c r="FT250">
        <f>SUMIF('Как будет'!$A$45:$A$52,Доп.расчеты!$A250,'Как будет'!FU$45:FU$52)</f>
        <v>0</v>
      </c>
      <c r="FU250">
        <f>SUMIF('Как будет'!$A$45:$A$52,Доп.расчеты!$A250,'Как будет'!FV$45:FV$52)</f>
        <v>0</v>
      </c>
      <c r="FV250">
        <f>SUMIF('Как будет'!$A$45:$A$52,Доп.расчеты!$A250,'Как будет'!FW$45:FW$52)</f>
        <v>0</v>
      </c>
      <c r="FW250">
        <f>SUMIF('Как будет'!$A$45:$A$52,Доп.расчеты!$A250,'Как будет'!FX$45:FX$52)</f>
        <v>0</v>
      </c>
      <c r="FX250">
        <f>SUMIF('Как будет'!$A$45:$A$52,Доп.расчеты!$A250,'Как будет'!FY$45:FY$52)</f>
        <v>0</v>
      </c>
      <c r="FY250">
        <f>SUMIF('Как будет'!$A$45:$A$52,Доп.расчеты!$A250,'Как будет'!FZ$45:FZ$52)</f>
        <v>0</v>
      </c>
      <c r="FZ250">
        <f>SUMIF('Как будет'!$A$45:$A$52,Доп.расчеты!$A250,'Как будет'!GA$45:GA$52)</f>
        <v>0</v>
      </c>
      <c r="GA250">
        <f>SUMIF('Как будет'!$A$45:$A$52,Доп.расчеты!$A250,'Как будет'!GB$45:GB$52)</f>
        <v>0</v>
      </c>
      <c r="GB250">
        <f>SUMIF('Как будет'!$A$45:$A$52,Доп.расчеты!$A250,'Как будет'!GC$45:GC$52)</f>
        <v>0</v>
      </c>
      <c r="GC250">
        <f>SUMIF('Как будет'!$A$45:$A$52,Доп.расчеты!$A250,'Как будет'!GD$45:GD$52)</f>
        <v>0</v>
      </c>
      <c r="GD250">
        <f>SUMIF('Как будет'!$A$45:$A$52,Доп.расчеты!$A250,'Как будет'!GE$45:GE$52)</f>
        <v>0</v>
      </c>
      <c r="GE250">
        <f>SUMIF('Как будет'!$A$45:$A$52,Доп.расчеты!$A250,'Как будет'!GF$45:GF$52)</f>
        <v>0</v>
      </c>
      <c r="GF250">
        <f>SUMIF('Как будет'!$A$45:$A$52,Доп.расчеты!$A250,'Как будет'!GG$45:GG$52)</f>
        <v>0</v>
      </c>
      <c r="GG250">
        <f>SUMIF('Как будет'!$A$45:$A$52,Доп.расчеты!$A250,'Как будет'!GH$45:GH$52)</f>
        <v>0</v>
      </c>
      <c r="GH250">
        <f>SUMIF('Как будет'!$A$45:$A$52,Доп.расчеты!$A250,'Как будет'!GI$45:GI$52)</f>
        <v>0</v>
      </c>
      <c r="GI250">
        <f>SUMIF('Как будет'!$A$45:$A$52,Доп.расчеты!$A250,'Как будет'!GJ$45:GJ$52)</f>
        <v>0</v>
      </c>
      <c r="GJ250">
        <f>SUMIF('Как будет'!$A$45:$A$52,Доп.расчеты!$A250,'Как будет'!GK$45:GK$52)</f>
        <v>0</v>
      </c>
      <c r="GK250">
        <f>SUMIF('Как будет'!$A$45:$A$52,Доп.расчеты!$A250,'Как будет'!GL$45:GL$52)</f>
        <v>0</v>
      </c>
      <c r="GL250">
        <f>SUMIF('Как будет'!$A$45:$A$52,Доп.расчеты!$A250,'Как будет'!GM$45:GM$52)</f>
        <v>0</v>
      </c>
      <c r="GM250">
        <f>SUMIF('Как будет'!$A$45:$A$52,Доп.расчеты!$A250,'Как будет'!GN$45:GN$52)</f>
        <v>0</v>
      </c>
      <c r="GN250">
        <f>SUMIF('Как будет'!$A$45:$A$52,Доп.расчеты!$A250,'Как будет'!GO$45:GO$52)</f>
        <v>0</v>
      </c>
      <c r="GO250">
        <f>SUMIF('Как будет'!$A$45:$A$52,Доп.расчеты!$A250,'Как будет'!GP$45:GP$52)</f>
        <v>0</v>
      </c>
      <c r="GP250">
        <f>SUMIF('Как будет'!$A$45:$A$52,Доп.расчеты!$A250,'Как будет'!GQ$45:GQ$52)</f>
        <v>0</v>
      </c>
      <c r="GQ250">
        <f>SUMIF('Как будет'!$A$45:$A$52,Доп.расчеты!$A250,'Как будет'!GR$45:GR$52)</f>
        <v>0</v>
      </c>
      <c r="GR250">
        <f>SUMIF('Как будет'!$A$45:$A$52,Доп.расчеты!$A250,'Как будет'!GS$45:GS$52)</f>
        <v>0</v>
      </c>
      <c r="GS250">
        <f>SUMIF('Как будет'!$A$45:$A$52,Доп.расчеты!$A250,'Как будет'!GT$45:GT$52)</f>
        <v>0</v>
      </c>
      <c r="GT250">
        <f>SUMIF('Как будет'!$A$45:$A$52,Доп.расчеты!$A250,'Как будет'!GU$45:GU$52)</f>
        <v>0</v>
      </c>
    </row>
    <row r="251" spans="1:202">
      <c r="A251" s="238" t="s">
        <v>100</v>
      </c>
      <c r="B251">
        <f>SUMIF('Как будет'!$A$45:$A$52,Доп.расчеты!$A251,'Как будет'!C$45:C$52)</f>
        <v>0</v>
      </c>
      <c r="C251">
        <f>SUMIF('Как будет'!$A$45:$A$52,Доп.расчеты!$A251,'Как будет'!D$45:D$52)</f>
        <v>0</v>
      </c>
      <c r="D251">
        <f>SUMIF('Как будет'!$A$45:$A$52,Доп.расчеты!$A251,'Как будет'!E$45:E$52)</f>
        <v>0</v>
      </c>
      <c r="E251">
        <f>SUMIF('Как будет'!$A$45:$A$52,Доп.расчеты!$A251,'Как будет'!F$45:F$52)</f>
        <v>0</v>
      </c>
      <c r="F251">
        <f>SUMIF('Как будет'!$A$45:$A$52,Доп.расчеты!$A251,'Как будет'!G$45:G$52)</f>
        <v>0</v>
      </c>
      <c r="G251">
        <f>SUMIF('Как будет'!$A$45:$A$52,Доп.расчеты!$A251,'Как будет'!H$45:H$52)</f>
        <v>0</v>
      </c>
      <c r="H251">
        <f>SUMIF('Как будет'!$A$45:$A$52,Доп.расчеты!$A251,'Как будет'!I$45:I$52)</f>
        <v>0</v>
      </c>
      <c r="I251">
        <f>SUMIF('Как будет'!$A$45:$A$52,Доп.расчеты!$A251,'Как будет'!J$45:J$52)</f>
        <v>0</v>
      </c>
      <c r="J251">
        <f>SUMIF('Как будет'!$A$45:$A$52,Доп.расчеты!$A251,'Как будет'!K$45:K$52)</f>
        <v>0</v>
      </c>
      <c r="K251">
        <f>SUMIF('Как будет'!$A$45:$A$52,Доп.расчеты!$A251,'Как будет'!L$45:L$52)</f>
        <v>0</v>
      </c>
      <c r="L251">
        <f>SUMIF('Как будет'!$A$45:$A$52,Доп.расчеты!$A251,'Как будет'!M$45:M$52)</f>
        <v>0</v>
      </c>
      <c r="M251">
        <f>SUMIF('Как будет'!$A$45:$A$52,Доп.расчеты!$A251,'Как будет'!N$45:N$52)</f>
        <v>0</v>
      </c>
      <c r="N251">
        <f>SUMIF('Как будет'!$A$45:$A$52,Доп.расчеты!$A251,'Как будет'!O$45:O$52)</f>
        <v>0</v>
      </c>
      <c r="O251">
        <f>SUMIF('Как будет'!$A$45:$A$52,Доп.расчеты!$A251,'Как будет'!P$45:P$52)</f>
        <v>0</v>
      </c>
      <c r="P251">
        <f>SUMIF('Как будет'!$A$45:$A$52,Доп.расчеты!$A251,'Как будет'!Q$45:Q$52)</f>
        <v>0</v>
      </c>
      <c r="Q251">
        <f>SUMIF('Как будет'!$A$45:$A$52,Доп.расчеты!$A251,'Как будет'!R$45:R$52)</f>
        <v>0</v>
      </c>
      <c r="R251">
        <f>SUMIF('Как будет'!$A$45:$A$52,Доп.расчеты!$A251,'Как будет'!S$45:S$52)</f>
        <v>0</v>
      </c>
      <c r="S251">
        <f>SUMIF('Как будет'!$A$45:$A$52,Доп.расчеты!$A251,'Как будет'!T$45:T$52)</f>
        <v>0</v>
      </c>
      <c r="T251">
        <f>SUMIF('Как будет'!$A$45:$A$52,Доп.расчеты!$A251,'Как будет'!U$45:U$52)</f>
        <v>0</v>
      </c>
      <c r="U251">
        <f>SUMIF('Как будет'!$A$45:$A$52,Доп.расчеты!$A251,'Как будет'!V$45:V$52)</f>
        <v>0</v>
      </c>
      <c r="V251">
        <f>SUMIF('Как будет'!$A$45:$A$52,Доп.расчеты!$A251,'Как будет'!W$45:W$52)</f>
        <v>0</v>
      </c>
      <c r="W251">
        <f>SUMIF('Как будет'!$A$45:$A$52,Доп.расчеты!$A251,'Как будет'!X$45:X$52)</f>
        <v>0</v>
      </c>
      <c r="X251">
        <f>SUMIF('Как будет'!$A$45:$A$52,Доп.расчеты!$A251,'Как будет'!Y$45:Y$52)</f>
        <v>0</v>
      </c>
      <c r="Y251">
        <f>SUMIF('Как будет'!$A$45:$A$52,Доп.расчеты!$A251,'Как будет'!Z$45:Z$52)</f>
        <v>0</v>
      </c>
      <c r="Z251">
        <f>SUMIF('Как будет'!$A$45:$A$52,Доп.расчеты!$A251,'Как будет'!AA$45:AA$52)</f>
        <v>0</v>
      </c>
      <c r="AA251">
        <f>SUMIF('Как будет'!$A$45:$A$52,Доп.расчеты!$A251,'Как будет'!AB$45:AB$52)</f>
        <v>0</v>
      </c>
      <c r="AB251">
        <f>SUMIF('Как будет'!$A$45:$A$52,Доп.расчеты!$A251,'Как будет'!AC$45:AC$52)</f>
        <v>0</v>
      </c>
      <c r="AC251">
        <f>SUMIF('Как будет'!$A$45:$A$52,Доп.расчеты!$A251,'Как будет'!AD$45:AD$52)</f>
        <v>0</v>
      </c>
      <c r="AD251">
        <f>SUMIF('Как будет'!$A$45:$A$52,Доп.расчеты!$A251,'Как будет'!AE$45:AE$52)</f>
        <v>0</v>
      </c>
      <c r="AE251">
        <f>SUMIF('Как будет'!$A$45:$A$52,Доп.расчеты!$A251,'Как будет'!AF$45:AF$52)</f>
        <v>0</v>
      </c>
      <c r="AF251">
        <f>SUMIF('Как будет'!$A$45:$A$52,Доп.расчеты!$A251,'Как будет'!AG$45:AG$52)</f>
        <v>0</v>
      </c>
      <c r="AG251">
        <f>SUMIF('Как будет'!$A$45:$A$52,Доп.расчеты!$A251,'Как будет'!AH$45:AH$52)</f>
        <v>0</v>
      </c>
      <c r="AH251">
        <f>SUMIF('Как будет'!$A$45:$A$52,Доп.расчеты!$A251,'Как будет'!AI$45:AI$52)</f>
        <v>0</v>
      </c>
      <c r="AI251">
        <f>SUMIF('Как будет'!$A$45:$A$52,Доп.расчеты!$A251,'Как будет'!AJ$45:AJ$52)</f>
        <v>0</v>
      </c>
      <c r="AJ251">
        <f>SUMIF('Как будет'!$A$45:$A$52,Доп.расчеты!$A251,'Как будет'!AK$45:AK$52)</f>
        <v>0</v>
      </c>
      <c r="AK251">
        <f>SUMIF('Как будет'!$A$45:$A$52,Доп.расчеты!$A251,'Как будет'!AL$45:AL$52)</f>
        <v>0</v>
      </c>
      <c r="AL251">
        <f>SUMIF('Как будет'!$A$45:$A$52,Доп.расчеты!$A251,'Как будет'!AM$45:AM$52)</f>
        <v>0</v>
      </c>
      <c r="AM251">
        <f>SUMIF('Как будет'!$A$45:$A$52,Доп.расчеты!$A251,'Как будет'!AN$45:AN$52)</f>
        <v>0</v>
      </c>
      <c r="AN251">
        <f>SUMIF('Как будет'!$A$45:$A$52,Доп.расчеты!$A251,'Как будет'!AO$45:AO$52)</f>
        <v>0</v>
      </c>
      <c r="AO251">
        <f>SUMIF('Как будет'!$A$45:$A$52,Доп.расчеты!$A251,'Как будет'!AP$45:AP$52)</f>
        <v>0</v>
      </c>
      <c r="AP251">
        <f>SUMIF('Как будет'!$A$45:$A$52,Доп.расчеты!$A251,'Как будет'!AQ$45:AQ$52)</f>
        <v>0</v>
      </c>
      <c r="AQ251">
        <f>SUMIF('Как будет'!$A$45:$A$52,Доп.расчеты!$A251,'Как будет'!AR$45:AR$52)</f>
        <v>0</v>
      </c>
      <c r="AR251">
        <f>SUMIF('Как будет'!$A$45:$A$52,Доп.расчеты!$A251,'Как будет'!AS$45:AS$52)</f>
        <v>0</v>
      </c>
      <c r="AS251">
        <f>SUMIF('Как будет'!$A$45:$A$52,Доп.расчеты!$A251,'Как будет'!AT$45:AT$52)</f>
        <v>0</v>
      </c>
      <c r="AT251">
        <f>SUMIF('Как будет'!$A$45:$A$52,Доп.расчеты!$A251,'Как будет'!AU$45:AU$52)</f>
        <v>0</v>
      </c>
      <c r="AU251">
        <f>SUMIF('Как будет'!$A$45:$A$52,Доп.расчеты!$A251,'Как будет'!AV$45:AV$52)</f>
        <v>0</v>
      </c>
      <c r="AV251">
        <f>SUMIF('Как будет'!$A$45:$A$52,Доп.расчеты!$A251,'Как будет'!AW$45:AW$52)</f>
        <v>0</v>
      </c>
      <c r="AW251">
        <f>SUMIF('Как будет'!$A$45:$A$52,Доп.расчеты!$A251,'Как будет'!AX$45:AX$52)</f>
        <v>0</v>
      </c>
      <c r="AX251">
        <f>SUMIF('Как будет'!$A$45:$A$52,Доп.расчеты!$A251,'Как будет'!AY$45:AY$52)</f>
        <v>0</v>
      </c>
      <c r="AY251">
        <f>SUMIF('Как будет'!$A$45:$A$52,Доп.расчеты!$A251,'Как будет'!AZ$45:AZ$52)</f>
        <v>0</v>
      </c>
      <c r="AZ251">
        <f>SUMIF('Как будет'!$A$45:$A$52,Доп.расчеты!$A251,'Как будет'!BA$45:BA$52)</f>
        <v>0</v>
      </c>
      <c r="BA251">
        <f>SUMIF('Как будет'!$A$45:$A$52,Доп.расчеты!$A251,'Как будет'!BB$45:BB$52)</f>
        <v>0</v>
      </c>
      <c r="BB251">
        <f>SUMIF('Как будет'!$A$45:$A$52,Доп.расчеты!$A251,'Как будет'!BC$45:BC$52)</f>
        <v>0</v>
      </c>
      <c r="BC251">
        <f>SUMIF('Как будет'!$A$45:$A$52,Доп.расчеты!$A251,'Как будет'!BD$45:BD$52)</f>
        <v>0</v>
      </c>
      <c r="BD251">
        <f>SUMIF('Как будет'!$A$45:$A$52,Доп.расчеты!$A251,'Как будет'!BE$45:BE$52)</f>
        <v>0</v>
      </c>
      <c r="BE251">
        <f>SUMIF('Как будет'!$A$45:$A$52,Доп.расчеты!$A251,'Как будет'!BF$45:BF$52)</f>
        <v>0</v>
      </c>
      <c r="BF251">
        <f>SUMIF('Как будет'!$A$45:$A$52,Доп.расчеты!$A251,'Как будет'!BG$45:BG$52)</f>
        <v>0</v>
      </c>
      <c r="BG251">
        <f>SUMIF('Как будет'!$A$45:$A$52,Доп.расчеты!$A251,'Как будет'!BH$45:BH$52)</f>
        <v>0</v>
      </c>
      <c r="BH251">
        <f>SUMIF('Как будет'!$A$45:$A$52,Доп.расчеты!$A251,'Как будет'!BI$45:BI$52)</f>
        <v>0</v>
      </c>
      <c r="BI251">
        <f>SUMIF('Как будет'!$A$45:$A$52,Доп.расчеты!$A251,'Как будет'!BJ$45:BJ$52)</f>
        <v>0</v>
      </c>
      <c r="BJ251">
        <f>SUMIF('Как будет'!$A$45:$A$52,Доп.расчеты!$A251,'Как будет'!BK$45:BK$52)</f>
        <v>0</v>
      </c>
      <c r="BK251">
        <f>SUMIF('Как будет'!$A$45:$A$52,Доп.расчеты!$A251,'Как будет'!BL$45:BL$52)</f>
        <v>0</v>
      </c>
      <c r="BL251">
        <f>SUMIF('Как будет'!$A$45:$A$52,Доп.расчеты!$A251,'Как будет'!BM$45:BM$52)</f>
        <v>0</v>
      </c>
      <c r="BM251">
        <f>SUMIF('Как будет'!$A$45:$A$52,Доп.расчеты!$A251,'Как будет'!BN$45:BN$52)</f>
        <v>0</v>
      </c>
      <c r="BN251">
        <f>SUMIF('Как будет'!$A$45:$A$52,Доп.расчеты!$A251,'Как будет'!BO$45:BO$52)</f>
        <v>0</v>
      </c>
      <c r="BO251">
        <f>SUMIF('Как будет'!$A$45:$A$52,Доп.расчеты!$A251,'Как будет'!BP$45:BP$52)</f>
        <v>0</v>
      </c>
      <c r="BP251">
        <f>SUMIF('Как будет'!$A$45:$A$52,Доп.расчеты!$A251,'Как будет'!BQ$45:BQ$52)</f>
        <v>0</v>
      </c>
      <c r="BQ251">
        <f>SUMIF('Как будет'!$A$45:$A$52,Доп.расчеты!$A251,'Как будет'!BR$45:BR$52)</f>
        <v>0</v>
      </c>
      <c r="BR251">
        <f>SUMIF('Как будет'!$A$45:$A$52,Доп.расчеты!$A251,'Как будет'!BS$45:BS$52)</f>
        <v>0</v>
      </c>
      <c r="BS251">
        <f>SUMIF('Как будет'!$A$45:$A$52,Доп.расчеты!$A251,'Как будет'!BT$45:BT$52)</f>
        <v>0</v>
      </c>
      <c r="BT251">
        <f>SUMIF('Как будет'!$A$45:$A$52,Доп.расчеты!$A251,'Как будет'!BU$45:BU$52)</f>
        <v>0</v>
      </c>
      <c r="BU251">
        <f>SUMIF('Как будет'!$A$45:$A$52,Доп.расчеты!$A251,'Как будет'!BV$45:BV$52)</f>
        <v>0</v>
      </c>
      <c r="BV251">
        <f>SUMIF('Как будет'!$A$45:$A$52,Доп.расчеты!$A251,'Как будет'!BW$45:BW$52)</f>
        <v>0</v>
      </c>
      <c r="BW251">
        <f>SUMIF('Как будет'!$A$45:$A$52,Доп.расчеты!$A251,'Как будет'!BX$45:BX$52)</f>
        <v>0</v>
      </c>
      <c r="BX251">
        <f>SUMIF('Как будет'!$A$45:$A$52,Доп.расчеты!$A251,'Как будет'!BY$45:BY$52)</f>
        <v>0</v>
      </c>
      <c r="BY251">
        <f>SUMIF('Как будет'!$A$45:$A$52,Доп.расчеты!$A251,'Как будет'!BZ$45:BZ$52)</f>
        <v>0</v>
      </c>
      <c r="BZ251">
        <f>SUMIF('Как будет'!$A$45:$A$52,Доп.расчеты!$A251,'Как будет'!CA$45:CA$52)</f>
        <v>0</v>
      </c>
      <c r="CA251">
        <f>SUMIF('Как будет'!$A$45:$A$52,Доп.расчеты!$A251,'Как будет'!CB$45:CB$52)</f>
        <v>0</v>
      </c>
      <c r="CB251">
        <f>SUMIF('Как будет'!$A$45:$A$52,Доп.расчеты!$A251,'Как будет'!CC$45:CC$52)</f>
        <v>0</v>
      </c>
      <c r="CC251">
        <f>SUMIF('Как будет'!$A$45:$A$52,Доп.расчеты!$A251,'Как будет'!CD$45:CD$52)</f>
        <v>0</v>
      </c>
      <c r="CD251">
        <f>SUMIF('Как будет'!$A$45:$A$52,Доп.расчеты!$A251,'Как будет'!CE$45:CE$52)</f>
        <v>0</v>
      </c>
      <c r="CE251">
        <f>SUMIF('Как будет'!$A$45:$A$52,Доп.расчеты!$A251,'Как будет'!CF$45:CF$52)</f>
        <v>0</v>
      </c>
      <c r="CF251">
        <f>SUMIF('Как будет'!$A$45:$A$52,Доп.расчеты!$A251,'Как будет'!CG$45:CG$52)</f>
        <v>0</v>
      </c>
      <c r="CG251">
        <f>SUMIF('Как будет'!$A$45:$A$52,Доп.расчеты!$A251,'Как будет'!CH$45:CH$52)</f>
        <v>0</v>
      </c>
      <c r="CH251">
        <f>SUMIF('Как будет'!$A$45:$A$52,Доп.расчеты!$A251,'Как будет'!CI$45:CI$52)</f>
        <v>0</v>
      </c>
      <c r="CI251">
        <f>SUMIF('Как будет'!$A$45:$A$52,Доп.расчеты!$A251,'Как будет'!CJ$45:CJ$52)</f>
        <v>0</v>
      </c>
      <c r="CJ251">
        <f>SUMIF('Как будет'!$A$45:$A$52,Доп.расчеты!$A251,'Как будет'!CK$45:CK$52)</f>
        <v>0</v>
      </c>
      <c r="CK251">
        <f>SUMIF('Как будет'!$A$45:$A$52,Доп.расчеты!$A251,'Как будет'!CL$45:CL$52)</f>
        <v>0</v>
      </c>
      <c r="CL251">
        <f>SUMIF('Как будет'!$A$45:$A$52,Доп.расчеты!$A251,'Как будет'!CM$45:CM$52)</f>
        <v>0</v>
      </c>
      <c r="CM251">
        <f>SUMIF('Как будет'!$A$45:$A$52,Доп.расчеты!$A251,'Как будет'!CN$45:CN$52)</f>
        <v>0</v>
      </c>
      <c r="CN251">
        <f>SUMIF('Как будет'!$A$45:$A$52,Доп.расчеты!$A251,'Как будет'!CO$45:CO$52)</f>
        <v>0</v>
      </c>
      <c r="CO251">
        <f>SUMIF('Как будет'!$A$45:$A$52,Доп.расчеты!$A251,'Как будет'!CP$45:CP$52)</f>
        <v>0</v>
      </c>
      <c r="CP251">
        <f>SUMIF('Как будет'!$A$45:$A$52,Доп.расчеты!$A251,'Как будет'!CQ$45:CQ$52)</f>
        <v>0</v>
      </c>
      <c r="CQ251">
        <f>SUMIF('Как будет'!$A$45:$A$52,Доп.расчеты!$A251,'Как будет'!CR$45:CR$52)</f>
        <v>0</v>
      </c>
      <c r="CR251">
        <f>SUMIF('Как будет'!$A$45:$A$52,Доп.расчеты!$A251,'Как будет'!CS$45:CS$52)</f>
        <v>0</v>
      </c>
      <c r="CS251">
        <f>SUMIF('Как будет'!$A$45:$A$52,Доп.расчеты!$A251,'Как будет'!CT$45:CT$52)</f>
        <v>0</v>
      </c>
      <c r="CT251">
        <f>SUMIF('Как будет'!$A$45:$A$52,Доп.расчеты!$A251,'Как будет'!CU$45:CU$52)</f>
        <v>0</v>
      </c>
      <c r="CU251">
        <f>SUMIF('Как будет'!$A$45:$A$52,Доп.расчеты!$A251,'Как будет'!CV$45:CV$52)</f>
        <v>0</v>
      </c>
      <c r="CV251">
        <f>SUMIF('Как будет'!$A$45:$A$52,Доп.расчеты!$A251,'Как будет'!CW$45:CW$52)</f>
        <v>0</v>
      </c>
      <c r="CW251">
        <f>SUMIF('Как будет'!$A$45:$A$52,Доп.расчеты!$A251,'Как будет'!CX$45:CX$52)</f>
        <v>0</v>
      </c>
      <c r="CX251">
        <f>SUMIF('Как будет'!$A$45:$A$52,Доп.расчеты!$A251,'Как будет'!CY$45:CY$52)</f>
        <v>0</v>
      </c>
      <c r="CY251">
        <f>SUMIF('Как будет'!$A$45:$A$52,Доп.расчеты!$A251,'Как будет'!CZ$45:CZ$52)</f>
        <v>0</v>
      </c>
      <c r="CZ251">
        <f>SUMIF('Как будет'!$A$45:$A$52,Доп.расчеты!$A251,'Как будет'!DA$45:DA$52)</f>
        <v>0</v>
      </c>
      <c r="DA251">
        <f>SUMIF('Как будет'!$A$45:$A$52,Доп.расчеты!$A251,'Как будет'!DB$45:DB$52)</f>
        <v>0</v>
      </c>
      <c r="DB251">
        <f>SUMIF('Как будет'!$A$45:$A$52,Доп.расчеты!$A251,'Как будет'!DC$45:DC$52)</f>
        <v>0</v>
      </c>
      <c r="DC251">
        <f>SUMIF('Как будет'!$A$45:$A$52,Доп.расчеты!$A251,'Как будет'!DD$45:DD$52)</f>
        <v>0</v>
      </c>
      <c r="DD251">
        <f>SUMIF('Как будет'!$A$45:$A$52,Доп.расчеты!$A251,'Как будет'!DE$45:DE$52)</f>
        <v>0</v>
      </c>
      <c r="DE251">
        <f>SUMIF('Как будет'!$A$45:$A$52,Доп.расчеты!$A251,'Как будет'!DF$45:DF$52)</f>
        <v>0</v>
      </c>
      <c r="DF251">
        <f>SUMIF('Как будет'!$A$45:$A$52,Доп.расчеты!$A251,'Как будет'!DG$45:DG$52)</f>
        <v>0</v>
      </c>
      <c r="DG251">
        <f>SUMIF('Как будет'!$A$45:$A$52,Доп.расчеты!$A251,'Как будет'!DH$45:DH$52)</f>
        <v>0</v>
      </c>
      <c r="DH251">
        <f>SUMIF('Как будет'!$A$45:$A$52,Доп.расчеты!$A251,'Как будет'!DI$45:DI$52)</f>
        <v>0</v>
      </c>
      <c r="DI251">
        <f>SUMIF('Как будет'!$A$45:$A$52,Доп.расчеты!$A251,'Как будет'!DJ$45:DJ$52)</f>
        <v>0</v>
      </c>
      <c r="DJ251">
        <f>SUMIF('Как будет'!$A$45:$A$52,Доп.расчеты!$A251,'Как будет'!DK$45:DK$52)</f>
        <v>0</v>
      </c>
      <c r="DK251">
        <f>SUMIF('Как будет'!$A$45:$A$52,Доп.расчеты!$A251,'Как будет'!DL$45:DL$52)</f>
        <v>0</v>
      </c>
      <c r="DL251">
        <f>SUMIF('Как будет'!$A$45:$A$52,Доп.расчеты!$A251,'Как будет'!DM$45:DM$52)</f>
        <v>0</v>
      </c>
      <c r="DM251">
        <f>SUMIF('Как будет'!$A$45:$A$52,Доп.расчеты!$A251,'Как будет'!DN$45:DN$52)</f>
        <v>0</v>
      </c>
      <c r="DN251">
        <f>SUMIF('Как будет'!$A$45:$A$52,Доп.расчеты!$A251,'Как будет'!DO$45:DO$52)</f>
        <v>0</v>
      </c>
      <c r="DO251">
        <f>SUMIF('Как будет'!$A$45:$A$52,Доп.расчеты!$A251,'Как будет'!DP$45:DP$52)</f>
        <v>0</v>
      </c>
      <c r="DP251">
        <f>SUMIF('Как будет'!$A$45:$A$52,Доп.расчеты!$A251,'Как будет'!DQ$45:DQ$52)</f>
        <v>0</v>
      </c>
      <c r="DQ251">
        <f>SUMIF('Как будет'!$A$45:$A$52,Доп.расчеты!$A251,'Как будет'!DR$45:DR$52)</f>
        <v>0</v>
      </c>
      <c r="DR251">
        <f>SUMIF('Как будет'!$A$45:$A$52,Доп.расчеты!$A251,'Как будет'!DS$45:DS$52)</f>
        <v>0</v>
      </c>
      <c r="DS251">
        <f>SUMIF('Как будет'!$A$45:$A$52,Доп.расчеты!$A251,'Как будет'!DT$45:DT$52)</f>
        <v>0</v>
      </c>
      <c r="DT251">
        <f>SUMIF('Как будет'!$A$45:$A$52,Доп.расчеты!$A251,'Как будет'!DU$45:DU$52)</f>
        <v>0</v>
      </c>
      <c r="DU251">
        <f>SUMIF('Как будет'!$A$45:$A$52,Доп.расчеты!$A251,'Как будет'!DV$45:DV$52)</f>
        <v>0</v>
      </c>
      <c r="DV251">
        <f>SUMIF('Как будет'!$A$45:$A$52,Доп.расчеты!$A251,'Как будет'!DW$45:DW$52)</f>
        <v>0</v>
      </c>
      <c r="DW251">
        <f>SUMIF('Как будет'!$A$45:$A$52,Доп.расчеты!$A251,'Как будет'!DX$45:DX$52)</f>
        <v>0</v>
      </c>
      <c r="DX251">
        <f>SUMIF('Как будет'!$A$45:$A$52,Доп.расчеты!$A251,'Как будет'!DY$45:DY$52)</f>
        <v>0</v>
      </c>
      <c r="DY251">
        <f>SUMIF('Как будет'!$A$45:$A$52,Доп.расчеты!$A251,'Как будет'!DZ$45:DZ$52)</f>
        <v>0</v>
      </c>
      <c r="DZ251">
        <f>SUMIF('Как будет'!$A$45:$A$52,Доп.расчеты!$A251,'Как будет'!EA$45:EA$52)</f>
        <v>0</v>
      </c>
      <c r="EA251">
        <f>SUMIF('Как будет'!$A$45:$A$52,Доп.расчеты!$A251,'Как будет'!EB$45:EB$52)</f>
        <v>0</v>
      </c>
      <c r="EB251">
        <f>SUMIF('Как будет'!$A$45:$A$52,Доп.расчеты!$A251,'Как будет'!EC$45:EC$52)</f>
        <v>0</v>
      </c>
      <c r="EC251">
        <f>SUMIF('Как будет'!$A$45:$A$52,Доп.расчеты!$A251,'Как будет'!ED$45:ED$52)</f>
        <v>0</v>
      </c>
      <c r="ED251">
        <f>SUMIF('Как будет'!$A$45:$A$52,Доп.расчеты!$A251,'Как будет'!EE$45:EE$52)</f>
        <v>0</v>
      </c>
      <c r="EE251">
        <f>SUMIF('Как будет'!$A$45:$A$52,Доп.расчеты!$A251,'Как будет'!EF$45:EF$52)</f>
        <v>0</v>
      </c>
      <c r="EF251">
        <f>SUMIF('Как будет'!$A$45:$A$52,Доп.расчеты!$A251,'Как будет'!EG$45:EG$52)</f>
        <v>0</v>
      </c>
      <c r="EG251">
        <f>SUMIF('Как будет'!$A$45:$A$52,Доп.расчеты!$A251,'Как будет'!EH$45:EH$52)</f>
        <v>0</v>
      </c>
      <c r="EH251">
        <f>SUMIF('Как будет'!$A$45:$A$52,Доп.расчеты!$A251,'Как будет'!EI$45:EI$52)</f>
        <v>0</v>
      </c>
      <c r="EI251">
        <f>SUMIF('Как будет'!$A$45:$A$52,Доп.расчеты!$A251,'Как будет'!EJ$45:EJ$52)</f>
        <v>0</v>
      </c>
      <c r="EJ251">
        <f>SUMIF('Как будет'!$A$45:$A$52,Доп.расчеты!$A251,'Как будет'!EK$45:EK$52)</f>
        <v>0</v>
      </c>
      <c r="EK251">
        <f>SUMIF('Как будет'!$A$45:$A$52,Доп.расчеты!$A251,'Как будет'!EL$45:EL$52)</f>
        <v>0</v>
      </c>
      <c r="EL251">
        <f>SUMIF('Как будет'!$A$45:$A$52,Доп.расчеты!$A251,'Как будет'!EM$45:EM$52)</f>
        <v>0</v>
      </c>
      <c r="EM251">
        <f>SUMIF('Как будет'!$A$45:$A$52,Доп.расчеты!$A251,'Как будет'!EN$45:EN$52)</f>
        <v>0</v>
      </c>
      <c r="EN251">
        <f>SUMIF('Как будет'!$A$45:$A$52,Доп.расчеты!$A251,'Как будет'!EO$45:EO$52)</f>
        <v>0</v>
      </c>
      <c r="EO251">
        <f>SUMIF('Как будет'!$A$45:$A$52,Доп.расчеты!$A251,'Как будет'!EP$45:EP$52)</f>
        <v>0</v>
      </c>
      <c r="EP251">
        <f>SUMIF('Как будет'!$A$45:$A$52,Доп.расчеты!$A251,'Как будет'!EQ$45:EQ$52)</f>
        <v>0</v>
      </c>
      <c r="EQ251">
        <f>SUMIF('Как будет'!$A$45:$A$52,Доп.расчеты!$A251,'Как будет'!ER$45:ER$52)</f>
        <v>0</v>
      </c>
      <c r="ER251">
        <f>SUMIF('Как будет'!$A$45:$A$52,Доп.расчеты!$A251,'Как будет'!ES$45:ES$52)</f>
        <v>0</v>
      </c>
      <c r="ES251">
        <f>SUMIF('Как будет'!$A$45:$A$52,Доп.расчеты!$A251,'Как будет'!ET$45:ET$52)</f>
        <v>0</v>
      </c>
      <c r="ET251">
        <f>SUMIF('Как будет'!$A$45:$A$52,Доп.расчеты!$A251,'Как будет'!EU$45:EU$52)</f>
        <v>0</v>
      </c>
      <c r="EU251">
        <f>SUMIF('Как будет'!$A$45:$A$52,Доп.расчеты!$A251,'Как будет'!EV$45:EV$52)</f>
        <v>0</v>
      </c>
      <c r="EV251">
        <f>SUMIF('Как будет'!$A$45:$A$52,Доп.расчеты!$A251,'Как будет'!EW$45:EW$52)</f>
        <v>0</v>
      </c>
      <c r="EW251">
        <f>SUMIF('Как будет'!$A$45:$A$52,Доп.расчеты!$A251,'Как будет'!EX$45:EX$52)</f>
        <v>0</v>
      </c>
      <c r="EX251">
        <f>SUMIF('Как будет'!$A$45:$A$52,Доп.расчеты!$A251,'Как будет'!EY$45:EY$52)</f>
        <v>0</v>
      </c>
      <c r="EY251">
        <f>SUMIF('Как будет'!$A$45:$A$52,Доп.расчеты!$A251,'Как будет'!EZ$45:EZ$52)</f>
        <v>0</v>
      </c>
      <c r="EZ251">
        <f>SUMIF('Как будет'!$A$45:$A$52,Доп.расчеты!$A251,'Как будет'!FA$45:FA$52)</f>
        <v>0</v>
      </c>
      <c r="FA251">
        <f>SUMIF('Как будет'!$A$45:$A$52,Доп.расчеты!$A251,'Как будет'!FB$45:FB$52)</f>
        <v>0</v>
      </c>
      <c r="FB251">
        <f>SUMIF('Как будет'!$A$45:$A$52,Доп.расчеты!$A251,'Как будет'!FC$45:FC$52)</f>
        <v>0</v>
      </c>
      <c r="FC251">
        <f>SUMIF('Как будет'!$A$45:$A$52,Доп.расчеты!$A251,'Как будет'!FD$45:FD$52)</f>
        <v>0</v>
      </c>
      <c r="FD251">
        <f>SUMIF('Как будет'!$A$45:$A$52,Доп.расчеты!$A251,'Как будет'!FE$45:FE$52)</f>
        <v>0</v>
      </c>
      <c r="FE251">
        <f>SUMIF('Как будет'!$A$45:$A$52,Доп.расчеты!$A251,'Как будет'!FF$45:FF$52)</f>
        <v>0</v>
      </c>
      <c r="FF251">
        <f>SUMIF('Как будет'!$A$45:$A$52,Доп.расчеты!$A251,'Как будет'!FG$45:FG$52)</f>
        <v>0</v>
      </c>
      <c r="FG251">
        <f>SUMIF('Как будет'!$A$45:$A$52,Доп.расчеты!$A251,'Как будет'!FH$45:FH$52)</f>
        <v>0</v>
      </c>
      <c r="FH251">
        <f>SUMIF('Как будет'!$A$45:$A$52,Доп.расчеты!$A251,'Как будет'!FI$45:FI$52)</f>
        <v>0</v>
      </c>
      <c r="FI251">
        <f>SUMIF('Как будет'!$A$45:$A$52,Доп.расчеты!$A251,'Как будет'!FJ$45:FJ$52)</f>
        <v>0</v>
      </c>
      <c r="FJ251">
        <f>SUMIF('Как будет'!$A$45:$A$52,Доп.расчеты!$A251,'Как будет'!FK$45:FK$52)</f>
        <v>0</v>
      </c>
      <c r="FK251">
        <f>SUMIF('Как будет'!$A$45:$A$52,Доп.расчеты!$A251,'Как будет'!FL$45:FL$52)</f>
        <v>0</v>
      </c>
      <c r="FL251">
        <f>SUMIF('Как будет'!$A$45:$A$52,Доп.расчеты!$A251,'Как будет'!FM$45:FM$52)</f>
        <v>0</v>
      </c>
      <c r="FM251">
        <f>SUMIF('Как будет'!$A$45:$A$52,Доп.расчеты!$A251,'Как будет'!FN$45:FN$52)</f>
        <v>0</v>
      </c>
      <c r="FN251">
        <f>SUMIF('Как будет'!$A$45:$A$52,Доп.расчеты!$A251,'Как будет'!FO$45:FO$52)</f>
        <v>0</v>
      </c>
      <c r="FO251">
        <f>SUMIF('Как будет'!$A$45:$A$52,Доп.расчеты!$A251,'Как будет'!FP$45:FP$52)</f>
        <v>0</v>
      </c>
      <c r="FP251">
        <f>SUMIF('Как будет'!$A$45:$A$52,Доп.расчеты!$A251,'Как будет'!FQ$45:FQ$52)</f>
        <v>0</v>
      </c>
      <c r="FQ251">
        <f>SUMIF('Как будет'!$A$45:$A$52,Доп.расчеты!$A251,'Как будет'!FR$45:FR$52)</f>
        <v>0</v>
      </c>
      <c r="FR251">
        <f>SUMIF('Как будет'!$A$45:$A$52,Доп.расчеты!$A251,'Как будет'!FS$45:FS$52)</f>
        <v>0</v>
      </c>
      <c r="FS251">
        <f>SUMIF('Как будет'!$A$45:$A$52,Доп.расчеты!$A251,'Как будет'!FT$45:FT$52)</f>
        <v>0</v>
      </c>
      <c r="FT251">
        <f>SUMIF('Как будет'!$A$45:$A$52,Доп.расчеты!$A251,'Как будет'!FU$45:FU$52)</f>
        <v>0</v>
      </c>
      <c r="FU251">
        <f>SUMIF('Как будет'!$A$45:$A$52,Доп.расчеты!$A251,'Как будет'!FV$45:FV$52)</f>
        <v>0</v>
      </c>
      <c r="FV251">
        <f>SUMIF('Как будет'!$A$45:$A$52,Доп.расчеты!$A251,'Как будет'!FW$45:FW$52)</f>
        <v>0</v>
      </c>
      <c r="FW251">
        <f>SUMIF('Как будет'!$A$45:$A$52,Доп.расчеты!$A251,'Как будет'!FX$45:FX$52)</f>
        <v>0</v>
      </c>
      <c r="FX251">
        <f>SUMIF('Как будет'!$A$45:$A$52,Доп.расчеты!$A251,'Как будет'!FY$45:FY$52)</f>
        <v>0</v>
      </c>
      <c r="FY251">
        <f>SUMIF('Как будет'!$A$45:$A$52,Доп.расчеты!$A251,'Как будет'!FZ$45:FZ$52)</f>
        <v>0</v>
      </c>
      <c r="FZ251">
        <f>SUMIF('Как будет'!$A$45:$A$52,Доп.расчеты!$A251,'Как будет'!GA$45:GA$52)</f>
        <v>0</v>
      </c>
      <c r="GA251">
        <f>SUMIF('Как будет'!$A$45:$A$52,Доп.расчеты!$A251,'Как будет'!GB$45:GB$52)</f>
        <v>0</v>
      </c>
      <c r="GB251">
        <f>SUMIF('Как будет'!$A$45:$A$52,Доп.расчеты!$A251,'Как будет'!GC$45:GC$52)</f>
        <v>0</v>
      </c>
      <c r="GC251">
        <f>SUMIF('Как будет'!$A$45:$A$52,Доп.расчеты!$A251,'Как будет'!GD$45:GD$52)</f>
        <v>0</v>
      </c>
      <c r="GD251">
        <f>SUMIF('Как будет'!$A$45:$A$52,Доп.расчеты!$A251,'Как будет'!GE$45:GE$52)</f>
        <v>0</v>
      </c>
      <c r="GE251">
        <f>SUMIF('Как будет'!$A$45:$A$52,Доп.расчеты!$A251,'Как будет'!GF$45:GF$52)</f>
        <v>0</v>
      </c>
      <c r="GF251">
        <f>SUMIF('Как будет'!$A$45:$A$52,Доп.расчеты!$A251,'Как будет'!GG$45:GG$52)</f>
        <v>0</v>
      </c>
      <c r="GG251">
        <f>SUMIF('Как будет'!$A$45:$A$52,Доп.расчеты!$A251,'Как будет'!GH$45:GH$52)</f>
        <v>0</v>
      </c>
      <c r="GH251">
        <f>SUMIF('Как будет'!$A$45:$A$52,Доп.расчеты!$A251,'Как будет'!GI$45:GI$52)</f>
        <v>0</v>
      </c>
      <c r="GI251">
        <f>SUMIF('Как будет'!$A$45:$A$52,Доп.расчеты!$A251,'Как будет'!GJ$45:GJ$52)</f>
        <v>0</v>
      </c>
      <c r="GJ251">
        <f>SUMIF('Как будет'!$A$45:$A$52,Доп.расчеты!$A251,'Как будет'!GK$45:GK$52)</f>
        <v>0</v>
      </c>
      <c r="GK251">
        <f>SUMIF('Как будет'!$A$45:$A$52,Доп.расчеты!$A251,'Как будет'!GL$45:GL$52)</f>
        <v>0</v>
      </c>
      <c r="GL251">
        <f>SUMIF('Как будет'!$A$45:$A$52,Доп.расчеты!$A251,'Как будет'!GM$45:GM$52)</f>
        <v>0</v>
      </c>
      <c r="GM251">
        <f>SUMIF('Как будет'!$A$45:$A$52,Доп.расчеты!$A251,'Как будет'!GN$45:GN$52)</f>
        <v>0</v>
      </c>
      <c r="GN251">
        <f>SUMIF('Как будет'!$A$45:$A$52,Доп.расчеты!$A251,'Как будет'!GO$45:GO$52)</f>
        <v>0</v>
      </c>
      <c r="GO251">
        <f>SUMIF('Как будет'!$A$45:$A$52,Доп.расчеты!$A251,'Как будет'!GP$45:GP$52)</f>
        <v>0</v>
      </c>
      <c r="GP251">
        <f>SUMIF('Как будет'!$A$45:$A$52,Доп.расчеты!$A251,'Как будет'!GQ$45:GQ$52)</f>
        <v>0</v>
      </c>
      <c r="GQ251">
        <f>SUMIF('Как будет'!$A$45:$A$52,Доп.расчеты!$A251,'Как будет'!GR$45:GR$52)</f>
        <v>0</v>
      </c>
      <c r="GR251">
        <f>SUMIF('Как будет'!$A$45:$A$52,Доп.расчеты!$A251,'Как будет'!GS$45:GS$52)</f>
        <v>0</v>
      </c>
      <c r="GS251">
        <f>SUMIF('Как будет'!$A$45:$A$52,Доп.расчеты!$A251,'Как будет'!GT$45:GT$52)</f>
        <v>0</v>
      </c>
      <c r="GT251">
        <f>SUMIF('Как будет'!$A$45:$A$52,Доп.расчеты!$A251,'Как будет'!GU$45:GU$52)</f>
        <v>0</v>
      </c>
    </row>
    <row r="252" spans="1:202">
      <c r="A252" s="238" t="s">
        <v>101</v>
      </c>
      <c r="B252">
        <f>SUMIF('Как будет'!$A$45:$A$52,Доп.расчеты!$A252,'Как будет'!C$45:C$52)</f>
        <v>0</v>
      </c>
      <c r="C252">
        <f>SUMIF('Как будет'!$A$45:$A$52,Доп.расчеты!$A252,'Как будет'!D$45:D$52)</f>
        <v>0</v>
      </c>
      <c r="D252">
        <f>SUMIF('Как будет'!$A$45:$A$52,Доп.расчеты!$A252,'Как будет'!E$45:E$52)</f>
        <v>0</v>
      </c>
      <c r="E252">
        <f>SUMIF('Как будет'!$A$45:$A$52,Доп.расчеты!$A252,'Как будет'!F$45:F$52)</f>
        <v>0</v>
      </c>
      <c r="F252">
        <f>SUMIF('Как будет'!$A$45:$A$52,Доп.расчеты!$A252,'Как будет'!G$45:G$52)</f>
        <v>0</v>
      </c>
      <c r="G252">
        <f>SUMIF('Как будет'!$A$45:$A$52,Доп.расчеты!$A252,'Как будет'!H$45:H$52)</f>
        <v>0</v>
      </c>
      <c r="H252">
        <f>SUMIF('Как будет'!$A$45:$A$52,Доп.расчеты!$A252,'Как будет'!I$45:I$52)</f>
        <v>0</v>
      </c>
      <c r="I252">
        <f>SUMIF('Как будет'!$A$45:$A$52,Доп.расчеты!$A252,'Как будет'!J$45:J$52)</f>
        <v>0</v>
      </c>
      <c r="J252">
        <f>SUMIF('Как будет'!$A$45:$A$52,Доп.расчеты!$A252,'Как будет'!K$45:K$52)</f>
        <v>0</v>
      </c>
      <c r="K252">
        <f>SUMIF('Как будет'!$A$45:$A$52,Доп.расчеты!$A252,'Как будет'!L$45:L$52)</f>
        <v>0</v>
      </c>
      <c r="L252">
        <f>SUMIF('Как будет'!$A$45:$A$52,Доп.расчеты!$A252,'Как будет'!M$45:M$52)</f>
        <v>0</v>
      </c>
      <c r="M252">
        <f>SUMIF('Как будет'!$A$45:$A$52,Доп.расчеты!$A252,'Как будет'!N$45:N$52)</f>
        <v>0</v>
      </c>
      <c r="N252">
        <f>SUMIF('Как будет'!$A$45:$A$52,Доп.расчеты!$A252,'Как будет'!O$45:O$52)</f>
        <v>0</v>
      </c>
      <c r="O252">
        <f>SUMIF('Как будет'!$A$45:$A$52,Доп.расчеты!$A252,'Как будет'!P$45:P$52)</f>
        <v>0</v>
      </c>
      <c r="P252">
        <f>SUMIF('Как будет'!$A$45:$A$52,Доп.расчеты!$A252,'Как будет'!Q$45:Q$52)</f>
        <v>0</v>
      </c>
      <c r="Q252">
        <f>SUMIF('Как будет'!$A$45:$A$52,Доп.расчеты!$A252,'Как будет'!R$45:R$52)</f>
        <v>0</v>
      </c>
      <c r="R252">
        <f>SUMIF('Как будет'!$A$45:$A$52,Доп.расчеты!$A252,'Как будет'!S$45:S$52)</f>
        <v>0</v>
      </c>
      <c r="S252">
        <f>SUMIF('Как будет'!$A$45:$A$52,Доп.расчеты!$A252,'Как будет'!T$45:T$52)</f>
        <v>0</v>
      </c>
      <c r="T252">
        <f>SUMIF('Как будет'!$A$45:$A$52,Доп.расчеты!$A252,'Как будет'!U$45:U$52)</f>
        <v>0</v>
      </c>
      <c r="U252">
        <f>SUMIF('Как будет'!$A$45:$A$52,Доп.расчеты!$A252,'Как будет'!V$45:V$52)</f>
        <v>0</v>
      </c>
      <c r="V252">
        <f>SUMIF('Как будет'!$A$45:$A$52,Доп.расчеты!$A252,'Как будет'!W$45:W$52)</f>
        <v>0</v>
      </c>
      <c r="W252">
        <f>SUMIF('Как будет'!$A$45:$A$52,Доп.расчеты!$A252,'Как будет'!X$45:X$52)</f>
        <v>0</v>
      </c>
      <c r="X252">
        <f>SUMIF('Как будет'!$A$45:$A$52,Доп.расчеты!$A252,'Как будет'!Y$45:Y$52)</f>
        <v>0</v>
      </c>
      <c r="Y252">
        <f>SUMIF('Как будет'!$A$45:$A$52,Доп.расчеты!$A252,'Как будет'!Z$45:Z$52)</f>
        <v>0</v>
      </c>
      <c r="Z252">
        <f>SUMIF('Как будет'!$A$45:$A$52,Доп.расчеты!$A252,'Как будет'!AA$45:AA$52)</f>
        <v>0</v>
      </c>
      <c r="AA252">
        <f>SUMIF('Как будет'!$A$45:$A$52,Доп.расчеты!$A252,'Как будет'!AB$45:AB$52)</f>
        <v>0</v>
      </c>
      <c r="AB252">
        <f>SUMIF('Как будет'!$A$45:$A$52,Доп.расчеты!$A252,'Как будет'!AC$45:AC$52)</f>
        <v>0</v>
      </c>
      <c r="AC252">
        <f>SUMIF('Как будет'!$A$45:$A$52,Доп.расчеты!$A252,'Как будет'!AD$45:AD$52)</f>
        <v>0</v>
      </c>
      <c r="AD252">
        <f>SUMIF('Как будет'!$A$45:$A$52,Доп.расчеты!$A252,'Как будет'!AE$45:AE$52)</f>
        <v>0</v>
      </c>
      <c r="AE252">
        <f>SUMIF('Как будет'!$A$45:$A$52,Доп.расчеты!$A252,'Как будет'!AF$45:AF$52)</f>
        <v>0</v>
      </c>
      <c r="AF252">
        <f>SUMIF('Как будет'!$A$45:$A$52,Доп.расчеты!$A252,'Как будет'!AG$45:AG$52)</f>
        <v>0</v>
      </c>
      <c r="AG252">
        <f>SUMIF('Как будет'!$A$45:$A$52,Доп.расчеты!$A252,'Как будет'!AH$45:AH$52)</f>
        <v>0</v>
      </c>
      <c r="AH252">
        <f>SUMIF('Как будет'!$A$45:$A$52,Доп.расчеты!$A252,'Как будет'!AI$45:AI$52)</f>
        <v>0</v>
      </c>
      <c r="AI252">
        <f>SUMIF('Как будет'!$A$45:$A$52,Доп.расчеты!$A252,'Как будет'!AJ$45:AJ$52)</f>
        <v>0</v>
      </c>
      <c r="AJ252">
        <f>SUMIF('Как будет'!$A$45:$A$52,Доп.расчеты!$A252,'Как будет'!AK$45:AK$52)</f>
        <v>0</v>
      </c>
      <c r="AK252">
        <f>SUMIF('Как будет'!$A$45:$A$52,Доп.расчеты!$A252,'Как будет'!AL$45:AL$52)</f>
        <v>0</v>
      </c>
      <c r="AL252">
        <f>SUMIF('Как будет'!$A$45:$A$52,Доп.расчеты!$A252,'Как будет'!AM$45:AM$52)</f>
        <v>0</v>
      </c>
      <c r="AM252">
        <f>SUMIF('Как будет'!$A$45:$A$52,Доп.расчеты!$A252,'Как будет'!AN$45:AN$52)</f>
        <v>0</v>
      </c>
      <c r="AN252">
        <f>SUMIF('Как будет'!$A$45:$A$52,Доп.расчеты!$A252,'Как будет'!AO$45:AO$52)</f>
        <v>0</v>
      </c>
      <c r="AO252">
        <f>SUMIF('Как будет'!$A$45:$A$52,Доп.расчеты!$A252,'Как будет'!AP$45:AP$52)</f>
        <v>0</v>
      </c>
      <c r="AP252">
        <f>SUMIF('Как будет'!$A$45:$A$52,Доп.расчеты!$A252,'Как будет'!AQ$45:AQ$52)</f>
        <v>0</v>
      </c>
      <c r="AQ252">
        <f>SUMIF('Как будет'!$A$45:$A$52,Доп.расчеты!$A252,'Как будет'!AR$45:AR$52)</f>
        <v>0</v>
      </c>
      <c r="AR252">
        <f>SUMIF('Как будет'!$A$45:$A$52,Доп.расчеты!$A252,'Как будет'!AS$45:AS$52)</f>
        <v>0</v>
      </c>
      <c r="AS252">
        <f>SUMIF('Как будет'!$A$45:$A$52,Доп.расчеты!$A252,'Как будет'!AT$45:AT$52)</f>
        <v>0</v>
      </c>
      <c r="AT252">
        <f>SUMIF('Как будет'!$A$45:$A$52,Доп.расчеты!$A252,'Как будет'!AU$45:AU$52)</f>
        <v>0</v>
      </c>
      <c r="AU252">
        <f>SUMIF('Как будет'!$A$45:$A$52,Доп.расчеты!$A252,'Как будет'!AV$45:AV$52)</f>
        <v>0</v>
      </c>
      <c r="AV252">
        <f>SUMIF('Как будет'!$A$45:$A$52,Доп.расчеты!$A252,'Как будет'!AW$45:AW$52)</f>
        <v>0</v>
      </c>
      <c r="AW252">
        <f>SUMIF('Как будет'!$A$45:$A$52,Доп.расчеты!$A252,'Как будет'!AX$45:AX$52)</f>
        <v>0</v>
      </c>
      <c r="AX252">
        <f>SUMIF('Как будет'!$A$45:$A$52,Доп.расчеты!$A252,'Как будет'!AY$45:AY$52)</f>
        <v>0</v>
      </c>
      <c r="AY252">
        <f>SUMIF('Как будет'!$A$45:$A$52,Доп.расчеты!$A252,'Как будет'!AZ$45:AZ$52)</f>
        <v>0</v>
      </c>
      <c r="AZ252">
        <f>SUMIF('Как будет'!$A$45:$A$52,Доп.расчеты!$A252,'Как будет'!BA$45:BA$52)</f>
        <v>0</v>
      </c>
      <c r="BA252">
        <f>SUMIF('Как будет'!$A$45:$A$52,Доп.расчеты!$A252,'Как будет'!BB$45:BB$52)</f>
        <v>0</v>
      </c>
      <c r="BB252">
        <f>SUMIF('Как будет'!$A$45:$A$52,Доп.расчеты!$A252,'Как будет'!BC$45:BC$52)</f>
        <v>0</v>
      </c>
      <c r="BC252">
        <f>SUMIF('Как будет'!$A$45:$A$52,Доп.расчеты!$A252,'Как будет'!BD$45:BD$52)</f>
        <v>0</v>
      </c>
      <c r="BD252">
        <f>SUMIF('Как будет'!$A$45:$A$52,Доп.расчеты!$A252,'Как будет'!BE$45:BE$52)</f>
        <v>0</v>
      </c>
      <c r="BE252">
        <f>SUMIF('Как будет'!$A$45:$A$52,Доп.расчеты!$A252,'Как будет'!BF$45:BF$52)</f>
        <v>0</v>
      </c>
      <c r="BF252">
        <f>SUMIF('Как будет'!$A$45:$A$52,Доп.расчеты!$A252,'Как будет'!BG$45:BG$52)</f>
        <v>0</v>
      </c>
      <c r="BG252">
        <f>SUMIF('Как будет'!$A$45:$A$52,Доп.расчеты!$A252,'Как будет'!BH$45:BH$52)</f>
        <v>0</v>
      </c>
      <c r="BH252">
        <f>SUMIF('Как будет'!$A$45:$A$52,Доп.расчеты!$A252,'Как будет'!BI$45:BI$52)</f>
        <v>0</v>
      </c>
      <c r="BI252">
        <f>SUMIF('Как будет'!$A$45:$A$52,Доп.расчеты!$A252,'Как будет'!BJ$45:BJ$52)</f>
        <v>0</v>
      </c>
      <c r="BJ252">
        <f>SUMIF('Как будет'!$A$45:$A$52,Доп.расчеты!$A252,'Как будет'!BK$45:BK$52)</f>
        <v>0</v>
      </c>
      <c r="BK252">
        <f>SUMIF('Как будет'!$A$45:$A$52,Доп.расчеты!$A252,'Как будет'!BL$45:BL$52)</f>
        <v>0</v>
      </c>
      <c r="BL252">
        <f>SUMIF('Как будет'!$A$45:$A$52,Доп.расчеты!$A252,'Как будет'!BM$45:BM$52)</f>
        <v>0</v>
      </c>
      <c r="BM252">
        <f>SUMIF('Как будет'!$A$45:$A$52,Доп.расчеты!$A252,'Как будет'!BN$45:BN$52)</f>
        <v>0</v>
      </c>
      <c r="BN252">
        <f>SUMIF('Как будет'!$A$45:$A$52,Доп.расчеты!$A252,'Как будет'!BO$45:BO$52)</f>
        <v>0</v>
      </c>
      <c r="BO252">
        <f>SUMIF('Как будет'!$A$45:$A$52,Доп.расчеты!$A252,'Как будет'!BP$45:BP$52)</f>
        <v>0</v>
      </c>
      <c r="BP252">
        <f>SUMIF('Как будет'!$A$45:$A$52,Доп.расчеты!$A252,'Как будет'!BQ$45:BQ$52)</f>
        <v>0</v>
      </c>
      <c r="BQ252">
        <f>SUMIF('Как будет'!$A$45:$A$52,Доп.расчеты!$A252,'Как будет'!BR$45:BR$52)</f>
        <v>0</v>
      </c>
      <c r="BR252">
        <f>SUMIF('Как будет'!$A$45:$A$52,Доп.расчеты!$A252,'Как будет'!BS$45:BS$52)</f>
        <v>0</v>
      </c>
      <c r="BS252">
        <f>SUMIF('Как будет'!$A$45:$A$52,Доп.расчеты!$A252,'Как будет'!BT$45:BT$52)</f>
        <v>0</v>
      </c>
      <c r="BT252">
        <f>SUMIF('Как будет'!$A$45:$A$52,Доп.расчеты!$A252,'Как будет'!BU$45:BU$52)</f>
        <v>0</v>
      </c>
      <c r="BU252">
        <f>SUMIF('Как будет'!$A$45:$A$52,Доп.расчеты!$A252,'Как будет'!BV$45:BV$52)</f>
        <v>0</v>
      </c>
      <c r="BV252">
        <f>SUMIF('Как будет'!$A$45:$A$52,Доп.расчеты!$A252,'Как будет'!BW$45:BW$52)</f>
        <v>0</v>
      </c>
      <c r="BW252">
        <f>SUMIF('Как будет'!$A$45:$A$52,Доп.расчеты!$A252,'Как будет'!BX$45:BX$52)</f>
        <v>0</v>
      </c>
      <c r="BX252">
        <f>SUMIF('Как будет'!$A$45:$A$52,Доп.расчеты!$A252,'Как будет'!BY$45:BY$52)</f>
        <v>0</v>
      </c>
      <c r="BY252">
        <f>SUMIF('Как будет'!$A$45:$A$52,Доп.расчеты!$A252,'Как будет'!BZ$45:BZ$52)</f>
        <v>0</v>
      </c>
      <c r="BZ252">
        <f>SUMIF('Как будет'!$A$45:$A$52,Доп.расчеты!$A252,'Как будет'!CA$45:CA$52)</f>
        <v>0</v>
      </c>
      <c r="CA252">
        <f>SUMIF('Как будет'!$A$45:$A$52,Доп.расчеты!$A252,'Как будет'!CB$45:CB$52)</f>
        <v>0</v>
      </c>
      <c r="CB252">
        <f>SUMIF('Как будет'!$A$45:$A$52,Доп.расчеты!$A252,'Как будет'!CC$45:CC$52)</f>
        <v>0</v>
      </c>
      <c r="CC252">
        <f>SUMIF('Как будет'!$A$45:$A$52,Доп.расчеты!$A252,'Как будет'!CD$45:CD$52)</f>
        <v>0</v>
      </c>
      <c r="CD252">
        <f>SUMIF('Как будет'!$A$45:$A$52,Доп.расчеты!$A252,'Как будет'!CE$45:CE$52)</f>
        <v>0</v>
      </c>
      <c r="CE252">
        <f>SUMIF('Как будет'!$A$45:$A$52,Доп.расчеты!$A252,'Как будет'!CF$45:CF$52)</f>
        <v>0</v>
      </c>
      <c r="CF252">
        <f>SUMIF('Как будет'!$A$45:$A$52,Доп.расчеты!$A252,'Как будет'!CG$45:CG$52)</f>
        <v>0</v>
      </c>
      <c r="CG252">
        <f>SUMIF('Как будет'!$A$45:$A$52,Доп.расчеты!$A252,'Как будет'!CH$45:CH$52)</f>
        <v>0</v>
      </c>
      <c r="CH252">
        <f>SUMIF('Как будет'!$A$45:$A$52,Доп.расчеты!$A252,'Как будет'!CI$45:CI$52)</f>
        <v>0</v>
      </c>
      <c r="CI252">
        <f>SUMIF('Как будет'!$A$45:$A$52,Доп.расчеты!$A252,'Как будет'!CJ$45:CJ$52)</f>
        <v>0</v>
      </c>
      <c r="CJ252">
        <f>SUMIF('Как будет'!$A$45:$A$52,Доп.расчеты!$A252,'Как будет'!CK$45:CK$52)</f>
        <v>0</v>
      </c>
      <c r="CK252">
        <f>SUMIF('Как будет'!$A$45:$A$52,Доп.расчеты!$A252,'Как будет'!CL$45:CL$52)</f>
        <v>0</v>
      </c>
      <c r="CL252">
        <f>SUMIF('Как будет'!$A$45:$A$52,Доп.расчеты!$A252,'Как будет'!CM$45:CM$52)</f>
        <v>0</v>
      </c>
      <c r="CM252">
        <f>SUMIF('Как будет'!$A$45:$A$52,Доп.расчеты!$A252,'Как будет'!CN$45:CN$52)</f>
        <v>0</v>
      </c>
      <c r="CN252">
        <f>SUMIF('Как будет'!$A$45:$A$52,Доп.расчеты!$A252,'Как будет'!CO$45:CO$52)</f>
        <v>0</v>
      </c>
      <c r="CO252">
        <f>SUMIF('Как будет'!$A$45:$A$52,Доп.расчеты!$A252,'Как будет'!CP$45:CP$52)</f>
        <v>0</v>
      </c>
      <c r="CP252">
        <f>SUMIF('Как будет'!$A$45:$A$52,Доп.расчеты!$A252,'Как будет'!CQ$45:CQ$52)</f>
        <v>0</v>
      </c>
      <c r="CQ252">
        <f>SUMIF('Как будет'!$A$45:$A$52,Доп.расчеты!$A252,'Как будет'!CR$45:CR$52)</f>
        <v>0</v>
      </c>
      <c r="CR252">
        <f>SUMIF('Как будет'!$A$45:$A$52,Доп.расчеты!$A252,'Как будет'!CS$45:CS$52)</f>
        <v>0</v>
      </c>
      <c r="CS252">
        <f>SUMIF('Как будет'!$A$45:$A$52,Доп.расчеты!$A252,'Как будет'!CT$45:CT$52)</f>
        <v>0</v>
      </c>
      <c r="CT252">
        <f>SUMIF('Как будет'!$A$45:$A$52,Доп.расчеты!$A252,'Как будет'!CU$45:CU$52)</f>
        <v>0</v>
      </c>
      <c r="CU252">
        <f>SUMIF('Как будет'!$A$45:$A$52,Доп.расчеты!$A252,'Как будет'!CV$45:CV$52)</f>
        <v>0</v>
      </c>
      <c r="CV252">
        <f>SUMIF('Как будет'!$A$45:$A$52,Доп.расчеты!$A252,'Как будет'!CW$45:CW$52)</f>
        <v>0</v>
      </c>
      <c r="CW252">
        <f>SUMIF('Как будет'!$A$45:$A$52,Доп.расчеты!$A252,'Как будет'!CX$45:CX$52)</f>
        <v>0</v>
      </c>
      <c r="CX252">
        <f>SUMIF('Как будет'!$A$45:$A$52,Доп.расчеты!$A252,'Как будет'!CY$45:CY$52)</f>
        <v>0</v>
      </c>
      <c r="CY252">
        <f>SUMIF('Как будет'!$A$45:$A$52,Доп.расчеты!$A252,'Как будет'!CZ$45:CZ$52)</f>
        <v>0</v>
      </c>
      <c r="CZ252">
        <f>SUMIF('Как будет'!$A$45:$A$52,Доп.расчеты!$A252,'Как будет'!DA$45:DA$52)</f>
        <v>0</v>
      </c>
      <c r="DA252">
        <f>SUMIF('Как будет'!$A$45:$A$52,Доп.расчеты!$A252,'Как будет'!DB$45:DB$52)</f>
        <v>0</v>
      </c>
      <c r="DB252">
        <f>SUMIF('Как будет'!$A$45:$A$52,Доп.расчеты!$A252,'Как будет'!DC$45:DC$52)</f>
        <v>0</v>
      </c>
      <c r="DC252">
        <f>SUMIF('Как будет'!$A$45:$A$52,Доп.расчеты!$A252,'Как будет'!DD$45:DD$52)</f>
        <v>0</v>
      </c>
      <c r="DD252">
        <f>SUMIF('Как будет'!$A$45:$A$52,Доп.расчеты!$A252,'Как будет'!DE$45:DE$52)</f>
        <v>0</v>
      </c>
      <c r="DE252">
        <f>SUMIF('Как будет'!$A$45:$A$52,Доп.расчеты!$A252,'Как будет'!DF$45:DF$52)</f>
        <v>0</v>
      </c>
      <c r="DF252">
        <f>SUMIF('Как будет'!$A$45:$A$52,Доп.расчеты!$A252,'Как будет'!DG$45:DG$52)</f>
        <v>0</v>
      </c>
      <c r="DG252">
        <f>SUMIF('Как будет'!$A$45:$A$52,Доп.расчеты!$A252,'Как будет'!DH$45:DH$52)</f>
        <v>0</v>
      </c>
      <c r="DH252">
        <f>SUMIF('Как будет'!$A$45:$A$52,Доп.расчеты!$A252,'Как будет'!DI$45:DI$52)</f>
        <v>0</v>
      </c>
      <c r="DI252">
        <f>SUMIF('Как будет'!$A$45:$A$52,Доп.расчеты!$A252,'Как будет'!DJ$45:DJ$52)</f>
        <v>0</v>
      </c>
      <c r="DJ252">
        <f>SUMIF('Как будет'!$A$45:$A$52,Доп.расчеты!$A252,'Как будет'!DK$45:DK$52)</f>
        <v>0</v>
      </c>
      <c r="DK252">
        <f>SUMIF('Как будет'!$A$45:$A$52,Доп.расчеты!$A252,'Как будет'!DL$45:DL$52)</f>
        <v>0</v>
      </c>
      <c r="DL252">
        <f>SUMIF('Как будет'!$A$45:$A$52,Доп.расчеты!$A252,'Как будет'!DM$45:DM$52)</f>
        <v>0</v>
      </c>
      <c r="DM252">
        <f>SUMIF('Как будет'!$A$45:$A$52,Доп.расчеты!$A252,'Как будет'!DN$45:DN$52)</f>
        <v>0</v>
      </c>
      <c r="DN252">
        <f>SUMIF('Как будет'!$A$45:$A$52,Доп.расчеты!$A252,'Как будет'!DO$45:DO$52)</f>
        <v>0</v>
      </c>
      <c r="DO252">
        <f>SUMIF('Как будет'!$A$45:$A$52,Доп.расчеты!$A252,'Как будет'!DP$45:DP$52)</f>
        <v>0</v>
      </c>
      <c r="DP252">
        <f>SUMIF('Как будет'!$A$45:$A$52,Доп.расчеты!$A252,'Как будет'!DQ$45:DQ$52)</f>
        <v>0</v>
      </c>
      <c r="DQ252">
        <f>SUMIF('Как будет'!$A$45:$A$52,Доп.расчеты!$A252,'Как будет'!DR$45:DR$52)</f>
        <v>0</v>
      </c>
      <c r="DR252">
        <f>SUMIF('Как будет'!$A$45:$A$52,Доп.расчеты!$A252,'Как будет'!DS$45:DS$52)</f>
        <v>0</v>
      </c>
      <c r="DS252">
        <f>SUMIF('Как будет'!$A$45:$A$52,Доп.расчеты!$A252,'Как будет'!DT$45:DT$52)</f>
        <v>0</v>
      </c>
      <c r="DT252">
        <f>SUMIF('Как будет'!$A$45:$A$52,Доп.расчеты!$A252,'Как будет'!DU$45:DU$52)</f>
        <v>0</v>
      </c>
      <c r="DU252">
        <f>SUMIF('Как будет'!$A$45:$A$52,Доп.расчеты!$A252,'Как будет'!DV$45:DV$52)</f>
        <v>0</v>
      </c>
      <c r="DV252">
        <f>SUMIF('Как будет'!$A$45:$A$52,Доп.расчеты!$A252,'Как будет'!DW$45:DW$52)</f>
        <v>0</v>
      </c>
      <c r="DW252">
        <f>SUMIF('Как будет'!$A$45:$A$52,Доп.расчеты!$A252,'Как будет'!DX$45:DX$52)</f>
        <v>0</v>
      </c>
      <c r="DX252">
        <f>SUMIF('Как будет'!$A$45:$A$52,Доп.расчеты!$A252,'Как будет'!DY$45:DY$52)</f>
        <v>0</v>
      </c>
      <c r="DY252">
        <f>SUMIF('Как будет'!$A$45:$A$52,Доп.расчеты!$A252,'Как будет'!DZ$45:DZ$52)</f>
        <v>0</v>
      </c>
      <c r="DZ252">
        <f>SUMIF('Как будет'!$A$45:$A$52,Доп.расчеты!$A252,'Как будет'!EA$45:EA$52)</f>
        <v>0</v>
      </c>
      <c r="EA252">
        <f>SUMIF('Как будет'!$A$45:$A$52,Доп.расчеты!$A252,'Как будет'!EB$45:EB$52)</f>
        <v>0</v>
      </c>
      <c r="EB252">
        <f>SUMIF('Как будет'!$A$45:$A$52,Доп.расчеты!$A252,'Как будет'!EC$45:EC$52)</f>
        <v>0</v>
      </c>
      <c r="EC252">
        <f>SUMIF('Как будет'!$A$45:$A$52,Доп.расчеты!$A252,'Как будет'!ED$45:ED$52)</f>
        <v>0</v>
      </c>
      <c r="ED252">
        <f>SUMIF('Как будет'!$A$45:$A$52,Доп.расчеты!$A252,'Как будет'!EE$45:EE$52)</f>
        <v>0</v>
      </c>
      <c r="EE252">
        <f>SUMIF('Как будет'!$A$45:$A$52,Доп.расчеты!$A252,'Как будет'!EF$45:EF$52)</f>
        <v>0</v>
      </c>
      <c r="EF252">
        <f>SUMIF('Как будет'!$A$45:$A$52,Доп.расчеты!$A252,'Как будет'!EG$45:EG$52)</f>
        <v>0</v>
      </c>
      <c r="EG252">
        <f>SUMIF('Как будет'!$A$45:$A$52,Доп.расчеты!$A252,'Как будет'!EH$45:EH$52)</f>
        <v>0</v>
      </c>
      <c r="EH252">
        <f>SUMIF('Как будет'!$A$45:$A$52,Доп.расчеты!$A252,'Как будет'!EI$45:EI$52)</f>
        <v>0</v>
      </c>
      <c r="EI252">
        <f>SUMIF('Как будет'!$A$45:$A$52,Доп.расчеты!$A252,'Как будет'!EJ$45:EJ$52)</f>
        <v>0</v>
      </c>
      <c r="EJ252">
        <f>SUMIF('Как будет'!$A$45:$A$52,Доп.расчеты!$A252,'Как будет'!EK$45:EK$52)</f>
        <v>0</v>
      </c>
      <c r="EK252">
        <f>SUMIF('Как будет'!$A$45:$A$52,Доп.расчеты!$A252,'Как будет'!EL$45:EL$52)</f>
        <v>0</v>
      </c>
      <c r="EL252">
        <f>SUMIF('Как будет'!$A$45:$A$52,Доп.расчеты!$A252,'Как будет'!EM$45:EM$52)</f>
        <v>0</v>
      </c>
      <c r="EM252">
        <f>SUMIF('Как будет'!$A$45:$A$52,Доп.расчеты!$A252,'Как будет'!EN$45:EN$52)</f>
        <v>0</v>
      </c>
      <c r="EN252">
        <f>SUMIF('Как будет'!$A$45:$A$52,Доп.расчеты!$A252,'Как будет'!EO$45:EO$52)</f>
        <v>0</v>
      </c>
      <c r="EO252">
        <f>SUMIF('Как будет'!$A$45:$A$52,Доп.расчеты!$A252,'Как будет'!EP$45:EP$52)</f>
        <v>0</v>
      </c>
      <c r="EP252">
        <f>SUMIF('Как будет'!$A$45:$A$52,Доп.расчеты!$A252,'Как будет'!EQ$45:EQ$52)</f>
        <v>0</v>
      </c>
      <c r="EQ252">
        <f>SUMIF('Как будет'!$A$45:$A$52,Доп.расчеты!$A252,'Как будет'!ER$45:ER$52)</f>
        <v>0</v>
      </c>
      <c r="ER252">
        <f>SUMIF('Как будет'!$A$45:$A$52,Доп.расчеты!$A252,'Как будет'!ES$45:ES$52)</f>
        <v>0</v>
      </c>
      <c r="ES252">
        <f>SUMIF('Как будет'!$A$45:$A$52,Доп.расчеты!$A252,'Как будет'!ET$45:ET$52)</f>
        <v>0</v>
      </c>
      <c r="ET252">
        <f>SUMIF('Как будет'!$A$45:$A$52,Доп.расчеты!$A252,'Как будет'!EU$45:EU$52)</f>
        <v>0</v>
      </c>
      <c r="EU252">
        <f>SUMIF('Как будет'!$A$45:$A$52,Доп.расчеты!$A252,'Как будет'!EV$45:EV$52)</f>
        <v>0</v>
      </c>
      <c r="EV252">
        <f>SUMIF('Как будет'!$A$45:$A$52,Доп.расчеты!$A252,'Как будет'!EW$45:EW$52)</f>
        <v>0</v>
      </c>
      <c r="EW252">
        <f>SUMIF('Как будет'!$A$45:$A$52,Доп.расчеты!$A252,'Как будет'!EX$45:EX$52)</f>
        <v>0</v>
      </c>
      <c r="EX252">
        <f>SUMIF('Как будет'!$A$45:$A$52,Доп.расчеты!$A252,'Как будет'!EY$45:EY$52)</f>
        <v>0</v>
      </c>
      <c r="EY252">
        <f>SUMIF('Как будет'!$A$45:$A$52,Доп.расчеты!$A252,'Как будет'!EZ$45:EZ$52)</f>
        <v>0</v>
      </c>
      <c r="EZ252">
        <f>SUMIF('Как будет'!$A$45:$A$52,Доп.расчеты!$A252,'Как будет'!FA$45:FA$52)</f>
        <v>0</v>
      </c>
      <c r="FA252">
        <f>SUMIF('Как будет'!$A$45:$A$52,Доп.расчеты!$A252,'Как будет'!FB$45:FB$52)</f>
        <v>0</v>
      </c>
      <c r="FB252">
        <f>SUMIF('Как будет'!$A$45:$A$52,Доп.расчеты!$A252,'Как будет'!FC$45:FC$52)</f>
        <v>0</v>
      </c>
      <c r="FC252">
        <f>SUMIF('Как будет'!$A$45:$A$52,Доп.расчеты!$A252,'Как будет'!FD$45:FD$52)</f>
        <v>0</v>
      </c>
      <c r="FD252">
        <f>SUMIF('Как будет'!$A$45:$A$52,Доп.расчеты!$A252,'Как будет'!FE$45:FE$52)</f>
        <v>0</v>
      </c>
      <c r="FE252">
        <f>SUMIF('Как будет'!$A$45:$A$52,Доп.расчеты!$A252,'Как будет'!FF$45:FF$52)</f>
        <v>0</v>
      </c>
      <c r="FF252">
        <f>SUMIF('Как будет'!$A$45:$A$52,Доп.расчеты!$A252,'Как будет'!FG$45:FG$52)</f>
        <v>0</v>
      </c>
      <c r="FG252">
        <f>SUMIF('Как будет'!$A$45:$A$52,Доп.расчеты!$A252,'Как будет'!FH$45:FH$52)</f>
        <v>0</v>
      </c>
      <c r="FH252">
        <f>SUMIF('Как будет'!$A$45:$A$52,Доп.расчеты!$A252,'Как будет'!FI$45:FI$52)</f>
        <v>0</v>
      </c>
      <c r="FI252">
        <f>SUMIF('Как будет'!$A$45:$A$52,Доп.расчеты!$A252,'Как будет'!FJ$45:FJ$52)</f>
        <v>0</v>
      </c>
      <c r="FJ252">
        <f>SUMIF('Как будет'!$A$45:$A$52,Доп.расчеты!$A252,'Как будет'!FK$45:FK$52)</f>
        <v>0</v>
      </c>
      <c r="FK252">
        <f>SUMIF('Как будет'!$A$45:$A$52,Доп.расчеты!$A252,'Как будет'!FL$45:FL$52)</f>
        <v>0</v>
      </c>
      <c r="FL252">
        <f>SUMIF('Как будет'!$A$45:$A$52,Доп.расчеты!$A252,'Как будет'!FM$45:FM$52)</f>
        <v>0</v>
      </c>
      <c r="FM252">
        <f>SUMIF('Как будет'!$A$45:$A$52,Доп.расчеты!$A252,'Как будет'!FN$45:FN$52)</f>
        <v>0</v>
      </c>
      <c r="FN252">
        <f>SUMIF('Как будет'!$A$45:$A$52,Доп.расчеты!$A252,'Как будет'!FO$45:FO$52)</f>
        <v>0</v>
      </c>
      <c r="FO252">
        <f>SUMIF('Как будет'!$A$45:$A$52,Доп.расчеты!$A252,'Как будет'!FP$45:FP$52)</f>
        <v>0</v>
      </c>
      <c r="FP252">
        <f>SUMIF('Как будет'!$A$45:$A$52,Доп.расчеты!$A252,'Как будет'!FQ$45:FQ$52)</f>
        <v>0</v>
      </c>
      <c r="FQ252">
        <f>SUMIF('Как будет'!$A$45:$A$52,Доп.расчеты!$A252,'Как будет'!FR$45:FR$52)</f>
        <v>0</v>
      </c>
      <c r="FR252">
        <f>SUMIF('Как будет'!$A$45:$A$52,Доп.расчеты!$A252,'Как будет'!FS$45:FS$52)</f>
        <v>0</v>
      </c>
      <c r="FS252">
        <f>SUMIF('Как будет'!$A$45:$A$52,Доп.расчеты!$A252,'Как будет'!FT$45:FT$52)</f>
        <v>0</v>
      </c>
      <c r="FT252">
        <f>SUMIF('Как будет'!$A$45:$A$52,Доп.расчеты!$A252,'Как будет'!FU$45:FU$52)</f>
        <v>0</v>
      </c>
      <c r="FU252">
        <f>SUMIF('Как будет'!$A$45:$A$52,Доп.расчеты!$A252,'Как будет'!FV$45:FV$52)</f>
        <v>0</v>
      </c>
      <c r="FV252">
        <f>SUMIF('Как будет'!$A$45:$A$52,Доп.расчеты!$A252,'Как будет'!FW$45:FW$52)</f>
        <v>0</v>
      </c>
      <c r="FW252">
        <f>SUMIF('Как будет'!$A$45:$A$52,Доп.расчеты!$A252,'Как будет'!FX$45:FX$52)</f>
        <v>0</v>
      </c>
      <c r="FX252">
        <f>SUMIF('Как будет'!$A$45:$A$52,Доп.расчеты!$A252,'Как будет'!FY$45:FY$52)</f>
        <v>0</v>
      </c>
      <c r="FY252">
        <f>SUMIF('Как будет'!$A$45:$A$52,Доп.расчеты!$A252,'Как будет'!FZ$45:FZ$52)</f>
        <v>0</v>
      </c>
      <c r="FZ252">
        <f>SUMIF('Как будет'!$A$45:$A$52,Доп.расчеты!$A252,'Как будет'!GA$45:GA$52)</f>
        <v>0</v>
      </c>
      <c r="GA252">
        <f>SUMIF('Как будет'!$A$45:$A$52,Доп.расчеты!$A252,'Как будет'!GB$45:GB$52)</f>
        <v>0</v>
      </c>
      <c r="GB252">
        <f>SUMIF('Как будет'!$A$45:$A$52,Доп.расчеты!$A252,'Как будет'!GC$45:GC$52)</f>
        <v>0</v>
      </c>
      <c r="GC252">
        <f>SUMIF('Как будет'!$A$45:$A$52,Доп.расчеты!$A252,'Как будет'!GD$45:GD$52)</f>
        <v>0</v>
      </c>
      <c r="GD252">
        <f>SUMIF('Как будет'!$A$45:$A$52,Доп.расчеты!$A252,'Как будет'!GE$45:GE$52)</f>
        <v>0</v>
      </c>
      <c r="GE252">
        <f>SUMIF('Как будет'!$A$45:$A$52,Доп.расчеты!$A252,'Как будет'!GF$45:GF$52)</f>
        <v>0</v>
      </c>
      <c r="GF252">
        <f>SUMIF('Как будет'!$A$45:$A$52,Доп.расчеты!$A252,'Как будет'!GG$45:GG$52)</f>
        <v>0</v>
      </c>
      <c r="GG252">
        <f>SUMIF('Как будет'!$A$45:$A$52,Доп.расчеты!$A252,'Как будет'!GH$45:GH$52)</f>
        <v>0</v>
      </c>
      <c r="GH252">
        <f>SUMIF('Как будет'!$A$45:$A$52,Доп.расчеты!$A252,'Как будет'!GI$45:GI$52)</f>
        <v>0</v>
      </c>
      <c r="GI252">
        <f>SUMIF('Как будет'!$A$45:$A$52,Доп.расчеты!$A252,'Как будет'!GJ$45:GJ$52)</f>
        <v>0</v>
      </c>
      <c r="GJ252">
        <f>SUMIF('Как будет'!$A$45:$A$52,Доп.расчеты!$A252,'Как будет'!GK$45:GK$52)</f>
        <v>0</v>
      </c>
      <c r="GK252">
        <f>SUMIF('Как будет'!$A$45:$A$52,Доп.расчеты!$A252,'Как будет'!GL$45:GL$52)</f>
        <v>0</v>
      </c>
      <c r="GL252">
        <f>SUMIF('Как будет'!$A$45:$A$52,Доп.расчеты!$A252,'Как будет'!GM$45:GM$52)</f>
        <v>0</v>
      </c>
      <c r="GM252">
        <f>SUMIF('Как будет'!$A$45:$A$52,Доп.расчеты!$A252,'Как будет'!GN$45:GN$52)</f>
        <v>0</v>
      </c>
      <c r="GN252">
        <f>SUMIF('Как будет'!$A$45:$A$52,Доп.расчеты!$A252,'Как будет'!GO$45:GO$52)</f>
        <v>0</v>
      </c>
      <c r="GO252">
        <f>SUMIF('Как будет'!$A$45:$A$52,Доп.расчеты!$A252,'Как будет'!GP$45:GP$52)</f>
        <v>0</v>
      </c>
      <c r="GP252">
        <f>SUMIF('Как будет'!$A$45:$A$52,Доп.расчеты!$A252,'Как будет'!GQ$45:GQ$52)</f>
        <v>0</v>
      </c>
      <c r="GQ252">
        <f>SUMIF('Как будет'!$A$45:$A$52,Доп.расчеты!$A252,'Как будет'!GR$45:GR$52)</f>
        <v>0</v>
      </c>
      <c r="GR252">
        <f>SUMIF('Как будет'!$A$45:$A$52,Доп.расчеты!$A252,'Как будет'!GS$45:GS$52)</f>
        <v>0</v>
      </c>
      <c r="GS252">
        <f>SUMIF('Как будет'!$A$45:$A$52,Доп.расчеты!$A252,'Как будет'!GT$45:GT$52)</f>
        <v>0</v>
      </c>
      <c r="GT252">
        <f>SUMIF('Как будет'!$A$45:$A$52,Доп.расчеты!$A252,'Как будет'!GU$45:GU$52)</f>
        <v>0</v>
      </c>
    </row>
    <row r="253" spans="1:202">
      <c r="A253" s="238" t="s">
        <v>102</v>
      </c>
      <c r="B253">
        <f>SUMIF('Как будет'!$A$45:$A$52,Доп.расчеты!$A253,'Как будет'!C$45:C$52)</f>
        <v>0</v>
      </c>
      <c r="C253">
        <f>SUMIF('Как будет'!$A$45:$A$52,Доп.расчеты!$A253,'Как будет'!D$45:D$52)</f>
        <v>0</v>
      </c>
      <c r="D253">
        <f>SUMIF('Как будет'!$A$45:$A$52,Доп.расчеты!$A253,'Как будет'!E$45:E$52)</f>
        <v>0</v>
      </c>
      <c r="E253">
        <f>SUMIF('Как будет'!$A$45:$A$52,Доп.расчеты!$A253,'Как будет'!F$45:F$52)</f>
        <v>0</v>
      </c>
      <c r="F253">
        <f>SUMIF('Как будет'!$A$45:$A$52,Доп.расчеты!$A253,'Как будет'!G$45:G$52)</f>
        <v>0</v>
      </c>
      <c r="G253">
        <f>SUMIF('Как будет'!$A$45:$A$52,Доп.расчеты!$A253,'Как будет'!H$45:H$52)</f>
        <v>0</v>
      </c>
      <c r="H253">
        <f>SUMIF('Как будет'!$A$45:$A$52,Доп.расчеты!$A253,'Как будет'!I$45:I$52)</f>
        <v>0</v>
      </c>
      <c r="I253">
        <f>SUMIF('Как будет'!$A$45:$A$52,Доп.расчеты!$A253,'Как будет'!J$45:J$52)</f>
        <v>0</v>
      </c>
      <c r="J253">
        <f>SUMIF('Как будет'!$A$45:$A$52,Доп.расчеты!$A253,'Как будет'!K$45:K$52)</f>
        <v>0</v>
      </c>
      <c r="K253">
        <f>SUMIF('Как будет'!$A$45:$A$52,Доп.расчеты!$A253,'Как будет'!L$45:L$52)</f>
        <v>0</v>
      </c>
      <c r="L253">
        <f>SUMIF('Как будет'!$A$45:$A$52,Доп.расчеты!$A253,'Как будет'!M$45:M$52)</f>
        <v>0</v>
      </c>
      <c r="M253">
        <f>SUMIF('Как будет'!$A$45:$A$52,Доп.расчеты!$A253,'Как будет'!N$45:N$52)</f>
        <v>0</v>
      </c>
      <c r="N253">
        <f>SUMIF('Как будет'!$A$45:$A$52,Доп.расчеты!$A253,'Как будет'!O$45:O$52)</f>
        <v>0</v>
      </c>
      <c r="O253">
        <f>SUMIF('Как будет'!$A$45:$A$52,Доп.расчеты!$A253,'Как будет'!P$45:P$52)</f>
        <v>0</v>
      </c>
      <c r="P253">
        <f>SUMIF('Как будет'!$A$45:$A$52,Доп.расчеты!$A253,'Как будет'!Q$45:Q$52)</f>
        <v>0</v>
      </c>
      <c r="Q253">
        <f>SUMIF('Как будет'!$A$45:$A$52,Доп.расчеты!$A253,'Как будет'!R$45:R$52)</f>
        <v>0</v>
      </c>
      <c r="R253">
        <f>SUMIF('Как будет'!$A$45:$A$52,Доп.расчеты!$A253,'Как будет'!S$45:S$52)</f>
        <v>0</v>
      </c>
      <c r="S253">
        <f>SUMIF('Как будет'!$A$45:$A$52,Доп.расчеты!$A253,'Как будет'!T$45:T$52)</f>
        <v>0</v>
      </c>
      <c r="T253">
        <f>SUMIF('Как будет'!$A$45:$A$52,Доп.расчеты!$A253,'Как будет'!U$45:U$52)</f>
        <v>0</v>
      </c>
      <c r="U253">
        <f>SUMIF('Как будет'!$A$45:$A$52,Доп.расчеты!$A253,'Как будет'!V$45:V$52)</f>
        <v>0</v>
      </c>
      <c r="V253">
        <f>SUMIF('Как будет'!$A$45:$A$52,Доп.расчеты!$A253,'Как будет'!W$45:W$52)</f>
        <v>0</v>
      </c>
      <c r="W253">
        <f>SUMIF('Как будет'!$A$45:$A$52,Доп.расчеты!$A253,'Как будет'!X$45:X$52)</f>
        <v>0</v>
      </c>
      <c r="X253">
        <f>SUMIF('Как будет'!$A$45:$A$52,Доп.расчеты!$A253,'Как будет'!Y$45:Y$52)</f>
        <v>0</v>
      </c>
      <c r="Y253">
        <f>SUMIF('Как будет'!$A$45:$A$52,Доп.расчеты!$A253,'Как будет'!Z$45:Z$52)</f>
        <v>0</v>
      </c>
      <c r="Z253">
        <f>SUMIF('Как будет'!$A$45:$A$52,Доп.расчеты!$A253,'Как будет'!AA$45:AA$52)</f>
        <v>0</v>
      </c>
      <c r="AA253">
        <f>SUMIF('Как будет'!$A$45:$A$52,Доп.расчеты!$A253,'Как будет'!AB$45:AB$52)</f>
        <v>0</v>
      </c>
      <c r="AB253">
        <f>SUMIF('Как будет'!$A$45:$A$52,Доп.расчеты!$A253,'Как будет'!AC$45:AC$52)</f>
        <v>0</v>
      </c>
      <c r="AC253">
        <f>SUMIF('Как будет'!$A$45:$A$52,Доп.расчеты!$A253,'Как будет'!AD$45:AD$52)</f>
        <v>0</v>
      </c>
      <c r="AD253">
        <f>SUMIF('Как будет'!$A$45:$A$52,Доп.расчеты!$A253,'Как будет'!AE$45:AE$52)</f>
        <v>0</v>
      </c>
      <c r="AE253">
        <f>SUMIF('Как будет'!$A$45:$A$52,Доп.расчеты!$A253,'Как будет'!AF$45:AF$52)</f>
        <v>0</v>
      </c>
      <c r="AF253">
        <f>SUMIF('Как будет'!$A$45:$A$52,Доп.расчеты!$A253,'Как будет'!AG$45:AG$52)</f>
        <v>0</v>
      </c>
      <c r="AG253">
        <f>SUMIF('Как будет'!$A$45:$A$52,Доп.расчеты!$A253,'Как будет'!AH$45:AH$52)</f>
        <v>0</v>
      </c>
      <c r="AH253">
        <f>SUMIF('Как будет'!$A$45:$A$52,Доп.расчеты!$A253,'Как будет'!AI$45:AI$52)</f>
        <v>0</v>
      </c>
      <c r="AI253">
        <f>SUMIF('Как будет'!$A$45:$A$52,Доп.расчеты!$A253,'Как будет'!AJ$45:AJ$52)</f>
        <v>0</v>
      </c>
      <c r="AJ253">
        <f>SUMIF('Как будет'!$A$45:$A$52,Доп.расчеты!$A253,'Как будет'!AK$45:AK$52)</f>
        <v>0</v>
      </c>
      <c r="AK253">
        <f>SUMIF('Как будет'!$A$45:$A$52,Доп.расчеты!$A253,'Как будет'!AL$45:AL$52)</f>
        <v>0</v>
      </c>
      <c r="AL253">
        <f>SUMIF('Как будет'!$A$45:$A$52,Доп.расчеты!$A253,'Как будет'!AM$45:AM$52)</f>
        <v>0</v>
      </c>
      <c r="AM253">
        <f>SUMIF('Как будет'!$A$45:$A$52,Доп.расчеты!$A253,'Как будет'!AN$45:AN$52)</f>
        <v>0</v>
      </c>
      <c r="AN253">
        <f>SUMIF('Как будет'!$A$45:$A$52,Доп.расчеты!$A253,'Как будет'!AO$45:AO$52)</f>
        <v>0</v>
      </c>
      <c r="AO253">
        <f>SUMIF('Как будет'!$A$45:$A$52,Доп.расчеты!$A253,'Как будет'!AP$45:AP$52)</f>
        <v>0</v>
      </c>
      <c r="AP253">
        <f>SUMIF('Как будет'!$A$45:$A$52,Доп.расчеты!$A253,'Как будет'!AQ$45:AQ$52)</f>
        <v>0</v>
      </c>
      <c r="AQ253">
        <f>SUMIF('Как будет'!$A$45:$A$52,Доп.расчеты!$A253,'Как будет'!AR$45:AR$52)</f>
        <v>0</v>
      </c>
      <c r="AR253">
        <f>SUMIF('Как будет'!$A$45:$A$52,Доп.расчеты!$A253,'Как будет'!AS$45:AS$52)</f>
        <v>0</v>
      </c>
      <c r="AS253">
        <f>SUMIF('Как будет'!$A$45:$A$52,Доп.расчеты!$A253,'Как будет'!AT$45:AT$52)</f>
        <v>0</v>
      </c>
      <c r="AT253">
        <f>SUMIF('Как будет'!$A$45:$A$52,Доп.расчеты!$A253,'Как будет'!AU$45:AU$52)</f>
        <v>0</v>
      </c>
      <c r="AU253">
        <f>SUMIF('Как будет'!$A$45:$A$52,Доп.расчеты!$A253,'Как будет'!AV$45:AV$52)</f>
        <v>0</v>
      </c>
      <c r="AV253">
        <f>SUMIF('Как будет'!$A$45:$A$52,Доп.расчеты!$A253,'Как будет'!AW$45:AW$52)</f>
        <v>0</v>
      </c>
      <c r="AW253">
        <f>SUMIF('Как будет'!$A$45:$A$52,Доп.расчеты!$A253,'Как будет'!AX$45:AX$52)</f>
        <v>0</v>
      </c>
      <c r="AX253">
        <f>SUMIF('Как будет'!$A$45:$A$52,Доп.расчеты!$A253,'Как будет'!AY$45:AY$52)</f>
        <v>0</v>
      </c>
      <c r="AY253">
        <f>SUMIF('Как будет'!$A$45:$A$52,Доп.расчеты!$A253,'Как будет'!AZ$45:AZ$52)</f>
        <v>0</v>
      </c>
      <c r="AZ253">
        <f>SUMIF('Как будет'!$A$45:$A$52,Доп.расчеты!$A253,'Как будет'!BA$45:BA$52)</f>
        <v>0</v>
      </c>
      <c r="BA253">
        <f>SUMIF('Как будет'!$A$45:$A$52,Доп.расчеты!$A253,'Как будет'!BB$45:BB$52)</f>
        <v>0</v>
      </c>
      <c r="BB253">
        <f>SUMIF('Как будет'!$A$45:$A$52,Доп.расчеты!$A253,'Как будет'!BC$45:BC$52)</f>
        <v>0</v>
      </c>
      <c r="BC253">
        <f>SUMIF('Как будет'!$A$45:$A$52,Доп.расчеты!$A253,'Как будет'!BD$45:BD$52)</f>
        <v>0</v>
      </c>
      <c r="BD253">
        <f>SUMIF('Как будет'!$A$45:$A$52,Доп.расчеты!$A253,'Как будет'!BE$45:BE$52)</f>
        <v>0</v>
      </c>
      <c r="BE253">
        <f>SUMIF('Как будет'!$A$45:$A$52,Доп.расчеты!$A253,'Как будет'!BF$45:BF$52)</f>
        <v>0</v>
      </c>
      <c r="BF253">
        <f>SUMIF('Как будет'!$A$45:$A$52,Доп.расчеты!$A253,'Как будет'!BG$45:BG$52)</f>
        <v>0</v>
      </c>
      <c r="BG253">
        <f>SUMIF('Как будет'!$A$45:$A$52,Доп.расчеты!$A253,'Как будет'!BH$45:BH$52)</f>
        <v>0</v>
      </c>
      <c r="BH253">
        <f>SUMIF('Как будет'!$A$45:$A$52,Доп.расчеты!$A253,'Как будет'!BI$45:BI$52)</f>
        <v>0</v>
      </c>
      <c r="BI253">
        <f>SUMIF('Как будет'!$A$45:$A$52,Доп.расчеты!$A253,'Как будет'!BJ$45:BJ$52)</f>
        <v>0</v>
      </c>
      <c r="BJ253">
        <f>SUMIF('Как будет'!$A$45:$A$52,Доп.расчеты!$A253,'Как будет'!BK$45:BK$52)</f>
        <v>0</v>
      </c>
      <c r="BK253">
        <f>SUMIF('Как будет'!$A$45:$A$52,Доп.расчеты!$A253,'Как будет'!BL$45:BL$52)</f>
        <v>0</v>
      </c>
      <c r="BL253">
        <f>SUMIF('Как будет'!$A$45:$A$52,Доп.расчеты!$A253,'Как будет'!BM$45:BM$52)</f>
        <v>0</v>
      </c>
      <c r="BM253">
        <f>SUMIF('Как будет'!$A$45:$A$52,Доп.расчеты!$A253,'Как будет'!BN$45:BN$52)</f>
        <v>0</v>
      </c>
      <c r="BN253">
        <f>SUMIF('Как будет'!$A$45:$A$52,Доп.расчеты!$A253,'Как будет'!BO$45:BO$52)</f>
        <v>0</v>
      </c>
      <c r="BO253">
        <f>SUMIF('Как будет'!$A$45:$A$52,Доп.расчеты!$A253,'Как будет'!BP$45:BP$52)</f>
        <v>0</v>
      </c>
      <c r="BP253">
        <f>SUMIF('Как будет'!$A$45:$A$52,Доп.расчеты!$A253,'Как будет'!BQ$45:BQ$52)</f>
        <v>0</v>
      </c>
      <c r="BQ253">
        <f>SUMIF('Как будет'!$A$45:$A$52,Доп.расчеты!$A253,'Как будет'!BR$45:BR$52)</f>
        <v>0</v>
      </c>
      <c r="BR253">
        <f>SUMIF('Как будет'!$A$45:$A$52,Доп.расчеты!$A253,'Как будет'!BS$45:BS$52)</f>
        <v>0</v>
      </c>
      <c r="BS253">
        <f>SUMIF('Как будет'!$A$45:$A$52,Доп.расчеты!$A253,'Как будет'!BT$45:BT$52)</f>
        <v>0</v>
      </c>
      <c r="BT253">
        <f>SUMIF('Как будет'!$A$45:$A$52,Доп.расчеты!$A253,'Как будет'!BU$45:BU$52)</f>
        <v>0</v>
      </c>
      <c r="BU253">
        <f>SUMIF('Как будет'!$A$45:$A$52,Доп.расчеты!$A253,'Как будет'!BV$45:BV$52)</f>
        <v>0</v>
      </c>
      <c r="BV253">
        <f>SUMIF('Как будет'!$A$45:$A$52,Доп.расчеты!$A253,'Как будет'!BW$45:BW$52)</f>
        <v>0</v>
      </c>
      <c r="BW253">
        <f>SUMIF('Как будет'!$A$45:$A$52,Доп.расчеты!$A253,'Как будет'!BX$45:BX$52)</f>
        <v>0</v>
      </c>
      <c r="BX253">
        <f>SUMIF('Как будет'!$A$45:$A$52,Доп.расчеты!$A253,'Как будет'!BY$45:BY$52)</f>
        <v>0</v>
      </c>
      <c r="BY253">
        <f>SUMIF('Как будет'!$A$45:$A$52,Доп.расчеты!$A253,'Как будет'!BZ$45:BZ$52)</f>
        <v>0</v>
      </c>
      <c r="BZ253">
        <f>SUMIF('Как будет'!$A$45:$A$52,Доп.расчеты!$A253,'Как будет'!CA$45:CA$52)</f>
        <v>0</v>
      </c>
      <c r="CA253">
        <f>SUMIF('Как будет'!$A$45:$A$52,Доп.расчеты!$A253,'Как будет'!CB$45:CB$52)</f>
        <v>0</v>
      </c>
      <c r="CB253">
        <f>SUMIF('Как будет'!$A$45:$A$52,Доп.расчеты!$A253,'Как будет'!CC$45:CC$52)</f>
        <v>0</v>
      </c>
      <c r="CC253">
        <f>SUMIF('Как будет'!$A$45:$A$52,Доп.расчеты!$A253,'Как будет'!CD$45:CD$52)</f>
        <v>0</v>
      </c>
      <c r="CD253">
        <f>SUMIF('Как будет'!$A$45:$A$52,Доп.расчеты!$A253,'Как будет'!CE$45:CE$52)</f>
        <v>0</v>
      </c>
      <c r="CE253">
        <f>SUMIF('Как будет'!$A$45:$A$52,Доп.расчеты!$A253,'Как будет'!CF$45:CF$52)</f>
        <v>0</v>
      </c>
      <c r="CF253">
        <f>SUMIF('Как будет'!$A$45:$A$52,Доп.расчеты!$A253,'Как будет'!CG$45:CG$52)</f>
        <v>0</v>
      </c>
      <c r="CG253">
        <f>SUMIF('Как будет'!$A$45:$A$52,Доп.расчеты!$A253,'Как будет'!CH$45:CH$52)</f>
        <v>0</v>
      </c>
      <c r="CH253">
        <f>SUMIF('Как будет'!$A$45:$A$52,Доп.расчеты!$A253,'Как будет'!CI$45:CI$52)</f>
        <v>0</v>
      </c>
      <c r="CI253">
        <f>SUMIF('Как будет'!$A$45:$A$52,Доп.расчеты!$A253,'Как будет'!CJ$45:CJ$52)</f>
        <v>0</v>
      </c>
      <c r="CJ253">
        <f>SUMIF('Как будет'!$A$45:$A$52,Доп.расчеты!$A253,'Как будет'!CK$45:CK$52)</f>
        <v>0</v>
      </c>
      <c r="CK253">
        <f>SUMIF('Как будет'!$A$45:$A$52,Доп.расчеты!$A253,'Как будет'!CL$45:CL$52)</f>
        <v>0</v>
      </c>
      <c r="CL253">
        <f>SUMIF('Как будет'!$A$45:$A$52,Доп.расчеты!$A253,'Как будет'!CM$45:CM$52)</f>
        <v>0</v>
      </c>
      <c r="CM253">
        <f>SUMIF('Как будет'!$A$45:$A$52,Доп.расчеты!$A253,'Как будет'!CN$45:CN$52)</f>
        <v>0</v>
      </c>
      <c r="CN253">
        <f>SUMIF('Как будет'!$A$45:$A$52,Доп.расчеты!$A253,'Как будет'!CO$45:CO$52)</f>
        <v>0</v>
      </c>
      <c r="CO253">
        <f>SUMIF('Как будет'!$A$45:$A$52,Доп.расчеты!$A253,'Как будет'!CP$45:CP$52)</f>
        <v>0</v>
      </c>
      <c r="CP253">
        <f>SUMIF('Как будет'!$A$45:$A$52,Доп.расчеты!$A253,'Как будет'!CQ$45:CQ$52)</f>
        <v>0</v>
      </c>
      <c r="CQ253">
        <f>SUMIF('Как будет'!$A$45:$A$52,Доп.расчеты!$A253,'Как будет'!CR$45:CR$52)</f>
        <v>0</v>
      </c>
      <c r="CR253">
        <f>SUMIF('Как будет'!$A$45:$A$52,Доп.расчеты!$A253,'Как будет'!CS$45:CS$52)</f>
        <v>0</v>
      </c>
      <c r="CS253">
        <f>SUMIF('Как будет'!$A$45:$A$52,Доп.расчеты!$A253,'Как будет'!CT$45:CT$52)</f>
        <v>0</v>
      </c>
      <c r="CT253">
        <f>SUMIF('Как будет'!$A$45:$A$52,Доп.расчеты!$A253,'Как будет'!CU$45:CU$52)</f>
        <v>0</v>
      </c>
      <c r="CU253">
        <f>SUMIF('Как будет'!$A$45:$A$52,Доп.расчеты!$A253,'Как будет'!CV$45:CV$52)</f>
        <v>0</v>
      </c>
      <c r="CV253">
        <f>SUMIF('Как будет'!$A$45:$A$52,Доп.расчеты!$A253,'Как будет'!CW$45:CW$52)</f>
        <v>0</v>
      </c>
      <c r="CW253">
        <f>SUMIF('Как будет'!$A$45:$A$52,Доп.расчеты!$A253,'Как будет'!CX$45:CX$52)</f>
        <v>0</v>
      </c>
      <c r="CX253">
        <f>SUMIF('Как будет'!$A$45:$A$52,Доп.расчеты!$A253,'Как будет'!CY$45:CY$52)</f>
        <v>0</v>
      </c>
      <c r="CY253">
        <f>SUMIF('Как будет'!$A$45:$A$52,Доп.расчеты!$A253,'Как будет'!CZ$45:CZ$52)</f>
        <v>0</v>
      </c>
      <c r="CZ253">
        <f>SUMIF('Как будет'!$A$45:$A$52,Доп.расчеты!$A253,'Как будет'!DA$45:DA$52)</f>
        <v>0</v>
      </c>
      <c r="DA253">
        <f>SUMIF('Как будет'!$A$45:$A$52,Доп.расчеты!$A253,'Как будет'!DB$45:DB$52)</f>
        <v>0</v>
      </c>
      <c r="DB253">
        <f>SUMIF('Как будет'!$A$45:$A$52,Доп.расчеты!$A253,'Как будет'!DC$45:DC$52)</f>
        <v>0</v>
      </c>
      <c r="DC253">
        <f>SUMIF('Как будет'!$A$45:$A$52,Доп.расчеты!$A253,'Как будет'!DD$45:DD$52)</f>
        <v>0</v>
      </c>
      <c r="DD253">
        <f>SUMIF('Как будет'!$A$45:$A$52,Доп.расчеты!$A253,'Как будет'!DE$45:DE$52)</f>
        <v>0</v>
      </c>
      <c r="DE253">
        <f>SUMIF('Как будет'!$A$45:$A$52,Доп.расчеты!$A253,'Как будет'!DF$45:DF$52)</f>
        <v>0</v>
      </c>
      <c r="DF253">
        <f>SUMIF('Как будет'!$A$45:$A$52,Доп.расчеты!$A253,'Как будет'!DG$45:DG$52)</f>
        <v>0</v>
      </c>
      <c r="DG253">
        <f>SUMIF('Как будет'!$A$45:$A$52,Доп.расчеты!$A253,'Как будет'!DH$45:DH$52)</f>
        <v>0</v>
      </c>
      <c r="DH253">
        <f>SUMIF('Как будет'!$A$45:$A$52,Доп.расчеты!$A253,'Как будет'!DI$45:DI$52)</f>
        <v>0</v>
      </c>
      <c r="DI253">
        <f>SUMIF('Как будет'!$A$45:$A$52,Доп.расчеты!$A253,'Как будет'!DJ$45:DJ$52)</f>
        <v>0</v>
      </c>
      <c r="DJ253">
        <f>SUMIF('Как будет'!$A$45:$A$52,Доп.расчеты!$A253,'Как будет'!DK$45:DK$52)</f>
        <v>0</v>
      </c>
      <c r="DK253">
        <f>SUMIF('Как будет'!$A$45:$A$52,Доп.расчеты!$A253,'Как будет'!DL$45:DL$52)</f>
        <v>0</v>
      </c>
      <c r="DL253">
        <f>SUMIF('Как будет'!$A$45:$A$52,Доп.расчеты!$A253,'Как будет'!DM$45:DM$52)</f>
        <v>0</v>
      </c>
      <c r="DM253">
        <f>SUMIF('Как будет'!$A$45:$A$52,Доп.расчеты!$A253,'Как будет'!DN$45:DN$52)</f>
        <v>0</v>
      </c>
      <c r="DN253">
        <f>SUMIF('Как будет'!$A$45:$A$52,Доп.расчеты!$A253,'Как будет'!DO$45:DO$52)</f>
        <v>0</v>
      </c>
      <c r="DO253">
        <f>SUMIF('Как будет'!$A$45:$A$52,Доп.расчеты!$A253,'Как будет'!DP$45:DP$52)</f>
        <v>0</v>
      </c>
      <c r="DP253">
        <f>SUMIF('Как будет'!$A$45:$A$52,Доп.расчеты!$A253,'Как будет'!DQ$45:DQ$52)</f>
        <v>0</v>
      </c>
      <c r="DQ253">
        <f>SUMIF('Как будет'!$A$45:$A$52,Доп.расчеты!$A253,'Как будет'!DR$45:DR$52)</f>
        <v>0</v>
      </c>
      <c r="DR253">
        <f>SUMIF('Как будет'!$A$45:$A$52,Доп.расчеты!$A253,'Как будет'!DS$45:DS$52)</f>
        <v>0</v>
      </c>
      <c r="DS253">
        <f>SUMIF('Как будет'!$A$45:$A$52,Доп.расчеты!$A253,'Как будет'!DT$45:DT$52)</f>
        <v>0</v>
      </c>
      <c r="DT253">
        <f>SUMIF('Как будет'!$A$45:$A$52,Доп.расчеты!$A253,'Как будет'!DU$45:DU$52)</f>
        <v>0</v>
      </c>
      <c r="DU253">
        <f>SUMIF('Как будет'!$A$45:$A$52,Доп.расчеты!$A253,'Как будет'!DV$45:DV$52)</f>
        <v>0</v>
      </c>
      <c r="DV253">
        <f>SUMIF('Как будет'!$A$45:$A$52,Доп.расчеты!$A253,'Как будет'!DW$45:DW$52)</f>
        <v>0</v>
      </c>
      <c r="DW253">
        <f>SUMIF('Как будет'!$A$45:$A$52,Доп.расчеты!$A253,'Как будет'!DX$45:DX$52)</f>
        <v>0</v>
      </c>
      <c r="DX253">
        <f>SUMIF('Как будет'!$A$45:$A$52,Доп.расчеты!$A253,'Как будет'!DY$45:DY$52)</f>
        <v>0</v>
      </c>
      <c r="DY253">
        <f>SUMIF('Как будет'!$A$45:$A$52,Доп.расчеты!$A253,'Как будет'!DZ$45:DZ$52)</f>
        <v>0</v>
      </c>
      <c r="DZ253">
        <f>SUMIF('Как будет'!$A$45:$A$52,Доп.расчеты!$A253,'Как будет'!EA$45:EA$52)</f>
        <v>0</v>
      </c>
      <c r="EA253">
        <f>SUMIF('Как будет'!$A$45:$A$52,Доп.расчеты!$A253,'Как будет'!EB$45:EB$52)</f>
        <v>0</v>
      </c>
      <c r="EB253">
        <f>SUMIF('Как будет'!$A$45:$A$52,Доп.расчеты!$A253,'Как будет'!EC$45:EC$52)</f>
        <v>0</v>
      </c>
      <c r="EC253">
        <f>SUMIF('Как будет'!$A$45:$A$52,Доп.расчеты!$A253,'Как будет'!ED$45:ED$52)</f>
        <v>0</v>
      </c>
      <c r="ED253">
        <f>SUMIF('Как будет'!$A$45:$A$52,Доп.расчеты!$A253,'Как будет'!EE$45:EE$52)</f>
        <v>0</v>
      </c>
      <c r="EE253">
        <f>SUMIF('Как будет'!$A$45:$A$52,Доп.расчеты!$A253,'Как будет'!EF$45:EF$52)</f>
        <v>0</v>
      </c>
      <c r="EF253">
        <f>SUMIF('Как будет'!$A$45:$A$52,Доп.расчеты!$A253,'Как будет'!EG$45:EG$52)</f>
        <v>0</v>
      </c>
      <c r="EG253">
        <f>SUMIF('Как будет'!$A$45:$A$52,Доп.расчеты!$A253,'Как будет'!EH$45:EH$52)</f>
        <v>0</v>
      </c>
      <c r="EH253">
        <f>SUMIF('Как будет'!$A$45:$A$52,Доп.расчеты!$A253,'Как будет'!EI$45:EI$52)</f>
        <v>0</v>
      </c>
      <c r="EI253">
        <f>SUMIF('Как будет'!$A$45:$A$52,Доп.расчеты!$A253,'Как будет'!EJ$45:EJ$52)</f>
        <v>0</v>
      </c>
      <c r="EJ253">
        <f>SUMIF('Как будет'!$A$45:$A$52,Доп.расчеты!$A253,'Как будет'!EK$45:EK$52)</f>
        <v>0</v>
      </c>
      <c r="EK253">
        <f>SUMIF('Как будет'!$A$45:$A$52,Доп.расчеты!$A253,'Как будет'!EL$45:EL$52)</f>
        <v>0</v>
      </c>
      <c r="EL253">
        <f>SUMIF('Как будет'!$A$45:$A$52,Доп.расчеты!$A253,'Как будет'!EM$45:EM$52)</f>
        <v>0</v>
      </c>
      <c r="EM253">
        <f>SUMIF('Как будет'!$A$45:$A$52,Доп.расчеты!$A253,'Как будет'!EN$45:EN$52)</f>
        <v>0</v>
      </c>
      <c r="EN253">
        <f>SUMIF('Как будет'!$A$45:$A$52,Доп.расчеты!$A253,'Как будет'!EO$45:EO$52)</f>
        <v>0</v>
      </c>
      <c r="EO253">
        <f>SUMIF('Как будет'!$A$45:$A$52,Доп.расчеты!$A253,'Как будет'!EP$45:EP$52)</f>
        <v>0</v>
      </c>
      <c r="EP253">
        <f>SUMIF('Как будет'!$A$45:$A$52,Доп.расчеты!$A253,'Как будет'!EQ$45:EQ$52)</f>
        <v>0</v>
      </c>
      <c r="EQ253">
        <f>SUMIF('Как будет'!$A$45:$A$52,Доп.расчеты!$A253,'Как будет'!ER$45:ER$52)</f>
        <v>0</v>
      </c>
      <c r="ER253">
        <f>SUMIF('Как будет'!$A$45:$A$52,Доп.расчеты!$A253,'Как будет'!ES$45:ES$52)</f>
        <v>0</v>
      </c>
      <c r="ES253">
        <f>SUMIF('Как будет'!$A$45:$A$52,Доп.расчеты!$A253,'Как будет'!ET$45:ET$52)</f>
        <v>0</v>
      </c>
      <c r="ET253">
        <f>SUMIF('Как будет'!$A$45:$A$52,Доп.расчеты!$A253,'Как будет'!EU$45:EU$52)</f>
        <v>0</v>
      </c>
      <c r="EU253">
        <f>SUMIF('Как будет'!$A$45:$A$52,Доп.расчеты!$A253,'Как будет'!EV$45:EV$52)</f>
        <v>0</v>
      </c>
      <c r="EV253">
        <f>SUMIF('Как будет'!$A$45:$A$52,Доп.расчеты!$A253,'Как будет'!EW$45:EW$52)</f>
        <v>0</v>
      </c>
      <c r="EW253">
        <f>SUMIF('Как будет'!$A$45:$A$52,Доп.расчеты!$A253,'Как будет'!EX$45:EX$52)</f>
        <v>0</v>
      </c>
      <c r="EX253">
        <f>SUMIF('Как будет'!$A$45:$A$52,Доп.расчеты!$A253,'Как будет'!EY$45:EY$52)</f>
        <v>0</v>
      </c>
      <c r="EY253">
        <f>SUMIF('Как будет'!$A$45:$A$52,Доп.расчеты!$A253,'Как будет'!EZ$45:EZ$52)</f>
        <v>0</v>
      </c>
      <c r="EZ253">
        <f>SUMIF('Как будет'!$A$45:$A$52,Доп.расчеты!$A253,'Как будет'!FA$45:FA$52)</f>
        <v>0</v>
      </c>
      <c r="FA253">
        <f>SUMIF('Как будет'!$A$45:$A$52,Доп.расчеты!$A253,'Как будет'!FB$45:FB$52)</f>
        <v>0</v>
      </c>
      <c r="FB253">
        <f>SUMIF('Как будет'!$A$45:$A$52,Доп.расчеты!$A253,'Как будет'!FC$45:FC$52)</f>
        <v>0</v>
      </c>
      <c r="FC253">
        <f>SUMIF('Как будет'!$A$45:$A$52,Доп.расчеты!$A253,'Как будет'!FD$45:FD$52)</f>
        <v>0</v>
      </c>
      <c r="FD253">
        <f>SUMIF('Как будет'!$A$45:$A$52,Доп.расчеты!$A253,'Как будет'!FE$45:FE$52)</f>
        <v>0</v>
      </c>
      <c r="FE253">
        <f>SUMIF('Как будет'!$A$45:$A$52,Доп.расчеты!$A253,'Как будет'!FF$45:FF$52)</f>
        <v>0</v>
      </c>
      <c r="FF253">
        <f>SUMIF('Как будет'!$A$45:$A$52,Доп.расчеты!$A253,'Как будет'!FG$45:FG$52)</f>
        <v>0</v>
      </c>
      <c r="FG253">
        <f>SUMIF('Как будет'!$A$45:$A$52,Доп.расчеты!$A253,'Как будет'!FH$45:FH$52)</f>
        <v>0</v>
      </c>
      <c r="FH253">
        <f>SUMIF('Как будет'!$A$45:$A$52,Доп.расчеты!$A253,'Как будет'!FI$45:FI$52)</f>
        <v>0</v>
      </c>
      <c r="FI253">
        <f>SUMIF('Как будет'!$A$45:$A$52,Доп.расчеты!$A253,'Как будет'!FJ$45:FJ$52)</f>
        <v>0</v>
      </c>
      <c r="FJ253">
        <f>SUMIF('Как будет'!$A$45:$A$52,Доп.расчеты!$A253,'Как будет'!FK$45:FK$52)</f>
        <v>0</v>
      </c>
      <c r="FK253">
        <f>SUMIF('Как будет'!$A$45:$A$52,Доп.расчеты!$A253,'Как будет'!FL$45:FL$52)</f>
        <v>0</v>
      </c>
      <c r="FL253">
        <f>SUMIF('Как будет'!$A$45:$A$52,Доп.расчеты!$A253,'Как будет'!FM$45:FM$52)</f>
        <v>0</v>
      </c>
      <c r="FM253">
        <f>SUMIF('Как будет'!$A$45:$A$52,Доп.расчеты!$A253,'Как будет'!FN$45:FN$52)</f>
        <v>0</v>
      </c>
      <c r="FN253">
        <f>SUMIF('Как будет'!$A$45:$A$52,Доп.расчеты!$A253,'Как будет'!FO$45:FO$52)</f>
        <v>0</v>
      </c>
      <c r="FO253">
        <f>SUMIF('Как будет'!$A$45:$A$52,Доп.расчеты!$A253,'Как будет'!FP$45:FP$52)</f>
        <v>0</v>
      </c>
      <c r="FP253">
        <f>SUMIF('Как будет'!$A$45:$A$52,Доп.расчеты!$A253,'Как будет'!FQ$45:FQ$52)</f>
        <v>0</v>
      </c>
      <c r="FQ253">
        <f>SUMIF('Как будет'!$A$45:$A$52,Доп.расчеты!$A253,'Как будет'!FR$45:FR$52)</f>
        <v>0</v>
      </c>
      <c r="FR253">
        <f>SUMIF('Как будет'!$A$45:$A$52,Доп.расчеты!$A253,'Как будет'!FS$45:FS$52)</f>
        <v>0</v>
      </c>
      <c r="FS253">
        <f>SUMIF('Как будет'!$A$45:$A$52,Доп.расчеты!$A253,'Как будет'!FT$45:FT$52)</f>
        <v>0</v>
      </c>
      <c r="FT253">
        <f>SUMIF('Как будет'!$A$45:$A$52,Доп.расчеты!$A253,'Как будет'!FU$45:FU$52)</f>
        <v>0</v>
      </c>
      <c r="FU253">
        <f>SUMIF('Как будет'!$A$45:$A$52,Доп.расчеты!$A253,'Как будет'!FV$45:FV$52)</f>
        <v>0</v>
      </c>
      <c r="FV253">
        <f>SUMIF('Как будет'!$A$45:$A$52,Доп.расчеты!$A253,'Как будет'!FW$45:FW$52)</f>
        <v>0</v>
      </c>
      <c r="FW253">
        <f>SUMIF('Как будет'!$A$45:$A$52,Доп.расчеты!$A253,'Как будет'!FX$45:FX$52)</f>
        <v>0</v>
      </c>
      <c r="FX253">
        <f>SUMIF('Как будет'!$A$45:$A$52,Доп.расчеты!$A253,'Как будет'!FY$45:FY$52)</f>
        <v>0</v>
      </c>
      <c r="FY253">
        <f>SUMIF('Как будет'!$A$45:$A$52,Доп.расчеты!$A253,'Как будет'!FZ$45:FZ$52)</f>
        <v>0</v>
      </c>
      <c r="FZ253">
        <f>SUMIF('Как будет'!$A$45:$A$52,Доп.расчеты!$A253,'Как будет'!GA$45:GA$52)</f>
        <v>0</v>
      </c>
      <c r="GA253">
        <f>SUMIF('Как будет'!$A$45:$A$52,Доп.расчеты!$A253,'Как будет'!GB$45:GB$52)</f>
        <v>0</v>
      </c>
      <c r="GB253">
        <f>SUMIF('Как будет'!$A$45:$A$52,Доп.расчеты!$A253,'Как будет'!GC$45:GC$52)</f>
        <v>0</v>
      </c>
      <c r="GC253">
        <f>SUMIF('Как будет'!$A$45:$A$52,Доп.расчеты!$A253,'Как будет'!GD$45:GD$52)</f>
        <v>0</v>
      </c>
      <c r="GD253">
        <f>SUMIF('Как будет'!$A$45:$A$52,Доп.расчеты!$A253,'Как будет'!GE$45:GE$52)</f>
        <v>0</v>
      </c>
      <c r="GE253">
        <f>SUMIF('Как будет'!$A$45:$A$52,Доп.расчеты!$A253,'Как будет'!GF$45:GF$52)</f>
        <v>0</v>
      </c>
      <c r="GF253">
        <f>SUMIF('Как будет'!$A$45:$A$52,Доп.расчеты!$A253,'Как будет'!GG$45:GG$52)</f>
        <v>0</v>
      </c>
      <c r="GG253">
        <f>SUMIF('Как будет'!$A$45:$A$52,Доп.расчеты!$A253,'Как будет'!GH$45:GH$52)</f>
        <v>0</v>
      </c>
      <c r="GH253">
        <f>SUMIF('Как будет'!$A$45:$A$52,Доп.расчеты!$A253,'Как будет'!GI$45:GI$52)</f>
        <v>0</v>
      </c>
      <c r="GI253">
        <f>SUMIF('Как будет'!$A$45:$A$52,Доп.расчеты!$A253,'Как будет'!GJ$45:GJ$52)</f>
        <v>0</v>
      </c>
      <c r="GJ253">
        <f>SUMIF('Как будет'!$A$45:$A$52,Доп.расчеты!$A253,'Как будет'!GK$45:GK$52)</f>
        <v>0</v>
      </c>
      <c r="GK253">
        <f>SUMIF('Как будет'!$A$45:$A$52,Доп.расчеты!$A253,'Как будет'!GL$45:GL$52)</f>
        <v>0</v>
      </c>
      <c r="GL253">
        <f>SUMIF('Как будет'!$A$45:$A$52,Доп.расчеты!$A253,'Как будет'!GM$45:GM$52)</f>
        <v>0</v>
      </c>
      <c r="GM253">
        <f>SUMIF('Как будет'!$A$45:$A$52,Доп.расчеты!$A253,'Как будет'!GN$45:GN$52)</f>
        <v>0</v>
      </c>
      <c r="GN253">
        <f>SUMIF('Как будет'!$A$45:$A$52,Доп.расчеты!$A253,'Как будет'!GO$45:GO$52)</f>
        <v>0</v>
      </c>
      <c r="GO253">
        <f>SUMIF('Как будет'!$A$45:$A$52,Доп.расчеты!$A253,'Как будет'!GP$45:GP$52)</f>
        <v>0</v>
      </c>
      <c r="GP253">
        <f>SUMIF('Как будет'!$A$45:$A$52,Доп.расчеты!$A253,'Как будет'!GQ$45:GQ$52)</f>
        <v>0</v>
      </c>
      <c r="GQ253">
        <f>SUMIF('Как будет'!$A$45:$A$52,Доп.расчеты!$A253,'Как будет'!GR$45:GR$52)</f>
        <v>0</v>
      </c>
      <c r="GR253">
        <f>SUMIF('Как будет'!$A$45:$A$52,Доп.расчеты!$A253,'Как будет'!GS$45:GS$52)</f>
        <v>0</v>
      </c>
      <c r="GS253">
        <f>SUMIF('Как будет'!$A$45:$A$52,Доп.расчеты!$A253,'Как будет'!GT$45:GT$52)</f>
        <v>0</v>
      </c>
      <c r="GT253">
        <f>SUMIF('Как будет'!$A$45:$A$52,Доп.расчеты!$A253,'Как будет'!GU$45:GU$52)</f>
        <v>0</v>
      </c>
    </row>
    <row r="254" spans="1:202">
      <c r="A254" s="238" t="s">
        <v>103</v>
      </c>
      <c r="B254">
        <f>SUMIF('Как будет'!$A$45:$A$52,Доп.расчеты!$A254,'Как будет'!C$45:C$52)</f>
        <v>0</v>
      </c>
      <c r="C254">
        <f>SUMIF('Как будет'!$A$45:$A$52,Доп.расчеты!$A254,'Как будет'!D$45:D$52)</f>
        <v>0</v>
      </c>
      <c r="D254">
        <f>SUMIF('Как будет'!$A$45:$A$52,Доп.расчеты!$A254,'Как будет'!E$45:E$52)</f>
        <v>0</v>
      </c>
      <c r="E254">
        <f>SUMIF('Как будет'!$A$45:$A$52,Доп.расчеты!$A254,'Как будет'!F$45:F$52)</f>
        <v>0</v>
      </c>
      <c r="F254">
        <f>SUMIF('Как будет'!$A$45:$A$52,Доп.расчеты!$A254,'Как будет'!G$45:G$52)</f>
        <v>0</v>
      </c>
      <c r="G254">
        <f>SUMIF('Как будет'!$A$45:$A$52,Доп.расчеты!$A254,'Как будет'!H$45:H$52)</f>
        <v>0</v>
      </c>
      <c r="H254">
        <f>SUMIF('Как будет'!$A$45:$A$52,Доп.расчеты!$A254,'Как будет'!I$45:I$52)</f>
        <v>0</v>
      </c>
      <c r="I254">
        <f>SUMIF('Как будет'!$A$45:$A$52,Доп.расчеты!$A254,'Как будет'!J$45:J$52)</f>
        <v>0</v>
      </c>
      <c r="J254">
        <f>SUMIF('Как будет'!$A$45:$A$52,Доп.расчеты!$A254,'Как будет'!K$45:K$52)</f>
        <v>0</v>
      </c>
      <c r="K254">
        <f>SUMIF('Как будет'!$A$45:$A$52,Доп.расчеты!$A254,'Как будет'!L$45:L$52)</f>
        <v>0</v>
      </c>
      <c r="L254">
        <f>SUMIF('Как будет'!$A$45:$A$52,Доп.расчеты!$A254,'Как будет'!M$45:M$52)</f>
        <v>0</v>
      </c>
      <c r="M254">
        <f>SUMIF('Как будет'!$A$45:$A$52,Доп.расчеты!$A254,'Как будет'!N$45:N$52)</f>
        <v>0</v>
      </c>
      <c r="N254">
        <f>SUMIF('Как будет'!$A$45:$A$52,Доп.расчеты!$A254,'Как будет'!O$45:O$52)</f>
        <v>0</v>
      </c>
      <c r="O254">
        <f>SUMIF('Как будет'!$A$45:$A$52,Доп.расчеты!$A254,'Как будет'!P$45:P$52)</f>
        <v>0</v>
      </c>
      <c r="P254">
        <f>SUMIF('Как будет'!$A$45:$A$52,Доп.расчеты!$A254,'Как будет'!Q$45:Q$52)</f>
        <v>0</v>
      </c>
      <c r="Q254">
        <f>SUMIF('Как будет'!$A$45:$A$52,Доп.расчеты!$A254,'Как будет'!R$45:R$52)</f>
        <v>0</v>
      </c>
      <c r="R254">
        <f>SUMIF('Как будет'!$A$45:$A$52,Доп.расчеты!$A254,'Как будет'!S$45:S$52)</f>
        <v>0</v>
      </c>
      <c r="S254">
        <f>SUMIF('Как будет'!$A$45:$A$52,Доп.расчеты!$A254,'Как будет'!T$45:T$52)</f>
        <v>0</v>
      </c>
      <c r="T254">
        <f>SUMIF('Как будет'!$A$45:$A$52,Доп.расчеты!$A254,'Как будет'!U$45:U$52)</f>
        <v>0</v>
      </c>
      <c r="U254">
        <f>SUMIF('Как будет'!$A$45:$A$52,Доп.расчеты!$A254,'Как будет'!V$45:V$52)</f>
        <v>0</v>
      </c>
      <c r="V254">
        <f>SUMIF('Как будет'!$A$45:$A$52,Доп.расчеты!$A254,'Как будет'!W$45:W$52)</f>
        <v>0</v>
      </c>
      <c r="W254">
        <f>SUMIF('Как будет'!$A$45:$A$52,Доп.расчеты!$A254,'Как будет'!X$45:X$52)</f>
        <v>0</v>
      </c>
      <c r="X254">
        <f>SUMIF('Как будет'!$A$45:$A$52,Доп.расчеты!$A254,'Как будет'!Y$45:Y$52)</f>
        <v>0</v>
      </c>
      <c r="Y254">
        <f>SUMIF('Как будет'!$A$45:$A$52,Доп.расчеты!$A254,'Как будет'!Z$45:Z$52)</f>
        <v>0</v>
      </c>
      <c r="Z254">
        <f>SUMIF('Как будет'!$A$45:$A$52,Доп.расчеты!$A254,'Как будет'!AA$45:AA$52)</f>
        <v>0</v>
      </c>
      <c r="AA254">
        <f>SUMIF('Как будет'!$A$45:$A$52,Доп.расчеты!$A254,'Как будет'!AB$45:AB$52)</f>
        <v>0</v>
      </c>
      <c r="AB254">
        <f>SUMIF('Как будет'!$A$45:$A$52,Доп.расчеты!$A254,'Как будет'!AC$45:AC$52)</f>
        <v>0</v>
      </c>
      <c r="AC254">
        <f>SUMIF('Как будет'!$A$45:$A$52,Доп.расчеты!$A254,'Как будет'!AD$45:AD$52)</f>
        <v>0</v>
      </c>
      <c r="AD254">
        <f>SUMIF('Как будет'!$A$45:$A$52,Доп.расчеты!$A254,'Как будет'!AE$45:AE$52)</f>
        <v>0</v>
      </c>
      <c r="AE254">
        <f>SUMIF('Как будет'!$A$45:$A$52,Доп.расчеты!$A254,'Как будет'!AF$45:AF$52)</f>
        <v>0</v>
      </c>
      <c r="AF254">
        <f>SUMIF('Как будет'!$A$45:$A$52,Доп.расчеты!$A254,'Как будет'!AG$45:AG$52)</f>
        <v>0</v>
      </c>
      <c r="AG254">
        <f>SUMIF('Как будет'!$A$45:$A$52,Доп.расчеты!$A254,'Как будет'!AH$45:AH$52)</f>
        <v>0</v>
      </c>
      <c r="AH254">
        <f>SUMIF('Как будет'!$A$45:$A$52,Доп.расчеты!$A254,'Как будет'!AI$45:AI$52)</f>
        <v>0</v>
      </c>
      <c r="AI254">
        <f>SUMIF('Как будет'!$A$45:$A$52,Доп.расчеты!$A254,'Как будет'!AJ$45:AJ$52)</f>
        <v>0</v>
      </c>
      <c r="AJ254">
        <f>SUMIF('Как будет'!$A$45:$A$52,Доп.расчеты!$A254,'Как будет'!AK$45:AK$52)</f>
        <v>0</v>
      </c>
      <c r="AK254">
        <f>SUMIF('Как будет'!$A$45:$A$52,Доп.расчеты!$A254,'Как будет'!AL$45:AL$52)</f>
        <v>0</v>
      </c>
      <c r="AL254">
        <f>SUMIF('Как будет'!$A$45:$A$52,Доп.расчеты!$A254,'Как будет'!AM$45:AM$52)</f>
        <v>0</v>
      </c>
      <c r="AM254">
        <f>SUMIF('Как будет'!$A$45:$A$52,Доп.расчеты!$A254,'Как будет'!AN$45:AN$52)</f>
        <v>0</v>
      </c>
      <c r="AN254">
        <f>SUMIF('Как будет'!$A$45:$A$52,Доп.расчеты!$A254,'Как будет'!AO$45:AO$52)</f>
        <v>0</v>
      </c>
      <c r="AO254">
        <f>SUMIF('Как будет'!$A$45:$A$52,Доп.расчеты!$A254,'Как будет'!AP$45:AP$52)</f>
        <v>0</v>
      </c>
      <c r="AP254">
        <f>SUMIF('Как будет'!$A$45:$A$52,Доп.расчеты!$A254,'Как будет'!AQ$45:AQ$52)</f>
        <v>0</v>
      </c>
      <c r="AQ254">
        <f>SUMIF('Как будет'!$A$45:$A$52,Доп.расчеты!$A254,'Как будет'!AR$45:AR$52)</f>
        <v>0</v>
      </c>
      <c r="AR254">
        <f>SUMIF('Как будет'!$A$45:$A$52,Доп.расчеты!$A254,'Как будет'!AS$45:AS$52)</f>
        <v>0</v>
      </c>
      <c r="AS254">
        <f>SUMIF('Как будет'!$A$45:$A$52,Доп.расчеты!$A254,'Как будет'!AT$45:AT$52)</f>
        <v>0</v>
      </c>
      <c r="AT254">
        <f>SUMIF('Как будет'!$A$45:$A$52,Доп.расчеты!$A254,'Как будет'!AU$45:AU$52)</f>
        <v>0</v>
      </c>
      <c r="AU254">
        <f>SUMIF('Как будет'!$A$45:$A$52,Доп.расчеты!$A254,'Как будет'!AV$45:AV$52)</f>
        <v>0</v>
      </c>
      <c r="AV254">
        <f>SUMIF('Как будет'!$A$45:$A$52,Доп.расчеты!$A254,'Как будет'!AW$45:AW$52)</f>
        <v>0</v>
      </c>
      <c r="AW254">
        <f>SUMIF('Как будет'!$A$45:$A$52,Доп.расчеты!$A254,'Как будет'!AX$45:AX$52)</f>
        <v>0</v>
      </c>
      <c r="AX254">
        <f>SUMIF('Как будет'!$A$45:$A$52,Доп.расчеты!$A254,'Как будет'!AY$45:AY$52)</f>
        <v>0</v>
      </c>
      <c r="AY254">
        <f>SUMIF('Как будет'!$A$45:$A$52,Доп.расчеты!$A254,'Как будет'!AZ$45:AZ$52)</f>
        <v>0</v>
      </c>
      <c r="AZ254">
        <f>SUMIF('Как будет'!$A$45:$A$52,Доп.расчеты!$A254,'Как будет'!BA$45:BA$52)</f>
        <v>0</v>
      </c>
      <c r="BA254">
        <f>SUMIF('Как будет'!$A$45:$A$52,Доп.расчеты!$A254,'Как будет'!BB$45:BB$52)</f>
        <v>0</v>
      </c>
      <c r="BB254">
        <f>SUMIF('Как будет'!$A$45:$A$52,Доп.расчеты!$A254,'Как будет'!BC$45:BC$52)</f>
        <v>0</v>
      </c>
      <c r="BC254">
        <f>SUMIF('Как будет'!$A$45:$A$52,Доп.расчеты!$A254,'Как будет'!BD$45:BD$52)</f>
        <v>0</v>
      </c>
      <c r="BD254">
        <f>SUMIF('Как будет'!$A$45:$A$52,Доп.расчеты!$A254,'Как будет'!BE$45:BE$52)</f>
        <v>0</v>
      </c>
      <c r="BE254">
        <f>SUMIF('Как будет'!$A$45:$A$52,Доп.расчеты!$A254,'Как будет'!BF$45:BF$52)</f>
        <v>0</v>
      </c>
      <c r="BF254">
        <f>SUMIF('Как будет'!$A$45:$A$52,Доп.расчеты!$A254,'Как будет'!BG$45:BG$52)</f>
        <v>0</v>
      </c>
      <c r="BG254">
        <f>SUMIF('Как будет'!$A$45:$A$52,Доп.расчеты!$A254,'Как будет'!BH$45:BH$52)</f>
        <v>0</v>
      </c>
      <c r="BH254">
        <f>SUMIF('Как будет'!$A$45:$A$52,Доп.расчеты!$A254,'Как будет'!BI$45:BI$52)</f>
        <v>0</v>
      </c>
      <c r="BI254">
        <f>SUMIF('Как будет'!$A$45:$A$52,Доп.расчеты!$A254,'Как будет'!BJ$45:BJ$52)</f>
        <v>0</v>
      </c>
      <c r="BJ254">
        <f>SUMIF('Как будет'!$A$45:$A$52,Доп.расчеты!$A254,'Как будет'!BK$45:BK$52)</f>
        <v>0</v>
      </c>
      <c r="BK254">
        <f>SUMIF('Как будет'!$A$45:$A$52,Доп.расчеты!$A254,'Как будет'!BL$45:BL$52)</f>
        <v>0</v>
      </c>
      <c r="BL254">
        <f>SUMIF('Как будет'!$A$45:$A$52,Доп.расчеты!$A254,'Как будет'!BM$45:BM$52)</f>
        <v>0</v>
      </c>
      <c r="BM254">
        <f>SUMIF('Как будет'!$A$45:$A$52,Доп.расчеты!$A254,'Как будет'!BN$45:BN$52)</f>
        <v>0</v>
      </c>
      <c r="BN254">
        <f>SUMIF('Как будет'!$A$45:$A$52,Доп.расчеты!$A254,'Как будет'!BO$45:BO$52)</f>
        <v>0</v>
      </c>
      <c r="BO254">
        <f>SUMIF('Как будет'!$A$45:$A$52,Доп.расчеты!$A254,'Как будет'!BP$45:BP$52)</f>
        <v>0</v>
      </c>
      <c r="BP254">
        <f>SUMIF('Как будет'!$A$45:$A$52,Доп.расчеты!$A254,'Как будет'!BQ$45:BQ$52)</f>
        <v>0</v>
      </c>
      <c r="BQ254">
        <f>SUMIF('Как будет'!$A$45:$A$52,Доп.расчеты!$A254,'Как будет'!BR$45:BR$52)</f>
        <v>0</v>
      </c>
      <c r="BR254">
        <f>SUMIF('Как будет'!$A$45:$A$52,Доп.расчеты!$A254,'Как будет'!BS$45:BS$52)</f>
        <v>0</v>
      </c>
      <c r="BS254">
        <f>SUMIF('Как будет'!$A$45:$A$52,Доп.расчеты!$A254,'Как будет'!BT$45:BT$52)</f>
        <v>0</v>
      </c>
      <c r="BT254">
        <f>SUMIF('Как будет'!$A$45:$A$52,Доп.расчеты!$A254,'Как будет'!BU$45:BU$52)</f>
        <v>0</v>
      </c>
      <c r="BU254">
        <f>SUMIF('Как будет'!$A$45:$A$52,Доп.расчеты!$A254,'Как будет'!BV$45:BV$52)</f>
        <v>0</v>
      </c>
      <c r="BV254">
        <f>SUMIF('Как будет'!$A$45:$A$52,Доп.расчеты!$A254,'Как будет'!BW$45:BW$52)</f>
        <v>0</v>
      </c>
      <c r="BW254">
        <f>SUMIF('Как будет'!$A$45:$A$52,Доп.расчеты!$A254,'Как будет'!BX$45:BX$52)</f>
        <v>0</v>
      </c>
      <c r="BX254">
        <f>SUMIF('Как будет'!$A$45:$A$52,Доп.расчеты!$A254,'Как будет'!BY$45:BY$52)</f>
        <v>0</v>
      </c>
      <c r="BY254">
        <f>SUMIF('Как будет'!$A$45:$A$52,Доп.расчеты!$A254,'Как будет'!BZ$45:BZ$52)</f>
        <v>0</v>
      </c>
      <c r="BZ254">
        <f>SUMIF('Как будет'!$A$45:$A$52,Доп.расчеты!$A254,'Как будет'!CA$45:CA$52)</f>
        <v>0</v>
      </c>
      <c r="CA254">
        <f>SUMIF('Как будет'!$A$45:$A$52,Доп.расчеты!$A254,'Как будет'!CB$45:CB$52)</f>
        <v>0</v>
      </c>
      <c r="CB254">
        <f>SUMIF('Как будет'!$A$45:$A$52,Доп.расчеты!$A254,'Как будет'!CC$45:CC$52)</f>
        <v>0</v>
      </c>
      <c r="CC254">
        <f>SUMIF('Как будет'!$A$45:$A$52,Доп.расчеты!$A254,'Как будет'!CD$45:CD$52)</f>
        <v>0</v>
      </c>
      <c r="CD254">
        <f>SUMIF('Как будет'!$A$45:$A$52,Доп.расчеты!$A254,'Как будет'!CE$45:CE$52)</f>
        <v>0</v>
      </c>
      <c r="CE254">
        <f>SUMIF('Как будет'!$A$45:$A$52,Доп.расчеты!$A254,'Как будет'!CF$45:CF$52)</f>
        <v>0</v>
      </c>
      <c r="CF254">
        <f>SUMIF('Как будет'!$A$45:$A$52,Доп.расчеты!$A254,'Как будет'!CG$45:CG$52)</f>
        <v>0</v>
      </c>
      <c r="CG254">
        <f>SUMIF('Как будет'!$A$45:$A$52,Доп.расчеты!$A254,'Как будет'!CH$45:CH$52)</f>
        <v>0</v>
      </c>
      <c r="CH254">
        <f>SUMIF('Как будет'!$A$45:$A$52,Доп.расчеты!$A254,'Как будет'!CI$45:CI$52)</f>
        <v>0</v>
      </c>
      <c r="CI254">
        <f>SUMIF('Как будет'!$A$45:$A$52,Доп.расчеты!$A254,'Как будет'!CJ$45:CJ$52)</f>
        <v>0</v>
      </c>
      <c r="CJ254">
        <f>SUMIF('Как будет'!$A$45:$A$52,Доп.расчеты!$A254,'Как будет'!CK$45:CK$52)</f>
        <v>0</v>
      </c>
      <c r="CK254">
        <f>SUMIF('Как будет'!$A$45:$A$52,Доп.расчеты!$A254,'Как будет'!CL$45:CL$52)</f>
        <v>0</v>
      </c>
      <c r="CL254">
        <f>SUMIF('Как будет'!$A$45:$A$52,Доп.расчеты!$A254,'Как будет'!CM$45:CM$52)</f>
        <v>0</v>
      </c>
      <c r="CM254">
        <f>SUMIF('Как будет'!$A$45:$A$52,Доп.расчеты!$A254,'Как будет'!CN$45:CN$52)</f>
        <v>0</v>
      </c>
      <c r="CN254">
        <f>SUMIF('Как будет'!$A$45:$A$52,Доп.расчеты!$A254,'Как будет'!CO$45:CO$52)</f>
        <v>0</v>
      </c>
      <c r="CO254">
        <f>SUMIF('Как будет'!$A$45:$A$52,Доп.расчеты!$A254,'Как будет'!CP$45:CP$52)</f>
        <v>0</v>
      </c>
      <c r="CP254">
        <f>SUMIF('Как будет'!$A$45:$A$52,Доп.расчеты!$A254,'Как будет'!CQ$45:CQ$52)</f>
        <v>0</v>
      </c>
      <c r="CQ254">
        <f>SUMIF('Как будет'!$A$45:$A$52,Доп.расчеты!$A254,'Как будет'!CR$45:CR$52)</f>
        <v>0</v>
      </c>
      <c r="CR254">
        <f>SUMIF('Как будет'!$A$45:$A$52,Доп.расчеты!$A254,'Как будет'!CS$45:CS$52)</f>
        <v>0</v>
      </c>
      <c r="CS254">
        <f>SUMIF('Как будет'!$A$45:$A$52,Доп.расчеты!$A254,'Как будет'!CT$45:CT$52)</f>
        <v>0</v>
      </c>
      <c r="CT254">
        <f>SUMIF('Как будет'!$A$45:$A$52,Доп.расчеты!$A254,'Как будет'!CU$45:CU$52)</f>
        <v>0</v>
      </c>
      <c r="CU254">
        <f>SUMIF('Как будет'!$A$45:$A$52,Доп.расчеты!$A254,'Как будет'!CV$45:CV$52)</f>
        <v>0</v>
      </c>
      <c r="CV254">
        <f>SUMIF('Как будет'!$A$45:$A$52,Доп.расчеты!$A254,'Как будет'!CW$45:CW$52)</f>
        <v>0</v>
      </c>
      <c r="CW254">
        <f>SUMIF('Как будет'!$A$45:$A$52,Доп.расчеты!$A254,'Как будет'!CX$45:CX$52)</f>
        <v>0</v>
      </c>
      <c r="CX254">
        <f>SUMIF('Как будет'!$A$45:$A$52,Доп.расчеты!$A254,'Как будет'!CY$45:CY$52)</f>
        <v>0</v>
      </c>
      <c r="CY254">
        <f>SUMIF('Как будет'!$A$45:$A$52,Доп.расчеты!$A254,'Как будет'!CZ$45:CZ$52)</f>
        <v>0</v>
      </c>
      <c r="CZ254">
        <f>SUMIF('Как будет'!$A$45:$A$52,Доп.расчеты!$A254,'Как будет'!DA$45:DA$52)</f>
        <v>0</v>
      </c>
      <c r="DA254">
        <f>SUMIF('Как будет'!$A$45:$A$52,Доп.расчеты!$A254,'Как будет'!DB$45:DB$52)</f>
        <v>0</v>
      </c>
      <c r="DB254">
        <f>SUMIF('Как будет'!$A$45:$A$52,Доп.расчеты!$A254,'Как будет'!DC$45:DC$52)</f>
        <v>0</v>
      </c>
      <c r="DC254">
        <f>SUMIF('Как будет'!$A$45:$A$52,Доп.расчеты!$A254,'Как будет'!DD$45:DD$52)</f>
        <v>0</v>
      </c>
      <c r="DD254">
        <f>SUMIF('Как будет'!$A$45:$A$52,Доп.расчеты!$A254,'Как будет'!DE$45:DE$52)</f>
        <v>0</v>
      </c>
      <c r="DE254">
        <f>SUMIF('Как будет'!$A$45:$A$52,Доп.расчеты!$A254,'Как будет'!DF$45:DF$52)</f>
        <v>0</v>
      </c>
      <c r="DF254">
        <f>SUMIF('Как будет'!$A$45:$A$52,Доп.расчеты!$A254,'Как будет'!DG$45:DG$52)</f>
        <v>0</v>
      </c>
      <c r="DG254">
        <f>SUMIF('Как будет'!$A$45:$A$52,Доп.расчеты!$A254,'Как будет'!DH$45:DH$52)</f>
        <v>0</v>
      </c>
      <c r="DH254">
        <f>SUMIF('Как будет'!$A$45:$A$52,Доп.расчеты!$A254,'Как будет'!DI$45:DI$52)</f>
        <v>0</v>
      </c>
      <c r="DI254">
        <f>SUMIF('Как будет'!$A$45:$A$52,Доп.расчеты!$A254,'Как будет'!DJ$45:DJ$52)</f>
        <v>0</v>
      </c>
      <c r="DJ254">
        <f>SUMIF('Как будет'!$A$45:$A$52,Доп.расчеты!$A254,'Как будет'!DK$45:DK$52)</f>
        <v>0</v>
      </c>
      <c r="DK254">
        <f>SUMIF('Как будет'!$A$45:$A$52,Доп.расчеты!$A254,'Как будет'!DL$45:DL$52)</f>
        <v>0</v>
      </c>
      <c r="DL254">
        <f>SUMIF('Как будет'!$A$45:$A$52,Доп.расчеты!$A254,'Как будет'!DM$45:DM$52)</f>
        <v>0</v>
      </c>
      <c r="DM254">
        <f>SUMIF('Как будет'!$A$45:$A$52,Доп.расчеты!$A254,'Как будет'!DN$45:DN$52)</f>
        <v>0</v>
      </c>
      <c r="DN254">
        <f>SUMIF('Как будет'!$A$45:$A$52,Доп.расчеты!$A254,'Как будет'!DO$45:DO$52)</f>
        <v>0</v>
      </c>
      <c r="DO254">
        <f>SUMIF('Как будет'!$A$45:$A$52,Доп.расчеты!$A254,'Как будет'!DP$45:DP$52)</f>
        <v>0</v>
      </c>
      <c r="DP254">
        <f>SUMIF('Как будет'!$A$45:$A$52,Доп.расчеты!$A254,'Как будет'!DQ$45:DQ$52)</f>
        <v>0</v>
      </c>
      <c r="DQ254">
        <f>SUMIF('Как будет'!$A$45:$A$52,Доп.расчеты!$A254,'Как будет'!DR$45:DR$52)</f>
        <v>0</v>
      </c>
      <c r="DR254">
        <f>SUMIF('Как будет'!$A$45:$A$52,Доп.расчеты!$A254,'Как будет'!DS$45:DS$52)</f>
        <v>0</v>
      </c>
      <c r="DS254">
        <f>SUMIF('Как будет'!$A$45:$A$52,Доп.расчеты!$A254,'Как будет'!DT$45:DT$52)</f>
        <v>0</v>
      </c>
      <c r="DT254">
        <f>SUMIF('Как будет'!$A$45:$A$52,Доп.расчеты!$A254,'Как будет'!DU$45:DU$52)</f>
        <v>0</v>
      </c>
      <c r="DU254">
        <f>SUMIF('Как будет'!$A$45:$A$52,Доп.расчеты!$A254,'Как будет'!DV$45:DV$52)</f>
        <v>0</v>
      </c>
      <c r="DV254">
        <f>SUMIF('Как будет'!$A$45:$A$52,Доп.расчеты!$A254,'Как будет'!DW$45:DW$52)</f>
        <v>0</v>
      </c>
      <c r="DW254">
        <f>SUMIF('Как будет'!$A$45:$A$52,Доп.расчеты!$A254,'Как будет'!DX$45:DX$52)</f>
        <v>0</v>
      </c>
      <c r="DX254">
        <f>SUMIF('Как будет'!$A$45:$A$52,Доп.расчеты!$A254,'Как будет'!DY$45:DY$52)</f>
        <v>0</v>
      </c>
      <c r="DY254">
        <f>SUMIF('Как будет'!$A$45:$A$52,Доп.расчеты!$A254,'Как будет'!DZ$45:DZ$52)</f>
        <v>0</v>
      </c>
      <c r="DZ254">
        <f>SUMIF('Как будет'!$A$45:$A$52,Доп.расчеты!$A254,'Как будет'!EA$45:EA$52)</f>
        <v>0</v>
      </c>
      <c r="EA254">
        <f>SUMIF('Как будет'!$A$45:$A$52,Доп.расчеты!$A254,'Как будет'!EB$45:EB$52)</f>
        <v>0</v>
      </c>
      <c r="EB254">
        <f>SUMIF('Как будет'!$A$45:$A$52,Доп.расчеты!$A254,'Как будет'!EC$45:EC$52)</f>
        <v>0</v>
      </c>
      <c r="EC254">
        <f>SUMIF('Как будет'!$A$45:$A$52,Доп.расчеты!$A254,'Как будет'!ED$45:ED$52)</f>
        <v>0</v>
      </c>
      <c r="ED254">
        <f>SUMIF('Как будет'!$A$45:$A$52,Доп.расчеты!$A254,'Как будет'!EE$45:EE$52)</f>
        <v>0</v>
      </c>
      <c r="EE254">
        <f>SUMIF('Как будет'!$A$45:$A$52,Доп.расчеты!$A254,'Как будет'!EF$45:EF$52)</f>
        <v>0</v>
      </c>
      <c r="EF254">
        <f>SUMIF('Как будет'!$A$45:$A$52,Доп.расчеты!$A254,'Как будет'!EG$45:EG$52)</f>
        <v>0</v>
      </c>
      <c r="EG254">
        <f>SUMIF('Как будет'!$A$45:$A$52,Доп.расчеты!$A254,'Как будет'!EH$45:EH$52)</f>
        <v>0</v>
      </c>
      <c r="EH254">
        <f>SUMIF('Как будет'!$A$45:$A$52,Доп.расчеты!$A254,'Как будет'!EI$45:EI$52)</f>
        <v>0</v>
      </c>
      <c r="EI254">
        <f>SUMIF('Как будет'!$A$45:$A$52,Доп.расчеты!$A254,'Как будет'!EJ$45:EJ$52)</f>
        <v>0</v>
      </c>
      <c r="EJ254">
        <f>SUMIF('Как будет'!$A$45:$A$52,Доп.расчеты!$A254,'Как будет'!EK$45:EK$52)</f>
        <v>0</v>
      </c>
      <c r="EK254">
        <f>SUMIF('Как будет'!$A$45:$A$52,Доп.расчеты!$A254,'Как будет'!EL$45:EL$52)</f>
        <v>0</v>
      </c>
      <c r="EL254">
        <f>SUMIF('Как будет'!$A$45:$A$52,Доп.расчеты!$A254,'Как будет'!EM$45:EM$52)</f>
        <v>0</v>
      </c>
      <c r="EM254">
        <f>SUMIF('Как будет'!$A$45:$A$52,Доп.расчеты!$A254,'Как будет'!EN$45:EN$52)</f>
        <v>0</v>
      </c>
      <c r="EN254">
        <f>SUMIF('Как будет'!$A$45:$A$52,Доп.расчеты!$A254,'Как будет'!EO$45:EO$52)</f>
        <v>0</v>
      </c>
      <c r="EO254">
        <f>SUMIF('Как будет'!$A$45:$A$52,Доп.расчеты!$A254,'Как будет'!EP$45:EP$52)</f>
        <v>0</v>
      </c>
      <c r="EP254">
        <f>SUMIF('Как будет'!$A$45:$A$52,Доп.расчеты!$A254,'Как будет'!EQ$45:EQ$52)</f>
        <v>0</v>
      </c>
      <c r="EQ254">
        <f>SUMIF('Как будет'!$A$45:$A$52,Доп.расчеты!$A254,'Как будет'!ER$45:ER$52)</f>
        <v>0</v>
      </c>
      <c r="ER254">
        <f>SUMIF('Как будет'!$A$45:$A$52,Доп.расчеты!$A254,'Как будет'!ES$45:ES$52)</f>
        <v>0</v>
      </c>
      <c r="ES254">
        <f>SUMIF('Как будет'!$A$45:$A$52,Доп.расчеты!$A254,'Как будет'!ET$45:ET$52)</f>
        <v>0</v>
      </c>
      <c r="ET254">
        <f>SUMIF('Как будет'!$A$45:$A$52,Доп.расчеты!$A254,'Как будет'!EU$45:EU$52)</f>
        <v>0</v>
      </c>
      <c r="EU254">
        <f>SUMIF('Как будет'!$A$45:$A$52,Доп.расчеты!$A254,'Как будет'!EV$45:EV$52)</f>
        <v>0</v>
      </c>
      <c r="EV254">
        <f>SUMIF('Как будет'!$A$45:$A$52,Доп.расчеты!$A254,'Как будет'!EW$45:EW$52)</f>
        <v>0</v>
      </c>
      <c r="EW254">
        <f>SUMIF('Как будет'!$A$45:$A$52,Доп.расчеты!$A254,'Как будет'!EX$45:EX$52)</f>
        <v>0</v>
      </c>
      <c r="EX254">
        <f>SUMIF('Как будет'!$A$45:$A$52,Доп.расчеты!$A254,'Как будет'!EY$45:EY$52)</f>
        <v>0</v>
      </c>
      <c r="EY254">
        <f>SUMIF('Как будет'!$A$45:$A$52,Доп.расчеты!$A254,'Как будет'!EZ$45:EZ$52)</f>
        <v>0</v>
      </c>
      <c r="EZ254">
        <f>SUMIF('Как будет'!$A$45:$A$52,Доп.расчеты!$A254,'Как будет'!FA$45:FA$52)</f>
        <v>0</v>
      </c>
      <c r="FA254">
        <f>SUMIF('Как будет'!$A$45:$A$52,Доп.расчеты!$A254,'Как будет'!FB$45:FB$52)</f>
        <v>0</v>
      </c>
      <c r="FB254">
        <f>SUMIF('Как будет'!$A$45:$A$52,Доп.расчеты!$A254,'Как будет'!FC$45:FC$52)</f>
        <v>0</v>
      </c>
      <c r="FC254">
        <f>SUMIF('Как будет'!$A$45:$A$52,Доп.расчеты!$A254,'Как будет'!FD$45:FD$52)</f>
        <v>0</v>
      </c>
      <c r="FD254">
        <f>SUMIF('Как будет'!$A$45:$A$52,Доп.расчеты!$A254,'Как будет'!FE$45:FE$52)</f>
        <v>0</v>
      </c>
      <c r="FE254">
        <f>SUMIF('Как будет'!$A$45:$A$52,Доп.расчеты!$A254,'Как будет'!FF$45:FF$52)</f>
        <v>0</v>
      </c>
      <c r="FF254">
        <f>SUMIF('Как будет'!$A$45:$A$52,Доп.расчеты!$A254,'Как будет'!FG$45:FG$52)</f>
        <v>0</v>
      </c>
      <c r="FG254">
        <f>SUMIF('Как будет'!$A$45:$A$52,Доп.расчеты!$A254,'Как будет'!FH$45:FH$52)</f>
        <v>0</v>
      </c>
      <c r="FH254">
        <f>SUMIF('Как будет'!$A$45:$A$52,Доп.расчеты!$A254,'Как будет'!FI$45:FI$52)</f>
        <v>0</v>
      </c>
      <c r="FI254">
        <f>SUMIF('Как будет'!$A$45:$A$52,Доп.расчеты!$A254,'Как будет'!FJ$45:FJ$52)</f>
        <v>0</v>
      </c>
      <c r="FJ254">
        <f>SUMIF('Как будет'!$A$45:$A$52,Доп.расчеты!$A254,'Как будет'!FK$45:FK$52)</f>
        <v>0</v>
      </c>
      <c r="FK254">
        <f>SUMIF('Как будет'!$A$45:$A$52,Доп.расчеты!$A254,'Как будет'!FL$45:FL$52)</f>
        <v>0</v>
      </c>
      <c r="FL254">
        <f>SUMIF('Как будет'!$A$45:$A$52,Доп.расчеты!$A254,'Как будет'!FM$45:FM$52)</f>
        <v>0</v>
      </c>
      <c r="FM254">
        <f>SUMIF('Как будет'!$A$45:$A$52,Доп.расчеты!$A254,'Как будет'!FN$45:FN$52)</f>
        <v>0</v>
      </c>
      <c r="FN254">
        <f>SUMIF('Как будет'!$A$45:$A$52,Доп.расчеты!$A254,'Как будет'!FO$45:FO$52)</f>
        <v>0</v>
      </c>
      <c r="FO254">
        <f>SUMIF('Как будет'!$A$45:$A$52,Доп.расчеты!$A254,'Как будет'!FP$45:FP$52)</f>
        <v>0</v>
      </c>
      <c r="FP254">
        <f>SUMIF('Как будет'!$A$45:$A$52,Доп.расчеты!$A254,'Как будет'!FQ$45:FQ$52)</f>
        <v>0</v>
      </c>
      <c r="FQ254">
        <f>SUMIF('Как будет'!$A$45:$A$52,Доп.расчеты!$A254,'Как будет'!FR$45:FR$52)</f>
        <v>0</v>
      </c>
      <c r="FR254">
        <f>SUMIF('Как будет'!$A$45:$A$52,Доп.расчеты!$A254,'Как будет'!FS$45:FS$52)</f>
        <v>0</v>
      </c>
      <c r="FS254">
        <f>SUMIF('Как будет'!$A$45:$A$52,Доп.расчеты!$A254,'Как будет'!FT$45:FT$52)</f>
        <v>0</v>
      </c>
      <c r="FT254">
        <f>SUMIF('Как будет'!$A$45:$A$52,Доп.расчеты!$A254,'Как будет'!FU$45:FU$52)</f>
        <v>0</v>
      </c>
      <c r="FU254">
        <f>SUMIF('Как будет'!$A$45:$A$52,Доп.расчеты!$A254,'Как будет'!FV$45:FV$52)</f>
        <v>0</v>
      </c>
      <c r="FV254">
        <f>SUMIF('Как будет'!$A$45:$A$52,Доп.расчеты!$A254,'Как будет'!FW$45:FW$52)</f>
        <v>0</v>
      </c>
      <c r="FW254">
        <f>SUMIF('Как будет'!$A$45:$A$52,Доп.расчеты!$A254,'Как будет'!FX$45:FX$52)</f>
        <v>0</v>
      </c>
      <c r="FX254">
        <f>SUMIF('Как будет'!$A$45:$A$52,Доп.расчеты!$A254,'Как будет'!FY$45:FY$52)</f>
        <v>0</v>
      </c>
      <c r="FY254">
        <f>SUMIF('Как будет'!$A$45:$A$52,Доп.расчеты!$A254,'Как будет'!FZ$45:FZ$52)</f>
        <v>0</v>
      </c>
      <c r="FZ254">
        <f>SUMIF('Как будет'!$A$45:$A$52,Доп.расчеты!$A254,'Как будет'!GA$45:GA$52)</f>
        <v>0</v>
      </c>
      <c r="GA254">
        <f>SUMIF('Как будет'!$A$45:$A$52,Доп.расчеты!$A254,'Как будет'!GB$45:GB$52)</f>
        <v>0</v>
      </c>
      <c r="GB254">
        <f>SUMIF('Как будет'!$A$45:$A$52,Доп.расчеты!$A254,'Как будет'!GC$45:GC$52)</f>
        <v>0</v>
      </c>
      <c r="GC254">
        <f>SUMIF('Как будет'!$A$45:$A$52,Доп.расчеты!$A254,'Как будет'!GD$45:GD$52)</f>
        <v>0</v>
      </c>
      <c r="GD254">
        <f>SUMIF('Как будет'!$A$45:$A$52,Доп.расчеты!$A254,'Как будет'!GE$45:GE$52)</f>
        <v>0</v>
      </c>
      <c r="GE254">
        <f>SUMIF('Как будет'!$A$45:$A$52,Доп.расчеты!$A254,'Как будет'!GF$45:GF$52)</f>
        <v>0</v>
      </c>
      <c r="GF254">
        <f>SUMIF('Как будет'!$A$45:$A$52,Доп.расчеты!$A254,'Как будет'!GG$45:GG$52)</f>
        <v>0</v>
      </c>
      <c r="GG254">
        <f>SUMIF('Как будет'!$A$45:$A$52,Доп.расчеты!$A254,'Как будет'!GH$45:GH$52)</f>
        <v>0</v>
      </c>
      <c r="GH254">
        <f>SUMIF('Как будет'!$A$45:$A$52,Доп.расчеты!$A254,'Как будет'!GI$45:GI$52)</f>
        <v>0</v>
      </c>
      <c r="GI254">
        <f>SUMIF('Как будет'!$A$45:$A$52,Доп.расчеты!$A254,'Как будет'!GJ$45:GJ$52)</f>
        <v>0</v>
      </c>
      <c r="GJ254">
        <f>SUMIF('Как будет'!$A$45:$A$52,Доп.расчеты!$A254,'Как будет'!GK$45:GK$52)</f>
        <v>0</v>
      </c>
      <c r="GK254">
        <f>SUMIF('Как будет'!$A$45:$A$52,Доп.расчеты!$A254,'Как будет'!GL$45:GL$52)</f>
        <v>0</v>
      </c>
      <c r="GL254">
        <f>SUMIF('Как будет'!$A$45:$A$52,Доп.расчеты!$A254,'Как будет'!GM$45:GM$52)</f>
        <v>0</v>
      </c>
      <c r="GM254">
        <f>SUMIF('Как будет'!$A$45:$A$52,Доп.расчеты!$A254,'Как будет'!GN$45:GN$52)</f>
        <v>0</v>
      </c>
      <c r="GN254">
        <f>SUMIF('Как будет'!$A$45:$A$52,Доп.расчеты!$A254,'Как будет'!GO$45:GO$52)</f>
        <v>0</v>
      </c>
      <c r="GO254">
        <f>SUMIF('Как будет'!$A$45:$A$52,Доп.расчеты!$A254,'Как будет'!GP$45:GP$52)</f>
        <v>0</v>
      </c>
      <c r="GP254">
        <f>SUMIF('Как будет'!$A$45:$A$52,Доп.расчеты!$A254,'Как будет'!GQ$45:GQ$52)</f>
        <v>0</v>
      </c>
      <c r="GQ254">
        <f>SUMIF('Как будет'!$A$45:$A$52,Доп.расчеты!$A254,'Как будет'!GR$45:GR$52)</f>
        <v>0</v>
      </c>
      <c r="GR254">
        <f>SUMIF('Как будет'!$A$45:$A$52,Доп.расчеты!$A254,'Как будет'!GS$45:GS$52)</f>
        <v>0</v>
      </c>
      <c r="GS254">
        <f>SUMIF('Как будет'!$A$45:$A$52,Доп.расчеты!$A254,'Как будет'!GT$45:GT$52)</f>
        <v>0</v>
      </c>
      <c r="GT254">
        <f>SUMIF('Как будет'!$A$45:$A$52,Доп.расчеты!$A254,'Как будет'!GU$45:GU$52)</f>
        <v>0</v>
      </c>
    </row>
    <row r="255" spans="1:202">
      <c r="A255" s="238" t="s">
        <v>104</v>
      </c>
      <c r="B255">
        <f>SUMIF('Как будет'!$A$45:$A$52,Доп.расчеты!$A255,'Как будет'!C$45:C$52)</f>
        <v>0</v>
      </c>
      <c r="C255">
        <f>SUMIF('Как будет'!$A$45:$A$52,Доп.расчеты!$A255,'Как будет'!D$45:D$52)</f>
        <v>0</v>
      </c>
      <c r="D255">
        <f>SUMIF('Как будет'!$A$45:$A$52,Доп.расчеты!$A255,'Как будет'!E$45:E$52)</f>
        <v>0</v>
      </c>
      <c r="E255">
        <f>SUMIF('Как будет'!$A$45:$A$52,Доп.расчеты!$A255,'Как будет'!F$45:F$52)</f>
        <v>0</v>
      </c>
      <c r="F255">
        <f>SUMIF('Как будет'!$A$45:$A$52,Доп.расчеты!$A255,'Как будет'!G$45:G$52)</f>
        <v>0</v>
      </c>
      <c r="G255">
        <f>SUMIF('Как будет'!$A$45:$A$52,Доп.расчеты!$A255,'Как будет'!H$45:H$52)</f>
        <v>0</v>
      </c>
      <c r="H255">
        <f>SUMIF('Как будет'!$A$45:$A$52,Доп.расчеты!$A255,'Как будет'!I$45:I$52)</f>
        <v>0</v>
      </c>
      <c r="I255">
        <f>SUMIF('Как будет'!$A$45:$A$52,Доп.расчеты!$A255,'Как будет'!J$45:J$52)</f>
        <v>0</v>
      </c>
      <c r="J255">
        <f>SUMIF('Как будет'!$A$45:$A$52,Доп.расчеты!$A255,'Как будет'!K$45:K$52)</f>
        <v>0</v>
      </c>
      <c r="K255">
        <f>SUMIF('Как будет'!$A$45:$A$52,Доп.расчеты!$A255,'Как будет'!L$45:L$52)</f>
        <v>0</v>
      </c>
      <c r="L255">
        <f>SUMIF('Как будет'!$A$45:$A$52,Доп.расчеты!$A255,'Как будет'!M$45:M$52)</f>
        <v>0</v>
      </c>
      <c r="M255">
        <f>SUMIF('Как будет'!$A$45:$A$52,Доп.расчеты!$A255,'Как будет'!N$45:N$52)</f>
        <v>0</v>
      </c>
      <c r="N255">
        <f>SUMIF('Как будет'!$A$45:$A$52,Доп.расчеты!$A255,'Как будет'!O$45:O$52)</f>
        <v>0</v>
      </c>
      <c r="O255">
        <f>SUMIF('Как будет'!$A$45:$A$52,Доп.расчеты!$A255,'Как будет'!P$45:P$52)</f>
        <v>0</v>
      </c>
      <c r="P255">
        <f>SUMIF('Как будет'!$A$45:$A$52,Доп.расчеты!$A255,'Как будет'!Q$45:Q$52)</f>
        <v>0</v>
      </c>
      <c r="Q255">
        <f>SUMIF('Как будет'!$A$45:$A$52,Доп.расчеты!$A255,'Как будет'!R$45:R$52)</f>
        <v>0</v>
      </c>
      <c r="R255">
        <f>SUMIF('Как будет'!$A$45:$A$52,Доп.расчеты!$A255,'Как будет'!S$45:S$52)</f>
        <v>0</v>
      </c>
      <c r="S255">
        <f>SUMIF('Как будет'!$A$45:$A$52,Доп.расчеты!$A255,'Как будет'!T$45:T$52)</f>
        <v>0</v>
      </c>
      <c r="T255">
        <f>SUMIF('Как будет'!$A$45:$A$52,Доп.расчеты!$A255,'Как будет'!U$45:U$52)</f>
        <v>0</v>
      </c>
      <c r="U255">
        <f>SUMIF('Как будет'!$A$45:$A$52,Доп.расчеты!$A255,'Как будет'!V$45:V$52)</f>
        <v>0</v>
      </c>
      <c r="V255">
        <f>SUMIF('Как будет'!$A$45:$A$52,Доп.расчеты!$A255,'Как будет'!W$45:W$52)</f>
        <v>0</v>
      </c>
      <c r="W255">
        <f>SUMIF('Как будет'!$A$45:$A$52,Доп.расчеты!$A255,'Как будет'!X$45:X$52)</f>
        <v>0</v>
      </c>
      <c r="X255">
        <f>SUMIF('Как будет'!$A$45:$A$52,Доп.расчеты!$A255,'Как будет'!Y$45:Y$52)</f>
        <v>0</v>
      </c>
      <c r="Y255">
        <f>SUMIF('Как будет'!$A$45:$A$52,Доп.расчеты!$A255,'Как будет'!Z$45:Z$52)</f>
        <v>0</v>
      </c>
      <c r="Z255">
        <f>SUMIF('Как будет'!$A$45:$A$52,Доп.расчеты!$A255,'Как будет'!AA$45:AA$52)</f>
        <v>0</v>
      </c>
      <c r="AA255">
        <f>SUMIF('Как будет'!$A$45:$A$52,Доп.расчеты!$A255,'Как будет'!AB$45:AB$52)</f>
        <v>0</v>
      </c>
      <c r="AB255">
        <f>SUMIF('Как будет'!$A$45:$A$52,Доп.расчеты!$A255,'Как будет'!AC$45:AC$52)</f>
        <v>0</v>
      </c>
      <c r="AC255">
        <f>SUMIF('Как будет'!$A$45:$A$52,Доп.расчеты!$A255,'Как будет'!AD$45:AD$52)</f>
        <v>0</v>
      </c>
      <c r="AD255">
        <f>SUMIF('Как будет'!$A$45:$A$52,Доп.расчеты!$A255,'Как будет'!AE$45:AE$52)</f>
        <v>0</v>
      </c>
      <c r="AE255">
        <f>SUMIF('Как будет'!$A$45:$A$52,Доп.расчеты!$A255,'Как будет'!AF$45:AF$52)</f>
        <v>0</v>
      </c>
      <c r="AF255">
        <f>SUMIF('Как будет'!$A$45:$A$52,Доп.расчеты!$A255,'Как будет'!AG$45:AG$52)</f>
        <v>0</v>
      </c>
      <c r="AG255">
        <f>SUMIF('Как будет'!$A$45:$A$52,Доп.расчеты!$A255,'Как будет'!AH$45:AH$52)</f>
        <v>0</v>
      </c>
      <c r="AH255">
        <f>SUMIF('Как будет'!$A$45:$A$52,Доп.расчеты!$A255,'Как будет'!AI$45:AI$52)</f>
        <v>0</v>
      </c>
      <c r="AI255">
        <f>SUMIF('Как будет'!$A$45:$A$52,Доп.расчеты!$A255,'Как будет'!AJ$45:AJ$52)</f>
        <v>0</v>
      </c>
      <c r="AJ255">
        <f>SUMIF('Как будет'!$A$45:$A$52,Доп.расчеты!$A255,'Как будет'!AK$45:AK$52)</f>
        <v>0</v>
      </c>
      <c r="AK255">
        <f>SUMIF('Как будет'!$A$45:$A$52,Доп.расчеты!$A255,'Как будет'!AL$45:AL$52)</f>
        <v>0</v>
      </c>
      <c r="AL255">
        <f>SUMIF('Как будет'!$A$45:$A$52,Доп.расчеты!$A255,'Как будет'!AM$45:AM$52)</f>
        <v>0</v>
      </c>
      <c r="AM255">
        <f>SUMIF('Как будет'!$A$45:$A$52,Доп.расчеты!$A255,'Как будет'!AN$45:AN$52)</f>
        <v>0</v>
      </c>
      <c r="AN255">
        <f>SUMIF('Как будет'!$A$45:$A$52,Доп.расчеты!$A255,'Как будет'!AO$45:AO$52)</f>
        <v>0</v>
      </c>
      <c r="AO255">
        <f>SUMIF('Как будет'!$A$45:$A$52,Доп.расчеты!$A255,'Как будет'!AP$45:AP$52)</f>
        <v>0</v>
      </c>
      <c r="AP255">
        <f>SUMIF('Как будет'!$A$45:$A$52,Доп.расчеты!$A255,'Как будет'!AQ$45:AQ$52)</f>
        <v>0</v>
      </c>
      <c r="AQ255">
        <f>SUMIF('Как будет'!$A$45:$A$52,Доп.расчеты!$A255,'Как будет'!AR$45:AR$52)</f>
        <v>0</v>
      </c>
      <c r="AR255">
        <f>SUMIF('Как будет'!$A$45:$A$52,Доп.расчеты!$A255,'Как будет'!AS$45:AS$52)</f>
        <v>0</v>
      </c>
      <c r="AS255">
        <f>SUMIF('Как будет'!$A$45:$A$52,Доп.расчеты!$A255,'Как будет'!AT$45:AT$52)</f>
        <v>0</v>
      </c>
      <c r="AT255">
        <f>SUMIF('Как будет'!$A$45:$A$52,Доп.расчеты!$A255,'Как будет'!AU$45:AU$52)</f>
        <v>0</v>
      </c>
      <c r="AU255">
        <f>SUMIF('Как будет'!$A$45:$A$52,Доп.расчеты!$A255,'Как будет'!AV$45:AV$52)</f>
        <v>0</v>
      </c>
      <c r="AV255">
        <f>SUMIF('Как будет'!$A$45:$A$52,Доп.расчеты!$A255,'Как будет'!AW$45:AW$52)</f>
        <v>0</v>
      </c>
      <c r="AW255">
        <f>SUMIF('Как будет'!$A$45:$A$52,Доп.расчеты!$A255,'Как будет'!AX$45:AX$52)</f>
        <v>0</v>
      </c>
      <c r="AX255">
        <f>SUMIF('Как будет'!$A$45:$A$52,Доп.расчеты!$A255,'Как будет'!AY$45:AY$52)</f>
        <v>0</v>
      </c>
      <c r="AY255">
        <f>SUMIF('Как будет'!$A$45:$A$52,Доп.расчеты!$A255,'Как будет'!AZ$45:AZ$52)</f>
        <v>0</v>
      </c>
      <c r="AZ255">
        <f>SUMIF('Как будет'!$A$45:$A$52,Доп.расчеты!$A255,'Как будет'!BA$45:BA$52)</f>
        <v>0</v>
      </c>
      <c r="BA255">
        <f>SUMIF('Как будет'!$A$45:$A$52,Доп.расчеты!$A255,'Как будет'!BB$45:BB$52)</f>
        <v>0</v>
      </c>
      <c r="BB255">
        <f>SUMIF('Как будет'!$A$45:$A$52,Доп.расчеты!$A255,'Как будет'!BC$45:BC$52)</f>
        <v>0</v>
      </c>
      <c r="BC255">
        <f>SUMIF('Как будет'!$A$45:$A$52,Доп.расчеты!$A255,'Как будет'!BD$45:BD$52)</f>
        <v>0</v>
      </c>
      <c r="BD255">
        <f>SUMIF('Как будет'!$A$45:$A$52,Доп.расчеты!$A255,'Как будет'!BE$45:BE$52)</f>
        <v>0</v>
      </c>
      <c r="BE255">
        <f>SUMIF('Как будет'!$A$45:$A$52,Доп.расчеты!$A255,'Как будет'!BF$45:BF$52)</f>
        <v>0</v>
      </c>
      <c r="BF255">
        <f>SUMIF('Как будет'!$A$45:$A$52,Доп.расчеты!$A255,'Как будет'!BG$45:BG$52)</f>
        <v>0</v>
      </c>
      <c r="BG255">
        <f>SUMIF('Как будет'!$A$45:$A$52,Доп.расчеты!$A255,'Как будет'!BH$45:BH$52)</f>
        <v>0</v>
      </c>
      <c r="BH255">
        <f>SUMIF('Как будет'!$A$45:$A$52,Доп.расчеты!$A255,'Как будет'!BI$45:BI$52)</f>
        <v>0</v>
      </c>
      <c r="BI255">
        <f>SUMIF('Как будет'!$A$45:$A$52,Доп.расчеты!$A255,'Как будет'!BJ$45:BJ$52)</f>
        <v>0</v>
      </c>
      <c r="BJ255">
        <f>SUMIF('Как будет'!$A$45:$A$52,Доп.расчеты!$A255,'Как будет'!BK$45:BK$52)</f>
        <v>0</v>
      </c>
      <c r="BK255">
        <f>SUMIF('Как будет'!$A$45:$A$52,Доп.расчеты!$A255,'Как будет'!BL$45:BL$52)</f>
        <v>0</v>
      </c>
      <c r="BL255">
        <f>SUMIF('Как будет'!$A$45:$A$52,Доп.расчеты!$A255,'Как будет'!BM$45:BM$52)</f>
        <v>0</v>
      </c>
      <c r="BM255">
        <f>SUMIF('Как будет'!$A$45:$A$52,Доп.расчеты!$A255,'Как будет'!BN$45:BN$52)</f>
        <v>0</v>
      </c>
      <c r="BN255">
        <f>SUMIF('Как будет'!$A$45:$A$52,Доп.расчеты!$A255,'Как будет'!BO$45:BO$52)</f>
        <v>0</v>
      </c>
      <c r="BO255">
        <f>SUMIF('Как будет'!$A$45:$A$52,Доп.расчеты!$A255,'Как будет'!BP$45:BP$52)</f>
        <v>0</v>
      </c>
      <c r="BP255">
        <f>SUMIF('Как будет'!$A$45:$A$52,Доп.расчеты!$A255,'Как будет'!BQ$45:BQ$52)</f>
        <v>0</v>
      </c>
      <c r="BQ255">
        <f>SUMIF('Как будет'!$A$45:$A$52,Доп.расчеты!$A255,'Как будет'!BR$45:BR$52)</f>
        <v>0</v>
      </c>
      <c r="BR255">
        <f>SUMIF('Как будет'!$A$45:$A$52,Доп.расчеты!$A255,'Как будет'!BS$45:BS$52)</f>
        <v>0</v>
      </c>
      <c r="BS255">
        <f>SUMIF('Как будет'!$A$45:$A$52,Доп.расчеты!$A255,'Как будет'!BT$45:BT$52)</f>
        <v>0</v>
      </c>
      <c r="BT255">
        <f>SUMIF('Как будет'!$A$45:$A$52,Доп.расчеты!$A255,'Как будет'!BU$45:BU$52)</f>
        <v>0</v>
      </c>
      <c r="BU255">
        <f>SUMIF('Как будет'!$A$45:$A$52,Доп.расчеты!$A255,'Как будет'!BV$45:BV$52)</f>
        <v>0</v>
      </c>
      <c r="BV255">
        <f>SUMIF('Как будет'!$A$45:$A$52,Доп.расчеты!$A255,'Как будет'!BW$45:BW$52)</f>
        <v>0</v>
      </c>
      <c r="BW255">
        <f>SUMIF('Как будет'!$A$45:$A$52,Доп.расчеты!$A255,'Как будет'!BX$45:BX$52)</f>
        <v>0</v>
      </c>
      <c r="BX255">
        <f>SUMIF('Как будет'!$A$45:$A$52,Доп.расчеты!$A255,'Как будет'!BY$45:BY$52)</f>
        <v>0</v>
      </c>
      <c r="BY255">
        <f>SUMIF('Как будет'!$A$45:$A$52,Доп.расчеты!$A255,'Как будет'!BZ$45:BZ$52)</f>
        <v>0</v>
      </c>
      <c r="BZ255">
        <f>SUMIF('Как будет'!$A$45:$A$52,Доп.расчеты!$A255,'Как будет'!CA$45:CA$52)</f>
        <v>0</v>
      </c>
      <c r="CA255">
        <f>SUMIF('Как будет'!$A$45:$A$52,Доп.расчеты!$A255,'Как будет'!CB$45:CB$52)</f>
        <v>0</v>
      </c>
      <c r="CB255">
        <f>SUMIF('Как будет'!$A$45:$A$52,Доп.расчеты!$A255,'Как будет'!CC$45:CC$52)</f>
        <v>0</v>
      </c>
      <c r="CC255">
        <f>SUMIF('Как будет'!$A$45:$A$52,Доп.расчеты!$A255,'Как будет'!CD$45:CD$52)</f>
        <v>0</v>
      </c>
      <c r="CD255">
        <f>SUMIF('Как будет'!$A$45:$A$52,Доп.расчеты!$A255,'Как будет'!CE$45:CE$52)</f>
        <v>0</v>
      </c>
      <c r="CE255">
        <f>SUMIF('Как будет'!$A$45:$A$52,Доп.расчеты!$A255,'Как будет'!CF$45:CF$52)</f>
        <v>0</v>
      </c>
      <c r="CF255">
        <f>SUMIF('Как будет'!$A$45:$A$52,Доп.расчеты!$A255,'Как будет'!CG$45:CG$52)</f>
        <v>0</v>
      </c>
      <c r="CG255">
        <f>SUMIF('Как будет'!$A$45:$A$52,Доп.расчеты!$A255,'Как будет'!CH$45:CH$52)</f>
        <v>0</v>
      </c>
      <c r="CH255">
        <f>SUMIF('Как будет'!$A$45:$A$52,Доп.расчеты!$A255,'Как будет'!CI$45:CI$52)</f>
        <v>0</v>
      </c>
      <c r="CI255">
        <f>SUMIF('Как будет'!$A$45:$A$52,Доп.расчеты!$A255,'Как будет'!CJ$45:CJ$52)</f>
        <v>0</v>
      </c>
      <c r="CJ255">
        <f>SUMIF('Как будет'!$A$45:$A$52,Доп.расчеты!$A255,'Как будет'!CK$45:CK$52)</f>
        <v>0</v>
      </c>
      <c r="CK255">
        <f>SUMIF('Как будет'!$A$45:$A$52,Доп.расчеты!$A255,'Как будет'!CL$45:CL$52)</f>
        <v>0</v>
      </c>
      <c r="CL255">
        <f>SUMIF('Как будет'!$A$45:$A$52,Доп.расчеты!$A255,'Как будет'!CM$45:CM$52)</f>
        <v>0</v>
      </c>
      <c r="CM255">
        <f>SUMIF('Как будет'!$A$45:$A$52,Доп.расчеты!$A255,'Как будет'!CN$45:CN$52)</f>
        <v>0</v>
      </c>
      <c r="CN255">
        <f>SUMIF('Как будет'!$A$45:$A$52,Доп.расчеты!$A255,'Как будет'!CO$45:CO$52)</f>
        <v>0</v>
      </c>
      <c r="CO255">
        <f>SUMIF('Как будет'!$A$45:$A$52,Доп.расчеты!$A255,'Как будет'!CP$45:CP$52)</f>
        <v>0</v>
      </c>
      <c r="CP255">
        <f>SUMIF('Как будет'!$A$45:$A$52,Доп.расчеты!$A255,'Как будет'!CQ$45:CQ$52)</f>
        <v>0</v>
      </c>
      <c r="CQ255">
        <f>SUMIF('Как будет'!$A$45:$A$52,Доп.расчеты!$A255,'Как будет'!CR$45:CR$52)</f>
        <v>0</v>
      </c>
      <c r="CR255">
        <f>SUMIF('Как будет'!$A$45:$A$52,Доп.расчеты!$A255,'Как будет'!CS$45:CS$52)</f>
        <v>0</v>
      </c>
      <c r="CS255">
        <f>SUMIF('Как будет'!$A$45:$A$52,Доп.расчеты!$A255,'Как будет'!CT$45:CT$52)</f>
        <v>0</v>
      </c>
      <c r="CT255">
        <f>SUMIF('Как будет'!$A$45:$A$52,Доп.расчеты!$A255,'Как будет'!CU$45:CU$52)</f>
        <v>0</v>
      </c>
      <c r="CU255">
        <f>SUMIF('Как будет'!$A$45:$A$52,Доп.расчеты!$A255,'Как будет'!CV$45:CV$52)</f>
        <v>0</v>
      </c>
      <c r="CV255">
        <f>SUMIF('Как будет'!$A$45:$A$52,Доп.расчеты!$A255,'Как будет'!CW$45:CW$52)</f>
        <v>0</v>
      </c>
      <c r="CW255">
        <f>SUMIF('Как будет'!$A$45:$A$52,Доп.расчеты!$A255,'Как будет'!CX$45:CX$52)</f>
        <v>0</v>
      </c>
      <c r="CX255">
        <f>SUMIF('Как будет'!$A$45:$A$52,Доп.расчеты!$A255,'Как будет'!CY$45:CY$52)</f>
        <v>0</v>
      </c>
      <c r="CY255">
        <f>SUMIF('Как будет'!$A$45:$A$52,Доп.расчеты!$A255,'Как будет'!CZ$45:CZ$52)</f>
        <v>0</v>
      </c>
      <c r="CZ255">
        <f>SUMIF('Как будет'!$A$45:$A$52,Доп.расчеты!$A255,'Как будет'!DA$45:DA$52)</f>
        <v>0</v>
      </c>
      <c r="DA255">
        <f>SUMIF('Как будет'!$A$45:$A$52,Доп.расчеты!$A255,'Как будет'!DB$45:DB$52)</f>
        <v>0</v>
      </c>
      <c r="DB255">
        <f>SUMIF('Как будет'!$A$45:$A$52,Доп.расчеты!$A255,'Как будет'!DC$45:DC$52)</f>
        <v>0</v>
      </c>
      <c r="DC255">
        <f>SUMIF('Как будет'!$A$45:$A$52,Доп.расчеты!$A255,'Как будет'!DD$45:DD$52)</f>
        <v>0</v>
      </c>
      <c r="DD255">
        <f>SUMIF('Как будет'!$A$45:$A$52,Доп.расчеты!$A255,'Как будет'!DE$45:DE$52)</f>
        <v>0</v>
      </c>
      <c r="DE255">
        <f>SUMIF('Как будет'!$A$45:$A$52,Доп.расчеты!$A255,'Как будет'!DF$45:DF$52)</f>
        <v>0</v>
      </c>
      <c r="DF255">
        <f>SUMIF('Как будет'!$A$45:$A$52,Доп.расчеты!$A255,'Как будет'!DG$45:DG$52)</f>
        <v>0</v>
      </c>
      <c r="DG255">
        <f>SUMIF('Как будет'!$A$45:$A$52,Доп.расчеты!$A255,'Как будет'!DH$45:DH$52)</f>
        <v>0</v>
      </c>
      <c r="DH255">
        <f>SUMIF('Как будет'!$A$45:$A$52,Доп.расчеты!$A255,'Как будет'!DI$45:DI$52)</f>
        <v>0</v>
      </c>
      <c r="DI255">
        <f>SUMIF('Как будет'!$A$45:$A$52,Доп.расчеты!$A255,'Как будет'!DJ$45:DJ$52)</f>
        <v>0</v>
      </c>
      <c r="DJ255">
        <f>SUMIF('Как будет'!$A$45:$A$52,Доп.расчеты!$A255,'Как будет'!DK$45:DK$52)</f>
        <v>0</v>
      </c>
      <c r="DK255">
        <f>SUMIF('Как будет'!$A$45:$A$52,Доп.расчеты!$A255,'Как будет'!DL$45:DL$52)</f>
        <v>0</v>
      </c>
      <c r="DL255">
        <f>SUMIF('Как будет'!$A$45:$A$52,Доп.расчеты!$A255,'Как будет'!DM$45:DM$52)</f>
        <v>0</v>
      </c>
      <c r="DM255">
        <f>SUMIF('Как будет'!$A$45:$A$52,Доп.расчеты!$A255,'Как будет'!DN$45:DN$52)</f>
        <v>0</v>
      </c>
      <c r="DN255">
        <f>SUMIF('Как будет'!$A$45:$A$52,Доп.расчеты!$A255,'Как будет'!DO$45:DO$52)</f>
        <v>0</v>
      </c>
      <c r="DO255">
        <f>SUMIF('Как будет'!$A$45:$A$52,Доп.расчеты!$A255,'Как будет'!DP$45:DP$52)</f>
        <v>0</v>
      </c>
      <c r="DP255">
        <f>SUMIF('Как будет'!$A$45:$A$52,Доп.расчеты!$A255,'Как будет'!DQ$45:DQ$52)</f>
        <v>0</v>
      </c>
      <c r="DQ255">
        <f>SUMIF('Как будет'!$A$45:$A$52,Доп.расчеты!$A255,'Как будет'!DR$45:DR$52)</f>
        <v>0</v>
      </c>
      <c r="DR255">
        <f>SUMIF('Как будет'!$A$45:$A$52,Доп.расчеты!$A255,'Как будет'!DS$45:DS$52)</f>
        <v>0</v>
      </c>
      <c r="DS255">
        <f>SUMIF('Как будет'!$A$45:$A$52,Доп.расчеты!$A255,'Как будет'!DT$45:DT$52)</f>
        <v>0</v>
      </c>
      <c r="DT255">
        <f>SUMIF('Как будет'!$A$45:$A$52,Доп.расчеты!$A255,'Как будет'!DU$45:DU$52)</f>
        <v>0</v>
      </c>
      <c r="DU255">
        <f>SUMIF('Как будет'!$A$45:$A$52,Доп.расчеты!$A255,'Как будет'!DV$45:DV$52)</f>
        <v>0</v>
      </c>
      <c r="DV255">
        <f>SUMIF('Как будет'!$A$45:$A$52,Доп.расчеты!$A255,'Как будет'!DW$45:DW$52)</f>
        <v>0</v>
      </c>
      <c r="DW255">
        <f>SUMIF('Как будет'!$A$45:$A$52,Доп.расчеты!$A255,'Как будет'!DX$45:DX$52)</f>
        <v>0</v>
      </c>
      <c r="DX255">
        <f>SUMIF('Как будет'!$A$45:$A$52,Доп.расчеты!$A255,'Как будет'!DY$45:DY$52)</f>
        <v>0</v>
      </c>
      <c r="DY255">
        <f>SUMIF('Как будет'!$A$45:$A$52,Доп.расчеты!$A255,'Как будет'!DZ$45:DZ$52)</f>
        <v>0</v>
      </c>
      <c r="DZ255">
        <f>SUMIF('Как будет'!$A$45:$A$52,Доп.расчеты!$A255,'Как будет'!EA$45:EA$52)</f>
        <v>0</v>
      </c>
      <c r="EA255">
        <f>SUMIF('Как будет'!$A$45:$A$52,Доп.расчеты!$A255,'Как будет'!EB$45:EB$52)</f>
        <v>0</v>
      </c>
      <c r="EB255">
        <f>SUMIF('Как будет'!$A$45:$A$52,Доп.расчеты!$A255,'Как будет'!EC$45:EC$52)</f>
        <v>0</v>
      </c>
      <c r="EC255">
        <f>SUMIF('Как будет'!$A$45:$A$52,Доп.расчеты!$A255,'Как будет'!ED$45:ED$52)</f>
        <v>0</v>
      </c>
      <c r="ED255">
        <f>SUMIF('Как будет'!$A$45:$A$52,Доп.расчеты!$A255,'Как будет'!EE$45:EE$52)</f>
        <v>0</v>
      </c>
      <c r="EE255">
        <f>SUMIF('Как будет'!$A$45:$A$52,Доп.расчеты!$A255,'Как будет'!EF$45:EF$52)</f>
        <v>0</v>
      </c>
      <c r="EF255">
        <f>SUMIF('Как будет'!$A$45:$A$52,Доп.расчеты!$A255,'Как будет'!EG$45:EG$52)</f>
        <v>0</v>
      </c>
      <c r="EG255">
        <f>SUMIF('Как будет'!$A$45:$A$52,Доп.расчеты!$A255,'Как будет'!EH$45:EH$52)</f>
        <v>0</v>
      </c>
      <c r="EH255">
        <f>SUMIF('Как будет'!$A$45:$A$52,Доп.расчеты!$A255,'Как будет'!EI$45:EI$52)</f>
        <v>0</v>
      </c>
      <c r="EI255">
        <f>SUMIF('Как будет'!$A$45:$A$52,Доп.расчеты!$A255,'Как будет'!EJ$45:EJ$52)</f>
        <v>0</v>
      </c>
      <c r="EJ255">
        <f>SUMIF('Как будет'!$A$45:$A$52,Доп.расчеты!$A255,'Как будет'!EK$45:EK$52)</f>
        <v>0</v>
      </c>
      <c r="EK255">
        <f>SUMIF('Как будет'!$A$45:$A$52,Доп.расчеты!$A255,'Как будет'!EL$45:EL$52)</f>
        <v>0</v>
      </c>
      <c r="EL255">
        <f>SUMIF('Как будет'!$A$45:$A$52,Доп.расчеты!$A255,'Как будет'!EM$45:EM$52)</f>
        <v>0</v>
      </c>
      <c r="EM255">
        <f>SUMIF('Как будет'!$A$45:$A$52,Доп.расчеты!$A255,'Как будет'!EN$45:EN$52)</f>
        <v>0</v>
      </c>
      <c r="EN255">
        <f>SUMIF('Как будет'!$A$45:$A$52,Доп.расчеты!$A255,'Как будет'!EO$45:EO$52)</f>
        <v>0</v>
      </c>
      <c r="EO255">
        <f>SUMIF('Как будет'!$A$45:$A$52,Доп.расчеты!$A255,'Как будет'!EP$45:EP$52)</f>
        <v>0</v>
      </c>
      <c r="EP255">
        <f>SUMIF('Как будет'!$A$45:$A$52,Доп.расчеты!$A255,'Как будет'!EQ$45:EQ$52)</f>
        <v>0</v>
      </c>
      <c r="EQ255">
        <f>SUMIF('Как будет'!$A$45:$A$52,Доп.расчеты!$A255,'Как будет'!ER$45:ER$52)</f>
        <v>0</v>
      </c>
      <c r="ER255">
        <f>SUMIF('Как будет'!$A$45:$A$52,Доп.расчеты!$A255,'Как будет'!ES$45:ES$52)</f>
        <v>0</v>
      </c>
      <c r="ES255">
        <f>SUMIF('Как будет'!$A$45:$A$52,Доп.расчеты!$A255,'Как будет'!ET$45:ET$52)</f>
        <v>0</v>
      </c>
      <c r="ET255">
        <f>SUMIF('Как будет'!$A$45:$A$52,Доп.расчеты!$A255,'Как будет'!EU$45:EU$52)</f>
        <v>0</v>
      </c>
      <c r="EU255">
        <f>SUMIF('Как будет'!$A$45:$A$52,Доп.расчеты!$A255,'Как будет'!EV$45:EV$52)</f>
        <v>0</v>
      </c>
      <c r="EV255">
        <f>SUMIF('Как будет'!$A$45:$A$52,Доп.расчеты!$A255,'Как будет'!EW$45:EW$52)</f>
        <v>0</v>
      </c>
      <c r="EW255">
        <f>SUMIF('Как будет'!$A$45:$A$52,Доп.расчеты!$A255,'Как будет'!EX$45:EX$52)</f>
        <v>0</v>
      </c>
      <c r="EX255">
        <f>SUMIF('Как будет'!$A$45:$A$52,Доп.расчеты!$A255,'Как будет'!EY$45:EY$52)</f>
        <v>0</v>
      </c>
      <c r="EY255">
        <f>SUMIF('Как будет'!$A$45:$A$52,Доп.расчеты!$A255,'Как будет'!EZ$45:EZ$52)</f>
        <v>0</v>
      </c>
      <c r="EZ255">
        <f>SUMIF('Как будет'!$A$45:$A$52,Доп.расчеты!$A255,'Как будет'!FA$45:FA$52)</f>
        <v>0</v>
      </c>
      <c r="FA255">
        <f>SUMIF('Как будет'!$A$45:$A$52,Доп.расчеты!$A255,'Как будет'!FB$45:FB$52)</f>
        <v>0</v>
      </c>
      <c r="FB255">
        <f>SUMIF('Как будет'!$A$45:$A$52,Доп.расчеты!$A255,'Как будет'!FC$45:FC$52)</f>
        <v>0</v>
      </c>
      <c r="FC255">
        <f>SUMIF('Как будет'!$A$45:$A$52,Доп.расчеты!$A255,'Как будет'!FD$45:FD$52)</f>
        <v>0</v>
      </c>
      <c r="FD255">
        <f>SUMIF('Как будет'!$A$45:$A$52,Доп.расчеты!$A255,'Как будет'!FE$45:FE$52)</f>
        <v>0</v>
      </c>
      <c r="FE255">
        <f>SUMIF('Как будет'!$A$45:$A$52,Доп.расчеты!$A255,'Как будет'!FF$45:FF$52)</f>
        <v>0</v>
      </c>
      <c r="FF255">
        <f>SUMIF('Как будет'!$A$45:$A$52,Доп.расчеты!$A255,'Как будет'!FG$45:FG$52)</f>
        <v>0</v>
      </c>
      <c r="FG255">
        <f>SUMIF('Как будет'!$A$45:$A$52,Доп.расчеты!$A255,'Как будет'!FH$45:FH$52)</f>
        <v>0</v>
      </c>
      <c r="FH255">
        <f>SUMIF('Как будет'!$A$45:$A$52,Доп.расчеты!$A255,'Как будет'!FI$45:FI$52)</f>
        <v>0</v>
      </c>
      <c r="FI255">
        <f>SUMIF('Как будет'!$A$45:$A$52,Доп.расчеты!$A255,'Как будет'!FJ$45:FJ$52)</f>
        <v>0</v>
      </c>
      <c r="FJ255">
        <f>SUMIF('Как будет'!$A$45:$A$52,Доп.расчеты!$A255,'Как будет'!FK$45:FK$52)</f>
        <v>0</v>
      </c>
      <c r="FK255">
        <f>SUMIF('Как будет'!$A$45:$A$52,Доп.расчеты!$A255,'Как будет'!FL$45:FL$52)</f>
        <v>0</v>
      </c>
      <c r="FL255">
        <f>SUMIF('Как будет'!$A$45:$A$52,Доп.расчеты!$A255,'Как будет'!FM$45:FM$52)</f>
        <v>0</v>
      </c>
      <c r="FM255">
        <f>SUMIF('Как будет'!$A$45:$A$52,Доп.расчеты!$A255,'Как будет'!FN$45:FN$52)</f>
        <v>0</v>
      </c>
      <c r="FN255">
        <f>SUMIF('Как будет'!$A$45:$A$52,Доп.расчеты!$A255,'Как будет'!FO$45:FO$52)</f>
        <v>0</v>
      </c>
      <c r="FO255">
        <f>SUMIF('Как будет'!$A$45:$A$52,Доп.расчеты!$A255,'Как будет'!FP$45:FP$52)</f>
        <v>0</v>
      </c>
      <c r="FP255">
        <f>SUMIF('Как будет'!$A$45:$A$52,Доп.расчеты!$A255,'Как будет'!FQ$45:FQ$52)</f>
        <v>0</v>
      </c>
      <c r="FQ255">
        <f>SUMIF('Как будет'!$A$45:$A$52,Доп.расчеты!$A255,'Как будет'!FR$45:FR$52)</f>
        <v>0</v>
      </c>
      <c r="FR255">
        <f>SUMIF('Как будет'!$A$45:$A$52,Доп.расчеты!$A255,'Как будет'!FS$45:FS$52)</f>
        <v>0</v>
      </c>
      <c r="FS255">
        <f>SUMIF('Как будет'!$A$45:$A$52,Доп.расчеты!$A255,'Как будет'!FT$45:FT$52)</f>
        <v>0</v>
      </c>
      <c r="FT255">
        <f>SUMIF('Как будет'!$A$45:$A$52,Доп.расчеты!$A255,'Как будет'!FU$45:FU$52)</f>
        <v>0</v>
      </c>
      <c r="FU255">
        <f>SUMIF('Как будет'!$A$45:$A$52,Доп.расчеты!$A255,'Как будет'!FV$45:FV$52)</f>
        <v>0</v>
      </c>
      <c r="FV255">
        <f>SUMIF('Как будет'!$A$45:$A$52,Доп.расчеты!$A255,'Как будет'!FW$45:FW$52)</f>
        <v>0</v>
      </c>
      <c r="FW255">
        <f>SUMIF('Как будет'!$A$45:$A$52,Доп.расчеты!$A255,'Как будет'!FX$45:FX$52)</f>
        <v>0</v>
      </c>
      <c r="FX255">
        <f>SUMIF('Как будет'!$A$45:$A$52,Доп.расчеты!$A255,'Как будет'!FY$45:FY$52)</f>
        <v>0</v>
      </c>
      <c r="FY255">
        <f>SUMIF('Как будет'!$A$45:$A$52,Доп.расчеты!$A255,'Как будет'!FZ$45:FZ$52)</f>
        <v>0</v>
      </c>
      <c r="FZ255">
        <f>SUMIF('Как будет'!$A$45:$A$52,Доп.расчеты!$A255,'Как будет'!GA$45:GA$52)</f>
        <v>0</v>
      </c>
      <c r="GA255">
        <f>SUMIF('Как будет'!$A$45:$A$52,Доп.расчеты!$A255,'Как будет'!GB$45:GB$52)</f>
        <v>0</v>
      </c>
      <c r="GB255">
        <f>SUMIF('Как будет'!$A$45:$A$52,Доп.расчеты!$A255,'Как будет'!GC$45:GC$52)</f>
        <v>0</v>
      </c>
      <c r="GC255">
        <f>SUMIF('Как будет'!$A$45:$A$52,Доп.расчеты!$A255,'Как будет'!GD$45:GD$52)</f>
        <v>0</v>
      </c>
      <c r="GD255">
        <f>SUMIF('Как будет'!$A$45:$A$52,Доп.расчеты!$A255,'Как будет'!GE$45:GE$52)</f>
        <v>0</v>
      </c>
      <c r="GE255">
        <f>SUMIF('Как будет'!$A$45:$A$52,Доп.расчеты!$A255,'Как будет'!GF$45:GF$52)</f>
        <v>0</v>
      </c>
      <c r="GF255">
        <f>SUMIF('Как будет'!$A$45:$A$52,Доп.расчеты!$A255,'Как будет'!GG$45:GG$52)</f>
        <v>0</v>
      </c>
      <c r="GG255">
        <f>SUMIF('Как будет'!$A$45:$A$52,Доп.расчеты!$A255,'Как будет'!GH$45:GH$52)</f>
        <v>0</v>
      </c>
      <c r="GH255">
        <f>SUMIF('Как будет'!$A$45:$A$52,Доп.расчеты!$A255,'Как будет'!GI$45:GI$52)</f>
        <v>0</v>
      </c>
      <c r="GI255">
        <f>SUMIF('Как будет'!$A$45:$A$52,Доп.расчеты!$A255,'Как будет'!GJ$45:GJ$52)</f>
        <v>0</v>
      </c>
      <c r="GJ255">
        <f>SUMIF('Как будет'!$A$45:$A$52,Доп.расчеты!$A255,'Как будет'!GK$45:GK$52)</f>
        <v>0</v>
      </c>
      <c r="GK255">
        <f>SUMIF('Как будет'!$A$45:$A$52,Доп.расчеты!$A255,'Как будет'!GL$45:GL$52)</f>
        <v>0</v>
      </c>
      <c r="GL255">
        <f>SUMIF('Как будет'!$A$45:$A$52,Доп.расчеты!$A255,'Как будет'!GM$45:GM$52)</f>
        <v>0</v>
      </c>
      <c r="GM255">
        <f>SUMIF('Как будет'!$A$45:$A$52,Доп.расчеты!$A255,'Как будет'!GN$45:GN$52)</f>
        <v>0</v>
      </c>
      <c r="GN255">
        <f>SUMIF('Как будет'!$A$45:$A$52,Доп.расчеты!$A255,'Как будет'!GO$45:GO$52)</f>
        <v>0</v>
      </c>
      <c r="GO255">
        <f>SUMIF('Как будет'!$A$45:$A$52,Доп.расчеты!$A255,'Как будет'!GP$45:GP$52)</f>
        <v>0</v>
      </c>
      <c r="GP255">
        <f>SUMIF('Как будет'!$A$45:$A$52,Доп.расчеты!$A255,'Как будет'!GQ$45:GQ$52)</f>
        <v>0</v>
      </c>
      <c r="GQ255">
        <f>SUMIF('Как будет'!$A$45:$A$52,Доп.расчеты!$A255,'Как будет'!GR$45:GR$52)</f>
        <v>0</v>
      </c>
      <c r="GR255">
        <f>SUMIF('Как будет'!$A$45:$A$52,Доп.расчеты!$A255,'Как будет'!GS$45:GS$52)</f>
        <v>0</v>
      </c>
      <c r="GS255">
        <f>SUMIF('Как будет'!$A$45:$A$52,Доп.расчеты!$A255,'Как будет'!GT$45:GT$52)</f>
        <v>0</v>
      </c>
      <c r="GT255">
        <f>SUMIF('Как будет'!$A$45:$A$52,Доп.расчеты!$A255,'Как будет'!GU$45:GU$52)</f>
        <v>0</v>
      </c>
    </row>
    <row r="256" spans="1:202">
      <c r="A256" s="238" t="s">
        <v>105</v>
      </c>
      <c r="B256">
        <f>SUMIF('Как будет'!$A$45:$A$52,Доп.расчеты!$A256,'Как будет'!C$45:C$52)</f>
        <v>0</v>
      </c>
      <c r="C256">
        <f>SUMIF('Как будет'!$A$45:$A$52,Доп.расчеты!$A256,'Как будет'!D$45:D$52)</f>
        <v>0</v>
      </c>
      <c r="D256">
        <f>SUMIF('Как будет'!$A$45:$A$52,Доп.расчеты!$A256,'Как будет'!E$45:E$52)</f>
        <v>0</v>
      </c>
      <c r="E256">
        <f>SUMIF('Как будет'!$A$45:$A$52,Доп.расчеты!$A256,'Как будет'!F$45:F$52)</f>
        <v>0</v>
      </c>
      <c r="F256">
        <f>SUMIF('Как будет'!$A$45:$A$52,Доп.расчеты!$A256,'Как будет'!G$45:G$52)</f>
        <v>0</v>
      </c>
      <c r="G256">
        <f>SUMIF('Как будет'!$A$45:$A$52,Доп.расчеты!$A256,'Как будет'!H$45:H$52)</f>
        <v>0</v>
      </c>
      <c r="H256">
        <f>SUMIF('Как будет'!$A$45:$A$52,Доп.расчеты!$A256,'Как будет'!I$45:I$52)</f>
        <v>0</v>
      </c>
      <c r="I256">
        <f>SUMIF('Как будет'!$A$45:$A$52,Доп.расчеты!$A256,'Как будет'!J$45:J$52)</f>
        <v>0</v>
      </c>
      <c r="J256">
        <f>SUMIF('Как будет'!$A$45:$A$52,Доп.расчеты!$A256,'Как будет'!K$45:K$52)</f>
        <v>0</v>
      </c>
      <c r="K256">
        <f>SUMIF('Как будет'!$A$45:$A$52,Доп.расчеты!$A256,'Как будет'!L$45:L$52)</f>
        <v>0</v>
      </c>
      <c r="L256">
        <f>SUMIF('Как будет'!$A$45:$A$52,Доп.расчеты!$A256,'Как будет'!M$45:M$52)</f>
        <v>0</v>
      </c>
      <c r="M256">
        <f>SUMIF('Как будет'!$A$45:$A$52,Доп.расчеты!$A256,'Как будет'!N$45:N$52)</f>
        <v>0</v>
      </c>
      <c r="N256">
        <f>SUMIF('Как будет'!$A$45:$A$52,Доп.расчеты!$A256,'Как будет'!O$45:O$52)</f>
        <v>0</v>
      </c>
      <c r="O256">
        <f>SUMIF('Как будет'!$A$45:$A$52,Доп.расчеты!$A256,'Как будет'!P$45:P$52)</f>
        <v>0</v>
      </c>
      <c r="P256">
        <f>SUMIF('Как будет'!$A$45:$A$52,Доп.расчеты!$A256,'Как будет'!Q$45:Q$52)</f>
        <v>0</v>
      </c>
      <c r="Q256">
        <f>SUMIF('Как будет'!$A$45:$A$52,Доп.расчеты!$A256,'Как будет'!R$45:R$52)</f>
        <v>0</v>
      </c>
      <c r="R256">
        <f>SUMIF('Как будет'!$A$45:$A$52,Доп.расчеты!$A256,'Как будет'!S$45:S$52)</f>
        <v>0</v>
      </c>
      <c r="S256">
        <f>SUMIF('Как будет'!$A$45:$A$52,Доп.расчеты!$A256,'Как будет'!T$45:T$52)</f>
        <v>0</v>
      </c>
      <c r="T256">
        <f>SUMIF('Как будет'!$A$45:$A$52,Доп.расчеты!$A256,'Как будет'!U$45:U$52)</f>
        <v>0</v>
      </c>
      <c r="U256">
        <f>SUMIF('Как будет'!$A$45:$A$52,Доп.расчеты!$A256,'Как будет'!V$45:V$52)</f>
        <v>0</v>
      </c>
      <c r="V256">
        <f>SUMIF('Как будет'!$A$45:$A$52,Доп.расчеты!$A256,'Как будет'!W$45:W$52)</f>
        <v>0</v>
      </c>
      <c r="W256">
        <f>SUMIF('Как будет'!$A$45:$A$52,Доп.расчеты!$A256,'Как будет'!X$45:X$52)</f>
        <v>0</v>
      </c>
      <c r="X256">
        <f>SUMIF('Как будет'!$A$45:$A$52,Доп.расчеты!$A256,'Как будет'!Y$45:Y$52)</f>
        <v>0</v>
      </c>
      <c r="Y256">
        <f>SUMIF('Как будет'!$A$45:$A$52,Доп.расчеты!$A256,'Как будет'!Z$45:Z$52)</f>
        <v>0</v>
      </c>
      <c r="Z256">
        <f>SUMIF('Как будет'!$A$45:$A$52,Доп.расчеты!$A256,'Как будет'!AA$45:AA$52)</f>
        <v>0</v>
      </c>
      <c r="AA256">
        <f>SUMIF('Как будет'!$A$45:$A$52,Доп.расчеты!$A256,'Как будет'!AB$45:AB$52)</f>
        <v>0</v>
      </c>
      <c r="AB256">
        <f>SUMIF('Как будет'!$A$45:$A$52,Доп.расчеты!$A256,'Как будет'!AC$45:AC$52)</f>
        <v>0</v>
      </c>
      <c r="AC256">
        <f>SUMIF('Как будет'!$A$45:$A$52,Доп.расчеты!$A256,'Как будет'!AD$45:AD$52)</f>
        <v>0</v>
      </c>
      <c r="AD256">
        <f>SUMIF('Как будет'!$A$45:$A$52,Доп.расчеты!$A256,'Как будет'!AE$45:AE$52)</f>
        <v>0</v>
      </c>
      <c r="AE256">
        <f>SUMIF('Как будет'!$A$45:$A$52,Доп.расчеты!$A256,'Как будет'!AF$45:AF$52)</f>
        <v>0</v>
      </c>
      <c r="AF256">
        <f>SUMIF('Как будет'!$A$45:$A$52,Доп.расчеты!$A256,'Как будет'!AG$45:AG$52)</f>
        <v>0</v>
      </c>
      <c r="AG256">
        <f>SUMIF('Как будет'!$A$45:$A$52,Доп.расчеты!$A256,'Как будет'!AH$45:AH$52)</f>
        <v>0</v>
      </c>
      <c r="AH256">
        <f>SUMIF('Как будет'!$A$45:$A$52,Доп.расчеты!$A256,'Как будет'!AI$45:AI$52)</f>
        <v>0</v>
      </c>
      <c r="AI256">
        <f>SUMIF('Как будет'!$A$45:$A$52,Доп.расчеты!$A256,'Как будет'!AJ$45:AJ$52)</f>
        <v>0</v>
      </c>
      <c r="AJ256">
        <f>SUMIF('Как будет'!$A$45:$A$52,Доп.расчеты!$A256,'Как будет'!AK$45:AK$52)</f>
        <v>0</v>
      </c>
      <c r="AK256">
        <f>SUMIF('Как будет'!$A$45:$A$52,Доп.расчеты!$A256,'Как будет'!AL$45:AL$52)</f>
        <v>0</v>
      </c>
      <c r="AL256">
        <f>SUMIF('Как будет'!$A$45:$A$52,Доп.расчеты!$A256,'Как будет'!AM$45:AM$52)</f>
        <v>0</v>
      </c>
      <c r="AM256">
        <f>SUMIF('Как будет'!$A$45:$A$52,Доп.расчеты!$A256,'Как будет'!AN$45:AN$52)</f>
        <v>0</v>
      </c>
      <c r="AN256">
        <f>SUMIF('Как будет'!$A$45:$A$52,Доп.расчеты!$A256,'Как будет'!AO$45:AO$52)</f>
        <v>0</v>
      </c>
      <c r="AO256">
        <f>SUMIF('Как будет'!$A$45:$A$52,Доп.расчеты!$A256,'Как будет'!AP$45:AP$52)</f>
        <v>0</v>
      </c>
      <c r="AP256">
        <f>SUMIF('Как будет'!$A$45:$A$52,Доп.расчеты!$A256,'Как будет'!AQ$45:AQ$52)</f>
        <v>0</v>
      </c>
      <c r="AQ256">
        <f>SUMIF('Как будет'!$A$45:$A$52,Доп.расчеты!$A256,'Как будет'!AR$45:AR$52)</f>
        <v>0</v>
      </c>
      <c r="AR256">
        <f>SUMIF('Как будет'!$A$45:$A$52,Доп.расчеты!$A256,'Как будет'!AS$45:AS$52)</f>
        <v>0</v>
      </c>
      <c r="AS256">
        <f>SUMIF('Как будет'!$A$45:$A$52,Доп.расчеты!$A256,'Как будет'!AT$45:AT$52)</f>
        <v>0</v>
      </c>
      <c r="AT256">
        <f>SUMIF('Как будет'!$A$45:$A$52,Доп.расчеты!$A256,'Как будет'!AU$45:AU$52)</f>
        <v>0</v>
      </c>
      <c r="AU256">
        <f>SUMIF('Как будет'!$A$45:$A$52,Доп.расчеты!$A256,'Как будет'!AV$45:AV$52)</f>
        <v>0</v>
      </c>
      <c r="AV256">
        <f>SUMIF('Как будет'!$A$45:$A$52,Доп.расчеты!$A256,'Как будет'!AW$45:AW$52)</f>
        <v>0</v>
      </c>
      <c r="AW256">
        <f>SUMIF('Как будет'!$A$45:$A$52,Доп.расчеты!$A256,'Как будет'!AX$45:AX$52)</f>
        <v>0</v>
      </c>
      <c r="AX256">
        <f>SUMIF('Как будет'!$A$45:$A$52,Доп.расчеты!$A256,'Как будет'!AY$45:AY$52)</f>
        <v>0</v>
      </c>
      <c r="AY256">
        <f>SUMIF('Как будет'!$A$45:$A$52,Доп.расчеты!$A256,'Как будет'!AZ$45:AZ$52)</f>
        <v>0</v>
      </c>
      <c r="AZ256">
        <f>SUMIF('Как будет'!$A$45:$A$52,Доп.расчеты!$A256,'Как будет'!BA$45:BA$52)</f>
        <v>0</v>
      </c>
      <c r="BA256">
        <f>SUMIF('Как будет'!$A$45:$A$52,Доп.расчеты!$A256,'Как будет'!BB$45:BB$52)</f>
        <v>0</v>
      </c>
      <c r="BB256">
        <f>SUMIF('Как будет'!$A$45:$A$52,Доп.расчеты!$A256,'Как будет'!BC$45:BC$52)</f>
        <v>0</v>
      </c>
      <c r="BC256">
        <f>SUMIF('Как будет'!$A$45:$A$52,Доп.расчеты!$A256,'Как будет'!BD$45:BD$52)</f>
        <v>0</v>
      </c>
      <c r="BD256">
        <f>SUMIF('Как будет'!$A$45:$A$52,Доп.расчеты!$A256,'Как будет'!BE$45:BE$52)</f>
        <v>0</v>
      </c>
      <c r="BE256">
        <f>SUMIF('Как будет'!$A$45:$A$52,Доп.расчеты!$A256,'Как будет'!BF$45:BF$52)</f>
        <v>0</v>
      </c>
      <c r="BF256">
        <f>SUMIF('Как будет'!$A$45:$A$52,Доп.расчеты!$A256,'Как будет'!BG$45:BG$52)</f>
        <v>0</v>
      </c>
      <c r="BG256">
        <f>SUMIF('Как будет'!$A$45:$A$52,Доп.расчеты!$A256,'Как будет'!BH$45:BH$52)</f>
        <v>0</v>
      </c>
      <c r="BH256">
        <f>SUMIF('Как будет'!$A$45:$A$52,Доп.расчеты!$A256,'Как будет'!BI$45:BI$52)</f>
        <v>0</v>
      </c>
      <c r="BI256">
        <f>SUMIF('Как будет'!$A$45:$A$52,Доп.расчеты!$A256,'Как будет'!BJ$45:BJ$52)</f>
        <v>0</v>
      </c>
      <c r="BJ256">
        <f>SUMIF('Как будет'!$A$45:$A$52,Доп.расчеты!$A256,'Как будет'!BK$45:BK$52)</f>
        <v>0</v>
      </c>
      <c r="BK256">
        <f>SUMIF('Как будет'!$A$45:$A$52,Доп.расчеты!$A256,'Как будет'!BL$45:BL$52)</f>
        <v>0</v>
      </c>
      <c r="BL256">
        <f>SUMIF('Как будет'!$A$45:$A$52,Доп.расчеты!$A256,'Как будет'!BM$45:BM$52)</f>
        <v>0</v>
      </c>
      <c r="BM256">
        <f>SUMIF('Как будет'!$A$45:$A$52,Доп.расчеты!$A256,'Как будет'!BN$45:BN$52)</f>
        <v>0</v>
      </c>
      <c r="BN256">
        <f>SUMIF('Как будет'!$A$45:$A$52,Доп.расчеты!$A256,'Как будет'!BO$45:BO$52)</f>
        <v>0</v>
      </c>
      <c r="BO256">
        <f>SUMIF('Как будет'!$A$45:$A$52,Доп.расчеты!$A256,'Как будет'!BP$45:BP$52)</f>
        <v>0</v>
      </c>
      <c r="BP256">
        <f>SUMIF('Как будет'!$A$45:$A$52,Доп.расчеты!$A256,'Как будет'!BQ$45:BQ$52)</f>
        <v>0</v>
      </c>
      <c r="BQ256">
        <f>SUMIF('Как будет'!$A$45:$A$52,Доп.расчеты!$A256,'Как будет'!BR$45:BR$52)</f>
        <v>0</v>
      </c>
      <c r="BR256">
        <f>SUMIF('Как будет'!$A$45:$A$52,Доп.расчеты!$A256,'Как будет'!BS$45:BS$52)</f>
        <v>0</v>
      </c>
      <c r="BS256">
        <f>SUMIF('Как будет'!$A$45:$A$52,Доп.расчеты!$A256,'Как будет'!BT$45:BT$52)</f>
        <v>0</v>
      </c>
      <c r="BT256">
        <f>SUMIF('Как будет'!$A$45:$A$52,Доп.расчеты!$A256,'Как будет'!BU$45:BU$52)</f>
        <v>0</v>
      </c>
      <c r="BU256">
        <f>SUMIF('Как будет'!$A$45:$A$52,Доп.расчеты!$A256,'Как будет'!BV$45:BV$52)</f>
        <v>0</v>
      </c>
      <c r="BV256">
        <f>SUMIF('Как будет'!$A$45:$A$52,Доп.расчеты!$A256,'Как будет'!BW$45:BW$52)</f>
        <v>0</v>
      </c>
      <c r="BW256">
        <f>SUMIF('Как будет'!$A$45:$A$52,Доп.расчеты!$A256,'Как будет'!BX$45:BX$52)</f>
        <v>0</v>
      </c>
      <c r="BX256">
        <f>SUMIF('Как будет'!$A$45:$A$52,Доп.расчеты!$A256,'Как будет'!BY$45:BY$52)</f>
        <v>0</v>
      </c>
      <c r="BY256">
        <f>SUMIF('Как будет'!$A$45:$A$52,Доп.расчеты!$A256,'Как будет'!BZ$45:BZ$52)</f>
        <v>0</v>
      </c>
      <c r="BZ256">
        <f>SUMIF('Как будет'!$A$45:$A$52,Доп.расчеты!$A256,'Как будет'!CA$45:CA$52)</f>
        <v>0</v>
      </c>
      <c r="CA256">
        <f>SUMIF('Как будет'!$A$45:$A$52,Доп.расчеты!$A256,'Как будет'!CB$45:CB$52)</f>
        <v>0</v>
      </c>
      <c r="CB256">
        <f>SUMIF('Как будет'!$A$45:$A$52,Доп.расчеты!$A256,'Как будет'!CC$45:CC$52)</f>
        <v>0</v>
      </c>
      <c r="CC256">
        <f>SUMIF('Как будет'!$A$45:$A$52,Доп.расчеты!$A256,'Как будет'!CD$45:CD$52)</f>
        <v>0</v>
      </c>
      <c r="CD256">
        <f>SUMIF('Как будет'!$A$45:$A$52,Доп.расчеты!$A256,'Как будет'!CE$45:CE$52)</f>
        <v>0</v>
      </c>
      <c r="CE256">
        <f>SUMIF('Как будет'!$A$45:$A$52,Доп.расчеты!$A256,'Как будет'!CF$45:CF$52)</f>
        <v>0</v>
      </c>
      <c r="CF256">
        <f>SUMIF('Как будет'!$A$45:$A$52,Доп.расчеты!$A256,'Как будет'!CG$45:CG$52)</f>
        <v>0</v>
      </c>
      <c r="CG256">
        <f>SUMIF('Как будет'!$A$45:$A$52,Доп.расчеты!$A256,'Как будет'!CH$45:CH$52)</f>
        <v>0</v>
      </c>
      <c r="CH256">
        <f>SUMIF('Как будет'!$A$45:$A$52,Доп.расчеты!$A256,'Как будет'!CI$45:CI$52)</f>
        <v>0</v>
      </c>
      <c r="CI256">
        <f>SUMIF('Как будет'!$A$45:$A$52,Доп.расчеты!$A256,'Как будет'!CJ$45:CJ$52)</f>
        <v>0</v>
      </c>
      <c r="CJ256">
        <f>SUMIF('Как будет'!$A$45:$A$52,Доп.расчеты!$A256,'Как будет'!CK$45:CK$52)</f>
        <v>0</v>
      </c>
      <c r="CK256">
        <f>SUMIF('Как будет'!$A$45:$A$52,Доп.расчеты!$A256,'Как будет'!CL$45:CL$52)</f>
        <v>0</v>
      </c>
      <c r="CL256">
        <f>SUMIF('Как будет'!$A$45:$A$52,Доп.расчеты!$A256,'Как будет'!CM$45:CM$52)</f>
        <v>0</v>
      </c>
      <c r="CM256">
        <f>SUMIF('Как будет'!$A$45:$A$52,Доп.расчеты!$A256,'Как будет'!CN$45:CN$52)</f>
        <v>0</v>
      </c>
      <c r="CN256">
        <f>SUMIF('Как будет'!$A$45:$A$52,Доп.расчеты!$A256,'Как будет'!CO$45:CO$52)</f>
        <v>0</v>
      </c>
      <c r="CO256">
        <f>SUMIF('Как будет'!$A$45:$A$52,Доп.расчеты!$A256,'Как будет'!CP$45:CP$52)</f>
        <v>0</v>
      </c>
      <c r="CP256">
        <f>SUMIF('Как будет'!$A$45:$A$52,Доп.расчеты!$A256,'Как будет'!CQ$45:CQ$52)</f>
        <v>0</v>
      </c>
      <c r="CQ256">
        <f>SUMIF('Как будет'!$A$45:$A$52,Доп.расчеты!$A256,'Как будет'!CR$45:CR$52)</f>
        <v>0</v>
      </c>
      <c r="CR256">
        <f>SUMIF('Как будет'!$A$45:$A$52,Доп.расчеты!$A256,'Как будет'!CS$45:CS$52)</f>
        <v>0</v>
      </c>
      <c r="CS256">
        <f>SUMIF('Как будет'!$A$45:$A$52,Доп.расчеты!$A256,'Как будет'!CT$45:CT$52)</f>
        <v>0</v>
      </c>
      <c r="CT256">
        <f>SUMIF('Как будет'!$A$45:$A$52,Доп.расчеты!$A256,'Как будет'!CU$45:CU$52)</f>
        <v>0</v>
      </c>
      <c r="CU256">
        <f>SUMIF('Как будет'!$A$45:$A$52,Доп.расчеты!$A256,'Как будет'!CV$45:CV$52)</f>
        <v>0</v>
      </c>
      <c r="CV256">
        <f>SUMIF('Как будет'!$A$45:$A$52,Доп.расчеты!$A256,'Как будет'!CW$45:CW$52)</f>
        <v>0</v>
      </c>
      <c r="CW256">
        <f>SUMIF('Как будет'!$A$45:$A$52,Доп.расчеты!$A256,'Как будет'!CX$45:CX$52)</f>
        <v>0</v>
      </c>
      <c r="CX256">
        <f>SUMIF('Как будет'!$A$45:$A$52,Доп.расчеты!$A256,'Как будет'!CY$45:CY$52)</f>
        <v>0</v>
      </c>
      <c r="CY256">
        <f>SUMIF('Как будет'!$A$45:$A$52,Доп.расчеты!$A256,'Как будет'!CZ$45:CZ$52)</f>
        <v>0</v>
      </c>
      <c r="CZ256">
        <f>SUMIF('Как будет'!$A$45:$A$52,Доп.расчеты!$A256,'Как будет'!DA$45:DA$52)</f>
        <v>0</v>
      </c>
      <c r="DA256">
        <f>SUMIF('Как будет'!$A$45:$A$52,Доп.расчеты!$A256,'Как будет'!DB$45:DB$52)</f>
        <v>0</v>
      </c>
      <c r="DB256">
        <f>SUMIF('Как будет'!$A$45:$A$52,Доп.расчеты!$A256,'Как будет'!DC$45:DC$52)</f>
        <v>0</v>
      </c>
      <c r="DC256">
        <f>SUMIF('Как будет'!$A$45:$A$52,Доп.расчеты!$A256,'Как будет'!DD$45:DD$52)</f>
        <v>0</v>
      </c>
      <c r="DD256">
        <f>SUMIF('Как будет'!$A$45:$A$52,Доп.расчеты!$A256,'Как будет'!DE$45:DE$52)</f>
        <v>0</v>
      </c>
      <c r="DE256">
        <f>SUMIF('Как будет'!$A$45:$A$52,Доп.расчеты!$A256,'Как будет'!DF$45:DF$52)</f>
        <v>0</v>
      </c>
      <c r="DF256">
        <f>SUMIF('Как будет'!$A$45:$A$52,Доп.расчеты!$A256,'Как будет'!DG$45:DG$52)</f>
        <v>0</v>
      </c>
      <c r="DG256">
        <f>SUMIF('Как будет'!$A$45:$A$52,Доп.расчеты!$A256,'Как будет'!DH$45:DH$52)</f>
        <v>0</v>
      </c>
      <c r="DH256">
        <f>SUMIF('Как будет'!$A$45:$A$52,Доп.расчеты!$A256,'Как будет'!DI$45:DI$52)</f>
        <v>0</v>
      </c>
      <c r="DI256">
        <f>SUMIF('Как будет'!$A$45:$A$52,Доп.расчеты!$A256,'Как будет'!DJ$45:DJ$52)</f>
        <v>0</v>
      </c>
      <c r="DJ256">
        <f>SUMIF('Как будет'!$A$45:$A$52,Доп.расчеты!$A256,'Как будет'!DK$45:DK$52)</f>
        <v>0</v>
      </c>
      <c r="DK256">
        <f>SUMIF('Как будет'!$A$45:$A$52,Доп.расчеты!$A256,'Как будет'!DL$45:DL$52)</f>
        <v>0</v>
      </c>
      <c r="DL256">
        <f>SUMIF('Как будет'!$A$45:$A$52,Доп.расчеты!$A256,'Как будет'!DM$45:DM$52)</f>
        <v>0</v>
      </c>
      <c r="DM256">
        <f>SUMIF('Как будет'!$A$45:$A$52,Доп.расчеты!$A256,'Как будет'!DN$45:DN$52)</f>
        <v>0</v>
      </c>
      <c r="DN256">
        <f>SUMIF('Как будет'!$A$45:$A$52,Доп.расчеты!$A256,'Как будет'!DO$45:DO$52)</f>
        <v>0</v>
      </c>
      <c r="DO256">
        <f>SUMIF('Как будет'!$A$45:$A$52,Доп.расчеты!$A256,'Как будет'!DP$45:DP$52)</f>
        <v>0</v>
      </c>
      <c r="DP256">
        <f>SUMIF('Как будет'!$A$45:$A$52,Доп.расчеты!$A256,'Как будет'!DQ$45:DQ$52)</f>
        <v>0</v>
      </c>
      <c r="DQ256">
        <f>SUMIF('Как будет'!$A$45:$A$52,Доп.расчеты!$A256,'Как будет'!DR$45:DR$52)</f>
        <v>0</v>
      </c>
      <c r="DR256">
        <f>SUMIF('Как будет'!$A$45:$A$52,Доп.расчеты!$A256,'Как будет'!DS$45:DS$52)</f>
        <v>0</v>
      </c>
      <c r="DS256">
        <f>SUMIF('Как будет'!$A$45:$A$52,Доп.расчеты!$A256,'Как будет'!DT$45:DT$52)</f>
        <v>0</v>
      </c>
      <c r="DT256">
        <f>SUMIF('Как будет'!$A$45:$A$52,Доп.расчеты!$A256,'Как будет'!DU$45:DU$52)</f>
        <v>0</v>
      </c>
      <c r="DU256">
        <f>SUMIF('Как будет'!$A$45:$A$52,Доп.расчеты!$A256,'Как будет'!DV$45:DV$52)</f>
        <v>0</v>
      </c>
      <c r="DV256">
        <f>SUMIF('Как будет'!$A$45:$A$52,Доп.расчеты!$A256,'Как будет'!DW$45:DW$52)</f>
        <v>0</v>
      </c>
      <c r="DW256">
        <f>SUMIF('Как будет'!$A$45:$A$52,Доп.расчеты!$A256,'Как будет'!DX$45:DX$52)</f>
        <v>0</v>
      </c>
      <c r="DX256">
        <f>SUMIF('Как будет'!$A$45:$A$52,Доп.расчеты!$A256,'Как будет'!DY$45:DY$52)</f>
        <v>0</v>
      </c>
      <c r="DY256">
        <f>SUMIF('Как будет'!$A$45:$A$52,Доп.расчеты!$A256,'Как будет'!DZ$45:DZ$52)</f>
        <v>0</v>
      </c>
      <c r="DZ256">
        <f>SUMIF('Как будет'!$A$45:$A$52,Доп.расчеты!$A256,'Как будет'!EA$45:EA$52)</f>
        <v>0</v>
      </c>
      <c r="EA256">
        <f>SUMIF('Как будет'!$A$45:$A$52,Доп.расчеты!$A256,'Как будет'!EB$45:EB$52)</f>
        <v>0</v>
      </c>
      <c r="EB256">
        <f>SUMIF('Как будет'!$A$45:$A$52,Доп.расчеты!$A256,'Как будет'!EC$45:EC$52)</f>
        <v>0</v>
      </c>
      <c r="EC256">
        <f>SUMIF('Как будет'!$A$45:$A$52,Доп.расчеты!$A256,'Как будет'!ED$45:ED$52)</f>
        <v>0</v>
      </c>
      <c r="ED256">
        <f>SUMIF('Как будет'!$A$45:$A$52,Доп.расчеты!$A256,'Как будет'!EE$45:EE$52)</f>
        <v>0</v>
      </c>
      <c r="EE256">
        <f>SUMIF('Как будет'!$A$45:$A$52,Доп.расчеты!$A256,'Как будет'!EF$45:EF$52)</f>
        <v>0</v>
      </c>
      <c r="EF256">
        <f>SUMIF('Как будет'!$A$45:$A$52,Доп.расчеты!$A256,'Как будет'!EG$45:EG$52)</f>
        <v>0</v>
      </c>
      <c r="EG256">
        <f>SUMIF('Как будет'!$A$45:$A$52,Доп.расчеты!$A256,'Как будет'!EH$45:EH$52)</f>
        <v>0</v>
      </c>
      <c r="EH256">
        <f>SUMIF('Как будет'!$A$45:$A$52,Доп.расчеты!$A256,'Как будет'!EI$45:EI$52)</f>
        <v>0</v>
      </c>
      <c r="EI256">
        <f>SUMIF('Как будет'!$A$45:$A$52,Доп.расчеты!$A256,'Как будет'!EJ$45:EJ$52)</f>
        <v>0</v>
      </c>
      <c r="EJ256">
        <f>SUMIF('Как будет'!$A$45:$A$52,Доп.расчеты!$A256,'Как будет'!EK$45:EK$52)</f>
        <v>0</v>
      </c>
      <c r="EK256">
        <f>SUMIF('Как будет'!$A$45:$A$52,Доп.расчеты!$A256,'Как будет'!EL$45:EL$52)</f>
        <v>0</v>
      </c>
      <c r="EL256">
        <f>SUMIF('Как будет'!$A$45:$A$52,Доп.расчеты!$A256,'Как будет'!EM$45:EM$52)</f>
        <v>0</v>
      </c>
      <c r="EM256">
        <f>SUMIF('Как будет'!$A$45:$A$52,Доп.расчеты!$A256,'Как будет'!EN$45:EN$52)</f>
        <v>0</v>
      </c>
      <c r="EN256">
        <f>SUMIF('Как будет'!$A$45:$A$52,Доп.расчеты!$A256,'Как будет'!EO$45:EO$52)</f>
        <v>0</v>
      </c>
      <c r="EO256">
        <f>SUMIF('Как будет'!$A$45:$A$52,Доп.расчеты!$A256,'Как будет'!EP$45:EP$52)</f>
        <v>0</v>
      </c>
      <c r="EP256">
        <f>SUMIF('Как будет'!$A$45:$A$52,Доп.расчеты!$A256,'Как будет'!EQ$45:EQ$52)</f>
        <v>0</v>
      </c>
      <c r="EQ256">
        <f>SUMIF('Как будет'!$A$45:$A$52,Доп.расчеты!$A256,'Как будет'!ER$45:ER$52)</f>
        <v>0</v>
      </c>
      <c r="ER256">
        <f>SUMIF('Как будет'!$A$45:$A$52,Доп.расчеты!$A256,'Как будет'!ES$45:ES$52)</f>
        <v>0</v>
      </c>
      <c r="ES256">
        <f>SUMIF('Как будет'!$A$45:$A$52,Доп.расчеты!$A256,'Как будет'!ET$45:ET$52)</f>
        <v>0</v>
      </c>
      <c r="ET256">
        <f>SUMIF('Как будет'!$A$45:$A$52,Доп.расчеты!$A256,'Как будет'!EU$45:EU$52)</f>
        <v>0</v>
      </c>
      <c r="EU256">
        <f>SUMIF('Как будет'!$A$45:$A$52,Доп.расчеты!$A256,'Как будет'!EV$45:EV$52)</f>
        <v>0</v>
      </c>
      <c r="EV256">
        <f>SUMIF('Как будет'!$A$45:$A$52,Доп.расчеты!$A256,'Как будет'!EW$45:EW$52)</f>
        <v>0</v>
      </c>
      <c r="EW256">
        <f>SUMIF('Как будет'!$A$45:$A$52,Доп.расчеты!$A256,'Как будет'!EX$45:EX$52)</f>
        <v>0</v>
      </c>
      <c r="EX256">
        <f>SUMIF('Как будет'!$A$45:$A$52,Доп.расчеты!$A256,'Как будет'!EY$45:EY$52)</f>
        <v>0</v>
      </c>
      <c r="EY256">
        <f>SUMIF('Как будет'!$A$45:$A$52,Доп.расчеты!$A256,'Как будет'!EZ$45:EZ$52)</f>
        <v>0</v>
      </c>
      <c r="EZ256">
        <f>SUMIF('Как будет'!$A$45:$A$52,Доп.расчеты!$A256,'Как будет'!FA$45:FA$52)</f>
        <v>0</v>
      </c>
      <c r="FA256">
        <f>SUMIF('Как будет'!$A$45:$A$52,Доп.расчеты!$A256,'Как будет'!FB$45:FB$52)</f>
        <v>0</v>
      </c>
      <c r="FB256">
        <f>SUMIF('Как будет'!$A$45:$A$52,Доп.расчеты!$A256,'Как будет'!FC$45:FC$52)</f>
        <v>0</v>
      </c>
      <c r="FC256">
        <f>SUMIF('Как будет'!$A$45:$A$52,Доп.расчеты!$A256,'Как будет'!FD$45:FD$52)</f>
        <v>0</v>
      </c>
      <c r="FD256">
        <f>SUMIF('Как будет'!$A$45:$A$52,Доп.расчеты!$A256,'Как будет'!FE$45:FE$52)</f>
        <v>0</v>
      </c>
      <c r="FE256">
        <f>SUMIF('Как будет'!$A$45:$A$52,Доп.расчеты!$A256,'Как будет'!FF$45:FF$52)</f>
        <v>0</v>
      </c>
      <c r="FF256">
        <f>SUMIF('Как будет'!$A$45:$A$52,Доп.расчеты!$A256,'Как будет'!FG$45:FG$52)</f>
        <v>0</v>
      </c>
      <c r="FG256">
        <f>SUMIF('Как будет'!$A$45:$A$52,Доп.расчеты!$A256,'Как будет'!FH$45:FH$52)</f>
        <v>0</v>
      </c>
      <c r="FH256">
        <f>SUMIF('Как будет'!$A$45:$A$52,Доп.расчеты!$A256,'Как будет'!FI$45:FI$52)</f>
        <v>0</v>
      </c>
      <c r="FI256">
        <f>SUMIF('Как будет'!$A$45:$A$52,Доп.расчеты!$A256,'Как будет'!FJ$45:FJ$52)</f>
        <v>0</v>
      </c>
      <c r="FJ256">
        <f>SUMIF('Как будет'!$A$45:$A$52,Доп.расчеты!$A256,'Как будет'!FK$45:FK$52)</f>
        <v>0</v>
      </c>
      <c r="FK256">
        <f>SUMIF('Как будет'!$A$45:$A$52,Доп.расчеты!$A256,'Как будет'!FL$45:FL$52)</f>
        <v>0</v>
      </c>
      <c r="FL256">
        <f>SUMIF('Как будет'!$A$45:$A$52,Доп.расчеты!$A256,'Как будет'!FM$45:FM$52)</f>
        <v>0</v>
      </c>
      <c r="FM256">
        <f>SUMIF('Как будет'!$A$45:$A$52,Доп.расчеты!$A256,'Как будет'!FN$45:FN$52)</f>
        <v>0</v>
      </c>
      <c r="FN256">
        <f>SUMIF('Как будет'!$A$45:$A$52,Доп.расчеты!$A256,'Как будет'!FO$45:FO$52)</f>
        <v>0</v>
      </c>
      <c r="FO256">
        <f>SUMIF('Как будет'!$A$45:$A$52,Доп.расчеты!$A256,'Как будет'!FP$45:FP$52)</f>
        <v>0</v>
      </c>
      <c r="FP256">
        <f>SUMIF('Как будет'!$A$45:$A$52,Доп.расчеты!$A256,'Как будет'!FQ$45:FQ$52)</f>
        <v>0</v>
      </c>
      <c r="FQ256">
        <f>SUMIF('Как будет'!$A$45:$A$52,Доп.расчеты!$A256,'Как будет'!FR$45:FR$52)</f>
        <v>0</v>
      </c>
      <c r="FR256">
        <f>SUMIF('Как будет'!$A$45:$A$52,Доп.расчеты!$A256,'Как будет'!FS$45:FS$52)</f>
        <v>0</v>
      </c>
      <c r="FS256">
        <f>SUMIF('Как будет'!$A$45:$A$52,Доп.расчеты!$A256,'Как будет'!FT$45:FT$52)</f>
        <v>0</v>
      </c>
      <c r="FT256">
        <f>SUMIF('Как будет'!$A$45:$A$52,Доп.расчеты!$A256,'Как будет'!FU$45:FU$52)</f>
        <v>0</v>
      </c>
      <c r="FU256">
        <f>SUMIF('Как будет'!$A$45:$A$52,Доп.расчеты!$A256,'Как будет'!FV$45:FV$52)</f>
        <v>0</v>
      </c>
      <c r="FV256">
        <f>SUMIF('Как будет'!$A$45:$A$52,Доп.расчеты!$A256,'Как будет'!FW$45:FW$52)</f>
        <v>0</v>
      </c>
      <c r="FW256">
        <f>SUMIF('Как будет'!$A$45:$A$52,Доп.расчеты!$A256,'Как будет'!FX$45:FX$52)</f>
        <v>0</v>
      </c>
      <c r="FX256">
        <f>SUMIF('Как будет'!$A$45:$A$52,Доп.расчеты!$A256,'Как будет'!FY$45:FY$52)</f>
        <v>0</v>
      </c>
      <c r="FY256">
        <f>SUMIF('Как будет'!$A$45:$A$52,Доп.расчеты!$A256,'Как будет'!FZ$45:FZ$52)</f>
        <v>0</v>
      </c>
      <c r="FZ256">
        <f>SUMIF('Как будет'!$A$45:$A$52,Доп.расчеты!$A256,'Как будет'!GA$45:GA$52)</f>
        <v>0</v>
      </c>
      <c r="GA256">
        <f>SUMIF('Как будет'!$A$45:$A$52,Доп.расчеты!$A256,'Как будет'!GB$45:GB$52)</f>
        <v>0</v>
      </c>
      <c r="GB256">
        <f>SUMIF('Как будет'!$A$45:$A$52,Доп.расчеты!$A256,'Как будет'!GC$45:GC$52)</f>
        <v>0</v>
      </c>
      <c r="GC256">
        <f>SUMIF('Как будет'!$A$45:$A$52,Доп.расчеты!$A256,'Как будет'!GD$45:GD$52)</f>
        <v>0</v>
      </c>
      <c r="GD256">
        <f>SUMIF('Как будет'!$A$45:$A$52,Доп.расчеты!$A256,'Как будет'!GE$45:GE$52)</f>
        <v>0</v>
      </c>
      <c r="GE256">
        <f>SUMIF('Как будет'!$A$45:$A$52,Доп.расчеты!$A256,'Как будет'!GF$45:GF$52)</f>
        <v>0</v>
      </c>
      <c r="GF256">
        <f>SUMIF('Как будет'!$A$45:$A$52,Доп.расчеты!$A256,'Как будет'!GG$45:GG$52)</f>
        <v>0</v>
      </c>
      <c r="GG256">
        <f>SUMIF('Как будет'!$A$45:$A$52,Доп.расчеты!$A256,'Как будет'!GH$45:GH$52)</f>
        <v>0</v>
      </c>
      <c r="GH256">
        <f>SUMIF('Как будет'!$A$45:$A$52,Доп.расчеты!$A256,'Как будет'!GI$45:GI$52)</f>
        <v>0</v>
      </c>
      <c r="GI256">
        <f>SUMIF('Как будет'!$A$45:$A$52,Доп.расчеты!$A256,'Как будет'!GJ$45:GJ$52)</f>
        <v>0</v>
      </c>
      <c r="GJ256">
        <f>SUMIF('Как будет'!$A$45:$A$52,Доп.расчеты!$A256,'Как будет'!GK$45:GK$52)</f>
        <v>0</v>
      </c>
      <c r="GK256">
        <f>SUMIF('Как будет'!$A$45:$A$52,Доп.расчеты!$A256,'Как будет'!GL$45:GL$52)</f>
        <v>0</v>
      </c>
      <c r="GL256">
        <f>SUMIF('Как будет'!$A$45:$A$52,Доп.расчеты!$A256,'Как будет'!GM$45:GM$52)</f>
        <v>0</v>
      </c>
      <c r="GM256">
        <f>SUMIF('Как будет'!$A$45:$A$52,Доп.расчеты!$A256,'Как будет'!GN$45:GN$52)</f>
        <v>0</v>
      </c>
      <c r="GN256">
        <f>SUMIF('Как будет'!$A$45:$A$52,Доп.расчеты!$A256,'Как будет'!GO$45:GO$52)</f>
        <v>0</v>
      </c>
      <c r="GO256">
        <f>SUMIF('Как будет'!$A$45:$A$52,Доп.расчеты!$A256,'Как будет'!GP$45:GP$52)</f>
        <v>0</v>
      </c>
      <c r="GP256">
        <f>SUMIF('Как будет'!$A$45:$A$52,Доп.расчеты!$A256,'Как будет'!GQ$45:GQ$52)</f>
        <v>0</v>
      </c>
      <c r="GQ256">
        <f>SUMIF('Как будет'!$A$45:$A$52,Доп.расчеты!$A256,'Как будет'!GR$45:GR$52)</f>
        <v>0</v>
      </c>
      <c r="GR256">
        <f>SUMIF('Как будет'!$A$45:$A$52,Доп.расчеты!$A256,'Как будет'!GS$45:GS$52)</f>
        <v>0</v>
      </c>
      <c r="GS256">
        <f>SUMIF('Как будет'!$A$45:$A$52,Доп.расчеты!$A256,'Как будет'!GT$45:GT$52)</f>
        <v>0</v>
      </c>
      <c r="GT256">
        <f>SUMIF('Как будет'!$A$45:$A$52,Доп.расчеты!$A256,'Как будет'!GU$45:GU$52)</f>
        <v>0</v>
      </c>
    </row>
    <row r="257" spans="1:202">
      <c r="A257" s="238" t="s">
        <v>106</v>
      </c>
      <c r="B257">
        <f>SUMIF('Как будет'!$A$45:$A$52,Доп.расчеты!$A257,'Как будет'!C$45:C$52)</f>
        <v>0</v>
      </c>
      <c r="C257">
        <f>SUMIF('Как будет'!$A$45:$A$52,Доп.расчеты!$A257,'Как будет'!D$45:D$52)</f>
        <v>0</v>
      </c>
      <c r="D257">
        <f>SUMIF('Как будет'!$A$45:$A$52,Доп.расчеты!$A257,'Как будет'!E$45:E$52)</f>
        <v>0</v>
      </c>
      <c r="E257">
        <f>SUMIF('Как будет'!$A$45:$A$52,Доп.расчеты!$A257,'Как будет'!F$45:F$52)</f>
        <v>0</v>
      </c>
      <c r="F257">
        <f>SUMIF('Как будет'!$A$45:$A$52,Доп.расчеты!$A257,'Как будет'!G$45:G$52)</f>
        <v>0</v>
      </c>
      <c r="G257">
        <f>SUMIF('Как будет'!$A$45:$A$52,Доп.расчеты!$A257,'Как будет'!H$45:H$52)</f>
        <v>0</v>
      </c>
      <c r="H257">
        <f>SUMIF('Как будет'!$A$45:$A$52,Доп.расчеты!$A257,'Как будет'!I$45:I$52)</f>
        <v>0</v>
      </c>
      <c r="I257">
        <f>SUMIF('Как будет'!$A$45:$A$52,Доп.расчеты!$A257,'Как будет'!J$45:J$52)</f>
        <v>0</v>
      </c>
      <c r="J257">
        <f>SUMIF('Как будет'!$A$45:$A$52,Доп.расчеты!$A257,'Как будет'!K$45:K$52)</f>
        <v>0</v>
      </c>
      <c r="K257">
        <f>SUMIF('Как будет'!$A$45:$A$52,Доп.расчеты!$A257,'Как будет'!L$45:L$52)</f>
        <v>0</v>
      </c>
      <c r="L257">
        <f>SUMIF('Как будет'!$A$45:$A$52,Доп.расчеты!$A257,'Как будет'!M$45:M$52)</f>
        <v>0</v>
      </c>
      <c r="M257">
        <f>SUMIF('Как будет'!$A$45:$A$52,Доп.расчеты!$A257,'Как будет'!N$45:N$52)</f>
        <v>0</v>
      </c>
      <c r="N257">
        <f>SUMIF('Как будет'!$A$45:$A$52,Доп.расчеты!$A257,'Как будет'!O$45:O$52)</f>
        <v>0</v>
      </c>
      <c r="O257">
        <f>SUMIF('Как будет'!$A$45:$A$52,Доп.расчеты!$A257,'Как будет'!P$45:P$52)</f>
        <v>0</v>
      </c>
      <c r="P257">
        <f>SUMIF('Как будет'!$A$45:$A$52,Доп.расчеты!$A257,'Как будет'!Q$45:Q$52)</f>
        <v>0</v>
      </c>
      <c r="Q257">
        <f>SUMIF('Как будет'!$A$45:$A$52,Доп.расчеты!$A257,'Как будет'!R$45:R$52)</f>
        <v>0</v>
      </c>
      <c r="R257">
        <f>SUMIF('Как будет'!$A$45:$A$52,Доп.расчеты!$A257,'Как будет'!S$45:S$52)</f>
        <v>0</v>
      </c>
      <c r="S257">
        <f>SUMIF('Как будет'!$A$45:$A$52,Доп.расчеты!$A257,'Как будет'!T$45:T$52)</f>
        <v>0</v>
      </c>
      <c r="T257">
        <f>SUMIF('Как будет'!$A$45:$A$52,Доп.расчеты!$A257,'Как будет'!U$45:U$52)</f>
        <v>0</v>
      </c>
      <c r="U257">
        <f>SUMIF('Как будет'!$A$45:$A$52,Доп.расчеты!$A257,'Как будет'!V$45:V$52)</f>
        <v>0</v>
      </c>
      <c r="V257">
        <f>SUMIF('Как будет'!$A$45:$A$52,Доп.расчеты!$A257,'Как будет'!W$45:W$52)</f>
        <v>0</v>
      </c>
      <c r="W257">
        <f>SUMIF('Как будет'!$A$45:$A$52,Доп.расчеты!$A257,'Как будет'!X$45:X$52)</f>
        <v>0</v>
      </c>
      <c r="X257">
        <f>SUMIF('Как будет'!$A$45:$A$52,Доп.расчеты!$A257,'Как будет'!Y$45:Y$52)</f>
        <v>0</v>
      </c>
      <c r="Y257">
        <f>SUMIF('Как будет'!$A$45:$A$52,Доп.расчеты!$A257,'Как будет'!Z$45:Z$52)</f>
        <v>0</v>
      </c>
      <c r="Z257">
        <f>SUMIF('Как будет'!$A$45:$A$52,Доп.расчеты!$A257,'Как будет'!AA$45:AA$52)</f>
        <v>0</v>
      </c>
      <c r="AA257">
        <f>SUMIF('Как будет'!$A$45:$A$52,Доп.расчеты!$A257,'Как будет'!AB$45:AB$52)</f>
        <v>0</v>
      </c>
      <c r="AB257">
        <f>SUMIF('Как будет'!$A$45:$A$52,Доп.расчеты!$A257,'Как будет'!AC$45:AC$52)</f>
        <v>0</v>
      </c>
      <c r="AC257">
        <f>SUMIF('Как будет'!$A$45:$A$52,Доп.расчеты!$A257,'Как будет'!AD$45:AD$52)</f>
        <v>0</v>
      </c>
      <c r="AD257">
        <f>SUMIF('Как будет'!$A$45:$A$52,Доп.расчеты!$A257,'Как будет'!AE$45:AE$52)</f>
        <v>0</v>
      </c>
      <c r="AE257">
        <f>SUMIF('Как будет'!$A$45:$A$52,Доп.расчеты!$A257,'Как будет'!AF$45:AF$52)</f>
        <v>0</v>
      </c>
      <c r="AF257">
        <f>SUMIF('Как будет'!$A$45:$A$52,Доп.расчеты!$A257,'Как будет'!AG$45:AG$52)</f>
        <v>0</v>
      </c>
      <c r="AG257">
        <f>SUMIF('Как будет'!$A$45:$A$52,Доп.расчеты!$A257,'Как будет'!AH$45:AH$52)</f>
        <v>0</v>
      </c>
      <c r="AH257">
        <f>SUMIF('Как будет'!$A$45:$A$52,Доп.расчеты!$A257,'Как будет'!AI$45:AI$52)</f>
        <v>0</v>
      </c>
      <c r="AI257">
        <f>SUMIF('Как будет'!$A$45:$A$52,Доп.расчеты!$A257,'Как будет'!AJ$45:AJ$52)</f>
        <v>0</v>
      </c>
      <c r="AJ257">
        <f>SUMIF('Как будет'!$A$45:$A$52,Доп.расчеты!$A257,'Как будет'!AK$45:AK$52)</f>
        <v>0</v>
      </c>
      <c r="AK257">
        <f>SUMIF('Как будет'!$A$45:$A$52,Доп.расчеты!$A257,'Как будет'!AL$45:AL$52)</f>
        <v>0</v>
      </c>
      <c r="AL257">
        <f>SUMIF('Как будет'!$A$45:$A$52,Доп.расчеты!$A257,'Как будет'!AM$45:AM$52)</f>
        <v>0</v>
      </c>
      <c r="AM257">
        <f>SUMIF('Как будет'!$A$45:$A$52,Доп.расчеты!$A257,'Как будет'!AN$45:AN$52)</f>
        <v>0</v>
      </c>
      <c r="AN257">
        <f>SUMIF('Как будет'!$A$45:$A$52,Доп.расчеты!$A257,'Как будет'!AO$45:AO$52)</f>
        <v>0</v>
      </c>
      <c r="AO257">
        <f>SUMIF('Как будет'!$A$45:$A$52,Доп.расчеты!$A257,'Как будет'!AP$45:AP$52)</f>
        <v>0</v>
      </c>
      <c r="AP257">
        <f>SUMIF('Как будет'!$A$45:$A$52,Доп.расчеты!$A257,'Как будет'!AQ$45:AQ$52)</f>
        <v>0</v>
      </c>
      <c r="AQ257">
        <f>SUMIF('Как будет'!$A$45:$A$52,Доп.расчеты!$A257,'Как будет'!AR$45:AR$52)</f>
        <v>0</v>
      </c>
      <c r="AR257">
        <f>SUMIF('Как будет'!$A$45:$A$52,Доп.расчеты!$A257,'Как будет'!AS$45:AS$52)</f>
        <v>0</v>
      </c>
      <c r="AS257">
        <f>SUMIF('Как будет'!$A$45:$A$52,Доп.расчеты!$A257,'Как будет'!AT$45:AT$52)</f>
        <v>0</v>
      </c>
      <c r="AT257">
        <f>SUMIF('Как будет'!$A$45:$A$52,Доп.расчеты!$A257,'Как будет'!AU$45:AU$52)</f>
        <v>0</v>
      </c>
      <c r="AU257">
        <f>SUMIF('Как будет'!$A$45:$A$52,Доп.расчеты!$A257,'Как будет'!AV$45:AV$52)</f>
        <v>0</v>
      </c>
      <c r="AV257">
        <f>SUMIF('Как будет'!$A$45:$A$52,Доп.расчеты!$A257,'Как будет'!AW$45:AW$52)</f>
        <v>0</v>
      </c>
      <c r="AW257">
        <f>SUMIF('Как будет'!$A$45:$A$52,Доп.расчеты!$A257,'Как будет'!AX$45:AX$52)</f>
        <v>0</v>
      </c>
      <c r="AX257">
        <f>SUMIF('Как будет'!$A$45:$A$52,Доп.расчеты!$A257,'Как будет'!AY$45:AY$52)</f>
        <v>0</v>
      </c>
      <c r="AY257">
        <f>SUMIF('Как будет'!$A$45:$A$52,Доп.расчеты!$A257,'Как будет'!AZ$45:AZ$52)</f>
        <v>0</v>
      </c>
      <c r="AZ257">
        <f>SUMIF('Как будет'!$A$45:$A$52,Доп.расчеты!$A257,'Как будет'!BA$45:BA$52)</f>
        <v>0</v>
      </c>
      <c r="BA257">
        <f>SUMIF('Как будет'!$A$45:$A$52,Доп.расчеты!$A257,'Как будет'!BB$45:BB$52)</f>
        <v>0</v>
      </c>
      <c r="BB257">
        <f>SUMIF('Как будет'!$A$45:$A$52,Доп.расчеты!$A257,'Как будет'!BC$45:BC$52)</f>
        <v>0</v>
      </c>
      <c r="BC257">
        <f>SUMIF('Как будет'!$A$45:$A$52,Доп.расчеты!$A257,'Как будет'!BD$45:BD$52)</f>
        <v>0</v>
      </c>
      <c r="BD257">
        <f>SUMIF('Как будет'!$A$45:$A$52,Доп.расчеты!$A257,'Как будет'!BE$45:BE$52)</f>
        <v>0</v>
      </c>
      <c r="BE257">
        <f>SUMIF('Как будет'!$A$45:$A$52,Доп.расчеты!$A257,'Как будет'!BF$45:BF$52)</f>
        <v>0</v>
      </c>
      <c r="BF257">
        <f>SUMIF('Как будет'!$A$45:$A$52,Доп.расчеты!$A257,'Как будет'!BG$45:BG$52)</f>
        <v>0</v>
      </c>
      <c r="BG257">
        <f>SUMIF('Как будет'!$A$45:$A$52,Доп.расчеты!$A257,'Как будет'!BH$45:BH$52)</f>
        <v>0</v>
      </c>
      <c r="BH257">
        <f>SUMIF('Как будет'!$A$45:$A$52,Доп.расчеты!$A257,'Как будет'!BI$45:BI$52)</f>
        <v>0</v>
      </c>
      <c r="BI257">
        <f>SUMIF('Как будет'!$A$45:$A$52,Доп.расчеты!$A257,'Как будет'!BJ$45:BJ$52)</f>
        <v>0</v>
      </c>
      <c r="BJ257">
        <f>SUMIF('Как будет'!$A$45:$A$52,Доп.расчеты!$A257,'Как будет'!BK$45:BK$52)</f>
        <v>0</v>
      </c>
      <c r="BK257">
        <f>SUMIF('Как будет'!$A$45:$A$52,Доп.расчеты!$A257,'Как будет'!BL$45:BL$52)</f>
        <v>0</v>
      </c>
      <c r="BL257">
        <f>SUMIF('Как будет'!$A$45:$A$52,Доп.расчеты!$A257,'Как будет'!BM$45:BM$52)</f>
        <v>0</v>
      </c>
      <c r="BM257">
        <f>SUMIF('Как будет'!$A$45:$A$52,Доп.расчеты!$A257,'Как будет'!BN$45:BN$52)</f>
        <v>0</v>
      </c>
      <c r="BN257">
        <f>SUMIF('Как будет'!$A$45:$A$52,Доп.расчеты!$A257,'Как будет'!BO$45:BO$52)</f>
        <v>0</v>
      </c>
      <c r="BO257">
        <f>SUMIF('Как будет'!$A$45:$A$52,Доп.расчеты!$A257,'Как будет'!BP$45:BP$52)</f>
        <v>0</v>
      </c>
      <c r="BP257">
        <f>SUMIF('Как будет'!$A$45:$A$52,Доп.расчеты!$A257,'Как будет'!BQ$45:BQ$52)</f>
        <v>0</v>
      </c>
      <c r="BQ257">
        <f>SUMIF('Как будет'!$A$45:$A$52,Доп.расчеты!$A257,'Как будет'!BR$45:BR$52)</f>
        <v>0</v>
      </c>
      <c r="BR257">
        <f>SUMIF('Как будет'!$A$45:$A$52,Доп.расчеты!$A257,'Как будет'!BS$45:BS$52)</f>
        <v>0</v>
      </c>
      <c r="BS257">
        <f>SUMIF('Как будет'!$A$45:$A$52,Доп.расчеты!$A257,'Как будет'!BT$45:BT$52)</f>
        <v>0</v>
      </c>
      <c r="BT257">
        <f>SUMIF('Как будет'!$A$45:$A$52,Доп.расчеты!$A257,'Как будет'!BU$45:BU$52)</f>
        <v>0</v>
      </c>
      <c r="BU257">
        <f>SUMIF('Как будет'!$A$45:$A$52,Доп.расчеты!$A257,'Как будет'!BV$45:BV$52)</f>
        <v>0</v>
      </c>
      <c r="BV257">
        <f>SUMIF('Как будет'!$A$45:$A$52,Доп.расчеты!$A257,'Как будет'!BW$45:BW$52)</f>
        <v>0</v>
      </c>
      <c r="BW257">
        <f>SUMIF('Как будет'!$A$45:$A$52,Доп.расчеты!$A257,'Как будет'!BX$45:BX$52)</f>
        <v>0</v>
      </c>
      <c r="BX257">
        <f>SUMIF('Как будет'!$A$45:$A$52,Доп.расчеты!$A257,'Как будет'!BY$45:BY$52)</f>
        <v>0</v>
      </c>
      <c r="BY257">
        <f>SUMIF('Как будет'!$A$45:$A$52,Доп.расчеты!$A257,'Как будет'!BZ$45:BZ$52)</f>
        <v>0</v>
      </c>
      <c r="BZ257">
        <f>SUMIF('Как будет'!$A$45:$A$52,Доп.расчеты!$A257,'Как будет'!CA$45:CA$52)</f>
        <v>0</v>
      </c>
      <c r="CA257">
        <f>SUMIF('Как будет'!$A$45:$A$52,Доп.расчеты!$A257,'Как будет'!CB$45:CB$52)</f>
        <v>0</v>
      </c>
      <c r="CB257">
        <f>SUMIF('Как будет'!$A$45:$A$52,Доп.расчеты!$A257,'Как будет'!CC$45:CC$52)</f>
        <v>0</v>
      </c>
      <c r="CC257">
        <f>SUMIF('Как будет'!$A$45:$A$52,Доп.расчеты!$A257,'Как будет'!CD$45:CD$52)</f>
        <v>0</v>
      </c>
      <c r="CD257">
        <f>SUMIF('Как будет'!$A$45:$A$52,Доп.расчеты!$A257,'Как будет'!CE$45:CE$52)</f>
        <v>0</v>
      </c>
      <c r="CE257">
        <f>SUMIF('Как будет'!$A$45:$A$52,Доп.расчеты!$A257,'Как будет'!CF$45:CF$52)</f>
        <v>0</v>
      </c>
      <c r="CF257">
        <f>SUMIF('Как будет'!$A$45:$A$52,Доп.расчеты!$A257,'Как будет'!CG$45:CG$52)</f>
        <v>0</v>
      </c>
      <c r="CG257">
        <f>SUMIF('Как будет'!$A$45:$A$52,Доп.расчеты!$A257,'Как будет'!CH$45:CH$52)</f>
        <v>0</v>
      </c>
      <c r="CH257">
        <f>SUMIF('Как будет'!$A$45:$A$52,Доп.расчеты!$A257,'Как будет'!CI$45:CI$52)</f>
        <v>0</v>
      </c>
      <c r="CI257">
        <f>SUMIF('Как будет'!$A$45:$A$52,Доп.расчеты!$A257,'Как будет'!CJ$45:CJ$52)</f>
        <v>0</v>
      </c>
      <c r="CJ257">
        <f>SUMIF('Как будет'!$A$45:$A$52,Доп.расчеты!$A257,'Как будет'!CK$45:CK$52)</f>
        <v>0</v>
      </c>
      <c r="CK257">
        <f>SUMIF('Как будет'!$A$45:$A$52,Доп.расчеты!$A257,'Как будет'!CL$45:CL$52)</f>
        <v>0</v>
      </c>
      <c r="CL257">
        <f>SUMIF('Как будет'!$A$45:$A$52,Доп.расчеты!$A257,'Как будет'!CM$45:CM$52)</f>
        <v>0</v>
      </c>
      <c r="CM257">
        <f>SUMIF('Как будет'!$A$45:$A$52,Доп.расчеты!$A257,'Как будет'!CN$45:CN$52)</f>
        <v>0</v>
      </c>
      <c r="CN257">
        <f>SUMIF('Как будет'!$A$45:$A$52,Доп.расчеты!$A257,'Как будет'!CO$45:CO$52)</f>
        <v>0</v>
      </c>
      <c r="CO257">
        <f>SUMIF('Как будет'!$A$45:$A$52,Доп.расчеты!$A257,'Как будет'!CP$45:CP$52)</f>
        <v>0</v>
      </c>
      <c r="CP257">
        <f>SUMIF('Как будет'!$A$45:$A$52,Доп.расчеты!$A257,'Как будет'!CQ$45:CQ$52)</f>
        <v>0</v>
      </c>
      <c r="CQ257">
        <f>SUMIF('Как будет'!$A$45:$A$52,Доп.расчеты!$A257,'Как будет'!CR$45:CR$52)</f>
        <v>0</v>
      </c>
      <c r="CR257">
        <f>SUMIF('Как будет'!$A$45:$A$52,Доп.расчеты!$A257,'Как будет'!CS$45:CS$52)</f>
        <v>0</v>
      </c>
      <c r="CS257">
        <f>SUMIF('Как будет'!$A$45:$A$52,Доп.расчеты!$A257,'Как будет'!CT$45:CT$52)</f>
        <v>0</v>
      </c>
      <c r="CT257">
        <f>SUMIF('Как будет'!$A$45:$A$52,Доп.расчеты!$A257,'Как будет'!CU$45:CU$52)</f>
        <v>0</v>
      </c>
      <c r="CU257">
        <f>SUMIF('Как будет'!$A$45:$A$52,Доп.расчеты!$A257,'Как будет'!CV$45:CV$52)</f>
        <v>0</v>
      </c>
      <c r="CV257">
        <f>SUMIF('Как будет'!$A$45:$A$52,Доп.расчеты!$A257,'Как будет'!CW$45:CW$52)</f>
        <v>0</v>
      </c>
      <c r="CW257">
        <f>SUMIF('Как будет'!$A$45:$A$52,Доп.расчеты!$A257,'Как будет'!CX$45:CX$52)</f>
        <v>0</v>
      </c>
      <c r="CX257">
        <f>SUMIF('Как будет'!$A$45:$A$52,Доп.расчеты!$A257,'Как будет'!CY$45:CY$52)</f>
        <v>0</v>
      </c>
      <c r="CY257">
        <f>SUMIF('Как будет'!$A$45:$A$52,Доп.расчеты!$A257,'Как будет'!CZ$45:CZ$52)</f>
        <v>0</v>
      </c>
      <c r="CZ257">
        <f>SUMIF('Как будет'!$A$45:$A$52,Доп.расчеты!$A257,'Как будет'!DA$45:DA$52)</f>
        <v>0</v>
      </c>
      <c r="DA257">
        <f>SUMIF('Как будет'!$A$45:$A$52,Доп.расчеты!$A257,'Как будет'!DB$45:DB$52)</f>
        <v>0</v>
      </c>
      <c r="DB257">
        <f>SUMIF('Как будет'!$A$45:$A$52,Доп.расчеты!$A257,'Как будет'!DC$45:DC$52)</f>
        <v>0</v>
      </c>
      <c r="DC257">
        <f>SUMIF('Как будет'!$A$45:$A$52,Доп.расчеты!$A257,'Как будет'!DD$45:DD$52)</f>
        <v>0</v>
      </c>
      <c r="DD257">
        <f>SUMIF('Как будет'!$A$45:$A$52,Доп.расчеты!$A257,'Как будет'!DE$45:DE$52)</f>
        <v>0</v>
      </c>
      <c r="DE257">
        <f>SUMIF('Как будет'!$A$45:$A$52,Доп.расчеты!$A257,'Как будет'!DF$45:DF$52)</f>
        <v>0</v>
      </c>
      <c r="DF257">
        <f>SUMIF('Как будет'!$A$45:$A$52,Доп.расчеты!$A257,'Как будет'!DG$45:DG$52)</f>
        <v>0</v>
      </c>
      <c r="DG257">
        <f>SUMIF('Как будет'!$A$45:$A$52,Доп.расчеты!$A257,'Как будет'!DH$45:DH$52)</f>
        <v>0</v>
      </c>
      <c r="DH257">
        <f>SUMIF('Как будет'!$A$45:$A$52,Доп.расчеты!$A257,'Как будет'!DI$45:DI$52)</f>
        <v>0</v>
      </c>
      <c r="DI257">
        <f>SUMIF('Как будет'!$A$45:$A$52,Доп.расчеты!$A257,'Как будет'!DJ$45:DJ$52)</f>
        <v>0</v>
      </c>
      <c r="DJ257">
        <f>SUMIF('Как будет'!$A$45:$A$52,Доп.расчеты!$A257,'Как будет'!DK$45:DK$52)</f>
        <v>0</v>
      </c>
      <c r="DK257">
        <f>SUMIF('Как будет'!$A$45:$A$52,Доп.расчеты!$A257,'Как будет'!DL$45:DL$52)</f>
        <v>0</v>
      </c>
      <c r="DL257">
        <f>SUMIF('Как будет'!$A$45:$A$52,Доп.расчеты!$A257,'Как будет'!DM$45:DM$52)</f>
        <v>0</v>
      </c>
      <c r="DM257">
        <f>SUMIF('Как будет'!$A$45:$A$52,Доп.расчеты!$A257,'Как будет'!DN$45:DN$52)</f>
        <v>0</v>
      </c>
      <c r="DN257">
        <f>SUMIF('Как будет'!$A$45:$A$52,Доп.расчеты!$A257,'Как будет'!DO$45:DO$52)</f>
        <v>0</v>
      </c>
      <c r="DO257">
        <f>SUMIF('Как будет'!$A$45:$A$52,Доп.расчеты!$A257,'Как будет'!DP$45:DP$52)</f>
        <v>0</v>
      </c>
      <c r="DP257">
        <f>SUMIF('Как будет'!$A$45:$A$52,Доп.расчеты!$A257,'Как будет'!DQ$45:DQ$52)</f>
        <v>0</v>
      </c>
      <c r="DQ257">
        <f>SUMIF('Как будет'!$A$45:$A$52,Доп.расчеты!$A257,'Как будет'!DR$45:DR$52)</f>
        <v>0</v>
      </c>
      <c r="DR257">
        <f>SUMIF('Как будет'!$A$45:$A$52,Доп.расчеты!$A257,'Как будет'!DS$45:DS$52)</f>
        <v>0</v>
      </c>
      <c r="DS257">
        <f>SUMIF('Как будет'!$A$45:$A$52,Доп.расчеты!$A257,'Как будет'!DT$45:DT$52)</f>
        <v>0</v>
      </c>
      <c r="DT257">
        <f>SUMIF('Как будет'!$A$45:$A$52,Доп.расчеты!$A257,'Как будет'!DU$45:DU$52)</f>
        <v>0</v>
      </c>
      <c r="DU257">
        <f>SUMIF('Как будет'!$A$45:$A$52,Доп.расчеты!$A257,'Как будет'!DV$45:DV$52)</f>
        <v>0</v>
      </c>
      <c r="DV257">
        <f>SUMIF('Как будет'!$A$45:$A$52,Доп.расчеты!$A257,'Как будет'!DW$45:DW$52)</f>
        <v>0</v>
      </c>
      <c r="DW257">
        <f>SUMIF('Как будет'!$A$45:$A$52,Доп.расчеты!$A257,'Как будет'!DX$45:DX$52)</f>
        <v>0</v>
      </c>
      <c r="DX257">
        <f>SUMIF('Как будет'!$A$45:$A$52,Доп.расчеты!$A257,'Как будет'!DY$45:DY$52)</f>
        <v>0</v>
      </c>
      <c r="DY257">
        <f>SUMIF('Как будет'!$A$45:$A$52,Доп.расчеты!$A257,'Как будет'!DZ$45:DZ$52)</f>
        <v>0</v>
      </c>
      <c r="DZ257">
        <f>SUMIF('Как будет'!$A$45:$A$52,Доп.расчеты!$A257,'Как будет'!EA$45:EA$52)</f>
        <v>0</v>
      </c>
      <c r="EA257">
        <f>SUMIF('Как будет'!$A$45:$A$52,Доп.расчеты!$A257,'Как будет'!EB$45:EB$52)</f>
        <v>0</v>
      </c>
      <c r="EB257">
        <f>SUMIF('Как будет'!$A$45:$A$52,Доп.расчеты!$A257,'Как будет'!EC$45:EC$52)</f>
        <v>0</v>
      </c>
      <c r="EC257">
        <f>SUMIF('Как будет'!$A$45:$A$52,Доп.расчеты!$A257,'Как будет'!ED$45:ED$52)</f>
        <v>0</v>
      </c>
      <c r="ED257">
        <f>SUMIF('Как будет'!$A$45:$A$52,Доп.расчеты!$A257,'Как будет'!EE$45:EE$52)</f>
        <v>0</v>
      </c>
      <c r="EE257">
        <f>SUMIF('Как будет'!$A$45:$A$52,Доп.расчеты!$A257,'Как будет'!EF$45:EF$52)</f>
        <v>0</v>
      </c>
      <c r="EF257">
        <f>SUMIF('Как будет'!$A$45:$A$52,Доп.расчеты!$A257,'Как будет'!EG$45:EG$52)</f>
        <v>0</v>
      </c>
      <c r="EG257">
        <f>SUMIF('Как будет'!$A$45:$A$52,Доп.расчеты!$A257,'Как будет'!EH$45:EH$52)</f>
        <v>0</v>
      </c>
      <c r="EH257">
        <f>SUMIF('Как будет'!$A$45:$A$52,Доп.расчеты!$A257,'Как будет'!EI$45:EI$52)</f>
        <v>0</v>
      </c>
      <c r="EI257">
        <f>SUMIF('Как будет'!$A$45:$A$52,Доп.расчеты!$A257,'Как будет'!EJ$45:EJ$52)</f>
        <v>0</v>
      </c>
      <c r="EJ257">
        <f>SUMIF('Как будет'!$A$45:$A$52,Доп.расчеты!$A257,'Как будет'!EK$45:EK$52)</f>
        <v>0</v>
      </c>
      <c r="EK257">
        <f>SUMIF('Как будет'!$A$45:$A$52,Доп.расчеты!$A257,'Как будет'!EL$45:EL$52)</f>
        <v>0</v>
      </c>
      <c r="EL257">
        <f>SUMIF('Как будет'!$A$45:$A$52,Доп.расчеты!$A257,'Как будет'!EM$45:EM$52)</f>
        <v>0</v>
      </c>
      <c r="EM257">
        <f>SUMIF('Как будет'!$A$45:$A$52,Доп.расчеты!$A257,'Как будет'!EN$45:EN$52)</f>
        <v>0</v>
      </c>
      <c r="EN257">
        <f>SUMIF('Как будет'!$A$45:$A$52,Доп.расчеты!$A257,'Как будет'!EO$45:EO$52)</f>
        <v>0</v>
      </c>
      <c r="EO257">
        <f>SUMIF('Как будет'!$A$45:$A$52,Доп.расчеты!$A257,'Как будет'!EP$45:EP$52)</f>
        <v>0</v>
      </c>
      <c r="EP257">
        <f>SUMIF('Как будет'!$A$45:$A$52,Доп.расчеты!$A257,'Как будет'!EQ$45:EQ$52)</f>
        <v>0</v>
      </c>
      <c r="EQ257">
        <f>SUMIF('Как будет'!$A$45:$A$52,Доп.расчеты!$A257,'Как будет'!ER$45:ER$52)</f>
        <v>0</v>
      </c>
      <c r="ER257">
        <f>SUMIF('Как будет'!$A$45:$A$52,Доп.расчеты!$A257,'Как будет'!ES$45:ES$52)</f>
        <v>0</v>
      </c>
      <c r="ES257">
        <f>SUMIF('Как будет'!$A$45:$A$52,Доп.расчеты!$A257,'Как будет'!ET$45:ET$52)</f>
        <v>0</v>
      </c>
      <c r="ET257">
        <f>SUMIF('Как будет'!$A$45:$A$52,Доп.расчеты!$A257,'Как будет'!EU$45:EU$52)</f>
        <v>0</v>
      </c>
      <c r="EU257">
        <f>SUMIF('Как будет'!$A$45:$A$52,Доп.расчеты!$A257,'Как будет'!EV$45:EV$52)</f>
        <v>0</v>
      </c>
      <c r="EV257">
        <f>SUMIF('Как будет'!$A$45:$A$52,Доп.расчеты!$A257,'Как будет'!EW$45:EW$52)</f>
        <v>0</v>
      </c>
      <c r="EW257">
        <f>SUMIF('Как будет'!$A$45:$A$52,Доп.расчеты!$A257,'Как будет'!EX$45:EX$52)</f>
        <v>0</v>
      </c>
      <c r="EX257">
        <f>SUMIF('Как будет'!$A$45:$A$52,Доп.расчеты!$A257,'Как будет'!EY$45:EY$52)</f>
        <v>0</v>
      </c>
      <c r="EY257">
        <f>SUMIF('Как будет'!$A$45:$A$52,Доп.расчеты!$A257,'Как будет'!EZ$45:EZ$52)</f>
        <v>0</v>
      </c>
      <c r="EZ257">
        <f>SUMIF('Как будет'!$A$45:$A$52,Доп.расчеты!$A257,'Как будет'!FA$45:FA$52)</f>
        <v>0</v>
      </c>
      <c r="FA257">
        <f>SUMIF('Как будет'!$A$45:$A$52,Доп.расчеты!$A257,'Как будет'!FB$45:FB$52)</f>
        <v>0</v>
      </c>
      <c r="FB257">
        <f>SUMIF('Как будет'!$A$45:$A$52,Доп.расчеты!$A257,'Как будет'!FC$45:FC$52)</f>
        <v>0</v>
      </c>
      <c r="FC257">
        <f>SUMIF('Как будет'!$A$45:$A$52,Доп.расчеты!$A257,'Как будет'!FD$45:FD$52)</f>
        <v>0</v>
      </c>
      <c r="FD257">
        <f>SUMIF('Как будет'!$A$45:$A$52,Доп.расчеты!$A257,'Как будет'!FE$45:FE$52)</f>
        <v>0</v>
      </c>
      <c r="FE257">
        <f>SUMIF('Как будет'!$A$45:$A$52,Доп.расчеты!$A257,'Как будет'!FF$45:FF$52)</f>
        <v>0</v>
      </c>
      <c r="FF257">
        <f>SUMIF('Как будет'!$A$45:$A$52,Доп.расчеты!$A257,'Как будет'!FG$45:FG$52)</f>
        <v>0</v>
      </c>
      <c r="FG257">
        <f>SUMIF('Как будет'!$A$45:$A$52,Доп.расчеты!$A257,'Как будет'!FH$45:FH$52)</f>
        <v>0</v>
      </c>
      <c r="FH257">
        <f>SUMIF('Как будет'!$A$45:$A$52,Доп.расчеты!$A257,'Как будет'!FI$45:FI$52)</f>
        <v>0</v>
      </c>
      <c r="FI257">
        <f>SUMIF('Как будет'!$A$45:$A$52,Доп.расчеты!$A257,'Как будет'!FJ$45:FJ$52)</f>
        <v>0</v>
      </c>
      <c r="FJ257">
        <f>SUMIF('Как будет'!$A$45:$A$52,Доп.расчеты!$A257,'Как будет'!FK$45:FK$52)</f>
        <v>0</v>
      </c>
      <c r="FK257">
        <f>SUMIF('Как будет'!$A$45:$A$52,Доп.расчеты!$A257,'Как будет'!FL$45:FL$52)</f>
        <v>0</v>
      </c>
      <c r="FL257">
        <f>SUMIF('Как будет'!$A$45:$A$52,Доп.расчеты!$A257,'Как будет'!FM$45:FM$52)</f>
        <v>0</v>
      </c>
      <c r="FM257">
        <f>SUMIF('Как будет'!$A$45:$A$52,Доп.расчеты!$A257,'Как будет'!FN$45:FN$52)</f>
        <v>0</v>
      </c>
      <c r="FN257">
        <f>SUMIF('Как будет'!$A$45:$A$52,Доп.расчеты!$A257,'Как будет'!FO$45:FO$52)</f>
        <v>0</v>
      </c>
      <c r="FO257">
        <f>SUMIF('Как будет'!$A$45:$A$52,Доп.расчеты!$A257,'Как будет'!FP$45:FP$52)</f>
        <v>0</v>
      </c>
      <c r="FP257">
        <f>SUMIF('Как будет'!$A$45:$A$52,Доп.расчеты!$A257,'Как будет'!FQ$45:FQ$52)</f>
        <v>0</v>
      </c>
      <c r="FQ257">
        <f>SUMIF('Как будет'!$A$45:$A$52,Доп.расчеты!$A257,'Как будет'!FR$45:FR$52)</f>
        <v>0</v>
      </c>
      <c r="FR257">
        <f>SUMIF('Как будет'!$A$45:$A$52,Доп.расчеты!$A257,'Как будет'!FS$45:FS$52)</f>
        <v>0</v>
      </c>
      <c r="FS257">
        <f>SUMIF('Как будет'!$A$45:$A$52,Доп.расчеты!$A257,'Как будет'!FT$45:FT$52)</f>
        <v>0</v>
      </c>
      <c r="FT257">
        <f>SUMIF('Как будет'!$A$45:$A$52,Доп.расчеты!$A257,'Как будет'!FU$45:FU$52)</f>
        <v>0</v>
      </c>
      <c r="FU257">
        <f>SUMIF('Как будет'!$A$45:$A$52,Доп.расчеты!$A257,'Как будет'!FV$45:FV$52)</f>
        <v>0</v>
      </c>
      <c r="FV257">
        <f>SUMIF('Как будет'!$A$45:$A$52,Доп.расчеты!$A257,'Как будет'!FW$45:FW$52)</f>
        <v>0</v>
      </c>
      <c r="FW257">
        <f>SUMIF('Как будет'!$A$45:$A$52,Доп.расчеты!$A257,'Как будет'!FX$45:FX$52)</f>
        <v>0</v>
      </c>
      <c r="FX257">
        <f>SUMIF('Как будет'!$A$45:$A$52,Доп.расчеты!$A257,'Как будет'!FY$45:FY$52)</f>
        <v>0</v>
      </c>
      <c r="FY257">
        <f>SUMIF('Как будет'!$A$45:$A$52,Доп.расчеты!$A257,'Как будет'!FZ$45:FZ$52)</f>
        <v>0</v>
      </c>
      <c r="FZ257">
        <f>SUMIF('Как будет'!$A$45:$A$52,Доп.расчеты!$A257,'Как будет'!GA$45:GA$52)</f>
        <v>0</v>
      </c>
      <c r="GA257">
        <f>SUMIF('Как будет'!$A$45:$A$52,Доп.расчеты!$A257,'Как будет'!GB$45:GB$52)</f>
        <v>0</v>
      </c>
      <c r="GB257">
        <f>SUMIF('Как будет'!$A$45:$A$52,Доп.расчеты!$A257,'Как будет'!GC$45:GC$52)</f>
        <v>0</v>
      </c>
      <c r="GC257">
        <f>SUMIF('Как будет'!$A$45:$A$52,Доп.расчеты!$A257,'Как будет'!GD$45:GD$52)</f>
        <v>0</v>
      </c>
      <c r="GD257">
        <f>SUMIF('Как будет'!$A$45:$A$52,Доп.расчеты!$A257,'Как будет'!GE$45:GE$52)</f>
        <v>0</v>
      </c>
      <c r="GE257">
        <f>SUMIF('Как будет'!$A$45:$A$52,Доп.расчеты!$A257,'Как будет'!GF$45:GF$52)</f>
        <v>0</v>
      </c>
      <c r="GF257">
        <f>SUMIF('Как будет'!$A$45:$A$52,Доп.расчеты!$A257,'Как будет'!GG$45:GG$52)</f>
        <v>0</v>
      </c>
      <c r="GG257">
        <f>SUMIF('Как будет'!$A$45:$A$52,Доп.расчеты!$A257,'Как будет'!GH$45:GH$52)</f>
        <v>0</v>
      </c>
      <c r="GH257">
        <f>SUMIF('Как будет'!$A$45:$A$52,Доп.расчеты!$A257,'Как будет'!GI$45:GI$52)</f>
        <v>0</v>
      </c>
      <c r="GI257">
        <f>SUMIF('Как будет'!$A$45:$A$52,Доп.расчеты!$A257,'Как будет'!GJ$45:GJ$52)</f>
        <v>0</v>
      </c>
      <c r="GJ257">
        <f>SUMIF('Как будет'!$A$45:$A$52,Доп.расчеты!$A257,'Как будет'!GK$45:GK$52)</f>
        <v>0</v>
      </c>
      <c r="GK257">
        <f>SUMIF('Как будет'!$A$45:$A$52,Доп.расчеты!$A257,'Как будет'!GL$45:GL$52)</f>
        <v>0</v>
      </c>
      <c r="GL257">
        <f>SUMIF('Как будет'!$A$45:$A$52,Доп.расчеты!$A257,'Как будет'!GM$45:GM$52)</f>
        <v>0</v>
      </c>
      <c r="GM257">
        <f>SUMIF('Как будет'!$A$45:$A$52,Доп.расчеты!$A257,'Как будет'!GN$45:GN$52)</f>
        <v>0</v>
      </c>
      <c r="GN257">
        <f>SUMIF('Как будет'!$A$45:$A$52,Доп.расчеты!$A257,'Как будет'!GO$45:GO$52)</f>
        <v>0</v>
      </c>
      <c r="GO257">
        <f>SUMIF('Как будет'!$A$45:$A$52,Доп.расчеты!$A257,'Как будет'!GP$45:GP$52)</f>
        <v>0</v>
      </c>
      <c r="GP257">
        <f>SUMIF('Как будет'!$A$45:$A$52,Доп.расчеты!$A257,'Как будет'!GQ$45:GQ$52)</f>
        <v>0</v>
      </c>
      <c r="GQ257">
        <f>SUMIF('Как будет'!$A$45:$A$52,Доп.расчеты!$A257,'Как будет'!GR$45:GR$52)</f>
        <v>0</v>
      </c>
      <c r="GR257">
        <f>SUMIF('Как будет'!$A$45:$A$52,Доп.расчеты!$A257,'Как будет'!GS$45:GS$52)</f>
        <v>0</v>
      </c>
      <c r="GS257">
        <f>SUMIF('Как будет'!$A$45:$A$52,Доп.расчеты!$A257,'Как будет'!GT$45:GT$52)</f>
        <v>0</v>
      </c>
      <c r="GT257">
        <f>SUMIF('Как будет'!$A$45:$A$52,Доп.расчеты!$A257,'Как будет'!GU$45:GU$52)</f>
        <v>0</v>
      </c>
    </row>
    <row r="258" spans="1:202">
      <c r="A258" s="238" t="s">
        <v>107</v>
      </c>
      <c r="B258">
        <f>SUMIF('Как будет'!$A$45:$A$52,Доп.расчеты!$A258,'Как будет'!C$45:C$52)</f>
        <v>0</v>
      </c>
      <c r="C258">
        <f>SUMIF('Как будет'!$A$45:$A$52,Доп.расчеты!$A258,'Как будет'!D$45:D$52)</f>
        <v>0</v>
      </c>
      <c r="D258">
        <f>SUMIF('Как будет'!$A$45:$A$52,Доп.расчеты!$A258,'Как будет'!E$45:E$52)</f>
        <v>0</v>
      </c>
      <c r="E258">
        <f>SUMIF('Как будет'!$A$45:$A$52,Доп.расчеты!$A258,'Как будет'!F$45:F$52)</f>
        <v>0</v>
      </c>
      <c r="F258">
        <f>SUMIF('Как будет'!$A$45:$A$52,Доп.расчеты!$A258,'Как будет'!G$45:G$52)</f>
        <v>0</v>
      </c>
      <c r="G258">
        <f>SUMIF('Как будет'!$A$45:$A$52,Доп.расчеты!$A258,'Как будет'!H$45:H$52)</f>
        <v>0</v>
      </c>
      <c r="H258">
        <f>SUMIF('Как будет'!$A$45:$A$52,Доп.расчеты!$A258,'Как будет'!I$45:I$52)</f>
        <v>0</v>
      </c>
      <c r="I258">
        <f>SUMIF('Как будет'!$A$45:$A$52,Доп.расчеты!$A258,'Как будет'!J$45:J$52)</f>
        <v>0</v>
      </c>
      <c r="J258">
        <f>SUMIF('Как будет'!$A$45:$A$52,Доп.расчеты!$A258,'Как будет'!K$45:K$52)</f>
        <v>0</v>
      </c>
      <c r="K258">
        <f>SUMIF('Как будет'!$A$45:$A$52,Доп.расчеты!$A258,'Как будет'!L$45:L$52)</f>
        <v>0</v>
      </c>
      <c r="L258">
        <f>SUMIF('Как будет'!$A$45:$A$52,Доп.расчеты!$A258,'Как будет'!M$45:M$52)</f>
        <v>0</v>
      </c>
      <c r="M258">
        <f>SUMIF('Как будет'!$A$45:$A$52,Доп.расчеты!$A258,'Как будет'!N$45:N$52)</f>
        <v>0</v>
      </c>
      <c r="N258">
        <f>SUMIF('Как будет'!$A$45:$A$52,Доп.расчеты!$A258,'Как будет'!O$45:O$52)</f>
        <v>0</v>
      </c>
      <c r="O258">
        <f>SUMIF('Как будет'!$A$45:$A$52,Доп.расчеты!$A258,'Как будет'!P$45:P$52)</f>
        <v>0</v>
      </c>
      <c r="P258">
        <f>SUMIF('Как будет'!$A$45:$A$52,Доп.расчеты!$A258,'Как будет'!Q$45:Q$52)</f>
        <v>0</v>
      </c>
      <c r="Q258">
        <f>SUMIF('Как будет'!$A$45:$A$52,Доп.расчеты!$A258,'Как будет'!R$45:R$52)</f>
        <v>0</v>
      </c>
      <c r="R258">
        <f>SUMIF('Как будет'!$A$45:$A$52,Доп.расчеты!$A258,'Как будет'!S$45:S$52)</f>
        <v>0</v>
      </c>
      <c r="S258">
        <f>SUMIF('Как будет'!$A$45:$A$52,Доп.расчеты!$A258,'Как будет'!T$45:T$52)</f>
        <v>0</v>
      </c>
      <c r="T258">
        <f>SUMIF('Как будет'!$A$45:$A$52,Доп.расчеты!$A258,'Как будет'!U$45:U$52)</f>
        <v>0</v>
      </c>
      <c r="U258">
        <f>SUMIF('Как будет'!$A$45:$A$52,Доп.расчеты!$A258,'Как будет'!V$45:V$52)</f>
        <v>0</v>
      </c>
      <c r="V258">
        <f>SUMIF('Как будет'!$A$45:$A$52,Доп.расчеты!$A258,'Как будет'!W$45:W$52)</f>
        <v>0</v>
      </c>
      <c r="W258">
        <f>SUMIF('Как будет'!$A$45:$A$52,Доп.расчеты!$A258,'Как будет'!X$45:X$52)</f>
        <v>0</v>
      </c>
      <c r="X258">
        <f>SUMIF('Как будет'!$A$45:$A$52,Доп.расчеты!$A258,'Как будет'!Y$45:Y$52)</f>
        <v>0</v>
      </c>
      <c r="Y258">
        <f>SUMIF('Как будет'!$A$45:$A$52,Доп.расчеты!$A258,'Как будет'!Z$45:Z$52)</f>
        <v>0</v>
      </c>
      <c r="Z258">
        <f>SUMIF('Как будет'!$A$45:$A$52,Доп.расчеты!$A258,'Как будет'!AA$45:AA$52)</f>
        <v>0</v>
      </c>
      <c r="AA258">
        <f>SUMIF('Как будет'!$A$45:$A$52,Доп.расчеты!$A258,'Как будет'!AB$45:AB$52)</f>
        <v>0</v>
      </c>
      <c r="AB258">
        <f>SUMIF('Как будет'!$A$45:$A$52,Доп.расчеты!$A258,'Как будет'!AC$45:AC$52)</f>
        <v>0</v>
      </c>
      <c r="AC258">
        <f>SUMIF('Как будет'!$A$45:$A$52,Доп.расчеты!$A258,'Как будет'!AD$45:AD$52)</f>
        <v>0</v>
      </c>
      <c r="AD258">
        <f>SUMIF('Как будет'!$A$45:$A$52,Доп.расчеты!$A258,'Как будет'!AE$45:AE$52)</f>
        <v>0</v>
      </c>
      <c r="AE258">
        <f>SUMIF('Как будет'!$A$45:$A$52,Доп.расчеты!$A258,'Как будет'!AF$45:AF$52)</f>
        <v>0</v>
      </c>
      <c r="AF258">
        <f>SUMIF('Как будет'!$A$45:$A$52,Доп.расчеты!$A258,'Как будет'!AG$45:AG$52)</f>
        <v>0</v>
      </c>
      <c r="AG258">
        <f>SUMIF('Как будет'!$A$45:$A$52,Доп.расчеты!$A258,'Как будет'!AH$45:AH$52)</f>
        <v>0</v>
      </c>
      <c r="AH258">
        <f>SUMIF('Как будет'!$A$45:$A$52,Доп.расчеты!$A258,'Как будет'!AI$45:AI$52)</f>
        <v>0</v>
      </c>
      <c r="AI258">
        <f>SUMIF('Как будет'!$A$45:$A$52,Доп.расчеты!$A258,'Как будет'!AJ$45:AJ$52)</f>
        <v>0</v>
      </c>
      <c r="AJ258">
        <f>SUMIF('Как будет'!$A$45:$A$52,Доп.расчеты!$A258,'Как будет'!AK$45:AK$52)</f>
        <v>0</v>
      </c>
      <c r="AK258">
        <f>SUMIF('Как будет'!$A$45:$A$52,Доп.расчеты!$A258,'Как будет'!AL$45:AL$52)</f>
        <v>0</v>
      </c>
      <c r="AL258">
        <f>SUMIF('Как будет'!$A$45:$A$52,Доп.расчеты!$A258,'Как будет'!AM$45:AM$52)</f>
        <v>0</v>
      </c>
      <c r="AM258">
        <f>SUMIF('Как будет'!$A$45:$A$52,Доп.расчеты!$A258,'Как будет'!AN$45:AN$52)</f>
        <v>0</v>
      </c>
      <c r="AN258">
        <f>SUMIF('Как будет'!$A$45:$A$52,Доп.расчеты!$A258,'Как будет'!AO$45:AO$52)</f>
        <v>0</v>
      </c>
      <c r="AO258">
        <f>SUMIF('Как будет'!$A$45:$A$52,Доп.расчеты!$A258,'Как будет'!AP$45:AP$52)</f>
        <v>0</v>
      </c>
      <c r="AP258">
        <f>SUMIF('Как будет'!$A$45:$A$52,Доп.расчеты!$A258,'Как будет'!AQ$45:AQ$52)</f>
        <v>0</v>
      </c>
      <c r="AQ258">
        <f>SUMIF('Как будет'!$A$45:$A$52,Доп.расчеты!$A258,'Как будет'!AR$45:AR$52)</f>
        <v>0</v>
      </c>
      <c r="AR258">
        <f>SUMIF('Как будет'!$A$45:$A$52,Доп.расчеты!$A258,'Как будет'!AS$45:AS$52)</f>
        <v>0</v>
      </c>
      <c r="AS258">
        <f>SUMIF('Как будет'!$A$45:$A$52,Доп.расчеты!$A258,'Как будет'!AT$45:AT$52)</f>
        <v>0</v>
      </c>
      <c r="AT258">
        <f>SUMIF('Как будет'!$A$45:$A$52,Доп.расчеты!$A258,'Как будет'!AU$45:AU$52)</f>
        <v>0</v>
      </c>
      <c r="AU258">
        <f>SUMIF('Как будет'!$A$45:$A$52,Доп.расчеты!$A258,'Как будет'!AV$45:AV$52)</f>
        <v>0</v>
      </c>
      <c r="AV258">
        <f>SUMIF('Как будет'!$A$45:$A$52,Доп.расчеты!$A258,'Как будет'!AW$45:AW$52)</f>
        <v>0</v>
      </c>
      <c r="AW258">
        <f>SUMIF('Как будет'!$A$45:$A$52,Доп.расчеты!$A258,'Как будет'!AX$45:AX$52)</f>
        <v>0</v>
      </c>
      <c r="AX258">
        <f>SUMIF('Как будет'!$A$45:$A$52,Доп.расчеты!$A258,'Как будет'!AY$45:AY$52)</f>
        <v>0</v>
      </c>
      <c r="AY258">
        <f>SUMIF('Как будет'!$A$45:$A$52,Доп.расчеты!$A258,'Как будет'!AZ$45:AZ$52)</f>
        <v>0</v>
      </c>
      <c r="AZ258">
        <f>SUMIF('Как будет'!$A$45:$A$52,Доп.расчеты!$A258,'Как будет'!BA$45:BA$52)</f>
        <v>0</v>
      </c>
      <c r="BA258">
        <f>SUMIF('Как будет'!$A$45:$A$52,Доп.расчеты!$A258,'Как будет'!BB$45:BB$52)</f>
        <v>0</v>
      </c>
      <c r="BB258">
        <f>SUMIF('Как будет'!$A$45:$A$52,Доп.расчеты!$A258,'Как будет'!BC$45:BC$52)</f>
        <v>0</v>
      </c>
      <c r="BC258">
        <f>SUMIF('Как будет'!$A$45:$A$52,Доп.расчеты!$A258,'Как будет'!BD$45:BD$52)</f>
        <v>0</v>
      </c>
      <c r="BD258">
        <f>SUMIF('Как будет'!$A$45:$A$52,Доп.расчеты!$A258,'Как будет'!BE$45:BE$52)</f>
        <v>0</v>
      </c>
      <c r="BE258">
        <f>SUMIF('Как будет'!$A$45:$A$52,Доп.расчеты!$A258,'Как будет'!BF$45:BF$52)</f>
        <v>0</v>
      </c>
      <c r="BF258">
        <f>SUMIF('Как будет'!$A$45:$A$52,Доп.расчеты!$A258,'Как будет'!BG$45:BG$52)</f>
        <v>0</v>
      </c>
      <c r="BG258">
        <f>SUMIF('Как будет'!$A$45:$A$52,Доп.расчеты!$A258,'Как будет'!BH$45:BH$52)</f>
        <v>0</v>
      </c>
      <c r="BH258">
        <f>SUMIF('Как будет'!$A$45:$A$52,Доп.расчеты!$A258,'Как будет'!BI$45:BI$52)</f>
        <v>0</v>
      </c>
      <c r="BI258">
        <f>SUMIF('Как будет'!$A$45:$A$52,Доп.расчеты!$A258,'Как будет'!BJ$45:BJ$52)</f>
        <v>0</v>
      </c>
      <c r="BJ258">
        <f>SUMIF('Как будет'!$A$45:$A$52,Доп.расчеты!$A258,'Как будет'!BK$45:BK$52)</f>
        <v>0</v>
      </c>
      <c r="BK258">
        <f>SUMIF('Как будет'!$A$45:$A$52,Доп.расчеты!$A258,'Как будет'!BL$45:BL$52)</f>
        <v>0</v>
      </c>
      <c r="BL258">
        <f>SUMIF('Как будет'!$A$45:$A$52,Доп.расчеты!$A258,'Как будет'!BM$45:BM$52)</f>
        <v>0</v>
      </c>
      <c r="BM258">
        <f>SUMIF('Как будет'!$A$45:$A$52,Доп.расчеты!$A258,'Как будет'!BN$45:BN$52)</f>
        <v>0</v>
      </c>
      <c r="BN258">
        <f>SUMIF('Как будет'!$A$45:$A$52,Доп.расчеты!$A258,'Как будет'!BO$45:BO$52)</f>
        <v>0</v>
      </c>
      <c r="BO258">
        <f>SUMIF('Как будет'!$A$45:$A$52,Доп.расчеты!$A258,'Как будет'!BP$45:BP$52)</f>
        <v>0</v>
      </c>
      <c r="BP258">
        <f>SUMIF('Как будет'!$A$45:$A$52,Доп.расчеты!$A258,'Как будет'!BQ$45:BQ$52)</f>
        <v>0</v>
      </c>
      <c r="BQ258">
        <f>SUMIF('Как будет'!$A$45:$A$52,Доп.расчеты!$A258,'Как будет'!BR$45:BR$52)</f>
        <v>0</v>
      </c>
      <c r="BR258">
        <f>SUMIF('Как будет'!$A$45:$A$52,Доп.расчеты!$A258,'Как будет'!BS$45:BS$52)</f>
        <v>0</v>
      </c>
      <c r="BS258">
        <f>SUMIF('Как будет'!$A$45:$A$52,Доп.расчеты!$A258,'Как будет'!BT$45:BT$52)</f>
        <v>0</v>
      </c>
      <c r="BT258">
        <f>SUMIF('Как будет'!$A$45:$A$52,Доп.расчеты!$A258,'Как будет'!BU$45:BU$52)</f>
        <v>0</v>
      </c>
      <c r="BU258">
        <f>SUMIF('Как будет'!$A$45:$A$52,Доп.расчеты!$A258,'Как будет'!BV$45:BV$52)</f>
        <v>0</v>
      </c>
      <c r="BV258">
        <f>SUMIF('Как будет'!$A$45:$A$52,Доп.расчеты!$A258,'Как будет'!BW$45:BW$52)</f>
        <v>0</v>
      </c>
      <c r="BW258">
        <f>SUMIF('Как будет'!$A$45:$A$52,Доп.расчеты!$A258,'Как будет'!BX$45:BX$52)</f>
        <v>0</v>
      </c>
      <c r="BX258">
        <f>SUMIF('Как будет'!$A$45:$A$52,Доп.расчеты!$A258,'Как будет'!BY$45:BY$52)</f>
        <v>0</v>
      </c>
      <c r="BY258">
        <f>SUMIF('Как будет'!$A$45:$A$52,Доп.расчеты!$A258,'Как будет'!BZ$45:BZ$52)</f>
        <v>0</v>
      </c>
      <c r="BZ258">
        <f>SUMIF('Как будет'!$A$45:$A$52,Доп.расчеты!$A258,'Как будет'!CA$45:CA$52)</f>
        <v>0</v>
      </c>
      <c r="CA258">
        <f>SUMIF('Как будет'!$A$45:$A$52,Доп.расчеты!$A258,'Как будет'!CB$45:CB$52)</f>
        <v>0</v>
      </c>
      <c r="CB258">
        <f>SUMIF('Как будет'!$A$45:$A$52,Доп.расчеты!$A258,'Как будет'!CC$45:CC$52)</f>
        <v>0</v>
      </c>
      <c r="CC258">
        <f>SUMIF('Как будет'!$A$45:$A$52,Доп.расчеты!$A258,'Как будет'!CD$45:CD$52)</f>
        <v>0</v>
      </c>
      <c r="CD258">
        <f>SUMIF('Как будет'!$A$45:$A$52,Доп.расчеты!$A258,'Как будет'!CE$45:CE$52)</f>
        <v>0</v>
      </c>
      <c r="CE258">
        <f>SUMIF('Как будет'!$A$45:$A$52,Доп.расчеты!$A258,'Как будет'!CF$45:CF$52)</f>
        <v>0</v>
      </c>
      <c r="CF258">
        <f>SUMIF('Как будет'!$A$45:$A$52,Доп.расчеты!$A258,'Как будет'!CG$45:CG$52)</f>
        <v>0</v>
      </c>
      <c r="CG258">
        <f>SUMIF('Как будет'!$A$45:$A$52,Доп.расчеты!$A258,'Как будет'!CH$45:CH$52)</f>
        <v>0</v>
      </c>
      <c r="CH258">
        <f>SUMIF('Как будет'!$A$45:$A$52,Доп.расчеты!$A258,'Как будет'!CI$45:CI$52)</f>
        <v>0</v>
      </c>
      <c r="CI258">
        <f>SUMIF('Как будет'!$A$45:$A$52,Доп.расчеты!$A258,'Как будет'!CJ$45:CJ$52)</f>
        <v>0</v>
      </c>
      <c r="CJ258">
        <f>SUMIF('Как будет'!$A$45:$A$52,Доп.расчеты!$A258,'Как будет'!CK$45:CK$52)</f>
        <v>0</v>
      </c>
      <c r="CK258">
        <f>SUMIF('Как будет'!$A$45:$A$52,Доп.расчеты!$A258,'Как будет'!CL$45:CL$52)</f>
        <v>0</v>
      </c>
      <c r="CL258">
        <f>SUMIF('Как будет'!$A$45:$A$52,Доп.расчеты!$A258,'Как будет'!CM$45:CM$52)</f>
        <v>0</v>
      </c>
      <c r="CM258">
        <f>SUMIF('Как будет'!$A$45:$A$52,Доп.расчеты!$A258,'Как будет'!CN$45:CN$52)</f>
        <v>0</v>
      </c>
      <c r="CN258">
        <f>SUMIF('Как будет'!$A$45:$A$52,Доп.расчеты!$A258,'Как будет'!CO$45:CO$52)</f>
        <v>0</v>
      </c>
      <c r="CO258">
        <f>SUMIF('Как будет'!$A$45:$A$52,Доп.расчеты!$A258,'Как будет'!CP$45:CP$52)</f>
        <v>0</v>
      </c>
      <c r="CP258">
        <f>SUMIF('Как будет'!$A$45:$A$52,Доп.расчеты!$A258,'Как будет'!CQ$45:CQ$52)</f>
        <v>0</v>
      </c>
      <c r="CQ258">
        <f>SUMIF('Как будет'!$A$45:$A$52,Доп.расчеты!$A258,'Как будет'!CR$45:CR$52)</f>
        <v>0</v>
      </c>
      <c r="CR258">
        <f>SUMIF('Как будет'!$A$45:$A$52,Доп.расчеты!$A258,'Как будет'!CS$45:CS$52)</f>
        <v>0</v>
      </c>
      <c r="CS258">
        <f>SUMIF('Как будет'!$A$45:$A$52,Доп.расчеты!$A258,'Как будет'!CT$45:CT$52)</f>
        <v>0</v>
      </c>
      <c r="CT258">
        <f>SUMIF('Как будет'!$A$45:$A$52,Доп.расчеты!$A258,'Как будет'!CU$45:CU$52)</f>
        <v>0</v>
      </c>
      <c r="CU258">
        <f>SUMIF('Как будет'!$A$45:$A$52,Доп.расчеты!$A258,'Как будет'!CV$45:CV$52)</f>
        <v>0</v>
      </c>
      <c r="CV258">
        <f>SUMIF('Как будет'!$A$45:$A$52,Доп.расчеты!$A258,'Как будет'!CW$45:CW$52)</f>
        <v>0</v>
      </c>
      <c r="CW258">
        <f>SUMIF('Как будет'!$A$45:$A$52,Доп.расчеты!$A258,'Как будет'!CX$45:CX$52)</f>
        <v>0</v>
      </c>
      <c r="CX258">
        <f>SUMIF('Как будет'!$A$45:$A$52,Доп.расчеты!$A258,'Как будет'!CY$45:CY$52)</f>
        <v>0</v>
      </c>
      <c r="CY258">
        <f>SUMIF('Как будет'!$A$45:$A$52,Доп.расчеты!$A258,'Как будет'!CZ$45:CZ$52)</f>
        <v>0</v>
      </c>
      <c r="CZ258">
        <f>SUMIF('Как будет'!$A$45:$A$52,Доп.расчеты!$A258,'Как будет'!DA$45:DA$52)</f>
        <v>0</v>
      </c>
      <c r="DA258">
        <f>SUMIF('Как будет'!$A$45:$A$52,Доп.расчеты!$A258,'Как будет'!DB$45:DB$52)</f>
        <v>0</v>
      </c>
      <c r="DB258">
        <f>SUMIF('Как будет'!$A$45:$A$52,Доп.расчеты!$A258,'Как будет'!DC$45:DC$52)</f>
        <v>0</v>
      </c>
      <c r="DC258">
        <f>SUMIF('Как будет'!$A$45:$A$52,Доп.расчеты!$A258,'Как будет'!DD$45:DD$52)</f>
        <v>0</v>
      </c>
      <c r="DD258">
        <f>SUMIF('Как будет'!$A$45:$A$52,Доп.расчеты!$A258,'Как будет'!DE$45:DE$52)</f>
        <v>0</v>
      </c>
      <c r="DE258">
        <f>SUMIF('Как будет'!$A$45:$A$52,Доп.расчеты!$A258,'Как будет'!DF$45:DF$52)</f>
        <v>0</v>
      </c>
      <c r="DF258">
        <f>SUMIF('Как будет'!$A$45:$A$52,Доп.расчеты!$A258,'Как будет'!DG$45:DG$52)</f>
        <v>0</v>
      </c>
      <c r="DG258">
        <f>SUMIF('Как будет'!$A$45:$A$52,Доп.расчеты!$A258,'Как будет'!DH$45:DH$52)</f>
        <v>0</v>
      </c>
      <c r="DH258">
        <f>SUMIF('Как будет'!$A$45:$A$52,Доп.расчеты!$A258,'Как будет'!DI$45:DI$52)</f>
        <v>0</v>
      </c>
      <c r="DI258">
        <f>SUMIF('Как будет'!$A$45:$A$52,Доп.расчеты!$A258,'Как будет'!DJ$45:DJ$52)</f>
        <v>0</v>
      </c>
      <c r="DJ258">
        <f>SUMIF('Как будет'!$A$45:$A$52,Доп.расчеты!$A258,'Как будет'!DK$45:DK$52)</f>
        <v>0</v>
      </c>
      <c r="DK258">
        <f>SUMIF('Как будет'!$A$45:$A$52,Доп.расчеты!$A258,'Как будет'!DL$45:DL$52)</f>
        <v>0</v>
      </c>
      <c r="DL258">
        <f>SUMIF('Как будет'!$A$45:$A$52,Доп.расчеты!$A258,'Как будет'!DM$45:DM$52)</f>
        <v>0</v>
      </c>
      <c r="DM258">
        <f>SUMIF('Как будет'!$A$45:$A$52,Доп.расчеты!$A258,'Как будет'!DN$45:DN$52)</f>
        <v>0</v>
      </c>
      <c r="DN258">
        <f>SUMIF('Как будет'!$A$45:$A$52,Доп.расчеты!$A258,'Как будет'!DO$45:DO$52)</f>
        <v>0</v>
      </c>
      <c r="DO258">
        <f>SUMIF('Как будет'!$A$45:$A$52,Доп.расчеты!$A258,'Как будет'!DP$45:DP$52)</f>
        <v>0</v>
      </c>
      <c r="DP258">
        <f>SUMIF('Как будет'!$A$45:$A$52,Доп.расчеты!$A258,'Как будет'!DQ$45:DQ$52)</f>
        <v>0</v>
      </c>
      <c r="DQ258">
        <f>SUMIF('Как будет'!$A$45:$A$52,Доп.расчеты!$A258,'Как будет'!DR$45:DR$52)</f>
        <v>0</v>
      </c>
      <c r="DR258">
        <f>SUMIF('Как будет'!$A$45:$A$52,Доп.расчеты!$A258,'Как будет'!DS$45:DS$52)</f>
        <v>0</v>
      </c>
      <c r="DS258">
        <f>SUMIF('Как будет'!$A$45:$A$52,Доп.расчеты!$A258,'Как будет'!DT$45:DT$52)</f>
        <v>0</v>
      </c>
      <c r="DT258">
        <f>SUMIF('Как будет'!$A$45:$A$52,Доп.расчеты!$A258,'Как будет'!DU$45:DU$52)</f>
        <v>0</v>
      </c>
      <c r="DU258">
        <f>SUMIF('Как будет'!$A$45:$A$52,Доп.расчеты!$A258,'Как будет'!DV$45:DV$52)</f>
        <v>0</v>
      </c>
      <c r="DV258">
        <f>SUMIF('Как будет'!$A$45:$A$52,Доп.расчеты!$A258,'Как будет'!DW$45:DW$52)</f>
        <v>0</v>
      </c>
      <c r="DW258">
        <f>SUMIF('Как будет'!$A$45:$A$52,Доп.расчеты!$A258,'Как будет'!DX$45:DX$52)</f>
        <v>0</v>
      </c>
      <c r="DX258">
        <f>SUMIF('Как будет'!$A$45:$A$52,Доп.расчеты!$A258,'Как будет'!DY$45:DY$52)</f>
        <v>0</v>
      </c>
      <c r="DY258">
        <f>SUMIF('Как будет'!$A$45:$A$52,Доп.расчеты!$A258,'Как будет'!DZ$45:DZ$52)</f>
        <v>0</v>
      </c>
      <c r="DZ258">
        <f>SUMIF('Как будет'!$A$45:$A$52,Доп.расчеты!$A258,'Как будет'!EA$45:EA$52)</f>
        <v>0</v>
      </c>
      <c r="EA258">
        <f>SUMIF('Как будет'!$A$45:$A$52,Доп.расчеты!$A258,'Как будет'!EB$45:EB$52)</f>
        <v>0</v>
      </c>
      <c r="EB258">
        <f>SUMIF('Как будет'!$A$45:$A$52,Доп.расчеты!$A258,'Как будет'!EC$45:EC$52)</f>
        <v>0</v>
      </c>
      <c r="EC258">
        <f>SUMIF('Как будет'!$A$45:$A$52,Доп.расчеты!$A258,'Как будет'!ED$45:ED$52)</f>
        <v>0</v>
      </c>
      <c r="ED258">
        <f>SUMIF('Как будет'!$A$45:$A$52,Доп.расчеты!$A258,'Как будет'!EE$45:EE$52)</f>
        <v>0</v>
      </c>
      <c r="EE258">
        <f>SUMIF('Как будет'!$A$45:$A$52,Доп.расчеты!$A258,'Как будет'!EF$45:EF$52)</f>
        <v>0</v>
      </c>
      <c r="EF258">
        <f>SUMIF('Как будет'!$A$45:$A$52,Доп.расчеты!$A258,'Как будет'!EG$45:EG$52)</f>
        <v>0</v>
      </c>
      <c r="EG258">
        <f>SUMIF('Как будет'!$A$45:$A$52,Доп.расчеты!$A258,'Как будет'!EH$45:EH$52)</f>
        <v>0</v>
      </c>
      <c r="EH258">
        <f>SUMIF('Как будет'!$A$45:$A$52,Доп.расчеты!$A258,'Как будет'!EI$45:EI$52)</f>
        <v>0</v>
      </c>
      <c r="EI258">
        <f>SUMIF('Как будет'!$A$45:$A$52,Доп.расчеты!$A258,'Как будет'!EJ$45:EJ$52)</f>
        <v>0</v>
      </c>
      <c r="EJ258">
        <f>SUMIF('Как будет'!$A$45:$A$52,Доп.расчеты!$A258,'Как будет'!EK$45:EK$52)</f>
        <v>0</v>
      </c>
      <c r="EK258">
        <f>SUMIF('Как будет'!$A$45:$A$52,Доп.расчеты!$A258,'Как будет'!EL$45:EL$52)</f>
        <v>0</v>
      </c>
      <c r="EL258">
        <f>SUMIF('Как будет'!$A$45:$A$52,Доп.расчеты!$A258,'Как будет'!EM$45:EM$52)</f>
        <v>0</v>
      </c>
      <c r="EM258">
        <f>SUMIF('Как будет'!$A$45:$A$52,Доп.расчеты!$A258,'Как будет'!EN$45:EN$52)</f>
        <v>0</v>
      </c>
      <c r="EN258">
        <f>SUMIF('Как будет'!$A$45:$A$52,Доп.расчеты!$A258,'Как будет'!EO$45:EO$52)</f>
        <v>0</v>
      </c>
      <c r="EO258">
        <f>SUMIF('Как будет'!$A$45:$A$52,Доп.расчеты!$A258,'Как будет'!EP$45:EP$52)</f>
        <v>0</v>
      </c>
      <c r="EP258">
        <f>SUMIF('Как будет'!$A$45:$A$52,Доп.расчеты!$A258,'Как будет'!EQ$45:EQ$52)</f>
        <v>0</v>
      </c>
      <c r="EQ258">
        <f>SUMIF('Как будет'!$A$45:$A$52,Доп.расчеты!$A258,'Как будет'!ER$45:ER$52)</f>
        <v>0</v>
      </c>
      <c r="ER258">
        <f>SUMIF('Как будет'!$A$45:$A$52,Доп.расчеты!$A258,'Как будет'!ES$45:ES$52)</f>
        <v>0</v>
      </c>
      <c r="ES258">
        <f>SUMIF('Как будет'!$A$45:$A$52,Доп.расчеты!$A258,'Как будет'!ET$45:ET$52)</f>
        <v>0</v>
      </c>
      <c r="ET258">
        <f>SUMIF('Как будет'!$A$45:$A$52,Доп.расчеты!$A258,'Как будет'!EU$45:EU$52)</f>
        <v>0</v>
      </c>
      <c r="EU258">
        <f>SUMIF('Как будет'!$A$45:$A$52,Доп.расчеты!$A258,'Как будет'!EV$45:EV$52)</f>
        <v>0</v>
      </c>
      <c r="EV258">
        <f>SUMIF('Как будет'!$A$45:$A$52,Доп.расчеты!$A258,'Как будет'!EW$45:EW$52)</f>
        <v>0</v>
      </c>
      <c r="EW258">
        <f>SUMIF('Как будет'!$A$45:$A$52,Доп.расчеты!$A258,'Как будет'!EX$45:EX$52)</f>
        <v>0</v>
      </c>
      <c r="EX258">
        <f>SUMIF('Как будет'!$A$45:$A$52,Доп.расчеты!$A258,'Как будет'!EY$45:EY$52)</f>
        <v>0</v>
      </c>
      <c r="EY258">
        <f>SUMIF('Как будет'!$A$45:$A$52,Доп.расчеты!$A258,'Как будет'!EZ$45:EZ$52)</f>
        <v>0</v>
      </c>
      <c r="EZ258">
        <f>SUMIF('Как будет'!$A$45:$A$52,Доп.расчеты!$A258,'Как будет'!FA$45:FA$52)</f>
        <v>0</v>
      </c>
      <c r="FA258">
        <f>SUMIF('Как будет'!$A$45:$A$52,Доп.расчеты!$A258,'Как будет'!FB$45:FB$52)</f>
        <v>0</v>
      </c>
      <c r="FB258">
        <f>SUMIF('Как будет'!$A$45:$A$52,Доп.расчеты!$A258,'Как будет'!FC$45:FC$52)</f>
        <v>0</v>
      </c>
      <c r="FC258">
        <f>SUMIF('Как будет'!$A$45:$A$52,Доп.расчеты!$A258,'Как будет'!FD$45:FD$52)</f>
        <v>0</v>
      </c>
      <c r="FD258">
        <f>SUMIF('Как будет'!$A$45:$A$52,Доп.расчеты!$A258,'Как будет'!FE$45:FE$52)</f>
        <v>0</v>
      </c>
      <c r="FE258">
        <f>SUMIF('Как будет'!$A$45:$A$52,Доп.расчеты!$A258,'Как будет'!FF$45:FF$52)</f>
        <v>0</v>
      </c>
      <c r="FF258">
        <f>SUMIF('Как будет'!$A$45:$A$52,Доп.расчеты!$A258,'Как будет'!FG$45:FG$52)</f>
        <v>0</v>
      </c>
      <c r="FG258">
        <f>SUMIF('Как будет'!$A$45:$A$52,Доп.расчеты!$A258,'Как будет'!FH$45:FH$52)</f>
        <v>0</v>
      </c>
      <c r="FH258">
        <f>SUMIF('Как будет'!$A$45:$A$52,Доп.расчеты!$A258,'Как будет'!FI$45:FI$52)</f>
        <v>0</v>
      </c>
      <c r="FI258">
        <f>SUMIF('Как будет'!$A$45:$A$52,Доп.расчеты!$A258,'Как будет'!FJ$45:FJ$52)</f>
        <v>0</v>
      </c>
      <c r="FJ258">
        <f>SUMIF('Как будет'!$A$45:$A$52,Доп.расчеты!$A258,'Как будет'!FK$45:FK$52)</f>
        <v>0</v>
      </c>
      <c r="FK258">
        <f>SUMIF('Как будет'!$A$45:$A$52,Доп.расчеты!$A258,'Как будет'!FL$45:FL$52)</f>
        <v>0</v>
      </c>
      <c r="FL258">
        <f>SUMIF('Как будет'!$A$45:$A$52,Доп.расчеты!$A258,'Как будет'!FM$45:FM$52)</f>
        <v>0</v>
      </c>
      <c r="FM258">
        <f>SUMIF('Как будет'!$A$45:$A$52,Доп.расчеты!$A258,'Как будет'!FN$45:FN$52)</f>
        <v>0</v>
      </c>
      <c r="FN258">
        <f>SUMIF('Как будет'!$A$45:$A$52,Доп.расчеты!$A258,'Как будет'!FO$45:FO$52)</f>
        <v>0</v>
      </c>
      <c r="FO258">
        <f>SUMIF('Как будет'!$A$45:$A$52,Доп.расчеты!$A258,'Как будет'!FP$45:FP$52)</f>
        <v>0</v>
      </c>
      <c r="FP258">
        <f>SUMIF('Как будет'!$A$45:$A$52,Доп.расчеты!$A258,'Как будет'!FQ$45:FQ$52)</f>
        <v>0</v>
      </c>
      <c r="FQ258">
        <f>SUMIF('Как будет'!$A$45:$A$52,Доп.расчеты!$A258,'Как будет'!FR$45:FR$52)</f>
        <v>0</v>
      </c>
      <c r="FR258">
        <f>SUMIF('Как будет'!$A$45:$A$52,Доп.расчеты!$A258,'Как будет'!FS$45:FS$52)</f>
        <v>0</v>
      </c>
      <c r="FS258">
        <f>SUMIF('Как будет'!$A$45:$A$52,Доп.расчеты!$A258,'Как будет'!FT$45:FT$52)</f>
        <v>0</v>
      </c>
      <c r="FT258">
        <f>SUMIF('Как будет'!$A$45:$A$52,Доп.расчеты!$A258,'Как будет'!FU$45:FU$52)</f>
        <v>0</v>
      </c>
      <c r="FU258">
        <f>SUMIF('Как будет'!$A$45:$A$52,Доп.расчеты!$A258,'Как будет'!FV$45:FV$52)</f>
        <v>0</v>
      </c>
      <c r="FV258">
        <f>SUMIF('Как будет'!$A$45:$A$52,Доп.расчеты!$A258,'Как будет'!FW$45:FW$52)</f>
        <v>0</v>
      </c>
      <c r="FW258">
        <f>SUMIF('Как будет'!$A$45:$A$52,Доп.расчеты!$A258,'Как будет'!FX$45:FX$52)</f>
        <v>0</v>
      </c>
      <c r="FX258">
        <f>SUMIF('Как будет'!$A$45:$A$52,Доп.расчеты!$A258,'Как будет'!FY$45:FY$52)</f>
        <v>0</v>
      </c>
      <c r="FY258">
        <f>SUMIF('Как будет'!$A$45:$A$52,Доп.расчеты!$A258,'Как будет'!FZ$45:FZ$52)</f>
        <v>0</v>
      </c>
      <c r="FZ258">
        <f>SUMIF('Как будет'!$A$45:$A$52,Доп.расчеты!$A258,'Как будет'!GA$45:GA$52)</f>
        <v>0</v>
      </c>
      <c r="GA258">
        <f>SUMIF('Как будет'!$A$45:$A$52,Доп.расчеты!$A258,'Как будет'!GB$45:GB$52)</f>
        <v>0</v>
      </c>
      <c r="GB258">
        <f>SUMIF('Как будет'!$A$45:$A$52,Доп.расчеты!$A258,'Как будет'!GC$45:GC$52)</f>
        <v>0</v>
      </c>
      <c r="GC258">
        <f>SUMIF('Как будет'!$A$45:$A$52,Доп.расчеты!$A258,'Как будет'!GD$45:GD$52)</f>
        <v>0</v>
      </c>
      <c r="GD258">
        <f>SUMIF('Как будет'!$A$45:$A$52,Доп.расчеты!$A258,'Как будет'!GE$45:GE$52)</f>
        <v>0</v>
      </c>
      <c r="GE258">
        <f>SUMIF('Как будет'!$A$45:$A$52,Доп.расчеты!$A258,'Как будет'!GF$45:GF$52)</f>
        <v>0</v>
      </c>
      <c r="GF258">
        <f>SUMIF('Как будет'!$A$45:$A$52,Доп.расчеты!$A258,'Как будет'!GG$45:GG$52)</f>
        <v>0</v>
      </c>
      <c r="GG258">
        <f>SUMIF('Как будет'!$A$45:$A$52,Доп.расчеты!$A258,'Как будет'!GH$45:GH$52)</f>
        <v>0</v>
      </c>
      <c r="GH258">
        <f>SUMIF('Как будет'!$A$45:$A$52,Доп.расчеты!$A258,'Как будет'!GI$45:GI$52)</f>
        <v>0</v>
      </c>
      <c r="GI258">
        <f>SUMIF('Как будет'!$A$45:$A$52,Доп.расчеты!$A258,'Как будет'!GJ$45:GJ$52)</f>
        <v>0</v>
      </c>
      <c r="GJ258">
        <f>SUMIF('Как будет'!$A$45:$A$52,Доп.расчеты!$A258,'Как будет'!GK$45:GK$52)</f>
        <v>0</v>
      </c>
      <c r="GK258">
        <f>SUMIF('Как будет'!$A$45:$A$52,Доп.расчеты!$A258,'Как будет'!GL$45:GL$52)</f>
        <v>0</v>
      </c>
      <c r="GL258">
        <f>SUMIF('Как будет'!$A$45:$A$52,Доп.расчеты!$A258,'Как будет'!GM$45:GM$52)</f>
        <v>0</v>
      </c>
      <c r="GM258">
        <f>SUMIF('Как будет'!$A$45:$A$52,Доп.расчеты!$A258,'Как будет'!GN$45:GN$52)</f>
        <v>0</v>
      </c>
      <c r="GN258">
        <f>SUMIF('Как будет'!$A$45:$A$52,Доп.расчеты!$A258,'Как будет'!GO$45:GO$52)</f>
        <v>0</v>
      </c>
      <c r="GO258">
        <f>SUMIF('Как будет'!$A$45:$A$52,Доп.расчеты!$A258,'Как будет'!GP$45:GP$52)</f>
        <v>0</v>
      </c>
      <c r="GP258">
        <f>SUMIF('Как будет'!$A$45:$A$52,Доп.расчеты!$A258,'Как будет'!GQ$45:GQ$52)</f>
        <v>0</v>
      </c>
      <c r="GQ258">
        <f>SUMIF('Как будет'!$A$45:$A$52,Доп.расчеты!$A258,'Как будет'!GR$45:GR$52)</f>
        <v>0</v>
      </c>
      <c r="GR258">
        <f>SUMIF('Как будет'!$A$45:$A$52,Доп.расчеты!$A258,'Как будет'!GS$45:GS$52)</f>
        <v>0</v>
      </c>
      <c r="GS258">
        <f>SUMIF('Как будет'!$A$45:$A$52,Доп.расчеты!$A258,'Как будет'!GT$45:GT$52)</f>
        <v>0</v>
      </c>
      <c r="GT258">
        <f>SUMIF('Как будет'!$A$45:$A$52,Доп.расчеты!$A258,'Как будет'!GU$45:GU$52)</f>
        <v>0</v>
      </c>
    </row>
    <row r="259" spans="1:202">
      <c r="A259" s="238" t="s">
        <v>108</v>
      </c>
      <c r="B259">
        <f>SUMIF('Как будет'!$A$45:$A$52,Доп.расчеты!$A259,'Как будет'!C$45:C$52)</f>
        <v>0</v>
      </c>
      <c r="C259">
        <f>SUMIF('Как будет'!$A$45:$A$52,Доп.расчеты!$A259,'Как будет'!D$45:D$52)</f>
        <v>0</v>
      </c>
      <c r="D259">
        <f>SUMIF('Как будет'!$A$45:$A$52,Доп.расчеты!$A259,'Как будет'!E$45:E$52)</f>
        <v>0</v>
      </c>
      <c r="E259">
        <f>SUMIF('Как будет'!$A$45:$A$52,Доп.расчеты!$A259,'Как будет'!F$45:F$52)</f>
        <v>0</v>
      </c>
      <c r="F259">
        <f>SUMIF('Как будет'!$A$45:$A$52,Доп.расчеты!$A259,'Как будет'!G$45:G$52)</f>
        <v>0</v>
      </c>
      <c r="G259">
        <f>SUMIF('Как будет'!$A$45:$A$52,Доп.расчеты!$A259,'Как будет'!H$45:H$52)</f>
        <v>0</v>
      </c>
      <c r="H259">
        <f>SUMIF('Как будет'!$A$45:$A$52,Доп.расчеты!$A259,'Как будет'!I$45:I$52)</f>
        <v>0</v>
      </c>
      <c r="I259">
        <f>SUMIF('Как будет'!$A$45:$A$52,Доп.расчеты!$A259,'Как будет'!J$45:J$52)</f>
        <v>0</v>
      </c>
      <c r="J259">
        <f>SUMIF('Как будет'!$A$45:$A$52,Доп.расчеты!$A259,'Как будет'!K$45:K$52)</f>
        <v>0</v>
      </c>
      <c r="K259">
        <f>SUMIF('Как будет'!$A$45:$A$52,Доп.расчеты!$A259,'Как будет'!L$45:L$52)</f>
        <v>0</v>
      </c>
      <c r="L259">
        <f>SUMIF('Как будет'!$A$45:$A$52,Доп.расчеты!$A259,'Как будет'!M$45:M$52)</f>
        <v>0</v>
      </c>
      <c r="M259">
        <f>SUMIF('Как будет'!$A$45:$A$52,Доп.расчеты!$A259,'Как будет'!N$45:N$52)</f>
        <v>0</v>
      </c>
      <c r="N259">
        <f>SUMIF('Как будет'!$A$45:$A$52,Доп.расчеты!$A259,'Как будет'!O$45:O$52)</f>
        <v>0</v>
      </c>
      <c r="O259">
        <f>SUMIF('Как будет'!$A$45:$A$52,Доп.расчеты!$A259,'Как будет'!P$45:P$52)</f>
        <v>0</v>
      </c>
      <c r="P259">
        <f>SUMIF('Как будет'!$A$45:$A$52,Доп.расчеты!$A259,'Как будет'!Q$45:Q$52)</f>
        <v>0</v>
      </c>
      <c r="Q259">
        <f>SUMIF('Как будет'!$A$45:$A$52,Доп.расчеты!$A259,'Как будет'!R$45:R$52)</f>
        <v>0</v>
      </c>
      <c r="R259">
        <f>SUMIF('Как будет'!$A$45:$A$52,Доп.расчеты!$A259,'Как будет'!S$45:S$52)</f>
        <v>0</v>
      </c>
      <c r="S259">
        <f>SUMIF('Как будет'!$A$45:$A$52,Доп.расчеты!$A259,'Как будет'!T$45:T$52)</f>
        <v>0</v>
      </c>
      <c r="T259">
        <f>SUMIF('Как будет'!$A$45:$A$52,Доп.расчеты!$A259,'Как будет'!U$45:U$52)</f>
        <v>0</v>
      </c>
      <c r="U259">
        <f>SUMIF('Как будет'!$A$45:$A$52,Доп.расчеты!$A259,'Как будет'!V$45:V$52)</f>
        <v>0</v>
      </c>
      <c r="V259">
        <f>SUMIF('Как будет'!$A$45:$A$52,Доп.расчеты!$A259,'Как будет'!W$45:W$52)</f>
        <v>0</v>
      </c>
      <c r="W259">
        <f>SUMIF('Как будет'!$A$45:$A$52,Доп.расчеты!$A259,'Как будет'!X$45:X$52)</f>
        <v>0</v>
      </c>
      <c r="X259">
        <f>SUMIF('Как будет'!$A$45:$A$52,Доп.расчеты!$A259,'Как будет'!Y$45:Y$52)</f>
        <v>0</v>
      </c>
      <c r="Y259">
        <f>SUMIF('Как будет'!$A$45:$A$52,Доп.расчеты!$A259,'Как будет'!Z$45:Z$52)</f>
        <v>0</v>
      </c>
      <c r="Z259">
        <f>SUMIF('Как будет'!$A$45:$A$52,Доп.расчеты!$A259,'Как будет'!AA$45:AA$52)</f>
        <v>0</v>
      </c>
      <c r="AA259">
        <f>SUMIF('Как будет'!$A$45:$A$52,Доп.расчеты!$A259,'Как будет'!AB$45:AB$52)</f>
        <v>0</v>
      </c>
      <c r="AB259">
        <f>SUMIF('Как будет'!$A$45:$A$52,Доп.расчеты!$A259,'Как будет'!AC$45:AC$52)</f>
        <v>0</v>
      </c>
      <c r="AC259">
        <f>SUMIF('Как будет'!$A$45:$A$52,Доп.расчеты!$A259,'Как будет'!AD$45:AD$52)</f>
        <v>0</v>
      </c>
      <c r="AD259">
        <f>SUMIF('Как будет'!$A$45:$A$52,Доп.расчеты!$A259,'Как будет'!AE$45:AE$52)</f>
        <v>0</v>
      </c>
      <c r="AE259">
        <f>SUMIF('Как будет'!$A$45:$A$52,Доп.расчеты!$A259,'Как будет'!AF$45:AF$52)</f>
        <v>0</v>
      </c>
      <c r="AF259">
        <f>SUMIF('Как будет'!$A$45:$A$52,Доп.расчеты!$A259,'Как будет'!AG$45:AG$52)</f>
        <v>0</v>
      </c>
      <c r="AG259">
        <f>SUMIF('Как будет'!$A$45:$A$52,Доп.расчеты!$A259,'Как будет'!AH$45:AH$52)</f>
        <v>0</v>
      </c>
      <c r="AH259">
        <f>SUMIF('Как будет'!$A$45:$A$52,Доп.расчеты!$A259,'Как будет'!AI$45:AI$52)</f>
        <v>0</v>
      </c>
      <c r="AI259">
        <f>SUMIF('Как будет'!$A$45:$A$52,Доп.расчеты!$A259,'Как будет'!AJ$45:AJ$52)</f>
        <v>0</v>
      </c>
      <c r="AJ259">
        <f>SUMIF('Как будет'!$A$45:$A$52,Доп.расчеты!$A259,'Как будет'!AK$45:AK$52)</f>
        <v>0</v>
      </c>
      <c r="AK259">
        <f>SUMIF('Как будет'!$A$45:$A$52,Доп.расчеты!$A259,'Как будет'!AL$45:AL$52)</f>
        <v>0</v>
      </c>
      <c r="AL259">
        <f>SUMIF('Как будет'!$A$45:$A$52,Доп.расчеты!$A259,'Как будет'!AM$45:AM$52)</f>
        <v>0</v>
      </c>
      <c r="AM259">
        <f>SUMIF('Как будет'!$A$45:$A$52,Доп.расчеты!$A259,'Как будет'!AN$45:AN$52)</f>
        <v>0</v>
      </c>
      <c r="AN259">
        <f>SUMIF('Как будет'!$A$45:$A$52,Доп.расчеты!$A259,'Как будет'!AO$45:AO$52)</f>
        <v>0</v>
      </c>
      <c r="AO259">
        <f>SUMIF('Как будет'!$A$45:$A$52,Доп.расчеты!$A259,'Как будет'!AP$45:AP$52)</f>
        <v>0</v>
      </c>
      <c r="AP259">
        <f>SUMIF('Как будет'!$A$45:$A$52,Доп.расчеты!$A259,'Как будет'!AQ$45:AQ$52)</f>
        <v>0</v>
      </c>
      <c r="AQ259">
        <f>SUMIF('Как будет'!$A$45:$A$52,Доп.расчеты!$A259,'Как будет'!AR$45:AR$52)</f>
        <v>0</v>
      </c>
      <c r="AR259">
        <f>SUMIF('Как будет'!$A$45:$A$52,Доп.расчеты!$A259,'Как будет'!AS$45:AS$52)</f>
        <v>0</v>
      </c>
      <c r="AS259">
        <f>SUMIF('Как будет'!$A$45:$A$52,Доп.расчеты!$A259,'Как будет'!AT$45:AT$52)</f>
        <v>0</v>
      </c>
      <c r="AT259">
        <f>SUMIF('Как будет'!$A$45:$A$52,Доп.расчеты!$A259,'Как будет'!AU$45:AU$52)</f>
        <v>0</v>
      </c>
      <c r="AU259">
        <f>SUMIF('Как будет'!$A$45:$A$52,Доп.расчеты!$A259,'Как будет'!AV$45:AV$52)</f>
        <v>0</v>
      </c>
      <c r="AV259">
        <f>SUMIF('Как будет'!$A$45:$A$52,Доп.расчеты!$A259,'Как будет'!AW$45:AW$52)</f>
        <v>0</v>
      </c>
      <c r="AW259">
        <f>SUMIF('Как будет'!$A$45:$A$52,Доп.расчеты!$A259,'Как будет'!AX$45:AX$52)</f>
        <v>0</v>
      </c>
      <c r="AX259">
        <f>SUMIF('Как будет'!$A$45:$A$52,Доп.расчеты!$A259,'Как будет'!AY$45:AY$52)</f>
        <v>0</v>
      </c>
      <c r="AY259">
        <f>SUMIF('Как будет'!$A$45:$A$52,Доп.расчеты!$A259,'Как будет'!AZ$45:AZ$52)</f>
        <v>0</v>
      </c>
      <c r="AZ259">
        <f>SUMIF('Как будет'!$A$45:$A$52,Доп.расчеты!$A259,'Как будет'!BA$45:BA$52)</f>
        <v>0</v>
      </c>
      <c r="BA259">
        <f>SUMIF('Как будет'!$A$45:$A$52,Доп.расчеты!$A259,'Как будет'!BB$45:BB$52)</f>
        <v>0</v>
      </c>
      <c r="BB259">
        <f>SUMIF('Как будет'!$A$45:$A$52,Доп.расчеты!$A259,'Как будет'!BC$45:BC$52)</f>
        <v>0</v>
      </c>
      <c r="BC259">
        <f>SUMIF('Как будет'!$A$45:$A$52,Доп.расчеты!$A259,'Как будет'!BD$45:BD$52)</f>
        <v>0</v>
      </c>
      <c r="BD259">
        <f>SUMIF('Как будет'!$A$45:$A$52,Доп.расчеты!$A259,'Как будет'!BE$45:BE$52)</f>
        <v>0</v>
      </c>
      <c r="BE259">
        <f>SUMIF('Как будет'!$A$45:$A$52,Доп.расчеты!$A259,'Как будет'!BF$45:BF$52)</f>
        <v>0</v>
      </c>
      <c r="BF259">
        <f>SUMIF('Как будет'!$A$45:$A$52,Доп.расчеты!$A259,'Как будет'!BG$45:BG$52)</f>
        <v>0</v>
      </c>
      <c r="BG259">
        <f>SUMIF('Как будет'!$A$45:$A$52,Доп.расчеты!$A259,'Как будет'!BH$45:BH$52)</f>
        <v>0</v>
      </c>
      <c r="BH259">
        <f>SUMIF('Как будет'!$A$45:$A$52,Доп.расчеты!$A259,'Как будет'!BI$45:BI$52)</f>
        <v>0</v>
      </c>
      <c r="BI259">
        <f>SUMIF('Как будет'!$A$45:$A$52,Доп.расчеты!$A259,'Как будет'!BJ$45:BJ$52)</f>
        <v>0</v>
      </c>
      <c r="BJ259">
        <f>SUMIF('Как будет'!$A$45:$A$52,Доп.расчеты!$A259,'Как будет'!BK$45:BK$52)</f>
        <v>0</v>
      </c>
      <c r="BK259">
        <f>SUMIF('Как будет'!$A$45:$A$52,Доп.расчеты!$A259,'Как будет'!BL$45:BL$52)</f>
        <v>0</v>
      </c>
      <c r="BL259">
        <f>SUMIF('Как будет'!$A$45:$A$52,Доп.расчеты!$A259,'Как будет'!BM$45:BM$52)</f>
        <v>0</v>
      </c>
      <c r="BM259">
        <f>SUMIF('Как будет'!$A$45:$A$52,Доп.расчеты!$A259,'Как будет'!BN$45:BN$52)</f>
        <v>0</v>
      </c>
      <c r="BN259">
        <f>SUMIF('Как будет'!$A$45:$A$52,Доп.расчеты!$A259,'Как будет'!BO$45:BO$52)</f>
        <v>0</v>
      </c>
      <c r="BO259">
        <f>SUMIF('Как будет'!$A$45:$A$52,Доп.расчеты!$A259,'Как будет'!BP$45:BP$52)</f>
        <v>0</v>
      </c>
      <c r="BP259">
        <f>SUMIF('Как будет'!$A$45:$A$52,Доп.расчеты!$A259,'Как будет'!BQ$45:BQ$52)</f>
        <v>0</v>
      </c>
      <c r="BQ259">
        <f>SUMIF('Как будет'!$A$45:$A$52,Доп.расчеты!$A259,'Как будет'!BR$45:BR$52)</f>
        <v>0</v>
      </c>
      <c r="BR259">
        <f>SUMIF('Как будет'!$A$45:$A$52,Доп.расчеты!$A259,'Как будет'!BS$45:BS$52)</f>
        <v>0</v>
      </c>
      <c r="BS259">
        <f>SUMIF('Как будет'!$A$45:$A$52,Доп.расчеты!$A259,'Как будет'!BT$45:BT$52)</f>
        <v>0</v>
      </c>
      <c r="BT259">
        <f>SUMIF('Как будет'!$A$45:$A$52,Доп.расчеты!$A259,'Как будет'!BU$45:BU$52)</f>
        <v>0</v>
      </c>
      <c r="BU259">
        <f>SUMIF('Как будет'!$A$45:$A$52,Доп.расчеты!$A259,'Как будет'!BV$45:BV$52)</f>
        <v>0</v>
      </c>
      <c r="BV259">
        <f>SUMIF('Как будет'!$A$45:$A$52,Доп.расчеты!$A259,'Как будет'!BW$45:BW$52)</f>
        <v>0</v>
      </c>
      <c r="BW259">
        <f>SUMIF('Как будет'!$A$45:$A$52,Доп.расчеты!$A259,'Как будет'!BX$45:BX$52)</f>
        <v>0</v>
      </c>
      <c r="BX259">
        <f>SUMIF('Как будет'!$A$45:$A$52,Доп.расчеты!$A259,'Как будет'!BY$45:BY$52)</f>
        <v>0</v>
      </c>
      <c r="BY259">
        <f>SUMIF('Как будет'!$A$45:$A$52,Доп.расчеты!$A259,'Как будет'!BZ$45:BZ$52)</f>
        <v>0</v>
      </c>
      <c r="BZ259">
        <f>SUMIF('Как будет'!$A$45:$A$52,Доп.расчеты!$A259,'Как будет'!CA$45:CA$52)</f>
        <v>0</v>
      </c>
      <c r="CA259">
        <f>SUMIF('Как будет'!$A$45:$A$52,Доп.расчеты!$A259,'Как будет'!CB$45:CB$52)</f>
        <v>0</v>
      </c>
      <c r="CB259">
        <f>SUMIF('Как будет'!$A$45:$A$52,Доп.расчеты!$A259,'Как будет'!CC$45:CC$52)</f>
        <v>0</v>
      </c>
      <c r="CC259">
        <f>SUMIF('Как будет'!$A$45:$A$52,Доп.расчеты!$A259,'Как будет'!CD$45:CD$52)</f>
        <v>0</v>
      </c>
      <c r="CD259">
        <f>SUMIF('Как будет'!$A$45:$A$52,Доп.расчеты!$A259,'Как будет'!CE$45:CE$52)</f>
        <v>0</v>
      </c>
      <c r="CE259">
        <f>SUMIF('Как будет'!$A$45:$A$52,Доп.расчеты!$A259,'Как будет'!CF$45:CF$52)</f>
        <v>0</v>
      </c>
      <c r="CF259">
        <f>SUMIF('Как будет'!$A$45:$A$52,Доп.расчеты!$A259,'Как будет'!CG$45:CG$52)</f>
        <v>0</v>
      </c>
      <c r="CG259">
        <f>SUMIF('Как будет'!$A$45:$A$52,Доп.расчеты!$A259,'Как будет'!CH$45:CH$52)</f>
        <v>0</v>
      </c>
      <c r="CH259">
        <f>SUMIF('Как будет'!$A$45:$A$52,Доп.расчеты!$A259,'Как будет'!CI$45:CI$52)</f>
        <v>0</v>
      </c>
      <c r="CI259">
        <f>SUMIF('Как будет'!$A$45:$A$52,Доп.расчеты!$A259,'Как будет'!CJ$45:CJ$52)</f>
        <v>0</v>
      </c>
      <c r="CJ259">
        <f>SUMIF('Как будет'!$A$45:$A$52,Доп.расчеты!$A259,'Как будет'!CK$45:CK$52)</f>
        <v>0</v>
      </c>
      <c r="CK259">
        <f>SUMIF('Как будет'!$A$45:$A$52,Доп.расчеты!$A259,'Как будет'!CL$45:CL$52)</f>
        <v>0</v>
      </c>
      <c r="CL259">
        <f>SUMIF('Как будет'!$A$45:$A$52,Доп.расчеты!$A259,'Как будет'!CM$45:CM$52)</f>
        <v>0</v>
      </c>
      <c r="CM259">
        <f>SUMIF('Как будет'!$A$45:$A$52,Доп.расчеты!$A259,'Как будет'!CN$45:CN$52)</f>
        <v>0</v>
      </c>
      <c r="CN259">
        <f>SUMIF('Как будет'!$A$45:$A$52,Доп.расчеты!$A259,'Как будет'!CO$45:CO$52)</f>
        <v>0</v>
      </c>
      <c r="CO259">
        <f>SUMIF('Как будет'!$A$45:$A$52,Доп.расчеты!$A259,'Как будет'!CP$45:CP$52)</f>
        <v>0</v>
      </c>
      <c r="CP259">
        <f>SUMIF('Как будет'!$A$45:$A$52,Доп.расчеты!$A259,'Как будет'!CQ$45:CQ$52)</f>
        <v>0</v>
      </c>
      <c r="CQ259">
        <f>SUMIF('Как будет'!$A$45:$A$52,Доп.расчеты!$A259,'Как будет'!CR$45:CR$52)</f>
        <v>0</v>
      </c>
      <c r="CR259">
        <f>SUMIF('Как будет'!$A$45:$A$52,Доп.расчеты!$A259,'Как будет'!CS$45:CS$52)</f>
        <v>0</v>
      </c>
      <c r="CS259">
        <f>SUMIF('Как будет'!$A$45:$A$52,Доп.расчеты!$A259,'Как будет'!CT$45:CT$52)</f>
        <v>0</v>
      </c>
      <c r="CT259">
        <f>SUMIF('Как будет'!$A$45:$A$52,Доп.расчеты!$A259,'Как будет'!CU$45:CU$52)</f>
        <v>0</v>
      </c>
      <c r="CU259">
        <f>SUMIF('Как будет'!$A$45:$A$52,Доп.расчеты!$A259,'Как будет'!CV$45:CV$52)</f>
        <v>0</v>
      </c>
      <c r="CV259">
        <f>SUMIF('Как будет'!$A$45:$A$52,Доп.расчеты!$A259,'Как будет'!CW$45:CW$52)</f>
        <v>0</v>
      </c>
      <c r="CW259">
        <f>SUMIF('Как будет'!$A$45:$A$52,Доп.расчеты!$A259,'Как будет'!CX$45:CX$52)</f>
        <v>0</v>
      </c>
      <c r="CX259">
        <f>SUMIF('Как будет'!$A$45:$A$52,Доп.расчеты!$A259,'Как будет'!CY$45:CY$52)</f>
        <v>0</v>
      </c>
      <c r="CY259">
        <f>SUMIF('Как будет'!$A$45:$A$52,Доп.расчеты!$A259,'Как будет'!CZ$45:CZ$52)</f>
        <v>0</v>
      </c>
      <c r="CZ259">
        <f>SUMIF('Как будет'!$A$45:$A$52,Доп.расчеты!$A259,'Как будет'!DA$45:DA$52)</f>
        <v>0</v>
      </c>
      <c r="DA259">
        <f>SUMIF('Как будет'!$A$45:$A$52,Доп.расчеты!$A259,'Как будет'!DB$45:DB$52)</f>
        <v>0</v>
      </c>
      <c r="DB259">
        <f>SUMIF('Как будет'!$A$45:$A$52,Доп.расчеты!$A259,'Как будет'!DC$45:DC$52)</f>
        <v>0</v>
      </c>
      <c r="DC259">
        <f>SUMIF('Как будет'!$A$45:$A$52,Доп.расчеты!$A259,'Как будет'!DD$45:DD$52)</f>
        <v>0</v>
      </c>
      <c r="DD259">
        <f>SUMIF('Как будет'!$A$45:$A$52,Доп.расчеты!$A259,'Как будет'!DE$45:DE$52)</f>
        <v>0</v>
      </c>
      <c r="DE259">
        <f>SUMIF('Как будет'!$A$45:$A$52,Доп.расчеты!$A259,'Как будет'!DF$45:DF$52)</f>
        <v>0</v>
      </c>
      <c r="DF259">
        <f>SUMIF('Как будет'!$A$45:$A$52,Доп.расчеты!$A259,'Как будет'!DG$45:DG$52)</f>
        <v>0</v>
      </c>
      <c r="DG259">
        <f>SUMIF('Как будет'!$A$45:$A$52,Доп.расчеты!$A259,'Как будет'!DH$45:DH$52)</f>
        <v>0</v>
      </c>
      <c r="DH259">
        <f>SUMIF('Как будет'!$A$45:$A$52,Доп.расчеты!$A259,'Как будет'!DI$45:DI$52)</f>
        <v>0</v>
      </c>
      <c r="DI259">
        <f>SUMIF('Как будет'!$A$45:$A$52,Доп.расчеты!$A259,'Как будет'!DJ$45:DJ$52)</f>
        <v>0</v>
      </c>
      <c r="DJ259">
        <f>SUMIF('Как будет'!$A$45:$A$52,Доп.расчеты!$A259,'Как будет'!DK$45:DK$52)</f>
        <v>0</v>
      </c>
      <c r="DK259">
        <f>SUMIF('Как будет'!$A$45:$A$52,Доп.расчеты!$A259,'Как будет'!DL$45:DL$52)</f>
        <v>0</v>
      </c>
      <c r="DL259">
        <f>SUMIF('Как будет'!$A$45:$A$52,Доп.расчеты!$A259,'Как будет'!DM$45:DM$52)</f>
        <v>0</v>
      </c>
      <c r="DM259">
        <f>SUMIF('Как будет'!$A$45:$A$52,Доп.расчеты!$A259,'Как будет'!DN$45:DN$52)</f>
        <v>0</v>
      </c>
      <c r="DN259">
        <f>SUMIF('Как будет'!$A$45:$A$52,Доп.расчеты!$A259,'Как будет'!DO$45:DO$52)</f>
        <v>0</v>
      </c>
      <c r="DO259">
        <f>SUMIF('Как будет'!$A$45:$A$52,Доп.расчеты!$A259,'Как будет'!DP$45:DP$52)</f>
        <v>0</v>
      </c>
      <c r="DP259">
        <f>SUMIF('Как будет'!$A$45:$A$52,Доп.расчеты!$A259,'Как будет'!DQ$45:DQ$52)</f>
        <v>0</v>
      </c>
      <c r="DQ259">
        <f>SUMIF('Как будет'!$A$45:$A$52,Доп.расчеты!$A259,'Как будет'!DR$45:DR$52)</f>
        <v>0</v>
      </c>
      <c r="DR259">
        <f>SUMIF('Как будет'!$A$45:$A$52,Доп.расчеты!$A259,'Как будет'!DS$45:DS$52)</f>
        <v>0</v>
      </c>
      <c r="DS259">
        <f>SUMIF('Как будет'!$A$45:$A$52,Доп.расчеты!$A259,'Как будет'!DT$45:DT$52)</f>
        <v>0</v>
      </c>
      <c r="DT259">
        <f>SUMIF('Как будет'!$A$45:$A$52,Доп.расчеты!$A259,'Как будет'!DU$45:DU$52)</f>
        <v>0</v>
      </c>
      <c r="DU259">
        <f>SUMIF('Как будет'!$A$45:$A$52,Доп.расчеты!$A259,'Как будет'!DV$45:DV$52)</f>
        <v>0</v>
      </c>
      <c r="DV259">
        <f>SUMIF('Как будет'!$A$45:$A$52,Доп.расчеты!$A259,'Как будет'!DW$45:DW$52)</f>
        <v>0</v>
      </c>
      <c r="DW259">
        <f>SUMIF('Как будет'!$A$45:$A$52,Доп.расчеты!$A259,'Как будет'!DX$45:DX$52)</f>
        <v>0</v>
      </c>
      <c r="DX259">
        <f>SUMIF('Как будет'!$A$45:$A$52,Доп.расчеты!$A259,'Как будет'!DY$45:DY$52)</f>
        <v>0</v>
      </c>
      <c r="DY259">
        <f>SUMIF('Как будет'!$A$45:$A$52,Доп.расчеты!$A259,'Как будет'!DZ$45:DZ$52)</f>
        <v>0</v>
      </c>
      <c r="DZ259">
        <f>SUMIF('Как будет'!$A$45:$A$52,Доп.расчеты!$A259,'Как будет'!EA$45:EA$52)</f>
        <v>0</v>
      </c>
      <c r="EA259">
        <f>SUMIF('Как будет'!$A$45:$A$52,Доп.расчеты!$A259,'Как будет'!EB$45:EB$52)</f>
        <v>0</v>
      </c>
      <c r="EB259">
        <f>SUMIF('Как будет'!$A$45:$A$52,Доп.расчеты!$A259,'Как будет'!EC$45:EC$52)</f>
        <v>0</v>
      </c>
      <c r="EC259">
        <f>SUMIF('Как будет'!$A$45:$A$52,Доп.расчеты!$A259,'Как будет'!ED$45:ED$52)</f>
        <v>0</v>
      </c>
      <c r="ED259">
        <f>SUMIF('Как будет'!$A$45:$A$52,Доп.расчеты!$A259,'Как будет'!EE$45:EE$52)</f>
        <v>0</v>
      </c>
      <c r="EE259">
        <f>SUMIF('Как будет'!$A$45:$A$52,Доп.расчеты!$A259,'Как будет'!EF$45:EF$52)</f>
        <v>0</v>
      </c>
      <c r="EF259">
        <f>SUMIF('Как будет'!$A$45:$A$52,Доп.расчеты!$A259,'Как будет'!EG$45:EG$52)</f>
        <v>0</v>
      </c>
      <c r="EG259">
        <f>SUMIF('Как будет'!$A$45:$A$52,Доп.расчеты!$A259,'Как будет'!EH$45:EH$52)</f>
        <v>0</v>
      </c>
      <c r="EH259">
        <f>SUMIF('Как будет'!$A$45:$A$52,Доп.расчеты!$A259,'Как будет'!EI$45:EI$52)</f>
        <v>0</v>
      </c>
      <c r="EI259">
        <f>SUMIF('Как будет'!$A$45:$A$52,Доп.расчеты!$A259,'Как будет'!EJ$45:EJ$52)</f>
        <v>0</v>
      </c>
      <c r="EJ259">
        <f>SUMIF('Как будет'!$A$45:$A$52,Доп.расчеты!$A259,'Как будет'!EK$45:EK$52)</f>
        <v>0</v>
      </c>
      <c r="EK259">
        <f>SUMIF('Как будет'!$A$45:$A$52,Доп.расчеты!$A259,'Как будет'!EL$45:EL$52)</f>
        <v>0</v>
      </c>
      <c r="EL259">
        <f>SUMIF('Как будет'!$A$45:$A$52,Доп.расчеты!$A259,'Как будет'!EM$45:EM$52)</f>
        <v>0</v>
      </c>
      <c r="EM259">
        <f>SUMIF('Как будет'!$A$45:$A$52,Доп.расчеты!$A259,'Как будет'!EN$45:EN$52)</f>
        <v>0</v>
      </c>
      <c r="EN259">
        <f>SUMIF('Как будет'!$A$45:$A$52,Доп.расчеты!$A259,'Как будет'!EO$45:EO$52)</f>
        <v>0</v>
      </c>
      <c r="EO259">
        <f>SUMIF('Как будет'!$A$45:$A$52,Доп.расчеты!$A259,'Как будет'!EP$45:EP$52)</f>
        <v>0</v>
      </c>
      <c r="EP259">
        <f>SUMIF('Как будет'!$A$45:$A$52,Доп.расчеты!$A259,'Как будет'!EQ$45:EQ$52)</f>
        <v>0</v>
      </c>
      <c r="EQ259">
        <f>SUMIF('Как будет'!$A$45:$A$52,Доп.расчеты!$A259,'Как будет'!ER$45:ER$52)</f>
        <v>0</v>
      </c>
      <c r="ER259">
        <f>SUMIF('Как будет'!$A$45:$A$52,Доп.расчеты!$A259,'Как будет'!ES$45:ES$52)</f>
        <v>0</v>
      </c>
      <c r="ES259">
        <f>SUMIF('Как будет'!$A$45:$A$52,Доп.расчеты!$A259,'Как будет'!ET$45:ET$52)</f>
        <v>0</v>
      </c>
      <c r="ET259">
        <f>SUMIF('Как будет'!$A$45:$A$52,Доп.расчеты!$A259,'Как будет'!EU$45:EU$52)</f>
        <v>0</v>
      </c>
      <c r="EU259">
        <f>SUMIF('Как будет'!$A$45:$A$52,Доп.расчеты!$A259,'Как будет'!EV$45:EV$52)</f>
        <v>0</v>
      </c>
      <c r="EV259">
        <f>SUMIF('Как будет'!$A$45:$A$52,Доп.расчеты!$A259,'Как будет'!EW$45:EW$52)</f>
        <v>0</v>
      </c>
      <c r="EW259">
        <f>SUMIF('Как будет'!$A$45:$A$52,Доп.расчеты!$A259,'Как будет'!EX$45:EX$52)</f>
        <v>0</v>
      </c>
      <c r="EX259">
        <f>SUMIF('Как будет'!$A$45:$A$52,Доп.расчеты!$A259,'Как будет'!EY$45:EY$52)</f>
        <v>0</v>
      </c>
      <c r="EY259">
        <f>SUMIF('Как будет'!$A$45:$A$52,Доп.расчеты!$A259,'Как будет'!EZ$45:EZ$52)</f>
        <v>0</v>
      </c>
      <c r="EZ259">
        <f>SUMIF('Как будет'!$A$45:$A$52,Доп.расчеты!$A259,'Как будет'!FA$45:FA$52)</f>
        <v>0</v>
      </c>
      <c r="FA259">
        <f>SUMIF('Как будет'!$A$45:$A$52,Доп.расчеты!$A259,'Как будет'!FB$45:FB$52)</f>
        <v>0</v>
      </c>
      <c r="FB259">
        <f>SUMIF('Как будет'!$A$45:$A$52,Доп.расчеты!$A259,'Как будет'!FC$45:FC$52)</f>
        <v>0</v>
      </c>
      <c r="FC259">
        <f>SUMIF('Как будет'!$A$45:$A$52,Доп.расчеты!$A259,'Как будет'!FD$45:FD$52)</f>
        <v>0</v>
      </c>
      <c r="FD259">
        <f>SUMIF('Как будет'!$A$45:$A$52,Доп.расчеты!$A259,'Как будет'!FE$45:FE$52)</f>
        <v>0</v>
      </c>
      <c r="FE259">
        <f>SUMIF('Как будет'!$A$45:$A$52,Доп.расчеты!$A259,'Как будет'!FF$45:FF$52)</f>
        <v>0</v>
      </c>
      <c r="FF259">
        <f>SUMIF('Как будет'!$A$45:$A$52,Доп.расчеты!$A259,'Как будет'!FG$45:FG$52)</f>
        <v>0</v>
      </c>
      <c r="FG259">
        <f>SUMIF('Как будет'!$A$45:$A$52,Доп.расчеты!$A259,'Как будет'!FH$45:FH$52)</f>
        <v>0</v>
      </c>
      <c r="FH259">
        <f>SUMIF('Как будет'!$A$45:$A$52,Доп.расчеты!$A259,'Как будет'!FI$45:FI$52)</f>
        <v>0</v>
      </c>
      <c r="FI259">
        <f>SUMIF('Как будет'!$A$45:$A$52,Доп.расчеты!$A259,'Как будет'!FJ$45:FJ$52)</f>
        <v>0</v>
      </c>
      <c r="FJ259">
        <f>SUMIF('Как будет'!$A$45:$A$52,Доп.расчеты!$A259,'Как будет'!FK$45:FK$52)</f>
        <v>0</v>
      </c>
      <c r="FK259">
        <f>SUMIF('Как будет'!$A$45:$A$52,Доп.расчеты!$A259,'Как будет'!FL$45:FL$52)</f>
        <v>0</v>
      </c>
      <c r="FL259">
        <f>SUMIF('Как будет'!$A$45:$A$52,Доп.расчеты!$A259,'Как будет'!FM$45:FM$52)</f>
        <v>0</v>
      </c>
      <c r="FM259">
        <f>SUMIF('Как будет'!$A$45:$A$52,Доп.расчеты!$A259,'Как будет'!FN$45:FN$52)</f>
        <v>0</v>
      </c>
      <c r="FN259">
        <f>SUMIF('Как будет'!$A$45:$A$52,Доп.расчеты!$A259,'Как будет'!FO$45:FO$52)</f>
        <v>0</v>
      </c>
      <c r="FO259">
        <f>SUMIF('Как будет'!$A$45:$A$52,Доп.расчеты!$A259,'Как будет'!FP$45:FP$52)</f>
        <v>0</v>
      </c>
      <c r="FP259">
        <f>SUMIF('Как будет'!$A$45:$A$52,Доп.расчеты!$A259,'Как будет'!FQ$45:FQ$52)</f>
        <v>0</v>
      </c>
      <c r="FQ259">
        <f>SUMIF('Как будет'!$A$45:$A$52,Доп.расчеты!$A259,'Как будет'!FR$45:FR$52)</f>
        <v>0</v>
      </c>
      <c r="FR259">
        <f>SUMIF('Как будет'!$A$45:$A$52,Доп.расчеты!$A259,'Как будет'!FS$45:FS$52)</f>
        <v>0</v>
      </c>
      <c r="FS259">
        <f>SUMIF('Как будет'!$A$45:$A$52,Доп.расчеты!$A259,'Как будет'!FT$45:FT$52)</f>
        <v>0</v>
      </c>
      <c r="FT259">
        <f>SUMIF('Как будет'!$A$45:$A$52,Доп.расчеты!$A259,'Как будет'!FU$45:FU$52)</f>
        <v>0</v>
      </c>
      <c r="FU259">
        <f>SUMIF('Как будет'!$A$45:$A$52,Доп.расчеты!$A259,'Как будет'!FV$45:FV$52)</f>
        <v>0</v>
      </c>
      <c r="FV259">
        <f>SUMIF('Как будет'!$A$45:$A$52,Доп.расчеты!$A259,'Как будет'!FW$45:FW$52)</f>
        <v>0</v>
      </c>
      <c r="FW259">
        <f>SUMIF('Как будет'!$A$45:$A$52,Доп.расчеты!$A259,'Как будет'!FX$45:FX$52)</f>
        <v>0</v>
      </c>
      <c r="FX259">
        <f>SUMIF('Как будет'!$A$45:$A$52,Доп.расчеты!$A259,'Как будет'!FY$45:FY$52)</f>
        <v>0</v>
      </c>
      <c r="FY259">
        <f>SUMIF('Как будет'!$A$45:$A$52,Доп.расчеты!$A259,'Как будет'!FZ$45:FZ$52)</f>
        <v>0</v>
      </c>
      <c r="FZ259">
        <f>SUMIF('Как будет'!$A$45:$A$52,Доп.расчеты!$A259,'Как будет'!GA$45:GA$52)</f>
        <v>0</v>
      </c>
      <c r="GA259">
        <f>SUMIF('Как будет'!$A$45:$A$52,Доп.расчеты!$A259,'Как будет'!GB$45:GB$52)</f>
        <v>0</v>
      </c>
      <c r="GB259">
        <f>SUMIF('Как будет'!$A$45:$A$52,Доп.расчеты!$A259,'Как будет'!GC$45:GC$52)</f>
        <v>0</v>
      </c>
      <c r="GC259">
        <f>SUMIF('Как будет'!$A$45:$A$52,Доп.расчеты!$A259,'Как будет'!GD$45:GD$52)</f>
        <v>0</v>
      </c>
      <c r="GD259">
        <f>SUMIF('Как будет'!$A$45:$A$52,Доп.расчеты!$A259,'Как будет'!GE$45:GE$52)</f>
        <v>0</v>
      </c>
      <c r="GE259">
        <f>SUMIF('Как будет'!$A$45:$A$52,Доп.расчеты!$A259,'Как будет'!GF$45:GF$52)</f>
        <v>0</v>
      </c>
      <c r="GF259">
        <f>SUMIF('Как будет'!$A$45:$A$52,Доп.расчеты!$A259,'Как будет'!GG$45:GG$52)</f>
        <v>0</v>
      </c>
      <c r="GG259">
        <f>SUMIF('Как будет'!$A$45:$A$52,Доп.расчеты!$A259,'Как будет'!GH$45:GH$52)</f>
        <v>0</v>
      </c>
      <c r="GH259">
        <f>SUMIF('Как будет'!$A$45:$A$52,Доп.расчеты!$A259,'Как будет'!GI$45:GI$52)</f>
        <v>0</v>
      </c>
      <c r="GI259">
        <f>SUMIF('Как будет'!$A$45:$A$52,Доп.расчеты!$A259,'Как будет'!GJ$45:GJ$52)</f>
        <v>0</v>
      </c>
      <c r="GJ259">
        <f>SUMIF('Как будет'!$A$45:$A$52,Доп.расчеты!$A259,'Как будет'!GK$45:GK$52)</f>
        <v>0</v>
      </c>
      <c r="GK259">
        <f>SUMIF('Как будет'!$A$45:$A$52,Доп.расчеты!$A259,'Как будет'!GL$45:GL$52)</f>
        <v>0</v>
      </c>
      <c r="GL259">
        <f>SUMIF('Как будет'!$A$45:$A$52,Доп.расчеты!$A259,'Как будет'!GM$45:GM$52)</f>
        <v>0</v>
      </c>
      <c r="GM259">
        <f>SUMIF('Как будет'!$A$45:$A$52,Доп.расчеты!$A259,'Как будет'!GN$45:GN$52)</f>
        <v>0</v>
      </c>
      <c r="GN259">
        <f>SUMIF('Как будет'!$A$45:$A$52,Доп.расчеты!$A259,'Как будет'!GO$45:GO$52)</f>
        <v>0</v>
      </c>
      <c r="GO259">
        <f>SUMIF('Как будет'!$A$45:$A$52,Доп.расчеты!$A259,'Как будет'!GP$45:GP$52)</f>
        <v>0</v>
      </c>
      <c r="GP259">
        <f>SUMIF('Как будет'!$A$45:$A$52,Доп.расчеты!$A259,'Как будет'!GQ$45:GQ$52)</f>
        <v>0</v>
      </c>
      <c r="GQ259">
        <f>SUMIF('Как будет'!$A$45:$A$52,Доп.расчеты!$A259,'Как будет'!GR$45:GR$52)</f>
        <v>0</v>
      </c>
      <c r="GR259">
        <f>SUMIF('Как будет'!$A$45:$A$52,Доп.расчеты!$A259,'Как будет'!GS$45:GS$52)</f>
        <v>0</v>
      </c>
      <c r="GS259">
        <f>SUMIF('Как будет'!$A$45:$A$52,Доп.расчеты!$A259,'Как будет'!GT$45:GT$52)</f>
        <v>0</v>
      </c>
      <c r="GT259">
        <f>SUMIF('Как будет'!$A$45:$A$52,Доп.расчеты!$A259,'Как будет'!GU$45:GU$52)</f>
        <v>0</v>
      </c>
    </row>
    <row r="260" spans="1:202">
      <c r="A260" s="238" t="s">
        <v>109</v>
      </c>
      <c r="B260">
        <f>SUMIF('Как будет'!$A$45:$A$52,Доп.расчеты!$A260,'Как будет'!C$45:C$52)</f>
        <v>0</v>
      </c>
      <c r="C260">
        <f>SUMIF('Как будет'!$A$45:$A$52,Доп.расчеты!$A260,'Как будет'!D$45:D$52)</f>
        <v>0</v>
      </c>
      <c r="D260">
        <f>SUMIF('Как будет'!$A$45:$A$52,Доп.расчеты!$A260,'Как будет'!E$45:E$52)</f>
        <v>0</v>
      </c>
      <c r="E260">
        <f>SUMIF('Как будет'!$A$45:$A$52,Доп.расчеты!$A260,'Как будет'!F$45:F$52)</f>
        <v>0</v>
      </c>
      <c r="F260">
        <f>SUMIF('Как будет'!$A$45:$A$52,Доп.расчеты!$A260,'Как будет'!G$45:G$52)</f>
        <v>0</v>
      </c>
      <c r="G260">
        <f>SUMIF('Как будет'!$A$45:$A$52,Доп.расчеты!$A260,'Как будет'!H$45:H$52)</f>
        <v>0</v>
      </c>
      <c r="H260">
        <f>SUMIF('Как будет'!$A$45:$A$52,Доп.расчеты!$A260,'Как будет'!I$45:I$52)</f>
        <v>0</v>
      </c>
      <c r="I260">
        <f>SUMIF('Как будет'!$A$45:$A$52,Доп.расчеты!$A260,'Как будет'!J$45:J$52)</f>
        <v>0</v>
      </c>
      <c r="J260">
        <f>SUMIF('Как будет'!$A$45:$A$52,Доп.расчеты!$A260,'Как будет'!K$45:K$52)</f>
        <v>0</v>
      </c>
      <c r="K260">
        <f>SUMIF('Как будет'!$A$45:$A$52,Доп.расчеты!$A260,'Как будет'!L$45:L$52)</f>
        <v>0</v>
      </c>
      <c r="L260">
        <f>SUMIF('Как будет'!$A$45:$A$52,Доп.расчеты!$A260,'Как будет'!M$45:M$52)</f>
        <v>0</v>
      </c>
      <c r="M260">
        <f>SUMIF('Как будет'!$A$45:$A$52,Доп.расчеты!$A260,'Как будет'!N$45:N$52)</f>
        <v>0</v>
      </c>
      <c r="N260">
        <f>SUMIF('Как будет'!$A$45:$A$52,Доп.расчеты!$A260,'Как будет'!O$45:O$52)</f>
        <v>0</v>
      </c>
      <c r="O260">
        <f>SUMIF('Как будет'!$A$45:$A$52,Доп.расчеты!$A260,'Как будет'!P$45:P$52)</f>
        <v>0</v>
      </c>
      <c r="P260">
        <f>SUMIF('Как будет'!$A$45:$A$52,Доп.расчеты!$A260,'Как будет'!Q$45:Q$52)</f>
        <v>0</v>
      </c>
      <c r="Q260">
        <f>SUMIF('Как будет'!$A$45:$A$52,Доп.расчеты!$A260,'Как будет'!R$45:R$52)</f>
        <v>0</v>
      </c>
      <c r="R260">
        <f>SUMIF('Как будет'!$A$45:$A$52,Доп.расчеты!$A260,'Как будет'!S$45:S$52)</f>
        <v>0</v>
      </c>
      <c r="S260">
        <f>SUMIF('Как будет'!$A$45:$A$52,Доп.расчеты!$A260,'Как будет'!T$45:T$52)</f>
        <v>0</v>
      </c>
      <c r="T260">
        <f>SUMIF('Как будет'!$A$45:$A$52,Доп.расчеты!$A260,'Как будет'!U$45:U$52)</f>
        <v>0</v>
      </c>
      <c r="U260">
        <f>SUMIF('Как будет'!$A$45:$A$52,Доп.расчеты!$A260,'Как будет'!V$45:V$52)</f>
        <v>0</v>
      </c>
      <c r="V260">
        <f>SUMIF('Как будет'!$A$45:$A$52,Доп.расчеты!$A260,'Как будет'!W$45:W$52)</f>
        <v>0</v>
      </c>
      <c r="W260">
        <f>SUMIF('Как будет'!$A$45:$A$52,Доп.расчеты!$A260,'Как будет'!X$45:X$52)</f>
        <v>0</v>
      </c>
      <c r="X260">
        <f>SUMIF('Как будет'!$A$45:$A$52,Доп.расчеты!$A260,'Как будет'!Y$45:Y$52)</f>
        <v>0</v>
      </c>
      <c r="Y260">
        <f>SUMIF('Как будет'!$A$45:$A$52,Доп.расчеты!$A260,'Как будет'!Z$45:Z$52)</f>
        <v>0</v>
      </c>
      <c r="Z260">
        <f>SUMIF('Как будет'!$A$45:$A$52,Доп.расчеты!$A260,'Как будет'!AA$45:AA$52)</f>
        <v>0</v>
      </c>
      <c r="AA260">
        <f>SUMIF('Как будет'!$A$45:$A$52,Доп.расчеты!$A260,'Как будет'!AB$45:AB$52)</f>
        <v>0</v>
      </c>
      <c r="AB260">
        <f>SUMIF('Как будет'!$A$45:$A$52,Доп.расчеты!$A260,'Как будет'!AC$45:AC$52)</f>
        <v>0</v>
      </c>
      <c r="AC260">
        <f>SUMIF('Как будет'!$A$45:$A$52,Доп.расчеты!$A260,'Как будет'!AD$45:AD$52)</f>
        <v>0</v>
      </c>
      <c r="AD260">
        <f>SUMIF('Как будет'!$A$45:$A$52,Доп.расчеты!$A260,'Как будет'!AE$45:AE$52)</f>
        <v>0</v>
      </c>
      <c r="AE260">
        <f>SUMIF('Как будет'!$A$45:$A$52,Доп.расчеты!$A260,'Как будет'!AF$45:AF$52)</f>
        <v>0</v>
      </c>
      <c r="AF260">
        <f>SUMIF('Как будет'!$A$45:$A$52,Доп.расчеты!$A260,'Как будет'!AG$45:AG$52)</f>
        <v>0</v>
      </c>
      <c r="AG260">
        <f>SUMIF('Как будет'!$A$45:$A$52,Доп.расчеты!$A260,'Как будет'!AH$45:AH$52)</f>
        <v>0</v>
      </c>
      <c r="AH260">
        <f>SUMIF('Как будет'!$A$45:$A$52,Доп.расчеты!$A260,'Как будет'!AI$45:AI$52)</f>
        <v>0</v>
      </c>
      <c r="AI260">
        <f>SUMIF('Как будет'!$A$45:$A$52,Доп.расчеты!$A260,'Как будет'!AJ$45:AJ$52)</f>
        <v>0</v>
      </c>
      <c r="AJ260">
        <f>SUMIF('Как будет'!$A$45:$A$52,Доп.расчеты!$A260,'Как будет'!AK$45:AK$52)</f>
        <v>0</v>
      </c>
      <c r="AK260">
        <f>SUMIF('Как будет'!$A$45:$A$52,Доп.расчеты!$A260,'Как будет'!AL$45:AL$52)</f>
        <v>0</v>
      </c>
      <c r="AL260">
        <f>SUMIF('Как будет'!$A$45:$A$52,Доп.расчеты!$A260,'Как будет'!AM$45:AM$52)</f>
        <v>0</v>
      </c>
      <c r="AM260">
        <f>SUMIF('Как будет'!$A$45:$A$52,Доп.расчеты!$A260,'Как будет'!AN$45:AN$52)</f>
        <v>0</v>
      </c>
      <c r="AN260">
        <f>SUMIF('Как будет'!$A$45:$A$52,Доп.расчеты!$A260,'Как будет'!AO$45:AO$52)</f>
        <v>0</v>
      </c>
      <c r="AO260">
        <f>SUMIF('Как будет'!$A$45:$A$52,Доп.расчеты!$A260,'Как будет'!AP$45:AP$52)</f>
        <v>0</v>
      </c>
      <c r="AP260">
        <f>SUMIF('Как будет'!$A$45:$A$52,Доп.расчеты!$A260,'Как будет'!AQ$45:AQ$52)</f>
        <v>0</v>
      </c>
      <c r="AQ260">
        <f>SUMIF('Как будет'!$A$45:$A$52,Доп.расчеты!$A260,'Как будет'!AR$45:AR$52)</f>
        <v>0</v>
      </c>
      <c r="AR260">
        <f>SUMIF('Как будет'!$A$45:$A$52,Доп.расчеты!$A260,'Как будет'!AS$45:AS$52)</f>
        <v>0</v>
      </c>
      <c r="AS260">
        <f>SUMIF('Как будет'!$A$45:$A$52,Доп.расчеты!$A260,'Как будет'!AT$45:AT$52)</f>
        <v>0</v>
      </c>
      <c r="AT260">
        <f>SUMIF('Как будет'!$A$45:$A$52,Доп.расчеты!$A260,'Как будет'!AU$45:AU$52)</f>
        <v>0</v>
      </c>
      <c r="AU260">
        <f>SUMIF('Как будет'!$A$45:$A$52,Доп.расчеты!$A260,'Как будет'!AV$45:AV$52)</f>
        <v>0</v>
      </c>
      <c r="AV260">
        <f>SUMIF('Как будет'!$A$45:$A$52,Доп.расчеты!$A260,'Как будет'!AW$45:AW$52)</f>
        <v>0</v>
      </c>
      <c r="AW260">
        <f>SUMIF('Как будет'!$A$45:$A$52,Доп.расчеты!$A260,'Как будет'!AX$45:AX$52)</f>
        <v>0</v>
      </c>
      <c r="AX260">
        <f>SUMIF('Как будет'!$A$45:$A$52,Доп.расчеты!$A260,'Как будет'!AY$45:AY$52)</f>
        <v>0</v>
      </c>
      <c r="AY260">
        <f>SUMIF('Как будет'!$A$45:$A$52,Доп.расчеты!$A260,'Как будет'!AZ$45:AZ$52)</f>
        <v>0</v>
      </c>
      <c r="AZ260">
        <f>SUMIF('Как будет'!$A$45:$A$52,Доп.расчеты!$A260,'Как будет'!BA$45:BA$52)</f>
        <v>0</v>
      </c>
      <c r="BA260">
        <f>SUMIF('Как будет'!$A$45:$A$52,Доп.расчеты!$A260,'Как будет'!BB$45:BB$52)</f>
        <v>0</v>
      </c>
      <c r="BB260">
        <f>SUMIF('Как будет'!$A$45:$A$52,Доп.расчеты!$A260,'Как будет'!BC$45:BC$52)</f>
        <v>0</v>
      </c>
      <c r="BC260">
        <f>SUMIF('Как будет'!$A$45:$A$52,Доп.расчеты!$A260,'Как будет'!BD$45:BD$52)</f>
        <v>0</v>
      </c>
      <c r="BD260">
        <f>SUMIF('Как будет'!$A$45:$A$52,Доп.расчеты!$A260,'Как будет'!BE$45:BE$52)</f>
        <v>0</v>
      </c>
      <c r="BE260">
        <f>SUMIF('Как будет'!$A$45:$A$52,Доп.расчеты!$A260,'Как будет'!BF$45:BF$52)</f>
        <v>0</v>
      </c>
      <c r="BF260">
        <f>SUMIF('Как будет'!$A$45:$A$52,Доп.расчеты!$A260,'Как будет'!BG$45:BG$52)</f>
        <v>0</v>
      </c>
      <c r="BG260">
        <f>SUMIF('Как будет'!$A$45:$A$52,Доп.расчеты!$A260,'Как будет'!BH$45:BH$52)</f>
        <v>0</v>
      </c>
      <c r="BH260">
        <f>SUMIF('Как будет'!$A$45:$A$52,Доп.расчеты!$A260,'Как будет'!BI$45:BI$52)</f>
        <v>0</v>
      </c>
      <c r="BI260">
        <f>SUMIF('Как будет'!$A$45:$A$52,Доп.расчеты!$A260,'Как будет'!BJ$45:BJ$52)</f>
        <v>0</v>
      </c>
      <c r="BJ260">
        <f>SUMIF('Как будет'!$A$45:$A$52,Доп.расчеты!$A260,'Как будет'!BK$45:BK$52)</f>
        <v>0</v>
      </c>
      <c r="BK260">
        <f>SUMIF('Как будет'!$A$45:$A$52,Доп.расчеты!$A260,'Как будет'!BL$45:BL$52)</f>
        <v>0</v>
      </c>
      <c r="BL260">
        <f>SUMIF('Как будет'!$A$45:$A$52,Доп.расчеты!$A260,'Как будет'!BM$45:BM$52)</f>
        <v>0</v>
      </c>
      <c r="BM260">
        <f>SUMIF('Как будет'!$A$45:$A$52,Доп.расчеты!$A260,'Как будет'!BN$45:BN$52)</f>
        <v>0</v>
      </c>
      <c r="BN260">
        <f>SUMIF('Как будет'!$A$45:$A$52,Доп.расчеты!$A260,'Как будет'!BO$45:BO$52)</f>
        <v>0</v>
      </c>
      <c r="BO260">
        <f>SUMIF('Как будет'!$A$45:$A$52,Доп.расчеты!$A260,'Как будет'!BP$45:BP$52)</f>
        <v>0</v>
      </c>
      <c r="BP260">
        <f>SUMIF('Как будет'!$A$45:$A$52,Доп.расчеты!$A260,'Как будет'!BQ$45:BQ$52)</f>
        <v>0</v>
      </c>
      <c r="BQ260">
        <f>SUMIF('Как будет'!$A$45:$A$52,Доп.расчеты!$A260,'Как будет'!BR$45:BR$52)</f>
        <v>0</v>
      </c>
      <c r="BR260">
        <f>SUMIF('Как будет'!$A$45:$A$52,Доп.расчеты!$A260,'Как будет'!BS$45:BS$52)</f>
        <v>0</v>
      </c>
      <c r="BS260">
        <f>SUMIF('Как будет'!$A$45:$A$52,Доп.расчеты!$A260,'Как будет'!BT$45:BT$52)</f>
        <v>0</v>
      </c>
      <c r="BT260">
        <f>SUMIF('Как будет'!$A$45:$A$52,Доп.расчеты!$A260,'Как будет'!BU$45:BU$52)</f>
        <v>0</v>
      </c>
      <c r="BU260">
        <f>SUMIF('Как будет'!$A$45:$A$52,Доп.расчеты!$A260,'Как будет'!BV$45:BV$52)</f>
        <v>0</v>
      </c>
      <c r="BV260">
        <f>SUMIF('Как будет'!$A$45:$A$52,Доп.расчеты!$A260,'Как будет'!BW$45:BW$52)</f>
        <v>0</v>
      </c>
      <c r="BW260">
        <f>SUMIF('Как будет'!$A$45:$A$52,Доп.расчеты!$A260,'Как будет'!BX$45:BX$52)</f>
        <v>0</v>
      </c>
      <c r="BX260">
        <f>SUMIF('Как будет'!$A$45:$A$52,Доп.расчеты!$A260,'Как будет'!BY$45:BY$52)</f>
        <v>0</v>
      </c>
      <c r="BY260">
        <f>SUMIF('Как будет'!$A$45:$A$52,Доп.расчеты!$A260,'Как будет'!BZ$45:BZ$52)</f>
        <v>0</v>
      </c>
      <c r="BZ260">
        <f>SUMIF('Как будет'!$A$45:$A$52,Доп.расчеты!$A260,'Как будет'!CA$45:CA$52)</f>
        <v>0</v>
      </c>
      <c r="CA260">
        <f>SUMIF('Как будет'!$A$45:$A$52,Доп.расчеты!$A260,'Как будет'!CB$45:CB$52)</f>
        <v>0</v>
      </c>
      <c r="CB260">
        <f>SUMIF('Как будет'!$A$45:$A$52,Доп.расчеты!$A260,'Как будет'!CC$45:CC$52)</f>
        <v>0</v>
      </c>
      <c r="CC260">
        <f>SUMIF('Как будет'!$A$45:$A$52,Доп.расчеты!$A260,'Как будет'!CD$45:CD$52)</f>
        <v>0</v>
      </c>
      <c r="CD260">
        <f>SUMIF('Как будет'!$A$45:$A$52,Доп.расчеты!$A260,'Как будет'!CE$45:CE$52)</f>
        <v>0</v>
      </c>
      <c r="CE260">
        <f>SUMIF('Как будет'!$A$45:$A$52,Доп.расчеты!$A260,'Как будет'!CF$45:CF$52)</f>
        <v>0</v>
      </c>
      <c r="CF260">
        <f>SUMIF('Как будет'!$A$45:$A$52,Доп.расчеты!$A260,'Как будет'!CG$45:CG$52)</f>
        <v>0</v>
      </c>
      <c r="CG260">
        <f>SUMIF('Как будет'!$A$45:$A$52,Доп.расчеты!$A260,'Как будет'!CH$45:CH$52)</f>
        <v>0</v>
      </c>
      <c r="CH260">
        <f>SUMIF('Как будет'!$A$45:$A$52,Доп.расчеты!$A260,'Как будет'!CI$45:CI$52)</f>
        <v>0</v>
      </c>
      <c r="CI260">
        <f>SUMIF('Как будет'!$A$45:$A$52,Доп.расчеты!$A260,'Как будет'!CJ$45:CJ$52)</f>
        <v>0</v>
      </c>
      <c r="CJ260">
        <f>SUMIF('Как будет'!$A$45:$A$52,Доп.расчеты!$A260,'Как будет'!CK$45:CK$52)</f>
        <v>0</v>
      </c>
      <c r="CK260">
        <f>SUMIF('Как будет'!$A$45:$A$52,Доп.расчеты!$A260,'Как будет'!CL$45:CL$52)</f>
        <v>0</v>
      </c>
      <c r="CL260">
        <f>SUMIF('Как будет'!$A$45:$A$52,Доп.расчеты!$A260,'Как будет'!CM$45:CM$52)</f>
        <v>0</v>
      </c>
      <c r="CM260">
        <f>SUMIF('Как будет'!$A$45:$A$52,Доп.расчеты!$A260,'Как будет'!CN$45:CN$52)</f>
        <v>0</v>
      </c>
      <c r="CN260">
        <f>SUMIF('Как будет'!$A$45:$A$52,Доп.расчеты!$A260,'Как будет'!CO$45:CO$52)</f>
        <v>0</v>
      </c>
      <c r="CO260">
        <f>SUMIF('Как будет'!$A$45:$A$52,Доп.расчеты!$A260,'Как будет'!CP$45:CP$52)</f>
        <v>0</v>
      </c>
      <c r="CP260">
        <f>SUMIF('Как будет'!$A$45:$A$52,Доп.расчеты!$A260,'Как будет'!CQ$45:CQ$52)</f>
        <v>0</v>
      </c>
      <c r="CQ260">
        <f>SUMIF('Как будет'!$A$45:$A$52,Доп.расчеты!$A260,'Как будет'!CR$45:CR$52)</f>
        <v>0</v>
      </c>
      <c r="CR260">
        <f>SUMIF('Как будет'!$A$45:$A$52,Доп.расчеты!$A260,'Как будет'!CS$45:CS$52)</f>
        <v>0</v>
      </c>
      <c r="CS260">
        <f>SUMIF('Как будет'!$A$45:$A$52,Доп.расчеты!$A260,'Как будет'!CT$45:CT$52)</f>
        <v>0</v>
      </c>
      <c r="CT260">
        <f>SUMIF('Как будет'!$A$45:$A$52,Доп.расчеты!$A260,'Как будет'!CU$45:CU$52)</f>
        <v>0</v>
      </c>
      <c r="CU260">
        <f>SUMIF('Как будет'!$A$45:$A$52,Доп.расчеты!$A260,'Как будет'!CV$45:CV$52)</f>
        <v>0</v>
      </c>
      <c r="CV260">
        <f>SUMIF('Как будет'!$A$45:$A$52,Доп.расчеты!$A260,'Как будет'!CW$45:CW$52)</f>
        <v>0</v>
      </c>
      <c r="CW260">
        <f>SUMIF('Как будет'!$A$45:$A$52,Доп.расчеты!$A260,'Как будет'!CX$45:CX$52)</f>
        <v>0</v>
      </c>
      <c r="CX260">
        <f>SUMIF('Как будет'!$A$45:$A$52,Доп.расчеты!$A260,'Как будет'!CY$45:CY$52)</f>
        <v>0</v>
      </c>
      <c r="CY260">
        <f>SUMIF('Как будет'!$A$45:$A$52,Доп.расчеты!$A260,'Как будет'!CZ$45:CZ$52)</f>
        <v>0</v>
      </c>
      <c r="CZ260">
        <f>SUMIF('Как будет'!$A$45:$A$52,Доп.расчеты!$A260,'Как будет'!DA$45:DA$52)</f>
        <v>0</v>
      </c>
      <c r="DA260">
        <f>SUMIF('Как будет'!$A$45:$A$52,Доп.расчеты!$A260,'Как будет'!DB$45:DB$52)</f>
        <v>0</v>
      </c>
      <c r="DB260">
        <f>SUMIF('Как будет'!$A$45:$A$52,Доп.расчеты!$A260,'Как будет'!DC$45:DC$52)</f>
        <v>0</v>
      </c>
      <c r="DC260">
        <f>SUMIF('Как будет'!$A$45:$A$52,Доп.расчеты!$A260,'Как будет'!DD$45:DD$52)</f>
        <v>0</v>
      </c>
      <c r="DD260">
        <f>SUMIF('Как будет'!$A$45:$A$52,Доп.расчеты!$A260,'Как будет'!DE$45:DE$52)</f>
        <v>0</v>
      </c>
      <c r="DE260">
        <f>SUMIF('Как будет'!$A$45:$A$52,Доп.расчеты!$A260,'Как будет'!DF$45:DF$52)</f>
        <v>0</v>
      </c>
      <c r="DF260">
        <f>SUMIF('Как будет'!$A$45:$A$52,Доп.расчеты!$A260,'Как будет'!DG$45:DG$52)</f>
        <v>0</v>
      </c>
      <c r="DG260">
        <f>SUMIF('Как будет'!$A$45:$A$52,Доп.расчеты!$A260,'Как будет'!DH$45:DH$52)</f>
        <v>0</v>
      </c>
      <c r="DH260">
        <f>SUMIF('Как будет'!$A$45:$A$52,Доп.расчеты!$A260,'Как будет'!DI$45:DI$52)</f>
        <v>0</v>
      </c>
      <c r="DI260">
        <f>SUMIF('Как будет'!$A$45:$A$52,Доп.расчеты!$A260,'Как будет'!DJ$45:DJ$52)</f>
        <v>0</v>
      </c>
      <c r="DJ260">
        <f>SUMIF('Как будет'!$A$45:$A$52,Доп.расчеты!$A260,'Как будет'!DK$45:DK$52)</f>
        <v>0</v>
      </c>
      <c r="DK260">
        <f>SUMIF('Как будет'!$A$45:$A$52,Доп.расчеты!$A260,'Как будет'!DL$45:DL$52)</f>
        <v>0</v>
      </c>
      <c r="DL260">
        <f>SUMIF('Как будет'!$A$45:$A$52,Доп.расчеты!$A260,'Как будет'!DM$45:DM$52)</f>
        <v>0</v>
      </c>
      <c r="DM260">
        <f>SUMIF('Как будет'!$A$45:$A$52,Доп.расчеты!$A260,'Как будет'!DN$45:DN$52)</f>
        <v>0</v>
      </c>
      <c r="DN260">
        <f>SUMIF('Как будет'!$A$45:$A$52,Доп.расчеты!$A260,'Как будет'!DO$45:DO$52)</f>
        <v>0</v>
      </c>
      <c r="DO260">
        <f>SUMIF('Как будет'!$A$45:$A$52,Доп.расчеты!$A260,'Как будет'!DP$45:DP$52)</f>
        <v>0</v>
      </c>
      <c r="DP260">
        <f>SUMIF('Как будет'!$A$45:$A$52,Доп.расчеты!$A260,'Как будет'!DQ$45:DQ$52)</f>
        <v>0</v>
      </c>
      <c r="DQ260">
        <f>SUMIF('Как будет'!$A$45:$A$52,Доп.расчеты!$A260,'Как будет'!DR$45:DR$52)</f>
        <v>0</v>
      </c>
      <c r="DR260">
        <f>SUMIF('Как будет'!$A$45:$A$52,Доп.расчеты!$A260,'Как будет'!DS$45:DS$52)</f>
        <v>0</v>
      </c>
      <c r="DS260">
        <f>SUMIF('Как будет'!$A$45:$A$52,Доп.расчеты!$A260,'Как будет'!DT$45:DT$52)</f>
        <v>0</v>
      </c>
      <c r="DT260">
        <f>SUMIF('Как будет'!$A$45:$A$52,Доп.расчеты!$A260,'Как будет'!DU$45:DU$52)</f>
        <v>0</v>
      </c>
      <c r="DU260">
        <f>SUMIF('Как будет'!$A$45:$A$52,Доп.расчеты!$A260,'Как будет'!DV$45:DV$52)</f>
        <v>0</v>
      </c>
      <c r="DV260">
        <f>SUMIF('Как будет'!$A$45:$A$52,Доп.расчеты!$A260,'Как будет'!DW$45:DW$52)</f>
        <v>0</v>
      </c>
      <c r="DW260">
        <f>SUMIF('Как будет'!$A$45:$A$52,Доп.расчеты!$A260,'Как будет'!DX$45:DX$52)</f>
        <v>0</v>
      </c>
      <c r="DX260">
        <f>SUMIF('Как будет'!$A$45:$A$52,Доп.расчеты!$A260,'Как будет'!DY$45:DY$52)</f>
        <v>0</v>
      </c>
      <c r="DY260">
        <f>SUMIF('Как будет'!$A$45:$A$52,Доп.расчеты!$A260,'Как будет'!DZ$45:DZ$52)</f>
        <v>0</v>
      </c>
      <c r="DZ260">
        <f>SUMIF('Как будет'!$A$45:$A$52,Доп.расчеты!$A260,'Как будет'!EA$45:EA$52)</f>
        <v>0</v>
      </c>
      <c r="EA260">
        <f>SUMIF('Как будет'!$A$45:$A$52,Доп.расчеты!$A260,'Как будет'!EB$45:EB$52)</f>
        <v>0</v>
      </c>
      <c r="EB260">
        <f>SUMIF('Как будет'!$A$45:$A$52,Доп.расчеты!$A260,'Как будет'!EC$45:EC$52)</f>
        <v>0</v>
      </c>
      <c r="EC260">
        <f>SUMIF('Как будет'!$A$45:$A$52,Доп.расчеты!$A260,'Как будет'!ED$45:ED$52)</f>
        <v>0</v>
      </c>
      <c r="ED260">
        <f>SUMIF('Как будет'!$A$45:$A$52,Доп.расчеты!$A260,'Как будет'!EE$45:EE$52)</f>
        <v>0</v>
      </c>
      <c r="EE260">
        <f>SUMIF('Как будет'!$A$45:$A$52,Доп.расчеты!$A260,'Как будет'!EF$45:EF$52)</f>
        <v>0</v>
      </c>
      <c r="EF260">
        <f>SUMIF('Как будет'!$A$45:$A$52,Доп.расчеты!$A260,'Как будет'!EG$45:EG$52)</f>
        <v>0</v>
      </c>
      <c r="EG260">
        <f>SUMIF('Как будет'!$A$45:$A$52,Доп.расчеты!$A260,'Как будет'!EH$45:EH$52)</f>
        <v>0</v>
      </c>
      <c r="EH260">
        <f>SUMIF('Как будет'!$A$45:$A$52,Доп.расчеты!$A260,'Как будет'!EI$45:EI$52)</f>
        <v>0</v>
      </c>
      <c r="EI260">
        <f>SUMIF('Как будет'!$A$45:$A$52,Доп.расчеты!$A260,'Как будет'!EJ$45:EJ$52)</f>
        <v>0</v>
      </c>
      <c r="EJ260">
        <f>SUMIF('Как будет'!$A$45:$A$52,Доп.расчеты!$A260,'Как будет'!EK$45:EK$52)</f>
        <v>0</v>
      </c>
      <c r="EK260">
        <f>SUMIF('Как будет'!$A$45:$A$52,Доп.расчеты!$A260,'Как будет'!EL$45:EL$52)</f>
        <v>0</v>
      </c>
      <c r="EL260">
        <f>SUMIF('Как будет'!$A$45:$A$52,Доп.расчеты!$A260,'Как будет'!EM$45:EM$52)</f>
        <v>0</v>
      </c>
      <c r="EM260">
        <f>SUMIF('Как будет'!$A$45:$A$52,Доп.расчеты!$A260,'Как будет'!EN$45:EN$52)</f>
        <v>0</v>
      </c>
      <c r="EN260">
        <f>SUMIF('Как будет'!$A$45:$A$52,Доп.расчеты!$A260,'Как будет'!EO$45:EO$52)</f>
        <v>0</v>
      </c>
      <c r="EO260">
        <f>SUMIF('Как будет'!$A$45:$A$52,Доп.расчеты!$A260,'Как будет'!EP$45:EP$52)</f>
        <v>0</v>
      </c>
      <c r="EP260">
        <f>SUMIF('Как будет'!$A$45:$A$52,Доп.расчеты!$A260,'Как будет'!EQ$45:EQ$52)</f>
        <v>0</v>
      </c>
      <c r="EQ260">
        <f>SUMIF('Как будет'!$A$45:$A$52,Доп.расчеты!$A260,'Как будет'!ER$45:ER$52)</f>
        <v>0</v>
      </c>
      <c r="ER260">
        <f>SUMIF('Как будет'!$A$45:$A$52,Доп.расчеты!$A260,'Как будет'!ES$45:ES$52)</f>
        <v>0</v>
      </c>
      <c r="ES260">
        <f>SUMIF('Как будет'!$A$45:$A$52,Доп.расчеты!$A260,'Как будет'!ET$45:ET$52)</f>
        <v>0</v>
      </c>
      <c r="ET260">
        <f>SUMIF('Как будет'!$A$45:$A$52,Доп.расчеты!$A260,'Как будет'!EU$45:EU$52)</f>
        <v>0</v>
      </c>
      <c r="EU260">
        <f>SUMIF('Как будет'!$A$45:$A$52,Доп.расчеты!$A260,'Как будет'!EV$45:EV$52)</f>
        <v>0</v>
      </c>
      <c r="EV260">
        <f>SUMIF('Как будет'!$A$45:$A$52,Доп.расчеты!$A260,'Как будет'!EW$45:EW$52)</f>
        <v>0</v>
      </c>
      <c r="EW260">
        <f>SUMIF('Как будет'!$A$45:$A$52,Доп.расчеты!$A260,'Как будет'!EX$45:EX$52)</f>
        <v>0</v>
      </c>
      <c r="EX260">
        <f>SUMIF('Как будет'!$A$45:$A$52,Доп.расчеты!$A260,'Как будет'!EY$45:EY$52)</f>
        <v>0</v>
      </c>
      <c r="EY260">
        <f>SUMIF('Как будет'!$A$45:$A$52,Доп.расчеты!$A260,'Как будет'!EZ$45:EZ$52)</f>
        <v>0</v>
      </c>
      <c r="EZ260">
        <f>SUMIF('Как будет'!$A$45:$A$52,Доп.расчеты!$A260,'Как будет'!FA$45:FA$52)</f>
        <v>0</v>
      </c>
      <c r="FA260">
        <f>SUMIF('Как будет'!$A$45:$A$52,Доп.расчеты!$A260,'Как будет'!FB$45:FB$52)</f>
        <v>0</v>
      </c>
      <c r="FB260">
        <f>SUMIF('Как будет'!$A$45:$A$52,Доп.расчеты!$A260,'Как будет'!FC$45:FC$52)</f>
        <v>0</v>
      </c>
      <c r="FC260">
        <f>SUMIF('Как будет'!$A$45:$A$52,Доп.расчеты!$A260,'Как будет'!FD$45:FD$52)</f>
        <v>0</v>
      </c>
      <c r="FD260">
        <f>SUMIF('Как будет'!$A$45:$A$52,Доп.расчеты!$A260,'Как будет'!FE$45:FE$52)</f>
        <v>0</v>
      </c>
      <c r="FE260">
        <f>SUMIF('Как будет'!$A$45:$A$52,Доп.расчеты!$A260,'Как будет'!FF$45:FF$52)</f>
        <v>0</v>
      </c>
      <c r="FF260">
        <f>SUMIF('Как будет'!$A$45:$A$52,Доп.расчеты!$A260,'Как будет'!FG$45:FG$52)</f>
        <v>0</v>
      </c>
      <c r="FG260">
        <f>SUMIF('Как будет'!$A$45:$A$52,Доп.расчеты!$A260,'Как будет'!FH$45:FH$52)</f>
        <v>0</v>
      </c>
      <c r="FH260">
        <f>SUMIF('Как будет'!$A$45:$A$52,Доп.расчеты!$A260,'Как будет'!FI$45:FI$52)</f>
        <v>0</v>
      </c>
      <c r="FI260">
        <f>SUMIF('Как будет'!$A$45:$A$52,Доп.расчеты!$A260,'Как будет'!FJ$45:FJ$52)</f>
        <v>0</v>
      </c>
      <c r="FJ260">
        <f>SUMIF('Как будет'!$A$45:$A$52,Доп.расчеты!$A260,'Как будет'!FK$45:FK$52)</f>
        <v>0</v>
      </c>
      <c r="FK260">
        <f>SUMIF('Как будет'!$A$45:$A$52,Доп.расчеты!$A260,'Как будет'!FL$45:FL$52)</f>
        <v>0</v>
      </c>
      <c r="FL260">
        <f>SUMIF('Как будет'!$A$45:$A$52,Доп.расчеты!$A260,'Как будет'!FM$45:FM$52)</f>
        <v>0</v>
      </c>
      <c r="FM260">
        <f>SUMIF('Как будет'!$A$45:$A$52,Доп.расчеты!$A260,'Как будет'!FN$45:FN$52)</f>
        <v>0</v>
      </c>
      <c r="FN260">
        <f>SUMIF('Как будет'!$A$45:$A$52,Доп.расчеты!$A260,'Как будет'!FO$45:FO$52)</f>
        <v>0</v>
      </c>
      <c r="FO260">
        <f>SUMIF('Как будет'!$A$45:$A$52,Доп.расчеты!$A260,'Как будет'!FP$45:FP$52)</f>
        <v>0</v>
      </c>
      <c r="FP260">
        <f>SUMIF('Как будет'!$A$45:$A$52,Доп.расчеты!$A260,'Как будет'!FQ$45:FQ$52)</f>
        <v>0</v>
      </c>
      <c r="FQ260">
        <f>SUMIF('Как будет'!$A$45:$A$52,Доп.расчеты!$A260,'Как будет'!FR$45:FR$52)</f>
        <v>0</v>
      </c>
      <c r="FR260">
        <f>SUMIF('Как будет'!$A$45:$A$52,Доп.расчеты!$A260,'Как будет'!FS$45:FS$52)</f>
        <v>0</v>
      </c>
      <c r="FS260">
        <f>SUMIF('Как будет'!$A$45:$A$52,Доп.расчеты!$A260,'Как будет'!FT$45:FT$52)</f>
        <v>0</v>
      </c>
      <c r="FT260">
        <f>SUMIF('Как будет'!$A$45:$A$52,Доп.расчеты!$A260,'Как будет'!FU$45:FU$52)</f>
        <v>0</v>
      </c>
      <c r="FU260">
        <f>SUMIF('Как будет'!$A$45:$A$52,Доп.расчеты!$A260,'Как будет'!FV$45:FV$52)</f>
        <v>0</v>
      </c>
      <c r="FV260">
        <f>SUMIF('Как будет'!$A$45:$A$52,Доп.расчеты!$A260,'Как будет'!FW$45:FW$52)</f>
        <v>0</v>
      </c>
      <c r="FW260">
        <f>SUMIF('Как будет'!$A$45:$A$52,Доп.расчеты!$A260,'Как будет'!FX$45:FX$52)</f>
        <v>0</v>
      </c>
      <c r="FX260">
        <f>SUMIF('Как будет'!$A$45:$A$52,Доп.расчеты!$A260,'Как будет'!FY$45:FY$52)</f>
        <v>0</v>
      </c>
      <c r="FY260">
        <f>SUMIF('Как будет'!$A$45:$A$52,Доп.расчеты!$A260,'Как будет'!FZ$45:FZ$52)</f>
        <v>0</v>
      </c>
      <c r="FZ260">
        <f>SUMIF('Как будет'!$A$45:$A$52,Доп.расчеты!$A260,'Как будет'!GA$45:GA$52)</f>
        <v>0</v>
      </c>
      <c r="GA260">
        <f>SUMIF('Как будет'!$A$45:$A$52,Доп.расчеты!$A260,'Как будет'!GB$45:GB$52)</f>
        <v>0</v>
      </c>
      <c r="GB260">
        <f>SUMIF('Как будет'!$A$45:$A$52,Доп.расчеты!$A260,'Как будет'!GC$45:GC$52)</f>
        <v>0</v>
      </c>
      <c r="GC260">
        <f>SUMIF('Как будет'!$A$45:$A$52,Доп.расчеты!$A260,'Как будет'!GD$45:GD$52)</f>
        <v>0</v>
      </c>
      <c r="GD260">
        <f>SUMIF('Как будет'!$A$45:$A$52,Доп.расчеты!$A260,'Как будет'!GE$45:GE$52)</f>
        <v>0</v>
      </c>
      <c r="GE260">
        <f>SUMIF('Как будет'!$A$45:$A$52,Доп.расчеты!$A260,'Как будет'!GF$45:GF$52)</f>
        <v>0</v>
      </c>
      <c r="GF260">
        <f>SUMIF('Как будет'!$A$45:$A$52,Доп.расчеты!$A260,'Как будет'!GG$45:GG$52)</f>
        <v>0</v>
      </c>
      <c r="GG260">
        <f>SUMIF('Как будет'!$A$45:$A$52,Доп.расчеты!$A260,'Как будет'!GH$45:GH$52)</f>
        <v>0</v>
      </c>
      <c r="GH260">
        <f>SUMIF('Как будет'!$A$45:$A$52,Доп.расчеты!$A260,'Как будет'!GI$45:GI$52)</f>
        <v>0</v>
      </c>
      <c r="GI260">
        <f>SUMIF('Как будет'!$A$45:$A$52,Доп.расчеты!$A260,'Как будет'!GJ$45:GJ$52)</f>
        <v>0</v>
      </c>
      <c r="GJ260">
        <f>SUMIF('Как будет'!$A$45:$A$52,Доп.расчеты!$A260,'Как будет'!GK$45:GK$52)</f>
        <v>0</v>
      </c>
      <c r="GK260">
        <f>SUMIF('Как будет'!$A$45:$A$52,Доп.расчеты!$A260,'Как будет'!GL$45:GL$52)</f>
        <v>0</v>
      </c>
      <c r="GL260">
        <f>SUMIF('Как будет'!$A$45:$A$52,Доп.расчеты!$A260,'Как будет'!GM$45:GM$52)</f>
        <v>0</v>
      </c>
      <c r="GM260">
        <f>SUMIF('Как будет'!$A$45:$A$52,Доп.расчеты!$A260,'Как будет'!GN$45:GN$52)</f>
        <v>0</v>
      </c>
      <c r="GN260">
        <f>SUMIF('Как будет'!$A$45:$A$52,Доп.расчеты!$A260,'Как будет'!GO$45:GO$52)</f>
        <v>0</v>
      </c>
      <c r="GO260">
        <f>SUMIF('Как будет'!$A$45:$A$52,Доп.расчеты!$A260,'Как будет'!GP$45:GP$52)</f>
        <v>0</v>
      </c>
      <c r="GP260">
        <f>SUMIF('Как будет'!$A$45:$A$52,Доп.расчеты!$A260,'Как будет'!GQ$45:GQ$52)</f>
        <v>0</v>
      </c>
      <c r="GQ260">
        <f>SUMIF('Как будет'!$A$45:$A$52,Доп.расчеты!$A260,'Как будет'!GR$45:GR$52)</f>
        <v>0</v>
      </c>
      <c r="GR260">
        <f>SUMIF('Как будет'!$A$45:$A$52,Доп.расчеты!$A260,'Как будет'!GS$45:GS$52)</f>
        <v>0</v>
      </c>
      <c r="GS260">
        <f>SUMIF('Как будет'!$A$45:$A$52,Доп.расчеты!$A260,'Как будет'!GT$45:GT$52)</f>
        <v>0</v>
      </c>
      <c r="GT260">
        <f>SUMIF('Как будет'!$A$45:$A$52,Доп.расчеты!$A260,'Как будет'!GU$45:GU$52)</f>
        <v>0</v>
      </c>
    </row>
    <row r="261" spans="1:202">
      <c r="A261" s="238" t="s">
        <v>110</v>
      </c>
      <c r="B261">
        <f>SUMIF('Как будет'!$A$45:$A$52,Доп.расчеты!$A261,'Как будет'!C$45:C$52)</f>
        <v>0</v>
      </c>
      <c r="C261">
        <f>SUMIF('Как будет'!$A$45:$A$52,Доп.расчеты!$A261,'Как будет'!D$45:D$52)</f>
        <v>0</v>
      </c>
      <c r="D261">
        <f>SUMIF('Как будет'!$A$45:$A$52,Доп.расчеты!$A261,'Как будет'!E$45:E$52)</f>
        <v>0</v>
      </c>
      <c r="E261">
        <f>SUMIF('Как будет'!$A$45:$A$52,Доп.расчеты!$A261,'Как будет'!F$45:F$52)</f>
        <v>0</v>
      </c>
      <c r="F261">
        <f>SUMIF('Как будет'!$A$45:$A$52,Доп.расчеты!$A261,'Как будет'!G$45:G$52)</f>
        <v>0</v>
      </c>
      <c r="G261">
        <f>SUMIF('Как будет'!$A$45:$A$52,Доп.расчеты!$A261,'Как будет'!H$45:H$52)</f>
        <v>0</v>
      </c>
      <c r="H261">
        <f>SUMIF('Как будет'!$A$45:$A$52,Доп.расчеты!$A261,'Как будет'!I$45:I$52)</f>
        <v>0</v>
      </c>
      <c r="I261">
        <f>SUMIF('Как будет'!$A$45:$A$52,Доп.расчеты!$A261,'Как будет'!J$45:J$52)</f>
        <v>0</v>
      </c>
      <c r="J261">
        <f>SUMIF('Как будет'!$A$45:$A$52,Доп.расчеты!$A261,'Как будет'!K$45:K$52)</f>
        <v>0</v>
      </c>
      <c r="K261">
        <f>SUMIF('Как будет'!$A$45:$A$52,Доп.расчеты!$A261,'Как будет'!L$45:L$52)</f>
        <v>0</v>
      </c>
      <c r="L261">
        <f>SUMIF('Как будет'!$A$45:$A$52,Доп.расчеты!$A261,'Как будет'!M$45:M$52)</f>
        <v>0</v>
      </c>
      <c r="M261">
        <f>SUMIF('Как будет'!$A$45:$A$52,Доп.расчеты!$A261,'Как будет'!N$45:N$52)</f>
        <v>0</v>
      </c>
      <c r="N261">
        <f>SUMIF('Как будет'!$A$45:$A$52,Доп.расчеты!$A261,'Как будет'!O$45:O$52)</f>
        <v>0</v>
      </c>
      <c r="O261">
        <f>SUMIF('Как будет'!$A$45:$A$52,Доп.расчеты!$A261,'Как будет'!P$45:P$52)</f>
        <v>0</v>
      </c>
      <c r="P261">
        <f>SUMIF('Как будет'!$A$45:$A$52,Доп.расчеты!$A261,'Как будет'!Q$45:Q$52)</f>
        <v>0</v>
      </c>
      <c r="Q261">
        <f>SUMIF('Как будет'!$A$45:$A$52,Доп.расчеты!$A261,'Как будет'!R$45:R$52)</f>
        <v>0</v>
      </c>
      <c r="R261">
        <f>SUMIF('Как будет'!$A$45:$A$52,Доп.расчеты!$A261,'Как будет'!S$45:S$52)</f>
        <v>0</v>
      </c>
      <c r="S261">
        <f>SUMIF('Как будет'!$A$45:$A$52,Доп.расчеты!$A261,'Как будет'!T$45:T$52)</f>
        <v>0</v>
      </c>
      <c r="T261">
        <f>SUMIF('Как будет'!$A$45:$A$52,Доп.расчеты!$A261,'Как будет'!U$45:U$52)</f>
        <v>0</v>
      </c>
      <c r="U261">
        <f>SUMIF('Как будет'!$A$45:$A$52,Доп.расчеты!$A261,'Как будет'!V$45:V$52)</f>
        <v>0</v>
      </c>
      <c r="V261">
        <f>SUMIF('Как будет'!$A$45:$A$52,Доп.расчеты!$A261,'Как будет'!W$45:W$52)</f>
        <v>0</v>
      </c>
      <c r="W261">
        <f>SUMIF('Как будет'!$A$45:$A$52,Доп.расчеты!$A261,'Как будет'!X$45:X$52)</f>
        <v>0</v>
      </c>
      <c r="X261">
        <f>SUMIF('Как будет'!$A$45:$A$52,Доп.расчеты!$A261,'Как будет'!Y$45:Y$52)</f>
        <v>0</v>
      </c>
      <c r="Y261">
        <f>SUMIF('Как будет'!$A$45:$A$52,Доп.расчеты!$A261,'Как будет'!Z$45:Z$52)</f>
        <v>0</v>
      </c>
      <c r="Z261">
        <f>SUMIF('Как будет'!$A$45:$A$52,Доп.расчеты!$A261,'Как будет'!AA$45:AA$52)</f>
        <v>0</v>
      </c>
      <c r="AA261">
        <f>SUMIF('Как будет'!$A$45:$A$52,Доп.расчеты!$A261,'Как будет'!AB$45:AB$52)</f>
        <v>0</v>
      </c>
      <c r="AB261">
        <f>SUMIF('Как будет'!$A$45:$A$52,Доп.расчеты!$A261,'Как будет'!AC$45:AC$52)</f>
        <v>0</v>
      </c>
      <c r="AC261">
        <f>SUMIF('Как будет'!$A$45:$A$52,Доп.расчеты!$A261,'Как будет'!AD$45:AD$52)</f>
        <v>0</v>
      </c>
      <c r="AD261">
        <f>SUMIF('Как будет'!$A$45:$A$52,Доп.расчеты!$A261,'Как будет'!AE$45:AE$52)</f>
        <v>0</v>
      </c>
      <c r="AE261">
        <f>SUMIF('Как будет'!$A$45:$A$52,Доп.расчеты!$A261,'Как будет'!AF$45:AF$52)</f>
        <v>0</v>
      </c>
      <c r="AF261">
        <f>SUMIF('Как будет'!$A$45:$A$52,Доп.расчеты!$A261,'Как будет'!AG$45:AG$52)</f>
        <v>0</v>
      </c>
      <c r="AG261">
        <f>SUMIF('Как будет'!$A$45:$A$52,Доп.расчеты!$A261,'Как будет'!AH$45:AH$52)</f>
        <v>0</v>
      </c>
      <c r="AH261">
        <f>SUMIF('Как будет'!$A$45:$A$52,Доп.расчеты!$A261,'Как будет'!AI$45:AI$52)</f>
        <v>0</v>
      </c>
      <c r="AI261">
        <f>SUMIF('Как будет'!$A$45:$A$52,Доп.расчеты!$A261,'Как будет'!AJ$45:AJ$52)</f>
        <v>0</v>
      </c>
      <c r="AJ261">
        <f>SUMIF('Как будет'!$A$45:$A$52,Доп.расчеты!$A261,'Как будет'!AK$45:AK$52)</f>
        <v>0</v>
      </c>
      <c r="AK261">
        <f>SUMIF('Как будет'!$A$45:$A$52,Доп.расчеты!$A261,'Как будет'!AL$45:AL$52)</f>
        <v>0</v>
      </c>
      <c r="AL261">
        <f>SUMIF('Как будет'!$A$45:$A$52,Доп.расчеты!$A261,'Как будет'!AM$45:AM$52)</f>
        <v>0</v>
      </c>
      <c r="AM261">
        <f>SUMIF('Как будет'!$A$45:$A$52,Доп.расчеты!$A261,'Как будет'!AN$45:AN$52)</f>
        <v>0</v>
      </c>
      <c r="AN261">
        <f>SUMIF('Как будет'!$A$45:$A$52,Доп.расчеты!$A261,'Как будет'!AO$45:AO$52)</f>
        <v>0</v>
      </c>
      <c r="AO261">
        <f>SUMIF('Как будет'!$A$45:$A$52,Доп.расчеты!$A261,'Как будет'!AP$45:AP$52)</f>
        <v>0</v>
      </c>
      <c r="AP261">
        <f>SUMIF('Как будет'!$A$45:$A$52,Доп.расчеты!$A261,'Как будет'!AQ$45:AQ$52)</f>
        <v>0</v>
      </c>
      <c r="AQ261">
        <f>SUMIF('Как будет'!$A$45:$A$52,Доп.расчеты!$A261,'Как будет'!AR$45:AR$52)</f>
        <v>0</v>
      </c>
      <c r="AR261">
        <f>SUMIF('Как будет'!$A$45:$A$52,Доп.расчеты!$A261,'Как будет'!AS$45:AS$52)</f>
        <v>0</v>
      </c>
      <c r="AS261">
        <f>SUMIF('Как будет'!$A$45:$A$52,Доп.расчеты!$A261,'Как будет'!AT$45:AT$52)</f>
        <v>0</v>
      </c>
      <c r="AT261">
        <f>SUMIF('Как будет'!$A$45:$A$52,Доп.расчеты!$A261,'Как будет'!AU$45:AU$52)</f>
        <v>0</v>
      </c>
      <c r="AU261">
        <f>SUMIF('Как будет'!$A$45:$A$52,Доп.расчеты!$A261,'Как будет'!AV$45:AV$52)</f>
        <v>0</v>
      </c>
      <c r="AV261">
        <f>SUMIF('Как будет'!$A$45:$A$52,Доп.расчеты!$A261,'Как будет'!AW$45:AW$52)</f>
        <v>0</v>
      </c>
      <c r="AW261">
        <f>SUMIF('Как будет'!$A$45:$A$52,Доп.расчеты!$A261,'Как будет'!AX$45:AX$52)</f>
        <v>0</v>
      </c>
      <c r="AX261">
        <f>SUMIF('Как будет'!$A$45:$A$52,Доп.расчеты!$A261,'Как будет'!AY$45:AY$52)</f>
        <v>0</v>
      </c>
      <c r="AY261">
        <f>SUMIF('Как будет'!$A$45:$A$52,Доп.расчеты!$A261,'Как будет'!AZ$45:AZ$52)</f>
        <v>0</v>
      </c>
      <c r="AZ261">
        <f>SUMIF('Как будет'!$A$45:$A$52,Доп.расчеты!$A261,'Как будет'!BA$45:BA$52)</f>
        <v>0</v>
      </c>
      <c r="BA261">
        <f>SUMIF('Как будет'!$A$45:$A$52,Доп.расчеты!$A261,'Как будет'!BB$45:BB$52)</f>
        <v>0</v>
      </c>
      <c r="BB261">
        <f>SUMIF('Как будет'!$A$45:$A$52,Доп.расчеты!$A261,'Как будет'!BC$45:BC$52)</f>
        <v>0</v>
      </c>
      <c r="BC261">
        <f>SUMIF('Как будет'!$A$45:$A$52,Доп.расчеты!$A261,'Как будет'!BD$45:BD$52)</f>
        <v>0</v>
      </c>
      <c r="BD261">
        <f>SUMIF('Как будет'!$A$45:$A$52,Доп.расчеты!$A261,'Как будет'!BE$45:BE$52)</f>
        <v>0</v>
      </c>
      <c r="BE261">
        <f>SUMIF('Как будет'!$A$45:$A$52,Доп.расчеты!$A261,'Как будет'!BF$45:BF$52)</f>
        <v>0</v>
      </c>
      <c r="BF261">
        <f>SUMIF('Как будет'!$A$45:$A$52,Доп.расчеты!$A261,'Как будет'!BG$45:BG$52)</f>
        <v>0</v>
      </c>
      <c r="BG261">
        <f>SUMIF('Как будет'!$A$45:$A$52,Доп.расчеты!$A261,'Как будет'!BH$45:BH$52)</f>
        <v>0</v>
      </c>
      <c r="BH261">
        <f>SUMIF('Как будет'!$A$45:$A$52,Доп.расчеты!$A261,'Как будет'!BI$45:BI$52)</f>
        <v>0</v>
      </c>
      <c r="BI261">
        <f>SUMIF('Как будет'!$A$45:$A$52,Доп.расчеты!$A261,'Как будет'!BJ$45:BJ$52)</f>
        <v>0</v>
      </c>
      <c r="BJ261">
        <f>SUMIF('Как будет'!$A$45:$A$52,Доп.расчеты!$A261,'Как будет'!BK$45:BK$52)</f>
        <v>0</v>
      </c>
      <c r="BK261">
        <f>SUMIF('Как будет'!$A$45:$A$52,Доп.расчеты!$A261,'Как будет'!BL$45:BL$52)</f>
        <v>0</v>
      </c>
      <c r="BL261">
        <f>SUMIF('Как будет'!$A$45:$A$52,Доп.расчеты!$A261,'Как будет'!BM$45:BM$52)</f>
        <v>0</v>
      </c>
      <c r="BM261">
        <f>SUMIF('Как будет'!$A$45:$A$52,Доп.расчеты!$A261,'Как будет'!BN$45:BN$52)</f>
        <v>0</v>
      </c>
      <c r="BN261">
        <f>SUMIF('Как будет'!$A$45:$A$52,Доп.расчеты!$A261,'Как будет'!BO$45:BO$52)</f>
        <v>0</v>
      </c>
      <c r="BO261">
        <f>SUMIF('Как будет'!$A$45:$A$52,Доп.расчеты!$A261,'Как будет'!BP$45:BP$52)</f>
        <v>0</v>
      </c>
      <c r="BP261">
        <f>SUMIF('Как будет'!$A$45:$A$52,Доп.расчеты!$A261,'Как будет'!BQ$45:BQ$52)</f>
        <v>0</v>
      </c>
      <c r="BQ261">
        <f>SUMIF('Как будет'!$A$45:$A$52,Доп.расчеты!$A261,'Как будет'!BR$45:BR$52)</f>
        <v>0</v>
      </c>
      <c r="BR261">
        <f>SUMIF('Как будет'!$A$45:$A$52,Доп.расчеты!$A261,'Как будет'!BS$45:BS$52)</f>
        <v>0</v>
      </c>
      <c r="BS261">
        <f>SUMIF('Как будет'!$A$45:$A$52,Доп.расчеты!$A261,'Как будет'!BT$45:BT$52)</f>
        <v>0</v>
      </c>
      <c r="BT261">
        <f>SUMIF('Как будет'!$A$45:$A$52,Доп.расчеты!$A261,'Как будет'!BU$45:BU$52)</f>
        <v>0</v>
      </c>
      <c r="BU261">
        <f>SUMIF('Как будет'!$A$45:$A$52,Доп.расчеты!$A261,'Как будет'!BV$45:BV$52)</f>
        <v>0</v>
      </c>
      <c r="BV261">
        <f>SUMIF('Как будет'!$A$45:$A$52,Доп.расчеты!$A261,'Как будет'!BW$45:BW$52)</f>
        <v>0</v>
      </c>
      <c r="BW261">
        <f>SUMIF('Как будет'!$A$45:$A$52,Доп.расчеты!$A261,'Как будет'!BX$45:BX$52)</f>
        <v>0</v>
      </c>
      <c r="BX261">
        <f>SUMIF('Как будет'!$A$45:$A$52,Доп.расчеты!$A261,'Как будет'!BY$45:BY$52)</f>
        <v>0</v>
      </c>
      <c r="BY261">
        <f>SUMIF('Как будет'!$A$45:$A$52,Доп.расчеты!$A261,'Как будет'!BZ$45:BZ$52)</f>
        <v>0</v>
      </c>
      <c r="BZ261">
        <f>SUMIF('Как будет'!$A$45:$A$52,Доп.расчеты!$A261,'Как будет'!CA$45:CA$52)</f>
        <v>0</v>
      </c>
      <c r="CA261">
        <f>SUMIF('Как будет'!$A$45:$A$52,Доп.расчеты!$A261,'Как будет'!CB$45:CB$52)</f>
        <v>0</v>
      </c>
      <c r="CB261">
        <f>SUMIF('Как будет'!$A$45:$A$52,Доп.расчеты!$A261,'Как будет'!CC$45:CC$52)</f>
        <v>0</v>
      </c>
      <c r="CC261">
        <f>SUMIF('Как будет'!$A$45:$A$52,Доп.расчеты!$A261,'Как будет'!CD$45:CD$52)</f>
        <v>0</v>
      </c>
      <c r="CD261">
        <f>SUMIF('Как будет'!$A$45:$A$52,Доп.расчеты!$A261,'Как будет'!CE$45:CE$52)</f>
        <v>0</v>
      </c>
      <c r="CE261">
        <f>SUMIF('Как будет'!$A$45:$A$52,Доп.расчеты!$A261,'Как будет'!CF$45:CF$52)</f>
        <v>0</v>
      </c>
      <c r="CF261">
        <f>SUMIF('Как будет'!$A$45:$A$52,Доп.расчеты!$A261,'Как будет'!CG$45:CG$52)</f>
        <v>0</v>
      </c>
      <c r="CG261">
        <f>SUMIF('Как будет'!$A$45:$A$52,Доп.расчеты!$A261,'Как будет'!CH$45:CH$52)</f>
        <v>0</v>
      </c>
      <c r="CH261">
        <f>SUMIF('Как будет'!$A$45:$A$52,Доп.расчеты!$A261,'Как будет'!CI$45:CI$52)</f>
        <v>0</v>
      </c>
      <c r="CI261">
        <f>SUMIF('Как будет'!$A$45:$A$52,Доп.расчеты!$A261,'Как будет'!CJ$45:CJ$52)</f>
        <v>0</v>
      </c>
      <c r="CJ261">
        <f>SUMIF('Как будет'!$A$45:$A$52,Доп.расчеты!$A261,'Как будет'!CK$45:CK$52)</f>
        <v>0</v>
      </c>
      <c r="CK261">
        <f>SUMIF('Как будет'!$A$45:$A$52,Доп.расчеты!$A261,'Как будет'!CL$45:CL$52)</f>
        <v>0</v>
      </c>
      <c r="CL261">
        <f>SUMIF('Как будет'!$A$45:$A$52,Доп.расчеты!$A261,'Как будет'!CM$45:CM$52)</f>
        <v>0</v>
      </c>
      <c r="CM261">
        <f>SUMIF('Как будет'!$A$45:$A$52,Доп.расчеты!$A261,'Как будет'!CN$45:CN$52)</f>
        <v>0</v>
      </c>
      <c r="CN261">
        <f>SUMIF('Как будет'!$A$45:$A$52,Доп.расчеты!$A261,'Как будет'!CO$45:CO$52)</f>
        <v>0</v>
      </c>
      <c r="CO261">
        <f>SUMIF('Как будет'!$A$45:$A$52,Доп.расчеты!$A261,'Как будет'!CP$45:CP$52)</f>
        <v>0</v>
      </c>
      <c r="CP261">
        <f>SUMIF('Как будет'!$A$45:$A$52,Доп.расчеты!$A261,'Как будет'!CQ$45:CQ$52)</f>
        <v>0</v>
      </c>
      <c r="CQ261">
        <f>SUMIF('Как будет'!$A$45:$A$52,Доп.расчеты!$A261,'Как будет'!CR$45:CR$52)</f>
        <v>0</v>
      </c>
      <c r="CR261">
        <f>SUMIF('Как будет'!$A$45:$A$52,Доп.расчеты!$A261,'Как будет'!CS$45:CS$52)</f>
        <v>0</v>
      </c>
      <c r="CS261">
        <f>SUMIF('Как будет'!$A$45:$A$52,Доп.расчеты!$A261,'Как будет'!CT$45:CT$52)</f>
        <v>0</v>
      </c>
      <c r="CT261">
        <f>SUMIF('Как будет'!$A$45:$A$52,Доп.расчеты!$A261,'Как будет'!CU$45:CU$52)</f>
        <v>0</v>
      </c>
      <c r="CU261">
        <f>SUMIF('Как будет'!$A$45:$A$52,Доп.расчеты!$A261,'Как будет'!CV$45:CV$52)</f>
        <v>0</v>
      </c>
      <c r="CV261">
        <f>SUMIF('Как будет'!$A$45:$A$52,Доп.расчеты!$A261,'Как будет'!CW$45:CW$52)</f>
        <v>0</v>
      </c>
      <c r="CW261">
        <f>SUMIF('Как будет'!$A$45:$A$52,Доп.расчеты!$A261,'Как будет'!CX$45:CX$52)</f>
        <v>0</v>
      </c>
      <c r="CX261">
        <f>SUMIF('Как будет'!$A$45:$A$52,Доп.расчеты!$A261,'Как будет'!CY$45:CY$52)</f>
        <v>0</v>
      </c>
      <c r="CY261">
        <f>SUMIF('Как будет'!$A$45:$A$52,Доп.расчеты!$A261,'Как будет'!CZ$45:CZ$52)</f>
        <v>0</v>
      </c>
      <c r="CZ261">
        <f>SUMIF('Как будет'!$A$45:$A$52,Доп.расчеты!$A261,'Как будет'!DA$45:DA$52)</f>
        <v>0</v>
      </c>
      <c r="DA261">
        <f>SUMIF('Как будет'!$A$45:$A$52,Доп.расчеты!$A261,'Как будет'!DB$45:DB$52)</f>
        <v>0</v>
      </c>
      <c r="DB261">
        <f>SUMIF('Как будет'!$A$45:$A$52,Доп.расчеты!$A261,'Как будет'!DC$45:DC$52)</f>
        <v>0</v>
      </c>
      <c r="DC261">
        <f>SUMIF('Как будет'!$A$45:$A$52,Доп.расчеты!$A261,'Как будет'!DD$45:DD$52)</f>
        <v>0</v>
      </c>
      <c r="DD261">
        <f>SUMIF('Как будет'!$A$45:$A$52,Доп.расчеты!$A261,'Как будет'!DE$45:DE$52)</f>
        <v>0</v>
      </c>
      <c r="DE261">
        <f>SUMIF('Как будет'!$A$45:$A$52,Доп.расчеты!$A261,'Как будет'!DF$45:DF$52)</f>
        <v>0</v>
      </c>
      <c r="DF261">
        <f>SUMIF('Как будет'!$A$45:$A$52,Доп.расчеты!$A261,'Как будет'!DG$45:DG$52)</f>
        <v>0</v>
      </c>
      <c r="DG261">
        <f>SUMIF('Как будет'!$A$45:$A$52,Доп.расчеты!$A261,'Как будет'!DH$45:DH$52)</f>
        <v>0</v>
      </c>
      <c r="DH261">
        <f>SUMIF('Как будет'!$A$45:$A$52,Доп.расчеты!$A261,'Как будет'!DI$45:DI$52)</f>
        <v>0</v>
      </c>
      <c r="DI261">
        <f>SUMIF('Как будет'!$A$45:$A$52,Доп.расчеты!$A261,'Как будет'!DJ$45:DJ$52)</f>
        <v>0</v>
      </c>
      <c r="DJ261">
        <f>SUMIF('Как будет'!$A$45:$A$52,Доп.расчеты!$A261,'Как будет'!DK$45:DK$52)</f>
        <v>0</v>
      </c>
      <c r="DK261">
        <f>SUMIF('Как будет'!$A$45:$A$52,Доп.расчеты!$A261,'Как будет'!DL$45:DL$52)</f>
        <v>0</v>
      </c>
      <c r="DL261">
        <f>SUMIF('Как будет'!$A$45:$A$52,Доп.расчеты!$A261,'Как будет'!DM$45:DM$52)</f>
        <v>0</v>
      </c>
      <c r="DM261">
        <f>SUMIF('Как будет'!$A$45:$A$52,Доп.расчеты!$A261,'Как будет'!DN$45:DN$52)</f>
        <v>0</v>
      </c>
      <c r="DN261">
        <f>SUMIF('Как будет'!$A$45:$A$52,Доп.расчеты!$A261,'Как будет'!DO$45:DO$52)</f>
        <v>0</v>
      </c>
      <c r="DO261">
        <f>SUMIF('Как будет'!$A$45:$A$52,Доп.расчеты!$A261,'Как будет'!DP$45:DP$52)</f>
        <v>0</v>
      </c>
      <c r="DP261">
        <f>SUMIF('Как будет'!$A$45:$A$52,Доп.расчеты!$A261,'Как будет'!DQ$45:DQ$52)</f>
        <v>0</v>
      </c>
      <c r="DQ261">
        <f>SUMIF('Как будет'!$A$45:$A$52,Доп.расчеты!$A261,'Как будет'!DR$45:DR$52)</f>
        <v>0</v>
      </c>
      <c r="DR261">
        <f>SUMIF('Как будет'!$A$45:$A$52,Доп.расчеты!$A261,'Как будет'!DS$45:DS$52)</f>
        <v>0</v>
      </c>
      <c r="DS261">
        <f>SUMIF('Как будет'!$A$45:$A$52,Доп.расчеты!$A261,'Как будет'!DT$45:DT$52)</f>
        <v>0</v>
      </c>
      <c r="DT261">
        <f>SUMIF('Как будет'!$A$45:$A$52,Доп.расчеты!$A261,'Как будет'!DU$45:DU$52)</f>
        <v>0</v>
      </c>
      <c r="DU261">
        <f>SUMIF('Как будет'!$A$45:$A$52,Доп.расчеты!$A261,'Как будет'!DV$45:DV$52)</f>
        <v>0</v>
      </c>
      <c r="DV261">
        <f>SUMIF('Как будет'!$A$45:$A$52,Доп.расчеты!$A261,'Как будет'!DW$45:DW$52)</f>
        <v>0</v>
      </c>
      <c r="DW261">
        <f>SUMIF('Как будет'!$A$45:$A$52,Доп.расчеты!$A261,'Как будет'!DX$45:DX$52)</f>
        <v>0</v>
      </c>
      <c r="DX261">
        <f>SUMIF('Как будет'!$A$45:$A$52,Доп.расчеты!$A261,'Как будет'!DY$45:DY$52)</f>
        <v>0</v>
      </c>
      <c r="DY261">
        <f>SUMIF('Как будет'!$A$45:$A$52,Доп.расчеты!$A261,'Как будет'!DZ$45:DZ$52)</f>
        <v>0</v>
      </c>
      <c r="DZ261">
        <f>SUMIF('Как будет'!$A$45:$A$52,Доп.расчеты!$A261,'Как будет'!EA$45:EA$52)</f>
        <v>0</v>
      </c>
      <c r="EA261">
        <f>SUMIF('Как будет'!$A$45:$A$52,Доп.расчеты!$A261,'Как будет'!EB$45:EB$52)</f>
        <v>0</v>
      </c>
      <c r="EB261">
        <f>SUMIF('Как будет'!$A$45:$A$52,Доп.расчеты!$A261,'Как будет'!EC$45:EC$52)</f>
        <v>0</v>
      </c>
      <c r="EC261">
        <f>SUMIF('Как будет'!$A$45:$A$52,Доп.расчеты!$A261,'Как будет'!ED$45:ED$52)</f>
        <v>0</v>
      </c>
      <c r="ED261">
        <f>SUMIF('Как будет'!$A$45:$A$52,Доп.расчеты!$A261,'Как будет'!EE$45:EE$52)</f>
        <v>0</v>
      </c>
      <c r="EE261">
        <f>SUMIF('Как будет'!$A$45:$A$52,Доп.расчеты!$A261,'Как будет'!EF$45:EF$52)</f>
        <v>0</v>
      </c>
      <c r="EF261">
        <f>SUMIF('Как будет'!$A$45:$A$52,Доп.расчеты!$A261,'Как будет'!EG$45:EG$52)</f>
        <v>0</v>
      </c>
      <c r="EG261">
        <f>SUMIF('Как будет'!$A$45:$A$52,Доп.расчеты!$A261,'Как будет'!EH$45:EH$52)</f>
        <v>0</v>
      </c>
      <c r="EH261">
        <f>SUMIF('Как будет'!$A$45:$A$52,Доп.расчеты!$A261,'Как будет'!EI$45:EI$52)</f>
        <v>0</v>
      </c>
      <c r="EI261">
        <f>SUMIF('Как будет'!$A$45:$A$52,Доп.расчеты!$A261,'Как будет'!EJ$45:EJ$52)</f>
        <v>0</v>
      </c>
      <c r="EJ261">
        <f>SUMIF('Как будет'!$A$45:$A$52,Доп.расчеты!$A261,'Как будет'!EK$45:EK$52)</f>
        <v>0</v>
      </c>
      <c r="EK261">
        <f>SUMIF('Как будет'!$A$45:$A$52,Доп.расчеты!$A261,'Как будет'!EL$45:EL$52)</f>
        <v>0</v>
      </c>
      <c r="EL261">
        <f>SUMIF('Как будет'!$A$45:$A$52,Доп.расчеты!$A261,'Как будет'!EM$45:EM$52)</f>
        <v>0</v>
      </c>
      <c r="EM261">
        <f>SUMIF('Как будет'!$A$45:$A$52,Доп.расчеты!$A261,'Как будет'!EN$45:EN$52)</f>
        <v>0</v>
      </c>
      <c r="EN261">
        <f>SUMIF('Как будет'!$A$45:$A$52,Доп.расчеты!$A261,'Как будет'!EO$45:EO$52)</f>
        <v>0</v>
      </c>
      <c r="EO261">
        <f>SUMIF('Как будет'!$A$45:$A$52,Доп.расчеты!$A261,'Как будет'!EP$45:EP$52)</f>
        <v>0</v>
      </c>
      <c r="EP261">
        <f>SUMIF('Как будет'!$A$45:$A$52,Доп.расчеты!$A261,'Как будет'!EQ$45:EQ$52)</f>
        <v>0</v>
      </c>
      <c r="EQ261">
        <f>SUMIF('Как будет'!$A$45:$A$52,Доп.расчеты!$A261,'Как будет'!ER$45:ER$52)</f>
        <v>0</v>
      </c>
      <c r="ER261">
        <f>SUMIF('Как будет'!$A$45:$A$52,Доп.расчеты!$A261,'Как будет'!ES$45:ES$52)</f>
        <v>0</v>
      </c>
      <c r="ES261">
        <f>SUMIF('Как будет'!$A$45:$A$52,Доп.расчеты!$A261,'Как будет'!ET$45:ET$52)</f>
        <v>0</v>
      </c>
      <c r="ET261">
        <f>SUMIF('Как будет'!$A$45:$A$52,Доп.расчеты!$A261,'Как будет'!EU$45:EU$52)</f>
        <v>0</v>
      </c>
      <c r="EU261">
        <f>SUMIF('Как будет'!$A$45:$A$52,Доп.расчеты!$A261,'Как будет'!EV$45:EV$52)</f>
        <v>0</v>
      </c>
      <c r="EV261">
        <f>SUMIF('Как будет'!$A$45:$A$52,Доп.расчеты!$A261,'Как будет'!EW$45:EW$52)</f>
        <v>0</v>
      </c>
      <c r="EW261">
        <f>SUMIF('Как будет'!$A$45:$A$52,Доп.расчеты!$A261,'Как будет'!EX$45:EX$52)</f>
        <v>0</v>
      </c>
      <c r="EX261">
        <f>SUMIF('Как будет'!$A$45:$A$52,Доп.расчеты!$A261,'Как будет'!EY$45:EY$52)</f>
        <v>0</v>
      </c>
      <c r="EY261">
        <f>SUMIF('Как будет'!$A$45:$A$52,Доп.расчеты!$A261,'Как будет'!EZ$45:EZ$52)</f>
        <v>0</v>
      </c>
      <c r="EZ261">
        <f>SUMIF('Как будет'!$A$45:$A$52,Доп.расчеты!$A261,'Как будет'!FA$45:FA$52)</f>
        <v>0</v>
      </c>
      <c r="FA261">
        <f>SUMIF('Как будет'!$A$45:$A$52,Доп.расчеты!$A261,'Как будет'!FB$45:FB$52)</f>
        <v>0</v>
      </c>
      <c r="FB261">
        <f>SUMIF('Как будет'!$A$45:$A$52,Доп.расчеты!$A261,'Как будет'!FC$45:FC$52)</f>
        <v>0</v>
      </c>
      <c r="FC261">
        <f>SUMIF('Как будет'!$A$45:$A$52,Доп.расчеты!$A261,'Как будет'!FD$45:FD$52)</f>
        <v>0</v>
      </c>
      <c r="FD261">
        <f>SUMIF('Как будет'!$A$45:$A$52,Доп.расчеты!$A261,'Как будет'!FE$45:FE$52)</f>
        <v>0</v>
      </c>
      <c r="FE261">
        <f>SUMIF('Как будет'!$A$45:$A$52,Доп.расчеты!$A261,'Как будет'!FF$45:FF$52)</f>
        <v>0</v>
      </c>
      <c r="FF261">
        <f>SUMIF('Как будет'!$A$45:$A$52,Доп.расчеты!$A261,'Как будет'!FG$45:FG$52)</f>
        <v>0</v>
      </c>
      <c r="FG261">
        <f>SUMIF('Как будет'!$A$45:$A$52,Доп.расчеты!$A261,'Как будет'!FH$45:FH$52)</f>
        <v>0</v>
      </c>
      <c r="FH261">
        <f>SUMIF('Как будет'!$A$45:$A$52,Доп.расчеты!$A261,'Как будет'!FI$45:FI$52)</f>
        <v>0</v>
      </c>
      <c r="FI261">
        <f>SUMIF('Как будет'!$A$45:$A$52,Доп.расчеты!$A261,'Как будет'!FJ$45:FJ$52)</f>
        <v>0</v>
      </c>
      <c r="FJ261">
        <f>SUMIF('Как будет'!$A$45:$A$52,Доп.расчеты!$A261,'Как будет'!FK$45:FK$52)</f>
        <v>0</v>
      </c>
      <c r="FK261">
        <f>SUMIF('Как будет'!$A$45:$A$52,Доп.расчеты!$A261,'Как будет'!FL$45:FL$52)</f>
        <v>0</v>
      </c>
      <c r="FL261">
        <f>SUMIF('Как будет'!$A$45:$A$52,Доп.расчеты!$A261,'Как будет'!FM$45:FM$52)</f>
        <v>0</v>
      </c>
      <c r="FM261">
        <f>SUMIF('Как будет'!$A$45:$A$52,Доп.расчеты!$A261,'Как будет'!FN$45:FN$52)</f>
        <v>0</v>
      </c>
      <c r="FN261">
        <f>SUMIF('Как будет'!$A$45:$A$52,Доп.расчеты!$A261,'Как будет'!FO$45:FO$52)</f>
        <v>0</v>
      </c>
      <c r="FO261">
        <f>SUMIF('Как будет'!$A$45:$A$52,Доп.расчеты!$A261,'Как будет'!FP$45:FP$52)</f>
        <v>0</v>
      </c>
      <c r="FP261">
        <f>SUMIF('Как будет'!$A$45:$A$52,Доп.расчеты!$A261,'Как будет'!FQ$45:FQ$52)</f>
        <v>0</v>
      </c>
      <c r="FQ261">
        <f>SUMIF('Как будет'!$A$45:$A$52,Доп.расчеты!$A261,'Как будет'!FR$45:FR$52)</f>
        <v>0</v>
      </c>
      <c r="FR261">
        <f>SUMIF('Как будет'!$A$45:$A$52,Доп.расчеты!$A261,'Как будет'!FS$45:FS$52)</f>
        <v>0</v>
      </c>
      <c r="FS261">
        <f>SUMIF('Как будет'!$A$45:$A$52,Доп.расчеты!$A261,'Как будет'!FT$45:FT$52)</f>
        <v>0</v>
      </c>
      <c r="FT261">
        <f>SUMIF('Как будет'!$A$45:$A$52,Доп.расчеты!$A261,'Как будет'!FU$45:FU$52)</f>
        <v>0</v>
      </c>
      <c r="FU261">
        <f>SUMIF('Как будет'!$A$45:$A$52,Доп.расчеты!$A261,'Как будет'!FV$45:FV$52)</f>
        <v>0</v>
      </c>
      <c r="FV261">
        <f>SUMIF('Как будет'!$A$45:$A$52,Доп.расчеты!$A261,'Как будет'!FW$45:FW$52)</f>
        <v>0</v>
      </c>
      <c r="FW261">
        <f>SUMIF('Как будет'!$A$45:$A$52,Доп.расчеты!$A261,'Как будет'!FX$45:FX$52)</f>
        <v>0</v>
      </c>
      <c r="FX261">
        <f>SUMIF('Как будет'!$A$45:$A$52,Доп.расчеты!$A261,'Как будет'!FY$45:FY$52)</f>
        <v>0</v>
      </c>
      <c r="FY261">
        <f>SUMIF('Как будет'!$A$45:$A$52,Доп.расчеты!$A261,'Как будет'!FZ$45:FZ$52)</f>
        <v>0</v>
      </c>
      <c r="FZ261">
        <f>SUMIF('Как будет'!$A$45:$A$52,Доп.расчеты!$A261,'Как будет'!GA$45:GA$52)</f>
        <v>0</v>
      </c>
      <c r="GA261">
        <f>SUMIF('Как будет'!$A$45:$A$52,Доп.расчеты!$A261,'Как будет'!GB$45:GB$52)</f>
        <v>0</v>
      </c>
      <c r="GB261">
        <f>SUMIF('Как будет'!$A$45:$A$52,Доп.расчеты!$A261,'Как будет'!GC$45:GC$52)</f>
        <v>0</v>
      </c>
      <c r="GC261">
        <f>SUMIF('Как будет'!$A$45:$A$52,Доп.расчеты!$A261,'Как будет'!GD$45:GD$52)</f>
        <v>0</v>
      </c>
      <c r="GD261">
        <f>SUMIF('Как будет'!$A$45:$A$52,Доп.расчеты!$A261,'Как будет'!GE$45:GE$52)</f>
        <v>0</v>
      </c>
      <c r="GE261">
        <f>SUMIF('Как будет'!$A$45:$A$52,Доп.расчеты!$A261,'Как будет'!GF$45:GF$52)</f>
        <v>0</v>
      </c>
      <c r="GF261">
        <f>SUMIF('Как будет'!$A$45:$A$52,Доп.расчеты!$A261,'Как будет'!GG$45:GG$52)</f>
        <v>0</v>
      </c>
      <c r="GG261">
        <f>SUMIF('Как будет'!$A$45:$A$52,Доп.расчеты!$A261,'Как будет'!GH$45:GH$52)</f>
        <v>0</v>
      </c>
      <c r="GH261">
        <f>SUMIF('Как будет'!$A$45:$A$52,Доп.расчеты!$A261,'Как будет'!GI$45:GI$52)</f>
        <v>0</v>
      </c>
      <c r="GI261">
        <f>SUMIF('Как будет'!$A$45:$A$52,Доп.расчеты!$A261,'Как будет'!GJ$45:GJ$52)</f>
        <v>0</v>
      </c>
      <c r="GJ261">
        <f>SUMIF('Как будет'!$A$45:$A$52,Доп.расчеты!$A261,'Как будет'!GK$45:GK$52)</f>
        <v>0</v>
      </c>
      <c r="GK261">
        <f>SUMIF('Как будет'!$A$45:$A$52,Доп.расчеты!$A261,'Как будет'!GL$45:GL$52)</f>
        <v>0</v>
      </c>
      <c r="GL261">
        <f>SUMIF('Как будет'!$A$45:$A$52,Доп.расчеты!$A261,'Как будет'!GM$45:GM$52)</f>
        <v>0</v>
      </c>
      <c r="GM261">
        <f>SUMIF('Как будет'!$A$45:$A$52,Доп.расчеты!$A261,'Как будет'!GN$45:GN$52)</f>
        <v>0</v>
      </c>
      <c r="GN261">
        <f>SUMIF('Как будет'!$A$45:$A$52,Доп.расчеты!$A261,'Как будет'!GO$45:GO$52)</f>
        <v>0</v>
      </c>
      <c r="GO261">
        <f>SUMIF('Как будет'!$A$45:$A$52,Доп.расчеты!$A261,'Как будет'!GP$45:GP$52)</f>
        <v>0</v>
      </c>
      <c r="GP261">
        <f>SUMIF('Как будет'!$A$45:$A$52,Доп.расчеты!$A261,'Как будет'!GQ$45:GQ$52)</f>
        <v>0</v>
      </c>
      <c r="GQ261">
        <f>SUMIF('Как будет'!$A$45:$A$52,Доп.расчеты!$A261,'Как будет'!GR$45:GR$52)</f>
        <v>0</v>
      </c>
      <c r="GR261">
        <f>SUMIF('Как будет'!$A$45:$A$52,Доп.расчеты!$A261,'Как будет'!GS$45:GS$52)</f>
        <v>0</v>
      </c>
      <c r="GS261">
        <f>SUMIF('Как будет'!$A$45:$A$52,Доп.расчеты!$A261,'Как будет'!GT$45:GT$52)</f>
        <v>0</v>
      </c>
      <c r="GT261">
        <f>SUMIF('Как будет'!$A$45:$A$52,Доп.расчеты!$A261,'Как будет'!GU$45:GU$52)</f>
        <v>0</v>
      </c>
    </row>
    <row r="262" spans="1:202">
      <c r="A262" s="238" t="s">
        <v>111</v>
      </c>
      <c r="B262">
        <f>SUMIF('Как будет'!$A$45:$A$52,Доп.расчеты!$A262,'Как будет'!C$45:C$52)</f>
        <v>0</v>
      </c>
      <c r="C262">
        <f>SUMIF('Как будет'!$A$45:$A$52,Доп.расчеты!$A262,'Как будет'!D$45:D$52)</f>
        <v>0</v>
      </c>
      <c r="D262">
        <f>SUMIF('Как будет'!$A$45:$A$52,Доп.расчеты!$A262,'Как будет'!E$45:E$52)</f>
        <v>0</v>
      </c>
      <c r="E262">
        <f>SUMIF('Как будет'!$A$45:$A$52,Доп.расчеты!$A262,'Как будет'!F$45:F$52)</f>
        <v>0</v>
      </c>
      <c r="F262">
        <f>SUMIF('Как будет'!$A$45:$A$52,Доп.расчеты!$A262,'Как будет'!G$45:G$52)</f>
        <v>0</v>
      </c>
      <c r="G262">
        <f>SUMIF('Как будет'!$A$45:$A$52,Доп.расчеты!$A262,'Как будет'!H$45:H$52)</f>
        <v>0</v>
      </c>
      <c r="H262">
        <f>SUMIF('Как будет'!$A$45:$A$52,Доп.расчеты!$A262,'Как будет'!I$45:I$52)</f>
        <v>0</v>
      </c>
      <c r="I262">
        <f>SUMIF('Как будет'!$A$45:$A$52,Доп.расчеты!$A262,'Как будет'!J$45:J$52)</f>
        <v>0</v>
      </c>
      <c r="J262">
        <f>SUMIF('Как будет'!$A$45:$A$52,Доп.расчеты!$A262,'Как будет'!K$45:K$52)</f>
        <v>0</v>
      </c>
      <c r="K262">
        <f>SUMIF('Как будет'!$A$45:$A$52,Доп.расчеты!$A262,'Как будет'!L$45:L$52)</f>
        <v>0</v>
      </c>
      <c r="L262">
        <f>SUMIF('Как будет'!$A$45:$A$52,Доп.расчеты!$A262,'Как будет'!M$45:M$52)</f>
        <v>0</v>
      </c>
      <c r="M262">
        <f>SUMIF('Как будет'!$A$45:$A$52,Доп.расчеты!$A262,'Как будет'!N$45:N$52)</f>
        <v>0</v>
      </c>
      <c r="N262">
        <f>SUMIF('Как будет'!$A$45:$A$52,Доп.расчеты!$A262,'Как будет'!O$45:O$52)</f>
        <v>0</v>
      </c>
      <c r="O262">
        <f>SUMIF('Как будет'!$A$45:$A$52,Доп.расчеты!$A262,'Как будет'!P$45:P$52)</f>
        <v>0</v>
      </c>
      <c r="P262">
        <f>SUMIF('Как будет'!$A$45:$A$52,Доп.расчеты!$A262,'Как будет'!Q$45:Q$52)</f>
        <v>0</v>
      </c>
      <c r="Q262">
        <f>SUMIF('Как будет'!$A$45:$A$52,Доп.расчеты!$A262,'Как будет'!R$45:R$52)</f>
        <v>0</v>
      </c>
      <c r="R262">
        <f>SUMIF('Как будет'!$A$45:$A$52,Доп.расчеты!$A262,'Как будет'!S$45:S$52)</f>
        <v>0</v>
      </c>
      <c r="S262">
        <f>SUMIF('Как будет'!$A$45:$A$52,Доп.расчеты!$A262,'Как будет'!T$45:T$52)</f>
        <v>0</v>
      </c>
      <c r="T262">
        <f>SUMIF('Как будет'!$A$45:$A$52,Доп.расчеты!$A262,'Как будет'!U$45:U$52)</f>
        <v>0</v>
      </c>
      <c r="U262">
        <f>SUMIF('Как будет'!$A$45:$A$52,Доп.расчеты!$A262,'Как будет'!V$45:V$52)</f>
        <v>0</v>
      </c>
      <c r="V262">
        <f>SUMIF('Как будет'!$A$45:$A$52,Доп.расчеты!$A262,'Как будет'!W$45:W$52)</f>
        <v>0</v>
      </c>
      <c r="W262">
        <f>SUMIF('Как будет'!$A$45:$A$52,Доп.расчеты!$A262,'Как будет'!X$45:X$52)</f>
        <v>0</v>
      </c>
      <c r="X262">
        <f>SUMIF('Как будет'!$A$45:$A$52,Доп.расчеты!$A262,'Как будет'!Y$45:Y$52)</f>
        <v>0</v>
      </c>
      <c r="Y262">
        <f>SUMIF('Как будет'!$A$45:$A$52,Доп.расчеты!$A262,'Как будет'!Z$45:Z$52)</f>
        <v>0</v>
      </c>
      <c r="Z262">
        <f>SUMIF('Как будет'!$A$45:$A$52,Доп.расчеты!$A262,'Как будет'!AA$45:AA$52)</f>
        <v>0</v>
      </c>
      <c r="AA262">
        <f>SUMIF('Как будет'!$A$45:$A$52,Доп.расчеты!$A262,'Как будет'!AB$45:AB$52)</f>
        <v>0</v>
      </c>
      <c r="AB262">
        <f>SUMIF('Как будет'!$A$45:$A$52,Доп.расчеты!$A262,'Как будет'!AC$45:AC$52)</f>
        <v>0</v>
      </c>
      <c r="AC262">
        <f>SUMIF('Как будет'!$A$45:$A$52,Доп.расчеты!$A262,'Как будет'!AD$45:AD$52)</f>
        <v>0</v>
      </c>
      <c r="AD262">
        <f>SUMIF('Как будет'!$A$45:$A$52,Доп.расчеты!$A262,'Как будет'!AE$45:AE$52)</f>
        <v>0</v>
      </c>
      <c r="AE262">
        <f>SUMIF('Как будет'!$A$45:$A$52,Доп.расчеты!$A262,'Как будет'!AF$45:AF$52)</f>
        <v>0</v>
      </c>
      <c r="AF262">
        <f>SUMIF('Как будет'!$A$45:$A$52,Доп.расчеты!$A262,'Как будет'!AG$45:AG$52)</f>
        <v>0</v>
      </c>
      <c r="AG262">
        <f>SUMIF('Как будет'!$A$45:$A$52,Доп.расчеты!$A262,'Как будет'!AH$45:AH$52)</f>
        <v>0</v>
      </c>
      <c r="AH262">
        <f>SUMIF('Как будет'!$A$45:$A$52,Доп.расчеты!$A262,'Как будет'!AI$45:AI$52)</f>
        <v>0</v>
      </c>
      <c r="AI262">
        <f>SUMIF('Как будет'!$A$45:$A$52,Доп.расчеты!$A262,'Как будет'!AJ$45:AJ$52)</f>
        <v>0</v>
      </c>
      <c r="AJ262">
        <f>SUMIF('Как будет'!$A$45:$A$52,Доп.расчеты!$A262,'Как будет'!AK$45:AK$52)</f>
        <v>0</v>
      </c>
      <c r="AK262">
        <f>SUMIF('Как будет'!$A$45:$A$52,Доп.расчеты!$A262,'Как будет'!AL$45:AL$52)</f>
        <v>0</v>
      </c>
      <c r="AL262">
        <f>SUMIF('Как будет'!$A$45:$A$52,Доп.расчеты!$A262,'Как будет'!AM$45:AM$52)</f>
        <v>0</v>
      </c>
      <c r="AM262">
        <f>SUMIF('Как будет'!$A$45:$A$52,Доп.расчеты!$A262,'Как будет'!AN$45:AN$52)</f>
        <v>0</v>
      </c>
      <c r="AN262">
        <f>SUMIF('Как будет'!$A$45:$A$52,Доп.расчеты!$A262,'Как будет'!AO$45:AO$52)</f>
        <v>0</v>
      </c>
      <c r="AO262">
        <f>SUMIF('Как будет'!$A$45:$A$52,Доп.расчеты!$A262,'Как будет'!AP$45:AP$52)</f>
        <v>0</v>
      </c>
      <c r="AP262">
        <f>SUMIF('Как будет'!$A$45:$A$52,Доп.расчеты!$A262,'Как будет'!AQ$45:AQ$52)</f>
        <v>0</v>
      </c>
      <c r="AQ262">
        <f>SUMIF('Как будет'!$A$45:$A$52,Доп.расчеты!$A262,'Как будет'!AR$45:AR$52)</f>
        <v>0</v>
      </c>
      <c r="AR262">
        <f>SUMIF('Как будет'!$A$45:$A$52,Доп.расчеты!$A262,'Как будет'!AS$45:AS$52)</f>
        <v>0</v>
      </c>
      <c r="AS262">
        <f>SUMIF('Как будет'!$A$45:$A$52,Доп.расчеты!$A262,'Как будет'!AT$45:AT$52)</f>
        <v>0</v>
      </c>
      <c r="AT262">
        <f>SUMIF('Как будет'!$A$45:$A$52,Доп.расчеты!$A262,'Как будет'!AU$45:AU$52)</f>
        <v>0</v>
      </c>
      <c r="AU262">
        <f>SUMIF('Как будет'!$A$45:$A$52,Доп.расчеты!$A262,'Как будет'!AV$45:AV$52)</f>
        <v>0</v>
      </c>
      <c r="AV262">
        <f>SUMIF('Как будет'!$A$45:$A$52,Доп.расчеты!$A262,'Как будет'!AW$45:AW$52)</f>
        <v>0</v>
      </c>
      <c r="AW262">
        <f>SUMIF('Как будет'!$A$45:$A$52,Доп.расчеты!$A262,'Как будет'!AX$45:AX$52)</f>
        <v>0</v>
      </c>
      <c r="AX262">
        <f>SUMIF('Как будет'!$A$45:$A$52,Доп.расчеты!$A262,'Как будет'!AY$45:AY$52)</f>
        <v>0</v>
      </c>
      <c r="AY262">
        <f>SUMIF('Как будет'!$A$45:$A$52,Доп.расчеты!$A262,'Как будет'!AZ$45:AZ$52)</f>
        <v>0</v>
      </c>
      <c r="AZ262">
        <f>SUMIF('Как будет'!$A$45:$A$52,Доп.расчеты!$A262,'Как будет'!BA$45:BA$52)</f>
        <v>0</v>
      </c>
      <c r="BA262">
        <f>SUMIF('Как будет'!$A$45:$A$52,Доп.расчеты!$A262,'Как будет'!BB$45:BB$52)</f>
        <v>0</v>
      </c>
      <c r="BB262">
        <f>SUMIF('Как будет'!$A$45:$A$52,Доп.расчеты!$A262,'Как будет'!BC$45:BC$52)</f>
        <v>0</v>
      </c>
      <c r="BC262">
        <f>SUMIF('Как будет'!$A$45:$A$52,Доп.расчеты!$A262,'Как будет'!BD$45:BD$52)</f>
        <v>0</v>
      </c>
      <c r="BD262">
        <f>SUMIF('Как будет'!$A$45:$A$52,Доп.расчеты!$A262,'Как будет'!BE$45:BE$52)</f>
        <v>0</v>
      </c>
      <c r="BE262">
        <f>SUMIF('Как будет'!$A$45:$A$52,Доп.расчеты!$A262,'Как будет'!BF$45:BF$52)</f>
        <v>0</v>
      </c>
      <c r="BF262">
        <f>SUMIF('Как будет'!$A$45:$A$52,Доп.расчеты!$A262,'Как будет'!BG$45:BG$52)</f>
        <v>0</v>
      </c>
      <c r="BG262">
        <f>SUMIF('Как будет'!$A$45:$A$52,Доп.расчеты!$A262,'Как будет'!BH$45:BH$52)</f>
        <v>0</v>
      </c>
      <c r="BH262">
        <f>SUMIF('Как будет'!$A$45:$A$52,Доп.расчеты!$A262,'Как будет'!BI$45:BI$52)</f>
        <v>0</v>
      </c>
      <c r="BI262">
        <f>SUMIF('Как будет'!$A$45:$A$52,Доп.расчеты!$A262,'Как будет'!BJ$45:BJ$52)</f>
        <v>0</v>
      </c>
      <c r="BJ262">
        <f>SUMIF('Как будет'!$A$45:$A$52,Доп.расчеты!$A262,'Как будет'!BK$45:BK$52)</f>
        <v>0</v>
      </c>
      <c r="BK262">
        <f>SUMIF('Как будет'!$A$45:$A$52,Доп.расчеты!$A262,'Как будет'!BL$45:BL$52)</f>
        <v>0</v>
      </c>
      <c r="BL262">
        <f>SUMIF('Как будет'!$A$45:$A$52,Доп.расчеты!$A262,'Как будет'!BM$45:BM$52)</f>
        <v>0</v>
      </c>
      <c r="BM262">
        <f>SUMIF('Как будет'!$A$45:$A$52,Доп.расчеты!$A262,'Как будет'!BN$45:BN$52)</f>
        <v>0</v>
      </c>
      <c r="BN262">
        <f>SUMIF('Как будет'!$A$45:$A$52,Доп.расчеты!$A262,'Как будет'!BO$45:BO$52)</f>
        <v>0</v>
      </c>
      <c r="BO262">
        <f>SUMIF('Как будет'!$A$45:$A$52,Доп.расчеты!$A262,'Как будет'!BP$45:BP$52)</f>
        <v>0</v>
      </c>
      <c r="BP262">
        <f>SUMIF('Как будет'!$A$45:$A$52,Доп.расчеты!$A262,'Как будет'!BQ$45:BQ$52)</f>
        <v>0</v>
      </c>
      <c r="BQ262">
        <f>SUMIF('Как будет'!$A$45:$A$52,Доп.расчеты!$A262,'Как будет'!BR$45:BR$52)</f>
        <v>0</v>
      </c>
      <c r="BR262">
        <f>SUMIF('Как будет'!$A$45:$A$52,Доп.расчеты!$A262,'Как будет'!BS$45:BS$52)</f>
        <v>0</v>
      </c>
      <c r="BS262">
        <f>SUMIF('Как будет'!$A$45:$A$52,Доп.расчеты!$A262,'Как будет'!BT$45:BT$52)</f>
        <v>0</v>
      </c>
      <c r="BT262">
        <f>SUMIF('Как будет'!$A$45:$A$52,Доп.расчеты!$A262,'Как будет'!BU$45:BU$52)</f>
        <v>0</v>
      </c>
      <c r="BU262">
        <f>SUMIF('Как будет'!$A$45:$A$52,Доп.расчеты!$A262,'Как будет'!BV$45:BV$52)</f>
        <v>0</v>
      </c>
      <c r="BV262">
        <f>SUMIF('Как будет'!$A$45:$A$52,Доп.расчеты!$A262,'Как будет'!BW$45:BW$52)</f>
        <v>0</v>
      </c>
      <c r="BW262">
        <f>SUMIF('Как будет'!$A$45:$A$52,Доп.расчеты!$A262,'Как будет'!BX$45:BX$52)</f>
        <v>0</v>
      </c>
      <c r="BX262">
        <f>SUMIF('Как будет'!$A$45:$A$52,Доп.расчеты!$A262,'Как будет'!BY$45:BY$52)</f>
        <v>0</v>
      </c>
      <c r="BY262">
        <f>SUMIF('Как будет'!$A$45:$A$52,Доп.расчеты!$A262,'Как будет'!BZ$45:BZ$52)</f>
        <v>0</v>
      </c>
      <c r="BZ262">
        <f>SUMIF('Как будет'!$A$45:$A$52,Доп.расчеты!$A262,'Как будет'!CA$45:CA$52)</f>
        <v>0</v>
      </c>
      <c r="CA262">
        <f>SUMIF('Как будет'!$A$45:$A$52,Доп.расчеты!$A262,'Как будет'!CB$45:CB$52)</f>
        <v>0</v>
      </c>
      <c r="CB262">
        <f>SUMIF('Как будет'!$A$45:$A$52,Доп.расчеты!$A262,'Как будет'!CC$45:CC$52)</f>
        <v>0</v>
      </c>
      <c r="CC262">
        <f>SUMIF('Как будет'!$A$45:$A$52,Доп.расчеты!$A262,'Как будет'!CD$45:CD$52)</f>
        <v>0</v>
      </c>
      <c r="CD262">
        <f>SUMIF('Как будет'!$A$45:$A$52,Доп.расчеты!$A262,'Как будет'!CE$45:CE$52)</f>
        <v>0</v>
      </c>
      <c r="CE262">
        <f>SUMIF('Как будет'!$A$45:$A$52,Доп.расчеты!$A262,'Как будет'!CF$45:CF$52)</f>
        <v>0</v>
      </c>
      <c r="CF262">
        <f>SUMIF('Как будет'!$A$45:$A$52,Доп.расчеты!$A262,'Как будет'!CG$45:CG$52)</f>
        <v>0</v>
      </c>
      <c r="CG262">
        <f>SUMIF('Как будет'!$A$45:$A$52,Доп.расчеты!$A262,'Как будет'!CH$45:CH$52)</f>
        <v>0</v>
      </c>
      <c r="CH262">
        <f>SUMIF('Как будет'!$A$45:$A$52,Доп.расчеты!$A262,'Как будет'!CI$45:CI$52)</f>
        <v>0</v>
      </c>
      <c r="CI262">
        <f>SUMIF('Как будет'!$A$45:$A$52,Доп.расчеты!$A262,'Как будет'!CJ$45:CJ$52)</f>
        <v>0</v>
      </c>
      <c r="CJ262">
        <f>SUMIF('Как будет'!$A$45:$A$52,Доп.расчеты!$A262,'Как будет'!CK$45:CK$52)</f>
        <v>0</v>
      </c>
      <c r="CK262">
        <f>SUMIF('Как будет'!$A$45:$A$52,Доп.расчеты!$A262,'Как будет'!CL$45:CL$52)</f>
        <v>0</v>
      </c>
      <c r="CL262">
        <f>SUMIF('Как будет'!$A$45:$A$52,Доп.расчеты!$A262,'Как будет'!CM$45:CM$52)</f>
        <v>0</v>
      </c>
      <c r="CM262">
        <f>SUMIF('Как будет'!$A$45:$A$52,Доп.расчеты!$A262,'Как будет'!CN$45:CN$52)</f>
        <v>0</v>
      </c>
      <c r="CN262">
        <f>SUMIF('Как будет'!$A$45:$A$52,Доп.расчеты!$A262,'Как будет'!CO$45:CO$52)</f>
        <v>0</v>
      </c>
      <c r="CO262">
        <f>SUMIF('Как будет'!$A$45:$A$52,Доп.расчеты!$A262,'Как будет'!CP$45:CP$52)</f>
        <v>0</v>
      </c>
      <c r="CP262">
        <f>SUMIF('Как будет'!$A$45:$A$52,Доп.расчеты!$A262,'Как будет'!CQ$45:CQ$52)</f>
        <v>0</v>
      </c>
      <c r="CQ262">
        <f>SUMIF('Как будет'!$A$45:$A$52,Доп.расчеты!$A262,'Как будет'!CR$45:CR$52)</f>
        <v>0</v>
      </c>
      <c r="CR262">
        <f>SUMIF('Как будет'!$A$45:$A$52,Доп.расчеты!$A262,'Как будет'!CS$45:CS$52)</f>
        <v>0</v>
      </c>
      <c r="CS262">
        <f>SUMIF('Как будет'!$A$45:$A$52,Доп.расчеты!$A262,'Как будет'!CT$45:CT$52)</f>
        <v>0</v>
      </c>
      <c r="CT262">
        <f>SUMIF('Как будет'!$A$45:$A$52,Доп.расчеты!$A262,'Как будет'!CU$45:CU$52)</f>
        <v>0</v>
      </c>
      <c r="CU262">
        <f>SUMIF('Как будет'!$A$45:$A$52,Доп.расчеты!$A262,'Как будет'!CV$45:CV$52)</f>
        <v>0</v>
      </c>
      <c r="CV262">
        <f>SUMIF('Как будет'!$A$45:$A$52,Доп.расчеты!$A262,'Как будет'!CW$45:CW$52)</f>
        <v>0</v>
      </c>
      <c r="CW262">
        <f>SUMIF('Как будет'!$A$45:$A$52,Доп.расчеты!$A262,'Как будет'!CX$45:CX$52)</f>
        <v>0</v>
      </c>
      <c r="CX262">
        <f>SUMIF('Как будет'!$A$45:$A$52,Доп.расчеты!$A262,'Как будет'!CY$45:CY$52)</f>
        <v>0</v>
      </c>
      <c r="CY262">
        <f>SUMIF('Как будет'!$A$45:$A$52,Доп.расчеты!$A262,'Как будет'!CZ$45:CZ$52)</f>
        <v>0</v>
      </c>
      <c r="CZ262">
        <f>SUMIF('Как будет'!$A$45:$A$52,Доп.расчеты!$A262,'Как будет'!DA$45:DA$52)</f>
        <v>0</v>
      </c>
      <c r="DA262">
        <f>SUMIF('Как будет'!$A$45:$A$52,Доп.расчеты!$A262,'Как будет'!DB$45:DB$52)</f>
        <v>0</v>
      </c>
      <c r="DB262">
        <f>SUMIF('Как будет'!$A$45:$A$52,Доп.расчеты!$A262,'Как будет'!DC$45:DC$52)</f>
        <v>0</v>
      </c>
      <c r="DC262">
        <f>SUMIF('Как будет'!$A$45:$A$52,Доп.расчеты!$A262,'Как будет'!DD$45:DD$52)</f>
        <v>0</v>
      </c>
      <c r="DD262">
        <f>SUMIF('Как будет'!$A$45:$A$52,Доп.расчеты!$A262,'Как будет'!DE$45:DE$52)</f>
        <v>0</v>
      </c>
      <c r="DE262">
        <f>SUMIF('Как будет'!$A$45:$A$52,Доп.расчеты!$A262,'Как будет'!DF$45:DF$52)</f>
        <v>0</v>
      </c>
      <c r="DF262">
        <f>SUMIF('Как будет'!$A$45:$A$52,Доп.расчеты!$A262,'Как будет'!DG$45:DG$52)</f>
        <v>0</v>
      </c>
      <c r="DG262">
        <f>SUMIF('Как будет'!$A$45:$A$52,Доп.расчеты!$A262,'Как будет'!DH$45:DH$52)</f>
        <v>0</v>
      </c>
      <c r="DH262">
        <f>SUMIF('Как будет'!$A$45:$A$52,Доп.расчеты!$A262,'Как будет'!DI$45:DI$52)</f>
        <v>0</v>
      </c>
      <c r="DI262">
        <f>SUMIF('Как будет'!$A$45:$A$52,Доп.расчеты!$A262,'Как будет'!DJ$45:DJ$52)</f>
        <v>0</v>
      </c>
      <c r="DJ262">
        <f>SUMIF('Как будет'!$A$45:$A$52,Доп.расчеты!$A262,'Как будет'!DK$45:DK$52)</f>
        <v>0</v>
      </c>
      <c r="DK262">
        <f>SUMIF('Как будет'!$A$45:$A$52,Доп.расчеты!$A262,'Как будет'!DL$45:DL$52)</f>
        <v>0</v>
      </c>
      <c r="DL262">
        <f>SUMIF('Как будет'!$A$45:$A$52,Доп.расчеты!$A262,'Как будет'!DM$45:DM$52)</f>
        <v>0</v>
      </c>
      <c r="DM262">
        <f>SUMIF('Как будет'!$A$45:$A$52,Доп.расчеты!$A262,'Как будет'!DN$45:DN$52)</f>
        <v>0</v>
      </c>
      <c r="DN262">
        <f>SUMIF('Как будет'!$A$45:$A$52,Доп.расчеты!$A262,'Как будет'!DO$45:DO$52)</f>
        <v>0</v>
      </c>
      <c r="DO262">
        <f>SUMIF('Как будет'!$A$45:$A$52,Доп.расчеты!$A262,'Как будет'!DP$45:DP$52)</f>
        <v>0</v>
      </c>
      <c r="DP262">
        <f>SUMIF('Как будет'!$A$45:$A$52,Доп.расчеты!$A262,'Как будет'!DQ$45:DQ$52)</f>
        <v>0</v>
      </c>
      <c r="DQ262">
        <f>SUMIF('Как будет'!$A$45:$A$52,Доп.расчеты!$A262,'Как будет'!DR$45:DR$52)</f>
        <v>0</v>
      </c>
      <c r="DR262">
        <f>SUMIF('Как будет'!$A$45:$A$52,Доп.расчеты!$A262,'Как будет'!DS$45:DS$52)</f>
        <v>0</v>
      </c>
      <c r="DS262">
        <f>SUMIF('Как будет'!$A$45:$A$52,Доп.расчеты!$A262,'Как будет'!DT$45:DT$52)</f>
        <v>0</v>
      </c>
      <c r="DT262">
        <f>SUMIF('Как будет'!$A$45:$A$52,Доп.расчеты!$A262,'Как будет'!DU$45:DU$52)</f>
        <v>0</v>
      </c>
      <c r="DU262">
        <f>SUMIF('Как будет'!$A$45:$A$52,Доп.расчеты!$A262,'Как будет'!DV$45:DV$52)</f>
        <v>0</v>
      </c>
      <c r="DV262">
        <f>SUMIF('Как будет'!$A$45:$A$52,Доп.расчеты!$A262,'Как будет'!DW$45:DW$52)</f>
        <v>0</v>
      </c>
      <c r="DW262">
        <f>SUMIF('Как будет'!$A$45:$A$52,Доп.расчеты!$A262,'Как будет'!DX$45:DX$52)</f>
        <v>0</v>
      </c>
      <c r="DX262">
        <f>SUMIF('Как будет'!$A$45:$A$52,Доп.расчеты!$A262,'Как будет'!DY$45:DY$52)</f>
        <v>0</v>
      </c>
      <c r="DY262">
        <f>SUMIF('Как будет'!$A$45:$A$52,Доп.расчеты!$A262,'Как будет'!DZ$45:DZ$52)</f>
        <v>0</v>
      </c>
      <c r="DZ262">
        <f>SUMIF('Как будет'!$A$45:$A$52,Доп.расчеты!$A262,'Как будет'!EA$45:EA$52)</f>
        <v>0</v>
      </c>
      <c r="EA262">
        <f>SUMIF('Как будет'!$A$45:$A$52,Доп.расчеты!$A262,'Как будет'!EB$45:EB$52)</f>
        <v>0</v>
      </c>
      <c r="EB262">
        <f>SUMIF('Как будет'!$A$45:$A$52,Доп.расчеты!$A262,'Как будет'!EC$45:EC$52)</f>
        <v>0</v>
      </c>
      <c r="EC262">
        <f>SUMIF('Как будет'!$A$45:$A$52,Доп.расчеты!$A262,'Как будет'!ED$45:ED$52)</f>
        <v>0</v>
      </c>
      <c r="ED262">
        <f>SUMIF('Как будет'!$A$45:$A$52,Доп.расчеты!$A262,'Как будет'!EE$45:EE$52)</f>
        <v>0</v>
      </c>
      <c r="EE262">
        <f>SUMIF('Как будет'!$A$45:$A$52,Доп.расчеты!$A262,'Как будет'!EF$45:EF$52)</f>
        <v>0</v>
      </c>
      <c r="EF262">
        <f>SUMIF('Как будет'!$A$45:$A$52,Доп.расчеты!$A262,'Как будет'!EG$45:EG$52)</f>
        <v>0</v>
      </c>
      <c r="EG262">
        <f>SUMIF('Как будет'!$A$45:$A$52,Доп.расчеты!$A262,'Как будет'!EH$45:EH$52)</f>
        <v>0</v>
      </c>
      <c r="EH262">
        <f>SUMIF('Как будет'!$A$45:$A$52,Доп.расчеты!$A262,'Как будет'!EI$45:EI$52)</f>
        <v>0</v>
      </c>
      <c r="EI262">
        <f>SUMIF('Как будет'!$A$45:$A$52,Доп.расчеты!$A262,'Как будет'!EJ$45:EJ$52)</f>
        <v>0</v>
      </c>
      <c r="EJ262">
        <f>SUMIF('Как будет'!$A$45:$A$52,Доп.расчеты!$A262,'Как будет'!EK$45:EK$52)</f>
        <v>0</v>
      </c>
      <c r="EK262">
        <f>SUMIF('Как будет'!$A$45:$A$52,Доп.расчеты!$A262,'Как будет'!EL$45:EL$52)</f>
        <v>0</v>
      </c>
      <c r="EL262">
        <f>SUMIF('Как будет'!$A$45:$A$52,Доп.расчеты!$A262,'Как будет'!EM$45:EM$52)</f>
        <v>0</v>
      </c>
      <c r="EM262">
        <f>SUMIF('Как будет'!$A$45:$A$52,Доп.расчеты!$A262,'Как будет'!EN$45:EN$52)</f>
        <v>0</v>
      </c>
      <c r="EN262">
        <f>SUMIF('Как будет'!$A$45:$A$52,Доп.расчеты!$A262,'Как будет'!EO$45:EO$52)</f>
        <v>0</v>
      </c>
      <c r="EO262">
        <f>SUMIF('Как будет'!$A$45:$A$52,Доп.расчеты!$A262,'Как будет'!EP$45:EP$52)</f>
        <v>0</v>
      </c>
      <c r="EP262">
        <f>SUMIF('Как будет'!$A$45:$A$52,Доп.расчеты!$A262,'Как будет'!EQ$45:EQ$52)</f>
        <v>0</v>
      </c>
      <c r="EQ262">
        <f>SUMIF('Как будет'!$A$45:$A$52,Доп.расчеты!$A262,'Как будет'!ER$45:ER$52)</f>
        <v>0</v>
      </c>
      <c r="ER262">
        <f>SUMIF('Как будет'!$A$45:$A$52,Доп.расчеты!$A262,'Как будет'!ES$45:ES$52)</f>
        <v>0</v>
      </c>
      <c r="ES262">
        <f>SUMIF('Как будет'!$A$45:$A$52,Доп.расчеты!$A262,'Как будет'!ET$45:ET$52)</f>
        <v>0</v>
      </c>
      <c r="ET262">
        <f>SUMIF('Как будет'!$A$45:$A$52,Доп.расчеты!$A262,'Как будет'!EU$45:EU$52)</f>
        <v>0</v>
      </c>
      <c r="EU262">
        <f>SUMIF('Как будет'!$A$45:$A$52,Доп.расчеты!$A262,'Как будет'!EV$45:EV$52)</f>
        <v>0</v>
      </c>
      <c r="EV262">
        <f>SUMIF('Как будет'!$A$45:$A$52,Доп.расчеты!$A262,'Как будет'!EW$45:EW$52)</f>
        <v>0</v>
      </c>
      <c r="EW262">
        <f>SUMIF('Как будет'!$A$45:$A$52,Доп.расчеты!$A262,'Как будет'!EX$45:EX$52)</f>
        <v>0</v>
      </c>
      <c r="EX262">
        <f>SUMIF('Как будет'!$A$45:$A$52,Доп.расчеты!$A262,'Как будет'!EY$45:EY$52)</f>
        <v>0</v>
      </c>
      <c r="EY262">
        <f>SUMIF('Как будет'!$A$45:$A$52,Доп.расчеты!$A262,'Как будет'!EZ$45:EZ$52)</f>
        <v>0</v>
      </c>
      <c r="EZ262">
        <f>SUMIF('Как будет'!$A$45:$A$52,Доп.расчеты!$A262,'Как будет'!FA$45:FA$52)</f>
        <v>0</v>
      </c>
      <c r="FA262">
        <f>SUMIF('Как будет'!$A$45:$A$52,Доп.расчеты!$A262,'Как будет'!FB$45:FB$52)</f>
        <v>0</v>
      </c>
      <c r="FB262">
        <f>SUMIF('Как будет'!$A$45:$A$52,Доп.расчеты!$A262,'Как будет'!FC$45:FC$52)</f>
        <v>0</v>
      </c>
      <c r="FC262">
        <f>SUMIF('Как будет'!$A$45:$A$52,Доп.расчеты!$A262,'Как будет'!FD$45:FD$52)</f>
        <v>0</v>
      </c>
      <c r="FD262">
        <f>SUMIF('Как будет'!$A$45:$A$52,Доп.расчеты!$A262,'Как будет'!FE$45:FE$52)</f>
        <v>0</v>
      </c>
      <c r="FE262">
        <f>SUMIF('Как будет'!$A$45:$A$52,Доп.расчеты!$A262,'Как будет'!FF$45:FF$52)</f>
        <v>0</v>
      </c>
      <c r="FF262">
        <f>SUMIF('Как будет'!$A$45:$A$52,Доп.расчеты!$A262,'Как будет'!FG$45:FG$52)</f>
        <v>0</v>
      </c>
      <c r="FG262">
        <f>SUMIF('Как будет'!$A$45:$A$52,Доп.расчеты!$A262,'Как будет'!FH$45:FH$52)</f>
        <v>0</v>
      </c>
      <c r="FH262">
        <f>SUMIF('Как будет'!$A$45:$A$52,Доп.расчеты!$A262,'Как будет'!FI$45:FI$52)</f>
        <v>0</v>
      </c>
      <c r="FI262">
        <f>SUMIF('Как будет'!$A$45:$A$52,Доп.расчеты!$A262,'Как будет'!FJ$45:FJ$52)</f>
        <v>0</v>
      </c>
      <c r="FJ262">
        <f>SUMIF('Как будет'!$A$45:$A$52,Доп.расчеты!$A262,'Как будет'!FK$45:FK$52)</f>
        <v>0</v>
      </c>
      <c r="FK262">
        <f>SUMIF('Как будет'!$A$45:$A$52,Доп.расчеты!$A262,'Как будет'!FL$45:FL$52)</f>
        <v>0</v>
      </c>
      <c r="FL262">
        <f>SUMIF('Как будет'!$A$45:$A$52,Доп.расчеты!$A262,'Как будет'!FM$45:FM$52)</f>
        <v>0</v>
      </c>
      <c r="FM262">
        <f>SUMIF('Как будет'!$A$45:$A$52,Доп.расчеты!$A262,'Как будет'!FN$45:FN$52)</f>
        <v>0</v>
      </c>
      <c r="FN262">
        <f>SUMIF('Как будет'!$A$45:$A$52,Доп.расчеты!$A262,'Как будет'!FO$45:FO$52)</f>
        <v>0</v>
      </c>
      <c r="FO262">
        <f>SUMIF('Как будет'!$A$45:$A$52,Доп.расчеты!$A262,'Как будет'!FP$45:FP$52)</f>
        <v>0</v>
      </c>
      <c r="FP262">
        <f>SUMIF('Как будет'!$A$45:$A$52,Доп.расчеты!$A262,'Как будет'!FQ$45:FQ$52)</f>
        <v>0</v>
      </c>
      <c r="FQ262">
        <f>SUMIF('Как будет'!$A$45:$A$52,Доп.расчеты!$A262,'Как будет'!FR$45:FR$52)</f>
        <v>0</v>
      </c>
      <c r="FR262">
        <f>SUMIF('Как будет'!$A$45:$A$52,Доп.расчеты!$A262,'Как будет'!FS$45:FS$52)</f>
        <v>0</v>
      </c>
      <c r="FS262">
        <f>SUMIF('Как будет'!$A$45:$A$52,Доп.расчеты!$A262,'Как будет'!FT$45:FT$52)</f>
        <v>0</v>
      </c>
      <c r="FT262">
        <f>SUMIF('Как будет'!$A$45:$A$52,Доп.расчеты!$A262,'Как будет'!FU$45:FU$52)</f>
        <v>0</v>
      </c>
      <c r="FU262">
        <f>SUMIF('Как будет'!$A$45:$A$52,Доп.расчеты!$A262,'Как будет'!FV$45:FV$52)</f>
        <v>0</v>
      </c>
      <c r="FV262">
        <f>SUMIF('Как будет'!$A$45:$A$52,Доп.расчеты!$A262,'Как будет'!FW$45:FW$52)</f>
        <v>0</v>
      </c>
      <c r="FW262">
        <f>SUMIF('Как будет'!$A$45:$A$52,Доп.расчеты!$A262,'Как будет'!FX$45:FX$52)</f>
        <v>0</v>
      </c>
      <c r="FX262">
        <f>SUMIF('Как будет'!$A$45:$A$52,Доп.расчеты!$A262,'Как будет'!FY$45:FY$52)</f>
        <v>0</v>
      </c>
      <c r="FY262">
        <f>SUMIF('Как будет'!$A$45:$A$52,Доп.расчеты!$A262,'Как будет'!FZ$45:FZ$52)</f>
        <v>0</v>
      </c>
      <c r="FZ262">
        <f>SUMIF('Как будет'!$A$45:$A$52,Доп.расчеты!$A262,'Как будет'!GA$45:GA$52)</f>
        <v>0</v>
      </c>
      <c r="GA262">
        <f>SUMIF('Как будет'!$A$45:$A$52,Доп.расчеты!$A262,'Как будет'!GB$45:GB$52)</f>
        <v>0</v>
      </c>
      <c r="GB262">
        <f>SUMIF('Как будет'!$A$45:$A$52,Доп.расчеты!$A262,'Как будет'!GC$45:GC$52)</f>
        <v>0</v>
      </c>
      <c r="GC262">
        <f>SUMIF('Как будет'!$A$45:$A$52,Доп.расчеты!$A262,'Как будет'!GD$45:GD$52)</f>
        <v>0</v>
      </c>
      <c r="GD262">
        <f>SUMIF('Как будет'!$A$45:$A$52,Доп.расчеты!$A262,'Как будет'!GE$45:GE$52)</f>
        <v>0</v>
      </c>
      <c r="GE262">
        <f>SUMIF('Как будет'!$A$45:$A$52,Доп.расчеты!$A262,'Как будет'!GF$45:GF$52)</f>
        <v>0</v>
      </c>
      <c r="GF262">
        <f>SUMIF('Как будет'!$A$45:$A$52,Доп.расчеты!$A262,'Как будет'!GG$45:GG$52)</f>
        <v>0</v>
      </c>
      <c r="GG262">
        <f>SUMIF('Как будет'!$A$45:$A$52,Доп.расчеты!$A262,'Как будет'!GH$45:GH$52)</f>
        <v>0</v>
      </c>
      <c r="GH262">
        <f>SUMIF('Как будет'!$A$45:$A$52,Доп.расчеты!$A262,'Как будет'!GI$45:GI$52)</f>
        <v>0</v>
      </c>
      <c r="GI262">
        <f>SUMIF('Как будет'!$A$45:$A$52,Доп.расчеты!$A262,'Как будет'!GJ$45:GJ$52)</f>
        <v>0</v>
      </c>
      <c r="GJ262">
        <f>SUMIF('Как будет'!$A$45:$A$52,Доп.расчеты!$A262,'Как будет'!GK$45:GK$52)</f>
        <v>0</v>
      </c>
      <c r="GK262">
        <f>SUMIF('Как будет'!$A$45:$A$52,Доп.расчеты!$A262,'Как будет'!GL$45:GL$52)</f>
        <v>0</v>
      </c>
      <c r="GL262">
        <f>SUMIF('Как будет'!$A$45:$A$52,Доп.расчеты!$A262,'Как будет'!GM$45:GM$52)</f>
        <v>0</v>
      </c>
      <c r="GM262">
        <f>SUMIF('Как будет'!$A$45:$A$52,Доп.расчеты!$A262,'Как будет'!GN$45:GN$52)</f>
        <v>0</v>
      </c>
      <c r="GN262">
        <f>SUMIF('Как будет'!$A$45:$A$52,Доп.расчеты!$A262,'Как будет'!GO$45:GO$52)</f>
        <v>0</v>
      </c>
      <c r="GO262">
        <f>SUMIF('Как будет'!$A$45:$A$52,Доп.расчеты!$A262,'Как будет'!GP$45:GP$52)</f>
        <v>0</v>
      </c>
      <c r="GP262">
        <f>SUMIF('Как будет'!$A$45:$A$52,Доп.расчеты!$A262,'Как будет'!GQ$45:GQ$52)</f>
        <v>0</v>
      </c>
      <c r="GQ262">
        <f>SUMIF('Как будет'!$A$45:$A$52,Доп.расчеты!$A262,'Как будет'!GR$45:GR$52)</f>
        <v>0</v>
      </c>
      <c r="GR262">
        <f>SUMIF('Как будет'!$A$45:$A$52,Доп.расчеты!$A262,'Как будет'!GS$45:GS$52)</f>
        <v>0</v>
      </c>
      <c r="GS262">
        <f>SUMIF('Как будет'!$A$45:$A$52,Доп.расчеты!$A262,'Как будет'!GT$45:GT$52)</f>
        <v>0</v>
      </c>
      <c r="GT262">
        <f>SUMIF('Как будет'!$A$45:$A$52,Доп.расчеты!$A262,'Как будет'!GU$45:GU$52)</f>
        <v>0</v>
      </c>
    </row>
    <row r="263" spans="1:202">
      <c r="A263" s="234" t="s">
        <v>249</v>
      </c>
    </row>
    <row r="264" spans="1:202">
      <c r="A264" s="237" t="s">
        <v>23</v>
      </c>
      <c r="B264">
        <f>SUMIF('Как будет'!$A$54:$A$61,Доп.расчеты!$A264,'Как будет'!C$54:C$61)</f>
        <v>0</v>
      </c>
      <c r="C264">
        <f>SUMIF('Как будет'!$A$54:$A$61,Доп.расчеты!$A264,'Как будет'!D$54:D$61)</f>
        <v>0</v>
      </c>
      <c r="D264">
        <f>SUMIF('Как будет'!$A$54:$A$61,Доп.расчеты!$A264,'Как будет'!E$54:E$61)</f>
        <v>0</v>
      </c>
      <c r="E264">
        <f>SUMIF('Как будет'!$A$54:$A$61,Доп.расчеты!$A264,'Как будет'!F$54:F$61)</f>
        <v>0</v>
      </c>
      <c r="F264">
        <f>SUMIF('Как будет'!$A$54:$A$61,Доп.расчеты!$A264,'Как будет'!G$54:G$61)</f>
        <v>0</v>
      </c>
      <c r="G264">
        <f>SUMIF('Как будет'!$A$54:$A$61,Доп.расчеты!$A264,'Как будет'!H$54:H$61)</f>
        <v>0</v>
      </c>
      <c r="H264">
        <f>SUMIF('Как будет'!$A$54:$A$61,Доп.расчеты!$A264,'Как будет'!I$54:I$61)</f>
        <v>0</v>
      </c>
      <c r="I264">
        <f>SUMIF('Как будет'!$A$54:$A$61,Доп.расчеты!$A264,'Как будет'!J$54:J$61)</f>
        <v>0</v>
      </c>
      <c r="J264">
        <f>SUMIF('Как будет'!$A$54:$A$61,Доп.расчеты!$A264,'Как будет'!K$54:K$61)</f>
        <v>0</v>
      </c>
      <c r="K264">
        <f>SUMIF('Как будет'!$A$54:$A$61,Доп.расчеты!$A264,'Как будет'!L$54:L$61)</f>
        <v>0</v>
      </c>
      <c r="L264">
        <f>SUMIF('Как будет'!$A$54:$A$61,Доп.расчеты!$A264,'Как будет'!M$54:M$61)</f>
        <v>0</v>
      </c>
      <c r="M264">
        <f>SUMIF('Как будет'!$A$54:$A$61,Доп.расчеты!$A264,'Как будет'!N$54:N$61)</f>
        <v>0</v>
      </c>
      <c r="N264">
        <f>SUMIF('Как будет'!$A$54:$A$61,Доп.расчеты!$A264,'Как будет'!O$54:O$61)</f>
        <v>0</v>
      </c>
      <c r="O264">
        <f>SUMIF('Как будет'!$A$54:$A$61,Доп.расчеты!$A264,'Как будет'!P$54:P$61)</f>
        <v>0</v>
      </c>
      <c r="P264">
        <f>SUMIF('Как будет'!$A$54:$A$61,Доп.расчеты!$A264,'Как будет'!Q$54:Q$61)</f>
        <v>0</v>
      </c>
      <c r="Q264">
        <f>SUMIF('Как будет'!$A$54:$A$61,Доп.расчеты!$A264,'Как будет'!R$54:R$61)</f>
        <v>0</v>
      </c>
      <c r="R264">
        <f>SUMIF('Как будет'!$A$54:$A$61,Доп.расчеты!$A264,'Как будет'!S$54:S$61)</f>
        <v>0</v>
      </c>
      <c r="S264">
        <f>SUMIF('Как будет'!$A$54:$A$61,Доп.расчеты!$A264,'Как будет'!T$54:T$61)</f>
        <v>0</v>
      </c>
      <c r="T264">
        <f>SUMIF('Как будет'!$A$54:$A$61,Доп.расчеты!$A264,'Как будет'!U$54:U$61)</f>
        <v>0</v>
      </c>
      <c r="U264">
        <f>SUMIF('Как будет'!$A$54:$A$61,Доп.расчеты!$A264,'Как будет'!V$54:V$61)</f>
        <v>0</v>
      </c>
      <c r="V264">
        <f>SUMIF('Как будет'!$A$54:$A$61,Доп.расчеты!$A264,'Как будет'!W$54:W$61)</f>
        <v>0</v>
      </c>
      <c r="W264">
        <f>SUMIF('Как будет'!$A$54:$A$61,Доп.расчеты!$A264,'Как будет'!X$54:X$61)</f>
        <v>0</v>
      </c>
      <c r="X264">
        <f>SUMIF('Как будет'!$A$54:$A$61,Доп.расчеты!$A264,'Как будет'!Y$54:Y$61)</f>
        <v>0</v>
      </c>
      <c r="Y264">
        <f>SUMIF('Как будет'!$A$54:$A$61,Доп.расчеты!$A264,'Как будет'!Z$54:Z$61)</f>
        <v>0</v>
      </c>
      <c r="Z264">
        <f>SUMIF('Как будет'!$A$54:$A$61,Доп.расчеты!$A264,'Как будет'!AA$54:AA$61)</f>
        <v>0</v>
      </c>
      <c r="AA264">
        <f>SUMIF('Как будет'!$A$54:$A$61,Доп.расчеты!$A264,'Как будет'!AB$54:AB$61)</f>
        <v>0</v>
      </c>
      <c r="AB264">
        <f>SUMIF('Как будет'!$A$54:$A$61,Доп.расчеты!$A264,'Как будет'!AC$54:AC$61)</f>
        <v>0</v>
      </c>
      <c r="AC264">
        <f>SUMIF('Как будет'!$A$54:$A$61,Доп.расчеты!$A264,'Как будет'!AD$54:AD$61)</f>
        <v>0</v>
      </c>
      <c r="AD264">
        <f>SUMIF('Как будет'!$A$54:$A$61,Доп.расчеты!$A264,'Как будет'!AE$54:AE$61)</f>
        <v>0</v>
      </c>
      <c r="AE264">
        <f>SUMIF('Как будет'!$A$54:$A$61,Доп.расчеты!$A264,'Как будет'!AF$54:AF$61)</f>
        <v>0</v>
      </c>
      <c r="AF264">
        <f>SUMIF('Как будет'!$A$54:$A$61,Доп.расчеты!$A264,'Как будет'!AG$54:AG$61)</f>
        <v>0</v>
      </c>
      <c r="AG264">
        <f>SUMIF('Как будет'!$A$54:$A$61,Доп.расчеты!$A264,'Как будет'!AH$54:AH$61)</f>
        <v>0</v>
      </c>
      <c r="AH264">
        <f>SUMIF('Как будет'!$A$54:$A$61,Доп.расчеты!$A264,'Как будет'!AI$54:AI$61)</f>
        <v>0</v>
      </c>
      <c r="AI264">
        <f>SUMIF('Как будет'!$A$54:$A$61,Доп.расчеты!$A264,'Как будет'!AJ$54:AJ$61)</f>
        <v>0</v>
      </c>
      <c r="AJ264">
        <f>SUMIF('Как будет'!$A$54:$A$61,Доп.расчеты!$A264,'Как будет'!AK$54:AK$61)</f>
        <v>0</v>
      </c>
      <c r="AK264">
        <f>SUMIF('Как будет'!$A$54:$A$61,Доп.расчеты!$A264,'Как будет'!AL$54:AL$61)</f>
        <v>0</v>
      </c>
      <c r="AL264">
        <f>SUMIF('Как будет'!$A$54:$A$61,Доп.расчеты!$A264,'Как будет'!AM$54:AM$61)</f>
        <v>0</v>
      </c>
      <c r="AM264">
        <f>SUMIF('Как будет'!$A$54:$A$61,Доп.расчеты!$A264,'Как будет'!AN$54:AN$61)</f>
        <v>0</v>
      </c>
      <c r="AN264">
        <f>SUMIF('Как будет'!$A$54:$A$61,Доп.расчеты!$A264,'Как будет'!AO$54:AO$61)</f>
        <v>0</v>
      </c>
      <c r="AO264">
        <f>SUMIF('Как будет'!$A$54:$A$61,Доп.расчеты!$A264,'Как будет'!AP$54:AP$61)</f>
        <v>0</v>
      </c>
      <c r="AP264">
        <f>SUMIF('Как будет'!$A$54:$A$61,Доп.расчеты!$A264,'Как будет'!AQ$54:AQ$61)</f>
        <v>0</v>
      </c>
      <c r="AQ264">
        <f>SUMIF('Как будет'!$A$54:$A$61,Доп.расчеты!$A264,'Как будет'!AR$54:AR$61)</f>
        <v>0</v>
      </c>
      <c r="AR264">
        <f>SUMIF('Как будет'!$A$54:$A$61,Доп.расчеты!$A264,'Как будет'!AS$54:AS$61)</f>
        <v>0</v>
      </c>
      <c r="AS264">
        <f>SUMIF('Как будет'!$A$54:$A$61,Доп.расчеты!$A264,'Как будет'!AT$54:AT$61)</f>
        <v>0</v>
      </c>
      <c r="AT264">
        <f>SUMIF('Как будет'!$A$54:$A$61,Доп.расчеты!$A264,'Как будет'!AU$54:AU$61)</f>
        <v>0</v>
      </c>
      <c r="AU264">
        <f>SUMIF('Как будет'!$A$54:$A$61,Доп.расчеты!$A264,'Как будет'!AV$54:AV$61)</f>
        <v>0</v>
      </c>
      <c r="AV264">
        <f>SUMIF('Как будет'!$A$54:$A$61,Доп.расчеты!$A264,'Как будет'!AW$54:AW$61)</f>
        <v>0</v>
      </c>
      <c r="AW264">
        <f>SUMIF('Как будет'!$A$54:$A$61,Доп.расчеты!$A264,'Как будет'!AX$54:AX$61)</f>
        <v>0</v>
      </c>
      <c r="AX264">
        <f>SUMIF('Как будет'!$A$54:$A$61,Доп.расчеты!$A264,'Как будет'!AY$54:AY$61)</f>
        <v>0</v>
      </c>
      <c r="AY264">
        <f>SUMIF('Как будет'!$A$54:$A$61,Доп.расчеты!$A264,'Как будет'!AZ$54:AZ$61)</f>
        <v>0</v>
      </c>
      <c r="AZ264">
        <f>SUMIF('Как будет'!$A$54:$A$61,Доп.расчеты!$A264,'Как будет'!BA$54:BA$61)</f>
        <v>0</v>
      </c>
      <c r="BA264">
        <f>SUMIF('Как будет'!$A$54:$A$61,Доп.расчеты!$A264,'Как будет'!BB$54:BB$61)</f>
        <v>0</v>
      </c>
      <c r="BB264">
        <f>SUMIF('Как будет'!$A$54:$A$61,Доп.расчеты!$A264,'Как будет'!BC$54:BC$61)</f>
        <v>0</v>
      </c>
      <c r="BC264">
        <f>SUMIF('Как будет'!$A$54:$A$61,Доп.расчеты!$A264,'Как будет'!BD$54:BD$61)</f>
        <v>0</v>
      </c>
      <c r="BD264">
        <f>SUMIF('Как будет'!$A$54:$A$61,Доп.расчеты!$A264,'Как будет'!BE$54:BE$61)</f>
        <v>0</v>
      </c>
      <c r="BE264">
        <f>SUMIF('Как будет'!$A$54:$A$61,Доп.расчеты!$A264,'Как будет'!BF$54:BF$61)</f>
        <v>0</v>
      </c>
      <c r="BF264">
        <f>SUMIF('Как будет'!$A$54:$A$61,Доп.расчеты!$A264,'Как будет'!BG$54:BG$61)</f>
        <v>0</v>
      </c>
      <c r="BG264">
        <f>SUMIF('Как будет'!$A$54:$A$61,Доп.расчеты!$A264,'Как будет'!BH$54:BH$61)</f>
        <v>0</v>
      </c>
      <c r="BH264">
        <f>SUMIF('Как будет'!$A$54:$A$61,Доп.расчеты!$A264,'Как будет'!BI$54:BI$61)</f>
        <v>0</v>
      </c>
      <c r="BI264">
        <f>SUMIF('Как будет'!$A$54:$A$61,Доп.расчеты!$A264,'Как будет'!BJ$54:BJ$61)</f>
        <v>0</v>
      </c>
      <c r="BJ264">
        <f>SUMIF('Как будет'!$A$54:$A$61,Доп.расчеты!$A264,'Как будет'!BK$54:BK$61)</f>
        <v>0</v>
      </c>
      <c r="BK264">
        <f>SUMIF('Как будет'!$A$54:$A$61,Доп.расчеты!$A264,'Как будет'!BL$54:BL$61)</f>
        <v>0</v>
      </c>
      <c r="BL264">
        <f>SUMIF('Как будет'!$A$54:$A$61,Доп.расчеты!$A264,'Как будет'!BM$54:BM$61)</f>
        <v>0</v>
      </c>
      <c r="BM264">
        <f>SUMIF('Как будет'!$A$54:$A$61,Доп.расчеты!$A264,'Как будет'!BN$54:BN$61)</f>
        <v>0</v>
      </c>
      <c r="BN264">
        <f>SUMIF('Как будет'!$A$54:$A$61,Доп.расчеты!$A264,'Как будет'!BO$54:BO$61)</f>
        <v>0</v>
      </c>
      <c r="BO264">
        <f>SUMIF('Как будет'!$A$54:$A$61,Доп.расчеты!$A264,'Как будет'!BP$54:BP$61)</f>
        <v>0</v>
      </c>
      <c r="BP264">
        <f>SUMIF('Как будет'!$A$54:$A$61,Доп.расчеты!$A264,'Как будет'!BQ$54:BQ$61)</f>
        <v>0</v>
      </c>
      <c r="BQ264">
        <f>SUMIF('Как будет'!$A$54:$A$61,Доп.расчеты!$A264,'Как будет'!BR$54:BR$61)</f>
        <v>0</v>
      </c>
      <c r="BR264">
        <f>SUMIF('Как будет'!$A$54:$A$61,Доп.расчеты!$A264,'Как будет'!BS$54:BS$61)</f>
        <v>0</v>
      </c>
      <c r="BS264">
        <f>SUMIF('Как будет'!$A$54:$A$61,Доп.расчеты!$A264,'Как будет'!BT$54:BT$61)</f>
        <v>0</v>
      </c>
      <c r="BT264">
        <f>SUMIF('Как будет'!$A$54:$A$61,Доп.расчеты!$A264,'Как будет'!BU$54:BU$61)</f>
        <v>0</v>
      </c>
      <c r="BU264">
        <f>SUMIF('Как будет'!$A$54:$A$61,Доп.расчеты!$A264,'Как будет'!BV$54:BV$61)</f>
        <v>0</v>
      </c>
      <c r="BV264">
        <f>SUMIF('Как будет'!$A$54:$A$61,Доп.расчеты!$A264,'Как будет'!BW$54:BW$61)</f>
        <v>0</v>
      </c>
      <c r="BW264">
        <f>SUMIF('Как будет'!$A$54:$A$61,Доп.расчеты!$A264,'Как будет'!BX$54:BX$61)</f>
        <v>0</v>
      </c>
      <c r="BX264">
        <f>SUMIF('Как будет'!$A$54:$A$61,Доп.расчеты!$A264,'Как будет'!BY$54:BY$61)</f>
        <v>0</v>
      </c>
      <c r="BY264">
        <f>SUMIF('Как будет'!$A$54:$A$61,Доп.расчеты!$A264,'Как будет'!BZ$54:BZ$61)</f>
        <v>0</v>
      </c>
      <c r="BZ264">
        <f>SUMIF('Как будет'!$A$54:$A$61,Доп.расчеты!$A264,'Как будет'!CA$54:CA$61)</f>
        <v>0</v>
      </c>
      <c r="CA264">
        <f>SUMIF('Как будет'!$A$54:$A$61,Доп.расчеты!$A264,'Как будет'!CB$54:CB$61)</f>
        <v>0</v>
      </c>
      <c r="CB264">
        <f>SUMIF('Как будет'!$A$54:$A$61,Доп.расчеты!$A264,'Как будет'!CC$54:CC$61)</f>
        <v>0</v>
      </c>
      <c r="CC264">
        <f>SUMIF('Как будет'!$A$54:$A$61,Доп.расчеты!$A264,'Как будет'!CD$54:CD$61)</f>
        <v>0</v>
      </c>
      <c r="CD264">
        <f>SUMIF('Как будет'!$A$54:$A$61,Доп.расчеты!$A264,'Как будет'!CE$54:CE$61)</f>
        <v>0</v>
      </c>
      <c r="CE264">
        <f>SUMIF('Как будет'!$A$54:$A$61,Доп.расчеты!$A264,'Как будет'!CF$54:CF$61)</f>
        <v>0</v>
      </c>
      <c r="CF264">
        <f>SUMIF('Как будет'!$A$54:$A$61,Доп.расчеты!$A264,'Как будет'!CG$54:CG$61)</f>
        <v>0</v>
      </c>
      <c r="CG264">
        <f>SUMIF('Как будет'!$A$54:$A$61,Доп.расчеты!$A264,'Как будет'!CH$54:CH$61)</f>
        <v>0</v>
      </c>
      <c r="CH264">
        <f>SUMIF('Как будет'!$A$54:$A$61,Доп.расчеты!$A264,'Как будет'!CI$54:CI$61)</f>
        <v>0</v>
      </c>
      <c r="CI264">
        <f>SUMIF('Как будет'!$A$54:$A$61,Доп.расчеты!$A264,'Как будет'!CJ$54:CJ$61)</f>
        <v>0</v>
      </c>
      <c r="CJ264">
        <f>SUMIF('Как будет'!$A$54:$A$61,Доп.расчеты!$A264,'Как будет'!CK$54:CK$61)</f>
        <v>0</v>
      </c>
      <c r="CK264">
        <f>SUMIF('Как будет'!$A$54:$A$61,Доп.расчеты!$A264,'Как будет'!CL$54:CL$61)</f>
        <v>0</v>
      </c>
      <c r="CL264">
        <f>SUMIF('Как будет'!$A$54:$A$61,Доп.расчеты!$A264,'Как будет'!CM$54:CM$61)</f>
        <v>0</v>
      </c>
      <c r="CM264">
        <f>SUMIF('Как будет'!$A$54:$A$61,Доп.расчеты!$A264,'Как будет'!CN$54:CN$61)</f>
        <v>0</v>
      </c>
      <c r="CN264">
        <f>SUMIF('Как будет'!$A$54:$A$61,Доп.расчеты!$A264,'Как будет'!CO$54:CO$61)</f>
        <v>0</v>
      </c>
      <c r="CO264">
        <f>SUMIF('Как будет'!$A$54:$A$61,Доп.расчеты!$A264,'Как будет'!CP$54:CP$61)</f>
        <v>0</v>
      </c>
      <c r="CP264">
        <f>SUMIF('Как будет'!$A$54:$A$61,Доп.расчеты!$A264,'Как будет'!CQ$54:CQ$61)</f>
        <v>0</v>
      </c>
      <c r="CQ264">
        <f>SUMIF('Как будет'!$A$54:$A$61,Доп.расчеты!$A264,'Как будет'!CR$54:CR$61)</f>
        <v>0</v>
      </c>
      <c r="CR264">
        <f>SUMIF('Как будет'!$A$54:$A$61,Доп.расчеты!$A264,'Как будет'!CS$54:CS$61)</f>
        <v>0</v>
      </c>
      <c r="CS264">
        <f>SUMIF('Как будет'!$A$54:$A$61,Доп.расчеты!$A264,'Как будет'!CT$54:CT$61)</f>
        <v>0</v>
      </c>
      <c r="CT264">
        <f>SUMIF('Как будет'!$A$54:$A$61,Доп.расчеты!$A264,'Как будет'!CU$54:CU$61)</f>
        <v>0</v>
      </c>
      <c r="CU264">
        <f>SUMIF('Как будет'!$A$54:$A$61,Доп.расчеты!$A264,'Как будет'!CV$54:CV$61)</f>
        <v>0</v>
      </c>
      <c r="CV264">
        <f>SUMIF('Как будет'!$A$54:$A$61,Доп.расчеты!$A264,'Как будет'!CW$54:CW$61)</f>
        <v>0</v>
      </c>
      <c r="CW264">
        <f>SUMIF('Как будет'!$A$54:$A$61,Доп.расчеты!$A264,'Как будет'!CX$54:CX$61)</f>
        <v>0</v>
      </c>
      <c r="CX264">
        <f>SUMIF('Как будет'!$A$54:$A$61,Доп.расчеты!$A264,'Как будет'!CY$54:CY$61)</f>
        <v>0</v>
      </c>
      <c r="CY264">
        <f>SUMIF('Как будет'!$A$54:$A$61,Доп.расчеты!$A264,'Как будет'!CZ$54:CZ$61)</f>
        <v>0</v>
      </c>
      <c r="CZ264">
        <f>SUMIF('Как будет'!$A$54:$A$61,Доп.расчеты!$A264,'Как будет'!DA$54:DA$61)</f>
        <v>0</v>
      </c>
      <c r="DA264">
        <f>SUMIF('Как будет'!$A$54:$A$61,Доп.расчеты!$A264,'Как будет'!DB$54:DB$61)</f>
        <v>0</v>
      </c>
      <c r="DB264">
        <f>SUMIF('Как будет'!$A$54:$A$61,Доп.расчеты!$A264,'Как будет'!DC$54:DC$61)</f>
        <v>0</v>
      </c>
      <c r="DC264">
        <f>SUMIF('Как будет'!$A$54:$A$61,Доп.расчеты!$A264,'Как будет'!DD$54:DD$61)</f>
        <v>0</v>
      </c>
      <c r="DD264">
        <f>SUMIF('Как будет'!$A$54:$A$61,Доп.расчеты!$A264,'Как будет'!DE$54:DE$61)</f>
        <v>0</v>
      </c>
      <c r="DE264">
        <f>SUMIF('Как будет'!$A$54:$A$61,Доп.расчеты!$A264,'Как будет'!DF$54:DF$61)</f>
        <v>0</v>
      </c>
      <c r="DF264">
        <f>SUMIF('Как будет'!$A$54:$A$61,Доп.расчеты!$A264,'Как будет'!DG$54:DG$61)</f>
        <v>0</v>
      </c>
      <c r="DG264">
        <f>SUMIF('Как будет'!$A$54:$A$61,Доп.расчеты!$A264,'Как будет'!DH$54:DH$61)</f>
        <v>0</v>
      </c>
      <c r="DH264">
        <f>SUMIF('Как будет'!$A$54:$A$61,Доп.расчеты!$A264,'Как будет'!DI$54:DI$61)</f>
        <v>0</v>
      </c>
      <c r="DI264">
        <f>SUMIF('Как будет'!$A$54:$A$61,Доп.расчеты!$A264,'Как будет'!DJ$54:DJ$61)</f>
        <v>0</v>
      </c>
      <c r="DJ264">
        <f>SUMIF('Как будет'!$A$54:$A$61,Доп.расчеты!$A264,'Как будет'!DK$54:DK$61)</f>
        <v>0</v>
      </c>
      <c r="DK264">
        <f>SUMIF('Как будет'!$A$54:$A$61,Доп.расчеты!$A264,'Как будет'!DL$54:DL$61)</f>
        <v>0</v>
      </c>
      <c r="DL264">
        <f>SUMIF('Как будет'!$A$54:$A$61,Доп.расчеты!$A264,'Как будет'!DM$54:DM$61)</f>
        <v>0</v>
      </c>
      <c r="DM264">
        <f>SUMIF('Как будет'!$A$54:$A$61,Доп.расчеты!$A264,'Как будет'!DN$54:DN$61)</f>
        <v>0</v>
      </c>
      <c r="DN264">
        <f>SUMIF('Как будет'!$A$54:$A$61,Доп.расчеты!$A264,'Как будет'!DO$54:DO$61)</f>
        <v>0</v>
      </c>
      <c r="DO264">
        <f>SUMIF('Как будет'!$A$54:$A$61,Доп.расчеты!$A264,'Как будет'!DP$54:DP$61)</f>
        <v>0</v>
      </c>
      <c r="DP264">
        <f>SUMIF('Как будет'!$A$54:$A$61,Доп.расчеты!$A264,'Как будет'!DQ$54:DQ$61)</f>
        <v>0</v>
      </c>
      <c r="DQ264">
        <f>SUMIF('Как будет'!$A$54:$A$61,Доп.расчеты!$A264,'Как будет'!DR$54:DR$61)</f>
        <v>0</v>
      </c>
      <c r="DR264">
        <f>SUMIF('Как будет'!$A$54:$A$61,Доп.расчеты!$A264,'Как будет'!DS$54:DS$61)</f>
        <v>0</v>
      </c>
      <c r="DS264">
        <f>SUMIF('Как будет'!$A$54:$A$61,Доп.расчеты!$A264,'Как будет'!DT$54:DT$61)</f>
        <v>0</v>
      </c>
      <c r="DT264">
        <f>SUMIF('Как будет'!$A$54:$A$61,Доп.расчеты!$A264,'Как будет'!DU$54:DU$61)</f>
        <v>0</v>
      </c>
      <c r="DU264">
        <f>SUMIF('Как будет'!$A$54:$A$61,Доп.расчеты!$A264,'Как будет'!DV$54:DV$61)</f>
        <v>0</v>
      </c>
      <c r="DV264">
        <f>SUMIF('Как будет'!$A$54:$A$61,Доп.расчеты!$A264,'Как будет'!DW$54:DW$61)</f>
        <v>0</v>
      </c>
      <c r="DW264">
        <f>SUMIF('Как будет'!$A$54:$A$61,Доп.расчеты!$A264,'Как будет'!DX$54:DX$61)</f>
        <v>0</v>
      </c>
      <c r="DX264">
        <f>SUMIF('Как будет'!$A$54:$A$61,Доп.расчеты!$A264,'Как будет'!DY$54:DY$61)</f>
        <v>0</v>
      </c>
      <c r="DY264">
        <f>SUMIF('Как будет'!$A$54:$A$61,Доп.расчеты!$A264,'Как будет'!DZ$54:DZ$61)</f>
        <v>0</v>
      </c>
      <c r="DZ264">
        <f>SUMIF('Как будет'!$A$54:$A$61,Доп.расчеты!$A264,'Как будет'!EA$54:EA$61)</f>
        <v>0</v>
      </c>
      <c r="EA264">
        <f>SUMIF('Как будет'!$A$54:$A$61,Доп.расчеты!$A264,'Как будет'!EB$54:EB$61)</f>
        <v>0</v>
      </c>
      <c r="EB264">
        <f>SUMIF('Как будет'!$A$54:$A$61,Доп.расчеты!$A264,'Как будет'!EC$54:EC$61)</f>
        <v>0</v>
      </c>
      <c r="EC264">
        <f>SUMIF('Как будет'!$A$54:$A$61,Доп.расчеты!$A264,'Как будет'!ED$54:ED$61)</f>
        <v>0</v>
      </c>
      <c r="ED264">
        <f>SUMIF('Как будет'!$A$54:$A$61,Доп.расчеты!$A264,'Как будет'!EE$54:EE$61)</f>
        <v>0</v>
      </c>
      <c r="EE264">
        <f>SUMIF('Как будет'!$A$54:$A$61,Доп.расчеты!$A264,'Как будет'!EF$54:EF$61)</f>
        <v>0</v>
      </c>
      <c r="EF264">
        <f>SUMIF('Как будет'!$A$54:$A$61,Доп.расчеты!$A264,'Как будет'!EG$54:EG$61)</f>
        <v>0</v>
      </c>
      <c r="EG264">
        <f>SUMIF('Как будет'!$A$54:$A$61,Доп.расчеты!$A264,'Как будет'!EH$54:EH$61)</f>
        <v>0</v>
      </c>
      <c r="EH264">
        <f>SUMIF('Как будет'!$A$54:$A$61,Доп.расчеты!$A264,'Как будет'!EI$54:EI$61)</f>
        <v>0</v>
      </c>
      <c r="EI264">
        <f>SUMIF('Как будет'!$A$54:$A$61,Доп.расчеты!$A264,'Как будет'!EJ$54:EJ$61)</f>
        <v>0</v>
      </c>
      <c r="EJ264">
        <f>SUMIF('Как будет'!$A$54:$A$61,Доп.расчеты!$A264,'Как будет'!EK$54:EK$61)</f>
        <v>0</v>
      </c>
      <c r="EK264">
        <f>SUMIF('Как будет'!$A$54:$A$61,Доп.расчеты!$A264,'Как будет'!EL$54:EL$61)</f>
        <v>0</v>
      </c>
      <c r="EL264">
        <f>SUMIF('Как будет'!$A$54:$A$61,Доп.расчеты!$A264,'Как будет'!EM$54:EM$61)</f>
        <v>0</v>
      </c>
      <c r="EM264">
        <f>SUMIF('Как будет'!$A$54:$A$61,Доп.расчеты!$A264,'Как будет'!EN$54:EN$61)</f>
        <v>0</v>
      </c>
      <c r="EN264">
        <f>SUMIF('Как будет'!$A$54:$A$61,Доп.расчеты!$A264,'Как будет'!EO$54:EO$61)</f>
        <v>0</v>
      </c>
      <c r="EO264">
        <f>SUMIF('Как будет'!$A$54:$A$61,Доп.расчеты!$A264,'Как будет'!EP$54:EP$61)</f>
        <v>0</v>
      </c>
      <c r="EP264">
        <f>SUMIF('Как будет'!$A$54:$A$61,Доп.расчеты!$A264,'Как будет'!EQ$54:EQ$61)</f>
        <v>0</v>
      </c>
      <c r="EQ264">
        <f>SUMIF('Как будет'!$A$54:$A$61,Доп.расчеты!$A264,'Как будет'!ER$54:ER$61)</f>
        <v>0</v>
      </c>
      <c r="ER264">
        <f>SUMIF('Как будет'!$A$54:$A$61,Доп.расчеты!$A264,'Как будет'!ES$54:ES$61)</f>
        <v>0</v>
      </c>
      <c r="ES264">
        <f>SUMIF('Как будет'!$A$54:$A$61,Доп.расчеты!$A264,'Как будет'!ET$54:ET$61)</f>
        <v>0</v>
      </c>
      <c r="ET264">
        <f>SUMIF('Как будет'!$A$54:$A$61,Доп.расчеты!$A264,'Как будет'!EU$54:EU$61)</f>
        <v>0</v>
      </c>
      <c r="EU264">
        <f>SUMIF('Как будет'!$A$54:$A$61,Доп.расчеты!$A264,'Как будет'!EV$54:EV$61)</f>
        <v>0</v>
      </c>
      <c r="EV264">
        <f>SUMIF('Как будет'!$A$54:$A$61,Доп.расчеты!$A264,'Как будет'!EW$54:EW$61)</f>
        <v>0</v>
      </c>
      <c r="EW264">
        <f>SUMIF('Как будет'!$A$54:$A$61,Доп.расчеты!$A264,'Как будет'!EX$54:EX$61)</f>
        <v>0</v>
      </c>
      <c r="EX264">
        <f>SUMIF('Как будет'!$A$54:$A$61,Доп.расчеты!$A264,'Как будет'!EY$54:EY$61)</f>
        <v>0</v>
      </c>
      <c r="EY264">
        <f>SUMIF('Как будет'!$A$54:$A$61,Доп.расчеты!$A264,'Как будет'!EZ$54:EZ$61)</f>
        <v>0</v>
      </c>
      <c r="EZ264">
        <f>SUMIF('Как будет'!$A$54:$A$61,Доп.расчеты!$A264,'Как будет'!FA$54:FA$61)</f>
        <v>0</v>
      </c>
      <c r="FA264">
        <f>SUMIF('Как будет'!$A$54:$A$61,Доп.расчеты!$A264,'Как будет'!FB$54:FB$61)</f>
        <v>0</v>
      </c>
      <c r="FB264">
        <f>SUMIF('Как будет'!$A$54:$A$61,Доп.расчеты!$A264,'Как будет'!FC$54:FC$61)</f>
        <v>0</v>
      </c>
      <c r="FC264">
        <f>SUMIF('Как будет'!$A$54:$A$61,Доп.расчеты!$A264,'Как будет'!FD$54:FD$61)</f>
        <v>0</v>
      </c>
      <c r="FD264">
        <f>SUMIF('Как будет'!$A$54:$A$61,Доп.расчеты!$A264,'Как будет'!FE$54:FE$61)</f>
        <v>0</v>
      </c>
      <c r="FE264">
        <f>SUMIF('Как будет'!$A$54:$A$61,Доп.расчеты!$A264,'Как будет'!FF$54:FF$61)</f>
        <v>0</v>
      </c>
      <c r="FF264">
        <f>SUMIF('Как будет'!$A$54:$A$61,Доп.расчеты!$A264,'Как будет'!FG$54:FG$61)</f>
        <v>0</v>
      </c>
      <c r="FG264">
        <f>SUMIF('Как будет'!$A$54:$A$61,Доп.расчеты!$A264,'Как будет'!FH$54:FH$61)</f>
        <v>0</v>
      </c>
      <c r="FH264">
        <f>SUMIF('Как будет'!$A$54:$A$61,Доп.расчеты!$A264,'Как будет'!FI$54:FI$61)</f>
        <v>0</v>
      </c>
      <c r="FI264">
        <f>SUMIF('Как будет'!$A$54:$A$61,Доп.расчеты!$A264,'Как будет'!FJ$54:FJ$61)</f>
        <v>0</v>
      </c>
      <c r="FJ264">
        <f>SUMIF('Как будет'!$A$54:$A$61,Доп.расчеты!$A264,'Как будет'!FK$54:FK$61)</f>
        <v>0</v>
      </c>
      <c r="FK264">
        <f>SUMIF('Как будет'!$A$54:$A$61,Доп.расчеты!$A264,'Как будет'!FL$54:FL$61)</f>
        <v>0</v>
      </c>
      <c r="FL264">
        <f>SUMIF('Как будет'!$A$54:$A$61,Доп.расчеты!$A264,'Как будет'!FM$54:FM$61)</f>
        <v>0</v>
      </c>
      <c r="FM264">
        <f>SUMIF('Как будет'!$A$54:$A$61,Доп.расчеты!$A264,'Как будет'!FN$54:FN$61)</f>
        <v>0</v>
      </c>
      <c r="FN264">
        <f>SUMIF('Как будет'!$A$54:$A$61,Доп.расчеты!$A264,'Как будет'!FO$54:FO$61)</f>
        <v>0</v>
      </c>
      <c r="FO264">
        <f>SUMIF('Как будет'!$A$54:$A$61,Доп.расчеты!$A264,'Как будет'!FP$54:FP$61)</f>
        <v>0</v>
      </c>
      <c r="FP264">
        <f>SUMIF('Как будет'!$A$54:$A$61,Доп.расчеты!$A264,'Как будет'!FQ$54:FQ$61)</f>
        <v>0</v>
      </c>
      <c r="FQ264">
        <f>SUMIF('Как будет'!$A$54:$A$61,Доп.расчеты!$A264,'Как будет'!FR$54:FR$61)</f>
        <v>0</v>
      </c>
      <c r="FR264">
        <f>SUMIF('Как будет'!$A$54:$A$61,Доп.расчеты!$A264,'Как будет'!FS$54:FS$61)</f>
        <v>0</v>
      </c>
      <c r="FS264">
        <f>SUMIF('Как будет'!$A$54:$A$61,Доп.расчеты!$A264,'Как будет'!FT$54:FT$61)</f>
        <v>0</v>
      </c>
      <c r="FT264">
        <f>SUMIF('Как будет'!$A$54:$A$61,Доп.расчеты!$A264,'Как будет'!FU$54:FU$61)</f>
        <v>0</v>
      </c>
      <c r="FU264">
        <f>SUMIF('Как будет'!$A$54:$A$61,Доп.расчеты!$A264,'Как будет'!FV$54:FV$61)</f>
        <v>0</v>
      </c>
      <c r="FV264">
        <f>SUMIF('Как будет'!$A$54:$A$61,Доп.расчеты!$A264,'Как будет'!FW$54:FW$61)</f>
        <v>0</v>
      </c>
      <c r="FW264">
        <f>SUMIF('Как будет'!$A$54:$A$61,Доп.расчеты!$A264,'Как будет'!FX$54:FX$61)</f>
        <v>0</v>
      </c>
      <c r="FX264">
        <f>SUMIF('Как будет'!$A$54:$A$61,Доп.расчеты!$A264,'Как будет'!FY$54:FY$61)</f>
        <v>0</v>
      </c>
      <c r="FY264">
        <f>SUMIF('Как будет'!$A$54:$A$61,Доп.расчеты!$A264,'Как будет'!FZ$54:FZ$61)</f>
        <v>0</v>
      </c>
      <c r="FZ264">
        <f>SUMIF('Как будет'!$A$54:$A$61,Доп.расчеты!$A264,'Как будет'!GA$54:GA$61)</f>
        <v>0</v>
      </c>
      <c r="GA264">
        <f>SUMIF('Как будет'!$A$54:$A$61,Доп.расчеты!$A264,'Как будет'!GB$54:GB$61)</f>
        <v>0</v>
      </c>
      <c r="GB264">
        <f>SUMIF('Как будет'!$A$54:$A$61,Доп.расчеты!$A264,'Как будет'!GC$54:GC$61)</f>
        <v>0</v>
      </c>
      <c r="GC264">
        <f>SUMIF('Как будет'!$A$54:$A$61,Доп.расчеты!$A264,'Как будет'!GD$54:GD$61)</f>
        <v>0</v>
      </c>
      <c r="GD264">
        <f>SUMIF('Как будет'!$A$54:$A$61,Доп.расчеты!$A264,'Как будет'!GE$54:GE$61)</f>
        <v>0</v>
      </c>
      <c r="GE264">
        <f>SUMIF('Как будет'!$A$54:$A$61,Доп.расчеты!$A264,'Как будет'!GF$54:GF$61)</f>
        <v>0</v>
      </c>
      <c r="GF264">
        <f>SUMIF('Как будет'!$A$54:$A$61,Доп.расчеты!$A264,'Как будет'!GG$54:GG$61)</f>
        <v>0</v>
      </c>
      <c r="GG264">
        <f>SUMIF('Как будет'!$A$54:$A$61,Доп.расчеты!$A264,'Как будет'!GH$54:GH$61)</f>
        <v>0</v>
      </c>
      <c r="GH264">
        <f>SUMIF('Как будет'!$A$54:$A$61,Доп.расчеты!$A264,'Как будет'!GI$54:GI$61)</f>
        <v>0</v>
      </c>
      <c r="GI264">
        <f>SUMIF('Как будет'!$A$54:$A$61,Доп.расчеты!$A264,'Как будет'!GJ$54:GJ$61)</f>
        <v>0</v>
      </c>
      <c r="GJ264">
        <f>SUMIF('Как будет'!$A$54:$A$61,Доп.расчеты!$A264,'Как будет'!GK$54:GK$61)</f>
        <v>0</v>
      </c>
      <c r="GK264">
        <f>SUMIF('Как будет'!$A$54:$A$61,Доп.расчеты!$A264,'Как будет'!GL$54:GL$61)</f>
        <v>0</v>
      </c>
      <c r="GL264">
        <f>SUMIF('Как будет'!$A$54:$A$61,Доп.расчеты!$A264,'Как будет'!GM$54:GM$61)</f>
        <v>0</v>
      </c>
      <c r="GM264">
        <f>SUMIF('Как будет'!$A$54:$A$61,Доп.расчеты!$A264,'Как будет'!GN$54:GN$61)</f>
        <v>0</v>
      </c>
      <c r="GN264">
        <f>SUMIF('Как будет'!$A$54:$A$61,Доп.расчеты!$A264,'Как будет'!GO$54:GO$61)</f>
        <v>0</v>
      </c>
      <c r="GO264">
        <f>SUMIF('Как будет'!$A$54:$A$61,Доп.расчеты!$A264,'Как будет'!GP$54:GP$61)</f>
        <v>0</v>
      </c>
      <c r="GP264">
        <f>SUMIF('Как будет'!$A$54:$A$61,Доп.расчеты!$A264,'Как будет'!GQ$54:GQ$61)</f>
        <v>0</v>
      </c>
      <c r="GQ264">
        <f>SUMIF('Как будет'!$A$54:$A$61,Доп.расчеты!$A264,'Как будет'!GR$54:GR$61)</f>
        <v>0</v>
      </c>
      <c r="GR264">
        <f>SUMIF('Как будет'!$A$54:$A$61,Доп.расчеты!$A264,'Как будет'!GS$54:GS$61)</f>
        <v>0</v>
      </c>
      <c r="GS264">
        <f>SUMIF('Как будет'!$A$54:$A$61,Доп.расчеты!$A264,'Как будет'!GT$54:GT$61)</f>
        <v>0</v>
      </c>
      <c r="GT264">
        <f>SUMIF('Как будет'!$A$54:$A$61,Доп.расчеты!$A264,'Как будет'!GU$54:GU$61)</f>
        <v>0</v>
      </c>
    </row>
    <row r="265" spans="1:202">
      <c r="A265" s="237" t="s">
        <v>240</v>
      </c>
      <c r="B265">
        <f>SUMIF('Как будет'!$A$54:$A$61,Доп.расчеты!$A265,'Как будет'!C$54:C$61)</f>
        <v>0</v>
      </c>
      <c r="C265">
        <f>SUMIF('Как будет'!$A$54:$A$61,Доп.расчеты!$A265,'Как будет'!D$54:D$61)</f>
        <v>0</v>
      </c>
      <c r="D265">
        <f>SUMIF('Как будет'!$A$54:$A$61,Доп.расчеты!$A265,'Как будет'!E$54:E$61)</f>
        <v>0</v>
      </c>
      <c r="E265">
        <f>SUMIF('Как будет'!$A$54:$A$61,Доп.расчеты!$A265,'Как будет'!F$54:F$61)</f>
        <v>0</v>
      </c>
      <c r="F265">
        <f>SUMIF('Как будет'!$A$54:$A$61,Доп.расчеты!$A265,'Как будет'!G$54:G$61)</f>
        <v>0</v>
      </c>
      <c r="G265">
        <f>SUMIF('Как будет'!$A$54:$A$61,Доп.расчеты!$A265,'Как будет'!H$54:H$61)</f>
        <v>0</v>
      </c>
      <c r="H265">
        <f>SUMIF('Как будет'!$A$54:$A$61,Доп.расчеты!$A265,'Как будет'!I$54:I$61)</f>
        <v>0</v>
      </c>
      <c r="I265">
        <f>SUMIF('Как будет'!$A$54:$A$61,Доп.расчеты!$A265,'Как будет'!J$54:J$61)</f>
        <v>0</v>
      </c>
      <c r="J265">
        <f>SUMIF('Как будет'!$A$54:$A$61,Доп.расчеты!$A265,'Как будет'!K$54:K$61)</f>
        <v>0</v>
      </c>
      <c r="K265">
        <f>SUMIF('Как будет'!$A$54:$A$61,Доп.расчеты!$A265,'Как будет'!L$54:L$61)</f>
        <v>0</v>
      </c>
      <c r="L265">
        <f>SUMIF('Как будет'!$A$54:$A$61,Доп.расчеты!$A265,'Как будет'!M$54:M$61)</f>
        <v>0</v>
      </c>
      <c r="M265">
        <f>SUMIF('Как будет'!$A$54:$A$61,Доп.расчеты!$A265,'Как будет'!N$54:N$61)</f>
        <v>0</v>
      </c>
      <c r="N265">
        <f>SUMIF('Как будет'!$A$54:$A$61,Доп.расчеты!$A265,'Как будет'!O$54:O$61)</f>
        <v>0</v>
      </c>
      <c r="O265">
        <f>SUMIF('Как будет'!$A$54:$A$61,Доп.расчеты!$A265,'Как будет'!P$54:P$61)</f>
        <v>0</v>
      </c>
      <c r="P265">
        <f>SUMIF('Как будет'!$A$54:$A$61,Доп.расчеты!$A265,'Как будет'!Q$54:Q$61)</f>
        <v>0</v>
      </c>
      <c r="Q265">
        <f>SUMIF('Как будет'!$A$54:$A$61,Доп.расчеты!$A265,'Как будет'!R$54:R$61)</f>
        <v>0</v>
      </c>
      <c r="R265">
        <f>SUMIF('Как будет'!$A$54:$A$61,Доп.расчеты!$A265,'Как будет'!S$54:S$61)</f>
        <v>0</v>
      </c>
      <c r="S265">
        <f>SUMIF('Как будет'!$A$54:$A$61,Доп.расчеты!$A265,'Как будет'!T$54:T$61)</f>
        <v>0</v>
      </c>
      <c r="T265">
        <f>SUMIF('Как будет'!$A$54:$A$61,Доп.расчеты!$A265,'Как будет'!U$54:U$61)</f>
        <v>0</v>
      </c>
      <c r="U265">
        <f>SUMIF('Как будет'!$A$54:$A$61,Доп.расчеты!$A265,'Как будет'!V$54:V$61)</f>
        <v>0</v>
      </c>
      <c r="V265">
        <f>SUMIF('Как будет'!$A$54:$A$61,Доп.расчеты!$A265,'Как будет'!W$54:W$61)</f>
        <v>0</v>
      </c>
      <c r="W265">
        <f>SUMIF('Как будет'!$A$54:$A$61,Доп.расчеты!$A265,'Как будет'!X$54:X$61)</f>
        <v>0</v>
      </c>
      <c r="X265">
        <f>SUMIF('Как будет'!$A$54:$A$61,Доп.расчеты!$A265,'Как будет'!Y$54:Y$61)</f>
        <v>0</v>
      </c>
      <c r="Y265">
        <f>SUMIF('Как будет'!$A$54:$A$61,Доп.расчеты!$A265,'Как будет'!Z$54:Z$61)</f>
        <v>0</v>
      </c>
      <c r="Z265">
        <f>SUMIF('Как будет'!$A$54:$A$61,Доп.расчеты!$A265,'Как будет'!AA$54:AA$61)</f>
        <v>0</v>
      </c>
      <c r="AA265">
        <f>SUMIF('Как будет'!$A$54:$A$61,Доп.расчеты!$A265,'Как будет'!AB$54:AB$61)</f>
        <v>0</v>
      </c>
      <c r="AB265">
        <f>SUMIF('Как будет'!$A$54:$A$61,Доп.расчеты!$A265,'Как будет'!AC$54:AC$61)</f>
        <v>0</v>
      </c>
      <c r="AC265">
        <f>SUMIF('Как будет'!$A$54:$A$61,Доп.расчеты!$A265,'Как будет'!AD$54:AD$61)</f>
        <v>0</v>
      </c>
      <c r="AD265">
        <f>SUMIF('Как будет'!$A$54:$A$61,Доп.расчеты!$A265,'Как будет'!AE$54:AE$61)</f>
        <v>0</v>
      </c>
      <c r="AE265">
        <f>SUMIF('Как будет'!$A$54:$A$61,Доп.расчеты!$A265,'Как будет'!AF$54:AF$61)</f>
        <v>0</v>
      </c>
      <c r="AF265">
        <f>SUMIF('Как будет'!$A$54:$A$61,Доп.расчеты!$A265,'Как будет'!AG$54:AG$61)</f>
        <v>0</v>
      </c>
      <c r="AG265">
        <f>SUMIF('Как будет'!$A$54:$A$61,Доп.расчеты!$A265,'Как будет'!AH$54:AH$61)</f>
        <v>0</v>
      </c>
      <c r="AH265">
        <f>SUMIF('Как будет'!$A$54:$A$61,Доп.расчеты!$A265,'Как будет'!AI$54:AI$61)</f>
        <v>0</v>
      </c>
      <c r="AI265">
        <f>SUMIF('Как будет'!$A$54:$A$61,Доп.расчеты!$A265,'Как будет'!AJ$54:AJ$61)</f>
        <v>0</v>
      </c>
      <c r="AJ265">
        <f>SUMIF('Как будет'!$A$54:$A$61,Доп.расчеты!$A265,'Как будет'!AK$54:AK$61)</f>
        <v>0</v>
      </c>
      <c r="AK265">
        <f>SUMIF('Как будет'!$A$54:$A$61,Доп.расчеты!$A265,'Как будет'!AL$54:AL$61)</f>
        <v>0</v>
      </c>
      <c r="AL265">
        <f>SUMIF('Как будет'!$A$54:$A$61,Доп.расчеты!$A265,'Как будет'!AM$54:AM$61)</f>
        <v>0</v>
      </c>
      <c r="AM265">
        <f>SUMIF('Как будет'!$A$54:$A$61,Доп.расчеты!$A265,'Как будет'!AN$54:AN$61)</f>
        <v>0</v>
      </c>
      <c r="AN265">
        <f>SUMIF('Как будет'!$A$54:$A$61,Доп.расчеты!$A265,'Как будет'!AO$54:AO$61)</f>
        <v>0</v>
      </c>
      <c r="AO265">
        <f>SUMIF('Как будет'!$A$54:$A$61,Доп.расчеты!$A265,'Как будет'!AP$54:AP$61)</f>
        <v>0</v>
      </c>
      <c r="AP265">
        <f>SUMIF('Как будет'!$A$54:$A$61,Доп.расчеты!$A265,'Как будет'!AQ$54:AQ$61)</f>
        <v>0</v>
      </c>
      <c r="AQ265">
        <f>SUMIF('Как будет'!$A$54:$A$61,Доп.расчеты!$A265,'Как будет'!AR$54:AR$61)</f>
        <v>0</v>
      </c>
      <c r="AR265">
        <f>SUMIF('Как будет'!$A$54:$A$61,Доп.расчеты!$A265,'Как будет'!AS$54:AS$61)</f>
        <v>0</v>
      </c>
      <c r="AS265">
        <f>SUMIF('Как будет'!$A$54:$A$61,Доп.расчеты!$A265,'Как будет'!AT$54:AT$61)</f>
        <v>0</v>
      </c>
      <c r="AT265">
        <f>SUMIF('Как будет'!$A$54:$A$61,Доп.расчеты!$A265,'Как будет'!AU$54:AU$61)</f>
        <v>0</v>
      </c>
      <c r="AU265">
        <f>SUMIF('Как будет'!$A$54:$A$61,Доп.расчеты!$A265,'Как будет'!AV$54:AV$61)</f>
        <v>0</v>
      </c>
      <c r="AV265">
        <f>SUMIF('Как будет'!$A$54:$A$61,Доп.расчеты!$A265,'Как будет'!AW$54:AW$61)</f>
        <v>0</v>
      </c>
      <c r="AW265">
        <f>SUMIF('Как будет'!$A$54:$A$61,Доп.расчеты!$A265,'Как будет'!AX$54:AX$61)</f>
        <v>0</v>
      </c>
      <c r="AX265">
        <f>SUMIF('Как будет'!$A$54:$A$61,Доп.расчеты!$A265,'Как будет'!AY$54:AY$61)</f>
        <v>0</v>
      </c>
      <c r="AY265">
        <f>SUMIF('Как будет'!$A$54:$A$61,Доп.расчеты!$A265,'Как будет'!AZ$54:AZ$61)</f>
        <v>0</v>
      </c>
      <c r="AZ265">
        <f>SUMIF('Как будет'!$A$54:$A$61,Доп.расчеты!$A265,'Как будет'!BA$54:BA$61)</f>
        <v>0</v>
      </c>
      <c r="BA265">
        <f>SUMIF('Как будет'!$A$54:$A$61,Доп.расчеты!$A265,'Как будет'!BB$54:BB$61)</f>
        <v>0</v>
      </c>
      <c r="BB265">
        <f>SUMIF('Как будет'!$A$54:$A$61,Доп.расчеты!$A265,'Как будет'!BC$54:BC$61)</f>
        <v>0</v>
      </c>
      <c r="BC265">
        <f>SUMIF('Как будет'!$A$54:$A$61,Доп.расчеты!$A265,'Как будет'!BD$54:BD$61)</f>
        <v>0</v>
      </c>
      <c r="BD265">
        <f>SUMIF('Как будет'!$A$54:$A$61,Доп.расчеты!$A265,'Как будет'!BE$54:BE$61)</f>
        <v>0</v>
      </c>
      <c r="BE265">
        <f>SUMIF('Как будет'!$A$54:$A$61,Доп.расчеты!$A265,'Как будет'!BF$54:BF$61)</f>
        <v>0</v>
      </c>
      <c r="BF265">
        <f>SUMIF('Как будет'!$A$54:$A$61,Доп.расчеты!$A265,'Как будет'!BG$54:BG$61)</f>
        <v>0</v>
      </c>
      <c r="BG265">
        <f>SUMIF('Как будет'!$A$54:$A$61,Доп.расчеты!$A265,'Как будет'!BH$54:BH$61)</f>
        <v>0</v>
      </c>
      <c r="BH265">
        <f>SUMIF('Как будет'!$A$54:$A$61,Доп.расчеты!$A265,'Как будет'!BI$54:BI$61)</f>
        <v>0</v>
      </c>
      <c r="BI265">
        <f>SUMIF('Как будет'!$A$54:$A$61,Доп.расчеты!$A265,'Как будет'!BJ$54:BJ$61)</f>
        <v>0</v>
      </c>
      <c r="BJ265">
        <f>SUMIF('Как будет'!$A$54:$A$61,Доп.расчеты!$A265,'Как будет'!BK$54:BK$61)</f>
        <v>0</v>
      </c>
      <c r="BK265">
        <f>SUMIF('Как будет'!$A$54:$A$61,Доп.расчеты!$A265,'Как будет'!BL$54:BL$61)</f>
        <v>0</v>
      </c>
      <c r="BL265">
        <f>SUMIF('Как будет'!$A$54:$A$61,Доп.расчеты!$A265,'Как будет'!BM$54:BM$61)</f>
        <v>0</v>
      </c>
      <c r="BM265">
        <f>SUMIF('Как будет'!$A$54:$A$61,Доп.расчеты!$A265,'Как будет'!BN$54:BN$61)</f>
        <v>0</v>
      </c>
      <c r="BN265">
        <f>SUMIF('Как будет'!$A$54:$A$61,Доп.расчеты!$A265,'Как будет'!BO$54:BO$61)</f>
        <v>0</v>
      </c>
      <c r="BO265">
        <f>SUMIF('Как будет'!$A$54:$A$61,Доп.расчеты!$A265,'Как будет'!BP$54:BP$61)</f>
        <v>0</v>
      </c>
      <c r="BP265">
        <f>SUMIF('Как будет'!$A$54:$A$61,Доп.расчеты!$A265,'Как будет'!BQ$54:BQ$61)</f>
        <v>0</v>
      </c>
      <c r="BQ265">
        <f>SUMIF('Как будет'!$A$54:$A$61,Доп.расчеты!$A265,'Как будет'!BR$54:BR$61)</f>
        <v>0</v>
      </c>
      <c r="BR265">
        <f>SUMIF('Как будет'!$A$54:$A$61,Доп.расчеты!$A265,'Как будет'!BS$54:BS$61)</f>
        <v>0</v>
      </c>
      <c r="BS265">
        <f>SUMIF('Как будет'!$A$54:$A$61,Доп.расчеты!$A265,'Как будет'!BT$54:BT$61)</f>
        <v>0</v>
      </c>
      <c r="BT265">
        <f>SUMIF('Как будет'!$A$54:$A$61,Доп.расчеты!$A265,'Как будет'!BU$54:BU$61)</f>
        <v>0</v>
      </c>
      <c r="BU265">
        <f>SUMIF('Как будет'!$A$54:$A$61,Доп.расчеты!$A265,'Как будет'!BV$54:BV$61)</f>
        <v>0</v>
      </c>
      <c r="BV265">
        <f>SUMIF('Как будет'!$A$54:$A$61,Доп.расчеты!$A265,'Как будет'!BW$54:BW$61)</f>
        <v>0</v>
      </c>
      <c r="BW265">
        <f>SUMIF('Как будет'!$A$54:$A$61,Доп.расчеты!$A265,'Как будет'!BX$54:BX$61)</f>
        <v>0</v>
      </c>
      <c r="BX265">
        <f>SUMIF('Как будет'!$A$54:$A$61,Доп.расчеты!$A265,'Как будет'!BY$54:BY$61)</f>
        <v>0</v>
      </c>
      <c r="BY265">
        <f>SUMIF('Как будет'!$A$54:$A$61,Доп.расчеты!$A265,'Как будет'!BZ$54:BZ$61)</f>
        <v>0</v>
      </c>
      <c r="BZ265">
        <f>SUMIF('Как будет'!$A$54:$A$61,Доп.расчеты!$A265,'Как будет'!CA$54:CA$61)</f>
        <v>0</v>
      </c>
      <c r="CA265">
        <f>SUMIF('Как будет'!$A$54:$A$61,Доп.расчеты!$A265,'Как будет'!CB$54:CB$61)</f>
        <v>0</v>
      </c>
      <c r="CB265">
        <f>SUMIF('Как будет'!$A$54:$A$61,Доп.расчеты!$A265,'Как будет'!CC$54:CC$61)</f>
        <v>0</v>
      </c>
      <c r="CC265">
        <f>SUMIF('Как будет'!$A$54:$A$61,Доп.расчеты!$A265,'Как будет'!CD$54:CD$61)</f>
        <v>0</v>
      </c>
      <c r="CD265">
        <f>SUMIF('Как будет'!$A$54:$A$61,Доп.расчеты!$A265,'Как будет'!CE$54:CE$61)</f>
        <v>0</v>
      </c>
      <c r="CE265">
        <f>SUMIF('Как будет'!$A$54:$A$61,Доп.расчеты!$A265,'Как будет'!CF$54:CF$61)</f>
        <v>0</v>
      </c>
      <c r="CF265">
        <f>SUMIF('Как будет'!$A$54:$A$61,Доп.расчеты!$A265,'Как будет'!CG$54:CG$61)</f>
        <v>0</v>
      </c>
      <c r="CG265">
        <f>SUMIF('Как будет'!$A$54:$A$61,Доп.расчеты!$A265,'Как будет'!CH$54:CH$61)</f>
        <v>0</v>
      </c>
      <c r="CH265">
        <f>SUMIF('Как будет'!$A$54:$A$61,Доп.расчеты!$A265,'Как будет'!CI$54:CI$61)</f>
        <v>0</v>
      </c>
      <c r="CI265">
        <f>SUMIF('Как будет'!$A$54:$A$61,Доп.расчеты!$A265,'Как будет'!CJ$54:CJ$61)</f>
        <v>0</v>
      </c>
      <c r="CJ265">
        <f>SUMIF('Как будет'!$A$54:$A$61,Доп.расчеты!$A265,'Как будет'!CK$54:CK$61)</f>
        <v>0</v>
      </c>
      <c r="CK265">
        <f>SUMIF('Как будет'!$A$54:$A$61,Доп.расчеты!$A265,'Как будет'!CL$54:CL$61)</f>
        <v>0</v>
      </c>
      <c r="CL265">
        <f>SUMIF('Как будет'!$A$54:$A$61,Доп.расчеты!$A265,'Как будет'!CM$54:CM$61)</f>
        <v>0</v>
      </c>
      <c r="CM265">
        <f>SUMIF('Как будет'!$A$54:$A$61,Доп.расчеты!$A265,'Как будет'!CN$54:CN$61)</f>
        <v>0</v>
      </c>
      <c r="CN265">
        <f>SUMIF('Как будет'!$A$54:$A$61,Доп.расчеты!$A265,'Как будет'!CO$54:CO$61)</f>
        <v>0</v>
      </c>
      <c r="CO265">
        <f>SUMIF('Как будет'!$A$54:$A$61,Доп.расчеты!$A265,'Как будет'!CP$54:CP$61)</f>
        <v>0</v>
      </c>
      <c r="CP265">
        <f>SUMIF('Как будет'!$A$54:$A$61,Доп.расчеты!$A265,'Как будет'!CQ$54:CQ$61)</f>
        <v>0</v>
      </c>
      <c r="CQ265">
        <f>SUMIF('Как будет'!$A$54:$A$61,Доп.расчеты!$A265,'Как будет'!CR$54:CR$61)</f>
        <v>0</v>
      </c>
      <c r="CR265">
        <f>SUMIF('Как будет'!$A$54:$A$61,Доп.расчеты!$A265,'Как будет'!CS$54:CS$61)</f>
        <v>0</v>
      </c>
      <c r="CS265">
        <f>SUMIF('Как будет'!$A$54:$A$61,Доп.расчеты!$A265,'Как будет'!CT$54:CT$61)</f>
        <v>0</v>
      </c>
      <c r="CT265">
        <f>SUMIF('Как будет'!$A$54:$A$61,Доп.расчеты!$A265,'Как будет'!CU$54:CU$61)</f>
        <v>0</v>
      </c>
      <c r="CU265">
        <f>SUMIF('Как будет'!$A$54:$A$61,Доп.расчеты!$A265,'Как будет'!CV$54:CV$61)</f>
        <v>0</v>
      </c>
      <c r="CV265">
        <f>SUMIF('Как будет'!$A$54:$A$61,Доп.расчеты!$A265,'Как будет'!CW$54:CW$61)</f>
        <v>0</v>
      </c>
      <c r="CW265">
        <f>SUMIF('Как будет'!$A$54:$A$61,Доп.расчеты!$A265,'Как будет'!CX$54:CX$61)</f>
        <v>0</v>
      </c>
      <c r="CX265">
        <f>SUMIF('Как будет'!$A$54:$A$61,Доп.расчеты!$A265,'Как будет'!CY$54:CY$61)</f>
        <v>0</v>
      </c>
      <c r="CY265">
        <f>SUMIF('Как будет'!$A$54:$A$61,Доп.расчеты!$A265,'Как будет'!CZ$54:CZ$61)</f>
        <v>0</v>
      </c>
      <c r="CZ265">
        <f>SUMIF('Как будет'!$A$54:$A$61,Доп.расчеты!$A265,'Как будет'!DA$54:DA$61)</f>
        <v>0</v>
      </c>
      <c r="DA265">
        <f>SUMIF('Как будет'!$A$54:$A$61,Доп.расчеты!$A265,'Как будет'!DB$54:DB$61)</f>
        <v>0</v>
      </c>
      <c r="DB265">
        <f>SUMIF('Как будет'!$A$54:$A$61,Доп.расчеты!$A265,'Как будет'!DC$54:DC$61)</f>
        <v>0</v>
      </c>
      <c r="DC265">
        <f>SUMIF('Как будет'!$A$54:$A$61,Доп.расчеты!$A265,'Как будет'!DD$54:DD$61)</f>
        <v>0</v>
      </c>
      <c r="DD265">
        <f>SUMIF('Как будет'!$A$54:$A$61,Доп.расчеты!$A265,'Как будет'!DE$54:DE$61)</f>
        <v>0</v>
      </c>
      <c r="DE265">
        <f>SUMIF('Как будет'!$A$54:$A$61,Доп.расчеты!$A265,'Как будет'!DF$54:DF$61)</f>
        <v>0</v>
      </c>
      <c r="DF265">
        <f>SUMIF('Как будет'!$A$54:$A$61,Доп.расчеты!$A265,'Как будет'!DG$54:DG$61)</f>
        <v>0</v>
      </c>
      <c r="DG265">
        <f>SUMIF('Как будет'!$A$54:$A$61,Доп.расчеты!$A265,'Как будет'!DH$54:DH$61)</f>
        <v>0</v>
      </c>
      <c r="DH265">
        <f>SUMIF('Как будет'!$A$54:$A$61,Доп.расчеты!$A265,'Как будет'!DI$54:DI$61)</f>
        <v>0</v>
      </c>
      <c r="DI265">
        <f>SUMIF('Как будет'!$A$54:$A$61,Доп.расчеты!$A265,'Как будет'!DJ$54:DJ$61)</f>
        <v>0</v>
      </c>
      <c r="DJ265">
        <f>SUMIF('Как будет'!$A$54:$A$61,Доп.расчеты!$A265,'Как будет'!DK$54:DK$61)</f>
        <v>0</v>
      </c>
      <c r="DK265">
        <f>SUMIF('Как будет'!$A$54:$A$61,Доп.расчеты!$A265,'Как будет'!DL$54:DL$61)</f>
        <v>0</v>
      </c>
      <c r="DL265">
        <f>SUMIF('Как будет'!$A$54:$A$61,Доп.расчеты!$A265,'Как будет'!DM$54:DM$61)</f>
        <v>0</v>
      </c>
      <c r="DM265">
        <f>SUMIF('Как будет'!$A$54:$A$61,Доп.расчеты!$A265,'Как будет'!DN$54:DN$61)</f>
        <v>0</v>
      </c>
      <c r="DN265">
        <f>SUMIF('Как будет'!$A$54:$A$61,Доп.расчеты!$A265,'Как будет'!DO$54:DO$61)</f>
        <v>0</v>
      </c>
      <c r="DO265">
        <f>SUMIF('Как будет'!$A$54:$A$61,Доп.расчеты!$A265,'Как будет'!DP$54:DP$61)</f>
        <v>0</v>
      </c>
      <c r="DP265">
        <f>SUMIF('Как будет'!$A$54:$A$61,Доп.расчеты!$A265,'Как будет'!DQ$54:DQ$61)</f>
        <v>0</v>
      </c>
      <c r="DQ265">
        <f>SUMIF('Как будет'!$A$54:$A$61,Доп.расчеты!$A265,'Как будет'!DR$54:DR$61)</f>
        <v>0</v>
      </c>
      <c r="DR265">
        <f>SUMIF('Как будет'!$A$54:$A$61,Доп.расчеты!$A265,'Как будет'!DS$54:DS$61)</f>
        <v>0</v>
      </c>
      <c r="DS265">
        <f>SUMIF('Как будет'!$A$54:$A$61,Доп.расчеты!$A265,'Как будет'!DT$54:DT$61)</f>
        <v>0</v>
      </c>
      <c r="DT265">
        <f>SUMIF('Как будет'!$A$54:$A$61,Доп.расчеты!$A265,'Как будет'!DU$54:DU$61)</f>
        <v>0</v>
      </c>
      <c r="DU265">
        <f>SUMIF('Как будет'!$A$54:$A$61,Доп.расчеты!$A265,'Как будет'!DV$54:DV$61)</f>
        <v>0</v>
      </c>
      <c r="DV265">
        <f>SUMIF('Как будет'!$A$54:$A$61,Доп.расчеты!$A265,'Как будет'!DW$54:DW$61)</f>
        <v>0</v>
      </c>
      <c r="DW265">
        <f>SUMIF('Как будет'!$A$54:$A$61,Доп.расчеты!$A265,'Как будет'!DX$54:DX$61)</f>
        <v>0</v>
      </c>
      <c r="DX265">
        <f>SUMIF('Как будет'!$A$54:$A$61,Доп.расчеты!$A265,'Как будет'!DY$54:DY$61)</f>
        <v>0</v>
      </c>
      <c r="DY265">
        <f>SUMIF('Как будет'!$A$54:$A$61,Доп.расчеты!$A265,'Как будет'!DZ$54:DZ$61)</f>
        <v>0</v>
      </c>
      <c r="DZ265">
        <f>SUMIF('Как будет'!$A$54:$A$61,Доп.расчеты!$A265,'Как будет'!EA$54:EA$61)</f>
        <v>0</v>
      </c>
      <c r="EA265">
        <f>SUMIF('Как будет'!$A$54:$A$61,Доп.расчеты!$A265,'Как будет'!EB$54:EB$61)</f>
        <v>0</v>
      </c>
      <c r="EB265">
        <f>SUMIF('Как будет'!$A$54:$A$61,Доп.расчеты!$A265,'Как будет'!EC$54:EC$61)</f>
        <v>0</v>
      </c>
      <c r="EC265">
        <f>SUMIF('Как будет'!$A$54:$A$61,Доп.расчеты!$A265,'Как будет'!ED$54:ED$61)</f>
        <v>0</v>
      </c>
      <c r="ED265">
        <f>SUMIF('Как будет'!$A$54:$A$61,Доп.расчеты!$A265,'Как будет'!EE$54:EE$61)</f>
        <v>0</v>
      </c>
      <c r="EE265">
        <f>SUMIF('Как будет'!$A$54:$A$61,Доп.расчеты!$A265,'Как будет'!EF$54:EF$61)</f>
        <v>0</v>
      </c>
      <c r="EF265">
        <f>SUMIF('Как будет'!$A$54:$A$61,Доп.расчеты!$A265,'Как будет'!EG$54:EG$61)</f>
        <v>0</v>
      </c>
      <c r="EG265">
        <f>SUMIF('Как будет'!$A$54:$A$61,Доп.расчеты!$A265,'Как будет'!EH$54:EH$61)</f>
        <v>0</v>
      </c>
      <c r="EH265">
        <f>SUMIF('Как будет'!$A$54:$A$61,Доп.расчеты!$A265,'Как будет'!EI$54:EI$61)</f>
        <v>0</v>
      </c>
      <c r="EI265">
        <f>SUMIF('Как будет'!$A$54:$A$61,Доп.расчеты!$A265,'Как будет'!EJ$54:EJ$61)</f>
        <v>0</v>
      </c>
      <c r="EJ265">
        <f>SUMIF('Как будет'!$A$54:$A$61,Доп.расчеты!$A265,'Как будет'!EK$54:EK$61)</f>
        <v>0</v>
      </c>
      <c r="EK265">
        <f>SUMIF('Как будет'!$A$54:$A$61,Доп.расчеты!$A265,'Как будет'!EL$54:EL$61)</f>
        <v>0</v>
      </c>
      <c r="EL265">
        <f>SUMIF('Как будет'!$A$54:$A$61,Доп.расчеты!$A265,'Как будет'!EM$54:EM$61)</f>
        <v>0</v>
      </c>
      <c r="EM265">
        <f>SUMIF('Как будет'!$A$54:$A$61,Доп.расчеты!$A265,'Как будет'!EN$54:EN$61)</f>
        <v>0</v>
      </c>
      <c r="EN265">
        <f>SUMIF('Как будет'!$A$54:$A$61,Доп.расчеты!$A265,'Как будет'!EO$54:EO$61)</f>
        <v>0</v>
      </c>
      <c r="EO265">
        <f>SUMIF('Как будет'!$A$54:$A$61,Доп.расчеты!$A265,'Как будет'!EP$54:EP$61)</f>
        <v>0</v>
      </c>
      <c r="EP265">
        <f>SUMIF('Как будет'!$A$54:$A$61,Доп.расчеты!$A265,'Как будет'!EQ$54:EQ$61)</f>
        <v>0</v>
      </c>
      <c r="EQ265">
        <f>SUMIF('Как будет'!$A$54:$A$61,Доп.расчеты!$A265,'Как будет'!ER$54:ER$61)</f>
        <v>0</v>
      </c>
      <c r="ER265">
        <f>SUMIF('Как будет'!$A$54:$A$61,Доп.расчеты!$A265,'Как будет'!ES$54:ES$61)</f>
        <v>0</v>
      </c>
      <c r="ES265">
        <f>SUMIF('Как будет'!$A$54:$A$61,Доп.расчеты!$A265,'Как будет'!ET$54:ET$61)</f>
        <v>0</v>
      </c>
      <c r="ET265">
        <f>SUMIF('Как будет'!$A$54:$A$61,Доп.расчеты!$A265,'Как будет'!EU$54:EU$61)</f>
        <v>0</v>
      </c>
      <c r="EU265">
        <f>SUMIF('Как будет'!$A$54:$A$61,Доп.расчеты!$A265,'Как будет'!EV$54:EV$61)</f>
        <v>0</v>
      </c>
      <c r="EV265">
        <f>SUMIF('Как будет'!$A$54:$A$61,Доп.расчеты!$A265,'Как будет'!EW$54:EW$61)</f>
        <v>0</v>
      </c>
      <c r="EW265">
        <f>SUMIF('Как будет'!$A$54:$A$61,Доп.расчеты!$A265,'Как будет'!EX$54:EX$61)</f>
        <v>0</v>
      </c>
      <c r="EX265">
        <f>SUMIF('Как будет'!$A$54:$A$61,Доп.расчеты!$A265,'Как будет'!EY$54:EY$61)</f>
        <v>0</v>
      </c>
      <c r="EY265">
        <f>SUMIF('Как будет'!$A$54:$A$61,Доп.расчеты!$A265,'Как будет'!EZ$54:EZ$61)</f>
        <v>0</v>
      </c>
      <c r="EZ265">
        <f>SUMIF('Как будет'!$A$54:$A$61,Доп.расчеты!$A265,'Как будет'!FA$54:FA$61)</f>
        <v>0</v>
      </c>
      <c r="FA265">
        <f>SUMIF('Как будет'!$A$54:$A$61,Доп.расчеты!$A265,'Как будет'!FB$54:FB$61)</f>
        <v>0</v>
      </c>
      <c r="FB265">
        <f>SUMIF('Как будет'!$A$54:$A$61,Доп.расчеты!$A265,'Как будет'!FC$54:FC$61)</f>
        <v>0</v>
      </c>
      <c r="FC265">
        <f>SUMIF('Как будет'!$A$54:$A$61,Доп.расчеты!$A265,'Как будет'!FD$54:FD$61)</f>
        <v>0</v>
      </c>
      <c r="FD265">
        <f>SUMIF('Как будет'!$A$54:$A$61,Доп.расчеты!$A265,'Как будет'!FE$54:FE$61)</f>
        <v>0</v>
      </c>
      <c r="FE265">
        <f>SUMIF('Как будет'!$A$54:$A$61,Доп.расчеты!$A265,'Как будет'!FF$54:FF$61)</f>
        <v>0</v>
      </c>
      <c r="FF265">
        <f>SUMIF('Как будет'!$A$54:$A$61,Доп.расчеты!$A265,'Как будет'!FG$54:FG$61)</f>
        <v>0</v>
      </c>
      <c r="FG265">
        <f>SUMIF('Как будет'!$A$54:$A$61,Доп.расчеты!$A265,'Как будет'!FH$54:FH$61)</f>
        <v>0</v>
      </c>
      <c r="FH265">
        <f>SUMIF('Как будет'!$A$54:$A$61,Доп.расчеты!$A265,'Как будет'!FI$54:FI$61)</f>
        <v>0</v>
      </c>
      <c r="FI265">
        <f>SUMIF('Как будет'!$A$54:$A$61,Доп.расчеты!$A265,'Как будет'!FJ$54:FJ$61)</f>
        <v>0</v>
      </c>
      <c r="FJ265">
        <f>SUMIF('Как будет'!$A$54:$A$61,Доп.расчеты!$A265,'Как будет'!FK$54:FK$61)</f>
        <v>0</v>
      </c>
      <c r="FK265">
        <f>SUMIF('Как будет'!$A$54:$A$61,Доп.расчеты!$A265,'Как будет'!FL$54:FL$61)</f>
        <v>0</v>
      </c>
      <c r="FL265">
        <f>SUMIF('Как будет'!$A$54:$A$61,Доп.расчеты!$A265,'Как будет'!FM$54:FM$61)</f>
        <v>0</v>
      </c>
      <c r="FM265">
        <f>SUMIF('Как будет'!$A$54:$A$61,Доп.расчеты!$A265,'Как будет'!FN$54:FN$61)</f>
        <v>0</v>
      </c>
      <c r="FN265">
        <f>SUMIF('Как будет'!$A$54:$A$61,Доп.расчеты!$A265,'Как будет'!FO$54:FO$61)</f>
        <v>0</v>
      </c>
      <c r="FO265">
        <f>SUMIF('Как будет'!$A$54:$A$61,Доп.расчеты!$A265,'Как будет'!FP$54:FP$61)</f>
        <v>0</v>
      </c>
      <c r="FP265">
        <f>SUMIF('Как будет'!$A$54:$A$61,Доп.расчеты!$A265,'Как будет'!FQ$54:FQ$61)</f>
        <v>0</v>
      </c>
      <c r="FQ265">
        <f>SUMIF('Как будет'!$A$54:$A$61,Доп.расчеты!$A265,'Как будет'!FR$54:FR$61)</f>
        <v>0</v>
      </c>
      <c r="FR265">
        <f>SUMIF('Как будет'!$A$54:$A$61,Доп.расчеты!$A265,'Как будет'!FS$54:FS$61)</f>
        <v>0</v>
      </c>
      <c r="FS265">
        <f>SUMIF('Как будет'!$A$54:$A$61,Доп.расчеты!$A265,'Как будет'!FT$54:FT$61)</f>
        <v>0</v>
      </c>
      <c r="FT265">
        <f>SUMIF('Как будет'!$A$54:$A$61,Доп.расчеты!$A265,'Как будет'!FU$54:FU$61)</f>
        <v>0</v>
      </c>
      <c r="FU265">
        <f>SUMIF('Как будет'!$A$54:$A$61,Доп.расчеты!$A265,'Как будет'!FV$54:FV$61)</f>
        <v>0</v>
      </c>
      <c r="FV265">
        <f>SUMIF('Как будет'!$A$54:$A$61,Доп.расчеты!$A265,'Как будет'!FW$54:FW$61)</f>
        <v>0</v>
      </c>
      <c r="FW265">
        <f>SUMIF('Как будет'!$A$54:$A$61,Доп.расчеты!$A265,'Как будет'!FX$54:FX$61)</f>
        <v>0</v>
      </c>
      <c r="FX265">
        <f>SUMIF('Как будет'!$A$54:$A$61,Доп.расчеты!$A265,'Как будет'!FY$54:FY$61)</f>
        <v>0</v>
      </c>
      <c r="FY265">
        <f>SUMIF('Как будет'!$A$54:$A$61,Доп.расчеты!$A265,'Как будет'!FZ$54:FZ$61)</f>
        <v>0</v>
      </c>
      <c r="FZ265">
        <f>SUMIF('Как будет'!$A$54:$A$61,Доп.расчеты!$A265,'Как будет'!GA$54:GA$61)</f>
        <v>0</v>
      </c>
      <c r="GA265">
        <f>SUMIF('Как будет'!$A$54:$A$61,Доп.расчеты!$A265,'Как будет'!GB$54:GB$61)</f>
        <v>0</v>
      </c>
      <c r="GB265">
        <f>SUMIF('Как будет'!$A$54:$A$61,Доп.расчеты!$A265,'Как будет'!GC$54:GC$61)</f>
        <v>0</v>
      </c>
      <c r="GC265">
        <f>SUMIF('Как будет'!$A$54:$A$61,Доп.расчеты!$A265,'Как будет'!GD$54:GD$61)</f>
        <v>0</v>
      </c>
      <c r="GD265">
        <f>SUMIF('Как будет'!$A$54:$A$61,Доп.расчеты!$A265,'Как будет'!GE$54:GE$61)</f>
        <v>0</v>
      </c>
      <c r="GE265">
        <f>SUMIF('Как будет'!$A$54:$A$61,Доп.расчеты!$A265,'Как будет'!GF$54:GF$61)</f>
        <v>0</v>
      </c>
      <c r="GF265">
        <f>SUMIF('Как будет'!$A$54:$A$61,Доп.расчеты!$A265,'Как будет'!GG$54:GG$61)</f>
        <v>0</v>
      </c>
      <c r="GG265">
        <f>SUMIF('Как будет'!$A$54:$A$61,Доп.расчеты!$A265,'Как будет'!GH$54:GH$61)</f>
        <v>0</v>
      </c>
      <c r="GH265">
        <f>SUMIF('Как будет'!$A$54:$A$61,Доп.расчеты!$A265,'Как будет'!GI$54:GI$61)</f>
        <v>0</v>
      </c>
      <c r="GI265">
        <f>SUMIF('Как будет'!$A$54:$A$61,Доп.расчеты!$A265,'Как будет'!GJ$54:GJ$61)</f>
        <v>0</v>
      </c>
      <c r="GJ265">
        <f>SUMIF('Как будет'!$A$54:$A$61,Доп.расчеты!$A265,'Как будет'!GK$54:GK$61)</f>
        <v>0</v>
      </c>
      <c r="GK265">
        <f>SUMIF('Как будет'!$A$54:$A$61,Доп.расчеты!$A265,'Как будет'!GL$54:GL$61)</f>
        <v>0</v>
      </c>
      <c r="GL265">
        <f>SUMIF('Как будет'!$A$54:$A$61,Доп.расчеты!$A265,'Как будет'!GM$54:GM$61)</f>
        <v>0</v>
      </c>
      <c r="GM265">
        <f>SUMIF('Как будет'!$A$54:$A$61,Доп.расчеты!$A265,'Как будет'!GN$54:GN$61)</f>
        <v>0</v>
      </c>
      <c r="GN265">
        <f>SUMIF('Как будет'!$A$54:$A$61,Доп.расчеты!$A265,'Как будет'!GO$54:GO$61)</f>
        <v>0</v>
      </c>
      <c r="GO265">
        <f>SUMIF('Как будет'!$A$54:$A$61,Доп.расчеты!$A265,'Как будет'!GP$54:GP$61)</f>
        <v>0</v>
      </c>
      <c r="GP265">
        <f>SUMIF('Как будет'!$A$54:$A$61,Доп.расчеты!$A265,'Как будет'!GQ$54:GQ$61)</f>
        <v>0</v>
      </c>
      <c r="GQ265">
        <f>SUMIF('Как будет'!$A$54:$A$61,Доп.расчеты!$A265,'Как будет'!GR$54:GR$61)</f>
        <v>0</v>
      </c>
      <c r="GR265">
        <f>SUMIF('Как будет'!$A$54:$A$61,Доп.расчеты!$A265,'Как будет'!GS$54:GS$61)</f>
        <v>0</v>
      </c>
      <c r="GS265">
        <f>SUMIF('Как будет'!$A$54:$A$61,Доп.расчеты!$A265,'Как будет'!GT$54:GT$61)</f>
        <v>0</v>
      </c>
      <c r="GT265">
        <f>SUMIF('Как будет'!$A$54:$A$61,Доп.расчеты!$A265,'Как будет'!GU$54:GU$61)</f>
        <v>0</v>
      </c>
    </row>
    <row r="266" spans="1:202">
      <c r="A266" s="237" t="s">
        <v>11</v>
      </c>
      <c r="B266">
        <f>SUMIF('Как будет'!$A$54:$A$61,Доп.расчеты!$A266,'Как будет'!C$54:C$61)</f>
        <v>0</v>
      </c>
      <c r="C266">
        <f>SUMIF('Как будет'!$A$54:$A$61,Доп.расчеты!$A266,'Как будет'!D$54:D$61)</f>
        <v>0</v>
      </c>
      <c r="D266">
        <f>SUMIF('Как будет'!$A$54:$A$61,Доп.расчеты!$A266,'Как будет'!E$54:E$61)</f>
        <v>0</v>
      </c>
      <c r="E266">
        <f>SUMIF('Как будет'!$A$54:$A$61,Доп.расчеты!$A266,'Как будет'!F$54:F$61)</f>
        <v>0</v>
      </c>
      <c r="F266">
        <f>SUMIF('Как будет'!$A$54:$A$61,Доп.расчеты!$A266,'Как будет'!G$54:G$61)</f>
        <v>0</v>
      </c>
      <c r="G266">
        <f>SUMIF('Как будет'!$A$54:$A$61,Доп.расчеты!$A266,'Как будет'!H$54:H$61)</f>
        <v>0</v>
      </c>
      <c r="H266">
        <f>SUMIF('Как будет'!$A$54:$A$61,Доп.расчеты!$A266,'Как будет'!I$54:I$61)</f>
        <v>0</v>
      </c>
      <c r="I266">
        <f>SUMIF('Как будет'!$A$54:$A$61,Доп.расчеты!$A266,'Как будет'!J$54:J$61)</f>
        <v>0</v>
      </c>
      <c r="J266">
        <f>SUMIF('Как будет'!$A$54:$A$61,Доп.расчеты!$A266,'Как будет'!K$54:K$61)</f>
        <v>0</v>
      </c>
      <c r="K266">
        <f>SUMIF('Как будет'!$A$54:$A$61,Доп.расчеты!$A266,'Как будет'!L$54:L$61)</f>
        <v>0</v>
      </c>
      <c r="L266">
        <f>SUMIF('Как будет'!$A$54:$A$61,Доп.расчеты!$A266,'Как будет'!M$54:M$61)</f>
        <v>0</v>
      </c>
      <c r="M266">
        <f>SUMIF('Как будет'!$A$54:$A$61,Доп.расчеты!$A266,'Как будет'!N$54:N$61)</f>
        <v>0</v>
      </c>
      <c r="N266">
        <f>SUMIF('Как будет'!$A$54:$A$61,Доп.расчеты!$A266,'Как будет'!O$54:O$61)</f>
        <v>0</v>
      </c>
      <c r="O266">
        <f>SUMIF('Как будет'!$A$54:$A$61,Доп.расчеты!$A266,'Как будет'!P$54:P$61)</f>
        <v>0</v>
      </c>
      <c r="P266">
        <f>SUMIF('Как будет'!$A$54:$A$61,Доп.расчеты!$A266,'Как будет'!Q$54:Q$61)</f>
        <v>0</v>
      </c>
      <c r="Q266">
        <f>SUMIF('Как будет'!$A$54:$A$61,Доп.расчеты!$A266,'Как будет'!R$54:R$61)</f>
        <v>0</v>
      </c>
      <c r="R266">
        <f>SUMIF('Как будет'!$A$54:$A$61,Доп.расчеты!$A266,'Как будет'!S$54:S$61)</f>
        <v>0</v>
      </c>
      <c r="S266">
        <f>SUMIF('Как будет'!$A$54:$A$61,Доп.расчеты!$A266,'Как будет'!T$54:T$61)</f>
        <v>0</v>
      </c>
      <c r="T266">
        <f>SUMIF('Как будет'!$A$54:$A$61,Доп.расчеты!$A266,'Как будет'!U$54:U$61)</f>
        <v>0</v>
      </c>
      <c r="U266">
        <f>SUMIF('Как будет'!$A$54:$A$61,Доп.расчеты!$A266,'Как будет'!V$54:V$61)</f>
        <v>0</v>
      </c>
      <c r="V266">
        <f>SUMIF('Как будет'!$A$54:$A$61,Доп.расчеты!$A266,'Как будет'!W$54:W$61)</f>
        <v>0</v>
      </c>
      <c r="W266">
        <f>SUMIF('Как будет'!$A$54:$A$61,Доп.расчеты!$A266,'Как будет'!X$54:X$61)</f>
        <v>0</v>
      </c>
      <c r="X266">
        <f>SUMIF('Как будет'!$A$54:$A$61,Доп.расчеты!$A266,'Как будет'!Y$54:Y$61)</f>
        <v>0</v>
      </c>
      <c r="Y266">
        <f>SUMIF('Как будет'!$A$54:$A$61,Доп.расчеты!$A266,'Как будет'!Z$54:Z$61)</f>
        <v>0</v>
      </c>
      <c r="Z266">
        <f>SUMIF('Как будет'!$A$54:$A$61,Доп.расчеты!$A266,'Как будет'!AA$54:AA$61)</f>
        <v>0</v>
      </c>
      <c r="AA266">
        <f>SUMIF('Как будет'!$A$54:$A$61,Доп.расчеты!$A266,'Как будет'!AB$54:AB$61)</f>
        <v>0</v>
      </c>
      <c r="AB266">
        <f>SUMIF('Как будет'!$A$54:$A$61,Доп.расчеты!$A266,'Как будет'!AC$54:AC$61)</f>
        <v>0</v>
      </c>
      <c r="AC266">
        <f>SUMIF('Как будет'!$A$54:$A$61,Доп.расчеты!$A266,'Как будет'!AD$54:AD$61)</f>
        <v>0</v>
      </c>
      <c r="AD266">
        <f>SUMIF('Как будет'!$A$54:$A$61,Доп.расчеты!$A266,'Как будет'!AE$54:AE$61)</f>
        <v>0</v>
      </c>
      <c r="AE266">
        <f>SUMIF('Как будет'!$A$54:$A$61,Доп.расчеты!$A266,'Как будет'!AF$54:AF$61)</f>
        <v>0</v>
      </c>
      <c r="AF266">
        <f>SUMIF('Как будет'!$A$54:$A$61,Доп.расчеты!$A266,'Как будет'!AG$54:AG$61)</f>
        <v>0</v>
      </c>
      <c r="AG266">
        <f>SUMIF('Как будет'!$A$54:$A$61,Доп.расчеты!$A266,'Как будет'!AH$54:AH$61)</f>
        <v>0</v>
      </c>
      <c r="AH266">
        <f>SUMIF('Как будет'!$A$54:$A$61,Доп.расчеты!$A266,'Как будет'!AI$54:AI$61)</f>
        <v>0</v>
      </c>
      <c r="AI266">
        <f>SUMIF('Как будет'!$A$54:$A$61,Доп.расчеты!$A266,'Как будет'!AJ$54:AJ$61)</f>
        <v>0</v>
      </c>
      <c r="AJ266">
        <f>SUMIF('Как будет'!$A$54:$A$61,Доп.расчеты!$A266,'Как будет'!AK$54:AK$61)</f>
        <v>0</v>
      </c>
      <c r="AK266">
        <f>SUMIF('Как будет'!$A$54:$A$61,Доп.расчеты!$A266,'Как будет'!AL$54:AL$61)</f>
        <v>0</v>
      </c>
      <c r="AL266">
        <f>SUMIF('Как будет'!$A$54:$A$61,Доп.расчеты!$A266,'Как будет'!AM$54:AM$61)</f>
        <v>0</v>
      </c>
      <c r="AM266">
        <f>SUMIF('Как будет'!$A$54:$A$61,Доп.расчеты!$A266,'Как будет'!AN$54:AN$61)</f>
        <v>0</v>
      </c>
      <c r="AN266">
        <f>SUMIF('Как будет'!$A$54:$A$61,Доп.расчеты!$A266,'Как будет'!AO$54:AO$61)</f>
        <v>0</v>
      </c>
      <c r="AO266">
        <f>SUMIF('Как будет'!$A$54:$A$61,Доп.расчеты!$A266,'Как будет'!AP$54:AP$61)</f>
        <v>0</v>
      </c>
      <c r="AP266">
        <f>SUMIF('Как будет'!$A$54:$A$61,Доп.расчеты!$A266,'Как будет'!AQ$54:AQ$61)</f>
        <v>0</v>
      </c>
      <c r="AQ266">
        <f>SUMIF('Как будет'!$A$54:$A$61,Доп.расчеты!$A266,'Как будет'!AR$54:AR$61)</f>
        <v>0</v>
      </c>
      <c r="AR266">
        <f>SUMIF('Как будет'!$A$54:$A$61,Доп.расчеты!$A266,'Как будет'!AS$54:AS$61)</f>
        <v>0</v>
      </c>
      <c r="AS266">
        <f>SUMIF('Как будет'!$A$54:$A$61,Доп.расчеты!$A266,'Как будет'!AT$54:AT$61)</f>
        <v>0</v>
      </c>
      <c r="AT266">
        <f>SUMIF('Как будет'!$A$54:$A$61,Доп.расчеты!$A266,'Как будет'!AU$54:AU$61)</f>
        <v>0</v>
      </c>
      <c r="AU266">
        <f>SUMIF('Как будет'!$A$54:$A$61,Доп.расчеты!$A266,'Как будет'!AV$54:AV$61)</f>
        <v>0</v>
      </c>
      <c r="AV266">
        <f>SUMIF('Как будет'!$A$54:$A$61,Доп.расчеты!$A266,'Как будет'!AW$54:AW$61)</f>
        <v>0</v>
      </c>
      <c r="AW266">
        <f>SUMIF('Как будет'!$A$54:$A$61,Доп.расчеты!$A266,'Как будет'!AX$54:AX$61)</f>
        <v>0</v>
      </c>
      <c r="AX266">
        <f>SUMIF('Как будет'!$A$54:$A$61,Доп.расчеты!$A266,'Как будет'!AY$54:AY$61)</f>
        <v>0</v>
      </c>
      <c r="AY266">
        <f>SUMIF('Как будет'!$A$54:$A$61,Доп.расчеты!$A266,'Как будет'!AZ$54:AZ$61)</f>
        <v>0</v>
      </c>
      <c r="AZ266">
        <f>SUMIF('Как будет'!$A$54:$A$61,Доп.расчеты!$A266,'Как будет'!BA$54:BA$61)</f>
        <v>0</v>
      </c>
      <c r="BA266">
        <f>SUMIF('Как будет'!$A$54:$A$61,Доп.расчеты!$A266,'Как будет'!BB$54:BB$61)</f>
        <v>0</v>
      </c>
      <c r="BB266">
        <f>SUMIF('Как будет'!$A$54:$A$61,Доп.расчеты!$A266,'Как будет'!BC$54:BC$61)</f>
        <v>0</v>
      </c>
      <c r="BC266">
        <f>SUMIF('Как будет'!$A$54:$A$61,Доп.расчеты!$A266,'Как будет'!BD$54:BD$61)</f>
        <v>0</v>
      </c>
      <c r="BD266">
        <f>SUMIF('Как будет'!$A$54:$A$61,Доп.расчеты!$A266,'Как будет'!BE$54:BE$61)</f>
        <v>0</v>
      </c>
      <c r="BE266">
        <f>SUMIF('Как будет'!$A$54:$A$61,Доп.расчеты!$A266,'Как будет'!BF$54:BF$61)</f>
        <v>0</v>
      </c>
      <c r="BF266">
        <f>SUMIF('Как будет'!$A$54:$A$61,Доп.расчеты!$A266,'Как будет'!BG$54:BG$61)</f>
        <v>0</v>
      </c>
      <c r="BG266">
        <f>SUMIF('Как будет'!$A$54:$A$61,Доп.расчеты!$A266,'Как будет'!BH$54:BH$61)</f>
        <v>0</v>
      </c>
      <c r="BH266">
        <f>SUMIF('Как будет'!$A$54:$A$61,Доп.расчеты!$A266,'Как будет'!BI$54:BI$61)</f>
        <v>0</v>
      </c>
      <c r="BI266">
        <f>SUMIF('Как будет'!$A$54:$A$61,Доп.расчеты!$A266,'Как будет'!BJ$54:BJ$61)</f>
        <v>0</v>
      </c>
      <c r="BJ266">
        <f>SUMIF('Как будет'!$A$54:$A$61,Доп.расчеты!$A266,'Как будет'!BK$54:BK$61)</f>
        <v>0</v>
      </c>
      <c r="BK266">
        <f>SUMIF('Как будет'!$A$54:$A$61,Доп.расчеты!$A266,'Как будет'!BL$54:BL$61)</f>
        <v>0</v>
      </c>
      <c r="BL266">
        <f>SUMIF('Как будет'!$A$54:$A$61,Доп.расчеты!$A266,'Как будет'!BM$54:BM$61)</f>
        <v>0</v>
      </c>
      <c r="BM266">
        <f>SUMIF('Как будет'!$A$54:$A$61,Доп.расчеты!$A266,'Как будет'!BN$54:BN$61)</f>
        <v>0</v>
      </c>
      <c r="BN266">
        <f>SUMIF('Как будет'!$A$54:$A$61,Доп.расчеты!$A266,'Как будет'!BO$54:BO$61)</f>
        <v>0</v>
      </c>
      <c r="BO266">
        <f>SUMIF('Как будет'!$A$54:$A$61,Доп.расчеты!$A266,'Как будет'!BP$54:BP$61)</f>
        <v>0</v>
      </c>
      <c r="BP266">
        <f>SUMIF('Как будет'!$A$54:$A$61,Доп.расчеты!$A266,'Как будет'!BQ$54:BQ$61)</f>
        <v>0</v>
      </c>
      <c r="BQ266">
        <f>SUMIF('Как будет'!$A$54:$A$61,Доп.расчеты!$A266,'Как будет'!BR$54:BR$61)</f>
        <v>0</v>
      </c>
      <c r="BR266">
        <f>SUMIF('Как будет'!$A$54:$A$61,Доп.расчеты!$A266,'Как будет'!BS$54:BS$61)</f>
        <v>0</v>
      </c>
      <c r="BS266">
        <f>SUMIF('Как будет'!$A$54:$A$61,Доп.расчеты!$A266,'Как будет'!BT$54:BT$61)</f>
        <v>0</v>
      </c>
      <c r="BT266">
        <f>SUMIF('Как будет'!$A$54:$A$61,Доп.расчеты!$A266,'Как будет'!BU$54:BU$61)</f>
        <v>0</v>
      </c>
      <c r="BU266">
        <f>SUMIF('Как будет'!$A$54:$A$61,Доп.расчеты!$A266,'Как будет'!BV$54:BV$61)</f>
        <v>0</v>
      </c>
      <c r="BV266">
        <f>SUMIF('Как будет'!$A$54:$A$61,Доп.расчеты!$A266,'Как будет'!BW$54:BW$61)</f>
        <v>0</v>
      </c>
      <c r="BW266">
        <f>SUMIF('Как будет'!$A$54:$A$61,Доп.расчеты!$A266,'Как будет'!BX$54:BX$61)</f>
        <v>0</v>
      </c>
      <c r="BX266">
        <f>SUMIF('Как будет'!$A$54:$A$61,Доп.расчеты!$A266,'Как будет'!BY$54:BY$61)</f>
        <v>0</v>
      </c>
      <c r="BY266">
        <f>SUMIF('Как будет'!$A$54:$A$61,Доп.расчеты!$A266,'Как будет'!BZ$54:BZ$61)</f>
        <v>0</v>
      </c>
      <c r="BZ266">
        <f>SUMIF('Как будет'!$A$54:$A$61,Доп.расчеты!$A266,'Как будет'!CA$54:CA$61)</f>
        <v>0</v>
      </c>
      <c r="CA266">
        <f>SUMIF('Как будет'!$A$54:$A$61,Доп.расчеты!$A266,'Как будет'!CB$54:CB$61)</f>
        <v>0</v>
      </c>
      <c r="CB266">
        <f>SUMIF('Как будет'!$A$54:$A$61,Доп.расчеты!$A266,'Как будет'!CC$54:CC$61)</f>
        <v>0</v>
      </c>
      <c r="CC266">
        <f>SUMIF('Как будет'!$A$54:$A$61,Доп.расчеты!$A266,'Как будет'!CD$54:CD$61)</f>
        <v>0</v>
      </c>
      <c r="CD266">
        <f>SUMIF('Как будет'!$A$54:$A$61,Доп.расчеты!$A266,'Как будет'!CE$54:CE$61)</f>
        <v>0</v>
      </c>
      <c r="CE266">
        <f>SUMIF('Как будет'!$A$54:$A$61,Доп.расчеты!$A266,'Как будет'!CF$54:CF$61)</f>
        <v>0</v>
      </c>
      <c r="CF266">
        <f>SUMIF('Как будет'!$A$54:$A$61,Доп.расчеты!$A266,'Как будет'!CG$54:CG$61)</f>
        <v>0</v>
      </c>
      <c r="CG266">
        <f>SUMIF('Как будет'!$A$54:$A$61,Доп.расчеты!$A266,'Как будет'!CH$54:CH$61)</f>
        <v>0</v>
      </c>
      <c r="CH266">
        <f>SUMIF('Как будет'!$A$54:$A$61,Доп.расчеты!$A266,'Как будет'!CI$54:CI$61)</f>
        <v>0</v>
      </c>
      <c r="CI266">
        <f>SUMIF('Как будет'!$A$54:$A$61,Доп.расчеты!$A266,'Как будет'!CJ$54:CJ$61)</f>
        <v>0</v>
      </c>
      <c r="CJ266">
        <f>SUMIF('Как будет'!$A$54:$A$61,Доп.расчеты!$A266,'Как будет'!CK$54:CK$61)</f>
        <v>0</v>
      </c>
      <c r="CK266">
        <f>SUMIF('Как будет'!$A$54:$A$61,Доп.расчеты!$A266,'Как будет'!CL$54:CL$61)</f>
        <v>0</v>
      </c>
      <c r="CL266">
        <f>SUMIF('Как будет'!$A$54:$A$61,Доп.расчеты!$A266,'Как будет'!CM$54:CM$61)</f>
        <v>0</v>
      </c>
      <c r="CM266">
        <f>SUMIF('Как будет'!$A$54:$A$61,Доп.расчеты!$A266,'Как будет'!CN$54:CN$61)</f>
        <v>0</v>
      </c>
      <c r="CN266">
        <f>SUMIF('Как будет'!$A$54:$A$61,Доп.расчеты!$A266,'Как будет'!CO$54:CO$61)</f>
        <v>0</v>
      </c>
      <c r="CO266">
        <f>SUMIF('Как будет'!$A$54:$A$61,Доп.расчеты!$A266,'Как будет'!CP$54:CP$61)</f>
        <v>0</v>
      </c>
      <c r="CP266">
        <f>SUMIF('Как будет'!$A$54:$A$61,Доп.расчеты!$A266,'Как будет'!CQ$54:CQ$61)</f>
        <v>0</v>
      </c>
      <c r="CQ266">
        <f>SUMIF('Как будет'!$A$54:$A$61,Доп.расчеты!$A266,'Как будет'!CR$54:CR$61)</f>
        <v>0</v>
      </c>
      <c r="CR266">
        <f>SUMIF('Как будет'!$A$54:$A$61,Доп.расчеты!$A266,'Как будет'!CS$54:CS$61)</f>
        <v>0</v>
      </c>
      <c r="CS266">
        <f>SUMIF('Как будет'!$A$54:$A$61,Доп.расчеты!$A266,'Как будет'!CT$54:CT$61)</f>
        <v>0</v>
      </c>
      <c r="CT266">
        <f>SUMIF('Как будет'!$A$54:$A$61,Доп.расчеты!$A266,'Как будет'!CU$54:CU$61)</f>
        <v>0</v>
      </c>
      <c r="CU266">
        <f>SUMIF('Как будет'!$A$54:$A$61,Доп.расчеты!$A266,'Как будет'!CV$54:CV$61)</f>
        <v>0</v>
      </c>
      <c r="CV266">
        <f>SUMIF('Как будет'!$A$54:$A$61,Доп.расчеты!$A266,'Как будет'!CW$54:CW$61)</f>
        <v>0</v>
      </c>
      <c r="CW266">
        <f>SUMIF('Как будет'!$A$54:$A$61,Доп.расчеты!$A266,'Как будет'!CX$54:CX$61)</f>
        <v>0</v>
      </c>
      <c r="CX266">
        <f>SUMIF('Как будет'!$A$54:$A$61,Доп.расчеты!$A266,'Как будет'!CY$54:CY$61)</f>
        <v>0</v>
      </c>
      <c r="CY266">
        <f>SUMIF('Как будет'!$A$54:$A$61,Доп.расчеты!$A266,'Как будет'!CZ$54:CZ$61)</f>
        <v>0</v>
      </c>
      <c r="CZ266">
        <f>SUMIF('Как будет'!$A$54:$A$61,Доп.расчеты!$A266,'Как будет'!DA$54:DA$61)</f>
        <v>0</v>
      </c>
      <c r="DA266">
        <f>SUMIF('Как будет'!$A$54:$A$61,Доп.расчеты!$A266,'Как будет'!DB$54:DB$61)</f>
        <v>0</v>
      </c>
      <c r="DB266">
        <f>SUMIF('Как будет'!$A$54:$A$61,Доп.расчеты!$A266,'Как будет'!DC$54:DC$61)</f>
        <v>0</v>
      </c>
      <c r="DC266">
        <f>SUMIF('Как будет'!$A$54:$A$61,Доп.расчеты!$A266,'Как будет'!DD$54:DD$61)</f>
        <v>0</v>
      </c>
      <c r="DD266">
        <f>SUMIF('Как будет'!$A$54:$A$61,Доп.расчеты!$A266,'Как будет'!DE$54:DE$61)</f>
        <v>0</v>
      </c>
      <c r="DE266">
        <f>SUMIF('Как будет'!$A$54:$A$61,Доп.расчеты!$A266,'Как будет'!DF$54:DF$61)</f>
        <v>0</v>
      </c>
      <c r="DF266">
        <f>SUMIF('Как будет'!$A$54:$A$61,Доп.расчеты!$A266,'Как будет'!DG$54:DG$61)</f>
        <v>0</v>
      </c>
      <c r="DG266">
        <f>SUMIF('Как будет'!$A$54:$A$61,Доп.расчеты!$A266,'Как будет'!DH$54:DH$61)</f>
        <v>0</v>
      </c>
      <c r="DH266">
        <f>SUMIF('Как будет'!$A$54:$A$61,Доп.расчеты!$A266,'Как будет'!DI$54:DI$61)</f>
        <v>0</v>
      </c>
      <c r="DI266">
        <f>SUMIF('Как будет'!$A$54:$A$61,Доп.расчеты!$A266,'Как будет'!DJ$54:DJ$61)</f>
        <v>0</v>
      </c>
      <c r="DJ266">
        <f>SUMIF('Как будет'!$A$54:$A$61,Доп.расчеты!$A266,'Как будет'!DK$54:DK$61)</f>
        <v>0</v>
      </c>
      <c r="DK266">
        <f>SUMIF('Как будет'!$A$54:$A$61,Доп.расчеты!$A266,'Как будет'!DL$54:DL$61)</f>
        <v>0</v>
      </c>
      <c r="DL266">
        <f>SUMIF('Как будет'!$A$54:$A$61,Доп.расчеты!$A266,'Как будет'!DM$54:DM$61)</f>
        <v>0</v>
      </c>
      <c r="DM266">
        <f>SUMIF('Как будет'!$A$54:$A$61,Доп.расчеты!$A266,'Как будет'!DN$54:DN$61)</f>
        <v>0</v>
      </c>
      <c r="DN266">
        <f>SUMIF('Как будет'!$A$54:$A$61,Доп.расчеты!$A266,'Как будет'!DO$54:DO$61)</f>
        <v>0</v>
      </c>
      <c r="DO266">
        <f>SUMIF('Как будет'!$A$54:$A$61,Доп.расчеты!$A266,'Как будет'!DP$54:DP$61)</f>
        <v>0</v>
      </c>
      <c r="DP266">
        <f>SUMIF('Как будет'!$A$54:$A$61,Доп.расчеты!$A266,'Как будет'!DQ$54:DQ$61)</f>
        <v>0</v>
      </c>
      <c r="DQ266">
        <f>SUMIF('Как будет'!$A$54:$A$61,Доп.расчеты!$A266,'Как будет'!DR$54:DR$61)</f>
        <v>0</v>
      </c>
      <c r="DR266">
        <f>SUMIF('Как будет'!$A$54:$A$61,Доп.расчеты!$A266,'Как будет'!DS$54:DS$61)</f>
        <v>0</v>
      </c>
      <c r="DS266">
        <f>SUMIF('Как будет'!$A$54:$A$61,Доп.расчеты!$A266,'Как будет'!DT$54:DT$61)</f>
        <v>0</v>
      </c>
      <c r="DT266">
        <f>SUMIF('Как будет'!$A$54:$A$61,Доп.расчеты!$A266,'Как будет'!DU$54:DU$61)</f>
        <v>0</v>
      </c>
      <c r="DU266">
        <f>SUMIF('Как будет'!$A$54:$A$61,Доп.расчеты!$A266,'Как будет'!DV$54:DV$61)</f>
        <v>0</v>
      </c>
      <c r="DV266">
        <f>SUMIF('Как будет'!$A$54:$A$61,Доп.расчеты!$A266,'Как будет'!DW$54:DW$61)</f>
        <v>0</v>
      </c>
      <c r="DW266">
        <f>SUMIF('Как будет'!$A$54:$A$61,Доп.расчеты!$A266,'Как будет'!DX$54:DX$61)</f>
        <v>0</v>
      </c>
      <c r="DX266">
        <f>SUMIF('Как будет'!$A$54:$A$61,Доп.расчеты!$A266,'Как будет'!DY$54:DY$61)</f>
        <v>0</v>
      </c>
      <c r="DY266">
        <f>SUMIF('Как будет'!$A$54:$A$61,Доп.расчеты!$A266,'Как будет'!DZ$54:DZ$61)</f>
        <v>0</v>
      </c>
      <c r="DZ266">
        <f>SUMIF('Как будет'!$A$54:$A$61,Доп.расчеты!$A266,'Как будет'!EA$54:EA$61)</f>
        <v>0</v>
      </c>
      <c r="EA266">
        <f>SUMIF('Как будет'!$A$54:$A$61,Доп.расчеты!$A266,'Как будет'!EB$54:EB$61)</f>
        <v>0</v>
      </c>
      <c r="EB266">
        <f>SUMIF('Как будет'!$A$54:$A$61,Доп.расчеты!$A266,'Как будет'!EC$54:EC$61)</f>
        <v>0</v>
      </c>
      <c r="EC266">
        <f>SUMIF('Как будет'!$A$54:$A$61,Доп.расчеты!$A266,'Как будет'!ED$54:ED$61)</f>
        <v>0</v>
      </c>
      <c r="ED266">
        <f>SUMIF('Как будет'!$A$54:$A$61,Доп.расчеты!$A266,'Как будет'!EE$54:EE$61)</f>
        <v>0</v>
      </c>
      <c r="EE266">
        <f>SUMIF('Как будет'!$A$54:$A$61,Доп.расчеты!$A266,'Как будет'!EF$54:EF$61)</f>
        <v>0</v>
      </c>
      <c r="EF266">
        <f>SUMIF('Как будет'!$A$54:$A$61,Доп.расчеты!$A266,'Как будет'!EG$54:EG$61)</f>
        <v>0</v>
      </c>
      <c r="EG266">
        <f>SUMIF('Как будет'!$A$54:$A$61,Доп.расчеты!$A266,'Как будет'!EH$54:EH$61)</f>
        <v>0</v>
      </c>
      <c r="EH266">
        <f>SUMIF('Как будет'!$A$54:$A$61,Доп.расчеты!$A266,'Как будет'!EI$54:EI$61)</f>
        <v>0</v>
      </c>
      <c r="EI266">
        <f>SUMIF('Как будет'!$A$54:$A$61,Доп.расчеты!$A266,'Как будет'!EJ$54:EJ$61)</f>
        <v>0</v>
      </c>
      <c r="EJ266">
        <f>SUMIF('Как будет'!$A$54:$A$61,Доп.расчеты!$A266,'Как будет'!EK$54:EK$61)</f>
        <v>0</v>
      </c>
      <c r="EK266">
        <f>SUMIF('Как будет'!$A$54:$A$61,Доп.расчеты!$A266,'Как будет'!EL$54:EL$61)</f>
        <v>0</v>
      </c>
      <c r="EL266">
        <f>SUMIF('Как будет'!$A$54:$A$61,Доп.расчеты!$A266,'Как будет'!EM$54:EM$61)</f>
        <v>0</v>
      </c>
      <c r="EM266">
        <f>SUMIF('Как будет'!$A$54:$A$61,Доп.расчеты!$A266,'Как будет'!EN$54:EN$61)</f>
        <v>0</v>
      </c>
      <c r="EN266">
        <f>SUMIF('Как будет'!$A$54:$A$61,Доп.расчеты!$A266,'Как будет'!EO$54:EO$61)</f>
        <v>0</v>
      </c>
      <c r="EO266">
        <f>SUMIF('Как будет'!$A$54:$A$61,Доп.расчеты!$A266,'Как будет'!EP$54:EP$61)</f>
        <v>0</v>
      </c>
      <c r="EP266">
        <f>SUMIF('Как будет'!$A$54:$A$61,Доп.расчеты!$A266,'Как будет'!EQ$54:EQ$61)</f>
        <v>0</v>
      </c>
      <c r="EQ266">
        <f>SUMIF('Как будет'!$A$54:$A$61,Доп.расчеты!$A266,'Как будет'!ER$54:ER$61)</f>
        <v>0</v>
      </c>
      <c r="ER266">
        <f>SUMIF('Как будет'!$A$54:$A$61,Доп.расчеты!$A266,'Как будет'!ES$54:ES$61)</f>
        <v>0</v>
      </c>
      <c r="ES266">
        <f>SUMIF('Как будет'!$A$54:$A$61,Доп.расчеты!$A266,'Как будет'!ET$54:ET$61)</f>
        <v>0</v>
      </c>
      <c r="ET266">
        <f>SUMIF('Как будет'!$A$54:$A$61,Доп.расчеты!$A266,'Как будет'!EU$54:EU$61)</f>
        <v>0</v>
      </c>
      <c r="EU266">
        <f>SUMIF('Как будет'!$A$54:$A$61,Доп.расчеты!$A266,'Как будет'!EV$54:EV$61)</f>
        <v>0</v>
      </c>
      <c r="EV266">
        <f>SUMIF('Как будет'!$A$54:$A$61,Доп.расчеты!$A266,'Как будет'!EW$54:EW$61)</f>
        <v>0</v>
      </c>
      <c r="EW266">
        <f>SUMIF('Как будет'!$A$54:$A$61,Доп.расчеты!$A266,'Как будет'!EX$54:EX$61)</f>
        <v>0</v>
      </c>
      <c r="EX266">
        <f>SUMIF('Как будет'!$A$54:$A$61,Доп.расчеты!$A266,'Как будет'!EY$54:EY$61)</f>
        <v>0</v>
      </c>
      <c r="EY266">
        <f>SUMIF('Как будет'!$A$54:$A$61,Доп.расчеты!$A266,'Как будет'!EZ$54:EZ$61)</f>
        <v>0</v>
      </c>
      <c r="EZ266">
        <f>SUMIF('Как будет'!$A$54:$A$61,Доп.расчеты!$A266,'Как будет'!FA$54:FA$61)</f>
        <v>0</v>
      </c>
      <c r="FA266">
        <f>SUMIF('Как будет'!$A$54:$A$61,Доп.расчеты!$A266,'Как будет'!FB$54:FB$61)</f>
        <v>0</v>
      </c>
      <c r="FB266">
        <f>SUMIF('Как будет'!$A$54:$A$61,Доп.расчеты!$A266,'Как будет'!FC$54:FC$61)</f>
        <v>0</v>
      </c>
      <c r="FC266">
        <f>SUMIF('Как будет'!$A$54:$A$61,Доп.расчеты!$A266,'Как будет'!FD$54:FD$61)</f>
        <v>0</v>
      </c>
      <c r="FD266">
        <f>SUMIF('Как будет'!$A$54:$A$61,Доп.расчеты!$A266,'Как будет'!FE$54:FE$61)</f>
        <v>0</v>
      </c>
      <c r="FE266">
        <f>SUMIF('Как будет'!$A$54:$A$61,Доп.расчеты!$A266,'Как будет'!FF$54:FF$61)</f>
        <v>0</v>
      </c>
      <c r="FF266">
        <f>SUMIF('Как будет'!$A$54:$A$61,Доп.расчеты!$A266,'Как будет'!FG$54:FG$61)</f>
        <v>0</v>
      </c>
      <c r="FG266">
        <f>SUMIF('Как будет'!$A$54:$A$61,Доп.расчеты!$A266,'Как будет'!FH$54:FH$61)</f>
        <v>0</v>
      </c>
      <c r="FH266">
        <f>SUMIF('Как будет'!$A$54:$A$61,Доп.расчеты!$A266,'Как будет'!FI$54:FI$61)</f>
        <v>0</v>
      </c>
      <c r="FI266">
        <f>SUMIF('Как будет'!$A$54:$A$61,Доп.расчеты!$A266,'Как будет'!FJ$54:FJ$61)</f>
        <v>0</v>
      </c>
      <c r="FJ266">
        <f>SUMIF('Как будет'!$A$54:$A$61,Доп.расчеты!$A266,'Как будет'!FK$54:FK$61)</f>
        <v>0</v>
      </c>
      <c r="FK266">
        <f>SUMIF('Как будет'!$A$54:$A$61,Доп.расчеты!$A266,'Как будет'!FL$54:FL$61)</f>
        <v>0</v>
      </c>
      <c r="FL266">
        <f>SUMIF('Как будет'!$A$54:$A$61,Доп.расчеты!$A266,'Как будет'!FM$54:FM$61)</f>
        <v>0</v>
      </c>
      <c r="FM266">
        <f>SUMIF('Как будет'!$A$54:$A$61,Доп.расчеты!$A266,'Как будет'!FN$54:FN$61)</f>
        <v>0</v>
      </c>
      <c r="FN266">
        <f>SUMIF('Как будет'!$A$54:$A$61,Доп.расчеты!$A266,'Как будет'!FO$54:FO$61)</f>
        <v>0</v>
      </c>
      <c r="FO266">
        <f>SUMIF('Как будет'!$A$54:$A$61,Доп.расчеты!$A266,'Как будет'!FP$54:FP$61)</f>
        <v>0</v>
      </c>
      <c r="FP266">
        <f>SUMIF('Как будет'!$A$54:$A$61,Доп.расчеты!$A266,'Как будет'!FQ$54:FQ$61)</f>
        <v>0</v>
      </c>
      <c r="FQ266">
        <f>SUMIF('Как будет'!$A$54:$A$61,Доп.расчеты!$A266,'Как будет'!FR$54:FR$61)</f>
        <v>0</v>
      </c>
      <c r="FR266">
        <f>SUMIF('Как будет'!$A$54:$A$61,Доп.расчеты!$A266,'Как будет'!FS$54:FS$61)</f>
        <v>0</v>
      </c>
      <c r="FS266">
        <f>SUMIF('Как будет'!$A$54:$A$61,Доп.расчеты!$A266,'Как будет'!FT$54:FT$61)</f>
        <v>0</v>
      </c>
      <c r="FT266">
        <f>SUMIF('Как будет'!$A$54:$A$61,Доп.расчеты!$A266,'Как будет'!FU$54:FU$61)</f>
        <v>0</v>
      </c>
      <c r="FU266">
        <f>SUMIF('Как будет'!$A$54:$A$61,Доп.расчеты!$A266,'Как будет'!FV$54:FV$61)</f>
        <v>0</v>
      </c>
      <c r="FV266">
        <f>SUMIF('Как будет'!$A$54:$A$61,Доп.расчеты!$A266,'Как будет'!FW$54:FW$61)</f>
        <v>0</v>
      </c>
      <c r="FW266">
        <f>SUMIF('Как будет'!$A$54:$A$61,Доп.расчеты!$A266,'Как будет'!FX$54:FX$61)</f>
        <v>0</v>
      </c>
      <c r="FX266">
        <f>SUMIF('Как будет'!$A$54:$A$61,Доп.расчеты!$A266,'Как будет'!FY$54:FY$61)</f>
        <v>0</v>
      </c>
      <c r="FY266">
        <f>SUMIF('Как будет'!$A$54:$A$61,Доп.расчеты!$A266,'Как будет'!FZ$54:FZ$61)</f>
        <v>0</v>
      </c>
      <c r="FZ266">
        <f>SUMIF('Как будет'!$A$54:$A$61,Доп.расчеты!$A266,'Как будет'!GA$54:GA$61)</f>
        <v>0</v>
      </c>
      <c r="GA266">
        <f>SUMIF('Как будет'!$A$54:$A$61,Доп.расчеты!$A266,'Как будет'!GB$54:GB$61)</f>
        <v>0</v>
      </c>
      <c r="GB266">
        <f>SUMIF('Как будет'!$A$54:$A$61,Доп.расчеты!$A266,'Как будет'!GC$54:GC$61)</f>
        <v>0</v>
      </c>
      <c r="GC266">
        <f>SUMIF('Как будет'!$A$54:$A$61,Доп.расчеты!$A266,'Как будет'!GD$54:GD$61)</f>
        <v>0</v>
      </c>
      <c r="GD266">
        <f>SUMIF('Как будет'!$A$54:$A$61,Доп.расчеты!$A266,'Как будет'!GE$54:GE$61)</f>
        <v>0</v>
      </c>
      <c r="GE266">
        <f>SUMIF('Как будет'!$A$54:$A$61,Доп.расчеты!$A266,'Как будет'!GF$54:GF$61)</f>
        <v>0</v>
      </c>
      <c r="GF266">
        <f>SUMIF('Как будет'!$A$54:$A$61,Доп.расчеты!$A266,'Как будет'!GG$54:GG$61)</f>
        <v>0</v>
      </c>
      <c r="GG266">
        <f>SUMIF('Как будет'!$A$54:$A$61,Доп.расчеты!$A266,'Как будет'!GH$54:GH$61)</f>
        <v>0</v>
      </c>
      <c r="GH266">
        <f>SUMIF('Как будет'!$A$54:$A$61,Доп.расчеты!$A266,'Как будет'!GI$54:GI$61)</f>
        <v>0</v>
      </c>
      <c r="GI266">
        <f>SUMIF('Как будет'!$A$54:$A$61,Доп.расчеты!$A266,'Как будет'!GJ$54:GJ$61)</f>
        <v>0</v>
      </c>
      <c r="GJ266">
        <f>SUMIF('Как будет'!$A$54:$A$61,Доп.расчеты!$A266,'Как будет'!GK$54:GK$61)</f>
        <v>0</v>
      </c>
      <c r="GK266">
        <f>SUMIF('Как будет'!$A$54:$A$61,Доп.расчеты!$A266,'Как будет'!GL$54:GL$61)</f>
        <v>0</v>
      </c>
      <c r="GL266">
        <f>SUMIF('Как будет'!$A$54:$A$61,Доп.расчеты!$A266,'Как будет'!GM$54:GM$61)</f>
        <v>0</v>
      </c>
      <c r="GM266">
        <f>SUMIF('Как будет'!$A$54:$A$61,Доп.расчеты!$A266,'Как будет'!GN$54:GN$61)</f>
        <v>0</v>
      </c>
      <c r="GN266">
        <f>SUMIF('Как будет'!$A$54:$A$61,Доп.расчеты!$A266,'Как будет'!GO$54:GO$61)</f>
        <v>0</v>
      </c>
      <c r="GO266">
        <f>SUMIF('Как будет'!$A$54:$A$61,Доп.расчеты!$A266,'Как будет'!GP$54:GP$61)</f>
        <v>0</v>
      </c>
      <c r="GP266">
        <f>SUMIF('Как будет'!$A$54:$A$61,Доп.расчеты!$A266,'Как будет'!GQ$54:GQ$61)</f>
        <v>0</v>
      </c>
      <c r="GQ266">
        <f>SUMIF('Как будет'!$A$54:$A$61,Доп.расчеты!$A266,'Как будет'!GR$54:GR$61)</f>
        <v>0</v>
      </c>
      <c r="GR266">
        <f>SUMIF('Как будет'!$A$54:$A$61,Доп.расчеты!$A266,'Как будет'!GS$54:GS$61)</f>
        <v>0</v>
      </c>
      <c r="GS266">
        <f>SUMIF('Как будет'!$A$54:$A$61,Доп.расчеты!$A266,'Как будет'!GT$54:GT$61)</f>
        <v>0</v>
      </c>
      <c r="GT266">
        <f>SUMIF('Как будет'!$A$54:$A$61,Доп.расчеты!$A266,'Как будет'!GU$54:GU$61)</f>
        <v>0</v>
      </c>
    </row>
    <row r="267" spans="1:202">
      <c r="A267" s="57" t="s">
        <v>134</v>
      </c>
    </row>
    <row r="268" spans="1:202">
      <c r="A268" s="238" t="s">
        <v>23</v>
      </c>
      <c r="B268">
        <f>SUMIF('Как будет'!$A$63:$A$70,Доп.расчеты!$A268,'Как будет'!C$63:C$70)</f>
        <v>0</v>
      </c>
      <c r="C268">
        <f>SUMIF('Как будет'!$A$63:$A$70,Доп.расчеты!$A268,'Как будет'!D$63:D$70)</f>
        <v>0</v>
      </c>
      <c r="D268">
        <f>SUMIF('Как будет'!$A$63:$A$70,Доп.расчеты!$A268,'Как будет'!E$63:E$70)</f>
        <v>0</v>
      </c>
      <c r="E268">
        <f>SUMIF('Как будет'!$A$63:$A$70,Доп.расчеты!$A268,'Как будет'!F$63:F$70)</f>
        <v>0</v>
      </c>
      <c r="F268">
        <f>SUMIF('Как будет'!$A$63:$A$70,Доп.расчеты!$A268,'Как будет'!G$63:G$70)</f>
        <v>0</v>
      </c>
      <c r="G268">
        <f>SUMIF('Как будет'!$A$63:$A$70,Доп.расчеты!$A268,'Как будет'!H$63:H$70)</f>
        <v>0</v>
      </c>
      <c r="H268">
        <f>SUMIF('Как будет'!$A$63:$A$70,Доп.расчеты!$A268,'Как будет'!I$63:I$70)</f>
        <v>0</v>
      </c>
      <c r="I268">
        <f>SUMIF('Как будет'!$A$63:$A$70,Доп.расчеты!$A268,'Как будет'!J$63:J$70)</f>
        <v>0</v>
      </c>
      <c r="J268">
        <f>SUMIF('Как будет'!$A$63:$A$70,Доп.расчеты!$A268,'Как будет'!K$63:K$70)</f>
        <v>0</v>
      </c>
      <c r="K268">
        <f>SUMIF('Как будет'!$A$63:$A$70,Доп.расчеты!$A268,'Как будет'!L$63:L$70)</f>
        <v>0</v>
      </c>
      <c r="L268">
        <f>SUMIF('Как будет'!$A$63:$A$70,Доп.расчеты!$A268,'Как будет'!M$63:M$70)</f>
        <v>0</v>
      </c>
      <c r="M268">
        <f>SUMIF('Как будет'!$A$63:$A$70,Доп.расчеты!$A268,'Как будет'!N$63:N$70)</f>
        <v>0</v>
      </c>
      <c r="N268">
        <f>SUMIF('Как будет'!$A$63:$A$70,Доп.расчеты!$A268,'Как будет'!O$63:O$70)</f>
        <v>0</v>
      </c>
      <c r="O268">
        <f>SUMIF('Как будет'!$A$63:$A$70,Доп.расчеты!$A268,'Как будет'!P$63:P$70)</f>
        <v>0</v>
      </c>
      <c r="P268">
        <f>SUMIF('Как будет'!$A$63:$A$70,Доп.расчеты!$A268,'Как будет'!Q$63:Q$70)</f>
        <v>0</v>
      </c>
      <c r="Q268">
        <f>SUMIF('Как будет'!$A$63:$A$70,Доп.расчеты!$A268,'Как будет'!R$63:R$70)</f>
        <v>0</v>
      </c>
      <c r="R268">
        <f>SUMIF('Как будет'!$A$63:$A$70,Доп.расчеты!$A268,'Как будет'!S$63:S$70)</f>
        <v>0</v>
      </c>
      <c r="S268">
        <f>SUMIF('Как будет'!$A$63:$A$70,Доп.расчеты!$A268,'Как будет'!T$63:T$70)</f>
        <v>0</v>
      </c>
      <c r="T268">
        <f>SUMIF('Как будет'!$A$63:$A$70,Доп.расчеты!$A268,'Как будет'!U$63:U$70)</f>
        <v>0</v>
      </c>
      <c r="U268">
        <f>SUMIF('Как будет'!$A$63:$A$70,Доп.расчеты!$A268,'Как будет'!V$63:V$70)</f>
        <v>0</v>
      </c>
      <c r="V268">
        <f>SUMIF('Как будет'!$A$63:$A$70,Доп.расчеты!$A268,'Как будет'!W$63:W$70)</f>
        <v>0</v>
      </c>
      <c r="W268">
        <f>SUMIF('Как будет'!$A$63:$A$70,Доп.расчеты!$A268,'Как будет'!X$63:X$70)</f>
        <v>0</v>
      </c>
      <c r="X268">
        <f>SUMIF('Как будет'!$A$63:$A$70,Доп.расчеты!$A268,'Как будет'!Y$63:Y$70)</f>
        <v>0</v>
      </c>
      <c r="Y268">
        <f>SUMIF('Как будет'!$A$63:$A$70,Доп.расчеты!$A268,'Как будет'!Z$63:Z$70)</f>
        <v>0</v>
      </c>
      <c r="Z268">
        <f>SUMIF('Как будет'!$A$63:$A$70,Доп.расчеты!$A268,'Как будет'!AA$63:AA$70)</f>
        <v>0</v>
      </c>
      <c r="AA268">
        <f>SUMIF('Как будет'!$A$63:$A$70,Доп.расчеты!$A268,'Как будет'!AB$63:AB$70)</f>
        <v>0</v>
      </c>
      <c r="AB268">
        <f>SUMIF('Как будет'!$A$63:$A$70,Доп.расчеты!$A268,'Как будет'!AC$63:AC$70)</f>
        <v>0</v>
      </c>
      <c r="AC268">
        <f>SUMIF('Как будет'!$A$63:$A$70,Доп.расчеты!$A268,'Как будет'!AD$63:AD$70)</f>
        <v>0</v>
      </c>
      <c r="AD268">
        <f>SUMIF('Как будет'!$A$63:$A$70,Доп.расчеты!$A268,'Как будет'!AE$63:AE$70)</f>
        <v>0</v>
      </c>
      <c r="AE268">
        <f>SUMIF('Как будет'!$A$63:$A$70,Доп.расчеты!$A268,'Как будет'!AF$63:AF$70)</f>
        <v>0</v>
      </c>
      <c r="AF268">
        <f>SUMIF('Как будет'!$A$63:$A$70,Доп.расчеты!$A268,'Как будет'!AG$63:AG$70)</f>
        <v>0</v>
      </c>
      <c r="AG268">
        <f>SUMIF('Как будет'!$A$63:$A$70,Доп.расчеты!$A268,'Как будет'!AH$63:AH$70)</f>
        <v>0</v>
      </c>
      <c r="AH268">
        <f>SUMIF('Как будет'!$A$63:$A$70,Доп.расчеты!$A268,'Как будет'!AI$63:AI$70)</f>
        <v>0</v>
      </c>
      <c r="AI268">
        <f>SUMIF('Как будет'!$A$63:$A$70,Доп.расчеты!$A268,'Как будет'!AJ$63:AJ$70)</f>
        <v>0</v>
      </c>
      <c r="AJ268">
        <f>SUMIF('Как будет'!$A$63:$A$70,Доп.расчеты!$A268,'Как будет'!AK$63:AK$70)</f>
        <v>0</v>
      </c>
      <c r="AK268">
        <f>SUMIF('Как будет'!$A$63:$A$70,Доп.расчеты!$A268,'Как будет'!AL$63:AL$70)</f>
        <v>0</v>
      </c>
      <c r="AL268">
        <f>SUMIF('Как будет'!$A$63:$A$70,Доп.расчеты!$A268,'Как будет'!AM$63:AM$70)</f>
        <v>0</v>
      </c>
      <c r="AM268">
        <f>SUMIF('Как будет'!$A$63:$A$70,Доп.расчеты!$A268,'Как будет'!AN$63:AN$70)</f>
        <v>0</v>
      </c>
      <c r="AN268">
        <f>SUMIF('Как будет'!$A$63:$A$70,Доп.расчеты!$A268,'Как будет'!AO$63:AO$70)</f>
        <v>0</v>
      </c>
      <c r="AO268">
        <f>SUMIF('Как будет'!$A$63:$A$70,Доп.расчеты!$A268,'Как будет'!AP$63:AP$70)</f>
        <v>0</v>
      </c>
      <c r="AP268">
        <f>SUMIF('Как будет'!$A$63:$A$70,Доп.расчеты!$A268,'Как будет'!AQ$63:AQ$70)</f>
        <v>0</v>
      </c>
      <c r="AQ268">
        <f>SUMIF('Как будет'!$A$63:$A$70,Доп.расчеты!$A268,'Как будет'!AR$63:AR$70)</f>
        <v>0</v>
      </c>
      <c r="AR268">
        <f>SUMIF('Как будет'!$A$63:$A$70,Доп.расчеты!$A268,'Как будет'!AS$63:AS$70)</f>
        <v>0</v>
      </c>
      <c r="AS268">
        <f>SUMIF('Как будет'!$A$63:$A$70,Доп.расчеты!$A268,'Как будет'!AT$63:AT$70)</f>
        <v>0</v>
      </c>
      <c r="AT268">
        <f>SUMIF('Как будет'!$A$63:$A$70,Доп.расчеты!$A268,'Как будет'!AU$63:AU$70)</f>
        <v>0</v>
      </c>
      <c r="AU268">
        <f>SUMIF('Как будет'!$A$63:$A$70,Доп.расчеты!$A268,'Как будет'!AV$63:AV$70)</f>
        <v>0</v>
      </c>
      <c r="AV268">
        <f>SUMIF('Как будет'!$A$63:$A$70,Доп.расчеты!$A268,'Как будет'!AW$63:AW$70)</f>
        <v>0</v>
      </c>
      <c r="AW268">
        <f>SUMIF('Как будет'!$A$63:$A$70,Доп.расчеты!$A268,'Как будет'!AX$63:AX$70)</f>
        <v>0</v>
      </c>
      <c r="AX268">
        <f>SUMIF('Как будет'!$A$63:$A$70,Доп.расчеты!$A268,'Как будет'!AY$63:AY$70)</f>
        <v>0</v>
      </c>
      <c r="AY268">
        <f>SUMIF('Как будет'!$A$63:$A$70,Доп.расчеты!$A268,'Как будет'!AZ$63:AZ$70)</f>
        <v>0</v>
      </c>
      <c r="AZ268">
        <f>SUMIF('Как будет'!$A$63:$A$70,Доп.расчеты!$A268,'Как будет'!BA$63:BA$70)</f>
        <v>0</v>
      </c>
      <c r="BA268">
        <f>SUMIF('Как будет'!$A$63:$A$70,Доп.расчеты!$A268,'Как будет'!BB$63:BB$70)</f>
        <v>0</v>
      </c>
      <c r="BB268">
        <f>SUMIF('Как будет'!$A$63:$A$70,Доп.расчеты!$A268,'Как будет'!BC$63:BC$70)</f>
        <v>0</v>
      </c>
      <c r="BC268">
        <f>SUMIF('Как будет'!$A$63:$A$70,Доп.расчеты!$A268,'Как будет'!BD$63:BD$70)</f>
        <v>0</v>
      </c>
      <c r="BD268">
        <f>SUMIF('Как будет'!$A$63:$A$70,Доп.расчеты!$A268,'Как будет'!BE$63:BE$70)</f>
        <v>0</v>
      </c>
      <c r="BE268">
        <f>SUMIF('Как будет'!$A$63:$A$70,Доп.расчеты!$A268,'Как будет'!BF$63:BF$70)</f>
        <v>0</v>
      </c>
      <c r="BF268">
        <f>SUMIF('Как будет'!$A$63:$A$70,Доп.расчеты!$A268,'Как будет'!BG$63:BG$70)</f>
        <v>0</v>
      </c>
      <c r="BG268">
        <f>SUMIF('Как будет'!$A$63:$A$70,Доп.расчеты!$A268,'Как будет'!BH$63:BH$70)</f>
        <v>0</v>
      </c>
      <c r="BH268">
        <f>SUMIF('Как будет'!$A$63:$A$70,Доп.расчеты!$A268,'Как будет'!BI$63:BI$70)</f>
        <v>0</v>
      </c>
      <c r="BI268">
        <f>SUMIF('Как будет'!$A$63:$A$70,Доп.расчеты!$A268,'Как будет'!BJ$63:BJ$70)</f>
        <v>0</v>
      </c>
      <c r="BJ268">
        <f>SUMIF('Как будет'!$A$63:$A$70,Доп.расчеты!$A268,'Как будет'!BK$63:BK$70)</f>
        <v>0</v>
      </c>
      <c r="BK268">
        <f>SUMIF('Как будет'!$A$63:$A$70,Доп.расчеты!$A268,'Как будет'!BL$63:BL$70)</f>
        <v>0</v>
      </c>
      <c r="BL268">
        <f>SUMIF('Как будет'!$A$63:$A$70,Доп.расчеты!$A268,'Как будет'!BM$63:BM$70)</f>
        <v>0</v>
      </c>
      <c r="BM268">
        <f>SUMIF('Как будет'!$A$63:$A$70,Доп.расчеты!$A268,'Как будет'!BN$63:BN$70)</f>
        <v>0</v>
      </c>
      <c r="BN268">
        <f>SUMIF('Как будет'!$A$63:$A$70,Доп.расчеты!$A268,'Как будет'!BO$63:BO$70)</f>
        <v>0</v>
      </c>
      <c r="BO268">
        <f>SUMIF('Как будет'!$A$63:$A$70,Доп.расчеты!$A268,'Как будет'!BP$63:BP$70)</f>
        <v>0</v>
      </c>
      <c r="BP268">
        <f>SUMIF('Как будет'!$A$63:$A$70,Доп.расчеты!$A268,'Как будет'!BQ$63:BQ$70)</f>
        <v>0</v>
      </c>
      <c r="BQ268">
        <f>SUMIF('Как будет'!$A$63:$A$70,Доп.расчеты!$A268,'Как будет'!BR$63:BR$70)</f>
        <v>0</v>
      </c>
      <c r="BR268">
        <f>SUMIF('Как будет'!$A$63:$A$70,Доп.расчеты!$A268,'Как будет'!BS$63:BS$70)</f>
        <v>0</v>
      </c>
      <c r="BS268">
        <f>SUMIF('Как будет'!$A$63:$A$70,Доп.расчеты!$A268,'Как будет'!BT$63:BT$70)</f>
        <v>0</v>
      </c>
      <c r="BT268">
        <f>SUMIF('Как будет'!$A$63:$A$70,Доп.расчеты!$A268,'Как будет'!BU$63:BU$70)</f>
        <v>0</v>
      </c>
      <c r="BU268">
        <f>SUMIF('Как будет'!$A$63:$A$70,Доп.расчеты!$A268,'Как будет'!BV$63:BV$70)</f>
        <v>0</v>
      </c>
      <c r="BV268">
        <f>SUMIF('Как будет'!$A$63:$A$70,Доп.расчеты!$A268,'Как будет'!BW$63:BW$70)</f>
        <v>0</v>
      </c>
      <c r="BW268">
        <f>SUMIF('Как будет'!$A$63:$A$70,Доп.расчеты!$A268,'Как будет'!BX$63:BX$70)</f>
        <v>0</v>
      </c>
      <c r="BX268">
        <f>SUMIF('Как будет'!$A$63:$A$70,Доп.расчеты!$A268,'Как будет'!BY$63:BY$70)</f>
        <v>0</v>
      </c>
      <c r="BY268">
        <f>SUMIF('Как будет'!$A$63:$A$70,Доп.расчеты!$A268,'Как будет'!BZ$63:BZ$70)</f>
        <v>0</v>
      </c>
      <c r="BZ268">
        <f>SUMIF('Как будет'!$A$63:$A$70,Доп.расчеты!$A268,'Как будет'!CA$63:CA$70)</f>
        <v>0</v>
      </c>
      <c r="CA268">
        <f>SUMIF('Как будет'!$A$63:$A$70,Доп.расчеты!$A268,'Как будет'!CB$63:CB$70)</f>
        <v>0</v>
      </c>
      <c r="CB268">
        <f>SUMIF('Как будет'!$A$63:$A$70,Доп.расчеты!$A268,'Как будет'!CC$63:CC$70)</f>
        <v>0</v>
      </c>
      <c r="CC268">
        <f>SUMIF('Как будет'!$A$63:$A$70,Доп.расчеты!$A268,'Как будет'!CD$63:CD$70)</f>
        <v>0</v>
      </c>
      <c r="CD268">
        <f>SUMIF('Как будет'!$A$63:$A$70,Доп.расчеты!$A268,'Как будет'!CE$63:CE$70)</f>
        <v>0</v>
      </c>
      <c r="CE268">
        <f>SUMIF('Как будет'!$A$63:$A$70,Доп.расчеты!$A268,'Как будет'!CF$63:CF$70)</f>
        <v>0</v>
      </c>
      <c r="CF268">
        <f>SUMIF('Как будет'!$A$63:$A$70,Доп.расчеты!$A268,'Как будет'!CG$63:CG$70)</f>
        <v>0</v>
      </c>
      <c r="CG268">
        <f>SUMIF('Как будет'!$A$63:$A$70,Доп.расчеты!$A268,'Как будет'!CH$63:CH$70)</f>
        <v>0</v>
      </c>
      <c r="CH268">
        <f>SUMIF('Как будет'!$A$63:$A$70,Доп.расчеты!$A268,'Как будет'!CI$63:CI$70)</f>
        <v>0</v>
      </c>
      <c r="CI268">
        <f>SUMIF('Как будет'!$A$63:$A$70,Доп.расчеты!$A268,'Как будет'!CJ$63:CJ$70)</f>
        <v>0</v>
      </c>
      <c r="CJ268">
        <f>SUMIF('Как будет'!$A$63:$A$70,Доп.расчеты!$A268,'Как будет'!CK$63:CK$70)</f>
        <v>0</v>
      </c>
      <c r="CK268">
        <f>SUMIF('Как будет'!$A$63:$A$70,Доп.расчеты!$A268,'Как будет'!CL$63:CL$70)</f>
        <v>0</v>
      </c>
      <c r="CL268">
        <f>SUMIF('Как будет'!$A$63:$A$70,Доп.расчеты!$A268,'Как будет'!CM$63:CM$70)</f>
        <v>0</v>
      </c>
      <c r="CM268">
        <f>SUMIF('Как будет'!$A$63:$A$70,Доп.расчеты!$A268,'Как будет'!CN$63:CN$70)</f>
        <v>0</v>
      </c>
      <c r="CN268">
        <f>SUMIF('Как будет'!$A$63:$A$70,Доп.расчеты!$A268,'Как будет'!CO$63:CO$70)</f>
        <v>0</v>
      </c>
      <c r="CO268">
        <f>SUMIF('Как будет'!$A$63:$A$70,Доп.расчеты!$A268,'Как будет'!CP$63:CP$70)</f>
        <v>0</v>
      </c>
      <c r="CP268">
        <f>SUMIF('Как будет'!$A$63:$A$70,Доп.расчеты!$A268,'Как будет'!CQ$63:CQ$70)</f>
        <v>0</v>
      </c>
      <c r="CQ268">
        <f>SUMIF('Как будет'!$A$63:$A$70,Доп.расчеты!$A268,'Как будет'!CR$63:CR$70)</f>
        <v>0</v>
      </c>
      <c r="CR268">
        <f>SUMIF('Как будет'!$A$63:$A$70,Доп.расчеты!$A268,'Как будет'!CS$63:CS$70)</f>
        <v>0</v>
      </c>
      <c r="CS268">
        <f>SUMIF('Как будет'!$A$63:$A$70,Доп.расчеты!$A268,'Как будет'!CT$63:CT$70)</f>
        <v>0</v>
      </c>
      <c r="CT268">
        <f>SUMIF('Как будет'!$A$63:$A$70,Доп.расчеты!$A268,'Как будет'!CU$63:CU$70)</f>
        <v>0</v>
      </c>
      <c r="CU268">
        <f>SUMIF('Как будет'!$A$63:$A$70,Доп.расчеты!$A268,'Как будет'!CV$63:CV$70)</f>
        <v>0</v>
      </c>
      <c r="CV268">
        <f>SUMIF('Как будет'!$A$63:$A$70,Доп.расчеты!$A268,'Как будет'!CW$63:CW$70)</f>
        <v>0</v>
      </c>
      <c r="CW268">
        <f>SUMIF('Как будет'!$A$63:$A$70,Доп.расчеты!$A268,'Как будет'!CX$63:CX$70)</f>
        <v>0</v>
      </c>
      <c r="CX268">
        <f>SUMIF('Как будет'!$A$63:$A$70,Доп.расчеты!$A268,'Как будет'!CY$63:CY$70)</f>
        <v>0</v>
      </c>
      <c r="CY268">
        <f>SUMIF('Как будет'!$A$63:$A$70,Доп.расчеты!$A268,'Как будет'!CZ$63:CZ$70)</f>
        <v>0</v>
      </c>
      <c r="CZ268">
        <f>SUMIF('Как будет'!$A$63:$A$70,Доп.расчеты!$A268,'Как будет'!DA$63:DA$70)</f>
        <v>0</v>
      </c>
      <c r="DA268">
        <f>SUMIF('Как будет'!$A$63:$A$70,Доп.расчеты!$A268,'Как будет'!DB$63:DB$70)</f>
        <v>0</v>
      </c>
      <c r="DB268">
        <f>SUMIF('Как будет'!$A$63:$A$70,Доп.расчеты!$A268,'Как будет'!DC$63:DC$70)</f>
        <v>0</v>
      </c>
      <c r="DC268">
        <f>SUMIF('Как будет'!$A$63:$A$70,Доп.расчеты!$A268,'Как будет'!DD$63:DD$70)</f>
        <v>0</v>
      </c>
      <c r="DD268">
        <f>SUMIF('Как будет'!$A$63:$A$70,Доп.расчеты!$A268,'Как будет'!DE$63:DE$70)</f>
        <v>0</v>
      </c>
      <c r="DE268">
        <f>SUMIF('Как будет'!$A$63:$A$70,Доп.расчеты!$A268,'Как будет'!DF$63:DF$70)</f>
        <v>0</v>
      </c>
      <c r="DF268">
        <f>SUMIF('Как будет'!$A$63:$A$70,Доп.расчеты!$A268,'Как будет'!DG$63:DG$70)</f>
        <v>0</v>
      </c>
      <c r="DG268">
        <f>SUMIF('Как будет'!$A$63:$A$70,Доп.расчеты!$A268,'Как будет'!DH$63:DH$70)</f>
        <v>0</v>
      </c>
      <c r="DH268">
        <f>SUMIF('Как будет'!$A$63:$A$70,Доп.расчеты!$A268,'Как будет'!DI$63:DI$70)</f>
        <v>0</v>
      </c>
      <c r="DI268">
        <f>SUMIF('Как будет'!$A$63:$A$70,Доп.расчеты!$A268,'Как будет'!DJ$63:DJ$70)</f>
        <v>0</v>
      </c>
      <c r="DJ268">
        <f>SUMIF('Как будет'!$A$63:$A$70,Доп.расчеты!$A268,'Как будет'!DK$63:DK$70)</f>
        <v>0</v>
      </c>
      <c r="DK268">
        <f>SUMIF('Как будет'!$A$63:$A$70,Доп.расчеты!$A268,'Как будет'!DL$63:DL$70)</f>
        <v>0</v>
      </c>
      <c r="DL268">
        <f>SUMIF('Как будет'!$A$63:$A$70,Доп.расчеты!$A268,'Как будет'!DM$63:DM$70)</f>
        <v>0</v>
      </c>
      <c r="DM268">
        <f>SUMIF('Как будет'!$A$63:$A$70,Доп.расчеты!$A268,'Как будет'!DN$63:DN$70)</f>
        <v>0</v>
      </c>
      <c r="DN268">
        <f>SUMIF('Как будет'!$A$63:$A$70,Доп.расчеты!$A268,'Как будет'!DO$63:DO$70)</f>
        <v>0</v>
      </c>
      <c r="DO268">
        <f>SUMIF('Как будет'!$A$63:$A$70,Доп.расчеты!$A268,'Как будет'!DP$63:DP$70)</f>
        <v>0</v>
      </c>
      <c r="DP268">
        <f>SUMIF('Как будет'!$A$63:$A$70,Доп.расчеты!$A268,'Как будет'!DQ$63:DQ$70)</f>
        <v>0</v>
      </c>
      <c r="DQ268">
        <f>SUMIF('Как будет'!$A$63:$A$70,Доп.расчеты!$A268,'Как будет'!DR$63:DR$70)</f>
        <v>0</v>
      </c>
      <c r="DR268">
        <f>SUMIF('Как будет'!$A$63:$A$70,Доп.расчеты!$A268,'Как будет'!DS$63:DS$70)</f>
        <v>0</v>
      </c>
      <c r="DS268">
        <f>SUMIF('Как будет'!$A$63:$A$70,Доп.расчеты!$A268,'Как будет'!DT$63:DT$70)</f>
        <v>0</v>
      </c>
      <c r="DT268">
        <f>SUMIF('Как будет'!$A$63:$A$70,Доп.расчеты!$A268,'Как будет'!DU$63:DU$70)</f>
        <v>0</v>
      </c>
      <c r="DU268">
        <f>SUMIF('Как будет'!$A$63:$A$70,Доп.расчеты!$A268,'Как будет'!DV$63:DV$70)</f>
        <v>0</v>
      </c>
      <c r="DV268">
        <f>SUMIF('Как будет'!$A$63:$A$70,Доп.расчеты!$A268,'Как будет'!DW$63:DW$70)</f>
        <v>0</v>
      </c>
      <c r="DW268">
        <f>SUMIF('Как будет'!$A$63:$A$70,Доп.расчеты!$A268,'Как будет'!DX$63:DX$70)</f>
        <v>0</v>
      </c>
      <c r="DX268">
        <f>SUMIF('Как будет'!$A$63:$A$70,Доп.расчеты!$A268,'Как будет'!DY$63:DY$70)</f>
        <v>0</v>
      </c>
      <c r="DY268">
        <f>SUMIF('Как будет'!$A$63:$A$70,Доп.расчеты!$A268,'Как будет'!DZ$63:DZ$70)</f>
        <v>0</v>
      </c>
      <c r="DZ268">
        <f>SUMIF('Как будет'!$A$63:$A$70,Доп.расчеты!$A268,'Как будет'!EA$63:EA$70)</f>
        <v>0</v>
      </c>
      <c r="EA268">
        <f>SUMIF('Как будет'!$A$63:$A$70,Доп.расчеты!$A268,'Как будет'!EB$63:EB$70)</f>
        <v>0</v>
      </c>
      <c r="EB268">
        <f>SUMIF('Как будет'!$A$63:$A$70,Доп.расчеты!$A268,'Как будет'!EC$63:EC$70)</f>
        <v>0</v>
      </c>
      <c r="EC268">
        <f>SUMIF('Как будет'!$A$63:$A$70,Доп.расчеты!$A268,'Как будет'!ED$63:ED$70)</f>
        <v>0</v>
      </c>
      <c r="ED268">
        <f>SUMIF('Как будет'!$A$63:$A$70,Доп.расчеты!$A268,'Как будет'!EE$63:EE$70)</f>
        <v>0</v>
      </c>
      <c r="EE268">
        <f>SUMIF('Как будет'!$A$63:$A$70,Доп.расчеты!$A268,'Как будет'!EF$63:EF$70)</f>
        <v>0</v>
      </c>
      <c r="EF268">
        <f>SUMIF('Как будет'!$A$63:$A$70,Доп.расчеты!$A268,'Как будет'!EG$63:EG$70)</f>
        <v>0</v>
      </c>
      <c r="EG268">
        <f>SUMIF('Как будет'!$A$63:$A$70,Доп.расчеты!$A268,'Как будет'!EH$63:EH$70)</f>
        <v>0</v>
      </c>
      <c r="EH268">
        <f>SUMIF('Как будет'!$A$63:$A$70,Доп.расчеты!$A268,'Как будет'!EI$63:EI$70)</f>
        <v>0</v>
      </c>
      <c r="EI268">
        <f>SUMIF('Как будет'!$A$63:$A$70,Доп.расчеты!$A268,'Как будет'!EJ$63:EJ$70)</f>
        <v>0</v>
      </c>
      <c r="EJ268">
        <f>SUMIF('Как будет'!$A$63:$A$70,Доп.расчеты!$A268,'Как будет'!EK$63:EK$70)</f>
        <v>0</v>
      </c>
      <c r="EK268">
        <f>SUMIF('Как будет'!$A$63:$A$70,Доп.расчеты!$A268,'Как будет'!EL$63:EL$70)</f>
        <v>0</v>
      </c>
      <c r="EL268">
        <f>SUMIF('Как будет'!$A$63:$A$70,Доп.расчеты!$A268,'Как будет'!EM$63:EM$70)</f>
        <v>0</v>
      </c>
      <c r="EM268">
        <f>SUMIF('Как будет'!$A$63:$A$70,Доп.расчеты!$A268,'Как будет'!EN$63:EN$70)</f>
        <v>0</v>
      </c>
      <c r="EN268">
        <f>SUMIF('Как будет'!$A$63:$A$70,Доп.расчеты!$A268,'Как будет'!EO$63:EO$70)</f>
        <v>0</v>
      </c>
      <c r="EO268">
        <f>SUMIF('Как будет'!$A$63:$A$70,Доп.расчеты!$A268,'Как будет'!EP$63:EP$70)</f>
        <v>0</v>
      </c>
      <c r="EP268">
        <f>SUMIF('Как будет'!$A$63:$A$70,Доп.расчеты!$A268,'Как будет'!EQ$63:EQ$70)</f>
        <v>0</v>
      </c>
      <c r="EQ268">
        <f>SUMIF('Как будет'!$A$63:$A$70,Доп.расчеты!$A268,'Как будет'!ER$63:ER$70)</f>
        <v>0</v>
      </c>
      <c r="ER268">
        <f>SUMIF('Как будет'!$A$63:$A$70,Доп.расчеты!$A268,'Как будет'!ES$63:ES$70)</f>
        <v>0</v>
      </c>
      <c r="ES268">
        <f>SUMIF('Как будет'!$A$63:$A$70,Доп.расчеты!$A268,'Как будет'!ET$63:ET$70)</f>
        <v>0</v>
      </c>
      <c r="ET268">
        <f>SUMIF('Как будет'!$A$63:$A$70,Доп.расчеты!$A268,'Как будет'!EU$63:EU$70)</f>
        <v>0</v>
      </c>
      <c r="EU268">
        <f>SUMIF('Как будет'!$A$63:$A$70,Доп.расчеты!$A268,'Как будет'!EV$63:EV$70)</f>
        <v>0</v>
      </c>
      <c r="EV268">
        <f>SUMIF('Как будет'!$A$63:$A$70,Доп.расчеты!$A268,'Как будет'!EW$63:EW$70)</f>
        <v>0</v>
      </c>
      <c r="EW268">
        <f>SUMIF('Как будет'!$A$63:$A$70,Доп.расчеты!$A268,'Как будет'!EX$63:EX$70)</f>
        <v>0</v>
      </c>
      <c r="EX268">
        <f>SUMIF('Как будет'!$A$63:$A$70,Доп.расчеты!$A268,'Как будет'!EY$63:EY$70)</f>
        <v>0</v>
      </c>
      <c r="EY268">
        <f>SUMIF('Как будет'!$A$63:$A$70,Доп.расчеты!$A268,'Как будет'!EZ$63:EZ$70)</f>
        <v>0</v>
      </c>
      <c r="EZ268">
        <f>SUMIF('Как будет'!$A$63:$A$70,Доп.расчеты!$A268,'Как будет'!FA$63:FA$70)</f>
        <v>0</v>
      </c>
      <c r="FA268">
        <f>SUMIF('Как будет'!$A$63:$A$70,Доп.расчеты!$A268,'Как будет'!FB$63:FB$70)</f>
        <v>0</v>
      </c>
      <c r="FB268">
        <f>SUMIF('Как будет'!$A$63:$A$70,Доп.расчеты!$A268,'Как будет'!FC$63:FC$70)</f>
        <v>0</v>
      </c>
      <c r="FC268">
        <f>SUMIF('Как будет'!$A$63:$A$70,Доп.расчеты!$A268,'Как будет'!FD$63:FD$70)</f>
        <v>0</v>
      </c>
      <c r="FD268">
        <f>SUMIF('Как будет'!$A$63:$A$70,Доп.расчеты!$A268,'Как будет'!FE$63:FE$70)</f>
        <v>0</v>
      </c>
      <c r="FE268">
        <f>SUMIF('Как будет'!$A$63:$A$70,Доп.расчеты!$A268,'Как будет'!FF$63:FF$70)</f>
        <v>0</v>
      </c>
      <c r="FF268">
        <f>SUMIF('Как будет'!$A$63:$A$70,Доп.расчеты!$A268,'Как будет'!FG$63:FG$70)</f>
        <v>0</v>
      </c>
      <c r="FG268">
        <f>SUMIF('Как будет'!$A$63:$A$70,Доп.расчеты!$A268,'Как будет'!FH$63:FH$70)</f>
        <v>0</v>
      </c>
      <c r="FH268">
        <f>SUMIF('Как будет'!$A$63:$A$70,Доп.расчеты!$A268,'Как будет'!FI$63:FI$70)</f>
        <v>0</v>
      </c>
      <c r="FI268">
        <f>SUMIF('Как будет'!$A$63:$A$70,Доп.расчеты!$A268,'Как будет'!FJ$63:FJ$70)</f>
        <v>0</v>
      </c>
      <c r="FJ268">
        <f>SUMIF('Как будет'!$A$63:$A$70,Доп.расчеты!$A268,'Как будет'!FK$63:FK$70)</f>
        <v>0</v>
      </c>
      <c r="FK268">
        <f>SUMIF('Как будет'!$A$63:$A$70,Доп.расчеты!$A268,'Как будет'!FL$63:FL$70)</f>
        <v>0</v>
      </c>
      <c r="FL268">
        <f>SUMIF('Как будет'!$A$63:$A$70,Доп.расчеты!$A268,'Как будет'!FM$63:FM$70)</f>
        <v>0</v>
      </c>
      <c r="FM268">
        <f>SUMIF('Как будет'!$A$63:$A$70,Доп.расчеты!$A268,'Как будет'!FN$63:FN$70)</f>
        <v>0</v>
      </c>
      <c r="FN268">
        <f>SUMIF('Как будет'!$A$63:$A$70,Доп.расчеты!$A268,'Как будет'!FO$63:FO$70)</f>
        <v>0</v>
      </c>
      <c r="FO268">
        <f>SUMIF('Как будет'!$A$63:$A$70,Доп.расчеты!$A268,'Как будет'!FP$63:FP$70)</f>
        <v>0</v>
      </c>
      <c r="FP268">
        <f>SUMIF('Как будет'!$A$63:$A$70,Доп.расчеты!$A268,'Как будет'!FQ$63:FQ$70)</f>
        <v>0</v>
      </c>
      <c r="FQ268">
        <f>SUMIF('Как будет'!$A$63:$A$70,Доп.расчеты!$A268,'Как будет'!FR$63:FR$70)</f>
        <v>0</v>
      </c>
      <c r="FR268">
        <f>SUMIF('Как будет'!$A$63:$A$70,Доп.расчеты!$A268,'Как будет'!FS$63:FS$70)</f>
        <v>0</v>
      </c>
      <c r="FS268">
        <f>SUMIF('Как будет'!$A$63:$A$70,Доп.расчеты!$A268,'Как будет'!FT$63:FT$70)</f>
        <v>0</v>
      </c>
      <c r="FT268">
        <f>SUMIF('Как будет'!$A$63:$A$70,Доп.расчеты!$A268,'Как будет'!FU$63:FU$70)</f>
        <v>0</v>
      </c>
      <c r="FU268">
        <f>SUMIF('Как будет'!$A$63:$A$70,Доп.расчеты!$A268,'Как будет'!FV$63:FV$70)</f>
        <v>0</v>
      </c>
      <c r="FV268">
        <f>SUMIF('Как будет'!$A$63:$A$70,Доп.расчеты!$A268,'Как будет'!FW$63:FW$70)</f>
        <v>0</v>
      </c>
      <c r="FW268">
        <f>SUMIF('Как будет'!$A$63:$A$70,Доп.расчеты!$A268,'Как будет'!FX$63:FX$70)</f>
        <v>0</v>
      </c>
      <c r="FX268">
        <f>SUMIF('Как будет'!$A$63:$A$70,Доп.расчеты!$A268,'Как будет'!FY$63:FY$70)</f>
        <v>0</v>
      </c>
      <c r="FY268">
        <f>SUMIF('Как будет'!$A$63:$A$70,Доп.расчеты!$A268,'Как будет'!FZ$63:FZ$70)</f>
        <v>0</v>
      </c>
      <c r="FZ268">
        <f>SUMIF('Как будет'!$A$63:$A$70,Доп.расчеты!$A268,'Как будет'!GA$63:GA$70)</f>
        <v>0</v>
      </c>
      <c r="GA268">
        <f>SUMIF('Как будет'!$A$63:$A$70,Доп.расчеты!$A268,'Как будет'!GB$63:GB$70)</f>
        <v>0</v>
      </c>
      <c r="GB268">
        <f>SUMIF('Как будет'!$A$63:$A$70,Доп.расчеты!$A268,'Как будет'!GC$63:GC$70)</f>
        <v>0</v>
      </c>
      <c r="GC268">
        <f>SUMIF('Как будет'!$A$63:$A$70,Доп.расчеты!$A268,'Как будет'!GD$63:GD$70)</f>
        <v>0</v>
      </c>
      <c r="GD268">
        <f>SUMIF('Как будет'!$A$63:$A$70,Доп.расчеты!$A268,'Как будет'!GE$63:GE$70)</f>
        <v>0</v>
      </c>
      <c r="GE268">
        <f>SUMIF('Как будет'!$A$63:$A$70,Доп.расчеты!$A268,'Как будет'!GF$63:GF$70)</f>
        <v>0</v>
      </c>
      <c r="GF268">
        <f>SUMIF('Как будет'!$A$63:$A$70,Доп.расчеты!$A268,'Как будет'!GG$63:GG$70)</f>
        <v>0</v>
      </c>
      <c r="GG268">
        <f>SUMIF('Как будет'!$A$63:$A$70,Доп.расчеты!$A268,'Как будет'!GH$63:GH$70)</f>
        <v>0</v>
      </c>
      <c r="GH268">
        <f>SUMIF('Как будет'!$A$63:$A$70,Доп.расчеты!$A268,'Как будет'!GI$63:GI$70)</f>
        <v>0</v>
      </c>
      <c r="GI268">
        <f>SUMIF('Как будет'!$A$63:$A$70,Доп.расчеты!$A268,'Как будет'!GJ$63:GJ$70)</f>
        <v>0</v>
      </c>
      <c r="GJ268">
        <f>SUMIF('Как будет'!$A$63:$A$70,Доп.расчеты!$A268,'Как будет'!GK$63:GK$70)</f>
        <v>0</v>
      </c>
      <c r="GK268">
        <f>SUMIF('Как будет'!$A$63:$A$70,Доп.расчеты!$A268,'Как будет'!GL$63:GL$70)</f>
        <v>0</v>
      </c>
      <c r="GL268">
        <f>SUMIF('Как будет'!$A$63:$A$70,Доп.расчеты!$A268,'Как будет'!GM$63:GM$70)</f>
        <v>0</v>
      </c>
      <c r="GM268">
        <f>SUMIF('Как будет'!$A$63:$A$70,Доп.расчеты!$A268,'Как будет'!GN$63:GN$70)</f>
        <v>0</v>
      </c>
      <c r="GN268">
        <f>SUMIF('Как будет'!$A$63:$A$70,Доп.расчеты!$A268,'Как будет'!GO$63:GO$70)</f>
        <v>0</v>
      </c>
      <c r="GO268">
        <f>SUMIF('Как будет'!$A$63:$A$70,Доп.расчеты!$A268,'Как будет'!GP$63:GP$70)</f>
        <v>0</v>
      </c>
      <c r="GP268">
        <f>SUMIF('Как будет'!$A$63:$A$70,Доп.расчеты!$A268,'Как будет'!GQ$63:GQ$70)</f>
        <v>0</v>
      </c>
      <c r="GQ268">
        <f>SUMIF('Как будет'!$A$63:$A$70,Доп.расчеты!$A268,'Как будет'!GR$63:GR$70)</f>
        <v>0</v>
      </c>
      <c r="GR268">
        <f>SUMIF('Как будет'!$A$63:$A$70,Доп.расчеты!$A268,'Как будет'!GS$63:GS$70)</f>
        <v>0</v>
      </c>
      <c r="GS268">
        <f>SUMIF('Как будет'!$A$63:$A$70,Доп.расчеты!$A268,'Как будет'!GT$63:GT$70)</f>
        <v>0</v>
      </c>
      <c r="GT268">
        <f>SUMIF('Как будет'!$A$63:$A$70,Доп.расчеты!$A268,'Как будет'!GU$63:GU$70)</f>
        <v>0</v>
      </c>
    </row>
    <row r="269" spans="1:202">
      <c r="A269" s="238" t="s">
        <v>64</v>
      </c>
      <c r="B269">
        <f>SUMIF('Как будет'!$A$63:$A$70,Доп.расчеты!$A269,'Как будет'!C$63:C$70)</f>
        <v>0</v>
      </c>
      <c r="C269">
        <f>SUMIF('Как будет'!$A$63:$A$70,Доп.расчеты!$A269,'Как будет'!D$63:D$70)</f>
        <v>0</v>
      </c>
      <c r="D269">
        <f>SUMIF('Как будет'!$A$63:$A$70,Доп.расчеты!$A269,'Как будет'!E$63:E$70)</f>
        <v>0</v>
      </c>
      <c r="E269">
        <f>SUMIF('Как будет'!$A$63:$A$70,Доп.расчеты!$A269,'Как будет'!F$63:F$70)</f>
        <v>0</v>
      </c>
      <c r="F269">
        <f>SUMIF('Как будет'!$A$63:$A$70,Доп.расчеты!$A269,'Как будет'!G$63:G$70)</f>
        <v>0</v>
      </c>
      <c r="G269">
        <f>SUMIF('Как будет'!$A$63:$A$70,Доп.расчеты!$A269,'Как будет'!H$63:H$70)</f>
        <v>0</v>
      </c>
      <c r="H269">
        <f>SUMIF('Как будет'!$A$63:$A$70,Доп.расчеты!$A269,'Как будет'!I$63:I$70)</f>
        <v>0</v>
      </c>
      <c r="I269">
        <f>SUMIF('Как будет'!$A$63:$A$70,Доп.расчеты!$A269,'Как будет'!J$63:J$70)</f>
        <v>0</v>
      </c>
      <c r="J269">
        <f>SUMIF('Как будет'!$A$63:$A$70,Доп.расчеты!$A269,'Как будет'!K$63:K$70)</f>
        <v>0</v>
      </c>
      <c r="K269">
        <f>SUMIF('Как будет'!$A$63:$A$70,Доп.расчеты!$A269,'Как будет'!L$63:L$70)</f>
        <v>0</v>
      </c>
      <c r="L269">
        <f>SUMIF('Как будет'!$A$63:$A$70,Доп.расчеты!$A269,'Как будет'!M$63:M$70)</f>
        <v>0</v>
      </c>
      <c r="M269">
        <f>SUMIF('Как будет'!$A$63:$A$70,Доп.расчеты!$A269,'Как будет'!N$63:N$70)</f>
        <v>0</v>
      </c>
      <c r="N269">
        <f>SUMIF('Как будет'!$A$63:$A$70,Доп.расчеты!$A269,'Как будет'!O$63:O$70)</f>
        <v>0</v>
      </c>
      <c r="O269">
        <f>SUMIF('Как будет'!$A$63:$A$70,Доп.расчеты!$A269,'Как будет'!P$63:P$70)</f>
        <v>0</v>
      </c>
      <c r="P269">
        <f>SUMIF('Как будет'!$A$63:$A$70,Доп.расчеты!$A269,'Как будет'!Q$63:Q$70)</f>
        <v>0</v>
      </c>
      <c r="Q269">
        <f>SUMIF('Как будет'!$A$63:$A$70,Доп.расчеты!$A269,'Как будет'!R$63:R$70)</f>
        <v>0</v>
      </c>
      <c r="R269">
        <f>SUMIF('Как будет'!$A$63:$A$70,Доп.расчеты!$A269,'Как будет'!S$63:S$70)</f>
        <v>0</v>
      </c>
      <c r="S269">
        <f>SUMIF('Как будет'!$A$63:$A$70,Доп.расчеты!$A269,'Как будет'!T$63:T$70)</f>
        <v>0</v>
      </c>
      <c r="T269">
        <f>SUMIF('Как будет'!$A$63:$A$70,Доп.расчеты!$A269,'Как будет'!U$63:U$70)</f>
        <v>0</v>
      </c>
      <c r="U269">
        <f>SUMIF('Как будет'!$A$63:$A$70,Доп.расчеты!$A269,'Как будет'!V$63:V$70)</f>
        <v>0</v>
      </c>
      <c r="V269">
        <f>SUMIF('Как будет'!$A$63:$A$70,Доп.расчеты!$A269,'Как будет'!W$63:W$70)</f>
        <v>0</v>
      </c>
      <c r="W269">
        <f>SUMIF('Как будет'!$A$63:$A$70,Доп.расчеты!$A269,'Как будет'!X$63:X$70)</f>
        <v>0</v>
      </c>
      <c r="X269">
        <f>SUMIF('Как будет'!$A$63:$A$70,Доп.расчеты!$A269,'Как будет'!Y$63:Y$70)</f>
        <v>0</v>
      </c>
      <c r="Y269">
        <f>SUMIF('Как будет'!$A$63:$A$70,Доп.расчеты!$A269,'Как будет'!Z$63:Z$70)</f>
        <v>0</v>
      </c>
      <c r="Z269">
        <f>SUMIF('Как будет'!$A$63:$A$70,Доп.расчеты!$A269,'Как будет'!AA$63:AA$70)</f>
        <v>0</v>
      </c>
      <c r="AA269">
        <f>SUMIF('Как будет'!$A$63:$A$70,Доп.расчеты!$A269,'Как будет'!AB$63:AB$70)</f>
        <v>0</v>
      </c>
      <c r="AB269">
        <f>SUMIF('Как будет'!$A$63:$A$70,Доп.расчеты!$A269,'Как будет'!AC$63:AC$70)</f>
        <v>0</v>
      </c>
      <c r="AC269">
        <f>SUMIF('Как будет'!$A$63:$A$70,Доп.расчеты!$A269,'Как будет'!AD$63:AD$70)</f>
        <v>0</v>
      </c>
      <c r="AD269">
        <f>SUMIF('Как будет'!$A$63:$A$70,Доп.расчеты!$A269,'Как будет'!AE$63:AE$70)</f>
        <v>0</v>
      </c>
      <c r="AE269">
        <f>SUMIF('Как будет'!$A$63:$A$70,Доп.расчеты!$A269,'Как будет'!AF$63:AF$70)</f>
        <v>0</v>
      </c>
      <c r="AF269">
        <f>SUMIF('Как будет'!$A$63:$A$70,Доп.расчеты!$A269,'Как будет'!AG$63:AG$70)</f>
        <v>0</v>
      </c>
      <c r="AG269">
        <f>SUMIF('Как будет'!$A$63:$A$70,Доп.расчеты!$A269,'Как будет'!AH$63:AH$70)</f>
        <v>0</v>
      </c>
      <c r="AH269">
        <f>SUMIF('Как будет'!$A$63:$A$70,Доп.расчеты!$A269,'Как будет'!AI$63:AI$70)</f>
        <v>0</v>
      </c>
      <c r="AI269">
        <f>SUMIF('Как будет'!$A$63:$A$70,Доп.расчеты!$A269,'Как будет'!AJ$63:AJ$70)</f>
        <v>0</v>
      </c>
      <c r="AJ269">
        <f>SUMIF('Как будет'!$A$63:$A$70,Доп.расчеты!$A269,'Как будет'!AK$63:AK$70)</f>
        <v>0</v>
      </c>
      <c r="AK269">
        <f>SUMIF('Как будет'!$A$63:$A$70,Доп.расчеты!$A269,'Как будет'!AL$63:AL$70)</f>
        <v>0</v>
      </c>
      <c r="AL269">
        <f>SUMIF('Как будет'!$A$63:$A$70,Доп.расчеты!$A269,'Как будет'!AM$63:AM$70)</f>
        <v>0</v>
      </c>
      <c r="AM269">
        <f>SUMIF('Как будет'!$A$63:$A$70,Доп.расчеты!$A269,'Как будет'!AN$63:AN$70)</f>
        <v>0</v>
      </c>
      <c r="AN269">
        <f>SUMIF('Как будет'!$A$63:$A$70,Доп.расчеты!$A269,'Как будет'!AO$63:AO$70)</f>
        <v>0</v>
      </c>
      <c r="AO269">
        <f>SUMIF('Как будет'!$A$63:$A$70,Доп.расчеты!$A269,'Как будет'!AP$63:AP$70)</f>
        <v>0</v>
      </c>
      <c r="AP269">
        <f>SUMIF('Как будет'!$A$63:$A$70,Доп.расчеты!$A269,'Как будет'!AQ$63:AQ$70)</f>
        <v>0</v>
      </c>
      <c r="AQ269">
        <f>SUMIF('Как будет'!$A$63:$A$70,Доп.расчеты!$A269,'Как будет'!AR$63:AR$70)</f>
        <v>0</v>
      </c>
      <c r="AR269">
        <f>SUMIF('Как будет'!$A$63:$A$70,Доп.расчеты!$A269,'Как будет'!AS$63:AS$70)</f>
        <v>0</v>
      </c>
      <c r="AS269">
        <f>SUMIF('Как будет'!$A$63:$A$70,Доп.расчеты!$A269,'Как будет'!AT$63:AT$70)</f>
        <v>0</v>
      </c>
      <c r="AT269">
        <f>SUMIF('Как будет'!$A$63:$A$70,Доп.расчеты!$A269,'Как будет'!AU$63:AU$70)</f>
        <v>0</v>
      </c>
      <c r="AU269">
        <f>SUMIF('Как будет'!$A$63:$A$70,Доп.расчеты!$A269,'Как будет'!AV$63:AV$70)</f>
        <v>0</v>
      </c>
      <c r="AV269">
        <f>SUMIF('Как будет'!$A$63:$A$70,Доп.расчеты!$A269,'Как будет'!AW$63:AW$70)</f>
        <v>0</v>
      </c>
      <c r="AW269">
        <f>SUMIF('Как будет'!$A$63:$A$70,Доп.расчеты!$A269,'Как будет'!AX$63:AX$70)</f>
        <v>0</v>
      </c>
      <c r="AX269">
        <f>SUMIF('Как будет'!$A$63:$A$70,Доп.расчеты!$A269,'Как будет'!AY$63:AY$70)</f>
        <v>0</v>
      </c>
      <c r="AY269">
        <f>SUMIF('Как будет'!$A$63:$A$70,Доп.расчеты!$A269,'Как будет'!AZ$63:AZ$70)</f>
        <v>0</v>
      </c>
      <c r="AZ269">
        <f>SUMIF('Как будет'!$A$63:$A$70,Доп.расчеты!$A269,'Как будет'!BA$63:BA$70)</f>
        <v>0</v>
      </c>
      <c r="BA269">
        <f>SUMIF('Как будет'!$A$63:$A$70,Доп.расчеты!$A269,'Как будет'!BB$63:BB$70)</f>
        <v>0</v>
      </c>
      <c r="BB269">
        <f>SUMIF('Как будет'!$A$63:$A$70,Доп.расчеты!$A269,'Как будет'!BC$63:BC$70)</f>
        <v>0</v>
      </c>
      <c r="BC269">
        <f>SUMIF('Как будет'!$A$63:$A$70,Доп.расчеты!$A269,'Как будет'!BD$63:BD$70)</f>
        <v>0</v>
      </c>
      <c r="BD269">
        <f>SUMIF('Как будет'!$A$63:$A$70,Доп.расчеты!$A269,'Как будет'!BE$63:BE$70)</f>
        <v>0</v>
      </c>
      <c r="BE269">
        <f>SUMIF('Как будет'!$A$63:$A$70,Доп.расчеты!$A269,'Как будет'!BF$63:BF$70)</f>
        <v>0</v>
      </c>
      <c r="BF269">
        <f>SUMIF('Как будет'!$A$63:$A$70,Доп.расчеты!$A269,'Как будет'!BG$63:BG$70)</f>
        <v>0</v>
      </c>
      <c r="BG269">
        <f>SUMIF('Как будет'!$A$63:$A$70,Доп.расчеты!$A269,'Как будет'!BH$63:BH$70)</f>
        <v>0</v>
      </c>
      <c r="BH269">
        <f>SUMIF('Как будет'!$A$63:$A$70,Доп.расчеты!$A269,'Как будет'!BI$63:BI$70)</f>
        <v>0</v>
      </c>
      <c r="BI269">
        <f>SUMIF('Как будет'!$A$63:$A$70,Доп.расчеты!$A269,'Как будет'!BJ$63:BJ$70)</f>
        <v>0</v>
      </c>
      <c r="BJ269">
        <f>SUMIF('Как будет'!$A$63:$A$70,Доп.расчеты!$A269,'Как будет'!BK$63:BK$70)</f>
        <v>0</v>
      </c>
      <c r="BK269">
        <f>SUMIF('Как будет'!$A$63:$A$70,Доп.расчеты!$A269,'Как будет'!BL$63:BL$70)</f>
        <v>0</v>
      </c>
      <c r="BL269">
        <f>SUMIF('Как будет'!$A$63:$A$70,Доп.расчеты!$A269,'Как будет'!BM$63:BM$70)</f>
        <v>0</v>
      </c>
      <c r="BM269">
        <f>SUMIF('Как будет'!$A$63:$A$70,Доп.расчеты!$A269,'Как будет'!BN$63:BN$70)</f>
        <v>0</v>
      </c>
      <c r="BN269">
        <f>SUMIF('Как будет'!$A$63:$A$70,Доп.расчеты!$A269,'Как будет'!BO$63:BO$70)</f>
        <v>0</v>
      </c>
      <c r="BO269">
        <f>SUMIF('Как будет'!$A$63:$A$70,Доп.расчеты!$A269,'Как будет'!BP$63:BP$70)</f>
        <v>0</v>
      </c>
      <c r="BP269">
        <f>SUMIF('Как будет'!$A$63:$A$70,Доп.расчеты!$A269,'Как будет'!BQ$63:BQ$70)</f>
        <v>0</v>
      </c>
      <c r="BQ269">
        <f>SUMIF('Как будет'!$A$63:$A$70,Доп.расчеты!$A269,'Как будет'!BR$63:BR$70)</f>
        <v>0</v>
      </c>
      <c r="BR269">
        <f>SUMIF('Как будет'!$A$63:$A$70,Доп.расчеты!$A269,'Как будет'!BS$63:BS$70)</f>
        <v>0</v>
      </c>
      <c r="BS269">
        <f>SUMIF('Как будет'!$A$63:$A$70,Доп.расчеты!$A269,'Как будет'!BT$63:BT$70)</f>
        <v>0</v>
      </c>
      <c r="BT269">
        <f>SUMIF('Как будет'!$A$63:$A$70,Доп.расчеты!$A269,'Как будет'!BU$63:BU$70)</f>
        <v>0</v>
      </c>
      <c r="BU269">
        <f>SUMIF('Как будет'!$A$63:$A$70,Доп.расчеты!$A269,'Как будет'!BV$63:BV$70)</f>
        <v>0</v>
      </c>
      <c r="BV269">
        <f>SUMIF('Как будет'!$A$63:$A$70,Доп.расчеты!$A269,'Как будет'!BW$63:BW$70)</f>
        <v>0</v>
      </c>
      <c r="BW269">
        <f>SUMIF('Как будет'!$A$63:$A$70,Доп.расчеты!$A269,'Как будет'!BX$63:BX$70)</f>
        <v>0</v>
      </c>
      <c r="BX269">
        <f>SUMIF('Как будет'!$A$63:$A$70,Доп.расчеты!$A269,'Как будет'!BY$63:BY$70)</f>
        <v>0</v>
      </c>
      <c r="BY269">
        <f>SUMIF('Как будет'!$A$63:$A$70,Доп.расчеты!$A269,'Как будет'!BZ$63:BZ$70)</f>
        <v>0</v>
      </c>
      <c r="BZ269">
        <f>SUMIF('Как будет'!$A$63:$A$70,Доп.расчеты!$A269,'Как будет'!CA$63:CA$70)</f>
        <v>0</v>
      </c>
      <c r="CA269">
        <f>SUMIF('Как будет'!$A$63:$A$70,Доп.расчеты!$A269,'Как будет'!CB$63:CB$70)</f>
        <v>0</v>
      </c>
      <c r="CB269">
        <f>SUMIF('Как будет'!$A$63:$A$70,Доп.расчеты!$A269,'Как будет'!CC$63:CC$70)</f>
        <v>0</v>
      </c>
      <c r="CC269">
        <f>SUMIF('Как будет'!$A$63:$A$70,Доп.расчеты!$A269,'Как будет'!CD$63:CD$70)</f>
        <v>0</v>
      </c>
      <c r="CD269">
        <f>SUMIF('Как будет'!$A$63:$A$70,Доп.расчеты!$A269,'Как будет'!CE$63:CE$70)</f>
        <v>0</v>
      </c>
      <c r="CE269">
        <f>SUMIF('Как будет'!$A$63:$A$70,Доп.расчеты!$A269,'Как будет'!CF$63:CF$70)</f>
        <v>0</v>
      </c>
      <c r="CF269">
        <f>SUMIF('Как будет'!$A$63:$A$70,Доп.расчеты!$A269,'Как будет'!CG$63:CG$70)</f>
        <v>0</v>
      </c>
      <c r="CG269">
        <f>SUMIF('Как будет'!$A$63:$A$70,Доп.расчеты!$A269,'Как будет'!CH$63:CH$70)</f>
        <v>0</v>
      </c>
      <c r="CH269">
        <f>SUMIF('Как будет'!$A$63:$A$70,Доп.расчеты!$A269,'Как будет'!CI$63:CI$70)</f>
        <v>0</v>
      </c>
      <c r="CI269">
        <f>SUMIF('Как будет'!$A$63:$A$70,Доп.расчеты!$A269,'Как будет'!CJ$63:CJ$70)</f>
        <v>0</v>
      </c>
      <c r="CJ269">
        <f>SUMIF('Как будет'!$A$63:$A$70,Доп.расчеты!$A269,'Как будет'!CK$63:CK$70)</f>
        <v>0</v>
      </c>
      <c r="CK269">
        <f>SUMIF('Как будет'!$A$63:$A$70,Доп.расчеты!$A269,'Как будет'!CL$63:CL$70)</f>
        <v>0</v>
      </c>
      <c r="CL269">
        <f>SUMIF('Как будет'!$A$63:$A$70,Доп.расчеты!$A269,'Как будет'!CM$63:CM$70)</f>
        <v>0</v>
      </c>
      <c r="CM269">
        <f>SUMIF('Как будет'!$A$63:$A$70,Доп.расчеты!$A269,'Как будет'!CN$63:CN$70)</f>
        <v>0</v>
      </c>
      <c r="CN269">
        <f>SUMIF('Как будет'!$A$63:$A$70,Доп.расчеты!$A269,'Как будет'!CO$63:CO$70)</f>
        <v>0</v>
      </c>
      <c r="CO269">
        <f>SUMIF('Как будет'!$A$63:$A$70,Доп.расчеты!$A269,'Как будет'!CP$63:CP$70)</f>
        <v>0</v>
      </c>
      <c r="CP269">
        <f>SUMIF('Как будет'!$A$63:$A$70,Доп.расчеты!$A269,'Как будет'!CQ$63:CQ$70)</f>
        <v>0</v>
      </c>
      <c r="CQ269">
        <f>SUMIF('Как будет'!$A$63:$A$70,Доп.расчеты!$A269,'Как будет'!CR$63:CR$70)</f>
        <v>0</v>
      </c>
      <c r="CR269">
        <f>SUMIF('Как будет'!$A$63:$A$70,Доп.расчеты!$A269,'Как будет'!CS$63:CS$70)</f>
        <v>0</v>
      </c>
      <c r="CS269">
        <f>SUMIF('Как будет'!$A$63:$A$70,Доп.расчеты!$A269,'Как будет'!CT$63:CT$70)</f>
        <v>0</v>
      </c>
      <c r="CT269">
        <f>SUMIF('Как будет'!$A$63:$A$70,Доп.расчеты!$A269,'Как будет'!CU$63:CU$70)</f>
        <v>0</v>
      </c>
      <c r="CU269">
        <f>SUMIF('Как будет'!$A$63:$A$70,Доп.расчеты!$A269,'Как будет'!CV$63:CV$70)</f>
        <v>0</v>
      </c>
      <c r="CV269">
        <f>SUMIF('Как будет'!$A$63:$A$70,Доп.расчеты!$A269,'Как будет'!CW$63:CW$70)</f>
        <v>0</v>
      </c>
      <c r="CW269">
        <f>SUMIF('Как будет'!$A$63:$A$70,Доп.расчеты!$A269,'Как будет'!CX$63:CX$70)</f>
        <v>0</v>
      </c>
      <c r="CX269">
        <f>SUMIF('Как будет'!$A$63:$A$70,Доп.расчеты!$A269,'Как будет'!CY$63:CY$70)</f>
        <v>0</v>
      </c>
      <c r="CY269">
        <f>SUMIF('Как будет'!$A$63:$A$70,Доп.расчеты!$A269,'Как будет'!CZ$63:CZ$70)</f>
        <v>0</v>
      </c>
      <c r="CZ269">
        <f>SUMIF('Как будет'!$A$63:$A$70,Доп.расчеты!$A269,'Как будет'!DA$63:DA$70)</f>
        <v>0</v>
      </c>
      <c r="DA269">
        <f>SUMIF('Как будет'!$A$63:$A$70,Доп.расчеты!$A269,'Как будет'!DB$63:DB$70)</f>
        <v>0</v>
      </c>
      <c r="DB269">
        <f>SUMIF('Как будет'!$A$63:$A$70,Доп.расчеты!$A269,'Как будет'!DC$63:DC$70)</f>
        <v>0</v>
      </c>
      <c r="DC269">
        <f>SUMIF('Как будет'!$A$63:$A$70,Доп.расчеты!$A269,'Как будет'!DD$63:DD$70)</f>
        <v>0</v>
      </c>
      <c r="DD269">
        <f>SUMIF('Как будет'!$A$63:$A$70,Доп.расчеты!$A269,'Как будет'!DE$63:DE$70)</f>
        <v>0</v>
      </c>
      <c r="DE269">
        <f>SUMIF('Как будет'!$A$63:$A$70,Доп.расчеты!$A269,'Как будет'!DF$63:DF$70)</f>
        <v>0</v>
      </c>
      <c r="DF269">
        <f>SUMIF('Как будет'!$A$63:$A$70,Доп.расчеты!$A269,'Как будет'!DG$63:DG$70)</f>
        <v>0</v>
      </c>
      <c r="DG269">
        <f>SUMIF('Как будет'!$A$63:$A$70,Доп.расчеты!$A269,'Как будет'!DH$63:DH$70)</f>
        <v>0</v>
      </c>
      <c r="DH269">
        <f>SUMIF('Как будет'!$A$63:$A$70,Доп.расчеты!$A269,'Как будет'!DI$63:DI$70)</f>
        <v>0</v>
      </c>
      <c r="DI269">
        <f>SUMIF('Как будет'!$A$63:$A$70,Доп.расчеты!$A269,'Как будет'!DJ$63:DJ$70)</f>
        <v>0</v>
      </c>
      <c r="DJ269">
        <f>SUMIF('Как будет'!$A$63:$A$70,Доп.расчеты!$A269,'Как будет'!DK$63:DK$70)</f>
        <v>0</v>
      </c>
      <c r="DK269">
        <f>SUMIF('Как будет'!$A$63:$A$70,Доп.расчеты!$A269,'Как будет'!DL$63:DL$70)</f>
        <v>0</v>
      </c>
      <c r="DL269">
        <f>SUMIF('Как будет'!$A$63:$A$70,Доп.расчеты!$A269,'Как будет'!DM$63:DM$70)</f>
        <v>0</v>
      </c>
      <c r="DM269">
        <f>SUMIF('Как будет'!$A$63:$A$70,Доп.расчеты!$A269,'Как будет'!DN$63:DN$70)</f>
        <v>0</v>
      </c>
      <c r="DN269">
        <f>SUMIF('Как будет'!$A$63:$A$70,Доп.расчеты!$A269,'Как будет'!DO$63:DO$70)</f>
        <v>0</v>
      </c>
      <c r="DO269">
        <f>SUMIF('Как будет'!$A$63:$A$70,Доп.расчеты!$A269,'Как будет'!DP$63:DP$70)</f>
        <v>0</v>
      </c>
      <c r="DP269">
        <f>SUMIF('Как будет'!$A$63:$A$70,Доп.расчеты!$A269,'Как будет'!DQ$63:DQ$70)</f>
        <v>0</v>
      </c>
      <c r="DQ269">
        <f>SUMIF('Как будет'!$A$63:$A$70,Доп.расчеты!$A269,'Как будет'!DR$63:DR$70)</f>
        <v>0</v>
      </c>
      <c r="DR269">
        <f>SUMIF('Как будет'!$A$63:$A$70,Доп.расчеты!$A269,'Как будет'!DS$63:DS$70)</f>
        <v>0</v>
      </c>
      <c r="DS269">
        <f>SUMIF('Как будет'!$A$63:$A$70,Доп.расчеты!$A269,'Как будет'!DT$63:DT$70)</f>
        <v>0</v>
      </c>
      <c r="DT269">
        <f>SUMIF('Как будет'!$A$63:$A$70,Доп.расчеты!$A269,'Как будет'!DU$63:DU$70)</f>
        <v>0</v>
      </c>
      <c r="DU269">
        <f>SUMIF('Как будет'!$A$63:$A$70,Доп.расчеты!$A269,'Как будет'!DV$63:DV$70)</f>
        <v>0</v>
      </c>
      <c r="DV269">
        <f>SUMIF('Как будет'!$A$63:$A$70,Доп.расчеты!$A269,'Как будет'!DW$63:DW$70)</f>
        <v>0</v>
      </c>
      <c r="DW269">
        <f>SUMIF('Как будет'!$A$63:$A$70,Доп.расчеты!$A269,'Как будет'!DX$63:DX$70)</f>
        <v>0</v>
      </c>
      <c r="DX269">
        <f>SUMIF('Как будет'!$A$63:$A$70,Доп.расчеты!$A269,'Как будет'!DY$63:DY$70)</f>
        <v>0</v>
      </c>
      <c r="DY269">
        <f>SUMIF('Как будет'!$A$63:$A$70,Доп.расчеты!$A269,'Как будет'!DZ$63:DZ$70)</f>
        <v>0</v>
      </c>
      <c r="DZ269">
        <f>SUMIF('Как будет'!$A$63:$A$70,Доп.расчеты!$A269,'Как будет'!EA$63:EA$70)</f>
        <v>0</v>
      </c>
      <c r="EA269">
        <f>SUMIF('Как будет'!$A$63:$A$70,Доп.расчеты!$A269,'Как будет'!EB$63:EB$70)</f>
        <v>0</v>
      </c>
      <c r="EB269">
        <f>SUMIF('Как будет'!$A$63:$A$70,Доп.расчеты!$A269,'Как будет'!EC$63:EC$70)</f>
        <v>0</v>
      </c>
      <c r="EC269">
        <f>SUMIF('Как будет'!$A$63:$A$70,Доп.расчеты!$A269,'Как будет'!ED$63:ED$70)</f>
        <v>0</v>
      </c>
      <c r="ED269">
        <f>SUMIF('Как будет'!$A$63:$A$70,Доп.расчеты!$A269,'Как будет'!EE$63:EE$70)</f>
        <v>0</v>
      </c>
      <c r="EE269">
        <f>SUMIF('Как будет'!$A$63:$A$70,Доп.расчеты!$A269,'Как будет'!EF$63:EF$70)</f>
        <v>0</v>
      </c>
      <c r="EF269">
        <f>SUMIF('Как будет'!$A$63:$A$70,Доп.расчеты!$A269,'Как будет'!EG$63:EG$70)</f>
        <v>0</v>
      </c>
      <c r="EG269">
        <f>SUMIF('Как будет'!$A$63:$A$70,Доп.расчеты!$A269,'Как будет'!EH$63:EH$70)</f>
        <v>0</v>
      </c>
      <c r="EH269">
        <f>SUMIF('Как будет'!$A$63:$A$70,Доп.расчеты!$A269,'Как будет'!EI$63:EI$70)</f>
        <v>0</v>
      </c>
      <c r="EI269">
        <f>SUMIF('Как будет'!$A$63:$A$70,Доп.расчеты!$A269,'Как будет'!EJ$63:EJ$70)</f>
        <v>0</v>
      </c>
      <c r="EJ269">
        <f>SUMIF('Как будет'!$A$63:$A$70,Доп.расчеты!$A269,'Как будет'!EK$63:EK$70)</f>
        <v>0</v>
      </c>
      <c r="EK269">
        <f>SUMIF('Как будет'!$A$63:$A$70,Доп.расчеты!$A269,'Как будет'!EL$63:EL$70)</f>
        <v>0</v>
      </c>
      <c r="EL269">
        <f>SUMIF('Как будет'!$A$63:$A$70,Доп.расчеты!$A269,'Как будет'!EM$63:EM$70)</f>
        <v>0</v>
      </c>
      <c r="EM269">
        <f>SUMIF('Как будет'!$A$63:$A$70,Доп.расчеты!$A269,'Как будет'!EN$63:EN$70)</f>
        <v>0</v>
      </c>
      <c r="EN269">
        <f>SUMIF('Как будет'!$A$63:$A$70,Доп.расчеты!$A269,'Как будет'!EO$63:EO$70)</f>
        <v>0</v>
      </c>
      <c r="EO269">
        <f>SUMIF('Как будет'!$A$63:$A$70,Доп.расчеты!$A269,'Как будет'!EP$63:EP$70)</f>
        <v>0</v>
      </c>
      <c r="EP269">
        <f>SUMIF('Как будет'!$A$63:$A$70,Доп.расчеты!$A269,'Как будет'!EQ$63:EQ$70)</f>
        <v>0</v>
      </c>
      <c r="EQ269">
        <f>SUMIF('Как будет'!$A$63:$A$70,Доп.расчеты!$A269,'Как будет'!ER$63:ER$70)</f>
        <v>0</v>
      </c>
      <c r="ER269">
        <f>SUMIF('Как будет'!$A$63:$A$70,Доп.расчеты!$A269,'Как будет'!ES$63:ES$70)</f>
        <v>0</v>
      </c>
      <c r="ES269">
        <f>SUMIF('Как будет'!$A$63:$A$70,Доп.расчеты!$A269,'Как будет'!ET$63:ET$70)</f>
        <v>0</v>
      </c>
      <c r="ET269">
        <f>SUMIF('Как будет'!$A$63:$A$70,Доп.расчеты!$A269,'Как будет'!EU$63:EU$70)</f>
        <v>0</v>
      </c>
      <c r="EU269">
        <f>SUMIF('Как будет'!$A$63:$A$70,Доп.расчеты!$A269,'Как будет'!EV$63:EV$70)</f>
        <v>0</v>
      </c>
      <c r="EV269">
        <f>SUMIF('Как будет'!$A$63:$A$70,Доп.расчеты!$A269,'Как будет'!EW$63:EW$70)</f>
        <v>0</v>
      </c>
      <c r="EW269">
        <f>SUMIF('Как будет'!$A$63:$A$70,Доп.расчеты!$A269,'Как будет'!EX$63:EX$70)</f>
        <v>0</v>
      </c>
      <c r="EX269">
        <f>SUMIF('Как будет'!$A$63:$A$70,Доп.расчеты!$A269,'Как будет'!EY$63:EY$70)</f>
        <v>0</v>
      </c>
      <c r="EY269">
        <f>SUMIF('Как будет'!$A$63:$A$70,Доп.расчеты!$A269,'Как будет'!EZ$63:EZ$70)</f>
        <v>0</v>
      </c>
      <c r="EZ269">
        <f>SUMIF('Как будет'!$A$63:$A$70,Доп.расчеты!$A269,'Как будет'!FA$63:FA$70)</f>
        <v>0</v>
      </c>
      <c r="FA269">
        <f>SUMIF('Как будет'!$A$63:$A$70,Доп.расчеты!$A269,'Как будет'!FB$63:FB$70)</f>
        <v>0</v>
      </c>
      <c r="FB269">
        <f>SUMIF('Как будет'!$A$63:$A$70,Доп.расчеты!$A269,'Как будет'!FC$63:FC$70)</f>
        <v>0</v>
      </c>
      <c r="FC269">
        <f>SUMIF('Как будет'!$A$63:$A$70,Доп.расчеты!$A269,'Как будет'!FD$63:FD$70)</f>
        <v>0</v>
      </c>
      <c r="FD269">
        <f>SUMIF('Как будет'!$A$63:$A$70,Доп.расчеты!$A269,'Как будет'!FE$63:FE$70)</f>
        <v>0</v>
      </c>
      <c r="FE269">
        <f>SUMIF('Как будет'!$A$63:$A$70,Доп.расчеты!$A269,'Как будет'!FF$63:FF$70)</f>
        <v>0</v>
      </c>
      <c r="FF269">
        <f>SUMIF('Как будет'!$A$63:$A$70,Доп.расчеты!$A269,'Как будет'!FG$63:FG$70)</f>
        <v>0</v>
      </c>
      <c r="FG269">
        <f>SUMIF('Как будет'!$A$63:$A$70,Доп.расчеты!$A269,'Как будет'!FH$63:FH$70)</f>
        <v>0</v>
      </c>
      <c r="FH269">
        <f>SUMIF('Как будет'!$A$63:$A$70,Доп.расчеты!$A269,'Как будет'!FI$63:FI$70)</f>
        <v>0</v>
      </c>
      <c r="FI269">
        <f>SUMIF('Как будет'!$A$63:$A$70,Доп.расчеты!$A269,'Как будет'!FJ$63:FJ$70)</f>
        <v>0</v>
      </c>
      <c r="FJ269">
        <f>SUMIF('Как будет'!$A$63:$A$70,Доп.расчеты!$A269,'Как будет'!FK$63:FK$70)</f>
        <v>0</v>
      </c>
      <c r="FK269">
        <f>SUMIF('Как будет'!$A$63:$A$70,Доп.расчеты!$A269,'Как будет'!FL$63:FL$70)</f>
        <v>0</v>
      </c>
      <c r="FL269">
        <f>SUMIF('Как будет'!$A$63:$A$70,Доп.расчеты!$A269,'Как будет'!FM$63:FM$70)</f>
        <v>0</v>
      </c>
      <c r="FM269">
        <f>SUMIF('Как будет'!$A$63:$A$70,Доп.расчеты!$A269,'Как будет'!FN$63:FN$70)</f>
        <v>0</v>
      </c>
      <c r="FN269">
        <f>SUMIF('Как будет'!$A$63:$A$70,Доп.расчеты!$A269,'Как будет'!FO$63:FO$70)</f>
        <v>0</v>
      </c>
      <c r="FO269">
        <f>SUMIF('Как будет'!$A$63:$A$70,Доп.расчеты!$A269,'Как будет'!FP$63:FP$70)</f>
        <v>0</v>
      </c>
      <c r="FP269">
        <f>SUMIF('Как будет'!$A$63:$A$70,Доп.расчеты!$A269,'Как будет'!FQ$63:FQ$70)</f>
        <v>0</v>
      </c>
      <c r="FQ269">
        <f>SUMIF('Как будет'!$A$63:$A$70,Доп.расчеты!$A269,'Как будет'!FR$63:FR$70)</f>
        <v>0</v>
      </c>
      <c r="FR269">
        <f>SUMIF('Как будет'!$A$63:$A$70,Доп.расчеты!$A269,'Как будет'!FS$63:FS$70)</f>
        <v>0</v>
      </c>
      <c r="FS269">
        <f>SUMIF('Как будет'!$A$63:$A$70,Доп.расчеты!$A269,'Как будет'!FT$63:FT$70)</f>
        <v>0</v>
      </c>
      <c r="FT269">
        <f>SUMIF('Как будет'!$A$63:$A$70,Доп.расчеты!$A269,'Как будет'!FU$63:FU$70)</f>
        <v>0</v>
      </c>
      <c r="FU269">
        <f>SUMIF('Как будет'!$A$63:$A$70,Доп.расчеты!$A269,'Как будет'!FV$63:FV$70)</f>
        <v>0</v>
      </c>
      <c r="FV269">
        <f>SUMIF('Как будет'!$A$63:$A$70,Доп.расчеты!$A269,'Как будет'!FW$63:FW$70)</f>
        <v>0</v>
      </c>
      <c r="FW269">
        <f>SUMIF('Как будет'!$A$63:$A$70,Доп.расчеты!$A269,'Как будет'!FX$63:FX$70)</f>
        <v>0</v>
      </c>
      <c r="FX269">
        <f>SUMIF('Как будет'!$A$63:$A$70,Доп.расчеты!$A269,'Как будет'!FY$63:FY$70)</f>
        <v>0</v>
      </c>
      <c r="FY269">
        <f>SUMIF('Как будет'!$A$63:$A$70,Доп.расчеты!$A269,'Как будет'!FZ$63:FZ$70)</f>
        <v>0</v>
      </c>
      <c r="FZ269">
        <f>SUMIF('Как будет'!$A$63:$A$70,Доп.расчеты!$A269,'Как будет'!GA$63:GA$70)</f>
        <v>0</v>
      </c>
      <c r="GA269">
        <f>SUMIF('Как будет'!$A$63:$A$70,Доп.расчеты!$A269,'Как будет'!GB$63:GB$70)</f>
        <v>0</v>
      </c>
      <c r="GB269">
        <f>SUMIF('Как будет'!$A$63:$A$70,Доп.расчеты!$A269,'Как будет'!GC$63:GC$70)</f>
        <v>0</v>
      </c>
      <c r="GC269">
        <f>SUMIF('Как будет'!$A$63:$A$70,Доп.расчеты!$A269,'Как будет'!GD$63:GD$70)</f>
        <v>0</v>
      </c>
      <c r="GD269">
        <f>SUMIF('Как будет'!$A$63:$A$70,Доп.расчеты!$A269,'Как будет'!GE$63:GE$70)</f>
        <v>0</v>
      </c>
      <c r="GE269">
        <f>SUMIF('Как будет'!$A$63:$A$70,Доп.расчеты!$A269,'Как будет'!GF$63:GF$70)</f>
        <v>0</v>
      </c>
      <c r="GF269">
        <f>SUMIF('Как будет'!$A$63:$A$70,Доп.расчеты!$A269,'Как будет'!GG$63:GG$70)</f>
        <v>0</v>
      </c>
      <c r="GG269">
        <f>SUMIF('Как будет'!$A$63:$A$70,Доп.расчеты!$A269,'Как будет'!GH$63:GH$70)</f>
        <v>0</v>
      </c>
      <c r="GH269">
        <f>SUMIF('Как будет'!$A$63:$A$70,Доп.расчеты!$A269,'Как будет'!GI$63:GI$70)</f>
        <v>0</v>
      </c>
      <c r="GI269">
        <f>SUMIF('Как будет'!$A$63:$A$70,Доп.расчеты!$A269,'Как будет'!GJ$63:GJ$70)</f>
        <v>0</v>
      </c>
      <c r="GJ269">
        <f>SUMIF('Как будет'!$A$63:$A$70,Доп.расчеты!$A269,'Как будет'!GK$63:GK$70)</f>
        <v>0</v>
      </c>
      <c r="GK269">
        <f>SUMIF('Как будет'!$A$63:$A$70,Доп.расчеты!$A269,'Как будет'!GL$63:GL$70)</f>
        <v>0</v>
      </c>
      <c r="GL269">
        <f>SUMIF('Как будет'!$A$63:$A$70,Доп.расчеты!$A269,'Как будет'!GM$63:GM$70)</f>
        <v>0</v>
      </c>
      <c r="GM269">
        <f>SUMIF('Как будет'!$A$63:$A$70,Доп.расчеты!$A269,'Как будет'!GN$63:GN$70)</f>
        <v>0</v>
      </c>
      <c r="GN269">
        <f>SUMIF('Как будет'!$A$63:$A$70,Доп.расчеты!$A269,'Как будет'!GO$63:GO$70)</f>
        <v>0</v>
      </c>
      <c r="GO269">
        <f>SUMIF('Как будет'!$A$63:$A$70,Доп.расчеты!$A269,'Как будет'!GP$63:GP$70)</f>
        <v>0</v>
      </c>
      <c r="GP269">
        <f>SUMIF('Как будет'!$A$63:$A$70,Доп.расчеты!$A269,'Как будет'!GQ$63:GQ$70)</f>
        <v>0</v>
      </c>
      <c r="GQ269">
        <f>SUMIF('Как будет'!$A$63:$A$70,Доп.расчеты!$A269,'Как будет'!GR$63:GR$70)</f>
        <v>0</v>
      </c>
      <c r="GR269">
        <f>SUMIF('Как будет'!$A$63:$A$70,Доп.расчеты!$A269,'Как будет'!GS$63:GS$70)</f>
        <v>0</v>
      </c>
      <c r="GS269">
        <f>SUMIF('Как будет'!$A$63:$A$70,Доп.расчеты!$A269,'Как будет'!GT$63:GT$70)</f>
        <v>0</v>
      </c>
      <c r="GT269">
        <f>SUMIF('Как будет'!$A$63:$A$70,Доп.расчеты!$A269,'Как будет'!GU$63:GU$70)</f>
        <v>0</v>
      </c>
    </row>
    <row r="270" spans="1:202">
      <c r="A270" s="238" t="s">
        <v>113</v>
      </c>
      <c r="B270">
        <f>SUMIF('Как будет'!$A$63:$A$70,Доп.расчеты!$A270,'Как будет'!C$63:C$70)</f>
        <v>0</v>
      </c>
      <c r="C270">
        <f>SUMIF('Как будет'!$A$63:$A$70,Доп.расчеты!$A270,'Как будет'!D$63:D$70)</f>
        <v>0</v>
      </c>
      <c r="D270">
        <f>SUMIF('Как будет'!$A$63:$A$70,Доп.расчеты!$A270,'Как будет'!E$63:E$70)</f>
        <v>0</v>
      </c>
      <c r="E270">
        <f>SUMIF('Как будет'!$A$63:$A$70,Доп.расчеты!$A270,'Как будет'!F$63:F$70)</f>
        <v>0</v>
      </c>
      <c r="F270">
        <f>SUMIF('Как будет'!$A$63:$A$70,Доп.расчеты!$A270,'Как будет'!G$63:G$70)</f>
        <v>0</v>
      </c>
      <c r="G270">
        <f>SUMIF('Как будет'!$A$63:$A$70,Доп.расчеты!$A270,'Как будет'!H$63:H$70)</f>
        <v>0</v>
      </c>
      <c r="H270">
        <f>SUMIF('Как будет'!$A$63:$A$70,Доп.расчеты!$A270,'Как будет'!I$63:I$70)</f>
        <v>0</v>
      </c>
      <c r="I270">
        <f>SUMIF('Как будет'!$A$63:$A$70,Доп.расчеты!$A270,'Как будет'!J$63:J$70)</f>
        <v>0</v>
      </c>
      <c r="J270">
        <f>SUMIF('Как будет'!$A$63:$A$70,Доп.расчеты!$A270,'Как будет'!K$63:K$70)</f>
        <v>0</v>
      </c>
      <c r="K270">
        <f>SUMIF('Как будет'!$A$63:$A$70,Доп.расчеты!$A270,'Как будет'!L$63:L$70)</f>
        <v>0</v>
      </c>
      <c r="L270">
        <f>SUMIF('Как будет'!$A$63:$A$70,Доп.расчеты!$A270,'Как будет'!M$63:M$70)</f>
        <v>0</v>
      </c>
      <c r="M270">
        <f>SUMIF('Как будет'!$A$63:$A$70,Доп.расчеты!$A270,'Как будет'!N$63:N$70)</f>
        <v>0</v>
      </c>
      <c r="N270">
        <f>SUMIF('Как будет'!$A$63:$A$70,Доп.расчеты!$A270,'Как будет'!O$63:O$70)</f>
        <v>0</v>
      </c>
      <c r="O270">
        <f>SUMIF('Как будет'!$A$63:$A$70,Доп.расчеты!$A270,'Как будет'!P$63:P$70)</f>
        <v>0</v>
      </c>
      <c r="P270">
        <f>SUMIF('Как будет'!$A$63:$A$70,Доп.расчеты!$A270,'Как будет'!Q$63:Q$70)</f>
        <v>0</v>
      </c>
      <c r="Q270">
        <f>SUMIF('Как будет'!$A$63:$A$70,Доп.расчеты!$A270,'Как будет'!R$63:R$70)</f>
        <v>0</v>
      </c>
      <c r="R270">
        <f>SUMIF('Как будет'!$A$63:$A$70,Доп.расчеты!$A270,'Как будет'!S$63:S$70)</f>
        <v>0</v>
      </c>
      <c r="S270">
        <f>SUMIF('Как будет'!$A$63:$A$70,Доп.расчеты!$A270,'Как будет'!T$63:T$70)</f>
        <v>0</v>
      </c>
      <c r="T270">
        <f>SUMIF('Как будет'!$A$63:$A$70,Доп.расчеты!$A270,'Как будет'!U$63:U$70)</f>
        <v>0</v>
      </c>
      <c r="U270">
        <f>SUMIF('Как будет'!$A$63:$A$70,Доп.расчеты!$A270,'Как будет'!V$63:V$70)</f>
        <v>0</v>
      </c>
      <c r="V270">
        <f>SUMIF('Как будет'!$A$63:$A$70,Доп.расчеты!$A270,'Как будет'!W$63:W$70)</f>
        <v>0</v>
      </c>
      <c r="W270">
        <f>SUMIF('Как будет'!$A$63:$A$70,Доп.расчеты!$A270,'Как будет'!X$63:X$70)</f>
        <v>0</v>
      </c>
      <c r="X270">
        <f>SUMIF('Как будет'!$A$63:$A$70,Доп.расчеты!$A270,'Как будет'!Y$63:Y$70)</f>
        <v>0</v>
      </c>
      <c r="Y270">
        <f>SUMIF('Как будет'!$A$63:$A$70,Доп.расчеты!$A270,'Как будет'!Z$63:Z$70)</f>
        <v>0</v>
      </c>
      <c r="Z270">
        <f>SUMIF('Как будет'!$A$63:$A$70,Доп.расчеты!$A270,'Как будет'!AA$63:AA$70)</f>
        <v>0</v>
      </c>
      <c r="AA270">
        <f>SUMIF('Как будет'!$A$63:$A$70,Доп.расчеты!$A270,'Как будет'!AB$63:AB$70)</f>
        <v>0</v>
      </c>
      <c r="AB270">
        <f>SUMIF('Как будет'!$A$63:$A$70,Доп.расчеты!$A270,'Как будет'!AC$63:AC$70)</f>
        <v>0</v>
      </c>
      <c r="AC270">
        <f>SUMIF('Как будет'!$A$63:$A$70,Доп.расчеты!$A270,'Как будет'!AD$63:AD$70)</f>
        <v>0</v>
      </c>
      <c r="AD270">
        <f>SUMIF('Как будет'!$A$63:$A$70,Доп.расчеты!$A270,'Как будет'!AE$63:AE$70)</f>
        <v>0</v>
      </c>
      <c r="AE270">
        <f>SUMIF('Как будет'!$A$63:$A$70,Доп.расчеты!$A270,'Как будет'!AF$63:AF$70)</f>
        <v>0</v>
      </c>
      <c r="AF270">
        <f>SUMIF('Как будет'!$A$63:$A$70,Доп.расчеты!$A270,'Как будет'!AG$63:AG$70)</f>
        <v>0</v>
      </c>
      <c r="AG270">
        <f>SUMIF('Как будет'!$A$63:$A$70,Доп.расчеты!$A270,'Как будет'!AH$63:AH$70)</f>
        <v>0</v>
      </c>
      <c r="AH270">
        <f>SUMIF('Как будет'!$A$63:$A$70,Доп.расчеты!$A270,'Как будет'!AI$63:AI$70)</f>
        <v>0</v>
      </c>
      <c r="AI270">
        <f>SUMIF('Как будет'!$A$63:$A$70,Доп.расчеты!$A270,'Как будет'!AJ$63:AJ$70)</f>
        <v>0</v>
      </c>
      <c r="AJ270">
        <f>SUMIF('Как будет'!$A$63:$A$70,Доп.расчеты!$A270,'Как будет'!AK$63:AK$70)</f>
        <v>0</v>
      </c>
      <c r="AK270">
        <f>SUMIF('Как будет'!$A$63:$A$70,Доп.расчеты!$A270,'Как будет'!AL$63:AL$70)</f>
        <v>0</v>
      </c>
      <c r="AL270">
        <f>SUMIF('Как будет'!$A$63:$A$70,Доп.расчеты!$A270,'Как будет'!AM$63:AM$70)</f>
        <v>0</v>
      </c>
      <c r="AM270">
        <f>SUMIF('Как будет'!$A$63:$A$70,Доп.расчеты!$A270,'Как будет'!AN$63:AN$70)</f>
        <v>0</v>
      </c>
      <c r="AN270">
        <f>SUMIF('Как будет'!$A$63:$A$70,Доп.расчеты!$A270,'Как будет'!AO$63:AO$70)</f>
        <v>0</v>
      </c>
      <c r="AO270">
        <f>SUMIF('Как будет'!$A$63:$A$70,Доп.расчеты!$A270,'Как будет'!AP$63:AP$70)</f>
        <v>0</v>
      </c>
      <c r="AP270">
        <f>SUMIF('Как будет'!$A$63:$A$70,Доп.расчеты!$A270,'Как будет'!AQ$63:AQ$70)</f>
        <v>0</v>
      </c>
      <c r="AQ270">
        <f>SUMIF('Как будет'!$A$63:$A$70,Доп.расчеты!$A270,'Как будет'!AR$63:AR$70)</f>
        <v>0</v>
      </c>
      <c r="AR270">
        <f>SUMIF('Как будет'!$A$63:$A$70,Доп.расчеты!$A270,'Как будет'!AS$63:AS$70)</f>
        <v>0</v>
      </c>
      <c r="AS270">
        <f>SUMIF('Как будет'!$A$63:$A$70,Доп.расчеты!$A270,'Как будет'!AT$63:AT$70)</f>
        <v>0</v>
      </c>
      <c r="AT270">
        <f>SUMIF('Как будет'!$A$63:$A$70,Доп.расчеты!$A270,'Как будет'!AU$63:AU$70)</f>
        <v>0</v>
      </c>
      <c r="AU270">
        <f>SUMIF('Как будет'!$A$63:$A$70,Доп.расчеты!$A270,'Как будет'!AV$63:AV$70)</f>
        <v>0</v>
      </c>
      <c r="AV270">
        <f>SUMIF('Как будет'!$A$63:$A$70,Доп.расчеты!$A270,'Как будет'!AW$63:AW$70)</f>
        <v>0</v>
      </c>
      <c r="AW270">
        <f>SUMIF('Как будет'!$A$63:$A$70,Доп.расчеты!$A270,'Как будет'!AX$63:AX$70)</f>
        <v>0</v>
      </c>
      <c r="AX270">
        <f>SUMIF('Как будет'!$A$63:$A$70,Доп.расчеты!$A270,'Как будет'!AY$63:AY$70)</f>
        <v>0</v>
      </c>
      <c r="AY270">
        <f>SUMIF('Как будет'!$A$63:$A$70,Доп.расчеты!$A270,'Как будет'!AZ$63:AZ$70)</f>
        <v>0</v>
      </c>
      <c r="AZ270">
        <f>SUMIF('Как будет'!$A$63:$A$70,Доп.расчеты!$A270,'Как будет'!BA$63:BA$70)</f>
        <v>0</v>
      </c>
      <c r="BA270">
        <f>SUMIF('Как будет'!$A$63:$A$70,Доп.расчеты!$A270,'Как будет'!BB$63:BB$70)</f>
        <v>0</v>
      </c>
      <c r="BB270">
        <f>SUMIF('Как будет'!$A$63:$A$70,Доп.расчеты!$A270,'Как будет'!BC$63:BC$70)</f>
        <v>0</v>
      </c>
      <c r="BC270">
        <f>SUMIF('Как будет'!$A$63:$A$70,Доп.расчеты!$A270,'Как будет'!BD$63:BD$70)</f>
        <v>0</v>
      </c>
      <c r="BD270">
        <f>SUMIF('Как будет'!$A$63:$A$70,Доп.расчеты!$A270,'Как будет'!BE$63:BE$70)</f>
        <v>0</v>
      </c>
      <c r="BE270">
        <f>SUMIF('Как будет'!$A$63:$A$70,Доп.расчеты!$A270,'Как будет'!BF$63:BF$70)</f>
        <v>0</v>
      </c>
      <c r="BF270">
        <f>SUMIF('Как будет'!$A$63:$A$70,Доп.расчеты!$A270,'Как будет'!BG$63:BG$70)</f>
        <v>0</v>
      </c>
      <c r="BG270">
        <f>SUMIF('Как будет'!$A$63:$A$70,Доп.расчеты!$A270,'Как будет'!BH$63:BH$70)</f>
        <v>0</v>
      </c>
      <c r="BH270">
        <f>SUMIF('Как будет'!$A$63:$A$70,Доп.расчеты!$A270,'Как будет'!BI$63:BI$70)</f>
        <v>0</v>
      </c>
      <c r="BI270">
        <f>SUMIF('Как будет'!$A$63:$A$70,Доп.расчеты!$A270,'Как будет'!BJ$63:BJ$70)</f>
        <v>0</v>
      </c>
      <c r="BJ270">
        <f>SUMIF('Как будет'!$A$63:$A$70,Доп.расчеты!$A270,'Как будет'!BK$63:BK$70)</f>
        <v>0</v>
      </c>
      <c r="BK270">
        <f>SUMIF('Как будет'!$A$63:$A$70,Доп.расчеты!$A270,'Как будет'!BL$63:BL$70)</f>
        <v>0</v>
      </c>
      <c r="BL270">
        <f>SUMIF('Как будет'!$A$63:$A$70,Доп.расчеты!$A270,'Как будет'!BM$63:BM$70)</f>
        <v>0</v>
      </c>
      <c r="BM270">
        <f>SUMIF('Как будет'!$A$63:$A$70,Доп.расчеты!$A270,'Как будет'!BN$63:BN$70)</f>
        <v>0</v>
      </c>
      <c r="BN270">
        <f>SUMIF('Как будет'!$A$63:$A$70,Доп.расчеты!$A270,'Как будет'!BO$63:BO$70)</f>
        <v>0</v>
      </c>
      <c r="BO270">
        <f>SUMIF('Как будет'!$A$63:$A$70,Доп.расчеты!$A270,'Как будет'!BP$63:BP$70)</f>
        <v>0</v>
      </c>
      <c r="BP270">
        <f>SUMIF('Как будет'!$A$63:$A$70,Доп.расчеты!$A270,'Как будет'!BQ$63:BQ$70)</f>
        <v>0</v>
      </c>
      <c r="BQ270">
        <f>SUMIF('Как будет'!$A$63:$A$70,Доп.расчеты!$A270,'Как будет'!BR$63:BR$70)</f>
        <v>0</v>
      </c>
      <c r="BR270">
        <f>SUMIF('Как будет'!$A$63:$A$70,Доп.расчеты!$A270,'Как будет'!BS$63:BS$70)</f>
        <v>0</v>
      </c>
      <c r="BS270">
        <f>SUMIF('Как будет'!$A$63:$A$70,Доп.расчеты!$A270,'Как будет'!BT$63:BT$70)</f>
        <v>0</v>
      </c>
      <c r="BT270">
        <f>SUMIF('Как будет'!$A$63:$A$70,Доп.расчеты!$A270,'Как будет'!BU$63:BU$70)</f>
        <v>0</v>
      </c>
      <c r="BU270">
        <f>SUMIF('Как будет'!$A$63:$A$70,Доп.расчеты!$A270,'Как будет'!BV$63:BV$70)</f>
        <v>0</v>
      </c>
      <c r="BV270">
        <f>SUMIF('Как будет'!$A$63:$A$70,Доп.расчеты!$A270,'Как будет'!BW$63:BW$70)</f>
        <v>0</v>
      </c>
      <c r="BW270">
        <f>SUMIF('Как будет'!$A$63:$A$70,Доп.расчеты!$A270,'Как будет'!BX$63:BX$70)</f>
        <v>0</v>
      </c>
      <c r="BX270">
        <f>SUMIF('Как будет'!$A$63:$A$70,Доп.расчеты!$A270,'Как будет'!BY$63:BY$70)</f>
        <v>0</v>
      </c>
      <c r="BY270">
        <f>SUMIF('Как будет'!$A$63:$A$70,Доп.расчеты!$A270,'Как будет'!BZ$63:BZ$70)</f>
        <v>0</v>
      </c>
      <c r="BZ270">
        <f>SUMIF('Как будет'!$A$63:$A$70,Доп.расчеты!$A270,'Как будет'!CA$63:CA$70)</f>
        <v>0</v>
      </c>
      <c r="CA270">
        <f>SUMIF('Как будет'!$A$63:$A$70,Доп.расчеты!$A270,'Как будет'!CB$63:CB$70)</f>
        <v>0</v>
      </c>
      <c r="CB270">
        <f>SUMIF('Как будет'!$A$63:$A$70,Доп.расчеты!$A270,'Как будет'!CC$63:CC$70)</f>
        <v>0</v>
      </c>
      <c r="CC270">
        <f>SUMIF('Как будет'!$A$63:$A$70,Доп.расчеты!$A270,'Как будет'!CD$63:CD$70)</f>
        <v>0</v>
      </c>
      <c r="CD270">
        <f>SUMIF('Как будет'!$A$63:$A$70,Доп.расчеты!$A270,'Как будет'!CE$63:CE$70)</f>
        <v>0</v>
      </c>
      <c r="CE270">
        <f>SUMIF('Как будет'!$A$63:$A$70,Доп.расчеты!$A270,'Как будет'!CF$63:CF$70)</f>
        <v>0</v>
      </c>
      <c r="CF270">
        <f>SUMIF('Как будет'!$A$63:$A$70,Доп.расчеты!$A270,'Как будет'!CG$63:CG$70)</f>
        <v>0</v>
      </c>
      <c r="CG270">
        <f>SUMIF('Как будет'!$A$63:$A$70,Доп.расчеты!$A270,'Как будет'!CH$63:CH$70)</f>
        <v>0</v>
      </c>
      <c r="CH270">
        <f>SUMIF('Как будет'!$A$63:$A$70,Доп.расчеты!$A270,'Как будет'!CI$63:CI$70)</f>
        <v>0</v>
      </c>
      <c r="CI270">
        <f>SUMIF('Как будет'!$A$63:$A$70,Доп.расчеты!$A270,'Как будет'!CJ$63:CJ$70)</f>
        <v>0</v>
      </c>
      <c r="CJ270">
        <f>SUMIF('Как будет'!$A$63:$A$70,Доп.расчеты!$A270,'Как будет'!CK$63:CK$70)</f>
        <v>0</v>
      </c>
      <c r="CK270">
        <f>SUMIF('Как будет'!$A$63:$A$70,Доп.расчеты!$A270,'Как будет'!CL$63:CL$70)</f>
        <v>0</v>
      </c>
      <c r="CL270">
        <f>SUMIF('Как будет'!$A$63:$A$70,Доп.расчеты!$A270,'Как будет'!CM$63:CM$70)</f>
        <v>0</v>
      </c>
      <c r="CM270">
        <f>SUMIF('Как будет'!$A$63:$A$70,Доп.расчеты!$A270,'Как будет'!CN$63:CN$70)</f>
        <v>0</v>
      </c>
      <c r="CN270">
        <f>SUMIF('Как будет'!$A$63:$A$70,Доп.расчеты!$A270,'Как будет'!CO$63:CO$70)</f>
        <v>0</v>
      </c>
      <c r="CO270">
        <f>SUMIF('Как будет'!$A$63:$A$70,Доп.расчеты!$A270,'Как будет'!CP$63:CP$70)</f>
        <v>0</v>
      </c>
      <c r="CP270">
        <f>SUMIF('Как будет'!$A$63:$A$70,Доп.расчеты!$A270,'Как будет'!CQ$63:CQ$70)</f>
        <v>0</v>
      </c>
      <c r="CQ270">
        <f>SUMIF('Как будет'!$A$63:$A$70,Доп.расчеты!$A270,'Как будет'!CR$63:CR$70)</f>
        <v>0</v>
      </c>
      <c r="CR270">
        <f>SUMIF('Как будет'!$A$63:$A$70,Доп.расчеты!$A270,'Как будет'!CS$63:CS$70)</f>
        <v>0</v>
      </c>
      <c r="CS270">
        <f>SUMIF('Как будет'!$A$63:$A$70,Доп.расчеты!$A270,'Как будет'!CT$63:CT$70)</f>
        <v>0</v>
      </c>
      <c r="CT270">
        <f>SUMIF('Как будет'!$A$63:$A$70,Доп.расчеты!$A270,'Как будет'!CU$63:CU$70)</f>
        <v>0</v>
      </c>
      <c r="CU270">
        <f>SUMIF('Как будет'!$A$63:$A$70,Доп.расчеты!$A270,'Как будет'!CV$63:CV$70)</f>
        <v>0</v>
      </c>
      <c r="CV270">
        <f>SUMIF('Как будет'!$A$63:$A$70,Доп.расчеты!$A270,'Как будет'!CW$63:CW$70)</f>
        <v>0</v>
      </c>
      <c r="CW270">
        <f>SUMIF('Как будет'!$A$63:$A$70,Доп.расчеты!$A270,'Как будет'!CX$63:CX$70)</f>
        <v>0</v>
      </c>
      <c r="CX270">
        <f>SUMIF('Как будет'!$A$63:$A$70,Доп.расчеты!$A270,'Как будет'!CY$63:CY$70)</f>
        <v>0</v>
      </c>
      <c r="CY270">
        <f>SUMIF('Как будет'!$A$63:$A$70,Доп.расчеты!$A270,'Как будет'!CZ$63:CZ$70)</f>
        <v>0</v>
      </c>
      <c r="CZ270">
        <f>SUMIF('Как будет'!$A$63:$A$70,Доп.расчеты!$A270,'Как будет'!DA$63:DA$70)</f>
        <v>0</v>
      </c>
      <c r="DA270">
        <f>SUMIF('Как будет'!$A$63:$A$70,Доп.расчеты!$A270,'Как будет'!DB$63:DB$70)</f>
        <v>0</v>
      </c>
      <c r="DB270">
        <f>SUMIF('Как будет'!$A$63:$A$70,Доп.расчеты!$A270,'Как будет'!DC$63:DC$70)</f>
        <v>0</v>
      </c>
      <c r="DC270">
        <f>SUMIF('Как будет'!$A$63:$A$70,Доп.расчеты!$A270,'Как будет'!DD$63:DD$70)</f>
        <v>0</v>
      </c>
      <c r="DD270">
        <f>SUMIF('Как будет'!$A$63:$A$70,Доп.расчеты!$A270,'Как будет'!DE$63:DE$70)</f>
        <v>0</v>
      </c>
      <c r="DE270">
        <f>SUMIF('Как будет'!$A$63:$A$70,Доп.расчеты!$A270,'Как будет'!DF$63:DF$70)</f>
        <v>0</v>
      </c>
      <c r="DF270">
        <f>SUMIF('Как будет'!$A$63:$A$70,Доп.расчеты!$A270,'Как будет'!DG$63:DG$70)</f>
        <v>0</v>
      </c>
      <c r="DG270">
        <f>SUMIF('Как будет'!$A$63:$A$70,Доп.расчеты!$A270,'Как будет'!DH$63:DH$70)</f>
        <v>0</v>
      </c>
      <c r="DH270">
        <f>SUMIF('Как будет'!$A$63:$A$70,Доп.расчеты!$A270,'Как будет'!DI$63:DI$70)</f>
        <v>0</v>
      </c>
      <c r="DI270">
        <f>SUMIF('Как будет'!$A$63:$A$70,Доп.расчеты!$A270,'Как будет'!DJ$63:DJ$70)</f>
        <v>0</v>
      </c>
      <c r="DJ270">
        <f>SUMIF('Как будет'!$A$63:$A$70,Доп.расчеты!$A270,'Как будет'!DK$63:DK$70)</f>
        <v>0</v>
      </c>
      <c r="DK270">
        <f>SUMIF('Как будет'!$A$63:$A$70,Доп.расчеты!$A270,'Как будет'!DL$63:DL$70)</f>
        <v>0</v>
      </c>
      <c r="DL270">
        <f>SUMIF('Как будет'!$A$63:$A$70,Доп.расчеты!$A270,'Как будет'!DM$63:DM$70)</f>
        <v>0</v>
      </c>
      <c r="DM270">
        <f>SUMIF('Как будет'!$A$63:$A$70,Доп.расчеты!$A270,'Как будет'!DN$63:DN$70)</f>
        <v>0</v>
      </c>
      <c r="DN270">
        <f>SUMIF('Как будет'!$A$63:$A$70,Доп.расчеты!$A270,'Как будет'!DO$63:DO$70)</f>
        <v>0</v>
      </c>
      <c r="DO270">
        <f>SUMIF('Как будет'!$A$63:$A$70,Доп.расчеты!$A270,'Как будет'!DP$63:DP$70)</f>
        <v>0</v>
      </c>
      <c r="DP270">
        <f>SUMIF('Как будет'!$A$63:$A$70,Доп.расчеты!$A270,'Как будет'!DQ$63:DQ$70)</f>
        <v>0</v>
      </c>
      <c r="DQ270">
        <f>SUMIF('Как будет'!$A$63:$A$70,Доп.расчеты!$A270,'Как будет'!DR$63:DR$70)</f>
        <v>0</v>
      </c>
      <c r="DR270">
        <f>SUMIF('Как будет'!$A$63:$A$70,Доп.расчеты!$A270,'Как будет'!DS$63:DS$70)</f>
        <v>0</v>
      </c>
      <c r="DS270">
        <f>SUMIF('Как будет'!$A$63:$A$70,Доп.расчеты!$A270,'Как будет'!DT$63:DT$70)</f>
        <v>0</v>
      </c>
      <c r="DT270">
        <f>SUMIF('Как будет'!$A$63:$A$70,Доп.расчеты!$A270,'Как будет'!DU$63:DU$70)</f>
        <v>0</v>
      </c>
      <c r="DU270">
        <f>SUMIF('Как будет'!$A$63:$A$70,Доп.расчеты!$A270,'Как будет'!DV$63:DV$70)</f>
        <v>0</v>
      </c>
      <c r="DV270">
        <f>SUMIF('Как будет'!$A$63:$A$70,Доп.расчеты!$A270,'Как будет'!DW$63:DW$70)</f>
        <v>0</v>
      </c>
      <c r="DW270">
        <f>SUMIF('Как будет'!$A$63:$A$70,Доп.расчеты!$A270,'Как будет'!DX$63:DX$70)</f>
        <v>0</v>
      </c>
      <c r="DX270">
        <f>SUMIF('Как будет'!$A$63:$A$70,Доп.расчеты!$A270,'Как будет'!DY$63:DY$70)</f>
        <v>0</v>
      </c>
      <c r="DY270">
        <f>SUMIF('Как будет'!$A$63:$A$70,Доп.расчеты!$A270,'Как будет'!DZ$63:DZ$70)</f>
        <v>0</v>
      </c>
      <c r="DZ270">
        <f>SUMIF('Как будет'!$A$63:$A$70,Доп.расчеты!$A270,'Как будет'!EA$63:EA$70)</f>
        <v>0</v>
      </c>
      <c r="EA270">
        <f>SUMIF('Как будет'!$A$63:$A$70,Доп.расчеты!$A270,'Как будет'!EB$63:EB$70)</f>
        <v>0</v>
      </c>
      <c r="EB270">
        <f>SUMIF('Как будет'!$A$63:$A$70,Доп.расчеты!$A270,'Как будет'!EC$63:EC$70)</f>
        <v>0</v>
      </c>
      <c r="EC270">
        <f>SUMIF('Как будет'!$A$63:$A$70,Доп.расчеты!$A270,'Как будет'!ED$63:ED$70)</f>
        <v>0</v>
      </c>
      <c r="ED270">
        <f>SUMIF('Как будет'!$A$63:$A$70,Доп.расчеты!$A270,'Как будет'!EE$63:EE$70)</f>
        <v>0</v>
      </c>
      <c r="EE270">
        <f>SUMIF('Как будет'!$A$63:$A$70,Доп.расчеты!$A270,'Как будет'!EF$63:EF$70)</f>
        <v>0</v>
      </c>
      <c r="EF270">
        <f>SUMIF('Как будет'!$A$63:$A$70,Доп.расчеты!$A270,'Как будет'!EG$63:EG$70)</f>
        <v>0</v>
      </c>
      <c r="EG270">
        <f>SUMIF('Как будет'!$A$63:$A$70,Доп.расчеты!$A270,'Как будет'!EH$63:EH$70)</f>
        <v>0</v>
      </c>
      <c r="EH270">
        <f>SUMIF('Как будет'!$A$63:$A$70,Доп.расчеты!$A270,'Как будет'!EI$63:EI$70)</f>
        <v>0</v>
      </c>
      <c r="EI270">
        <f>SUMIF('Как будет'!$A$63:$A$70,Доп.расчеты!$A270,'Как будет'!EJ$63:EJ$70)</f>
        <v>0</v>
      </c>
      <c r="EJ270">
        <f>SUMIF('Как будет'!$A$63:$A$70,Доп.расчеты!$A270,'Как будет'!EK$63:EK$70)</f>
        <v>0</v>
      </c>
      <c r="EK270">
        <f>SUMIF('Как будет'!$A$63:$A$70,Доп.расчеты!$A270,'Как будет'!EL$63:EL$70)</f>
        <v>0</v>
      </c>
      <c r="EL270">
        <f>SUMIF('Как будет'!$A$63:$A$70,Доп.расчеты!$A270,'Как будет'!EM$63:EM$70)</f>
        <v>0</v>
      </c>
      <c r="EM270">
        <f>SUMIF('Как будет'!$A$63:$A$70,Доп.расчеты!$A270,'Как будет'!EN$63:EN$70)</f>
        <v>0</v>
      </c>
      <c r="EN270">
        <f>SUMIF('Как будет'!$A$63:$A$70,Доп.расчеты!$A270,'Как будет'!EO$63:EO$70)</f>
        <v>0</v>
      </c>
      <c r="EO270">
        <f>SUMIF('Как будет'!$A$63:$A$70,Доп.расчеты!$A270,'Как будет'!EP$63:EP$70)</f>
        <v>0</v>
      </c>
      <c r="EP270">
        <f>SUMIF('Как будет'!$A$63:$A$70,Доп.расчеты!$A270,'Как будет'!EQ$63:EQ$70)</f>
        <v>0</v>
      </c>
      <c r="EQ270">
        <f>SUMIF('Как будет'!$A$63:$A$70,Доп.расчеты!$A270,'Как будет'!ER$63:ER$70)</f>
        <v>0</v>
      </c>
      <c r="ER270">
        <f>SUMIF('Как будет'!$A$63:$A$70,Доп.расчеты!$A270,'Как будет'!ES$63:ES$70)</f>
        <v>0</v>
      </c>
      <c r="ES270">
        <f>SUMIF('Как будет'!$A$63:$A$70,Доп.расчеты!$A270,'Как будет'!ET$63:ET$70)</f>
        <v>0</v>
      </c>
      <c r="ET270">
        <f>SUMIF('Как будет'!$A$63:$A$70,Доп.расчеты!$A270,'Как будет'!EU$63:EU$70)</f>
        <v>0</v>
      </c>
      <c r="EU270">
        <f>SUMIF('Как будет'!$A$63:$A$70,Доп.расчеты!$A270,'Как будет'!EV$63:EV$70)</f>
        <v>0</v>
      </c>
      <c r="EV270">
        <f>SUMIF('Как будет'!$A$63:$A$70,Доп.расчеты!$A270,'Как будет'!EW$63:EW$70)</f>
        <v>0</v>
      </c>
      <c r="EW270">
        <f>SUMIF('Как будет'!$A$63:$A$70,Доп.расчеты!$A270,'Как будет'!EX$63:EX$70)</f>
        <v>0</v>
      </c>
      <c r="EX270">
        <f>SUMIF('Как будет'!$A$63:$A$70,Доп.расчеты!$A270,'Как будет'!EY$63:EY$70)</f>
        <v>0</v>
      </c>
      <c r="EY270">
        <f>SUMIF('Как будет'!$A$63:$A$70,Доп.расчеты!$A270,'Как будет'!EZ$63:EZ$70)</f>
        <v>0</v>
      </c>
      <c r="EZ270">
        <f>SUMIF('Как будет'!$A$63:$A$70,Доп.расчеты!$A270,'Как будет'!FA$63:FA$70)</f>
        <v>0</v>
      </c>
      <c r="FA270">
        <f>SUMIF('Как будет'!$A$63:$A$70,Доп.расчеты!$A270,'Как будет'!FB$63:FB$70)</f>
        <v>0</v>
      </c>
      <c r="FB270">
        <f>SUMIF('Как будет'!$A$63:$A$70,Доп.расчеты!$A270,'Как будет'!FC$63:FC$70)</f>
        <v>0</v>
      </c>
      <c r="FC270">
        <f>SUMIF('Как будет'!$A$63:$A$70,Доп.расчеты!$A270,'Как будет'!FD$63:FD$70)</f>
        <v>0</v>
      </c>
      <c r="FD270">
        <f>SUMIF('Как будет'!$A$63:$A$70,Доп.расчеты!$A270,'Как будет'!FE$63:FE$70)</f>
        <v>0</v>
      </c>
      <c r="FE270">
        <f>SUMIF('Как будет'!$A$63:$A$70,Доп.расчеты!$A270,'Как будет'!FF$63:FF$70)</f>
        <v>0</v>
      </c>
      <c r="FF270">
        <f>SUMIF('Как будет'!$A$63:$A$70,Доп.расчеты!$A270,'Как будет'!FG$63:FG$70)</f>
        <v>0</v>
      </c>
      <c r="FG270">
        <f>SUMIF('Как будет'!$A$63:$A$70,Доп.расчеты!$A270,'Как будет'!FH$63:FH$70)</f>
        <v>0</v>
      </c>
      <c r="FH270">
        <f>SUMIF('Как будет'!$A$63:$A$70,Доп.расчеты!$A270,'Как будет'!FI$63:FI$70)</f>
        <v>0</v>
      </c>
      <c r="FI270">
        <f>SUMIF('Как будет'!$A$63:$A$70,Доп.расчеты!$A270,'Как будет'!FJ$63:FJ$70)</f>
        <v>0</v>
      </c>
      <c r="FJ270">
        <f>SUMIF('Как будет'!$A$63:$A$70,Доп.расчеты!$A270,'Как будет'!FK$63:FK$70)</f>
        <v>0</v>
      </c>
      <c r="FK270">
        <f>SUMIF('Как будет'!$A$63:$A$70,Доп.расчеты!$A270,'Как будет'!FL$63:FL$70)</f>
        <v>0</v>
      </c>
      <c r="FL270">
        <f>SUMIF('Как будет'!$A$63:$A$70,Доп.расчеты!$A270,'Как будет'!FM$63:FM$70)</f>
        <v>0</v>
      </c>
      <c r="FM270">
        <f>SUMIF('Как будет'!$A$63:$A$70,Доп.расчеты!$A270,'Как будет'!FN$63:FN$70)</f>
        <v>0</v>
      </c>
      <c r="FN270">
        <f>SUMIF('Как будет'!$A$63:$A$70,Доп.расчеты!$A270,'Как будет'!FO$63:FO$70)</f>
        <v>0</v>
      </c>
      <c r="FO270">
        <f>SUMIF('Как будет'!$A$63:$A$70,Доп.расчеты!$A270,'Как будет'!FP$63:FP$70)</f>
        <v>0</v>
      </c>
      <c r="FP270">
        <f>SUMIF('Как будет'!$A$63:$A$70,Доп.расчеты!$A270,'Как будет'!FQ$63:FQ$70)</f>
        <v>0</v>
      </c>
      <c r="FQ270">
        <f>SUMIF('Как будет'!$A$63:$A$70,Доп.расчеты!$A270,'Как будет'!FR$63:FR$70)</f>
        <v>0</v>
      </c>
      <c r="FR270">
        <f>SUMIF('Как будет'!$A$63:$A$70,Доп.расчеты!$A270,'Как будет'!FS$63:FS$70)</f>
        <v>0</v>
      </c>
      <c r="FS270">
        <f>SUMIF('Как будет'!$A$63:$A$70,Доп.расчеты!$A270,'Как будет'!FT$63:FT$70)</f>
        <v>0</v>
      </c>
      <c r="FT270">
        <f>SUMIF('Как будет'!$A$63:$A$70,Доп.расчеты!$A270,'Как будет'!FU$63:FU$70)</f>
        <v>0</v>
      </c>
      <c r="FU270">
        <f>SUMIF('Как будет'!$A$63:$A$70,Доп.расчеты!$A270,'Как будет'!FV$63:FV$70)</f>
        <v>0</v>
      </c>
      <c r="FV270">
        <f>SUMIF('Как будет'!$A$63:$A$70,Доп.расчеты!$A270,'Как будет'!FW$63:FW$70)</f>
        <v>0</v>
      </c>
      <c r="FW270">
        <f>SUMIF('Как будет'!$A$63:$A$70,Доп.расчеты!$A270,'Как будет'!FX$63:FX$70)</f>
        <v>0</v>
      </c>
      <c r="FX270">
        <f>SUMIF('Как будет'!$A$63:$A$70,Доп.расчеты!$A270,'Как будет'!FY$63:FY$70)</f>
        <v>0</v>
      </c>
      <c r="FY270">
        <f>SUMIF('Как будет'!$A$63:$A$70,Доп.расчеты!$A270,'Как будет'!FZ$63:FZ$70)</f>
        <v>0</v>
      </c>
      <c r="FZ270">
        <f>SUMIF('Как будет'!$A$63:$A$70,Доп.расчеты!$A270,'Как будет'!GA$63:GA$70)</f>
        <v>0</v>
      </c>
      <c r="GA270">
        <f>SUMIF('Как будет'!$A$63:$A$70,Доп.расчеты!$A270,'Как будет'!GB$63:GB$70)</f>
        <v>0</v>
      </c>
      <c r="GB270">
        <f>SUMIF('Как будет'!$A$63:$A$70,Доп.расчеты!$A270,'Как будет'!GC$63:GC$70)</f>
        <v>0</v>
      </c>
      <c r="GC270">
        <f>SUMIF('Как будет'!$A$63:$A$70,Доп.расчеты!$A270,'Как будет'!GD$63:GD$70)</f>
        <v>0</v>
      </c>
      <c r="GD270">
        <f>SUMIF('Как будет'!$A$63:$A$70,Доп.расчеты!$A270,'Как будет'!GE$63:GE$70)</f>
        <v>0</v>
      </c>
      <c r="GE270">
        <f>SUMIF('Как будет'!$A$63:$A$70,Доп.расчеты!$A270,'Как будет'!GF$63:GF$70)</f>
        <v>0</v>
      </c>
      <c r="GF270">
        <f>SUMIF('Как будет'!$A$63:$A$70,Доп.расчеты!$A270,'Как будет'!GG$63:GG$70)</f>
        <v>0</v>
      </c>
      <c r="GG270">
        <f>SUMIF('Как будет'!$A$63:$A$70,Доп.расчеты!$A270,'Как будет'!GH$63:GH$70)</f>
        <v>0</v>
      </c>
      <c r="GH270">
        <f>SUMIF('Как будет'!$A$63:$A$70,Доп.расчеты!$A270,'Как будет'!GI$63:GI$70)</f>
        <v>0</v>
      </c>
      <c r="GI270">
        <f>SUMIF('Как будет'!$A$63:$A$70,Доп.расчеты!$A270,'Как будет'!GJ$63:GJ$70)</f>
        <v>0</v>
      </c>
      <c r="GJ270">
        <f>SUMIF('Как будет'!$A$63:$A$70,Доп.расчеты!$A270,'Как будет'!GK$63:GK$70)</f>
        <v>0</v>
      </c>
      <c r="GK270">
        <f>SUMIF('Как будет'!$A$63:$A$70,Доп.расчеты!$A270,'Как будет'!GL$63:GL$70)</f>
        <v>0</v>
      </c>
      <c r="GL270">
        <f>SUMIF('Как будет'!$A$63:$A$70,Доп.расчеты!$A270,'Как будет'!GM$63:GM$70)</f>
        <v>0</v>
      </c>
      <c r="GM270">
        <f>SUMIF('Как будет'!$A$63:$A$70,Доп.расчеты!$A270,'Как будет'!GN$63:GN$70)</f>
        <v>0</v>
      </c>
      <c r="GN270">
        <f>SUMIF('Как будет'!$A$63:$A$70,Доп.расчеты!$A270,'Как будет'!GO$63:GO$70)</f>
        <v>0</v>
      </c>
      <c r="GO270">
        <f>SUMIF('Как будет'!$A$63:$A$70,Доп.расчеты!$A270,'Как будет'!GP$63:GP$70)</f>
        <v>0</v>
      </c>
      <c r="GP270">
        <f>SUMIF('Как будет'!$A$63:$A$70,Доп.расчеты!$A270,'Как будет'!GQ$63:GQ$70)</f>
        <v>0</v>
      </c>
      <c r="GQ270">
        <f>SUMIF('Как будет'!$A$63:$A$70,Доп.расчеты!$A270,'Как будет'!GR$63:GR$70)</f>
        <v>0</v>
      </c>
      <c r="GR270">
        <f>SUMIF('Как будет'!$A$63:$A$70,Доп.расчеты!$A270,'Как будет'!GS$63:GS$70)</f>
        <v>0</v>
      </c>
      <c r="GS270">
        <f>SUMIF('Как будет'!$A$63:$A$70,Доп.расчеты!$A270,'Как будет'!GT$63:GT$70)</f>
        <v>0</v>
      </c>
      <c r="GT270">
        <f>SUMIF('Как будет'!$A$63:$A$70,Доп.расчеты!$A270,'Как будет'!GU$63:GU$70)</f>
        <v>0</v>
      </c>
    </row>
    <row r="271" spans="1:202">
      <c r="A271" s="238" t="s">
        <v>114</v>
      </c>
      <c r="B271">
        <f>SUMIF('Как будет'!$A$63:$A$70,Доп.расчеты!$A271,'Как будет'!C$63:C$70)</f>
        <v>0</v>
      </c>
      <c r="C271">
        <f>SUMIF('Как будет'!$A$63:$A$70,Доп.расчеты!$A271,'Как будет'!D$63:D$70)</f>
        <v>0</v>
      </c>
      <c r="D271">
        <f>SUMIF('Как будет'!$A$63:$A$70,Доп.расчеты!$A271,'Как будет'!E$63:E$70)</f>
        <v>0</v>
      </c>
      <c r="E271">
        <f>SUMIF('Как будет'!$A$63:$A$70,Доп.расчеты!$A271,'Как будет'!F$63:F$70)</f>
        <v>0</v>
      </c>
      <c r="F271">
        <f>SUMIF('Как будет'!$A$63:$A$70,Доп.расчеты!$A271,'Как будет'!G$63:G$70)</f>
        <v>0</v>
      </c>
      <c r="G271">
        <f>SUMIF('Как будет'!$A$63:$A$70,Доп.расчеты!$A271,'Как будет'!H$63:H$70)</f>
        <v>0</v>
      </c>
      <c r="H271">
        <f>SUMIF('Как будет'!$A$63:$A$70,Доп.расчеты!$A271,'Как будет'!I$63:I$70)</f>
        <v>0</v>
      </c>
      <c r="I271">
        <f>SUMIF('Как будет'!$A$63:$A$70,Доп.расчеты!$A271,'Как будет'!J$63:J$70)</f>
        <v>0</v>
      </c>
      <c r="J271">
        <f>SUMIF('Как будет'!$A$63:$A$70,Доп.расчеты!$A271,'Как будет'!K$63:K$70)</f>
        <v>0</v>
      </c>
      <c r="K271">
        <f>SUMIF('Как будет'!$A$63:$A$70,Доп.расчеты!$A271,'Как будет'!L$63:L$70)</f>
        <v>0</v>
      </c>
      <c r="L271">
        <f>SUMIF('Как будет'!$A$63:$A$70,Доп.расчеты!$A271,'Как будет'!M$63:M$70)</f>
        <v>0</v>
      </c>
      <c r="M271">
        <f>SUMIF('Как будет'!$A$63:$A$70,Доп.расчеты!$A271,'Как будет'!N$63:N$70)</f>
        <v>0</v>
      </c>
      <c r="N271">
        <f>SUMIF('Как будет'!$A$63:$A$70,Доп.расчеты!$A271,'Как будет'!O$63:O$70)</f>
        <v>0</v>
      </c>
      <c r="O271">
        <f>SUMIF('Как будет'!$A$63:$A$70,Доп.расчеты!$A271,'Как будет'!P$63:P$70)</f>
        <v>0</v>
      </c>
      <c r="P271">
        <f>SUMIF('Как будет'!$A$63:$A$70,Доп.расчеты!$A271,'Как будет'!Q$63:Q$70)</f>
        <v>0</v>
      </c>
      <c r="Q271">
        <f>SUMIF('Как будет'!$A$63:$A$70,Доп.расчеты!$A271,'Как будет'!R$63:R$70)</f>
        <v>0</v>
      </c>
      <c r="R271">
        <f>SUMIF('Как будет'!$A$63:$A$70,Доп.расчеты!$A271,'Как будет'!S$63:S$70)</f>
        <v>0</v>
      </c>
      <c r="S271">
        <f>SUMIF('Как будет'!$A$63:$A$70,Доп.расчеты!$A271,'Как будет'!T$63:T$70)</f>
        <v>0</v>
      </c>
      <c r="T271">
        <f>SUMIF('Как будет'!$A$63:$A$70,Доп.расчеты!$A271,'Как будет'!U$63:U$70)</f>
        <v>0</v>
      </c>
      <c r="U271">
        <f>SUMIF('Как будет'!$A$63:$A$70,Доп.расчеты!$A271,'Как будет'!V$63:V$70)</f>
        <v>0</v>
      </c>
      <c r="V271">
        <f>SUMIF('Как будет'!$A$63:$A$70,Доп.расчеты!$A271,'Как будет'!W$63:W$70)</f>
        <v>0</v>
      </c>
      <c r="W271">
        <f>SUMIF('Как будет'!$A$63:$A$70,Доп.расчеты!$A271,'Как будет'!X$63:X$70)</f>
        <v>0</v>
      </c>
      <c r="X271">
        <f>SUMIF('Как будет'!$A$63:$A$70,Доп.расчеты!$A271,'Как будет'!Y$63:Y$70)</f>
        <v>0</v>
      </c>
      <c r="Y271">
        <f>SUMIF('Как будет'!$A$63:$A$70,Доп.расчеты!$A271,'Как будет'!Z$63:Z$70)</f>
        <v>0</v>
      </c>
      <c r="Z271">
        <f>SUMIF('Как будет'!$A$63:$A$70,Доп.расчеты!$A271,'Как будет'!AA$63:AA$70)</f>
        <v>0</v>
      </c>
      <c r="AA271">
        <f>SUMIF('Как будет'!$A$63:$A$70,Доп.расчеты!$A271,'Как будет'!AB$63:AB$70)</f>
        <v>0</v>
      </c>
      <c r="AB271">
        <f>SUMIF('Как будет'!$A$63:$A$70,Доп.расчеты!$A271,'Как будет'!AC$63:AC$70)</f>
        <v>0</v>
      </c>
      <c r="AC271">
        <f>SUMIF('Как будет'!$A$63:$A$70,Доп.расчеты!$A271,'Как будет'!AD$63:AD$70)</f>
        <v>0</v>
      </c>
      <c r="AD271">
        <f>SUMIF('Как будет'!$A$63:$A$70,Доп.расчеты!$A271,'Как будет'!AE$63:AE$70)</f>
        <v>0</v>
      </c>
      <c r="AE271">
        <f>SUMIF('Как будет'!$A$63:$A$70,Доп.расчеты!$A271,'Как будет'!AF$63:AF$70)</f>
        <v>0</v>
      </c>
      <c r="AF271">
        <f>SUMIF('Как будет'!$A$63:$A$70,Доп.расчеты!$A271,'Как будет'!AG$63:AG$70)</f>
        <v>0</v>
      </c>
      <c r="AG271">
        <f>SUMIF('Как будет'!$A$63:$A$70,Доп.расчеты!$A271,'Как будет'!AH$63:AH$70)</f>
        <v>0</v>
      </c>
      <c r="AH271">
        <f>SUMIF('Как будет'!$A$63:$A$70,Доп.расчеты!$A271,'Как будет'!AI$63:AI$70)</f>
        <v>0</v>
      </c>
      <c r="AI271">
        <f>SUMIF('Как будет'!$A$63:$A$70,Доп.расчеты!$A271,'Как будет'!AJ$63:AJ$70)</f>
        <v>0</v>
      </c>
      <c r="AJ271">
        <f>SUMIF('Как будет'!$A$63:$A$70,Доп.расчеты!$A271,'Как будет'!AK$63:AK$70)</f>
        <v>0</v>
      </c>
      <c r="AK271">
        <f>SUMIF('Как будет'!$A$63:$A$70,Доп.расчеты!$A271,'Как будет'!AL$63:AL$70)</f>
        <v>0</v>
      </c>
      <c r="AL271">
        <f>SUMIF('Как будет'!$A$63:$A$70,Доп.расчеты!$A271,'Как будет'!AM$63:AM$70)</f>
        <v>0</v>
      </c>
      <c r="AM271">
        <f>SUMIF('Как будет'!$A$63:$A$70,Доп.расчеты!$A271,'Как будет'!AN$63:AN$70)</f>
        <v>0</v>
      </c>
      <c r="AN271">
        <f>SUMIF('Как будет'!$A$63:$A$70,Доп.расчеты!$A271,'Как будет'!AO$63:AO$70)</f>
        <v>0</v>
      </c>
      <c r="AO271">
        <f>SUMIF('Как будет'!$A$63:$A$70,Доп.расчеты!$A271,'Как будет'!AP$63:AP$70)</f>
        <v>0</v>
      </c>
      <c r="AP271">
        <f>SUMIF('Как будет'!$A$63:$A$70,Доп.расчеты!$A271,'Как будет'!AQ$63:AQ$70)</f>
        <v>0</v>
      </c>
      <c r="AQ271">
        <f>SUMIF('Как будет'!$A$63:$A$70,Доп.расчеты!$A271,'Как будет'!AR$63:AR$70)</f>
        <v>0</v>
      </c>
      <c r="AR271">
        <f>SUMIF('Как будет'!$A$63:$A$70,Доп.расчеты!$A271,'Как будет'!AS$63:AS$70)</f>
        <v>0</v>
      </c>
      <c r="AS271">
        <f>SUMIF('Как будет'!$A$63:$A$70,Доп.расчеты!$A271,'Как будет'!AT$63:AT$70)</f>
        <v>0</v>
      </c>
      <c r="AT271">
        <f>SUMIF('Как будет'!$A$63:$A$70,Доп.расчеты!$A271,'Как будет'!AU$63:AU$70)</f>
        <v>0</v>
      </c>
      <c r="AU271">
        <f>SUMIF('Как будет'!$A$63:$A$70,Доп.расчеты!$A271,'Как будет'!AV$63:AV$70)</f>
        <v>0</v>
      </c>
      <c r="AV271">
        <f>SUMIF('Как будет'!$A$63:$A$70,Доп.расчеты!$A271,'Как будет'!AW$63:AW$70)</f>
        <v>0</v>
      </c>
      <c r="AW271">
        <f>SUMIF('Как будет'!$A$63:$A$70,Доп.расчеты!$A271,'Как будет'!AX$63:AX$70)</f>
        <v>0</v>
      </c>
      <c r="AX271">
        <f>SUMIF('Как будет'!$A$63:$A$70,Доп.расчеты!$A271,'Как будет'!AY$63:AY$70)</f>
        <v>0</v>
      </c>
      <c r="AY271">
        <f>SUMIF('Как будет'!$A$63:$A$70,Доп.расчеты!$A271,'Как будет'!AZ$63:AZ$70)</f>
        <v>0</v>
      </c>
      <c r="AZ271">
        <f>SUMIF('Как будет'!$A$63:$A$70,Доп.расчеты!$A271,'Как будет'!BA$63:BA$70)</f>
        <v>0</v>
      </c>
      <c r="BA271">
        <f>SUMIF('Как будет'!$A$63:$A$70,Доп.расчеты!$A271,'Как будет'!BB$63:BB$70)</f>
        <v>0</v>
      </c>
      <c r="BB271">
        <f>SUMIF('Как будет'!$A$63:$A$70,Доп.расчеты!$A271,'Как будет'!BC$63:BC$70)</f>
        <v>0</v>
      </c>
      <c r="BC271">
        <f>SUMIF('Как будет'!$A$63:$A$70,Доп.расчеты!$A271,'Как будет'!BD$63:BD$70)</f>
        <v>0</v>
      </c>
      <c r="BD271">
        <f>SUMIF('Как будет'!$A$63:$A$70,Доп.расчеты!$A271,'Как будет'!BE$63:BE$70)</f>
        <v>0</v>
      </c>
      <c r="BE271">
        <f>SUMIF('Как будет'!$A$63:$A$70,Доп.расчеты!$A271,'Как будет'!BF$63:BF$70)</f>
        <v>0</v>
      </c>
      <c r="BF271">
        <f>SUMIF('Как будет'!$A$63:$A$70,Доп.расчеты!$A271,'Как будет'!BG$63:BG$70)</f>
        <v>0</v>
      </c>
      <c r="BG271">
        <f>SUMIF('Как будет'!$A$63:$A$70,Доп.расчеты!$A271,'Как будет'!BH$63:BH$70)</f>
        <v>0</v>
      </c>
      <c r="BH271">
        <f>SUMIF('Как будет'!$A$63:$A$70,Доп.расчеты!$A271,'Как будет'!BI$63:BI$70)</f>
        <v>0</v>
      </c>
      <c r="BI271">
        <f>SUMIF('Как будет'!$A$63:$A$70,Доп.расчеты!$A271,'Как будет'!BJ$63:BJ$70)</f>
        <v>0</v>
      </c>
      <c r="BJ271">
        <f>SUMIF('Как будет'!$A$63:$A$70,Доп.расчеты!$A271,'Как будет'!BK$63:BK$70)</f>
        <v>0</v>
      </c>
      <c r="BK271">
        <f>SUMIF('Как будет'!$A$63:$A$70,Доп.расчеты!$A271,'Как будет'!BL$63:BL$70)</f>
        <v>0</v>
      </c>
      <c r="BL271">
        <f>SUMIF('Как будет'!$A$63:$A$70,Доп.расчеты!$A271,'Как будет'!BM$63:BM$70)</f>
        <v>0</v>
      </c>
      <c r="BM271">
        <f>SUMIF('Как будет'!$A$63:$A$70,Доп.расчеты!$A271,'Как будет'!BN$63:BN$70)</f>
        <v>0</v>
      </c>
      <c r="BN271">
        <f>SUMIF('Как будет'!$A$63:$A$70,Доп.расчеты!$A271,'Как будет'!BO$63:BO$70)</f>
        <v>0</v>
      </c>
      <c r="BO271">
        <f>SUMIF('Как будет'!$A$63:$A$70,Доп.расчеты!$A271,'Как будет'!BP$63:BP$70)</f>
        <v>0</v>
      </c>
      <c r="BP271">
        <f>SUMIF('Как будет'!$A$63:$A$70,Доп.расчеты!$A271,'Как будет'!BQ$63:BQ$70)</f>
        <v>0</v>
      </c>
      <c r="BQ271">
        <f>SUMIF('Как будет'!$A$63:$A$70,Доп.расчеты!$A271,'Как будет'!BR$63:BR$70)</f>
        <v>0</v>
      </c>
      <c r="BR271">
        <f>SUMIF('Как будет'!$A$63:$A$70,Доп.расчеты!$A271,'Как будет'!BS$63:BS$70)</f>
        <v>0</v>
      </c>
      <c r="BS271">
        <f>SUMIF('Как будет'!$A$63:$A$70,Доп.расчеты!$A271,'Как будет'!BT$63:BT$70)</f>
        <v>0</v>
      </c>
      <c r="BT271">
        <f>SUMIF('Как будет'!$A$63:$A$70,Доп.расчеты!$A271,'Как будет'!BU$63:BU$70)</f>
        <v>0</v>
      </c>
      <c r="BU271">
        <f>SUMIF('Как будет'!$A$63:$A$70,Доп.расчеты!$A271,'Как будет'!BV$63:BV$70)</f>
        <v>0</v>
      </c>
      <c r="BV271">
        <f>SUMIF('Как будет'!$A$63:$A$70,Доп.расчеты!$A271,'Как будет'!BW$63:BW$70)</f>
        <v>0</v>
      </c>
      <c r="BW271">
        <f>SUMIF('Как будет'!$A$63:$A$70,Доп.расчеты!$A271,'Как будет'!BX$63:BX$70)</f>
        <v>0</v>
      </c>
      <c r="BX271">
        <f>SUMIF('Как будет'!$A$63:$A$70,Доп.расчеты!$A271,'Как будет'!BY$63:BY$70)</f>
        <v>0</v>
      </c>
      <c r="BY271">
        <f>SUMIF('Как будет'!$A$63:$A$70,Доп.расчеты!$A271,'Как будет'!BZ$63:BZ$70)</f>
        <v>0</v>
      </c>
      <c r="BZ271">
        <f>SUMIF('Как будет'!$A$63:$A$70,Доп.расчеты!$A271,'Как будет'!CA$63:CA$70)</f>
        <v>0</v>
      </c>
      <c r="CA271">
        <f>SUMIF('Как будет'!$A$63:$A$70,Доп.расчеты!$A271,'Как будет'!CB$63:CB$70)</f>
        <v>0</v>
      </c>
      <c r="CB271">
        <f>SUMIF('Как будет'!$A$63:$A$70,Доп.расчеты!$A271,'Как будет'!CC$63:CC$70)</f>
        <v>0</v>
      </c>
      <c r="CC271">
        <f>SUMIF('Как будет'!$A$63:$A$70,Доп.расчеты!$A271,'Как будет'!CD$63:CD$70)</f>
        <v>0</v>
      </c>
      <c r="CD271">
        <f>SUMIF('Как будет'!$A$63:$A$70,Доп.расчеты!$A271,'Как будет'!CE$63:CE$70)</f>
        <v>0</v>
      </c>
      <c r="CE271">
        <f>SUMIF('Как будет'!$A$63:$A$70,Доп.расчеты!$A271,'Как будет'!CF$63:CF$70)</f>
        <v>0</v>
      </c>
      <c r="CF271">
        <f>SUMIF('Как будет'!$A$63:$A$70,Доп.расчеты!$A271,'Как будет'!CG$63:CG$70)</f>
        <v>0</v>
      </c>
      <c r="CG271">
        <f>SUMIF('Как будет'!$A$63:$A$70,Доп.расчеты!$A271,'Как будет'!CH$63:CH$70)</f>
        <v>0</v>
      </c>
      <c r="CH271">
        <f>SUMIF('Как будет'!$A$63:$A$70,Доп.расчеты!$A271,'Как будет'!CI$63:CI$70)</f>
        <v>0</v>
      </c>
      <c r="CI271">
        <f>SUMIF('Как будет'!$A$63:$A$70,Доп.расчеты!$A271,'Как будет'!CJ$63:CJ$70)</f>
        <v>0</v>
      </c>
      <c r="CJ271">
        <f>SUMIF('Как будет'!$A$63:$A$70,Доп.расчеты!$A271,'Как будет'!CK$63:CK$70)</f>
        <v>0</v>
      </c>
      <c r="CK271">
        <f>SUMIF('Как будет'!$A$63:$A$70,Доп.расчеты!$A271,'Как будет'!CL$63:CL$70)</f>
        <v>0</v>
      </c>
      <c r="CL271">
        <f>SUMIF('Как будет'!$A$63:$A$70,Доп.расчеты!$A271,'Как будет'!CM$63:CM$70)</f>
        <v>0</v>
      </c>
      <c r="CM271">
        <f>SUMIF('Как будет'!$A$63:$A$70,Доп.расчеты!$A271,'Как будет'!CN$63:CN$70)</f>
        <v>0</v>
      </c>
      <c r="CN271">
        <f>SUMIF('Как будет'!$A$63:$A$70,Доп.расчеты!$A271,'Как будет'!CO$63:CO$70)</f>
        <v>0</v>
      </c>
      <c r="CO271">
        <f>SUMIF('Как будет'!$A$63:$A$70,Доп.расчеты!$A271,'Как будет'!CP$63:CP$70)</f>
        <v>0</v>
      </c>
      <c r="CP271">
        <f>SUMIF('Как будет'!$A$63:$A$70,Доп.расчеты!$A271,'Как будет'!CQ$63:CQ$70)</f>
        <v>0</v>
      </c>
      <c r="CQ271">
        <f>SUMIF('Как будет'!$A$63:$A$70,Доп.расчеты!$A271,'Как будет'!CR$63:CR$70)</f>
        <v>0</v>
      </c>
      <c r="CR271">
        <f>SUMIF('Как будет'!$A$63:$A$70,Доп.расчеты!$A271,'Как будет'!CS$63:CS$70)</f>
        <v>0</v>
      </c>
      <c r="CS271">
        <f>SUMIF('Как будет'!$A$63:$A$70,Доп.расчеты!$A271,'Как будет'!CT$63:CT$70)</f>
        <v>0</v>
      </c>
      <c r="CT271">
        <f>SUMIF('Как будет'!$A$63:$A$70,Доп.расчеты!$A271,'Как будет'!CU$63:CU$70)</f>
        <v>0</v>
      </c>
      <c r="CU271">
        <f>SUMIF('Как будет'!$A$63:$A$70,Доп.расчеты!$A271,'Как будет'!CV$63:CV$70)</f>
        <v>0</v>
      </c>
      <c r="CV271">
        <f>SUMIF('Как будет'!$A$63:$A$70,Доп.расчеты!$A271,'Как будет'!CW$63:CW$70)</f>
        <v>0</v>
      </c>
      <c r="CW271">
        <f>SUMIF('Как будет'!$A$63:$A$70,Доп.расчеты!$A271,'Как будет'!CX$63:CX$70)</f>
        <v>0</v>
      </c>
      <c r="CX271">
        <f>SUMIF('Как будет'!$A$63:$A$70,Доп.расчеты!$A271,'Как будет'!CY$63:CY$70)</f>
        <v>0</v>
      </c>
      <c r="CY271">
        <f>SUMIF('Как будет'!$A$63:$A$70,Доп.расчеты!$A271,'Как будет'!CZ$63:CZ$70)</f>
        <v>0</v>
      </c>
      <c r="CZ271">
        <f>SUMIF('Как будет'!$A$63:$A$70,Доп.расчеты!$A271,'Как будет'!DA$63:DA$70)</f>
        <v>0</v>
      </c>
      <c r="DA271">
        <f>SUMIF('Как будет'!$A$63:$A$70,Доп.расчеты!$A271,'Как будет'!DB$63:DB$70)</f>
        <v>0</v>
      </c>
      <c r="DB271">
        <f>SUMIF('Как будет'!$A$63:$A$70,Доп.расчеты!$A271,'Как будет'!DC$63:DC$70)</f>
        <v>0</v>
      </c>
      <c r="DC271">
        <f>SUMIF('Как будет'!$A$63:$A$70,Доп.расчеты!$A271,'Как будет'!DD$63:DD$70)</f>
        <v>0</v>
      </c>
      <c r="DD271">
        <f>SUMIF('Как будет'!$A$63:$A$70,Доп.расчеты!$A271,'Как будет'!DE$63:DE$70)</f>
        <v>0</v>
      </c>
      <c r="DE271">
        <f>SUMIF('Как будет'!$A$63:$A$70,Доп.расчеты!$A271,'Как будет'!DF$63:DF$70)</f>
        <v>0</v>
      </c>
      <c r="DF271">
        <f>SUMIF('Как будет'!$A$63:$A$70,Доп.расчеты!$A271,'Как будет'!DG$63:DG$70)</f>
        <v>0</v>
      </c>
      <c r="DG271">
        <f>SUMIF('Как будет'!$A$63:$A$70,Доп.расчеты!$A271,'Как будет'!DH$63:DH$70)</f>
        <v>0</v>
      </c>
      <c r="DH271">
        <f>SUMIF('Как будет'!$A$63:$A$70,Доп.расчеты!$A271,'Как будет'!DI$63:DI$70)</f>
        <v>0</v>
      </c>
      <c r="DI271">
        <f>SUMIF('Как будет'!$A$63:$A$70,Доп.расчеты!$A271,'Как будет'!DJ$63:DJ$70)</f>
        <v>0</v>
      </c>
      <c r="DJ271">
        <f>SUMIF('Как будет'!$A$63:$A$70,Доп.расчеты!$A271,'Как будет'!DK$63:DK$70)</f>
        <v>0</v>
      </c>
      <c r="DK271">
        <f>SUMIF('Как будет'!$A$63:$A$70,Доп.расчеты!$A271,'Как будет'!DL$63:DL$70)</f>
        <v>0</v>
      </c>
      <c r="DL271">
        <f>SUMIF('Как будет'!$A$63:$A$70,Доп.расчеты!$A271,'Как будет'!DM$63:DM$70)</f>
        <v>0</v>
      </c>
      <c r="DM271">
        <f>SUMIF('Как будет'!$A$63:$A$70,Доп.расчеты!$A271,'Как будет'!DN$63:DN$70)</f>
        <v>0</v>
      </c>
      <c r="DN271">
        <f>SUMIF('Как будет'!$A$63:$A$70,Доп.расчеты!$A271,'Как будет'!DO$63:DO$70)</f>
        <v>0</v>
      </c>
      <c r="DO271">
        <f>SUMIF('Как будет'!$A$63:$A$70,Доп.расчеты!$A271,'Как будет'!DP$63:DP$70)</f>
        <v>0</v>
      </c>
      <c r="DP271">
        <f>SUMIF('Как будет'!$A$63:$A$70,Доп.расчеты!$A271,'Как будет'!DQ$63:DQ$70)</f>
        <v>0</v>
      </c>
      <c r="DQ271">
        <f>SUMIF('Как будет'!$A$63:$A$70,Доп.расчеты!$A271,'Как будет'!DR$63:DR$70)</f>
        <v>0</v>
      </c>
      <c r="DR271">
        <f>SUMIF('Как будет'!$A$63:$A$70,Доп.расчеты!$A271,'Как будет'!DS$63:DS$70)</f>
        <v>0</v>
      </c>
      <c r="DS271">
        <f>SUMIF('Как будет'!$A$63:$A$70,Доп.расчеты!$A271,'Как будет'!DT$63:DT$70)</f>
        <v>0</v>
      </c>
      <c r="DT271">
        <f>SUMIF('Как будет'!$A$63:$A$70,Доп.расчеты!$A271,'Как будет'!DU$63:DU$70)</f>
        <v>0</v>
      </c>
      <c r="DU271">
        <f>SUMIF('Как будет'!$A$63:$A$70,Доп.расчеты!$A271,'Как будет'!DV$63:DV$70)</f>
        <v>0</v>
      </c>
      <c r="DV271">
        <f>SUMIF('Как будет'!$A$63:$A$70,Доп.расчеты!$A271,'Как будет'!DW$63:DW$70)</f>
        <v>0</v>
      </c>
      <c r="DW271">
        <f>SUMIF('Как будет'!$A$63:$A$70,Доп.расчеты!$A271,'Как будет'!DX$63:DX$70)</f>
        <v>0</v>
      </c>
      <c r="DX271">
        <f>SUMIF('Как будет'!$A$63:$A$70,Доп.расчеты!$A271,'Как будет'!DY$63:DY$70)</f>
        <v>0</v>
      </c>
      <c r="DY271">
        <f>SUMIF('Как будет'!$A$63:$A$70,Доп.расчеты!$A271,'Как будет'!DZ$63:DZ$70)</f>
        <v>0</v>
      </c>
      <c r="DZ271">
        <f>SUMIF('Как будет'!$A$63:$A$70,Доп.расчеты!$A271,'Как будет'!EA$63:EA$70)</f>
        <v>0</v>
      </c>
      <c r="EA271">
        <f>SUMIF('Как будет'!$A$63:$A$70,Доп.расчеты!$A271,'Как будет'!EB$63:EB$70)</f>
        <v>0</v>
      </c>
      <c r="EB271">
        <f>SUMIF('Как будет'!$A$63:$A$70,Доп.расчеты!$A271,'Как будет'!EC$63:EC$70)</f>
        <v>0</v>
      </c>
      <c r="EC271">
        <f>SUMIF('Как будет'!$A$63:$A$70,Доп.расчеты!$A271,'Как будет'!ED$63:ED$70)</f>
        <v>0</v>
      </c>
      <c r="ED271">
        <f>SUMIF('Как будет'!$A$63:$A$70,Доп.расчеты!$A271,'Как будет'!EE$63:EE$70)</f>
        <v>0</v>
      </c>
      <c r="EE271">
        <f>SUMIF('Как будет'!$A$63:$A$70,Доп.расчеты!$A271,'Как будет'!EF$63:EF$70)</f>
        <v>0</v>
      </c>
      <c r="EF271">
        <f>SUMIF('Как будет'!$A$63:$A$70,Доп.расчеты!$A271,'Как будет'!EG$63:EG$70)</f>
        <v>0</v>
      </c>
      <c r="EG271">
        <f>SUMIF('Как будет'!$A$63:$A$70,Доп.расчеты!$A271,'Как будет'!EH$63:EH$70)</f>
        <v>0</v>
      </c>
      <c r="EH271">
        <f>SUMIF('Как будет'!$A$63:$A$70,Доп.расчеты!$A271,'Как будет'!EI$63:EI$70)</f>
        <v>0</v>
      </c>
      <c r="EI271">
        <f>SUMIF('Как будет'!$A$63:$A$70,Доп.расчеты!$A271,'Как будет'!EJ$63:EJ$70)</f>
        <v>0</v>
      </c>
      <c r="EJ271">
        <f>SUMIF('Как будет'!$A$63:$A$70,Доп.расчеты!$A271,'Как будет'!EK$63:EK$70)</f>
        <v>0</v>
      </c>
      <c r="EK271">
        <f>SUMIF('Как будет'!$A$63:$A$70,Доп.расчеты!$A271,'Как будет'!EL$63:EL$70)</f>
        <v>0</v>
      </c>
      <c r="EL271">
        <f>SUMIF('Как будет'!$A$63:$A$70,Доп.расчеты!$A271,'Как будет'!EM$63:EM$70)</f>
        <v>0</v>
      </c>
      <c r="EM271">
        <f>SUMIF('Как будет'!$A$63:$A$70,Доп.расчеты!$A271,'Как будет'!EN$63:EN$70)</f>
        <v>0</v>
      </c>
      <c r="EN271">
        <f>SUMIF('Как будет'!$A$63:$A$70,Доп.расчеты!$A271,'Как будет'!EO$63:EO$70)</f>
        <v>0</v>
      </c>
      <c r="EO271">
        <f>SUMIF('Как будет'!$A$63:$A$70,Доп.расчеты!$A271,'Как будет'!EP$63:EP$70)</f>
        <v>0</v>
      </c>
      <c r="EP271">
        <f>SUMIF('Как будет'!$A$63:$A$70,Доп.расчеты!$A271,'Как будет'!EQ$63:EQ$70)</f>
        <v>0</v>
      </c>
      <c r="EQ271">
        <f>SUMIF('Как будет'!$A$63:$A$70,Доп.расчеты!$A271,'Как будет'!ER$63:ER$70)</f>
        <v>0</v>
      </c>
      <c r="ER271">
        <f>SUMIF('Как будет'!$A$63:$A$70,Доп.расчеты!$A271,'Как будет'!ES$63:ES$70)</f>
        <v>0</v>
      </c>
      <c r="ES271">
        <f>SUMIF('Как будет'!$A$63:$A$70,Доп.расчеты!$A271,'Как будет'!ET$63:ET$70)</f>
        <v>0</v>
      </c>
      <c r="ET271">
        <f>SUMIF('Как будет'!$A$63:$A$70,Доп.расчеты!$A271,'Как будет'!EU$63:EU$70)</f>
        <v>0</v>
      </c>
      <c r="EU271">
        <f>SUMIF('Как будет'!$A$63:$A$70,Доп.расчеты!$A271,'Как будет'!EV$63:EV$70)</f>
        <v>0</v>
      </c>
      <c r="EV271">
        <f>SUMIF('Как будет'!$A$63:$A$70,Доп.расчеты!$A271,'Как будет'!EW$63:EW$70)</f>
        <v>0</v>
      </c>
      <c r="EW271">
        <f>SUMIF('Как будет'!$A$63:$A$70,Доп.расчеты!$A271,'Как будет'!EX$63:EX$70)</f>
        <v>0</v>
      </c>
      <c r="EX271">
        <f>SUMIF('Как будет'!$A$63:$A$70,Доп.расчеты!$A271,'Как будет'!EY$63:EY$70)</f>
        <v>0</v>
      </c>
      <c r="EY271">
        <f>SUMIF('Как будет'!$A$63:$A$70,Доп.расчеты!$A271,'Как будет'!EZ$63:EZ$70)</f>
        <v>0</v>
      </c>
      <c r="EZ271">
        <f>SUMIF('Как будет'!$A$63:$A$70,Доп.расчеты!$A271,'Как будет'!FA$63:FA$70)</f>
        <v>0</v>
      </c>
      <c r="FA271">
        <f>SUMIF('Как будет'!$A$63:$A$70,Доп.расчеты!$A271,'Как будет'!FB$63:FB$70)</f>
        <v>0</v>
      </c>
      <c r="FB271">
        <f>SUMIF('Как будет'!$A$63:$A$70,Доп.расчеты!$A271,'Как будет'!FC$63:FC$70)</f>
        <v>0</v>
      </c>
      <c r="FC271">
        <f>SUMIF('Как будет'!$A$63:$A$70,Доп.расчеты!$A271,'Как будет'!FD$63:FD$70)</f>
        <v>0</v>
      </c>
      <c r="FD271">
        <f>SUMIF('Как будет'!$A$63:$A$70,Доп.расчеты!$A271,'Как будет'!FE$63:FE$70)</f>
        <v>0</v>
      </c>
      <c r="FE271">
        <f>SUMIF('Как будет'!$A$63:$A$70,Доп.расчеты!$A271,'Как будет'!FF$63:FF$70)</f>
        <v>0</v>
      </c>
      <c r="FF271">
        <f>SUMIF('Как будет'!$A$63:$A$70,Доп.расчеты!$A271,'Как будет'!FG$63:FG$70)</f>
        <v>0</v>
      </c>
      <c r="FG271">
        <f>SUMIF('Как будет'!$A$63:$A$70,Доп.расчеты!$A271,'Как будет'!FH$63:FH$70)</f>
        <v>0</v>
      </c>
      <c r="FH271">
        <f>SUMIF('Как будет'!$A$63:$A$70,Доп.расчеты!$A271,'Как будет'!FI$63:FI$70)</f>
        <v>0</v>
      </c>
      <c r="FI271">
        <f>SUMIF('Как будет'!$A$63:$A$70,Доп.расчеты!$A271,'Как будет'!FJ$63:FJ$70)</f>
        <v>0</v>
      </c>
      <c r="FJ271">
        <f>SUMIF('Как будет'!$A$63:$A$70,Доп.расчеты!$A271,'Как будет'!FK$63:FK$70)</f>
        <v>0</v>
      </c>
      <c r="FK271">
        <f>SUMIF('Как будет'!$A$63:$A$70,Доп.расчеты!$A271,'Как будет'!FL$63:FL$70)</f>
        <v>0</v>
      </c>
      <c r="FL271">
        <f>SUMIF('Как будет'!$A$63:$A$70,Доп.расчеты!$A271,'Как будет'!FM$63:FM$70)</f>
        <v>0</v>
      </c>
      <c r="FM271">
        <f>SUMIF('Как будет'!$A$63:$A$70,Доп.расчеты!$A271,'Как будет'!FN$63:FN$70)</f>
        <v>0</v>
      </c>
      <c r="FN271">
        <f>SUMIF('Как будет'!$A$63:$A$70,Доп.расчеты!$A271,'Как будет'!FO$63:FO$70)</f>
        <v>0</v>
      </c>
      <c r="FO271">
        <f>SUMIF('Как будет'!$A$63:$A$70,Доп.расчеты!$A271,'Как будет'!FP$63:FP$70)</f>
        <v>0</v>
      </c>
      <c r="FP271">
        <f>SUMIF('Как будет'!$A$63:$A$70,Доп.расчеты!$A271,'Как будет'!FQ$63:FQ$70)</f>
        <v>0</v>
      </c>
      <c r="FQ271">
        <f>SUMIF('Как будет'!$A$63:$A$70,Доп.расчеты!$A271,'Как будет'!FR$63:FR$70)</f>
        <v>0</v>
      </c>
      <c r="FR271">
        <f>SUMIF('Как будет'!$A$63:$A$70,Доп.расчеты!$A271,'Как будет'!FS$63:FS$70)</f>
        <v>0</v>
      </c>
      <c r="FS271">
        <f>SUMIF('Как будет'!$A$63:$A$70,Доп.расчеты!$A271,'Как будет'!FT$63:FT$70)</f>
        <v>0</v>
      </c>
      <c r="FT271">
        <f>SUMIF('Как будет'!$A$63:$A$70,Доп.расчеты!$A271,'Как будет'!FU$63:FU$70)</f>
        <v>0</v>
      </c>
      <c r="FU271">
        <f>SUMIF('Как будет'!$A$63:$A$70,Доп.расчеты!$A271,'Как будет'!FV$63:FV$70)</f>
        <v>0</v>
      </c>
      <c r="FV271">
        <f>SUMIF('Как будет'!$A$63:$A$70,Доп.расчеты!$A271,'Как будет'!FW$63:FW$70)</f>
        <v>0</v>
      </c>
      <c r="FW271">
        <f>SUMIF('Как будет'!$A$63:$A$70,Доп.расчеты!$A271,'Как будет'!FX$63:FX$70)</f>
        <v>0</v>
      </c>
      <c r="FX271">
        <f>SUMIF('Как будет'!$A$63:$A$70,Доп.расчеты!$A271,'Как будет'!FY$63:FY$70)</f>
        <v>0</v>
      </c>
      <c r="FY271">
        <f>SUMIF('Как будет'!$A$63:$A$70,Доп.расчеты!$A271,'Как будет'!FZ$63:FZ$70)</f>
        <v>0</v>
      </c>
      <c r="FZ271">
        <f>SUMIF('Как будет'!$A$63:$A$70,Доп.расчеты!$A271,'Как будет'!GA$63:GA$70)</f>
        <v>0</v>
      </c>
      <c r="GA271">
        <f>SUMIF('Как будет'!$A$63:$A$70,Доп.расчеты!$A271,'Как будет'!GB$63:GB$70)</f>
        <v>0</v>
      </c>
      <c r="GB271">
        <f>SUMIF('Как будет'!$A$63:$A$70,Доп.расчеты!$A271,'Как будет'!GC$63:GC$70)</f>
        <v>0</v>
      </c>
      <c r="GC271">
        <f>SUMIF('Как будет'!$A$63:$A$70,Доп.расчеты!$A271,'Как будет'!GD$63:GD$70)</f>
        <v>0</v>
      </c>
      <c r="GD271">
        <f>SUMIF('Как будет'!$A$63:$A$70,Доп.расчеты!$A271,'Как будет'!GE$63:GE$70)</f>
        <v>0</v>
      </c>
      <c r="GE271">
        <f>SUMIF('Как будет'!$A$63:$A$70,Доп.расчеты!$A271,'Как будет'!GF$63:GF$70)</f>
        <v>0</v>
      </c>
      <c r="GF271">
        <f>SUMIF('Как будет'!$A$63:$A$70,Доп.расчеты!$A271,'Как будет'!GG$63:GG$70)</f>
        <v>0</v>
      </c>
      <c r="GG271">
        <f>SUMIF('Как будет'!$A$63:$A$70,Доп.расчеты!$A271,'Как будет'!GH$63:GH$70)</f>
        <v>0</v>
      </c>
      <c r="GH271">
        <f>SUMIF('Как будет'!$A$63:$A$70,Доп.расчеты!$A271,'Как будет'!GI$63:GI$70)</f>
        <v>0</v>
      </c>
      <c r="GI271">
        <f>SUMIF('Как будет'!$A$63:$A$70,Доп.расчеты!$A271,'Как будет'!GJ$63:GJ$70)</f>
        <v>0</v>
      </c>
      <c r="GJ271">
        <f>SUMIF('Как будет'!$A$63:$A$70,Доп.расчеты!$A271,'Как будет'!GK$63:GK$70)</f>
        <v>0</v>
      </c>
      <c r="GK271">
        <f>SUMIF('Как будет'!$A$63:$A$70,Доп.расчеты!$A271,'Как будет'!GL$63:GL$70)</f>
        <v>0</v>
      </c>
      <c r="GL271">
        <f>SUMIF('Как будет'!$A$63:$A$70,Доп.расчеты!$A271,'Как будет'!GM$63:GM$70)</f>
        <v>0</v>
      </c>
      <c r="GM271">
        <f>SUMIF('Как будет'!$A$63:$A$70,Доп.расчеты!$A271,'Как будет'!GN$63:GN$70)</f>
        <v>0</v>
      </c>
      <c r="GN271">
        <f>SUMIF('Как будет'!$A$63:$A$70,Доп.расчеты!$A271,'Как будет'!GO$63:GO$70)</f>
        <v>0</v>
      </c>
      <c r="GO271">
        <f>SUMIF('Как будет'!$A$63:$A$70,Доп.расчеты!$A271,'Как будет'!GP$63:GP$70)</f>
        <v>0</v>
      </c>
      <c r="GP271">
        <f>SUMIF('Как будет'!$A$63:$A$70,Доп.расчеты!$A271,'Как будет'!GQ$63:GQ$70)</f>
        <v>0</v>
      </c>
      <c r="GQ271">
        <f>SUMIF('Как будет'!$A$63:$A$70,Доп.расчеты!$A271,'Как будет'!GR$63:GR$70)</f>
        <v>0</v>
      </c>
      <c r="GR271">
        <f>SUMIF('Как будет'!$A$63:$A$70,Доп.расчеты!$A271,'Как будет'!GS$63:GS$70)</f>
        <v>0</v>
      </c>
      <c r="GS271">
        <f>SUMIF('Как будет'!$A$63:$A$70,Доп.расчеты!$A271,'Как будет'!GT$63:GT$70)</f>
        <v>0</v>
      </c>
      <c r="GT271">
        <f>SUMIF('Как будет'!$A$63:$A$70,Доп.расчеты!$A271,'Как будет'!GU$63:GU$70)</f>
        <v>0</v>
      </c>
    </row>
    <row r="272" spans="1:202">
      <c r="A272" s="238" t="s">
        <v>115</v>
      </c>
      <c r="B272">
        <f>SUMIF('Как будет'!$A$63:$A$70,Доп.расчеты!$A272,'Как будет'!C$63:C$70)</f>
        <v>0</v>
      </c>
      <c r="C272">
        <f>SUMIF('Как будет'!$A$63:$A$70,Доп.расчеты!$A272,'Как будет'!D$63:D$70)</f>
        <v>0</v>
      </c>
      <c r="D272">
        <f>SUMIF('Как будет'!$A$63:$A$70,Доп.расчеты!$A272,'Как будет'!E$63:E$70)</f>
        <v>0</v>
      </c>
      <c r="E272">
        <f>SUMIF('Как будет'!$A$63:$A$70,Доп.расчеты!$A272,'Как будет'!F$63:F$70)</f>
        <v>0</v>
      </c>
      <c r="F272">
        <f>SUMIF('Как будет'!$A$63:$A$70,Доп.расчеты!$A272,'Как будет'!G$63:G$70)</f>
        <v>0</v>
      </c>
      <c r="G272">
        <f>SUMIF('Как будет'!$A$63:$A$70,Доп.расчеты!$A272,'Как будет'!H$63:H$70)</f>
        <v>0</v>
      </c>
      <c r="H272">
        <f>SUMIF('Как будет'!$A$63:$A$70,Доп.расчеты!$A272,'Как будет'!I$63:I$70)</f>
        <v>0</v>
      </c>
      <c r="I272">
        <f>SUMIF('Как будет'!$A$63:$A$70,Доп.расчеты!$A272,'Как будет'!J$63:J$70)</f>
        <v>0</v>
      </c>
      <c r="J272">
        <f>SUMIF('Как будет'!$A$63:$A$70,Доп.расчеты!$A272,'Как будет'!K$63:K$70)</f>
        <v>0</v>
      </c>
      <c r="K272">
        <f>SUMIF('Как будет'!$A$63:$A$70,Доп.расчеты!$A272,'Как будет'!L$63:L$70)</f>
        <v>0</v>
      </c>
      <c r="L272">
        <f>SUMIF('Как будет'!$A$63:$A$70,Доп.расчеты!$A272,'Как будет'!M$63:M$70)</f>
        <v>0</v>
      </c>
      <c r="M272">
        <f>SUMIF('Как будет'!$A$63:$A$70,Доп.расчеты!$A272,'Как будет'!N$63:N$70)</f>
        <v>0</v>
      </c>
      <c r="N272">
        <f>SUMIF('Как будет'!$A$63:$A$70,Доп.расчеты!$A272,'Как будет'!O$63:O$70)</f>
        <v>0</v>
      </c>
      <c r="O272">
        <f>SUMIF('Как будет'!$A$63:$A$70,Доп.расчеты!$A272,'Как будет'!P$63:P$70)</f>
        <v>0</v>
      </c>
      <c r="P272">
        <f>SUMIF('Как будет'!$A$63:$A$70,Доп.расчеты!$A272,'Как будет'!Q$63:Q$70)</f>
        <v>0</v>
      </c>
      <c r="Q272">
        <f>SUMIF('Как будет'!$A$63:$A$70,Доп.расчеты!$A272,'Как будет'!R$63:R$70)</f>
        <v>0</v>
      </c>
      <c r="R272">
        <f>SUMIF('Как будет'!$A$63:$A$70,Доп.расчеты!$A272,'Как будет'!S$63:S$70)</f>
        <v>0</v>
      </c>
      <c r="S272">
        <f>SUMIF('Как будет'!$A$63:$A$70,Доп.расчеты!$A272,'Как будет'!T$63:T$70)</f>
        <v>0</v>
      </c>
      <c r="T272">
        <f>SUMIF('Как будет'!$A$63:$A$70,Доп.расчеты!$A272,'Как будет'!U$63:U$70)</f>
        <v>0</v>
      </c>
      <c r="U272">
        <f>SUMIF('Как будет'!$A$63:$A$70,Доп.расчеты!$A272,'Как будет'!V$63:V$70)</f>
        <v>0</v>
      </c>
      <c r="V272">
        <f>SUMIF('Как будет'!$A$63:$A$70,Доп.расчеты!$A272,'Как будет'!W$63:W$70)</f>
        <v>0</v>
      </c>
      <c r="W272">
        <f>SUMIF('Как будет'!$A$63:$A$70,Доп.расчеты!$A272,'Как будет'!X$63:X$70)</f>
        <v>0</v>
      </c>
      <c r="X272">
        <f>SUMIF('Как будет'!$A$63:$A$70,Доп.расчеты!$A272,'Как будет'!Y$63:Y$70)</f>
        <v>0</v>
      </c>
      <c r="Y272">
        <f>SUMIF('Как будет'!$A$63:$A$70,Доп.расчеты!$A272,'Как будет'!Z$63:Z$70)</f>
        <v>0</v>
      </c>
      <c r="Z272">
        <f>SUMIF('Как будет'!$A$63:$A$70,Доп.расчеты!$A272,'Как будет'!AA$63:AA$70)</f>
        <v>0</v>
      </c>
      <c r="AA272">
        <f>SUMIF('Как будет'!$A$63:$A$70,Доп.расчеты!$A272,'Как будет'!AB$63:AB$70)</f>
        <v>0</v>
      </c>
      <c r="AB272">
        <f>SUMIF('Как будет'!$A$63:$A$70,Доп.расчеты!$A272,'Как будет'!AC$63:AC$70)</f>
        <v>0</v>
      </c>
      <c r="AC272">
        <f>SUMIF('Как будет'!$A$63:$A$70,Доп.расчеты!$A272,'Как будет'!AD$63:AD$70)</f>
        <v>0</v>
      </c>
      <c r="AD272">
        <f>SUMIF('Как будет'!$A$63:$A$70,Доп.расчеты!$A272,'Как будет'!AE$63:AE$70)</f>
        <v>0</v>
      </c>
      <c r="AE272">
        <f>SUMIF('Как будет'!$A$63:$A$70,Доп.расчеты!$A272,'Как будет'!AF$63:AF$70)</f>
        <v>0</v>
      </c>
      <c r="AF272">
        <f>SUMIF('Как будет'!$A$63:$A$70,Доп.расчеты!$A272,'Как будет'!AG$63:AG$70)</f>
        <v>0</v>
      </c>
      <c r="AG272">
        <f>SUMIF('Как будет'!$A$63:$A$70,Доп.расчеты!$A272,'Как будет'!AH$63:AH$70)</f>
        <v>0</v>
      </c>
      <c r="AH272">
        <f>SUMIF('Как будет'!$A$63:$A$70,Доп.расчеты!$A272,'Как будет'!AI$63:AI$70)</f>
        <v>0</v>
      </c>
      <c r="AI272">
        <f>SUMIF('Как будет'!$A$63:$A$70,Доп.расчеты!$A272,'Как будет'!AJ$63:AJ$70)</f>
        <v>0</v>
      </c>
      <c r="AJ272">
        <f>SUMIF('Как будет'!$A$63:$A$70,Доп.расчеты!$A272,'Как будет'!AK$63:AK$70)</f>
        <v>0</v>
      </c>
      <c r="AK272">
        <f>SUMIF('Как будет'!$A$63:$A$70,Доп.расчеты!$A272,'Как будет'!AL$63:AL$70)</f>
        <v>0</v>
      </c>
      <c r="AL272">
        <f>SUMIF('Как будет'!$A$63:$A$70,Доп.расчеты!$A272,'Как будет'!AM$63:AM$70)</f>
        <v>0</v>
      </c>
      <c r="AM272">
        <f>SUMIF('Как будет'!$A$63:$A$70,Доп.расчеты!$A272,'Как будет'!AN$63:AN$70)</f>
        <v>0</v>
      </c>
      <c r="AN272">
        <f>SUMIF('Как будет'!$A$63:$A$70,Доп.расчеты!$A272,'Как будет'!AO$63:AO$70)</f>
        <v>0</v>
      </c>
      <c r="AO272">
        <f>SUMIF('Как будет'!$A$63:$A$70,Доп.расчеты!$A272,'Как будет'!AP$63:AP$70)</f>
        <v>0</v>
      </c>
      <c r="AP272">
        <f>SUMIF('Как будет'!$A$63:$A$70,Доп.расчеты!$A272,'Как будет'!AQ$63:AQ$70)</f>
        <v>0</v>
      </c>
      <c r="AQ272">
        <f>SUMIF('Как будет'!$A$63:$A$70,Доп.расчеты!$A272,'Как будет'!AR$63:AR$70)</f>
        <v>0</v>
      </c>
      <c r="AR272">
        <f>SUMIF('Как будет'!$A$63:$A$70,Доп.расчеты!$A272,'Как будет'!AS$63:AS$70)</f>
        <v>0</v>
      </c>
      <c r="AS272">
        <f>SUMIF('Как будет'!$A$63:$A$70,Доп.расчеты!$A272,'Как будет'!AT$63:AT$70)</f>
        <v>0</v>
      </c>
      <c r="AT272">
        <f>SUMIF('Как будет'!$A$63:$A$70,Доп.расчеты!$A272,'Как будет'!AU$63:AU$70)</f>
        <v>0</v>
      </c>
      <c r="AU272">
        <f>SUMIF('Как будет'!$A$63:$A$70,Доп.расчеты!$A272,'Как будет'!AV$63:AV$70)</f>
        <v>0</v>
      </c>
      <c r="AV272">
        <f>SUMIF('Как будет'!$A$63:$A$70,Доп.расчеты!$A272,'Как будет'!AW$63:AW$70)</f>
        <v>0</v>
      </c>
      <c r="AW272">
        <f>SUMIF('Как будет'!$A$63:$A$70,Доп.расчеты!$A272,'Как будет'!AX$63:AX$70)</f>
        <v>0</v>
      </c>
      <c r="AX272">
        <f>SUMIF('Как будет'!$A$63:$A$70,Доп.расчеты!$A272,'Как будет'!AY$63:AY$70)</f>
        <v>0</v>
      </c>
      <c r="AY272">
        <f>SUMIF('Как будет'!$A$63:$A$70,Доп.расчеты!$A272,'Как будет'!AZ$63:AZ$70)</f>
        <v>0</v>
      </c>
      <c r="AZ272">
        <f>SUMIF('Как будет'!$A$63:$A$70,Доп.расчеты!$A272,'Как будет'!BA$63:BA$70)</f>
        <v>0</v>
      </c>
      <c r="BA272">
        <f>SUMIF('Как будет'!$A$63:$A$70,Доп.расчеты!$A272,'Как будет'!BB$63:BB$70)</f>
        <v>0</v>
      </c>
      <c r="BB272">
        <f>SUMIF('Как будет'!$A$63:$A$70,Доп.расчеты!$A272,'Как будет'!BC$63:BC$70)</f>
        <v>0</v>
      </c>
      <c r="BC272">
        <f>SUMIF('Как будет'!$A$63:$A$70,Доп.расчеты!$A272,'Как будет'!BD$63:BD$70)</f>
        <v>0</v>
      </c>
      <c r="BD272">
        <f>SUMIF('Как будет'!$A$63:$A$70,Доп.расчеты!$A272,'Как будет'!BE$63:BE$70)</f>
        <v>0</v>
      </c>
      <c r="BE272">
        <f>SUMIF('Как будет'!$A$63:$A$70,Доп.расчеты!$A272,'Как будет'!BF$63:BF$70)</f>
        <v>0</v>
      </c>
      <c r="BF272">
        <f>SUMIF('Как будет'!$A$63:$A$70,Доп.расчеты!$A272,'Как будет'!BG$63:BG$70)</f>
        <v>0</v>
      </c>
      <c r="BG272">
        <f>SUMIF('Как будет'!$A$63:$A$70,Доп.расчеты!$A272,'Как будет'!BH$63:BH$70)</f>
        <v>0</v>
      </c>
      <c r="BH272">
        <f>SUMIF('Как будет'!$A$63:$A$70,Доп.расчеты!$A272,'Как будет'!BI$63:BI$70)</f>
        <v>0</v>
      </c>
      <c r="BI272">
        <f>SUMIF('Как будет'!$A$63:$A$70,Доп.расчеты!$A272,'Как будет'!BJ$63:BJ$70)</f>
        <v>0</v>
      </c>
      <c r="BJ272">
        <f>SUMIF('Как будет'!$A$63:$A$70,Доп.расчеты!$A272,'Как будет'!BK$63:BK$70)</f>
        <v>0</v>
      </c>
      <c r="BK272">
        <f>SUMIF('Как будет'!$A$63:$A$70,Доп.расчеты!$A272,'Как будет'!BL$63:BL$70)</f>
        <v>0</v>
      </c>
      <c r="BL272">
        <f>SUMIF('Как будет'!$A$63:$A$70,Доп.расчеты!$A272,'Как будет'!BM$63:BM$70)</f>
        <v>0</v>
      </c>
      <c r="BM272">
        <f>SUMIF('Как будет'!$A$63:$A$70,Доп.расчеты!$A272,'Как будет'!BN$63:BN$70)</f>
        <v>0</v>
      </c>
      <c r="BN272">
        <f>SUMIF('Как будет'!$A$63:$A$70,Доп.расчеты!$A272,'Как будет'!BO$63:BO$70)</f>
        <v>0</v>
      </c>
      <c r="BO272">
        <f>SUMIF('Как будет'!$A$63:$A$70,Доп.расчеты!$A272,'Как будет'!BP$63:BP$70)</f>
        <v>0</v>
      </c>
      <c r="BP272">
        <f>SUMIF('Как будет'!$A$63:$A$70,Доп.расчеты!$A272,'Как будет'!BQ$63:BQ$70)</f>
        <v>0</v>
      </c>
      <c r="BQ272">
        <f>SUMIF('Как будет'!$A$63:$A$70,Доп.расчеты!$A272,'Как будет'!BR$63:BR$70)</f>
        <v>0</v>
      </c>
      <c r="BR272">
        <f>SUMIF('Как будет'!$A$63:$A$70,Доп.расчеты!$A272,'Как будет'!BS$63:BS$70)</f>
        <v>0</v>
      </c>
      <c r="BS272">
        <f>SUMIF('Как будет'!$A$63:$A$70,Доп.расчеты!$A272,'Как будет'!BT$63:BT$70)</f>
        <v>0</v>
      </c>
      <c r="BT272">
        <f>SUMIF('Как будет'!$A$63:$A$70,Доп.расчеты!$A272,'Как будет'!BU$63:BU$70)</f>
        <v>0</v>
      </c>
      <c r="BU272">
        <f>SUMIF('Как будет'!$A$63:$A$70,Доп.расчеты!$A272,'Как будет'!BV$63:BV$70)</f>
        <v>0</v>
      </c>
      <c r="BV272">
        <f>SUMIF('Как будет'!$A$63:$A$70,Доп.расчеты!$A272,'Как будет'!BW$63:BW$70)</f>
        <v>0</v>
      </c>
      <c r="BW272">
        <f>SUMIF('Как будет'!$A$63:$A$70,Доп.расчеты!$A272,'Как будет'!BX$63:BX$70)</f>
        <v>0</v>
      </c>
      <c r="BX272">
        <f>SUMIF('Как будет'!$A$63:$A$70,Доп.расчеты!$A272,'Как будет'!BY$63:BY$70)</f>
        <v>0</v>
      </c>
      <c r="BY272">
        <f>SUMIF('Как будет'!$A$63:$A$70,Доп.расчеты!$A272,'Как будет'!BZ$63:BZ$70)</f>
        <v>0</v>
      </c>
      <c r="BZ272">
        <f>SUMIF('Как будет'!$A$63:$A$70,Доп.расчеты!$A272,'Как будет'!CA$63:CA$70)</f>
        <v>0</v>
      </c>
      <c r="CA272">
        <f>SUMIF('Как будет'!$A$63:$A$70,Доп.расчеты!$A272,'Как будет'!CB$63:CB$70)</f>
        <v>0</v>
      </c>
      <c r="CB272">
        <f>SUMIF('Как будет'!$A$63:$A$70,Доп.расчеты!$A272,'Как будет'!CC$63:CC$70)</f>
        <v>0</v>
      </c>
      <c r="CC272">
        <f>SUMIF('Как будет'!$A$63:$A$70,Доп.расчеты!$A272,'Как будет'!CD$63:CD$70)</f>
        <v>0</v>
      </c>
      <c r="CD272">
        <f>SUMIF('Как будет'!$A$63:$A$70,Доп.расчеты!$A272,'Как будет'!CE$63:CE$70)</f>
        <v>0</v>
      </c>
      <c r="CE272">
        <f>SUMIF('Как будет'!$A$63:$A$70,Доп.расчеты!$A272,'Как будет'!CF$63:CF$70)</f>
        <v>0</v>
      </c>
      <c r="CF272">
        <f>SUMIF('Как будет'!$A$63:$A$70,Доп.расчеты!$A272,'Как будет'!CG$63:CG$70)</f>
        <v>0</v>
      </c>
      <c r="CG272">
        <f>SUMIF('Как будет'!$A$63:$A$70,Доп.расчеты!$A272,'Как будет'!CH$63:CH$70)</f>
        <v>0</v>
      </c>
      <c r="CH272">
        <f>SUMIF('Как будет'!$A$63:$A$70,Доп.расчеты!$A272,'Как будет'!CI$63:CI$70)</f>
        <v>0</v>
      </c>
      <c r="CI272">
        <f>SUMIF('Как будет'!$A$63:$A$70,Доп.расчеты!$A272,'Как будет'!CJ$63:CJ$70)</f>
        <v>0</v>
      </c>
      <c r="CJ272">
        <f>SUMIF('Как будет'!$A$63:$A$70,Доп.расчеты!$A272,'Как будет'!CK$63:CK$70)</f>
        <v>0</v>
      </c>
      <c r="CK272">
        <f>SUMIF('Как будет'!$A$63:$A$70,Доп.расчеты!$A272,'Как будет'!CL$63:CL$70)</f>
        <v>0</v>
      </c>
      <c r="CL272">
        <f>SUMIF('Как будет'!$A$63:$A$70,Доп.расчеты!$A272,'Как будет'!CM$63:CM$70)</f>
        <v>0</v>
      </c>
      <c r="CM272">
        <f>SUMIF('Как будет'!$A$63:$A$70,Доп.расчеты!$A272,'Как будет'!CN$63:CN$70)</f>
        <v>0</v>
      </c>
      <c r="CN272">
        <f>SUMIF('Как будет'!$A$63:$A$70,Доп.расчеты!$A272,'Как будет'!CO$63:CO$70)</f>
        <v>0</v>
      </c>
      <c r="CO272">
        <f>SUMIF('Как будет'!$A$63:$A$70,Доп.расчеты!$A272,'Как будет'!CP$63:CP$70)</f>
        <v>0</v>
      </c>
      <c r="CP272">
        <f>SUMIF('Как будет'!$A$63:$A$70,Доп.расчеты!$A272,'Как будет'!CQ$63:CQ$70)</f>
        <v>0</v>
      </c>
      <c r="CQ272">
        <f>SUMIF('Как будет'!$A$63:$A$70,Доп.расчеты!$A272,'Как будет'!CR$63:CR$70)</f>
        <v>0</v>
      </c>
      <c r="CR272">
        <f>SUMIF('Как будет'!$A$63:$A$70,Доп.расчеты!$A272,'Как будет'!CS$63:CS$70)</f>
        <v>0</v>
      </c>
      <c r="CS272">
        <f>SUMIF('Как будет'!$A$63:$A$70,Доп.расчеты!$A272,'Как будет'!CT$63:CT$70)</f>
        <v>0</v>
      </c>
      <c r="CT272">
        <f>SUMIF('Как будет'!$A$63:$A$70,Доп.расчеты!$A272,'Как будет'!CU$63:CU$70)</f>
        <v>0</v>
      </c>
      <c r="CU272">
        <f>SUMIF('Как будет'!$A$63:$A$70,Доп.расчеты!$A272,'Как будет'!CV$63:CV$70)</f>
        <v>0</v>
      </c>
      <c r="CV272">
        <f>SUMIF('Как будет'!$A$63:$A$70,Доп.расчеты!$A272,'Как будет'!CW$63:CW$70)</f>
        <v>0</v>
      </c>
      <c r="CW272">
        <f>SUMIF('Как будет'!$A$63:$A$70,Доп.расчеты!$A272,'Как будет'!CX$63:CX$70)</f>
        <v>0</v>
      </c>
      <c r="CX272">
        <f>SUMIF('Как будет'!$A$63:$A$70,Доп.расчеты!$A272,'Как будет'!CY$63:CY$70)</f>
        <v>0</v>
      </c>
      <c r="CY272">
        <f>SUMIF('Как будет'!$A$63:$A$70,Доп.расчеты!$A272,'Как будет'!CZ$63:CZ$70)</f>
        <v>0</v>
      </c>
      <c r="CZ272">
        <f>SUMIF('Как будет'!$A$63:$A$70,Доп.расчеты!$A272,'Как будет'!DA$63:DA$70)</f>
        <v>0</v>
      </c>
      <c r="DA272">
        <f>SUMIF('Как будет'!$A$63:$A$70,Доп.расчеты!$A272,'Как будет'!DB$63:DB$70)</f>
        <v>0</v>
      </c>
      <c r="DB272">
        <f>SUMIF('Как будет'!$A$63:$A$70,Доп.расчеты!$A272,'Как будет'!DC$63:DC$70)</f>
        <v>0</v>
      </c>
      <c r="DC272">
        <f>SUMIF('Как будет'!$A$63:$A$70,Доп.расчеты!$A272,'Как будет'!DD$63:DD$70)</f>
        <v>0</v>
      </c>
      <c r="DD272">
        <f>SUMIF('Как будет'!$A$63:$A$70,Доп.расчеты!$A272,'Как будет'!DE$63:DE$70)</f>
        <v>0</v>
      </c>
      <c r="DE272">
        <f>SUMIF('Как будет'!$A$63:$A$70,Доп.расчеты!$A272,'Как будет'!DF$63:DF$70)</f>
        <v>0</v>
      </c>
      <c r="DF272">
        <f>SUMIF('Как будет'!$A$63:$A$70,Доп.расчеты!$A272,'Как будет'!DG$63:DG$70)</f>
        <v>0</v>
      </c>
      <c r="DG272">
        <f>SUMIF('Как будет'!$A$63:$A$70,Доп.расчеты!$A272,'Как будет'!DH$63:DH$70)</f>
        <v>0</v>
      </c>
      <c r="DH272">
        <f>SUMIF('Как будет'!$A$63:$A$70,Доп.расчеты!$A272,'Как будет'!DI$63:DI$70)</f>
        <v>0</v>
      </c>
      <c r="DI272">
        <f>SUMIF('Как будет'!$A$63:$A$70,Доп.расчеты!$A272,'Как будет'!DJ$63:DJ$70)</f>
        <v>0</v>
      </c>
      <c r="DJ272">
        <f>SUMIF('Как будет'!$A$63:$A$70,Доп.расчеты!$A272,'Как будет'!DK$63:DK$70)</f>
        <v>0</v>
      </c>
      <c r="DK272">
        <f>SUMIF('Как будет'!$A$63:$A$70,Доп.расчеты!$A272,'Как будет'!DL$63:DL$70)</f>
        <v>0</v>
      </c>
      <c r="DL272">
        <f>SUMIF('Как будет'!$A$63:$A$70,Доп.расчеты!$A272,'Как будет'!DM$63:DM$70)</f>
        <v>0</v>
      </c>
      <c r="DM272">
        <f>SUMIF('Как будет'!$A$63:$A$70,Доп.расчеты!$A272,'Как будет'!DN$63:DN$70)</f>
        <v>0</v>
      </c>
      <c r="DN272">
        <f>SUMIF('Как будет'!$A$63:$A$70,Доп.расчеты!$A272,'Как будет'!DO$63:DO$70)</f>
        <v>0</v>
      </c>
      <c r="DO272">
        <f>SUMIF('Как будет'!$A$63:$A$70,Доп.расчеты!$A272,'Как будет'!DP$63:DP$70)</f>
        <v>0</v>
      </c>
      <c r="DP272">
        <f>SUMIF('Как будет'!$A$63:$A$70,Доп.расчеты!$A272,'Как будет'!DQ$63:DQ$70)</f>
        <v>0</v>
      </c>
      <c r="DQ272">
        <f>SUMIF('Как будет'!$A$63:$A$70,Доп.расчеты!$A272,'Как будет'!DR$63:DR$70)</f>
        <v>0</v>
      </c>
      <c r="DR272">
        <f>SUMIF('Как будет'!$A$63:$A$70,Доп.расчеты!$A272,'Как будет'!DS$63:DS$70)</f>
        <v>0</v>
      </c>
      <c r="DS272">
        <f>SUMIF('Как будет'!$A$63:$A$70,Доп.расчеты!$A272,'Как будет'!DT$63:DT$70)</f>
        <v>0</v>
      </c>
      <c r="DT272">
        <f>SUMIF('Как будет'!$A$63:$A$70,Доп.расчеты!$A272,'Как будет'!DU$63:DU$70)</f>
        <v>0</v>
      </c>
      <c r="DU272">
        <f>SUMIF('Как будет'!$A$63:$A$70,Доп.расчеты!$A272,'Как будет'!DV$63:DV$70)</f>
        <v>0</v>
      </c>
      <c r="DV272">
        <f>SUMIF('Как будет'!$A$63:$A$70,Доп.расчеты!$A272,'Как будет'!DW$63:DW$70)</f>
        <v>0</v>
      </c>
      <c r="DW272">
        <f>SUMIF('Как будет'!$A$63:$A$70,Доп.расчеты!$A272,'Как будет'!DX$63:DX$70)</f>
        <v>0</v>
      </c>
      <c r="DX272">
        <f>SUMIF('Как будет'!$A$63:$A$70,Доп.расчеты!$A272,'Как будет'!DY$63:DY$70)</f>
        <v>0</v>
      </c>
      <c r="DY272">
        <f>SUMIF('Как будет'!$A$63:$A$70,Доп.расчеты!$A272,'Как будет'!DZ$63:DZ$70)</f>
        <v>0</v>
      </c>
      <c r="DZ272">
        <f>SUMIF('Как будет'!$A$63:$A$70,Доп.расчеты!$A272,'Как будет'!EA$63:EA$70)</f>
        <v>0</v>
      </c>
      <c r="EA272">
        <f>SUMIF('Как будет'!$A$63:$A$70,Доп.расчеты!$A272,'Как будет'!EB$63:EB$70)</f>
        <v>0</v>
      </c>
      <c r="EB272">
        <f>SUMIF('Как будет'!$A$63:$A$70,Доп.расчеты!$A272,'Как будет'!EC$63:EC$70)</f>
        <v>0</v>
      </c>
      <c r="EC272">
        <f>SUMIF('Как будет'!$A$63:$A$70,Доп.расчеты!$A272,'Как будет'!ED$63:ED$70)</f>
        <v>0</v>
      </c>
      <c r="ED272">
        <f>SUMIF('Как будет'!$A$63:$A$70,Доп.расчеты!$A272,'Как будет'!EE$63:EE$70)</f>
        <v>0</v>
      </c>
      <c r="EE272">
        <f>SUMIF('Как будет'!$A$63:$A$70,Доп.расчеты!$A272,'Как будет'!EF$63:EF$70)</f>
        <v>0</v>
      </c>
      <c r="EF272">
        <f>SUMIF('Как будет'!$A$63:$A$70,Доп.расчеты!$A272,'Как будет'!EG$63:EG$70)</f>
        <v>0</v>
      </c>
      <c r="EG272">
        <f>SUMIF('Как будет'!$A$63:$A$70,Доп.расчеты!$A272,'Как будет'!EH$63:EH$70)</f>
        <v>0</v>
      </c>
      <c r="EH272">
        <f>SUMIF('Как будет'!$A$63:$A$70,Доп.расчеты!$A272,'Как будет'!EI$63:EI$70)</f>
        <v>0</v>
      </c>
      <c r="EI272">
        <f>SUMIF('Как будет'!$A$63:$A$70,Доп.расчеты!$A272,'Как будет'!EJ$63:EJ$70)</f>
        <v>0</v>
      </c>
      <c r="EJ272">
        <f>SUMIF('Как будет'!$A$63:$A$70,Доп.расчеты!$A272,'Как будет'!EK$63:EK$70)</f>
        <v>0</v>
      </c>
      <c r="EK272">
        <f>SUMIF('Как будет'!$A$63:$A$70,Доп.расчеты!$A272,'Как будет'!EL$63:EL$70)</f>
        <v>0</v>
      </c>
      <c r="EL272">
        <f>SUMIF('Как будет'!$A$63:$A$70,Доп.расчеты!$A272,'Как будет'!EM$63:EM$70)</f>
        <v>0</v>
      </c>
      <c r="EM272">
        <f>SUMIF('Как будет'!$A$63:$A$70,Доп.расчеты!$A272,'Как будет'!EN$63:EN$70)</f>
        <v>0</v>
      </c>
      <c r="EN272">
        <f>SUMIF('Как будет'!$A$63:$A$70,Доп.расчеты!$A272,'Как будет'!EO$63:EO$70)</f>
        <v>0</v>
      </c>
      <c r="EO272">
        <f>SUMIF('Как будет'!$A$63:$A$70,Доп.расчеты!$A272,'Как будет'!EP$63:EP$70)</f>
        <v>0</v>
      </c>
      <c r="EP272">
        <f>SUMIF('Как будет'!$A$63:$A$70,Доп.расчеты!$A272,'Как будет'!EQ$63:EQ$70)</f>
        <v>0</v>
      </c>
      <c r="EQ272">
        <f>SUMIF('Как будет'!$A$63:$A$70,Доп.расчеты!$A272,'Как будет'!ER$63:ER$70)</f>
        <v>0</v>
      </c>
      <c r="ER272">
        <f>SUMIF('Как будет'!$A$63:$A$70,Доп.расчеты!$A272,'Как будет'!ES$63:ES$70)</f>
        <v>0</v>
      </c>
      <c r="ES272">
        <f>SUMIF('Как будет'!$A$63:$A$70,Доп.расчеты!$A272,'Как будет'!ET$63:ET$70)</f>
        <v>0</v>
      </c>
      <c r="ET272">
        <f>SUMIF('Как будет'!$A$63:$A$70,Доп.расчеты!$A272,'Как будет'!EU$63:EU$70)</f>
        <v>0</v>
      </c>
      <c r="EU272">
        <f>SUMIF('Как будет'!$A$63:$A$70,Доп.расчеты!$A272,'Как будет'!EV$63:EV$70)</f>
        <v>0</v>
      </c>
      <c r="EV272">
        <f>SUMIF('Как будет'!$A$63:$A$70,Доп.расчеты!$A272,'Как будет'!EW$63:EW$70)</f>
        <v>0</v>
      </c>
      <c r="EW272">
        <f>SUMIF('Как будет'!$A$63:$A$70,Доп.расчеты!$A272,'Как будет'!EX$63:EX$70)</f>
        <v>0</v>
      </c>
      <c r="EX272">
        <f>SUMIF('Как будет'!$A$63:$A$70,Доп.расчеты!$A272,'Как будет'!EY$63:EY$70)</f>
        <v>0</v>
      </c>
      <c r="EY272">
        <f>SUMIF('Как будет'!$A$63:$A$70,Доп.расчеты!$A272,'Как будет'!EZ$63:EZ$70)</f>
        <v>0</v>
      </c>
      <c r="EZ272">
        <f>SUMIF('Как будет'!$A$63:$A$70,Доп.расчеты!$A272,'Как будет'!FA$63:FA$70)</f>
        <v>0</v>
      </c>
      <c r="FA272">
        <f>SUMIF('Как будет'!$A$63:$A$70,Доп.расчеты!$A272,'Как будет'!FB$63:FB$70)</f>
        <v>0</v>
      </c>
      <c r="FB272">
        <f>SUMIF('Как будет'!$A$63:$A$70,Доп.расчеты!$A272,'Как будет'!FC$63:FC$70)</f>
        <v>0</v>
      </c>
      <c r="FC272">
        <f>SUMIF('Как будет'!$A$63:$A$70,Доп.расчеты!$A272,'Как будет'!FD$63:FD$70)</f>
        <v>0</v>
      </c>
      <c r="FD272">
        <f>SUMIF('Как будет'!$A$63:$A$70,Доп.расчеты!$A272,'Как будет'!FE$63:FE$70)</f>
        <v>0</v>
      </c>
      <c r="FE272">
        <f>SUMIF('Как будет'!$A$63:$A$70,Доп.расчеты!$A272,'Как будет'!FF$63:FF$70)</f>
        <v>0</v>
      </c>
      <c r="FF272">
        <f>SUMIF('Как будет'!$A$63:$A$70,Доп.расчеты!$A272,'Как будет'!FG$63:FG$70)</f>
        <v>0</v>
      </c>
      <c r="FG272">
        <f>SUMIF('Как будет'!$A$63:$A$70,Доп.расчеты!$A272,'Как будет'!FH$63:FH$70)</f>
        <v>0</v>
      </c>
      <c r="FH272">
        <f>SUMIF('Как будет'!$A$63:$A$70,Доп.расчеты!$A272,'Как будет'!FI$63:FI$70)</f>
        <v>0</v>
      </c>
      <c r="FI272">
        <f>SUMIF('Как будет'!$A$63:$A$70,Доп.расчеты!$A272,'Как будет'!FJ$63:FJ$70)</f>
        <v>0</v>
      </c>
      <c r="FJ272">
        <f>SUMIF('Как будет'!$A$63:$A$70,Доп.расчеты!$A272,'Как будет'!FK$63:FK$70)</f>
        <v>0</v>
      </c>
      <c r="FK272">
        <f>SUMIF('Как будет'!$A$63:$A$70,Доп.расчеты!$A272,'Как будет'!FL$63:FL$70)</f>
        <v>0</v>
      </c>
      <c r="FL272">
        <f>SUMIF('Как будет'!$A$63:$A$70,Доп.расчеты!$A272,'Как будет'!FM$63:FM$70)</f>
        <v>0</v>
      </c>
      <c r="FM272">
        <f>SUMIF('Как будет'!$A$63:$A$70,Доп.расчеты!$A272,'Как будет'!FN$63:FN$70)</f>
        <v>0</v>
      </c>
      <c r="FN272">
        <f>SUMIF('Как будет'!$A$63:$A$70,Доп.расчеты!$A272,'Как будет'!FO$63:FO$70)</f>
        <v>0</v>
      </c>
      <c r="FO272">
        <f>SUMIF('Как будет'!$A$63:$A$70,Доп.расчеты!$A272,'Как будет'!FP$63:FP$70)</f>
        <v>0</v>
      </c>
      <c r="FP272">
        <f>SUMIF('Как будет'!$A$63:$A$70,Доп.расчеты!$A272,'Как будет'!FQ$63:FQ$70)</f>
        <v>0</v>
      </c>
      <c r="FQ272">
        <f>SUMIF('Как будет'!$A$63:$A$70,Доп.расчеты!$A272,'Как будет'!FR$63:FR$70)</f>
        <v>0</v>
      </c>
      <c r="FR272">
        <f>SUMIF('Как будет'!$A$63:$A$70,Доп.расчеты!$A272,'Как будет'!FS$63:FS$70)</f>
        <v>0</v>
      </c>
      <c r="FS272">
        <f>SUMIF('Как будет'!$A$63:$A$70,Доп.расчеты!$A272,'Как будет'!FT$63:FT$70)</f>
        <v>0</v>
      </c>
      <c r="FT272">
        <f>SUMIF('Как будет'!$A$63:$A$70,Доп.расчеты!$A272,'Как будет'!FU$63:FU$70)</f>
        <v>0</v>
      </c>
      <c r="FU272">
        <f>SUMIF('Как будет'!$A$63:$A$70,Доп.расчеты!$A272,'Как будет'!FV$63:FV$70)</f>
        <v>0</v>
      </c>
      <c r="FV272">
        <f>SUMIF('Как будет'!$A$63:$A$70,Доп.расчеты!$A272,'Как будет'!FW$63:FW$70)</f>
        <v>0</v>
      </c>
      <c r="FW272">
        <f>SUMIF('Как будет'!$A$63:$A$70,Доп.расчеты!$A272,'Как будет'!FX$63:FX$70)</f>
        <v>0</v>
      </c>
      <c r="FX272">
        <f>SUMIF('Как будет'!$A$63:$A$70,Доп.расчеты!$A272,'Как будет'!FY$63:FY$70)</f>
        <v>0</v>
      </c>
      <c r="FY272">
        <f>SUMIF('Как будет'!$A$63:$A$70,Доп.расчеты!$A272,'Как будет'!FZ$63:FZ$70)</f>
        <v>0</v>
      </c>
      <c r="FZ272">
        <f>SUMIF('Как будет'!$A$63:$A$70,Доп.расчеты!$A272,'Как будет'!GA$63:GA$70)</f>
        <v>0</v>
      </c>
      <c r="GA272">
        <f>SUMIF('Как будет'!$A$63:$A$70,Доп.расчеты!$A272,'Как будет'!GB$63:GB$70)</f>
        <v>0</v>
      </c>
      <c r="GB272">
        <f>SUMIF('Как будет'!$A$63:$A$70,Доп.расчеты!$A272,'Как будет'!GC$63:GC$70)</f>
        <v>0</v>
      </c>
      <c r="GC272">
        <f>SUMIF('Как будет'!$A$63:$A$70,Доп.расчеты!$A272,'Как будет'!GD$63:GD$70)</f>
        <v>0</v>
      </c>
      <c r="GD272">
        <f>SUMIF('Как будет'!$A$63:$A$70,Доп.расчеты!$A272,'Как будет'!GE$63:GE$70)</f>
        <v>0</v>
      </c>
      <c r="GE272">
        <f>SUMIF('Как будет'!$A$63:$A$70,Доп.расчеты!$A272,'Как будет'!GF$63:GF$70)</f>
        <v>0</v>
      </c>
      <c r="GF272">
        <f>SUMIF('Как будет'!$A$63:$A$70,Доп.расчеты!$A272,'Как будет'!GG$63:GG$70)</f>
        <v>0</v>
      </c>
      <c r="GG272">
        <f>SUMIF('Как будет'!$A$63:$A$70,Доп.расчеты!$A272,'Как будет'!GH$63:GH$70)</f>
        <v>0</v>
      </c>
      <c r="GH272">
        <f>SUMIF('Как будет'!$A$63:$A$70,Доп.расчеты!$A272,'Как будет'!GI$63:GI$70)</f>
        <v>0</v>
      </c>
      <c r="GI272">
        <f>SUMIF('Как будет'!$A$63:$A$70,Доп.расчеты!$A272,'Как будет'!GJ$63:GJ$70)</f>
        <v>0</v>
      </c>
      <c r="GJ272">
        <f>SUMIF('Как будет'!$A$63:$A$70,Доп.расчеты!$A272,'Как будет'!GK$63:GK$70)</f>
        <v>0</v>
      </c>
      <c r="GK272">
        <f>SUMIF('Как будет'!$A$63:$A$70,Доп.расчеты!$A272,'Как будет'!GL$63:GL$70)</f>
        <v>0</v>
      </c>
      <c r="GL272">
        <f>SUMIF('Как будет'!$A$63:$A$70,Доп.расчеты!$A272,'Как будет'!GM$63:GM$70)</f>
        <v>0</v>
      </c>
      <c r="GM272">
        <f>SUMIF('Как будет'!$A$63:$A$70,Доп.расчеты!$A272,'Как будет'!GN$63:GN$70)</f>
        <v>0</v>
      </c>
      <c r="GN272">
        <f>SUMIF('Как будет'!$A$63:$A$70,Доп.расчеты!$A272,'Как будет'!GO$63:GO$70)</f>
        <v>0</v>
      </c>
      <c r="GO272">
        <f>SUMIF('Как будет'!$A$63:$A$70,Доп.расчеты!$A272,'Как будет'!GP$63:GP$70)</f>
        <v>0</v>
      </c>
      <c r="GP272">
        <f>SUMIF('Как будет'!$A$63:$A$70,Доп.расчеты!$A272,'Как будет'!GQ$63:GQ$70)</f>
        <v>0</v>
      </c>
      <c r="GQ272">
        <f>SUMIF('Как будет'!$A$63:$A$70,Доп.расчеты!$A272,'Как будет'!GR$63:GR$70)</f>
        <v>0</v>
      </c>
      <c r="GR272">
        <f>SUMIF('Как будет'!$A$63:$A$70,Доп.расчеты!$A272,'Как будет'!GS$63:GS$70)</f>
        <v>0</v>
      </c>
      <c r="GS272">
        <f>SUMIF('Как будет'!$A$63:$A$70,Доп.расчеты!$A272,'Как будет'!GT$63:GT$70)</f>
        <v>0</v>
      </c>
      <c r="GT272">
        <f>SUMIF('Как будет'!$A$63:$A$70,Доп.расчеты!$A272,'Как будет'!GU$63:GU$70)</f>
        <v>0</v>
      </c>
    </row>
    <row r="273" spans="1:202">
      <c r="A273" s="238" t="s">
        <v>11</v>
      </c>
      <c r="B273">
        <f>SUMIF('Как будет'!$A$63:$A$70,Доп.расчеты!$A273,'Как будет'!C$63:C$70)</f>
        <v>0</v>
      </c>
      <c r="C273">
        <f>SUMIF('Как будет'!$A$63:$A$70,Доп.расчеты!$A273,'Как будет'!D$63:D$70)</f>
        <v>0</v>
      </c>
      <c r="D273">
        <f>SUMIF('Как будет'!$A$63:$A$70,Доп.расчеты!$A273,'Как будет'!E$63:E$70)</f>
        <v>0</v>
      </c>
      <c r="E273">
        <f>SUMIF('Как будет'!$A$63:$A$70,Доп.расчеты!$A273,'Как будет'!F$63:F$70)</f>
        <v>0</v>
      </c>
      <c r="F273">
        <f>SUMIF('Как будет'!$A$63:$A$70,Доп.расчеты!$A273,'Как будет'!G$63:G$70)</f>
        <v>0</v>
      </c>
      <c r="G273">
        <f>SUMIF('Как будет'!$A$63:$A$70,Доп.расчеты!$A273,'Как будет'!H$63:H$70)</f>
        <v>0</v>
      </c>
      <c r="H273">
        <f>SUMIF('Как будет'!$A$63:$A$70,Доп.расчеты!$A273,'Как будет'!I$63:I$70)</f>
        <v>0</v>
      </c>
      <c r="I273">
        <f>SUMIF('Как будет'!$A$63:$A$70,Доп.расчеты!$A273,'Как будет'!J$63:J$70)</f>
        <v>0</v>
      </c>
      <c r="J273">
        <f>SUMIF('Как будет'!$A$63:$A$70,Доп.расчеты!$A273,'Как будет'!K$63:K$70)</f>
        <v>0</v>
      </c>
      <c r="K273">
        <f>SUMIF('Как будет'!$A$63:$A$70,Доп.расчеты!$A273,'Как будет'!L$63:L$70)</f>
        <v>0</v>
      </c>
      <c r="L273">
        <f>SUMIF('Как будет'!$A$63:$A$70,Доп.расчеты!$A273,'Как будет'!M$63:M$70)</f>
        <v>0</v>
      </c>
      <c r="M273">
        <f>SUMIF('Как будет'!$A$63:$A$70,Доп.расчеты!$A273,'Как будет'!N$63:N$70)</f>
        <v>0</v>
      </c>
      <c r="N273">
        <f>SUMIF('Как будет'!$A$63:$A$70,Доп.расчеты!$A273,'Как будет'!O$63:O$70)</f>
        <v>0</v>
      </c>
      <c r="O273">
        <f>SUMIF('Как будет'!$A$63:$A$70,Доп.расчеты!$A273,'Как будет'!P$63:P$70)</f>
        <v>0</v>
      </c>
      <c r="P273">
        <f>SUMIF('Как будет'!$A$63:$A$70,Доп.расчеты!$A273,'Как будет'!Q$63:Q$70)</f>
        <v>0</v>
      </c>
      <c r="Q273">
        <f>SUMIF('Как будет'!$A$63:$A$70,Доп.расчеты!$A273,'Как будет'!R$63:R$70)</f>
        <v>0</v>
      </c>
      <c r="R273">
        <f>SUMIF('Как будет'!$A$63:$A$70,Доп.расчеты!$A273,'Как будет'!S$63:S$70)</f>
        <v>0</v>
      </c>
      <c r="S273">
        <f>SUMIF('Как будет'!$A$63:$A$70,Доп.расчеты!$A273,'Как будет'!T$63:T$70)</f>
        <v>0</v>
      </c>
      <c r="T273">
        <f>SUMIF('Как будет'!$A$63:$A$70,Доп.расчеты!$A273,'Как будет'!U$63:U$70)</f>
        <v>0</v>
      </c>
      <c r="U273">
        <f>SUMIF('Как будет'!$A$63:$A$70,Доп.расчеты!$A273,'Как будет'!V$63:V$70)</f>
        <v>0</v>
      </c>
      <c r="V273">
        <f>SUMIF('Как будет'!$A$63:$A$70,Доп.расчеты!$A273,'Как будет'!W$63:W$70)</f>
        <v>0</v>
      </c>
      <c r="W273">
        <f>SUMIF('Как будет'!$A$63:$A$70,Доп.расчеты!$A273,'Как будет'!X$63:X$70)</f>
        <v>0</v>
      </c>
      <c r="X273">
        <f>SUMIF('Как будет'!$A$63:$A$70,Доп.расчеты!$A273,'Как будет'!Y$63:Y$70)</f>
        <v>0</v>
      </c>
      <c r="Y273">
        <f>SUMIF('Как будет'!$A$63:$A$70,Доп.расчеты!$A273,'Как будет'!Z$63:Z$70)</f>
        <v>0</v>
      </c>
      <c r="Z273">
        <f>SUMIF('Как будет'!$A$63:$A$70,Доп.расчеты!$A273,'Как будет'!AA$63:AA$70)</f>
        <v>0</v>
      </c>
      <c r="AA273">
        <f>SUMIF('Как будет'!$A$63:$A$70,Доп.расчеты!$A273,'Как будет'!AB$63:AB$70)</f>
        <v>0</v>
      </c>
      <c r="AB273">
        <f>SUMIF('Как будет'!$A$63:$A$70,Доп.расчеты!$A273,'Как будет'!AC$63:AC$70)</f>
        <v>0</v>
      </c>
      <c r="AC273">
        <f>SUMIF('Как будет'!$A$63:$A$70,Доп.расчеты!$A273,'Как будет'!AD$63:AD$70)</f>
        <v>0</v>
      </c>
      <c r="AD273">
        <f>SUMIF('Как будет'!$A$63:$A$70,Доп.расчеты!$A273,'Как будет'!AE$63:AE$70)</f>
        <v>0</v>
      </c>
      <c r="AE273">
        <f>SUMIF('Как будет'!$A$63:$A$70,Доп.расчеты!$A273,'Как будет'!AF$63:AF$70)</f>
        <v>0</v>
      </c>
      <c r="AF273">
        <f>SUMIF('Как будет'!$A$63:$A$70,Доп.расчеты!$A273,'Как будет'!AG$63:AG$70)</f>
        <v>0</v>
      </c>
      <c r="AG273">
        <f>SUMIF('Как будет'!$A$63:$A$70,Доп.расчеты!$A273,'Как будет'!AH$63:AH$70)</f>
        <v>0</v>
      </c>
      <c r="AH273">
        <f>SUMIF('Как будет'!$A$63:$A$70,Доп.расчеты!$A273,'Как будет'!AI$63:AI$70)</f>
        <v>0</v>
      </c>
      <c r="AI273">
        <f>SUMIF('Как будет'!$A$63:$A$70,Доп.расчеты!$A273,'Как будет'!AJ$63:AJ$70)</f>
        <v>0</v>
      </c>
      <c r="AJ273">
        <f>SUMIF('Как будет'!$A$63:$A$70,Доп.расчеты!$A273,'Как будет'!AK$63:AK$70)</f>
        <v>0</v>
      </c>
      <c r="AK273">
        <f>SUMIF('Как будет'!$A$63:$A$70,Доп.расчеты!$A273,'Как будет'!AL$63:AL$70)</f>
        <v>0</v>
      </c>
      <c r="AL273">
        <f>SUMIF('Как будет'!$A$63:$A$70,Доп.расчеты!$A273,'Как будет'!AM$63:AM$70)</f>
        <v>0</v>
      </c>
      <c r="AM273">
        <f>SUMIF('Как будет'!$A$63:$A$70,Доп.расчеты!$A273,'Как будет'!AN$63:AN$70)</f>
        <v>0</v>
      </c>
      <c r="AN273">
        <f>SUMIF('Как будет'!$A$63:$A$70,Доп.расчеты!$A273,'Как будет'!AO$63:AO$70)</f>
        <v>0</v>
      </c>
      <c r="AO273">
        <f>SUMIF('Как будет'!$A$63:$A$70,Доп.расчеты!$A273,'Как будет'!AP$63:AP$70)</f>
        <v>0</v>
      </c>
      <c r="AP273">
        <f>SUMIF('Как будет'!$A$63:$A$70,Доп.расчеты!$A273,'Как будет'!AQ$63:AQ$70)</f>
        <v>0</v>
      </c>
      <c r="AQ273">
        <f>SUMIF('Как будет'!$A$63:$A$70,Доп.расчеты!$A273,'Как будет'!AR$63:AR$70)</f>
        <v>0</v>
      </c>
      <c r="AR273">
        <f>SUMIF('Как будет'!$A$63:$A$70,Доп.расчеты!$A273,'Как будет'!AS$63:AS$70)</f>
        <v>0</v>
      </c>
      <c r="AS273">
        <f>SUMIF('Как будет'!$A$63:$A$70,Доп.расчеты!$A273,'Как будет'!AT$63:AT$70)</f>
        <v>0</v>
      </c>
      <c r="AT273">
        <f>SUMIF('Как будет'!$A$63:$A$70,Доп.расчеты!$A273,'Как будет'!AU$63:AU$70)</f>
        <v>0</v>
      </c>
      <c r="AU273">
        <f>SUMIF('Как будет'!$A$63:$A$70,Доп.расчеты!$A273,'Как будет'!AV$63:AV$70)</f>
        <v>0</v>
      </c>
      <c r="AV273">
        <f>SUMIF('Как будет'!$A$63:$A$70,Доп.расчеты!$A273,'Как будет'!AW$63:AW$70)</f>
        <v>0</v>
      </c>
      <c r="AW273">
        <f>SUMIF('Как будет'!$A$63:$A$70,Доп.расчеты!$A273,'Как будет'!AX$63:AX$70)</f>
        <v>0</v>
      </c>
      <c r="AX273">
        <f>SUMIF('Как будет'!$A$63:$A$70,Доп.расчеты!$A273,'Как будет'!AY$63:AY$70)</f>
        <v>0</v>
      </c>
      <c r="AY273">
        <f>SUMIF('Как будет'!$A$63:$A$70,Доп.расчеты!$A273,'Как будет'!AZ$63:AZ$70)</f>
        <v>0</v>
      </c>
      <c r="AZ273">
        <f>SUMIF('Как будет'!$A$63:$A$70,Доп.расчеты!$A273,'Как будет'!BA$63:BA$70)</f>
        <v>0</v>
      </c>
      <c r="BA273">
        <f>SUMIF('Как будет'!$A$63:$A$70,Доп.расчеты!$A273,'Как будет'!BB$63:BB$70)</f>
        <v>0</v>
      </c>
      <c r="BB273">
        <f>SUMIF('Как будет'!$A$63:$A$70,Доп.расчеты!$A273,'Как будет'!BC$63:BC$70)</f>
        <v>0</v>
      </c>
      <c r="BC273">
        <f>SUMIF('Как будет'!$A$63:$A$70,Доп.расчеты!$A273,'Как будет'!BD$63:BD$70)</f>
        <v>0</v>
      </c>
      <c r="BD273">
        <f>SUMIF('Как будет'!$A$63:$A$70,Доп.расчеты!$A273,'Как будет'!BE$63:BE$70)</f>
        <v>0</v>
      </c>
      <c r="BE273">
        <f>SUMIF('Как будет'!$A$63:$A$70,Доп.расчеты!$A273,'Как будет'!BF$63:BF$70)</f>
        <v>0</v>
      </c>
      <c r="BF273">
        <f>SUMIF('Как будет'!$A$63:$A$70,Доп.расчеты!$A273,'Как будет'!BG$63:BG$70)</f>
        <v>0</v>
      </c>
      <c r="BG273">
        <f>SUMIF('Как будет'!$A$63:$A$70,Доп.расчеты!$A273,'Как будет'!BH$63:BH$70)</f>
        <v>0</v>
      </c>
      <c r="BH273">
        <f>SUMIF('Как будет'!$A$63:$A$70,Доп.расчеты!$A273,'Как будет'!BI$63:BI$70)</f>
        <v>0</v>
      </c>
      <c r="BI273">
        <f>SUMIF('Как будет'!$A$63:$A$70,Доп.расчеты!$A273,'Как будет'!BJ$63:BJ$70)</f>
        <v>0</v>
      </c>
      <c r="BJ273">
        <f>SUMIF('Как будет'!$A$63:$A$70,Доп.расчеты!$A273,'Как будет'!BK$63:BK$70)</f>
        <v>0</v>
      </c>
      <c r="BK273">
        <f>SUMIF('Как будет'!$A$63:$A$70,Доп.расчеты!$A273,'Как будет'!BL$63:BL$70)</f>
        <v>0</v>
      </c>
      <c r="BL273">
        <f>SUMIF('Как будет'!$A$63:$A$70,Доп.расчеты!$A273,'Как будет'!BM$63:BM$70)</f>
        <v>0</v>
      </c>
      <c r="BM273">
        <f>SUMIF('Как будет'!$A$63:$A$70,Доп.расчеты!$A273,'Как будет'!BN$63:BN$70)</f>
        <v>0</v>
      </c>
      <c r="BN273">
        <f>SUMIF('Как будет'!$A$63:$A$70,Доп.расчеты!$A273,'Как будет'!BO$63:BO$70)</f>
        <v>0</v>
      </c>
      <c r="BO273">
        <f>SUMIF('Как будет'!$A$63:$A$70,Доп.расчеты!$A273,'Как будет'!BP$63:BP$70)</f>
        <v>0</v>
      </c>
      <c r="BP273">
        <f>SUMIF('Как будет'!$A$63:$A$70,Доп.расчеты!$A273,'Как будет'!BQ$63:BQ$70)</f>
        <v>0</v>
      </c>
      <c r="BQ273">
        <f>SUMIF('Как будет'!$A$63:$A$70,Доп.расчеты!$A273,'Как будет'!BR$63:BR$70)</f>
        <v>0</v>
      </c>
      <c r="BR273">
        <f>SUMIF('Как будет'!$A$63:$A$70,Доп.расчеты!$A273,'Как будет'!BS$63:BS$70)</f>
        <v>0</v>
      </c>
      <c r="BS273">
        <f>SUMIF('Как будет'!$A$63:$A$70,Доп.расчеты!$A273,'Как будет'!BT$63:BT$70)</f>
        <v>0</v>
      </c>
      <c r="BT273">
        <f>SUMIF('Как будет'!$A$63:$A$70,Доп.расчеты!$A273,'Как будет'!BU$63:BU$70)</f>
        <v>0</v>
      </c>
      <c r="BU273">
        <f>SUMIF('Как будет'!$A$63:$A$70,Доп.расчеты!$A273,'Как будет'!BV$63:BV$70)</f>
        <v>0</v>
      </c>
      <c r="BV273">
        <f>SUMIF('Как будет'!$A$63:$A$70,Доп.расчеты!$A273,'Как будет'!BW$63:BW$70)</f>
        <v>0</v>
      </c>
      <c r="BW273">
        <f>SUMIF('Как будет'!$A$63:$A$70,Доп.расчеты!$A273,'Как будет'!BX$63:BX$70)</f>
        <v>0</v>
      </c>
      <c r="BX273">
        <f>SUMIF('Как будет'!$A$63:$A$70,Доп.расчеты!$A273,'Как будет'!BY$63:BY$70)</f>
        <v>0</v>
      </c>
      <c r="BY273">
        <f>SUMIF('Как будет'!$A$63:$A$70,Доп.расчеты!$A273,'Как будет'!BZ$63:BZ$70)</f>
        <v>0</v>
      </c>
      <c r="BZ273">
        <f>SUMIF('Как будет'!$A$63:$A$70,Доп.расчеты!$A273,'Как будет'!CA$63:CA$70)</f>
        <v>0</v>
      </c>
      <c r="CA273">
        <f>SUMIF('Как будет'!$A$63:$A$70,Доп.расчеты!$A273,'Как будет'!CB$63:CB$70)</f>
        <v>0</v>
      </c>
      <c r="CB273">
        <f>SUMIF('Как будет'!$A$63:$A$70,Доп.расчеты!$A273,'Как будет'!CC$63:CC$70)</f>
        <v>0</v>
      </c>
      <c r="CC273">
        <f>SUMIF('Как будет'!$A$63:$A$70,Доп.расчеты!$A273,'Как будет'!CD$63:CD$70)</f>
        <v>0</v>
      </c>
      <c r="CD273">
        <f>SUMIF('Как будет'!$A$63:$A$70,Доп.расчеты!$A273,'Как будет'!CE$63:CE$70)</f>
        <v>0</v>
      </c>
      <c r="CE273">
        <f>SUMIF('Как будет'!$A$63:$A$70,Доп.расчеты!$A273,'Как будет'!CF$63:CF$70)</f>
        <v>0</v>
      </c>
      <c r="CF273">
        <f>SUMIF('Как будет'!$A$63:$A$70,Доп.расчеты!$A273,'Как будет'!CG$63:CG$70)</f>
        <v>0</v>
      </c>
      <c r="CG273">
        <f>SUMIF('Как будет'!$A$63:$A$70,Доп.расчеты!$A273,'Как будет'!CH$63:CH$70)</f>
        <v>0</v>
      </c>
      <c r="CH273">
        <f>SUMIF('Как будет'!$A$63:$A$70,Доп.расчеты!$A273,'Как будет'!CI$63:CI$70)</f>
        <v>0</v>
      </c>
      <c r="CI273">
        <f>SUMIF('Как будет'!$A$63:$A$70,Доп.расчеты!$A273,'Как будет'!CJ$63:CJ$70)</f>
        <v>0</v>
      </c>
      <c r="CJ273">
        <f>SUMIF('Как будет'!$A$63:$A$70,Доп.расчеты!$A273,'Как будет'!CK$63:CK$70)</f>
        <v>0</v>
      </c>
      <c r="CK273">
        <f>SUMIF('Как будет'!$A$63:$A$70,Доп.расчеты!$A273,'Как будет'!CL$63:CL$70)</f>
        <v>0</v>
      </c>
      <c r="CL273">
        <f>SUMIF('Как будет'!$A$63:$A$70,Доп.расчеты!$A273,'Как будет'!CM$63:CM$70)</f>
        <v>0</v>
      </c>
      <c r="CM273">
        <f>SUMIF('Как будет'!$A$63:$A$70,Доп.расчеты!$A273,'Как будет'!CN$63:CN$70)</f>
        <v>0</v>
      </c>
      <c r="CN273">
        <f>SUMIF('Как будет'!$A$63:$A$70,Доп.расчеты!$A273,'Как будет'!CO$63:CO$70)</f>
        <v>0</v>
      </c>
      <c r="CO273">
        <f>SUMIF('Как будет'!$A$63:$A$70,Доп.расчеты!$A273,'Как будет'!CP$63:CP$70)</f>
        <v>0</v>
      </c>
      <c r="CP273">
        <f>SUMIF('Как будет'!$A$63:$A$70,Доп.расчеты!$A273,'Как будет'!CQ$63:CQ$70)</f>
        <v>0</v>
      </c>
      <c r="CQ273">
        <f>SUMIF('Как будет'!$A$63:$A$70,Доп.расчеты!$A273,'Как будет'!CR$63:CR$70)</f>
        <v>0</v>
      </c>
      <c r="CR273">
        <f>SUMIF('Как будет'!$A$63:$A$70,Доп.расчеты!$A273,'Как будет'!CS$63:CS$70)</f>
        <v>0</v>
      </c>
      <c r="CS273">
        <f>SUMIF('Как будет'!$A$63:$A$70,Доп.расчеты!$A273,'Как будет'!CT$63:CT$70)</f>
        <v>0</v>
      </c>
      <c r="CT273">
        <f>SUMIF('Как будет'!$A$63:$A$70,Доп.расчеты!$A273,'Как будет'!CU$63:CU$70)</f>
        <v>0</v>
      </c>
      <c r="CU273">
        <f>SUMIF('Как будет'!$A$63:$A$70,Доп.расчеты!$A273,'Как будет'!CV$63:CV$70)</f>
        <v>0</v>
      </c>
      <c r="CV273">
        <f>SUMIF('Как будет'!$A$63:$A$70,Доп.расчеты!$A273,'Как будет'!CW$63:CW$70)</f>
        <v>0</v>
      </c>
      <c r="CW273">
        <f>SUMIF('Как будет'!$A$63:$A$70,Доп.расчеты!$A273,'Как будет'!CX$63:CX$70)</f>
        <v>0</v>
      </c>
      <c r="CX273">
        <f>SUMIF('Как будет'!$A$63:$A$70,Доп.расчеты!$A273,'Как будет'!CY$63:CY$70)</f>
        <v>0</v>
      </c>
      <c r="CY273">
        <f>SUMIF('Как будет'!$A$63:$A$70,Доп.расчеты!$A273,'Как будет'!CZ$63:CZ$70)</f>
        <v>0</v>
      </c>
      <c r="CZ273">
        <f>SUMIF('Как будет'!$A$63:$A$70,Доп.расчеты!$A273,'Как будет'!DA$63:DA$70)</f>
        <v>0</v>
      </c>
      <c r="DA273">
        <f>SUMIF('Как будет'!$A$63:$A$70,Доп.расчеты!$A273,'Как будет'!DB$63:DB$70)</f>
        <v>0</v>
      </c>
      <c r="DB273">
        <f>SUMIF('Как будет'!$A$63:$A$70,Доп.расчеты!$A273,'Как будет'!DC$63:DC$70)</f>
        <v>0</v>
      </c>
      <c r="DC273">
        <f>SUMIF('Как будет'!$A$63:$A$70,Доп.расчеты!$A273,'Как будет'!DD$63:DD$70)</f>
        <v>0</v>
      </c>
      <c r="DD273">
        <f>SUMIF('Как будет'!$A$63:$A$70,Доп.расчеты!$A273,'Как будет'!DE$63:DE$70)</f>
        <v>0</v>
      </c>
      <c r="DE273">
        <f>SUMIF('Как будет'!$A$63:$A$70,Доп.расчеты!$A273,'Как будет'!DF$63:DF$70)</f>
        <v>0</v>
      </c>
      <c r="DF273">
        <f>SUMIF('Как будет'!$A$63:$A$70,Доп.расчеты!$A273,'Как будет'!DG$63:DG$70)</f>
        <v>0</v>
      </c>
      <c r="DG273">
        <f>SUMIF('Как будет'!$A$63:$A$70,Доп.расчеты!$A273,'Как будет'!DH$63:DH$70)</f>
        <v>0</v>
      </c>
      <c r="DH273">
        <f>SUMIF('Как будет'!$A$63:$A$70,Доп.расчеты!$A273,'Как будет'!DI$63:DI$70)</f>
        <v>0</v>
      </c>
      <c r="DI273">
        <f>SUMIF('Как будет'!$A$63:$A$70,Доп.расчеты!$A273,'Как будет'!DJ$63:DJ$70)</f>
        <v>0</v>
      </c>
      <c r="DJ273">
        <f>SUMIF('Как будет'!$A$63:$A$70,Доп.расчеты!$A273,'Как будет'!DK$63:DK$70)</f>
        <v>0</v>
      </c>
      <c r="DK273">
        <f>SUMIF('Как будет'!$A$63:$A$70,Доп.расчеты!$A273,'Как будет'!DL$63:DL$70)</f>
        <v>0</v>
      </c>
      <c r="DL273">
        <f>SUMIF('Как будет'!$A$63:$A$70,Доп.расчеты!$A273,'Как будет'!DM$63:DM$70)</f>
        <v>0</v>
      </c>
      <c r="DM273">
        <f>SUMIF('Как будет'!$A$63:$A$70,Доп.расчеты!$A273,'Как будет'!DN$63:DN$70)</f>
        <v>0</v>
      </c>
      <c r="DN273">
        <f>SUMIF('Как будет'!$A$63:$A$70,Доп.расчеты!$A273,'Как будет'!DO$63:DO$70)</f>
        <v>0</v>
      </c>
      <c r="DO273">
        <f>SUMIF('Как будет'!$A$63:$A$70,Доп.расчеты!$A273,'Как будет'!DP$63:DP$70)</f>
        <v>0</v>
      </c>
      <c r="DP273">
        <f>SUMIF('Как будет'!$A$63:$A$70,Доп.расчеты!$A273,'Как будет'!DQ$63:DQ$70)</f>
        <v>0</v>
      </c>
      <c r="DQ273">
        <f>SUMIF('Как будет'!$A$63:$A$70,Доп.расчеты!$A273,'Как будет'!DR$63:DR$70)</f>
        <v>0</v>
      </c>
      <c r="DR273">
        <f>SUMIF('Как будет'!$A$63:$A$70,Доп.расчеты!$A273,'Как будет'!DS$63:DS$70)</f>
        <v>0</v>
      </c>
      <c r="DS273">
        <f>SUMIF('Как будет'!$A$63:$A$70,Доп.расчеты!$A273,'Как будет'!DT$63:DT$70)</f>
        <v>0</v>
      </c>
      <c r="DT273">
        <f>SUMIF('Как будет'!$A$63:$A$70,Доп.расчеты!$A273,'Как будет'!DU$63:DU$70)</f>
        <v>0</v>
      </c>
      <c r="DU273">
        <f>SUMIF('Как будет'!$A$63:$A$70,Доп.расчеты!$A273,'Как будет'!DV$63:DV$70)</f>
        <v>0</v>
      </c>
      <c r="DV273">
        <f>SUMIF('Как будет'!$A$63:$A$70,Доп.расчеты!$A273,'Как будет'!DW$63:DW$70)</f>
        <v>0</v>
      </c>
      <c r="DW273">
        <f>SUMIF('Как будет'!$A$63:$A$70,Доп.расчеты!$A273,'Как будет'!DX$63:DX$70)</f>
        <v>0</v>
      </c>
      <c r="DX273">
        <f>SUMIF('Как будет'!$A$63:$A$70,Доп.расчеты!$A273,'Как будет'!DY$63:DY$70)</f>
        <v>0</v>
      </c>
      <c r="DY273">
        <f>SUMIF('Как будет'!$A$63:$A$70,Доп.расчеты!$A273,'Как будет'!DZ$63:DZ$70)</f>
        <v>0</v>
      </c>
      <c r="DZ273">
        <f>SUMIF('Как будет'!$A$63:$A$70,Доп.расчеты!$A273,'Как будет'!EA$63:EA$70)</f>
        <v>0</v>
      </c>
      <c r="EA273">
        <f>SUMIF('Как будет'!$A$63:$A$70,Доп.расчеты!$A273,'Как будет'!EB$63:EB$70)</f>
        <v>0</v>
      </c>
      <c r="EB273">
        <f>SUMIF('Как будет'!$A$63:$A$70,Доп.расчеты!$A273,'Как будет'!EC$63:EC$70)</f>
        <v>0</v>
      </c>
      <c r="EC273">
        <f>SUMIF('Как будет'!$A$63:$A$70,Доп.расчеты!$A273,'Как будет'!ED$63:ED$70)</f>
        <v>0</v>
      </c>
      <c r="ED273">
        <f>SUMIF('Как будет'!$A$63:$A$70,Доп.расчеты!$A273,'Как будет'!EE$63:EE$70)</f>
        <v>0</v>
      </c>
      <c r="EE273">
        <f>SUMIF('Как будет'!$A$63:$A$70,Доп.расчеты!$A273,'Как будет'!EF$63:EF$70)</f>
        <v>0</v>
      </c>
      <c r="EF273">
        <f>SUMIF('Как будет'!$A$63:$A$70,Доп.расчеты!$A273,'Как будет'!EG$63:EG$70)</f>
        <v>0</v>
      </c>
      <c r="EG273">
        <f>SUMIF('Как будет'!$A$63:$A$70,Доп.расчеты!$A273,'Как будет'!EH$63:EH$70)</f>
        <v>0</v>
      </c>
      <c r="EH273">
        <f>SUMIF('Как будет'!$A$63:$A$70,Доп.расчеты!$A273,'Как будет'!EI$63:EI$70)</f>
        <v>0</v>
      </c>
      <c r="EI273">
        <f>SUMIF('Как будет'!$A$63:$A$70,Доп.расчеты!$A273,'Как будет'!EJ$63:EJ$70)</f>
        <v>0</v>
      </c>
      <c r="EJ273">
        <f>SUMIF('Как будет'!$A$63:$A$70,Доп.расчеты!$A273,'Как будет'!EK$63:EK$70)</f>
        <v>0</v>
      </c>
      <c r="EK273">
        <f>SUMIF('Как будет'!$A$63:$A$70,Доп.расчеты!$A273,'Как будет'!EL$63:EL$70)</f>
        <v>0</v>
      </c>
      <c r="EL273">
        <f>SUMIF('Как будет'!$A$63:$A$70,Доп.расчеты!$A273,'Как будет'!EM$63:EM$70)</f>
        <v>0</v>
      </c>
      <c r="EM273">
        <f>SUMIF('Как будет'!$A$63:$A$70,Доп.расчеты!$A273,'Как будет'!EN$63:EN$70)</f>
        <v>0</v>
      </c>
      <c r="EN273">
        <f>SUMIF('Как будет'!$A$63:$A$70,Доп.расчеты!$A273,'Как будет'!EO$63:EO$70)</f>
        <v>0</v>
      </c>
      <c r="EO273">
        <f>SUMIF('Как будет'!$A$63:$A$70,Доп.расчеты!$A273,'Как будет'!EP$63:EP$70)</f>
        <v>0</v>
      </c>
      <c r="EP273">
        <f>SUMIF('Как будет'!$A$63:$A$70,Доп.расчеты!$A273,'Как будет'!EQ$63:EQ$70)</f>
        <v>0</v>
      </c>
      <c r="EQ273">
        <f>SUMIF('Как будет'!$A$63:$A$70,Доп.расчеты!$A273,'Как будет'!ER$63:ER$70)</f>
        <v>0</v>
      </c>
      <c r="ER273">
        <f>SUMIF('Как будет'!$A$63:$A$70,Доп.расчеты!$A273,'Как будет'!ES$63:ES$70)</f>
        <v>0</v>
      </c>
      <c r="ES273">
        <f>SUMIF('Как будет'!$A$63:$A$70,Доп.расчеты!$A273,'Как будет'!ET$63:ET$70)</f>
        <v>0</v>
      </c>
      <c r="ET273">
        <f>SUMIF('Как будет'!$A$63:$A$70,Доп.расчеты!$A273,'Как будет'!EU$63:EU$70)</f>
        <v>0</v>
      </c>
      <c r="EU273">
        <f>SUMIF('Как будет'!$A$63:$A$70,Доп.расчеты!$A273,'Как будет'!EV$63:EV$70)</f>
        <v>0</v>
      </c>
      <c r="EV273">
        <f>SUMIF('Как будет'!$A$63:$A$70,Доп.расчеты!$A273,'Как будет'!EW$63:EW$70)</f>
        <v>0</v>
      </c>
      <c r="EW273">
        <f>SUMIF('Как будет'!$A$63:$A$70,Доп.расчеты!$A273,'Как будет'!EX$63:EX$70)</f>
        <v>0</v>
      </c>
      <c r="EX273">
        <f>SUMIF('Как будет'!$A$63:$A$70,Доп.расчеты!$A273,'Как будет'!EY$63:EY$70)</f>
        <v>0</v>
      </c>
      <c r="EY273">
        <f>SUMIF('Как будет'!$A$63:$A$70,Доп.расчеты!$A273,'Как будет'!EZ$63:EZ$70)</f>
        <v>0</v>
      </c>
      <c r="EZ273">
        <f>SUMIF('Как будет'!$A$63:$A$70,Доп.расчеты!$A273,'Как будет'!FA$63:FA$70)</f>
        <v>0</v>
      </c>
      <c r="FA273">
        <f>SUMIF('Как будет'!$A$63:$A$70,Доп.расчеты!$A273,'Как будет'!FB$63:FB$70)</f>
        <v>0</v>
      </c>
      <c r="FB273">
        <f>SUMIF('Как будет'!$A$63:$A$70,Доп.расчеты!$A273,'Как будет'!FC$63:FC$70)</f>
        <v>0</v>
      </c>
      <c r="FC273">
        <f>SUMIF('Как будет'!$A$63:$A$70,Доп.расчеты!$A273,'Как будет'!FD$63:FD$70)</f>
        <v>0</v>
      </c>
      <c r="FD273">
        <f>SUMIF('Как будет'!$A$63:$A$70,Доп.расчеты!$A273,'Как будет'!FE$63:FE$70)</f>
        <v>0</v>
      </c>
      <c r="FE273">
        <f>SUMIF('Как будет'!$A$63:$A$70,Доп.расчеты!$A273,'Как будет'!FF$63:FF$70)</f>
        <v>0</v>
      </c>
      <c r="FF273">
        <f>SUMIF('Как будет'!$A$63:$A$70,Доп.расчеты!$A273,'Как будет'!FG$63:FG$70)</f>
        <v>0</v>
      </c>
      <c r="FG273">
        <f>SUMIF('Как будет'!$A$63:$A$70,Доп.расчеты!$A273,'Как будет'!FH$63:FH$70)</f>
        <v>0</v>
      </c>
      <c r="FH273">
        <f>SUMIF('Как будет'!$A$63:$A$70,Доп.расчеты!$A273,'Как будет'!FI$63:FI$70)</f>
        <v>0</v>
      </c>
      <c r="FI273">
        <f>SUMIF('Как будет'!$A$63:$A$70,Доп.расчеты!$A273,'Как будет'!FJ$63:FJ$70)</f>
        <v>0</v>
      </c>
      <c r="FJ273">
        <f>SUMIF('Как будет'!$A$63:$A$70,Доп.расчеты!$A273,'Как будет'!FK$63:FK$70)</f>
        <v>0</v>
      </c>
      <c r="FK273">
        <f>SUMIF('Как будет'!$A$63:$A$70,Доп.расчеты!$A273,'Как будет'!FL$63:FL$70)</f>
        <v>0</v>
      </c>
      <c r="FL273">
        <f>SUMIF('Как будет'!$A$63:$A$70,Доп.расчеты!$A273,'Как будет'!FM$63:FM$70)</f>
        <v>0</v>
      </c>
      <c r="FM273">
        <f>SUMIF('Как будет'!$A$63:$A$70,Доп.расчеты!$A273,'Как будет'!FN$63:FN$70)</f>
        <v>0</v>
      </c>
      <c r="FN273">
        <f>SUMIF('Как будет'!$A$63:$A$70,Доп.расчеты!$A273,'Как будет'!FO$63:FO$70)</f>
        <v>0</v>
      </c>
      <c r="FO273">
        <f>SUMIF('Как будет'!$A$63:$A$70,Доп.расчеты!$A273,'Как будет'!FP$63:FP$70)</f>
        <v>0</v>
      </c>
      <c r="FP273">
        <f>SUMIF('Как будет'!$A$63:$A$70,Доп.расчеты!$A273,'Как будет'!FQ$63:FQ$70)</f>
        <v>0</v>
      </c>
      <c r="FQ273">
        <f>SUMIF('Как будет'!$A$63:$A$70,Доп.расчеты!$A273,'Как будет'!FR$63:FR$70)</f>
        <v>0</v>
      </c>
      <c r="FR273">
        <f>SUMIF('Как будет'!$A$63:$A$70,Доп.расчеты!$A273,'Как будет'!FS$63:FS$70)</f>
        <v>0</v>
      </c>
      <c r="FS273">
        <f>SUMIF('Как будет'!$A$63:$A$70,Доп.расчеты!$A273,'Как будет'!FT$63:FT$70)</f>
        <v>0</v>
      </c>
      <c r="FT273">
        <f>SUMIF('Как будет'!$A$63:$A$70,Доп.расчеты!$A273,'Как будет'!FU$63:FU$70)</f>
        <v>0</v>
      </c>
      <c r="FU273">
        <f>SUMIF('Как будет'!$A$63:$A$70,Доп.расчеты!$A273,'Как будет'!FV$63:FV$70)</f>
        <v>0</v>
      </c>
      <c r="FV273">
        <f>SUMIF('Как будет'!$A$63:$A$70,Доп.расчеты!$A273,'Как будет'!FW$63:FW$70)</f>
        <v>0</v>
      </c>
      <c r="FW273">
        <f>SUMIF('Как будет'!$A$63:$A$70,Доп.расчеты!$A273,'Как будет'!FX$63:FX$70)</f>
        <v>0</v>
      </c>
      <c r="FX273">
        <f>SUMIF('Как будет'!$A$63:$A$70,Доп.расчеты!$A273,'Как будет'!FY$63:FY$70)</f>
        <v>0</v>
      </c>
      <c r="FY273">
        <f>SUMIF('Как будет'!$A$63:$A$70,Доп.расчеты!$A273,'Как будет'!FZ$63:FZ$70)</f>
        <v>0</v>
      </c>
      <c r="FZ273">
        <f>SUMIF('Как будет'!$A$63:$A$70,Доп.расчеты!$A273,'Как будет'!GA$63:GA$70)</f>
        <v>0</v>
      </c>
      <c r="GA273">
        <f>SUMIF('Как будет'!$A$63:$A$70,Доп.расчеты!$A273,'Как будет'!GB$63:GB$70)</f>
        <v>0</v>
      </c>
      <c r="GB273">
        <f>SUMIF('Как будет'!$A$63:$A$70,Доп.расчеты!$A273,'Как будет'!GC$63:GC$70)</f>
        <v>0</v>
      </c>
      <c r="GC273">
        <f>SUMIF('Как будет'!$A$63:$A$70,Доп.расчеты!$A273,'Как будет'!GD$63:GD$70)</f>
        <v>0</v>
      </c>
      <c r="GD273">
        <f>SUMIF('Как будет'!$A$63:$A$70,Доп.расчеты!$A273,'Как будет'!GE$63:GE$70)</f>
        <v>0</v>
      </c>
      <c r="GE273">
        <f>SUMIF('Как будет'!$A$63:$A$70,Доп.расчеты!$A273,'Как будет'!GF$63:GF$70)</f>
        <v>0</v>
      </c>
      <c r="GF273">
        <f>SUMIF('Как будет'!$A$63:$A$70,Доп.расчеты!$A273,'Как будет'!GG$63:GG$70)</f>
        <v>0</v>
      </c>
      <c r="GG273">
        <f>SUMIF('Как будет'!$A$63:$A$70,Доп.расчеты!$A273,'Как будет'!GH$63:GH$70)</f>
        <v>0</v>
      </c>
      <c r="GH273">
        <f>SUMIF('Как будет'!$A$63:$A$70,Доп.расчеты!$A273,'Как будет'!GI$63:GI$70)</f>
        <v>0</v>
      </c>
      <c r="GI273">
        <f>SUMIF('Как будет'!$A$63:$A$70,Доп.расчеты!$A273,'Как будет'!GJ$63:GJ$70)</f>
        <v>0</v>
      </c>
      <c r="GJ273">
        <f>SUMIF('Как будет'!$A$63:$A$70,Доп.расчеты!$A273,'Как будет'!GK$63:GK$70)</f>
        <v>0</v>
      </c>
      <c r="GK273">
        <f>SUMIF('Как будет'!$A$63:$A$70,Доп.расчеты!$A273,'Как будет'!GL$63:GL$70)</f>
        <v>0</v>
      </c>
      <c r="GL273">
        <f>SUMIF('Как будет'!$A$63:$A$70,Доп.расчеты!$A273,'Как будет'!GM$63:GM$70)</f>
        <v>0</v>
      </c>
      <c r="GM273">
        <f>SUMIF('Как будет'!$A$63:$A$70,Доп.расчеты!$A273,'Как будет'!GN$63:GN$70)</f>
        <v>0</v>
      </c>
      <c r="GN273">
        <f>SUMIF('Как будет'!$A$63:$A$70,Доп.расчеты!$A273,'Как будет'!GO$63:GO$70)</f>
        <v>0</v>
      </c>
      <c r="GO273">
        <f>SUMIF('Как будет'!$A$63:$A$70,Доп.расчеты!$A273,'Как будет'!GP$63:GP$70)</f>
        <v>0</v>
      </c>
      <c r="GP273">
        <f>SUMIF('Как будет'!$A$63:$A$70,Доп.расчеты!$A273,'Как будет'!GQ$63:GQ$70)</f>
        <v>0</v>
      </c>
      <c r="GQ273">
        <f>SUMIF('Как будет'!$A$63:$A$70,Доп.расчеты!$A273,'Как будет'!GR$63:GR$70)</f>
        <v>0</v>
      </c>
      <c r="GR273">
        <f>SUMIF('Как будет'!$A$63:$A$70,Доп.расчеты!$A273,'Как будет'!GS$63:GS$70)</f>
        <v>0</v>
      </c>
      <c r="GS273">
        <f>SUMIF('Как будет'!$A$63:$A$70,Доп.расчеты!$A273,'Как будет'!GT$63:GT$70)</f>
        <v>0</v>
      </c>
      <c r="GT273">
        <f>SUMIF('Как будет'!$A$63:$A$70,Доп.расчеты!$A273,'Как будет'!GU$63:GU$70)</f>
        <v>0</v>
      </c>
    </row>
    <row r="274" spans="1:202">
      <c r="A274" s="238" t="s">
        <v>12</v>
      </c>
      <c r="B274">
        <f>SUMIF('Как будет'!$A$63:$A$70,Доп.расчеты!$A274,'Как будет'!C$63:C$70)</f>
        <v>0</v>
      </c>
      <c r="C274">
        <f>SUMIF('Как будет'!$A$63:$A$70,Доп.расчеты!$A274,'Как будет'!D$63:D$70)</f>
        <v>0</v>
      </c>
      <c r="D274">
        <f>SUMIF('Как будет'!$A$63:$A$70,Доп.расчеты!$A274,'Как будет'!E$63:E$70)</f>
        <v>0</v>
      </c>
      <c r="E274">
        <f>SUMIF('Как будет'!$A$63:$A$70,Доп.расчеты!$A274,'Как будет'!F$63:F$70)</f>
        <v>0</v>
      </c>
      <c r="F274">
        <f>SUMIF('Как будет'!$A$63:$A$70,Доп.расчеты!$A274,'Как будет'!G$63:G$70)</f>
        <v>0</v>
      </c>
      <c r="G274">
        <f>SUMIF('Как будет'!$A$63:$A$70,Доп.расчеты!$A274,'Как будет'!H$63:H$70)</f>
        <v>0</v>
      </c>
      <c r="H274">
        <f>SUMIF('Как будет'!$A$63:$A$70,Доп.расчеты!$A274,'Как будет'!I$63:I$70)</f>
        <v>0</v>
      </c>
      <c r="I274">
        <f>SUMIF('Как будет'!$A$63:$A$70,Доп.расчеты!$A274,'Как будет'!J$63:J$70)</f>
        <v>0</v>
      </c>
      <c r="J274">
        <f>SUMIF('Как будет'!$A$63:$A$70,Доп.расчеты!$A274,'Как будет'!K$63:K$70)</f>
        <v>0</v>
      </c>
      <c r="K274">
        <f>SUMIF('Как будет'!$A$63:$A$70,Доп.расчеты!$A274,'Как будет'!L$63:L$70)</f>
        <v>0</v>
      </c>
      <c r="L274">
        <f>SUMIF('Как будет'!$A$63:$A$70,Доп.расчеты!$A274,'Как будет'!M$63:M$70)</f>
        <v>0</v>
      </c>
      <c r="M274">
        <f>SUMIF('Как будет'!$A$63:$A$70,Доп.расчеты!$A274,'Как будет'!N$63:N$70)</f>
        <v>0</v>
      </c>
      <c r="N274">
        <f>SUMIF('Как будет'!$A$63:$A$70,Доп.расчеты!$A274,'Как будет'!O$63:O$70)</f>
        <v>0</v>
      </c>
      <c r="O274">
        <f>SUMIF('Как будет'!$A$63:$A$70,Доп.расчеты!$A274,'Как будет'!P$63:P$70)</f>
        <v>0</v>
      </c>
      <c r="P274">
        <f>SUMIF('Как будет'!$A$63:$A$70,Доп.расчеты!$A274,'Как будет'!Q$63:Q$70)</f>
        <v>0</v>
      </c>
      <c r="Q274">
        <f>SUMIF('Как будет'!$A$63:$A$70,Доп.расчеты!$A274,'Как будет'!R$63:R$70)</f>
        <v>0</v>
      </c>
      <c r="R274">
        <f>SUMIF('Как будет'!$A$63:$A$70,Доп.расчеты!$A274,'Как будет'!S$63:S$70)</f>
        <v>0</v>
      </c>
      <c r="S274">
        <f>SUMIF('Как будет'!$A$63:$A$70,Доп.расчеты!$A274,'Как будет'!T$63:T$70)</f>
        <v>0</v>
      </c>
      <c r="T274">
        <f>SUMIF('Как будет'!$A$63:$A$70,Доп.расчеты!$A274,'Как будет'!U$63:U$70)</f>
        <v>0</v>
      </c>
      <c r="U274">
        <f>SUMIF('Как будет'!$A$63:$A$70,Доп.расчеты!$A274,'Как будет'!V$63:V$70)</f>
        <v>0</v>
      </c>
      <c r="V274">
        <f>SUMIF('Как будет'!$A$63:$A$70,Доп.расчеты!$A274,'Как будет'!W$63:W$70)</f>
        <v>0</v>
      </c>
      <c r="W274">
        <f>SUMIF('Как будет'!$A$63:$A$70,Доп.расчеты!$A274,'Как будет'!X$63:X$70)</f>
        <v>0</v>
      </c>
      <c r="X274">
        <f>SUMIF('Как будет'!$A$63:$A$70,Доп.расчеты!$A274,'Как будет'!Y$63:Y$70)</f>
        <v>0</v>
      </c>
      <c r="Y274">
        <f>SUMIF('Как будет'!$A$63:$A$70,Доп.расчеты!$A274,'Как будет'!Z$63:Z$70)</f>
        <v>0</v>
      </c>
      <c r="Z274">
        <f>SUMIF('Как будет'!$A$63:$A$70,Доп.расчеты!$A274,'Как будет'!AA$63:AA$70)</f>
        <v>0</v>
      </c>
      <c r="AA274">
        <f>SUMIF('Как будет'!$A$63:$A$70,Доп.расчеты!$A274,'Как будет'!AB$63:AB$70)</f>
        <v>0</v>
      </c>
      <c r="AB274">
        <f>SUMIF('Как будет'!$A$63:$A$70,Доп.расчеты!$A274,'Как будет'!AC$63:AC$70)</f>
        <v>0</v>
      </c>
      <c r="AC274">
        <f>SUMIF('Как будет'!$A$63:$A$70,Доп.расчеты!$A274,'Как будет'!AD$63:AD$70)</f>
        <v>0</v>
      </c>
      <c r="AD274">
        <f>SUMIF('Как будет'!$A$63:$A$70,Доп.расчеты!$A274,'Как будет'!AE$63:AE$70)</f>
        <v>0</v>
      </c>
      <c r="AE274">
        <f>SUMIF('Как будет'!$A$63:$A$70,Доп.расчеты!$A274,'Как будет'!AF$63:AF$70)</f>
        <v>0</v>
      </c>
      <c r="AF274">
        <f>SUMIF('Как будет'!$A$63:$A$70,Доп.расчеты!$A274,'Как будет'!AG$63:AG$70)</f>
        <v>0</v>
      </c>
      <c r="AG274">
        <f>SUMIF('Как будет'!$A$63:$A$70,Доп.расчеты!$A274,'Как будет'!AH$63:AH$70)</f>
        <v>0</v>
      </c>
      <c r="AH274">
        <f>SUMIF('Как будет'!$A$63:$A$70,Доп.расчеты!$A274,'Как будет'!AI$63:AI$70)</f>
        <v>0</v>
      </c>
      <c r="AI274">
        <f>SUMIF('Как будет'!$A$63:$A$70,Доп.расчеты!$A274,'Как будет'!AJ$63:AJ$70)</f>
        <v>0</v>
      </c>
      <c r="AJ274">
        <f>SUMIF('Как будет'!$A$63:$A$70,Доп.расчеты!$A274,'Как будет'!AK$63:AK$70)</f>
        <v>0</v>
      </c>
      <c r="AK274">
        <f>SUMIF('Как будет'!$A$63:$A$70,Доп.расчеты!$A274,'Как будет'!AL$63:AL$70)</f>
        <v>0</v>
      </c>
      <c r="AL274">
        <f>SUMIF('Как будет'!$A$63:$A$70,Доп.расчеты!$A274,'Как будет'!AM$63:AM$70)</f>
        <v>0</v>
      </c>
      <c r="AM274">
        <f>SUMIF('Как будет'!$A$63:$A$70,Доп.расчеты!$A274,'Как будет'!AN$63:AN$70)</f>
        <v>0</v>
      </c>
      <c r="AN274">
        <f>SUMIF('Как будет'!$A$63:$A$70,Доп.расчеты!$A274,'Как будет'!AO$63:AO$70)</f>
        <v>0</v>
      </c>
      <c r="AO274">
        <f>SUMIF('Как будет'!$A$63:$A$70,Доп.расчеты!$A274,'Как будет'!AP$63:AP$70)</f>
        <v>0</v>
      </c>
      <c r="AP274">
        <f>SUMIF('Как будет'!$A$63:$A$70,Доп.расчеты!$A274,'Как будет'!AQ$63:AQ$70)</f>
        <v>0</v>
      </c>
      <c r="AQ274">
        <f>SUMIF('Как будет'!$A$63:$A$70,Доп.расчеты!$A274,'Как будет'!AR$63:AR$70)</f>
        <v>0</v>
      </c>
      <c r="AR274">
        <f>SUMIF('Как будет'!$A$63:$A$70,Доп.расчеты!$A274,'Как будет'!AS$63:AS$70)</f>
        <v>0</v>
      </c>
      <c r="AS274">
        <f>SUMIF('Как будет'!$A$63:$A$70,Доп.расчеты!$A274,'Как будет'!AT$63:AT$70)</f>
        <v>0</v>
      </c>
      <c r="AT274">
        <f>SUMIF('Как будет'!$A$63:$A$70,Доп.расчеты!$A274,'Как будет'!AU$63:AU$70)</f>
        <v>0</v>
      </c>
      <c r="AU274">
        <f>SUMIF('Как будет'!$A$63:$A$70,Доп.расчеты!$A274,'Как будет'!AV$63:AV$70)</f>
        <v>0</v>
      </c>
      <c r="AV274">
        <f>SUMIF('Как будет'!$A$63:$A$70,Доп.расчеты!$A274,'Как будет'!AW$63:AW$70)</f>
        <v>0</v>
      </c>
      <c r="AW274">
        <f>SUMIF('Как будет'!$A$63:$A$70,Доп.расчеты!$A274,'Как будет'!AX$63:AX$70)</f>
        <v>0</v>
      </c>
      <c r="AX274">
        <f>SUMIF('Как будет'!$A$63:$A$70,Доп.расчеты!$A274,'Как будет'!AY$63:AY$70)</f>
        <v>0</v>
      </c>
      <c r="AY274">
        <f>SUMIF('Как будет'!$A$63:$A$70,Доп.расчеты!$A274,'Как будет'!AZ$63:AZ$70)</f>
        <v>0</v>
      </c>
      <c r="AZ274">
        <f>SUMIF('Как будет'!$A$63:$A$70,Доп.расчеты!$A274,'Как будет'!BA$63:BA$70)</f>
        <v>0</v>
      </c>
      <c r="BA274">
        <f>SUMIF('Как будет'!$A$63:$A$70,Доп.расчеты!$A274,'Как будет'!BB$63:BB$70)</f>
        <v>0</v>
      </c>
      <c r="BB274">
        <f>SUMIF('Как будет'!$A$63:$A$70,Доп.расчеты!$A274,'Как будет'!BC$63:BC$70)</f>
        <v>0</v>
      </c>
      <c r="BC274">
        <f>SUMIF('Как будет'!$A$63:$A$70,Доп.расчеты!$A274,'Как будет'!BD$63:BD$70)</f>
        <v>0</v>
      </c>
      <c r="BD274">
        <f>SUMIF('Как будет'!$A$63:$A$70,Доп.расчеты!$A274,'Как будет'!BE$63:BE$70)</f>
        <v>0</v>
      </c>
      <c r="BE274">
        <f>SUMIF('Как будет'!$A$63:$A$70,Доп.расчеты!$A274,'Как будет'!BF$63:BF$70)</f>
        <v>0</v>
      </c>
      <c r="BF274">
        <f>SUMIF('Как будет'!$A$63:$A$70,Доп.расчеты!$A274,'Как будет'!BG$63:BG$70)</f>
        <v>0</v>
      </c>
      <c r="BG274">
        <f>SUMIF('Как будет'!$A$63:$A$70,Доп.расчеты!$A274,'Как будет'!BH$63:BH$70)</f>
        <v>0</v>
      </c>
      <c r="BH274">
        <f>SUMIF('Как будет'!$A$63:$A$70,Доп.расчеты!$A274,'Как будет'!BI$63:BI$70)</f>
        <v>0</v>
      </c>
      <c r="BI274">
        <f>SUMIF('Как будет'!$A$63:$A$70,Доп.расчеты!$A274,'Как будет'!BJ$63:BJ$70)</f>
        <v>0</v>
      </c>
      <c r="BJ274">
        <f>SUMIF('Как будет'!$A$63:$A$70,Доп.расчеты!$A274,'Как будет'!BK$63:BK$70)</f>
        <v>0</v>
      </c>
      <c r="BK274">
        <f>SUMIF('Как будет'!$A$63:$A$70,Доп.расчеты!$A274,'Как будет'!BL$63:BL$70)</f>
        <v>0</v>
      </c>
      <c r="BL274">
        <f>SUMIF('Как будет'!$A$63:$A$70,Доп.расчеты!$A274,'Как будет'!BM$63:BM$70)</f>
        <v>0</v>
      </c>
      <c r="BM274">
        <f>SUMIF('Как будет'!$A$63:$A$70,Доп.расчеты!$A274,'Как будет'!BN$63:BN$70)</f>
        <v>0</v>
      </c>
      <c r="BN274">
        <f>SUMIF('Как будет'!$A$63:$A$70,Доп.расчеты!$A274,'Как будет'!BO$63:BO$70)</f>
        <v>0</v>
      </c>
      <c r="BO274">
        <f>SUMIF('Как будет'!$A$63:$A$70,Доп.расчеты!$A274,'Как будет'!BP$63:BP$70)</f>
        <v>0</v>
      </c>
      <c r="BP274">
        <f>SUMIF('Как будет'!$A$63:$A$70,Доп.расчеты!$A274,'Как будет'!BQ$63:BQ$70)</f>
        <v>0</v>
      </c>
      <c r="BQ274">
        <f>SUMIF('Как будет'!$A$63:$A$70,Доп.расчеты!$A274,'Как будет'!BR$63:BR$70)</f>
        <v>0</v>
      </c>
      <c r="BR274">
        <f>SUMIF('Как будет'!$A$63:$A$70,Доп.расчеты!$A274,'Как будет'!BS$63:BS$70)</f>
        <v>0</v>
      </c>
      <c r="BS274">
        <f>SUMIF('Как будет'!$A$63:$A$70,Доп.расчеты!$A274,'Как будет'!BT$63:BT$70)</f>
        <v>0</v>
      </c>
      <c r="BT274">
        <f>SUMIF('Как будет'!$A$63:$A$70,Доп.расчеты!$A274,'Как будет'!BU$63:BU$70)</f>
        <v>0</v>
      </c>
      <c r="BU274">
        <f>SUMIF('Как будет'!$A$63:$A$70,Доп.расчеты!$A274,'Как будет'!BV$63:BV$70)</f>
        <v>0</v>
      </c>
      <c r="BV274">
        <f>SUMIF('Как будет'!$A$63:$A$70,Доп.расчеты!$A274,'Как будет'!BW$63:BW$70)</f>
        <v>0</v>
      </c>
      <c r="BW274">
        <f>SUMIF('Как будет'!$A$63:$A$70,Доп.расчеты!$A274,'Как будет'!BX$63:BX$70)</f>
        <v>0</v>
      </c>
      <c r="BX274">
        <f>SUMIF('Как будет'!$A$63:$A$70,Доп.расчеты!$A274,'Как будет'!BY$63:BY$70)</f>
        <v>0</v>
      </c>
      <c r="BY274">
        <f>SUMIF('Как будет'!$A$63:$A$70,Доп.расчеты!$A274,'Как будет'!BZ$63:BZ$70)</f>
        <v>0</v>
      </c>
      <c r="BZ274">
        <f>SUMIF('Как будет'!$A$63:$A$70,Доп.расчеты!$A274,'Как будет'!CA$63:CA$70)</f>
        <v>0</v>
      </c>
      <c r="CA274">
        <f>SUMIF('Как будет'!$A$63:$A$70,Доп.расчеты!$A274,'Как будет'!CB$63:CB$70)</f>
        <v>0</v>
      </c>
      <c r="CB274">
        <f>SUMIF('Как будет'!$A$63:$A$70,Доп.расчеты!$A274,'Как будет'!CC$63:CC$70)</f>
        <v>0</v>
      </c>
      <c r="CC274">
        <f>SUMIF('Как будет'!$A$63:$A$70,Доп.расчеты!$A274,'Как будет'!CD$63:CD$70)</f>
        <v>0</v>
      </c>
      <c r="CD274">
        <f>SUMIF('Как будет'!$A$63:$A$70,Доп.расчеты!$A274,'Как будет'!CE$63:CE$70)</f>
        <v>0</v>
      </c>
      <c r="CE274">
        <f>SUMIF('Как будет'!$A$63:$A$70,Доп.расчеты!$A274,'Как будет'!CF$63:CF$70)</f>
        <v>0</v>
      </c>
      <c r="CF274">
        <f>SUMIF('Как будет'!$A$63:$A$70,Доп.расчеты!$A274,'Как будет'!CG$63:CG$70)</f>
        <v>0</v>
      </c>
      <c r="CG274">
        <f>SUMIF('Как будет'!$A$63:$A$70,Доп.расчеты!$A274,'Как будет'!CH$63:CH$70)</f>
        <v>0</v>
      </c>
      <c r="CH274">
        <f>SUMIF('Как будет'!$A$63:$A$70,Доп.расчеты!$A274,'Как будет'!CI$63:CI$70)</f>
        <v>0</v>
      </c>
      <c r="CI274">
        <f>SUMIF('Как будет'!$A$63:$A$70,Доп.расчеты!$A274,'Как будет'!CJ$63:CJ$70)</f>
        <v>0</v>
      </c>
      <c r="CJ274">
        <f>SUMIF('Как будет'!$A$63:$A$70,Доп.расчеты!$A274,'Как будет'!CK$63:CK$70)</f>
        <v>0</v>
      </c>
      <c r="CK274">
        <f>SUMIF('Как будет'!$A$63:$A$70,Доп.расчеты!$A274,'Как будет'!CL$63:CL$70)</f>
        <v>0</v>
      </c>
      <c r="CL274">
        <f>SUMIF('Как будет'!$A$63:$A$70,Доп.расчеты!$A274,'Как будет'!CM$63:CM$70)</f>
        <v>0</v>
      </c>
      <c r="CM274">
        <f>SUMIF('Как будет'!$A$63:$A$70,Доп.расчеты!$A274,'Как будет'!CN$63:CN$70)</f>
        <v>0</v>
      </c>
      <c r="CN274">
        <f>SUMIF('Как будет'!$A$63:$A$70,Доп.расчеты!$A274,'Как будет'!CO$63:CO$70)</f>
        <v>0</v>
      </c>
      <c r="CO274">
        <f>SUMIF('Как будет'!$A$63:$A$70,Доп.расчеты!$A274,'Как будет'!CP$63:CP$70)</f>
        <v>0</v>
      </c>
      <c r="CP274">
        <f>SUMIF('Как будет'!$A$63:$A$70,Доп.расчеты!$A274,'Как будет'!CQ$63:CQ$70)</f>
        <v>0</v>
      </c>
      <c r="CQ274">
        <f>SUMIF('Как будет'!$A$63:$A$70,Доп.расчеты!$A274,'Как будет'!CR$63:CR$70)</f>
        <v>0</v>
      </c>
      <c r="CR274">
        <f>SUMIF('Как будет'!$A$63:$A$70,Доп.расчеты!$A274,'Как будет'!CS$63:CS$70)</f>
        <v>0</v>
      </c>
      <c r="CS274">
        <f>SUMIF('Как будет'!$A$63:$A$70,Доп.расчеты!$A274,'Как будет'!CT$63:CT$70)</f>
        <v>0</v>
      </c>
      <c r="CT274">
        <f>SUMIF('Как будет'!$A$63:$A$70,Доп.расчеты!$A274,'Как будет'!CU$63:CU$70)</f>
        <v>0</v>
      </c>
      <c r="CU274">
        <f>SUMIF('Как будет'!$A$63:$A$70,Доп.расчеты!$A274,'Как будет'!CV$63:CV$70)</f>
        <v>0</v>
      </c>
      <c r="CV274">
        <f>SUMIF('Как будет'!$A$63:$A$70,Доп.расчеты!$A274,'Как будет'!CW$63:CW$70)</f>
        <v>0</v>
      </c>
      <c r="CW274">
        <f>SUMIF('Как будет'!$A$63:$A$70,Доп.расчеты!$A274,'Как будет'!CX$63:CX$70)</f>
        <v>0</v>
      </c>
      <c r="CX274">
        <f>SUMIF('Как будет'!$A$63:$A$70,Доп.расчеты!$A274,'Как будет'!CY$63:CY$70)</f>
        <v>0</v>
      </c>
      <c r="CY274">
        <f>SUMIF('Как будет'!$A$63:$A$70,Доп.расчеты!$A274,'Как будет'!CZ$63:CZ$70)</f>
        <v>0</v>
      </c>
      <c r="CZ274">
        <f>SUMIF('Как будет'!$A$63:$A$70,Доп.расчеты!$A274,'Как будет'!DA$63:DA$70)</f>
        <v>0</v>
      </c>
      <c r="DA274">
        <f>SUMIF('Как будет'!$A$63:$A$70,Доп.расчеты!$A274,'Как будет'!DB$63:DB$70)</f>
        <v>0</v>
      </c>
      <c r="DB274">
        <f>SUMIF('Как будет'!$A$63:$A$70,Доп.расчеты!$A274,'Как будет'!DC$63:DC$70)</f>
        <v>0</v>
      </c>
      <c r="DC274">
        <f>SUMIF('Как будет'!$A$63:$A$70,Доп.расчеты!$A274,'Как будет'!DD$63:DD$70)</f>
        <v>0</v>
      </c>
      <c r="DD274">
        <f>SUMIF('Как будет'!$A$63:$A$70,Доп.расчеты!$A274,'Как будет'!DE$63:DE$70)</f>
        <v>0</v>
      </c>
      <c r="DE274">
        <f>SUMIF('Как будет'!$A$63:$A$70,Доп.расчеты!$A274,'Как будет'!DF$63:DF$70)</f>
        <v>0</v>
      </c>
      <c r="DF274">
        <f>SUMIF('Как будет'!$A$63:$A$70,Доп.расчеты!$A274,'Как будет'!DG$63:DG$70)</f>
        <v>0</v>
      </c>
      <c r="DG274">
        <f>SUMIF('Как будет'!$A$63:$A$70,Доп.расчеты!$A274,'Как будет'!DH$63:DH$70)</f>
        <v>0</v>
      </c>
      <c r="DH274">
        <f>SUMIF('Как будет'!$A$63:$A$70,Доп.расчеты!$A274,'Как будет'!DI$63:DI$70)</f>
        <v>0</v>
      </c>
      <c r="DI274">
        <f>SUMIF('Как будет'!$A$63:$A$70,Доп.расчеты!$A274,'Как будет'!DJ$63:DJ$70)</f>
        <v>0</v>
      </c>
      <c r="DJ274">
        <f>SUMIF('Как будет'!$A$63:$A$70,Доп.расчеты!$A274,'Как будет'!DK$63:DK$70)</f>
        <v>0</v>
      </c>
      <c r="DK274">
        <f>SUMIF('Как будет'!$A$63:$A$70,Доп.расчеты!$A274,'Как будет'!DL$63:DL$70)</f>
        <v>0</v>
      </c>
      <c r="DL274">
        <f>SUMIF('Как будет'!$A$63:$A$70,Доп.расчеты!$A274,'Как будет'!DM$63:DM$70)</f>
        <v>0</v>
      </c>
      <c r="DM274">
        <f>SUMIF('Как будет'!$A$63:$A$70,Доп.расчеты!$A274,'Как будет'!DN$63:DN$70)</f>
        <v>0</v>
      </c>
      <c r="DN274">
        <f>SUMIF('Как будет'!$A$63:$A$70,Доп.расчеты!$A274,'Как будет'!DO$63:DO$70)</f>
        <v>0</v>
      </c>
      <c r="DO274">
        <f>SUMIF('Как будет'!$A$63:$A$70,Доп.расчеты!$A274,'Как будет'!DP$63:DP$70)</f>
        <v>0</v>
      </c>
      <c r="DP274">
        <f>SUMIF('Как будет'!$A$63:$A$70,Доп.расчеты!$A274,'Как будет'!DQ$63:DQ$70)</f>
        <v>0</v>
      </c>
      <c r="DQ274">
        <f>SUMIF('Как будет'!$A$63:$A$70,Доп.расчеты!$A274,'Как будет'!DR$63:DR$70)</f>
        <v>0</v>
      </c>
      <c r="DR274">
        <f>SUMIF('Как будет'!$A$63:$A$70,Доп.расчеты!$A274,'Как будет'!DS$63:DS$70)</f>
        <v>0</v>
      </c>
      <c r="DS274">
        <f>SUMIF('Как будет'!$A$63:$A$70,Доп.расчеты!$A274,'Как будет'!DT$63:DT$70)</f>
        <v>0</v>
      </c>
      <c r="DT274">
        <f>SUMIF('Как будет'!$A$63:$A$70,Доп.расчеты!$A274,'Как будет'!DU$63:DU$70)</f>
        <v>0</v>
      </c>
      <c r="DU274">
        <f>SUMIF('Как будет'!$A$63:$A$70,Доп.расчеты!$A274,'Как будет'!DV$63:DV$70)</f>
        <v>0</v>
      </c>
      <c r="DV274">
        <f>SUMIF('Как будет'!$A$63:$A$70,Доп.расчеты!$A274,'Как будет'!DW$63:DW$70)</f>
        <v>0</v>
      </c>
      <c r="DW274">
        <f>SUMIF('Как будет'!$A$63:$A$70,Доп.расчеты!$A274,'Как будет'!DX$63:DX$70)</f>
        <v>0</v>
      </c>
      <c r="DX274">
        <f>SUMIF('Как будет'!$A$63:$A$70,Доп.расчеты!$A274,'Как будет'!DY$63:DY$70)</f>
        <v>0</v>
      </c>
      <c r="DY274">
        <f>SUMIF('Как будет'!$A$63:$A$70,Доп.расчеты!$A274,'Как будет'!DZ$63:DZ$70)</f>
        <v>0</v>
      </c>
      <c r="DZ274">
        <f>SUMIF('Как будет'!$A$63:$A$70,Доп.расчеты!$A274,'Как будет'!EA$63:EA$70)</f>
        <v>0</v>
      </c>
      <c r="EA274">
        <f>SUMIF('Как будет'!$A$63:$A$70,Доп.расчеты!$A274,'Как будет'!EB$63:EB$70)</f>
        <v>0</v>
      </c>
      <c r="EB274">
        <f>SUMIF('Как будет'!$A$63:$A$70,Доп.расчеты!$A274,'Как будет'!EC$63:EC$70)</f>
        <v>0</v>
      </c>
      <c r="EC274">
        <f>SUMIF('Как будет'!$A$63:$A$70,Доп.расчеты!$A274,'Как будет'!ED$63:ED$70)</f>
        <v>0</v>
      </c>
      <c r="ED274">
        <f>SUMIF('Как будет'!$A$63:$A$70,Доп.расчеты!$A274,'Как будет'!EE$63:EE$70)</f>
        <v>0</v>
      </c>
      <c r="EE274">
        <f>SUMIF('Как будет'!$A$63:$A$70,Доп.расчеты!$A274,'Как будет'!EF$63:EF$70)</f>
        <v>0</v>
      </c>
      <c r="EF274">
        <f>SUMIF('Как будет'!$A$63:$A$70,Доп.расчеты!$A274,'Как будет'!EG$63:EG$70)</f>
        <v>0</v>
      </c>
      <c r="EG274">
        <f>SUMIF('Как будет'!$A$63:$A$70,Доп.расчеты!$A274,'Как будет'!EH$63:EH$70)</f>
        <v>0</v>
      </c>
      <c r="EH274">
        <f>SUMIF('Как будет'!$A$63:$A$70,Доп.расчеты!$A274,'Как будет'!EI$63:EI$70)</f>
        <v>0</v>
      </c>
      <c r="EI274">
        <f>SUMIF('Как будет'!$A$63:$A$70,Доп.расчеты!$A274,'Как будет'!EJ$63:EJ$70)</f>
        <v>0</v>
      </c>
      <c r="EJ274">
        <f>SUMIF('Как будет'!$A$63:$A$70,Доп.расчеты!$A274,'Как будет'!EK$63:EK$70)</f>
        <v>0</v>
      </c>
      <c r="EK274">
        <f>SUMIF('Как будет'!$A$63:$A$70,Доп.расчеты!$A274,'Как будет'!EL$63:EL$70)</f>
        <v>0</v>
      </c>
      <c r="EL274">
        <f>SUMIF('Как будет'!$A$63:$A$70,Доп.расчеты!$A274,'Как будет'!EM$63:EM$70)</f>
        <v>0</v>
      </c>
      <c r="EM274">
        <f>SUMIF('Как будет'!$A$63:$A$70,Доп.расчеты!$A274,'Как будет'!EN$63:EN$70)</f>
        <v>0</v>
      </c>
      <c r="EN274">
        <f>SUMIF('Как будет'!$A$63:$A$70,Доп.расчеты!$A274,'Как будет'!EO$63:EO$70)</f>
        <v>0</v>
      </c>
      <c r="EO274">
        <f>SUMIF('Как будет'!$A$63:$A$70,Доп.расчеты!$A274,'Как будет'!EP$63:EP$70)</f>
        <v>0</v>
      </c>
      <c r="EP274">
        <f>SUMIF('Как будет'!$A$63:$A$70,Доп.расчеты!$A274,'Как будет'!EQ$63:EQ$70)</f>
        <v>0</v>
      </c>
      <c r="EQ274">
        <f>SUMIF('Как будет'!$A$63:$A$70,Доп.расчеты!$A274,'Как будет'!ER$63:ER$70)</f>
        <v>0</v>
      </c>
      <c r="ER274">
        <f>SUMIF('Как будет'!$A$63:$A$70,Доп.расчеты!$A274,'Как будет'!ES$63:ES$70)</f>
        <v>0</v>
      </c>
      <c r="ES274">
        <f>SUMIF('Как будет'!$A$63:$A$70,Доп.расчеты!$A274,'Как будет'!ET$63:ET$70)</f>
        <v>0</v>
      </c>
      <c r="ET274">
        <f>SUMIF('Как будет'!$A$63:$A$70,Доп.расчеты!$A274,'Как будет'!EU$63:EU$70)</f>
        <v>0</v>
      </c>
      <c r="EU274">
        <f>SUMIF('Как будет'!$A$63:$A$70,Доп.расчеты!$A274,'Как будет'!EV$63:EV$70)</f>
        <v>0</v>
      </c>
      <c r="EV274">
        <f>SUMIF('Как будет'!$A$63:$A$70,Доп.расчеты!$A274,'Как будет'!EW$63:EW$70)</f>
        <v>0</v>
      </c>
      <c r="EW274">
        <f>SUMIF('Как будет'!$A$63:$A$70,Доп.расчеты!$A274,'Как будет'!EX$63:EX$70)</f>
        <v>0</v>
      </c>
      <c r="EX274">
        <f>SUMIF('Как будет'!$A$63:$A$70,Доп.расчеты!$A274,'Как будет'!EY$63:EY$70)</f>
        <v>0</v>
      </c>
      <c r="EY274">
        <f>SUMIF('Как будет'!$A$63:$A$70,Доп.расчеты!$A274,'Как будет'!EZ$63:EZ$70)</f>
        <v>0</v>
      </c>
      <c r="EZ274">
        <f>SUMIF('Как будет'!$A$63:$A$70,Доп.расчеты!$A274,'Как будет'!FA$63:FA$70)</f>
        <v>0</v>
      </c>
      <c r="FA274">
        <f>SUMIF('Как будет'!$A$63:$A$70,Доп.расчеты!$A274,'Как будет'!FB$63:FB$70)</f>
        <v>0</v>
      </c>
      <c r="FB274">
        <f>SUMIF('Как будет'!$A$63:$A$70,Доп.расчеты!$A274,'Как будет'!FC$63:FC$70)</f>
        <v>0</v>
      </c>
      <c r="FC274">
        <f>SUMIF('Как будет'!$A$63:$A$70,Доп.расчеты!$A274,'Как будет'!FD$63:FD$70)</f>
        <v>0</v>
      </c>
      <c r="FD274">
        <f>SUMIF('Как будет'!$A$63:$A$70,Доп.расчеты!$A274,'Как будет'!FE$63:FE$70)</f>
        <v>0</v>
      </c>
      <c r="FE274">
        <f>SUMIF('Как будет'!$A$63:$A$70,Доп.расчеты!$A274,'Как будет'!FF$63:FF$70)</f>
        <v>0</v>
      </c>
      <c r="FF274">
        <f>SUMIF('Как будет'!$A$63:$A$70,Доп.расчеты!$A274,'Как будет'!FG$63:FG$70)</f>
        <v>0</v>
      </c>
      <c r="FG274">
        <f>SUMIF('Как будет'!$A$63:$A$70,Доп.расчеты!$A274,'Как будет'!FH$63:FH$70)</f>
        <v>0</v>
      </c>
      <c r="FH274">
        <f>SUMIF('Как будет'!$A$63:$A$70,Доп.расчеты!$A274,'Как будет'!FI$63:FI$70)</f>
        <v>0</v>
      </c>
      <c r="FI274">
        <f>SUMIF('Как будет'!$A$63:$A$70,Доп.расчеты!$A274,'Как будет'!FJ$63:FJ$70)</f>
        <v>0</v>
      </c>
      <c r="FJ274">
        <f>SUMIF('Как будет'!$A$63:$A$70,Доп.расчеты!$A274,'Как будет'!FK$63:FK$70)</f>
        <v>0</v>
      </c>
      <c r="FK274">
        <f>SUMIF('Как будет'!$A$63:$A$70,Доп.расчеты!$A274,'Как будет'!FL$63:FL$70)</f>
        <v>0</v>
      </c>
      <c r="FL274">
        <f>SUMIF('Как будет'!$A$63:$A$70,Доп.расчеты!$A274,'Как будет'!FM$63:FM$70)</f>
        <v>0</v>
      </c>
      <c r="FM274">
        <f>SUMIF('Как будет'!$A$63:$A$70,Доп.расчеты!$A274,'Как будет'!FN$63:FN$70)</f>
        <v>0</v>
      </c>
      <c r="FN274">
        <f>SUMIF('Как будет'!$A$63:$A$70,Доп.расчеты!$A274,'Как будет'!FO$63:FO$70)</f>
        <v>0</v>
      </c>
      <c r="FO274">
        <f>SUMIF('Как будет'!$A$63:$A$70,Доп.расчеты!$A274,'Как будет'!FP$63:FP$70)</f>
        <v>0</v>
      </c>
      <c r="FP274">
        <f>SUMIF('Как будет'!$A$63:$A$70,Доп.расчеты!$A274,'Как будет'!FQ$63:FQ$70)</f>
        <v>0</v>
      </c>
      <c r="FQ274">
        <f>SUMIF('Как будет'!$A$63:$A$70,Доп.расчеты!$A274,'Как будет'!FR$63:FR$70)</f>
        <v>0</v>
      </c>
      <c r="FR274">
        <f>SUMIF('Как будет'!$A$63:$A$70,Доп.расчеты!$A274,'Как будет'!FS$63:FS$70)</f>
        <v>0</v>
      </c>
      <c r="FS274">
        <f>SUMIF('Как будет'!$A$63:$A$70,Доп.расчеты!$A274,'Как будет'!FT$63:FT$70)</f>
        <v>0</v>
      </c>
      <c r="FT274">
        <f>SUMIF('Как будет'!$A$63:$A$70,Доп.расчеты!$A274,'Как будет'!FU$63:FU$70)</f>
        <v>0</v>
      </c>
      <c r="FU274">
        <f>SUMIF('Как будет'!$A$63:$A$70,Доп.расчеты!$A274,'Как будет'!FV$63:FV$70)</f>
        <v>0</v>
      </c>
      <c r="FV274">
        <f>SUMIF('Как будет'!$A$63:$A$70,Доп.расчеты!$A274,'Как будет'!FW$63:FW$70)</f>
        <v>0</v>
      </c>
      <c r="FW274">
        <f>SUMIF('Как будет'!$A$63:$A$70,Доп.расчеты!$A274,'Как будет'!FX$63:FX$70)</f>
        <v>0</v>
      </c>
      <c r="FX274">
        <f>SUMIF('Как будет'!$A$63:$A$70,Доп.расчеты!$A274,'Как будет'!FY$63:FY$70)</f>
        <v>0</v>
      </c>
      <c r="FY274">
        <f>SUMIF('Как будет'!$A$63:$A$70,Доп.расчеты!$A274,'Как будет'!FZ$63:FZ$70)</f>
        <v>0</v>
      </c>
      <c r="FZ274">
        <f>SUMIF('Как будет'!$A$63:$A$70,Доп.расчеты!$A274,'Как будет'!GA$63:GA$70)</f>
        <v>0</v>
      </c>
      <c r="GA274">
        <f>SUMIF('Как будет'!$A$63:$A$70,Доп.расчеты!$A274,'Как будет'!GB$63:GB$70)</f>
        <v>0</v>
      </c>
      <c r="GB274">
        <f>SUMIF('Как будет'!$A$63:$A$70,Доп.расчеты!$A274,'Как будет'!GC$63:GC$70)</f>
        <v>0</v>
      </c>
      <c r="GC274">
        <f>SUMIF('Как будет'!$A$63:$A$70,Доп.расчеты!$A274,'Как будет'!GD$63:GD$70)</f>
        <v>0</v>
      </c>
      <c r="GD274">
        <f>SUMIF('Как будет'!$A$63:$A$70,Доп.расчеты!$A274,'Как будет'!GE$63:GE$70)</f>
        <v>0</v>
      </c>
      <c r="GE274">
        <f>SUMIF('Как будет'!$A$63:$A$70,Доп.расчеты!$A274,'Как будет'!GF$63:GF$70)</f>
        <v>0</v>
      </c>
      <c r="GF274">
        <f>SUMIF('Как будет'!$A$63:$A$70,Доп.расчеты!$A274,'Как будет'!GG$63:GG$70)</f>
        <v>0</v>
      </c>
      <c r="GG274">
        <f>SUMIF('Как будет'!$A$63:$A$70,Доп.расчеты!$A274,'Как будет'!GH$63:GH$70)</f>
        <v>0</v>
      </c>
      <c r="GH274">
        <f>SUMIF('Как будет'!$A$63:$A$70,Доп.расчеты!$A274,'Как будет'!GI$63:GI$70)</f>
        <v>0</v>
      </c>
      <c r="GI274">
        <f>SUMIF('Как будет'!$A$63:$A$70,Доп.расчеты!$A274,'Как будет'!GJ$63:GJ$70)</f>
        <v>0</v>
      </c>
      <c r="GJ274">
        <f>SUMIF('Как будет'!$A$63:$A$70,Доп.расчеты!$A274,'Как будет'!GK$63:GK$70)</f>
        <v>0</v>
      </c>
      <c r="GK274">
        <f>SUMIF('Как будет'!$A$63:$A$70,Доп.расчеты!$A274,'Как будет'!GL$63:GL$70)</f>
        <v>0</v>
      </c>
      <c r="GL274">
        <f>SUMIF('Как будет'!$A$63:$A$70,Доп.расчеты!$A274,'Как будет'!GM$63:GM$70)</f>
        <v>0</v>
      </c>
      <c r="GM274">
        <f>SUMIF('Как будет'!$A$63:$A$70,Доп.расчеты!$A274,'Как будет'!GN$63:GN$70)</f>
        <v>0</v>
      </c>
      <c r="GN274">
        <f>SUMIF('Как будет'!$A$63:$A$70,Доп.расчеты!$A274,'Как будет'!GO$63:GO$70)</f>
        <v>0</v>
      </c>
      <c r="GO274">
        <f>SUMIF('Как будет'!$A$63:$A$70,Доп.расчеты!$A274,'Как будет'!GP$63:GP$70)</f>
        <v>0</v>
      </c>
      <c r="GP274">
        <f>SUMIF('Как будет'!$A$63:$A$70,Доп.расчеты!$A274,'Как будет'!GQ$63:GQ$70)</f>
        <v>0</v>
      </c>
      <c r="GQ274">
        <f>SUMIF('Как будет'!$A$63:$A$70,Доп.расчеты!$A274,'Как будет'!GR$63:GR$70)</f>
        <v>0</v>
      </c>
      <c r="GR274">
        <f>SUMIF('Как будет'!$A$63:$A$70,Доп.расчеты!$A274,'Как будет'!GS$63:GS$70)</f>
        <v>0</v>
      </c>
      <c r="GS274">
        <f>SUMIF('Как будет'!$A$63:$A$70,Доп.расчеты!$A274,'Как будет'!GT$63:GT$70)</f>
        <v>0</v>
      </c>
      <c r="GT274">
        <f>SUMIF('Как будет'!$A$63:$A$70,Доп.расчеты!$A274,'Как будет'!GU$63:GU$70)</f>
        <v>0</v>
      </c>
    </row>
    <row r="275" spans="1:202">
      <c r="A275" s="238" t="s">
        <v>116</v>
      </c>
      <c r="B275">
        <f>SUMIF('Как будет'!$A$63:$A$70,Доп.расчеты!$A275,'Как будет'!C$63:C$70)</f>
        <v>0</v>
      </c>
      <c r="C275">
        <f>SUMIF('Как будет'!$A$63:$A$70,Доп.расчеты!$A275,'Как будет'!D$63:D$70)</f>
        <v>0</v>
      </c>
      <c r="D275">
        <f>SUMIF('Как будет'!$A$63:$A$70,Доп.расчеты!$A275,'Как будет'!E$63:E$70)</f>
        <v>0</v>
      </c>
      <c r="E275">
        <f>SUMIF('Как будет'!$A$63:$A$70,Доп.расчеты!$A275,'Как будет'!F$63:F$70)</f>
        <v>0</v>
      </c>
      <c r="F275">
        <f>SUMIF('Как будет'!$A$63:$A$70,Доп.расчеты!$A275,'Как будет'!G$63:G$70)</f>
        <v>0</v>
      </c>
      <c r="G275">
        <f>SUMIF('Как будет'!$A$63:$A$70,Доп.расчеты!$A275,'Как будет'!H$63:H$70)</f>
        <v>0</v>
      </c>
      <c r="H275">
        <f>SUMIF('Как будет'!$A$63:$A$70,Доп.расчеты!$A275,'Как будет'!I$63:I$70)</f>
        <v>0</v>
      </c>
      <c r="I275">
        <f>SUMIF('Как будет'!$A$63:$A$70,Доп.расчеты!$A275,'Как будет'!J$63:J$70)</f>
        <v>0</v>
      </c>
      <c r="J275">
        <f>SUMIF('Как будет'!$A$63:$A$70,Доп.расчеты!$A275,'Как будет'!K$63:K$70)</f>
        <v>0</v>
      </c>
      <c r="K275">
        <f>SUMIF('Как будет'!$A$63:$A$70,Доп.расчеты!$A275,'Как будет'!L$63:L$70)</f>
        <v>0</v>
      </c>
      <c r="L275">
        <f>SUMIF('Как будет'!$A$63:$A$70,Доп.расчеты!$A275,'Как будет'!M$63:M$70)</f>
        <v>0</v>
      </c>
      <c r="M275">
        <f>SUMIF('Как будет'!$A$63:$A$70,Доп.расчеты!$A275,'Как будет'!N$63:N$70)</f>
        <v>0</v>
      </c>
      <c r="N275">
        <f>SUMIF('Как будет'!$A$63:$A$70,Доп.расчеты!$A275,'Как будет'!O$63:O$70)</f>
        <v>0</v>
      </c>
      <c r="O275">
        <f>SUMIF('Как будет'!$A$63:$A$70,Доп.расчеты!$A275,'Как будет'!P$63:P$70)</f>
        <v>0</v>
      </c>
      <c r="P275">
        <f>SUMIF('Как будет'!$A$63:$A$70,Доп.расчеты!$A275,'Как будет'!Q$63:Q$70)</f>
        <v>0</v>
      </c>
      <c r="Q275">
        <f>SUMIF('Как будет'!$A$63:$A$70,Доп.расчеты!$A275,'Как будет'!R$63:R$70)</f>
        <v>0</v>
      </c>
      <c r="R275">
        <f>SUMIF('Как будет'!$A$63:$A$70,Доп.расчеты!$A275,'Как будет'!S$63:S$70)</f>
        <v>0</v>
      </c>
      <c r="S275">
        <f>SUMIF('Как будет'!$A$63:$A$70,Доп.расчеты!$A275,'Как будет'!T$63:T$70)</f>
        <v>0</v>
      </c>
      <c r="T275">
        <f>SUMIF('Как будет'!$A$63:$A$70,Доп.расчеты!$A275,'Как будет'!U$63:U$70)</f>
        <v>0</v>
      </c>
      <c r="U275">
        <f>SUMIF('Как будет'!$A$63:$A$70,Доп.расчеты!$A275,'Как будет'!V$63:V$70)</f>
        <v>0</v>
      </c>
      <c r="V275">
        <f>SUMIF('Как будет'!$A$63:$A$70,Доп.расчеты!$A275,'Как будет'!W$63:W$70)</f>
        <v>0</v>
      </c>
      <c r="W275">
        <f>SUMIF('Как будет'!$A$63:$A$70,Доп.расчеты!$A275,'Как будет'!X$63:X$70)</f>
        <v>0</v>
      </c>
      <c r="X275">
        <f>SUMIF('Как будет'!$A$63:$A$70,Доп.расчеты!$A275,'Как будет'!Y$63:Y$70)</f>
        <v>0</v>
      </c>
      <c r="Y275">
        <f>SUMIF('Как будет'!$A$63:$A$70,Доп.расчеты!$A275,'Как будет'!Z$63:Z$70)</f>
        <v>0</v>
      </c>
      <c r="Z275">
        <f>SUMIF('Как будет'!$A$63:$A$70,Доп.расчеты!$A275,'Как будет'!AA$63:AA$70)</f>
        <v>0</v>
      </c>
      <c r="AA275">
        <f>SUMIF('Как будет'!$A$63:$A$70,Доп.расчеты!$A275,'Как будет'!AB$63:AB$70)</f>
        <v>0</v>
      </c>
      <c r="AB275">
        <f>SUMIF('Как будет'!$A$63:$A$70,Доп.расчеты!$A275,'Как будет'!AC$63:AC$70)</f>
        <v>0</v>
      </c>
      <c r="AC275">
        <f>SUMIF('Как будет'!$A$63:$A$70,Доп.расчеты!$A275,'Как будет'!AD$63:AD$70)</f>
        <v>0</v>
      </c>
      <c r="AD275">
        <f>SUMIF('Как будет'!$A$63:$A$70,Доп.расчеты!$A275,'Как будет'!AE$63:AE$70)</f>
        <v>0</v>
      </c>
      <c r="AE275">
        <f>SUMIF('Как будет'!$A$63:$A$70,Доп.расчеты!$A275,'Как будет'!AF$63:AF$70)</f>
        <v>0</v>
      </c>
      <c r="AF275">
        <f>SUMIF('Как будет'!$A$63:$A$70,Доп.расчеты!$A275,'Как будет'!AG$63:AG$70)</f>
        <v>0</v>
      </c>
      <c r="AG275">
        <f>SUMIF('Как будет'!$A$63:$A$70,Доп.расчеты!$A275,'Как будет'!AH$63:AH$70)</f>
        <v>0</v>
      </c>
      <c r="AH275">
        <f>SUMIF('Как будет'!$A$63:$A$70,Доп.расчеты!$A275,'Как будет'!AI$63:AI$70)</f>
        <v>0</v>
      </c>
      <c r="AI275">
        <f>SUMIF('Как будет'!$A$63:$A$70,Доп.расчеты!$A275,'Как будет'!AJ$63:AJ$70)</f>
        <v>0</v>
      </c>
      <c r="AJ275">
        <f>SUMIF('Как будет'!$A$63:$A$70,Доп.расчеты!$A275,'Как будет'!AK$63:AK$70)</f>
        <v>0</v>
      </c>
      <c r="AK275">
        <f>SUMIF('Как будет'!$A$63:$A$70,Доп.расчеты!$A275,'Как будет'!AL$63:AL$70)</f>
        <v>0</v>
      </c>
      <c r="AL275">
        <f>SUMIF('Как будет'!$A$63:$A$70,Доп.расчеты!$A275,'Как будет'!AM$63:AM$70)</f>
        <v>0</v>
      </c>
      <c r="AM275">
        <f>SUMIF('Как будет'!$A$63:$A$70,Доп.расчеты!$A275,'Как будет'!AN$63:AN$70)</f>
        <v>0</v>
      </c>
      <c r="AN275">
        <f>SUMIF('Как будет'!$A$63:$A$70,Доп.расчеты!$A275,'Как будет'!AO$63:AO$70)</f>
        <v>0</v>
      </c>
      <c r="AO275">
        <f>SUMIF('Как будет'!$A$63:$A$70,Доп.расчеты!$A275,'Как будет'!AP$63:AP$70)</f>
        <v>0</v>
      </c>
      <c r="AP275">
        <f>SUMIF('Как будет'!$A$63:$A$70,Доп.расчеты!$A275,'Как будет'!AQ$63:AQ$70)</f>
        <v>0</v>
      </c>
      <c r="AQ275">
        <f>SUMIF('Как будет'!$A$63:$A$70,Доп.расчеты!$A275,'Как будет'!AR$63:AR$70)</f>
        <v>0</v>
      </c>
      <c r="AR275">
        <f>SUMIF('Как будет'!$A$63:$A$70,Доп.расчеты!$A275,'Как будет'!AS$63:AS$70)</f>
        <v>0</v>
      </c>
      <c r="AS275">
        <f>SUMIF('Как будет'!$A$63:$A$70,Доп.расчеты!$A275,'Как будет'!AT$63:AT$70)</f>
        <v>0</v>
      </c>
      <c r="AT275">
        <f>SUMIF('Как будет'!$A$63:$A$70,Доп.расчеты!$A275,'Как будет'!AU$63:AU$70)</f>
        <v>0</v>
      </c>
      <c r="AU275">
        <f>SUMIF('Как будет'!$A$63:$A$70,Доп.расчеты!$A275,'Как будет'!AV$63:AV$70)</f>
        <v>0</v>
      </c>
      <c r="AV275">
        <f>SUMIF('Как будет'!$A$63:$A$70,Доп.расчеты!$A275,'Как будет'!AW$63:AW$70)</f>
        <v>0</v>
      </c>
      <c r="AW275">
        <f>SUMIF('Как будет'!$A$63:$A$70,Доп.расчеты!$A275,'Как будет'!AX$63:AX$70)</f>
        <v>0</v>
      </c>
      <c r="AX275">
        <f>SUMIF('Как будет'!$A$63:$A$70,Доп.расчеты!$A275,'Как будет'!AY$63:AY$70)</f>
        <v>0</v>
      </c>
      <c r="AY275">
        <f>SUMIF('Как будет'!$A$63:$A$70,Доп.расчеты!$A275,'Как будет'!AZ$63:AZ$70)</f>
        <v>0</v>
      </c>
      <c r="AZ275">
        <f>SUMIF('Как будет'!$A$63:$A$70,Доп.расчеты!$A275,'Как будет'!BA$63:BA$70)</f>
        <v>0</v>
      </c>
      <c r="BA275">
        <f>SUMIF('Как будет'!$A$63:$A$70,Доп.расчеты!$A275,'Как будет'!BB$63:BB$70)</f>
        <v>0</v>
      </c>
      <c r="BB275">
        <f>SUMIF('Как будет'!$A$63:$A$70,Доп.расчеты!$A275,'Как будет'!BC$63:BC$70)</f>
        <v>0</v>
      </c>
      <c r="BC275">
        <f>SUMIF('Как будет'!$A$63:$A$70,Доп.расчеты!$A275,'Как будет'!BD$63:BD$70)</f>
        <v>0</v>
      </c>
      <c r="BD275">
        <f>SUMIF('Как будет'!$A$63:$A$70,Доп.расчеты!$A275,'Как будет'!BE$63:BE$70)</f>
        <v>0</v>
      </c>
      <c r="BE275">
        <f>SUMIF('Как будет'!$A$63:$A$70,Доп.расчеты!$A275,'Как будет'!BF$63:BF$70)</f>
        <v>0</v>
      </c>
      <c r="BF275">
        <f>SUMIF('Как будет'!$A$63:$A$70,Доп.расчеты!$A275,'Как будет'!BG$63:BG$70)</f>
        <v>0</v>
      </c>
      <c r="BG275">
        <f>SUMIF('Как будет'!$A$63:$A$70,Доп.расчеты!$A275,'Как будет'!BH$63:BH$70)</f>
        <v>0</v>
      </c>
      <c r="BH275">
        <f>SUMIF('Как будет'!$A$63:$A$70,Доп.расчеты!$A275,'Как будет'!BI$63:BI$70)</f>
        <v>0</v>
      </c>
      <c r="BI275">
        <f>SUMIF('Как будет'!$A$63:$A$70,Доп.расчеты!$A275,'Как будет'!BJ$63:BJ$70)</f>
        <v>0</v>
      </c>
      <c r="BJ275">
        <f>SUMIF('Как будет'!$A$63:$A$70,Доп.расчеты!$A275,'Как будет'!BK$63:BK$70)</f>
        <v>0</v>
      </c>
      <c r="BK275">
        <f>SUMIF('Как будет'!$A$63:$A$70,Доп.расчеты!$A275,'Как будет'!BL$63:BL$70)</f>
        <v>0</v>
      </c>
      <c r="BL275">
        <f>SUMIF('Как будет'!$A$63:$A$70,Доп.расчеты!$A275,'Как будет'!BM$63:BM$70)</f>
        <v>0</v>
      </c>
      <c r="BM275">
        <f>SUMIF('Как будет'!$A$63:$A$70,Доп.расчеты!$A275,'Как будет'!BN$63:BN$70)</f>
        <v>0</v>
      </c>
      <c r="BN275">
        <f>SUMIF('Как будет'!$A$63:$A$70,Доп.расчеты!$A275,'Как будет'!BO$63:BO$70)</f>
        <v>0</v>
      </c>
      <c r="BO275">
        <f>SUMIF('Как будет'!$A$63:$A$70,Доп.расчеты!$A275,'Как будет'!BP$63:BP$70)</f>
        <v>0</v>
      </c>
      <c r="BP275">
        <f>SUMIF('Как будет'!$A$63:$A$70,Доп.расчеты!$A275,'Как будет'!BQ$63:BQ$70)</f>
        <v>0</v>
      </c>
      <c r="BQ275">
        <f>SUMIF('Как будет'!$A$63:$A$70,Доп.расчеты!$A275,'Как будет'!BR$63:BR$70)</f>
        <v>0</v>
      </c>
      <c r="BR275">
        <f>SUMIF('Как будет'!$A$63:$A$70,Доп.расчеты!$A275,'Как будет'!BS$63:BS$70)</f>
        <v>0</v>
      </c>
      <c r="BS275">
        <f>SUMIF('Как будет'!$A$63:$A$70,Доп.расчеты!$A275,'Как будет'!BT$63:BT$70)</f>
        <v>0</v>
      </c>
      <c r="BT275">
        <f>SUMIF('Как будет'!$A$63:$A$70,Доп.расчеты!$A275,'Как будет'!BU$63:BU$70)</f>
        <v>0</v>
      </c>
      <c r="BU275">
        <f>SUMIF('Как будет'!$A$63:$A$70,Доп.расчеты!$A275,'Как будет'!BV$63:BV$70)</f>
        <v>0</v>
      </c>
      <c r="BV275">
        <f>SUMIF('Как будет'!$A$63:$A$70,Доп.расчеты!$A275,'Как будет'!BW$63:BW$70)</f>
        <v>0</v>
      </c>
      <c r="BW275">
        <f>SUMIF('Как будет'!$A$63:$A$70,Доп.расчеты!$A275,'Как будет'!BX$63:BX$70)</f>
        <v>0</v>
      </c>
      <c r="BX275">
        <f>SUMIF('Как будет'!$A$63:$A$70,Доп.расчеты!$A275,'Как будет'!BY$63:BY$70)</f>
        <v>0</v>
      </c>
      <c r="BY275">
        <f>SUMIF('Как будет'!$A$63:$A$70,Доп.расчеты!$A275,'Как будет'!BZ$63:BZ$70)</f>
        <v>0</v>
      </c>
      <c r="BZ275">
        <f>SUMIF('Как будет'!$A$63:$A$70,Доп.расчеты!$A275,'Как будет'!CA$63:CA$70)</f>
        <v>0</v>
      </c>
      <c r="CA275">
        <f>SUMIF('Как будет'!$A$63:$A$70,Доп.расчеты!$A275,'Как будет'!CB$63:CB$70)</f>
        <v>0</v>
      </c>
      <c r="CB275">
        <f>SUMIF('Как будет'!$A$63:$A$70,Доп.расчеты!$A275,'Как будет'!CC$63:CC$70)</f>
        <v>0</v>
      </c>
      <c r="CC275">
        <f>SUMIF('Как будет'!$A$63:$A$70,Доп.расчеты!$A275,'Как будет'!CD$63:CD$70)</f>
        <v>0</v>
      </c>
      <c r="CD275">
        <f>SUMIF('Как будет'!$A$63:$A$70,Доп.расчеты!$A275,'Как будет'!CE$63:CE$70)</f>
        <v>0</v>
      </c>
      <c r="CE275">
        <f>SUMIF('Как будет'!$A$63:$A$70,Доп.расчеты!$A275,'Как будет'!CF$63:CF$70)</f>
        <v>0</v>
      </c>
      <c r="CF275">
        <f>SUMIF('Как будет'!$A$63:$A$70,Доп.расчеты!$A275,'Как будет'!CG$63:CG$70)</f>
        <v>0</v>
      </c>
      <c r="CG275">
        <f>SUMIF('Как будет'!$A$63:$A$70,Доп.расчеты!$A275,'Как будет'!CH$63:CH$70)</f>
        <v>0</v>
      </c>
      <c r="CH275">
        <f>SUMIF('Как будет'!$A$63:$A$70,Доп.расчеты!$A275,'Как будет'!CI$63:CI$70)</f>
        <v>0</v>
      </c>
      <c r="CI275">
        <f>SUMIF('Как будет'!$A$63:$A$70,Доп.расчеты!$A275,'Как будет'!CJ$63:CJ$70)</f>
        <v>0</v>
      </c>
      <c r="CJ275">
        <f>SUMIF('Как будет'!$A$63:$A$70,Доп.расчеты!$A275,'Как будет'!CK$63:CK$70)</f>
        <v>0</v>
      </c>
      <c r="CK275">
        <f>SUMIF('Как будет'!$A$63:$A$70,Доп.расчеты!$A275,'Как будет'!CL$63:CL$70)</f>
        <v>0</v>
      </c>
      <c r="CL275">
        <f>SUMIF('Как будет'!$A$63:$A$70,Доп.расчеты!$A275,'Как будет'!CM$63:CM$70)</f>
        <v>0</v>
      </c>
      <c r="CM275">
        <f>SUMIF('Как будет'!$A$63:$A$70,Доп.расчеты!$A275,'Как будет'!CN$63:CN$70)</f>
        <v>0</v>
      </c>
      <c r="CN275">
        <f>SUMIF('Как будет'!$A$63:$A$70,Доп.расчеты!$A275,'Как будет'!CO$63:CO$70)</f>
        <v>0</v>
      </c>
      <c r="CO275">
        <f>SUMIF('Как будет'!$A$63:$A$70,Доп.расчеты!$A275,'Как будет'!CP$63:CP$70)</f>
        <v>0</v>
      </c>
      <c r="CP275">
        <f>SUMIF('Как будет'!$A$63:$A$70,Доп.расчеты!$A275,'Как будет'!CQ$63:CQ$70)</f>
        <v>0</v>
      </c>
      <c r="CQ275">
        <f>SUMIF('Как будет'!$A$63:$A$70,Доп.расчеты!$A275,'Как будет'!CR$63:CR$70)</f>
        <v>0</v>
      </c>
      <c r="CR275">
        <f>SUMIF('Как будет'!$A$63:$A$70,Доп.расчеты!$A275,'Как будет'!CS$63:CS$70)</f>
        <v>0</v>
      </c>
      <c r="CS275">
        <f>SUMIF('Как будет'!$A$63:$A$70,Доп.расчеты!$A275,'Как будет'!CT$63:CT$70)</f>
        <v>0</v>
      </c>
      <c r="CT275">
        <f>SUMIF('Как будет'!$A$63:$A$70,Доп.расчеты!$A275,'Как будет'!CU$63:CU$70)</f>
        <v>0</v>
      </c>
      <c r="CU275">
        <f>SUMIF('Как будет'!$A$63:$A$70,Доп.расчеты!$A275,'Как будет'!CV$63:CV$70)</f>
        <v>0</v>
      </c>
      <c r="CV275">
        <f>SUMIF('Как будет'!$A$63:$A$70,Доп.расчеты!$A275,'Как будет'!CW$63:CW$70)</f>
        <v>0</v>
      </c>
      <c r="CW275">
        <f>SUMIF('Как будет'!$A$63:$A$70,Доп.расчеты!$A275,'Как будет'!CX$63:CX$70)</f>
        <v>0</v>
      </c>
      <c r="CX275">
        <f>SUMIF('Как будет'!$A$63:$A$70,Доп.расчеты!$A275,'Как будет'!CY$63:CY$70)</f>
        <v>0</v>
      </c>
      <c r="CY275">
        <f>SUMIF('Как будет'!$A$63:$A$70,Доп.расчеты!$A275,'Как будет'!CZ$63:CZ$70)</f>
        <v>0</v>
      </c>
      <c r="CZ275">
        <f>SUMIF('Как будет'!$A$63:$A$70,Доп.расчеты!$A275,'Как будет'!DA$63:DA$70)</f>
        <v>0</v>
      </c>
      <c r="DA275">
        <f>SUMIF('Как будет'!$A$63:$A$70,Доп.расчеты!$A275,'Как будет'!DB$63:DB$70)</f>
        <v>0</v>
      </c>
      <c r="DB275">
        <f>SUMIF('Как будет'!$A$63:$A$70,Доп.расчеты!$A275,'Как будет'!DC$63:DC$70)</f>
        <v>0</v>
      </c>
      <c r="DC275">
        <f>SUMIF('Как будет'!$A$63:$A$70,Доп.расчеты!$A275,'Как будет'!DD$63:DD$70)</f>
        <v>0</v>
      </c>
      <c r="DD275">
        <f>SUMIF('Как будет'!$A$63:$A$70,Доп.расчеты!$A275,'Как будет'!DE$63:DE$70)</f>
        <v>0</v>
      </c>
      <c r="DE275">
        <f>SUMIF('Как будет'!$A$63:$A$70,Доп.расчеты!$A275,'Как будет'!DF$63:DF$70)</f>
        <v>0</v>
      </c>
      <c r="DF275">
        <f>SUMIF('Как будет'!$A$63:$A$70,Доп.расчеты!$A275,'Как будет'!DG$63:DG$70)</f>
        <v>0</v>
      </c>
      <c r="DG275">
        <f>SUMIF('Как будет'!$A$63:$A$70,Доп.расчеты!$A275,'Как будет'!DH$63:DH$70)</f>
        <v>0</v>
      </c>
      <c r="DH275">
        <f>SUMIF('Как будет'!$A$63:$A$70,Доп.расчеты!$A275,'Как будет'!DI$63:DI$70)</f>
        <v>0</v>
      </c>
      <c r="DI275">
        <f>SUMIF('Как будет'!$A$63:$A$70,Доп.расчеты!$A275,'Как будет'!DJ$63:DJ$70)</f>
        <v>0</v>
      </c>
      <c r="DJ275">
        <f>SUMIF('Как будет'!$A$63:$A$70,Доп.расчеты!$A275,'Как будет'!DK$63:DK$70)</f>
        <v>0</v>
      </c>
      <c r="DK275">
        <f>SUMIF('Как будет'!$A$63:$A$70,Доп.расчеты!$A275,'Как будет'!DL$63:DL$70)</f>
        <v>0</v>
      </c>
      <c r="DL275">
        <f>SUMIF('Как будет'!$A$63:$A$70,Доп.расчеты!$A275,'Как будет'!DM$63:DM$70)</f>
        <v>0</v>
      </c>
      <c r="DM275">
        <f>SUMIF('Как будет'!$A$63:$A$70,Доп.расчеты!$A275,'Как будет'!DN$63:DN$70)</f>
        <v>0</v>
      </c>
      <c r="DN275">
        <f>SUMIF('Как будет'!$A$63:$A$70,Доп.расчеты!$A275,'Как будет'!DO$63:DO$70)</f>
        <v>0</v>
      </c>
      <c r="DO275">
        <f>SUMIF('Как будет'!$A$63:$A$70,Доп.расчеты!$A275,'Как будет'!DP$63:DP$70)</f>
        <v>0</v>
      </c>
      <c r="DP275">
        <f>SUMIF('Как будет'!$A$63:$A$70,Доп.расчеты!$A275,'Как будет'!DQ$63:DQ$70)</f>
        <v>0</v>
      </c>
      <c r="DQ275">
        <f>SUMIF('Как будет'!$A$63:$A$70,Доп.расчеты!$A275,'Как будет'!DR$63:DR$70)</f>
        <v>0</v>
      </c>
      <c r="DR275">
        <f>SUMIF('Как будет'!$A$63:$A$70,Доп.расчеты!$A275,'Как будет'!DS$63:DS$70)</f>
        <v>0</v>
      </c>
      <c r="DS275">
        <f>SUMIF('Как будет'!$A$63:$A$70,Доп.расчеты!$A275,'Как будет'!DT$63:DT$70)</f>
        <v>0</v>
      </c>
      <c r="DT275">
        <f>SUMIF('Как будет'!$A$63:$A$70,Доп.расчеты!$A275,'Как будет'!DU$63:DU$70)</f>
        <v>0</v>
      </c>
      <c r="DU275">
        <f>SUMIF('Как будет'!$A$63:$A$70,Доп.расчеты!$A275,'Как будет'!DV$63:DV$70)</f>
        <v>0</v>
      </c>
      <c r="DV275">
        <f>SUMIF('Как будет'!$A$63:$A$70,Доп.расчеты!$A275,'Как будет'!DW$63:DW$70)</f>
        <v>0</v>
      </c>
      <c r="DW275">
        <f>SUMIF('Как будет'!$A$63:$A$70,Доп.расчеты!$A275,'Как будет'!DX$63:DX$70)</f>
        <v>0</v>
      </c>
      <c r="DX275">
        <f>SUMIF('Как будет'!$A$63:$A$70,Доп.расчеты!$A275,'Как будет'!DY$63:DY$70)</f>
        <v>0</v>
      </c>
      <c r="DY275">
        <f>SUMIF('Как будет'!$A$63:$A$70,Доп.расчеты!$A275,'Как будет'!DZ$63:DZ$70)</f>
        <v>0</v>
      </c>
      <c r="DZ275">
        <f>SUMIF('Как будет'!$A$63:$A$70,Доп.расчеты!$A275,'Как будет'!EA$63:EA$70)</f>
        <v>0</v>
      </c>
      <c r="EA275">
        <f>SUMIF('Как будет'!$A$63:$A$70,Доп.расчеты!$A275,'Как будет'!EB$63:EB$70)</f>
        <v>0</v>
      </c>
      <c r="EB275">
        <f>SUMIF('Как будет'!$A$63:$A$70,Доп.расчеты!$A275,'Как будет'!EC$63:EC$70)</f>
        <v>0</v>
      </c>
      <c r="EC275">
        <f>SUMIF('Как будет'!$A$63:$A$70,Доп.расчеты!$A275,'Как будет'!ED$63:ED$70)</f>
        <v>0</v>
      </c>
      <c r="ED275">
        <f>SUMIF('Как будет'!$A$63:$A$70,Доп.расчеты!$A275,'Как будет'!EE$63:EE$70)</f>
        <v>0</v>
      </c>
      <c r="EE275">
        <f>SUMIF('Как будет'!$A$63:$A$70,Доп.расчеты!$A275,'Как будет'!EF$63:EF$70)</f>
        <v>0</v>
      </c>
      <c r="EF275">
        <f>SUMIF('Как будет'!$A$63:$A$70,Доп.расчеты!$A275,'Как будет'!EG$63:EG$70)</f>
        <v>0</v>
      </c>
      <c r="EG275">
        <f>SUMIF('Как будет'!$A$63:$A$70,Доп.расчеты!$A275,'Как будет'!EH$63:EH$70)</f>
        <v>0</v>
      </c>
      <c r="EH275">
        <f>SUMIF('Как будет'!$A$63:$A$70,Доп.расчеты!$A275,'Как будет'!EI$63:EI$70)</f>
        <v>0</v>
      </c>
      <c r="EI275">
        <f>SUMIF('Как будет'!$A$63:$A$70,Доп.расчеты!$A275,'Как будет'!EJ$63:EJ$70)</f>
        <v>0</v>
      </c>
      <c r="EJ275">
        <f>SUMIF('Как будет'!$A$63:$A$70,Доп.расчеты!$A275,'Как будет'!EK$63:EK$70)</f>
        <v>0</v>
      </c>
      <c r="EK275">
        <f>SUMIF('Как будет'!$A$63:$A$70,Доп.расчеты!$A275,'Как будет'!EL$63:EL$70)</f>
        <v>0</v>
      </c>
      <c r="EL275">
        <f>SUMIF('Как будет'!$A$63:$A$70,Доп.расчеты!$A275,'Как будет'!EM$63:EM$70)</f>
        <v>0</v>
      </c>
      <c r="EM275">
        <f>SUMIF('Как будет'!$A$63:$A$70,Доп.расчеты!$A275,'Как будет'!EN$63:EN$70)</f>
        <v>0</v>
      </c>
      <c r="EN275">
        <f>SUMIF('Как будет'!$A$63:$A$70,Доп.расчеты!$A275,'Как будет'!EO$63:EO$70)</f>
        <v>0</v>
      </c>
      <c r="EO275">
        <f>SUMIF('Как будет'!$A$63:$A$70,Доп.расчеты!$A275,'Как будет'!EP$63:EP$70)</f>
        <v>0</v>
      </c>
      <c r="EP275">
        <f>SUMIF('Как будет'!$A$63:$A$70,Доп.расчеты!$A275,'Как будет'!EQ$63:EQ$70)</f>
        <v>0</v>
      </c>
      <c r="EQ275">
        <f>SUMIF('Как будет'!$A$63:$A$70,Доп.расчеты!$A275,'Как будет'!ER$63:ER$70)</f>
        <v>0</v>
      </c>
      <c r="ER275">
        <f>SUMIF('Как будет'!$A$63:$A$70,Доп.расчеты!$A275,'Как будет'!ES$63:ES$70)</f>
        <v>0</v>
      </c>
      <c r="ES275">
        <f>SUMIF('Как будет'!$A$63:$A$70,Доп.расчеты!$A275,'Как будет'!ET$63:ET$70)</f>
        <v>0</v>
      </c>
      <c r="ET275">
        <f>SUMIF('Как будет'!$A$63:$A$70,Доп.расчеты!$A275,'Как будет'!EU$63:EU$70)</f>
        <v>0</v>
      </c>
      <c r="EU275">
        <f>SUMIF('Как будет'!$A$63:$A$70,Доп.расчеты!$A275,'Как будет'!EV$63:EV$70)</f>
        <v>0</v>
      </c>
      <c r="EV275">
        <f>SUMIF('Как будет'!$A$63:$A$70,Доп.расчеты!$A275,'Как будет'!EW$63:EW$70)</f>
        <v>0</v>
      </c>
      <c r="EW275">
        <f>SUMIF('Как будет'!$A$63:$A$70,Доп.расчеты!$A275,'Как будет'!EX$63:EX$70)</f>
        <v>0</v>
      </c>
      <c r="EX275">
        <f>SUMIF('Как будет'!$A$63:$A$70,Доп.расчеты!$A275,'Как будет'!EY$63:EY$70)</f>
        <v>0</v>
      </c>
      <c r="EY275">
        <f>SUMIF('Как будет'!$A$63:$A$70,Доп.расчеты!$A275,'Как будет'!EZ$63:EZ$70)</f>
        <v>0</v>
      </c>
      <c r="EZ275">
        <f>SUMIF('Как будет'!$A$63:$A$70,Доп.расчеты!$A275,'Как будет'!FA$63:FA$70)</f>
        <v>0</v>
      </c>
      <c r="FA275">
        <f>SUMIF('Как будет'!$A$63:$A$70,Доп.расчеты!$A275,'Как будет'!FB$63:FB$70)</f>
        <v>0</v>
      </c>
      <c r="FB275">
        <f>SUMIF('Как будет'!$A$63:$A$70,Доп.расчеты!$A275,'Как будет'!FC$63:FC$70)</f>
        <v>0</v>
      </c>
      <c r="FC275">
        <f>SUMIF('Как будет'!$A$63:$A$70,Доп.расчеты!$A275,'Как будет'!FD$63:FD$70)</f>
        <v>0</v>
      </c>
      <c r="FD275">
        <f>SUMIF('Как будет'!$A$63:$A$70,Доп.расчеты!$A275,'Как будет'!FE$63:FE$70)</f>
        <v>0</v>
      </c>
      <c r="FE275">
        <f>SUMIF('Как будет'!$A$63:$A$70,Доп.расчеты!$A275,'Как будет'!FF$63:FF$70)</f>
        <v>0</v>
      </c>
      <c r="FF275">
        <f>SUMIF('Как будет'!$A$63:$A$70,Доп.расчеты!$A275,'Как будет'!FG$63:FG$70)</f>
        <v>0</v>
      </c>
      <c r="FG275">
        <f>SUMIF('Как будет'!$A$63:$A$70,Доп.расчеты!$A275,'Как будет'!FH$63:FH$70)</f>
        <v>0</v>
      </c>
      <c r="FH275">
        <f>SUMIF('Как будет'!$A$63:$A$70,Доп.расчеты!$A275,'Как будет'!FI$63:FI$70)</f>
        <v>0</v>
      </c>
      <c r="FI275">
        <f>SUMIF('Как будет'!$A$63:$A$70,Доп.расчеты!$A275,'Как будет'!FJ$63:FJ$70)</f>
        <v>0</v>
      </c>
      <c r="FJ275">
        <f>SUMIF('Как будет'!$A$63:$A$70,Доп.расчеты!$A275,'Как будет'!FK$63:FK$70)</f>
        <v>0</v>
      </c>
      <c r="FK275">
        <f>SUMIF('Как будет'!$A$63:$A$70,Доп.расчеты!$A275,'Как будет'!FL$63:FL$70)</f>
        <v>0</v>
      </c>
      <c r="FL275">
        <f>SUMIF('Как будет'!$A$63:$A$70,Доп.расчеты!$A275,'Как будет'!FM$63:FM$70)</f>
        <v>0</v>
      </c>
      <c r="FM275">
        <f>SUMIF('Как будет'!$A$63:$A$70,Доп.расчеты!$A275,'Как будет'!FN$63:FN$70)</f>
        <v>0</v>
      </c>
      <c r="FN275">
        <f>SUMIF('Как будет'!$A$63:$A$70,Доп.расчеты!$A275,'Как будет'!FO$63:FO$70)</f>
        <v>0</v>
      </c>
      <c r="FO275">
        <f>SUMIF('Как будет'!$A$63:$A$70,Доп.расчеты!$A275,'Как будет'!FP$63:FP$70)</f>
        <v>0</v>
      </c>
      <c r="FP275">
        <f>SUMIF('Как будет'!$A$63:$A$70,Доп.расчеты!$A275,'Как будет'!FQ$63:FQ$70)</f>
        <v>0</v>
      </c>
      <c r="FQ275">
        <f>SUMIF('Как будет'!$A$63:$A$70,Доп.расчеты!$A275,'Как будет'!FR$63:FR$70)</f>
        <v>0</v>
      </c>
      <c r="FR275">
        <f>SUMIF('Как будет'!$A$63:$A$70,Доп.расчеты!$A275,'Как будет'!FS$63:FS$70)</f>
        <v>0</v>
      </c>
      <c r="FS275">
        <f>SUMIF('Как будет'!$A$63:$A$70,Доп.расчеты!$A275,'Как будет'!FT$63:FT$70)</f>
        <v>0</v>
      </c>
      <c r="FT275">
        <f>SUMIF('Как будет'!$A$63:$A$70,Доп.расчеты!$A275,'Как будет'!FU$63:FU$70)</f>
        <v>0</v>
      </c>
      <c r="FU275">
        <f>SUMIF('Как будет'!$A$63:$A$70,Доп.расчеты!$A275,'Как будет'!FV$63:FV$70)</f>
        <v>0</v>
      </c>
      <c r="FV275">
        <f>SUMIF('Как будет'!$A$63:$A$70,Доп.расчеты!$A275,'Как будет'!FW$63:FW$70)</f>
        <v>0</v>
      </c>
      <c r="FW275">
        <f>SUMIF('Как будет'!$A$63:$A$70,Доп.расчеты!$A275,'Как будет'!FX$63:FX$70)</f>
        <v>0</v>
      </c>
      <c r="FX275">
        <f>SUMIF('Как будет'!$A$63:$A$70,Доп.расчеты!$A275,'Как будет'!FY$63:FY$70)</f>
        <v>0</v>
      </c>
      <c r="FY275">
        <f>SUMIF('Как будет'!$A$63:$A$70,Доп.расчеты!$A275,'Как будет'!FZ$63:FZ$70)</f>
        <v>0</v>
      </c>
      <c r="FZ275">
        <f>SUMIF('Как будет'!$A$63:$A$70,Доп.расчеты!$A275,'Как будет'!GA$63:GA$70)</f>
        <v>0</v>
      </c>
      <c r="GA275">
        <f>SUMIF('Как будет'!$A$63:$A$70,Доп.расчеты!$A275,'Как будет'!GB$63:GB$70)</f>
        <v>0</v>
      </c>
      <c r="GB275">
        <f>SUMIF('Как будет'!$A$63:$A$70,Доп.расчеты!$A275,'Как будет'!GC$63:GC$70)</f>
        <v>0</v>
      </c>
      <c r="GC275">
        <f>SUMIF('Как будет'!$A$63:$A$70,Доп.расчеты!$A275,'Как будет'!GD$63:GD$70)</f>
        <v>0</v>
      </c>
      <c r="GD275">
        <f>SUMIF('Как будет'!$A$63:$A$70,Доп.расчеты!$A275,'Как будет'!GE$63:GE$70)</f>
        <v>0</v>
      </c>
      <c r="GE275">
        <f>SUMIF('Как будет'!$A$63:$A$70,Доп.расчеты!$A275,'Как будет'!GF$63:GF$70)</f>
        <v>0</v>
      </c>
      <c r="GF275">
        <f>SUMIF('Как будет'!$A$63:$A$70,Доп.расчеты!$A275,'Как будет'!GG$63:GG$70)</f>
        <v>0</v>
      </c>
      <c r="GG275">
        <f>SUMIF('Как будет'!$A$63:$A$70,Доп.расчеты!$A275,'Как будет'!GH$63:GH$70)</f>
        <v>0</v>
      </c>
      <c r="GH275">
        <f>SUMIF('Как будет'!$A$63:$A$70,Доп.расчеты!$A275,'Как будет'!GI$63:GI$70)</f>
        <v>0</v>
      </c>
      <c r="GI275">
        <f>SUMIF('Как будет'!$A$63:$A$70,Доп.расчеты!$A275,'Как будет'!GJ$63:GJ$70)</f>
        <v>0</v>
      </c>
      <c r="GJ275">
        <f>SUMIF('Как будет'!$A$63:$A$70,Доп.расчеты!$A275,'Как будет'!GK$63:GK$70)</f>
        <v>0</v>
      </c>
      <c r="GK275">
        <f>SUMIF('Как будет'!$A$63:$A$70,Доп.расчеты!$A275,'Как будет'!GL$63:GL$70)</f>
        <v>0</v>
      </c>
      <c r="GL275">
        <f>SUMIF('Как будет'!$A$63:$A$70,Доп.расчеты!$A275,'Как будет'!GM$63:GM$70)</f>
        <v>0</v>
      </c>
      <c r="GM275">
        <f>SUMIF('Как будет'!$A$63:$A$70,Доп.расчеты!$A275,'Как будет'!GN$63:GN$70)</f>
        <v>0</v>
      </c>
      <c r="GN275">
        <f>SUMIF('Как будет'!$A$63:$A$70,Доп.расчеты!$A275,'Как будет'!GO$63:GO$70)</f>
        <v>0</v>
      </c>
      <c r="GO275">
        <f>SUMIF('Как будет'!$A$63:$A$70,Доп.расчеты!$A275,'Как будет'!GP$63:GP$70)</f>
        <v>0</v>
      </c>
      <c r="GP275">
        <f>SUMIF('Как будет'!$A$63:$A$70,Доп.расчеты!$A275,'Как будет'!GQ$63:GQ$70)</f>
        <v>0</v>
      </c>
      <c r="GQ275">
        <f>SUMIF('Как будет'!$A$63:$A$70,Доп.расчеты!$A275,'Как будет'!GR$63:GR$70)</f>
        <v>0</v>
      </c>
      <c r="GR275">
        <f>SUMIF('Как будет'!$A$63:$A$70,Доп.расчеты!$A275,'Как будет'!GS$63:GS$70)</f>
        <v>0</v>
      </c>
      <c r="GS275">
        <f>SUMIF('Как будет'!$A$63:$A$70,Доп.расчеты!$A275,'Как будет'!GT$63:GT$70)</f>
        <v>0</v>
      </c>
      <c r="GT275">
        <f>SUMIF('Как будет'!$A$63:$A$70,Доп.расчеты!$A275,'Как будет'!GU$63:GU$70)</f>
        <v>0</v>
      </c>
    </row>
    <row r="276" spans="1:202">
      <c r="A276" s="238" t="s">
        <v>24</v>
      </c>
      <c r="B276">
        <f>SUMIF('Как будет'!$A$63:$A$70,Доп.расчеты!$A276,'Как будет'!C$63:C$70)</f>
        <v>0</v>
      </c>
      <c r="C276">
        <f>SUMIF('Как будет'!$A$63:$A$70,Доп.расчеты!$A276,'Как будет'!D$63:D$70)</f>
        <v>0</v>
      </c>
      <c r="D276">
        <f>SUMIF('Как будет'!$A$63:$A$70,Доп.расчеты!$A276,'Как будет'!E$63:E$70)</f>
        <v>0</v>
      </c>
      <c r="E276">
        <f>SUMIF('Как будет'!$A$63:$A$70,Доп.расчеты!$A276,'Как будет'!F$63:F$70)</f>
        <v>0</v>
      </c>
      <c r="F276">
        <f>SUMIF('Как будет'!$A$63:$A$70,Доп.расчеты!$A276,'Как будет'!G$63:G$70)</f>
        <v>0</v>
      </c>
      <c r="G276">
        <f>SUMIF('Как будет'!$A$63:$A$70,Доп.расчеты!$A276,'Как будет'!H$63:H$70)</f>
        <v>0</v>
      </c>
      <c r="H276">
        <f>SUMIF('Как будет'!$A$63:$A$70,Доп.расчеты!$A276,'Как будет'!I$63:I$70)</f>
        <v>0</v>
      </c>
      <c r="I276">
        <f>SUMIF('Как будет'!$A$63:$A$70,Доп.расчеты!$A276,'Как будет'!J$63:J$70)</f>
        <v>0</v>
      </c>
      <c r="J276">
        <f>SUMIF('Как будет'!$A$63:$A$70,Доп.расчеты!$A276,'Как будет'!K$63:K$70)</f>
        <v>0</v>
      </c>
      <c r="K276">
        <f>SUMIF('Как будет'!$A$63:$A$70,Доп.расчеты!$A276,'Как будет'!L$63:L$70)</f>
        <v>0</v>
      </c>
      <c r="L276">
        <f>SUMIF('Как будет'!$A$63:$A$70,Доп.расчеты!$A276,'Как будет'!M$63:M$70)</f>
        <v>0</v>
      </c>
      <c r="M276">
        <f>SUMIF('Как будет'!$A$63:$A$70,Доп.расчеты!$A276,'Как будет'!N$63:N$70)</f>
        <v>0</v>
      </c>
      <c r="N276">
        <f>SUMIF('Как будет'!$A$63:$A$70,Доп.расчеты!$A276,'Как будет'!O$63:O$70)</f>
        <v>0</v>
      </c>
      <c r="O276">
        <f>SUMIF('Как будет'!$A$63:$A$70,Доп.расчеты!$A276,'Как будет'!P$63:P$70)</f>
        <v>0</v>
      </c>
      <c r="P276">
        <f>SUMIF('Как будет'!$A$63:$A$70,Доп.расчеты!$A276,'Как будет'!Q$63:Q$70)</f>
        <v>0</v>
      </c>
      <c r="Q276">
        <f>SUMIF('Как будет'!$A$63:$A$70,Доп.расчеты!$A276,'Как будет'!R$63:R$70)</f>
        <v>0</v>
      </c>
      <c r="R276">
        <f>SUMIF('Как будет'!$A$63:$A$70,Доп.расчеты!$A276,'Как будет'!S$63:S$70)</f>
        <v>0</v>
      </c>
      <c r="S276">
        <f>SUMIF('Как будет'!$A$63:$A$70,Доп.расчеты!$A276,'Как будет'!T$63:T$70)</f>
        <v>0</v>
      </c>
      <c r="T276">
        <f>SUMIF('Как будет'!$A$63:$A$70,Доп.расчеты!$A276,'Как будет'!U$63:U$70)</f>
        <v>0</v>
      </c>
      <c r="U276">
        <f>SUMIF('Как будет'!$A$63:$A$70,Доп.расчеты!$A276,'Как будет'!V$63:V$70)</f>
        <v>0</v>
      </c>
      <c r="V276">
        <f>SUMIF('Как будет'!$A$63:$A$70,Доп.расчеты!$A276,'Как будет'!W$63:W$70)</f>
        <v>0</v>
      </c>
      <c r="W276">
        <f>SUMIF('Как будет'!$A$63:$A$70,Доп.расчеты!$A276,'Как будет'!X$63:X$70)</f>
        <v>0</v>
      </c>
      <c r="X276">
        <f>SUMIF('Как будет'!$A$63:$A$70,Доп.расчеты!$A276,'Как будет'!Y$63:Y$70)</f>
        <v>0</v>
      </c>
      <c r="Y276">
        <f>SUMIF('Как будет'!$A$63:$A$70,Доп.расчеты!$A276,'Как будет'!Z$63:Z$70)</f>
        <v>0</v>
      </c>
      <c r="Z276">
        <f>SUMIF('Как будет'!$A$63:$A$70,Доп.расчеты!$A276,'Как будет'!AA$63:AA$70)</f>
        <v>0</v>
      </c>
      <c r="AA276">
        <f>SUMIF('Как будет'!$A$63:$A$70,Доп.расчеты!$A276,'Как будет'!AB$63:AB$70)</f>
        <v>0</v>
      </c>
      <c r="AB276">
        <f>SUMIF('Как будет'!$A$63:$A$70,Доп.расчеты!$A276,'Как будет'!AC$63:AC$70)</f>
        <v>0</v>
      </c>
      <c r="AC276">
        <f>SUMIF('Как будет'!$A$63:$A$70,Доп.расчеты!$A276,'Как будет'!AD$63:AD$70)</f>
        <v>0</v>
      </c>
      <c r="AD276">
        <f>SUMIF('Как будет'!$A$63:$A$70,Доп.расчеты!$A276,'Как будет'!AE$63:AE$70)</f>
        <v>0</v>
      </c>
      <c r="AE276">
        <f>SUMIF('Как будет'!$A$63:$A$70,Доп.расчеты!$A276,'Как будет'!AF$63:AF$70)</f>
        <v>0</v>
      </c>
      <c r="AF276">
        <f>SUMIF('Как будет'!$A$63:$A$70,Доп.расчеты!$A276,'Как будет'!AG$63:AG$70)</f>
        <v>0</v>
      </c>
      <c r="AG276">
        <f>SUMIF('Как будет'!$A$63:$A$70,Доп.расчеты!$A276,'Как будет'!AH$63:AH$70)</f>
        <v>0</v>
      </c>
      <c r="AH276">
        <f>SUMIF('Как будет'!$A$63:$A$70,Доп.расчеты!$A276,'Как будет'!AI$63:AI$70)</f>
        <v>0</v>
      </c>
      <c r="AI276">
        <f>SUMIF('Как будет'!$A$63:$A$70,Доп.расчеты!$A276,'Как будет'!AJ$63:AJ$70)</f>
        <v>0</v>
      </c>
      <c r="AJ276">
        <f>SUMIF('Как будет'!$A$63:$A$70,Доп.расчеты!$A276,'Как будет'!AK$63:AK$70)</f>
        <v>0</v>
      </c>
      <c r="AK276">
        <f>SUMIF('Как будет'!$A$63:$A$70,Доп.расчеты!$A276,'Как будет'!AL$63:AL$70)</f>
        <v>0</v>
      </c>
      <c r="AL276">
        <f>SUMIF('Как будет'!$A$63:$A$70,Доп.расчеты!$A276,'Как будет'!AM$63:AM$70)</f>
        <v>0</v>
      </c>
      <c r="AM276">
        <f>SUMIF('Как будет'!$A$63:$A$70,Доп.расчеты!$A276,'Как будет'!AN$63:AN$70)</f>
        <v>0</v>
      </c>
      <c r="AN276">
        <f>SUMIF('Как будет'!$A$63:$A$70,Доп.расчеты!$A276,'Как будет'!AO$63:AO$70)</f>
        <v>0</v>
      </c>
      <c r="AO276">
        <f>SUMIF('Как будет'!$A$63:$A$70,Доп.расчеты!$A276,'Как будет'!AP$63:AP$70)</f>
        <v>0</v>
      </c>
      <c r="AP276">
        <f>SUMIF('Как будет'!$A$63:$A$70,Доп.расчеты!$A276,'Как будет'!AQ$63:AQ$70)</f>
        <v>0</v>
      </c>
      <c r="AQ276">
        <f>SUMIF('Как будет'!$A$63:$A$70,Доп.расчеты!$A276,'Как будет'!AR$63:AR$70)</f>
        <v>0</v>
      </c>
      <c r="AR276">
        <f>SUMIF('Как будет'!$A$63:$A$70,Доп.расчеты!$A276,'Как будет'!AS$63:AS$70)</f>
        <v>0</v>
      </c>
      <c r="AS276">
        <f>SUMIF('Как будет'!$A$63:$A$70,Доп.расчеты!$A276,'Как будет'!AT$63:AT$70)</f>
        <v>0</v>
      </c>
      <c r="AT276">
        <f>SUMIF('Как будет'!$A$63:$A$70,Доп.расчеты!$A276,'Как будет'!AU$63:AU$70)</f>
        <v>0</v>
      </c>
      <c r="AU276">
        <f>SUMIF('Как будет'!$A$63:$A$70,Доп.расчеты!$A276,'Как будет'!AV$63:AV$70)</f>
        <v>0</v>
      </c>
      <c r="AV276">
        <f>SUMIF('Как будет'!$A$63:$A$70,Доп.расчеты!$A276,'Как будет'!AW$63:AW$70)</f>
        <v>0</v>
      </c>
      <c r="AW276">
        <f>SUMIF('Как будет'!$A$63:$A$70,Доп.расчеты!$A276,'Как будет'!AX$63:AX$70)</f>
        <v>0</v>
      </c>
      <c r="AX276">
        <f>SUMIF('Как будет'!$A$63:$A$70,Доп.расчеты!$A276,'Как будет'!AY$63:AY$70)</f>
        <v>0</v>
      </c>
      <c r="AY276">
        <f>SUMIF('Как будет'!$A$63:$A$70,Доп.расчеты!$A276,'Как будет'!AZ$63:AZ$70)</f>
        <v>0</v>
      </c>
      <c r="AZ276">
        <f>SUMIF('Как будет'!$A$63:$A$70,Доп.расчеты!$A276,'Как будет'!BA$63:BA$70)</f>
        <v>0</v>
      </c>
      <c r="BA276">
        <f>SUMIF('Как будет'!$A$63:$A$70,Доп.расчеты!$A276,'Как будет'!BB$63:BB$70)</f>
        <v>0</v>
      </c>
      <c r="BB276">
        <f>SUMIF('Как будет'!$A$63:$A$70,Доп.расчеты!$A276,'Как будет'!BC$63:BC$70)</f>
        <v>0</v>
      </c>
      <c r="BC276">
        <f>SUMIF('Как будет'!$A$63:$A$70,Доп.расчеты!$A276,'Как будет'!BD$63:BD$70)</f>
        <v>0</v>
      </c>
      <c r="BD276">
        <f>SUMIF('Как будет'!$A$63:$A$70,Доп.расчеты!$A276,'Как будет'!BE$63:BE$70)</f>
        <v>0</v>
      </c>
      <c r="BE276">
        <f>SUMIF('Как будет'!$A$63:$A$70,Доп.расчеты!$A276,'Как будет'!BF$63:BF$70)</f>
        <v>0</v>
      </c>
      <c r="BF276">
        <f>SUMIF('Как будет'!$A$63:$A$70,Доп.расчеты!$A276,'Как будет'!BG$63:BG$70)</f>
        <v>0</v>
      </c>
      <c r="BG276">
        <f>SUMIF('Как будет'!$A$63:$A$70,Доп.расчеты!$A276,'Как будет'!BH$63:BH$70)</f>
        <v>0</v>
      </c>
      <c r="BH276">
        <f>SUMIF('Как будет'!$A$63:$A$70,Доп.расчеты!$A276,'Как будет'!BI$63:BI$70)</f>
        <v>0</v>
      </c>
      <c r="BI276">
        <f>SUMIF('Как будет'!$A$63:$A$70,Доп.расчеты!$A276,'Как будет'!BJ$63:BJ$70)</f>
        <v>0</v>
      </c>
      <c r="BJ276">
        <f>SUMIF('Как будет'!$A$63:$A$70,Доп.расчеты!$A276,'Как будет'!BK$63:BK$70)</f>
        <v>0</v>
      </c>
      <c r="BK276">
        <f>SUMIF('Как будет'!$A$63:$A$70,Доп.расчеты!$A276,'Как будет'!BL$63:BL$70)</f>
        <v>0</v>
      </c>
      <c r="BL276">
        <f>SUMIF('Как будет'!$A$63:$A$70,Доп.расчеты!$A276,'Как будет'!BM$63:BM$70)</f>
        <v>0</v>
      </c>
      <c r="BM276">
        <f>SUMIF('Как будет'!$A$63:$A$70,Доп.расчеты!$A276,'Как будет'!BN$63:BN$70)</f>
        <v>0</v>
      </c>
      <c r="BN276">
        <f>SUMIF('Как будет'!$A$63:$A$70,Доп.расчеты!$A276,'Как будет'!BO$63:BO$70)</f>
        <v>0</v>
      </c>
      <c r="BO276">
        <f>SUMIF('Как будет'!$A$63:$A$70,Доп.расчеты!$A276,'Как будет'!BP$63:BP$70)</f>
        <v>0</v>
      </c>
      <c r="BP276">
        <f>SUMIF('Как будет'!$A$63:$A$70,Доп.расчеты!$A276,'Как будет'!BQ$63:BQ$70)</f>
        <v>0</v>
      </c>
      <c r="BQ276">
        <f>SUMIF('Как будет'!$A$63:$A$70,Доп.расчеты!$A276,'Как будет'!BR$63:BR$70)</f>
        <v>0</v>
      </c>
      <c r="BR276">
        <f>SUMIF('Как будет'!$A$63:$A$70,Доп.расчеты!$A276,'Как будет'!BS$63:BS$70)</f>
        <v>0</v>
      </c>
      <c r="BS276">
        <f>SUMIF('Как будет'!$A$63:$A$70,Доп.расчеты!$A276,'Как будет'!BT$63:BT$70)</f>
        <v>0</v>
      </c>
      <c r="BT276">
        <f>SUMIF('Как будет'!$A$63:$A$70,Доп.расчеты!$A276,'Как будет'!BU$63:BU$70)</f>
        <v>0</v>
      </c>
      <c r="BU276">
        <f>SUMIF('Как будет'!$A$63:$A$70,Доп.расчеты!$A276,'Как будет'!BV$63:BV$70)</f>
        <v>0</v>
      </c>
      <c r="BV276">
        <f>SUMIF('Как будет'!$A$63:$A$70,Доп.расчеты!$A276,'Как будет'!BW$63:BW$70)</f>
        <v>0</v>
      </c>
      <c r="BW276">
        <f>SUMIF('Как будет'!$A$63:$A$70,Доп.расчеты!$A276,'Как будет'!BX$63:BX$70)</f>
        <v>0</v>
      </c>
      <c r="BX276">
        <f>SUMIF('Как будет'!$A$63:$A$70,Доп.расчеты!$A276,'Как будет'!BY$63:BY$70)</f>
        <v>0</v>
      </c>
      <c r="BY276">
        <f>SUMIF('Как будет'!$A$63:$A$70,Доп.расчеты!$A276,'Как будет'!BZ$63:BZ$70)</f>
        <v>0</v>
      </c>
      <c r="BZ276">
        <f>SUMIF('Как будет'!$A$63:$A$70,Доп.расчеты!$A276,'Как будет'!CA$63:CA$70)</f>
        <v>0</v>
      </c>
      <c r="CA276">
        <f>SUMIF('Как будет'!$A$63:$A$70,Доп.расчеты!$A276,'Как будет'!CB$63:CB$70)</f>
        <v>0</v>
      </c>
      <c r="CB276">
        <f>SUMIF('Как будет'!$A$63:$A$70,Доп.расчеты!$A276,'Как будет'!CC$63:CC$70)</f>
        <v>0</v>
      </c>
      <c r="CC276">
        <f>SUMIF('Как будет'!$A$63:$A$70,Доп.расчеты!$A276,'Как будет'!CD$63:CD$70)</f>
        <v>0</v>
      </c>
      <c r="CD276">
        <f>SUMIF('Как будет'!$A$63:$A$70,Доп.расчеты!$A276,'Как будет'!CE$63:CE$70)</f>
        <v>0</v>
      </c>
      <c r="CE276">
        <f>SUMIF('Как будет'!$A$63:$A$70,Доп.расчеты!$A276,'Как будет'!CF$63:CF$70)</f>
        <v>0</v>
      </c>
      <c r="CF276">
        <f>SUMIF('Как будет'!$A$63:$A$70,Доп.расчеты!$A276,'Как будет'!CG$63:CG$70)</f>
        <v>0</v>
      </c>
      <c r="CG276">
        <f>SUMIF('Как будет'!$A$63:$A$70,Доп.расчеты!$A276,'Как будет'!CH$63:CH$70)</f>
        <v>0</v>
      </c>
      <c r="CH276">
        <f>SUMIF('Как будет'!$A$63:$A$70,Доп.расчеты!$A276,'Как будет'!CI$63:CI$70)</f>
        <v>0</v>
      </c>
      <c r="CI276">
        <f>SUMIF('Как будет'!$A$63:$A$70,Доп.расчеты!$A276,'Как будет'!CJ$63:CJ$70)</f>
        <v>0</v>
      </c>
      <c r="CJ276">
        <f>SUMIF('Как будет'!$A$63:$A$70,Доп.расчеты!$A276,'Как будет'!CK$63:CK$70)</f>
        <v>0</v>
      </c>
      <c r="CK276">
        <f>SUMIF('Как будет'!$A$63:$A$70,Доп.расчеты!$A276,'Как будет'!CL$63:CL$70)</f>
        <v>0</v>
      </c>
      <c r="CL276">
        <f>SUMIF('Как будет'!$A$63:$A$70,Доп.расчеты!$A276,'Как будет'!CM$63:CM$70)</f>
        <v>0</v>
      </c>
      <c r="CM276">
        <f>SUMIF('Как будет'!$A$63:$A$70,Доп.расчеты!$A276,'Как будет'!CN$63:CN$70)</f>
        <v>0</v>
      </c>
      <c r="CN276">
        <f>SUMIF('Как будет'!$A$63:$A$70,Доп.расчеты!$A276,'Как будет'!CO$63:CO$70)</f>
        <v>0</v>
      </c>
      <c r="CO276">
        <f>SUMIF('Как будет'!$A$63:$A$70,Доп.расчеты!$A276,'Как будет'!CP$63:CP$70)</f>
        <v>0</v>
      </c>
      <c r="CP276">
        <f>SUMIF('Как будет'!$A$63:$A$70,Доп.расчеты!$A276,'Как будет'!CQ$63:CQ$70)</f>
        <v>0</v>
      </c>
      <c r="CQ276">
        <f>SUMIF('Как будет'!$A$63:$A$70,Доп.расчеты!$A276,'Как будет'!CR$63:CR$70)</f>
        <v>0</v>
      </c>
      <c r="CR276">
        <f>SUMIF('Как будет'!$A$63:$A$70,Доп.расчеты!$A276,'Как будет'!CS$63:CS$70)</f>
        <v>0</v>
      </c>
      <c r="CS276">
        <f>SUMIF('Как будет'!$A$63:$A$70,Доп.расчеты!$A276,'Как будет'!CT$63:CT$70)</f>
        <v>0</v>
      </c>
      <c r="CT276">
        <f>SUMIF('Как будет'!$A$63:$A$70,Доп.расчеты!$A276,'Как будет'!CU$63:CU$70)</f>
        <v>0</v>
      </c>
      <c r="CU276">
        <f>SUMIF('Как будет'!$A$63:$A$70,Доп.расчеты!$A276,'Как будет'!CV$63:CV$70)</f>
        <v>0</v>
      </c>
      <c r="CV276">
        <f>SUMIF('Как будет'!$A$63:$A$70,Доп.расчеты!$A276,'Как будет'!CW$63:CW$70)</f>
        <v>0</v>
      </c>
      <c r="CW276">
        <f>SUMIF('Как будет'!$A$63:$A$70,Доп.расчеты!$A276,'Как будет'!CX$63:CX$70)</f>
        <v>0</v>
      </c>
      <c r="CX276">
        <f>SUMIF('Как будет'!$A$63:$A$70,Доп.расчеты!$A276,'Как будет'!CY$63:CY$70)</f>
        <v>0</v>
      </c>
      <c r="CY276">
        <f>SUMIF('Как будет'!$A$63:$A$70,Доп.расчеты!$A276,'Как будет'!CZ$63:CZ$70)</f>
        <v>0</v>
      </c>
      <c r="CZ276">
        <f>SUMIF('Как будет'!$A$63:$A$70,Доп.расчеты!$A276,'Как будет'!DA$63:DA$70)</f>
        <v>0</v>
      </c>
      <c r="DA276">
        <f>SUMIF('Как будет'!$A$63:$A$70,Доп.расчеты!$A276,'Как будет'!DB$63:DB$70)</f>
        <v>0</v>
      </c>
      <c r="DB276">
        <f>SUMIF('Как будет'!$A$63:$A$70,Доп.расчеты!$A276,'Как будет'!DC$63:DC$70)</f>
        <v>0</v>
      </c>
      <c r="DC276">
        <f>SUMIF('Как будет'!$A$63:$A$70,Доп.расчеты!$A276,'Как будет'!DD$63:DD$70)</f>
        <v>0</v>
      </c>
      <c r="DD276">
        <f>SUMIF('Как будет'!$A$63:$A$70,Доп.расчеты!$A276,'Как будет'!DE$63:DE$70)</f>
        <v>0</v>
      </c>
      <c r="DE276">
        <f>SUMIF('Как будет'!$A$63:$A$70,Доп.расчеты!$A276,'Как будет'!DF$63:DF$70)</f>
        <v>0</v>
      </c>
      <c r="DF276">
        <f>SUMIF('Как будет'!$A$63:$A$70,Доп.расчеты!$A276,'Как будет'!DG$63:DG$70)</f>
        <v>0</v>
      </c>
      <c r="DG276">
        <f>SUMIF('Как будет'!$A$63:$A$70,Доп.расчеты!$A276,'Как будет'!DH$63:DH$70)</f>
        <v>0</v>
      </c>
      <c r="DH276">
        <f>SUMIF('Как будет'!$A$63:$A$70,Доп.расчеты!$A276,'Как будет'!DI$63:DI$70)</f>
        <v>0</v>
      </c>
      <c r="DI276">
        <f>SUMIF('Как будет'!$A$63:$A$70,Доп.расчеты!$A276,'Как будет'!DJ$63:DJ$70)</f>
        <v>0</v>
      </c>
      <c r="DJ276">
        <f>SUMIF('Как будет'!$A$63:$A$70,Доп.расчеты!$A276,'Как будет'!DK$63:DK$70)</f>
        <v>0</v>
      </c>
      <c r="DK276">
        <f>SUMIF('Как будет'!$A$63:$A$70,Доп.расчеты!$A276,'Как будет'!DL$63:DL$70)</f>
        <v>0</v>
      </c>
      <c r="DL276">
        <f>SUMIF('Как будет'!$A$63:$A$70,Доп.расчеты!$A276,'Как будет'!DM$63:DM$70)</f>
        <v>0</v>
      </c>
      <c r="DM276">
        <f>SUMIF('Как будет'!$A$63:$A$70,Доп.расчеты!$A276,'Как будет'!DN$63:DN$70)</f>
        <v>0</v>
      </c>
      <c r="DN276">
        <f>SUMIF('Как будет'!$A$63:$A$70,Доп.расчеты!$A276,'Как будет'!DO$63:DO$70)</f>
        <v>0</v>
      </c>
      <c r="DO276">
        <f>SUMIF('Как будет'!$A$63:$A$70,Доп.расчеты!$A276,'Как будет'!DP$63:DP$70)</f>
        <v>0</v>
      </c>
      <c r="DP276">
        <f>SUMIF('Как будет'!$A$63:$A$70,Доп.расчеты!$A276,'Как будет'!DQ$63:DQ$70)</f>
        <v>0</v>
      </c>
      <c r="DQ276">
        <f>SUMIF('Как будет'!$A$63:$A$70,Доп.расчеты!$A276,'Как будет'!DR$63:DR$70)</f>
        <v>0</v>
      </c>
      <c r="DR276">
        <f>SUMIF('Как будет'!$A$63:$A$70,Доп.расчеты!$A276,'Как будет'!DS$63:DS$70)</f>
        <v>0</v>
      </c>
      <c r="DS276">
        <f>SUMIF('Как будет'!$A$63:$A$70,Доп.расчеты!$A276,'Как будет'!DT$63:DT$70)</f>
        <v>0</v>
      </c>
      <c r="DT276">
        <f>SUMIF('Как будет'!$A$63:$A$70,Доп.расчеты!$A276,'Как будет'!DU$63:DU$70)</f>
        <v>0</v>
      </c>
      <c r="DU276">
        <f>SUMIF('Как будет'!$A$63:$A$70,Доп.расчеты!$A276,'Как будет'!DV$63:DV$70)</f>
        <v>0</v>
      </c>
      <c r="DV276">
        <f>SUMIF('Как будет'!$A$63:$A$70,Доп.расчеты!$A276,'Как будет'!DW$63:DW$70)</f>
        <v>0</v>
      </c>
      <c r="DW276">
        <f>SUMIF('Как будет'!$A$63:$A$70,Доп.расчеты!$A276,'Как будет'!DX$63:DX$70)</f>
        <v>0</v>
      </c>
      <c r="DX276">
        <f>SUMIF('Как будет'!$A$63:$A$70,Доп.расчеты!$A276,'Как будет'!DY$63:DY$70)</f>
        <v>0</v>
      </c>
      <c r="DY276">
        <f>SUMIF('Как будет'!$A$63:$A$70,Доп.расчеты!$A276,'Как будет'!DZ$63:DZ$70)</f>
        <v>0</v>
      </c>
      <c r="DZ276">
        <f>SUMIF('Как будет'!$A$63:$A$70,Доп.расчеты!$A276,'Как будет'!EA$63:EA$70)</f>
        <v>0</v>
      </c>
      <c r="EA276">
        <f>SUMIF('Как будет'!$A$63:$A$70,Доп.расчеты!$A276,'Как будет'!EB$63:EB$70)</f>
        <v>0</v>
      </c>
      <c r="EB276">
        <f>SUMIF('Как будет'!$A$63:$A$70,Доп.расчеты!$A276,'Как будет'!EC$63:EC$70)</f>
        <v>0</v>
      </c>
      <c r="EC276">
        <f>SUMIF('Как будет'!$A$63:$A$70,Доп.расчеты!$A276,'Как будет'!ED$63:ED$70)</f>
        <v>0</v>
      </c>
      <c r="ED276">
        <f>SUMIF('Как будет'!$A$63:$A$70,Доп.расчеты!$A276,'Как будет'!EE$63:EE$70)</f>
        <v>0</v>
      </c>
      <c r="EE276">
        <f>SUMIF('Как будет'!$A$63:$A$70,Доп.расчеты!$A276,'Как будет'!EF$63:EF$70)</f>
        <v>0</v>
      </c>
      <c r="EF276">
        <f>SUMIF('Как будет'!$A$63:$A$70,Доп.расчеты!$A276,'Как будет'!EG$63:EG$70)</f>
        <v>0</v>
      </c>
      <c r="EG276">
        <f>SUMIF('Как будет'!$A$63:$A$70,Доп.расчеты!$A276,'Как будет'!EH$63:EH$70)</f>
        <v>0</v>
      </c>
      <c r="EH276">
        <f>SUMIF('Как будет'!$A$63:$A$70,Доп.расчеты!$A276,'Как будет'!EI$63:EI$70)</f>
        <v>0</v>
      </c>
      <c r="EI276">
        <f>SUMIF('Как будет'!$A$63:$A$70,Доп.расчеты!$A276,'Как будет'!EJ$63:EJ$70)</f>
        <v>0</v>
      </c>
      <c r="EJ276">
        <f>SUMIF('Как будет'!$A$63:$A$70,Доп.расчеты!$A276,'Как будет'!EK$63:EK$70)</f>
        <v>0</v>
      </c>
      <c r="EK276">
        <f>SUMIF('Как будет'!$A$63:$A$70,Доп.расчеты!$A276,'Как будет'!EL$63:EL$70)</f>
        <v>0</v>
      </c>
      <c r="EL276">
        <f>SUMIF('Как будет'!$A$63:$A$70,Доп.расчеты!$A276,'Как будет'!EM$63:EM$70)</f>
        <v>0</v>
      </c>
      <c r="EM276">
        <f>SUMIF('Как будет'!$A$63:$A$70,Доп.расчеты!$A276,'Как будет'!EN$63:EN$70)</f>
        <v>0</v>
      </c>
      <c r="EN276">
        <f>SUMIF('Как будет'!$A$63:$A$70,Доп.расчеты!$A276,'Как будет'!EO$63:EO$70)</f>
        <v>0</v>
      </c>
      <c r="EO276">
        <f>SUMIF('Как будет'!$A$63:$A$70,Доп.расчеты!$A276,'Как будет'!EP$63:EP$70)</f>
        <v>0</v>
      </c>
      <c r="EP276">
        <f>SUMIF('Как будет'!$A$63:$A$70,Доп.расчеты!$A276,'Как будет'!EQ$63:EQ$70)</f>
        <v>0</v>
      </c>
      <c r="EQ276">
        <f>SUMIF('Как будет'!$A$63:$A$70,Доп.расчеты!$A276,'Как будет'!ER$63:ER$70)</f>
        <v>0</v>
      </c>
      <c r="ER276">
        <f>SUMIF('Как будет'!$A$63:$A$70,Доп.расчеты!$A276,'Как будет'!ES$63:ES$70)</f>
        <v>0</v>
      </c>
      <c r="ES276">
        <f>SUMIF('Как будет'!$A$63:$A$70,Доп.расчеты!$A276,'Как будет'!ET$63:ET$70)</f>
        <v>0</v>
      </c>
      <c r="ET276">
        <f>SUMIF('Как будет'!$A$63:$A$70,Доп.расчеты!$A276,'Как будет'!EU$63:EU$70)</f>
        <v>0</v>
      </c>
      <c r="EU276">
        <f>SUMIF('Как будет'!$A$63:$A$70,Доп.расчеты!$A276,'Как будет'!EV$63:EV$70)</f>
        <v>0</v>
      </c>
      <c r="EV276">
        <f>SUMIF('Как будет'!$A$63:$A$70,Доп.расчеты!$A276,'Как будет'!EW$63:EW$70)</f>
        <v>0</v>
      </c>
      <c r="EW276">
        <f>SUMIF('Как будет'!$A$63:$A$70,Доп.расчеты!$A276,'Как будет'!EX$63:EX$70)</f>
        <v>0</v>
      </c>
      <c r="EX276">
        <f>SUMIF('Как будет'!$A$63:$A$70,Доп.расчеты!$A276,'Как будет'!EY$63:EY$70)</f>
        <v>0</v>
      </c>
      <c r="EY276">
        <f>SUMIF('Как будет'!$A$63:$A$70,Доп.расчеты!$A276,'Как будет'!EZ$63:EZ$70)</f>
        <v>0</v>
      </c>
      <c r="EZ276">
        <f>SUMIF('Как будет'!$A$63:$A$70,Доп.расчеты!$A276,'Как будет'!FA$63:FA$70)</f>
        <v>0</v>
      </c>
      <c r="FA276">
        <f>SUMIF('Как будет'!$A$63:$A$70,Доп.расчеты!$A276,'Как будет'!FB$63:FB$70)</f>
        <v>0</v>
      </c>
      <c r="FB276">
        <f>SUMIF('Как будет'!$A$63:$A$70,Доп.расчеты!$A276,'Как будет'!FC$63:FC$70)</f>
        <v>0</v>
      </c>
      <c r="FC276">
        <f>SUMIF('Как будет'!$A$63:$A$70,Доп.расчеты!$A276,'Как будет'!FD$63:FD$70)</f>
        <v>0</v>
      </c>
      <c r="FD276">
        <f>SUMIF('Как будет'!$A$63:$A$70,Доп.расчеты!$A276,'Как будет'!FE$63:FE$70)</f>
        <v>0</v>
      </c>
      <c r="FE276">
        <f>SUMIF('Как будет'!$A$63:$A$70,Доп.расчеты!$A276,'Как будет'!FF$63:FF$70)</f>
        <v>0</v>
      </c>
      <c r="FF276">
        <f>SUMIF('Как будет'!$A$63:$A$70,Доп.расчеты!$A276,'Как будет'!FG$63:FG$70)</f>
        <v>0</v>
      </c>
      <c r="FG276">
        <f>SUMIF('Как будет'!$A$63:$A$70,Доп.расчеты!$A276,'Как будет'!FH$63:FH$70)</f>
        <v>0</v>
      </c>
      <c r="FH276">
        <f>SUMIF('Как будет'!$A$63:$A$70,Доп.расчеты!$A276,'Как будет'!FI$63:FI$70)</f>
        <v>0</v>
      </c>
      <c r="FI276">
        <f>SUMIF('Как будет'!$A$63:$A$70,Доп.расчеты!$A276,'Как будет'!FJ$63:FJ$70)</f>
        <v>0</v>
      </c>
      <c r="FJ276">
        <f>SUMIF('Как будет'!$A$63:$A$70,Доп.расчеты!$A276,'Как будет'!FK$63:FK$70)</f>
        <v>0</v>
      </c>
      <c r="FK276">
        <f>SUMIF('Как будет'!$A$63:$A$70,Доп.расчеты!$A276,'Как будет'!FL$63:FL$70)</f>
        <v>0</v>
      </c>
      <c r="FL276">
        <f>SUMIF('Как будет'!$A$63:$A$70,Доп.расчеты!$A276,'Как будет'!FM$63:FM$70)</f>
        <v>0</v>
      </c>
      <c r="FM276">
        <f>SUMIF('Как будет'!$A$63:$A$70,Доп.расчеты!$A276,'Как будет'!FN$63:FN$70)</f>
        <v>0</v>
      </c>
      <c r="FN276">
        <f>SUMIF('Как будет'!$A$63:$A$70,Доп.расчеты!$A276,'Как будет'!FO$63:FO$70)</f>
        <v>0</v>
      </c>
      <c r="FO276">
        <f>SUMIF('Как будет'!$A$63:$A$70,Доп.расчеты!$A276,'Как будет'!FP$63:FP$70)</f>
        <v>0</v>
      </c>
      <c r="FP276">
        <f>SUMIF('Как будет'!$A$63:$A$70,Доп.расчеты!$A276,'Как будет'!FQ$63:FQ$70)</f>
        <v>0</v>
      </c>
      <c r="FQ276">
        <f>SUMIF('Как будет'!$A$63:$A$70,Доп.расчеты!$A276,'Как будет'!FR$63:FR$70)</f>
        <v>0</v>
      </c>
      <c r="FR276">
        <f>SUMIF('Как будет'!$A$63:$A$70,Доп.расчеты!$A276,'Как будет'!FS$63:FS$70)</f>
        <v>0</v>
      </c>
      <c r="FS276">
        <f>SUMIF('Как будет'!$A$63:$A$70,Доп.расчеты!$A276,'Как будет'!FT$63:FT$70)</f>
        <v>0</v>
      </c>
      <c r="FT276">
        <f>SUMIF('Как будет'!$A$63:$A$70,Доп.расчеты!$A276,'Как будет'!FU$63:FU$70)</f>
        <v>0</v>
      </c>
      <c r="FU276">
        <f>SUMIF('Как будет'!$A$63:$A$70,Доп.расчеты!$A276,'Как будет'!FV$63:FV$70)</f>
        <v>0</v>
      </c>
      <c r="FV276">
        <f>SUMIF('Как будет'!$A$63:$A$70,Доп.расчеты!$A276,'Как будет'!FW$63:FW$70)</f>
        <v>0</v>
      </c>
      <c r="FW276">
        <f>SUMIF('Как будет'!$A$63:$A$70,Доп.расчеты!$A276,'Как будет'!FX$63:FX$70)</f>
        <v>0</v>
      </c>
      <c r="FX276">
        <f>SUMIF('Как будет'!$A$63:$A$70,Доп.расчеты!$A276,'Как будет'!FY$63:FY$70)</f>
        <v>0</v>
      </c>
      <c r="FY276">
        <f>SUMIF('Как будет'!$A$63:$A$70,Доп.расчеты!$A276,'Как будет'!FZ$63:FZ$70)</f>
        <v>0</v>
      </c>
      <c r="FZ276">
        <f>SUMIF('Как будет'!$A$63:$A$70,Доп.расчеты!$A276,'Как будет'!GA$63:GA$70)</f>
        <v>0</v>
      </c>
      <c r="GA276">
        <f>SUMIF('Как будет'!$A$63:$A$70,Доп.расчеты!$A276,'Как будет'!GB$63:GB$70)</f>
        <v>0</v>
      </c>
      <c r="GB276">
        <f>SUMIF('Как будет'!$A$63:$A$70,Доп.расчеты!$A276,'Как будет'!GC$63:GC$70)</f>
        <v>0</v>
      </c>
      <c r="GC276">
        <f>SUMIF('Как будет'!$A$63:$A$70,Доп.расчеты!$A276,'Как будет'!GD$63:GD$70)</f>
        <v>0</v>
      </c>
      <c r="GD276">
        <f>SUMIF('Как будет'!$A$63:$A$70,Доп.расчеты!$A276,'Как будет'!GE$63:GE$70)</f>
        <v>0</v>
      </c>
      <c r="GE276">
        <f>SUMIF('Как будет'!$A$63:$A$70,Доп.расчеты!$A276,'Как будет'!GF$63:GF$70)</f>
        <v>0</v>
      </c>
      <c r="GF276">
        <f>SUMIF('Как будет'!$A$63:$A$70,Доп.расчеты!$A276,'Как будет'!GG$63:GG$70)</f>
        <v>0</v>
      </c>
      <c r="GG276">
        <f>SUMIF('Как будет'!$A$63:$A$70,Доп.расчеты!$A276,'Как будет'!GH$63:GH$70)</f>
        <v>0</v>
      </c>
      <c r="GH276">
        <f>SUMIF('Как будет'!$A$63:$A$70,Доп.расчеты!$A276,'Как будет'!GI$63:GI$70)</f>
        <v>0</v>
      </c>
      <c r="GI276">
        <f>SUMIF('Как будет'!$A$63:$A$70,Доп.расчеты!$A276,'Как будет'!GJ$63:GJ$70)</f>
        <v>0</v>
      </c>
      <c r="GJ276">
        <f>SUMIF('Как будет'!$A$63:$A$70,Доп.расчеты!$A276,'Как будет'!GK$63:GK$70)</f>
        <v>0</v>
      </c>
      <c r="GK276">
        <f>SUMIF('Как будет'!$A$63:$A$70,Доп.расчеты!$A276,'Как будет'!GL$63:GL$70)</f>
        <v>0</v>
      </c>
      <c r="GL276">
        <f>SUMIF('Как будет'!$A$63:$A$70,Доп.расчеты!$A276,'Как будет'!GM$63:GM$70)</f>
        <v>0</v>
      </c>
      <c r="GM276">
        <f>SUMIF('Как будет'!$A$63:$A$70,Доп.расчеты!$A276,'Как будет'!GN$63:GN$70)</f>
        <v>0</v>
      </c>
      <c r="GN276">
        <f>SUMIF('Как будет'!$A$63:$A$70,Доп.расчеты!$A276,'Как будет'!GO$63:GO$70)</f>
        <v>0</v>
      </c>
      <c r="GO276">
        <f>SUMIF('Как будет'!$A$63:$A$70,Доп.расчеты!$A276,'Как будет'!GP$63:GP$70)</f>
        <v>0</v>
      </c>
      <c r="GP276">
        <f>SUMIF('Как будет'!$A$63:$A$70,Доп.расчеты!$A276,'Как будет'!GQ$63:GQ$70)</f>
        <v>0</v>
      </c>
      <c r="GQ276">
        <f>SUMIF('Как будет'!$A$63:$A$70,Доп.расчеты!$A276,'Как будет'!GR$63:GR$70)</f>
        <v>0</v>
      </c>
      <c r="GR276">
        <f>SUMIF('Как будет'!$A$63:$A$70,Доп.расчеты!$A276,'Как будет'!GS$63:GS$70)</f>
        <v>0</v>
      </c>
      <c r="GS276">
        <f>SUMIF('Как будет'!$A$63:$A$70,Доп.расчеты!$A276,'Как будет'!GT$63:GT$70)</f>
        <v>0</v>
      </c>
      <c r="GT276">
        <f>SUMIF('Как будет'!$A$63:$A$70,Доп.расчеты!$A276,'Как будет'!GU$63:GU$70)</f>
        <v>0</v>
      </c>
    </row>
    <row r="277" spans="1:202">
      <c r="A277" s="238" t="s">
        <v>25</v>
      </c>
      <c r="B277">
        <f>SUMIF('Как будет'!$A$63:$A$70,Доп.расчеты!$A277,'Как будет'!C$63:C$70)</f>
        <v>0</v>
      </c>
      <c r="C277">
        <f>SUMIF('Как будет'!$A$63:$A$70,Доп.расчеты!$A277,'Как будет'!D$63:D$70)</f>
        <v>0</v>
      </c>
      <c r="D277">
        <f>SUMIF('Как будет'!$A$63:$A$70,Доп.расчеты!$A277,'Как будет'!E$63:E$70)</f>
        <v>0</v>
      </c>
      <c r="E277">
        <f>SUMIF('Как будет'!$A$63:$A$70,Доп.расчеты!$A277,'Как будет'!F$63:F$70)</f>
        <v>0</v>
      </c>
      <c r="F277">
        <f>SUMIF('Как будет'!$A$63:$A$70,Доп.расчеты!$A277,'Как будет'!G$63:G$70)</f>
        <v>0</v>
      </c>
      <c r="G277">
        <f>SUMIF('Как будет'!$A$63:$A$70,Доп.расчеты!$A277,'Как будет'!H$63:H$70)</f>
        <v>0</v>
      </c>
      <c r="H277">
        <f>SUMIF('Как будет'!$A$63:$A$70,Доп.расчеты!$A277,'Как будет'!I$63:I$70)</f>
        <v>0</v>
      </c>
      <c r="I277">
        <f>SUMIF('Как будет'!$A$63:$A$70,Доп.расчеты!$A277,'Как будет'!J$63:J$70)</f>
        <v>0</v>
      </c>
      <c r="J277">
        <f>SUMIF('Как будет'!$A$63:$A$70,Доп.расчеты!$A277,'Как будет'!K$63:K$70)</f>
        <v>0</v>
      </c>
      <c r="K277">
        <f>SUMIF('Как будет'!$A$63:$A$70,Доп.расчеты!$A277,'Как будет'!L$63:L$70)</f>
        <v>0</v>
      </c>
      <c r="L277">
        <f>SUMIF('Как будет'!$A$63:$A$70,Доп.расчеты!$A277,'Как будет'!M$63:M$70)</f>
        <v>0</v>
      </c>
      <c r="M277">
        <f>SUMIF('Как будет'!$A$63:$A$70,Доп.расчеты!$A277,'Как будет'!N$63:N$70)</f>
        <v>0</v>
      </c>
      <c r="N277">
        <f>SUMIF('Как будет'!$A$63:$A$70,Доп.расчеты!$A277,'Как будет'!O$63:O$70)</f>
        <v>0</v>
      </c>
      <c r="O277">
        <f>SUMIF('Как будет'!$A$63:$A$70,Доп.расчеты!$A277,'Как будет'!P$63:P$70)</f>
        <v>0</v>
      </c>
      <c r="P277">
        <f>SUMIF('Как будет'!$A$63:$A$70,Доп.расчеты!$A277,'Как будет'!Q$63:Q$70)</f>
        <v>0</v>
      </c>
      <c r="Q277">
        <f>SUMIF('Как будет'!$A$63:$A$70,Доп.расчеты!$A277,'Как будет'!R$63:R$70)</f>
        <v>0</v>
      </c>
      <c r="R277">
        <f>SUMIF('Как будет'!$A$63:$A$70,Доп.расчеты!$A277,'Как будет'!S$63:S$70)</f>
        <v>0</v>
      </c>
      <c r="S277">
        <f>SUMIF('Как будет'!$A$63:$A$70,Доп.расчеты!$A277,'Как будет'!T$63:T$70)</f>
        <v>0</v>
      </c>
      <c r="T277">
        <f>SUMIF('Как будет'!$A$63:$A$70,Доп.расчеты!$A277,'Как будет'!U$63:U$70)</f>
        <v>0</v>
      </c>
      <c r="U277">
        <f>SUMIF('Как будет'!$A$63:$A$70,Доп.расчеты!$A277,'Как будет'!V$63:V$70)</f>
        <v>0</v>
      </c>
      <c r="V277">
        <f>SUMIF('Как будет'!$A$63:$A$70,Доп.расчеты!$A277,'Как будет'!W$63:W$70)</f>
        <v>0</v>
      </c>
      <c r="W277">
        <f>SUMIF('Как будет'!$A$63:$A$70,Доп.расчеты!$A277,'Как будет'!X$63:X$70)</f>
        <v>0</v>
      </c>
      <c r="X277">
        <f>SUMIF('Как будет'!$A$63:$A$70,Доп.расчеты!$A277,'Как будет'!Y$63:Y$70)</f>
        <v>0</v>
      </c>
      <c r="Y277">
        <f>SUMIF('Как будет'!$A$63:$A$70,Доп.расчеты!$A277,'Как будет'!Z$63:Z$70)</f>
        <v>0</v>
      </c>
      <c r="Z277">
        <f>SUMIF('Как будет'!$A$63:$A$70,Доп.расчеты!$A277,'Как будет'!AA$63:AA$70)</f>
        <v>0</v>
      </c>
      <c r="AA277">
        <f>SUMIF('Как будет'!$A$63:$A$70,Доп.расчеты!$A277,'Как будет'!AB$63:AB$70)</f>
        <v>0</v>
      </c>
      <c r="AB277">
        <f>SUMIF('Как будет'!$A$63:$A$70,Доп.расчеты!$A277,'Как будет'!AC$63:AC$70)</f>
        <v>0</v>
      </c>
      <c r="AC277">
        <f>SUMIF('Как будет'!$A$63:$A$70,Доп.расчеты!$A277,'Как будет'!AD$63:AD$70)</f>
        <v>0</v>
      </c>
      <c r="AD277">
        <f>SUMIF('Как будет'!$A$63:$A$70,Доп.расчеты!$A277,'Как будет'!AE$63:AE$70)</f>
        <v>0</v>
      </c>
      <c r="AE277">
        <f>SUMIF('Как будет'!$A$63:$A$70,Доп.расчеты!$A277,'Как будет'!AF$63:AF$70)</f>
        <v>0</v>
      </c>
      <c r="AF277">
        <f>SUMIF('Как будет'!$A$63:$A$70,Доп.расчеты!$A277,'Как будет'!AG$63:AG$70)</f>
        <v>0</v>
      </c>
      <c r="AG277">
        <f>SUMIF('Как будет'!$A$63:$A$70,Доп.расчеты!$A277,'Как будет'!AH$63:AH$70)</f>
        <v>0</v>
      </c>
      <c r="AH277">
        <f>SUMIF('Как будет'!$A$63:$A$70,Доп.расчеты!$A277,'Как будет'!AI$63:AI$70)</f>
        <v>0</v>
      </c>
      <c r="AI277">
        <f>SUMIF('Как будет'!$A$63:$A$70,Доп.расчеты!$A277,'Как будет'!AJ$63:AJ$70)</f>
        <v>0</v>
      </c>
      <c r="AJ277">
        <f>SUMIF('Как будет'!$A$63:$A$70,Доп.расчеты!$A277,'Как будет'!AK$63:AK$70)</f>
        <v>0</v>
      </c>
      <c r="AK277">
        <f>SUMIF('Как будет'!$A$63:$A$70,Доп.расчеты!$A277,'Как будет'!AL$63:AL$70)</f>
        <v>0</v>
      </c>
      <c r="AL277">
        <f>SUMIF('Как будет'!$A$63:$A$70,Доп.расчеты!$A277,'Как будет'!AM$63:AM$70)</f>
        <v>0</v>
      </c>
      <c r="AM277">
        <f>SUMIF('Как будет'!$A$63:$A$70,Доп.расчеты!$A277,'Как будет'!AN$63:AN$70)</f>
        <v>0</v>
      </c>
      <c r="AN277">
        <f>SUMIF('Как будет'!$A$63:$A$70,Доп.расчеты!$A277,'Как будет'!AO$63:AO$70)</f>
        <v>0</v>
      </c>
      <c r="AO277">
        <f>SUMIF('Как будет'!$A$63:$A$70,Доп.расчеты!$A277,'Как будет'!AP$63:AP$70)</f>
        <v>0</v>
      </c>
      <c r="AP277">
        <f>SUMIF('Как будет'!$A$63:$A$70,Доп.расчеты!$A277,'Как будет'!AQ$63:AQ$70)</f>
        <v>0</v>
      </c>
      <c r="AQ277">
        <f>SUMIF('Как будет'!$A$63:$A$70,Доп.расчеты!$A277,'Как будет'!AR$63:AR$70)</f>
        <v>0</v>
      </c>
      <c r="AR277">
        <f>SUMIF('Как будет'!$A$63:$A$70,Доп.расчеты!$A277,'Как будет'!AS$63:AS$70)</f>
        <v>0</v>
      </c>
      <c r="AS277">
        <f>SUMIF('Как будет'!$A$63:$A$70,Доп.расчеты!$A277,'Как будет'!AT$63:AT$70)</f>
        <v>0</v>
      </c>
      <c r="AT277">
        <f>SUMIF('Как будет'!$A$63:$A$70,Доп.расчеты!$A277,'Как будет'!AU$63:AU$70)</f>
        <v>0</v>
      </c>
      <c r="AU277">
        <f>SUMIF('Как будет'!$A$63:$A$70,Доп.расчеты!$A277,'Как будет'!AV$63:AV$70)</f>
        <v>0</v>
      </c>
      <c r="AV277">
        <f>SUMIF('Как будет'!$A$63:$A$70,Доп.расчеты!$A277,'Как будет'!AW$63:AW$70)</f>
        <v>0</v>
      </c>
      <c r="AW277">
        <f>SUMIF('Как будет'!$A$63:$A$70,Доп.расчеты!$A277,'Как будет'!AX$63:AX$70)</f>
        <v>0</v>
      </c>
      <c r="AX277">
        <f>SUMIF('Как будет'!$A$63:$A$70,Доп.расчеты!$A277,'Как будет'!AY$63:AY$70)</f>
        <v>0</v>
      </c>
      <c r="AY277">
        <f>SUMIF('Как будет'!$A$63:$A$70,Доп.расчеты!$A277,'Как будет'!AZ$63:AZ$70)</f>
        <v>0</v>
      </c>
      <c r="AZ277">
        <f>SUMIF('Как будет'!$A$63:$A$70,Доп.расчеты!$A277,'Как будет'!BA$63:BA$70)</f>
        <v>0</v>
      </c>
      <c r="BA277">
        <f>SUMIF('Как будет'!$A$63:$A$70,Доп.расчеты!$A277,'Как будет'!BB$63:BB$70)</f>
        <v>0</v>
      </c>
      <c r="BB277">
        <f>SUMIF('Как будет'!$A$63:$A$70,Доп.расчеты!$A277,'Как будет'!BC$63:BC$70)</f>
        <v>0</v>
      </c>
      <c r="BC277">
        <f>SUMIF('Как будет'!$A$63:$A$70,Доп.расчеты!$A277,'Как будет'!BD$63:BD$70)</f>
        <v>0</v>
      </c>
      <c r="BD277">
        <f>SUMIF('Как будет'!$A$63:$A$70,Доп.расчеты!$A277,'Как будет'!BE$63:BE$70)</f>
        <v>0</v>
      </c>
      <c r="BE277">
        <f>SUMIF('Как будет'!$A$63:$A$70,Доп.расчеты!$A277,'Как будет'!BF$63:BF$70)</f>
        <v>0</v>
      </c>
      <c r="BF277">
        <f>SUMIF('Как будет'!$A$63:$A$70,Доп.расчеты!$A277,'Как будет'!BG$63:BG$70)</f>
        <v>0</v>
      </c>
      <c r="BG277">
        <f>SUMIF('Как будет'!$A$63:$A$70,Доп.расчеты!$A277,'Как будет'!BH$63:BH$70)</f>
        <v>0</v>
      </c>
      <c r="BH277">
        <f>SUMIF('Как будет'!$A$63:$A$70,Доп.расчеты!$A277,'Как будет'!BI$63:BI$70)</f>
        <v>0</v>
      </c>
      <c r="BI277">
        <f>SUMIF('Как будет'!$A$63:$A$70,Доп.расчеты!$A277,'Как будет'!BJ$63:BJ$70)</f>
        <v>0</v>
      </c>
      <c r="BJ277">
        <f>SUMIF('Как будет'!$A$63:$A$70,Доп.расчеты!$A277,'Как будет'!BK$63:BK$70)</f>
        <v>0</v>
      </c>
      <c r="BK277">
        <f>SUMIF('Как будет'!$A$63:$A$70,Доп.расчеты!$A277,'Как будет'!BL$63:BL$70)</f>
        <v>0</v>
      </c>
      <c r="BL277">
        <f>SUMIF('Как будет'!$A$63:$A$70,Доп.расчеты!$A277,'Как будет'!BM$63:BM$70)</f>
        <v>0</v>
      </c>
      <c r="BM277">
        <f>SUMIF('Как будет'!$A$63:$A$70,Доп.расчеты!$A277,'Как будет'!BN$63:BN$70)</f>
        <v>0</v>
      </c>
      <c r="BN277">
        <f>SUMIF('Как будет'!$A$63:$A$70,Доп.расчеты!$A277,'Как будет'!BO$63:BO$70)</f>
        <v>0</v>
      </c>
      <c r="BO277">
        <f>SUMIF('Как будет'!$A$63:$A$70,Доп.расчеты!$A277,'Как будет'!BP$63:BP$70)</f>
        <v>0</v>
      </c>
      <c r="BP277">
        <f>SUMIF('Как будет'!$A$63:$A$70,Доп.расчеты!$A277,'Как будет'!BQ$63:BQ$70)</f>
        <v>0</v>
      </c>
      <c r="BQ277">
        <f>SUMIF('Как будет'!$A$63:$A$70,Доп.расчеты!$A277,'Как будет'!BR$63:BR$70)</f>
        <v>0</v>
      </c>
      <c r="BR277">
        <f>SUMIF('Как будет'!$A$63:$A$70,Доп.расчеты!$A277,'Как будет'!BS$63:BS$70)</f>
        <v>0</v>
      </c>
      <c r="BS277">
        <f>SUMIF('Как будет'!$A$63:$A$70,Доп.расчеты!$A277,'Как будет'!BT$63:BT$70)</f>
        <v>0</v>
      </c>
      <c r="BT277">
        <f>SUMIF('Как будет'!$A$63:$A$70,Доп.расчеты!$A277,'Как будет'!BU$63:BU$70)</f>
        <v>0</v>
      </c>
      <c r="BU277">
        <f>SUMIF('Как будет'!$A$63:$A$70,Доп.расчеты!$A277,'Как будет'!BV$63:BV$70)</f>
        <v>0</v>
      </c>
      <c r="BV277">
        <f>SUMIF('Как будет'!$A$63:$A$70,Доп.расчеты!$A277,'Как будет'!BW$63:BW$70)</f>
        <v>0</v>
      </c>
      <c r="BW277">
        <f>SUMIF('Как будет'!$A$63:$A$70,Доп.расчеты!$A277,'Как будет'!BX$63:BX$70)</f>
        <v>0</v>
      </c>
      <c r="BX277">
        <f>SUMIF('Как будет'!$A$63:$A$70,Доп.расчеты!$A277,'Как будет'!BY$63:BY$70)</f>
        <v>0</v>
      </c>
      <c r="BY277">
        <f>SUMIF('Как будет'!$A$63:$A$70,Доп.расчеты!$A277,'Как будет'!BZ$63:BZ$70)</f>
        <v>0</v>
      </c>
      <c r="BZ277">
        <f>SUMIF('Как будет'!$A$63:$A$70,Доп.расчеты!$A277,'Как будет'!CA$63:CA$70)</f>
        <v>0</v>
      </c>
      <c r="CA277">
        <f>SUMIF('Как будет'!$A$63:$A$70,Доп.расчеты!$A277,'Как будет'!CB$63:CB$70)</f>
        <v>0</v>
      </c>
      <c r="CB277">
        <f>SUMIF('Как будет'!$A$63:$A$70,Доп.расчеты!$A277,'Как будет'!CC$63:CC$70)</f>
        <v>0</v>
      </c>
      <c r="CC277">
        <f>SUMIF('Как будет'!$A$63:$A$70,Доп.расчеты!$A277,'Как будет'!CD$63:CD$70)</f>
        <v>0</v>
      </c>
      <c r="CD277">
        <f>SUMIF('Как будет'!$A$63:$A$70,Доп.расчеты!$A277,'Как будет'!CE$63:CE$70)</f>
        <v>0</v>
      </c>
      <c r="CE277">
        <f>SUMIF('Как будет'!$A$63:$A$70,Доп.расчеты!$A277,'Как будет'!CF$63:CF$70)</f>
        <v>0</v>
      </c>
      <c r="CF277">
        <f>SUMIF('Как будет'!$A$63:$A$70,Доп.расчеты!$A277,'Как будет'!CG$63:CG$70)</f>
        <v>0</v>
      </c>
      <c r="CG277">
        <f>SUMIF('Как будет'!$A$63:$A$70,Доп.расчеты!$A277,'Как будет'!CH$63:CH$70)</f>
        <v>0</v>
      </c>
      <c r="CH277">
        <f>SUMIF('Как будет'!$A$63:$A$70,Доп.расчеты!$A277,'Как будет'!CI$63:CI$70)</f>
        <v>0</v>
      </c>
      <c r="CI277">
        <f>SUMIF('Как будет'!$A$63:$A$70,Доп.расчеты!$A277,'Как будет'!CJ$63:CJ$70)</f>
        <v>0</v>
      </c>
      <c r="CJ277">
        <f>SUMIF('Как будет'!$A$63:$A$70,Доп.расчеты!$A277,'Как будет'!CK$63:CK$70)</f>
        <v>0</v>
      </c>
      <c r="CK277">
        <f>SUMIF('Как будет'!$A$63:$A$70,Доп.расчеты!$A277,'Как будет'!CL$63:CL$70)</f>
        <v>0</v>
      </c>
      <c r="CL277">
        <f>SUMIF('Как будет'!$A$63:$A$70,Доп.расчеты!$A277,'Как будет'!CM$63:CM$70)</f>
        <v>0</v>
      </c>
      <c r="CM277">
        <f>SUMIF('Как будет'!$A$63:$A$70,Доп.расчеты!$A277,'Как будет'!CN$63:CN$70)</f>
        <v>0</v>
      </c>
      <c r="CN277">
        <f>SUMIF('Как будет'!$A$63:$A$70,Доп.расчеты!$A277,'Как будет'!CO$63:CO$70)</f>
        <v>0</v>
      </c>
      <c r="CO277">
        <f>SUMIF('Как будет'!$A$63:$A$70,Доп.расчеты!$A277,'Как будет'!CP$63:CP$70)</f>
        <v>0</v>
      </c>
      <c r="CP277">
        <f>SUMIF('Как будет'!$A$63:$A$70,Доп.расчеты!$A277,'Как будет'!CQ$63:CQ$70)</f>
        <v>0</v>
      </c>
      <c r="CQ277">
        <f>SUMIF('Как будет'!$A$63:$A$70,Доп.расчеты!$A277,'Как будет'!CR$63:CR$70)</f>
        <v>0</v>
      </c>
      <c r="CR277">
        <f>SUMIF('Как будет'!$A$63:$A$70,Доп.расчеты!$A277,'Как будет'!CS$63:CS$70)</f>
        <v>0</v>
      </c>
      <c r="CS277">
        <f>SUMIF('Как будет'!$A$63:$A$70,Доп.расчеты!$A277,'Как будет'!CT$63:CT$70)</f>
        <v>0</v>
      </c>
      <c r="CT277">
        <f>SUMIF('Как будет'!$A$63:$A$70,Доп.расчеты!$A277,'Как будет'!CU$63:CU$70)</f>
        <v>0</v>
      </c>
      <c r="CU277">
        <f>SUMIF('Как будет'!$A$63:$A$70,Доп.расчеты!$A277,'Как будет'!CV$63:CV$70)</f>
        <v>0</v>
      </c>
      <c r="CV277">
        <f>SUMIF('Как будет'!$A$63:$A$70,Доп.расчеты!$A277,'Как будет'!CW$63:CW$70)</f>
        <v>0</v>
      </c>
      <c r="CW277">
        <f>SUMIF('Как будет'!$A$63:$A$70,Доп.расчеты!$A277,'Как будет'!CX$63:CX$70)</f>
        <v>0</v>
      </c>
      <c r="CX277">
        <f>SUMIF('Как будет'!$A$63:$A$70,Доп.расчеты!$A277,'Как будет'!CY$63:CY$70)</f>
        <v>0</v>
      </c>
      <c r="CY277">
        <f>SUMIF('Как будет'!$A$63:$A$70,Доп.расчеты!$A277,'Как будет'!CZ$63:CZ$70)</f>
        <v>0</v>
      </c>
      <c r="CZ277">
        <f>SUMIF('Как будет'!$A$63:$A$70,Доп.расчеты!$A277,'Как будет'!DA$63:DA$70)</f>
        <v>0</v>
      </c>
      <c r="DA277">
        <f>SUMIF('Как будет'!$A$63:$A$70,Доп.расчеты!$A277,'Как будет'!DB$63:DB$70)</f>
        <v>0</v>
      </c>
      <c r="DB277">
        <f>SUMIF('Как будет'!$A$63:$A$70,Доп.расчеты!$A277,'Как будет'!DC$63:DC$70)</f>
        <v>0</v>
      </c>
      <c r="DC277">
        <f>SUMIF('Как будет'!$A$63:$A$70,Доп.расчеты!$A277,'Как будет'!DD$63:DD$70)</f>
        <v>0</v>
      </c>
      <c r="DD277">
        <f>SUMIF('Как будет'!$A$63:$A$70,Доп.расчеты!$A277,'Как будет'!DE$63:DE$70)</f>
        <v>0</v>
      </c>
      <c r="DE277">
        <f>SUMIF('Как будет'!$A$63:$A$70,Доп.расчеты!$A277,'Как будет'!DF$63:DF$70)</f>
        <v>0</v>
      </c>
      <c r="DF277">
        <f>SUMIF('Как будет'!$A$63:$A$70,Доп.расчеты!$A277,'Как будет'!DG$63:DG$70)</f>
        <v>0</v>
      </c>
      <c r="DG277">
        <f>SUMIF('Как будет'!$A$63:$A$70,Доп.расчеты!$A277,'Как будет'!DH$63:DH$70)</f>
        <v>0</v>
      </c>
      <c r="DH277">
        <f>SUMIF('Как будет'!$A$63:$A$70,Доп.расчеты!$A277,'Как будет'!DI$63:DI$70)</f>
        <v>0</v>
      </c>
      <c r="DI277">
        <f>SUMIF('Как будет'!$A$63:$A$70,Доп.расчеты!$A277,'Как будет'!DJ$63:DJ$70)</f>
        <v>0</v>
      </c>
      <c r="DJ277">
        <f>SUMIF('Как будет'!$A$63:$A$70,Доп.расчеты!$A277,'Как будет'!DK$63:DK$70)</f>
        <v>0</v>
      </c>
      <c r="DK277">
        <f>SUMIF('Как будет'!$A$63:$A$70,Доп.расчеты!$A277,'Как будет'!DL$63:DL$70)</f>
        <v>0</v>
      </c>
      <c r="DL277">
        <f>SUMIF('Как будет'!$A$63:$A$70,Доп.расчеты!$A277,'Как будет'!DM$63:DM$70)</f>
        <v>0</v>
      </c>
      <c r="DM277">
        <f>SUMIF('Как будет'!$A$63:$A$70,Доп.расчеты!$A277,'Как будет'!DN$63:DN$70)</f>
        <v>0</v>
      </c>
      <c r="DN277">
        <f>SUMIF('Как будет'!$A$63:$A$70,Доп.расчеты!$A277,'Как будет'!DO$63:DO$70)</f>
        <v>0</v>
      </c>
      <c r="DO277">
        <f>SUMIF('Как будет'!$A$63:$A$70,Доп.расчеты!$A277,'Как будет'!DP$63:DP$70)</f>
        <v>0</v>
      </c>
      <c r="DP277">
        <f>SUMIF('Как будет'!$A$63:$A$70,Доп.расчеты!$A277,'Как будет'!DQ$63:DQ$70)</f>
        <v>0</v>
      </c>
      <c r="DQ277">
        <f>SUMIF('Как будет'!$A$63:$A$70,Доп.расчеты!$A277,'Как будет'!DR$63:DR$70)</f>
        <v>0</v>
      </c>
      <c r="DR277">
        <f>SUMIF('Как будет'!$A$63:$A$70,Доп.расчеты!$A277,'Как будет'!DS$63:DS$70)</f>
        <v>0</v>
      </c>
      <c r="DS277">
        <f>SUMIF('Как будет'!$A$63:$A$70,Доп.расчеты!$A277,'Как будет'!DT$63:DT$70)</f>
        <v>0</v>
      </c>
      <c r="DT277">
        <f>SUMIF('Как будет'!$A$63:$A$70,Доп.расчеты!$A277,'Как будет'!DU$63:DU$70)</f>
        <v>0</v>
      </c>
      <c r="DU277">
        <f>SUMIF('Как будет'!$A$63:$A$70,Доп.расчеты!$A277,'Как будет'!DV$63:DV$70)</f>
        <v>0</v>
      </c>
      <c r="DV277">
        <f>SUMIF('Как будет'!$A$63:$A$70,Доп.расчеты!$A277,'Как будет'!DW$63:DW$70)</f>
        <v>0</v>
      </c>
      <c r="DW277">
        <f>SUMIF('Как будет'!$A$63:$A$70,Доп.расчеты!$A277,'Как будет'!DX$63:DX$70)</f>
        <v>0</v>
      </c>
      <c r="DX277">
        <f>SUMIF('Как будет'!$A$63:$A$70,Доп.расчеты!$A277,'Как будет'!DY$63:DY$70)</f>
        <v>0</v>
      </c>
      <c r="DY277">
        <f>SUMIF('Как будет'!$A$63:$A$70,Доп.расчеты!$A277,'Как будет'!DZ$63:DZ$70)</f>
        <v>0</v>
      </c>
      <c r="DZ277">
        <f>SUMIF('Как будет'!$A$63:$A$70,Доп.расчеты!$A277,'Как будет'!EA$63:EA$70)</f>
        <v>0</v>
      </c>
      <c r="EA277">
        <f>SUMIF('Как будет'!$A$63:$A$70,Доп.расчеты!$A277,'Как будет'!EB$63:EB$70)</f>
        <v>0</v>
      </c>
      <c r="EB277">
        <f>SUMIF('Как будет'!$A$63:$A$70,Доп.расчеты!$A277,'Как будет'!EC$63:EC$70)</f>
        <v>0</v>
      </c>
      <c r="EC277">
        <f>SUMIF('Как будет'!$A$63:$A$70,Доп.расчеты!$A277,'Как будет'!ED$63:ED$70)</f>
        <v>0</v>
      </c>
      <c r="ED277">
        <f>SUMIF('Как будет'!$A$63:$A$70,Доп.расчеты!$A277,'Как будет'!EE$63:EE$70)</f>
        <v>0</v>
      </c>
      <c r="EE277">
        <f>SUMIF('Как будет'!$A$63:$A$70,Доп.расчеты!$A277,'Как будет'!EF$63:EF$70)</f>
        <v>0</v>
      </c>
      <c r="EF277">
        <f>SUMIF('Как будет'!$A$63:$A$70,Доп.расчеты!$A277,'Как будет'!EG$63:EG$70)</f>
        <v>0</v>
      </c>
      <c r="EG277">
        <f>SUMIF('Как будет'!$A$63:$A$70,Доп.расчеты!$A277,'Как будет'!EH$63:EH$70)</f>
        <v>0</v>
      </c>
      <c r="EH277">
        <f>SUMIF('Как будет'!$A$63:$A$70,Доп.расчеты!$A277,'Как будет'!EI$63:EI$70)</f>
        <v>0</v>
      </c>
      <c r="EI277">
        <f>SUMIF('Как будет'!$A$63:$A$70,Доп.расчеты!$A277,'Как будет'!EJ$63:EJ$70)</f>
        <v>0</v>
      </c>
      <c r="EJ277">
        <f>SUMIF('Как будет'!$A$63:$A$70,Доп.расчеты!$A277,'Как будет'!EK$63:EK$70)</f>
        <v>0</v>
      </c>
      <c r="EK277">
        <f>SUMIF('Как будет'!$A$63:$A$70,Доп.расчеты!$A277,'Как будет'!EL$63:EL$70)</f>
        <v>0</v>
      </c>
      <c r="EL277">
        <f>SUMIF('Как будет'!$A$63:$A$70,Доп.расчеты!$A277,'Как будет'!EM$63:EM$70)</f>
        <v>0</v>
      </c>
      <c r="EM277">
        <f>SUMIF('Как будет'!$A$63:$A$70,Доп.расчеты!$A277,'Как будет'!EN$63:EN$70)</f>
        <v>0</v>
      </c>
      <c r="EN277">
        <f>SUMIF('Как будет'!$A$63:$A$70,Доп.расчеты!$A277,'Как будет'!EO$63:EO$70)</f>
        <v>0</v>
      </c>
      <c r="EO277">
        <f>SUMIF('Как будет'!$A$63:$A$70,Доп.расчеты!$A277,'Как будет'!EP$63:EP$70)</f>
        <v>0</v>
      </c>
      <c r="EP277">
        <f>SUMIF('Как будет'!$A$63:$A$70,Доп.расчеты!$A277,'Как будет'!EQ$63:EQ$70)</f>
        <v>0</v>
      </c>
      <c r="EQ277">
        <f>SUMIF('Как будет'!$A$63:$A$70,Доп.расчеты!$A277,'Как будет'!ER$63:ER$70)</f>
        <v>0</v>
      </c>
      <c r="ER277">
        <f>SUMIF('Как будет'!$A$63:$A$70,Доп.расчеты!$A277,'Как будет'!ES$63:ES$70)</f>
        <v>0</v>
      </c>
      <c r="ES277">
        <f>SUMIF('Как будет'!$A$63:$A$70,Доп.расчеты!$A277,'Как будет'!ET$63:ET$70)</f>
        <v>0</v>
      </c>
      <c r="ET277">
        <f>SUMIF('Как будет'!$A$63:$A$70,Доп.расчеты!$A277,'Как будет'!EU$63:EU$70)</f>
        <v>0</v>
      </c>
      <c r="EU277">
        <f>SUMIF('Как будет'!$A$63:$A$70,Доп.расчеты!$A277,'Как будет'!EV$63:EV$70)</f>
        <v>0</v>
      </c>
      <c r="EV277">
        <f>SUMIF('Как будет'!$A$63:$A$70,Доп.расчеты!$A277,'Как будет'!EW$63:EW$70)</f>
        <v>0</v>
      </c>
      <c r="EW277">
        <f>SUMIF('Как будет'!$A$63:$A$70,Доп.расчеты!$A277,'Как будет'!EX$63:EX$70)</f>
        <v>0</v>
      </c>
      <c r="EX277">
        <f>SUMIF('Как будет'!$A$63:$A$70,Доп.расчеты!$A277,'Как будет'!EY$63:EY$70)</f>
        <v>0</v>
      </c>
      <c r="EY277">
        <f>SUMIF('Как будет'!$A$63:$A$70,Доп.расчеты!$A277,'Как будет'!EZ$63:EZ$70)</f>
        <v>0</v>
      </c>
      <c r="EZ277">
        <f>SUMIF('Как будет'!$A$63:$A$70,Доп.расчеты!$A277,'Как будет'!FA$63:FA$70)</f>
        <v>0</v>
      </c>
      <c r="FA277">
        <f>SUMIF('Как будет'!$A$63:$A$70,Доп.расчеты!$A277,'Как будет'!FB$63:FB$70)</f>
        <v>0</v>
      </c>
      <c r="FB277">
        <f>SUMIF('Как будет'!$A$63:$A$70,Доп.расчеты!$A277,'Как будет'!FC$63:FC$70)</f>
        <v>0</v>
      </c>
      <c r="FC277">
        <f>SUMIF('Как будет'!$A$63:$A$70,Доп.расчеты!$A277,'Как будет'!FD$63:FD$70)</f>
        <v>0</v>
      </c>
      <c r="FD277">
        <f>SUMIF('Как будет'!$A$63:$A$70,Доп.расчеты!$A277,'Как будет'!FE$63:FE$70)</f>
        <v>0</v>
      </c>
      <c r="FE277">
        <f>SUMIF('Как будет'!$A$63:$A$70,Доп.расчеты!$A277,'Как будет'!FF$63:FF$70)</f>
        <v>0</v>
      </c>
      <c r="FF277">
        <f>SUMIF('Как будет'!$A$63:$A$70,Доп.расчеты!$A277,'Как будет'!FG$63:FG$70)</f>
        <v>0</v>
      </c>
      <c r="FG277">
        <f>SUMIF('Как будет'!$A$63:$A$70,Доп.расчеты!$A277,'Как будет'!FH$63:FH$70)</f>
        <v>0</v>
      </c>
      <c r="FH277">
        <f>SUMIF('Как будет'!$A$63:$A$70,Доп.расчеты!$A277,'Как будет'!FI$63:FI$70)</f>
        <v>0</v>
      </c>
      <c r="FI277">
        <f>SUMIF('Как будет'!$A$63:$A$70,Доп.расчеты!$A277,'Как будет'!FJ$63:FJ$70)</f>
        <v>0</v>
      </c>
      <c r="FJ277">
        <f>SUMIF('Как будет'!$A$63:$A$70,Доп.расчеты!$A277,'Как будет'!FK$63:FK$70)</f>
        <v>0</v>
      </c>
      <c r="FK277">
        <f>SUMIF('Как будет'!$A$63:$A$70,Доп.расчеты!$A277,'Как будет'!FL$63:FL$70)</f>
        <v>0</v>
      </c>
      <c r="FL277">
        <f>SUMIF('Как будет'!$A$63:$A$70,Доп.расчеты!$A277,'Как будет'!FM$63:FM$70)</f>
        <v>0</v>
      </c>
      <c r="FM277">
        <f>SUMIF('Как будет'!$A$63:$A$70,Доп.расчеты!$A277,'Как будет'!FN$63:FN$70)</f>
        <v>0</v>
      </c>
      <c r="FN277">
        <f>SUMIF('Как будет'!$A$63:$A$70,Доп.расчеты!$A277,'Как будет'!FO$63:FO$70)</f>
        <v>0</v>
      </c>
      <c r="FO277">
        <f>SUMIF('Как будет'!$A$63:$A$70,Доп.расчеты!$A277,'Как будет'!FP$63:FP$70)</f>
        <v>0</v>
      </c>
      <c r="FP277">
        <f>SUMIF('Как будет'!$A$63:$A$70,Доп.расчеты!$A277,'Как будет'!FQ$63:FQ$70)</f>
        <v>0</v>
      </c>
      <c r="FQ277">
        <f>SUMIF('Как будет'!$A$63:$A$70,Доп.расчеты!$A277,'Как будет'!FR$63:FR$70)</f>
        <v>0</v>
      </c>
      <c r="FR277">
        <f>SUMIF('Как будет'!$A$63:$A$70,Доп.расчеты!$A277,'Как будет'!FS$63:FS$70)</f>
        <v>0</v>
      </c>
      <c r="FS277">
        <f>SUMIF('Как будет'!$A$63:$A$70,Доп.расчеты!$A277,'Как будет'!FT$63:FT$70)</f>
        <v>0</v>
      </c>
      <c r="FT277">
        <f>SUMIF('Как будет'!$A$63:$A$70,Доп.расчеты!$A277,'Как будет'!FU$63:FU$70)</f>
        <v>0</v>
      </c>
      <c r="FU277">
        <f>SUMIF('Как будет'!$A$63:$A$70,Доп.расчеты!$A277,'Как будет'!FV$63:FV$70)</f>
        <v>0</v>
      </c>
      <c r="FV277">
        <f>SUMIF('Как будет'!$A$63:$A$70,Доп.расчеты!$A277,'Как будет'!FW$63:FW$70)</f>
        <v>0</v>
      </c>
      <c r="FW277">
        <f>SUMIF('Как будет'!$A$63:$A$70,Доп.расчеты!$A277,'Как будет'!FX$63:FX$70)</f>
        <v>0</v>
      </c>
      <c r="FX277">
        <f>SUMIF('Как будет'!$A$63:$A$70,Доп.расчеты!$A277,'Как будет'!FY$63:FY$70)</f>
        <v>0</v>
      </c>
      <c r="FY277">
        <f>SUMIF('Как будет'!$A$63:$A$70,Доп.расчеты!$A277,'Как будет'!FZ$63:FZ$70)</f>
        <v>0</v>
      </c>
      <c r="FZ277">
        <f>SUMIF('Как будет'!$A$63:$A$70,Доп.расчеты!$A277,'Как будет'!GA$63:GA$70)</f>
        <v>0</v>
      </c>
      <c r="GA277">
        <f>SUMIF('Как будет'!$A$63:$A$70,Доп.расчеты!$A277,'Как будет'!GB$63:GB$70)</f>
        <v>0</v>
      </c>
      <c r="GB277">
        <f>SUMIF('Как будет'!$A$63:$A$70,Доп.расчеты!$A277,'Как будет'!GC$63:GC$70)</f>
        <v>0</v>
      </c>
      <c r="GC277">
        <f>SUMIF('Как будет'!$A$63:$A$70,Доп.расчеты!$A277,'Как будет'!GD$63:GD$70)</f>
        <v>0</v>
      </c>
      <c r="GD277">
        <f>SUMIF('Как будет'!$A$63:$A$70,Доп.расчеты!$A277,'Как будет'!GE$63:GE$70)</f>
        <v>0</v>
      </c>
      <c r="GE277">
        <f>SUMIF('Как будет'!$A$63:$A$70,Доп.расчеты!$A277,'Как будет'!GF$63:GF$70)</f>
        <v>0</v>
      </c>
      <c r="GF277">
        <f>SUMIF('Как будет'!$A$63:$A$70,Доп.расчеты!$A277,'Как будет'!GG$63:GG$70)</f>
        <v>0</v>
      </c>
      <c r="GG277">
        <f>SUMIF('Как будет'!$A$63:$A$70,Доп.расчеты!$A277,'Как будет'!GH$63:GH$70)</f>
        <v>0</v>
      </c>
      <c r="GH277">
        <f>SUMIF('Как будет'!$A$63:$A$70,Доп.расчеты!$A277,'Как будет'!GI$63:GI$70)</f>
        <v>0</v>
      </c>
      <c r="GI277">
        <f>SUMIF('Как будет'!$A$63:$A$70,Доп.расчеты!$A277,'Как будет'!GJ$63:GJ$70)</f>
        <v>0</v>
      </c>
      <c r="GJ277">
        <f>SUMIF('Как будет'!$A$63:$A$70,Доп.расчеты!$A277,'Как будет'!GK$63:GK$70)</f>
        <v>0</v>
      </c>
      <c r="GK277">
        <f>SUMIF('Как будет'!$A$63:$A$70,Доп.расчеты!$A277,'Как будет'!GL$63:GL$70)</f>
        <v>0</v>
      </c>
      <c r="GL277">
        <f>SUMIF('Как будет'!$A$63:$A$70,Доп.расчеты!$A277,'Как будет'!GM$63:GM$70)</f>
        <v>0</v>
      </c>
      <c r="GM277">
        <f>SUMIF('Как будет'!$A$63:$A$70,Доп.расчеты!$A277,'Как будет'!GN$63:GN$70)</f>
        <v>0</v>
      </c>
      <c r="GN277">
        <f>SUMIF('Как будет'!$A$63:$A$70,Доп.расчеты!$A277,'Как будет'!GO$63:GO$70)</f>
        <v>0</v>
      </c>
      <c r="GO277">
        <f>SUMIF('Как будет'!$A$63:$A$70,Доп.расчеты!$A277,'Как будет'!GP$63:GP$70)</f>
        <v>0</v>
      </c>
      <c r="GP277">
        <f>SUMIF('Как будет'!$A$63:$A$70,Доп.расчеты!$A277,'Как будет'!GQ$63:GQ$70)</f>
        <v>0</v>
      </c>
      <c r="GQ277">
        <f>SUMIF('Как будет'!$A$63:$A$70,Доп.расчеты!$A277,'Как будет'!GR$63:GR$70)</f>
        <v>0</v>
      </c>
      <c r="GR277">
        <f>SUMIF('Как будет'!$A$63:$A$70,Доп.расчеты!$A277,'Как будет'!GS$63:GS$70)</f>
        <v>0</v>
      </c>
      <c r="GS277">
        <f>SUMIF('Как будет'!$A$63:$A$70,Доп.расчеты!$A277,'Как будет'!GT$63:GT$70)</f>
        <v>0</v>
      </c>
      <c r="GT277">
        <f>SUMIF('Как будет'!$A$63:$A$70,Доп.расчеты!$A277,'Как будет'!GU$63:GU$70)</f>
        <v>0</v>
      </c>
    </row>
    <row r="278" spans="1:202">
      <c r="A278" s="238" t="s">
        <v>14</v>
      </c>
      <c r="B278">
        <f>SUMIF('Как будет'!$A$63:$A$70,Доп.расчеты!$A278,'Как будет'!C$63:C$70)</f>
        <v>0</v>
      </c>
      <c r="C278">
        <f>SUMIF('Как будет'!$A$63:$A$70,Доп.расчеты!$A278,'Как будет'!D$63:D$70)</f>
        <v>0</v>
      </c>
      <c r="D278">
        <f>SUMIF('Как будет'!$A$63:$A$70,Доп.расчеты!$A278,'Как будет'!E$63:E$70)</f>
        <v>0</v>
      </c>
      <c r="E278">
        <f>SUMIF('Как будет'!$A$63:$A$70,Доп.расчеты!$A278,'Как будет'!F$63:F$70)</f>
        <v>0</v>
      </c>
      <c r="F278">
        <f>SUMIF('Как будет'!$A$63:$A$70,Доп.расчеты!$A278,'Как будет'!G$63:G$70)</f>
        <v>0</v>
      </c>
      <c r="G278">
        <f>SUMIF('Как будет'!$A$63:$A$70,Доп.расчеты!$A278,'Как будет'!H$63:H$70)</f>
        <v>0</v>
      </c>
      <c r="H278">
        <f>SUMIF('Как будет'!$A$63:$A$70,Доп.расчеты!$A278,'Как будет'!I$63:I$70)</f>
        <v>0</v>
      </c>
      <c r="I278">
        <f>SUMIF('Как будет'!$A$63:$A$70,Доп.расчеты!$A278,'Как будет'!J$63:J$70)</f>
        <v>0</v>
      </c>
      <c r="J278">
        <f>SUMIF('Как будет'!$A$63:$A$70,Доп.расчеты!$A278,'Как будет'!K$63:K$70)</f>
        <v>0</v>
      </c>
      <c r="K278">
        <f>SUMIF('Как будет'!$A$63:$A$70,Доп.расчеты!$A278,'Как будет'!L$63:L$70)</f>
        <v>0</v>
      </c>
      <c r="L278">
        <f>SUMIF('Как будет'!$A$63:$A$70,Доп.расчеты!$A278,'Как будет'!M$63:M$70)</f>
        <v>0</v>
      </c>
      <c r="M278">
        <f>SUMIF('Как будет'!$A$63:$A$70,Доп.расчеты!$A278,'Как будет'!N$63:N$70)</f>
        <v>0</v>
      </c>
      <c r="N278">
        <f>SUMIF('Как будет'!$A$63:$A$70,Доп.расчеты!$A278,'Как будет'!O$63:O$70)</f>
        <v>0</v>
      </c>
      <c r="O278">
        <f>SUMIF('Как будет'!$A$63:$A$70,Доп.расчеты!$A278,'Как будет'!P$63:P$70)</f>
        <v>0</v>
      </c>
      <c r="P278">
        <f>SUMIF('Как будет'!$A$63:$A$70,Доп.расчеты!$A278,'Как будет'!Q$63:Q$70)</f>
        <v>0</v>
      </c>
      <c r="Q278">
        <f>SUMIF('Как будет'!$A$63:$A$70,Доп.расчеты!$A278,'Как будет'!R$63:R$70)</f>
        <v>0</v>
      </c>
      <c r="R278">
        <f>SUMIF('Как будет'!$A$63:$A$70,Доп.расчеты!$A278,'Как будет'!S$63:S$70)</f>
        <v>0</v>
      </c>
      <c r="S278">
        <f>SUMIF('Как будет'!$A$63:$A$70,Доп.расчеты!$A278,'Как будет'!T$63:T$70)</f>
        <v>0</v>
      </c>
      <c r="T278">
        <f>SUMIF('Как будет'!$A$63:$A$70,Доп.расчеты!$A278,'Как будет'!U$63:U$70)</f>
        <v>0</v>
      </c>
      <c r="U278">
        <f>SUMIF('Как будет'!$A$63:$A$70,Доп.расчеты!$A278,'Как будет'!V$63:V$70)</f>
        <v>0</v>
      </c>
      <c r="V278">
        <f>SUMIF('Как будет'!$A$63:$A$70,Доп.расчеты!$A278,'Как будет'!W$63:W$70)</f>
        <v>0</v>
      </c>
      <c r="W278">
        <f>SUMIF('Как будет'!$A$63:$A$70,Доп.расчеты!$A278,'Как будет'!X$63:X$70)</f>
        <v>0</v>
      </c>
      <c r="X278">
        <f>SUMIF('Как будет'!$A$63:$A$70,Доп.расчеты!$A278,'Как будет'!Y$63:Y$70)</f>
        <v>0</v>
      </c>
      <c r="Y278">
        <f>SUMIF('Как будет'!$A$63:$A$70,Доп.расчеты!$A278,'Как будет'!Z$63:Z$70)</f>
        <v>0</v>
      </c>
      <c r="Z278">
        <f>SUMIF('Как будет'!$A$63:$A$70,Доп.расчеты!$A278,'Как будет'!AA$63:AA$70)</f>
        <v>0</v>
      </c>
      <c r="AA278">
        <f>SUMIF('Как будет'!$A$63:$A$70,Доп.расчеты!$A278,'Как будет'!AB$63:AB$70)</f>
        <v>0</v>
      </c>
      <c r="AB278">
        <f>SUMIF('Как будет'!$A$63:$A$70,Доп.расчеты!$A278,'Как будет'!AC$63:AC$70)</f>
        <v>0</v>
      </c>
      <c r="AC278">
        <f>SUMIF('Как будет'!$A$63:$A$70,Доп.расчеты!$A278,'Как будет'!AD$63:AD$70)</f>
        <v>0</v>
      </c>
      <c r="AD278">
        <f>SUMIF('Как будет'!$A$63:$A$70,Доп.расчеты!$A278,'Как будет'!AE$63:AE$70)</f>
        <v>0</v>
      </c>
      <c r="AE278">
        <f>SUMIF('Как будет'!$A$63:$A$70,Доп.расчеты!$A278,'Как будет'!AF$63:AF$70)</f>
        <v>0</v>
      </c>
      <c r="AF278">
        <f>SUMIF('Как будет'!$A$63:$A$70,Доп.расчеты!$A278,'Как будет'!AG$63:AG$70)</f>
        <v>0</v>
      </c>
      <c r="AG278">
        <f>SUMIF('Как будет'!$A$63:$A$70,Доп.расчеты!$A278,'Как будет'!AH$63:AH$70)</f>
        <v>0</v>
      </c>
      <c r="AH278">
        <f>SUMIF('Как будет'!$A$63:$A$70,Доп.расчеты!$A278,'Как будет'!AI$63:AI$70)</f>
        <v>0</v>
      </c>
      <c r="AI278">
        <f>SUMIF('Как будет'!$A$63:$A$70,Доп.расчеты!$A278,'Как будет'!AJ$63:AJ$70)</f>
        <v>0</v>
      </c>
      <c r="AJ278">
        <f>SUMIF('Как будет'!$A$63:$A$70,Доп.расчеты!$A278,'Как будет'!AK$63:AK$70)</f>
        <v>0</v>
      </c>
      <c r="AK278">
        <f>SUMIF('Как будет'!$A$63:$A$70,Доп.расчеты!$A278,'Как будет'!AL$63:AL$70)</f>
        <v>0</v>
      </c>
      <c r="AL278">
        <f>SUMIF('Как будет'!$A$63:$A$70,Доп.расчеты!$A278,'Как будет'!AM$63:AM$70)</f>
        <v>0</v>
      </c>
      <c r="AM278">
        <f>SUMIF('Как будет'!$A$63:$A$70,Доп.расчеты!$A278,'Как будет'!AN$63:AN$70)</f>
        <v>0</v>
      </c>
      <c r="AN278">
        <f>SUMIF('Как будет'!$A$63:$A$70,Доп.расчеты!$A278,'Как будет'!AO$63:AO$70)</f>
        <v>0</v>
      </c>
      <c r="AO278">
        <f>SUMIF('Как будет'!$A$63:$A$70,Доп.расчеты!$A278,'Как будет'!AP$63:AP$70)</f>
        <v>0</v>
      </c>
      <c r="AP278">
        <f>SUMIF('Как будет'!$A$63:$A$70,Доп.расчеты!$A278,'Как будет'!AQ$63:AQ$70)</f>
        <v>0</v>
      </c>
      <c r="AQ278">
        <f>SUMIF('Как будет'!$A$63:$A$70,Доп.расчеты!$A278,'Как будет'!AR$63:AR$70)</f>
        <v>0</v>
      </c>
      <c r="AR278">
        <f>SUMIF('Как будет'!$A$63:$A$70,Доп.расчеты!$A278,'Как будет'!AS$63:AS$70)</f>
        <v>0</v>
      </c>
      <c r="AS278">
        <f>SUMIF('Как будет'!$A$63:$A$70,Доп.расчеты!$A278,'Как будет'!AT$63:AT$70)</f>
        <v>0</v>
      </c>
      <c r="AT278">
        <f>SUMIF('Как будет'!$A$63:$A$70,Доп.расчеты!$A278,'Как будет'!AU$63:AU$70)</f>
        <v>0</v>
      </c>
      <c r="AU278">
        <f>SUMIF('Как будет'!$A$63:$A$70,Доп.расчеты!$A278,'Как будет'!AV$63:AV$70)</f>
        <v>0</v>
      </c>
      <c r="AV278">
        <f>SUMIF('Как будет'!$A$63:$A$70,Доп.расчеты!$A278,'Как будет'!AW$63:AW$70)</f>
        <v>0</v>
      </c>
      <c r="AW278">
        <f>SUMIF('Как будет'!$A$63:$A$70,Доп.расчеты!$A278,'Как будет'!AX$63:AX$70)</f>
        <v>0</v>
      </c>
      <c r="AX278">
        <f>SUMIF('Как будет'!$A$63:$A$70,Доп.расчеты!$A278,'Как будет'!AY$63:AY$70)</f>
        <v>0</v>
      </c>
      <c r="AY278">
        <f>SUMIF('Как будет'!$A$63:$A$70,Доп.расчеты!$A278,'Как будет'!AZ$63:AZ$70)</f>
        <v>0</v>
      </c>
      <c r="AZ278">
        <f>SUMIF('Как будет'!$A$63:$A$70,Доп.расчеты!$A278,'Как будет'!BA$63:BA$70)</f>
        <v>0</v>
      </c>
      <c r="BA278">
        <f>SUMIF('Как будет'!$A$63:$A$70,Доп.расчеты!$A278,'Как будет'!BB$63:BB$70)</f>
        <v>0</v>
      </c>
      <c r="BB278">
        <f>SUMIF('Как будет'!$A$63:$A$70,Доп.расчеты!$A278,'Как будет'!BC$63:BC$70)</f>
        <v>0</v>
      </c>
      <c r="BC278">
        <f>SUMIF('Как будет'!$A$63:$A$70,Доп.расчеты!$A278,'Как будет'!BD$63:BD$70)</f>
        <v>0</v>
      </c>
      <c r="BD278">
        <f>SUMIF('Как будет'!$A$63:$A$70,Доп.расчеты!$A278,'Как будет'!BE$63:BE$70)</f>
        <v>0</v>
      </c>
      <c r="BE278">
        <f>SUMIF('Как будет'!$A$63:$A$70,Доп.расчеты!$A278,'Как будет'!BF$63:BF$70)</f>
        <v>0</v>
      </c>
      <c r="BF278">
        <f>SUMIF('Как будет'!$A$63:$A$70,Доп.расчеты!$A278,'Как будет'!BG$63:BG$70)</f>
        <v>0</v>
      </c>
      <c r="BG278">
        <f>SUMIF('Как будет'!$A$63:$A$70,Доп.расчеты!$A278,'Как будет'!BH$63:BH$70)</f>
        <v>0</v>
      </c>
      <c r="BH278">
        <f>SUMIF('Как будет'!$A$63:$A$70,Доп.расчеты!$A278,'Как будет'!BI$63:BI$70)</f>
        <v>0</v>
      </c>
      <c r="BI278">
        <f>SUMIF('Как будет'!$A$63:$A$70,Доп.расчеты!$A278,'Как будет'!BJ$63:BJ$70)</f>
        <v>0</v>
      </c>
      <c r="BJ278">
        <f>SUMIF('Как будет'!$A$63:$A$70,Доп.расчеты!$A278,'Как будет'!BK$63:BK$70)</f>
        <v>0</v>
      </c>
      <c r="BK278">
        <f>SUMIF('Как будет'!$A$63:$A$70,Доп.расчеты!$A278,'Как будет'!BL$63:BL$70)</f>
        <v>0</v>
      </c>
      <c r="BL278">
        <f>SUMIF('Как будет'!$A$63:$A$70,Доп.расчеты!$A278,'Как будет'!BM$63:BM$70)</f>
        <v>0</v>
      </c>
      <c r="BM278">
        <f>SUMIF('Как будет'!$A$63:$A$70,Доп.расчеты!$A278,'Как будет'!BN$63:BN$70)</f>
        <v>0</v>
      </c>
      <c r="BN278">
        <f>SUMIF('Как будет'!$A$63:$A$70,Доп.расчеты!$A278,'Как будет'!BO$63:BO$70)</f>
        <v>0</v>
      </c>
      <c r="BO278">
        <f>SUMIF('Как будет'!$A$63:$A$70,Доп.расчеты!$A278,'Как будет'!BP$63:BP$70)</f>
        <v>0</v>
      </c>
      <c r="BP278">
        <f>SUMIF('Как будет'!$A$63:$A$70,Доп.расчеты!$A278,'Как будет'!BQ$63:BQ$70)</f>
        <v>0</v>
      </c>
      <c r="BQ278">
        <f>SUMIF('Как будет'!$A$63:$A$70,Доп.расчеты!$A278,'Как будет'!BR$63:BR$70)</f>
        <v>0</v>
      </c>
      <c r="BR278">
        <f>SUMIF('Как будет'!$A$63:$A$70,Доп.расчеты!$A278,'Как будет'!BS$63:BS$70)</f>
        <v>0</v>
      </c>
      <c r="BS278">
        <f>SUMIF('Как будет'!$A$63:$A$70,Доп.расчеты!$A278,'Как будет'!BT$63:BT$70)</f>
        <v>0</v>
      </c>
      <c r="BT278">
        <f>SUMIF('Как будет'!$A$63:$A$70,Доп.расчеты!$A278,'Как будет'!BU$63:BU$70)</f>
        <v>0</v>
      </c>
      <c r="BU278">
        <f>SUMIF('Как будет'!$A$63:$A$70,Доп.расчеты!$A278,'Как будет'!BV$63:BV$70)</f>
        <v>0</v>
      </c>
      <c r="BV278">
        <f>SUMIF('Как будет'!$A$63:$A$70,Доп.расчеты!$A278,'Как будет'!BW$63:BW$70)</f>
        <v>0</v>
      </c>
      <c r="BW278">
        <f>SUMIF('Как будет'!$A$63:$A$70,Доп.расчеты!$A278,'Как будет'!BX$63:BX$70)</f>
        <v>0</v>
      </c>
      <c r="BX278">
        <f>SUMIF('Как будет'!$A$63:$A$70,Доп.расчеты!$A278,'Как будет'!BY$63:BY$70)</f>
        <v>0</v>
      </c>
      <c r="BY278">
        <f>SUMIF('Как будет'!$A$63:$A$70,Доп.расчеты!$A278,'Как будет'!BZ$63:BZ$70)</f>
        <v>0</v>
      </c>
      <c r="BZ278">
        <f>SUMIF('Как будет'!$A$63:$A$70,Доп.расчеты!$A278,'Как будет'!CA$63:CA$70)</f>
        <v>0</v>
      </c>
      <c r="CA278">
        <f>SUMIF('Как будет'!$A$63:$A$70,Доп.расчеты!$A278,'Как будет'!CB$63:CB$70)</f>
        <v>0</v>
      </c>
      <c r="CB278">
        <f>SUMIF('Как будет'!$A$63:$A$70,Доп.расчеты!$A278,'Как будет'!CC$63:CC$70)</f>
        <v>0</v>
      </c>
      <c r="CC278">
        <f>SUMIF('Как будет'!$A$63:$A$70,Доп.расчеты!$A278,'Как будет'!CD$63:CD$70)</f>
        <v>0</v>
      </c>
      <c r="CD278">
        <f>SUMIF('Как будет'!$A$63:$A$70,Доп.расчеты!$A278,'Как будет'!CE$63:CE$70)</f>
        <v>0</v>
      </c>
      <c r="CE278">
        <f>SUMIF('Как будет'!$A$63:$A$70,Доп.расчеты!$A278,'Как будет'!CF$63:CF$70)</f>
        <v>0</v>
      </c>
      <c r="CF278">
        <f>SUMIF('Как будет'!$A$63:$A$70,Доп.расчеты!$A278,'Как будет'!CG$63:CG$70)</f>
        <v>0</v>
      </c>
      <c r="CG278">
        <f>SUMIF('Как будет'!$A$63:$A$70,Доп.расчеты!$A278,'Как будет'!CH$63:CH$70)</f>
        <v>0</v>
      </c>
      <c r="CH278">
        <f>SUMIF('Как будет'!$A$63:$A$70,Доп.расчеты!$A278,'Как будет'!CI$63:CI$70)</f>
        <v>0</v>
      </c>
      <c r="CI278">
        <f>SUMIF('Как будет'!$A$63:$A$70,Доп.расчеты!$A278,'Как будет'!CJ$63:CJ$70)</f>
        <v>0</v>
      </c>
      <c r="CJ278">
        <f>SUMIF('Как будет'!$A$63:$A$70,Доп.расчеты!$A278,'Как будет'!CK$63:CK$70)</f>
        <v>0</v>
      </c>
      <c r="CK278">
        <f>SUMIF('Как будет'!$A$63:$A$70,Доп.расчеты!$A278,'Как будет'!CL$63:CL$70)</f>
        <v>0</v>
      </c>
      <c r="CL278">
        <f>SUMIF('Как будет'!$A$63:$A$70,Доп.расчеты!$A278,'Как будет'!CM$63:CM$70)</f>
        <v>0</v>
      </c>
      <c r="CM278">
        <f>SUMIF('Как будет'!$A$63:$A$70,Доп.расчеты!$A278,'Как будет'!CN$63:CN$70)</f>
        <v>0</v>
      </c>
      <c r="CN278">
        <f>SUMIF('Как будет'!$A$63:$A$70,Доп.расчеты!$A278,'Как будет'!CO$63:CO$70)</f>
        <v>0</v>
      </c>
      <c r="CO278">
        <f>SUMIF('Как будет'!$A$63:$A$70,Доп.расчеты!$A278,'Как будет'!CP$63:CP$70)</f>
        <v>0</v>
      </c>
      <c r="CP278">
        <f>SUMIF('Как будет'!$A$63:$A$70,Доп.расчеты!$A278,'Как будет'!CQ$63:CQ$70)</f>
        <v>0</v>
      </c>
      <c r="CQ278">
        <f>SUMIF('Как будет'!$A$63:$A$70,Доп.расчеты!$A278,'Как будет'!CR$63:CR$70)</f>
        <v>0</v>
      </c>
      <c r="CR278">
        <f>SUMIF('Как будет'!$A$63:$A$70,Доп.расчеты!$A278,'Как будет'!CS$63:CS$70)</f>
        <v>0</v>
      </c>
      <c r="CS278">
        <f>SUMIF('Как будет'!$A$63:$A$70,Доп.расчеты!$A278,'Как будет'!CT$63:CT$70)</f>
        <v>0</v>
      </c>
      <c r="CT278">
        <f>SUMIF('Как будет'!$A$63:$A$70,Доп.расчеты!$A278,'Как будет'!CU$63:CU$70)</f>
        <v>0</v>
      </c>
      <c r="CU278">
        <f>SUMIF('Как будет'!$A$63:$A$70,Доп.расчеты!$A278,'Как будет'!CV$63:CV$70)</f>
        <v>0</v>
      </c>
      <c r="CV278">
        <f>SUMIF('Как будет'!$A$63:$A$70,Доп.расчеты!$A278,'Как будет'!CW$63:CW$70)</f>
        <v>0</v>
      </c>
      <c r="CW278">
        <f>SUMIF('Как будет'!$A$63:$A$70,Доп.расчеты!$A278,'Как будет'!CX$63:CX$70)</f>
        <v>0</v>
      </c>
      <c r="CX278">
        <f>SUMIF('Как будет'!$A$63:$A$70,Доп.расчеты!$A278,'Как будет'!CY$63:CY$70)</f>
        <v>0</v>
      </c>
      <c r="CY278">
        <f>SUMIF('Как будет'!$A$63:$A$70,Доп.расчеты!$A278,'Как будет'!CZ$63:CZ$70)</f>
        <v>0</v>
      </c>
      <c r="CZ278">
        <f>SUMIF('Как будет'!$A$63:$A$70,Доп.расчеты!$A278,'Как будет'!DA$63:DA$70)</f>
        <v>0</v>
      </c>
      <c r="DA278">
        <f>SUMIF('Как будет'!$A$63:$A$70,Доп.расчеты!$A278,'Как будет'!DB$63:DB$70)</f>
        <v>0</v>
      </c>
      <c r="DB278">
        <f>SUMIF('Как будет'!$A$63:$A$70,Доп.расчеты!$A278,'Как будет'!DC$63:DC$70)</f>
        <v>0</v>
      </c>
      <c r="DC278">
        <f>SUMIF('Как будет'!$A$63:$A$70,Доп.расчеты!$A278,'Как будет'!DD$63:DD$70)</f>
        <v>0</v>
      </c>
      <c r="DD278">
        <f>SUMIF('Как будет'!$A$63:$A$70,Доп.расчеты!$A278,'Как будет'!DE$63:DE$70)</f>
        <v>0</v>
      </c>
      <c r="DE278">
        <f>SUMIF('Как будет'!$A$63:$A$70,Доп.расчеты!$A278,'Как будет'!DF$63:DF$70)</f>
        <v>0</v>
      </c>
      <c r="DF278">
        <f>SUMIF('Как будет'!$A$63:$A$70,Доп.расчеты!$A278,'Как будет'!DG$63:DG$70)</f>
        <v>0</v>
      </c>
      <c r="DG278">
        <f>SUMIF('Как будет'!$A$63:$A$70,Доп.расчеты!$A278,'Как будет'!DH$63:DH$70)</f>
        <v>0</v>
      </c>
      <c r="DH278">
        <f>SUMIF('Как будет'!$A$63:$A$70,Доп.расчеты!$A278,'Как будет'!DI$63:DI$70)</f>
        <v>0</v>
      </c>
      <c r="DI278">
        <f>SUMIF('Как будет'!$A$63:$A$70,Доп.расчеты!$A278,'Как будет'!DJ$63:DJ$70)</f>
        <v>0</v>
      </c>
      <c r="DJ278">
        <f>SUMIF('Как будет'!$A$63:$A$70,Доп.расчеты!$A278,'Как будет'!DK$63:DK$70)</f>
        <v>0</v>
      </c>
      <c r="DK278">
        <f>SUMIF('Как будет'!$A$63:$A$70,Доп.расчеты!$A278,'Как будет'!DL$63:DL$70)</f>
        <v>0</v>
      </c>
      <c r="DL278">
        <f>SUMIF('Как будет'!$A$63:$A$70,Доп.расчеты!$A278,'Как будет'!DM$63:DM$70)</f>
        <v>0</v>
      </c>
      <c r="DM278">
        <f>SUMIF('Как будет'!$A$63:$A$70,Доп.расчеты!$A278,'Как будет'!DN$63:DN$70)</f>
        <v>0</v>
      </c>
      <c r="DN278">
        <f>SUMIF('Как будет'!$A$63:$A$70,Доп.расчеты!$A278,'Как будет'!DO$63:DO$70)</f>
        <v>0</v>
      </c>
      <c r="DO278">
        <f>SUMIF('Как будет'!$A$63:$A$70,Доп.расчеты!$A278,'Как будет'!DP$63:DP$70)</f>
        <v>0</v>
      </c>
      <c r="DP278">
        <f>SUMIF('Как будет'!$A$63:$A$70,Доп.расчеты!$A278,'Как будет'!DQ$63:DQ$70)</f>
        <v>0</v>
      </c>
      <c r="DQ278">
        <f>SUMIF('Как будет'!$A$63:$A$70,Доп.расчеты!$A278,'Как будет'!DR$63:DR$70)</f>
        <v>0</v>
      </c>
      <c r="DR278">
        <f>SUMIF('Как будет'!$A$63:$A$70,Доп.расчеты!$A278,'Как будет'!DS$63:DS$70)</f>
        <v>0</v>
      </c>
      <c r="DS278">
        <f>SUMIF('Как будет'!$A$63:$A$70,Доп.расчеты!$A278,'Как будет'!DT$63:DT$70)</f>
        <v>0</v>
      </c>
      <c r="DT278">
        <f>SUMIF('Как будет'!$A$63:$A$70,Доп.расчеты!$A278,'Как будет'!DU$63:DU$70)</f>
        <v>0</v>
      </c>
      <c r="DU278">
        <f>SUMIF('Как будет'!$A$63:$A$70,Доп.расчеты!$A278,'Как будет'!DV$63:DV$70)</f>
        <v>0</v>
      </c>
      <c r="DV278">
        <f>SUMIF('Как будет'!$A$63:$A$70,Доп.расчеты!$A278,'Как будет'!DW$63:DW$70)</f>
        <v>0</v>
      </c>
      <c r="DW278">
        <f>SUMIF('Как будет'!$A$63:$A$70,Доп.расчеты!$A278,'Как будет'!DX$63:DX$70)</f>
        <v>0</v>
      </c>
      <c r="DX278">
        <f>SUMIF('Как будет'!$A$63:$A$70,Доп.расчеты!$A278,'Как будет'!DY$63:DY$70)</f>
        <v>0</v>
      </c>
      <c r="DY278">
        <f>SUMIF('Как будет'!$A$63:$A$70,Доп.расчеты!$A278,'Как будет'!DZ$63:DZ$70)</f>
        <v>0</v>
      </c>
      <c r="DZ278">
        <f>SUMIF('Как будет'!$A$63:$A$70,Доп.расчеты!$A278,'Как будет'!EA$63:EA$70)</f>
        <v>0</v>
      </c>
      <c r="EA278">
        <f>SUMIF('Как будет'!$A$63:$A$70,Доп.расчеты!$A278,'Как будет'!EB$63:EB$70)</f>
        <v>0</v>
      </c>
      <c r="EB278">
        <f>SUMIF('Как будет'!$A$63:$A$70,Доп.расчеты!$A278,'Как будет'!EC$63:EC$70)</f>
        <v>0</v>
      </c>
      <c r="EC278">
        <f>SUMIF('Как будет'!$A$63:$A$70,Доп.расчеты!$A278,'Как будет'!ED$63:ED$70)</f>
        <v>0</v>
      </c>
      <c r="ED278">
        <f>SUMIF('Как будет'!$A$63:$A$70,Доп.расчеты!$A278,'Как будет'!EE$63:EE$70)</f>
        <v>0</v>
      </c>
      <c r="EE278">
        <f>SUMIF('Как будет'!$A$63:$A$70,Доп.расчеты!$A278,'Как будет'!EF$63:EF$70)</f>
        <v>0</v>
      </c>
      <c r="EF278">
        <f>SUMIF('Как будет'!$A$63:$A$70,Доп.расчеты!$A278,'Как будет'!EG$63:EG$70)</f>
        <v>0</v>
      </c>
      <c r="EG278">
        <f>SUMIF('Как будет'!$A$63:$A$70,Доп.расчеты!$A278,'Как будет'!EH$63:EH$70)</f>
        <v>0</v>
      </c>
      <c r="EH278">
        <f>SUMIF('Как будет'!$A$63:$A$70,Доп.расчеты!$A278,'Как будет'!EI$63:EI$70)</f>
        <v>0</v>
      </c>
      <c r="EI278">
        <f>SUMIF('Как будет'!$A$63:$A$70,Доп.расчеты!$A278,'Как будет'!EJ$63:EJ$70)</f>
        <v>0</v>
      </c>
      <c r="EJ278">
        <f>SUMIF('Как будет'!$A$63:$A$70,Доп.расчеты!$A278,'Как будет'!EK$63:EK$70)</f>
        <v>0</v>
      </c>
      <c r="EK278">
        <f>SUMIF('Как будет'!$A$63:$A$70,Доп.расчеты!$A278,'Как будет'!EL$63:EL$70)</f>
        <v>0</v>
      </c>
      <c r="EL278">
        <f>SUMIF('Как будет'!$A$63:$A$70,Доп.расчеты!$A278,'Как будет'!EM$63:EM$70)</f>
        <v>0</v>
      </c>
      <c r="EM278">
        <f>SUMIF('Как будет'!$A$63:$A$70,Доп.расчеты!$A278,'Как будет'!EN$63:EN$70)</f>
        <v>0</v>
      </c>
      <c r="EN278">
        <f>SUMIF('Как будет'!$A$63:$A$70,Доп.расчеты!$A278,'Как будет'!EO$63:EO$70)</f>
        <v>0</v>
      </c>
      <c r="EO278">
        <f>SUMIF('Как будет'!$A$63:$A$70,Доп.расчеты!$A278,'Как будет'!EP$63:EP$70)</f>
        <v>0</v>
      </c>
      <c r="EP278">
        <f>SUMIF('Как будет'!$A$63:$A$70,Доп.расчеты!$A278,'Как будет'!EQ$63:EQ$70)</f>
        <v>0</v>
      </c>
      <c r="EQ278">
        <f>SUMIF('Как будет'!$A$63:$A$70,Доп.расчеты!$A278,'Как будет'!ER$63:ER$70)</f>
        <v>0</v>
      </c>
      <c r="ER278">
        <f>SUMIF('Как будет'!$A$63:$A$70,Доп.расчеты!$A278,'Как будет'!ES$63:ES$70)</f>
        <v>0</v>
      </c>
      <c r="ES278">
        <f>SUMIF('Как будет'!$A$63:$A$70,Доп.расчеты!$A278,'Как будет'!ET$63:ET$70)</f>
        <v>0</v>
      </c>
      <c r="ET278">
        <f>SUMIF('Как будет'!$A$63:$A$70,Доп.расчеты!$A278,'Как будет'!EU$63:EU$70)</f>
        <v>0</v>
      </c>
      <c r="EU278">
        <f>SUMIF('Как будет'!$A$63:$A$70,Доп.расчеты!$A278,'Как будет'!EV$63:EV$70)</f>
        <v>0</v>
      </c>
      <c r="EV278">
        <f>SUMIF('Как будет'!$A$63:$A$70,Доп.расчеты!$A278,'Как будет'!EW$63:EW$70)</f>
        <v>0</v>
      </c>
      <c r="EW278">
        <f>SUMIF('Как будет'!$A$63:$A$70,Доп.расчеты!$A278,'Как будет'!EX$63:EX$70)</f>
        <v>0</v>
      </c>
      <c r="EX278">
        <f>SUMIF('Как будет'!$A$63:$A$70,Доп.расчеты!$A278,'Как будет'!EY$63:EY$70)</f>
        <v>0</v>
      </c>
      <c r="EY278">
        <f>SUMIF('Как будет'!$A$63:$A$70,Доп.расчеты!$A278,'Как будет'!EZ$63:EZ$70)</f>
        <v>0</v>
      </c>
      <c r="EZ278">
        <f>SUMIF('Как будет'!$A$63:$A$70,Доп.расчеты!$A278,'Как будет'!FA$63:FA$70)</f>
        <v>0</v>
      </c>
      <c r="FA278">
        <f>SUMIF('Как будет'!$A$63:$A$70,Доп.расчеты!$A278,'Как будет'!FB$63:FB$70)</f>
        <v>0</v>
      </c>
      <c r="FB278">
        <f>SUMIF('Как будет'!$A$63:$A$70,Доп.расчеты!$A278,'Как будет'!FC$63:FC$70)</f>
        <v>0</v>
      </c>
      <c r="FC278">
        <f>SUMIF('Как будет'!$A$63:$A$70,Доп.расчеты!$A278,'Как будет'!FD$63:FD$70)</f>
        <v>0</v>
      </c>
      <c r="FD278">
        <f>SUMIF('Как будет'!$A$63:$A$70,Доп.расчеты!$A278,'Как будет'!FE$63:FE$70)</f>
        <v>0</v>
      </c>
      <c r="FE278">
        <f>SUMIF('Как будет'!$A$63:$A$70,Доп.расчеты!$A278,'Как будет'!FF$63:FF$70)</f>
        <v>0</v>
      </c>
      <c r="FF278">
        <f>SUMIF('Как будет'!$A$63:$A$70,Доп.расчеты!$A278,'Как будет'!FG$63:FG$70)</f>
        <v>0</v>
      </c>
      <c r="FG278">
        <f>SUMIF('Как будет'!$A$63:$A$70,Доп.расчеты!$A278,'Как будет'!FH$63:FH$70)</f>
        <v>0</v>
      </c>
      <c r="FH278">
        <f>SUMIF('Как будет'!$A$63:$A$70,Доп.расчеты!$A278,'Как будет'!FI$63:FI$70)</f>
        <v>0</v>
      </c>
      <c r="FI278">
        <f>SUMIF('Как будет'!$A$63:$A$70,Доп.расчеты!$A278,'Как будет'!FJ$63:FJ$70)</f>
        <v>0</v>
      </c>
      <c r="FJ278">
        <f>SUMIF('Как будет'!$A$63:$A$70,Доп.расчеты!$A278,'Как будет'!FK$63:FK$70)</f>
        <v>0</v>
      </c>
      <c r="FK278">
        <f>SUMIF('Как будет'!$A$63:$A$70,Доп.расчеты!$A278,'Как будет'!FL$63:FL$70)</f>
        <v>0</v>
      </c>
      <c r="FL278">
        <f>SUMIF('Как будет'!$A$63:$A$70,Доп.расчеты!$A278,'Как будет'!FM$63:FM$70)</f>
        <v>0</v>
      </c>
      <c r="FM278">
        <f>SUMIF('Как будет'!$A$63:$A$70,Доп.расчеты!$A278,'Как будет'!FN$63:FN$70)</f>
        <v>0</v>
      </c>
      <c r="FN278">
        <f>SUMIF('Как будет'!$A$63:$A$70,Доп.расчеты!$A278,'Как будет'!FO$63:FO$70)</f>
        <v>0</v>
      </c>
      <c r="FO278">
        <f>SUMIF('Как будет'!$A$63:$A$70,Доп.расчеты!$A278,'Как будет'!FP$63:FP$70)</f>
        <v>0</v>
      </c>
      <c r="FP278">
        <f>SUMIF('Как будет'!$A$63:$A$70,Доп.расчеты!$A278,'Как будет'!FQ$63:FQ$70)</f>
        <v>0</v>
      </c>
      <c r="FQ278">
        <f>SUMIF('Как будет'!$A$63:$A$70,Доп.расчеты!$A278,'Как будет'!FR$63:FR$70)</f>
        <v>0</v>
      </c>
      <c r="FR278">
        <f>SUMIF('Как будет'!$A$63:$A$70,Доп.расчеты!$A278,'Как будет'!FS$63:FS$70)</f>
        <v>0</v>
      </c>
      <c r="FS278">
        <f>SUMIF('Как будет'!$A$63:$A$70,Доп.расчеты!$A278,'Как будет'!FT$63:FT$70)</f>
        <v>0</v>
      </c>
      <c r="FT278">
        <f>SUMIF('Как будет'!$A$63:$A$70,Доп.расчеты!$A278,'Как будет'!FU$63:FU$70)</f>
        <v>0</v>
      </c>
      <c r="FU278">
        <f>SUMIF('Как будет'!$A$63:$A$70,Доп.расчеты!$A278,'Как будет'!FV$63:FV$70)</f>
        <v>0</v>
      </c>
      <c r="FV278">
        <f>SUMIF('Как будет'!$A$63:$A$70,Доп.расчеты!$A278,'Как будет'!FW$63:FW$70)</f>
        <v>0</v>
      </c>
      <c r="FW278">
        <f>SUMIF('Как будет'!$A$63:$A$70,Доп.расчеты!$A278,'Как будет'!FX$63:FX$70)</f>
        <v>0</v>
      </c>
      <c r="FX278">
        <f>SUMIF('Как будет'!$A$63:$A$70,Доп.расчеты!$A278,'Как будет'!FY$63:FY$70)</f>
        <v>0</v>
      </c>
      <c r="FY278">
        <f>SUMIF('Как будет'!$A$63:$A$70,Доп.расчеты!$A278,'Как будет'!FZ$63:FZ$70)</f>
        <v>0</v>
      </c>
      <c r="FZ278">
        <f>SUMIF('Как будет'!$A$63:$A$70,Доп.расчеты!$A278,'Как будет'!GA$63:GA$70)</f>
        <v>0</v>
      </c>
      <c r="GA278">
        <f>SUMIF('Как будет'!$A$63:$A$70,Доп.расчеты!$A278,'Как будет'!GB$63:GB$70)</f>
        <v>0</v>
      </c>
      <c r="GB278">
        <f>SUMIF('Как будет'!$A$63:$A$70,Доп.расчеты!$A278,'Как будет'!GC$63:GC$70)</f>
        <v>0</v>
      </c>
      <c r="GC278">
        <f>SUMIF('Как будет'!$A$63:$A$70,Доп.расчеты!$A278,'Как будет'!GD$63:GD$70)</f>
        <v>0</v>
      </c>
      <c r="GD278">
        <f>SUMIF('Как будет'!$A$63:$A$70,Доп.расчеты!$A278,'Как будет'!GE$63:GE$70)</f>
        <v>0</v>
      </c>
      <c r="GE278">
        <f>SUMIF('Как будет'!$A$63:$A$70,Доп.расчеты!$A278,'Как будет'!GF$63:GF$70)</f>
        <v>0</v>
      </c>
      <c r="GF278">
        <f>SUMIF('Как будет'!$A$63:$A$70,Доп.расчеты!$A278,'Как будет'!GG$63:GG$70)</f>
        <v>0</v>
      </c>
      <c r="GG278">
        <f>SUMIF('Как будет'!$A$63:$A$70,Доп.расчеты!$A278,'Как будет'!GH$63:GH$70)</f>
        <v>0</v>
      </c>
      <c r="GH278">
        <f>SUMIF('Как будет'!$A$63:$A$70,Доп.расчеты!$A278,'Как будет'!GI$63:GI$70)</f>
        <v>0</v>
      </c>
      <c r="GI278">
        <f>SUMIF('Как будет'!$A$63:$A$70,Доп.расчеты!$A278,'Как будет'!GJ$63:GJ$70)</f>
        <v>0</v>
      </c>
      <c r="GJ278">
        <f>SUMIF('Как будет'!$A$63:$A$70,Доп.расчеты!$A278,'Как будет'!GK$63:GK$70)</f>
        <v>0</v>
      </c>
      <c r="GK278">
        <f>SUMIF('Как будет'!$A$63:$A$70,Доп.расчеты!$A278,'Как будет'!GL$63:GL$70)</f>
        <v>0</v>
      </c>
      <c r="GL278">
        <f>SUMIF('Как будет'!$A$63:$A$70,Доп.расчеты!$A278,'Как будет'!GM$63:GM$70)</f>
        <v>0</v>
      </c>
      <c r="GM278">
        <f>SUMIF('Как будет'!$A$63:$A$70,Доп.расчеты!$A278,'Как будет'!GN$63:GN$70)</f>
        <v>0</v>
      </c>
      <c r="GN278">
        <f>SUMIF('Как будет'!$A$63:$A$70,Доп.расчеты!$A278,'Как будет'!GO$63:GO$70)</f>
        <v>0</v>
      </c>
      <c r="GO278">
        <f>SUMIF('Как будет'!$A$63:$A$70,Доп.расчеты!$A278,'Как будет'!GP$63:GP$70)</f>
        <v>0</v>
      </c>
      <c r="GP278">
        <f>SUMIF('Как будет'!$A$63:$A$70,Доп.расчеты!$A278,'Как будет'!GQ$63:GQ$70)</f>
        <v>0</v>
      </c>
      <c r="GQ278">
        <f>SUMIF('Как будет'!$A$63:$A$70,Доп.расчеты!$A278,'Как будет'!GR$63:GR$70)</f>
        <v>0</v>
      </c>
      <c r="GR278">
        <f>SUMIF('Как будет'!$A$63:$A$70,Доп.расчеты!$A278,'Как будет'!GS$63:GS$70)</f>
        <v>0</v>
      </c>
      <c r="GS278">
        <f>SUMIF('Как будет'!$A$63:$A$70,Доп.расчеты!$A278,'Как будет'!GT$63:GT$70)</f>
        <v>0</v>
      </c>
      <c r="GT278">
        <f>SUMIF('Как будет'!$A$63:$A$70,Доп.расчеты!$A278,'Как будет'!GU$63:GU$70)</f>
        <v>0</v>
      </c>
    </row>
    <row r="279" spans="1:202">
      <c r="A279" s="238" t="s">
        <v>117</v>
      </c>
      <c r="B279">
        <f>SUMIF('Как будет'!$A$63:$A$70,Доп.расчеты!$A279,'Как будет'!C$63:C$70)</f>
        <v>0</v>
      </c>
      <c r="C279">
        <f>SUMIF('Как будет'!$A$63:$A$70,Доп.расчеты!$A279,'Как будет'!D$63:D$70)</f>
        <v>0</v>
      </c>
      <c r="D279">
        <f>SUMIF('Как будет'!$A$63:$A$70,Доп.расчеты!$A279,'Как будет'!E$63:E$70)</f>
        <v>0</v>
      </c>
      <c r="E279">
        <f>SUMIF('Как будет'!$A$63:$A$70,Доп.расчеты!$A279,'Как будет'!F$63:F$70)</f>
        <v>0</v>
      </c>
      <c r="F279">
        <f>SUMIF('Как будет'!$A$63:$A$70,Доп.расчеты!$A279,'Как будет'!G$63:G$70)</f>
        <v>0</v>
      </c>
      <c r="G279">
        <f>SUMIF('Как будет'!$A$63:$A$70,Доп.расчеты!$A279,'Как будет'!H$63:H$70)</f>
        <v>0</v>
      </c>
      <c r="H279">
        <f>SUMIF('Как будет'!$A$63:$A$70,Доп.расчеты!$A279,'Как будет'!I$63:I$70)</f>
        <v>0</v>
      </c>
      <c r="I279">
        <f>SUMIF('Как будет'!$A$63:$A$70,Доп.расчеты!$A279,'Как будет'!J$63:J$70)</f>
        <v>0</v>
      </c>
      <c r="J279">
        <f>SUMIF('Как будет'!$A$63:$A$70,Доп.расчеты!$A279,'Как будет'!K$63:K$70)</f>
        <v>0</v>
      </c>
      <c r="K279">
        <f>SUMIF('Как будет'!$A$63:$A$70,Доп.расчеты!$A279,'Как будет'!L$63:L$70)</f>
        <v>0</v>
      </c>
      <c r="L279">
        <f>SUMIF('Как будет'!$A$63:$A$70,Доп.расчеты!$A279,'Как будет'!M$63:M$70)</f>
        <v>0</v>
      </c>
      <c r="M279">
        <f>SUMIF('Как будет'!$A$63:$A$70,Доп.расчеты!$A279,'Как будет'!N$63:N$70)</f>
        <v>0</v>
      </c>
      <c r="N279">
        <f>SUMIF('Как будет'!$A$63:$A$70,Доп.расчеты!$A279,'Как будет'!O$63:O$70)</f>
        <v>0</v>
      </c>
      <c r="O279">
        <f>SUMIF('Как будет'!$A$63:$A$70,Доп.расчеты!$A279,'Как будет'!P$63:P$70)</f>
        <v>0</v>
      </c>
      <c r="P279">
        <f>SUMIF('Как будет'!$A$63:$A$70,Доп.расчеты!$A279,'Как будет'!Q$63:Q$70)</f>
        <v>0</v>
      </c>
      <c r="Q279">
        <f>SUMIF('Как будет'!$A$63:$A$70,Доп.расчеты!$A279,'Как будет'!R$63:R$70)</f>
        <v>0</v>
      </c>
      <c r="R279">
        <f>SUMIF('Как будет'!$A$63:$A$70,Доп.расчеты!$A279,'Как будет'!S$63:S$70)</f>
        <v>0</v>
      </c>
      <c r="S279">
        <f>SUMIF('Как будет'!$A$63:$A$70,Доп.расчеты!$A279,'Как будет'!T$63:T$70)</f>
        <v>0</v>
      </c>
      <c r="T279">
        <f>SUMIF('Как будет'!$A$63:$A$70,Доп.расчеты!$A279,'Как будет'!U$63:U$70)</f>
        <v>0</v>
      </c>
      <c r="U279">
        <f>SUMIF('Как будет'!$A$63:$A$70,Доп.расчеты!$A279,'Как будет'!V$63:V$70)</f>
        <v>0</v>
      </c>
      <c r="V279">
        <f>SUMIF('Как будет'!$A$63:$A$70,Доп.расчеты!$A279,'Как будет'!W$63:W$70)</f>
        <v>0</v>
      </c>
      <c r="W279">
        <f>SUMIF('Как будет'!$A$63:$A$70,Доп.расчеты!$A279,'Как будет'!X$63:X$70)</f>
        <v>0</v>
      </c>
      <c r="X279">
        <f>SUMIF('Как будет'!$A$63:$A$70,Доп.расчеты!$A279,'Как будет'!Y$63:Y$70)</f>
        <v>0</v>
      </c>
      <c r="Y279">
        <f>SUMIF('Как будет'!$A$63:$A$70,Доп.расчеты!$A279,'Как будет'!Z$63:Z$70)</f>
        <v>0</v>
      </c>
      <c r="Z279">
        <f>SUMIF('Как будет'!$A$63:$A$70,Доп.расчеты!$A279,'Как будет'!AA$63:AA$70)</f>
        <v>0</v>
      </c>
      <c r="AA279">
        <f>SUMIF('Как будет'!$A$63:$A$70,Доп.расчеты!$A279,'Как будет'!AB$63:AB$70)</f>
        <v>0</v>
      </c>
      <c r="AB279">
        <f>SUMIF('Как будет'!$A$63:$A$70,Доп.расчеты!$A279,'Как будет'!AC$63:AC$70)</f>
        <v>0</v>
      </c>
      <c r="AC279">
        <f>SUMIF('Как будет'!$A$63:$A$70,Доп.расчеты!$A279,'Как будет'!AD$63:AD$70)</f>
        <v>0</v>
      </c>
      <c r="AD279">
        <f>SUMIF('Как будет'!$A$63:$A$70,Доп.расчеты!$A279,'Как будет'!AE$63:AE$70)</f>
        <v>0</v>
      </c>
      <c r="AE279">
        <f>SUMIF('Как будет'!$A$63:$A$70,Доп.расчеты!$A279,'Как будет'!AF$63:AF$70)</f>
        <v>0</v>
      </c>
      <c r="AF279">
        <f>SUMIF('Как будет'!$A$63:$A$70,Доп.расчеты!$A279,'Как будет'!AG$63:AG$70)</f>
        <v>0</v>
      </c>
      <c r="AG279">
        <f>SUMIF('Как будет'!$A$63:$A$70,Доп.расчеты!$A279,'Как будет'!AH$63:AH$70)</f>
        <v>0</v>
      </c>
      <c r="AH279">
        <f>SUMIF('Как будет'!$A$63:$A$70,Доп.расчеты!$A279,'Как будет'!AI$63:AI$70)</f>
        <v>0</v>
      </c>
      <c r="AI279">
        <f>SUMIF('Как будет'!$A$63:$A$70,Доп.расчеты!$A279,'Как будет'!AJ$63:AJ$70)</f>
        <v>0</v>
      </c>
      <c r="AJ279">
        <f>SUMIF('Как будет'!$A$63:$A$70,Доп.расчеты!$A279,'Как будет'!AK$63:AK$70)</f>
        <v>0</v>
      </c>
      <c r="AK279">
        <f>SUMIF('Как будет'!$A$63:$A$70,Доп.расчеты!$A279,'Как будет'!AL$63:AL$70)</f>
        <v>0</v>
      </c>
      <c r="AL279">
        <f>SUMIF('Как будет'!$A$63:$A$70,Доп.расчеты!$A279,'Как будет'!AM$63:AM$70)</f>
        <v>0</v>
      </c>
      <c r="AM279">
        <f>SUMIF('Как будет'!$A$63:$A$70,Доп.расчеты!$A279,'Как будет'!AN$63:AN$70)</f>
        <v>0</v>
      </c>
      <c r="AN279">
        <f>SUMIF('Как будет'!$A$63:$A$70,Доп.расчеты!$A279,'Как будет'!AO$63:AO$70)</f>
        <v>0</v>
      </c>
      <c r="AO279">
        <f>SUMIF('Как будет'!$A$63:$A$70,Доп.расчеты!$A279,'Как будет'!AP$63:AP$70)</f>
        <v>0</v>
      </c>
      <c r="AP279">
        <f>SUMIF('Как будет'!$A$63:$A$70,Доп.расчеты!$A279,'Как будет'!AQ$63:AQ$70)</f>
        <v>0</v>
      </c>
      <c r="AQ279">
        <f>SUMIF('Как будет'!$A$63:$A$70,Доп.расчеты!$A279,'Как будет'!AR$63:AR$70)</f>
        <v>0</v>
      </c>
      <c r="AR279">
        <f>SUMIF('Как будет'!$A$63:$A$70,Доп.расчеты!$A279,'Как будет'!AS$63:AS$70)</f>
        <v>0</v>
      </c>
      <c r="AS279">
        <f>SUMIF('Как будет'!$A$63:$A$70,Доп.расчеты!$A279,'Как будет'!AT$63:AT$70)</f>
        <v>0</v>
      </c>
      <c r="AT279">
        <f>SUMIF('Как будет'!$A$63:$A$70,Доп.расчеты!$A279,'Как будет'!AU$63:AU$70)</f>
        <v>0</v>
      </c>
      <c r="AU279">
        <f>SUMIF('Как будет'!$A$63:$A$70,Доп.расчеты!$A279,'Как будет'!AV$63:AV$70)</f>
        <v>0</v>
      </c>
      <c r="AV279">
        <f>SUMIF('Как будет'!$A$63:$A$70,Доп.расчеты!$A279,'Как будет'!AW$63:AW$70)</f>
        <v>0</v>
      </c>
      <c r="AW279">
        <f>SUMIF('Как будет'!$A$63:$A$70,Доп.расчеты!$A279,'Как будет'!AX$63:AX$70)</f>
        <v>0</v>
      </c>
      <c r="AX279">
        <f>SUMIF('Как будет'!$A$63:$A$70,Доп.расчеты!$A279,'Как будет'!AY$63:AY$70)</f>
        <v>0</v>
      </c>
      <c r="AY279">
        <f>SUMIF('Как будет'!$A$63:$A$70,Доп.расчеты!$A279,'Как будет'!AZ$63:AZ$70)</f>
        <v>0</v>
      </c>
      <c r="AZ279">
        <f>SUMIF('Как будет'!$A$63:$A$70,Доп.расчеты!$A279,'Как будет'!BA$63:BA$70)</f>
        <v>0</v>
      </c>
      <c r="BA279">
        <f>SUMIF('Как будет'!$A$63:$A$70,Доп.расчеты!$A279,'Как будет'!BB$63:BB$70)</f>
        <v>0</v>
      </c>
      <c r="BB279">
        <f>SUMIF('Как будет'!$A$63:$A$70,Доп.расчеты!$A279,'Как будет'!BC$63:BC$70)</f>
        <v>0</v>
      </c>
      <c r="BC279">
        <f>SUMIF('Как будет'!$A$63:$A$70,Доп.расчеты!$A279,'Как будет'!BD$63:BD$70)</f>
        <v>0</v>
      </c>
      <c r="BD279">
        <f>SUMIF('Как будет'!$A$63:$A$70,Доп.расчеты!$A279,'Как будет'!BE$63:BE$70)</f>
        <v>0</v>
      </c>
      <c r="BE279">
        <f>SUMIF('Как будет'!$A$63:$A$70,Доп.расчеты!$A279,'Как будет'!BF$63:BF$70)</f>
        <v>0</v>
      </c>
      <c r="BF279">
        <f>SUMIF('Как будет'!$A$63:$A$70,Доп.расчеты!$A279,'Как будет'!BG$63:BG$70)</f>
        <v>0</v>
      </c>
      <c r="BG279">
        <f>SUMIF('Как будет'!$A$63:$A$70,Доп.расчеты!$A279,'Как будет'!BH$63:BH$70)</f>
        <v>0</v>
      </c>
      <c r="BH279">
        <f>SUMIF('Как будет'!$A$63:$A$70,Доп.расчеты!$A279,'Как будет'!BI$63:BI$70)</f>
        <v>0</v>
      </c>
      <c r="BI279">
        <f>SUMIF('Как будет'!$A$63:$A$70,Доп.расчеты!$A279,'Как будет'!BJ$63:BJ$70)</f>
        <v>0</v>
      </c>
      <c r="BJ279">
        <f>SUMIF('Как будет'!$A$63:$A$70,Доп.расчеты!$A279,'Как будет'!BK$63:BK$70)</f>
        <v>0</v>
      </c>
      <c r="BK279">
        <f>SUMIF('Как будет'!$A$63:$A$70,Доп.расчеты!$A279,'Как будет'!BL$63:BL$70)</f>
        <v>0</v>
      </c>
      <c r="BL279">
        <f>SUMIF('Как будет'!$A$63:$A$70,Доп.расчеты!$A279,'Как будет'!BM$63:BM$70)</f>
        <v>0</v>
      </c>
      <c r="BM279">
        <f>SUMIF('Как будет'!$A$63:$A$70,Доп.расчеты!$A279,'Как будет'!BN$63:BN$70)</f>
        <v>0</v>
      </c>
      <c r="BN279">
        <f>SUMIF('Как будет'!$A$63:$A$70,Доп.расчеты!$A279,'Как будет'!BO$63:BO$70)</f>
        <v>0</v>
      </c>
      <c r="BO279">
        <f>SUMIF('Как будет'!$A$63:$A$70,Доп.расчеты!$A279,'Как будет'!BP$63:BP$70)</f>
        <v>0</v>
      </c>
      <c r="BP279">
        <f>SUMIF('Как будет'!$A$63:$A$70,Доп.расчеты!$A279,'Как будет'!BQ$63:BQ$70)</f>
        <v>0</v>
      </c>
      <c r="BQ279">
        <f>SUMIF('Как будет'!$A$63:$A$70,Доп.расчеты!$A279,'Как будет'!BR$63:BR$70)</f>
        <v>0</v>
      </c>
      <c r="BR279">
        <f>SUMIF('Как будет'!$A$63:$A$70,Доп.расчеты!$A279,'Как будет'!BS$63:BS$70)</f>
        <v>0</v>
      </c>
      <c r="BS279">
        <f>SUMIF('Как будет'!$A$63:$A$70,Доп.расчеты!$A279,'Как будет'!BT$63:BT$70)</f>
        <v>0</v>
      </c>
      <c r="BT279">
        <f>SUMIF('Как будет'!$A$63:$A$70,Доп.расчеты!$A279,'Как будет'!BU$63:BU$70)</f>
        <v>0</v>
      </c>
      <c r="BU279">
        <f>SUMIF('Как будет'!$A$63:$A$70,Доп.расчеты!$A279,'Как будет'!BV$63:BV$70)</f>
        <v>0</v>
      </c>
      <c r="BV279">
        <f>SUMIF('Как будет'!$A$63:$A$70,Доп.расчеты!$A279,'Как будет'!BW$63:BW$70)</f>
        <v>0</v>
      </c>
      <c r="BW279">
        <f>SUMIF('Как будет'!$A$63:$A$70,Доп.расчеты!$A279,'Как будет'!BX$63:BX$70)</f>
        <v>0</v>
      </c>
      <c r="BX279">
        <f>SUMIF('Как будет'!$A$63:$A$70,Доп.расчеты!$A279,'Как будет'!BY$63:BY$70)</f>
        <v>0</v>
      </c>
      <c r="BY279">
        <f>SUMIF('Как будет'!$A$63:$A$70,Доп.расчеты!$A279,'Как будет'!BZ$63:BZ$70)</f>
        <v>0</v>
      </c>
      <c r="BZ279">
        <f>SUMIF('Как будет'!$A$63:$A$70,Доп.расчеты!$A279,'Как будет'!CA$63:CA$70)</f>
        <v>0</v>
      </c>
      <c r="CA279">
        <f>SUMIF('Как будет'!$A$63:$A$70,Доп.расчеты!$A279,'Как будет'!CB$63:CB$70)</f>
        <v>0</v>
      </c>
      <c r="CB279">
        <f>SUMIF('Как будет'!$A$63:$A$70,Доп.расчеты!$A279,'Как будет'!CC$63:CC$70)</f>
        <v>0</v>
      </c>
      <c r="CC279">
        <f>SUMIF('Как будет'!$A$63:$A$70,Доп.расчеты!$A279,'Как будет'!CD$63:CD$70)</f>
        <v>0</v>
      </c>
      <c r="CD279">
        <f>SUMIF('Как будет'!$A$63:$A$70,Доп.расчеты!$A279,'Как будет'!CE$63:CE$70)</f>
        <v>0</v>
      </c>
      <c r="CE279">
        <f>SUMIF('Как будет'!$A$63:$A$70,Доп.расчеты!$A279,'Как будет'!CF$63:CF$70)</f>
        <v>0</v>
      </c>
      <c r="CF279">
        <f>SUMIF('Как будет'!$A$63:$A$70,Доп.расчеты!$A279,'Как будет'!CG$63:CG$70)</f>
        <v>0</v>
      </c>
      <c r="CG279">
        <f>SUMIF('Как будет'!$A$63:$A$70,Доп.расчеты!$A279,'Как будет'!CH$63:CH$70)</f>
        <v>0</v>
      </c>
      <c r="CH279">
        <f>SUMIF('Как будет'!$A$63:$A$70,Доп.расчеты!$A279,'Как будет'!CI$63:CI$70)</f>
        <v>0</v>
      </c>
      <c r="CI279">
        <f>SUMIF('Как будет'!$A$63:$A$70,Доп.расчеты!$A279,'Как будет'!CJ$63:CJ$70)</f>
        <v>0</v>
      </c>
      <c r="CJ279">
        <f>SUMIF('Как будет'!$A$63:$A$70,Доп.расчеты!$A279,'Как будет'!CK$63:CK$70)</f>
        <v>0</v>
      </c>
      <c r="CK279">
        <f>SUMIF('Как будет'!$A$63:$A$70,Доп.расчеты!$A279,'Как будет'!CL$63:CL$70)</f>
        <v>0</v>
      </c>
      <c r="CL279">
        <f>SUMIF('Как будет'!$A$63:$A$70,Доп.расчеты!$A279,'Как будет'!CM$63:CM$70)</f>
        <v>0</v>
      </c>
      <c r="CM279">
        <f>SUMIF('Как будет'!$A$63:$A$70,Доп.расчеты!$A279,'Как будет'!CN$63:CN$70)</f>
        <v>0</v>
      </c>
      <c r="CN279">
        <f>SUMIF('Как будет'!$A$63:$A$70,Доп.расчеты!$A279,'Как будет'!CO$63:CO$70)</f>
        <v>0</v>
      </c>
      <c r="CO279">
        <f>SUMIF('Как будет'!$A$63:$A$70,Доп.расчеты!$A279,'Как будет'!CP$63:CP$70)</f>
        <v>0</v>
      </c>
      <c r="CP279">
        <f>SUMIF('Как будет'!$A$63:$A$70,Доп.расчеты!$A279,'Как будет'!CQ$63:CQ$70)</f>
        <v>0</v>
      </c>
      <c r="CQ279">
        <f>SUMIF('Как будет'!$A$63:$A$70,Доп.расчеты!$A279,'Как будет'!CR$63:CR$70)</f>
        <v>0</v>
      </c>
      <c r="CR279">
        <f>SUMIF('Как будет'!$A$63:$A$70,Доп.расчеты!$A279,'Как будет'!CS$63:CS$70)</f>
        <v>0</v>
      </c>
      <c r="CS279">
        <f>SUMIF('Как будет'!$A$63:$A$70,Доп.расчеты!$A279,'Как будет'!CT$63:CT$70)</f>
        <v>0</v>
      </c>
      <c r="CT279">
        <f>SUMIF('Как будет'!$A$63:$A$70,Доп.расчеты!$A279,'Как будет'!CU$63:CU$70)</f>
        <v>0</v>
      </c>
      <c r="CU279">
        <f>SUMIF('Как будет'!$A$63:$A$70,Доп.расчеты!$A279,'Как будет'!CV$63:CV$70)</f>
        <v>0</v>
      </c>
      <c r="CV279">
        <f>SUMIF('Как будет'!$A$63:$A$70,Доп.расчеты!$A279,'Как будет'!CW$63:CW$70)</f>
        <v>0</v>
      </c>
      <c r="CW279">
        <f>SUMIF('Как будет'!$A$63:$A$70,Доп.расчеты!$A279,'Как будет'!CX$63:CX$70)</f>
        <v>0</v>
      </c>
      <c r="CX279">
        <f>SUMIF('Как будет'!$A$63:$A$70,Доп.расчеты!$A279,'Как будет'!CY$63:CY$70)</f>
        <v>0</v>
      </c>
      <c r="CY279">
        <f>SUMIF('Как будет'!$A$63:$A$70,Доп.расчеты!$A279,'Как будет'!CZ$63:CZ$70)</f>
        <v>0</v>
      </c>
      <c r="CZ279">
        <f>SUMIF('Как будет'!$A$63:$A$70,Доп.расчеты!$A279,'Как будет'!DA$63:DA$70)</f>
        <v>0</v>
      </c>
      <c r="DA279">
        <f>SUMIF('Как будет'!$A$63:$A$70,Доп.расчеты!$A279,'Как будет'!DB$63:DB$70)</f>
        <v>0</v>
      </c>
      <c r="DB279">
        <f>SUMIF('Как будет'!$A$63:$A$70,Доп.расчеты!$A279,'Как будет'!DC$63:DC$70)</f>
        <v>0</v>
      </c>
      <c r="DC279">
        <f>SUMIF('Как будет'!$A$63:$A$70,Доп.расчеты!$A279,'Как будет'!DD$63:DD$70)</f>
        <v>0</v>
      </c>
      <c r="DD279">
        <f>SUMIF('Как будет'!$A$63:$A$70,Доп.расчеты!$A279,'Как будет'!DE$63:DE$70)</f>
        <v>0</v>
      </c>
      <c r="DE279">
        <f>SUMIF('Как будет'!$A$63:$A$70,Доп.расчеты!$A279,'Как будет'!DF$63:DF$70)</f>
        <v>0</v>
      </c>
      <c r="DF279">
        <f>SUMIF('Как будет'!$A$63:$A$70,Доп.расчеты!$A279,'Как будет'!DG$63:DG$70)</f>
        <v>0</v>
      </c>
      <c r="DG279">
        <f>SUMIF('Как будет'!$A$63:$A$70,Доп.расчеты!$A279,'Как будет'!DH$63:DH$70)</f>
        <v>0</v>
      </c>
      <c r="DH279">
        <f>SUMIF('Как будет'!$A$63:$A$70,Доп.расчеты!$A279,'Как будет'!DI$63:DI$70)</f>
        <v>0</v>
      </c>
      <c r="DI279">
        <f>SUMIF('Как будет'!$A$63:$A$70,Доп.расчеты!$A279,'Как будет'!DJ$63:DJ$70)</f>
        <v>0</v>
      </c>
      <c r="DJ279">
        <f>SUMIF('Как будет'!$A$63:$A$70,Доп.расчеты!$A279,'Как будет'!DK$63:DK$70)</f>
        <v>0</v>
      </c>
      <c r="DK279">
        <f>SUMIF('Как будет'!$A$63:$A$70,Доп.расчеты!$A279,'Как будет'!DL$63:DL$70)</f>
        <v>0</v>
      </c>
      <c r="DL279">
        <f>SUMIF('Как будет'!$A$63:$A$70,Доп.расчеты!$A279,'Как будет'!DM$63:DM$70)</f>
        <v>0</v>
      </c>
      <c r="DM279">
        <f>SUMIF('Как будет'!$A$63:$A$70,Доп.расчеты!$A279,'Как будет'!DN$63:DN$70)</f>
        <v>0</v>
      </c>
      <c r="DN279">
        <f>SUMIF('Как будет'!$A$63:$A$70,Доп.расчеты!$A279,'Как будет'!DO$63:DO$70)</f>
        <v>0</v>
      </c>
      <c r="DO279">
        <f>SUMIF('Как будет'!$A$63:$A$70,Доп.расчеты!$A279,'Как будет'!DP$63:DP$70)</f>
        <v>0</v>
      </c>
      <c r="DP279">
        <f>SUMIF('Как будет'!$A$63:$A$70,Доп.расчеты!$A279,'Как будет'!DQ$63:DQ$70)</f>
        <v>0</v>
      </c>
      <c r="DQ279">
        <f>SUMIF('Как будет'!$A$63:$A$70,Доп.расчеты!$A279,'Как будет'!DR$63:DR$70)</f>
        <v>0</v>
      </c>
      <c r="DR279">
        <f>SUMIF('Как будет'!$A$63:$A$70,Доп.расчеты!$A279,'Как будет'!DS$63:DS$70)</f>
        <v>0</v>
      </c>
      <c r="DS279">
        <f>SUMIF('Как будет'!$A$63:$A$70,Доп.расчеты!$A279,'Как будет'!DT$63:DT$70)</f>
        <v>0</v>
      </c>
      <c r="DT279">
        <f>SUMIF('Как будет'!$A$63:$A$70,Доп.расчеты!$A279,'Как будет'!DU$63:DU$70)</f>
        <v>0</v>
      </c>
      <c r="DU279">
        <f>SUMIF('Как будет'!$A$63:$A$70,Доп.расчеты!$A279,'Как будет'!DV$63:DV$70)</f>
        <v>0</v>
      </c>
      <c r="DV279">
        <f>SUMIF('Как будет'!$A$63:$A$70,Доп.расчеты!$A279,'Как будет'!DW$63:DW$70)</f>
        <v>0</v>
      </c>
      <c r="DW279">
        <f>SUMIF('Как будет'!$A$63:$A$70,Доп.расчеты!$A279,'Как будет'!DX$63:DX$70)</f>
        <v>0</v>
      </c>
      <c r="DX279">
        <f>SUMIF('Как будет'!$A$63:$A$70,Доп.расчеты!$A279,'Как будет'!DY$63:DY$70)</f>
        <v>0</v>
      </c>
      <c r="DY279">
        <f>SUMIF('Как будет'!$A$63:$A$70,Доп.расчеты!$A279,'Как будет'!DZ$63:DZ$70)</f>
        <v>0</v>
      </c>
      <c r="DZ279">
        <f>SUMIF('Как будет'!$A$63:$A$70,Доп.расчеты!$A279,'Как будет'!EA$63:EA$70)</f>
        <v>0</v>
      </c>
      <c r="EA279">
        <f>SUMIF('Как будет'!$A$63:$A$70,Доп.расчеты!$A279,'Как будет'!EB$63:EB$70)</f>
        <v>0</v>
      </c>
      <c r="EB279">
        <f>SUMIF('Как будет'!$A$63:$A$70,Доп.расчеты!$A279,'Как будет'!EC$63:EC$70)</f>
        <v>0</v>
      </c>
      <c r="EC279">
        <f>SUMIF('Как будет'!$A$63:$A$70,Доп.расчеты!$A279,'Как будет'!ED$63:ED$70)</f>
        <v>0</v>
      </c>
      <c r="ED279">
        <f>SUMIF('Как будет'!$A$63:$A$70,Доп.расчеты!$A279,'Как будет'!EE$63:EE$70)</f>
        <v>0</v>
      </c>
      <c r="EE279">
        <f>SUMIF('Как будет'!$A$63:$A$70,Доп.расчеты!$A279,'Как будет'!EF$63:EF$70)</f>
        <v>0</v>
      </c>
      <c r="EF279">
        <f>SUMIF('Как будет'!$A$63:$A$70,Доп.расчеты!$A279,'Как будет'!EG$63:EG$70)</f>
        <v>0</v>
      </c>
      <c r="EG279">
        <f>SUMIF('Как будет'!$A$63:$A$70,Доп.расчеты!$A279,'Как будет'!EH$63:EH$70)</f>
        <v>0</v>
      </c>
      <c r="EH279">
        <f>SUMIF('Как будет'!$A$63:$A$70,Доп.расчеты!$A279,'Как будет'!EI$63:EI$70)</f>
        <v>0</v>
      </c>
      <c r="EI279">
        <f>SUMIF('Как будет'!$A$63:$A$70,Доп.расчеты!$A279,'Как будет'!EJ$63:EJ$70)</f>
        <v>0</v>
      </c>
      <c r="EJ279">
        <f>SUMIF('Как будет'!$A$63:$A$70,Доп.расчеты!$A279,'Как будет'!EK$63:EK$70)</f>
        <v>0</v>
      </c>
      <c r="EK279">
        <f>SUMIF('Как будет'!$A$63:$A$70,Доп.расчеты!$A279,'Как будет'!EL$63:EL$70)</f>
        <v>0</v>
      </c>
      <c r="EL279">
        <f>SUMIF('Как будет'!$A$63:$A$70,Доп.расчеты!$A279,'Как будет'!EM$63:EM$70)</f>
        <v>0</v>
      </c>
      <c r="EM279">
        <f>SUMIF('Как будет'!$A$63:$A$70,Доп.расчеты!$A279,'Как будет'!EN$63:EN$70)</f>
        <v>0</v>
      </c>
      <c r="EN279">
        <f>SUMIF('Как будет'!$A$63:$A$70,Доп.расчеты!$A279,'Как будет'!EO$63:EO$70)</f>
        <v>0</v>
      </c>
      <c r="EO279">
        <f>SUMIF('Как будет'!$A$63:$A$70,Доп.расчеты!$A279,'Как будет'!EP$63:EP$70)</f>
        <v>0</v>
      </c>
      <c r="EP279">
        <f>SUMIF('Как будет'!$A$63:$A$70,Доп.расчеты!$A279,'Как будет'!EQ$63:EQ$70)</f>
        <v>0</v>
      </c>
      <c r="EQ279">
        <f>SUMIF('Как будет'!$A$63:$A$70,Доп.расчеты!$A279,'Как будет'!ER$63:ER$70)</f>
        <v>0</v>
      </c>
      <c r="ER279">
        <f>SUMIF('Как будет'!$A$63:$A$70,Доп.расчеты!$A279,'Как будет'!ES$63:ES$70)</f>
        <v>0</v>
      </c>
      <c r="ES279">
        <f>SUMIF('Как будет'!$A$63:$A$70,Доп.расчеты!$A279,'Как будет'!ET$63:ET$70)</f>
        <v>0</v>
      </c>
      <c r="ET279">
        <f>SUMIF('Как будет'!$A$63:$A$70,Доп.расчеты!$A279,'Как будет'!EU$63:EU$70)</f>
        <v>0</v>
      </c>
      <c r="EU279">
        <f>SUMIF('Как будет'!$A$63:$A$70,Доп.расчеты!$A279,'Как будет'!EV$63:EV$70)</f>
        <v>0</v>
      </c>
      <c r="EV279">
        <f>SUMIF('Как будет'!$A$63:$A$70,Доп.расчеты!$A279,'Как будет'!EW$63:EW$70)</f>
        <v>0</v>
      </c>
      <c r="EW279">
        <f>SUMIF('Как будет'!$A$63:$A$70,Доп.расчеты!$A279,'Как будет'!EX$63:EX$70)</f>
        <v>0</v>
      </c>
      <c r="EX279">
        <f>SUMIF('Как будет'!$A$63:$A$70,Доп.расчеты!$A279,'Как будет'!EY$63:EY$70)</f>
        <v>0</v>
      </c>
      <c r="EY279">
        <f>SUMIF('Как будет'!$A$63:$A$70,Доп.расчеты!$A279,'Как будет'!EZ$63:EZ$70)</f>
        <v>0</v>
      </c>
      <c r="EZ279">
        <f>SUMIF('Как будет'!$A$63:$A$70,Доп.расчеты!$A279,'Как будет'!FA$63:FA$70)</f>
        <v>0</v>
      </c>
      <c r="FA279">
        <f>SUMIF('Как будет'!$A$63:$A$70,Доп.расчеты!$A279,'Как будет'!FB$63:FB$70)</f>
        <v>0</v>
      </c>
      <c r="FB279">
        <f>SUMIF('Как будет'!$A$63:$A$70,Доп.расчеты!$A279,'Как будет'!FC$63:FC$70)</f>
        <v>0</v>
      </c>
      <c r="FC279">
        <f>SUMIF('Как будет'!$A$63:$A$70,Доп.расчеты!$A279,'Как будет'!FD$63:FD$70)</f>
        <v>0</v>
      </c>
      <c r="FD279">
        <f>SUMIF('Как будет'!$A$63:$A$70,Доп.расчеты!$A279,'Как будет'!FE$63:FE$70)</f>
        <v>0</v>
      </c>
      <c r="FE279">
        <f>SUMIF('Как будет'!$A$63:$A$70,Доп.расчеты!$A279,'Как будет'!FF$63:FF$70)</f>
        <v>0</v>
      </c>
      <c r="FF279">
        <f>SUMIF('Как будет'!$A$63:$A$70,Доп.расчеты!$A279,'Как будет'!FG$63:FG$70)</f>
        <v>0</v>
      </c>
      <c r="FG279">
        <f>SUMIF('Как будет'!$A$63:$A$70,Доп.расчеты!$A279,'Как будет'!FH$63:FH$70)</f>
        <v>0</v>
      </c>
      <c r="FH279">
        <f>SUMIF('Как будет'!$A$63:$A$70,Доп.расчеты!$A279,'Как будет'!FI$63:FI$70)</f>
        <v>0</v>
      </c>
      <c r="FI279">
        <f>SUMIF('Как будет'!$A$63:$A$70,Доп.расчеты!$A279,'Как будет'!FJ$63:FJ$70)</f>
        <v>0</v>
      </c>
      <c r="FJ279">
        <f>SUMIF('Как будет'!$A$63:$A$70,Доп.расчеты!$A279,'Как будет'!FK$63:FK$70)</f>
        <v>0</v>
      </c>
      <c r="FK279">
        <f>SUMIF('Как будет'!$A$63:$A$70,Доп.расчеты!$A279,'Как будет'!FL$63:FL$70)</f>
        <v>0</v>
      </c>
      <c r="FL279">
        <f>SUMIF('Как будет'!$A$63:$A$70,Доп.расчеты!$A279,'Как будет'!FM$63:FM$70)</f>
        <v>0</v>
      </c>
      <c r="FM279">
        <f>SUMIF('Как будет'!$A$63:$A$70,Доп.расчеты!$A279,'Как будет'!FN$63:FN$70)</f>
        <v>0</v>
      </c>
      <c r="FN279">
        <f>SUMIF('Как будет'!$A$63:$A$70,Доп.расчеты!$A279,'Как будет'!FO$63:FO$70)</f>
        <v>0</v>
      </c>
      <c r="FO279">
        <f>SUMIF('Как будет'!$A$63:$A$70,Доп.расчеты!$A279,'Как будет'!FP$63:FP$70)</f>
        <v>0</v>
      </c>
      <c r="FP279">
        <f>SUMIF('Как будет'!$A$63:$A$70,Доп.расчеты!$A279,'Как будет'!FQ$63:FQ$70)</f>
        <v>0</v>
      </c>
      <c r="FQ279">
        <f>SUMIF('Как будет'!$A$63:$A$70,Доп.расчеты!$A279,'Как будет'!FR$63:FR$70)</f>
        <v>0</v>
      </c>
      <c r="FR279">
        <f>SUMIF('Как будет'!$A$63:$A$70,Доп.расчеты!$A279,'Как будет'!FS$63:FS$70)</f>
        <v>0</v>
      </c>
      <c r="FS279">
        <f>SUMIF('Как будет'!$A$63:$A$70,Доп.расчеты!$A279,'Как будет'!FT$63:FT$70)</f>
        <v>0</v>
      </c>
      <c r="FT279">
        <f>SUMIF('Как будет'!$A$63:$A$70,Доп.расчеты!$A279,'Как будет'!FU$63:FU$70)</f>
        <v>0</v>
      </c>
      <c r="FU279">
        <f>SUMIF('Как будет'!$A$63:$A$70,Доп.расчеты!$A279,'Как будет'!FV$63:FV$70)</f>
        <v>0</v>
      </c>
      <c r="FV279">
        <f>SUMIF('Как будет'!$A$63:$A$70,Доп.расчеты!$A279,'Как будет'!FW$63:FW$70)</f>
        <v>0</v>
      </c>
      <c r="FW279">
        <f>SUMIF('Как будет'!$A$63:$A$70,Доп.расчеты!$A279,'Как будет'!FX$63:FX$70)</f>
        <v>0</v>
      </c>
      <c r="FX279">
        <f>SUMIF('Как будет'!$A$63:$A$70,Доп.расчеты!$A279,'Как будет'!FY$63:FY$70)</f>
        <v>0</v>
      </c>
      <c r="FY279">
        <f>SUMIF('Как будет'!$A$63:$A$70,Доп.расчеты!$A279,'Как будет'!FZ$63:FZ$70)</f>
        <v>0</v>
      </c>
      <c r="FZ279">
        <f>SUMIF('Как будет'!$A$63:$A$70,Доп.расчеты!$A279,'Как будет'!GA$63:GA$70)</f>
        <v>0</v>
      </c>
      <c r="GA279">
        <f>SUMIF('Как будет'!$A$63:$A$70,Доп.расчеты!$A279,'Как будет'!GB$63:GB$70)</f>
        <v>0</v>
      </c>
      <c r="GB279">
        <f>SUMIF('Как будет'!$A$63:$A$70,Доп.расчеты!$A279,'Как будет'!GC$63:GC$70)</f>
        <v>0</v>
      </c>
      <c r="GC279">
        <f>SUMIF('Как будет'!$A$63:$A$70,Доп.расчеты!$A279,'Как будет'!GD$63:GD$70)</f>
        <v>0</v>
      </c>
      <c r="GD279">
        <f>SUMIF('Как будет'!$A$63:$A$70,Доп.расчеты!$A279,'Как будет'!GE$63:GE$70)</f>
        <v>0</v>
      </c>
      <c r="GE279">
        <f>SUMIF('Как будет'!$A$63:$A$70,Доп.расчеты!$A279,'Как будет'!GF$63:GF$70)</f>
        <v>0</v>
      </c>
      <c r="GF279">
        <f>SUMIF('Как будет'!$A$63:$A$70,Доп.расчеты!$A279,'Как будет'!GG$63:GG$70)</f>
        <v>0</v>
      </c>
      <c r="GG279">
        <f>SUMIF('Как будет'!$A$63:$A$70,Доп.расчеты!$A279,'Как будет'!GH$63:GH$70)</f>
        <v>0</v>
      </c>
      <c r="GH279">
        <f>SUMIF('Как будет'!$A$63:$A$70,Доп.расчеты!$A279,'Как будет'!GI$63:GI$70)</f>
        <v>0</v>
      </c>
      <c r="GI279">
        <f>SUMIF('Как будет'!$A$63:$A$70,Доп.расчеты!$A279,'Как будет'!GJ$63:GJ$70)</f>
        <v>0</v>
      </c>
      <c r="GJ279">
        <f>SUMIF('Как будет'!$A$63:$A$70,Доп.расчеты!$A279,'Как будет'!GK$63:GK$70)</f>
        <v>0</v>
      </c>
      <c r="GK279">
        <f>SUMIF('Как будет'!$A$63:$A$70,Доп.расчеты!$A279,'Как будет'!GL$63:GL$70)</f>
        <v>0</v>
      </c>
      <c r="GL279">
        <f>SUMIF('Как будет'!$A$63:$A$70,Доп.расчеты!$A279,'Как будет'!GM$63:GM$70)</f>
        <v>0</v>
      </c>
      <c r="GM279">
        <f>SUMIF('Как будет'!$A$63:$A$70,Доп.расчеты!$A279,'Как будет'!GN$63:GN$70)</f>
        <v>0</v>
      </c>
      <c r="GN279">
        <f>SUMIF('Как будет'!$A$63:$A$70,Доп.расчеты!$A279,'Как будет'!GO$63:GO$70)</f>
        <v>0</v>
      </c>
      <c r="GO279">
        <f>SUMIF('Как будет'!$A$63:$A$70,Доп.расчеты!$A279,'Как будет'!GP$63:GP$70)</f>
        <v>0</v>
      </c>
      <c r="GP279">
        <f>SUMIF('Как будет'!$A$63:$A$70,Доп.расчеты!$A279,'Как будет'!GQ$63:GQ$70)</f>
        <v>0</v>
      </c>
      <c r="GQ279">
        <f>SUMIF('Как будет'!$A$63:$A$70,Доп.расчеты!$A279,'Как будет'!GR$63:GR$70)</f>
        <v>0</v>
      </c>
      <c r="GR279">
        <f>SUMIF('Как будет'!$A$63:$A$70,Доп.расчеты!$A279,'Как будет'!GS$63:GS$70)</f>
        <v>0</v>
      </c>
      <c r="GS279">
        <f>SUMIF('Как будет'!$A$63:$A$70,Доп.расчеты!$A279,'Как будет'!GT$63:GT$70)</f>
        <v>0</v>
      </c>
      <c r="GT279">
        <f>SUMIF('Как будет'!$A$63:$A$70,Доп.расчеты!$A279,'Как будет'!GU$63:GU$70)</f>
        <v>0</v>
      </c>
    </row>
    <row r="280" spans="1:202">
      <c r="A280" s="238" t="s">
        <v>118</v>
      </c>
      <c r="B280">
        <f>SUMIF('Как будет'!$A$63:$A$70,Доп.расчеты!$A280,'Как будет'!C$63:C$70)</f>
        <v>0</v>
      </c>
      <c r="C280">
        <f>SUMIF('Как будет'!$A$63:$A$70,Доп.расчеты!$A280,'Как будет'!D$63:D$70)</f>
        <v>0</v>
      </c>
      <c r="D280">
        <f>SUMIF('Как будет'!$A$63:$A$70,Доп.расчеты!$A280,'Как будет'!E$63:E$70)</f>
        <v>0</v>
      </c>
      <c r="E280">
        <f>SUMIF('Как будет'!$A$63:$A$70,Доп.расчеты!$A280,'Как будет'!F$63:F$70)</f>
        <v>0</v>
      </c>
      <c r="F280">
        <f>SUMIF('Как будет'!$A$63:$A$70,Доп.расчеты!$A280,'Как будет'!G$63:G$70)</f>
        <v>0</v>
      </c>
      <c r="G280">
        <f>SUMIF('Как будет'!$A$63:$A$70,Доп.расчеты!$A280,'Как будет'!H$63:H$70)</f>
        <v>0</v>
      </c>
      <c r="H280">
        <f>SUMIF('Как будет'!$A$63:$A$70,Доп.расчеты!$A280,'Как будет'!I$63:I$70)</f>
        <v>0</v>
      </c>
      <c r="I280">
        <f>SUMIF('Как будет'!$A$63:$A$70,Доп.расчеты!$A280,'Как будет'!J$63:J$70)</f>
        <v>0</v>
      </c>
      <c r="J280">
        <f>SUMIF('Как будет'!$A$63:$A$70,Доп.расчеты!$A280,'Как будет'!K$63:K$70)</f>
        <v>0</v>
      </c>
      <c r="K280">
        <f>SUMIF('Как будет'!$A$63:$A$70,Доп.расчеты!$A280,'Как будет'!L$63:L$70)</f>
        <v>0</v>
      </c>
      <c r="L280">
        <f>SUMIF('Как будет'!$A$63:$A$70,Доп.расчеты!$A280,'Как будет'!M$63:M$70)</f>
        <v>0</v>
      </c>
      <c r="M280">
        <f>SUMIF('Как будет'!$A$63:$A$70,Доп.расчеты!$A280,'Как будет'!N$63:N$70)</f>
        <v>0</v>
      </c>
      <c r="N280">
        <f>SUMIF('Как будет'!$A$63:$A$70,Доп.расчеты!$A280,'Как будет'!O$63:O$70)</f>
        <v>0</v>
      </c>
      <c r="O280">
        <f>SUMIF('Как будет'!$A$63:$A$70,Доп.расчеты!$A280,'Как будет'!P$63:P$70)</f>
        <v>0</v>
      </c>
      <c r="P280">
        <f>SUMIF('Как будет'!$A$63:$A$70,Доп.расчеты!$A280,'Как будет'!Q$63:Q$70)</f>
        <v>0</v>
      </c>
      <c r="Q280">
        <f>SUMIF('Как будет'!$A$63:$A$70,Доп.расчеты!$A280,'Как будет'!R$63:R$70)</f>
        <v>0</v>
      </c>
      <c r="R280">
        <f>SUMIF('Как будет'!$A$63:$A$70,Доп.расчеты!$A280,'Как будет'!S$63:S$70)</f>
        <v>0</v>
      </c>
      <c r="S280">
        <f>SUMIF('Как будет'!$A$63:$A$70,Доп.расчеты!$A280,'Как будет'!T$63:T$70)</f>
        <v>0</v>
      </c>
      <c r="T280">
        <f>SUMIF('Как будет'!$A$63:$A$70,Доп.расчеты!$A280,'Как будет'!U$63:U$70)</f>
        <v>0</v>
      </c>
      <c r="U280">
        <f>SUMIF('Как будет'!$A$63:$A$70,Доп.расчеты!$A280,'Как будет'!V$63:V$70)</f>
        <v>0</v>
      </c>
      <c r="V280">
        <f>SUMIF('Как будет'!$A$63:$A$70,Доп.расчеты!$A280,'Как будет'!W$63:W$70)</f>
        <v>0</v>
      </c>
      <c r="W280">
        <f>SUMIF('Как будет'!$A$63:$A$70,Доп.расчеты!$A280,'Как будет'!X$63:X$70)</f>
        <v>0</v>
      </c>
      <c r="X280">
        <f>SUMIF('Как будет'!$A$63:$A$70,Доп.расчеты!$A280,'Как будет'!Y$63:Y$70)</f>
        <v>0</v>
      </c>
      <c r="Y280">
        <f>SUMIF('Как будет'!$A$63:$A$70,Доп.расчеты!$A280,'Как будет'!Z$63:Z$70)</f>
        <v>0</v>
      </c>
      <c r="Z280">
        <f>SUMIF('Как будет'!$A$63:$A$70,Доп.расчеты!$A280,'Как будет'!AA$63:AA$70)</f>
        <v>0</v>
      </c>
      <c r="AA280">
        <f>SUMIF('Как будет'!$A$63:$A$70,Доп.расчеты!$A280,'Как будет'!AB$63:AB$70)</f>
        <v>0</v>
      </c>
      <c r="AB280">
        <f>SUMIF('Как будет'!$A$63:$A$70,Доп.расчеты!$A280,'Как будет'!AC$63:AC$70)</f>
        <v>0</v>
      </c>
      <c r="AC280">
        <f>SUMIF('Как будет'!$A$63:$A$70,Доп.расчеты!$A280,'Как будет'!AD$63:AD$70)</f>
        <v>0</v>
      </c>
      <c r="AD280">
        <f>SUMIF('Как будет'!$A$63:$A$70,Доп.расчеты!$A280,'Как будет'!AE$63:AE$70)</f>
        <v>0</v>
      </c>
      <c r="AE280">
        <f>SUMIF('Как будет'!$A$63:$A$70,Доп.расчеты!$A280,'Как будет'!AF$63:AF$70)</f>
        <v>0</v>
      </c>
      <c r="AF280">
        <f>SUMIF('Как будет'!$A$63:$A$70,Доп.расчеты!$A280,'Как будет'!AG$63:AG$70)</f>
        <v>0</v>
      </c>
      <c r="AG280">
        <f>SUMIF('Как будет'!$A$63:$A$70,Доп.расчеты!$A280,'Как будет'!AH$63:AH$70)</f>
        <v>0</v>
      </c>
      <c r="AH280">
        <f>SUMIF('Как будет'!$A$63:$A$70,Доп.расчеты!$A280,'Как будет'!AI$63:AI$70)</f>
        <v>0</v>
      </c>
      <c r="AI280">
        <f>SUMIF('Как будет'!$A$63:$A$70,Доп.расчеты!$A280,'Как будет'!AJ$63:AJ$70)</f>
        <v>0</v>
      </c>
      <c r="AJ280">
        <f>SUMIF('Как будет'!$A$63:$A$70,Доп.расчеты!$A280,'Как будет'!AK$63:AK$70)</f>
        <v>0</v>
      </c>
      <c r="AK280">
        <f>SUMIF('Как будет'!$A$63:$A$70,Доп.расчеты!$A280,'Как будет'!AL$63:AL$70)</f>
        <v>0</v>
      </c>
      <c r="AL280">
        <f>SUMIF('Как будет'!$A$63:$A$70,Доп.расчеты!$A280,'Как будет'!AM$63:AM$70)</f>
        <v>0</v>
      </c>
      <c r="AM280">
        <f>SUMIF('Как будет'!$A$63:$A$70,Доп.расчеты!$A280,'Как будет'!AN$63:AN$70)</f>
        <v>0</v>
      </c>
      <c r="AN280">
        <f>SUMIF('Как будет'!$A$63:$A$70,Доп.расчеты!$A280,'Как будет'!AO$63:AO$70)</f>
        <v>0</v>
      </c>
      <c r="AO280">
        <f>SUMIF('Как будет'!$A$63:$A$70,Доп.расчеты!$A280,'Как будет'!AP$63:AP$70)</f>
        <v>0</v>
      </c>
      <c r="AP280">
        <f>SUMIF('Как будет'!$A$63:$A$70,Доп.расчеты!$A280,'Как будет'!AQ$63:AQ$70)</f>
        <v>0</v>
      </c>
      <c r="AQ280">
        <f>SUMIF('Как будет'!$A$63:$A$70,Доп.расчеты!$A280,'Как будет'!AR$63:AR$70)</f>
        <v>0</v>
      </c>
      <c r="AR280">
        <f>SUMIF('Как будет'!$A$63:$A$70,Доп.расчеты!$A280,'Как будет'!AS$63:AS$70)</f>
        <v>0</v>
      </c>
      <c r="AS280">
        <f>SUMIF('Как будет'!$A$63:$A$70,Доп.расчеты!$A280,'Как будет'!AT$63:AT$70)</f>
        <v>0</v>
      </c>
      <c r="AT280">
        <f>SUMIF('Как будет'!$A$63:$A$70,Доп.расчеты!$A280,'Как будет'!AU$63:AU$70)</f>
        <v>0</v>
      </c>
      <c r="AU280">
        <f>SUMIF('Как будет'!$A$63:$A$70,Доп.расчеты!$A280,'Как будет'!AV$63:AV$70)</f>
        <v>0</v>
      </c>
      <c r="AV280">
        <f>SUMIF('Как будет'!$A$63:$A$70,Доп.расчеты!$A280,'Как будет'!AW$63:AW$70)</f>
        <v>0</v>
      </c>
      <c r="AW280">
        <f>SUMIF('Как будет'!$A$63:$A$70,Доп.расчеты!$A280,'Как будет'!AX$63:AX$70)</f>
        <v>0</v>
      </c>
      <c r="AX280">
        <f>SUMIF('Как будет'!$A$63:$A$70,Доп.расчеты!$A280,'Как будет'!AY$63:AY$70)</f>
        <v>0</v>
      </c>
      <c r="AY280">
        <f>SUMIF('Как будет'!$A$63:$A$70,Доп.расчеты!$A280,'Как будет'!AZ$63:AZ$70)</f>
        <v>0</v>
      </c>
      <c r="AZ280">
        <f>SUMIF('Как будет'!$A$63:$A$70,Доп.расчеты!$A280,'Как будет'!BA$63:BA$70)</f>
        <v>0</v>
      </c>
      <c r="BA280">
        <f>SUMIF('Как будет'!$A$63:$A$70,Доп.расчеты!$A280,'Как будет'!BB$63:BB$70)</f>
        <v>0</v>
      </c>
      <c r="BB280">
        <f>SUMIF('Как будет'!$A$63:$A$70,Доп.расчеты!$A280,'Как будет'!BC$63:BC$70)</f>
        <v>0</v>
      </c>
      <c r="BC280">
        <f>SUMIF('Как будет'!$A$63:$A$70,Доп.расчеты!$A280,'Как будет'!BD$63:BD$70)</f>
        <v>0</v>
      </c>
      <c r="BD280">
        <f>SUMIF('Как будет'!$A$63:$A$70,Доп.расчеты!$A280,'Как будет'!BE$63:BE$70)</f>
        <v>0</v>
      </c>
      <c r="BE280">
        <f>SUMIF('Как будет'!$A$63:$A$70,Доп.расчеты!$A280,'Как будет'!BF$63:BF$70)</f>
        <v>0</v>
      </c>
      <c r="BF280">
        <f>SUMIF('Как будет'!$A$63:$A$70,Доп.расчеты!$A280,'Как будет'!BG$63:BG$70)</f>
        <v>0</v>
      </c>
      <c r="BG280">
        <f>SUMIF('Как будет'!$A$63:$A$70,Доп.расчеты!$A280,'Как будет'!BH$63:BH$70)</f>
        <v>0</v>
      </c>
      <c r="BH280">
        <f>SUMIF('Как будет'!$A$63:$A$70,Доп.расчеты!$A280,'Как будет'!BI$63:BI$70)</f>
        <v>0</v>
      </c>
      <c r="BI280">
        <f>SUMIF('Как будет'!$A$63:$A$70,Доп.расчеты!$A280,'Как будет'!BJ$63:BJ$70)</f>
        <v>0</v>
      </c>
      <c r="BJ280">
        <f>SUMIF('Как будет'!$A$63:$A$70,Доп.расчеты!$A280,'Как будет'!BK$63:BK$70)</f>
        <v>0</v>
      </c>
      <c r="BK280">
        <f>SUMIF('Как будет'!$A$63:$A$70,Доп.расчеты!$A280,'Как будет'!BL$63:BL$70)</f>
        <v>0</v>
      </c>
      <c r="BL280">
        <f>SUMIF('Как будет'!$A$63:$A$70,Доп.расчеты!$A280,'Как будет'!BM$63:BM$70)</f>
        <v>0</v>
      </c>
      <c r="BM280">
        <f>SUMIF('Как будет'!$A$63:$A$70,Доп.расчеты!$A280,'Как будет'!BN$63:BN$70)</f>
        <v>0</v>
      </c>
      <c r="BN280">
        <f>SUMIF('Как будет'!$A$63:$A$70,Доп.расчеты!$A280,'Как будет'!BO$63:BO$70)</f>
        <v>0</v>
      </c>
      <c r="BO280">
        <f>SUMIF('Как будет'!$A$63:$A$70,Доп.расчеты!$A280,'Как будет'!BP$63:BP$70)</f>
        <v>0</v>
      </c>
      <c r="BP280">
        <f>SUMIF('Как будет'!$A$63:$A$70,Доп.расчеты!$A280,'Как будет'!BQ$63:BQ$70)</f>
        <v>0</v>
      </c>
      <c r="BQ280">
        <f>SUMIF('Как будет'!$A$63:$A$70,Доп.расчеты!$A280,'Как будет'!BR$63:BR$70)</f>
        <v>0</v>
      </c>
      <c r="BR280">
        <f>SUMIF('Как будет'!$A$63:$A$70,Доп.расчеты!$A280,'Как будет'!BS$63:BS$70)</f>
        <v>0</v>
      </c>
      <c r="BS280">
        <f>SUMIF('Как будет'!$A$63:$A$70,Доп.расчеты!$A280,'Как будет'!BT$63:BT$70)</f>
        <v>0</v>
      </c>
      <c r="BT280">
        <f>SUMIF('Как будет'!$A$63:$A$70,Доп.расчеты!$A280,'Как будет'!BU$63:BU$70)</f>
        <v>0</v>
      </c>
      <c r="BU280">
        <f>SUMIF('Как будет'!$A$63:$A$70,Доп.расчеты!$A280,'Как будет'!BV$63:BV$70)</f>
        <v>0</v>
      </c>
      <c r="BV280">
        <f>SUMIF('Как будет'!$A$63:$A$70,Доп.расчеты!$A280,'Как будет'!BW$63:BW$70)</f>
        <v>0</v>
      </c>
      <c r="BW280">
        <f>SUMIF('Как будет'!$A$63:$A$70,Доп.расчеты!$A280,'Как будет'!BX$63:BX$70)</f>
        <v>0</v>
      </c>
      <c r="BX280">
        <f>SUMIF('Как будет'!$A$63:$A$70,Доп.расчеты!$A280,'Как будет'!BY$63:BY$70)</f>
        <v>0</v>
      </c>
      <c r="BY280">
        <f>SUMIF('Как будет'!$A$63:$A$70,Доп.расчеты!$A280,'Как будет'!BZ$63:BZ$70)</f>
        <v>0</v>
      </c>
      <c r="BZ280">
        <f>SUMIF('Как будет'!$A$63:$A$70,Доп.расчеты!$A280,'Как будет'!CA$63:CA$70)</f>
        <v>0</v>
      </c>
      <c r="CA280">
        <f>SUMIF('Как будет'!$A$63:$A$70,Доп.расчеты!$A280,'Как будет'!CB$63:CB$70)</f>
        <v>0</v>
      </c>
      <c r="CB280">
        <f>SUMIF('Как будет'!$A$63:$A$70,Доп.расчеты!$A280,'Как будет'!CC$63:CC$70)</f>
        <v>0</v>
      </c>
      <c r="CC280">
        <f>SUMIF('Как будет'!$A$63:$A$70,Доп.расчеты!$A280,'Как будет'!CD$63:CD$70)</f>
        <v>0</v>
      </c>
      <c r="CD280">
        <f>SUMIF('Как будет'!$A$63:$A$70,Доп.расчеты!$A280,'Как будет'!CE$63:CE$70)</f>
        <v>0</v>
      </c>
      <c r="CE280">
        <f>SUMIF('Как будет'!$A$63:$A$70,Доп.расчеты!$A280,'Как будет'!CF$63:CF$70)</f>
        <v>0</v>
      </c>
      <c r="CF280">
        <f>SUMIF('Как будет'!$A$63:$A$70,Доп.расчеты!$A280,'Как будет'!CG$63:CG$70)</f>
        <v>0</v>
      </c>
      <c r="CG280">
        <f>SUMIF('Как будет'!$A$63:$A$70,Доп.расчеты!$A280,'Как будет'!CH$63:CH$70)</f>
        <v>0</v>
      </c>
      <c r="CH280">
        <f>SUMIF('Как будет'!$A$63:$A$70,Доп.расчеты!$A280,'Как будет'!CI$63:CI$70)</f>
        <v>0</v>
      </c>
      <c r="CI280">
        <f>SUMIF('Как будет'!$A$63:$A$70,Доп.расчеты!$A280,'Как будет'!CJ$63:CJ$70)</f>
        <v>0</v>
      </c>
      <c r="CJ280">
        <f>SUMIF('Как будет'!$A$63:$A$70,Доп.расчеты!$A280,'Как будет'!CK$63:CK$70)</f>
        <v>0</v>
      </c>
      <c r="CK280">
        <f>SUMIF('Как будет'!$A$63:$A$70,Доп.расчеты!$A280,'Как будет'!CL$63:CL$70)</f>
        <v>0</v>
      </c>
      <c r="CL280">
        <f>SUMIF('Как будет'!$A$63:$A$70,Доп.расчеты!$A280,'Как будет'!CM$63:CM$70)</f>
        <v>0</v>
      </c>
      <c r="CM280">
        <f>SUMIF('Как будет'!$A$63:$A$70,Доп.расчеты!$A280,'Как будет'!CN$63:CN$70)</f>
        <v>0</v>
      </c>
      <c r="CN280">
        <f>SUMIF('Как будет'!$A$63:$A$70,Доп.расчеты!$A280,'Как будет'!CO$63:CO$70)</f>
        <v>0</v>
      </c>
      <c r="CO280">
        <f>SUMIF('Как будет'!$A$63:$A$70,Доп.расчеты!$A280,'Как будет'!CP$63:CP$70)</f>
        <v>0</v>
      </c>
      <c r="CP280">
        <f>SUMIF('Как будет'!$A$63:$A$70,Доп.расчеты!$A280,'Как будет'!CQ$63:CQ$70)</f>
        <v>0</v>
      </c>
      <c r="CQ280">
        <f>SUMIF('Как будет'!$A$63:$A$70,Доп.расчеты!$A280,'Как будет'!CR$63:CR$70)</f>
        <v>0</v>
      </c>
      <c r="CR280">
        <f>SUMIF('Как будет'!$A$63:$A$70,Доп.расчеты!$A280,'Как будет'!CS$63:CS$70)</f>
        <v>0</v>
      </c>
      <c r="CS280">
        <f>SUMIF('Как будет'!$A$63:$A$70,Доп.расчеты!$A280,'Как будет'!CT$63:CT$70)</f>
        <v>0</v>
      </c>
      <c r="CT280">
        <f>SUMIF('Как будет'!$A$63:$A$70,Доп.расчеты!$A280,'Как будет'!CU$63:CU$70)</f>
        <v>0</v>
      </c>
      <c r="CU280">
        <f>SUMIF('Как будет'!$A$63:$A$70,Доп.расчеты!$A280,'Как будет'!CV$63:CV$70)</f>
        <v>0</v>
      </c>
      <c r="CV280">
        <f>SUMIF('Как будет'!$A$63:$A$70,Доп.расчеты!$A280,'Как будет'!CW$63:CW$70)</f>
        <v>0</v>
      </c>
      <c r="CW280">
        <f>SUMIF('Как будет'!$A$63:$A$70,Доп.расчеты!$A280,'Как будет'!CX$63:CX$70)</f>
        <v>0</v>
      </c>
      <c r="CX280">
        <f>SUMIF('Как будет'!$A$63:$A$70,Доп.расчеты!$A280,'Как будет'!CY$63:CY$70)</f>
        <v>0</v>
      </c>
      <c r="CY280">
        <f>SUMIF('Как будет'!$A$63:$A$70,Доп.расчеты!$A280,'Как будет'!CZ$63:CZ$70)</f>
        <v>0</v>
      </c>
      <c r="CZ280">
        <f>SUMIF('Как будет'!$A$63:$A$70,Доп.расчеты!$A280,'Как будет'!DA$63:DA$70)</f>
        <v>0</v>
      </c>
      <c r="DA280">
        <f>SUMIF('Как будет'!$A$63:$A$70,Доп.расчеты!$A280,'Как будет'!DB$63:DB$70)</f>
        <v>0</v>
      </c>
      <c r="DB280">
        <f>SUMIF('Как будет'!$A$63:$A$70,Доп.расчеты!$A280,'Как будет'!DC$63:DC$70)</f>
        <v>0</v>
      </c>
      <c r="DC280">
        <f>SUMIF('Как будет'!$A$63:$A$70,Доп.расчеты!$A280,'Как будет'!DD$63:DD$70)</f>
        <v>0</v>
      </c>
      <c r="DD280">
        <f>SUMIF('Как будет'!$A$63:$A$70,Доп.расчеты!$A280,'Как будет'!DE$63:DE$70)</f>
        <v>0</v>
      </c>
      <c r="DE280">
        <f>SUMIF('Как будет'!$A$63:$A$70,Доп.расчеты!$A280,'Как будет'!DF$63:DF$70)</f>
        <v>0</v>
      </c>
      <c r="DF280">
        <f>SUMIF('Как будет'!$A$63:$A$70,Доп.расчеты!$A280,'Как будет'!DG$63:DG$70)</f>
        <v>0</v>
      </c>
      <c r="DG280">
        <f>SUMIF('Как будет'!$A$63:$A$70,Доп.расчеты!$A280,'Как будет'!DH$63:DH$70)</f>
        <v>0</v>
      </c>
      <c r="DH280">
        <f>SUMIF('Как будет'!$A$63:$A$70,Доп.расчеты!$A280,'Как будет'!DI$63:DI$70)</f>
        <v>0</v>
      </c>
      <c r="DI280">
        <f>SUMIF('Как будет'!$A$63:$A$70,Доп.расчеты!$A280,'Как будет'!DJ$63:DJ$70)</f>
        <v>0</v>
      </c>
      <c r="DJ280">
        <f>SUMIF('Как будет'!$A$63:$A$70,Доп.расчеты!$A280,'Как будет'!DK$63:DK$70)</f>
        <v>0</v>
      </c>
      <c r="DK280">
        <f>SUMIF('Как будет'!$A$63:$A$70,Доп.расчеты!$A280,'Как будет'!DL$63:DL$70)</f>
        <v>0</v>
      </c>
      <c r="DL280">
        <f>SUMIF('Как будет'!$A$63:$A$70,Доп.расчеты!$A280,'Как будет'!DM$63:DM$70)</f>
        <v>0</v>
      </c>
      <c r="DM280">
        <f>SUMIF('Как будет'!$A$63:$A$70,Доп.расчеты!$A280,'Как будет'!DN$63:DN$70)</f>
        <v>0</v>
      </c>
      <c r="DN280">
        <f>SUMIF('Как будет'!$A$63:$A$70,Доп.расчеты!$A280,'Как будет'!DO$63:DO$70)</f>
        <v>0</v>
      </c>
      <c r="DO280">
        <f>SUMIF('Как будет'!$A$63:$A$70,Доп.расчеты!$A280,'Как будет'!DP$63:DP$70)</f>
        <v>0</v>
      </c>
      <c r="DP280">
        <f>SUMIF('Как будет'!$A$63:$A$70,Доп.расчеты!$A280,'Как будет'!DQ$63:DQ$70)</f>
        <v>0</v>
      </c>
      <c r="DQ280">
        <f>SUMIF('Как будет'!$A$63:$A$70,Доп.расчеты!$A280,'Как будет'!DR$63:DR$70)</f>
        <v>0</v>
      </c>
      <c r="DR280">
        <f>SUMIF('Как будет'!$A$63:$A$70,Доп.расчеты!$A280,'Как будет'!DS$63:DS$70)</f>
        <v>0</v>
      </c>
      <c r="DS280">
        <f>SUMIF('Как будет'!$A$63:$A$70,Доп.расчеты!$A280,'Как будет'!DT$63:DT$70)</f>
        <v>0</v>
      </c>
      <c r="DT280">
        <f>SUMIF('Как будет'!$A$63:$A$70,Доп.расчеты!$A280,'Как будет'!DU$63:DU$70)</f>
        <v>0</v>
      </c>
      <c r="DU280">
        <f>SUMIF('Как будет'!$A$63:$A$70,Доп.расчеты!$A280,'Как будет'!DV$63:DV$70)</f>
        <v>0</v>
      </c>
      <c r="DV280">
        <f>SUMIF('Как будет'!$A$63:$A$70,Доп.расчеты!$A280,'Как будет'!DW$63:DW$70)</f>
        <v>0</v>
      </c>
      <c r="DW280">
        <f>SUMIF('Как будет'!$A$63:$A$70,Доп.расчеты!$A280,'Как будет'!DX$63:DX$70)</f>
        <v>0</v>
      </c>
      <c r="DX280">
        <f>SUMIF('Как будет'!$A$63:$A$70,Доп.расчеты!$A280,'Как будет'!DY$63:DY$70)</f>
        <v>0</v>
      </c>
      <c r="DY280">
        <f>SUMIF('Как будет'!$A$63:$A$70,Доп.расчеты!$A280,'Как будет'!DZ$63:DZ$70)</f>
        <v>0</v>
      </c>
      <c r="DZ280">
        <f>SUMIF('Как будет'!$A$63:$A$70,Доп.расчеты!$A280,'Как будет'!EA$63:EA$70)</f>
        <v>0</v>
      </c>
      <c r="EA280">
        <f>SUMIF('Как будет'!$A$63:$A$70,Доп.расчеты!$A280,'Как будет'!EB$63:EB$70)</f>
        <v>0</v>
      </c>
      <c r="EB280">
        <f>SUMIF('Как будет'!$A$63:$A$70,Доп.расчеты!$A280,'Как будет'!EC$63:EC$70)</f>
        <v>0</v>
      </c>
      <c r="EC280">
        <f>SUMIF('Как будет'!$A$63:$A$70,Доп.расчеты!$A280,'Как будет'!ED$63:ED$70)</f>
        <v>0</v>
      </c>
      <c r="ED280">
        <f>SUMIF('Как будет'!$A$63:$A$70,Доп.расчеты!$A280,'Как будет'!EE$63:EE$70)</f>
        <v>0</v>
      </c>
      <c r="EE280">
        <f>SUMIF('Как будет'!$A$63:$A$70,Доп.расчеты!$A280,'Как будет'!EF$63:EF$70)</f>
        <v>0</v>
      </c>
      <c r="EF280">
        <f>SUMIF('Как будет'!$A$63:$A$70,Доп.расчеты!$A280,'Как будет'!EG$63:EG$70)</f>
        <v>0</v>
      </c>
      <c r="EG280">
        <f>SUMIF('Как будет'!$A$63:$A$70,Доп.расчеты!$A280,'Как будет'!EH$63:EH$70)</f>
        <v>0</v>
      </c>
      <c r="EH280">
        <f>SUMIF('Как будет'!$A$63:$A$70,Доп.расчеты!$A280,'Как будет'!EI$63:EI$70)</f>
        <v>0</v>
      </c>
      <c r="EI280">
        <f>SUMIF('Как будет'!$A$63:$A$70,Доп.расчеты!$A280,'Как будет'!EJ$63:EJ$70)</f>
        <v>0</v>
      </c>
      <c r="EJ280">
        <f>SUMIF('Как будет'!$A$63:$A$70,Доп.расчеты!$A280,'Как будет'!EK$63:EK$70)</f>
        <v>0</v>
      </c>
      <c r="EK280">
        <f>SUMIF('Как будет'!$A$63:$A$70,Доп.расчеты!$A280,'Как будет'!EL$63:EL$70)</f>
        <v>0</v>
      </c>
      <c r="EL280">
        <f>SUMIF('Как будет'!$A$63:$A$70,Доп.расчеты!$A280,'Как будет'!EM$63:EM$70)</f>
        <v>0</v>
      </c>
      <c r="EM280">
        <f>SUMIF('Как будет'!$A$63:$A$70,Доп.расчеты!$A280,'Как будет'!EN$63:EN$70)</f>
        <v>0</v>
      </c>
      <c r="EN280">
        <f>SUMIF('Как будет'!$A$63:$A$70,Доп.расчеты!$A280,'Как будет'!EO$63:EO$70)</f>
        <v>0</v>
      </c>
      <c r="EO280">
        <f>SUMIF('Как будет'!$A$63:$A$70,Доп.расчеты!$A280,'Как будет'!EP$63:EP$70)</f>
        <v>0</v>
      </c>
      <c r="EP280">
        <f>SUMIF('Как будет'!$A$63:$A$70,Доп.расчеты!$A280,'Как будет'!EQ$63:EQ$70)</f>
        <v>0</v>
      </c>
      <c r="EQ280">
        <f>SUMIF('Как будет'!$A$63:$A$70,Доп.расчеты!$A280,'Как будет'!ER$63:ER$70)</f>
        <v>0</v>
      </c>
      <c r="ER280">
        <f>SUMIF('Как будет'!$A$63:$A$70,Доп.расчеты!$A280,'Как будет'!ES$63:ES$70)</f>
        <v>0</v>
      </c>
      <c r="ES280">
        <f>SUMIF('Как будет'!$A$63:$A$70,Доп.расчеты!$A280,'Как будет'!ET$63:ET$70)</f>
        <v>0</v>
      </c>
      <c r="ET280">
        <f>SUMIF('Как будет'!$A$63:$A$70,Доп.расчеты!$A280,'Как будет'!EU$63:EU$70)</f>
        <v>0</v>
      </c>
      <c r="EU280">
        <f>SUMIF('Как будет'!$A$63:$A$70,Доп.расчеты!$A280,'Как будет'!EV$63:EV$70)</f>
        <v>0</v>
      </c>
      <c r="EV280">
        <f>SUMIF('Как будет'!$A$63:$A$70,Доп.расчеты!$A280,'Как будет'!EW$63:EW$70)</f>
        <v>0</v>
      </c>
      <c r="EW280">
        <f>SUMIF('Как будет'!$A$63:$A$70,Доп.расчеты!$A280,'Как будет'!EX$63:EX$70)</f>
        <v>0</v>
      </c>
      <c r="EX280">
        <f>SUMIF('Как будет'!$A$63:$A$70,Доп.расчеты!$A280,'Как будет'!EY$63:EY$70)</f>
        <v>0</v>
      </c>
      <c r="EY280">
        <f>SUMIF('Как будет'!$A$63:$A$70,Доп.расчеты!$A280,'Как будет'!EZ$63:EZ$70)</f>
        <v>0</v>
      </c>
      <c r="EZ280">
        <f>SUMIF('Как будет'!$A$63:$A$70,Доп.расчеты!$A280,'Как будет'!FA$63:FA$70)</f>
        <v>0</v>
      </c>
      <c r="FA280">
        <f>SUMIF('Как будет'!$A$63:$A$70,Доп.расчеты!$A280,'Как будет'!FB$63:FB$70)</f>
        <v>0</v>
      </c>
      <c r="FB280">
        <f>SUMIF('Как будет'!$A$63:$A$70,Доп.расчеты!$A280,'Как будет'!FC$63:FC$70)</f>
        <v>0</v>
      </c>
      <c r="FC280">
        <f>SUMIF('Как будет'!$A$63:$A$70,Доп.расчеты!$A280,'Как будет'!FD$63:FD$70)</f>
        <v>0</v>
      </c>
      <c r="FD280">
        <f>SUMIF('Как будет'!$A$63:$A$70,Доп.расчеты!$A280,'Как будет'!FE$63:FE$70)</f>
        <v>0</v>
      </c>
      <c r="FE280">
        <f>SUMIF('Как будет'!$A$63:$A$70,Доп.расчеты!$A280,'Как будет'!FF$63:FF$70)</f>
        <v>0</v>
      </c>
      <c r="FF280">
        <f>SUMIF('Как будет'!$A$63:$A$70,Доп.расчеты!$A280,'Как будет'!FG$63:FG$70)</f>
        <v>0</v>
      </c>
      <c r="FG280">
        <f>SUMIF('Как будет'!$A$63:$A$70,Доп.расчеты!$A280,'Как будет'!FH$63:FH$70)</f>
        <v>0</v>
      </c>
      <c r="FH280">
        <f>SUMIF('Как будет'!$A$63:$A$70,Доп.расчеты!$A280,'Как будет'!FI$63:FI$70)</f>
        <v>0</v>
      </c>
      <c r="FI280">
        <f>SUMIF('Как будет'!$A$63:$A$70,Доп.расчеты!$A280,'Как будет'!FJ$63:FJ$70)</f>
        <v>0</v>
      </c>
      <c r="FJ280">
        <f>SUMIF('Как будет'!$A$63:$A$70,Доп.расчеты!$A280,'Как будет'!FK$63:FK$70)</f>
        <v>0</v>
      </c>
      <c r="FK280">
        <f>SUMIF('Как будет'!$A$63:$A$70,Доп.расчеты!$A280,'Как будет'!FL$63:FL$70)</f>
        <v>0</v>
      </c>
      <c r="FL280">
        <f>SUMIF('Как будет'!$A$63:$A$70,Доп.расчеты!$A280,'Как будет'!FM$63:FM$70)</f>
        <v>0</v>
      </c>
      <c r="FM280">
        <f>SUMIF('Как будет'!$A$63:$A$70,Доп.расчеты!$A280,'Как будет'!FN$63:FN$70)</f>
        <v>0</v>
      </c>
      <c r="FN280">
        <f>SUMIF('Как будет'!$A$63:$A$70,Доп.расчеты!$A280,'Как будет'!FO$63:FO$70)</f>
        <v>0</v>
      </c>
      <c r="FO280">
        <f>SUMIF('Как будет'!$A$63:$A$70,Доп.расчеты!$A280,'Как будет'!FP$63:FP$70)</f>
        <v>0</v>
      </c>
      <c r="FP280">
        <f>SUMIF('Как будет'!$A$63:$A$70,Доп.расчеты!$A280,'Как будет'!FQ$63:FQ$70)</f>
        <v>0</v>
      </c>
      <c r="FQ280">
        <f>SUMIF('Как будет'!$A$63:$A$70,Доп.расчеты!$A280,'Как будет'!FR$63:FR$70)</f>
        <v>0</v>
      </c>
      <c r="FR280">
        <f>SUMIF('Как будет'!$A$63:$A$70,Доп.расчеты!$A280,'Как будет'!FS$63:FS$70)</f>
        <v>0</v>
      </c>
      <c r="FS280">
        <f>SUMIF('Как будет'!$A$63:$A$70,Доп.расчеты!$A280,'Как будет'!FT$63:FT$70)</f>
        <v>0</v>
      </c>
      <c r="FT280">
        <f>SUMIF('Как будет'!$A$63:$A$70,Доп.расчеты!$A280,'Как будет'!FU$63:FU$70)</f>
        <v>0</v>
      </c>
      <c r="FU280">
        <f>SUMIF('Как будет'!$A$63:$A$70,Доп.расчеты!$A280,'Как будет'!FV$63:FV$70)</f>
        <v>0</v>
      </c>
      <c r="FV280">
        <f>SUMIF('Как будет'!$A$63:$A$70,Доп.расчеты!$A280,'Как будет'!FW$63:FW$70)</f>
        <v>0</v>
      </c>
      <c r="FW280">
        <f>SUMIF('Как будет'!$A$63:$A$70,Доп.расчеты!$A280,'Как будет'!FX$63:FX$70)</f>
        <v>0</v>
      </c>
      <c r="FX280">
        <f>SUMIF('Как будет'!$A$63:$A$70,Доп.расчеты!$A280,'Как будет'!FY$63:FY$70)</f>
        <v>0</v>
      </c>
      <c r="FY280">
        <f>SUMIF('Как будет'!$A$63:$A$70,Доп.расчеты!$A280,'Как будет'!FZ$63:FZ$70)</f>
        <v>0</v>
      </c>
      <c r="FZ280">
        <f>SUMIF('Как будет'!$A$63:$A$70,Доп.расчеты!$A280,'Как будет'!GA$63:GA$70)</f>
        <v>0</v>
      </c>
      <c r="GA280">
        <f>SUMIF('Как будет'!$A$63:$A$70,Доп.расчеты!$A280,'Как будет'!GB$63:GB$70)</f>
        <v>0</v>
      </c>
      <c r="GB280">
        <f>SUMIF('Как будет'!$A$63:$A$70,Доп.расчеты!$A280,'Как будет'!GC$63:GC$70)</f>
        <v>0</v>
      </c>
      <c r="GC280">
        <f>SUMIF('Как будет'!$A$63:$A$70,Доп.расчеты!$A280,'Как будет'!GD$63:GD$70)</f>
        <v>0</v>
      </c>
      <c r="GD280">
        <f>SUMIF('Как будет'!$A$63:$A$70,Доп.расчеты!$A280,'Как будет'!GE$63:GE$70)</f>
        <v>0</v>
      </c>
      <c r="GE280">
        <f>SUMIF('Как будет'!$A$63:$A$70,Доп.расчеты!$A280,'Как будет'!GF$63:GF$70)</f>
        <v>0</v>
      </c>
      <c r="GF280">
        <f>SUMIF('Как будет'!$A$63:$A$70,Доп.расчеты!$A280,'Как будет'!GG$63:GG$70)</f>
        <v>0</v>
      </c>
      <c r="GG280">
        <f>SUMIF('Как будет'!$A$63:$A$70,Доп.расчеты!$A280,'Как будет'!GH$63:GH$70)</f>
        <v>0</v>
      </c>
      <c r="GH280">
        <f>SUMIF('Как будет'!$A$63:$A$70,Доп.расчеты!$A280,'Как будет'!GI$63:GI$70)</f>
        <v>0</v>
      </c>
      <c r="GI280">
        <f>SUMIF('Как будет'!$A$63:$A$70,Доп.расчеты!$A280,'Как будет'!GJ$63:GJ$70)</f>
        <v>0</v>
      </c>
      <c r="GJ280">
        <f>SUMIF('Как будет'!$A$63:$A$70,Доп.расчеты!$A280,'Как будет'!GK$63:GK$70)</f>
        <v>0</v>
      </c>
      <c r="GK280">
        <f>SUMIF('Как будет'!$A$63:$A$70,Доп.расчеты!$A280,'Как будет'!GL$63:GL$70)</f>
        <v>0</v>
      </c>
      <c r="GL280">
        <f>SUMIF('Как будет'!$A$63:$A$70,Доп.расчеты!$A280,'Как будет'!GM$63:GM$70)</f>
        <v>0</v>
      </c>
      <c r="GM280">
        <f>SUMIF('Как будет'!$A$63:$A$70,Доп.расчеты!$A280,'Как будет'!GN$63:GN$70)</f>
        <v>0</v>
      </c>
      <c r="GN280">
        <f>SUMIF('Как будет'!$A$63:$A$70,Доп.расчеты!$A280,'Как будет'!GO$63:GO$70)</f>
        <v>0</v>
      </c>
      <c r="GO280">
        <f>SUMIF('Как будет'!$A$63:$A$70,Доп.расчеты!$A280,'Как будет'!GP$63:GP$70)</f>
        <v>0</v>
      </c>
      <c r="GP280">
        <f>SUMIF('Как будет'!$A$63:$A$70,Доп.расчеты!$A280,'Как будет'!GQ$63:GQ$70)</f>
        <v>0</v>
      </c>
      <c r="GQ280">
        <f>SUMIF('Как будет'!$A$63:$A$70,Доп.расчеты!$A280,'Как будет'!GR$63:GR$70)</f>
        <v>0</v>
      </c>
      <c r="GR280">
        <f>SUMIF('Как будет'!$A$63:$A$70,Доп.расчеты!$A280,'Как будет'!GS$63:GS$70)</f>
        <v>0</v>
      </c>
      <c r="GS280">
        <f>SUMIF('Как будет'!$A$63:$A$70,Доп.расчеты!$A280,'Как будет'!GT$63:GT$70)</f>
        <v>0</v>
      </c>
      <c r="GT280">
        <f>SUMIF('Как будет'!$A$63:$A$70,Доп.расчеты!$A280,'Как будет'!GU$63:GU$70)</f>
        <v>0</v>
      </c>
    </row>
    <row r="281" spans="1:202">
      <c r="A281" s="236"/>
    </row>
    <row r="283" spans="1:202">
      <c r="A283" s="236" t="s">
        <v>50</v>
      </c>
      <c r="B283">
        <f>'Как будет'!C109-'Как есть'!C109</f>
        <v>0</v>
      </c>
      <c r="C283">
        <f>'Как будет'!D109-'Как есть'!D109</f>
        <v>0</v>
      </c>
      <c r="D283">
        <f>'Как будет'!E109-'Как есть'!E109</f>
        <v>0</v>
      </c>
      <c r="E283">
        <f>'Как будет'!F109-'Как есть'!F109</f>
        <v>0</v>
      </c>
      <c r="F283">
        <f>'Как будет'!G109-'Как есть'!G109</f>
        <v>0</v>
      </c>
      <c r="G283">
        <f>'Как будет'!H109-'Как есть'!H109</f>
        <v>0</v>
      </c>
      <c r="H283">
        <f>'Как будет'!I109-'Как есть'!I109</f>
        <v>0</v>
      </c>
      <c r="I283">
        <f>'Как будет'!J109-'Как есть'!J109</f>
        <v>0</v>
      </c>
      <c r="J283">
        <f>'Как будет'!K109-'Как есть'!K109</f>
        <v>0</v>
      </c>
      <c r="K283">
        <f>'Как будет'!L109-'Как есть'!L109</f>
        <v>0</v>
      </c>
      <c r="L283">
        <f>'Как будет'!M109-'Как есть'!M109</f>
        <v>0</v>
      </c>
      <c r="M283">
        <f>'Как будет'!N109-'Как есть'!N109</f>
        <v>0</v>
      </c>
      <c r="N283">
        <f>'Как будет'!O109-'Как есть'!O109</f>
        <v>446.24268959648487</v>
      </c>
      <c r="O283">
        <f>'Как будет'!P109-'Как есть'!P109</f>
        <v>973.23371178656566</v>
      </c>
      <c r="P283">
        <f>'Как будет'!Q109-'Как есть'!Q109</f>
        <v>2191.2031602237271</v>
      </c>
      <c r="Q283">
        <f>'Как будет'!R109-'Как есть'!R109</f>
        <v>2108.8312323126011</v>
      </c>
      <c r="R283">
        <f>'Как будет'!S109-'Как есть'!S109</f>
        <v>2283.0512442915815</v>
      </c>
      <c r="S283">
        <f>'Как будет'!T109-'Как есть'!T109</f>
        <v>2958.1373749988029</v>
      </c>
      <c r="T283">
        <f>'Как будет'!U109-'Как есть'!U109</f>
        <v>2329.9696057087785</v>
      </c>
      <c r="U283">
        <f>'Как будет'!V109-'Как есть'!V109</f>
        <v>2580.6501861863458</v>
      </c>
      <c r="V283">
        <f>'Как будет'!W109-'Как есть'!W109</f>
        <v>3487.9443420361699</v>
      </c>
      <c r="W283">
        <f>'Как будет'!X109-'Как есть'!X109</f>
        <v>3211.713136023639</v>
      </c>
      <c r="X283">
        <f>'Как будет'!Y109-'Как есть'!Y109</f>
        <v>2759.7152739458065</v>
      </c>
      <c r="Y283">
        <f>'Как будет'!Z109-'Как есть'!Z109</f>
        <v>3588.6139013082088</v>
      </c>
      <c r="Z283">
        <f>'Как будет'!AA109-'Как есть'!AA109</f>
        <v>446.24268959648487</v>
      </c>
      <c r="AA283">
        <f>'Как будет'!AB109-'Как есть'!AB109</f>
        <v>973.23371178656566</v>
      </c>
      <c r="AB283">
        <f>'Как будет'!AC109-'Как есть'!AC109</f>
        <v>2191.2031602237271</v>
      </c>
      <c r="AC283">
        <f>'Как будет'!AD109-'Как есть'!AD109</f>
        <v>2108.8312323126011</v>
      </c>
      <c r="AD283">
        <f>'Как будет'!AE109-'Как есть'!AE109</f>
        <v>2283.0512442915815</v>
      </c>
      <c r="AE283">
        <f>'Как будет'!AF109-'Как есть'!AF109</f>
        <v>2958.1373749988029</v>
      </c>
      <c r="AF283">
        <f>'Как будет'!AG109-'Как есть'!AG109</f>
        <v>2329.9696057087785</v>
      </c>
      <c r="AG283">
        <f>'Как будет'!AH109-'Как есть'!AH109</f>
        <v>2580.6501861863458</v>
      </c>
      <c r="AH283">
        <f>'Как будет'!AI109-'Как есть'!AI109</f>
        <v>3487.9443420361699</v>
      </c>
      <c r="AI283">
        <f>'Как будет'!AJ109-'Как есть'!AJ109</f>
        <v>3211.713136023639</v>
      </c>
      <c r="AJ283">
        <f>'Как будет'!AK109-'Как есть'!AK109</f>
        <v>2759.7152739458065</v>
      </c>
      <c r="AK283">
        <f>'Как будет'!AL109-'Как есть'!AL109</f>
        <v>3588.6139013082088</v>
      </c>
      <c r="AL283">
        <f>'Как будет'!AM109-'Как есть'!AM109</f>
        <v>446.24268959648487</v>
      </c>
      <c r="AM283">
        <f>'Как будет'!AN109-'Как есть'!AN109</f>
        <v>973.23371178656566</v>
      </c>
      <c r="AN283">
        <f>'Как будет'!AO109-'Как есть'!AO109</f>
        <v>2191.2031602237271</v>
      </c>
      <c r="AO283">
        <f>'Как будет'!AP109-'Как есть'!AP109</f>
        <v>2108.8312323126011</v>
      </c>
      <c r="AP283">
        <f>'Как будет'!AQ109-'Как есть'!AQ109</f>
        <v>2283.0512442915815</v>
      </c>
      <c r="AQ283">
        <f>'Как будет'!AR109-'Как есть'!AR109</f>
        <v>2958.1373749988029</v>
      </c>
      <c r="AR283">
        <f>'Как будет'!AS109-'Как есть'!AS109</f>
        <v>2329.9696057087785</v>
      </c>
      <c r="AS283">
        <f>'Как будет'!AT109-'Как есть'!AT109</f>
        <v>2580.6501861863458</v>
      </c>
      <c r="AT283">
        <f>'Как будет'!AU109-'Как есть'!AU109</f>
        <v>3487.9443420361699</v>
      </c>
      <c r="AU283">
        <f>'Как будет'!AV109-'Как есть'!AV109</f>
        <v>3211.713136023639</v>
      </c>
      <c r="AV283">
        <f>'Как будет'!AW109-'Как есть'!AW109</f>
        <v>2759.7152739458065</v>
      </c>
      <c r="AW283">
        <f>'Как будет'!AX109-'Как есть'!AX109</f>
        <v>3588.6139013082088</v>
      </c>
      <c r="AX283">
        <f>'Как будет'!AY109-'Как есть'!AY109</f>
        <v>446.24268959648487</v>
      </c>
      <c r="AY283">
        <f>'Как будет'!AZ109-'Как есть'!AZ109</f>
        <v>973.23371178656566</v>
      </c>
      <c r="AZ283">
        <f>'Как будет'!BA109-'Как есть'!BA109</f>
        <v>2191.2031602237271</v>
      </c>
      <c r="BA283">
        <f>'Как будет'!BB109-'Как есть'!BB109</f>
        <v>2108.8312323126011</v>
      </c>
      <c r="BB283">
        <f>'Как будет'!BC109-'Как есть'!BC109</f>
        <v>2283.0512442915815</v>
      </c>
      <c r="BC283">
        <f>'Как будет'!BD109-'Как есть'!BD109</f>
        <v>2958.1373749988029</v>
      </c>
      <c r="BD283">
        <f>'Как будет'!BE109-'Как есть'!BE109</f>
        <v>2329.9696057087785</v>
      </c>
      <c r="BE283">
        <f>'Как будет'!BF109-'Как есть'!BF109</f>
        <v>2580.6501861863458</v>
      </c>
      <c r="BF283">
        <f>'Как будет'!BG109-'Как есть'!BG109</f>
        <v>3487.9443420361699</v>
      </c>
      <c r="BG283">
        <f>'Как будет'!BH109-'Как есть'!BH109</f>
        <v>3211.713136023639</v>
      </c>
      <c r="BH283">
        <f>'Как будет'!BI109-'Как есть'!BI109</f>
        <v>2759.7152739458065</v>
      </c>
      <c r="BI283">
        <f>'Как будет'!BJ109-'Как есть'!BJ109</f>
        <v>3588.6139013082088</v>
      </c>
      <c r="BJ283">
        <f>'Как будет'!BK109-'Как есть'!BK109</f>
        <v>0</v>
      </c>
      <c r="BK283">
        <f>'Как будет'!BL109-'Как есть'!BL109</f>
        <v>0</v>
      </c>
      <c r="BL283">
        <f>'Как будет'!BM109-'Как есть'!BM109</f>
        <v>0</v>
      </c>
      <c r="BM283">
        <f>'Как будет'!BN109-'Как есть'!BN109</f>
        <v>0</v>
      </c>
      <c r="BN283">
        <f>'Как будет'!BO109-'Как есть'!BO109</f>
        <v>0</v>
      </c>
      <c r="BO283">
        <f>'Как будет'!BP109-'Как есть'!BP109</f>
        <v>0</v>
      </c>
      <c r="BP283">
        <f>'Как будет'!BQ109-'Как есть'!BQ109</f>
        <v>0</v>
      </c>
      <c r="BQ283">
        <f>'Как будет'!BR109-'Как есть'!BR109</f>
        <v>0</v>
      </c>
      <c r="BR283">
        <f>'Как будет'!BS109-'Как есть'!BS109</f>
        <v>0</v>
      </c>
      <c r="BS283">
        <f>'Как будет'!BT109-'Как есть'!BT109</f>
        <v>0</v>
      </c>
      <c r="BT283">
        <f>'Как будет'!BU109-'Как есть'!BU109</f>
        <v>0</v>
      </c>
      <c r="BU283">
        <f>'Как будет'!BV109-'Как есть'!BV109</f>
        <v>0</v>
      </c>
      <c r="BV283">
        <f>'Как будет'!BW109-'Как есть'!BW109</f>
        <v>0</v>
      </c>
      <c r="BW283">
        <f>'Как будет'!BX109-'Как есть'!BX109</f>
        <v>0</v>
      </c>
      <c r="BX283">
        <f>'Как будет'!BY109-'Как есть'!BY109</f>
        <v>0</v>
      </c>
      <c r="BY283">
        <f>'Как будет'!BZ109-'Как есть'!BZ109</f>
        <v>0</v>
      </c>
      <c r="BZ283">
        <f>'Как будет'!CA109-'Как есть'!CA109</f>
        <v>0</v>
      </c>
      <c r="CA283">
        <f>'Как будет'!CB109-'Как есть'!CB109</f>
        <v>0</v>
      </c>
      <c r="CB283">
        <f>'Как будет'!CC109-'Как есть'!CC109</f>
        <v>0</v>
      </c>
      <c r="CC283">
        <f>'Как будет'!CD109-'Как есть'!CD109</f>
        <v>0</v>
      </c>
      <c r="CD283">
        <f>'Как будет'!CE109-'Как есть'!CE109</f>
        <v>0</v>
      </c>
      <c r="CE283">
        <f>'Как будет'!CF109-'Как есть'!CF109</f>
        <v>0</v>
      </c>
      <c r="CF283">
        <f>'Как будет'!CG109-'Как есть'!CG109</f>
        <v>0</v>
      </c>
      <c r="CG283">
        <f>'Как будет'!CH109-'Как есть'!CH109</f>
        <v>0</v>
      </c>
      <c r="CH283">
        <f>'Как будет'!CI109-'Как есть'!CI109</f>
        <v>0</v>
      </c>
      <c r="CI283">
        <f>'Как будет'!CJ109-'Как есть'!CJ109</f>
        <v>0</v>
      </c>
      <c r="CJ283">
        <f>'Как будет'!CK109-'Как есть'!CK109</f>
        <v>0</v>
      </c>
      <c r="CK283">
        <f>'Как будет'!CL109-'Как есть'!CL109</f>
        <v>0</v>
      </c>
      <c r="CL283">
        <f>'Как будет'!CM109-'Как есть'!CM109</f>
        <v>0</v>
      </c>
      <c r="CM283">
        <f>'Как будет'!CN109-'Как есть'!CN109</f>
        <v>0</v>
      </c>
      <c r="CN283">
        <f>'Как будет'!CO109-'Как есть'!CO109</f>
        <v>0</v>
      </c>
      <c r="CO283">
        <f>'Как будет'!CP109-'Как есть'!CP109</f>
        <v>0</v>
      </c>
      <c r="CP283">
        <f>'Как будет'!CQ109-'Как есть'!CQ109</f>
        <v>0</v>
      </c>
      <c r="CQ283">
        <f>'Как будет'!CR109-'Как есть'!CR109</f>
        <v>0</v>
      </c>
      <c r="CR283">
        <f>'Как будет'!CS109-'Как есть'!CS109</f>
        <v>0</v>
      </c>
      <c r="CS283">
        <f>'Как будет'!CT109-'Как есть'!CT109</f>
        <v>0</v>
      </c>
      <c r="CT283">
        <f>'Как будет'!CU109-'Как есть'!CU109</f>
        <v>0</v>
      </c>
      <c r="CU283">
        <f>'Как будет'!CV109-'Как есть'!CV109</f>
        <v>0</v>
      </c>
      <c r="CV283">
        <f>'Как будет'!CW109-'Как есть'!CW109</f>
        <v>0</v>
      </c>
      <c r="CW283">
        <f>'Как будет'!CX109-'Как есть'!CX109</f>
        <v>0</v>
      </c>
      <c r="CX283">
        <f>'Как будет'!CY109-'Как есть'!CY109</f>
        <v>0</v>
      </c>
      <c r="CY283">
        <f>'Как будет'!CZ109-'Как есть'!CZ109</f>
        <v>0</v>
      </c>
      <c r="CZ283">
        <f>'Как будет'!DA109-'Как есть'!DA109</f>
        <v>0</v>
      </c>
      <c r="DA283">
        <f>'Как будет'!DB109-'Как есть'!DB109</f>
        <v>0</v>
      </c>
      <c r="DB283">
        <f>'Как будет'!DC109-'Как есть'!DC109</f>
        <v>0</v>
      </c>
      <c r="DC283">
        <f>'Как будет'!DD109-'Как есть'!DD109</f>
        <v>0</v>
      </c>
      <c r="DD283">
        <f>'Как будет'!DE109-'Как есть'!DE109</f>
        <v>0</v>
      </c>
      <c r="DE283">
        <f>'Как будет'!DF109-'Как есть'!DF109</f>
        <v>0</v>
      </c>
      <c r="DF283">
        <f>'Как будет'!DG109-'Как есть'!DG109</f>
        <v>0</v>
      </c>
      <c r="DG283">
        <f>'Как будет'!DH109-'Как есть'!DH109</f>
        <v>0</v>
      </c>
      <c r="DH283">
        <f>'Как будет'!DI109-'Как есть'!DI109</f>
        <v>0</v>
      </c>
      <c r="DI283">
        <f>'Как будет'!DJ109-'Как есть'!DJ109</f>
        <v>0</v>
      </c>
      <c r="DJ283">
        <f>'Как будет'!DK109-'Как есть'!DK109</f>
        <v>0</v>
      </c>
      <c r="DK283">
        <f>'Как будет'!DL109-'Как есть'!DL109</f>
        <v>0</v>
      </c>
      <c r="DL283">
        <f>'Как будет'!DM109-'Как есть'!DM109</f>
        <v>0</v>
      </c>
      <c r="DM283">
        <f>'Как будет'!DN109-'Как есть'!DN109</f>
        <v>0</v>
      </c>
      <c r="DN283">
        <f>'Как будет'!DO109-'Как есть'!DO109</f>
        <v>0</v>
      </c>
      <c r="DO283">
        <f>'Как будет'!DP109-'Как есть'!DP109</f>
        <v>0</v>
      </c>
      <c r="DP283">
        <f>'Как будет'!DQ109-'Как есть'!DQ109</f>
        <v>0</v>
      </c>
      <c r="DQ283">
        <f>'Как будет'!DR109-'Как есть'!DR109</f>
        <v>0</v>
      </c>
      <c r="DR283">
        <f>'Как будет'!DS109-'Как есть'!DS109</f>
        <v>0</v>
      </c>
      <c r="DS283">
        <f>'Как будет'!DT109-'Как есть'!DT109</f>
        <v>0</v>
      </c>
      <c r="DT283">
        <f>'Как будет'!DU109-'Как есть'!DU109</f>
        <v>0</v>
      </c>
      <c r="DU283">
        <f>'Как будет'!DV109-'Как есть'!DV109</f>
        <v>0</v>
      </c>
      <c r="DV283">
        <f>'Как будет'!DW109-'Как есть'!DW109</f>
        <v>0</v>
      </c>
      <c r="DW283">
        <f>'Как будет'!DX109-'Как есть'!DX109</f>
        <v>0</v>
      </c>
      <c r="DX283">
        <f>'Как будет'!DY109-'Как есть'!DY109</f>
        <v>0</v>
      </c>
      <c r="DY283">
        <f>'Как будет'!DZ109-'Как есть'!DZ109</f>
        <v>0</v>
      </c>
      <c r="DZ283">
        <f>'Как будет'!EA109-'Как есть'!EA109</f>
        <v>0</v>
      </c>
      <c r="EA283">
        <f>'Как будет'!EB109-'Как есть'!EB109</f>
        <v>0</v>
      </c>
      <c r="EB283">
        <f>'Как будет'!EC109-'Как есть'!EC109</f>
        <v>0</v>
      </c>
      <c r="EC283">
        <f>'Как будет'!ED109-'Как есть'!ED109</f>
        <v>0</v>
      </c>
      <c r="ED283">
        <f>'Как будет'!EE109-'Как есть'!EE109</f>
        <v>0</v>
      </c>
      <c r="EE283">
        <f>'Как будет'!EF109-'Как есть'!EF109</f>
        <v>0</v>
      </c>
      <c r="EF283">
        <f>'Как будет'!EG109-'Как есть'!EG109</f>
        <v>0</v>
      </c>
      <c r="EG283">
        <f>'Как будет'!EH109-'Как есть'!EH109</f>
        <v>0</v>
      </c>
      <c r="EH283">
        <f>'Как будет'!EI109-'Как есть'!EI109</f>
        <v>0</v>
      </c>
      <c r="EI283">
        <f>'Как будет'!EJ109-'Как есть'!EJ109</f>
        <v>0</v>
      </c>
      <c r="EJ283">
        <f>'Как будет'!EK109-'Как есть'!EK109</f>
        <v>0</v>
      </c>
      <c r="EK283">
        <f>'Как будет'!EL109-'Как есть'!EL109</f>
        <v>0</v>
      </c>
      <c r="EL283">
        <f>'Как будет'!EM109-'Как есть'!EM109</f>
        <v>0</v>
      </c>
      <c r="EM283">
        <f>'Как будет'!EN109-'Как есть'!EN109</f>
        <v>0</v>
      </c>
      <c r="EN283">
        <f>'Как будет'!EO109-'Как есть'!EO109</f>
        <v>0</v>
      </c>
      <c r="EO283">
        <f>'Как будет'!EP109-'Как есть'!EP109</f>
        <v>0</v>
      </c>
      <c r="EP283">
        <f>'Как будет'!EQ109-'Как есть'!EQ109</f>
        <v>0</v>
      </c>
      <c r="EQ283">
        <f>'Как будет'!ER109-'Как есть'!ER109</f>
        <v>0</v>
      </c>
      <c r="ER283">
        <f>'Как будет'!ES109-'Как есть'!ES109</f>
        <v>0</v>
      </c>
      <c r="ES283">
        <f>'Как будет'!ET109-'Как есть'!ET109</f>
        <v>0</v>
      </c>
      <c r="ET283">
        <f>'Как будет'!EU109-'Как есть'!EU109</f>
        <v>0</v>
      </c>
      <c r="EU283">
        <f>'Как будет'!EV109-'Как есть'!EV109</f>
        <v>0</v>
      </c>
      <c r="EV283">
        <f>'Как будет'!EW109-'Как есть'!EW109</f>
        <v>0</v>
      </c>
      <c r="EW283">
        <f>'Как будет'!EX109-'Как есть'!EX109</f>
        <v>0</v>
      </c>
      <c r="EX283">
        <f>'Как будет'!EY109-'Как есть'!EY109</f>
        <v>0</v>
      </c>
      <c r="EY283">
        <f>'Как будет'!EZ109-'Как есть'!EZ109</f>
        <v>0</v>
      </c>
      <c r="EZ283">
        <f>'Как будет'!FA109-'Как есть'!FA109</f>
        <v>0</v>
      </c>
      <c r="FA283">
        <f>'Как будет'!FB109-'Как есть'!FB109</f>
        <v>0</v>
      </c>
      <c r="FB283">
        <f>'Как будет'!FC109-'Как есть'!FC109</f>
        <v>0</v>
      </c>
      <c r="FC283">
        <f>'Как будет'!FD109-'Как есть'!FD109</f>
        <v>0</v>
      </c>
      <c r="FD283">
        <f>'Как будет'!FE109-'Как есть'!FE109</f>
        <v>0</v>
      </c>
      <c r="FE283">
        <f>'Как будет'!FF109-'Как есть'!FF109</f>
        <v>0</v>
      </c>
      <c r="FF283">
        <f>'Как будет'!FG109-'Как есть'!FG109</f>
        <v>0</v>
      </c>
      <c r="FG283">
        <f>'Как будет'!FH109-'Как есть'!FH109</f>
        <v>0</v>
      </c>
      <c r="FH283">
        <f>'Как будет'!FI109-'Как есть'!FI109</f>
        <v>0</v>
      </c>
      <c r="FI283">
        <f>'Как будет'!FJ109-'Как есть'!FJ109</f>
        <v>0</v>
      </c>
      <c r="FJ283">
        <f>'Как будет'!FK109-'Как есть'!FK109</f>
        <v>0</v>
      </c>
      <c r="FK283">
        <f>'Как будет'!FL109-'Как есть'!FL109</f>
        <v>0</v>
      </c>
      <c r="FL283">
        <f>'Как будет'!FM109-'Как есть'!FM109</f>
        <v>0</v>
      </c>
      <c r="FM283">
        <f>'Как будет'!FN109-'Как есть'!FN109</f>
        <v>0</v>
      </c>
      <c r="FN283">
        <f>'Как будет'!FO109-'Как есть'!FO109</f>
        <v>0</v>
      </c>
      <c r="FO283">
        <f>'Как будет'!FP109-'Как есть'!FP109</f>
        <v>0</v>
      </c>
      <c r="FP283">
        <f>'Как будет'!FQ109-'Как есть'!FQ109</f>
        <v>0</v>
      </c>
      <c r="FQ283">
        <f>'Как будет'!FR109-'Как есть'!FR109</f>
        <v>0</v>
      </c>
      <c r="FR283">
        <f>'Как будет'!FS109-'Как есть'!FS109</f>
        <v>0</v>
      </c>
      <c r="FS283">
        <f>'Как будет'!FT109-'Как есть'!FT109</f>
        <v>0</v>
      </c>
      <c r="FT283">
        <f>'Как будет'!FU109-'Как есть'!FU109</f>
        <v>0</v>
      </c>
      <c r="FU283">
        <f>'Как будет'!FV109-'Как есть'!FV109</f>
        <v>0</v>
      </c>
      <c r="FV283">
        <f>'Как будет'!FW109-'Как есть'!FW109</f>
        <v>0</v>
      </c>
      <c r="FW283">
        <f>'Как будет'!FX109-'Как есть'!FX109</f>
        <v>0</v>
      </c>
      <c r="FX283">
        <f>'Как будет'!FY109-'Как есть'!FY109</f>
        <v>0</v>
      </c>
      <c r="FY283">
        <f>'Как будет'!FZ109-'Как есть'!FZ109</f>
        <v>0</v>
      </c>
      <c r="FZ283">
        <f>'Как будет'!GA109-'Как есть'!GA109</f>
        <v>0</v>
      </c>
      <c r="GA283">
        <f>'Как будет'!GB109-'Как есть'!GB109</f>
        <v>0</v>
      </c>
      <c r="GB283">
        <f>'Как будет'!GC109-'Как есть'!GC109</f>
        <v>0</v>
      </c>
      <c r="GC283">
        <f>'Как будет'!GD109-'Как есть'!GD109</f>
        <v>0</v>
      </c>
      <c r="GD283">
        <f>'Как будет'!GE109-'Как есть'!GE109</f>
        <v>0</v>
      </c>
      <c r="GE283">
        <f>'Как будет'!GF109-'Как есть'!GF109</f>
        <v>0</v>
      </c>
      <c r="GF283">
        <f>'Как будет'!GG109-'Как есть'!GG109</f>
        <v>0</v>
      </c>
      <c r="GG283">
        <f>'Как будет'!GH109-'Как есть'!GH109</f>
        <v>0</v>
      </c>
      <c r="GH283">
        <f>'Как будет'!GI109-'Как есть'!GI109</f>
        <v>0</v>
      </c>
      <c r="GI283">
        <f>'Как будет'!GJ109-'Как есть'!GJ109</f>
        <v>0</v>
      </c>
      <c r="GJ283">
        <f>'Как будет'!GK109-'Как есть'!GK109</f>
        <v>0</v>
      </c>
      <c r="GK283">
        <f>'Как будет'!GL109-'Как есть'!GL109</f>
        <v>0</v>
      </c>
      <c r="GL283">
        <f>'Как будет'!GM109-'Как есть'!GM109</f>
        <v>0</v>
      </c>
      <c r="GM283">
        <f>'Как будет'!GN109-'Как есть'!GN109</f>
        <v>0</v>
      </c>
      <c r="GN283">
        <f>'Как будет'!GO109-'Как есть'!GO109</f>
        <v>0</v>
      </c>
      <c r="GO283">
        <f>'Как будет'!GP109-'Как есть'!GP109</f>
        <v>0</v>
      </c>
      <c r="GP283">
        <f>'Как будет'!GQ109-'Как есть'!GQ109</f>
        <v>0</v>
      </c>
      <c r="GQ283">
        <f>'Как будет'!GR109-'Как есть'!GR109</f>
        <v>0</v>
      </c>
      <c r="GR283">
        <f>'Как будет'!GS109-'Как есть'!GS109</f>
        <v>0</v>
      </c>
      <c r="GS283">
        <f>'Как будет'!GT109-'Как есть'!GT109</f>
        <v>0</v>
      </c>
      <c r="GT283">
        <f>'Как будет'!GU109-'Как есть'!GU109</f>
        <v>0</v>
      </c>
    </row>
    <row r="284" spans="1:202" s="240" customFormat="1">
      <c r="A284" s="239" t="s">
        <v>233</v>
      </c>
      <c r="B284" s="240">
        <f>('Как будет'!C16+'Как будет'!C44+'Как будет'!C72+'Как будет'!C25+'Как будет'!C53+'Как будет'!C81)-('Как есть'!C16+'Как есть'!C44+'Как есть'!C72+'Как есть'!C81)</f>
        <v>-2011.3600000000001</v>
      </c>
      <c r="C284" s="240">
        <f>('Как будет'!D16+'Как будет'!D44+'Как будет'!D72+'Как будет'!D25+'Как будет'!D53+'Как будет'!D81)-('Как есть'!D16+'Как есть'!D44+'Как есть'!D72+'Как есть'!D81)</f>
        <v>-1048.44</v>
      </c>
      <c r="D284" s="240">
        <f>('Как будет'!E16+'Как будет'!E44+'Как будет'!E72+'Как будет'!E25+'Как будет'!E53+'Как будет'!E81)-('Как есть'!E16+'Как есть'!E44+'Как есть'!E72+'Как есть'!E81)</f>
        <v>-1520.3000000000002</v>
      </c>
      <c r="E284" s="240">
        <f>('Как будет'!F16+'Как будет'!F44+'Как будет'!F72+'Как будет'!F25+'Как будет'!F53+'Как будет'!F81)-('Как есть'!F16+'Как есть'!F44+'Как есть'!F72+'Как есть'!F81)</f>
        <v>-1283.74</v>
      </c>
      <c r="F284" s="240">
        <f>('Как будет'!G16+'Как будет'!G44+'Как будет'!G72+'Как будет'!G25+'Как будет'!G53+'Как будет'!G81)-('Как есть'!G16+'Как есть'!G44+'Как есть'!G72+'Как есть'!G81)</f>
        <v>-1014.9200000000001</v>
      </c>
      <c r="G284" s="240">
        <f>('Как будет'!H16+'Как будет'!H44+'Как будет'!H72+'Как будет'!H25+'Как будет'!H53+'Как будет'!H81)-('Как есть'!H16+'Как есть'!H44+'Как есть'!H72+'Как есть'!H81)</f>
        <v>-817.48</v>
      </c>
      <c r="H284" s="240">
        <f>('Как будет'!I16+'Как будет'!I44+'Как будет'!I72+'Как будет'!I25+'Как будет'!I53+'Как будет'!I81)-('Как есть'!I16+'Как есть'!I44+'Как есть'!I72+'Как есть'!I81)</f>
        <v>-817.48</v>
      </c>
      <c r="I284" s="240">
        <f>('Как будет'!J16+'Как будет'!J44+'Как будет'!J72+'Как будет'!J25+'Как будет'!J53+'Как будет'!J81)-('Как есть'!J16+'Как есть'!J44+'Как есть'!J72+'Как есть'!J81)</f>
        <v>-817.48</v>
      </c>
      <c r="J284" s="240">
        <f>('Как будет'!K16+'Как будет'!K44+'Как будет'!K72+'Как будет'!K25+'Как будет'!K53+'Как будет'!K81)-('Как есть'!K16+'Как есть'!K44+'Как есть'!K72+'Как есть'!K81)</f>
        <v>-817.48</v>
      </c>
      <c r="K284" s="240">
        <f>('Как будет'!L16+'Как будет'!L44+'Как будет'!L72+'Как будет'!L25+'Как будет'!L53+'Как будет'!L81)-('Как есть'!L16+'Как есть'!L44+'Как есть'!L72+'Как есть'!L81)</f>
        <v>-817.48</v>
      </c>
      <c r="L284" s="240">
        <f>('Как будет'!M16+'Как будет'!M44+'Как будет'!M72+'Как будет'!M25+'Как будет'!M53+'Как будет'!M81)-('Как есть'!M16+'Как есть'!M44+'Как есть'!M72+'Как есть'!M81)</f>
        <v>-817.48</v>
      </c>
      <c r="M284" s="240">
        <f>('Как будет'!N16+'Как будет'!N44+'Как будет'!N72+'Как будет'!N25+'Как будет'!N53+'Как будет'!N81)-('Как есть'!N16+'Как есть'!N44+'Как есть'!N72+'Как есть'!N81)</f>
        <v>-164.1</v>
      </c>
      <c r="N284" s="240">
        <f>('Как будет'!O16+'Как будет'!O44+'Как будет'!O72+'Как будет'!O25+'Как будет'!O53+'Как будет'!O81)-('Как есть'!O16+'Как есть'!O44+'Как есть'!O72+'Как есть'!O81)</f>
        <v>0</v>
      </c>
      <c r="O284" s="240">
        <f>('Как будет'!P16+'Как будет'!P44+'Как будет'!P72+'Как будет'!P25+'Как будет'!P53+'Как будет'!P81)-('Как есть'!P16+'Как есть'!P44+'Как есть'!P72+'Как есть'!P81)</f>
        <v>0</v>
      </c>
      <c r="P284" s="240">
        <f>('Как будет'!Q16+'Как будет'!Q44+'Как будет'!Q72+'Как будет'!Q25+'Как будет'!Q53+'Как будет'!Q81)-('Как есть'!Q16+'Как есть'!Q44+'Как есть'!Q72+'Как есть'!Q81)</f>
        <v>0</v>
      </c>
      <c r="Q284" s="240">
        <f>('Как будет'!R16+'Как будет'!R44+'Как будет'!R72+'Как будет'!R25+'Как будет'!R53+'Как будет'!R81)-('Как есть'!R16+'Как есть'!R44+'Как есть'!R72+'Как есть'!R81)</f>
        <v>0</v>
      </c>
      <c r="R284" s="240">
        <f>('Как будет'!S16+'Как будет'!S44+'Как будет'!S72+'Как будет'!S25+'Как будет'!S53+'Как будет'!S81)-('Как есть'!S16+'Как есть'!S44+'Как есть'!S72+'Как есть'!S81)</f>
        <v>0</v>
      </c>
      <c r="S284" s="240">
        <f>('Как будет'!T16+'Как будет'!T44+'Как будет'!T72+'Как будет'!T25+'Как будет'!T53+'Как будет'!T81)-('Как есть'!T16+'Как есть'!T44+'Как есть'!T72+'Как есть'!T81)</f>
        <v>0</v>
      </c>
      <c r="T284" s="240">
        <f>('Как будет'!U16+'Как будет'!U44+'Как будет'!U72+'Как будет'!U25+'Как будет'!U53+'Как будет'!U81)-('Как есть'!U16+'Как есть'!U44+'Как есть'!U72+'Как есть'!U81)</f>
        <v>0</v>
      </c>
      <c r="U284" s="240">
        <f>('Как будет'!V16+'Как будет'!V44+'Как будет'!V72+'Как будет'!V25+'Как будет'!V53+'Как будет'!V81)-('Как есть'!V16+'Как есть'!V44+'Как есть'!V72+'Как есть'!V81)</f>
        <v>0</v>
      </c>
      <c r="V284" s="240">
        <f>('Как будет'!W16+'Как будет'!W44+'Как будет'!W72+'Как будет'!W25+'Как будет'!W53+'Как будет'!W81)-('Как есть'!W16+'Как есть'!W44+'Как есть'!W72+'Как есть'!W81)</f>
        <v>0</v>
      </c>
      <c r="W284" s="240">
        <f>('Как будет'!X16+'Как будет'!X44+'Как будет'!X72+'Как будет'!X25+'Как будет'!X53+'Как будет'!X81)-('Как есть'!X16+'Как есть'!X44+'Как есть'!X72+'Как есть'!X81)</f>
        <v>0</v>
      </c>
      <c r="X284" s="240">
        <f>('Как будет'!Y16+'Как будет'!Y44+'Как будет'!Y72+'Как будет'!Y25+'Как будет'!Y53+'Как будет'!Y81)-('Как есть'!Y16+'Как есть'!Y44+'Как есть'!Y72+'Как есть'!Y81)</f>
        <v>0</v>
      </c>
      <c r="Y284" s="240">
        <f>('Как будет'!Z16+'Как будет'!Z44+'Как будет'!Z72+'Как будет'!Z25+'Как будет'!Z53+'Как будет'!Z81)-('Как есть'!Z16+'Как есть'!Z44+'Как есть'!Z72+'Как есть'!Z81)</f>
        <v>0</v>
      </c>
      <c r="Z284" s="240">
        <f>('Как будет'!AA16+'Как будет'!AA44+'Как будет'!AA72+'Как будет'!AA25+'Как будет'!AA53+'Как будет'!AA81)-('Как есть'!AA16+'Как есть'!AA44+'Как есть'!AA72+'Как есть'!AA81)</f>
        <v>0</v>
      </c>
      <c r="AA284" s="240">
        <f>('Как будет'!AB16+'Как будет'!AB44+'Как будет'!AB72+'Как будет'!AB25+'Как будет'!AB53+'Как будет'!AB81)-('Как есть'!AB16+'Как есть'!AB44+'Как есть'!AB72+'Как есть'!AB81)</f>
        <v>0</v>
      </c>
      <c r="AB284" s="240">
        <f>('Как будет'!AC16+'Как будет'!AC44+'Как будет'!AC72+'Как будет'!AC25+'Как будет'!AC53+'Как будет'!AC81)-('Как есть'!AC16+'Как есть'!AC44+'Как есть'!AC72+'Как есть'!AC81)</f>
        <v>0</v>
      </c>
      <c r="AC284" s="240">
        <f>('Как будет'!AD16+'Как будет'!AD44+'Как будет'!AD72+'Как будет'!AD25+'Как будет'!AD53+'Как будет'!AD81)-('Как есть'!AD16+'Как есть'!AD44+'Как есть'!AD72+'Как есть'!AD81)</f>
        <v>0</v>
      </c>
      <c r="AD284" s="240">
        <f>('Как будет'!AE16+'Как будет'!AE44+'Как будет'!AE72+'Как будет'!AE25+'Как будет'!AE53+'Как будет'!AE81)-('Как есть'!AE16+'Как есть'!AE44+'Как есть'!AE72+'Как есть'!AE81)</f>
        <v>0</v>
      </c>
      <c r="AE284" s="240">
        <f>('Как будет'!AF16+'Как будет'!AF44+'Как будет'!AF72+'Как будет'!AF25+'Как будет'!AF53+'Как будет'!AF81)-('Как есть'!AF16+'Как есть'!AF44+'Как есть'!AF72+'Как есть'!AF81)</f>
        <v>0</v>
      </c>
      <c r="AF284" s="240">
        <f>('Как будет'!AG16+'Как будет'!AG44+'Как будет'!AG72+'Как будет'!AG25+'Как будет'!AG53+'Как будет'!AG81)-('Как есть'!AG16+'Как есть'!AG44+'Как есть'!AG72+'Как есть'!AG81)</f>
        <v>0</v>
      </c>
      <c r="AG284" s="240">
        <f>('Как будет'!AH16+'Как будет'!AH44+'Как будет'!AH72+'Как будет'!AH25+'Как будет'!AH53+'Как будет'!AH81)-('Как есть'!AH16+'Как есть'!AH44+'Как есть'!AH72+'Как есть'!AH81)</f>
        <v>0</v>
      </c>
      <c r="AH284" s="240">
        <f>('Как будет'!AI16+'Как будет'!AI44+'Как будет'!AI72+'Как будет'!AI25+'Как будет'!AI53+'Как будет'!AI81)-('Как есть'!AI16+'Как есть'!AI44+'Как есть'!AI72+'Как есть'!AI81)</f>
        <v>0</v>
      </c>
      <c r="AI284" s="240">
        <f>('Как будет'!AJ16+'Как будет'!AJ44+'Как будет'!AJ72+'Как будет'!AJ25+'Как будет'!AJ53+'Как будет'!AJ81)-('Как есть'!AJ16+'Как есть'!AJ44+'Как есть'!AJ72+'Как есть'!AJ81)</f>
        <v>0</v>
      </c>
      <c r="AJ284" s="240">
        <f>('Как будет'!AK16+'Как будет'!AK44+'Как будет'!AK72+'Как будет'!AK25+'Как будет'!AK53+'Как будет'!AK81)-('Как есть'!AK16+'Как есть'!AK44+'Как есть'!AK72+'Как есть'!AK81)</f>
        <v>0</v>
      </c>
      <c r="AK284" s="240">
        <f>('Как будет'!AL16+'Как будет'!AL44+'Как будет'!AL72+'Как будет'!AL25+'Как будет'!AL53+'Как будет'!AL81)-('Как есть'!AL16+'Как есть'!AL44+'Как есть'!AL72+'Как есть'!AL81)</f>
        <v>0</v>
      </c>
      <c r="AL284" s="240">
        <f>('Как будет'!AM16+'Как будет'!AM44+'Как будет'!AM72+'Как будет'!AM25+'Как будет'!AM53+'Как будет'!AM81)-('Как есть'!AM16+'Как есть'!AM44+'Как есть'!AM72+'Как есть'!AM81)</f>
        <v>0</v>
      </c>
      <c r="AM284" s="240">
        <f>('Как будет'!AN16+'Как будет'!AN44+'Как будет'!AN72+'Как будет'!AN25+'Как будет'!AN53+'Как будет'!AN81)-('Как есть'!AN16+'Как есть'!AN44+'Как есть'!AN72+'Как есть'!AN81)</f>
        <v>0</v>
      </c>
      <c r="AN284" s="240">
        <f>('Как будет'!AO16+'Как будет'!AO44+'Как будет'!AO72+'Как будет'!AO25+'Как будет'!AO53+'Как будет'!AO81)-('Как есть'!AO16+'Как есть'!AO44+'Как есть'!AO72+'Как есть'!AO81)</f>
        <v>0</v>
      </c>
      <c r="AO284" s="240">
        <f>('Как будет'!AP16+'Как будет'!AP44+'Как будет'!AP72+'Как будет'!AP25+'Как будет'!AP53+'Как будет'!AP81)-('Как есть'!AP16+'Как есть'!AP44+'Как есть'!AP72+'Как есть'!AP81)</f>
        <v>0</v>
      </c>
      <c r="AP284" s="240">
        <f>('Как будет'!AQ16+'Как будет'!AQ44+'Как будет'!AQ72+'Как будет'!AQ25+'Как будет'!AQ53+'Как будет'!AQ81)-('Как есть'!AQ16+'Как есть'!AQ44+'Как есть'!AQ72+'Как есть'!AQ81)</f>
        <v>0</v>
      </c>
      <c r="AQ284" s="240">
        <f>('Как будет'!AR16+'Как будет'!AR44+'Как будет'!AR72+'Как будет'!AR25+'Как будет'!AR53+'Как будет'!AR81)-('Как есть'!AR16+'Как есть'!AR44+'Как есть'!AR72+'Как есть'!AR81)</f>
        <v>0</v>
      </c>
      <c r="AR284" s="240">
        <f>('Как будет'!AS16+'Как будет'!AS44+'Как будет'!AS72+'Как будет'!AS25+'Как будет'!AS53+'Как будет'!AS81)-('Как есть'!AS16+'Как есть'!AS44+'Как есть'!AS72+'Как есть'!AS81)</f>
        <v>0</v>
      </c>
      <c r="AS284" s="240">
        <f>('Как будет'!AT16+'Как будет'!AT44+'Как будет'!AT72+'Как будет'!AT25+'Как будет'!AT53+'Как будет'!AT81)-('Как есть'!AT16+'Как есть'!AT44+'Как есть'!AT72+'Как есть'!AT81)</f>
        <v>0</v>
      </c>
      <c r="AT284" s="240">
        <f>('Как будет'!AU16+'Как будет'!AU44+'Как будет'!AU72+'Как будет'!AU25+'Как будет'!AU53+'Как будет'!AU81)-('Как есть'!AU16+'Как есть'!AU44+'Как есть'!AU72+'Как есть'!AU81)</f>
        <v>0</v>
      </c>
      <c r="AU284" s="240">
        <f>('Как будет'!AV16+'Как будет'!AV44+'Как будет'!AV72+'Как будет'!AV25+'Как будет'!AV53+'Как будет'!AV81)-('Как есть'!AV16+'Как есть'!AV44+'Как есть'!AV72+'Как есть'!AV81)</f>
        <v>0</v>
      </c>
      <c r="AV284" s="240">
        <f>('Как будет'!AW16+'Как будет'!AW44+'Как будет'!AW72+'Как будет'!AW25+'Как будет'!AW53+'Как будет'!AW81)-('Как есть'!AW16+'Как есть'!AW44+'Как есть'!AW72+'Как есть'!AW81)</f>
        <v>0</v>
      </c>
      <c r="AW284" s="240">
        <f>('Как будет'!AX16+'Как будет'!AX44+'Как будет'!AX72+'Как будет'!AX25+'Как будет'!AX53+'Как будет'!AX81)-('Как есть'!AX16+'Как есть'!AX44+'Как есть'!AX72+'Как есть'!AX81)</f>
        <v>0</v>
      </c>
      <c r="AX284" s="240">
        <f>('Как будет'!AY16+'Как будет'!AY44+'Как будет'!AY72+'Как будет'!AY25+'Как будет'!AY53+'Как будет'!AY81)-('Как есть'!AY16+'Как есть'!AY44+'Как есть'!AY72+'Как есть'!AY81)</f>
        <v>0</v>
      </c>
      <c r="AY284" s="240">
        <f>('Как будет'!AZ16+'Как будет'!AZ44+'Как будет'!AZ72+'Как будет'!AZ25+'Как будет'!AZ53+'Как будет'!AZ81)-('Как есть'!AZ16+'Как есть'!AZ44+'Как есть'!AZ72+'Как есть'!AZ81)</f>
        <v>0</v>
      </c>
      <c r="AZ284" s="240">
        <f>('Как будет'!BA16+'Как будет'!BA44+'Как будет'!BA72+'Как будет'!BA25+'Как будет'!BA53+'Как будет'!BA81)-('Как есть'!BA16+'Как есть'!BA44+'Как есть'!BA72+'Как есть'!BA81)</f>
        <v>0</v>
      </c>
      <c r="BA284" s="240">
        <f>('Как будет'!BB16+'Как будет'!BB44+'Как будет'!BB72+'Как будет'!BB25+'Как будет'!BB53+'Как будет'!BB81)-('Как есть'!BB16+'Как есть'!BB44+'Как есть'!BB72+'Как есть'!BB81)</f>
        <v>0</v>
      </c>
      <c r="BB284" s="240">
        <f>('Как будет'!BC16+'Как будет'!BC44+'Как будет'!BC72+'Как будет'!BC25+'Как будет'!BC53+'Как будет'!BC81)-('Как есть'!BC16+'Как есть'!BC44+'Как есть'!BC72+'Как есть'!BC81)</f>
        <v>0</v>
      </c>
      <c r="BC284" s="240">
        <f>('Как будет'!BD16+'Как будет'!BD44+'Как будет'!BD72+'Как будет'!BD25+'Как будет'!BD53+'Как будет'!BD81)-('Как есть'!BD16+'Как есть'!BD44+'Как есть'!BD72+'Как есть'!BD81)</f>
        <v>0</v>
      </c>
      <c r="BD284" s="240">
        <f>('Как будет'!BE16+'Как будет'!BE44+'Как будет'!BE72+'Как будет'!BE25+'Как будет'!BE53+'Как будет'!BE81)-('Как есть'!BE16+'Как есть'!BE44+'Как есть'!BE72+'Как есть'!BE81)</f>
        <v>0</v>
      </c>
      <c r="BE284" s="240">
        <f>('Как будет'!BF16+'Как будет'!BF44+'Как будет'!BF72+'Как будет'!BF25+'Как будет'!BF53+'Как будет'!BF81)-('Как есть'!BF16+'Как есть'!BF44+'Как есть'!BF72+'Как есть'!BF81)</f>
        <v>0</v>
      </c>
      <c r="BF284" s="240">
        <f>('Как будет'!BG16+'Как будет'!BG44+'Как будет'!BG72+'Как будет'!BG25+'Как будет'!BG53+'Как будет'!BG81)-('Как есть'!BG16+'Как есть'!BG44+'Как есть'!BG72+'Как есть'!BG81)</f>
        <v>0</v>
      </c>
      <c r="BG284" s="240">
        <f>('Как будет'!BH16+'Как будет'!BH44+'Как будет'!BH72+'Как будет'!BH25+'Как будет'!BH53+'Как будет'!BH81)-('Как есть'!BH16+'Как есть'!BH44+'Как есть'!BH72+'Как есть'!BH81)</f>
        <v>0</v>
      </c>
      <c r="BH284" s="240">
        <f>('Как будет'!BI16+'Как будет'!BI44+'Как будет'!BI72+'Как будет'!BI25+'Как будет'!BI53+'Как будет'!BI81)-('Как есть'!BI16+'Как есть'!BI44+'Как есть'!BI72+'Как есть'!BI81)</f>
        <v>0</v>
      </c>
      <c r="BI284" s="240">
        <f>('Как будет'!BJ16+'Как будет'!BJ44+'Как будет'!BJ72+'Как будет'!BJ25+'Как будет'!BJ53+'Как будет'!BJ81)-('Как есть'!BJ16+'Как есть'!BJ44+'Как есть'!BJ72+'Как есть'!BJ81)</f>
        <v>0</v>
      </c>
      <c r="BJ284" s="240">
        <f>('Как будет'!BK16+'Как будет'!BK44+'Как будет'!BK72+'Как будет'!BK25+'Как будет'!BK53+'Как будет'!BK81)-('Как есть'!BK16+'Как есть'!BK44+'Как есть'!BK72+'Как есть'!BK81)</f>
        <v>0</v>
      </c>
      <c r="BK284" s="240">
        <f>('Как будет'!BL16+'Как будет'!BL44+'Как будет'!BL72+'Как будет'!BL25+'Как будет'!BL53+'Как будет'!BL81)-('Как есть'!BL16+'Как есть'!BL44+'Как есть'!BL72+'Как есть'!BL81)</f>
        <v>0</v>
      </c>
      <c r="BL284" s="240">
        <f>('Как будет'!BM16+'Как будет'!BM44+'Как будет'!BM72+'Как будет'!BM25+'Как будет'!BM53+'Как будет'!BM81)-('Как есть'!BM16+'Как есть'!BM44+'Как есть'!BM72+'Как есть'!BM81)</f>
        <v>0</v>
      </c>
      <c r="BM284" s="240">
        <f>('Как будет'!BN16+'Как будет'!BN44+'Как будет'!BN72+'Как будет'!BN25+'Как будет'!BN53+'Как будет'!BN81)-('Как есть'!BN16+'Как есть'!BN44+'Как есть'!BN72+'Как есть'!BN81)</f>
        <v>0</v>
      </c>
      <c r="BN284" s="240">
        <f>('Как будет'!BO16+'Как будет'!BO44+'Как будет'!BO72+'Как будет'!BO25+'Как будет'!BO53+'Как будет'!BO81)-('Как есть'!BO16+'Как есть'!BO44+'Как есть'!BO72+'Как есть'!BO81)</f>
        <v>0</v>
      </c>
      <c r="BO284" s="240">
        <f>('Как будет'!BP16+'Как будет'!BP44+'Как будет'!BP72+'Как будет'!BP25+'Как будет'!BP53+'Как будет'!BP81)-('Как есть'!BP16+'Как есть'!BP44+'Как есть'!BP72+'Как есть'!BP81)</f>
        <v>0</v>
      </c>
      <c r="BP284" s="240">
        <f>('Как будет'!BQ16+'Как будет'!BQ44+'Как будет'!BQ72+'Как будет'!BQ25+'Как будет'!BQ53+'Как будет'!BQ81)-('Как есть'!BQ16+'Как есть'!BQ44+'Как есть'!BQ72+'Как есть'!BQ81)</f>
        <v>0</v>
      </c>
      <c r="BQ284" s="240">
        <f>('Как будет'!BR16+'Как будет'!BR44+'Как будет'!BR72+'Как будет'!BR25+'Как будет'!BR53+'Как будет'!BR81)-('Как есть'!BR16+'Как есть'!BR44+'Как есть'!BR72+'Как есть'!BR81)</f>
        <v>0</v>
      </c>
      <c r="BR284" s="240">
        <f>('Как будет'!BS16+'Как будет'!BS44+'Как будет'!BS72+'Как будет'!BS25+'Как будет'!BS53+'Как будет'!BS81)-('Как есть'!BS16+'Как есть'!BS44+'Как есть'!BS72+'Как есть'!BS81)</f>
        <v>0</v>
      </c>
      <c r="BS284" s="240">
        <f>('Как будет'!BT16+'Как будет'!BT44+'Как будет'!BT72+'Как будет'!BT25+'Как будет'!BT53+'Как будет'!BT81)-('Как есть'!BT16+'Как есть'!BT44+'Как есть'!BT72+'Как есть'!BT81)</f>
        <v>0</v>
      </c>
      <c r="BT284" s="240">
        <f>('Как будет'!BU16+'Как будет'!BU44+'Как будет'!BU72+'Как будет'!BU25+'Как будет'!BU53+'Как будет'!BU81)-('Как есть'!BU16+'Как есть'!BU44+'Как есть'!BU72+'Как есть'!BU81)</f>
        <v>0</v>
      </c>
      <c r="BU284" s="240">
        <f>('Как будет'!BV16+'Как будет'!BV44+'Как будет'!BV72+'Как будет'!BV25+'Как будет'!BV53+'Как будет'!BV81)-('Как есть'!BV16+'Как есть'!BV44+'Как есть'!BV72+'Как есть'!BV81)</f>
        <v>0</v>
      </c>
      <c r="BV284" s="240">
        <f>('Как будет'!BW16+'Как будет'!BW44+'Как будет'!BW72+'Как будет'!BW25+'Как будет'!BW53+'Как будет'!BW81)-('Как есть'!BW16+'Как есть'!BW44+'Как есть'!BW72+'Как есть'!BW81)</f>
        <v>0</v>
      </c>
      <c r="BW284" s="240">
        <f>('Как будет'!BX16+'Как будет'!BX44+'Как будет'!BX72+'Как будет'!BX25+'Как будет'!BX53+'Как будет'!BX81)-('Как есть'!BX16+'Как есть'!BX44+'Как есть'!BX72+'Как есть'!BX81)</f>
        <v>0</v>
      </c>
      <c r="BX284" s="240">
        <f>('Как будет'!BY16+'Как будет'!BY44+'Как будет'!BY72+'Как будет'!BY25+'Как будет'!BY53+'Как будет'!BY81)-('Как есть'!BY16+'Как есть'!BY44+'Как есть'!BY72+'Как есть'!BY81)</f>
        <v>0</v>
      </c>
      <c r="BY284" s="240">
        <f>('Как будет'!BZ16+'Как будет'!BZ44+'Как будет'!BZ72+'Как будет'!BZ25+'Как будет'!BZ53+'Как будет'!BZ81)-('Как есть'!BZ16+'Как есть'!BZ44+'Как есть'!BZ72+'Как есть'!BZ81)</f>
        <v>0</v>
      </c>
      <c r="BZ284" s="240">
        <f>('Как будет'!CA16+'Как будет'!CA44+'Как будет'!CA72+'Как будет'!CA25+'Как будет'!CA53+'Как будет'!CA81)-('Как есть'!CA16+'Как есть'!CA44+'Как есть'!CA72+'Как есть'!CA81)</f>
        <v>0</v>
      </c>
      <c r="CA284" s="240">
        <f>('Как будет'!CB16+'Как будет'!CB44+'Как будет'!CB72+'Как будет'!CB25+'Как будет'!CB53+'Как будет'!CB81)-('Как есть'!CB16+'Как есть'!CB44+'Как есть'!CB72+'Как есть'!CB81)</f>
        <v>0</v>
      </c>
      <c r="CB284" s="240">
        <f>('Как будет'!CC16+'Как будет'!CC44+'Как будет'!CC72+'Как будет'!CC25+'Как будет'!CC53+'Как будет'!CC81)-('Как есть'!CC16+'Как есть'!CC44+'Как есть'!CC72+'Как есть'!CC81)</f>
        <v>0</v>
      </c>
      <c r="CC284" s="240">
        <f>('Как будет'!CD16+'Как будет'!CD44+'Как будет'!CD72+'Как будет'!CD25+'Как будет'!CD53+'Как будет'!CD81)-('Как есть'!CD16+'Как есть'!CD44+'Как есть'!CD72+'Как есть'!CD81)</f>
        <v>0</v>
      </c>
      <c r="CD284" s="240">
        <f>('Как будет'!CE16+'Как будет'!CE44+'Как будет'!CE72+'Как будет'!CE25+'Как будет'!CE53+'Как будет'!CE81)-('Как есть'!CE16+'Как есть'!CE44+'Как есть'!CE72+'Как есть'!CE81)</f>
        <v>0</v>
      </c>
      <c r="CE284" s="240">
        <f>('Как будет'!CF16+'Как будет'!CF44+'Как будет'!CF72+'Как будет'!CF25+'Как будет'!CF53+'Как будет'!CF81)-('Как есть'!CF16+'Как есть'!CF44+'Как есть'!CF72+'Как есть'!CF81)</f>
        <v>0</v>
      </c>
      <c r="CF284" s="240">
        <f>('Как будет'!CG16+'Как будет'!CG44+'Как будет'!CG72+'Как будет'!CG25+'Как будет'!CG53+'Как будет'!CG81)-('Как есть'!CG16+'Как есть'!CG44+'Как есть'!CG72+'Как есть'!CG81)</f>
        <v>0</v>
      </c>
      <c r="CG284" s="240">
        <f>('Как будет'!CH16+'Как будет'!CH44+'Как будет'!CH72+'Как будет'!CH25+'Как будет'!CH53+'Как будет'!CH81)-('Как есть'!CH16+'Как есть'!CH44+'Как есть'!CH72+'Как есть'!CH81)</f>
        <v>0</v>
      </c>
      <c r="CH284" s="240">
        <f>('Как будет'!CI16+'Как будет'!CI44+'Как будет'!CI72+'Как будет'!CI25+'Как будет'!CI53+'Как будет'!CI81)-('Как есть'!CI16+'Как есть'!CI44+'Как есть'!CI72+'Как есть'!CI81)</f>
        <v>0</v>
      </c>
      <c r="CI284" s="240">
        <f>('Как будет'!CJ16+'Как будет'!CJ44+'Как будет'!CJ72+'Как будет'!CJ25+'Как будет'!CJ53+'Как будет'!CJ81)-('Как есть'!CJ16+'Как есть'!CJ44+'Как есть'!CJ72+'Как есть'!CJ81)</f>
        <v>0</v>
      </c>
      <c r="CJ284" s="240">
        <f>('Как будет'!CK16+'Как будет'!CK44+'Как будет'!CK72+'Как будет'!CK25+'Как будет'!CK53+'Как будет'!CK81)-('Как есть'!CK16+'Как есть'!CK44+'Как есть'!CK72+'Как есть'!CK81)</f>
        <v>0</v>
      </c>
      <c r="CK284" s="240">
        <f>('Как будет'!CL16+'Как будет'!CL44+'Как будет'!CL72+'Как будет'!CL25+'Как будет'!CL53+'Как будет'!CL81)-('Как есть'!CL16+'Как есть'!CL44+'Как есть'!CL72+'Как есть'!CL81)</f>
        <v>0</v>
      </c>
      <c r="CL284" s="240">
        <f>('Как будет'!CM16+'Как будет'!CM44+'Как будет'!CM72+'Как будет'!CM25+'Как будет'!CM53+'Как будет'!CM81)-('Как есть'!CM16+'Как есть'!CM44+'Как есть'!CM72+'Как есть'!CM81)</f>
        <v>0</v>
      </c>
      <c r="CM284" s="240">
        <f>('Как будет'!CN16+'Как будет'!CN44+'Как будет'!CN72+'Как будет'!CN25+'Как будет'!CN53+'Как будет'!CN81)-('Как есть'!CN16+'Как есть'!CN44+'Как есть'!CN72+'Как есть'!CN81)</f>
        <v>0</v>
      </c>
      <c r="CN284" s="240">
        <f>('Как будет'!CO16+'Как будет'!CO44+'Как будет'!CO72+'Как будет'!CO25+'Как будет'!CO53+'Как будет'!CO81)-('Как есть'!CO16+'Как есть'!CO44+'Как есть'!CO72+'Как есть'!CO81)</f>
        <v>0</v>
      </c>
      <c r="CO284" s="240">
        <f>('Как будет'!CP16+'Как будет'!CP44+'Как будет'!CP72+'Как будет'!CP25+'Как будет'!CP53+'Как будет'!CP81)-('Как есть'!CP16+'Как есть'!CP44+'Как есть'!CP72+'Как есть'!CP81)</f>
        <v>0</v>
      </c>
      <c r="CP284" s="240">
        <f>('Как будет'!CQ16+'Как будет'!CQ44+'Как будет'!CQ72+'Как будет'!CQ25+'Как будет'!CQ53+'Как будет'!CQ81)-('Как есть'!CQ16+'Как есть'!CQ44+'Как есть'!CQ72+'Как есть'!CQ81)</f>
        <v>0</v>
      </c>
      <c r="CQ284" s="240">
        <f>('Как будет'!CR16+'Как будет'!CR44+'Как будет'!CR72+'Как будет'!CR25+'Как будет'!CR53+'Как будет'!CR81)-('Как есть'!CR16+'Как есть'!CR44+'Как есть'!CR72+'Как есть'!CR81)</f>
        <v>0</v>
      </c>
      <c r="CR284" s="240">
        <f>('Как будет'!CS16+'Как будет'!CS44+'Как будет'!CS72+'Как будет'!CS25+'Как будет'!CS53+'Как будет'!CS81)-('Как есть'!CS16+'Как есть'!CS44+'Как есть'!CS72+'Как есть'!CS81)</f>
        <v>0</v>
      </c>
      <c r="CS284" s="240">
        <f>('Как будет'!CT16+'Как будет'!CT44+'Как будет'!CT72+'Как будет'!CT25+'Как будет'!CT53+'Как будет'!CT81)-('Как есть'!CT16+'Как есть'!CT44+'Как есть'!CT72+'Как есть'!CT81)</f>
        <v>0</v>
      </c>
      <c r="CT284" s="240">
        <f>('Как будет'!CU16+'Как будет'!CU44+'Как будет'!CU72+'Как будет'!CU25+'Как будет'!CU53+'Как будет'!CU81)-('Как есть'!CU16+'Как есть'!CU44+'Как есть'!CU72+'Как есть'!CU81)</f>
        <v>0</v>
      </c>
      <c r="CU284" s="240">
        <f>('Как будет'!CV16+'Как будет'!CV44+'Как будет'!CV72+'Как будет'!CV25+'Как будет'!CV53+'Как будет'!CV81)-('Как есть'!CV16+'Как есть'!CV44+'Как есть'!CV72+'Как есть'!CV81)</f>
        <v>0</v>
      </c>
      <c r="CV284" s="240">
        <f>('Как будет'!CW16+'Как будет'!CW44+'Как будет'!CW72+'Как будет'!CW25+'Как будет'!CW53+'Как будет'!CW81)-('Как есть'!CW16+'Как есть'!CW44+'Как есть'!CW72+'Как есть'!CW81)</f>
        <v>0</v>
      </c>
      <c r="CW284" s="240">
        <f>('Как будет'!CX16+'Как будет'!CX44+'Как будет'!CX72+'Как будет'!CX25+'Как будет'!CX53+'Как будет'!CX81)-('Как есть'!CX16+'Как есть'!CX44+'Как есть'!CX72+'Как есть'!CX81)</f>
        <v>0</v>
      </c>
      <c r="CX284" s="240">
        <f>('Как будет'!CY16+'Как будет'!CY44+'Как будет'!CY72+'Как будет'!CY25+'Как будет'!CY53+'Как будет'!CY81)-('Как есть'!CY16+'Как есть'!CY44+'Как есть'!CY72+'Как есть'!CY81)</f>
        <v>0</v>
      </c>
      <c r="CY284" s="240">
        <f>('Как будет'!CZ16+'Как будет'!CZ44+'Как будет'!CZ72+'Как будет'!CZ25+'Как будет'!CZ53+'Как будет'!CZ81)-('Как есть'!CZ16+'Как есть'!CZ44+'Как есть'!CZ72+'Как есть'!CZ81)</f>
        <v>0</v>
      </c>
      <c r="CZ284" s="240">
        <f>('Как будет'!DA16+'Как будет'!DA44+'Как будет'!DA72+'Как будет'!DA25+'Как будет'!DA53+'Как будет'!DA81)-('Как есть'!DA16+'Как есть'!DA44+'Как есть'!DA72+'Как есть'!DA81)</f>
        <v>0</v>
      </c>
      <c r="DA284" s="240">
        <f>('Как будет'!DB16+'Как будет'!DB44+'Как будет'!DB72+'Как будет'!DB25+'Как будет'!DB53+'Как будет'!DB81)-('Как есть'!DB16+'Как есть'!DB44+'Как есть'!DB72+'Как есть'!DB81)</f>
        <v>0</v>
      </c>
      <c r="DB284" s="240">
        <f>('Как будет'!DC16+'Как будет'!DC44+'Как будет'!DC72+'Как будет'!DC25+'Как будет'!DC53+'Как будет'!DC81)-('Как есть'!DC16+'Как есть'!DC44+'Как есть'!DC72+'Как есть'!DC81)</f>
        <v>0</v>
      </c>
      <c r="DC284" s="240">
        <f>('Как будет'!DD16+'Как будет'!DD44+'Как будет'!DD72+'Как будет'!DD25+'Как будет'!DD53+'Как будет'!DD81)-('Как есть'!DD16+'Как есть'!DD44+'Как есть'!DD72+'Как есть'!DD81)</f>
        <v>0</v>
      </c>
      <c r="DD284" s="240">
        <f>('Как будет'!DE16+'Как будет'!DE44+'Как будет'!DE72+'Как будет'!DE25+'Как будет'!DE53+'Как будет'!DE81)-('Как есть'!DE16+'Как есть'!DE44+'Как есть'!DE72+'Как есть'!DE81)</f>
        <v>0</v>
      </c>
      <c r="DE284" s="240">
        <f>('Как будет'!DF16+'Как будет'!DF44+'Как будет'!DF72+'Как будет'!DF25+'Как будет'!DF53+'Как будет'!DF81)-('Как есть'!DF16+'Как есть'!DF44+'Как есть'!DF72+'Как есть'!DF81)</f>
        <v>0</v>
      </c>
      <c r="DF284" s="240">
        <f>('Как будет'!DG16+'Как будет'!DG44+'Как будет'!DG72+'Как будет'!DG25+'Как будет'!DG53+'Как будет'!DG81)-('Как есть'!DG16+'Как есть'!DG44+'Как есть'!DG72+'Как есть'!DG81)</f>
        <v>0</v>
      </c>
      <c r="DG284" s="240">
        <f>('Как будет'!DH16+'Как будет'!DH44+'Как будет'!DH72+'Как будет'!DH25+'Как будет'!DH53+'Как будет'!DH81)-('Как есть'!DH16+'Как есть'!DH44+'Как есть'!DH72+'Как есть'!DH81)</f>
        <v>0</v>
      </c>
      <c r="DH284" s="240">
        <f>('Как будет'!DI16+'Как будет'!DI44+'Как будет'!DI72+'Как будет'!DI25+'Как будет'!DI53+'Как будет'!DI81)-('Как есть'!DI16+'Как есть'!DI44+'Как есть'!DI72+'Как есть'!DI81)</f>
        <v>0</v>
      </c>
      <c r="DI284" s="240">
        <f>('Как будет'!DJ16+'Как будет'!DJ44+'Как будет'!DJ72+'Как будет'!DJ25+'Как будет'!DJ53+'Как будет'!DJ81)-('Как есть'!DJ16+'Как есть'!DJ44+'Как есть'!DJ72+'Как есть'!DJ81)</f>
        <v>0</v>
      </c>
      <c r="DJ284" s="240">
        <f>('Как будет'!DK16+'Как будет'!DK44+'Как будет'!DK72+'Как будет'!DK25+'Как будет'!DK53+'Как будет'!DK81)-('Как есть'!DK16+'Как есть'!DK44+'Как есть'!DK72+'Как есть'!DK81)</f>
        <v>0</v>
      </c>
      <c r="DK284" s="240">
        <f>('Как будет'!DL16+'Как будет'!DL44+'Как будет'!DL72+'Как будет'!DL25+'Как будет'!DL53+'Как будет'!DL81)-('Как есть'!DL16+'Как есть'!DL44+'Как есть'!DL72+'Как есть'!DL81)</f>
        <v>0</v>
      </c>
      <c r="DL284" s="240">
        <f>('Как будет'!DM16+'Как будет'!DM44+'Как будет'!DM72+'Как будет'!DM25+'Как будет'!DM53+'Как будет'!DM81)-('Как есть'!DM16+'Как есть'!DM44+'Как есть'!DM72+'Как есть'!DM81)</f>
        <v>0</v>
      </c>
      <c r="DM284" s="240">
        <f>('Как будет'!DN16+'Как будет'!DN44+'Как будет'!DN72+'Как будет'!DN25+'Как будет'!DN53+'Как будет'!DN81)-('Как есть'!DN16+'Как есть'!DN44+'Как есть'!DN72+'Как есть'!DN81)</f>
        <v>0</v>
      </c>
      <c r="DN284" s="240">
        <f>('Как будет'!DO16+'Как будет'!DO44+'Как будет'!DO72+'Как будет'!DO25+'Как будет'!DO53+'Как будет'!DO81)-('Как есть'!DO16+'Как есть'!DO44+'Как есть'!DO72+'Как есть'!DO81)</f>
        <v>0</v>
      </c>
      <c r="DO284" s="240">
        <f>('Как будет'!DP16+'Как будет'!DP44+'Как будет'!DP72+'Как будет'!DP25+'Как будет'!DP53+'Как будет'!DP81)-('Как есть'!DP16+'Как есть'!DP44+'Как есть'!DP72+'Как есть'!DP81)</f>
        <v>0</v>
      </c>
      <c r="DP284" s="240">
        <f>('Как будет'!DQ16+'Как будет'!DQ44+'Как будет'!DQ72+'Как будет'!DQ25+'Как будет'!DQ53+'Как будет'!DQ81)-('Как есть'!DQ16+'Как есть'!DQ44+'Как есть'!DQ72+'Как есть'!DQ81)</f>
        <v>0</v>
      </c>
      <c r="DQ284" s="240">
        <f>('Как будет'!DR16+'Как будет'!DR44+'Как будет'!DR72+'Как будет'!DR25+'Как будет'!DR53+'Как будет'!DR81)-('Как есть'!DR16+'Как есть'!DR44+'Как есть'!DR72+'Как есть'!DR81)</f>
        <v>0</v>
      </c>
      <c r="DR284" s="240">
        <f>('Как будет'!DS16+'Как будет'!DS44+'Как будет'!DS72+'Как будет'!DS25+'Как будет'!DS53+'Как будет'!DS81)-('Как есть'!DS16+'Как есть'!DS44+'Как есть'!DS72+'Как есть'!DS81)</f>
        <v>0</v>
      </c>
      <c r="DS284" s="240">
        <f>('Как будет'!DT16+'Как будет'!DT44+'Как будет'!DT72+'Как будет'!DT25+'Как будет'!DT53+'Как будет'!DT81)-('Как есть'!DT16+'Как есть'!DT44+'Как есть'!DT72+'Как есть'!DT81)</f>
        <v>0</v>
      </c>
      <c r="DT284" s="240">
        <f>('Как будет'!DU16+'Как будет'!DU44+'Как будет'!DU72+'Как будет'!DU25+'Как будет'!DU53+'Как будет'!DU81)-('Как есть'!DU16+'Как есть'!DU44+'Как есть'!DU72+'Как есть'!DU81)</f>
        <v>0</v>
      </c>
      <c r="DU284" s="240">
        <f>('Как будет'!DV16+'Как будет'!DV44+'Как будет'!DV72+'Как будет'!DV25+'Как будет'!DV53+'Как будет'!DV81)-('Как есть'!DV16+'Как есть'!DV44+'Как есть'!DV72+'Как есть'!DV81)</f>
        <v>0</v>
      </c>
      <c r="DV284" s="240">
        <f>('Как будет'!DW16+'Как будет'!DW44+'Как будет'!DW72+'Как будет'!DW25+'Как будет'!DW53+'Как будет'!DW81)-('Как есть'!DW16+'Как есть'!DW44+'Как есть'!DW72+'Как есть'!DW81)</f>
        <v>0</v>
      </c>
      <c r="DW284" s="240">
        <f>('Как будет'!DX16+'Как будет'!DX44+'Как будет'!DX72+'Как будет'!DX25+'Как будет'!DX53+'Как будет'!DX81)-('Как есть'!DX16+'Как есть'!DX44+'Как есть'!DX72+'Как есть'!DX81)</f>
        <v>0</v>
      </c>
      <c r="DX284" s="240">
        <f>('Как будет'!DY16+'Как будет'!DY44+'Как будет'!DY72+'Как будет'!DY25+'Как будет'!DY53+'Как будет'!DY81)-('Как есть'!DY16+'Как есть'!DY44+'Как есть'!DY72+'Как есть'!DY81)</f>
        <v>0</v>
      </c>
      <c r="DY284" s="240">
        <f>('Как будет'!DZ16+'Как будет'!DZ44+'Как будет'!DZ72+'Как будет'!DZ25+'Как будет'!DZ53+'Как будет'!DZ81)-('Как есть'!DZ16+'Как есть'!DZ44+'Как есть'!DZ72+'Как есть'!DZ81)</f>
        <v>0</v>
      </c>
      <c r="DZ284" s="240">
        <f>('Как будет'!EA16+'Как будет'!EA44+'Как будет'!EA72+'Как будет'!EA25+'Как будет'!EA53+'Как будет'!EA81)-('Как есть'!EA16+'Как есть'!EA44+'Как есть'!EA72+'Как есть'!EA81)</f>
        <v>0</v>
      </c>
      <c r="EA284" s="240">
        <f>('Как будет'!EB16+'Как будет'!EB44+'Как будет'!EB72+'Как будет'!EB25+'Как будет'!EB53+'Как будет'!EB81)-('Как есть'!EB16+'Как есть'!EB44+'Как есть'!EB72+'Как есть'!EB81)</f>
        <v>0</v>
      </c>
      <c r="EB284" s="240">
        <f>('Как будет'!EC16+'Как будет'!EC44+'Как будет'!EC72+'Как будет'!EC25+'Как будет'!EC53+'Как будет'!EC81)-('Как есть'!EC16+'Как есть'!EC44+'Как есть'!EC72+'Как есть'!EC81)</f>
        <v>0</v>
      </c>
      <c r="EC284" s="240">
        <f>('Как будет'!ED16+'Как будет'!ED44+'Как будет'!ED72+'Как будет'!ED25+'Как будет'!ED53+'Как будет'!ED81)-('Как есть'!ED16+'Как есть'!ED44+'Как есть'!ED72+'Как есть'!ED81)</f>
        <v>0</v>
      </c>
      <c r="ED284" s="240">
        <f>('Как будет'!EE16+'Как будет'!EE44+'Как будет'!EE72+'Как будет'!EE25+'Как будет'!EE53+'Как будет'!EE81)-('Как есть'!EE16+'Как есть'!EE44+'Как есть'!EE72+'Как есть'!EE81)</f>
        <v>0</v>
      </c>
      <c r="EE284" s="240">
        <f>('Как будет'!EF16+'Как будет'!EF44+'Как будет'!EF72+'Как будет'!EF25+'Как будет'!EF53+'Как будет'!EF81)-('Как есть'!EF16+'Как есть'!EF44+'Как есть'!EF72+'Как есть'!EF81)</f>
        <v>0</v>
      </c>
      <c r="EF284" s="240">
        <f>('Как будет'!EG16+'Как будет'!EG44+'Как будет'!EG72+'Как будет'!EG25+'Как будет'!EG53+'Как будет'!EG81)-('Как есть'!EG16+'Как есть'!EG44+'Как есть'!EG72+'Как есть'!EG81)</f>
        <v>0</v>
      </c>
      <c r="EG284" s="240">
        <f>('Как будет'!EH16+'Как будет'!EH44+'Как будет'!EH72+'Как будет'!EH25+'Как будет'!EH53+'Как будет'!EH81)-('Как есть'!EH16+'Как есть'!EH44+'Как есть'!EH72+'Как есть'!EH81)</f>
        <v>0</v>
      </c>
      <c r="EH284" s="240">
        <f>('Как будет'!EI16+'Как будет'!EI44+'Как будет'!EI72+'Как будет'!EI25+'Как будет'!EI53+'Как будет'!EI81)-('Как есть'!EI16+'Как есть'!EI44+'Как есть'!EI72+'Как есть'!EI81)</f>
        <v>0</v>
      </c>
      <c r="EI284" s="240">
        <f>('Как будет'!EJ16+'Как будет'!EJ44+'Как будет'!EJ72+'Как будет'!EJ25+'Как будет'!EJ53+'Как будет'!EJ81)-('Как есть'!EJ16+'Как есть'!EJ44+'Как есть'!EJ72+'Как есть'!EJ81)</f>
        <v>0</v>
      </c>
      <c r="EJ284" s="240">
        <f>('Как будет'!EK16+'Как будет'!EK44+'Как будет'!EK72+'Как будет'!EK25+'Как будет'!EK53+'Как будет'!EK81)-('Как есть'!EK16+'Как есть'!EK44+'Как есть'!EK72+'Как есть'!EK81)</f>
        <v>0</v>
      </c>
      <c r="EK284" s="240">
        <f>('Как будет'!EL16+'Как будет'!EL44+'Как будет'!EL72+'Как будет'!EL25+'Как будет'!EL53+'Как будет'!EL81)-('Как есть'!EL16+'Как есть'!EL44+'Как есть'!EL72+'Как есть'!EL81)</f>
        <v>0</v>
      </c>
      <c r="EL284" s="240">
        <f>('Как будет'!EM16+'Как будет'!EM44+'Как будет'!EM72+'Как будет'!EM25+'Как будет'!EM53+'Как будет'!EM81)-('Как есть'!EM16+'Как есть'!EM44+'Как есть'!EM72+'Как есть'!EM81)</f>
        <v>0</v>
      </c>
      <c r="EM284" s="240">
        <f>('Как будет'!EN16+'Как будет'!EN44+'Как будет'!EN72+'Как будет'!EN25+'Как будет'!EN53+'Как будет'!EN81)-('Как есть'!EN16+'Как есть'!EN44+'Как есть'!EN72+'Как есть'!EN81)</f>
        <v>0</v>
      </c>
      <c r="EN284" s="240">
        <f>('Как будет'!EO16+'Как будет'!EO44+'Как будет'!EO72+'Как будет'!EO25+'Как будет'!EO53+'Как будет'!EO81)-('Как есть'!EO16+'Как есть'!EO44+'Как есть'!EO72+'Как есть'!EO81)</f>
        <v>0</v>
      </c>
      <c r="EO284" s="240">
        <f>('Как будет'!EP16+'Как будет'!EP44+'Как будет'!EP72+'Как будет'!EP25+'Как будет'!EP53+'Как будет'!EP81)-('Как есть'!EP16+'Как есть'!EP44+'Как есть'!EP72+'Как есть'!EP81)</f>
        <v>0</v>
      </c>
      <c r="EP284" s="240">
        <f>('Как будет'!EQ16+'Как будет'!EQ44+'Как будет'!EQ72+'Как будет'!EQ25+'Как будет'!EQ53+'Как будет'!EQ81)-('Как есть'!EQ16+'Как есть'!EQ44+'Как есть'!EQ72+'Как есть'!EQ81)</f>
        <v>0</v>
      </c>
      <c r="EQ284" s="240">
        <f>('Как будет'!ER16+'Как будет'!ER44+'Как будет'!ER72+'Как будет'!ER25+'Как будет'!ER53+'Как будет'!ER81)-('Как есть'!ER16+'Как есть'!ER44+'Как есть'!ER72+'Как есть'!ER81)</f>
        <v>0</v>
      </c>
      <c r="ER284" s="240">
        <f>('Как будет'!ES16+'Как будет'!ES44+'Как будет'!ES72+'Как будет'!ES25+'Как будет'!ES53+'Как будет'!ES81)-('Как есть'!ES16+'Как есть'!ES44+'Как есть'!ES72+'Как есть'!ES81)</f>
        <v>0</v>
      </c>
      <c r="ES284" s="240">
        <f>('Как будет'!ET16+'Как будет'!ET44+'Как будет'!ET72+'Как будет'!ET25+'Как будет'!ET53+'Как будет'!ET81)-('Как есть'!ET16+'Как есть'!ET44+'Как есть'!ET72+'Как есть'!ET81)</f>
        <v>0</v>
      </c>
      <c r="ET284" s="240">
        <f>('Как будет'!EU16+'Как будет'!EU44+'Как будет'!EU72+'Как будет'!EU25+'Как будет'!EU53+'Как будет'!EU81)-('Как есть'!EU16+'Как есть'!EU44+'Как есть'!EU72+'Как есть'!EU81)</f>
        <v>0</v>
      </c>
      <c r="EU284" s="240">
        <f>('Как будет'!EV16+'Как будет'!EV44+'Как будет'!EV72+'Как будет'!EV25+'Как будет'!EV53+'Как будет'!EV81)-('Как есть'!EV16+'Как есть'!EV44+'Как есть'!EV72+'Как есть'!EV81)</f>
        <v>0</v>
      </c>
      <c r="EV284" s="240">
        <f>('Как будет'!EW16+'Как будет'!EW44+'Как будет'!EW72+'Как будет'!EW25+'Как будет'!EW53+'Как будет'!EW81)-('Как есть'!EW16+'Как есть'!EW44+'Как есть'!EW72+'Как есть'!EW81)</f>
        <v>0</v>
      </c>
      <c r="EW284" s="240">
        <f>('Как будет'!EX16+'Как будет'!EX44+'Как будет'!EX72+'Как будет'!EX25+'Как будет'!EX53+'Как будет'!EX81)-('Как есть'!EX16+'Как есть'!EX44+'Как есть'!EX72+'Как есть'!EX81)</f>
        <v>0</v>
      </c>
      <c r="EX284" s="240">
        <f>('Как будет'!EY16+'Как будет'!EY44+'Как будет'!EY72+'Как будет'!EY25+'Как будет'!EY53+'Как будет'!EY81)-('Как есть'!EY16+'Как есть'!EY44+'Как есть'!EY72+'Как есть'!EY81)</f>
        <v>0</v>
      </c>
      <c r="EY284" s="240">
        <f>('Как будет'!EZ16+'Как будет'!EZ44+'Как будет'!EZ72+'Как будет'!EZ25+'Как будет'!EZ53+'Как будет'!EZ81)-('Как есть'!EZ16+'Как есть'!EZ44+'Как есть'!EZ72+'Как есть'!EZ81)</f>
        <v>0</v>
      </c>
      <c r="EZ284" s="240">
        <f>('Как будет'!FA16+'Как будет'!FA44+'Как будет'!FA72+'Как будет'!FA25+'Как будет'!FA53+'Как будет'!FA81)-('Как есть'!FA16+'Как есть'!FA44+'Как есть'!FA72+'Как есть'!FA81)</f>
        <v>0</v>
      </c>
      <c r="FA284" s="240">
        <f>('Как будет'!FB16+'Как будет'!FB44+'Как будет'!FB72+'Как будет'!FB25+'Как будет'!FB53+'Как будет'!FB81)-('Как есть'!FB16+'Как есть'!FB44+'Как есть'!FB72+'Как есть'!FB81)</f>
        <v>0</v>
      </c>
      <c r="FB284" s="240">
        <f>('Как будет'!FC16+'Как будет'!FC44+'Как будет'!FC72+'Как будет'!FC25+'Как будет'!FC53+'Как будет'!FC81)-('Как есть'!FC16+'Как есть'!FC44+'Как есть'!FC72+'Как есть'!FC81)</f>
        <v>0</v>
      </c>
      <c r="FC284" s="240">
        <f>('Как будет'!FD16+'Как будет'!FD44+'Как будет'!FD72+'Как будет'!FD25+'Как будет'!FD53+'Как будет'!FD81)-('Как есть'!FD16+'Как есть'!FD44+'Как есть'!FD72+'Как есть'!FD81)</f>
        <v>0</v>
      </c>
      <c r="FD284" s="240">
        <f>('Как будет'!FE16+'Как будет'!FE44+'Как будет'!FE72+'Как будет'!FE25+'Как будет'!FE53+'Как будет'!FE81)-('Как есть'!FE16+'Как есть'!FE44+'Как есть'!FE72+'Как есть'!FE81)</f>
        <v>0</v>
      </c>
      <c r="FE284" s="240">
        <f>('Как будет'!FF16+'Как будет'!FF44+'Как будет'!FF72+'Как будет'!FF25+'Как будет'!FF53+'Как будет'!FF81)-('Как есть'!FF16+'Как есть'!FF44+'Как есть'!FF72+'Как есть'!FF81)</f>
        <v>0</v>
      </c>
      <c r="FF284" s="240">
        <f>('Как будет'!FG16+'Как будет'!FG44+'Как будет'!FG72+'Как будет'!FG25+'Как будет'!FG53+'Как будет'!FG81)-('Как есть'!FG16+'Как есть'!FG44+'Как есть'!FG72+'Как есть'!FG81)</f>
        <v>0</v>
      </c>
      <c r="FG284" s="240">
        <f>('Как будет'!FH16+'Как будет'!FH44+'Как будет'!FH72+'Как будет'!FH25+'Как будет'!FH53+'Как будет'!FH81)-('Как есть'!FH16+'Как есть'!FH44+'Как есть'!FH72+'Как есть'!FH81)</f>
        <v>0</v>
      </c>
      <c r="FH284" s="240">
        <f>('Как будет'!FI16+'Как будет'!FI44+'Как будет'!FI72+'Как будет'!FI25+'Как будет'!FI53+'Как будет'!FI81)-('Как есть'!FI16+'Как есть'!FI44+'Как есть'!FI72+'Как есть'!FI81)</f>
        <v>0</v>
      </c>
      <c r="FI284" s="240">
        <f>('Как будет'!FJ16+'Как будет'!FJ44+'Как будет'!FJ72+'Как будет'!FJ25+'Как будет'!FJ53+'Как будет'!FJ81)-('Как есть'!FJ16+'Как есть'!FJ44+'Как есть'!FJ72+'Как есть'!FJ81)</f>
        <v>0</v>
      </c>
      <c r="FJ284" s="240">
        <f>('Как будет'!FK16+'Как будет'!FK44+'Как будет'!FK72+'Как будет'!FK25+'Как будет'!FK53+'Как будет'!FK81)-('Как есть'!FK16+'Как есть'!FK44+'Как есть'!FK72+'Как есть'!FK81)</f>
        <v>0</v>
      </c>
      <c r="FK284" s="240">
        <f>('Как будет'!FL16+'Как будет'!FL44+'Как будет'!FL72+'Как будет'!FL25+'Как будет'!FL53+'Как будет'!FL81)-('Как есть'!FL16+'Как есть'!FL44+'Как есть'!FL72+'Как есть'!FL81)</f>
        <v>0</v>
      </c>
      <c r="FL284" s="240">
        <f>('Как будет'!FM16+'Как будет'!FM44+'Как будет'!FM72+'Как будет'!FM25+'Как будет'!FM53+'Как будет'!FM81)-('Как есть'!FM16+'Как есть'!FM44+'Как есть'!FM72+'Как есть'!FM81)</f>
        <v>0</v>
      </c>
      <c r="FM284" s="240">
        <f>('Как будет'!FN16+'Как будет'!FN44+'Как будет'!FN72+'Как будет'!FN25+'Как будет'!FN53+'Как будет'!FN81)-('Как есть'!FN16+'Как есть'!FN44+'Как есть'!FN72+'Как есть'!FN81)</f>
        <v>0</v>
      </c>
      <c r="FN284" s="240">
        <f>('Как будет'!FO16+'Как будет'!FO44+'Как будет'!FO72+'Как будет'!FO25+'Как будет'!FO53+'Как будет'!FO81)-('Как есть'!FO16+'Как есть'!FO44+'Как есть'!FO72+'Как есть'!FO81)</f>
        <v>0</v>
      </c>
      <c r="FO284" s="240">
        <f>('Как будет'!FP16+'Как будет'!FP44+'Как будет'!FP72+'Как будет'!FP25+'Как будет'!FP53+'Как будет'!FP81)-('Как есть'!FP16+'Как есть'!FP44+'Как есть'!FP72+'Как есть'!FP81)</f>
        <v>0</v>
      </c>
      <c r="FP284" s="240">
        <f>('Как будет'!FQ16+'Как будет'!FQ44+'Как будет'!FQ72+'Как будет'!FQ25+'Как будет'!FQ53+'Как будет'!FQ81)-('Как есть'!FQ16+'Как есть'!FQ44+'Как есть'!FQ72+'Как есть'!FQ81)</f>
        <v>0</v>
      </c>
      <c r="FQ284" s="240">
        <f>('Как будет'!FR16+'Как будет'!FR44+'Как будет'!FR72+'Как будет'!FR25+'Как будет'!FR53+'Как будет'!FR81)-('Как есть'!FR16+'Как есть'!FR44+'Как есть'!FR72+'Как есть'!FR81)</f>
        <v>0</v>
      </c>
      <c r="FR284" s="240">
        <f>('Как будет'!FS16+'Как будет'!FS44+'Как будет'!FS72+'Как будет'!FS25+'Как будет'!FS53+'Как будет'!FS81)-('Как есть'!FS16+'Как есть'!FS44+'Как есть'!FS72+'Как есть'!FS81)</f>
        <v>0</v>
      </c>
      <c r="FS284" s="240">
        <f>('Как будет'!FT16+'Как будет'!FT44+'Как будет'!FT72+'Как будет'!FT25+'Как будет'!FT53+'Как будет'!FT81)-('Как есть'!FT16+'Как есть'!FT44+'Как есть'!FT72+'Как есть'!FT81)</f>
        <v>0</v>
      </c>
      <c r="FT284" s="240">
        <f>('Как будет'!FU16+'Как будет'!FU44+'Как будет'!FU72+'Как будет'!FU25+'Как будет'!FU53+'Как будет'!FU81)-('Как есть'!FU16+'Как есть'!FU44+'Как есть'!FU72+'Как есть'!FU81)</f>
        <v>0</v>
      </c>
      <c r="FU284" s="240">
        <f>('Как будет'!FV16+'Как будет'!FV44+'Как будет'!FV72+'Как будет'!FV25+'Как будет'!FV53+'Как будет'!FV81)-('Как есть'!FV16+'Как есть'!FV44+'Как есть'!FV72+'Как есть'!FV81)</f>
        <v>0</v>
      </c>
      <c r="FV284" s="240">
        <f>('Как будет'!FW16+'Как будет'!FW44+'Как будет'!FW72+'Как будет'!FW25+'Как будет'!FW53+'Как будет'!FW81)-('Как есть'!FW16+'Как есть'!FW44+'Как есть'!FW72+'Как есть'!FW81)</f>
        <v>0</v>
      </c>
      <c r="FW284" s="240">
        <f>('Как будет'!FX16+'Как будет'!FX44+'Как будет'!FX72+'Как будет'!FX25+'Как будет'!FX53+'Как будет'!FX81)-('Как есть'!FX16+'Как есть'!FX44+'Как есть'!FX72+'Как есть'!FX81)</f>
        <v>0</v>
      </c>
      <c r="FX284" s="240">
        <f>('Как будет'!FY16+'Как будет'!FY44+'Как будет'!FY72+'Как будет'!FY25+'Как будет'!FY53+'Как будет'!FY81)-('Как есть'!FY16+'Как есть'!FY44+'Как есть'!FY72+'Как есть'!FY81)</f>
        <v>0</v>
      </c>
      <c r="FY284" s="240">
        <f>('Как будет'!FZ16+'Как будет'!FZ44+'Как будет'!FZ72+'Как будет'!FZ25+'Как будет'!FZ53+'Как будет'!FZ81)-('Как есть'!FZ16+'Как есть'!FZ44+'Как есть'!FZ72+'Как есть'!FZ81)</f>
        <v>0</v>
      </c>
      <c r="FZ284" s="240">
        <f>('Как будет'!GA16+'Как будет'!GA44+'Как будет'!GA72+'Как будет'!GA25+'Как будет'!GA53+'Как будет'!GA81)-('Как есть'!GA16+'Как есть'!GA44+'Как есть'!GA72+'Как есть'!GA81)</f>
        <v>0</v>
      </c>
      <c r="GA284" s="240">
        <f>('Как будет'!GB16+'Как будет'!GB44+'Как будет'!GB72+'Как будет'!GB25+'Как будет'!GB53+'Как будет'!GB81)-('Как есть'!GB16+'Как есть'!GB44+'Как есть'!GB72+'Как есть'!GB81)</f>
        <v>0</v>
      </c>
      <c r="GB284" s="240">
        <f>('Как будет'!GC16+'Как будет'!GC44+'Как будет'!GC72+'Как будет'!GC25+'Как будет'!GC53+'Как будет'!GC81)-('Как есть'!GC16+'Как есть'!GC44+'Как есть'!GC72+'Как есть'!GC81)</f>
        <v>0</v>
      </c>
      <c r="GC284" s="240">
        <f>('Как будет'!GD16+'Как будет'!GD44+'Как будет'!GD72+'Как будет'!GD25+'Как будет'!GD53+'Как будет'!GD81)-('Как есть'!GD16+'Как есть'!GD44+'Как есть'!GD72+'Как есть'!GD81)</f>
        <v>0</v>
      </c>
      <c r="GD284" s="240">
        <f>('Как будет'!GE16+'Как будет'!GE44+'Как будет'!GE72+'Как будет'!GE25+'Как будет'!GE53+'Как будет'!GE81)-('Как есть'!GE16+'Как есть'!GE44+'Как есть'!GE72+'Как есть'!GE81)</f>
        <v>0</v>
      </c>
      <c r="GE284" s="240">
        <f>('Как будет'!GF16+'Как будет'!GF44+'Как будет'!GF72+'Как будет'!GF25+'Как будет'!GF53+'Как будет'!GF81)-('Как есть'!GF16+'Как есть'!GF44+'Как есть'!GF72+'Как есть'!GF81)</f>
        <v>0</v>
      </c>
      <c r="GF284" s="240">
        <f>('Как будет'!GG16+'Как будет'!GG44+'Как будет'!GG72+'Как будет'!GG25+'Как будет'!GG53+'Как будет'!GG81)-('Как есть'!GG16+'Как есть'!GG44+'Как есть'!GG72+'Как есть'!GG81)</f>
        <v>0</v>
      </c>
      <c r="GG284" s="240">
        <f>('Как будет'!GH16+'Как будет'!GH44+'Как будет'!GH72+'Как будет'!GH25+'Как будет'!GH53+'Как будет'!GH81)-('Как есть'!GH16+'Как есть'!GH44+'Как есть'!GH72+'Как есть'!GH81)</f>
        <v>0</v>
      </c>
      <c r="GH284" s="240">
        <f>('Как будет'!GI16+'Как будет'!GI44+'Как будет'!GI72+'Как будет'!GI25+'Как будет'!GI53+'Как будет'!GI81)-('Как есть'!GI16+'Как есть'!GI44+'Как есть'!GI72+'Как есть'!GI81)</f>
        <v>0</v>
      </c>
      <c r="GI284" s="240">
        <f>('Как будет'!GJ16+'Как будет'!GJ44+'Как будет'!GJ72+'Как будет'!GJ25+'Как будет'!GJ53+'Как будет'!GJ81)-('Как есть'!GJ16+'Как есть'!GJ44+'Как есть'!GJ72+'Как есть'!GJ81)</f>
        <v>0</v>
      </c>
      <c r="GJ284" s="240">
        <f>('Как будет'!GK16+'Как будет'!GK44+'Как будет'!GK72+'Как будет'!GK25+'Как будет'!GK53+'Как будет'!GK81)-('Как есть'!GK16+'Как есть'!GK44+'Как есть'!GK72+'Как есть'!GK81)</f>
        <v>0</v>
      </c>
      <c r="GK284" s="240">
        <f>('Как будет'!GL16+'Как будет'!GL44+'Как будет'!GL72+'Как будет'!GL25+'Как будет'!GL53+'Как будет'!GL81)-('Как есть'!GL16+'Как есть'!GL44+'Как есть'!GL72+'Как есть'!GL81)</f>
        <v>0</v>
      </c>
      <c r="GL284" s="240">
        <f>('Как будет'!GM16+'Как будет'!GM44+'Как будет'!GM72+'Как будет'!GM25+'Как будет'!GM53+'Как будет'!GM81)-('Как есть'!GM16+'Как есть'!GM44+'Как есть'!GM72+'Как есть'!GM81)</f>
        <v>0</v>
      </c>
      <c r="GM284" s="240">
        <f>('Как будет'!GN16+'Как будет'!GN44+'Как будет'!GN72+'Как будет'!GN25+'Как будет'!GN53+'Как будет'!GN81)-('Как есть'!GN16+'Как есть'!GN44+'Как есть'!GN72+'Как есть'!GN81)</f>
        <v>0</v>
      </c>
      <c r="GN284" s="240">
        <f>('Как будет'!GO16+'Как будет'!GO44+'Как будет'!GO72+'Как будет'!GO25+'Как будет'!GO53+'Как будет'!GO81)-('Как есть'!GO16+'Как есть'!GO44+'Как есть'!GO72+'Как есть'!GO81)</f>
        <v>0</v>
      </c>
      <c r="GO284" s="240">
        <f>('Как будет'!GP16+'Как будет'!GP44+'Как будет'!GP72+'Как будет'!GP25+'Как будет'!GP53+'Как будет'!GP81)-('Как есть'!GP16+'Как есть'!GP44+'Как есть'!GP72+'Как есть'!GP81)</f>
        <v>0</v>
      </c>
      <c r="GP284" s="240">
        <f>('Как будет'!GQ16+'Как будет'!GQ44+'Как будет'!GQ72+'Как будет'!GQ25+'Как будет'!GQ53+'Как будет'!GQ81)-('Как есть'!GQ16+'Как есть'!GQ44+'Как есть'!GQ72+'Как есть'!GQ81)</f>
        <v>0</v>
      </c>
      <c r="GQ284" s="240">
        <f>('Как будет'!GR16+'Как будет'!GR44+'Как будет'!GR72+'Как будет'!GR25+'Как будет'!GR53+'Как будет'!GR81)-('Как есть'!GR16+'Как есть'!GR44+'Как есть'!GR72+'Как есть'!GR81)</f>
        <v>0</v>
      </c>
      <c r="GR284" s="240">
        <f>('Как будет'!GS16+'Как будет'!GS44+'Как будет'!GS72+'Как будет'!GS25+'Как будет'!GS53+'Как будет'!GS81)-('Как есть'!GS16+'Как есть'!GS44+'Как есть'!GS72+'Как есть'!GS81)</f>
        <v>0</v>
      </c>
      <c r="GS284" s="240">
        <f>('Как будет'!GT16+'Как будет'!GT44+'Как будет'!GT72+'Как будет'!GT25+'Как будет'!GT53+'Как будет'!GT81)-('Как есть'!GT16+'Как есть'!GT44+'Как есть'!GT72+'Как есть'!GT81)</f>
        <v>0</v>
      </c>
      <c r="GT284" s="240">
        <f>('Как будет'!GU16+'Как будет'!GU44+'Как будет'!GU72+'Как будет'!GU25+'Как будет'!GU53+'Как будет'!GU81)-('Как есть'!GU16+'Как есть'!GU44+'Как есть'!GU72+'Как есть'!GU81)</f>
        <v>0</v>
      </c>
    </row>
    <row r="285" spans="1:202" s="240" customFormat="1">
      <c r="A285" s="243" t="s">
        <v>35</v>
      </c>
      <c r="B285" s="240">
        <f>('Как будет'!C16+'Как будет'!C44+'Как будет'!C72)-('Как есть'!C16+'Как есть'!C44+'Как есть'!C72)</f>
        <v>-2011.3600000000001</v>
      </c>
      <c r="C285" s="240">
        <f>('Как будет'!D16+'Как будет'!D44+'Как будет'!D72)-('Как есть'!D16+'Как есть'!D44+'Как есть'!D72)</f>
        <v>-1048.44</v>
      </c>
      <c r="D285" s="240">
        <f>('Как будет'!E16+'Как будет'!E44+'Как будет'!E72)-('Как есть'!E16+'Как есть'!E44+'Как есть'!E72)</f>
        <v>-1520.3000000000002</v>
      </c>
      <c r="E285" s="240">
        <f>('Как будет'!F16+'Как будет'!F44+'Как будет'!F72)-('Как есть'!F16+'Как есть'!F44+'Как есть'!F72)</f>
        <v>-1283.74</v>
      </c>
      <c r="F285" s="240">
        <f>('Как будет'!G16+'Как будет'!G44+'Как будет'!G72)-('Как есть'!G16+'Как есть'!G44+'Как есть'!G72)</f>
        <v>-1014.9200000000001</v>
      </c>
      <c r="G285" s="240">
        <f>('Как будет'!H16+'Как будет'!H44+'Как будет'!H72)-('Как есть'!H16+'Как есть'!H44+'Как есть'!H72)</f>
        <v>-817.48</v>
      </c>
      <c r="H285" s="240">
        <f>('Как будет'!I16+'Как будет'!I44+'Как будет'!I72)-('Как есть'!I16+'Как есть'!I44+'Как есть'!I72)</f>
        <v>-817.48</v>
      </c>
      <c r="I285" s="240">
        <f>('Как будет'!J16+'Как будет'!J44+'Как будет'!J72)-('Как есть'!J16+'Как есть'!J44+'Как есть'!J72)</f>
        <v>-817.48</v>
      </c>
      <c r="J285" s="240">
        <f>('Как будет'!K16+'Как будет'!K44+'Как будет'!K72)-('Как есть'!K16+'Как есть'!K44+'Как есть'!K72)</f>
        <v>-817.48</v>
      </c>
      <c r="K285" s="240">
        <f>('Как будет'!L16+'Как будет'!L44+'Как будет'!L72)-('Как есть'!L16+'Как есть'!L44+'Как есть'!L72)</f>
        <v>-817.48</v>
      </c>
      <c r="L285" s="240">
        <f>('Как будет'!M16+'Как будет'!M44+'Как будет'!M72)-('Как есть'!M16+'Как есть'!M44+'Как есть'!M72)</f>
        <v>-817.48</v>
      </c>
      <c r="M285" s="240">
        <f>('Как будет'!N16+'Как будет'!N44+'Как будет'!N72)-('Как есть'!N16+'Как есть'!N44+'Как есть'!N72)</f>
        <v>-164.1</v>
      </c>
      <c r="N285" s="240">
        <f>('Как будет'!O16+'Как будет'!O44+'Как будет'!O72)-('Как есть'!O16+'Как есть'!O44+'Как есть'!O72)</f>
        <v>0</v>
      </c>
      <c r="O285" s="240">
        <f>('Как будет'!P16+'Как будет'!P44+'Как будет'!P72)-('Как есть'!P16+'Как есть'!P44+'Как есть'!P72)</f>
        <v>0</v>
      </c>
      <c r="P285" s="240">
        <f>('Как будет'!Q16+'Как будет'!Q44+'Как будет'!Q72)-('Как есть'!Q16+'Как есть'!Q44+'Как есть'!Q72)</f>
        <v>0</v>
      </c>
      <c r="Q285" s="240">
        <f>('Как будет'!R16+'Как будет'!R44+'Как будет'!R72)-('Как есть'!R16+'Как есть'!R44+'Как есть'!R72)</f>
        <v>0</v>
      </c>
      <c r="R285" s="240">
        <f>('Как будет'!S16+'Как будет'!S44+'Как будет'!S72)-('Как есть'!S16+'Как есть'!S44+'Как есть'!S72)</f>
        <v>0</v>
      </c>
      <c r="S285" s="240">
        <f>('Как будет'!T16+'Как будет'!T44+'Как будет'!T72)-('Как есть'!T16+'Как есть'!T44+'Как есть'!T72)</f>
        <v>0</v>
      </c>
      <c r="T285" s="240">
        <f>('Как будет'!U16+'Как будет'!U44+'Как будет'!U72)-('Как есть'!U16+'Как есть'!U44+'Как есть'!U72)</f>
        <v>0</v>
      </c>
      <c r="U285" s="240">
        <f>('Как будет'!V16+'Как будет'!V44+'Как будет'!V72)-('Как есть'!V16+'Как есть'!V44+'Как есть'!V72)</f>
        <v>0</v>
      </c>
      <c r="V285" s="240">
        <f>('Как будет'!W16+'Как будет'!W44+'Как будет'!W72)-('Как есть'!W16+'Как есть'!W44+'Как есть'!W72)</f>
        <v>0</v>
      </c>
      <c r="W285" s="240">
        <f>('Как будет'!X16+'Как будет'!X44+'Как будет'!X72)-('Как есть'!X16+'Как есть'!X44+'Как есть'!X72)</f>
        <v>0</v>
      </c>
      <c r="X285" s="240">
        <f>('Как будет'!Y16+'Как будет'!Y44+'Как будет'!Y72)-('Как есть'!Y16+'Как есть'!Y44+'Как есть'!Y72)</f>
        <v>0</v>
      </c>
      <c r="Y285" s="240">
        <f>('Как будет'!Z16+'Как будет'!Z44+'Как будет'!Z72)-('Как есть'!Z16+'Как есть'!Z44+'Как есть'!Z72)</f>
        <v>0</v>
      </c>
      <c r="Z285" s="240">
        <f>('Как будет'!AA16+'Как будет'!AA44+'Как будет'!AA72)-('Как есть'!AA16+'Как есть'!AA44+'Как есть'!AA72)</f>
        <v>0</v>
      </c>
      <c r="AA285" s="240">
        <f>('Как будет'!AB16+'Как будет'!AB44+'Как будет'!AB72)-('Как есть'!AB16+'Как есть'!AB44+'Как есть'!AB72)</f>
        <v>0</v>
      </c>
      <c r="AB285" s="240">
        <f>('Как будет'!AC16+'Как будет'!AC44+'Как будет'!AC72)-('Как есть'!AC16+'Как есть'!AC44+'Как есть'!AC72)</f>
        <v>0</v>
      </c>
      <c r="AC285" s="240">
        <f>('Как будет'!AD16+'Как будет'!AD44+'Как будет'!AD72)-('Как есть'!AD16+'Как есть'!AD44+'Как есть'!AD72)</f>
        <v>0</v>
      </c>
      <c r="AD285" s="240">
        <f>('Как будет'!AE16+'Как будет'!AE44+'Как будет'!AE72)-('Как есть'!AE16+'Как есть'!AE44+'Как есть'!AE72)</f>
        <v>0</v>
      </c>
      <c r="AE285" s="240">
        <f>('Как будет'!AF16+'Как будет'!AF44+'Как будет'!AF72)-('Как есть'!AF16+'Как есть'!AF44+'Как есть'!AF72)</f>
        <v>0</v>
      </c>
      <c r="AF285" s="240">
        <f>('Как будет'!AG16+'Как будет'!AG44+'Как будет'!AG72)-('Как есть'!AG16+'Как есть'!AG44+'Как есть'!AG72)</f>
        <v>0</v>
      </c>
      <c r="AG285" s="240">
        <f>('Как будет'!AH16+'Как будет'!AH44+'Как будет'!AH72)-('Как есть'!AH16+'Как есть'!AH44+'Как есть'!AH72)</f>
        <v>0</v>
      </c>
      <c r="AH285" s="240">
        <f>('Как будет'!AI16+'Как будет'!AI44+'Как будет'!AI72)-('Как есть'!AI16+'Как есть'!AI44+'Как есть'!AI72)</f>
        <v>0</v>
      </c>
      <c r="AI285" s="240">
        <f>('Как будет'!AJ16+'Как будет'!AJ44+'Как будет'!AJ72)-('Как есть'!AJ16+'Как есть'!AJ44+'Как есть'!AJ72)</f>
        <v>0</v>
      </c>
      <c r="AJ285" s="240">
        <f>('Как будет'!AK16+'Как будет'!AK44+'Как будет'!AK72)-('Как есть'!AK16+'Как есть'!AK44+'Как есть'!AK72)</f>
        <v>0</v>
      </c>
      <c r="AK285" s="240">
        <f>('Как будет'!AL16+'Как будет'!AL44+'Как будет'!AL72)-('Как есть'!AL16+'Как есть'!AL44+'Как есть'!AL72)</f>
        <v>0</v>
      </c>
      <c r="AL285" s="240">
        <f>('Как будет'!AM16+'Как будет'!AM44+'Как будет'!AM72)-('Как есть'!AM16+'Как есть'!AM44+'Как есть'!AM72)</f>
        <v>0</v>
      </c>
      <c r="AM285" s="240">
        <f>('Как будет'!AN16+'Как будет'!AN44+'Как будет'!AN72)-('Как есть'!AN16+'Как есть'!AN44+'Как есть'!AN72)</f>
        <v>0</v>
      </c>
      <c r="AN285" s="240">
        <f>('Как будет'!AO16+'Как будет'!AO44+'Как будет'!AO72)-('Как есть'!AO16+'Как есть'!AO44+'Как есть'!AO72)</f>
        <v>0</v>
      </c>
      <c r="AO285" s="240">
        <f>('Как будет'!AP16+'Как будет'!AP44+'Как будет'!AP72)-('Как есть'!AP16+'Как есть'!AP44+'Как есть'!AP72)</f>
        <v>0</v>
      </c>
      <c r="AP285" s="240">
        <f>('Как будет'!AQ16+'Как будет'!AQ44+'Как будет'!AQ72)-('Как есть'!AQ16+'Как есть'!AQ44+'Как есть'!AQ72)</f>
        <v>0</v>
      </c>
      <c r="AQ285" s="240">
        <f>('Как будет'!AR16+'Как будет'!AR44+'Как будет'!AR72)-('Как есть'!AR16+'Как есть'!AR44+'Как есть'!AR72)</f>
        <v>0</v>
      </c>
      <c r="AR285" s="240">
        <f>('Как будет'!AS16+'Как будет'!AS44+'Как будет'!AS72)-('Как есть'!AS16+'Как есть'!AS44+'Как есть'!AS72)</f>
        <v>0</v>
      </c>
      <c r="AS285" s="240">
        <f>('Как будет'!AT16+'Как будет'!AT44+'Как будет'!AT72)-('Как есть'!AT16+'Как есть'!AT44+'Как есть'!AT72)</f>
        <v>0</v>
      </c>
      <c r="AT285" s="240">
        <f>('Как будет'!AU16+'Как будет'!AU44+'Как будет'!AU72)-('Как есть'!AU16+'Как есть'!AU44+'Как есть'!AU72)</f>
        <v>0</v>
      </c>
      <c r="AU285" s="240">
        <f>('Как будет'!AV16+'Как будет'!AV44+'Как будет'!AV72)-('Как есть'!AV16+'Как есть'!AV44+'Как есть'!AV72)</f>
        <v>0</v>
      </c>
      <c r="AV285" s="240">
        <f>('Как будет'!AW16+'Как будет'!AW44+'Как будет'!AW72)-('Как есть'!AW16+'Как есть'!AW44+'Как есть'!AW72)</f>
        <v>0</v>
      </c>
      <c r="AW285" s="240">
        <f>('Как будет'!AX16+'Как будет'!AX44+'Как будет'!AX72)-('Как есть'!AX16+'Как есть'!AX44+'Как есть'!AX72)</f>
        <v>0</v>
      </c>
      <c r="AX285" s="240">
        <f>('Как будет'!AY16+'Как будет'!AY44+'Как будет'!AY72)-('Как есть'!AY16+'Как есть'!AY44+'Как есть'!AY72)</f>
        <v>0</v>
      </c>
      <c r="AY285" s="240">
        <f>('Как будет'!AZ16+'Как будет'!AZ44+'Как будет'!AZ72)-('Как есть'!AZ16+'Как есть'!AZ44+'Как есть'!AZ72)</f>
        <v>0</v>
      </c>
      <c r="AZ285" s="240">
        <f>('Как будет'!BA16+'Как будет'!BA44+'Как будет'!BA72)-('Как есть'!BA16+'Как есть'!BA44+'Как есть'!BA72)</f>
        <v>0</v>
      </c>
      <c r="BA285" s="240">
        <f>('Как будет'!BB16+'Как будет'!BB44+'Как будет'!BB72)-('Как есть'!BB16+'Как есть'!BB44+'Как есть'!BB72)</f>
        <v>0</v>
      </c>
      <c r="BB285" s="240">
        <f>('Как будет'!BC16+'Как будет'!BC44+'Как будет'!BC72)-('Как есть'!BC16+'Как есть'!BC44+'Как есть'!BC72)</f>
        <v>0</v>
      </c>
      <c r="BC285" s="240">
        <f>('Как будет'!BD16+'Как будет'!BD44+'Как будет'!BD72)-('Как есть'!BD16+'Как есть'!BD44+'Как есть'!BD72)</f>
        <v>0</v>
      </c>
      <c r="BD285" s="240">
        <f>('Как будет'!BE16+'Как будет'!BE44+'Как будет'!BE72)-('Как есть'!BE16+'Как есть'!BE44+'Как есть'!BE72)</f>
        <v>0</v>
      </c>
      <c r="BE285" s="240">
        <f>('Как будет'!BF16+'Как будет'!BF44+'Как будет'!BF72)-('Как есть'!BF16+'Как есть'!BF44+'Как есть'!BF72)</f>
        <v>0</v>
      </c>
      <c r="BF285" s="240">
        <f>('Как будет'!BG16+'Как будет'!BG44+'Как будет'!BG72)-('Как есть'!BG16+'Как есть'!BG44+'Как есть'!BG72)</f>
        <v>0</v>
      </c>
      <c r="BG285" s="240">
        <f>('Как будет'!BH16+'Как будет'!BH44+'Как будет'!BH72)-('Как есть'!BH16+'Как есть'!BH44+'Как есть'!BH72)</f>
        <v>0</v>
      </c>
      <c r="BH285" s="240">
        <f>('Как будет'!BI16+'Как будет'!BI44+'Как будет'!BI72)-('Как есть'!BI16+'Как есть'!BI44+'Как есть'!BI72)</f>
        <v>0</v>
      </c>
      <c r="BI285" s="240">
        <f>('Как будет'!BJ16+'Как будет'!BJ44+'Как будет'!BJ72)-('Как есть'!BJ16+'Как есть'!BJ44+'Как есть'!BJ72)</f>
        <v>0</v>
      </c>
      <c r="BJ285" s="240">
        <f>('Как будет'!BK16+'Как будет'!BK44+'Как будет'!BK72)-('Как есть'!BK16+'Как есть'!BK44+'Как есть'!BK72)</f>
        <v>0</v>
      </c>
      <c r="BK285" s="240">
        <f>('Как будет'!BL16+'Как будет'!BL44+'Как будет'!BL72)-('Как есть'!BL16+'Как есть'!BL44+'Как есть'!BL72)</f>
        <v>0</v>
      </c>
      <c r="BL285" s="240">
        <f>('Как будет'!BM16+'Как будет'!BM44+'Как будет'!BM72)-('Как есть'!BM16+'Как есть'!BM44+'Как есть'!BM72)</f>
        <v>0</v>
      </c>
      <c r="BM285" s="240">
        <f>('Как будет'!BN16+'Как будет'!BN44+'Как будет'!BN72)-('Как есть'!BN16+'Как есть'!BN44+'Как есть'!BN72)</f>
        <v>0</v>
      </c>
      <c r="BN285" s="240">
        <f>('Как будет'!BO16+'Как будет'!BO44+'Как будет'!BO72)-('Как есть'!BO16+'Как есть'!BO44+'Как есть'!BO72)</f>
        <v>0</v>
      </c>
      <c r="BO285" s="240">
        <f>('Как будет'!BP16+'Как будет'!BP44+'Как будет'!BP72)-('Как есть'!BP16+'Как есть'!BP44+'Как есть'!BP72)</f>
        <v>0</v>
      </c>
      <c r="BP285" s="240">
        <f>('Как будет'!BQ16+'Как будет'!BQ44+'Как будет'!BQ72)-('Как есть'!BQ16+'Как есть'!BQ44+'Как есть'!BQ72)</f>
        <v>0</v>
      </c>
      <c r="BQ285" s="240">
        <f>('Как будет'!BR16+'Как будет'!BR44+'Как будет'!BR72)-('Как есть'!BR16+'Как есть'!BR44+'Как есть'!BR72)</f>
        <v>0</v>
      </c>
      <c r="BR285" s="240">
        <f>('Как будет'!BS16+'Как будет'!BS44+'Как будет'!BS72)-('Как есть'!BS16+'Как есть'!BS44+'Как есть'!BS72)</f>
        <v>0</v>
      </c>
      <c r="BS285" s="240">
        <f>('Как будет'!BT16+'Как будет'!BT44+'Как будет'!BT72)-('Как есть'!BT16+'Как есть'!BT44+'Как есть'!BT72)</f>
        <v>0</v>
      </c>
      <c r="BT285" s="240">
        <f>('Как будет'!BU16+'Как будет'!BU44+'Как будет'!BU72)-('Как есть'!BU16+'Как есть'!BU44+'Как есть'!BU72)</f>
        <v>0</v>
      </c>
      <c r="BU285" s="240">
        <f>('Как будет'!BV16+'Как будет'!BV44+'Как будет'!BV72)-('Как есть'!BV16+'Как есть'!BV44+'Как есть'!BV72)</f>
        <v>0</v>
      </c>
      <c r="BV285" s="240">
        <f>('Как будет'!BW16+'Как будет'!BW44+'Как будет'!BW72)-('Как есть'!BW16+'Как есть'!BW44+'Как есть'!BW72)</f>
        <v>0</v>
      </c>
      <c r="BW285" s="240">
        <f>('Как будет'!BX16+'Как будет'!BX44+'Как будет'!BX72)-('Как есть'!BX16+'Как есть'!BX44+'Как есть'!BX72)</f>
        <v>0</v>
      </c>
      <c r="BX285" s="240">
        <f>('Как будет'!BY16+'Как будет'!BY44+'Как будет'!BY72)-('Как есть'!BY16+'Как есть'!BY44+'Как есть'!BY72)</f>
        <v>0</v>
      </c>
      <c r="BY285" s="240">
        <f>('Как будет'!BZ16+'Как будет'!BZ44+'Как будет'!BZ72)-('Как есть'!BZ16+'Как есть'!BZ44+'Как есть'!BZ72)</f>
        <v>0</v>
      </c>
      <c r="BZ285" s="240">
        <f>('Как будет'!CA16+'Как будет'!CA44+'Как будет'!CA72)-('Как есть'!CA16+'Как есть'!CA44+'Как есть'!CA72)</f>
        <v>0</v>
      </c>
      <c r="CA285" s="240">
        <f>('Как будет'!CB16+'Как будет'!CB44+'Как будет'!CB72)-('Как есть'!CB16+'Как есть'!CB44+'Как есть'!CB72)</f>
        <v>0</v>
      </c>
      <c r="CB285" s="240">
        <f>('Как будет'!CC16+'Как будет'!CC44+'Как будет'!CC72)-('Как есть'!CC16+'Как есть'!CC44+'Как есть'!CC72)</f>
        <v>0</v>
      </c>
      <c r="CC285" s="240">
        <f>('Как будет'!CD16+'Как будет'!CD44+'Как будет'!CD72)-('Как есть'!CD16+'Как есть'!CD44+'Как есть'!CD72)</f>
        <v>0</v>
      </c>
      <c r="CD285" s="240">
        <f>('Как будет'!CE16+'Как будет'!CE44+'Как будет'!CE72)-('Как есть'!CE16+'Как есть'!CE44+'Как есть'!CE72)</f>
        <v>0</v>
      </c>
      <c r="CE285" s="240">
        <f>('Как будет'!CF16+'Как будет'!CF44+'Как будет'!CF72)-('Как есть'!CF16+'Как есть'!CF44+'Как есть'!CF72)</f>
        <v>0</v>
      </c>
      <c r="CF285" s="240">
        <f>('Как будет'!CG16+'Как будет'!CG44+'Как будет'!CG72)-('Как есть'!CG16+'Как есть'!CG44+'Как есть'!CG72)</f>
        <v>0</v>
      </c>
      <c r="CG285" s="240">
        <f>('Как будет'!CH16+'Как будет'!CH44+'Как будет'!CH72)-('Как есть'!CH16+'Как есть'!CH44+'Как есть'!CH72)</f>
        <v>0</v>
      </c>
      <c r="CH285" s="240">
        <f>('Как будет'!CI16+'Как будет'!CI44+'Как будет'!CI72)-('Как есть'!CI16+'Как есть'!CI44+'Как есть'!CI72)</f>
        <v>0</v>
      </c>
      <c r="CI285" s="240">
        <f>('Как будет'!CJ16+'Как будет'!CJ44+'Как будет'!CJ72)-('Как есть'!CJ16+'Как есть'!CJ44+'Как есть'!CJ72)</f>
        <v>0</v>
      </c>
      <c r="CJ285" s="240">
        <f>('Как будет'!CK16+'Как будет'!CK44+'Как будет'!CK72)-('Как есть'!CK16+'Как есть'!CK44+'Как есть'!CK72)</f>
        <v>0</v>
      </c>
      <c r="CK285" s="240">
        <f>('Как будет'!CL16+'Как будет'!CL44+'Как будет'!CL72)-('Как есть'!CL16+'Как есть'!CL44+'Как есть'!CL72)</f>
        <v>0</v>
      </c>
      <c r="CL285" s="240">
        <f>('Как будет'!CM16+'Как будет'!CM44+'Как будет'!CM72)-('Как есть'!CM16+'Как есть'!CM44+'Как есть'!CM72)</f>
        <v>0</v>
      </c>
      <c r="CM285" s="240">
        <f>('Как будет'!CN16+'Как будет'!CN44+'Как будет'!CN72)-('Как есть'!CN16+'Как есть'!CN44+'Как есть'!CN72)</f>
        <v>0</v>
      </c>
      <c r="CN285" s="240">
        <f>('Как будет'!CO16+'Как будет'!CO44+'Как будет'!CO72)-('Как есть'!CO16+'Как есть'!CO44+'Как есть'!CO72)</f>
        <v>0</v>
      </c>
      <c r="CO285" s="240">
        <f>('Как будет'!CP16+'Как будет'!CP44+'Как будет'!CP72)-('Как есть'!CP16+'Как есть'!CP44+'Как есть'!CP72)</f>
        <v>0</v>
      </c>
      <c r="CP285" s="240">
        <f>('Как будет'!CQ16+'Как будет'!CQ44+'Как будет'!CQ72)-('Как есть'!CQ16+'Как есть'!CQ44+'Как есть'!CQ72)</f>
        <v>0</v>
      </c>
      <c r="CQ285" s="240">
        <f>('Как будет'!CR16+'Как будет'!CR44+'Как будет'!CR72)-('Как есть'!CR16+'Как есть'!CR44+'Как есть'!CR72)</f>
        <v>0</v>
      </c>
      <c r="CR285" s="240">
        <f>('Как будет'!CS16+'Как будет'!CS44+'Как будет'!CS72)-('Как есть'!CS16+'Как есть'!CS44+'Как есть'!CS72)</f>
        <v>0</v>
      </c>
      <c r="CS285" s="240">
        <f>('Как будет'!CT16+'Как будет'!CT44+'Как будет'!CT72)-('Как есть'!CT16+'Как есть'!CT44+'Как есть'!CT72)</f>
        <v>0</v>
      </c>
      <c r="CT285" s="240">
        <f>('Как будет'!CU16+'Как будет'!CU44+'Как будет'!CU72)-('Как есть'!CU16+'Как есть'!CU44+'Как есть'!CU72)</f>
        <v>0</v>
      </c>
      <c r="CU285" s="240">
        <f>('Как будет'!CV16+'Как будет'!CV44+'Как будет'!CV72)-('Как есть'!CV16+'Как есть'!CV44+'Как есть'!CV72)</f>
        <v>0</v>
      </c>
      <c r="CV285" s="240">
        <f>('Как будет'!CW16+'Как будет'!CW44+'Как будет'!CW72)-('Как есть'!CW16+'Как есть'!CW44+'Как есть'!CW72)</f>
        <v>0</v>
      </c>
      <c r="CW285" s="240">
        <f>('Как будет'!CX16+'Как будет'!CX44+'Как будет'!CX72)-('Как есть'!CX16+'Как есть'!CX44+'Как есть'!CX72)</f>
        <v>0</v>
      </c>
      <c r="CX285" s="240">
        <f>('Как будет'!CY16+'Как будет'!CY44+'Как будет'!CY72)-('Как есть'!CY16+'Как есть'!CY44+'Как есть'!CY72)</f>
        <v>0</v>
      </c>
      <c r="CY285" s="240">
        <f>('Как будет'!CZ16+'Как будет'!CZ44+'Как будет'!CZ72)-('Как есть'!CZ16+'Как есть'!CZ44+'Как есть'!CZ72)</f>
        <v>0</v>
      </c>
      <c r="CZ285" s="240">
        <f>('Как будет'!DA16+'Как будет'!DA44+'Как будет'!DA72)-('Как есть'!DA16+'Как есть'!DA44+'Как есть'!DA72)</f>
        <v>0</v>
      </c>
      <c r="DA285" s="240">
        <f>('Как будет'!DB16+'Как будет'!DB44+'Как будет'!DB72)-('Как есть'!DB16+'Как есть'!DB44+'Как есть'!DB72)</f>
        <v>0</v>
      </c>
      <c r="DB285" s="240">
        <f>('Как будет'!DC16+'Как будет'!DC44+'Как будет'!DC72)-('Как есть'!DC16+'Как есть'!DC44+'Как есть'!DC72)</f>
        <v>0</v>
      </c>
      <c r="DC285" s="240">
        <f>('Как будет'!DD16+'Как будет'!DD44+'Как будет'!DD72)-('Как есть'!DD16+'Как есть'!DD44+'Как есть'!DD72)</f>
        <v>0</v>
      </c>
      <c r="DD285" s="240">
        <f>('Как будет'!DE16+'Как будет'!DE44+'Как будет'!DE72)-('Как есть'!DE16+'Как есть'!DE44+'Как есть'!DE72)</f>
        <v>0</v>
      </c>
      <c r="DE285" s="240">
        <f>('Как будет'!DF16+'Как будет'!DF44+'Как будет'!DF72)-('Как есть'!DF16+'Как есть'!DF44+'Как есть'!DF72)</f>
        <v>0</v>
      </c>
      <c r="DF285" s="240">
        <f>('Как будет'!DG16+'Как будет'!DG44+'Как будет'!DG72)-('Как есть'!DG16+'Как есть'!DG44+'Как есть'!DG72)</f>
        <v>0</v>
      </c>
      <c r="DG285" s="240">
        <f>('Как будет'!DH16+'Как будет'!DH44+'Как будет'!DH72)-('Как есть'!DH16+'Как есть'!DH44+'Как есть'!DH72)</f>
        <v>0</v>
      </c>
      <c r="DH285" s="240">
        <f>('Как будет'!DI16+'Как будет'!DI44+'Как будет'!DI72)-('Как есть'!DI16+'Как есть'!DI44+'Как есть'!DI72)</f>
        <v>0</v>
      </c>
      <c r="DI285" s="240">
        <f>('Как будет'!DJ16+'Как будет'!DJ44+'Как будет'!DJ72)-('Как есть'!DJ16+'Как есть'!DJ44+'Как есть'!DJ72)</f>
        <v>0</v>
      </c>
      <c r="DJ285" s="240">
        <f>('Как будет'!DK16+'Как будет'!DK44+'Как будет'!DK72)-('Как есть'!DK16+'Как есть'!DK44+'Как есть'!DK72)</f>
        <v>0</v>
      </c>
      <c r="DK285" s="240">
        <f>('Как будет'!DL16+'Как будет'!DL44+'Как будет'!DL72)-('Как есть'!DL16+'Как есть'!DL44+'Как есть'!DL72)</f>
        <v>0</v>
      </c>
      <c r="DL285" s="240">
        <f>('Как будет'!DM16+'Как будет'!DM44+'Как будет'!DM72)-('Как есть'!DM16+'Как есть'!DM44+'Как есть'!DM72)</f>
        <v>0</v>
      </c>
      <c r="DM285" s="240">
        <f>('Как будет'!DN16+'Как будет'!DN44+'Как будет'!DN72)-('Как есть'!DN16+'Как есть'!DN44+'Как есть'!DN72)</f>
        <v>0</v>
      </c>
      <c r="DN285" s="240">
        <f>('Как будет'!DO16+'Как будет'!DO44+'Как будет'!DO72)-('Как есть'!DO16+'Как есть'!DO44+'Как есть'!DO72)</f>
        <v>0</v>
      </c>
      <c r="DO285" s="240">
        <f>('Как будет'!DP16+'Как будет'!DP44+'Как будет'!DP72)-('Как есть'!DP16+'Как есть'!DP44+'Как есть'!DP72)</f>
        <v>0</v>
      </c>
      <c r="DP285" s="240">
        <f>('Как будет'!DQ16+'Как будет'!DQ44+'Как будет'!DQ72)-('Как есть'!DQ16+'Как есть'!DQ44+'Как есть'!DQ72)</f>
        <v>0</v>
      </c>
      <c r="DQ285" s="240">
        <f>('Как будет'!DR16+'Как будет'!DR44+'Как будет'!DR72)-('Как есть'!DR16+'Как есть'!DR44+'Как есть'!DR72)</f>
        <v>0</v>
      </c>
      <c r="DR285" s="240">
        <f>('Как будет'!DS16+'Как будет'!DS44+'Как будет'!DS72)-('Как есть'!DS16+'Как есть'!DS44+'Как есть'!DS72)</f>
        <v>0</v>
      </c>
      <c r="DS285" s="240">
        <f>('Как будет'!DT16+'Как будет'!DT44+'Как будет'!DT72)-('Как есть'!DT16+'Как есть'!DT44+'Как есть'!DT72)</f>
        <v>0</v>
      </c>
      <c r="DT285" s="240">
        <f>('Как будет'!DU16+'Как будет'!DU44+'Как будет'!DU72)-('Как есть'!DU16+'Как есть'!DU44+'Как есть'!DU72)</f>
        <v>0</v>
      </c>
      <c r="DU285" s="240">
        <f>('Как будет'!DV16+'Как будет'!DV44+'Как будет'!DV72)-('Как есть'!DV16+'Как есть'!DV44+'Как есть'!DV72)</f>
        <v>0</v>
      </c>
      <c r="DV285" s="240">
        <f>('Как будет'!DW16+'Как будет'!DW44+'Как будет'!DW72)-('Как есть'!DW16+'Как есть'!DW44+'Как есть'!DW72)</f>
        <v>0</v>
      </c>
      <c r="DW285" s="240">
        <f>('Как будет'!DX16+'Как будет'!DX44+'Как будет'!DX72)-('Как есть'!DX16+'Как есть'!DX44+'Как есть'!DX72)</f>
        <v>0</v>
      </c>
      <c r="DX285" s="240">
        <f>('Как будет'!DY16+'Как будет'!DY44+'Как будет'!DY72)-('Как есть'!DY16+'Как есть'!DY44+'Как есть'!DY72)</f>
        <v>0</v>
      </c>
      <c r="DY285" s="240">
        <f>('Как будет'!DZ16+'Как будет'!DZ44+'Как будет'!DZ72)-('Как есть'!DZ16+'Как есть'!DZ44+'Как есть'!DZ72)</f>
        <v>0</v>
      </c>
      <c r="DZ285" s="240">
        <f>('Как будет'!EA16+'Как будет'!EA44+'Как будет'!EA72)-('Как есть'!EA16+'Как есть'!EA44+'Как есть'!EA72)</f>
        <v>0</v>
      </c>
      <c r="EA285" s="240">
        <f>('Как будет'!EB16+'Как будет'!EB44+'Как будет'!EB72)-('Как есть'!EB16+'Как есть'!EB44+'Как есть'!EB72)</f>
        <v>0</v>
      </c>
      <c r="EB285" s="240">
        <f>('Как будет'!EC16+'Как будет'!EC44+'Как будет'!EC72)-('Как есть'!EC16+'Как есть'!EC44+'Как есть'!EC72)</f>
        <v>0</v>
      </c>
      <c r="EC285" s="240">
        <f>('Как будет'!ED16+'Как будет'!ED44+'Как будет'!ED72)-('Как есть'!ED16+'Как есть'!ED44+'Как есть'!ED72)</f>
        <v>0</v>
      </c>
      <c r="ED285" s="240">
        <f>('Как будет'!EE16+'Как будет'!EE44+'Как будет'!EE72)-('Как есть'!EE16+'Как есть'!EE44+'Как есть'!EE72)</f>
        <v>0</v>
      </c>
      <c r="EE285" s="240">
        <f>('Как будет'!EF16+'Как будет'!EF44+'Как будет'!EF72)-('Как есть'!EF16+'Как есть'!EF44+'Как есть'!EF72)</f>
        <v>0</v>
      </c>
      <c r="EF285" s="240">
        <f>('Как будет'!EG16+'Как будет'!EG44+'Как будет'!EG72)-('Как есть'!EG16+'Как есть'!EG44+'Как есть'!EG72)</f>
        <v>0</v>
      </c>
      <c r="EG285" s="240">
        <f>('Как будет'!EH16+'Как будет'!EH44+'Как будет'!EH72)-('Как есть'!EH16+'Как есть'!EH44+'Как есть'!EH72)</f>
        <v>0</v>
      </c>
      <c r="EH285" s="240">
        <f>('Как будет'!EI16+'Как будет'!EI44+'Как будет'!EI72)-('Как есть'!EI16+'Как есть'!EI44+'Как есть'!EI72)</f>
        <v>0</v>
      </c>
      <c r="EI285" s="240">
        <f>('Как будет'!EJ16+'Как будет'!EJ44+'Как будет'!EJ72)-('Как есть'!EJ16+'Как есть'!EJ44+'Как есть'!EJ72)</f>
        <v>0</v>
      </c>
      <c r="EJ285" s="240">
        <f>('Как будет'!EK16+'Как будет'!EK44+'Как будет'!EK72)-('Как есть'!EK16+'Как есть'!EK44+'Как есть'!EK72)</f>
        <v>0</v>
      </c>
      <c r="EK285" s="240">
        <f>('Как будет'!EL16+'Как будет'!EL44+'Как будет'!EL72)-('Как есть'!EL16+'Как есть'!EL44+'Как есть'!EL72)</f>
        <v>0</v>
      </c>
      <c r="EL285" s="240">
        <f>('Как будет'!EM16+'Как будет'!EM44+'Как будет'!EM72)-('Как есть'!EM16+'Как есть'!EM44+'Как есть'!EM72)</f>
        <v>0</v>
      </c>
      <c r="EM285" s="240">
        <f>('Как будет'!EN16+'Как будет'!EN44+'Как будет'!EN72)-('Как есть'!EN16+'Как есть'!EN44+'Как есть'!EN72)</f>
        <v>0</v>
      </c>
      <c r="EN285" s="240">
        <f>('Как будет'!EO16+'Как будет'!EO44+'Как будет'!EO72)-('Как есть'!EO16+'Как есть'!EO44+'Как есть'!EO72)</f>
        <v>0</v>
      </c>
      <c r="EO285" s="240">
        <f>('Как будет'!EP16+'Как будет'!EP44+'Как будет'!EP72)-('Как есть'!EP16+'Как есть'!EP44+'Как есть'!EP72)</f>
        <v>0</v>
      </c>
      <c r="EP285" s="240">
        <f>('Как будет'!EQ16+'Как будет'!EQ44+'Как будет'!EQ72)-('Как есть'!EQ16+'Как есть'!EQ44+'Как есть'!EQ72)</f>
        <v>0</v>
      </c>
      <c r="EQ285" s="240">
        <f>('Как будет'!ER16+'Как будет'!ER44+'Как будет'!ER72)-('Как есть'!ER16+'Как есть'!ER44+'Как есть'!ER72)</f>
        <v>0</v>
      </c>
      <c r="ER285" s="240">
        <f>('Как будет'!ES16+'Как будет'!ES44+'Как будет'!ES72)-('Как есть'!ES16+'Как есть'!ES44+'Как есть'!ES72)</f>
        <v>0</v>
      </c>
      <c r="ES285" s="240">
        <f>('Как будет'!ET16+'Как будет'!ET44+'Как будет'!ET72)-('Как есть'!ET16+'Как есть'!ET44+'Как есть'!ET72)</f>
        <v>0</v>
      </c>
      <c r="ET285" s="240">
        <f>('Как будет'!EU16+'Как будет'!EU44+'Как будет'!EU72)-('Как есть'!EU16+'Как есть'!EU44+'Как есть'!EU72)</f>
        <v>0</v>
      </c>
      <c r="EU285" s="240">
        <f>('Как будет'!EV16+'Как будет'!EV44+'Как будет'!EV72)-('Как есть'!EV16+'Как есть'!EV44+'Как есть'!EV72)</f>
        <v>0</v>
      </c>
      <c r="EV285" s="240">
        <f>('Как будет'!EW16+'Как будет'!EW44+'Как будет'!EW72)-('Как есть'!EW16+'Как есть'!EW44+'Как есть'!EW72)</f>
        <v>0</v>
      </c>
      <c r="EW285" s="240">
        <f>('Как будет'!EX16+'Как будет'!EX44+'Как будет'!EX72)-('Как есть'!EX16+'Как есть'!EX44+'Как есть'!EX72)</f>
        <v>0</v>
      </c>
      <c r="EX285" s="240">
        <f>('Как будет'!EY16+'Как будет'!EY44+'Как будет'!EY72)-('Как есть'!EY16+'Как есть'!EY44+'Как есть'!EY72)</f>
        <v>0</v>
      </c>
      <c r="EY285" s="240">
        <f>('Как будет'!EZ16+'Как будет'!EZ44+'Как будет'!EZ72)-('Как есть'!EZ16+'Как есть'!EZ44+'Как есть'!EZ72)</f>
        <v>0</v>
      </c>
      <c r="EZ285" s="240">
        <f>('Как будет'!FA16+'Как будет'!FA44+'Как будет'!FA72)-('Как есть'!FA16+'Как есть'!FA44+'Как есть'!FA72)</f>
        <v>0</v>
      </c>
      <c r="FA285" s="240">
        <f>('Как будет'!FB16+'Как будет'!FB44+'Как будет'!FB72)-('Как есть'!FB16+'Как есть'!FB44+'Как есть'!FB72)</f>
        <v>0</v>
      </c>
      <c r="FB285" s="240">
        <f>('Как будет'!FC16+'Как будет'!FC44+'Как будет'!FC72)-('Как есть'!FC16+'Как есть'!FC44+'Как есть'!FC72)</f>
        <v>0</v>
      </c>
      <c r="FC285" s="240">
        <f>('Как будет'!FD16+'Как будет'!FD44+'Как будет'!FD72)-('Как есть'!FD16+'Как есть'!FD44+'Как есть'!FD72)</f>
        <v>0</v>
      </c>
      <c r="FD285" s="240">
        <f>('Как будет'!FE16+'Как будет'!FE44+'Как будет'!FE72)-('Как есть'!FE16+'Как есть'!FE44+'Как есть'!FE72)</f>
        <v>0</v>
      </c>
      <c r="FE285" s="240">
        <f>('Как будет'!FF16+'Как будет'!FF44+'Как будет'!FF72)-('Как есть'!FF16+'Как есть'!FF44+'Как есть'!FF72)</f>
        <v>0</v>
      </c>
      <c r="FF285" s="240">
        <f>('Как будет'!FG16+'Как будет'!FG44+'Как будет'!FG72)-('Как есть'!FG16+'Как есть'!FG44+'Как есть'!FG72)</f>
        <v>0</v>
      </c>
      <c r="FG285" s="240">
        <f>('Как будет'!FH16+'Как будет'!FH44+'Как будет'!FH72)-('Как есть'!FH16+'Как есть'!FH44+'Как есть'!FH72)</f>
        <v>0</v>
      </c>
      <c r="FH285" s="240">
        <f>('Как будет'!FI16+'Как будет'!FI44+'Как будет'!FI72)-('Как есть'!FI16+'Как есть'!FI44+'Как есть'!FI72)</f>
        <v>0</v>
      </c>
      <c r="FI285" s="240">
        <f>('Как будет'!FJ16+'Как будет'!FJ44+'Как будет'!FJ72)-('Как есть'!FJ16+'Как есть'!FJ44+'Как есть'!FJ72)</f>
        <v>0</v>
      </c>
      <c r="FJ285" s="240">
        <f>('Как будет'!FK16+'Как будет'!FK44+'Как будет'!FK72)-('Как есть'!FK16+'Как есть'!FK44+'Как есть'!FK72)</f>
        <v>0</v>
      </c>
      <c r="FK285" s="240">
        <f>('Как будет'!FL16+'Как будет'!FL44+'Как будет'!FL72)-('Как есть'!FL16+'Как есть'!FL44+'Как есть'!FL72)</f>
        <v>0</v>
      </c>
      <c r="FL285" s="240">
        <f>('Как будет'!FM16+'Как будет'!FM44+'Как будет'!FM72)-('Как есть'!FM16+'Как есть'!FM44+'Как есть'!FM72)</f>
        <v>0</v>
      </c>
      <c r="FM285" s="240">
        <f>('Как будет'!FN16+'Как будет'!FN44+'Как будет'!FN72)-('Как есть'!FN16+'Как есть'!FN44+'Как есть'!FN72)</f>
        <v>0</v>
      </c>
      <c r="FN285" s="240">
        <f>('Как будет'!FO16+'Как будет'!FO44+'Как будет'!FO72)-('Как есть'!FO16+'Как есть'!FO44+'Как есть'!FO72)</f>
        <v>0</v>
      </c>
      <c r="FO285" s="240">
        <f>('Как будет'!FP16+'Как будет'!FP44+'Как будет'!FP72)-('Как есть'!FP16+'Как есть'!FP44+'Как есть'!FP72)</f>
        <v>0</v>
      </c>
      <c r="FP285" s="240">
        <f>('Как будет'!FQ16+'Как будет'!FQ44+'Как будет'!FQ72)-('Как есть'!FQ16+'Как есть'!FQ44+'Как есть'!FQ72)</f>
        <v>0</v>
      </c>
      <c r="FQ285" s="240">
        <f>('Как будет'!FR16+'Как будет'!FR44+'Как будет'!FR72)-('Как есть'!FR16+'Как есть'!FR44+'Как есть'!FR72)</f>
        <v>0</v>
      </c>
      <c r="FR285" s="240">
        <f>('Как будет'!FS16+'Как будет'!FS44+'Как будет'!FS72)-('Как есть'!FS16+'Как есть'!FS44+'Как есть'!FS72)</f>
        <v>0</v>
      </c>
      <c r="FS285" s="240">
        <f>('Как будет'!FT16+'Как будет'!FT44+'Как будет'!FT72)-('Как есть'!FT16+'Как есть'!FT44+'Как есть'!FT72)</f>
        <v>0</v>
      </c>
      <c r="FT285" s="240">
        <f>('Как будет'!FU16+'Как будет'!FU44+'Как будет'!FU72)-('Как есть'!FU16+'Как есть'!FU44+'Как есть'!FU72)</f>
        <v>0</v>
      </c>
      <c r="FU285" s="240">
        <f>('Как будет'!FV16+'Как будет'!FV44+'Как будет'!FV72)-('Как есть'!FV16+'Как есть'!FV44+'Как есть'!FV72)</f>
        <v>0</v>
      </c>
      <c r="FV285" s="240">
        <f>('Как будет'!FW16+'Как будет'!FW44+'Как будет'!FW72)-('Как есть'!FW16+'Как есть'!FW44+'Как есть'!FW72)</f>
        <v>0</v>
      </c>
      <c r="FW285" s="240">
        <f>('Как будет'!FX16+'Как будет'!FX44+'Как будет'!FX72)-('Как есть'!FX16+'Как есть'!FX44+'Как есть'!FX72)</f>
        <v>0</v>
      </c>
      <c r="FX285" s="240">
        <f>('Как будет'!FY16+'Как будет'!FY44+'Как будет'!FY72)-('Как есть'!FY16+'Как есть'!FY44+'Как есть'!FY72)</f>
        <v>0</v>
      </c>
      <c r="FY285" s="240">
        <f>('Как будет'!FZ16+'Как будет'!FZ44+'Как будет'!FZ72)-('Как есть'!FZ16+'Как есть'!FZ44+'Как есть'!FZ72)</f>
        <v>0</v>
      </c>
      <c r="FZ285" s="240">
        <f>('Как будет'!GA16+'Как будет'!GA44+'Как будет'!GA72)-('Как есть'!GA16+'Как есть'!GA44+'Как есть'!GA72)</f>
        <v>0</v>
      </c>
      <c r="GA285" s="240">
        <f>('Как будет'!GB16+'Как будет'!GB44+'Как будет'!GB72)-('Как есть'!GB16+'Как есть'!GB44+'Как есть'!GB72)</f>
        <v>0</v>
      </c>
      <c r="GB285" s="240">
        <f>('Как будет'!GC16+'Как будет'!GC44+'Как будет'!GC72)-('Как есть'!GC16+'Как есть'!GC44+'Как есть'!GC72)</f>
        <v>0</v>
      </c>
      <c r="GC285" s="240">
        <f>('Как будет'!GD16+'Как будет'!GD44+'Как будет'!GD72)-('Как есть'!GD16+'Как есть'!GD44+'Как есть'!GD72)</f>
        <v>0</v>
      </c>
      <c r="GD285" s="240">
        <f>('Как будет'!GE16+'Как будет'!GE44+'Как будет'!GE72)-('Как есть'!GE16+'Как есть'!GE44+'Как есть'!GE72)</f>
        <v>0</v>
      </c>
      <c r="GE285" s="240">
        <f>('Как будет'!GF16+'Как будет'!GF44+'Как будет'!GF72)-('Как есть'!GF16+'Как есть'!GF44+'Как есть'!GF72)</f>
        <v>0</v>
      </c>
      <c r="GF285" s="240">
        <f>('Как будет'!GG16+'Как будет'!GG44+'Как будет'!GG72)-('Как есть'!GG16+'Как есть'!GG44+'Как есть'!GG72)</f>
        <v>0</v>
      </c>
      <c r="GG285" s="240">
        <f>('Как будет'!GH16+'Как будет'!GH44+'Как будет'!GH72)-('Как есть'!GH16+'Как есть'!GH44+'Как есть'!GH72)</f>
        <v>0</v>
      </c>
      <c r="GH285" s="240">
        <f>('Как будет'!GI16+'Как будет'!GI44+'Как будет'!GI72)-('Как есть'!GI16+'Как есть'!GI44+'Как есть'!GI72)</f>
        <v>0</v>
      </c>
      <c r="GI285" s="240">
        <f>('Как будет'!GJ16+'Как будет'!GJ44+'Как будет'!GJ72)-('Как есть'!GJ16+'Как есть'!GJ44+'Как есть'!GJ72)</f>
        <v>0</v>
      </c>
      <c r="GJ285" s="240">
        <f>('Как будет'!GK16+'Как будет'!GK44+'Как будет'!GK72)-('Как есть'!GK16+'Как есть'!GK44+'Как есть'!GK72)</f>
        <v>0</v>
      </c>
      <c r="GK285" s="240">
        <f>('Как будет'!GL16+'Как будет'!GL44+'Как будет'!GL72)-('Как есть'!GL16+'Как есть'!GL44+'Как есть'!GL72)</f>
        <v>0</v>
      </c>
      <c r="GL285" s="240">
        <f>('Как будет'!GM16+'Как будет'!GM44+'Как будет'!GM72)-('Как есть'!GM16+'Как есть'!GM44+'Как есть'!GM72)</f>
        <v>0</v>
      </c>
      <c r="GM285" s="240">
        <f>('Как будет'!GN16+'Как будет'!GN44+'Как будет'!GN72)-('Как есть'!GN16+'Как есть'!GN44+'Как есть'!GN72)</f>
        <v>0</v>
      </c>
      <c r="GN285" s="240">
        <f>('Как будет'!GO16+'Как будет'!GO44+'Как будет'!GO72)-('Как есть'!GO16+'Как есть'!GO44+'Как есть'!GO72)</f>
        <v>0</v>
      </c>
      <c r="GO285" s="240">
        <f>('Как будет'!GP16+'Как будет'!GP44+'Как будет'!GP72)-('Как есть'!GP16+'Как есть'!GP44+'Как есть'!GP72)</f>
        <v>0</v>
      </c>
      <c r="GP285" s="240">
        <f>('Как будет'!GQ16+'Как будет'!GQ44+'Как будет'!GQ72)-('Как есть'!GQ16+'Как есть'!GQ44+'Как есть'!GQ72)</f>
        <v>0</v>
      </c>
      <c r="GQ285" s="240">
        <f>('Как будет'!GR16+'Как будет'!GR44+'Как будет'!GR72)-('Как есть'!GR16+'Как есть'!GR44+'Как есть'!GR72)</f>
        <v>0</v>
      </c>
      <c r="GR285" s="240">
        <f>('Как будет'!GS16+'Как будет'!GS44+'Как будет'!GS72)-('Как есть'!GS16+'Как есть'!GS44+'Как есть'!GS72)</f>
        <v>0</v>
      </c>
      <c r="GS285" s="240">
        <f>('Как будет'!GT16+'Как будет'!GT44+'Как будет'!GT72)-('Как есть'!GT16+'Как есть'!GT44+'Как есть'!GT72)</f>
        <v>0</v>
      </c>
      <c r="GT285" s="240">
        <f>('Как будет'!GU16+'Как будет'!GU44+'Как будет'!GU72)-('Как есть'!GU16+'Как есть'!GU44+'Как есть'!GU72)</f>
        <v>0</v>
      </c>
    </row>
    <row r="286" spans="1:202" s="240" customFormat="1">
      <c r="A286" s="243" t="s">
        <v>251</v>
      </c>
      <c r="B286" s="240">
        <f>('Как будет'!C25+'Как будет'!C53+'Как будет'!C81)-('Как есть'!C81)</f>
        <v>0</v>
      </c>
      <c r="C286" s="240">
        <f>('Как будет'!D25+'Как будет'!D53+'Как будет'!D81)-('Как есть'!D81)</f>
        <v>0</v>
      </c>
      <c r="D286" s="240">
        <f>('Как будет'!E25+'Как будет'!E53+'Как будет'!E81)-('Как есть'!E81)</f>
        <v>0</v>
      </c>
      <c r="E286" s="240">
        <f>('Как будет'!F25+'Как будет'!F53+'Как будет'!F81)-('Как есть'!F81)</f>
        <v>0</v>
      </c>
      <c r="F286" s="240">
        <f>('Как будет'!G25+'Как будет'!G53+'Как будет'!G81)-('Как есть'!G81)</f>
        <v>0</v>
      </c>
      <c r="G286" s="240">
        <f>('Как будет'!H25+'Как будет'!H53+'Как будет'!H81)-('Как есть'!H81)</f>
        <v>0</v>
      </c>
      <c r="H286" s="240">
        <f>('Как будет'!I25+'Как будет'!I53+'Как будет'!I81)-('Как есть'!I81)</f>
        <v>0</v>
      </c>
      <c r="I286" s="240">
        <f>('Как будет'!J25+'Как будет'!J53+'Как будет'!J81)-('Как есть'!J81)</f>
        <v>0</v>
      </c>
      <c r="J286" s="240">
        <f>('Как будет'!K25+'Как будет'!K53+'Как будет'!K81)-('Как есть'!K81)</f>
        <v>0</v>
      </c>
      <c r="K286" s="240">
        <f>('Как будет'!L25+'Как будет'!L53+'Как будет'!L81)-('Как есть'!L81)</f>
        <v>0</v>
      </c>
      <c r="L286" s="240">
        <f>('Как будет'!M25+'Как будет'!M53+'Как будет'!M81)-('Как есть'!M81)</f>
        <v>0</v>
      </c>
      <c r="M286" s="240">
        <f>('Как будет'!N25+'Как будет'!N53+'Как будет'!N81)-('Как есть'!N81)</f>
        <v>0</v>
      </c>
      <c r="N286" s="240">
        <f>('Как будет'!O25+'Как будет'!O53+'Как будет'!O81)-('Как есть'!O81)</f>
        <v>0</v>
      </c>
      <c r="O286" s="240">
        <f>('Как будет'!P25+'Как будет'!P53+'Как будет'!P81)-('Как есть'!P81)</f>
        <v>0</v>
      </c>
      <c r="P286" s="240">
        <f>('Как будет'!Q25+'Как будет'!Q53+'Как будет'!Q81)-('Как есть'!Q81)</f>
        <v>0</v>
      </c>
      <c r="Q286" s="240">
        <f>('Как будет'!R25+'Как будет'!R53+'Как будет'!R81)-('Как есть'!R81)</f>
        <v>0</v>
      </c>
      <c r="R286" s="240">
        <f>('Как будет'!S25+'Как будет'!S53+'Как будет'!S81)-('Как есть'!S81)</f>
        <v>0</v>
      </c>
      <c r="S286" s="240">
        <f>('Как будет'!T25+'Как будет'!T53+'Как будет'!T81)-('Как есть'!T81)</f>
        <v>0</v>
      </c>
      <c r="T286" s="240">
        <f>('Как будет'!U25+'Как будет'!U53+'Как будет'!U81)-('Как есть'!U81)</f>
        <v>0</v>
      </c>
      <c r="U286" s="240">
        <f>('Как будет'!V25+'Как будет'!V53+'Как будет'!V81)-('Как есть'!V81)</f>
        <v>0</v>
      </c>
      <c r="V286" s="240">
        <f>('Как будет'!W25+'Как будет'!W53+'Как будет'!W81)-('Как есть'!W81)</f>
        <v>0</v>
      </c>
      <c r="W286" s="240">
        <f>('Как будет'!X25+'Как будет'!X53+'Как будет'!X81)-('Как есть'!X81)</f>
        <v>0</v>
      </c>
      <c r="X286" s="240">
        <f>('Как будет'!Y25+'Как будет'!Y53+'Как будет'!Y81)-('Как есть'!Y81)</f>
        <v>0</v>
      </c>
      <c r="Y286" s="240">
        <f>('Как будет'!Z25+'Как будет'!Z53+'Как будет'!Z81)-('Как есть'!Z81)</f>
        <v>0</v>
      </c>
      <c r="Z286" s="240">
        <f>('Как будет'!AA25+'Как будет'!AA53+'Как будет'!AA81)-('Как есть'!AA81)</f>
        <v>0</v>
      </c>
      <c r="AA286" s="240">
        <f>('Как будет'!AB25+'Как будет'!AB53+'Как будет'!AB81)-('Как есть'!AB81)</f>
        <v>0</v>
      </c>
      <c r="AB286" s="240">
        <f>('Как будет'!AC25+'Как будет'!AC53+'Как будет'!AC81)-('Как есть'!AC81)</f>
        <v>0</v>
      </c>
      <c r="AC286" s="240">
        <f>('Как будет'!AD25+'Как будет'!AD53+'Как будет'!AD81)-('Как есть'!AD81)</f>
        <v>0</v>
      </c>
      <c r="AD286" s="240">
        <f>('Как будет'!AE25+'Как будет'!AE53+'Как будет'!AE81)-('Как есть'!AE81)</f>
        <v>0</v>
      </c>
      <c r="AE286" s="240">
        <f>('Как будет'!AF25+'Как будет'!AF53+'Как будет'!AF81)-('Как есть'!AF81)</f>
        <v>0</v>
      </c>
      <c r="AF286" s="240">
        <f>('Как будет'!AG25+'Как будет'!AG53+'Как будет'!AG81)-('Как есть'!AG81)</f>
        <v>0</v>
      </c>
      <c r="AG286" s="240">
        <f>('Как будет'!AH25+'Как будет'!AH53+'Как будет'!AH81)-('Как есть'!AH81)</f>
        <v>0</v>
      </c>
      <c r="AH286" s="240">
        <f>('Как будет'!AI25+'Как будет'!AI53+'Как будет'!AI81)-('Как есть'!AI81)</f>
        <v>0</v>
      </c>
      <c r="AI286" s="240">
        <f>('Как будет'!AJ25+'Как будет'!AJ53+'Как будет'!AJ81)-('Как есть'!AJ81)</f>
        <v>0</v>
      </c>
      <c r="AJ286" s="240">
        <f>('Как будет'!AK25+'Как будет'!AK53+'Как будет'!AK81)-('Как есть'!AK81)</f>
        <v>0</v>
      </c>
      <c r="AK286" s="240">
        <f>('Как будет'!AL25+'Как будет'!AL53+'Как будет'!AL81)-('Как есть'!AL81)</f>
        <v>0</v>
      </c>
      <c r="AL286" s="240">
        <f>('Как будет'!AM25+'Как будет'!AM53+'Как будет'!AM81)-('Как есть'!AM81)</f>
        <v>0</v>
      </c>
      <c r="AM286" s="240">
        <f>('Как будет'!AN25+'Как будет'!AN53+'Как будет'!AN81)-('Как есть'!AN81)</f>
        <v>0</v>
      </c>
      <c r="AN286" s="240">
        <f>('Как будет'!AO25+'Как будет'!AO53+'Как будет'!AO81)-('Как есть'!AO81)</f>
        <v>0</v>
      </c>
      <c r="AO286" s="240">
        <f>('Как будет'!AP25+'Как будет'!AP53+'Как будет'!AP81)-('Как есть'!AP81)</f>
        <v>0</v>
      </c>
      <c r="AP286" s="240">
        <f>('Как будет'!AQ25+'Как будет'!AQ53+'Как будет'!AQ81)-('Как есть'!AQ81)</f>
        <v>0</v>
      </c>
      <c r="AQ286" s="240">
        <f>('Как будет'!AR25+'Как будет'!AR53+'Как будет'!AR81)-('Как есть'!AR81)</f>
        <v>0</v>
      </c>
      <c r="AR286" s="240">
        <f>('Как будет'!AS25+'Как будет'!AS53+'Как будет'!AS81)-('Как есть'!AS81)</f>
        <v>0</v>
      </c>
      <c r="AS286" s="240">
        <f>('Как будет'!AT25+'Как будет'!AT53+'Как будет'!AT81)-('Как есть'!AT81)</f>
        <v>0</v>
      </c>
      <c r="AT286" s="240">
        <f>('Как будет'!AU25+'Как будет'!AU53+'Как будет'!AU81)-('Как есть'!AU81)</f>
        <v>0</v>
      </c>
      <c r="AU286" s="240">
        <f>('Как будет'!AV25+'Как будет'!AV53+'Как будет'!AV81)-('Как есть'!AV81)</f>
        <v>0</v>
      </c>
      <c r="AV286" s="240">
        <f>('Как будет'!AW25+'Как будет'!AW53+'Как будет'!AW81)-('Как есть'!AW81)</f>
        <v>0</v>
      </c>
      <c r="AW286" s="240">
        <f>('Как будет'!AX25+'Как будет'!AX53+'Как будет'!AX81)-('Как есть'!AX81)</f>
        <v>0</v>
      </c>
      <c r="AX286" s="240">
        <f>('Как будет'!AY25+'Как будет'!AY53+'Как будет'!AY81)-('Как есть'!AY81)</f>
        <v>0</v>
      </c>
      <c r="AY286" s="240">
        <f>('Как будет'!AZ25+'Как будет'!AZ53+'Как будет'!AZ81)-('Как есть'!AZ81)</f>
        <v>0</v>
      </c>
      <c r="AZ286" s="240">
        <f>('Как будет'!BA25+'Как будет'!BA53+'Как будет'!BA81)-('Как есть'!BA81)</f>
        <v>0</v>
      </c>
      <c r="BA286" s="240">
        <f>('Как будет'!BB25+'Как будет'!BB53+'Как будет'!BB81)-('Как есть'!BB81)</f>
        <v>0</v>
      </c>
      <c r="BB286" s="240">
        <f>('Как будет'!BC25+'Как будет'!BC53+'Как будет'!BC81)-('Как есть'!BC81)</f>
        <v>0</v>
      </c>
      <c r="BC286" s="240">
        <f>('Как будет'!BD25+'Как будет'!BD53+'Как будет'!BD81)-('Как есть'!BD81)</f>
        <v>0</v>
      </c>
      <c r="BD286" s="240">
        <f>('Как будет'!BE25+'Как будет'!BE53+'Как будет'!BE81)-('Как есть'!BE81)</f>
        <v>0</v>
      </c>
      <c r="BE286" s="240">
        <f>('Как будет'!BF25+'Как будет'!BF53+'Как будет'!BF81)-('Как есть'!BF81)</f>
        <v>0</v>
      </c>
      <c r="BF286" s="240">
        <f>('Как будет'!BG25+'Как будет'!BG53+'Как будет'!BG81)-('Как есть'!BG81)</f>
        <v>0</v>
      </c>
      <c r="BG286" s="240">
        <f>('Как будет'!BH25+'Как будет'!BH53+'Как будет'!BH81)-('Как есть'!BH81)</f>
        <v>0</v>
      </c>
      <c r="BH286" s="240">
        <f>('Как будет'!BI25+'Как будет'!BI53+'Как будет'!BI81)-('Как есть'!BI81)</f>
        <v>0</v>
      </c>
      <c r="BI286" s="240">
        <f>('Как будет'!BJ25+'Как будет'!BJ53+'Как будет'!BJ81)-('Как есть'!BJ81)</f>
        <v>0</v>
      </c>
      <c r="BJ286" s="240">
        <f>('Как будет'!BK25+'Как будет'!BK53+'Как будет'!BK81)-('Как есть'!BK81)</f>
        <v>0</v>
      </c>
      <c r="BK286" s="240">
        <f>('Как будет'!BL25+'Как будет'!BL53+'Как будет'!BL81)-('Как есть'!BL81)</f>
        <v>0</v>
      </c>
      <c r="BL286" s="240">
        <f>('Как будет'!BM25+'Как будет'!BM53+'Как будет'!BM81)-('Как есть'!BM81)</f>
        <v>0</v>
      </c>
      <c r="BM286" s="240">
        <f>('Как будет'!BN25+'Как будет'!BN53+'Как будет'!BN81)-('Как есть'!BN81)</f>
        <v>0</v>
      </c>
      <c r="BN286" s="240">
        <f>('Как будет'!BO25+'Как будет'!BO53+'Как будет'!BO81)-('Как есть'!BO81)</f>
        <v>0</v>
      </c>
      <c r="BO286" s="240">
        <f>('Как будет'!BP25+'Как будет'!BP53+'Как будет'!BP81)-('Как есть'!BP81)</f>
        <v>0</v>
      </c>
      <c r="BP286" s="240">
        <f>('Как будет'!BQ25+'Как будет'!BQ53+'Как будет'!BQ81)-('Как есть'!BQ81)</f>
        <v>0</v>
      </c>
      <c r="BQ286" s="240">
        <f>('Как будет'!BR25+'Как будет'!BR53+'Как будет'!BR81)-('Как есть'!BR81)</f>
        <v>0</v>
      </c>
      <c r="BR286" s="240">
        <f>('Как будет'!BS25+'Как будет'!BS53+'Как будет'!BS81)-('Как есть'!BS81)</f>
        <v>0</v>
      </c>
      <c r="BS286" s="240">
        <f>('Как будет'!BT25+'Как будет'!BT53+'Как будет'!BT81)-('Как есть'!BT81)</f>
        <v>0</v>
      </c>
      <c r="BT286" s="240">
        <f>('Как будет'!BU25+'Как будет'!BU53+'Как будет'!BU81)-('Как есть'!BU81)</f>
        <v>0</v>
      </c>
      <c r="BU286" s="240">
        <f>('Как будет'!BV25+'Как будет'!BV53+'Как будет'!BV81)-('Как есть'!BV81)</f>
        <v>0</v>
      </c>
      <c r="BV286" s="240">
        <f>('Как будет'!BW25+'Как будет'!BW53+'Как будет'!BW81)-('Как есть'!BW81)</f>
        <v>0</v>
      </c>
      <c r="BW286" s="240">
        <f>('Как будет'!BX25+'Как будет'!BX53+'Как будет'!BX81)-('Как есть'!BX81)</f>
        <v>0</v>
      </c>
      <c r="BX286" s="240">
        <f>('Как будет'!BY25+'Как будет'!BY53+'Как будет'!BY81)-('Как есть'!BY81)</f>
        <v>0</v>
      </c>
      <c r="BY286" s="240">
        <f>('Как будет'!BZ25+'Как будет'!BZ53+'Как будет'!BZ81)-('Как есть'!BZ81)</f>
        <v>0</v>
      </c>
      <c r="BZ286" s="240">
        <f>('Как будет'!CA25+'Как будет'!CA53+'Как будет'!CA81)-('Как есть'!CA81)</f>
        <v>0</v>
      </c>
      <c r="CA286" s="240">
        <f>('Как будет'!CB25+'Как будет'!CB53+'Как будет'!CB81)-('Как есть'!CB81)</f>
        <v>0</v>
      </c>
      <c r="CB286" s="240">
        <f>('Как будет'!CC25+'Как будет'!CC53+'Как будет'!CC81)-('Как есть'!CC81)</f>
        <v>0</v>
      </c>
      <c r="CC286" s="240">
        <f>('Как будет'!CD25+'Как будет'!CD53+'Как будет'!CD81)-('Как есть'!CD81)</f>
        <v>0</v>
      </c>
      <c r="CD286" s="240">
        <f>('Как будет'!CE25+'Как будет'!CE53+'Как будет'!CE81)-('Как есть'!CE81)</f>
        <v>0</v>
      </c>
      <c r="CE286" s="240">
        <f>('Как будет'!CF25+'Как будет'!CF53+'Как будет'!CF81)-('Как есть'!CF81)</f>
        <v>0</v>
      </c>
      <c r="CF286" s="240">
        <f>('Как будет'!CG25+'Как будет'!CG53+'Как будет'!CG81)-('Как есть'!CG81)</f>
        <v>0</v>
      </c>
      <c r="CG286" s="240">
        <f>('Как будет'!CH25+'Как будет'!CH53+'Как будет'!CH81)-('Как есть'!CH81)</f>
        <v>0</v>
      </c>
      <c r="CH286" s="240">
        <f>('Как будет'!CI25+'Как будет'!CI53+'Как будет'!CI81)-('Как есть'!CI81)</f>
        <v>0</v>
      </c>
      <c r="CI286" s="240">
        <f>('Как будет'!CJ25+'Как будет'!CJ53+'Как будет'!CJ81)-('Как есть'!CJ81)</f>
        <v>0</v>
      </c>
      <c r="CJ286" s="240">
        <f>('Как будет'!CK25+'Как будет'!CK53+'Как будет'!CK81)-('Как есть'!CK81)</f>
        <v>0</v>
      </c>
      <c r="CK286" s="240">
        <f>('Как будет'!CL25+'Как будет'!CL53+'Как будет'!CL81)-('Как есть'!CL81)</f>
        <v>0</v>
      </c>
      <c r="CL286" s="240">
        <f>('Как будет'!CM25+'Как будет'!CM53+'Как будет'!CM81)-('Как есть'!CM81)</f>
        <v>0</v>
      </c>
      <c r="CM286" s="240">
        <f>('Как будет'!CN25+'Как будет'!CN53+'Как будет'!CN81)-('Как есть'!CN81)</f>
        <v>0</v>
      </c>
      <c r="CN286" s="240">
        <f>('Как будет'!CO25+'Как будет'!CO53+'Как будет'!CO81)-('Как есть'!CO81)</f>
        <v>0</v>
      </c>
      <c r="CO286" s="240">
        <f>('Как будет'!CP25+'Как будет'!CP53+'Как будет'!CP81)-('Как есть'!CP81)</f>
        <v>0</v>
      </c>
      <c r="CP286" s="240">
        <f>('Как будет'!CQ25+'Как будет'!CQ53+'Как будет'!CQ81)-('Как есть'!CQ81)</f>
        <v>0</v>
      </c>
      <c r="CQ286" s="240">
        <f>('Как будет'!CR25+'Как будет'!CR53+'Как будет'!CR81)-('Как есть'!CR81)</f>
        <v>0</v>
      </c>
      <c r="CR286" s="240">
        <f>('Как будет'!CS25+'Как будет'!CS53+'Как будет'!CS81)-('Как есть'!CS81)</f>
        <v>0</v>
      </c>
      <c r="CS286" s="240">
        <f>('Как будет'!CT25+'Как будет'!CT53+'Как будет'!CT81)-('Как есть'!CT81)</f>
        <v>0</v>
      </c>
      <c r="CT286" s="240">
        <f>('Как будет'!CU25+'Как будет'!CU53+'Как будет'!CU81)-('Как есть'!CU81)</f>
        <v>0</v>
      </c>
      <c r="CU286" s="240">
        <f>('Как будет'!CV25+'Как будет'!CV53+'Как будет'!CV81)-('Как есть'!CV81)</f>
        <v>0</v>
      </c>
      <c r="CV286" s="240">
        <f>('Как будет'!CW25+'Как будет'!CW53+'Как будет'!CW81)-('Как есть'!CW81)</f>
        <v>0</v>
      </c>
      <c r="CW286" s="240">
        <f>('Как будет'!CX25+'Как будет'!CX53+'Как будет'!CX81)-('Как есть'!CX81)</f>
        <v>0</v>
      </c>
      <c r="CX286" s="240">
        <f>('Как будет'!CY25+'Как будет'!CY53+'Как будет'!CY81)-('Как есть'!CY81)</f>
        <v>0</v>
      </c>
      <c r="CY286" s="240">
        <f>('Как будет'!CZ25+'Как будет'!CZ53+'Как будет'!CZ81)-('Как есть'!CZ81)</f>
        <v>0</v>
      </c>
      <c r="CZ286" s="240">
        <f>('Как будет'!DA25+'Как будет'!DA53+'Как будет'!DA81)-('Как есть'!DA81)</f>
        <v>0</v>
      </c>
      <c r="DA286" s="240">
        <f>('Как будет'!DB25+'Как будет'!DB53+'Как будет'!DB81)-('Как есть'!DB81)</f>
        <v>0</v>
      </c>
      <c r="DB286" s="240">
        <f>('Как будет'!DC25+'Как будет'!DC53+'Как будет'!DC81)-('Как есть'!DC81)</f>
        <v>0</v>
      </c>
      <c r="DC286" s="240">
        <f>('Как будет'!DD25+'Как будет'!DD53+'Как будет'!DD81)-('Как есть'!DD81)</f>
        <v>0</v>
      </c>
      <c r="DD286" s="240">
        <f>('Как будет'!DE25+'Как будет'!DE53+'Как будет'!DE81)-('Как есть'!DE81)</f>
        <v>0</v>
      </c>
      <c r="DE286" s="240">
        <f>('Как будет'!DF25+'Как будет'!DF53+'Как будет'!DF81)-('Как есть'!DF81)</f>
        <v>0</v>
      </c>
      <c r="DF286" s="240">
        <f>('Как будет'!DG25+'Как будет'!DG53+'Как будет'!DG81)-('Как есть'!DG81)</f>
        <v>0</v>
      </c>
      <c r="DG286" s="240">
        <f>('Как будет'!DH25+'Как будет'!DH53+'Как будет'!DH81)-('Как есть'!DH81)</f>
        <v>0</v>
      </c>
      <c r="DH286" s="240">
        <f>('Как будет'!DI25+'Как будет'!DI53+'Как будет'!DI81)-('Как есть'!DI81)</f>
        <v>0</v>
      </c>
      <c r="DI286" s="240">
        <f>('Как будет'!DJ25+'Как будет'!DJ53+'Как будет'!DJ81)-('Как есть'!DJ81)</f>
        <v>0</v>
      </c>
      <c r="DJ286" s="240">
        <f>('Как будет'!DK25+'Как будет'!DK53+'Как будет'!DK81)-('Как есть'!DK81)</f>
        <v>0</v>
      </c>
      <c r="DK286" s="240">
        <f>('Как будет'!DL25+'Как будет'!DL53+'Как будет'!DL81)-('Как есть'!DL81)</f>
        <v>0</v>
      </c>
      <c r="DL286" s="240">
        <f>('Как будет'!DM25+'Как будет'!DM53+'Как будет'!DM81)-('Как есть'!DM81)</f>
        <v>0</v>
      </c>
      <c r="DM286" s="240">
        <f>('Как будет'!DN25+'Как будет'!DN53+'Как будет'!DN81)-('Как есть'!DN81)</f>
        <v>0</v>
      </c>
      <c r="DN286" s="240">
        <f>('Как будет'!DO25+'Как будет'!DO53+'Как будет'!DO81)-('Как есть'!DO81)</f>
        <v>0</v>
      </c>
      <c r="DO286" s="240">
        <f>('Как будет'!DP25+'Как будет'!DP53+'Как будет'!DP81)-('Как есть'!DP81)</f>
        <v>0</v>
      </c>
      <c r="DP286" s="240">
        <f>('Как будет'!DQ25+'Как будет'!DQ53+'Как будет'!DQ81)-('Как есть'!DQ81)</f>
        <v>0</v>
      </c>
      <c r="DQ286" s="240">
        <f>('Как будет'!DR25+'Как будет'!DR53+'Как будет'!DR81)-('Как есть'!DR81)</f>
        <v>0</v>
      </c>
      <c r="DR286" s="240">
        <f>('Как будет'!DS25+'Как будет'!DS53+'Как будет'!DS81)-('Как есть'!DS81)</f>
        <v>0</v>
      </c>
      <c r="DS286" s="240">
        <f>('Как будет'!DT25+'Как будет'!DT53+'Как будет'!DT81)-('Как есть'!DT81)</f>
        <v>0</v>
      </c>
      <c r="DT286" s="240">
        <f>('Как будет'!DU25+'Как будет'!DU53+'Как будет'!DU81)-('Как есть'!DU81)</f>
        <v>0</v>
      </c>
      <c r="DU286" s="240">
        <f>('Как будет'!DV25+'Как будет'!DV53+'Как будет'!DV81)-('Как есть'!DV81)</f>
        <v>0</v>
      </c>
      <c r="DV286" s="240">
        <f>('Как будет'!DW25+'Как будет'!DW53+'Как будет'!DW81)-('Как есть'!DW81)</f>
        <v>0</v>
      </c>
      <c r="DW286" s="240">
        <f>('Как будет'!DX25+'Как будет'!DX53+'Как будет'!DX81)-('Как есть'!DX81)</f>
        <v>0</v>
      </c>
      <c r="DX286" s="240">
        <f>('Как будет'!DY25+'Как будет'!DY53+'Как будет'!DY81)-('Как есть'!DY81)</f>
        <v>0</v>
      </c>
      <c r="DY286" s="240">
        <f>('Как будет'!DZ25+'Как будет'!DZ53+'Как будет'!DZ81)-('Как есть'!DZ81)</f>
        <v>0</v>
      </c>
      <c r="DZ286" s="240">
        <f>('Как будет'!EA25+'Как будет'!EA53+'Как будет'!EA81)-('Как есть'!EA81)</f>
        <v>0</v>
      </c>
      <c r="EA286" s="240">
        <f>('Как будет'!EB25+'Как будет'!EB53+'Как будет'!EB81)-('Как есть'!EB81)</f>
        <v>0</v>
      </c>
      <c r="EB286" s="240">
        <f>('Как будет'!EC25+'Как будет'!EC53+'Как будет'!EC81)-('Как есть'!EC81)</f>
        <v>0</v>
      </c>
      <c r="EC286" s="240">
        <f>('Как будет'!ED25+'Как будет'!ED53+'Как будет'!ED81)-('Как есть'!ED81)</f>
        <v>0</v>
      </c>
      <c r="ED286" s="240">
        <f>('Как будет'!EE25+'Как будет'!EE53+'Как будет'!EE81)-('Как есть'!EE81)</f>
        <v>0</v>
      </c>
      <c r="EE286" s="240">
        <f>('Как будет'!EF25+'Как будет'!EF53+'Как будет'!EF81)-('Как есть'!EF81)</f>
        <v>0</v>
      </c>
      <c r="EF286" s="240">
        <f>('Как будет'!EG25+'Как будет'!EG53+'Как будет'!EG81)-('Как есть'!EG81)</f>
        <v>0</v>
      </c>
      <c r="EG286" s="240">
        <f>('Как будет'!EH25+'Как будет'!EH53+'Как будет'!EH81)-('Как есть'!EH81)</f>
        <v>0</v>
      </c>
      <c r="EH286" s="240">
        <f>('Как будет'!EI25+'Как будет'!EI53+'Как будет'!EI81)-('Как есть'!EI81)</f>
        <v>0</v>
      </c>
      <c r="EI286" s="240">
        <f>('Как будет'!EJ25+'Как будет'!EJ53+'Как будет'!EJ81)-('Как есть'!EJ81)</f>
        <v>0</v>
      </c>
      <c r="EJ286" s="240">
        <f>('Как будет'!EK25+'Как будет'!EK53+'Как будет'!EK81)-('Как есть'!EK81)</f>
        <v>0</v>
      </c>
      <c r="EK286" s="240">
        <f>('Как будет'!EL25+'Как будет'!EL53+'Как будет'!EL81)-('Как есть'!EL81)</f>
        <v>0</v>
      </c>
      <c r="EL286" s="240">
        <f>('Как будет'!EM25+'Как будет'!EM53+'Как будет'!EM81)-('Как есть'!EM81)</f>
        <v>0</v>
      </c>
      <c r="EM286" s="240">
        <f>('Как будет'!EN25+'Как будет'!EN53+'Как будет'!EN81)-('Как есть'!EN81)</f>
        <v>0</v>
      </c>
      <c r="EN286" s="240">
        <f>('Как будет'!EO25+'Как будет'!EO53+'Как будет'!EO81)-('Как есть'!EO81)</f>
        <v>0</v>
      </c>
      <c r="EO286" s="240">
        <f>('Как будет'!EP25+'Как будет'!EP53+'Как будет'!EP81)-('Как есть'!EP81)</f>
        <v>0</v>
      </c>
      <c r="EP286" s="240">
        <f>('Как будет'!EQ25+'Как будет'!EQ53+'Как будет'!EQ81)-('Как есть'!EQ81)</f>
        <v>0</v>
      </c>
      <c r="EQ286" s="240">
        <f>('Как будет'!ER25+'Как будет'!ER53+'Как будет'!ER81)-('Как есть'!ER81)</f>
        <v>0</v>
      </c>
      <c r="ER286" s="240">
        <f>('Как будет'!ES25+'Как будет'!ES53+'Как будет'!ES81)-('Как есть'!ES81)</f>
        <v>0</v>
      </c>
      <c r="ES286" s="240">
        <f>('Как будет'!ET25+'Как будет'!ET53+'Как будет'!ET81)-('Как есть'!ET81)</f>
        <v>0</v>
      </c>
      <c r="ET286" s="240">
        <f>('Как будет'!EU25+'Как будет'!EU53+'Как будет'!EU81)-('Как есть'!EU81)</f>
        <v>0</v>
      </c>
      <c r="EU286" s="240">
        <f>('Как будет'!EV25+'Как будет'!EV53+'Как будет'!EV81)-('Как есть'!EV81)</f>
        <v>0</v>
      </c>
      <c r="EV286" s="240">
        <f>('Как будет'!EW25+'Как будет'!EW53+'Как будет'!EW81)-('Как есть'!EW81)</f>
        <v>0</v>
      </c>
      <c r="EW286" s="240">
        <f>('Как будет'!EX25+'Как будет'!EX53+'Как будет'!EX81)-('Как есть'!EX81)</f>
        <v>0</v>
      </c>
      <c r="EX286" s="240">
        <f>('Как будет'!EY25+'Как будет'!EY53+'Как будет'!EY81)-('Как есть'!EY81)</f>
        <v>0</v>
      </c>
      <c r="EY286" s="240">
        <f>('Как будет'!EZ25+'Как будет'!EZ53+'Как будет'!EZ81)-('Как есть'!EZ81)</f>
        <v>0</v>
      </c>
      <c r="EZ286" s="240">
        <f>('Как будет'!FA25+'Как будет'!FA53+'Как будет'!FA81)-('Как есть'!FA81)</f>
        <v>0</v>
      </c>
      <c r="FA286" s="240">
        <f>('Как будет'!FB25+'Как будет'!FB53+'Как будет'!FB81)-('Как есть'!FB81)</f>
        <v>0</v>
      </c>
      <c r="FB286" s="240">
        <f>('Как будет'!FC25+'Как будет'!FC53+'Как будет'!FC81)-('Как есть'!FC81)</f>
        <v>0</v>
      </c>
      <c r="FC286" s="240">
        <f>('Как будет'!FD25+'Как будет'!FD53+'Как будет'!FD81)-('Как есть'!FD81)</f>
        <v>0</v>
      </c>
      <c r="FD286" s="240">
        <f>('Как будет'!FE25+'Как будет'!FE53+'Как будет'!FE81)-('Как есть'!FE81)</f>
        <v>0</v>
      </c>
      <c r="FE286" s="240">
        <f>('Как будет'!FF25+'Как будет'!FF53+'Как будет'!FF81)-('Как есть'!FF81)</f>
        <v>0</v>
      </c>
      <c r="FF286" s="240">
        <f>('Как будет'!FG25+'Как будет'!FG53+'Как будет'!FG81)-('Как есть'!FG81)</f>
        <v>0</v>
      </c>
      <c r="FG286" s="240">
        <f>('Как будет'!FH25+'Как будет'!FH53+'Как будет'!FH81)-('Как есть'!FH81)</f>
        <v>0</v>
      </c>
      <c r="FH286" s="240">
        <f>('Как будет'!FI25+'Как будет'!FI53+'Как будет'!FI81)-('Как есть'!FI81)</f>
        <v>0</v>
      </c>
      <c r="FI286" s="240">
        <f>('Как будет'!FJ25+'Как будет'!FJ53+'Как будет'!FJ81)-('Как есть'!FJ81)</f>
        <v>0</v>
      </c>
      <c r="FJ286" s="240">
        <f>('Как будет'!FK25+'Как будет'!FK53+'Как будет'!FK81)-('Как есть'!FK81)</f>
        <v>0</v>
      </c>
      <c r="FK286" s="240">
        <f>('Как будет'!FL25+'Как будет'!FL53+'Как будет'!FL81)-('Как есть'!FL81)</f>
        <v>0</v>
      </c>
      <c r="FL286" s="240">
        <f>('Как будет'!FM25+'Как будет'!FM53+'Как будет'!FM81)-('Как есть'!FM81)</f>
        <v>0</v>
      </c>
      <c r="FM286" s="240">
        <f>('Как будет'!FN25+'Как будет'!FN53+'Как будет'!FN81)-('Как есть'!FN81)</f>
        <v>0</v>
      </c>
      <c r="FN286" s="240">
        <f>('Как будет'!FO25+'Как будет'!FO53+'Как будет'!FO81)-('Как есть'!FO81)</f>
        <v>0</v>
      </c>
      <c r="FO286" s="240">
        <f>('Как будет'!FP25+'Как будет'!FP53+'Как будет'!FP81)-('Как есть'!FP81)</f>
        <v>0</v>
      </c>
      <c r="FP286" s="240">
        <f>('Как будет'!FQ25+'Как будет'!FQ53+'Как будет'!FQ81)-('Как есть'!FQ81)</f>
        <v>0</v>
      </c>
      <c r="FQ286" s="240">
        <f>('Как будет'!FR25+'Как будет'!FR53+'Как будет'!FR81)-('Как есть'!FR81)</f>
        <v>0</v>
      </c>
      <c r="FR286" s="240">
        <f>('Как будет'!FS25+'Как будет'!FS53+'Как будет'!FS81)-('Как есть'!FS81)</f>
        <v>0</v>
      </c>
      <c r="FS286" s="240">
        <f>('Как будет'!FT25+'Как будет'!FT53+'Как будет'!FT81)-('Как есть'!FT81)</f>
        <v>0</v>
      </c>
      <c r="FT286" s="240">
        <f>('Как будет'!FU25+'Как будет'!FU53+'Как будет'!FU81)-('Как есть'!FU81)</f>
        <v>0</v>
      </c>
      <c r="FU286" s="240">
        <f>('Как будет'!FV25+'Как будет'!FV53+'Как будет'!FV81)-('Как есть'!FV81)</f>
        <v>0</v>
      </c>
      <c r="FV286" s="240">
        <f>('Как будет'!FW25+'Как будет'!FW53+'Как будет'!FW81)-('Как есть'!FW81)</f>
        <v>0</v>
      </c>
      <c r="FW286" s="240">
        <f>('Как будет'!FX25+'Как будет'!FX53+'Как будет'!FX81)-('Как есть'!FX81)</f>
        <v>0</v>
      </c>
      <c r="FX286" s="240">
        <f>('Как будет'!FY25+'Как будет'!FY53+'Как будет'!FY81)-('Как есть'!FY81)</f>
        <v>0</v>
      </c>
      <c r="FY286" s="240">
        <f>('Как будет'!FZ25+'Как будет'!FZ53+'Как будет'!FZ81)-('Как есть'!FZ81)</f>
        <v>0</v>
      </c>
      <c r="FZ286" s="240">
        <f>('Как будет'!GA25+'Как будет'!GA53+'Как будет'!GA81)-('Как есть'!GA81)</f>
        <v>0</v>
      </c>
      <c r="GA286" s="240">
        <f>('Как будет'!GB25+'Как будет'!GB53+'Как будет'!GB81)-('Как есть'!GB81)</f>
        <v>0</v>
      </c>
      <c r="GB286" s="240">
        <f>('Как будет'!GC25+'Как будет'!GC53+'Как будет'!GC81)-('Как есть'!GC81)</f>
        <v>0</v>
      </c>
      <c r="GC286" s="240">
        <f>('Как будет'!GD25+'Как будет'!GD53+'Как будет'!GD81)-('Как есть'!GD81)</f>
        <v>0</v>
      </c>
      <c r="GD286" s="240">
        <f>('Как будет'!GE25+'Как будет'!GE53+'Как будет'!GE81)-('Как есть'!GE81)</f>
        <v>0</v>
      </c>
      <c r="GE286" s="240">
        <f>('Как будет'!GF25+'Как будет'!GF53+'Как будет'!GF81)-('Как есть'!GF81)</f>
        <v>0</v>
      </c>
      <c r="GF286" s="240">
        <f>('Как будет'!GG25+'Как будет'!GG53+'Как будет'!GG81)-('Как есть'!GG81)</f>
        <v>0</v>
      </c>
      <c r="GG286" s="240">
        <f>('Как будет'!GH25+'Как будет'!GH53+'Как будет'!GH81)-('Как есть'!GH81)</f>
        <v>0</v>
      </c>
      <c r="GH286" s="240">
        <f>('Как будет'!GI25+'Как будет'!GI53+'Как будет'!GI81)-('Как есть'!GI81)</f>
        <v>0</v>
      </c>
      <c r="GI286" s="240">
        <f>('Как будет'!GJ25+'Как будет'!GJ53+'Как будет'!GJ81)-('Как есть'!GJ81)</f>
        <v>0</v>
      </c>
      <c r="GJ286" s="240">
        <f>('Как будет'!GK25+'Как будет'!GK53+'Как будет'!GK81)-('Как есть'!GK81)</f>
        <v>0</v>
      </c>
      <c r="GK286" s="240">
        <f>('Как будет'!GL25+'Как будет'!GL53+'Как будет'!GL81)-('Как есть'!GL81)</f>
        <v>0</v>
      </c>
      <c r="GL286" s="240">
        <f>('Как будет'!GM25+'Как будет'!GM53+'Как будет'!GM81)-('Как есть'!GM81)</f>
        <v>0</v>
      </c>
      <c r="GM286" s="240">
        <f>('Как будет'!GN25+'Как будет'!GN53+'Как будет'!GN81)-('Как есть'!GN81)</f>
        <v>0</v>
      </c>
      <c r="GN286" s="240">
        <f>('Как будет'!GO25+'Как будет'!GO53+'Как будет'!GO81)-('Как есть'!GO81)</f>
        <v>0</v>
      </c>
      <c r="GO286" s="240">
        <f>('Как будет'!GP25+'Как будет'!GP53+'Как будет'!GP81)-('Как есть'!GP81)</f>
        <v>0</v>
      </c>
      <c r="GP286" s="240">
        <f>('Как будет'!GQ25+'Как будет'!GQ53+'Как будет'!GQ81)-('Как есть'!GQ81)</f>
        <v>0</v>
      </c>
      <c r="GQ286" s="240">
        <f>('Как будет'!GR25+'Как будет'!GR53+'Как будет'!GR81)-('Как есть'!GR81)</f>
        <v>0</v>
      </c>
      <c r="GR286" s="240">
        <f>('Как будет'!GS25+'Как будет'!GS53+'Как будет'!GS81)-('Как есть'!GS81)</f>
        <v>0</v>
      </c>
      <c r="GS286" s="240">
        <f>('Как будет'!GT25+'Как будет'!GT53+'Как будет'!GT81)-('Как есть'!GT81)</f>
        <v>0</v>
      </c>
      <c r="GT286" s="240">
        <f>('Как будет'!GU25+'Как будет'!GU53+'Как будет'!GU81)-('Как есть'!GU81)</f>
        <v>0</v>
      </c>
    </row>
    <row r="287" spans="1:202">
      <c r="A287" s="236" t="s">
        <v>1</v>
      </c>
      <c r="B287" s="246">
        <f>(B285/'Как будет'!$C$7)*IF(B4="",0,1)</f>
        <v>-33.522666666666666</v>
      </c>
      <c r="C287" s="246">
        <f>((C285/'Как будет'!$C$7)+B287)*IF(C4="",0,1)</f>
        <v>-50.99666666666667</v>
      </c>
      <c r="D287" s="246">
        <f>((D285/'Как будет'!$C$7)+C287)*IF(D4="",0,1)</f>
        <v>-76.335000000000008</v>
      </c>
      <c r="E287" s="246">
        <f>((E285/'Как будет'!$C$7)+D287)*IF(E4="",0,1)</f>
        <v>-97.730666666666679</v>
      </c>
      <c r="F287" s="246">
        <f>((F285/'Как будет'!$C$7)+E287)*IF(F4="",0,1)</f>
        <v>-114.64600000000002</v>
      </c>
      <c r="G287" s="246">
        <f>((G285/'Как будет'!$C$7)+F287)*IF(G4="",0,1)</f>
        <v>-128.27066666666667</v>
      </c>
      <c r="H287" s="246">
        <f>((H285/'Как будет'!$C$7)+G287)*IF(H4="",0,1)</f>
        <v>-141.89533333333333</v>
      </c>
      <c r="I287" s="246">
        <f>((I285/'Как будет'!$C$7)+H287)*IF(I4="",0,1)</f>
        <v>-155.51999999999998</v>
      </c>
      <c r="J287" s="246">
        <f>((J285/'Как будет'!$C$7)+I287)*IF(J4="",0,1)</f>
        <v>-169.14466666666664</v>
      </c>
      <c r="K287" s="246">
        <f>((K285/'Как будет'!$C$7)+J287)*IF(K4="",0,1)</f>
        <v>-182.76933333333329</v>
      </c>
      <c r="L287" s="246">
        <f>((L285/'Как будет'!$C$7)+K287)*IF(L4="",0,1)</f>
        <v>-196.39399999999995</v>
      </c>
      <c r="M287" s="246">
        <f>((M285/'Как будет'!$C$7)+L287)*IF(M4="",0,1)</f>
        <v>-199.12899999999996</v>
      </c>
      <c r="N287" s="246">
        <f>((N285/'Как будет'!$C$7)+M287)*IF(N4="",0,1)</f>
        <v>-199.12899999999996</v>
      </c>
      <c r="O287" s="246">
        <f>((O285/'Как будет'!$C$7)+N287)*IF(O4="",0,1)</f>
        <v>-199.12899999999996</v>
      </c>
      <c r="P287" s="246">
        <f>((P285/'Как будет'!$C$7)+O287)*IF(P4="",0,1)</f>
        <v>-199.12899999999996</v>
      </c>
      <c r="Q287" s="246">
        <f>((Q285/'Как будет'!$C$7)+P287)*IF(Q4="",0,1)</f>
        <v>-199.12899999999996</v>
      </c>
      <c r="R287" s="246">
        <f>((R285/'Как будет'!$C$7)+Q287)*IF(R4="",0,1)</f>
        <v>-199.12899999999996</v>
      </c>
      <c r="S287" s="246">
        <f>((S285/'Как будет'!$C$7)+R287)*IF(S4="",0,1)</f>
        <v>-199.12899999999996</v>
      </c>
      <c r="T287" s="246">
        <f>((T285/'Как будет'!$C$7)+S287)*IF(T4="",0,1)</f>
        <v>-199.12899999999996</v>
      </c>
      <c r="U287" s="246">
        <f>((U285/'Как будет'!$C$7)+T287)*IF(U4="",0,1)</f>
        <v>-199.12899999999996</v>
      </c>
      <c r="V287" s="246">
        <f>((V285/'Как будет'!$C$7)+U287)*IF(V4="",0,1)</f>
        <v>-199.12899999999996</v>
      </c>
      <c r="W287" s="246">
        <f>((W285/'Как будет'!$C$7)+V287)*IF(W4="",0,1)</f>
        <v>-199.12899999999996</v>
      </c>
      <c r="X287" s="246">
        <f>((X285/'Как будет'!$C$7)+W287)*IF(X4="",0,1)</f>
        <v>-199.12899999999996</v>
      </c>
      <c r="Y287" s="246">
        <f>((Y285/'Как будет'!$C$7)+X287)*IF(Y4="",0,1)</f>
        <v>-199.12899999999996</v>
      </c>
      <c r="Z287" s="246">
        <f>((Z285/'Как будет'!$C$7)+Y287)*IF(Z4="",0,1)</f>
        <v>-199.12899999999996</v>
      </c>
      <c r="AA287" s="246">
        <f>((AA285/'Как будет'!$C$7)+Z287)*IF(AA4="",0,1)</f>
        <v>-199.12899999999996</v>
      </c>
      <c r="AB287" s="246">
        <f>((AB285/'Как будет'!$C$7)+AA287)*IF(AB4="",0,1)</f>
        <v>-199.12899999999996</v>
      </c>
      <c r="AC287" s="246">
        <f>((AC285/'Как будет'!$C$7)+AB287)*IF(AC4="",0,1)</f>
        <v>-199.12899999999996</v>
      </c>
      <c r="AD287" s="246">
        <f>((AD285/'Как будет'!$C$7)+AC287)*IF(AD4="",0,1)</f>
        <v>-199.12899999999996</v>
      </c>
      <c r="AE287" s="246">
        <f>((AE285/'Как будет'!$C$7)+AD287)*IF(AE4="",0,1)</f>
        <v>-199.12899999999996</v>
      </c>
      <c r="AF287" s="246">
        <f>((AF285/'Как будет'!$C$7)+AE287)*IF(AF4="",0,1)</f>
        <v>-199.12899999999996</v>
      </c>
      <c r="AG287" s="246">
        <f>((AG285/'Как будет'!$C$7)+AF287)*IF(AG4="",0,1)</f>
        <v>-199.12899999999996</v>
      </c>
      <c r="AH287" s="246">
        <f>((AH285/'Как будет'!$C$7)+AG287)*IF(AH4="",0,1)</f>
        <v>-199.12899999999996</v>
      </c>
      <c r="AI287" s="246">
        <f>((AI285/'Как будет'!$C$7)+AH287)*IF(AI4="",0,1)</f>
        <v>-199.12899999999996</v>
      </c>
      <c r="AJ287" s="246">
        <f>((AJ285/'Как будет'!$C$7)+AI287)*IF(AJ4="",0,1)</f>
        <v>-199.12899999999996</v>
      </c>
      <c r="AK287" s="246">
        <f>((AK285/'Как будет'!$C$7)+AJ287)*IF(AK4="",0,1)</f>
        <v>-199.12899999999996</v>
      </c>
      <c r="AL287" s="246">
        <f>((AL285/'Как будет'!$C$7)+AK287)*IF(AL4="",0,1)</f>
        <v>-199.12899999999996</v>
      </c>
      <c r="AM287" s="246">
        <f>((AM285/'Как будет'!$C$7)+AL287)*IF(AM4="",0,1)</f>
        <v>-199.12899999999996</v>
      </c>
      <c r="AN287" s="246">
        <f>((AN285/'Как будет'!$C$7)+AM287)*IF(AN4="",0,1)</f>
        <v>-199.12899999999996</v>
      </c>
      <c r="AO287" s="246">
        <f>((AO285/'Как будет'!$C$7)+AN287)*IF(AO4="",0,1)</f>
        <v>-199.12899999999996</v>
      </c>
      <c r="AP287" s="246">
        <f>((AP285/'Как будет'!$C$7)+AO287)*IF(AP4="",0,1)</f>
        <v>-199.12899999999996</v>
      </c>
      <c r="AQ287" s="246">
        <f>((AQ285/'Как будет'!$C$7)+AP287)*IF(AQ4="",0,1)</f>
        <v>-199.12899999999996</v>
      </c>
      <c r="AR287" s="246">
        <f>((AR285/'Как будет'!$C$7)+AQ287)*IF(AR4="",0,1)</f>
        <v>-199.12899999999996</v>
      </c>
      <c r="AS287" s="246">
        <f>((AS285/'Как будет'!$C$7)+AR287)*IF(AS4="",0,1)</f>
        <v>-199.12899999999996</v>
      </c>
      <c r="AT287" s="246">
        <f>((AT285/'Как будет'!$C$7)+AS287)*IF(AT4="",0,1)</f>
        <v>-199.12899999999996</v>
      </c>
      <c r="AU287" s="246">
        <f>((AU285/'Как будет'!$C$7)+AT287)*IF(AU4="",0,1)</f>
        <v>-199.12899999999996</v>
      </c>
      <c r="AV287" s="246">
        <f>((AV285/'Как будет'!$C$7)+AU287)*IF(AV4="",0,1)</f>
        <v>-199.12899999999996</v>
      </c>
      <c r="AW287" s="246">
        <f>((AW285/'Как будет'!$C$7)+AV287)*IF(AW4="",0,1)</f>
        <v>-199.12899999999996</v>
      </c>
      <c r="AX287" s="246">
        <f>((AX285/'Как будет'!$C$7)+AW287)*IF(AX4="",0,1)</f>
        <v>-199.12899999999996</v>
      </c>
      <c r="AY287" s="246">
        <f>((AY285/'Как будет'!$C$7)+AX287)*IF(AY4="",0,1)</f>
        <v>-199.12899999999996</v>
      </c>
      <c r="AZ287" s="246">
        <f>((AZ285/'Как будет'!$C$7)+AY287)*IF(AZ4="",0,1)</f>
        <v>-199.12899999999996</v>
      </c>
      <c r="BA287" s="246">
        <f>((BA285/'Как будет'!$C$7)+AZ287)*IF(BA4="",0,1)</f>
        <v>-199.12899999999996</v>
      </c>
      <c r="BB287" s="246">
        <f>((BB285/'Как будет'!$C$7)+BA287)*IF(BB4="",0,1)</f>
        <v>-199.12899999999996</v>
      </c>
      <c r="BC287" s="246">
        <f>((BC285/'Как будет'!$C$7)+BB287)*IF(BC4="",0,1)</f>
        <v>-199.12899999999996</v>
      </c>
      <c r="BD287" s="246">
        <f>((BD285/'Как будет'!$C$7)+BC287)*IF(BD4="",0,1)</f>
        <v>-199.12899999999996</v>
      </c>
      <c r="BE287" s="246">
        <f>((BE285/'Как будет'!$C$7)+BD287)*IF(BE4="",0,1)</f>
        <v>-199.12899999999996</v>
      </c>
      <c r="BF287" s="246">
        <f>((BF285/'Как будет'!$C$7)+BE287)*IF(BF4="",0,1)</f>
        <v>-199.12899999999996</v>
      </c>
      <c r="BG287" s="246">
        <f>((BG285/'Как будет'!$C$7)+BF287)*IF(BG4="",0,1)</f>
        <v>-199.12899999999996</v>
      </c>
      <c r="BH287" s="246">
        <f>((BH285/'Как будет'!$C$7)+BG287)*IF(BH4="",0,1)</f>
        <v>-199.12899999999996</v>
      </c>
      <c r="BI287" s="246">
        <f>((BI285/'Как будет'!$C$7)+BH287)*IF(BI4="",0,1)</f>
        <v>-199.12899999999996</v>
      </c>
      <c r="BJ287" s="246">
        <f>((BJ285/'Как будет'!$C$7)+BI287)*IF(BJ4="",0,1)</f>
        <v>0</v>
      </c>
      <c r="BK287" s="246">
        <f>((BK285/'Как будет'!$C$7)+BJ287)*IF(BK4="",0,1)</f>
        <v>0</v>
      </c>
      <c r="BL287" s="246">
        <f>((BL285/'Как будет'!$C$7)+BK287)*IF(BL4="",0,1)</f>
        <v>0</v>
      </c>
      <c r="BM287" s="246">
        <f>((BM285/'Как будет'!$C$7)+BL287)*IF(BM4="",0,1)</f>
        <v>0</v>
      </c>
      <c r="BN287" s="246">
        <f>((BN285/'Как будет'!$C$7)+BM287)*IF(BN4="",0,1)</f>
        <v>0</v>
      </c>
      <c r="BO287" s="246">
        <f>((BO285/'Как будет'!$C$7)+BN287)*IF(BO4="",0,1)</f>
        <v>0</v>
      </c>
      <c r="BP287" s="246">
        <f>((BP285/'Как будет'!$C$7)+BO287)*IF(BP4="",0,1)</f>
        <v>0</v>
      </c>
      <c r="BQ287" s="246">
        <f>((BQ285/'Как будет'!$C$7)+BP287)*IF(BQ4="",0,1)</f>
        <v>0</v>
      </c>
      <c r="BR287" s="246">
        <f>((BR285/'Как будет'!$C$7)+BQ287)*IF(BR4="",0,1)</f>
        <v>0</v>
      </c>
      <c r="BS287" s="246">
        <f>((BS285/'Как будет'!$C$7)+BR287)*IF(BS4="",0,1)</f>
        <v>0</v>
      </c>
      <c r="BT287" s="246">
        <f>((BT285/'Как будет'!$C$7)+BS287)*IF(BT4="",0,1)</f>
        <v>0</v>
      </c>
      <c r="BU287" s="246">
        <f>((BU285/'Как будет'!$C$7)+BT287)*IF(BU4="",0,1)</f>
        <v>0</v>
      </c>
      <c r="BV287" s="246">
        <f>((BV285/'Как будет'!$C$7)+BU287)*IF(BV4="",0,1)</f>
        <v>0</v>
      </c>
      <c r="BW287" s="246">
        <f>((BW285/'Как будет'!$C$7)+BV287)*IF(BW4="",0,1)</f>
        <v>0</v>
      </c>
      <c r="BX287" s="246">
        <f>((BX285/'Как будет'!$C$7)+BW287)*IF(BX4="",0,1)</f>
        <v>0</v>
      </c>
      <c r="BY287" s="246">
        <f>((BY285/'Как будет'!$C$7)+BX287)*IF(BY4="",0,1)</f>
        <v>0</v>
      </c>
      <c r="BZ287" s="246">
        <f>((BZ285/'Как будет'!$C$7)+BY287)*IF(BZ4="",0,1)</f>
        <v>0</v>
      </c>
      <c r="CA287" s="246">
        <f>((CA285/'Как будет'!$C$7)+BZ287)*IF(CA4="",0,1)</f>
        <v>0</v>
      </c>
      <c r="CB287" s="246">
        <f>((CB285/'Как будет'!$C$7)+CA287)*IF(CB4="",0,1)</f>
        <v>0</v>
      </c>
      <c r="CC287" s="246">
        <f>((CC285/'Как будет'!$C$7)+CB287)*IF(CC4="",0,1)</f>
        <v>0</v>
      </c>
      <c r="CD287" s="246">
        <f>((CD285/'Как будет'!$C$7)+CC287)*IF(CD4="",0,1)</f>
        <v>0</v>
      </c>
      <c r="CE287" s="246">
        <f>((CE285/'Как будет'!$C$7)+CD287)*IF(CE4="",0,1)</f>
        <v>0</v>
      </c>
      <c r="CF287" s="246">
        <f>((CF285/'Как будет'!$C$7)+CE287)*IF(CF4="",0,1)</f>
        <v>0</v>
      </c>
      <c r="CG287" s="246">
        <f>((CG285/'Как будет'!$C$7)+CF287)*IF(CG4="",0,1)</f>
        <v>0</v>
      </c>
      <c r="CH287" s="246">
        <f>((CH285/'Как будет'!$C$7)+CG287)*IF(CH4="",0,1)</f>
        <v>0</v>
      </c>
      <c r="CI287" s="246">
        <f>((CI285/'Как будет'!$C$7)+CH287)*IF(CI4="",0,1)</f>
        <v>0</v>
      </c>
      <c r="CJ287" s="246">
        <f>((CJ285/'Как будет'!$C$7)+CI287)*IF(CJ4="",0,1)</f>
        <v>0</v>
      </c>
      <c r="CK287" s="246">
        <f>((CK285/'Как будет'!$C$7)+CJ287)*IF(CK4="",0,1)</f>
        <v>0</v>
      </c>
      <c r="CL287" s="246">
        <f>((CL285/'Как будет'!$C$7)+CK287)*IF(CL4="",0,1)</f>
        <v>0</v>
      </c>
      <c r="CM287" s="246">
        <f>((CM285/'Как будет'!$C$7)+CL287)*IF(CM4="",0,1)</f>
        <v>0</v>
      </c>
      <c r="CN287" s="246">
        <f>((CN285/'Как будет'!$C$7)+CM287)*IF(CN4="",0,1)</f>
        <v>0</v>
      </c>
      <c r="CO287" s="246">
        <f>((CO285/'Как будет'!$C$7)+CN287)*IF(CO4="",0,1)</f>
        <v>0</v>
      </c>
      <c r="CP287" s="246">
        <f>((CP285/'Как будет'!$C$7)+CO287)*IF(CP4="",0,1)</f>
        <v>0</v>
      </c>
      <c r="CQ287" s="246">
        <f>((CQ285/'Как будет'!$C$7)+CP287)*IF(CQ4="",0,1)</f>
        <v>0</v>
      </c>
      <c r="CR287" s="246">
        <f>((CR285/'Как будет'!$C$7)+CQ287)*IF(CR4="",0,1)</f>
        <v>0</v>
      </c>
      <c r="CS287" s="246">
        <f>((CS285/'Как будет'!$C$7)+CR287)*IF(CS4="",0,1)</f>
        <v>0</v>
      </c>
      <c r="CT287" s="246">
        <f>((CT285/'Как будет'!$C$7)+CS287)*IF(CT4="",0,1)</f>
        <v>0</v>
      </c>
      <c r="CU287" s="246">
        <f>((CU285/'Как будет'!$C$7)+CT287)*IF(CU4="",0,1)</f>
        <v>0</v>
      </c>
      <c r="CV287" s="246">
        <f>((CV285/'Как будет'!$C$7)+CU287)*IF(CV4="",0,1)</f>
        <v>0</v>
      </c>
      <c r="CW287" s="246">
        <f>((CW285/'Как будет'!$C$7)+CV287)*IF(CW4="",0,1)</f>
        <v>0</v>
      </c>
      <c r="CX287" s="246">
        <f>((CX285/'Как будет'!$C$7)+CW287)*IF(CX4="",0,1)</f>
        <v>0</v>
      </c>
      <c r="CY287" s="246">
        <f>((CY285/'Как будет'!$C$7)+CX287)*IF(CY4="",0,1)</f>
        <v>0</v>
      </c>
      <c r="CZ287" s="246">
        <f>((CZ285/'Как будет'!$C$7)+CY287)*IF(CZ4="",0,1)</f>
        <v>0</v>
      </c>
      <c r="DA287" s="246">
        <f>((DA285/'Как будет'!$C$7)+CZ287)*IF(DA4="",0,1)</f>
        <v>0</v>
      </c>
      <c r="DB287" s="246">
        <f>((DB285/'Как будет'!$C$7)+DA287)*IF(DB4="",0,1)</f>
        <v>0</v>
      </c>
      <c r="DC287" s="246">
        <f>((DC285/'Как будет'!$C$7)+DB287)*IF(DC4="",0,1)</f>
        <v>0</v>
      </c>
      <c r="DD287" s="246">
        <f>((DD285/'Как будет'!$C$7)+DC287)*IF(DD4="",0,1)</f>
        <v>0</v>
      </c>
      <c r="DE287" s="246">
        <f>((DE285/'Как будет'!$C$7)+DD287)*IF(DE4="",0,1)</f>
        <v>0</v>
      </c>
      <c r="DF287" s="246">
        <f>((DF285/'Как будет'!$C$7)+DE287)*IF(DF4="",0,1)</f>
        <v>0</v>
      </c>
      <c r="DG287" s="246">
        <f>((DG285/'Как будет'!$C$7)+DF287)*IF(DG4="",0,1)</f>
        <v>0</v>
      </c>
      <c r="DH287" s="246">
        <f>((DH285/'Как будет'!$C$7)+DG287)*IF(DH4="",0,1)</f>
        <v>0</v>
      </c>
      <c r="DI287" s="246">
        <f>((DI285/'Как будет'!$C$7)+DH287)*IF(DI4="",0,1)</f>
        <v>0</v>
      </c>
      <c r="DJ287" s="246">
        <f>((DJ285/'Как будет'!$C$7)+DI287)*IF(DJ4="",0,1)</f>
        <v>0</v>
      </c>
      <c r="DK287" s="246">
        <f>((DK285/'Как будет'!$C$7)+DJ287)*IF(DK4="",0,1)</f>
        <v>0</v>
      </c>
      <c r="DL287" s="246">
        <f>((DL285/'Как будет'!$C$7)+DK287)*IF(DL4="",0,1)</f>
        <v>0</v>
      </c>
      <c r="DM287" s="246">
        <f>((DM285/'Как будет'!$C$7)+DL287)*IF(DM4="",0,1)</f>
        <v>0</v>
      </c>
      <c r="DN287" s="246">
        <f>((DN285/'Как будет'!$C$7)+DM287)*IF(DN4="",0,1)</f>
        <v>0</v>
      </c>
      <c r="DO287" s="246">
        <f>((DO285/'Как будет'!$C$7)+DN287)*IF(DO4="",0,1)</f>
        <v>0</v>
      </c>
      <c r="DP287" s="246">
        <f>((DP285/'Как будет'!$C$7)+DO287)*IF(DP4="",0,1)</f>
        <v>0</v>
      </c>
      <c r="DQ287" s="246">
        <f>((DQ285/'Как будет'!$C$7)+DP287)*IF(DQ4="",0,1)</f>
        <v>0</v>
      </c>
      <c r="DR287" s="246">
        <f>((DR285/'Как будет'!$C$7)+DQ287)*IF(DR4="",0,1)</f>
        <v>0</v>
      </c>
      <c r="DS287" s="246">
        <f>((DS285/'Как будет'!$C$7)+DR287)*IF(DS4="",0,1)</f>
        <v>0</v>
      </c>
      <c r="DT287" s="246">
        <f>((DT285/'Как будет'!$C$7)+DS287)*IF(DT4="",0,1)</f>
        <v>0</v>
      </c>
      <c r="DU287" s="246">
        <f>((DU285/'Как будет'!$C$7)+DT287)*IF(DU4="",0,1)</f>
        <v>0</v>
      </c>
      <c r="DV287" s="246">
        <f>((DV285/'Как будет'!$C$7)+DU287)*IF(DV4="",0,1)</f>
        <v>0</v>
      </c>
      <c r="DW287" s="246">
        <f>((DW285/'Как будет'!$C$7)+DV287)*IF(DW4="",0,1)</f>
        <v>0</v>
      </c>
      <c r="DX287" s="246">
        <f>((DX285/'Как будет'!$C$7)+DW287)*IF(DX4="",0,1)</f>
        <v>0</v>
      </c>
      <c r="DY287" s="246">
        <f>((DY285/'Как будет'!$C$7)+DX287)*IF(DY4="",0,1)</f>
        <v>0</v>
      </c>
      <c r="DZ287" s="246">
        <f>((DZ285/'Как будет'!$C$7)+DY287)*IF(DZ4="",0,1)</f>
        <v>0</v>
      </c>
      <c r="EA287" s="246">
        <f>((EA285/'Как будет'!$C$7)+DZ287)*IF(EA4="",0,1)</f>
        <v>0</v>
      </c>
      <c r="EB287" s="246">
        <f>((EB285/'Как будет'!$C$7)+EA287)*IF(EB4="",0,1)</f>
        <v>0</v>
      </c>
      <c r="EC287" s="246">
        <f>((EC285/'Как будет'!$C$7)+EB287)*IF(EC4="",0,1)</f>
        <v>0</v>
      </c>
      <c r="ED287" s="246">
        <f>((ED285/'Как будет'!$C$7)+EC287)*IF(ED4="",0,1)</f>
        <v>0</v>
      </c>
      <c r="EE287" s="246">
        <f>((EE285/'Как будет'!$C$7)+ED287)*IF(EE4="",0,1)</f>
        <v>0</v>
      </c>
      <c r="EF287" s="246">
        <f>((EF285/'Как будет'!$C$7)+EE287)*IF(EF4="",0,1)</f>
        <v>0</v>
      </c>
      <c r="EG287" s="246">
        <f>((EG285/'Как будет'!$C$7)+EF287)*IF(EG4="",0,1)</f>
        <v>0</v>
      </c>
      <c r="EH287" s="246">
        <f>((EH285/'Как будет'!$C$7)+EG287)*IF(EH4="",0,1)</f>
        <v>0</v>
      </c>
      <c r="EI287" s="246">
        <f>((EI285/'Как будет'!$C$7)+EH287)*IF(EI4="",0,1)</f>
        <v>0</v>
      </c>
      <c r="EJ287" s="246">
        <f>((EJ285/'Как будет'!$C$7)+EI287)*IF(EJ4="",0,1)</f>
        <v>0</v>
      </c>
      <c r="EK287" s="246">
        <f>((EK285/'Как будет'!$C$7)+EJ287)*IF(EK4="",0,1)</f>
        <v>0</v>
      </c>
      <c r="EL287" s="246">
        <f>((EL285/'Как будет'!$C$7)+EK287)*IF(EL4="",0,1)</f>
        <v>0</v>
      </c>
      <c r="EM287" s="246">
        <f>((EM285/'Как будет'!$C$7)+EL287)*IF(EM4="",0,1)</f>
        <v>0</v>
      </c>
      <c r="EN287" s="246">
        <f>((EN285/'Как будет'!$C$7)+EM287)*IF(EN4="",0,1)</f>
        <v>0</v>
      </c>
      <c r="EO287" s="246">
        <f>((EO285/'Как будет'!$C$7)+EN287)*IF(EO4="",0,1)</f>
        <v>0</v>
      </c>
      <c r="EP287" s="246">
        <f>((EP285/'Как будет'!$C$7)+EO287)*IF(EP4="",0,1)</f>
        <v>0</v>
      </c>
      <c r="EQ287" s="246">
        <f>((EQ285/'Как будет'!$C$7)+EP287)*IF(EQ4="",0,1)</f>
        <v>0</v>
      </c>
      <c r="ER287" s="246">
        <f>((ER285/'Как будет'!$C$7)+EQ287)*IF(ER4="",0,1)</f>
        <v>0</v>
      </c>
      <c r="ES287" s="246">
        <f>((ES285/'Как будет'!$C$7)+ER287)*IF(ES4="",0,1)</f>
        <v>0</v>
      </c>
      <c r="ET287" s="246">
        <f>((ET285/'Как будет'!$C$7)+ES287)*IF(ET4="",0,1)</f>
        <v>0</v>
      </c>
      <c r="EU287" s="246">
        <f>((EU285/'Как будет'!$C$7)+ET287)*IF(EU4="",0,1)</f>
        <v>0</v>
      </c>
      <c r="EV287" s="246">
        <f>((EV285/'Как будет'!$C$7)+EU287)*IF(EV4="",0,1)</f>
        <v>0</v>
      </c>
      <c r="EW287" s="246">
        <f>((EW285/'Как будет'!$C$7)+EV287)*IF(EW4="",0,1)</f>
        <v>0</v>
      </c>
      <c r="EX287" s="246">
        <f>((EX285/'Как будет'!$C$7)+EW287)*IF(EX4="",0,1)</f>
        <v>0</v>
      </c>
      <c r="EY287" s="246">
        <f>((EY285/'Как будет'!$C$7)+EX287)*IF(EY4="",0,1)</f>
        <v>0</v>
      </c>
      <c r="EZ287" s="246">
        <f>((EZ285/'Как будет'!$C$7)+EY287)*IF(EZ4="",0,1)</f>
        <v>0</v>
      </c>
      <c r="FA287" s="246">
        <f>((FA285/'Как будет'!$C$7)+EZ287)*IF(FA4="",0,1)</f>
        <v>0</v>
      </c>
      <c r="FB287" s="246">
        <f>((FB285/'Как будет'!$C$7)+FA287)*IF(FB4="",0,1)</f>
        <v>0</v>
      </c>
      <c r="FC287" s="246">
        <f>((FC285/'Как будет'!$C$7)+FB287)*IF(FC4="",0,1)</f>
        <v>0</v>
      </c>
      <c r="FD287" s="246">
        <f>((FD285/'Как будет'!$C$7)+FC287)*IF(FD4="",0,1)</f>
        <v>0</v>
      </c>
      <c r="FE287" s="246">
        <f>((FE285/'Как будет'!$C$7)+FD287)*IF(FE4="",0,1)</f>
        <v>0</v>
      </c>
      <c r="FF287" s="246">
        <f>((FF285/'Как будет'!$C$7)+FE287)*IF(FF4="",0,1)</f>
        <v>0</v>
      </c>
      <c r="FG287" s="246">
        <f>((FG285/'Как будет'!$C$7)+FF287)*IF(FG4="",0,1)</f>
        <v>0</v>
      </c>
      <c r="FH287" s="246">
        <f>((FH285/'Как будет'!$C$7)+FG287)*IF(FH4="",0,1)</f>
        <v>0</v>
      </c>
      <c r="FI287" s="246">
        <f>((FI285/'Как будет'!$C$7)+FH287)*IF(FI4="",0,1)</f>
        <v>0</v>
      </c>
      <c r="FJ287" s="246">
        <f>((FJ285/'Как будет'!$C$7)+FI287)*IF(FJ4="",0,1)</f>
        <v>0</v>
      </c>
      <c r="FK287" s="246">
        <f>((FK285/'Как будет'!$C$7)+FJ287)*IF(FK4="",0,1)</f>
        <v>0</v>
      </c>
      <c r="FL287" s="246">
        <f>((FL285/'Как будет'!$C$7)+FK287)*IF(FL4="",0,1)</f>
        <v>0</v>
      </c>
      <c r="FM287" s="246">
        <f>((FM285/'Как будет'!$C$7)+FL287)*IF(FM4="",0,1)</f>
        <v>0</v>
      </c>
      <c r="FN287" s="246">
        <f>((FN285/'Как будет'!$C$7)+FM287)*IF(FN4="",0,1)</f>
        <v>0</v>
      </c>
      <c r="FO287" s="246">
        <f>((FO285/'Как будет'!$C$7)+FN287)*IF(FO4="",0,1)</f>
        <v>0</v>
      </c>
      <c r="FP287" s="246">
        <f>((FP285/'Как будет'!$C$7)+FO287)*IF(FP4="",0,1)</f>
        <v>0</v>
      </c>
      <c r="FQ287" s="246">
        <f>((FQ285/'Как будет'!$C$7)+FP287)*IF(FQ4="",0,1)</f>
        <v>0</v>
      </c>
      <c r="FR287" s="246">
        <f>((FR285/'Как будет'!$C$7)+FQ287)*IF(FR4="",0,1)</f>
        <v>0</v>
      </c>
      <c r="FS287" s="246">
        <f>((FS285/'Как будет'!$C$7)+FR287)*IF(FS4="",0,1)</f>
        <v>0</v>
      </c>
      <c r="FT287" s="246">
        <f>((FT285/'Как будет'!$C$7)+FS287)*IF(FT4="",0,1)</f>
        <v>0</v>
      </c>
      <c r="FU287" s="246">
        <f>((FU285/'Как будет'!$C$7)+FT287)*IF(FU4="",0,1)</f>
        <v>0</v>
      </c>
      <c r="FV287" s="246">
        <f>((FV285/'Как будет'!$C$7)+FU287)*IF(FV4="",0,1)</f>
        <v>0</v>
      </c>
      <c r="FW287" s="246">
        <f>((FW285/'Как будет'!$C$7)+FV287)*IF(FW4="",0,1)</f>
        <v>0</v>
      </c>
      <c r="FX287" s="246">
        <f>((FX285/'Как будет'!$C$7)+FW287)*IF(FX4="",0,1)</f>
        <v>0</v>
      </c>
      <c r="FY287" s="246">
        <f>((FY285/'Как будет'!$C$7)+FX287)*IF(FY4="",0,1)</f>
        <v>0</v>
      </c>
      <c r="FZ287" s="246">
        <f>((FZ285/'Как будет'!$C$7)+FY287)*IF(FZ4="",0,1)</f>
        <v>0</v>
      </c>
      <c r="GA287" s="246">
        <f>((GA285/'Как будет'!$C$7)+FZ287)*IF(GA4="",0,1)</f>
        <v>0</v>
      </c>
      <c r="GB287" s="246">
        <f>((GB285/'Как будет'!$C$7)+GA287)*IF(GB4="",0,1)</f>
        <v>0</v>
      </c>
      <c r="GC287" s="246">
        <f>((GC285/'Как будет'!$C$7)+GB287)*IF(GC4="",0,1)</f>
        <v>0</v>
      </c>
      <c r="GD287" s="246">
        <f>((GD285/'Как будет'!$C$7)+GC287)*IF(GD4="",0,1)</f>
        <v>0</v>
      </c>
      <c r="GE287" s="246">
        <f>((GE285/'Как будет'!$C$7)+GD287)*IF(GE4="",0,1)</f>
        <v>0</v>
      </c>
      <c r="GF287" s="246">
        <f>((GF285/'Как будет'!$C$7)+GE287)*IF(GF4="",0,1)</f>
        <v>0</v>
      </c>
      <c r="GG287" s="246">
        <f>((GG285/'Как будет'!$C$7)+GF287)*IF(GG4="",0,1)</f>
        <v>0</v>
      </c>
      <c r="GH287" s="246">
        <f>((GH285/'Как будет'!$C$7)+GG287)*IF(GH4="",0,1)</f>
        <v>0</v>
      </c>
      <c r="GI287" s="246">
        <f>((GI285/'Как будет'!$C$7)+GH287)*IF(GI4="",0,1)</f>
        <v>0</v>
      </c>
      <c r="GJ287" s="246">
        <f>((GJ285/'Как будет'!$C$7)+GI287)*IF(GJ4="",0,1)</f>
        <v>0</v>
      </c>
      <c r="GK287" s="246">
        <f>((GK285/'Как будет'!$C$7)+GJ287)*IF(GK4="",0,1)</f>
        <v>0</v>
      </c>
      <c r="GL287" s="246">
        <f>((GL285/'Как будет'!$C$7)+GK287)*IF(GL4="",0,1)</f>
        <v>0</v>
      </c>
      <c r="GM287" s="246">
        <f>((GM285/'Как будет'!$C$7)+GL287)*IF(GM4="",0,1)</f>
        <v>0</v>
      </c>
      <c r="GN287" s="246">
        <f>((GN285/'Как будет'!$C$7)+GM287)*IF(GN4="",0,1)</f>
        <v>0</v>
      </c>
      <c r="GO287" s="246">
        <f>((GO285/'Как будет'!$C$7)+GN287)*IF(GO4="",0,1)</f>
        <v>0</v>
      </c>
      <c r="GP287" s="246">
        <f>((GP285/'Как будет'!$C$7)+GO287)*IF(GP4="",0,1)</f>
        <v>0</v>
      </c>
      <c r="GQ287" s="246">
        <f>((GQ285/'Как будет'!$C$7)+GP287)*IF(GQ4="",0,1)</f>
        <v>0</v>
      </c>
      <c r="GR287" s="246">
        <f>((GR285/'Как будет'!$C$7)+GQ287)*IF(GR4="",0,1)</f>
        <v>0</v>
      </c>
      <c r="GS287" s="246">
        <f>((GS285/'Как будет'!$C$7)+GR287)*IF(GS4="",0,1)</f>
        <v>0</v>
      </c>
      <c r="GT287" s="246">
        <f>((GT285/'Как будет'!$C$7)+GS287)*IF(GT4="",0,1)</f>
        <v>0</v>
      </c>
    </row>
    <row r="288" spans="1:202" s="251" customFormat="1">
      <c r="A288" s="250" t="s">
        <v>51</v>
      </c>
      <c r="B288" s="251">
        <f>IFERROR(-(B283+B287+B286)*VLOOKUP(Доп.расчеты!B3,Доп.расчеты!$A$330:$B$351,2,FALSE),0)</f>
        <v>8.3806666666666665</v>
      </c>
      <c r="C288" s="251">
        <f>IFERROR(-(C283+C287+C286)*VLOOKUP(Доп.расчеты!C3,Доп.расчеты!$A$330:$B$351,2,FALSE),0)</f>
        <v>12.749166666666667</v>
      </c>
      <c r="D288" s="251">
        <f>IFERROR(-(D283+D287+D286)*VLOOKUP(Доп.расчеты!D3,Доп.расчеты!$A$330:$B$351,2,FALSE),0)</f>
        <v>19.083750000000002</v>
      </c>
      <c r="E288" s="251">
        <f>IFERROR(-(E283+E287+E286)*VLOOKUP(Доп.расчеты!E3,Доп.расчеты!$A$330:$B$351,2,FALSE),0)</f>
        <v>24.43266666666667</v>
      </c>
      <c r="F288" s="251">
        <f>IFERROR(-(F283+F287+F286)*VLOOKUP(Доп.расчеты!F3,Доп.расчеты!$A$330:$B$351,2,FALSE),0)</f>
        <v>28.661500000000004</v>
      </c>
      <c r="G288" s="251">
        <f>IFERROR(-(G283+G287+G286)*VLOOKUP(Доп.расчеты!G3,Доп.расчеты!$A$330:$B$351,2,FALSE),0)</f>
        <v>32.067666666666668</v>
      </c>
      <c r="H288" s="251">
        <f>IFERROR(-(H283+H287+H286)*VLOOKUP(Доп.расчеты!H3,Доп.расчеты!$A$330:$B$351,2,FALSE),0)</f>
        <v>35.473833333333332</v>
      </c>
      <c r="I288" s="251">
        <f>IFERROR(-(I283+I287+I286)*VLOOKUP(Доп.расчеты!I3,Доп.расчеты!$A$330:$B$351,2,FALSE),0)</f>
        <v>38.879999999999995</v>
      </c>
      <c r="J288" s="251">
        <f>IFERROR(-(J283+J287+J286)*VLOOKUP(Доп.расчеты!J3,Доп.расчеты!$A$330:$B$351,2,FALSE),0)</f>
        <v>42.286166666666659</v>
      </c>
      <c r="K288" s="251">
        <f>IFERROR(-(K283+K287+K286)*VLOOKUP(Доп.расчеты!K3,Доп.расчеты!$A$330:$B$351,2,FALSE),0)</f>
        <v>45.692333333333323</v>
      </c>
      <c r="L288" s="251">
        <f>IFERROR(-(L283+L287+L286)*VLOOKUP(Доп.расчеты!L3,Доп.расчеты!$A$330:$B$351,2,FALSE),0)</f>
        <v>49.098499999999987</v>
      </c>
      <c r="M288" s="251">
        <f>IFERROR(-(M283+M287+M286)*VLOOKUP(Доп.расчеты!M3,Доп.расчеты!$A$330:$B$351,2,FALSE),0)</f>
        <v>49.782249999999991</v>
      </c>
      <c r="N288" s="251">
        <f>IFERROR(-(N283+N287+N286)*VLOOKUP(Доп.расчеты!N3,Доп.расчеты!$A$330:$B$351,2,FALSE),0)</f>
        <v>-61.778422399121226</v>
      </c>
      <c r="O288" s="251">
        <f>IFERROR(-(O283+O287+O286)*VLOOKUP(Доп.расчеты!O3,Доп.расчеты!$A$330:$B$351,2,FALSE),0)</f>
        <v>-193.52617794664144</v>
      </c>
      <c r="P288" s="251">
        <f>IFERROR(-(P283+P287+P286)*VLOOKUP(Доп.расчеты!P3,Доп.расчеты!$A$330:$B$351,2,FALSE),0)</f>
        <v>-498.01854005593179</v>
      </c>
      <c r="Q288" s="251">
        <f>IFERROR(-(Q283+Q287+Q286)*VLOOKUP(Доп.расчеты!Q3,Доп.расчеты!$A$330:$B$351,2,FALSE),0)</f>
        <v>-477.42555807815029</v>
      </c>
      <c r="R288" s="251">
        <f>IFERROR(-(R283+R287+R286)*VLOOKUP(Доп.расчеты!R3,Доп.расчеты!$A$330:$B$351,2,FALSE),0)</f>
        <v>-520.9805610728954</v>
      </c>
      <c r="S288" s="251">
        <f>IFERROR(-(S283+S287+S286)*VLOOKUP(Доп.расчеты!S3,Доп.расчеты!$A$330:$B$351,2,FALSE),0)</f>
        <v>-689.75209374970075</v>
      </c>
      <c r="T288" s="251">
        <f>IFERROR(-(T283+T287+T286)*VLOOKUP(Доп.расчеты!T3,Доп.расчеты!$A$330:$B$351,2,FALSE),0)</f>
        <v>-532.71015142719466</v>
      </c>
      <c r="U288" s="251">
        <f>IFERROR(-(U283+U287+U286)*VLOOKUP(Доп.расчеты!U3,Доп.расчеты!$A$330:$B$351,2,FALSE),0)</f>
        <v>-595.38029654658646</v>
      </c>
      <c r="V288" s="251">
        <f>IFERROR(-(V283+V287+V286)*VLOOKUP(Доп.расчеты!V3,Доп.расчеты!$A$330:$B$351,2,FALSE),0)</f>
        <v>-822.20383550904251</v>
      </c>
      <c r="W288" s="251">
        <f>IFERROR(-(W283+W287+W286)*VLOOKUP(Доп.расчеты!W3,Доп.расчеты!$A$330:$B$351,2,FALSE),0)</f>
        <v>-753.14603400590977</v>
      </c>
      <c r="X288" s="251">
        <f>IFERROR(-(X283+X287+X286)*VLOOKUP(Доп.расчеты!X3,Доп.расчеты!$A$330:$B$351,2,FALSE),0)</f>
        <v>-640.14656848645166</v>
      </c>
      <c r="Y288" s="251">
        <f>IFERROR(-(Y283+Y287+Y286)*VLOOKUP(Доп.расчеты!Y3,Доп.расчеты!$A$330:$B$351,2,FALSE),0)</f>
        <v>-847.37122532705223</v>
      </c>
      <c r="Z288" s="251">
        <f>IFERROR(-(Z283+Z287+Z286)*VLOOKUP(Доп.расчеты!Z3,Доп.расчеты!$A$330:$B$351,2,FALSE),0)</f>
        <v>-61.778422399121226</v>
      </c>
      <c r="AA288" s="251">
        <f>IFERROR(-(AA283+AA287+AA286)*VLOOKUP(Доп.расчеты!AA3,Доп.расчеты!$A$330:$B$351,2,FALSE),0)</f>
        <v>-193.52617794664144</v>
      </c>
      <c r="AB288" s="251">
        <f>IFERROR(-(AB283+AB287+AB286)*VLOOKUP(Доп.расчеты!AB3,Доп.расчеты!$A$330:$B$351,2,FALSE),0)</f>
        <v>-498.01854005593179</v>
      </c>
      <c r="AC288" s="251">
        <f>IFERROR(-(AC283+AC287+AC286)*VLOOKUP(Доп.расчеты!AC3,Доп.расчеты!$A$330:$B$351,2,FALSE),0)</f>
        <v>-477.42555807815029</v>
      </c>
      <c r="AD288" s="251">
        <f>IFERROR(-(AD283+AD287+AD286)*VLOOKUP(Доп.расчеты!AD3,Доп.расчеты!$A$330:$B$351,2,FALSE),0)</f>
        <v>-520.9805610728954</v>
      </c>
      <c r="AE288" s="251">
        <f>IFERROR(-(AE283+AE287+AE286)*VLOOKUP(Доп.расчеты!AE3,Доп.расчеты!$A$330:$B$351,2,FALSE),0)</f>
        <v>-689.75209374970075</v>
      </c>
      <c r="AF288" s="251">
        <f>IFERROR(-(AF283+AF287+AF286)*VLOOKUP(Доп.расчеты!AF3,Доп.расчеты!$A$330:$B$351,2,FALSE),0)</f>
        <v>-532.71015142719466</v>
      </c>
      <c r="AG288" s="251">
        <f>IFERROR(-(AG283+AG287+AG286)*VLOOKUP(Доп.расчеты!AG3,Доп.расчеты!$A$330:$B$351,2,FALSE),0)</f>
        <v>-595.38029654658646</v>
      </c>
      <c r="AH288" s="251">
        <f>IFERROR(-(AH283+AH287+AH286)*VLOOKUP(Доп.расчеты!AH3,Доп.расчеты!$A$330:$B$351,2,FALSE),0)</f>
        <v>-822.20383550904251</v>
      </c>
      <c r="AI288" s="251">
        <f>IFERROR(-(AI283+AI287+AI286)*VLOOKUP(Доп.расчеты!AI3,Доп.расчеты!$A$330:$B$351,2,FALSE),0)</f>
        <v>-753.14603400590977</v>
      </c>
      <c r="AJ288" s="251">
        <f>IFERROR(-(AJ283+AJ287+AJ286)*VLOOKUP(Доп.расчеты!AJ3,Доп.расчеты!$A$330:$B$351,2,FALSE),0)</f>
        <v>-640.14656848645166</v>
      </c>
      <c r="AK288" s="251">
        <f>IFERROR(-(AK283+AK287+AK286)*VLOOKUP(Доп.расчеты!AK3,Доп.расчеты!$A$330:$B$351,2,FALSE),0)</f>
        <v>-847.37122532705223</v>
      </c>
      <c r="AL288" s="251">
        <f>IFERROR(-(AL283+AL287+AL286)*VLOOKUP(Доп.расчеты!AL3,Доп.расчеты!$A$330:$B$351,2,FALSE),0)</f>
        <v>-61.778422399121226</v>
      </c>
      <c r="AM288" s="251">
        <f>IFERROR(-(AM283+AM287+AM286)*VLOOKUP(Доп.расчеты!AM3,Доп.расчеты!$A$330:$B$351,2,FALSE),0)</f>
        <v>-193.52617794664144</v>
      </c>
      <c r="AN288" s="251">
        <f>IFERROR(-(AN283+AN287+AN286)*VLOOKUP(Доп.расчеты!AN3,Доп.расчеты!$A$330:$B$351,2,FALSE),0)</f>
        <v>-498.01854005593179</v>
      </c>
      <c r="AO288" s="251">
        <f>IFERROR(-(AO283+AO287+AO286)*VLOOKUP(Доп.расчеты!AO3,Доп.расчеты!$A$330:$B$351,2,FALSE),0)</f>
        <v>-477.42555807815029</v>
      </c>
      <c r="AP288" s="251">
        <f>IFERROR(-(AP283+AP287+AP286)*VLOOKUP(Доп.расчеты!AP3,Доп.расчеты!$A$330:$B$351,2,FALSE),0)</f>
        <v>-520.9805610728954</v>
      </c>
      <c r="AQ288" s="251">
        <f>IFERROR(-(AQ283+AQ287+AQ286)*VLOOKUP(Доп.расчеты!AQ3,Доп.расчеты!$A$330:$B$351,2,FALSE),0)</f>
        <v>-689.75209374970075</v>
      </c>
      <c r="AR288" s="251">
        <f>IFERROR(-(AR283+AR287+AR286)*VLOOKUP(Доп.расчеты!AR3,Доп.расчеты!$A$330:$B$351,2,FALSE),0)</f>
        <v>-532.71015142719466</v>
      </c>
      <c r="AS288" s="251">
        <f>IFERROR(-(AS283+AS287+AS286)*VLOOKUP(Доп.расчеты!AS3,Доп.расчеты!$A$330:$B$351,2,FALSE),0)</f>
        <v>-595.38029654658646</v>
      </c>
      <c r="AT288" s="251">
        <f>IFERROR(-(AT283+AT287+AT286)*VLOOKUP(Доп.расчеты!AT3,Доп.расчеты!$A$330:$B$351,2,FALSE),0)</f>
        <v>-822.20383550904251</v>
      </c>
      <c r="AU288" s="251">
        <f>IFERROR(-(AU283+AU287+AU286)*VLOOKUP(Доп.расчеты!AU3,Доп.расчеты!$A$330:$B$351,2,FALSE),0)</f>
        <v>-753.14603400590977</v>
      </c>
      <c r="AV288" s="251">
        <f>IFERROR(-(AV283+AV287+AV286)*VLOOKUP(Доп.расчеты!AV3,Доп.расчеты!$A$330:$B$351,2,FALSE),0)</f>
        <v>-640.14656848645166</v>
      </c>
      <c r="AW288" s="251">
        <f>IFERROR(-(AW283+AW287+AW286)*VLOOKUP(Доп.расчеты!AW3,Доп.расчеты!$A$330:$B$351,2,FALSE),0)</f>
        <v>-847.37122532705223</v>
      </c>
      <c r="AX288" s="251">
        <f>IFERROR(-(AX283+AX287+AX286)*VLOOKUP(Доп.расчеты!AX3,Доп.расчеты!$A$330:$B$351,2,FALSE),0)</f>
        <v>-61.778422399121226</v>
      </c>
      <c r="AY288" s="251">
        <f>IFERROR(-(AY283+AY287+AY286)*VLOOKUP(Доп.расчеты!AY3,Доп.расчеты!$A$330:$B$351,2,FALSE),0)</f>
        <v>-193.52617794664144</v>
      </c>
      <c r="AZ288" s="251">
        <f>IFERROR(-(AZ283+AZ287+AZ286)*VLOOKUP(Доп.расчеты!AZ3,Доп.расчеты!$A$330:$B$351,2,FALSE),0)</f>
        <v>-498.01854005593179</v>
      </c>
      <c r="BA288" s="251">
        <f>IFERROR(-(BA283+BA287+BA286)*VLOOKUP(Доп.расчеты!BA3,Доп.расчеты!$A$330:$B$351,2,FALSE),0)</f>
        <v>-477.42555807815029</v>
      </c>
      <c r="BB288" s="251">
        <f>IFERROR(-(BB283+BB287+BB286)*VLOOKUP(Доп.расчеты!BB3,Доп.расчеты!$A$330:$B$351,2,FALSE),0)</f>
        <v>-520.9805610728954</v>
      </c>
      <c r="BC288" s="251">
        <f>IFERROR(-(BC283+BC287+BC286)*VLOOKUP(Доп.расчеты!BC3,Доп.расчеты!$A$330:$B$351,2,FALSE),0)</f>
        <v>-689.75209374970075</v>
      </c>
      <c r="BD288" s="251">
        <f>IFERROR(-(BD283+BD287+BD286)*VLOOKUP(Доп.расчеты!BD3,Доп.расчеты!$A$330:$B$351,2,FALSE),0)</f>
        <v>-532.71015142719466</v>
      </c>
      <c r="BE288" s="251">
        <f>IFERROR(-(BE283+BE287+BE286)*VLOOKUP(Доп.расчеты!BE3,Доп.расчеты!$A$330:$B$351,2,FALSE),0)</f>
        <v>-595.38029654658646</v>
      </c>
      <c r="BF288" s="251">
        <f>IFERROR(-(BF283+BF287+BF286)*VLOOKUP(Доп.расчеты!BF3,Доп.расчеты!$A$330:$B$351,2,FALSE),0)</f>
        <v>-822.20383550904251</v>
      </c>
      <c r="BG288" s="251">
        <f>IFERROR(-(BG283+BG287+BG286)*VLOOKUP(Доп.расчеты!BG3,Доп.расчеты!$A$330:$B$351,2,FALSE),0)</f>
        <v>-753.14603400590977</v>
      </c>
      <c r="BH288" s="251">
        <f>IFERROR(-(BH283+BH287+BH286)*VLOOKUP(Доп.расчеты!BH3,Доп.расчеты!$A$330:$B$351,2,FALSE),0)</f>
        <v>-640.14656848645166</v>
      </c>
      <c r="BI288" s="251">
        <f>IFERROR(-(BI283+BI287+BI286)*VLOOKUP(Доп.расчеты!BI3,Доп.расчеты!$A$330:$B$351,2,FALSE),0)</f>
        <v>-847.37122532705223</v>
      </c>
      <c r="BJ288" s="251">
        <f>IFERROR(-(BJ283+BJ287+BJ286)*VLOOKUP(Доп.расчеты!BJ3,Доп.расчеты!$A$330:$B$351,2,FALSE),0)</f>
        <v>0</v>
      </c>
      <c r="BK288" s="251">
        <f>IFERROR(-(BK283+BK287+BK286)*VLOOKUP(Доп.расчеты!BK3,Доп.расчеты!$A$330:$B$351,2,FALSE),0)</f>
        <v>0</v>
      </c>
      <c r="BL288" s="251">
        <f>IFERROR(-(BL283+BL287+BL286)*VLOOKUP(Доп.расчеты!BL3,Доп.расчеты!$A$330:$B$351,2,FALSE),0)</f>
        <v>0</v>
      </c>
      <c r="BM288" s="251">
        <f>IFERROR(-(BM283+BM287+BM286)*VLOOKUP(Доп.расчеты!BM3,Доп.расчеты!$A$330:$B$351,2,FALSE),0)</f>
        <v>0</v>
      </c>
      <c r="BN288" s="251">
        <f>IFERROR(-(BN283+BN287+BN286)*VLOOKUP(Доп.расчеты!BN3,Доп.расчеты!$A$330:$B$351,2,FALSE),0)</f>
        <v>0</v>
      </c>
      <c r="BO288" s="251">
        <f>IFERROR(-(BO283+BO287+BO286)*VLOOKUP(Доп.расчеты!BO3,Доп.расчеты!$A$330:$B$351,2,FALSE),0)</f>
        <v>0</v>
      </c>
      <c r="BP288" s="251">
        <f>IFERROR(-(BP283+BP287+BP286)*VLOOKUP(Доп.расчеты!BP3,Доп.расчеты!$A$330:$B$351,2,FALSE),0)</f>
        <v>0</v>
      </c>
      <c r="BQ288" s="251">
        <f>IFERROR(-(BQ283+BQ287+BQ286)*VLOOKUP(Доп.расчеты!BQ3,Доп.расчеты!$A$330:$B$351,2,FALSE),0)</f>
        <v>0</v>
      </c>
      <c r="BR288" s="251">
        <f>IFERROR(-(BR283+BR287+BR286)*VLOOKUP(Доп.расчеты!BR3,Доп.расчеты!$A$330:$B$351,2,FALSE),0)</f>
        <v>0</v>
      </c>
      <c r="BS288" s="251">
        <f>IFERROR(-(BS283+BS287+BS286)*VLOOKUP(Доп.расчеты!BS3,Доп.расчеты!$A$330:$B$351,2,FALSE),0)</f>
        <v>0</v>
      </c>
      <c r="BT288" s="251">
        <f>IFERROR(-(BT283+BT287+BT286)*VLOOKUP(Доп.расчеты!BT3,Доп.расчеты!$A$330:$B$351,2,FALSE),0)</f>
        <v>0</v>
      </c>
      <c r="BU288" s="251">
        <f>IFERROR(-(BU283+BU287+BU286)*VLOOKUP(Доп.расчеты!BU3,Доп.расчеты!$A$330:$B$351,2,FALSE),0)</f>
        <v>0</v>
      </c>
      <c r="BV288" s="251">
        <f>IFERROR(-(BV283+BV287+BV286)*VLOOKUP(Доп.расчеты!BV3,Доп.расчеты!$A$330:$B$351,2,FALSE),0)</f>
        <v>0</v>
      </c>
      <c r="BW288" s="251">
        <f>IFERROR(-(BW283+BW287+BW286)*VLOOKUP(Доп.расчеты!BW3,Доп.расчеты!$A$330:$B$351,2,FALSE),0)</f>
        <v>0</v>
      </c>
      <c r="BX288" s="251">
        <f>IFERROR(-(BX283+BX287+BX286)*VLOOKUP(Доп.расчеты!BX3,Доп.расчеты!$A$330:$B$351,2,FALSE),0)</f>
        <v>0</v>
      </c>
      <c r="BY288" s="251">
        <f>IFERROR(-(BY283+BY287+BY286)*VLOOKUP(Доп.расчеты!BY3,Доп.расчеты!$A$330:$B$351,2,FALSE),0)</f>
        <v>0</v>
      </c>
      <c r="BZ288" s="251">
        <f>IFERROR(-(BZ283+BZ287+BZ286)*VLOOKUP(Доп.расчеты!BZ3,Доп.расчеты!$A$330:$B$351,2,FALSE),0)</f>
        <v>0</v>
      </c>
      <c r="CA288" s="251">
        <f>IFERROR(-(CA283+CA287+CA286)*VLOOKUP(Доп.расчеты!CA3,Доп.расчеты!$A$330:$B$351,2,FALSE),0)</f>
        <v>0</v>
      </c>
      <c r="CB288" s="251">
        <f>IFERROR(-(CB283+CB287+CB286)*VLOOKUP(Доп.расчеты!CB3,Доп.расчеты!$A$330:$B$351,2,FALSE),0)</f>
        <v>0</v>
      </c>
      <c r="CC288" s="251">
        <f>IFERROR(-(CC283+CC287+CC286)*VLOOKUP(Доп.расчеты!CC3,Доп.расчеты!$A$330:$B$351,2,FALSE),0)</f>
        <v>0</v>
      </c>
      <c r="CD288" s="251">
        <f>IFERROR(-(CD283+CD287+CD286)*VLOOKUP(Доп.расчеты!CD3,Доп.расчеты!$A$330:$B$351,2,FALSE),0)</f>
        <v>0</v>
      </c>
      <c r="CE288" s="251">
        <f>IFERROR(-(CE283+CE287+CE286)*VLOOKUP(Доп.расчеты!CE3,Доп.расчеты!$A$330:$B$351,2,FALSE),0)</f>
        <v>0</v>
      </c>
      <c r="CF288" s="251">
        <f>IFERROR(-(CF283+CF287+CF286)*VLOOKUP(Доп.расчеты!CF3,Доп.расчеты!$A$330:$B$351,2,FALSE),0)</f>
        <v>0</v>
      </c>
      <c r="CG288" s="251">
        <f>IFERROR(-(CG283+CG287+CG286)*VLOOKUP(Доп.расчеты!CG3,Доп.расчеты!$A$330:$B$351,2,FALSE),0)</f>
        <v>0</v>
      </c>
      <c r="CH288" s="251">
        <f>IFERROR(-(CH283+CH287+CH286)*VLOOKUP(Доп.расчеты!CH3,Доп.расчеты!$A$330:$B$351,2,FALSE),0)</f>
        <v>0</v>
      </c>
      <c r="CI288" s="251">
        <f>IFERROR(-(CI283+CI287+CI286)*VLOOKUP(Доп.расчеты!CI3,Доп.расчеты!$A$330:$B$351,2,FALSE),0)</f>
        <v>0</v>
      </c>
      <c r="CJ288" s="251">
        <f>IFERROR(-(CJ283+CJ287+CJ286)*VLOOKUP(Доп.расчеты!CJ3,Доп.расчеты!$A$330:$B$351,2,FALSE),0)</f>
        <v>0</v>
      </c>
      <c r="CK288" s="251">
        <f>IFERROR(-(CK283+CK287+CK286)*VLOOKUP(Доп.расчеты!CK3,Доп.расчеты!$A$330:$B$351,2,FALSE),0)</f>
        <v>0</v>
      </c>
      <c r="CL288" s="251">
        <f>IFERROR(-(CL283+CL287+CL286)*VLOOKUP(Доп.расчеты!CL3,Доп.расчеты!$A$330:$B$351,2,FALSE),0)</f>
        <v>0</v>
      </c>
      <c r="CM288" s="251">
        <f>IFERROR(-(CM283+CM287+CM286)*VLOOKUP(Доп.расчеты!CM3,Доп.расчеты!$A$330:$B$351,2,FALSE),0)</f>
        <v>0</v>
      </c>
      <c r="CN288" s="251">
        <f>IFERROR(-(CN283+CN287+CN286)*VLOOKUP(Доп.расчеты!CN3,Доп.расчеты!$A$330:$B$351,2,FALSE),0)</f>
        <v>0</v>
      </c>
      <c r="CO288" s="251">
        <f>IFERROR(-(CO283+CO287+CO286)*VLOOKUP(Доп.расчеты!CO3,Доп.расчеты!$A$330:$B$351,2,FALSE),0)</f>
        <v>0</v>
      </c>
      <c r="CP288" s="251">
        <f>IFERROR(-(CP283+CP287+CP286)*VLOOKUP(Доп.расчеты!CP3,Доп.расчеты!$A$330:$B$351,2,FALSE),0)</f>
        <v>0</v>
      </c>
      <c r="CQ288" s="251">
        <f>IFERROR(-(CQ283+CQ287+CQ286)*VLOOKUP(Доп.расчеты!CQ3,Доп.расчеты!$A$330:$B$351,2,FALSE),0)</f>
        <v>0</v>
      </c>
      <c r="CR288" s="251">
        <f>IFERROR(-(CR283+CR287+CR286)*VLOOKUP(Доп.расчеты!CR3,Доп.расчеты!$A$330:$B$351,2,FALSE),0)</f>
        <v>0</v>
      </c>
      <c r="CS288" s="251">
        <f>IFERROR(-(CS283+CS287+CS286)*VLOOKUP(Доп.расчеты!CS3,Доп.расчеты!$A$330:$B$351,2,FALSE),0)</f>
        <v>0</v>
      </c>
      <c r="CT288" s="251">
        <f>IFERROR(-(CT283+CT287+CT286)*VLOOKUP(Доп.расчеты!CT3,Доп.расчеты!$A$330:$B$351,2,FALSE),0)</f>
        <v>0</v>
      </c>
      <c r="CU288" s="251">
        <f>IFERROR(-(CU283+CU287+CU286)*VLOOKUP(Доп.расчеты!CU3,Доп.расчеты!$A$330:$B$351,2,FALSE),0)</f>
        <v>0</v>
      </c>
      <c r="CV288" s="251">
        <f>IFERROR(-(CV283+CV287+CV286)*VLOOKUP(Доп.расчеты!CV3,Доп.расчеты!$A$330:$B$351,2,FALSE),0)</f>
        <v>0</v>
      </c>
      <c r="CW288" s="251">
        <f>IFERROR(-(CW283+CW287+CW286)*VLOOKUP(Доп.расчеты!CW3,Доп.расчеты!$A$330:$B$351,2,FALSE),0)</f>
        <v>0</v>
      </c>
      <c r="CX288" s="251">
        <f>IFERROR(-(CX283+CX287+CX286)*VLOOKUP(Доп.расчеты!CX3,Доп.расчеты!$A$330:$B$351,2,FALSE),0)</f>
        <v>0</v>
      </c>
      <c r="CY288" s="251">
        <f>IFERROR(-(CY283+CY287+CY286)*VLOOKUP(Доп.расчеты!CY3,Доп.расчеты!$A$330:$B$351,2,FALSE),0)</f>
        <v>0</v>
      </c>
      <c r="CZ288" s="251">
        <f>IFERROR(-(CZ283+CZ287+CZ286)*VLOOKUP(Доп.расчеты!CZ3,Доп.расчеты!$A$330:$B$351,2,FALSE),0)</f>
        <v>0</v>
      </c>
      <c r="DA288" s="251">
        <f>IFERROR(-(DA283+DA287+DA286)*VLOOKUP(Доп.расчеты!DA3,Доп.расчеты!$A$330:$B$351,2,FALSE),0)</f>
        <v>0</v>
      </c>
      <c r="DB288" s="251">
        <f>IFERROR(-(DB283+DB287+DB286)*VLOOKUP(Доп.расчеты!DB3,Доп.расчеты!$A$330:$B$351,2,FALSE),0)</f>
        <v>0</v>
      </c>
      <c r="DC288" s="251">
        <f>IFERROR(-(DC283+DC287+DC286)*VLOOKUP(Доп.расчеты!DC3,Доп.расчеты!$A$330:$B$351,2,FALSE),0)</f>
        <v>0</v>
      </c>
      <c r="DD288" s="251">
        <f>IFERROR(-(DD283+DD287+DD286)*VLOOKUP(Доп.расчеты!DD3,Доп.расчеты!$A$330:$B$351,2,FALSE),0)</f>
        <v>0</v>
      </c>
      <c r="DE288" s="251">
        <f>IFERROR(-(DE283+DE287+DE286)*VLOOKUP(Доп.расчеты!DE3,Доп.расчеты!$A$330:$B$351,2,FALSE),0)</f>
        <v>0</v>
      </c>
      <c r="DF288" s="251">
        <f>IFERROR(-(DF283+DF287+DF286)*VLOOKUP(Доп.расчеты!DF3,Доп.расчеты!$A$330:$B$351,2,FALSE),0)</f>
        <v>0</v>
      </c>
      <c r="DG288" s="251">
        <f>IFERROR(-(DG283+DG287+DG286)*VLOOKUP(Доп.расчеты!DG3,Доп.расчеты!$A$330:$B$351,2,FALSE),0)</f>
        <v>0</v>
      </c>
      <c r="DH288" s="251">
        <f>IFERROR(-(DH283+DH287+DH286)*VLOOKUP(Доп.расчеты!DH3,Доп.расчеты!$A$330:$B$351,2,FALSE),0)</f>
        <v>0</v>
      </c>
      <c r="DI288" s="251">
        <f>IFERROR(-(DI283+DI287+DI286)*VLOOKUP(Доп.расчеты!DI3,Доп.расчеты!$A$330:$B$351,2,FALSE),0)</f>
        <v>0</v>
      </c>
      <c r="DJ288" s="251">
        <f>IFERROR(-(DJ283+DJ287+DJ286)*VLOOKUP(Доп.расчеты!DJ3,Доп.расчеты!$A$330:$B$351,2,FALSE),0)</f>
        <v>0</v>
      </c>
      <c r="DK288" s="251">
        <f>IFERROR(-(DK283+DK287+DK286)*VLOOKUP(Доп.расчеты!DK3,Доп.расчеты!$A$330:$B$351,2,FALSE),0)</f>
        <v>0</v>
      </c>
      <c r="DL288" s="251">
        <f>IFERROR(-(DL283+DL287+DL286)*VLOOKUP(Доп.расчеты!DL3,Доп.расчеты!$A$330:$B$351,2,FALSE),0)</f>
        <v>0</v>
      </c>
      <c r="DM288" s="251">
        <f>IFERROR(-(DM283+DM287+DM286)*VLOOKUP(Доп.расчеты!DM3,Доп.расчеты!$A$330:$B$351,2,FALSE),0)</f>
        <v>0</v>
      </c>
      <c r="DN288" s="251">
        <f>IFERROR(-(DN283+DN287+DN286)*VLOOKUP(Доп.расчеты!DN3,Доп.расчеты!$A$330:$B$351,2,FALSE),0)</f>
        <v>0</v>
      </c>
      <c r="DO288" s="251">
        <f>IFERROR(-(DO283+DO287+DO286)*VLOOKUP(Доп.расчеты!DO3,Доп.расчеты!$A$330:$B$351,2,FALSE),0)</f>
        <v>0</v>
      </c>
      <c r="DP288" s="251">
        <f>IFERROR(-(DP283+DP287+DP286)*VLOOKUP(Доп.расчеты!DP3,Доп.расчеты!$A$330:$B$351,2,FALSE),0)</f>
        <v>0</v>
      </c>
      <c r="DQ288" s="251">
        <f>IFERROR(-(DQ283+DQ287+DQ286)*VLOOKUP(Доп.расчеты!DQ3,Доп.расчеты!$A$330:$B$351,2,FALSE),0)</f>
        <v>0</v>
      </c>
      <c r="DR288" s="251">
        <f>IFERROR(-(DR283+DR287+DR286)*VLOOKUP(Доп.расчеты!DR3,Доп.расчеты!$A$330:$B$351,2,FALSE),0)</f>
        <v>0</v>
      </c>
      <c r="DS288" s="251">
        <f>IFERROR(-(DS283+DS287+DS286)*VLOOKUP(Доп.расчеты!DS3,Доп.расчеты!$A$330:$B$351,2,FALSE),0)</f>
        <v>0</v>
      </c>
      <c r="DT288" s="251">
        <f>IFERROR(-(DT283+DT287+DT286)*VLOOKUP(Доп.расчеты!DT3,Доп.расчеты!$A$330:$B$351,2,FALSE),0)</f>
        <v>0</v>
      </c>
      <c r="DU288" s="251">
        <f>IFERROR(-(DU283+DU287+DU286)*VLOOKUP(Доп.расчеты!DU3,Доп.расчеты!$A$330:$B$351,2,FALSE),0)</f>
        <v>0</v>
      </c>
      <c r="DV288" s="251">
        <f>IFERROR(-(DV283+DV287+DV286)*VLOOKUP(Доп.расчеты!DV3,Доп.расчеты!$A$330:$B$351,2,FALSE),0)</f>
        <v>0</v>
      </c>
      <c r="DW288" s="251">
        <f>IFERROR(-(DW283+DW287+DW286)*VLOOKUP(Доп.расчеты!DW3,Доп.расчеты!$A$330:$B$351,2,FALSE),0)</f>
        <v>0</v>
      </c>
      <c r="DX288" s="251">
        <f>IFERROR(-(DX283+DX287+DX286)*VLOOKUP(Доп.расчеты!DX3,Доп.расчеты!$A$330:$B$351,2,FALSE),0)</f>
        <v>0</v>
      </c>
      <c r="DY288" s="251">
        <f>IFERROR(-(DY283+DY287+DY286)*VLOOKUP(Доп.расчеты!DY3,Доп.расчеты!$A$330:$B$351,2,FALSE),0)</f>
        <v>0</v>
      </c>
      <c r="DZ288" s="251">
        <f>IFERROR(-(DZ283+DZ287+DZ286)*VLOOKUP(Доп.расчеты!DZ3,Доп.расчеты!$A$330:$B$351,2,FALSE),0)</f>
        <v>0</v>
      </c>
      <c r="EA288" s="251">
        <f>IFERROR(-(EA283+EA287+EA286)*VLOOKUP(Доп.расчеты!EA3,Доп.расчеты!$A$330:$B$351,2,FALSE),0)</f>
        <v>0</v>
      </c>
      <c r="EB288" s="251">
        <f>IFERROR(-(EB283+EB287+EB286)*VLOOKUP(Доп.расчеты!EB3,Доп.расчеты!$A$330:$B$351,2,FALSE),0)</f>
        <v>0</v>
      </c>
      <c r="EC288" s="251">
        <f>IFERROR(-(EC283+EC287+EC286)*VLOOKUP(Доп.расчеты!EC3,Доп.расчеты!$A$330:$B$351,2,FALSE),0)</f>
        <v>0</v>
      </c>
      <c r="ED288" s="251">
        <f>IFERROR(-(ED283+ED287+ED286)*VLOOKUP(Доп.расчеты!ED3,Доп.расчеты!$A$330:$B$351,2,FALSE),0)</f>
        <v>0</v>
      </c>
      <c r="EE288" s="251">
        <f>IFERROR(-(EE283+EE287+EE286)*VLOOKUP(Доп.расчеты!EE3,Доп.расчеты!$A$330:$B$351,2,FALSE),0)</f>
        <v>0</v>
      </c>
      <c r="EF288" s="251">
        <f>IFERROR(-(EF283+EF287+EF286)*VLOOKUP(Доп.расчеты!EF3,Доп.расчеты!$A$330:$B$351,2,FALSE),0)</f>
        <v>0</v>
      </c>
      <c r="EG288" s="251">
        <f>IFERROR(-(EG283+EG287+EG286)*VLOOKUP(Доп.расчеты!EG3,Доп.расчеты!$A$330:$B$351,2,FALSE),0)</f>
        <v>0</v>
      </c>
      <c r="EH288" s="251">
        <f>IFERROR(-(EH283+EH287+EH286)*VLOOKUP(Доп.расчеты!EH3,Доп.расчеты!$A$330:$B$351,2,FALSE),0)</f>
        <v>0</v>
      </c>
      <c r="EI288" s="251">
        <f>IFERROR(-(EI283+EI287+EI286)*VLOOKUP(Доп.расчеты!EI3,Доп.расчеты!$A$330:$B$351,2,FALSE),0)</f>
        <v>0</v>
      </c>
      <c r="EJ288" s="251">
        <f>IFERROR(-(EJ283+EJ287+EJ286)*VLOOKUP(Доп.расчеты!EJ3,Доп.расчеты!$A$330:$B$351,2,FALSE),0)</f>
        <v>0</v>
      </c>
      <c r="EK288" s="251">
        <f>IFERROR(-(EK283+EK287+EK286)*VLOOKUP(Доп.расчеты!EK3,Доп.расчеты!$A$330:$B$351,2,FALSE),0)</f>
        <v>0</v>
      </c>
      <c r="EL288" s="251">
        <f>IFERROR(-(EL283+EL287+EL286)*VLOOKUP(Доп.расчеты!EL3,Доп.расчеты!$A$330:$B$351,2,FALSE),0)</f>
        <v>0</v>
      </c>
      <c r="EM288" s="251">
        <f>IFERROR(-(EM283+EM287+EM286)*VLOOKUP(Доп.расчеты!EM3,Доп.расчеты!$A$330:$B$351,2,FALSE),0)</f>
        <v>0</v>
      </c>
      <c r="EN288" s="251">
        <f>IFERROR(-(EN283+EN287+EN286)*VLOOKUP(Доп.расчеты!EN3,Доп.расчеты!$A$330:$B$351,2,FALSE),0)</f>
        <v>0</v>
      </c>
      <c r="EO288" s="251">
        <f>IFERROR(-(EO283+EO287+EO286)*VLOOKUP(Доп.расчеты!EO3,Доп.расчеты!$A$330:$B$351,2,FALSE),0)</f>
        <v>0</v>
      </c>
      <c r="EP288" s="251">
        <f>IFERROR(-(EP283+EP287+EP286)*VLOOKUP(Доп.расчеты!EP3,Доп.расчеты!$A$330:$B$351,2,FALSE),0)</f>
        <v>0</v>
      </c>
      <c r="EQ288" s="251">
        <f>IFERROR(-(EQ283+EQ287+EQ286)*VLOOKUP(Доп.расчеты!EQ3,Доп.расчеты!$A$330:$B$351,2,FALSE),0)</f>
        <v>0</v>
      </c>
      <c r="ER288" s="251">
        <f>IFERROR(-(ER283+ER287+ER286)*VLOOKUP(Доп.расчеты!ER3,Доп.расчеты!$A$330:$B$351,2,FALSE),0)</f>
        <v>0</v>
      </c>
      <c r="ES288" s="251">
        <f>IFERROR(-(ES283+ES287+ES286)*VLOOKUP(Доп.расчеты!ES3,Доп.расчеты!$A$330:$B$351,2,FALSE),0)</f>
        <v>0</v>
      </c>
      <c r="ET288" s="251">
        <f>IFERROR(-(ET283+ET287+ET286)*VLOOKUP(Доп.расчеты!ET3,Доп.расчеты!$A$330:$B$351,2,FALSE),0)</f>
        <v>0</v>
      </c>
      <c r="EU288" s="251">
        <f>IFERROR(-(EU283+EU287+EU286)*VLOOKUP(Доп.расчеты!EU3,Доп.расчеты!$A$330:$B$351,2,FALSE),0)</f>
        <v>0</v>
      </c>
      <c r="EV288" s="251">
        <f>IFERROR(-(EV283+EV287+EV286)*VLOOKUP(Доп.расчеты!EV3,Доп.расчеты!$A$330:$B$351,2,FALSE),0)</f>
        <v>0</v>
      </c>
      <c r="EW288" s="251">
        <f>IFERROR(-(EW283+EW287+EW286)*VLOOKUP(Доп.расчеты!EW3,Доп.расчеты!$A$330:$B$351,2,FALSE),0)</f>
        <v>0</v>
      </c>
      <c r="EX288" s="251">
        <f>IFERROR(-(EX283+EX287+EX286)*VLOOKUP(Доп.расчеты!EX3,Доп.расчеты!$A$330:$B$351,2,FALSE),0)</f>
        <v>0</v>
      </c>
      <c r="EY288" s="251">
        <f>IFERROR(-(EY283+EY287+EY286)*VLOOKUP(Доп.расчеты!EY3,Доп.расчеты!$A$330:$B$351,2,FALSE),0)</f>
        <v>0</v>
      </c>
      <c r="EZ288" s="251">
        <f>IFERROR(-(EZ283+EZ287+EZ286)*VLOOKUP(Доп.расчеты!EZ3,Доп.расчеты!$A$330:$B$351,2,FALSE),0)</f>
        <v>0</v>
      </c>
      <c r="FA288" s="251">
        <f>IFERROR(-(FA283+FA287+FA286)*VLOOKUP(Доп.расчеты!FA3,Доп.расчеты!$A$330:$B$351,2,FALSE),0)</f>
        <v>0</v>
      </c>
      <c r="FB288" s="251">
        <f>IFERROR(-(FB283+FB287+FB286)*VLOOKUP(Доп.расчеты!FB3,Доп.расчеты!$A$330:$B$351,2,FALSE),0)</f>
        <v>0</v>
      </c>
      <c r="FC288" s="251">
        <f>IFERROR(-(FC283+FC287+FC286)*VLOOKUP(Доп.расчеты!FC3,Доп.расчеты!$A$330:$B$351,2,FALSE),0)</f>
        <v>0</v>
      </c>
      <c r="FD288" s="251">
        <f>IFERROR(-(FD283+FD287+FD286)*VLOOKUP(Доп.расчеты!FD3,Доп.расчеты!$A$330:$B$351,2,FALSE),0)</f>
        <v>0</v>
      </c>
      <c r="FE288" s="251">
        <f>IFERROR(-(FE283+FE287+FE286)*VLOOKUP(Доп.расчеты!FE3,Доп.расчеты!$A$330:$B$351,2,FALSE),0)</f>
        <v>0</v>
      </c>
      <c r="FF288" s="251">
        <f>IFERROR(-(FF283+FF287+FF286)*VLOOKUP(Доп.расчеты!FF3,Доп.расчеты!$A$330:$B$351,2,FALSE),0)</f>
        <v>0</v>
      </c>
      <c r="FG288" s="251">
        <f>IFERROR(-(FG283+FG287+FG286)*VLOOKUP(Доп.расчеты!FG3,Доп.расчеты!$A$330:$B$351,2,FALSE),0)</f>
        <v>0</v>
      </c>
      <c r="FH288" s="251">
        <f>IFERROR(-(FH283+FH287+FH286)*VLOOKUP(Доп.расчеты!FH3,Доп.расчеты!$A$330:$B$351,2,FALSE),0)</f>
        <v>0</v>
      </c>
      <c r="FI288" s="251">
        <f>IFERROR(-(FI283+FI287+FI286)*VLOOKUP(Доп.расчеты!FI3,Доп.расчеты!$A$330:$B$351,2,FALSE),0)</f>
        <v>0</v>
      </c>
      <c r="FJ288" s="251">
        <f>IFERROR(-(FJ283+FJ287+FJ286)*VLOOKUP(Доп.расчеты!FJ3,Доп.расчеты!$A$330:$B$351,2,FALSE),0)</f>
        <v>0</v>
      </c>
      <c r="FK288" s="251">
        <f>IFERROR(-(FK283+FK287+FK286)*VLOOKUP(Доп.расчеты!FK3,Доп.расчеты!$A$330:$B$351,2,FALSE),0)</f>
        <v>0</v>
      </c>
      <c r="FL288" s="251">
        <f>IFERROR(-(FL283+FL287+FL286)*VLOOKUP(Доп.расчеты!FL3,Доп.расчеты!$A$330:$B$351,2,FALSE),0)</f>
        <v>0</v>
      </c>
      <c r="FM288" s="251">
        <f>IFERROR(-(FM283+FM287+FM286)*VLOOKUP(Доп.расчеты!FM3,Доп.расчеты!$A$330:$B$351,2,FALSE),0)</f>
        <v>0</v>
      </c>
      <c r="FN288" s="251">
        <f>IFERROR(-(FN283+FN287+FN286)*VLOOKUP(Доп.расчеты!FN3,Доп.расчеты!$A$330:$B$351,2,FALSE),0)</f>
        <v>0</v>
      </c>
      <c r="FO288" s="251">
        <f>IFERROR(-(FO283+FO287+FO286)*VLOOKUP(Доп.расчеты!FO3,Доп.расчеты!$A$330:$B$351,2,FALSE),0)</f>
        <v>0</v>
      </c>
      <c r="FP288" s="251">
        <f>IFERROR(-(FP283+FP287+FP286)*VLOOKUP(Доп.расчеты!FP3,Доп.расчеты!$A$330:$B$351,2,FALSE),0)</f>
        <v>0</v>
      </c>
      <c r="FQ288" s="251">
        <f>IFERROR(-(FQ283+FQ287+FQ286)*VLOOKUP(Доп.расчеты!FQ3,Доп.расчеты!$A$330:$B$351,2,FALSE),0)</f>
        <v>0</v>
      </c>
      <c r="FR288" s="251">
        <f>IFERROR(-(FR283+FR287+FR286)*VLOOKUP(Доп.расчеты!FR3,Доп.расчеты!$A$330:$B$351,2,FALSE),0)</f>
        <v>0</v>
      </c>
      <c r="FS288" s="251">
        <f>IFERROR(-(FS283+FS287+FS286)*VLOOKUP(Доп.расчеты!FS3,Доп.расчеты!$A$330:$B$351,2,FALSE),0)</f>
        <v>0</v>
      </c>
      <c r="FT288" s="251">
        <f>IFERROR(-(FT283+FT287+FT286)*VLOOKUP(Доп.расчеты!FT3,Доп.расчеты!$A$330:$B$351,2,FALSE),0)</f>
        <v>0</v>
      </c>
      <c r="FU288" s="251">
        <f>IFERROR(-(FU283+FU287+FU286)*VLOOKUP(Доп.расчеты!FU3,Доп.расчеты!$A$330:$B$351,2,FALSE),0)</f>
        <v>0</v>
      </c>
      <c r="FV288" s="251">
        <f>IFERROR(-(FV283+FV287+FV286)*VLOOKUP(Доп.расчеты!FV3,Доп.расчеты!$A$330:$B$351,2,FALSE),0)</f>
        <v>0</v>
      </c>
      <c r="FW288" s="251">
        <f>IFERROR(-(FW283+FW287+FW286)*VLOOKUP(Доп.расчеты!FW3,Доп.расчеты!$A$330:$B$351,2,FALSE),0)</f>
        <v>0</v>
      </c>
      <c r="FX288" s="251">
        <f>IFERROR(-(FX283+FX287+FX286)*VLOOKUP(Доп.расчеты!FX3,Доп.расчеты!$A$330:$B$351,2,FALSE),0)</f>
        <v>0</v>
      </c>
      <c r="FY288" s="251">
        <f>IFERROR(-(FY283+FY287+FY286)*VLOOKUP(Доп.расчеты!FY3,Доп.расчеты!$A$330:$B$351,2,FALSE),0)</f>
        <v>0</v>
      </c>
      <c r="FZ288" s="251">
        <f>IFERROR(-(FZ283+FZ287+FZ286)*VLOOKUP(Доп.расчеты!FZ3,Доп.расчеты!$A$330:$B$351,2,FALSE),0)</f>
        <v>0</v>
      </c>
      <c r="GA288" s="251">
        <f>IFERROR(-(GA283+GA287+GA286)*VLOOKUP(Доп.расчеты!GA3,Доп.расчеты!$A$330:$B$351,2,FALSE),0)</f>
        <v>0</v>
      </c>
      <c r="GB288" s="251">
        <f>IFERROR(-(GB283+GB287+GB286)*VLOOKUP(Доп.расчеты!GB3,Доп.расчеты!$A$330:$B$351,2,FALSE),0)</f>
        <v>0</v>
      </c>
      <c r="GC288" s="251">
        <f>IFERROR(-(GC283+GC287+GC286)*VLOOKUP(Доп.расчеты!GC3,Доп.расчеты!$A$330:$B$351,2,FALSE),0)</f>
        <v>0</v>
      </c>
      <c r="GD288" s="251">
        <f>IFERROR(-(GD283+GD287+GD286)*VLOOKUP(Доп.расчеты!GD3,Доп.расчеты!$A$330:$B$351,2,FALSE),0)</f>
        <v>0</v>
      </c>
      <c r="GE288" s="251">
        <f>IFERROR(-(GE283+GE287+GE286)*VLOOKUP(Доп.расчеты!GE3,Доп.расчеты!$A$330:$B$351,2,FALSE),0)</f>
        <v>0</v>
      </c>
      <c r="GF288" s="251">
        <f>IFERROR(-(GF283+GF287+GF286)*VLOOKUP(Доп.расчеты!GF3,Доп.расчеты!$A$330:$B$351,2,FALSE),0)</f>
        <v>0</v>
      </c>
      <c r="GG288" s="251">
        <f>IFERROR(-(GG283+GG287+GG286)*VLOOKUP(Доп.расчеты!GG3,Доп.расчеты!$A$330:$B$351,2,FALSE),0)</f>
        <v>0</v>
      </c>
      <c r="GH288" s="251">
        <f>IFERROR(-(GH283+GH287+GH286)*VLOOKUP(Доп.расчеты!GH3,Доп.расчеты!$A$330:$B$351,2,FALSE),0)</f>
        <v>0</v>
      </c>
      <c r="GI288" s="251">
        <f>IFERROR(-(GI283+GI287+GI286)*VLOOKUP(Доп.расчеты!GI3,Доп.расчеты!$A$330:$B$351,2,FALSE),0)</f>
        <v>0</v>
      </c>
      <c r="GJ288" s="251">
        <f>IFERROR(-(GJ283+GJ287+GJ286)*VLOOKUP(Доп.расчеты!GJ3,Доп.расчеты!$A$330:$B$351,2,FALSE),0)</f>
        <v>0</v>
      </c>
      <c r="GK288" s="251">
        <f>IFERROR(-(GK283+GK287+GK286)*VLOOKUP(Доп.расчеты!GK3,Доп.расчеты!$A$330:$B$351,2,FALSE),0)</f>
        <v>0</v>
      </c>
      <c r="GL288" s="251">
        <f>IFERROR(-(GL283+GL287+GL286)*VLOOKUP(Доп.расчеты!GL3,Доп.расчеты!$A$330:$B$351,2,FALSE),0)</f>
        <v>0</v>
      </c>
      <c r="GM288" s="251">
        <f>IFERROR(-(GM283+GM287+GM286)*VLOOKUP(Доп.расчеты!GM3,Доп.расчеты!$A$330:$B$351,2,FALSE),0)</f>
        <v>0</v>
      </c>
      <c r="GN288" s="251">
        <f>IFERROR(-(GN283+GN287+GN286)*VLOOKUP(Доп.расчеты!GN3,Доп.расчеты!$A$330:$B$351,2,FALSE),0)</f>
        <v>0</v>
      </c>
      <c r="GO288" s="251">
        <f>IFERROR(-(GO283+GO287+GO286)*VLOOKUP(Доп.расчеты!GO3,Доп.расчеты!$A$330:$B$351,2,FALSE),0)</f>
        <v>0</v>
      </c>
      <c r="GP288" s="251">
        <f>IFERROR(-(GP283+GP287+GP286)*VLOOKUP(Доп.расчеты!GP3,Доп.расчеты!$A$330:$B$351,2,FALSE),0)</f>
        <v>0</v>
      </c>
      <c r="GQ288" s="251">
        <f>IFERROR(-(GQ283+GQ287+GQ286)*VLOOKUP(Доп.расчеты!GQ3,Доп.расчеты!$A$330:$B$351,2,FALSE),0)</f>
        <v>0</v>
      </c>
      <c r="GR288" s="251">
        <f>IFERROR(-(GR283+GR287+GR286)*VLOOKUP(Доп.расчеты!GR3,Доп.расчеты!$A$330:$B$351,2,FALSE),0)</f>
        <v>0</v>
      </c>
      <c r="GS288" s="251">
        <f>IFERROR(-(GS283+GS287+GS286)*VLOOKUP(Доп.расчеты!GS3,Доп.расчеты!$A$330:$B$351,2,FALSE),0)</f>
        <v>0</v>
      </c>
      <c r="GT288" s="251">
        <f>IFERROR(-(GT283+GT287+GT286)*VLOOKUP(Доп.расчеты!GT3,Доп.расчеты!$A$330:$B$351,2,FALSE),0)</f>
        <v>0</v>
      </c>
    </row>
    <row r="289" spans="1:202" s="244" customFormat="1">
      <c r="A289" s="249" t="s">
        <v>2</v>
      </c>
      <c r="B289" s="244">
        <f>B283+B284+B288</f>
        <v>-2002.9793333333334</v>
      </c>
      <c r="C289" s="244">
        <f t="shared" ref="C289:BN289" si="9">C283+C284+C288</f>
        <v>-1035.6908333333333</v>
      </c>
      <c r="D289" s="244">
        <f t="shared" si="9"/>
        <v>-1501.2162500000002</v>
      </c>
      <c r="E289" s="244">
        <f t="shared" si="9"/>
        <v>-1259.3073333333334</v>
      </c>
      <c r="F289" s="244">
        <f t="shared" si="9"/>
        <v>-986.25850000000003</v>
      </c>
      <c r="G289" s="244">
        <f t="shared" si="9"/>
        <v>-785.41233333333332</v>
      </c>
      <c r="H289" s="244">
        <f t="shared" si="9"/>
        <v>-782.00616666666667</v>
      </c>
      <c r="I289" s="244">
        <f t="shared" si="9"/>
        <v>-778.6</v>
      </c>
      <c r="J289" s="244">
        <f t="shared" si="9"/>
        <v>-775.19383333333337</v>
      </c>
      <c r="K289" s="244">
        <f t="shared" si="9"/>
        <v>-771.78766666666672</v>
      </c>
      <c r="L289" s="244">
        <f t="shared" si="9"/>
        <v>-768.38150000000007</v>
      </c>
      <c r="M289" s="244">
        <f t="shared" si="9"/>
        <v>-114.31775</v>
      </c>
      <c r="N289" s="244">
        <f t="shared" si="9"/>
        <v>384.46426719736365</v>
      </c>
      <c r="O289" s="244">
        <f t="shared" si="9"/>
        <v>779.70753383992428</v>
      </c>
      <c r="P289" s="244">
        <f t="shared" si="9"/>
        <v>1693.1846201677954</v>
      </c>
      <c r="Q289" s="244">
        <f t="shared" si="9"/>
        <v>1631.4056742344508</v>
      </c>
      <c r="R289" s="244">
        <f t="shared" si="9"/>
        <v>1762.0706832186861</v>
      </c>
      <c r="S289" s="244">
        <f t="shared" si="9"/>
        <v>2268.3852812491023</v>
      </c>
      <c r="T289" s="244">
        <f t="shared" si="9"/>
        <v>1797.2594542815839</v>
      </c>
      <c r="U289" s="244">
        <f t="shared" si="9"/>
        <v>1985.2698896397592</v>
      </c>
      <c r="V289" s="244">
        <f t="shared" si="9"/>
        <v>2665.7405065271273</v>
      </c>
      <c r="W289" s="244">
        <f t="shared" si="9"/>
        <v>2458.5671020177292</v>
      </c>
      <c r="X289" s="244">
        <f t="shared" si="9"/>
        <v>2119.568705459355</v>
      </c>
      <c r="Y289" s="244">
        <f t="shared" si="9"/>
        <v>2741.2426759811565</v>
      </c>
      <c r="Z289" s="244">
        <f t="shared" si="9"/>
        <v>384.46426719736365</v>
      </c>
      <c r="AA289" s="244">
        <f t="shared" si="9"/>
        <v>779.70753383992428</v>
      </c>
      <c r="AB289" s="244">
        <f t="shared" si="9"/>
        <v>1693.1846201677954</v>
      </c>
      <c r="AC289" s="244">
        <f t="shared" si="9"/>
        <v>1631.4056742344508</v>
      </c>
      <c r="AD289" s="244">
        <f t="shared" si="9"/>
        <v>1762.0706832186861</v>
      </c>
      <c r="AE289" s="244">
        <f t="shared" si="9"/>
        <v>2268.3852812491023</v>
      </c>
      <c r="AF289" s="244">
        <f t="shared" si="9"/>
        <v>1797.2594542815839</v>
      </c>
      <c r="AG289" s="244">
        <f t="shared" si="9"/>
        <v>1985.2698896397592</v>
      </c>
      <c r="AH289" s="244">
        <f t="shared" si="9"/>
        <v>2665.7405065271273</v>
      </c>
      <c r="AI289" s="244">
        <f t="shared" si="9"/>
        <v>2458.5671020177292</v>
      </c>
      <c r="AJ289" s="244">
        <f t="shared" si="9"/>
        <v>2119.568705459355</v>
      </c>
      <c r="AK289" s="244">
        <f t="shared" si="9"/>
        <v>2741.2426759811565</v>
      </c>
      <c r="AL289" s="244">
        <f t="shared" si="9"/>
        <v>384.46426719736365</v>
      </c>
      <c r="AM289" s="244">
        <f t="shared" si="9"/>
        <v>779.70753383992428</v>
      </c>
      <c r="AN289" s="244">
        <f t="shared" si="9"/>
        <v>1693.1846201677954</v>
      </c>
      <c r="AO289" s="244">
        <f t="shared" si="9"/>
        <v>1631.4056742344508</v>
      </c>
      <c r="AP289" s="244">
        <f t="shared" si="9"/>
        <v>1762.0706832186861</v>
      </c>
      <c r="AQ289" s="244">
        <f t="shared" si="9"/>
        <v>2268.3852812491023</v>
      </c>
      <c r="AR289" s="244">
        <f t="shared" si="9"/>
        <v>1797.2594542815839</v>
      </c>
      <c r="AS289" s="244">
        <f t="shared" si="9"/>
        <v>1985.2698896397592</v>
      </c>
      <c r="AT289" s="244">
        <f t="shared" si="9"/>
        <v>2665.7405065271273</v>
      </c>
      <c r="AU289" s="244">
        <f t="shared" si="9"/>
        <v>2458.5671020177292</v>
      </c>
      <c r="AV289" s="244">
        <f t="shared" si="9"/>
        <v>2119.568705459355</v>
      </c>
      <c r="AW289" s="244">
        <f t="shared" si="9"/>
        <v>2741.2426759811565</v>
      </c>
      <c r="AX289" s="244">
        <f t="shared" si="9"/>
        <v>384.46426719736365</v>
      </c>
      <c r="AY289" s="244">
        <f t="shared" si="9"/>
        <v>779.70753383992428</v>
      </c>
      <c r="AZ289" s="244">
        <f t="shared" si="9"/>
        <v>1693.1846201677954</v>
      </c>
      <c r="BA289" s="244">
        <f t="shared" si="9"/>
        <v>1631.4056742344508</v>
      </c>
      <c r="BB289" s="244">
        <f t="shared" si="9"/>
        <v>1762.0706832186861</v>
      </c>
      <c r="BC289" s="244">
        <f t="shared" si="9"/>
        <v>2268.3852812491023</v>
      </c>
      <c r="BD289" s="244">
        <f t="shared" si="9"/>
        <v>1797.2594542815839</v>
      </c>
      <c r="BE289" s="244">
        <f t="shared" si="9"/>
        <v>1985.2698896397592</v>
      </c>
      <c r="BF289" s="244">
        <f t="shared" si="9"/>
        <v>2665.7405065271273</v>
      </c>
      <c r="BG289" s="244">
        <f t="shared" si="9"/>
        <v>2458.5671020177292</v>
      </c>
      <c r="BH289" s="244">
        <f t="shared" si="9"/>
        <v>2119.568705459355</v>
      </c>
      <c r="BI289" s="244">
        <f t="shared" si="9"/>
        <v>2741.2426759811565</v>
      </c>
      <c r="BJ289" s="244">
        <f t="shared" si="9"/>
        <v>0</v>
      </c>
      <c r="BK289" s="244">
        <f t="shared" si="9"/>
        <v>0</v>
      </c>
      <c r="BL289" s="244">
        <f t="shared" si="9"/>
        <v>0</v>
      </c>
      <c r="BM289" s="244">
        <f t="shared" si="9"/>
        <v>0</v>
      </c>
      <c r="BN289" s="244">
        <f t="shared" si="9"/>
        <v>0</v>
      </c>
      <c r="BO289" s="244">
        <f t="shared" ref="BO289:DZ289" si="10">BO283+BO284+BO288</f>
        <v>0</v>
      </c>
      <c r="BP289" s="244">
        <f t="shared" si="10"/>
        <v>0</v>
      </c>
      <c r="BQ289" s="244">
        <f t="shared" si="10"/>
        <v>0</v>
      </c>
      <c r="BR289" s="244">
        <f t="shared" si="10"/>
        <v>0</v>
      </c>
      <c r="BS289" s="244">
        <f t="shared" si="10"/>
        <v>0</v>
      </c>
      <c r="BT289" s="244">
        <f t="shared" si="10"/>
        <v>0</v>
      </c>
      <c r="BU289" s="244">
        <f t="shared" si="10"/>
        <v>0</v>
      </c>
      <c r="BV289" s="244">
        <f t="shared" si="10"/>
        <v>0</v>
      </c>
      <c r="BW289" s="244">
        <f t="shared" si="10"/>
        <v>0</v>
      </c>
      <c r="BX289" s="244">
        <f t="shared" si="10"/>
        <v>0</v>
      </c>
      <c r="BY289" s="244">
        <f t="shared" si="10"/>
        <v>0</v>
      </c>
      <c r="BZ289" s="244">
        <f t="shared" si="10"/>
        <v>0</v>
      </c>
      <c r="CA289" s="244">
        <f t="shared" si="10"/>
        <v>0</v>
      </c>
      <c r="CB289" s="244">
        <f t="shared" si="10"/>
        <v>0</v>
      </c>
      <c r="CC289" s="244">
        <f t="shared" si="10"/>
        <v>0</v>
      </c>
      <c r="CD289" s="244">
        <f t="shared" si="10"/>
        <v>0</v>
      </c>
      <c r="CE289" s="244">
        <f t="shared" si="10"/>
        <v>0</v>
      </c>
      <c r="CF289" s="244">
        <f t="shared" si="10"/>
        <v>0</v>
      </c>
      <c r="CG289" s="244">
        <f t="shared" si="10"/>
        <v>0</v>
      </c>
      <c r="CH289" s="244">
        <f t="shared" si="10"/>
        <v>0</v>
      </c>
      <c r="CI289" s="244">
        <f t="shared" si="10"/>
        <v>0</v>
      </c>
      <c r="CJ289" s="244">
        <f t="shared" si="10"/>
        <v>0</v>
      </c>
      <c r="CK289" s="244">
        <f t="shared" si="10"/>
        <v>0</v>
      </c>
      <c r="CL289" s="244">
        <f t="shared" si="10"/>
        <v>0</v>
      </c>
      <c r="CM289" s="244">
        <f t="shared" si="10"/>
        <v>0</v>
      </c>
      <c r="CN289" s="244">
        <f t="shared" si="10"/>
        <v>0</v>
      </c>
      <c r="CO289" s="244">
        <f t="shared" si="10"/>
        <v>0</v>
      </c>
      <c r="CP289" s="244">
        <f t="shared" si="10"/>
        <v>0</v>
      </c>
      <c r="CQ289" s="244">
        <f t="shared" si="10"/>
        <v>0</v>
      </c>
      <c r="CR289" s="244">
        <f t="shared" si="10"/>
        <v>0</v>
      </c>
      <c r="CS289" s="244">
        <f t="shared" si="10"/>
        <v>0</v>
      </c>
      <c r="CT289" s="244">
        <f t="shared" si="10"/>
        <v>0</v>
      </c>
      <c r="CU289" s="244">
        <f t="shared" si="10"/>
        <v>0</v>
      </c>
      <c r="CV289" s="244">
        <f t="shared" si="10"/>
        <v>0</v>
      </c>
      <c r="CW289" s="244">
        <f t="shared" si="10"/>
        <v>0</v>
      </c>
      <c r="CX289" s="244">
        <f t="shared" si="10"/>
        <v>0</v>
      </c>
      <c r="CY289" s="244">
        <f t="shared" si="10"/>
        <v>0</v>
      </c>
      <c r="CZ289" s="244">
        <f t="shared" si="10"/>
        <v>0</v>
      </c>
      <c r="DA289" s="244">
        <f t="shared" si="10"/>
        <v>0</v>
      </c>
      <c r="DB289" s="244">
        <f t="shared" si="10"/>
        <v>0</v>
      </c>
      <c r="DC289" s="244">
        <f t="shared" si="10"/>
        <v>0</v>
      </c>
      <c r="DD289" s="244">
        <f t="shared" si="10"/>
        <v>0</v>
      </c>
      <c r="DE289" s="244">
        <f t="shared" si="10"/>
        <v>0</v>
      </c>
      <c r="DF289" s="244">
        <f t="shared" si="10"/>
        <v>0</v>
      </c>
      <c r="DG289" s="244">
        <f t="shared" si="10"/>
        <v>0</v>
      </c>
      <c r="DH289" s="244">
        <f t="shared" si="10"/>
        <v>0</v>
      </c>
      <c r="DI289" s="244">
        <f t="shared" si="10"/>
        <v>0</v>
      </c>
      <c r="DJ289" s="244">
        <f t="shared" si="10"/>
        <v>0</v>
      </c>
      <c r="DK289" s="244">
        <f t="shared" si="10"/>
        <v>0</v>
      </c>
      <c r="DL289" s="244">
        <f t="shared" si="10"/>
        <v>0</v>
      </c>
      <c r="DM289" s="244">
        <f t="shared" si="10"/>
        <v>0</v>
      </c>
      <c r="DN289" s="244">
        <f t="shared" si="10"/>
        <v>0</v>
      </c>
      <c r="DO289" s="244">
        <f t="shared" si="10"/>
        <v>0</v>
      </c>
      <c r="DP289" s="244">
        <f t="shared" si="10"/>
        <v>0</v>
      </c>
      <c r="DQ289" s="244">
        <f t="shared" si="10"/>
        <v>0</v>
      </c>
      <c r="DR289" s="244">
        <f t="shared" si="10"/>
        <v>0</v>
      </c>
      <c r="DS289" s="244">
        <f t="shared" si="10"/>
        <v>0</v>
      </c>
      <c r="DT289" s="244">
        <f t="shared" si="10"/>
        <v>0</v>
      </c>
      <c r="DU289" s="244">
        <f t="shared" si="10"/>
        <v>0</v>
      </c>
      <c r="DV289" s="244">
        <f t="shared" si="10"/>
        <v>0</v>
      </c>
      <c r="DW289" s="244">
        <f t="shared" si="10"/>
        <v>0</v>
      </c>
      <c r="DX289" s="244">
        <f t="shared" si="10"/>
        <v>0</v>
      </c>
      <c r="DY289" s="244">
        <f t="shared" si="10"/>
        <v>0</v>
      </c>
      <c r="DZ289" s="244">
        <f t="shared" si="10"/>
        <v>0</v>
      </c>
      <c r="EA289" s="244">
        <f t="shared" ref="EA289:GL289" si="11">EA283+EA284+EA288</f>
        <v>0</v>
      </c>
      <c r="EB289" s="244">
        <f t="shared" si="11"/>
        <v>0</v>
      </c>
      <c r="EC289" s="244">
        <f t="shared" si="11"/>
        <v>0</v>
      </c>
      <c r="ED289" s="244">
        <f t="shared" si="11"/>
        <v>0</v>
      </c>
      <c r="EE289" s="244">
        <f t="shared" si="11"/>
        <v>0</v>
      </c>
      <c r="EF289" s="244">
        <f t="shared" si="11"/>
        <v>0</v>
      </c>
      <c r="EG289" s="244">
        <f t="shared" si="11"/>
        <v>0</v>
      </c>
      <c r="EH289" s="244">
        <f t="shared" si="11"/>
        <v>0</v>
      </c>
      <c r="EI289" s="244">
        <f t="shared" si="11"/>
        <v>0</v>
      </c>
      <c r="EJ289" s="244">
        <f t="shared" si="11"/>
        <v>0</v>
      </c>
      <c r="EK289" s="244">
        <f t="shared" si="11"/>
        <v>0</v>
      </c>
      <c r="EL289" s="244">
        <f t="shared" si="11"/>
        <v>0</v>
      </c>
      <c r="EM289" s="244">
        <f t="shared" si="11"/>
        <v>0</v>
      </c>
      <c r="EN289" s="244">
        <f t="shared" si="11"/>
        <v>0</v>
      </c>
      <c r="EO289" s="244">
        <f t="shared" si="11"/>
        <v>0</v>
      </c>
      <c r="EP289" s="244">
        <f t="shared" si="11"/>
        <v>0</v>
      </c>
      <c r="EQ289" s="244">
        <f t="shared" si="11"/>
        <v>0</v>
      </c>
      <c r="ER289" s="244">
        <f t="shared" si="11"/>
        <v>0</v>
      </c>
      <c r="ES289" s="244">
        <f t="shared" si="11"/>
        <v>0</v>
      </c>
      <c r="ET289" s="244">
        <f t="shared" si="11"/>
        <v>0</v>
      </c>
      <c r="EU289" s="244">
        <f t="shared" si="11"/>
        <v>0</v>
      </c>
      <c r="EV289" s="244">
        <f t="shared" si="11"/>
        <v>0</v>
      </c>
      <c r="EW289" s="244">
        <f t="shared" si="11"/>
        <v>0</v>
      </c>
      <c r="EX289" s="244">
        <f t="shared" si="11"/>
        <v>0</v>
      </c>
      <c r="EY289" s="244">
        <f t="shared" si="11"/>
        <v>0</v>
      </c>
      <c r="EZ289" s="244">
        <f t="shared" si="11"/>
        <v>0</v>
      </c>
      <c r="FA289" s="244">
        <f t="shared" si="11"/>
        <v>0</v>
      </c>
      <c r="FB289" s="244">
        <f t="shared" si="11"/>
        <v>0</v>
      </c>
      <c r="FC289" s="244">
        <f t="shared" si="11"/>
        <v>0</v>
      </c>
      <c r="FD289" s="244">
        <f t="shared" si="11"/>
        <v>0</v>
      </c>
      <c r="FE289" s="244">
        <f t="shared" si="11"/>
        <v>0</v>
      </c>
      <c r="FF289" s="244">
        <f t="shared" si="11"/>
        <v>0</v>
      </c>
      <c r="FG289" s="244">
        <f t="shared" si="11"/>
        <v>0</v>
      </c>
      <c r="FH289" s="244">
        <f t="shared" si="11"/>
        <v>0</v>
      </c>
      <c r="FI289" s="244">
        <f t="shared" si="11"/>
        <v>0</v>
      </c>
      <c r="FJ289" s="244">
        <f t="shared" si="11"/>
        <v>0</v>
      </c>
      <c r="FK289" s="244">
        <f t="shared" si="11"/>
        <v>0</v>
      </c>
      <c r="FL289" s="244">
        <f t="shared" si="11"/>
        <v>0</v>
      </c>
      <c r="FM289" s="244">
        <f t="shared" si="11"/>
        <v>0</v>
      </c>
      <c r="FN289" s="244">
        <f t="shared" si="11"/>
        <v>0</v>
      </c>
      <c r="FO289" s="244">
        <f t="shared" si="11"/>
        <v>0</v>
      </c>
      <c r="FP289" s="244">
        <f t="shared" si="11"/>
        <v>0</v>
      </c>
      <c r="FQ289" s="244">
        <f t="shared" si="11"/>
        <v>0</v>
      </c>
      <c r="FR289" s="244">
        <f t="shared" si="11"/>
        <v>0</v>
      </c>
      <c r="FS289" s="244">
        <f t="shared" si="11"/>
        <v>0</v>
      </c>
      <c r="FT289" s="244">
        <f t="shared" si="11"/>
        <v>0</v>
      </c>
      <c r="FU289" s="244">
        <f t="shared" si="11"/>
        <v>0</v>
      </c>
      <c r="FV289" s="244">
        <f t="shared" si="11"/>
        <v>0</v>
      </c>
      <c r="FW289" s="244">
        <f t="shared" si="11"/>
        <v>0</v>
      </c>
      <c r="FX289" s="244">
        <f t="shared" si="11"/>
        <v>0</v>
      </c>
      <c r="FY289" s="244">
        <f t="shared" si="11"/>
        <v>0</v>
      </c>
      <c r="FZ289" s="244">
        <f t="shared" si="11"/>
        <v>0</v>
      </c>
      <c r="GA289" s="244">
        <f t="shared" si="11"/>
        <v>0</v>
      </c>
      <c r="GB289" s="244">
        <f t="shared" si="11"/>
        <v>0</v>
      </c>
      <c r="GC289" s="244">
        <f t="shared" si="11"/>
        <v>0</v>
      </c>
      <c r="GD289" s="244">
        <f t="shared" si="11"/>
        <v>0</v>
      </c>
      <c r="GE289" s="244">
        <f t="shared" si="11"/>
        <v>0</v>
      </c>
      <c r="GF289" s="244">
        <f t="shared" si="11"/>
        <v>0</v>
      </c>
      <c r="GG289" s="244">
        <f t="shared" si="11"/>
        <v>0</v>
      </c>
      <c r="GH289" s="244">
        <f t="shared" si="11"/>
        <v>0</v>
      </c>
      <c r="GI289" s="244">
        <f t="shared" si="11"/>
        <v>0</v>
      </c>
      <c r="GJ289" s="244">
        <f t="shared" si="11"/>
        <v>0</v>
      </c>
      <c r="GK289" s="244">
        <f t="shared" si="11"/>
        <v>0</v>
      </c>
      <c r="GL289" s="244">
        <f t="shared" si="11"/>
        <v>0</v>
      </c>
      <c r="GM289" s="244">
        <f t="shared" ref="GM289:GT289" si="12">GM283+GM284+GM288</f>
        <v>0</v>
      </c>
      <c r="GN289" s="244">
        <f t="shared" si="12"/>
        <v>0</v>
      </c>
      <c r="GO289" s="244">
        <f t="shared" si="12"/>
        <v>0</v>
      </c>
      <c r="GP289" s="244">
        <f t="shared" si="12"/>
        <v>0</v>
      </c>
      <c r="GQ289" s="244">
        <f t="shared" si="12"/>
        <v>0</v>
      </c>
      <c r="GR289" s="244">
        <f t="shared" si="12"/>
        <v>0</v>
      </c>
      <c r="GS289" s="244">
        <f t="shared" si="12"/>
        <v>0</v>
      </c>
      <c r="GT289" s="244">
        <f t="shared" si="12"/>
        <v>0</v>
      </c>
    </row>
    <row r="290" spans="1:202">
      <c r="A290" s="236" t="s">
        <v>225</v>
      </c>
      <c r="B290">
        <f>B289*'Как будет'!C10</f>
        <v>-2002.9793333333334</v>
      </c>
      <c r="C290">
        <f>C289*'Как будет'!D10</f>
        <v>-1022.9599555995529</v>
      </c>
      <c r="D290">
        <f>D289*'Как будет'!E10</f>
        <v>-1464.5366980302126</v>
      </c>
      <c r="E290">
        <f>E289*'Как будет'!F10</f>
        <v>-1213.4370050757118</v>
      </c>
      <c r="F290">
        <f>F289*'Как будет'!G10</f>
        <v>-938.65233049961967</v>
      </c>
      <c r="G290">
        <f>G289*'Как будет'!H10</f>
        <v>-738.31249982545751</v>
      </c>
      <c r="H290">
        <f>H289*'Как будет'!I10</f>
        <v>-726.07449787853329</v>
      </c>
      <c r="I290">
        <f>I289*'Как будет'!J10</f>
        <v>-714.02580193988706</v>
      </c>
      <c r="J290">
        <f>J289*'Как будет'!K10</f>
        <v>-702.16360717780765</v>
      </c>
      <c r="K290">
        <f>K289*'Как будет'!L10</f>
        <v>-690.48514911185703</v>
      </c>
      <c r="L290">
        <f>L289*'Как будет'!M10</f>
        <v>-678.98770304466439</v>
      </c>
      <c r="M290">
        <f>M289*'Как будет'!N10</f>
        <v>-99.77625014260461</v>
      </c>
      <c r="N290">
        <f>N289*'Как будет'!O10</f>
        <v>331.43471310117559</v>
      </c>
      <c r="O290">
        <f>O289*'Как будет'!P10</f>
        <v>663.89934815083802</v>
      </c>
      <c r="P290">
        <f>P289*'Как будет'!Q10</f>
        <v>1423.9781570076254</v>
      </c>
      <c r="Q290">
        <f>Q289*'Как будет'!R10</f>
        <v>1355.1565918813449</v>
      </c>
      <c r="R290">
        <f>R289*'Как будет'!S10</f>
        <v>1445.7038579329903</v>
      </c>
      <c r="S290">
        <f>S289*'Как будет'!T10</f>
        <v>1838.2362913389438</v>
      </c>
      <c r="T290">
        <f>T289*'Как будет'!U10</f>
        <v>1438.5461299772519</v>
      </c>
      <c r="U290">
        <f>U289*'Как будет'!V10</f>
        <v>1569.499106505421</v>
      </c>
      <c r="V290">
        <f>V289*'Как будет'!W10</f>
        <v>2081.5549935053514</v>
      </c>
      <c r="W290">
        <f>W289*'Как будет'!X10</f>
        <v>1896.1844681458283</v>
      </c>
      <c r="X290">
        <f>X289*'Как будет'!Y10</f>
        <v>1614.6355804770742</v>
      </c>
      <c r="Y290">
        <f>Y289*'Как будет'!Z10</f>
        <v>2062.5429690510905</v>
      </c>
      <c r="Z290">
        <f>Z289*'Как будет'!AA10</f>
        <v>285.7195802596342</v>
      </c>
      <c r="AA290">
        <f>AA289*'Как будет'!AB10</f>
        <v>572.32702426796391</v>
      </c>
      <c r="AB290">
        <f>AB289*'Как будет'!AC10</f>
        <v>1227.5673767307121</v>
      </c>
      <c r="AC290">
        <f>AC289*'Как будет'!AD10</f>
        <v>1168.2384412770218</v>
      </c>
      <c r="AD290">
        <f>AD289*'Как будет'!AE10</f>
        <v>1246.2964292525783</v>
      </c>
      <c r="AE290">
        <f>AE289*'Как будет'!AF10</f>
        <v>1584.6864580508143</v>
      </c>
      <c r="AF290">
        <f>AF289*'Как будет'!AG10</f>
        <v>1240.125974118321</v>
      </c>
      <c r="AG290">
        <f>AG289*'Как будет'!AH10</f>
        <v>1353.0164711253633</v>
      </c>
      <c r="AH290">
        <f>AH289*'Как будет'!AI10</f>
        <v>1794.4439599184063</v>
      </c>
      <c r="AI290">
        <f>AI289*'Как будет'!AJ10</f>
        <v>1634.6417828843348</v>
      </c>
      <c r="AJ290">
        <f>AJ289*'Как будет'!AK10</f>
        <v>1391.927224549202</v>
      </c>
      <c r="AK290">
        <f>AK289*'Как будет'!AL10</f>
        <v>1778.054283664733</v>
      </c>
      <c r="AL290">
        <f>AL289*'Как будет'!AM10</f>
        <v>246.30998298244324</v>
      </c>
      <c r="AM290">
        <f>AM289*'Как будет'!AN10</f>
        <v>493.38536574824468</v>
      </c>
      <c r="AN290">
        <f>AN289*'Как будет'!AO10</f>
        <v>1058.2477385609584</v>
      </c>
      <c r="AO290">
        <f>AO289*'Как будет'!AP10</f>
        <v>1007.1021045491567</v>
      </c>
      <c r="AP290">
        <f>AP289*'Как будет'!AQ10</f>
        <v>1074.3934734936017</v>
      </c>
      <c r="AQ290">
        <f>AQ289*'Как будет'!AR10</f>
        <v>1366.1090155610466</v>
      </c>
      <c r="AR290">
        <f>AR289*'Как будет'!AS10</f>
        <v>1069.0741156192421</v>
      </c>
      <c r="AS290">
        <f>AS289*'Как будет'!AT10</f>
        <v>1166.3935095908303</v>
      </c>
      <c r="AT290">
        <f>AT289*'Как будет'!AU10</f>
        <v>1546.9344482055226</v>
      </c>
      <c r="AU290">
        <f>AU289*'Как будет'!AV10</f>
        <v>1409.1739507623574</v>
      </c>
      <c r="AV290">
        <f>AV289*'Как будет'!AW10</f>
        <v>1199.9372625424153</v>
      </c>
      <c r="AW290">
        <f>AW289*'Как будет'!AX10</f>
        <v>1532.8054169523559</v>
      </c>
      <c r="AX290">
        <f>AX289*'Как будет'!AY10</f>
        <v>212.33619222624418</v>
      </c>
      <c r="AY290">
        <f>AY289*'Как будет'!AZ10</f>
        <v>425.33221185193514</v>
      </c>
      <c r="AZ290">
        <f>AZ289*'Как будет'!BA10</f>
        <v>912.28253324220566</v>
      </c>
      <c r="BA290">
        <f>BA289*'Как будет'!BB10</f>
        <v>868.19146943892827</v>
      </c>
      <c r="BB290">
        <f>BB289*'Как будет'!BC10</f>
        <v>926.20127025310512</v>
      </c>
      <c r="BC290">
        <f>BC289*'Как будет'!BD10</f>
        <v>1177.6801858284884</v>
      </c>
      <c r="BD290">
        <f>BD289*'Как будет'!BE10</f>
        <v>921.61561691313977</v>
      </c>
      <c r="BE290">
        <f>BE289*'Как будет'!BF10</f>
        <v>1005.5116461989917</v>
      </c>
      <c r="BF290">
        <f>BF289*'Как будет'!BG10</f>
        <v>1333.5641794875196</v>
      </c>
      <c r="BG290">
        <f>BG289*'Как будет'!BH10</f>
        <v>1214.8051299675496</v>
      </c>
      <c r="BH290">
        <f>BH289*'Как будет'!BI10</f>
        <v>1034.4286746055307</v>
      </c>
      <c r="BI290">
        <f>BI289*'Как будет'!BJ10</f>
        <v>1321.3839801313416</v>
      </c>
      <c r="BJ290">
        <f>BJ289*'Как будет'!BK10</f>
        <v>0</v>
      </c>
      <c r="BK290">
        <f>BK289*'Как будет'!BL10</f>
        <v>0</v>
      </c>
      <c r="BL290">
        <f>BL289*'Как будет'!BM10</f>
        <v>0</v>
      </c>
      <c r="BM290">
        <f>BM289*'Как будет'!BN10</f>
        <v>0</v>
      </c>
      <c r="BN290">
        <f>BN289*'Как будет'!BO10</f>
        <v>0</v>
      </c>
      <c r="BO290">
        <f>BO289*'Как будет'!BP10</f>
        <v>0</v>
      </c>
      <c r="BP290">
        <f>BP289*'Как будет'!BQ10</f>
        <v>0</v>
      </c>
      <c r="BQ290">
        <f>BQ289*'Как будет'!BR10</f>
        <v>0</v>
      </c>
      <c r="BR290">
        <f>BR289*'Как будет'!BS10</f>
        <v>0</v>
      </c>
      <c r="BS290">
        <f>BS289*'Как будет'!BT10</f>
        <v>0</v>
      </c>
      <c r="BT290">
        <f>BT289*'Как будет'!BU10</f>
        <v>0</v>
      </c>
      <c r="BU290">
        <f>BU289*'Как будет'!BV10</f>
        <v>0</v>
      </c>
      <c r="BV290">
        <f>BV289*'Как будет'!BW10</f>
        <v>0</v>
      </c>
      <c r="BW290">
        <f>BW289*'Как будет'!BX10</f>
        <v>0</v>
      </c>
      <c r="BX290">
        <f>BX289*'Как будет'!BY10</f>
        <v>0</v>
      </c>
      <c r="BY290">
        <f>BY289*'Как будет'!BZ10</f>
        <v>0</v>
      </c>
      <c r="BZ290">
        <f>BZ289*'Как будет'!CA10</f>
        <v>0</v>
      </c>
      <c r="CA290">
        <f>CA289*'Как будет'!CB10</f>
        <v>0</v>
      </c>
      <c r="CB290">
        <f>CB289*'Как будет'!CC10</f>
        <v>0</v>
      </c>
      <c r="CC290">
        <f>CC289*'Как будет'!CD10</f>
        <v>0</v>
      </c>
      <c r="CD290">
        <f>CD289*'Как будет'!CE10</f>
        <v>0</v>
      </c>
      <c r="CE290">
        <f>CE289*'Как будет'!CF10</f>
        <v>0</v>
      </c>
      <c r="CF290">
        <f>CF289*'Как будет'!CG10</f>
        <v>0</v>
      </c>
      <c r="CG290">
        <f>CG289*'Как будет'!CH10</f>
        <v>0</v>
      </c>
      <c r="CH290">
        <f>CH289*'Как будет'!CI10</f>
        <v>0</v>
      </c>
      <c r="CI290">
        <f>CI289*'Как будет'!CJ10</f>
        <v>0</v>
      </c>
      <c r="CJ290">
        <f>CJ289*'Как будет'!CK10</f>
        <v>0</v>
      </c>
      <c r="CK290">
        <f>CK289*'Как будет'!CL10</f>
        <v>0</v>
      </c>
      <c r="CL290">
        <f>CL289*'Как будет'!CM10</f>
        <v>0</v>
      </c>
      <c r="CM290">
        <f>CM289*'Как будет'!CN10</f>
        <v>0</v>
      </c>
      <c r="CN290">
        <f>CN289*'Как будет'!CO10</f>
        <v>0</v>
      </c>
      <c r="CO290">
        <f>CO289*'Как будет'!CP10</f>
        <v>0</v>
      </c>
      <c r="CP290">
        <f>CP289*'Как будет'!CQ10</f>
        <v>0</v>
      </c>
      <c r="CQ290">
        <f>CQ289*'Как будет'!CR10</f>
        <v>0</v>
      </c>
      <c r="CR290">
        <f>CR289*'Как будет'!CS10</f>
        <v>0</v>
      </c>
      <c r="CS290">
        <f>CS289*'Как будет'!CT10</f>
        <v>0</v>
      </c>
      <c r="CT290">
        <f>CT289*'Как будет'!CU10</f>
        <v>0</v>
      </c>
      <c r="CU290">
        <f>CU289*'Как будет'!CV10</f>
        <v>0</v>
      </c>
      <c r="CV290">
        <f>CV289*'Как будет'!CW10</f>
        <v>0</v>
      </c>
      <c r="CW290">
        <f>CW289*'Как будет'!CX10</f>
        <v>0</v>
      </c>
      <c r="CX290">
        <f>CX289*'Как будет'!CY10</f>
        <v>0</v>
      </c>
      <c r="CY290">
        <f>CY289*'Как будет'!CZ10</f>
        <v>0</v>
      </c>
      <c r="CZ290">
        <f>CZ289*'Как будет'!DA10</f>
        <v>0</v>
      </c>
      <c r="DA290">
        <f>DA289*'Как будет'!DB10</f>
        <v>0</v>
      </c>
      <c r="DB290">
        <f>DB289*'Как будет'!DC10</f>
        <v>0</v>
      </c>
      <c r="DC290">
        <f>DC289*'Как будет'!DD10</f>
        <v>0</v>
      </c>
      <c r="DD290">
        <f>DD289*'Как будет'!DE10</f>
        <v>0</v>
      </c>
      <c r="DE290">
        <f>DE289*'Как будет'!DF10</f>
        <v>0</v>
      </c>
      <c r="DF290">
        <f>DF289*'Как будет'!DG10</f>
        <v>0</v>
      </c>
      <c r="DG290">
        <f>DG289*'Как будет'!DH10</f>
        <v>0</v>
      </c>
      <c r="DH290">
        <f>DH289*'Как будет'!DI10</f>
        <v>0</v>
      </c>
      <c r="DI290">
        <f>DI289*'Как будет'!DJ10</f>
        <v>0</v>
      </c>
      <c r="DJ290">
        <f>DJ289*'Как будет'!DK10</f>
        <v>0</v>
      </c>
      <c r="DK290">
        <f>DK289*'Как будет'!DL10</f>
        <v>0</v>
      </c>
      <c r="DL290">
        <f>DL289*'Как будет'!DM10</f>
        <v>0</v>
      </c>
      <c r="DM290">
        <f>DM289*'Как будет'!DN10</f>
        <v>0</v>
      </c>
      <c r="DN290">
        <f>DN289*'Как будет'!DO10</f>
        <v>0</v>
      </c>
      <c r="DO290">
        <f>DO289*'Как будет'!DP10</f>
        <v>0</v>
      </c>
      <c r="DP290">
        <f>DP289*'Как будет'!DQ10</f>
        <v>0</v>
      </c>
      <c r="DQ290">
        <f>DQ289*'Как будет'!DR10</f>
        <v>0</v>
      </c>
      <c r="DR290">
        <f>DR289*'Как будет'!DS10</f>
        <v>0</v>
      </c>
      <c r="DS290">
        <f>DS289*'Как будет'!DT10</f>
        <v>0</v>
      </c>
      <c r="DT290">
        <f>DT289*'Как будет'!DU10</f>
        <v>0</v>
      </c>
      <c r="DU290">
        <f>DU289*'Как будет'!DV10</f>
        <v>0</v>
      </c>
      <c r="DV290">
        <f>DV289*'Как будет'!DW10</f>
        <v>0</v>
      </c>
      <c r="DW290">
        <f>DW289*'Как будет'!DX10</f>
        <v>0</v>
      </c>
      <c r="DX290">
        <f>DX289*'Как будет'!DY10</f>
        <v>0</v>
      </c>
      <c r="DY290">
        <f>DY289*'Как будет'!DZ10</f>
        <v>0</v>
      </c>
      <c r="DZ290">
        <f>DZ289*'Как будет'!EA10</f>
        <v>0</v>
      </c>
      <c r="EA290">
        <f>EA289*'Как будет'!EB10</f>
        <v>0</v>
      </c>
      <c r="EB290">
        <f>EB289*'Как будет'!EC10</f>
        <v>0</v>
      </c>
      <c r="EC290">
        <f>EC289*'Как будет'!ED10</f>
        <v>0</v>
      </c>
      <c r="ED290">
        <f>ED289*'Как будет'!EE10</f>
        <v>0</v>
      </c>
      <c r="EE290">
        <f>EE289*'Как будет'!EF10</f>
        <v>0</v>
      </c>
      <c r="EF290">
        <f>EF289*'Как будет'!EG10</f>
        <v>0</v>
      </c>
      <c r="EG290">
        <f>EG289*'Как будет'!EH10</f>
        <v>0</v>
      </c>
      <c r="EH290">
        <f>EH289*'Как будет'!EI10</f>
        <v>0</v>
      </c>
      <c r="EI290">
        <f>EI289*'Как будет'!EJ10</f>
        <v>0</v>
      </c>
      <c r="EJ290">
        <f>EJ289*'Как будет'!EK10</f>
        <v>0</v>
      </c>
      <c r="EK290">
        <f>EK289*'Как будет'!EL10</f>
        <v>0</v>
      </c>
      <c r="EL290">
        <f>EL289*'Как будет'!EM10</f>
        <v>0</v>
      </c>
      <c r="EM290">
        <f>EM289*'Как будет'!EN10</f>
        <v>0</v>
      </c>
      <c r="EN290">
        <f>EN289*'Как будет'!EO10</f>
        <v>0</v>
      </c>
      <c r="EO290">
        <f>EO289*'Как будет'!EP10</f>
        <v>0</v>
      </c>
      <c r="EP290">
        <f>EP289*'Как будет'!EQ10</f>
        <v>0</v>
      </c>
      <c r="EQ290">
        <f>EQ289*'Как будет'!ER10</f>
        <v>0</v>
      </c>
      <c r="ER290">
        <f>ER289*'Как будет'!ES10</f>
        <v>0</v>
      </c>
      <c r="ES290">
        <f>ES289*'Как будет'!ET10</f>
        <v>0</v>
      </c>
      <c r="ET290">
        <f>ET289*'Как будет'!EU10</f>
        <v>0</v>
      </c>
      <c r="EU290">
        <f>EU289*'Как будет'!EV10</f>
        <v>0</v>
      </c>
      <c r="EV290">
        <f>EV289*'Как будет'!EW10</f>
        <v>0</v>
      </c>
      <c r="EW290">
        <f>EW289*'Как будет'!EX10</f>
        <v>0</v>
      </c>
      <c r="EX290">
        <f>EX289*'Как будет'!EY10</f>
        <v>0</v>
      </c>
      <c r="EY290">
        <f>EY289*'Как будет'!EZ10</f>
        <v>0</v>
      </c>
      <c r="EZ290">
        <f>EZ289*'Как будет'!FA10</f>
        <v>0</v>
      </c>
      <c r="FA290">
        <f>FA289*'Как будет'!FB10</f>
        <v>0</v>
      </c>
      <c r="FB290">
        <f>FB289*'Как будет'!FC10</f>
        <v>0</v>
      </c>
      <c r="FC290">
        <f>FC289*'Как будет'!FD10</f>
        <v>0</v>
      </c>
      <c r="FD290">
        <f>FD289*'Как будет'!FE10</f>
        <v>0</v>
      </c>
      <c r="FE290">
        <f>FE289*'Как будет'!FF10</f>
        <v>0</v>
      </c>
      <c r="FF290">
        <f>FF289*'Как будет'!FG10</f>
        <v>0</v>
      </c>
      <c r="FG290">
        <f>FG289*'Как будет'!FH10</f>
        <v>0</v>
      </c>
      <c r="FH290">
        <f>FH289*'Как будет'!FI10</f>
        <v>0</v>
      </c>
      <c r="FI290">
        <f>FI289*'Как будет'!FJ10</f>
        <v>0</v>
      </c>
      <c r="FJ290">
        <f>FJ289*'Как будет'!FK10</f>
        <v>0</v>
      </c>
      <c r="FK290">
        <f>FK289*'Как будет'!FL10</f>
        <v>0</v>
      </c>
      <c r="FL290">
        <f>FL289*'Как будет'!FM10</f>
        <v>0</v>
      </c>
      <c r="FM290">
        <f>FM289*'Как будет'!FN10</f>
        <v>0</v>
      </c>
      <c r="FN290">
        <f>FN289*'Как будет'!FO10</f>
        <v>0</v>
      </c>
      <c r="FO290">
        <f>FO289*'Как будет'!FP10</f>
        <v>0</v>
      </c>
      <c r="FP290">
        <f>FP289*'Как будет'!FQ10</f>
        <v>0</v>
      </c>
      <c r="FQ290">
        <f>FQ289*'Как будет'!FR10</f>
        <v>0</v>
      </c>
      <c r="FR290">
        <f>FR289*'Как будет'!FS10</f>
        <v>0</v>
      </c>
      <c r="FS290">
        <f>FS289*'Как будет'!FT10</f>
        <v>0</v>
      </c>
      <c r="FT290">
        <f>FT289*'Как будет'!FU10</f>
        <v>0</v>
      </c>
      <c r="FU290">
        <f>FU289*'Как будет'!FV10</f>
        <v>0</v>
      </c>
      <c r="FV290">
        <f>FV289*'Как будет'!FW10</f>
        <v>0</v>
      </c>
      <c r="FW290">
        <f>FW289*'Как будет'!FX10</f>
        <v>0</v>
      </c>
      <c r="FX290">
        <f>FX289*'Как будет'!FY10</f>
        <v>0</v>
      </c>
      <c r="FY290">
        <f>FY289*'Как будет'!FZ10</f>
        <v>0</v>
      </c>
      <c r="FZ290">
        <f>FZ289*'Как будет'!GA10</f>
        <v>0</v>
      </c>
      <c r="GA290">
        <f>GA289*'Как будет'!GB10</f>
        <v>0</v>
      </c>
      <c r="GB290">
        <f>GB289*'Как будет'!GC10</f>
        <v>0</v>
      </c>
      <c r="GC290">
        <f>GC289*'Как будет'!GD10</f>
        <v>0</v>
      </c>
      <c r="GD290">
        <f>GD289*'Как будет'!GE10</f>
        <v>0</v>
      </c>
      <c r="GE290">
        <f>GE289*'Как будет'!GF10</f>
        <v>0</v>
      </c>
      <c r="GF290">
        <f>GF289*'Как будет'!GG10</f>
        <v>0</v>
      </c>
      <c r="GG290">
        <f>GG289*'Как будет'!GH10</f>
        <v>0</v>
      </c>
      <c r="GH290">
        <f>GH289*'Как будет'!GI10</f>
        <v>0</v>
      </c>
      <c r="GI290">
        <f>GI289*'Как будет'!GJ10</f>
        <v>0</v>
      </c>
      <c r="GJ290">
        <f>GJ289*'Как будет'!GK10</f>
        <v>0</v>
      </c>
      <c r="GK290">
        <f>GK289*'Как будет'!GL10</f>
        <v>0</v>
      </c>
      <c r="GL290">
        <f>GL289*'Как будет'!GM10</f>
        <v>0</v>
      </c>
      <c r="GM290">
        <f>GM289*'Как будет'!GN10</f>
        <v>0</v>
      </c>
      <c r="GN290">
        <f>GN289*'Как будет'!GO10</f>
        <v>0</v>
      </c>
      <c r="GO290">
        <f>GO289*'Как будет'!GP10</f>
        <v>0</v>
      </c>
      <c r="GP290">
        <f>GP289*'Как будет'!GQ10</f>
        <v>0</v>
      </c>
      <c r="GQ290">
        <f>GQ289*'Как будет'!GR10</f>
        <v>0</v>
      </c>
      <c r="GR290">
        <f>GR289*'Как будет'!GS10</f>
        <v>0</v>
      </c>
      <c r="GS290">
        <f>GS289*'Как будет'!GT10</f>
        <v>0</v>
      </c>
      <c r="GT290">
        <f>GT289*'Как будет'!GU10</f>
        <v>0</v>
      </c>
    </row>
    <row r="291" spans="1:202">
      <c r="A291" s="236" t="s">
        <v>226</v>
      </c>
      <c r="B291">
        <f>SUM(B290:GT290)</f>
        <v>46529.225856227931</v>
      </c>
    </row>
    <row r="292" spans="1:202">
      <c r="A292" s="236" t="s">
        <v>54</v>
      </c>
      <c r="B292" s="5">
        <f>(1+B293)^12-1</f>
        <v>1.5519735791775449</v>
      </c>
    </row>
    <row r="293" spans="1:202">
      <c r="A293" s="236" t="s">
        <v>55</v>
      </c>
      <c r="B293" s="257">
        <f>IRR(B289:INDEX(289:289,'Как будет'!$C$7+1))</f>
        <v>8.1200773725037534E-2</v>
      </c>
    </row>
    <row r="294" spans="1:202">
      <c r="A294" s="236"/>
      <c r="B294" s="236"/>
    </row>
    <row r="295" spans="1:202">
      <c r="A295" s="236" t="s">
        <v>252</v>
      </c>
      <c r="B295" s="246">
        <f>B289</f>
        <v>-2002.9793333333334</v>
      </c>
      <c r="C295" s="247">
        <f>B295+C289</f>
        <v>-3038.6701666666668</v>
      </c>
      <c r="D295" s="247">
        <f>C295+D289</f>
        <v>-4539.8864166666672</v>
      </c>
      <c r="E295" s="247">
        <f>D295+E289</f>
        <v>-5799.1937500000004</v>
      </c>
      <c r="F295" s="247">
        <f t="shared" ref="F295:BP295" si="13">E295+F289</f>
        <v>-6785.4522500000003</v>
      </c>
      <c r="G295" s="247">
        <f t="shared" si="13"/>
        <v>-7570.8645833333339</v>
      </c>
      <c r="H295" s="247">
        <f t="shared" si="13"/>
        <v>-8352.87075</v>
      </c>
      <c r="I295" s="247">
        <f t="shared" si="13"/>
        <v>-9131.4707500000004</v>
      </c>
      <c r="J295" s="247">
        <f t="shared" si="13"/>
        <v>-9906.6645833333332</v>
      </c>
      <c r="K295" s="247">
        <f t="shared" si="13"/>
        <v>-10678.45225</v>
      </c>
      <c r="L295" s="247">
        <f t="shared" si="13"/>
        <v>-11446.83375</v>
      </c>
      <c r="M295" s="247">
        <f t="shared" si="13"/>
        <v>-11561.1515</v>
      </c>
      <c r="N295" s="247">
        <f t="shared" si="13"/>
        <v>-11176.687232802637</v>
      </c>
      <c r="O295" s="247">
        <f t="shared" si="13"/>
        <v>-10396.979698962712</v>
      </c>
      <c r="P295" s="247">
        <f t="shared" si="13"/>
        <v>-8703.7950787949158</v>
      </c>
      <c r="Q295" s="247">
        <f t="shared" si="13"/>
        <v>-7072.3894045604648</v>
      </c>
      <c r="R295" s="247">
        <f t="shared" si="13"/>
        <v>-5310.3187213417787</v>
      </c>
      <c r="S295" s="247">
        <f t="shared" si="13"/>
        <v>-3041.9334400926764</v>
      </c>
      <c r="T295" s="247">
        <f t="shared" si="13"/>
        <v>-1244.6739858110925</v>
      </c>
      <c r="U295" s="247">
        <f t="shared" si="13"/>
        <v>740.59590382866668</v>
      </c>
      <c r="V295" s="247">
        <f t="shared" si="13"/>
        <v>3406.3364103557942</v>
      </c>
      <c r="W295" s="247">
        <f t="shared" si="13"/>
        <v>5864.903512373523</v>
      </c>
      <c r="X295" s="247">
        <f t="shared" si="13"/>
        <v>7984.4722178328775</v>
      </c>
      <c r="Y295" s="247">
        <f t="shared" si="13"/>
        <v>10725.714893814034</v>
      </c>
      <c r="Z295" s="247">
        <f t="shared" si="13"/>
        <v>11110.179161011398</v>
      </c>
      <c r="AA295" s="247">
        <f t="shared" si="13"/>
        <v>11889.886694851322</v>
      </c>
      <c r="AB295" s="247">
        <f t="shared" si="13"/>
        <v>13583.071315019119</v>
      </c>
      <c r="AC295" s="247">
        <f t="shared" si="13"/>
        <v>15214.47698925357</v>
      </c>
      <c r="AD295" s="247">
        <f t="shared" si="13"/>
        <v>16976.547672472254</v>
      </c>
      <c r="AE295" s="247">
        <f t="shared" si="13"/>
        <v>19244.932953721356</v>
      </c>
      <c r="AF295" s="247">
        <f t="shared" si="13"/>
        <v>21042.192408002938</v>
      </c>
      <c r="AG295" s="247">
        <f t="shared" si="13"/>
        <v>23027.462297642698</v>
      </c>
      <c r="AH295" s="247">
        <f t="shared" si="13"/>
        <v>25693.202804169825</v>
      </c>
      <c r="AI295" s="247">
        <f t="shared" si="13"/>
        <v>28151.769906187554</v>
      </c>
      <c r="AJ295" s="247">
        <f t="shared" si="13"/>
        <v>30271.338611646908</v>
      </c>
      <c r="AK295" s="247">
        <f t="shared" si="13"/>
        <v>33012.581287628062</v>
      </c>
      <c r="AL295" s="247">
        <f t="shared" si="13"/>
        <v>33397.045554825425</v>
      </c>
      <c r="AM295" s="247">
        <f t="shared" si="13"/>
        <v>34176.753088665348</v>
      </c>
      <c r="AN295" s="247">
        <f t="shared" si="13"/>
        <v>35869.937708833146</v>
      </c>
      <c r="AO295" s="247">
        <f t="shared" si="13"/>
        <v>37501.343383067593</v>
      </c>
      <c r="AP295" s="247">
        <f t="shared" si="13"/>
        <v>39263.414066286277</v>
      </c>
      <c r="AQ295" s="247">
        <f t="shared" si="13"/>
        <v>41531.79934753538</v>
      </c>
      <c r="AR295" s="247">
        <f t="shared" si="13"/>
        <v>43329.058801816966</v>
      </c>
      <c r="AS295" s="247">
        <f t="shared" si="13"/>
        <v>45314.328691456722</v>
      </c>
      <c r="AT295" s="247">
        <f t="shared" si="13"/>
        <v>47980.069197983852</v>
      </c>
      <c r="AU295" s="247">
        <f t="shared" si="13"/>
        <v>50438.636300001584</v>
      </c>
      <c r="AV295" s="247">
        <f t="shared" si="13"/>
        <v>52558.205005460943</v>
      </c>
      <c r="AW295" s="247">
        <f t="shared" si="13"/>
        <v>55299.4476814421</v>
      </c>
      <c r="AX295" s="247">
        <f t="shared" si="13"/>
        <v>55683.911948639463</v>
      </c>
      <c r="AY295" s="247">
        <f t="shared" si="13"/>
        <v>56463.619482479386</v>
      </c>
      <c r="AZ295" s="247">
        <f t="shared" si="13"/>
        <v>58156.804102647184</v>
      </c>
      <c r="BA295" s="247">
        <f t="shared" si="13"/>
        <v>59788.209776881631</v>
      </c>
      <c r="BB295" s="247">
        <f t="shared" si="13"/>
        <v>61550.280460100315</v>
      </c>
      <c r="BC295" s="247">
        <f t="shared" si="13"/>
        <v>63818.665741349418</v>
      </c>
      <c r="BD295" s="247">
        <f t="shared" si="13"/>
        <v>65615.925195631004</v>
      </c>
      <c r="BE295" s="247">
        <f t="shared" si="13"/>
        <v>67601.195085270767</v>
      </c>
      <c r="BF295" s="247">
        <f t="shared" si="13"/>
        <v>70266.935591797897</v>
      </c>
      <c r="BG295" s="247">
        <f t="shared" si="13"/>
        <v>72725.502693815622</v>
      </c>
      <c r="BH295" s="247">
        <f t="shared" si="13"/>
        <v>74845.071399274981</v>
      </c>
      <c r="BI295" s="247">
        <f t="shared" si="13"/>
        <v>77586.31407525613</v>
      </c>
      <c r="BJ295" s="247">
        <f t="shared" si="13"/>
        <v>77586.31407525613</v>
      </c>
      <c r="BK295" s="247">
        <f t="shared" si="13"/>
        <v>77586.31407525613</v>
      </c>
      <c r="BL295" s="247">
        <f t="shared" si="13"/>
        <v>77586.31407525613</v>
      </c>
      <c r="BM295" s="247">
        <f t="shared" si="13"/>
        <v>77586.31407525613</v>
      </c>
      <c r="BN295" s="247">
        <f t="shared" si="13"/>
        <v>77586.31407525613</v>
      </c>
      <c r="BO295" s="247">
        <f t="shared" si="13"/>
        <v>77586.31407525613</v>
      </c>
      <c r="BP295" s="247">
        <f t="shared" si="13"/>
        <v>77586.31407525613</v>
      </c>
      <c r="BQ295" s="247">
        <f t="shared" ref="BQ295:EB295" si="14">BP295+BQ289</f>
        <v>77586.31407525613</v>
      </c>
      <c r="BR295" s="247">
        <f t="shared" si="14"/>
        <v>77586.31407525613</v>
      </c>
      <c r="BS295" s="247">
        <f t="shared" si="14"/>
        <v>77586.31407525613</v>
      </c>
      <c r="BT295" s="247">
        <f t="shared" si="14"/>
        <v>77586.31407525613</v>
      </c>
      <c r="BU295" s="247">
        <f t="shared" si="14"/>
        <v>77586.31407525613</v>
      </c>
      <c r="BV295" s="247">
        <f t="shared" si="14"/>
        <v>77586.31407525613</v>
      </c>
      <c r="BW295" s="247">
        <f t="shared" si="14"/>
        <v>77586.31407525613</v>
      </c>
      <c r="BX295" s="247">
        <f t="shared" si="14"/>
        <v>77586.31407525613</v>
      </c>
      <c r="BY295" s="247">
        <f t="shared" si="14"/>
        <v>77586.31407525613</v>
      </c>
      <c r="BZ295" s="247">
        <f t="shared" si="14"/>
        <v>77586.31407525613</v>
      </c>
      <c r="CA295" s="247">
        <f t="shared" si="14"/>
        <v>77586.31407525613</v>
      </c>
      <c r="CB295" s="247">
        <f t="shared" si="14"/>
        <v>77586.31407525613</v>
      </c>
      <c r="CC295" s="247">
        <f t="shared" si="14"/>
        <v>77586.31407525613</v>
      </c>
      <c r="CD295" s="247">
        <f t="shared" si="14"/>
        <v>77586.31407525613</v>
      </c>
      <c r="CE295" s="247">
        <f t="shared" si="14"/>
        <v>77586.31407525613</v>
      </c>
      <c r="CF295" s="247">
        <f t="shared" si="14"/>
        <v>77586.31407525613</v>
      </c>
      <c r="CG295" s="247">
        <f t="shared" si="14"/>
        <v>77586.31407525613</v>
      </c>
      <c r="CH295" s="247">
        <f t="shared" si="14"/>
        <v>77586.31407525613</v>
      </c>
      <c r="CI295" s="247">
        <f t="shared" si="14"/>
        <v>77586.31407525613</v>
      </c>
      <c r="CJ295" s="247">
        <f t="shared" si="14"/>
        <v>77586.31407525613</v>
      </c>
      <c r="CK295" s="247">
        <f t="shared" si="14"/>
        <v>77586.31407525613</v>
      </c>
      <c r="CL295" s="247">
        <f t="shared" si="14"/>
        <v>77586.31407525613</v>
      </c>
      <c r="CM295" s="247">
        <f t="shared" si="14"/>
        <v>77586.31407525613</v>
      </c>
      <c r="CN295" s="247">
        <f t="shared" si="14"/>
        <v>77586.31407525613</v>
      </c>
      <c r="CO295" s="247">
        <f t="shared" si="14"/>
        <v>77586.31407525613</v>
      </c>
      <c r="CP295" s="247">
        <f t="shared" si="14"/>
        <v>77586.31407525613</v>
      </c>
      <c r="CQ295" s="247">
        <f t="shared" si="14"/>
        <v>77586.31407525613</v>
      </c>
      <c r="CR295" s="247">
        <f t="shared" si="14"/>
        <v>77586.31407525613</v>
      </c>
      <c r="CS295" s="247">
        <f t="shared" si="14"/>
        <v>77586.31407525613</v>
      </c>
      <c r="CT295" s="247">
        <f t="shared" si="14"/>
        <v>77586.31407525613</v>
      </c>
      <c r="CU295" s="247">
        <f t="shared" si="14"/>
        <v>77586.31407525613</v>
      </c>
      <c r="CV295" s="247">
        <f t="shared" si="14"/>
        <v>77586.31407525613</v>
      </c>
      <c r="CW295" s="247">
        <f t="shared" si="14"/>
        <v>77586.31407525613</v>
      </c>
      <c r="CX295" s="247">
        <f t="shared" si="14"/>
        <v>77586.31407525613</v>
      </c>
      <c r="CY295" s="247">
        <f t="shared" si="14"/>
        <v>77586.31407525613</v>
      </c>
      <c r="CZ295" s="247">
        <f t="shared" si="14"/>
        <v>77586.31407525613</v>
      </c>
      <c r="DA295" s="247">
        <f t="shared" si="14"/>
        <v>77586.31407525613</v>
      </c>
      <c r="DB295" s="247">
        <f t="shared" si="14"/>
        <v>77586.31407525613</v>
      </c>
      <c r="DC295" s="247">
        <f t="shared" si="14"/>
        <v>77586.31407525613</v>
      </c>
      <c r="DD295" s="247">
        <f t="shared" si="14"/>
        <v>77586.31407525613</v>
      </c>
      <c r="DE295" s="247">
        <f t="shared" si="14"/>
        <v>77586.31407525613</v>
      </c>
      <c r="DF295" s="247">
        <f t="shared" si="14"/>
        <v>77586.31407525613</v>
      </c>
      <c r="DG295" s="247">
        <f t="shared" si="14"/>
        <v>77586.31407525613</v>
      </c>
      <c r="DH295" s="247">
        <f t="shared" si="14"/>
        <v>77586.31407525613</v>
      </c>
      <c r="DI295" s="247">
        <f t="shared" si="14"/>
        <v>77586.31407525613</v>
      </c>
      <c r="DJ295" s="247">
        <f t="shared" si="14"/>
        <v>77586.31407525613</v>
      </c>
      <c r="DK295" s="247">
        <f t="shared" si="14"/>
        <v>77586.31407525613</v>
      </c>
      <c r="DL295" s="247">
        <f t="shared" si="14"/>
        <v>77586.31407525613</v>
      </c>
      <c r="DM295" s="247">
        <f t="shared" si="14"/>
        <v>77586.31407525613</v>
      </c>
      <c r="DN295" s="247">
        <f t="shared" si="14"/>
        <v>77586.31407525613</v>
      </c>
      <c r="DO295" s="247">
        <f t="shared" si="14"/>
        <v>77586.31407525613</v>
      </c>
      <c r="DP295" s="247">
        <f t="shared" si="14"/>
        <v>77586.31407525613</v>
      </c>
      <c r="DQ295" s="247">
        <f t="shared" si="14"/>
        <v>77586.31407525613</v>
      </c>
      <c r="DR295" s="247">
        <f t="shared" si="14"/>
        <v>77586.31407525613</v>
      </c>
      <c r="DS295" s="247">
        <f t="shared" si="14"/>
        <v>77586.31407525613</v>
      </c>
      <c r="DT295" s="247">
        <f t="shared" si="14"/>
        <v>77586.31407525613</v>
      </c>
      <c r="DU295" s="247">
        <f t="shared" si="14"/>
        <v>77586.31407525613</v>
      </c>
      <c r="DV295" s="247">
        <f t="shared" si="14"/>
        <v>77586.31407525613</v>
      </c>
      <c r="DW295" s="247">
        <f t="shared" si="14"/>
        <v>77586.31407525613</v>
      </c>
      <c r="DX295" s="247">
        <f t="shared" si="14"/>
        <v>77586.31407525613</v>
      </c>
      <c r="DY295" s="247">
        <f t="shared" si="14"/>
        <v>77586.31407525613</v>
      </c>
      <c r="DZ295" s="247">
        <f t="shared" si="14"/>
        <v>77586.31407525613</v>
      </c>
      <c r="EA295" s="247">
        <f t="shared" si="14"/>
        <v>77586.31407525613</v>
      </c>
      <c r="EB295" s="247">
        <f t="shared" si="14"/>
        <v>77586.31407525613</v>
      </c>
      <c r="EC295" s="247">
        <f t="shared" ref="EC295:GN295" si="15">EB295+EC289</f>
        <v>77586.31407525613</v>
      </c>
      <c r="ED295" s="247">
        <f t="shared" si="15"/>
        <v>77586.31407525613</v>
      </c>
      <c r="EE295" s="247">
        <f t="shared" si="15"/>
        <v>77586.31407525613</v>
      </c>
      <c r="EF295" s="247">
        <f t="shared" si="15"/>
        <v>77586.31407525613</v>
      </c>
      <c r="EG295" s="247">
        <f t="shared" si="15"/>
        <v>77586.31407525613</v>
      </c>
      <c r="EH295" s="247">
        <f t="shared" si="15"/>
        <v>77586.31407525613</v>
      </c>
      <c r="EI295" s="247">
        <f t="shared" si="15"/>
        <v>77586.31407525613</v>
      </c>
      <c r="EJ295" s="247">
        <f t="shared" si="15"/>
        <v>77586.31407525613</v>
      </c>
      <c r="EK295" s="247">
        <f t="shared" si="15"/>
        <v>77586.31407525613</v>
      </c>
      <c r="EL295" s="247">
        <f t="shared" si="15"/>
        <v>77586.31407525613</v>
      </c>
      <c r="EM295" s="247">
        <f t="shared" si="15"/>
        <v>77586.31407525613</v>
      </c>
      <c r="EN295" s="247">
        <f t="shared" si="15"/>
        <v>77586.31407525613</v>
      </c>
      <c r="EO295" s="247">
        <f t="shared" si="15"/>
        <v>77586.31407525613</v>
      </c>
      <c r="EP295" s="247">
        <f t="shared" si="15"/>
        <v>77586.31407525613</v>
      </c>
      <c r="EQ295" s="247">
        <f t="shared" si="15"/>
        <v>77586.31407525613</v>
      </c>
      <c r="ER295" s="247">
        <f t="shared" si="15"/>
        <v>77586.31407525613</v>
      </c>
      <c r="ES295" s="247">
        <f t="shared" si="15"/>
        <v>77586.31407525613</v>
      </c>
      <c r="ET295" s="247">
        <f t="shared" si="15"/>
        <v>77586.31407525613</v>
      </c>
      <c r="EU295" s="247">
        <f t="shared" si="15"/>
        <v>77586.31407525613</v>
      </c>
      <c r="EV295" s="247">
        <f t="shared" si="15"/>
        <v>77586.31407525613</v>
      </c>
      <c r="EW295" s="247">
        <f t="shared" si="15"/>
        <v>77586.31407525613</v>
      </c>
      <c r="EX295" s="247">
        <f t="shared" si="15"/>
        <v>77586.31407525613</v>
      </c>
      <c r="EY295" s="247">
        <f t="shared" si="15"/>
        <v>77586.31407525613</v>
      </c>
      <c r="EZ295" s="247">
        <f t="shared" si="15"/>
        <v>77586.31407525613</v>
      </c>
      <c r="FA295" s="247">
        <f t="shared" si="15"/>
        <v>77586.31407525613</v>
      </c>
      <c r="FB295" s="247">
        <f t="shared" si="15"/>
        <v>77586.31407525613</v>
      </c>
      <c r="FC295" s="247">
        <f t="shared" si="15"/>
        <v>77586.31407525613</v>
      </c>
      <c r="FD295" s="247">
        <f t="shared" si="15"/>
        <v>77586.31407525613</v>
      </c>
      <c r="FE295" s="247">
        <f t="shared" si="15"/>
        <v>77586.31407525613</v>
      </c>
      <c r="FF295" s="247">
        <f t="shared" si="15"/>
        <v>77586.31407525613</v>
      </c>
      <c r="FG295" s="247">
        <f t="shared" si="15"/>
        <v>77586.31407525613</v>
      </c>
      <c r="FH295" s="247">
        <f t="shared" si="15"/>
        <v>77586.31407525613</v>
      </c>
      <c r="FI295" s="247">
        <f t="shared" si="15"/>
        <v>77586.31407525613</v>
      </c>
      <c r="FJ295" s="247">
        <f t="shared" si="15"/>
        <v>77586.31407525613</v>
      </c>
      <c r="FK295" s="247">
        <f t="shared" si="15"/>
        <v>77586.31407525613</v>
      </c>
      <c r="FL295" s="247">
        <f t="shared" si="15"/>
        <v>77586.31407525613</v>
      </c>
      <c r="FM295" s="247">
        <f t="shared" si="15"/>
        <v>77586.31407525613</v>
      </c>
      <c r="FN295" s="247">
        <f t="shared" si="15"/>
        <v>77586.31407525613</v>
      </c>
      <c r="FO295" s="247">
        <f t="shared" si="15"/>
        <v>77586.31407525613</v>
      </c>
      <c r="FP295" s="247">
        <f t="shared" si="15"/>
        <v>77586.31407525613</v>
      </c>
      <c r="FQ295" s="247">
        <f t="shared" si="15"/>
        <v>77586.31407525613</v>
      </c>
      <c r="FR295" s="247">
        <f t="shared" si="15"/>
        <v>77586.31407525613</v>
      </c>
      <c r="FS295" s="247">
        <f t="shared" si="15"/>
        <v>77586.31407525613</v>
      </c>
      <c r="FT295" s="247">
        <f t="shared" si="15"/>
        <v>77586.31407525613</v>
      </c>
      <c r="FU295" s="247">
        <f t="shared" si="15"/>
        <v>77586.31407525613</v>
      </c>
      <c r="FV295" s="247">
        <f t="shared" si="15"/>
        <v>77586.31407525613</v>
      </c>
      <c r="FW295" s="247">
        <f t="shared" si="15"/>
        <v>77586.31407525613</v>
      </c>
      <c r="FX295" s="247">
        <f t="shared" si="15"/>
        <v>77586.31407525613</v>
      </c>
      <c r="FY295" s="247">
        <f t="shared" si="15"/>
        <v>77586.31407525613</v>
      </c>
      <c r="FZ295" s="247">
        <f t="shared" si="15"/>
        <v>77586.31407525613</v>
      </c>
      <c r="GA295" s="247">
        <f t="shared" si="15"/>
        <v>77586.31407525613</v>
      </c>
      <c r="GB295" s="247">
        <f t="shared" si="15"/>
        <v>77586.31407525613</v>
      </c>
      <c r="GC295" s="247">
        <f t="shared" si="15"/>
        <v>77586.31407525613</v>
      </c>
      <c r="GD295" s="247">
        <f t="shared" si="15"/>
        <v>77586.31407525613</v>
      </c>
      <c r="GE295" s="247">
        <f t="shared" si="15"/>
        <v>77586.31407525613</v>
      </c>
      <c r="GF295" s="247">
        <f t="shared" si="15"/>
        <v>77586.31407525613</v>
      </c>
      <c r="GG295" s="247">
        <f t="shared" si="15"/>
        <v>77586.31407525613</v>
      </c>
      <c r="GH295" s="247">
        <f t="shared" si="15"/>
        <v>77586.31407525613</v>
      </c>
      <c r="GI295" s="247">
        <f t="shared" si="15"/>
        <v>77586.31407525613</v>
      </c>
      <c r="GJ295" s="247">
        <f t="shared" si="15"/>
        <v>77586.31407525613</v>
      </c>
      <c r="GK295" s="247">
        <f t="shared" si="15"/>
        <v>77586.31407525613</v>
      </c>
      <c r="GL295" s="247">
        <f t="shared" si="15"/>
        <v>77586.31407525613</v>
      </c>
      <c r="GM295" s="247">
        <f t="shared" si="15"/>
        <v>77586.31407525613</v>
      </c>
      <c r="GN295" s="247">
        <f t="shared" si="15"/>
        <v>77586.31407525613</v>
      </c>
      <c r="GO295" s="247">
        <f t="shared" ref="GO295:GS295" si="16">GN295+GO289</f>
        <v>77586.31407525613</v>
      </c>
      <c r="GP295" s="247">
        <f t="shared" si="16"/>
        <v>77586.31407525613</v>
      </c>
      <c r="GQ295" s="247">
        <f t="shared" si="16"/>
        <v>77586.31407525613</v>
      </c>
      <c r="GR295" s="247">
        <f t="shared" si="16"/>
        <v>77586.31407525613</v>
      </c>
      <c r="GS295" s="247">
        <f t="shared" si="16"/>
        <v>77586.31407525613</v>
      </c>
      <c r="GT295" s="247">
        <f>GS295+GT289</f>
        <v>77586.31407525613</v>
      </c>
    </row>
    <row r="296" spans="1:202">
      <c r="A296" s="236" t="s">
        <v>253</v>
      </c>
      <c r="B296" s="246">
        <f>B290</f>
        <v>-2002.9793333333334</v>
      </c>
      <c r="C296" s="247">
        <f>B296+C290</f>
        <v>-3025.9392889328865</v>
      </c>
      <c r="D296" s="247">
        <f>C296+D290</f>
        <v>-4490.4759869630989</v>
      </c>
      <c r="E296" s="247">
        <f t="shared" ref="E296:BP296" si="17">D296+E290</f>
        <v>-5703.9129920388104</v>
      </c>
      <c r="F296" s="247">
        <f t="shared" si="17"/>
        <v>-6642.5653225384303</v>
      </c>
      <c r="G296" s="247">
        <f t="shared" si="17"/>
        <v>-7380.8778223638874</v>
      </c>
      <c r="H296" s="247">
        <f t="shared" si="17"/>
        <v>-8106.9523202424207</v>
      </c>
      <c r="I296" s="247">
        <f t="shared" si="17"/>
        <v>-8820.9781221823068</v>
      </c>
      <c r="J296" s="247">
        <f t="shared" si="17"/>
        <v>-9523.1417293601153</v>
      </c>
      <c r="K296" s="247">
        <f t="shared" si="17"/>
        <v>-10213.626878471972</v>
      </c>
      <c r="L296" s="247">
        <f t="shared" si="17"/>
        <v>-10892.614581516636</v>
      </c>
      <c r="M296" s="247">
        <f t="shared" si="17"/>
        <v>-10992.390831659241</v>
      </c>
      <c r="N296" s="247">
        <f t="shared" si="17"/>
        <v>-10660.956118558064</v>
      </c>
      <c r="O296" s="247">
        <f t="shared" si="17"/>
        <v>-9997.0567704072255</v>
      </c>
      <c r="P296" s="247">
        <f t="shared" si="17"/>
        <v>-8573.0786133996007</v>
      </c>
      <c r="Q296" s="247">
        <f t="shared" si="17"/>
        <v>-7217.9220215182559</v>
      </c>
      <c r="R296" s="247">
        <f t="shared" si="17"/>
        <v>-5772.2181635852658</v>
      </c>
      <c r="S296" s="247">
        <f t="shared" si="17"/>
        <v>-3933.9818722463219</v>
      </c>
      <c r="T296" s="247">
        <f t="shared" si="17"/>
        <v>-2495.43574226907</v>
      </c>
      <c r="U296" s="247">
        <f t="shared" si="17"/>
        <v>-925.93663576364906</v>
      </c>
      <c r="V296" s="247">
        <f t="shared" si="17"/>
        <v>1155.6183577417023</v>
      </c>
      <c r="W296" s="247">
        <f t="shared" si="17"/>
        <v>3051.8028258875306</v>
      </c>
      <c r="X296" s="247">
        <f t="shared" si="17"/>
        <v>4666.4384063646048</v>
      </c>
      <c r="Y296" s="247">
        <f t="shared" si="17"/>
        <v>6728.9813754156949</v>
      </c>
      <c r="Z296" s="247">
        <f t="shared" si="17"/>
        <v>7014.7009556753292</v>
      </c>
      <c r="AA296" s="247">
        <f t="shared" si="17"/>
        <v>7587.0279799432928</v>
      </c>
      <c r="AB296" s="247">
        <f t="shared" si="17"/>
        <v>8814.5953566740045</v>
      </c>
      <c r="AC296" s="247">
        <f t="shared" si="17"/>
        <v>9982.833797951027</v>
      </c>
      <c r="AD296" s="247">
        <f t="shared" si="17"/>
        <v>11229.130227203605</v>
      </c>
      <c r="AE296" s="247">
        <f t="shared" si="17"/>
        <v>12813.816685254418</v>
      </c>
      <c r="AF296" s="247">
        <f t="shared" si="17"/>
        <v>14053.942659372738</v>
      </c>
      <c r="AG296" s="247">
        <f t="shared" si="17"/>
        <v>15406.959130498102</v>
      </c>
      <c r="AH296" s="247">
        <f t="shared" si="17"/>
        <v>17201.403090416508</v>
      </c>
      <c r="AI296" s="247">
        <f t="shared" si="17"/>
        <v>18836.044873300842</v>
      </c>
      <c r="AJ296" s="247">
        <f t="shared" si="17"/>
        <v>20227.972097850045</v>
      </c>
      <c r="AK296" s="247">
        <f t="shared" si="17"/>
        <v>22006.026381514777</v>
      </c>
      <c r="AL296" s="247">
        <f t="shared" si="17"/>
        <v>22252.33636449722</v>
      </c>
      <c r="AM296" s="247">
        <f t="shared" si="17"/>
        <v>22745.721730245463</v>
      </c>
      <c r="AN296" s="247">
        <f t="shared" si="17"/>
        <v>23803.969468806423</v>
      </c>
      <c r="AO296" s="247">
        <f t="shared" si="17"/>
        <v>24811.071573355581</v>
      </c>
      <c r="AP296" s="247">
        <f t="shared" si="17"/>
        <v>25885.465046849182</v>
      </c>
      <c r="AQ296" s="247">
        <f t="shared" si="17"/>
        <v>27251.574062410229</v>
      </c>
      <c r="AR296" s="247">
        <f t="shared" si="17"/>
        <v>28320.648178029471</v>
      </c>
      <c r="AS296" s="247">
        <f t="shared" si="17"/>
        <v>29487.041687620302</v>
      </c>
      <c r="AT296" s="247">
        <f t="shared" si="17"/>
        <v>31033.976135825826</v>
      </c>
      <c r="AU296" s="247">
        <f t="shared" si="17"/>
        <v>32443.150086588183</v>
      </c>
      <c r="AV296" s="247">
        <f t="shared" si="17"/>
        <v>33643.087349130597</v>
      </c>
      <c r="AW296" s="247">
        <f t="shared" si="17"/>
        <v>35175.89276608295</v>
      </c>
      <c r="AX296" s="247">
        <f t="shared" si="17"/>
        <v>35388.228958309192</v>
      </c>
      <c r="AY296" s="247">
        <f t="shared" si="17"/>
        <v>35813.561170161127</v>
      </c>
      <c r="AZ296" s="247">
        <f t="shared" si="17"/>
        <v>36725.843703403334</v>
      </c>
      <c r="BA296" s="247">
        <f t="shared" si="17"/>
        <v>37594.035172842261</v>
      </c>
      <c r="BB296" s="247">
        <f t="shared" si="17"/>
        <v>38520.236443095368</v>
      </c>
      <c r="BC296" s="247">
        <f t="shared" si="17"/>
        <v>39697.916628923856</v>
      </c>
      <c r="BD296" s="247">
        <f t="shared" si="17"/>
        <v>40619.532245836999</v>
      </c>
      <c r="BE296" s="247">
        <f t="shared" si="17"/>
        <v>41625.043892035988</v>
      </c>
      <c r="BF296" s="247">
        <f t="shared" si="17"/>
        <v>42958.608071523508</v>
      </c>
      <c r="BG296" s="247">
        <f t="shared" si="17"/>
        <v>44173.413201491057</v>
      </c>
      <c r="BH296" s="247">
        <f t="shared" si="17"/>
        <v>45207.841876096587</v>
      </c>
      <c r="BI296" s="247">
        <f t="shared" si="17"/>
        <v>46529.225856227931</v>
      </c>
      <c r="BJ296" s="247">
        <f t="shared" si="17"/>
        <v>46529.225856227931</v>
      </c>
      <c r="BK296" s="247">
        <f t="shared" si="17"/>
        <v>46529.225856227931</v>
      </c>
      <c r="BL296" s="247">
        <f t="shared" si="17"/>
        <v>46529.225856227931</v>
      </c>
      <c r="BM296" s="247">
        <f t="shared" si="17"/>
        <v>46529.225856227931</v>
      </c>
      <c r="BN296" s="247">
        <f t="shared" si="17"/>
        <v>46529.225856227931</v>
      </c>
      <c r="BO296" s="247">
        <f t="shared" si="17"/>
        <v>46529.225856227931</v>
      </c>
      <c r="BP296" s="247">
        <f t="shared" si="17"/>
        <v>46529.225856227931</v>
      </c>
      <c r="BQ296" s="247">
        <f t="shared" ref="BQ296:EB296" si="18">BP296+BQ290</f>
        <v>46529.225856227931</v>
      </c>
      <c r="BR296" s="247">
        <f t="shared" si="18"/>
        <v>46529.225856227931</v>
      </c>
      <c r="BS296" s="247">
        <f t="shared" si="18"/>
        <v>46529.225856227931</v>
      </c>
      <c r="BT296" s="247">
        <f t="shared" si="18"/>
        <v>46529.225856227931</v>
      </c>
      <c r="BU296" s="247">
        <f t="shared" si="18"/>
        <v>46529.225856227931</v>
      </c>
      <c r="BV296" s="247">
        <f t="shared" si="18"/>
        <v>46529.225856227931</v>
      </c>
      <c r="BW296" s="247">
        <f t="shared" si="18"/>
        <v>46529.225856227931</v>
      </c>
      <c r="BX296" s="247">
        <f t="shared" si="18"/>
        <v>46529.225856227931</v>
      </c>
      <c r="BY296" s="247">
        <f t="shared" si="18"/>
        <v>46529.225856227931</v>
      </c>
      <c r="BZ296" s="247">
        <f t="shared" si="18"/>
        <v>46529.225856227931</v>
      </c>
      <c r="CA296" s="247">
        <f t="shared" si="18"/>
        <v>46529.225856227931</v>
      </c>
      <c r="CB296" s="247">
        <f t="shared" si="18"/>
        <v>46529.225856227931</v>
      </c>
      <c r="CC296" s="247">
        <f t="shared" si="18"/>
        <v>46529.225856227931</v>
      </c>
      <c r="CD296" s="247">
        <f t="shared" si="18"/>
        <v>46529.225856227931</v>
      </c>
      <c r="CE296" s="247">
        <f t="shared" si="18"/>
        <v>46529.225856227931</v>
      </c>
      <c r="CF296" s="247">
        <f t="shared" si="18"/>
        <v>46529.225856227931</v>
      </c>
      <c r="CG296" s="247">
        <f t="shared" si="18"/>
        <v>46529.225856227931</v>
      </c>
      <c r="CH296" s="247">
        <f t="shared" si="18"/>
        <v>46529.225856227931</v>
      </c>
      <c r="CI296" s="247">
        <f t="shared" si="18"/>
        <v>46529.225856227931</v>
      </c>
      <c r="CJ296" s="247">
        <f t="shared" si="18"/>
        <v>46529.225856227931</v>
      </c>
      <c r="CK296" s="247">
        <f t="shared" si="18"/>
        <v>46529.225856227931</v>
      </c>
      <c r="CL296" s="247">
        <f t="shared" si="18"/>
        <v>46529.225856227931</v>
      </c>
      <c r="CM296" s="247">
        <f t="shared" si="18"/>
        <v>46529.225856227931</v>
      </c>
      <c r="CN296" s="247">
        <f t="shared" si="18"/>
        <v>46529.225856227931</v>
      </c>
      <c r="CO296" s="247">
        <f t="shared" si="18"/>
        <v>46529.225856227931</v>
      </c>
      <c r="CP296" s="247">
        <f t="shared" si="18"/>
        <v>46529.225856227931</v>
      </c>
      <c r="CQ296" s="247">
        <f t="shared" si="18"/>
        <v>46529.225856227931</v>
      </c>
      <c r="CR296" s="247">
        <f t="shared" si="18"/>
        <v>46529.225856227931</v>
      </c>
      <c r="CS296" s="247">
        <f t="shared" si="18"/>
        <v>46529.225856227931</v>
      </c>
      <c r="CT296" s="247">
        <f t="shared" si="18"/>
        <v>46529.225856227931</v>
      </c>
      <c r="CU296" s="247">
        <f t="shared" si="18"/>
        <v>46529.225856227931</v>
      </c>
      <c r="CV296" s="247">
        <f t="shared" si="18"/>
        <v>46529.225856227931</v>
      </c>
      <c r="CW296" s="247">
        <f t="shared" si="18"/>
        <v>46529.225856227931</v>
      </c>
      <c r="CX296" s="247">
        <f t="shared" si="18"/>
        <v>46529.225856227931</v>
      </c>
      <c r="CY296" s="247">
        <f t="shared" si="18"/>
        <v>46529.225856227931</v>
      </c>
      <c r="CZ296" s="247">
        <f t="shared" si="18"/>
        <v>46529.225856227931</v>
      </c>
      <c r="DA296" s="247">
        <f t="shared" si="18"/>
        <v>46529.225856227931</v>
      </c>
      <c r="DB296" s="247">
        <f t="shared" si="18"/>
        <v>46529.225856227931</v>
      </c>
      <c r="DC296" s="247">
        <f t="shared" si="18"/>
        <v>46529.225856227931</v>
      </c>
      <c r="DD296" s="247">
        <f t="shared" si="18"/>
        <v>46529.225856227931</v>
      </c>
      <c r="DE296" s="247">
        <f t="shared" si="18"/>
        <v>46529.225856227931</v>
      </c>
      <c r="DF296" s="247">
        <f t="shared" si="18"/>
        <v>46529.225856227931</v>
      </c>
      <c r="DG296" s="247">
        <f t="shared" si="18"/>
        <v>46529.225856227931</v>
      </c>
      <c r="DH296" s="247">
        <f t="shared" si="18"/>
        <v>46529.225856227931</v>
      </c>
      <c r="DI296" s="247">
        <f t="shared" si="18"/>
        <v>46529.225856227931</v>
      </c>
      <c r="DJ296" s="247">
        <f t="shared" si="18"/>
        <v>46529.225856227931</v>
      </c>
      <c r="DK296" s="247">
        <f t="shared" si="18"/>
        <v>46529.225856227931</v>
      </c>
      <c r="DL296" s="247">
        <f t="shared" si="18"/>
        <v>46529.225856227931</v>
      </c>
      <c r="DM296" s="247">
        <f t="shared" si="18"/>
        <v>46529.225856227931</v>
      </c>
      <c r="DN296" s="247">
        <f t="shared" si="18"/>
        <v>46529.225856227931</v>
      </c>
      <c r="DO296" s="247">
        <f t="shared" si="18"/>
        <v>46529.225856227931</v>
      </c>
      <c r="DP296" s="247">
        <f t="shared" si="18"/>
        <v>46529.225856227931</v>
      </c>
      <c r="DQ296" s="247">
        <f t="shared" si="18"/>
        <v>46529.225856227931</v>
      </c>
      <c r="DR296" s="247">
        <f t="shared" si="18"/>
        <v>46529.225856227931</v>
      </c>
      <c r="DS296" s="247">
        <f t="shared" si="18"/>
        <v>46529.225856227931</v>
      </c>
      <c r="DT296" s="247">
        <f t="shared" si="18"/>
        <v>46529.225856227931</v>
      </c>
      <c r="DU296" s="247">
        <f t="shared" si="18"/>
        <v>46529.225856227931</v>
      </c>
      <c r="DV296" s="247">
        <f t="shared" si="18"/>
        <v>46529.225856227931</v>
      </c>
      <c r="DW296" s="247">
        <f t="shared" si="18"/>
        <v>46529.225856227931</v>
      </c>
      <c r="DX296" s="247">
        <f t="shared" si="18"/>
        <v>46529.225856227931</v>
      </c>
      <c r="DY296" s="247">
        <f t="shared" si="18"/>
        <v>46529.225856227931</v>
      </c>
      <c r="DZ296" s="247">
        <f t="shared" si="18"/>
        <v>46529.225856227931</v>
      </c>
      <c r="EA296" s="247">
        <f t="shared" si="18"/>
        <v>46529.225856227931</v>
      </c>
      <c r="EB296" s="247">
        <f t="shared" si="18"/>
        <v>46529.225856227931</v>
      </c>
      <c r="EC296" s="247">
        <f t="shared" ref="EC296:GN296" si="19">EB296+EC290</f>
        <v>46529.225856227931</v>
      </c>
      <c r="ED296" s="247">
        <f t="shared" si="19"/>
        <v>46529.225856227931</v>
      </c>
      <c r="EE296" s="247">
        <f t="shared" si="19"/>
        <v>46529.225856227931</v>
      </c>
      <c r="EF296" s="247">
        <f t="shared" si="19"/>
        <v>46529.225856227931</v>
      </c>
      <c r="EG296" s="247">
        <f t="shared" si="19"/>
        <v>46529.225856227931</v>
      </c>
      <c r="EH296" s="247">
        <f t="shared" si="19"/>
        <v>46529.225856227931</v>
      </c>
      <c r="EI296" s="247">
        <f t="shared" si="19"/>
        <v>46529.225856227931</v>
      </c>
      <c r="EJ296" s="247">
        <f t="shared" si="19"/>
        <v>46529.225856227931</v>
      </c>
      <c r="EK296" s="247">
        <f t="shared" si="19"/>
        <v>46529.225856227931</v>
      </c>
      <c r="EL296" s="247">
        <f t="shared" si="19"/>
        <v>46529.225856227931</v>
      </c>
      <c r="EM296" s="247">
        <f t="shared" si="19"/>
        <v>46529.225856227931</v>
      </c>
      <c r="EN296" s="247">
        <f t="shared" si="19"/>
        <v>46529.225856227931</v>
      </c>
      <c r="EO296" s="247">
        <f t="shared" si="19"/>
        <v>46529.225856227931</v>
      </c>
      <c r="EP296" s="247">
        <f t="shared" si="19"/>
        <v>46529.225856227931</v>
      </c>
      <c r="EQ296" s="247">
        <f t="shared" si="19"/>
        <v>46529.225856227931</v>
      </c>
      <c r="ER296" s="247">
        <f t="shared" si="19"/>
        <v>46529.225856227931</v>
      </c>
      <c r="ES296" s="247">
        <f t="shared" si="19"/>
        <v>46529.225856227931</v>
      </c>
      <c r="ET296" s="247">
        <f t="shared" si="19"/>
        <v>46529.225856227931</v>
      </c>
      <c r="EU296" s="247">
        <f t="shared" si="19"/>
        <v>46529.225856227931</v>
      </c>
      <c r="EV296" s="247">
        <f t="shared" si="19"/>
        <v>46529.225856227931</v>
      </c>
      <c r="EW296" s="247">
        <f t="shared" si="19"/>
        <v>46529.225856227931</v>
      </c>
      <c r="EX296" s="247">
        <f t="shared" si="19"/>
        <v>46529.225856227931</v>
      </c>
      <c r="EY296" s="247">
        <f t="shared" si="19"/>
        <v>46529.225856227931</v>
      </c>
      <c r="EZ296" s="247">
        <f t="shared" si="19"/>
        <v>46529.225856227931</v>
      </c>
      <c r="FA296" s="247">
        <f t="shared" si="19"/>
        <v>46529.225856227931</v>
      </c>
      <c r="FB296" s="247">
        <f t="shared" si="19"/>
        <v>46529.225856227931</v>
      </c>
      <c r="FC296" s="247">
        <f t="shared" si="19"/>
        <v>46529.225856227931</v>
      </c>
      <c r="FD296" s="247">
        <f t="shared" si="19"/>
        <v>46529.225856227931</v>
      </c>
      <c r="FE296" s="247">
        <f t="shared" si="19"/>
        <v>46529.225856227931</v>
      </c>
      <c r="FF296" s="247">
        <f t="shared" si="19"/>
        <v>46529.225856227931</v>
      </c>
      <c r="FG296" s="247">
        <f t="shared" si="19"/>
        <v>46529.225856227931</v>
      </c>
      <c r="FH296" s="247">
        <f t="shared" si="19"/>
        <v>46529.225856227931</v>
      </c>
      <c r="FI296" s="247">
        <f t="shared" si="19"/>
        <v>46529.225856227931</v>
      </c>
      <c r="FJ296" s="247">
        <f t="shared" si="19"/>
        <v>46529.225856227931</v>
      </c>
      <c r="FK296" s="247">
        <f t="shared" si="19"/>
        <v>46529.225856227931</v>
      </c>
      <c r="FL296" s="247">
        <f t="shared" si="19"/>
        <v>46529.225856227931</v>
      </c>
      <c r="FM296" s="247">
        <f t="shared" si="19"/>
        <v>46529.225856227931</v>
      </c>
      <c r="FN296" s="247">
        <f t="shared" si="19"/>
        <v>46529.225856227931</v>
      </c>
      <c r="FO296" s="247">
        <f t="shared" si="19"/>
        <v>46529.225856227931</v>
      </c>
      <c r="FP296" s="247">
        <f t="shared" si="19"/>
        <v>46529.225856227931</v>
      </c>
      <c r="FQ296" s="247">
        <f t="shared" si="19"/>
        <v>46529.225856227931</v>
      </c>
      <c r="FR296" s="247">
        <f t="shared" si="19"/>
        <v>46529.225856227931</v>
      </c>
      <c r="FS296" s="247">
        <f t="shared" si="19"/>
        <v>46529.225856227931</v>
      </c>
      <c r="FT296" s="247">
        <f t="shared" si="19"/>
        <v>46529.225856227931</v>
      </c>
      <c r="FU296" s="247">
        <f t="shared" si="19"/>
        <v>46529.225856227931</v>
      </c>
      <c r="FV296" s="247">
        <f t="shared" si="19"/>
        <v>46529.225856227931</v>
      </c>
      <c r="FW296" s="247">
        <f t="shared" si="19"/>
        <v>46529.225856227931</v>
      </c>
      <c r="FX296" s="247">
        <f t="shared" si="19"/>
        <v>46529.225856227931</v>
      </c>
      <c r="FY296" s="247">
        <f t="shared" si="19"/>
        <v>46529.225856227931</v>
      </c>
      <c r="FZ296" s="247">
        <f t="shared" si="19"/>
        <v>46529.225856227931</v>
      </c>
      <c r="GA296" s="247">
        <f t="shared" si="19"/>
        <v>46529.225856227931</v>
      </c>
      <c r="GB296" s="247">
        <f t="shared" si="19"/>
        <v>46529.225856227931</v>
      </c>
      <c r="GC296" s="247">
        <f t="shared" si="19"/>
        <v>46529.225856227931</v>
      </c>
      <c r="GD296" s="247">
        <f t="shared" si="19"/>
        <v>46529.225856227931</v>
      </c>
      <c r="GE296" s="247">
        <f t="shared" si="19"/>
        <v>46529.225856227931</v>
      </c>
      <c r="GF296" s="247">
        <f t="shared" si="19"/>
        <v>46529.225856227931</v>
      </c>
      <c r="GG296" s="247">
        <f t="shared" si="19"/>
        <v>46529.225856227931</v>
      </c>
      <c r="GH296" s="247">
        <f t="shared" si="19"/>
        <v>46529.225856227931</v>
      </c>
      <c r="GI296" s="247">
        <f t="shared" si="19"/>
        <v>46529.225856227931</v>
      </c>
      <c r="GJ296" s="247">
        <f t="shared" si="19"/>
        <v>46529.225856227931</v>
      </c>
      <c r="GK296" s="247">
        <f t="shared" si="19"/>
        <v>46529.225856227931</v>
      </c>
      <c r="GL296" s="247">
        <f t="shared" si="19"/>
        <v>46529.225856227931</v>
      </c>
      <c r="GM296" s="247">
        <f t="shared" si="19"/>
        <v>46529.225856227931</v>
      </c>
      <c r="GN296" s="247">
        <f t="shared" si="19"/>
        <v>46529.225856227931</v>
      </c>
      <c r="GO296" s="247">
        <f t="shared" ref="GO296:GS296" si="20">GN296+GO290</f>
        <v>46529.225856227931</v>
      </c>
      <c r="GP296" s="247">
        <f t="shared" si="20"/>
        <v>46529.225856227931</v>
      </c>
      <c r="GQ296" s="247">
        <f t="shared" si="20"/>
        <v>46529.225856227931</v>
      </c>
      <c r="GR296" s="247">
        <f t="shared" si="20"/>
        <v>46529.225856227931</v>
      </c>
      <c r="GS296" s="247">
        <f t="shared" si="20"/>
        <v>46529.225856227931</v>
      </c>
      <c r="GT296" s="247">
        <f>GS296+GT290</f>
        <v>46529.225856227931</v>
      </c>
    </row>
    <row r="297" spans="1:202">
      <c r="A297" s="236" t="s">
        <v>3</v>
      </c>
      <c r="B297" s="246">
        <f>IF(B295&lt;0,1,IF(A295&gt;0,0,1-B295/(B295-A295)*1))</f>
        <v>1</v>
      </c>
      <c r="C297" s="247">
        <f t="shared" ref="C297:BN297" si="21">IF(C295&lt;0,1,IF(B295&gt;0,0,1-C295/(C295-B295)*1))</f>
        <v>1</v>
      </c>
      <c r="D297" s="247">
        <f t="shared" si="21"/>
        <v>1</v>
      </c>
      <c r="E297" s="247">
        <f t="shared" si="21"/>
        <v>1</v>
      </c>
      <c r="F297" s="247">
        <f t="shared" si="21"/>
        <v>1</v>
      </c>
      <c r="G297" s="247">
        <f t="shared" si="21"/>
        <v>1</v>
      </c>
      <c r="H297" s="247">
        <f t="shared" si="21"/>
        <v>1</v>
      </c>
      <c r="I297" s="247">
        <f t="shared" si="21"/>
        <v>1</v>
      </c>
      <c r="J297" s="247">
        <f t="shared" si="21"/>
        <v>1</v>
      </c>
      <c r="K297" s="247">
        <f t="shared" si="21"/>
        <v>1</v>
      </c>
      <c r="L297" s="247">
        <f t="shared" si="21"/>
        <v>1</v>
      </c>
      <c r="M297" s="247">
        <f t="shared" si="21"/>
        <v>1</v>
      </c>
      <c r="N297" s="247">
        <f t="shared" si="21"/>
        <v>1</v>
      </c>
      <c r="O297" s="247">
        <f t="shared" si="21"/>
        <v>1</v>
      </c>
      <c r="P297" s="247">
        <f t="shared" si="21"/>
        <v>1</v>
      </c>
      <c r="Q297" s="247">
        <f t="shared" si="21"/>
        <v>1</v>
      </c>
      <c r="R297" s="247">
        <f t="shared" si="21"/>
        <v>1</v>
      </c>
      <c r="S297" s="247">
        <f t="shared" si="21"/>
        <v>1</v>
      </c>
      <c r="T297" s="247">
        <f t="shared" si="21"/>
        <v>1</v>
      </c>
      <c r="U297" s="247">
        <f t="shared" si="21"/>
        <v>0.6269545477451165</v>
      </c>
      <c r="V297" s="247">
        <f t="shared" si="21"/>
        <v>0</v>
      </c>
      <c r="W297" s="247">
        <f t="shared" si="21"/>
        <v>0</v>
      </c>
      <c r="X297" s="247">
        <f t="shared" si="21"/>
        <v>0</v>
      </c>
      <c r="Y297" s="247">
        <f t="shared" si="21"/>
        <v>0</v>
      </c>
      <c r="Z297" s="247">
        <f t="shared" si="21"/>
        <v>0</v>
      </c>
      <c r="AA297" s="247">
        <f t="shared" si="21"/>
        <v>0</v>
      </c>
      <c r="AB297" s="247">
        <f t="shared" si="21"/>
        <v>0</v>
      </c>
      <c r="AC297" s="247">
        <f t="shared" si="21"/>
        <v>0</v>
      </c>
      <c r="AD297" s="247">
        <f t="shared" si="21"/>
        <v>0</v>
      </c>
      <c r="AE297" s="247">
        <f t="shared" si="21"/>
        <v>0</v>
      </c>
      <c r="AF297" s="247">
        <f t="shared" si="21"/>
        <v>0</v>
      </c>
      <c r="AG297" s="247">
        <f t="shared" si="21"/>
        <v>0</v>
      </c>
      <c r="AH297" s="247">
        <f t="shared" si="21"/>
        <v>0</v>
      </c>
      <c r="AI297" s="247">
        <f t="shared" si="21"/>
        <v>0</v>
      </c>
      <c r="AJ297" s="247">
        <f t="shared" si="21"/>
        <v>0</v>
      </c>
      <c r="AK297" s="247">
        <f t="shared" si="21"/>
        <v>0</v>
      </c>
      <c r="AL297" s="247">
        <f t="shared" si="21"/>
        <v>0</v>
      </c>
      <c r="AM297" s="247">
        <f t="shared" si="21"/>
        <v>0</v>
      </c>
      <c r="AN297" s="247">
        <f t="shared" si="21"/>
        <v>0</v>
      </c>
      <c r="AO297" s="247">
        <f t="shared" si="21"/>
        <v>0</v>
      </c>
      <c r="AP297" s="247">
        <f t="shared" si="21"/>
        <v>0</v>
      </c>
      <c r="AQ297" s="247">
        <f t="shared" si="21"/>
        <v>0</v>
      </c>
      <c r="AR297" s="247">
        <f t="shared" si="21"/>
        <v>0</v>
      </c>
      <c r="AS297" s="247">
        <f t="shared" si="21"/>
        <v>0</v>
      </c>
      <c r="AT297" s="247">
        <f t="shared" si="21"/>
        <v>0</v>
      </c>
      <c r="AU297" s="247">
        <f t="shared" si="21"/>
        <v>0</v>
      </c>
      <c r="AV297" s="247">
        <f t="shared" si="21"/>
        <v>0</v>
      </c>
      <c r="AW297" s="247">
        <f t="shared" si="21"/>
        <v>0</v>
      </c>
      <c r="AX297" s="247">
        <f t="shared" si="21"/>
        <v>0</v>
      </c>
      <c r="AY297" s="247">
        <f t="shared" si="21"/>
        <v>0</v>
      </c>
      <c r="AZ297" s="247">
        <f t="shared" si="21"/>
        <v>0</v>
      </c>
      <c r="BA297" s="247">
        <f t="shared" si="21"/>
        <v>0</v>
      </c>
      <c r="BB297" s="247">
        <f t="shared" si="21"/>
        <v>0</v>
      </c>
      <c r="BC297" s="247">
        <f t="shared" si="21"/>
        <v>0</v>
      </c>
      <c r="BD297" s="247">
        <f t="shared" si="21"/>
        <v>0</v>
      </c>
      <c r="BE297" s="247">
        <f t="shared" si="21"/>
        <v>0</v>
      </c>
      <c r="BF297" s="247">
        <f t="shared" si="21"/>
        <v>0</v>
      </c>
      <c r="BG297" s="247">
        <f t="shared" si="21"/>
        <v>0</v>
      </c>
      <c r="BH297" s="247">
        <f t="shared" si="21"/>
        <v>0</v>
      </c>
      <c r="BI297" s="247">
        <f t="shared" si="21"/>
        <v>0</v>
      </c>
      <c r="BJ297" s="247">
        <f t="shared" si="21"/>
        <v>0</v>
      </c>
      <c r="BK297" s="247">
        <f t="shared" si="21"/>
        <v>0</v>
      </c>
      <c r="BL297" s="247">
        <f t="shared" si="21"/>
        <v>0</v>
      </c>
      <c r="BM297" s="247">
        <f t="shared" si="21"/>
        <v>0</v>
      </c>
      <c r="BN297" s="247">
        <f t="shared" si="21"/>
        <v>0</v>
      </c>
      <c r="BO297" s="247">
        <f t="shared" ref="BO297:DZ297" si="22">IF(BO295&lt;0,1,IF(BN295&gt;0,0,1-BO295/(BO295-BN295)*1))</f>
        <v>0</v>
      </c>
      <c r="BP297" s="247">
        <f t="shared" si="22"/>
        <v>0</v>
      </c>
      <c r="BQ297" s="247">
        <f t="shared" si="22"/>
        <v>0</v>
      </c>
      <c r="BR297" s="247">
        <f t="shared" si="22"/>
        <v>0</v>
      </c>
      <c r="BS297" s="247">
        <f t="shared" si="22"/>
        <v>0</v>
      </c>
      <c r="BT297" s="247">
        <f t="shared" si="22"/>
        <v>0</v>
      </c>
      <c r="BU297" s="247">
        <f t="shared" si="22"/>
        <v>0</v>
      </c>
      <c r="BV297" s="247">
        <f t="shared" si="22"/>
        <v>0</v>
      </c>
      <c r="BW297" s="247">
        <f t="shared" si="22"/>
        <v>0</v>
      </c>
      <c r="BX297" s="247">
        <f t="shared" si="22"/>
        <v>0</v>
      </c>
      <c r="BY297" s="247">
        <f t="shared" si="22"/>
        <v>0</v>
      </c>
      <c r="BZ297" s="247">
        <f t="shared" si="22"/>
        <v>0</v>
      </c>
      <c r="CA297" s="247">
        <f t="shared" si="22"/>
        <v>0</v>
      </c>
      <c r="CB297" s="247">
        <f t="shared" si="22"/>
        <v>0</v>
      </c>
      <c r="CC297" s="247">
        <f t="shared" si="22"/>
        <v>0</v>
      </c>
      <c r="CD297" s="247">
        <f t="shared" si="22"/>
        <v>0</v>
      </c>
      <c r="CE297" s="247">
        <f t="shared" si="22"/>
        <v>0</v>
      </c>
      <c r="CF297" s="247">
        <f t="shared" si="22"/>
        <v>0</v>
      </c>
      <c r="CG297" s="247">
        <f t="shared" si="22"/>
        <v>0</v>
      </c>
      <c r="CH297" s="247">
        <f t="shared" si="22"/>
        <v>0</v>
      </c>
      <c r="CI297" s="247">
        <f t="shared" si="22"/>
        <v>0</v>
      </c>
      <c r="CJ297" s="247">
        <f t="shared" si="22"/>
        <v>0</v>
      </c>
      <c r="CK297" s="247">
        <f t="shared" si="22"/>
        <v>0</v>
      </c>
      <c r="CL297" s="247">
        <f t="shared" si="22"/>
        <v>0</v>
      </c>
      <c r="CM297" s="247">
        <f t="shared" si="22"/>
        <v>0</v>
      </c>
      <c r="CN297" s="247">
        <f t="shared" si="22"/>
        <v>0</v>
      </c>
      <c r="CO297" s="247">
        <f t="shared" si="22"/>
        <v>0</v>
      </c>
      <c r="CP297" s="247">
        <f t="shared" si="22"/>
        <v>0</v>
      </c>
      <c r="CQ297" s="247">
        <f t="shared" si="22"/>
        <v>0</v>
      </c>
      <c r="CR297" s="247">
        <f t="shared" si="22"/>
        <v>0</v>
      </c>
      <c r="CS297" s="247">
        <f t="shared" si="22"/>
        <v>0</v>
      </c>
      <c r="CT297" s="247">
        <f t="shared" si="22"/>
        <v>0</v>
      </c>
      <c r="CU297" s="247">
        <f t="shared" si="22"/>
        <v>0</v>
      </c>
      <c r="CV297" s="247">
        <f t="shared" si="22"/>
        <v>0</v>
      </c>
      <c r="CW297" s="247">
        <f t="shared" si="22"/>
        <v>0</v>
      </c>
      <c r="CX297" s="247">
        <f t="shared" si="22"/>
        <v>0</v>
      </c>
      <c r="CY297" s="247">
        <f t="shared" si="22"/>
        <v>0</v>
      </c>
      <c r="CZ297" s="247">
        <f t="shared" si="22"/>
        <v>0</v>
      </c>
      <c r="DA297" s="247">
        <f t="shared" si="22"/>
        <v>0</v>
      </c>
      <c r="DB297" s="247">
        <f t="shared" si="22"/>
        <v>0</v>
      </c>
      <c r="DC297" s="247">
        <f t="shared" si="22"/>
        <v>0</v>
      </c>
      <c r="DD297" s="247">
        <f t="shared" si="22"/>
        <v>0</v>
      </c>
      <c r="DE297" s="247">
        <f t="shared" si="22"/>
        <v>0</v>
      </c>
      <c r="DF297" s="247">
        <f t="shared" si="22"/>
        <v>0</v>
      </c>
      <c r="DG297" s="247">
        <f t="shared" si="22"/>
        <v>0</v>
      </c>
      <c r="DH297" s="247">
        <f t="shared" si="22"/>
        <v>0</v>
      </c>
      <c r="DI297" s="247">
        <f t="shared" si="22"/>
        <v>0</v>
      </c>
      <c r="DJ297" s="247">
        <f t="shared" si="22"/>
        <v>0</v>
      </c>
      <c r="DK297" s="247">
        <f t="shared" si="22"/>
        <v>0</v>
      </c>
      <c r="DL297" s="247">
        <f t="shared" si="22"/>
        <v>0</v>
      </c>
      <c r="DM297" s="247">
        <f t="shared" si="22"/>
        <v>0</v>
      </c>
      <c r="DN297" s="247">
        <f t="shared" si="22"/>
        <v>0</v>
      </c>
      <c r="DO297" s="247">
        <f t="shared" si="22"/>
        <v>0</v>
      </c>
      <c r="DP297" s="247">
        <f t="shared" si="22"/>
        <v>0</v>
      </c>
      <c r="DQ297" s="247">
        <f t="shared" si="22"/>
        <v>0</v>
      </c>
      <c r="DR297" s="247">
        <f t="shared" si="22"/>
        <v>0</v>
      </c>
      <c r="DS297" s="247">
        <f t="shared" si="22"/>
        <v>0</v>
      </c>
      <c r="DT297" s="247">
        <f t="shared" si="22"/>
        <v>0</v>
      </c>
      <c r="DU297" s="247">
        <f t="shared" si="22"/>
        <v>0</v>
      </c>
      <c r="DV297" s="247">
        <f t="shared" si="22"/>
        <v>0</v>
      </c>
      <c r="DW297" s="247">
        <f t="shared" si="22"/>
        <v>0</v>
      </c>
      <c r="DX297" s="247">
        <f t="shared" si="22"/>
        <v>0</v>
      </c>
      <c r="DY297" s="247">
        <f t="shared" si="22"/>
        <v>0</v>
      </c>
      <c r="DZ297" s="247">
        <f t="shared" si="22"/>
        <v>0</v>
      </c>
      <c r="EA297" s="247">
        <f t="shared" ref="EA297:GL297" si="23">IF(EA295&lt;0,1,IF(DZ295&gt;0,0,1-EA295/(EA295-DZ295)*1))</f>
        <v>0</v>
      </c>
      <c r="EB297" s="247">
        <f t="shared" si="23"/>
        <v>0</v>
      </c>
      <c r="EC297" s="247">
        <f t="shared" si="23"/>
        <v>0</v>
      </c>
      <c r="ED297" s="247">
        <f t="shared" si="23"/>
        <v>0</v>
      </c>
      <c r="EE297" s="247">
        <f t="shared" si="23"/>
        <v>0</v>
      </c>
      <c r="EF297" s="247">
        <f t="shared" si="23"/>
        <v>0</v>
      </c>
      <c r="EG297" s="247">
        <f t="shared" si="23"/>
        <v>0</v>
      </c>
      <c r="EH297" s="247">
        <f t="shared" si="23"/>
        <v>0</v>
      </c>
      <c r="EI297" s="247">
        <f t="shared" si="23"/>
        <v>0</v>
      </c>
      <c r="EJ297" s="247">
        <f t="shared" si="23"/>
        <v>0</v>
      </c>
      <c r="EK297" s="247">
        <f t="shared" si="23"/>
        <v>0</v>
      </c>
      <c r="EL297" s="247">
        <f t="shared" si="23"/>
        <v>0</v>
      </c>
      <c r="EM297" s="247">
        <f t="shared" si="23"/>
        <v>0</v>
      </c>
      <c r="EN297" s="247">
        <f t="shared" si="23"/>
        <v>0</v>
      </c>
      <c r="EO297" s="247">
        <f t="shared" si="23"/>
        <v>0</v>
      </c>
      <c r="EP297" s="247">
        <f t="shared" si="23"/>
        <v>0</v>
      </c>
      <c r="EQ297" s="247">
        <f t="shared" si="23"/>
        <v>0</v>
      </c>
      <c r="ER297" s="247">
        <f t="shared" si="23"/>
        <v>0</v>
      </c>
      <c r="ES297" s="247">
        <f t="shared" si="23"/>
        <v>0</v>
      </c>
      <c r="ET297" s="247">
        <f t="shared" si="23"/>
        <v>0</v>
      </c>
      <c r="EU297" s="247">
        <f t="shared" si="23"/>
        <v>0</v>
      </c>
      <c r="EV297" s="247">
        <f t="shared" si="23"/>
        <v>0</v>
      </c>
      <c r="EW297" s="247">
        <f t="shared" si="23"/>
        <v>0</v>
      </c>
      <c r="EX297" s="247">
        <f t="shared" si="23"/>
        <v>0</v>
      </c>
      <c r="EY297" s="247">
        <f t="shared" si="23"/>
        <v>0</v>
      </c>
      <c r="EZ297" s="247">
        <f t="shared" si="23"/>
        <v>0</v>
      </c>
      <c r="FA297" s="247">
        <f t="shared" si="23"/>
        <v>0</v>
      </c>
      <c r="FB297" s="247">
        <f t="shared" si="23"/>
        <v>0</v>
      </c>
      <c r="FC297" s="247">
        <f t="shared" si="23"/>
        <v>0</v>
      </c>
      <c r="FD297" s="247">
        <f t="shared" si="23"/>
        <v>0</v>
      </c>
      <c r="FE297" s="247">
        <f t="shared" si="23"/>
        <v>0</v>
      </c>
      <c r="FF297" s="247">
        <f t="shared" si="23"/>
        <v>0</v>
      </c>
      <c r="FG297" s="247">
        <f t="shared" si="23"/>
        <v>0</v>
      </c>
      <c r="FH297" s="247">
        <f t="shared" si="23"/>
        <v>0</v>
      </c>
      <c r="FI297" s="247">
        <f t="shared" si="23"/>
        <v>0</v>
      </c>
      <c r="FJ297" s="247">
        <f t="shared" si="23"/>
        <v>0</v>
      </c>
      <c r="FK297" s="247">
        <f t="shared" si="23"/>
        <v>0</v>
      </c>
      <c r="FL297" s="247">
        <f t="shared" si="23"/>
        <v>0</v>
      </c>
      <c r="FM297" s="247">
        <f t="shared" si="23"/>
        <v>0</v>
      </c>
      <c r="FN297" s="247">
        <f t="shared" si="23"/>
        <v>0</v>
      </c>
      <c r="FO297" s="247">
        <f t="shared" si="23"/>
        <v>0</v>
      </c>
      <c r="FP297" s="247">
        <f t="shared" si="23"/>
        <v>0</v>
      </c>
      <c r="FQ297" s="247">
        <f t="shared" si="23"/>
        <v>0</v>
      </c>
      <c r="FR297" s="247">
        <f t="shared" si="23"/>
        <v>0</v>
      </c>
      <c r="FS297" s="247">
        <f t="shared" si="23"/>
        <v>0</v>
      </c>
      <c r="FT297" s="247">
        <f t="shared" si="23"/>
        <v>0</v>
      </c>
      <c r="FU297" s="247">
        <f t="shared" si="23"/>
        <v>0</v>
      </c>
      <c r="FV297" s="247">
        <f t="shared" si="23"/>
        <v>0</v>
      </c>
      <c r="FW297" s="247">
        <f t="shared" si="23"/>
        <v>0</v>
      </c>
      <c r="FX297" s="247">
        <f t="shared" si="23"/>
        <v>0</v>
      </c>
      <c r="FY297" s="247">
        <f t="shared" si="23"/>
        <v>0</v>
      </c>
      <c r="FZ297" s="247">
        <f t="shared" si="23"/>
        <v>0</v>
      </c>
      <c r="GA297" s="247">
        <f t="shared" si="23"/>
        <v>0</v>
      </c>
      <c r="GB297" s="247">
        <f t="shared" si="23"/>
        <v>0</v>
      </c>
      <c r="GC297" s="247">
        <f t="shared" si="23"/>
        <v>0</v>
      </c>
      <c r="GD297" s="247">
        <f t="shared" si="23"/>
        <v>0</v>
      </c>
      <c r="GE297" s="247">
        <f t="shared" si="23"/>
        <v>0</v>
      </c>
      <c r="GF297" s="247">
        <f t="shared" si="23"/>
        <v>0</v>
      </c>
      <c r="GG297" s="247">
        <f t="shared" si="23"/>
        <v>0</v>
      </c>
      <c r="GH297" s="247">
        <f t="shared" si="23"/>
        <v>0</v>
      </c>
      <c r="GI297" s="247">
        <f t="shared" si="23"/>
        <v>0</v>
      </c>
      <c r="GJ297" s="247">
        <f t="shared" si="23"/>
        <v>0</v>
      </c>
      <c r="GK297" s="247">
        <f t="shared" si="23"/>
        <v>0</v>
      </c>
      <c r="GL297" s="247">
        <f t="shared" si="23"/>
        <v>0</v>
      </c>
      <c r="GM297" s="247">
        <f t="shared" ref="GM297:GT297" si="24">IF(GM295&lt;0,1,IF(GL295&gt;0,0,1-GM295/(GM295-GL295)*1))</f>
        <v>0</v>
      </c>
      <c r="GN297" s="247">
        <f t="shared" si="24"/>
        <v>0</v>
      </c>
      <c r="GO297" s="247">
        <f t="shared" si="24"/>
        <v>0</v>
      </c>
      <c r="GP297" s="247">
        <f t="shared" si="24"/>
        <v>0</v>
      </c>
      <c r="GQ297" s="247">
        <f t="shared" si="24"/>
        <v>0</v>
      </c>
      <c r="GR297" s="247">
        <f t="shared" si="24"/>
        <v>0</v>
      </c>
      <c r="GS297" s="247">
        <f t="shared" si="24"/>
        <v>0</v>
      </c>
      <c r="GT297" s="247">
        <f t="shared" si="24"/>
        <v>0</v>
      </c>
    </row>
    <row r="298" spans="1:202">
      <c r="A298" s="236" t="s">
        <v>4</v>
      </c>
      <c r="B298" s="246">
        <f>IF(B296&lt;0,1,IF(A296&gt;0,0,1-B296/(B296-A296)*1))</f>
        <v>1</v>
      </c>
      <c r="C298" s="247">
        <f t="shared" ref="C298:BN298" si="25">IF(C296&lt;0,1,IF(B296&gt;0,0,1-C296/(C296-B296)*1))</f>
        <v>1</v>
      </c>
      <c r="D298" s="247">
        <f t="shared" si="25"/>
        <v>1</v>
      </c>
      <c r="E298" s="247">
        <f t="shared" si="25"/>
        <v>1</v>
      </c>
      <c r="F298" s="247">
        <f t="shared" si="25"/>
        <v>1</v>
      </c>
      <c r="G298" s="247">
        <f t="shared" si="25"/>
        <v>1</v>
      </c>
      <c r="H298" s="247">
        <f t="shared" si="25"/>
        <v>1</v>
      </c>
      <c r="I298" s="247">
        <f t="shared" si="25"/>
        <v>1</v>
      </c>
      <c r="J298" s="247">
        <f t="shared" si="25"/>
        <v>1</v>
      </c>
      <c r="K298" s="247">
        <f t="shared" si="25"/>
        <v>1</v>
      </c>
      <c r="L298" s="247">
        <f t="shared" si="25"/>
        <v>1</v>
      </c>
      <c r="M298" s="247">
        <f t="shared" si="25"/>
        <v>1</v>
      </c>
      <c r="N298" s="247">
        <f t="shared" si="25"/>
        <v>1</v>
      </c>
      <c r="O298" s="247">
        <f t="shared" si="25"/>
        <v>1</v>
      </c>
      <c r="P298" s="247">
        <f t="shared" si="25"/>
        <v>1</v>
      </c>
      <c r="Q298" s="247">
        <f t="shared" si="25"/>
        <v>1</v>
      </c>
      <c r="R298" s="247">
        <f t="shared" si="25"/>
        <v>1</v>
      </c>
      <c r="S298" s="247">
        <f t="shared" si="25"/>
        <v>1</v>
      </c>
      <c r="T298" s="247">
        <f t="shared" si="25"/>
        <v>1</v>
      </c>
      <c r="U298" s="247">
        <f t="shared" si="25"/>
        <v>1</v>
      </c>
      <c r="V298" s="247">
        <f t="shared" si="25"/>
        <v>0.4448292928376425</v>
      </c>
      <c r="W298" s="247">
        <f t="shared" si="25"/>
        <v>0</v>
      </c>
      <c r="X298" s="247">
        <f t="shared" si="25"/>
        <v>0</v>
      </c>
      <c r="Y298" s="247">
        <f t="shared" si="25"/>
        <v>0</v>
      </c>
      <c r="Z298" s="247">
        <f t="shared" si="25"/>
        <v>0</v>
      </c>
      <c r="AA298" s="247">
        <f t="shared" si="25"/>
        <v>0</v>
      </c>
      <c r="AB298" s="247">
        <f t="shared" si="25"/>
        <v>0</v>
      </c>
      <c r="AC298" s="247">
        <f t="shared" si="25"/>
        <v>0</v>
      </c>
      <c r="AD298" s="247">
        <f t="shared" si="25"/>
        <v>0</v>
      </c>
      <c r="AE298" s="247">
        <f t="shared" si="25"/>
        <v>0</v>
      </c>
      <c r="AF298" s="247">
        <f t="shared" si="25"/>
        <v>0</v>
      </c>
      <c r="AG298" s="247">
        <f t="shared" si="25"/>
        <v>0</v>
      </c>
      <c r="AH298" s="247">
        <f t="shared" si="25"/>
        <v>0</v>
      </c>
      <c r="AI298" s="247">
        <f t="shared" si="25"/>
        <v>0</v>
      </c>
      <c r="AJ298" s="247">
        <f t="shared" si="25"/>
        <v>0</v>
      </c>
      <c r="AK298" s="247">
        <f t="shared" si="25"/>
        <v>0</v>
      </c>
      <c r="AL298" s="247">
        <f t="shared" si="25"/>
        <v>0</v>
      </c>
      <c r="AM298" s="247">
        <f t="shared" si="25"/>
        <v>0</v>
      </c>
      <c r="AN298" s="247">
        <f t="shared" si="25"/>
        <v>0</v>
      </c>
      <c r="AO298" s="247">
        <f t="shared" si="25"/>
        <v>0</v>
      </c>
      <c r="AP298" s="247">
        <f t="shared" si="25"/>
        <v>0</v>
      </c>
      <c r="AQ298" s="247">
        <f t="shared" si="25"/>
        <v>0</v>
      </c>
      <c r="AR298" s="247">
        <f t="shared" si="25"/>
        <v>0</v>
      </c>
      <c r="AS298" s="247">
        <f t="shared" si="25"/>
        <v>0</v>
      </c>
      <c r="AT298" s="247">
        <f t="shared" si="25"/>
        <v>0</v>
      </c>
      <c r="AU298" s="247">
        <f t="shared" si="25"/>
        <v>0</v>
      </c>
      <c r="AV298" s="247">
        <f t="shared" si="25"/>
        <v>0</v>
      </c>
      <c r="AW298" s="247">
        <f t="shared" si="25"/>
        <v>0</v>
      </c>
      <c r="AX298" s="247">
        <f t="shared" si="25"/>
        <v>0</v>
      </c>
      <c r="AY298" s="247">
        <f t="shared" si="25"/>
        <v>0</v>
      </c>
      <c r="AZ298" s="247">
        <f t="shared" si="25"/>
        <v>0</v>
      </c>
      <c r="BA298" s="247">
        <f t="shared" si="25"/>
        <v>0</v>
      </c>
      <c r="BB298" s="247">
        <f t="shared" si="25"/>
        <v>0</v>
      </c>
      <c r="BC298" s="247">
        <f t="shared" si="25"/>
        <v>0</v>
      </c>
      <c r="BD298" s="247">
        <f t="shared" si="25"/>
        <v>0</v>
      </c>
      <c r="BE298" s="247">
        <f t="shared" si="25"/>
        <v>0</v>
      </c>
      <c r="BF298" s="247">
        <f t="shared" si="25"/>
        <v>0</v>
      </c>
      <c r="BG298" s="247">
        <f t="shared" si="25"/>
        <v>0</v>
      </c>
      <c r="BH298" s="247">
        <f t="shared" si="25"/>
        <v>0</v>
      </c>
      <c r="BI298" s="247">
        <f t="shared" si="25"/>
        <v>0</v>
      </c>
      <c r="BJ298" s="247">
        <f t="shared" si="25"/>
        <v>0</v>
      </c>
      <c r="BK298" s="247">
        <f t="shared" si="25"/>
        <v>0</v>
      </c>
      <c r="BL298" s="247">
        <f t="shared" si="25"/>
        <v>0</v>
      </c>
      <c r="BM298" s="247">
        <f t="shared" si="25"/>
        <v>0</v>
      </c>
      <c r="BN298" s="247">
        <f t="shared" si="25"/>
        <v>0</v>
      </c>
      <c r="BO298" s="247">
        <f t="shared" ref="BO298:DZ298" si="26">IF(BO296&lt;0,1,IF(BN296&gt;0,0,1-BO296/(BO296-BN296)*1))</f>
        <v>0</v>
      </c>
      <c r="BP298" s="247">
        <f t="shared" si="26"/>
        <v>0</v>
      </c>
      <c r="BQ298" s="247">
        <f t="shared" si="26"/>
        <v>0</v>
      </c>
      <c r="BR298" s="247">
        <f t="shared" si="26"/>
        <v>0</v>
      </c>
      <c r="BS298" s="247">
        <f t="shared" si="26"/>
        <v>0</v>
      </c>
      <c r="BT298" s="247">
        <f t="shared" si="26"/>
        <v>0</v>
      </c>
      <c r="BU298" s="247">
        <f t="shared" si="26"/>
        <v>0</v>
      </c>
      <c r="BV298" s="247">
        <f t="shared" si="26"/>
        <v>0</v>
      </c>
      <c r="BW298" s="247">
        <f t="shared" si="26"/>
        <v>0</v>
      </c>
      <c r="BX298" s="247">
        <f t="shared" si="26"/>
        <v>0</v>
      </c>
      <c r="BY298" s="247">
        <f t="shared" si="26"/>
        <v>0</v>
      </c>
      <c r="BZ298" s="247">
        <f t="shared" si="26"/>
        <v>0</v>
      </c>
      <c r="CA298" s="247">
        <f t="shared" si="26"/>
        <v>0</v>
      </c>
      <c r="CB298" s="247">
        <f t="shared" si="26"/>
        <v>0</v>
      </c>
      <c r="CC298" s="247">
        <f t="shared" si="26"/>
        <v>0</v>
      </c>
      <c r="CD298" s="247">
        <f t="shared" si="26"/>
        <v>0</v>
      </c>
      <c r="CE298" s="247">
        <f t="shared" si="26"/>
        <v>0</v>
      </c>
      <c r="CF298" s="247">
        <f t="shared" si="26"/>
        <v>0</v>
      </c>
      <c r="CG298" s="247">
        <f t="shared" si="26"/>
        <v>0</v>
      </c>
      <c r="CH298" s="247">
        <f t="shared" si="26"/>
        <v>0</v>
      </c>
      <c r="CI298" s="247">
        <f t="shared" si="26"/>
        <v>0</v>
      </c>
      <c r="CJ298" s="247">
        <f t="shared" si="26"/>
        <v>0</v>
      </c>
      <c r="CK298" s="247">
        <f t="shared" si="26"/>
        <v>0</v>
      </c>
      <c r="CL298" s="247">
        <f t="shared" si="26"/>
        <v>0</v>
      </c>
      <c r="CM298" s="247">
        <f t="shared" si="26"/>
        <v>0</v>
      </c>
      <c r="CN298" s="247">
        <f t="shared" si="26"/>
        <v>0</v>
      </c>
      <c r="CO298" s="247">
        <f t="shared" si="26"/>
        <v>0</v>
      </c>
      <c r="CP298" s="247">
        <f t="shared" si="26"/>
        <v>0</v>
      </c>
      <c r="CQ298" s="247">
        <f t="shared" si="26"/>
        <v>0</v>
      </c>
      <c r="CR298" s="247">
        <f t="shared" si="26"/>
        <v>0</v>
      </c>
      <c r="CS298" s="247">
        <f t="shared" si="26"/>
        <v>0</v>
      </c>
      <c r="CT298" s="247">
        <f t="shared" si="26"/>
        <v>0</v>
      </c>
      <c r="CU298" s="247">
        <f t="shared" si="26"/>
        <v>0</v>
      </c>
      <c r="CV298" s="247">
        <f t="shared" si="26"/>
        <v>0</v>
      </c>
      <c r="CW298" s="247">
        <f t="shared" si="26"/>
        <v>0</v>
      </c>
      <c r="CX298" s="247">
        <f t="shared" si="26"/>
        <v>0</v>
      </c>
      <c r="CY298" s="247">
        <f t="shared" si="26"/>
        <v>0</v>
      </c>
      <c r="CZ298" s="247">
        <f t="shared" si="26"/>
        <v>0</v>
      </c>
      <c r="DA298" s="247">
        <f t="shared" si="26"/>
        <v>0</v>
      </c>
      <c r="DB298" s="247">
        <f t="shared" si="26"/>
        <v>0</v>
      </c>
      <c r="DC298" s="247">
        <f t="shared" si="26"/>
        <v>0</v>
      </c>
      <c r="DD298" s="247">
        <f t="shared" si="26"/>
        <v>0</v>
      </c>
      <c r="DE298" s="247">
        <f t="shared" si="26"/>
        <v>0</v>
      </c>
      <c r="DF298" s="247">
        <f t="shared" si="26"/>
        <v>0</v>
      </c>
      <c r="DG298" s="247">
        <f t="shared" si="26"/>
        <v>0</v>
      </c>
      <c r="DH298" s="247">
        <f t="shared" si="26"/>
        <v>0</v>
      </c>
      <c r="DI298" s="247">
        <f t="shared" si="26"/>
        <v>0</v>
      </c>
      <c r="DJ298" s="247">
        <f t="shared" si="26"/>
        <v>0</v>
      </c>
      <c r="DK298" s="247">
        <f t="shared" si="26"/>
        <v>0</v>
      </c>
      <c r="DL298" s="247">
        <f t="shared" si="26"/>
        <v>0</v>
      </c>
      <c r="DM298" s="247">
        <f t="shared" si="26"/>
        <v>0</v>
      </c>
      <c r="DN298" s="247">
        <f t="shared" si="26"/>
        <v>0</v>
      </c>
      <c r="DO298" s="247">
        <f t="shared" si="26"/>
        <v>0</v>
      </c>
      <c r="DP298" s="247">
        <f t="shared" si="26"/>
        <v>0</v>
      </c>
      <c r="DQ298" s="247">
        <f t="shared" si="26"/>
        <v>0</v>
      </c>
      <c r="DR298" s="247">
        <f t="shared" si="26"/>
        <v>0</v>
      </c>
      <c r="DS298" s="247">
        <f t="shared" si="26"/>
        <v>0</v>
      </c>
      <c r="DT298" s="247">
        <f t="shared" si="26"/>
        <v>0</v>
      </c>
      <c r="DU298" s="247">
        <f t="shared" si="26"/>
        <v>0</v>
      </c>
      <c r="DV298" s="247">
        <f t="shared" si="26"/>
        <v>0</v>
      </c>
      <c r="DW298" s="247">
        <f t="shared" si="26"/>
        <v>0</v>
      </c>
      <c r="DX298" s="247">
        <f t="shared" si="26"/>
        <v>0</v>
      </c>
      <c r="DY298" s="247">
        <f t="shared" si="26"/>
        <v>0</v>
      </c>
      <c r="DZ298" s="247">
        <f t="shared" si="26"/>
        <v>0</v>
      </c>
      <c r="EA298" s="247">
        <f t="shared" ref="EA298:GL298" si="27">IF(EA296&lt;0,1,IF(DZ296&gt;0,0,1-EA296/(EA296-DZ296)*1))</f>
        <v>0</v>
      </c>
      <c r="EB298" s="247">
        <f t="shared" si="27"/>
        <v>0</v>
      </c>
      <c r="EC298" s="247">
        <f t="shared" si="27"/>
        <v>0</v>
      </c>
      <c r="ED298" s="247">
        <f t="shared" si="27"/>
        <v>0</v>
      </c>
      <c r="EE298" s="247">
        <f t="shared" si="27"/>
        <v>0</v>
      </c>
      <c r="EF298" s="247">
        <f t="shared" si="27"/>
        <v>0</v>
      </c>
      <c r="EG298" s="247">
        <f t="shared" si="27"/>
        <v>0</v>
      </c>
      <c r="EH298" s="247">
        <f t="shared" si="27"/>
        <v>0</v>
      </c>
      <c r="EI298" s="247">
        <f t="shared" si="27"/>
        <v>0</v>
      </c>
      <c r="EJ298" s="247">
        <f t="shared" si="27"/>
        <v>0</v>
      </c>
      <c r="EK298" s="247">
        <f t="shared" si="27"/>
        <v>0</v>
      </c>
      <c r="EL298" s="247">
        <f t="shared" si="27"/>
        <v>0</v>
      </c>
      <c r="EM298" s="247">
        <f t="shared" si="27"/>
        <v>0</v>
      </c>
      <c r="EN298" s="247">
        <f t="shared" si="27"/>
        <v>0</v>
      </c>
      <c r="EO298" s="247">
        <f t="shared" si="27"/>
        <v>0</v>
      </c>
      <c r="EP298" s="247">
        <f t="shared" si="27"/>
        <v>0</v>
      </c>
      <c r="EQ298" s="247">
        <f t="shared" si="27"/>
        <v>0</v>
      </c>
      <c r="ER298" s="247">
        <f t="shared" si="27"/>
        <v>0</v>
      </c>
      <c r="ES298" s="247">
        <f t="shared" si="27"/>
        <v>0</v>
      </c>
      <c r="ET298" s="247">
        <f t="shared" si="27"/>
        <v>0</v>
      </c>
      <c r="EU298" s="247">
        <f t="shared" si="27"/>
        <v>0</v>
      </c>
      <c r="EV298" s="247">
        <f t="shared" si="27"/>
        <v>0</v>
      </c>
      <c r="EW298" s="247">
        <f t="shared" si="27"/>
        <v>0</v>
      </c>
      <c r="EX298" s="247">
        <f t="shared" si="27"/>
        <v>0</v>
      </c>
      <c r="EY298" s="247">
        <f t="shared" si="27"/>
        <v>0</v>
      </c>
      <c r="EZ298" s="247">
        <f t="shared" si="27"/>
        <v>0</v>
      </c>
      <c r="FA298" s="247">
        <f t="shared" si="27"/>
        <v>0</v>
      </c>
      <c r="FB298" s="247">
        <f t="shared" si="27"/>
        <v>0</v>
      </c>
      <c r="FC298" s="247">
        <f t="shared" si="27"/>
        <v>0</v>
      </c>
      <c r="FD298" s="247">
        <f t="shared" si="27"/>
        <v>0</v>
      </c>
      <c r="FE298" s="247">
        <f t="shared" si="27"/>
        <v>0</v>
      </c>
      <c r="FF298" s="247">
        <f t="shared" si="27"/>
        <v>0</v>
      </c>
      <c r="FG298" s="247">
        <f t="shared" si="27"/>
        <v>0</v>
      </c>
      <c r="FH298" s="247">
        <f t="shared" si="27"/>
        <v>0</v>
      </c>
      <c r="FI298" s="247">
        <f t="shared" si="27"/>
        <v>0</v>
      </c>
      <c r="FJ298" s="247">
        <f t="shared" si="27"/>
        <v>0</v>
      </c>
      <c r="FK298" s="247">
        <f t="shared" si="27"/>
        <v>0</v>
      </c>
      <c r="FL298" s="247">
        <f t="shared" si="27"/>
        <v>0</v>
      </c>
      <c r="FM298" s="247">
        <f t="shared" si="27"/>
        <v>0</v>
      </c>
      <c r="FN298" s="247">
        <f t="shared" si="27"/>
        <v>0</v>
      </c>
      <c r="FO298" s="247">
        <f t="shared" si="27"/>
        <v>0</v>
      </c>
      <c r="FP298" s="247">
        <f t="shared" si="27"/>
        <v>0</v>
      </c>
      <c r="FQ298" s="247">
        <f t="shared" si="27"/>
        <v>0</v>
      </c>
      <c r="FR298" s="247">
        <f t="shared" si="27"/>
        <v>0</v>
      </c>
      <c r="FS298" s="247">
        <f t="shared" si="27"/>
        <v>0</v>
      </c>
      <c r="FT298" s="247">
        <f t="shared" si="27"/>
        <v>0</v>
      </c>
      <c r="FU298" s="247">
        <f t="shared" si="27"/>
        <v>0</v>
      </c>
      <c r="FV298" s="247">
        <f t="shared" si="27"/>
        <v>0</v>
      </c>
      <c r="FW298" s="247">
        <f t="shared" si="27"/>
        <v>0</v>
      </c>
      <c r="FX298" s="247">
        <f t="shared" si="27"/>
        <v>0</v>
      </c>
      <c r="FY298" s="247">
        <f t="shared" si="27"/>
        <v>0</v>
      </c>
      <c r="FZ298" s="247">
        <f t="shared" si="27"/>
        <v>0</v>
      </c>
      <c r="GA298" s="247">
        <f t="shared" si="27"/>
        <v>0</v>
      </c>
      <c r="GB298" s="247">
        <f t="shared" si="27"/>
        <v>0</v>
      </c>
      <c r="GC298" s="247">
        <f t="shared" si="27"/>
        <v>0</v>
      </c>
      <c r="GD298" s="247">
        <f t="shared" si="27"/>
        <v>0</v>
      </c>
      <c r="GE298" s="247">
        <f t="shared" si="27"/>
        <v>0</v>
      </c>
      <c r="GF298" s="247">
        <f t="shared" si="27"/>
        <v>0</v>
      </c>
      <c r="GG298" s="247">
        <f t="shared" si="27"/>
        <v>0</v>
      </c>
      <c r="GH298" s="247">
        <f t="shared" si="27"/>
        <v>0</v>
      </c>
      <c r="GI298" s="247">
        <f t="shared" si="27"/>
        <v>0</v>
      </c>
      <c r="GJ298" s="247">
        <f t="shared" si="27"/>
        <v>0</v>
      </c>
      <c r="GK298" s="247">
        <f t="shared" si="27"/>
        <v>0</v>
      </c>
      <c r="GL298" s="247">
        <f t="shared" si="27"/>
        <v>0</v>
      </c>
      <c r="GM298" s="247">
        <f t="shared" ref="GM298:GT298" si="28">IF(GM296&lt;0,1,IF(GL296&gt;0,0,1-GM296/(GM296-GL296)*1))</f>
        <v>0</v>
      </c>
      <c r="GN298" s="247">
        <f t="shared" si="28"/>
        <v>0</v>
      </c>
      <c r="GO298" s="247">
        <f t="shared" si="28"/>
        <v>0</v>
      </c>
      <c r="GP298" s="247">
        <f t="shared" si="28"/>
        <v>0</v>
      </c>
      <c r="GQ298" s="247">
        <f t="shared" si="28"/>
        <v>0</v>
      </c>
      <c r="GR298" s="247">
        <f t="shared" si="28"/>
        <v>0</v>
      </c>
      <c r="GS298" s="247">
        <f t="shared" si="28"/>
        <v>0</v>
      </c>
      <c r="GT298" s="247">
        <f t="shared" si="28"/>
        <v>0</v>
      </c>
    </row>
    <row r="299" spans="1:202">
      <c r="A299" s="236" t="s">
        <v>30</v>
      </c>
      <c r="B299" s="246">
        <f>SUM(B297:GT297)</f>
        <v>19.626954547745118</v>
      </c>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c r="AB299" s="247"/>
      <c r="AC299" s="247"/>
      <c r="AD299" s="247"/>
      <c r="AE299" s="247"/>
      <c r="AF299" s="247"/>
      <c r="AG299" s="247"/>
      <c r="AH299" s="247"/>
      <c r="AI299" s="247"/>
      <c r="AJ299" s="247"/>
      <c r="AK299" s="247"/>
      <c r="AL299" s="247"/>
      <c r="AM299" s="247"/>
      <c r="AN299" s="247"/>
      <c r="AO299" s="247"/>
      <c r="AP299" s="247"/>
      <c r="AQ299" s="247"/>
      <c r="AR299" s="247"/>
      <c r="AS299" s="247"/>
      <c r="AT299" s="247"/>
      <c r="AU299" s="247"/>
      <c r="AV299" s="247"/>
      <c r="AW299" s="247"/>
      <c r="AX299" s="247"/>
      <c r="AY299" s="247"/>
      <c r="AZ299" s="247"/>
      <c r="BA299" s="247"/>
      <c r="BB299" s="247"/>
      <c r="BC299" s="247"/>
      <c r="BD299" s="247"/>
      <c r="BE299" s="247"/>
      <c r="BF299" s="247"/>
      <c r="BG299" s="247"/>
      <c r="BH299" s="247"/>
      <c r="BI299" s="247"/>
      <c r="BJ299" s="247"/>
      <c r="BK299" s="247"/>
      <c r="BL299" s="247"/>
      <c r="BM299" s="247"/>
      <c r="BN299" s="247"/>
      <c r="BO299" s="247"/>
      <c r="BP299" s="247"/>
      <c r="BQ299" s="247"/>
      <c r="BR299" s="247"/>
      <c r="BS299" s="247"/>
      <c r="BT299" s="247"/>
      <c r="BU299" s="247"/>
      <c r="BV299" s="247"/>
      <c r="BW299" s="247"/>
      <c r="BX299" s="247"/>
      <c r="BY299" s="247"/>
      <c r="BZ299" s="247"/>
      <c r="CA299" s="247"/>
      <c r="CB299" s="247"/>
      <c r="CC299" s="247"/>
      <c r="CD299" s="247"/>
      <c r="CE299" s="247"/>
      <c r="CF299" s="247"/>
      <c r="CG299" s="247"/>
      <c r="CH299" s="247"/>
      <c r="CI299" s="247"/>
      <c r="CJ299" s="247"/>
      <c r="CK299" s="247"/>
      <c r="CL299" s="247"/>
      <c r="CM299" s="247"/>
      <c r="CN299" s="247"/>
      <c r="CO299" s="247"/>
      <c r="CP299" s="247"/>
      <c r="CQ299" s="247"/>
      <c r="CR299" s="247"/>
      <c r="CS299" s="247"/>
      <c r="CT299" s="247"/>
      <c r="CU299" s="247"/>
      <c r="CV299" s="247"/>
      <c r="CW299" s="247"/>
      <c r="CX299" s="247"/>
      <c r="CY299" s="247"/>
      <c r="CZ299" s="247"/>
      <c r="DA299" s="247"/>
      <c r="DB299" s="247"/>
      <c r="DC299" s="247"/>
      <c r="DD299" s="247"/>
      <c r="DE299" s="247"/>
      <c r="DF299" s="247"/>
      <c r="DG299" s="247"/>
      <c r="DH299" s="247"/>
      <c r="DI299" s="247"/>
      <c r="DJ299" s="247"/>
      <c r="DK299" s="247"/>
      <c r="DL299" s="247"/>
      <c r="DM299" s="247"/>
      <c r="DN299" s="247"/>
      <c r="DO299" s="247"/>
      <c r="DP299" s="247"/>
      <c r="DQ299" s="247"/>
      <c r="DR299" s="247"/>
      <c r="DS299" s="247"/>
      <c r="DT299" s="247"/>
      <c r="DU299" s="247"/>
      <c r="DV299" s="247"/>
      <c r="DW299" s="247"/>
      <c r="DX299" s="247"/>
      <c r="DY299" s="247"/>
      <c r="DZ299" s="247"/>
      <c r="EA299" s="247"/>
      <c r="EB299" s="247"/>
      <c r="EC299" s="247"/>
      <c r="ED299" s="247"/>
      <c r="EE299" s="247"/>
      <c r="EF299" s="247"/>
      <c r="EG299" s="247"/>
      <c r="EH299" s="247"/>
      <c r="EI299" s="247"/>
      <c r="EJ299" s="247"/>
      <c r="EK299" s="247"/>
      <c r="EL299" s="247"/>
      <c r="EM299" s="247"/>
      <c r="EN299" s="247"/>
      <c r="EO299" s="247"/>
      <c r="EP299" s="247"/>
      <c r="EQ299" s="247"/>
      <c r="ER299" s="247"/>
      <c r="ES299" s="247"/>
      <c r="ET299" s="247"/>
      <c r="EU299" s="247"/>
      <c r="EV299" s="247"/>
      <c r="EW299" s="247"/>
      <c r="EX299" s="247"/>
      <c r="EY299" s="247"/>
      <c r="EZ299" s="247"/>
      <c r="FA299" s="247"/>
      <c r="FB299" s="247"/>
      <c r="FC299" s="247"/>
      <c r="FD299" s="247"/>
      <c r="FE299" s="247"/>
      <c r="FF299" s="247"/>
      <c r="FG299" s="247"/>
      <c r="FH299" s="247"/>
      <c r="FI299" s="247"/>
      <c r="FJ299" s="247"/>
      <c r="FK299" s="247"/>
      <c r="FL299" s="247"/>
      <c r="FM299" s="247"/>
      <c r="FN299" s="247"/>
      <c r="FO299" s="247"/>
      <c r="FP299" s="247"/>
      <c r="FQ299" s="247"/>
      <c r="FR299" s="247"/>
      <c r="FS299" s="247"/>
      <c r="FT299" s="247"/>
      <c r="FU299" s="247"/>
      <c r="FV299" s="247"/>
      <c r="FW299" s="247"/>
      <c r="FX299" s="247"/>
      <c r="FY299" s="247"/>
      <c r="FZ299" s="247"/>
      <c r="GA299" s="247"/>
      <c r="GB299" s="247"/>
      <c r="GC299" s="247"/>
      <c r="GD299" s="247"/>
      <c r="GE299" s="247"/>
      <c r="GF299" s="247"/>
      <c r="GG299" s="247"/>
      <c r="GH299" s="247"/>
      <c r="GI299" s="247"/>
      <c r="GJ299" s="247"/>
      <c r="GK299" s="247"/>
      <c r="GL299" s="247"/>
      <c r="GM299" s="247"/>
      <c r="GN299" s="247"/>
      <c r="GO299" s="247"/>
      <c r="GP299" s="247"/>
      <c r="GQ299" s="247"/>
      <c r="GR299" s="247"/>
      <c r="GS299" s="247"/>
      <c r="GT299" s="247"/>
    </row>
    <row r="300" spans="1:202">
      <c r="A300" s="236" t="s">
        <v>31</v>
      </c>
      <c r="B300" s="245">
        <f>SUM(B298:GT298)</f>
        <v>20.444829292837642</v>
      </c>
    </row>
    <row r="301" spans="1:202">
      <c r="A301" s="236"/>
      <c r="B301" s="5"/>
    </row>
    <row r="302" spans="1:202">
      <c r="A302" s="236"/>
      <c r="B302" s="5"/>
    </row>
    <row r="303" spans="1:202">
      <c r="A303" s="236" t="s">
        <v>234</v>
      </c>
      <c r="B303">
        <f>'Как есть'!C16+'Как есть'!C44+'Как есть'!C72+'Как есть'!C81</f>
        <v>0</v>
      </c>
      <c r="C303">
        <f>'Как есть'!D16+'Как есть'!D44+'Как есть'!D72+'Как есть'!D81</f>
        <v>0</v>
      </c>
      <c r="D303">
        <f>'Как есть'!E16+'Как есть'!E44+'Как есть'!E72+'Как есть'!E81</f>
        <v>0</v>
      </c>
      <c r="E303">
        <f>'Как есть'!F16+'Как есть'!F44+'Как есть'!F72+'Как есть'!F81</f>
        <v>0</v>
      </c>
      <c r="F303">
        <f>'Как есть'!G16+'Как есть'!G44+'Как есть'!G72+'Как есть'!G81</f>
        <v>0</v>
      </c>
      <c r="G303">
        <f>'Как есть'!H16+'Как есть'!H44+'Как есть'!H72+'Как есть'!H81</f>
        <v>0</v>
      </c>
      <c r="H303">
        <f>'Как есть'!I16+'Как есть'!I44+'Как есть'!I72+'Как есть'!I81</f>
        <v>0</v>
      </c>
      <c r="I303">
        <f>'Как есть'!J16+'Как есть'!J44+'Как есть'!J72+'Как есть'!J81</f>
        <v>0</v>
      </c>
      <c r="J303">
        <f>'Как есть'!K16+'Как есть'!K44+'Как есть'!K72+'Как есть'!K81</f>
        <v>0</v>
      </c>
      <c r="K303">
        <f>'Как есть'!L16+'Как есть'!L44+'Как есть'!L72+'Как есть'!L81</f>
        <v>0</v>
      </c>
      <c r="L303">
        <f>'Как есть'!M16+'Как есть'!M44+'Как есть'!M72+'Как есть'!M81</f>
        <v>0</v>
      </c>
      <c r="M303">
        <f>'Как есть'!N16+'Как есть'!N44+'Как есть'!N72+'Как есть'!N81</f>
        <v>0</v>
      </c>
      <c r="N303">
        <f>'Как есть'!O16+'Как есть'!O44+'Как есть'!O72+'Как есть'!O81</f>
        <v>0</v>
      </c>
      <c r="O303">
        <f>'Как есть'!P16+'Как есть'!P44+'Как есть'!P72+'Как есть'!P81</f>
        <v>0</v>
      </c>
      <c r="P303">
        <f>'Как есть'!Q16+'Как есть'!Q44+'Как есть'!Q72+'Как есть'!Q81</f>
        <v>0</v>
      </c>
      <c r="Q303">
        <f>'Как есть'!R16+'Как есть'!R44+'Как есть'!R72+'Как есть'!R81</f>
        <v>0</v>
      </c>
      <c r="R303">
        <f>'Как есть'!S16+'Как есть'!S44+'Как есть'!S72+'Как есть'!S81</f>
        <v>0</v>
      </c>
      <c r="S303">
        <f>'Как есть'!T16+'Как есть'!T44+'Как есть'!T72+'Как есть'!T81</f>
        <v>0</v>
      </c>
      <c r="T303">
        <f>'Как есть'!U16+'Как есть'!U44+'Как есть'!U72+'Как есть'!U81</f>
        <v>0</v>
      </c>
      <c r="U303">
        <f>'Как есть'!V16+'Как есть'!V44+'Как есть'!V72+'Как есть'!V81</f>
        <v>0</v>
      </c>
      <c r="V303">
        <f>'Как есть'!W16+'Как есть'!W44+'Как есть'!W72+'Как есть'!W81</f>
        <v>0</v>
      </c>
      <c r="W303">
        <f>'Как есть'!X16+'Как есть'!X44+'Как есть'!X72+'Как есть'!X81</f>
        <v>0</v>
      </c>
      <c r="X303">
        <f>'Как есть'!Y16+'Как есть'!Y44+'Как есть'!Y72+'Как есть'!Y81</f>
        <v>0</v>
      </c>
      <c r="Y303">
        <f>'Как есть'!Z16+'Как есть'!Z44+'Как есть'!Z72+'Как есть'!Z81</f>
        <v>0</v>
      </c>
      <c r="Z303">
        <f>'Как есть'!AA16+'Как есть'!AA44+'Как есть'!AA72+'Как есть'!AA81</f>
        <v>0</v>
      </c>
      <c r="AA303">
        <f>'Как есть'!AB16+'Как есть'!AB44+'Как есть'!AB72+'Как есть'!AB81</f>
        <v>0</v>
      </c>
      <c r="AB303">
        <f>'Как есть'!AC16+'Как есть'!AC44+'Как есть'!AC72+'Как есть'!AC81</f>
        <v>0</v>
      </c>
      <c r="AC303">
        <f>'Как есть'!AD16+'Как есть'!AD44+'Как есть'!AD72+'Как есть'!AD81</f>
        <v>0</v>
      </c>
      <c r="AD303">
        <f>'Как есть'!AE16+'Как есть'!AE44+'Как есть'!AE72+'Как есть'!AE81</f>
        <v>0</v>
      </c>
      <c r="AE303">
        <f>'Как есть'!AF16+'Как есть'!AF44+'Как есть'!AF72+'Как есть'!AF81</f>
        <v>0</v>
      </c>
      <c r="AF303">
        <f>'Как есть'!AG16+'Как есть'!AG44+'Как есть'!AG72+'Как есть'!AG81</f>
        <v>0</v>
      </c>
      <c r="AG303">
        <f>'Как есть'!AH16+'Как есть'!AH44+'Как есть'!AH72+'Как есть'!AH81</f>
        <v>0</v>
      </c>
      <c r="AH303">
        <f>'Как есть'!AI16+'Как есть'!AI44+'Как есть'!AI72+'Как есть'!AI81</f>
        <v>0</v>
      </c>
      <c r="AI303">
        <f>'Как есть'!AJ16+'Как есть'!AJ44+'Как есть'!AJ72+'Как есть'!AJ81</f>
        <v>0</v>
      </c>
      <c r="AJ303">
        <f>'Как есть'!AK16+'Как есть'!AK44+'Как есть'!AK72+'Как есть'!AK81</f>
        <v>0</v>
      </c>
      <c r="AK303">
        <f>'Как есть'!AL16+'Как есть'!AL44+'Как есть'!AL72+'Как есть'!AL81</f>
        <v>0</v>
      </c>
      <c r="AL303">
        <f>'Как есть'!AM16+'Как есть'!AM44+'Как есть'!AM72+'Как есть'!AM81</f>
        <v>0</v>
      </c>
      <c r="AM303">
        <f>'Как есть'!AN16+'Как есть'!AN44+'Как есть'!AN72+'Как есть'!AN81</f>
        <v>0</v>
      </c>
      <c r="AN303">
        <f>'Как есть'!AO16+'Как есть'!AO44+'Как есть'!AO72+'Как есть'!AO81</f>
        <v>0</v>
      </c>
      <c r="AO303">
        <f>'Как есть'!AP16+'Как есть'!AP44+'Как есть'!AP72+'Как есть'!AP81</f>
        <v>0</v>
      </c>
      <c r="AP303">
        <f>'Как есть'!AQ16+'Как есть'!AQ44+'Как есть'!AQ72+'Как есть'!AQ81</f>
        <v>0</v>
      </c>
      <c r="AQ303">
        <f>'Как есть'!AR16+'Как есть'!AR44+'Как есть'!AR72+'Как есть'!AR81</f>
        <v>0</v>
      </c>
      <c r="AR303">
        <f>'Как есть'!AS16+'Как есть'!AS44+'Как есть'!AS72+'Как есть'!AS81</f>
        <v>0</v>
      </c>
      <c r="AS303">
        <f>'Как есть'!AT16+'Как есть'!AT44+'Как есть'!AT72+'Как есть'!AT81</f>
        <v>0</v>
      </c>
      <c r="AT303">
        <f>'Как есть'!AU16+'Как есть'!AU44+'Как есть'!AU72+'Как есть'!AU81</f>
        <v>0</v>
      </c>
      <c r="AU303">
        <f>'Как есть'!AV16+'Как есть'!AV44+'Как есть'!AV72+'Как есть'!AV81</f>
        <v>0</v>
      </c>
      <c r="AV303">
        <f>'Как есть'!AW16+'Как есть'!AW44+'Как есть'!AW72+'Как есть'!AW81</f>
        <v>0</v>
      </c>
      <c r="AW303">
        <f>'Как есть'!AX16+'Как есть'!AX44+'Как есть'!AX72+'Как есть'!AX81</f>
        <v>0</v>
      </c>
      <c r="AX303">
        <f>'Как есть'!AY16+'Как есть'!AY44+'Как есть'!AY72+'Как есть'!AY81</f>
        <v>0</v>
      </c>
      <c r="AY303">
        <f>'Как есть'!AZ16+'Как есть'!AZ44+'Как есть'!AZ72+'Как есть'!AZ81</f>
        <v>0</v>
      </c>
      <c r="AZ303">
        <f>'Как есть'!BA16+'Как есть'!BA44+'Как есть'!BA72+'Как есть'!BA81</f>
        <v>0</v>
      </c>
      <c r="BA303">
        <f>'Как есть'!BB16+'Как есть'!BB44+'Как есть'!BB72+'Как есть'!BB81</f>
        <v>0</v>
      </c>
      <c r="BB303">
        <f>'Как есть'!BC16+'Как есть'!BC44+'Как есть'!BC72+'Как есть'!BC81</f>
        <v>0</v>
      </c>
      <c r="BC303">
        <f>'Как есть'!BD16+'Как есть'!BD44+'Как есть'!BD72+'Как есть'!BD81</f>
        <v>0</v>
      </c>
      <c r="BD303">
        <f>'Как есть'!BE16+'Как есть'!BE44+'Как есть'!BE72+'Как есть'!BE81</f>
        <v>0</v>
      </c>
      <c r="BE303">
        <f>'Как есть'!BF16+'Как есть'!BF44+'Как есть'!BF72+'Как есть'!BF81</f>
        <v>0</v>
      </c>
      <c r="BF303">
        <f>'Как есть'!BG16+'Как есть'!BG44+'Как есть'!BG72+'Как есть'!BG81</f>
        <v>0</v>
      </c>
      <c r="BG303">
        <f>'Как есть'!BH16+'Как есть'!BH44+'Как есть'!BH72+'Как есть'!BH81</f>
        <v>0</v>
      </c>
      <c r="BH303">
        <f>'Как есть'!BI16+'Как есть'!BI44+'Как есть'!BI72+'Как есть'!BI81</f>
        <v>0</v>
      </c>
      <c r="BI303">
        <f>'Как есть'!BJ16+'Как есть'!BJ44+'Как есть'!BJ72+'Как есть'!BJ81</f>
        <v>0</v>
      </c>
      <c r="BJ303">
        <f>'Как есть'!BK16+'Как есть'!BK44+'Как есть'!BK72+'Как есть'!BK81</f>
        <v>0</v>
      </c>
      <c r="BK303">
        <f>'Как есть'!BL16+'Как есть'!BL44+'Как есть'!BL72+'Как есть'!BL81</f>
        <v>0</v>
      </c>
      <c r="BL303">
        <f>'Как есть'!BM16+'Как есть'!BM44+'Как есть'!BM72+'Как есть'!BM81</f>
        <v>0</v>
      </c>
      <c r="BM303">
        <f>'Как есть'!BN16+'Как есть'!BN44+'Как есть'!BN72+'Как есть'!BN81</f>
        <v>0</v>
      </c>
      <c r="BN303">
        <f>'Как есть'!BO16+'Как есть'!BO44+'Как есть'!BO72+'Как есть'!BO81</f>
        <v>0</v>
      </c>
      <c r="BO303">
        <f>'Как есть'!BP16+'Как есть'!BP44+'Как есть'!BP72+'Как есть'!BP81</f>
        <v>0</v>
      </c>
      <c r="BP303">
        <f>'Как есть'!BQ16+'Как есть'!BQ44+'Как есть'!BQ72+'Как есть'!BQ81</f>
        <v>0</v>
      </c>
      <c r="BQ303">
        <f>'Как есть'!BR16+'Как есть'!BR44+'Как есть'!BR72+'Как есть'!BR81</f>
        <v>0</v>
      </c>
      <c r="BR303">
        <f>'Как есть'!BS16+'Как есть'!BS44+'Как есть'!BS72+'Как есть'!BS81</f>
        <v>0</v>
      </c>
      <c r="BS303">
        <f>'Как есть'!BT16+'Как есть'!BT44+'Как есть'!BT72+'Как есть'!BT81</f>
        <v>0</v>
      </c>
      <c r="BT303">
        <f>'Как есть'!BU16+'Как есть'!BU44+'Как есть'!BU72+'Как есть'!BU81</f>
        <v>0</v>
      </c>
      <c r="BU303">
        <f>'Как есть'!BV16+'Как есть'!BV44+'Как есть'!BV72+'Как есть'!BV81</f>
        <v>0</v>
      </c>
      <c r="BV303">
        <f>'Как есть'!BW16+'Как есть'!BW44+'Как есть'!BW72+'Как есть'!BW81</f>
        <v>0</v>
      </c>
      <c r="BW303">
        <f>'Как есть'!BX16+'Как есть'!BX44+'Как есть'!BX72+'Как есть'!BX81</f>
        <v>0</v>
      </c>
      <c r="BX303">
        <f>'Как есть'!BY16+'Как есть'!BY44+'Как есть'!BY72+'Как есть'!BY81</f>
        <v>0</v>
      </c>
      <c r="BY303">
        <f>'Как есть'!BZ16+'Как есть'!BZ44+'Как есть'!BZ72+'Как есть'!BZ81</f>
        <v>0</v>
      </c>
      <c r="BZ303">
        <f>'Как есть'!CA16+'Как есть'!CA44+'Как есть'!CA72+'Как есть'!CA81</f>
        <v>0</v>
      </c>
      <c r="CA303">
        <f>'Как есть'!CB16+'Как есть'!CB44+'Как есть'!CB72+'Как есть'!CB81</f>
        <v>0</v>
      </c>
      <c r="CB303">
        <f>'Как есть'!CC16+'Как есть'!CC44+'Как есть'!CC72+'Как есть'!CC81</f>
        <v>0</v>
      </c>
      <c r="CC303">
        <f>'Как есть'!CD16+'Как есть'!CD44+'Как есть'!CD72+'Как есть'!CD81</f>
        <v>0</v>
      </c>
      <c r="CD303">
        <f>'Как есть'!CE16+'Как есть'!CE44+'Как есть'!CE72+'Как есть'!CE81</f>
        <v>0</v>
      </c>
      <c r="CE303">
        <f>'Как есть'!CF16+'Как есть'!CF44+'Как есть'!CF72+'Как есть'!CF81</f>
        <v>0</v>
      </c>
      <c r="CF303">
        <f>'Как есть'!CG16+'Как есть'!CG44+'Как есть'!CG72+'Как есть'!CG81</f>
        <v>0</v>
      </c>
      <c r="CG303">
        <f>'Как есть'!CH16+'Как есть'!CH44+'Как есть'!CH72+'Как есть'!CH81</f>
        <v>0</v>
      </c>
      <c r="CH303">
        <f>'Как есть'!CI16+'Как есть'!CI44+'Как есть'!CI72+'Как есть'!CI81</f>
        <v>0</v>
      </c>
      <c r="CI303">
        <f>'Как есть'!CJ16+'Как есть'!CJ44+'Как есть'!CJ72+'Как есть'!CJ81</f>
        <v>0</v>
      </c>
      <c r="CJ303">
        <f>'Как есть'!CK16+'Как есть'!CK44+'Как есть'!CK72+'Как есть'!CK81</f>
        <v>0</v>
      </c>
      <c r="CK303">
        <f>'Как есть'!CL16+'Как есть'!CL44+'Как есть'!CL72+'Как есть'!CL81</f>
        <v>0</v>
      </c>
      <c r="CL303">
        <f>'Как есть'!CM16+'Как есть'!CM44+'Как есть'!CM72+'Как есть'!CM81</f>
        <v>0</v>
      </c>
      <c r="CM303">
        <f>'Как есть'!CN16+'Как есть'!CN44+'Как есть'!CN72+'Как есть'!CN81</f>
        <v>0</v>
      </c>
      <c r="CN303">
        <f>'Как есть'!CO16+'Как есть'!CO44+'Как есть'!CO72+'Как есть'!CO81</f>
        <v>0</v>
      </c>
      <c r="CO303">
        <f>'Как есть'!CP16+'Как есть'!CP44+'Как есть'!CP72+'Как есть'!CP81</f>
        <v>0</v>
      </c>
      <c r="CP303">
        <f>'Как есть'!CQ16+'Как есть'!CQ44+'Как есть'!CQ72+'Как есть'!CQ81</f>
        <v>0</v>
      </c>
      <c r="CQ303">
        <f>'Как есть'!CR16+'Как есть'!CR44+'Как есть'!CR72+'Как есть'!CR81</f>
        <v>0</v>
      </c>
      <c r="CR303">
        <f>'Как есть'!CS16+'Как есть'!CS44+'Как есть'!CS72+'Как есть'!CS81</f>
        <v>0</v>
      </c>
      <c r="CS303">
        <f>'Как есть'!CT16+'Как есть'!CT44+'Как есть'!CT72+'Как есть'!CT81</f>
        <v>0</v>
      </c>
      <c r="CT303">
        <f>'Как есть'!CU16+'Как есть'!CU44+'Как есть'!CU72+'Как есть'!CU81</f>
        <v>0</v>
      </c>
      <c r="CU303">
        <f>'Как есть'!CV16+'Как есть'!CV44+'Как есть'!CV72+'Как есть'!CV81</f>
        <v>0</v>
      </c>
      <c r="CV303">
        <f>'Как есть'!CW16+'Как есть'!CW44+'Как есть'!CW72+'Как есть'!CW81</f>
        <v>0</v>
      </c>
      <c r="CW303">
        <f>'Как есть'!CX16+'Как есть'!CX44+'Как есть'!CX72+'Как есть'!CX81</f>
        <v>0</v>
      </c>
      <c r="CX303">
        <f>'Как есть'!CY16+'Как есть'!CY44+'Как есть'!CY72+'Как есть'!CY81</f>
        <v>0</v>
      </c>
      <c r="CY303">
        <f>'Как есть'!CZ16+'Как есть'!CZ44+'Как есть'!CZ72+'Как есть'!CZ81</f>
        <v>0</v>
      </c>
      <c r="CZ303">
        <f>'Как есть'!DA16+'Как есть'!DA44+'Как есть'!DA72+'Как есть'!DA81</f>
        <v>0</v>
      </c>
      <c r="DA303">
        <f>'Как есть'!DB16+'Как есть'!DB44+'Как есть'!DB72+'Как есть'!DB81</f>
        <v>0</v>
      </c>
      <c r="DB303">
        <f>'Как есть'!DC16+'Как есть'!DC44+'Как есть'!DC72+'Как есть'!DC81</f>
        <v>0</v>
      </c>
      <c r="DC303">
        <f>'Как есть'!DD16+'Как есть'!DD44+'Как есть'!DD72+'Как есть'!DD81</f>
        <v>0</v>
      </c>
      <c r="DD303">
        <f>'Как есть'!DE16+'Как есть'!DE44+'Как есть'!DE72+'Как есть'!DE81</f>
        <v>0</v>
      </c>
      <c r="DE303">
        <f>'Как есть'!DF16+'Как есть'!DF44+'Как есть'!DF72+'Как есть'!DF81</f>
        <v>0</v>
      </c>
      <c r="DF303">
        <f>'Как есть'!DG16+'Как есть'!DG44+'Как есть'!DG72+'Как есть'!DG81</f>
        <v>0</v>
      </c>
      <c r="DG303">
        <f>'Как есть'!DH16+'Как есть'!DH44+'Как есть'!DH72+'Как есть'!DH81</f>
        <v>0</v>
      </c>
      <c r="DH303">
        <f>'Как есть'!DI16+'Как есть'!DI44+'Как есть'!DI72+'Как есть'!DI81</f>
        <v>0</v>
      </c>
      <c r="DI303">
        <f>'Как есть'!DJ16+'Как есть'!DJ44+'Как есть'!DJ72+'Как есть'!DJ81</f>
        <v>0</v>
      </c>
      <c r="DJ303">
        <f>'Как есть'!DK16+'Как есть'!DK44+'Как есть'!DK72+'Как есть'!DK81</f>
        <v>0</v>
      </c>
      <c r="DK303">
        <f>'Как есть'!DL16+'Как есть'!DL44+'Как есть'!DL72+'Как есть'!DL81</f>
        <v>0</v>
      </c>
      <c r="DL303">
        <f>'Как есть'!DM16+'Как есть'!DM44+'Как есть'!DM72+'Как есть'!DM81</f>
        <v>0</v>
      </c>
      <c r="DM303">
        <f>'Как есть'!DN16+'Как есть'!DN44+'Как есть'!DN72+'Как есть'!DN81</f>
        <v>0</v>
      </c>
      <c r="DN303">
        <f>'Как есть'!DO16+'Как есть'!DO44+'Как есть'!DO72+'Как есть'!DO81</f>
        <v>0</v>
      </c>
      <c r="DO303">
        <f>'Как есть'!DP16+'Как есть'!DP44+'Как есть'!DP72+'Как есть'!DP81</f>
        <v>0</v>
      </c>
      <c r="DP303">
        <f>'Как есть'!DQ16+'Как есть'!DQ44+'Как есть'!DQ72+'Как есть'!DQ81</f>
        <v>0</v>
      </c>
      <c r="DQ303">
        <f>'Как есть'!DR16+'Как есть'!DR44+'Как есть'!DR72+'Как есть'!DR81</f>
        <v>0</v>
      </c>
      <c r="DR303">
        <f>'Как есть'!DS16+'Как есть'!DS44+'Как есть'!DS72+'Как есть'!DS81</f>
        <v>0</v>
      </c>
      <c r="DS303">
        <f>'Как есть'!DT16+'Как есть'!DT44+'Как есть'!DT72+'Как есть'!DT81</f>
        <v>0</v>
      </c>
      <c r="DT303">
        <f>'Как есть'!DU16+'Как есть'!DU44+'Как есть'!DU72+'Как есть'!DU81</f>
        <v>0</v>
      </c>
      <c r="DU303">
        <f>'Как есть'!DV16+'Как есть'!DV44+'Как есть'!DV72+'Как есть'!DV81</f>
        <v>0</v>
      </c>
      <c r="DV303">
        <f>'Как есть'!DW16+'Как есть'!DW44+'Как есть'!DW72+'Как есть'!DW81</f>
        <v>0</v>
      </c>
      <c r="DW303">
        <f>'Как есть'!DX16+'Как есть'!DX44+'Как есть'!DX72+'Как есть'!DX81</f>
        <v>0</v>
      </c>
      <c r="DX303">
        <f>'Как есть'!DY16+'Как есть'!DY44+'Как есть'!DY72+'Как есть'!DY81</f>
        <v>0</v>
      </c>
      <c r="DY303">
        <f>'Как есть'!DZ16+'Как есть'!DZ44+'Как есть'!DZ72+'Как есть'!DZ81</f>
        <v>0</v>
      </c>
      <c r="DZ303">
        <f>'Как есть'!EA16+'Как есть'!EA44+'Как есть'!EA72+'Как есть'!EA81</f>
        <v>0</v>
      </c>
      <c r="EA303">
        <f>'Как есть'!EB16+'Как есть'!EB44+'Как есть'!EB72+'Как есть'!EB81</f>
        <v>0</v>
      </c>
      <c r="EB303">
        <f>'Как есть'!EC16+'Как есть'!EC44+'Как есть'!EC72+'Как есть'!EC81</f>
        <v>0</v>
      </c>
      <c r="EC303">
        <f>'Как есть'!ED16+'Как есть'!ED44+'Как есть'!ED72+'Как есть'!ED81</f>
        <v>0</v>
      </c>
      <c r="ED303">
        <f>'Как есть'!EE16+'Как есть'!EE44+'Как есть'!EE72+'Как есть'!EE81</f>
        <v>0</v>
      </c>
      <c r="EE303">
        <f>'Как есть'!EF16+'Как есть'!EF44+'Как есть'!EF72+'Как есть'!EF81</f>
        <v>0</v>
      </c>
      <c r="EF303">
        <f>'Как есть'!EG16+'Как есть'!EG44+'Как есть'!EG72+'Как есть'!EG81</f>
        <v>0</v>
      </c>
      <c r="EG303">
        <f>'Как есть'!EH16+'Как есть'!EH44+'Как есть'!EH72+'Как есть'!EH81</f>
        <v>0</v>
      </c>
      <c r="EH303">
        <f>'Как есть'!EI16+'Как есть'!EI44+'Как есть'!EI72+'Как есть'!EI81</f>
        <v>0</v>
      </c>
      <c r="EI303">
        <f>'Как есть'!EJ16+'Как есть'!EJ44+'Как есть'!EJ72+'Как есть'!EJ81</f>
        <v>0</v>
      </c>
      <c r="EJ303">
        <f>'Как есть'!EK16+'Как есть'!EK44+'Как есть'!EK72+'Как есть'!EK81</f>
        <v>0</v>
      </c>
      <c r="EK303">
        <f>'Как есть'!EL16+'Как есть'!EL44+'Как есть'!EL72+'Как есть'!EL81</f>
        <v>0</v>
      </c>
      <c r="EL303">
        <f>'Как есть'!EM16+'Как есть'!EM44+'Как есть'!EM72+'Как есть'!EM81</f>
        <v>0</v>
      </c>
      <c r="EM303">
        <f>'Как есть'!EN16+'Как есть'!EN44+'Как есть'!EN72+'Как есть'!EN81</f>
        <v>0</v>
      </c>
      <c r="EN303">
        <f>'Как есть'!EO16+'Как есть'!EO44+'Как есть'!EO72+'Как есть'!EO81</f>
        <v>0</v>
      </c>
      <c r="EO303">
        <f>'Как есть'!EP16+'Как есть'!EP44+'Как есть'!EP72+'Как есть'!EP81</f>
        <v>0</v>
      </c>
      <c r="EP303">
        <f>'Как есть'!EQ16+'Как есть'!EQ44+'Как есть'!EQ72+'Как есть'!EQ81</f>
        <v>0</v>
      </c>
      <c r="EQ303">
        <f>'Как есть'!ER16+'Как есть'!ER44+'Как есть'!ER72+'Как есть'!ER81</f>
        <v>0</v>
      </c>
      <c r="ER303">
        <f>'Как есть'!ES16+'Как есть'!ES44+'Как есть'!ES72+'Как есть'!ES81</f>
        <v>0</v>
      </c>
      <c r="ES303">
        <f>'Как есть'!ET16+'Как есть'!ET44+'Как есть'!ET72+'Как есть'!ET81</f>
        <v>0</v>
      </c>
      <c r="ET303">
        <f>'Как есть'!EU16+'Как есть'!EU44+'Как есть'!EU72+'Как есть'!EU81</f>
        <v>0</v>
      </c>
      <c r="EU303">
        <f>'Как есть'!EV16+'Как есть'!EV44+'Как есть'!EV72+'Как есть'!EV81</f>
        <v>0</v>
      </c>
      <c r="EV303">
        <f>'Как есть'!EW16+'Как есть'!EW44+'Как есть'!EW72+'Как есть'!EW81</f>
        <v>0</v>
      </c>
      <c r="EW303">
        <f>'Как есть'!EX16+'Как есть'!EX44+'Как есть'!EX72+'Как есть'!EX81</f>
        <v>0</v>
      </c>
      <c r="EX303">
        <f>'Как есть'!EY16+'Как есть'!EY44+'Как есть'!EY72+'Как есть'!EY81</f>
        <v>0</v>
      </c>
      <c r="EY303">
        <f>'Как есть'!EZ16+'Как есть'!EZ44+'Как есть'!EZ72+'Как есть'!EZ81</f>
        <v>0</v>
      </c>
      <c r="EZ303">
        <f>'Как есть'!FA16+'Как есть'!FA44+'Как есть'!FA72+'Как есть'!FA81</f>
        <v>0</v>
      </c>
      <c r="FA303">
        <f>'Как есть'!FB16+'Как есть'!FB44+'Как есть'!FB72+'Как есть'!FB81</f>
        <v>0</v>
      </c>
      <c r="FB303">
        <f>'Как есть'!FC16+'Как есть'!FC44+'Как есть'!FC72+'Как есть'!FC81</f>
        <v>0</v>
      </c>
      <c r="FC303">
        <f>'Как есть'!FD16+'Как есть'!FD44+'Как есть'!FD72+'Как есть'!FD81</f>
        <v>0</v>
      </c>
      <c r="FD303">
        <f>'Как есть'!FE16+'Как есть'!FE44+'Как есть'!FE72+'Как есть'!FE81</f>
        <v>0</v>
      </c>
      <c r="FE303">
        <f>'Как есть'!FF16+'Как есть'!FF44+'Как есть'!FF72+'Как есть'!FF81</f>
        <v>0</v>
      </c>
      <c r="FF303">
        <f>'Как есть'!FG16+'Как есть'!FG44+'Как есть'!FG72+'Как есть'!FG81</f>
        <v>0</v>
      </c>
      <c r="FG303">
        <f>'Как есть'!FH16+'Как есть'!FH44+'Как есть'!FH72+'Как есть'!FH81</f>
        <v>0</v>
      </c>
      <c r="FH303">
        <f>'Как есть'!FI16+'Как есть'!FI44+'Как есть'!FI72+'Как есть'!FI81</f>
        <v>0</v>
      </c>
      <c r="FI303">
        <f>'Как есть'!FJ16+'Как есть'!FJ44+'Как есть'!FJ72+'Как есть'!FJ81</f>
        <v>0</v>
      </c>
      <c r="FJ303">
        <f>'Как есть'!FK16+'Как есть'!FK44+'Как есть'!FK72+'Как есть'!FK81</f>
        <v>0</v>
      </c>
      <c r="FK303">
        <f>'Как есть'!FL16+'Как есть'!FL44+'Как есть'!FL72+'Как есть'!FL81</f>
        <v>0</v>
      </c>
      <c r="FL303">
        <f>'Как есть'!FM16+'Как есть'!FM44+'Как есть'!FM72+'Как есть'!FM81</f>
        <v>0</v>
      </c>
      <c r="FM303">
        <f>'Как есть'!FN16+'Как есть'!FN44+'Как есть'!FN72+'Как есть'!FN81</f>
        <v>0</v>
      </c>
      <c r="FN303">
        <f>'Как есть'!FO16+'Как есть'!FO44+'Как есть'!FO72+'Как есть'!FO81</f>
        <v>0</v>
      </c>
      <c r="FO303">
        <f>'Как есть'!FP16+'Как есть'!FP44+'Как есть'!FP72+'Как есть'!FP81</f>
        <v>0</v>
      </c>
      <c r="FP303">
        <f>'Как есть'!FQ16+'Как есть'!FQ44+'Как есть'!FQ72+'Как есть'!FQ81</f>
        <v>0</v>
      </c>
      <c r="FQ303">
        <f>'Как есть'!FR16+'Как есть'!FR44+'Как есть'!FR72+'Как есть'!FR81</f>
        <v>0</v>
      </c>
      <c r="FR303">
        <f>'Как есть'!FS16+'Как есть'!FS44+'Как есть'!FS72+'Как есть'!FS81</f>
        <v>0</v>
      </c>
      <c r="FS303">
        <f>'Как есть'!FT16+'Как есть'!FT44+'Как есть'!FT72+'Как есть'!FT81</f>
        <v>0</v>
      </c>
      <c r="FT303">
        <f>'Как есть'!FU16+'Как есть'!FU44+'Как есть'!FU72+'Как есть'!FU81</f>
        <v>0</v>
      </c>
      <c r="FU303">
        <f>'Как есть'!FV16+'Как есть'!FV44+'Как есть'!FV72+'Как есть'!FV81</f>
        <v>0</v>
      </c>
      <c r="FV303">
        <f>'Как есть'!FW16+'Как есть'!FW44+'Как есть'!FW72+'Как есть'!FW81</f>
        <v>0</v>
      </c>
      <c r="FW303">
        <f>'Как есть'!FX16+'Как есть'!FX44+'Как есть'!FX72+'Как есть'!FX81</f>
        <v>0</v>
      </c>
      <c r="FX303">
        <f>'Как есть'!FY16+'Как есть'!FY44+'Как есть'!FY72+'Как есть'!FY81</f>
        <v>0</v>
      </c>
      <c r="FY303">
        <f>'Как есть'!FZ16+'Как есть'!FZ44+'Как есть'!FZ72+'Как есть'!FZ81</f>
        <v>0</v>
      </c>
      <c r="FZ303">
        <f>'Как есть'!GA16+'Как есть'!GA44+'Как есть'!GA72+'Как есть'!GA81</f>
        <v>0</v>
      </c>
      <c r="GA303">
        <f>'Как есть'!GB16+'Как есть'!GB44+'Как есть'!GB72+'Как есть'!GB81</f>
        <v>0</v>
      </c>
      <c r="GB303">
        <f>'Как есть'!GC16+'Как есть'!GC44+'Как есть'!GC72+'Как есть'!GC81</f>
        <v>0</v>
      </c>
      <c r="GC303">
        <f>'Как есть'!GD16+'Как есть'!GD44+'Как есть'!GD72+'Как есть'!GD81</f>
        <v>0</v>
      </c>
      <c r="GD303">
        <f>'Как есть'!GE16+'Как есть'!GE44+'Как есть'!GE72+'Как есть'!GE81</f>
        <v>0</v>
      </c>
      <c r="GE303">
        <f>'Как есть'!GF16+'Как есть'!GF44+'Как есть'!GF72+'Как есть'!GF81</f>
        <v>0</v>
      </c>
      <c r="GF303">
        <f>'Как есть'!GG16+'Как есть'!GG44+'Как есть'!GG72+'Как есть'!GG81</f>
        <v>0</v>
      </c>
      <c r="GG303">
        <f>'Как есть'!GH16+'Как есть'!GH44+'Как есть'!GH72+'Как есть'!GH81</f>
        <v>0</v>
      </c>
      <c r="GH303">
        <f>'Как есть'!GI16+'Как есть'!GI44+'Как есть'!GI72+'Как есть'!GI81</f>
        <v>0</v>
      </c>
      <c r="GI303">
        <f>'Как есть'!GJ16+'Как есть'!GJ44+'Как есть'!GJ72+'Как есть'!GJ81</f>
        <v>0</v>
      </c>
      <c r="GJ303">
        <f>'Как есть'!GK16+'Как есть'!GK44+'Как есть'!GK72+'Как есть'!GK81</f>
        <v>0</v>
      </c>
      <c r="GK303">
        <f>'Как есть'!GL16+'Как есть'!GL44+'Как есть'!GL72+'Как есть'!GL81</f>
        <v>0</v>
      </c>
      <c r="GL303">
        <f>'Как есть'!GM16+'Как есть'!GM44+'Как есть'!GM72+'Как есть'!GM81</f>
        <v>0</v>
      </c>
      <c r="GM303">
        <f>'Как есть'!GN16+'Как есть'!GN44+'Как есть'!GN72+'Как есть'!GN81</f>
        <v>0</v>
      </c>
      <c r="GN303">
        <f>'Как есть'!GO16+'Как есть'!GO44+'Как есть'!GO72+'Как есть'!GO81</f>
        <v>0</v>
      </c>
      <c r="GO303">
        <f>'Как есть'!GP16+'Как есть'!GP44+'Как есть'!GP72+'Как есть'!GP81</f>
        <v>0</v>
      </c>
      <c r="GP303">
        <f>'Как есть'!GQ16+'Как есть'!GQ44+'Как есть'!GQ72+'Как есть'!GQ81</f>
        <v>0</v>
      </c>
      <c r="GQ303">
        <f>'Как есть'!GR16+'Как есть'!GR44+'Как есть'!GR72+'Как есть'!GR81</f>
        <v>0</v>
      </c>
      <c r="GR303">
        <f>'Как есть'!GS16+'Как есть'!GS44+'Как есть'!GS72+'Как есть'!GS81</f>
        <v>0</v>
      </c>
      <c r="GS303">
        <f>'Как есть'!GT16+'Как есть'!GT44+'Как есть'!GT72+'Как есть'!GT81</f>
        <v>0</v>
      </c>
      <c r="GT303">
        <f>'Как есть'!GU16+'Как есть'!GU44+'Как есть'!GU72+'Как есть'!GU81</f>
        <v>0</v>
      </c>
    </row>
    <row r="304" spans="1:202">
      <c r="A304" s="243" t="s">
        <v>35</v>
      </c>
      <c r="B304" s="244">
        <f>('Как есть'!C16+'Как есть'!C44+'Как есть'!C72)</f>
        <v>0</v>
      </c>
      <c r="C304" s="244">
        <f>('Как есть'!D16+'Как есть'!D44+'Как есть'!D72)</f>
        <v>0</v>
      </c>
      <c r="D304" s="244">
        <f>('Как есть'!E16+'Как есть'!E44+'Как есть'!E72)</f>
        <v>0</v>
      </c>
      <c r="E304" s="244">
        <f>('Как есть'!F16+'Как есть'!F44+'Как есть'!F72)</f>
        <v>0</v>
      </c>
      <c r="F304" s="244">
        <f>('Как есть'!G16+'Как есть'!G44+'Как есть'!G72)</f>
        <v>0</v>
      </c>
      <c r="G304" s="244">
        <f>('Как есть'!H16+'Как есть'!H44+'Как есть'!H72)</f>
        <v>0</v>
      </c>
      <c r="H304" s="244">
        <f>('Как есть'!I16+'Как есть'!I44+'Как есть'!I72)</f>
        <v>0</v>
      </c>
      <c r="I304" s="244">
        <f>('Как есть'!J16+'Как есть'!J44+'Как есть'!J72)</f>
        <v>0</v>
      </c>
      <c r="J304" s="244">
        <f>('Как есть'!K16+'Как есть'!K44+'Как есть'!K72)</f>
        <v>0</v>
      </c>
      <c r="K304" s="244">
        <f>('Как есть'!L16+'Как есть'!L44+'Как есть'!L72)</f>
        <v>0</v>
      </c>
      <c r="L304" s="244">
        <f>('Как есть'!M16+'Как есть'!M44+'Как есть'!M72)</f>
        <v>0</v>
      </c>
      <c r="M304" s="244">
        <f>('Как есть'!N16+'Как есть'!N44+'Как есть'!N72)</f>
        <v>0</v>
      </c>
      <c r="N304" s="244">
        <f>('Как есть'!O16+'Как есть'!O44+'Как есть'!O72)</f>
        <v>0</v>
      </c>
      <c r="O304" s="244">
        <f>('Как есть'!P16+'Как есть'!P44+'Как есть'!P72)</f>
        <v>0</v>
      </c>
      <c r="P304" s="244">
        <f>('Как есть'!Q16+'Как есть'!Q44+'Как есть'!Q72)</f>
        <v>0</v>
      </c>
      <c r="Q304" s="244">
        <f>('Как есть'!R16+'Как есть'!R44+'Как есть'!R72)</f>
        <v>0</v>
      </c>
      <c r="R304" s="244">
        <f>('Как есть'!S16+'Как есть'!S44+'Как есть'!S72)</f>
        <v>0</v>
      </c>
      <c r="S304" s="244">
        <f>('Как есть'!T16+'Как есть'!T44+'Как есть'!T72)</f>
        <v>0</v>
      </c>
      <c r="T304" s="244">
        <f>('Как есть'!U16+'Как есть'!U44+'Как есть'!U72)</f>
        <v>0</v>
      </c>
      <c r="U304" s="244">
        <f>('Как есть'!V16+'Как есть'!V44+'Как есть'!V72)</f>
        <v>0</v>
      </c>
      <c r="V304" s="244">
        <f>('Как есть'!W16+'Как есть'!W44+'Как есть'!W72)</f>
        <v>0</v>
      </c>
      <c r="W304" s="244">
        <f>('Как есть'!X16+'Как есть'!X44+'Как есть'!X72)</f>
        <v>0</v>
      </c>
      <c r="X304" s="244">
        <f>('Как есть'!Y16+'Как есть'!Y44+'Как есть'!Y72)</f>
        <v>0</v>
      </c>
      <c r="Y304" s="244">
        <f>('Как есть'!Z16+'Как есть'!Z44+'Как есть'!Z72)</f>
        <v>0</v>
      </c>
      <c r="Z304" s="244">
        <f>('Как есть'!AA16+'Как есть'!AA44+'Как есть'!AA72)</f>
        <v>0</v>
      </c>
      <c r="AA304" s="244">
        <f>('Как есть'!AB16+'Как есть'!AB44+'Как есть'!AB72)</f>
        <v>0</v>
      </c>
      <c r="AB304" s="244">
        <f>('Как есть'!AC16+'Как есть'!AC44+'Как есть'!AC72)</f>
        <v>0</v>
      </c>
      <c r="AC304" s="244">
        <f>('Как есть'!AD16+'Как есть'!AD44+'Как есть'!AD72)</f>
        <v>0</v>
      </c>
      <c r="AD304" s="244">
        <f>('Как есть'!AE16+'Как есть'!AE44+'Как есть'!AE72)</f>
        <v>0</v>
      </c>
      <c r="AE304" s="244">
        <f>('Как есть'!AF16+'Как есть'!AF44+'Как есть'!AF72)</f>
        <v>0</v>
      </c>
      <c r="AF304" s="244">
        <f>('Как есть'!AG16+'Как есть'!AG44+'Как есть'!AG72)</f>
        <v>0</v>
      </c>
      <c r="AG304" s="244">
        <f>('Как есть'!AH16+'Как есть'!AH44+'Как есть'!AH72)</f>
        <v>0</v>
      </c>
      <c r="AH304" s="244">
        <f>('Как есть'!AI16+'Как есть'!AI44+'Как есть'!AI72)</f>
        <v>0</v>
      </c>
      <c r="AI304" s="244">
        <f>('Как есть'!AJ16+'Как есть'!AJ44+'Как есть'!AJ72)</f>
        <v>0</v>
      </c>
      <c r="AJ304" s="244">
        <f>('Как есть'!AK16+'Как есть'!AK44+'Как есть'!AK72)</f>
        <v>0</v>
      </c>
      <c r="AK304" s="244">
        <f>('Как есть'!AL16+'Как есть'!AL44+'Как есть'!AL72)</f>
        <v>0</v>
      </c>
      <c r="AL304" s="244">
        <f>('Как есть'!AM16+'Как есть'!AM44+'Как есть'!AM72)</f>
        <v>0</v>
      </c>
      <c r="AM304" s="244">
        <f>('Как есть'!AN16+'Как есть'!AN44+'Как есть'!AN72)</f>
        <v>0</v>
      </c>
      <c r="AN304" s="244">
        <f>('Как есть'!AO16+'Как есть'!AO44+'Как есть'!AO72)</f>
        <v>0</v>
      </c>
      <c r="AO304" s="244">
        <f>('Как есть'!AP16+'Как есть'!AP44+'Как есть'!AP72)</f>
        <v>0</v>
      </c>
      <c r="AP304" s="244">
        <f>('Как есть'!AQ16+'Как есть'!AQ44+'Как есть'!AQ72)</f>
        <v>0</v>
      </c>
      <c r="AQ304" s="244">
        <f>('Как есть'!AR16+'Как есть'!AR44+'Как есть'!AR72)</f>
        <v>0</v>
      </c>
      <c r="AR304" s="244">
        <f>('Как есть'!AS16+'Как есть'!AS44+'Как есть'!AS72)</f>
        <v>0</v>
      </c>
      <c r="AS304" s="244">
        <f>('Как есть'!AT16+'Как есть'!AT44+'Как есть'!AT72)</f>
        <v>0</v>
      </c>
      <c r="AT304" s="244">
        <f>('Как есть'!AU16+'Как есть'!AU44+'Как есть'!AU72)</f>
        <v>0</v>
      </c>
      <c r="AU304" s="244">
        <f>('Как есть'!AV16+'Как есть'!AV44+'Как есть'!AV72)</f>
        <v>0</v>
      </c>
      <c r="AV304" s="244">
        <f>('Как есть'!AW16+'Как есть'!AW44+'Как есть'!AW72)</f>
        <v>0</v>
      </c>
      <c r="AW304" s="244">
        <f>('Как есть'!AX16+'Как есть'!AX44+'Как есть'!AX72)</f>
        <v>0</v>
      </c>
      <c r="AX304" s="244">
        <f>('Как есть'!AY16+'Как есть'!AY44+'Как есть'!AY72)</f>
        <v>0</v>
      </c>
      <c r="AY304" s="244">
        <f>('Как есть'!AZ16+'Как есть'!AZ44+'Как есть'!AZ72)</f>
        <v>0</v>
      </c>
      <c r="AZ304" s="244">
        <f>('Как есть'!BA16+'Как есть'!BA44+'Как есть'!BA72)</f>
        <v>0</v>
      </c>
      <c r="BA304" s="244">
        <f>('Как есть'!BB16+'Как есть'!BB44+'Как есть'!BB72)</f>
        <v>0</v>
      </c>
      <c r="BB304" s="244">
        <f>('Как есть'!BC16+'Как есть'!BC44+'Как есть'!BC72)</f>
        <v>0</v>
      </c>
      <c r="BC304" s="244">
        <f>('Как есть'!BD16+'Как есть'!BD44+'Как есть'!BD72)</f>
        <v>0</v>
      </c>
      <c r="BD304" s="244">
        <f>('Как есть'!BE16+'Как есть'!BE44+'Как есть'!BE72)</f>
        <v>0</v>
      </c>
      <c r="BE304" s="244">
        <f>('Как есть'!BF16+'Как есть'!BF44+'Как есть'!BF72)</f>
        <v>0</v>
      </c>
      <c r="BF304" s="244">
        <f>('Как есть'!BG16+'Как есть'!BG44+'Как есть'!BG72)</f>
        <v>0</v>
      </c>
      <c r="BG304" s="244">
        <f>('Как есть'!BH16+'Как есть'!BH44+'Как есть'!BH72)</f>
        <v>0</v>
      </c>
      <c r="BH304" s="244">
        <f>('Как есть'!BI16+'Как есть'!BI44+'Как есть'!BI72)</f>
        <v>0</v>
      </c>
      <c r="BI304" s="244">
        <f>('Как есть'!BJ16+'Как есть'!BJ44+'Как есть'!BJ72)</f>
        <v>0</v>
      </c>
      <c r="BJ304" s="244">
        <f>('Как есть'!BK16+'Как есть'!BK44+'Как есть'!BK72)</f>
        <v>0</v>
      </c>
      <c r="BK304" s="244">
        <f>('Как есть'!BL16+'Как есть'!BL44+'Как есть'!BL72)</f>
        <v>0</v>
      </c>
      <c r="BL304" s="244">
        <f>('Как есть'!BM16+'Как есть'!BM44+'Как есть'!BM72)</f>
        <v>0</v>
      </c>
      <c r="BM304" s="244">
        <f>('Как есть'!BN16+'Как есть'!BN44+'Как есть'!BN72)</f>
        <v>0</v>
      </c>
      <c r="BN304" s="244">
        <f>('Как есть'!BO16+'Как есть'!BO44+'Как есть'!BO72)</f>
        <v>0</v>
      </c>
      <c r="BO304" s="244">
        <f>('Как есть'!BP16+'Как есть'!BP44+'Как есть'!BP72)</f>
        <v>0</v>
      </c>
      <c r="BP304" s="244">
        <f>('Как есть'!BQ16+'Как есть'!BQ44+'Как есть'!BQ72)</f>
        <v>0</v>
      </c>
      <c r="BQ304" s="244">
        <f>('Как есть'!BR16+'Как есть'!BR44+'Как есть'!BR72)</f>
        <v>0</v>
      </c>
      <c r="BR304" s="244">
        <f>('Как есть'!BS16+'Как есть'!BS44+'Как есть'!BS72)</f>
        <v>0</v>
      </c>
      <c r="BS304" s="244">
        <f>('Как есть'!BT16+'Как есть'!BT44+'Как есть'!BT72)</f>
        <v>0</v>
      </c>
      <c r="BT304" s="244">
        <f>('Как есть'!BU16+'Как есть'!BU44+'Как есть'!BU72)</f>
        <v>0</v>
      </c>
      <c r="BU304" s="244">
        <f>('Как есть'!BV16+'Как есть'!BV44+'Как есть'!BV72)</f>
        <v>0</v>
      </c>
      <c r="BV304" s="244">
        <f>('Как есть'!BW16+'Как есть'!BW44+'Как есть'!BW72)</f>
        <v>0</v>
      </c>
      <c r="BW304" s="244">
        <f>('Как есть'!BX16+'Как есть'!BX44+'Как есть'!BX72)</f>
        <v>0</v>
      </c>
      <c r="BX304" s="244">
        <f>('Как есть'!BY16+'Как есть'!BY44+'Как есть'!BY72)</f>
        <v>0</v>
      </c>
      <c r="BY304" s="244">
        <f>('Как есть'!BZ16+'Как есть'!BZ44+'Как есть'!BZ72)</f>
        <v>0</v>
      </c>
      <c r="BZ304" s="244">
        <f>('Как есть'!CA16+'Как есть'!CA44+'Как есть'!CA72)</f>
        <v>0</v>
      </c>
      <c r="CA304" s="244">
        <f>('Как есть'!CB16+'Как есть'!CB44+'Как есть'!CB72)</f>
        <v>0</v>
      </c>
      <c r="CB304" s="244">
        <f>('Как есть'!CC16+'Как есть'!CC44+'Как есть'!CC72)</f>
        <v>0</v>
      </c>
      <c r="CC304" s="244">
        <f>('Как есть'!CD16+'Как есть'!CD44+'Как есть'!CD72)</f>
        <v>0</v>
      </c>
      <c r="CD304" s="244">
        <f>('Как есть'!CE16+'Как есть'!CE44+'Как есть'!CE72)</f>
        <v>0</v>
      </c>
      <c r="CE304" s="244">
        <f>('Как есть'!CF16+'Как есть'!CF44+'Как есть'!CF72)</f>
        <v>0</v>
      </c>
      <c r="CF304" s="244">
        <f>('Как есть'!CG16+'Как есть'!CG44+'Как есть'!CG72)</f>
        <v>0</v>
      </c>
      <c r="CG304" s="244">
        <f>('Как есть'!CH16+'Как есть'!CH44+'Как есть'!CH72)</f>
        <v>0</v>
      </c>
      <c r="CH304" s="244">
        <f>('Как есть'!CI16+'Как есть'!CI44+'Как есть'!CI72)</f>
        <v>0</v>
      </c>
      <c r="CI304" s="244">
        <f>('Как есть'!CJ16+'Как есть'!CJ44+'Как есть'!CJ72)</f>
        <v>0</v>
      </c>
      <c r="CJ304" s="244">
        <f>('Как есть'!CK16+'Как есть'!CK44+'Как есть'!CK72)</f>
        <v>0</v>
      </c>
      <c r="CK304" s="244">
        <f>('Как есть'!CL16+'Как есть'!CL44+'Как есть'!CL72)</f>
        <v>0</v>
      </c>
      <c r="CL304" s="244">
        <f>('Как есть'!CM16+'Как есть'!CM44+'Как есть'!CM72)</f>
        <v>0</v>
      </c>
      <c r="CM304" s="244">
        <f>('Как есть'!CN16+'Как есть'!CN44+'Как есть'!CN72)</f>
        <v>0</v>
      </c>
      <c r="CN304" s="244">
        <f>('Как есть'!CO16+'Как есть'!CO44+'Как есть'!CO72)</f>
        <v>0</v>
      </c>
      <c r="CO304" s="244">
        <f>('Как есть'!CP16+'Как есть'!CP44+'Как есть'!CP72)</f>
        <v>0</v>
      </c>
      <c r="CP304" s="244">
        <f>('Как есть'!CQ16+'Как есть'!CQ44+'Как есть'!CQ72)</f>
        <v>0</v>
      </c>
      <c r="CQ304" s="244">
        <f>('Как есть'!CR16+'Как есть'!CR44+'Как есть'!CR72)</f>
        <v>0</v>
      </c>
      <c r="CR304" s="244">
        <f>('Как есть'!CS16+'Как есть'!CS44+'Как есть'!CS72)</f>
        <v>0</v>
      </c>
      <c r="CS304" s="244">
        <f>('Как есть'!CT16+'Как есть'!CT44+'Как есть'!CT72)</f>
        <v>0</v>
      </c>
      <c r="CT304" s="244">
        <f>('Как есть'!CU16+'Как есть'!CU44+'Как есть'!CU72)</f>
        <v>0</v>
      </c>
      <c r="CU304" s="244">
        <f>('Как есть'!CV16+'Как есть'!CV44+'Как есть'!CV72)</f>
        <v>0</v>
      </c>
      <c r="CV304" s="244">
        <f>('Как есть'!CW16+'Как есть'!CW44+'Как есть'!CW72)</f>
        <v>0</v>
      </c>
      <c r="CW304" s="244">
        <f>('Как есть'!CX16+'Как есть'!CX44+'Как есть'!CX72)</f>
        <v>0</v>
      </c>
      <c r="CX304" s="244">
        <f>('Как есть'!CY16+'Как есть'!CY44+'Как есть'!CY72)</f>
        <v>0</v>
      </c>
      <c r="CY304" s="244">
        <f>('Как есть'!CZ16+'Как есть'!CZ44+'Как есть'!CZ72)</f>
        <v>0</v>
      </c>
      <c r="CZ304" s="244">
        <f>('Как есть'!DA16+'Как есть'!DA44+'Как есть'!DA72)</f>
        <v>0</v>
      </c>
      <c r="DA304" s="244">
        <f>('Как есть'!DB16+'Как есть'!DB44+'Как есть'!DB72)</f>
        <v>0</v>
      </c>
      <c r="DB304" s="244">
        <f>('Как есть'!DC16+'Как есть'!DC44+'Как есть'!DC72)</f>
        <v>0</v>
      </c>
      <c r="DC304" s="244">
        <f>('Как есть'!DD16+'Как есть'!DD44+'Как есть'!DD72)</f>
        <v>0</v>
      </c>
      <c r="DD304" s="244">
        <f>('Как есть'!DE16+'Как есть'!DE44+'Как есть'!DE72)</f>
        <v>0</v>
      </c>
      <c r="DE304" s="244">
        <f>('Как есть'!DF16+'Как есть'!DF44+'Как есть'!DF72)</f>
        <v>0</v>
      </c>
      <c r="DF304" s="244">
        <f>('Как есть'!DG16+'Как есть'!DG44+'Как есть'!DG72)</f>
        <v>0</v>
      </c>
      <c r="DG304" s="244">
        <f>('Как есть'!DH16+'Как есть'!DH44+'Как есть'!DH72)</f>
        <v>0</v>
      </c>
      <c r="DH304" s="244">
        <f>('Как есть'!DI16+'Как есть'!DI44+'Как есть'!DI72)</f>
        <v>0</v>
      </c>
      <c r="DI304" s="244">
        <f>('Как есть'!DJ16+'Как есть'!DJ44+'Как есть'!DJ72)</f>
        <v>0</v>
      </c>
      <c r="DJ304" s="244">
        <f>('Как есть'!DK16+'Как есть'!DK44+'Как есть'!DK72)</f>
        <v>0</v>
      </c>
      <c r="DK304" s="244">
        <f>('Как есть'!DL16+'Как есть'!DL44+'Как есть'!DL72)</f>
        <v>0</v>
      </c>
      <c r="DL304" s="244">
        <f>('Как есть'!DM16+'Как есть'!DM44+'Как есть'!DM72)</f>
        <v>0</v>
      </c>
      <c r="DM304" s="244">
        <f>('Как есть'!DN16+'Как есть'!DN44+'Как есть'!DN72)</f>
        <v>0</v>
      </c>
      <c r="DN304" s="244">
        <f>('Как есть'!DO16+'Как есть'!DO44+'Как есть'!DO72)</f>
        <v>0</v>
      </c>
      <c r="DO304" s="244">
        <f>('Как есть'!DP16+'Как есть'!DP44+'Как есть'!DP72)</f>
        <v>0</v>
      </c>
      <c r="DP304" s="244">
        <f>('Как есть'!DQ16+'Как есть'!DQ44+'Как есть'!DQ72)</f>
        <v>0</v>
      </c>
      <c r="DQ304" s="244">
        <f>('Как есть'!DR16+'Как есть'!DR44+'Как есть'!DR72)</f>
        <v>0</v>
      </c>
      <c r="DR304" s="244">
        <f>('Как есть'!DS16+'Как есть'!DS44+'Как есть'!DS72)</f>
        <v>0</v>
      </c>
      <c r="DS304" s="244">
        <f>('Как есть'!DT16+'Как есть'!DT44+'Как есть'!DT72)</f>
        <v>0</v>
      </c>
      <c r="DT304" s="244">
        <f>('Как есть'!DU16+'Как есть'!DU44+'Как есть'!DU72)</f>
        <v>0</v>
      </c>
      <c r="DU304" s="244">
        <f>('Как есть'!DV16+'Как есть'!DV44+'Как есть'!DV72)</f>
        <v>0</v>
      </c>
      <c r="DV304" s="244">
        <f>('Как есть'!DW16+'Как есть'!DW44+'Как есть'!DW72)</f>
        <v>0</v>
      </c>
      <c r="DW304" s="244">
        <f>('Как есть'!DX16+'Как есть'!DX44+'Как есть'!DX72)</f>
        <v>0</v>
      </c>
      <c r="DX304" s="244">
        <f>('Как есть'!DY16+'Как есть'!DY44+'Как есть'!DY72)</f>
        <v>0</v>
      </c>
      <c r="DY304" s="244">
        <f>('Как есть'!DZ16+'Как есть'!DZ44+'Как есть'!DZ72)</f>
        <v>0</v>
      </c>
      <c r="DZ304" s="244">
        <f>('Как есть'!EA16+'Как есть'!EA44+'Как есть'!EA72)</f>
        <v>0</v>
      </c>
      <c r="EA304" s="244">
        <f>('Как есть'!EB16+'Как есть'!EB44+'Как есть'!EB72)</f>
        <v>0</v>
      </c>
      <c r="EB304" s="244">
        <f>('Как есть'!EC16+'Как есть'!EC44+'Как есть'!EC72)</f>
        <v>0</v>
      </c>
      <c r="EC304" s="244">
        <f>('Как есть'!ED16+'Как есть'!ED44+'Как есть'!ED72)</f>
        <v>0</v>
      </c>
      <c r="ED304" s="244">
        <f>('Как есть'!EE16+'Как есть'!EE44+'Как есть'!EE72)</f>
        <v>0</v>
      </c>
      <c r="EE304" s="244">
        <f>('Как есть'!EF16+'Как есть'!EF44+'Как есть'!EF72)</f>
        <v>0</v>
      </c>
      <c r="EF304" s="244">
        <f>('Как есть'!EG16+'Как есть'!EG44+'Как есть'!EG72)</f>
        <v>0</v>
      </c>
      <c r="EG304" s="244">
        <f>('Как есть'!EH16+'Как есть'!EH44+'Как есть'!EH72)</f>
        <v>0</v>
      </c>
      <c r="EH304" s="244">
        <f>('Как есть'!EI16+'Как есть'!EI44+'Как есть'!EI72)</f>
        <v>0</v>
      </c>
      <c r="EI304" s="244">
        <f>('Как есть'!EJ16+'Как есть'!EJ44+'Как есть'!EJ72)</f>
        <v>0</v>
      </c>
      <c r="EJ304" s="244">
        <f>('Как есть'!EK16+'Как есть'!EK44+'Как есть'!EK72)</f>
        <v>0</v>
      </c>
      <c r="EK304" s="244">
        <f>('Как есть'!EL16+'Как есть'!EL44+'Как есть'!EL72)</f>
        <v>0</v>
      </c>
      <c r="EL304" s="244">
        <f>('Как есть'!EM16+'Как есть'!EM44+'Как есть'!EM72)</f>
        <v>0</v>
      </c>
      <c r="EM304" s="244">
        <f>('Как есть'!EN16+'Как есть'!EN44+'Как есть'!EN72)</f>
        <v>0</v>
      </c>
      <c r="EN304" s="244">
        <f>('Как есть'!EO16+'Как есть'!EO44+'Как есть'!EO72)</f>
        <v>0</v>
      </c>
      <c r="EO304" s="244">
        <f>('Как есть'!EP16+'Как есть'!EP44+'Как есть'!EP72)</f>
        <v>0</v>
      </c>
      <c r="EP304" s="244">
        <f>('Как есть'!EQ16+'Как есть'!EQ44+'Как есть'!EQ72)</f>
        <v>0</v>
      </c>
      <c r="EQ304" s="244">
        <f>('Как есть'!ER16+'Как есть'!ER44+'Как есть'!ER72)</f>
        <v>0</v>
      </c>
      <c r="ER304" s="244">
        <f>('Как есть'!ES16+'Как есть'!ES44+'Как есть'!ES72)</f>
        <v>0</v>
      </c>
      <c r="ES304" s="244">
        <f>('Как есть'!ET16+'Как есть'!ET44+'Как есть'!ET72)</f>
        <v>0</v>
      </c>
      <c r="ET304" s="244">
        <f>('Как есть'!EU16+'Как есть'!EU44+'Как есть'!EU72)</f>
        <v>0</v>
      </c>
      <c r="EU304" s="244">
        <f>('Как есть'!EV16+'Как есть'!EV44+'Как есть'!EV72)</f>
        <v>0</v>
      </c>
      <c r="EV304" s="244">
        <f>('Как есть'!EW16+'Как есть'!EW44+'Как есть'!EW72)</f>
        <v>0</v>
      </c>
      <c r="EW304" s="244">
        <f>('Как есть'!EX16+'Как есть'!EX44+'Как есть'!EX72)</f>
        <v>0</v>
      </c>
      <c r="EX304" s="244">
        <f>('Как есть'!EY16+'Как есть'!EY44+'Как есть'!EY72)</f>
        <v>0</v>
      </c>
      <c r="EY304" s="244">
        <f>('Как есть'!EZ16+'Как есть'!EZ44+'Как есть'!EZ72)</f>
        <v>0</v>
      </c>
      <c r="EZ304" s="244">
        <f>('Как есть'!FA16+'Как есть'!FA44+'Как есть'!FA72)</f>
        <v>0</v>
      </c>
      <c r="FA304" s="244">
        <f>('Как есть'!FB16+'Как есть'!FB44+'Как есть'!FB72)</f>
        <v>0</v>
      </c>
      <c r="FB304" s="244">
        <f>('Как есть'!FC16+'Как есть'!FC44+'Как есть'!FC72)</f>
        <v>0</v>
      </c>
      <c r="FC304" s="244">
        <f>('Как есть'!FD16+'Как есть'!FD44+'Как есть'!FD72)</f>
        <v>0</v>
      </c>
      <c r="FD304" s="244">
        <f>('Как есть'!FE16+'Как есть'!FE44+'Как есть'!FE72)</f>
        <v>0</v>
      </c>
      <c r="FE304" s="244">
        <f>('Как есть'!FF16+'Как есть'!FF44+'Как есть'!FF72)</f>
        <v>0</v>
      </c>
      <c r="FF304" s="244">
        <f>('Как есть'!FG16+'Как есть'!FG44+'Как есть'!FG72)</f>
        <v>0</v>
      </c>
      <c r="FG304" s="244">
        <f>('Как есть'!FH16+'Как есть'!FH44+'Как есть'!FH72)</f>
        <v>0</v>
      </c>
      <c r="FH304" s="244">
        <f>('Как есть'!FI16+'Как есть'!FI44+'Как есть'!FI72)</f>
        <v>0</v>
      </c>
      <c r="FI304" s="244">
        <f>('Как есть'!FJ16+'Как есть'!FJ44+'Как есть'!FJ72)</f>
        <v>0</v>
      </c>
      <c r="FJ304" s="244">
        <f>('Как есть'!FK16+'Как есть'!FK44+'Как есть'!FK72)</f>
        <v>0</v>
      </c>
      <c r="FK304" s="244">
        <f>('Как есть'!FL16+'Как есть'!FL44+'Как есть'!FL72)</f>
        <v>0</v>
      </c>
      <c r="FL304" s="244">
        <f>('Как есть'!FM16+'Как есть'!FM44+'Как есть'!FM72)</f>
        <v>0</v>
      </c>
      <c r="FM304" s="244">
        <f>('Как есть'!FN16+'Как есть'!FN44+'Как есть'!FN72)</f>
        <v>0</v>
      </c>
      <c r="FN304" s="244">
        <f>('Как есть'!FO16+'Как есть'!FO44+'Как есть'!FO72)</f>
        <v>0</v>
      </c>
      <c r="FO304" s="244">
        <f>('Как есть'!FP16+'Как есть'!FP44+'Как есть'!FP72)</f>
        <v>0</v>
      </c>
      <c r="FP304" s="244">
        <f>('Как есть'!FQ16+'Как есть'!FQ44+'Как есть'!FQ72)</f>
        <v>0</v>
      </c>
      <c r="FQ304" s="244">
        <f>('Как есть'!FR16+'Как есть'!FR44+'Как есть'!FR72)</f>
        <v>0</v>
      </c>
      <c r="FR304" s="244">
        <f>('Как есть'!FS16+'Как есть'!FS44+'Как есть'!FS72)</f>
        <v>0</v>
      </c>
      <c r="FS304" s="244">
        <f>('Как есть'!FT16+'Как есть'!FT44+'Как есть'!FT72)</f>
        <v>0</v>
      </c>
      <c r="FT304" s="244">
        <f>('Как есть'!FU16+'Как есть'!FU44+'Как есть'!FU72)</f>
        <v>0</v>
      </c>
      <c r="FU304" s="244">
        <f>('Как есть'!FV16+'Как есть'!FV44+'Как есть'!FV72)</f>
        <v>0</v>
      </c>
      <c r="FV304" s="244">
        <f>('Как есть'!FW16+'Как есть'!FW44+'Как есть'!FW72)</f>
        <v>0</v>
      </c>
      <c r="FW304" s="244">
        <f>('Как есть'!FX16+'Как есть'!FX44+'Как есть'!FX72)</f>
        <v>0</v>
      </c>
      <c r="FX304" s="244">
        <f>('Как есть'!FY16+'Как есть'!FY44+'Как есть'!FY72)</f>
        <v>0</v>
      </c>
      <c r="FY304" s="244">
        <f>('Как есть'!FZ16+'Как есть'!FZ44+'Как есть'!FZ72)</f>
        <v>0</v>
      </c>
      <c r="FZ304" s="244">
        <f>('Как есть'!GA16+'Как есть'!GA44+'Как есть'!GA72)</f>
        <v>0</v>
      </c>
      <c r="GA304" s="244">
        <f>('Как есть'!GB16+'Как есть'!GB44+'Как есть'!GB72)</f>
        <v>0</v>
      </c>
      <c r="GB304" s="244">
        <f>('Как есть'!GC16+'Как есть'!GC44+'Как есть'!GC72)</f>
        <v>0</v>
      </c>
      <c r="GC304" s="244">
        <f>('Как есть'!GD16+'Как есть'!GD44+'Как есть'!GD72)</f>
        <v>0</v>
      </c>
      <c r="GD304" s="244">
        <f>('Как есть'!GE16+'Как есть'!GE44+'Как есть'!GE72)</f>
        <v>0</v>
      </c>
      <c r="GE304" s="244">
        <f>('Как есть'!GF16+'Как есть'!GF44+'Как есть'!GF72)</f>
        <v>0</v>
      </c>
      <c r="GF304" s="244">
        <f>('Как есть'!GG16+'Как есть'!GG44+'Как есть'!GG72)</f>
        <v>0</v>
      </c>
      <c r="GG304" s="244">
        <f>('Как есть'!GH16+'Как есть'!GH44+'Как есть'!GH72)</f>
        <v>0</v>
      </c>
      <c r="GH304" s="244">
        <f>('Как есть'!GI16+'Как есть'!GI44+'Как есть'!GI72)</f>
        <v>0</v>
      </c>
      <c r="GI304" s="244">
        <f>('Как есть'!GJ16+'Как есть'!GJ44+'Как есть'!GJ72)</f>
        <v>0</v>
      </c>
      <c r="GJ304" s="244">
        <f>('Как есть'!GK16+'Как есть'!GK44+'Как есть'!GK72)</f>
        <v>0</v>
      </c>
      <c r="GK304" s="244">
        <f>('Как есть'!GL16+'Как есть'!GL44+'Как есть'!GL72)</f>
        <v>0</v>
      </c>
      <c r="GL304" s="244">
        <f>('Как есть'!GM16+'Как есть'!GM44+'Как есть'!GM72)</f>
        <v>0</v>
      </c>
      <c r="GM304" s="244">
        <f>('Как есть'!GN16+'Как есть'!GN44+'Как есть'!GN72)</f>
        <v>0</v>
      </c>
      <c r="GN304" s="244">
        <f>('Как есть'!GO16+'Как есть'!GO44+'Как есть'!GO72)</f>
        <v>0</v>
      </c>
      <c r="GO304" s="244">
        <f>('Как есть'!GP16+'Как есть'!GP44+'Как есть'!GP72)</f>
        <v>0</v>
      </c>
      <c r="GP304" s="244">
        <f>('Как есть'!GQ16+'Как есть'!GQ44+'Как есть'!GQ72)</f>
        <v>0</v>
      </c>
      <c r="GQ304" s="244">
        <f>('Как есть'!GR16+'Как есть'!GR44+'Как есть'!GR72)</f>
        <v>0</v>
      </c>
      <c r="GR304" s="244">
        <f>('Как есть'!GS16+'Как есть'!GS44+'Как есть'!GS72)</f>
        <v>0</v>
      </c>
      <c r="GS304" s="244">
        <f>('Как есть'!GT16+'Как есть'!GT44+'Как есть'!GT72)</f>
        <v>0</v>
      </c>
      <c r="GT304" s="244">
        <f>('Как есть'!GU16+'Как есть'!GU44+'Как есть'!GU72)</f>
        <v>0</v>
      </c>
    </row>
    <row r="305" spans="1:202">
      <c r="A305" s="243" t="s">
        <v>251</v>
      </c>
      <c r="B305" s="244">
        <f>('Как есть'!C81)</f>
        <v>0</v>
      </c>
      <c r="C305" s="244">
        <f>('Как есть'!D81)</f>
        <v>0</v>
      </c>
      <c r="D305" s="244">
        <f>('Как есть'!E81)</f>
        <v>0</v>
      </c>
      <c r="E305" s="244">
        <f>('Как есть'!F81)</f>
        <v>0</v>
      </c>
      <c r="F305" s="244">
        <f>('Как есть'!G81)</f>
        <v>0</v>
      </c>
      <c r="G305" s="244">
        <f>('Как есть'!H81)</f>
        <v>0</v>
      </c>
      <c r="H305" s="244">
        <f>('Как есть'!I81)</f>
        <v>0</v>
      </c>
      <c r="I305" s="244">
        <f>('Как есть'!J81)</f>
        <v>0</v>
      </c>
      <c r="J305" s="244">
        <f>('Как есть'!K81)</f>
        <v>0</v>
      </c>
      <c r="K305" s="244">
        <f>('Как есть'!L81)</f>
        <v>0</v>
      </c>
      <c r="L305" s="244">
        <f>('Как есть'!M81)</f>
        <v>0</v>
      </c>
      <c r="M305" s="244">
        <f>('Как есть'!N81)</f>
        <v>0</v>
      </c>
      <c r="N305" s="244">
        <f>('Как есть'!O81)</f>
        <v>0</v>
      </c>
      <c r="O305" s="244">
        <f>('Как есть'!P81)</f>
        <v>0</v>
      </c>
      <c r="P305" s="244">
        <f>('Как есть'!Q81)</f>
        <v>0</v>
      </c>
      <c r="Q305" s="244">
        <f>('Как есть'!R81)</f>
        <v>0</v>
      </c>
      <c r="R305" s="244">
        <f>('Как есть'!S81)</f>
        <v>0</v>
      </c>
      <c r="S305" s="244">
        <f>('Как есть'!T81)</f>
        <v>0</v>
      </c>
      <c r="T305" s="244">
        <f>('Как есть'!U81)</f>
        <v>0</v>
      </c>
      <c r="U305" s="244">
        <f>('Как есть'!V81)</f>
        <v>0</v>
      </c>
      <c r="V305" s="244">
        <f>('Как есть'!W81)</f>
        <v>0</v>
      </c>
      <c r="W305" s="244">
        <f>('Как есть'!X81)</f>
        <v>0</v>
      </c>
      <c r="X305" s="244">
        <f>('Как есть'!Y81)</f>
        <v>0</v>
      </c>
      <c r="Y305" s="244">
        <f>('Как есть'!Z81)</f>
        <v>0</v>
      </c>
      <c r="Z305" s="244">
        <f>('Как есть'!AA81)</f>
        <v>0</v>
      </c>
      <c r="AA305" s="244">
        <f>('Как есть'!AB81)</f>
        <v>0</v>
      </c>
      <c r="AB305" s="244">
        <f>('Как есть'!AC81)</f>
        <v>0</v>
      </c>
      <c r="AC305" s="244">
        <f>('Как есть'!AD81)</f>
        <v>0</v>
      </c>
      <c r="AD305" s="244">
        <f>('Как есть'!AE81)</f>
        <v>0</v>
      </c>
      <c r="AE305" s="244">
        <f>('Как есть'!AF81)</f>
        <v>0</v>
      </c>
      <c r="AF305" s="244">
        <f>('Как есть'!AG81)</f>
        <v>0</v>
      </c>
      <c r="AG305" s="244">
        <f>('Как есть'!AH81)</f>
        <v>0</v>
      </c>
      <c r="AH305" s="244">
        <f>('Как есть'!AI81)</f>
        <v>0</v>
      </c>
      <c r="AI305" s="244">
        <f>('Как есть'!AJ81)</f>
        <v>0</v>
      </c>
      <c r="AJ305" s="244">
        <f>('Как есть'!AK81)</f>
        <v>0</v>
      </c>
      <c r="AK305" s="244">
        <f>('Как есть'!AL81)</f>
        <v>0</v>
      </c>
      <c r="AL305" s="244">
        <f>('Как есть'!AM81)</f>
        <v>0</v>
      </c>
      <c r="AM305" s="244">
        <f>('Как есть'!AN81)</f>
        <v>0</v>
      </c>
      <c r="AN305" s="244">
        <f>('Как есть'!AO81)</f>
        <v>0</v>
      </c>
      <c r="AO305" s="244">
        <f>('Как есть'!AP81)</f>
        <v>0</v>
      </c>
      <c r="AP305" s="244">
        <f>('Как есть'!AQ81)</f>
        <v>0</v>
      </c>
      <c r="AQ305" s="244">
        <f>('Как есть'!AR81)</f>
        <v>0</v>
      </c>
      <c r="AR305" s="244">
        <f>('Как есть'!AS81)</f>
        <v>0</v>
      </c>
      <c r="AS305" s="244">
        <f>('Как есть'!AT81)</f>
        <v>0</v>
      </c>
      <c r="AT305" s="244">
        <f>('Как есть'!AU81)</f>
        <v>0</v>
      </c>
      <c r="AU305" s="244">
        <f>('Как есть'!AV81)</f>
        <v>0</v>
      </c>
      <c r="AV305" s="244">
        <f>('Как есть'!AW81)</f>
        <v>0</v>
      </c>
      <c r="AW305" s="244">
        <f>('Как есть'!AX81)</f>
        <v>0</v>
      </c>
      <c r="AX305" s="244">
        <f>('Как есть'!AY81)</f>
        <v>0</v>
      </c>
      <c r="AY305" s="244">
        <f>('Как есть'!AZ81)</f>
        <v>0</v>
      </c>
      <c r="AZ305" s="244">
        <f>('Как есть'!BA81)</f>
        <v>0</v>
      </c>
      <c r="BA305" s="244">
        <f>('Как есть'!BB81)</f>
        <v>0</v>
      </c>
      <c r="BB305" s="244">
        <f>('Как есть'!BC81)</f>
        <v>0</v>
      </c>
      <c r="BC305" s="244">
        <f>('Как есть'!BD81)</f>
        <v>0</v>
      </c>
      <c r="BD305" s="244">
        <f>('Как есть'!BE81)</f>
        <v>0</v>
      </c>
      <c r="BE305" s="244">
        <f>('Как есть'!BF81)</f>
        <v>0</v>
      </c>
      <c r="BF305" s="244">
        <f>('Как есть'!BG81)</f>
        <v>0</v>
      </c>
      <c r="BG305" s="244">
        <f>('Как есть'!BH81)</f>
        <v>0</v>
      </c>
      <c r="BH305" s="244">
        <f>('Как есть'!BI81)</f>
        <v>0</v>
      </c>
      <c r="BI305" s="244">
        <f>('Как есть'!BJ81)</f>
        <v>0</v>
      </c>
      <c r="BJ305" s="244">
        <f>('Как есть'!BK81)</f>
        <v>0</v>
      </c>
      <c r="BK305" s="244">
        <f>('Как есть'!BL81)</f>
        <v>0</v>
      </c>
      <c r="BL305" s="244">
        <f>('Как есть'!BM81)</f>
        <v>0</v>
      </c>
      <c r="BM305" s="244">
        <f>('Как есть'!BN81)</f>
        <v>0</v>
      </c>
      <c r="BN305" s="244">
        <f>('Как есть'!BO81)</f>
        <v>0</v>
      </c>
      <c r="BO305" s="244">
        <f>('Как есть'!BP81)</f>
        <v>0</v>
      </c>
      <c r="BP305" s="244">
        <f>('Как есть'!BQ81)</f>
        <v>0</v>
      </c>
      <c r="BQ305" s="244">
        <f>('Как есть'!BR81)</f>
        <v>0</v>
      </c>
      <c r="BR305" s="244">
        <f>('Как есть'!BS81)</f>
        <v>0</v>
      </c>
      <c r="BS305" s="244">
        <f>('Как есть'!BT81)</f>
        <v>0</v>
      </c>
      <c r="BT305" s="244">
        <f>('Как есть'!BU81)</f>
        <v>0</v>
      </c>
      <c r="BU305" s="244">
        <f>('Как есть'!BV81)</f>
        <v>0</v>
      </c>
      <c r="BV305" s="244">
        <f>('Как есть'!BW81)</f>
        <v>0</v>
      </c>
      <c r="BW305" s="244">
        <f>('Как есть'!BX81)</f>
        <v>0</v>
      </c>
      <c r="BX305" s="244">
        <f>('Как есть'!BY81)</f>
        <v>0</v>
      </c>
      <c r="BY305" s="244">
        <f>('Как есть'!BZ81)</f>
        <v>0</v>
      </c>
      <c r="BZ305" s="244">
        <f>('Как есть'!CA81)</f>
        <v>0</v>
      </c>
      <c r="CA305" s="244">
        <f>('Как есть'!CB81)</f>
        <v>0</v>
      </c>
      <c r="CB305" s="244">
        <f>('Как есть'!CC81)</f>
        <v>0</v>
      </c>
      <c r="CC305" s="244">
        <f>('Как есть'!CD81)</f>
        <v>0</v>
      </c>
      <c r="CD305" s="244">
        <f>('Как есть'!CE81)</f>
        <v>0</v>
      </c>
      <c r="CE305" s="244">
        <f>('Как есть'!CF81)</f>
        <v>0</v>
      </c>
      <c r="CF305" s="244">
        <f>('Как есть'!CG81)</f>
        <v>0</v>
      </c>
      <c r="CG305" s="244">
        <f>('Как есть'!CH81)</f>
        <v>0</v>
      </c>
      <c r="CH305" s="244">
        <f>('Как есть'!CI81)</f>
        <v>0</v>
      </c>
      <c r="CI305" s="244">
        <f>('Как есть'!CJ81)</f>
        <v>0</v>
      </c>
      <c r="CJ305" s="244">
        <f>('Как есть'!CK81)</f>
        <v>0</v>
      </c>
      <c r="CK305" s="244">
        <f>('Как есть'!CL81)</f>
        <v>0</v>
      </c>
      <c r="CL305" s="244">
        <f>('Как есть'!CM81)</f>
        <v>0</v>
      </c>
      <c r="CM305" s="244">
        <f>('Как есть'!CN81)</f>
        <v>0</v>
      </c>
      <c r="CN305" s="244">
        <f>('Как есть'!CO81)</f>
        <v>0</v>
      </c>
      <c r="CO305" s="244">
        <f>('Как есть'!CP81)</f>
        <v>0</v>
      </c>
      <c r="CP305" s="244">
        <f>('Как есть'!CQ81)</f>
        <v>0</v>
      </c>
      <c r="CQ305" s="244">
        <f>('Как есть'!CR81)</f>
        <v>0</v>
      </c>
      <c r="CR305" s="244">
        <f>('Как есть'!CS81)</f>
        <v>0</v>
      </c>
      <c r="CS305" s="244">
        <f>('Как есть'!CT81)</f>
        <v>0</v>
      </c>
      <c r="CT305" s="244">
        <f>('Как есть'!CU81)</f>
        <v>0</v>
      </c>
      <c r="CU305" s="244">
        <f>('Как есть'!CV81)</f>
        <v>0</v>
      </c>
      <c r="CV305" s="244">
        <f>('Как есть'!CW81)</f>
        <v>0</v>
      </c>
      <c r="CW305" s="244">
        <f>('Как есть'!CX81)</f>
        <v>0</v>
      </c>
      <c r="CX305" s="244">
        <f>('Как есть'!CY81)</f>
        <v>0</v>
      </c>
      <c r="CY305" s="244">
        <f>('Как есть'!CZ81)</f>
        <v>0</v>
      </c>
      <c r="CZ305" s="244">
        <f>('Как есть'!DA81)</f>
        <v>0</v>
      </c>
      <c r="DA305" s="244">
        <f>('Как есть'!DB81)</f>
        <v>0</v>
      </c>
      <c r="DB305" s="244">
        <f>('Как есть'!DC81)</f>
        <v>0</v>
      </c>
      <c r="DC305" s="244">
        <f>('Как есть'!DD81)</f>
        <v>0</v>
      </c>
      <c r="DD305" s="244">
        <f>('Как есть'!DE81)</f>
        <v>0</v>
      </c>
      <c r="DE305" s="244">
        <f>('Как есть'!DF81)</f>
        <v>0</v>
      </c>
      <c r="DF305" s="244">
        <f>('Как есть'!DG81)</f>
        <v>0</v>
      </c>
      <c r="DG305" s="244">
        <f>('Как есть'!DH81)</f>
        <v>0</v>
      </c>
      <c r="DH305" s="244">
        <f>('Как есть'!DI81)</f>
        <v>0</v>
      </c>
      <c r="DI305" s="244">
        <f>('Как есть'!DJ81)</f>
        <v>0</v>
      </c>
      <c r="DJ305" s="244">
        <f>('Как есть'!DK81)</f>
        <v>0</v>
      </c>
      <c r="DK305" s="244">
        <f>('Как есть'!DL81)</f>
        <v>0</v>
      </c>
      <c r="DL305" s="244">
        <f>('Как есть'!DM81)</f>
        <v>0</v>
      </c>
      <c r="DM305" s="244">
        <f>('Как есть'!DN81)</f>
        <v>0</v>
      </c>
      <c r="DN305" s="244">
        <f>('Как есть'!DO81)</f>
        <v>0</v>
      </c>
      <c r="DO305" s="244">
        <f>('Как есть'!DP81)</f>
        <v>0</v>
      </c>
      <c r="DP305" s="244">
        <f>('Как есть'!DQ81)</f>
        <v>0</v>
      </c>
      <c r="DQ305" s="244">
        <f>('Как есть'!DR81)</f>
        <v>0</v>
      </c>
      <c r="DR305" s="244">
        <f>('Как есть'!DS81)</f>
        <v>0</v>
      </c>
      <c r="DS305" s="244">
        <f>('Как есть'!DT81)</f>
        <v>0</v>
      </c>
      <c r="DT305" s="244">
        <f>('Как есть'!DU81)</f>
        <v>0</v>
      </c>
      <c r="DU305" s="244">
        <f>('Как есть'!DV81)</f>
        <v>0</v>
      </c>
      <c r="DV305" s="244">
        <f>('Как есть'!DW81)</f>
        <v>0</v>
      </c>
      <c r="DW305" s="244">
        <f>('Как есть'!DX81)</f>
        <v>0</v>
      </c>
      <c r="DX305" s="244">
        <f>('Как есть'!DY81)</f>
        <v>0</v>
      </c>
      <c r="DY305" s="244">
        <f>('Как есть'!DZ81)</f>
        <v>0</v>
      </c>
      <c r="DZ305" s="244">
        <f>('Как есть'!EA81)</f>
        <v>0</v>
      </c>
      <c r="EA305" s="244">
        <f>('Как есть'!EB81)</f>
        <v>0</v>
      </c>
      <c r="EB305" s="244">
        <f>('Как есть'!EC81)</f>
        <v>0</v>
      </c>
      <c r="EC305" s="244">
        <f>('Как есть'!ED81)</f>
        <v>0</v>
      </c>
      <c r="ED305" s="244">
        <f>('Как есть'!EE81)</f>
        <v>0</v>
      </c>
      <c r="EE305" s="244">
        <f>('Как есть'!EF81)</f>
        <v>0</v>
      </c>
      <c r="EF305" s="244">
        <f>('Как есть'!EG81)</f>
        <v>0</v>
      </c>
      <c r="EG305" s="244">
        <f>('Как есть'!EH81)</f>
        <v>0</v>
      </c>
      <c r="EH305" s="244">
        <f>('Как есть'!EI81)</f>
        <v>0</v>
      </c>
      <c r="EI305" s="244">
        <f>('Как есть'!EJ81)</f>
        <v>0</v>
      </c>
      <c r="EJ305" s="244">
        <f>('Как есть'!EK81)</f>
        <v>0</v>
      </c>
      <c r="EK305" s="244">
        <f>('Как есть'!EL81)</f>
        <v>0</v>
      </c>
      <c r="EL305" s="244">
        <f>('Как есть'!EM81)</f>
        <v>0</v>
      </c>
      <c r="EM305" s="244">
        <f>('Как есть'!EN81)</f>
        <v>0</v>
      </c>
      <c r="EN305" s="244">
        <f>('Как есть'!EO81)</f>
        <v>0</v>
      </c>
      <c r="EO305" s="244">
        <f>('Как есть'!EP81)</f>
        <v>0</v>
      </c>
      <c r="EP305" s="244">
        <f>('Как есть'!EQ81)</f>
        <v>0</v>
      </c>
      <c r="EQ305" s="244">
        <f>('Как есть'!ER81)</f>
        <v>0</v>
      </c>
      <c r="ER305" s="244">
        <f>('Как есть'!ES81)</f>
        <v>0</v>
      </c>
      <c r="ES305" s="244">
        <f>('Как есть'!ET81)</f>
        <v>0</v>
      </c>
      <c r="ET305" s="244">
        <f>('Как есть'!EU81)</f>
        <v>0</v>
      </c>
      <c r="EU305" s="244">
        <f>('Как есть'!EV81)</f>
        <v>0</v>
      </c>
      <c r="EV305" s="244">
        <f>('Как есть'!EW81)</f>
        <v>0</v>
      </c>
      <c r="EW305" s="244">
        <f>('Как есть'!EX81)</f>
        <v>0</v>
      </c>
      <c r="EX305" s="244">
        <f>('Как есть'!EY81)</f>
        <v>0</v>
      </c>
      <c r="EY305" s="244">
        <f>('Как есть'!EZ81)</f>
        <v>0</v>
      </c>
      <c r="EZ305" s="244">
        <f>('Как есть'!FA81)</f>
        <v>0</v>
      </c>
      <c r="FA305" s="244">
        <f>('Как есть'!FB81)</f>
        <v>0</v>
      </c>
      <c r="FB305" s="244">
        <f>('Как есть'!FC81)</f>
        <v>0</v>
      </c>
      <c r="FC305" s="244">
        <f>('Как есть'!FD81)</f>
        <v>0</v>
      </c>
      <c r="FD305" s="244">
        <f>('Как есть'!FE81)</f>
        <v>0</v>
      </c>
      <c r="FE305" s="244">
        <f>('Как есть'!FF81)</f>
        <v>0</v>
      </c>
      <c r="FF305" s="244">
        <f>('Как есть'!FG81)</f>
        <v>0</v>
      </c>
      <c r="FG305" s="244">
        <f>('Как есть'!FH81)</f>
        <v>0</v>
      </c>
      <c r="FH305" s="244">
        <f>('Как есть'!FI81)</f>
        <v>0</v>
      </c>
      <c r="FI305" s="244">
        <f>('Как есть'!FJ81)</f>
        <v>0</v>
      </c>
      <c r="FJ305" s="244">
        <f>('Как есть'!FK81)</f>
        <v>0</v>
      </c>
      <c r="FK305" s="244">
        <f>('Как есть'!FL81)</f>
        <v>0</v>
      </c>
      <c r="FL305" s="244">
        <f>('Как есть'!FM81)</f>
        <v>0</v>
      </c>
      <c r="FM305" s="244">
        <f>('Как есть'!FN81)</f>
        <v>0</v>
      </c>
      <c r="FN305" s="244">
        <f>('Как есть'!FO81)</f>
        <v>0</v>
      </c>
      <c r="FO305" s="244">
        <f>('Как есть'!FP81)</f>
        <v>0</v>
      </c>
      <c r="FP305" s="244">
        <f>('Как есть'!FQ81)</f>
        <v>0</v>
      </c>
      <c r="FQ305" s="244">
        <f>('Как есть'!FR81)</f>
        <v>0</v>
      </c>
      <c r="FR305" s="244">
        <f>('Как есть'!FS81)</f>
        <v>0</v>
      </c>
      <c r="FS305" s="244">
        <f>('Как есть'!FT81)</f>
        <v>0</v>
      </c>
      <c r="FT305" s="244">
        <f>('Как есть'!FU81)</f>
        <v>0</v>
      </c>
      <c r="FU305" s="244">
        <f>('Как есть'!FV81)</f>
        <v>0</v>
      </c>
      <c r="FV305" s="244">
        <f>('Как есть'!FW81)</f>
        <v>0</v>
      </c>
      <c r="FW305" s="244">
        <f>('Как есть'!FX81)</f>
        <v>0</v>
      </c>
      <c r="FX305" s="244">
        <f>('Как есть'!FY81)</f>
        <v>0</v>
      </c>
      <c r="FY305" s="244">
        <f>('Как есть'!FZ81)</f>
        <v>0</v>
      </c>
      <c r="FZ305" s="244">
        <f>('Как есть'!GA81)</f>
        <v>0</v>
      </c>
      <c r="GA305" s="244">
        <f>('Как есть'!GB81)</f>
        <v>0</v>
      </c>
      <c r="GB305" s="244">
        <f>('Как есть'!GC81)</f>
        <v>0</v>
      </c>
      <c r="GC305" s="244">
        <f>('Как есть'!GD81)</f>
        <v>0</v>
      </c>
      <c r="GD305" s="244">
        <f>('Как есть'!GE81)</f>
        <v>0</v>
      </c>
      <c r="GE305" s="244">
        <f>('Как есть'!GF81)</f>
        <v>0</v>
      </c>
      <c r="GF305" s="244">
        <f>('Как есть'!GG81)</f>
        <v>0</v>
      </c>
      <c r="GG305" s="244">
        <f>('Как есть'!GH81)</f>
        <v>0</v>
      </c>
      <c r="GH305" s="244">
        <f>('Как есть'!GI81)</f>
        <v>0</v>
      </c>
      <c r="GI305" s="244">
        <f>('Как есть'!GJ81)</f>
        <v>0</v>
      </c>
      <c r="GJ305" s="244">
        <f>('Как есть'!GK81)</f>
        <v>0</v>
      </c>
      <c r="GK305" s="244">
        <f>('Как есть'!GL81)</f>
        <v>0</v>
      </c>
      <c r="GL305" s="244">
        <f>('Как есть'!GM81)</f>
        <v>0</v>
      </c>
      <c r="GM305" s="244">
        <f>('Как есть'!GN81)</f>
        <v>0</v>
      </c>
      <c r="GN305" s="244">
        <f>('Как есть'!GO81)</f>
        <v>0</v>
      </c>
      <c r="GO305" s="244">
        <f>('Как есть'!GP81)</f>
        <v>0</v>
      </c>
      <c r="GP305" s="244">
        <f>('Как есть'!GQ81)</f>
        <v>0</v>
      </c>
      <c r="GQ305" s="244">
        <f>('Как есть'!GR81)</f>
        <v>0</v>
      </c>
      <c r="GR305" s="244">
        <f>('Как есть'!GS81)</f>
        <v>0</v>
      </c>
      <c r="GS305" s="244">
        <f>('Как есть'!GT81)</f>
        <v>0</v>
      </c>
      <c r="GT305" s="244">
        <f>('Как есть'!GU81)</f>
        <v>0</v>
      </c>
    </row>
    <row r="306" spans="1:202">
      <c r="A306" s="236" t="s">
        <v>235</v>
      </c>
      <c r="B306">
        <f>'Как будет'!C16+'Как будет'!C44+'Как будет'!C72+'Как будет'!C25+'Как будет'!C53+'Как будет'!C81</f>
        <v>-2011.3600000000001</v>
      </c>
      <c r="C306">
        <f>'Как будет'!D16+'Как будет'!D44+'Как будет'!D72+'Как будет'!D25+'Как будет'!D53+'Как будет'!D81</f>
        <v>-1048.44</v>
      </c>
      <c r="D306">
        <f>'Как будет'!E16+'Как будет'!E44+'Как будет'!E72+'Как будет'!E25+'Как будет'!E53+'Как будет'!E81</f>
        <v>-1520.3000000000002</v>
      </c>
      <c r="E306">
        <f>'Как будет'!F16+'Как будет'!F44+'Как будет'!F72+'Как будет'!F25+'Как будет'!F53+'Как будет'!F81</f>
        <v>-1283.74</v>
      </c>
      <c r="F306">
        <f>'Как будет'!G16+'Как будет'!G44+'Как будет'!G72+'Как будет'!G25+'Как будет'!G53+'Как будет'!G81</f>
        <v>-1014.9200000000001</v>
      </c>
      <c r="G306">
        <f>'Как будет'!H16+'Как будет'!H44+'Как будет'!H72+'Как будет'!H25+'Как будет'!H53+'Как будет'!H81</f>
        <v>-817.48</v>
      </c>
      <c r="H306">
        <f>'Как будет'!I16+'Как будет'!I44+'Как будет'!I72+'Как будет'!I25+'Как будет'!I53+'Как будет'!I81</f>
        <v>-817.48</v>
      </c>
      <c r="I306">
        <f>'Как будет'!J16+'Как будет'!J44+'Как будет'!J72+'Как будет'!J25+'Как будет'!J53+'Как будет'!J81</f>
        <v>-817.48</v>
      </c>
      <c r="J306">
        <f>'Как будет'!K16+'Как будет'!K44+'Как будет'!K72+'Как будет'!K25+'Как будет'!K53+'Как будет'!K81</f>
        <v>-817.48</v>
      </c>
      <c r="K306">
        <f>'Как будет'!L16+'Как будет'!L44+'Как будет'!L72+'Как будет'!L25+'Как будет'!L53+'Как будет'!L81</f>
        <v>-817.48</v>
      </c>
      <c r="L306">
        <f>'Как будет'!M16+'Как будет'!M44+'Как будет'!M72+'Как будет'!M25+'Как будет'!M53+'Как будет'!M81</f>
        <v>-817.48</v>
      </c>
      <c r="M306">
        <f>'Как будет'!N16+'Как будет'!N44+'Как будет'!N72+'Как будет'!N25+'Как будет'!N53+'Как будет'!N81</f>
        <v>-164.1</v>
      </c>
      <c r="N306">
        <f>'Как будет'!O16+'Как будет'!O44+'Как будет'!O72+'Как будет'!O25+'Как будет'!O53+'Как будет'!O81</f>
        <v>0</v>
      </c>
      <c r="O306">
        <f>'Как будет'!P16+'Как будет'!P44+'Как будет'!P72+'Как будет'!P25+'Как будет'!P53+'Как будет'!P81</f>
        <v>0</v>
      </c>
      <c r="P306">
        <f>'Как будет'!Q16+'Как будет'!Q44+'Как будет'!Q72+'Как будет'!Q25+'Как будет'!Q53+'Как будет'!Q81</f>
        <v>0</v>
      </c>
      <c r="Q306">
        <f>'Как будет'!R16+'Как будет'!R44+'Как будет'!R72+'Как будет'!R25+'Как будет'!R53+'Как будет'!R81</f>
        <v>0</v>
      </c>
      <c r="R306">
        <f>'Как будет'!S16+'Как будет'!S44+'Как будет'!S72+'Как будет'!S25+'Как будет'!S53+'Как будет'!S81</f>
        <v>0</v>
      </c>
      <c r="S306">
        <f>'Как будет'!T16+'Как будет'!T44+'Как будет'!T72+'Как будет'!T25+'Как будет'!T53+'Как будет'!T81</f>
        <v>0</v>
      </c>
      <c r="T306">
        <f>'Как будет'!U16+'Как будет'!U44+'Как будет'!U72+'Как будет'!U25+'Как будет'!U53+'Как будет'!U81</f>
        <v>0</v>
      </c>
      <c r="U306">
        <f>'Как будет'!V16+'Как будет'!V44+'Как будет'!V72+'Как будет'!V25+'Как будет'!V53+'Как будет'!V81</f>
        <v>0</v>
      </c>
      <c r="V306">
        <f>'Как будет'!W16+'Как будет'!W44+'Как будет'!W72+'Как будет'!W25+'Как будет'!W53+'Как будет'!W81</f>
        <v>0</v>
      </c>
      <c r="W306">
        <f>'Как будет'!X16+'Как будет'!X44+'Как будет'!X72+'Как будет'!X25+'Как будет'!X53+'Как будет'!X81</f>
        <v>0</v>
      </c>
      <c r="X306">
        <f>'Как будет'!Y16+'Как будет'!Y44+'Как будет'!Y72+'Как будет'!Y25+'Как будет'!Y53+'Как будет'!Y81</f>
        <v>0</v>
      </c>
      <c r="Y306">
        <f>'Как будет'!Z16+'Как будет'!Z44+'Как будет'!Z72+'Как будет'!Z25+'Как будет'!Z53+'Как будет'!Z81</f>
        <v>0</v>
      </c>
      <c r="Z306">
        <f>'Как будет'!AA16+'Как будет'!AA44+'Как будет'!AA72+'Как будет'!AA25+'Как будет'!AA53+'Как будет'!AA81</f>
        <v>0</v>
      </c>
      <c r="AA306">
        <f>'Как будет'!AB16+'Как будет'!AB44+'Как будет'!AB72+'Как будет'!AB25+'Как будет'!AB53+'Как будет'!AB81</f>
        <v>0</v>
      </c>
      <c r="AB306">
        <f>'Как будет'!AC16+'Как будет'!AC44+'Как будет'!AC72+'Как будет'!AC25+'Как будет'!AC53+'Как будет'!AC81</f>
        <v>0</v>
      </c>
      <c r="AC306">
        <f>'Как будет'!AD16+'Как будет'!AD44+'Как будет'!AD72+'Как будет'!AD25+'Как будет'!AD53+'Как будет'!AD81</f>
        <v>0</v>
      </c>
      <c r="AD306">
        <f>'Как будет'!AE16+'Как будет'!AE44+'Как будет'!AE72+'Как будет'!AE25+'Как будет'!AE53+'Как будет'!AE81</f>
        <v>0</v>
      </c>
      <c r="AE306">
        <f>'Как будет'!AF16+'Как будет'!AF44+'Как будет'!AF72+'Как будет'!AF25+'Как будет'!AF53+'Как будет'!AF81</f>
        <v>0</v>
      </c>
      <c r="AF306">
        <f>'Как будет'!AG16+'Как будет'!AG44+'Как будет'!AG72+'Как будет'!AG25+'Как будет'!AG53+'Как будет'!AG81</f>
        <v>0</v>
      </c>
      <c r="AG306">
        <f>'Как будет'!AH16+'Как будет'!AH44+'Как будет'!AH72+'Как будет'!AH25+'Как будет'!AH53+'Как будет'!AH81</f>
        <v>0</v>
      </c>
      <c r="AH306">
        <f>'Как будет'!AI16+'Как будет'!AI44+'Как будет'!AI72+'Как будет'!AI25+'Как будет'!AI53+'Как будет'!AI81</f>
        <v>0</v>
      </c>
      <c r="AI306">
        <f>'Как будет'!AJ16+'Как будет'!AJ44+'Как будет'!AJ72+'Как будет'!AJ25+'Как будет'!AJ53+'Как будет'!AJ81</f>
        <v>0</v>
      </c>
      <c r="AJ306">
        <f>'Как будет'!AK16+'Как будет'!AK44+'Как будет'!AK72+'Как будет'!AK25+'Как будет'!AK53+'Как будет'!AK81</f>
        <v>0</v>
      </c>
      <c r="AK306">
        <f>'Как будет'!AL16+'Как будет'!AL44+'Как будет'!AL72+'Как будет'!AL25+'Как будет'!AL53+'Как будет'!AL81</f>
        <v>0</v>
      </c>
      <c r="AL306">
        <f>'Как будет'!AM16+'Как будет'!AM44+'Как будет'!AM72+'Как будет'!AM25+'Как будет'!AM53+'Как будет'!AM81</f>
        <v>0</v>
      </c>
      <c r="AM306">
        <f>'Как будет'!AN16+'Как будет'!AN44+'Как будет'!AN72+'Как будет'!AN25+'Как будет'!AN53+'Как будет'!AN81</f>
        <v>0</v>
      </c>
      <c r="AN306">
        <f>'Как будет'!AO16+'Как будет'!AO44+'Как будет'!AO72+'Как будет'!AO25+'Как будет'!AO53+'Как будет'!AO81</f>
        <v>0</v>
      </c>
      <c r="AO306">
        <f>'Как будет'!AP16+'Как будет'!AP44+'Как будет'!AP72+'Как будет'!AP25+'Как будет'!AP53+'Как будет'!AP81</f>
        <v>0</v>
      </c>
      <c r="AP306">
        <f>'Как будет'!AQ16+'Как будет'!AQ44+'Как будет'!AQ72+'Как будет'!AQ25+'Как будет'!AQ53+'Как будет'!AQ81</f>
        <v>0</v>
      </c>
      <c r="AQ306">
        <f>'Как будет'!AR16+'Как будет'!AR44+'Как будет'!AR72+'Как будет'!AR25+'Как будет'!AR53+'Как будет'!AR81</f>
        <v>0</v>
      </c>
      <c r="AR306">
        <f>'Как будет'!AS16+'Как будет'!AS44+'Как будет'!AS72+'Как будет'!AS25+'Как будет'!AS53+'Как будет'!AS81</f>
        <v>0</v>
      </c>
      <c r="AS306">
        <f>'Как будет'!AT16+'Как будет'!AT44+'Как будет'!AT72+'Как будет'!AT25+'Как будет'!AT53+'Как будет'!AT81</f>
        <v>0</v>
      </c>
      <c r="AT306">
        <f>'Как будет'!AU16+'Как будет'!AU44+'Как будет'!AU72+'Как будет'!AU25+'Как будет'!AU53+'Как будет'!AU81</f>
        <v>0</v>
      </c>
      <c r="AU306">
        <f>'Как будет'!AV16+'Как будет'!AV44+'Как будет'!AV72+'Как будет'!AV25+'Как будет'!AV53+'Как будет'!AV81</f>
        <v>0</v>
      </c>
      <c r="AV306">
        <f>'Как будет'!AW16+'Как будет'!AW44+'Как будет'!AW72+'Как будет'!AW25+'Как будет'!AW53+'Как будет'!AW81</f>
        <v>0</v>
      </c>
      <c r="AW306">
        <f>'Как будет'!AX16+'Как будет'!AX44+'Как будет'!AX72+'Как будет'!AX25+'Как будет'!AX53+'Как будет'!AX81</f>
        <v>0</v>
      </c>
      <c r="AX306">
        <f>'Как будет'!AY16+'Как будет'!AY44+'Как будет'!AY72+'Как будет'!AY25+'Как будет'!AY53+'Как будет'!AY81</f>
        <v>0</v>
      </c>
      <c r="AY306">
        <f>'Как будет'!AZ16+'Как будет'!AZ44+'Как будет'!AZ72+'Как будет'!AZ25+'Как будет'!AZ53+'Как будет'!AZ81</f>
        <v>0</v>
      </c>
      <c r="AZ306">
        <f>'Как будет'!BA16+'Как будет'!BA44+'Как будет'!BA72+'Как будет'!BA25+'Как будет'!BA53+'Как будет'!BA81</f>
        <v>0</v>
      </c>
      <c r="BA306">
        <f>'Как будет'!BB16+'Как будет'!BB44+'Как будет'!BB72+'Как будет'!BB25+'Как будет'!BB53+'Как будет'!BB81</f>
        <v>0</v>
      </c>
      <c r="BB306">
        <f>'Как будет'!BC16+'Как будет'!BC44+'Как будет'!BC72+'Как будет'!BC25+'Как будет'!BC53+'Как будет'!BC81</f>
        <v>0</v>
      </c>
      <c r="BC306">
        <f>'Как будет'!BD16+'Как будет'!BD44+'Как будет'!BD72+'Как будет'!BD25+'Как будет'!BD53+'Как будет'!BD81</f>
        <v>0</v>
      </c>
      <c r="BD306">
        <f>'Как будет'!BE16+'Как будет'!BE44+'Как будет'!BE72+'Как будет'!BE25+'Как будет'!BE53+'Как будет'!BE81</f>
        <v>0</v>
      </c>
      <c r="BE306">
        <f>'Как будет'!BF16+'Как будет'!BF44+'Как будет'!BF72+'Как будет'!BF25+'Как будет'!BF53+'Как будет'!BF81</f>
        <v>0</v>
      </c>
      <c r="BF306">
        <f>'Как будет'!BG16+'Как будет'!BG44+'Как будет'!BG72+'Как будет'!BG25+'Как будет'!BG53+'Как будет'!BG81</f>
        <v>0</v>
      </c>
      <c r="BG306">
        <f>'Как будет'!BH16+'Как будет'!BH44+'Как будет'!BH72+'Как будет'!BH25+'Как будет'!BH53+'Как будет'!BH81</f>
        <v>0</v>
      </c>
      <c r="BH306">
        <f>'Как будет'!BI16+'Как будет'!BI44+'Как будет'!BI72+'Как будет'!BI25+'Как будет'!BI53+'Как будет'!BI81</f>
        <v>0</v>
      </c>
      <c r="BI306">
        <f>'Как будет'!BJ16+'Как будет'!BJ44+'Как будет'!BJ72+'Как будет'!BJ25+'Как будет'!BJ53+'Как будет'!BJ81</f>
        <v>0</v>
      </c>
      <c r="BJ306">
        <f>'Как будет'!BK16+'Как будет'!BK44+'Как будет'!BK72+'Как будет'!BK25+'Как будет'!BK53+'Как будет'!BK81</f>
        <v>0</v>
      </c>
      <c r="BK306">
        <f>'Как будет'!BL16+'Как будет'!BL44+'Как будет'!BL72+'Как будет'!BL25+'Как будет'!BL53+'Как будет'!BL81</f>
        <v>0</v>
      </c>
      <c r="BL306">
        <f>'Как будет'!BM16+'Как будет'!BM44+'Как будет'!BM72+'Как будет'!BM25+'Как будет'!BM53+'Как будет'!BM81</f>
        <v>0</v>
      </c>
      <c r="BM306">
        <f>'Как будет'!BN16+'Как будет'!BN44+'Как будет'!BN72+'Как будет'!BN25+'Как будет'!BN53+'Как будет'!BN81</f>
        <v>0</v>
      </c>
      <c r="BN306">
        <f>'Как будет'!BO16+'Как будет'!BO44+'Как будет'!BO72+'Как будет'!BO25+'Как будет'!BO53+'Как будет'!BO81</f>
        <v>0</v>
      </c>
      <c r="BO306">
        <f>'Как будет'!BP16+'Как будет'!BP44+'Как будет'!BP72+'Как будет'!BP25+'Как будет'!BP53+'Как будет'!BP81</f>
        <v>0</v>
      </c>
      <c r="BP306">
        <f>'Как будет'!BQ16+'Как будет'!BQ44+'Как будет'!BQ72+'Как будет'!BQ25+'Как будет'!BQ53+'Как будет'!BQ81</f>
        <v>0</v>
      </c>
      <c r="BQ306">
        <f>'Как будет'!BR16+'Как будет'!BR44+'Как будет'!BR72+'Как будет'!BR25+'Как будет'!BR53+'Как будет'!BR81</f>
        <v>0</v>
      </c>
      <c r="BR306">
        <f>'Как будет'!BS16+'Как будет'!BS44+'Как будет'!BS72+'Как будет'!BS25+'Как будет'!BS53+'Как будет'!BS81</f>
        <v>0</v>
      </c>
      <c r="BS306">
        <f>'Как будет'!BT16+'Как будет'!BT44+'Как будет'!BT72+'Как будет'!BT25+'Как будет'!BT53+'Как будет'!BT81</f>
        <v>0</v>
      </c>
      <c r="BT306">
        <f>'Как будет'!BU16+'Как будет'!BU44+'Как будет'!BU72+'Как будет'!BU25+'Как будет'!BU53+'Как будет'!BU81</f>
        <v>0</v>
      </c>
      <c r="BU306">
        <f>'Как будет'!BV16+'Как будет'!BV44+'Как будет'!BV72+'Как будет'!BV25+'Как будет'!BV53+'Как будет'!BV81</f>
        <v>0</v>
      </c>
      <c r="BV306">
        <f>'Как будет'!BW16+'Как будет'!BW44+'Как будет'!BW72+'Как будет'!BW25+'Как будет'!BW53+'Как будет'!BW81</f>
        <v>0</v>
      </c>
      <c r="BW306">
        <f>'Как будет'!BX16+'Как будет'!BX44+'Как будет'!BX72+'Как будет'!BX25+'Как будет'!BX53+'Как будет'!BX81</f>
        <v>0</v>
      </c>
      <c r="BX306">
        <f>'Как будет'!BY16+'Как будет'!BY44+'Как будет'!BY72+'Как будет'!BY25+'Как будет'!BY53+'Как будет'!BY81</f>
        <v>0</v>
      </c>
      <c r="BY306">
        <f>'Как будет'!BZ16+'Как будет'!BZ44+'Как будет'!BZ72+'Как будет'!BZ25+'Как будет'!BZ53+'Как будет'!BZ81</f>
        <v>0</v>
      </c>
      <c r="BZ306">
        <f>'Как будет'!CA16+'Как будет'!CA44+'Как будет'!CA72+'Как будет'!CA25+'Как будет'!CA53+'Как будет'!CA81</f>
        <v>0</v>
      </c>
      <c r="CA306">
        <f>'Как будет'!CB16+'Как будет'!CB44+'Как будет'!CB72+'Как будет'!CB25+'Как будет'!CB53+'Как будет'!CB81</f>
        <v>0</v>
      </c>
      <c r="CB306">
        <f>'Как будет'!CC16+'Как будет'!CC44+'Как будет'!CC72+'Как будет'!CC25+'Как будет'!CC53+'Как будет'!CC81</f>
        <v>0</v>
      </c>
      <c r="CC306">
        <f>'Как будет'!CD16+'Как будет'!CD44+'Как будет'!CD72+'Как будет'!CD25+'Как будет'!CD53+'Как будет'!CD81</f>
        <v>0</v>
      </c>
      <c r="CD306">
        <f>'Как будет'!CE16+'Как будет'!CE44+'Как будет'!CE72+'Как будет'!CE25+'Как будет'!CE53+'Как будет'!CE81</f>
        <v>0</v>
      </c>
      <c r="CE306">
        <f>'Как будет'!CF16+'Как будет'!CF44+'Как будет'!CF72+'Как будет'!CF25+'Как будет'!CF53+'Как будет'!CF81</f>
        <v>0</v>
      </c>
      <c r="CF306">
        <f>'Как будет'!CG16+'Как будет'!CG44+'Как будет'!CG72+'Как будет'!CG25+'Как будет'!CG53+'Как будет'!CG81</f>
        <v>0</v>
      </c>
      <c r="CG306">
        <f>'Как будет'!CH16+'Как будет'!CH44+'Как будет'!CH72+'Как будет'!CH25+'Как будет'!CH53+'Как будет'!CH81</f>
        <v>0</v>
      </c>
      <c r="CH306">
        <f>'Как будет'!CI16+'Как будет'!CI44+'Как будет'!CI72+'Как будет'!CI25+'Как будет'!CI53+'Как будет'!CI81</f>
        <v>0</v>
      </c>
      <c r="CI306">
        <f>'Как будет'!CJ16+'Как будет'!CJ44+'Как будет'!CJ72+'Как будет'!CJ25+'Как будет'!CJ53+'Как будет'!CJ81</f>
        <v>0</v>
      </c>
      <c r="CJ306">
        <f>'Как будет'!CK16+'Как будет'!CK44+'Как будет'!CK72+'Как будет'!CK25+'Как будет'!CK53+'Как будет'!CK81</f>
        <v>0</v>
      </c>
      <c r="CK306">
        <f>'Как будет'!CL16+'Как будет'!CL44+'Как будет'!CL72+'Как будет'!CL25+'Как будет'!CL53+'Как будет'!CL81</f>
        <v>0</v>
      </c>
      <c r="CL306">
        <f>'Как будет'!CM16+'Как будет'!CM44+'Как будет'!CM72+'Как будет'!CM25+'Как будет'!CM53+'Как будет'!CM81</f>
        <v>0</v>
      </c>
      <c r="CM306">
        <f>'Как будет'!CN16+'Как будет'!CN44+'Как будет'!CN72+'Как будет'!CN25+'Как будет'!CN53+'Как будет'!CN81</f>
        <v>0</v>
      </c>
      <c r="CN306">
        <f>'Как будет'!CO16+'Как будет'!CO44+'Как будет'!CO72+'Как будет'!CO25+'Как будет'!CO53+'Как будет'!CO81</f>
        <v>0</v>
      </c>
      <c r="CO306">
        <f>'Как будет'!CP16+'Как будет'!CP44+'Как будет'!CP72+'Как будет'!CP25+'Как будет'!CP53+'Как будет'!CP81</f>
        <v>0</v>
      </c>
      <c r="CP306">
        <f>'Как будет'!CQ16+'Как будет'!CQ44+'Как будет'!CQ72+'Как будет'!CQ25+'Как будет'!CQ53+'Как будет'!CQ81</f>
        <v>0</v>
      </c>
      <c r="CQ306">
        <f>'Как будет'!CR16+'Как будет'!CR44+'Как будет'!CR72+'Как будет'!CR25+'Как будет'!CR53+'Как будет'!CR81</f>
        <v>0</v>
      </c>
      <c r="CR306">
        <f>'Как будет'!CS16+'Как будет'!CS44+'Как будет'!CS72+'Как будет'!CS25+'Как будет'!CS53+'Как будет'!CS81</f>
        <v>0</v>
      </c>
      <c r="CS306">
        <f>'Как будет'!CT16+'Как будет'!CT44+'Как будет'!CT72+'Как будет'!CT25+'Как будет'!CT53+'Как будет'!CT81</f>
        <v>0</v>
      </c>
      <c r="CT306">
        <f>'Как будет'!CU16+'Как будет'!CU44+'Как будет'!CU72+'Как будет'!CU25+'Как будет'!CU53+'Как будет'!CU81</f>
        <v>0</v>
      </c>
      <c r="CU306">
        <f>'Как будет'!CV16+'Как будет'!CV44+'Как будет'!CV72+'Как будет'!CV25+'Как будет'!CV53+'Как будет'!CV81</f>
        <v>0</v>
      </c>
      <c r="CV306">
        <f>'Как будет'!CW16+'Как будет'!CW44+'Как будет'!CW72+'Как будет'!CW25+'Как будет'!CW53+'Как будет'!CW81</f>
        <v>0</v>
      </c>
      <c r="CW306">
        <f>'Как будет'!CX16+'Как будет'!CX44+'Как будет'!CX72+'Как будет'!CX25+'Как будет'!CX53+'Как будет'!CX81</f>
        <v>0</v>
      </c>
      <c r="CX306">
        <f>'Как будет'!CY16+'Как будет'!CY44+'Как будет'!CY72+'Как будет'!CY25+'Как будет'!CY53+'Как будет'!CY81</f>
        <v>0</v>
      </c>
      <c r="CY306">
        <f>'Как будет'!CZ16+'Как будет'!CZ44+'Как будет'!CZ72+'Как будет'!CZ25+'Как будет'!CZ53+'Как будет'!CZ81</f>
        <v>0</v>
      </c>
      <c r="CZ306">
        <f>'Как будет'!DA16+'Как будет'!DA44+'Как будет'!DA72+'Как будет'!DA25+'Как будет'!DA53+'Как будет'!DA81</f>
        <v>0</v>
      </c>
      <c r="DA306">
        <f>'Как будет'!DB16+'Как будет'!DB44+'Как будет'!DB72+'Как будет'!DB25+'Как будет'!DB53+'Как будет'!DB81</f>
        <v>0</v>
      </c>
      <c r="DB306">
        <f>'Как будет'!DC16+'Как будет'!DC44+'Как будет'!DC72+'Как будет'!DC25+'Как будет'!DC53+'Как будет'!DC81</f>
        <v>0</v>
      </c>
      <c r="DC306">
        <f>'Как будет'!DD16+'Как будет'!DD44+'Как будет'!DD72+'Как будет'!DD25+'Как будет'!DD53+'Как будет'!DD81</f>
        <v>0</v>
      </c>
      <c r="DD306">
        <f>'Как будет'!DE16+'Как будет'!DE44+'Как будет'!DE72+'Как будет'!DE25+'Как будет'!DE53+'Как будет'!DE81</f>
        <v>0</v>
      </c>
      <c r="DE306">
        <f>'Как будет'!DF16+'Как будет'!DF44+'Как будет'!DF72+'Как будет'!DF25+'Как будет'!DF53+'Как будет'!DF81</f>
        <v>0</v>
      </c>
      <c r="DF306">
        <f>'Как будет'!DG16+'Как будет'!DG44+'Как будет'!DG72+'Как будет'!DG25+'Как будет'!DG53+'Как будет'!DG81</f>
        <v>0</v>
      </c>
      <c r="DG306">
        <f>'Как будет'!DH16+'Как будет'!DH44+'Как будет'!DH72+'Как будет'!DH25+'Как будет'!DH53+'Как будет'!DH81</f>
        <v>0</v>
      </c>
      <c r="DH306">
        <f>'Как будет'!DI16+'Как будет'!DI44+'Как будет'!DI72+'Как будет'!DI25+'Как будет'!DI53+'Как будет'!DI81</f>
        <v>0</v>
      </c>
      <c r="DI306">
        <f>'Как будет'!DJ16+'Как будет'!DJ44+'Как будет'!DJ72+'Как будет'!DJ25+'Как будет'!DJ53+'Как будет'!DJ81</f>
        <v>0</v>
      </c>
      <c r="DJ306">
        <f>'Как будет'!DK16+'Как будет'!DK44+'Как будет'!DK72+'Как будет'!DK25+'Как будет'!DK53+'Как будет'!DK81</f>
        <v>0</v>
      </c>
      <c r="DK306">
        <f>'Как будет'!DL16+'Как будет'!DL44+'Как будет'!DL72+'Как будет'!DL25+'Как будет'!DL53+'Как будет'!DL81</f>
        <v>0</v>
      </c>
      <c r="DL306">
        <f>'Как будет'!DM16+'Как будет'!DM44+'Как будет'!DM72+'Как будет'!DM25+'Как будет'!DM53+'Как будет'!DM81</f>
        <v>0</v>
      </c>
      <c r="DM306">
        <f>'Как будет'!DN16+'Как будет'!DN44+'Как будет'!DN72+'Как будет'!DN25+'Как будет'!DN53+'Как будет'!DN81</f>
        <v>0</v>
      </c>
      <c r="DN306">
        <f>'Как будет'!DO16+'Как будет'!DO44+'Как будет'!DO72+'Как будет'!DO25+'Как будет'!DO53+'Как будет'!DO81</f>
        <v>0</v>
      </c>
      <c r="DO306">
        <f>'Как будет'!DP16+'Как будет'!DP44+'Как будет'!DP72+'Как будет'!DP25+'Как будет'!DP53+'Как будет'!DP81</f>
        <v>0</v>
      </c>
      <c r="DP306">
        <f>'Как будет'!DQ16+'Как будет'!DQ44+'Как будет'!DQ72+'Как будет'!DQ25+'Как будет'!DQ53+'Как будет'!DQ81</f>
        <v>0</v>
      </c>
      <c r="DQ306">
        <f>'Как будет'!DR16+'Как будет'!DR44+'Как будет'!DR72+'Как будет'!DR25+'Как будет'!DR53+'Как будет'!DR81</f>
        <v>0</v>
      </c>
      <c r="DR306">
        <f>'Как будет'!DS16+'Как будет'!DS44+'Как будет'!DS72+'Как будет'!DS25+'Как будет'!DS53+'Как будет'!DS81</f>
        <v>0</v>
      </c>
      <c r="DS306">
        <f>'Как будет'!DT16+'Как будет'!DT44+'Как будет'!DT72+'Как будет'!DT25+'Как будет'!DT53+'Как будет'!DT81</f>
        <v>0</v>
      </c>
      <c r="DT306">
        <f>'Как будет'!DU16+'Как будет'!DU44+'Как будет'!DU72+'Как будет'!DU25+'Как будет'!DU53+'Как будет'!DU81</f>
        <v>0</v>
      </c>
      <c r="DU306">
        <f>'Как будет'!DV16+'Как будет'!DV44+'Как будет'!DV72+'Как будет'!DV25+'Как будет'!DV53+'Как будет'!DV81</f>
        <v>0</v>
      </c>
      <c r="DV306">
        <f>'Как будет'!DW16+'Как будет'!DW44+'Как будет'!DW72+'Как будет'!DW25+'Как будет'!DW53+'Как будет'!DW81</f>
        <v>0</v>
      </c>
      <c r="DW306">
        <f>'Как будет'!DX16+'Как будет'!DX44+'Как будет'!DX72+'Как будет'!DX25+'Как будет'!DX53+'Как будет'!DX81</f>
        <v>0</v>
      </c>
      <c r="DX306">
        <f>'Как будет'!DY16+'Как будет'!DY44+'Как будет'!DY72+'Как будет'!DY25+'Как будет'!DY53+'Как будет'!DY81</f>
        <v>0</v>
      </c>
      <c r="DY306">
        <f>'Как будет'!DZ16+'Как будет'!DZ44+'Как будет'!DZ72+'Как будет'!DZ25+'Как будет'!DZ53+'Как будет'!DZ81</f>
        <v>0</v>
      </c>
      <c r="DZ306">
        <f>'Как будет'!EA16+'Как будет'!EA44+'Как будет'!EA72+'Как будет'!EA25+'Как будет'!EA53+'Как будет'!EA81</f>
        <v>0</v>
      </c>
      <c r="EA306">
        <f>'Как будет'!EB16+'Как будет'!EB44+'Как будет'!EB72+'Как будет'!EB25+'Как будет'!EB53+'Как будет'!EB81</f>
        <v>0</v>
      </c>
      <c r="EB306">
        <f>'Как будет'!EC16+'Как будет'!EC44+'Как будет'!EC72+'Как будет'!EC25+'Как будет'!EC53+'Как будет'!EC81</f>
        <v>0</v>
      </c>
      <c r="EC306">
        <f>'Как будет'!ED16+'Как будет'!ED44+'Как будет'!ED72+'Как будет'!ED25+'Как будет'!ED53+'Как будет'!ED81</f>
        <v>0</v>
      </c>
      <c r="ED306">
        <f>'Как будет'!EE16+'Как будет'!EE44+'Как будет'!EE72+'Как будет'!EE25+'Как будет'!EE53+'Как будет'!EE81</f>
        <v>0</v>
      </c>
      <c r="EE306">
        <f>'Как будет'!EF16+'Как будет'!EF44+'Как будет'!EF72+'Как будет'!EF25+'Как будет'!EF53+'Как будет'!EF81</f>
        <v>0</v>
      </c>
      <c r="EF306">
        <f>'Как будет'!EG16+'Как будет'!EG44+'Как будет'!EG72+'Как будет'!EG25+'Как будет'!EG53+'Как будет'!EG81</f>
        <v>0</v>
      </c>
      <c r="EG306">
        <f>'Как будет'!EH16+'Как будет'!EH44+'Как будет'!EH72+'Как будет'!EH25+'Как будет'!EH53+'Как будет'!EH81</f>
        <v>0</v>
      </c>
      <c r="EH306">
        <f>'Как будет'!EI16+'Как будет'!EI44+'Как будет'!EI72+'Как будет'!EI25+'Как будет'!EI53+'Как будет'!EI81</f>
        <v>0</v>
      </c>
      <c r="EI306">
        <f>'Как будет'!EJ16+'Как будет'!EJ44+'Как будет'!EJ72+'Как будет'!EJ25+'Как будет'!EJ53+'Как будет'!EJ81</f>
        <v>0</v>
      </c>
      <c r="EJ306">
        <f>'Как будет'!EK16+'Как будет'!EK44+'Как будет'!EK72+'Как будет'!EK25+'Как будет'!EK53+'Как будет'!EK81</f>
        <v>0</v>
      </c>
      <c r="EK306">
        <f>'Как будет'!EL16+'Как будет'!EL44+'Как будет'!EL72+'Как будет'!EL25+'Как будет'!EL53+'Как будет'!EL81</f>
        <v>0</v>
      </c>
      <c r="EL306">
        <f>'Как будет'!EM16+'Как будет'!EM44+'Как будет'!EM72+'Как будет'!EM25+'Как будет'!EM53+'Как будет'!EM81</f>
        <v>0</v>
      </c>
      <c r="EM306">
        <f>'Как будет'!EN16+'Как будет'!EN44+'Как будет'!EN72+'Как будет'!EN25+'Как будет'!EN53+'Как будет'!EN81</f>
        <v>0</v>
      </c>
      <c r="EN306">
        <f>'Как будет'!EO16+'Как будет'!EO44+'Как будет'!EO72+'Как будет'!EO25+'Как будет'!EO53+'Как будет'!EO81</f>
        <v>0</v>
      </c>
      <c r="EO306">
        <f>'Как будет'!EP16+'Как будет'!EP44+'Как будет'!EP72+'Как будет'!EP25+'Как будет'!EP53+'Как будет'!EP81</f>
        <v>0</v>
      </c>
      <c r="EP306">
        <f>'Как будет'!EQ16+'Как будет'!EQ44+'Как будет'!EQ72+'Как будет'!EQ25+'Как будет'!EQ53+'Как будет'!EQ81</f>
        <v>0</v>
      </c>
      <c r="EQ306">
        <f>'Как будет'!ER16+'Как будет'!ER44+'Как будет'!ER72+'Как будет'!ER25+'Как будет'!ER53+'Как будет'!ER81</f>
        <v>0</v>
      </c>
      <c r="ER306">
        <f>'Как будет'!ES16+'Как будет'!ES44+'Как будет'!ES72+'Как будет'!ES25+'Как будет'!ES53+'Как будет'!ES81</f>
        <v>0</v>
      </c>
      <c r="ES306">
        <f>'Как будет'!ET16+'Как будет'!ET44+'Как будет'!ET72+'Как будет'!ET25+'Как будет'!ET53+'Как будет'!ET81</f>
        <v>0</v>
      </c>
      <c r="ET306">
        <f>'Как будет'!EU16+'Как будет'!EU44+'Как будет'!EU72+'Как будет'!EU25+'Как будет'!EU53+'Как будет'!EU81</f>
        <v>0</v>
      </c>
      <c r="EU306">
        <f>'Как будет'!EV16+'Как будет'!EV44+'Как будет'!EV72+'Как будет'!EV25+'Как будет'!EV53+'Как будет'!EV81</f>
        <v>0</v>
      </c>
      <c r="EV306">
        <f>'Как будет'!EW16+'Как будет'!EW44+'Как будет'!EW72+'Как будет'!EW25+'Как будет'!EW53+'Как будет'!EW81</f>
        <v>0</v>
      </c>
      <c r="EW306">
        <f>'Как будет'!EX16+'Как будет'!EX44+'Как будет'!EX72+'Как будет'!EX25+'Как будет'!EX53+'Как будет'!EX81</f>
        <v>0</v>
      </c>
      <c r="EX306">
        <f>'Как будет'!EY16+'Как будет'!EY44+'Как будет'!EY72+'Как будет'!EY25+'Как будет'!EY53+'Как будет'!EY81</f>
        <v>0</v>
      </c>
      <c r="EY306">
        <f>'Как будет'!EZ16+'Как будет'!EZ44+'Как будет'!EZ72+'Как будет'!EZ25+'Как будет'!EZ53+'Как будет'!EZ81</f>
        <v>0</v>
      </c>
      <c r="EZ306">
        <f>'Как будет'!FA16+'Как будет'!FA44+'Как будет'!FA72+'Как будет'!FA25+'Как будет'!FA53+'Как будет'!FA81</f>
        <v>0</v>
      </c>
      <c r="FA306">
        <f>'Как будет'!FB16+'Как будет'!FB44+'Как будет'!FB72+'Как будет'!FB25+'Как будет'!FB53+'Как будет'!FB81</f>
        <v>0</v>
      </c>
      <c r="FB306">
        <f>'Как будет'!FC16+'Как будет'!FC44+'Как будет'!FC72+'Как будет'!FC25+'Как будет'!FC53+'Как будет'!FC81</f>
        <v>0</v>
      </c>
      <c r="FC306">
        <f>'Как будет'!FD16+'Как будет'!FD44+'Как будет'!FD72+'Как будет'!FD25+'Как будет'!FD53+'Как будет'!FD81</f>
        <v>0</v>
      </c>
      <c r="FD306">
        <f>'Как будет'!FE16+'Как будет'!FE44+'Как будет'!FE72+'Как будет'!FE25+'Как будет'!FE53+'Как будет'!FE81</f>
        <v>0</v>
      </c>
      <c r="FE306">
        <f>'Как будет'!FF16+'Как будет'!FF44+'Как будет'!FF72+'Как будет'!FF25+'Как будет'!FF53+'Как будет'!FF81</f>
        <v>0</v>
      </c>
      <c r="FF306">
        <f>'Как будет'!FG16+'Как будет'!FG44+'Как будет'!FG72+'Как будет'!FG25+'Как будет'!FG53+'Как будет'!FG81</f>
        <v>0</v>
      </c>
      <c r="FG306">
        <f>'Как будет'!FH16+'Как будет'!FH44+'Как будет'!FH72+'Как будет'!FH25+'Как будет'!FH53+'Как будет'!FH81</f>
        <v>0</v>
      </c>
      <c r="FH306">
        <f>'Как будет'!FI16+'Как будет'!FI44+'Как будет'!FI72+'Как будет'!FI25+'Как будет'!FI53+'Как будет'!FI81</f>
        <v>0</v>
      </c>
      <c r="FI306">
        <f>'Как будет'!FJ16+'Как будет'!FJ44+'Как будет'!FJ72+'Как будет'!FJ25+'Как будет'!FJ53+'Как будет'!FJ81</f>
        <v>0</v>
      </c>
      <c r="FJ306">
        <f>'Как будет'!FK16+'Как будет'!FK44+'Как будет'!FK72+'Как будет'!FK25+'Как будет'!FK53+'Как будет'!FK81</f>
        <v>0</v>
      </c>
      <c r="FK306">
        <f>'Как будет'!FL16+'Как будет'!FL44+'Как будет'!FL72+'Как будет'!FL25+'Как будет'!FL53+'Как будет'!FL81</f>
        <v>0</v>
      </c>
      <c r="FL306">
        <f>'Как будет'!FM16+'Как будет'!FM44+'Как будет'!FM72+'Как будет'!FM25+'Как будет'!FM53+'Как будет'!FM81</f>
        <v>0</v>
      </c>
      <c r="FM306">
        <f>'Как будет'!FN16+'Как будет'!FN44+'Как будет'!FN72+'Как будет'!FN25+'Как будет'!FN53+'Как будет'!FN81</f>
        <v>0</v>
      </c>
      <c r="FN306">
        <f>'Как будет'!FO16+'Как будет'!FO44+'Как будет'!FO72+'Как будет'!FO25+'Как будет'!FO53+'Как будет'!FO81</f>
        <v>0</v>
      </c>
      <c r="FO306">
        <f>'Как будет'!FP16+'Как будет'!FP44+'Как будет'!FP72+'Как будет'!FP25+'Как будет'!FP53+'Как будет'!FP81</f>
        <v>0</v>
      </c>
      <c r="FP306">
        <f>'Как будет'!FQ16+'Как будет'!FQ44+'Как будет'!FQ72+'Как будет'!FQ25+'Как будет'!FQ53+'Как будет'!FQ81</f>
        <v>0</v>
      </c>
      <c r="FQ306">
        <f>'Как будет'!FR16+'Как будет'!FR44+'Как будет'!FR72+'Как будет'!FR25+'Как будет'!FR53+'Как будет'!FR81</f>
        <v>0</v>
      </c>
      <c r="FR306">
        <f>'Как будет'!FS16+'Как будет'!FS44+'Как будет'!FS72+'Как будет'!FS25+'Как будет'!FS53+'Как будет'!FS81</f>
        <v>0</v>
      </c>
      <c r="FS306">
        <f>'Как будет'!FT16+'Как будет'!FT44+'Как будет'!FT72+'Как будет'!FT25+'Как будет'!FT53+'Как будет'!FT81</f>
        <v>0</v>
      </c>
      <c r="FT306">
        <f>'Как будет'!FU16+'Как будет'!FU44+'Как будет'!FU72+'Как будет'!FU25+'Как будет'!FU53+'Как будет'!FU81</f>
        <v>0</v>
      </c>
      <c r="FU306">
        <f>'Как будет'!FV16+'Как будет'!FV44+'Как будет'!FV72+'Как будет'!FV25+'Как будет'!FV53+'Как будет'!FV81</f>
        <v>0</v>
      </c>
      <c r="FV306">
        <f>'Как будет'!FW16+'Как будет'!FW44+'Как будет'!FW72+'Как будет'!FW25+'Как будет'!FW53+'Как будет'!FW81</f>
        <v>0</v>
      </c>
      <c r="FW306">
        <f>'Как будет'!FX16+'Как будет'!FX44+'Как будет'!FX72+'Как будет'!FX25+'Как будет'!FX53+'Как будет'!FX81</f>
        <v>0</v>
      </c>
      <c r="FX306">
        <f>'Как будет'!FY16+'Как будет'!FY44+'Как будет'!FY72+'Как будет'!FY25+'Как будет'!FY53+'Как будет'!FY81</f>
        <v>0</v>
      </c>
      <c r="FY306">
        <f>'Как будет'!FZ16+'Как будет'!FZ44+'Как будет'!FZ72+'Как будет'!FZ25+'Как будет'!FZ53+'Как будет'!FZ81</f>
        <v>0</v>
      </c>
      <c r="FZ306">
        <f>'Как будет'!GA16+'Как будет'!GA44+'Как будет'!GA72+'Как будет'!GA25+'Как будет'!GA53+'Как будет'!GA81</f>
        <v>0</v>
      </c>
      <c r="GA306">
        <f>'Как будет'!GB16+'Как будет'!GB44+'Как будет'!GB72+'Как будет'!GB25+'Как будет'!GB53+'Как будет'!GB81</f>
        <v>0</v>
      </c>
      <c r="GB306">
        <f>'Как будет'!GC16+'Как будет'!GC44+'Как будет'!GC72+'Как будет'!GC25+'Как будет'!GC53+'Как будет'!GC81</f>
        <v>0</v>
      </c>
      <c r="GC306">
        <f>'Как будет'!GD16+'Как будет'!GD44+'Как будет'!GD72+'Как будет'!GD25+'Как будет'!GD53+'Как будет'!GD81</f>
        <v>0</v>
      </c>
      <c r="GD306">
        <f>'Как будет'!GE16+'Как будет'!GE44+'Как будет'!GE72+'Как будет'!GE25+'Как будет'!GE53+'Как будет'!GE81</f>
        <v>0</v>
      </c>
      <c r="GE306">
        <f>'Как будет'!GF16+'Как будет'!GF44+'Как будет'!GF72+'Как будет'!GF25+'Как будет'!GF53+'Как будет'!GF81</f>
        <v>0</v>
      </c>
      <c r="GF306">
        <f>'Как будет'!GG16+'Как будет'!GG44+'Как будет'!GG72+'Как будет'!GG25+'Как будет'!GG53+'Как будет'!GG81</f>
        <v>0</v>
      </c>
      <c r="GG306">
        <f>'Как будет'!GH16+'Как будет'!GH44+'Как будет'!GH72+'Как будет'!GH25+'Как будет'!GH53+'Как будет'!GH81</f>
        <v>0</v>
      </c>
      <c r="GH306">
        <f>'Как будет'!GI16+'Как будет'!GI44+'Как будет'!GI72+'Как будет'!GI25+'Как будет'!GI53+'Как будет'!GI81</f>
        <v>0</v>
      </c>
      <c r="GI306">
        <f>'Как будет'!GJ16+'Как будет'!GJ44+'Как будет'!GJ72+'Как будет'!GJ25+'Как будет'!GJ53+'Как будет'!GJ81</f>
        <v>0</v>
      </c>
      <c r="GJ306">
        <f>'Как будет'!GK16+'Как будет'!GK44+'Как будет'!GK72+'Как будет'!GK25+'Как будет'!GK53+'Как будет'!GK81</f>
        <v>0</v>
      </c>
      <c r="GK306">
        <f>'Как будет'!GL16+'Как будет'!GL44+'Как будет'!GL72+'Как будет'!GL25+'Как будет'!GL53+'Как будет'!GL81</f>
        <v>0</v>
      </c>
      <c r="GL306">
        <f>'Как будет'!GM16+'Как будет'!GM44+'Как будет'!GM72+'Как будет'!GM25+'Как будет'!GM53+'Как будет'!GM81</f>
        <v>0</v>
      </c>
      <c r="GM306">
        <f>'Как будет'!GN16+'Как будет'!GN44+'Как будет'!GN72+'Как будет'!GN25+'Как будет'!GN53+'Как будет'!GN81</f>
        <v>0</v>
      </c>
      <c r="GN306">
        <f>'Как будет'!GO16+'Как будет'!GO44+'Как будет'!GO72+'Как будет'!GO25+'Как будет'!GO53+'Как будет'!GO81</f>
        <v>0</v>
      </c>
      <c r="GO306">
        <f>'Как будет'!GP16+'Как будет'!GP44+'Как будет'!GP72+'Как будет'!GP25+'Как будет'!GP53+'Как будет'!GP81</f>
        <v>0</v>
      </c>
      <c r="GP306">
        <f>'Как будет'!GQ16+'Как будет'!GQ44+'Как будет'!GQ72+'Как будет'!GQ25+'Как будет'!GQ53+'Как будет'!GQ81</f>
        <v>0</v>
      </c>
      <c r="GQ306">
        <f>'Как будет'!GR16+'Как будет'!GR44+'Как будет'!GR72+'Как будет'!GR25+'Как будет'!GR53+'Как будет'!GR81</f>
        <v>0</v>
      </c>
      <c r="GR306">
        <f>'Как будет'!GS16+'Как будет'!GS44+'Как будет'!GS72+'Как будет'!GS25+'Как будет'!GS53+'Как будет'!GS81</f>
        <v>0</v>
      </c>
      <c r="GS306">
        <f>'Как будет'!GT16+'Как будет'!GT44+'Как будет'!GT72+'Как будет'!GT25+'Как будет'!GT53+'Как будет'!GT81</f>
        <v>0</v>
      </c>
      <c r="GT306">
        <f>'Как будет'!GU16+'Как будет'!GU44+'Как будет'!GU72+'Как будет'!GU25+'Как будет'!GU53+'Как будет'!GU81</f>
        <v>0</v>
      </c>
    </row>
    <row r="307" spans="1:202">
      <c r="A307" s="243" t="s">
        <v>35</v>
      </c>
      <c r="B307" s="244">
        <f>('Как будет'!C16+'Как будет'!C44+'Как будет'!C72)</f>
        <v>-2011.3600000000001</v>
      </c>
      <c r="C307" s="244">
        <f>('Как будет'!D16+'Как будет'!D44+'Как будет'!D72)</f>
        <v>-1048.44</v>
      </c>
      <c r="D307" s="244">
        <f>('Как будет'!E16+'Как будет'!E44+'Как будет'!E72)</f>
        <v>-1520.3000000000002</v>
      </c>
      <c r="E307" s="244">
        <f>('Как будет'!F16+'Как будет'!F44+'Как будет'!F72)</f>
        <v>-1283.74</v>
      </c>
      <c r="F307" s="244">
        <f>('Как будет'!G16+'Как будет'!G44+'Как будет'!G72)</f>
        <v>-1014.9200000000001</v>
      </c>
      <c r="G307" s="244">
        <f>('Как будет'!H16+'Как будет'!H44+'Как будет'!H72)</f>
        <v>-817.48</v>
      </c>
      <c r="H307" s="244">
        <f>('Как будет'!I16+'Как будет'!I44+'Как будет'!I72)</f>
        <v>-817.48</v>
      </c>
      <c r="I307" s="244">
        <f>('Как будет'!J16+'Как будет'!J44+'Как будет'!J72)</f>
        <v>-817.48</v>
      </c>
      <c r="J307" s="244">
        <f>('Как будет'!K16+'Как будет'!K44+'Как будет'!K72)</f>
        <v>-817.48</v>
      </c>
      <c r="K307" s="244">
        <f>('Как будет'!L16+'Как будет'!L44+'Как будет'!L72)</f>
        <v>-817.48</v>
      </c>
      <c r="L307" s="244">
        <f>('Как будет'!M16+'Как будет'!M44+'Как будет'!M72)</f>
        <v>-817.48</v>
      </c>
      <c r="M307" s="244">
        <f>('Как будет'!N16+'Как будет'!N44+'Как будет'!N72)</f>
        <v>-164.1</v>
      </c>
      <c r="N307" s="244">
        <f>('Как будет'!O16+'Как будет'!O44+'Как будет'!O72)</f>
        <v>0</v>
      </c>
      <c r="O307" s="244">
        <f>('Как будет'!P16+'Как будет'!P44+'Как будет'!P72)</f>
        <v>0</v>
      </c>
      <c r="P307" s="244">
        <f>('Как будет'!Q16+'Как будет'!Q44+'Как будет'!Q72)</f>
        <v>0</v>
      </c>
      <c r="Q307" s="244">
        <f>('Как будет'!R16+'Как будет'!R44+'Как будет'!R72)</f>
        <v>0</v>
      </c>
      <c r="R307" s="244">
        <f>('Как будет'!S16+'Как будет'!S44+'Как будет'!S72)</f>
        <v>0</v>
      </c>
      <c r="S307" s="244">
        <f>('Как будет'!T16+'Как будет'!T44+'Как будет'!T72)</f>
        <v>0</v>
      </c>
      <c r="T307" s="244">
        <f>('Как будет'!U16+'Как будет'!U44+'Как будет'!U72)</f>
        <v>0</v>
      </c>
      <c r="U307" s="244">
        <f>('Как будет'!V16+'Как будет'!V44+'Как будет'!V72)</f>
        <v>0</v>
      </c>
      <c r="V307" s="244">
        <f>('Как будет'!W16+'Как будет'!W44+'Как будет'!W72)</f>
        <v>0</v>
      </c>
      <c r="W307" s="244">
        <f>('Как будет'!X16+'Как будет'!X44+'Как будет'!X72)</f>
        <v>0</v>
      </c>
      <c r="X307" s="244">
        <f>('Как будет'!Y16+'Как будет'!Y44+'Как будет'!Y72)</f>
        <v>0</v>
      </c>
      <c r="Y307" s="244">
        <f>('Как будет'!Z16+'Как будет'!Z44+'Как будет'!Z72)</f>
        <v>0</v>
      </c>
      <c r="Z307" s="244">
        <f>('Как будет'!AA16+'Как будет'!AA44+'Как будет'!AA72)</f>
        <v>0</v>
      </c>
      <c r="AA307" s="244">
        <f>('Как будет'!AB16+'Как будет'!AB44+'Как будет'!AB72)</f>
        <v>0</v>
      </c>
      <c r="AB307" s="244">
        <f>('Как будет'!AC16+'Как будет'!AC44+'Как будет'!AC72)</f>
        <v>0</v>
      </c>
      <c r="AC307" s="244">
        <f>('Как будет'!AD16+'Как будет'!AD44+'Как будет'!AD72)</f>
        <v>0</v>
      </c>
      <c r="AD307" s="244">
        <f>('Как будет'!AE16+'Как будет'!AE44+'Как будет'!AE72)</f>
        <v>0</v>
      </c>
      <c r="AE307" s="244">
        <f>('Как будет'!AF16+'Как будет'!AF44+'Как будет'!AF72)</f>
        <v>0</v>
      </c>
      <c r="AF307" s="244">
        <f>('Как будет'!AG16+'Как будет'!AG44+'Как будет'!AG72)</f>
        <v>0</v>
      </c>
      <c r="AG307" s="244">
        <f>('Как будет'!AH16+'Как будет'!AH44+'Как будет'!AH72)</f>
        <v>0</v>
      </c>
      <c r="AH307" s="244">
        <f>('Как будет'!AI16+'Как будет'!AI44+'Как будет'!AI72)</f>
        <v>0</v>
      </c>
      <c r="AI307" s="244">
        <f>('Как будет'!AJ16+'Как будет'!AJ44+'Как будет'!AJ72)</f>
        <v>0</v>
      </c>
      <c r="AJ307" s="244">
        <f>('Как будет'!AK16+'Как будет'!AK44+'Как будет'!AK72)</f>
        <v>0</v>
      </c>
      <c r="AK307" s="244">
        <f>('Как будет'!AL16+'Как будет'!AL44+'Как будет'!AL72)</f>
        <v>0</v>
      </c>
      <c r="AL307" s="244">
        <f>('Как будет'!AM16+'Как будет'!AM44+'Как будет'!AM72)</f>
        <v>0</v>
      </c>
      <c r="AM307" s="244">
        <f>('Как будет'!AN16+'Как будет'!AN44+'Как будет'!AN72)</f>
        <v>0</v>
      </c>
      <c r="AN307" s="244">
        <f>('Как будет'!AO16+'Как будет'!AO44+'Как будет'!AO72)</f>
        <v>0</v>
      </c>
      <c r="AO307" s="244">
        <f>('Как будет'!AP16+'Как будет'!AP44+'Как будет'!AP72)</f>
        <v>0</v>
      </c>
      <c r="AP307" s="244">
        <f>('Как будет'!AQ16+'Как будет'!AQ44+'Как будет'!AQ72)</f>
        <v>0</v>
      </c>
      <c r="AQ307" s="244">
        <f>('Как будет'!AR16+'Как будет'!AR44+'Как будет'!AR72)</f>
        <v>0</v>
      </c>
      <c r="AR307" s="244">
        <f>('Как будет'!AS16+'Как будет'!AS44+'Как будет'!AS72)</f>
        <v>0</v>
      </c>
      <c r="AS307" s="244">
        <f>('Как будет'!AT16+'Как будет'!AT44+'Как будет'!AT72)</f>
        <v>0</v>
      </c>
      <c r="AT307" s="244">
        <f>('Как будет'!AU16+'Как будет'!AU44+'Как будет'!AU72)</f>
        <v>0</v>
      </c>
      <c r="AU307" s="244">
        <f>('Как будет'!AV16+'Как будет'!AV44+'Как будет'!AV72)</f>
        <v>0</v>
      </c>
      <c r="AV307" s="244">
        <f>('Как будет'!AW16+'Как будет'!AW44+'Как будет'!AW72)</f>
        <v>0</v>
      </c>
      <c r="AW307" s="244">
        <f>('Как будет'!AX16+'Как будет'!AX44+'Как будет'!AX72)</f>
        <v>0</v>
      </c>
      <c r="AX307" s="244">
        <f>('Как будет'!AY16+'Как будет'!AY44+'Как будет'!AY72)</f>
        <v>0</v>
      </c>
      <c r="AY307" s="244">
        <f>('Как будет'!AZ16+'Как будет'!AZ44+'Как будет'!AZ72)</f>
        <v>0</v>
      </c>
      <c r="AZ307" s="244">
        <f>('Как будет'!BA16+'Как будет'!BA44+'Как будет'!BA72)</f>
        <v>0</v>
      </c>
      <c r="BA307" s="244">
        <f>('Как будет'!BB16+'Как будет'!BB44+'Как будет'!BB72)</f>
        <v>0</v>
      </c>
      <c r="BB307" s="244">
        <f>('Как будет'!BC16+'Как будет'!BC44+'Как будет'!BC72)</f>
        <v>0</v>
      </c>
      <c r="BC307" s="244">
        <f>('Как будет'!BD16+'Как будет'!BD44+'Как будет'!BD72)</f>
        <v>0</v>
      </c>
      <c r="BD307" s="244">
        <f>('Как будет'!BE16+'Как будет'!BE44+'Как будет'!BE72)</f>
        <v>0</v>
      </c>
      <c r="BE307" s="244">
        <f>('Как будет'!BF16+'Как будет'!BF44+'Как будет'!BF72)</f>
        <v>0</v>
      </c>
      <c r="BF307" s="244">
        <f>('Как будет'!BG16+'Как будет'!BG44+'Как будет'!BG72)</f>
        <v>0</v>
      </c>
      <c r="BG307" s="244">
        <f>('Как будет'!BH16+'Как будет'!BH44+'Как будет'!BH72)</f>
        <v>0</v>
      </c>
      <c r="BH307" s="244">
        <f>('Как будет'!BI16+'Как будет'!BI44+'Как будет'!BI72)</f>
        <v>0</v>
      </c>
      <c r="BI307" s="244">
        <f>('Как будет'!BJ16+'Как будет'!BJ44+'Как будет'!BJ72)</f>
        <v>0</v>
      </c>
      <c r="BJ307" s="244">
        <f>('Как будет'!BK16+'Как будет'!BK44+'Как будет'!BK72)</f>
        <v>0</v>
      </c>
      <c r="BK307" s="244">
        <f>('Как будет'!BL16+'Как будет'!BL44+'Как будет'!BL72)</f>
        <v>0</v>
      </c>
      <c r="BL307" s="244">
        <f>('Как будет'!BM16+'Как будет'!BM44+'Как будет'!BM72)</f>
        <v>0</v>
      </c>
      <c r="BM307" s="244">
        <f>('Как будет'!BN16+'Как будет'!BN44+'Как будет'!BN72)</f>
        <v>0</v>
      </c>
      <c r="BN307" s="244">
        <f>('Как будет'!BO16+'Как будет'!BO44+'Как будет'!BO72)</f>
        <v>0</v>
      </c>
      <c r="BO307" s="244">
        <f>('Как будет'!BP16+'Как будет'!BP44+'Как будет'!BP72)</f>
        <v>0</v>
      </c>
      <c r="BP307" s="244">
        <f>('Как будет'!BQ16+'Как будет'!BQ44+'Как будет'!BQ72)</f>
        <v>0</v>
      </c>
      <c r="BQ307" s="244">
        <f>('Как будет'!BR16+'Как будет'!BR44+'Как будет'!BR72)</f>
        <v>0</v>
      </c>
      <c r="BR307" s="244">
        <f>('Как будет'!BS16+'Как будет'!BS44+'Как будет'!BS72)</f>
        <v>0</v>
      </c>
      <c r="BS307" s="244">
        <f>('Как будет'!BT16+'Как будет'!BT44+'Как будет'!BT72)</f>
        <v>0</v>
      </c>
      <c r="BT307" s="244">
        <f>('Как будет'!BU16+'Как будет'!BU44+'Как будет'!BU72)</f>
        <v>0</v>
      </c>
      <c r="BU307" s="244">
        <f>('Как будет'!BV16+'Как будет'!BV44+'Как будет'!BV72)</f>
        <v>0</v>
      </c>
      <c r="BV307" s="244">
        <f>('Как будет'!BW16+'Как будет'!BW44+'Как будет'!BW72)</f>
        <v>0</v>
      </c>
      <c r="BW307" s="244">
        <f>('Как будет'!BX16+'Как будет'!BX44+'Как будет'!BX72)</f>
        <v>0</v>
      </c>
      <c r="BX307" s="244">
        <f>('Как будет'!BY16+'Как будет'!BY44+'Как будет'!BY72)</f>
        <v>0</v>
      </c>
      <c r="BY307" s="244">
        <f>('Как будет'!BZ16+'Как будет'!BZ44+'Как будет'!BZ72)</f>
        <v>0</v>
      </c>
      <c r="BZ307" s="244">
        <f>('Как будет'!CA16+'Как будет'!CA44+'Как будет'!CA72)</f>
        <v>0</v>
      </c>
      <c r="CA307" s="244">
        <f>('Как будет'!CB16+'Как будет'!CB44+'Как будет'!CB72)</f>
        <v>0</v>
      </c>
      <c r="CB307" s="244">
        <f>('Как будет'!CC16+'Как будет'!CC44+'Как будет'!CC72)</f>
        <v>0</v>
      </c>
      <c r="CC307" s="244">
        <f>('Как будет'!CD16+'Как будет'!CD44+'Как будет'!CD72)</f>
        <v>0</v>
      </c>
      <c r="CD307" s="244">
        <f>('Как будет'!CE16+'Как будет'!CE44+'Как будет'!CE72)</f>
        <v>0</v>
      </c>
      <c r="CE307" s="244">
        <f>('Как будет'!CF16+'Как будет'!CF44+'Как будет'!CF72)</f>
        <v>0</v>
      </c>
      <c r="CF307" s="244">
        <f>('Как будет'!CG16+'Как будет'!CG44+'Как будет'!CG72)</f>
        <v>0</v>
      </c>
      <c r="CG307" s="244">
        <f>('Как будет'!CH16+'Как будет'!CH44+'Как будет'!CH72)</f>
        <v>0</v>
      </c>
      <c r="CH307" s="244">
        <f>('Как будет'!CI16+'Как будет'!CI44+'Как будет'!CI72)</f>
        <v>0</v>
      </c>
      <c r="CI307" s="244">
        <f>('Как будет'!CJ16+'Как будет'!CJ44+'Как будет'!CJ72)</f>
        <v>0</v>
      </c>
      <c r="CJ307" s="244">
        <f>('Как будет'!CK16+'Как будет'!CK44+'Как будет'!CK72)</f>
        <v>0</v>
      </c>
      <c r="CK307" s="244">
        <f>('Как будет'!CL16+'Как будет'!CL44+'Как будет'!CL72)</f>
        <v>0</v>
      </c>
      <c r="CL307" s="244">
        <f>('Как будет'!CM16+'Как будет'!CM44+'Как будет'!CM72)</f>
        <v>0</v>
      </c>
      <c r="CM307" s="244">
        <f>('Как будет'!CN16+'Как будет'!CN44+'Как будет'!CN72)</f>
        <v>0</v>
      </c>
      <c r="CN307" s="244">
        <f>('Как будет'!CO16+'Как будет'!CO44+'Как будет'!CO72)</f>
        <v>0</v>
      </c>
      <c r="CO307" s="244">
        <f>('Как будет'!CP16+'Как будет'!CP44+'Как будет'!CP72)</f>
        <v>0</v>
      </c>
      <c r="CP307" s="244">
        <f>('Как будет'!CQ16+'Как будет'!CQ44+'Как будет'!CQ72)</f>
        <v>0</v>
      </c>
      <c r="CQ307" s="244">
        <f>('Как будет'!CR16+'Как будет'!CR44+'Как будет'!CR72)</f>
        <v>0</v>
      </c>
      <c r="CR307" s="244">
        <f>('Как будет'!CS16+'Как будет'!CS44+'Как будет'!CS72)</f>
        <v>0</v>
      </c>
      <c r="CS307" s="244">
        <f>('Как будет'!CT16+'Как будет'!CT44+'Как будет'!CT72)</f>
        <v>0</v>
      </c>
      <c r="CT307" s="244">
        <f>('Как будет'!CU16+'Как будет'!CU44+'Как будет'!CU72)</f>
        <v>0</v>
      </c>
      <c r="CU307" s="244">
        <f>('Как будет'!CV16+'Как будет'!CV44+'Как будет'!CV72)</f>
        <v>0</v>
      </c>
      <c r="CV307" s="244">
        <f>('Как будет'!CW16+'Как будет'!CW44+'Как будет'!CW72)</f>
        <v>0</v>
      </c>
      <c r="CW307" s="244">
        <f>('Как будет'!CX16+'Как будет'!CX44+'Как будет'!CX72)</f>
        <v>0</v>
      </c>
      <c r="CX307" s="244">
        <f>('Как будет'!CY16+'Как будет'!CY44+'Как будет'!CY72)</f>
        <v>0</v>
      </c>
      <c r="CY307" s="244">
        <f>('Как будет'!CZ16+'Как будет'!CZ44+'Как будет'!CZ72)</f>
        <v>0</v>
      </c>
      <c r="CZ307" s="244">
        <f>('Как будет'!DA16+'Как будет'!DA44+'Как будет'!DA72)</f>
        <v>0</v>
      </c>
      <c r="DA307" s="244">
        <f>('Как будет'!DB16+'Как будет'!DB44+'Как будет'!DB72)</f>
        <v>0</v>
      </c>
      <c r="DB307" s="244">
        <f>('Как будет'!DC16+'Как будет'!DC44+'Как будет'!DC72)</f>
        <v>0</v>
      </c>
      <c r="DC307" s="244">
        <f>('Как будет'!DD16+'Как будет'!DD44+'Как будет'!DD72)</f>
        <v>0</v>
      </c>
      <c r="DD307" s="244">
        <f>('Как будет'!DE16+'Как будет'!DE44+'Как будет'!DE72)</f>
        <v>0</v>
      </c>
      <c r="DE307" s="244">
        <f>('Как будет'!DF16+'Как будет'!DF44+'Как будет'!DF72)</f>
        <v>0</v>
      </c>
      <c r="DF307" s="244">
        <f>('Как будет'!DG16+'Как будет'!DG44+'Как будет'!DG72)</f>
        <v>0</v>
      </c>
      <c r="DG307" s="244">
        <f>('Как будет'!DH16+'Как будет'!DH44+'Как будет'!DH72)</f>
        <v>0</v>
      </c>
      <c r="DH307" s="244">
        <f>('Как будет'!DI16+'Как будет'!DI44+'Как будет'!DI72)</f>
        <v>0</v>
      </c>
      <c r="DI307" s="244">
        <f>('Как будет'!DJ16+'Как будет'!DJ44+'Как будет'!DJ72)</f>
        <v>0</v>
      </c>
      <c r="DJ307" s="244">
        <f>('Как будет'!DK16+'Как будет'!DK44+'Как будет'!DK72)</f>
        <v>0</v>
      </c>
      <c r="DK307" s="244">
        <f>('Как будет'!DL16+'Как будет'!DL44+'Как будет'!DL72)</f>
        <v>0</v>
      </c>
      <c r="DL307" s="244">
        <f>('Как будет'!DM16+'Как будет'!DM44+'Как будет'!DM72)</f>
        <v>0</v>
      </c>
      <c r="DM307" s="244">
        <f>('Как будет'!DN16+'Как будет'!DN44+'Как будет'!DN72)</f>
        <v>0</v>
      </c>
      <c r="DN307" s="244">
        <f>('Как будет'!DO16+'Как будет'!DO44+'Как будет'!DO72)</f>
        <v>0</v>
      </c>
      <c r="DO307" s="244">
        <f>('Как будет'!DP16+'Как будет'!DP44+'Как будет'!DP72)</f>
        <v>0</v>
      </c>
      <c r="DP307" s="244">
        <f>('Как будет'!DQ16+'Как будет'!DQ44+'Как будет'!DQ72)</f>
        <v>0</v>
      </c>
      <c r="DQ307" s="244">
        <f>('Как будет'!DR16+'Как будет'!DR44+'Как будет'!DR72)</f>
        <v>0</v>
      </c>
      <c r="DR307" s="244">
        <f>('Как будет'!DS16+'Как будет'!DS44+'Как будет'!DS72)</f>
        <v>0</v>
      </c>
      <c r="DS307" s="244">
        <f>('Как будет'!DT16+'Как будет'!DT44+'Как будет'!DT72)</f>
        <v>0</v>
      </c>
      <c r="DT307" s="244">
        <f>('Как будет'!DU16+'Как будет'!DU44+'Как будет'!DU72)</f>
        <v>0</v>
      </c>
      <c r="DU307" s="244">
        <f>('Как будет'!DV16+'Как будет'!DV44+'Как будет'!DV72)</f>
        <v>0</v>
      </c>
      <c r="DV307" s="244">
        <f>('Как будет'!DW16+'Как будет'!DW44+'Как будет'!DW72)</f>
        <v>0</v>
      </c>
      <c r="DW307" s="244">
        <f>('Как будет'!DX16+'Как будет'!DX44+'Как будет'!DX72)</f>
        <v>0</v>
      </c>
      <c r="DX307" s="244">
        <f>('Как будет'!DY16+'Как будет'!DY44+'Как будет'!DY72)</f>
        <v>0</v>
      </c>
      <c r="DY307" s="244">
        <f>('Как будет'!DZ16+'Как будет'!DZ44+'Как будет'!DZ72)</f>
        <v>0</v>
      </c>
      <c r="DZ307" s="244">
        <f>('Как будет'!EA16+'Как будет'!EA44+'Как будет'!EA72)</f>
        <v>0</v>
      </c>
      <c r="EA307" s="244">
        <f>('Как будет'!EB16+'Как будет'!EB44+'Как будет'!EB72)</f>
        <v>0</v>
      </c>
      <c r="EB307" s="244">
        <f>('Как будет'!EC16+'Как будет'!EC44+'Как будет'!EC72)</f>
        <v>0</v>
      </c>
      <c r="EC307" s="244">
        <f>('Как будет'!ED16+'Как будет'!ED44+'Как будет'!ED72)</f>
        <v>0</v>
      </c>
      <c r="ED307" s="244">
        <f>('Как будет'!EE16+'Как будет'!EE44+'Как будет'!EE72)</f>
        <v>0</v>
      </c>
      <c r="EE307" s="244">
        <f>('Как будет'!EF16+'Как будет'!EF44+'Как будет'!EF72)</f>
        <v>0</v>
      </c>
      <c r="EF307" s="244">
        <f>('Как будет'!EG16+'Как будет'!EG44+'Как будет'!EG72)</f>
        <v>0</v>
      </c>
      <c r="EG307" s="244">
        <f>('Как будет'!EH16+'Как будет'!EH44+'Как будет'!EH72)</f>
        <v>0</v>
      </c>
      <c r="EH307" s="244">
        <f>('Как будет'!EI16+'Как будет'!EI44+'Как будет'!EI72)</f>
        <v>0</v>
      </c>
      <c r="EI307" s="244">
        <f>('Как будет'!EJ16+'Как будет'!EJ44+'Как будет'!EJ72)</f>
        <v>0</v>
      </c>
      <c r="EJ307" s="244">
        <f>('Как будет'!EK16+'Как будет'!EK44+'Как будет'!EK72)</f>
        <v>0</v>
      </c>
      <c r="EK307" s="244">
        <f>('Как будет'!EL16+'Как будет'!EL44+'Как будет'!EL72)</f>
        <v>0</v>
      </c>
      <c r="EL307" s="244">
        <f>('Как будет'!EM16+'Как будет'!EM44+'Как будет'!EM72)</f>
        <v>0</v>
      </c>
      <c r="EM307" s="244">
        <f>('Как будет'!EN16+'Как будет'!EN44+'Как будет'!EN72)</f>
        <v>0</v>
      </c>
      <c r="EN307" s="244">
        <f>('Как будет'!EO16+'Как будет'!EO44+'Как будет'!EO72)</f>
        <v>0</v>
      </c>
      <c r="EO307" s="244">
        <f>('Как будет'!EP16+'Как будет'!EP44+'Как будет'!EP72)</f>
        <v>0</v>
      </c>
      <c r="EP307" s="244">
        <f>('Как будет'!EQ16+'Как будет'!EQ44+'Как будет'!EQ72)</f>
        <v>0</v>
      </c>
      <c r="EQ307" s="244">
        <f>('Как будет'!ER16+'Как будет'!ER44+'Как будет'!ER72)</f>
        <v>0</v>
      </c>
      <c r="ER307" s="244">
        <f>('Как будет'!ES16+'Как будет'!ES44+'Как будет'!ES72)</f>
        <v>0</v>
      </c>
      <c r="ES307" s="244">
        <f>('Как будет'!ET16+'Как будет'!ET44+'Как будет'!ET72)</f>
        <v>0</v>
      </c>
      <c r="ET307" s="244">
        <f>('Как будет'!EU16+'Как будет'!EU44+'Как будет'!EU72)</f>
        <v>0</v>
      </c>
      <c r="EU307" s="244">
        <f>('Как будет'!EV16+'Как будет'!EV44+'Как будет'!EV72)</f>
        <v>0</v>
      </c>
      <c r="EV307" s="244">
        <f>('Как будет'!EW16+'Как будет'!EW44+'Как будет'!EW72)</f>
        <v>0</v>
      </c>
      <c r="EW307" s="244">
        <f>('Как будет'!EX16+'Как будет'!EX44+'Как будет'!EX72)</f>
        <v>0</v>
      </c>
      <c r="EX307" s="244">
        <f>('Как будет'!EY16+'Как будет'!EY44+'Как будет'!EY72)</f>
        <v>0</v>
      </c>
      <c r="EY307" s="244">
        <f>('Как будет'!EZ16+'Как будет'!EZ44+'Как будет'!EZ72)</f>
        <v>0</v>
      </c>
      <c r="EZ307" s="244">
        <f>('Как будет'!FA16+'Как будет'!FA44+'Как будет'!FA72)</f>
        <v>0</v>
      </c>
      <c r="FA307" s="244">
        <f>('Как будет'!FB16+'Как будет'!FB44+'Как будет'!FB72)</f>
        <v>0</v>
      </c>
      <c r="FB307" s="244">
        <f>('Как будет'!FC16+'Как будет'!FC44+'Как будет'!FC72)</f>
        <v>0</v>
      </c>
      <c r="FC307" s="244">
        <f>('Как будет'!FD16+'Как будет'!FD44+'Как будет'!FD72)</f>
        <v>0</v>
      </c>
      <c r="FD307" s="244">
        <f>('Как будет'!FE16+'Как будет'!FE44+'Как будет'!FE72)</f>
        <v>0</v>
      </c>
      <c r="FE307" s="244">
        <f>('Как будет'!FF16+'Как будет'!FF44+'Как будет'!FF72)</f>
        <v>0</v>
      </c>
      <c r="FF307" s="244">
        <f>('Как будет'!FG16+'Как будет'!FG44+'Как будет'!FG72)</f>
        <v>0</v>
      </c>
      <c r="FG307" s="244">
        <f>('Как будет'!FH16+'Как будет'!FH44+'Как будет'!FH72)</f>
        <v>0</v>
      </c>
      <c r="FH307" s="244">
        <f>('Как будет'!FI16+'Как будет'!FI44+'Как будет'!FI72)</f>
        <v>0</v>
      </c>
      <c r="FI307" s="244">
        <f>('Как будет'!FJ16+'Как будет'!FJ44+'Как будет'!FJ72)</f>
        <v>0</v>
      </c>
      <c r="FJ307" s="244">
        <f>('Как будет'!FK16+'Как будет'!FK44+'Как будет'!FK72)</f>
        <v>0</v>
      </c>
      <c r="FK307" s="244">
        <f>('Как будет'!FL16+'Как будет'!FL44+'Как будет'!FL72)</f>
        <v>0</v>
      </c>
      <c r="FL307" s="244">
        <f>('Как будет'!FM16+'Как будет'!FM44+'Как будет'!FM72)</f>
        <v>0</v>
      </c>
      <c r="FM307" s="244">
        <f>('Как будет'!FN16+'Как будет'!FN44+'Как будет'!FN72)</f>
        <v>0</v>
      </c>
      <c r="FN307" s="244">
        <f>('Как будет'!FO16+'Как будет'!FO44+'Как будет'!FO72)</f>
        <v>0</v>
      </c>
      <c r="FO307" s="244">
        <f>('Как будет'!FP16+'Как будет'!FP44+'Как будет'!FP72)</f>
        <v>0</v>
      </c>
      <c r="FP307" s="244">
        <f>('Как будет'!FQ16+'Как будет'!FQ44+'Как будет'!FQ72)</f>
        <v>0</v>
      </c>
      <c r="FQ307" s="244">
        <f>('Как будет'!FR16+'Как будет'!FR44+'Как будет'!FR72)</f>
        <v>0</v>
      </c>
      <c r="FR307" s="244">
        <f>('Как будет'!FS16+'Как будет'!FS44+'Как будет'!FS72)</f>
        <v>0</v>
      </c>
      <c r="FS307" s="244">
        <f>('Как будет'!FT16+'Как будет'!FT44+'Как будет'!FT72)</f>
        <v>0</v>
      </c>
      <c r="FT307" s="244">
        <f>('Как будет'!FU16+'Как будет'!FU44+'Как будет'!FU72)</f>
        <v>0</v>
      </c>
      <c r="FU307" s="244">
        <f>('Как будет'!FV16+'Как будет'!FV44+'Как будет'!FV72)</f>
        <v>0</v>
      </c>
      <c r="FV307" s="244">
        <f>('Как будет'!FW16+'Как будет'!FW44+'Как будет'!FW72)</f>
        <v>0</v>
      </c>
      <c r="FW307" s="244">
        <f>('Как будет'!FX16+'Как будет'!FX44+'Как будет'!FX72)</f>
        <v>0</v>
      </c>
      <c r="FX307" s="244">
        <f>('Как будет'!FY16+'Как будет'!FY44+'Как будет'!FY72)</f>
        <v>0</v>
      </c>
      <c r="FY307" s="244">
        <f>('Как будет'!FZ16+'Как будет'!FZ44+'Как будет'!FZ72)</f>
        <v>0</v>
      </c>
      <c r="FZ307" s="244">
        <f>('Как будет'!GA16+'Как будет'!GA44+'Как будет'!GA72)</f>
        <v>0</v>
      </c>
      <c r="GA307" s="244">
        <f>('Как будет'!GB16+'Как будет'!GB44+'Как будет'!GB72)</f>
        <v>0</v>
      </c>
      <c r="GB307" s="244">
        <f>('Как будет'!GC16+'Как будет'!GC44+'Как будет'!GC72)</f>
        <v>0</v>
      </c>
      <c r="GC307" s="244">
        <f>('Как будет'!GD16+'Как будет'!GD44+'Как будет'!GD72)</f>
        <v>0</v>
      </c>
      <c r="GD307" s="244">
        <f>('Как будет'!GE16+'Как будет'!GE44+'Как будет'!GE72)</f>
        <v>0</v>
      </c>
      <c r="GE307" s="244">
        <f>('Как будет'!GF16+'Как будет'!GF44+'Как будет'!GF72)</f>
        <v>0</v>
      </c>
      <c r="GF307" s="244">
        <f>('Как будет'!GG16+'Как будет'!GG44+'Как будет'!GG72)</f>
        <v>0</v>
      </c>
      <c r="GG307" s="244">
        <f>('Как будет'!GH16+'Как будет'!GH44+'Как будет'!GH72)</f>
        <v>0</v>
      </c>
      <c r="GH307" s="244">
        <f>('Как будет'!GI16+'Как будет'!GI44+'Как будет'!GI72)</f>
        <v>0</v>
      </c>
      <c r="GI307" s="244">
        <f>('Как будет'!GJ16+'Как будет'!GJ44+'Как будет'!GJ72)</f>
        <v>0</v>
      </c>
      <c r="GJ307" s="244">
        <f>('Как будет'!GK16+'Как будет'!GK44+'Как будет'!GK72)</f>
        <v>0</v>
      </c>
      <c r="GK307" s="244">
        <f>('Как будет'!GL16+'Как будет'!GL44+'Как будет'!GL72)</f>
        <v>0</v>
      </c>
      <c r="GL307" s="244">
        <f>('Как будет'!GM16+'Как будет'!GM44+'Как будет'!GM72)</f>
        <v>0</v>
      </c>
      <c r="GM307" s="244">
        <f>('Как будет'!GN16+'Как будет'!GN44+'Как будет'!GN72)</f>
        <v>0</v>
      </c>
      <c r="GN307" s="244">
        <f>('Как будет'!GO16+'Как будет'!GO44+'Как будет'!GO72)</f>
        <v>0</v>
      </c>
      <c r="GO307" s="244">
        <f>('Как будет'!GP16+'Как будет'!GP44+'Как будет'!GP72)</f>
        <v>0</v>
      </c>
      <c r="GP307" s="244">
        <f>('Как будет'!GQ16+'Как будет'!GQ44+'Как будет'!GQ72)</f>
        <v>0</v>
      </c>
      <c r="GQ307" s="244">
        <f>('Как будет'!GR16+'Как будет'!GR44+'Как будет'!GR72)</f>
        <v>0</v>
      </c>
      <c r="GR307" s="244">
        <f>('Как будет'!GS16+'Как будет'!GS44+'Как будет'!GS72)</f>
        <v>0</v>
      </c>
      <c r="GS307" s="244">
        <f>('Как будет'!GT16+'Как будет'!GT44+'Как будет'!GT72)</f>
        <v>0</v>
      </c>
      <c r="GT307" s="244">
        <f>('Как будет'!GU16+'Как будет'!GU44+'Как будет'!GU72)</f>
        <v>0</v>
      </c>
    </row>
    <row r="308" spans="1:202">
      <c r="A308" s="243" t="s">
        <v>251</v>
      </c>
      <c r="B308" s="244">
        <f>('Как будет'!C25+'Как будет'!C53+'Как будет'!C81)</f>
        <v>0</v>
      </c>
      <c r="C308" s="244">
        <f>('Как будет'!D25+'Как будет'!D53+'Как будет'!D81)</f>
        <v>0</v>
      </c>
      <c r="D308" s="244">
        <f>('Как будет'!E25+'Как будет'!E53+'Как будет'!E81)</f>
        <v>0</v>
      </c>
      <c r="E308" s="244">
        <f>('Как будет'!F25+'Как будет'!F53+'Как будет'!F81)</f>
        <v>0</v>
      </c>
      <c r="F308" s="244">
        <f>('Как будет'!G25+'Как будет'!G53+'Как будет'!G81)</f>
        <v>0</v>
      </c>
      <c r="G308" s="244">
        <f>('Как будет'!H25+'Как будет'!H53+'Как будет'!H81)</f>
        <v>0</v>
      </c>
      <c r="H308" s="244">
        <f>('Как будет'!I25+'Как будет'!I53+'Как будет'!I81)</f>
        <v>0</v>
      </c>
      <c r="I308" s="244">
        <f>('Как будет'!J25+'Как будет'!J53+'Как будет'!J81)</f>
        <v>0</v>
      </c>
      <c r="J308" s="244">
        <f>('Как будет'!K25+'Как будет'!K53+'Как будет'!K81)</f>
        <v>0</v>
      </c>
      <c r="K308" s="244">
        <f>('Как будет'!L25+'Как будет'!L53+'Как будет'!L81)</f>
        <v>0</v>
      </c>
      <c r="L308" s="244">
        <f>('Как будет'!M25+'Как будет'!M53+'Как будет'!M81)</f>
        <v>0</v>
      </c>
      <c r="M308" s="244">
        <f>('Как будет'!N25+'Как будет'!N53+'Как будет'!N81)</f>
        <v>0</v>
      </c>
      <c r="N308" s="244">
        <f>('Как будет'!O25+'Как будет'!O53+'Как будет'!O81)</f>
        <v>0</v>
      </c>
      <c r="O308" s="244">
        <f>('Как будет'!P25+'Как будет'!P53+'Как будет'!P81)</f>
        <v>0</v>
      </c>
      <c r="P308" s="244">
        <f>('Как будет'!Q25+'Как будет'!Q53+'Как будет'!Q81)</f>
        <v>0</v>
      </c>
      <c r="Q308" s="244">
        <f>('Как будет'!R25+'Как будет'!R53+'Как будет'!R81)</f>
        <v>0</v>
      </c>
      <c r="R308" s="244">
        <f>('Как будет'!S25+'Как будет'!S53+'Как будет'!S81)</f>
        <v>0</v>
      </c>
      <c r="S308" s="244">
        <f>('Как будет'!T25+'Как будет'!T53+'Как будет'!T81)</f>
        <v>0</v>
      </c>
      <c r="T308" s="244">
        <f>('Как будет'!U25+'Как будет'!U53+'Как будет'!U81)</f>
        <v>0</v>
      </c>
      <c r="U308" s="244">
        <f>('Как будет'!V25+'Как будет'!V53+'Как будет'!V81)</f>
        <v>0</v>
      </c>
      <c r="V308" s="244">
        <f>('Как будет'!W25+'Как будет'!W53+'Как будет'!W81)</f>
        <v>0</v>
      </c>
      <c r="W308" s="244">
        <f>('Как будет'!X25+'Как будет'!X53+'Как будет'!X81)</f>
        <v>0</v>
      </c>
      <c r="X308" s="244">
        <f>('Как будет'!Y25+'Как будет'!Y53+'Как будет'!Y81)</f>
        <v>0</v>
      </c>
      <c r="Y308" s="244">
        <f>('Как будет'!Z25+'Как будет'!Z53+'Как будет'!Z81)</f>
        <v>0</v>
      </c>
      <c r="Z308" s="244">
        <f>('Как будет'!AA25+'Как будет'!AA53+'Как будет'!AA81)</f>
        <v>0</v>
      </c>
      <c r="AA308" s="244">
        <f>('Как будет'!AB25+'Как будет'!AB53+'Как будет'!AB81)</f>
        <v>0</v>
      </c>
      <c r="AB308" s="244">
        <f>('Как будет'!AC25+'Как будет'!AC53+'Как будет'!AC81)</f>
        <v>0</v>
      </c>
      <c r="AC308" s="244">
        <f>('Как будет'!AD25+'Как будет'!AD53+'Как будет'!AD81)</f>
        <v>0</v>
      </c>
      <c r="AD308" s="244">
        <f>('Как будет'!AE25+'Как будет'!AE53+'Как будет'!AE81)</f>
        <v>0</v>
      </c>
      <c r="AE308" s="244">
        <f>('Как будет'!AF25+'Как будет'!AF53+'Как будет'!AF81)</f>
        <v>0</v>
      </c>
      <c r="AF308" s="244">
        <f>('Как будет'!AG25+'Как будет'!AG53+'Как будет'!AG81)</f>
        <v>0</v>
      </c>
      <c r="AG308" s="244">
        <f>('Как будет'!AH25+'Как будет'!AH53+'Как будет'!AH81)</f>
        <v>0</v>
      </c>
      <c r="AH308" s="244">
        <f>('Как будет'!AI25+'Как будет'!AI53+'Как будет'!AI81)</f>
        <v>0</v>
      </c>
      <c r="AI308" s="244">
        <f>('Как будет'!AJ25+'Как будет'!AJ53+'Как будет'!AJ81)</f>
        <v>0</v>
      </c>
      <c r="AJ308" s="244">
        <f>('Как будет'!AK25+'Как будет'!AK53+'Как будет'!AK81)</f>
        <v>0</v>
      </c>
      <c r="AK308" s="244">
        <f>('Как будет'!AL25+'Как будет'!AL53+'Как будет'!AL81)</f>
        <v>0</v>
      </c>
      <c r="AL308" s="244">
        <f>('Как будет'!AM25+'Как будет'!AM53+'Как будет'!AM81)</f>
        <v>0</v>
      </c>
      <c r="AM308" s="244">
        <f>('Как будет'!AN25+'Как будет'!AN53+'Как будет'!AN81)</f>
        <v>0</v>
      </c>
      <c r="AN308" s="244">
        <f>('Как будет'!AO25+'Как будет'!AO53+'Как будет'!AO81)</f>
        <v>0</v>
      </c>
      <c r="AO308" s="244">
        <f>('Как будет'!AP25+'Как будет'!AP53+'Как будет'!AP81)</f>
        <v>0</v>
      </c>
      <c r="AP308" s="244">
        <f>('Как будет'!AQ25+'Как будет'!AQ53+'Как будет'!AQ81)</f>
        <v>0</v>
      </c>
      <c r="AQ308" s="244">
        <f>('Как будет'!AR25+'Как будет'!AR53+'Как будет'!AR81)</f>
        <v>0</v>
      </c>
      <c r="AR308" s="244">
        <f>('Как будет'!AS25+'Как будет'!AS53+'Как будет'!AS81)</f>
        <v>0</v>
      </c>
      <c r="AS308" s="244">
        <f>('Как будет'!AT25+'Как будет'!AT53+'Как будет'!AT81)</f>
        <v>0</v>
      </c>
      <c r="AT308" s="244">
        <f>('Как будет'!AU25+'Как будет'!AU53+'Как будет'!AU81)</f>
        <v>0</v>
      </c>
      <c r="AU308" s="244">
        <f>('Как будет'!AV25+'Как будет'!AV53+'Как будет'!AV81)</f>
        <v>0</v>
      </c>
      <c r="AV308" s="244">
        <f>('Как будет'!AW25+'Как будет'!AW53+'Как будет'!AW81)</f>
        <v>0</v>
      </c>
      <c r="AW308" s="244">
        <f>('Как будет'!AX25+'Как будет'!AX53+'Как будет'!AX81)</f>
        <v>0</v>
      </c>
      <c r="AX308" s="244">
        <f>('Как будет'!AY25+'Как будет'!AY53+'Как будет'!AY81)</f>
        <v>0</v>
      </c>
      <c r="AY308" s="244">
        <f>('Как будет'!AZ25+'Как будет'!AZ53+'Как будет'!AZ81)</f>
        <v>0</v>
      </c>
      <c r="AZ308" s="244">
        <f>('Как будет'!BA25+'Как будет'!BA53+'Как будет'!BA81)</f>
        <v>0</v>
      </c>
      <c r="BA308" s="244">
        <f>('Как будет'!BB25+'Как будет'!BB53+'Как будет'!BB81)</f>
        <v>0</v>
      </c>
      <c r="BB308" s="244">
        <f>('Как будет'!BC25+'Как будет'!BC53+'Как будет'!BC81)</f>
        <v>0</v>
      </c>
      <c r="BC308" s="244">
        <f>('Как будет'!BD25+'Как будет'!BD53+'Как будет'!BD81)</f>
        <v>0</v>
      </c>
      <c r="BD308" s="244">
        <f>('Как будет'!BE25+'Как будет'!BE53+'Как будет'!BE81)</f>
        <v>0</v>
      </c>
      <c r="BE308" s="244">
        <f>('Как будет'!BF25+'Как будет'!BF53+'Как будет'!BF81)</f>
        <v>0</v>
      </c>
      <c r="BF308" s="244">
        <f>('Как будет'!BG25+'Как будет'!BG53+'Как будет'!BG81)</f>
        <v>0</v>
      </c>
      <c r="BG308" s="244">
        <f>('Как будет'!BH25+'Как будет'!BH53+'Как будет'!BH81)</f>
        <v>0</v>
      </c>
      <c r="BH308" s="244">
        <f>('Как будет'!BI25+'Как будет'!BI53+'Как будет'!BI81)</f>
        <v>0</v>
      </c>
      <c r="BI308" s="244">
        <f>('Как будет'!BJ25+'Как будет'!BJ53+'Как будет'!BJ81)</f>
        <v>0</v>
      </c>
      <c r="BJ308" s="244">
        <f>('Как будет'!BK25+'Как будет'!BK53+'Как будет'!BK81)</f>
        <v>0</v>
      </c>
      <c r="BK308" s="244">
        <f>('Как будет'!BL25+'Как будет'!BL53+'Как будет'!BL81)</f>
        <v>0</v>
      </c>
      <c r="BL308" s="244">
        <f>('Как будет'!BM25+'Как будет'!BM53+'Как будет'!BM81)</f>
        <v>0</v>
      </c>
      <c r="BM308" s="244">
        <f>('Как будет'!BN25+'Как будет'!BN53+'Как будет'!BN81)</f>
        <v>0</v>
      </c>
      <c r="BN308" s="244">
        <f>('Как будет'!BO25+'Как будет'!BO53+'Как будет'!BO81)</f>
        <v>0</v>
      </c>
      <c r="BO308" s="244">
        <f>('Как будет'!BP25+'Как будет'!BP53+'Как будет'!BP81)</f>
        <v>0</v>
      </c>
      <c r="BP308" s="244">
        <f>('Как будет'!BQ25+'Как будет'!BQ53+'Как будет'!BQ81)</f>
        <v>0</v>
      </c>
      <c r="BQ308" s="244">
        <f>('Как будет'!BR25+'Как будет'!BR53+'Как будет'!BR81)</f>
        <v>0</v>
      </c>
      <c r="BR308" s="244">
        <f>('Как будет'!BS25+'Как будет'!BS53+'Как будет'!BS81)</f>
        <v>0</v>
      </c>
      <c r="BS308" s="244">
        <f>('Как будет'!BT25+'Как будет'!BT53+'Как будет'!BT81)</f>
        <v>0</v>
      </c>
      <c r="BT308" s="244">
        <f>('Как будет'!BU25+'Как будет'!BU53+'Как будет'!BU81)</f>
        <v>0</v>
      </c>
      <c r="BU308" s="244">
        <f>('Как будет'!BV25+'Как будет'!BV53+'Как будет'!BV81)</f>
        <v>0</v>
      </c>
      <c r="BV308" s="244">
        <f>('Как будет'!BW25+'Как будет'!BW53+'Как будет'!BW81)</f>
        <v>0</v>
      </c>
      <c r="BW308" s="244">
        <f>('Как будет'!BX25+'Как будет'!BX53+'Как будет'!BX81)</f>
        <v>0</v>
      </c>
      <c r="BX308" s="244">
        <f>('Как будет'!BY25+'Как будет'!BY53+'Как будет'!BY81)</f>
        <v>0</v>
      </c>
      <c r="BY308" s="244">
        <f>('Как будет'!BZ25+'Как будет'!BZ53+'Как будет'!BZ81)</f>
        <v>0</v>
      </c>
      <c r="BZ308" s="244">
        <f>('Как будет'!CA25+'Как будет'!CA53+'Как будет'!CA81)</f>
        <v>0</v>
      </c>
      <c r="CA308" s="244">
        <f>('Как будет'!CB25+'Как будет'!CB53+'Как будет'!CB81)</f>
        <v>0</v>
      </c>
      <c r="CB308" s="244">
        <f>('Как будет'!CC25+'Как будет'!CC53+'Как будет'!CC81)</f>
        <v>0</v>
      </c>
      <c r="CC308" s="244">
        <f>('Как будет'!CD25+'Как будет'!CD53+'Как будет'!CD81)</f>
        <v>0</v>
      </c>
      <c r="CD308" s="244">
        <f>('Как будет'!CE25+'Как будет'!CE53+'Как будет'!CE81)</f>
        <v>0</v>
      </c>
      <c r="CE308" s="244">
        <f>('Как будет'!CF25+'Как будет'!CF53+'Как будет'!CF81)</f>
        <v>0</v>
      </c>
      <c r="CF308" s="244">
        <f>('Как будет'!CG25+'Как будет'!CG53+'Как будет'!CG81)</f>
        <v>0</v>
      </c>
      <c r="CG308" s="244">
        <f>('Как будет'!CH25+'Как будет'!CH53+'Как будет'!CH81)</f>
        <v>0</v>
      </c>
      <c r="CH308" s="244">
        <f>('Как будет'!CI25+'Как будет'!CI53+'Как будет'!CI81)</f>
        <v>0</v>
      </c>
      <c r="CI308" s="244">
        <f>('Как будет'!CJ25+'Как будет'!CJ53+'Как будет'!CJ81)</f>
        <v>0</v>
      </c>
      <c r="CJ308" s="244">
        <f>('Как будет'!CK25+'Как будет'!CK53+'Как будет'!CK81)</f>
        <v>0</v>
      </c>
      <c r="CK308" s="244">
        <f>('Как будет'!CL25+'Как будет'!CL53+'Как будет'!CL81)</f>
        <v>0</v>
      </c>
      <c r="CL308" s="244">
        <f>('Как будет'!CM25+'Как будет'!CM53+'Как будет'!CM81)</f>
        <v>0</v>
      </c>
      <c r="CM308" s="244">
        <f>('Как будет'!CN25+'Как будет'!CN53+'Как будет'!CN81)</f>
        <v>0</v>
      </c>
      <c r="CN308" s="244">
        <f>('Как будет'!CO25+'Как будет'!CO53+'Как будет'!CO81)</f>
        <v>0</v>
      </c>
      <c r="CO308" s="244">
        <f>('Как будет'!CP25+'Как будет'!CP53+'Как будет'!CP81)</f>
        <v>0</v>
      </c>
      <c r="CP308" s="244">
        <f>('Как будет'!CQ25+'Как будет'!CQ53+'Как будет'!CQ81)</f>
        <v>0</v>
      </c>
      <c r="CQ308" s="244">
        <f>('Как будет'!CR25+'Как будет'!CR53+'Как будет'!CR81)</f>
        <v>0</v>
      </c>
      <c r="CR308" s="244">
        <f>('Как будет'!CS25+'Как будет'!CS53+'Как будет'!CS81)</f>
        <v>0</v>
      </c>
      <c r="CS308" s="244">
        <f>('Как будет'!CT25+'Как будет'!CT53+'Как будет'!CT81)</f>
        <v>0</v>
      </c>
      <c r="CT308" s="244">
        <f>('Как будет'!CU25+'Как будет'!CU53+'Как будет'!CU81)</f>
        <v>0</v>
      </c>
      <c r="CU308" s="244">
        <f>('Как будет'!CV25+'Как будет'!CV53+'Как будет'!CV81)</f>
        <v>0</v>
      </c>
      <c r="CV308" s="244">
        <f>('Как будет'!CW25+'Как будет'!CW53+'Как будет'!CW81)</f>
        <v>0</v>
      </c>
      <c r="CW308" s="244">
        <f>('Как будет'!CX25+'Как будет'!CX53+'Как будет'!CX81)</f>
        <v>0</v>
      </c>
      <c r="CX308" s="244">
        <f>('Как будет'!CY25+'Как будет'!CY53+'Как будет'!CY81)</f>
        <v>0</v>
      </c>
      <c r="CY308" s="244">
        <f>('Как будет'!CZ25+'Как будет'!CZ53+'Как будет'!CZ81)</f>
        <v>0</v>
      </c>
      <c r="CZ308" s="244">
        <f>('Как будет'!DA25+'Как будет'!DA53+'Как будет'!DA81)</f>
        <v>0</v>
      </c>
      <c r="DA308" s="244">
        <f>('Как будет'!DB25+'Как будет'!DB53+'Как будет'!DB81)</f>
        <v>0</v>
      </c>
      <c r="DB308" s="244">
        <f>('Как будет'!DC25+'Как будет'!DC53+'Как будет'!DC81)</f>
        <v>0</v>
      </c>
      <c r="DC308" s="244">
        <f>('Как будет'!DD25+'Как будет'!DD53+'Как будет'!DD81)</f>
        <v>0</v>
      </c>
      <c r="DD308" s="244">
        <f>('Как будет'!DE25+'Как будет'!DE53+'Как будет'!DE81)</f>
        <v>0</v>
      </c>
      <c r="DE308" s="244">
        <f>('Как будет'!DF25+'Как будет'!DF53+'Как будет'!DF81)</f>
        <v>0</v>
      </c>
      <c r="DF308" s="244">
        <f>('Как будет'!DG25+'Как будет'!DG53+'Как будет'!DG81)</f>
        <v>0</v>
      </c>
      <c r="DG308" s="244">
        <f>('Как будет'!DH25+'Как будет'!DH53+'Как будет'!DH81)</f>
        <v>0</v>
      </c>
      <c r="DH308" s="244">
        <f>('Как будет'!DI25+'Как будет'!DI53+'Как будет'!DI81)</f>
        <v>0</v>
      </c>
      <c r="DI308" s="244">
        <f>('Как будет'!DJ25+'Как будет'!DJ53+'Как будет'!DJ81)</f>
        <v>0</v>
      </c>
      <c r="DJ308" s="244">
        <f>('Как будет'!DK25+'Как будет'!DK53+'Как будет'!DK81)</f>
        <v>0</v>
      </c>
      <c r="DK308" s="244">
        <f>('Как будет'!DL25+'Как будет'!DL53+'Как будет'!DL81)</f>
        <v>0</v>
      </c>
      <c r="DL308" s="244">
        <f>('Как будет'!DM25+'Как будет'!DM53+'Как будет'!DM81)</f>
        <v>0</v>
      </c>
      <c r="DM308" s="244">
        <f>('Как будет'!DN25+'Как будет'!DN53+'Как будет'!DN81)</f>
        <v>0</v>
      </c>
      <c r="DN308" s="244">
        <f>('Как будет'!DO25+'Как будет'!DO53+'Как будет'!DO81)</f>
        <v>0</v>
      </c>
      <c r="DO308" s="244">
        <f>('Как будет'!DP25+'Как будет'!DP53+'Как будет'!DP81)</f>
        <v>0</v>
      </c>
      <c r="DP308" s="244">
        <f>('Как будет'!DQ25+'Как будет'!DQ53+'Как будет'!DQ81)</f>
        <v>0</v>
      </c>
      <c r="DQ308" s="244">
        <f>('Как будет'!DR25+'Как будет'!DR53+'Как будет'!DR81)</f>
        <v>0</v>
      </c>
      <c r="DR308" s="244">
        <f>('Как будет'!DS25+'Как будет'!DS53+'Как будет'!DS81)</f>
        <v>0</v>
      </c>
      <c r="DS308" s="244">
        <f>('Как будет'!DT25+'Как будет'!DT53+'Как будет'!DT81)</f>
        <v>0</v>
      </c>
      <c r="DT308" s="244">
        <f>('Как будет'!DU25+'Как будет'!DU53+'Как будет'!DU81)</f>
        <v>0</v>
      </c>
      <c r="DU308" s="244">
        <f>('Как будет'!DV25+'Как будет'!DV53+'Как будет'!DV81)</f>
        <v>0</v>
      </c>
      <c r="DV308" s="244">
        <f>('Как будет'!DW25+'Как будет'!DW53+'Как будет'!DW81)</f>
        <v>0</v>
      </c>
      <c r="DW308" s="244">
        <f>('Как будет'!DX25+'Как будет'!DX53+'Как будет'!DX81)</f>
        <v>0</v>
      </c>
      <c r="DX308" s="244">
        <f>('Как будет'!DY25+'Как будет'!DY53+'Как будет'!DY81)</f>
        <v>0</v>
      </c>
      <c r="DY308" s="244">
        <f>('Как будет'!DZ25+'Как будет'!DZ53+'Как будет'!DZ81)</f>
        <v>0</v>
      </c>
      <c r="DZ308" s="244">
        <f>('Как будет'!EA25+'Как будет'!EA53+'Как будет'!EA81)</f>
        <v>0</v>
      </c>
      <c r="EA308" s="244">
        <f>('Как будет'!EB25+'Как будет'!EB53+'Как будет'!EB81)</f>
        <v>0</v>
      </c>
      <c r="EB308" s="244">
        <f>('Как будет'!EC25+'Как будет'!EC53+'Как будет'!EC81)</f>
        <v>0</v>
      </c>
      <c r="EC308" s="244">
        <f>('Как будет'!ED25+'Как будет'!ED53+'Как будет'!ED81)</f>
        <v>0</v>
      </c>
      <c r="ED308" s="244">
        <f>('Как будет'!EE25+'Как будет'!EE53+'Как будет'!EE81)</f>
        <v>0</v>
      </c>
      <c r="EE308" s="244">
        <f>('Как будет'!EF25+'Как будет'!EF53+'Как будет'!EF81)</f>
        <v>0</v>
      </c>
      <c r="EF308" s="244">
        <f>('Как будет'!EG25+'Как будет'!EG53+'Как будет'!EG81)</f>
        <v>0</v>
      </c>
      <c r="EG308" s="244">
        <f>('Как будет'!EH25+'Как будет'!EH53+'Как будет'!EH81)</f>
        <v>0</v>
      </c>
      <c r="EH308" s="244">
        <f>('Как будет'!EI25+'Как будет'!EI53+'Как будет'!EI81)</f>
        <v>0</v>
      </c>
      <c r="EI308" s="244">
        <f>('Как будет'!EJ25+'Как будет'!EJ53+'Как будет'!EJ81)</f>
        <v>0</v>
      </c>
      <c r="EJ308" s="244">
        <f>('Как будет'!EK25+'Как будет'!EK53+'Как будет'!EK81)</f>
        <v>0</v>
      </c>
      <c r="EK308" s="244">
        <f>('Как будет'!EL25+'Как будет'!EL53+'Как будет'!EL81)</f>
        <v>0</v>
      </c>
      <c r="EL308" s="244">
        <f>('Как будет'!EM25+'Как будет'!EM53+'Как будет'!EM81)</f>
        <v>0</v>
      </c>
      <c r="EM308" s="244">
        <f>('Как будет'!EN25+'Как будет'!EN53+'Как будет'!EN81)</f>
        <v>0</v>
      </c>
      <c r="EN308" s="244">
        <f>('Как будет'!EO25+'Как будет'!EO53+'Как будет'!EO81)</f>
        <v>0</v>
      </c>
      <c r="EO308" s="244">
        <f>('Как будет'!EP25+'Как будет'!EP53+'Как будет'!EP81)</f>
        <v>0</v>
      </c>
      <c r="EP308" s="244">
        <f>('Как будет'!EQ25+'Как будет'!EQ53+'Как будет'!EQ81)</f>
        <v>0</v>
      </c>
      <c r="EQ308" s="244">
        <f>('Как будет'!ER25+'Как будет'!ER53+'Как будет'!ER81)</f>
        <v>0</v>
      </c>
      <c r="ER308" s="244">
        <f>('Как будет'!ES25+'Как будет'!ES53+'Как будет'!ES81)</f>
        <v>0</v>
      </c>
      <c r="ES308" s="244">
        <f>('Как будет'!ET25+'Как будет'!ET53+'Как будет'!ET81)</f>
        <v>0</v>
      </c>
      <c r="ET308" s="244">
        <f>('Как будет'!EU25+'Как будет'!EU53+'Как будет'!EU81)</f>
        <v>0</v>
      </c>
      <c r="EU308" s="244">
        <f>('Как будет'!EV25+'Как будет'!EV53+'Как будет'!EV81)</f>
        <v>0</v>
      </c>
      <c r="EV308" s="244">
        <f>('Как будет'!EW25+'Как будет'!EW53+'Как будет'!EW81)</f>
        <v>0</v>
      </c>
      <c r="EW308" s="244">
        <f>('Как будет'!EX25+'Как будет'!EX53+'Как будет'!EX81)</f>
        <v>0</v>
      </c>
      <c r="EX308" s="244">
        <f>('Как будет'!EY25+'Как будет'!EY53+'Как будет'!EY81)</f>
        <v>0</v>
      </c>
      <c r="EY308" s="244">
        <f>('Как будет'!EZ25+'Как будет'!EZ53+'Как будет'!EZ81)</f>
        <v>0</v>
      </c>
      <c r="EZ308" s="244">
        <f>('Как будет'!FA25+'Как будет'!FA53+'Как будет'!FA81)</f>
        <v>0</v>
      </c>
      <c r="FA308" s="244">
        <f>('Как будет'!FB25+'Как будет'!FB53+'Как будет'!FB81)</f>
        <v>0</v>
      </c>
      <c r="FB308" s="244">
        <f>('Как будет'!FC25+'Как будет'!FC53+'Как будет'!FC81)</f>
        <v>0</v>
      </c>
      <c r="FC308" s="244">
        <f>('Как будет'!FD25+'Как будет'!FD53+'Как будет'!FD81)</f>
        <v>0</v>
      </c>
      <c r="FD308" s="244">
        <f>('Как будет'!FE25+'Как будет'!FE53+'Как будет'!FE81)</f>
        <v>0</v>
      </c>
      <c r="FE308" s="244">
        <f>('Как будет'!FF25+'Как будет'!FF53+'Как будет'!FF81)</f>
        <v>0</v>
      </c>
      <c r="FF308" s="244">
        <f>('Как будет'!FG25+'Как будет'!FG53+'Как будет'!FG81)</f>
        <v>0</v>
      </c>
      <c r="FG308" s="244">
        <f>('Как будет'!FH25+'Как будет'!FH53+'Как будет'!FH81)</f>
        <v>0</v>
      </c>
      <c r="FH308" s="244">
        <f>('Как будет'!FI25+'Как будет'!FI53+'Как будет'!FI81)</f>
        <v>0</v>
      </c>
      <c r="FI308" s="244">
        <f>('Как будет'!FJ25+'Как будет'!FJ53+'Как будет'!FJ81)</f>
        <v>0</v>
      </c>
      <c r="FJ308" s="244">
        <f>('Как будет'!FK25+'Как будет'!FK53+'Как будет'!FK81)</f>
        <v>0</v>
      </c>
      <c r="FK308" s="244">
        <f>('Как будет'!FL25+'Как будет'!FL53+'Как будет'!FL81)</f>
        <v>0</v>
      </c>
      <c r="FL308" s="244">
        <f>('Как будет'!FM25+'Как будет'!FM53+'Как будет'!FM81)</f>
        <v>0</v>
      </c>
      <c r="FM308" s="244">
        <f>('Как будет'!FN25+'Как будет'!FN53+'Как будет'!FN81)</f>
        <v>0</v>
      </c>
      <c r="FN308" s="244">
        <f>('Как будет'!FO25+'Как будет'!FO53+'Как будет'!FO81)</f>
        <v>0</v>
      </c>
      <c r="FO308" s="244">
        <f>('Как будет'!FP25+'Как будет'!FP53+'Как будет'!FP81)</f>
        <v>0</v>
      </c>
      <c r="FP308" s="244">
        <f>('Как будет'!FQ25+'Как будет'!FQ53+'Как будет'!FQ81)</f>
        <v>0</v>
      </c>
      <c r="FQ308" s="244">
        <f>('Как будет'!FR25+'Как будет'!FR53+'Как будет'!FR81)</f>
        <v>0</v>
      </c>
      <c r="FR308" s="244">
        <f>('Как будет'!FS25+'Как будет'!FS53+'Как будет'!FS81)</f>
        <v>0</v>
      </c>
      <c r="FS308" s="244">
        <f>('Как будет'!FT25+'Как будет'!FT53+'Как будет'!FT81)</f>
        <v>0</v>
      </c>
      <c r="FT308" s="244">
        <f>('Как будет'!FU25+'Как будет'!FU53+'Как будет'!FU81)</f>
        <v>0</v>
      </c>
      <c r="FU308" s="244">
        <f>('Как будет'!FV25+'Как будет'!FV53+'Как будет'!FV81)</f>
        <v>0</v>
      </c>
      <c r="FV308" s="244">
        <f>('Как будет'!FW25+'Как будет'!FW53+'Как будет'!FW81)</f>
        <v>0</v>
      </c>
      <c r="FW308" s="244">
        <f>('Как будет'!FX25+'Как будет'!FX53+'Как будет'!FX81)</f>
        <v>0</v>
      </c>
      <c r="FX308" s="244">
        <f>('Как будет'!FY25+'Как будет'!FY53+'Как будет'!FY81)</f>
        <v>0</v>
      </c>
      <c r="FY308" s="244">
        <f>('Как будет'!FZ25+'Как будет'!FZ53+'Как будет'!FZ81)</f>
        <v>0</v>
      </c>
      <c r="FZ308" s="244">
        <f>('Как будет'!GA25+'Как будет'!GA53+'Как будет'!GA81)</f>
        <v>0</v>
      </c>
      <c r="GA308" s="244">
        <f>('Как будет'!GB25+'Как будет'!GB53+'Как будет'!GB81)</f>
        <v>0</v>
      </c>
      <c r="GB308" s="244">
        <f>('Как будет'!GC25+'Как будет'!GC53+'Как будет'!GC81)</f>
        <v>0</v>
      </c>
      <c r="GC308" s="244">
        <f>('Как будет'!GD25+'Как будет'!GD53+'Как будет'!GD81)</f>
        <v>0</v>
      </c>
      <c r="GD308" s="244">
        <f>('Как будет'!GE25+'Как будет'!GE53+'Как будет'!GE81)</f>
        <v>0</v>
      </c>
      <c r="GE308" s="244">
        <f>('Как будет'!GF25+'Как будет'!GF53+'Как будет'!GF81)</f>
        <v>0</v>
      </c>
      <c r="GF308" s="244">
        <f>('Как будет'!GG25+'Как будет'!GG53+'Как будет'!GG81)</f>
        <v>0</v>
      </c>
      <c r="GG308" s="244">
        <f>('Как будет'!GH25+'Как будет'!GH53+'Как будет'!GH81)</f>
        <v>0</v>
      </c>
      <c r="GH308" s="244">
        <f>('Как будет'!GI25+'Как будет'!GI53+'Как будет'!GI81)</f>
        <v>0</v>
      </c>
      <c r="GI308" s="244">
        <f>('Как будет'!GJ25+'Как будет'!GJ53+'Как будет'!GJ81)</f>
        <v>0</v>
      </c>
      <c r="GJ308" s="244">
        <f>('Как будет'!GK25+'Как будет'!GK53+'Как будет'!GK81)</f>
        <v>0</v>
      </c>
      <c r="GK308" s="244">
        <f>('Как будет'!GL25+'Как будет'!GL53+'Как будет'!GL81)</f>
        <v>0</v>
      </c>
      <c r="GL308" s="244">
        <f>('Как будет'!GM25+'Как будет'!GM53+'Как будет'!GM81)</f>
        <v>0</v>
      </c>
      <c r="GM308" s="244">
        <f>('Как будет'!GN25+'Как будет'!GN53+'Как будет'!GN81)</f>
        <v>0</v>
      </c>
      <c r="GN308" s="244">
        <f>('Как будет'!GO25+'Как будет'!GO53+'Как будет'!GO81)</f>
        <v>0</v>
      </c>
      <c r="GO308" s="244">
        <f>('Как будет'!GP25+'Как будет'!GP53+'Как будет'!GP81)</f>
        <v>0</v>
      </c>
      <c r="GP308" s="244">
        <f>('Как будет'!GQ25+'Как будет'!GQ53+'Как будет'!GQ81)</f>
        <v>0</v>
      </c>
      <c r="GQ308" s="244">
        <f>('Как будет'!GR25+'Как будет'!GR53+'Как будет'!GR81)</f>
        <v>0</v>
      </c>
      <c r="GR308" s="244">
        <f>('Как будет'!GS25+'Как будет'!GS53+'Как будет'!GS81)</f>
        <v>0</v>
      </c>
      <c r="GS308" s="244">
        <f>('Как будет'!GT25+'Как будет'!GT53+'Как будет'!GT81)</f>
        <v>0</v>
      </c>
      <c r="GT308" s="244">
        <f>('Как будет'!GU25+'Как будет'!GU53+'Как будет'!GU81)</f>
        <v>0</v>
      </c>
    </row>
    <row r="309" spans="1:202">
      <c r="A309" s="255" t="s">
        <v>58</v>
      </c>
      <c r="B309">
        <f>(B304/'Как будет'!$C$7)*IF(B4="",0,1)</f>
        <v>0</v>
      </c>
      <c r="C309">
        <f>((C304/'Как будет'!$C$7)+B309)*IF(C4="",0,1)</f>
        <v>0</v>
      </c>
      <c r="D309">
        <f>((D304/'Как будет'!$C$7)+C309)*IF(D4="",0,1)</f>
        <v>0</v>
      </c>
      <c r="E309">
        <f>((E304/'Как будет'!$C$7)+D309)*IF(E4="",0,1)</f>
        <v>0</v>
      </c>
      <c r="F309">
        <f>((F304/'Как будет'!$C$7)+E309)*IF(F4="",0,1)</f>
        <v>0</v>
      </c>
      <c r="G309">
        <f>((G304/'Как будет'!$C$7)+F309)*IF(G4="",0,1)</f>
        <v>0</v>
      </c>
      <c r="H309">
        <f>((H304/'Как будет'!$C$7)+G309)*IF(H4="",0,1)</f>
        <v>0</v>
      </c>
      <c r="I309">
        <f>((I304/'Как будет'!$C$7)+H309)*IF(I4="",0,1)</f>
        <v>0</v>
      </c>
      <c r="J309">
        <f>((J304/'Как будет'!$C$7)+I309)*IF(J4="",0,1)</f>
        <v>0</v>
      </c>
      <c r="K309">
        <f>((K304/'Как будет'!$C$7)+J309)*IF(K4="",0,1)</f>
        <v>0</v>
      </c>
      <c r="L309">
        <f>((L304/'Как будет'!$C$7)+K309)*IF(L4="",0,1)</f>
        <v>0</v>
      </c>
      <c r="M309">
        <f>((M304/'Как будет'!$C$7)+L309)*IF(M4="",0,1)</f>
        <v>0</v>
      </c>
      <c r="N309">
        <f>((N304/'Как будет'!$C$7)+M309)*IF(N4="",0,1)</f>
        <v>0</v>
      </c>
      <c r="O309">
        <f>((O304/'Как будет'!$C$7)+N309)*IF(O4="",0,1)</f>
        <v>0</v>
      </c>
      <c r="P309">
        <f>((P304/'Как будет'!$C$7)+O309)*IF(P4="",0,1)</f>
        <v>0</v>
      </c>
      <c r="Q309">
        <f>((Q304/'Как будет'!$C$7)+P309)*IF(Q4="",0,1)</f>
        <v>0</v>
      </c>
      <c r="R309">
        <f>((R304/'Как будет'!$C$7)+Q309)*IF(R4="",0,1)</f>
        <v>0</v>
      </c>
      <c r="S309">
        <f>((S304/'Как будет'!$C$7)+R309)*IF(S4="",0,1)</f>
        <v>0</v>
      </c>
      <c r="T309">
        <f>((T304/'Как будет'!$C$7)+S309)*IF(T4="",0,1)</f>
        <v>0</v>
      </c>
      <c r="U309">
        <f>((U304/'Как будет'!$C$7)+T309)*IF(U4="",0,1)</f>
        <v>0</v>
      </c>
      <c r="V309">
        <f>((V304/'Как будет'!$C$7)+U309)*IF(V4="",0,1)</f>
        <v>0</v>
      </c>
      <c r="W309">
        <f>((W304/'Как будет'!$C$7)+V309)*IF(W4="",0,1)</f>
        <v>0</v>
      </c>
      <c r="X309">
        <f>((X304/'Как будет'!$C$7)+W309)*IF(X4="",0,1)</f>
        <v>0</v>
      </c>
      <c r="Y309">
        <f>((Y304/'Как будет'!$C$7)+X309)*IF(Y4="",0,1)</f>
        <v>0</v>
      </c>
      <c r="Z309">
        <f>((Z304/'Как будет'!$C$7)+Y309)*IF(Z4="",0,1)</f>
        <v>0</v>
      </c>
      <c r="AA309">
        <f>((AA304/'Как будет'!$C$7)+Z309)*IF(AA4="",0,1)</f>
        <v>0</v>
      </c>
      <c r="AB309">
        <f>((AB304/'Как будет'!$C$7)+AA309)*IF(AB4="",0,1)</f>
        <v>0</v>
      </c>
      <c r="AC309">
        <f>((AC304/'Как будет'!$C$7)+AB309)*IF(AC4="",0,1)</f>
        <v>0</v>
      </c>
      <c r="AD309">
        <f>((AD304/'Как будет'!$C$7)+AC309)*IF(AD4="",0,1)</f>
        <v>0</v>
      </c>
      <c r="AE309">
        <f>((AE304/'Как будет'!$C$7)+AD309)*IF(AE4="",0,1)</f>
        <v>0</v>
      </c>
      <c r="AF309">
        <f>((AF304/'Как будет'!$C$7)+AE309)*IF(AF4="",0,1)</f>
        <v>0</v>
      </c>
      <c r="AG309">
        <f>((AG304/'Как будет'!$C$7)+AF309)*IF(AG4="",0,1)</f>
        <v>0</v>
      </c>
      <c r="AH309">
        <f>((AH304/'Как будет'!$C$7)+AG309)*IF(AH4="",0,1)</f>
        <v>0</v>
      </c>
      <c r="AI309">
        <f>((AI304/'Как будет'!$C$7)+AH309)*IF(AI4="",0,1)</f>
        <v>0</v>
      </c>
      <c r="AJ309">
        <f>((AJ304/'Как будет'!$C$7)+AI309)*IF(AJ4="",0,1)</f>
        <v>0</v>
      </c>
      <c r="AK309">
        <f>((AK304/'Как будет'!$C$7)+AJ309)*IF(AK4="",0,1)</f>
        <v>0</v>
      </c>
      <c r="AL309">
        <f>((AL304/'Как будет'!$C$7)+AK309)*IF(AL4="",0,1)</f>
        <v>0</v>
      </c>
      <c r="AM309">
        <f>((AM304/'Как будет'!$C$7)+AL309)*IF(AM4="",0,1)</f>
        <v>0</v>
      </c>
      <c r="AN309">
        <f>((AN304/'Как будет'!$C$7)+AM309)*IF(AN4="",0,1)</f>
        <v>0</v>
      </c>
      <c r="AO309">
        <f>((AO304/'Как будет'!$C$7)+AN309)*IF(AO4="",0,1)</f>
        <v>0</v>
      </c>
      <c r="AP309">
        <f>((AP304/'Как будет'!$C$7)+AO309)*IF(AP4="",0,1)</f>
        <v>0</v>
      </c>
      <c r="AQ309">
        <f>((AQ304/'Как будет'!$C$7)+AP309)*IF(AQ4="",0,1)</f>
        <v>0</v>
      </c>
      <c r="AR309">
        <f>((AR304/'Как будет'!$C$7)+AQ309)*IF(AR4="",0,1)</f>
        <v>0</v>
      </c>
      <c r="AS309">
        <f>((AS304/'Как будет'!$C$7)+AR309)*IF(AS4="",0,1)</f>
        <v>0</v>
      </c>
      <c r="AT309">
        <f>((AT304/'Как будет'!$C$7)+AS309)*IF(AT4="",0,1)</f>
        <v>0</v>
      </c>
      <c r="AU309">
        <f>((AU304/'Как будет'!$C$7)+AT309)*IF(AU4="",0,1)</f>
        <v>0</v>
      </c>
      <c r="AV309">
        <f>((AV304/'Как будет'!$C$7)+AU309)*IF(AV4="",0,1)</f>
        <v>0</v>
      </c>
      <c r="AW309">
        <f>((AW304/'Как будет'!$C$7)+AV309)*IF(AW4="",0,1)</f>
        <v>0</v>
      </c>
      <c r="AX309">
        <f>((AX304/'Как будет'!$C$7)+AW309)*IF(AX4="",0,1)</f>
        <v>0</v>
      </c>
      <c r="AY309">
        <f>((AY304/'Как будет'!$C$7)+AX309)*IF(AY4="",0,1)</f>
        <v>0</v>
      </c>
      <c r="AZ309">
        <f>((AZ304/'Как будет'!$C$7)+AY309)*IF(AZ4="",0,1)</f>
        <v>0</v>
      </c>
      <c r="BA309">
        <f>((BA304/'Как будет'!$C$7)+AZ309)*IF(BA4="",0,1)</f>
        <v>0</v>
      </c>
      <c r="BB309">
        <f>((BB304/'Как будет'!$C$7)+BA309)*IF(BB4="",0,1)</f>
        <v>0</v>
      </c>
      <c r="BC309">
        <f>((BC304/'Как будет'!$C$7)+BB309)*IF(BC4="",0,1)</f>
        <v>0</v>
      </c>
      <c r="BD309">
        <f>((BD304/'Как будет'!$C$7)+BC309)*IF(BD4="",0,1)</f>
        <v>0</v>
      </c>
      <c r="BE309">
        <f>((BE304/'Как будет'!$C$7)+BD309)*IF(BE4="",0,1)</f>
        <v>0</v>
      </c>
      <c r="BF309">
        <f>((BF304/'Как будет'!$C$7)+BE309)*IF(BF4="",0,1)</f>
        <v>0</v>
      </c>
      <c r="BG309">
        <f>((BG304/'Как будет'!$C$7)+BF309)*IF(BG4="",0,1)</f>
        <v>0</v>
      </c>
      <c r="BH309">
        <f>((BH304/'Как будет'!$C$7)+BG309)*IF(BH4="",0,1)</f>
        <v>0</v>
      </c>
      <c r="BI309">
        <f>((BI304/'Как будет'!$C$7)+BH309)*IF(BI4="",0,1)</f>
        <v>0</v>
      </c>
      <c r="BJ309">
        <f>((BJ304/'Как будет'!$C$7)+BI309)*IF(BJ4="",0,1)</f>
        <v>0</v>
      </c>
      <c r="BK309">
        <f>((BK304/'Как будет'!$C$7)+BJ309)*IF(BK4="",0,1)</f>
        <v>0</v>
      </c>
      <c r="BL309">
        <f>((BL304/'Как будет'!$C$7)+BK309)*IF(BL4="",0,1)</f>
        <v>0</v>
      </c>
      <c r="BM309">
        <f>((BM304/'Как будет'!$C$7)+BL309)*IF(BM4="",0,1)</f>
        <v>0</v>
      </c>
      <c r="BN309">
        <f>((BN304/'Как будет'!$C$7)+BM309)*IF(BN4="",0,1)</f>
        <v>0</v>
      </c>
      <c r="BO309">
        <f>((BO304/'Как будет'!$C$7)+BN309)*IF(BO4="",0,1)</f>
        <v>0</v>
      </c>
      <c r="BP309">
        <f>((BP304/'Как будет'!$C$7)+BO309)*IF(BP4="",0,1)</f>
        <v>0</v>
      </c>
      <c r="BQ309">
        <f>((BQ304/'Как будет'!$C$7)+BP309)*IF(BQ4="",0,1)</f>
        <v>0</v>
      </c>
      <c r="BR309">
        <f>((BR304/'Как будет'!$C$7)+BQ309)*IF(BR4="",0,1)</f>
        <v>0</v>
      </c>
      <c r="BS309">
        <f>((BS304/'Как будет'!$C$7)+BR309)*IF(BS4="",0,1)</f>
        <v>0</v>
      </c>
      <c r="BT309">
        <f>((BT304/'Как будет'!$C$7)+BS309)*IF(BT4="",0,1)</f>
        <v>0</v>
      </c>
      <c r="BU309">
        <f>((BU304/'Как будет'!$C$7)+BT309)*IF(BU4="",0,1)</f>
        <v>0</v>
      </c>
      <c r="BV309">
        <f>((BV304/'Как будет'!$C$7)+BU309)*IF(BV4="",0,1)</f>
        <v>0</v>
      </c>
      <c r="BW309">
        <f>((BW304/'Как будет'!$C$7)+BV309)*IF(BW4="",0,1)</f>
        <v>0</v>
      </c>
      <c r="BX309">
        <f>((BX304/'Как будет'!$C$7)+BW309)*IF(BX4="",0,1)</f>
        <v>0</v>
      </c>
      <c r="BY309">
        <f>((BY304/'Как будет'!$C$7)+BX309)*IF(BY4="",0,1)</f>
        <v>0</v>
      </c>
      <c r="BZ309">
        <f>((BZ304/'Как будет'!$C$7)+BY309)*IF(BZ4="",0,1)</f>
        <v>0</v>
      </c>
      <c r="CA309">
        <f>((CA304/'Как будет'!$C$7)+BZ309)*IF(CA4="",0,1)</f>
        <v>0</v>
      </c>
      <c r="CB309">
        <f>((CB304/'Как будет'!$C$7)+CA309)*IF(CB4="",0,1)</f>
        <v>0</v>
      </c>
      <c r="CC309">
        <f>((CC304/'Как будет'!$C$7)+CB309)*IF(CC4="",0,1)</f>
        <v>0</v>
      </c>
      <c r="CD309">
        <f>((CD304/'Как будет'!$C$7)+CC309)*IF(CD4="",0,1)</f>
        <v>0</v>
      </c>
      <c r="CE309">
        <f>((CE304/'Как будет'!$C$7)+CD309)*IF(CE4="",0,1)</f>
        <v>0</v>
      </c>
      <c r="CF309">
        <f>((CF304/'Как будет'!$C$7)+CE309)*IF(CF4="",0,1)</f>
        <v>0</v>
      </c>
      <c r="CG309">
        <f>((CG304/'Как будет'!$C$7)+CF309)*IF(CG4="",0,1)</f>
        <v>0</v>
      </c>
      <c r="CH309">
        <f>((CH304/'Как будет'!$C$7)+CG309)*IF(CH4="",0,1)</f>
        <v>0</v>
      </c>
      <c r="CI309">
        <f>((CI304/'Как будет'!$C$7)+CH309)*IF(CI4="",0,1)</f>
        <v>0</v>
      </c>
      <c r="CJ309">
        <f>((CJ304/'Как будет'!$C$7)+CI309)*IF(CJ4="",0,1)</f>
        <v>0</v>
      </c>
      <c r="CK309">
        <f>((CK304/'Как будет'!$C$7)+CJ309)*IF(CK4="",0,1)</f>
        <v>0</v>
      </c>
      <c r="CL309">
        <f>((CL304/'Как будет'!$C$7)+CK309)*IF(CL4="",0,1)</f>
        <v>0</v>
      </c>
      <c r="CM309">
        <f>((CM304/'Как будет'!$C$7)+CL309)*IF(CM4="",0,1)</f>
        <v>0</v>
      </c>
      <c r="CN309">
        <f>((CN304/'Как будет'!$C$7)+CM309)*IF(CN4="",0,1)</f>
        <v>0</v>
      </c>
      <c r="CO309">
        <f>((CO304/'Как будет'!$C$7)+CN309)*IF(CO4="",0,1)</f>
        <v>0</v>
      </c>
      <c r="CP309">
        <f>((CP304/'Как будет'!$C$7)+CO309)*IF(CP4="",0,1)</f>
        <v>0</v>
      </c>
      <c r="CQ309">
        <f>((CQ304/'Как будет'!$C$7)+CP309)*IF(CQ4="",0,1)</f>
        <v>0</v>
      </c>
      <c r="CR309">
        <f>((CR304/'Как будет'!$C$7)+CQ309)*IF(CR4="",0,1)</f>
        <v>0</v>
      </c>
      <c r="CS309">
        <f>((CS304/'Как будет'!$C$7)+CR309)*IF(CS4="",0,1)</f>
        <v>0</v>
      </c>
      <c r="CT309">
        <f>((CT304/'Как будет'!$C$7)+CS309)*IF(CT4="",0,1)</f>
        <v>0</v>
      </c>
      <c r="CU309">
        <f>((CU304/'Как будет'!$C$7)+CT309)*IF(CU4="",0,1)</f>
        <v>0</v>
      </c>
      <c r="CV309">
        <f>((CV304/'Как будет'!$C$7)+CU309)*IF(CV4="",0,1)</f>
        <v>0</v>
      </c>
      <c r="CW309">
        <f>((CW304/'Как будет'!$C$7)+CV309)*IF(CW4="",0,1)</f>
        <v>0</v>
      </c>
      <c r="CX309">
        <f>((CX304/'Как будет'!$C$7)+CW309)*IF(CX4="",0,1)</f>
        <v>0</v>
      </c>
      <c r="CY309">
        <f>((CY304/'Как будет'!$C$7)+CX309)*IF(CY4="",0,1)</f>
        <v>0</v>
      </c>
      <c r="CZ309">
        <f>((CZ304/'Как будет'!$C$7)+CY309)*IF(CZ4="",0,1)</f>
        <v>0</v>
      </c>
      <c r="DA309">
        <f>((DA304/'Как будет'!$C$7)+CZ309)*IF(DA4="",0,1)</f>
        <v>0</v>
      </c>
      <c r="DB309">
        <f>((DB304/'Как будет'!$C$7)+DA309)*IF(DB4="",0,1)</f>
        <v>0</v>
      </c>
      <c r="DC309">
        <f>((DC304/'Как будет'!$C$7)+DB309)*IF(DC4="",0,1)</f>
        <v>0</v>
      </c>
      <c r="DD309">
        <f>((DD304/'Как будет'!$C$7)+DC309)*IF(DD4="",0,1)</f>
        <v>0</v>
      </c>
      <c r="DE309">
        <f>((DE304/'Как будет'!$C$7)+DD309)*IF(DE4="",0,1)</f>
        <v>0</v>
      </c>
      <c r="DF309">
        <f>((DF304/'Как будет'!$C$7)+DE309)*IF(DF4="",0,1)</f>
        <v>0</v>
      </c>
      <c r="DG309">
        <f>((DG304/'Как будет'!$C$7)+DF309)*IF(DG4="",0,1)</f>
        <v>0</v>
      </c>
      <c r="DH309">
        <f>((DH304/'Как будет'!$C$7)+DG309)*IF(DH4="",0,1)</f>
        <v>0</v>
      </c>
      <c r="DI309">
        <f>((DI304/'Как будет'!$C$7)+DH309)*IF(DI4="",0,1)</f>
        <v>0</v>
      </c>
      <c r="DJ309">
        <f>((DJ304/'Как будет'!$C$7)+DI309)*IF(DJ4="",0,1)</f>
        <v>0</v>
      </c>
      <c r="DK309">
        <f>((DK304/'Как будет'!$C$7)+DJ309)*IF(DK4="",0,1)</f>
        <v>0</v>
      </c>
      <c r="DL309">
        <f>((DL304/'Как будет'!$C$7)+DK309)*IF(DL4="",0,1)</f>
        <v>0</v>
      </c>
      <c r="DM309">
        <f>((DM304/'Как будет'!$C$7)+DL309)*IF(DM4="",0,1)</f>
        <v>0</v>
      </c>
      <c r="DN309">
        <f>((DN304/'Как будет'!$C$7)+DM309)*IF(DN4="",0,1)</f>
        <v>0</v>
      </c>
      <c r="DO309">
        <f>((DO304/'Как будет'!$C$7)+DN309)*IF(DO4="",0,1)</f>
        <v>0</v>
      </c>
      <c r="DP309">
        <f>((DP304/'Как будет'!$C$7)+DO309)*IF(DP4="",0,1)</f>
        <v>0</v>
      </c>
      <c r="DQ309">
        <f>((DQ304/'Как будет'!$C$7)+DP309)*IF(DQ4="",0,1)</f>
        <v>0</v>
      </c>
      <c r="DR309">
        <f>((DR304/'Как будет'!$C$7)+DQ309)*IF(DR4="",0,1)</f>
        <v>0</v>
      </c>
      <c r="DS309">
        <f>((DS304/'Как будет'!$C$7)+DR309)*IF(DS4="",0,1)</f>
        <v>0</v>
      </c>
      <c r="DT309">
        <f>((DT304/'Как будет'!$C$7)+DS309)*IF(DT4="",0,1)</f>
        <v>0</v>
      </c>
      <c r="DU309">
        <f>((DU304/'Как будет'!$C$7)+DT309)*IF(DU4="",0,1)</f>
        <v>0</v>
      </c>
      <c r="DV309">
        <f>((DV304/'Как будет'!$C$7)+DU309)*IF(DV4="",0,1)</f>
        <v>0</v>
      </c>
      <c r="DW309">
        <f>((DW304/'Как будет'!$C$7)+DV309)*IF(DW4="",0,1)</f>
        <v>0</v>
      </c>
      <c r="DX309">
        <f>((DX304/'Как будет'!$C$7)+DW309)*IF(DX4="",0,1)</f>
        <v>0</v>
      </c>
      <c r="DY309">
        <f>((DY304/'Как будет'!$C$7)+DX309)*IF(DY4="",0,1)</f>
        <v>0</v>
      </c>
      <c r="DZ309">
        <f>((DZ304/'Как будет'!$C$7)+DY309)*IF(DZ4="",0,1)</f>
        <v>0</v>
      </c>
      <c r="EA309">
        <f>((EA304/'Как будет'!$C$7)+DZ309)*IF(EA4="",0,1)</f>
        <v>0</v>
      </c>
      <c r="EB309">
        <f>((EB304/'Как будет'!$C$7)+EA309)*IF(EB4="",0,1)</f>
        <v>0</v>
      </c>
      <c r="EC309">
        <f>((EC304/'Как будет'!$C$7)+EB309)*IF(EC4="",0,1)</f>
        <v>0</v>
      </c>
      <c r="ED309">
        <f>((ED304/'Как будет'!$C$7)+EC309)*IF(ED4="",0,1)</f>
        <v>0</v>
      </c>
      <c r="EE309">
        <f>((EE304/'Как будет'!$C$7)+ED309)*IF(EE4="",0,1)</f>
        <v>0</v>
      </c>
      <c r="EF309">
        <f>((EF304/'Как будет'!$C$7)+EE309)*IF(EF4="",0,1)</f>
        <v>0</v>
      </c>
      <c r="EG309">
        <f>((EG304/'Как будет'!$C$7)+EF309)*IF(EG4="",0,1)</f>
        <v>0</v>
      </c>
      <c r="EH309">
        <f>((EH304/'Как будет'!$C$7)+EG309)*IF(EH4="",0,1)</f>
        <v>0</v>
      </c>
      <c r="EI309">
        <f>((EI304/'Как будет'!$C$7)+EH309)*IF(EI4="",0,1)</f>
        <v>0</v>
      </c>
      <c r="EJ309">
        <f>((EJ304/'Как будет'!$C$7)+EI309)*IF(EJ4="",0,1)</f>
        <v>0</v>
      </c>
      <c r="EK309">
        <f>((EK304/'Как будет'!$C$7)+EJ309)*IF(EK4="",0,1)</f>
        <v>0</v>
      </c>
      <c r="EL309">
        <f>((EL304/'Как будет'!$C$7)+EK309)*IF(EL4="",0,1)</f>
        <v>0</v>
      </c>
      <c r="EM309">
        <f>((EM304/'Как будет'!$C$7)+EL309)*IF(EM4="",0,1)</f>
        <v>0</v>
      </c>
      <c r="EN309">
        <f>((EN304/'Как будет'!$C$7)+EM309)*IF(EN4="",0,1)</f>
        <v>0</v>
      </c>
      <c r="EO309">
        <f>((EO304/'Как будет'!$C$7)+EN309)*IF(EO4="",0,1)</f>
        <v>0</v>
      </c>
      <c r="EP309">
        <f>((EP304/'Как будет'!$C$7)+EO309)*IF(EP4="",0,1)</f>
        <v>0</v>
      </c>
      <c r="EQ309">
        <f>((EQ304/'Как будет'!$C$7)+EP309)*IF(EQ4="",0,1)</f>
        <v>0</v>
      </c>
      <c r="ER309">
        <f>((ER304/'Как будет'!$C$7)+EQ309)*IF(ER4="",0,1)</f>
        <v>0</v>
      </c>
      <c r="ES309">
        <f>((ES304/'Как будет'!$C$7)+ER309)*IF(ES4="",0,1)</f>
        <v>0</v>
      </c>
      <c r="ET309">
        <f>((ET304/'Как будет'!$C$7)+ES309)*IF(ET4="",0,1)</f>
        <v>0</v>
      </c>
      <c r="EU309">
        <f>((EU304/'Как будет'!$C$7)+ET309)*IF(EU4="",0,1)</f>
        <v>0</v>
      </c>
      <c r="EV309">
        <f>((EV304/'Как будет'!$C$7)+EU309)*IF(EV4="",0,1)</f>
        <v>0</v>
      </c>
      <c r="EW309">
        <f>((EW304/'Как будет'!$C$7)+EV309)*IF(EW4="",0,1)</f>
        <v>0</v>
      </c>
      <c r="EX309">
        <f>((EX304/'Как будет'!$C$7)+EW309)*IF(EX4="",0,1)</f>
        <v>0</v>
      </c>
      <c r="EY309">
        <f>((EY304/'Как будет'!$C$7)+EX309)*IF(EY4="",0,1)</f>
        <v>0</v>
      </c>
      <c r="EZ309">
        <f>((EZ304/'Как будет'!$C$7)+EY309)*IF(EZ4="",0,1)</f>
        <v>0</v>
      </c>
      <c r="FA309">
        <f>((FA304/'Как будет'!$C$7)+EZ309)*IF(FA4="",0,1)</f>
        <v>0</v>
      </c>
      <c r="FB309">
        <f>((FB304/'Как будет'!$C$7)+FA309)*IF(FB4="",0,1)</f>
        <v>0</v>
      </c>
      <c r="FC309">
        <f>((FC304/'Как будет'!$C$7)+FB309)*IF(FC4="",0,1)</f>
        <v>0</v>
      </c>
      <c r="FD309">
        <f>((FD304/'Как будет'!$C$7)+FC309)*IF(FD4="",0,1)</f>
        <v>0</v>
      </c>
      <c r="FE309">
        <f>((FE304/'Как будет'!$C$7)+FD309)*IF(FE4="",0,1)</f>
        <v>0</v>
      </c>
      <c r="FF309">
        <f>((FF304/'Как будет'!$C$7)+FE309)*IF(FF4="",0,1)</f>
        <v>0</v>
      </c>
      <c r="FG309">
        <f>((FG304/'Как будет'!$C$7)+FF309)*IF(FG4="",0,1)</f>
        <v>0</v>
      </c>
      <c r="FH309">
        <f>((FH304/'Как будет'!$C$7)+FG309)*IF(FH4="",0,1)</f>
        <v>0</v>
      </c>
      <c r="FI309">
        <f>((FI304/'Как будет'!$C$7)+FH309)*IF(FI4="",0,1)</f>
        <v>0</v>
      </c>
      <c r="FJ309">
        <f>((FJ304/'Как будет'!$C$7)+FI309)*IF(FJ4="",0,1)</f>
        <v>0</v>
      </c>
      <c r="FK309">
        <f>((FK304/'Как будет'!$C$7)+FJ309)*IF(FK4="",0,1)</f>
        <v>0</v>
      </c>
      <c r="FL309">
        <f>((FL304/'Как будет'!$C$7)+FK309)*IF(FL4="",0,1)</f>
        <v>0</v>
      </c>
      <c r="FM309">
        <f>((FM304/'Как будет'!$C$7)+FL309)*IF(FM4="",0,1)</f>
        <v>0</v>
      </c>
      <c r="FN309">
        <f>((FN304/'Как будет'!$C$7)+FM309)*IF(FN4="",0,1)</f>
        <v>0</v>
      </c>
      <c r="FO309">
        <f>((FO304/'Как будет'!$C$7)+FN309)*IF(FO4="",0,1)</f>
        <v>0</v>
      </c>
      <c r="FP309">
        <f>((FP304/'Как будет'!$C$7)+FO309)*IF(FP4="",0,1)</f>
        <v>0</v>
      </c>
      <c r="FQ309">
        <f>((FQ304/'Как будет'!$C$7)+FP309)*IF(FQ4="",0,1)</f>
        <v>0</v>
      </c>
      <c r="FR309">
        <f>((FR304/'Как будет'!$C$7)+FQ309)*IF(FR4="",0,1)</f>
        <v>0</v>
      </c>
      <c r="FS309">
        <f>((FS304/'Как будет'!$C$7)+FR309)*IF(FS4="",0,1)</f>
        <v>0</v>
      </c>
      <c r="FT309">
        <f>((FT304/'Как будет'!$C$7)+FS309)*IF(FT4="",0,1)</f>
        <v>0</v>
      </c>
      <c r="FU309">
        <f>((FU304/'Как будет'!$C$7)+FT309)*IF(FU4="",0,1)</f>
        <v>0</v>
      </c>
      <c r="FV309">
        <f>((FV304/'Как будет'!$C$7)+FU309)*IF(FV4="",0,1)</f>
        <v>0</v>
      </c>
      <c r="FW309">
        <f>((FW304/'Как будет'!$C$7)+FV309)*IF(FW4="",0,1)</f>
        <v>0</v>
      </c>
      <c r="FX309">
        <f>((FX304/'Как будет'!$C$7)+FW309)*IF(FX4="",0,1)</f>
        <v>0</v>
      </c>
      <c r="FY309">
        <f>((FY304/'Как будет'!$C$7)+FX309)*IF(FY4="",0,1)</f>
        <v>0</v>
      </c>
      <c r="FZ309">
        <f>((FZ304/'Как будет'!$C$7)+FY309)*IF(FZ4="",0,1)</f>
        <v>0</v>
      </c>
      <c r="GA309">
        <f>((GA304/'Как будет'!$C$7)+FZ309)*IF(GA4="",0,1)</f>
        <v>0</v>
      </c>
      <c r="GB309">
        <f>((GB304/'Как будет'!$C$7)+GA309)*IF(GB4="",0,1)</f>
        <v>0</v>
      </c>
      <c r="GC309">
        <f>((GC304/'Как будет'!$C$7)+GB309)*IF(GC4="",0,1)</f>
        <v>0</v>
      </c>
      <c r="GD309">
        <f>((GD304/'Как будет'!$C$7)+GC309)*IF(GD4="",0,1)</f>
        <v>0</v>
      </c>
      <c r="GE309">
        <f>((GE304/'Как будет'!$C$7)+GD309)*IF(GE4="",0,1)</f>
        <v>0</v>
      </c>
      <c r="GF309">
        <f>((GF304/'Как будет'!$C$7)+GE309)*IF(GF4="",0,1)</f>
        <v>0</v>
      </c>
      <c r="GG309">
        <f>((GG304/'Как будет'!$C$7)+GF309)*IF(GG4="",0,1)</f>
        <v>0</v>
      </c>
      <c r="GH309">
        <f>((GH304/'Как будет'!$C$7)+GG309)*IF(GH4="",0,1)</f>
        <v>0</v>
      </c>
      <c r="GI309">
        <f>((GI304/'Как будет'!$C$7)+GH309)*IF(GI4="",0,1)</f>
        <v>0</v>
      </c>
      <c r="GJ309">
        <f>((GJ304/'Как будет'!$C$7)+GI309)*IF(GJ4="",0,1)</f>
        <v>0</v>
      </c>
      <c r="GK309">
        <f>((GK304/'Как будет'!$C$7)+GJ309)*IF(GK4="",0,1)</f>
        <v>0</v>
      </c>
      <c r="GL309">
        <f>((GL304/'Как будет'!$C$7)+GK309)*IF(GL4="",0,1)</f>
        <v>0</v>
      </c>
      <c r="GM309">
        <f>((GM304/'Как будет'!$C$7)+GL309)*IF(GM4="",0,1)</f>
        <v>0</v>
      </c>
      <c r="GN309">
        <f>((GN304/'Как будет'!$C$7)+GM309)*IF(GN4="",0,1)</f>
        <v>0</v>
      </c>
      <c r="GO309">
        <f>((GO304/'Как будет'!$C$7)+GN309)*IF(GO4="",0,1)</f>
        <v>0</v>
      </c>
      <c r="GP309">
        <f>((GP304/'Как будет'!$C$7)+GO309)*IF(GP4="",0,1)</f>
        <v>0</v>
      </c>
      <c r="GQ309">
        <f>((GQ304/'Как будет'!$C$7)+GP309)*IF(GQ4="",0,1)</f>
        <v>0</v>
      </c>
      <c r="GR309">
        <f>((GR304/'Как будет'!$C$7)+GQ309)*IF(GR4="",0,1)</f>
        <v>0</v>
      </c>
      <c r="GS309">
        <f>((GS304/'Как будет'!$C$7)+GR309)*IF(GS4="",0,1)</f>
        <v>0</v>
      </c>
      <c r="GT309">
        <f>((GT304/'Как будет'!$C$7)+GS309)*IF(GT4="",0,1)</f>
        <v>0</v>
      </c>
    </row>
    <row r="310" spans="1:202">
      <c r="A310" s="236" t="s">
        <v>59</v>
      </c>
      <c r="B310" s="254">
        <f>(B307/'Как будет'!$C$7)*IF(B4="",0,1)</f>
        <v>-33.522666666666666</v>
      </c>
      <c r="C310" s="254">
        <f>((C307/'Как будет'!$C$7)+B310)*IF(C4="",0,1)</f>
        <v>-50.99666666666667</v>
      </c>
      <c r="D310" s="254">
        <f>((D307/'Как будет'!$C$7)+C310)*IF(D4="",0,1)</f>
        <v>-76.335000000000008</v>
      </c>
      <c r="E310" s="254">
        <f>((E307/'Как будет'!$C$7)+D310)*IF(E4="",0,1)</f>
        <v>-97.730666666666679</v>
      </c>
      <c r="F310" s="254">
        <f>((F307/'Как будет'!$C$7)+E310)*IF(F4="",0,1)</f>
        <v>-114.64600000000002</v>
      </c>
      <c r="G310" s="254">
        <f>((G307/'Как будет'!$C$7)+F310)*IF(G4="",0,1)</f>
        <v>-128.27066666666667</v>
      </c>
      <c r="H310" s="254">
        <f>((H307/'Как будет'!$C$7)+G310)*IF(H4="",0,1)</f>
        <v>-141.89533333333333</v>
      </c>
      <c r="I310" s="254">
        <f>((I307/'Как будет'!$C$7)+H310)*IF(I4="",0,1)</f>
        <v>-155.51999999999998</v>
      </c>
      <c r="J310" s="254">
        <f>((J307/'Как будет'!$C$7)+I310)*IF(J4="",0,1)</f>
        <v>-169.14466666666664</v>
      </c>
      <c r="K310" s="254">
        <f>((K307/'Как будет'!$C$7)+J310)*IF(K4="",0,1)</f>
        <v>-182.76933333333329</v>
      </c>
      <c r="L310" s="254">
        <f>((L307/'Как будет'!$C$7)+K310)*IF(L4="",0,1)</f>
        <v>-196.39399999999995</v>
      </c>
      <c r="M310" s="254">
        <f>((M307/'Как будет'!$C$7)+L310)*IF(M4="",0,1)</f>
        <v>-199.12899999999996</v>
      </c>
      <c r="N310" s="254">
        <f>((N307/'Как будет'!$C$7)+M310)*IF(N4="",0,1)</f>
        <v>-199.12899999999996</v>
      </c>
      <c r="O310" s="254">
        <f>((O307/'Как будет'!$C$7)+N310)*IF(O4="",0,1)</f>
        <v>-199.12899999999996</v>
      </c>
      <c r="P310" s="254">
        <f>((P307/'Как будет'!$C$7)+O310)*IF(P4="",0,1)</f>
        <v>-199.12899999999996</v>
      </c>
      <c r="Q310" s="254">
        <f>((Q307/'Как будет'!$C$7)+P310)*IF(Q4="",0,1)</f>
        <v>-199.12899999999996</v>
      </c>
      <c r="R310" s="254">
        <f>((R307/'Как будет'!$C$7)+Q310)*IF(R4="",0,1)</f>
        <v>-199.12899999999996</v>
      </c>
      <c r="S310" s="254">
        <f>((S307/'Как будет'!$C$7)+R310)*IF(S4="",0,1)</f>
        <v>-199.12899999999996</v>
      </c>
      <c r="T310" s="254">
        <f>((T307/'Как будет'!$C$7)+S310)*IF(T4="",0,1)</f>
        <v>-199.12899999999996</v>
      </c>
      <c r="U310" s="254">
        <f>((U307/'Как будет'!$C$7)+T310)*IF(U4="",0,1)</f>
        <v>-199.12899999999996</v>
      </c>
      <c r="V310" s="254">
        <f>((V307/'Как будет'!$C$7)+U310)*IF(V4="",0,1)</f>
        <v>-199.12899999999996</v>
      </c>
      <c r="W310" s="254">
        <f>((W307/'Как будет'!$C$7)+V310)*IF(W4="",0,1)</f>
        <v>-199.12899999999996</v>
      </c>
      <c r="X310" s="254">
        <f>((X307/'Как будет'!$C$7)+W310)*IF(X4="",0,1)</f>
        <v>-199.12899999999996</v>
      </c>
      <c r="Y310" s="254">
        <f>((Y307/'Как будет'!$C$7)+X310)*IF(Y4="",0,1)</f>
        <v>-199.12899999999996</v>
      </c>
      <c r="Z310" s="254">
        <f>((Z307/'Как будет'!$C$7)+Y310)*IF(Z4="",0,1)</f>
        <v>-199.12899999999996</v>
      </c>
      <c r="AA310" s="254">
        <f>((AA307/'Как будет'!$C$7)+Z310)*IF(AA4="",0,1)</f>
        <v>-199.12899999999996</v>
      </c>
      <c r="AB310" s="254">
        <f>((AB307/'Как будет'!$C$7)+AA310)*IF(AB4="",0,1)</f>
        <v>-199.12899999999996</v>
      </c>
      <c r="AC310" s="254">
        <f>((AC307/'Как будет'!$C$7)+AB310)*IF(AC4="",0,1)</f>
        <v>-199.12899999999996</v>
      </c>
      <c r="AD310" s="254">
        <f>((AD307/'Как будет'!$C$7)+AC310)*IF(AD4="",0,1)</f>
        <v>-199.12899999999996</v>
      </c>
      <c r="AE310" s="254">
        <f>((AE307/'Как будет'!$C$7)+AD310)*IF(AE4="",0,1)</f>
        <v>-199.12899999999996</v>
      </c>
      <c r="AF310" s="254">
        <f>((AF307/'Как будет'!$C$7)+AE310)*IF(AF4="",0,1)</f>
        <v>-199.12899999999996</v>
      </c>
      <c r="AG310" s="254">
        <f>((AG307/'Как будет'!$C$7)+AF310)*IF(AG4="",0,1)</f>
        <v>-199.12899999999996</v>
      </c>
      <c r="AH310" s="254">
        <f>((AH307/'Как будет'!$C$7)+AG310)*IF(AH4="",0,1)</f>
        <v>-199.12899999999996</v>
      </c>
      <c r="AI310" s="254">
        <f>((AI307/'Как будет'!$C$7)+AH310)*IF(AI4="",0,1)</f>
        <v>-199.12899999999996</v>
      </c>
      <c r="AJ310" s="254">
        <f>((AJ307/'Как будет'!$C$7)+AI310)*IF(AJ4="",0,1)</f>
        <v>-199.12899999999996</v>
      </c>
      <c r="AK310" s="254">
        <f>((AK307/'Как будет'!$C$7)+AJ310)*IF(AK4="",0,1)</f>
        <v>-199.12899999999996</v>
      </c>
      <c r="AL310" s="254">
        <f>((AL307/'Как будет'!$C$7)+AK310)*IF(AL4="",0,1)</f>
        <v>-199.12899999999996</v>
      </c>
      <c r="AM310" s="254">
        <f>((AM307/'Как будет'!$C$7)+AL310)*IF(AM4="",0,1)</f>
        <v>-199.12899999999996</v>
      </c>
      <c r="AN310" s="254">
        <f>((AN307/'Как будет'!$C$7)+AM310)*IF(AN4="",0,1)</f>
        <v>-199.12899999999996</v>
      </c>
      <c r="AO310" s="254">
        <f>((AO307/'Как будет'!$C$7)+AN310)*IF(AO4="",0,1)</f>
        <v>-199.12899999999996</v>
      </c>
      <c r="AP310" s="254">
        <f>((AP307/'Как будет'!$C$7)+AO310)*IF(AP4="",0,1)</f>
        <v>-199.12899999999996</v>
      </c>
      <c r="AQ310" s="254">
        <f>((AQ307/'Как будет'!$C$7)+AP310)*IF(AQ4="",0,1)</f>
        <v>-199.12899999999996</v>
      </c>
      <c r="AR310" s="254">
        <f>((AR307/'Как будет'!$C$7)+AQ310)*IF(AR4="",0,1)</f>
        <v>-199.12899999999996</v>
      </c>
      <c r="AS310" s="254">
        <f>((AS307/'Как будет'!$C$7)+AR310)*IF(AS4="",0,1)</f>
        <v>-199.12899999999996</v>
      </c>
      <c r="AT310" s="254">
        <f>((AT307/'Как будет'!$C$7)+AS310)*IF(AT4="",0,1)</f>
        <v>-199.12899999999996</v>
      </c>
      <c r="AU310" s="254">
        <f>((AU307/'Как будет'!$C$7)+AT310)*IF(AU4="",0,1)</f>
        <v>-199.12899999999996</v>
      </c>
      <c r="AV310" s="254">
        <f>((AV307/'Как будет'!$C$7)+AU310)*IF(AV4="",0,1)</f>
        <v>-199.12899999999996</v>
      </c>
      <c r="AW310" s="254">
        <f>((AW307/'Как будет'!$C$7)+AV310)*IF(AW4="",0,1)</f>
        <v>-199.12899999999996</v>
      </c>
      <c r="AX310" s="254">
        <f>((AX307/'Как будет'!$C$7)+AW310)*IF(AX4="",0,1)</f>
        <v>-199.12899999999996</v>
      </c>
      <c r="AY310" s="254">
        <f>((AY307/'Как будет'!$C$7)+AX310)*IF(AY4="",0,1)</f>
        <v>-199.12899999999996</v>
      </c>
      <c r="AZ310" s="254">
        <f>((AZ307/'Как будет'!$C$7)+AY310)*IF(AZ4="",0,1)</f>
        <v>-199.12899999999996</v>
      </c>
      <c r="BA310" s="254">
        <f>((BA307/'Как будет'!$C$7)+AZ310)*IF(BA4="",0,1)</f>
        <v>-199.12899999999996</v>
      </c>
      <c r="BB310" s="254">
        <f>((BB307/'Как будет'!$C$7)+BA310)*IF(BB4="",0,1)</f>
        <v>-199.12899999999996</v>
      </c>
      <c r="BC310" s="254">
        <f>((BC307/'Как будет'!$C$7)+BB310)*IF(BC4="",0,1)</f>
        <v>-199.12899999999996</v>
      </c>
      <c r="BD310" s="254">
        <f>((BD307/'Как будет'!$C$7)+BC310)*IF(BD4="",0,1)</f>
        <v>-199.12899999999996</v>
      </c>
      <c r="BE310" s="254">
        <f>((BE307/'Как будет'!$C$7)+BD310)*IF(BE4="",0,1)</f>
        <v>-199.12899999999996</v>
      </c>
      <c r="BF310" s="254">
        <f>((BF307/'Как будет'!$C$7)+BE310)*IF(BF4="",0,1)</f>
        <v>-199.12899999999996</v>
      </c>
      <c r="BG310" s="254">
        <f>((BG307/'Как будет'!$C$7)+BF310)*IF(BG4="",0,1)</f>
        <v>-199.12899999999996</v>
      </c>
      <c r="BH310" s="254">
        <f>((BH307/'Как будет'!$C$7)+BG310)*IF(BH4="",0,1)</f>
        <v>-199.12899999999996</v>
      </c>
      <c r="BI310" s="254">
        <f>((BI307/'Как будет'!$C$7)+BH310)*IF(BI4="",0,1)</f>
        <v>-199.12899999999996</v>
      </c>
      <c r="BJ310" s="254">
        <f>((BJ307/'Как будет'!$C$7)+BI310)*IF(BJ4="",0,1)</f>
        <v>0</v>
      </c>
      <c r="BK310" s="254">
        <f>((BK307/'Как будет'!$C$7)+BJ310)*IF(BK4="",0,1)</f>
        <v>0</v>
      </c>
      <c r="BL310" s="254">
        <f>((BL307/'Как будет'!$C$7)+BK310)*IF(BL4="",0,1)</f>
        <v>0</v>
      </c>
      <c r="BM310" s="254">
        <f>((BM307/'Как будет'!$C$7)+BL310)*IF(BM4="",0,1)</f>
        <v>0</v>
      </c>
      <c r="BN310" s="254">
        <f>((BN307/'Как будет'!$C$7)+BM310)*IF(BN4="",0,1)</f>
        <v>0</v>
      </c>
      <c r="BO310" s="254">
        <f>((BO307/'Как будет'!$C$7)+BN310)*IF(BO4="",0,1)</f>
        <v>0</v>
      </c>
      <c r="BP310" s="254">
        <f>((BP307/'Как будет'!$C$7)+BO310)*IF(BP4="",0,1)</f>
        <v>0</v>
      </c>
      <c r="BQ310" s="254">
        <f>((BQ307/'Как будет'!$C$7)+BP310)*IF(BQ4="",0,1)</f>
        <v>0</v>
      </c>
      <c r="BR310" s="254">
        <f>((BR307/'Как будет'!$C$7)+BQ310)*IF(BR4="",0,1)</f>
        <v>0</v>
      </c>
      <c r="BS310" s="254">
        <f>((BS307/'Как будет'!$C$7)+BR310)*IF(BS4="",0,1)</f>
        <v>0</v>
      </c>
      <c r="BT310" s="254">
        <f>((BT307/'Как будет'!$C$7)+BS310)*IF(BT4="",0,1)</f>
        <v>0</v>
      </c>
      <c r="BU310" s="254">
        <f>((BU307/'Как будет'!$C$7)+BT310)*IF(BU4="",0,1)</f>
        <v>0</v>
      </c>
      <c r="BV310" s="254">
        <f>((BV307/'Как будет'!$C$7)+BU310)*IF(BV4="",0,1)</f>
        <v>0</v>
      </c>
      <c r="BW310" s="254">
        <f>((BW307/'Как будет'!$C$7)+BV310)*IF(BW4="",0,1)</f>
        <v>0</v>
      </c>
      <c r="BX310" s="254">
        <f>((BX307/'Как будет'!$C$7)+BW310)*IF(BX4="",0,1)</f>
        <v>0</v>
      </c>
      <c r="BY310" s="254">
        <f>((BY307/'Как будет'!$C$7)+BX310)*IF(BY4="",0,1)</f>
        <v>0</v>
      </c>
      <c r="BZ310" s="254">
        <f>((BZ307/'Как будет'!$C$7)+BY310)*IF(BZ4="",0,1)</f>
        <v>0</v>
      </c>
      <c r="CA310" s="254">
        <f>((CA307/'Как будет'!$C$7)+BZ310)*IF(CA4="",0,1)</f>
        <v>0</v>
      </c>
      <c r="CB310" s="254">
        <f>((CB307/'Как будет'!$C$7)+CA310)*IF(CB4="",0,1)</f>
        <v>0</v>
      </c>
      <c r="CC310" s="254">
        <f>((CC307/'Как будет'!$C$7)+CB310)*IF(CC4="",0,1)</f>
        <v>0</v>
      </c>
      <c r="CD310" s="254">
        <f>((CD307/'Как будет'!$C$7)+CC310)*IF(CD4="",0,1)</f>
        <v>0</v>
      </c>
      <c r="CE310" s="254">
        <f>((CE307/'Как будет'!$C$7)+CD310)*IF(CE4="",0,1)</f>
        <v>0</v>
      </c>
      <c r="CF310" s="254">
        <f>((CF307/'Как будет'!$C$7)+CE310)*IF(CF4="",0,1)</f>
        <v>0</v>
      </c>
      <c r="CG310" s="254">
        <f>((CG307/'Как будет'!$C$7)+CF310)*IF(CG4="",0,1)</f>
        <v>0</v>
      </c>
      <c r="CH310" s="254">
        <f>((CH307/'Как будет'!$C$7)+CG310)*IF(CH4="",0,1)</f>
        <v>0</v>
      </c>
      <c r="CI310" s="254">
        <f>((CI307/'Как будет'!$C$7)+CH310)*IF(CI4="",0,1)</f>
        <v>0</v>
      </c>
      <c r="CJ310" s="254">
        <f>((CJ307/'Как будет'!$C$7)+CI310)*IF(CJ4="",0,1)</f>
        <v>0</v>
      </c>
      <c r="CK310" s="254">
        <f>((CK307/'Как будет'!$C$7)+CJ310)*IF(CK4="",0,1)</f>
        <v>0</v>
      </c>
      <c r="CL310" s="254">
        <f>((CL307/'Как будет'!$C$7)+CK310)*IF(CL4="",0,1)</f>
        <v>0</v>
      </c>
      <c r="CM310" s="254">
        <f>((CM307/'Как будет'!$C$7)+CL310)*IF(CM4="",0,1)</f>
        <v>0</v>
      </c>
      <c r="CN310" s="254">
        <f>((CN307/'Как будет'!$C$7)+CM310)*IF(CN4="",0,1)</f>
        <v>0</v>
      </c>
      <c r="CO310" s="254">
        <f>((CO307/'Как будет'!$C$7)+CN310)*IF(CO4="",0,1)</f>
        <v>0</v>
      </c>
      <c r="CP310" s="254">
        <f>((CP307/'Как будет'!$C$7)+CO310)*IF(CP4="",0,1)</f>
        <v>0</v>
      </c>
      <c r="CQ310" s="254">
        <f>((CQ307/'Как будет'!$C$7)+CP310)*IF(CQ4="",0,1)</f>
        <v>0</v>
      </c>
      <c r="CR310" s="254">
        <f>((CR307/'Как будет'!$C$7)+CQ310)*IF(CR4="",0,1)</f>
        <v>0</v>
      </c>
      <c r="CS310" s="254">
        <f>((CS307/'Как будет'!$C$7)+CR310)*IF(CS4="",0,1)</f>
        <v>0</v>
      </c>
      <c r="CT310" s="254">
        <f>((CT307/'Как будет'!$C$7)+CS310)*IF(CT4="",0,1)</f>
        <v>0</v>
      </c>
      <c r="CU310" s="254">
        <f>((CU307/'Как будет'!$C$7)+CT310)*IF(CU4="",0,1)</f>
        <v>0</v>
      </c>
      <c r="CV310" s="254">
        <f>((CV307/'Как будет'!$C$7)+CU310)*IF(CV4="",0,1)</f>
        <v>0</v>
      </c>
      <c r="CW310" s="254">
        <f>((CW307/'Как будет'!$C$7)+CV310)*IF(CW4="",0,1)</f>
        <v>0</v>
      </c>
      <c r="CX310" s="254">
        <f>((CX307/'Как будет'!$C$7)+CW310)*IF(CX4="",0,1)</f>
        <v>0</v>
      </c>
      <c r="CY310" s="254">
        <f>((CY307/'Как будет'!$C$7)+CX310)*IF(CY4="",0,1)</f>
        <v>0</v>
      </c>
      <c r="CZ310" s="254">
        <f>((CZ307/'Как будет'!$C$7)+CY310)*IF(CZ4="",0,1)</f>
        <v>0</v>
      </c>
      <c r="DA310" s="254">
        <f>((DA307/'Как будет'!$C$7)+CZ310)*IF(DA4="",0,1)</f>
        <v>0</v>
      </c>
      <c r="DB310" s="254">
        <f>((DB307/'Как будет'!$C$7)+DA310)*IF(DB4="",0,1)</f>
        <v>0</v>
      </c>
      <c r="DC310" s="254">
        <f>((DC307/'Как будет'!$C$7)+DB310)*IF(DC4="",0,1)</f>
        <v>0</v>
      </c>
      <c r="DD310" s="254">
        <f>((DD307/'Как будет'!$C$7)+DC310)*IF(DD4="",0,1)</f>
        <v>0</v>
      </c>
      <c r="DE310" s="254">
        <f>((DE307/'Как будет'!$C$7)+DD310)*IF(DE4="",0,1)</f>
        <v>0</v>
      </c>
      <c r="DF310" s="254">
        <f>((DF307/'Как будет'!$C$7)+DE310)*IF(DF4="",0,1)</f>
        <v>0</v>
      </c>
      <c r="DG310" s="254">
        <f>((DG307/'Как будет'!$C$7)+DF310)*IF(DG4="",0,1)</f>
        <v>0</v>
      </c>
      <c r="DH310" s="254">
        <f>((DH307/'Как будет'!$C$7)+DG310)*IF(DH4="",0,1)</f>
        <v>0</v>
      </c>
      <c r="DI310" s="254">
        <f>((DI307/'Как будет'!$C$7)+DH310)*IF(DI4="",0,1)</f>
        <v>0</v>
      </c>
      <c r="DJ310" s="254">
        <f>((DJ307/'Как будет'!$C$7)+DI310)*IF(DJ4="",0,1)</f>
        <v>0</v>
      </c>
      <c r="DK310" s="254">
        <f>((DK307/'Как будет'!$C$7)+DJ310)*IF(DK4="",0,1)</f>
        <v>0</v>
      </c>
      <c r="DL310" s="254">
        <f>((DL307/'Как будет'!$C$7)+DK310)*IF(DL4="",0,1)</f>
        <v>0</v>
      </c>
      <c r="DM310" s="254">
        <f>((DM307/'Как будет'!$C$7)+DL310)*IF(DM4="",0,1)</f>
        <v>0</v>
      </c>
      <c r="DN310" s="254">
        <f>((DN307/'Как будет'!$C$7)+DM310)*IF(DN4="",0,1)</f>
        <v>0</v>
      </c>
      <c r="DO310" s="254">
        <f>((DO307/'Как будет'!$C$7)+DN310)*IF(DO4="",0,1)</f>
        <v>0</v>
      </c>
      <c r="DP310" s="254">
        <f>((DP307/'Как будет'!$C$7)+DO310)*IF(DP4="",0,1)</f>
        <v>0</v>
      </c>
      <c r="DQ310" s="254">
        <f>((DQ307/'Как будет'!$C$7)+DP310)*IF(DQ4="",0,1)</f>
        <v>0</v>
      </c>
      <c r="DR310" s="254">
        <f>((DR307/'Как будет'!$C$7)+DQ310)*IF(DR4="",0,1)</f>
        <v>0</v>
      </c>
      <c r="DS310" s="254">
        <f>((DS307/'Как будет'!$C$7)+DR310)*IF(DS4="",0,1)</f>
        <v>0</v>
      </c>
      <c r="DT310" s="254">
        <f>((DT307/'Как будет'!$C$7)+DS310)*IF(DT4="",0,1)</f>
        <v>0</v>
      </c>
      <c r="DU310" s="254">
        <f>((DU307/'Как будет'!$C$7)+DT310)*IF(DU4="",0,1)</f>
        <v>0</v>
      </c>
      <c r="DV310" s="254">
        <f>((DV307/'Как будет'!$C$7)+DU310)*IF(DV4="",0,1)</f>
        <v>0</v>
      </c>
      <c r="DW310" s="254">
        <f>((DW307/'Как будет'!$C$7)+DV310)*IF(DW4="",0,1)</f>
        <v>0</v>
      </c>
      <c r="DX310" s="254">
        <f>((DX307/'Как будет'!$C$7)+DW310)*IF(DX4="",0,1)</f>
        <v>0</v>
      </c>
      <c r="DY310" s="254">
        <f>((DY307/'Как будет'!$C$7)+DX310)*IF(DY4="",0,1)</f>
        <v>0</v>
      </c>
      <c r="DZ310" s="254">
        <f>((DZ307/'Как будет'!$C$7)+DY310)*IF(DZ4="",0,1)</f>
        <v>0</v>
      </c>
      <c r="EA310" s="254">
        <f>((EA307/'Как будет'!$C$7)+DZ310)*IF(EA4="",0,1)</f>
        <v>0</v>
      </c>
      <c r="EB310" s="254">
        <f>((EB307/'Как будет'!$C$7)+EA310)*IF(EB4="",0,1)</f>
        <v>0</v>
      </c>
      <c r="EC310" s="254">
        <f>((EC307/'Как будет'!$C$7)+EB310)*IF(EC4="",0,1)</f>
        <v>0</v>
      </c>
      <c r="ED310" s="254">
        <f>((ED307/'Как будет'!$C$7)+EC310)*IF(ED4="",0,1)</f>
        <v>0</v>
      </c>
      <c r="EE310" s="254">
        <f>((EE307/'Как будет'!$C$7)+ED310)*IF(EE4="",0,1)</f>
        <v>0</v>
      </c>
      <c r="EF310" s="254">
        <f>((EF307/'Как будет'!$C$7)+EE310)*IF(EF4="",0,1)</f>
        <v>0</v>
      </c>
      <c r="EG310" s="254">
        <f>((EG307/'Как будет'!$C$7)+EF310)*IF(EG4="",0,1)</f>
        <v>0</v>
      </c>
      <c r="EH310" s="254">
        <f>((EH307/'Как будет'!$C$7)+EG310)*IF(EH4="",0,1)</f>
        <v>0</v>
      </c>
      <c r="EI310" s="254">
        <f>((EI307/'Как будет'!$C$7)+EH310)*IF(EI4="",0,1)</f>
        <v>0</v>
      </c>
      <c r="EJ310" s="254">
        <f>((EJ307/'Как будет'!$C$7)+EI310)*IF(EJ4="",0,1)</f>
        <v>0</v>
      </c>
      <c r="EK310" s="254">
        <f>((EK307/'Как будет'!$C$7)+EJ310)*IF(EK4="",0,1)</f>
        <v>0</v>
      </c>
      <c r="EL310" s="254">
        <f>((EL307/'Как будет'!$C$7)+EK310)*IF(EL4="",0,1)</f>
        <v>0</v>
      </c>
      <c r="EM310" s="254">
        <f>((EM307/'Как будет'!$C$7)+EL310)*IF(EM4="",0,1)</f>
        <v>0</v>
      </c>
      <c r="EN310" s="254">
        <f>((EN307/'Как будет'!$C$7)+EM310)*IF(EN4="",0,1)</f>
        <v>0</v>
      </c>
      <c r="EO310" s="254">
        <f>((EO307/'Как будет'!$C$7)+EN310)*IF(EO4="",0,1)</f>
        <v>0</v>
      </c>
      <c r="EP310" s="254">
        <f>((EP307/'Как будет'!$C$7)+EO310)*IF(EP4="",0,1)</f>
        <v>0</v>
      </c>
      <c r="EQ310" s="254">
        <f>((EQ307/'Как будет'!$C$7)+EP310)*IF(EQ4="",0,1)</f>
        <v>0</v>
      </c>
      <c r="ER310" s="254">
        <f>((ER307/'Как будет'!$C$7)+EQ310)*IF(ER4="",0,1)</f>
        <v>0</v>
      </c>
      <c r="ES310" s="254">
        <f>((ES307/'Как будет'!$C$7)+ER310)*IF(ES4="",0,1)</f>
        <v>0</v>
      </c>
      <c r="ET310" s="254">
        <f>((ET307/'Как будет'!$C$7)+ES310)*IF(ET4="",0,1)</f>
        <v>0</v>
      </c>
      <c r="EU310" s="254">
        <f>((EU307/'Как будет'!$C$7)+ET310)*IF(EU4="",0,1)</f>
        <v>0</v>
      </c>
      <c r="EV310" s="254">
        <f>((EV307/'Как будет'!$C$7)+EU310)*IF(EV4="",0,1)</f>
        <v>0</v>
      </c>
      <c r="EW310" s="254">
        <f>((EW307/'Как будет'!$C$7)+EV310)*IF(EW4="",0,1)</f>
        <v>0</v>
      </c>
      <c r="EX310" s="254">
        <f>((EX307/'Как будет'!$C$7)+EW310)*IF(EX4="",0,1)</f>
        <v>0</v>
      </c>
      <c r="EY310" s="254">
        <f>((EY307/'Как будет'!$C$7)+EX310)*IF(EY4="",0,1)</f>
        <v>0</v>
      </c>
      <c r="EZ310" s="254">
        <f>((EZ307/'Как будет'!$C$7)+EY310)*IF(EZ4="",0,1)</f>
        <v>0</v>
      </c>
      <c r="FA310" s="254">
        <f>((FA307/'Как будет'!$C$7)+EZ310)*IF(FA4="",0,1)</f>
        <v>0</v>
      </c>
      <c r="FB310" s="254">
        <f>((FB307/'Как будет'!$C$7)+FA310)*IF(FB4="",0,1)</f>
        <v>0</v>
      </c>
      <c r="FC310" s="254">
        <f>((FC307/'Как будет'!$C$7)+FB310)*IF(FC4="",0,1)</f>
        <v>0</v>
      </c>
      <c r="FD310" s="254">
        <f>((FD307/'Как будет'!$C$7)+FC310)*IF(FD4="",0,1)</f>
        <v>0</v>
      </c>
      <c r="FE310" s="254">
        <f>((FE307/'Как будет'!$C$7)+FD310)*IF(FE4="",0,1)</f>
        <v>0</v>
      </c>
      <c r="FF310" s="254">
        <f>((FF307/'Как будет'!$C$7)+FE310)*IF(FF4="",0,1)</f>
        <v>0</v>
      </c>
      <c r="FG310" s="254">
        <f>((FG307/'Как будет'!$C$7)+FF310)*IF(FG4="",0,1)</f>
        <v>0</v>
      </c>
      <c r="FH310" s="254">
        <f>((FH307/'Как будет'!$C$7)+FG310)*IF(FH4="",0,1)</f>
        <v>0</v>
      </c>
      <c r="FI310" s="254">
        <f>((FI307/'Как будет'!$C$7)+FH310)*IF(FI4="",0,1)</f>
        <v>0</v>
      </c>
      <c r="FJ310" s="254">
        <f>((FJ307/'Как будет'!$C$7)+FI310)*IF(FJ4="",0,1)</f>
        <v>0</v>
      </c>
      <c r="FK310" s="254">
        <f>((FK307/'Как будет'!$C$7)+FJ310)*IF(FK4="",0,1)</f>
        <v>0</v>
      </c>
      <c r="FL310" s="254">
        <f>((FL307/'Как будет'!$C$7)+FK310)*IF(FL4="",0,1)</f>
        <v>0</v>
      </c>
      <c r="FM310" s="254">
        <f>((FM307/'Как будет'!$C$7)+FL310)*IF(FM4="",0,1)</f>
        <v>0</v>
      </c>
      <c r="FN310" s="254">
        <f>((FN307/'Как будет'!$C$7)+FM310)*IF(FN4="",0,1)</f>
        <v>0</v>
      </c>
      <c r="FO310" s="254">
        <f>((FO307/'Как будет'!$C$7)+FN310)*IF(FO4="",0,1)</f>
        <v>0</v>
      </c>
      <c r="FP310" s="254">
        <f>((FP307/'Как будет'!$C$7)+FO310)*IF(FP4="",0,1)</f>
        <v>0</v>
      </c>
      <c r="FQ310" s="254">
        <f>((FQ307/'Как будет'!$C$7)+FP310)*IF(FQ4="",0,1)</f>
        <v>0</v>
      </c>
      <c r="FR310" s="254">
        <f>((FR307/'Как будет'!$C$7)+FQ310)*IF(FR4="",0,1)</f>
        <v>0</v>
      </c>
      <c r="FS310" s="254">
        <f>((FS307/'Как будет'!$C$7)+FR310)*IF(FS4="",0,1)</f>
        <v>0</v>
      </c>
      <c r="FT310" s="254">
        <f>((FT307/'Как будет'!$C$7)+FS310)*IF(FT4="",0,1)</f>
        <v>0</v>
      </c>
      <c r="FU310" s="254">
        <f>((FU307/'Как будет'!$C$7)+FT310)*IF(FU4="",0,1)</f>
        <v>0</v>
      </c>
      <c r="FV310" s="254">
        <f>((FV307/'Как будет'!$C$7)+FU310)*IF(FV4="",0,1)</f>
        <v>0</v>
      </c>
      <c r="FW310" s="254">
        <f>((FW307/'Как будет'!$C$7)+FV310)*IF(FW4="",0,1)</f>
        <v>0</v>
      </c>
      <c r="FX310" s="254">
        <f>((FX307/'Как будет'!$C$7)+FW310)*IF(FX4="",0,1)</f>
        <v>0</v>
      </c>
      <c r="FY310" s="254">
        <f>((FY307/'Как будет'!$C$7)+FX310)*IF(FY4="",0,1)</f>
        <v>0</v>
      </c>
      <c r="FZ310" s="254">
        <f>((FZ307/'Как будет'!$C$7)+FY310)*IF(FZ4="",0,1)</f>
        <v>0</v>
      </c>
      <c r="GA310" s="254">
        <f>((GA307/'Как будет'!$C$7)+FZ310)*IF(GA4="",0,1)</f>
        <v>0</v>
      </c>
      <c r="GB310" s="254">
        <f>((GB307/'Как будет'!$C$7)+GA310)*IF(GB4="",0,1)</f>
        <v>0</v>
      </c>
      <c r="GC310" s="254">
        <f>((GC307/'Как будет'!$C$7)+GB310)*IF(GC4="",0,1)</f>
        <v>0</v>
      </c>
      <c r="GD310" s="254">
        <f>((GD307/'Как будет'!$C$7)+GC310)*IF(GD4="",0,1)</f>
        <v>0</v>
      </c>
      <c r="GE310" s="254">
        <f>((GE307/'Как будет'!$C$7)+GD310)*IF(GE4="",0,1)</f>
        <v>0</v>
      </c>
      <c r="GF310" s="254">
        <f>((GF307/'Как будет'!$C$7)+GE310)*IF(GF4="",0,1)</f>
        <v>0</v>
      </c>
      <c r="GG310" s="254">
        <f>((GG307/'Как будет'!$C$7)+GF310)*IF(GG4="",0,1)</f>
        <v>0</v>
      </c>
      <c r="GH310" s="254">
        <f>((GH307/'Как будет'!$C$7)+GG310)*IF(GH4="",0,1)</f>
        <v>0</v>
      </c>
      <c r="GI310" s="254">
        <f>((GI307/'Как будет'!$C$7)+GH310)*IF(GI4="",0,1)</f>
        <v>0</v>
      </c>
      <c r="GJ310" s="254">
        <f>((GJ307/'Как будет'!$C$7)+GI310)*IF(GJ4="",0,1)</f>
        <v>0</v>
      </c>
      <c r="GK310" s="254">
        <f>((GK307/'Как будет'!$C$7)+GJ310)*IF(GK4="",0,1)</f>
        <v>0</v>
      </c>
      <c r="GL310" s="254">
        <f>((GL307/'Как будет'!$C$7)+GK310)*IF(GL4="",0,1)</f>
        <v>0</v>
      </c>
      <c r="GM310" s="254">
        <f>((GM307/'Как будет'!$C$7)+GL310)*IF(GM4="",0,1)</f>
        <v>0</v>
      </c>
      <c r="GN310" s="254">
        <f>((GN307/'Как будет'!$C$7)+GM310)*IF(GN4="",0,1)</f>
        <v>0</v>
      </c>
      <c r="GO310" s="254">
        <f>((GO307/'Как будет'!$C$7)+GN310)*IF(GO4="",0,1)</f>
        <v>0</v>
      </c>
      <c r="GP310" s="254">
        <f>((GP307/'Как будет'!$C$7)+GO310)*IF(GP4="",0,1)</f>
        <v>0</v>
      </c>
      <c r="GQ310" s="254">
        <f>((GQ307/'Как будет'!$C$7)+GP310)*IF(GQ4="",0,1)</f>
        <v>0</v>
      </c>
      <c r="GR310" s="254">
        <f>((GR307/'Как будет'!$C$7)+GQ310)*IF(GR4="",0,1)</f>
        <v>0</v>
      </c>
      <c r="GS310" s="254">
        <f>((GS307/'Как будет'!$C$7)+GR310)*IF(GS4="",0,1)</f>
        <v>0</v>
      </c>
      <c r="GT310" s="254">
        <f>((GT307/'Как будет'!$C$7)+GS310)*IF(GT4="",0,1)</f>
        <v>0</v>
      </c>
    </row>
    <row r="312" spans="1:202" s="248" customFormat="1">
      <c r="A312" s="252" t="s">
        <v>69</v>
      </c>
      <c r="B312" s="253">
        <f>-IFERROR(('Как есть'!C109+Доп.расчеты!B309+B305)*VLOOKUP(B3,Доп.расчеты!$A$330:$B$351,2,FALSE),0)</f>
        <v>0</v>
      </c>
      <c r="C312" s="253">
        <f>-IFERROR(('Как есть'!D109+Доп.расчеты!C309+C305)*VLOOKUP(C3,Доп.расчеты!$A$330:$B$351,2,FALSE),0)</f>
        <v>0</v>
      </c>
      <c r="D312" s="253">
        <f>-IFERROR(('Как есть'!E109+Доп.расчеты!D309+D305)*VLOOKUP(D3,Доп.расчеты!$A$330:$B$351,2,FALSE),0)</f>
        <v>0</v>
      </c>
      <c r="E312" s="253">
        <f>-IFERROR(('Как есть'!F109+Доп.расчеты!E309+E305)*VLOOKUP(E3,Доп.расчеты!$A$330:$B$351,2,FALSE),0)</f>
        <v>0</v>
      </c>
      <c r="F312" s="253">
        <f>-IFERROR(('Как есть'!G109+Доп.расчеты!F309+F305)*VLOOKUP(F3,Доп.расчеты!$A$330:$B$351,2,FALSE),0)</f>
        <v>0</v>
      </c>
      <c r="G312" s="253">
        <f>-IFERROR(('Как есть'!H109+Доп.расчеты!G309+G305)*VLOOKUP(G3,Доп.расчеты!$A$330:$B$351,2,FALSE),0)</f>
        <v>0</v>
      </c>
      <c r="H312" s="253">
        <f>-IFERROR(('Как есть'!I109+Доп.расчеты!H309+H305)*VLOOKUP(H3,Доп.расчеты!$A$330:$B$351,2,FALSE),0)</f>
        <v>0</v>
      </c>
      <c r="I312" s="253">
        <f>-IFERROR(('Как есть'!J109+Доп.расчеты!I309+I305)*VLOOKUP(I3,Доп.расчеты!$A$330:$B$351,2,FALSE),0)</f>
        <v>0</v>
      </c>
      <c r="J312" s="253">
        <f>-IFERROR(('Как есть'!K109+Доп.расчеты!J309+J305)*VLOOKUP(J3,Доп.расчеты!$A$330:$B$351,2,FALSE),0)</f>
        <v>0</v>
      </c>
      <c r="K312" s="253">
        <f>-IFERROR(('Как есть'!L109+Доп.расчеты!K309+K305)*VLOOKUP(K3,Доп.расчеты!$A$330:$B$351,2,FALSE),0)</f>
        <v>0</v>
      </c>
      <c r="L312" s="253">
        <f>-IFERROR(('Как есть'!M109+Доп.расчеты!L309+L305)*VLOOKUP(L3,Доп.расчеты!$A$330:$B$351,2,FALSE),0)</f>
        <v>0</v>
      </c>
      <c r="M312" s="253">
        <f>-IFERROR(('Как есть'!N109+Доп.расчеты!M309+M305)*VLOOKUP(M3,Доп.расчеты!$A$330:$B$351,2,FALSE),0)</f>
        <v>0</v>
      </c>
      <c r="N312" s="253">
        <f>-IFERROR(('Как есть'!O109+Доп.расчеты!N309+N305)*VLOOKUP(N3,Доп.расчеты!$A$330:$B$351,2,FALSE),0)</f>
        <v>0</v>
      </c>
      <c r="O312" s="253">
        <f>-IFERROR(('Как есть'!P109+Доп.расчеты!O309+O305)*VLOOKUP(O3,Доп.расчеты!$A$330:$B$351,2,FALSE),0)</f>
        <v>0</v>
      </c>
      <c r="P312" s="253">
        <f>-IFERROR(('Как есть'!Q109+Доп.расчеты!P309+P305)*VLOOKUP(P3,Доп.расчеты!$A$330:$B$351,2,FALSE),0)</f>
        <v>0</v>
      </c>
      <c r="Q312" s="253">
        <f>-IFERROR(('Как есть'!R109+Доп.расчеты!Q309+Q305)*VLOOKUP(Q3,Доп.расчеты!$A$330:$B$351,2,FALSE),0)</f>
        <v>0</v>
      </c>
      <c r="R312" s="253">
        <f>-IFERROR(('Как есть'!S109+Доп.расчеты!R309+R305)*VLOOKUP(R3,Доп.расчеты!$A$330:$B$351,2,FALSE),0)</f>
        <v>0</v>
      </c>
      <c r="S312" s="253">
        <f>-IFERROR(('Как есть'!T109+Доп.расчеты!S309+S305)*VLOOKUP(S3,Доп.расчеты!$A$330:$B$351,2,FALSE),0)</f>
        <v>0</v>
      </c>
      <c r="T312" s="253">
        <f>-IFERROR(('Как есть'!U109+Доп.расчеты!T309+T305)*VLOOKUP(T3,Доп.расчеты!$A$330:$B$351,2,FALSE),0)</f>
        <v>0</v>
      </c>
      <c r="U312" s="253">
        <f>-IFERROR(('Как есть'!V109+Доп.расчеты!U309+U305)*VLOOKUP(U3,Доп.расчеты!$A$330:$B$351,2,FALSE),0)</f>
        <v>0</v>
      </c>
      <c r="V312" s="253">
        <f>-IFERROR(('Как есть'!W109+Доп.расчеты!V309+V305)*VLOOKUP(V3,Доп.расчеты!$A$330:$B$351,2,FALSE),0)</f>
        <v>0</v>
      </c>
      <c r="W312" s="253">
        <f>-IFERROR(('Как есть'!X109+Доп.расчеты!W309+W305)*VLOOKUP(W3,Доп.расчеты!$A$330:$B$351,2,FALSE),0)</f>
        <v>0</v>
      </c>
      <c r="X312" s="253">
        <f>-IFERROR(('Как есть'!Y109+Доп.расчеты!X309+X305)*VLOOKUP(X3,Доп.расчеты!$A$330:$B$351,2,FALSE),0)</f>
        <v>0</v>
      </c>
      <c r="Y312" s="253">
        <f>-IFERROR(('Как есть'!Z109+Доп.расчеты!Y309+Y305)*VLOOKUP(Y3,Доп.расчеты!$A$330:$B$351,2,FALSE),0)</f>
        <v>0</v>
      </c>
      <c r="Z312" s="253">
        <f>-IFERROR(('Как есть'!AA109+Доп.расчеты!Z309+Z305)*VLOOKUP(Z3,Доп.расчеты!$A$330:$B$351,2,FALSE),0)</f>
        <v>0</v>
      </c>
      <c r="AA312" s="253">
        <f>-IFERROR(('Как есть'!AB109+Доп.расчеты!AA309+AA305)*VLOOKUP(AA3,Доп.расчеты!$A$330:$B$351,2,FALSE),0)</f>
        <v>0</v>
      </c>
      <c r="AB312" s="253">
        <f>-IFERROR(('Как есть'!AC109+Доп.расчеты!AB309+AB305)*VLOOKUP(AB3,Доп.расчеты!$A$330:$B$351,2,FALSE),0)</f>
        <v>0</v>
      </c>
      <c r="AC312" s="253">
        <f>-IFERROR(('Как есть'!AD109+Доп.расчеты!AC309+AC305)*VLOOKUP(AC3,Доп.расчеты!$A$330:$B$351,2,FALSE),0)</f>
        <v>0</v>
      </c>
      <c r="AD312" s="253">
        <f>-IFERROR(('Как есть'!AE109+Доп.расчеты!AD309+AD305)*VLOOKUP(AD3,Доп.расчеты!$A$330:$B$351,2,FALSE),0)</f>
        <v>0</v>
      </c>
      <c r="AE312" s="253">
        <f>-IFERROR(('Как есть'!AF109+Доп.расчеты!AE309+AE305)*VLOOKUP(AE3,Доп.расчеты!$A$330:$B$351,2,FALSE),0)</f>
        <v>0</v>
      </c>
      <c r="AF312" s="253">
        <f>-IFERROR(('Как есть'!AG109+Доп.расчеты!AF309+AF305)*VLOOKUP(AF3,Доп.расчеты!$A$330:$B$351,2,FALSE),0)</f>
        <v>0</v>
      </c>
      <c r="AG312" s="253">
        <f>-IFERROR(('Как есть'!AH109+Доп.расчеты!AG309+AG305)*VLOOKUP(AG3,Доп.расчеты!$A$330:$B$351,2,FALSE),0)</f>
        <v>0</v>
      </c>
      <c r="AH312" s="253">
        <f>-IFERROR(('Как есть'!AI109+Доп.расчеты!AH309+AH305)*VLOOKUP(AH3,Доп.расчеты!$A$330:$B$351,2,FALSE),0)</f>
        <v>0</v>
      </c>
      <c r="AI312" s="253">
        <f>-IFERROR(('Как есть'!AJ109+Доп.расчеты!AI309+AI305)*VLOOKUP(AI3,Доп.расчеты!$A$330:$B$351,2,FALSE),0)</f>
        <v>0</v>
      </c>
      <c r="AJ312" s="253">
        <f>-IFERROR(('Как есть'!AK109+Доп.расчеты!AJ309+AJ305)*VLOOKUP(AJ3,Доп.расчеты!$A$330:$B$351,2,FALSE),0)</f>
        <v>0</v>
      </c>
      <c r="AK312" s="253">
        <f>-IFERROR(('Как есть'!AL109+Доп.расчеты!AK309+AK305)*VLOOKUP(AK3,Доп.расчеты!$A$330:$B$351,2,FALSE),0)</f>
        <v>0</v>
      </c>
      <c r="AL312" s="253">
        <f>-IFERROR(('Как есть'!AM109+Доп.расчеты!AL309+AL305)*VLOOKUP(AL3,Доп.расчеты!$A$330:$B$351,2,FALSE),0)</f>
        <v>0</v>
      </c>
      <c r="AM312" s="253">
        <f>-IFERROR(('Как есть'!AN109+Доп.расчеты!AM309+AM305)*VLOOKUP(AM3,Доп.расчеты!$A$330:$B$351,2,FALSE),0)</f>
        <v>0</v>
      </c>
      <c r="AN312" s="253">
        <f>-IFERROR(('Как есть'!AO109+Доп.расчеты!AN309+AN305)*VLOOKUP(AN3,Доп.расчеты!$A$330:$B$351,2,FALSE),0)</f>
        <v>0</v>
      </c>
      <c r="AO312" s="253">
        <f>-IFERROR(('Как есть'!AP109+Доп.расчеты!AO309+AO305)*VLOOKUP(AO3,Доп.расчеты!$A$330:$B$351,2,FALSE),0)</f>
        <v>0</v>
      </c>
      <c r="AP312" s="253">
        <f>-IFERROR(('Как есть'!AQ109+Доп.расчеты!AP309+AP305)*VLOOKUP(AP3,Доп.расчеты!$A$330:$B$351,2,FALSE),0)</f>
        <v>0</v>
      </c>
      <c r="AQ312" s="253">
        <f>-IFERROR(('Как есть'!AR109+Доп.расчеты!AQ309+AQ305)*VLOOKUP(AQ3,Доп.расчеты!$A$330:$B$351,2,FALSE),0)</f>
        <v>0</v>
      </c>
      <c r="AR312" s="253">
        <f>-IFERROR(('Как есть'!AS109+Доп.расчеты!AR309+AR305)*VLOOKUP(AR3,Доп.расчеты!$A$330:$B$351,2,FALSE),0)</f>
        <v>0</v>
      </c>
      <c r="AS312" s="253">
        <f>-IFERROR(('Как есть'!AT109+Доп.расчеты!AS309+AS305)*VLOOKUP(AS3,Доп.расчеты!$A$330:$B$351,2,FALSE),0)</f>
        <v>0</v>
      </c>
      <c r="AT312" s="253">
        <f>-IFERROR(('Как есть'!AU109+Доп.расчеты!AT309+AT305)*VLOOKUP(AT3,Доп.расчеты!$A$330:$B$351,2,FALSE),0)</f>
        <v>0</v>
      </c>
      <c r="AU312" s="253">
        <f>-IFERROR(('Как есть'!AV109+Доп.расчеты!AU309+AU305)*VLOOKUP(AU3,Доп.расчеты!$A$330:$B$351,2,FALSE),0)</f>
        <v>0</v>
      </c>
      <c r="AV312" s="253">
        <f>-IFERROR(('Как есть'!AW109+Доп.расчеты!AV309+AV305)*VLOOKUP(AV3,Доп.расчеты!$A$330:$B$351,2,FALSE),0)</f>
        <v>0</v>
      </c>
      <c r="AW312" s="253">
        <f>-IFERROR(('Как есть'!AX109+Доп.расчеты!AW309+AW305)*VLOOKUP(AW3,Доп.расчеты!$A$330:$B$351,2,FALSE),0)</f>
        <v>0</v>
      </c>
      <c r="AX312" s="253">
        <f>-IFERROR(('Как есть'!AY109+Доп.расчеты!AX309+AX305)*VLOOKUP(AX3,Доп.расчеты!$A$330:$B$351,2,FALSE),0)</f>
        <v>0</v>
      </c>
      <c r="AY312" s="253">
        <f>-IFERROR(('Как есть'!AZ109+Доп.расчеты!AY309+AY305)*VLOOKUP(AY3,Доп.расчеты!$A$330:$B$351,2,FALSE),0)</f>
        <v>0</v>
      </c>
      <c r="AZ312" s="253">
        <f>-IFERROR(('Как есть'!BA109+Доп.расчеты!AZ309+AZ305)*VLOOKUP(AZ3,Доп.расчеты!$A$330:$B$351,2,FALSE),0)</f>
        <v>0</v>
      </c>
      <c r="BA312" s="253">
        <f>-IFERROR(('Как есть'!BB109+Доп.расчеты!BA309+BA305)*VLOOKUP(BA3,Доп.расчеты!$A$330:$B$351,2,FALSE),0)</f>
        <v>0</v>
      </c>
      <c r="BB312" s="253">
        <f>-IFERROR(('Как есть'!BC109+Доп.расчеты!BB309+BB305)*VLOOKUP(BB3,Доп.расчеты!$A$330:$B$351,2,FALSE),0)</f>
        <v>0</v>
      </c>
      <c r="BC312" s="253">
        <f>-IFERROR(('Как есть'!BD109+Доп.расчеты!BC309+BC305)*VLOOKUP(BC3,Доп.расчеты!$A$330:$B$351,2,FALSE),0)</f>
        <v>0</v>
      </c>
      <c r="BD312" s="253">
        <f>-IFERROR(('Как есть'!BE109+Доп.расчеты!BD309+BD305)*VLOOKUP(BD3,Доп.расчеты!$A$330:$B$351,2,FALSE),0)</f>
        <v>0</v>
      </c>
      <c r="BE312" s="253">
        <f>-IFERROR(('Как есть'!BF109+Доп.расчеты!BE309+BE305)*VLOOKUP(BE3,Доп.расчеты!$A$330:$B$351,2,FALSE),0)</f>
        <v>0</v>
      </c>
      <c r="BF312" s="253">
        <f>-IFERROR(('Как есть'!BG109+Доп.расчеты!BF309+BF305)*VLOOKUP(BF3,Доп.расчеты!$A$330:$B$351,2,FALSE),0)</f>
        <v>0</v>
      </c>
      <c r="BG312" s="253">
        <f>-IFERROR(('Как есть'!BH109+Доп.расчеты!BG309+BG305)*VLOOKUP(BG3,Доп.расчеты!$A$330:$B$351,2,FALSE),0)</f>
        <v>0</v>
      </c>
      <c r="BH312" s="253">
        <f>-IFERROR(('Как есть'!BI109+Доп.расчеты!BH309+BH305)*VLOOKUP(BH3,Доп.расчеты!$A$330:$B$351,2,FALSE),0)</f>
        <v>0</v>
      </c>
      <c r="BI312" s="253">
        <f>-IFERROR(('Как есть'!BJ109+Доп.расчеты!BI309+BI305)*VLOOKUP(BI3,Доп.расчеты!$A$330:$B$351,2,FALSE),0)</f>
        <v>0</v>
      </c>
      <c r="BJ312" s="253">
        <f>-IFERROR(('Как есть'!BK109+Доп.расчеты!BJ309+BJ305)*VLOOKUP(BJ3,Доп.расчеты!$A$330:$B$351,2,FALSE),0)</f>
        <v>0</v>
      </c>
      <c r="BK312" s="253">
        <f>-IFERROR(('Как есть'!BL109+Доп.расчеты!BK309+BK305)*VLOOKUP(BK3,Доп.расчеты!$A$330:$B$351,2,FALSE),0)</f>
        <v>0</v>
      </c>
      <c r="BL312" s="253">
        <f>-IFERROR(('Как есть'!BM109+Доп.расчеты!BL309+BL305)*VLOOKUP(BL3,Доп.расчеты!$A$330:$B$351,2,FALSE),0)</f>
        <v>0</v>
      </c>
      <c r="BM312" s="253">
        <f>-IFERROR(('Как есть'!BN109+Доп.расчеты!BM309+BM305)*VLOOKUP(BM3,Доп.расчеты!$A$330:$B$351,2,FALSE),0)</f>
        <v>0</v>
      </c>
      <c r="BN312" s="253">
        <f>-IFERROR(('Как есть'!BO109+Доп.расчеты!BN309+BN305)*VLOOKUP(BN3,Доп.расчеты!$A$330:$B$351,2,FALSE),0)</f>
        <v>0</v>
      </c>
      <c r="BO312" s="253">
        <f>-IFERROR(('Как есть'!BP109+Доп.расчеты!BO309+BO305)*VLOOKUP(BO3,Доп.расчеты!$A$330:$B$351,2,FALSE),0)</f>
        <v>0</v>
      </c>
      <c r="BP312" s="253">
        <f>-IFERROR(('Как есть'!BQ109+Доп.расчеты!BP309+BP305)*VLOOKUP(BP3,Доп.расчеты!$A$330:$B$351,2,FALSE),0)</f>
        <v>0</v>
      </c>
      <c r="BQ312" s="253">
        <f>-IFERROR(('Как есть'!BR109+Доп.расчеты!BQ309+BQ305)*VLOOKUP(BQ3,Доп.расчеты!$A$330:$B$351,2,FALSE),0)</f>
        <v>0</v>
      </c>
      <c r="BR312" s="253">
        <f>-IFERROR(('Как есть'!BS109+Доп.расчеты!BR309+BR305)*VLOOKUP(BR3,Доп.расчеты!$A$330:$B$351,2,FALSE),0)</f>
        <v>0</v>
      </c>
      <c r="BS312" s="253">
        <f>-IFERROR(('Как есть'!BT109+Доп.расчеты!BS309+BS305)*VLOOKUP(BS3,Доп.расчеты!$A$330:$B$351,2,FALSE),0)</f>
        <v>0</v>
      </c>
      <c r="BT312" s="253">
        <f>-IFERROR(('Как есть'!BU109+Доп.расчеты!BT309+BT305)*VLOOKUP(BT3,Доп.расчеты!$A$330:$B$351,2,FALSE),0)</f>
        <v>0</v>
      </c>
      <c r="BU312" s="253">
        <f>-IFERROR(('Как есть'!BV109+Доп.расчеты!BU309+BU305)*VLOOKUP(BU3,Доп.расчеты!$A$330:$B$351,2,FALSE),0)</f>
        <v>0</v>
      </c>
      <c r="BV312" s="253">
        <f>-IFERROR(('Как есть'!BW109+Доп.расчеты!BV309+BV305)*VLOOKUP(BV3,Доп.расчеты!$A$330:$B$351,2,FALSE),0)</f>
        <v>0</v>
      </c>
      <c r="BW312" s="253">
        <f>-IFERROR(('Как есть'!BX109+Доп.расчеты!BW309+BW305)*VLOOKUP(BW3,Доп.расчеты!$A$330:$B$351,2,FALSE),0)</f>
        <v>0</v>
      </c>
      <c r="BX312" s="253">
        <f>-IFERROR(('Как есть'!BY109+Доп.расчеты!BX309+BX305)*VLOOKUP(BX3,Доп.расчеты!$A$330:$B$351,2,FALSE),0)</f>
        <v>0</v>
      </c>
      <c r="BY312" s="253">
        <f>-IFERROR(('Как есть'!BZ109+Доп.расчеты!BY309+BY305)*VLOOKUP(BY3,Доп.расчеты!$A$330:$B$351,2,FALSE),0)</f>
        <v>0</v>
      </c>
      <c r="BZ312" s="253">
        <f>-IFERROR(('Как есть'!CA109+Доп.расчеты!BZ309+BZ305)*VLOOKUP(BZ3,Доп.расчеты!$A$330:$B$351,2,FALSE),0)</f>
        <v>0</v>
      </c>
      <c r="CA312" s="253">
        <f>-IFERROR(('Как есть'!CB109+Доп.расчеты!CA309+CA305)*VLOOKUP(CA3,Доп.расчеты!$A$330:$B$351,2,FALSE),0)</f>
        <v>0</v>
      </c>
      <c r="CB312" s="253">
        <f>-IFERROR(('Как есть'!CC109+Доп.расчеты!CB309+CB305)*VLOOKUP(CB3,Доп.расчеты!$A$330:$B$351,2,FALSE),0)</f>
        <v>0</v>
      </c>
      <c r="CC312" s="253">
        <f>-IFERROR(('Как есть'!CD109+Доп.расчеты!CC309+CC305)*VLOOKUP(CC3,Доп.расчеты!$A$330:$B$351,2,FALSE),0)</f>
        <v>0</v>
      </c>
      <c r="CD312" s="253">
        <f>-IFERROR(('Как есть'!CE109+Доп.расчеты!CD309+CD305)*VLOOKUP(CD3,Доп.расчеты!$A$330:$B$351,2,FALSE),0)</f>
        <v>0</v>
      </c>
      <c r="CE312" s="253">
        <f>-IFERROR(('Как есть'!CF109+Доп.расчеты!CE309+CE305)*VLOOKUP(CE3,Доп.расчеты!$A$330:$B$351,2,FALSE),0)</f>
        <v>0</v>
      </c>
      <c r="CF312" s="253">
        <f>-IFERROR(('Как есть'!CG109+Доп.расчеты!CF309+CF305)*VLOOKUP(CF3,Доп.расчеты!$A$330:$B$351,2,FALSE),0)</f>
        <v>0</v>
      </c>
      <c r="CG312" s="253">
        <f>-IFERROR(('Как есть'!CH109+Доп.расчеты!CG309+CG305)*VLOOKUP(CG3,Доп.расчеты!$A$330:$B$351,2,FALSE),0)</f>
        <v>0</v>
      </c>
      <c r="CH312" s="253">
        <f>-IFERROR(('Как есть'!CI109+Доп.расчеты!CH309+CH305)*VLOOKUP(CH3,Доп.расчеты!$A$330:$B$351,2,FALSE),0)</f>
        <v>0</v>
      </c>
      <c r="CI312" s="253">
        <f>-IFERROR(('Как есть'!CJ109+Доп.расчеты!CI309+CI305)*VLOOKUP(CI3,Доп.расчеты!$A$330:$B$351,2,FALSE),0)</f>
        <v>0</v>
      </c>
      <c r="CJ312" s="253">
        <f>-IFERROR(('Как есть'!CK109+Доп.расчеты!CJ309+CJ305)*VLOOKUP(CJ3,Доп.расчеты!$A$330:$B$351,2,FALSE),0)</f>
        <v>0</v>
      </c>
      <c r="CK312" s="253">
        <f>-IFERROR(('Как есть'!CL109+Доп.расчеты!CK309+CK305)*VLOOKUP(CK3,Доп.расчеты!$A$330:$B$351,2,FALSE),0)</f>
        <v>0</v>
      </c>
      <c r="CL312" s="253">
        <f>-IFERROR(('Как есть'!CM109+Доп.расчеты!CL309+CL305)*VLOOKUP(CL3,Доп.расчеты!$A$330:$B$351,2,FALSE),0)</f>
        <v>0</v>
      </c>
      <c r="CM312" s="253">
        <f>-IFERROR(('Как есть'!CN109+Доп.расчеты!CM309+CM305)*VLOOKUP(CM3,Доп.расчеты!$A$330:$B$351,2,FALSE),0)</f>
        <v>0</v>
      </c>
      <c r="CN312" s="253">
        <f>-IFERROR(('Как есть'!CO109+Доп.расчеты!CN309+CN305)*VLOOKUP(CN3,Доп.расчеты!$A$330:$B$351,2,FALSE),0)</f>
        <v>0</v>
      </c>
      <c r="CO312" s="253">
        <f>-IFERROR(('Как есть'!CP109+Доп.расчеты!CO309+CO305)*VLOOKUP(CO3,Доп.расчеты!$A$330:$B$351,2,FALSE),0)</f>
        <v>0</v>
      </c>
      <c r="CP312" s="253">
        <f>-IFERROR(('Как есть'!CQ109+Доп.расчеты!CP309+CP305)*VLOOKUP(CP3,Доп.расчеты!$A$330:$B$351,2,FALSE),0)</f>
        <v>0</v>
      </c>
      <c r="CQ312" s="253">
        <f>-IFERROR(('Как есть'!CR109+Доп.расчеты!CQ309+CQ305)*VLOOKUP(CQ3,Доп.расчеты!$A$330:$B$351,2,FALSE),0)</f>
        <v>0</v>
      </c>
      <c r="CR312" s="253">
        <f>-IFERROR(('Как есть'!CS109+Доп.расчеты!CR309+CR305)*VLOOKUP(CR3,Доп.расчеты!$A$330:$B$351,2,FALSE),0)</f>
        <v>0</v>
      </c>
      <c r="CS312" s="253">
        <f>-IFERROR(('Как есть'!CT109+Доп.расчеты!CS309+CS305)*VLOOKUP(CS3,Доп.расчеты!$A$330:$B$351,2,FALSE),0)</f>
        <v>0</v>
      </c>
      <c r="CT312" s="253">
        <f>-IFERROR(('Как есть'!CU109+Доп.расчеты!CT309+CT305)*VLOOKUP(CT3,Доп.расчеты!$A$330:$B$351,2,FALSE),0)</f>
        <v>0</v>
      </c>
      <c r="CU312" s="253">
        <f>-IFERROR(('Как есть'!CV109+Доп.расчеты!CU309+CU305)*VLOOKUP(CU3,Доп.расчеты!$A$330:$B$351,2,FALSE),0)</f>
        <v>0</v>
      </c>
      <c r="CV312" s="253">
        <f>-IFERROR(('Как есть'!CW109+Доп.расчеты!CV309+CV305)*VLOOKUP(CV3,Доп.расчеты!$A$330:$B$351,2,FALSE),0)</f>
        <v>0</v>
      </c>
      <c r="CW312" s="253">
        <f>-IFERROR(('Как есть'!CX109+Доп.расчеты!CW309+CW305)*VLOOKUP(CW3,Доп.расчеты!$A$330:$B$351,2,FALSE),0)</f>
        <v>0</v>
      </c>
      <c r="CX312" s="253">
        <f>-IFERROR(('Как есть'!CY109+Доп.расчеты!CX309+CX305)*VLOOKUP(CX3,Доп.расчеты!$A$330:$B$351,2,FALSE),0)</f>
        <v>0</v>
      </c>
      <c r="CY312" s="253">
        <f>-IFERROR(('Как есть'!CZ109+Доп.расчеты!CY309+CY305)*VLOOKUP(CY3,Доп.расчеты!$A$330:$B$351,2,FALSE),0)</f>
        <v>0</v>
      </c>
      <c r="CZ312" s="253">
        <f>-IFERROR(('Как есть'!DA109+Доп.расчеты!CZ309+CZ305)*VLOOKUP(CZ3,Доп.расчеты!$A$330:$B$351,2,FALSE),0)</f>
        <v>0</v>
      </c>
      <c r="DA312" s="253">
        <f>-IFERROR(('Как есть'!DB109+Доп.расчеты!DA309+DA305)*VLOOKUP(DA3,Доп.расчеты!$A$330:$B$351,2,FALSE),0)</f>
        <v>0</v>
      </c>
      <c r="DB312" s="253">
        <f>-IFERROR(('Как есть'!DC109+Доп.расчеты!DB309+DB305)*VLOOKUP(DB3,Доп.расчеты!$A$330:$B$351,2,FALSE),0)</f>
        <v>0</v>
      </c>
      <c r="DC312" s="253">
        <f>-IFERROR(('Как есть'!DD109+Доп.расчеты!DC309+DC305)*VLOOKUP(DC3,Доп.расчеты!$A$330:$B$351,2,FALSE),0)</f>
        <v>0</v>
      </c>
      <c r="DD312" s="253">
        <f>-IFERROR(('Как есть'!DE109+Доп.расчеты!DD309+DD305)*VLOOKUP(DD3,Доп.расчеты!$A$330:$B$351,2,FALSE),0)</f>
        <v>0</v>
      </c>
      <c r="DE312" s="253">
        <f>-IFERROR(('Как есть'!DF109+Доп.расчеты!DE309+DE305)*VLOOKUP(DE3,Доп.расчеты!$A$330:$B$351,2,FALSE),0)</f>
        <v>0</v>
      </c>
      <c r="DF312" s="253">
        <f>-IFERROR(('Как есть'!DG109+Доп.расчеты!DF309+DF305)*VLOOKUP(DF3,Доп.расчеты!$A$330:$B$351,2,FALSE),0)</f>
        <v>0</v>
      </c>
      <c r="DG312" s="253">
        <f>-IFERROR(('Как есть'!DH109+Доп.расчеты!DG309+DG305)*VLOOKUP(DG3,Доп.расчеты!$A$330:$B$351,2,FALSE),0)</f>
        <v>0</v>
      </c>
      <c r="DH312" s="253">
        <f>-IFERROR(('Как есть'!DI109+Доп.расчеты!DH309+DH305)*VLOOKUP(DH3,Доп.расчеты!$A$330:$B$351,2,FALSE),0)</f>
        <v>0</v>
      </c>
      <c r="DI312" s="253">
        <f>-IFERROR(('Как есть'!DJ109+Доп.расчеты!DI309+DI305)*VLOOKUP(DI3,Доп.расчеты!$A$330:$B$351,2,FALSE),0)</f>
        <v>0</v>
      </c>
      <c r="DJ312" s="253">
        <f>-IFERROR(('Как есть'!DK109+Доп.расчеты!DJ309+DJ305)*VLOOKUP(DJ3,Доп.расчеты!$A$330:$B$351,2,FALSE),0)</f>
        <v>0</v>
      </c>
      <c r="DK312" s="253">
        <f>-IFERROR(('Как есть'!DL109+Доп.расчеты!DK309+DK305)*VLOOKUP(DK3,Доп.расчеты!$A$330:$B$351,2,FALSE),0)</f>
        <v>0</v>
      </c>
      <c r="DL312" s="253">
        <f>-IFERROR(('Как есть'!DM109+Доп.расчеты!DL309+DL305)*VLOOKUP(DL3,Доп.расчеты!$A$330:$B$351,2,FALSE),0)</f>
        <v>0</v>
      </c>
      <c r="DM312" s="253">
        <f>-IFERROR(('Как есть'!DN109+Доп.расчеты!DM309+DM305)*VLOOKUP(DM3,Доп.расчеты!$A$330:$B$351,2,FALSE),0)</f>
        <v>0</v>
      </c>
      <c r="DN312" s="253">
        <f>-IFERROR(('Как есть'!DO109+Доп.расчеты!DN309+DN305)*VLOOKUP(DN3,Доп.расчеты!$A$330:$B$351,2,FALSE),0)</f>
        <v>0</v>
      </c>
      <c r="DO312" s="253">
        <f>-IFERROR(('Как есть'!DP109+Доп.расчеты!DO309+DO305)*VLOOKUP(DO3,Доп.расчеты!$A$330:$B$351,2,FALSE),0)</f>
        <v>0</v>
      </c>
      <c r="DP312" s="253">
        <f>-IFERROR(('Как есть'!DQ109+Доп.расчеты!DP309+DP305)*VLOOKUP(DP3,Доп.расчеты!$A$330:$B$351,2,FALSE),0)</f>
        <v>0</v>
      </c>
      <c r="DQ312" s="253">
        <f>-IFERROR(('Как есть'!DR109+Доп.расчеты!DQ309+DQ305)*VLOOKUP(DQ3,Доп.расчеты!$A$330:$B$351,2,FALSE),0)</f>
        <v>0</v>
      </c>
      <c r="DR312" s="253">
        <f>-IFERROR(('Как есть'!DS109+Доп.расчеты!DR309+DR305)*VLOOKUP(DR3,Доп.расчеты!$A$330:$B$351,2,FALSE),0)</f>
        <v>0</v>
      </c>
      <c r="DS312" s="253">
        <f>-IFERROR(('Как есть'!DT109+Доп.расчеты!DS309+DS305)*VLOOKUP(DS3,Доп.расчеты!$A$330:$B$351,2,FALSE),0)</f>
        <v>0</v>
      </c>
      <c r="DT312" s="253">
        <f>-IFERROR(('Как есть'!DU109+Доп.расчеты!DT309+DT305)*VLOOKUP(DT3,Доп.расчеты!$A$330:$B$351,2,FALSE),0)</f>
        <v>0</v>
      </c>
      <c r="DU312" s="253">
        <f>-IFERROR(('Как есть'!DV109+Доп.расчеты!DU309+DU305)*VLOOKUP(DU3,Доп.расчеты!$A$330:$B$351,2,FALSE),0)</f>
        <v>0</v>
      </c>
      <c r="DV312" s="253">
        <f>-IFERROR(('Как есть'!DW109+Доп.расчеты!DV309+DV305)*VLOOKUP(DV3,Доп.расчеты!$A$330:$B$351,2,FALSE),0)</f>
        <v>0</v>
      </c>
      <c r="DW312" s="253">
        <f>-IFERROR(('Как есть'!DX109+Доп.расчеты!DW309+DW305)*VLOOKUP(DW3,Доп.расчеты!$A$330:$B$351,2,FALSE),0)</f>
        <v>0</v>
      </c>
      <c r="DX312" s="253">
        <f>-IFERROR(('Как есть'!DY109+Доп.расчеты!DX309+DX305)*VLOOKUP(DX3,Доп.расчеты!$A$330:$B$351,2,FALSE),0)</f>
        <v>0</v>
      </c>
      <c r="DY312" s="253">
        <f>-IFERROR(('Как есть'!DZ109+Доп.расчеты!DY309+DY305)*VLOOKUP(DY3,Доп.расчеты!$A$330:$B$351,2,FALSE),0)</f>
        <v>0</v>
      </c>
      <c r="DZ312" s="253">
        <f>-IFERROR(('Как есть'!EA109+Доп.расчеты!DZ309+DZ305)*VLOOKUP(DZ3,Доп.расчеты!$A$330:$B$351,2,FALSE),0)</f>
        <v>0</v>
      </c>
      <c r="EA312" s="253">
        <f>-IFERROR(('Как есть'!EB109+Доп.расчеты!EA309+EA305)*VLOOKUP(EA3,Доп.расчеты!$A$330:$B$351,2,FALSE),0)</f>
        <v>0</v>
      </c>
      <c r="EB312" s="253">
        <f>-IFERROR(('Как есть'!EC109+Доп.расчеты!EB309+EB305)*VLOOKUP(EB3,Доп.расчеты!$A$330:$B$351,2,FALSE),0)</f>
        <v>0</v>
      </c>
      <c r="EC312" s="253">
        <f>-IFERROR(('Как есть'!ED109+Доп.расчеты!EC309+EC305)*VLOOKUP(EC3,Доп.расчеты!$A$330:$B$351,2,FALSE),0)</f>
        <v>0</v>
      </c>
      <c r="ED312" s="253">
        <f>-IFERROR(('Как есть'!EE109+Доп.расчеты!ED309+ED305)*VLOOKUP(ED3,Доп.расчеты!$A$330:$B$351,2,FALSE),0)</f>
        <v>0</v>
      </c>
      <c r="EE312" s="253">
        <f>-IFERROR(('Как есть'!EF109+Доп.расчеты!EE309+EE305)*VLOOKUP(EE3,Доп.расчеты!$A$330:$B$351,2,FALSE),0)</f>
        <v>0</v>
      </c>
      <c r="EF312" s="253">
        <f>-IFERROR(('Как есть'!EG109+Доп.расчеты!EF309+EF305)*VLOOKUP(EF3,Доп.расчеты!$A$330:$B$351,2,FALSE),0)</f>
        <v>0</v>
      </c>
      <c r="EG312" s="253">
        <f>-IFERROR(('Как есть'!EH109+Доп.расчеты!EG309+EG305)*VLOOKUP(EG3,Доп.расчеты!$A$330:$B$351,2,FALSE),0)</f>
        <v>0</v>
      </c>
      <c r="EH312" s="253">
        <f>-IFERROR(('Как есть'!EI109+Доп.расчеты!EH309+EH305)*VLOOKUP(EH3,Доп.расчеты!$A$330:$B$351,2,FALSE),0)</f>
        <v>0</v>
      </c>
      <c r="EI312" s="253">
        <f>-IFERROR(('Как есть'!EJ109+Доп.расчеты!EI309+EI305)*VLOOKUP(EI3,Доп.расчеты!$A$330:$B$351,2,FALSE),0)</f>
        <v>0</v>
      </c>
      <c r="EJ312" s="253">
        <f>-IFERROR(('Как есть'!EK109+Доп.расчеты!EJ309+EJ305)*VLOOKUP(EJ3,Доп.расчеты!$A$330:$B$351,2,FALSE),0)</f>
        <v>0</v>
      </c>
      <c r="EK312" s="253">
        <f>-IFERROR(('Как есть'!EL109+Доп.расчеты!EK309+EK305)*VLOOKUP(EK3,Доп.расчеты!$A$330:$B$351,2,FALSE),0)</f>
        <v>0</v>
      </c>
      <c r="EL312" s="253">
        <f>-IFERROR(('Как есть'!EM109+Доп.расчеты!EL309+EL305)*VLOOKUP(EL3,Доп.расчеты!$A$330:$B$351,2,FALSE),0)</f>
        <v>0</v>
      </c>
      <c r="EM312" s="253">
        <f>-IFERROR(('Как есть'!EN109+Доп.расчеты!EM309+EM305)*VLOOKUP(EM3,Доп.расчеты!$A$330:$B$351,2,FALSE),0)</f>
        <v>0</v>
      </c>
      <c r="EN312" s="253">
        <f>-IFERROR(('Как есть'!EO109+Доп.расчеты!EN309+EN305)*VLOOKUP(EN3,Доп.расчеты!$A$330:$B$351,2,FALSE),0)</f>
        <v>0</v>
      </c>
      <c r="EO312" s="253">
        <f>-IFERROR(('Как есть'!EP109+Доп.расчеты!EO309+EO305)*VLOOKUP(EO3,Доп.расчеты!$A$330:$B$351,2,FALSE),0)</f>
        <v>0</v>
      </c>
      <c r="EP312" s="253">
        <f>-IFERROR(('Как есть'!EQ109+Доп.расчеты!EP309+EP305)*VLOOKUP(EP3,Доп.расчеты!$A$330:$B$351,2,FALSE),0)</f>
        <v>0</v>
      </c>
      <c r="EQ312" s="253">
        <f>-IFERROR(('Как есть'!ER109+Доп.расчеты!EQ309+EQ305)*VLOOKUP(EQ3,Доп.расчеты!$A$330:$B$351,2,FALSE),0)</f>
        <v>0</v>
      </c>
      <c r="ER312" s="253">
        <f>-IFERROR(('Как есть'!ES109+Доп.расчеты!ER309+ER305)*VLOOKUP(ER3,Доп.расчеты!$A$330:$B$351,2,FALSE),0)</f>
        <v>0</v>
      </c>
      <c r="ES312" s="253">
        <f>-IFERROR(('Как есть'!ET109+Доп.расчеты!ES309+ES305)*VLOOKUP(ES3,Доп.расчеты!$A$330:$B$351,2,FALSE),0)</f>
        <v>0</v>
      </c>
      <c r="ET312" s="253">
        <f>-IFERROR(('Как есть'!EU109+Доп.расчеты!ET309+ET305)*VLOOKUP(ET3,Доп.расчеты!$A$330:$B$351,2,FALSE),0)</f>
        <v>0</v>
      </c>
      <c r="EU312" s="253">
        <f>-IFERROR(('Как есть'!EV109+Доп.расчеты!EU309+EU305)*VLOOKUP(EU3,Доп.расчеты!$A$330:$B$351,2,FALSE),0)</f>
        <v>0</v>
      </c>
      <c r="EV312" s="253">
        <f>-IFERROR(('Как есть'!EW109+Доп.расчеты!EV309+EV305)*VLOOKUP(EV3,Доп.расчеты!$A$330:$B$351,2,FALSE),0)</f>
        <v>0</v>
      </c>
      <c r="EW312" s="253">
        <f>-IFERROR(('Как есть'!EX109+Доп.расчеты!EW309+EW305)*VLOOKUP(EW3,Доп.расчеты!$A$330:$B$351,2,FALSE),0)</f>
        <v>0</v>
      </c>
      <c r="EX312" s="253">
        <f>-IFERROR(('Как есть'!EY109+Доп.расчеты!EX309+EX305)*VLOOKUP(EX3,Доп.расчеты!$A$330:$B$351,2,FALSE),0)</f>
        <v>0</v>
      </c>
      <c r="EY312" s="253">
        <f>-IFERROR(('Как есть'!EZ109+Доп.расчеты!EY309+EY305)*VLOOKUP(EY3,Доп.расчеты!$A$330:$B$351,2,FALSE),0)</f>
        <v>0</v>
      </c>
      <c r="EZ312" s="253">
        <f>-IFERROR(('Как есть'!FA109+Доп.расчеты!EZ309+EZ305)*VLOOKUP(EZ3,Доп.расчеты!$A$330:$B$351,2,FALSE),0)</f>
        <v>0</v>
      </c>
      <c r="FA312" s="253">
        <f>-IFERROR(('Как есть'!FB109+Доп.расчеты!FA309+FA305)*VLOOKUP(FA3,Доп.расчеты!$A$330:$B$351,2,FALSE),0)</f>
        <v>0</v>
      </c>
      <c r="FB312" s="253">
        <f>-IFERROR(('Как есть'!FC109+Доп.расчеты!FB309+FB305)*VLOOKUP(FB3,Доп.расчеты!$A$330:$B$351,2,FALSE),0)</f>
        <v>0</v>
      </c>
      <c r="FC312" s="253">
        <f>-IFERROR(('Как есть'!FD109+Доп.расчеты!FC309+FC305)*VLOOKUP(FC3,Доп.расчеты!$A$330:$B$351,2,FALSE),0)</f>
        <v>0</v>
      </c>
      <c r="FD312" s="253">
        <f>-IFERROR(('Как есть'!FE109+Доп.расчеты!FD309+FD305)*VLOOKUP(FD3,Доп.расчеты!$A$330:$B$351,2,FALSE),0)</f>
        <v>0</v>
      </c>
      <c r="FE312" s="253">
        <f>-IFERROR(('Как есть'!FF109+Доп.расчеты!FE309+FE305)*VLOOKUP(FE3,Доп.расчеты!$A$330:$B$351,2,FALSE),0)</f>
        <v>0</v>
      </c>
      <c r="FF312" s="253">
        <f>-IFERROR(('Как есть'!FG109+Доп.расчеты!FF309+FF305)*VLOOKUP(FF3,Доп.расчеты!$A$330:$B$351,2,FALSE),0)</f>
        <v>0</v>
      </c>
      <c r="FG312" s="253">
        <f>-IFERROR(('Как есть'!FH109+Доп.расчеты!FG309+FG305)*VLOOKUP(FG3,Доп.расчеты!$A$330:$B$351,2,FALSE),0)</f>
        <v>0</v>
      </c>
      <c r="FH312" s="253">
        <f>-IFERROR(('Как есть'!FI109+Доп.расчеты!FH309+FH305)*VLOOKUP(FH3,Доп.расчеты!$A$330:$B$351,2,FALSE),0)</f>
        <v>0</v>
      </c>
      <c r="FI312" s="253">
        <f>-IFERROR(('Как есть'!FJ109+Доп.расчеты!FI309+FI305)*VLOOKUP(FI3,Доп.расчеты!$A$330:$B$351,2,FALSE),0)</f>
        <v>0</v>
      </c>
      <c r="FJ312" s="253">
        <f>-IFERROR(('Как есть'!FK109+Доп.расчеты!FJ309+FJ305)*VLOOKUP(FJ3,Доп.расчеты!$A$330:$B$351,2,FALSE),0)</f>
        <v>0</v>
      </c>
      <c r="FK312" s="253">
        <f>-IFERROR(('Как есть'!FL109+Доп.расчеты!FK309+FK305)*VLOOKUP(FK3,Доп.расчеты!$A$330:$B$351,2,FALSE),0)</f>
        <v>0</v>
      </c>
      <c r="FL312" s="253">
        <f>-IFERROR(('Как есть'!FM109+Доп.расчеты!FL309+FL305)*VLOOKUP(FL3,Доп.расчеты!$A$330:$B$351,2,FALSE),0)</f>
        <v>0</v>
      </c>
      <c r="FM312" s="253">
        <f>-IFERROR(('Как есть'!FN109+Доп.расчеты!FM309+FM305)*VLOOKUP(FM3,Доп.расчеты!$A$330:$B$351,2,FALSE),0)</f>
        <v>0</v>
      </c>
      <c r="FN312" s="253">
        <f>-IFERROR(('Как есть'!FO109+Доп.расчеты!FN309+FN305)*VLOOKUP(FN3,Доп.расчеты!$A$330:$B$351,2,FALSE),0)</f>
        <v>0</v>
      </c>
      <c r="FO312" s="253">
        <f>-IFERROR(('Как есть'!FP109+Доп.расчеты!FO309+FO305)*VLOOKUP(FO3,Доп.расчеты!$A$330:$B$351,2,FALSE),0)</f>
        <v>0</v>
      </c>
      <c r="FP312" s="253">
        <f>-IFERROR(('Как есть'!FQ109+Доп.расчеты!FP309+FP305)*VLOOKUP(FP3,Доп.расчеты!$A$330:$B$351,2,FALSE),0)</f>
        <v>0</v>
      </c>
      <c r="FQ312" s="253">
        <f>-IFERROR(('Как есть'!FR109+Доп.расчеты!FQ309+FQ305)*VLOOKUP(FQ3,Доп.расчеты!$A$330:$B$351,2,FALSE),0)</f>
        <v>0</v>
      </c>
      <c r="FR312" s="253">
        <f>-IFERROR(('Как есть'!FS109+Доп.расчеты!FR309+FR305)*VLOOKUP(FR3,Доп.расчеты!$A$330:$B$351,2,FALSE),0)</f>
        <v>0</v>
      </c>
      <c r="FS312" s="253">
        <f>-IFERROR(('Как есть'!FT109+Доп.расчеты!FS309+FS305)*VLOOKUP(FS3,Доп.расчеты!$A$330:$B$351,2,FALSE),0)</f>
        <v>0</v>
      </c>
      <c r="FT312" s="253">
        <f>-IFERROR(('Как есть'!FU109+Доп.расчеты!FT309+FT305)*VLOOKUP(FT3,Доп.расчеты!$A$330:$B$351,2,FALSE),0)</f>
        <v>0</v>
      </c>
      <c r="FU312" s="253">
        <f>-IFERROR(('Как есть'!FV109+Доп.расчеты!FU309+FU305)*VLOOKUP(FU3,Доп.расчеты!$A$330:$B$351,2,FALSE),0)</f>
        <v>0</v>
      </c>
      <c r="FV312" s="253">
        <f>-IFERROR(('Как есть'!FW109+Доп.расчеты!FV309+FV305)*VLOOKUP(FV3,Доп.расчеты!$A$330:$B$351,2,FALSE),0)</f>
        <v>0</v>
      </c>
      <c r="FW312" s="253">
        <f>-IFERROR(('Как есть'!FX109+Доп.расчеты!FW309+FW305)*VLOOKUP(FW3,Доп.расчеты!$A$330:$B$351,2,FALSE),0)</f>
        <v>0</v>
      </c>
      <c r="FX312" s="253">
        <f>-IFERROR(('Как есть'!FY109+Доп.расчеты!FX309+FX305)*VLOOKUP(FX3,Доп.расчеты!$A$330:$B$351,2,FALSE),0)</f>
        <v>0</v>
      </c>
      <c r="FY312" s="253">
        <f>-IFERROR(('Как есть'!FZ109+Доп.расчеты!FY309+FY305)*VLOOKUP(FY3,Доп.расчеты!$A$330:$B$351,2,FALSE),0)</f>
        <v>0</v>
      </c>
      <c r="FZ312" s="253">
        <f>-IFERROR(('Как есть'!GA109+Доп.расчеты!FZ309+FZ305)*VLOOKUP(FZ3,Доп.расчеты!$A$330:$B$351,2,FALSE),0)</f>
        <v>0</v>
      </c>
      <c r="GA312" s="253">
        <f>-IFERROR(('Как есть'!GB109+Доп.расчеты!GA309+GA305)*VLOOKUP(GA3,Доп.расчеты!$A$330:$B$351,2,FALSE),0)</f>
        <v>0</v>
      </c>
      <c r="GB312" s="253">
        <f>-IFERROR(('Как есть'!GC109+Доп.расчеты!GB309+GB305)*VLOOKUP(GB3,Доп.расчеты!$A$330:$B$351,2,FALSE),0)</f>
        <v>0</v>
      </c>
      <c r="GC312" s="253">
        <f>-IFERROR(('Как есть'!GD109+Доп.расчеты!GC309+GC305)*VLOOKUP(GC3,Доп.расчеты!$A$330:$B$351,2,FALSE),0)</f>
        <v>0</v>
      </c>
      <c r="GD312" s="253">
        <f>-IFERROR(('Как есть'!GE109+Доп.расчеты!GD309+GD305)*VLOOKUP(GD3,Доп.расчеты!$A$330:$B$351,2,FALSE),0)</f>
        <v>0</v>
      </c>
      <c r="GE312" s="253">
        <f>-IFERROR(('Как есть'!GF109+Доп.расчеты!GE309+GE305)*VLOOKUP(GE3,Доп.расчеты!$A$330:$B$351,2,FALSE),0)</f>
        <v>0</v>
      </c>
      <c r="GF312" s="253">
        <f>-IFERROR(('Как есть'!GG109+Доп.расчеты!GF309+GF305)*VLOOKUP(GF3,Доп.расчеты!$A$330:$B$351,2,FALSE),0)</f>
        <v>0</v>
      </c>
      <c r="GG312" s="253">
        <f>-IFERROR(('Как есть'!GH109+Доп.расчеты!GG309+GG305)*VLOOKUP(GG3,Доп.расчеты!$A$330:$B$351,2,FALSE),0)</f>
        <v>0</v>
      </c>
      <c r="GH312" s="253">
        <f>-IFERROR(('Как есть'!GI109+Доп.расчеты!GH309+GH305)*VLOOKUP(GH3,Доп.расчеты!$A$330:$B$351,2,FALSE),0)</f>
        <v>0</v>
      </c>
      <c r="GI312" s="253">
        <f>-IFERROR(('Как есть'!GJ109+Доп.расчеты!GI309+GI305)*VLOOKUP(GI3,Доп.расчеты!$A$330:$B$351,2,FALSE),0)</f>
        <v>0</v>
      </c>
      <c r="GJ312" s="253">
        <f>-IFERROR(('Как есть'!GK109+Доп.расчеты!GJ309+GJ305)*VLOOKUP(GJ3,Доп.расчеты!$A$330:$B$351,2,FALSE),0)</f>
        <v>0</v>
      </c>
      <c r="GK312" s="253">
        <f>-IFERROR(('Как есть'!GL109+Доп.расчеты!GK309+GK305)*VLOOKUP(GK3,Доп.расчеты!$A$330:$B$351,2,FALSE),0)</f>
        <v>0</v>
      </c>
      <c r="GL312" s="253">
        <f>-IFERROR(('Как есть'!GM109+Доп.расчеты!GL309+GL305)*VLOOKUP(GL3,Доп.расчеты!$A$330:$B$351,2,FALSE),0)</f>
        <v>0</v>
      </c>
      <c r="GM312" s="253">
        <f>-IFERROR(('Как есть'!GN109+Доп.расчеты!GM309+GM305)*VLOOKUP(GM3,Доп.расчеты!$A$330:$B$351,2,FALSE),0)</f>
        <v>0</v>
      </c>
      <c r="GN312" s="253">
        <f>-IFERROR(('Как есть'!GO109+Доп.расчеты!GN309+GN305)*VLOOKUP(GN3,Доп.расчеты!$A$330:$B$351,2,FALSE),0)</f>
        <v>0</v>
      </c>
      <c r="GO312" s="253">
        <f>-IFERROR(('Как есть'!GP109+Доп.расчеты!GO309+GO305)*VLOOKUP(GO3,Доп.расчеты!$A$330:$B$351,2,FALSE),0)</f>
        <v>0</v>
      </c>
      <c r="GP312" s="253">
        <f>-IFERROR(('Как есть'!GQ109+Доп.расчеты!GP309+GP305)*VLOOKUP(GP3,Доп.расчеты!$A$330:$B$351,2,FALSE),0)</f>
        <v>0</v>
      </c>
      <c r="GQ312" s="253">
        <f>-IFERROR(('Как есть'!GR109+Доп.расчеты!GQ309+GQ305)*VLOOKUP(GQ3,Доп.расчеты!$A$330:$B$351,2,FALSE),0)</f>
        <v>0</v>
      </c>
      <c r="GR312" s="253">
        <f>-IFERROR(('Как есть'!GS109+Доп.расчеты!GR309+GR305)*VLOOKUP(GR3,Доп.расчеты!$A$330:$B$351,2,FALSE),0)</f>
        <v>0</v>
      </c>
      <c r="GS312" s="253">
        <f>-IFERROR(('Как есть'!GT109+Доп.расчеты!GS309+GS305)*VLOOKUP(GS3,Доп.расчеты!$A$330:$B$351,2,FALSE),0)</f>
        <v>0</v>
      </c>
      <c r="GT312" s="253">
        <f>-IFERROR(('Как есть'!GU109+Доп.расчеты!GT309+GT305)*VLOOKUP(GT3,Доп.расчеты!$A$330:$B$351,2,FALSE),0)</f>
        <v>0</v>
      </c>
    </row>
    <row r="313" spans="1:202" s="248" customFormat="1">
      <c r="A313" s="252" t="s">
        <v>70</v>
      </c>
      <c r="B313" s="253">
        <f>-IFERROR(('Как будет'!C109+Доп.расчеты!B310+B308)*VLOOKUP(B3,Доп.расчеты!$A$330:$B$351,2,FALSE),0)</f>
        <v>8.3806666666666665</v>
      </c>
      <c r="C313" s="253">
        <f>-IFERROR(('Как будет'!D109+Доп.расчеты!C310+C308)*VLOOKUP(C3,Доп.расчеты!$A$330:$B$351,2,FALSE),0)</f>
        <v>12.749166666666667</v>
      </c>
      <c r="D313" s="253">
        <f>-IFERROR(('Как будет'!E109+Доп.расчеты!D310+D308)*VLOOKUP(D3,Доп.расчеты!$A$330:$B$351,2,FALSE),0)</f>
        <v>19.083750000000002</v>
      </c>
      <c r="E313" s="253">
        <f>-IFERROR(('Как будет'!F109+Доп.расчеты!E310+E308)*VLOOKUP(E3,Доп.расчеты!$A$330:$B$351,2,FALSE),0)</f>
        <v>24.43266666666667</v>
      </c>
      <c r="F313" s="253">
        <f>-IFERROR(('Как будет'!G109+Доп.расчеты!F310+F308)*VLOOKUP(F3,Доп.расчеты!$A$330:$B$351,2,FALSE),0)</f>
        <v>28.661500000000004</v>
      </c>
      <c r="G313" s="253">
        <f>-IFERROR(('Как будет'!H109+Доп.расчеты!G310+G308)*VLOOKUP(G3,Доп.расчеты!$A$330:$B$351,2,FALSE),0)</f>
        <v>32.067666666666668</v>
      </c>
      <c r="H313" s="253">
        <f>-IFERROR(('Как будет'!I109+Доп.расчеты!H310+H308)*VLOOKUP(H3,Доп.расчеты!$A$330:$B$351,2,FALSE),0)</f>
        <v>35.473833333333332</v>
      </c>
      <c r="I313" s="253">
        <f>-IFERROR(('Как будет'!J109+Доп.расчеты!I310+I308)*VLOOKUP(I3,Доп.расчеты!$A$330:$B$351,2,FALSE),0)</f>
        <v>38.879999999999995</v>
      </c>
      <c r="J313" s="253">
        <f>-IFERROR(('Как будет'!K109+Доп.расчеты!J310+J308)*VLOOKUP(J3,Доп.расчеты!$A$330:$B$351,2,FALSE),0)</f>
        <v>42.286166666666659</v>
      </c>
      <c r="K313" s="253">
        <f>-IFERROR(('Как будет'!L109+Доп.расчеты!K310+K308)*VLOOKUP(K3,Доп.расчеты!$A$330:$B$351,2,FALSE),0)</f>
        <v>45.692333333333323</v>
      </c>
      <c r="L313" s="253">
        <f>-IFERROR(('Как будет'!M109+Доп.расчеты!L310+L308)*VLOOKUP(L3,Доп.расчеты!$A$330:$B$351,2,FALSE),0)</f>
        <v>49.098499999999987</v>
      </c>
      <c r="M313" s="253">
        <f>-IFERROR(('Как будет'!N109+Доп.расчеты!M310+M308)*VLOOKUP(M3,Доп.расчеты!$A$330:$B$351,2,FALSE),0)</f>
        <v>49.782249999999991</v>
      </c>
      <c r="N313" s="253">
        <f>-IFERROR(('Как будет'!O109+Доп.расчеты!N310+N308)*VLOOKUP(N3,Доп.расчеты!$A$330:$B$351,2,FALSE),0)</f>
        <v>-61.778422399121226</v>
      </c>
      <c r="O313" s="253">
        <f>-IFERROR(('Как будет'!P109+Доп.расчеты!O310+O308)*VLOOKUP(O3,Доп.расчеты!$A$330:$B$351,2,FALSE),0)</f>
        <v>-193.52617794664144</v>
      </c>
      <c r="P313" s="253">
        <f>-IFERROR(('Как будет'!Q109+Доп.расчеты!P310+P308)*VLOOKUP(P3,Доп.расчеты!$A$330:$B$351,2,FALSE),0)</f>
        <v>-498.01854005593179</v>
      </c>
      <c r="Q313" s="253">
        <f>-IFERROR(('Как будет'!R109+Доп.расчеты!Q310+Q308)*VLOOKUP(Q3,Доп.расчеты!$A$330:$B$351,2,FALSE),0)</f>
        <v>-477.42555807815029</v>
      </c>
      <c r="R313" s="253">
        <f>-IFERROR(('Как будет'!S109+Доп.расчеты!R310+R308)*VLOOKUP(R3,Доп.расчеты!$A$330:$B$351,2,FALSE),0)</f>
        <v>-520.9805610728954</v>
      </c>
      <c r="S313" s="253">
        <f>-IFERROR(('Как будет'!T109+Доп.расчеты!S310+S308)*VLOOKUP(S3,Доп.расчеты!$A$330:$B$351,2,FALSE),0)</f>
        <v>-689.75209374970075</v>
      </c>
      <c r="T313" s="253">
        <f>-IFERROR(('Как будет'!U109+Доп.расчеты!T310+T308)*VLOOKUP(T3,Доп.расчеты!$A$330:$B$351,2,FALSE),0)</f>
        <v>-532.71015142719466</v>
      </c>
      <c r="U313" s="253">
        <f>-IFERROR(('Как будет'!V109+Доп.расчеты!U310+U308)*VLOOKUP(U3,Доп.расчеты!$A$330:$B$351,2,FALSE),0)</f>
        <v>-595.38029654658646</v>
      </c>
      <c r="V313" s="253">
        <f>-IFERROR(('Как будет'!W109+Доп.расчеты!V310+V308)*VLOOKUP(V3,Доп.расчеты!$A$330:$B$351,2,FALSE),0)</f>
        <v>-822.20383550904251</v>
      </c>
      <c r="W313" s="253">
        <f>-IFERROR(('Как будет'!X109+Доп.расчеты!W310+W308)*VLOOKUP(W3,Доп.расчеты!$A$330:$B$351,2,FALSE),0)</f>
        <v>-753.14603400590977</v>
      </c>
      <c r="X313" s="253">
        <f>-IFERROR(('Как будет'!Y109+Доп.расчеты!X310+X308)*VLOOKUP(X3,Доп.расчеты!$A$330:$B$351,2,FALSE),0)</f>
        <v>-640.14656848645166</v>
      </c>
      <c r="Y313" s="253">
        <f>-IFERROR(('Как будет'!Z109+Доп.расчеты!Y310+Y308)*VLOOKUP(Y3,Доп.расчеты!$A$330:$B$351,2,FALSE),0)</f>
        <v>-847.37122532705223</v>
      </c>
      <c r="Z313" s="253">
        <f>-IFERROR(('Как будет'!AA109+Доп.расчеты!Z310+Z308)*VLOOKUP(Z3,Доп.расчеты!$A$330:$B$351,2,FALSE),0)</f>
        <v>-61.778422399121226</v>
      </c>
      <c r="AA313" s="253">
        <f>-IFERROR(('Как будет'!AB109+Доп.расчеты!AA310+AA308)*VLOOKUP(AA3,Доп.расчеты!$A$330:$B$351,2,FALSE),0)</f>
        <v>-193.52617794664144</v>
      </c>
      <c r="AB313" s="253">
        <f>-IFERROR(('Как будет'!AC109+Доп.расчеты!AB310+AB308)*VLOOKUP(AB3,Доп.расчеты!$A$330:$B$351,2,FALSE),0)</f>
        <v>-498.01854005593179</v>
      </c>
      <c r="AC313" s="253">
        <f>-IFERROR(('Как будет'!AD109+Доп.расчеты!AC310+AC308)*VLOOKUP(AC3,Доп.расчеты!$A$330:$B$351,2,FALSE),0)</f>
        <v>-477.42555807815029</v>
      </c>
      <c r="AD313" s="253">
        <f>-IFERROR(('Как будет'!AE109+Доп.расчеты!AD310+AD308)*VLOOKUP(AD3,Доп.расчеты!$A$330:$B$351,2,FALSE),0)</f>
        <v>-520.9805610728954</v>
      </c>
      <c r="AE313" s="253">
        <f>-IFERROR(('Как будет'!AF109+Доп.расчеты!AE310+AE308)*VLOOKUP(AE3,Доп.расчеты!$A$330:$B$351,2,FALSE),0)</f>
        <v>-689.75209374970075</v>
      </c>
      <c r="AF313" s="253">
        <f>-IFERROR(('Как будет'!AG109+Доп.расчеты!AF310+AF308)*VLOOKUP(AF3,Доп.расчеты!$A$330:$B$351,2,FALSE),0)</f>
        <v>-532.71015142719466</v>
      </c>
      <c r="AG313" s="253">
        <f>-IFERROR(('Как будет'!AH109+Доп.расчеты!AG310+AG308)*VLOOKUP(AG3,Доп.расчеты!$A$330:$B$351,2,FALSE),0)</f>
        <v>-595.38029654658646</v>
      </c>
      <c r="AH313" s="253">
        <f>-IFERROR(('Как будет'!AI109+Доп.расчеты!AH310+AH308)*VLOOKUP(AH3,Доп.расчеты!$A$330:$B$351,2,FALSE),0)</f>
        <v>-822.20383550904251</v>
      </c>
      <c r="AI313" s="253">
        <f>-IFERROR(('Как будет'!AJ109+Доп.расчеты!AI310+AI308)*VLOOKUP(AI3,Доп.расчеты!$A$330:$B$351,2,FALSE),0)</f>
        <v>-753.14603400590977</v>
      </c>
      <c r="AJ313" s="253">
        <f>-IFERROR(('Как будет'!AK109+Доп.расчеты!AJ310+AJ308)*VLOOKUP(AJ3,Доп.расчеты!$A$330:$B$351,2,FALSE),0)</f>
        <v>-640.14656848645166</v>
      </c>
      <c r="AK313" s="253">
        <f>-IFERROR(('Как будет'!AL109+Доп.расчеты!AK310+AK308)*VLOOKUP(AK3,Доп.расчеты!$A$330:$B$351,2,FALSE),0)</f>
        <v>-847.37122532705223</v>
      </c>
      <c r="AL313" s="253">
        <f>-IFERROR(('Как будет'!AM109+Доп.расчеты!AL310+AL308)*VLOOKUP(AL3,Доп.расчеты!$A$330:$B$351,2,FALSE),0)</f>
        <v>-61.778422399121226</v>
      </c>
      <c r="AM313" s="253">
        <f>-IFERROR(('Как будет'!AN109+Доп.расчеты!AM310+AM308)*VLOOKUP(AM3,Доп.расчеты!$A$330:$B$351,2,FALSE),0)</f>
        <v>-193.52617794664144</v>
      </c>
      <c r="AN313" s="253">
        <f>-IFERROR(('Как будет'!AO109+Доп.расчеты!AN310+AN308)*VLOOKUP(AN3,Доп.расчеты!$A$330:$B$351,2,FALSE),0)</f>
        <v>-498.01854005593179</v>
      </c>
      <c r="AO313" s="253">
        <f>-IFERROR(('Как будет'!AP109+Доп.расчеты!AO310+AO308)*VLOOKUP(AO3,Доп.расчеты!$A$330:$B$351,2,FALSE),0)</f>
        <v>-477.42555807815029</v>
      </c>
      <c r="AP313" s="253">
        <f>-IFERROR(('Как будет'!AQ109+Доп.расчеты!AP310+AP308)*VLOOKUP(AP3,Доп.расчеты!$A$330:$B$351,2,FALSE),0)</f>
        <v>-520.9805610728954</v>
      </c>
      <c r="AQ313" s="253">
        <f>-IFERROR(('Как будет'!AR109+Доп.расчеты!AQ310+AQ308)*VLOOKUP(AQ3,Доп.расчеты!$A$330:$B$351,2,FALSE),0)</f>
        <v>-689.75209374970075</v>
      </c>
      <c r="AR313" s="253">
        <f>-IFERROR(('Как будет'!AS109+Доп.расчеты!AR310+AR308)*VLOOKUP(AR3,Доп.расчеты!$A$330:$B$351,2,FALSE),0)</f>
        <v>-532.71015142719466</v>
      </c>
      <c r="AS313" s="253">
        <f>-IFERROR(('Как будет'!AT109+Доп.расчеты!AS310+AS308)*VLOOKUP(AS3,Доп.расчеты!$A$330:$B$351,2,FALSE),0)</f>
        <v>-595.38029654658646</v>
      </c>
      <c r="AT313" s="253">
        <f>-IFERROR(('Как будет'!AU109+Доп.расчеты!AT310+AT308)*VLOOKUP(AT3,Доп.расчеты!$A$330:$B$351,2,FALSE),0)</f>
        <v>-822.20383550904251</v>
      </c>
      <c r="AU313" s="253">
        <f>-IFERROR(('Как будет'!AV109+Доп.расчеты!AU310+AU308)*VLOOKUP(AU3,Доп.расчеты!$A$330:$B$351,2,FALSE),0)</f>
        <v>-753.14603400590977</v>
      </c>
      <c r="AV313" s="253">
        <f>-IFERROR(('Как будет'!AW109+Доп.расчеты!AV310+AV308)*VLOOKUP(AV3,Доп.расчеты!$A$330:$B$351,2,FALSE),0)</f>
        <v>-640.14656848645166</v>
      </c>
      <c r="AW313" s="253">
        <f>-IFERROR(('Как будет'!AX109+Доп.расчеты!AW310+AW308)*VLOOKUP(AW3,Доп.расчеты!$A$330:$B$351,2,FALSE),0)</f>
        <v>-847.37122532705223</v>
      </c>
      <c r="AX313" s="253">
        <f>-IFERROR(('Как будет'!AY109+Доп.расчеты!AX310+AX308)*VLOOKUP(AX3,Доп.расчеты!$A$330:$B$351,2,FALSE),0)</f>
        <v>-61.778422399121226</v>
      </c>
      <c r="AY313" s="253">
        <f>-IFERROR(('Как будет'!AZ109+Доп.расчеты!AY310+AY308)*VLOOKUP(AY3,Доп.расчеты!$A$330:$B$351,2,FALSE),0)</f>
        <v>-193.52617794664144</v>
      </c>
      <c r="AZ313" s="253">
        <f>-IFERROR(('Как будет'!BA109+Доп.расчеты!AZ310+AZ308)*VLOOKUP(AZ3,Доп.расчеты!$A$330:$B$351,2,FALSE),0)</f>
        <v>-498.01854005593179</v>
      </c>
      <c r="BA313" s="253">
        <f>-IFERROR(('Как будет'!BB109+Доп.расчеты!BA310+BA308)*VLOOKUP(BA3,Доп.расчеты!$A$330:$B$351,2,FALSE),0)</f>
        <v>-477.42555807815029</v>
      </c>
      <c r="BB313" s="253">
        <f>-IFERROR(('Как будет'!BC109+Доп.расчеты!BB310+BB308)*VLOOKUP(BB3,Доп.расчеты!$A$330:$B$351,2,FALSE),0)</f>
        <v>-520.9805610728954</v>
      </c>
      <c r="BC313" s="253">
        <f>-IFERROR(('Как будет'!BD109+Доп.расчеты!BC310+BC308)*VLOOKUP(BC3,Доп.расчеты!$A$330:$B$351,2,FALSE),0)</f>
        <v>-689.75209374970075</v>
      </c>
      <c r="BD313" s="253">
        <f>-IFERROR(('Как будет'!BE109+Доп.расчеты!BD310+BD308)*VLOOKUP(BD3,Доп.расчеты!$A$330:$B$351,2,FALSE),0)</f>
        <v>-532.71015142719466</v>
      </c>
      <c r="BE313" s="253">
        <f>-IFERROR(('Как будет'!BF109+Доп.расчеты!BE310+BE308)*VLOOKUP(BE3,Доп.расчеты!$A$330:$B$351,2,FALSE),0)</f>
        <v>-595.38029654658646</v>
      </c>
      <c r="BF313" s="253">
        <f>-IFERROR(('Как будет'!BG109+Доп.расчеты!BF310+BF308)*VLOOKUP(BF3,Доп.расчеты!$A$330:$B$351,2,FALSE),0)</f>
        <v>-822.20383550904251</v>
      </c>
      <c r="BG313" s="253">
        <f>-IFERROR(('Как будет'!BH109+Доп.расчеты!BG310+BG308)*VLOOKUP(BG3,Доп.расчеты!$A$330:$B$351,2,FALSE),0)</f>
        <v>-753.14603400590977</v>
      </c>
      <c r="BH313" s="253">
        <f>-IFERROR(('Как будет'!BI109+Доп.расчеты!BH310+BH308)*VLOOKUP(BH3,Доп.расчеты!$A$330:$B$351,2,FALSE),0)</f>
        <v>-640.14656848645166</v>
      </c>
      <c r="BI313" s="253">
        <f>-IFERROR(('Как будет'!BJ109+Доп.расчеты!BI310+BI308)*VLOOKUP(BI3,Доп.расчеты!$A$330:$B$351,2,FALSE),0)</f>
        <v>-847.37122532705223</v>
      </c>
      <c r="BJ313" s="253">
        <f>-IFERROR(('Как будет'!BK109+Доп.расчеты!BJ310+BJ308)*VLOOKUP(BJ3,Доп.расчеты!$A$330:$B$351,2,FALSE),0)</f>
        <v>0</v>
      </c>
      <c r="BK313" s="253">
        <f>-IFERROR(('Как будет'!BL109+Доп.расчеты!BK310+BK308)*VLOOKUP(BK3,Доп.расчеты!$A$330:$B$351,2,FALSE),0)</f>
        <v>0</v>
      </c>
      <c r="BL313" s="253">
        <f>-IFERROR(('Как будет'!BM109+Доп.расчеты!BL310+BL308)*VLOOKUP(BL3,Доп.расчеты!$A$330:$B$351,2,FALSE),0)</f>
        <v>0</v>
      </c>
      <c r="BM313" s="253">
        <f>-IFERROR(('Как будет'!BN109+Доп.расчеты!BM310+BM308)*VLOOKUP(BM3,Доп.расчеты!$A$330:$B$351,2,FALSE),0)</f>
        <v>0</v>
      </c>
      <c r="BN313" s="253">
        <f>-IFERROR(('Как будет'!BO109+Доп.расчеты!BN310+BN308)*VLOOKUP(BN3,Доп.расчеты!$A$330:$B$351,2,FALSE),0)</f>
        <v>0</v>
      </c>
      <c r="BO313" s="253">
        <f>-IFERROR(('Как будет'!BP109+Доп.расчеты!BO310+BO308)*VLOOKUP(BO3,Доп.расчеты!$A$330:$B$351,2,FALSE),0)</f>
        <v>0</v>
      </c>
      <c r="BP313" s="253">
        <f>-IFERROR(('Как будет'!BQ109+Доп.расчеты!BP310+BP308)*VLOOKUP(BP3,Доп.расчеты!$A$330:$B$351,2,FALSE),0)</f>
        <v>0</v>
      </c>
      <c r="BQ313" s="253">
        <f>-IFERROR(('Как будет'!BR109+Доп.расчеты!BQ310+BQ308)*VLOOKUP(BQ3,Доп.расчеты!$A$330:$B$351,2,FALSE),0)</f>
        <v>0</v>
      </c>
      <c r="BR313" s="253">
        <f>-IFERROR(('Как будет'!BS109+Доп.расчеты!BR310+BR308)*VLOOKUP(BR3,Доп.расчеты!$A$330:$B$351,2,FALSE),0)</f>
        <v>0</v>
      </c>
      <c r="BS313" s="253">
        <f>-IFERROR(('Как будет'!BT109+Доп.расчеты!BS310+BS308)*VLOOKUP(BS3,Доп.расчеты!$A$330:$B$351,2,FALSE),0)</f>
        <v>0</v>
      </c>
      <c r="BT313" s="253">
        <f>-IFERROR(('Как будет'!BU109+Доп.расчеты!BT310+BT308)*VLOOKUP(BT3,Доп.расчеты!$A$330:$B$351,2,FALSE),0)</f>
        <v>0</v>
      </c>
      <c r="BU313" s="253">
        <f>-IFERROR(('Как будет'!BV109+Доп.расчеты!BU310+BU308)*VLOOKUP(BU3,Доп.расчеты!$A$330:$B$351,2,FALSE),0)</f>
        <v>0</v>
      </c>
      <c r="BV313" s="253">
        <f>-IFERROR(('Как будет'!BW109+Доп.расчеты!BV310+BV308)*VLOOKUP(BV3,Доп.расчеты!$A$330:$B$351,2,FALSE),0)</f>
        <v>0</v>
      </c>
      <c r="BW313" s="253">
        <f>-IFERROR(('Как будет'!BX109+Доп.расчеты!BW310+BW308)*VLOOKUP(BW3,Доп.расчеты!$A$330:$B$351,2,FALSE),0)</f>
        <v>0</v>
      </c>
      <c r="BX313" s="253">
        <f>-IFERROR(('Как будет'!BY109+Доп.расчеты!BX310+BX308)*VLOOKUP(BX3,Доп.расчеты!$A$330:$B$351,2,FALSE),0)</f>
        <v>0</v>
      </c>
      <c r="BY313" s="253">
        <f>-IFERROR(('Как будет'!BZ109+Доп.расчеты!BY310+BY308)*VLOOKUP(BY3,Доп.расчеты!$A$330:$B$351,2,FALSE),0)</f>
        <v>0</v>
      </c>
      <c r="BZ313" s="253">
        <f>-IFERROR(('Как будет'!CA109+Доп.расчеты!BZ310+BZ308)*VLOOKUP(BZ3,Доп.расчеты!$A$330:$B$351,2,FALSE),0)</f>
        <v>0</v>
      </c>
      <c r="CA313" s="253">
        <f>-IFERROR(('Как будет'!CB109+Доп.расчеты!CA310+CA308)*VLOOKUP(CA3,Доп.расчеты!$A$330:$B$351,2,FALSE),0)</f>
        <v>0</v>
      </c>
      <c r="CB313" s="253">
        <f>-IFERROR(('Как будет'!CC109+Доп.расчеты!CB310+CB308)*VLOOKUP(CB3,Доп.расчеты!$A$330:$B$351,2,FALSE),0)</f>
        <v>0</v>
      </c>
      <c r="CC313" s="253">
        <f>-IFERROR(('Как будет'!CD109+Доп.расчеты!CC310+CC308)*VLOOKUP(CC3,Доп.расчеты!$A$330:$B$351,2,FALSE),0)</f>
        <v>0</v>
      </c>
      <c r="CD313" s="253">
        <f>-IFERROR(('Как будет'!CE109+Доп.расчеты!CD310+CD308)*VLOOKUP(CD3,Доп.расчеты!$A$330:$B$351,2,FALSE),0)</f>
        <v>0</v>
      </c>
      <c r="CE313" s="253">
        <f>-IFERROR(('Как будет'!CF109+Доп.расчеты!CE310+CE308)*VLOOKUP(CE3,Доп.расчеты!$A$330:$B$351,2,FALSE),0)</f>
        <v>0</v>
      </c>
      <c r="CF313" s="253">
        <f>-IFERROR(('Как будет'!CG109+Доп.расчеты!CF310+CF308)*VLOOKUP(CF3,Доп.расчеты!$A$330:$B$351,2,FALSE),0)</f>
        <v>0</v>
      </c>
      <c r="CG313" s="253">
        <f>-IFERROR(('Как будет'!CH109+Доп.расчеты!CG310+CG308)*VLOOKUP(CG3,Доп.расчеты!$A$330:$B$351,2,FALSE),0)</f>
        <v>0</v>
      </c>
      <c r="CH313" s="253">
        <f>-IFERROR(('Как будет'!CI109+Доп.расчеты!CH310+CH308)*VLOOKUP(CH3,Доп.расчеты!$A$330:$B$351,2,FALSE),0)</f>
        <v>0</v>
      </c>
      <c r="CI313" s="253">
        <f>-IFERROR(('Как будет'!CJ109+Доп.расчеты!CI310+CI308)*VLOOKUP(CI3,Доп.расчеты!$A$330:$B$351,2,FALSE),0)</f>
        <v>0</v>
      </c>
      <c r="CJ313" s="253">
        <f>-IFERROR(('Как будет'!CK109+Доп.расчеты!CJ310+CJ308)*VLOOKUP(CJ3,Доп.расчеты!$A$330:$B$351,2,FALSE),0)</f>
        <v>0</v>
      </c>
      <c r="CK313" s="253">
        <f>-IFERROR(('Как будет'!CL109+Доп.расчеты!CK310+CK308)*VLOOKUP(CK3,Доп.расчеты!$A$330:$B$351,2,FALSE),0)</f>
        <v>0</v>
      </c>
      <c r="CL313" s="253">
        <f>-IFERROR(('Как будет'!CM109+Доп.расчеты!CL310+CL308)*VLOOKUP(CL3,Доп.расчеты!$A$330:$B$351,2,FALSE),0)</f>
        <v>0</v>
      </c>
      <c r="CM313" s="253">
        <f>-IFERROR(('Как будет'!CN109+Доп.расчеты!CM310+CM308)*VLOOKUP(CM3,Доп.расчеты!$A$330:$B$351,2,FALSE),0)</f>
        <v>0</v>
      </c>
      <c r="CN313" s="253">
        <f>-IFERROR(('Как будет'!CO109+Доп.расчеты!CN310+CN308)*VLOOKUP(CN3,Доп.расчеты!$A$330:$B$351,2,FALSE),0)</f>
        <v>0</v>
      </c>
      <c r="CO313" s="253">
        <f>-IFERROR(('Как будет'!CP109+Доп.расчеты!CO310+CO308)*VLOOKUP(CO3,Доп.расчеты!$A$330:$B$351,2,FALSE),0)</f>
        <v>0</v>
      </c>
      <c r="CP313" s="253">
        <f>-IFERROR(('Как будет'!CQ109+Доп.расчеты!CP310+CP308)*VLOOKUP(CP3,Доп.расчеты!$A$330:$B$351,2,FALSE),0)</f>
        <v>0</v>
      </c>
      <c r="CQ313" s="253">
        <f>-IFERROR(('Как будет'!CR109+Доп.расчеты!CQ310+CQ308)*VLOOKUP(CQ3,Доп.расчеты!$A$330:$B$351,2,FALSE),0)</f>
        <v>0</v>
      </c>
      <c r="CR313" s="253">
        <f>-IFERROR(('Как будет'!CS109+Доп.расчеты!CR310+CR308)*VLOOKUP(CR3,Доп.расчеты!$A$330:$B$351,2,FALSE),0)</f>
        <v>0</v>
      </c>
      <c r="CS313" s="253">
        <f>-IFERROR(('Как будет'!CT109+Доп.расчеты!CS310+CS308)*VLOOKUP(CS3,Доп.расчеты!$A$330:$B$351,2,FALSE),0)</f>
        <v>0</v>
      </c>
      <c r="CT313" s="253">
        <f>-IFERROR(('Как будет'!CU109+Доп.расчеты!CT310+CT308)*VLOOKUP(CT3,Доп.расчеты!$A$330:$B$351,2,FALSE),0)</f>
        <v>0</v>
      </c>
      <c r="CU313" s="253">
        <f>-IFERROR(('Как будет'!CV109+Доп.расчеты!CU310+CU308)*VLOOKUP(CU3,Доп.расчеты!$A$330:$B$351,2,FALSE),0)</f>
        <v>0</v>
      </c>
      <c r="CV313" s="253">
        <f>-IFERROR(('Как будет'!CW109+Доп.расчеты!CV310+CV308)*VLOOKUP(CV3,Доп.расчеты!$A$330:$B$351,2,FALSE),0)</f>
        <v>0</v>
      </c>
      <c r="CW313" s="253">
        <f>-IFERROR(('Как будет'!CX109+Доп.расчеты!CW310+CW308)*VLOOKUP(CW3,Доп.расчеты!$A$330:$B$351,2,FALSE),0)</f>
        <v>0</v>
      </c>
      <c r="CX313" s="253">
        <f>-IFERROR(('Как будет'!CY109+Доп.расчеты!CX310+CX308)*VLOOKUP(CX3,Доп.расчеты!$A$330:$B$351,2,FALSE),0)</f>
        <v>0</v>
      </c>
      <c r="CY313" s="253">
        <f>-IFERROR(('Как будет'!CZ109+Доп.расчеты!CY310+CY308)*VLOOKUP(CY3,Доп.расчеты!$A$330:$B$351,2,FALSE),0)</f>
        <v>0</v>
      </c>
      <c r="CZ313" s="253">
        <f>-IFERROR(('Как будет'!DA109+Доп.расчеты!CZ310+CZ308)*VLOOKUP(CZ3,Доп.расчеты!$A$330:$B$351,2,FALSE),0)</f>
        <v>0</v>
      </c>
      <c r="DA313" s="253">
        <f>-IFERROR(('Как будет'!DB109+Доп.расчеты!DA310+DA308)*VLOOKUP(DA3,Доп.расчеты!$A$330:$B$351,2,FALSE),0)</f>
        <v>0</v>
      </c>
      <c r="DB313" s="253">
        <f>-IFERROR(('Как будет'!DC109+Доп.расчеты!DB310+DB308)*VLOOKUP(DB3,Доп.расчеты!$A$330:$B$351,2,FALSE),0)</f>
        <v>0</v>
      </c>
      <c r="DC313" s="253">
        <f>-IFERROR(('Как будет'!DD109+Доп.расчеты!DC310+DC308)*VLOOKUP(DC3,Доп.расчеты!$A$330:$B$351,2,FALSE),0)</f>
        <v>0</v>
      </c>
      <c r="DD313" s="253">
        <f>-IFERROR(('Как будет'!DE109+Доп.расчеты!DD310+DD308)*VLOOKUP(DD3,Доп.расчеты!$A$330:$B$351,2,FALSE),0)</f>
        <v>0</v>
      </c>
      <c r="DE313" s="253">
        <f>-IFERROR(('Как будет'!DF109+Доп.расчеты!DE310+DE308)*VLOOKUP(DE3,Доп.расчеты!$A$330:$B$351,2,FALSE),0)</f>
        <v>0</v>
      </c>
      <c r="DF313" s="253">
        <f>-IFERROR(('Как будет'!DG109+Доп.расчеты!DF310+DF308)*VLOOKUP(DF3,Доп.расчеты!$A$330:$B$351,2,FALSE),0)</f>
        <v>0</v>
      </c>
      <c r="DG313" s="253">
        <f>-IFERROR(('Как будет'!DH109+Доп.расчеты!DG310+DG308)*VLOOKUP(DG3,Доп.расчеты!$A$330:$B$351,2,FALSE),0)</f>
        <v>0</v>
      </c>
      <c r="DH313" s="253">
        <f>-IFERROR(('Как будет'!DI109+Доп.расчеты!DH310+DH308)*VLOOKUP(DH3,Доп.расчеты!$A$330:$B$351,2,FALSE),0)</f>
        <v>0</v>
      </c>
      <c r="DI313" s="253">
        <f>-IFERROR(('Как будет'!DJ109+Доп.расчеты!DI310+DI308)*VLOOKUP(DI3,Доп.расчеты!$A$330:$B$351,2,FALSE),0)</f>
        <v>0</v>
      </c>
      <c r="DJ313" s="253">
        <f>-IFERROR(('Как будет'!DK109+Доп.расчеты!DJ310+DJ308)*VLOOKUP(DJ3,Доп.расчеты!$A$330:$B$351,2,FALSE),0)</f>
        <v>0</v>
      </c>
      <c r="DK313" s="253">
        <f>-IFERROR(('Как будет'!DL109+Доп.расчеты!DK310+DK308)*VLOOKUP(DK3,Доп.расчеты!$A$330:$B$351,2,FALSE),0)</f>
        <v>0</v>
      </c>
      <c r="DL313" s="253">
        <f>-IFERROR(('Как будет'!DM109+Доп.расчеты!DL310+DL308)*VLOOKUP(DL3,Доп.расчеты!$A$330:$B$351,2,FALSE),0)</f>
        <v>0</v>
      </c>
      <c r="DM313" s="253">
        <f>-IFERROR(('Как будет'!DN109+Доп.расчеты!DM310+DM308)*VLOOKUP(DM3,Доп.расчеты!$A$330:$B$351,2,FALSE),0)</f>
        <v>0</v>
      </c>
      <c r="DN313" s="253">
        <f>-IFERROR(('Как будет'!DO109+Доп.расчеты!DN310+DN308)*VLOOKUP(DN3,Доп.расчеты!$A$330:$B$351,2,FALSE),0)</f>
        <v>0</v>
      </c>
      <c r="DO313" s="253">
        <f>-IFERROR(('Как будет'!DP109+Доп.расчеты!DO310+DO308)*VLOOKUP(DO3,Доп.расчеты!$A$330:$B$351,2,FALSE),0)</f>
        <v>0</v>
      </c>
      <c r="DP313" s="253">
        <f>-IFERROR(('Как будет'!DQ109+Доп.расчеты!DP310+DP308)*VLOOKUP(DP3,Доп.расчеты!$A$330:$B$351,2,FALSE),0)</f>
        <v>0</v>
      </c>
      <c r="DQ313" s="253">
        <f>-IFERROR(('Как будет'!DR109+Доп.расчеты!DQ310+DQ308)*VLOOKUP(DQ3,Доп.расчеты!$A$330:$B$351,2,FALSE),0)</f>
        <v>0</v>
      </c>
      <c r="DR313" s="253">
        <f>-IFERROR(('Как будет'!DS109+Доп.расчеты!DR310+DR308)*VLOOKUP(DR3,Доп.расчеты!$A$330:$B$351,2,FALSE),0)</f>
        <v>0</v>
      </c>
      <c r="DS313" s="253">
        <f>-IFERROR(('Как будет'!DT109+Доп.расчеты!DS310+DS308)*VLOOKUP(DS3,Доп.расчеты!$A$330:$B$351,2,FALSE),0)</f>
        <v>0</v>
      </c>
      <c r="DT313" s="253">
        <f>-IFERROR(('Как будет'!DU109+Доп.расчеты!DT310+DT308)*VLOOKUP(DT3,Доп.расчеты!$A$330:$B$351,2,FALSE),0)</f>
        <v>0</v>
      </c>
      <c r="DU313" s="253">
        <f>-IFERROR(('Как будет'!DV109+Доп.расчеты!DU310+DU308)*VLOOKUP(DU3,Доп.расчеты!$A$330:$B$351,2,FALSE),0)</f>
        <v>0</v>
      </c>
      <c r="DV313" s="253">
        <f>-IFERROR(('Как будет'!DW109+Доп.расчеты!DV310+DV308)*VLOOKUP(DV3,Доп.расчеты!$A$330:$B$351,2,FALSE),0)</f>
        <v>0</v>
      </c>
      <c r="DW313" s="253">
        <f>-IFERROR(('Как будет'!DX109+Доп.расчеты!DW310+DW308)*VLOOKUP(DW3,Доп.расчеты!$A$330:$B$351,2,FALSE),0)</f>
        <v>0</v>
      </c>
      <c r="DX313" s="253">
        <f>-IFERROR(('Как будет'!DY109+Доп.расчеты!DX310+DX308)*VLOOKUP(DX3,Доп.расчеты!$A$330:$B$351,2,FALSE),0)</f>
        <v>0</v>
      </c>
      <c r="DY313" s="253">
        <f>-IFERROR(('Как будет'!DZ109+Доп.расчеты!DY310+DY308)*VLOOKUP(DY3,Доп.расчеты!$A$330:$B$351,2,FALSE),0)</f>
        <v>0</v>
      </c>
      <c r="DZ313" s="253">
        <f>-IFERROR(('Как будет'!EA109+Доп.расчеты!DZ310+DZ308)*VLOOKUP(DZ3,Доп.расчеты!$A$330:$B$351,2,FALSE),0)</f>
        <v>0</v>
      </c>
      <c r="EA313" s="253">
        <f>-IFERROR(('Как будет'!EB109+Доп.расчеты!EA310+EA308)*VLOOKUP(EA3,Доп.расчеты!$A$330:$B$351,2,FALSE),0)</f>
        <v>0</v>
      </c>
      <c r="EB313" s="253">
        <f>-IFERROR(('Как будет'!EC109+Доп.расчеты!EB310+EB308)*VLOOKUP(EB3,Доп.расчеты!$A$330:$B$351,2,FALSE),0)</f>
        <v>0</v>
      </c>
      <c r="EC313" s="253">
        <f>-IFERROR(('Как будет'!ED109+Доп.расчеты!EC310+EC308)*VLOOKUP(EC3,Доп.расчеты!$A$330:$B$351,2,FALSE),0)</f>
        <v>0</v>
      </c>
      <c r="ED313" s="253">
        <f>-IFERROR(('Как будет'!EE109+Доп.расчеты!ED310+ED308)*VLOOKUP(ED3,Доп.расчеты!$A$330:$B$351,2,FALSE),0)</f>
        <v>0</v>
      </c>
      <c r="EE313" s="253">
        <f>-IFERROR(('Как будет'!EF109+Доп.расчеты!EE310+EE308)*VLOOKUP(EE3,Доп.расчеты!$A$330:$B$351,2,FALSE),0)</f>
        <v>0</v>
      </c>
      <c r="EF313" s="253">
        <f>-IFERROR(('Как будет'!EG109+Доп.расчеты!EF310+EF308)*VLOOKUP(EF3,Доп.расчеты!$A$330:$B$351,2,FALSE),0)</f>
        <v>0</v>
      </c>
      <c r="EG313" s="253">
        <f>-IFERROR(('Как будет'!EH109+Доп.расчеты!EG310+EG308)*VLOOKUP(EG3,Доп.расчеты!$A$330:$B$351,2,FALSE),0)</f>
        <v>0</v>
      </c>
      <c r="EH313" s="253">
        <f>-IFERROR(('Как будет'!EI109+Доп.расчеты!EH310+EH308)*VLOOKUP(EH3,Доп.расчеты!$A$330:$B$351,2,FALSE),0)</f>
        <v>0</v>
      </c>
      <c r="EI313" s="253">
        <f>-IFERROR(('Как будет'!EJ109+Доп.расчеты!EI310+EI308)*VLOOKUP(EI3,Доп.расчеты!$A$330:$B$351,2,FALSE),0)</f>
        <v>0</v>
      </c>
      <c r="EJ313" s="253">
        <f>-IFERROR(('Как будет'!EK109+Доп.расчеты!EJ310+EJ308)*VLOOKUP(EJ3,Доп.расчеты!$A$330:$B$351,2,FALSE),0)</f>
        <v>0</v>
      </c>
      <c r="EK313" s="253">
        <f>-IFERROR(('Как будет'!EL109+Доп.расчеты!EK310+EK308)*VLOOKUP(EK3,Доп.расчеты!$A$330:$B$351,2,FALSE),0)</f>
        <v>0</v>
      </c>
      <c r="EL313" s="253">
        <f>-IFERROR(('Как будет'!EM109+Доп.расчеты!EL310+EL308)*VLOOKUP(EL3,Доп.расчеты!$A$330:$B$351,2,FALSE),0)</f>
        <v>0</v>
      </c>
      <c r="EM313" s="253">
        <f>-IFERROR(('Как будет'!EN109+Доп.расчеты!EM310+EM308)*VLOOKUP(EM3,Доп.расчеты!$A$330:$B$351,2,FALSE),0)</f>
        <v>0</v>
      </c>
      <c r="EN313" s="253">
        <f>-IFERROR(('Как будет'!EO109+Доп.расчеты!EN310+EN308)*VLOOKUP(EN3,Доп.расчеты!$A$330:$B$351,2,FALSE),0)</f>
        <v>0</v>
      </c>
      <c r="EO313" s="253">
        <f>-IFERROR(('Как будет'!EP109+Доп.расчеты!EO310+EO308)*VLOOKUP(EO3,Доп.расчеты!$A$330:$B$351,2,FALSE),0)</f>
        <v>0</v>
      </c>
      <c r="EP313" s="253">
        <f>-IFERROR(('Как будет'!EQ109+Доп.расчеты!EP310+EP308)*VLOOKUP(EP3,Доп.расчеты!$A$330:$B$351,2,FALSE),0)</f>
        <v>0</v>
      </c>
      <c r="EQ313" s="253">
        <f>-IFERROR(('Как будет'!ER109+Доп.расчеты!EQ310+EQ308)*VLOOKUP(EQ3,Доп.расчеты!$A$330:$B$351,2,FALSE),0)</f>
        <v>0</v>
      </c>
      <c r="ER313" s="253">
        <f>-IFERROR(('Как будет'!ES109+Доп.расчеты!ER310+ER308)*VLOOKUP(ER3,Доп.расчеты!$A$330:$B$351,2,FALSE),0)</f>
        <v>0</v>
      </c>
      <c r="ES313" s="253">
        <f>-IFERROR(('Как будет'!ET109+Доп.расчеты!ES310+ES308)*VLOOKUP(ES3,Доп.расчеты!$A$330:$B$351,2,FALSE),0)</f>
        <v>0</v>
      </c>
      <c r="ET313" s="253">
        <f>-IFERROR(('Как будет'!EU109+Доп.расчеты!ET310+ET308)*VLOOKUP(ET3,Доп.расчеты!$A$330:$B$351,2,FALSE),0)</f>
        <v>0</v>
      </c>
      <c r="EU313" s="253">
        <f>-IFERROR(('Как будет'!EV109+Доп.расчеты!EU310+EU308)*VLOOKUP(EU3,Доп.расчеты!$A$330:$B$351,2,FALSE),0)</f>
        <v>0</v>
      </c>
      <c r="EV313" s="253">
        <f>-IFERROR(('Как будет'!EW109+Доп.расчеты!EV310+EV308)*VLOOKUP(EV3,Доп.расчеты!$A$330:$B$351,2,FALSE),0)</f>
        <v>0</v>
      </c>
      <c r="EW313" s="253">
        <f>-IFERROR(('Как будет'!EX109+Доп.расчеты!EW310+EW308)*VLOOKUP(EW3,Доп.расчеты!$A$330:$B$351,2,FALSE),0)</f>
        <v>0</v>
      </c>
      <c r="EX313" s="253">
        <f>-IFERROR(('Как будет'!EY109+Доп.расчеты!EX310+EX308)*VLOOKUP(EX3,Доп.расчеты!$A$330:$B$351,2,FALSE),0)</f>
        <v>0</v>
      </c>
      <c r="EY313" s="253">
        <f>-IFERROR(('Как будет'!EZ109+Доп.расчеты!EY310+EY308)*VLOOKUP(EY3,Доп.расчеты!$A$330:$B$351,2,FALSE),0)</f>
        <v>0</v>
      </c>
      <c r="EZ313" s="253">
        <f>-IFERROR(('Как будет'!FA109+Доп.расчеты!EZ310+EZ308)*VLOOKUP(EZ3,Доп.расчеты!$A$330:$B$351,2,FALSE),0)</f>
        <v>0</v>
      </c>
      <c r="FA313" s="253">
        <f>-IFERROR(('Как будет'!FB109+Доп.расчеты!FA310+FA308)*VLOOKUP(FA3,Доп.расчеты!$A$330:$B$351,2,FALSE),0)</f>
        <v>0</v>
      </c>
      <c r="FB313" s="253">
        <f>-IFERROR(('Как будет'!FC109+Доп.расчеты!FB310+FB308)*VLOOKUP(FB3,Доп.расчеты!$A$330:$B$351,2,FALSE),0)</f>
        <v>0</v>
      </c>
      <c r="FC313" s="253">
        <f>-IFERROR(('Как будет'!FD109+Доп.расчеты!FC310+FC308)*VLOOKUP(FC3,Доп.расчеты!$A$330:$B$351,2,FALSE),0)</f>
        <v>0</v>
      </c>
      <c r="FD313" s="253">
        <f>-IFERROR(('Как будет'!FE109+Доп.расчеты!FD310+FD308)*VLOOKUP(FD3,Доп.расчеты!$A$330:$B$351,2,FALSE),0)</f>
        <v>0</v>
      </c>
      <c r="FE313" s="253">
        <f>-IFERROR(('Как будет'!FF109+Доп.расчеты!FE310+FE308)*VLOOKUP(FE3,Доп.расчеты!$A$330:$B$351,2,FALSE),0)</f>
        <v>0</v>
      </c>
      <c r="FF313" s="253">
        <f>-IFERROR(('Как будет'!FG109+Доп.расчеты!FF310+FF308)*VLOOKUP(FF3,Доп.расчеты!$A$330:$B$351,2,FALSE),0)</f>
        <v>0</v>
      </c>
      <c r="FG313" s="253">
        <f>-IFERROR(('Как будет'!FH109+Доп.расчеты!FG310+FG308)*VLOOKUP(FG3,Доп.расчеты!$A$330:$B$351,2,FALSE),0)</f>
        <v>0</v>
      </c>
      <c r="FH313" s="253">
        <f>-IFERROR(('Как будет'!FI109+Доп.расчеты!FH310+FH308)*VLOOKUP(FH3,Доп.расчеты!$A$330:$B$351,2,FALSE),0)</f>
        <v>0</v>
      </c>
      <c r="FI313" s="253">
        <f>-IFERROR(('Как будет'!FJ109+Доп.расчеты!FI310+FI308)*VLOOKUP(FI3,Доп.расчеты!$A$330:$B$351,2,FALSE),0)</f>
        <v>0</v>
      </c>
      <c r="FJ313" s="253">
        <f>-IFERROR(('Как будет'!FK109+Доп.расчеты!FJ310+FJ308)*VLOOKUP(FJ3,Доп.расчеты!$A$330:$B$351,2,FALSE),0)</f>
        <v>0</v>
      </c>
      <c r="FK313" s="253">
        <f>-IFERROR(('Как будет'!FL109+Доп.расчеты!FK310+FK308)*VLOOKUP(FK3,Доп.расчеты!$A$330:$B$351,2,FALSE),0)</f>
        <v>0</v>
      </c>
      <c r="FL313" s="253">
        <f>-IFERROR(('Как будет'!FM109+Доп.расчеты!FL310+FL308)*VLOOKUP(FL3,Доп.расчеты!$A$330:$B$351,2,FALSE),0)</f>
        <v>0</v>
      </c>
      <c r="FM313" s="253">
        <f>-IFERROR(('Как будет'!FN109+Доп.расчеты!FM310+FM308)*VLOOKUP(FM3,Доп.расчеты!$A$330:$B$351,2,FALSE),0)</f>
        <v>0</v>
      </c>
      <c r="FN313" s="253">
        <f>-IFERROR(('Как будет'!FO109+Доп.расчеты!FN310+FN308)*VLOOKUP(FN3,Доп.расчеты!$A$330:$B$351,2,FALSE),0)</f>
        <v>0</v>
      </c>
      <c r="FO313" s="253">
        <f>-IFERROR(('Как будет'!FP109+Доп.расчеты!FO310+FO308)*VLOOKUP(FO3,Доп.расчеты!$A$330:$B$351,2,FALSE),0)</f>
        <v>0</v>
      </c>
      <c r="FP313" s="253">
        <f>-IFERROR(('Как будет'!FQ109+Доп.расчеты!FP310+FP308)*VLOOKUP(FP3,Доп.расчеты!$A$330:$B$351,2,FALSE),0)</f>
        <v>0</v>
      </c>
      <c r="FQ313" s="253">
        <f>-IFERROR(('Как будет'!FR109+Доп.расчеты!FQ310+FQ308)*VLOOKUP(FQ3,Доп.расчеты!$A$330:$B$351,2,FALSE),0)</f>
        <v>0</v>
      </c>
      <c r="FR313" s="253">
        <f>-IFERROR(('Как будет'!FS109+Доп.расчеты!FR310+FR308)*VLOOKUP(FR3,Доп.расчеты!$A$330:$B$351,2,FALSE),0)</f>
        <v>0</v>
      </c>
      <c r="FS313" s="253">
        <f>-IFERROR(('Как будет'!FT109+Доп.расчеты!FS310+FS308)*VLOOKUP(FS3,Доп.расчеты!$A$330:$B$351,2,FALSE),0)</f>
        <v>0</v>
      </c>
      <c r="FT313" s="253">
        <f>-IFERROR(('Как будет'!FU109+Доп.расчеты!FT310+FT308)*VLOOKUP(FT3,Доп.расчеты!$A$330:$B$351,2,FALSE),0)</f>
        <v>0</v>
      </c>
      <c r="FU313" s="253">
        <f>-IFERROR(('Как будет'!FV109+Доп.расчеты!FU310+FU308)*VLOOKUP(FU3,Доп.расчеты!$A$330:$B$351,2,FALSE),0)</f>
        <v>0</v>
      </c>
      <c r="FV313" s="253">
        <f>-IFERROR(('Как будет'!FW109+Доп.расчеты!FV310+FV308)*VLOOKUP(FV3,Доп.расчеты!$A$330:$B$351,2,FALSE),0)</f>
        <v>0</v>
      </c>
      <c r="FW313" s="253">
        <f>-IFERROR(('Как будет'!FX109+Доп.расчеты!FW310+FW308)*VLOOKUP(FW3,Доп.расчеты!$A$330:$B$351,2,FALSE),0)</f>
        <v>0</v>
      </c>
      <c r="FX313" s="253">
        <f>-IFERROR(('Как будет'!FY109+Доп.расчеты!FX310+FX308)*VLOOKUP(FX3,Доп.расчеты!$A$330:$B$351,2,FALSE),0)</f>
        <v>0</v>
      </c>
      <c r="FY313" s="253">
        <f>-IFERROR(('Как будет'!FZ109+Доп.расчеты!FY310+FY308)*VLOOKUP(FY3,Доп.расчеты!$A$330:$B$351,2,FALSE),0)</f>
        <v>0</v>
      </c>
      <c r="FZ313" s="253">
        <f>-IFERROR(('Как будет'!GA109+Доп.расчеты!FZ310+FZ308)*VLOOKUP(FZ3,Доп.расчеты!$A$330:$B$351,2,FALSE),0)</f>
        <v>0</v>
      </c>
      <c r="GA313" s="253">
        <f>-IFERROR(('Как будет'!GB109+Доп.расчеты!GA310+GA308)*VLOOKUP(GA3,Доп.расчеты!$A$330:$B$351,2,FALSE),0)</f>
        <v>0</v>
      </c>
      <c r="GB313" s="253">
        <f>-IFERROR(('Как будет'!GC109+Доп.расчеты!GB310+GB308)*VLOOKUP(GB3,Доп.расчеты!$A$330:$B$351,2,FALSE),0)</f>
        <v>0</v>
      </c>
      <c r="GC313" s="253">
        <f>-IFERROR(('Как будет'!GD109+Доп.расчеты!GC310+GC308)*VLOOKUP(GC3,Доп.расчеты!$A$330:$B$351,2,FALSE),0)</f>
        <v>0</v>
      </c>
      <c r="GD313" s="253">
        <f>-IFERROR(('Как будет'!GE109+Доп.расчеты!GD310+GD308)*VLOOKUP(GD3,Доп.расчеты!$A$330:$B$351,2,FALSE),0)</f>
        <v>0</v>
      </c>
      <c r="GE313" s="253">
        <f>-IFERROR(('Как будет'!GF109+Доп.расчеты!GE310+GE308)*VLOOKUP(GE3,Доп.расчеты!$A$330:$B$351,2,FALSE),0)</f>
        <v>0</v>
      </c>
      <c r="GF313" s="253">
        <f>-IFERROR(('Как будет'!GG109+Доп.расчеты!GF310+GF308)*VLOOKUP(GF3,Доп.расчеты!$A$330:$B$351,2,FALSE),0)</f>
        <v>0</v>
      </c>
      <c r="GG313" s="253">
        <f>-IFERROR(('Как будет'!GH109+Доп.расчеты!GG310+GG308)*VLOOKUP(GG3,Доп.расчеты!$A$330:$B$351,2,FALSE),0)</f>
        <v>0</v>
      </c>
      <c r="GH313" s="253">
        <f>-IFERROR(('Как будет'!GI109+Доп.расчеты!GH310+GH308)*VLOOKUP(GH3,Доп.расчеты!$A$330:$B$351,2,FALSE),0)</f>
        <v>0</v>
      </c>
      <c r="GI313" s="253">
        <f>-IFERROR(('Как будет'!GJ109+Доп.расчеты!GI310+GI308)*VLOOKUP(GI3,Доп.расчеты!$A$330:$B$351,2,FALSE),0)</f>
        <v>0</v>
      </c>
      <c r="GJ313" s="253">
        <f>-IFERROR(('Как будет'!GK109+Доп.расчеты!GJ310+GJ308)*VLOOKUP(GJ3,Доп.расчеты!$A$330:$B$351,2,FALSE),0)</f>
        <v>0</v>
      </c>
      <c r="GK313" s="253">
        <f>-IFERROR(('Как будет'!GL109+Доп.расчеты!GK310+GK308)*VLOOKUP(GK3,Доп.расчеты!$A$330:$B$351,2,FALSE),0)</f>
        <v>0</v>
      </c>
      <c r="GL313" s="253">
        <f>-IFERROR(('Как будет'!GM109+Доп.расчеты!GL310+GL308)*VLOOKUP(GL3,Доп.расчеты!$A$330:$B$351,2,FALSE),0)</f>
        <v>0</v>
      </c>
      <c r="GM313" s="253">
        <f>-IFERROR(('Как будет'!GN109+Доп.расчеты!GM310+GM308)*VLOOKUP(GM3,Доп.расчеты!$A$330:$B$351,2,FALSE),0)</f>
        <v>0</v>
      </c>
      <c r="GN313" s="253">
        <f>-IFERROR(('Как будет'!GO109+Доп.расчеты!GN310+GN308)*VLOOKUP(GN3,Доп.расчеты!$A$330:$B$351,2,FALSE),0)</f>
        <v>0</v>
      </c>
      <c r="GO313" s="253">
        <f>-IFERROR(('Как будет'!GP109+Доп.расчеты!GO310+GO308)*VLOOKUP(GO3,Доп.расчеты!$A$330:$B$351,2,FALSE),0)</f>
        <v>0</v>
      </c>
      <c r="GP313" s="253">
        <f>-IFERROR(('Как будет'!GQ109+Доп.расчеты!GP310+GP308)*VLOOKUP(GP3,Доп.расчеты!$A$330:$B$351,2,FALSE),0)</f>
        <v>0</v>
      </c>
      <c r="GQ313" s="253">
        <f>-IFERROR(('Как будет'!GR109+Доп.расчеты!GQ310+GQ308)*VLOOKUP(GQ3,Доп.расчеты!$A$330:$B$351,2,FALSE),0)</f>
        <v>0</v>
      </c>
      <c r="GR313" s="253">
        <f>-IFERROR(('Как будет'!GS109+Доп.расчеты!GR310+GR308)*VLOOKUP(GR3,Доп.расчеты!$A$330:$B$351,2,FALSE),0)</f>
        <v>0</v>
      </c>
      <c r="GS313" s="253">
        <f>-IFERROR(('Как будет'!GT109+Доп.расчеты!GS310+GS308)*VLOOKUP(GS3,Доп.расчеты!$A$330:$B$351,2,FALSE),0)</f>
        <v>0</v>
      </c>
      <c r="GT313" s="253">
        <f>-IFERROR(('Как будет'!GU109+Доп.расчеты!GT310+GT308)*VLOOKUP(GT3,Доп.расчеты!$A$330:$B$351,2,FALSE),0)</f>
        <v>0</v>
      </c>
    </row>
    <row r="317" spans="1:202">
      <c r="A317">
        <v>1</v>
      </c>
      <c r="B317" t="b">
        <f>A317=Свод!$A$7/12</f>
        <v>0</v>
      </c>
      <c r="C317" t="s">
        <v>74</v>
      </c>
    </row>
    <row r="318" spans="1:202">
      <c r="A318">
        <v>2</v>
      </c>
      <c r="B318" t="b">
        <f>A318=Свод!$A$7/12</f>
        <v>0</v>
      </c>
      <c r="C318" t="s">
        <v>75</v>
      </c>
    </row>
    <row r="319" spans="1:202">
      <c r="A319">
        <v>3</v>
      </c>
      <c r="B319" t="b">
        <f>A319=Свод!$A$7/12</f>
        <v>0</v>
      </c>
      <c r="C319" t="s">
        <v>75</v>
      </c>
    </row>
    <row r="320" spans="1:202">
      <c r="A320">
        <v>4</v>
      </c>
      <c r="B320" t="b">
        <f>A320=Свод!$A$7/12</f>
        <v>0</v>
      </c>
      <c r="C320" t="s">
        <v>75</v>
      </c>
    </row>
    <row r="321" spans="1:3">
      <c r="A321">
        <v>5</v>
      </c>
      <c r="B321" t="b">
        <f>A321=Свод!$A$7/12</f>
        <v>1</v>
      </c>
      <c r="C321" t="s">
        <v>76</v>
      </c>
    </row>
    <row r="322" spans="1:3">
      <c r="A322">
        <v>6</v>
      </c>
      <c r="B322" t="b">
        <f>A322=Свод!$A$7/12</f>
        <v>0</v>
      </c>
      <c r="C322" t="s">
        <v>76</v>
      </c>
    </row>
    <row r="323" spans="1:3">
      <c r="A323">
        <v>7</v>
      </c>
      <c r="B323" t="b">
        <f>A323=Свод!$A$7/12</f>
        <v>0</v>
      </c>
      <c r="C323" t="s">
        <v>76</v>
      </c>
    </row>
    <row r="324" spans="1:3">
      <c r="A324">
        <v>8</v>
      </c>
      <c r="B324" t="b">
        <f>A324=Свод!$A$7/12</f>
        <v>0</v>
      </c>
      <c r="C324" t="s">
        <v>76</v>
      </c>
    </row>
    <row r="325" spans="1:3">
      <c r="A325">
        <v>9</v>
      </c>
      <c r="B325" t="b">
        <f>A325=Свод!$A$7/12</f>
        <v>0</v>
      </c>
      <c r="C325" t="s">
        <v>76</v>
      </c>
    </row>
    <row r="326" spans="1:3">
      <c r="A326">
        <v>10</v>
      </c>
      <c r="B326" t="b">
        <f>A326=Свод!$A$7/12</f>
        <v>0</v>
      </c>
      <c r="C326" t="s">
        <v>76</v>
      </c>
    </row>
    <row r="329" spans="1:3">
      <c r="A329" t="s">
        <v>51</v>
      </c>
    </row>
    <row r="330" spans="1:3">
      <c r="A330">
        <v>2019</v>
      </c>
      <c r="B330" s="241">
        <v>0.2</v>
      </c>
    </row>
    <row r="331" spans="1:3">
      <c r="A331">
        <v>2020</v>
      </c>
      <c r="B331" s="241">
        <v>0.2</v>
      </c>
    </row>
    <row r="332" spans="1:3">
      <c r="A332">
        <v>2021</v>
      </c>
      <c r="B332" s="241">
        <v>0.2</v>
      </c>
    </row>
    <row r="333" spans="1:3">
      <c r="A333">
        <v>2022</v>
      </c>
      <c r="B333" s="241">
        <v>0.2</v>
      </c>
    </row>
    <row r="334" spans="1:3">
      <c r="A334">
        <v>2023</v>
      </c>
      <c r="B334" s="241">
        <v>0.2</v>
      </c>
    </row>
    <row r="335" spans="1:3">
      <c r="A335">
        <v>2024</v>
      </c>
      <c r="B335" s="241">
        <v>0.2</v>
      </c>
    </row>
    <row r="336" spans="1:3">
      <c r="A336">
        <v>2025</v>
      </c>
      <c r="B336" s="241">
        <v>0.25</v>
      </c>
    </row>
    <row r="337" spans="1:2">
      <c r="A337">
        <v>2026</v>
      </c>
      <c r="B337" s="241">
        <v>0.25</v>
      </c>
    </row>
    <row r="338" spans="1:2">
      <c r="A338">
        <v>2027</v>
      </c>
      <c r="B338" s="241">
        <v>0.25</v>
      </c>
    </row>
    <row r="339" spans="1:2">
      <c r="A339">
        <v>2028</v>
      </c>
      <c r="B339" s="241">
        <v>0.25</v>
      </c>
    </row>
    <row r="340" spans="1:2">
      <c r="A340">
        <v>2029</v>
      </c>
      <c r="B340" s="241">
        <v>0.25</v>
      </c>
    </row>
    <row r="341" spans="1:2">
      <c r="A341">
        <v>2030</v>
      </c>
      <c r="B341" s="241">
        <v>0.25</v>
      </c>
    </row>
    <row r="342" spans="1:2">
      <c r="A342">
        <v>2031</v>
      </c>
      <c r="B342" s="241">
        <v>0.25</v>
      </c>
    </row>
    <row r="343" spans="1:2">
      <c r="A343">
        <v>2032</v>
      </c>
      <c r="B343" s="241">
        <v>0.25</v>
      </c>
    </row>
    <row r="344" spans="1:2">
      <c r="A344">
        <v>2033</v>
      </c>
      <c r="B344" s="241">
        <v>0.25</v>
      </c>
    </row>
    <row r="345" spans="1:2">
      <c r="A345">
        <v>2034</v>
      </c>
      <c r="B345" s="241">
        <v>0.25</v>
      </c>
    </row>
    <row r="346" spans="1:2">
      <c r="A346">
        <v>2035</v>
      </c>
      <c r="B346" s="241">
        <v>0.25</v>
      </c>
    </row>
    <row r="347" spans="1:2">
      <c r="A347">
        <v>2036</v>
      </c>
      <c r="B347" s="241">
        <v>0.25</v>
      </c>
    </row>
    <row r="348" spans="1:2">
      <c r="A348">
        <v>2037</v>
      </c>
      <c r="B348" s="241">
        <v>0.25</v>
      </c>
    </row>
    <row r="349" spans="1:2">
      <c r="A349">
        <v>2038</v>
      </c>
      <c r="B349" s="241">
        <v>0.25</v>
      </c>
    </row>
    <row r="350" spans="1:2">
      <c r="A350">
        <v>2039</v>
      </c>
      <c r="B350" s="241">
        <v>0.25</v>
      </c>
    </row>
    <row r="351" spans="1:2">
      <c r="A351">
        <v>2040</v>
      </c>
      <c r="B351" s="241">
        <v>0.25</v>
      </c>
    </row>
  </sheetData>
  <sheetProtection password="D463" sheet="1" objects="1" scenarios="1"/>
  <pageMargins left="0.7" right="0.7" top="0.75" bottom="0.75" header="0.3" footer="0.3"/>
  <pageSetup paperSize="9" orientation="portrait"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6D28-6D8B-43E7-A83F-EA52B8235B10}">
  <sheetPr codeName="Sheet2">
    <tabColor theme="0" tint="-0.499984740745262"/>
  </sheetPr>
  <dimension ref="A1"/>
  <sheetViews>
    <sheetView topLeftCell="A43" workbookViewId="0">
      <selection activeCell="E36" sqref="E36"/>
    </sheetView>
  </sheetViews>
  <sheetFormatPr baseColWidth="10" defaultColWidth="8.83203125"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FD7F2-8773-4A2E-86C5-DDA15CE6F40E}">
  <sheetPr codeName="Лист14">
    <tabColor theme="2" tint="-9.9978637043366805E-2"/>
  </sheetPr>
  <dimension ref="A1:HV6"/>
  <sheetViews>
    <sheetView showGridLines="0" topLeftCell="BV1" zoomScale="80" zoomScaleNormal="80" workbookViewId="0">
      <selection activeCell="CL2" sqref="CL2"/>
    </sheetView>
  </sheetViews>
  <sheetFormatPr baseColWidth="10" defaultColWidth="8.83203125" defaultRowHeight="15"/>
  <cols>
    <col min="1" max="1" width="15.5" bestFit="1" customWidth="1"/>
    <col min="2" max="230" width="9.83203125" bestFit="1" customWidth="1"/>
  </cols>
  <sheetData>
    <row r="1" spans="1:230" ht="16">
      <c r="A1" s="212" t="s">
        <v>223</v>
      </c>
      <c r="B1" s="213">
        <v>43101</v>
      </c>
      <c r="C1" s="213">
        <f>EDATE(B1,1)</f>
        <v>43132</v>
      </c>
      <c r="D1" s="213">
        <f t="shared" ref="D1:BO1" si="0">EDATE(C1,1)</f>
        <v>43160</v>
      </c>
      <c r="E1" s="213">
        <f t="shared" si="0"/>
        <v>43191</v>
      </c>
      <c r="F1" s="213">
        <f t="shared" si="0"/>
        <v>43221</v>
      </c>
      <c r="G1" s="213">
        <f t="shared" si="0"/>
        <v>43252</v>
      </c>
      <c r="H1" s="213">
        <f t="shared" si="0"/>
        <v>43282</v>
      </c>
      <c r="I1" s="213">
        <f t="shared" si="0"/>
        <v>43313</v>
      </c>
      <c r="J1" s="213">
        <f t="shared" si="0"/>
        <v>43344</v>
      </c>
      <c r="K1" s="213">
        <f t="shared" si="0"/>
        <v>43374</v>
      </c>
      <c r="L1" s="213">
        <f t="shared" si="0"/>
        <v>43405</v>
      </c>
      <c r="M1" s="213">
        <f t="shared" si="0"/>
        <v>43435</v>
      </c>
      <c r="N1" s="213">
        <f t="shared" si="0"/>
        <v>43466</v>
      </c>
      <c r="O1" s="213">
        <f t="shared" si="0"/>
        <v>43497</v>
      </c>
      <c r="P1" s="213">
        <f t="shared" si="0"/>
        <v>43525</v>
      </c>
      <c r="Q1" s="213">
        <f t="shared" si="0"/>
        <v>43556</v>
      </c>
      <c r="R1" s="213">
        <f t="shared" si="0"/>
        <v>43586</v>
      </c>
      <c r="S1" s="213">
        <f t="shared" si="0"/>
        <v>43617</v>
      </c>
      <c r="T1" s="213">
        <f t="shared" si="0"/>
        <v>43647</v>
      </c>
      <c r="U1" s="213">
        <f t="shared" si="0"/>
        <v>43678</v>
      </c>
      <c r="V1" s="213">
        <f t="shared" si="0"/>
        <v>43709</v>
      </c>
      <c r="W1" s="213">
        <f t="shared" si="0"/>
        <v>43739</v>
      </c>
      <c r="X1" s="213">
        <f t="shared" si="0"/>
        <v>43770</v>
      </c>
      <c r="Y1" s="213">
        <f t="shared" si="0"/>
        <v>43800</v>
      </c>
      <c r="Z1" s="213">
        <f t="shared" si="0"/>
        <v>43831</v>
      </c>
      <c r="AA1" s="213">
        <f t="shared" si="0"/>
        <v>43862</v>
      </c>
      <c r="AB1" s="213">
        <f t="shared" si="0"/>
        <v>43891</v>
      </c>
      <c r="AC1" s="213">
        <f t="shared" si="0"/>
        <v>43922</v>
      </c>
      <c r="AD1" s="213">
        <f t="shared" si="0"/>
        <v>43952</v>
      </c>
      <c r="AE1" s="213">
        <f t="shared" si="0"/>
        <v>43983</v>
      </c>
      <c r="AF1" s="213">
        <f t="shared" si="0"/>
        <v>44013</v>
      </c>
      <c r="AG1" s="213">
        <f t="shared" si="0"/>
        <v>44044</v>
      </c>
      <c r="AH1" s="213">
        <f t="shared" si="0"/>
        <v>44075</v>
      </c>
      <c r="AI1" s="213">
        <f t="shared" si="0"/>
        <v>44105</v>
      </c>
      <c r="AJ1" s="213">
        <f t="shared" si="0"/>
        <v>44136</v>
      </c>
      <c r="AK1" s="213">
        <f t="shared" si="0"/>
        <v>44166</v>
      </c>
      <c r="AL1" s="213">
        <f t="shared" si="0"/>
        <v>44197</v>
      </c>
      <c r="AM1" s="213">
        <f t="shared" si="0"/>
        <v>44228</v>
      </c>
      <c r="AN1" s="213">
        <f t="shared" si="0"/>
        <v>44256</v>
      </c>
      <c r="AO1" s="213">
        <f t="shared" si="0"/>
        <v>44287</v>
      </c>
      <c r="AP1" s="213">
        <f t="shared" si="0"/>
        <v>44317</v>
      </c>
      <c r="AQ1" s="213">
        <f t="shared" si="0"/>
        <v>44348</v>
      </c>
      <c r="AR1" s="213">
        <f t="shared" si="0"/>
        <v>44378</v>
      </c>
      <c r="AS1" s="213">
        <f t="shared" si="0"/>
        <v>44409</v>
      </c>
      <c r="AT1" s="213">
        <f t="shared" si="0"/>
        <v>44440</v>
      </c>
      <c r="AU1" s="213">
        <f t="shared" si="0"/>
        <v>44470</v>
      </c>
      <c r="AV1" s="213">
        <f t="shared" si="0"/>
        <v>44501</v>
      </c>
      <c r="AW1" s="213">
        <f t="shared" si="0"/>
        <v>44531</v>
      </c>
      <c r="AX1" s="213">
        <f t="shared" si="0"/>
        <v>44562</v>
      </c>
      <c r="AY1" s="213">
        <f t="shared" si="0"/>
        <v>44593</v>
      </c>
      <c r="AZ1" s="213">
        <f t="shared" si="0"/>
        <v>44621</v>
      </c>
      <c r="BA1" s="213">
        <f t="shared" si="0"/>
        <v>44652</v>
      </c>
      <c r="BB1" s="213">
        <f t="shared" si="0"/>
        <v>44682</v>
      </c>
      <c r="BC1" s="213">
        <f t="shared" si="0"/>
        <v>44713</v>
      </c>
      <c r="BD1" s="213">
        <f t="shared" si="0"/>
        <v>44743</v>
      </c>
      <c r="BE1" s="213">
        <f t="shared" si="0"/>
        <v>44774</v>
      </c>
      <c r="BF1" s="213">
        <f t="shared" si="0"/>
        <v>44805</v>
      </c>
      <c r="BG1" s="213">
        <f t="shared" si="0"/>
        <v>44835</v>
      </c>
      <c r="BH1" s="213">
        <f t="shared" si="0"/>
        <v>44866</v>
      </c>
      <c r="BI1" s="213">
        <f t="shared" si="0"/>
        <v>44896</v>
      </c>
      <c r="BJ1" s="213">
        <f t="shared" si="0"/>
        <v>44927</v>
      </c>
      <c r="BK1" s="213">
        <f t="shared" si="0"/>
        <v>44958</v>
      </c>
      <c r="BL1" s="213">
        <f t="shared" si="0"/>
        <v>44986</v>
      </c>
      <c r="BM1" s="213">
        <f t="shared" si="0"/>
        <v>45017</v>
      </c>
      <c r="BN1" s="213">
        <f t="shared" si="0"/>
        <v>45047</v>
      </c>
      <c r="BO1" s="213">
        <f t="shared" si="0"/>
        <v>45078</v>
      </c>
      <c r="BP1" s="213">
        <f t="shared" ref="BP1:EA1" si="1">EDATE(BO1,1)</f>
        <v>45108</v>
      </c>
      <c r="BQ1" s="213">
        <f t="shared" si="1"/>
        <v>45139</v>
      </c>
      <c r="BR1" s="213">
        <f t="shared" si="1"/>
        <v>45170</v>
      </c>
      <c r="BS1" s="213">
        <f t="shared" si="1"/>
        <v>45200</v>
      </c>
      <c r="BT1" s="213">
        <f t="shared" si="1"/>
        <v>45231</v>
      </c>
      <c r="BU1" s="213">
        <f t="shared" si="1"/>
        <v>45261</v>
      </c>
      <c r="BV1" s="213">
        <f t="shared" si="1"/>
        <v>45292</v>
      </c>
      <c r="BW1" s="213">
        <f t="shared" si="1"/>
        <v>45323</v>
      </c>
      <c r="BX1" s="213">
        <f t="shared" si="1"/>
        <v>45352</v>
      </c>
      <c r="BY1" s="213">
        <f t="shared" si="1"/>
        <v>45383</v>
      </c>
      <c r="BZ1" s="213">
        <f t="shared" si="1"/>
        <v>45413</v>
      </c>
      <c r="CA1" s="213">
        <f t="shared" si="1"/>
        <v>45444</v>
      </c>
      <c r="CB1" s="213">
        <f t="shared" si="1"/>
        <v>45474</v>
      </c>
      <c r="CC1" s="213">
        <f t="shared" si="1"/>
        <v>45505</v>
      </c>
      <c r="CD1" s="213">
        <f t="shared" si="1"/>
        <v>45536</v>
      </c>
      <c r="CE1" s="213">
        <f t="shared" si="1"/>
        <v>45566</v>
      </c>
      <c r="CF1" s="213">
        <f t="shared" si="1"/>
        <v>45597</v>
      </c>
      <c r="CG1" s="213">
        <f t="shared" si="1"/>
        <v>45627</v>
      </c>
      <c r="CH1" s="213">
        <f t="shared" si="1"/>
        <v>45658</v>
      </c>
      <c r="CI1" s="213">
        <f t="shared" si="1"/>
        <v>45689</v>
      </c>
      <c r="CJ1" s="213">
        <f t="shared" si="1"/>
        <v>45717</v>
      </c>
      <c r="CK1" s="213">
        <f t="shared" si="1"/>
        <v>45748</v>
      </c>
      <c r="CL1" s="213">
        <f t="shared" si="1"/>
        <v>45778</v>
      </c>
      <c r="CM1" s="213">
        <f t="shared" si="1"/>
        <v>45809</v>
      </c>
      <c r="CN1" s="213">
        <f t="shared" si="1"/>
        <v>45839</v>
      </c>
      <c r="CO1" s="213">
        <f t="shared" si="1"/>
        <v>45870</v>
      </c>
      <c r="CP1" s="213">
        <f t="shared" si="1"/>
        <v>45901</v>
      </c>
      <c r="CQ1" s="213">
        <f t="shared" si="1"/>
        <v>45931</v>
      </c>
      <c r="CR1" s="213">
        <f t="shared" si="1"/>
        <v>45962</v>
      </c>
      <c r="CS1" s="213">
        <f t="shared" si="1"/>
        <v>45992</v>
      </c>
      <c r="CT1" s="213">
        <f t="shared" si="1"/>
        <v>46023</v>
      </c>
      <c r="CU1" s="213">
        <f t="shared" si="1"/>
        <v>46054</v>
      </c>
      <c r="CV1" s="213">
        <f t="shared" si="1"/>
        <v>46082</v>
      </c>
      <c r="CW1" s="213">
        <f t="shared" si="1"/>
        <v>46113</v>
      </c>
      <c r="CX1" s="213">
        <f t="shared" si="1"/>
        <v>46143</v>
      </c>
      <c r="CY1" s="213">
        <f t="shared" si="1"/>
        <v>46174</v>
      </c>
      <c r="CZ1" s="213">
        <f t="shared" si="1"/>
        <v>46204</v>
      </c>
      <c r="DA1" s="213">
        <f t="shared" si="1"/>
        <v>46235</v>
      </c>
      <c r="DB1" s="213">
        <f t="shared" si="1"/>
        <v>46266</v>
      </c>
      <c r="DC1" s="213">
        <f t="shared" si="1"/>
        <v>46296</v>
      </c>
      <c r="DD1" s="213">
        <f t="shared" si="1"/>
        <v>46327</v>
      </c>
      <c r="DE1" s="213">
        <f t="shared" si="1"/>
        <v>46357</v>
      </c>
      <c r="DF1" s="213">
        <f t="shared" si="1"/>
        <v>46388</v>
      </c>
      <c r="DG1" s="213">
        <f t="shared" si="1"/>
        <v>46419</v>
      </c>
      <c r="DH1" s="213">
        <f t="shared" si="1"/>
        <v>46447</v>
      </c>
      <c r="DI1" s="213">
        <f t="shared" si="1"/>
        <v>46478</v>
      </c>
      <c r="DJ1" s="213">
        <f t="shared" si="1"/>
        <v>46508</v>
      </c>
      <c r="DK1" s="213">
        <f t="shared" si="1"/>
        <v>46539</v>
      </c>
      <c r="DL1" s="213">
        <f t="shared" si="1"/>
        <v>46569</v>
      </c>
      <c r="DM1" s="213">
        <f t="shared" si="1"/>
        <v>46600</v>
      </c>
      <c r="DN1" s="213">
        <f t="shared" si="1"/>
        <v>46631</v>
      </c>
      <c r="DO1" s="213">
        <f t="shared" si="1"/>
        <v>46661</v>
      </c>
      <c r="DP1" s="213">
        <f t="shared" si="1"/>
        <v>46692</v>
      </c>
      <c r="DQ1" s="213">
        <f t="shared" si="1"/>
        <v>46722</v>
      </c>
      <c r="DR1" s="213">
        <f t="shared" si="1"/>
        <v>46753</v>
      </c>
      <c r="DS1" s="213">
        <f t="shared" si="1"/>
        <v>46784</v>
      </c>
      <c r="DT1" s="213">
        <f t="shared" si="1"/>
        <v>46813</v>
      </c>
      <c r="DU1" s="213">
        <f t="shared" si="1"/>
        <v>46844</v>
      </c>
      <c r="DV1" s="213">
        <f t="shared" si="1"/>
        <v>46874</v>
      </c>
      <c r="DW1" s="213">
        <f t="shared" si="1"/>
        <v>46905</v>
      </c>
      <c r="DX1" s="213">
        <f t="shared" si="1"/>
        <v>46935</v>
      </c>
      <c r="DY1" s="213">
        <f t="shared" si="1"/>
        <v>46966</v>
      </c>
      <c r="DZ1" s="213">
        <f t="shared" si="1"/>
        <v>46997</v>
      </c>
      <c r="EA1" s="213">
        <f t="shared" si="1"/>
        <v>47027</v>
      </c>
      <c r="EB1" s="213">
        <f t="shared" ref="EB1:GM1" si="2">EDATE(EA1,1)</f>
        <v>47058</v>
      </c>
      <c r="EC1" s="213">
        <f t="shared" si="2"/>
        <v>47088</v>
      </c>
      <c r="ED1" s="213">
        <f t="shared" si="2"/>
        <v>47119</v>
      </c>
      <c r="EE1" s="213">
        <f t="shared" si="2"/>
        <v>47150</v>
      </c>
      <c r="EF1" s="213">
        <f t="shared" si="2"/>
        <v>47178</v>
      </c>
      <c r="EG1" s="213">
        <f t="shared" si="2"/>
        <v>47209</v>
      </c>
      <c r="EH1" s="213">
        <f t="shared" si="2"/>
        <v>47239</v>
      </c>
      <c r="EI1" s="213">
        <f t="shared" si="2"/>
        <v>47270</v>
      </c>
      <c r="EJ1" s="213">
        <f t="shared" si="2"/>
        <v>47300</v>
      </c>
      <c r="EK1" s="213">
        <f t="shared" si="2"/>
        <v>47331</v>
      </c>
      <c r="EL1" s="213">
        <f t="shared" si="2"/>
        <v>47362</v>
      </c>
      <c r="EM1" s="213">
        <f t="shared" si="2"/>
        <v>47392</v>
      </c>
      <c r="EN1" s="213">
        <f t="shared" si="2"/>
        <v>47423</v>
      </c>
      <c r="EO1" s="213">
        <f t="shared" si="2"/>
        <v>47453</v>
      </c>
      <c r="EP1" s="213">
        <f t="shared" si="2"/>
        <v>47484</v>
      </c>
      <c r="EQ1" s="213">
        <f t="shared" si="2"/>
        <v>47515</v>
      </c>
      <c r="ER1" s="213">
        <f t="shared" si="2"/>
        <v>47543</v>
      </c>
      <c r="ES1" s="213">
        <f t="shared" si="2"/>
        <v>47574</v>
      </c>
      <c r="ET1" s="213">
        <f t="shared" si="2"/>
        <v>47604</v>
      </c>
      <c r="EU1" s="213">
        <f t="shared" si="2"/>
        <v>47635</v>
      </c>
      <c r="EV1" s="213">
        <f t="shared" si="2"/>
        <v>47665</v>
      </c>
      <c r="EW1" s="213">
        <f t="shared" si="2"/>
        <v>47696</v>
      </c>
      <c r="EX1" s="213">
        <f t="shared" si="2"/>
        <v>47727</v>
      </c>
      <c r="EY1" s="213">
        <f t="shared" si="2"/>
        <v>47757</v>
      </c>
      <c r="EZ1" s="213">
        <f t="shared" si="2"/>
        <v>47788</v>
      </c>
      <c r="FA1" s="213">
        <f t="shared" si="2"/>
        <v>47818</v>
      </c>
      <c r="FB1" s="213">
        <f t="shared" si="2"/>
        <v>47849</v>
      </c>
      <c r="FC1" s="213">
        <f t="shared" si="2"/>
        <v>47880</v>
      </c>
      <c r="FD1" s="213">
        <f t="shared" si="2"/>
        <v>47908</v>
      </c>
      <c r="FE1" s="213">
        <f t="shared" si="2"/>
        <v>47939</v>
      </c>
      <c r="FF1" s="213">
        <f t="shared" si="2"/>
        <v>47969</v>
      </c>
      <c r="FG1" s="213">
        <f t="shared" si="2"/>
        <v>48000</v>
      </c>
      <c r="FH1" s="213">
        <f t="shared" si="2"/>
        <v>48030</v>
      </c>
      <c r="FI1" s="213">
        <f t="shared" si="2"/>
        <v>48061</v>
      </c>
      <c r="FJ1" s="213">
        <f t="shared" si="2"/>
        <v>48092</v>
      </c>
      <c r="FK1" s="213">
        <f t="shared" si="2"/>
        <v>48122</v>
      </c>
      <c r="FL1" s="213">
        <f t="shared" si="2"/>
        <v>48153</v>
      </c>
      <c r="FM1" s="213">
        <f t="shared" si="2"/>
        <v>48183</v>
      </c>
      <c r="FN1" s="213">
        <f t="shared" si="2"/>
        <v>48214</v>
      </c>
      <c r="FO1" s="213">
        <f t="shared" si="2"/>
        <v>48245</v>
      </c>
      <c r="FP1" s="213">
        <f t="shared" si="2"/>
        <v>48274</v>
      </c>
      <c r="FQ1" s="213">
        <f t="shared" si="2"/>
        <v>48305</v>
      </c>
      <c r="FR1" s="213">
        <f t="shared" si="2"/>
        <v>48335</v>
      </c>
      <c r="FS1" s="213">
        <f t="shared" si="2"/>
        <v>48366</v>
      </c>
      <c r="FT1" s="213">
        <f t="shared" si="2"/>
        <v>48396</v>
      </c>
      <c r="FU1" s="213">
        <f t="shared" si="2"/>
        <v>48427</v>
      </c>
      <c r="FV1" s="213">
        <f t="shared" si="2"/>
        <v>48458</v>
      </c>
      <c r="FW1" s="213">
        <f t="shared" si="2"/>
        <v>48488</v>
      </c>
      <c r="FX1" s="213">
        <f t="shared" si="2"/>
        <v>48519</v>
      </c>
      <c r="FY1" s="213">
        <f t="shared" si="2"/>
        <v>48549</v>
      </c>
      <c r="FZ1" s="213">
        <f t="shared" si="2"/>
        <v>48580</v>
      </c>
      <c r="GA1" s="213">
        <f t="shared" si="2"/>
        <v>48611</v>
      </c>
      <c r="GB1" s="213">
        <f t="shared" si="2"/>
        <v>48639</v>
      </c>
      <c r="GC1" s="213">
        <f t="shared" si="2"/>
        <v>48670</v>
      </c>
      <c r="GD1" s="213">
        <f t="shared" si="2"/>
        <v>48700</v>
      </c>
      <c r="GE1" s="213">
        <f t="shared" si="2"/>
        <v>48731</v>
      </c>
      <c r="GF1" s="213">
        <f t="shared" si="2"/>
        <v>48761</v>
      </c>
      <c r="GG1" s="213">
        <f t="shared" si="2"/>
        <v>48792</v>
      </c>
      <c r="GH1" s="213">
        <f t="shared" si="2"/>
        <v>48823</v>
      </c>
      <c r="GI1" s="213">
        <f t="shared" si="2"/>
        <v>48853</v>
      </c>
      <c r="GJ1" s="213">
        <f t="shared" si="2"/>
        <v>48884</v>
      </c>
      <c r="GK1" s="213">
        <f t="shared" si="2"/>
        <v>48914</v>
      </c>
      <c r="GL1" s="213">
        <f t="shared" si="2"/>
        <v>48945</v>
      </c>
      <c r="GM1" s="213">
        <f t="shared" si="2"/>
        <v>48976</v>
      </c>
      <c r="GN1" s="213">
        <f t="shared" ref="GN1:HV1" si="3">EDATE(GM1,1)</f>
        <v>49004</v>
      </c>
      <c r="GO1" s="213">
        <f t="shared" si="3"/>
        <v>49035</v>
      </c>
      <c r="GP1" s="213">
        <f t="shared" si="3"/>
        <v>49065</v>
      </c>
      <c r="GQ1" s="213">
        <f t="shared" si="3"/>
        <v>49096</v>
      </c>
      <c r="GR1" s="213">
        <f t="shared" si="3"/>
        <v>49126</v>
      </c>
      <c r="GS1" s="213">
        <f t="shared" si="3"/>
        <v>49157</v>
      </c>
      <c r="GT1" s="213">
        <f t="shared" si="3"/>
        <v>49188</v>
      </c>
      <c r="GU1" s="213">
        <f t="shared" si="3"/>
        <v>49218</v>
      </c>
      <c r="GV1" s="213">
        <f t="shared" si="3"/>
        <v>49249</v>
      </c>
      <c r="GW1" s="213">
        <f t="shared" si="3"/>
        <v>49279</v>
      </c>
      <c r="GX1" s="213">
        <f t="shared" si="3"/>
        <v>49310</v>
      </c>
      <c r="GY1" s="213">
        <f t="shared" si="3"/>
        <v>49341</v>
      </c>
      <c r="GZ1" s="213">
        <f t="shared" si="3"/>
        <v>49369</v>
      </c>
      <c r="HA1" s="213">
        <f t="shared" si="3"/>
        <v>49400</v>
      </c>
      <c r="HB1" s="213">
        <f t="shared" si="3"/>
        <v>49430</v>
      </c>
      <c r="HC1" s="213">
        <f t="shared" si="3"/>
        <v>49461</v>
      </c>
      <c r="HD1" s="213">
        <f t="shared" si="3"/>
        <v>49491</v>
      </c>
      <c r="HE1" s="213">
        <f t="shared" si="3"/>
        <v>49522</v>
      </c>
      <c r="HF1" s="213">
        <f t="shared" si="3"/>
        <v>49553</v>
      </c>
      <c r="HG1" s="213">
        <f t="shared" si="3"/>
        <v>49583</v>
      </c>
      <c r="HH1" s="213">
        <f t="shared" si="3"/>
        <v>49614</v>
      </c>
      <c r="HI1" s="213">
        <f t="shared" si="3"/>
        <v>49644</v>
      </c>
      <c r="HJ1" s="213">
        <f t="shared" si="3"/>
        <v>49675</v>
      </c>
      <c r="HK1" s="213">
        <f t="shared" si="3"/>
        <v>49706</v>
      </c>
      <c r="HL1" s="213">
        <f t="shared" si="3"/>
        <v>49735</v>
      </c>
      <c r="HM1" s="213">
        <f t="shared" si="3"/>
        <v>49766</v>
      </c>
      <c r="HN1" s="213">
        <f t="shared" si="3"/>
        <v>49796</v>
      </c>
      <c r="HO1" s="213">
        <f t="shared" si="3"/>
        <v>49827</v>
      </c>
      <c r="HP1" s="213">
        <f t="shared" si="3"/>
        <v>49857</v>
      </c>
      <c r="HQ1" s="213">
        <f t="shared" si="3"/>
        <v>49888</v>
      </c>
      <c r="HR1" s="213">
        <f t="shared" si="3"/>
        <v>49919</v>
      </c>
      <c r="HS1" s="213">
        <f t="shared" si="3"/>
        <v>49949</v>
      </c>
      <c r="HT1" s="213">
        <f t="shared" si="3"/>
        <v>49980</v>
      </c>
      <c r="HU1" s="213">
        <f t="shared" si="3"/>
        <v>50010</v>
      </c>
      <c r="HV1" s="213">
        <f t="shared" si="3"/>
        <v>50041</v>
      </c>
    </row>
    <row r="2" spans="1:230">
      <c r="A2" s="57" t="s">
        <v>224</v>
      </c>
      <c r="B2" s="214">
        <f>'[3]Утверждённые WACC'!$E$2</f>
        <v>0.11700000000000001</v>
      </c>
      <c r="C2" s="215">
        <f>B2</f>
        <v>0.11700000000000001</v>
      </c>
      <c r="D2" s="215">
        <f>C2</f>
        <v>0.11700000000000001</v>
      </c>
      <c r="E2" s="215">
        <f>D2</f>
        <v>0.11700000000000001</v>
      </c>
      <c r="F2" s="215">
        <f>E2</f>
        <v>0.11700000000000001</v>
      </c>
      <c r="G2" s="214">
        <f>'[3]Утверждённые WACC'!$F$2</f>
        <v>0.108</v>
      </c>
      <c r="H2" s="215">
        <f>G2</f>
        <v>0.108</v>
      </c>
      <c r="I2" s="215">
        <f>H2</f>
        <v>0.108</v>
      </c>
      <c r="J2" s="215">
        <f>I2</f>
        <v>0.108</v>
      </c>
      <c r="K2" s="215">
        <f>J2</f>
        <v>0.108</v>
      </c>
      <c r="L2" s="215">
        <f>K2</f>
        <v>0.108</v>
      </c>
      <c r="M2" s="214">
        <f>'[3]Утверждённые WACC'!$G$2</f>
        <v>0.11600000000000001</v>
      </c>
      <c r="N2" s="216">
        <f>M2</f>
        <v>0.11600000000000001</v>
      </c>
      <c r="O2" s="217">
        <f>'[3]Утверждённые WACC'!$H$2</f>
        <v>0.12</v>
      </c>
      <c r="P2" s="218">
        <f t="shared" ref="P2:V2" si="4">O2</f>
        <v>0.12</v>
      </c>
      <c r="Q2" s="218">
        <f t="shared" si="4"/>
        <v>0.12</v>
      </c>
      <c r="R2" s="218">
        <f t="shared" si="4"/>
        <v>0.12</v>
      </c>
      <c r="S2" s="218">
        <f t="shared" si="4"/>
        <v>0.12</v>
      </c>
      <c r="T2" s="218">
        <f t="shared" si="4"/>
        <v>0.12</v>
      </c>
      <c r="U2" s="218">
        <f t="shared" si="4"/>
        <v>0.12</v>
      </c>
      <c r="V2" s="218">
        <f t="shared" si="4"/>
        <v>0.12</v>
      </c>
      <c r="W2" s="217">
        <f>'[3]Утверждённые WACC'!$I$2</f>
        <v>0.11</v>
      </c>
      <c r="X2" s="218">
        <f>W2</f>
        <v>0.11</v>
      </c>
      <c r="Y2" s="218">
        <f>X2</f>
        <v>0.11</v>
      </c>
      <c r="Z2" s="218">
        <f>Y2</f>
        <v>0.11</v>
      </c>
      <c r="AA2" s="218">
        <f>Z2</f>
        <v>0.11</v>
      </c>
      <c r="AB2" s="218">
        <f>AA2</f>
        <v>0.11</v>
      </c>
      <c r="AC2" s="217">
        <f>'[3]Утверждённые WACC'!$J$2</f>
        <v>0.108</v>
      </c>
      <c r="AD2" s="218">
        <f t="shared" ref="AD2:AI2" si="5">AC2</f>
        <v>0.108</v>
      </c>
      <c r="AE2" s="218">
        <f t="shared" si="5"/>
        <v>0.108</v>
      </c>
      <c r="AF2" s="218">
        <f t="shared" si="5"/>
        <v>0.108</v>
      </c>
      <c r="AG2" s="218">
        <f t="shared" si="5"/>
        <v>0.108</v>
      </c>
      <c r="AH2" s="218">
        <f t="shared" si="5"/>
        <v>0.108</v>
      </c>
      <c r="AI2" s="218">
        <f t="shared" si="5"/>
        <v>0.108</v>
      </c>
      <c r="AJ2" s="217">
        <f>'[3]Утверждённые WACC'!$K$2</f>
        <v>9.4E-2</v>
      </c>
      <c r="AK2" s="218">
        <f>AJ2</f>
        <v>9.4E-2</v>
      </c>
      <c r="AL2" s="218">
        <f>AK2</f>
        <v>9.4E-2</v>
      </c>
      <c r="AM2" s="217">
        <f>'[3]Утверждённые WACC'!$L$2</f>
        <v>8.8999999999999996E-2</v>
      </c>
      <c r="AN2" s="218">
        <f>AM2</f>
        <v>8.8999999999999996E-2</v>
      </c>
      <c r="AO2" s="218">
        <f t="shared" ref="AO2:AX2" si="6">AN2</f>
        <v>8.8999999999999996E-2</v>
      </c>
      <c r="AP2" s="218">
        <f t="shared" si="6"/>
        <v>8.8999999999999996E-2</v>
      </c>
      <c r="AQ2" s="218">
        <f t="shared" si="6"/>
        <v>8.8999999999999996E-2</v>
      </c>
      <c r="AR2" s="218">
        <f t="shared" si="6"/>
        <v>8.8999999999999996E-2</v>
      </c>
      <c r="AS2" s="218">
        <f t="shared" si="6"/>
        <v>8.8999999999999996E-2</v>
      </c>
      <c r="AT2" s="218">
        <f t="shared" si="6"/>
        <v>8.8999999999999996E-2</v>
      </c>
      <c r="AU2" s="218">
        <f t="shared" si="6"/>
        <v>8.8999999999999996E-2</v>
      </c>
      <c r="AV2" s="218">
        <f t="shared" si="6"/>
        <v>8.8999999999999996E-2</v>
      </c>
      <c r="AW2" s="218">
        <f t="shared" si="6"/>
        <v>8.8999999999999996E-2</v>
      </c>
      <c r="AX2" s="218">
        <f t="shared" si="6"/>
        <v>8.8999999999999996E-2</v>
      </c>
      <c r="AY2" s="217">
        <f>'[3]Утверждённые WACC'!$M$2</f>
        <v>0.113</v>
      </c>
      <c r="AZ2" s="217">
        <f>'[3]Утверждённые WACC'!$N$2</f>
        <v>0.23</v>
      </c>
      <c r="BA2" s="217">
        <f>'[3]Утверждённые WACC'!$O$2</f>
        <v>0.2</v>
      </c>
      <c r="BB2" s="218">
        <f>'[3]Утверждённые WACC'!$P$2</f>
        <v>0.17</v>
      </c>
      <c r="BC2" s="219">
        <f>BB2</f>
        <v>0.17</v>
      </c>
      <c r="BD2" s="217">
        <f>'[3]Утверждённые WACC'!$Q$2</f>
        <v>0.15</v>
      </c>
      <c r="BE2" s="218">
        <f>BD2</f>
        <v>0.15</v>
      </c>
      <c r="BF2" s="218">
        <f>BE2</f>
        <v>0.15</v>
      </c>
      <c r="BG2" s="218">
        <f>BF2</f>
        <v>0.15</v>
      </c>
      <c r="BH2" s="217">
        <f>'[3]Утверждённые WACC'!$R$2</f>
        <v>0.14285187817301537</v>
      </c>
      <c r="BI2" s="218">
        <f>BH2</f>
        <v>0.14285187817301537</v>
      </c>
      <c r="BJ2" s="218">
        <f>BI2</f>
        <v>0.14285187817301537</v>
      </c>
      <c r="BK2" s="218">
        <f t="shared" ref="BK2:DV2" si="7">BJ2</f>
        <v>0.14285187817301537</v>
      </c>
      <c r="BL2" s="218">
        <f t="shared" si="7"/>
        <v>0.14285187817301537</v>
      </c>
      <c r="BM2" s="218">
        <f t="shared" si="7"/>
        <v>0.14285187817301537</v>
      </c>
      <c r="BN2" s="217">
        <v>0.13200000000000001</v>
      </c>
      <c r="BO2" s="218">
        <f t="shared" si="7"/>
        <v>0.13200000000000001</v>
      </c>
      <c r="BP2" s="218">
        <f t="shared" si="7"/>
        <v>0.13200000000000001</v>
      </c>
      <c r="BQ2" s="218">
        <f t="shared" si="7"/>
        <v>0.13200000000000001</v>
      </c>
      <c r="BR2" s="218">
        <f t="shared" si="7"/>
        <v>0.13200000000000001</v>
      </c>
      <c r="BS2" s="217">
        <v>0.16</v>
      </c>
      <c r="BT2" s="218">
        <f t="shared" si="7"/>
        <v>0.16</v>
      </c>
      <c r="BU2" s="218">
        <f t="shared" si="7"/>
        <v>0.16</v>
      </c>
      <c r="BV2" s="218">
        <f t="shared" si="7"/>
        <v>0.16</v>
      </c>
      <c r="BW2" s="218">
        <f t="shared" si="7"/>
        <v>0.16</v>
      </c>
      <c r="BX2" s="218">
        <f t="shared" si="7"/>
        <v>0.16</v>
      </c>
      <c r="BY2" s="218">
        <f t="shared" si="7"/>
        <v>0.16</v>
      </c>
      <c r="BZ2" s="218">
        <f t="shared" si="7"/>
        <v>0.16</v>
      </c>
      <c r="CA2" s="218">
        <f t="shared" si="7"/>
        <v>0.16</v>
      </c>
      <c r="CB2" s="218">
        <f t="shared" si="7"/>
        <v>0.16</v>
      </c>
      <c r="CC2" s="217">
        <v>0.18</v>
      </c>
      <c r="CD2" s="218">
        <f t="shared" si="7"/>
        <v>0.18</v>
      </c>
      <c r="CE2" s="218">
        <f t="shared" si="7"/>
        <v>0.18</v>
      </c>
      <c r="CF2" s="218">
        <f t="shared" si="7"/>
        <v>0.18</v>
      </c>
      <c r="CG2" s="217">
        <v>0.22</v>
      </c>
      <c r="CH2" s="217">
        <v>0.24</v>
      </c>
      <c r="CI2" s="218">
        <f t="shared" si="7"/>
        <v>0.24</v>
      </c>
      <c r="CJ2" s="218">
        <f t="shared" si="7"/>
        <v>0.24</v>
      </c>
      <c r="CK2" s="218">
        <f t="shared" si="7"/>
        <v>0.24</v>
      </c>
      <c r="CL2" s="218">
        <f t="shared" si="7"/>
        <v>0.24</v>
      </c>
      <c r="CM2" s="218">
        <f t="shared" si="7"/>
        <v>0.24</v>
      </c>
      <c r="CN2" s="218">
        <f t="shared" si="7"/>
        <v>0.24</v>
      </c>
      <c r="CO2" s="218">
        <f t="shared" si="7"/>
        <v>0.24</v>
      </c>
      <c r="CP2" s="218">
        <f t="shared" si="7"/>
        <v>0.24</v>
      </c>
      <c r="CQ2" s="218">
        <v>0.16</v>
      </c>
      <c r="CR2" s="218">
        <f t="shared" si="7"/>
        <v>0.16</v>
      </c>
      <c r="CS2" s="218">
        <f t="shared" si="7"/>
        <v>0.16</v>
      </c>
      <c r="CT2" s="217">
        <f>CS2</f>
        <v>0.16</v>
      </c>
      <c r="CU2" s="218">
        <f t="shared" si="7"/>
        <v>0.16</v>
      </c>
      <c r="CV2" s="218">
        <f t="shared" si="7"/>
        <v>0.16</v>
      </c>
      <c r="CW2" s="218">
        <f t="shared" si="7"/>
        <v>0.16</v>
      </c>
      <c r="CX2" s="218">
        <f t="shared" si="7"/>
        <v>0.16</v>
      </c>
      <c r="CY2" s="218">
        <f t="shared" si="7"/>
        <v>0.16</v>
      </c>
      <c r="CZ2" s="218">
        <f t="shared" si="7"/>
        <v>0.16</v>
      </c>
      <c r="DA2" s="218">
        <f t="shared" si="7"/>
        <v>0.16</v>
      </c>
      <c r="DB2" s="218">
        <f t="shared" si="7"/>
        <v>0.16</v>
      </c>
      <c r="DC2" s="218">
        <f t="shared" si="7"/>
        <v>0.16</v>
      </c>
      <c r="DD2" s="218">
        <f t="shared" si="7"/>
        <v>0.16</v>
      </c>
      <c r="DE2" s="218">
        <f t="shared" si="7"/>
        <v>0.16</v>
      </c>
      <c r="DF2" s="217">
        <f>DE2</f>
        <v>0.16</v>
      </c>
      <c r="DG2" s="218">
        <f t="shared" si="7"/>
        <v>0.16</v>
      </c>
      <c r="DH2" s="218">
        <f t="shared" si="7"/>
        <v>0.16</v>
      </c>
      <c r="DI2" s="218">
        <f t="shared" si="7"/>
        <v>0.16</v>
      </c>
      <c r="DJ2" s="218">
        <f t="shared" si="7"/>
        <v>0.16</v>
      </c>
      <c r="DK2" s="218">
        <f t="shared" si="7"/>
        <v>0.16</v>
      </c>
      <c r="DL2" s="218">
        <f t="shared" si="7"/>
        <v>0.16</v>
      </c>
      <c r="DM2" s="218">
        <f t="shared" si="7"/>
        <v>0.16</v>
      </c>
      <c r="DN2" s="218">
        <f t="shared" si="7"/>
        <v>0.16</v>
      </c>
      <c r="DO2" s="218">
        <f t="shared" si="7"/>
        <v>0.16</v>
      </c>
      <c r="DP2" s="218">
        <f t="shared" si="7"/>
        <v>0.16</v>
      </c>
      <c r="DQ2" s="218">
        <f t="shared" si="7"/>
        <v>0.16</v>
      </c>
      <c r="DR2" s="217">
        <f>DQ2</f>
        <v>0.16</v>
      </c>
      <c r="DS2" s="218">
        <f t="shared" si="7"/>
        <v>0.16</v>
      </c>
      <c r="DT2" s="218">
        <f t="shared" si="7"/>
        <v>0.16</v>
      </c>
      <c r="DU2" s="218">
        <f t="shared" si="7"/>
        <v>0.16</v>
      </c>
      <c r="DV2" s="218">
        <f t="shared" si="7"/>
        <v>0.16</v>
      </c>
      <c r="DW2" s="218">
        <f t="shared" ref="DW2:GH2" si="8">DV2</f>
        <v>0.16</v>
      </c>
      <c r="DX2" s="218">
        <f t="shared" si="8"/>
        <v>0.16</v>
      </c>
      <c r="DY2" s="218">
        <f t="shared" si="8"/>
        <v>0.16</v>
      </c>
      <c r="DZ2" s="218">
        <f t="shared" si="8"/>
        <v>0.16</v>
      </c>
      <c r="EA2" s="218">
        <f t="shared" si="8"/>
        <v>0.16</v>
      </c>
      <c r="EB2" s="218">
        <f t="shared" si="8"/>
        <v>0.16</v>
      </c>
      <c r="EC2" s="218">
        <f t="shared" si="8"/>
        <v>0.16</v>
      </c>
      <c r="ED2" s="218">
        <f t="shared" si="8"/>
        <v>0.16</v>
      </c>
      <c r="EE2" s="218">
        <f t="shared" si="8"/>
        <v>0.16</v>
      </c>
      <c r="EF2" s="218">
        <f t="shared" si="8"/>
        <v>0.16</v>
      </c>
      <c r="EG2" s="218">
        <f t="shared" si="8"/>
        <v>0.16</v>
      </c>
      <c r="EH2" s="218">
        <f t="shared" si="8"/>
        <v>0.16</v>
      </c>
      <c r="EI2" s="218">
        <f t="shared" si="8"/>
        <v>0.16</v>
      </c>
      <c r="EJ2" s="218">
        <f t="shared" si="8"/>
        <v>0.16</v>
      </c>
      <c r="EK2" s="218">
        <f t="shared" si="8"/>
        <v>0.16</v>
      </c>
      <c r="EL2" s="218">
        <f t="shared" si="8"/>
        <v>0.16</v>
      </c>
      <c r="EM2" s="218">
        <f t="shared" si="8"/>
        <v>0.16</v>
      </c>
      <c r="EN2" s="218">
        <f t="shared" si="8"/>
        <v>0.16</v>
      </c>
      <c r="EO2" s="218">
        <f t="shared" si="8"/>
        <v>0.16</v>
      </c>
      <c r="EP2" s="218">
        <f t="shared" si="8"/>
        <v>0.16</v>
      </c>
      <c r="EQ2" s="218">
        <f t="shared" si="8"/>
        <v>0.16</v>
      </c>
      <c r="ER2" s="218">
        <f t="shared" si="8"/>
        <v>0.16</v>
      </c>
      <c r="ES2" s="218">
        <f t="shared" si="8"/>
        <v>0.16</v>
      </c>
      <c r="ET2" s="218">
        <f t="shared" si="8"/>
        <v>0.16</v>
      </c>
      <c r="EU2" s="218">
        <f t="shared" si="8"/>
        <v>0.16</v>
      </c>
      <c r="EV2" s="218">
        <f t="shared" si="8"/>
        <v>0.16</v>
      </c>
      <c r="EW2" s="218">
        <f t="shared" si="8"/>
        <v>0.16</v>
      </c>
      <c r="EX2" s="218">
        <f t="shared" si="8"/>
        <v>0.16</v>
      </c>
      <c r="EY2" s="218">
        <f t="shared" si="8"/>
        <v>0.16</v>
      </c>
      <c r="EZ2" s="218">
        <f t="shared" si="8"/>
        <v>0.16</v>
      </c>
      <c r="FA2" s="218">
        <f t="shared" si="8"/>
        <v>0.16</v>
      </c>
      <c r="FB2" s="218">
        <f t="shared" si="8"/>
        <v>0.16</v>
      </c>
      <c r="FC2" s="218">
        <f t="shared" si="8"/>
        <v>0.16</v>
      </c>
      <c r="FD2" s="218">
        <f t="shared" si="8"/>
        <v>0.16</v>
      </c>
      <c r="FE2" s="218">
        <f t="shared" si="8"/>
        <v>0.16</v>
      </c>
      <c r="FF2" s="218">
        <f t="shared" si="8"/>
        <v>0.16</v>
      </c>
      <c r="FG2" s="218">
        <f t="shared" si="8"/>
        <v>0.16</v>
      </c>
      <c r="FH2" s="218">
        <f t="shared" si="8"/>
        <v>0.16</v>
      </c>
      <c r="FI2" s="218">
        <f t="shared" si="8"/>
        <v>0.16</v>
      </c>
      <c r="FJ2" s="218">
        <f t="shared" si="8"/>
        <v>0.16</v>
      </c>
      <c r="FK2" s="218">
        <f t="shared" si="8"/>
        <v>0.16</v>
      </c>
      <c r="FL2" s="218">
        <f t="shared" si="8"/>
        <v>0.16</v>
      </c>
      <c r="FM2" s="218">
        <f t="shared" si="8"/>
        <v>0.16</v>
      </c>
      <c r="FN2" s="218">
        <f t="shared" si="8"/>
        <v>0.16</v>
      </c>
      <c r="FO2" s="218">
        <f t="shared" si="8"/>
        <v>0.16</v>
      </c>
      <c r="FP2" s="218">
        <f t="shared" si="8"/>
        <v>0.16</v>
      </c>
      <c r="FQ2" s="218">
        <f t="shared" si="8"/>
        <v>0.16</v>
      </c>
      <c r="FR2" s="218">
        <f t="shared" si="8"/>
        <v>0.16</v>
      </c>
      <c r="FS2" s="218">
        <f t="shared" si="8"/>
        <v>0.16</v>
      </c>
      <c r="FT2" s="218">
        <f t="shared" si="8"/>
        <v>0.16</v>
      </c>
      <c r="FU2" s="218">
        <f t="shared" si="8"/>
        <v>0.16</v>
      </c>
      <c r="FV2" s="218">
        <f t="shared" si="8"/>
        <v>0.16</v>
      </c>
      <c r="FW2" s="218">
        <f t="shared" si="8"/>
        <v>0.16</v>
      </c>
      <c r="FX2" s="218">
        <f t="shared" si="8"/>
        <v>0.16</v>
      </c>
      <c r="FY2" s="218">
        <f t="shared" si="8"/>
        <v>0.16</v>
      </c>
      <c r="FZ2" s="218">
        <f t="shared" si="8"/>
        <v>0.16</v>
      </c>
      <c r="GA2" s="218">
        <f t="shared" si="8"/>
        <v>0.16</v>
      </c>
      <c r="GB2" s="218">
        <f t="shared" si="8"/>
        <v>0.16</v>
      </c>
      <c r="GC2" s="218">
        <f t="shared" si="8"/>
        <v>0.16</v>
      </c>
      <c r="GD2" s="218">
        <f t="shared" si="8"/>
        <v>0.16</v>
      </c>
      <c r="GE2" s="218">
        <f t="shared" si="8"/>
        <v>0.16</v>
      </c>
      <c r="GF2" s="218">
        <f t="shared" si="8"/>
        <v>0.16</v>
      </c>
      <c r="GG2" s="218">
        <f t="shared" si="8"/>
        <v>0.16</v>
      </c>
      <c r="GH2" s="218">
        <f t="shared" si="8"/>
        <v>0.16</v>
      </c>
      <c r="GI2" s="218">
        <f t="shared" ref="GI2:HV2" si="9">GH2</f>
        <v>0.16</v>
      </c>
      <c r="GJ2" s="218">
        <f t="shared" si="9"/>
        <v>0.16</v>
      </c>
      <c r="GK2" s="218">
        <f t="shared" si="9"/>
        <v>0.16</v>
      </c>
      <c r="GL2" s="218">
        <f t="shared" si="9"/>
        <v>0.16</v>
      </c>
      <c r="GM2" s="218">
        <f t="shared" si="9"/>
        <v>0.16</v>
      </c>
      <c r="GN2" s="218">
        <f t="shared" si="9"/>
        <v>0.16</v>
      </c>
      <c r="GO2" s="218">
        <f t="shared" si="9"/>
        <v>0.16</v>
      </c>
      <c r="GP2" s="218">
        <f t="shared" si="9"/>
        <v>0.16</v>
      </c>
      <c r="GQ2" s="218">
        <f t="shared" si="9"/>
        <v>0.16</v>
      </c>
      <c r="GR2" s="218">
        <f t="shared" si="9"/>
        <v>0.16</v>
      </c>
      <c r="GS2" s="218">
        <f t="shared" si="9"/>
        <v>0.16</v>
      </c>
      <c r="GT2" s="218">
        <f t="shared" si="9"/>
        <v>0.16</v>
      </c>
      <c r="GU2" s="218">
        <f t="shared" si="9"/>
        <v>0.16</v>
      </c>
      <c r="GV2" s="218">
        <f t="shared" si="9"/>
        <v>0.16</v>
      </c>
      <c r="GW2" s="218">
        <f t="shared" si="9"/>
        <v>0.16</v>
      </c>
      <c r="GX2" s="218">
        <f t="shared" si="9"/>
        <v>0.16</v>
      </c>
      <c r="GY2" s="218">
        <f t="shared" si="9"/>
        <v>0.16</v>
      </c>
      <c r="GZ2" s="218">
        <f t="shared" si="9"/>
        <v>0.16</v>
      </c>
      <c r="HA2" s="218">
        <f t="shared" si="9"/>
        <v>0.16</v>
      </c>
      <c r="HB2" s="218">
        <f t="shared" si="9"/>
        <v>0.16</v>
      </c>
      <c r="HC2" s="218">
        <f t="shared" si="9"/>
        <v>0.16</v>
      </c>
      <c r="HD2" s="218">
        <f t="shared" si="9"/>
        <v>0.16</v>
      </c>
      <c r="HE2" s="218">
        <f t="shared" si="9"/>
        <v>0.16</v>
      </c>
      <c r="HF2" s="218">
        <f t="shared" si="9"/>
        <v>0.16</v>
      </c>
      <c r="HG2" s="218">
        <f t="shared" si="9"/>
        <v>0.16</v>
      </c>
      <c r="HH2" s="218">
        <f t="shared" si="9"/>
        <v>0.16</v>
      </c>
      <c r="HI2" s="218">
        <f t="shared" si="9"/>
        <v>0.16</v>
      </c>
      <c r="HJ2" s="218">
        <f t="shared" si="9"/>
        <v>0.16</v>
      </c>
      <c r="HK2" s="218">
        <f t="shared" si="9"/>
        <v>0.16</v>
      </c>
      <c r="HL2" s="218">
        <f t="shared" si="9"/>
        <v>0.16</v>
      </c>
      <c r="HM2" s="218">
        <f t="shared" si="9"/>
        <v>0.16</v>
      </c>
      <c r="HN2" s="218">
        <f t="shared" si="9"/>
        <v>0.16</v>
      </c>
      <c r="HO2" s="218">
        <f t="shared" si="9"/>
        <v>0.16</v>
      </c>
      <c r="HP2" s="218">
        <f t="shared" si="9"/>
        <v>0.16</v>
      </c>
      <c r="HQ2" s="218">
        <f t="shared" si="9"/>
        <v>0.16</v>
      </c>
      <c r="HR2" s="218">
        <f t="shared" si="9"/>
        <v>0.16</v>
      </c>
      <c r="HS2" s="218">
        <f t="shared" si="9"/>
        <v>0.16</v>
      </c>
      <c r="HT2" s="218">
        <f t="shared" si="9"/>
        <v>0.16</v>
      </c>
      <c r="HU2" s="218">
        <f t="shared" si="9"/>
        <v>0.16</v>
      </c>
      <c r="HV2" s="218">
        <f t="shared" si="9"/>
        <v>0.16</v>
      </c>
    </row>
    <row r="3" spans="1:230">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0"/>
      <c r="AV3" s="220"/>
      <c r="AW3" s="220"/>
      <c r="AX3" s="220"/>
      <c r="AY3" s="220"/>
      <c r="AZ3" s="220"/>
      <c r="BA3" s="220"/>
      <c r="BB3" s="220"/>
      <c r="BC3" s="220"/>
      <c r="BD3" s="220"/>
      <c r="BE3" s="220"/>
      <c r="BF3" s="220"/>
      <c r="BG3" s="220"/>
      <c r="BH3" s="220"/>
      <c r="BI3" s="220"/>
      <c r="BJ3" s="220"/>
      <c r="BK3" s="220"/>
      <c r="BL3" s="220"/>
      <c r="BM3" s="220"/>
      <c r="BN3" s="220"/>
      <c r="BO3" s="220"/>
      <c r="BP3" s="220"/>
      <c r="BQ3" s="220"/>
      <c r="BR3" s="220"/>
      <c r="BS3" s="220"/>
      <c r="BT3" s="220"/>
      <c r="BU3" s="220"/>
      <c r="BV3" s="220"/>
      <c r="BW3" s="220"/>
      <c r="BX3" s="220"/>
      <c r="BY3" s="220"/>
      <c r="BZ3" s="220"/>
      <c r="CA3" s="220"/>
      <c r="CB3" s="220"/>
      <c r="CC3" s="220"/>
      <c r="CD3" s="220"/>
      <c r="CE3" s="220"/>
      <c r="CF3" s="220"/>
      <c r="CG3" s="220"/>
      <c r="CH3" s="220"/>
      <c r="CI3" s="220"/>
      <c r="CJ3" s="220"/>
      <c r="CK3" s="220"/>
      <c r="CL3" s="220"/>
      <c r="CM3" s="220"/>
      <c r="CN3" s="220"/>
      <c r="CO3" s="220"/>
      <c r="CP3" s="220"/>
      <c r="CQ3" s="220"/>
      <c r="CR3" s="220"/>
      <c r="CS3" s="220"/>
      <c r="CT3" s="220"/>
      <c r="CU3" s="220"/>
      <c r="CV3" s="220"/>
      <c r="CW3" s="220"/>
      <c r="CX3" s="220"/>
      <c r="CY3" s="220"/>
      <c r="CZ3" s="220"/>
      <c r="DA3" s="220"/>
      <c r="DB3" s="220"/>
      <c r="DC3" s="220"/>
      <c r="DD3" s="220"/>
      <c r="DE3" s="220"/>
      <c r="DF3" s="220"/>
      <c r="DG3" s="220"/>
      <c r="DH3" s="220"/>
      <c r="DI3" s="220"/>
      <c r="DJ3" s="220"/>
      <c r="DK3" s="220"/>
      <c r="DL3" s="220"/>
      <c r="DM3" s="220"/>
      <c r="DN3" s="220"/>
      <c r="DO3" s="220"/>
      <c r="DP3" s="220"/>
      <c r="DQ3" s="220"/>
      <c r="DR3" s="220"/>
      <c r="DS3" s="220"/>
      <c r="DT3" s="220"/>
      <c r="DU3" s="220"/>
      <c r="DV3" s="220"/>
      <c r="DW3" s="220"/>
      <c r="DX3" s="220"/>
      <c r="DY3" s="220"/>
      <c r="DZ3" s="220"/>
      <c r="EA3" s="220"/>
      <c r="EB3" s="220"/>
      <c r="EC3" s="220"/>
      <c r="ED3" s="220"/>
      <c r="EE3" s="220"/>
      <c r="EF3" s="220"/>
      <c r="EG3" s="220"/>
      <c r="EH3" s="220"/>
      <c r="EI3" s="220"/>
      <c r="EJ3" s="220"/>
      <c r="EK3" s="220"/>
      <c r="EL3" s="220"/>
      <c r="EM3" s="220"/>
      <c r="EN3" s="220"/>
      <c r="EO3" s="220"/>
      <c r="EP3" s="220"/>
      <c r="EQ3" s="220"/>
      <c r="ER3" s="220"/>
      <c r="ES3" s="220"/>
      <c r="ET3" s="220"/>
      <c r="EU3" s="220"/>
      <c r="EV3" s="220"/>
      <c r="EW3" s="220"/>
      <c r="EX3" s="220"/>
      <c r="EY3" s="220"/>
      <c r="EZ3" s="220"/>
      <c r="FA3" s="220"/>
      <c r="FB3" s="220"/>
      <c r="FC3" s="220"/>
      <c r="FD3" s="220"/>
      <c r="FE3" s="220"/>
      <c r="FF3" s="220"/>
      <c r="FG3" s="220"/>
      <c r="FH3" s="220"/>
      <c r="FI3" s="220"/>
      <c r="FJ3" s="220"/>
      <c r="FK3" s="220"/>
      <c r="FL3" s="220"/>
      <c r="FM3" s="220"/>
      <c r="FN3" s="220"/>
      <c r="FO3" s="220"/>
      <c r="FP3" s="220"/>
      <c r="FQ3" s="220"/>
      <c r="FR3" s="220"/>
      <c r="FS3" s="220"/>
      <c r="FT3" s="220"/>
      <c r="FU3" s="220"/>
      <c r="FV3" s="220"/>
      <c r="FW3" s="220"/>
      <c r="FX3" s="220"/>
      <c r="FY3" s="220"/>
      <c r="FZ3" s="220"/>
      <c r="GA3" s="220"/>
      <c r="GB3" s="220"/>
      <c r="GC3" s="220"/>
      <c r="GD3" s="220"/>
      <c r="GE3" s="220"/>
      <c r="GF3" s="220"/>
      <c r="GG3" s="220"/>
      <c r="GH3" s="220"/>
      <c r="GI3" s="220"/>
      <c r="GJ3" s="220"/>
      <c r="GK3" s="220"/>
      <c r="GL3" s="220"/>
      <c r="GM3" s="220"/>
      <c r="GN3" s="220"/>
      <c r="GO3" s="220"/>
      <c r="GP3" s="220"/>
      <c r="GQ3" s="220"/>
      <c r="GR3" s="220"/>
      <c r="GS3" s="220"/>
      <c r="GT3" s="220"/>
      <c r="GU3" s="220"/>
      <c r="GV3" s="220"/>
      <c r="GW3" s="220"/>
      <c r="GX3" s="220"/>
      <c r="GY3" s="220"/>
      <c r="GZ3" s="220"/>
      <c r="HA3" s="220"/>
      <c r="HB3" s="220"/>
      <c r="HC3" s="220"/>
      <c r="HD3" s="220"/>
      <c r="HE3" s="220"/>
      <c r="HF3" s="220"/>
      <c r="HG3" s="220"/>
      <c r="HH3" s="220"/>
      <c r="HI3" s="220"/>
      <c r="HJ3" s="220"/>
      <c r="HK3" s="220"/>
      <c r="HL3" s="220"/>
      <c r="HM3" s="220"/>
      <c r="HN3" s="220"/>
      <c r="HO3" s="220"/>
      <c r="HP3" s="220"/>
      <c r="HQ3" s="220"/>
      <c r="HR3" s="220"/>
      <c r="HS3" s="220"/>
      <c r="HT3" s="220"/>
      <c r="HU3" s="220"/>
      <c r="HV3" s="220"/>
    </row>
    <row r="4" spans="1:230" ht="16" thickBot="1"/>
    <row r="5" spans="1:230" ht="19">
      <c r="CG5" s="305" t="s">
        <v>254</v>
      </c>
      <c r="CH5" s="302"/>
      <c r="CI5" s="305" t="s">
        <v>256</v>
      </c>
      <c r="CJ5" s="308"/>
      <c r="CK5" s="301" t="s">
        <v>257</v>
      </c>
      <c r="CL5" s="308"/>
      <c r="CM5" s="301" t="s">
        <v>258</v>
      </c>
      <c r="CN5" s="302"/>
      <c r="CO5" s="258"/>
    </row>
    <row r="6" spans="1:230" ht="20" thickBot="1">
      <c r="CG6" s="306" t="s">
        <v>255</v>
      </c>
      <c r="CH6" s="307"/>
      <c r="CI6" s="309">
        <v>0.22</v>
      </c>
      <c r="CJ6" s="310"/>
      <c r="CK6" s="303">
        <v>0.24</v>
      </c>
      <c r="CL6" s="310"/>
      <c r="CM6" s="303">
        <v>0.16</v>
      </c>
      <c r="CN6" s="304"/>
      <c r="CO6" s="259"/>
    </row>
  </sheetData>
  <sheetProtection algorithmName="SHA-512" hashValue="bjPBWVCKRb3its1hPDbutcjjg+QcOpSDgp/AdrsHHtGEKHmoyYvFIDR/r3FovPCw+GAgkqI7DLzBhIAQwPG63A==" saltValue="IXrpQXjkcchVzxFGsYTueg==" spinCount="100000" sheet="1" objects="1" scenarios="1"/>
  <mergeCells count="8">
    <mergeCell ref="CM5:CN5"/>
    <mergeCell ref="CM6:CN6"/>
    <mergeCell ref="CG5:CH5"/>
    <mergeCell ref="CG6:CH6"/>
    <mergeCell ref="CI5:CJ5"/>
    <mergeCell ref="CI6:CJ6"/>
    <mergeCell ref="CK5:CL5"/>
    <mergeCell ref="CK6:CL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054AA-4ACD-4DCA-B0B4-B591B782FFE1}">
  <sheetPr codeName="Sheet3"/>
  <dimension ref="A1"/>
  <sheetViews>
    <sheetView workbookViewId="0">
      <selection activeCell="G17" sqref="G17"/>
    </sheetView>
  </sheetViews>
  <sheetFormatPr baseColWidth="10" defaultColWidth="8.83203125"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theme="3" tint="0.59999389629810485"/>
  </sheetPr>
  <dimension ref="A1:AT19"/>
  <sheetViews>
    <sheetView showGridLines="0" zoomScale="55" zoomScaleNormal="55" workbookViewId="0">
      <selection activeCell="I25" sqref="I25"/>
    </sheetView>
  </sheetViews>
  <sheetFormatPr baseColWidth="10" defaultColWidth="8.83203125" defaultRowHeight="17"/>
  <cols>
    <col min="1" max="1" width="24.1640625" style="6" customWidth="1"/>
    <col min="2" max="2" width="27.5" style="6" customWidth="1"/>
    <col min="3" max="3" width="16.5" style="6" customWidth="1"/>
    <col min="4" max="4" width="14.1640625" style="6" customWidth="1"/>
    <col min="5" max="6" width="18.5" style="6" customWidth="1"/>
    <col min="7" max="8" width="8.83203125" style="6"/>
    <col min="9" max="9" width="28.5" style="6" customWidth="1"/>
    <col min="10" max="16" width="11.5" style="6" customWidth="1"/>
    <col min="17" max="18" width="8.83203125" style="6"/>
    <col min="19" max="19" width="16.5" style="6" customWidth="1"/>
    <col min="20" max="20" width="8.83203125" style="6"/>
    <col min="21" max="21" width="6.5" style="6" bestFit="1" customWidth="1"/>
    <col min="22" max="26" width="4.5" style="6" bestFit="1" customWidth="1"/>
    <col min="27" max="28" width="5.1640625" style="6" bestFit="1" customWidth="1"/>
    <col min="29" max="29" width="4" style="6" bestFit="1" customWidth="1"/>
    <col min="30" max="33" width="4.5" style="6" bestFit="1" customWidth="1"/>
    <col min="34" max="34" width="6.5" style="6" bestFit="1" customWidth="1"/>
    <col min="35" max="39" width="4.5" style="6" bestFit="1" customWidth="1"/>
    <col min="40" max="41" width="5.1640625" style="6" bestFit="1" customWidth="1"/>
    <col min="42" max="42" width="4" style="6" bestFit="1" customWidth="1"/>
    <col min="43" max="46" width="4.5" style="6" bestFit="1" customWidth="1"/>
    <col min="47" max="16384" width="8.83203125" style="6"/>
  </cols>
  <sheetData>
    <row r="1" spans="1:46" ht="24">
      <c r="B1" s="109" t="s">
        <v>133</v>
      </c>
      <c r="C1" s="111"/>
      <c r="D1" s="110"/>
      <c r="E1" s="112" t="s">
        <v>181</v>
      </c>
      <c r="F1" s="112">
        <f>C4-SUM('Как будет'!C17:BJ24,'Как будет'!C35:BJ42)</f>
        <v>0</v>
      </c>
      <c r="G1" s="110"/>
      <c r="H1" s="110"/>
      <c r="I1" s="109" t="s">
        <v>180</v>
      </c>
      <c r="K1" s="112" t="s">
        <v>181</v>
      </c>
      <c r="L1" s="112">
        <f>J4-SUM('Как будет'!C45:BJ52,'Как будет'!C63:BJ70)</f>
        <v>0</v>
      </c>
      <c r="S1" s="109" t="s">
        <v>182</v>
      </c>
      <c r="T1" s="113"/>
      <c r="U1" s="113"/>
      <c r="V1" s="113"/>
    </row>
    <row r="2" spans="1:46" ht="49.25" customHeight="1"/>
    <row r="3" spans="1:46" ht="23" thickBot="1">
      <c r="B3" s="100" t="s">
        <v>77</v>
      </c>
      <c r="C3" s="101" t="s">
        <v>177</v>
      </c>
      <c r="D3" s="101">
        <f>'Как будет'!C12</f>
        <v>2026</v>
      </c>
      <c r="E3" s="101">
        <f>D3+1</f>
        <v>2027</v>
      </c>
      <c r="F3" s="101">
        <f>E3+1</f>
        <v>2028</v>
      </c>
      <c r="I3" s="100" t="s">
        <v>77</v>
      </c>
      <c r="J3" s="101" t="s">
        <v>177</v>
      </c>
      <c r="K3" s="101">
        <f>YEAR('Как есть'!D1)</f>
        <v>2026</v>
      </c>
      <c r="L3" s="101">
        <f>K3+1</f>
        <v>2027</v>
      </c>
      <c r="M3" s="101">
        <f>L3+1</f>
        <v>2028</v>
      </c>
      <c r="N3" s="101">
        <f>M3+1</f>
        <v>2029</v>
      </c>
      <c r="O3" s="101">
        <f>N3+1</f>
        <v>2030</v>
      </c>
      <c r="P3" s="101">
        <f>O3+1</f>
        <v>2031</v>
      </c>
      <c r="S3" s="114" t="s">
        <v>183</v>
      </c>
      <c r="T3" s="312" t="s">
        <v>78</v>
      </c>
      <c r="U3" s="312">
        <f>D3</f>
        <v>2026</v>
      </c>
      <c r="V3" s="311" t="s">
        <v>185</v>
      </c>
      <c r="W3" s="311" t="s">
        <v>186</v>
      </c>
      <c r="X3" s="311" t="s">
        <v>187</v>
      </c>
      <c r="Y3" s="311" t="s">
        <v>188</v>
      </c>
      <c r="Z3" s="311" t="s">
        <v>189</v>
      </c>
      <c r="AA3" s="311" t="s">
        <v>190</v>
      </c>
      <c r="AB3" s="311" t="s">
        <v>191</v>
      </c>
      <c r="AC3" s="311" t="s">
        <v>192</v>
      </c>
      <c r="AD3" s="311" t="s">
        <v>193</v>
      </c>
      <c r="AE3" s="311" t="s">
        <v>194</v>
      </c>
      <c r="AF3" s="311" t="s">
        <v>195</v>
      </c>
      <c r="AG3" s="311" t="s">
        <v>196</v>
      </c>
      <c r="AH3" s="312">
        <f>E3</f>
        <v>2027</v>
      </c>
      <c r="AI3" s="311" t="s">
        <v>185</v>
      </c>
      <c r="AJ3" s="311" t="s">
        <v>186</v>
      </c>
      <c r="AK3" s="311" t="s">
        <v>187</v>
      </c>
      <c r="AL3" s="311" t="s">
        <v>188</v>
      </c>
      <c r="AM3" s="311" t="s">
        <v>189</v>
      </c>
      <c r="AN3" s="311" t="s">
        <v>190</v>
      </c>
      <c r="AO3" s="311" t="s">
        <v>191</v>
      </c>
      <c r="AP3" s="311" t="s">
        <v>192</v>
      </c>
      <c r="AQ3" s="311" t="s">
        <v>193</v>
      </c>
      <c r="AR3" s="311" t="s">
        <v>194</v>
      </c>
      <c r="AS3" s="311" t="s">
        <v>195</v>
      </c>
      <c r="AT3" s="311" t="s">
        <v>196</v>
      </c>
    </row>
    <row r="4" spans="1:46" ht="21" thickBot="1">
      <c r="B4" s="102" t="s">
        <v>78</v>
      </c>
      <c r="C4" s="187">
        <f>SUM(D4:F4)</f>
        <v>11947.74</v>
      </c>
      <c r="D4" s="188">
        <f>D5+D11</f>
        <v>11947.74</v>
      </c>
      <c r="E4" s="188">
        <f t="shared" ref="E4:F4" si="0">E5+E11</f>
        <v>0</v>
      </c>
      <c r="F4" s="188">
        <f t="shared" si="0"/>
        <v>0</v>
      </c>
      <c r="I4" s="102" t="s">
        <v>78</v>
      </c>
      <c r="J4" s="187">
        <f t="shared" ref="J4:J9" si="1">SUM(K4:P4)</f>
        <v>0</v>
      </c>
      <c r="K4" s="188">
        <f>K5+K11</f>
        <v>0</v>
      </c>
      <c r="L4" s="188">
        <f t="shared" ref="L4" si="2">L5+L11</f>
        <v>0</v>
      </c>
      <c r="M4" s="188">
        <f t="shared" ref="M4:P4" si="3">M5+M11</f>
        <v>0</v>
      </c>
      <c r="N4" s="188">
        <f t="shared" si="3"/>
        <v>0</v>
      </c>
      <c r="O4" s="188">
        <f t="shared" si="3"/>
        <v>0</v>
      </c>
      <c r="P4" s="188">
        <f t="shared" si="3"/>
        <v>0</v>
      </c>
      <c r="S4" s="114" t="s">
        <v>184</v>
      </c>
      <c r="T4" s="312"/>
      <c r="U4" s="312"/>
      <c r="V4" s="311"/>
      <c r="W4" s="311"/>
      <c r="X4" s="311"/>
      <c r="Y4" s="311"/>
      <c r="Z4" s="311"/>
      <c r="AA4" s="311"/>
      <c r="AB4" s="311"/>
      <c r="AC4" s="311"/>
      <c r="AD4" s="311"/>
      <c r="AE4" s="311"/>
      <c r="AF4" s="311"/>
      <c r="AG4" s="311"/>
      <c r="AH4" s="312"/>
      <c r="AI4" s="311"/>
      <c r="AJ4" s="311"/>
      <c r="AK4" s="311"/>
      <c r="AL4" s="311"/>
      <c r="AM4" s="311"/>
      <c r="AN4" s="311"/>
      <c r="AO4" s="311"/>
      <c r="AP4" s="311"/>
      <c r="AQ4" s="311"/>
      <c r="AR4" s="311"/>
      <c r="AS4" s="311"/>
      <c r="AT4" s="311"/>
    </row>
    <row r="5" spans="1:46">
      <c r="B5" s="103" t="s">
        <v>178</v>
      </c>
      <c r="C5" s="189">
        <f t="shared" ref="C5:C9" si="4">SUM(D5:F5)</f>
        <v>11947.74</v>
      </c>
      <c r="D5" s="189">
        <f>SUM(D6:D9)</f>
        <v>11947.74</v>
      </c>
      <c r="E5" s="189">
        <f>SUM(E6:E9)</f>
        <v>0</v>
      </c>
      <c r="F5" s="189">
        <f>SUM(F6:F9)</f>
        <v>0</v>
      </c>
      <c r="I5" s="103" t="s">
        <v>178</v>
      </c>
      <c r="J5" s="189">
        <f t="shared" si="1"/>
        <v>0</v>
      </c>
      <c r="K5" s="189">
        <f t="shared" ref="K5:P5" si="5">SUM(K6:K9)</f>
        <v>0</v>
      </c>
      <c r="L5" s="189">
        <f t="shared" si="5"/>
        <v>0</v>
      </c>
      <c r="M5" s="189">
        <f t="shared" si="5"/>
        <v>0</v>
      </c>
      <c r="N5" s="189">
        <f t="shared" si="5"/>
        <v>0</v>
      </c>
      <c r="O5" s="189">
        <f t="shared" si="5"/>
        <v>0</v>
      </c>
      <c r="P5" s="189">
        <f t="shared" si="5"/>
        <v>0</v>
      </c>
      <c r="S5" s="115" t="s">
        <v>78</v>
      </c>
      <c r="T5" s="194">
        <f>U5+AH5</f>
        <v>0</v>
      </c>
      <c r="U5" s="195">
        <f>SUM(V5:AG5)</f>
        <v>0</v>
      </c>
      <c r="V5" s="196">
        <f>V7+V14</f>
        <v>0</v>
      </c>
      <c r="W5" s="196">
        <f t="shared" ref="W5:AT5" si="6">W7+W14</f>
        <v>0</v>
      </c>
      <c r="X5" s="196">
        <f t="shared" si="6"/>
        <v>0</v>
      </c>
      <c r="Y5" s="196">
        <f t="shared" si="6"/>
        <v>0</v>
      </c>
      <c r="Z5" s="196">
        <f t="shared" si="6"/>
        <v>0</v>
      </c>
      <c r="AA5" s="196">
        <f t="shared" si="6"/>
        <v>0</v>
      </c>
      <c r="AB5" s="196">
        <f t="shared" si="6"/>
        <v>0</v>
      </c>
      <c r="AC5" s="196">
        <f t="shared" si="6"/>
        <v>0</v>
      </c>
      <c r="AD5" s="196">
        <f t="shared" si="6"/>
        <v>0</v>
      </c>
      <c r="AE5" s="196">
        <f t="shared" si="6"/>
        <v>0</v>
      </c>
      <c r="AF5" s="196">
        <f t="shared" si="6"/>
        <v>0</v>
      </c>
      <c r="AG5" s="196">
        <f t="shared" si="6"/>
        <v>0</v>
      </c>
      <c r="AH5" s="195">
        <f>SUM(AI5:AT5)</f>
        <v>0</v>
      </c>
      <c r="AI5" s="196">
        <f t="shared" si="6"/>
        <v>0</v>
      </c>
      <c r="AJ5" s="196">
        <f t="shared" si="6"/>
        <v>0</v>
      </c>
      <c r="AK5" s="196">
        <f t="shared" si="6"/>
        <v>0</v>
      </c>
      <c r="AL5" s="196">
        <f t="shared" si="6"/>
        <v>0</v>
      </c>
      <c r="AM5" s="196">
        <f t="shared" si="6"/>
        <v>0</v>
      </c>
      <c r="AN5" s="196">
        <f t="shared" si="6"/>
        <v>0</v>
      </c>
      <c r="AO5" s="196">
        <f t="shared" si="6"/>
        <v>0</v>
      </c>
      <c r="AP5" s="196">
        <f t="shared" si="6"/>
        <v>0</v>
      </c>
      <c r="AQ5" s="196">
        <f t="shared" si="6"/>
        <v>0</v>
      </c>
      <c r="AR5" s="196">
        <f t="shared" si="6"/>
        <v>0</v>
      </c>
      <c r="AS5" s="196">
        <f t="shared" si="6"/>
        <v>0</v>
      </c>
      <c r="AT5" s="196">
        <f t="shared" si="6"/>
        <v>0</v>
      </c>
    </row>
    <row r="6" spans="1:46" ht="23">
      <c r="A6" s="108" t="str">
        <f>'Как будет'!A17</f>
        <v>Капитализируемый ФОТ</v>
      </c>
      <c r="B6" s="104" t="str">
        <f>IF(A6="ИТ оборудование","Оборудование",IF(A6="Капитализируемый ФОТ","КапФОТ",IF(A6="Консультационные услуги IT","Консалтинг",IF(A6="Нематериальные активы","НМА"))))</f>
        <v>КапФОТ</v>
      </c>
      <c r="C6" s="190">
        <f t="shared" si="4"/>
        <v>4787.74</v>
      </c>
      <c r="D6" s="191">
        <f>SUMIF('Как будет'!$C$12:$GT$12,Бюджет!D$3,'Как будет'!$C17:$GT17)</f>
        <v>4787.74</v>
      </c>
      <c r="E6" s="191">
        <f>SUMIF('Как будет'!$C$12:$GT$12,Бюджет!E$3,'Как будет'!$C17:$GT17)</f>
        <v>0</v>
      </c>
      <c r="F6" s="191">
        <f>SUMIF('Как будет'!$C$12:$GT$12,Бюджет!F$3,'Как будет'!$C17:$GT17)</f>
        <v>0</v>
      </c>
      <c r="H6" s="108" t="str">
        <f>'Как будет'!A45</f>
        <v>Капитализируемый ФОТ</v>
      </c>
      <c r="I6" s="104" t="str">
        <f>IF(H6="ИТ оборудование","Оборудование",IF(H6="Капитализируемый ФОТ","КапФОТ",IF(H6="Консультационные услуги IT","Консалтинг",IF(H6="Нематериальные активы","НМА"))))</f>
        <v>КапФОТ</v>
      </c>
      <c r="J6" s="190">
        <f t="shared" si="1"/>
        <v>0</v>
      </c>
      <c r="K6" s="191">
        <f>SUMIF('Как будет'!$C$12:$GT$12,Бюджет!K$3,'Как будет'!$C45:$GT45)</f>
        <v>0</v>
      </c>
      <c r="L6" s="191">
        <f>SUMIF('Как будет'!$C$12:$GT$12,Бюджет!L$3,'Как будет'!$C45:$GT45)</f>
        <v>0</v>
      </c>
      <c r="M6" s="191">
        <f>SUMIF('Как будет'!$C$12:$GT$12,Бюджет!M$3,'Как будет'!$C45:$GT45)</f>
        <v>0</v>
      </c>
      <c r="N6" s="191">
        <f>SUMIF('Как будет'!$C$12:$GT$12,Бюджет!N$3,'Как будет'!$C45:$GT45)</f>
        <v>0</v>
      </c>
      <c r="O6" s="191">
        <f>SUMIF('Как будет'!$C$12:$GT$12,Бюджет!O$3,'Как будет'!$C45:$GT45)</f>
        <v>0</v>
      </c>
      <c r="P6" s="191">
        <f>SUMIF('Как будет'!$C$12:$GT$12,Бюджет!P$3,'Как будет'!$C45:$GT45)</f>
        <v>0</v>
      </c>
      <c r="S6" s="116"/>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row>
    <row r="7" spans="1:46" ht="24" customHeight="1">
      <c r="A7" s="108" t="str">
        <f>'Как будет'!A18</f>
        <v>Консультационные услуги IT</v>
      </c>
      <c r="B7" s="104" t="str">
        <f t="shared" ref="B7:B9" si="7">IF(A7="ИТ оборудование","Оборудование",IF(A7="Капитализируемый ФОТ","КапФОТ",IF(A7="Консультационные услуги IT","Консалтинг",IF(A7="Нематериальные активы","НМА"))))</f>
        <v>Консалтинг</v>
      </c>
      <c r="C7" s="190">
        <f t="shared" si="4"/>
        <v>6160</v>
      </c>
      <c r="D7" s="191">
        <f>SUMIF('Как будет'!$C$12:$GT$12,Бюджет!D$3,'Как будет'!$C18:$GT18)</f>
        <v>6160</v>
      </c>
      <c r="E7" s="191">
        <f>SUMIF('Как будет'!$C$12:$GT$12,Бюджет!E$3,'Как будет'!$C18:$GT18)</f>
        <v>0</v>
      </c>
      <c r="F7" s="191">
        <f>SUMIF('Как будет'!$C$12:$GT$12,Бюджет!F$3,'Как будет'!$C18:$GT18)</f>
        <v>0</v>
      </c>
      <c r="H7" s="108" t="str">
        <f>'Как будет'!A46</f>
        <v>ИТ оборудование</v>
      </c>
      <c r="I7" s="104" t="str">
        <f t="shared" ref="I7:I8" si="8">IF(H7="ИТ оборудование","Оборудование",IF(H7="Капитализируемый ФОТ","КапФОТ",IF(H7="Консультационные услуги IT","Консалтинг",IF(H7="Нематериальные активы","НМА"))))</f>
        <v>Оборудование</v>
      </c>
      <c r="J7" s="190">
        <f t="shared" si="1"/>
        <v>0</v>
      </c>
      <c r="K7" s="191">
        <f>SUMIF('Как будет'!$C$12:$GT$12,Бюджет!K$3,'Как будет'!$C46:$GT46)</f>
        <v>0</v>
      </c>
      <c r="L7" s="191">
        <f>SUMIF('Как будет'!$C$12:$GT$12,Бюджет!L$3,'Как будет'!$C46:$GT46)</f>
        <v>0</v>
      </c>
      <c r="M7" s="191">
        <f>SUMIF('Как будет'!$C$12:$GT$12,Бюджет!M$3,'Как будет'!$C46:$GT46)</f>
        <v>0</v>
      </c>
      <c r="N7" s="191">
        <f>SUMIF('Как будет'!$C$12:$GT$12,Бюджет!N$3,'Как будет'!$C46:$GT46)</f>
        <v>0</v>
      </c>
      <c r="O7" s="191">
        <f>SUMIF('Как будет'!$C$12:$GT$12,Бюджет!O$3,'Как будет'!$C46:$GT46)</f>
        <v>0</v>
      </c>
      <c r="P7" s="191">
        <f>SUMIF('Как будет'!$C$12:$GT$12,Бюджет!P$3,'Как будет'!$C46:$GT46)</f>
        <v>0</v>
      </c>
      <c r="S7" s="115" t="s">
        <v>197</v>
      </c>
      <c r="T7" s="194">
        <f t="shared" ref="T7:T11" si="9">U7+AH7</f>
        <v>0</v>
      </c>
      <c r="U7" s="195">
        <f t="shared" ref="U7:U11" si="10">SUM(V7:AG7)</f>
        <v>0</v>
      </c>
      <c r="V7" s="196">
        <f>SUM(V8:V11)</f>
        <v>0</v>
      </c>
      <c r="W7" s="196">
        <f t="shared" ref="W7:AG7" si="11">SUM(W8:W11)</f>
        <v>0</v>
      </c>
      <c r="X7" s="196">
        <f t="shared" si="11"/>
        <v>0</v>
      </c>
      <c r="Y7" s="196">
        <f t="shared" si="11"/>
        <v>0</v>
      </c>
      <c r="Z7" s="196">
        <f t="shared" si="11"/>
        <v>0</v>
      </c>
      <c r="AA7" s="196">
        <f t="shared" si="11"/>
        <v>0</v>
      </c>
      <c r="AB7" s="196">
        <f t="shared" si="11"/>
        <v>0</v>
      </c>
      <c r="AC7" s="196">
        <f t="shared" si="11"/>
        <v>0</v>
      </c>
      <c r="AD7" s="196">
        <f t="shared" si="11"/>
        <v>0</v>
      </c>
      <c r="AE7" s="196">
        <f t="shared" si="11"/>
        <v>0</v>
      </c>
      <c r="AF7" s="196">
        <f t="shared" si="11"/>
        <v>0</v>
      </c>
      <c r="AG7" s="196">
        <f t="shared" si="11"/>
        <v>0</v>
      </c>
      <c r="AH7" s="195">
        <f t="shared" ref="AH7:AH11" si="12">SUM(AI7:AT7)</f>
        <v>0</v>
      </c>
      <c r="AI7" s="196">
        <f>SUM(AI8:AI11)</f>
        <v>0</v>
      </c>
      <c r="AJ7" s="196">
        <f t="shared" ref="AJ7" si="13">SUM(AJ8:AJ11)</f>
        <v>0</v>
      </c>
      <c r="AK7" s="196">
        <f t="shared" ref="AK7" si="14">SUM(AK8:AK11)</f>
        <v>0</v>
      </c>
      <c r="AL7" s="196">
        <f t="shared" ref="AL7" si="15">SUM(AL8:AL11)</f>
        <v>0</v>
      </c>
      <c r="AM7" s="196">
        <f t="shared" ref="AM7" si="16">SUM(AM8:AM11)</f>
        <v>0</v>
      </c>
      <c r="AN7" s="196">
        <f t="shared" ref="AN7" si="17">SUM(AN8:AN11)</f>
        <v>0</v>
      </c>
      <c r="AO7" s="196">
        <f t="shared" ref="AO7" si="18">SUM(AO8:AO11)</f>
        <v>0</v>
      </c>
      <c r="AP7" s="196">
        <f t="shared" ref="AP7" si="19">SUM(AP8:AP11)</f>
        <v>0</v>
      </c>
      <c r="AQ7" s="196">
        <f t="shared" ref="AQ7" si="20">SUM(AQ8:AQ11)</f>
        <v>0</v>
      </c>
      <c r="AR7" s="196">
        <f t="shared" ref="AR7" si="21">SUM(AR8:AR11)</f>
        <v>0</v>
      </c>
      <c r="AS7" s="196">
        <f t="shared" ref="AS7" si="22">SUM(AS8:AS11)</f>
        <v>0</v>
      </c>
      <c r="AT7" s="196">
        <f t="shared" ref="AT7" si="23">SUM(AT8:AT11)</f>
        <v>0</v>
      </c>
    </row>
    <row r="8" spans="1:46">
      <c r="A8" s="108" t="str">
        <f>'Как будет'!A19</f>
        <v>Капитализируемый ФОТ</v>
      </c>
      <c r="B8" s="104" t="str">
        <f t="shared" si="7"/>
        <v>КапФОТ</v>
      </c>
      <c r="C8" s="190">
        <f t="shared" si="4"/>
        <v>0</v>
      </c>
      <c r="D8" s="191">
        <f>SUMIF('Как будет'!$C$12:$GT$12,Бюджет!D$3,'Как будет'!$C19:$GT19)</f>
        <v>0</v>
      </c>
      <c r="E8" s="191">
        <f>SUMIF('Как будет'!$C$12:$GT$12,Бюджет!E$3,'Как будет'!$C19:$GT19)</f>
        <v>0</v>
      </c>
      <c r="F8" s="191">
        <f>SUMIF('Как будет'!$C$12:$GT$12,Бюджет!F$3,'Как будет'!$C19:$GT19)</f>
        <v>0</v>
      </c>
      <c r="H8" s="108" t="str">
        <f>'Как будет'!A47</f>
        <v>Нематериальные активы</v>
      </c>
      <c r="I8" s="104" t="str">
        <f t="shared" si="8"/>
        <v>НМА</v>
      </c>
      <c r="J8" s="190">
        <f t="shared" si="1"/>
        <v>0</v>
      </c>
      <c r="K8" s="191">
        <f>SUMIF('Как будет'!$C$12:$GT$12,Бюджет!K$3,'Как будет'!$C47:$GT47)</f>
        <v>0</v>
      </c>
      <c r="L8" s="191">
        <f>SUMIF('Как будет'!$C$12:$GT$12,Бюджет!L$3,'Как будет'!$C47:$GT47)</f>
        <v>0</v>
      </c>
      <c r="M8" s="191">
        <f>SUMIF('Как будет'!$C$12:$GT$12,Бюджет!M$3,'Как будет'!$C47:$GT47)</f>
        <v>0</v>
      </c>
      <c r="N8" s="191">
        <f>SUMIF('Как будет'!$C$12:$GT$12,Бюджет!N$3,'Как будет'!$C47:$GT47)</f>
        <v>0</v>
      </c>
      <c r="O8" s="191">
        <f>SUMIF('Как будет'!$C$12:$GT$12,Бюджет!O$3,'Как будет'!$C47:$GT47)</f>
        <v>0</v>
      </c>
      <c r="P8" s="191">
        <f>SUMIF('Как будет'!$C$12:$GT$12,Бюджет!P$3,'Как будет'!$C47:$GT47)</f>
        <v>0</v>
      </c>
      <c r="S8" s="117" t="str">
        <f>B6</f>
        <v>КапФОТ</v>
      </c>
      <c r="T8" s="198">
        <f t="shared" si="9"/>
        <v>0</v>
      </c>
      <c r="U8" s="198">
        <f t="shared" si="10"/>
        <v>0</v>
      </c>
      <c r="V8" s="199"/>
      <c r="W8" s="199"/>
      <c r="X8" s="199"/>
      <c r="Y8" s="199"/>
      <c r="Z8" s="199"/>
      <c r="AA8" s="199"/>
      <c r="AB8" s="199"/>
      <c r="AC8" s="199"/>
      <c r="AD8" s="199"/>
      <c r="AE8" s="199"/>
      <c r="AF8" s="199"/>
      <c r="AG8" s="199"/>
      <c r="AH8" s="198">
        <f t="shared" si="12"/>
        <v>0</v>
      </c>
      <c r="AI8" s="199"/>
      <c r="AJ8" s="199"/>
      <c r="AK8" s="199"/>
      <c r="AL8" s="199"/>
      <c r="AM8" s="199"/>
      <c r="AN8" s="199"/>
      <c r="AO8" s="199"/>
      <c r="AP8" s="199"/>
      <c r="AQ8" s="199"/>
      <c r="AR8" s="199"/>
      <c r="AS8" s="199"/>
      <c r="AT8" s="199"/>
    </row>
    <row r="9" spans="1:46">
      <c r="A9" s="108" t="str">
        <f>'Как будет'!A20</f>
        <v>ИТ оборудование</v>
      </c>
      <c r="B9" s="104" t="str">
        <f t="shared" si="7"/>
        <v>Оборудование</v>
      </c>
      <c r="C9" s="190">
        <f t="shared" si="4"/>
        <v>1000</v>
      </c>
      <c r="D9" s="191">
        <f>SUMIF('Как будет'!$C$12:$GT$12,Бюджет!D$3,'Как будет'!$C20:$GT20)</f>
        <v>1000</v>
      </c>
      <c r="E9" s="191">
        <f>SUMIF('Как будет'!$C$12:$GT$12,Бюджет!E$3,'Как будет'!$C20:$GT20)</f>
        <v>0</v>
      </c>
      <c r="F9" s="191">
        <f>SUMIF('Как будет'!$C$12:$GT$12,Бюджет!F$3,'Как будет'!$C20:$GT20)</f>
        <v>0</v>
      </c>
      <c r="H9" s="108" t="str">
        <f>'Как будет'!A48</f>
        <v>Консультационные услуги IT</v>
      </c>
      <c r="I9" s="104" t="str">
        <f>IF(H9="ИТ оборудование","Оборудование",IF(H9="Капитализируемый ФОТ","КапФОТ",IF(H9="Консультационные услуги IT","Консалтинг",IF(H9="Нематериальные активы","НМА"))))</f>
        <v>Консалтинг</v>
      </c>
      <c r="J9" s="190">
        <f t="shared" si="1"/>
        <v>0</v>
      </c>
      <c r="K9" s="191">
        <f>SUMIF('Как будет'!$C$12:$GT$12,Бюджет!K$3,'Как будет'!$C48:$GT48)</f>
        <v>0</v>
      </c>
      <c r="L9" s="191">
        <f>SUMIF('Как будет'!$C$12:$GT$12,Бюджет!L$3,'Как будет'!$C48:$GT48)</f>
        <v>0</v>
      </c>
      <c r="M9" s="191">
        <f>SUMIF('Как будет'!$C$12:$GT$12,Бюджет!M$3,'Как будет'!$C48:$GT48)</f>
        <v>0</v>
      </c>
      <c r="N9" s="191">
        <f>SUMIF('Как будет'!$C$12:$GT$12,Бюджет!N$3,'Как будет'!$C48:$GT48)</f>
        <v>0</v>
      </c>
      <c r="O9" s="191">
        <f>SUMIF('Как будет'!$C$12:$GT$12,Бюджет!O$3,'Как будет'!$C48:$GT48)</f>
        <v>0</v>
      </c>
      <c r="P9" s="191">
        <f>SUMIF('Как будет'!$C$12:$GT$12,Бюджет!P$3,'Как будет'!$C48:$GT48)</f>
        <v>0</v>
      </c>
      <c r="S9" s="117" t="str">
        <f t="shared" ref="S9:S11" si="24">B7</f>
        <v>Консалтинг</v>
      </c>
      <c r="T9" s="200">
        <f t="shared" si="9"/>
        <v>0</v>
      </c>
      <c r="U9" s="200">
        <f t="shared" si="10"/>
        <v>0</v>
      </c>
      <c r="V9" s="201"/>
      <c r="W9" s="201"/>
      <c r="X9" s="201"/>
      <c r="Y9" s="201"/>
      <c r="Z9" s="201"/>
      <c r="AA9" s="201"/>
      <c r="AB9" s="201"/>
      <c r="AC9" s="201"/>
      <c r="AD9" s="201"/>
      <c r="AE9" s="201"/>
      <c r="AF9" s="201"/>
      <c r="AG9" s="201"/>
      <c r="AH9" s="200">
        <f t="shared" si="12"/>
        <v>0</v>
      </c>
      <c r="AI9" s="201"/>
      <c r="AJ9" s="201"/>
      <c r="AK9" s="201"/>
      <c r="AL9" s="201"/>
      <c r="AM9" s="201"/>
      <c r="AN9" s="201"/>
      <c r="AO9" s="201"/>
      <c r="AP9" s="201"/>
      <c r="AQ9" s="201"/>
      <c r="AR9" s="201"/>
      <c r="AS9" s="201"/>
      <c r="AT9" s="201"/>
    </row>
    <row r="10" spans="1:46" ht="23">
      <c r="A10" s="108"/>
      <c r="B10" s="105"/>
      <c r="C10" s="192"/>
      <c r="D10" s="192"/>
      <c r="E10" s="192"/>
      <c r="F10" s="192"/>
      <c r="H10" s="108"/>
      <c r="I10" s="105"/>
      <c r="J10" s="192"/>
      <c r="K10" s="192"/>
      <c r="L10" s="192"/>
      <c r="M10" s="192"/>
      <c r="N10" s="192"/>
      <c r="O10" s="192"/>
      <c r="P10" s="192"/>
      <c r="S10" s="117" t="str">
        <f t="shared" si="24"/>
        <v>КапФОТ</v>
      </c>
      <c r="T10" s="200">
        <f t="shared" si="9"/>
        <v>0</v>
      </c>
      <c r="U10" s="200">
        <f t="shared" si="10"/>
        <v>0</v>
      </c>
      <c r="V10" s="201"/>
      <c r="W10" s="201"/>
      <c r="X10" s="201"/>
      <c r="Y10" s="201"/>
      <c r="Z10" s="201"/>
      <c r="AA10" s="201"/>
      <c r="AB10" s="201"/>
      <c r="AC10" s="201"/>
      <c r="AD10" s="201"/>
      <c r="AE10" s="201"/>
      <c r="AF10" s="201"/>
      <c r="AG10" s="201"/>
      <c r="AH10" s="200">
        <f t="shared" si="12"/>
        <v>0</v>
      </c>
      <c r="AI10" s="201"/>
      <c r="AJ10" s="201"/>
      <c r="AK10" s="201"/>
      <c r="AL10" s="201"/>
      <c r="AM10" s="201"/>
      <c r="AN10" s="201"/>
      <c r="AO10" s="201"/>
      <c r="AP10" s="201"/>
      <c r="AQ10" s="201"/>
      <c r="AR10" s="201"/>
      <c r="AS10" s="201"/>
      <c r="AT10" s="201"/>
    </row>
    <row r="11" spans="1:46">
      <c r="A11" s="108"/>
      <c r="B11" s="106" t="s">
        <v>179</v>
      </c>
      <c r="C11" s="193">
        <f t="shared" ref="C11:C14" si="25">SUM(D11:F11)</f>
        <v>0</v>
      </c>
      <c r="D11" s="193">
        <f>SUM(D12:D14)</f>
        <v>0</v>
      </c>
      <c r="E11" s="193">
        <f>SUM(E12:E14)</f>
        <v>0</v>
      </c>
      <c r="F11" s="193">
        <f>SUM(F12:F14)</f>
        <v>0</v>
      </c>
      <c r="H11" s="108"/>
      <c r="I11" s="106" t="s">
        <v>179</v>
      </c>
      <c r="J11" s="193">
        <f>SUM(K11:P11)</f>
        <v>0</v>
      </c>
      <c r="K11" s="193">
        <f t="shared" ref="K11:P11" si="26">SUM(K12:K14)</f>
        <v>0</v>
      </c>
      <c r="L11" s="193">
        <f t="shared" si="26"/>
        <v>0</v>
      </c>
      <c r="M11" s="193">
        <f t="shared" si="26"/>
        <v>0</v>
      </c>
      <c r="N11" s="193">
        <f t="shared" si="26"/>
        <v>0</v>
      </c>
      <c r="O11" s="193">
        <f t="shared" si="26"/>
        <v>0</v>
      </c>
      <c r="P11" s="193">
        <f t="shared" si="26"/>
        <v>0</v>
      </c>
      <c r="S11" s="117" t="str">
        <f t="shared" si="24"/>
        <v>Оборудование</v>
      </c>
      <c r="T11" s="200">
        <f t="shared" si="9"/>
        <v>0</v>
      </c>
      <c r="U11" s="200">
        <f t="shared" si="10"/>
        <v>0</v>
      </c>
      <c r="V11" s="201"/>
      <c r="W11" s="201"/>
      <c r="X11" s="201"/>
      <c r="Y11" s="201"/>
      <c r="Z11" s="201"/>
      <c r="AA11" s="201"/>
      <c r="AB11" s="201"/>
      <c r="AC11" s="201"/>
      <c r="AD11" s="201"/>
      <c r="AE11" s="201"/>
      <c r="AF11" s="201"/>
      <c r="AG11" s="201"/>
      <c r="AH11" s="200">
        <f t="shared" si="12"/>
        <v>0</v>
      </c>
      <c r="AI11" s="201"/>
      <c r="AJ11" s="201"/>
      <c r="AK11" s="201"/>
      <c r="AL11" s="201"/>
      <c r="AM11" s="201"/>
      <c r="AN11" s="201"/>
      <c r="AO11" s="201"/>
      <c r="AP11" s="201"/>
      <c r="AQ11" s="201"/>
      <c r="AR11" s="201"/>
      <c r="AS11" s="201"/>
      <c r="AT11" s="201"/>
    </row>
    <row r="12" spans="1:46">
      <c r="A12" s="108" t="str">
        <f>'Как будет'!A35</f>
        <v>Расходы на персонал</v>
      </c>
      <c r="B12" s="104" t="str">
        <f>IF(A12="Расходы на персонал","ФОТ",A12)</f>
        <v>ФОТ</v>
      </c>
      <c r="C12" s="190">
        <f t="shared" si="25"/>
        <v>0</v>
      </c>
      <c r="D12" s="191">
        <f>SUMIF('Как будет'!$C$12:$GT$12,Бюджет!D$3,'Как будет'!$C35:$GT35)</f>
        <v>0</v>
      </c>
      <c r="E12" s="191">
        <f>SUMIF('Как будет'!$C$12:$GT$12,Бюджет!E$3,'Как будет'!$C35:$GT35)</f>
        <v>0</v>
      </c>
      <c r="F12" s="191">
        <f>SUMIF('Как будет'!$C$12:$GT$12,Бюджет!F$3,'Как будет'!$C35:$GT35)</f>
        <v>0</v>
      </c>
      <c r="H12" s="108" t="str">
        <f>'Как будет'!A63</f>
        <v>Расходы на персонал</v>
      </c>
      <c r="I12" s="104" t="str">
        <f>IF(H12="Расходы на персонал","ФОТ",H12)</f>
        <v>ФОТ</v>
      </c>
      <c r="J12" s="190">
        <f t="shared" ref="J12:J14" si="27">SUM(K12:P12)</f>
        <v>0</v>
      </c>
      <c r="K12" s="191">
        <f>SUMIF('Как будет'!$C$12:$GT$12,Бюджет!K$3,'Как будет'!$C63:$GT63)</f>
        <v>0</v>
      </c>
      <c r="L12" s="191">
        <f>SUMIF('Как будет'!$C$12:$GT$12,Бюджет!L$3,'Как будет'!$C63:$GT63)</f>
        <v>0</v>
      </c>
      <c r="M12" s="191">
        <f>SUMIF('Как будет'!$C$12:$GT$12,Бюджет!M$3,'Как будет'!$C63:$GT63)</f>
        <v>0</v>
      </c>
      <c r="N12" s="191">
        <f>SUMIF('Как будет'!$C$12:$GT$12,Бюджет!N$3,'Как будет'!$C63:$GT63)</f>
        <v>0</v>
      </c>
      <c r="O12" s="191">
        <f>SUMIF('Как будет'!$C$12:$GT$12,Бюджет!O$3,'Как будет'!$C63:$GT63)</f>
        <v>0</v>
      </c>
      <c r="P12" s="191">
        <f>SUMIF('Как будет'!$C$12:$GT$12,Бюджет!P$3,'Как будет'!$C63:$GT63)</f>
        <v>0</v>
      </c>
      <c r="S12" s="117"/>
      <c r="T12" s="200"/>
      <c r="U12" s="200"/>
      <c r="V12" s="201"/>
      <c r="W12" s="201"/>
      <c r="X12" s="201"/>
      <c r="Y12" s="201"/>
      <c r="Z12" s="201"/>
      <c r="AA12" s="201"/>
      <c r="AB12" s="201"/>
      <c r="AC12" s="201"/>
      <c r="AD12" s="201"/>
      <c r="AE12" s="201"/>
      <c r="AF12" s="201"/>
      <c r="AG12" s="201"/>
      <c r="AH12" s="200"/>
      <c r="AI12" s="201"/>
      <c r="AJ12" s="201"/>
      <c r="AK12" s="201"/>
      <c r="AL12" s="201"/>
      <c r="AM12" s="201"/>
      <c r="AN12" s="201"/>
      <c r="AO12" s="201"/>
      <c r="AP12" s="201"/>
      <c r="AQ12" s="201"/>
      <c r="AR12" s="201"/>
      <c r="AS12" s="201"/>
      <c r="AT12" s="201"/>
    </row>
    <row r="13" spans="1:46">
      <c r="A13" s="108" t="str">
        <f>'Как будет'!A36</f>
        <v>Прочие расходы</v>
      </c>
      <c r="B13" s="104" t="str">
        <f t="shared" ref="B13:B14" si="28">IF(A13="Расходы на персонал","ФОТ",A13)</f>
        <v>Прочие расходы</v>
      </c>
      <c r="C13" s="190">
        <f t="shared" si="25"/>
        <v>0</v>
      </c>
      <c r="D13" s="191">
        <f>SUMIF('Как будет'!$C$12:$GT$12,Бюджет!D$3,'Как будет'!$C36:$GT36)</f>
        <v>0</v>
      </c>
      <c r="E13" s="191">
        <f>SUMIF('Как будет'!$C$12:$GT$12,Бюджет!E$3,'Как будет'!$C36:$GT36)</f>
        <v>0</v>
      </c>
      <c r="F13" s="191">
        <f>SUMIF('Как будет'!$C$12:$GT$12,Бюджет!F$3,'Как будет'!$C36:$GT36)</f>
        <v>0</v>
      </c>
      <c r="H13" s="108" t="str">
        <f>'Как будет'!A64</f>
        <v>Прочие расходы</v>
      </c>
      <c r="I13" s="107" t="str">
        <f t="shared" ref="I13:I14" si="29">IF(H13="Расходы на персонал","ФОТ",H13)</f>
        <v>Прочие расходы</v>
      </c>
      <c r="J13" s="190">
        <f t="shared" si="27"/>
        <v>0</v>
      </c>
      <c r="K13" s="191">
        <f>SUMIF('Как будет'!$C$12:$GT$12,Бюджет!K$3,'Как будет'!$C64:$GT64)</f>
        <v>0</v>
      </c>
      <c r="L13" s="191">
        <f>SUMIF('Как будет'!$C$12:$GT$12,Бюджет!L$3,'Как будет'!$C64:$GT64)</f>
        <v>0</v>
      </c>
      <c r="M13" s="191">
        <f>SUMIF('Как будет'!$C$12:$GT$12,Бюджет!M$3,'Как будет'!$C64:$GT64)</f>
        <v>0</v>
      </c>
      <c r="N13" s="191">
        <f>SUMIF('Как будет'!$C$12:$GT$12,Бюджет!N$3,'Как будет'!$C64:$GT64)</f>
        <v>0</v>
      </c>
      <c r="O13" s="191">
        <f>SUMIF('Как будет'!$C$12:$GT$12,Бюджет!O$3,'Как будет'!$C64:$GT64)</f>
        <v>0</v>
      </c>
      <c r="P13" s="191">
        <f>SUMIF('Как будет'!$C$12:$GT$12,Бюджет!P$3,'Как будет'!$C64:$GT64)</f>
        <v>0</v>
      </c>
      <c r="S13" s="118"/>
      <c r="T13" s="202"/>
      <c r="U13" s="202"/>
      <c r="V13" s="203"/>
      <c r="W13" s="203"/>
      <c r="X13" s="203"/>
      <c r="Y13" s="203"/>
      <c r="Z13" s="203"/>
      <c r="AA13" s="203"/>
      <c r="AB13" s="203"/>
      <c r="AC13" s="203"/>
      <c r="AD13" s="203"/>
      <c r="AE13" s="203"/>
      <c r="AF13" s="203"/>
      <c r="AG13" s="203"/>
      <c r="AH13" s="202"/>
      <c r="AI13" s="203"/>
      <c r="AJ13" s="203"/>
      <c r="AK13" s="203"/>
      <c r="AL13" s="203"/>
      <c r="AM13" s="203"/>
      <c r="AN13" s="203"/>
      <c r="AO13" s="203"/>
      <c r="AP13" s="203"/>
      <c r="AQ13" s="203"/>
      <c r="AR13" s="203"/>
      <c r="AS13" s="203"/>
      <c r="AT13" s="203"/>
    </row>
    <row r="14" spans="1:46">
      <c r="A14" s="108">
        <f>'Как будет'!A37</f>
        <v>0</v>
      </c>
      <c r="B14" s="107">
        <f t="shared" si="28"/>
        <v>0</v>
      </c>
      <c r="C14" s="190">
        <f t="shared" si="25"/>
        <v>0</v>
      </c>
      <c r="D14" s="191">
        <f>SUMIF('Как будет'!$C$12:$GT$12,Бюджет!D$3,'Как будет'!$C37:$GT37)</f>
        <v>0</v>
      </c>
      <c r="E14" s="191">
        <f>SUMIF('Как будет'!$C$12:$GT$12,Бюджет!E$3,'Как будет'!$C37:$GT37)</f>
        <v>0</v>
      </c>
      <c r="F14" s="191">
        <f>SUMIF('Как будет'!$C$12:$GT$12,Бюджет!F$3,'Как будет'!$C37:$GT37)</f>
        <v>0</v>
      </c>
      <c r="H14" s="108">
        <f>'Как будет'!A65</f>
        <v>0</v>
      </c>
      <c r="I14" s="107">
        <f t="shared" si="29"/>
        <v>0</v>
      </c>
      <c r="J14" s="190">
        <f t="shared" si="27"/>
        <v>0</v>
      </c>
      <c r="K14" s="191">
        <f>SUMIF('Как будет'!$C$12:$GT$12,Бюджет!K$3,'Как будет'!$C65:$GT65)</f>
        <v>0</v>
      </c>
      <c r="L14" s="191">
        <f>SUMIF('Как будет'!$C$12:$GT$12,Бюджет!L$3,'Как будет'!$C65:$GT65)</f>
        <v>0</v>
      </c>
      <c r="M14" s="191">
        <f>SUMIF('Как будет'!$C$12:$GT$12,Бюджет!M$3,'Как будет'!$C65:$GT65)</f>
        <v>0</v>
      </c>
      <c r="N14" s="191">
        <f>SUMIF('Как будет'!$C$12:$GT$12,Бюджет!N$3,'Как будет'!$C65:$GT65)</f>
        <v>0</v>
      </c>
      <c r="O14" s="191">
        <f>SUMIF('Как будет'!$C$12:$GT$12,Бюджет!O$3,'Как будет'!$C65:$GT65)</f>
        <v>0</v>
      </c>
      <c r="P14" s="191">
        <f>SUMIF('Как будет'!$C$12:$GT$12,Бюджет!P$3,'Как будет'!$C65:$GT65)</f>
        <v>0</v>
      </c>
      <c r="S14" s="115" t="s">
        <v>198</v>
      </c>
      <c r="T14" s="194">
        <f t="shared" ref="T14:T17" si="30">U14+AH14</f>
        <v>0</v>
      </c>
      <c r="U14" s="195">
        <f t="shared" ref="U14:U17" si="31">SUM(V14:AG14)</f>
        <v>0</v>
      </c>
      <c r="V14" s="196">
        <f>SUM(V15:V17)</f>
        <v>0</v>
      </c>
      <c r="W14" s="196">
        <f t="shared" ref="W14:AG14" si="32">SUM(W15:W17)</f>
        <v>0</v>
      </c>
      <c r="X14" s="196">
        <f t="shared" si="32"/>
        <v>0</v>
      </c>
      <c r="Y14" s="196">
        <f t="shared" si="32"/>
        <v>0</v>
      </c>
      <c r="Z14" s="196">
        <f t="shared" si="32"/>
        <v>0</v>
      </c>
      <c r="AA14" s="196">
        <f t="shared" si="32"/>
        <v>0</v>
      </c>
      <c r="AB14" s="196">
        <f t="shared" si="32"/>
        <v>0</v>
      </c>
      <c r="AC14" s="196">
        <f t="shared" si="32"/>
        <v>0</v>
      </c>
      <c r="AD14" s="196">
        <f t="shared" si="32"/>
        <v>0</v>
      </c>
      <c r="AE14" s="196">
        <f t="shared" si="32"/>
        <v>0</v>
      </c>
      <c r="AF14" s="196">
        <f t="shared" si="32"/>
        <v>0</v>
      </c>
      <c r="AG14" s="196">
        <f t="shared" si="32"/>
        <v>0</v>
      </c>
      <c r="AH14" s="195">
        <f t="shared" ref="AH14:AH17" si="33">SUM(AI14:AT14)</f>
        <v>0</v>
      </c>
      <c r="AI14" s="196">
        <f t="shared" ref="AI14:AT14" si="34">SUM(AI15:AI17)</f>
        <v>0</v>
      </c>
      <c r="AJ14" s="196">
        <f t="shared" si="34"/>
        <v>0</v>
      </c>
      <c r="AK14" s="196">
        <f t="shared" si="34"/>
        <v>0</v>
      </c>
      <c r="AL14" s="196">
        <f t="shared" si="34"/>
        <v>0</v>
      </c>
      <c r="AM14" s="196">
        <f t="shared" si="34"/>
        <v>0</v>
      </c>
      <c r="AN14" s="196">
        <f t="shared" si="34"/>
        <v>0</v>
      </c>
      <c r="AO14" s="196">
        <f t="shared" si="34"/>
        <v>0</v>
      </c>
      <c r="AP14" s="196">
        <f t="shared" si="34"/>
        <v>0</v>
      </c>
      <c r="AQ14" s="196">
        <f t="shared" si="34"/>
        <v>0</v>
      </c>
      <c r="AR14" s="196">
        <f t="shared" si="34"/>
        <v>0</v>
      </c>
      <c r="AS14" s="196">
        <f t="shared" si="34"/>
        <v>0</v>
      </c>
      <c r="AT14" s="196">
        <f t="shared" si="34"/>
        <v>0</v>
      </c>
    </row>
    <row r="15" spans="1:46">
      <c r="S15" s="122" t="str">
        <f>B12</f>
        <v>ФОТ</v>
      </c>
      <c r="T15" s="204">
        <f t="shared" si="30"/>
        <v>0</v>
      </c>
      <c r="U15" s="204">
        <f t="shared" si="31"/>
        <v>0</v>
      </c>
      <c r="V15" s="205"/>
      <c r="W15" s="205"/>
      <c r="X15" s="205"/>
      <c r="Y15" s="205"/>
      <c r="Z15" s="205"/>
      <c r="AA15" s="205"/>
      <c r="AB15" s="205"/>
      <c r="AC15" s="205"/>
      <c r="AD15" s="205"/>
      <c r="AE15" s="205"/>
      <c r="AF15" s="205"/>
      <c r="AG15" s="205"/>
      <c r="AH15" s="204">
        <f t="shared" si="33"/>
        <v>0</v>
      </c>
      <c r="AI15" s="205"/>
      <c r="AJ15" s="205"/>
      <c r="AK15" s="205"/>
      <c r="AL15" s="205"/>
      <c r="AM15" s="205"/>
      <c r="AN15" s="205"/>
      <c r="AO15" s="205"/>
      <c r="AP15" s="205"/>
      <c r="AQ15" s="205"/>
      <c r="AR15" s="205"/>
      <c r="AS15" s="205"/>
      <c r="AT15" s="205"/>
    </row>
    <row r="16" spans="1:46">
      <c r="S16" s="122" t="str">
        <f t="shared" ref="S16:S17" si="35">B13</f>
        <v>Прочие расходы</v>
      </c>
      <c r="T16" s="204">
        <f t="shared" si="30"/>
        <v>0</v>
      </c>
      <c r="U16" s="204">
        <f t="shared" si="31"/>
        <v>0</v>
      </c>
      <c r="V16" s="205"/>
      <c r="W16" s="205"/>
      <c r="X16" s="205"/>
      <c r="Y16" s="205"/>
      <c r="Z16" s="205"/>
      <c r="AA16" s="205"/>
      <c r="AB16" s="205"/>
      <c r="AC16" s="205"/>
      <c r="AD16" s="205"/>
      <c r="AE16" s="205"/>
      <c r="AF16" s="205"/>
      <c r="AG16" s="205"/>
      <c r="AH16" s="204">
        <f t="shared" si="33"/>
        <v>0</v>
      </c>
      <c r="AI16" s="205"/>
      <c r="AJ16" s="205"/>
      <c r="AK16" s="205"/>
      <c r="AL16" s="205"/>
      <c r="AM16" s="205"/>
      <c r="AN16" s="205"/>
      <c r="AO16" s="205"/>
      <c r="AP16" s="205"/>
      <c r="AQ16" s="205"/>
      <c r="AR16" s="205"/>
      <c r="AS16" s="205"/>
      <c r="AT16" s="205"/>
    </row>
    <row r="17" spans="19:46">
      <c r="S17" s="122">
        <f t="shared" si="35"/>
        <v>0</v>
      </c>
      <c r="T17" s="204">
        <f t="shared" si="30"/>
        <v>0</v>
      </c>
      <c r="U17" s="204">
        <f t="shared" si="31"/>
        <v>0</v>
      </c>
      <c r="V17" s="205"/>
      <c r="W17" s="205"/>
      <c r="X17" s="205"/>
      <c r="Y17" s="205"/>
      <c r="Z17" s="205"/>
      <c r="AA17" s="205"/>
      <c r="AB17" s="205"/>
      <c r="AC17" s="205"/>
      <c r="AD17" s="205"/>
      <c r="AE17" s="205"/>
      <c r="AF17" s="205"/>
      <c r="AG17" s="205"/>
      <c r="AH17" s="204">
        <f t="shared" si="33"/>
        <v>0</v>
      </c>
      <c r="AI17" s="205"/>
      <c r="AJ17" s="205"/>
      <c r="AK17" s="205"/>
      <c r="AL17" s="205"/>
      <c r="AM17" s="205"/>
      <c r="AN17" s="205"/>
      <c r="AO17" s="205"/>
      <c r="AP17" s="205"/>
      <c r="AQ17" s="205"/>
      <c r="AR17" s="205"/>
      <c r="AS17" s="205"/>
      <c r="AT17" s="205"/>
    </row>
    <row r="18" spans="19:46">
      <c r="S18" s="123"/>
      <c r="T18" s="119"/>
      <c r="U18" s="119"/>
      <c r="V18" s="120"/>
      <c r="W18" s="120"/>
      <c r="X18" s="120"/>
      <c r="Y18" s="120"/>
      <c r="Z18" s="120"/>
      <c r="AA18" s="120"/>
      <c r="AB18" s="120"/>
      <c r="AC18" s="120"/>
      <c r="AD18" s="120"/>
      <c r="AE18" s="120"/>
      <c r="AF18" s="120"/>
      <c r="AG18" s="120"/>
      <c r="AH18" s="119"/>
      <c r="AI18" s="120"/>
      <c r="AJ18" s="120"/>
      <c r="AK18" s="120"/>
      <c r="AL18" s="120"/>
      <c r="AM18" s="120"/>
      <c r="AN18" s="120"/>
      <c r="AO18" s="120"/>
      <c r="AP18" s="120"/>
      <c r="AQ18" s="120"/>
      <c r="AR18" s="120"/>
      <c r="AS18" s="120"/>
      <c r="AT18" s="120"/>
    </row>
    <row r="19" spans="19:46">
      <c r="S19" s="121"/>
      <c r="T19" s="119"/>
      <c r="U19" s="119"/>
      <c r="V19" s="120"/>
      <c r="W19" s="120"/>
      <c r="X19" s="120"/>
      <c r="Y19" s="120"/>
      <c r="Z19" s="120"/>
      <c r="AA19" s="120"/>
      <c r="AB19" s="120"/>
      <c r="AC19" s="120"/>
      <c r="AD19" s="120"/>
      <c r="AE19" s="120"/>
      <c r="AF19" s="120"/>
      <c r="AG19" s="120"/>
      <c r="AH19" s="119"/>
      <c r="AI19" s="120"/>
      <c r="AJ19" s="120"/>
      <c r="AK19" s="120"/>
      <c r="AL19" s="120"/>
      <c r="AM19" s="120"/>
      <c r="AN19" s="120"/>
      <c r="AO19" s="120"/>
      <c r="AP19" s="120"/>
      <c r="AQ19" s="120"/>
      <c r="AR19" s="120"/>
      <c r="AS19" s="120"/>
      <c r="AT19" s="120"/>
    </row>
  </sheetData>
  <mergeCells count="27">
    <mergeCell ref="AR3:AR4"/>
    <mergeCell ref="AS3:AS4"/>
    <mergeCell ref="AT3:AT4"/>
    <mergeCell ref="AL3:AL4"/>
    <mergeCell ref="AM3:AM4"/>
    <mergeCell ref="AN3:AN4"/>
    <mergeCell ref="AO3:AO4"/>
    <mergeCell ref="AP3:AP4"/>
    <mergeCell ref="AQ3:AQ4"/>
    <mergeCell ref="AK3:AK4"/>
    <mergeCell ref="Z3:Z4"/>
    <mergeCell ref="AA3:AA4"/>
    <mergeCell ref="AB3:AB4"/>
    <mergeCell ref="AC3:AC4"/>
    <mergeCell ref="AD3:AD4"/>
    <mergeCell ref="AE3:AE4"/>
    <mergeCell ref="AF3:AF4"/>
    <mergeCell ref="AG3:AG4"/>
    <mergeCell ref="AH3:AH4"/>
    <mergeCell ref="AI3:AI4"/>
    <mergeCell ref="AJ3:AJ4"/>
    <mergeCell ref="Y3:Y4"/>
    <mergeCell ref="T3:T4"/>
    <mergeCell ref="U3:U4"/>
    <mergeCell ref="V3:V4"/>
    <mergeCell ref="W3:W4"/>
    <mergeCell ref="X3:X4"/>
  </mergeCells>
  <conditionalFormatting sqref="F1">
    <cfRule type="cellIs" dxfId="5" priority="7" operator="equal">
      <formula>0</formula>
    </cfRule>
    <cfRule type="cellIs" dxfId="4" priority="8" operator="lessThan">
      <formula>0</formula>
    </cfRule>
    <cfRule type="cellIs" dxfId="3" priority="9" operator="greaterThan">
      <formula>0</formula>
    </cfRule>
  </conditionalFormatting>
  <conditionalFormatting sqref="L1">
    <cfRule type="cellIs" dxfId="2" priority="4" operator="equal">
      <formula>0</formula>
    </cfRule>
    <cfRule type="cellIs" dxfId="1" priority="5" operator="lessThan">
      <formula>0</formula>
    </cfRule>
    <cfRule type="cellIs" dxfId="0" priority="6" operator="greaterThan">
      <formula>0</formula>
    </cfRule>
  </conditionalFormatting>
  <pageMargins left="0.7" right="0.7" top="0.75" bottom="0.75" header="0.3" footer="0.3"/>
  <pageSetup paperSize="9" orientation="portrait" r:id="rId1"/>
  <customProperties>
    <customPr name="_pios_id" r:id="rId2"/>
  </customPropertie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2">
    <tabColor theme="2" tint="-9.9978637043366805E-2"/>
  </sheetPr>
  <dimension ref="A1:BO61"/>
  <sheetViews>
    <sheetView topLeftCell="A3" workbookViewId="0">
      <selection activeCell="F17" sqref="F17"/>
    </sheetView>
  </sheetViews>
  <sheetFormatPr baseColWidth="10" defaultColWidth="8.83203125" defaultRowHeight="15"/>
  <cols>
    <col min="1" max="1" width="52.83203125" customWidth="1"/>
    <col min="3" max="3" width="16.1640625" style="263" customWidth="1"/>
    <col min="4" max="4" width="15.6640625" style="263" customWidth="1"/>
    <col min="5" max="5" width="18.33203125" bestFit="1" customWidth="1"/>
    <col min="6" max="6" width="33.1640625" customWidth="1"/>
    <col min="7" max="18" width="14.5" bestFit="1" customWidth="1"/>
    <col min="19" max="19" width="17.1640625" customWidth="1"/>
    <col min="20" max="20" width="22.5" customWidth="1"/>
    <col min="64" max="64" width="14.1640625" bestFit="1" customWidth="1"/>
    <col min="66" max="66" width="21.6640625" customWidth="1"/>
  </cols>
  <sheetData>
    <row r="1" spans="1:11">
      <c r="A1" s="260" t="s">
        <v>260</v>
      </c>
      <c r="B1" s="261"/>
      <c r="C1" s="262"/>
      <c r="E1" s="264" t="s">
        <v>261</v>
      </c>
      <c r="F1" s="264">
        <v>850</v>
      </c>
      <c r="G1" s="265">
        <f>900/850-1</f>
        <v>5.8823529411764719E-2</v>
      </c>
      <c r="H1" s="264"/>
    </row>
    <row r="2" spans="1:11" ht="32">
      <c r="A2" s="266" t="s">
        <v>262</v>
      </c>
      <c r="B2" s="267" t="s">
        <v>263</v>
      </c>
      <c r="C2" s="268">
        <v>236</v>
      </c>
      <c r="D2" s="269"/>
      <c r="E2" s="264" t="s">
        <v>264</v>
      </c>
      <c r="F2" s="264">
        <v>2668</v>
      </c>
      <c r="G2" s="270">
        <f>F2*1.06</f>
        <v>2828.08</v>
      </c>
      <c r="H2" s="271">
        <f>G2/12</f>
        <v>235.67333333333332</v>
      </c>
      <c r="I2" s="272"/>
      <c r="J2" s="272"/>
      <c r="K2" s="272"/>
    </row>
    <row r="3" spans="1:11" ht="16">
      <c r="A3" s="267" t="s">
        <v>265</v>
      </c>
      <c r="B3" s="267" t="s">
        <v>266</v>
      </c>
      <c r="C3" s="268">
        <v>60</v>
      </c>
      <c r="D3" s="269"/>
      <c r="E3" t="s">
        <v>267</v>
      </c>
      <c r="F3" t="s">
        <v>268</v>
      </c>
    </row>
    <row r="4" spans="1:11" ht="16">
      <c r="A4" s="267" t="s">
        <v>269</v>
      </c>
      <c r="B4" s="267" t="s">
        <v>270</v>
      </c>
      <c r="C4" s="268">
        <f>C2*C3/60</f>
        <v>236</v>
      </c>
      <c r="D4" s="269"/>
    </row>
    <row r="5" spans="1:11" ht="16">
      <c r="A5" s="267" t="s">
        <v>271</v>
      </c>
      <c r="B5" s="267" t="s">
        <v>272</v>
      </c>
      <c r="C5" s="268">
        <f>120000/20/8</f>
        <v>750</v>
      </c>
      <c r="D5" s="269"/>
      <c r="E5" t="s">
        <v>273</v>
      </c>
    </row>
    <row r="6" spans="1:11" ht="16">
      <c r="A6" s="273" t="s">
        <v>274</v>
      </c>
      <c r="B6" s="273" t="s">
        <v>272</v>
      </c>
      <c r="C6" s="274">
        <f>C5*C4</f>
        <v>177000</v>
      </c>
      <c r="D6" s="275"/>
    </row>
    <row r="7" spans="1:11" ht="16">
      <c r="A7" s="273" t="s">
        <v>275</v>
      </c>
      <c r="B7" s="273" t="s">
        <v>272</v>
      </c>
      <c r="C7" s="274">
        <f>C6*12</f>
        <v>2124000</v>
      </c>
      <c r="D7" s="275"/>
      <c r="E7" s="276"/>
    </row>
    <row r="10" spans="1:11">
      <c r="A10" s="260" t="s">
        <v>276</v>
      </c>
      <c r="B10" s="260"/>
      <c r="C10" s="277"/>
    </row>
    <row r="11" spans="1:11">
      <c r="A11" s="264" t="s">
        <v>277</v>
      </c>
      <c r="B11" s="264" t="s">
        <v>278</v>
      </c>
      <c r="C11" s="278">
        <v>14</v>
      </c>
    </row>
    <row r="12" spans="1:11">
      <c r="A12" s="264" t="s">
        <v>279</v>
      </c>
      <c r="B12" s="264" t="s">
        <v>278</v>
      </c>
      <c r="C12" s="278">
        <v>2</v>
      </c>
      <c r="D12" s="279" t="s">
        <v>280</v>
      </c>
    </row>
    <row r="13" spans="1:11">
      <c r="A13" s="264" t="s">
        <v>281</v>
      </c>
      <c r="B13" s="264" t="s">
        <v>272</v>
      </c>
      <c r="C13" s="280">
        <v>462800</v>
      </c>
    </row>
    <row r="14" spans="1:11">
      <c r="A14" s="264" t="s">
        <v>282</v>
      </c>
      <c r="B14" s="264" t="s">
        <v>272</v>
      </c>
      <c r="C14" s="280">
        <f>C13*C12</f>
        <v>925600</v>
      </c>
    </row>
    <row r="15" spans="1:11">
      <c r="A15" s="263"/>
      <c r="B15" s="263"/>
    </row>
    <row r="17" spans="1:67" ht="30">
      <c r="A17" s="281" t="s">
        <v>283</v>
      </c>
      <c r="B17" s="281" t="s">
        <v>284</v>
      </c>
      <c r="C17" s="282" t="s">
        <v>285</v>
      </c>
      <c r="D17" s="282" t="s">
        <v>286</v>
      </c>
    </row>
    <row r="18" spans="1:67">
      <c r="A18" s="264" t="s">
        <v>287</v>
      </c>
      <c r="B18" s="264">
        <v>300</v>
      </c>
      <c r="C18" s="265">
        <v>0.15</v>
      </c>
      <c r="D18" s="280">
        <f>(B18*C18)*$C$14</f>
        <v>41652000</v>
      </c>
    </row>
    <row r="19" spans="1:67">
      <c r="A19" s="264" t="s">
        <v>288</v>
      </c>
      <c r="B19" s="264">
        <v>360</v>
      </c>
      <c r="C19" s="265">
        <v>0.25</v>
      </c>
      <c r="D19" s="280">
        <f>(B19*C19)*$C$14</f>
        <v>83304000</v>
      </c>
    </row>
    <row r="20" spans="1:67">
      <c r="A20" s="264" t="s">
        <v>289</v>
      </c>
      <c r="B20" s="264">
        <v>540</v>
      </c>
      <c r="C20" s="265">
        <v>0.45</v>
      </c>
      <c r="D20" s="280">
        <f>(B20*C20)*$C$14</f>
        <v>224920800</v>
      </c>
    </row>
    <row r="21" spans="1:67">
      <c r="A21" t="s">
        <v>290</v>
      </c>
      <c r="D21" s="263">
        <f>SUM(D19:D20)</f>
        <v>308224800</v>
      </c>
    </row>
    <row r="22" spans="1:67">
      <c r="A22" t="s">
        <v>291</v>
      </c>
      <c r="D22" s="276">
        <f>D21/900</f>
        <v>342472</v>
      </c>
    </row>
    <row r="30" spans="1:67">
      <c r="F30" t="s">
        <v>292</v>
      </c>
      <c r="G30" s="293">
        <v>46023</v>
      </c>
      <c r="H30" s="293">
        <v>46054</v>
      </c>
      <c r="I30" s="293">
        <v>46082</v>
      </c>
      <c r="J30" s="293">
        <v>46113</v>
      </c>
      <c r="K30" s="293">
        <v>46143</v>
      </c>
      <c r="L30" s="293">
        <v>46174</v>
      </c>
      <c r="M30" s="293">
        <v>46204</v>
      </c>
      <c r="N30" s="293">
        <v>46235</v>
      </c>
      <c r="O30" s="293">
        <v>46266</v>
      </c>
      <c r="P30" s="293">
        <v>46296</v>
      </c>
      <c r="Q30" s="293">
        <v>46327</v>
      </c>
      <c r="R30" s="293">
        <v>46357</v>
      </c>
      <c r="S30" s="293">
        <v>46388</v>
      </c>
      <c r="T30" s="293">
        <v>46419</v>
      </c>
      <c r="U30" s="293">
        <v>46447</v>
      </c>
      <c r="V30" s="293">
        <v>46478</v>
      </c>
      <c r="W30" s="293">
        <v>46508</v>
      </c>
      <c r="X30" s="293">
        <v>46539</v>
      </c>
      <c r="Y30" s="293">
        <v>46569</v>
      </c>
      <c r="Z30" s="293">
        <v>46600</v>
      </c>
      <c r="AA30" s="293">
        <v>46631</v>
      </c>
      <c r="AB30" s="293">
        <v>46661</v>
      </c>
      <c r="AC30" s="293">
        <v>46692</v>
      </c>
      <c r="AD30" s="293">
        <v>46722</v>
      </c>
      <c r="AE30" s="293">
        <v>46753</v>
      </c>
      <c r="AF30" s="293">
        <v>46784</v>
      </c>
      <c r="AG30" s="293">
        <v>46813</v>
      </c>
      <c r="AH30" s="293">
        <v>46844</v>
      </c>
      <c r="AI30" s="293">
        <v>46874</v>
      </c>
      <c r="AJ30" s="293">
        <v>46905</v>
      </c>
      <c r="AK30" s="293">
        <v>46935</v>
      </c>
      <c r="AL30" s="293">
        <v>46966</v>
      </c>
      <c r="AM30" s="293">
        <v>46997</v>
      </c>
      <c r="AN30" s="293">
        <v>47027</v>
      </c>
      <c r="AO30" s="293">
        <v>47058</v>
      </c>
      <c r="AP30" s="293">
        <v>47088</v>
      </c>
      <c r="AQ30" s="293">
        <v>47119</v>
      </c>
      <c r="AR30" s="293">
        <v>47150</v>
      </c>
      <c r="AS30" s="293">
        <v>47178</v>
      </c>
      <c r="AT30" s="293">
        <v>47209</v>
      </c>
      <c r="AU30" s="293">
        <v>47239</v>
      </c>
      <c r="AV30" s="293">
        <v>47270</v>
      </c>
      <c r="AW30" s="293">
        <v>47300</v>
      </c>
      <c r="AX30" s="293">
        <v>47331</v>
      </c>
      <c r="AY30" s="293">
        <v>47362</v>
      </c>
      <c r="AZ30" s="293">
        <v>47392</v>
      </c>
      <c r="BA30" s="293">
        <v>47423</v>
      </c>
      <c r="BB30" s="293">
        <v>47453</v>
      </c>
      <c r="BC30" s="293">
        <v>47484</v>
      </c>
      <c r="BD30" s="293">
        <v>47515</v>
      </c>
      <c r="BE30" s="293">
        <v>47543</v>
      </c>
      <c r="BF30" s="293">
        <v>47574</v>
      </c>
      <c r="BG30" s="293">
        <v>47604</v>
      </c>
      <c r="BH30" s="293">
        <v>47635</v>
      </c>
      <c r="BI30" s="293">
        <v>47665</v>
      </c>
      <c r="BJ30" s="293">
        <v>47696</v>
      </c>
      <c r="BK30" s="293">
        <v>47727</v>
      </c>
      <c r="BL30" s="293">
        <v>47757</v>
      </c>
      <c r="BM30" s="293">
        <v>47788</v>
      </c>
      <c r="BN30" s="293">
        <v>47818</v>
      </c>
      <c r="BO30" s="293"/>
    </row>
    <row r="31" spans="1:67">
      <c r="F31" t="s">
        <v>293</v>
      </c>
      <c r="G31">
        <v>22</v>
      </c>
      <c r="H31">
        <v>44</v>
      </c>
      <c r="I31">
        <v>66</v>
      </c>
      <c r="J31">
        <v>66</v>
      </c>
      <c r="K31">
        <v>66</v>
      </c>
      <c r="L31">
        <v>77</v>
      </c>
      <c r="M31">
        <v>66</v>
      </c>
      <c r="N31">
        <v>77</v>
      </c>
      <c r="O31">
        <v>99</v>
      </c>
      <c r="P31">
        <v>99</v>
      </c>
      <c r="Q31">
        <v>99</v>
      </c>
      <c r="R31">
        <v>119</v>
      </c>
      <c r="S31">
        <v>22</v>
      </c>
      <c r="T31">
        <v>44</v>
      </c>
      <c r="U31">
        <v>66</v>
      </c>
      <c r="V31">
        <v>66</v>
      </c>
      <c r="W31">
        <v>66</v>
      </c>
      <c r="X31">
        <v>77</v>
      </c>
      <c r="Y31">
        <v>66</v>
      </c>
      <c r="Z31">
        <v>77</v>
      </c>
      <c r="AA31">
        <v>99</v>
      </c>
      <c r="AB31">
        <v>99</v>
      </c>
      <c r="AC31">
        <v>99</v>
      </c>
      <c r="AD31">
        <v>119</v>
      </c>
      <c r="AE31">
        <v>22</v>
      </c>
      <c r="AF31">
        <v>44</v>
      </c>
      <c r="AG31">
        <v>66</v>
      </c>
      <c r="AH31">
        <v>66</v>
      </c>
      <c r="AI31">
        <v>66</v>
      </c>
      <c r="AJ31">
        <v>77</v>
      </c>
      <c r="AK31">
        <v>66</v>
      </c>
      <c r="AL31">
        <v>77</v>
      </c>
      <c r="AM31">
        <v>99</v>
      </c>
      <c r="AN31">
        <v>99</v>
      </c>
      <c r="AO31">
        <v>99</v>
      </c>
      <c r="AP31">
        <v>119</v>
      </c>
      <c r="AQ31">
        <v>22</v>
      </c>
      <c r="AR31">
        <v>44</v>
      </c>
      <c r="AS31">
        <v>66</v>
      </c>
      <c r="AT31">
        <v>66</v>
      </c>
      <c r="AU31">
        <v>66</v>
      </c>
      <c r="AV31">
        <v>77</v>
      </c>
      <c r="AW31">
        <v>66</v>
      </c>
      <c r="AX31">
        <v>77</v>
      </c>
      <c r="AY31">
        <v>99</v>
      </c>
      <c r="AZ31">
        <v>99</v>
      </c>
      <c r="BA31">
        <v>99</v>
      </c>
      <c r="BB31">
        <v>119</v>
      </c>
      <c r="BC31">
        <v>22</v>
      </c>
      <c r="BD31">
        <v>44</v>
      </c>
      <c r="BE31">
        <v>66</v>
      </c>
      <c r="BF31">
        <v>66</v>
      </c>
      <c r="BG31">
        <v>66</v>
      </c>
      <c r="BH31">
        <v>77</v>
      </c>
      <c r="BI31">
        <v>66</v>
      </c>
      <c r="BJ31">
        <v>77</v>
      </c>
      <c r="BK31">
        <v>99</v>
      </c>
      <c r="BL31">
        <v>99</v>
      </c>
      <c r="BM31">
        <v>99</v>
      </c>
      <c r="BN31">
        <v>119</v>
      </c>
    </row>
    <row r="32" spans="1:67">
      <c r="F32" t="s">
        <v>294</v>
      </c>
      <c r="G32" s="276">
        <f>G31*$D$22</f>
        <v>7534384</v>
      </c>
      <c r="H32" s="276">
        <f t="shared" ref="H32:BN32" si="0">H31*$D$22</f>
        <v>15068768</v>
      </c>
      <c r="I32" s="276">
        <f t="shared" si="0"/>
        <v>22603152</v>
      </c>
      <c r="J32" s="276">
        <f t="shared" si="0"/>
        <v>22603152</v>
      </c>
      <c r="K32" s="276">
        <f t="shared" si="0"/>
        <v>22603152</v>
      </c>
      <c r="L32" s="276">
        <f t="shared" si="0"/>
        <v>26370344</v>
      </c>
      <c r="M32" s="276">
        <f t="shared" si="0"/>
        <v>22603152</v>
      </c>
      <c r="N32" s="276">
        <f t="shared" si="0"/>
        <v>26370344</v>
      </c>
      <c r="O32" s="276">
        <f t="shared" si="0"/>
        <v>33904728</v>
      </c>
      <c r="P32" s="276">
        <f t="shared" si="0"/>
        <v>33904728</v>
      </c>
      <c r="Q32" s="276">
        <f t="shared" si="0"/>
        <v>33904728</v>
      </c>
      <c r="R32" s="276">
        <f t="shared" si="0"/>
        <v>40754168</v>
      </c>
      <c r="S32" s="276">
        <f t="shared" si="0"/>
        <v>7534384</v>
      </c>
      <c r="T32" s="276">
        <f t="shared" si="0"/>
        <v>15068768</v>
      </c>
      <c r="U32" s="276">
        <f t="shared" si="0"/>
        <v>22603152</v>
      </c>
      <c r="V32" s="276">
        <f t="shared" si="0"/>
        <v>22603152</v>
      </c>
      <c r="W32" s="276">
        <f t="shared" si="0"/>
        <v>22603152</v>
      </c>
      <c r="X32" s="276">
        <f t="shared" si="0"/>
        <v>26370344</v>
      </c>
      <c r="Y32" s="276">
        <f t="shared" si="0"/>
        <v>22603152</v>
      </c>
      <c r="Z32" s="276">
        <f t="shared" si="0"/>
        <v>26370344</v>
      </c>
      <c r="AA32" s="276">
        <f t="shared" si="0"/>
        <v>33904728</v>
      </c>
      <c r="AB32" s="276">
        <f t="shared" si="0"/>
        <v>33904728</v>
      </c>
      <c r="AC32" s="276">
        <f t="shared" si="0"/>
        <v>33904728</v>
      </c>
      <c r="AD32" s="276">
        <f t="shared" si="0"/>
        <v>40754168</v>
      </c>
      <c r="AE32" s="276">
        <f t="shared" si="0"/>
        <v>7534384</v>
      </c>
      <c r="AF32" s="276">
        <f t="shared" si="0"/>
        <v>15068768</v>
      </c>
      <c r="AG32" s="276">
        <f t="shared" si="0"/>
        <v>22603152</v>
      </c>
      <c r="AH32" s="276">
        <f t="shared" si="0"/>
        <v>22603152</v>
      </c>
      <c r="AI32" s="276">
        <f t="shared" si="0"/>
        <v>22603152</v>
      </c>
      <c r="AJ32" s="276">
        <f t="shared" si="0"/>
        <v>26370344</v>
      </c>
      <c r="AK32" s="276">
        <f t="shared" si="0"/>
        <v>22603152</v>
      </c>
      <c r="AL32" s="276">
        <f t="shared" si="0"/>
        <v>26370344</v>
      </c>
      <c r="AM32" s="276">
        <f t="shared" si="0"/>
        <v>33904728</v>
      </c>
      <c r="AN32" s="276">
        <f t="shared" si="0"/>
        <v>33904728</v>
      </c>
      <c r="AO32" s="276">
        <f t="shared" si="0"/>
        <v>33904728</v>
      </c>
      <c r="AP32" s="276">
        <f t="shared" si="0"/>
        <v>40754168</v>
      </c>
      <c r="AQ32" s="276">
        <f t="shared" si="0"/>
        <v>7534384</v>
      </c>
      <c r="AR32" s="276">
        <f t="shared" si="0"/>
        <v>15068768</v>
      </c>
      <c r="AS32" s="276">
        <f t="shared" si="0"/>
        <v>22603152</v>
      </c>
      <c r="AT32" s="276">
        <f t="shared" si="0"/>
        <v>22603152</v>
      </c>
      <c r="AU32" s="276">
        <f t="shared" si="0"/>
        <v>22603152</v>
      </c>
      <c r="AV32" s="276">
        <f t="shared" si="0"/>
        <v>26370344</v>
      </c>
      <c r="AW32" s="276">
        <f t="shared" si="0"/>
        <v>22603152</v>
      </c>
      <c r="AX32" s="276">
        <f t="shared" si="0"/>
        <v>26370344</v>
      </c>
      <c r="AY32" s="276">
        <f t="shared" si="0"/>
        <v>33904728</v>
      </c>
      <c r="AZ32" s="276">
        <f t="shared" si="0"/>
        <v>33904728</v>
      </c>
      <c r="BA32" s="276">
        <f t="shared" si="0"/>
        <v>33904728</v>
      </c>
      <c r="BB32" s="276">
        <f t="shared" si="0"/>
        <v>40754168</v>
      </c>
      <c r="BC32" s="276">
        <f t="shared" si="0"/>
        <v>7534384</v>
      </c>
      <c r="BD32" s="276">
        <f t="shared" si="0"/>
        <v>15068768</v>
      </c>
      <c r="BE32" s="276">
        <f t="shared" si="0"/>
        <v>22603152</v>
      </c>
      <c r="BF32" s="276">
        <f t="shared" si="0"/>
        <v>22603152</v>
      </c>
      <c r="BG32" s="276">
        <f t="shared" si="0"/>
        <v>22603152</v>
      </c>
      <c r="BH32" s="276">
        <f t="shared" si="0"/>
        <v>26370344</v>
      </c>
      <c r="BI32" s="276">
        <f t="shared" si="0"/>
        <v>22603152</v>
      </c>
      <c r="BJ32" s="276">
        <f t="shared" si="0"/>
        <v>26370344</v>
      </c>
      <c r="BK32" s="276">
        <f t="shared" si="0"/>
        <v>33904728</v>
      </c>
      <c r="BL32" s="276">
        <f t="shared" si="0"/>
        <v>33904728</v>
      </c>
      <c r="BM32" s="276">
        <f t="shared" si="0"/>
        <v>33904728</v>
      </c>
      <c r="BN32" s="276">
        <f t="shared" si="0"/>
        <v>40754168</v>
      </c>
    </row>
    <row r="33" spans="1:66">
      <c r="F33" t="s">
        <v>295</v>
      </c>
      <c r="G33" s="283">
        <f>G32/1000</f>
        <v>7534.384</v>
      </c>
      <c r="H33" s="283">
        <f t="shared" ref="H33:BN33" si="1">H32/1000</f>
        <v>15068.768</v>
      </c>
      <c r="I33" s="283">
        <f t="shared" si="1"/>
        <v>22603.151999999998</v>
      </c>
      <c r="J33" s="283">
        <f t="shared" si="1"/>
        <v>22603.151999999998</v>
      </c>
      <c r="K33" s="283">
        <f t="shared" si="1"/>
        <v>22603.151999999998</v>
      </c>
      <c r="L33" s="283">
        <f t="shared" si="1"/>
        <v>26370.344000000001</v>
      </c>
      <c r="M33" s="283">
        <f t="shared" si="1"/>
        <v>22603.151999999998</v>
      </c>
      <c r="N33" s="283">
        <f t="shared" si="1"/>
        <v>26370.344000000001</v>
      </c>
      <c r="O33" s="283">
        <f t="shared" si="1"/>
        <v>33904.728000000003</v>
      </c>
      <c r="P33" s="283">
        <f t="shared" si="1"/>
        <v>33904.728000000003</v>
      </c>
      <c r="Q33" s="283">
        <f t="shared" si="1"/>
        <v>33904.728000000003</v>
      </c>
      <c r="R33" s="283">
        <f t="shared" si="1"/>
        <v>40754.167999999998</v>
      </c>
      <c r="S33" s="283">
        <f t="shared" si="1"/>
        <v>7534.384</v>
      </c>
      <c r="T33" s="283">
        <f t="shared" si="1"/>
        <v>15068.768</v>
      </c>
      <c r="U33" s="283">
        <f t="shared" si="1"/>
        <v>22603.151999999998</v>
      </c>
      <c r="V33" s="283">
        <f t="shared" si="1"/>
        <v>22603.151999999998</v>
      </c>
      <c r="W33" s="283">
        <f t="shared" si="1"/>
        <v>22603.151999999998</v>
      </c>
      <c r="X33" s="283">
        <f t="shared" si="1"/>
        <v>26370.344000000001</v>
      </c>
      <c r="Y33" s="283">
        <f t="shared" si="1"/>
        <v>22603.151999999998</v>
      </c>
      <c r="Z33" s="283">
        <f t="shared" si="1"/>
        <v>26370.344000000001</v>
      </c>
      <c r="AA33" s="283">
        <f t="shared" si="1"/>
        <v>33904.728000000003</v>
      </c>
      <c r="AB33" s="283">
        <f t="shared" si="1"/>
        <v>33904.728000000003</v>
      </c>
      <c r="AC33" s="283">
        <f t="shared" si="1"/>
        <v>33904.728000000003</v>
      </c>
      <c r="AD33" s="283">
        <f t="shared" si="1"/>
        <v>40754.167999999998</v>
      </c>
      <c r="AE33" s="283">
        <f t="shared" si="1"/>
        <v>7534.384</v>
      </c>
      <c r="AF33" s="283">
        <f t="shared" si="1"/>
        <v>15068.768</v>
      </c>
      <c r="AG33" s="283">
        <f t="shared" si="1"/>
        <v>22603.151999999998</v>
      </c>
      <c r="AH33" s="283">
        <f t="shared" si="1"/>
        <v>22603.151999999998</v>
      </c>
      <c r="AI33" s="283">
        <f t="shared" si="1"/>
        <v>22603.151999999998</v>
      </c>
      <c r="AJ33" s="283">
        <f t="shared" si="1"/>
        <v>26370.344000000001</v>
      </c>
      <c r="AK33" s="283">
        <f t="shared" si="1"/>
        <v>22603.151999999998</v>
      </c>
      <c r="AL33" s="283">
        <f t="shared" si="1"/>
        <v>26370.344000000001</v>
      </c>
      <c r="AM33" s="283">
        <f t="shared" si="1"/>
        <v>33904.728000000003</v>
      </c>
      <c r="AN33" s="283">
        <f t="shared" si="1"/>
        <v>33904.728000000003</v>
      </c>
      <c r="AO33" s="283">
        <f t="shared" si="1"/>
        <v>33904.728000000003</v>
      </c>
      <c r="AP33" s="283">
        <f t="shared" si="1"/>
        <v>40754.167999999998</v>
      </c>
      <c r="AQ33" s="283">
        <f t="shared" si="1"/>
        <v>7534.384</v>
      </c>
      <c r="AR33" s="283">
        <f t="shared" si="1"/>
        <v>15068.768</v>
      </c>
      <c r="AS33" s="283">
        <f t="shared" si="1"/>
        <v>22603.151999999998</v>
      </c>
      <c r="AT33" s="283">
        <f t="shared" si="1"/>
        <v>22603.151999999998</v>
      </c>
      <c r="AU33" s="283">
        <f t="shared" si="1"/>
        <v>22603.151999999998</v>
      </c>
      <c r="AV33" s="283">
        <f t="shared" si="1"/>
        <v>26370.344000000001</v>
      </c>
      <c r="AW33" s="283">
        <f t="shared" si="1"/>
        <v>22603.151999999998</v>
      </c>
      <c r="AX33" s="283">
        <f t="shared" si="1"/>
        <v>26370.344000000001</v>
      </c>
      <c r="AY33" s="283">
        <f t="shared" si="1"/>
        <v>33904.728000000003</v>
      </c>
      <c r="AZ33" s="283">
        <f t="shared" si="1"/>
        <v>33904.728000000003</v>
      </c>
      <c r="BA33" s="283">
        <f t="shared" si="1"/>
        <v>33904.728000000003</v>
      </c>
      <c r="BB33" s="283">
        <f t="shared" si="1"/>
        <v>40754.167999999998</v>
      </c>
      <c r="BC33" s="283">
        <f t="shared" si="1"/>
        <v>7534.384</v>
      </c>
      <c r="BD33" s="283">
        <f t="shared" si="1"/>
        <v>15068.768</v>
      </c>
      <c r="BE33" s="283">
        <f t="shared" si="1"/>
        <v>22603.151999999998</v>
      </c>
      <c r="BF33" s="283">
        <f t="shared" si="1"/>
        <v>22603.151999999998</v>
      </c>
      <c r="BG33" s="283">
        <f t="shared" si="1"/>
        <v>22603.151999999998</v>
      </c>
      <c r="BH33" s="283">
        <f t="shared" si="1"/>
        <v>26370.344000000001</v>
      </c>
      <c r="BI33" s="283">
        <f t="shared" si="1"/>
        <v>22603.151999999998</v>
      </c>
      <c r="BJ33" s="283">
        <f t="shared" si="1"/>
        <v>26370.344000000001</v>
      </c>
      <c r="BK33" s="283">
        <f t="shared" si="1"/>
        <v>33904.728000000003</v>
      </c>
      <c r="BL33" s="283">
        <f t="shared" si="1"/>
        <v>33904.728000000003</v>
      </c>
      <c r="BM33" s="283">
        <f t="shared" si="1"/>
        <v>33904.728000000003</v>
      </c>
      <c r="BN33" s="283">
        <f t="shared" si="1"/>
        <v>40754.167999999998</v>
      </c>
    </row>
    <row r="34" spans="1:66">
      <c r="F34" s="284" t="s">
        <v>296</v>
      </c>
      <c r="G34" s="285">
        <v>5.9227494855118197</v>
      </c>
      <c r="H34" s="285">
        <v>6.4586150094457997</v>
      </c>
      <c r="I34" s="285">
        <v>9.6942371587101093</v>
      </c>
      <c r="J34" s="285">
        <v>9.3298104278226397</v>
      </c>
      <c r="K34" s="285">
        <v>10.1005879369903</v>
      </c>
      <c r="L34" s="285">
        <v>11.217666993645601</v>
      </c>
      <c r="M34" s="285">
        <v>10.308162355890801</v>
      </c>
      <c r="N34" s="285">
        <v>9.7861832450359607</v>
      </c>
      <c r="O34" s="285">
        <v>10.287486577199999</v>
      </c>
      <c r="P34" s="285">
        <v>9.4727588908061406</v>
      </c>
      <c r="Q34" s="285">
        <v>8.13961779591863</v>
      </c>
      <c r="R34" s="285">
        <v>8.8055138343351995</v>
      </c>
      <c r="S34" s="285">
        <v>5.9227494855118197</v>
      </c>
      <c r="T34" s="285">
        <v>6.4586150094457997</v>
      </c>
      <c r="U34" s="285">
        <v>9.6942371587101093</v>
      </c>
      <c r="V34" s="285">
        <v>9.3298104278226397</v>
      </c>
      <c r="W34" s="285">
        <v>10.1005879369903</v>
      </c>
      <c r="X34" s="285">
        <v>11.217666993645601</v>
      </c>
      <c r="Y34" s="285">
        <v>10.308162355890801</v>
      </c>
      <c r="Z34" s="285">
        <v>9.7861832450359607</v>
      </c>
      <c r="AA34" s="285">
        <v>10.287486577199999</v>
      </c>
      <c r="AB34" s="285">
        <v>9.4727588908061406</v>
      </c>
      <c r="AC34" s="285">
        <v>8.13961779591863</v>
      </c>
      <c r="AD34" s="285">
        <v>8.8055138343351995</v>
      </c>
      <c r="AE34" s="285">
        <v>5.9227494855118197</v>
      </c>
      <c r="AF34" s="285">
        <v>6.4586150094457997</v>
      </c>
      <c r="AG34" s="285">
        <v>9.6942371587101093</v>
      </c>
      <c r="AH34" s="285">
        <v>9.3298104278226397</v>
      </c>
      <c r="AI34" s="285">
        <v>10.1005879369903</v>
      </c>
      <c r="AJ34" s="285">
        <v>11.217666993645601</v>
      </c>
      <c r="AK34" s="285">
        <v>10.308162355890801</v>
      </c>
      <c r="AL34" s="285">
        <v>9.7861832450359607</v>
      </c>
      <c r="AM34" s="285">
        <v>10.287486577199999</v>
      </c>
      <c r="AN34" s="285">
        <v>9.4727588908061406</v>
      </c>
      <c r="AO34" s="285">
        <v>8.13961779591863</v>
      </c>
      <c r="AP34" s="285">
        <v>8.8055138343351995</v>
      </c>
      <c r="AQ34" s="285">
        <v>5.9227494855118197</v>
      </c>
      <c r="AR34" s="285">
        <v>6.4586150094457997</v>
      </c>
      <c r="AS34" s="285">
        <v>9.6942371587101093</v>
      </c>
      <c r="AT34" s="285">
        <v>9.3298104278226397</v>
      </c>
      <c r="AU34" s="285">
        <v>10.1005879369903</v>
      </c>
      <c r="AV34" s="285">
        <v>11.217666993645601</v>
      </c>
      <c r="AW34" s="285">
        <v>10.308162355890801</v>
      </c>
      <c r="AX34" s="285">
        <v>9.7861832450359607</v>
      </c>
      <c r="AY34" s="285">
        <v>10.287486577199999</v>
      </c>
      <c r="AZ34" s="285">
        <v>9.4727588908061406</v>
      </c>
      <c r="BA34" s="285">
        <v>8.13961779591863</v>
      </c>
      <c r="BB34" s="285">
        <v>8.8055138343351995</v>
      </c>
      <c r="BC34" s="285">
        <v>5.9227494855118197</v>
      </c>
      <c r="BD34" s="285">
        <v>6.4586150094457997</v>
      </c>
      <c r="BE34" s="285">
        <v>9.6942371587101093</v>
      </c>
      <c r="BF34" s="285">
        <v>9.3298104278226397</v>
      </c>
      <c r="BG34" s="285">
        <v>10.1005879369903</v>
      </c>
      <c r="BH34" s="285">
        <v>11.217666993645601</v>
      </c>
      <c r="BI34" s="285">
        <v>10.308162355890801</v>
      </c>
      <c r="BJ34" s="285">
        <v>9.7861832450359607</v>
      </c>
      <c r="BK34" s="285">
        <v>10.287486577199999</v>
      </c>
      <c r="BL34" s="285">
        <v>9.4727588908061406</v>
      </c>
      <c r="BM34" s="285">
        <v>8.13961779591863</v>
      </c>
      <c r="BN34" s="285">
        <v>8.8055138343351995</v>
      </c>
    </row>
    <row r="35" spans="1:66">
      <c r="F35" t="s">
        <v>297</v>
      </c>
      <c r="G35" s="276">
        <f t="shared" ref="G35:T35" si="2">G33/100*G34</f>
        <v>446.24268959648487</v>
      </c>
      <c r="H35" s="276">
        <f t="shared" si="2"/>
        <v>973.23371178656566</v>
      </c>
      <c r="I35" s="276">
        <f t="shared" si="2"/>
        <v>2191.2031602237271</v>
      </c>
      <c r="J35" s="276">
        <f t="shared" si="2"/>
        <v>2108.8312323126011</v>
      </c>
      <c r="K35" s="276">
        <f t="shared" si="2"/>
        <v>2283.0512442915815</v>
      </c>
      <c r="L35" s="276">
        <f t="shared" si="2"/>
        <v>2958.1373749988029</v>
      </c>
      <c r="M35" s="276">
        <f t="shared" si="2"/>
        <v>2329.9696057087785</v>
      </c>
      <c r="N35" s="276">
        <f t="shared" si="2"/>
        <v>2580.6501861863458</v>
      </c>
      <c r="O35" s="276">
        <f t="shared" si="2"/>
        <v>3487.9443420361699</v>
      </c>
      <c r="P35" s="276">
        <f t="shared" si="2"/>
        <v>3211.713136023639</v>
      </c>
      <c r="Q35" s="276">
        <f t="shared" si="2"/>
        <v>2759.7152739458065</v>
      </c>
      <c r="R35" s="276">
        <f t="shared" si="2"/>
        <v>3588.6139013082088</v>
      </c>
      <c r="S35" s="276">
        <f t="shared" si="2"/>
        <v>446.24268959648487</v>
      </c>
      <c r="T35" s="276">
        <f t="shared" si="2"/>
        <v>973.23371178656566</v>
      </c>
      <c r="U35" s="276">
        <f t="shared" ref="U35" si="3">U33/100*U34</f>
        <v>2191.2031602237271</v>
      </c>
      <c r="V35" s="276">
        <f t="shared" ref="V35" si="4">V33/100*V34</f>
        <v>2108.8312323126011</v>
      </c>
      <c r="W35" s="276">
        <f t="shared" ref="W35" si="5">W33/100*W34</f>
        <v>2283.0512442915815</v>
      </c>
      <c r="X35" s="276">
        <f t="shared" ref="X35" si="6">X33/100*X34</f>
        <v>2958.1373749988029</v>
      </c>
      <c r="Y35" s="276">
        <f t="shared" ref="Y35" si="7">Y33/100*Y34</f>
        <v>2329.9696057087785</v>
      </c>
      <c r="Z35" s="276">
        <f t="shared" ref="Z35" si="8">Z33/100*Z34</f>
        <v>2580.6501861863458</v>
      </c>
      <c r="AA35" s="276">
        <f t="shared" ref="AA35" si="9">AA33/100*AA34</f>
        <v>3487.9443420361699</v>
      </c>
      <c r="AB35" s="276">
        <f t="shared" ref="AB35" si="10">AB33/100*AB34</f>
        <v>3211.713136023639</v>
      </c>
      <c r="AC35" s="276">
        <f t="shared" ref="AC35" si="11">AC33/100*AC34</f>
        <v>2759.7152739458065</v>
      </c>
      <c r="AD35" s="276">
        <f t="shared" ref="AD35" si="12">AD33/100*AD34</f>
        <v>3588.6139013082088</v>
      </c>
      <c r="AE35" s="276">
        <f t="shared" ref="AE35" si="13">AE33/100*AE34</f>
        <v>446.24268959648487</v>
      </c>
      <c r="AF35" s="276">
        <f t="shared" ref="AF35" si="14">AF33/100*AF34</f>
        <v>973.23371178656566</v>
      </c>
      <c r="AG35" s="276">
        <f t="shared" ref="AG35" si="15">AG33/100*AG34</f>
        <v>2191.2031602237271</v>
      </c>
      <c r="AH35" s="276">
        <f t="shared" ref="AH35" si="16">AH33/100*AH34</f>
        <v>2108.8312323126011</v>
      </c>
      <c r="AI35" s="276">
        <f t="shared" ref="AI35" si="17">AI33/100*AI34</f>
        <v>2283.0512442915815</v>
      </c>
      <c r="AJ35" s="276">
        <f t="shared" ref="AJ35" si="18">AJ33/100*AJ34</f>
        <v>2958.1373749988029</v>
      </c>
      <c r="AK35" s="276">
        <f t="shared" ref="AK35" si="19">AK33/100*AK34</f>
        <v>2329.9696057087785</v>
      </c>
      <c r="AL35" s="276">
        <f t="shared" ref="AL35" si="20">AL33/100*AL34</f>
        <v>2580.6501861863458</v>
      </c>
      <c r="AM35" s="276">
        <f t="shared" ref="AM35" si="21">AM33/100*AM34</f>
        <v>3487.9443420361699</v>
      </c>
      <c r="AN35" s="276">
        <f t="shared" ref="AN35" si="22">AN33/100*AN34</f>
        <v>3211.713136023639</v>
      </c>
      <c r="AO35" s="276">
        <f t="shared" ref="AO35" si="23">AO33/100*AO34</f>
        <v>2759.7152739458065</v>
      </c>
      <c r="AP35" s="276">
        <f t="shared" ref="AP35" si="24">AP33/100*AP34</f>
        <v>3588.6139013082088</v>
      </c>
      <c r="AQ35" s="276">
        <f t="shared" ref="AQ35" si="25">AQ33/100*AQ34</f>
        <v>446.24268959648487</v>
      </c>
      <c r="AR35" s="276">
        <f t="shared" ref="AR35" si="26">AR33/100*AR34</f>
        <v>973.23371178656566</v>
      </c>
      <c r="AS35" s="276">
        <f t="shared" ref="AS35" si="27">AS33/100*AS34</f>
        <v>2191.2031602237271</v>
      </c>
      <c r="AT35" s="276">
        <f t="shared" ref="AT35" si="28">AT33/100*AT34</f>
        <v>2108.8312323126011</v>
      </c>
      <c r="AU35" s="276">
        <f t="shared" ref="AU35" si="29">AU33/100*AU34</f>
        <v>2283.0512442915815</v>
      </c>
      <c r="AV35" s="276">
        <f t="shared" ref="AV35" si="30">AV33/100*AV34</f>
        <v>2958.1373749988029</v>
      </c>
      <c r="AW35" s="276">
        <f t="shared" ref="AW35" si="31">AW33/100*AW34</f>
        <v>2329.9696057087785</v>
      </c>
      <c r="AX35" s="276">
        <f t="shared" ref="AX35" si="32">AX33/100*AX34</f>
        <v>2580.6501861863458</v>
      </c>
      <c r="AY35" s="276">
        <f t="shared" ref="AY35" si="33">AY33/100*AY34</f>
        <v>3487.9443420361699</v>
      </c>
      <c r="AZ35" s="276">
        <f t="shared" ref="AZ35" si="34">AZ33/100*AZ34</f>
        <v>3211.713136023639</v>
      </c>
      <c r="BA35" s="276">
        <f t="shared" ref="BA35" si="35">BA33/100*BA34</f>
        <v>2759.7152739458065</v>
      </c>
      <c r="BB35" s="276">
        <f t="shared" ref="BB35" si="36">BB33/100*BB34</f>
        <v>3588.6139013082088</v>
      </c>
      <c r="BC35" s="276">
        <f t="shared" ref="BC35" si="37">BC33/100*BC34</f>
        <v>446.24268959648487</v>
      </c>
      <c r="BD35" s="276">
        <f t="shared" ref="BD35" si="38">BD33/100*BD34</f>
        <v>973.23371178656566</v>
      </c>
      <c r="BE35" s="276">
        <f t="shared" ref="BE35" si="39">BE33/100*BE34</f>
        <v>2191.2031602237271</v>
      </c>
      <c r="BF35" s="276">
        <f t="shared" ref="BF35" si="40">BF33/100*BF34</f>
        <v>2108.8312323126011</v>
      </c>
      <c r="BG35" s="276">
        <f t="shared" ref="BG35" si="41">BG33/100*BG34</f>
        <v>2283.0512442915815</v>
      </c>
      <c r="BH35" s="276">
        <f t="shared" ref="BH35" si="42">BH33/100*BH34</f>
        <v>2958.1373749988029</v>
      </c>
      <c r="BI35" s="276">
        <f t="shared" ref="BI35" si="43">BI33/100*BI34</f>
        <v>2329.9696057087785</v>
      </c>
      <c r="BJ35" s="276">
        <f t="shared" ref="BJ35" si="44">BJ33/100*BJ34</f>
        <v>2580.6501861863458</v>
      </c>
      <c r="BK35" s="276">
        <f t="shared" ref="BK35" si="45">BK33/100*BK34</f>
        <v>3487.9443420361699</v>
      </c>
      <c r="BL35" s="276">
        <f t="shared" ref="BL35" si="46">BL33/100*BL34</f>
        <v>3211.713136023639</v>
      </c>
      <c r="BM35" s="276">
        <f t="shared" ref="BM35" si="47">BM33/100*BM34</f>
        <v>2759.7152739458065</v>
      </c>
      <c r="BN35" s="276">
        <f t="shared" ref="BN35" si="48">BN33/100*BN34</f>
        <v>3588.6139013082088</v>
      </c>
    </row>
    <row r="39" spans="1:66">
      <c r="H39" s="285"/>
    </row>
    <row r="40" spans="1:66">
      <c r="A40" t="s">
        <v>298</v>
      </c>
    </row>
    <row r="41" spans="1:66">
      <c r="A41" s="286" t="s">
        <v>299</v>
      </c>
      <c r="B41" s="287" t="s">
        <v>300</v>
      </c>
      <c r="C41" s="287" t="s">
        <v>301</v>
      </c>
      <c r="D41" s="287" t="s">
        <v>302</v>
      </c>
      <c r="E41" s="287" t="s">
        <v>303</v>
      </c>
      <c r="F41" s="287" t="s">
        <v>304</v>
      </c>
      <c r="G41" s="287" t="s">
        <v>305</v>
      </c>
      <c r="H41" s="287" t="s">
        <v>306</v>
      </c>
      <c r="I41" s="287" t="s">
        <v>307</v>
      </c>
      <c r="J41" s="287" t="s">
        <v>308</v>
      </c>
      <c r="K41" s="287" t="s">
        <v>309</v>
      </c>
      <c r="L41" s="287" t="s">
        <v>310</v>
      </c>
      <c r="M41" s="287" t="s">
        <v>311</v>
      </c>
      <c r="N41" s="287" t="s">
        <v>312</v>
      </c>
    </row>
    <row r="42" spans="1:66">
      <c r="A42" s="288" t="s">
        <v>313</v>
      </c>
      <c r="B42" s="289">
        <v>1</v>
      </c>
      <c r="C42" s="289">
        <v>2</v>
      </c>
      <c r="D42" s="289">
        <v>3</v>
      </c>
      <c r="E42" s="289">
        <v>3</v>
      </c>
      <c r="F42" s="289">
        <v>3</v>
      </c>
      <c r="G42" s="289">
        <v>4</v>
      </c>
      <c r="H42" s="289">
        <v>3</v>
      </c>
      <c r="I42" s="289">
        <v>3</v>
      </c>
      <c r="J42" s="289">
        <v>4</v>
      </c>
      <c r="K42" s="289">
        <v>5</v>
      </c>
      <c r="L42" s="289">
        <v>4</v>
      </c>
      <c r="M42" s="289">
        <v>5</v>
      </c>
      <c r="N42" s="290">
        <v>40</v>
      </c>
    </row>
    <row r="43" spans="1:66">
      <c r="A43" s="288" t="s">
        <v>314</v>
      </c>
      <c r="B43" s="289">
        <v>1</v>
      </c>
      <c r="C43" s="289">
        <v>1</v>
      </c>
      <c r="D43" s="289">
        <v>2</v>
      </c>
      <c r="E43" s="289">
        <v>2</v>
      </c>
      <c r="F43" s="289">
        <v>2</v>
      </c>
      <c r="G43" s="289">
        <v>3</v>
      </c>
      <c r="H43" s="289">
        <v>2</v>
      </c>
      <c r="I43" s="289">
        <v>3</v>
      </c>
      <c r="J43" s="289">
        <v>3</v>
      </c>
      <c r="K43" s="289">
        <v>3</v>
      </c>
      <c r="L43" s="289">
        <v>4</v>
      </c>
      <c r="M43" s="289">
        <v>4</v>
      </c>
      <c r="N43" s="290">
        <v>30</v>
      </c>
    </row>
    <row r="44" spans="1:66">
      <c r="A44" s="288" t="s">
        <v>315</v>
      </c>
      <c r="B44" s="289">
        <v>2</v>
      </c>
      <c r="C44" s="289">
        <v>3</v>
      </c>
      <c r="D44" s="289">
        <v>4</v>
      </c>
      <c r="E44" s="289">
        <v>4</v>
      </c>
      <c r="F44" s="289">
        <v>4</v>
      </c>
      <c r="G44" s="289">
        <v>5</v>
      </c>
      <c r="H44" s="289">
        <v>4</v>
      </c>
      <c r="I44" s="289">
        <v>5</v>
      </c>
      <c r="J44" s="289">
        <v>6</v>
      </c>
      <c r="K44" s="289">
        <v>6</v>
      </c>
      <c r="L44" s="289">
        <v>6</v>
      </c>
      <c r="M44" s="289">
        <v>7</v>
      </c>
      <c r="N44" s="290">
        <v>56</v>
      </c>
    </row>
    <row r="45" spans="1:66">
      <c r="A45" s="288" t="s">
        <v>316</v>
      </c>
      <c r="B45" s="289">
        <v>1</v>
      </c>
      <c r="C45" s="289">
        <v>2</v>
      </c>
      <c r="D45" s="289">
        <v>3</v>
      </c>
      <c r="E45" s="289">
        <v>3</v>
      </c>
      <c r="F45" s="289">
        <v>4</v>
      </c>
      <c r="G45" s="289">
        <v>4</v>
      </c>
      <c r="H45" s="289">
        <v>3</v>
      </c>
      <c r="I45" s="289">
        <v>4</v>
      </c>
      <c r="J45" s="289">
        <v>5</v>
      </c>
      <c r="K45" s="289">
        <v>5</v>
      </c>
      <c r="L45" s="289">
        <v>5</v>
      </c>
      <c r="M45" s="289">
        <v>6</v>
      </c>
      <c r="N45" s="290">
        <v>45</v>
      </c>
    </row>
    <row r="46" spans="1:66">
      <c r="A46" s="288" t="s">
        <v>317</v>
      </c>
      <c r="B46" s="289">
        <v>1</v>
      </c>
      <c r="C46" s="289">
        <v>3</v>
      </c>
      <c r="D46" s="289">
        <v>4</v>
      </c>
      <c r="E46" s="289">
        <v>4</v>
      </c>
      <c r="F46" s="289">
        <v>4</v>
      </c>
      <c r="G46" s="289">
        <v>5</v>
      </c>
      <c r="H46" s="289">
        <v>4</v>
      </c>
      <c r="I46" s="289">
        <v>4</v>
      </c>
      <c r="J46" s="289">
        <v>6</v>
      </c>
      <c r="K46" s="289">
        <v>5</v>
      </c>
      <c r="L46" s="289">
        <v>6</v>
      </c>
      <c r="M46" s="289">
        <v>7</v>
      </c>
      <c r="N46" s="290">
        <v>53</v>
      </c>
    </row>
    <row r="47" spans="1:66">
      <c r="A47" s="288" t="s">
        <v>318</v>
      </c>
      <c r="B47" s="289">
        <v>2</v>
      </c>
      <c r="C47" s="289">
        <v>4</v>
      </c>
      <c r="D47" s="289">
        <v>6</v>
      </c>
      <c r="E47" s="289">
        <v>5</v>
      </c>
      <c r="F47" s="289">
        <v>5</v>
      </c>
      <c r="G47" s="289">
        <v>7</v>
      </c>
      <c r="H47" s="289">
        <v>6</v>
      </c>
      <c r="I47" s="289">
        <v>7</v>
      </c>
      <c r="J47" s="289">
        <v>9</v>
      </c>
      <c r="K47" s="289">
        <v>9</v>
      </c>
      <c r="L47" s="289">
        <v>8</v>
      </c>
      <c r="M47" s="289">
        <v>12</v>
      </c>
      <c r="N47" s="290">
        <v>80</v>
      </c>
    </row>
    <row r="48" spans="1:66">
      <c r="A48" s="288" t="s">
        <v>319</v>
      </c>
      <c r="B48" s="289">
        <v>1</v>
      </c>
      <c r="C48" s="289">
        <v>2</v>
      </c>
      <c r="D48" s="289">
        <v>3</v>
      </c>
      <c r="E48" s="289">
        <v>3</v>
      </c>
      <c r="F48" s="289">
        <v>3</v>
      </c>
      <c r="G48" s="289">
        <v>3</v>
      </c>
      <c r="H48" s="289">
        <v>3</v>
      </c>
      <c r="I48" s="289">
        <v>3</v>
      </c>
      <c r="J48" s="289">
        <v>4</v>
      </c>
      <c r="K48" s="289">
        <v>4</v>
      </c>
      <c r="L48" s="289">
        <v>4</v>
      </c>
      <c r="M48" s="289">
        <v>7</v>
      </c>
      <c r="N48" s="290">
        <v>40</v>
      </c>
    </row>
    <row r="49" spans="1:14">
      <c r="A49" s="288" t="s">
        <v>320</v>
      </c>
      <c r="B49" s="289">
        <v>1</v>
      </c>
      <c r="C49" s="289">
        <v>3</v>
      </c>
      <c r="D49" s="289">
        <v>4</v>
      </c>
      <c r="E49" s="289">
        <v>4</v>
      </c>
      <c r="F49" s="289">
        <v>4</v>
      </c>
      <c r="G49" s="289">
        <v>4</v>
      </c>
      <c r="H49" s="289">
        <v>4</v>
      </c>
      <c r="I49" s="289">
        <v>4</v>
      </c>
      <c r="J49" s="289">
        <v>6</v>
      </c>
      <c r="K49" s="289">
        <v>6</v>
      </c>
      <c r="L49" s="289">
        <v>6</v>
      </c>
      <c r="M49" s="289">
        <v>6</v>
      </c>
      <c r="N49" s="290">
        <v>52</v>
      </c>
    </row>
    <row r="50" spans="1:14">
      <c r="A50" s="288" t="s">
        <v>321</v>
      </c>
      <c r="B50" s="289">
        <v>1</v>
      </c>
      <c r="C50" s="289">
        <v>2</v>
      </c>
      <c r="D50" s="289">
        <v>4</v>
      </c>
      <c r="E50" s="289">
        <v>4</v>
      </c>
      <c r="F50" s="289">
        <v>4</v>
      </c>
      <c r="G50" s="289">
        <v>4</v>
      </c>
      <c r="H50" s="289">
        <v>4</v>
      </c>
      <c r="I50" s="289">
        <v>4</v>
      </c>
      <c r="J50" s="289">
        <v>6</v>
      </c>
      <c r="K50" s="289">
        <v>6</v>
      </c>
      <c r="L50" s="289">
        <v>6</v>
      </c>
      <c r="M50" s="289">
        <v>6</v>
      </c>
      <c r="N50" s="290">
        <v>51</v>
      </c>
    </row>
    <row r="51" spans="1:14">
      <c r="A51" s="288" t="s">
        <v>322</v>
      </c>
      <c r="B51" s="289">
        <v>1</v>
      </c>
      <c r="C51" s="289">
        <v>3</v>
      </c>
      <c r="D51" s="289">
        <v>4</v>
      </c>
      <c r="E51" s="289">
        <v>4</v>
      </c>
      <c r="F51" s="289">
        <v>4</v>
      </c>
      <c r="G51" s="289">
        <v>4</v>
      </c>
      <c r="H51" s="289">
        <v>4</v>
      </c>
      <c r="I51" s="289">
        <v>4</v>
      </c>
      <c r="J51" s="289">
        <v>6</v>
      </c>
      <c r="K51" s="289">
        <v>6</v>
      </c>
      <c r="L51" s="289">
        <v>6</v>
      </c>
      <c r="M51" s="289">
        <v>6</v>
      </c>
      <c r="N51" s="290">
        <v>52</v>
      </c>
    </row>
    <row r="52" spans="1:14">
      <c r="A52" s="288" t="s">
        <v>323</v>
      </c>
      <c r="B52" s="289">
        <v>1</v>
      </c>
      <c r="C52" s="289">
        <v>1</v>
      </c>
      <c r="D52" s="289">
        <v>2</v>
      </c>
      <c r="E52" s="289">
        <v>2</v>
      </c>
      <c r="F52" s="289">
        <v>2</v>
      </c>
      <c r="G52" s="289">
        <v>3</v>
      </c>
      <c r="H52" s="289">
        <v>2</v>
      </c>
      <c r="I52" s="289">
        <v>3</v>
      </c>
      <c r="J52" s="289">
        <v>3</v>
      </c>
      <c r="K52" s="289">
        <v>3</v>
      </c>
      <c r="L52" s="289">
        <v>4</v>
      </c>
      <c r="M52" s="289">
        <v>4</v>
      </c>
      <c r="N52" s="290">
        <v>30</v>
      </c>
    </row>
    <row r="53" spans="1:14">
      <c r="A53" s="288" t="s">
        <v>324</v>
      </c>
      <c r="B53" s="289">
        <v>1</v>
      </c>
      <c r="C53" s="289">
        <v>3</v>
      </c>
      <c r="D53" s="289">
        <v>4</v>
      </c>
      <c r="E53" s="289">
        <v>4</v>
      </c>
      <c r="F53" s="289">
        <v>4</v>
      </c>
      <c r="G53" s="289">
        <v>5</v>
      </c>
      <c r="H53" s="289">
        <v>5</v>
      </c>
      <c r="I53" s="289">
        <v>5</v>
      </c>
      <c r="J53" s="289">
        <v>7</v>
      </c>
      <c r="K53" s="289">
        <v>7</v>
      </c>
      <c r="L53" s="289">
        <v>7</v>
      </c>
      <c r="M53" s="289">
        <v>9</v>
      </c>
      <c r="N53" s="290">
        <v>61</v>
      </c>
    </row>
    <row r="54" spans="1:14">
      <c r="A54" s="288" t="s">
        <v>325</v>
      </c>
      <c r="B54" s="289">
        <v>1</v>
      </c>
      <c r="C54" s="289" t="s">
        <v>326</v>
      </c>
      <c r="D54" s="289">
        <v>1</v>
      </c>
      <c r="E54" s="289">
        <v>1</v>
      </c>
      <c r="F54" s="289">
        <v>1</v>
      </c>
      <c r="G54" s="289">
        <v>1</v>
      </c>
      <c r="H54" s="289">
        <v>1</v>
      </c>
      <c r="I54" s="289">
        <v>2</v>
      </c>
      <c r="J54" s="289">
        <v>2</v>
      </c>
      <c r="K54" s="289">
        <v>2</v>
      </c>
      <c r="L54" s="289">
        <v>1</v>
      </c>
      <c r="M54" s="289">
        <v>2</v>
      </c>
      <c r="N54" s="290">
        <v>15</v>
      </c>
    </row>
    <row r="55" spans="1:14">
      <c r="A55" s="288" t="s">
        <v>327</v>
      </c>
      <c r="B55" s="289">
        <v>2</v>
      </c>
      <c r="C55" s="289">
        <v>3</v>
      </c>
      <c r="D55" s="289">
        <v>5</v>
      </c>
      <c r="E55" s="289">
        <v>5</v>
      </c>
      <c r="F55" s="289">
        <v>5</v>
      </c>
      <c r="G55" s="289">
        <v>6</v>
      </c>
      <c r="H55" s="289">
        <v>5</v>
      </c>
      <c r="I55" s="289">
        <v>5</v>
      </c>
      <c r="J55" s="289">
        <v>7</v>
      </c>
      <c r="K55" s="289">
        <v>7</v>
      </c>
      <c r="L55" s="289">
        <v>7</v>
      </c>
      <c r="M55" s="289">
        <v>8</v>
      </c>
      <c r="N55" s="290">
        <v>65</v>
      </c>
    </row>
    <row r="56" spans="1:14">
      <c r="A56" s="288" t="s">
        <v>328</v>
      </c>
      <c r="B56" s="289">
        <v>1</v>
      </c>
      <c r="C56" s="289">
        <v>2</v>
      </c>
      <c r="D56" s="289">
        <v>4</v>
      </c>
      <c r="E56" s="289">
        <v>4</v>
      </c>
      <c r="F56" s="289">
        <v>4</v>
      </c>
      <c r="G56" s="289">
        <v>4</v>
      </c>
      <c r="H56" s="289">
        <v>3</v>
      </c>
      <c r="I56" s="289">
        <v>5</v>
      </c>
      <c r="J56" s="289">
        <v>5</v>
      </c>
      <c r="K56" s="289">
        <v>5</v>
      </c>
      <c r="L56" s="289">
        <v>5</v>
      </c>
      <c r="M56" s="289">
        <v>7</v>
      </c>
      <c r="N56" s="290">
        <v>49</v>
      </c>
    </row>
    <row r="57" spans="1:14">
      <c r="A57" s="288" t="s">
        <v>329</v>
      </c>
      <c r="B57" s="289">
        <v>1</v>
      </c>
      <c r="C57" s="289">
        <v>3</v>
      </c>
      <c r="D57" s="289">
        <v>3</v>
      </c>
      <c r="E57" s="289">
        <v>4</v>
      </c>
      <c r="F57" s="289">
        <v>3</v>
      </c>
      <c r="G57" s="289">
        <v>4</v>
      </c>
      <c r="H57" s="289">
        <v>3</v>
      </c>
      <c r="I57" s="289">
        <v>4</v>
      </c>
      <c r="J57" s="289">
        <v>5</v>
      </c>
      <c r="K57" s="289">
        <v>5</v>
      </c>
      <c r="L57" s="289">
        <v>5</v>
      </c>
      <c r="M57" s="289">
        <v>7</v>
      </c>
      <c r="N57" s="290">
        <v>47</v>
      </c>
    </row>
    <row r="58" spans="1:14">
      <c r="A58" s="288" t="s">
        <v>330</v>
      </c>
      <c r="B58" s="289">
        <v>1</v>
      </c>
      <c r="C58" s="289">
        <v>3</v>
      </c>
      <c r="D58" s="289">
        <v>4</v>
      </c>
      <c r="E58" s="289">
        <v>4</v>
      </c>
      <c r="F58" s="289">
        <v>4</v>
      </c>
      <c r="G58" s="289">
        <v>4</v>
      </c>
      <c r="H58" s="289">
        <v>4</v>
      </c>
      <c r="I58" s="289">
        <v>4</v>
      </c>
      <c r="J58" s="289">
        <v>5</v>
      </c>
      <c r="K58" s="289">
        <v>5</v>
      </c>
      <c r="L58" s="289">
        <v>5</v>
      </c>
      <c r="M58" s="289">
        <v>6</v>
      </c>
      <c r="N58" s="290">
        <v>49</v>
      </c>
    </row>
    <row r="59" spans="1:14">
      <c r="A59" s="288" t="s">
        <v>331</v>
      </c>
      <c r="B59" s="289">
        <v>1</v>
      </c>
      <c r="C59" s="289">
        <v>2</v>
      </c>
      <c r="D59" s="289">
        <v>3</v>
      </c>
      <c r="E59" s="289">
        <v>3</v>
      </c>
      <c r="F59" s="289">
        <v>3</v>
      </c>
      <c r="G59" s="289">
        <v>3</v>
      </c>
      <c r="H59" s="289">
        <v>3</v>
      </c>
      <c r="I59" s="289">
        <v>4</v>
      </c>
      <c r="J59" s="289">
        <v>5</v>
      </c>
      <c r="K59" s="289">
        <v>5</v>
      </c>
      <c r="L59" s="289">
        <v>5</v>
      </c>
      <c r="M59" s="289">
        <v>5</v>
      </c>
      <c r="N59" s="290">
        <v>42</v>
      </c>
    </row>
    <row r="60" spans="1:14">
      <c r="A60" s="288" t="s">
        <v>332</v>
      </c>
      <c r="B60" s="289">
        <v>1</v>
      </c>
      <c r="C60" s="289">
        <v>2</v>
      </c>
      <c r="D60" s="289">
        <v>3</v>
      </c>
      <c r="E60" s="289">
        <v>3</v>
      </c>
      <c r="F60" s="289">
        <v>3</v>
      </c>
      <c r="G60" s="289">
        <v>4</v>
      </c>
      <c r="H60" s="289">
        <v>3</v>
      </c>
      <c r="I60" s="289">
        <v>4</v>
      </c>
      <c r="J60" s="289">
        <v>5</v>
      </c>
      <c r="K60" s="289">
        <v>5</v>
      </c>
      <c r="L60" s="289">
        <v>5</v>
      </c>
      <c r="M60" s="289">
        <v>5</v>
      </c>
      <c r="N60" s="290">
        <v>43</v>
      </c>
    </row>
    <row r="61" spans="1:14">
      <c r="A61" s="291" t="s">
        <v>293</v>
      </c>
      <c r="B61" s="292">
        <v>22</v>
      </c>
      <c r="C61" s="292">
        <v>44</v>
      </c>
      <c r="D61" s="292">
        <v>66</v>
      </c>
      <c r="E61" s="292">
        <v>66</v>
      </c>
      <c r="F61" s="292">
        <v>66</v>
      </c>
      <c r="G61" s="292">
        <v>77</v>
      </c>
      <c r="H61" s="292">
        <v>66</v>
      </c>
      <c r="I61" s="292">
        <v>77</v>
      </c>
      <c r="J61" s="292">
        <v>99</v>
      </c>
      <c r="K61" s="292">
        <v>99</v>
      </c>
      <c r="L61" s="292">
        <v>99</v>
      </c>
      <c r="M61" s="292">
        <v>119</v>
      </c>
      <c r="N61" s="292">
        <v>900</v>
      </c>
    </row>
  </sheetData>
  <phoneticPr fontId="103" type="noConversion"/>
  <pageMargins left="0.7" right="0.7" top="0.75" bottom="0.75" header="0.3" footer="0.3"/>
  <customProperties>
    <customPr name="_pios_id" r:id="rId1"/>
  </customPropertie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theme="3" tint="0.59999389629810485"/>
  </sheetPr>
  <dimension ref="A1:H24"/>
  <sheetViews>
    <sheetView showGridLines="0" topLeftCell="G65" zoomScaleNormal="100" workbookViewId="0">
      <selection activeCell="I78" sqref="I78"/>
    </sheetView>
  </sheetViews>
  <sheetFormatPr baseColWidth="10" defaultColWidth="9.1640625" defaultRowHeight="13"/>
  <cols>
    <col min="1" max="1" width="28.5" style="2" customWidth="1"/>
    <col min="2" max="3" width="20.5" style="2" customWidth="1"/>
    <col min="4" max="4" width="20.83203125" style="2" customWidth="1"/>
    <col min="5" max="5" width="25" style="2" customWidth="1"/>
    <col min="6" max="6" width="35.5" style="2" customWidth="1"/>
    <col min="7" max="7" width="17.5" style="2" customWidth="1"/>
    <col min="8" max="8" width="38.5" style="2" customWidth="1"/>
    <col min="9" max="16384" width="9.1640625" style="2"/>
  </cols>
  <sheetData>
    <row r="1" spans="1:8">
      <c r="G1" s="1" t="s">
        <v>86</v>
      </c>
      <c r="H1" s="1" t="s">
        <v>86</v>
      </c>
    </row>
    <row r="2" spans="1:8" s="1" customFormat="1" ht="22">
      <c r="A2" s="315" t="s">
        <v>17</v>
      </c>
      <c r="B2" s="7" t="s">
        <v>79</v>
      </c>
      <c r="C2" s="7" t="s">
        <v>79</v>
      </c>
      <c r="D2" s="317" t="s">
        <v>82</v>
      </c>
      <c r="E2" s="317" t="s">
        <v>83</v>
      </c>
      <c r="F2" s="313" t="s">
        <v>84</v>
      </c>
      <c r="G2" s="313" t="s">
        <v>18</v>
      </c>
      <c r="H2" s="313" t="s">
        <v>19</v>
      </c>
    </row>
    <row r="3" spans="1:8" ht="22">
      <c r="A3" s="316"/>
      <c r="B3" s="8" t="s">
        <v>80</v>
      </c>
      <c r="C3" s="8" t="s">
        <v>81</v>
      </c>
      <c r="D3" s="318"/>
      <c r="E3" s="318"/>
      <c r="F3" s="314"/>
      <c r="G3" s="314"/>
      <c r="H3" s="314"/>
    </row>
    <row r="4" spans="1:8" ht="23">
      <c r="A4" s="9"/>
      <c r="B4" s="10"/>
      <c r="C4" s="10"/>
      <c r="D4" s="11" t="s">
        <v>85</v>
      </c>
      <c r="E4" s="10"/>
      <c r="F4" s="12"/>
      <c r="G4" s="12"/>
      <c r="H4" s="12"/>
    </row>
    <row r="5" spans="1:8" ht="23">
      <c r="A5" s="13"/>
      <c r="B5" s="14"/>
      <c r="C5" s="14"/>
      <c r="D5" s="15" t="s">
        <v>85</v>
      </c>
      <c r="E5" s="14"/>
      <c r="F5" s="16"/>
      <c r="G5" s="16"/>
      <c r="H5" s="16"/>
    </row>
    <row r="6" spans="1:8" ht="23">
      <c r="A6" s="13"/>
      <c r="B6" s="14"/>
      <c r="C6" s="14"/>
      <c r="D6" s="15" t="s">
        <v>85</v>
      </c>
      <c r="E6" s="14"/>
      <c r="F6" s="16"/>
      <c r="G6" s="16"/>
      <c r="H6" s="16"/>
    </row>
    <row r="7" spans="1:8" ht="23">
      <c r="A7" s="13"/>
      <c r="B7" s="14"/>
      <c r="C7" s="14"/>
      <c r="D7" s="15" t="s">
        <v>85</v>
      </c>
      <c r="E7" s="14"/>
      <c r="F7" s="16"/>
      <c r="G7" s="16"/>
      <c r="H7" s="16"/>
    </row>
    <row r="8" spans="1:8" ht="23">
      <c r="A8" s="13"/>
      <c r="B8" s="14"/>
      <c r="C8" s="14"/>
      <c r="D8" s="15" t="s">
        <v>85</v>
      </c>
      <c r="E8" s="14"/>
      <c r="F8" s="16"/>
      <c r="G8" s="16"/>
      <c r="H8" s="16"/>
    </row>
    <row r="9" spans="1:8" ht="23">
      <c r="A9" s="13"/>
      <c r="B9" s="14"/>
      <c r="C9" s="14"/>
      <c r="D9" s="15" t="s">
        <v>85</v>
      </c>
      <c r="E9" s="14"/>
      <c r="F9" s="16"/>
      <c r="G9" s="16"/>
      <c r="H9" s="16"/>
    </row>
    <row r="10" spans="1:8" ht="23">
      <c r="A10" s="13"/>
      <c r="B10" s="14"/>
      <c r="C10" s="14"/>
      <c r="D10" s="15" t="s">
        <v>85</v>
      </c>
      <c r="E10" s="14"/>
      <c r="F10" s="16"/>
      <c r="G10" s="16"/>
      <c r="H10" s="16"/>
    </row>
    <row r="11" spans="1:8" ht="23">
      <c r="A11" s="17"/>
      <c r="B11" s="18"/>
      <c r="C11" s="18"/>
      <c r="D11" s="19" t="s">
        <v>85</v>
      </c>
      <c r="E11" s="18"/>
      <c r="F11" s="20"/>
      <c r="G11" s="20"/>
      <c r="H11" s="20"/>
    </row>
    <row r="15" spans="1:8">
      <c r="A15" s="3" t="s">
        <v>40</v>
      </c>
    </row>
    <row r="16" spans="1:8">
      <c r="A16" s="4" t="s">
        <v>42</v>
      </c>
    </row>
    <row r="17" spans="1:1">
      <c r="A17" s="4" t="s">
        <v>43</v>
      </c>
    </row>
    <row r="18" spans="1:1">
      <c r="A18" s="4" t="s">
        <v>44</v>
      </c>
    </row>
    <row r="19" spans="1:1">
      <c r="A19" s="3" t="s">
        <v>41</v>
      </c>
    </row>
    <row r="20" spans="1:1">
      <c r="A20" s="4" t="s">
        <v>45</v>
      </c>
    </row>
    <row r="21" spans="1:1">
      <c r="A21" s="4" t="s">
        <v>46</v>
      </c>
    </row>
    <row r="22" spans="1:1">
      <c r="A22" s="4" t="s">
        <v>47</v>
      </c>
    </row>
    <row r="23" spans="1:1">
      <c r="A23" s="4" t="s">
        <v>48</v>
      </c>
    </row>
    <row r="24" spans="1:1">
      <c r="A24" s="4" t="s">
        <v>49</v>
      </c>
    </row>
  </sheetData>
  <mergeCells count="6">
    <mergeCell ref="H2:H3"/>
    <mergeCell ref="A2:A3"/>
    <mergeCell ref="D2:D3"/>
    <mergeCell ref="E2:E3"/>
    <mergeCell ref="F2:F3"/>
    <mergeCell ref="G2:G3"/>
  </mergeCells>
  <pageMargins left="0.7" right="0.7" top="0.75" bottom="0.75" header="0.3" footer="0.3"/>
  <customProperties>
    <customPr name="_pios_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3"/>
  <dimension ref="A1:F27"/>
  <sheetViews>
    <sheetView topLeftCell="B1" workbookViewId="0">
      <selection sqref="A1:A1048576"/>
    </sheetView>
  </sheetViews>
  <sheetFormatPr baseColWidth="10" defaultColWidth="8.83203125" defaultRowHeight="15"/>
  <cols>
    <col min="1" max="1" width="35.1640625" style="30" bestFit="1" customWidth="1"/>
    <col min="2" max="2" width="48.5" style="30" bestFit="1" customWidth="1"/>
    <col min="3" max="3" width="21.83203125" style="31" bestFit="1" customWidth="1"/>
    <col min="4" max="4" width="49.83203125" style="31" bestFit="1" customWidth="1"/>
    <col min="5" max="5" width="43" customWidth="1"/>
    <col min="6" max="16384" width="8.83203125" style="30"/>
  </cols>
  <sheetData>
    <row r="1" spans="1:6" ht="7" customHeight="1"/>
    <row r="2" spans="1:6" ht="13">
      <c r="A2" s="32" t="s">
        <v>127</v>
      </c>
      <c r="B2" s="34" t="s">
        <v>112</v>
      </c>
      <c r="C2" s="34" t="s">
        <v>20</v>
      </c>
      <c r="D2" s="32" t="s">
        <v>128</v>
      </c>
      <c r="E2" s="227" t="s">
        <v>239</v>
      </c>
    </row>
    <row r="3" spans="1:6" ht="13">
      <c r="A3" s="33" t="s">
        <v>111</v>
      </c>
      <c r="B3" s="35" t="s">
        <v>118</v>
      </c>
      <c r="C3" s="38" t="s">
        <v>21</v>
      </c>
      <c r="D3" s="37" t="s">
        <v>126</v>
      </c>
      <c r="E3" s="231" t="s">
        <v>11</v>
      </c>
    </row>
    <row r="4" spans="1:6" ht="13">
      <c r="A4" s="33" t="s">
        <v>97</v>
      </c>
      <c r="B4" s="35" t="s">
        <v>113</v>
      </c>
      <c r="C4" s="38" t="s">
        <v>15</v>
      </c>
      <c r="D4" s="37" t="s">
        <v>113</v>
      </c>
      <c r="E4" s="231" t="s">
        <v>23</v>
      </c>
    </row>
    <row r="5" spans="1:6" ht="14">
      <c r="A5" s="33" t="s">
        <v>89</v>
      </c>
      <c r="B5" s="36" t="s">
        <v>11</v>
      </c>
      <c r="C5" s="38" t="s">
        <v>63</v>
      </c>
      <c r="D5" s="37" t="s">
        <v>11</v>
      </c>
      <c r="E5" s="231" t="s">
        <v>240</v>
      </c>
      <c r="F5" s="230" t="s">
        <v>241</v>
      </c>
    </row>
    <row r="6" spans="1:6">
      <c r="A6" s="33" t="s">
        <v>88</v>
      </c>
      <c r="B6" s="35" t="s">
        <v>14</v>
      </c>
      <c r="C6" s="38" t="s">
        <v>62</v>
      </c>
      <c r="D6" s="37" t="s">
        <v>14</v>
      </c>
    </row>
    <row r="7" spans="1:6">
      <c r="A7" s="33" t="s">
        <v>101</v>
      </c>
      <c r="B7" s="35" t="s">
        <v>117</v>
      </c>
      <c r="C7" s="30"/>
      <c r="D7" s="37" t="s">
        <v>147</v>
      </c>
    </row>
    <row r="8" spans="1:6" ht="13">
      <c r="A8" s="33" t="s">
        <v>107</v>
      </c>
      <c r="B8" s="35" t="s">
        <v>115</v>
      </c>
      <c r="D8" s="37" t="s">
        <v>117</v>
      </c>
      <c r="E8" s="35"/>
    </row>
    <row r="9" spans="1:6" ht="13">
      <c r="A9" s="33" t="s">
        <v>98</v>
      </c>
      <c r="B9" s="35" t="s">
        <v>12</v>
      </c>
      <c r="D9" s="37" t="s">
        <v>10</v>
      </c>
      <c r="E9" s="228"/>
    </row>
    <row r="10" spans="1:6" ht="13">
      <c r="A10" s="33" t="s">
        <v>110</v>
      </c>
      <c r="B10" s="35" t="s">
        <v>114</v>
      </c>
      <c r="D10" s="37" t="s">
        <v>12</v>
      </c>
      <c r="E10" s="229"/>
    </row>
    <row r="11" spans="1:6">
      <c r="A11" s="33" t="s">
        <v>108</v>
      </c>
      <c r="B11" s="35" t="s">
        <v>23</v>
      </c>
      <c r="D11" s="37" t="s">
        <v>123</v>
      </c>
    </row>
    <row r="12" spans="1:6">
      <c r="A12" s="33" t="s">
        <v>105</v>
      </c>
      <c r="B12" s="35" t="s">
        <v>116</v>
      </c>
      <c r="D12" s="37" t="s">
        <v>13</v>
      </c>
    </row>
    <row r="13" spans="1:6">
      <c r="A13" s="33" t="s">
        <v>99</v>
      </c>
      <c r="B13" s="35" t="s">
        <v>64</v>
      </c>
      <c r="D13" s="37" t="s">
        <v>124</v>
      </c>
    </row>
    <row r="14" spans="1:6">
      <c r="A14" s="33" t="s">
        <v>90</v>
      </c>
      <c r="B14" s="35" t="s">
        <v>24</v>
      </c>
      <c r="D14" s="37" t="s">
        <v>125</v>
      </c>
    </row>
    <row r="15" spans="1:6" ht="13">
      <c r="A15" s="33" t="s">
        <v>106</v>
      </c>
      <c r="B15" s="35" t="s">
        <v>25</v>
      </c>
      <c r="D15" s="37" t="s">
        <v>175</v>
      </c>
      <c r="E15" s="35"/>
    </row>
    <row r="16" spans="1:6">
      <c r="A16" s="33" t="s">
        <v>94</v>
      </c>
      <c r="D16" s="31" t="s">
        <v>122</v>
      </c>
    </row>
    <row r="17" spans="1:1">
      <c r="A17" s="33" t="s">
        <v>103</v>
      </c>
    </row>
    <row r="18" spans="1:1">
      <c r="A18" s="33" t="s">
        <v>100</v>
      </c>
    </row>
    <row r="19" spans="1:1">
      <c r="A19" s="33" t="s">
        <v>102</v>
      </c>
    </row>
    <row r="20" spans="1:1">
      <c r="A20" s="33" t="s">
        <v>96</v>
      </c>
    </row>
    <row r="21" spans="1:1">
      <c r="A21" s="33" t="s">
        <v>93</v>
      </c>
    </row>
    <row r="22" spans="1:1">
      <c r="A22" s="33" t="s">
        <v>91</v>
      </c>
    </row>
    <row r="23" spans="1:1">
      <c r="A23" s="33" t="s">
        <v>109</v>
      </c>
    </row>
    <row r="24" spans="1:1">
      <c r="A24" s="33" t="s">
        <v>95</v>
      </c>
    </row>
    <row r="25" spans="1:1">
      <c r="A25" s="30" t="s">
        <v>104</v>
      </c>
    </row>
    <row r="26" spans="1:1">
      <c r="A26" s="30" t="s">
        <v>92</v>
      </c>
    </row>
    <row r="27" spans="1:1">
      <c r="A27" s="30" t="s">
        <v>92</v>
      </c>
    </row>
  </sheetData>
  <autoFilter ref="A2:A28" xr:uid="{46E715EC-76F8-4212-855D-07E1429D3C65}">
    <sortState xmlns:xlrd2="http://schemas.microsoft.com/office/spreadsheetml/2017/richdata2" ref="A3:A28">
      <sortCondition ref="A2:A28"/>
    </sortState>
  </autoFilter>
  <sortState xmlns:xlrd2="http://schemas.microsoft.com/office/spreadsheetml/2017/richdata2" ref="A3:A26">
    <sortCondition ref="A3"/>
  </sortState>
  <pageMargins left="0.7" right="0.7" top="0.75" bottom="0.75" header="0.3" footer="0.3"/>
  <pageSetup paperSize="9" orientation="portrait" r:id="rId1"/>
  <customProperties>
    <customPr name="_pios_id" r:id="rId2"/>
  </customPropertie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8</vt:i4>
      </vt:variant>
      <vt:variant>
        <vt:lpstr>Именованные диапазоны</vt:lpstr>
      </vt:variant>
      <vt:variant>
        <vt:i4>4</vt:i4>
      </vt:variant>
    </vt:vector>
  </HeadingPairs>
  <TitlesOfParts>
    <vt:vector size="12" baseType="lpstr">
      <vt:lpstr>Инструкция</vt:lpstr>
      <vt:lpstr>Свод</vt:lpstr>
      <vt:lpstr>Как есть</vt:lpstr>
      <vt:lpstr>Как будет</vt:lpstr>
      <vt:lpstr>Доп.расчеты</vt:lpstr>
      <vt:lpstr>WACC_monthly</vt:lpstr>
      <vt:lpstr>Приложения</vt:lpstr>
      <vt:lpstr>Справочник</vt:lpstr>
      <vt:lpstr>Себестоимость</vt:lpstr>
      <vt:lpstr>Capex_группы_СПП</vt:lpstr>
      <vt:lpstr>OPEX_группы_СПП</vt:lpstr>
      <vt:lpstr>OPEX_PL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Zheglatyy, Sergey</dc:creator>
  <cp:lastModifiedBy>Valeriy.Izvekov</cp:lastModifiedBy>
  <cp:lastPrinted>2023-11-21T08:24:19Z</cp:lastPrinted>
  <dcterms:created xsi:type="dcterms:W3CDTF">2016-01-26T09:04:07Z</dcterms:created>
  <dcterms:modified xsi:type="dcterms:W3CDTF">2025-12-10T16:20:57Z</dcterms:modified>
</cp:coreProperties>
</file>